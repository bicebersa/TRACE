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4" autoFilterDateGrouping="1"/>
  </bookViews>
  <sheets>
    <sheet name="안내" sheetId="1" state="visible" r:id="rId1"/>
    <sheet name="설정" sheetId="2" state="visible" r:id="rId2"/>
    <sheet name="자가진단" sheetId="3" state="visible" r:id="rId3"/>
    <sheet name="리포트" sheetId="4" state="visible" r:id="rId4"/>
    <sheet name="주의대상" sheetId="5" state="visible" r:id="rId5"/>
    <sheet name="원인분석" sheetId="6" state="visible" r:id="rId6"/>
    <sheet name="변동분석" sheetId="7" state="visible" r:id="rId7"/>
    <sheet name="계정변동" sheetId="8" state="visible" r:id="rId8"/>
    <sheet name="월별집계" sheetId="9" state="visible" r:id="rId9"/>
    <sheet name="코멘트" sheetId="10" state="visible" r:id="rId10"/>
    <sheet name="키워드사전" sheetId="11" state="visible" r:id="rId11"/>
    <sheet name="예산판_원본" sheetId="12" state="visible" r:id="rId12"/>
    <sheet name="TB_원본" sheetId="13" state="visible" r:id="rId13"/>
    <sheet name="전표_원본" sheetId="14" state="visible" r:id="rId14"/>
    <sheet name="계정매핑" sheetId="15" state="visible" r:id="rId15"/>
    <sheet name="부서매핑" sheetId="16" state="visible" r:id="rId16"/>
  </sheets>
  <definedNames>
    <definedName name="_xlnm.Print_Area" localSheetId="3">'리포트'!$A$1:$H$46</definedName>
    <definedName name="_xlnm._FilterDatabase" localSheetId="6" hidden="1">'변동분석'!$A$6:$AI$109</definedName>
    <definedName name="_xlnm._FilterDatabase" localSheetId="13" hidden="1">'전표_원본'!$A$4:$X$4</definedName>
  </definedNames>
  <calcPr calcId="124519" fullCalcOnLoad="1"/>
</workbook>
</file>

<file path=xl/styles.xml><?xml version="1.0" encoding="utf-8"?>
<styleSheet xmlns="http://schemas.openxmlformats.org/spreadsheetml/2006/main">
  <numFmts count="11">
    <numFmt numFmtId="164" formatCode="#,##0;&quot;△&quot;#,##0;&quot;-&quot;"/>
    <numFmt numFmtId="165" formatCode="0%;&quot;△&quot;0%;&quot;-&quot;"/>
    <numFmt numFmtId="166" formatCode="0.0"/>
    <numFmt numFmtId="167" formatCode="0.000000"/>
    <numFmt numFmtId="168" formatCode="yyyy-mm-dd"/>
    <numFmt numFmtId="169" formatCode="#,##0.0;&quot;△&quot;#,##0.0;&quot;-&quot;"/>
    <numFmt numFmtId="170" formatCode="+0%;-0%;0%"/>
    <numFmt numFmtId="171" formatCode="0.000"/>
    <numFmt numFmtId="172" formatCode="+#,##0.0;-#,##0.0;0"/>
    <numFmt numFmtId="173" formatCode="m/d"/>
    <numFmt numFmtId="174" formatCode="0&quot;건&quot;"/>
  </numFmts>
  <fonts count="17">
    <font>
      <name val="Calibri"/>
      <family val="2"/>
      <color theme="1"/>
      <sz val="11"/>
      <scheme val="minor"/>
    </font>
    <font>
      <name val="맑은 고딕"/>
      <b val="1"/>
      <color rgb="00000000"/>
      <sz val="14"/>
    </font>
    <font>
      <name val="맑은 고딕"/>
      <color rgb="007F7F7F"/>
      <sz val="9"/>
    </font>
    <font>
      <name val="맑은 고딕"/>
      <b val="1"/>
      <color rgb="00000000"/>
      <sz val="11"/>
    </font>
    <font>
      <name val="맑은 고딕"/>
      <b val="1"/>
      <color rgb="00FFFFFF"/>
      <sz val="10"/>
    </font>
    <font>
      <name val="맑은 고딕"/>
      <b val="1"/>
      <color rgb="00000000"/>
      <sz val="10"/>
    </font>
    <font>
      <name val="맑은 고딕"/>
      <color rgb="007F7F7F"/>
      <sz val="10"/>
    </font>
    <font>
      <name val="맑은 고딕"/>
      <color rgb="00000000"/>
      <sz val="10"/>
    </font>
    <font>
      <name val="맑은 고딕"/>
      <color rgb="000000FF"/>
      <sz val="10"/>
    </font>
    <font>
      <name val="맑은 고딕"/>
      <color rgb="00008000"/>
      <sz val="10"/>
    </font>
    <font>
      <name val="맑은 고딕"/>
      <color rgb="00008000"/>
      <sz val="9"/>
    </font>
    <font>
      <name val="맑은 고딕"/>
      <b val="1"/>
      <color rgb="000000FF"/>
      <sz val="10"/>
    </font>
    <font>
      <name val="맑은 고딕"/>
      <b val="1"/>
      <color rgb="00008000"/>
      <sz val="13"/>
    </font>
    <font>
      <name val="맑은 고딕"/>
      <b val="1"/>
      <color rgb="00008000"/>
      <sz val="10"/>
    </font>
    <font>
      <name val="맑은 고딕"/>
      <b val="1"/>
      <color rgb="00000000"/>
      <sz val="16"/>
    </font>
    <font>
      <name val="맑은 고딕"/>
      <b val="1"/>
      <color rgb="00008000"/>
      <sz val="14"/>
    </font>
    <font>
      <name val="맑은 고딕"/>
      <b val="1"/>
      <color rgb="00000000"/>
      <sz val="12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FFF00"/>
      </patternFill>
    </fill>
    <fill>
      <patternFill patternType="solid">
        <fgColor rgb="00808080"/>
      </patternFill>
    </fill>
    <fill>
      <patternFill patternType="solid">
        <fgColor rgb="00F2F2F2"/>
      </patternFill>
    </fill>
    <fill>
      <patternFill patternType="solid">
        <fgColor rgb="00EAF3EE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7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pivotButton="0" quotePrefix="0" xfId="0"/>
    <xf numFmtId="0" fontId="6" fillId="0" borderId="1" pivotButton="0" quotePrefix="0" xfId="0"/>
    <xf numFmtId="0" fontId="7" fillId="0" borderId="1" pivotButton="0" quotePrefix="0" xfId="0"/>
    <xf numFmtId="0" fontId="7" fillId="0" borderId="0" pivotButton="0" quotePrefix="0" xfId="0"/>
    <xf numFmtId="0" fontId="5" fillId="3" borderId="1" pivotButton="0" quotePrefix="0" xfId="0"/>
    <xf numFmtId="0" fontId="8" fillId="4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3" fontId="8" fillId="0" borderId="1" pivotButton="0" quotePrefix="0" xfId="0"/>
    <xf numFmtId="1" fontId="8" fillId="4" borderId="1" applyAlignment="1" pivotButton="0" quotePrefix="0" xfId="0">
      <alignment horizontal="center" vertical="center"/>
    </xf>
    <xf numFmtId="164" fontId="8" fillId="4" borderId="1" applyAlignment="1" pivotButton="0" quotePrefix="0" xfId="0">
      <alignment horizontal="center" vertical="center"/>
    </xf>
    <xf numFmtId="165" fontId="8" fillId="4" borderId="1" applyAlignment="1" pivotButton="0" quotePrefix="0" xfId="0">
      <alignment horizontal="center" vertical="center"/>
    </xf>
    <xf numFmtId="166" fontId="8" fillId="4" borderId="1" applyAlignment="1" pivotButton="0" quotePrefix="0" xfId="0">
      <alignment horizontal="center" vertical="center"/>
    </xf>
    <xf numFmtId="1" fontId="7" fillId="0" borderId="1" applyAlignment="1" pivotButton="0" quotePrefix="0" xfId="0">
      <alignment horizontal="center" vertical="center"/>
    </xf>
    <xf numFmtId="167" fontId="7" fillId="0" borderId="1" applyAlignment="1" pivotButton="0" quotePrefix="0" xfId="0">
      <alignment horizontal="center" vertical="center"/>
    </xf>
    <xf numFmtId="0" fontId="16" fillId="0" borderId="0" pivotButton="0" quotePrefix="0" xfId="0"/>
    <xf numFmtId="0" fontId="7" fillId="0" borderId="1" applyAlignment="1" pivotButton="0" quotePrefix="0" xfId="0">
      <alignment horizontal="center" vertical="center"/>
    </xf>
    <xf numFmtId="0" fontId="9" fillId="0" borderId="1" pivotButton="0" quotePrefix="0" xfId="0"/>
    <xf numFmtId="0" fontId="14" fillId="0" borderId="0" pivotButton="0" quotePrefix="0" xfId="0"/>
    <xf numFmtId="0" fontId="2" fillId="6" borderId="1" applyAlignment="1" pivotButton="0" quotePrefix="0" xfId="0">
      <alignment horizontal="center"/>
    </xf>
    <xf numFmtId="169" fontId="15" fillId="6" borderId="1" applyAlignment="1" pivotButton="0" quotePrefix="0" xfId="0">
      <alignment horizontal="center" vertical="center"/>
    </xf>
    <xf numFmtId="170" fontId="15" fillId="6" borderId="1" applyAlignment="1" pivotButton="0" quotePrefix="0" xfId="0">
      <alignment horizontal="center" vertical="center"/>
    </xf>
    <xf numFmtId="174" fontId="15" fillId="6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169" fontId="9" fillId="0" borderId="1" pivotButton="0" quotePrefix="0" xfId="0"/>
    <xf numFmtId="170" fontId="9" fillId="0" borderId="1" pivotButton="0" quotePrefix="0" xfId="0"/>
    <xf numFmtId="0" fontId="9" fillId="0" borderId="1" applyAlignment="1" pivotButton="0" quotePrefix="0" xfId="0">
      <alignment vertical="center" wrapText="1"/>
    </xf>
    <xf numFmtId="0" fontId="13" fillId="7" borderId="0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10" fillId="0" borderId="0" pivotButton="0" quotePrefix="0" xfId="0"/>
    <xf numFmtId="0" fontId="4" fillId="5" borderId="1" applyAlignment="1" pivotButton="0" quotePrefix="0" xfId="0">
      <alignment horizontal="center" vertical="center" wrapText="1"/>
    </xf>
    <xf numFmtId="166" fontId="9" fillId="0" borderId="1" applyAlignment="1" pivotButton="0" quotePrefix="0" xfId="0">
      <alignment horizontal="center" vertical="center"/>
    </xf>
    <xf numFmtId="0" fontId="12" fillId="0" borderId="0" pivotButton="0" quotePrefix="0" xfId="0"/>
    <xf numFmtId="0" fontId="9" fillId="0" borderId="0" pivotButton="0" quotePrefix="0" xfId="0"/>
    <xf numFmtId="49" fontId="8" fillId="4" borderId="1" applyAlignment="1" pivotButton="0" quotePrefix="0" xfId="0">
      <alignment horizontal="center" vertical="center"/>
    </xf>
    <xf numFmtId="0" fontId="6" fillId="6" borderId="1" pivotButton="0" quotePrefix="0" xfId="0"/>
    <xf numFmtId="0" fontId="9" fillId="6" borderId="1" applyAlignment="1" pivotButton="0" quotePrefix="0" xfId="0">
      <alignment horizontal="center" vertical="center"/>
    </xf>
    <xf numFmtId="1" fontId="9" fillId="6" borderId="1" applyAlignment="1" pivotButton="0" quotePrefix="0" xfId="0">
      <alignment horizontal="center" vertical="center"/>
    </xf>
    <xf numFmtId="169" fontId="13" fillId="0" borderId="1" pivotButton="0" quotePrefix="0" xfId="0"/>
    <xf numFmtId="172" fontId="5" fillId="0" borderId="1" pivotButton="0" quotePrefix="0" xfId="0"/>
    <xf numFmtId="170" fontId="5" fillId="0" borderId="1" pivotButton="0" quotePrefix="0" xfId="0"/>
    <xf numFmtId="0" fontId="13" fillId="0" borderId="1" applyAlignment="1" pivotButton="0" quotePrefix="0" xfId="0">
      <alignment horizontal="center" vertical="center"/>
    </xf>
    <xf numFmtId="0" fontId="3" fillId="7" borderId="0" applyAlignment="1" pivotButton="0" quotePrefix="0" xfId="0">
      <alignment vertical="top" wrapText="1"/>
    </xf>
    <xf numFmtId="165" fontId="7" fillId="0" borderId="1" pivotButton="0" quotePrefix="0" xfId="0"/>
    <xf numFmtId="171" fontId="7" fillId="0" borderId="1" pivotButton="0" quotePrefix="0" xfId="0"/>
    <xf numFmtId="0" fontId="7" fillId="0" borderId="1" applyAlignment="1" pivotButton="0" quotePrefix="0" xfId="0">
      <alignment vertical="center" wrapText="1"/>
    </xf>
    <xf numFmtId="173" fontId="9" fillId="0" borderId="1" pivotButton="0" quotePrefix="0" xfId="0"/>
    <xf numFmtId="169" fontId="7" fillId="0" borderId="1" pivotButton="0" quotePrefix="0" xfId="0"/>
    <xf numFmtId="172" fontId="7" fillId="0" borderId="1" pivotButton="0" quotePrefix="0" xfId="0"/>
    <xf numFmtId="1" fontId="7" fillId="0" borderId="1" pivotButton="0" quotePrefix="0" xfId="0"/>
    <xf numFmtId="165" fontId="9" fillId="0" borderId="1" pivotButton="0" quotePrefix="0" xfId="0"/>
    <xf numFmtId="168" fontId="9" fillId="0" borderId="1" applyAlignment="1" pivotButton="0" quotePrefix="0" xfId="0">
      <alignment horizontal="center" vertical="center"/>
    </xf>
    <xf numFmtId="0" fontId="5" fillId="0" borderId="0" pivotButton="0" quotePrefix="0" xfId="0"/>
    <xf numFmtId="49" fontId="8" fillId="0" borderId="1" applyAlignment="1" pivotButton="0" quotePrefix="0" xfId="0">
      <alignment horizontal="center" vertical="center"/>
    </xf>
    <xf numFmtId="170" fontId="7" fillId="0" borderId="1" pivotButton="0" quotePrefix="0" xfId="0"/>
    <xf numFmtId="166" fontId="9" fillId="0" borderId="1" pivotButton="0" quotePrefix="0" xfId="0"/>
    <xf numFmtId="1" fontId="9" fillId="0" borderId="1" pivotButton="0" quotePrefix="0" xfId="0"/>
    <xf numFmtId="166" fontId="7" fillId="0" borderId="1" pivotButton="0" quotePrefix="0" xfId="0"/>
    <xf numFmtId="0" fontId="5" fillId="6" borderId="1" pivotButton="0" quotePrefix="0" xfId="0"/>
    <xf numFmtId="0" fontId="7" fillId="6" borderId="1" pivotButton="0" quotePrefix="0" xfId="0"/>
    <xf numFmtId="169" fontId="5" fillId="6" borderId="1" pivotButton="0" quotePrefix="0" xfId="0"/>
    <xf numFmtId="170" fontId="5" fillId="6" borderId="1" pivotButton="0" quotePrefix="0" xfId="0"/>
    <xf numFmtId="0" fontId="5" fillId="6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1" fontId="6" fillId="3" borderId="1" applyAlignment="1" pivotButton="0" quotePrefix="0" xfId="0">
      <alignment horizontal="center" vertical="center"/>
    </xf>
    <xf numFmtId="0" fontId="8" fillId="0" borderId="1" pivotButton="0" quotePrefix="0" xfId="0"/>
    <xf numFmtId="168" fontId="8" fillId="0" borderId="1" pivotButton="0" quotePrefix="0" xfId="0"/>
    <xf numFmtId="0" fontId="6" fillId="0" borderId="0" pivotButton="0" quotePrefix="0" xfId="0"/>
    <xf numFmtId="0" fontId="11" fillId="0" borderId="1" pivotButton="0" quotePrefix="0" xfId="0"/>
    <xf numFmtId="0" fontId="8" fillId="0" borderId="0" pivotButton="0" quotePrefix="0" xfId="0"/>
    <xf numFmtId="3" fontId="8" fillId="0" borderId="0" pivotButton="0" quotePrefix="0" xfId="0"/>
    <xf numFmtId="169" fontId="9" fillId="0" borderId="0" pivotButton="0" quotePrefix="0" xfId="0"/>
    <xf numFmtId="168" fontId="8" fillId="0" borderId="0" pivotButton="0" quotePrefix="0" xfId="0"/>
  </cellXfs>
  <cellStyles count="1">
    <cellStyle name="Normal" xfId="0" builtinId="0" hidden="0"/>
  </cellStyles>
  <dxfs count="9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8CBAD"/>
        </patternFill>
      </fill>
    </dxf>
    <dxf>
      <fill>
        <patternFill patternType="solid">
          <fgColor rgb="00FFE699"/>
        </patternFill>
      </fill>
    </dxf>
    <dxf>
      <fill>
        <patternFill patternType="solid">
          <fgColor rgb="00D9C3E9"/>
        </patternFill>
      </fill>
    </dxf>
    <dxf>
      <font>
        <b val="1"/>
      </font>
      <fill>
        <patternFill patternType="solid">
          <fgColor rgb="00FFEB9C"/>
        </patternFill>
      </fill>
    </dxf>
    <dxf>
      <font>
        <b val="1"/>
        <color rgb="00C00000"/>
      </font>
    </dxf>
    <dxf>
      <font>
        <b val="1"/>
        <color rgb="009C0006"/>
      </font>
      <fill>
        <patternFill patternType="solid">
          <fgColor rgb="00F8CBA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월별 사업비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'리포트'!L29</f>
            </strRef>
          </tx>
          <spPr>
            <a:ln>
              <a:prstDash val="solid"/>
            </a:ln>
          </spPr>
          <cat>
            <numRef>
              <f>'리포트'!$K$30:$K$41</f>
            </numRef>
          </cat>
          <val>
            <numRef>
              <f>'리포트'!$L$30:$L$41</f>
            </numRef>
          </val>
        </ser>
        <ser>
          <idx val="1"/>
          <order val="1"/>
          <tx>
            <strRef>
              <f>'리포트'!M29</f>
            </strRef>
          </tx>
          <spPr>
            <a:ln>
              <a:prstDash val="solid"/>
            </a:ln>
          </spPr>
          <cat>
            <numRef>
              <f>'리포트'!$K$30:$K$41</f>
            </numRef>
          </cat>
          <val>
            <numRef>
              <f>'리포트'!$M$30:$M$41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28</row>
      <rowOff>0</rowOff>
    </from>
    <ext cx="86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  <col width="62" customWidth="1" min="3" max="3"/>
  </cols>
  <sheetData>
    <row r="1">
      <c r="A1" s="1" t="inlineStr">
        <is>
          <t>TRACE 사업비 원인추적기 v0.2 (프로토타입)</t>
        </is>
      </c>
    </row>
    <row r="2">
      <c r="A2" s="2" t="inlineStr">
        <is>
          <t>Excel 2016 호환 · 수식만으로 동작 · 예시 데이터는 가상 수치 (원본 단위: 원, 보고 단위: 백만원)</t>
        </is>
      </c>
    </row>
    <row r="4">
      <c r="A4" s="3" t="inlineStr">
        <is>
          <t>이름의 뜻</t>
        </is>
      </c>
    </row>
    <row r="5" ht="20" customHeight="1">
      <c r="A5" s="4" t="inlineStr">
        <is>
          <t>글자</t>
        </is>
      </c>
      <c r="B5" s="4" t="inlineStr">
        <is>
          <t>뜻</t>
        </is>
      </c>
      <c r="C5" s="4" t="inlineStr">
        <is>
          <t>도구에서 하는 일 (시트)</t>
        </is>
      </c>
    </row>
    <row r="6">
      <c r="A6" s="5" t="inlineStr">
        <is>
          <t>T</t>
        </is>
      </c>
      <c r="B6" s="6" t="inlineStr">
        <is>
          <t>Trend 추이</t>
        </is>
      </c>
      <c r="C6" s="7" t="inlineStr">
        <is>
          <t>전월·전분기·전년동월 대비 변동 (변동분석 · 월별집계 · 계정변동)</t>
        </is>
      </c>
    </row>
    <row r="7">
      <c r="A7" s="5" t="inlineStr">
        <is>
          <t>R</t>
        </is>
      </c>
      <c r="B7" s="6" t="inlineStr">
        <is>
          <t>Risk 예산 위험</t>
        </is>
      </c>
      <c r="C7" s="7" t="inlineStr">
        <is>
          <t>예상 연간 실적으로 여유/주의/부족 예상 판정 (변동분석 P~Y열)</t>
        </is>
      </c>
    </row>
    <row r="8">
      <c r="A8" s="5" t="inlineStr">
        <is>
          <t>A</t>
        </is>
      </c>
      <c r="B8" s="6" t="inlineStr">
        <is>
          <t>Anomaly 이상치</t>
        </is>
      </c>
      <c r="C8" s="7" t="inlineStr">
        <is>
          <t>평소 변동폭을 벗어난 항목을 점수로 골라냄 (주의대상)</t>
        </is>
      </c>
    </row>
    <row r="9">
      <c r="A9" s="5" t="inlineStr">
        <is>
          <t>C</t>
        </is>
      </c>
      <c r="B9" s="6" t="inlineStr">
        <is>
          <t>Cause 원인</t>
        </is>
      </c>
      <c r="C9" s="7" t="inlineStr">
        <is>
          <t>증가분을 거래처·전표로 쪼개 원인 후보와 근거 전표 제시 (원인분석 · 키워드사전)</t>
        </is>
      </c>
    </row>
    <row r="10">
      <c r="A10" s="5" t="inlineStr">
        <is>
          <t>E</t>
        </is>
      </c>
      <c r="B10" s="6" t="inlineStr">
        <is>
          <t>Expense 사업비</t>
        </is>
      </c>
      <c r="C10" s="7" t="inlineStr">
        <is>
          <t>분석 대상: 사업비 계정 (계정매핑에서 사업비 여부 Y)</t>
        </is>
      </c>
    </row>
    <row r="12">
      <c r="A12" s="3" t="inlineStr">
        <is>
          <t>흐름 단계와 시트</t>
        </is>
      </c>
    </row>
    <row r="13" ht="20" customHeight="1">
      <c r="A13" s="4" t="inlineStr">
        <is>
          <t>단계</t>
        </is>
      </c>
      <c r="B13" s="4" t="inlineStr">
        <is>
          <t>하는 일</t>
        </is>
      </c>
      <c r="C13" s="4" t="inlineStr">
        <is>
          <t>시트</t>
        </is>
      </c>
    </row>
    <row r="14">
      <c r="A14" s="6" t="inlineStr">
        <is>
          <t>① 세 파일 넣기</t>
        </is>
      </c>
      <c r="B14" s="8" t="inlineStr">
        <is>
          <t>SAP 예산판·TB·전표를 원본 시트 A열부터 붙여넣기</t>
        </is>
      </c>
      <c r="C14" s="7" t="inlineStr">
        <is>
          <t>예산판_원본 · TB_원본 · 전표_원본</t>
        </is>
      </c>
    </row>
    <row r="15">
      <c r="A15" s="6" t="inlineStr">
        <is>
          <t>② 불러오기·대사</t>
        </is>
      </c>
      <c r="B15" s="8" t="inlineStr">
        <is>
          <t>매핑 적용, 전표 = TB = 예산판 실적 대사, 데이터 점검</t>
        </is>
      </c>
      <c r="C15" s="7" t="inlineStr">
        <is>
          <t>자가진단 · 계정변동</t>
        </is>
      </c>
    </row>
    <row r="16">
      <c r="A16" s="6" t="inlineStr">
        <is>
          <t>③ 변동 분석</t>
        </is>
      </c>
      <c r="B16" s="8" t="inlineStr">
        <is>
          <t>전월·전분기·전년동월 대비 증감 (부서 × 계정)</t>
        </is>
      </c>
      <c r="C16" s="7" t="inlineStr">
        <is>
          <t>변동분석 F~O열 · 월별집계 · 계정변동</t>
        </is>
      </c>
    </row>
    <row r="17">
      <c r="A17" s="6" t="inlineStr">
        <is>
          <t>④ 예산 점검</t>
        </is>
      </c>
      <c r="B17" s="8" t="inlineStr">
        <is>
          <t>배정+조정 대비 예상 연간 실적 → 여유/주의/부족 예상</t>
        </is>
      </c>
      <c r="C17" s="7" t="inlineStr">
        <is>
          <t>변동분석 P~Y열</t>
        </is>
      </c>
    </row>
    <row r="18">
      <c r="A18" s="6" t="inlineStr">
        <is>
          <t>⑤ 주의 대상</t>
        </is>
      </c>
      <c r="B18" s="8" t="inlineStr">
        <is>
          <t>증가액·증가율·이상치·예산 점수 합산 → TOP 10</t>
        </is>
      </c>
      <c r="C18" s="7" t="inlineStr">
        <is>
          <t>주의대상 · 변동분석 AA열 이후</t>
        </is>
      </c>
    </row>
    <row r="19">
      <c r="A19" s="6" t="inlineStr">
        <is>
          <t>⑥ 원인 추정</t>
        </is>
      </c>
      <c r="B19" s="8" t="inlineStr">
        <is>
          <t>선택 항목을 거래처·전표로 분해, 8가지 패턴 판정, 근거 전표</t>
        </is>
      </c>
      <c r="C19" s="7" t="inlineStr">
        <is>
          <t>원인분석 · 키워드사전</t>
        </is>
      </c>
    </row>
    <row r="20">
      <c r="A20" s="6" t="inlineStr">
        <is>
          <t>⑦ 보고·확인</t>
        </is>
      </c>
      <c r="B20" s="8" t="inlineStr">
        <is>
          <t>보고서, 확인된 원인을 코멘트로 누적</t>
        </is>
      </c>
      <c r="C20" s="7" t="inlineStr">
        <is>
          <t>리포트 · 코멘트</t>
        </is>
      </c>
    </row>
    <row r="22">
      <c r="A22" s="3" t="inlineStr">
        <is>
          <t>매월 사용 순서</t>
        </is>
      </c>
    </row>
    <row r="23">
      <c r="A23" s="9" t="inlineStr">
        <is>
          <t>1. 설정 시트에서 기준연도·기준월 변경</t>
        </is>
      </c>
    </row>
    <row r="24">
      <c r="A24" s="9" t="inlineStr">
        <is>
          <t>2. 원본 시트 3개에 새 데이터 붙여넣기 (회색 머리글 보조수식 열은 데이터 마지막 행까지 끌어 채우기)</t>
        </is>
      </c>
    </row>
    <row r="25">
      <c r="A25" s="9" t="inlineStr">
        <is>
          <t>3. 자가진단이 '전체 정상'인지 확인</t>
        </is>
      </c>
    </row>
    <row r="26">
      <c r="A26" s="9" t="inlineStr">
        <is>
          <t>4. 주의대상 TOP 10 확인 → 원인분석 시트 C5에 순위 입력 (비교 기준은 C6) → 원인 후보와 근거 전표 확인</t>
        </is>
      </c>
    </row>
    <row r="27">
      <c r="A27" s="9" t="inlineStr">
        <is>
          <t>5. 담당 부서 확인 결과를 코멘트 시트에 입력 → 주의대상·리포트에 표시</t>
        </is>
      </c>
    </row>
    <row r="28">
      <c r="A28" s="9" t="inlineStr">
        <is>
          <t>6. 새로 알게 된 적요 표현은 키워드사전에 추가 → 다음 달 원인 추정에 반영</t>
        </is>
      </c>
    </row>
    <row r="30">
      <c r="A30" s="3" t="inlineStr">
        <is>
          <t>원본 데이터 기준</t>
        </is>
      </c>
    </row>
    <row r="31">
      <c r="A31" s="9" t="inlineStr">
        <is>
          <t>예산판: 부서 × G/L × 분기 한 행 (배정·조정·실적·잔여). 화면이 분기를 옆으로 펼치는 형태면 알려주세요. 양식을 맞추겠습니다.</t>
        </is>
      </c>
    </row>
    <row r="32">
      <c r="A32" s="9" t="inlineStr">
        <is>
          <t>TB: G/L × 월 한 행 (당기차변·당기대변·기말잔액). 당해와 전년을 함께 넣어야 전년동월 비교가 됩니다.</t>
        </is>
      </c>
    </row>
    <row r="33">
      <c r="A33" s="9" t="inlineStr">
        <is>
          <t>전표: 사업비 계정 전표 라인 (최근 24개월 권장). 적요·거래처가 있어야 원인 추정이 됩니다.</t>
        </is>
      </c>
    </row>
    <row r="34">
      <c r="A34" s="9" t="inlineStr">
        <is>
          <t>거래처명이 '('로 시작하면 내부 거래(법인카드·내부대체 등)로 보고 신규 거래처 판정에서 뺍니다.</t>
        </is>
      </c>
    </row>
    <row r="36">
      <c r="A36" s="3" t="inlineStr">
        <is>
          <t>셀 색상</t>
        </is>
      </c>
    </row>
    <row r="37">
      <c r="A37" s="9" t="inlineStr">
        <is>
          <t>파란 글씨 = 입력값 · 검정 = 수식 · 초록 = 다른 시트 참조 수식 · 노란 배경 = 바꾸는 설정 · 회색 머리글 = 보조수식(수정 금지)</t>
        </is>
      </c>
    </row>
    <row r="39">
      <c r="A39" s="3" t="inlineStr">
        <is>
          <t>v0.2 한계 (다음 버전에서 VBA로 보완)</t>
        </is>
      </c>
    </row>
    <row r="40">
      <c r="A40" s="9" t="inlineStr">
        <is>
          <t>원인분석은 한 번에 한 항목씩 계산합니다. TOP 10 전체 원인을 리포트에 자동으로 채우는 기능은 VBA로 추가 예정입니다.</t>
        </is>
      </c>
    </row>
    <row r="41">
      <c r="A41" s="9" t="inlineStr">
        <is>
          <t>변동분석의 부서·계정 목록은 고정입니다. 새 조합이 생기면 자가진단이 알려주며, 행을 직접 추가해야 합니다 (VBA 버전에서 자동).</t>
        </is>
      </c>
    </row>
    <row r="42">
      <c r="A42" s="9" t="inlineStr">
        <is>
          <t>원인 후보는 규칙 기반 가설입니다. 반드시 근거 전표와 담당 부서 확인으로 확정하세요.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C000"/>
    <outlinePr summaryBelow="1" summaryRight="1"/>
    <pageSetUpPr/>
  </sheetPr>
  <dimension ref="A1:G2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4" customWidth="1" min="3" max="3"/>
    <col width="62" customWidth="1" min="4" max="4"/>
    <col width="3" customWidth="1" min="5" max="5"/>
    <col width="9" customWidth="1" min="6" max="6"/>
    <col width="12" customWidth="1" min="7" max="7"/>
  </cols>
  <sheetData>
    <row r="1">
      <c r="A1" s="1" t="inlineStr">
        <is>
          <t>TRACE · 설정</t>
        </is>
      </c>
    </row>
    <row r="2">
      <c r="A2" s="2" t="inlineStr">
        <is>
          <t>노란 칸만 바꾸세요</t>
        </is>
      </c>
    </row>
    <row r="4" ht="20" customHeight="1">
      <c r="B4" s="4" t="inlineStr">
        <is>
          <t>항목</t>
        </is>
      </c>
      <c r="C4" s="4" t="inlineStr">
        <is>
          <t>값</t>
        </is>
      </c>
      <c r="D4" s="4" t="inlineStr">
        <is>
          <t>설명</t>
        </is>
      </c>
      <c r="F4" s="4" t="inlineStr">
        <is>
          <t>단위</t>
        </is>
      </c>
      <c r="G4" s="4" t="inlineStr">
        <is>
          <t>원 환산</t>
        </is>
      </c>
    </row>
    <row r="5">
      <c r="B5" s="10" t="inlineStr">
        <is>
          <t>회사명</t>
        </is>
      </c>
      <c r="C5" s="11" t="inlineStr">
        <is>
          <t>예시보험㈜</t>
        </is>
      </c>
      <c r="D5" s="7" t="inlineStr"/>
      <c r="F5" s="12" t="inlineStr">
        <is>
          <t>원</t>
        </is>
      </c>
      <c r="G5" s="13" t="n">
        <v>1</v>
      </c>
    </row>
    <row r="6">
      <c r="B6" s="10" t="inlineStr">
        <is>
          <t>기준연도</t>
        </is>
      </c>
      <c r="C6" s="14" t="n">
        <v>2026</v>
      </c>
      <c r="D6" s="7" t="inlineStr"/>
      <c r="F6" s="12" t="inlineStr">
        <is>
          <t>천원</t>
        </is>
      </c>
      <c r="G6" s="13" t="n">
        <v>1000</v>
      </c>
    </row>
    <row r="7">
      <c r="B7" s="10" t="inlineStr">
        <is>
          <t>기준월</t>
        </is>
      </c>
      <c r="C7" s="14" t="n">
        <v>9</v>
      </c>
      <c r="D7" s="7" t="inlineStr">
        <is>
          <t>1~12</t>
        </is>
      </c>
      <c r="F7" s="12" t="inlineStr">
        <is>
          <t>백만원</t>
        </is>
      </c>
      <c r="G7" s="13" t="n">
        <v>1000000</v>
      </c>
    </row>
    <row r="8">
      <c r="B8" s="10" t="inlineStr">
        <is>
          <t>원본 금액단위</t>
        </is>
      </c>
      <c r="C8" s="11" t="inlineStr">
        <is>
          <t>원</t>
        </is>
      </c>
      <c r="D8" s="7" t="inlineStr">
        <is>
          <t>예산판·TB·전표 공통</t>
        </is>
      </c>
    </row>
    <row r="9">
      <c r="B9" s="10" t="inlineStr">
        <is>
          <t>보고 단위</t>
        </is>
      </c>
      <c r="C9" s="11" t="inlineStr">
        <is>
          <t>백만원</t>
        </is>
      </c>
      <c r="D9" s="7" t="inlineStr">
        <is>
          <t>모든 분석 표시 단위</t>
        </is>
      </c>
    </row>
    <row r="10">
      <c r="B10" s="10" t="inlineStr">
        <is>
          <t>증감 기준금액 (보고단위)</t>
        </is>
      </c>
      <c r="C10" s="15" t="n">
        <v>10</v>
      </c>
      <c r="D10" s="7" t="inlineStr">
        <is>
          <t>이 금액 미만의 작은 증감은 주의 점수를 30%로 낮춤 · 증가액 점수 만점 = 5배</t>
        </is>
      </c>
    </row>
    <row r="11">
      <c r="B11" s="10" t="inlineStr">
        <is>
          <t>예산 '주의' 기준 (예상 소진율)</t>
        </is>
      </c>
      <c r="C11" s="16" t="n">
        <v>0.9</v>
      </c>
      <c r="D11" s="7" t="inlineStr">
        <is>
          <t>예상 연간 실적 ÷ 가용예산이 이 값 초과면 주의</t>
        </is>
      </c>
    </row>
    <row r="12">
      <c r="B12" s="10" t="inlineStr">
        <is>
          <t>예산 '부족 예상' 기준</t>
        </is>
      </c>
      <c r="C12" s="16" t="n">
        <v>1</v>
      </c>
      <c r="D12" s="7" t="inlineStr">
        <is>
          <t>이 값 초과면 부족 예상</t>
        </is>
      </c>
    </row>
    <row r="13">
      <c r="B13" s="10" t="inlineStr">
        <is>
          <t>이상치 기준 (z)</t>
        </is>
      </c>
      <c r="C13" s="17" t="n">
        <v>2</v>
      </c>
      <c r="D13" s="7" t="inlineStr">
        <is>
          <t>직전 12개월 평균 대비 표준편차 배수</t>
        </is>
      </c>
    </row>
    <row r="14">
      <c r="B14" s="10" t="inlineStr">
        <is>
          <t>원인: 단건 비중</t>
        </is>
      </c>
      <c r="C14" s="16" t="n">
        <v>0.5</v>
      </c>
      <c r="D14" s="7" t="inlineStr">
        <is>
          <t>전표 1건이 증가분의 이 비율 이상이면 '일회성 대형'</t>
        </is>
      </c>
    </row>
    <row r="15">
      <c r="B15" s="10" t="inlineStr">
        <is>
          <t>원인: 신규 거래처 비중</t>
        </is>
      </c>
      <c r="C15" s="16" t="n">
        <v>0.3</v>
      </c>
      <c r="D15" s="7" t="inlineStr">
        <is>
          <t>최근 12개월 거래 없던 거래처의 증가분 비중</t>
        </is>
      </c>
    </row>
    <row r="16">
      <c r="B16" s="10" t="inlineStr">
        <is>
          <t>원인: SA 대체 비중</t>
        </is>
      </c>
      <c r="C16" s="16" t="n">
        <v>0.3</v>
      </c>
      <c r="D16" s="7" t="inlineStr">
        <is>
          <t>수기 대체전표(SA) 순증의 증가분 비중</t>
        </is>
      </c>
    </row>
    <row r="17">
      <c r="B17" s="10" t="inlineStr">
        <is>
          <t>원인: 키워드 비중</t>
        </is>
      </c>
      <c r="C17" s="16" t="n">
        <v>0.3</v>
      </c>
      <c r="D17" s="7" t="inlineStr">
        <is>
          <t>키워드사전 해당 전표의 증가분 비중</t>
        </is>
      </c>
    </row>
    <row r="18">
      <c r="B18" s="10" t="inlineStr">
        <is>
          <t>원인: 단가 상승률</t>
        </is>
      </c>
      <c r="C18" s="16" t="n">
        <v>0.05</v>
      </c>
      <c r="D18" s="7" t="inlineStr">
        <is>
          <t>같은 건수에서 이 비율 이상 오르면 '단가 인상'</t>
        </is>
      </c>
    </row>
    <row r="20">
      <c r="B20" s="10" t="inlineStr">
        <is>
          <t>(계산) 기준 기간번호</t>
        </is>
      </c>
      <c r="C20" s="18">
        <f>C6*12+C7</f>
        <v/>
      </c>
      <c r="D20" s="7" t="inlineStr">
        <is>
          <t>연도×12+월. 기간 비교에 사용</t>
        </is>
      </c>
    </row>
    <row r="21">
      <c r="B21" s="10" t="inlineStr">
        <is>
          <t>(계산) 기준 분기</t>
        </is>
      </c>
      <c r="C21" s="18">
        <f>ROUNDUP(C7/3,0)</f>
        <v/>
      </c>
      <c r="D21" s="7" t="inlineStr"/>
    </row>
    <row r="22">
      <c r="B22" s="10" t="inlineStr">
        <is>
          <t>(계산) 분기 시작 기간번호</t>
        </is>
      </c>
      <c r="C22" s="18">
        <f>C6*12+(C21-1)*3+1</f>
        <v/>
      </c>
      <c r="D22" s="7" t="inlineStr"/>
    </row>
    <row r="23">
      <c r="B23" s="10" t="inlineStr">
        <is>
          <t>(계산) 금액 환산계수</t>
        </is>
      </c>
      <c r="C23" s="19">
        <f>INDEX($G$5:$G$7,MATCH(C8,$F$5:$F$7,0))/INDEX($G$5:$G$7,MATCH(C9,$F$5:$F$7,0))</f>
        <v/>
      </c>
      <c r="D23" s="7" t="inlineStr">
        <is>
          <t>원본 금액 × 계수 = 보고단위</t>
        </is>
      </c>
    </row>
  </sheetData>
  <dataValidations count="2">
    <dataValidation sqref="C8:C9" showDropDown="0" showInputMessage="0" showErrorMessage="0" allowBlank="0" type="list">
      <formula1>=$F$5:$F$7</formula1>
    </dataValidation>
    <dataValidation sqref="C7" showDropDown="0" showInputMessage="0" showErrorMessage="0" allowBlank="0" type="whole" operator="between">
      <formula1>1</formula1>
      <formula2>12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E24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40" customWidth="1" min="3" max="3"/>
    <col width="10" customWidth="1" min="4" max="4"/>
    <col width="60" customWidth="1" min="5" max="5"/>
  </cols>
  <sheetData>
    <row r="1">
      <c r="A1" s="1" t="inlineStr">
        <is>
          <t>TRACE · 자가진단</t>
        </is>
      </c>
    </row>
    <row r="2">
      <c r="A2" s="2" t="inlineStr">
        <is>
          <t>외부망으로 오류를 알릴 때는 [점검 항목]과 [상태]만 전달하세요</t>
        </is>
      </c>
    </row>
    <row r="4">
      <c r="A4" s="20" t="inlineStr">
        <is>
          <t>종합</t>
        </is>
      </c>
      <c r="B4" s="20">
        <f>IF(COUNTIF(D7:D24,"확인필요")=0,"전체 정상"&amp;IF(COUNTIF(D7:D24,"참고")&gt;0," (참고 "&amp;COUNTIF(D7:D24,"참고")&amp;"건)",""),"확인필요 "&amp;COUNTIF(D7:D24,"확인필요")&amp;"건")</f>
        <v/>
      </c>
    </row>
    <row r="6" ht="20" customHeight="1">
      <c r="A6" s="4" t="inlineStr">
        <is>
          <t>No</t>
        </is>
      </c>
      <c r="B6" s="4" t="inlineStr">
        <is>
          <t>점검 항목</t>
        </is>
      </c>
      <c r="C6" s="4" t="inlineStr">
        <is>
          <t>결과</t>
        </is>
      </c>
      <c r="D6" s="4" t="inlineStr">
        <is>
          <t>상태</t>
        </is>
      </c>
      <c r="E6" s="4" t="inlineStr">
        <is>
          <t>조치 방법</t>
        </is>
      </c>
    </row>
    <row r="7">
      <c r="A7" s="21" t="n">
        <v>1</v>
      </c>
      <c r="B7" s="6" t="inlineStr">
        <is>
          <t>설정값</t>
        </is>
      </c>
      <c r="C7" s="22">
        <f>IF(AND(ISNUMBER(설정!$C$7),설정!$C$7&gt;=1,설정!$C$7&lt;=12,ISNUMBER(설정!$C$23)),"정상","기준월 또는 단위 오류")</f>
        <v/>
      </c>
      <c r="D7" s="5">
        <f>IF(C7="정상","OK","확인필요")</f>
        <v/>
      </c>
      <c r="E7" s="7" t="inlineStr">
        <is>
          <t>설정 시트 기준월(1~12)·단위 확인</t>
        </is>
      </c>
    </row>
    <row r="8">
      <c r="A8" s="21" t="n">
        <v>2</v>
      </c>
      <c r="B8" s="6" t="inlineStr">
        <is>
          <t>전표_원본 머리글</t>
        </is>
      </c>
      <c r="C8" s="22">
        <f>IF(IF(전표_원본!A4&lt;&gt;"회계연도","A ","")&amp;IF(전표_원본!B4&lt;&gt;"기간","B ","")&amp;IF(전표_원본!C4&lt;&gt;"전표번호","C ","")&amp;IF(전표_원본!D4&lt;&gt;"전기일","D ","")&amp;IF(전표_원본!E4&lt;&gt;"전표유형","E ","")&amp;IF(전표_원본!F4&lt;&gt;"G/L계정","F ","")&amp;IF(전표_원본!G4&lt;&gt;"코스트센터","G ","")&amp;IF(전표_원본!H4&lt;&gt;"금액","H ","")&amp;IF(전표_원본!I4&lt;&gt;"적요","I ","")&amp;IF(전표_원본!J4&lt;&gt;"거래처코드","J ","")&amp;IF(전표_원본!K4&lt;&gt;"거래처명","K ","")="","일치","불일치 열: "&amp;IF(전표_원본!A4&lt;&gt;"회계연도","A ","")&amp;IF(전표_원본!B4&lt;&gt;"기간","B ","")&amp;IF(전표_원본!C4&lt;&gt;"전표번호","C ","")&amp;IF(전표_원본!D4&lt;&gt;"전기일","D ","")&amp;IF(전표_원본!E4&lt;&gt;"전표유형","E ","")&amp;IF(전표_원본!F4&lt;&gt;"G/L계정","F ","")&amp;IF(전표_원본!G4&lt;&gt;"코스트센터","G ","")&amp;IF(전표_원본!H4&lt;&gt;"금액","H ","")&amp;IF(전표_원본!I4&lt;&gt;"적요","I ","")&amp;IF(전표_원본!J4&lt;&gt;"거래처코드","J ","")&amp;IF(전표_원본!K4&lt;&gt;"거래처명","K ",""))</f>
        <v/>
      </c>
      <c r="D8" s="5">
        <f>IF(C8="일치","OK","확인필요")</f>
        <v/>
      </c>
      <c r="E8" s="7" t="inlineStr">
        <is>
          <t>4행 머리글을 표준 이름으로</t>
        </is>
      </c>
    </row>
    <row r="9">
      <c r="A9" s="21" t="n">
        <v>3</v>
      </c>
      <c r="B9" s="6" t="inlineStr">
        <is>
          <t>TB_원본 머리글</t>
        </is>
      </c>
      <c r="C9" s="22">
        <f>IF(IF(TB_원본!A4&lt;&gt;"회계연도","A ","")&amp;IF(TB_원본!B4&lt;&gt;"기간","B ","")&amp;IF(TB_원본!C4&lt;&gt;"G/L계정","C ","")&amp;IF(TB_원본!D4&lt;&gt;"계정명","D ","")&amp;IF(TB_원본!E4&lt;&gt;"당기차변","E ","")&amp;IF(TB_원본!F4&lt;&gt;"당기대변","F ","")&amp;IF(TB_원본!G4&lt;&gt;"기말잔액","G ","")="","일치","불일치 열: "&amp;IF(TB_원본!A4&lt;&gt;"회계연도","A ","")&amp;IF(TB_원본!B4&lt;&gt;"기간","B ","")&amp;IF(TB_원본!C4&lt;&gt;"G/L계정","C ","")&amp;IF(TB_원본!D4&lt;&gt;"계정명","D ","")&amp;IF(TB_원본!E4&lt;&gt;"당기차변","E ","")&amp;IF(TB_원본!F4&lt;&gt;"당기대변","F ","")&amp;IF(TB_원본!G4&lt;&gt;"기말잔액","G ",""))</f>
        <v/>
      </c>
      <c r="D9" s="5">
        <f>IF(C9="일치","OK","확인필요")</f>
        <v/>
      </c>
      <c r="E9" s="7" t="inlineStr">
        <is>
          <t>4행 머리글을 표준 이름으로</t>
        </is>
      </c>
    </row>
    <row r="10">
      <c r="A10" s="21" t="n">
        <v>4</v>
      </c>
      <c r="B10" s="6" t="inlineStr">
        <is>
          <t>예산판_원본 머리글</t>
        </is>
      </c>
      <c r="C10" s="22">
        <f>IF(IF(예산판_원본!A4&lt;&gt;"회계연도","A ","")&amp;IF(예산판_원본!B4&lt;&gt;"부서코드","B ","")&amp;IF(예산판_원본!C4&lt;&gt;"부서명","C ","")&amp;IF(예산판_원본!D4&lt;&gt;"G/L계정","D ","")&amp;IF(예산판_원본!E4&lt;&gt;"계정명","E ","")&amp;IF(예산판_원본!F4&lt;&gt;"분기","F ","")&amp;IF(예산판_원본!G4&lt;&gt;"배정","G ","")&amp;IF(예산판_원본!H4&lt;&gt;"조정","H ","")&amp;IF(예산판_원본!I4&lt;&gt;"실적","I ","")&amp;IF(예산판_원본!J4&lt;&gt;"잔여","J ","")="","일치","불일치 열: "&amp;IF(예산판_원본!A4&lt;&gt;"회계연도","A ","")&amp;IF(예산판_원본!B4&lt;&gt;"부서코드","B ","")&amp;IF(예산판_원본!C4&lt;&gt;"부서명","C ","")&amp;IF(예산판_원본!D4&lt;&gt;"G/L계정","D ","")&amp;IF(예산판_원본!E4&lt;&gt;"계정명","E ","")&amp;IF(예산판_원본!F4&lt;&gt;"분기","F ","")&amp;IF(예산판_원본!G4&lt;&gt;"배정","G ","")&amp;IF(예산판_원본!H4&lt;&gt;"조정","H ","")&amp;IF(예산판_원본!I4&lt;&gt;"실적","I ","")&amp;IF(예산판_원본!J4&lt;&gt;"잔여","J ",""))</f>
        <v/>
      </c>
      <c r="D10" s="5">
        <f>IF(C10="일치","OK","확인필요")</f>
        <v/>
      </c>
      <c r="E10" s="7" t="inlineStr">
        <is>
          <t>4행 머리글을 표준 이름으로</t>
        </is>
      </c>
    </row>
    <row r="11">
      <c r="A11" s="21" t="n">
        <v>5</v>
      </c>
      <c r="B11" s="6" t="inlineStr">
        <is>
          <t>전표 보조수식 범위</t>
        </is>
      </c>
      <c r="C11" s="22">
        <f>COUNTA(전표_원본!A5:A100000)&amp;"행 / 보조 "&amp;COUNTA(전표_원본!O5:O100000)&amp;"행"</f>
        <v/>
      </c>
      <c r="D11" s="5">
        <f>IF(COUNTA(전표_원본!O5:O100000)&gt;=COUNTA(전표_원본!A5:A100000),"OK","확인필요")</f>
        <v/>
      </c>
      <c r="E11" s="7" t="inlineStr">
        <is>
          <t>M~X열을 데이터 마지막 행까지 채우기</t>
        </is>
      </c>
    </row>
    <row r="12">
      <c r="A12" s="21" t="n">
        <v>6</v>
      </c>
      <c r="B12" s="6" t="inlineStr">
        <is>
          <t>TB 보조수식 범위</t>
        </is>
      </c>
      <c r="C12" s="22">
        <f>COUNTA(TB_원본!A5:A20000)&amp;"행 / 보조 "&amp;COUNTA(TB_원본!I5:I20000)&amp;"행"</f>
        <v/>
      </c>
      <c r="D12" s="5">
        <f>IF(COUNTA(TB_원본!I5:I20000)&gt;=COUNTA(TB_원본!A5:A20000),"OK","확인필요")</f>
        <v/>
      </c>
      <c r="E12" s="7" t="inlineStr">
        <is>
          <t>I~K열을 데이터 마지막 행까지 채우기</t>
        </is>
      </c>
    </row>
    <row r="13">
      <c r="A13" s="21" t="n">
        <v>7</v>
      </c>
      <c r="B13" s="6" t="inlineStr">
        <is>
          <t>예산판 보조수식 범위</t>
        </is>
      </c>
      <c r="C13" s="22">
        <f>COUNTA(예산판_원본!A5:A5000)&amp;"행 / 보조 "&amp;COUNTA(예산판_원본!L5:L5000)&amp;"행"</f>
        <v/>
      </c>
      <c r="D13" s="5">
        <f>IF(COUNTA(예산판_원본!L5:L5000)&gt;=COUNTA(예산판_원본!A5:A5000),"OK","확인필요")</f>
        <v/>
      </c>
      <c r="E13" s="7" t="inlineStr">
        <is>
          <t>L~R열을 데이터 마지막 행까지 채우기</t>
        </is>
      </c>
    </row>
    <row r="14">
      <c r="A14" s="21" t="n">
        <v>8</v>
      </c>
      <c r="B14" s="6" t="inlineStr">
        <is>
          <t>기준월 전표 존재</t>
        </is>
      </c>
      <c r="C14" s="22">
        <f>COUNTIF(전표_원본!$M$5:$M$100000,설정!$C$20)&amp;"건"</f>
        <v/>
      </c>
      <c r="D14" s="5">
        <f>IF(COUNTIF(전표_원본!$M$5:$M$100000,설정!$C$20)&gt;0,"OK","확인필요")</f>
        <v/>
      </c>
      <c r="E14" s="7" t="inlineStr">
        <is>
          <t>기준월 전표가 들어 있는지 확인</t>
        </is>
      </c>
    </row>
    <row r="15">
      <c r="A15" s="21" t="n">
        <v>9</v>
      </c>
      <c r="B15" s="6" t="inlineStr">
        <is>
          <t>기준월 TB 존재</t>
        </is>
      </c>
      <c r="C15" s="22">
        <f>COUNTIF(TB_원본!$I$5:$I$20000,설정!$C$20)&amp;"행"</f>
        <v/>
      </c>
      <c r="D15" s="5">
        <f>IF(COUNTIF(TB_원본!$I$5:$I$20000,설정!$C$20)&gt;0,"OK","확인필요")</f>
        <v/>
      </c>
      <c r="E15" s="7" t="inlineStr">
        <is>
          <t>기준월 TB가 들어 있는지 확인</t>
        </is>
      </c>
    </row>
    <row r="16">
      <c r="A16" s="21" t="n">
        <v>10</v>
      </c>
      <c r="B16" s="6" t="inlineStr">
        <is>
          <t>전년 동월 전표 존재</t>
        </is>
      </c>
      <c r="C16" s="22">
        <f>COUNTIF(전표_원본!$M$5:$M$100000,설정!$C$20-12)&amp;"건"</f>
        <v/>
      </c>
      <c r="D16" s="5">
        <f>IF(COUNTIF(전표_원본!$M$5:$M$100000,설정!$C$20-12)&gt;0,"OK","참고")</f>
        <v/>
      </c>
      <c r="E16" s="7" t="inlineStr">
        <is>
          <t>전년동월 비교·이상치 판정에 필요 (최근 24개월 권장)</t>
        </is>
      </c>
    </row>
    <row r="17">
      <c r="A17" s="21" t="n">
        <v>11</v>
      </c>
      <c r="B17" s="6" t="inlineStr">
        <is>
          <t>미매핑 코스트센터</t>
        </is>
      </c>
      <c r="C17" s="22">
        <f>COUNTIF(전표_원본!$N$5:$N$100000,"미매핑")&amp;"건"&amp;IF(COUNTIF(전표_원본!$N$5:$N$100000,"미매핑")&gt;0," (예: "&amp;INDEX(전표_원본!$G$5:$G$100000,MATCH("미매핑",전표_원본!$N$5:$N$100000,0))&amp;")","")</f>
        <v/>
      </c>
      <c r="D17" s="5">
        <f>IF(COUNTIF(전표_원본!$N$5:$N$100000,"미매핑")=0,"OK","확인필요")</f>
        <v/>
      </c>
      <c r="E17" s="7" t="inlineStr">
        <is>
          <t>부서매핑에 코스트센터 추가</t>
        </is>
      </c>
    </row>
    <row r="18">
      <c r="A18" s="21" t="n">
        <v>12</v>
      </c>
      <c r="B18" s="6" t="inlineStr">
        <is>
          <t>미매핑 G/L 계정</t>
        </is>
      </c>
      <c r="C18" s="22">
        <f>COUNTIF(전표_원본!$W$5:$W$100000,"미매핑")&amp;"건"&amp;IF(COUNTIF(전표_원본!$W$5:$W$100000,"미매핑")&gt;0," (예: "&amp;INDEX(전표_원본!$F$5:$F$100000,MATCH("미매핑",전표_원본!$W$5:$W$100000,0))&amp;")","")</f>
        <v/>
      </c>
      <c r="D18" s="5">
        <f>IF(COUNTIF(전표_원본!$W$5:$W$100000,"미매핑")=0,"OK","확인필요")</f>
        <v/>
      </c>
      <c r="E18" s="7" t="inlineStr">
        <is>
          <t>계정매핑에 계정 추가</t>
        </is>
      </c>
    </row>
    <row r="19">
      <c r="A19" s="21" t="n">
        <v>13</v>
      </c>
      <c r="B19" s="6" t="inlineStr">
        <is>
          <t>TB ↔ 전표 당월 대사</t>
        </is>
      </c>
      <c r="C19" s="22">
        <f>"차이 "&amp;TEXT(계정변동!L22,"#,##0.0")</f>
        <v/>
      </c>
      <c r="D19" s="5">
        <f>IF(ABS(계정변동!L22)&lt;0.05,"OK","확인필요")</f>
        <v/>
      </c>
      <c r="E19" s="7" t="inlineStr">
        <is>
          <t>계정변동 시트에서 차이 나는 계정 확인 (전표 추출 범위 누락 등)</t>
        </is>
      </c>
    </row>
    <row r="20">
      <c r="A20" s="21" t="n">
        <v>14</v>
      </c>
      <c r="B20" s="6" t="inlineStr">
        <is>
          <t>예산판 ↔ 전표 당분기 대사</t>
        </is>
      </c>
      <c r="C20" s="22">
        <f>"차이 "&amp;TEXT(계정변동!O22,"#,##0.0")</f>
        <v/>
      </c>
      <c r="D20" s="5">
        <f>IF(ABS(계정변동!O22)&lt;0.05,"OK","확인필요")</f>
        <v/>
      </c>
      <c r="E20" s="7" t="inlineStr">
        <is>
          <t>예산판 추출 시점과 전표 기간 일치 여부 확인</t>
        </is>
      </c>
    </row>
    <row r="21">
      <c r="A21" s="21" t="n">
        <v>15</v>
      </c>
      <c r="B21" s="6" t="inlineStr">
        <is>
          <t>변동분석에 없는 조합 (전표)</t>
        </is>
      </c>
      <c r="C21" s="22">
        <f>COUNTIFS(전표_원본!$V$5:$V$100000,"N",전표_원본!$A$5:$A$100000,설정!$C$6)&amp;"건"</f>
        <v/>
      </c>
      <c r="D21" s="5">
        <f>IF(COUNTIFS(전표_원본!$V$5:$V$100000,"N",전표_원본!$A$5:$A$100000,설정!$C$6)=0,"OK","확인필요")</f>
        <v/>
      </c>
      <c r="E21" s="7" t="inlineStr">
        <is>
          <t>변동분석에 부서코드·G/L 행 추가</t>
        </is>
      </c>
    </row>
    <row r="22">
      <c r="A22" s="21" t="n">
        <v>16</v>
      </c>
      <c r="B22" s="6" t="inlineStr">
        <is>
          <t>변동분석에 없는 조합 (예산판)</t>
        </is>
      </c>
      <c r="C22" s="22">
        <f>COUNTIFS(예산판_원본!$Q$5:$Q$5000,"N",예산판_원본!$M$5:$M$5000,설정!$C$6)&amp;"행"</f>
        <v/>
      </c>
      <c r="D22" s="5">
        <f>IF(COUNTIFS(예산판_원본!$Q$5:$Q$5000,"N",예산판_원본!$M$5:$M$5000,설정!$C$6)=0,"OK","확인필요")</f>
        <v/>
      </c>
      <c r="E22" s="7" t="inlineStr">
        <is>
          <t>변동분석에 부서코드·G/L 행 추가</t>
        </is>
      </c>
    </row>
    <row r="23">
      <c r="A23" s="21" t="n">
        <v>17</v>
      </c>
      <c r="B23" s="6" t="inlineStr">
        <is>
          <t>무예산 집행</t>
        </is>
      </c>
      <c r="C23" s="22">
        <f>COUNTIF(변동분석!$W$7:$W$506,"무예산")&amp;"건"</f>
        <v/>
      </c>
      <c r="D23" s="5">
        <f>IF(COUNTIF(변동분석!$W$7:$W$506,"무예산")=0,"OK","참고")</f>
        <v/>
      </c>
      <c r="E23" s="7" t="inlineStr">
        <is>
          <t>업무상 예외 - 전용·추가 배정 여부 확인</t>
        </is>
      </c>
    </row>
    <row r="24">
      <c r="A24" s="21" t="n">
        <v>18</v>
      </c>
      <c r="B24" s="6" t="inlineStr">
        <is>
          <t>원인분석 선택 항목</t>
        </is>
      </c>
      <c r="C24" s="22">
        <f>원인분석!$E$9&amp;" · 당기 전표 "&amp;COUNTIF(전표_원본!$Q$5:$Q$100000,"당기")&amp;"건"</f>
        <v/>
      </c>
      <c r="D24" s="5">
        <f>IF(COUNTIF(전표_원본!$Q$5:$Q$100000,"당기")&gt;0,"OK","참고")</f>
        <v/>
      </c>
      <c r="E24" s="7" t="inlineStr">
        <is>
          <t>원인분석 C5~C8 선택값 확인</t>
        </is>
      </c>
    </row>
  </sheetData>
  <conditionalFormatting sqref="D7:D24">
    <cfRule type="cellIs" priority="1" operator="equal" dxfId="0">
      <formula>"OK"</formula>
    </cfRule>
    <cfRule type="cellIs" priority="2" operator="equal" dxfId="1">
      <formula>"확인필요"</formula>
    </cfRule>
    <cfRule type="cellIs" priority="3" operator="equal" dxfId="2">
      <formula>"참고"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A1:M41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8" customWidth="1" min="3" max="3"/>
    <col width="10" customWidth="1" min="4" max="4"/>
    <col width="9" customWidth="1" min="5" max="5"/>
    <col width="10" customWidth="1" min="6" max="6"/>
    <col width="20" customWidth="1" min="7" max="7"/>
    <col width="46" customWidth="1" min="8" max="8"/>
    <col width="2" customWidth="1" min="9" max="9"/>
    <col width="2" customWidth="1" min="10" max="10"/>
    <col width="6" customWidth="1" min="11" max="11"/>
    <col width="10" customWidth="1" min="12" max="12"/>
    <col width="10" customWidth="1" min="13" max="13"/>
  </cols>
  <sheetData>
    <row r="1">
      <c r="A1" s="23">
        <f>설정!$C$5&amp;" TRACE 사업비 변동 점검 ("&amp;INT((설정!$C$20-1)/12)&amp;"-"&amp;TEXT(MOD(설정!$C$20-1,12)+1,"00")&amp;")"</f>
        <v/>
      </c>
    </row>
    <row r="2">
      <c r="A2" s="2">
        <f>"단위: "&amp;설정!$C$9&amp;" · 전표·TB·예산판 대사: "&amp;계정변동!$P$22&amp;" · 자가진단: "&amp;자가진단!$B$4</f>
        <v/>
      </c>
    </row>
    <row r="4">
      <c r="A4" s="24" t="inlineStr">
        <is>
          <t>사업비 당월</t>
        </is>
      </c>
      <c r="B4" s="24" t="inlineStr">
        <is>
          <t>전월 대비</t>
        </is>
      </c>
      <c r="C4" s="24" t="inlineStr">
        <is>
          <t>전년동월 대비</t>
        </is>
      </c>
      <c r="D4" s="24" t="inlineStr">
        <is>
          <t>예산 부족 예상</t>
        </is>
      </c>
      <c r="E4" s="24" t="inlineStr">
        <is>
          <t>예산 주의</t>
        </is>
      </c>
      <c r="F4" s="24" t="inlineStr">
        <is>
          <t>무예산 집행</t>
        </is>
      </c>
    </row>
    <row r="5" ht="30" customHeight="1">
      <c r="A5" s="25">
        <f>월별집계!Z6</f>
        <v/>
      </c>
      <c r="B5" s="26">
        <f>IF(월별집계!Y6&lt;=0,0,월별집계!Z6/월별집계!Y6-1)</f>
        <v/>
      </c>
      <c r="C5" s="26">
        <f>IF(월별집계!N6&lt;=0,0,월별집계!Z6/월별집계!N6-1)</f>
        <v/>
      </c>
      <c r="D5" s="27">
        <f>COUNTIF(변동분석!$W$7:$W$506,"부족 예상")</f>
        <v/>
      </c>
      <c r="E5" s="27">
        <f>COUNTIF(변동분석!$W$7:$W$506,"주의")</f>
        <v/>
      </c>
      <c r="F5" s="27">
        <f>COUNTIF(변동분석!$W$7:$W$506,"무예산")</f>
        <v/>
      </c>
    </row>
    <row r="7">
      <c r="A7" s="3" t="inlineStr">
        <is>
          <t>1. 주의 대상 TOP 10</t>
        </is>
      </c>
    </row>
    <row r="8" ht="20" customHeight="1">
      <c r="A8" s="4" t="inlineStr">
        <is>
          <t>순위</t>
        </is>
      </c>
      <c r="B8" s="4" t="inlineStr">
        <is>
          <t>부서</t>
        </is>
      </c>
      <c r="C8" s="4" t="inlineStr">
        <is>
          <t>계정</t>
        </is>
      </c>
      <c r="D8" s="4" t="inlineStr">
        <is>
          <t>당월</t>
        </is>
      </c>
      <c r="E8" s="4" t="inlineStr">
        <is>
          <t>전월대비</t>
        </is>
      </c>
      <c r="F8" s="4" t="inlineStr">
        <is>
          <t>예산</t>
        </is>
      </c>
      <c r="G8" s="4" t="inlineStr">
        <is>
          <t>빠른 신호</t>
        </is>
      </c>
      <c r="H8" s="4" t="inlineStr">
        <is>
          <t>확인된 원인</t>
        </is>
      </c>
    </row>
    <row r="9" ht="28" customHeight="1">
      <c r="A9" s="28">
        <f>주의대상!A6</f>
        <v/>
      </c>
      <c r="B9" s="22">
        <f>주의대상!B6</f>
        <v/>
      </c>
      <c r="C9" s="22">
        <f>주의대상!C6</f>
        <v/>
      </c>
      <c r="D9" s="29">
        <f>주의대상!D6</f>
        <v/>
      </c>
      <c r="E9" s="30">
        <f>주의대상!E6</f>
        <v/>
      </c>
      <c r="F9" s="28">
        <f>주의대상!G6</f>
        <v/>
      </c>
      <c r="G9" s="22">
        <f>주의대상!J6</f>
        <v/>
      </c>
      <c r="H9" s="31">
        <f>주의대상!M6</f>
        <v/>
      </c>
    </row>
    <row r="10" ht="28" customHeight="1">
      <c r="A10" s="28">
        <f>주의대상!A7</f>
        <v/>
      </c>
      <c r="B10" s="22">
        <f>주의대상!B7</f>
        <v/>
      </c>
      <c r="C10" s="22">
        <f>주의대상!C7</f>
        <v/>
      </c>
      <c r="D10" s="29">
        <f>주의대상!D7</f>
        <v/>
      </c>
      <c r="E10" s="30">
        <f>주의대상!E7</f>
        <v/>
      </c>
      <c r="F10" s="28">
        <f>주의대상!G7</f>
        <v/>
      </c>
      <c r="G10" s="22">
        <f>주의대상!J7</f>
        <v/>
      </c>
      <c r="H10" s="31">
        <f>주의대상!M7</f>
        <v/>
      </c>
    </row>
    <row r="11" ht="28" customHeight="1">
      <c r="A11" s="28">
        <f>주의대상!A8</f>
        <v/>
      </c>
      <c r="B11" s="22">
        <f>주의대상!B8</f>
        <v/>
      </c>
      <c r="C11" s="22">
        <f>주의대상!C8</f>
        <v/>
      </c>
      <c r="D11" s="29">
        <f>주의대상!D8</f>
        <v/>
      </c>
      <c r="E11" s="30">
        <f>주의대상!E8</f>
        <v/>
      </c>
      <c r="F11" s="28">
        <f>주의대상!G8</f>
        <v/>
      </c>
      <c r="G11" s="22">
        <f>주의대상!J8</f>
        <v/>
      </c>
      <c r="H11" s="31">
        <f>주의대상!M8</f>
        <v/>
      </c>
    </row>
    <row r="12" ht="28" customHeight="1">
      <c r="A12" s="28">
        <f>주의대상!A9</f>
        <v/>
      </c>
      <c r="B12" s="22">
        <f>주의대상!B9</f>
        <v/>
      </c>
      <c r="C12" s="22">
        <f>주의대상!C9</f>
        <v/>
      </c>
      <c r="D12" s="29">
        <f>주의대상!D9</f>
        <v/>
      </c>
      <c r="E12" s="30">
        <f>주의대상!E9</f>
        <v/>
      </c>
      <c r="F12" s="28">
        <f>주의대상!G9</f>
        <v/>
      </c>
      <c r="G12" s="22">
        <f>주의대상!J9</f>
        <v/>
      </c>
      <c r="H12" s="31">
        <f>주의대상!M9</f>
        <v/>
      </c>
    </row>
    <row r="13" ht="28" customHeight="1">
      <c r="A13" s="28">
        <f>주의대상!A10</f>
        <v/>
      </c>
      <c r="B13" s="22">
        <f>주의대상!B10</f>
        <v/>
      </c>
      <c r="C13" s="22">
        <f>주의대상!C10</f>
        <v/>
      </c>
      <c r="D13" s="29">
        <f>주의대상!D10</f>
        <v/>
      </c>
      <c r="E13" s="30">
        <f>주의대상!E10</f>
        <v/>
      </c>
      <c r="F13" s="28">
        <f>주의대상!G10</f>
        <v/>
      </c>
      <c r="G13" s="22">
        <f>주의대상!J10</f>
        <v/>
      </c>
      <c r="H13" s="31">
        <f>주의대상!M10</f>
        <v/>
      </c>
    </row>
    <row r="14" ht="28" customHeight="1">
      <c r="A14" s="28">
        <f>주의대상!A11</f>
        <v/>
      </c>
      <c r="B14" s="22">
        <f>주의대상!B11</f>
        <v/>
      </c>
      <c r="C14" s="22">
        <f>주의대상!C11</f>
        <v/>
      </c>
      <c r="D14" s="29">
        <f>주의대상!D11</f>
        <v/>
      </c>
      <c r="E14" s="30">
        <f>주의대상!E11</f>
        <v/>
      </c>
      <c r="F14" s="28">
        <f>주의대상!G11</f>
        <v/>
      </c>
      <c r="G14" s="22">
        <f>주의대상!J11</f>
        <v/>
      </c>
      <c r="H14" s="31">
        <f>주의대상!M11</f>
        <v/>
      </c>
    </row>
    <row r="15" ht="28" customHeight="1">
      <c r="A15" s="28">
        <f>주의대상!A12</f>
        <v/>
      </c>
      <c r="B15" s="22">
        <f>주의대상!B12</f>
        <v/>
      </c>
      <c r="C15" s="22">
        <f>주의대상!C12</f>
        <v/>
      </c>
      <c r="D15" s="29">
        <f>주의대상!D12</f>
        <v/>
      </c>
      <c r="E15" s="30">
        <f>주의대상!E12</f>
        <v/>
      </c>
      <c r="F15" s="28">
        <f>주의대상!G12</f>
        <v/>
      </c>
      <c r="G15" s="22">
        <f>주의대상!J12</f>
        <v/>
      </c>
      <c r="H15" s="31">
        <f>주의대상!M12</f>
        <v/>
      </c>
    </row>
    <row r="16" ht="28" customHeight="1">
      <c r="A16" s="28">
        <f>주의대상!A13</f>
        <v/>
      </c>
      <c r="B16" s="22">
        <f>주의대상!B13</f>
        <v/>
      </c>
      <c r="C16" s="22">
        <f>주의대상!C13</f>
        <v/>
      </c>
      <c r="D16" s="29">
        <f>주의대상!D13</f>
        <v/>
      </c>
      <c r="E16" s="30">
        <f>주의대상!E13</f>
        <v/>
      </c>
      <c r="F16" s="28">
        <f>주의대상!G13</f>
        <v/>
      </c>
      <c r="G16" s="22">
        <f>주의대상!J13</f>
        <v/>
      </c>
      <c r="H16" s="31">
        <f>주의대상!M13</f>
        <v/>
      </c>
    </row>
    <row r="17" ht="28" customHeight="1">
      <c r="A17" s="28">
        <f>주의대상!A14</f>
        <v/>
      </c>
      <c r="B17" s="22">
        <f>주의대상!B14</f>
        <v/>
      </c>
      <c r="C17" s="22">
        <f>주의대상!C14</f>
        <v/>
      </c>
      <c r="D17" s="29">
        <f>주의대상!D14</f>
        <v/>
      </c>
      <c r="E17" s="30">
        <f>주의대상!E14</f>
        <v/>
      </c>
      <c r="F17" s="28">
        <f>주의대상!G14</f>
        <v/>
      </c>
      <c r="G17" s="22">
        <f>주의대상!J14</f>
        <v/>
      </c>
      <c r="H17" s="31">
        <f>주의대상!M14</f>
        <v/>
      </c>
    </row>
    <row r="18" ht="28" customHeight="1">
      <c r="A18" s="28">
        <f>주의대상!A15</f>
        <v/>
      </c>
      <c r="B18" s="22">
        <f>주의대상!B15</f>
        <v/>
      </c>
      <c r="C18" s="22">
        <f>주의대상!C15</f>
        <v/>
      </c>
      <c r="D18" s="29">
        <f>주의대상!D15</f>
        <v/>
      </c>
      <c r="E18" s="30">
        <f>주의대상!E15</f>
        <v/>
      </c>
      <c r="F18" s="28">
        <f>주의대상!G15</f>
        <v/>
      </c>
      <c r="G18" s="22">
        <f>주의대상!J15</f>
        <v/>
      </c>
      <c r="H18" s="31">
        <f>주의대상!M15</f>
        <v/>
      </c>
    </row>
    <row r="20">
      <c r="A20" s="3" t="inlineStr">
        <is>
          <t>2. 원인 분석 (원인분석 시트에서 선택한 항목)</t>
        </is>
      </c>
    </row>
    <row r="21" ht="46" customHeight="1">
      <c r="A21" s="32">
        <f>원인분석!A18</f>
        <v/>
      </c>
    </row>
    <row r="22" ht="20" customHeight="1">
      <c r="A22" s="4" t="inlineStr">
        <is>
          <t>순위</t>
        </is>
      </c>
      <c r="B22" s="4" t="inlineStr">
        <is>
          <t>패턴</t>
        </is>
      </c>
      <c r="C22" s="4" t="inlineStr">
        <is>
          <t>근거 강도</t>
        </is>
      </c>
      <c r="D22" s="4" t="inlineStr">
        <is>
          <t>설명</t>
        </is>
      </c>
      <c r="E22" s="33" t="n"/>
      <c r="F22" s="33" t="n"/>
      <c r="G22" s="33" t="n"/>
      <c r="H22" s="34" t="n"/>
    </row>
    <row r="23" ht="30" customHeight="1">
      <c r="A23" s="28">
        <f>원인분석!A21</f>
        <v/>
      </c>
      <c r="B23" s="22">
        <f>원인분석!B21</f>
        <v/>
      </c>
      <c r="C23" s="28">
        <f>원인분석!C21</f>
        <v/>
      </c>
      <c r="D23" s="31">
        <f>원인분석!D21</f>
        <v/>
      </c>
      <c r="E23" s="33" t="n"/>
      <c r="F23" s="33" t="n"/>
      <c r="G23" s="33" t="n"/>
      <c r="H23" s="34" t="n"/>
    </row>
    <row r="24" ht="30" customHeight="1">
      <c r="A24" s="28">
        <f>원인분석!A22</f>
        <v/>
      </c>
      <c r="B24" s="22">
        <f>원인분석!B22</f>
        <v/>
      </c>
      <c r="C24" s="28">
        <f>원인분석!C22</f>
        <v/>
      </c>
      <c r="D24" s="31">
        <f>원인분석!D22</f>
        <v/>
      </c>
      <c r="E24" s="33" t="n"/>
      <c r="F24" s="33" t="n"/>
      <c r="G24" s="33" t="n"/>
      <c r="H24" s="34" t="n"/>
    </row>
    <row r="25" ht="30" customHeight="1">
      <c r="A25" s="28">
        <f>원인분석!A23</f>
        <v/>
      </c>
      <c r="B25" s="22">
        <f>원인분석!B23</f>
        <v/>
      </c>
      <c r="C25" s="28">
        <f>원인분석!C23</f>
        <v/>
      </c>
      <c r="D25" s="31">
        <f>원인분석!D23</f>
        <v/>
      </c>
      <c r="E25" s="33" t="n"/>
      <c r="F25" s="33" t="n"/>
      <c r="G25" s="33" t="n"/>
      <c r="H25" s="34" t="n"/>
    </row>
    <row r="26" ht="30" customHeight="1">
      <c r="A26" s="28">
        <f>원인분석!A24</f>
        <v/>
      </c>
      <c r="B26" s="22">
        <f>원인분석!B24</f>
        <v/>
      </c>
      <c r="C26" s="28">
        <f>원인분석!C24</f>
        <v/>
      </c>
      <c r="D26" s="31">
        <f>원인분석!D24</f>
        <v/>
      </c>
      <c r="E26" s="33" t="n"/>
      <c r="F26" s="33" t="n"/>
      <c r="G26" s="33" t="n"/>
      <c r="H26" s="34" t="n"/>
    </row>
    <row r="28">
      <c r="A28" s="3" t="inlineStr">
        <is>
          <t>3. 월별 사업비 (전사, 당해 vs 전년)</t>
        </is>
      </c>
    </row>
    <row r="29">
      <c r="K29" s="10" t="inlineStr">
        <is>
          <t>월</t>
        </is>
      </c>
      <c r="L29" s="10">
        <f>설정!$C$6&amp;"년"</f>
        <v/>
      </c>
      <c r="M29" s="10">
        <f>설정!$C$6-1&amp;"년"</f>
        <v/>
      </c>
    </row>
    <row r="30">
      <c r="K30" s="21" t="inlineStr">
        <is>
          <t>1월</t>
        </is>
      </c>
      <c r="L30" s="29">
        <f>IF(1&gt;설정!$C$7,0,SUMIFS(전표_원본!$P$5:$P$100000,전표_원본!$M$5:$M$100000,설정!$C$6*12+1))</f>
        <v/>
      </c>
      <c r="M30" s="29">
        <f>SUMIFS(전표_원본!$P$5:$P$100000,전표_원본!$M$5:$M$100000,(설정!$C$6-1)*12+1)</f>
        <v/>
      </c>
    </row>
    <row r="31">
      <c r="K31" s="21" t="inlineStr">
        <is>
          <t>2월</t>
        </is>
      </c>
      <c r="L31" s="29">
        <f>IF(2&gt;설정!$C$7,0,SUMIFS(전표_원본!$P$5:$P$100000,전표_원본!$M$5:$M$100000,설정!$C$6*12+2))</f>
        <v/>
      </c>
      <c r="M31" s="29">
        <f>SUMIFS(전표_원본!$P$5:$P$100000,전표_원본!$M$5:$M$100000,(설정!$C$6-1)*12+2)</f>
        <v/>
      </c>
    </row>
    <row r="32">
      <c r="K32" s="21" t="inlineStr">
        <is>
          <t>3월</t>
        </is>
      </c>
      <c r="L32" s="29">
        <f>IF(3&gt;설정!$C$7,0,SUMIFS(전표_원본!$P$5:$P$100000,전표_원본!$M$5:$M$100000,설정!$C$6*12+3))</f>
        <v/>
      </c>
      <c r="M32" s="29">
        <f>SUMIFS(전표_원본!$P$5:$P$100000,전표_원본!$M$5:$M$100000,(설정!$C$6-1)*12+3)</f>
        <v/>
      </c>
    </row>
    <row r="33">
      <c r="K33" s="21" t="inlineStr">
        <is>
          <t>4월</t>
        </is>
      </c>
      <c r="L33" s="29">
        <f>IF(4&gt;설정!$C$7,0,SUMIFS(전표_원본!$P$5:$P$100000,전표_원본!$M$5:$M$100000,설정!$C$6*12+4))</f>
        <v/>
      </c>
      <c r="M33" s="29">
        <f>SUMIFS(전표_원본!$P$5:$P$100000,전표_원본!$M$5:$M$100000,(설정!$C$6-1)*12+4)</f>
        <v/>
      </c>
    </row>
    <row r="34">
      <c r="K34" s="21" t="inlineStr">
        <is>
          <t>5월</t>
        </is>
      </c>
      <c r="L34" s="29">
        <f>IF(5&gt;설정!$C$7,0,SUMIFS(전표_원본!$P$5:$P$100000,전표_원본!$M$5:$M$100000,설정!$C$6*12+5))</f>
        <v/>
      </c>
      <c r="M34" s="29">
        <f>SUMIFS(전표_원본!$P$5:$P$100000,전표_원본!$M$5:$M$100000,(설정!$C$6-1)*12+5)</f>
        <v/>
      </c>
    </row>
    <row r="35">
      <c r="K35" s="21" t="inlineStr">
        <is>
          <t>6월</t>
        </is>
      </c>
      <c r="L35" s="29">
        <f>IF(6&gt;설정!$C$7,0,SUMIFS(전표_원본!$P$5:$P$100000,전표_원본!$M$5:$M$100000,설정!$C$6*12+6))</f>
        <v/>
      </c>
      <c r="M35" s="29">
        <f>SUMIFS(전표_원본!$P$5:$P$100000,전표_원본!$M$5:$M$100000,(설정!$C$6-1)*12+6)</f>
        <v/>
      </c>
    </row>
    <row r="36">
      <c r="K36" s="21" t="inlineStr">
        <is>
          <t>7월</t>
        </is>
      </c>
      <c r="L36" s="29">
        <f>IF(7&gt;설정!$C$7,0,SUMIFS(전표_원본!$P$5:$P$100000,전표_원본!$M$5:$M$100000,설정!$C$6*12+7))</f>
        <v/>
      </c>
      <c r="M36" s="29">
        <f>SUMIFS(전표_원본!$P$5:$P$100000,전표_원본!$M$5:$M$100000,(설정!$C$6-1)*12+7)</f>
        <v/>
      </c>
    </row>
    <row r="37">
      <c r="K37" s="21" t="inlineStr">
        <is>
          <t>8월</t>
        </is>
      </c>
      <c r="L37" s="29">
        <f>IF(8&gt;설정!$C$7,0,SUMIFS(전표_원본!$P$5:$P$100000,전표_원본!$M$5:$M$100000,설정!$C$6*12+8))</f>
        <v/>
      </c>
      <c r="M37" s="29">
        <f>SUMIFS(전표_원본!$P$5:$P$100000,전표_원본!$M$5:$M$100000,(설정!$C$6-1)*12+8)</f>
        <v/>
      </c>
    </row>
    <row r="38">
      <c r="K38" s="21" t="inlineStr">
        <is>
          <t>9월</t>
        </is>
      </c>
      <c r="L38" s="29">
        <f>IF(9&gt;설정!$C$7,0,SUMIFS(전표_원본!$P$5:$P$100000,전표_원본!$M$5:$M$100000,설정!$C$6*12+9))</f>
        <v/>
      </c>
      <c r="M38" s="29">
        <f>SUMIFS(전표_원본!$P$5:$P$100000,전표_원본!$M$5:$M$100000,(설정!$C$6-1)*12+9)</f>
        <v/>
      </c>
    </row>
    <row r="39">
      <c r="K39" s="21" t="inlineStr">
        <is>
          <t>10월</t>
        </is>
      </c>
      <c r="L39" s="29">
        <f>IF(10&gt;설정!$C$7,0,SUMIFS(전표_원본!$P$5:$P$100000,전표_원본!$M$5:$M$100000,설정!$C$6*12+10))</f>
        <v/>
      </c>
      <c r="M39" s="29">
        <f>SUMIFS(전표_원본!$P$5:$P$100000,전표_원본!$M$5:$M$100000,(설정!$C$6-1)*12+10)</f>
        <v/>
      </c>
    </row>
    <row r="40">
      <c r="K40" s="21" t="inlineStr">
        <is>
          <t>11월</t>
        </is>
      </c>
      <c r="L40" s="29">
        <f>IF(11&gt;설정!$C$7,0,SUMIFS(전표_원본!$P$5:$P$100000,전표_원본!$M$5:$M$100000,설정!$C$6*12+11))</f>
        <v/>
      </c>
      <c r="M40" s="29">
        <f>SUMIFS(전표_원본!$P$5:$P$100000,전표_원본!$M$5:$M$100000,(설정!$C$6-1)*12+11)</f>
        <v/>
      </c>
    </row>
    <row r="41">
      <c r="K41" s="21" t="inlineStr">
        <is>
          <t>12월</t>
        </is>
      </c>
      <c r="L41" s="29">
        <f>IF(12&gt;설정!$C$7,0,SUMIFS(전표_원본!$P$5:$P$100000,전표_원본!$M$5:$M$100000,설정!$C$6*12+12))</f>
        <v/>
      </c>
      <c r="M41" s="29">
        <f>SUMIFS(전표_원본!$P$5:$P$100000,전표_원본!$M$5:$M$100000,(설정!$C$6-1)*12+12)</f>
        <v/>
      </c>
    </row>
  </sheetData>
  <mergeCells count="6">
    <mergeCell ref="A21:H21"/>
    <mergeCell ref="D25:H25"/>
    <mergeCell ref="D24:H24"/>
    <mergeCell ref="D23:H23"/>
    <mergeCell ref="D22:H22"/>
    <mergeCell ref="D26:H26"/>
  </mergeCells>
  <conditionalFormatting sqref="F9:F18">
    <cfRule type="cellIs" priority="1" operator="equal" dxfId="3">
      <formula>"부족 예상"</formula>
    </cfRule>
    <cfRule type="cellIs" priority="2" operator="equal" dxfId="4">
      <formula>"주의"</formula>
    </cfRule>
    <cfRule type="cellIs" priority="3" operator="equal" dxfId="5">
      <formula>"무예산"</formula>
    </cfRule>
  </conditionalFormatting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C00000"/>
    <outlinePr summaryBelow="1" summaryRight="1"/>
    <pageSetUpPr/>
  </sheetPr>
  <dimension ref="A1:N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8" customWidth="1" min="3" max="3"/>
    <col width="9" customWidth="1" min="4" max="4"/>
    <col width="8" customWidth="1" min="5" max="5"/>
    <col width="9" customWidth="1" min="6" max="6"/>
    <col width="10" customWidth="1" min="7" max="7"/>
    <col width="9" customWidth="1" min="8" max="8"/>
    <col width="8" customWidth="1" min="9" max="9"/>
    <col width="22" customWidth="1" min="10" max="10"/>
    <col width="6" customWidth="1" min="11" max="11"/>
    <col hidden="1" width="4" customWidth="1" min="12" max="12"/>
    <col width="50" customWidth="1" min="13" max="13"/>
    <col width="5" customWidth="1" min="14" max="14"/>
  </cols>
  <sheetData>
    <row r="1">
      <c r="A1" s="1" t="inlineStr">
        <is>
          <t>TRACE · 주의 대상 TOP 10</t>
        </is>
      </c>
    </row>
    <row r="2">
      <c r="A2" s="2" t="inlineStr">
        <is>
          <t>점수 = 증가액(30) + 증가율(20) + 이상치(25) + 예산(25), 작은 금액은 30%로 낮춤 · 원인은 원인분석 시트 C5에 순위 입력</t>
        </is>
      </c>
    </row>
    <row r="3">
      <c r="A3" s="35">
        <f>"기준: "&amp;INT((설정!$C$20-1)/12)&amp;"-"&amp;TEXT(MOD(설정!$C$20-1,12)+1,"00")&amp;" · 단위: "&amp;설정!$C$9&amp;" · 예산 부족 예상 "&amp;COUNTIF(변동분석!$W$7:$W$506,"부족 예상")&amp;"건 · 주의 "&amp;COUNTIF(변동분석!$W$7:$W$506,"주의")&amp;"건 · 무예산 "&amp;COUNTIF(변동분석!$W$7:$W$506,"무예산")&amp;"건"</f>
        <v/>
      </c>
    </row>
    <row r="5" ht="32" customHeight="1">
      <c r="A5" s="4" t="inlineStr">
        <is>
          <t>순위</t>
        </is>
      </c>
      <c r="B5" s="4" t="inlineStr">
        <is>
          <t>부서</t>
        </is>
      </c>
      <c r="C5" s="4" t="inlineStr">
        <is>
          <t>계정</t>
        </is>
      </c>
      <c r="D5" s="4" t="inlineStr">
        <is>
          <t>당월</t>
        </is>
      </c>
      <c r="E5" s="4" t="inlineStr">
        <is>
          <t>전월
대비</t>
        </is>
      </c>
      <c r="F5" s="4" t="inlineStr">
        <is>
          <t>전년동월
대비</t>
        </is>
      </c>
      <c r="G5" s="4" t="inlineStr">
        <is>
          <t>예산판정</t>
        </is>
      </c>
      <c r="H5" s="4" t="inlineStr">
        <is>
          <t>부족
예상액</t>
        </is>
      </c>
      <c r="I5" s="4" t="inlineStr">
        <is>
          <t>소진
예상월</t>
        </is>
      </c>
      <c r="J5" s="4" t="inlineStr">
        <is>
          <t>빠른 신호</t>
        </is>
      </c>
      <c r="K5" s="4" t="inlineStr">
        <is>
          <t>점수</t>
        </is>
      </c>
      <c r="L5" s="4" t="inlineStr">
        <is>
          <t>키</t>
        </is>
      </c>
      <c r="M5" s="4" t="inlineStr">
        <is>
          <t>확인된 원인 (코멘트)</t>
        </is>
      </c>
      <c r="N5" s="36" t="inlineStr">
        <is>
          <t>행</t>
        </is>
      </c>
    </row>
    <row r="6" ht="30" customHeight="1">
      <c r="A6" s="5" t="n">
        <v>1</v>
      </c>
      <c r="B6" s="22">
        <f>IF($N6="","",INDEX(변동분석!$B$7:$B$506,$N6))</f>
        <v/>
      </c>
      <c r="C6" s="22">
        <f>IF($N6="","",INDEX(변동분석!$D$7:$D$506,$N6))</f>
        <v/>
      </c>
      <c r="D6" s="29">
        <f>IF($N6="","",INDEX(변동분석!$F$7:$F$506,$N6))</f>
        <v/>
      </c>
      <c r="E6" s="30">
        <f>IF($N6="","",INDEX(변동분석!$H$7:$H$506,$N6))</f>
        <v/>
      </c>
      <c r="F6" s="30">
        <f>IF($N6="","",INDEX(변동분석!$J$7:$J$506,$N6))</f>
        <v/>
      </c>
      <c r="G6" s="28">
        <f>IF($N6="","",INDEX(변동분석!$W$7:$W$506,$N6))</f>
        <v/>
      </c>
      <c r="H6" s="29">
        <f>IF($N6="","",INDEX(변동분석!$X$7:$X$506,$N6))</f>
        <v/>
      </c>
      <c r="I6" s="28">
        <f>IF($N6="","",INDEX(변동분석!$Y$7:$Y$506,$N6))</f>
        <v/>
      </c>
      <c r="J6" s="22">
        <f>IF($N6="","",INDEX(변동분석!$Z$7:$Z$506,$N6))</f>
        <v/>
      </c>
      <c r="K6" s="37">
        <f>IF($N6="","",INDEX(변동분석!$AA$7:$AA$506,$N6))</f>
        <v/>
      </c>
      <c r="L6" s="22">
        <f>IF($N6="","",INDEX(변동분석!$E$7:$E$506,$N6))</f>
        <v/>
      </c>
      <c r="M6" s="31">
        <f>IF($L6="","",IFERROR(INDEX(코멘트!$F$5:$F$2004,MATCH(설정!$C$6&amp;"|"&amp;설정!$C$7&amp;"|"&amp;$L6,코멘트!$I$5:$I$2004,0)),"(미확인)"))</f>
        <v/>
      </c>
      <c r="N6" s="7">
        <f>IFERROR(MATCH(LARGE(변동분석!$AB$7:$AB$506,A6),변동분석!$AB$7:$AB$506,0),"")</f>
        <v/>
      </c>
    </row>
    <row r="7" ht="30" customHeight="1">
      <c r="A7" s="5" t="n">
        <v>2</v>
      </c>
      <c r="B7" s="22">
        <f>IF($N7="","",INDEX(변동분석!$B$7:$B$506,$N7))</f>
        <v/>
      </c>
      <c r="C7" s="22">
        <f>IF($N7="","",INDEX(변동분석!$D$7:$D$506,$N7))</f>
        <v/>
      </c>
      <c r="D7" s="29">
        <f>IF($N7="","",INDEX(변동분석!$F$7:$F$506,$N7))</f>
        <v/>
      </c>
      <c r="E7" s="30">
        <f>IF($N7="","",INDEX(변동분석!$H$7:$H$506,$N7))</f>
        <v/>
      </c>
      <c r="F7" s="30">
        <f>IF($N7="","",INDEX(변동분석!$J$7:$J$506,$N7))</f>
        <v/>
      </c>
      <c r="G7" s="28">
        <f>IF($N7="","",INDEX(변동분석!$W$7:$W$506,$N7))</f>
        <v/>
      </c>
      <c r="H7" s="29">
        <f>IF($N7="","",INDEX(변동분석!$X$7:$X$506,$N7))</f>
        <v/>
      </c>
      <c r="I7" s="28">
        <f>IF($N7="","",INDEX(변동분석!$Y$7:$Y$506,$N7))</f>
        <v/>
      </c>
      <c r="J7" s="22">
        <f>IF($N7="","",INDEX(변동분석!$Z$7:$Z$506,$N7))</f>
        <v/>
      </c>
      <c r="K7" s="37">
        <f>IF($N7="","",INDEX(변동분석!$AA$7:$AA$506,$N7))</f>
        <v/>
      </c>
      <c r="L7" s="22">
        <f>IF($N7="","",INDEX(변동분석!$E$7:$E$506,$N7))</f>
        <v/>
      </c>
      <c r="M7" s="31">
        <f>IF($L7="","",IFERROR(INDEX(코멘트!$F$5:$F$2004,MATCH(설정!$C$6&amp;"|"&amp;설정!$C$7&amp;"|"&amp;$L7,코멘트!$I$5:$I$2004,0)),"(미확인)"))</f>
        <v/>
      </c>
      <c r="N7" s="7">
        <f>IFERROR(MATCH(LARGE(변동분석!$AB$7:$AB$506,A7),변동분석!$AB$7:$AB$506,0),"")</f>
        <v/>
      </c>
    </row>
    <row r="8" ht="30" customHeight="1">
      <c r="A8" s="5" t="n">
        <v>3</v>
      </c>
      <c r="B8" s="22">
        <f>IF($N8="","",INDEX(변동분석!$B$7:$B$506,$N8))</f>
        <v/>
      </c>
      <c r="C8" s="22">
        <f>IF($N8="","",INDEX(변동분석!$D$7:$D$506,$N8))</f>
        <v/>
      </c>
      <c r="D8" s="29">
        <f>IF($N8="","",INDEX(변동분석!$F$7:$F$506,$N8))</f>
        <v/>
      </c>
      <c r="E8" s="30">
        <f>IF($N8="","",INDEX(변동분석!$H$7:$H$506,$N8))</f>
        <v/>
      </c>
      <c r="F8" s="30">
        <f>IF($N8="","",INDEX(변동분석!$J$7:$J$506,$N8))</f>
        <v/>
      </c>
      <c r="G8" s="28">
        <f>IF($N8="","",INDEX(변동분석!$W$7:$W$506,$N8))</f>
        <v/>
      </c>
      <c r="H8" s="29">
        <f>IF($N8="","",INDEX(변동분석!$X$7:$X$506,$N8))</f>
        <v/>
      </c>
      <c r="I8" s="28">
        <f>IF($N8="","",INDEX(변동분석!$Y$7:$Y$506,$N8))</f>
        <v/>
      </c>
      <c r="J8" s="22">
        <f>IF($N8="","",INDEX(변동분석!$Z$7:$Z$506,$N8))</f>
        <v/>
      </c>
      <c r="K8" s="37">
        <f>IF($N8="","",INDEX(변동분석!$AA$7:$AA$506,$N8))</f>
        <v/>
      </c>
      <c r="L8" s="22">
        <f>IF($N8="","",INDEX(변동분석!$E$7:$E$506,$N8))</f>
        <v/>
      </c>
      <c r="M8" s="31">
        <f>IF($L8="","",IFERROR(INDEX(코멘트!$F$5:$F$2004,MATCH(설정!$C$6&amp;"|"&amp;설정!$C$7&amp;"|"&amp;$L8,코멘트!$I$5:$I$2004,0)),"(미확인)"))</f>
        <v/>
      </c>
      <c r="N8" s="7">
        <f>IFERROR(MATCH(LARGE(변동분석!$AB$7:$AB$506,A8),변동분석!$AB$7:$AB$506,0),"")</f>
        <v/>
      </c>
    </row>
    <row r="9" ht="30" customHeight="1">
      <c r="A9" s="5" t="n">
        <v>4</v>
      </c>
      <c r="B9" s="22">
        <f>IF($N9="","",INDEX(변동분석!$B$7:$B$506,$N9))</f>
        <v/>
      </c>
      <c r="C9" s="22">
        <f>IF($N9="","",INDEX(변동분석!$D$7:$D$506,$N9))</f>
        <v/>
      </c>
      <c r="D9" s="29">
        <f>IF($N9="","",INDEX(변동분석!$F$7:$F$506,$N9))</f>
        <v/>
      </c>
      <c r="E9" s="30">
        <f>IF($N9="","",INDEX(변동분석!$H$7:$H$506,$N9))</f>
        <v/>
      </c>
      <c r="F9" s="30">
        <f>IF($N9="","",INDEX(변동분석!$J$7:$J$506,$N9))</f>
        <v/>
      </c>
      <c r="G9" s="28">
        <f>IF($N9="","",INDEX(변동분석!$W$7:$W$506,$N9))</f>
        <v/>
      </c>
      <c r="H9" s="29">
        <f>IF($N9="","",INDEX(변동분석!$X$7:$X$506,$N9))</f>
        <v/>
      </c>
      <c r="I9" s="28">
        <f>IF($N9="","",INDEX(변동분석!$Y$7:$Y$506,$N9))</f>
        <v/>
      </c>
      <c r="J9" s="22">
        <f>IF($N9="","",INDEX(변동분석!$Z$7:$Z$506,$N9))</f>
        <v/>
      </c>
      <c r="K9" s="37">
        <f>IF($N9="","",INDEX(변동분석!$AA$7:$AA$506,$N9))</f>
        <v/>
      </c>
      <c r="L9" s="22">
        <f>IF($N9="","",INDEX(변동분석!$E$7:$E$506,$N9))</f>
        <v/>
      </c>
      <c r="M9" s="31">
        <f>IF($L9="","",IFERROR(INDEX(코멘트!$F$5:$F$2004,MATCH(설정!$C$6&amp;"|"&amp;설정!$C$7&amp;"|"&amp;$L9,코멘트!$I$5:$I$2004,0)),"(미확인)"))</f>
        <v/>
      </c>
      <c r="N9" s="7">
        <f>IFERROR(MATCH(LARGE(변동분석!$AB$7:$AB$506,A9),변동분석!$AB$7:$AB$506,0),"")</f>
        <v/>
      </c>
    </row>
    <row r="10" ht="30" customHeight="1">
      <c r="A10" s="5" t="n">
        <v>5</v>
      </c>
      <c r="B10" s="22">
        <f>IF($N10="","",INDEX(변동분석!$B$7:$B$506,$N10))</f>
        <v/>
      </c>
      <c r="C10" s="22">
        <f>IF($N10="","",INDEX(변동분석!$D$7:$D$506,$N10))</f>
        <v/>
      </c>
      <c r="D10" s="29">
        <f>IF($N10="","",INDEX(변동분석!$F$7:$F$506,$N10))</f>
        <v/>
      </c>
      <c r="E10" s="30">
        <f>IF($N10="","",INDEX(변동분석!$H$7:$H$506,$N10))</f>
        <v/>
      </c>
      <c r="F10" s="30">
        <f>IF($N10="","",INDEX(변동분석!$J$7:$J$506,$N10))</f>
        <v/>
      </c>
      <c r="G10" s="28">
        <f>IF($N10="","",INDEX(변동분석!$W$7:$W$506,$N10))</f>
        <v/>
      </c>
      <c r="H10" s="29">
        <f>IF($N10="","",INDEX(변동분석!$X$7:$X$506,$N10))</f>
        <v/>
      </c>
      <c r="I10" s="28">
        <f>IF($N10="","",INDEX(변동분석!$Y$7:$Y$506,$N10))</f>
        <v/>
      </c>
      <c r="J10" s="22">
        <f>IF($N10="","",INDEX(변동분석!$Z$7:$Z$506,$N10))</f>
        <v/>
      </c>
      <c r="K10" s="37">
        <f>IF($N10="","",INDEX(변동분석!$AA$7:$AA$506,$N10))</f>
        <v/>
      </c>
      <c r="L10" s="22">
        <f>IF($N10="","",INDEX(변동분석!$E$7:$E$506,$N10))</f>
        <v/>
      </c>
      <c r="M10" s="31">
        <f>IF($L10="","",IFERROR(INDEX(코멘트!$F$5:$F$2004,MATCH(설정!$C$6&amp;"|"&amp;설정!$C$7&amp;"|"&amp;$L10,코멘트!$I$5:$I$2004,0)),"(미확인)"))</f>
        <v/>
      </c>
      <c r="N10" s="7">
        <f>IFERROR(MATCH(LARGE(변동분석!$AB$7:$AB$506,A10),변동분석!$AB$7:$AB$506,0),"")</f>
        <v/>
      </c>
    </row>
    <row r="11" ht="30" customHeight="1">
      <c r="A11" s="5" t="n">
        <v>6</v>
      </c>
      <c r="B11" s="22">
        <f>IF($N11="","",INDEX(변동분석!$B$7:$B$506,$N11))</f>
        <v/>
      </c>
      <c r="C11" s="22">
        <f>IF($N11="","",INDEX(변동분석!$D$7:$D$506,$N11))</f>
        <v/>
      </c>
      <c r="D11" s="29">
        <f>IF($N11="","",INDEX(변동분석!$F$7:$F$506,$N11))</f>
        <v/>
      </c>
      <c r="E11" s="30">
        <f>IF($N11="","",INDEX(변동분석!$H$7:$H$506,$N11))</f>
        <v/>
      </c>
      <c r="F11" s="30">
        <f>IF($N11="","",INDEX(변동분석!$J$7:$J$506,$N11))</f>
        <v/>
      </c>
      <c r="G11" s="28">
        <f>IF($N11="","",INDEX(변동분석!$W$7:$W$506,$N11))</f>
        <v/>
      </c>
      <c r="H11" s="29">
        <f>IF($N11="","",INDEX(변동분석!$X$7:$X$506,$N11))</f>
        <v/>
      </c>
      <c r="I11" s="28">
        <f>IF($N11="","",INDEX(변동분석!$Y$7:$Y$506,$N11))</f>
        <v/>
      </c>
      <c r="J11" s="22">
        <f>IF($N11="","",INDEX(변동분석!$Z$7:$Z$506,$N11))</f>
        <v/>
      </c>
      <c r="K11" s="37">
        <f>IF($N11="","",INDEX(변동분석!$AA$7:$AA$506,$N11))</f>
        <v/>
      </c>
      <c r="L11" s="22">
        <f>IF($N11="","",INDEX(변동분석!$E$7:$E$506,$N11))</f>
        <v/>
      </c>
      <c r="M11" s="31">
        <f>IF($L11="","",IFERROR(INDEX(코멘트!$F$5:$F$2004,MATCH(설정!$C$6&amp;"|"&amp;설정!$C$7&amp;"|"&amp;$L11,코멘트!$I$5:$I$2004,0)),"(미확인)"))</f>
        <v/>
      </c>
      <c r="N11" s="7">
        <f>IFERROR(MATCH(LARGE(변동분석!$AB$7:$AB$506,A11),변동분석!$AB$7:$AB$506,0),"")</f>
        <v/>
      </c>
    </row>
    <row r="12" ht="30" customHeight="1">
      <c r="A12" s="5" t="n">
        <v>7</v>
      </c>
      <c r="B12" s="22">
        <f>IF($N12="","",INDEX(변동분석!$B$7:$B$506,$N12))</f>
        <v/>
      </c>
      <c r="C12" s="22">
        <f>IF($N12="","",INDEX(변동분석!$D$7:$D$506,$N12))</f>
        <v/>
      </c>
      <c r="D12" s="29">
        <f>IF($N12="","",INDEX(변동분석!$F$7:$F$506,$N12))</f>
        <v/>
      </c>
      <c r="E12" s="30">
        <f>IF($N12="","",INDEX(변동분석!$H$7:$H$506,$N12))</f>
        <v/>
      </c>
      <c r="F12" s="30">
        <f>IF($N12="","",INDEX(변동분석!$J$7:$J$506,$N12))</f>
        <v/>
      </c>
      <c r="G12" s="28">
        <f>IF($N12="","",INDEX(변동분석!$W$7:$W$506,$N12))</f>
        <v/>
      </c>
      <c r="H12" s="29">
        <f>IF($N12="","",INDEX(변동분석!$X$7:$X$506,$N12))</f>
        <v/>
      </c>
      <c r="I12" s="28">
        <f>IF($N12="","",INDEX(변동분석!$Y$7:$Y$506,$N12))</f>
        <v/>
      </c>
      <c r="J12" s="22">
        <f>IF($N12="","",INDEX(변동분석!$Z$7:$Z$506,$N12))</f>
        <v/>
      </c>
      <c r="K12" s="37">
        <f>IF($N12="","",INDEX(변동분석!$AA$7:$AA$506,$N12))</f>
        <v/>
      </c>
      <c r="L12" s="22">
        <f>IF($N12="","",INDEX(변동분석!$E$7:$E$506,$N12))</f>
        <v/>
      </c>
      <c r="M12" s="31">
        <f>IF($L12="","",IFERROR(INDEX(코멘트!$F$5:$F$2004,MATCH(설정!$C$6&amp;"|"&amp;설정!$C$7&amp;"|"&amp;$L12,코멘트!$I$5:$I$2004,0)),"(미확인)"))</f>
        <v/>
      </c>
      <c r="N12" s="7">
        <f>IFERROR(MATCH(LARGE(변동분석!$AB$7:$AB$506,A12),변동분석!$AB$7:$AB$506,0),"")</f>
        <v/>
      </c>
    </row>
    <row r="13" ht="30" customHeight="1">
      <c r="A13" s="5" t="n">
        <v>8</v>
      </c>
      <c r="B13" s="22">
        <f>IF($N13="","",INDEX(변동분석!$B$7:$B$506,$N13))</f>
        <v/>
      </c>
      <c r="C13" s="22">
        <f>IF($N13="","",INDEX(변동분석!$D$7:$D$506,$N13))</f>
        <v/>
      </c>
      <c r="D13" s="29">
        <f>IF($N13="","",INDEX(변동분석!$F$7:$F$506,$N13))</f>
        <v/>
      </c>
      <c r="E13" s="30">
        <f>IF($N13="","",INDEX(변동분석!$H$7:$H$506,$N13))</f>
        <v/>
      </c>
      <c r="F13" s="30">
        <f>IF($N13="","",INDEX(변동분석!$J$7:$J$506,$N13))</f>
        <v/>
      </c>
      <c r="G13" s="28">
        <f>IF($N13="","",INDEX(변동분석!$W$7:$W$506,$N13))</f>
        <v/>
      </c>
      <c r="H13" s="29">
        <f>IF($N13="","",INDEX(변동분석!$X$7:$X$506,$N13))</f>
        <v/>
      </c>
      <c r="I13" s="28">
        <f>IF($N13="","",INDEX(변동분석!$Y$7:$Y$506,$N13))</f>
        <v/>
      </c>
      <c r="J13" s="22">
        <f>IF($N13="","",INDEX(변동분석!$Z$7:$Z$506,$N13))</f>
        <v/>
      </c>
      <c r="K13" s="37">
        <f>IF($N13="","",INDEX(변동분석!$AA$7:$AA$506,$N13))</f>
        <v/>
      </c>
      <c r="L13" s="22">
        <f>IF($N13="","",INDEX(변동분석!$E$7:$E$506,$N13))</f>
        <v/>
      </c>
      <c r="M13" s="31">
        <f>IF($L13="","",IFERROR(INDEX(코멘트!$F$5:$F$2004,MATCH(설정!$C$6&amp;"|"&amp;설정!$C$7&amp;"|"&amp;$L13,코멘트!$I$5:$I$2004,0)),"(미확인)"))</f>
        <v/>
      </c>
      <c r="N13" s="7">
        <f>IFERROR(MATCH(LARGE(변동분석!$AB$7:$AB$506,A13),변동분석!$AB$7:$AB$506,0),"")</f>
        <v/>
      </c>
    </row>
    <row r="14" ht="30" customHeight="1">
      <c r="A14" s="5" t="n">
        <v>9</v>
      </c>
      <c r="B14" s="22">
        <f>IF($N14="","",INDEX(변동분석!$B$7:$B$506,$N14))</f>
        <v/>
      </c>
      <c r="C14" s="22">
        <f>IF($N14="","",INDEX(변동분석!$D$7:$D$506,$N14))</f>
        <v/>
      </c>
      <c r="D14" s="29">
        <f>IF($N14="","",INDEX(변동분석!$F$7:$F$506,$N14))</f>
        <v/>
      </c>
      <c r="E14" s="30">
        <f>IF($N14="","",INDEX(변동분석!$H$7:$H$506,$N14))</f>
        <v/>
      </c>
      <c r="F14" s="30">
        <f>IF($N14="","",INDEX(변동분석!$J$7:$J$506,$N14))</f>
        <v/>
      </c>
      <c r="G14" s="28">
        <f>IF($N14="","",INDEX(변동분석!$W$7:$W$506,$N14))</f>
        <v/>
      </c>
      <c r="H14" s="29">
        <f>IF($N14="","",INDEX(변동분석!$X$7:$X$506,$N14))</f>
        <v/>
      </c>
      <c r="I14" s="28">
        <f>IF($N14="","",INDEX(변동분석!$Y$7:$Y$506,$N14))</f>
        <v/>
      </c>
      <c r="J14" s="22">
        <f>IF($N14="","",INDEX(변동분석!$Z$7:$Z$506,$N14))</f>
        <v/>
      </c>
      <c r="K14" s="37">
        <f>IF($N14="","",INDEX(변동분석!$AA$7:$AA$506,$N14))</f>
        <v/>
      </c>
      <c r="L14" s="22">
        <f>IF($N14="","",INDEX(변동분석!$E$7:$E$506,$N14))</f>
        <v/>
      </c>
      <c r="M14" s="31">
        <f>IF($L14="","",IFERROR(INDEX(코멘트!$F$5:$F$2004,MATCH(설정!$C$6&amp;"|"&amp;설정!$C$7&amp;"|"&amp;$L14,코멘트!$I$5:$I$2004,0)),"(미확인)"))</f>
        <v/>
      </c>
      <c r="N14" s="7">
        <f>IFERROR(MATCH(LARGE(변동분석!$AB$7:$AB$506,A14),변동분석!$AB$7:$AB$506,0),"")</f>
        <v/>
      </c>
    </row>
    <row r="15" ht="30" customHeight="1">
      <c r="A15" s="5" t="n">
        <v>10</v>
      </c>
      <c r="B15" s="22">
        <f>IF($N15="","",INDEX(변동분석!$B$7:$B$506,$N15))</f>
        <v/>
      </c>
      <c r="C15" s="22">
        <f>IF($N15="","",INDEX(변동분석!$D$7:$D$506,$N15))</f>
        <v/>
      </c>
      <c r="D15" s="29">
        <f>IF($N15="","",INDEX(변동분석!$F$7:$F$506,$N15))</f>
        <v/>
      </c>
      <c r="E15" s="30">
        <f>IF($N15="","",INDEX(변동분석!$H$7:$H$506,$N15))</f>
        <v/>
      </c>
      <c r="F15" s="30">
        <f>IF($N15="","",INDEX(변동분석!$J$7:$J$506,$N15))</f>
        <v/>
      </c>
      <c r="G15" s="28">
        <f>IF($N15="","",INDEX(변동분석!$W$7:$W$506,$N15))</f>
        <v/>
      </c>
      <c r="H15" s="29">
        <f>IF($N15="","",INDEX(변동분석!$X$7:$X$506,$N15))</f>
        <v/>
      </c>
      <c r="I15" s="28">
        <f>IF($N15="","",INDEX(변동분석!$Y$7:$Y$506,$N15))</f>
        <v/>
      </c>
      <c r="J15" s="22">
        <f>IF($N15="","",INDEX(변동분석!$Z$7:$Z$506,$N15))</f>
        <v/>
      </c>
      <c r="K15" s="37">
        <f>IF($N15="","",INDEX(변동분석!$AA$7:$AA$506,$N15))</f>
        <v/>
      </c>
      <c r="L15" s="22">
        <f>IF($N15="","",INDEX(변동분석!$E$7:$E$506,$N15))</f>
        <v/>
      </c>
      <c r="M15" s="31">
        <f>IF($L15="","",IFERROR(INDEX(코멘트!$F$5:$F$2004,MATCH(설정!$C$6&amp;"|"&amp;설정!$C$7&amp;"|"&amp;$L15,코멘트!$I$5:$I$2004,0)),"(미확인)"))</f>
        <v/>
      </c>
      <c r="N15" s="7">
        <f>IFERROR(MATCH(LARGE(변동분석!$AB$7:$AB$506,A15),변동분석!$AB$7:$AB$506,0),"")</f>
        <v/>
      </c>
    </row>
  </sheetData>
  <conditionalFormatting sqref="G6:G15">
    <cfRule type="cellIs" priority="1" operator="equal" dxfId="3">
      <formula>"부족 예상"</formula>
    </cfRule>
    <cfRule type="cellIs" priority="2" operator="equal" dxfId="4">
      <formula>"주의"</formula>
    </cfRule>
    <cfRule type="cellIs" priority="3" operator="equal" dxfId="5">
      <formula>"무예산"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00000"/>
    <outlinePr summaryBelow="1" summaryRight="1"/>
    <pageSetUpPr/>
  </sheetPr>
  <dimension ref="A1:Z73"/>
  <sheetViews>
    <sheetView showGridLines="0"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2" customWidth="1" min="3" max="3"/>
    <col width="22" customWidth="1" min="4" max="4"/>
    <col width="34" customWidth="1" min="5" max="5"/>
    <col width="11" customWidth="1" min="6" max="6"/>
    <col width="10" customWidth="1" min="7" max="7"/>
    <col width="11" customWidth="1" min="8" max="8"/>
    <col width="8" customWidth="1" min="9" max="9"/>
    <col width="2" customWidth="1" min="10" max="10"/>
    <col width="6" customWidth="1" min="11" max="11"/>
    <col width="2" customWidth="1" min="12" max="12"/>
    <col width="2" customWidth="1" min="13" max="13"/>
    <col width="16" customWidth="1" min="14" max="14"/>
    <col width="8" customWidth="1" min="15" max="15"/>
    <col width="8" customWidth="1" min="16" max="16"/>
    <col width="8" customWidth="1" min="17" max="17"/>
    <col width="10" customWidth="1" min="18" max="18"/>
    <col width="40" customWidth="1" min="19" max="19"/>
    <col width="9" customWidth="1" min="20" max="20"/>
    <col width="9" customWidth="1" min="21" max="21"/>
    <col width="8" customWidth="1" min="22" max="22"/>
    <col width="2" customWidth="1" min="23" max="23"/>
    <col width="2" customWidth="1" min="24" max="24"/>
    <col width="22" customWidth="1" min="25" max="25"/>
    <col width="22" customWidth="1" min="26" max="26"/>
  </cols>
  <sheetData>
    <row r="1">
      <c r="A1" s="1" t="inlineStr">
        <is>
          <t>TRACE · 원인분석 (한 항목씩)</t>
        </is>
      </c>
    </row>
    <row r="2">
      <c r="A2" s="2" t="inlineStr">
        <is>
          <t>C5~C8만 입력 · 선택 항목의 증가분을 거래처·전표로 쪼개고 8가지 패턴으로 원인 후보를 만듭니다 · 금액: 보고단위</t>
        </is>
      </c>
    </row>
    <row r="5">
      <c r="B5" s="10" t="inlineStr">
        <is>
          <t>주의대상 순위</t>
        </is>
      </c>
      <c r="C5" s="11" t="n">
        <v>1</v>
      </c>
      <c r="D5" s="7" t="inlineStr">
        <is>
          <t>1~10</t>
        </is>
      </c>
      <c r="E5" s="2" t="inlineStr">
        <is>
          <t>선택 항목</t>
        </is>
      </c>
    </row>
    <row r="6">
      <c r="B6" s="10" t="inlineStr">
        <is>
          <t>비교 기준</t>
        </is>
      </c>
      <c r="C6" s="11" t="inlineStr">
        <is>
          <t>전월</t>
        </is>
      </c>
      <c r="D6" s="7" t="inlineStr">
        <is>
          <t>전월 / 전년동월 / 전분기</t>
        </is>
      </c>
      <c r="E6" s="38">
        <f>IF($C$9="","(선택 없음)",IFERROR(INDEX(부서매핑!$D$5:$D$504,MATCH(LEFT($C$9,FIND("|",$C$9)-1),부서매핑!$C$5:$C$504,0)),LEFT($C$9,FIND("|",$C$9)-1))&amp;" · "&amp;IFERROR(INDEX(계정매핑!$B$5:$B$504,MATCH(MID($C$9,FIND("|",$C$9)+1,20),계정매핑!$A$5:$A$504,0)),MID($C$9,FIND("|",$C$9)+1,20)))</f>
        <v/>
      </c>
    </row>
    <row r="7">
      <c r="B7" s="10" t="inlineStr">
        <is>
          <t>직접 지정: 부서코드</t>
        </is>
      </c>
      <c r="C7" s="11" t="n"/>
      <c r="D7" s="7" t="inlineStr">
        <is>
          <t>비워두면 순위 사용</t>
        </is>
      </c>
      <c r="E7" s="39">
        <f>"당기 "&amp;INT(($C$10-1)/12)&amp;"-"&amp;TEXT(MOD($C$10-1,12)+1,"00")&amp;IF($C$10&lt;&gt;$C$11," ~ "&amp;INT(($C$11-1)/12)&amp;"-"&amp;TEXT(MOD($C$11-1,12)+1,"00"),"")&amp;"  vs  비교 "&amp;INT(($C$12-1)/12)&amp;"-"&amp;TEXT(MOD($C$12-1,12)+1,"00")&amp;IF($C$12&lt;&gt;$C$13," ~ "&amp;INT(($C$13-1)/12)&amp;"-"&amp;TEXT(MOD($C$13-1,12)+1,"00"),"")</f>
        <v/>
      </c>
    </row>
    <row r="8">
      <c r="B8" s="10" t="inlineStr">
        <is>
          <t>직접 지정: G/L 계정</t>
        </is>
      </c>
      <c r="C8" s="40" t="n"/>
      <c r="D8" s="7" t="inlineStr">
        <is>
          <t>부서코드와 함께 입력</t>
        </is>
      </c>
    </row>
    <row r="9">
      <c r="B9" s="41" t="inlineStr">
        <is>
          <t>(계산) 선택 키</t>
        </is>
      </c>
      <c r="C9" s="42">
        <f>IF(AND(C7&lt;&gt;"",C8&lt;&gt;""),C7&amp;"|"&amp;C8,IFERROR(INDEX(주의대상!$L$6:$L$15,C5),""))</f>
        <v/>
      </c>
      <c r="E9" s="35">
        <f>E6&amp;" ("&amp;C6&amp;" 대비)"</f>
        <v/>
      </c>
    </row>
    <row r="10">
      <c r="B10" s="41" t="inlineStr">
        <is>
          <t>(계산) 당기 시작</t>
        </is>
      </c>
      <c r="C10" s="43">
        <f>IF(C6="전분기",설정!$C$22,설정!$C$20)</f>
        <v/>
      </c>
    </row>
    <row r="11">
      <c r="B11" s="41" t="inlineStr">
        <is>
          <t>(계산) 당기 끝</t>
        </is>
      </c>
      <c r="C11" s="43">
        <f>설정!$C$20</f>
        <v/>
      </c>
    </row>
    <row r="12">
      <c r="B12" s="41" t="inlineStr">
        <is>
          <t>(계산) 비교 시작</t>
        </is>
      </c>
      <c r="C12" s="43">
        <f>IF(C6="전월",설정!$C$20-1,IF(C6="전년동월",설정!$C$20-12,설정!$C$22-3))</f>
        <v/>
      </c>
    </row>
    <row r="13">
      <c r="B13" s="41" t="inlineStr">
        <is>
          <t>(계산) 비교 끝</t>
        </is>
      </c>
      <c r="C13" s="43">
        <f>IF(C6="전월",설정!$C$20-1,IF(C6="전년동월",설정!$C$20-12,설정!$C$20-3))</f>
        <v/>
      </c>
    </row>
    <row r="15" ht="20" customHeight="1">
      <c r="A15" s="4" t="inlineStr">
        <is>
          <t>당기 합계</t>
        </is>
      </c>
      <c r="B15" s="4" t="inlineStr">
        <is>
          <t>비교 합계</t>
        </is>
      </c>
      <c r="C15" s="4" t="inlineStr">
        <is>
          <t>증감</t>
        </is>
      </c>
      <c r="D15" s="4" t="inlineStr">
        <is>
          <t>증감률</t>
        </is>
      </c>
      <c r="E15" s="4" t="inlineStr">
        <is>
          <t>예산 판정</t>
        </is>
      </c>
      <c r="F15" s="4" t="inlineStr">
        <is>
          <t>부족 예상액</t>
        </is>
      </c>
      <c r="G15" s="4" t="inlineStr">
        <is>
          <t>소진 예상월</t>
        </is>
      </c>
    </row>
    <row r="16">
      <c r="A16" s="44">
        <f>SUMIFS(전표_원본!$P$5:$P$100000,전표_원본!$Q$5:$Q$100000,"당기")</f>
        <v/>
      </c>
      <c r="B16" s="44">
        <f>SUMIFS(전표_원본!$P$5:$P$100000,전표_원본!$Q$5:$Q$100000,"비교")</f>
        <v/>
      </c>
      <c r="C16" s="45">
        <f>A16-B16</f>
        <v/>
      </c>
      <c r="D16" s="46">
        <f>IF(B16&lt;=0,IF(A16&gt;0,1,0),A16/B16-1)</f>
        <v/>
      </c>
      <c r="E16" s="47">
        <f>IFERROR(INDEX(변동분석!$W$7:$W$506,MATCH($C$9,변동분석!$E$7:$E$506,0)),"-")</f>
        <v/>
      </c>
      <c r="F16" s="44">
        <f>IFERROR(INDEX(변동분석!$X$7:$X$506,MATCH($C$9,변동분석!$E$7:$E$506,0)),0)</f>
        <v/>
      </c>
      <c r="G16" s="47">
        <f>IFERROR(INDEX(변동분석!$Y$7:$Y$506,MATCH($C$9,변동분석!$E$7:$E$506,0)),"")</f>
        <v/>
      </c>
    </row>
    <row r="18" ht="48" customHeight="1">
      <c r="A18" s="48">
        <f>IF($C$9="","선택된 항목이 없습니다.",$E$6&amp;" "&amp;$C$6&amp;" 대비 "&amp;TEXT($C$16,"+#,##0.0;-#,##0.0;0")&amp;" ("&amp;TEXT($D$16,"+0%;-0%;0%")&amp;"). "&amp;IF($C$16&lt;=0,"감소 또는 변동 없음 - 원인 후보는 증가 항목에만 만듭니다. ",$D$21&amp;". ")&amp;"예산: "&amp;$E$16&amp;IF(N($F$16)&gt;0," (연간 "&amp;TEXT($F$16,"#,##0.0")&amp;" 부족 예상, "&amp;$G$16&amp;" 소진 예상)","")&amp;".")</f>
        <v/>
      </c>
    </row>
    <row r="19" ht="20" customHeight="1">
      <c r="A19" s="3" t="inlineStr">
        <is>
          <t>원인 후보 (근거 강도 순)</t>
        </is>
      </c>
      <c r="N19" s="36" t="inlineStr">
        <is>
          <t>패턴</t>
        </is>
      </c>
      <c r="O19" s="36" t="inlineStr">
        <is>
          <t>해당</t>
        </is>
      </c>
      <c r="P19" s="36" t="inlineStr">
        <is>
          <t>강도</t>
        </is>
      </c>
      <c r="Q19" s="36" t="inlineStr">
        <is>
          <t>강도점수</t>
        </is>
      </c>
      <c r="R19" s="36" t="inlineStr">
        <is>
          <t>비중</t>
        </is>
      </c>
      <c r="S19" s="36" t="inlineStr">
        <is>
          <t>문장</t>
        </is>
      </c>
      <c r="T19" s="36" t="inlineStr">
        <is>
          <t>정렬키</t>
        </is>
      </c>
      <c r="Y19" s="36" t="inlineStr">
        <is>
          <t>보조값</t>
        </is>
      </c>
      <c r="Z19" s="36" t="inlineStr">
        <is>
          <t>값</t>
        </is>
      </c>
    </row>
    <row r="20" ht="20" customHeight="1">
      <c r="A20" s="4" t="inlineStr">
        <is>
          <t>순위</t>
        </is>
      </c>
      <c r="B20" s="4" t="inlineStr">
        <is>
          <t>패턴</t>
        </is>
      </c>
      <c r="C20" s="4" t="inlineStr">
        <is>
          <t>근거 강도</t>
        </is>
      </c>
      <c r="D20" s="4" t="inlineStr">
        <is>
          <t>설명 (근거 포함)</t>
        </is>
      </c>
      <c r="N20" s="8" t="inlineStr">
        <is>
          <t>일회성 대형 지출</t>
        </is>
      </c>
      <c r="O20" s="21">
        <f>IF(OR(Z20="",$C$16&lt;=0),"N",IF(AND(Z21&gt;0,Z21/$C$16&gt;=설정!$C$14),"Y","N"))</f>
        <v/>
      </c>
      <c r="P20" s="21" t="inlineStr">
        <is>
          <t>높음</t>
        </is>
      </c>
      <c r="Q20" s="8" t="n">
        <v>3</v>
      </c>
      <c r="R20" s="49">
        <f>IF(O20="Y",MIN(1,Z21/$C$16),0)</f>
        <v/>
      </c>
      <c r="S20" s="8">
        <f>IF(O20="Y","전표 "&amp;Z22&amp;" ("&amp;TEXT(Z23,"m/d")&amp;", "&amp;Z24&amp;", 적요 '"&amp;Z25&amp;"') "&amp;TEXT(Z21,"#,##0.0")&amp;"이 증가분의 "&amp;TEXT(R20,"0%")&amp;". 일회성 지출 가능성","")</f>
        <v/>
      </c>
      <c r="T20" s="50">
        <f>IF(O20="Y",Q20*10+R20+ROW()/1000000,-1)</f>
        <v/>
      </c>
      <c r="Y20" s="7" t="inlineStr">
        <is>
          <t>최대 단건 위치</t>
        </is>
      </c>
      <c r="Z20" s="22">
        <f>IFERROR(MATCH(LARGE(전표_원본!$T$5:$T$100000,1),전표_원본!$T$5:$T$100000,0),"")</f>
        <v/>
      </c>
    </row>
    <row r="21" ht="30" customHeight="1">
      <c r="A21" s="21" t="n">
        <v>1</v>
      </c>
      <c r="B21" s="6">
        <f>IF($K21="",IF(1=1,"뚜렷한 패턴 없음",""),INDEX($N$20:$N$27,$K21))</f>
        <v/>
      </c>
      <c r="C21" s="21">
        <f>IF($K21="","",INDEX($P$20:$P$27,$K21))</f>
        <v/>
      </c>
      <c r="D21" s="51">
        <f>IF($K21="",IF(1=1,"근거 전표 목록을 직접 확인하세요",""),INDEX($S$20:$S$27,$K21))</f>
        <v/>
      </c>
      <c r="E21" s="33" t="n"/>
      <c r="F21" s="33" t="n"/>
      <c r="G21" s="33" t="n"/>
      <c r="H21" s="33" t="n"/>
      <c r="I21" s="34" t="n"/>
      <c r="K21" s="7">
        <f>IF(LARGE($T$20:$T$27,1)&lt;0,"",MATCH(LARGE($T$20:$T$27,1),$T$20:$T$27,0))</f>
        <v/>
      </c>
      <c r="N21" s="8" t="inlineStr">
        <is>
          <t>신규 거래처</t>
        </is>
      </c>
      <c r="O21" s="21">
        <f>IF($C$16&lt;=0,"N",IF(Z42/$C$16&gt;=설정!$C$15,"Y","N"))</f>
        <v/>
      </c>
      <c r="P21" s="21" t="inlineStr">
        <is>
          <t>중간</t>
        </is>
      </c>
      <c r="Q21" s="8" t="n">
        <v>2</v>
      </c>
      <c r="R21" s="49">
        <f>IF(O21="Y",MIN(1,Z42/$C$16),0)</f>
        <v/>
      </c>
      <c r="S21" s="8">
        <f>IF(O21="Y","최근 12개월 거래가 없던 거래처("&amp;Z44&amp;IF(Z43&gt;1," 등 "&amp;Z43&amp;"곳","")&amp;")가 증가분의 "&amp;TEXT(R21,"0%")&amp;". 신규 계약·거래 개시 가능성","")</f>
        <v/>
      </c>
      <c r="T21" s="50">
        <f>IF(O21="Y",Q21*10+R21+ROW()/1000000,-1)</f>
        <v/>
      </c>
      <c r="Y21" s="7" t="inlineStr">
        <is>
          <t>최대 단건 금액</t>
        </is>
      </c>
      <c r="Z21" s="29">
        <f>IF(Z20="","",INDEX(전표_원본!$P$5:$P$100000,Z20))</f>
        <v/>
      </c>
    </row>
    <row r="22" ht="30" customHeight="1">
      <c r="A22" s="21" t="n">
        <v>2</v>
      </c>
      <c r="B22" s="8">
        <f>IF($K22="",IF(2=1,"뚜렷한 패턴 없음",""),INDEX($N$20:$N$27,$K22))</f>
        <v/>
      </c>
      <c r="C22" s="21">
        <f>IF($K22="","",INDEX($P$20:$P$27,$K22))</f>
        <v/>
      </c>
      <c r="D22" s="51">
        <f>IF($K22="",IF(2=1,"근거 전표 목록을 직접 확인하세요",""),INDEX($S$20:$S$27,$K22))</f>
        <v/>
      </c>
      <c r="E22" s="33" t="n"/>
      <c r="F22" s="33" t="n"/>
      <c r="G22" s="33" t="n"/>
      <c r="H22" s="33" t="n"/>
      <c r="I22" s="34" t="n"/>
      <c r="K22" s="7">
        <f>IF(LARGE($T$20:$T$27,2)&lt;0,"",MATCH(LARGE($T$20:$T$27,2),$T$20:$T$27,0))</f>
        <v/>
      </c>
      <c r="N22" s="8" t="inlineStr">
        <is>
          <t>단가 인상</t>
        </is>
      </c>
      <c r="O22" s="21">
        <f>IF(OR($C$16&lt;=0,$A$32=""),"N",IF(AND($I$32="N",$F$32=$G$32,$G$32&gt;0,$C$32&gt;0),IF($D$32/$C$32&gt;=설정!$C$18,"Y","N"),"N"))</f>
        <v/>
      </c>
      <c r="P22" s="21" t="inlineStr">
        <is>
          <t>중간</t>
        </is>
      </c>
      <c r="Q22" s="8" t="n">
        <v>2</v>
      </c>
      <c r="R22" s="49">
        <f>IF(O22="Y",MIN(1,$D$32/$C$16),0)</f>
        <v/>
      </c>
      <c r="S22" s="8">
        <f>IF(O22="Y","같은 건수("&amp;$F$32&amp;"건)로 "&amp;$A$32&amp;" 금액이 "&amp;TEXT(IF($C$32&gt;0,$D$32/$C$32,0),"0%")&amp;" 상승. 단가·계약 조건 변경 가능성 (최근 몇 달 추이 확인)","")</f>
        <v/>
      </c>
      <c r="T22" s="50">
        <f>IF(O22="Y",Q22*10+R22+ROW()/1000000,-1)</f>
        <v/>
      </c>
      <c r="Y22" s="7" t="inlineStr">
        <is>
          <t>전표번호</t>
        </is>
      </c>
      <c r="Z22" s="22">
        <f>IF(Z20="","",INDEX(전표_원본!$C$5:$C$100000,Z20))</f>
        <v/>
      </c>
    </row>
    <row r="23" ht="30" customHeight="1">
      <c r="A23" s="21" t="n">
        <v>3</v>
      </c>
      <c r="B23" s="8">
        <f>IF($K23="",IF(3=1,"뚜렷한 패턴 없음",""),INDEX($N$20:$N$27,$K23))</f>
        <v/>
      </c>
      <c r="C23" s="21">
        <f>IF($K23="","",INDEX($P$20:$P$27,$K23))</f>
        <v/>
      </c>
      <c r="D23" s="51">
        <f>IF($K23="",IF(3=1,"근거 전표 목록을 직접 확인하세요",""),INDEX($S$20:$S$27,$K23))</f>
        <v/>
      </c>
      <c r="E23" s="33" t="n"/>
      <c r="F23" s="33" t="n"/>
      <c r="G23" s="33" t="n"/>
      <c r="H23" s="33" t="n"/>
      <c r="I23" s="34" t="n"/>
      <c r="K23" s="7">
        <f>IF(LARGE($T$20:$T$27,3)&lt;0,"",MATCH(LARGE($T$20:$T$27,3),$T$20:$T$27,0))</f>
        <v/>
      </c>
      <c r="N23" s="8" t="inlineStr">
        <is>
          <t>계상 시점 이동</t>
        </is>
      </c>
      <c r="O23" s="21">
        <f>IF(AND(Z29&gt;0,Z28&lt;0.5*Z29,Z27&gt;1.5*Z29),"Y","N")</f>
        <v/>
      </c>
      <c r="P23" s="21" t="inlineStr">
        <is>
          <t>중간</t>
        </is>
      </c>
      <c r="Q23" s="8" t="n">
        <v>2</v>
      </c>
      <c r="R23" s="49">
        <f>IF(O23="Y",0.5,0)</f>
        <v/>
      </c>
      <c r="S23" s="8">
        <f>IF(O23="Y","전월 "&amp;TEXT(Z28,"#,##0.0")&amp;" (직전 3개월 평균 "&amp;TEXT(Z29,"#,##0.0")&amp;") → 당월 "&amp;TEXT(Z27,"#,##0.0")&amp;". 전월에 계상될 금액이 당월로 넘어왔을 가능성","")</f>
        <v/>
      </c>
      <c r="T23" s="50">
        <f>IF(O23="Y",Q23*10+R23+ROW()/1000000,-1)</f>
        <v/>
      </c>
      <c r="Y23" s="7" t="inlineStr">
        <is>
          <t>전기일</t>
        </is>
      </c>
      <c r="Z23" s="52">
        <f>IF(Z20="","",INDEX(전표_원본!$D$5:$D$100000,Z20))</f>
        <v/>
      </c>
    </row>
    <row r="24" ht="30" customHeight="1">
      <c r="A24" s="21" t="n">
        <v>4</v>
      </c>
      <c r="B24" s="8">
        <f>IF($K24="",IF(4=1,"뚜렷한 패턴 없음",""),INDEX($N$20:$N$27,$K24))</f>
        <v/>
      </c>
      <c r="C24" s="21">
        <f>IF($K24="","",INDEX($P$20:$P$27,$K24))</f>
        <v/>
      </c>
      <c r="D24" s="51">
        <f>IF($K24="",IF(4=1,"근거 전표 목록을 직접 확인하세요",""),INDEX($S$20:$S$27,$K24))</f>
        <v/>
      </c>
      <c r="E24" s="33" t="n"/>
      <c r="F24" s="33" t="n"/>
      <c r="G24" s="33" t="n"/>
      <c r="H24" s="33" t="n"/>
      <c r="I24" s="34" t="n"/>
      <c r="K24" s="7">
        <f>IF(LARGE($T$20:$T$27,4)&lt;0,"",MATCH(LARGE($T$20:$T$27,4),$T$20:$T$27,0))</f>
        <v/>
      </c>
      <c r="N24" s="8" t="inlineStr">
        <is>
          <t>정정 · 역분개</t>
        </is>
      </c>
      <c r="O24" s="21">
        <f>IF(Z30&gt;0,"Y","N")</f>
        <v/>
      </c>
      <c r="P24" s="21" t="inlineStr">
        <is>
          <t>높음</t>
        </is>
      </c>
      <c r="Q24" s="8" t="n">
        <v>3</v>
      </c>
      <c r="R24" s="49">
        <f>IF(O24="Y",MIN(1,ABS(Z31)/MAX(ABS($C$16),0.000001)),0)</f>
        <v/>
      </c>
      <c r="S24" s="8">
        <f>IF(O24="Y","음수(정정·역분개) 전표 "&amp;Z30&amp;"건, 합계 "&amp;TEXT(Z31,"#,##0.0")&amp;". 정정 전후 순액 기준으로 다시 확인","")</f>
        <v/>
      </c>
      <c r="T24" s="50">
        <f>IF(O24="Y",Q24*10+R24+ROW()/1000000,-1)</f>
        <v/>
      </c>
      <c r="Y24" s="7" t="inlineStr">
        <is>
          <t>거래처</t>
        </is>
      </c>
      <c r="Z24" s="22">
        <f>IF(Z20="","",INDEX(전표_원본!$K$5:$K$100000,Z20))</f>
        <v/>
      </c>
    </row>
    <row r="25" ht="30" customHeight="1">
      <c r="A25" s="21" t="n">
        <v>5</v>
      </c>
      <c r="B25" s="8">
        <f>IF($K25="",IF(5=1,"뚜렷한 패턴 없음",""),INDEX($N$20:$N$27,$K25))</f>
        <v/>
      </c>
      <c r="C25" s="21">
        <f>IF($K25="","",INDEX($P$20:$P$27,$K25))</f>
        <v/>
      </c>
      <c r="D25" s="51">
        <f>IF($K25="",IF(5=1,"근거 전표 목록을 직접 확인하세요",""),INDEX($S$20:$S$27,$K25))</f>
        <v/>
      </c>
      <c r="E25" s="33" t="n"/>
      <c r="F25" s="33" t="n"/>
      <c r="G25" s="33" t="n"/>
      <c r="H25" s="33" t="n"/>
      <c r="I25" s="34" t="n"/>
      <c r="K25" s="7">
        <f>IF(LARGE($T$20:$T$27,5)&lt;0,"",MATCH(LARGE($T$20:$T$27,5),$T$20:$T$27,0))</f>
        <v/>
      </c>
      <c r="N25" s="8" t="inlineStr">
        <is>
          <t>재분류 (수기 대체)</t>
        </is>
      </c>
      <c r="O25" s="21">
        <f>IF($C$16&lt;=0,"N",IF(Z32/$C$16&gt;=설정!$C$16,"Y","N"))</f>
        <v/>
      </c>
      <c r="P25" s="21" t="inlineStr">
        <is>
          <t>높음</t>
        </is>
      </c>
      <c r="Q25" s="8" t="n">
        <v>3</v>
      </c>
      <c r="R25" s="49">
        <f>IF(O25="Y",MIN(1,Z32/$C$16),0)</f>
        <v/>
      </c>
      <c r="S25" s="8">
        <f>IF(O25="Y","수기 대체전표(SA) 순증 "&amp;TEXT(Z32,"#,##0.0")&amp;"이 증가분의 "&amp;TEXT(R25,"0%")&amp;". 다른 부서·계정에서 이관됐을 가능성 (적요: '"&amp;Z33&amp;"')","")</f>
        <v/>
      </c>
      <c r="T25" s="50">
        <f>IF(O25="Y",Q25*10+R25+ROW()/1000000,-1)</f>
        <v/>
      </c>
      <c r="Y25" s="7" t="inlineStr">
        <is>
          <t>적요</t>
        </is>
      </c>
      <c r="Z25" s="22">
        <f>IF(Z20="","",INDEX(전표_원본!$I$5:$I$100000,Z20))</f>
        <v/>
      </c>
    </row>
    <row r="26" ht="30" customHeight="1">
      <c r="A26" s="21" t="n">
        <v>6</v>
      </c>
      <c r="B26" s="8">
        <f>IF($K26="",IF(6=1,"뚜렷한 패턴 없음",""),INDEX($N$20:$N$27,$K26))</f>
        <v/>
      </c>
      <c r="C26" s="21">
        <f>IF($K26="","",INDEX($P$20:$P$27,$K26))</f>
        <v/>
      </c>
      <c r="D26" s="51">
        <f>IF($K26="",IF(6=1,"근거 전표 목록을 직접 확인하세요",""),INDEX($S$20:$S$27,$K26))</f>
        <v/>
      </c>
      <c r="E26" s="33" t="n"/>
      <c r="F26" s="33" t="n"/>
      <c r="G26" s="33" t="n"/>
      <c r="H26" s="33" t="n"/>
      <c r="I26" s="34" t="n"/>
      <c r="K26" s="7">
        <f>IF(LARGE($T$20:$T$27,6)&lt;0,"",MATCH(LARGE($T$20:$T$27,6),$T$20:$T$27,0))</f>
        <v/>
      </c>
      <c r="N26" s="8" t="inlineStr">
        <is>
          <t>적요 키워드</t>
        </is>
      </c>
      <c r="O26" s="21">
        <f>IF(OR($C$16&lt;=0,Z35=""),"N",IF(Z34&gt;=설정!$C$17,"Y","N"))</f>
        <v/>
      </c>
      <c r="P26" s="21" t="inlineStr">
        <is>
          <t>중간</t>
        </is>
      </c>
      <c r="Q26" s="8" t="n">
        <v>2</v>
      </c>
      <c r="R26" s="49">
        <f>IF(O26="Y",MIN(1,Z34),0)</f>
        <v/>
      </c>
      <c r="S26" s="22">
        <f>IF(O26="Y",IF(Z35="","",INDEX(키워드사전!$A$5:$A$19,Z35)&amp;": 적요에 '"&amp;INDEX(키워드사전!$B$5:$B$19,Z35)&amp;IF(INDEX(키워드사전!$C$5:$C$19,Z35)&lt;&gt;"","·"&amp;INDEX(키워드사전!$C$5:$C$19,Z35),"")&amp;IF(INDEX(키워드사전!$D$5:$D$19,Z35)&lt;&gt;"","·"&amp;INDEX(키워드사전!$D$5:$D$19,Z35),"")&amp;"' 등이 있는 전표 "&amp;TEXT(INDEX(키워드사전!$H$5:$H$19,Z35),"#,##0.0")&amp;" (증가분의 "&amp;TEXT(Z34,"0%")&amp;"). "&amp;INDEX(키워드사전!$G$5:$G$19,Z35)),"")</f>
        <v/>
      </c>
      <c r="T26" s="50">
        <f>IF(O26="Y",Q26*10+R26+ROW()/1000000,-1)</f>
        <v/>
      </c>
      <c r="Y26" s="7" t="inlineStr">
        <is>
          <t>월별집계 행</t>
        </is>
      </c>
      <c r="Z26" s="22">
        <f>IFERROR(MATCH($C$9,월별집계!$A$7:$A$506,0),"")</f>
        <v/>
      </c>
    </row>
    <row r="27" ht="30" customHeight="1">
      <c r="A27" s="21" t="n">
        <v>7</v>
      </c>
      <c r="B27" s="8">
        <f>IF($K27="",IF(7=1,"뚜렷한 패턴 없음",""),INDEX($N$20:$N$27,$K27))</f>
        <v/>
      </c>
      <c r="C27" s="21">
        <f>IF($K27="","",INDEX($P$20:$P$27,$K27))</f>
        <v/>
      </c>
      <c r="D27" s="51">
        <f>IF($K27="",IF(7=1,"근거 전표 목록을 직접 확인하세요",""),INDEX($S$20:$S$27,$K27))</f>
        <v/>
      </c>
      <c r="E27" s="33" t="n"/>
      <c r="F27" s="33" t="n"/>
      <c r="G27" s="33" t="n"/>
      <c r="H27" s="33" t="n"/>
      <c r="I27" s="34" t="n"/>
      <c r="K27" s="7">
        <f>IF(LARGE($T$20:$T$27,7)&lt;0,"",MATCH(LARGE($T$20:$T$27,7),$T$20:$T$27,0))</f>
        <v/>
      </c>
      <c r="N27" s="8" t="inlineStr">
        <is>
          <t>물량 vs 단가</t>
        </is>
      </c>
      <c r="O27" s="21">
        <f>IF(AND($C$16&gt;0,Z36&gt;0,Z37&gt;0),"Y","N")</f>
        <v/>
      </c>
      <c r="P27" s="21" t="inlineStr">
        <is>
          <t>참고</t>
        </is>
      </c>
      <c r="Q27" s="8" t="n">
        <v>1</v>
      </c>
      <c r="R27" s="49">
        <f>0</f>
        <v/>
      </c>
      <c r="S27" s="8">
        <f>IF(O27="Y","건수 "&amp;Z37&amp;"→"&amp;Z36&amp;" ("&amp;TEXT(Z36/MAX(Z37,1)-1,"+0%;-0%;0%")&amp;"), 건당 "&amp;TEXT(Z41,"#,##0.0")&amp;"→"&amp;TEXT(Z40,"#,##0.0")&amp;". "&amp;IF(ABS((Z36-Z37)*Z41)&gt;=ABS((Z40-Z41)*Z36),"건수(물량) 증가","건당 금액(단가) 상승")&amp;" 영향이 더 큼","")</f>
        <v/>
      </c>
      <c r="T27" s="50">
        <f>IF(O27="Y",Q27*10+R27+ROW()/1000000,-1)</f>
        <v/>
      </c>
      <c r="Y27" s="7" t="inlineStr">
        <is>
          <t>당월 (기준월)</t>
        </is>
      </c>
      <c r="Z27" s="29">
        <f>IF(Z26="",0,INDEX(월별집계!$Z$7:$Z$506,Z26))</f>
        <v/>
      </c>
    </row>
    <row r="28" ht="30" customHeight="1">
      <c r="A28" s="21" t="n">
        <v>8</v>
      </c>
      <c r="B28" s="8">
        <f>IF($K28="",IF(8=1,"뚜렷한 패턴 없음",""),INDEX($N$20:$N$27,$K28))</f>
        <v/>
      </c>
      <c r="C28" s="21">
        <f>IF($K28="","",INDEX($P$20:$P$27,$K28))</f>
        <v/>
      </c>
      <c r="D28" s="51">
        <f>IF($K28="",IF(8=1,"근거 전표 목록을 직접 확인하세요",""),INDEX($S$20:$S$27,$K28))</f>
        <v/>
      </c>
      <c r="E28" s="33" t="n"/>
      <c r="F28" s="33" t="n"/>
      <c r="G28" s="33" t="n"/>
      <c r="H28" s="33" t="n"/>
      <c r="I28" s="34" t="n"/>
      <c r="K28" s="7">
        <f>IF(LARGE($T$20:$T$27,8)&lt;0,"",MATCH(LARGE($T$20:$T$27,8),$T$20:$T$27,0))</f>
        <v/>
      </c>
      <c r="Y28" s="7" t="inlineStr">
        <is>
          <t>전월</t>
        </is>
      </c>
      <c r="Z28" s="29">
        <f>IF(Z26="",0,INDEX(월별집계!$Y$7:$Y$506,Z26))</f>
        <v/>
      </c>
    </row>
    <row r="29">
      <c r="Y29" s="7" t="inlineStr">
        <is>
          <t>직전3개월 평균 (전월 제외)</t>
        </is>
      </c>
      <c r="Z29" s="29">
        <f>IF(Z26="",0,(INDEX(월별집계!$V$7:$V$506,Z26)+INDEX(월별집계!$W$7:$W$506,Z26)+INDEX(월별집계!$X$7:$X$506,Z26))/3)</f>
        <v/>
      </c>
    </row>
    <row r="30">
      <c r="A30" s="3" t="inlineStr">
        <is>
          <t>거래처별 증감 분해 (증가 큰 순)</t>
        </is>
      </c>
      <c r="Y30" s="7" t="inlineStr">
        <is>
          <t>음수 전표 건수</t>
        </is>
      </c>
      <c r="Z30" s="22">
        <f>COUNTIFS(전표_원본!$Q$5:$Q$100000,"당기",전표_원본!$P$5:$P$100000,"&lt;0")</f>
        <v/>
      </c>
    </row>
    <row r="31" ht="32" customHeight="1">
      <c r="A31" s="4" t="inlineStr">
        <is>
          <t>거래처</t>
        </is>
      </c>
      <c r="B31" s="4" t="inlineStr">
        <is>
          <t>당기</t>
        </is>
      </c>
      <c r="C31" s="4" t="inlineStr">
        <is>
          <t>비교</t>
        </is>
      </c>
      <c r="D31" s="4" t="inlineStr">
        <is>
          <t>증감</t>
        </is>
      </c>
      <c r="E31" s="4" t="inlineStr">
        <is>
          <t>증가분
기여율</t>
        </is>
      </c>
      <c r="F31" s="4" t="inlineStr">
        <is>
          <t>당기
건수</t>
        </is>
      </c>
      <c r="G31" s="4" t="inlineStr">
        <is>
          <t>비교
건수</t>
        </is>
      </c>
      <c r="H31" s="4" t="inlineStr">
        <is>
          <t>당기
최대 단건</t>
        </is>
      </c>
      <c r="I31" s="4" t="inlineStr">
        <is>
          <t>신규
거래처</t>
        </is>
      </c>
      <c r="N31" s="36" t="inlineStr">
        <is>
          <t>첫등장행</t>
        </is>
      </c>
      <c r="O31" s="36" t="inlineStr">
        <is>
          <t>거래처</t>
        </is>
      </c>
      <c r="P31" s="36" t="inlineStr">
        <is>
          <t>당기</t>
        </is>
      </c>
      <c r="Q31" s="36" t="inlineStr">
        <is>
          <t>비교</t>
        </is>
      </c>
      <c r="R31" s="36" t="inlineStr">
        <is>
          <t>증감</t>
        </is>
      </c>
      <c r="S31" s="36" t="inlineStr">
        <is>
          <t>당기건수</t>
        </is>
      </c>
      <c r="T31" s="36" t="inlineStr">
        <is>
          <t>비교건수</t>
        </is>
      </c>
      <c r="U31" s="36" t="inlineStr">
        <is>
          <t>최대단건</t>
        </is>
      </c>
      <c r="V31" s="36" t="inlineStr">
        <is>
          <t>신규</t>
        </is>
      </c>
      <c r="W31" s="36" t="inlineStr">
        <is>
          <t>정렬키</t>
        </is>
      </c>
      <c r="Y31" s="7" t="inlineStr">
        <is>
          <t>음수 전표 합계</t>
        </is>
      </c>
      <c r="Z31" s="29">
        <f>SUMIFS(전표_원본!$P$5:$P$100000,전표_원본!$Q$5:$Q$100000,"당기",전표_원본!$P$5:$P$100000,"&lt;0")</f>
        <v/>
      </c>
    </row>
    <row r="32">
      <c r="A32" s="8">
        <f>IF($K32="","",INDEX($O$32:$O$46,$K32))</f>
        <v/>
      </c>
      <c r="B32" s="53">
        <f>IF($K32="","",INDEX($P$32:$P$46,$K32))</f>
        <v/>
      </c>
      <c r="C32" s="53">
        <f>IF($K32="","",INDEX($Q$32:$Q$46,$K32))</f>
        <v/>
      </c>
      <c r="D32" s="54">
        <f>IF($K32="","",INDEX($R$32:$R$46,$K32))</f>
        <v/>
      </c>
      <c r="E32" s="49">
        <f>IF(OR($K32="",$C$16&lt;=0),"",D32/$C$16)</f>
        <v/>
      </c>
      <c r="F32" s="55">
        <f>IF($K32="","",INDEX($S$32:$S$46,$K32))</f>
        <v/>
      </c>
      <c r="G32" s="55">
        <f>IF($K32="","",INDEX($T$32:$T$46,$K32))</f>
        <v/>
      </c>
      <c r="H32" s="53">
        <f>IF($K32="","",INDEX($U$32:$U$46,$K32))</f>
        <v/>
      </c>
      <c r="I32" s="21">
        <f>IF($K32="","",INDEX($V$32:$V$46,$K32))</f>
        <v/>
      </c>
      <c r="K32" s="7">
        <f>IF(COUNT($W$32:$W$46)&lt;1,"",MATCH(LARGE($W$32:$W$46,1),$W$32:$W$46,0))</f>
        <v/>
      </c>
      <c r="N32" s="22">
        <f>IFERROR(SMALL(전표_원본!$S$5:$S$100000,1),"")</f>
        <v/>
      </c>
      <c r="O32" s="22">
        <f>IF(N32="","",INDEX(전표_원본!$K$1:$K$100000,N32))</f>
        <v/>
      </c>
      <c r="P32" s="29">
        <f>IF(O32="","",SUMIFS(전표_원본!$P$5:$P$100000,전표_원본!$Q$5:$Q$100000,"당기",전표_원본!$R$5:$R$100000,O32))</f>
        <v/>
      </c>
      <c r="Q32" s="29">
        <f>IF(O32="","",SUMIFS(전표_원본!$P$5:$P$100000,전표_원본!$Q$5:$Q$100000,"비교",전표_원본!$R$5:$R$100000,O32))</f>
        <v/>
      </c>
      <c r="R32" s="53">
        <f>IF(O32="","",P32-Q32)</f>
        <v/>
      </c>
      <c r="S32" s="22">
        <f>IF(O32="","",COUNTIFS(전표_원본!$Q$5:$Q$100000,"당기",전표_원본!$R$5:$R$100000,O32,전표_원본!$P$5:$P$100000,"&gt;0"))</f>
        <v/>
      </c>
      <c r="T32" s="22">
        <f>IF(O32="","",COUNTIFS(전표_원본!$Q$5:$Q$100000,"비교",전표_원본!$R$5:$R$100000,O32,전표_원본!$P$5:$P$100000,"&gt;0"))</f>
        <v/>
      </c>
      <c r="U32" s="29">
        <f>IF(O32="","",SUMPRODUCT(MAX((전표_원본!$Q$5:$Q$100000="당기")*(전표_원본!$R$5:$R$100000=O32)*전표_원본!$P$5:$P$100000)))</f>
        <v/>
      </c>
      <c r="V32" s="22">
        <f>IF(O32="","",IF(LEFT(O32,1)="(","N",IF(COUNTIFS(전표_원본!$O$5:$O$100000,$C$9,전표_원본!$K$5:$K$100000,O32,전표_원본!$M$5:$M$100000,"&gt;="&amp;($C$10-12),전표_원본!$M$5:$M$100000,"&lt;"&amp;$C$10)=0,"Y","N")))</f>
        <v/>
      </c>
      <c r="W32" s="50">
        <f>IF(O32="","",R32+ROW()/1000000)</f>
        <v/>
      </c>
      <c r="Y32" s="7" t="inlineStr">
        <is>
          <t>SA 순증</t>
        </is>
      </c>
      <c r="Z32" s="29">
        <f>SUMIFS(전표_원본!$P$5:$P$100000,전표_원본!$Q$5:$Q$100000,"당기",전표_원본!$E$5:$E$100000,"SA")-SUMIFS(전표_원본!$P$5:$P$100000,전표_원본!$Q$5:$Q$100000,"비교",전표_원본!$E$5:$E$100000,"SA")</f>
        <v/>
      </c>
    </row>
    <row r="33">
      <c r="A33" s="8">
        <f>IF($K33="","",INDEX($O$32:$O$46,$K33))</f>
        <v/>
      </c>
      <c r="B33" s="53">
        <f>IF($K33="","",INDEX($P$32:$P$46,$K33))</f>
        <v/>
      </c>
      <c r="C33" s="53">
        <f>IF($K33="","",INDEX($Q$32:$Q$46,$K33))</f>
        <v/>
      </c>
      <c r="D33" s="54">
        <f>IF($K33="","",INDEX($R$32:$R$46,$K33))</f>
        <v/>
      </c>
      <c r="E33" s="49">
        <f>IF(OR($K33="",$C$16&lt;=0),"",D33/$C$16)</f>
        <v/>
      </c>
      <c r="F33" s="55">
        <f>IF($K33="","",INDEX($S$32:$S$46,$K33))</f>
        <v/>
      </c>
      <c r="G33" s="55">
        <f>IF($K33="","",INDEX($T$32:$T$46,$K33))</f>
        <v/>
      </c>
      <c r="H33" s="53">
        <f>IF($K33="","",INDEX($U$32:$U$46,$K33))</f>
        <v/>
      </c>
      <c r="I33" s="21">
        <f>IF($K33="","",INDEX($V$32:$V$46,$K33))</f>
        <v/>
      </c>
      <c r="K33" s="7">
        <f>IF(COUNT($W$32:$W$46)&lt;2,"",MATCH(LARGE($W$32:$W$46,2),$W$32:$W$46,0))</f>
        <v/>
      </c>
      <c r="N33" s="22">
        <f>IFERROR(SMALL(전표_원본!$S$5:$S$100000,2),"")</f>
        <v/>
      </c>
      <c r="O33" s="22">
        <f>IF(N33="","",INDEX(전표_원본!$K$1:$K$100000,N33))</f>
        <v/>
      </c>
      <c r="P33" s="29">
        <f>IF(O33="","",SUMIFS(전표_원본!$P$5:$P$100000,전표_원본!$Q$5:$Q$100000,"당기",전표_원본!$R$5:$R$100000,O33))</f>
        <v/>
      </c>
      <c r="Q33" s="29">
        <f>IF(O33="","",SUMIFS(전표_원본!$P$5:$P$100000,전표_원본!$Q$5:$Q$100000,"비교",전표_원본!$R$5:$R$100000,O33))</f>
        <v/>
      </c>
      <c r="R33" s="53">
        <f>IF(O33="","",P33-Q33)</f>
        <v/>
      </c>
      <c r="S33" s="22">
        <f>IF(O33="","",COUNTIFS(전표_원본!$Q$5:$Q$100000,"당기",전표_원본!$R$5:$R$100000,O33,전표_원본!$P$5:$P$100000,"&gt;0"))</f>
        <v/>
      </c>
      <c r="T33" s="22">
        <f>IF(O33="","",COUNTIFS(전표_원본!$Q$5:$Q$100000,"비교",전표_원본!$R$5:$R$100000,O33,전표_원본!$P$5:$P$100000,"&gt;0"))</f>
        <v/>
      </c>
      <c r="U33" s="29">
        <f>IF(O33="","",SUMPRODUCT(MAX((전표_원본!$Q$5:$Q$100000="당기")*(전표_원본!$R$5:$R$100000=O33)*전표_원본!$P$5:$P$100000)))</f>
        <v/>
      </c>
      <c r="V33" s="22">
        <f>IF(O33="","",IF(LEFT(O33,1)="(","N",IF(COUNTIFS(전표_원본!$O$5:$O$100000,$C$9,전표_원본!$K$5:$K$100000,O33,전표_원본!$M$5:$M$100000,"&gt;="&amp;($C$10-12),전표_원본!$M$5:$M$100000,"&lt;"&amp;$C$10)=0,"Y","N")))</f>
        <v/>
      </c>
      <c r="W33" s="50">
        <f>IF(O33="","",R33+ROW()/1000000)</f>
        <v/>
      </c>
      <c r="Y33" s="7" t="inlineStr">
        <is>
          <t>SA 첫 적요</t>
        </is>
      </c>
      <c r="Z33" s="22">
        <f>IFERROR(INDEX(전표_원본!$I$5:$I$100000,MATCH(1,INDEX((전표_원본!$Q$5:$Q$100000="당기")*(전표_원본!$E$5:$E$100000="SA"),0),0)),"")</f>
        <v/>
      </c>
    </row>
    <row r="34">
      <c r="A34" s="8">
        <f>IF($K34="","",INDEX($O$32:$O$46,$K34))</f>
        <v/>
      </c>
      <c r="B34" s="53">
        <f>IF($K34="","",INDEX($P$32:$P$46,$K34))</f>
        <v/>
      </c>
      <c r="C34" s="53">
        <f>IF($K34="","",INDEX($Q$32:$Q$46,$K34))</f>
        <v/>
      </c>
      <c r="D34" s="54">
        <f>IF($K34="","",INDEX($R$32:$R$46,$K34))</f>
        <v/>
      </c>
      <c r="E34" s="49">
        <f>IF(OR($K34="",$C$16&lt;=0),"",D34/$C$16)</f>
        <v/>
      </c>
      <c r="F34" s="55">
        <f>IF($K34="","",INDEX($S$32:$S$46,$K34))</f>
        <v/>
      </c>
      <c r="G34" s="55">
        <f>IF($K34="","",INDEX($T$32:$T$46,$K34))</f>
        <v/>
      </c>
      <c r="H34" s="53">
        <f>IF($K34="","",INDEX($U$32:$U$46,$K34))</f>
        <v/>
      </c>
      <c r="I34" s="21">
        <f>IF($K34="","",INDEX($V$32:$V$46,$K34))</f>
        <v/>
      </c>
      <c r="K34" s="7">
        <f>IF(COUNT($W$32:$W$46)&lt;3,"",MATCH(LARGE($W$32:$W$46,3),$W$32:$W$46,0))</f>
        <v/>
      </c>
      <c r="N34" s="22">
        <f>IFERROR(SMALL(전표_원본!$S$5:$S$100000,3),"")</f>
        <v/>
      </c>
      <c r="O34" s="22">
        <f>IF(N34="","",INDEX(전표_원본!$K$1:$K$100000,N34))</f>
        <v/>
      </c>
      <c r="P34" s="29">
        <f>IF(O34="","",SUMIFS(전표_원본!$P$5:$P$100000,전표_원본!$Q$5:$Q$100000,"당기",전표_원본!$R$5:$R$100000,O34))</f>
        <v/>
      </c>
      <c r="Q34" s="29">
        <f>IF(O34="","",SUMIFS(전표_원본!$P$5:$P$100000,전표_원본!$Q$5:$Q$100000,"비교",전표_원본!$R$5:$R$100000,O34))</f>
        <v/>
      </c>
      <c r="R34" s="53">
        <f>IF(O34="","",P34-Q34)</f>
        <v/>
      </c>
      <c r="S34" s="22">
        <f>IF(O34="","",COUNTIFS(전표_원본!$Q$5:$Q$100000,"당기",전표_원본!$R$5:$R$100000,O34,전표_원본!$P$5:$P$100000,"&gt;0"))</f>
        <v/>
      </c>
      <c r="T34" s="22">
        <f>IF(O34="","",COUNTIFS(전표_원본!$Q$5:$Q$100000,"비교",전표_원본!$R$5:$R$100000,O34,전표_원본!$P$5:$P$100000,"&gt;0"))</f>
        <v/>
      </c>
      <c r="U34" s="29">
        <f>IF(O34="","",SUMPRODUCT(MAX((전표_원본!$Q$5:$Q$100000="당기")*(전표_원본!$R$5:$R$100000=O34)*전표_원본!$P$5:$P$100000)))</f>
        <v/>
      </c>
      <c r="V34" s="22">
        <f>IF(O34="","",IF(LEFT(O34,1)="(","N",IF(COUNTIFS(전표_원본!$O$5:$O$100000,$C$9,전표_원본!$K$5:$K$100000,O34,전표_원본!$M$5:$M$100000,"&gt;="&amp;($C$10-12),전표_원본!$M$5:$M$100000,"&lt;"&amp;$C$10)=0,"Y","N")))</f>
        <v/>
      </c>
      <c r="W34" s="50">
        <f>IF(O34="","",R34+ROW()/1000000)</f>
        <v/>
      </c>
      <c r="Y34" s="7" t="inlineStr">
        <is>
          <t>키워드 최대 비중</t>
        </is>
      </c>
      <c r="Z34" s="56">
        <f>IF(COUNT(키워드사전!$I$5:$I$19)=0,0,MAX(키워드사전!$I$5:$I$19))</f>
        <v/>
      </c>
    </row>
    <row r="35">
      <c r="A35" s="8">
        <f>IF($K35="","",INDEX($O$32:$O$46,$K35))</f>
        <v/>
      </c>
      <c r="B35" s="53">
        <f>IF($K35="","",INDEX($P$32:$P$46,$K35))</f>
        <v/>
      </c>
      <c r="C35" s="53">
        <f>IF($K35="","",INDEX($Q$32:$Q$46,$K35))</f>
        <v/>
      </c>
      <c r="D35" s="54">
        <f>IF($K35="","",INDEX($R$32:$R$46,$K35))</f>
        <v/>
      </c>
      <c r="E35" s="49">
        <f>IF(OR($K35="",$C$16&lt;=0),"",D35/$C$16)</f>
        <v/>
      </c>
      <c r="F35" s="55">
        <f>IF($K35="","",INDEX($S$32:$S$46,$K35))</f>
        <v/>
      </c>
      <c r="G35" s="55">
        <f>IF($K35="","",INDEX($T$32:$T$46,$K35))</f>
        <v/>
      </c>
      <c r="H35" s="53">
        <f>IF($K35="","",INDEX($U$32:$U$46,$K35))</f>
        <v/>
      </c>
      <c r="I35" s="21">
        <f>IF($K35="","",INDEX($V$32:$V$46,$K35))</f>
        <v/>
      </c>
      <c r="K35" s="7">
        <f>IF(COUNT($W$32:$W$46)&lt;4,"",MATCH(LARGE($W$32:$W$46,4),$W$32:$W$46,0))</f>
        <v/>
      </c>
      <c r="N35" s="22">
        <f>IFERROR(SMALL(전표_원본!$S$5:$S$100000,4),"")</f>
        <v/>
      </c>
      <c r="O35" s="22">
        <f>IF(N35="","",INDEX(전표_원본!$K$1:$K$100000,N35))</f>
        <v/>
      </c>
      <c r="P35" s="29">
        <f>IF(O35="","",SUMIFS(전표_원본!$P$5:$P$100000,전표_원본!$Q$5:$Q$100000,"당기",전표_원본!$R$5:$R$100000,O35))</f>
        <v/>
      </c>
      <c r="Q35" s="29">
        <f>IF(O35="","",SUMIFS(전표_원본!$P$5:$P$100000,전표_원본!$Q$5:$Q$100000,"비교",전표_원본!$R$5:$R$100000,O35))</f>
        <v/>
      </c>
      <c r="R35" s="53">
        <f>IF(O35="","",P35-Q35)</f>
        <v/>
      </c>
      <c r="S35" s="22">
        <f>IF(O35="","",COUNTIFS(전표_원본!$Q$5:$Q$100000,"당기",전표_원본!$R$5:$R$100000,O35,전표_원본!$P$5:$P$100000,"&gt;0"))</f>
        <v/>
      </c>
      <c r="T35" s="22">
        <f>IF(O35="","",COUNTIFS(전표_원본!$Q$5:$Q$100000,"비교",전표_원본!$R$5:$R$100000,O35,전표_원본!$P$5:$P$100000,"&gt;0"))</f>
        <v/>
      </c>
      <c r="U35" s="29">
        <f>IF(O35="","",SUMPRODUCT(MAX((전표_원본!$Q$5:$Q$100000="당기")*(전표_원본!$R$5:$R$100000=O35)*전표_원본!$P$5:$P$100000)))</f>
        <v/>
      </c>
      <c r="V35" s="22">
        <f>IF(O35="","",IF(LEFT(O35,1)="(","N",IF(COUNTIFS(전표_원본!$O$5:$O$100000,$C$9,전표_원본!$K$5:$K$100000,O35,전표_원본!$M$5:$M$100000,"&gt;="&amp;($C$10-12),전표_원본!$M$5:$M$100000,"&lt;"&amp;$C$10)=0,"Y","N")))</f>
        <v/>
      </c>
      <c r="W35" s="50">
        <f>IF(O35="","",R35+ROW()/1000000)</f>
        <v/>
      </c>
      <c r="Y35" s="7" t="inlineStr">
        <is>
          <t>키워드 유형 행</t>
        </is>
      </c>
      <c r="Z35" s="22">
        <f>IF(Z34&lt;=0,"",MATCH(Z34,키워드사전!$I$5:$I$19,0))</f>
        <v/>
      </c>
    </row>
    <row r="36">
      <c r="A36" s="8">
        <f>IF($K36="","",INDEX($O$32:$O$46,$K36))</f>
        <v/>
      </c>
      <c r="B36" s="53">
        <f>IF($K36="","",INDEX($P$32:$P$46,$K36))</f>
        <v/>
      </c>
      <c r="C36" s="53">
        <f>IF($K36="","",INDEX($Q$32:$Q$46,$K36))</f>
        <v/>
      </c>
      <c r="D36" s="54">
        <f>IF($K36="","",INDEX($R$32:$R$46,$K36))</f>
        <v/>
      </c>
      <c r="E36" s="49">
        <f>IF(OR($K36="",$C$16&lt;=0),"",D36/$C$16)</f>
        <v/>
      </c>
      <c r="F36" s="55">
        <f>IF($K36="","",INDEX($S$32:$S$46,$K36))</f>
        <v/>
      </c>
      <c r="G36" s="55">
        <f>IF($K36="","",INDEX($T$32:$T$46,$K36))</f>
        <v/>
      </c>
      <c r="H36" s="53">
        <f>IF($K36="","",INDEX($U$32:$U$46,$K36))</f>
        <v/>
      </c>
      <c r="I36" s="21">
        <f>IF($K36="","",INDEX($V$32:$V$46,$K36))</f>
        <v/>
      </c>
      <c r="K36" s="7">
        <f>IF(COUNT($W$32:$W$46)&lt;5,"",MATCH(LARGE($W$32:$W$46,5),$W$32:$W$46,0))</f>
        <v/>
      </c>
      <c r="N36" s="22">
        <f>IFERROR(SMALL(전표_원본!$S$5:$S$100000,5),"")</f>
        <v/>
      </c>
      <c r="O36" s="22">
        <f>IF(N36="","",INDEX(전표_원본!$K$1:$K$100000,N36))</f>
        <v/>
      </c>
      <c r="P36" s="29">
        <f>IF(O36="","",SUMIFS(전표_원본!$P$5:$P$100000,전표_원본!$Q$5:$Q$100000,"당기",전표_원본!$R$5:$R$100000,O36))</f>
        <v/>
      </c>
      <c r="Q36" s="29">
        <f>IF(O36="","",SUMIFS(전표_원본!$P$5:$P$100000,전표_원본!$Q$5:$Q$100000,"비교",전표_원본!$R$5:$R$100000,O36))</f>
        <v/>
      </c>
      <c r="R36" s="53">
        <f>IF(O36="","",P36-Q36)</f>
        <v/>
      </c>
      <c r="S36" s="22">
        <f>IF(O36="","",COUNTIFS(전표_원본!$Q$5:$Q$100000,"당기",전표_원본!$R$5:$R$100000,O36,전표_원본!$P$5:$P$100000,"&gt;0"))</f>
        <v/>
      </c>
      <c r="T36" s="22">
        <f>IF(O36="","",COUNTIFS(전표_원본!$Q$5:$Q$100000,"비교",전표_원본!$R$5:$R$100000,O36,전표_원본!$P$5:$P$100000,"&gt;0"))</f>
        <v/>
      </c>
      <c r="U36" s="29">
        <f>IF(O36="","",SUMPRODUCT(MAX((전표_원본!$Q$5:$Q$100000="당기")*(전표_원본!$R$5:$R$100000=O36)*전표_원본!$P$5:$P$100000)))</f>
        <v/>
      </c>
      <c r="V36" s="22">
        <f>IF(O36="","",IF(LEFT(O36,1)="(","N",IF(COUNTIFS(전표_원본!$O$5:$O$100000,$C$9,전표_원본!$K$5:$K$100000,O36,전표_원본!$M$5:$M$100000,"&gt;="&amp;($C$10-12),전표_원본!$M$5:$M$100000,"&lt;"&amp;$C$10)=0,"Y","N")))</f>
        <v/>
      </c>
      <c r="W36" s="50">
        <f>IF(O36="","",R36+ROW()/1000000)</f>
        <v/>
      </c>
      <c r="Y36" s="7" t="inlineStr">
        <is>
          <t>당기 건수 (+)</t>
        </is>
      </c>
      <c r="Z36" s="22">
        <f>COUNTIFS(전표_원본!$Q$5:$Q$100000,"당기",전표_원본!$P$5:$P$100000,"&gt;0")</f>
        <v/>
      </c>
    </row>
    <row r="37">
      <c r="A37" s="8">
        <f>IF($K37="","",INDEX($O$32:$O$46,$K37))</f>
        <v/>
      </c>
      <c r="B37" s="53">
        <f>IF($K37="","",INDEX($P$32:$P$46,$K37))</f>
        <v/>
      </c>
      <c r="C37" s="53">
        <f>IF($K37="","",INDEX($Q$32:$Q$46,$K37))</f>
        <v/>
      </c>
      <c r="D37" s="54">
        <f>IF($K37="","",INDEX($R$32:$R$46,$K37))</f>
        <v/>
      </c>
      <c r="E37" s="49">
        <f>IF(OR($K37="",$C$16&lt;=0),"",D37/$C$16)</f>
        <v/>
      </c>
      <c r="F37" s="55">
        <f>IF($K37="","",INDEX($S$32:$S$46,$K37))</f>
        <v/>
      </c>
      <c r="G37" s="55">
        <f>IF($K37="","",INDEX($T$32:$T$46,$K37))</f>
        <v/>
      </c>
      <c r="H37" s="53">
        <f>IF($K37="","",INDEX($U$32:$U$46,$K37))</f>
        <v/>
      </c>
      <c r="I37" s="21">
        <f>IF($K37="","",INDEX($V$32:$V$46,$K37))</f>
        <v/>
      </c>
      <c r="K37" s="7">
        <f>IF(COUNT($W$32:$W$46)&lt;6,"",MATCH(LARGE($W$32:$W$46,6),$W$32:$W$46,0))</f>
        <v/>
      </c>
      <c r="N37" s="22">
        <f>IFERROR(SMALL(전표_원본!$S$5:$S$100000,6),"")</f>
        <v/>
      </c>
      <c r="O37" s="22">
        <f>IF(N37="","",INDEX(전표_원본!$K$1:$K$100000,N37))</f>
        <v/>
      </c>
      <c r="P37" s="29">
        <f>IF(O37="","",SUMIFS(전표_원본!$P$5:$P$100000,전표_원본!$Q$5:$Q$100000,"당기",전표_원본!$R$5:$R$100000,O37))</f>
        <v/>
      </c>
      <c r="Q37" s="29">
        <f>IF(O37="","",SUMIFS(전표_원본!$P$5:$P$100000,전표_원본!$Q$5:$Q$100000,"비교",전표_원본!$R$5:$R$100000,O37))</f>
        <v/>
      </c>
      <c r="R37" s="53">
        <f>IF(O37="","",P37-Q37)</f>
        <v/>
      </c>
      <c r="S37" s="22">
        <f>IF(O37="","",COUNTIFS(전표_원본!$Q$5:$Q$100000,"당기",전표_원본!$R$5:$R$100000,O37,전표_원본!$P$5:$P$100000,"&gt;0"))</f>
        <v/>
      </c>
      <c r="T37" s="22">
        <f>IF(O37="","",COUNTIFS(전표_원본!$Q$5:$Q$100000,"비교",전표_원본!$R$5:$R$100000,O37,전표_원본!$P$5:$P$100000,"&gt;0"))</f>
        <v/>
      </c>
      <c r="U37" s="29">
        <f>IF(O37="","",SUMPRODUCT(MAX((전표_원본!$Q$5:$Q$100000="당기")*(전표_원본!$R$5:$R$100000=O37)*전표_원본!$P$5:$P$100000)))</f>
        <v/>
      </c>
      <c r="V37" s="22">
        <f>IF(O37="","",IF(LEFT(O37,1)="(","N",IF(COUNTIFS(전표_원본!$O$5:$O$100000,$C$9,전표_원본!$K$5:$K$100000,O37,전표_원본!$M$5:$M$100000,"&gt;="&amp;($C$10-12),전표_원본!$M$5:$M$100000,"&lt;"&amp;$C$10)=0,"Y","N")))</f>
        <v/>
      </c>
      <c r="W37" s="50">
        <f>IF(O37="","",R37+ROW()/1000000)</f>
        <v/>
      </c>
      <c r="Y37" s="7" t="inlineStr">
        <is>
          <t>비교 건수 (+)</t>
        </is>
      </c>
      <c r="Z37" s="22">
        <f>COUNTIFS(전표_원본!$Q$5:$Q$100000,"비교",전표_원본!$P$5:$P$100000,"&gt;0")</f>
        <v/>
      </c>
    </row>
    <row r="38">
      <c r="A38" s="8">
        <f>IF($K38="","",INDEX($O$32:$O$46,$K38))</f>
        <v/>
      </c>
      <c r="B38" s="53">
        <f>IF($K38="","",INDEX($P$32:$P$46,$K38))</f>
        <v/>
      </c>
      <c r="C38" s="53">
        <f>IF($K38="","",INDEX($Q$32:$Q$46,$K38))</f>
        <v/>
      </c>
      <c r="D38" s="54">
        <f>IF($K38="","",INDEX($R$32:$R$46,$K38))</f>
        <v/>
      </c>
      <c r="E38" s="49">
        <f>IF(OR($K38="",$C$16&lt;=0),"",D38/$C$16)</f>
        <v/>
      </c>
      <c r="F38" s="55">
        <f>IF($K38="","",INDEX($S$32:$S$46,$K38))</f>
        <v/>
      </c>
      <c r="G38" s="55">
        <f>IF($K38="","",INDEX($T$32:$T$46,$K38))</f>
        <v/>
      </c>
      <c r="H38" s="53">
        <f>IF($K38="","",INDEX($U$32:$U$46,$K38))</f>
        <v/>
      </c>
      <c r="I38" s="21">
        <f>IF($K38="","",INDEX($V$32:$V$46,$K38))</f>
        <v/>
      </c>
      <c r="K38" s="7">
        <f>IF(COUNT($W$32:$W$46)&lt;7,"",MATCH(LARGE($W$32:$W$46,7),$W$32:$W$46,0))</f>
        <v/>
      </c>
      <c r="N38" s="22">
        <f>IFERROR(SMALL(전표_원본!$S$5:$S$100000,7),"")</f>
        <v/>
      </c>
      <c r="O38" s="22">
        <f>IF(N38="","",INDEX(전표_원본!$K$1:$K$100000,N38))</f>
        <v/>
      </c>
      <c r="P38" s="29">
        <f>IF(O38="","",SUMIFS(전표_원본!$P$5:$P$100000,전표_원본!$Q$5:$Q$100000,"당기",전표_원본!$R$5:$R$100000,O38))</f>
        <v/>
      </c>
      <c r="Q38" s="29">
        <f>IF(O38="","",SUMIFS(전표_원본!$P$5:$P$100000,전표_원본!$Q$5:$Q$100000,"비교",전표_원본!$R$5:$R$100000,O38))</f>
        <v/>
      </c>
      <c r="R38" s="53">
        <f>IF(O38="","",P38-Q38)</f>
        <v/>
      </c>
      <c r="S38" s="22">
        <f>IF(O38="","",COUNTIFS(전표_원본!$Q$5:$Q$100000,"당기",전표_원본!$R$5:$R$100000,O38,전표_원본!$P$5:$P$100000,"&gt;0"))</f>
        <v/>
      </c>
      <c r="T38" s="22">
        <f>IF(O38="","",COUNTIFS(전표_원본!$Q$5:$Q$100000,"비교",전표_원본!$R$5:$R$100000,O38,전표_원본!$P$5:$P$100000,"&gt;0"))</f>
        <v/>
      </c>
      <c r="U38" s="29">
        <f>IF(O38="","",SUMPRODUCT(MAX((전표_원본!$Q$5:$Q$100000="당기")*(전표_원본!$R$5:$R$100000=O38)*전표_원본!$P$5:$P$100000)))</f>
        <v/>
      </c>
      <c r="V38" s="22">
        <f>IF(O38="","",IF(LEFT(O38,1)="(","N",IF(COUNTIFS(전표_원본!$O$5:$O$100000,$C$9,전표_원본!$K$5:$K$100000,O38,전표_원본!$M$5:$M$100000,"&gt;="&amp;($C$10-12),전표_원본!$M$5:$M$100000,"&lt;"&amp;$C$10)=0,"Y","N")))</f>
        <v/>
      </c>
      <c r="W38" s="50">
        <f>IF(O38="","",R38+ROW()/1000000)</f>
        <v/>
      </c>
      <c r="Y38" s="7" t="inlineStr">
        <is>
          <t>당기 금액 (+)</t>
        </is>
      </c>
      <c r="Z38" s="29">
        <f>SUMIFS(전표_원본!$P$5:$P$100000,전표_원본!$Q$5:$Q$100000,"당기",전표_원본!$P$5:$P$100000,"&gt;0")</f>
        <v/>
      </c>
    </row>
    <row r="39">
      <c r="A39" s="8">
        <f>IF($K39="","",INDEX($O$32:$O$46,$K39))</f>
        <v/>
      </c>
      <c r="B39" s="53">
        <f>IF($K39="","",INDEX($P$32:$P$46,$K39))</f>
        <v/>
      </c>
      <c r="C39" s="53">
        <f>IF($K39="","",INDEX($Q$32:$Q$46,$K39))</f>
        <v/>
      </c>
      <c r="D39" s="54">
        <f>IF($K39="","",INDEX($R$32:$R$46,$K39))</f>
        <v/>
      </c>
      <c r="E39" s="49">
        <f>IF(OR($K39="",$C$16&lt;=0),"",D39/$C$16)</f>
        <v/>
      </c>
      <c r="F39" s="55">
        <f>IF($K39="","",INDEX($S$32:$S$46,$K39))</f>
        <v/>
      </c>
      <c r="G39" s="55">
        <f>IF($K39="","",INDEX($T$32:$T$46,$K39))</f>
        <v/>
      </c>
      <c r="H39" s="53">
        <f>IF($K39="","",INDEX($U$32:$U$46,$K39))</f>
        <v/>
      </c>
      <c r="I39" s="21">
        <f>IF($K39="","",INDEX($V$32:$V$46,$K39))</f>
        <v/>
      </c>
      <c r="K39" s="7">
        <f>IF(COUNT($W$32:$W$46)&lt;8,"",MATCH(LARGE($W$32:$W$46,8),$W$32:$W$46,0))</f>
        <v/>
      </c>
      <c r="N39" s="22">
        <f>IFERROR(SMALL(전표_원본!$S$5:$S$100000,8),"")</f>
        <v/>
      </c>
      <c r="O39" s="22">
        <f>IF(N39="","",INDEX(전표_원본!$K$1:$K$100000,N39))</f>
        <v/>
      </c>
      <c r="P39" s="29">
        <f>IF(O39="","",SUMIFS(전표_원본!$P$5:$P$100000,전표_원본!$Q$5:$Q$100000,"당기",전표_원본!$R$5:$R$100000,O39))</f>
        <v/>
      </c>
      <c r="Q39" s="29">
        <f>IF(O39="","",SUMIFS(전표_원본!$P$5:$P$100000,전표_원본!$Q$5:$Q$100000,"비교",전표_원본!$R$5:$R$100000,O39))</f>
        <v/>
      </c>
      <c r="R39" s="53">
        <f>IF(O39="","",P39-Q39)</f>
        <v/>
      </c>
      <c r="S39" s="22">
        <f>IF(O39="","",COUNTIFS(전표_원본!$Q$5:$Q$100000,"당기",전표_원본!$R$5:$R$100000,O39,전표_원본!$P$5:$P$100000,"&gt;0"))</f>
        <v/>
      </c>
      <c r="T39" s="22">
        <f>IF(O39="","",COUNTIFS(전표_원본!$Q$5:$Q$100000,"비교",전표_원본!$R$5:$R$100000,O39,전표_원본!$P$5:$P$100000,"&gt;0"))</f>
        <v/>
      </c>
      <c r="U39" s="29">
        <f>IF(O39="","",SUMPRODUCT(MAX((전표_원본!$Q$5:$Q$100000="당기")*(전표_원본!$R$5:$R$100000=O39)*전표_원본!$P$5:$P$100000)))</f>
        <v/>
      </c>
      <c r="V39" s="22">
        <f>IF(O39="","",IF(LEFT(O39,1)="(","N",IF(COUNTIFS(전표_원본!$O$5:$O$100000,$C$9,전표_원본!$K$5:$K$100000,O39,전표_원본!$M$5:$M$100000,"&gt;="&amp;($C$10-12),전표_원본!$M$5:$M$100000,"&lt;"&amp;$C$10)=0,"Y","N")))</f>
        <v/>
      </c>
      <c r="W39" s="50">
        <f>IF(O39="","",R39+ROW()/1000000)</f>
        <v/>
      </c>
      <c r="Y39" s="7" t="inlineStr">
        <is>
          <t>비교 금액 (+)</t>
        </is>
      </c>
      <c r="Z39" s="29">
        <f>SUMIFS(전표_원본!$P$5:$P$100000,전표_원본!$Q$5:$Q$100000,"비교",전표_원본!$P$5:$P$100000,"&gt;0")</f>
        <v/>
      </c>
    </row>
    <row r="40">
      <c r="A40" s="8">
        <f>IF($K40="","",INDEX($O$32:$O$46,$K40))</f>
        <v/>
      </c>
      <c r="B40" s="53">
        <f>IF($K40="","",INDEX($P$32:$P$46,$K40))</f>
        <v/>
      </c>
      <c r="C40" s="53">
        <f>IF($K40="","",INDEX($Q$32:$Q$46,$K40))</f>
        <v/>
      </c>
      <c r="D40" s="54">
        <f>IF($K40="","",INDEX($R$32:$R$46,$K40))</f>
        <v/>
      </c>
      <c r="E40" s="49">
        <f>IF(OR($K40="",$C$16&lt;=0),"",D40/$C$16)</f>
        <v/>
      </c>
      <c r="F40" s="55">
        <f>IF($K40="","",INDEX($S$32:$S$46,$K40))</f>
        <v/>
      </c>
      <c r="G40" s="55">
        <f>IF($K40="","",INDEX($T$32:$T$46,$K40))</f>
        <v/>
      </c>
      <c r="H40" s="53">
        <f>IF($K40="","",INDEX($U$32:$U$46,$K40))</f>
        <v/>
      </c>
      <c r="I40" s="21">
        <f>IF($K40="","",INDEX($V$32:$V$46,$K40))</f>
        <v/>
      </c>
      <c r="K40" s="7">
        <f>IF(COUNT($W$32:$W$46)&lt;9,"",MATCH(LARGE($W$32:$W$46,9),$W$32:$W$46,0))</f>
        <v/>
      </c>
      <c r="N40" s="22">
        <f>IFERROR(SMALL(전표_원본!$S$5:$S$100000,9),"")</f>
        <v/>
      </c>
      <c r="O40" s="22">
        <f>IF(N40="","",INDEX(전표_원본!$K$1:$K$100000,N40))</f>
        <v/>
      </c>
      <c r="P40" s="29">
        <f>IF(O40="","",SUMIFS(전표_원본!$P$5:$P$100000,전표_원본!$Q$5:$Q$100000,"당기",전표_원본!$R$5:$R$100000,O40))</f>
        <v/>
      </c>
      <c r="Q40" s="29">
        <f>IF(O40="","",SUMIFS(전표_원본!$P$5:$P$100000,전표_원본!$Q$5:$Q$100000,"비교",전표_원본!$R$5:$R$100000,O40))</f>
        <v/>
      </c>
      <c r="R40" s="53">
        <f>IF(O40="","",P40-Q40)</f>
        <v/>
      </c>
      <c r="S40" s="22">
        <f>IF(O40="","",COUNTIFS(전표_원본!$Q$5:$Q$100000,"당기",전표_원본!$R$5:$R$100000,O40,전표_원본!$P$5:$P$100000,"&gt;0"))</f>
        <v/>
      </c>
      <c r="T40" s="22">
        <f>IF(O40="","",COUNTIFS(전표_원본!$Q$5:$Q$100000,"비교",전표_원본!$R$5:$R$100000,O40,전표_원본!$P$5:$P$100000,"&gt;0"))</f>
        <v/>
      </c>
      <c r="U40" s="29">
        <f>IF(O40="","",SUMPRODUCT(MAX((전표_원본!$Q$5:$Q$100000="당기")*(전표_원본!$R$5:$R$100000=O40)*전표_원본!$P$5:$P$100000)))</f>
        <v/>
      </c>
      <c r="V40" s="22">
        <f>IF(O40="","",IF(LEFT(O40,1)="(","N",IF(COUNTIFS(전표_원본!$O$5:$O$100000,$C$9,전표_원본!$K$5:$K$100000,O40,전표_원본!$M$5:$M$100000,"&gt;="&amp;($C$10-12),전표_원본!$M$5:$M$100000,"&lt;"&amp;$C$10)=0,"Y","N")))</f>
        <v/>
      </c>
      <c r="W40" s="50">
        <f>IF(O40="","",R40+ROW()/1000000)</f>
        <v/>
      </c>
      <c r="Y40" s="7" t="inlineStr">
        <is>
          <t>건당 당기</t>
        </is>
      </c>
      <c r="Z40" s="53">
        <f>IF(Z36=0,0,Z38/Z36)</f>
        <v/>
      </c>
    </row>
    <row r="41">
      <c r="A41" s="8">
        <f>IF($K41="","",INDEX($O$32:$O$46,$K41))</f>
        <v/>
      </c>
      <c r="B41" s="53">
        <f>IF($K41="","",INDEX($P$32:$P$46,$K41))</f>
        <v/>
      </c>
      <c r="C41" s="53">
        <f>IF($K41="","",INDEX($Q$32:$Q$46,$K41))</f>
        <v/>
      </c>
      <c r="D41" s="54">
        <f>IF($K41="","",INDEX($R$32:$R$46,$K41))</f>
        <v/>
      </c>
      <c r="E41" s="49">
        <f>IF(OR($K41="",$C$16&lt;=0),"",D41/$C$16)</f>
        <v/>
      </c>
      <c r="F41" s="55">
        <f>IF($K41="","",INDEX($S$32:$S$46,$K41))</f>
        <v/>
      </c>
      <c r="G41" s="55">
        <f>IF($K41="","",INDEX($T$32:$T$46,$K41))</f>
        <v/>
      </c>
      <c r="H41" s="53">
        <f>IF($K41="","",INDEX($U$32:$U$46,$K41))</f>
        <v/>
      </c>
      <c r="I41" s="21">
        <f>IF($K41="","",INDEX($V$32:$V$46,$K41))</f>
        <v/>
      </c>
      <c r="K41" s="7">
        <f>IF(COUNT($W$32:$W$46)&lt;10,"",MATCH(LARGE($W$32:$W$46,10),$W$32:$W$46,0))</f>
        <v/>
      </c>
      <c r="N41" s="22">
        <f>IFERROR(SMALL(전표_원본!$S$5:$S$100000,10),"")</f>
        <v/>
      </c>
      <c r="O41" s="22">
        <f>IF(N41="","",INDEX(전표_원본!$K$1:$K$100000,N41))</f>
        <v/>
      </c>
      <c r="P41" s="29">
        <f>IF(O41="","",SUMIFS(전표_원본!$P$5:$P$100000,전표_원본!$Q$5:$Q$100000,"당기",전표_원본!$R$5:$R$100000,O41))</f>
        <v/>
      </c>
      <c r="Q41" s="29">
        <f>IF(O41="","",SUMIFS(전표_원본!$P$5:$P$100000,전표_원본!$Q$5:$Q$100000,"비교",전표_원본!$R$5:$R$100000,O41))</f>
        <v/>
      </c>
      <c r="R41" s="53">
        <f>IF(O41="","",P41-Q41)</f>
        <v/>
      </c>
      <c r="S41" s="22">
        <f>IF(O41="","",COUNTIFS(전표_원본!$Q$5:$Q$100000,"당기",전표_원본!$R$5:$R$100000,O41,전표_원본!$P$5:$P$100000,"&gt;0"))</f>
        <v/>
      </c>
      <c r="T41" s="22">
        <f>IF(O41="","",COUNTIFS(전표_원본!$Q$5:$Q$100000,"비교",전표_원본!$R$5:$R$100000,O41,전표_원본!$P$5:$P$100000,"&gt;0"))</f>
        <v/>
      </c>
      <c r="U41" s="29">
        <f>IF(O41="","",SUMPRODUCT(MAX((전표_원본!$Q$5:$Q$100000="당기")*(전표_원본!$R$5:$R$100000=O41)*전표_원본!$P$5:$P$100000)))</f>
        <v/>
      </c>
      <c r="V41" s="22">
        <f>IF(O41="","",IF(LEFT(O41,1)="(","N",IF(COUNTIFS(전표_원본!$O$5:$O$100000,$C$9,전표_원본!$K$5:$K$100000,O41,전표_원본!$M$5:$M$100000,"&gt;="&amp;($C$10-12),전표_원본!$M$5:$M$100000,"&lt;"&amp;$C$10)=0,"Y","N")))</f>
        <v/>
      </c>
      <c r="W41" s="50">
        <f>IF(O41="","",R41+ROW()/1000000)</f>
        <v/>
      </c>
      <c r="Y41" s="7" t="inlineStr">
        <is>
          <t>건당 비교</t>
        </is>
      </c>
      <c r="Z41" s="53">
        <f>IF(Z37=0,0,Z39/Z37)</f>
        <v/>
      </c>
    </row>
    <row r="42">
      <c r="A42" s="8">
        <f>IF($K42="","",INDEX($O$32:$O$46,$K42))</f>
        <v/>
      </c>
      <c r="B42" s="53">
        <f>IF($K42="","",INDEX($P$32:$P$46,$K42))</f>
        <v/>
      </c>
      <c r="C42" s="53">
        <f>IF($K42="","",INDEX($Q$32:$Q$46,$K42))</f>
        <v/>
      </c>
      <c r="D42" s="54">
        <f>IF($K42="","",INDEX($R$32:$R$46,$K42))</f>
        <v/>
      </c>
      <c r="E42" s="49">
        <f>IF(OR($K42="",$C$16&lt;=0),"",D42/$C$16)</f>
        <v/>
      </c>
      <c r="F42" s="55">
        <f>IF($K42="","",INDEX($S$32:$S$46,$K42))</f>
        <v/>
      </c>
      <c r="G42" s="55">
        <f>IF($K42="","",INDEX($T$32:$T$46,$K42))</f>
        <v/>
      </c>
      <c r="H42" s="53">
        <f>IF($K42="","",INDEX($U$32:$U$46,$K42))</f>
        <v/>
      </c>
      <c r="I42" s="21">
        <f>IF($K42="","",INDEX($V$32:$V$46,$K42))</f>
        <v/>
      </c>
      <c r="K42" s="7">
        <f>IF(COUNT($W$32:$W$46)&lt;11,"",MATCH(LARGE($W$32:$W$46,11),$W$32:$W$46,0))</f>
        <v/>
      </c>
      <c r="N42" s="22">
        <f>IFERROR(SMALL(전표_원본!$S$5:$S$100000,11),"")</f>
        <v/>
      </c>
      <c r="O42" s="22">
        <f>IF(N42="","",INDEX(전표_원본!$K$1:$K$100000,N42))</f>
        <v/>
      </c>
      <c r="P42" s="29">
        <f>IF(O42="","",SUMIFS(전표_원본!$P$5:$P$100000,전표_원본!$Q$5:$Q$100000,"당기",전표_원본!$R$5:$R$100000,O42))</f>
        <v/>
      </c>
      <c r="Q42" s="29">
        <f>IF(O42="","",SUMIFS(전표_원본!$P$5:$P$100000,전표_원본!$Q$5:$Q$100000,"비교",전표_원본!$R$5:$R$100000,O42))</f>
        <v/>
      </c>
      <c r="R42" s="53">
        <f>IF(O42="","",P42-Q42)</f>
        <v/>
      </c>
      <c r="S42" s="22">
        <f>IF(O42="","",COUNTIFS(전표_원본!$Q$5:$Q$100000,"당기",전표_원본!$R$5:$R$100000,O42,전표_원본!$P$5:$P$100000,"&gt;0"))</f>
        <v/>
      </c>
      <c r="T42" s="22">
        <f>IF(O42="","",COUNTIFS(전표_원본!$Q$5:$Q$100000,"비교",전표_원본!$R$5:$R$100000,O42,전표_원본!$P$5:$P$100000,"&gt;0"))</f>
        <v/>
      </c>
      <c r="U42" s="29">
        <f>IF(O42="","",SUMPRODUCT(MAX((전표_원본!$Q$5:$Q$100000="당기")*(전표_원본!$R$5:$R$100000=O42)*전표_원본!$P$5:$P$100000)))</f>
        <v/>
      </c>
      <c r="V42" s="22">
        <f>IF(O42="","",IF(LEFT(O42,1)="(","N",IF(COUNTIFS(전표_원본!$O$5:$O$100000,$C$9,전표_원본!$K$5:$K$100000,O42,전표_원본!$M$5:$M$100000,"&gt;="&amp;($C$10-12),전표_원본!$M$5:$M$100000,"&lt;"&amp;$C$10)=0,"Y","N")))</f>
        <v/>
      </c>
      <c r="W42" s="50">
        <f>IF(O42="","",R42+ROW()/1000000)</f>
        <v/>
      </c>
      <c r="Y42" s="7" t="inlineStr">
        <is>
          <t>신규 거래처 증감</t>
        </is>
      </c>
      <c r="Z42" s="53">
        <f>SUMIFS($R$32:$R$46,$V$32:$V$46,"Y")</f>
        <v/>
      </c>
    </row>
    <row r="43">
      <c r="A43" s="8">
        <f>IF($K43="","",INDEX($O$32:$O$46,$K43))</f>
        <v/>
      </c>
      <c r="B43" s="53">
        <f>IF($K43="","",INDEX($P$32:$P$46,$K43))</f>
        <v/>
      </c>
      <c r="C43" s="53">
        <f>IF($K43="","",INDEX($Q$32:$Q$46,$K43))</f>
        <v/>
      </c>
      <c r="D43" s="54">
        <f>IF($K43="","",INDEX($R$32:$R$46,$K43))</f>
        <v/>
      </c>
      <c r="E43" s="49">
        <f>IF(OR($K43="",$C$16&lt;=0),"",D43/$C$16)</f>
        <v/>
      </c>
      <c r="F43" s="55">
        <f>IF($K43="","",INDEX($S$32:$S$46,$K43))</f>
        <v/>
      </c>
      <c r="G43" s="55">
        <f>IF($K43="","",INDEX($T$32:$T$46,$K43))</f>
        <v/>
      </c>
      <c r="H43" s="53">
        <f>IF($K43="","",INDEX($U$32:$U$46,$K43))</f>
        <v/>
      </c>
      <c r="I43" s="21">
        <f>IF($K43="","",INDEX($V$32:$V$46,$K43))</f>
        <v/>
      </c>
      <c r="K43" s="7">
        <f>IF(COUNT($W$32:$W$46)&lt;12,"",MATCH(LARGE($W$32:$W$46,12),$W$32:$W$46,0))</f>
        <v/>
      </c>
      <c r="N43" s="22">
        <f>IFERROR(SMALL(전표_원본!$S$5:$S$100000,12),"")</f>
        <v/>
      </c>
      <c r="O43" s="22">
        <f>IF(N43="","",INDEX(전표_원본!$K$1:$K$100000,N43))</f>
        <v/>
      </c>
      <c r="P43" s="29">
        <f>IF(O43="","",SUMIFS(전표_원본!$P$5:$P$100000,전표_원본!$Q$5:$Q$100000,"당기",전표_원본!$R$5:$R$100000,O43))</f>
        <v/>
      </c>
      <c r="Q43" s="29">
        <f>IF(O43="","",SUMIFS(전표_원본!$P$5:$P$100000,전표_원본!$Q$5:$Q$100000,"비교",전표_원본!$R$5:$R$100000,O43))</f>
        <v/>
      </c>
      <c r="R43" s="53">
        <f>IF(O43="","",P43-Q43)</f>
        <v/>
      </c>
      <c r="S43" s="22">
        <f>IF(O43="","",COUNTIFS(전표_원본!$Q$5:$Q$100000,"당기",전표_원본!$R$5:$R$100000,O43,전표_원본!$P$5:$P$100000,"&gt;0"))</f>
        <v/>
      </c>
      <c r="T43" s="22">
        <f>IF(O43="","",COUNTIFS(전표_원본!$Q$5:$Q$100000,"비교",전표_원본!$R$5:$R$100000,O43,전표_원본!$P$5:$P$100000,"&gt;0"))</f>
        <v/>
      </c>
      <c r="U43" s="29">
        <f>IF(O43="","",SUMPRODUCT(MAX((전표_원본!$Q$5:$Q$100000="당기")*(전표_원본!$R$5:$R$100000=O43)*전표_원본!$P$5:$P$100000)))</f>
        <v/>
      </c>
      <c r="V43" s="22">
        <f>IF(O43="","",IF(LEFT(O43,1)="(","N",IF(COUNTIFS(전표_원본!$O$5:$O$100000,$C$9,전표_원본!$K$5:$K$100000,O43,전표_원본!$M$5:$M$100000,"&gt;="&amp;($C$10-12),전표_원본!$M$5:$M$100000,"&lt;"&amp;$C$10)=0,"Y","N")))</f>
        <v/>
      </c>
      <c r="W43" s="50">
        <f>IF(O43="","",R43+ROW()/1000000)</f>
        <v/>
      </c>
      <c r="Y43" s="7" t="inlineStr">
        <is>
          <t>신규 거래처 수</t>
        </is>
      </c>
      <c r="Z43" s="8">
        <f>COUNTIFS($V$32:$V$46,"Y",$R$32:$R$46,"&gt;0")</f>
        <v/>
      </c>
    </row>
    <row r="44">
      <c r="A44" s="8">
        <f>IF($K44="","",INDEX($O$32:$O$46,$K44))</f>
        <v/>
      </c>
      <c r="B44" s="53">
        <f>IF($K44="","",INDEX($P$32:$P$46,$K44))</f>
        <v/>
      </c>
      <c r="C44" s="53">
        <f>IF($K44="","",INDEX($Q$32:$Q$46,$K44))</f>
        <v/>
      </c>
      <c r="D44" s="54">
        <f>IF($K44="","",INDEX($R$32:$R$46,$K44))</f>
        <v/>
      </c>
      <c r="E44" s="49">
        <f>IF(OR($K44="",$C$16&lt;=0),"",D44/$C$16)</f>
        <v/>
      </c>
      <c r="F44" s="55">
        <f>IF($K44="","",INDEX($S$32:$S$46,$K44))</f>
        <v/>
      </c>
      <c r="G44" s="55">
        <f>IF($K44="","",INDEX($T$32:$T$46,$K44))</f>
        <v/>
      </c>
      <c r="H44" s="53">
        <f>IF($K44="","",INDEX($U$32:$U$46,$K44))</f>
        <v/>
      </c>
      <c r="I44" s="21">
        <f>IF($K44="","",INDEX($V$32:$V$46,$K44))</f>
        <v/>
      </c>
      <c r="K44" s="7">
        <f>IF(COUNT($W$32:$W$46)&lt;13,"",MATCH(LARGE($W$32:$W$46,13),$W$32:$W$46,0))</f>
        <v/>
      </c>
      <c r="N44" s="22">
        <f>IFERROR(SMALL(전표_원본!$S$5:$S$100000,13),"")</f>
        <v/>
      </c>
      <c r="O44" s="22">
        <f>IF(N44="","",INDEX(전표_원본!$K$1:$K$100000,N44))</f>
        <v/>
      </c>
      <c r="P44" s="29">
        <f>IF(O44="","",SUMIFS(전표_원본!$P$5:$P$100000,전표_원본!$Q$5:$Q$100000,"당기",전표_원본!$R$5:$R$100000,O44))</f>
        <v/>
      </c>
      <c r="Q44" s="29">
        <f>IF(O44="","",SUMIFS(전표_원본!$P$5:$P$100000,전표_원본!$Q$5:$Q$100000,"비교",전표_원본!$R$5:$R$100000,O44))</f>
        <v/>
      </c>
      <c r="R44" s="53">
        <f>IF(O44="","",P44-Q44)</f>
        <v/>
      </c>
      <c r="S44" s="22">
        <f>IF(O44="","",COUNTIFS(전표_원본!$Q$5:$Q$100000,"당기",전표_원본!$R$5:$R$100000,O44,전표_원본!$P$5:$P$100000,"&gt;0"))</f>
        <v/>
      </c>
      <c r="T44" s="22">
        <f>IF(O44="","",COUNTIFS(전표_원본!$Q$5:$Q$100000,"비교",전표_원본!$R$5:$R$100000,O44,전표_원본!$P$5:$P$100000,"&gt;0"))</f>
        <v/>
      </c>
      <c r="U44" s="29">
        <f>IF(O44="","",SUMPRODUCT(MAX((전표_원본!$Q$5:$Q$100000="당기")*(전표_원본!$R$5:$R$100000=O44)*전표_원본!$P$5:$P$100000)))</f>
        <v/>
      </c>
      <c r="V44" s="22">
        <f>IF(O44="","",IF(LEFT(O44,1)="(","N",IF(COUNTIFS(전표_원본!$O$5:$O$100000,$C$9,전표_원본!$K$5:$K$100000,O44,전표_원본!$M$5:$M$100000,"&gt;="&amp;($C$10-12),전표_원본!$M$5:$M$100000,"&lt;"&amp;$C$10)=0,"Y","N")))</f>
        <v/>
      </c>
      <c r="W44" s="50">
        <f>IF(O44="","",R44+ROW()/1000000)</f>
        <v/>
      </c>
      <c r="Y44" s="7" t="inlineStr">
        <is>
          <t>첫 신규 거래처</t>
        </is>
      </c>
      <c r="Z44" s="8">
        <f>IFERROR(INDEX($A$32:$A$46,MATCH("Y",$I$32:$I$46,0)),"")</f>
        <v/>
      </c>
    </row>
    <row r="45">
      <c r="A45" s="8">
        <f>IF($K45="","",INDEX($O$32:$O$46,$K45))</f>
        <v/>
      </c>
      <c r="B45" s="53">
        <f>IF($K45="","",INDEX($P$32:$P$46,$K45))</f>
        <v/>
      </c>
      <c r="C45" s="53">
        <f>IF($K45="","",INDEX($Q$32:$Q$46,$K45))</f>
        <v/>
      </c>
      <c r="D45" s="54">
        <f>IF($K45="","",INDEX($R$32:$R$46,$K45))</f>
        <v/>
      </c>
      <c r="E45" s="49">
        <f>IF(OR($K45="",$C$16&lt;=0),"",D45/$C$16)</f>
        <v/>
      </c>
      <c r="F45" s="55">
        <f>IF($K45="","",INDEX($S$32:$S$46,$K45))</f>
        <v/>
      </c>
      <c r="G45" s="55">
        <f>IF($K45="","",INDEX($T$32:$T$46,$K45))</f>
        <v/>
      </c>
      <c r="H45" s="53">
        <f>IF($K45="","",INDEX($U$32:$U$46,$K45))</f>
        <v/>
      </c>
      <c r="I45" s="21">
        <f>IF($K45="","",INDEX($V$32:$V$46,$K45))</f>
        <v/>
      </c>
      <c r="K45" s="7">
        <f>IF(COUNT($W$32:$W$46)&lt;14,"",MATCH(LARGE($W$32:$W$46,14),$W$32:$W$46,0))</f>
        <v/>
      </c>
      <c r="N45" s="22">
        <f>IFERROR(SMALL(전표_원본!$S$5:$S$100000,14),"")</f>
        <v/>
      </c>
      <c r="O45" s="22">
        <f>IF(N45="","",INDEX(전표_원본!$K$1:$K$100000,N45))</f>
        <v/>
      </c>
      <c r="P45" s="29">
        <f>IF(O45="","",SUMIFS(전표_원본!$P$5:$P$100000,전표_원본!$Q$5:$Q$100000,"당기",전표_원본!$R$5:$R$100000,O45))</f>
        <v/>
      </c>
      <c r="Q45" s="29">
        <f>IF(O45="","",SUMIFS(전표_원본!$P$5:$P$100000,전표_원본!$Q$5:$Q$100000,"비교",전표_원본!$R$5:$R$100000,O45))</f>
        <v/>
      </c>
      <c r="R45" s="53">
        <f>IF(O45="","",P45-Q45)</f>
        <v/>
      </c>
      <c r="S45" s="22">
        <f>IF(O45="","",COUNTIFS(전표_원본!$Q$5:$Q$100000,"당기",전표_원본!$R$5:$R$100000,O45,전표_원본!$P$5:$P$100000,"&gt;0"))</f>
        <v/>
      </c>
      <c r="T45" s="22">
        <f>IF(O45="","",COUNTIFS(전표_원본!$Q$5:$Q$100000,"비교",전표_원본!$R$5:$R$100000,O45,전표_원본!$P$5:$P$100000,"&gt;0"))</f>
        <v/>
      </c>
      <c r="U45" s="29">
        <f>IF(O45="","",SUMPRODUCT(MAX((전표_원본!$Q$5:$Q$100000="당기")*(전표_원본!$R$5:$R$100000=O45)*전표_원본!$P$5:$P$100000)))</f>
        <v/>
      </c>
      <c r="V45" s="22">
        <f>IF(O45="","",IF(LEFT(O45,1)="(","N",IF(COUNTIFS(전표_원본!$O$5:$O$100000,$C$9,전표_원본!$K$5:$K$100000,O45,전표_원본!$M$5:$M$100000,"&gt;="&amp;($C$10-12),전표_원본!$M$5:$M$100000,"&lt;"&amp;$C$10)=0,"Y","N")))</f>
        <v/>
      </c>
      <c r="W45" s="50">
        <f>IF(O45="","",R45+ROW()/1000000)</f>
        <v/>
      </c>
    </row>
    <row r="46">
      <c r="A46" s="8">
        <f>IF($K46="","",INDEX($O$32:$O$46,$K46))</f>
        <v/>
      </c>
      <c r="B46" s="53">
        <f>IF($K46="","",INDEX($P$32:$P$46,$K46))</f>
        <v/>
      </c>
      <c r="C46" s="53">
        <f>IF($K46="","",INDEX($Q$32:$Q$46,$K46))</f>
        <v/>
      </c>
      <c r="D46" s="54">
        <f>IF($K46="","",INDEX($R$32:$R$46,$K46))</f>
        <v/>
      </c>
      <c r="E46" s="49">
        <f>IF(OR($K46="",$C$16&lt;=0),"",D46/$C$16)</f>
        <v/>
      </c>
      <c r="F46" s="55">
        <f>IF($K46="","",INDEX($S$32:$S$46,$K46))</f>
        <v/>
      </c>
      <c r="G46" s="55">
        <f>IF($K46="","",INDEX($T$32:$T$46,$K46))</f>
        <v/>
      </c>
      <c r="H46" s="53">
        <f>IF($K46="","",INDEX($U$32:$U$46,$K46))</f>
        <v/>
      </c>
      <c r="I46" s="21">
        <f>IF($K46="","",INDEX($V$32:$V$46,$K46))</f>
        <v/>
      </c>
      <c r="K46" s="7">
        <f>IF(COUNT($W$32:$W$46)&lt;15,"",MATCH(LARGE($W$32:$W$46,15),$W$32:$W$46,0))</f>
        <v/>
      </c>
      <c r="N46" s="22">
        <f>IFERROR(SMALL(전표_원본!$S$5:$S$100000,15),"")</f>
        <v/>
      </c>
      <c r="O46" s="22">
        <f>IF(N46="","",INDEX(전표_원본!$K$1:$K$100000,N46))</f>
        <v/>
      </c>
      <c r="P46" s="29">
        <f>IF(O46="","",SUMIFS(전표_원본!$P$5:$P$100000,전표_원본!$Q$5:$Q$100000,"당기",전표_원본!$R$5:$R$100000,O46))</f>
        <v/>
      </c>
      <c r="Q46" s="29">
        <f>IF(O46="","",SUMIFS(전표_원본!$P$5:$P$100000,전표_원본!$Q$5:$Q$100000,"비교",전표_원본!$R$5:$R$100000,O46))</f>
        <v/>
      </c>
      <c r="R46" s="53">
        <f>IF(O46="","",P46-Q46)</f>
        <v/>
      </c>
      <c r="S46" s="22">
        <f>IF(O46="","",COUNTIFS(전표_원본!$Q$5:$Q$100000,"당기",전표_원본!$R$5:$R$100000,O46,전표_원본!$P$5:$P$100000,"&gt;0"))</f>
        <v/>
      </c>
      <c r="T46" s="22">
        <f>IF(O46="","",COUNTIFS(전표_원본!$Q$5:$Q$100000,"비교",전표_원본!$R$5:$R$100000,O46,전표_원본!$P$5:$P$100000,"&gt;0"))</f>
        <v/>
      </c>
      <c r="U46" s="29">
        <f>IF(O46="","",SUMPRODUCT(MAX((전표_원본!$Q$5:$Q$100000="당기")*(전표_원본!$R$5:$R$100000=O46)*전표_원본!$P$5:$P$100000)))</f>
        <v/>
      </c>
      <c r="V46" s="22">
        <f>IF(O46="","",IF(LEFT(O46,1)="(","N",IF(COUNTIFS(전표_원본!$O$5:$O$100000,$C$9,전표_원본!$K$5:$K$100000,O46,전표_원본!$M$5:$M$100000,"&gt;="&amp;($C$10-12),전표_원본!$M$5:$M$100000,"&lt;"&amp;$C$10)=0,"Y","N")))</f>
        <v/>
      </c>
      <c r="W46" s="50">
        <f>IF(O46="","",R46+ROW()/1000000)</f>
        <v/>
      </c>
    </row>
    <row r="49">
      <c r="A49" s="3" t="inlineStr">
        <is>
          <t>근거 전표 · 당기 (금액 절댓값 큰 순)</t>
        </is>
      </c>
    </row>
    <row r="50" ht="20" customHeight="1">
      <c r="A50" s="4" t="inlineStr">
        <is>
          <t>전기일</t>
        </is>
      </c>
      <c r="B50" s="4" t="inlineStr">
        <is>
          <t>전표번호</t>
        </is>
      </c>
      <c r="C50" s="4" t="inlineStr">
        <is>
          <t>유형</t>
        </is>
      </c>
      <c r="D50" s="4" t="inlineStr">
        <is>
          <t>거래처</t>
        </is>
      </c>
      <c r="E50" s="4" t="inlineStr">
        <is>
          <t>적요</t>
        </is>
      </c>
      <c r="F50" s="4" t="inlineStr">
        <is>
          <t>금액</t>
        </is>
      </c>
      <c r="G50" s="4" t="inlineStr">
        <is>
          <t>코스트센터</t>
        </is>
      </c>
    </row>
    <row r="51">
      <c r="A51" s="57">
        <f>IF($K51="","",INDEX(전표_원본!$D$5:$D$100000,$K51))</f>
        <v/>
      </c>
      <c r="B51" s="22">
        <f>IF($K51="","",INDEX(전표_원본!$C$5:$C$100000,$K51))</f>
        <v/>
      </c>
      <c r="C51" s="28">
        <f>IF($K51="","",INDEX(전표_원본!$E$5:$E$100000,$K51))</f>
        <v/>
      </c>
      <c r="D51" s="22">
        <f>IF($K51="","",INDEX(전표_원본!$K$5:$K$100000,$K51))</f>
        <v/>
      </c>
      <c r="E51" s="22">
        <f>IF($K51="","",INDEX(전표_원본!$I$5:$I$100000,$K51))</f>
        <v/>
      </c>
      <c r="F51" s="29">
        <f>IF($K51="","",INDEX(전표_원본!$P$5:$P$100000,$K51))</f>
        <v/>
      </c>
      <c r="G51" s="28">
        <f>IF($K51="","",INDEX(전표_원본!$G$5:$G$100000,$K51))</f>
        <v/>
      </c>
      <c r="K51" s="7">
        <f>IFERROR(MATCH(LARGE(전표_원본!$T$5:$T$100000,1),전표_원본!$T$5:$T$100000,0),"")</f>
        <v/>
      </c>
    </row>
    <row r="52">
      <c r="A52" s="57">
        <f>IF($K52="","",INDEX(전표_원본!$D$5:$D$100000,$K52))</f>
        <v/>
      </c>
      <c r="B52" s="22">
        <f>IF($K52="","",INDEX(전표_원본!$C$5:$C$100000,$K52))</f>
        <v/>
      </c>
      <c r="C52" s="28">
        <f>IF($K52="","",INDEX(전표_원본!$E$5:$E$100000,$K52))</f>
        <v/>
      </c>
      <c r="D52" s="22">
        <f>IF($K52="","",INDEX(전표_원본!$K$5:$K$100000,$K52))</f>
        <v/>
      </c>
      <c r="E52" s="22">
        <f>IF($K52="","",INDEX(전표_원본!$I$5:$I$100000,$K52))</f>
        <v/>
      </c>
      <c r="F52" s="29">
        <f>IF($K52="","",INDEX(전표_원본!$P$5:$P$100000,$K52))</f>
        <v/>
      </c>
      <c r="G52" s="28">
        <f>IF($K52="","",INDEX(전표_원본!$G$5:$G$100000,$K52))</f>
        <v/>
      </c>
      <c r="K52" s="7">
        <f>IFERROR(MATCH(LARGE(전표_원본!$T$5:$T$100000,2),전표_원본!$T$5:$T$100000,0),"")</f>
        <v/>
      </c>
    </row>
    <row r="53">
      <c r="A53" s="57">
        <f>IF($K53="","",INDEX(전표_원본!$D$5:$D$100000,$K53))</f>
        <v/>
      </c>
      <c r="B53" s="22">
        <f>IF($K53="","",INDEX(전표_원본!$C$5:$C$100000,$K53))</f>
        <v/>
      </c>
      <c r="C53" s="28">
        <f>IF($K53="","",INDEX(전표_원본!$E$5:$E$100000,$K53))</f>
        <v/>
      </c>
      <c r="D53" s="22">
        <f>IF($K53="","",INDEX(전표_원본!$K$5:$K$100000,$K53))</f>
        <v/>
      </c>
      <c r="E53" s="22">
        <f>IF($K53="","",INDEX(전표_원본!$I$5:$I$100000,$K53))</f>
        <v/>
      </c>
      <c r="F53" s="29">
        <f>IF($K53="","",INDEX(전표_원본!$P$5:$P$100000,$K53))</f>
        <v/>
      </c>
      <c r="G53" s="28">
        <f>IF($K53="","",INDEX(전표_원본!$G$5:$G$100000,$K53))</f>
        <v/>
      </c>
      <c r="K53" s="7">
        <f>IFERROR(MATCH(LARGE(전표_원본!$T$5:$T$100000,3),전표_원본!$T$5:$T$100000,0),"")</f>
        <v/>
      </c>
    </row>
    <row r="54">
      <c r="A54" s="57">
        <f>IF($K54="","",INDEX(전표_원본!$D$5:$D$100000,$K54))</f>
        <v/>
      </c>
      <c r="B54" s="22">
        <f>IF($K54="","",INDEX(전표_원본!$C$5:$C$100000,$K54))</f>
        <v/>
      </c>
      <c r="C54" s="28">
        <f>IF($K54="","",INDEX(전표_원본!$E$5:$E$100000,$K54))</f>
        <v/>
      </c>
      <c r="D54" s="22">
        <f>IF($K54="","",INDEX(전표_원본!$K$5:$K$100000,$K54))</f>
        <v/>
      </c>
      <c r="E54" s="22">
        <f>IF($K54="","",INDEX(전표_원본!$I$5:$I$100000,$K54))</f>
        <v/>
      </c>
      <c r="F54" s="29">
        <f>IF($K54="","",INDEX(전표_원본!$P$5:$P$100000,$K54))</f>
        <v/>
      </c>
      <c r="G54" s="28">
        <f>IF($K54="","",INDEX(전표_원본!$G$5:$G$100000,$K54))</f>
        <v/>
      </c>
      <c r="K54" s="7">
        <f>IFERROR(MATCH(LARGE(전표_원본!$T$5:$T$100000,4),전표_원본!$T$5:$T$100000,0),"")</f>
        <v/>
      </c>
    </row>
    <row r="55">
      <c r="A55" s="57">
        <f>IF($K55="","",INDEX(전표_원본!$D$5:$D$100000,$K55))</f>
        <v/>
      </c>
      <c r="B55" s="22">
        <f>IF($K55="","",INDEX(전표_원본!$C$5:$C$100000,$K55))</f>
        <v/>
      </c>
      <c r="C55" s="28">
        <f>IF($K55="","",INDEX(전표_원본!$E$5:$E$100000,$K55))</f>
        <v/>
      </c>
      <c r="D55" s="22">
        <f>IF($K55="","",INDEX(전표_원본!$K$5:$K$100000,$K55))</f>
        <v/>
      </c>
      <c r="E55" s="22">
        <f>IF($K55="","",INDEX(전표_원본!$I$5:$I$100000,$K55))</f>
        <v/>
      </c>
      <c r="F55" s="29">
        <f>IF($K55="","",INDEX(전표_원본!$P$5:$P$100000,$K55))</f>
        <v/>
      </c>
      <c r="G55" s="28">
        <f>IF($K55="","",INDEX(전표_원본!$G$5:$G$100000,$K55))</f>
        <v/>
      </c>
      <c r="K55" s="7">
        <f>IFERROR(MATCH(LARGE(전표_원본!$T$5:$T$100000,5),전표_원본!$T$5:$T$100000,0),"")</f>
        <v/>
      </c>
    </row>
    <row r="56">
      <c r="A56" s="57">
        <f>IF($K56="","",INDEX(전표_원본!$D$5:$D$100000,$K56))</f>
        <v/>
      </c>
      <c r="B56" s="22">
        <f>IF($K56="","",INDEX(전표_원본!$C$5:$C$100000,$K56))</f>
        <v/>
      </c>
      <c r="C56" s="28">
        <f>IF($K56="","",INDEX(전표_원본!$E$5:$E$100000,$K56))</f>
        <v/>
      </c>
      <c r="D56" s="22">
        <f>IF($K56="","",INDEX(전표_원본!$K$5:$K$100000,$K56))</f>
        <v/>
      </c>
      <c r="E56" s="22">
        <f>IF($K56="","",INDEX(전표_원본!$I$5:$I$100000,$K56))</f>
        <v/>
      </c>
      <c r="F56" s="29">
        <f>IF($K56="","",INDEX(전표_원본!$P$5:$P$100000,$K56))</f>
        <v/>
      </c>
      <c r="G56" s="28">
        <f>IF($K56="","",INDEX(전표_원본!$G$5:$G$100000,$K56))</f>
        <v/>
      </c>
      <c r="K56" s="7">
        <f>IFERROR(MATCH(LARGE(전표_원본!$T$5:$T$100000,6),전표_원본!$T$5:$T$100000,0),"")</f>
        <v/>
      </c>
    </row>
    <row r="57">
      <c r="A57" s="57">
        <f>IF($K57="","",INDEX(전표_원본!$D$5:$D$100000,$K57))</f>
        <v/>
      </c>
      <c r="B57" s="22">
        <f>IF($K57="","",INDEX(전표_원본!$C$5:$C$100000,$K57))</f>
        <v/>
      </c>
      <c r="C57" s="28">
        <f>IF($K57="","",INDEX(전표_원본!$E$5:$E$100000,$K57))</f>
        <v/>
      </c>
      <c r="D57" s="22">
        <f>IF($K57="","",INDEX(전표_원본!$K$5:$K$100000,$K57))</f>
        <v/>
      </c>
      <c r="E57" s="22">
        <f>IF($K57="","",INDEX(전표_원본!$I$5:$I$100000,$K57))</f>
        <v/>
      </c>
      <c r="F57" s="29">
        <f>IF($K57="","",INDEX(전표_원본!$P$5:$P$100000,$K57))</f>
        <v/>
      </c>
      <c r="G57" s="28">
        <f>IF($K57="","",INDEX(전표_원본!$G$5:$G$100000,$K57))</f>
        <v/>
      </c>
      <c r="K57" s="7">
        <f>IFERROR(MATCH(LARGE(전표_원본!$T$5:$T$100000,7),전표_원본!$T$5:$T$100000,0),"")</f>
        <v/>
      </c>
    </row>
    <row r="58">
      <c r="A58" s="57">
        <f>IF($K58="","",INDEX(전표_원본!$D$5:$D$100000,$K58))</f>
        <v/>
      </c>
      <c r="B58" s="22">
        <f>IF($K58="","",INDEX(전표_원본!$C$5:$C$100000,$K58))</f>
        <v/>
      </c>
      <c r="C58" s="28">
        <f>IF($K58="","",INDEX(전표_원본!$E$5:$E$100000,$K58))</f>
        <v/>
      </c>
      <c r="D58" s="22">
        <f>IF($K58="","",INDEX(전표_원본!$K$5:$K$100000,$K58))</f>
        <v/>
      </c>
      <c r="E58" s="22">
        <f>IF($K58="","",INDEX(전표_원본!$I$5:$I$100000,$K58))</f>
        <v/>
      </c>
      <c r="F58" s="29">
        <f>IF($K58="","",INDEX(전표_원본!$P$5:$P$100000,$K58))</f>
        <v/>
      </c>
      <c r="G58" s="28">
        <f>IF($K58="","",INDEX(전표_원본!$G$5:$G$100000,$K58))</f>
        <v/>
      </c>
      <c r="K58" s="7">
        <f>IFERROR(MATCH(LARGE(전표_원본!$T$5:$T$100000,8),전표_원본!$T$5:$T$100000,0),"")</f>
        <v/>
      </c>
    </row>
    <row r="59">
      <c r="A59" s="57">
        <f>IF($K59="","",INDEX(전표_원본!$D$5:$D$100000,$K59))</f>
        <v/>
      </c>
      <c r="B59" s="22">
        <f>IF($K59="","",INDEX(전표_원본!$C$5:$C$100000,$K59))</f>
        <v/>
      </c>
      <c r="C59" s="28">
        <f>IF($K59="","",INDEX(전표_원본!$E$5:$E$100000,$K59))</f>
        <v/>
      </c>
      <c r="D59" s="22">
        <f>IF($K59="","",INDEX(전표_원본!$K$5:$K$100000,$K59))</f>
        <v/>
      </c>
      <c r="E59" s="22">
        <f>IF($K59="","",INDEX(전표_원본!$I$5:$I$100000,$K59))</f>
        <v/>
      </c>
      <c r="F59" s="29">
        <f>IF($K59="","",INDEX(전표_원본!$P$5:$P$100000,$K59))</f>
        <v/>
      </c>
      <c r="G59" s="28">
        <f>IF($K59="","",INDEX(전표_원본!$G$5:$G$100000,$K59))</f>
        <v/>
      </c>
      <c r="K59" s="7">
        <f>IFERROR(MATCH(LARGE(전표_원본!$T$5:$T$100000,9),전표_원본!$T$5:$T$100000,0),"")</f>
        <v/>
      </c>
    </row>
    <row r="60">
      <c r="A60" s="57">
        <f>IF($K60="","",INDEX(전표_원본!$D$5:$D$100000,$K60))</f>
        <v/>
      </c>
      <c r="B60" s="22">
        <f>IF($K60="","",INDEX(전표_원본!$C$5:$C$100000,$K60))</f>
        <v/>
      </c>
      <c r="C60" s="28">
        <f>IF($K60="","",INDEX(전표_원본!$E$5:$E$100000,$K60))</f>
        <v/>
      </c>
      <c r="D60" s="22">
        <f>IF($K60="","",INDEX(전표_원본!$K$5:$K$100000,$K60))</f>
        <v/>
      </c>
      <c r="E60" s="22">
        <f>IF($K60="","",INDEX(전표_원본!$I$5:$I$100000,$K60))</f>
        <v/>
      </c>
      <c r="F60" s="29">
        <f>IF($K60="","",INDEX(전표_원본!$P$5:$P$100000,$K60))</f>
        <v/>
      </c>
      <c r="G60" s="28">
        <f>IF($K60="","",INDEX(전표_원본!$G$5:$G$100000,$K60))</f>
        <v/>
      </c>
      <c r="K60" s="7">
        <f>IFERROR(MATCH(LARGE(전표_원본!$T$5:$T$100000,10),전표_원본!$T$5:$T$100000,0),"")</f>
        <v/>
      </c>
    </row>
    <row r="61">
      <c r="A61" s="57">
        <f>IF($K61="","",INDEX(전표_원본!$D$5:$D$100000,$K61))</f>
        <v/>
      </c>
      <c r="B61" s="22">
        <f>IF($K61="","",INDEX(전표_원본!$C$5:$C$100000,$K61))</f>
        <v/>
      </c>
      <c r="C61" s="28">
        <f>IF($K61="","",INDEX(전표_원본!$E$5:$E$100000,$K61))</f>
        <v/>
      </c>
      <c r="D61" s="22">
        <f>IF($K61="","",INDEX(전표_원본!$K$5:$K$100000,$K61))</f>
        <v/>
      </c>
      <c r="E61" s="22">
        <f>IF($K61="","",INDEX(전표_원본!$I$5:$I$100000,$K61))</f>
        <v/>
      </c>
      <c r="F61" s="29">
        <f>IF($K61="","",INDEX(전표_원본!$P$5:$P$100000,$K61))</f>
        <v/>
      </c>
      <c r="G61" s="28">
        <f>IF($K61="","",INDEX(전표_원본!$G$5:$G$100000,$K61))</f>
        <v/>
      </c>
      <c r="K61" s="7">
        <f>IFERROR(MATCH(LARGE(전표_원본!$T$5:$T$100000,11),전표_원본!$T$5:$T$100000,0),"")</f>
        <v/>
      </c>
    </row>
    <row r="62">
      <c r="A62" s="57">
        <f>IF($K62="","",INDEX(전표_원본!$D$5:$D$100000,$K62))</f>
        <v/>
      </c>
      <c r="B62" s="22">
        <f>IF($K62="","",INDEX(전표_원본!$C$5:$C$100000,$K62))</f>
        <v/>
      </c>
      <c r="C62" s="28">
        <f>IF($K62="","",INDEX(전표_원본!$E$5:$E$100000,$K62))</f>
        <v/>
      </c>
      <c r="D62" s="22">
        <f>IF($K62="","",INDEX(전표_원본!$K$5:$K$100000,$K62))</f>
        <v/>
      </c>
      <c r="E62" s="22">
        <f>IF($K62="","",INDEX(전표_원본!$I$5:$I$100000,$K62))</f>
        <v/>
      </c>
      <c r="F62" s="29">
        <f>IF($K62="","",INDEX(전표_원본!$P$5:$P$100000,$K62))</f>
        <v/>
      </c>
      <c r="G62" s="28">
        <f>IF($K62="","",INDEX(전표_원본!$G$5:$G$100000,$K62))</f>
        <v/>
      </c>
      <c r="K62" s="7">
        <f>IFERROR(MATCH(LARGE(전표_원본!$T$5:$T$100000,12),전표_원본!$T$5:$T$100000,0),"")</f>
        <v/>
      </c>
    </row>
    <row r="63">
      <c r="A63" s="57">
        <f>IF($K63="","",INDEX(전표_원본!$D$5:$D$100000,$K63))</f>
        <v/>
      </c>
      <c r="B63" s="22">
        <f>IF($K63="","",INDEX(전표_원본!$C$5:$C$100000,$K63))</f>
        <v/>
      </c>
      <c r="C63" s="28">
        <f>IF($K63="","",INDEX(전표_원본!$E$5:$E$100000,$K63))</f>
        <v/>
      </c>
      <c r="D63" s="22">
        <f>IF($K63="","",INDEX(전표_원본!$K$5:$K$100000,$K63))</f>
        <v/>
      </c>
      <c r="E63" s="22">
        <f>IF($K63="","",INDEX(전표_원본!$I$5:$I$100000,$K63))</f>
        <v/>
      </c>
      <c r="F63" s="29">
        <f>IF($K63="","",INDEX(전표_원본!$P$5:$P$100000,$K63))</f>
        <v/>
      </c>
      <c r="G63" s="28">
        <f>IF($K63="","",INDEX(전표_원본!$G$5:$G$100000,$K63))</f>
        <v/>
      </c>
      <c r="K63" s="7">
        <f>IFERROR(MATCH(LARGE(전표_원본!$T$5:$T$100000,13),전표_원본!$T$5:$T$100000,0),"")</f>
        <v/>
      </c>
    </row>
    <row r="64">
      <c r="A64" s="57">
        <f>IF($K64="","",INDEX(전표_원본!$D$5:$D$100000,$K64))</f>
        <v/>
      </c>
      <c r="B64" s="22">
        <f>IF($K64="","",INDEX(전표_원본!$C$5:$C$100000,$K64))</f>
        <v/>
      </c>
      <c r="C64" s="28">
        <f>IF($K64="","",INDEX(전표_원본!$E$5:$E$100000,$K64))</f>
        <v/>
      </c>
      <c r="D64" s="22">
        <f>IF($K64="","",INDEX(전표_원본!$K$5:$K$100000,$K64))</f>
        <v/>
      </c>
      <c r="E64" s="22">
        <f>IF($K64="","",INDEX(전표_원본!$I$5:$I$100000,$K64))</f>
        <v/>
      </c>
      <c r="F64" s="29">
        <f>IF($K64="","",INDEX(전표_원본!$P$5:$P$100000,$K64))</f>
        <v/>
      </c>
      <c r="G64" s="28">
        <f>IF($K64="","",INDEX(전표_원본!$G$5:$G$100000,$K64))</f>
        <v/>
      </c>
      <c r="K64" s="7">
        <f>IFERROR(MATCH(LARGE(전표_원본!$T$5:$T$100000,14),전표_원본!$T$5:$T$100000,0),"")</f>
        <v/>
      </c>
    </row>
    <row r="65">
      <c r="A65" s="57">
        <f>IF($K65="","",INDEX(전표_원본!$D$5:$D$100000,$K65))</f>
        <v/>
      </c>
      <c r="B65" s="22">
        <f>IF($K65="","",INDEX(전표_원본!$C$5:$C$100000,$K65))</f>
        <v/>
      </c>
      <c r="C65" s="28">
        <f>IF($K65="","",INDEX(전표_원본!$E$5:$E$100000,$K65))</f>
        <v/>
      </c>
      <c r="D65" s="22">
        <f>IF($K65="","",INDEX(전표_원본!$K$5:$K$100000,$K65))</f>
        <v/>
      </c>
      <c r="E65" s="22">
        <f>IF($K65="","",INDEX(전표_원본!$I$5:$I$100000,$K65))</f>
        <v/>
      </c>
      <c r="F65" s="29">
        <f>IF($K65="","",INDEX(전표_원본!$P$5:$P$100000,$K65))</f>
        <v/>
      </c>
      <c r="G65" s="28">
        <f>IF($K65="","",INDEX(전표_원본!$G$5:$G$100000,$K65))</f>
        <v/>
      </c>
      <c r="K65" s="7">
        <f>IFERROR(MATCH(LARGE(전표_원본!$T$5:$T$100000,15),전표_원본!$T$5:$T$100000,0),"")</f>
        <v/>
      </c>
    </row>
    <row r="67">
      <c r="A67" s="3" t="inlineStr">
        <is>
          <t>근거 전표 · 비교 기간 (상위 5건)</t>
        </is>
      </c>
    </row>
    <row r="68" ht="20" customHeight="1">
      <c r="A68" s="4" t="inlineStr">
        <is>
          <t>전기일</t>
        </is>
      </c>
      <c r="B68" s="4" t="inlineStr">
        <is>
          <t>전표번호</t>
        </is>
      </c>
      <c r="C68" s="4" t="inlineStr">
        <is>
          <t>유형</t>
        </is>
      </c>
      <c r="D68" s="4" t="inlineStr">
        <is>
          <t>거래처</t>
        </is>
      </c>
      <c r="E68" s="4" t="inlineStr">
        <is>
          <t>적요</t>
        </is>
      </c>
      <c r="F68" s="4" t="inlineStr">
        <is>
          <t>금액</t>
        </is>
      </c>
      <c r="G68" s="4" t="inlineStr">
        <is>
          <t>코스트센터</t>
        </is>
      </c>
    </row>
    <row r="69">
      <c r="A69" s="57">
        <f>IF($K69="","",INDEX(전표_원본!$D$5:$D$100000,$K69))</f>
        <v/>
      </c>
      <c r="B69" s="22">
        <f>IF($K69="","",INDEX(전표_원본!$C$5:$C$100000,$K69))</f>
        <v/>
      </c>
      <c r="C69" s="28">
        <f>IF($K69="","",INDEX(전표_원본!$E$5:$E$100000,$K69))</f>
        <v/>
      </c>
      <c r="D69" s="22">
        <f>IF($K69="","",INDEX(전표_원본!$K$5:$K$100000,$K69))</f>
        <v/>
      </c>
      <c r="E69" s="22">
        <f>IF($K69="","",INDEX(전표_원본!$I$5:$I$100000,$K69))</f>
        <v/>
      </c>
      <c r="F69" s="29">
        <f>IF($K69="","",INDEX(전표_원본!$P$5:$P$100000,$K69))</f>
        <v/>
      </c>
      <c r="G69" s="28">
        <f>IF($K69="","",INDEX(전표_원본!$G$5:$G$100000,$K69))</f>
        <v/>
      </c>
      <c r="K69" s="7">
        <f>IFERROR(MATCH(LARGE(전표_원본!$U$5:$U$100000,1),전표_원본!$U$5:$U$100000,0),"")</f>
        <v/>
      </c>
    </row>
    <row r="70">
      <c r="A70" s="57">
        <f>IF($K70="","",INDEX(전표_원본!$D$5:$D$100000,$K70))</f>
        <v/>
      </c>
      <c r="B70" s="22">
        <f>IF($K70="","",INDEX(전표_원본!$C$5:$C$100000,$K70))</f>
        <v/>
      </c>
      <c r="C70" s="28">
        <f>IF($K70="","",INDEX(전표_원본!$E$5:$E$100000,$K70))</f>
        <v/>
      </c>
      <c r="D70" s="22">
        <f>IF($K70="","",INDEX(전표_원본!$K$5:$K$100000,$K70))</f>
        <v/>
      </c>
      <c r="E70" s="22">
        <f>IF($K70="","",INDEX(전표_원본!$I$5:$I$100000,$K70))</f>
        <v/>
      </c>
      <c r="F70" s="29">
        <f>IF($K70="","",INDEX(전표_원본!$P$5:$P$100000,$K70))</f>
        <v/>
      </c>
      <c r="G70" s="28">
        <f>IF($K70="","",INDEX(전표_원본!$G$5:$G$100000,$K70))</f>
        <v/>
      </c>
      <c r="K70" s="7">
        <f>IFERROR(MATCH(LARGE(전표_원본!$U$5:$U$100000,2),전표_원본!$U$5:$U$100000,0),"")</f>
        <v/>
      </c>
    </row>
    <row r="71">
      <c r="A71" s="57">
        <f>IF($K71="","",INDEX(전표_원본!$D$5:$D$100000,$K71))</f>
        <v/>
      </c>
      <c r="B71" s="22">
        <f>IF($K71="","",INDEX(전표_원본!$C$5:$C$100000,$K71))</f>
        <v/>
      </c>
      <c r="C71" s="28">
        <f>IF($K71="","",INDEX(전표_원본!$E$5:$E$100000,$K71))</f>
        <v/>
      </c>
      <c r="D71" s="22">
        <f>IF($K71="","",INDEX(전표_원본!$K$5:$K$100000,$K71))</f>
        <v/>
      </c>
      <c r="E71" s="22">
        <f>IF($K71="","",INDEX(전표_원본!$I$5:$I$100000,$K71))</f>
        <v/>
      </c>
      <c r="F71" s="29">
        <f>IF($K71="","",INDEX(전표_원본!$P$5:$P$100000,$K71))</f>
        <v/>
      </c>
      <c r="G71" s="28">
        <f>IF($K71="","",INDEX(전표_원본!$G$5:$G$100000,$K71))</f>
        <v/>
      </c>
      <c r="K71" s="7">
        <f>IFERROR(MATCH(LARGE(전표_원본!$U$5:$U$100000,3),전표_원본!$U$5:$U$100000,0),"")</f>
        <v/>
      </c>
    </row>
    <row r="72">
      <c r="A72" s="57">
        <f>IF($K72="","",INDEX(전표_원본!$D$5:$D$100000,$K72))</f>
        <v/>
      </c>
      <c r="B72" s="22">
        <f>IF($K72="","",INDEX(전표_원본!$C$5:$C$100000,$K72))</f>
        <v/>
      </c>
      <c r="C72" s="28">
        <f>IF($K72="","",INDEX(전표_원본!$E$5:$E$100000,$K72))</f>
        <v/>
      </c>
      <c r="D72" s="22">
        <f>IF($K72="","",INDEX(전표_원본!$K$5:$K$100000,$K72))</f>
        <v/>
      </c>
      <c r="E72" s="22">
        <f>IF($K72="","",INDEX(전표_원본!$I$5:$I$100000,$K72))</f>
        <v/>
      </c>
      <c r="F72" s="29">
        <f>IF($K72="","",INDEX(전표_원본!$P$5:$P$100000,$K72))</f>
        <v/>
      </c>
      <c r="G72" s="28">
        <f>IF($K72="","",INDEX(전표_원본!$G$5:$G$100000,$K72))</f>
        <v/>
      </c>
      <c r="K72" s="7">
        <f>IFERROR(MATCH(LARGE(전표_원본!$U$5:$U$100000,4),전표_원본!$U$5:$U$100000,0),"")</f>
        <v/>
      </c>
    </row>
    <row r="73">
      <c r="A73" s="57">
        <f>IF($K73="","",INDEX(전표_원본!$D$5:$D$100000,$K73))</f>
        <v/>
      </c>
      <c r="B73" s="22">
        <f>IF($K73="","",INDEX(전표_원본!$C$5:$C$100000,$K73))</f>
        <v/>
      </c>
      <c r="C73" s="28">
        <f>IF($K73="","",INDEX(전표_원본!$E$5:$E$100000,$K73))</f>
        <v/>
      </c>
      <c r="D73" s="22">
        <f>IF($K73="","",INDEX(전표_원본!$K$5:$K$100000,$K73))</f>
        <v/>
      </c>
      <c r="E73" s="22">
        <f>IF($K73="","",INDEX(전표_원본!$I$5:$I$100000,$K73))</f>
        <v/>
      </c>
      <c r="F73" s="29">
        <f>IF($K73="","",INDEX(전표_원본!$P$5:$P$100000,$K73))</f>
        <v/>
      </c>
      <c r="G73" s="28">
        <f>IF($K73="","",INDEX(전표_원본!$G$5:$G$100000,$K73))</f>
        <v/>
      </c>
      <c r="K73" s="7">
        <f>IFERROR(MATCH(LARGE(전표_원본!$U$5:$U$100000,5),전표_원본!$U$5:$U$100000,0),"")</f>
        <v/>
      </c>
    </row>
  </sheetData>
  <mergeCells count="9">
    <mergeCell ref="D24:I24"/>
    <mergeCell ref="D27:I27"/>
    <mergeCell ref="D28:I28"/>
    <mergeCell ref="D22:I22"/>
    <mergeCell ref="D23:I23"/>
    <mergeCell ref="A18:I18"/>
    <mergeCell ref="D26:I26"/>
    <mergeCell ref="D21:I21"/>
    <mergeCell ref="D25:I25"/>
  </mergeCells>
  <conditionalFormatting sqref="C21:C28">
    <cfRule type="cellIs" priority="1" operator="equal" dxfId="0">
      <formula>"높음"</formula>
    </cfRule>
    <cfRule type="cellIs" priority="2" operator="equal" dxfId="2">
      <formula>"중간"</formula>
    </cfRule>
  </conditionalFormatting>
  <conditionalFormatting sqref="I32:I46">
    <cfRule type="cellIs" priority="3" operator="equal" dxfId="6">
      <formula>"Y"</formula>
    </cfRule>
  </conditionalFormatting>
  <conditionalFormatting sqref="F51:F65">
    <cfRule type="cellIs" priority="4" operator="lessThan" dxfId="7">
      <formula>0</formula>
    </cfRule>
  </conditionalFormatting>
  <dataValidations count="2">
    <dataValidation sqref="C6" showDropDown="0" showInputMessage="0" showErrorMessage="0" allowBlank="0" type="list">
      <formula1>"전월,전년동월,전분기"</formula1>
    </dataValidation>
    <dataValidation sqref="C5" showDropDown="0" showInputMessage="0" showErrorMessage="0" allowBlank="0" type="whole" operator="between">
      <formula1>1</formula1>
      <formula2>10</formula2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I109"/>
  <sheetViews>
    <sheetView showGridLines="0" workbookViewId="0">
      <pane xSplit="5" ySplit="6" topLeftCell="F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18" customWidth="1" min="4" max="4"/>
    <col hidden="1" width="8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11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8" customWidth="1" min="22" max="22"/>
    <col width="10" customWidth="1" min="23" max="23"/>
    <col width="9" customWidth="1" min="24" max="24"/>
    <col width="9" customWidth="1" min="25" max="25"/>
    <col width="20" customWidth="1" min="26" max="26"/>
    <col width="7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</cols>
  <sheetData>
    <row r="1">
      <c r="A1" s="1" t="inlineStr">
        <is>
          <t>TRACE · 변동분석 (부서 × 계정)</t>
        </is>
      </c>
    </row>
    <row r="2">
      <c r="A2" s="2" t="inlineStr">
        <is>
          <t>A·C열만 입력 · 전월/전분기/전년동월 비교 → 예산 점검 → 주의 점수 · 금액: 보고단위</t>
        </is>
      </c>
    </row>
    <row r="3">
      <c r="A3" s="35">
        <f>"기준: "&amp;INT((설정!$C$20-1)/12)&amp;"-"&amp;TEXT(MOD(설정!$C$20-1,12)+1,"00")&amp;" · 단위: "&amp;설정!$C$9</f>
        <v/>
      </c>
    </row>
    <row r="5">
      <c r="F5" s="58" t="inlineStr">
        <is>
          <t>③ 변동</t>
        </is>
      </c>
      <c r="P5" s="58" t="inlineStr">
        <is>
          <t>④ 예산 점검</t>
        </is>
      </c>
      <c r="Z5" s="58" t="inlineStr">
        <is>
          <t>⑤ 주의</t>
        </is>
      </c>
    </row>
    <row r="6" ht="44" customHeight="1">
      <c r="A6" s="4" t="inlineStr">
        <is>
          <t>부서코드</t>
        </is>
      </c>
      <c r="B6" s="4" t="inlineStr">
        <is>
          <t>부서명</t>
        </is>
      </c>
      <c r="C6" s="4" t="inlineStr">
        <is>
          <t>G/L 계정</t>
        </is>
      </c>
      <c r="D6" s="4" t="inlineStr">
        <is>
          <t>계정명</t>
        </is>
      </c>
      <c r="E6" s="4" t="inlineStr">
        <is>
          <t>키</t>
        </is>
      </c>
      <c r="F6" s="4" t="inlineStr">
        <is>
          <t>당월</t>
        </is>
      </c>
      <c r="G6" s="4" t="inlineStr">
        <is>
          <t>전월</t>
        </is>
      </c>
      <c r="H6" s="4" t="inlineStr">
        <is>
          <t>전월
대비</t>
        </is>
      </c>
      <c r="I6" s="4" t="inlineStr">
        <is>
          <t>전년
동월</t>
        </is>
      </c>
      <c r="J6" s="4" t="inlineStr">
        <is>
          <t>전년동월
대비</t>
        </is>
      </c>
      <c r="K6" s="4" t="inlineStr">
        <is>
          <t>당분기</t>
        </is>
      </c>
      <c r="L6" s="4" t="inlineStr">
        <is>
          <t>전분기</t>
        </is>
      </c>
      <c r="M6" s="4" t="inlineStr">
        <is>
          <t>전분기
대비</t>
        </is>
      </c>
      <c r="N6" s="4" t="inlineStr">
        <is>
          <t>주요
증가액</t>
        </is>
      </c>
      <c r="O6" s="4" t="inlineStr">
        <is>
          <t>이상치
(z)</t>
        </is>
      </c>
      <c r="P6" s="4" t="inlineStr">
        <is>
          <t>연간가용
(배정+조정)</t>
        </is>
      </c>
      <c r="Q6" s="4" t="inlineStr">
        <is>
          <t>누계실적</t>
        </is>
      </c>
      <c r="R6" s="4" t="inlineStr">
        <is>
          <t>잔여</t>
        </is>
      </c>
      <c r="S6" s="4" t="inlineStr">
        <is>
          <t>남은기간
예상 A
(최근추세)</t>
        </is>
      </c>
      <c r="T6" s="4" t="inlineStr">
        <is>
          <t>남은기간
예상 B
(전년패턴)</t>
        </is>
      </c>
      <c r="U6" s="4" t="inlineStr">
        <is>
          <t>예상
연간실적</t>
        </is>
      </c>
      <c r="V6" s="4" t="inlineStr">
        <is>
          <t>예상
소진율</t>
        </is>
      </c>
      <c r="W6" s="4" t="inlineStr">
        <is>
          <t>예산판정</t>
        </is>
      </c>
      <c r="X6" s="4" t="inlineStr">
        <is>
          <t>부족
예상액</t>
        </is>
      </c>
      <c r="Y6" s="4" t="inlineStr">
        <is>
          <t>소진
예상월</t>
        </is>
      </c>
      <c r="Z6" s="4" t="inlineStr">
        <is>
          <t>빠른 신호 (당월)</t>
        </is>
      </c>
      <c r="AA6" s="4" t="inlineStr">
        <is>
          <t>주의
점수</t>
        </is>
      </c>
      <c r="AB6" s="36" t="inlineStr">
        <is>
          <t>정렬키</t>
        </is>
      </c>
      <c r="AC6" s="36" t="inlineStr">
        <is>
          <t>단건비중</t>
        </is>
      </c>
      <c r="AD6" s="36" t="inlineStr">
        <is>
          <t>SA순증</t>
        </is>
      </c>
      <c r="AE6" s="36" t="inlineStr">
        <is>
          <t>음수건수</t>
        </is>
      </c>
      <c r="AF6" s="36" t="inlineStr">
        <is>
          <t>증가액
(30)</t>
        </is>
      </c>
      <c r="AG6" s="36" t="inlineStr">
        <is>
          <t>증가율
(20)</t>
        </is>
      </c>
      <c r="AH6" s="36" t="inlineStr">
        <is>
          <t>이상치
(25)</t>
        </is>
      </c>
      <c r="AI6" s="36" t="inlineStr">
        <is>
          <t>예산
(25)</t>
        </is>
      </c>
    </row>
    <row r="7">
      <c r="A7" s="12" t="inlineStr">
        <is>
          <t>D100</t>
        </is>
      </c>
      <c r="B7" s="22">
        <f>IF($A7="","",IFERROR(INDEX(부서매핑!$D$5:$D$504,MATCH($A7,부서매핑!$C$5:$C$504,0)),"부서매핑 없음"))</f>
        <v/>
      </c>
      <c r="C7" s="59" t="inlineStr">
        <is>
          <t>62101000</t>
        </is>
      </c>
      <c r="D7" s="22">
        <f>IF($A7="","",IFERROR(INDEX(계정매핑!$B$5:$B$504,MATCH($C7&amp;"",계정매핑!$A$5:$A$504,0)),"계정매핑 없음"))</f>
        <v/>
      </c>
      <c r="E7" s="21">
        <f>IF($A7="","",$A7&amp;"|"&amp;$C7)</f>
        <v/>
      </c>
      <c r="F7" s="29">
        <f>IF($A7="","",월별집계!$Z7)</f>
        <v/>
      </c>
      <c r="G7" s="29">
        <f>IF($A7="","",월별집계!$Y7)</f>
        <v/>
      </c>
      <c r="H7" s="60">
        <f>IF($A7="","",IF(G7&lt;=0,IF(F7&gt;0,1,0),F7/G7-1))</f>
        <v/>
      </c>
      <c r="I7" s="29">
        <f>IF($A7="","",월별집계!$N7)</f>
        <v/>
      </c>
      <c r="J7" s="60">
        <f>IF($A7="","",IF(I7&lt;=0,IF(F7&gt;0,1,0),F7/I7-1))</f>
        <v/>
      </c>
      <c r="K7" s="29">
        <f>IF($A7="","",SUMIFS(월별집계!$C7:$Z7,월별집계!$C$5:$Z$5,"&gt;="&amp;설정!$C$22,월별집계!$C$5:$Z$5,"&lt;="&amp;설정!$C$20))</f>
        <v/>
      </c>
      <c r="L7" s="29">
        <f>IF($A7="","",SUMIFS(월별집계!$C7:$Z7,월별집계!$C$5:$Z$5,"&gt;="&amp;(설정!$C$22-3),월별집계!$C$5:$Z$5,"&lt;="&amp;(설정!$C$20-3)))</f>
        <v/>
      </c>
      <c r="M7" s="60">
        <f>IF($A7="","",IF(L7&lt;=0,IF(K7&gt;0,1,0),K7/L7-1))</f>
        <v/>
      </c>
      <c r="N7" s="53">
        <f>IF($A7="","",MAX(F7-G7,F7-I7))</f>
        <v/>
      </c>
      <c r="O7" s="61">
        <f>IF($A7="","",IFERROR((월별집계!$Z7-AVERAGE(월별집계!N7:Y7))/STDEV(월별집계!N7:Y7),0))</f>
        <v/>
      </c>
      <c r="P7" s="29">
        <f>IF($A7="","",SUMIFS(예산판_원본!$O$5:$O$5000,예산판_원본!$L$5:$L$5000,$E7,예산판_원본!$M$5:$M$5000,설정!$C$6))</f>
        <v/>
      </c>
      <c r="Q7" s="29">
        <f>IF($A7="","",SUMIFS(월별집계!$C7:$Z7,월별집계!$C$5:$Z$5,"&gt;="&amp;(설정!$C$6*12+1),월별집계!$C$5:$Z$5,"&lt;="&amp;설정!$C$20))</f>
        <v/>
      </c>
      <c r="R7" s="53">
        <f>IF($A7="","",P7-Q7)</f>
        <v/>
      </c>
      <c r="S7" s="29">
        <f>IF($A7="","",AVERAGE(월별집계!X7:Z7)*(12-설정!$C$7))</f>
        <v/>
      </c>
      <c r="T7" s="29">
        <f>IF($A7="","",IFERROR(Q7/(SUMIFS(월별집계!$C7:$Z7,월별집계!$C$5:$Z$5,"&gt;="&amp;((설정!$C$6-1)*12+1),월별집계!$C$5:$Z$5,"&lt;="&amp;(설정!$C$20-12))/SUMIFS(월별집계!$C7:$Z7,월별집계!$C$5:$Z$5,"&gt;="&amp;((설정!$C$6-1)*12+1),월별집계!$C$5:$Z$5,"&lt;="&amp;((설정!$C$6-1)*12+12)))-Q7,S7))</f>
        <v/>
      </c>
      <c r="U7" s="53">
        <f>IF($A7="","",Q7+MAX(S7,T7))</f>
        <v/>
      </c>
      <c r="V7" s="49">
        <f>IF($A7="","",IF(P7=0,0,U7/P7))</f>
        <v/>
      </c>
      <c r="W7" s="28">
        <f>IF($A7="","",IF(AND(P7=0,Q7&gt;0),"무예산",IF(P7=0,"-",IF(V7&gt;설정!$C$12,"부족 예상",IF(V7&gt;설정!$C$11,"주의","여유")))))</f>
        <v/>
      </c>
      <c r="X7" s="53">
        <f>IF($A7="","",IF(P7=0,0,MAX(0,U7-P7)))</f>
        <v/>
      </c>
      <c r="Y7" s="28">
        <f>IF($A7="","",IF(OR(W7&lt;&gt;"부족 예상",설정!$C$7=12),"",IF(R7&lt;=0,"이미 초과",MIN(12,설정!$C$7+ROUNDUP(R7/(MAX(S7,T7)/(12-설정!$C$7)),0))&amp;"월")))</f>
        <v/>
      </c>
      <c r="Z7" s="22">
        <f>IF($A7="","",TRIM(IF(N(AC7)&gt;=설정!$C$14,"단건"&amp;TEXT(AC7,"0%")&amp;" ","")&amp;IF(AND(N7&gt;0,AD7&gt;0),IF(AD7/N7&gt;=설정!$C$16,"SA대체 ",""),"")&amp;IF(AE7&gt;0,"역분개"&amp;AE7&amp;"건 ","")&amp;IF(O7&gt;=설정!$C$13,"이상치 ","")&amp;IF(AND(I7=0,F7&gt;0),"신규지출 ","")))</f>
        <v/>
      </c>
      <c r="AA7" s="61">
        <f>IF($A7="","",ROUND((AF7+AG7+AH7+AI7)*IF(AND(F7&lt;설정!$C$10,N7&lt;설정!$C$10),0.3,1),1))</f>
        <v/>
      </c>
      <c r="AB7" s="50">
        <f>IF($A7="","",AA7+ROW()/1000000)</f>
        <v/>
      </c>
      <c r="AC7" s="56">
        <f>IF(OR($A7="",N7&lt;=0),"",SUMPRODUCT(MAX((전표_원본!$O$5:$O$100000=$E7)*(전표_원본!$M$5:$M$100000=설정!$C$20)*전표_원본!$P$5:$P$100000))/N7)</f>
        <v/>
      </c>
      <c r="AD7" s="29">
        <f>IF($A7="","",SUMIFS(전표_원본!$P$5:$P$100000,전표_원본!$O$5:$O$100000,$E7,전표_원본!$M$5:$M$100000,설정!$C$20,전표_원본!$E$5:$E$100000,"SA")-SUMIFS(전표_원본!$P$5:$P$100000,전표_원본!$O$5:$O$100000,$E7,전표_원본!$M$5:$M$100000,설정!$C$20-1,전표_원본!$E$5:$E$100000,"SA"))</f>
        <v/>
      </c>
      <c r="AE7" s="62">
        <f>IF($A7="","",COUNTIFS(전표_원본!$O$5:$O$100000,$E7,전표_원본!$M$5:$M$100000,설정!$C$20,전표_원본!$P$5:$P$100000,"&lt;0"))</f>
        <v/>
      </c>
      <c r="AF7" s="61">
        <f>IF($A7="","",MIN(MAX(0,N7)/(설정!$C$10*5),1)*30)</f>
        <v/>
      </c>
      <c r="AG7" s="63">
        <f>IF($A7="","",MIN(MAX(0,H7,J7),1)*20)</f>
        <v/>
      </c>
      <c r="AH7" s="63">
        <f>IF($A7="","",MIN(MAX(0,O7)/3,1)*25)</f>
        <v/>
      </c>
      <c r="AI7" s="63">
        <f>IF($A7="","",IF(OR(W7="부족 예상",W7="무예산"),25,IF(W7="주의",15,0)))</f>
        <v/>
      </c>
    </row>
    <row r="8">
      <c r="A8" s="12" t="inlineStr">
        <is>
          <t>D100</t>
        </is>
      </c>
      <c r="B8" s="22">
        <f>IF($A8="","",IFERROR(INDEX(부서매핑!$D$5:$D$504,MATCH($A8,부서매핑!$C$5:$C$504,0)),"부서매핑 없음"))</f>
        <v/>
      </c>
      <c r="C8" s="59" t="inlineStr">
        <is>
          <t>62102000</t>
        </is>
      </c>
      <c r="D8" s="22">
        <f>IF($A8="","",IFERROR(INDEX(계정매핑!$B$5:$B$504,MATCH($C8&amp;"",계정매핑!$A$5:$A$504,0)),"계정매핑 없음"))</f>
        <v/>
      </c>
      <c r="E8" s="21">
        <f>IF($A8="","",$A8&amp;"|"&amp;$C8)</f>
        <v/>
      </c>
      <c r="F8" s="29">
        <f>IF($A8="","",월별집계!$Z8)</f>
        <v/>
      </c>
      <c r="G8" s="29">
        <f>IF($A8="","",월별집계!$Y8)</f>
        <v/>
      </c>
      <c r="H8" s="60">
        <f>IF($A8="","",IF(G8&lt;=0,IF(F8&gt;0,1,0),F8/G8-1))</f>
        <v/>
      </c>
      <c r="I8" s="29">
        <f>IF($A8="","",월별집계!$N8)</f>
        <v/>
      </c>
      <c r="J8" s="60">
        <f>IF($A8="","",IF(I8&lt;=0,IF(F8&gt;0,1,0),F8/I8-1))</f>
        <v/>
      </c>
      <c r="K8" s="29">
        <f>IF($A8="","",SUMIFS(월별집계!$C8:$Z8,월별집계!$C$5:$Z$5,"&gt;="&amp;설정!$C$22,월별집계!$C$5:$Z$5,"&lt;="&amp;설정!$C$20))</f>
        <v/>
      </c>
      <c r="L8" s="29">
        <f>IF($A8="","",SUMIFS(월별집계!$C8:$Z8,월별집계!$C$5:$Z$5,"&gt;="&amp;(설정!$C$22-3),월별집계!$C$5:$Z$5,"&lt;="&amp;(설정!$C$20-3)))</f>
        <v/>
      </c>
      <c r="M8" s="60">
        <f>IF($A8="","",IF(L8&lt;=0,IF(K8&gt;0,1,0),K8/L8-1))</f>
        <v/>
      </c>
      <c r="N8" s="53">
        <f>IF($A8="","",MAX(F8-G8,F8-I8))</f>
        <v/>
      </c>
      <c r="O8" s="61">
        <f>IF($A8="","",IFERROR((월별집계!$Z8-AVERAGE(월별집계!N8:Y8))/STDEV(월별집계!N8:Y8),0))</f>
        <v/>
      </c>
      <c r="P8" s="29">
        <f>IF($A8="","",SUMIFS(예산판_원본!$O$5:$O$5000,예산판_원본!$L$5:$L$5000,$E8,예산판_원본!$M$5:$M$5000,설정!$C$6))</f>
        <v/>
      </c>
      <c r="Q8" s="29">
        <f>IF($A8="","",SUMIFS(월별집계!$C8:$Z8,월별집계!$C$5:$Z$5,"&gt;="&amp;(설정!$C$6*12+1),월별집계!$C$5:$Z$5,"&lt;="&amp;설정!$C$20))</f>
        <v/>
      </c>
      <c r="R8" s="53">
        <f>IF($A8="","",P8-Q8)</f>
        <v/>
      </c>
      <c r="S8" s="29">
        <f>IF($A8="","",AVERAGE(월별집계!X8:Z8)*(12-설정!$C$7))</f>
        <v/>
      </c>
      <c r="T8" s="29">
        <f>IF($A8="","",IFERROR(Q8/(SUMIFS(월별집계!$C8:$Z8,월별집계!$C$5:$Z$5,"&gt;="&amp;((설정!$C$6-1)*12+1),월별집계!$C$5:$Z$5,"&lt;="&amp;(설정!$C$20-12))/SUMIFS(월별집계!$C8:$Z8,월별집계!$C$5:$Z$5,"&gt;="&amp;((설정!$C$6-1)*12+1),월별집계!$C$5:$Z$5,"&lt;="&amp;((설정!$C$6-1)*12+12)))-Q8,S8))</f>
        <v/>
      </c>
      <c r="U8" s="53">
        <f>IF($A8="","",Q8+MAX(S8,T8))</f>
        <v/>
      </c>
      <c r="V8" s="49">
        <f>IF($A8="","",IF(P8=0,0,U8/P8))</f>
        <v/>
      </c>
      <c r="W8" s="28">
        <f>IF($A8="","",IF(AND(P8=0,Q8&gt;0),"무예산",IF(P8=0,"-",IF(V8&gt;설정!$C$12,"부족 예상",IF(V8&gt;설정!$C$11,"주의","여유")))))</f>
        <v/>
      </c>
      <c r="X8" s="53">
        <f>IF($A8="","",IF(P8=0,0,MAX(0,U8-P8)))</f>
        <v/>
      </c>
      <c r="Y8" s="28">
        <f>IF($A8="","",IF(OR(W8&lt;&gt;"부족 예상",설정!$C$7=12),"",IF(R8&lt;=0,"이미 초과",MIN(12,설정!$C$7+ROUNDUP(R8/(MAX(S8,T8)/(12-설정!$C$7)),0))&amp;"월")))</f>
        <v/>
      </c>
      <c r="Z8" s="22">
        <f>IF($A8="","",TRIM(IF(N(AC8)&gt;=설정!$C$14,"단건"&amp;TEXT(AC8,"0%")&amp;" ","")&amp;IF(AND(N8&gt;0,AD8&gt;0),IF(AD8/N8&gt;=설정!$C$16,"SA대체 ",""),"")&amp;IF(AE8&gt;0,"역분개"&amp;AE8&amp;"건 ","")&amp;IF(O8&gt;=설정!$C$13,"이상치 ","")&amp;IF(AND(I8=0,F8&gt;0),"신규지출 ","")))</f>
        <v/>
      </c>
      <c r="AA8" s="61">
        <f>IF($A8="","",ROUND((AF8+AG8+AH8+AI8)*IF(AND(F8&lt;설정!$C$10,N8&lt;설정!$C$10),0.3,1),1))</f>
        <v/>
      </c>
      <c r="AB8" s="50">
        <f>IF($A8="","",AA8+ROW()/1000000)</f>
        <v/>
      </c>
      <c r="AC8" s="56">
        <f>IF(OR($A8="",N8&lt;=0),"",SUMPRODUCT(MAX((전표_원본!$O$5:$O$100000=$E8)*(전표_원본!$M$5:$M$100000=설정!$C$20)*전표_원본!$P$5:$P$100000))/N8)</f>
        <v/>
      </c>
      <c r="AD8" s="29">
        <f>IF($A8="","",SUMIFS(전표_원본!$P$5:$P$100000,전표_원본!$O$5:$O$100000,$E8,전표_원본!$M$5:$M$100000,설정!$C$20,전표_원본!$E$5:$E$100000,"SA")-SUMIFS(전표_원본!$P$5:$P$100000,전표_원본!$O$5:$O$100000,$E8,전표_원본!$M$5:$M$100000,설정!$C$20-1,전표_원본!$E$5:$E$100000,"SA"))</f>
        <v/>
      </c>
      <c r="AE8" s="62">
        <f>IF($A8="","",COUNTIFS(전표_원본!$O$5:$O$100000,$E8,전표_원본!$M$5:$M$100000,설정!$C$20,전표_원본!$P$5:$P$100000,"&lt;0"))</f>
        <v/>
      </c>
      <c r="AF8" s="61">
        <f>IF($A8="","",MIN(MAX(0,N8)/(설정!$C$10*5),1)*30)</f>
        <v/>
      </c>
      <c r="AG8" s="63">
        <f>IF($A8="","",MIN(MAX(0,H8,J8),1)*20)</f>
        <v/>
      </c>
      <c r="AH8" s="63">
        <f>IF($A8="","",MIN(MAX(0,O8)/3,1)*25)</f>
        <v/>
      </c>
      <c r="AI8" s="63">
        <f>IF($A8="","",IF(OR(W8="부족 예상",W8="무예산"),25,IF(W8="주의",15,0)))</f>
        <v/>
      </c>
    </row>
    <row r="9">
      <c r="A9" s="12" t="inlineStr">
        <is>
          <t>D100</t>
        </is>
      </c>
      <c r="B9" s="22">
        <f>IF($A9="","",IFERROR(INDEX(부서매핑!$D$5:$D$504,MATCH($A9,부서매핑!$C$5:$C$504,0)),"부서매핑 없음"))</f>
        <v/>
      </c>
      <c r="C9" s="59" t="inlineStr">
        <is>
          <t>62201000</t>
        </is>
      </c>
      <c r="D9" s="22">
        <f>IF($A9="","",IFERROR(INDEX(계정매핑!$B$5:$B$504,MATCH($C9&amp;"",계정매핑!$A$5:$A$504,0)),"계정매핑 없음"))</f>
        <v/>
      </c>
      <c r="E9" s="21">
        <f>IF($A9="","",$A9&amp;"|"&amp;$C9)</f>
        <v/>
      </c>
      <c r="F9" s="29">
        <f>IF($A9="","",월별집계!$Z9)</f>
        <v/>
      </c>
      <c r="G9" s="29">
        <f>IF($A9="","",월별집계!$Y9)</f>
        <v/>
      </c>
      <c r="H9" s="60">
        <f>IF($A9="","",IF(G9&lt;=0,IF(F9&gt;0,1,0),F9/G9-1))</f>
        <v/>
      </c>
      <c r="I9" s="29">
        <f>IF($A9="","",월별집계!$N9)</f>
        <v/>
      </c>
      <c r="J9" s="60">
        <f>IF($A9="","",IF(I9&lt;=0,IF(F9&gt;0,1,0),F9/I9-1))</f>
        <v/>
      </c>
      <c r="K9" s="29">
        <f>IF($A9="","",SUMIFS(월별집계!$C9:$Z9,월별집계!$C$5:$Z$5,"&gt;="&amp;설정!$C$22,월별집계!$C$5:$Z$5,"&lt;="&amp;설정!$C$20))</f>
        <v/>
      </c>
      <c r="L9" s="29">
        <f>IF($A9="","",SUMIFS(월별집계!$C9:$Z9,월별집계!$C$5:$Z$5,"&gt;="&amp;(설정!$C$22-3),월별집계!$C$5:$Z$5,"&lt;="&amp;(설정!$C$20-3)))</f>
        <v/>
      </c>
      <c r="M9" s="60">
        <f>IF($A9="","",IF(L9&lt;=0,IF(K9&gt;0,1,0),K9/L9-1))</f>
        <v/>
      </c>
      <c r="N9" s="53">
        <f>IF($A9="","",MAX(F9-G9,F9-I9))</f>
        <v/>
      </c>
      <c r="O9" s="61">
        <f>IF($A9="","",IFERROR((월별집계!$Z9-AVERAGE(월별집계!N9:Y9))/STDEV(월별집계!N9:Y9),0))</f>
        <v/>
      </c>
      <c r="P9" s="29">
        <f>IF($A9="","",SUMIFS(예산판_원본!$O$5:$O$5000,예산판_원본!$L$5:$L$5000,$E9,예산판_원본!$M$5:$M$5000,설정!$C$6))</f>
        <v/>
      </c>
      <c r="Q9" s="29">
        <f>IF($A9="","",SUMIFS(월별집계!$C9:$Z9,월별집계!$C$5:$Z$5,"&gt;="&amp;(설정!$C$6*12+1),월별집계!$C$5:$Z$5,"&lt;="&amp;설정!$C$20))</f>
        <v/>
      </c>
      <c r="R9" s="53">
        <f>IF($A9="","",P9-Q9)</f>
        <v/>
      </c>
      <c r="S9" s="29">
        <f>IF($A9="","",AVERAGE(월별집계!X9:Z9)*(12-설정!$C$7))</f>
        <v/>
      </c>
      <c r="T9" s="29">
        <f>IF($A9="","",IFERROR(Q9/(SUMIFS(월별집계!$C9:$Z9,월별집계!$C$5:$Z$5,"&gt;="&amp;((설정!$C$6-1)*12+1),월별집계!$C$5:$Z$5,"&lt;="&amp;(설정!$C$20-12))/SUMIFS(월별집계!$C9:$Z9,월별집계!$C$5:$Z$5,"&gt;="&amp;((설정!$C$6-1)*12+1),월별집계!$C$5:$Z$5,"&lt;="&amp;((설정!$C$6-1)*12+12)))-Q9,S9))</f>
        <v/>
      </c>
      <c r="U9" s="53">
        <f>IF($A9="","",Q9+MAX(S9,T9))</f>
        <v/>
      </c>
      <c r="V9" s="49">
        <f>IF($A9="","",IF(P9=0,0,U9/P9))</f>
        <v/>
      </c>
      <c r="W9" s="28">
        <f>IF($A9="","",IF(AND(P9=0,Q9&gt;0),"무예산",IF(P9=0,"-",IF(V9&gt;설정!$C$12,"부족 예상",IF(V9&gt;설정!$C$11,"주의","여유")))))</f>
        <v/>
      </c>
      <c r="X9" s="53">
        <f>IF($A9="","",IF(P9=0,0,MAX(0,U9-P9)))</f>
        <v/>
      </c>
      <c r="Y9" s="28">
        <f>IF($A9="","",IF(OR(W9&lt;&gt;"부족 예상",설정!$C$7=12),"",IF(R9&lt;=0,"이미 초과",MIN(12,설정!$C$7+ROUNDUP(R9/(MAX(S9,T9)/(12-설정!$C$7)),0))&amp;"월")))</f>
        <v/>
      </c>
      <c r="Z9" s="22">
        <f>IF($A9="","",TRIM(IF(N(AC9)&gt;=설정!$C$14,"단건"&amp;TEXT(AC9,"0%")&amp;" ","")&amp;IF(AND(N9&gt;0,AD9&gt;0),IF(AD9/N9&gt;=설정!$C$16,"SA대체 ",""),"")&amp;IF(AE9&gt;0,"역분개"&amp;AE9&amp;"건 ","")&amp;IF(O9&gt;=설정!$C$13,"이상치 ","")&amp;IF(AND(I9=0,F9&gt;0),"신규지출 ","")))</f>
        <v/>
      </c>
      <c r="AA9" s="61">
        <f>IF($A9="","",ROUND((AF9+AG9+AH9+AI9)*IF(AND(F9&lt;설정!$C$10,N9&lt;설정!$C$10),0.3,1),1))</f>
        <v/>
      </c>
      <c r="AB9" s="50">
        <f>IF($A9="","",AA9+ROW()/1000000)</f>
        <v/>
      </c>
      <c r="AC9" s="56">
        <f>IF(OR($A9="",N9&lt;=0),"",SUMPRODUCT(MAX((전표_원본!$O$5:$O$100000=$E9)*(전표_원본!$M$5:$M$100000=설정!$C$20)*전표_원본!$P$5:$P$100000))/N9)</f>
        <v/>
      </c>
      <c r="AD9" s="29">
        <f>IF($A9="","",SUMIFS(전표_원본!$P$5:$P$100000,전표_원본!$O$5:$O$100000,$E9,전표_원본!$M$5:$M$100000,설정!$C$20,전표_원본!$E$5:$E$100000,"SA")-SUMIFS(전표_원본!$P$5:$P$100000,전표_원본!$O$5:$O$100000,$E9,전표_원본!$M$5:$M$100000,설정!$C$20-1,전표_원본!$E$5:$E$100000,"SA"))</f>
        <v/>
      </c>
      <c r="AE9" s="62">
        <f>IF($A9="","",COUNTIFS(전표_원본!$O$5:$O$100000,$E9,전표_원본!$M$5:$M$100000,설정!$C$20,전표_원본!$P$5:$P$100000,"&lt;0"))</f>
        <v/>
      </c>
      <c r="AF9" s="61">
        <f>IF($A9="","",MIN(MAX(0,N9)/(설정!$C$10*5),1)*30)</f>
        <v/>
      </c>
      <c r="AG9" s="63">
        <f>IF($A9="","",MIN(MAX(0,H9,J9),1)*20)</f>
        <v/>
      </c>
      <c r="AH9" s="63">
        <f>IF($A9="","",MIN(MAX(0,O9)/3,1)*25)</f>
        <v/>
      </c>
      <c r="AI9" s="63">
        <f>IF($A9="","",IF(OR(W9="부족 예상",W9="무예산"),25,IF(W9="주의",15,0)))</f>
        <v/>
      </c>
    </row>
    <row r="10">
      <c r="A10" s="12" t="inlineStr">
        <is>
          <t>D100</t>
        </is>
      </c>
      <c r="B10" s="22">
        <f>IF($A10="","",IFERROR(INDEX(부서매핑!$D$5:$D$504,MATCH($A10,부서매핑!$C$5:$C$504,0)),"부서매핑 없음"))</f>
        <v/>
      </c>
      <c r="C10" s="59" t="inlineStr">
        <is>
          <t>62301000</t>
        </is>
      </c>
      <c r="D10" s="22">
        <f>IF($A10="","",IFERROR(INDEX(계정매핑!$B$5:$B$504,MATCH($C10&amp;"",계정매핑!$A$5:$A$504,0)),"계정매핑 없음"))</f>
        <v/>
      </c>
      <c r="E10" s="21">
        <f>IF($A10="","",$A10&amp;"|"&amp;$C10)</f>
        <v/>
      </c>
      <c r="F10" s="29">
        <f>IF($A10="","",월별집계!$Z10)</f>
        <v/>
      </c>
      <c r="G10" s="29">
        <f>IF($A10="","",월별집계!$Y10)</f>
        <v/>
      </c>
      <c r="H10" s="60">
        <f>IF($A10="","",IF(G10&lt;=0,IF(F10&gt;0,1,0),F10/G10-1))</f>
        <v/>
      </c>
      <c r="I10" s="29">
        <f>IF($A10="","",월별집계!$N10)</f>
        <v/>
      </c>
      <c r="J10" s="60">
        <f>IF($A10="","",IF(I10&lt;=0,IF(F10&gt;0,1,0),F10/I10-1))</f>
        <v/>
      </c>
      <c r="K10" s="29">
        <f>IF($A10="","",SUMIFS(월별집계!$C10:$Z10,월별집계!$C$5:$Z$5,"&gt;="&amp;설정!$C$22,월별집계!$C$5:$Z$5,"&lt;="&amp;설정!$C$20))</f>
        <v/>
      </c>
      <c r="L10" s="29">
        <f>IF($A10="","",SUMIFS(월별집계!$C10:$Z10,월별집계!$C$5:$Z$5,"&gt;="&amp;(설정!$C$22-3),월별집계!$C$5:$Z$5,"&lt;="&amp;(설정!$C$20-3)))</f>
        <v/>
      </c>
      <c r="M10" s="60">
        <f>IF($A10="","",IF(L10&lt;=0,IF(K10&gt;0,1,0),K10/L10-1))</f>
        <v/>
      </c>
      <c r="N10" s="53">
        <f>IF($A10="","",MAX(F10-G10,F10-I10))</f>
        <v/>
      </c>
      <c r="O10" s="61">
        <f>IF($A10="","",IFERROR((월별집계!$Z10-AVERAGE(월별집계!N10:Y10))/STDEV(월별집계!N10:Y10),0))</f>
        <v/>
      </c>
      <c r="P10" s="29">
        <f>IF($A10="","",SUMIFS(예산판_원본!$O$5:$O$5000,예산판_원본!$L$5:$L$5000,$E10,예산판_원본!$M$5:$M$5000,설정!$C$6))</f>
        <v/>
      </c>
      <c r="Q10" s="29">
        <f>IF($A10="","",SUMIFS(월별집계!$C10:$Z10,월별집계!$C$5:$Z$5,"&gt;="&amp;(설정!$C$6*12+1),월별집계!$C$5:$Z$5,"&lt;="&amp;설정!$C$20))</f>
        <v/>
      </c>
      <c r="R10" s="53">
        <f>IF($A10="","",P10-Q10)</f>
        <v/>
      </c>
      <c r="S10" s="29">
        <f>IF($A10="","",AVERAGE(월별집계!X10:Z10)*(12-설정!$C$7))</f>
        <v/>
      </c>
      <c r="T10" s="29">
        <f>IF($A10="","",IFERROR(Q10/(SUMIFS(월별집계!$C10:$Z10,월별집계!$C$5:$Z$5,"&gt;="&amp;((설정!$C$6-1)*12+1),월별집계!$C$5:$Z$5,"&lt;="&amp;(설정!$C$20-12))/SUMIFS(월별집계!$C10:$Z10,월별집계!$C$5:$Z$5,"&gt;="&amp;((설정!$C$6-1)*12+1),월별집계!$C$5:$Z$5,"&lt;="&amp;((설정!$C$6-1)*12+12)))-Q10,S10))</f>
        <v/>
      </c>
      <c r="U10" s="53">
        <f>IF($A10="","",Q10+MAX(S10,T10))</f>
        <v/>
      </c>
      <c r="V10" s="49">
        <f>IF($A10="","",IF(P10=0,0,U10/P10))</f>
        <v/>
      </c>
      <c r="W10" s="28">
        <f>IF($A10="","",IF(AND(P10=0,Q10&gt;0),"무예산",IF(P10=0,"-",IF(V10&gt;설정!$C$12,"부족 예상",IF(V10&gt;설정!$C$11,"주의","여유")))))</f>
        <v/>
      </c>
      <c r="X10" s="53">
        <f>IF($A10="","",IF(P10=0,0,MAX(0,U10-P10)))</f>
        <v/>
      </c>
      <c r="Y10" s="28">
        <f>IF($A10="","",IF(OR(W10&lt;&gt;"부족 예상",설정!$C$7=12),"",IF(R10&lt;=0,"이미 초과",MIN(12,설정!$C$7+ROUNDUP(R10/(MAX(S10,T10)/(12-설정!$C$7)),0))&amp;"월")))</f>
        <v/>
      </c>
      <c r="Z10" s="22">
        <f>IF($A10="","",TRIM(IF(N(AC10)&gt;=설정!$C$14,"단건"&amp;TEXT(AC10,"0%")&amp;" ","")&amp;IF(AND(N10&gt;0,AD10&gt;0),IF(AD10/N10&gt;=설정!$C$16,"SA대체 ",""),"")&amp;IF(AE10&gt;0,"역분개"&amp;AE10&amp;"건 ","")&amp;IF(O10&gt;=설정!$C$13,"이상치 ","")&amp;IF(AND(I10=0,F10&gt;0),"신규지출 ","")))</f>
        <v/>
      </c>
      <c r="AA10" s="61">
        <f>IF($A10="","",ROUND((AF10+AG10+AH10+AI10)*IF(AND(F10&lt;설정!$C$10,N10&lt;설정!$C$10),0.3,1),1))</f>
        <v/>
      </c>
      <c r="AB10" s="50">
        <f>IF($A10="","",AA10+ROW()/1000000)</f>
        <v/>
      </c>
      <c r="AC10" s="56">
        <f>IF(OR($A10="",N10&lt;=0),"",SUMPRODUCT(MAX((전표_원본!$O$5:$O$100000=$E10)*(전표_원본!$M$5:$M$100000=설정!$C$20)*전표_원본!$P$5:$P$100000))/N10)</f>
        <v/>
      </c>
      <c r="AD10" s="29">
        <f>IF($A10="","",SUMIFS(전표_원본!$P$5:$P$100000,전표_원본!$O$5:$O$100000,$E10,전표_원본!$M$5:$M$100000,설정!$C$20,전표_원본!$E$5:$E$100000,"SA")-SUMIFS(전표_원본!$P$5:$P$100000,전표_원본!$O$5:$O$100000,$E10,전표_원본!$M$5:$M$100000,설정!$C$20-1,전표_원본!$E$5:$E$100000,"SA"))</f>
        <v/>
      </c>
      <c r="AE10" s="62">
        <f>IF($A10="","",COUNTIFS(전표_원본!$O$5:$O$100000,$E10,전표_원본!$M$5:$M$100000,설정!$C$20,전표_원본!$P$5:$P$100000,"&lt;0"))</f>
        <v/>
      </c>
      <c r="AF10" s="61">
        <f>IF($A10="","",MIN(MAX(0,N10)/(설정!$C$10*5),1)*30)</f>
        <v/>
      </c>
      <c r="AG10" s="63">
        <f>IF($A10="","",MIN(MAX(0,H10,J10),1)*20)</f>
        <v/>
      </c>
      <c r="AH10" s="63">
        <f>IF($A10="","",MIN(MAX(0,O10)/3,1)*25)</f>
        <v/>
      </c>
      <c r="AI10" s="63">
        <f>IF($A10="","",IF(OR(W10="부족 예상",W10="무예산"),25,IF(W10="주의",15,0)))</f>
        <v/>
      </c>
    </row>
    <row r="11">
      <c r="A11" s="12" t="inlineStr">
        <is>
          <t>D100</t>
        </is>
      </c>
      <c r="B11" s="22">
        <f>IF($A11="","",IFERROR(INDEX(부서매핑!$D$5:$D$504,MATCH($A11,부서매핑!$C$5:$C$504,0)),"부서매핑 없음"))</f>
        <v/>
      </c>
      <c r="C11" s="59" t="inlineStr">
        <is>
          <t>62501000</t>
        </is>
      </c>
      <c r="D11" s="22">
        <f>IF($A11="","",IFERROR(INDEX(계정매핑!$B$5:$B$504,MATCH($C11&amp;"",계정매핑!$A$5:$A$504,0)),"계정매핑 없음"))</f>
        <v/>
      </c>
      <c r="E11" s="21">
        <f>IF($A11="","",$A11&amp;"|"&amp;$C11)</f>
        <v/>
      </c>
      <c r="F11" s="29">
        <f>IF($A11="","",월별집계!$Z11)</f>
        <v/>
      </c>
      <c r="G11" s="29">
        <f>IF($A11="","",월별집계!$Y11)</f>
        <v/>
      </c>
      <c r="H11" s="60">
        <f>IF($A11="","",IF(G11&lt;=0,IF(F11&gt;0,1,0),F11/G11-1))</f>
        <v/>
      </c>
      <c r="I11" s="29">
        <f>IF($A11="","",월별집계!$N11)</f>
        <v/>
      </c>
      <c r="J11" s="60">
        <f>IF($A11="","",IF(I11&lt;=0,IF(F11&gt;0,1,0),F11/I11-1))</f>
        <v/>
      </c>
      <c r="K11" s="29">
        <f>IF($A11="","",SUMIFS(월별집계!$C11:$Z11,월별집계!$C$5:$Z$5,"&gt;="&amp;설정!$C$22,월별집계!$C$5:$Z$5,"&lt;="&amp;설정!$C$20))</f>
        <v/>
      </c>
      <c r="L11" s="29">
        <f>IF($A11="","",SUMIFS(월별집계!$C11:$Z11,월별집계!$C$5:$Z$5,"&gt;="&amp;(설정!$C$22-3),월별집계!$C$5:$Z$5,"&lt;="&amp;(설정!$C$20-3)))</f>
        <v/>
      </c>
      <c r="M11" s="60">
        <f>IF($A11="","",IF(L11&lt;=0,IF(K11&gt;0,1,0),K11/L11-1))</f>
        <v/>
      </c>
      <c r="N11" s="53">
        <f>IF($A11="","",MAX(F11-G11,F11-I11))</f>
        <v/>
      </c>
      <c r="O11" s="61">
        <f>IF($A11="","",IFERROR((월별집계!$Z11-AVERAGE(월별집계!N11:Y11))/STDEV(월별집계!N11:Y11),0))</f>
        <v/>
      </c>
      <c r="P11" s="29">
        <f>IF($A11="","",SUMIFS(예산판_원본!$O$5:$O$5000,예산판_원본!$L$5:$L$5000,$E11,예산판_원본!$M$5:$M$5000,설정!$C$6))</f>
        <v/>
      </c>
      <c r="Q11" s="29">
        <f>IF($A11="","",SUMIFS(월별집계!$C11:$Z11,월별집계!$C$5:$Z$5,"&gt;="&amp;(설정!$C$6*12+1),월별집계!$C$5:$Z$5,"&lt;="&amp;설정!$C$20))</f>
        <v/>
      </c>
      <c r="R11" s="53">
        <f>IF($A11="","",P11-Q11)</f>
        <v/>
      </c>
      <c r="S11" s="29">
        <f>IF($A11="","",AVERAGE(월별집계!X11:Z11)*(12-설정!$C$7))</f>
        <v/>
      </c>
      <c r="T11" s="29">
        <f>IF($A11="","",IFERROR(Q11/(SUMIFS(월별집계!$C11:$Z11,월별집계!$C$5:$Z$5,"&gt;="&amp;((설정!$C$6-1)*12+1),월별집계!$C$5:$Z$5,"&lt;="&amp;(설정!$C$20-12))/SUMIFS(월별집계!$C11:$Z11,월별집계!$C$5:$Z$5,"&gt;="&amp;((설정!$C$6-1)*12+1),월별집계!$C$5:$Z$5,"&lt;="&amp;((설정!$C$6-1)*12+12)))-Q11,S11))</f>
        <v/>
      </c>
      <c r="U11" s="53">
        <f>IF($A11="","",Q11+MAX(S11,T11))</f>
        <v/>
      </c>
      <c r="V11" s="49">
        <f>IF($A11="","",IF(P11=0,0,U11/P11))</f>
        <v/>
      </c>
      <c r="W11" s="28">
        <f>IF($A11="","",IF(AND(P11=0,Q11&gt;0),"무예산",IF(P11=0,"-",IF(V11&gt;설정!$C$12,"부족 예상",IF(V11&gt;설정!$C$11,"주의","여유")))))</f>
        <v/>
      </c>
      <c r="X11" s="53">
        <f>IF($A11="","",IF(P11=0,0,MAX(0,U11-P11)))</f>
        <v/>
      </c>
      <c r="Y11" s="28">
        <f>IF($A11="","",IF(OR(W11&lt;&gt;"부족 예상",설정!$C$7=12),"",IF(R11&lt;=0,"이미 초과",MIN(12,설정!$C$7+ROUNDUP(R11/(MAX(S11,T11)/(12-설정!$C$7)),0))&amp;"월")))</f>
        <v/>
      </c>
      <c r="Z11" s="22">
        <f>IF($A11="","",TRIM(IF(N(AC11)&gt;=설정!$C$14,"단건"&amp;TEXT(AC11,"0%")&amp;" ","")&amp;IF(AND(N11&gt;0,AD11&gt;0),IF(AD11/N11&gt;=설정!$C$16,"SA대체 ",""),"")&amp;IF(AE11&gt;0,"역분개"&amp;AE11&amp;"건 ","")&amp;IF(O11&gt;=설정!$C$13,"이상치 ","")&amp;IF(AND(I11=0,F11&gt;0),"신규지출 ","")))</f>
        <v/>
      </c>
      <c r="AA11" s="61">
        <f>IF($A11="","",ROUND((AF11+AG11+AH11+AI11)*IF(AND(F11&lt;설정!$C$10,N11&lt;설정!$C$10),0.3,1),1))</f>
        <v/>
      </c>
      <c r="AB11" s="50">
        <f>IF($A11="","",AA11+ROW()/1000000)</f>
        <v/>
      </c>
      <c r="AC11" s="56">
        <f>IF(OR($A11="",N11&lt;=0),"",SUMPRODUCT(MAX((전표_원본!$O$5:$O$100000=$E11)*(전표_원본!$M$5:$M$100000=설정!$C$20)*전표_원본!$P$5:$P$100000))/N11)</f>
        <v/>
      </c>
      <c r="AD11" s="29">
        <f>IF($A11="","",SUMIFS(전표_원본!$P$5:$P$100000,전표_원본!$O$5:$O$100000,$E11,전표_원본!$M$5:$M$100000,설정!$C$20,전표_원본!$E$5:$E$100000,"SA")-SUMIFS(전표_원본!$P$5:$P$100000,전표_원본!$O$5:$O$100000,$E11,전표_원본!$M$5:$M$100000,설정!$C$20-1,전표_원본!$E$5:$E$100000,"SA"))</f>
        <v/>
      </c>
      <c r="AE11" s="62">
        <f>IF($A11="","",COUNTIFS(전표_원본!$O$5:$O$100000,$E11,전표_원본!$M$5:$M$100000,설정!$C$20,전표_원본!$P$5:$P$100000,"&lt;0"))</f>
        <v/>
      </c>
      <c r="AF11" s="61">
        <f>IF($A11="","",MIN(MAX(0,N11)/(설정!$C$10*5),1)*30)</f>
        <v/>
      </c>
      <c r="AG11" s="63">
        <f>IF($A11="","",MIN(MAX(0,H11,J11),1)*20)</f>
        <v/>
      </c>
      <c r="AH11" s="63">
        <f>IF($A11="","",MIN(MAX(0,O11)/3,1)*25)</f>
        <v/>
      </c>
      <c r="AI11" s="63">
        <f>IF($A11="","",IF(OR(W11="부족 예상",W11="무예산"),25,IF(W11="주의",15,0)))</f>
        <v/>
      </c>
    </row>
    <row r="12">
      <c r="A12" s="12" t="inlineStr">
        <is>
          <t>D100</t>
        </is>
      </c>
      <c r="B12" s="22">
        <f>IF($A12="","",IFERROR(INDEX(부서매핑!$D$5:$D$504,MATCH($A12,부서매핑!$C$5:$C$504,0)),"부서매핑 없음"))</f>
        <v/>
      </c>
      <c r="C12" s="59" t="inlineStr">
        <is>
          <t>62601000</t>
        </is>
      </c>
      <c r="D12" s="22">
        <f>IF($A12="","",IFERROR(INDEX(계정매핑!$B$5:$B$504,MATCH($C12&amp;"",계정매핑!$A$5:$A$504,0)),"계정매핑 없음"))</f>
        <v/>
      </c>
      <c r="E12" s="21">
        <f>IF($A12="","",$A12&amp;"|"&amp;$C12)</f>
        <v/>
      </c>
      <c r="F12" s="29">
        <f>IF($A12="","",월별집계!$Z12)</f>
        <v/>
      </c>
      <c r="G12" s="29">
        <f>IF($A12="","",월별집계!$Y12)</f>
        <v/>
      </c>
      <c r="H12" s="60">
        <f>IF($A12="","",IF(G12&lt;=0,IF(F12&gt;0,1,0),F12/G12-1))</f>
        <v/>
      </c>
      <c r="I12" s="29">
        <f>IF($A12="","",월별집계!$N12)</f>
        <v/>
      </c>
      <c r="J12" s="60">
        <f>IF($A12="","",IF(I12&lt;=0,IF(F12&gt;0,1,0),F12/I12-1))</f>
        <v/>
      </c>
      <c r="K12" s="29">
        <f>IF($A12="","",SUMIFS(월별집계!$C12:$Z12,월별집계!$C$5:$Z$5,"&gt;="&amp;설정!$C$22,월별집계!$C$5:$Z$5,"&lt;="&amp;설정!$C$20))</f>
        <v/>
      </c>
      <c r="L12" s="29">
        <f>IF($A12="","",SUMIFS(월별집계!$C12:$Z12,월별집계!$C$5:$Z$5,"&gt;="&amp;(설정!$C$22-3),월별집계!$C$5:$Z$5,"&lt;="&amp;(설정!$C$20-3)))</f>
        <v/>
      </c>
      <c r="M12" s="60">
        <f>IF($A12="","",IF(L12&lt;=0,IF(K12&gt;0,1,0),K12/L12-1))</f>
        <v/>
      </c>
      <c r="N12" s="53">
        <f>IF($A12="","",MAX(F12-G12,F12-I12))</f>
        <v/>
      </c>
      <c r="O12" s="61">
        <f>IF($A12="","",IFERROR((월별집계!$Z12-AVERAGE(월별집계!N12:Y12))/STDEV(월별집계!N12:Y12),0))</f>
        <v/>
      </c>
      <c r="P12" s="29">
        <f>IF($A12="","",SUMIFS(예산판_원본!$O$5:$O$5000,예산판_원본!$L$5:$L$5000,$E12,예산판_원본!$M$5:$M$5000,설정!$C$6))</f>
        <v/>
      </c>
      <c r="Q12" s="29">
        <f>IF($A12="","",SUMIFS(월별집계!$C12:$Z12,월별집계!$C$5:$Z$5,"&gt;="&amp;(설정!$C$6*12+1),월별집계!$C$5:$Z$5,"&lt;="&amp;설정!$C$20))</f>
        <v/>
      </c>
      <c r="R12" s="53">
        <f>IF($A12="","",P12-Q12)</f>
        <v/>
      </c>
      <c r="S12" s="29">
        <f>IF($A12="","",AVERAGE(월별집계!X12:Z12)*(12-설정!$C$7))</f>
        <v/>
      </c>
      <c r="T12" s="29">
        <f>IF($A12="","",IFERROR(Q12/(SUMIFS(월별집계!$C12:$Z12,월별집계!$C$5:$Z$5,"&gt;="&amp;((설정!$C$6-1)*12+1),월별집계!$C$5:$Z$5,"&lt;="&amp;(설정!$C$20-12))/SUMIFS(월별집계!$C12:$Z12,월별집계!$C$5:$Z$5,"&gt;="&amp;((설정!$C$6-1)*12+1),월별집계!$C$5:$Z$5,"&lt;="&amp;((설정!$C$6-1)*12+12)))-Q12,S12))</f>
        <v/>
      </c>
      <c r="U12" s="53">
        <f>IF($A12="","",Q12+MAX(S12,T12))</f>
        <v/>
      </c>
      <c r="V12" s="49">
        <f>IF($A12="","",IF(P12=0,0,U12/P12))</f>
        <v/>
      </c>
      <c r="W12" s="28">
        <f>IF($A12="","",IF(AND(P12=0,Q12&gt;0),"무예산",IF(P12=0,"-",IF(V12&gt;설정!$C$12,"부족 예상",IF(V12&gt;설정!$C$11,"주의","여유")))))</f>
        <v/>
      </c>
      <c r="X12" s="53">
        <f>IF($A12="","",IF(P12=0,0,MAX(0,U12-P12)))</f>
        <v/>
      </c>
      <c r="Y12" s="28">
        <f>IF($A12="","",IF(OR(W12&lt;&gt;"부족 예상",설정!$C$7=12),"",IF(R12&lt;=0,"이미 초과",MIN(12,설정!$C$7+ROUNDUP(R12/(MAX(S12,T12)/(12-설정!$C$7)),0))&amp;"월")))</f>
        <v/>
      </c>
      <c r="Z12" s="22">
        <f>IF($A12="","",TRIM(IF(N(AC12)&gt;=설정!$C$14,"단건"&amp;TEXT(AC12,"0%")&amp;" ","")&amp;IF(AND(N12&gt;0,AD12&gt;0),IF(AD12/N12&gt;=설정!$C$16,"SA대체 ",""),"")&amp;IF(AE12&gt;0,"역분개"&amp;AE12&amp;"건 ","")&amp;IF(O12&gt;=설정!$C$13,"이상치 ","")&amp;IF(AND(I12=0,F12&gt;0),"신규지출 ","")))</f>
        <v/>
      </c>
      <c r="AA12" s="61">
        <f>IF($A12="","",ROUND((AF12+AG12+AH12+AI12)*IF(AND(F12&lt;설정!$C$10,N12&lt;설정!$C$10),0.3,1),1))</f>
        <v/>
      </c>
      <c r="AB12" s="50">
        <f>IF($A12="","",AA12+ROW()/1000000)</f>
        <v/>
      </c>
      <c r="AC12" s="56">
        <f>IF(OR($A12="",N12&lt;=0),"",SUMPRODUCT(MAX((전표_원본!$O$5:$O$100000=$E12)*(전표_원본!$M$5:$M$100000=설정!$C$20)*전표_원본!$P$5:$P$100000))/N12)</f>
        <v/>
      </c>
      <c r="AD12" s="29">
        <f>IF($A12="","",SUMIFS(전표_원본!$P$5:$P$100000,전표_원본!$O$5:$O$100000,$E12,전표_원본!$M$5:$M$100000,설정!$C$20,전표_원본!$E$5:$E$100000,"SA")-SUMIFS(전표_원본!$P$5:$P$100000,전표_원본!$O$5:$O$100000,$E12,전표_원본!$M$5:$M$100000,설정!$C$20-1,전표_원본!$E$5:$E$100000,"SA"))</f>
        <v/>
      </c>
      <c r="AE12" s="62">
        <f>IF($A12="","",COUNTIFS(전표_원본!$O$5:$O$100000,$E12,전표_원본!$M$5:$M$100000,설정!$C$20,전표_원본!$P$5:$P$100000,"&lt;0"))</f>
        <v/>
      </c>
      <c r="AF12" s="61">
        <f>IF($A12="","",MIN(MAX(0,N12)/(설정!$C$10*5),1)*30)</f>
        <v/>
      </c>
      <c r="AG12" s="63">
        <f>IF($A12="","",MIN(MAX(0,H12,J12),1)*20)</f>
        <v/>
      </c>
      <c r="AH12" s="63">
        <f>IF($A12="","",MIN(MAX(0,O12)/3,1)*25)</f>
        <v/>
      </c>
      <c r="AI12" s="63">
        <f>IF($A12="","",IF(OR(W12="부족 예상",W12="무예산"),25,IF(W12="주의",15,0)))</f>
        <v/>
      </c>
    </row>
    <row r="13">
      <c r="A13" s="12" t="inlineStr">
        <is>
          <t>D100</t>
        </is>
      </c>
      <c r="B13" s="22">
        <f>IF($A13="","",IFERROR(INDEX(부서매핑!$D$5:$D$504,MATCH($A13,부서매핑!$C$5:$C$504,0)),"부서매핑 없음"))</f>
        <v/>
      </c>
      <c r="C13" s="59" t="inlineStr">
        <is>
          <t>62901000</t>
        </is>
      </c>
      <c r="D13" s="22">
        <f>IF($A13="","",IFERROR(INDEX(계정매핑!$B$5:$B$504,MATCH($C13&amp;"",계정매핑!$A$5:$A$504,0)),"계정매핑 없음"))</f>
        <v/>
      </c>
      <c r="E13" s="21">
        <f>IF($A13="","",$A13&amp;"|"&amp;$C13)</f>
        <v/>
      </c>
      <c r="F13" s="29">
        <f>IF($A13="","",월별집계!$Z13)</f>
        <v/>
      </c>
      <c r="G13" s="29">
        <f>IF($A13="","",월별집계!$Y13)</f>
        <v/>
      </c>
      <c r="H13" s="60">
        <f>IF($A13="","",IF(G13&lt;=0,IF(F13&gt;0,1,0),F13/G13-1))</f>
        <v/>
      </c>
      <c r="I13" s="29">
        <f>IF($A13="","",월별집계!$N13)</f>
        <v/>
      </c>
      <c r="J13" s="60">
        <f>IF($A13="","",IF(I13&lt;=0,IF(F13&gt;0,1,0),F13/I13-1))</f>
        <v/>
      </c>
      <c r="K13" s="29">
        <f>IF($A13="","",SUMIFS(월별집계!$C13:$Z13,월별집계!$C$5:$Z$5,"&gt;="&amp;설정!$C$22,월별집계!$C$5:$Z$5,"&lt;="&amp;설정!$C$20))</f>
        <v/>
      </c>
      <c r="L13" s="29">
        <f>IF($A13="","",SUMIFS(월별집계!$C13:$Z13,월별집계!$C$5:$Z$5,"&gt;="&amp;(설정!$C$22-3),월별집계!$C$5:$Z$5,"&lt;="&amp;(설정!$C$20-3)))</f>
        <v/>
      </c>
      <c r="M13" s="60">
        <f>IF($A13="","",IF(L13&lt;=0,IF(K13&gt;0,1,0),K13/L13-1))</f>
        <v/>
      </c>
      <c r="N13" s="53">
        <f>IF($A13="","",MAX(F13-G13,F13-I13))</f>
        <v/>
      </c>
      <c r="O13" s="61">
        <f>IF($A13="","",IFERROR((월별집계!$Z13-AVERAGE(월별집계!N13:Y13))/STDEV(월별집계!N13:Y13),0))</f>
        <v/>
      </c>
      <c r="P13" s="29">
        <f>IF($A13="","",SUMIFS(예산판_원본!$O$5:$O$5000,예산판_원본!$L$5:$L$5000,$E13,예산판_원본!$M$5:$M$5000,설정!$C$6))</f>
        <v/>
      </c>
      <c r="Q13" s="29">
        <f>IF($A13="","",SUMIFS(월별집계!$C13:$Z13,월별집계!$C$5:$Z$5,"&gt;="&amp;(설정!$C$6*12+1),월별집계!$C$5:$Z$5,"&lt;="&amp;설정!$C$20))</f>
        <v/>
      </c>
      <c r="R13" s="53">
        <f>IF($A13="","",P13-Q13)</f>
        <v/>
      </c>
      <c r="S13" s="29">
        <f>IF($A13="","",AVERAGE(월별집계!X13:Z13)*(12-설정!$C$7))</f>
        <v/>
      </c>
      <c r="T13" s="29">
        <f>IF($A13="","",IFERROR(Q13/(SUMIFS(월별집계!$C13:$Z13,월별집계!$C$5:$Z$5,"&gt;="&amp;((설정!$C$6-1)*12+1),월별집계!$C$5:$Z$5,"&lt;="&amp;(설정!$C$20-12))/SUMIFS(월별집계!$C13:$Z13,월별집계!$C$5:$Z$5,"&gt;="&amp;((설정!$C$6-1)*12+1),월별집계!$C$5:$Z$5,"&lt;="&amp;((설정!$C$6-1)*12+12)))-Q13,S13))</f>
        <v/>
      </c>
      <c r="U13" s="53">
        <f>IF($A13="","",Q13+MAX(S13,T13))</f>
        <v/>
      </c>
      <c r="V13" s="49">
        <f>IF($A13="","",IF(P13=0,0,U13/P13))</f>
        <v/>
      </c>
      <c r="W13" s="28">
        <f>IF($A13="","",IF(AND(P13=0,Q13&gt;0),"무예산",IF(P13=0,"-",IF(V13&gt;설정!$C$12,"부족 예상",IF(V13&gt;설정!$C$11,"주의","여유")))))</f>
        <v/>
      </c>
      <c r="X13" s="53">
        <f>IF($A13="","",IF(P13=0,0,MAX(0,U13-P13)))</f>
        <v/>
      </c>
      <c r="Y13" s="28">
        <f>IF($A13="","",IF(OR(W13&lt;&gt;"부족 예상",설정!$C$7=12),"",IF(R13&lt;=0,"이미 초과",MIN(12,설정!$C$7+ROUNDUP(R13/(MAX(S13,T13)/(12-설정!$C$7)),0))&amp;"월")))</f>
        <v/>
      </c>
      <c r="Z13" s="22">
        <f>IF($A13="","",TRIM(IF(N(AC13)&gt;=설정!$C$14,"단건"&amp;TEXT(AC13,"0%")&amp;" ","")&amp;IF(AND(N13&gt;0,AD13&gt;0),IF(AD13/N13&gt;=설정!$C$16,"SA대체 ",""),"")&amp;IF(AE13&gt;0,"역분개"&amp;AE13&amp;"건 ","")&amp;IF(O13&gt;=설정!$C$13,"이상치 ","")&amp;IF(AND(I13=0,F13&gt;0),"신규지출 ","")))</f>
        <v/>
      </c>
      <c r="AA13" s="61">
        <f>IF($A13="","",ROUND((AF13+AG13+AH13+AI13)*IF(AND(F13&lt;설정!$C$10,N13&lt;설정!$C$10),0.3,1),1))</f>
        <v/>
      </c>
      <c r="AB13" s="50">
        <f>IF($A13="","",AA13+ROW()/1000000)</f>
        <v/>
      </c>
      <c r="AC13" s="56">
        <f>IF(OR($A13="",N13&lt;=0),"",SUMPRODUCT(MAX((전표_원본!$O$5:$O$100000=$E13)*(전표_원본!$M$5:$M$100000=설정!$C$20)*전표_원본!$P$5:$P$100000))/N13)</f>
        <v/>
      </c>
      <c r="AD13" s="29">
        <f>IF($A13="","",SUMIFS(전표_원본!$P$5:$P$100000,전표_원본!$O$5:$O$100000,$E13,전표_원본!$M$5:$M$100000,설정!$C$20,전표_원본!$E$5:$E$100000,"SA")-SUMIFS(전표_원본!$P$5:$P$100000,전표_원본!$O$5:$O$100000,$E13,전표_원본!$M$5:$M$100000,설정!$C$20-1,전표_원본!$E$5:$E$100000,"SA"))</f>
        <v/>
      </c>
      <c r="AE13" s="62">
        <f>IF($A13="","",COUNTIFS(전표_원본!$O$5:$O$100000,$E13,전표_원본!$M$5:$M$100000,설정!$C$20,전표_원본!$P$5:$P$100000,"&lt;0"))</f>
        <v/>
      </c>
      <c r="AF13" s="61">
        <f>IF($A13="","",MIN(MAX(0,N13)/(설정!$C$10*5),1)*30)</f>
        <v/>
      </c>
      <c r="AG13" s="63">
        <f>IF($A13="","",MIN(MAX(0,H13,J13),1)*20)</f>
        <v/>
      </c>
      <c r="AH13" s="63">
        <f>IF($A13="","",MIN(MAX(0,O13)/3,1)*25)</f>
        <v/>
      </c>
      <c r="AI13" s="63">
        <f>IF($A13="","",IF(OR(W13="부족 예상",W13="무예산"),25,IF(W13="주의",15,0)))</f>
        <v/>
      </c>
    </row>
    <row r="14">
      <c r="A14" s="12" t="inlineStr">
        <is>
          <t>D100</t>
        </is>
      </c>
      <c r="B14" s="22">
        <f>IF($A14="","",IFERROR(INDEX(부서매핑!$D$5:$D$504,MATCH($A14,부서매핑!$C$5:$C$504,0)),"부서매핑 없음"))</f>
        <v/>
      </c>
      <c r="C14" s="59" t="inlineStr">
        <is>
          <t>62902000</t>
        </is>
      </c>
      <c r="D14" s="22">
        <f>IF($A14="","",IFERROR(INDEX(계정매핑!$B$5:$B$504,MATCH($C14&amp;"",계정매핑!$A$5:$A$504,0)),"계정매핑 없음"))</f>
        <v/>
      </c>
      <c r="E14" s="21">
        <f>IF($A14="","",$A14&amp;"|"&amp;$C14)</f>
        <v/>
      </c>
      <c r="F14" s="29">
        <f>IF($A14="","",월별집계!$Z14)</f>
        <v/>
      </c>
      <c r="G14" s="29">
        <f>IF($A14="","",월별집계!$Y14)</f>
        <v/>
      </c>
      <c r="H14" s="60">
        <f>IF($A14="","",IF(G14&lt;=0,IF(F14&gt;0,1,0),F14/G14-1))</f>
        <v/>
      </c>
      <c r="I14" s="29">
        <f>IF($A14="","",월별집계!$N14)</f>
        <v/>
      </c>
      <c r="J14" s="60">
        <f>IF($A14="","",IF(I14&lt;=0,IF(F14&gt;0,1,0),F14/I14-1))</f>
        <v/>
      </c>
      <c r="K14" s="29">
        <f>IF($A14="","",SUMIFS(월별집계!$C14:$Z14,월별집계!$C$5:$Z$5,"&gt;="&amp;설정!$C$22,월별집계!$C$5:$Z$5,"&lt;="&amp;설정!$C$20))</f>
        <v/>
      </c>
      <c r="L14" s="29">
        <f>IF($A14="","",SUMIFS(월별집계!$C14:$Z14,월별집계!$C$5:$Z$5,"&gt;="&amp;(설정!$C$22-3),월별집계!$C$5:$Z$5,"&lt;="&amp;(설정!$C$20-3)))</f>
        <v/>
      </c>
      <c r="M14" s="60">
        <f>IF($A14="","",IF(L14&lt;=0,IF(K14&gt;0,1,0),K14/L14-1))</f>
        <v/>
      </c>
      <c r="N14" s="53">
        <f>IF($A14="","",MAX(F14-G14,F14-I14))</f>
        <v/>
      </c>
      <c r="O14" s="61">
        <f>IF($A14="","",IFERROR((월별집계!$Z14-AVERAGE(월별집계!N14:Y14))/STDEV(월별집계!N14:Y14),0))</f>
        <v/>
      </c>
      <c r="P14" s="29">
        <f>IF($A14="","",SUMIFS(예산판_원본!$O$5:$O$5000,예산판_원본!$L$5:$L$5000,$E14,예산판_원본!$M$5:$M$5000,설정!$C$6))</f>
        <v/>
      </c>
      <c r="Q14" s="29">
        <f>IF($A14="","",SUMIFS(월별집계!$C14:$Z14,월별집계!$C$5:$Z$5,"&gt;="&amp;(설정!$C$6*12+1),월별집계!$C$5:$Z$5,"&lt;="&amp;설정!$C$20))</f>
        <v/>
      </c>
      <c r="R14" s="53">
        <f>IF($A14="","",P14-Q14)</f>
        <v/>
      </c>
      <c r="S14" s="29">
        <f>IF($A14="","",AVERAGE(월별집계!X14:Z14)*(12-설정!$C$7))</f>
        <v/>
      </c>
      <c r="T14" s="29">
        <f>IF($A14="","",IFERROR(Q14/(SUMIFS(월별집계!$C14:$Z14,월별집계!$C$5:$Z$5,"&gt;="&amp;((설정!$C$6-1)*12+1),월별집계!$C$5:$Z$5,"&lt;="&amp;(설정!$C$20-12))/SUMIFS(월별집계!$C14:$Z14,월별집계!$C$5:$Z$5,"&gt;="&amp;((설정!$C$6-1)*12+1),월별집계!$C$5:$Z$5,"&lt;="&amp;((설정!$C$6-1)*12+12)))-Q14,S14))</f>
        <v/>
      </c>
      <c r="U14" s="53">
        <f>IF($A14="","",Q14+MAX(S14,T14))</f>
        <v/>
      </c>
      <c r="V14" s="49">
        <f>IF($A14="","",IF(P14=0,0,U14/P14))</f>
        <v/>
      </c>
      <c r="W14" s="28">
        <f>IF($A14="","",IF(AND(P14=0,Q14&gt;0),"무예산",IF(P14=0,"-",IF(V14&gt;설정!$C$12,"부족 예상",IF(V14&gt;설정!$C$11,"주의","여유")))))</f>
        <v/>
      </c>
      <c r="X14" s="53">
        <f>IF($A14="","",IF(P14=0,0,MAX(0,U14-P14)))</f>
        <v/>
      </c>
      <c r="Y14" s="28">
        <f>IF($A14="","",IF(OR(W14&lt;&gt;"부족 예상",설정!$C$7=12),"",IF(R14&lt;=0,"이미 초과",MIN(12,설정!$C$7+ROUNDUP(R14/(MAX(S14,T14)/(12-설정!$C$7)),0))&amp;"월")))</f>
        <v/>
      </c>
      <c r="Z14" s="22">
        <f>IF($A14="","",TRIM(IF(N(AC14)&gt;=설정!$C$14,"단건"&amp;TEXT(AC14,"0%")&amp;" ","")&amp;IF(AND(N14&gt;0,AD14&gt;0),IF(AD14/N14&gt;=설정!$C$16,"SA대체 ",""),"")&amp;IF(AE14&gt;0,"역분개"&amp;AE14&amp;"건 ","")&amp;IF(O14&gt;=설정!$C$13,"이상치 ","")&amp;IF(AND(I14=0,F14&gt;0),"신규지출 ","")))</f>
        <v/>
      </c>
      <c r="AA14" s="61">
        <f>IF($A14="","",ROUND((AF14+AG14+AH14+AI14)*IF(AND(F14&lt;설정!$C$10,N14&lt;설정!$C$10),0.3,1),1))</f>
        <v/>
      </c>
      <c r="AB14" s="50">
        <f>IF($A14="","",AA14+ROW()/1000000)</f>
        <v/>
      </c>
      <c r="AC14" s="56">
        <f>IF(OR($A14="",N14&lt;=0),"",SUMPRODUCT(MAX((전표_원본!$O$5:$O$100000=$E14)*(전표_원본!$M$5:$M$100000=설정!$C$20)*전표_원본!$P$5:$P$100000))/N14)</f>
        <v/>
      </c>
      <c r="AD14" s="29">
        <f>IF($A14="","",SUMIFS(전표_원본!$P$5:$P$100000,전표_원본!$O$5:$O$100000,$E14,전표_원본!$M$5:$M$100000,설정!$C$20,전표_원본!$E$5:$E$100000,"SA")-SUMIFS(전표_원본!$P$5:$P$100000,전표_원본!$O$5:$O$100000,$E14,전표_원본!$M$5:$M$100000,설정!$C$20-1,전표_원본!$E$5:$E$100000,"SA"))</f>
        <v/>
      </c>
      <c r="AE14" s="62">
        <f>IF($A14="","",COUNTIFS(전표_원본!$O$5:$O$100000,$E14,전표_원본!$M$5:$M$100000,설정!$C$20,전표_원본!$P$5:$P$100000,"&lt;0"))</f>
        <v/>
      </c>
      <c r="AF14" s="61">
        <f>IF($A14="","",MIN(MAX(0,N14)/(설정!$C$10*5),1)*30)</f>
        <v/>
      </c>
      <c r="AG14" s="63">
        <f>IF($A14="","",MIN(MAX(0,H14,J14),1)*20)</f>
        <v/>
      </c>
      <c r="AH14" s="63">
        <f>IF($A14="","",MIN(MAX(0,O14)/3,1)*25)</f>
        <v/>
      </c>
      <c r="AI14" s="63">
        <f>IF($A14="","",IF(OR(W14="부족 예상",W14="무예산"),25,IF(W14="주의",15,0)))</f>
        <v/>
      </c>
    </row>
    <row r="15">
      <c r="A15" s="12" t="inlineStr">
        <is>
          <t>D200</t>
        </is>
      </c>
      <c r="B15" s="22">
        <f>IF($A15="","",IFERROR(INDEX(부서매핑!$D$5:$D$504,MATCH($A15,부서매핑!$C$5:$C$504,0)),"부서매핑 없음"))</f>
        <v/>
      </c>
      <c r="C15" s="59" t="inlineStr">
        <is>
          <t>62101000</t>
        </is>
      </c>
      <c r="D15" s="22">
        <f>IF($A15="","",IFERROR(INDEX(계정매핑!$B$5:$B$504,MATCH($C15&amp;"",계정매핑!$A$5:$A$504,0)),"계정매핑 없음"))</f>
        <v/>
      </c>
      <c r="E15" s="21">
        <f>IF($A15="","",$A15&amp;"|"&amp;$C15)</f>
        <v/>
      </c>
      <c r="F15" s="29">
        <f>IF($A15="","",월별집계!$Z15)</f>
        <v/>
      </c>
      <c r="G15" s="29">
        <f>IF($A15="","",월별집계!$Y15)</f>
        <v/>
      </c>
      <c r="H15" s="60">
        <f>IF($A15="","",IF(G15&lt;=0,IF(F15&gt;0,1,0),F15/G15-1))</f>
        <v/>
      </c>
      <c r="I15" s="29">
        <f>IF($A15="","",월별집계!$N15)</f>
        <v/>
      </c>
      <c r="J15" s="60">
        <f>IF($A15="","",IF(I15&lt;=0,IF(F15&gt;0,1,0),F15/I15-1))</f>
        <v/>
      </c>
      <c r="K15" s="29">
        <f>IF($A15="","",SUMIFS(월별집계!$C15:$Z15,월별집계!$C$5:$Z$5,"&gt;="&amp;설정!$C$22,월별집계!$C$5:$Z$5,"&lt;="&amp;설정!$C$20))</f>
        <v/>
      </c>
      <c r="L15" s="29">
        <f>IF($A15="","",SUMIFS(월별집계!$C15:$Z15,월별집계!$C$5:$Z$5,"&gt;="&amp;(설정!$C$22-3),월별집계!$C$5:$Z$5,"&lt;="&amp;(설정!$C$20-3)))</f>
        <v/>
      </c>
      <c r="M15" s="60">
        <f>IF($A15="","",IF(L15&lt;=0,IF(K15&gt;0,1,0),K15/L15-1))</f>
        <v/>
      </c>
      <c r="N15" s="53">
        <f>IF($A15="","",MAX(F15-G15,F15-I15))</f>
        <v/>
      </c>
      <c r="O15" s="61">
        <f>IF($A15="","",IFERROR((월별집계!$Z15-AVERAGE(월별집계!N15:Y15))/STDEV(월별집계!N15:Y15),0))</f>
        <v/>
      </c>
      <c r="P15" s="29">
        <f>IF($A15="","",SUMIFS(예산판_원본!$O$5:$O$5000,예산판_원본!$L$5:$L$5000,$E15,예산판_원본!$M$5:$M$5000,설정!$C$6))</f>
        <v/>
      </c>
      <c r="Q15" s="29">
        <f>IF($A15="","",SUMIFS(월별집계!$C15:$Z15,월별집계!$C$5:$Z$5,"&gt;="&amp;(설정!$C$6*12+1),월별집계!$C$5:$Z$5,"&lt;="&amp;설정!$C$20))</f>
        <v/>
      </c>
      <c r="R15" s="53">
        <f>IF($A15="","",P15-Q15)</f>
        <v/>
      </c>
      <c r="S15" s="29">
        <f>IF($A15="","",AVERAGE(월별집계!X15:Z15)*(12-설정!$C$7))</f>
        <v/>
      </c>
      <c r="T15" s="29">
        <f>IF($A15="","",IFERROR(Q15/(SUMIFS(월별집계!$C15:$Z15,월별집계!$C$5:$Z$5,"&gt;="&amp;((설정!$C$6-1)*12+1),월별집계!$C$5:$Z$5,"&lt;="&amp;(설정!$C$20-12))/SUMIFS(월별집계!$C15:$Z15,월별집계!$C$5:$Z$5,"&gt;="&amp;((설정!$C$6-1)*12+1),월별집계!$C$5:$Z$5,"&lt;="&amp;((설정!$C$6-1)*12+12)))-Q15,S15))</f>
        <v/>
      </c>
      <c r="U15" s="53">
        <f>IF($A15="","",Q15+MAX(S15,T15))</f>
        <v/>
      </c>
      <c r="V15" s="49">
        <f>IF($A15="","",IF(P15=0,0,U15/P15))</f>
        <v/>
      </c>
      <c r="W15" s="28">
        <f>IF($A15="","",IF(AND(P15=0,Q15&gt;0),"무예산",IF(P15=0,"-",IF(V15&gt;설정!$C$12,"부족 예상",IF(V15&gt;설정!$C$11,"주의","여유")))))</f>
        <v/>
      </c>
      <c r="X15" s="53">
        <f>IF($A15="","",IF(P15=0,0,MAX(0,U15-P15)))</f>
        <v/>
      </c>
      <c r="Y15" s="28">
        <f>IF($A15="","",IF(OR(W15&lt;&gt;"부족 예상",설정!$C$7=12),"",IF(R15&lt;=0,"이미 초과",MIN(12,설정!$C$7+ROUNDUP(R15/(MAX(S15,T15)/(12-설정!$C$7)),0))&amp;"월")))</f>
        <v/>
      </c>
      <c r="Z15" s="22">
        <f>IF($A15="","",TRIM(IF(N(AC15)&gt;=설정!$C$14,"단건"&amp;TEXT(AC15,"0%")&amp;" ","")&amp;IF(AND(N15&gt;0,AD15&gt;0),IF(AD15/N15&gt;=설정!$C$16,"SA대체 ",""),"")&amp;IF(AE15&gt;0,"역분개"&amp;AE15&amp;"건 ","")&amp;IF(O15&gt;=설정!$C$13,"이상치 ","")&amp;IF(AND(I15=0,F15&gt;0),"신규지출 ","")))</f>
        <v/>
      </c>
      <c r="AA15" s="61">
        <f>IF($A15="","",ROUND((AF15+AG15+AH15+AI15)*IF(AND(F15&lt;설정!$C$10,N15&lt;설정!$C$10),0.3,1),1))</f>
        <v/>
      </c>
      <c r="AB15" s="50">
        <f>IF($A15="","",AA15+ROW()/1000000)</f>
        <v/>
      </c>
      <c r="AC15" s="56">
        <f>IF(OR($A15="",N15&lt;=0),"",SUMPRODUCT(MAX((전표_원본!$O$5:$O$100000=$E15)*(전표_원본!$M$5:$M$100000=설정!$C$20)*전표_원본!$P$5:$P$100000))/N15)</f>
        <v/>
      </c>
      <c r="AD15" s="29">
        <f>IF($A15="","",SUMIFS(전표_원본!$P$5:$P$100000,전표_원본!$O$5:$O$100000,$E15,전표_원본!$M$5:$M$100000,설정!$C$20,전표_원본!$E$5:$E$100000,"SA")-SUMIFS(전표_원본!$P$5:$P$100000,전표_원본!$O$5:$O$100000,$E15,전표_원본!$M$5:$M$100000,설정!$C$20-1,전표_원본!$E$5:$E$100000,"SA"))</f>
        <v/>
      </c>
      <c r="AE15" s="62">
        <f>IF($A15="","",COUNTIFS(전표_원본!$O$5:$O$100000,$E15,전표_원본!$M$5:$M$100000,설정!$C$20,전표_원본!$P$5:$P$100000,"&lt;0"))</f>
        <v/>
      </c>
      <c r="AF15" s="61">
        <f>IF($A15="","",MIN(MAX(0,N15)/(설정!$C$10*5),1)*30)</f>
        <v/>
      </c>
      <c r="AG15" s="63">
        <f>IF($A15="","",MIN(MAX(0,H15,J15),1)*20)</f>
        <v/>
      </c>
      <c r="AH15" s="63">
        <f>IF($A15="","",MIN(MAX(0,O15)/3,1)*25)</f>
        <v/>
      </c>
      <c r="AI15" s="63">
        <f>IF($A15="","",IF(OR(W15="부족 예상",W15="무예산"),25,IF(W15="주의",15,0)))</f>
        <v/>
      </c>
    </row>
    <row r="16">
      <c r="A16" s="12" t="inlineStr">
        <is>
          <t>D200</t>
        </is>
      </c>
      <c r="B16" s="22">
        <f>IF($A16="","",IFERROR(INDEX(부서매핑!$D$5:$D$504,MATCH($A16,부서매핑!$C$5:$C$504,0)),"부서매핑 없음"))</f>
        <v/>
      </c>
      <c r="C16" s="59" t="inlineStr">
        <is>
          <t>62102000</t>
        </is>
      </c>
      <c r="D16" s="22">
        <f>IF($A16="","",IFERROR(INDEX(계정매핑!$B$5:$B$504,MATCH($C16&amp;"",계정매핑!$A$5:$A$504,0)),"계정매핑 없음"))</f>
        <v/>
      </c>
      <c r="E16" s="21">
        <f>IF($A16="","",$A16&amp;"|"&amp;$C16)</f>
        <v/>
      </c>
      <c r="F16" s="29">
        <f>IF($A16="","",월별집계!$Z16)</f>
        <v/>
      </c>
      <c r="G16" s="29">
        <f>IF($A16="","",월별집계!$Y16)</f>
        <v/>
      </c>
      <c r="H16" s="60">
        <f>IF($A16="","",IF(G16&lt;=0,IF(F16&gt;0,1,0),F16/G16-1))</f>
        <v/>
      </c>
      <c r="I16" s="29">
        <f>IF($A16="","",월별집계!$N16)</f>
        <v/>
      </c>
      <c r="J16" s="60">
        <f>IF($A16="","",IF(I16&lt;=0,IF(F16&gt;0,1,0),F16/I16-1))</f>
        <v/>
      </c>
      <c r="K16" s="29">
        <f>IF($A16="","",SUMIFS(월별집계!$C16:$Z16,월별집계!$C$5:$Z$5,"&gt;="&amp;설정!$C$22,월별집계!$C$5:$Z$5,"&lt;="&amp;설정!$C$20))</f>
        <v/>
      </c>
      <c r="L16" s="29">
        <f>IF($A16="","",SUMIFS(월별집계!$C16:$Z16,월별집계!$C$5:$Z$5,"&gt;="&amp;(설정!$C$22-3),월별집계!$C$5:$Z$5,"&lt;="&amp;(설정!$C$20-3)))</f>
        <v/>
      </c>
      <c r="M16" s="60">
        <f>IF($A16="","",IF(L16&lt;=0,IF(K16&gt;0,1,0),K16/L16-1))</f>
        <v/>
      </c>
      <c r="N16" s="53">
        <f>IF($A16="","",MAX(F16-G16,F16-I16))</f>
        <v/>
      </c>
      <c r="O16" s="61">
        <f>IF($A16="","",IFERROR((월별집계!$Z16-AVERAGE(월별집계!N16:Y16))/STDEV(월별집계!N16:Y16),0))</f>
        <v/>
      </c>
      <c r="P16" s="29">
        <f>IF($A16="","",SUMIFS(예산판_원본!$O$5:$O$5000,예산판_원본!$L$5:$L$5000,$E16,예산판_원본!$M$5:$M$5000,설정!$C$6))</f>
        <v/>
      </c>
      <c r="Q16" s="29">
        <f>IF($A16="","",SUMIFS(월별집계!$C16:$Z16,월별집계!$C$5:$Z$5,"&gt;="&amp;(설정!$C$6*12+1),월별집계!$C$5:$Z$5,"&lt;="&amp;설정!$C$20))</f>
        <v/>
      </c>
      <c r="R16" s="53">
        <f>IF($A16="","",P16-Q16)</f>
        <v/>
      </c>
      <c r="S16" s="29">
        <f>IF($A16="","",AVERAGE(월별집계!X16:Z16)*(12-설정!$C$7))</f>
        <v/>
      </c>
      <c r="T16" s="29">
        <f>IF($A16="","",IFERROR(Q16/(SUMIFS(월별집계!$C16:$Z16,월별집계!$C$5:$Z$5,"&gt;="&amp;((설정!$C$6-1)*12+1),월별집계!$C$5:$Z$5,"&lt;="&amp;(설정!$C$20-12))/SUMIFS(월별집계!$C16:$Z16,월별집계!$C$5:$Z$5,"&gt;="&amp;((설정!$C$6-1)*12+1),월별집계!$C$5:$Z$5,"&lt;="&amp;((설정!$C$6-1)*12+12)))-Q16,S16))</f>
        <v/>
      </c>
      <c r="U16" s="53">
        <f>IF($A16="","",Q16+MAX(S16,T16))</f>
        <v/>
      </c>
      <c r="V16" s="49">
        <f>IF($A16="","",IF(P16=0,0,U16/P16))</f>
        <v/>
      </c>
      <c r="W16" s="28">
        <f>IF($A16="","",IF(AND(P16=0,Q16&gt;0),"무예산",IF(P16=0,"-",IF(V16&gt;설정!$C$12,"부족 예상",IF(V16&gt;설정!$C$11,"주의","여유")))))</f>
        <v/>
      </c>
      <c r="X16" s="53">
        <f>IF($A16="","",IF(P16=0,0,MAX(0,U16-P16)))</f>
        <v/>
      </c>
      <c r="Y16" s="28">
        <f>IF($A16="","",IF(OR(W16&lt;&gt;"부족 예상",설정!$C$7=12),"",IF(R16&lt;=0,"이미 초과",MIN(12,설정!$C$7+ROUNDUP(R16/(MAX(S16,T16)/(12-설정!$C$7)),0))&amp;"월")))</f>
        <v/>
      </c>
      <c r="Z16" s="22">
        <f>IF($A16="","",TRIM(IF(N(AC16)&gt;=설정!$C$14,"단건"&amp;TEXT(AC16,"0%")&amp;" ","")&amp;IF(AND(N16&gt;0,AD16&gt;0),IF(AD16/N16&gt;=설정!$C$16,"SA대체 ",""),"")&amp;IF(AE16&gt;0,"역분개"&amp;AE16&amp;"건 ","")&amp;IF(O16&gt;=설정!$C$13,"이상치 ","")&amp;IF(AND(I16=0,F16&gt;0),"신규지출 ","")))</f>
        <v/>
      </c>
      <c r="AA16" s="61">
        <f>IF($A16="","",ROUND((AF16+AG16+AH16+AI16)*IF(AND(F16&lt;설정!$C$10,N16&lt;설정!$C$10),0.3,1),1))</f>
        <v/>
      </c>
      <c r="AB16" s="50">
        <f>IF($A16="","",AA16+ROW()/1000000)</f>
        <v/>
      </c>
      <c r="AC16" s="56">
        <f>IF(OR($A16="",N16&lt;=0),"",SUMPRODUCT(MAX((전표_원본!$O$5:$O$100000=$E16)*(전표_원본!$M$5:$M$100000=설정!$C$20)*전표_원본!$P$5:$P$100000))/N16)</f>
        <v/>
      </c>
      <c r="AD16" s="29">
        <f>IF($A16="","",SUMIFS(전표_원본!$P$5:$P$100000,전표_원본!$O$5:$O$100000,$E16,전표_원본!$M$5:$M$100000,설정!$C$20,전표_원본!$E$5:$E$100000,"SA")-SUMIFS(전표_원본!$P$5:$P$100000,전표_원본!$O$5:$O$100000,$E16,전표_원본!$M$5:$M$100000,설정!$C$20-1,전표_원본!$E$5:$E$100000,"SA"))</f>
        <v/>
      </c>
      <c r="AE16" s="62">
        <f>IF($A16="","",COUNTIFS(전표_원본!$O$5:$O$100000,$E16,전표_원본!$M$5:$M$100000,설정!$C$20,전표_원본!$P$5:$P$100000,"&lt;0"))</f>
        <v/>
      </c>
      <c r="AF16" s="61">
        <f>IF($A16="","",MIN(MAX(0,N16)/(설정!$C$10*5),1)*30)</f>
        <v/>
      </c>
      <c r="AG16" s="63">
        <f>IF($A16="","",MIN(MAX(0,H16,J16),1)*20)</f>
        <v/>
      </c>
      <c r="AH16" s="63">
        <f>IF($A16="","",MIN(MAX(0,O16)/3,1)*25)</f>
        <v/>
      </c>
      <c r="AI16" s="63">
        <f>IF($A16="","",IF(OR(W16="부족 예상",W16="무예산"),25,IF(W16="주의",15,0)))</f>
        <v/>
      </c>
    </row>
    <row r="17">
      <c r="A17" s="12" t="inlineStr">
        <is>
          <t>D200</t>
        </is>
      </c>
      <c r="B17" s="22">
        <f>IF($A17="","",IFERROR(INDEX(부서매핑!$D$5:$D$504,MATCH($A17,부서매핑!$C$5:$C$504,0)),"부서매핑 없음"))</f>
        <v/>
      </c>
      <c r="C17" s="59" t="inlineStr">
        <is>
          <t>62201000</t>
        </is>
      </c>
      <c r="D17" s="22">
        <f>IF($A17="","",IFERROR(INDEX(계정매핑!$B$5:$B$504,MATCH($C17&amp;"",계정매핑!$A$5:$A$504,0)),"계정매핑 없음"))</f>
        <v/>
      </c>
      <c r="E17" s="21">
        <f>IF($A17="","",$A17&amp;"|"&amp;$C17)</f>
        <v/>
      </c>
      <c r="F17" s="29">
        <f>IF($A17="","",월별집계!$Z17)</f>
        <v/>
      </c>
      <c r="G17" s="29">
        <f>IF($A17="","",월별집계!$Y17)</f>
        <v/>
      </c>
      <c r="H17" s="60">
        <f>IF($A17="","",IF(G17&lt;=0,IF(F17&gt;0,1,0),F17/G17-1))</f>
        <v/>
      </c>
      <c r="I17" s="29">
        <f>IF($A17="","",월별집계!$N17)</f>
        <v/>
      </c>
      <c r="J17" s="60">
        <f>IF($A17="","",IF(I17&lt;=0,IF(F17&gt;0,1,0),F17/I17-1))</f>
        <v/>
      </c>
      <c r="K17" s="29">
        <f>IF($A17="","",SUMIFS(월별집계!$C17:$Z17,월별집계!$C$5:$Z$5,"&gt;="&amp;설정!$C$22,월별집계!$C$5:$Z$5,"&lt;="&amp;설정!$C$20))</f>
        <v/>
      </c>
      <c r="L17" s="29">
        <f>IF($A17="","",SUMIFS(월별집계!$C17:$Z17,월별집계!$C$5:$Z$5,"&gt;="&amp;(설정!$C$22-3),월별집계!$C$5:$Z$5,"&lt;="&amp;(설정!$C$20-3)))</f>
        <v/>
      </c>
      <c r="M17" s="60">
        <f>IF($A17="","",IF(L17&lt;=0,IF(K17&gt;0,1,0),K17/L17-1))</f>
        <v/>
      </c>
      <c r="N17" s="53">
        <f>IF($A17="","",MAX(F17-G17,F17-I17))</f>
        <v/>
      </c>
      <c r="O17" s="61">
        <f>IF($A17="","",IFERROR((월별집계!$Z17-AVERAGE(월별집계!N17:Y17))/STDEV(월별집계!N17:Y17),0))</f>
        <v/>
      </c>
      <c r="P17" s="29">
        <f>IF($A17="","",SUMIFS(예산판_원본!$O$5:$O$5000,예산판_원본!$L$5:$L$5000,$E17,예산판_원본!$M$5:$M$5000,설정!$C$6))</f>
        <v/>
      </c>
      <c r="Q17" s="29">
        <f>IF($A17="","",SUMIFS(월별집계!$C17:$Z17,월별집계!$C$5:$Z$5,"&gt;="&amp;(설정!$C$6*12+1),월별집계!$C$5:$Z$5,"&lt;="&amp;설정!$C$20))</f>
        <v/>
      </c>
      <c r="R17" s="53">
        <f>IF($A17="","",P17-Q17)</f>
        <v/>
      </c>
      <c r="S17" s="29">
        <f>IF($A17="","",AVERAGE(월별집계!X17:Z17)*(12-설정!$C$7))</f>
        <v/>
      </c>
      <c r="T17" s="29">
        <f>IF($A17="","",IFERROR(Q17/(SUMIFS(월별집계!$C17:$Z17,월별집계!$C$5:$Z$5,"&gt;="&amp;((설정!$C$6-1)*12+1),월별집계!$C$5:$Z$5,"&lt;="&amp;(설정!$C$20-12))/SUMIFS(월별집계!$C17:$Z17,월별집계!$C$5:$Z$5,"&gt;="&amp;((설정!$C$6-1)*12+1),월별집계!$C$5:$Z$5,"&lt;="&amp;((설정!$C$6-1)*12+12)))-Q17,S17))</f>
        <v/>
      </c>
      <c r="U17" s="53">
        <f>IF($A17="","",Q17+MAX(S17,T17))</f>
        <v/>
      </c>
      <c r="V17" s="49">
        <f>IF($A17="","",IF(P17=0,0,U17/P17))</f>
        <v/>
      </c>
      <c r="W17" s="28">
        <f>IF($A17="","",IF(AND(P17=0,Q17&gt;0),"무예산",IF(P17=0,"-",IF(V17&gt;설정!$C$12,"부족 예상",IF(V17&gt;설정!$C$11,"주의","여유")))))</f>
        <v/>
      </c>
      <c r="X17" s="53">
        <f>IF($A17="","",IF(P17=0,0,MAX(0,U17-P17)))</f>
        <v/>
      </c>
      <c r="Y17" s="28">
        <f>IF($A17="","",IF(OR(W17&lt;&gt;"부족 예상",설정!$C$7=12),"",IF(R17&lt;=0,"이미 초과",MIN(12,설정!$C$7+ROUNDUP(R17/(MAX(S17,T17)/(12-설정!$C$7)),0))&amp;"월")))</f>
        <v/>
      </c>
      <c r="Z17" s="22">
        <f>IF($A17="","",TRIM(IF(N(AC17)&gt;=설정!$C$14,"단건"&amp;TEXT(AC17,"0%")&amp;" ","")&amp;IF(AND(N17&gt;0,AD17&gt;0),IF(AD17/N17&gt;=설정!$C$16,"SA대체 ",""),"")&amp;IF(AE17&gt;0,"역분개"&amp;AE17&amp;"건 ","")&amp;IF(O17&gt;=설정!$C$13,"이상치 ","")&amp;IF(AND(I17=0,F17&gt;0),"신규지출 ","")))</f>
        <v/>
      </c>
      <c r="AA17" s="61">
        <f>IF($A17="","",ROUND((AF17+AG17+AH17+AI17)*IF(AND(F17&lt;설정!$C$10,N17&lt;설정!$C$10),0.3,1),1))</f>
        <v/>
      </c>
      <c r="AB17" s="50">
        <f>IF($A17="","",AA17+ROW()/1000000)</f>
        <v/>
      </c>
      <c r="AC17" s="56">
        <f>IF(OR($A17="",N17&lt;=0),"",SUMPRODUCT(MAX((전표_원본!$O$5:$O$100000=$E17)*(전표_원본!$M$5:$M$100000=설정!$C$20)*전표_원본!$P$5:$P$100000))/N17)</f>
        <v/>
      </c>
      <c r="AD17" s="29">
        <f>IF($A17="","",SUMIFS(전표_원본!$P$5:$P$100000,전표_원본!$O$5:$O$100000,$E17,전표_원본!$M$5:$M$100000,설정!$C$20,전표_원본!$E$5:$E$100000,"SA")-SUMIFS(전표_원본!$P$5:$P$100000,전표_원본!$O$5:$O$100000,$E17,전표_원본!$M$5:$M$100000,설정!$C$20-1,전표_원본!$E$5:$E$100000,"SA"))</f>
        <v/>
      </c>
      <c r="AE17" s="62">
        <f>IF($A17="","",COUNTIFS(전표_원본!$O$5:$O$100000,$E17,전표_원본!$M$5:$M$100000,설정!$C$20,전표_원본!$P$5:$P$100000,"&lt;0"))</f>
        <v/>
      </c>
      <c r="AF17" s="61">
        <f>IF($A17="","",MIN(MAX(0,N17)/(설정!$C$10*5),1)*30)</f>
        <v/>
      </c>
      <c r="AG17" s="63">
        <f>IF($A17="","",MIN(MAX(0,H17,J17),1)*20)</f>
        <v/>
      </c>
      <c r="AH17" s="63">
        <f>IF($A17="","",MIN(MAX(0,O17)/3,1)*25)</f>
        <v/>
      </c>
      <c r="AI17" s="63">
        <f>IF($A17="","",IF(OR(W17="부족 예상",W17="무예산"),25,IF(W17="주의",15,0)))</f>
        <v/>
      </c>
    </row>
    <row r="18">
      <c r="A18" s="12" t="inlineStr">
        <is>
          <t>D200</t>
        </is>
      </c>
      <c r="B18" s="22">
        <f>IF($A18="","",IFERROR(INDEX(부서매핑!$D$5:$D$504,MATCH($A18,부서매핑!$C$5:$C$504,0)),"부서매핑 없음"))</f>
        <v/>
      </c>
      <c r="C18" s="59" t="inlineStr">
        <is>
          <t>62301000</t>
        </is>
      </c>
      <c r="D18" s="22">
        <f>IF($A18="","",IFERROR(INDEX(계정매핑!$B$5:$B$504,MATCH($C18&amp;"",계정매핑!$A$5:$A$504,0)),"계정매핑 없음"))</f>
        <v/>
      </c>
      <c r="E18" s="21">
        <f>IF($A18="","",$A18&amp;"|"&amp;$C18)</f>
        <v/>
      </c>
      <c r="F18" s="29">
        <f>IF($A18="","",월별집계!$Z18)</f>
        <v/>
      </c>
      <c r="G18" s="29">
        <f>IF($A18="","",월별집계!$Y18)</f>
        <v/>
      </c>
      <c r="H18" s="60">
        <f>IF($A18="","",IF(G18&lt;=0,IF(F18&gt;0,1,0),F18/G18-1))</f>
        <v/>
      </c>
      <c r="I18" s="29">
        <f>IF($A18="","",월별집계!$N18)</f>
        <v/>
      </c>
      <c r="J18" s="60">
        <f>IF($A18="","",IF(I18&lt;=0,IF(F18&gt;0,1,0),F18/I18-1))</f>
        <v/>
      </c>
      <c r="K18" s="29">
        <f>IF($A18="","",SUMIFS(월별집계!$C18:$Z18,월별집계!$C$5:$Z$5,"&gt;="&amp;설정!$C$22,월별집계!$C$5:$Z$5,"&lt;="&amp;설정!$C$20))</f>
        <v/>
      </c>
      <c r="L18" s="29">
        <f>IF($A18="","",SUMIFS(월별집계!$C18:$Z18,월별집계!$C$5:$Z$5,"&gt;="&amp;(설정!$C$22-3),월별집계!$C$5:$Z$5,"&lt;="&amp;(설정!$C$20-3)))</f>
        <v/>
      </c>
      <c r="M18" s="60">
        <f>IF($A18="","",IF(L18&lt;=0,IF(K18&gt;0,1,0),K18/L18-1))</f>
        <v/>
      </c>
      <c r="N18" s="53">
        <f>IF($A18="","",MAX(F18-G18,F18-I18))</f>
        <v/>
      </c>
      <c r="O18" s="61">
        <f>IF($A18="","",IFERROR((월별집계!$Z18-AVERAGE(월별집계!N18:Y18))/STDEV(월별집계!N18:Y18),0))</f>
        <v/>
      </c>
      <c r="P18" s="29">
        <f>IF($A18="","",SUMIFS(예산판_원본!$O$5:$O$5000,예산판_원본!$L$5:$L$5000,$E18,예산판_원본!$M$5:$M$5000,설정!$C$6))</f>
        <v/>
      </c>
      <c r="Q18" s="29">
        <f>IF($A18="","",SUMIFS(월별집계!$C18:$Z18,월별집계!$C$5:$Z$5,"&gt;="&amp;(설정!$C$6*12+1),월별집계!$C$5:$Z$5,"&lt;="&amp;설정!$C$20))</f>
        <v/>
      </c>
      <c r="R18" s="53">
        <f>IF($A18="","",P18-Q18)</f>
        <v/>
      </c>
      <c r="S18" s="29">
        <f>IF($A18="","",AVERAGE(월별집계!X18:Z18)*(12-설정!$C$7))</f>
        <v/>
      </c>
      <c r="T18" s="29">
        <f>IF($A18="","",IFERROR(Q18/(SUMIFS(월별집계!$C18:$Z18,월별집계!$C$5:$Z$5,"&gt;="&amp;((설정!$C$6-1)*12+1),월별집계!$C$5:$Z$5,"&lt;="&amp;(설정!$C$20-12))/SUMIFS(월별집계!$C18:$Z18,월별집계!$C$5:$Z$5,"&gt;="&amp;((설정!$C$6-1)*12+1),월별집계!$C$5:$Z$5,"&lt;="&amp;((설정!$C$6-1)*12+12)))-Q18,S18))</f>
        <v/>
      </c>
      <c r="U18" s="53">
        <f>IF($A18="","",Q18+MAX(S18,T18))</f>
        <v/>
      </c>
      <c r="V18" s="49">
        <f>IF($A18="","",IF(P18=0,0,U18/P18))</f>
        <v/>
      </c>
      <c r="W18" s="28">
        <f>IF($A18="","",IF(AND(P18=0,Q18&gt;0),"무예산",IF(P18=0,"-",IF(V18&gt;설정!$C$12,"부족 예상",IF(V18&gt;설정!$C$11,"주의","여유")))))</f>
        <v/>
      </c>
      <c r="X18" s="53">
        <f>IF($A18="","",IF(P18=0,0,MAX(0,U18-P18)))</f>
        <v/>
      </c>
      <c r="Y18" s="28">
        <f>IF($A18="","",IF(OR(W18&lt;&gt;"부족 예상",설정!$C$7=12),"",IF(R18&lt;=0,"이미 초과",MIN(12,설정!$C$7+ROUNDUP(R18/(MAX(S18,T18)/(12-설정!$C$7)),0))&amp;"월")))</f>
        <v/>
      </c>
      <c r="Z18" s="22">
        <f>IF($A18="","",TRIM(IF(N(AC18)&gt;=설정!$C$14,"단건"&amp;TEXT(AC18,"0%")&amp;" ","")&amp;IF(AND(N18&gt;0,AD18&gt;0),IF(AD18/N18&gt;=설정!$C$16,"SA대체 ",""),"")&amp;IF(AE18&gt;0,"역분개"&amp;AE18&amp;"건 ","")&amp;IF(O18&gt;=설정!$C$13,"이상치 ","")&amp;IF(AND(I18=0,F18&gt;0),"신규지출 ","")))</f>
        <v/>
      </c>
      <c r="AA18" s="61">
        <f>IF($A18="","",ROUND((AF18+AG18+AH18+AI18)*IF(AND(F18&lt;설정!$C$10,N18&lt;설정!$C$10),0.3,1),1))</f>
        <v/>
      </c>
      <c r="AB18" s="50">
        <f>IF($A18="","",AA18+ROW()/1000000)</f>
        <v/>
      </c>
      <c r="AC18" s="56">
        <f>IF(OR($A18="",N18&lt;=0),"",SUMPRODUCT(MAX((전표_원본!$O$5:$O$100000=$E18)*(전표_원본!$M$5:$M$100000=설정!$C$20)*전표_원본!$P$5:$P$100000))/N18)</f>
        <v/>
      </c>
      <c r="AD18" s="29">
        <f>IF($A18="","",SUMIFS(전표_원본!$P$5:$P$100000,전표_원본!$O$5:$O$100000,$E18,전표_원본!$M$5:$M$100000,설정!$C$20,전표_원본!$E$5:$E$100000,"SA")-SUMIFS(전표_원본!$P$5:$P$100000,전표_원본!$O$5:$O$100000,$E18,전표_원본!$M$5:$M$100000,설정!$C$20-1,전표_원본!$E$5:$E$100000,"SA"))</f>
        <v/>
      </c>
      <c r="AE18" s="62">
        <f>IF($A18="","",COUNTIFS(전표_원본!$O$5:$O$100000,$E18,전표_원본!$M$5:$M$100000,설정!$C$20,전표_원본!$P$5:$P$100000,"&lt;0"))</f>
        <v/>
      </c>
      <c r="AF18" s="61">
        <f>IF($A18="","",MIN(MAX(0,N18)/(설정!$C$10*5),1)*30)</f>
        <v/>
      </c>
      <c r="AG18" s="63">
        <f>IF($A18="","",MIN(MAX(0,H18,J18),1)*20)</f>
        <v/>
      </c>
      <c r="AH18" s="63">
        <f>IF($A18="","",MIN(MAX(0,O18)/3,1)*25)</f>
        <v/>
      </c>
      <c r="AI18" s="63">
        <f>IF($A18="","",IF(OR(W18="부족 예상",W18="무예산"),25,IF(W18="주의",15,0)))</f>
        <v/>
      </c>
    </row>
    <row r="19">
      <c r="A19" s="12" t="inlineStr">
        <is>
          <t>D200</t>
        </is>
      </c>
      <c r="B19" s="22">
        <f>IF($A19="","",IFERROR(INDEX(부서매핑!$D$5:$D$504,MATCH($A19,부서매핑!$C$5:$C$504,0)),"부서매핑 없음"))</f>
        <v/>
      </c>
      <c r="C19" s="59" t="inlineStr">
        <is>
          <t>62501000</t>
        </is>
      </c>
      <c r="D19" s="22">
        <f>IF($A19="","",IFERROR(INDEX(계정매핑!$B$5:$B$504,MATCH($C19&amp;"",계정매핑!$A$5:$A$504,0)),"계정매핑 없음"))</f>
        <v/>
      </c>
      <c r="E19" s="21">
        <f>IF($A19="","",$A19&amp;"|"&amp;$C19)</f>
        <v/>
      </c>
      <c r="F19" s="29">
        <f>IF($A19="","",월별집계!$Z19)</f>
        <v/>
      </c>
      <c r="G19" s="29">
        <f>IF($A19="","",월별집계!$Y19)</f>
        <v/>
      </c>
      <c r="H19" s="60">
        <f>IF($A19="","",IF(G19&lt;=0,IF(F19&gt;0,1,0),F19/G19-1))</f>
        <v/>
      </c>
      <c r="I19" s="29">
        <f>IF($A19="","",월별집계!$N19)</f>
        <v/>
      </c>
      <c r="J19" s="60">
        <f>IF($A19="","",IF(I19&lt;=0,IF(F19&gt;0,1,0),F19/I19-1))</f>
        <v/>
      </c>
      <c r="K19" s="29">
        <f>IF($A19="","",SUMIFS(월별집계!$C19:$Z19,월별집계!$C$5:$Z$5,"&gt;="&amp;설정!$C$22,월별집계!$C$5:$Z$5,"&lt;="&amp;설정!$C$20))</f>
        <v/>
      </c>
      <c r="L19" s="29">
        <f>IF($A19="","",SUMIFS(월별집계!$C19:$Z19,월별집계!$C$5:$Z$5,"&gt;="&amp;(설정!$C$22-3),월별집계!$C$5:$Z$5,"&lt;="&amp;(설정!$C$20-3)))</f>
        <v/>
      </c>
      <c r="M19" s="60">
        <f>IF($A19="","",IF(L19&lt;=0,IF(K19&gt;0,1,0),K19/L19-1))</f>
        <v/>
      </c>
      <c r="N19" s="53">
        <f>IF($A19="","",MAX(F19-G19,F19-I19))</f>
        <v/>
      </c>
      <c r="O19" s="61">
        <f>IF($A19="","",IFERROR((월별집계!$Z19-AVERAGE(월별집계!N19:Y19))/STDEV(월별집계!N19:Y19),0))</f>
        <v/>
      </c>
      <c r="P19" s="29">
        <f>IF($A19="","",SUMIFS(예산판_원본!$O$5:$O$5000,예산판_원본!$L$5:$L$5000,$E19,예산판_원본!$M$5:$M$5000,설정!$C$6))</f>
        <v/>
      </c>
      <c r="Q19" s="29">
        <f>IF($A19="","",SUMIFS(월별집계!$C19:$Z19,월별집계!$C$5:$Z$5,"&gt;="&amp;(설정!$C$6*12+1),월별집계!$C$5:$Z$5,"&lt;="&amp;설정!$C$20))</f>
        <v/>
      </c>
      <c r="R19" s="53">
        <f>IF($A19="","",P19-Q19)</f>
        <v/>
      </c>
      <c r="S19" s="29">
        <f>IF($A19="","",AVERAGE(월별집계!X19:Z19)*(12-설정!$C$7))</f>
        <v/>
      </c>
      <c r="T19" s="29">
        <f>IF($A19="","",IFERROR(Q19/(SUMIFS(월별집계!$C19:$Z19,월별집계!$C$5:$Z$5,"&gt;="&amp;((설정!$C$6-1)*12+1),월별집계!$C$5:$Z$5,"&lt;="&amp;(설정!$C$20-12))/SUMIFS(월별집계!$C19:$Z19,월별집계!$C$5:$Z$5,"&gt;="&amp;((설정!$C$6-1)*12+1),월별집계!$C$5:$Z$5,"&lt;="&amp;((설정!$C$6-1)*12+12)))-Q19,S19))</f>
        <v/>
      </c>
      <c r="U19" s="53">
        <f>IF($A19="","",Q19+MAX(S19,T19))</f>
        <v/>
      </c>
      <c r="V19" s="49">
        <f>IF($A19="","",IF(P19=0,0,U19/P19))</f>
        <v/>
      </c>
      <c r="W19" s="28">
        <f>IF($A19="","",IF(AND(P19=0,Q19&gt;0),"무예산",IF(P19=0,"-",IF(V19&gt;설정!$C$12,"부족 예상",IF(V19&gt;설정!$C$11,"주의","여유")))))</f>
        <v/>
      </c>
      <c r="X19" s="53">
        <f>IF($A19="","",IF(P19=0,0,MAX(0,U19-P19)))</f>
        <v/>
      </c>
      <c r="Y19" s="28">
        <f>IF($A19="","",IF(OR(W19&lt;&gt;"부족 예상",설정!$C$7=12),"",IF(R19&lt;=0,"이미 초과",MIN(12,설정!$C$7+ROUNDUP(R19/(MAX(S19,T19)/(12-설정!$C$7)),0))&amp;"월")))</f>
        <v/>
      </c>
      <c r="Z19" s="22">
        <f>IF($A19="","",TRIM(IF(N(AC19)&gt;=설정!$C$14,"단건"&amp;TEXT(AC19,"0%")&amp;" ","")&amp;IF(AND(N19&gt;0,AD19&gt;0),IF(AD19/N19&gt;=설정!$C$16,"SA대체 ",""),"")&amp;IF(AE19&gt;0,"역분개"&amp;AE19&amp;"건 ","")&amp;IF(O19&gt;=설정!$C$13,"이상치 ","")&amp;IF(AND(I19=0,F19&gt;0),"신규지출 ","")))</f>
        <v/>
      </c>
      <c r="AA19" s="61">
        <f>IF($A19="","",ROUND((AF19+AG19+AH19+AI19)*IF(AND(F19&lt;설정!$C$10,N19&lt;설정!$C$10),0.3,1),1))</f>
        <v/>
      </c>
      <c r="AB19" s="50">
        <f>IF($A19="","",AA19+ROW()/1000000)</f>
        <v/>
      </c>
      <c r="AC19" s="56">
        <f>IF(OR($A19="",N19&lt;=0),"",SUMPRODUCT(MAX((전표_원본!$O$5:$O$100000=$E19)*(전표_원본!$M$5:$M$100000=설정!$C$20)*전표_원본!$P$5:$P$100000))/N19)</f>
        <v/>
      </c>
      <c r="AD19" s="29">
        <f>IF($A19="","",SUMIFS(전표_원본!$P$5:$P$100000,전표_원본!$O$5:$O$100000,$E19,전표_원본!$M$5:$M$100000,설정!$C$20,전표_원본!$E$5:$E$100000,"SA")-SUMIFS(전표_원본!$P$5:$P$100000,전표_원본!$O$5:$O$100000,$E19,전표_원본!$M$5:$M$100000,설정!$C$20-1,전표_원본!$E$5:$E$100000,"SA"))</f>
        <v/>
      </c>
      <c r="AE19" s="62">
        <f>IF($A19="","",COUNTIFS(전표_원본!$O$5:$O$100000,$E19,전표_원본!$M$5:$M$100000,설정!$C$20,전표_원본!$P$5:$P$100000,"&lt;0"))</f>
        <v/>
      </c>
      <c r="AF19" s="61">
        <f>IF($A19="","",MIN(MAX(0,N19)/(설정!$C$10*5),1)*30)</f>
        <v/>
      </c>
      <c r="AG19" s="63">
        <f>IF($A19="","",MIN(MAX(0,H19,J19),1)*20)</f>
        <v/>
      </c>
      <c r="AH19" s="63">
        <f>IF($A19="","",MIN(MAX(0,O19)/3,1)*25)</f>
        <v/>
      </c>
      <c r="AI19" s="63">
        <f>IF($A19="","",IF(OR(W19="부족 예상",W19="무예산"),25,IF(W19="주의",15,0)))</f>
        <v/>
      </c>
    </row>
    <row r="20">
      <c r="A20" s="12" t="inlineStr">
        <is>
          <t>D200</t>
        </is>
      </c>
      <c r="B20" s="22">
        <f>IF($A20="","",IFERROR(INDEX(부서매핑!$D$5:$D$504,MATCH($A20,부서매핑!$C$5:$C$504,0)),"부서매핑 없음"))</f>
        <v/>
      </c>
      <c r="C20" s="59" t="inlineStr">
        <is>
          <t>62901000</t>
        </is>
      </c>
      <c r="D20" s="22">
        <f>IF($A20="","",IFERROR(INDEX(계정매핑!$B$5:$B$504,MATCH($C20&amp;"",계정매핑!$A$5:$A$504,0)),"계정매핑 없음"))</f>
        <v/>
      </c>
      <c r="E20" s="21">
        <f>IF($A20="","",$A20&amp;"|"&amp;$C20)</f>
        <v/>
      </c>
      <c r="F20" s="29">
        <f>IF($A20="","",월별집계!$Z20)</f>
        <v/>
      </c>
      <c r="G20" s="29">
        <f>IF($A20="","",월별집계!$Y20)</f>
        <v/>
      </c>
      <c r="H20" s="60">
        <f>IF($A20="","",IF(G20&lt;=0,IF(F20&gt;0,1,0),F20/G20-1))</f>
        <v/>
      </c>
      <c r="I20" s="29">
        <f>IF($A20="","",월별집계!$N20)</f>
        <v/>
      </c>
      <c r="J20" s="60">
        <f>IF($A20="","",IF(I20&lt;=0,IF(F20&gt;0,1,0),F20/I20-1))</f>
        <v/>
      </c>
      <c r="K20" s="29">
        <f>IF($A20="","",SUMIFS(월별집계!$C20:$Z20,월별집계!$C$5:$Z$5,"&gt;="&amp;설정!$C$22,월별집계!$C$5:$Z$5,"&lt;="&amp;설정!$C$20))</f>
        <v/>
      </c>
      <c r="L20" s="29">
        <f>IF($A20="","",SUMIFS(월별집계!$C20:$Z20,월별집계!$C$5:$Z$5,"&gt;="&amp;(설정!$C$22-3),월별집계!$C$5:$Z$5,"&lt;="&amp;(설정!$C$20-3)))</f>
        <v/>
      </c>
      <c r="M20" s="60">
        <f>IF($A20="","",IF(L20&lt;=0,IF(K20&gt;0,1,0),K20/L20-1))</f>
        <v/>
      </c>
      <c r="N20" s="53">
        <f>IF($A20="","",MAX(F20-G20,F20-I20))</f>
        <v/>
      </c>
      <c r="O20" s="61">
        <f>IF($A20="","",IFERROR((월별집계!$Z20-AVERAGE(월별집계!N20:Y20))/STDEV(월별집계!N20:Y20),0))</f>
        <v/>
      </c>
      <c r="P20" s="29">
        <f>IF($A20="","",SUMIFS(예산판_원본!$O$5:$O$5000,예산판_원본!$L$5:$L$5000,$E20,예산판_원본!$M$5:$M$5000,설정!$C$6))</f>
        <v/>
      </c>
      <c r="Q20" s="29">
        <f>IF($A20="","",SUMIFS(월별집계!$C20:$Z20,월별집계!$C$5:$Z$5,"&gt;="&amp;(설정!$C$6*12+1),월별집계!$C$5:$Z$5,"&lt;="&amp;설정!$C$20))</f>
        <v/>
      </c>
      <c r="R20" s="53">
        <f>IF($A20="","",P20-Q20)</f>
        <v/>
      </c>
      <c r="S20" s="29">
        <f>IF($A20="","",AVERAGE(월별집계!X20:Z20)*(12-설정!$C$7))</f>
        <v/>
      </c>
      <c r="T20" s="29">
        <f>IF($A20="","",IFERROR(Q20/(SUMIFS(월별집계!$C20:$Z20,월별집계!$C$5:$Z$5,"&gt;="&amp;((설정!$C$6-1)*12+1),월별집계!$C$5:$Z$5,"&lt;="&amp;(설정!$C$20-12))/SUMIFS(월별집계!$C20:$Z20,월별집계!$C$5:$Z$5,"&gt;="&amp;((설정!$C$6-1)*12+1),월별집계!$C$5:$Z$5,"&lt;="&amp;((설정!$C$6-1)*12+12)))-Q20,S20))</f>
        <v/>
      </c>
      <c r="U20" s="53">
        <f>IF($A20="","",Q20+MAX(S20,T20))</f>
        <v/>
      </c>
      <c r="V20" s="49">
        <f>IF($A20="","",IF(P20=0,0,U20/P20))</f>
        <v/>
      </c>
      <c r="W20" s="28">
        <f>IF($A20="","",IF(AND(P20=0,Q20&gt;0),"무예산",IF(P20=0,"-",IF(V20&gt;설정!$C$12,"부족 예상",IF(V20&gt;설정!$C$11,"주의","여유")))))</f>
        <v/>
      </c>
      <c r="X20" s="53">
        <f>IF($A20="","",IF(P20=0,0,MAX(0,U20-P20)))</f>
        <v/>
      </c>
      <c r="Y20" s="28">
        <f>IF($A20="","",IF(OR(W20&lt;&gt;"부족 예상",설정!$C$7=12),"",IF(R20&lt;=0,"이미 초과",MIN(12,설정!$C$7+ROUNDUP(R20/(MAX(S20,T20)/(12-설정!$C$7)),0))&amp;"월")))</f>
        <v/>
      </c>
      <c r="Z20" s="22">
        <f>IF($A20="","",TRIM(IF(N(AC20)&gt;=설정!$C$14,"단건"&amp;TEXT(AC20,"0%")&amp;" ","")&amp;IF(AND(N20&gt;0,AD20&gt;0),IF(AD20/N20&gt;=설정!$C$16,"SA대체 ",""),"")&amp;IF(AE20&gt;0,"역분개"&amp;AE20&amp;"건 ","")&amp;IF(O20&gt;=설정!$C$13,"이상치 ","")&amp;IF(AND(I20=0,F20&gt;0),"신규지출 ","")))</f>
        <v/>
      </c>
      <c r="AA20" s="61">
        <f>IF($A20="","",ROUND((AF20+AG20+AH20+AI20)*IF(AND(F20&lt;설정!$C$10,N20&lt;설정!$C$10),0.3,1),1))</f>
        <v/>
      </c>
      <c r="AB20" s="50">
        <f>IF($A20="","",AA20+ROW()/1000000)</f>
        <v/>
      </c>
      <c r="AC20" s="56">
        <f>IF(OR($A20="",N20&lt;=0),"",SUMPRODUCT(MAX((전표_원본!$O$5:$O$100000=$E20)*(전표_원본!$M$5:$M$100000=설정!$C$20)*전표_원본!$P$5:$P$100000))/N20)</f>
        <v/>
      </c>
      <c r="AD20" s="29">
        <f>IF($A20="","",SUMIFS(전표_원본!$P$5:$P$100000,전표_원본!$O$5:$O$100000,$E20,전표_원본!$M$5:$M$100000,설정!$C$20,전표_원본!$E$5:$E$100000,"SA")-SUMIFS(전표_원본!$P$5:$P$100000,전표_원본!$O$5:$O$100000,$E20,전표_원본!$M$5:$M$100000,설정!$C$20-1,전표_원본!$E$5:$E$100000,"SA"))</f>
        <v/>
      </c>
      <c r="AE20" s="62">
        <f>IF($A20="","",COUNTIFS(전표_원본!$O$5:$O$100000,$E20,전표_원본!$M$5:$M$100000,설정!$C$20,전표_원본!$P$5:$P$100000,"&lt;0"))</f>
        <v/>
      </c>
      <c r="AF20" s="61">
        <f>IF($A20="","",MIN(MAX(0,N20)/(설정!$C$10*5),1)*30)</f>
        <v/>
      </c>
      <c r="AG20" s="63">
        <f>IF($A20="","",MIN(MAX(0,H20,J20),1)*20)</f>
        <v/>
      </c>
      <c r="AH20" s="63">
        <f>IF($A20="","",MIN(MAX(0,O20)/3,1)*25)</f>
        <v/>
      </c>
      <c r="AI20" s="63">
        <f>IF($A20="","",IF(OR(W20="부족 예상",W20="무예산"),25,IF(W20="주의",15,0)))</f>
        <v/>
      </c>
    </row>
    <row r="21">
      <c r="A21" s="12" t="inlineStr">
        <is>
          <t>D200</t>
        </is>
      </c>
      <c r="B21" s="22">
        <f>IF($A21="","",IFERROR(INDEX(부서매핑!$D$5:$D$504,MATCH($A21,부서매핑!$C$5:$C$504,0)),"부서매핑 없음"))</f>
        <v/>
      </c>
      <c r="C21" s="59" t="inlineStr">
        <is>
          <t>62902000</t>
        </is>
      </c>
      <c r="D21" s="22">
        <f>IF($A21="","",IFERROR(INDEX(계정매핑!$B$5:$B$504,MATCH($C21&amp;"",계정매핑!$A$5:$A$504,0)),"계정매핑 없음"))</f>
        <v/>
      </c>
      <c r="E21" s="21">
        <f>IF($A21="","",$A21&amp;"|"&amp;$C21)</f>
        <v/>
      </c>
      <c r="F21" s="29">
        <f>IF($A21="","",월별집계!$Z21)</f>
        <v/>
      </c>
      <c r="G21" s="29">
        <f>IF($A21="","",월별집계!$Y21)</f>
        <v/>
      </c>
      <c r="H21" s="60">
        <f>IF($A21="","",IF(G21&lt;=0,IF(F21&gt;0,1,0),F21/G21-1))</f>
        <v/>
      </c>
      <c r="I21" s="29">
        <f>IF($A21="","",월별집계!$N21)</f>
        <v/>
      </c>
      <c r="J21" s="60">
        <f>IF($A21="","",IF(I21&lt;=0,IF(F21&gt;0,1,0),F21/I21-1))</f>
        <v/>
      </c>
      <c r="K21" s="29">
        <f>IF($A21="","",SUMIFS(월별집계!$C21:$Z21,월별집계!$C$5:$Z$5,"&gt;="&amp;설정!$C$22,월별집계!$C$5:$Z$5,"&lt;="&amp;설정!$C$20))</f>
        <v/>
      </c>
      <c r="L21" s="29">
        <f>IF($A21="","",SUMIFS(월별집계!$C21:$Z21,월별집계!$C$5:$Z$5,"&gt;="&amp;(설정!$C$22-3),월별집계!$C$5:$Z$5,"&lt;="&amp;(설정!$C$20-3)))</f>
        <v/>
      </c>
      <c r="M21" s="60">
        <f>IF($A21="","",IF(L21&lt;=0,IF(K21&gt;0,1,0),K21/L21-1))</f>
        <v/>
      </c>
      <c r="N21" s="53">
        <f>IF($A21="","",MAX(F21-G21,F21-I21))</f>
        <v/>
      </c>
      <c r="O21" s="61">
        <f>IF($A21="","",IFERROR((월별집계!$Z21-AVERAGE(월별집계!N21:Y21))/STDEV(월별집계!N21:Y21),0))</f>
        <v/>
      </c>
      <c r="P21" s="29">
        <f>IF($A21="","",SUMIFS(예산판_원본!$O$5:$O$5000,예산판_원본!$L$5:$L$5000,$E21,예산판_원본!$M$5:$M$5000,설정!$C$6))</f>
        <v/>
      </c>
      <c r="Q21" s="29">
        <f>IF($A21="","",SUMIFS(월별집계!$C21:$Z21,월별집계!$C$5:$Z$5,"&gt;="&amp;(설정!$C$6*12+1),월별집계!$C$5:$Z$5,"&lt;="&amp;설정!$C$20))</f>
        <v/>
      </c>
      <c r="R21" s="53">
        <f>IF($A21="","",P21-Q21)</f>
        <v/>
      </c>
      <c r="S21" s="29">
        <f>IF($A21="","",AVERAGE(월별집계!X21:Z21)*(12-설정!$C$7))</f>
        <v/>
      </c>
      <c r="T21" s="29">
        <f>IF($A21="","",IFERROR(Q21/(SUMIFS(월별집계!$C21:$Z21,월별집계!$C$5:$Z$5,"&gt;="&amp;((설정!$C$6-1)*12+1),월별집계!$C$5:$Z$5,"&lt;="&amp;(설정!$C$20-12))/SUMIFS(월별집계!$C21:$Z21,월별집계!$C$5:$Z$5,"&gt;="&amp;((설정!$C$6-1)*12+1),월별집계!$C$5:$Z$5,"&lt;="&amp;((설정!$C$6-1)*12+12)))-Q21,S21))</f>
        <v/>
      </c>
      <c r="U21" s="53">
        <f>IF($A21="","",Q21+MAX(S21,T21))</f>
        <v/>
      </c>
      <c r="V21" s="49">
        <f>IF($A21="","",IF(P21=0,0,U21/P21))</f>
        <v/>
      </c>
      <c r="W21" s="28">
        <f>IF($A21="","",IF(AND(P21=0,Q21&gt;0),"무예산",IF(P21=0,"-",IF(V21&gt;설정!$C$12,"부족 예상",IF(V21&gt;설정!$C$11,"주의","여유")))))</f>
        <v/>
      </c>
      <c r="X21" s="53">
        <f>IF($A21="","",IF(P21=0,0,MAX(0,U21-P21)))</f>
        <v/>
      </c>
      <c r="Y21" s="28">
        <f>IF($A21="","",IF(OR(W21&lt;&gt;"부족 예상",설정!$C$7=12),"",IF(R21&lt;=0,"이미 초과",MIN(12,설정!$C$7+ROUNDUP(R21/(MAX(S21,T21)/(12-설정!$C$7)),0))&amp;"월")))</f>
        <v/>
      </c>
      <c r="Z21" s="22">
        <f>IF($A21="","",TRIM(IF(N(AC21)&gt;=설정!$C$14,"단건"&amp;TEXT(AC21,"0%")&amp;" ","")&amp;IF(AND(N21&gt;0,AD21&gt;0),IF(AD21/N21&gt;=설정!$C$16,"SA대체 ",""),"")&amp;IF(AE21&gt;0,"역분개"&amp;AE21&amp;"건 ","")&amp;IF(O21&gt;=설정!$C$13,"이상치 ","")&amp;IF(AND(I21=0,F21&gt;0),"신규지출 ","")))</f>
        <v/>
      </c>
      <c r="AA21" s="61">
        <f>IF($A21="","",ROUND((AF21+AG21+AH21+AI21)*IF(AND(F21&lt;설정!$C$10,N21&lt;설정!$C$10),0.3,1),1))</f>
        <v/>
      </c>
      <c r="AB21" s="50">
        <f>IF($A21="","",AA21+ROW()/1000000)</f>
        <v/>
      </c>
      <c r="AC21" s="56">
        <f>IF(OR($A21="",N21&lt;=0),"",SUMPRODUCT(MAX((전표_원본!$O$5:$O$100000=$E21)*(전표_원본!$M$5:$M$100000=설정!$C$20)*전표_원본!$P$5:$P$100000))/N21)</f>
        <v/>
      </c>
      <c r="AD21" s="29">
        <f>IF($A21="","",SUMIFS(전표_원본!$P$5:$P$100000,전표_원본!$O$5:$O$100000,$E21,전표_원본!$M$5:$M$100000,설정!$C$20,전표_원본!$E$5:$E$100000,"SA")-SUMIFS(전표_원본!$P$5:$P$100000,전표_원본!$O$5:$O$100000,$E21,전표_원본!$M$5:$M$100000,설정!$C$20-1,전표_원본!$E$5:$E$100000,"SA"))</f>
        <v/>
      </c>
      <c r="AE21" s="62">
        <f>IF($A21="","",COUNTIFS(전표_원본!$O$5:$O$100000,$E21,전표_원본!$M$5:$M$100000,설정!$C$20,전표_원본!$P$5:$P$100000,"&lt;0"))</f>
        <v/>
      </c>
      <c r="AF21" s="61">
        <f>IF($A21="","",MIN(MAX(0,N21)/(설정!$C$10*5),1)*30)</f>
        <v/>
      </c>
      <c r="AG21" s="63">
        <f>IF($A21="","",MIN(MAX(0,H21,J21),1)*20)</f>
        <v/>
      </c>
      <c r="AH21" s="63">
        <f>IF($A21="","",MIN(MAX(0,O21)/3,1)*25)</f>
        <v/>
      </c>
      <c r="AI21" s="63">
        <f>IF($A21="","",IF(OR(W21="부족 예상",W21="무예산"),25,IF(W21="주의",15,0)))</f>
        <v/>
      </c>
    </row>
    <row r="22">
      <c r="A22" s="12" t="inlineStr">
        <is>
          <t>D300</t>
        </is>
      </c>
      <c r="B22" s="22">
        <f>IF($A22="","",IFERROR(INDEX(부서매핑!$D$5:$D$504,MATCH($A22,부서매핑!$C$5:$C$504,0)),"부서매핑 없음"))</f>
        <v/>
      </c>
      <c r="C22" s="59" t="inlineStr">
        <is>
          <t>62101000</t>
        </is>
      </c>
      <c r="D22" s="22">
        <f>IF($A22="","",IFERROR(INDEX(계정매핑!$B$5:$B$504,MATCH($C22&amp;"",계정매핑!$A$5:$A$504,0)),"계정매핑 없음"))</f>
        <v/>
      </c>
      <c r="E22" s="21">
        <f>IF($A22="","",$A22&amp;"|"&amp;$C22)</f>
        <v/>
      </c>
      <c r="F22" s="29">
        <f>IF($A22="","",월별집계!$Z22)</f>
        <v/>
      </c>
      <c r="G22" s="29">
        <f>IF($A22="","",월별집계!$Y22)</f>
        <v/>
      </c>
      <c r="H22" s="60">
        <f>IF($A22="","",IF(G22&lt;=0,IF(F22&gt;0,1,0),F22/G22-1))</f>
        <v/>
      </c>
      <c r="I22" s="29">
        <f>IF($A22="","",월별집계!$N22)</f>
        <v/>
      </c>
      <c r="J22" s="60">
        <f>IF($A22="","",IF(I22&lt;=0,IF(F22&gt;0,1,0),F22/I22-1))</f>
        <v/>
      </c>
      <c r="K22" s="29">
        <f>IF($A22="","",SUMIFS(월별집계!$C22:$Z22,월별집계!$C$5:$Z$5,"&gt;="&amp;설정!$C$22,월별집계!$C$5:$Z$5,"&lt;="&amp;설정!$C$20))</f>
        <v/>
      </c>
      <c r="L22" s="29">
        <f>IF($A22="","",SUMIFS(월별집계!$C22:$Z22,월별집계!$C$5:$Z$5,"&gt;="&amp;(설정!$C$22-3),월별집계!$C$5:$Z$5,"&lt;="&amp;(설정!$C$20-3)))</f>
        <v/>
      </c>
      <c r="M22" s="60">
        <f>IF($A22="","",IF(L22&lt;=0,IF(K22&gt;0,1,0),K22/L22-1))</f>
        <v/>
      </c>
      <c r="N22" s="53">
        <f>IF($A22="","",MAX(F22-G22,F22-I22))</f>
        <v/>
      </c>
      <c r="O22" s="61">
        <f>IF($A22="","",IFERROR((월별집계!$Z22-AVERAGE(월별집계!N22:Y22))/STDEV(월별집계!N22:Y22),0))</f>
        <v/>
      </c>
      <c r="P22" s="29">
        <f>IF($A22="","",SUMIFS(예산판_원본!$O$5:$O$5000,예산판_원본!$L$5:$L$5000,$E22,예산판_원본!$M$5:$M$5000,설정!$C$6))</f>
        <v/>
      </c>
      <c r="Q22" s="29">
        <f>IF($A22="","",SUMIFS(월별집계!$C22:$Z22,월별집계!$C$5:$Z$5,"&gt;="&amp;(설정!$C$6*12+1),월별집계!$C$5:$Z$5,"&lt;="&amp;설정!$C$20))</f>
        <v/>
      </c>
      <c r="R22" s="53">
        <f>IF($A22="","",P22-Q22)</f>
        <v/>
      </c>
      <c r="S22" s="29">
        <f>IF($A22="","",AVERAGE(월별집계!X22:Z22)*(12-설정!$C$7))</f>
        <v/>
      </c>
      <c r="T22" s="29">
        <f>IF($A22="","",IFERROR(Q22/(SUMIFS(월별집계!$C22:$Z22,월별집계!$C$5:$Z$5,"&gt;="&amp;((설정!$C$6-1)*12+1),월별집계!$C$5:$Z$5,"&lt;="&amp;(설정!$C$20-12))/SUMIFS(월별집계!$C22:$Z22,월별집계!$C$5:$Z$5,"&gt;="&amp;((설정!$C$6-1)*12+1),월별집계!$C$5:$Z$5,"&lt;="&amp;((설정!$C$6-1)*12+12)))-Q22,S22))</f>
        <v/>
      </c>
      <c r="U22" s="53">
        <f>IF($A22="","",Q22+MAX(S22,T22))</f>
        <v/>
      </c>
      <c r="V22" s="49">
        <f>IF($A22="","",IF(P22=0,0,U22/P22))</f>
        <v/>
      </c>
      <c r="W22" s="28">
        <f>IF($A22="","",IF(AND(P22=0,Q22&gt;0),"무예산",IF(P22=0,"-",IF(V22&gt;설정!$C$12,"부족 예상",IF(V22&gt;설정!$C$11,"주의","여유")))))</f>
        <v/>
      </c>
      <c r="X22" s="53">
        <f>IF($A22="","",IF(P22=0,0,MAX(0,U22-P22)))</f>
        <v/>
      </c>
      <c r="Y22" s="28">
        <f>IF($A22="","",IF(OR(W22&lt;&gt;"부족 예상",설정!$C$7=12),"",IF(R22&lt;=0,"이미 초과",MIN(12,설정!$C$7+ROUNDUP(R22/(MAX(S22,T22)/(12-설정!$C$7)),0))&amp;"월")))</f>
        <v/>
      </c>
      <c r="Z22" s="22">
        <f>IF($A22="","",TRIM(IF(N(AC22)&gt;=설정!$C$14,"단건"&amp;TEXT(AC22,"0%")&amp;" ","")&amp;IF(AND(N22&gt;0,AD22&gt;0),IF(AD22/N22&gt;=설정!$C$16,"SA대체 ",""),"")&amp;IF(AE22&gt;0,"역분개"&amp;AE22&amp;"건 ","")&amp;IF(O22&gt;=설정!$C$13,"이상치 ","")&amp;IF(AND(I22=0,F22&gt;0),"신규지출 ","")))</f>
        <v/>
      </c>
      <c r="AA22" s="61">
        <f>IF($A22="","",ROUND((AF22+AG22+AH22+AI22)*IF(AND(F22&lt;설정!$C$10,N22&lt;설정!$C$10),0.3,1),1))</f>
        <v/>
      </c>
      <c r="AB22" s="50">
        <f>IF($A22="","",AA22+ROW()/1000000)</f>
        <v/>
      </c>
      <c r="AC22" s="56">
        <f>IF(OR($A22="",N22&lt;=0),"",SUMPRODUCT(MAX((전표_원본!$O$5:$O$100000=$E22)*(전표_원본!$M$5:$M$100000=설정!$C$20)*전표_원본!$P$5:$P$100000))/N22)</f>
        <v/>
      </c>
      <c r="AD22" s="29">
        <f>IF($A22="","",SUMIFS(전표_원본!$P$5:$P$100000,전표_원본!$O$5:$O$100000,$E22,전표_원본!$M$5:$M$100000,설정!$C$20,전표_원본!$E$5:$E$100000,"SA")-SUMIFS(전표_원본!$P$5:$P$100000,전표_원본!$O$5:$O$100000,$E22,전표_원본!$M$5:$M$100000,설정!$C$20-1,전표_원본!$E$5:$E$100000,"SA"))</f>
        <v/>
      </c>
      <c r="AE22" s="62">
        <f>IF($A22="","",COUNTIFS(전표_원본!$O$5:$O$100000,$E22,전표_원본!$M$5:$M$100000,설정!$C$20,전표_원본!$P$5:$P$100000,"&lt;0"))</f>
        <v/>
      </c>
      <c r="AF22" s="61">
        <f>IF($A22="","",MIN(MAX(0,N22)/(설정!$C$10*5),1)*30)</f>
        <v/>
      </c>
      <c r="AG22" s="63">
        <f>IF($A22="","",MIN(MAX(0,H22,J22),1)*20)</f>
        <v/>
      </c>
      <c r="AH22" s="63">
        <f>IF($A22="","",MIN(MAX(0,O22)/3,1)*25)</f>
        <v/>
      </c>
      <c r="AI22" s="63">
        <f>IF($A22="","",IF(OR(W22="부족 예상",W22="무예산"),25,IF(W22="주의",15,0)))</f>
        <v/>
      </c>
    </row>
    <row r="23">
      <c r="A23" s="12" t="inlineStr">
        <is>
          <t>D300</t>
        </is>
      </c>
      <c r="B23" s="22">
        <f>IF($A23="","",IFERROR(INDEX(부서매핑!$D$5:$D$504,MATCH($A23,부서매핑!$C$5:$C$504,0)),"부서매핑 없음"))</f>
        <v/>
      </c>
      <c r="C23" s="59" t="inlineStr">
        <is>
          <t>62102000</t>
        </is>
      </c>
      <c r="D23" s="22">
        <f>IF($A23="","",IFERROR(INDEX(계정매핑!$B$5:$B$504,MATCH($C23&amp;"",계정매핑!$A$5:$A$504,0)),"계정매핑 없음"))</f>
        <v/>
      </c>
      <c r="E23" s="21">
        <f>IF($A23="","",$A23&amp;"|"&amp;$C23)</f>
        <v/>
      </c>
      <c r="F23" s="29">
        <f>IF($A23="","",월별집계!$Z23)</f>
        <v/>
      </c>
      <c r="G23" s="29">
        <f>IF($A23="","",월별집계!$Y23)</f>
        <v/>
      </c>
      <c r="H23" s="60">
        <f>IF($A23="","",IF(G23&lt;=0,IF(F23&gt;0,1,0),F23/G23-1))</f>
        <v/>
      </c>
      <c r="I23" s="29">
        <f>IF($A23="","",월별집계!$N23)</f>
        <v/>
      </c>
      <c r="J23" s="60">
        <f>IF($A23="","",IF(I23&lt;=0,IF(F23&gt;0,1,0),F23/I23-1))</f>
        <v/>
      </c>
      <c r="K23" s="29">
        <f>IF($A23="","",SUMIFS(월별집계!$C23:$Z23,월별집계!$C$5:$Z$5,"&gt;="&amp;설정!$C$22,월별집계!$C$5:$Z$5,"&lt;="&amp;설정!$C$20))</f>
        <v/>
      </c>
      <c r="L23" s="29">
        <f>IF($A23="","",SUMIFS(월별집계!$C23:$Z23,월별집계!$C$5:$Z$5,"&gt;="&amp;(설정!$C$22-3),월별집계!$C$5:$Z$5,"&lt;="&amp;(설정!$C$20-3)))</f>
        <v/>
      </c>
      <c r="M23" s="60">
        <f>IF($A23="","",IF(L23&lt;=0,IF(K23&gt;0,1,0),K23/L23-1))</f>
        <v/>
      </c>
      <c r="N23" s="53">
        <f>IF($A23="","",MAX(F23-G23,F23-I23))</f>
        <v/>
      </c>
      <c r="O23" s="61">
        <f>IF($A23="","",IFERROR((월별집계!$Z23-AVERAGE(월별집계!N23:Y23))/STDEV(월별집계!N23:Y23),0))</f>
        <v/>
      </c>
      <c r="P23" s="29">
        <f>IF($A23="","",SUMIFS(예산판_원본!$O$5:$O$5000,예산판_원본!$L$5:$L$5000,$E23,예산판_원본!$M$5:$M$5000,설정!$C$6))</f>
        <v/>
      </c>
      <c r="Q23" s="29">
        <f>IF($A23="","",SUMIFS(월별집계!$C23:$Z23,월별집계!$C$5:$Z$5,"&gt;="&amp;(설정!$C$6*12+1),월별집계!$C$5:$Z$5,"&lt;="&amp;설정!$C$20))</f>
        <v/>
      </c>
      <c r="R23" s="53">
        <f>IF($A23="","",P23-Q23)</f>
        <v/>
      </c>
      <c r="S23" s="29">
        <f>IF($A23="","",AVERAGE(월별집계!X23:Z23)*(12-설정!$C$7))</f>
        <v/>
      </c>
      <c r="T23" s="29">
        <f>IF($A23="","",IFERROR(Q23/(SUMIFS(월별집계!$C23:$Z23,월별집계!$C$5:$Z$5,"&gt;="&amp;((설정!$C$6-1)*12+1),월별집계!$C$5:$Z$5,"&lt;="&amp;(설정!$C$20-12))/SUMIFS(월별집계!$C23:$Z23,월별집계!$C$5:$Z$5,"&gt;="&amp;((설정!$C$6-1)*12+1),월별집계!$C$5:$Z$5,"&lt;="&amp;((설정!$C$6-1)*12+12)))-Q23,S23))</f>
        <v/>
      </c>
      <c r="U23" s="53">
        <f>IF($A23="","",Q23+MAX(S23,T23))</f>
        <v/>
      </c>
      <c r="V23" s="49">
        <f>IF($A23="","",IF(P23=0,0,U23/P23))</f>
        <v/>
      </c>
      <c r="W23" s="28">
        <f>IF($A23="","",IF(AND(P23=0,Q23&gt;0),"무예산",IF(P23=0,"-",IF(V23&gt;설정!$C$12,"부족 예상",IF(V23&gt;설정!$C$11,"주의","여유")))))</f>
        <v/>
      </c>
      <c r="X23" s="53">
        <f>IF($A23="","",IF(P23=0,0,MAX(0,U23-P23)))</f>
        <v/>
      </c>
      <c r="Y23" s="28">
        <f>IF($A23="","",IF(OR(W23&lt;&gt;"부족 예상",설정!$C$7=12),"",IF(R23&lt;=0,"이미 초과",MIN(12,설정!$C$7+ROUNDUP(R23/(MAX(S23,T23)/(12-설정!$C$7)),0))&amp;"월")))</f>
        <v/>
      </c>
      <c r="Z23" s="22">
        <f>IF($A23="","",TRIM(IF(N(AC23)&gt;=설정!$C$14,"단건"&amp;TEXT(AC23,"0%")&amp;" ","")&amp;IF(AND(N23&gt;0,AD23&gt;0),IF(AD23/N23&gt;=설정!$C$16,"SA대체 ",""),"")&amp;IF(AE23&gt;0,"역분개"&amp;AE23&amp;"건 ","")&amp;IF(O23&gt;=설정!$C$13,"이상치 ","")&amp;IF(AND(I23=0,F23&gt;0),"신규지출 ","")))</f>
        <v/>
      </c>
      <c r="AA23" s="61">
        <f>IF($A23="","",ROUND((AF23+AG23+AH23+AI23)*IF(AND(F23&lt;설정!$C$10,N23&lt;설정!$C$10),0.3,1),1))</f>
        <v/>
      </c>
      <c r="AB23" s="50">
        <f>IF($A23="","",AA23+ROW()/1000000)</f>
        <v/>
      </c>
      <c r="AC23" s="56">
        <f>IF(OR($A23="",N23&lt;=0),"",SUMPRODUCT(MAX((전표_원본!$O$5:$O$100000=$E23)*(전표_원본!$M$5:$M$100000=설정!$C$20)*전표_원본!$P$5:$P$100000))/N23)</f>
        <v/>
      </c>
      <c r="AD23" s="29">
        <f>IF($A23="","",SUMIFS(전표_원본!$P$5:$P$100000,전표_원본!$O$5:$O$100000,$E23,전표_원본!$M$5:$M$100000,설정!$C$20,전표_원본!$E$5:$E$100000,"SA")-SUMIFS(전표_원본!$P$5:$P$100000,전표_원본!$O$5:$O$100000,$E23,전표_원본!$M$5:$M$100000,설정!$C$20-1,전표_원본!$E$5:$E$100000,"SA"))</f>
        <v/>
      </c>
      <c r="AE23" s="62">
        <f>IF($A23="","",COUNTIFS(전표_원본!$O$5:$O$100000,$E23,전표_원본!$M$5:$M$100000,설정!$C$20,전표_원본!$P$5:$P$100000,"&lt;0"))</f>
        <v/>
      </c>
      <c r="AF23" s="61">
        <f>IF($A23="","",MIN(MAX(0,N23)/(설정!$C$10*5),1)*30)</f>
        <v/>
      </c>
      <c r="AG23" s="63">
        <f>IF($A23="","",MIN(MAX(0,H23,J23),1)*20)</f>
        <v/>
      </c>
      <c r="AH23" s="63">
        <f>IF($A23="","",MIN(MAX(0,O23)/3,1)*25)</f>
        <v/>
      </c>
      <c r="AI23" s="63">
        <f>IF($A23="","",IF(OR(W23="부족 예상",W23="무예산"),25,IF(W23="주의",15,0)))</f>
        <v/>
      </c>
    </row>
    <row r="24">
      <c r="A24" s="12" t="inlineStr">
        <is>
          <t>D300</t>
        </is>
      </c>
      <c r="B24" s="22">
        <f>IF($A24="","",IFERROR(INDEX(부서매핑!$D$5:$D$504,MATCH($A24,부서매핑!$C$5:$C$504,0)),"부서매핑 없음"))</f>
        <v/>
      </c>
      <c r="C24" s="59" t="inlineStr">
        <is>
          <t>62201000</t>
        </is>
      </c>
      <c r="D24" s="22">
        <f>IF($A24="","",IFERROR(INDEX(계정매핑!$B$5:$B$504,MATCH($C24&amp;"",계정매핑!$A$5:$A$504,0)),"계정매핑 없음"))</f>
        <v/>
      </c>
      <c r="E24" s="21">
        <f>IF($A24="","",$A24&amp;"|"&amp;$C24)</f>
        <v/>
      </c>
      <c r="F24" s="29">
        <f>IF($A24="","",월별집계!$Z24)</f>
        <v/>
      </c>
      <c r="G24" s="29">
        <f>IF($A24="","",월별집계!$Y24)</f>
        <v/>
      </c>
      <c r="H24" s="60">
        <f>IF($A24="","",IF(G24&lt;=0,IF(F24&gt;0,1,0),F24/G24-1))</f>
        <v/>
      </c>
      <c r="I24" s="29">
        <f>IF($A24="","",월별집계!$N24)</f>
        <v/>
      </c>
      <c r="J24" s="60">
        <f>IF($A24="","",IF(I24&lt;=0,IF(F24&gt;0,1,0),F24/I24-1))</f>
        <v/>
      </c>
      <c r="K24" s="29">
        <f>IF($A24="","",SUMIFS(월별집계!$C24:$Z24,월별집계!$C$5:$Z$5,"&gt;="&amp;설정!$C$22,월별집계!$C$5:$Z$5,"&lt;="&amp;설정!$C$20))</f>
        <v/>
      </c>
      <c r="L24" s="29">
        <f>IF($A24="","",SUMIFS(월별집계!$C24:$Z24,월별집계!$C$5:$Z$5,"&gt;="&amp;(설정!$C$22-3),월별집계!$C$5:$Z$5,"&lt;="&amp;(설정!$C$20-3)))</f>
        <v/>
      </c>
      <c r="M24" s="60">
        <f>IF($A24="","",IF(L24&lt;=0,IF(K24&gt;0,1,0),K24/L24-1))</f>
        <v/>
      </c>
      <c r="N24" s="53">
        <f>IF($A24="","",MAX(F24-G24,F24-I24))</f>
        <v/>
      </c>
      <c r="O24" s="61">
        <f>IF($A24="","",IFERROR((월별집계!$Z24-AVERAGE(월별집계!N24:Y24))/STDEV(월별집계!N24:Y24),0))</f>
        <v/>
      </c>
      <c r="P24" s="29">
        <f>IF($A24="","",SUMIFS(예산판_원본!$O$5:$O$5000,예산판_원본!$L$5:$L$5000,$E24,예산판_원본!$M$5:$M$5000,설정!$C$6))</f>
        <v/>
      </c>
      <c r="Q24" s="29">
        <f>IF($A24="","",SUMIFS(월별집계!$C24:$Z24,월별집계!$C$5:$Z$5,"&gt;="&amp;(설정!$C$6*12+1),월별집계!$C$5:$Z$5,"&lt;="&amp;설정!$C$20))</f>
        <v/>
      </c>
      <c r="R24" s="53">
        <f>IF($A24="","",P24-Q24)</f>
        <v/>
      </c>
      <c r="S24" s="29">
        <f>IF($A24="","",AVERAGE(월별집계!X24:Z24)*(12-설정!$C$7))</f>
        <v/>
      </c>
      <c r="T24" s="29">
        <f>IF($A24="","",IFERROR(Q24/(SUMIFS(월별집계!$C24:$Z24,월별집계!$C$5:$Z$5,"&gt;="&amp;((설정!$C$6-1)*12+1),월별집계!$C$5:$Z$5,"&lt;="&amp;(설정!$C$20-12))/SUMIFS(월별집계!$C24:$Z24,월별집계!$C$5:$Z$5,"&gt;="&amp;((설정!$C$6-1)*12+1),월별집계!$C$5:$Z$5,"&lt;="&amp;((설정!$C$6-1)*12+12)))-Q24,S24))</f>
        <v/>
      </c>
      <c r="U24" s="53">
        <f>IF($A24="","",Q24+MAX(S24,T24))</f>
        <v/>
      </c>
      <c r="V24" s="49">
        <f>IF($A24="","",IF(P24=0,0,U24/P24))</f>
        <v/>
      </c>
      <c r="W24" s="28">
        <f>IF($A24="","",IF(AND(P24=0,Q24&gt;0),"무예산",IF(P24=0,"-",IF(V24&gt;설정!$C$12,"부족 예상",IF(V24&gt;설정!$C$11,"주의","여유")))))</f>
        <v/>
      </c>
      <c r="X24" s="53">
        <f>IF($A24="","",IF(P24=0,0,MAX(0,U24-P24)))</f>
        <v/>
      </c>
      <c r="Y24" s="28">
        <f>IF($A24="","",IF(OR(W24&lt;&gt;"부족 예상",설정!$C$7=12),"",IF(R24&lt;=0,"이미 초과",MIN(12,설정!$C$7+ROUNDUP(R24/(MAX(S24,T24)/(12-설정!$C$7)),0))&amp;"월")))</f>
        <v/>
      </c>
      <c r="Z24" s="22">
        <f>IF($A24="","",TRIM(IF(N(AC24)&gt;=설정!$C$14,"단건"&amp;TEXT(AC24,"0%")&amp;" ","")&amp;IF(AND(N24&gt;0,AD24&gt;0),IF(AD24/N24&gt;=설정!$C$16,"SA대체 ",""),"")&amp;IF(AE24&gt;0,"역분개"&amp;AE24&amp;"건 ","")&amp;IF(O24&gt;=설정!$C$13,"이상치 ","")&amp;IF(AND(I24=0,F24&gt;0),"신규지출 ","")))</f>
        <v/>
      </c>
      <c r="AA24" s="61">
        <f>IF($A24="","",ROUND((AF24+AG24+AH24+AI24)*IF(AND(F24&lt;설정!$C$10,N24&lt;설정!$C$10),0.3,1),1))</f>
        <v/>
      </c>
      <c r="AB24" s="50">
        <f>IF($A24="","",AA24+ROW()/1000000)</f>
        <v/>
      </c>
      <c r="AC24" s="56">
        <f>IF(OR($A24="",N24&lt;=0),"",SUMPRODUCT(MAX((전표_원본!$O$5:$O$100000=$E24)*(전표_원본!$M$5:$M$100000=설정!$C$20)*전표_원본!$P$5:$P$100000))/N24)</f>
        <v/>
      </c>
      <c r="AD24" s="29">
        <f>IF($A24="","",SUMIFS(전표_원본!$P$5:$P$100000,전표_원본!$O$5:$O$100000,$E24,전표_원본!$M$5:$M$100000,설정!$C$20,전표_원본!$E$5:$E$100000,"SA")-SUMIFS(전표_원본!$P$5:$P$100000,전표_원본!$O$5:$O$100000,$E24,전표_원본!$M$5:$M$100000,설정!$C$20-1,전표_원본!$E$5:$E$100000,"SA"))</f>
        <v/>
      </c>
      <c r="AE24" s="62">
        <f>IF($A24="","",COUNTIFS(전표_원본!$O$5:$O$100000,$E24,전표_원본!$M$5:$M$100000,설정!$C$20,전표_원본!$P$5:$P$100000,"&lt;0"))</f>
        <v/>
      </c>
      <c r="AF24" s="61">
        <f>IF($A24="","",MIN(MAX(0,N24)/(설정!$C$10*5),1)*30)</f>
        <v/>
      </c>
      <c r="AG24" s="63">
        <f>IF($A24="","",MIN(MAX(0,H24,J24),1)*20)</f>
        <v/>
      </c>
      <c r="AH24" s="63">
        <f>IF($A24="","",MIN(MAX(0,O24)/3,1)*25)</f>
        <v/>
      </c>
      <c r="AI24" s="63">
        <f>IF($A24="","",IF(OR(W24="부족 예상",W24="무예산"),25,IF(W24="주의",15,0)))</f>
        <v/>
      </c>
    </row>
    <row r="25">
      <c r="A25" s="12" t="inlineStr">
        <is>
          <t>D300</t>
        </is>
      </c>
      <c r="B25" s="22">
        <f>IF($A25="","",IFERROR(INDEX(부서매핑!$D$5:$D$504,MATCH($A25,부서매핑!$C$5:$C$504,0)),"부서매핑 없음"))</f>
        <v/>
      </c>
      <c r="C25" s="59" t="inlineStr">
        <is>
          <t>62301000</t>
        </is>
      </c>
      <c r="D25" s="22">
        <f>IF($A25="","",IFERROR(INDEX(계정매핑!$B$5:$B$504,MATCH($C25&amp;"",계정매핑!$A$5:$A$504,0)),"계정매핑 없음"))</f>
        <v/>
      </c>
      <c r="E25" s="21">
        <f>IF($A25="","",$A25&amp;"|"&amp;$C25)</f>
        <v/>
      </c>
      <c r="F25" s="29">
        <f>IF($A25="","",월별집계!$Z25)</f>
        <v/>
      </c>
      <c r="G25" s="29">
        <f>IF($A25="","",월별집계!$Y25)</f>
        <v/>
      </c>
      <c r="H25" s="60">
        <f>IF($A25="","",IF(G25&lt;=0,IF(F25&gt;0,1,0),F25/G25-1))</f>
        <v/>
      </c>
      <c r="I25" s="29">
        <f>IF($A25="","",월별집계!$N25)</f>
        <v/>
      </c>
      <c r="J25" s="60">
        <f>IF($A25="","",IF(I25&lt;=0,IF(F25&gt;0,1,0),F25/I25-1))</f>
        <v/>
      </c>
      <c r="K25" s="29">
        <f>IF($A25="","",SUMIFS(월별집계!$C25:$Z25,월별집계!$C$5:$Z$5,"&gt;="&amp;설정!$C$22,월별집계!$C$5:$Z$5,"&lt;="&amp;설정!$C$20))</f>
        <v/>
      </c>
      <c r="L25" s="29">
        <f>IF($A25="","",SUMIFS(월별집계!$C25:$Z25,월별집계!$C$5:$Z$5,"&gt;="&amp;(설정!$C$22-3),월별집계!$C$5:$Z$5,"&lt;="&amp;(설정!$C$20-3)))</f>
        <v/>
      </c>
      <c r="M25" s="60">
        <f>IF($A25="","",IF(L25&lt;=0,IF(K25&gt;0,1,0),K25/L25-1))</f>
        <v/>
      </c>
      <c r="N25" s="53">
        <f>IF($A25="","",MAX(F25-G25,F25-I25))</f>
        <v/>
      </c>
      <c r="O25" s="61">
        <f>IF($A25="","",IFERROR((월별집계!$Z25-AVERAGE(월별집계!N25:Y25))/STDEV(월별집계!N25:Y25),0))</f>
        <v/>
      </c>
      <c r="P25" s="29">
        <f>IF($A25="","",SUMIFS(예산판_원본!$O$5:$O$5000,예산판_원본!$L$5:$L$5000,$E25,예산판_원본!$M$5:$M$5000,설정!$C$6))</f>
        <v/>
      </c>
      <c r="Q25" s="29">
        <f>IF($A25="","",SUMIFS(월별집계!$C25:$Z25,월별집계!$C$5:$Z$5,"&gt;="&amp;(설정!$C$6*12+1),월별집계!$C$5:$Z$5,"&lt;="&amp;설정!$C$20))</f>
        <v/>
      </c>
      <c r="R25" s="53">
        <f>IF($A25="","",P25-Q25)</f>
        <v/>
      </c>
      <c r="S25" s="29">
        <f>IF($A25="","",AVERAGE(월별집계!X25:Z25)*(12-설정!$C$7))</f>
        <v/>
      </c>
      <c r="T25" s="29">
        <f>IF($A25="","",IFERROR(Q25/(SUMIFS(월별집계!$C25:$Z25,월별집계!$C$5:$Z$5,"&gt;="&amp;((설정!$C$6-1)*12+1),월별집계!$C$5:$Z$5,"&lt;="&amp;(설정!$C$20-12))/SUMIFS(월별집계!$C25:$Z25,월별집계!$C$5:$Z$5,"&gt;="&amp;((설정!$C$6-1)*12+1),월별집계!$C$5:$Z$5,"&lt;="&amp;((설정!$C$6-1)*12+12)))-Q25,S25))</f>
        <v/>
      </c>
      <c r="U25" s="53">
        <f>IF($A25="","",Q25+MAX(S25,T25))</f>
        <v/>
      </c>
      <c r="V25" s="49">
        <f>IF($A25="","",IF(P25=0,0,U25/P25))</f>
        <v/>
      </c>
      <c r="W25" s="28">
        <f>IF($A25="","",IF(AND(P25=0,Q25&gt;0),"무예산",IF(P25=0,"-",IF(V25&gt;설정!$C$12,"부족 예상",IF(V25&gt;설정!$C$11,"주의","여유")))))</f>
        <v/>
      </c>
      <c r="X25" s="53">
        <f>IF($A25="","",IF(P25=0,0,MAX(0,U25-P25)))</f>
        <v/>
      </c>
      <c r="Y25" s="28">
        <f>IF($A25="","",IF(OR(W25&lt;&gt;"부족 예상",설정!$C$7=12),"",IF(R25&lt;=0,"이미 초과",MIN(12,설정!$C$7+ROUNDUP(R25/(MAX(S25,T25)/(12-설정!$C$7)),0))&amp;"월")))</f>
        <v/>
      </c>
      <c r="Z25" s="22">
        <f>IF($A25="","",TRIM(IF(N(AC25)&gt;=설정!$C$14,"단건"&amp;TEXT(AC25,"0%")&amp;" ","")&amp;IF(AND(N25&gt;0,AD25&gt;0),IF(AD25/N25&gt;=설정!$C$16,"SA대체 ",""),"")&amp;IF(AE25&gt;0,"역분개"&amp;AE25&amp;"건 ","")&amp;IF(O25&gt;=설정!$C$13,"이상치 ","")&amp;IF(AND(I25=0,F25&gt;0),"신규지출 ","")))</f>
        <v/>
      </c>
      <c r="AA25" s="61">
        <f>IF($A25="","",ROUND((AF25+AG25+AH25+AI25)*IF(AND(F25&lt;설정!$C$10,N25&lt;설정!$C$10),0.3,1),1))</f>
        <v/>
      </c>
      <c r="AB25" s="50">
        <f>IF($A25="","",AA25+ROW()/1000000)</f>
        <v/>
      </c>
      <c r="AC25" s="56">
        <f>IF(OR($A25="",N25&lt;=0),"",SUMPRODUCT(MAX((전표_원본!$O$5:$O$100000=$E25)*(전표_원본!$M$5:$M$100000=설정!$C$20)*전표_원본!$P$5:$P$100000))/N25)</f>
        <v/>
      </c>
      <c r="AD25" s="29">
        <f>IF($A25="","",SUMIFS(전표_원본!$P$5:$P$100000,전표_원본!$O$5:$O$100000,$E25,전표_원본!$M$5:$M$100000,설정!$C$20,전표_원본!$E$5:$E$100000,"SA")-SUMIFS(전표_원본!$P$5:$P$100000,전표_원본!$O$5:$O$100000,$E25,전표_원본!$M$5:$M$100000,설정!$C$20-1,전표_원본!$E$5:$E$100000,"SA"))</f>
        <v/>
      </c>
      <c r="AE25" s="62">
        <f>IF($A25="","",COUNTIFS(전표_원본!$O$5:$O$100000,$E25,전표_원본!$M$5:$M$100000,설정!$C$20,전표_원본!$P$5:$P$100000,"&lt;0"))</f>
        <v/>
      </c>
      <c r="AF25" s="61">
        <f>IF($A25="","",MIN(MAX(0,N25)/(설정!$C$10*5),1)*30)</f>
        <v/>
      </c>
      <c r="AG25" s="63">
        <f>IF($A25="","",MIN(MAX(0,H25,J25),1)*20)</f>
        <v/>
      </c>
      <c r="AH25" s="63">
        <f>IF($A25="","",MIN(MAX(0,O25)/3,1)*25)</f>
        <v/>
      </c>
      <c r="AI25" s="63">
        <f>IF($A25="","",IF(OR(W25="부족 예상",W25="무예산"),25,IF(W25="주의",15,0)))</f>
        <v/>
      </c>
    </row>
    <row r="26">
      <c r="A26" s="12" t="inlineStr">
        <is>
          <t>D300</t>
        </is>
      </c>
      <c r="B26" s="22">
        <f>IF($A26="","",IFERROR(INDEX(부서매핑!$D$5:$D$504,MATCH($A26,부서매핑!$C$5:$C$504,0)),"부서매핑 없음"))</f>
        <v/>
      </c>
      <c r="C26" s="59" t="inlineStr">
        <is>
          <t>62501000</t>
        </is>
      </c>
      <c r="D26" s="22">
        <f>IF($A26="","",IFERROR(INDEX(계정매핑!$B$5:$B$504,MATCH($C26&amp;"",계정매핑!$A$5:$A$504,0)),"계정매핑 없음"))</f>
        <v/>
      </c>
      <c r="E26" s="21">
        <f>IF($A26="","",$A26&amp;"|"&amp;$C26)</f>
        <v/>
      </c>
      <c r="F26" s="29">
        <f>IF($A26="","",월별집계!$Z26)</f>
        <v/>
      </c>
      <c r="G26" s="29">
        <f>IF($A26="","",월별집계!$Y26)</f>
        <v/>
      </c>
      <c r="H26" s="60">
        <f>IF($A26="","",IF(G26&lt;=0,IF(F26&gt;0,1,0),F26/G26-1))</f>
        <v/>
      </c>
      <c r="I26" s="29">
        <f>IF($A26="","",월별집계!$N26)</f>
        <v/>
      </c>
      <c r="J26" s="60">
        <f>IF($A26="","",IF(I26&lt;=0,IF(F26&gt;0,1,0),F26/I26-1))</f>
        <v/>
      </c>
      <c r="K26" s="29">
        <f>IF($A26="","",SUMIFS(월별집계!$C26:$Z26,월별집계!$C$5:$Z$5,"&gt;="&amp;설정!$C$22,월별집계!$C$5:$Z$5,"&lt;="&amp;설정!$C$20))</f>
        <v/>
      </c>
      <c r="L26" s="29">
        <f>IF($A26="","",SUMIFS(월별집계!$C26:$Z26,월별집계!$C$5:$Z$5,"&gt;="&amp;(설정!$C$22-3),월별집계!$C$5:$Z$5,"&lt;="&amp;(설정!$C$20-3)))</f>
        <v/>
      </c>
      <c r="M26" s="60">
        <f>IF($A26="","",IF(L26&lt;=0,IF(K26&gt;0,1,0),K26/L26-1))</f>
        <v/>
      </c>
      <c r="N26" s="53">
        <f>IF($A26="","",MAX(F26-G26,F26-I26))</f>
        <v/>
      </c>
      <c r="O26" s="61">
        <f>IF($A26="","",IFERROR((월별집계!$Z26-AVERAGE(월별집계!N26:Y26))/STDEV(월별집계!N26:Y26),0))</f>
        <v/>
      </c>
      <c r="P26" s="29">
        <f>IF($A26="","",SUMIFS(예산판_원본!$O$5:$O$5000,예산판_원본!$L$5:$L$5000,$E26,예산판_원본!$M$5:$M$5000,설정!$C$6))</f>
        <v/>
      </c>
      <c r="Q26" s="29">
        <f>IF($A26="","",SUMIFS(월별집계!$C26:$Z26,월별집계!$C$5:$Z$5,"&gt;="&amp;(설정!$C$6*12+1),월별집계!$C$5:$Z$5,"&lt;="&amp;설정!$C$20))</f>
        <v/>
      </c>
      <c r="R26" s="53">
        <f>IF($A26="","",P26-Q26)</f>
        <v/>
      </c>
      <c r="S26" s="29">
        <f>IF($A26="","",AVERAGE(월별집계!X26:Z26)*(12-설정!$C$7))</f>
        <v/>
      </c>
      <c r="T26" s="29">
        <f>IF($A26="","",IFERROR(Q26/(SUMIFS(월별집계!$C26:$Z26,월별집계!$C$5:$Z$5,"&gt;="&amp;((설정!$C$6-1)*12+1),월별집계!$C$5:$Z$5,"&lt;="&amp;(설정!$C$20-12))/SUMIFS(월별집계!$C26:$Z26,월별집계!$C$5:$Z$5,"&gt;="&amp;((설정!$C$6-1)*12+1),월별집계!$C$5:$Z$5,"&lt;="&amp;((설정!$C$6-1)*12+12)))-Q26,S26))</f>
        <v/>
      </c>
      <c r="U26" s="53">
        <f>IF($A26="","",Q26+MAX(S26,T26))</f>
        <v/>
      </c>
      <c r="V26" s="49">
        <f>IF($A26="","",IF(P26=0,0,U26/P26))</f>
        <v/>
      </c>
      <c r="W26" s="28">
        <f>IF($A26="","",IF(AND(P26=0,Q26&gt;0),"무예산",IF(P26=0,"-",IF(V26&gt;설정!$C$12,"부족 예상",IF(V26&gt;설정!$C$11,"주의","여유")))))</f>
        <v/>
      </c>
      <c r="X26" s="53">
        <f>IF($A26="","",IF(P26=0,0,MAX(0,U26-P26)))</f>
        <v/>
      </c>
      <c r="Y26" s="28">
        <f>IF($A26="","",IF(OR(W26&lt;&gt;"부족 예상",설정!$C$7=12),"",IF(R26&lt;=0,"이미 초과",MIN(12,설정!$C$7+ROUNDUP(R26/(MAX(S26,T26)/(12-설정!$C$7)),0))&amp;"월")))</f>
        <v/>
      </c>
      <c r="Z26" s="22">
        <f>IF($A26="","",TRIM(IF(N(AC26)&gt;=설정!$C$14,"단건"&amp;TEXT(AC26,"0%")&amp;" ","")&amp;IF(AND(N26&gt;0,AD26&gt;0),IF(AD26/N26&gt;=설정!$C$16,"SA대체 ",""),"")&amp;IF(AE26&gt;0,"역분개"&amp;AE26&amp;"건 ","")&amp;IF(O26&gt;=설정!$C$13,"이상치 ","")&amp;IF(AND(I26=0,F26&gt;0),"신규지출 ","")))</f>
        <v/>
      </c>
      <c r="AA26" s="61">
        <f>IF($A26="","",ROUND((AF26+AG26+AH26+AI26)*IF(AND(F26&lt;설정!$C$10,N26&lt;설정!$C$10),0.3,1),1))</f>
        <v/>
      </c>
      <c r="AB26" s="50">
        <f>IF($A26="","",AA26+ROW()/1000000)</f>
        <v/>
      </c>
      <c r="AC26" s="56">
        <f>IF(OR($A26="",N26&lt;=0),"",SUMPRODUCT(MAX((전표_원본!$O$5:$O$100000=$E26)*(전표_원본!$M$5:$M$100000=설정!$C$20)*전표_원본!$P$5:$P$100000))/N26)</f>
        <v/>
      </c>
      <c r="AD26" s="29">
        <f>IF($A26="","",SUMIFS(전표_원본!$P$5:$P$100000,전표_원본!$O$5:$O$100000,$E26,전표_원본!$M$5:$M$100000,설정!$C$20,전표_원본!$E$5:$E$100000,"SA")-SUMIFS(전표_원본!$P$5:$P$100000,전표_원본!$O$5:$O$100000,$E26,전표_원본!$M$5:$M$100000,설정!$C$20-1,전표_원본!$E$5:$E$100000,"SA"))</f>
        <v/>
      </c>
      <c r="AE26" s="62">
        <f>IF($A26="","",COUNTIFS(전표_원본!$O$5:$O$100000,$E26,전표_원본!$M$5:$M$100000,설정!$C$20,전표_원본!$P$5:$P$100000,"&lt;0"))</f>
        <v/>
      </c>
      <c r="AF26" s="61">
        <f>IF($A26="","",MIN(MAX(0,N26)/(설정!$C$10*5),1)*30)</f>
        <v/>
      </c>
      <c r="AG26" s="63">
        <f>IF($A26="","",MIN(MAX(0,H26,J26),1)*20)</f>
        <v/>
      </c>
      <c r="AH26" s="63">
        <f>IF($A26="","",MIN(MAX(0,O26)/3,1)*25)</f>
        <v/>
      </c>
      <c r="AI26" s="63">
        <f>IF($A26="","",IF(OR(W26="부족 예상",W26="무예산"),25,IF(W26="주의",15,0)))</f>
        <v/>
      </c>
    </row>
    <row r="27">
      <c r="A27" s="12" t="inlineStr">
        <is>
          <t>D300</t>
        </is>
      </c>
      <c r="B27" s="22">
        <f>IF($A27="","",IFERROR(INDEX(부서매핑!$D$5:$D$504,MATCH($A27,부서매핑!$C$5:$C$504,0)),"부서매핑 없음"))</f>
        <v/>
      </c>
      <c r="C27" s="59" t="inlineStr">
        <is>
          <t>62601000</t>
        </is>
      </c>
      <c r="D27" s="22">
        <f>IF($A27="","",IFERROR(INDEX(계정매핑!$B$5:$B$504,MATCH($C27&amp;"",계정매핑!$A$5:$A$504,0)),"계정매핑 없음"))</f>
        <v/>
      </c>
      <c r="E27" s="21">
        <f>IF($A27="","",$A27&amp;"|"&amp;$C27)</f>
        <v/>
      </c>
      <c r="F27" s="29">
        <f>IF($A27="","",월별집계!$Z27)</f>
        <v/>
      </c>
      <c r="G27" s="29">
        <f>IF($A27="","",월별집계!$Y27)</f>
        <v/>
      </c>
      <c r="H27" s="60">
        <f>IF($A27="","",IF(G27&lt;=0,IF(F27&gt;0,1,0),F27/G27-1))</f>
        <v/>
      </c>
      <c r="I27" s="29">
        <f>IF($A27="","",월별집계!$N27)</f>
        <v/>
      </c>
      <c r="J27" s="60">
        <f>IF($A27="","",IF(I27&lt;=0,IF(F27&gt;0,1,0),F27/I27-1))</f>
        <v/>
      </c>
      <c r="K27" s="29">
        <f>IF($A27="","",SUMIFS(월별집계!$C27:$Z27,월별집계!$C$5:$Z$5,"&gt;="&amp;설정!$C$22,월별집계!$C$5:$Z$5,"&lt;="&amp;설정!$C$20))</f>
        <v/>
      </c>
      <c r="L27" s="29">
        <f>IF($A27="","",SUMIFS(월별집계!$C27:$Z27,월별집계!$C$5:$Z$5,"&gt;="&amp;(설정!$C$22-3),월별집계!$C$5:$Z$5,"&lt;="&amp;(설정!$C$20-3)))</f>
        <v/>
      </c>
      <c r="M27" s="60">
        <f>IF($A27="","",IF(L27&lt;=0,IF(K27&gt;0,1,0),K27/L27-1))</f>
        <v/>
      </c>
      <c r="N27" s="53">
        <f>IF($A27="","",MAX(F27-G27,F27-I27))</f>
        <v/>
      </c>
      <c r="O27" s="61">
        <f>IF($A27="","",IFERROR((월별집계!$Z27-AVERAGE(월별집계!N27:Y27))/STDEV(월별집계!N27:Y27),0))</f>
        <v/>
      </c>
      <c r="P27" s="29">
        <f>IF($A27="","",SUMIFS(예산판_원본!$O$5:$O$5000,예산판_원본!$L$5:$L$5000,$E27,예산판_원본!$M$5:$M$5000,설정!$C$6))</f>
        <v/>
      </c>
      <c r="Q27" s="29">
        <f>IF($A27="","",SUMIFS(월별집계!$C27:$Z27,월별집계!$C$5:$Z$5,"&gt;="&amp;(설정!$C$6*12+1),월별집계!$C$5:$Z$5,"&lt;="&amp;설정!$C$20))</f>
        <v/>
      </c>
      <c r="R27" s="53">
        <f>IF($A27="","",P27-Q27)</f>
        <v/>
      </c>
      <c r="S27" s="29">
        <f>IF($A27="","",AVERAGE(월별집계!X27:Z27)*(12-설정!$C$7))</f>
        <v/>
      </c>
      <c r="T27" s="29">
        <f>IF($A27="","",IFERROR(Q27/(SUMIFS(월별집계!$C27:$Z27,월별집계!$C$5:$Z$5,"&gt;="&amp;((설정!$C$6-1)*12+1),월별집계!$C$5:$Z$5,"&lt;="&amp;(설정!$C$20-12))/SUMIFS(월별집계!$C27:$Z27,월별집계!$C$5:$Z$5,"&gt;="&amp;((설정!$C$6-1)*12+1),월별집계!$C$5:$Z$5,"&lt;="&amp;((설정!$C$6-1)*12+12)))-Q27,S27))</f>
        <v/>
      </c>
      <c r="U27" s="53">
        <f>IF($A27="","",Q27+MAX(S27,T27))</f>
        <v/>
      </c>
      <c r="V27" s="49">
        <f>IF($A27="","",IF(P27=0,0,U27/P27))</f>
        <v/>
      </c>
      <c r="W27" s="28">
        <f>IF($A27="","",IF(AND(P27=0,Q27&gt;0),"무예산",IF(P27=0,"-",IF(V27&gt;설정!$C$12,"부족 예상",IF(V27&gt;설정!$C$11,"주의","여유")))))</f>
        <v/>
      </c>
      <c r="X27" s="53">
        <f>IF($A27="","",IF(P27=0,0,MAX(0,U27-P27)))</f>
        <v/>
      </c>
      <c r="Y27" s="28">
        <f>IF($A27="","",IF(OR(W27&lt;&gt;"부족 예상",설정!$C$7=12),"",IF(R27&lt;=0,"이미 초과",MIN(12,설정!$C$7+ROUNDUP(R27/(MAX(S27,T27)/(12-설정!$C$7)),0))&amp;"월")))</f>
        <v/>
      </c>
      <c r="Z27" s="22">
        <f>IF($A27="","",TRIM(IF(N(AC27)&gt;=설정!$C$14,"단건"&amp;TEXT(AC27,"0%")&amp;" ","")&amp;IF(AND(N27&gt;0,AD27&gt;0),IF(AD27/N27&gt;=설정!$C$16,"SA대체 ",""),"")&amp;IF(AE27&gt;0,"역분개"&amp;AE27&amp;"건 ","")&amp;IF(O27&gt;=설정!$C$13,"이상치 ","")&amp;IF(AND(I27=0,F27&gt;0),"신규지출 ","")))</f>
        <v/>
      </c>
      <c r="AA27" s="61">
        <f>IF($A27="","",ROUND((AF27+AG27+AH27+AI27)*IF(AND(F27&lt;설정!$C$10,N27&lt;설정!$C$10),0.3,1),1))</f>
        <v/>
      </c>
      <c r="AB27" s="50">
        <f>IF($A27="","",AA27+ROW()/1000000)</f>
        <v/>
      </c>
      <c r="AC27" s="56">
        <f>IF(OR($A27="",N27&lt;=0),"",SUMPRODUCT(MAX((전표_원본!$O$5:$O$100000=$E27)*(전표_원본!$M$5:$M$100000=설정!$C$20)*전표_원본!$P$5:$P$100000))/N27)</f>
        <v/>
      </c>
      <c r="AD27" s="29">
        <f>IF($A27="","",SUMIFS(전표_원본!$P$5:$P$100000,전표_원본!$O$5:$O$100000,$E27,전표_원본!$M$5:$M$100000,설정!$C$20,전표_원본!$E$5:$E$100000,"SA")-SUMIFS(전표_원본!$P$5:$P$100000,전표_원본!$O$5:$O$100000,$E27,전표_원본!$M$5:$M$100000,설정!$C$20-1,전표_원본!$E$5:$E$100000,"SA"))</f>
        <v/>
      </c>
      <c r="AE27" s="62">
        <f>IF($A27="","",COUNTIFS(전표_원본!$O$5:$O$100000,$E27,전표_원본!$M$5:$M$100000,설정!$C$20,전표_원본!$P$5:$P$100000,"&lt;0"))</f>
        <v/>
      </c>
      <c r="AF27" s="61">
        <f>IF($A27="","",MIN(MAX(0,N27)/(설정!$C$10*5),1)*30)</f>
        <v/>
      </c>
      <c r="AG27" s="63">
        <f>IF($A27="","",MIN(MAX(0,H27,J27),1)*20)</f>
        <v/>
      </c>
      <c r="AH27" s="63">
        <f>IF($A27="","",MIN(MAX(0,O27)/3,1)*25)</f>
        <v/>
      </c>
      <c r="AI27" s="63">
        <f>IF($A27="","",IF(OR(W27="부족 예상",W27="무예산"),25,IF(W27="주의",15,0)))</f>
        <v/>
      </c>
    </row>
    <row r="28">
      <c r="A28" s="12" t="inlineStr">
        <is>
          <t>D300</t>
        </is>
      </c>
      <c r="B28" s="22">
        <f>IF($A28="","",IFERROR(INDEX(부서매핑!$D$5:$D$504,MATCH($A28,부서매핑!$C$5:$C$504,0)),"부서매핑 없음"))</f>
        <v/>
      </c>
      <c r="C28" s="59" t="inlineStr">
        <is>
          <t>62701000</t>
        </is>
      </c>
      <c r="D28" s="22">
        <f>IF($A28="","",IFERROR(INDEX(계정매핑!$B$5:$B$504,MATCH($C28&amp;"",계정매핑!$A$5:$A$504,0)),"계정매핑 없음"))</f>
        <v/>
      </c>
      <c r="E28" s="21">
        <f>IF($A28="","",$A28&amp;"|"&amp;$C28)</f>
        <v/>
      </c>
      <c r="F28" s="29">
        <f>IF($A28="","",월별집계!$Z28)</f>
        <v/>
      </c>
      <c r="G28" s="29">
        <f>IF($A28="","",월별집계!$Y28)</f>
        <v/>
      </c>
      <c r="H28" s="60">
        <f>IF($A28="","",IF(G28&lt;=0,IF(F28&gt;0,1,0),F28/G28-1))</f>
        <v/>
      </c>
      <c r="I28" s="29">
        <f>IF($A28="","",월별집계!$N28)</f>
        <v/>
      </c>
      <c r="J28" s="60">
        <f>IF($A28="","",IF(I28&lt;=0,IF(F28&gt;0,1,0),F28/I28-1))</f>
        <v/>
      </c>
      <c r="K28" s="29">
        <f>IF($A28="","",SUMIFS(월별집계!$C28:$Z28,월별집계!$C$5:$Z$5,"&gt;="&amp;설정!$C$22,월별집계!$C$5:$Z$5,"&lt;="&amp;설정!$C$20))</f>
        <v/>
      </c>
      <c r="L28" s="29">
        <f>IF($A28="","",SUMIFS(월별집계!$C28:$Z28,월별집계!$C$5:$Z$5,"&gt;="&amp;(설정!$C$22-3),월별집계!$C$5:$Z$5,"&lt;="&amp;(설정!$C$20-3)))</f>
        <v/>
      </c>
      <c r="M28" s="60">
        <f>IF($A28="","",IF(L28&lt;=0,IF(K28&gt;0,1,0),K28/L28-1))</f>
        <v/>
      </c>
      <c r="N28" s="53">
        <f>IF($A28="","",MAX(F28-G28,F28-I28))</f>
        <v/>
      </c>
      <c r="O28" s="61">
        <f>IF($A28="","",IFERROR((월별집계!$Z28-AVERAGE(월별집계!N28:Y28))/STDEV(월별집계!N28:Y28),0))</f>
        <v/>
      </c>
      <c r="P28" s="29">
        <f>IF($A28="","",SUMIFS(예산판_원본!$O$5:$O$5000,예산판_원본!$L$5:$L$5000,$E28,예산판_원본!$M$5:$M$5000,설정!$C$6))</f>
        <v/>
      </c>
      <c r="Q28" s="29">
        <f>IF($A28="","",SUMIFS(월별집계!$C28:$Z28,월별집계!$C$5:$Z$5,"&gt;="&amp;(설정!$C$6*12+1),월별집계!$C$5:$Z$5,"&lt;="&amp;설정!$C$20))</f>
        <v/>
      </c>
      <c r="R28" s="53">
        <f>IF($A28="","",P28-Q28)</f>
        <v/>
      </c>
      <c r="S28" s="29">
        <f>IF($A28="","",AVERAGE(월별집계!X28:Z28)*(12-설정!$C$7))</f>
        <v/>
      </c>
      <c r="T28" s="29">
        <f>IF($A28="","",IFERROR(Q28/(SUMIFS(월별집계!$C28:$Z28,월별집계!$C$5:$Z$5,"&gt;="&amp;((설정!$C$6-1)*12+1),월별집계!$C$5:$Z$5,"&lt;="&amp;(설정!$C$20-12))/SUMIFS(월별집계!$C28:$Z28,월별집계!$C$5:$Z$5,"&gt;="&amp;((설정!$C$6-1)*12+1),월별집계!$C$5:$Z$5,"&lt;="&amp;((설정!$C$6-1)*12+12)))-Q28,S28))</f>
        <v/>
      </c>
      <c r="U28" s="53">
        <f>IF($A28="","",Q28+MAX(S28,T28))</f>
        <v/>
      </c>
      <c r="V28" s="49">
        <f>IF($A28="","",IF(P28=0,0,U28/P28))</f>
        <v/>
      </c>
      <c r="W28" s="28">
        <f>IF($A28="","",IF(AND(P28=0,Q28&gt;0),"무예산",IF(P28=0,"-",IF(V28&gt;설정!$C$12,"부족 예상",IF(V28&gt;설정!$C$11,"주의","여유")))))</f>
        <v/>
      </c>
      <c r="X28" s="53">
        <f>IF($A28="","",IF(P28=0,0,MAX(0,U28-P28)))</f>
        <v/>
      </c>
      <c r="Y28" s="28">
        <f>IF($A28="","",IF(OR(W28&lt;&gt;"부족 예상",설정!$C$7=12),"",IF(R28&lt;=0,"이미 초과",MIN(12,설정!$C$7+ROUNDUP(R28/(MAX(S28,T28)/(12-설정!$C$7)),0))&amp;"월")))</f>
        <v/>
      </c>
      <c r="Z28" s="22">
        <f>IF($A28="","",TRIM(IF(N(AC28)&gt;=설정!$C$14,"단건"&amp;TEXT(AC28,"0%")&amp;" ","")&amp;IF(AND(N28&gt;0,AD28&gt;0),IF(AD28/N28&gt;=설정!$C$16,"SA대체 ",""),"")&amp;IF(AE28&gt;0,"역분개"&amp;AE28&amp;"건 ","")&amp;IF(O28&gt;=설정!$C$13,"이상치 ","")&amp;IF(AND(I28=0,F28&gt;0),"신규지출 ","")))</f>
        <v/>
      </c>
      <c r="AA28" s="61">
        <f>IF($A28="","",ROUND((AF28+AG28+AH28+AI28)*IF(AND(F28&lt;설정!$C$10,N28&lt;설정!$C$10),0.3,1),1))</f>
        <v/>
      </c>
      <c r="AB28" s="50">
        <f>IF($A28="","",AA28+ROW()/1000000)</f>
        <v/>
      </c>
      <c r="AC28" s="56">
        <f>IF(OR($A28="",N28&lt;=0),"",SUMPRODUCT(MAX((전표_원본!$O$5:$O$100000=$E28)*(전표_원본!$M$5:$M$100000=설정!$C$20)*전표_원본!$P$5:$P$100000))/N28)</f>
        <v/>
      </c>
      <c r="AD28" s="29">
        <f>IF($A28="","",SUMIFS(전표_원본!$P$5:$P$100000,전표_원본!$O$5:$O$100000,$E28,전표_원본!$M$5:$M$100000,설정!$C$20,전표_원본!$E$5:$E$100000,"SA")-SUMIFS(전표_원본!$P$5:$P$100000,전표_원본!$O$5:$O$100000,$E28,전표_원본!$M$5:$M$100000,설정!$C$20-1,전표_원본!$E$5:$E$100000,"SA"))</f>
        <v/>
      </c>
      <c r="AE28" s="62">
        <f>IF($A28="","",COUNTIFS(전표_원본!$O$5:$O$100000,$E28,전표_원본!$M$5:$M$100000,설정!$C$20,전표_원본!$P$5:$P$100000,"&lt;0"))</f>
        <v/>
      </c>
      <c r="AF28" s="61">
        <f>IF($A28="","",MIN(MAX(0,N28)/(설정!$C$10*5),1)*30)</f>
        <v/>
      </c>
      <c r="AG28" s="63">
        <f>IF($A28="","",MIN(MAX(0,H28,J28),1)*20)</f>
        <v/>
      </c>
      <c r="AH28" s="63">
        <f>IF($A28="","",MIN(MAX(0,O28)/3,1)*25)</f>
        <v/>
      </c>
      <c r="AI28" s="63">
        <f>IF($A28="","",IF(OR(W28="부족 예상",W28="무예산"),25,IF(W28="주의",15,0)))</f>
        <v/>
      </c>
    </row>
    <row r="29">
      <c r="A29" s="12" t="inlineStr">
        <is>
          <t>D300</t>
        </is>
      </c>
      <c r="B29" s="22">
        <f>IF($A29="","",IFERROR(INDEX(부서매핑!$D$5:$D$504,MATCH($A29,부서매핑!$C$5:$C$504,0)),"부서매핑 없음"))</f>
        <v/>
      </c>
      <c r="C29" s="59" t="inlineStr">
        <is>
          <t>62801000</t>
        </is>
      </c>
      <c r="D29" s="22">
        <f>IF($A29="","",IFERROR(INDEX(계정매핑!$B$5:$B$504,MATCH($C29&amp;"",계정매핑!$A$5:$A$504,0)),"계정매핑 없음"))</f>
        <v/>
      </c>
      <c r="E29" s="21">
        <f>IF($A29="","",$A29&amp;"|"&amp;$C29)</f>
        <v/>
      </c>
      <c r="F29" s="29">
        <f>IF($A29="","",월별집계!$Z29)</f>
        <v/>
      </c>
      <c r="G29" s="29">
        <f>IF($A29="","",월별집계!$Y29)</f>
        <v/>
      </c>
      <c r="H29" s="60">
        <f>IF($A29="","",IF(G29&lt;=0,IF(F29&gt;0,1,0),F29/G29-1))</f>
        <v/>
      </c>
      <c r="I29" s="29">
        <f>IF($A29="","",월별집계!$N29)</f>
        <v/>
      </c>
      <c r="J29" s="60">
        <f>IF($A29="","",IF(I29&lt;=0,IF(F29&gt;0,1,0),F29/I29-1))</f>
        <v/>
      </c>
      <c r="K29" s="29">
        <f>IF($A29="","",SUMIFS(월별집계!$C29:$Z29,월별집계!$C$5:$Z$5,"&gt;="&amp;설정!$C$22,월별집계!$C$5:$Z$5,"&lt;="&amp;설정!$C$20))</f>
        <v/>
      </c>
      <c r="L29" s="29">
        <f>IF($A29="","",SUMIFS(월별집계!$C29:$Z29,월별집계!$C$5:$Z$5,"&gt;="&amp;(설정!$C$22-3),월별집계!$C$5:$Z$5,"&lt;="&amp;(설정!$C$20-3)))</f>
        <v/>
      </c>
      <c r="M29" s="60">
        <f>IF($A29="","",IF(L29&lt;=0,IF(K29&gt;0,1,0),K29/L29-1))</f>
        <v/>
      </c>
      <c r="N29" s="53">
        <f>IF($A29="","",MAX(F29-G29,F29-I29))</f>
        <v/>
      </c>
      <c r="O29" s="61">
        <f>IF($A29="","",IFERROR((월별집계!$Z29-AVERAGE(월별집계!N29:Y29))/STDEV(월별집계!N29:Y29),0))</f>
        <v/>
      </c>
      <c r="P29" s="29">
        <f>IF($A29="","",SUMIFS(예산판_원본!$O$5:$O$5000,예산판_원본!$L$5:$L$5000,$E29,예산판_원본!$M$5:$M$5000,설정!$C$6))</f>
        <v/>
      </c>
      <c r="Q29" s="29">
        <f>IF($A29="","",SUMIFS(월별집계!$C29:$Z29,월별집계!$C$5:$Z$5,"&gt;="&amp;(설정!$C$6*12+1),월별집계!$C$5:$Z$5,"&lt;="&amp;설정!$C$20))</f>
        <v/>
      </c>
      <c r="R29" s="53">
        <f>IF($A29="","",P29-Q29)</f>
        <v/>
      </c>
      <c r="S29" s="29">
        <f>IF($A29="","",AVERAGE(월별집계!X29:Z29)*(12-설정!$C$7))</f>
        <v/>
      </c>
      <c r="T29" s="29">
        <f>IF($A29="","",IFERROR(Q29/(SUMIFS(월별집계!$C29:$Z29,월별집계!$C$5:$Z$5,"&gt;="&amp;((설정!$C$6-1)*12+1),월별집계!$C$5:$Z$5,"&lt;="&amp;(설정!$C$20-12))/SUMIFS(월별집계!$C29:$Z29,월별집계!$C$5:$Z$5,"&gt;="&amp;((설정!$C$6-1)*12+1),월별집계!$C$5:$Z$5,"&lt;="&amp;((설정!$C$6-1)*12+12)))-Q29,S29))</f>
        <v/>
      </c>
      <c r="U29" s="53">
        <f>IF($A29="","",Q29+MAX(S29,T29))</f>
        <v/>
      </c>
      <c r="V29" s="49">
        <f>IF($A29="","",IF(P29=0,0,U29/P29))</f>
        <v/>
      </c>
      <c r="W29" s="28">
        <f>IF($A29="","",IF(AND(P29=0,Q29&gt;0),"무예산",IF(P29=0,"-",IF(V29&gt;설정!$C$12,"부족 예상",IF(V29&gt;설정!$C$11,"주의","여유")))))</f>
        <v/>
      </c>
      <c r="X29" s="53">
        <f>IF($A29="","",IF(P29=0,0,MAX(0,U29-P29)))</f>
        <v/>
      </c>
      <c r="Y29" s="28">
        <f>IF($A29="","",IF(OR(W29&lt;&gt;"부족 예상",설정!$C$7=12),"",IF(R29&lt;=0,"이미 초과",MIN(12,설정!$C$7+ROUNDUP(R29/(MAX(S29,T29)/(12-설정!$C$7)),0))&amp;"월")))</f>
        <v/>
      </c>
      <c r="Z29" s="22">
        <f>IF($A29="","",TRIM(IF(N(AC29)&gt;=설정!$C$14,"단건"&amp;TEXT(AC29,"0%")&amp;" ","")&amp;IF(AND(N29&gt;0,AD29&gt;0),IF(AD29/N29&gt;=설정!$C$16,"SA대체 ",""),"")&amp;IF(AE29&gt;0,"역분개"&amp;AE29&amp;"건 ","")&amp;IF(O29&gt;=설정!$C$13,"이상치 ","")&amp;IF(AND(I29=0,F29&gt;0),"신규지출 ","")))</f>
        <v/>
      </c>
      <c r="AA29" s="61">
        <f>IF($A29="","",ROUND((AF29+AG29+AH29+AI29)*IF(AND(F29&lt;설정!$C$10,N29&lt;설정!$C$10),0.3,1),1))</f>
        <v/>
      </c>
      <c r="AB29" s="50">
        <f>IF($A29="","",AA29+ROW()/1000000)</f>
        <v/>
      </c>
      <c r="AC29" s="56">
        <f>IF(OR($A29="",N29&lt;=0),"",SUMPRODUCT(MAX((전표_원본!$O$5:$O$100000=$E29)*(전표_원본!$M$5:$M$100000=설정!$C$20)*전표_원본!$P$5:$P$100000))/N29)</f>
        <v/>
      </c>
      <c r="AD29" s="29">
        <f>IF($A29="","",SUMIFS(전표_원본!$P$5:$P$100000,전표_원본!$O$5:$O$100000,$E29,전표_원본!$M$5:$M$100000,설정!$C$20,전표_원본!$E$5:$E$100000,"SA")-SUMIFS(전표_원본!$P$5:$P$100000,전표_원본!$O$5:$O$100000,$E29,전표_원본!$M$5:$M$100000,설정!$C$20-1,전표_원본!$E$5:$E$100000,"SA"))</f>
        <v/>
      </c>
      <c r="AE29" s="62">
        <f>IF($A29="","",COUNTIFS(전표_원본!$O$5:$O$100000,$E29,전표_원본!$M$5:$M$100000,설정!$C$20,전표_원본!$P$5:$P$100000,"&lt;0"))</f>
        <v/>
      </c>
      <c r="AF29" s="61">
        <f>IF($A29="","",MIN(MAX(0,N29)/(설정!$C$10*5),1)*30)</f>
        <v/>
      </c>
      <c r="AG29" s="63">
        <f>IF($A29="","",MIN(MAX(0,H29,J29),1)*20)</f>
        <v/>
      </c>
      <c r="AH29" s="63">
        <f>IF($A29="","",MIN(MAX(0,O29)/3,1)*25)</f>
        <v/>
      </c>
      <c r="AI29" s="63">
        <f>IF($A29="","",IF(OR(W29="부족 예상",W29="무예산"),25,IF(W29="주의",15,0)))</f>
        <v/>
      </c>
    </row>
    <row r="30">
      <c r="A30" s="12" t="inlineStr">
        <is>
          <t>D300</t>
        </is>
      </c>
      <c r="B30" s="22">
        <f>IF($A30="","",IFERROR(INDEX(부서매핑!$D$5:$D$504,MATCH($A30,부서매핑!$C$5:$C$504,0)),"부서매핑 없음"))</f>
        <v/>
      </c>
      <c r="C30" s="59" t="inlineStr">
        <is>
          <t>62802000</t>
        </is>
      </c>
      <c r="D30" s="22">
        <f>IF($A30="","",IFERROR(INDEX(계정매핑!$B$5:$B$504,MATCH($C30&amp;"",계정매핑!$A$5:$A$504,0)),"계정매핑 없음"))</f>
        <v/>
      </c>
      <c r="E30" s="21">
        <f>IF($A30="","",$A30&amp;"|"&amp;$C30)</f>
        <v/>
      </c>
      <c r="F30" s="29">
        <f>IF($A30="","",월별집계!$Z30)</f>
        <v/>
      </c>
      <c r="G30" s="29">
        <f>IF($A30="","",월별집계!$Y30)</f>
        <v/>
      </c>
      <c r="H30" s="60">
        <f>IF($A30="","",IF(G30&lt;=0,IF(F30&gt;0,1,0),F30/G30-1))</f>
        <v/>
      </c>
      <c r="I30" s="29">
        <f>IF($A30="","",월별집계!$N30)</f>
        <v/>
      </c>
      <c r="J30" s="60">
        <f>IF($A30="","",IF(I30&lt;=0,IF(F30&gt;0,1,0),F30/I30-1))</f>
        <v/>
      </c>
      <c r="K30" s="29">
        <f>IF($A30="","",SUMIFS(월별집계!$C30:$Z30,월별집계!$C$5:$Z$5,"&gt;="&amp;설정!$C$22,월별집계!$C$5:$Z$5,"&lt;="&amp;설정!$C$20))</f>
        <v/>
      </c>
      <c r="L30" s="29">
        <f>IF($A30="","",SUMIFS(월별집계!$C30:$Z30,월별집계!$C$5:$Z$5,"&gt;="&amp;(설정!$C$22-3),월별집계!$C$5:$Z$5,"&lt;="&amp;(설정!$C$20-3)))</f>
        <v/>
      </c>
      <c r="M30" s="60">
        <f>IF($A30="","",IF(L30&lt;=0,IF(K30&gt;0,1,0),K30/L30-1))</f>
        <v/>
      </c>
      <c r="N30" s="53">
        <f>IF($A30="","",MAX(F30-G30,F30-I30))</f>
        <v/>
      </c>
      <c r="O30" s="61">
        <f>IF($A30="","",IFERROR((월별집계!$Z30-AVERAGE(월별집계!N30:Y30))/STDEV(월별집계!N30:Y30),0))</f>
        <v/>
      </c>
      <c r="P30" s="29">
        <f>IF($A30="","",SUMIFS(예산판_원본!$O$5:$O$5000,예산판_원본!$L$5:$L$5000,$E30,예산판_원본!$M$5:$M$5000,설정!$C$6))</f>
        <v/>
      </c>
      <c r="Q30" s="29">
        <f>IF($A30="","",SUMIFS(월별집계!$C30:$Z30,월별집계!$C$5:$Z$5,"&gt;="&amp;(설정!$C$6*12+1),월별집계!$C$5:$Z$5,"&lt;="&amp;설정!$C$20))</f>
        <v/>
      </c>
      <c r="R30" s="53">
        <f>IF($A30="","",P30-Q30)</f>
        <v/>
      </c>
      <c r="S30" s="29">
        <f>IF($A30="","",AVERAGE(월별집계!X30:Z30)*(12-설정!$C$7))</f>
        <v/>
      </c>
      <c r="T30" s="29">
        <f>IF($A30="","",IFERROR(Q30/(SUMIFS(월별집계!$C30:$Z30,월별집계!$C$5:$Z$5,"&gt;="&amp;((설정!$C$6-1)*12+1),월별집계!$C$5:$Z$5,"&lt;="&amp;(설정!$C$20-12))/SUMIFS(월별집계!$C30:$Z30,월별집계!$C$5:$Z$5,"&gt;="&amp;((설정!$C$6-1)*12+1),월별집계!$C$5:$Z$5,"&lt;="&amp;((설정!$C$6-1)*12+12)))-Q30,S30))</f>
        <v/>
      </c>
      <c r="U30" s="53">
        <f>IF($A30="","",Q30+MAX(S30,T30))</f>
        <v/>
      </c>
      <c r="V30" s="49">
        <f>IF($A30="","",IF(P30=0,0,U30/P30))</f>
        <v/>
      </c>
      <c r="W30" s="28">
        <f>IF($A30="","",IF(AND(P30=0,Q30&gt;0),"무예산",IF(P30=0,"-",IF(V30&gt;설정!$C$12,"부족 예상",IF(V30&gt;설정!$C$11,"주의","여유")))))</f>
        <v/>
      </c>
      <c r="X30" s="53">
        <f>IF($A30="","",IF(P30=0,0,MAX(0,U30-P30)))</f>
        <v/>
      </c>
      <c r="Y30" s="28">
        <f>IF($A30="","",IF(OR(W30&lt;&gt;"부족 예상",설정!$C$7=12),"",IF(R30&lt;=0,"이미 초과",MIN(12,설정!$C$7+ROUNDUP(R30/(MAX(S30,T30)/(12-설정!$C$7)),0))&amp;"월")))</f>
        <v/>
      </c>
      <c r="Z30" s="22">
        <f>IF($A30="","",TRIM(IF(N(AC30)&gt;=설정!$C$14,"단건"&amp;TEXT(AC30,"0%")&amp;" ","")&amp;IF(AND(N30&gt;0,AD30&gt;0),IF(AD30/N30&gt;=설정!$C$16,"SA대체 ",""),"")&amp;IF(AE30&gt;0,"역분개"&amp;AE30&amp;"건 ","")&amp;IF(O30&gt;=설정!$C$13,"이상치 ","")&amp;IF(AND(I30=0,F30&gt;0),"신규지출 ","")))</f>
        <v/>
      </c>
      <c r="AA30" s="61">
        <f>IF($A30="","",ROUND((AF30+AG30+AH30+AI30)*IF(AND(F30&lt;설정!$C$10,N30&lt;설정!$C$10),0.3,1),1))</f>
        <v/>
      </c>
      <c r="AB30" s="50">
        <f>IF($A30="","",AA30+ROW()/1000000)</f>
        <v/>
      </c>
      <c r="AC30" s="56">
        <f>IF(OR($A30="",N30&lt;=0),"",SUMPRODUCT(MAX((전표_원본!$O$5:$O$100000=$E30)*(전표_원본!$M$5:$M$100000=설정!$C$20)*전표_원본!$P$5:$P$100000))/N30)</f>
        <v/>
      </c>
      <c r="AD30" s="29">
        <f>IF($A30="","",SUMIFS(전표_원본!$P$5:$P$100000,전표_원본!$O$5:$O$100000,$E30,전표_원본!$M$5:$M$100000,설정!$C$20,전표_원본!$E$5:$E$100000,"SA")-SUMIFS(전표_원본!$P$5:$P$100000,전표_원본!$O$5:$O$100000,$E30,전표_원본!$M$5:$M$100000,설정!$C$20-1,전표_원본!$E$5:$E$100000,"SA"))</f>
        <v/>
      </c>
      <c r="AE30" s="62">
        <f>IF($A30="","",COUNTIFS(전표_원본!$O$5:$O$100000,$E30,전표_원본!$M$5:$M$100000,설정!$C$20,전표_원본!$P$5:$P$100000,"&lt;0"))</f>
        <v/>
      </c>
      <c r="AF30" s="61">
        <f>IF($A30="","",MIN(MAX(0,N30)/(설정!$C$10*5),1)*30)</f>
        <v/>
      </c>
      <c r="AG30" s="63">
        <f>IF($A30="","",MIN(MAX(0,H30,J30),1)*20)</f>
        <v/>
      </c>
      <c r="AH30" s="63">
        <f>IF($A30="","",MIN(MAX(0,O30)/3,1)*25)</f>
        <v/>
      </c>
      <c r="AI30" s="63">
        <f>IF($A30="","",IF(OR(W30="부족 예상",W30="무예산"),25,IF(W30="주의",15,0)))</f>
        <v/>
      </c>
    </row>
    <row r="31">
      <c r="A31" s="12" t="inlineStr">
        <is>
          <t>D400</t>
        </is>
      </c>
      <c r="B31" s="22">
        <f>IF($A31="","",IFERROR(INDEX(부서매핑!$D$5:$D$504,MATCH($A31,부서매핑!$C$5:$C$504,0)),"부서매핑 없음"))</f>
        <v/>
      </c>
      <c r="C31" s="59" t="inlineStr">
        <is>
          <t>62101000</t>
        </is>
      </c>
      <c r="D31" s="22">
        <f>IF($A31="","",IFERROR(INDEX(계정매핑!$B$5:$B$504,MATCH($C31&amp;"",계정매핑!$A$5:$A$504,0)),"계정매핑 없음"))</f>
        <v/>
      </c>
      <c r="E31" s="21">
        <f>IF($A31="","",$A31&amp;"|"&amp;$C31)</f>
        <v/>
      </c>
      <c r="F31" s="29">
        <f>IF($A31="","",월별집계!$Z31)</f>
        <v/>
      </c>
      <c r="G31" s="29">
        <f>IF($A31="","",월별집계!$Y31)</f>
        <v/>
      </c>
      <c r="H31" s="60">
        <f>IF($A31="","",IF(G31&lt;=0,IF(F31&gt;0,1,0),F31/G31-1))</f>
        <v/>
      </c>
      <c r="I31" s="29">
        <f>IF($A31="","",월별집계!$N31)</f>
        <v/>
      </c>
      <c r="J31" s="60">
        <f>IF($A31="","",IF(I31&lt;=0,IF(F31&gt;0,1,0),F31/I31-1))</f>
        <v/>
      </c>
      <c r="K31" s="29">
        <f>IF($A31="","",SUMIFS(월별집계!$C31:$Z31,월별집계!$C$5:$Z$5,"&gt;="&amp;설정!$C$22,월별집계!$C$5:$Z$5,"&lt;="&amp;설정!$C$20))</f>
        <v/>
      </c>
      <c r="L31" s="29">
        <f>IF($A31="","",SUMIFS(월별집계!$C31:$Z31,월별집계!$C$5:$Z$5,"&gt;="&amp;(설정!$C$22-3),월별집계!$C$5:$Z$5,"&lt;="&amp;(설정!$C$20-3)))</f>
        <v/>
      </c>
      <c r="M31" s="60">
        <f>IF($A31="","",IF(L31&lt;=0,IF(K31&gt;0,1,0),K31/L31-1))</f>
        <v/>
      </c>
      <c r="N31" s="53">
        <f>IF($A31="","",MAX(F31-G31,F31-I31))</f>
        <v/>
      </c>
      <c r="O31" s="61">
        <f>IF($A31="","",IFERROR((월별집계!$Z31-AVERAGE(월별집계!N31:Y31))/STDEV(월별집계!N31:Y31),0))</f>
        <v/>
      </c>
      <c r="P31" s="29">
        <f>IF($A31="","",SUMIFS(예산판_원본!$O$5:$O$5000,예산판_원본!$L$5:$L$5000,$E31,예산판_원본!$M$5:$M$5000,설정!$C$6))</f>
        <v/>
      </c>
      <c r="Q31" s="29">
        <f>IF($A31="","",SUMIFS(월별집계!$C31:$Z31,월별집계!$C$5:$Z$5,"&gt;="&amp;(설정!$C$6*12+1),월별집계!$C$5:$Z$5,"&lt;="&amp;설정!$C$20))</f>
        <v/>
      </c>
      <c r="R31" s="53">
        <f>IF($A31="","",P31-Q31)</f>
        <v/>
      </c>
      <c r="S31" s="29">
        <f>IF($A31="","",AVERAGE(월별집계!X31:Z31)*(12-설정!$C$7))</f>
        <v/>
      </c>
      <c r="T31" s="29">
        <f>IF($A31="","",IFERROR(Q31/(SUMIFS(월별집계!$C31:$Z31,월별집계!$C$5:$Z$5,"&gt;="&amp;((설정!$C$6-1)*12+1),월별집계!$C$5:$Z$5,"&lt;="&amp;(설정!$C$20-12))/SUMIFS(월별집계!$C31:$Z31,월별집계!$C$5:$Z$5,"&gt;="&amp;((설정!$C$6-1)*12+1),월별집계!$C$5:$Z$5,"&lt;="&amp;((설정!$C$6-1)*12+12)))-Q31,S31))</f>
        <v/>
      </c>
      <c r="U31" s="53">
        <f>IF($A31="","",Q31+MAX(S31,T31))</f>
        <v/>
      </c>
      <c r="V31" s="49">
        <f>IF($A31="","",IF(P31=0,0,U31/P31))</f>
        <v/>
      </c>
      <c r="W31" s="28">
        <f>IF($A31="","",IF(AND(P31=0,Q31&gt;0),"무예산",IF(P31=0,"-",IF(V31&gt;설정!$C$12,"부족 예상",IF(V31&gt;설정!$C$11,"주의","여유")))))</f>
        <v/>
      </c>
      <c r="X31" s="53">
        <f>IF($A31="","",IF(P31=0,0,MAX(0,U31-P31)))</f>
        <v/>
      </c>
      <c r="Y31" s="28">
        <f>IF($A31="","",IF(OR(W31&lt;&gt;"부족 예상",설정!$C$7=12),"",IF(R31&lt;=0,"이미 초과",MIN(12,설정!$C$7+ROUNDUP(R31/(MAX(S31,T31)/(12-설정!$C$7)),0))&amp;"월")))</f>
        <v/>
      </c>
      <c r="Z31" s="22">
        <f>IF($A31="","",TRIM(IF(N(AC31)&gt;=설정!$C$14,"단건"&amp;TEXT(AC31,"0%")&amp;" ","")&amp;IF(AND(N31&gt;0,AD31&gt;0),IF(AD31/N31&gt;=설정!$C$16,"SA대체 ",""),"")&amp;IF(AE31&gt;0,"역분개"&amp;AE31&amp;"건 ","")&amp;IF(O31&gt;=설정!$C$13,"이상치 ","")&amp;IF(AND(I31=0,F31&gt;0),"신규지출 ","")))</f>
        <v/>
      </c>
      <c r="AA31" s="61">
        <f>IF($A31="","",ROUND((AF31+AG31+AH31+AI31)*IF(AND(F31&lt;설정!$C$10,N31&lt;설정!$C$10),0.3,1),1))</f>
        <v/>
      </c>
      <c r="AB31" s="50">
        <f>IF($A31="","",AA31+ROW()/1000000)</f>
        <v/>
      </c>
      <c r="AC31" s="56">
        <f>IF(OR($A31="",N31&lt;=0),"",SUMPRODUCT(MAX((전표_원본!$O$5:$O$100000=$E31)*(전표_원본!$M$5:$M$100000=설정!$C$20)*전표_원본!$P$5:$P$100000))/N31)</f>
        <v/>
      </c>
      <c r="AD31" s="29">
        <f>IF($A31="","",SUMIFS(전표_원본!$P$5:$P$100000,전표_원본!$O$5:$O$100000,$E31,전표_원본!$M$5:$M$100000,설정!$C$20,전표_원본!$E$5:$E$100000,"SA")-SUMIFS(전표_원본!$P$5:$P$100000,전표_원본!$O$5:$O$100000,$E31,전표_원본!$M$5:$M$100000,설정!$C$20-1,전표_원본!$E$5:$E$100000,"SA"))</f>
        <v/>
      </c>
      <c r="AE31" s="62">
        <f>IF($A31="","",COUNTIFS(전표_원본!$O$5:$O$100000,$E31,전표_원본!$M$5:$M$100000,설정!$C$20,전표_원본!$P$5:$P$100000,"&lt;0"))</f>
        <v/>
      </c>
      <c r="AF31" s="61">
        <f>IF($A31="","",MIN(MAX(0,N31)/(설정!$C$10*5),1)*30)</f>
        <v/>
      </c>
      <c r="AG31" s="63">
        <f>IF($A31="","",MIN(MAX(0,H31,J31),1)*20)</f>
        <v/>
      </c>
      <c r="AH31" s="63">
        <f>IF($A31="","",MIN(MAX(0,O31)/3,1)*25)</f>
        <v/>
      </c>
      <c r="AI31" s="63">
        <f>IF($A31="","",IF(OR(W31="부족 예상",W31="무예산"),25,IF(W31="주의",15,0)))</f>
        <v/>
      </c>
    </row>
    <row r="32">
      <c r="A32" s="12" t="inlineStr">
        <is>
          <t>D400</t>
        </is>
      </c>
      <c r="B32" s="22">
        <f>IF($A32="","",IFERROR(INDEX(부서매핑!$D$5:$D$504,MATCH($A32,부서매핑!$C$5:$C$504,0)),"부서매핑 없음"))</f>
        <v/>
      </c>
      <c r="C32" s="59" t="inlineStr">
        <is>
          <t>62102000</t>
        </is>
      </c>
      <c r="D32" s="22">
        <f>IF($A32="","",IFERROR(INDEX(계정매핑!$B$5:$B$504,MATCH($C32&amp;"",계정매핑!$A$5:$A$504,0)),"계정매핑 없음"))</f>
        <v/>
      </c>
      <c r="E32" s="21">
        <f>IF($A32="","",$A32&amp;"|"&amp;$C32)</f>
        <v/>
      </c>
      <c r="F32" s="29">
        <f>IF($A32="","",월별집계!$Z32)</f>
        <v/>
      </c>
      <c r="G32" s="29">
        <f>IF($A32="","",월별집계!$Y32)</f>
        <v/>
      </c>
      <c r="H32" s="60">
        <f>IF($A32="","",IF(G32&lt;=0,IF(F32&gt;0,1,0),F32/G32-1))</f>
        <v/>
      </c>
      <c r="I32" s="29">
        <f>IF($A32="","",월별집계!$N32)</f>
        <v/>
      </c>
      <c r="J32" s="60">
        <f>IF($A32="","",IF(I32&lt;=0,IF(F32&gt;0,1,0),F32/I32-1))</f>
        <v/>
      </c>
      <c r="K32" s="29">
        <f>IF($A32="","",SUMIFS(월별집계!$C32:$Z32,월별집계!$C$5:$Z$5,"&gt;="&amp;설정!$C$22,월별집계!$C$5:$Z$5,"&lt;="&amp;설정!$C$20))</f>
        <v/>
      </c>
      <c r="L32" s="29">
        <f>IF($A32="","",SUMIFS(월별집계!$C32:$Z32,월별집계!$C$5:$Z$5,"&gt;="&amp;(설정!$C$22-3),월별집계!$C$5:$Z$5,"&lt;="&amp;(설정!$C$20-3)))</f>
        <v/>
      </c>
      <c r="M32" s="60">
        <f>IF($A32="","",IF(L32&lt;=0,IF(K32&gt;0,1,0),K32/L32-1))</f>
        <v/>
      </c>
      <c r="N32" s="53">
        <f>IF($A32="","",MAX(F32-G32,F32-I32))</f>
        <v/>
      </c>
      <c r="O32" s="61">
        <f>IF($A32="","",IFERROR((월별집계!$Z32-AVERAGE(월별집계!N32:Y32))/STDEV(월별집계!N32:Y32),0))</f>
        <v/>
      </c>
      <c r="P32" s="29">
        <f>IF($A32="","",SUMIFS(예산판_원본!$O$5:$O$5000,예산판_원본!$L$5:$L$5000,$E32,예산판_원본!$M$5:$M$5000,설정!$C$6))</f>
        <v/>
      </c>
      <c r="Q32" s="29">
        <f>IF($A32="","",SUMIFS(월별집계!$C32:$Z32,월별집계!$C$5:$Z$5,"&gt;="&amp;(설정!$C$6*12+1),월별집계!$C$5:$Z$5,"&lt;="&amp;설정!$C$20))</f>
        <v/>
      </c>
      <c r="R32" s="53">
        <f>IF($A32="","",P32-Q32)</f>
        <v/>
      </c>
      <c r="S32" s="29">
        <f>IF($A32="","",AVERAGE(월별집계!X32:Z32)*(12-설정!$C$7))</f>
        <v/>
      </c>
      <c r="T32" s="29">
        <f>IF($A32="","",IFERROR(Q32/(SUMIFS(월별집계!$C32:$Z32,월별집계!$C$5:$Z$5,"&gt;="&amp;((설정!$C$6-1)*12+1),월별집계!$C$5:$Z$5,"&lt;="&amp;(설정!$C$20-12))/SUMIFS(월별집계!$C32:$Z32,월별집계!$C$5:$Z$5,"&gt;="&amp;((설정!$C$6-1)*12+1),월별집계!$C$5:$Z$5,"&lt;="&amp;((설정!$C$6-1)*12+12)))-Q32,S32))</f>
        <v/>
      </c>
      <c r="U32" s="53">
        <f>IF($A32="","",Q32+MAX(S32,T32))</f>
        <v/>
      </c>
      <c r="V32" s="49">
        <f>IF($A32="","",IF(P32=0,0,U32/P32))</f>
        <v/>
      </c>
      <c r="W32" s="28">
        <f>IF($A32="","",IF(AND(P32=0,Q32&gt;0),"무예산",IF(P32=0,"-",IF(V32&gt;설정!$C$12,"부족 예상",IF(V32&gt;설정!$C$11,"주의","여유")))))</f>
        <v/>
      </c>
      <c r="X32" s="53">
        <f>IF($A32="","",IF(P32=0,0,MAX(0,U32-P32)))</f>
        <v/>
      </c>
      <c r="Y32" s="28">
        <f>IF($A32="","",IF(OR(W32&lt;&gt;"부족 예상",설정!$C$7=12),"",IF(R32&lt;=0,"이미 초과",MIN(12,설정!$C$7+ROUNDUP(R32/(MAX(S32,T32)/(12-설정!$C$7)),0))&amp;"월")))</f>
        <v/>
      </c>
      <c r="Z32" s="22">
        <f>IF($A32="","",TRIM(IF(N(AC32)&gt;=설정!$C$14,"단건"&amp;TEXT(AC32,"0%")&amp;" ","")&amp;IF(AND(N32&gt;0,AD32&gt;0),IF(AD32/N32&gt;=설정!$C$16,"SA대체 ",""),"")&amp;IF(AE32&gt;0,"역분개"&amp;AE32&amp;"건 ","")&amp;IF(O32&gt;=설정!$C$13,"이상치 ","")&amp;IF(AND(I32=0,F32&gt;0),"신규지출 ","")))</f>
        <v/>
      </c>
      <c r="AA32" s="61">
        <f>IF($A32="","",ROUND((AF32+AG32+AH32+AI32)*IF(AND(F32&lt;설정!$C$10,N32&lt;설정!$C$10),0.3,1),1))</f>
        <v/>
      </c>
      <c r="AB32" s="50">
        <f>IF($A32="","",AA32+ROW()/1000000)</f>
        <v/>
      </c>
      <c r="AC32" s="56">
        <f>IF(OR($A32="",N32&lt;=0),"",SUMPRODUCT(MAX((전표_원본!$O$5:$O$100000=$E32)*(전표_원본!$M$5:$M$100000=설정!$C$20)*전표_원본!$P$5:$P$100000))/N32)</f>
        <v/>
      </c>
      <c r="AD32" s="29">
        <f>IF($A32="","",SUMIFS(전표_원본!$P$5:$P$100000,전표_원본!$O$5:$O$100000,$E32,전표_원본!$M$5:$M$100000,설정!$C$20,전표_원본!$E$5:$E$100000,"SA")-SUMIFS(전표_원본!$P$5:$P$100000,전표_원본!$O$5:$O$100000,$E32,전표_원본!$M$5:$M$100000,설정!$C$20-1,전표_원본!$E$5:$E$100000,"SA"))</f>
        <v/>
      </c>
      <c r="AE32" s="62">
        <f>IF($A32="","",COUNTIFS(전표_원본!$O$5:$O$100000,$E32,전표_원본!$M$5:$M$100000,설정!$C$20,전표_원본!$P$5:$P$100000,"&lt;0"))</f>
        <v/>
      </c>
      <c r="AF32" s="61">
        <f>IF($A32="","",MIN(MAX(0,N32)/(설정!$C$10*5),1)*30)</f>
        <v/>
      </c>
      <c r="AG32" s="63">
        <f>IF($A32="","",MIN(MAX(0,H32,J32),1)*20)</f>
        <v/>
      </c>
      <c r="AH32" s="63">
        <f>IF($A32="","",MIN(MAX(0,O32)/3,1)*25)</f>
        <v/>
      </c>
      <c r="AI32" s="63">
        <f>IF($A32="","",IF(OR(W32="부족 예상",W32="무예산"),25,IF(W32="주의",15,0)))</f>
        <v/>
      </c>
    </row>
    <row r="33">
      <c r="A33" s="12" t="inlineStr">
        <is>
          <t>D400</t>
        </is>
      </c>
      <c r="B33" s="22">
        <f>IF($A33="","",IFERROR(INDEX(부서매핑!$D$5:$D$504,MATCH($A33,부서매핑!$C$5:$C$504,0)),"부서매핑 없음"))</f>
        <v/>
      </c>
      <c r="C33" s="59" t="inlineStr">
        <is>
          <t>62201000</t>
        </is>
      </c>
      <c r="D33" s="22">
        <f>IF($A33="","",IFERROR(INDEX(계정매핑!$B$5:$B$504,MATCH($C33&amp;"",계정매핑!$A$5:$A$504,0)),"계정매핑 없음"))</f>
        <v/>
      </c>
      <c r="E33" s="21">
        <f>IF($A33="","",$A33&amp;"|"&amp;$C33)</f>
        <v/>
      </c>
      <c r="F33" s="29">
        <f>IF($A33="","",월별집계!$Z33)</f>
        <v/>
      </c>
      <c r="G33" s="29">
        <f>IF($A33="","",월별집계!$Y33)</f>
        <v/>
      </c>
      <c r="H33" s="60">
        <f>IF($A33="","",IF(G33&lt;=0,IF(F33&gt;0,1,0),F33/G33-1))</f>
        <v/>
      </c>
      <c r="I33" s="29">
        <f>IF($A33="","",월별집계!$N33)</f>
        <v/>
      </c>
      <c r="J33" s="60">
        <f>IF($A33="","",IF(I33&lt;=0,IF(F33&gt;0,1,0),F33/I33-1))</f>
        <v/>
      </c>
      <c r="K33" s="29">
        <f>IF($A33="","",SUMIFS(월별집계!$C33:$Z33,월별집계!$C$5:$Z$5,"&gt;="&amp;설정!$C$22,월별집계!$C$5:$Z$5,"&lt;="&amp;설정!$C$20))</f>
        <v/>
      </c>
      <c r="L33" s="29">
        <f>IF($A33="","",SUMIFS(월별집계!$C33:$Z33,월별집계!$C$5:$Z$5,"&gt;="&amp;(설정!$C$22-3),월별집계!$C$5:$Z$5,"&lt;="&amp;(설정!$C$20-3)))</f>
        <v/>
      </c>
      <c r="M33" s="60">
        <f>IF($A33="","",IF(L33&lt;=0,IF(K33&gt;0,1,0),K33/L33-1))</f>
        <v/>
      </c>
      <c r="N33" s="53">
        <f>IF($A33="","",MAX(F33-G33,F33-I33))</f>
        <v/>
      </c>
      <c r="O33" s="61">
        <f>IF($A33="","",IFERROR((월별집계!$Z33-AVERAGE(월별집계!N33:Y33))/STDEV(월별집계!N33:Y33),0))</f>
        <v/>
      </c>
      <c r="P33" s="29">
        <f>IF($A33="","",SUMIFS(예산판_원본!$O$5:$O$5000,예산판_원본!$L$5:$L$5000,$E33,예산판_원본!$M$5:$M$5000,설정!$C$6))</f>
        <v/>
      </c>
      <c r="Q33" s="29">
        <f>IF($A33="","",SUMIFS(월별집계!$C33:$Z33,월별집계!$C$5:$Z$5,"&gt;="&amp;(설정!$C$6*12+1),월별집계!$C$5:$Z$5,"&lt;="&amp;설정!$C$20))</f>
        <v/>
      </c>
      <c r="R33" s="53">
        <f>IF($A33="","",P33-Q33)</f>
        <v/>
      </c>
      <c r="S33" s="29">
        <f>IF($A33="","",AVERAGE(월별집계!X33:Z33)*(12-설정!$C$7))</f>
        <v/>
      </c>
      <c r="T33" s="29">
        <f>IF($A33="","",IFERROR(Q33/(SUMIFS(월별집계!$C33:$Z33,월별집계!$C$5:$Z$5,"&gt;="&amp;((설정!$C$6-1)*12+1),월별집계!$C$5:$Z$5,"&lt;="&amp;(설정!$C$20-12))/SUMIFS(월별집계!$C33:$Z33,월별집계!$C$5:$Z$5,"&gt;="&amp;((설정!$C$6-1)*12+1),월별집계!$C$5:$Z$5,"&lt;="&amp;((설정!$C$6-1)*12+12)))-Q33,S33))</f>
        <v/>
      </c>
      <c r="U33" s="53">
        <f>IF($A33="","",Q33+MAX(S33,T33))</f>
        <v/>
      </c>
      <c r="V33" s="49">
        <f>IF($A33="","",IF(P33=0,0,U33/P33))</f>
        <v/>
      </c>
      <c r="W33" s="28">
        <f>IF($A33="","",IF(AND(P33=0,Q33&gt;0),"무예산",IF(P33=0,"-",IF(V33&gt;설정!$C$12,"부족 예상",IF(V33&gt;설정!$C$11,"주의","여유")))))</f>
        <v/>
      </c>
      <c r="X33" s="53">
        <f>IF($A33="","",IF(P33=0,0,MAX(0,U33-P33)))</f>
        <v/>
      </c>
      <c r="Y33" s="28">
        <f>IF($A33="","",IF(OR(W33&lt;&gt;"부족 예상",설정!$C$7=12),"",IF(R33&lt;=0,"이미 초과",MIN(12,설정!$C$7+ROUNDUP(R33/(MAX(S33,T33)/(12-설정!$C$7)),0))&amp;"월")))</f>
        <v/>
      </c>
      <c r="Z33" s="22">
        <f>IF($A33="","",TRIM(IF(N(AC33)&gt;=설정!$C$14,"단건"&amp;TEXT(AC33,"0%")&amp;" ","")&amp;IF(AND(N33&gt;0,AD33&gt;0),IF(AD33/N33&gt;=설정!$C$16,"SA대체 ",""),"")&amp;IF(AE33&gt;0,"역분개"&amp;AE33&amp;"건 ","")&amp;IF(O33&gt;=설정!$C$13,"이상치 ","")&amp;IF(AND(I33=0,F33&gt;0),"신규지출 ","")))</f>
        <v/>
      </c>
      <c r="AA33" s="61">
        <f>IF($A33="","",ROUND((AF33+AG33+AH33+AI33)*IF(AND(F33&lt;설정!$C$10,N33&lt;설정!$C$10),0.3,1),1))</f>
        <v/>
      </c>
      <c r="AB33" s="50">
        <f>IF($A33="","",AA33+ROW()/1000000)</f>
        <v/>
      </c>
      <c r="AC33" s="56">
        <f>IF(OR($A33="",N33&lt;=0),"",SUMPRODUCT(MAX((전표_원본!$O$5:$O$100000=$E33)*(전표_원본!$M$5:$M$100000=설정!$C$20)*전표_원본!$P$5:$P$100000))/N33)</f>
        <v/>
      </c>
      <c r="AD33" s="29">
        <f>IF($A33="","",SUMIFS(전표_원본!$P$5:$P$100000,전표_원본!$O$5:$O$100000,$E33,전표_원본!$M$5:$M$100000,설정!$C$20,전표_원본!$E$5:$E$100000,"SA")-SUMIFS(전표_원본!$P$5:$P$100000,전표_원본!$O$5:$O$100000,$E33,전표_원본!$M$5:$M$100000,설정!$C$20-1,전표_원본!$E$5:$E$100000,"SA"))</f>
        <v/>
      </c>
      <c r="AE33" s="62">
        <f>IF($A33="","",COUNTIFS(전표_원본!$O$5:$O$100000,$E33,전표_원본!$M$5:$M$100000,설정!$C$20,전표_원본!$P$5:$P$100000,"&lt;0"))</f>
        <v/>
      </c>
      <c r="AF33" s="61">
        <f>IF($A33="","",MIN(MAX(0,N33)/(설정!$C$10*5),1)*30)</f>
        <v/>
      </c>
      <c r="AG33" s="63">
        <f>IF($A33="","",MIN(MAX(0,H33,J33),1)*20)</f>
        <v/>
      </c>
      <c r="AH33" s="63">
        <f>IF($A33="","",MIN(MAX(0,O33)/3,1)*25)</f>
        <v/>
      </c>
      <c r="AI33" s="63">
        <f>IF($A33="","",IF(OR(W33="부족 예상",W33="무예산"),25,IF(W33="주의",15,0)))</f>
        <v/>
      </c>
    </row>
    <row r="34">
      <c r="A34" s="12" t="inlineStr">
        <is>
          <t>D400</t>
        </is>
      </c>
      <c r="B34" s="22">
        <f>IF($A34="","",IFERROR(INDEX(부서매핑!$D$5:$D$504,MATCH($A34,부서매핑!$C$5:$C$504,0)),"부서매핑 없음"))</f>
        <v/>
      </c>
      <c r="C34" s="59" t="inlineStr">
        <is>
          <t>62301000</t>
        </is>
      </c>
      <c r="D34" s="22">
        <f>IF($A34="","",IFERROR(INDEX(계정매핑!$B$5:$B$504,MATCH($C34&amp;"",계정매핑!$A$5:$A$504,0)),"계정매핑 없음"))</f>
        <v/>
      </c>
      <c r="E34" s="21">
        <f>IF($A34="","",$A34&amp;"|"&amp;$C34)</f>
        <v/>
      </c>
      <c r="F34" s="29">
        <f>IF($A34="","",월별집계!$Z34)</f>
        <v/>
      </c>
      <c r="G34" s="29">
        <f>IF($A34="","",월별집계!$Y34)</f>
        <v/>
      </c>
      <c r="H34" s="60">
        <f>IF($A34="","",IF(G34&lt;=0,IF(F34&gt;0,1,0),F34/G34-1))</f>
        <v/>
      </c>
      <c r="I34" s="29">
        <f>IF($A34="","",월별집계!$N34)</f>
        <v/>
      </c>
      <c r="J34" s="60">
        <f>IF($A34="","",IF(I34&lt;=0,IF(F34&gt;0,1,0),F34/I34-1))</f>
        <v/>
      </c>
      <c r="K34" s="29">
        <f>IF($A34="","",SUMIFS(월별집계!$C34:$Z34,월별집계!$C$5:$Z$5,"&gt;="&amp;설정!$C$22,월별집계!$C$5:$Z$5,"&lt;="&amp;설정!$C$20))</f>
        <v/>
      </c>
      <c r="L34" s="29">
        <f>IF($A34="","",SUMIFS(월별집계!$C34:$Z34,월별집계!$C$5:$Z$5,"&gt;="&amp;(설정!$C$22-3),월별집계!$C$5:$Z$5,"&lt;="&amp;(설정!$C$20-3)))</f>
        <v/>
      </c>
      <c r="M34" s="60">
        <f>IF($A34="","",IF(L34&lt;=0,IF(K34&gt;0,1,0),K34/L34-1))</f>
        <v/>
      </c>
      <c r="N34" s="53">
        <f>IF($A34="","",MAX(F34-G34,F34-I34))</f>
        <v/>
      </c>
      <c r="O34" s="61">
        <f>IF($A34="","",IFERROR((월별집계!$Z34-AVERAGE(월별집계!N34:Y34))/STDEV(월별집계!N34:Y34),0))</f>
        <v/>
      </c>
      <c r="P34" s="29">
        <f>IF($A34="","",SUMIFS(예산판_원본!$O$5:$O$5000,예산판_원본!$L$5:$L$5000,$E34,예산판_원본!$M$5:$M$5000,설정!$C$6))</f>
        <v/>
      </c>
      <c r="Q34" s="29">
        <f>IF($A34="","",SUMIFS(월별집계!$C34:$Z34,월별집계!$C$5:$Z$5,"&gt;="&amp;(설정!$C$6*12+1),월별집계!$C$5:$Z$5,"&lt;="&amp;설정!$C$20))</f>
        <v/>
      </c>
      <c r="R34" s="53">
        <f>IF($A34="","",P34-Q34)</f>
        <v/>
      </c>
      <c r="S34" s="29">
        <f>IF($A34="","",AVERAGE(월별집계!X34:Z34)*(12-설정!$C$7))</f>
        <v/>
      </c>
      <c r="T34" s="29">
        <f>IF($A34="","",IFERROR(Q34/(SUMIFS(월별집계!$C34:$Z34,월별집계!$C$5:$Z$5,"&gt;="&amp;((설정!$C$6-1)*12+1),월별집계!$C$5:$Z$5,"&lt;="&amp;(설정!$C$20-12))/SUMIFS(월별집계!$C34:$Z34,월별집계!$C$5:$Z$5,"&gt;="&amp;((설정!$C$6-1)*12+1),월별집계!$C$5:$Z$5,"&lt;="&amp;((설정!$C$6-1)*12+12)))-Q34,S34))</f>
        <v/>
      </c>
      <c r="U34" s="53">
        <f>IF($A34="","",Q34+MAX(S34,T34))</f>
        <v/>
      </c>
      <c r="V34" s="49">
        <f>IF($A34="","",IF(P34=0,0,U34/P34))</f>
        <v/>
      </c>
      <c r="W34" s="28">
        <f>IF($A34="","",IF(AND(P34=0,Q34&gt;0),"무예산",IF(P34=0,"-",IF(V34&gt;설정!$C$12,"부족 예상",IF(V34&gt;설정!$C$11,"주의","여유")))))</f>
        <v/>
      </c>
      <c r="X34" s="53">
        <f>IF($A34="","",IF(P34=0,0,MAX(0,U34-P34)))</f>
        <v/>
      </c>
      <c r="Y34" s="28">
        <f>IF($A34="","",IF(OR(W34&lt;&gt;"부족 예상",설정!$C$7=12),"",IF(R34&lt;=0,"이미 초과",MIN(12,설정!$C$7+ROUNDUP(R34/(MAX(S34,T34)/(12-설정!$C$7)),0))&amp;"월")))</f>
        <v/>
      </c>
      <c r="Z34" s="22">
        <f>IF($A34="","",TRIM(IF(N(AC34)&gt;=설정!$C$14,"단건"&amp;TEXT(AC34,"0%")&amp;" ","")&amp;IF(AND(N34&gt;0,AD34&gt;0),IF(AD34/N34&gt;=설정!$C$16,"SA대체 ",""),"")&amp;IF(AE34&gt;0,"역분개"&amp;AE34&amp;"건 ","")&amp;IF(O34&gt;=설정!$C$13,"이상치 ","")&amp;IF(AND(I34=0,F34&gt;0),"신규지출 ","")))</f>
        <v/>
      </c>
      <c r="AA34" s="61">
        <f>IF($A34="","",ROUND((AF34+AG34+AH34+AI34)*IF(AND(F34&lt;설정!$C$10,N34&lt;설정!$C$10),0.3,1),1))</f>
        <v/>
      </c>
      <c r="AB34" s="50">
        <f>IF($A34="","",AA34+ROW()/1000000)</f>
        <v/>
      </c>
      <c r="AC34" s="56">
        <f>IF(OR($A34="",N34&lt;=0),"",SUMPRODUCT(MAX((전표_원본!$O$5:$O$100000=$E34)*(전표_원본!$M$5:$M$100000=설정!$C$20)*전표_원본!$P$5:$P$100000))/N34)</f>
        <v/>
      </c>
      <c r="AD34" s="29">
        <f>IF($A34="","",SUMIFS(전표_원본!$P$5:$P$100000,전표_원본!$O$5:$O$100000,$E34,전표_원본!$M$5:$M$100000,설정!$C$20,전표_원본!$E$5:$E$100000,"SA")-SUMIFS(전표_원본!$P$5:$P$100000,전표_원본!$O$5:$O$100000,$E34,전표_원본!$M$5:$M$100000,설정!$C$20-1,전표_원본!$E$5:$E$100000,"SA"))</f>
        <v/>
      </c>
      <c r="AE34" s="62">
        <f>IF($A34="","",COUNTIFS(전표_원본!$O$5:$O$100000,$E34,전표_원본!$M$5:$M$100000,설정!$C$20,전표_원본!$P$5:$P$100000,"&lt;0"))</f>
        <v/>
      </c>
      <c r="AF34" s="61">
        <f>IF($A34="","",MIN(MAX(0,N34)/(설정!$C$10*5),1)*30)</f>
        <v/>
      </c>
      <c r="AG34" s="63">
        <f>IF($A34="","",MIN(MAX(0,H34,J34),1)*20)</f>
        <v/>
      </c>
      <c r="AH34" s="63">
        <f>IF($A34="","",MIN(MAX(0,O34)/3,1)*25)</f>
        <v/>
      </c>
      <c r="AI34" s="63">
        <f>IF($A34="","",IF(OR(W34="부족 예상",W34="무예산"),25,IF(W34="주의",15,0)))</f>
        <v/>
      </c>
    </row>
    <row r="35">
      <c r="A35" s="12" t="inlineStr">
        <is>
          <t>D400</t>
        </is>
      </c>
      <c r="B35" s="22">
        <f>IF($A35="","",IFERROR(INDEX(부서매핑!$D$5:$D$504,MATCH($A35,부서매핑!$C$5:$C$504,0)),"부서매핑 없음"))</f>
        <v/>
      </c>
      <c r="C35" s="59" t="inlineStr">
        <is>
          <t>62401000</t>
        </is>
      </c>
      <c r="D35" s="22">
        <f>IF($A35="","",IFERROR(INDEX(계정매핑!$B$5:$B$504,MATCH($C35&amp;"",계정매핑!$A$5:$A$504,0)),"계정매핑 없음"))</f>
        <v/>
      </c>
      <c r="E35" s="21">
        <f>IF($A35="","",$A35&amp;"|"&amp;$C35)</f>
        <v/>
      </c>
      <c r="F35" s="29">
        <f>IF($A35="","",월별집계!$Z35)</f>
        <v/>
      </c>
      <c r="G35" s="29">
        <f>IF($A35="","",월별집계!$Y35)</f>
        <v/>
      </c>
      <c r="H35" s="60">
        <f>IF($A35="","",IF(G35&lt;=0,IF(F35&gt;0,1,0),F35/G35-1))</f>
        <v/>
      </c>
      <c r="I35" s="29">
        <f>IF($A35="","",월별집계!$N35)</f>
        <v/>
      </c>
      <c r="J35" s="60">
        <f>IF($A35="","",IF(I35&lt;=0,IF(F35&gt;0,1,0),F35/I35-1))</f>
        <v/>
      </c>
      <c r="K35" s="29">
        <f>IF($A35="","",SUMIFS(월별집계!$C35:$Z35,월별집계!$C$5:$Z$5,"&gt;="&amp;설정!$C$22,월별집계!$C$5:$Z$5,"&lt;="&amp;설정!$C$20))</f>
        <v/>
      </c>
      <c r="L35" s="29">
        <f>IF($A35="","",SUMIFS(월별집계!$C35:$Z35,월별집계!$C$5:$Z$5,"&gt;="&amp;(설정!$C$22-3),월별집계!$C$5:$Z$5,"&lt;="&amp;(설정!$C$20-3)))</f>
        <v/>
      </c>
      <c r="M35" s="60">
        <f>IF($A35="","",IF(L35&lt;=0,IF(K35&gt;0,1,0),K35/L35-1))</f>
        <v/>
      </c>
      <c r="N35" s="53">
        <f>IF($A35="","",MAX(F35-G35,F35-I35))</f>
        <v/>
      </c>
      <c r="O35" s="61">
        <f>IF($A35="","",IFERROR((월별집계!$Z35-AVERAGE(월별집계!N35:Y35))/STDEV(월별집계!N35:Y35),0))</f>
        <v/>
      </c>
      <c r="P35" s="29">
        <f>IF($A35="","",SUMIFS(예산판_원본!$O$5:$O$5000,예산판_원본!$L$5:$L$5000,$E35,예산판_원본!$M$5:$M$5000,설정!$C$6))</f>
        <v/>
      </c>
      <c r="Q35" s="29">
        <f>IF($A35="","",SUMIFS(월별집계!$C35:$Z35,월별집계!$C$5:$Z$5,"&gt;="&amp;(설정!$C$6*12+1),월별집계!$C$5:$Z$5,"&lt;="&amp;설정!$C$20))</f>
        <v/>
      </c>
      <c r="R35" s="53">
        <f>IF($A35="","",P35-Q35)</f>
        <v/>
      </c>
      <c r="S35" s="29">
        <f>IF($A35="","",AVERAGE(월별집계!X35:Z35)*(12-설정!$C$7))</f>
        <v/>
      </c>
      <c r="T35" s="29">
        <f>IF($A35="","",IFERROR(Q35/(SUMIFS(월별집계!$C35:$Z35,월별집계!$C$5:$Z$5,"&gt;="&amp;((설정!$C$6-1)*12+1),월별집계!$C$5:$Z$5,"&lt;="&amp;(설정!$C$20-12))/SUMIFS(월별집계!$C35:$Z35,월별집계!$C$5:$Z$5,"&gt;="&amp;((설정!$C$6-1)*12+1),월별집계!$C$5:$Z$5,"&lt;="&amp;((설정!$C$6-1)*12+12)))-Q35,S35))</f>
        <v/>
      </c>
      <c r="U35" s="53">
        <f>IF($A35="","",Q35+MAX(S35,T35))</f>
        <v/>
      </c>
      <c r="V35" s="49">
        <f>IF($A35="","",IF(P35=0,0,U35/P35))</f>
        <v/>
      </c>
      <c r="W35" s="28">
        <f>IF($A35="","",IF(AND(P35=0,Q35&gt;0),"무예산",IF(P35=0,"-",IF(V35&gt;설정!$C$12,"부족 예상",IF(V35&gt;설정!$C$11,"주의","여유")))))</f>
        <v/>
      </c>
      <c r="X35" s="53">
        <f>IF($A35="","",IF(P35=0,0,MAX(0,U35-P35)))</f>
        <v/>
      </c>
      <c r="Y35" s="28">
        <f>IF($A35="","",IF(OR(W35&lt;&gt;"부족 예상",설정!$C$7=12),"",IF(R35&lt;=0,"이미 초과",MIN(12,설정!$C$7+ROUNDUP(R35/(MAX(S35,T35)/(12-설정!$C$7)),0))&amp;"월")))</f>
        <v/>
      </c>
      <c r="Z35" s="22">
        <f>IF($A35="","",TRIM(IF(N(AC35)&gt;=설정!$C$14,"단건"&amp;TEXT(AC35,"0%")&amp;" ","")&amp;IF(AND(N35&gt;0,AD35&gt;0),IF(AD35/N35&gt;=설정!$C$16,"SA대체 ",""),"")&amp;IF(AE35&gt;0,"역분개"&amp;AE35&amp;"건 ","")&amp;IF(O35&gt;=설정!$C$13,"이상치 ","")&amp;IF(AND(I35=0,F35&gt;0),"신규지출 ","")))</f>
        <v/>
      </c>
      <c r="AA35" s="61">
        <f>IF($A35="","",ROUND((AF35+AG35+AH35+AI35)*IF(AND(F35&lt;설정!$C$10,N35&lt;설정!$C$10),0.3,1),1))</f>
        <v/>
      </c>
      <c r="AB35" s="50">
        <f>IF($A35="","",AA35+ROW()/1000000)</f>
        <v/>
      </c>
      <c r="AC35" s="56">
        <f>IF(OR($A35="",N35&lt;=0),"",SUMPRODUCT(MAX((전표_원본!$O$5:$O$100000=$E35)*(전표_원본!$M$5:$M$100000=설정!$C$20)*전표_원본!$P$5:$P$100000))/N35)</f>
        <v/>
      </c>
      <c r="AD35" s="29">
        <f>IF($A35="","",SUMIFS(전표_원본!$P$5:$P$100000,전표_원본!$O$5:$O$100000,$E35,전표_원본!$M$5:$M$100000,설정!$C$20,전표_원본!$E$5:$E$100000,"SA")-SUMIFS(전표_원본!$P$5:$P$100000,전표_원본!$O$5:$O$100000,$E35,전표_원본!$M$5:$M$100000,설정!$C$20-1,전표_원본!$E$5:$E$100000,"SA"))</f>
        <v/>
      </c>
      <c r="AE35" s="62">
        <f>IF($A35="","",COUNTIFS(전표_원본!$O$5:$O$100000,$E35,전표_원본!$M$5:$M$100000,설정!$C$20,전표_원본!$P$5:$P$100000,"&lt;0"))</f>
        <v/>
      </c>
      <c r="AF35" s="61">
        <f>IF($A35="","",MIN(MAX(0,N35)/(설정!$C$10*5),1)*30)</f>
        <v/>
      </c>
      <c r="AG35" s="63">
        <f>IF($A35="","",MIN(MAX(0,H35,J35),1)*20)</f>
        <v/>
      </c>
      <c r="AH35" s="63">
        <f>IF($A35="","",MIN(MAX(0,O35)/3,1)*25)</f>
        <v/>
      </c>
      <c r="AI35" s="63">
        <f>IF($A35="","",IF(OR(W35="부족 예상",W35="무예산"),25,IF(W35="주의",15,0)))</f>
        <v/>
      </c>
    </row>
    <row r="36">
      <c r="A36" s="12" t="inlineStr">
        <is>
          <t>D400</t>
        </is>
      </c>
      <c r="B36" s="22">
        <f>IF($A36="","",IFERROR(INDEX(부서매핑!$D$5:$D$504,MATCH($A36,부서매핑!$C$5:$C$504,0)),"부서매핑 없음"))</f>
        <v/>
      </c>
      <c r="C36" s="59" t="inlineStr">
        <is>
          <t>62501000</t>
        </is>
      </c>
      <c r="D36" s="22">
        <f>IF($A36="","",IFERROR(INDEX(계정매핑!$B$5:$B$504,MATCH($C36&amp;"",계정매핑!$A$5:$A$504,0)),"계정매핑 없음"))</f>
        <v/>
      </c>
      <c r="E36" s="21">
        <f>IF($A36="","",$A36&amp;"|"&amp;$C36)</f>
        <v/>
      </c>
      <c r="F36" s="29">
        <f>IF($A36="","",월별집계!$Z36)</f>
        <v/>
      </c>
      <c r="G36" s="29">
        <f>IF($A36="","",월별집계!$Y36)</f>
        <v/>
      </c>
      <c r="H36" s="60">
        <f>IF($A36="","",IF(G36&lt;=0,IF(F36&gt;0,1,0),F36/G36-1))</f>
        <v/>
      </c>
      <c r="I36" s="29">
        <f>IF($A36="","",월별집계!$N36)</f>
        <v/>
      </c>
      <c r="J36" s="60">
        <f>IF($A36="","",IF(I36&lt;=0,IF(F36&gt;0,1,0),F36/I36-1))</f>
        <v/>
      </c>
      <c r="K36" s="29">
        <f>IF($A36="","",SUMIFS(월별집계!$C36:$Z36,월별집계!$C$5:$Z$5,"&gt;="&amp;설정!$C$22,월별집계!$C$5:$Z$5,"&lt;="&amp;설정!$C$20))</f>
        <v/>
      </c>
      <c r="L36" s="29">
        <f>IF($A36="","",SUMIFS(월별집계!$C36:$Z36,월별집계!$C$5:$Z$5,"&gt;="&amp;(설정!$C$22-3),월별집계!$C$5:$Z$5,"&lt;="&amp;(설정!$C$20-3)))</f>
        <v/>
      </c>
      <c r="M36" s="60">
        <f>IF($A36="","",IF(L36&lt;=0,IF(K36&gt;0,1,0),K36/L36-1))</f>
        <v/>
      </c>
      <c r="N36" s="53">
        <f>IF($A36="","",MAX(F36-G36,F36-I36))</f>
        <v/>
      </c>
      <c r="O36" s="61">
        <f>IF($A36="","",IFERROR((월별집계!$Z36-AVERAGE(월별집계!N36:Y36))/STDEV(월별집계!N36:Y36),0))</f>
        <v/>
      </c>
      <c r="P36" s="29">
        <f>IF($A36="","",SUMIFS(예산판_원본!$O$5:$O$5000,예산판_원본!$L$5:$L$5000,$E36,예산판_원본!$M$5:$M$5000,설정!$C$6))</f>
        <v/>
      </c>
      <c r="Q36" s="29">
        <f>IF($A36="","",SUMIFS(월별집계!$C36:$Z36,월별집계!$C$5:$Z$5,"&gt;="&amp;(설정!$C$6*12+1),월별집계!$C$5:$Z$5,"&lt;="&amp;설정!$C$20))</f>
        <v/>
      </c>
      <c r="R36" s="53">
        <f>IF($A36="","",P36-Q36)</f>
        <v/>
      </c>
      <c r="S36" s="29">
        <f>IF($A36="","",AVERAGE(월별집계!X36:Z36)*(12-설정!$C$7))</f>
        <v/>
      </c>
      <c r="T36" s="29">
        <f>IF($A36="","",IFERROR(Q36/(SUMIFS(월별집계!$C36:$Z36,월별집계!$C$5:$Z$5,"&gt;="&amp;((설정!$C$6-1)*12+1),월별집계!$C$5:$Z$5,"&lt;="&amp;(설정!$C$20-12))/SUMIFS(월별집계!$C36:$Z36,월별집계!$C$5:$Z$5,"&gt;="&amp;((설정!$C$6-1)*12+1),월별집계!$C$5:$Z$5,"&lt;="&amp;((설정!$C$6-1)*12+12)))-Q36,S36))</f>
        <v/>
      </c>
      <c r="U36" s="53">
        <f>IF($A36="","",Q36+MAX(S36,T36))</f>
        <v/>
      </c>
      <c r="V36" s="49">
        <f>IF($A36="","",IF(P36=0,0,U36/P36))</f>
        <v/>
      </c>
      <c r="W36" s="28">
        <f>IF($A36="","",IF(AND(P36=0,Q36&gt;0),"무예산",IF(P36=0,"-",IF(V36&gt;설정!$C$12,"부족 예상",IF(V36&gt;설정!$C$11,"주의","여유")))))</f>
        <v/>
      </c>
      <c r="X36" s="53">
        <f>IF($A36="","",IF(P36=0,0,MAX(0,U36-P36)))</f>
        <v/>
      </c>
      <c r="Y36" s="28">
        <f>IF($A36="","",IF(OR(W36&lt;&gt;"부족 예상",설정!$C$7=12),"",IF(R36&lt;=0,"이미 초과",MIN(12,설정!$C$7+ROUNDUP(R36/(MAX(S36,T36)/(12-설정!$C$7)),0))&amp;"월")))</f>
        <v/>
      </c>
      <c r="Z36" s="22">
        <f>IF($A36="","",TRIM(IF(N(AC36)&gt;=설정!$C$14,"단건"&amp;TEXT(AC36,"0%")&amp;" ","")&amp;IF(AND(N36&gt;0,AD36&gt;0),IF(AD36/N36&gt;=설정!$C$16,"SA대체 ",""),"")&amp;IF(AE36&gt;0,"역분개"&amp;AE36&amp;"건 ","")&amp;IF(O36&gt;=설정!$C$13,"이상치 ","")&amp;IF(AND(I36=0,F36&gt;0),"신규지출 ","")))</f>
        <v/>
      </c>
      <c r="AA36" s="61">
        <f>IF($A36="","",ROUND((AF36+AG36+AH36+AI36)*IF(AND(F36&lt;설정!$C$10,N36&lt;설정!$C$10),0.3,1),1))</f>
        <v/>
      </c>
      <c r="AB36" s="50">
        <f>IF($A36="","",AA36+ROW()/1000000)</f>
        <v/>
      </c>
      <c r="AC36" s="56">
        <f>IF(OR($A36="",N36&lt;=0),"",SUMPRODUCT(MAX((전표_원본!$O$5:$O$100000=$E36)*(전표_원본!$M$5:$M$100000=설정!$C$20)*전표_원본!$P$5:$P$100000))/N36)</f>
        <v/>
      </c>
      <c r="AD36" s="29">
        <f>IF($A36="","",SUMIFS(전표_원본!$P$5:$P$100000,전표_원본!$O$5:$O$100000,$E36,전표_원본!$M$5:$M$100000,설정!$C$20,전표_원본!$E$5:$E$100000,"SA")-SUMIFS(전표_원본!$P$5:$P$100000,전표_원본!$O$5:$O$100000,$E36,전표_원본!$M$5:$M$100000,설정!$C$20-1,전표_원본!$E$5:$E$100000,"SA"))</f>
        <v/>
      </c>
      <c r="AE36" s="62">
        <f>IF($A36="","",COUNTIFS(전표_원본!$O$5:$O$100000,$E36,전표_원본!$M$5:$M$100000,설정!$C$20,전표_원본!$P$5:$P$100000,"&lt;0"))</f>
        <v/>
      </c>
      <c r="AF36" s="61">
        <f>IF($A36="","",MIN(MAX(0,N36)/(설정!$C$10*5),1)*30)</f>
        <v/>
      </c>
      <c r="AG36" s="63">
        <f>IF($A36="","",MIN(MAX(0,H36,J36),1)*20)</f>
        <v/>
      </c>
      <c r="AH36" s="63">
        <f>IF($A36="","",MIN(MAX(0,O36)/3,1)*25)</f>
        <v/>
      </c>
      <c r="AI36" s="63">
        <f>IF($A36="","",IF(OR(W36="부족 예상",W36="무예산"),25,IF(W36="주의",15,0)))</f>
        <v/>
      </c>
    </row>
    <row r="37">
      <c r="A37" s="12" t="inlineStr">
        <is>
          <t>D400</t>
        </is>
      </c>
      <c r="B37" s="22">
        <f>IF($A37="","",IFERROR(INDEX(부서매핑!$D$5:$D$504,MATCH($A37,부서매핑!$C$5:$C$504,0)),"부서매핑 없음"))</f>
        <v/>
      </c>
      <c r="C37" s="59" t="inlineStr">
        <is>
          <t>62901000</t>
        </is>
      </c>
      <c r="D37" s="22">
        <f>IF($A37="","",IFERROR(INDEX(계정매핑!$B$5:$B$504,MATCH($C37&amp;"",계정매핑!$A$5:$A$504,0)),"계정매핑 없음"))</f>
        <v/>
      </c>
      <c r="E37" s="21">
        <f>IF($A37="","",$A37&amp;"|"&amp;$C37)</f>
        <v/>
      </c>
      <c r="F37" s="29">
        <f>IF($A37="","",월별집계!$Z37)</f>
        <v/>
      </c>
      <c r="G37" s="29">
        <f>IF($A37="","",월별집계!$Y37)</f>
        <v/>
      </c>
      <c r="H37" s="60">
        <f>IF($A37="","",IF(G37&lt;=0,IF(F37&gt;0,1,0),F37/G37-1))</f>
        <v/>
      </c>
      <c r="I37" s="29">
        <f>IF($A37="","",월별집계!$N37)</f>
        <v/>
      </c>
      <c r="J37" s="60">
        <f>IF($A37="","",IF(I37&lt;=0,IF(F37&gt;0,1,0),F37/I37-1))</f>
        <v/>
      </c>
      <c r="K37" s="29">
        <f>IF($A37="","",SUMIFS(월별집계!$C37:$Z37,월별집계!$C$5:$Z$5,"&gt;="&amp;설정!$C$22,월별집계!$C$5:$Z$5,"&lt;="&amp;설정!$C$20))</f>
        <v/>
      </c>
      <c r="L37" s="29">
        <f>IF($A37="","",SUMIFS(월별집계!$C37:$Z37,월별집계!$C$5:$Z$5,"&gt;="&amp;(설정!$C$22-3),월별집계!$C$5:$Z$5,"&lt;="&amp;(설정!$C$20-3)))</f>
        <v/>
      </c>
      <c r="M37" s="60">
        <f>IF($A37="","",IF(L37&lt;=0,IF(K37&gt;0,1,0),K37/L37-1))</f>
        <v/>
      </c>
      <c r="N37" s="53">
        <f>IF($A37="","",MAX(F37-G37,F37-I37))</f>
        <v/>
      </c>
      <c r="O37" s="61">
        <f>IF($A37="","",IFERROR((월별집계!$Z37-AVERAGE(월별집계!N37:Y37))/STDEV(월별집계!N37:Y37),0))</f>
        <v/>
      </c>
      <c r="P37" s="29">
        <f>IF($A37="","",SUMIFS(예산판_원본!$O$5:$O$5000,예산판_원본!$L$5:$L$5000,$E37,예산판_원본!$M$5:$M$5000,설정!$C$6))</f>
        <v/>
      </c>
      <c r="Q37" s="29">
        <f>IF($A37="","",SUMIFS(월별집계!$C37:$Z37,월별집계!$C$5:$Z$5,"&gt;="&amp;(설정!$C$6*12+1),월별집계!$C$5:$Z$5,"&lt;="&amp;설정!$C$20))</f>
        <v/>
      </c>
      <c r="R37" s="53">
        <f>IF($A37="","",P37-Q37)</f>
        <v/>
      </c>
      <c r="S37" s="29">
        <f>IF($A37="","",AVERAGE(월별집계!X37:Z37)*(12-설정!$C$7))</f>
        <v/>
      </c>
      <c r="T37" s="29">
        <f>IF($A37="","",IFERROR(Q37/(SUMIFS(월별집계!$C37:$Z37,월별집계!$C$5:$Z$5,"&gt;="&amp;((설정!$C$6-1)*12+1),월별집계!$C$5:$Z$5,"&lt;="&amp;(설정!$C$20-12))/SUMIFS(월별집계!$C37:$Z37,월별집계!$C$5:$Z$5,"&gt;="&amp;((설정!$C$6-1)*12+1),월별집계!$C$5:$Z$5,"&lt;="&amp;((설정!$C$6-1)*12+12)))-Q37,S37))</f>
        <v/>
      </c>
      <c r="U37" s="53">
        <f>IF($A37="","",Q37+MAX(S37,T37))</f>
        <v/>
      </c>
      <c r="V37" s="49">
        <f>IF($A37="","",IF(P37=0,0,U37/P37))</f>
        <v/>
      </c>
      <c r="W37" s="28">
        <f>IF($A37="","",IF(AND(P37=0,Q37&gt;0),"무예산",IF(P37=0,"-",IF(V37&gt;설정!$C$12,"부족 예상",IF(V37&gt;설정!$C$11,"주의","여유")))))</f>
        <v/>
      </c>
      <c r="X37" s="53">
        <f>IF($A37="","",IF(P37=0,0,MAX(0,U37-P37)))</f>
        <v/>
      </c>
      <c r="Y37" s="28">
        <f>IF($A37="","",IF(OR(W37&lt;&gt;"부족 예상",설정!$C$7=12),"",IF(R37&lt;=0,"이미 초과",MIN(12,설정!$C$7+ROUNDUP(R37/(MAX(S37,T37)/(12-설정!$C$7)),0))&amp;"월")))</f>
        <v/>
      </c>
      <c r="Z37" s="22">
        <f>IF($A37="","",TRIM(IF(N(AC37)&gt;=설정!$C$14,"단건"&amp;TEXT(AC37,"0%")&amp;" ","")&amp;IF(AND(N37&gt;0,AD37&gt;0),IF(AD37/N37&gt;=설정!$C$16,"SA대체 ",""),"")&amp;IF(AE37&gt;0,"역분개"&amp;AE37&amp;"건 ","")&amp;IF(O37&gt;=설정!$C$13,"이상치 ","")&amp;IF(AND(I37=0,F37&gt;0),"신규지출 ","")))</f>
        <v/>
      </c>
      <c r="AA37" s="61">
        <f>IF($A37="","",ROUND((AF37+AG37+AH37+AI37)*IF(AND(F37&lt;설정!$C$10,N37&lt;설정!$C$10),0.3,1),1))</f>
        <v/>
      </c>
      <c r="AB37" s="50">
        <f>IF($A37="","",AA37+ROW()/1000000)</f>
        <v/>
      </c>
      <c r="AC37" s="56">
        <f>IF(OR($A37="",N37&lt;=0),"",SUMPRODUCT(MAX((전표_원본!$O$5:$O$100000=$E37)*(전표_원본!$M$5:$M$100000=설정!$C$20)*전표_원본!$P$5:$P$100000))/N37)</f>
        <v/>
      </c>
      <c r="AD37" s="29">
        <f>IF($A37="","",SUMIFS(전표_원본!$P$5:$P$100000,전표_원본!$O$5:$O$100000,$E37,전표_원본!$M$5:$M$100000,설정!$C$20,전표_원본!$E$5:$E$100000,"SA")-SUMIFS(전표_원본!$P$5:$P$100000,전표_원본!$O$5:$O$100000,$E37,전표_원본!$M$5:$M$100000,설정!$C$20-1,전표_원본!$E$5:$E$100000,"SA"))</f>
        <v/>
      </c>
      <c r="AE37" s="62">
        <f>IF($A37="","",COUNTIFS(전표_원본!$O$5:$O$100000,$E37,전표_원본!$M$5:$M$100000,설정!$C$20,전표_원본!$P$5:$P$100000,"&lt;0"))</f>
        <v/>
      </c>
      <c r="AF37" s="61">
        <f>IF($A37="","",MIN(MAX(0,N37)/(설정!$C$10*5),1)*30)</f>
        <v/>
      </c>
      <c r="AG37" s="63">
        <f>IF($A37="","",MIN(MAX(0,H37,J37),1)*20)</f>
        <v/>
      </c>
      <c r="AH37" s="63">
        <f>IF($A37="","",MIN(MAX(0,O37)/3,1)*25)</f>
        <v/>
      </c>
      <c r="AI37" s="63">
        <f>IF($A37="","",IF(OR(W37="부족 예상",W37="무예산"),25,IF(W37="주의",15,0)))</f>
        <v/>
      </c>
    </row>
    <row r="38">
      <c r="A38" s="12" t="inlineStr">
        <is>
          <t>D400</t>
        </is>
      </c>
      <c r="B38" s="22">
        <f>IF($A38="","",IFERROR(INDEX(부서매핑!$D$5:$D$504,MATCH($A38,부서매핑!$C$5:$C$504,0)),"부서매핑 없음"))</f>
        <v/>
      </c>
      <c r="C38" s="59" t="inlineStr">
        <is>
          <t>62902000</t>
        </is>
      </c>
      <c r="D38" s="22">
        <f>IF($A38="","",IFERROR(INDEX(계정매핑!$B$5:$B$504,MATCH($C38&amp;"",계정매핑!$A$5:$A$504,0)),"계정매핑 없음"))</f>
        <v/>
      </c>
      <c r="E38" s="21">
        <f>IF($A38="","",$A38&amp;"|"&amp;$C38)</f>
        <v/>
      </c>
      <c r="F38" s="29">
        <f>IF($A38="","",월별집계!$Z38)</f>
        <v/>
      </c>
      <c r="G38" s="29">
        <f>IF($A38="","",월별집계!$Y38)</f>
        <v/>
      </c>
      <c r="H38" s="60">
        <f>IF($A38="","",IF(G38&lt;=0,IF(F38&gt;0,1,0),F38/G38-1))</f>
        <v/>
      </c>
      <c r="I38" s="29">
        <f>IF($A38="","",월별집계!$N38)</f>
        <v/>
      </c>
      <c r="J38" s="60">
        <f>IF($A38="","",IF(I38&lt;=0,IF(F38&gt;0,1,0),F38/I38-1))</f>
        <v/>
      </c>
      <c r="K38" s="29">
        <f>IF($A38="","",SUMIFS(월별집계!$C38:$Z38,월별집계!$C$5:$Z$5,"&gt;="&amp;설정!$C$22,월별집계!$C$5:$Z$5,"&lt;="&amp;설정!$C$20))</f>
        <v/>
      </c>
      <c r="L38" s="29">
        <f>IF($A38="","",SUMIFS(월별집계!$C38:$Z38,월별집계!$C$5:$Z$5,"&gt;="&amp;(설정!$C$22-3),월별집계!$C$5:$Z$5,"&lt;="&amp;(설정!$C$20-3)))</f>
        <v/>
      </c>
      <c r="M38" s="60">
        <f>IF($A38="","",IF(L38&lt;=0,IF(K38&gt;0,1,0),K38/L38-1))</f>
        <v/>
      </c>
      <c r="N38" s="53">
        <f>IF($A38="","",MAX(F38-G38,F38-I38))</f>
        <v/>
      </c>
      <c r="O38" s="61">
        <f>IF($A38="","",IFERROR((월별집계!$Z38-AVERAGE(월별집계!N38:Y38))/STDEV(월별집계!N38:Y38),0))</f>
        <v/>
      </c>
      <c r="P38" s="29">
        <f>IF($A38="","",SUMIFS(예산판_원본!$O$5:$O$5000,예산판_원본!$L$5:$L$5000,$E38,예산판_원본!$M$5:$M$5000,설정!$C$6))</f>
        <v/>
      </c>
      <c r="Q38" s="29">
        <f>IF($A38="","",SUMIFS(월별집계!$C38:$Z38,월별집계!$C$5:$Z$5,"&gt;="&amp;(설정!$C$6*12+1),월별집계!$C$5:$Z$5,"&lt;="&amp;설정!$C$20))</f>
        <v/>
      </c>
      <c r="R38" s="53">
        <f>IF($A38="","",P38-Q38)</f>
        <v/>
      </c>
      <c r="S38" s="29">
        <f>IF($A38="","",AVERAGE(월별집계!X38:Z38)*(12-설정!$C$7))</f>
        <v/>
      </c>
      <c r="T38" s="29">
        <f>IF($A38="","",IFERROR(Q38/(SUMIFS(월별집계!$C38:$Z38,월별집계!$C$5:$Z$5,"&gt;="&amp;((설정!$C$6-1)*12+1),월별집계!$C$5:$Z$5,"&lt;="&amp;(설정!$C$20-12))/SUMIFS(월별집계!$C38:$Z38,월별집계!$C$5:$Z$5,"&gt;="&amp;((설정!$C$6-1)*12+1),월별집계!$C$5:$Z$5,"&lt;="&amp;((설정!$C$6-1)*12+12)))-Q38,S38))</f>
        <v/>
      </c>
      <c r="U38" s="53">
        <f>IF($A38="","",Q38+MAX(S38,T38))</f>
        <v/>
      </c>
      <c r="V38" s="49">
        <f>IF($A38="","",IF(P38=0,0,U38/P38))</f>
        <v/>
      </c>
      <c r="W38" s="28">
        <f>IF($A38="","",IF(AND(P38=0,Q38&gt;0),"무예산",IF(P38=0,"-",IF(V38&gt;설정!$C$12,"부족 예상",IF(V38&gt;설정!$C$11,"주의","여유")))))</f>
        <v/>
      </c>
      <c r="X38" s="53">
        <f>IF($A38="","",IF(P38=0,0,MAX(0,U38-P38)))</f>
        <v/>
      </c>
      <c r="Y38" s="28">
        <f>IF($A38="","",IF(OR(W38&lt;&gt;"부족 예상",설정!$C$7=12),"",IF(R38&lt;=0,"이미 초과",MIN(12,설정!$C$7+ROUNDUP(R38/(MAX(S38,T38)/(12-설정!$C$7)),0))&amp;"월")))</f>
        <v/>
      </c>
      <c r="Z38" s="22">
        <f>IF($A38="","",TRIM(IF(N(AC38)&gt;=설정!$C$14,"단건"&amp;TEXT(AC38,"0%")&amp;" ","")&amp;IF(AND(N38&gt;0,AD38&gt;0),IF(AD38/N38&gt;=설정!$C$16,"SA대체 ",""),"")&amp;IF(AE38&gt;0,"역분개"&amp;AE38&amp;"건 ","")&amp;IF(O38&gt;=설정!$C$13,"이상치 ","")&amp;IF(AND(I38=0,F38&gt;0),"신규지출 ","")))</f>
        <v/>
      </c>
      <c r="AA38" s="61">
        <f>IF($A38="","",ROUND((AF38+AG38+AH38+AI38)*IF(AND(F38&lt;설정!$C$10,N38&lt;설정!$C$10),0.3,1),1))</f>
        <v/>
      </c>
      <c r="AB38" s="50">
        <f>IF($A38="","",AA38+ROW()/1000000)</f>
        <v/>
      </c>
      <c r="AC38" s="56">
        <f>IF(OR($A38="",N38&lt;=0),"",SUMPRODUCT(MAX((전표_원본!$O$5:$O$100000=$E38)*(전표_원본!$M$5:$M$100000=설정!$C$20)*전표_원본!$P$5:$P$100000))/N38)</f>
        <v/>
      </c>
      <c r="AD38" s="29">
        <f>IF($A38="","",SUMIFS(전표_원본!$P$5:$P$100000,전표_원본!$O$5:$O$100000,$E38,전표_원본!$M$5:$M$100000,설정!$C$20,전표_원본!$E$5:$E$100000,"SA")-SUMIFS(전표_원본!$P$5:$P$100000,전표_원본!$O$5:$O$100000,$E38,전표_원본!$M$5:$M$100000,설정!$C$20-1,전표_원본!$E$5:$E$100000,"SA"))</f>
        <v/>
      </c>
      <c r="AE38" s="62">
        <f>IF($A38="","",COUNTIFS(전표_원본!$O$5:$O$100000,$E38,전표_원본!$M$5:$M$100000,설정!$C$20,전표_원본!$P$5:$P$100000,"&lt;0"))</f>
        <v/>
      </c>
      <c r="AF38" s="61">
        <f>IF($A38="","",MIN(MAX(0,N38)/(설정!$C$10*5),1)*30)</f>
        <v/>
      </c>
      <c r="AG38" s="63">
        <f>IF($A38="","",MIN(MAX(0,H38,J38),1)*20)</f>
        <v/>
      </c>
      <c r="AH38" s="63">
        <f>IF($A38="","",MIN(MAX(0,O38)/3,1)*25)</f>
        <v/>
      </c>
      <c r="AI38" s="63">
        <f>IF($A38="","",IF(OR(W38="부족 예상",W38="무예산"),25,IF(W38="주의",15,0)))</f>
        <v/>
      </c>
    </row>
    <row r="39">
      <c r="A39" s="12" t="inlineStr">
        <is>
          <t>D500</t>
        </is>
      </c>
      <c r="B39" s="22">
        <f>IF($A39="","",IFERROR(INDEX(부서매핑!$D$5:$D$504,MATCH($A39,부서매핑!$C$5:$C$504,0)),"부서매핑 없음"))</f>
        <v/>
      </c>
      <c r="C39" s="59" t="inlineStr">
        <is>
          <t>62101000</t>
        </is>
      </c>
      <c r="D39" s="22">
        <f>IF($A39="","",IFERROR(INDEX(계정매핑!$B$5:$B$504,MATCH($C39&amp;"",계정매핑!$A$5:$A$504,0)),"계정매핑 없음"))</f>
        <v/>
      </c>
      <c r="E39" s="21">
        <f>IF($A39="","",$A39&amp;"|"&amp;$C39)</f>
        <v/>
      </c>
      <c r="F39" s="29">
        <f>IF($A39="","",월별집계!$Z39)</f>
        <v/>
      </c>
      <c r="G39" s="29">
        <f>IF($A39="","",월별집계!$Y39)</f>
        <v/>
      </c>
      <c r="H39" s="60">
        <f>IF($A39="","",IF(G39&lt;=0,IF(F39&gt;0,1,0),F39/G39-1))</f>
        <v/>
      </c>
      <c r="I39" s="29">
        <f>IF($A39="","",월별집계!$N39)</f>
        <v/>
      </c>
      <c r="J39" s="60">
        <f>IF($A39="","",IF(I39&lt;=0,IF(F39&gt;0,1,0),F39/I39-1))</f>
        <v/>
      </c>
      <c r="K39" s="29">
        <f>IF($A39="","",SUMIFS(월별집계!$C39:$Z39,월별집계!$C$5:$Z$5,"&gt;="&amp;설정!$C$22,월별집계!$C$5:$Z$5,"&lt;="&amp;설정!$C$20))</f>
        <v/>
      </c>
      <c r="L39" s="29">
        <f>IF($A39="","",SUMIFS(월별집계!$C39:$Z39,월별집계!$C$5:$Z$5,"&gt;="&amp;(설정!$C$22-3),월별집계!$C$5:$Z$5,"&lt;="&amp;(설정!$C$20-3)))</f>
        <v/>
      </c>
      <c r="M39" s="60">
        <f>IF($A39="","",IF(L39&lt;=0,IF(K39&gt;0,1,0),K39/L39-1))</f>
        <v/>
      </c>
      <c r="N39" s="53">
        <f>IF($A39="","",MAX(F39-G39,F39-I39))</f>
        <v/>
      </c>
      <c r="O39" s="61">
        <f>IF($A39="","",IFERROR((월별집계!$Z39-AVERAGE(월별집계!N39:Y39))/STDEV(월별집계!N39:Y39),0))</f>
        <v/>
      </c>
      <c r="P39" s="29">
        <f>IF($A39="","",SUMIFS(예산판_원본!$O$5:$O$5000,예산판_원본!$L$5:$L$5000,$E39,예산판_원본!$M$5:$M$5000,설정!$C$6))</f>
        <v/>
      </c>
      <c r="Q39" s="29">
        <f>IF($A39="","",SUMIFS(월별집계!$C39:$Z39,월별집계!$C$5:$Z$5,"&gt;="&amp;(설정!$C$6*12+1),월별집계!$C$5:$Z$5,"&lt;="&amp;설정!$C$20))</f>
        <v/>
      </c>
      <c r="R39" s="53">
        <f>IF($A39="","",P39-Q39)</f>
        <v/>
      </c>
      <c r="S39" s="29">
        <f>IF($A39="","",AVERAGE(월별집계!X39:Z39)*(12-설정!$C$7))</f>
        <v/>
      </c>
      <c r="T39" s="29">
        <f>IF($A39="","",IFERROR(Q39/(SUMIFS(월별집계!$C39:$Z39,월별집계!$C$5:$Z$5,"&gt;="&amp;((설정!$C$6-1)*12+1),월별집계!$C$5:$Z$5,"&lt;="&amp;(설정!$C$20-12))/SUMIFS(월별집계!$C39:$Z39,월별집계!$C$5:$Z$5,"&gt;="&amp;((설정!$C$6-1)*12+1),월별집계!$C$5:$Z$5,"&lt;="&amp;((설정!$C$6-1)*12+12)))-Q39,S39))</f>
        <v/>
      </c>
      <c r="U39" s="53">
        <f>IF($A39="","",Q39+MAX(S39,T39))</f>
        <v/>
      </c>
      <c r="V39" s="49">
        <f>IF($A39="","",IF(P39=0,0,U39/P39))</f>
        <v/>
      </c>
      <c r="W39" s="28">
        <f>IF($A39="","",IF(AND(P39=0,Q39&gt;0),"무예산",IF(P39=0,"-",IF(V39&gt;설정!$C$12,"부족 예상",IF(V39&gt;설정!$C$11,"주의","여유")))))</f>
        <v/>
      </c>
      <c r="X39" s="53">
        <f>IF($A39="","",IF(P39=0,0,MAX(0,U39-P39)))</f>
        <v/>
      </c>
      <c r="Y39" s="28">
        <f>IF($A39="","",IF(OR(W39&lt;&gt;"부족 예상",설정!$C$7=12),"",IF(R39&lt;=0,"이미 초과",MIN(12,설정!$C$7+ROUNDUP(R39/(MAX(S39,T39)/(12-설정!$C$7)),0))&amp;"월")))</f>
        <v/>
      </c>
      <c r="Z39" s="22">
        <f>IF($A39="","",TRIM(IF(N(AC39)&gt;=설정!$C$14,"단건"&amp;TEXT(AC39,"0%")&amp;" ","")&amp;IF(AND(N39&gt;0,AD39&gt;0),IF(AD39/N39&gt;=설정!$C$16,"SA대체 ",""),"")&amp;IF(AE39&gt;0,"역분개"&amp;AE39&amp;"건 ","")&amp;IF(O39&gt;=설정!$C$13,"이상치 ","")&amp;IF(AND(I39=0,F39&gt;0),"신규지출 ","")))</f>
        <v/>
      </c>
      <c r="AA39" s="61">
        <f>IF($A39="","",ROUND((AF39+AG39+AH39+AI39)*IF(AND(F39&lt;설정!$C$10,N39&lt;설정!$C$10),0.3,1),1))</f>
        <v/>
      </c>
      <c r="AB39" s="50">
        <f>IF($A39="","",AA39+ROW()/1000000)</f>
        <v/>
      </c>
      <c r="AC39" s="56">
        <f>IF(OR($A39="",N39&lt;=0),"",SUMPRODUCT(MAX((전표_원본!$O$5:$O$100000=$E39)*(전표_원본!$M$5:$M$100000=설정!$C$20)*전표_원본!$P$5:$P$100000))/N39)</f>
        <v/>
      </c>
      <c r="AD39" s="29">
        <f>IF($A39="","",SUMIFS(전표_원본!$P$5:$P$100000,전표_원본!$O$5:$O$100000,$E39,전표_원본!$M$5:$M$100000,설정!$C$20,전표_원본!$E$5:$E$100000,"SA")-SUMIFS(전표_원본!$P$5:$P$100000,전표_원본!$O$5:$O$100000,$E39,전표_원본!$M$5:$M$100000,설정!$C$20-1,전표_원본!$E$5:$E$100000,"SA"))</f>
        <v/>
      </c>
      <c r="AE39" s="62">
        <f>IF($A39="","",COUNTIFS(전표_원본!$O$5:$O$100000,$E39,전표_원본!$M$5:$M$100000,설정!$C$20,전표_원본!$P$5:$P$100000,"&lt;0"))</f>
        <v/>
      </c>
      <c r="AF39" s="61">
        <f>IF($A39="","",MIN(MAX(0,N39)/(설정!$C$10*5),1)*30)</f>
        <v/>
      </c>
      <c r="AG39" s="63">
        <f>IF($A39="","",MIN(MAX(0,H39,J39),1)*20)</f>
        <v/>
      </c>
      <c r="AH39" s="63">
        <f>IF($A39="","",MIN(MAX(0,O39)/3,1)*25)</f>
        <v/>
      </c>
      <c r="AI39" s="63">
        <f>IF($A39="","",IF(OR(W39="부족 예상",W39="무예산"),25,IF(W39="주의",15,0)))</f>
        <v/>
      </c>
    </row>
    <row r="40">
      <c r="A40" s="12" t="inlineStr">
        <is>
          <t>D500</t>
        </is>
      </c>
      <c r="B40" s="22">
        <f>IF($A40="","",IFERROR(INDEX(부서매핑!$D$5:$D$504,MATCH($A40,부서매핑!$C$5:$C$504,0)),"부서매핑 없음"))</f>
        <v/>
      </c>
      <c r="C40" s="59" t="inlineStr">
        <is>
          <t>62102000</t>
        </is>
      </c>
      <c r="D40" s="22">
        <f>IF($A40="","",IFERROR(INDEX(계정매핑!$B$5:$B$504,MATCH($C40&amp;"",계정매핑!$A$5:$A$504,0)),"계정매핑 없음"))</f>
        <v/>
      </c>
      <c r="E40" s="21">
        <f>IF($A40="","",$A40&amp;"|"&amp;$C40)</f>
        <v/>
      </c>
      <c r="F40" s="29">
        <f>IF($A40="","",월별집계!$Z40)</f>
        <v/>
      </c>
      <c r="G40" s="29">
        <f>IF($A40="","",월별집계!$Y40)</f>
        <v/>
      </c>
      <c r="H40" s="60">
        <f>IF($A40="","",IF(G40&lt;=0,IF(F40&gt;0,1,0),F40/G40-1))</f>
        <v/>
      </c>
      <c r="I40" s="29">
        <f>IF($A40="","",월별집계!$N40)</f>
        <v/>
      </c>
      <c r="J40" s="60">
        <f>IF($A40="","",IF(I40&lt;=0,IF(F40&gt;0,1,0),F40/I40-1))</f>
        <v/>
      </c>
      <c r="K40" s="29">
        <f>IF($A40="","",SUMIFS(월별집계!$C40:$Z40,월별집계!$C$5:$Z$5,"&gt;="&amp;설정!$C$22,월별집계!$C$5:$Z$5,"&lt;="&amp;설정!$C$20))</f>
        <v/>
      </c>
      <c r="L40" s="29">
        <f>IF($A40="","",SUMIFS(월별집계!$C40:$Z40,월별집계!$C$5:$Z$5,"&gt;="&amp;(설정!$C$22-3),월별집계!$C$5:$Z$5,"&lt;="&amp;(설정!$C$20-3)))</f>
        <v/>
      </c>
      <c r="M40" s="60">
        <f>IF($A40="","",IF(L40&lt;=0,IF(K40&gt;0,1,0),K40/L40-1))</f>
        <v/>
      </c>
      <c r="N40" s="53">
        <f>IF($A40="","",MAX(F40-G40,F40-I40))</f>
        <v/>
      </c>
      <c r="O40" s="61">
        <f>IF($A40="","",IFERROR((월별집계!$Z40-AVERAGE(월별집계!N40:Y40))/STDEV(월별집계!N40:Y40),0))</f>
        <v/>
      </c>
      <c r="P40" s="29">
        <f>IF($A40="","",SUMIFS(예산판_원본!$O$5:$O$5000,예산판_원본!$L$5:$L$5000,$E40,예산판_원본!$M$5:$M$5000,설정!$C$6))</f>
        <v/>
      </c>
      <c r="Q40" s="29">
        <f>IF($A40="","",SUMIFS(월별집계!$C40:$Z40,월별집계!$C$5:$Z$5,"&gt;="&amp;(설정!$C$6*12+1),월별집계!$C$5:$Z$5,"&lt;="&amp;설정!$C$20))</f>
        <v/>
      </c>
      <c r="R40" s="53">
        <f>IF($A40="","",P40-Q40)</f>
        <v/>
      </c>
      <c r="S40" s="29">
        <f>IF($A40="","",AVERAGE(월별집계!X40:Z40)*(12-설정!$C$7))</f>
        <v/>
      </c>
      <c r="T40" s="29">
        <f>IF($A40="","",IFERROR(Q40/(SUMIFS(월별집계!$C40:$Z40,월별집계!$C$5:$Z$5,"&gt;="&amp;((설정!$C$6-1)*12+1),월별집계!$C$5:$Z$5,"&lt;="&amp;(설정!$C$20-12))/SUMIFS(월별집계!$C40:$Z40,월별집계!$C$5:$Z$5,"&gt;="&amp;((설정!$C$6-1)*12+1),월별집계!$C$5:$Z$5,"&lt;="&amp;((설정!$C$6-1)*12+12)))-Q40,S40))</f>
        <v/>
      </c>
      <c r="U40" s="53">
        <f>IF($A40="","",Q40+MAX(S40,T40))</f>
        <v/>
      </c>
      <c r="V40" s="49">
        <f>IF($A40="","",IF(P40=0,0,U40/P40))</f>
        <v/>
      </c>
      <c r="W40" s="28">
        <f>IF($A40="","",IF(AND(P40=0,Q40&gt;0),"무예산",IF(P40=0,"-",IF(V40&gt;설정!$C$12,"부족 예상",IF(V40&gt;설정!$C$11,"주의","여유")))))</f>
        <v/>
      </c>
      <c r="X40" s="53">
        <f>IF($A40="","",IF(P40=0,0,MAX(0,U40-P40)))</f>
        <v/>
      </c>
      <c r="Y40" s="28">
        <f>IF($A40="","",IF(OR(W40&lt;&gt;"부족 예상",설정!$C$7=12),"",IF(R40&lt;=0,"이미 초과",MIN(12,설정!$C$7+ROUNDUP(R40/(MAX(S40,T40)/(12-설정!$C$7)),0))&amp;"월")))</f>
        <v/>
      </c>
      <c r="Z40" s="22">
        <f>IF($A40="","",TRIM(IF(N(AC40)&gt;=설정!$C$14,"단건"&amp;TEXT(AC40,"0%")&amp;" ","")&amp;IF(AND(N40&gt;0,AD40&gt;0),IF(AD40/N40&gt;=설정!$C$16,"SA대체 ",""),"")&amp;IF(AE40&gt;0,"역분개"&amp;AE40&amp;"건 ","")&amp;IF(O40&gt;=설정!$C$13,"이상치 ","")&amp;IF(AND(I40=0,F40&gt;0),"신규지출 ","")))</f>
        <v/>
      </c>
      <c r="AA40" s="61">
        <f>IF($A40="","",ROUND((AF40+AG40+AH40+AI40)*IF(AND(F40&lt;설정!$C$10,N40&lt;설정!$C$10),0.3,1),1))</f>
        <v/>
      </c>
      <c r="AB40" s="50">
        <f>IF($A40="","",AA40+ROW()/1000000)</f>
        <v/>
      </c>
      <c r="AC40" s="56">
        <f>IF(OR($A40="",N40&lt;=0),"",SUMPRODUCT(MAX((전표_원본!$O$5:$O$100000=$E40)*(전표_원본!$M$5:$M$100000=설정!$C$20)*전표_원본!$P$5:$P$100000))/N40)</f>
        <v/>
      </c>
      <c r="AD40" s="29">
        <f>IF($A40="","",SUMIFS(전표_원본!$P$5:$P$100000,전표_원본!$O$5:$O$100000,$E40,전표_원본!$M$5:$M$100000,설정!$C$20,전표_원본!$E$5:$E$100000,"SA")-SUMIFS(전표_원본!$P$5:$P$100000,전표_원본!$O$5:$O$100000,$E40,전표_원본!$M$5:$M$100000,설정!$C$20-1,전표_원본!$E$5:$E$100000,"SA"))</f>
        <v/>
      </c>
      <c r="AE40" s="62">
        <f>IF($A40="","",COUNTIFS(전표_원본!$O$5:$O$100000,$E40,전표_원본!$M$5:$M$100000,설정!$C$20,전표_원본!$P$5:$P$100000,"&lt;0"))</f>
        <v/>
      </c>
      <c r="AF40" s="61">
        <f>IF($A40="","",MIN(MAX(0,N40)/(설정!$C$10*5),1)*30)</f>
        <v/>
      </c>
      <c r="AG40" s="63">
        <f>IF($A40="","",MIN(MAX(0,H40,J40),1)*20)</f>
        <v/>
      </c>
      <c r="AH40" s="63">
        <f>IF($A40="","",MIN(MAX(0,O40)/3,1)*25)</f>
        <v/>
      </c>
      <c r="AI40" s="63">
        <f>IF($A40="","",IF(OR(W40="부족 예상",W40="무예산"),25,IF(W40="주의",15,0)))</f>
        <v/>
      </c>
    </row>
    <row r="41">
      <c r="A41" s="12" t="inlineStr">
        <is>
          <t>D500</t>
        </is>
      </c>
      <c r="B41" s="22">
        <f>IF($A41="","",IFERROR(INDEX(부서매핑!$D$5:$D$504,MATCH($A41,부서매핑!$C$5:$C$504,0)),"부서매핑 없음"))</f>
        <v/>
      </c>
      <c r="C41" s="59" t="inlineStr">
        <is>
          <t>62201000</t>
        </is>
      </c>
      <c r="D41" s="22">
        <f>IF($A41="","",IFERROR(INDEX(계정매핑!$B$5:$B$504,MATCH($C41&amp;"",계정매핑!$A$5:$A$504,0)),"계정매핑 없음"))</f>
        <v/>
      </c>
      <c r="E41" s="21">
        <f>IF($A41="","",$A41&amp;"|"&amp;$C41)</f>
        <v/>
      </c>
      <c r="F41" s="29">
        <f>IF($A41="","",월별집계!$Z41)</f>
        <v/>
      </c>
      <c r="G41" s="29">
        <f>IF($A41="","",월별집계!$Y41)</f>
        <v/>
      </c>
      <c r="H41" s="60">
        <f>IF($A41="","",IF(G41&lt;=0,IF(F41&gt;0,1,0),F41/G41-1))</f>
        <v/>
      </c>
      <c r="I41" s="29">
        <f>IF($A41="","",월별집계!$N41)</f>
        <v/>
      </c>
      <c r="J41" s="60">
        <f>IF($A41="","",IF(I41&lt;=0,IF(F41&gt;0,1,0),F41/I41-1))</f>
        <v/>
      </c>
      <c r="K41" s="29">
        <f>IF($A41="","",SUMIFS(월별집계!$C41:$Z41,월별집계!$C$5:$Z$5,"&gt;="&amp;설정!$C$22,월별집계!$C$5:$Z$5,"&lt;="&amp;설정!$C$20))</f>
        <v/>
      </c>
      <c r="L41" s="29">
        <f>IF($A41="","",SUMIFS(월별집계!$C41:$Z41,월별집계!$C$5:$Z$5,"&gt;="&amp;(설정!$C$22-3),월별집계!$C$5:$Z$5,"&lt;="&amp;(설정!$C$20-3)))</f>
        <v/>
      </c>
      <c r="M41" s="60">
        <f>IF($A41="","",IF(L41&lt;=0,IF(K41&gt;0,1,0),K41/L41-1))</f>
        <v/>
      </c>
      <c r="N41" s="53">
        <f>IF($A41="","",MAX(F41-G41,F41-I41))</f>
        <v/>
      </c>
      <c r="O41" s="61">
        <f>IF($A41="","",IFERROR((월별집계!$Z41-AVERAGE(월별집계!N41:Y41))/STDEV(월별집계!N41:Y41),0))</f>
        <v/>
      </c>
      <c r="P41" s="29">
        <f>IF($A41="","",SUMIFS(예산판_원본!$O$5:$O$5000,예산판_원본!$L$5:$L$5000,$E41,예산판_원본!$M$5:$M$5000,설정!$C$6))</f>
        <v/>
      </c>
      <c r="Q41" s="29">
        <f>IF($A41="","",SUMIFS(월별집계!$C41:$Z41,월별집계!$C$5:$Z$5,"&gt;="&amp;(설정!$C$6*12+1),월별집계!$C$5:$Z$5,"&lt;="&amp;설정!$C$20))</f>
        <v/>
      </c>
      <c r="R41" s="53">
        <f>IF($A41="","",P41-Q41)</f>
        <v/>
      </c>
      <c r="S41" s="29">
        <f>IF($A41="","",AVERAGE(월별집계!X41:Z41)*(12-설정!$C$7))</f>
        <v/>
      </c>
      <c r="T41" s="29">
        <f>IF($A41="","",IFERROR(Q41/(SUMIFS(월별집계!$C41:$Z41,월별집계!$C$5:$Z$5,"&gt;="&amp;((설정!$C$6-1)*12+1),월별집계!$C$5:$Z$5,"&lt;="&amp;(설정!$C$20-12))/SUMIFS(월별집계!$C41:$Z41,월별집계!$C$5:$Z$5,"&gt;="&amp;((설정!$C$6-1)*12+1),월별집계!$C$5:$Z$5,"&lt;="&amp;((설정!$C$6-1)*12+12)))-Q41,S41))</f>
        <v/>
      </c>
      <c r="U41" s="53">
        <f>IF($A41="","",Q41+MAX(S41,T41))</f>
        <v/>
      </c>
      <c r="V41" s="49">
        <f>IF($A41="","",IF(P41=0,0,U41/P41))</f>
        <v/>
      </c>
      <c r="W41" s="28">
        <f>IF($A41="","",IF(AND(P41=0,Q41&gt;0),"무예산",IF(P41=0,"-",IF(V41&gt;설정!$C$12,"부족 예상",IF(V41&gt;설정!$C$11,"주의","여유")))))</f>
        <v/>
      </c>
      <c r="X41" s="53">
        <f>IF($A41="","",IF(P41=0,0,MAX(0,U41-P41)))</f>
        <v/>
      </c>
      <c r="Y41" s="28">
        <f>IF($A41="","",IF(OR(W41&lt;&gt;"부족 예상",설정!$C$7=12),"",IF(R41&lt;=0,"이미 초과",MIN(12,설정!$C$7+ROUNDUP(R41/(MAX(S41,T41)/(12-설정!$C$7)),0))&amp;"월")))</f>
        <v/>
      </c>
      <c r="Z41" s="22">
        <f>IF($A41="","",TRIM(IF(N(AC41)&gt;=설정!$C$14,"단건"&amp;TEXT(AC41,"0%")&amp;" ","")&amp;IF(AND(N41&gt;0,AD41&gt;0),IF(AD41/N41&gt;=설정!$C$16,"SA대체 ",""),"")&amp;IF(AE41&gt;0,"역분개"&amp;AE41&amp;"건 ","")&amp;IF(O41&gt;=설정!$C$13,"이상치 ","")&amp;IF(AND(I41=0,F41&gt;0),"신규지출 ","")))</f>
        <v/>
      </c>
      <c r="AA41" s="61">
        <f>IF($A41="","",ROUND((AF41+AG41+AH41+AI41)*IF(AND(F41&lt;설정!$C$10,N41&lt;설정!$C$10),0.3,1),1))</f>
        <v/>
      </c>
      <c r="AB41" s="50">
        <f>IF($A41="","",AA41+ROW()/1000000)</f>
        <v/>
      </c>
      <c r="AC41" s="56">
        <f>IF(OR($A41="",N41&lt;=0),"",SUMPRODUCT(MAX((전표_원본!$O$5:$O$100000=$E41)*(전표_원본!$M$5:$M$100000=설정!$C$20)*전표_원본!$P$5:$P$100000))/N41)</f>
        <v/>
      </c>
      <c r="AD41" s="29">
        <f>IF($A41="","",SUMIFS(전표_원본!$P$5:$P$100000,전표_원본!$O$5:$O$100000,$E41,전표_원본!$M$5:$M$100000,설정!$C$20,전표_원본!$E$5:$E$100000,"SA")-SUMIFS(전표_원본!$P$5:$P$100000,전표_원본!$O$5:$O$100000,$E41,전표_원본!$M$5:$M$100000,설정!$C$20-1,전표_원본!$E$5:$E$100000,"SA"))</f>
        <v/>
      </c>
      <c r="AE41" s="62">
        <f>IF($A41="","",COUNTIFS(전표_원본!$O$5:$O$100000,$E41,전표_원본!$M$5:$M$100000,설정!$C$20,전표_원본!$P$5:$P$100000,"&lt;0"))</f>
        <v/>
      </c>
      <c r="AF41" s="61">
        <f>IF($A41="","",MIN(MAX(0,N41)/(설정!$C$10*5),1)*30)</f>
        <v/>
      </c>
      <c r="AG41" s="63">
        <f>IF($A41="","",MIN(MAX(0,H41,J41),1)*20)</f>
        <v/>
      </c>
      <c r="AH41" s="63">
        <f>IF($A41="","",MIN(MAX(0,O41)/3,1)*25)</f>
        <v/>
      </c>
      <c r="AI41" s="63">
        <f>IF($A41="","",IF(OR(W41="부족 예상",W41="무예산"),25,IF(W41="주의",15,0)))</f>
        <v/>
      </c>
    </row>
    <row r="42">
      <c r="A42" s="12" t="inlineStr">
        <is>
          <t>D500</t>
        </is>
      </c>
      <c r="B42" s="22">
        <f>IF($A42="","",IFERROR(INDEX(부서매핑!$D$5:$D$504,MATCH($A42,부서매핑!$C$5:$C$504,0)),"부서매핑 없음"))</f>
        <v/>
      </c>
      <c r="C42" s="59" t="inlineStr">
        <is>
          <t>62301000</t>
        </is>
      </c>
      <c r="D42" s="22">
        <f>IF($A42="","",IFERROR(INDEX(계정매핑!$B$5:$B$504,MATCH($C42&amp;"",계정매핑!$A$5:$A$504,0)),"계정매핑 없음"))</f>
        <v/>
      </c>
      <c r="E42" s="21">
        <f>IF($A42="","",$A42&amp;"|"&amp;$C42)</f>
        <v/>
      </c>
      <c r="F42" s="29">
        <f>IF($A42="","",월별집계!$Z42)</f>
        <v/>
      </c>
      <c r="G42" s="29">
        <f>IF($A42="","",월별집계!$Y42)</f>
        <v/>
      </c>
      <c r="H42" s="60">
        <f>IF($A42="","",IF(G42&lt;=0,IF(F42&gt;0,1,0),F42/G42-1))</f>
        <v/>
      </c>
      <c r="I42" s="29">
        <f>IF($A42="","",월별집계!$N42)</f>
        <v/>
      </c>
      <c r="J42" s="60">
        <f>IF($A42="","",IF(I42&lt;=0,IF(F42&gt;0,1,0),F42/I42-1))</f>
        <v/>
      </c>
      <c r="K42" s="29">
        <f>IF($A42="","",SUMIFS(월별집계!$C42:$Z42,월별집계!$C$5:$Z$5,"&gt;="&amp;설정!$C$22,월별집계!$C$5:$Z$5,"&lt;="&amp;설정!$C$20))</f>
        <v/>
      </c>
      <c r="L42" s="29">
        <f>IF($A42="","",SUMIFS(월별집계!$C42:$Z42,월별집계!$C$5:$Z$5,"&gt;="&amp;(설정!$C$22-3),월별집계!$C$5:$Z$5,"&lt;="&amp;(설정!$C$20-3)))</f>
        <v/>
      </c>
      <c r="M42" s="60">
        <f>IF($A42="","",IF(L42&lt;=0,IF(K42&gt;0,1,0),K42/L42-1))</f>
        <v/>
      </c>
      <c r="N42" s="53">
        <f>IF($A42="","",MAX(F42-G42,F42-I42))</f>
        <v/>
      </c>
      <c r="O42" s="61">
        <f>IF($A42="","",IFERROR((월별집계!$Z42-AVERAGE(월별집계!N42:Y42))/STDEV(월별집계!N42:Y42),0))</f>
        <v/>
      </c>
      <c r="P42" s="29">
        <f>IF($A42="","",SUMIFS(예산판_원본!$O$5:$O$5000,예산판_원본!$L$5:$L$5000,$E42,예산판_원본!$M$5:$M$5000,설정!$C$6))</f>
        <v/>
      </c>
      <c r="Q42" s="29">
        <f>IF($A42="","",SUMIFS(월별집계!$C42:$Z42,월별집계!$C$5:$Z$5,"&gt;="&amp;(설정!$C$6*12+1),월별집계!$C$5:$Z$5,"&lt;="&amp;설정!$C$20))</f>
        <v/>
      </c>
      <c r="R42" s="53">
        <f>IF($A42="","",P42-Q42)</f>
        <v/>
      </c>
      <c r="S42" s="29">
        <f>IF($A42="","",AVERAGE(월별집계!X42:Z42)*(12-설정!$C$7))</f>
        <v/>
      </c>
      <c r="T42" s="29">
        <f>IF($A42="","",IFERROR(Q42/(SUMIFS(월별집계!$C42:$Z42,월별집계!$C$5:$Z$5,"&gt;="&amp;((설정!$C$6-1)*12+1),월별집계!$C$5:$Z$5,"&lt;="&amp;(설정!$C$20-12))/SUMIFS(월별집계!$C42:$Z42,월별집계!$C$5:$Z$5,"&gt;="&amp;((설정!$C$6-1)*12+1),월별집계!$C$5:$Z$5,"&lt;="&amp;((설정!$C$6-1)*12+12)))-Q42,S42))</f>
        <v/>
      </c>
      <c r="U42" s="53">
        <f>IF($A42="","",Q42+MAX(S42,T42))</f>
        <v/>
      </c>
      <c r="V42" s="49">
        <f>IF($A42="","",IF(P42=0,0,U42/P42))</f>
        <v/>
      </c>
      <c r="W42" s="28">
        <f>IF($A42="","",IF(AND(P42=0,Q42&gt;0),"무예산",IF(P42=0,"-",IF(V42&gt;설정!$C$12,"부족 예상",IF(V42&gt;설정!$C$11,"주의","여유")))))</f>
        <v/>
      </c>
      <c r="X42" s="53">
        <f>IF($A42="","",IF(P42=0,0,MAX(0,U42-P42)))</f>
        <v/>
      </c>
      <c r="Y42" s="28">
        <f>IF($A42="","",IF(OR(W42&lt;&gt;"부족 예상",설정!$C$7=12),"",IF(R42&lt;=0,"이미 초과",MIN(12,설정!$C$7+ROUNDUP(R42/(MAX(S42,T42)/(12-설정!$C$7)),0))&amp;"월")))</f>
        <v/>
      </c>
      <c r="Z42" s="22">
        <f>IF($A42="","",TRIM(IF(N(AC42)&gt;=설정!$C$14,"단건"&amp;TEXT(AC42,"0%")&amp;" ","")&amp;IF(AND(N42&gt;0,AD42&gt;0),IF(AD42/N42&gt;=설정!$C$16,"SA대체 ",""),"")&amp;IF(AE42&gt;0,"역분개"&amp;AE42&amp;"건 ","")&amp;IF(O42&gt;=설정!$C$13,"이상치 ","")&amp;IF(AND(I42=0,F42&gt;0),"신규지출 ","")))</f>
        <v/>
      </c>
      <c r="AA42" s="61">
        <f>IF($A42="","",ROUND((AF42+AG42+AH42+AI42)*IF(AND(F42&lt;설정!$C$10,N42&lt;설정!$C$10),0.3,1),1))</f>
        <v/>
      </c>
      <c r="AB42" s="50">
        <f>IF($A42="","",AA42+ROW()/1000000)</f>
        <v/>
      </c>
      <c r="AC42" s="56">
        <f>IF(OR($A42="",N42&lt;=0),"",SUMPRODUCT(MAX((전표_원본!$O$5:$O$100000=$E42)*(전표_원본!$M$5:$M$100000=설정!$C$20)*전표_원본!$P$5:$P$100000))/N42)</f>
        <v/>
      </c>
      <c r="AD42" s="29">
        <f>IF($A42="","",SUMIFS(전표_원본!$P$5:$P$100000,전표_원본!$O$5:$O$100000,$E42,전표_원본!$M$5:$M$100000,설정!$C$20,전표_원본!$E$5:$E$100000,"SA")-SUMIFS(전표_원본!$P$5:$P$100000,전표_원본!$O$5:$O$100000,$E42,전표_원본!$M$5:$M$100000,설정!$C$20-1,전표_원본!$E$5:$E$100000,"SA"))</f>
        <v/>
      </c>
      <c r="AE42" s="62">
        <f>IF($A42="","",COUNTIFS(전표_원본!$O$5:$O$100000,$E42,전표_원본!$M$5:$M$100000,설정!$C$20,전표_원본!$P$5:$P$100000,"&lt;0"))</f>
        <v/>
      </c>
      <c r="AF42" s="61">
        <f>IF($A42="","",MIN(MAX(0,N42)/(설정!$C$10*5),1)*30)</f>
        <v/>
      </c>
      <c r="AG42" s="63">
        <f>IF($A42="","",MIN(MAX(0,H42,J42),1)*20)</f>
        <v/>
      </c>
      <c r="AH42" s="63">
        <f>IF($A42="","",MIN(MAX(0,O42)/3,1)*25)</f>
        <v/>
      </c>
      <c r="AI42" s="63">
        <f>IF($A42="","",IF(OR(W42="부족 예상",W42="무예산"),25,IF(W42="주의",15,0)))</f>
        <v/>
      </c>
    </row>
    <row r="43">
      <c r="A43" s="12" t="inlineStr">
        <is>
          <t>D500</t>
        </is>
      </c>
      <c r="B43" s="22">
        <f>IF($A43="","",IFERROR(INDEX(부서매핑!$D$5:$D$504,MATCH($A43,부서매핑!$C$5:$C$504,0)),"부서매핑 없음"))</f>
        <v/>
      </c>
      <c r="C43" s="59" t="inlineStr">
        <is>
          <t>62401000</t>
        </is>
      </c>
      <c r="D43" s="22">
        <f>IF($A43="","",IFERROR(INDEX(계정매핑!$B$5:$B$504,MATCH($C43&amp;"",계정매핑!$A$5:$A$504,0)),"계정매핑 없음"))</f>
        <v/>
      </c>
      <c r="E43" s="21">
        <f>IF($A43="","",$A43&amp;"|"&amp;$C43)</f>
        <v/>
      </c>
      <c r="F43" s="29">
        <f>IF($A43="","",월별집계!$Z43)</f>
        <v/>
      </c>
      <c r="G43" s="29">
        <f>IF($A43="","",월별집계!$Y43)</f>
        <v/>
      </c>
      <c r="H43" s="60">
        <f>IF($A43="","",IF(G43&lt;=0,IF(F43&gt;0,1,0),F43/G43-1))</f>
        <v/>
      </c>
      <c r="I43" s="29">
        <f>IF($A43="","",월별집계!$N43)</f>
        <v/>
      </c>
      <c r="J43" s="60">
        <f>IF($A43="","",IF(I43&lt;=0,IF(F43&gt;0,1,0),F43/I43-1))</f>
        <v/>
      </c>
      <c r="K43" s="29">
        <f>IF($A43="","",SUMIFS(월별집계!$C43:$Z43,월별집계!$C$5:$Z$5,"&gt;="&amp;설정!$C$22,월별집계!$C$5:$Z$5,"&lt;="&amp;설정!$C$20))</f>
        <v/>
      </c>
      <c r="L43" s="29">
        <f>IF($A43="","",SUMIFS(월별집계!$C43:$Z43,월별집계!$C$5:$Z$5,"&gt;="&amp;(설정!$C$22-3),월별집계!$C$5:$Z$5,"&lt;="&amp;(설정!$C$20-3)))</f>
        <v/>
      </c>
      <c r="M43" s="60">
        <f>IF($A43="","",IF(L43&lt;=0,IF(K43&gt;0,1,0),K43/L43-1))</f>
        <v/>
      </c>
      <c r="N43" s="53">
        <f>IF($A43="","",MAX(F43-G43,F43-I43))</f>
        <v/>
      </c>
      <c r="O43" s="61">
        <f>IF($A43="","",IFERROR((월별집계!$Z43-AVERAGE(월별집계!N43:Y43))/STDEV(월별집계!N43:Y43),0))</f>
        <v/>
      </c>
      <c r="P43" s="29">
        <f>IF($A43="","",SUMIFS(예산판_원본!$O$5:$O$5000,예산판_원본!$L$5:$L$5000,$E43,예산판_원본!$M$5:$M$5000,설정!$C$6))</f>
        <v/>
      </c>
      <c r="Q43" s="29">
        <f>IF($A43="","",SUMIFS(월별집계!$C43:$Z43,월별집계!$C$5:$Z$5,"&gt;="&amp;(설정!$C$6*12+1),월별집계!$C$5:$Z$5,"&lt;="&amp;설정!$C$20))</f>
        <v/>
      </c>
      <c r="R43" s="53">
        <f>IF($A43="","",P43-Q43)</f>
        <v/>
      </c>
      <c r="S43" s="29">
        <f>IF($A43="","",AVERAGE(월별집계!X43:Z43)*(12-설정!$C$7))</f>
        <v/>
      </c>
      <c r="T43" s="29">
        <f>IF($A43="","",IFERROR(Q43/(SUMIFS(월별집계!$C43:$Z43,월별집계!$C$5:$Z$5,"&gt;="&amp;((설정!$C$6-1)*12+1),월별집계!$C$5:$Z$5,"&lt;="&amp;(설정!$C$20-12))/SUMIFS(월별집계!$C43:$Z43,월별집계!$C$5:$Z$5,"&gt;="&amp;((설정!$C$6-1)*12+1),월별집계!$C$5:$Z$5,"&lt;="&amp;((설정!$C$6-1)*12+12)))-Q43,S43))</f>
        <v/>
      </c>
      <c r="U43" s="53">
        <f>IF($A43="","",Q43+MAX(S43,T43))</f>
        <v/>
      </c>
      <c r="V43" s="49">
        <f>IF($A43="","",IF(P43=0,0,U43/P43))</f>
        <v/>
      </c>
      <c r="W43" s="28">
        <f>IF($A43="","",IF(AND(P43=0,Q43&gt;0),"무예산",IF(P43=0,"-",IF(V43&gt;설정!$C$12,"부족 예상",IF(V43&gt;설정!$C$11,"주의","여유")))))</f>
        <v/>
      </c>
      <c r="X43" s="53">
        <f>IF($A43="","",IF(P43=0,0,MAX(0,U43-P43)))</f>
        <v/>
      </c>
      <c r="Y43" s="28">
        <f>IF($A43="","",IF(OR(W43&lt;&gt;"부족 예상",설정!$C$7=12),"",IF(R43&lt;=0,"이미 초과",MIN(12,설정!$C$7+ROUNDUP(R43/(MAX(S43,T43)/(12-설정!$C$7)),0))&amp;"월")))</f>
        <v/>
      </c>
      <c r="Z43" s="22">
        <f>IF($A43="","",TRIM(IF(N(AC43)&gt;=설정!$C$14,"단건"&amp;TEXT(AC43,"0%")&amp;" ","")&amp;IF(AND(N43&gt;0,AD43&gt;0),IF(AD43/N43&gt;=설정!$C$16,"SA대체 ",""),"")&amp;IF(AE43&gt;0,"역분개"&amp;AE43&amp;"건 ","")&amp;IF(O43&gt;=설정!$C$13,"이상치 ","")&amp;IF(AND(I43=0,F43&gt;0),"신규지출 ","")))</f>
        <v/>
      </c>
      <c r="AA43" s="61">
        <f>IF($A43="","",ROUND((AF43+AG43+AH43+AI43)*IF(AND(F43&lt;설정!$C$10,N43&lt;설정!$C$10),0.3,1),1))</f>
        <v/>
      </c>
      <c r="AB43" s="50">
        <f>IF($A43="","",AA43+ROW()/1000000)</f>
        <v/>
      </c>
      <c r="AC43" s="56">
        <f>IF(OR($A43="",N43&lt;=0),"",SUMPRODUCT(MAX((전표_원본!$O$5:$O$100000=$E43)*(전표_원본!$M$5:$M$100000=설정!$C$20)*전표_원본!$P$5:$P$100000))/N43)</f>
        <v/>
      </c>
      <c r="AD43" s="29">
        <f>IF($A43="","",SUMIFS(전표_원본!$P$5:$P$100000,전표_원본!$O$5:$O$100000,$E43,전표_원본!$M$5:$M$100000,설정!$C$20,전표_원본!$E$5:$E$100000,"SA")-SUMIFS(전표_원본!$P$5:$P$100000,전표_원본!$O$5:$O$100000,$E43,전표_원본!$M$5:$M$100000,설정!$C$20-1,전표_원본!$E$5:$E$100000,"SA"))</f>
        <v/>
      </c>
      <c r="AE43" s="62">
        <f>IF($A43="","",COUNTIFS(전표_원본!$O$5:$O$100000,$E43,전표_원본!$M$5:$M$100000,설정!$C$20,전표_원본!$P$5:$P$100000,"&lt;0"))</f>
        <v/>
      </c>
      <c r="AF43" s="61">
        <f>IF($A43="","",MIN(MAX(0,N43)/(설정!$C$10*5),1)*30)</f>
        <v/>
      </c>
      <c r="AG43" s="63">
        <f>IF($A43="","",MIN(MAX(0,H43,J43),1)*20)</f>
        <v/>
      </c>
      <c r="AH43" s="63">
        <f>IF($A43="","",MIN(MAX(0,O43)/3,1)*25)</f>
        <v/>
      </c>
      <c r="AI43" s="63">
        <f>IF($A43="","",IF(OR(W43="부족 예상",W43="무예산"),25,IF(W43="주의",15,0)))</f>
        <v/>
      </c>
    </row>
    <row r="44">
      <c r="A44" s="12" t="inlineStr">
        <is>
          <t>D500</t>
        </is>
      </c>
      <c r="B44" s="22">
        <f>IF($A44="","",IFERROR(INDEX(부서매핑!$D$5:$D$504,MATCH($A44,부서매핑!$C$5:$C$504,0)),"부서매핑 없음"))</f>
        <v/>
      </c>
      <c r="C44" s="59" t="inlineStr">
        <is>
          <t>62501000</t>
        </is>
      </c>
      <c r="D44" s="22">
        <f>IF($A44="","",IFERROR(INDEX(계정매핑!$B$5:$B$504,MATCH($C44&amp;"",계정매핑!$A$5:$A$504,0)),"계정매핑 없음"))</f>
        <v/>
      </c>
      <c r="E44" s="21">
        <f>IF($A44="","",$A44&amp;"|"&amp;$C44)</f>
        <v/>
      </c>
      <c r="F44" s="29">
        <f>IF($A44="","",월별집계!$Z44)</f>
        <v/>
      </c>
      <c r="G44" s="29">
        <f>IF($A44="","",월별집계!$Y44)</f>
        <v/>
      </c>
      <c r="H44" s="60">
        <f>IF($A44="","",IF(G44&lt;=0,IF(F44&gt;0,1,0),F44/G44-1))</f>
        <v/>
      </c>
      <c r="I44" s="29">
        <f>IF($A44="","",월별집계!$N44)</f>
        <v/>
      </c>
      <c r="J44" s="60">
        <f>IF($A44="","",IF(I44&lt;=0,IF(F44&gt;0,1,0),F44/I44-1))</f>
        <v/>
      </c>
      <c r="K44" s="29">
        <f>IF($A44="","",SUMIFS(월별집계!$C44:$Z44,월별집계!$C$5:$Z$5,"&gt;="&amp;설정!$C$22,월별집계!$C$5:$Z$5,"&lt;="&amp;설정!$C$20))</f>
        <v/>
      </c>
      <c r="L44" s="29">
        <f>IF($A44="","",SUMIFS(월별집계!$C44:$Z44,월별집계!$C$5:$Z$5,"&gt;="&amp;(설정!$C$22-3),월별집계!$C$5:$Z$5,"&lt;="&amp;(설정!$C$20-3)))</f>
        <v/>
      </c>
      <c r="M44" s="60">
        <f>IF($A44="","",IF(L44&lt;=0,IF(K44&gt;0,1,0),K44/L44-1))</f>
        <v/>
      </c>
      <c r="N44" s="53">
        <f>IF($A44="","",MAX(F44-G44,F44-I44))</f>
        <v/>
      </c>
      <c r="O44" s="61">
        <f>IF($A44="","",IFERROR((월별집계!$Z44-AVERAGE(월별집계!N44:Y44))/STDEV(월별집계!N44:Y44),0))</f>
        <v/>
      </c>
      <c r="P44" s="29">
        <f>IF($A44="","",SUMIFS(예산판_원본!$O$5:$O$5000,예산판_원본!$L$5:$L$5000,$E44,예산판_원본!$M$5:$M$5000,설정!$C$6))</f>
        <v/>
      </c>
      <c r="Q44" s="29">
        <f>IF($A44="","",SUMIFS(월별집계!$C44:$Z44,월별집계!$C$5:$Z$5,"&gt;="&amp;(설정!$C$6*12+1),월별집계!$C$5:$Z$5,"&lt;="&amp;설정!$C$20))</f>
        <v/>
      </c>
      <c r="R44" s="53">
        <f>IF($A44="","",P44-Q44)</f>
        <v/>
      </c>
      <c r="S44" s="29">
        <f>IF($A44="","",AVERAGE(월별집계!X44:Z44)*(12-설정!$C$7))</f>
        <v/>
      </c>
      <c r="T44" s="29">
        <f>IF($A44="","",IFERROR(Q44/(SUMIFS(월별집계!$C44:$Z44,월별집계!$C$5:$Z$5,"&gt;="&amp;((설정!$C$6-1)*12+1),월별집계!$C$5:$Z$5,"&lt;="&amp;(설정!$C$20-12))/SUMIFS(월별집계!$C44:$Z44,월별집계!$C$5:$Z$5,"&gt;="&amp;((설정!$C$6-1)*12+1),월별집계!$C$5:$Z$5,"&lt;="&amp;((설정!$C$6-1)*12+12)))-Q44,S44))</f>
        <v/>
      </c>
      <c r="U44" s="53">
        <f>IF($A44="","",Q44+MAX(S44,T44))</f>
        <v/>
      </c>
      <c r="V44" s="49">
        <f>IF($A44="","",IF(P44=0,0,U44/P44))</f>
        <v/>
      </c>
      <c r="W44" s="28">
        <f>IF($A44="","",IF(AND(P44=0,Q44&gt;0),"무예산",IF(P44=0,"-",IF(V44&gt;설정!$C$12,"부족 예상",IF(V44&gt;설정!$C$11,"주의","여유")))))</f>
        <v/>
      </c>
      <c r="X44" s="53">
        <f>IF($A44="","",IF(P44=0,0,MAX(0,U44-P44)))</f>
        <v/>
      </c>
      <c r="Y44" s="28">
        <f>IF($A44="","",IF(OR(W44&lt;&gt;"부족 예상",설정!$C$7=12),"",IF(R44&lt;=0,"이미 초과",MIN(12,설정!$C$7+ROUNDUP(R44/(MAX(S44,T44)/(12-설정!$C$7)),0))&amp;"월")))</f>
        <v/>
      </c>
      <c r="Z44" s="22">
        <f>IF($A44="","",TRIM(IF(N(AC44)&gt;=설정!$C$14,"단건"&amp;TEXT(AC44,"0%")&amp;" ","")&amp;IF(AND(N44&gt;0,AD44&gt;0),IF(AD44/N44&gt;=설정!$C$16,"SA대체 ",""),"")&amp;IF(AE44&gt;0,"역분개"&amp;AE44&amp;"건 ","")&amp;IF(O44&gt;=설정!$C$13,"이상치 ","")&amp;IF(AND(I44=0,F44&gt;0),"신규지출 ","")))</f>
        <v/>
      </c>
      <c r="AA44" s="61">
        <f>IF($A44="","",ROUND((AF44+AG44+AH44+AI44)*IF(AND(F44&lt;설정!$C$10,N44&lt;설정!$C$10),0.3,1),1))</f>
        <v/>
      </c>
      <c r="AB44" s="50">
        <f>IF($A44="","",AA44+ROW()/1000000)</f>
        <v/>
      </c>
      <c r="AC44" s="56">
        <f>IF(OR($A44="",N44&lt;=0),"",SUMPRODUCT(MAX((전표_원본!$O$5:$O$100000=$E44)*(전표_원본!$M$5:$M$100000=설정!$C$20)*전표_원본!$P$5:$P$100000))/N44)</f>
        <v/>
      </c>
      <c r="AD44" s="29">
        <f>IF($A44="","",SUMIFS(전표_원본!$P$5:$P$100000,전표_원본!$O$5:$O$100000,$E44,전표_원본!$M$5:$M$100000,설정!$C$20,전표_원본!$E$5:$E$100000,"SA")-SUMIFS(전표_원본!$P$5:$P$100000,전표_원본!$O$5:$O$100000,$E44,전표_원본!$M$5:$M$100000,설정!$C$20-1,전표_원본!$E$5:$E$100000,"SA"))</f>
        <v/>
      </c>
      <c r="AE44" s="62">
        <f>IF($A44="","",COUNTIFS(전표_원본!$O$5:$O$100000,$E44,전표_원본!$M$5:$M$100000,설정!$C$20,전표_원본!$P$5:$P$100000,"&lt;0"))</f>
        <v/>
      </c>
      <c r="AF44" s="61">
        <f>IF($A44="","",MIN(MAX(0,N44)/(설정!$C$10*5),1)*30)</f>
        <v/>
      </c>
      <c r="AG44" s="63">
        <f>IF($A44="","",MIN(MAX(0,H44,J44),1)*20)</f>
        <v/>
      </c>
      <c r="AH44" s="63">
        <f>IF($A44="","",MIN(MAX(0,O44)/3,1)*25)</f>
        <v/>
      </c>
      <c r="AI44" s="63">
        <f>IF($A44="","",IF(OR(W44="부족 예상",W44="무예산"),25,IF(W44="주의",15,0)))</f>
        <v/>
      </c>
    </row>
    <row r="45">
      <c r="A45" s="12" t="inlineStr">
        <is>
          <t>D500</t>
        </is>
      </c>
      <c r="B45" s="22">
        <f>IF($A45="","",IFERROR(INDEX(부서매핑!$D$5:$D$504,MATCH($A45,부서매핑!$C$5:$C$504,0)),"부서매핑 없음"))</f>
        <v/>
      </c>
      <c r="C45" s="59" t="inlineStr">
        <is>
          <t>62601000</t>
        </is>
      </c>
      <c r="D45" s="22">
        <f>IF($A45="","",IFERROR(INDEX(계정매핑!$B$5:$B$504,MATCH($C45&amp;"",계정매핑!$A$5:$A$504,0)),"계정매핑 없음"))</f>
        <v/>
      </c>
      <c r="E45" s="21">
        <f>IF($A45="","",$A45&amp;"|"&amp;$C45)</f>
        <v/>
      </c>
      <c r="F45" s="29">
        <f>IF($A45="","",월별집계!$Z45)</f>
        <v/>
      </c>
      <c r="G45" s="29">
        <f>IF($A45="","",월별집계!$Y45)</f>
        <v/>
      </c>
      <c r="H45" s="60">
        <f>IF($A45="","",IF(G45&lt;=0,IF(F45&gt;0,1,0),F45/G45-1))</f>
        <v/>
      </c>
      <c r="I45" s="29">
        <f>IF($A45="","",월별집계!$N45)</f>
        <v/>
      </c>
      <c r="J45" s="60">
        <f>IF($A45="","",IF(I45&lt;=0,IF(F45&gt;0,1,0),F45/I45-1))</f>
        <v/>
      </c>
      <c r="K45" s="29">
        <f>IF($A45="","",SUMIFS(월별집계!$C45:$Z45,월별집계!$C$5:$Z$5,"&gt;="&amp;설정!$C$22,월별집계!$C$5:$Z$5,"&lt;="&amp;설정!$C$20))</f>
        <v/>
      </c>
      <c r="L45" s="29">
        <f>IF($A45="","",SUMIFS(월별집계!$C45:$Z45,월별집계!$C$5:$Z$5,"&gt;="&amp;(설정!$C$22-3),월별집계!$C$5:$Z$5,"&lt;="&amp;(설정!$C$20-3)))</f>
        <v/>
      </c>
      <c r="M45" s="60">
        <f>IF($A45="","",IF(L45&lt;=0,IF(K45&gt;0,1,0),K45/L45-1))</f>
        <v/>
      </c>
      <c r="N45" s="53">
        <f>IF($A45="","",MAX(F45-G45,F45-I45))</f>
        <v/>
      </c>
      <c r="O45" s="61">
        <f>IF($A45="","",IFERROR((월별집계!$Z45-AVERAGE(월별집계!N45:Y45))/STDEV(월별집계!N45:Y45),0))</f>
        <v/>
      </c>
      <c r="P45" s="29">
        <f>IF($A45="","",SUMIFS(예산판_원본!$O$5:$O$5000,예산판_원본!$L$5:$L$5000,$E45,예산판_원본!$M$5:$M$5000,설정!$C$6))</f>
        <v/>
      </c>
      <c r="Q45" s="29">
        <f>IF($A45="","",SUMIFS(월별집계!$C45:$Z45,월별집계!$C$5:$Z$5,"&gt;="&amp;(설정!$C$6*12+1),월별집계!$C$5:$Z$5,"&lt;="&amp;설정!$C$20))</f>
        <v/>
      </c>
      <c r="R45" s="53">
        <f>IF($A45="","",P45-Q45)</f>
        <v/>
      </c>
      <c r="S45" s="29">
        <f>IF($A45="","",AVERAGE(월별집계!X45:Z45)*(12-설정!$C$7))</f>
        <v/>
      </c>
      <c r="T45" s="29">
        <f>IF($A45="","",IFERROR(Q45/(SUMIFS(월별집계!$C45:$Z45,월별집계!$C$5:$Z$5,"&gt;="&amp;((설정!$C$6-1)*12+1),월별집계!$C$5:$Z$5,"&lt;="&amp;(설정!$C$20-12))/SUMIFS(월별집계!$C45:$Z45,월별집계!$C$5:$Z$5,"&gt;="&amp;((설정!$C$6-1)*12+1),월별집계!$C$5:$Z$5,"&lt;="&amp;((설정!$C$6-1)*12+12)))-Q45,S45))</f>
        <v/>
      </c>
      <c r="U45" s="53">
        <f>IF($A45="","",Q45+MAX(S45,T45))</f>
        <v/>
      </c>
      <c r="V45" s="49">
        <f>IF($A45="","",IF(P45=0,0,U45/P45))</f>
        <v/>
      </c>
      <c r="W45" s="28">
        <f>IF($A45="","",IF(AND(P45=0,Q45&gt;0),"무예산",IF(P45=0,"-",IF(V45&gt;설정!$C$12,"부족 예상",IF(V45&gt;설정!$C$11,"주의","여유")))))</f>
        <v/>
      </c>
      <c r="X45" s="53">
        <f>IF($A45="","",IF(P45=0,0,MAX(0,U45-P45)))</f>
        <v/>
      </c>
      <c r="Y45" s="28">
        <f>IF($A45="","",IF(OR(W45&lt;&gt;"부족 예상",설정!$C$7=12),"",IF(R45&lt;=0,"이미 초과",MIN(12,설정!$C$7+ROUNDUP(R45/(MAX(S45,T45)/(12-설정!$C$7)),0))&amp;"월")))</f>
        <v/>
      </c>
      <c r="Z45" s="22">
        <f>IF($A45="","",TRIM(IF(N(AC45)&gt;=설정!$C$14,"단건"&amp;TEXT(AC45,"0%")&amp;" ","")&amp;IF(AND(N45&gt;0,AD45&gt;0),IF(AD45/N45&gt;=설정!$C$16,"SA대체 ",""),"")&amp;IF(AE45&gt;0,"역분개"&amp;AE45&amp;"건 ","")&amp;IF(O45&gt;=설정!$C$13,"이상치 ","")&amp;IF(AND(I45=0,F45&gt;0),"신규지출 ","")))</f>
        <v/>
      </c>
      <c r="AA45" s="61">
        <f>IF($A45="","",ROUND((AF45+AG45+AH45+AI45)*IF(AND(F45&lt;설정!$C$10,N45&lt;설정!$C$10),0.3,1),1))</f>
        <v/>
      </c>
      <c r="AB45" s="50">
        <f>IF($A45="","",AA45+ROW()/1000000)</f>
        <v/>
      </c>
      <c r="AC45" s="56">
        <f>IF(OR($A45="",N45&lt;=0),"",SUMPRODUCT(MAX((전표_원본!$O$5:$O$100000=$E45)*(전표_원본!$M$5:$M$100000=설정!$C$20)*전표_원본!$P$5:$P$100000))/N45)</f>
        <v/>
      </c>
      <c r="AD45" s="29">
        <f>IF($A45="","",SUMIFS(전표_원본!$P$5:$P$100000,전표_원본!$O$5:$O$100000,$E45,전표_원본!$M$5:$M$100000,설정!$C$20,전표_원본!$E$5:$E$100000,"SA")-SUMIFS(전표_원본!$P$5:$P$100000,전표_원본!$O$5:$O$100000,$E45,전표_원본!$M$5:$M$100000,설정!$C$20-1,전표_원본!$E$5:$E$100000,"SA"))</f>
        <v/>
      </c>
      <c r="AE45" s="62">
        <f>IF($A45="","",COUNTIFS(전표_원본!$O$5:$O$100000,$E45,전표_원본!$M$5:$M$100000,설정!$C$20,전표_원본!$P$5:$P$100000,"&lt;0"))</f>
        <v/>
      </c>
      <c r="AF45" s="61">
        <f>IF($A45="","",MIN(MAX(0,N45)/(설정!$C$10*5),1)*30)</f>
        <v/>
      </c>
      <c r="AG45" s="63">
        <f>IF($A45="","",MIN(MAX(0,H45,J45),1)*20)</f>
        <v/>
      </c>
      <c r="AH45" s="63">
        <f>IF($A45="","",MIN(MAX(0,O45)/3,1)*25)</f>
        <v/>
      </c>
      <c r="AI45" s="63">
        <f>IF($A45="","",IF(OR(W45="부족 예상",W45="무예산"),25,IF(W45="주의",15,0)))</f>
        <v/>
      </c>
    </row>
    <row r="46">
      <c r="A46" s="12" t="inlineStr">
        <is>
          <t>D500</t>
        </is>
      </c>
      <c r="B46" s="22">
        <f>IF($A46="","",IFERROR(INDEX(부서매핑!$D$5:$D$504,MATCH($A46,부서매핑!$C$5:$C$504,0)),"부서매핑 없음"))</f>
        <v/>
      </c>
      <c r="C46" s="59" t="inlineStr">
        <is>
          <t>62701000</t>
        </is>
      </c>
      <c r="D46" s="22">
        <f>IF($A46="","",IFERROR(INDEX(계정매핑!$B$5:$B$504,MATCH($C46&amp;"",계정매핑!$A$5:$A$504,0)),"계정매핑 없음"))</f>
        <v/>
      </c>
      <c r="E46" s="21">
        <f>IF($A46="","",$A46&amp;"|"&amp;$C46)</f>
        <v/>
      </c>
      <c r="F46" s="29">
        <f>IF($A46="","",월별집계!$Z46)</f>
        <v/>
      </c>
      <c r="G46" s="29">
        <f>IF($A46="","",월별집계!$Y46)</f>
        <v/>
      </c>
      <c r="H46" s="60">
        <f>IF($A46="","",IF(G46&lt;=0,IF(F46&gt;0,1,0),F46/G46-1))</f>
        <v/>
      </c>
      <c r="I46" s="29">
        <f>IF($A46="","",월별집계!$N46)</f>
        <v/>
      </c>
      <c r="J46" s="60">
        <f>IF($A46="","",IF(I46&lt;=0,IF(F46&gt;0,1,0),F46/I46-1))</f>
        <v/>
      </c>
      <c r="K46" s="29">
        <f>IF($A46="","",SUMIFS(월별집계!$C46:$Z46,월별집계!$C$5:$Z$5,"&gt;="&amp;설정!$C$22,월별집계!$C$5:$Z$5,"&lt;="&amp;설정!$C$20))</f>
        <v/>
      </c>
      <c r="L46" s="29">
        <f>IF($A46="","",SUMIFS(월별집계!$C46:$Z46,월별집계!$C$5:$Z$5,"&gt;="&amp;(설정!$C$22-3),월별집계!$C$5:$Z$5,"&lt;="&amp;(설정!$C$20-3)))</f>
        <v/>
      </c>
      <c r="M46" s="60">
        <f>IF($A46="","",IF(L46&lt;=0,IF(K46&gt;0,1,0),K46/L46-1))</f>
        <v/>
      </c>
      <c r="N46" s="53">
        <f>IF($A46="","",MAX(F46-G46,F46-I46))</f>
        <v/>
      </c>
      <c r="O46" s="61">
        <f>IF($A46="","",IFERROR((월별집계!$Z46-AVERAGE(월별집계!N46:Y46))/STDEV(월별집계!N46:Y46),0))</f>
        <v/>
      </c>
      <c r="P46" s="29">
        <f>IF($A46="","",SUMIFS(예산판_원본!$O$5:$O$5000,예산판_원본!$L$5:$L$5000,$E46,예산판_원본!$M$5:$M$5000,설정!$C$6))</f>
        <v/>
      </c>
      <c r="Q46" s="29">
        <f>IF($A46="","",SUMIFS(월별집계!$C46:$Z46,월별집계!$C$5:$Z$5,"&gt;="&amp;(설정!$C$6*12+1),월별집계!$C$5:$Z$5,"&lt;="&amp;설정!$C$20))</f>
        <v/>
      </c>
      <c r="R46" s="53">
        <f>IF($A46="","",P46-Q46)</f>
        <v/>
      </c>
      <c r="S46" s="29">
        <f>IF($A46="","",AVERAGE(월별집계!X46:Z46)*(12-설정!$C$7))</f>
        <v/>
      </c>
      <c r="T46" s="29">
        <f>IF($A46="","",IFERROR(Q46/(SUMIFS(월별집계!$C46:$Z46,월별집계!$C$5:$Z$5,"&gt;="&amp;((설정!$C$6-1)*12+1),월별집계!$C$5:$Z$5,"&lt;="&amp;(설정!$C$20-12))/SUMIFS(월별집계!$C46:$Z46,월별집계!$C$5:$Z$5,"&gt;="&amp;((설정!$C$6-1)*12+1),월별집계!$C$5:$Z$5,"&lt;="&amp;((설정!$C$6-1)*12+12)))-Q46,S46))</f>
        <v/>
      </c>
      <c r="U46" s="53">
        <f>IF($A46="","",Q46+MAX(S46,T46))</f>
        <v/>
      </c>
      <c r="V46" s="49">
        <f>IF($A46="","",IF(P46=0,0,U46/P46))</f>
        <v/>
      </c>
      <c r="W46" s="28">
        <f>IF($A46="","",IF(AND(P46=0,Q46&gt;0),"무예산",IF(P46=0,"-",IF(V46&gt;설정!$C$12,"부족 예상",IF(V46&gt;설정!$C$11,"주의","여유")))))</f>
        <v/>
      </c>
      <c r="X46" s="53">
        <f>IF($A46="","",IF(P46=0,0,MAX(0,U46-P46)))</f>
        <v/>
      </c>
      <c r="Y46" s="28">
        <f>IF($A46="","",IF(OR(W46&lt;&gt;"부족 예상",설정!$C$7=12),"",IF(R46&lt;=0,"이미 초과",MIN(12,설정!$C$7+ROUNDUP(R46/(MAX(S46,T46)/(12-설정!$C$7)),0))&amp;"월")))</f>
        <v/>
      </c>
      <c r="Z46" s="22">
        <f>IF($A46="","",TRIM(IF(N(AC46)&gt;=설정!$C$14,"단건"&amp;TEXT(AC46,"0%")&amp;" ","")&amp;IF(AND(N46&gt;0,AD46&gt;0),IF(AD46/N46&gt;=설정!$C$16,"SA대체 ",""),"")&amp;IF(AE46&gt;0,"역분개"&amp;AE46&amp;"건 ","")&amp;IF(O46&gt;=설정!$C$13,"이상치 ","")&amp;IF(AND(I46=0,F46&gt;0),"신규지출 ","")))</f>
        <v/>
      </c>
      <c r="AA46" s="61">
        <f>IF($A46="","",ROUND((AF46+AG46+AH46+AI46)*IF(AND(F46&lt;설정!$C$10,N46&lt;설정!$C$10),0.3,1),1))</f>
        <v/>
      </c>
      <c r="AB46" s="50">
        <f>IF($A46="","",AA46+ROW()/1000000)</f>
        <v/>
      </c>
      <c r="AC46" s="56">
        <f>IF(OR($A46="",N46&lt;=0),"",SUMPRODUCT(MAX((전표_원본!$O$5:$O$100000=$E46)*(전표_원본!$M$5:$M$100000=설정!$C$20)*전표_원본!$P$5:$P$100000))/N46)</f>
        <v/>
      </c>
      <c r="AD46" s="29">
        <f>IF($A46="","",SUMIFS(전표_원본!$P$5:$P$100000,전표_원본!$O$5:$O$100000,$E46,전표_원본!$M$5:$M$100000,설정!$C$20,전표_원본!$E$5:$E$100000,"SA")-SUMIFS(전표_원본!$P$5:$P$100000,전표_원본!$O$5:$O$100000,$E46,전표_원본!$M$5:$M$100000,설정!$C$20-1,전표_원본!$E$5:$E$100000,"SA"))</f>
        <v/>
      </c>
      <c r="AE46" s="62">
        <f>IF($A46="","",COUNTIFS(전표_원본!$O$5:$O$100000,$E46,전표_원본!$M$5:$M$100000,설정!$C$20,전표_원본!$P$5:$P$100000,"&lt;0"))</f>
        <v/>
      </c>
      <c r="AF46" s="61">
        <f>IF($A46="","",MIN(MAX(0,N46)/(설정!$C$10*5),1)*30)</f>
        <v/>
      </c>
      <c r="AG46" s="63">
        <f>IF($A46="","",MIN(MAX(0,H46,J46),1)*20)</f>
        <v/>
      </c>
      <c r="AH46" s="63">
        <f>IF($A46="","",MIN(MAX(0,O46)/3,1)*25)</f>
        <v/>
      </c>
      <c r="AI46" s="63">
        <f>IF($A46="","",IF(OR(W46="부족 예상",W46="무예산"),25,IF(W46="주의",15,0)))</f>
        <v/>
      </c>
    </row>
    <row r="47">
      <c r="A47" s="12" t="inlineStr">
        <is>
          <t>D600</t>
        </is>
      </c>
      <c r="B47" s="22">
        <f>IF($A47="","",IFERROR(INDEX(부서매핑!$D$5:$D$504,MATCH($A47,부서매핑!$C$5:$C$504,0)),"부서매핑 없음"))</f>
        <v/>
      </c>
      <c r="C47" s="59" t="inlineStr">
        <is>
          <t>62101000</t>
        </is>
      </c>
      <c r="D47" s="22">
        <f>IF($A47="","",IFERROR(INDEX(계정매핑!$B$5:$B$504,MATCH($C47&amp;"",계정매핑!$A$5:$A$504,0)),"계정매핑 없음"))</f>
        <v/>
      </c>
      <c r="E47" s="21">
        <f>IF($A47="","",$A47&amp;"|"&amp;$C47)</f>
        <v/>
      </c>
      <c r="F47" s="29">
        <f>IF($A47="","",월별집계!$Z47)</f>
        <v/>
      </c>
      <c r="G47" s="29">
        <f>IF($A47="","",월별집계!$Y47)</f>
        <v/>
      </c>
      <c r="H47" s="60">
        <f>IF($A47="","",IF(G47&lt;=0,IF(F47&gt;0,1,0),F47/G47-1))</f>
        <v/>
      </c>
      <c r="I47" s="29">
        <f>IF($A47="","",월별집계!$N47)</f>
        <v/>
      </c>
      <c r="J47" s="60">
        <f>IF($A47="","",IF(I47&lt;=0,IF(F47&gt;0,1,0),F47/I47-1))</f>
        <v/>
      </c>
      <c r="K47" s="29">
        <f>IF($A47="","",SUMIFS(월별집계!$C47:$Z47,월별집계!$C$5:$Z$5,"&gt;="&amp;설정!$C$22,월별집계!$C$5:$Z$5,"&lt;="&amp;설정!$C$20))</f>
        <v/>
      </c>
      <c r="L47" s="29">
        <f>IF($A47="","",SUMIFS(월별집계!$C47:$Z47,월별집계!$C$5:$Z$5,"&gt;="&amp;(설정!$C$22-3),월별집계!$C$5:$Z$5,"&lt;="&amp;(설정!$C$20-3)))</f>
        <v/>
      </c>
      <c r="M47" s="60">
        <f>IF($A47="","",IF(L47&lt;=0,IF(K47&gt;0,1,0),K47/L47-1))</f>
        <v/>
      </c>
      <c r="N47" s="53">
        <f>IF($A47="","",MAX(F47-G47,F47-I47))</f>
        <v/>
      </c>
      <c r="O47" s="61">
        <f>IF($A47="","",IFERROR((월별집계!$Z47-AVERAGE(월별집계!N47:Y47))/STDEV(월별집계!N47:Y47),0))</f>
        <v/>
      </c>
      <c r="P47" s="29">
        <f>IF($A47="","",SUMIFS(예산판_원본!$O$5:$O$5000,예산판_원본!$L$5:$L$5000,$E47,예산판_원본!$M$5:$M$5000,설정!$C$6))</f>
        <v/>
      </c>
      <c r="Q47" s="29">
        <f>IF($A47="","",SUMIFS(월별집계!$C47:$Z47,월별집계!$C$5:$Z$5,"&gt;="&amp;(설정!$C$6*12+1),월별집계!$C$5:$Z$5,"&lt;="&amp;설정!$C$20))</f>
        <v/>
      </c>
      <c r="R47" s="53">
        <f>IF($A47="","",P47-Q47)</f>
        <v/>
      </c>
      <c r="S47" s="29">
        <f>IF($A47="","",AVERAGE(월별집계!X47:Z47)*(12-설정!$C$7))</f>
        <v/>
      </c>
      <c r="T47" s="29">
        <f>IF($A47="","",IFERROR(Q47/(SUMIFS(월별집계!$C47:$Z47,월별집계!$C$5:$Z$5,"&gt;="&amp;((설정!$C$6-1)*12+1),월별집계!$C$5:$Z$5,"&lt;="&amp;(설정!$C$20-12))/SUMIFS(월별집계!$C47:$Z47,월별집계!$C$5:$Z$5,"&gt;="&amp;((설정!$C$6-1)*12+1),월별집계!$C$5:$Z$5,"&lt;="&amp;((설정!$C$6-1)*12+12)))-Q47,S47))</f>
        <v/>
      </c>
      <c r="U47" s="53">
        <f>IF($A47="","",Q47+MAX(S47,T47))</f>
        <v/>
      </c>
      <c r="V47" s="49">
        <f>IF($A47="","",IF(P47=0,0,U47/P47))</f>
        <v/>
      </c>
      <c r="W47" s="28">
        <f>IF($A47="","",IF(AND(P47=0,Q47&gt;0),"무예산",IF(P47=0,"-",IF(V47&gt;설정!$C$12,"부족 예상",IF(V47&gt;설정!$C$11,"주의","여유")))))</f>
        <v/>
      </c>
      <c r="X47" s="53">
        <f>IF($A47="","",IF(P47=0,0,MAX(0,U47-P47)))</f>
        <v/>
      </c>
      <c r="Y47" s="28">
        <f>IF($A47="","",IF(OR(W47&lt;&gt;"부족 예상",설정!$C$7=12),"",IF(R47&lt;=0,"이미 초과",MIN(12,설정!$C$7+ROUNDUP(R47/(MAX(S47,T47)/(12-설정!$C$7)),0))&amp;"월")))</f>
        <v/>
      </c>
      <c r="Z47" s="22">
        <f>IF($A47="","",TRIM(IF(N(AC47)&gt;=설정!$C$14,"단건"&amp;TEXT(AC47,"0%")&amp;" ","")&amp;IF(AND(N47&gt;0,AD47&gt;0),IF(AD47/N47&gt;=설정!$C$16,"SA대체 ",""),"")&amp;IF(AE47&gt;0,"역분개"&amp;AE47&amp;"건 ","")&amp;IF(O47&gt;=설정!$C$13,"이상치 ","")&amp;IF(AND(I47=0,F47&gt;0),"신규지출 ","")))</f>
        <v/>
      </c>
      <c r="AA47" s="61">
        <f>IF($A47="","",ROUND((AF47+AG47+AH47+AI47)*IF(AND(F47&lt;설정!$C$10,N47&lt;설정!$C$10),0.3,1),1))</f>
        <v/>
      </c>
      <c r="AB47" s="50">
        <f>IF($A47="","",AA47+ROW()/1000000)</f>
        <v/>
      </c>
      <c r="AC47" s="56">
        <f>IF(OR($A47="",N47&lt;=0),"",SUMPRODUCT(MAX((전표_원본!$O$5:$O$100000=$E47)*(전표_원본!$M$5:$M$100000=설정!$C$20)*전표_원본!$P$5:$P$100000))/N47)</f>
        <v/>
      </c>
      <c r="AD47" s="29">
        <f>IF($A47="","",SUMIFS(전표_원본!$P$5:$P$100000,전표_원본!$O$5:$O$100000,$E47,전표_원본!$M$5:$M$100000,설정!$C$20,전표_원본!$E$5:$E$100000,"SA")-SUMIFS(전표_원본!$P$5:$P$100000,전표_원본!$O$5:$O$100000,$E47,전표_원본!$M$5:$M$100000,설정!$C$20-1,전표_원본!$E$5:$E$100000,"SA"))</f>
        <v/>
      </c>
      <c r="AE47" s="62">
        <f>IF($A47="","",COUNTIFS(전표_원본!$O$5:$O$100000,$E47,전표_원본!$M$5:$M$100000,설정!$C$20,전표_원본!$P$5:$P$100000,"&lt;0"))</f>
        <v/>
      </c>
      <c r="AF47" s="61">
        <f>IF($A47="","",MIN(MAX(0,N47)/(설정!$C$10*5),1)*30)</f>
        <v/>
      </c>
      <c r="AG47" s="63">
        <f>IF($A47="","",MIN(MAX(0,H47,J47),1)*20)</f>
        <v/>
      </c>
      <c r="AH47" s="63">
        <f>IF($A47="","",MIN(MAX(0,O47)/3,1)*25)</f>
        <v/>
      </c>
      <c r="AI47" s="63">
        <f>IF($A47="","",IF(OR(W47="부족 예상",W47="무예산"),25,IF(W47="주의",15,0)))</f>
        <v/>
      </c>
    </row>
    <row r="48">
      <c r="A48" s="12" t="inlineStr">
        <is>
          <t>D600</t>
        </is>
      </c>
      <c r="B48" s="22">
        <f>IF($A48="","",IFERROR(INDEX(부서매핑!$D$5:$D$504,MATCH($A48,부서매핑!$C$5:$C$504,0)),"부서매핑 없음"))</f>
        <v/>
      </c>
      <c r="C48" s="59" t="inlineStr">
        <is>
          <t>62102000</t>
        </is>
      </c>
      <c r="D48" s="22">
        <f>IF($A48="","",IFERROR(INDEX(계정매핑!$B$5:$B$504,MATCH($C48&amp;"",계정매핑!$A$5:$A$504,0)),"계정매핑 없음"))</f>
        <v/>
      </c>
      <c r="E48" s="21">
        <f>IF($A48="","",$A48&amp;"|"&amp;$C48)</f>
        <v/>
      </c>
      <c r="F48" s="29">
        <f>IF($A48="","",월별집계!$Z48)</f>
        <v/>
      </c>
      <c r="G48" s="29">
        <f>IF($A48="","",월별집계!$Y48)</f>
        <v/>
      </c>
      <c r="H48" s="60">
        <f>IF($A48="","",IF(G48&lt;=0,IF(F48&gt;0,1,0),F48/G48-1))</f>
        <v/>
      </c>
      <c r="I48" s="29">
        <f>IF($A48="","",월별집계!$N48)</f>
        <v/>
      </c>
      <c r="J48" s="60">
        <f>IF($A48="","",IF(I48&lt;=0,IF(F48&gt;0,1,0),F48/I48-1))</f>
        <v/>
      </c>
      <c r="K48" s="29">
        <f>IF($A48="","",SUMIFS(월별집계!$C48:$Z48,월별집계!$C$5:$Z$5,"&gt;="&amp;설정!$C$22,월별집계!$C$5:$Z$5,"&lt;="&amp;설정!$C$20))</f>
        <v/>
      </c>
      <c r="L48" s="29">
        <f>IF($A48="","",SUMIFS(월별집계!$C48:$Z48,월별집계!$C$5:$Z$5,"&gt;="&amp;(설정!$C$22-3),월별집계!$C$5:$Z$5,"&lt;="&amp;(설정!$C$20-3)))</f>
        <v/>
      </c>
      <c r="M48" s="60">
        <f>IF($A48="","",IF(L48&lt;=0,IF(K48&gt;0,1,0),K48/L48-1))</f>
        <v/>
      </c>
      <c r="N48" s="53">
        <f>IF($A48="","",MAX(F48-G48,F48-I48))</f>
        <v/>
      </c>
      <c r="O48" s="61">
        <f>IF($A48="","",IFERROR((월별집계!$Z48-AVERAGE(월별집계!N48:Y48))/STDEV(월별집계!N48:Y48),0))</f>
        <v/>
      </c>
      <c r="P48" s="29">
        <f>IF($A48="","",SUMIFS(예산판_원본!$O$5:$O$5000,예산판_원본!$L$5:$L$5000,$E48,예산판_원본!$M$5:$M$5000,설정!$C$6))</f>
        <v/>
      </c>
      <c r="Q48" s="29">
        <f>IF($A48="","",SUMIFS(월별집계!$C48:$Z48,월별집계!$C$5:$Z$5,"&gt;="&amp;(설정!$C$6*12+1),월별집계!$C$5:$Z$5,"&lt;="&amp;설정!$C$20))</f>
        <v/>
      </c>
      <c r="R48" s="53">
        <f>IF($A48="","",P48-Q48)</f>
        <v/>
      </c>
      <c r="S48" s="29">
        <f>IF($A48="","",AVERAGE(월별집계!X48:Z48)*(12-설정!$C$7))</f>
        <v/>
      </c>
      <c r="T48" s="29">
        <f>IF($A48="","",IFERROR(Q48/(SUMIFS(월별집계!$C48:$Z48,월별집계!$C$5:$Z$5,"&gt;="&amp;((설정!$C$6-1)*12+1),월별집계!$C$5:$Z$5,"&lt;="&amp;(설정!$C$20-12))/SUMIFS(월별집계!$C48:$Z48,월별집계!$C$5:$Z$5,"&gt;="&amp;((설정!$C$6-1)*12+1),월별집계!$C$5:$Z$5,"&lt;="&amp;((설정!$C$6-1)*12+12)))-Q48,S48))</f>
        <v/>
      </c>
      <c r="U48" s="53">
        <f>IF($A48="","",Q48+MAX(S48,T48))</f>
        <v/>
      </c>
      <c r="V48" s="49">
        <f>IF($A48="","",IF(P48=0,0,U48/P48))</f>
        <v/>
      </c>
      <c r="W48" s="28">
        <f>IF($A48="","",IF(AND(P48=0,Q48&gt;0),"무예산",IF(P48=0,"-",IF(V48&gt;설정!$C$12,"부족 예상",IF(V48&gt;설정!$C$11,"주의","여유")))))</f>
        <v/>
      </c>
      <c r="X48" s="53">
        <f>IF($A48="","",IF(P48=0,0,MAX(0,U48-P48)))</f>
        <v/>
      </c>
      <c r="Y48" s="28">
        <f>IF($A48="","",IF(OR(W48&lt;&gt;"부족 예상",설정!$C$7=12),"",IF(R48&lt;=0,"이미 초과",MIN(12,설정!$C$7+ROUNDUP(R48/(MAX(S48,T48)/(12-설정!$C$7)),0))&amp;"월")))</f>
        <v/>
      </c>
      <c r="Z48" s="22">
        <f>IF($A48="","",TRIM(IF(N(AC48)&gt;=설정!$C$14,"단건"&amp;TEXT(AC48,"0%")&amp;" ","")&amp;IF(AND(N48&gt;0,AD48&gt;0),IF(AD48/N48&gt;=설정!$C$16,"SA대체 ",""),"")&amp;IF(AE48&gt;0,"역분개"&amp;AE48&amp;"건 ","")&amp;IF(O48&gt;=설정!$C$13,"이상치 ","")&amp;IF(AND(I48=0,F48&gt;0),"신규지출 ","")))</f>
        <v/>
      </c>
      <c r="AA48" s="61">
        <f>IF($A48="","",ROUND((AF48+AG48+AH48+AI48)*IF(AND(F48&lt;설정!$C$10,N48&lt;설정!$C$10),0.3,1),1))</f>
        <v/>
      </c>
      <c r="AB48" s="50">
        <f>IF($A48="","",AA48+ROW()/1000000)</f>
        <v/>
      </c>
      <c r="AC48" s="56">
        <f>IF(OR($A48="",N48&lt;=0),"",SUMPRODUCT(MAX((전표_원본!$O$5:$O$100000=$E48)*(전표_원본!$M$5:$M$100000=설정!$C$20)*전표_원본!$P$5:$P$100000))/N48)</f>
        <v/>
      </c>
      <c r="AD48" s="29">
        <f>IF($A48="","",SUMIFS(전표_원본!$P$5:$P$100000,전표_원본!$O$5:$O$100000,$E48,전표_원본!$M$5:$M$100000,설정!$C$20,전표_원본!$E$5:$E$100000,"SA")-SUMIFS(전표_원본!$P$5:$P$100000,전표_원본!$O$5:$O$100000,$E48,전표_원본!$M$5:$M$100000,설정!$C$20-1,전표_원본!$E$5:$E$100000,"SA"))</f>
        <v/>
      </c>
      <c r="AE48" s="62">
        <f>IF($A48="","",COUNTIFS(전표_원본!$O$5:$O$100000,$E48,전표_원본!$M$5:$M$100000,설정!$C$20,전표_원본!$P$5:$P$100000,"&lt;0"))</f>
        <v/>
      </c>
      <c r="AF48" s="61">
        <f>IF($A48="","",MIN(MAX(0,N48)/(설정!$C$10*5),1)*30)</f>
        <v/>
      </c>
      <c r="AG48" s="63">
        <f>IF($A48="","",MIN(MAX(0,H48,J48),1)*20)</f>
        <v/>
      </c>
      <c r="AH48" s="63">
        <f>IF($A48="","",MIN(MAX(0,O48)/3,1)*25)</f>
        <v/>
      </c>
      <c r="AI48" s="63">
        <f>IF($A48="","",IF(OR(W48="부족 예상",W48="무예산"),25,IF(W48="주의",15,0)))</f>
        <v/>
      </c>
    </row>
    <row r="49">
      <c r="A49" s="12" t="inlineStr">
        <is>
          <t>D600</t>
        </is>
      </c>
      <c r="B49" s="22">
        <f>IF($A49="","",IFERROR(INDEX(부서매핑!$D$5:$D$504,MATCH($A49,부서매핑!$C$5:$C$504,0)),"부서매핑 없음"))</f>
        <v/>
      </c>
      <c r="C49" s="59" t="inlineStr">
        <is>
          <t>62201000</t>
        </is>
      </c>
      <c r="D49" s="22">
        <f>IF($A49="","",IFERROR(INDEX(계정매핑!$B$5:$B$504,MATCH($C49&amp;"",계정매핑!$A$5:$A$504,0)),"계정매핑 없음"))</f>
        <v/>
      </c>
      <c r="E49" s="21">
        <f>IF($A49="","",$A49&amp;"|"&amp;$C49)</f>
        <v/>
      </c>
      <c r="F49" s="29">
        <f>IF($A49="","",월별집계!$Z49)</f>
        <v/>
      </c>
      <c r="G49" s="29">
        <f>IF($A49="","",월별집계!$Y49)</f>
        <v/>
      </c>
      <c r="H49" s="60">
        <f>IF($A49="","",IF(G49&lt;=0,IF(F49&gt;0,1,0),F49/G49-1))</f>
        <v/>
      </c>
      <c r="I49" s="29">
        <f>IF($A49="","",월별집계!$N49)</f>
        <v/>
      </c>
      <c r="J49" s="60">
        <f>IF($A49="","",IF(I49&lt;=0,IF(F49&gt;0,1,0),F49/I49-1))</f>
        <v/>
      </c>
      <c r="K49" s="29">
        <f>IF($A49="","",SUMIFS(월별집계!$C49:$Z49,월별집계!$C$5:$Z$5,"&gt;="&amp;설정!$C$22,월별집계!$C$5:$Z$5,"&lt;="&amp;설정!$C$20))</f>
        <v/>
      </c>
      <c r="L49" s="29">
        <f>IF($A49="","",SUMIFS(월별집계!$C49:$Z49,월별집계!$C$5:$Z$5,"&gt;="&amp;(설정!$C$22-3),월별집계!$C$5:$Z$5,"&lt;="&amp;(설정!$C$20-3)))</f>
        <v/>
      </c>
      <c r="M49" s="60">
        <f>IF($A49="","",IF(L49&lt;=0,IF(K49&gt;0,1,0),K49/L49-1))</f>
        <v/>
      </c>
      <c r="N49" s="53">
        <f>IF($A49="","",MAX(F49-G49,F49-I49))</f>
        <v/>
      </c>
      <c r="O49" s="61">
        <f>IF($A49="","",IFERROR((월별집계!$Z49-AVERAGE(월별집계!N49:Y49))/STDEV(월별집계!N49:Y49),0))</f>
        <v/>
      </c>
      <c r="P49" s="29">
        <f>IF($A49="","",SUMIFS(예산판_원본!$O$5:$O$5000,예산판_원본!$L$5:$L$5000,$E49,예산판_원본!$M$5:$M$5000,설정!$C$6))</f>
        <v/>
      </c>
      <c r="Q49" s="29">
        <f>IF($A49="","",SUMIFS(월별집계!$C49:$Z49,월별집계!$C$5:$Z$5,"&gt;="&amp;(설정!$C$6*12+1),월별집계!$C$5:$Z$5,"&lt;="&amp;설정!$C$20))</f>
        <v/>
      </c>
      <c r="R49" s="53">
        <f>IF($A49="","",P49-Q49)</f>
        <v/>
      </c>
      <c r="S49" s="29">
        <f>IF($A49="","",AVERAGE(월별집계!X49:Z49)*(12-설정!$C$7))</f>
        <v/>
      </c>
      <c r="T49" s="29">
        <f>IF($A49="","",IFERROR(Q49/(SUMIFS(월별집계!$C49:$Z49,월별집계!$C$5:$Z$5,"&gt;="&amp;((설정!$C$6-1)*12+1),월별집계!$C$5:$Z$5,"&lt;="&amp;(설정!$C$20-12))/SUMIFS(월별집계!$C49:$Z49,월별집계!$C$5:$Z$5,"&gt;="&amp;((설정!$C$6-1)*12+1),월별집계!$C$5:$Z$5,"&lt;="&amp;((설정!$C$6-1)*12+12)))-Q49,S49))</f>
        <v/>
      </c>
      <c r="U49" s="53">
        <f>IF($A49="","",Q49+MAX(S49,T49))</f>
        <v/>
      </c>
      <c r="V49" s="49">
        <f>IF($A49="","",IF(P49=0,0,U49/P49))</f>
        <v/>
      </c>
      <c r="W49" s="28">
        <f>IF($A49="","",IF(AND(P49=0,Q49&gt;0),"무예산",IF(P49=0,"-",IF(V49&gt;설정!$C$12,"부족 예상",IF(V49&gt;설정!$C$11,"주의","여유")))))</f>
        <v/>
      </c>
      <c r="X49" s="53">
        <f>IF($A49="","",IF(P49=0,0,MAX(0,U49-P49)))</f>
        <v/>
      </c>
      <c r="Y49" s="28">
        <f>IF($A49="","",IF(OR(W49&lt;&gt;"부족 예상",설정!$C$7=12),"",IF(R49&lt;=0,"이미 초과",MIN(12,설정!$C$7+ROUNDUP(R49/(MAX(S49,T49)/(12-설정!$C$7)),0))&amp;"월")))</f>
        <v/>
      </c>
      <c r="Z49" s="22">
        <f>IF($A49="","",TRIM(IF(N(AC49)&gt;=설정!$C$14,"단건"&amp;TEXT(AC49,"0%")&amp;" ","")&amp;IF(AND(N49&gt;0,AD49&gt;0),IF(AD49/N49&gt;=설정!$C$16,"SA대체 ",""),"")&amp;IF(AE49&gt;0,"역분개"&amp;AE49&amp;"건 ","")&amp;IF(O49&gt;=설정!$C$13,"이상치 ","")&amp;IF(AND(I49=0,F49&gt;0),"신규지출 ","")))</f>
        <v/>
      </c>
      <c r="AA49" s="61">
        <f>IF($A49="","",ROUND((AF49+AG49+AH49+AI49)*IF(AND(F49&lt;설정!$C$10,N49&lt;설정!$C$10),0.3,1),1))</f>
        <v/>
      </c>
      <c r="AB49" s="50">
        <f>IF($A49="","",AA49+ROW()/1000000)</f>
        <v/>
      </c>
      <c r="AC49" s="56">
        <f>IF(OR($A49="",N49&lt;=0),"",SUMPRODUCT(MAX((전표_원본!$O$5:$O$100000=$E49)*(전표_원본!$M$5:$M$100000=설정!$C$20)*전표_원본!$P$5:$P$100000))/N49)</f>
        <v/>
      </c>
      <c r="AD49" s="29">
        <f>IF($A49="","",SUMIFS(전표_원본!$P$5:$P$100000,전표_원본!$O$5:$O$100000,$E49,전표_원본!$M$5:$M$100000,설정!$C$20,전표_원본!$E$5:$E$100000,"SA")-SUMIFS(전표_원본!$P$5:$P$100000,전표_원본!$O$5:$O$100000,$E49,전표_원본!$M$5:$M$100000,설정!$C$20-1,전표_원본!$E$5:$E$100000,"SA"))</f>
        <v/>
      </c>
      <c r="AE49" s="62">
        <f>IF($A49="","",COUNTIFS(전표_원본!$O$5:$O$100000,$E49,전표_원본!$M$5:$M$100000,설정!$C$20,전표_원본!$P$5:$P$100000,"&lt;0"))</f>
        <v/>
      </c>
      <c r="AF49" s="61">
        <f>IF($A49="","",MIN(MAX(0,N49)/(설정!$C$10*5),1)*30)</f>
        <v/>
      </c>
      <c r="AG49" s="63">
        <f>IF($A49="","",MIN(MAX(0,H49,J49),1)*20)</f>
        <v/>
      </c>
      <c r="AH49" s="63">
        <f>IF($A49="","",MIN(MAX(0,O49)/3,1)*25)</f>
        <v/>
      </c>
      <c r="AI49" s="63">
        <f>IF($A49="","",IF(OR(W49="부족 예상",W49="무예산"),25,IF(W49="주의",15,0)))</f>
        <v/>
      </c>
    </row>
    <row r="50">
      <c r="A50" s="12" t="inlineStr">
        <is>
          <t>D600</t>
        </is>
      </c>
      <c r="B50" s="22">
        <f>IF($A50="","",IFERROR(INDEX(부서매핑!$D$5:$D$504,MATCH($A50,부서매핑!$C$5:$C$504,0)),"부서매핑 없음"))</f>
        <v/>
      </c>
      <c r="C50" s="59" t="inlineStr">
        <is>
          <t>62301000</t>
        </is>
      </c>
      <c r="D50" s="22">
        <f>IF($A50="","",IFERROR(INDEX(계정매핑!$B$5:$B$504,MATCH($C50&amp;"",계정매핑!$A$5:$A$504,0)),"계정매핑 없음"))</f>
        <v/>
      </c>
      <c r="E50" s="21">
        <f>IF($A50="","",$A50&amp;"|"&amp;$C50)</f>
        <v/>
      </c>
      <c r="F50" s="29">
        <f>IF($A50="","",월별집계!$Z50)</f>
        <v/>
      </c>
      <c r="G50" s="29">
        <f>IF($A50="","",월별집계!$Y50)</f>
        <v/>
      </c>
      <c r="H50" s="60">
        <f>IF($A50="","",IF(G50&lt;=0,IF(F50&gt;0,1,0),F50/G50-1))</f>
        <v/>
      </c>
      <c r="I50" s="29">
        <f>IF($A50="","",월별집계!$N50)</f>
        <v/>
      </c>
      <c r="J50" s="60">
        <f>IF($A50="","",IF(I50&lt;=0,IF(F50&gt;0,1,0),F50/I50-1))</f>
        <v/>
      </c>
      <c r="K50" s="29">
        <f>IF($A50="","",SUMIFS(월별집계!$C50:$Z50,월별집계!$C$5:$Z$5,"&gt;="&amp;설정!$C$22,월별집계!$C$5:$Z$5,"&lt;="&amp;설정!$C$20))</f>
        <v/>
      </c>
      <c r="L50" s="29">
        <f>IF($A50="","",SUMIFS(월별집계!$C50:$Z50,월별집계!$C$5:$Z$5,"&gt;="&amp;(설정!$C$22-3),월별집계!$C$5:$Z$5,"&lt;="&amp;(설정!$C$20-3)))</f>
        <v/>
      </c>
      <c r="M50" s="60">
        <f>IF($A50="","",IF(L50&lt;=0,IF(K50&gt;0,1,0),K50/L50-1))</f>
        <v/>
      </c>
      <c r="N50" s="53">
        <f>IF($A50="","",MAX(F50-G50,F50-I50))</f>
        <v/>
      </c>
      <c r="O50" s="61">
        <f>IF($A50="","",IFERROR((월별집계!$Z50-AVERAGE(월별집계!N50:Y50))/STDEV(월별집계!N50:Y50),0))</f>
        <v/>
      </c>
      <c r="P50" s="29">
        <f>IF($A50="","",SUMIFS(예산판_원본!$O$5:$O$5000,예산판_원본!$L$5:$L$5000,$E50,예산판_원본!$M$5:$M$5000,설정!$C$6))</f>
        <v/>
      </c>
      <c r="Q50" s="29">
        <f>IF($A50="","",SUMIFS(월별집계!$C50:$Z50,월별집계!$C$5:$Z$5,"&gt;="&amp;(설정!$C$6*12+1),월별집계!$C$5:$Z$5,"&lt;="&amp;설정!$C$20))</f>
        <v/>
      </c>
      <c r="R50" s="53">
        <f>IF($A50="","",P50-Q50)</f>
        <v/>
      </c>
      <c r="S50" s="29">
        <f>IF($A50="","",AVERAGE(월별집계!X50:Z50)*(12-설정!$C$7))</f>
        <v/>
      </c>
      <c r="T50" s="29">
        <f>IF($A50="","",IFERROR(Q50/(SUMIFS(월별집계!$C50:$Z50,월별집계!$C$5:$Z$5,"&gt;="&amp;((설정!$C$6-1)*12+1),월별집계!$C$5:$Z$5,"&lt;="&amp;(설정!$C$20-12))/SUMIFS(월별집계!$C50:$Z50,월별집계!$C$5:$Z$5,"&gt;="&amp;((설정!$C$6-1)*12+1),월별집계!$C$5:$Z$5,"&lt;="&amp;((설정!$C$6-1)*12+12)))-Q50,S50))</f>
        <v/>
      </c>
      <c r="U50" s="53">
        <f>IF($A50="","",Q50+MAX(S50,T50))</f>
        <v/>
      </c>
      <c r="V50" s="49">
        <f>IF($A50="","",IF(P50=0,0,U50/P50))</f>
        <v/>
      </c>
      <c r="W50" s="28">
        <f>IF($A50="","",IF(AND(P50=0,Q50&gt;0),"무예산",IF(P50=0,"-",IF(V50&gt;설정!$C$12,"부족 예상",IF(V50&gt;설정!$C$11,"주의","여유")))))</f>
        <v/>
      </c>
      <c r="X50" s="53">
        <f>IF($A50="","",IF(P50=0,0,MAX(0,U50-P50)))</f>
        <v/>
      </c>
      <c r="Y50" s="28">
        <f>IF($A50="","",IF(OR(W50&lt;&gt;"부족 예상",설정!$C$7=12),"",IF(R50&lt;=0,"이미 초과",MIN(12,설정!$C$7+ROUNDUP(R50/(MAX(S50,T50)/(12-설정!$C$7)),0))&amp;"월")))</f>
        <v/>
      </c>
      <c r="Z50" s="22">
        <f>IF($A50="","",TRIM(IF(N(AC50)&gt;=설정!$C$14,"단건"&amp;TEXT(AC50,"0%")&amp;" ","")&amp;IF(AND(N50&gt;0,AD50&gt;0),IF(AD50/N50&gt;=설정!$C$16,"SA대체 ",""),"")&amp;IF(AE50&gt;0,"역분개"&amp;AE50&amp;"건 ","")&amp;IF(O50&gt;=설정!$C$13,"이상치 ","")&amp;IF(AND(I50=0,F50&gt;0),"신규지출 ","")))</f>
        <v/>
      </c>
      <c r="AA50" s="61">
        <f>IF($A50="","",ROUND((AF50+AG50+AH50+AI50)*IF(AND(F50&lt;설정!$C$10,N50&lt;설정!$C$10),0.3,1),1))</f>
        <v/>
      </c>
      <c r="AB50" s="50">
        <f>IF($A50="","",AA50+ROW()/1000000)</f>
        <v/>
      </c>
      <c r="AC50" s="56">
        <f>IF(OR($A50="",N50&lt;=0),"",SUMPRODUCT(MAX((전표_원본!$O$5:$O$100000=$E50)*(전표_원본!$M$5:$M$100000=설정!$C$20)*전표_원본!$P$5:$P$100000))/N50)</f>
        <v/>
      </c>
      <c r="AD50" s="29">
        <f>IF($A50="","",SUMIFS(전표_원본!$P$5:$P$100000,전표_원본!$O$5:$O$100000,$E50,전표_원본!$M$5:$M$100000,설정!$C$20,전표_원본!$E$5:$E$100000,"SA")-SUMIFS(전표_원본!$P$5:$P$100000,전표_원본!$O$5:$O$100000,$E50,전표_원본!$M$5:$M$100000,설정!$C$20-1,전표_원본!$E$5:$E$100000,"SA"))</f>
        <v/>
      </c>
      <c r="AE50" s="62">
        <f>IF($A50="","",COUNTIFS(전표_원본!$O$5:$O$100000,$E50,전표_원본!$M$5:$M$100000,설정!$C$20,전표_원본!$P$5:$P$100000,"&lt;0"))</f>
        <v/>
      </c>
      <c r="AF50" s="61">
        <f>IF($A50="","",MIN(MAX(0,N50)/(설정!$C$10*5),1)*30)</f>
        <v/>
      </c>
      <c r="AG50" s="63">
        <f>IF($A50="","",MIN(MAX(0,H50,J50),1)*20)</f>
        <v/>
      </c>
      <c r="AH50" s="63">
        <f>IF($A50="","",MIN(MAX(0,O50)/3,1)*25)</f>
        <v/>
      </c>
      <c r="AI50" s="63">
        <f>IF($A50="","",IF(OR(W50="부족 예상",W50="무예산"),25,IF(W50="주의",15,0)))</f>
        <v/>
      </c>
    </row>
    <row r="51">
      <c r="A51" s="12" t="inlineStr">
        <is>
          <t>D600</t>
        </is>
      </c>
      <c r="B51" s="22">
        <f>IF($A51="","",IFERROR(INDEX(부서매핑!$D$5:$D$504,MATCH($A51,부서매핑!$C$5:$C$504,0)),"부서매핑 없음"))</f>
        <v/>
      </c>
      <c r="C51" s="59" t="inlineStr">
        <is>
          <t>62501000</t>
        </is>
      </c>
      <c r="D51" s="22">
        <f>IF($A51="","",IFERROR(INDEX(계정매핑!$B$5:$B$504,MATCH($C51&amp;"",계정매핑!$A$5:$A$504,0)),"계정매핑 없음"))</f>
        <v/>
      </c>
      <c r="E51" s="21">
        <f>IF($A51="","",$A51&amp;"|"&amp;$C51)</f>
        <v/>
      </c>
      <c r="F51" s="29">
        <f>IF($A51="","",월별집계!$Z51)</f>
        <v/>
      </c>
      <c r="G51" s="29">
        <f>IF($A51="","",월별집계!$Y51)</f>
        <v/>
      </c>
      <c r="H51" s="60">
        <f>IF($A51="","",IF(G51&lt;=0,IF(F51&gt;0,1,0),F51/G51-1))</f>
        <v/>
      </c>
      <c r="I51" s="29">
        <f>IF($A51="","",월별집계!$N51)</f>
        <v/>
      </c>
      <c r="J51" s="60">
        <f>IF($A51="","",IF(I51&lt;=0,IF(F51&gt;0,1,0),F51/I51-1))</f>
        <v/>
      </c>
      <c r="K51" s="29">
        <f>IF($A51="","",SUMIFS(월별집계!$C51:$Z51,월별집계!$C$5:$Z$5,"&gt;="&amp;설정!$C$22,월별집계!$C$5:$Z$5,"&lt;="&amp;설정!$C$20))</f>
        <v/>
      </c>
      <c r="L51" s="29">
        <f>IF($A51="","",SUMIFS(월별집계!$C51:$Z51,월별집계!$C$5:$Z$5,"&gt;="&amp;(설정!$C$22-3),월별집계!$C$5:$Z$5,"&lt;="&amp;(설정!$C$20-3)))</f>
        <v/>
      </c>
      <c r="M51" s="60">
        <f>IF($A51="","",IF(L51&lt;=0,IF(K51&gt;0,1,0),K51/L51-1))</f>
        <v/>
      </c>
      <c r="N51" s="53">
        <f>IF($A51="","",MAX(F51-G51,F51-I51))</f>
        <v/>
      </c>
      <c r="O51" s="61">
        <f>IF($A51="","",IFERROR((월별집계!$Z51-AVERAGE(월별집계!N51:Y51))/STDEV(월별집계!N51:Y51),0))</f>
        <v/>
      </c>
      <c r="P51" s="29">
        <f>IF($A51="","",SUMIFS(예산판_원본!$O$5:$O$5000,예산판_원본!$L$5:$L$5000,$E51,예산판_원본!$M$5:$M$5000,설정!$C$6))</f>
        <v/>
      </c>
      <c r="Q51" s="29">
        <f>IF($A51="","",SUMIFS(월별집계!$C51:$Z51,월별집계!$C$5:$Z$5,"&gt;="&amp;(설정!$C$6*12+1),월별집계!$C$5:$Z$5,"&lt;="&amp;설정!$C$20))</f>
        <v/>
      </c>
      <c r="R51" s="53">
        <f>IF($A51="","",P51-Q51)</f>
        <v/>
      </c>
      <c r="S51" s="29">
        <f>IF($A51="","",AVERAGE(월별집계!X51:Z51)*(12-설정!$C$7))</f>
        <v/>
      </c>
      <c r="T51" s="29">
        <f>IF($A51="","",IFERROR(Q51/(SUMIFS(월별집계!$C51:$Z51,월별집계!$C$5:$Z$5,"&gt;="&amp;((설정!$C$6-1)*12+1),월별집계!$C$5:$Z$5,"&lt;="&amp;(설정!$C$20-12))/SUMIFS(월별집계!$C51:$Z51,월별집계!$C$5:$Z$5,"&gt;="&amp;((설정!$C$6-1)*12+1),월별집계!$C$5:$Z$5,"&lt;="&amp;((설정!$C$6-1)*12+12)))-Q51,S51))</f>
        <v/>
      </c>
      <c r="U51" s="53">
        <f>IF($A51="","",Q51+MAX(S51,T51))</f>
        <v/>
      </c>
      <c r="V51" s="49">
        <f>IF($A51="","",IF(P51=0,0,U51/P51))</f>
        <v/>
      </c>
      <c r="W51" s="28">
        <f>IF($A51="","",IF(AND(P51=0,Q51&gt;0),"무예산",IF(P51=0,"-",IF(V51&gt;설정!$C$12,"부족 예상",IF(V51&gt;설정!$C$11,"주의","여유")))))</f>
        <v/>
      </c>
      <c r="X51" s="53">
        <f>IF($A51="","",IF(P51=0,0,MAX(0,U51-P51)))</f>
        <v/>
      </c>
      <c r="Y51" s="28">
        <f>IF($A51="","",IF(OR(W51&lt;&gt;"부족 예상",설정!$C$7=12),"",IF(R51&lt;=0,"이미 초과",MIN(12,설정!$C$7+ROUNDUP(R51/(MAX(S51,T51)/(12-설정!$C$7)),0))&amp;"월")))</f>
        <v/>
      </c>
      <c r="Z51" s="22">
        <f>IF($A51="","",TRIM(IF(N(AC51)&gt;=설정!$C$14,"단건"&amp;TEXT(AC51,"0%")&amp;" ","")&amp;IF(AND(N51&gt;0,AD51&gt;0),IF(AD51/N51&gt;=설정!$C$16,"SA대체 ",""),"")&amp;IF(AE51&gt;0,"역분개"&amp;AE51&amp;"건 ","")&amp;IF(O51&gt;=설정!$C$13,"이상치 ","")&amp;IF(AND(I51=0,F51&gt;0),"신규지출 ","")))</f>
        <v/>
      </c>
      <c r="AA51" s="61">
        <f>IF($A51="","",ROUND((AF51+AG51+AH51+AI51)*IF(AND(F51&lt;설정!$C$10,N51&lt;설정!$C$10),0.3,1),1))</f>
        <v/>
      </c>
      <c r="AB51" s="50">
        <f>IF($A51="","",AA51+ROW()/1000000)</f>
        <v/>
      </c>
      <c r="AC51" s="56">
        <f>IF(OR($A51="",N51&lt;=0),"",SUMPRODUCT(MAX((전표_원본!$O$5:$O$100000=$E51)*(전표_원본!$M$5:$M$100000=설정!$C$20)*전표_원본!$P$5:$P$100000))/N51)</f>
        <v/>
      </c>
      <c r="AD51" s="29">
        <f>IF($A51="","",SUMIFS(전표_원본!$P$5:$P$100000,전표_원본!$O$5:$O$100000,$E51,전표_원본!$M$5:$M$100000,설정!$C$20,전표_원본!$E$5:$E$100000,"SA")-SUMIFS(전표_원본!$P$5:$P$100000,전표_원본!$O$5:$O$100000,$E51,전표_원본!$M$5:$M$100000,설정!$C$20-1,전표_원본!$E$5:$E$100000,"SA"))</f>
        <v/>
      </c>
      <c r="AE51" s="62">
        <f>IF($A51="","",COUNTIFS(전표_원본!$O$5:$O$100000,$E51,전표_원본!$M$5:$M$100000,설정!$C$20,전표_원본!$P$5:$P$100000,"&lt;0"))</f>
        <v/>
      </c>
      <c r="AF51" s="61">
        <f>IF($A51="","",MIN(MAX(0,N51)/(설정!$C$10*5),1)*30)</f>
        <v/>
      </c>
      <c r="AG51" s="63">
        <f>IF($A51="","",MIN(MAX(0,H51,J51),1)*20)</f>
        <v/>
      </c>
      <c r="AH51" s="63">
        <f>IF($A51="","",MIN(MAX(0,O51)/3,1)*25)</f>
        <v/>
      </c>
      <c r="AI51" s="63">
        <f>IF($A51="","",IF(OR(W51="부족 예상",W51="무예산"),25,IF(W51="주의",15,0)))</f>
        <v/>
      </c>
    </row>
    <row r="52">
      <c r="A52" s="12" t="inlineStr">
        <is>
          <t>D600</t>
        </is>
      </c>
      <c r="B52" s="22">
        <f>IF($A52="","",IFERROR(INDEX(부서매핑!$D$5:$D$504,MATCH($A52,부서매핑!$C$5:$C$504,0)),"부서매핑 없음"))</f>
        <v/>
      </c>
      <c r="C52" s="59" t="inlineStr">
        <is>
          <t>62601000</t>
        </is>
      </c>
      <c r="D52" s="22">
        <f>IF($A52="","",IFERROR(INDEX(계정매핑!$B$5:$B$504,MATCH($C52&amp;"",계정매핑!$A$5:$A$504,0)),"계정매핑 없음"))</f>
        <v/>
      </c>
      <c r="E52" s="21">
        <f>IF($A52="","",$A52&amp;"|"&amp;$C52)</f>
        <v/>
      </c>
      <c r="F52" s="29">
        <f>IF($A52="","",월별집계!$Z52)</f>
        <v/>
      </c>
      <c r="G52" s="29">
        <f>IF($A52="","",월별집계!$Y52)</f>
        <v/>
      </c>
      <c r="H52" s="60">
        <f>IF($A52="","",IF(G52&lt;=0,IF(F52&gt;0,1,0),F52/G52-1))</f>
        <v/>
      </c>
      <c r="I52" s="29">
        <f>IF($A52="","",월별집계!$N52)</f>
        <v/>
      </c>
      <c r="J52" s="60">
        <f>IF($A52="","",IF(I52&lt;=0,IF(F52&gt;0,1,0),F52/I52-1))</f>
        <v/>
      </c>
      <c r="K52" s="29">
        <f>IF($A52="","",SUMIFS(월별집계!$C52:$Z52,월별집계!$C$5:$Z$5,"&gt;="&amp;설정!$C$22,월별집계!$C$5:$Z$5,"&lt;="&amp;설정!$C$20))</f>
        <v/>
      </c>
      <c r="L52" s="29">
        <f>IF($A52="","",SUMIFS(월별집계!$C52:$Z52,월별집계!$C$5:$Z$5,"&gt;="&amp;(설정!$C$22-3),월별집계!$C$5:$Z$5,"&lt;="&amp;(설정!$C$20-3)))</f>
        <v/>
      </c>
      <c r="M52" s="60">
        <f>IF($A52="","",IF(L52&lt;=0,IF(K52&gt;0,1,0),K52/L52-1))</f>
        <v/>
      </c>
      <c r="N52" s="53">
        <f>IF($A52="","",MAX(F52-G52,F52-I52))</f>
        <v/>
      </c>
      <c r="O52" s="61">
        <f>IF($A52="","",IFERROR((월별집계!$Z52-AVERAGE(월별집계!N52:Y52))/STDEV(월별집계!N52:Y52),0))</f>
        <v/>
      </c>
      <c r="P52" s="29">
        <f>IF($A52="","",SUMIFS(예산판_원본!$O$5:$O$5000,예산판_원본!$L$5:$L$5000,$E52,예산판_원본!$M$5:$M$5000,설정!$C$6))</f>
        <v/>
      </c>
      <c r="Q52" s="29">
        <f>IF($A52="","",SUMIFS(월별집계!$C52:$Z52,월별집계!$C$5:$Z$5,"&gt;="&amp;(설정!$C$6*12+1),월별집계!$C$5:$Z$5,"&lt;="&amp;설정!$C$20))</f>
        <v/>
      </c>
      <c r="R52" s="53">
        <f>IF($A52="","",P52-Q52)</f>
        <v/>
      </c>
      <c r="S52" s="29">
        <f>IF($A52="","",AVERAGE(월별집계!X52:Z52)*(12-설정!$C$7))</f>
        <v/>
      </c>
      <c r="T52" s="29">
        <f>IF($A52="","",IFERROR(Q52/(SUMIFS(월별집계!$C52:$Z52,월별집계!$C$5:$Z$5,"&gt;="&amp;((설정!$C$6-1)*12+1),월별집계!$C$5:$Z$5,"&lt;="&amp;(설정!$C$20-12))/SUMIFS(월별집계!$C52:$Z52,월별집계!$C$5:$Z$5,"&gt;="&amp;((설정!$C$6-1)*12+1),월별집계!$C$5:$Z$5,"&lt;="&amp;((설정!$C$6-1)*12+12)))-Q52,S52))</f>
        <v/>
      </c>
      <c r="U52" s="53">
        <f>IF($A52="","",Q52+MAX(S52,T52))</f>
        <v/>
      </c>
      <c r="V52" s="49">
        <f>IF($A52="","",IF(P52=0,0,U52/P52))</f>
        <v/>
      </c>
      <c r="W52" s="28">
        <f>IF($A52="","",IF(AND(P52=0,Q52&gt;0),"무예산",IF(P52=0,"-",IF(V52&gt;설정!$C$12,"부족 예상",IF(V52&gt;설정!$C$11,"주의","여유")))))</f>
        <v/>
      </c>
      <c r="X52" s="53">
        <f>IF($A52="","",IF(P52=0,0,MAX(0,U52-P52)))</f>
        <v/>
      </c>
      <c r="Y52" s="28">
        <f>IF($A52="","",IF(OR(W52&lt;&gt;"부족 예상",설정!$C$7=12),"",IF(R52&lt;=0,"이미 초과",MIN(12,설정!$C$7+ROUNDUP(R52/(MAX(S52,T52)/(12-설정!$C$7)),0))&amp;"월")))</f>
        <v/>
      </c>
      <c r="Z52" s="22">
        <f>IF($A52="","",TRIM(IF(N(AC52)&gt;=설정!$C$14,"단건"&amp;TEXT(AC52,"0%")&amp;" ","")&amp;IF(AND(N52&gt;0,AD52&gt;0),IF(AD52/N52&gt;=설정!$C$16,"SA대체 ",""),"")&amp;IF(AE52&gt;0,"역분개"&amp;AE52&amp;"건 ","")&amp;IF(O52&gt;=설정!$C$13,"이상치 ","")&amp;IF(AND(I52=0,F52&gt;0),"신규지출 ","")))</f>
        <v/>
      </c>
      <c r="AA52" s="61">
        <f>IF($A52="","",ROUND((AF52+AG52+AH52+AI52)*IF(AND(F52&lt;설정!$C$10,N52&lt;설정!$C$10),0.3,1),1))</f>
        <v/>
      </c>
      <c r="AB52" s="50">
        <f>IF($A52="","",AA52+ROW()/1000000)</f>
        <v/>
      </c>
      <c r="AC52" s="56">
        <f>IF(OR($A52="",N52&lt;=0),"",SUMPRODUCT(MAX((전표_원본!$O$5:$O$100000=$E52)*(전표_원본!$M$5:$M$100000=설정!$C$20)*전표_원본!$P$5:$P$100000))/N52)</f>
        <v/>
      </c>
      <c r="AD52" s="29">
        <f>IF($A52="","",SUMIFS(전표_원본!$P$5:$P$100000,전표_원본!$O$5:$O$100000,$E52,전표_원본!$M$5:$M$100000,설정!$C$20,전표_원본!$E$5:$E$100000,"SA")-SUMIFS(전표_원본!$P$5:$P$100000,전표_원본!$O$5:$O$100000,$E52,전표_원본!$M$5:$M$100000,설정!$C$20-1,전표_원본!$E$5:$E$100000,"SA"))</f>
        <v/>
      </c>
      <c r="AE52" s="62">
        <f>IF($A52="","",COUNTIFS(전표_원본!$O$5:$O$100000,$E52,전표_원본!$M$5:$M$100000,설정!$C$20,전표_원본!$P$5:$P$100000,"&lt;0"))</f>
        <v/>
      </c>
      <c r="AF52" s="61">
        <f>IF($A52="","",MIN(MAX(0,N52)/(설정!$C$10*5),1)*30)</f>
        <v/>
      </c>
      <c r="AG52" s="63">
        <f>IF($A52="","",MIN(MAX(0,H52,J52),1)*20)</f>
        <v/>
      </c>
      <c r="AH52" s="63">
        <f>IF($A52="","",MIN(MAX(0,O52)/3,1)*25)</f>
        <v/>
      </c>
      <c r="AI52" s="63">
        <f>IF($A52="","",IF(OR(W52="부족 예상",W52="무예산"),25,IF(W52="주의",15,0)))</f>
        <v/>
      </c>
    </row>
    <row r="53">
      <c r="A53" s="12" t="inlineStr">
        <is>
          <t>D600</t>
        </is>
      </c>
      <c r="B53" s="22">
        <f>IF($A53="","",IFERROR(INDEX(부서매핑!$D$5:$D$504,MATCH($A53,부서매핑!$C$5:$C$504,0)),"부서매핑 없음"))</f>
        <v/>
      </c>
      <c r="C53" s="59" t="inlineStr">
        <is>
          <t>63101000</t>
        </is>
      </c>
      <c r="D53" s="22">
        <f>IF($A53="","",IFERROR(INDEX(계정매핑!$B$5:$B$504,MATCH($C53&amp;"",계정매핑!$A$5:$A$504,0)),"계정매핑 없음"))</f>
        <v/>
      </c>
      <c r="E53" s="21">
        <f>IF($A53="","",$A53&amp;"|"&amp;$C53)</f>
        <v/>
      </c>
      <c r="F53" s="29">
        <f>IF($A53="","",월별집계!$Z53)</f>
        <v/>
      </c>
      <c r="G53" s="29">
        <f>IF($A53="","",월별집계!$Y53)</f>
        <v/>
      </c>
      <c r="H53" s="60">
        <f>IF($A53="","",IF(G53&lt;=0,IF(F53&gt;0,1,0),F53/G53-1))</f>
        <v/>
      </c>
      <c r="I53" s="29">
        <f>IF($A53="","",월별집계!$N53)</f>
        <v/>
      </c>
      <c r="J53" s="60">
        <f>IF($A53="","",IF(I53&lt;=0,IF(F53&gt;0,1,0),F53/I53-1))</f>
        <v/>
      </c>
      <c r="K53" s="29">
        <f>IF($A53="","",SUMIFS(월별집계!$C53:$Z53,월별집계!$C$5:$Z$5,"&gt;="&amp;설정!$C$22,월별집계!$C$5:$Z$5,"&lt;="&amp;설정!$C$20))</f>
        <v/>
      </c>
      <c r="L53" s="29">
        <f>IF($A53="","",SUMIFS(월별집계!$C53:$Z53,월별집계!$C$5:$Z$5,"&gt;="&amp;(설정!$C$22-3),월별집계!$C$5:$Z$5,"&lt;="&amp;(설정!$C$20-3)))</f>
        <v/>
      </c>
      <c r="M53" s="60">
        <f>IF($A53="","",IF(L53&lt;=0,IF(K53&gt;0,1,0),K53/L53-1))</f>
        <v/>
      </c>
      <c r="N53" s="53">
        <f>IF($A53="","",MAX(F53-G53,F53-I53))</f>
        <v/>
      </c>
      <c r="O53" s="61">
        <f>IF($A53="","",IFERROR((월별집계!$Z53-AVERAGE(월별집계!N53:Y53))/STDEV(월별집계!N53:Y53),0))</f>
        <v/>
      </c>
      <c r="P53" s="29">
        <f>IF($A53="","",SUMIFS(예산판_원본!$O$5:$O$5000,예산판_원본!$L$5:$L$5000,$E53,예산판_원본!$M$5:$M$5000,설정!$C$6))</f>
        <v/>
      </c>
      <c r="Q53" s="29">
        <f>IF($A53="","",SUMIFS(월별집계!$C53:$Z53,월별집계!$C$5:$Z$5,"&gt;="&amp;(설정!$C$6*12+1),월별집계!$C$5:$Z$5,"&lt;="&amp;설정!$C$20))</f>
        <v/>
      </c>
      <c r="R53" s="53">
        <f>IF($A53="","",P53-Q53)</f>
        <v/>
      </c>
      <c r="S53" s="29">
        <f>IF($A53="","",AVERAGE(월별집계!X53:Z53)*(12-설정!$C$7))</f>
        <v/>
      </c>
      <c r="T53" s="29">
        <f>IF($A53="","",IFERROR(Q53/(SUMIFS(월별집계!$C53:$Z53,월별집계!$C$5:$Z$5,"&gt;="&amp;((설정!$C$6-1)*12+1),월별집계!$C$5:$Z$5,"&lt;="&amp;(설정!$C$20-12))/SUMIFS(월별집계!$C53:$Z53,월별집계!$C$5:$Z$5,"&gt;="&amp;((설정!$C$6-1)*12+1),월별집계!$C$5:$Z$5,"&lt;="&amp;((설정!$C$6-1)*12+12)))-Q53,S53))</f>
        <v/>
      </c>
      <c r="U53" s="53">
        <f>IF($A53="","",Q53+MAX(S53,T53))</f>
        <v/>
      </c>
      <c r="V53" s="49">
        <f>IF($A53="","",IF(P53=0,0,U53/P53))</f>
        <v/>
      </c>
      <c r="W53" s="28">
        <f>IF($A53="","",IF(AND(P53=0,Q53&gt;0),"무예산",IF(P53=0,"-",IF(V53&gt;설정!$C$12,"부족 예상",IF(V53&gt;설정!$C$11,"주의","여유")))))</f>
        <v/>
      </c>
      <c r="X53" s="53">
        <f>IF($A53="","",IF(P53=0,0,MAX(0,U53-P53)))</f>
        <v/>
      </c>
      <c r="Y53" s="28">
        <f>IF($A53="","",IF(OR(W53&lt;&gt;"부족 예상",설정!$C$7=12),"",IF(R53&lt;=0,"이미 초과",MIN(12,설정!$C$7+ROUNDUP(R53/(MAX(S53,T53)/(12-설정!$C$7)),0))&amp;"월")))</f>
        <v/>
      </c>
      <c r="Z53" s="22">
        <f>IF($A53="","",TRIM(IF(N(AC53)&gt;=설정!$C$14,"단건"&amp;TEXT(AC53,"0%")&amp;" ","")&amp;IF(AND(N53&gt;0,AD53&gt;0),IF(AD53/N53&gt;=설정!$C$16,"SA대체 ",""),"")&amp;IF(AE53&gt;0,"역분개"&amp;AE53&amp;"건 ","")&amp;IF(O53&gt;=설정!$C$13,"이상치 ","")&amp;IF(AND(I53=0,F53&gt;0),"신규지출 ","")))</f>
        <v/>
      </c>
      <c r="AA53" s="61">
        <f>IF($A53="","",ROUND((AF53+AG53+AH53+AI53)*IF(AND(F53&lt;설정!$C$10,N53&lt;설정!$C$10),0.3,1),1))</f>
        <v/>
      </c>
      <c r="AB53" s="50">
        <f>IF($A53="","",AA53+ROW()/1000000)</f>
        <v/>
      </c>
      <c r="AC53" s="56">
        <f>IF(OR($A53="",N53&lt;=0),"",SUMPRODUCT(MAX((전표_원본!$O$5:$O$100000=$E53)*(전표_원본!$M$5:$M$100000=설정!$C$20)*전표_원본!$P$5:$P$100000))/N53)</f>
        <v/>
      </c>
      <c r="AD53" s="29">
        <f>IF($A53="","",SUMIFS(전표_원본!$P$5:$P$100000,전표_원본!$O$5:$O$100000,$E53,전표_원본!$M$5:$M$100000,설정!$C$20,전표_원본!$E$5:$E$100000,"SA")-SUMIFS(전표_원본!$P$5:$P$100000,전표_원본!$O$5:$O$100000,$E53,전표_원본!$M$5:$M$100000,설정!$C$20-1,전표_원본!$E$5:$E$100000,"SA"))</f>
        <v/>
      </c>
      <c r="AE53" s="62">
        <f>IF($A53="","",COUNTIFS(전표_원본!$O$5:$O$100000,$E53,전표_원본!$M$5:$M$100000,설정!$C$20,전표_원본!$P$5:$P$100000,"&lt;0"))</f>
        <v/>
      </c>
      <c r="AF53" s="61">
        <f>IF($A53="","",MIN(MAX(0,N53)/(설정!$C$10*5),1)*30)</f>
        <v/>
      </c>
      <c r="AG53" s="63">
        <f>IF($A53="","",MIN(MAX(0,H53,J53),1)*20)</f>
        <v/>
      </c>
      <c r="AH53" s="63">
        <f>IF($A53="","",MIN(MAX(0,O53)/3,1)*25)</f>
        <v/>
      </c>
      <c r="AI53" s="63">
        <f>IF($A53="","",IF(OR(W53="부족 예상",W53="무예산"),25,IF(W53="주의",15,0)))</f>
        <v/>
      </c>
    </row>
    <row r="54">
      <c r="A54" s="12" t="inlineStr">
        <is>
          <t>D600</t>
        </is>
      </c>
      <c r="B54" s="22">
        <f>IF($A54="","",IFERROR(INDEX(부서매핑!$D$5:$D$504,MATCH($A54,부서매핑!$C$5:$C$504,0)),"부서매핑 없음"))</f>
        <v/>
      </c>
      <c r="C54" s="59" t="inlineStr">
        <is>
          <t>63201000</t>
        </is>
      </c>
      <c r="D54" s="22">
        <f>IF($A54="","",IFERROR(INDEX(계정매핑!$B$5:$B$504,MATCH($C54&amp;"",계정매핑!$A$5:$A$504,0)),"계정매핑 없음"))</f>
        <v/>
      </c>
      <c r="E54" s="21">
        <f>IF($A54="","",$A54&amp;"|"&amp;$C54)</f>
        <v/>
      </c>
      <c r="F54" s="29">
        <f>IF($A54="","",월별집계!$Z54)</f>
        <v/>
      </c>
      <c r="G54" s="29">
        <f>IF($A54="","",월별집계!$Y54)</f>
        <v/>
      </c>
      <c r="H54" s="60">
        <f>IF($A54="","",IF(G54&lt;=0,IF(F54&gt;0,1,0),F54/G54-1))</f>
        <v/>
      </c>
      <c r="I54" s="29">
        <f>IF($A54="","",월별집계!$N54)</f>
        <v/>
      </c>
      <c r="J54" s="60">
        <f>IF($A54="","",IF(I54&lt;=0,IF(F54&gt;0,1,0),F54/I54-1))</f>
        <v/>
      </c>
      <c r="K54" s="29">
        <f>IF($A54="","",SUMIFS(월별집계!$C54:$Z54,월별집계!$C$5:$Z$5,"&gt;="&amp;설정!$C$22,월별집계!$C$5:$Z$5,"&lt;="&amp;설정!$C$20))</f>
        <v/>
      </c>
      <c r="L54" s="29">
        <f>IF($A54="","",SUMIFS(월별집계!$C54:$Z54,월별집계!$C$5:$Z$5,"&gt;="&amp;(설정!$C$22-3),월별집계!$C$5:$Z$5,"&lt;="&amp;(설정!$C$20-3)))</f>
        <v/>
      </c>
      <c r="M54" s="60">
        <f>IF($A54="","",IF(L54&lt;=0,IF(K54&gt;0,1,0),K54/L54-1))</f>
        <v/>
      </c>
      <c r="N54" s="53">
        <f>IF($A54="","",MAX(F54-G54,F54-I54))</f>
        <v/>
      </c>
      <c r="O54" s="61">
        <f>IF($A54="","",IFERROR((월별집계!$Z54-AVERAGE(월별집계!N54:Y54))/STDEV(월별집계!N54:Y54),0))</f>
        <v/>
      </c>
      <c r="P54" s="29">
        <f>IF($A54="","",SUMIFS(예산판_원본!$O$5:$O$5000,예산판_원본!$L$5:$L$5000,$E54,예산판_원본!$M$5:$M$5000,설정!$C$6))</f>
        <v/>
      </c>
      <c r="Q54" s="29">
        <f>IF($A54="","",SUMIFS(월별집계!$C54:$Z54,월별집계!$C$5:$Z$5,"&gt;="&amp;(설정!$C$6*12+1),월별집계!$C$5:$Z$5,"&lt;="&amp;설정!$C$20))</f>
        <v/>
      </c>
      <c r="R54" s="53">
        <f>IF($A54="","",P54-Q54)</f>
        <v/>
      </c>
      <c r="S54" s="29">
        <f>IF($A54="","",AVERAGE(월별집계!X54:Z54)*(12-설정!$C$7))</f>
        <v/>
      </c>
      <c r="T54" s="29">
        <f>IF($A54="","",IFERROR(Q54/(SUMIFS(월별집계!$C54:$Z54,월별집계!$C$5:$Z$5,"&gt;="&amp;((설정!$C$6-1)*12+1),월별집계!$C$5:$Z$5,"&lt;="&amp;(설정!$C$20-12))/SUMIFS(월별집계!$C54:$Z54,월별집계!$C$5:$Z$5,"&gt;="&amp;((설정!$C$6-1)*12+1),월별집계!$C$5:$Z$5,"&lt;="&amp;((설정!$C$6-1)*12+12)))-Q54,S54))</f>
        <v/>
      </c>
      <c r="U54" s="53">
        <f>IF($A54="","",Q54+MAX(S54,T54))</f>
        <v/>
      </c>
      <c r="V54" s="49">
        <f>IF($A54="","",IF(P54=0,0,U54/P54))</f>
        <v/>
      </c>
      <c r="W54" s="28">
        <f>IF($A54="","",IF(AND(P54=0,Q54&gt;0),"무예산",IF(P54=0,"-",IF(V54&gt;설정!$C$12,"부족 예상",IF(V54&gt;설정!$C$11,"주의","여유")))))</f>
        <v/>
      </c>
      <c r="X54" s="53">
        <f>IF($A54="","",IF(P54=0,0,MAX(0,U54-P54)))</f>
        <v/>
      </c>
      <c r="Y54" s="28">
        <f>IF($A54="","",IF(OR(W54&lt;&gt;"부족 예상",설정!$C$7=12),"",IF(R54&lt;=0,"이미 초과",MIN(12,설정!$C$7+ROUNDUP(R54/(MAX(S54,T54)/(12-설정!$C$7)),0))&amp;"월")))</f>
        <v/>
      </c>
      <c r="Z54" s="22">
        <f>IF($A54="","",TRIM(IF(N(AC54)&gt;=설정!$C$14,"단건"&amp;TEXT(AC54,"0%")&amp;" ","")&amp;IF(AND(N54&gt;0,AD54&gt;0),IF(AD54/N54&gt;=설정!$C$16,"SA대체 ",""),"")&amp;IF(AE54&gt;0,"역분개"&amp;AE54&amp;"건 ","")&amp;IF(O54&gt;=설정!$C$13,"이상치 ","")&amp;IF(AND(I54=0,F54&gt;0),"신규지출 ","")))</f>
        <v/>
      </c>
      <c r="AA54" s="61">
        <f>IF($A54="","",ROUND((AF54+AG54+AH54+AI54)*IF(AND(F54&lt;설정!$C$10,N54&lt;설정!$C$10),0.3,1),1))</f>
        <v/>
      </c>
      <c r="AB54" s="50">
        <f>IF($A54="","",AA54+ROW()/1000000)</f>
        <v/>
      </c>
      <c r="AC54" s="56">
        <f>IF(OR($A54="",N54&lt;=0),"",SUMPRODUCT(MAX((전표_원본!$O$5:$O$100000=$E54)*(전표_원본!$M$5:$M$100000=설정!$C$20)*전표_원본!$P$5:$P$100000))/N54)</f>
        <v/>
      </c>
      <c r="AD54" s="29">
        <f>IF($A54="","",SUMIFS(전표_원본!$P$5:$P$100000,전표_원본!$O$5:$O$100000,$E54,전표_원본!$M$5:$M$100000,설정!$C$20,전표_원본!$E$5:$E$100000,"SA")-SUMIFS(전표_원본!$P$5:$P$100000,전표_원본!$O$5:$O$100000,$E54,전표_원본!$M$5:$M$100000,설정!$C$20-1,전표_원본!$E$5:$E$100000,"SA"))</f>
        <v/>
      </c>
      <c r="AE54" s="62">
        <f>IF($A54="","",COUNTIFS(전표_원본!$O$5:$O$100000,$E54,전표_원본!$M$5:$M$100000,설정!$C$20,전표_원본!$P$5:$P$100000,"&lt;0"))</f>
        <v/>
      </c>
      <c r="AF54" s="61">
        <f>IF($A54="","",MIN(MAX(0,N54)/(설정!$C$10*5),1)*30)</f>
        <v/>
      </c>
      <c r="AG54" s="63">
        <f>IF($A54="","",MIN(MAX(0,H54,J54),1)*20)</f>
        <v/>
      </c>
      <c r="AH54" s="63">
        <f>IF($A54="","",MIN(MAX(0,O54)/3,1)*25)</f>
        <v/>
      </c>
      <c r="AI54" s="63">
        <f>IF($A54="","",IF(OR(W54="부족 예상",W54="무예산"),25,IF(W54="주의",15,0)))</f>
        <v/>
      </c>
    </row>
    <row r="55">
      <c r="A55" s="12" t="inlineStr">
        <is>
          <t>D700</t>
        </is>
      </c>
      <c r="B55" s="22">
        <f>IF($A55="","",IFERROR(INDEX(부서매핑!$D$5:$D$504,MATCH($A55,부서매핑!$C$5:$C$504,0)),"부서매핑 없음"))</f>
        <v/>
      </c>
      <c r="C55" s="59" t="inlineStr">
        <is>
          <t>62101000</t>
        </is>
      </c>
      <c r="D55" s="22">
        <f>IF($A55="","",IFERROR(INDEX(계정매핑!$B$5:$B$504,MATCH($C55&amp;"",계정매핑!$A$5:$A$504,0)),"계정매핑 없음"))</f>
        <v/>
      </c>
      <c r="E55" s="21">
        <f>IF($A55="","",$A55&amp;"|"&amp;$C55)</f>
        <v/>
      </c>
      <c r="F55" s="29">
        <f>IF($A55="","",월별집계!$Z55)</f>
        <v/>
      </c>
      <c r="G55" s="29">
        <f>IF($A55="","",월별집계!$Y55)</f>
        <v/>
      </c>
      <c r="H55" s="60">
        <f>IF($A55="","",IF(G55&lt;=0,IF(F55&gt;0,1,0),F55/G55-1))</f>
        <v/>
      </c>
      <c r="I55" s="29">
        <f>IF($A55="","",월별집계!$N55)</f>
        <v/>
      </c>
      <c r="J55" s="60">
        <f>IF($A55="","",IF(I55&lt;=0,IF(F55&gt;0,1,0),F55/I55-1))</f>
        <v/>
      </c>
      <c r="K55" s="29">
        <f>IF($A55="","",SUMIFS(월별집계!$C55:$Z55,월별집계!$C$5:$Z$5,"&gt;="&amp;설정!$C$22,월별집계!$C$5:$Z$5,"&lt;="&amp;설정!$C$20))</f>
        <v/>
      </c>
      <c r="L55" s="29">
        <f>IF($A55="","",SUMIFS(월별집계!$C55:$Z55,월별집계!$C$5:$Z$5,"&gt;="&amp;(설정!$C$22-3),월별집계!$C$5:$Z$5,"&lt;="&amp;(설정!$C$20-3)))</f>
        <v/>
      </c>
      <c r="M55" s="60">
        <f>IF($A55="","",IF(L55&lt;=0,IF(K55&gt;0,1,0),K55/L55-1))</f>
        <v/>
      </c>
      <c r="N55" s="53">
        <f>IF($A55="","",MAX(F55-G55,F55-I55))</f>
        <v/>
      </c>
      <c r="O55" s="61">
        <f>IF($A55="","",IFERROR((월별집계!$Z55-AVERAGE(월별집계!N55:Y55))/STDEV(월별집계!N55:Y55),0))</f>
        <v/>
      </c>
      <c r="P55" s="29">
        <f>IF($A55="","",SUMIFS(예산판_원본!$O$5:$O$5000,예산판_원본!$L$5:$L$5000,$E55,예산판_원본!$M$5:$M$5000,설정!$C$6))</f>
        <v/>
      </c>
      <c r="Q55" s="29">
        <f>IF($A55="","",SUMIFS(월별집계!$C55:$Z55,월별집계!$C$5:$Z$5,"&gt;="&amp;(설정!$C$6*12+1),월별집계!$C$5:$Z$5,"&lt;="&amp;설정!$C$20))</f>
        <v/>
      </c>
      <c r="R55" s="53">
        <f>IF($A55="","",P55-Q55)</f>
        <v/>
      </c>
      <c r="S55" s="29">
        <f>IF($A55="","",AVERAGE(월별집계!X55:Z55)*(12-설정!$C$7))</f>
        <v/>
      </c>
      <c r="T55" s="29">
        <f>IF($A55="","",IFERROR(Q55/(SUMIFS(월별집계!$C55:$Z55,월별집계!$C$5:$Z$5,"&gt;="&amp;((설정!$C$6-1)*12+1),월별집계!$C$5:$Z$5,"&lt;="&amp;(설정!$C$20-12))/SUMIFS(월별집계!$C55:$Z55,월별집계!$C$5:$Z$5,"&gt;="&amp;((설정!$C$6-1)*12+1),월별집계!$C$5:$Z$5,"&lt;="&amp;((설정!$C$6-1)*12+12)))-Q55,S55))</f>
        <v/>
      </c>
      <c r="U55" s="53">
        <f>IF($A55="","",Q55+MAX(S55,T55))</f>
        <v/>
      </c>
      <c r="V55" s="49">
        <f>IF($A55="","",IF(P55=0,0,U55/P55))</f>
        <v/>
      </c>
      <c r="W55" s="28">
        <f>IF($A55="","",IF(AND(P55=0,Q55&gt;0),"무예산",IF(P55=0,"-",IF(V55&gt;설정!$C$12,"부족 예상",IF(V55&gt;설정!$C$11,"주의","여유")))))</f>
        <v/>
      </c>
      <c r="X55" s="53">
        <f>IF($A55="","",IF(P55=0,0,MAX(0,U55-P55)))</f>
        <v/>
      </c>
      <c r="Y55" s="28">
        <f>IF($A55="","",IF(OR(W55&lt;&gt;"부족 예상",설정!$C$7=12),"",IF(R55&lt;=0,"이미 초과",MIN(12,설정!$C$7+ROUNDUP(R55/(MAX(S55,T55)/(12-설정!$C$7)),0))&amp;"월")))</f>
        <v/>
      </c>
      <c r="Z55" s="22">
        <f>IF($A55="","",TRIM(IF(N(AC55)&gt;=설정!$C$14,"단건"&amp;TEXT(AC55,"0%")&amp;" ","")&amp;IF(AND(N55&gt;0,AD55&gt;0),IF(AD55/N55&gt;=설정!$C$16,"SA대체 ",""),"")&amp;IF(AE55&gt;0,"역분개"&amp;AE55&amp;"건 ","")&amp;IF(O55&gt;=설정!$C$13,"이상치 ","")&amp;IF(AND(I55=0,F55&gt;0),"신규지출 ","")))</f>
        <v/>
      </c>
      <c r="AA55" s="61">
        <f>IF($A55="","",ROUND((AF55+AG55+AH55+AI55)*IF(AND(F55&lt;설정!$C$10,N55&lt;설정!$C$10),0.3,1),1))</f>
        <v/>
      </c>
      <c r="AB55" s="50">
        <f>IF($A55="","",AA55+ROW()/1000000)</f>
        <v/>
      </c>
      <c r="AC55" s="56">
        <f>IF(OR($A55="",N55&lt;=0),"",SUMPRODUCT(MAX((전표_원본!$O$5:$O$100000=$E55)*(전표_원본!$M$5:$M$100000=설정!$C$20)*전표_원본!$P$5:$P$100000))/N55)</f>
        <v/>
      </c>
      <c r="AD55" s="29">
        <f>IF($A55="","",SUMIFS(전표_원본!$P$5:$P$100000,전표_원본!$O$5:$O$100000,$E55,전표_원본!$M$5:$M$100000,설정!$C$20,전표_원본!$E$5:$E$100000,"SA")-SUMIFS(전표_원본!$P$5:$P$100000,전표_원본!$O$5:$O$100000,$E55,전표_원본!$M$5:$M$100000,설정!$C$20-1,전표_원본!$E$5:$E$100000,"SA"))</f>
        <v/>
      </c>
      <c r="AE55" s="62">
        <f>IF($A55="","",COUNTIFS(전표_원본!$O$5:$O$100000,$E55,전표_원본!$M$5:$M$100000,설정!$C$20,전표_원본!$P$5:$P$100000,"&lt;0"))</f>
        <v/>
      </c>
      <c r="AF55" s="61">
        <f>IF($A55="","",MIN(MAX(0,N55)/(설정!$C$10*5),1)*30)</f>
        <v/>
      </c>
      <c r="AG55" s="63">
        <f>IF($A55="","",MIN(MAX(0,H55,J55),1)*20)</f>
        <v/>
      </c>
      <c r="AH55" s="63">
        <f>IF($A55="","",MIN(MAX(0,O55)/3,1)*25)</f>
        <v/>
      </c>
      <c r="AI55" s="63">
        <f>IF($A55="","",IF(OR(W55="부족 예상",W55="무예산"),25,IF(W55="주의",15,0)))</f>
        <v/>
      </c>
    </row>
    <row r="56">
      <c r="A56" s="12" t="inlineStr">
        <is>
          <t>D700</t>
        </is>
      </c>
      <c r="B56" s="22">
        <f>IF($A56="","",IFERROR(INDEX(부서매핑!$D$5:$D$504,MATCH($A56,부서매핑!$C$5:$C$504,0)),"부서매핑 없음"))</f>
        <v/>
      </c>
      <c r="C56" s="59" t="inlineStr">
        <is>
          <t>62102000</t>
        </is>
      </c>
      <c r="D56" s="22">
        <f>IF($A56="","",IFERROR(INDEX(계정매핑!$B$5:$B$504,MATCH($C56&amp;"",계정매핑!$A$5:$A$504,0)),"계정매핑 없음"))</f>
        <v/>
      </c>
      <c r="E56" s="21">
        <f>IF($A56="","",$A56&amp;"|"&amp;$C56)</f>
        <v/>
      </c>
      <c r="F56" s="29">
        <f>IF($A56="","",월별집계!$Z56)</f>
        <v/>
      </c>
      <c r="G56" s="29">
        <f>IF($A56="","",월별집계!$Y56)</f>
        <v/>
      </c>
      <c r="H56" s="60">
        <f>IF($A56="","",IF(G56&lt;=0,IF(F56&gt;0,1,0),F56/G56-1))</f>
        <v/>
      </c>
      <c r="I56" s="29">
        <f>IF($A56="","",월별집계!$N56)</f>
        <v/>
      </c>
      <c r="J56" s="60">
        <f>IF($A56="","",IF(I56&lt;=0,IF(F56&gt;0,1,0),F56/I56-1))</f>
        <v/>
      </c>
      <c r="K56" s="29">
        <f>IF($A56="","",SUMIFS(월별집계!$C56:$Z56,월별집계!$C$5:$Z$5,"&gt;="&amp;설정!$C$22,월별집계!$C$5:$Z$5,"&lt;="&amp;설정!$C$20))</f>
        <v/>
      </c>
      <c r="L56" s="29">
        <f>IF($A56="","",SUMIFS(월별집계!$C56:$Z56,월별집계!$C$5:$Z$5,"&gt;="&amp;(설정!$C$22-3),월별집계!$C$5:$Z$5,"&lt;="&amp;(설정!$C$20-3)))</f>
        <v/>
      </c>
      <c r="M56" s="60">
        <f>IF($A56="","",IF(L56&lt;=0,IF(K56&gt;0,1,0),K56/L56-1))</f>
        <v/>
      </c>
      <c r="N56" s="53">
        <f>IF($A56="","",MAX(F56-G56,F56-I56))</f>
        <v/>
      </c>
      <c r="O56" s="61">
        <f>IF($A56="","",IFERROR((월별집계!$Z56-AVERAGE(월별집계!N56:Y56))/STDEV(월별집계!N56:Y56),0))</f>
        <v/>
      </c>
      <c r="P56" s="29">
        <f>IF($A56="","",SUMIFS(예산판_원본!$O$5:$O$5000,예산판_원본!$L$5:$L$5000,$E56,예산판_원본!$M$5:$M$5000,설정!$C$6))</f>
        <v/>
      </c>
      <c r="Q56" s="29">
        <f>IF($A56="","",SUMIFS(월별집계!$C56:$Z56,월별집계!$C$5:$Z$5,"&gt;="&amp;(설정!$C$6*12+1),월별집계!$C$5:$Z$5,"&lt;="&amp;설정!$C$20))</f>
        <v/>
      </c>
      <c r="R56" s="53">
        <f>IF($A56="","",P56-Q56)</f>
        <v/>
      </c>
      <c r="S56" s="29">
        <f>IF($A56="","",AVERAGE(월별집계!X56:Z56)*(12-설정!$C$7))</f>
        <v/>
      </c>
      <c r="T56" s="29">
        <f>IF($A56="","",IFERROR(Q56/(SUMIFS(월별집계!$C56:$Z56,월별집계!$C$5:$Z$5,"&gt;="&amp;((설정!$C$6-1)*12+1),월별집계!$C$5:$Z$5,"&lt;="&amp;(설정!$C$20-12))/SUMIFS(월별집계!$C56:$Z56,월별집계!$C$5:$Z$5,"&gt;="&amp;((설정!$C$6-1)*12+1),월별집계!$C$5:$Z$5,"&lt;="&amp;((설정!$C$6-1)*12+12)))-Q56,S56))</f>
        <v/>
      </c>
      <c r="U56" s="53">
        <f>IF($A56="","",Q56+MAX(S56,T56))</f>
        <v/>
      </c>
      <c r="V56" s="49">
        <f>IF($A56="","",IF(P56=0,0,U56/P56))</f>
        <v/>
      </c>
      <c r="W56" s="28">
        <f>IF($A56="","",IF(AND(P56=0,Q56&gt;0),"무예산",IF(P56=0,"-",IF(V56&gt;설정!$C$12,"부족 예상",IF(V56&gt;설정!$C$11,"주의","여유")))))</f>
        <v/>
      </c>
      <c r="X56" s="53">
        <f>IF($A56="","",IF(P56=0,0,MAX(0,U56-P56)))</f>
        <v/>
      </c>
      <c r="Y56" s="28">
        <f>IF($A56="","",IF(OR(W56&lt;&gt;"부족 예상",설정!$C$7=12),"",IF(R56&lt;=0,"이미 초과",MIN(12,설정!$C$7+ROUNDUP(R56/(MAX(S56,T56)/(12-설정!$C$7)),0))&amp;"월")))</f>
        <v/>
      </c>
      <c r="Z56" s="22">
        <f>IF($A56="","",TRIM(IF(N(AC56)&gt;=설정!$C$14,"단건"&amp;TEXT(AC56,"0%")&amp;" ","")&amp;IF(AND(N56&gt;0,AD56&gt;0),IF(AD56/N56&gt;=설정!$C$16,"SA대체 ",""),"")&amp;IF(AE56&gt;0,"역분개"&amp;AE56&amp;"건 ","")&amp;IF(O56&gt;=설정!$C$13,"이상치 ","")&amp;IF(AND(I56=0,F56&gt;0),"신규지출 ","")))</f>
        <v/>
      </c>
      <c r="AA56" s="61">
        <f>IF($A56="","",ROUND((AF56+AG56+AH56+AI56)*IF(AND(F56&lt;설정!$C$10,N56&lt;설정!$C$10),0.3,1),1))</f>
        <v/>
      </c>
      <c r="AB56" s="50">
        <f>IF($A56="","",AA56+ROW()/1000000)</f>
        <v/>
      </c>
      <c r="AC56" s="56">
        <f>IF(OR($A56="",N56&lt;=0),"",SUMPRODUCT(MAX((전표_원본!$O$5:$O$100000=$E56)*(전표_원본!$M$5:$M$100000=설정!$C$20)*전표_원본!$P$5:$P$100000))/N56)</f>
        <v/>
      </c>
      <c r="AD56" s="29">
        <f>IF($A56="","",SUMIFS(전표_원본!$P$5:$P$100000,전표_원본!$O$5:$O$100000,$E56,전표_원본!$M$5:$M$100000,설정!$C$20,전표_원본!$E$5:$E$100000,"SA")-SUMIFS(전표_원본!$P$5:$P$100000,전표_원본!$O$5:$O$100000,$E56,전표_원본!$M$5:$M$100000,설정!$C$20-1,전표_원본!$E$5:$E$100000,"SA"))</f>
        <v/>
      </c>
      <c r="AE56" s="62">
        <f>IF($A56="","",COUNTIFS(전표_원본!$O$5:$O$100000,$E56,전표_원본!$M$5:$M$100000,설정!$C$20,전표_원본!$P$5:$P$100000,"&lt;0"))</f>
        <v/>
      </c>
      <c r="AF56" s="61">
        <f>IF($A56="","",MIN(MAX(0,N56)/(설정!$C$10*5),1)*30)</f>
        <v/>
      </c>
      <c r="AG56" s="63">
        <f>IF($A56="","",MIN(MAX(0,H56,J56),1)*20)</f>
        <v/>
      </c>
      <c r="AH56" s="63">
        <f>IF($A56="","",MIN(MAX(0,O56)/3,1)*25)</f>
        <v/>
      </c>
      <c r="AI56" s="63">
        <f>IF($A56="","",IF(OR(W56="부족 예상",W56="무예산"),25,IF(W56="주의",15,0)))</f>
        <v/>
      </c>
    </row>
    <row r="57">
      <c r="A57" s="12" t="inlineStr">
        <is>
          <t>D700</t>
        </is>
      </c>
      <c r="B57" s="22">
        <f>IF($A57="","",IFERROR(INDEX(부서매핑!$D$5:$D$504,MATCH($A57,부서매핑!$C$5:$C$504,0)),"부서매핑 없음"))</f>
        <v/>
      </c>
      <c r="C57" s="59" t="inlineStr">
        <is>
          <t>62201000</t>
        </is>
      </c>
      <c r="D57" s="22">
        <f>IF($A57="","",IFERROR(INDEX(계정매핑!$B$5:$B$504,MATCH($C57&amp;"",계정매핑!$A$5:$A$504,0)),"계정매핑 없음"))</f>
        <v/>
      </c>
      <c r="E57" s="21">
        <f>IF($A57="","",$A57&amp;"|"&amp;$C57)</f>
        <v/>
      </c>
      <c r="F57" s="29">
        <f>IF($A57="","",월별집계!$Z57)</f>
        <v/>
      </c>
      <c r="G57" s="29">
        <f>IF($A57="","",월별집계!$Y57)</f>
        <v/>
      </c>
      <c r="H57" s="60">
        <f>IF($A57="","",IF(G57&lt;=0,IF(F57&gt;0,1,0),F57/G57-1))</f>
        <v/>
      </c>
      <c r="I57" s="29">
        <f>IF($A57="","",월별집계!$N57)</f>
        <v/>
      </c>
      <c r="J57" s="60">
        <f>IF($A57="","",IF(I57&lt;=0,IF(F57&gt;0,1,0),F57/I57-1))</f>
        <v/>
      </c>
      <c r="K57" s="29">
        <f>IF($A57="","",SUMIFS(월별집계!$C57:$Z57,월별집계!$C$5:$Z$5,"&gt;="&amp;설정!$C$22,월별집계!$C$5:$Z$5,"&lt;="&amp;설정!$C$20))</f>
        <v/>
      </c>
      <c r="L57" s="29">
        <f>IF($A57="","",SUMIFS(월별집계!$C57:$Z57,월별집계!$C$5:$Z$5,"&gt;="&amp;(설정!$C$22-3),월별집계!$C$5:$Z$5,"&lt;="&amp;(설정!$C$20-3)))</f>
        <v/>
      </c>
      <c r="M57" s="60">
        <f>IF($A57="","",IF(L57&lt;=0,IF(K57&gt;0,1,0),K57/L57-1))</f>
        <v/>
      </c>
      <c r="N57" s="53">
        <f>IF($A57="","",MAX(F57-G57,F57-I57))</f>
        <v/>
      </c>
      <c r="O57" s="61">
        <f>IF($A57="","",IFERROR((월별집계!$Z57-AVERAGE(월별집계!N57:Y57))/STDEV(월별집계!N57:Y57),0))</f>
        <v/>
      </c>
      <c r="P57" s="29">
        <f>IF($A57="","",SUMIFS(예산판_원본!$O$5:$O$5000,예산판_원본!$L$5:$L$5000,$E57,예산판_원본!$M$5:$M$5000,설정!$C$6))</f>
        <v/>
      </c>
      <c r="Q57" s="29">
        <f>IF($A57="","",SUMIFS(월별집계!$C57:$Z57,월별집계!$C$5:$Z$5,"&gt;="&amp;(설정!$C$6*12+1),월별집계!$C$5:$Z$5,"&lt;="&amp;설정!$C$20))</f>
        <v/>
      </c>
      <c r="R57" s="53">
        <f>IF($A57="","",P57-Q57)</f>
        <v/>
      </c>
      <c r="S57" s="29">
        <f>IF($A57="","",AVERAGE(월별집계!X57:Z57)*(12-설정!$C$7))</f>
        <v/>
      </c>
      <c r="T57" s="29">
        <f>IF($A57="","",IFERROR(Q57/(SUMIFS(월별집계!$C57:$Z57,월별집계!$C$5:$Z$5,"&gt;="&amp;((설정!$C$6-1)*12+1),월별집계!$C$5:$Z$5,"&lt;="&amp;(설정!$C$20-12))/SUMIFS(월별집계!$C57:$Z57,월별집계!$C$5:$Z$5,"&gt;="&amp;((설정!$C$6-1)*12+1),월별집계!$C$5:$Z$5,"&lt;="&amp;((설정!$C$6-1)*12+12)))-Q57,S57))</f>
        <v/>
      </c>
      <c r="U57" s="53">
        <f>IF($A57="","",Q57+MAX(S57,T57))</f>
        <v/>
      </c>
      <c r="V57" s="49">
        <f>IF($A57="","",IF(P57=0,0,U57/P57))</f>
        <v/>
      </c>
      <c r="W57" s="28">
        <f>IF($A57="","",IF(AND(P57=0,Q57&gt;0),"무예산",IF(P57=0,"-",IF(V57&gt;설정!$C$12,"부족 예상",IF(V57&gt;설정!$C$11,"주의","여유")))))</f>
        <v/>
      </c>
      <c r="X57" s="53">
        <f>IF($A57="","",IF(P57=0,0,MAX(0,U57-P57)))</f>
        <v/>
      </c>
      <c r="Y57" s="28">
        <f>IF($A57="","",IF(OR(W57&lt;&gt;"부족 예상",설정!$C$7=12),"",IF(R57&lt;=0,"이미 초과",MIN(12,설정!$C$7+ROUNDUP(R57/(MAX(S57,T57)/(12-설정!$C$7)),0))&amp;"월")))</f>
        <v/>
      </c>
      <c r="Z57" s="22">
        <f>IF($A57="","",TRIM(IF(N(AC57)&gt;=설정!$C$14,"단건"&amp;TEXT(AC57,"0%")&amp;" ","")&amp;IF(AND(N57&gt;0,AD57&gt;0),IF(AD57/N57&gt;=설정!$C$16,"SA대체 ",""),"")&amp;IF(AE57&gt;0,"역분개"&amp;AE57&amp;"건 ","")&amp;IF(O57&gt;=설정!$C$13,"이상치 ","")&amp;IF(AND(I57=0,F57&gt;0),"신규지출 ","")))</f>
        <v/>
      </c>
      <c r="AA57" s="61">
        <f>IF($A57="","",ROUND((AF57+AG57+AH57+AI57)*IF(AND(F57&lt;설정!$C$10,N57&lt;설정!$C$10),0.3,1),1))</f>
        <v/>
      </c>
      <c r="AB57" s="50">
        <f>IF($A57="","",AA57+ROW()/1000000)</f>
        <v/>
      </c>
      <c r="AC57" s="56">
        <f>IF(OR($A57="",N57&lt;=0),"",SUMPRODUCT(MAX((전표_원본!$O$5:$O$100000=$E57)*(전표_원본!$M$5:$M$100000=설정!$C$20)*전표_원본!$P$5:$P$100000))/N57)</f>
        <v/>
      </c>
      <c r="AD57" s="29">
        <f>IF($A57="","",SUMIFS(전표_원본!$P$5:$P$100000,전표_원본!$O$5:$O$100000,$E57,전표_원본!$M$5:$M$100000,설정!$C$20,전표_원본!$E$5:$E$100000,"SA")-SUMIFS(전표_원본!$P$5:$P$100000,전표_원본!$O$5:$O$100000,$E57,전표_원본!$M$5:$M$100000,설정!$C$20-1,전표_원본!$E$5:$E$100000,"SA"))</f>
        <v/>
      </c>
      <c r="AE57" s="62">
        <f>IF($A57="","",COUNTIFS(전표_원본!$O$5:$O$100000,$E57,전표_원본!$M$5:$M$100000,설정!$C$20,전표_원본!$P$5:$P$100000,"&lt;0"))</f>
        <v/>
      </c>
      <c r="AF57" s="61">
        <f>IF($A57="","",MIN(MAX(0,N57)/(설정!$C$10*5),1)*30)</f>
        <v/>
      </c>
      <c r="AG57" s="63">
        <f>IF($A57="","",MIN(MAX(0,H57,J57),1)*20)</f>
        <v/>
      </c>
      <c r="AH57" s="63">
        <f>IF($A57="","",MIN(MAX(0,O57)/3,1)*25)</f>
        <v/>
      </c>
      <c r="AI57" s="63">
        <f>IF($A57="","",IF(OR(W57="부족 예상",W57="무예산"),25,IF(W57="주의",15,0)))</f>
        <v/>
      </c>
    </row>
    <row r="58">
      <c r="A58" s="12" t="inlineStr">
        <is>
          <t>D700</t>
        </is>
      </c>
      <c r="B58" s="22">
        <f>IF($A58="","",IFERROR(INDEX(부서매핑!$D$5:$D$504,MATCH($A58,부서매핑!$C$5:$C$504,0)),"부서매핑 없음"))</f>
        <v/>
      </c>
      <c r="C58" s="59" t="inlineStr">
        <is>
          <t>62301000</t>
        </is>
      </c>
      <c r="D58" s="22">
        <f>IF($A58="","",IFERROR(INDEX(계정매핑!$B$5:$B$504,MATCH($C58&amp;"",계정매핑!$A$5:$A$504,0)),"계정매핑 없음"))</f>
        <v/>
      </c>
      <c r="E58" s="21">
        <f>IF($A58="","",$A58&amp;"|"&amp;$C58)</f>
        <v/>
      </c>
      <c r="F58" s="29">
        <f>IF($A58="","",월별집계!$Z58)</f>
        <v/>
      </c>
      <c r="G58" s="29">
        <f>IF($A58="","",월별집계!$Y58)</f>
        <v/>
      </c>
      <c r="H58" s="60">
        <f>IF($A58="","",IF(G58&lt;=0,IF(F58&gt;0,1,0),F58/G58-1))</f>
        <v/>
      </c>
      <c r="I58" s="29">
        <f>IF($A58="","",월별집계!$N58)</f>
        <v/>
      </c>
      <c r="J58" s="60">
        <f>IF($A58="","",IF(I58&lt;=0,IF(F58&gt;0,1,0),F58/I58-1))</f>
        <v/>
      </c>
      <c r="K58" s="29">
        <f>IF($A58="","",SUMIFS(월별집계!$C58:$Z58,월별집계!$C$5:$Z$5,"&gt;="&amp;설정!$C$22,월별집계!$C$5:$Z$5,"&lt;="&amp;설정!$C$20))</f>
        <v/>
      </c>
      <c r="L58" s="29">
        <f>IF($A58="","",SUMIFS(월별집계!$C58:$Z58,월별집계!$C$5:$Z$5,"&gt;="&amp;(설정!$C$22-3),월별집계!$C$5:$Z$5,"&lt;="&amp;(설정!$C$20-3)))</f>
        <v/>
      </c>
      <c r="M58" s="60">
        <f>IF($A58="","",IF(L58&lt;=0,IF(K58&gt;0,1,0),K58/L58-1))</f>
        <v/>
      </c>
      <c r="N58" s="53">
        <f>IF($A58="","",MAX(F58-G58,F58-I58))</f>
        <v/>
      </c>
      <c r="O58" s="61">
        <f>IF($A58="","",IFERROR((월별집계!$Z58-AVERAGE(월별집계!N58:Y58))/STDEV(월별집계!N58:Y58),0))</f>
        <v/>
      </c>
      <c r="P58" s="29">
        <f>IF($A58="","",SUMIFS(예산판_원본!$O$5:$O$5000,예산판_원본!$L$5:$L$5000,$E58,예산판_원본!$M$5:$M$5000,설정!$C$6))</f>
        <v/>
      </c>
      <c r="Q58" s="29">
        <f>IF($A58="","",SUMIFS(월별집계!$C58:$Z58,월별집계!$C$5:$Z$5,"&gt;="&amp;(설정!$C$6*12+1),월별집계!$C$5:$Z$5,"&lt;="&amp;설정!$C$20))</f>
        <v/>
      </c>
      <c r="R58" s="53">
        <f>IF($A58="","",P58-Q58)</f>
        <v/>
      </c>
      <c r="S58" s="29">
        <f>IF($A58="","",AVERAGE(월별집계!X58:Z58)*(12-설정!$C$7))</f>
        <v/>
      </c>
      <c r="T58" s="29">
        <f>IF($A58="","",IFERROR(Q58/(SUMIFS(월별집계!$C58:$Z58,월별집계!$C$5:$Z$5,"&gt;="&amp;((설정!$C$6-1)*12+1),월별집계!$C$5:$Z$5,"&lt;="&amp;(설정!$C$20-12))/SUMIFS(월별집계!$C58:$Z58,월별집계!$C$5:$Z$5,"&gt;="&amp;((설정!$C$6-1)*12+1),월별집계!$C$5:$Z$5,"&lt;="&amp;((설정!$C$6-1)*12+12)))-Q58,S58))</f>
        <v/>
      </c>
      <c r="U58" s="53">
        <f>IF($A58="","",Q58+MAX(S58,T58))</f>
        <v/>
      </c>
      <c r="V58" s="49">
        <f>IF($A58="","",IF(P58=0,0,U58/P58))</f>
        <v/>
      </c>
      <c r="W58" s="28">
        <f>IF($A58="","",IF(AND(P58=0,Q58&gt;0),"무예산",IF(P58=0,"-",IF(V58&gt;설정!$C$12,"부족 예상",IF(V58&gt;설정!$C$11,"주의","여유")))))</f>
        <v/>
      </c>
      <c r="X58" s="53">
        <f>IF($A58="","",IF(P58=0,0,MAX(0,U58-P58)))</f>
        <v/>
      </c>
      <c r="Y58" s="28">
        <f>IF($A58="","",IF(OR(W58&lt;&gt;"부족 예상",설정!$C$7=12),"",IF(R58&lt;=0,"이미 초과",MIN(12,설정!$C$7+ROUNDUP(R58/(MAX(S58,T58)/(12-설정!$C$7)),0))&amp;"월")))</f>
        <v/>
      </c>
      <c r="Z58" s="22">
        <f>IF($A58="","",TRIM(IF(N(AC58)&gt;=설정!$C$14,"단건"&amp;TEXT(AC58,"0%")&amp;" ","")&amp;IF(AND(N58&gt;0,AD58&gt;0),IF(AD58/N58&gt;=설정!$C$16,"SA대체 ",""),"")&amp;IF(AE58&gt;0,"역분개"&amp;AE58&amp;"건 ","")&amp;IF(O58&gt;=설정!$C$13,"이상치 ","")&amp;IF(AND(I58=0,F58&gt;0),"신규지출 ","")))</f>
        <v/>
      </c>
      <c r="AA58" s="61">
        <f>IF($A58="","",ROUND((AF58+AG58+AH58+AI58)*IF(AND(F58&lt;설정!$C$10,N58&lt;설정!$C$10),0.3,1),1))</f>
        <v/>
      </c>
      <c r="AB58" s="50">
        <f>IF($A58="","",AA58+ROW()/1000000)</f>
        <v/>
      </c>
      <c r="AC58" s="56">
        <f>IF(OR($A58="",N58&lt;=0),"",SUMPRODUCT(MAX((전표_원본!$O$5:$O$100000=$E58)*(전표_원본!$M$5:$M$100000=설정!$C$20)*전표_원본!$P$5:$P$100000))/N58)</f>
        <v/>
      </c>
      <c r="AD58" s="29">
        <f>IF($A58="","",SUMIFS(전표_원본!$P$5:$P$100000,전표_원본!$O$5:$O$100000,$E58,전표_원본!$M$5:$M$100000,설정!$C$20,전표_원본!$E$5:$E$100000,"SA")-SUMIFS(전표_원본!$P$5:$P$100000,전표_원본!$O$5:$O$100000,$E58,전표_원본!$M$5:$M$100000,설정!$C$20-1,전표_원본!$E$5:$E$100000,"SA"))</f>
        <v/>
      </c>
      <c r="AE58" s="62">
        <f>IF($A58="","",COUNTIFS(전표_원본!$O$5:$O$100000,$E58,전표_원본!$M$5:$M$100000,설정!$C$20,전표_원본!$P$5:$P$100000,"&lt;0"))</f>
        <v/>
      </c>
      <c r="AF58" s="61">
        <f>IF($A58="","",MIN(MAX(0,N58)/(설정!$C$10*5),1)*30)</f>
        <v/>
      </c>
      <c r="AG58" s="63">
        <f>IF($A58="","",MIN(MAX(0,H58,J58),1)*20)</f>
        <v/>
      </c>
      <c r="AH58" s="63">
        <f>IF($A58="","",MIN(MAX(0,O58)/3,1)*25)</f>
        <v/>
      </c>
      <c r="AI58" s="63">
        <f>IF($A58="","",IF(OR(W58="부족 예상",W58="무예산"),25,IF(W58="주의",15,0)))</f>
        <v/>
      </c>
    </row>
    <row r="59">
      <c r="A59" s="12" t="inlineStr">
        <is>
          <t>D700</t>
        </is>
      </c>
      <c r="B59" s="22">
        <f>IF($A59="","",IFERROR(INDEX(부서매핑!$D$5:$D$504,MATCH($A59,부서매핑!$C$5:$C$504,0)),"부서매핑 없음"))</f>
        <v/>
      </c>
      <c r="C59" s="59" t="inlineStr">
        <is>
          <t>62501000</t>
        </is>
      </c>
      <c r="D59" s="22">
        <f>IF($A59="","",IFERROR(INDEX(계정매핑!$B$5:$B$504,MATCH($C59&amp;"",계정매핑!$A$5:$A$504,0)),"계정매핑 없음"))</f>
        <v/>
      </c>
      <c r="E59" s="21">
        <f>IF($A59="","",$A59&amp;"|"&amp;$C59)</f>
        <v/>
      </c>
      <c r="F59" s="29">
        <f>IF($A59="","",월별집계!$Z59)</f>
        <v/>
      </c>
      <c r="G59" s="29">
        <f>IF($A59="","",월별집계!$Y59)</f>
        <v/>
      </c>
      <c r="H59" s="60">
        <f>IF($A59="","",IF(G59&lt;=0,IF(F59&gt;0,1,0),F59/G59-1))</f>
        <v/>
      </c>
      <c r="I59" s="29">
        <f>IF($A59="","",월별집계!$N59)</f>
        <v/>
      </c>
      <c r="J59" s="60">
        <f>IF($A59="","",IF(I59&lt;=0,IF(F59&gt;0,1,0),F59/I59-1))</f>
        <v/>
      </c>
      <c r="K59" s="29">
        <f>IF($A59="","",SUMIFS(월별집계!$C59:$Z59,월별집계!$C$5:$Z$5,"&gt;="&amp;설정!$C$22,월별집계!$C$5:$Z$5,"&lt;="&amp;설정!$C$20))</f>
        <v/>
      </c>
      <c r="L59" s="29">
        <f>IF($A59="","",SUMIFS(월별집계!$C59:$Z59,월별집계!$C$5:$Z$5,"&gt;="&amp;(설정!$C$22-3),월별집계!$C$5:$Z$5,"&lt;="&amp;(설정!$C$20-3)))</f>
        <v/>
      </c>
      <c r="M59" s="60">
        <f>IF($A59="","",IF(L59&lt;=0,IF(K59&gt;0,1,0),K59/L59-1))</f>
        <v/>
      </c>
      <c r="N59" s="53">
        <f>IF($A59="","",MAX(F59-G59,F59-I59))</f>
        <v/>
      </c>
      <c r="O59" s="61">
        <f>IF($A59="","",IFERROR((월별집계!$Z59-AVERAGE(월별집계!N59:Y59))/STDEV(월별집계!N59:Y59),0))</f>
        <v/>
      </c>
      <c r="P59" s="29">
        <f>IF($A59="","",SUMIFS(예산판_원본!$O$5:$O$5000,예산판_원본!$L$5:$L$5000,$E59,예산판_원본!$M$5:$M$5000,설정!$C$6))</f>
        <v/>
      </c>
      <c r="Q59" s="29">
        <f>IF($A59="","",SUMIFS(월별집계!$C59:$Z59,월별집계!$C$5:$Z$5,"&gt;="&amp;(설정!$C$6*12+1),월별집계!$C$5:$Z$5,"&lt;="&amp;설정!$C$20))</f>
        <v/>
      </c>
      <c r="R59" s="53">
        <f>IF($A59="","",P59-Q59)</f>
        <v/>
      </c>
      <c r="S59" s="29">
        <f>IF($A59="","",AVERAGE(월별집계!X59:Z59)*(12-설정!$C$7))</f>
        <v/>
      </c>
      <c r="T59" s="29">
        <f>IF($A59="","",IFERROR(Q59/(SUMIFS(월별집계!$C59:$Z59,월별집계!$C$5:$Z$5,"&gt;="&amp;((설정!$C$6-1)*12+1),월별집계!$C$5:$Z$5,"&lt;="&amp;(설정!$C$20-12))/SUMIFS(월별집계!$C59:$Z59,월별집계!$C$5:$Z$5,"&gt;="&amp;((설정!$C$6-1)*12+1),월별집계!$C$5:$Z$5,"&lt;="&amp;((설정!$C$6-1)*12+12)))-Q59,S59))</f>
        <v/>
      </c>
      <c r="U59" s="53">
        <f>IF($A59="","",Q59+MAX(S59,T59))</f>
        <v/>
      </c>
      <c r="V59" s="49">
        <f>IF($A59="","",IF(P59=0,0,U59/P59))</f>
        <v/>
      </c>
      <c r="W59" s="28">
        <f>IF($A59="","",IF(AND(P59=0,Q59&gt;0),"무예산",IF(P59=0,"-",IF(V59&gt;설정!$C$12,"부족 예상",IF(V59&gt;설정!$C$11,"주의","여유")))))</f>
        <v/>
      </c>
      <c r="X59" s="53">
        <f>IF($A59="","",IF(P59=0,0,MAX(0,U59-P59)))</f>
        <v/>
      </c>
      <c r="Y59" s="28">
        <f>IF($A59="","",IF(OR(W59&lt;&gt;"부족 예상",설정!$C$7=12),"",IF(R59&lt;=0,"이미 초과",MIN(12,설정!$C$7+ROUNDUP(R59/(MAX(S59,T59)/(12-설정!$C$7)),0))&amp;"월")))</f>
        <v/>
      </c>
      <c r="Z59" s="22">
        <f>IF($A59="","",TRIM(IF(N(AC59)&gt;=설정!$C$14,"단건"&amp;TEXT(AC59,"0%")&amp;" ","")&amp;IF(AND(N59&gt;0,AD59&gt;0),IF(AD59/N59&gt;=설정!$C$16,"SA대체 ",""),"")&amp;IF(AE59&gt;0,"역분개"&amp;AE59&amp;"건 ","")&amp;IF(O59&gt;=설정!$C$13,"이상치 ","")&amp;IF(AND(I59=0,F59&gt;0),"신규지출 ","")))</f>
        <v/>
      </c>
      <c r="AA59" s="61">
        <f>IF($A59="","",ROUND((AF59+AG59+AH59+AI59)*IF(AND(F59&lt;설정!$C$10,N59&lt;설정!$C$10),0.3,1),1))</f>
        <v/>
      </c>
      <c r="AB59" s="50">
        <f>IF($A59="","",AA59+ROW()/1000000)</f>
        <v/>
      </c>
      <c r="AC59" s="56">
        <f>IF(OR($A59="",N59&lt;=0),"",SUMPRODUCT(MAX((전표_원본!$O$5:$O$100000=$E59)*(전표_원본!$M$5:$M$100000=설정!$C$20)*전표_원본!$P$5:$P$100000))/N59)</f>
        <v/>
      </c>
      <c r="AD59" s="29">
        <f>IF($A59="","",SUMIFS(전표_원본!$P$5:$P$100000,전표_원본!$O$5:$O$100000,$E59,전표_원본!$M$5:$M$100000,설정!$C$20,전표_원본!$E$5:$E$100000,"SA")-SUMIFS(전표_원본!$P$5:$P$100000,전표_원본!$O$5:$O$100000,$E59,전표_원본!$M$5:$M$100000,설정!$C$20-1,전표_원본!$E$5:$E$100000,"SA"))</f>
        <v/>
      </c>
      <c r="AE59" s="62">
        <f>IF($A59="","",COUNTIFS(전표_원본!$O$5:$O$100000,$E59,전표_원본!$M$5:$M$100000,설정!$C$20,전표_원본!$P$5:$P$100000,"&lt;0"))</f>
        <v/>
      </c>
      <c r="AF59" s="61">
        <f>IF($A59="","",MIN(MAX(0,N59)/(설정!$C$10*5),1)*30)</f>
        <v/>
      </c>
      <c r="AG59" s="63">
        <f>IF($A59="","",MIN(MAX(0,H59,J59),1)*20)</f>
        <v/>
      </c>
      <c r="AH59" s="63">
        <f>IF($A59="","",MIN(MAX(0,O59)/3,1)*25)</f>
        <v/>
      </c>
      <c r="AI59" s="63">
        <f>IF($A59="","",IF(OR(W59="부족 예상",W59="무예산"),25,IF(W59="주의",15,0)))</f>
        <v/>
      </c>
    </row>
    <row r="60">
      <c r="A60" s="12" t="inlineStr">
        <is>
          <t>D700</t>
        </is>
      </c>
      <c r="B60" s="22">
        <f>IF($A60="","",IFERROR(INDEX(부서매핑!$D$5:$D$504,MATCH($A60,부서매핑!$C$5:$C$504,0)),"부서매핑 없음"))</f>
        <v/>
      </c>
      <c r="C60" s="59" t="inlineStr">
        <is>
          <t>63001000</t>
        </is>
      </c>
      <c r="D60" s="22">
        <f>IF($A60="","",IFERROR(INDEX(계정매핑!$B$5:$B$504,MATCH($C60&amp;"",계정매핑!$A$5:$A$504,0)),"계정매핑 없음"))</f>
        <v/>
      </c>
      <c r="E60" s="21">
        <f>IF($A60="","",$A60&amp;"|"&amp;$C60)</f>
        <v/>
      </c>
      <c r="F60" s="29">
        <f>IF($A60="","",월별집계!$Z60)</f>
        <v/>
      </c>
      <c r="G60" s="29">
        <f>IF($A60="","",월별집계!$Y60)</f>
        <v/>
      </c>
      <c r="H60" s="60">
        <f>IF($A60="","",IF(G60&lt;=0,IF(F60&gt;0,1,0),F60/G60-1))</f>
        <v/>
      </c>
      <c r="I60" s="29">
        <f>IF($A60="","",월별집계!$N60)</f>
        <v/>
      </c>
      <c r="J60" s="60">
        <f>IF($A60="","",IF(I60&lt;=0,IF(F60&gt;0,1,0),F60/I60-1))</f>
        <v/>
      </c>
      <c r="K60" s="29">
        <f>IF($A60="","",SUMIFS(월별집계!$C60:$Z60,월별집계!$C$5:$Z$5,"&gt;="&amp;설정!$C$22,월별집계!$C$5:$Z$5,"&lt;="&amp;설정!$C$20))</f>
        <v/>
      </c>
      <c r="L60" s="29">
        <f>IF($A60="","",SUMIFS(월별집계!$C60:$Z60,월별집계!$C$5:$Z$5,"&gt;="&amp;(설정!$C$22-3),월별집계!$C$5:$Z$5,"&lt;="&amp;(설정!$C$20-3)))</f>
        <v/>
      </c>
      <c r="M60" s="60">
        <f>IF($A60="","",IF(L60&lt;=0,IF(K60&gt;0,1,0),K60/L60-1))</f>
        <v/>
      </c>
      <c r="N60" s="53">
        <f>IF($A60="","",MAX(F60-G60,F60-I60))</f>
        <v/>
      </c>
      <c r="O60" s="61">
        <f>IF($A60="","",IFERROR((월별집계!$Z60-AVERAGE(월별집계!N60:Y60))/STDEV(월별집계!N60:Y60),0))</f>
        <v/>
      </c>
      <c r="P60" s="29">
        <f>IF($A60="","",SUMIFS(예산판_원본!$O$5:$O$5000,예산판_원본!$L$5:$L$5000,$E60,예산판_원본!$M$5:$M$5000,설정!$C$6))</f>
        <v/>
      </c>
      <c r="Q60" s="29">
        <f>IF($A60="","",SUMIFS(월별집계!$C60:$Z60,월별집계!$C$5:$Z$5,"&gt;="&amp;(설정!$C$6*12+1),월별집계!$C$5:$Z$5,"&lt;="&amp;설정!$C$20))</f>
        <v/>
      </c>
      <c r="R60" s="53">
        <f>IF($A60="","",P60-Q60)</f>
        <v/>
      </c>
      <c r="S60" s="29">
        <f>IF($A60="","",AVERAGE(월별집계!X60:Z60)*(12-설정!$C$7))</f>
        <v/>
      </c>
      <c r="T60" s="29">
        <f>IF($A60="","",IFERROR(Q60/(SUMIFS(월별집계!$C60:$Z60,월별집계!$C$5:$Z$5,"&gt;="&amp;((설정!$C$6-1)*12+1),월별집계!$C$5:$Z$5,"&lt;="&amp;(설정!$C$20-12))/SUMIFS(월별집계!$C60:$Z60,월별집계!$C$5:$Z$5,"&gt;="&amp;((설정!$C$6-1)*12+1),월별집계!$C$5:$Z$5,"&lt;="&amp;((설정!$C$6-1)*12+12)))-Q60,S60))</f>
        <v/>
      </c>
      <c r="U60" s="53">
        <f>IF($A60="","",Q60+MAX(S60,T60))</f>
        <v/>
      </c>
      <c r="V60" s="49">
        <f>IF($A60="","",IF(P60=0,0,U60/P60))</f>
        <v/>
      </c>
      <c r="W60" s="28">
        <f>IF($A60="","",IF(AND(P60=0,Q60&gt;0),"무예산",IF(P60=0,"-",IF(V60&gt;설정!$C$12,"부족 예상",IF(V60&gt;설정!$C$11,"주의","여유")))))</f>
        <v/>
      </c>
      <c r="X60" s="53">
        <f>IF($A60="","",IF(P60=0,0,MAX(0,U60-P60)))</f>
        <v/>
      </c>
      <c r="Y60" s="28">
        <f>IF($A60="","",IF(OR(W60&lt;&gt;"부족 예상",설정!$C$7=12),"",IF(R60&lt;=0,"이미 초과",MIN(12,설정!$C$7+ROUNDUP(R60/(MAX(S60,T60)/(12-설정!$C$7)),0))&amp;"월")))</f>
        <v/>
      </c>
      <c r="Z60" s="22">
        <f>IF($A60="","",TRIM(IF(N(AC60)&gt;=설정!$C$14,"단건"&amp;TEXT(AC60,"0%")&amp;" ","")&amp;IF(AND(N60&gt;0,AD60&gt;0),IF(AD60/N60&gt;=설정!$C$16,"SA대체 ",""),"")&amp;IF(AE60&gt;0,"역분개"&amp;AE60&amp;"건 ","")&amp;IF(O60&gt;=설정!$C$13,"이상치 ","")&amp;IF(AND(I60=0,F60&gt;0),"신규지출 ","")))</f>
        <v/>
      </c>
      <c r="AA60" s="61">
        <f>IF($A60="","",ROUND((AF60+AG60+AH60+AI60)*IF(AND(F60&lt;설정!$C$10,N60&lt;설정!$C$10),0.3,1),1))</f>
        <v/>
      </c>
      <c r="AB60" s="50">
        <f>IF($A60="","",AA60+ROW()/1000000)</f>
        <v/>
      </c>
      <c r="AC60" s="56">
        <f>IF(OR($A60="",N60&lt;=0),"",SUMPRODUCT(MAX((전표_원본!$O$5:$O$100000=$E60)*(전표_원본!$M$5:$M$100000=설정!$C$20)*전표_원본!$P$5:$P$100000))/N60)</f>
        <v/>
      </c>
      <c r="AD60" s="29">
        <f>IF($A60="","",SUMIFS(전표_원본!$P$5:$P$100000,전표_원본!$O$5:$O$100000,$E60,전표_원본!$M$5:$M$100000,설정!$C$20,전표_원본!$E$5:$E$100000,"SA")-SUMIFS(전표_원본!$P$5:$P$100000,전표_원본!$O$5:$O$100000,$E60,전표_원본!$M$5:$M$100000,설정!$C$20-1,전표_원본!$E$5:$E$100000,"SA"))</f>
        <v/>
      </c>
      <c r="AE60" s="62">
        <f>IF($A60="","",COUNTIFS(전표_원본!$O$5:$O$100000,$E60,전표_원본!$M$5:$M$100000,설정!$C$20,전표_원본!$P$5:$P$100000,"&lt;0"))</f>
        <v/>
      </c>
      <c r="AF60" s="61">
        <f>IF($A60="","",MIN(MAX(0,N60)/(설정!$C$10*5),1)*30)</f>
        <v/>
      </c>
      <c r="AG60" s="63">
        <f>IF($A60="","",MIN(MAX(0,H60,J60),1)*20)</f>
        <v/>
      </c>
      <c r="AH60" s="63">
        <f>IF($A60="","",MIN(MAX(0,O60)/3,1)*25)</f>
        <v/>
      </c>
      <c r="AI60" s="63">
        <f>IF($A60="","",IF(OR(W60="부족 예상",W60="무예산"),25,IF(W60="주의",15,0)))</f>
        <v/>
      </c>
    </row>
    <row r="61">
      <c r="A61" s="12" t="inlineStr">
        <is>
          <t>D700</t>
        </is>
      </c>
      <c r="B61" s="22">
        <f>IF($A61="","",IFERROR(INDEX(부서매핑!$D$5:$D$504,MATCH($A61,부서매핑!$C$5:$C$504,0)),"부서매핑 없음"))</f>
        <v/>
      </c>
      <c r="C61" s="59" t="inlineStr">
        <is>
          <t>63002000</t>
        </is>
      </c>
      <c r="D61" s="22">
        <f>IF($A61="","",IFERROR(INDEX(계정매핑!$B$5:$B$504,MATCH($C61&amp;"",계정매핑!$A$5:$A$504,0)),"계정매핑 없음"))</f>
        <v/>
      </c>
      <c r="E61" s="21">
        <f>IF($A61="","",$A61&amp;"|"&amp;$C61)</f>
        <v/>
      </c>
      <c r="F61" s="29">
        <f>IF($A61="","",월별집계!$Z61)</f>
        <v/>
      </c>
      <c r="G61" s="29">
        <f>IF($A61="","",월별집계!$Y61)</f>
        <v/>
      </c>
      <c r="H61" s="60">
        <f>IF($A61="","",IF(G61&lt;=0,IF(F61&gt;0,1,0),F61/G61-1))</f>
        <v/>
      </c>
      <c r="I61" s="29">
        <f>IF($A61="","",월별집계!$N61)</f>
        <v/>
      </c>
      <c r="J61" s="60">
        <f>IF($A61="","",IF(I61&lt;=0,IF(F61&gt;0,1,0),F61/I61-1))</f>
        <v/>
      </c>
      <c r="K61" s="29">
        <f>IF($A61="","",SUMIFS(월별집계!$C61:$Z61,월별집계!$C$5:$Z$5,"&gt;="&amp;설정!$C$22,월별집계!$C$5:$Z$5,"&lt;="&amp;설정!$C$20))</f>
        <v/>
      </c>
      <c r="L61" s="29">
        <f>IF($A61="","",SUMIFS(월별집계!$C61:$Z61,월별집계!$C$5:$Z$5,"&gt;="&amp;(설정!$C$22-3),월별집계!$C$5:$Z$5,"&lt;="&amp;(설정!$C$20-3)))</f>
        <v/>
      </c>
      <c r="M61" s="60">
        <f>IF($A61="","",IF(L61&lt;=0,IF(K61&gt;0,1,0),K61/L61-1))</f>
        <v/>
      </c>
      <c r="N61" s="53">
        <f>IF($A61="","",MAX(F61-G61,F61-I61))</f>
        <v/>
      </c>
      <c r="O61" s="61">
        <f>IF($A61="","",IFERROR((월별집계!$Z61-AVERAGE(월별집계!N61:Y61))/STDEV(월별집계!N61:Y61),0))</f>
        <v/>
      </c>
      <c r="P61" s="29">
        <f>IF($A61="","",SUMIFS(예산판_원본!$O$5:$O$5000,예산판_원본!$L$5:$L$5000,$E61,예산판_원본!$M$5:$M$5000,설정!$C$6))</f>
        <v/>
      </c>
      <c r="Q61" s="29">
        <f>IF($A61="","",SUMIFS(월별집계!$C61:$Z61,월별집계!$C$5:$Z$5,"&gt;="&amp;(설정!$C$6*12+1),월별집계!$C$5:$Z$5,"&lt;="&amp;설정!$C$20))</f>
        <v/>
      </c>
      <c r="R61" s="53">
        <f>IF($A61="","",P61-Q61)</f>
        <v/>
      </c>
      <c r="S61" s="29">
        <f>IF($A61="","",AVERAGE(월별집계!X61:Z61)*(12-설정!$C$7))</f>
        <v/>
      </c>
      <c r="T61" s="29">
        <f>IF($A61="","",IFERROR(Q61/(SUMIFS(월별집계!$C61:$Z61,월별집계!$C$5:$Z$5,"&gt;="&amp;((설정!$C$6-1)*12+1),월별집계!$C$5:$Z$5,"&lt;="&amp;(설정!$C$20-12))/SUMIFS(월별집계!$C61:$Z61,월별집계!$C$5:$Z$5,"&gt;="&amp;((설정!$C$6-1)*12+1),월별집계!$C$5:$Z$5,"&lt;="&amp;((설정!$C$6-1)*12+12)))-Q61,S61))</f>
        <v/>
      </c>
      <c r="U61" s="53">
        <f>IF($A61="","",Q61+MAX(S61,T61))</f>
        <v/>
      </c>
      <c r="V61" s="49">
        <f>IF($A61="","",IF(P61=0,0,U61/P61))</f>
        <v/>
      </c>
      <c r="W61" s="28">
        <f>IF($A61="","",IF(AND(P61=0,Q61&gt;0),"무예산",IF(P61=0,"-",IF(V61&gt;설정!$C$12,"부족 예상",IF(V61&gt;설정!$C$11,"주의","여유")))))</f>
        <v/>
      </c>
      <c r="X61" s="53">
        <f>IF($A61="","",IF(P61=0,0,MAX(0,U61-P61)))</f>
        <v/>
      </c>
      <c r="Y61" s="28">
        <f>IF($A61="","",IF(OR(W61&lt;&gt;"부족 예상",설정!$C$7=12),"",IF(R61&lt;=0,"이미 초과",MIN(12,설정!$C$7+ROUNDUP(R61/(MAX(S61,T61)/(12-설정!$C$7)),0))&amp;"월")))</f>
        <v/>
      </c>
      <c r="Z61" s="22">
        <f>IF($A61="","",TRIM(IF(N(AC61)&gt;=설정!$C$14,"단건"&amp;TEXT(AC61,"0%")&amp;" ","")&amp;IF(AND(N61&gt;0,AD61&gt;0),IF(AD61/N61&gt;=설정!$C$16,"SA대체 ",""),"")&amp;IF(AE61&gt;0,"역분개"&amp;AE61&amp;"건 ","")&amp;IF(O61&gt;=설정!$C$13,"이상치 ","")&amp;IF(AND(I61=0,F61&gt;0),"신규지출 ","")))</f>
        <v/>
      </c>
      <c r="AA61" s="61">
        <f>IF($A61="","",ROUND((AF61+AG61+AH61+AI61)*IF(AND(F61&lt;설정!$C$10,N61&lt;설정!$C$10),0.3,1),1))</f>
        <v/>
      </c>
      <c r="AB61" s="50">
        <f>IF($A61="","",AA61+ROW()/1000000)</f>
        <v/>
      </c>
      <c r="AC61" s="56">
        <f>IF(OR($A61="",N61&lt;=0),"",SUMPRODUCT(MAX((전표_원본!$O$5:$O$100000=$E61)*(전표_원본!$M$5:$M$100000=설정!$C$20)*전표_원본!$P$5:$P$100000))/N61)</f>
        <v/>
      </c>
      <c r="AD61" s="29">
        <f>IF($A61="","",SUMIFS(전표_원본!$P$5:$P$100000,전표_원본!$O$5:$O$100000,$E61,전표_원본!$M$5:$M$100000,설정!$C$20,전표_원본!$E$5:$E$100000,"SA")-SUMIFS(전표_원본!$P$5:$P$100000,전표_원본!$O$5:$O$100000,$E61,전표_원본!$M$5:$M$100000,설정!$C$20-1,전표_원본!$E$5:$E$100000,"SA"))</f>
        <v/>
      </c>
      <c r="AE61" s="62">
        <f>IF($A61="","",COUNTIFS(전표_원본!$O$5:$O$100000,$E61,전표_원본!$M$5:$M$100000,설정!$C$20,전표_원본!$P$5:$P$100000,"&lt;0"))</f>
        <v/>
      </c>
      <c r="AF61" s="61">
        <f>IF($A61="","",MIN(MAX(0,N61)/(설정!$C$10*5),1)*30)</f>
        <v/>
      </c>
      <c r="AG61" s="63">
        <f>IF($A61="","",MIN(MAX(0,H61,J61),1)*20)</f>
        <v/>
      </c>
      <c r="AH61" s="63">
        <f>IF($A61="","",MIN(MAX(0,O61)/3,1)*25)</f>
        <v/>
      </c>
      <c r="AI61" s="63">
        <f>IF($A61="","",IF(OR(W61="부족 예상",W61="무예산"),25,IF(W61="주의",15,0)))</f>
        <v/>
      </c>
    </row>
    <row r="62">
      <c r="A62" s="12" t="inlineStr">
        <is>
          <t>D800</t>
        </is>
      </c>
      <c r="B62" s="22">
        <f>IF($A62="","",IFERROR(INDEX(부서매핑!$D$5:$D$504,MATCH($A62,부서매핑!$C$5:$C$504,0)),"부서매핑 없음"))</f>
        <v/>
      </c>
      <c r="C62" s="59" t="inlineStr">
        <is>
          <t>62101000</t>
        </is>
      </c>
      <c r="D62" s="22">
        <f>IF($A62="","",IFERROR(INDEX(계정매핑!$B$5:$B$504,MATCH($C62&amp;"",계정매핑!$A$5:$A$504,0)),"계정매핑 없음"))</f>
        <v/>
      </c>
      <c r="E62" s="21">
        <f>IF($A62="","",$A62&amp;"|"&amp;$C62)</f>
        <v/>
      </c>
      <c r="F62" s="29">
        <f>IF($A62="","",월별집계!$Z62)</f>
        <v/>
      </c>
      <c r="G62" s="29">
        <f>IF($A62="","",월별집계!$Y62)</f>
        <v/>
      </c>
      <c r="H62" s="60">
        <f>IF($A62="","",IF(G62&lt;=0,IF(F62&gt;0,1,0),F62/G62-1))</f>
        <v/>
      </c>
      <c r="I62" s="29">
        <f>IF($A62="","",월별집계!$N62)</f>
        <v/>
      </c>
      <c r="J62" s="60">
        <f>IF($A62="","",IF(I62&lt;=0,IF(F62&gt;0,1,0),F62/I62-1))</f>
        <v/>
      </c>
      <c r="K62" s="29">
        <f>IF($A62="","",SUMIFS(월별집계!$C62:$Z62,월별집계!$C$5:$Z$5,"&gt;="&amp;설정!$C$22,월별집계!$C$5:$Z$5,"&lt;="&amp;설정!$C$20))</f>
        <v/>
      </c>
      <c r="L62" s="29">
        <f>IF($A62="","",SUMIFS(월별집계!$C62:$Z62,월별집계!$C$5:$Z$5,"&gt;="&amp;(설정!$C$22-3),월별집계!$C$5:$Z$5,"&lt;="&amp;(설정!$C$20-3)))</f>
        <v/>
      </c>
      <c r="M62" s="60">
        <f>IF($A62="","",IF(L62&lt;=0,IF(K62&gt;0,1,0),K62/L62-1))</f>
        <v/>
      </c>
      <c r="N62" s="53">
        <f>IF($A62="","",MAX(F62-G62,F62-I62))</f>
        <v/>
      </c>
      <c r="O62" s="61">
        <f>IF($A62="","",IFERROR((월별집계!$Z62-AVERAGE(월별집계!N62:Y62))/STDEV(월별집계!N62:Y62),0))</f>
        <v/>
      </c>
      <c r="P62" s="29">
        <f>IF($A62="","",SUMIFS(예산판_원본!$O$5:$O$5000,예산판_원본!$L$5:$L$5000,$E62,예산판_원본!$M$5:$M$5000,설정!$C$6))</f>
        <v/>
      </c>
      <c r="Q62" s="29">
        <f>IF($A62="","",SUMIFS(월별집계!$C62:$Z62,월별집계!$C$5:$Z$5,"&gt;="&amp;(설정!$C$6*12+1),월별집계!$C$5:$Z$5,"&lt;="&amp;설정!$C$20))</f>
        <v/>
      </c>
      <c r="R62" s="53">
        <f>IF($A62="","",P62-Q62)</f>
        <v/>
      </c>
      <c r="S62" s="29">
        <f>IF($A62="","",AVERAGE(월별집계!X62:Z62)*(12-설정!$C$7))</f>
        <v/>
      </c>
      <c r="T62" s="29">
        <f>IF($A62="","",IFERROR(Q62/(SUMIFS(월별집계!$C62:$Z62,월별집계!$C$5:$Z$5,"&gt;="&amp;((설정!$C$6-1)*12+1),월별집계!$C$5:$Z$5,"&lt;="&amp;(설정!$C$20-12))/SUMIFS(월별집계!$C62:$Z62,월별집계!$C$5:$Z$5,"&gt;="&amp;((설정!$C$6-1)*12+1),월별집계!$C$5:$Z$5,"&lt;="&amp;((설정!$C$6-1)*12+12)))-Q62,S62))</f>
        <v/>
      </c>
      <c r="U62" s="53">
        <f>IF($A62="","",Q62+MAX(S62,T62))</f>
        <v/>
      </c>
      <c r="V62" s="49">
        <f>IF($A62="","",IF(P62=0,0,U62/P62))</f>
        <v/>
      </c>
      <c r="W62" s="28">
        <f>IF($A62="","",IF(AND(P62=0,Q62&gt;0),"무예산",IF(P62=0,"-",IF(V62&gt;설정!$C$12,"부족 예상",IF(V62&gt;설정!$C$11,"주의","여유")))))</f>
        <v/>
      </c>
      <c r="X62" s="53">
        <f>IF($A62="","",IF(P62=0,0,MAX(0,U62-P62)))</f>
        <v/>
      </c>
      <c r="Y62" s="28">
        <f>IF($A62="","",IF(OR(W62&lt;&gt;"부족 예상",설정!$C$7=12),"",IF(R62&lt;=0,"이미 초과",MIN(12,설정!$C$7+ROUNDUP(R62/(MAX(S62,T62)/(12-설정!$C$7)),0))&amp;"월")))</f>
        <v/>
      </c>
      <c r="Z62" s="22">
        <f>IF($A62="","",TRIM(IF(N(AC62)&gt;=설정!$C$14,"단건"&amp;TEXT(AC62,"0%")&amp;" ","")&amp;IF(AND(N62&gt;0,AD62&gt;0),IF(AD62/N62&gt;=설정!$C$16,"SA대체 ",""),"")&amp;IF(AE62&gt;0,"역분개"&amp;AE62&amp;"건 ","")&amp;IF(O62&gt;=설정!$C$13,"이상치 ","")&amp;IF(AND(I62=0,F62&gt;0),"신규지출 ","")))</f>
        <v/>
      </c>
      <c r="AA62" s="61">
        <f>IF($A62="","",ROUND((AF62+AG62+AH62+AI62)*IF(AND(F62&lt;설정!$C$10,N62&lt;설정!$C$10),0.3,1),1))</f>
        <v/>
      </c>
      <c r="AB62" s="50">
        <f>IF($A62="","",AA62+ROW()/1000000)</f>
        <v/>
      </c>
      <c r="AC62" s="56">
        <f>IF(OR($A62="",N62&lt;=0),"",SUMPRODUCT(MAX((전표_원본!$O$5:$O$100000=$E62)*(전표_원본!$M$5:$M$100000=설정!$C$20)*전표_원본!$P$5:$P$100000))/N62)</f>
        <v/>
      </c>
      <c r="AD62" s="29">
        <f>IF($A62="","",SUMIFS(전표_원본!$P$5:$P$100000,전표_원본!$O$5:$O$100000,$E62,전표_원본!$M$5:$M$100000,설정!$C$20,전표_원본!$E$5:$E$100000,"SA")-SUMIFS(전표_원본!$P$5:$P$100000,전표_원본!$O$5:$O$100000,$E62,전표_원본!$M$5:$M$100000,설정!$C$20-1,전표_원본!$E$5:$E$100000,"SA"))</f>
        <v/>
      </c>
      <c r="AE62" s="62">
        <f>IF($A62="","",COUNTIFS(전표_원본!$O$5:$O$100000,$E62,전표_원본!$M$5:$M$100000,설정!$C$20,전표_원본!$P$5:$P$100000,"&lt;0"))</f>
        <v/>
      </c>
      <c r="AF62" s="61">
        <f>IF($A62="","",MIN(MAX(0,N62)/(설정!$C$10*5),1)*30)</f>
        <v/>
      </c>
      <c r="AG62" s="63">
        <f>IF($A62="","",MIN(MAX(0,H62,J62),1)*20)</f>
        <v/>
      </c>
      <c r="AH62" s="63">
        <f>IF($A62="","",MIN(MAX(0,O62)/3,1)*25)</f>
        <v/>
      </c>
      <c r="AI62" s="63">
        <f>IF($A62="","",IF(OR(W62="부족 예상",W62="무예산"),25,IF(W62="주의",15,0)))</f>
        <v/>
      </c>
    </row>
    <row r="63">
      <c r="A63" s="12" t="inlineStr">
        <is>
          <t>D800</t>
        </is>
      </c>
      <c r="B63" s="22">
        <f>IF($A63="","",IFERROR(INDEX(부서매핑!$D$5:$D$504,MATCH($A63,부서매핑!$C$5:$C$504,0)),"부서매핑 없음"))</f>
        <v/>
      </c>
      <c r="C63" s="59" t="inlineStr">
        <is>
          <t>62102000</t>
        </is>
      </c>
      <c r="D63" s="22">
        <f>IF($A63="","",IFERROR(INDEX(계정매핑!$B$5:$B$504,MATCH($C63&amp;"",계정매핑!$A$5:$A$504,0)),"계정매핑 없음"))</f>
        <v/>
      </c>
      <c r="E63" s="21">
        <f>IF($A63="","",$A63&amp;"|"&amp;$C63)</f>
        <v/>
      </c>
      <c r="F63" s="29">
        <f>IF($A63="","",월별집계!$Z63)</f>
        <v/>
      </c>
      <c r="G63" s="29">
        <f>IF($A63="","",월별집계!$Y63)</f>
        <v/>
      </c>
      <c r="H63" s="60">
        <f>IF($A63="","",IF(G63&lt;=0,IF(F63&gt;0,1,0),F63/G63-1))</f>
        <v/>
      </c>
      <c r="I63" s="29">
        <f>IF($A63="","",월별집계!$N63)</f>
        <v/>
      </c>
      <c r="J63" s="60">
        <f>IF($A63="","",IF(I63&lt;=0,IF(F63&gt;0,1,0),F63/I63-1))</f>
        <v/>
      </c>
      <c r="K63" s="29">
        <f>IF($A63="","",SUMIFS(월별집계!$C63:$Z63,월별집계!$C$5:$Z$5,"&gt;="&amp;설정!$C$22,월별집계!$C$5:$Z$5,"&lt;="&amp;설정!$C$20))</f>
        <v/>
      </c>
      <c r="L63" s="29">
        <f>IF($A63="","",SUMIFS(월별집계!$C63:$Z63,월별집계!$C$5:$Z$5,"&gt;="&amp;(설정!$C$22-3),월별집계!$C$5:$Z$5,"&lt;="&amp;(설정!$C$20-3)))</f>
        <v/>
      </c>
      <c r="M63" s="60">
        <f>IF($A63="","",IF(L63&lt;=0,IF(K63&gt;0,1,0),K63/L63-1))</f>
        <v/>
      </c>
      <c r="N63" s="53">
        <f>IF($A63="","",MAX(F63-G63,F63-I63))</f>
        <v/>
      </c>
      <c r="O63" s="61">
        <f>IF($A63="","",IFERROR((월별집계!$Z63-AVERAGE(월별집계!N63:Y63))/STDEV(월별집계!N63:Y63),0))</f>
        <v/>
      </c>
      <c r="P63" s="29">
        <f>IF($A63="","",SUMIFS(예산판_원본!$O$5:$O$5000,예산판_원본!$L$5:$L$5000,$E63,예산판_원본!$M$5:$M$5000,설정!$C$6))</f>
        <v/>
      </c>
      <c r="Q63" s="29">
        <f>IF($A63="","",SUMIFS(월별집계!$C63:$Z63,월별집계!$C$5:$Z$5,"&gt;="&amp;(설정!$C$6*12+1),월별집계!$C$5:$Z$5,"&lt;="&amp;설정!$C$20))</f>
        <v/>
      </c>
      <c r="R63" s="53">
        <f>IF($A63="","",P63-Q63)</f>
        <v/>
      </c>
      <c r="S63" s="29">
        <f>IF($A63="","",AVERAGE(월별집계!X63:Z63)*(12-설정!$C$7))</f>
        <v/>
      </c>
      <c r="T63" s="29">
        <f>IF($A63="","",IFERROR(Q63/(SUMIFS(월별집계!$C63:$Z63,월별집계!$C$5:$Z$5,"&gt;="&amp;((설정!$C$6-1)*12+1),월별집계!$C$5:$Z$5,"&lt;="&amp;(설정!$C$20-12))/SUMIFS(월별집계!$C63:$Z63,월별집계!$C$5:$Z$5,"&gt;="&amp;((설정!$C$6-1)*12+1),월별집계!$C$5:$Z$5,"&lt;="&amp;((설정!$C$6-1)*12+12)))-Q63,S63))</f>
        <v/>
      </c>
      <c r="U63" s="53">
        <f>IF($A63="","",Q63+MAX(S63,T63))</f>
        <v/>
      </c>
      <c r="V63" s="49">
        <f>IF($A63="","",IF(P63=0,0,U63/P63))</f>
        <v/>
      </c>
      <c r="W63" s="28">
        <f>IF($A63="","",IF(AND(P63=0,Q63&gt;0),"무예산",IF(P63=0,"-",IF(V63&gt;설정!$C$12,"부족 예상",IF(V63&gt;설정!$C$11,"주의","여유")))))</f>
        <v/>
      </c>
      <c r="X63" s="53">
        <f>IF($A63="","",IF(P63=0,0,MAX(0,U63-P63)))</f>
        <v/>
      </c>
      <c r="Y63" s="28">
        <f>IF($A63="","",IF(OR(W63&lt;&gt;"부족 예상",설정!$C$7=12),"",IF(R63&lt;=0,"이미 초과",MIN(12,설정!$C$7+ROUNDUP(R63/(MAX(S63,T63)/(12-설정!$C$7)),0))&amp;"월")))</f>
        <v/>
      </c>
      <c r="Z63" s="22">
        <f>IF($A63="","",TRIM(IF(N(AC63)&gt;=설정!$C$14,"단건"&amp;TEXT(AC63,"0%")&amp;" ","")&amp;IF(AND(N63&gt;0,AD63&gt;0),IF(AD63/N63&gt;=설정!$C$16,"SA대체 ",""),"")&amp;IF(AE63&gt;0,"역분개"&amp;AE63&amp;"건 ","")&amp;IF(O63&gt;=설정!$C$13,"이상치 ","")&amp;IF(AND(I63=0,F63&gt;0),"신규지출 ","")))</f>
        <v/>
      </c>
      <c r="AA63" s="61">
        <f>IF($A63="","",ROUND((AF63+AG63+AH63+AI63)*IF(AND(F63&lt;설정!$C$10,N63&lt;설정!$C$10),0.3,1),1))</f>
        <v/>
      </c>
      <c r="AB63" s="50">
        <f>IF($A63="","",AA63+ROW()/1000000)</f>
        <v/>
      </c>
      <c r="AC63" s="56">
        <f>IF(OR($A63="",N63&lt;=0),"",SUMPRODUCT(MAX((전표_원본!$O$5:$O$100000=$E63)*(전표_원본!$M$5:$M$100000=설정!$C$20)*전표_원본!$P$5:$P$100000))/N63)</f>
        <v/>
      </c>
      <c r="AD63" s="29">
        <f>IF($A63="","",SUMIFS(전표_원본!$P$5:$P$100000,전표_원본!$O$5:$O$100000,$E63,전표_원본!$M$5:$M$100000,설정!$C$20,전표_원본!$E$5:$E$100000,"SA")-SUMIFS(전표_원본!$P$5:$P$100000,전표_원본!$O$5:$O$100000,$E63,전표_원본!$M$5:$M$100000,설정!$C$20-1,전표_원본!$E$5:$E$100000,"SA"))</f>
        <v/>
      </c>
      <c r="AE63" s="62">
        <f>IF($A63="","",COUNTIFS(전표_원본!$O$5:$O$100000,$E63,전표_원본!$M$5:$M$100000,설정!$C$20,전표_원본!$P$5:$P$100000,"&lt;0"))</f>
        <v/>
      </c>
      <c r="AF63" s="61">
        <f>IF($A63="","",MIN(MAX(0,N63)/(설정!$C$10*5),1)*30)</f>
        <v/>
      </c>
      <c r="AG63" s="63">
        <f>IF($A63="","",MIN(MAX(0,H63,J63),1)*20)</f>
        <v/>
      </c>
      <c r="AH63" s="63">
        <f>IF($A63="","",MIN(MAX(0,O63)/3,1)*25)</f>
        <v/>
      </c>
      <c r="AI63" s="63">
        <f>IF($A63="","",IF(OR(W63="부족 예상",W63="무예산"),25,IF(W63="주의",15,0)))</f>
        <v/>
      </c>
    </row>
    <row r="64">
      <c r="A64" s="12" t="inlineStr">
        <is>
          <t>D800</t>
        </is>
      </c>
      <c r="B64" s="22">
        <f>IF($A64="","",IFERROR(INDEX(부서매핑!$D$5:$D$504,MATCH($A64,부서매핑!$C$5:$C$504,0)),"부서매핑 없음"))</f>
        <v/>
      </c>
      <c r="C64" s="59" t="inlineStr">
        <is>
          <t>62201000</t>
        </is>
      </c>
      <c r="D64" s="22">
        <f>IF($A64="","",IFERROR(INDEX(계정매핑!$B$5:$B$504,MATCH($C64&amp;"",계정매핑!$A$5:$A$504,0)),"계정매핑 없음"))</f>
        <v/>
      </c>
      <c r="E64" s="21">
        <f>IF($A64="","",$A64&amp;"|"&amp;$C64)</f>
        <v/>
      </c>
      <c r="F64" s="29">
        <f>IF($A64="","",월별집계!$Z64)</f>
        <v/>
      </c>
      <c r="G64" s="29">
        <f>IF($A64="","",월별집계!$Y64)</f>
        <v/>
      </c>
      <c r="H64" s="60">
        <f>IF($A64="","",IF(G64&lt;=0,IF(F64&gt;0,1,0),F64/G64-1))</f>
        <v/>
      </c>
      <c r="I64" s="29">
        <f>IF($A64="","",월별집계!$N64)</f>
        <v/>
      </c>
      <c r="J64" s="60">
        <f>IF($A64="","",IF(I64&lt;=0,IF(F64&gt;0,1,0),F64/I64-1))</f>
        <v/>
      </c>
      <c r="K64" s="29">
        <f>IF($A64="","",SUMIFS(월별집계!$C64:$Z64,월별집계!$C$5:$Z$5,"&gt;="&amp;설정!$C$22,월별집계!$C$5:$Z$5,"&lt;="&amp;설정!$C$20))</f>
        <v/>
      </c>
      <c r="L64" s="29">
        <f>IF($A64="","",SUMIFS(월별집계!$C64:$Z64,월별집계!$C$5:$Z$5,"&gt;="&amp;(설정!$C$22-3),월별집계!$C$5:$Z$5,"&lt;="&amp;(설정!$C$20-3)))</f>
        <v/>
      </c>
      <c r="M64" s="60">
        <f>IF($A64="","",IF(L64&lt;=0,IF(K64&gt;0,1,0),K64/L64-1))</f>
        <v/>
      </c>
      <c r="N64" s="53">
        <f>IF($A64="","",MAX(F64-G64,F64-I64))</f>
        <v/>
      </c>
      <c r="O64" s="61">
        <f>IF($A64="","",IFERROR((월별집계!$Z64-AVERAGE(월별집계!N64:Y64))/STDEV(월별집계!N64:Y64),0))</f>
        <v/>
      </c>
      <c r="P64" s="29">
        <f>IF($A64="","",SUMIFS(예산판_원본!$O$5:$O$5000,예산판_원본!$L$5:$L$5000,$E64,예산판_원본!$M$5:$M$5000,설정!$C$6))</f>
        <v/>
      </c>
      <c r="Q64" s="29">
        <f>IF($A64="","",SUMIFS(월별집계!$C64:$Z64,월별집계!$C$5:$Z$5,"&gt;="&amp;(설정!$C$6*12+1),월별집계!$C$5:$Z$5,"&lt;="&amp;설정!$C$20))</f>
        <v/>
      </c>
      <c r="R64" s="53">
        <f>IF($A64="","",P64-Q64)</f>
        <v/>
      </c>
      <c r="S64" s="29">
        <f>IF($A64="","",AVERAGE(월별집계!X64:Z64)*(12-설정!$C$7))</f>
        <v/>
      </c>
      <c r="T64" s="29">
        <f>IF($A64="","",IFERROR(Q64/(SUMIFS(월별집계!$C64:$Z64,월별집계!$C$5:$Z$5,"&gt;="&amp;((설정!$C$6-1)*12+1),월별집계!$C$5:$Z$5,"&lt;="&amp;(설정!$C$20-12))/SUMIFS(월별집계!$C64:$Z64,월별집계!$C$5:$Z$5,"&gt;="&amp;((설정!$C$6-1)*12+1),월별집계!$C$5:$Z$5,"&lt;="&amp;((설정!$C$6-1)*12+12)))-Q64,S64))</f>
        <v/>
      </c>
      <c r="U64" s="53">
        <f>IF($A64="","",Q64+MAX(S64,T64))</f>
        <v/>
      </c>
      <c r="V64" s="49">
        <f>IF($A64="","",IF(P64=0,0,U64/P64))</f>
        <v/>
      </c>
      <c r="W64" s="28">
        <f>IF($A64="","",IF(AND(P64=0,Q64&gt;0),"무예산",IF(P64=0,"-",IF(V64&gt;설정!$C$12,"부족 예상",IF(V64&gt;설정!$C$11,"주의","여유")))))</f>
        <v/>
      </c>
      <c r="X64" s="53">
        <f>IF($A64="","",IF(P64=0,0,MAX(0,U64-P64)))</f>
        <v/>
      </c>
      <c r="Y64" s="28">
        <f>IF($A64="","",IF(OR(W64&lt;&gt;"부족 예상",설정!$C$7=12),"",IF(R64&lt;=0,"이미 초과",MIN(12,설정!$C$7+ROUNDUP(R64/(MAX(S64,T64)/(12-설정!$C$7)),0))&amp;"월")))</f>
        <v/>
      </c>
      <c r="Z64" s="22">
        <f>IF($A64="","",TRIM(IF(N(AC64)&gt;=설정!$C$14,"단건"&amp;TEXT(AC64,"0%")&amp;" ","")&amp;IF(AND(N64&gt;0,AD64&gt;0),IF(AD64/N64&gt;=설정!$C$16,"SA대체 ",""),"")&amp;IF(AE64&gt;0,"역분개"&amp;AE64&amp;"건 ","")&amp;IF(O64&gt;=설정!$C$13,"이상치 ","")&amp;IF(AND(I64=0,F64&gt;0),"신규지출 ","")))</f>
        <v/>
      </c>
      <c r="AA64" s="61">
        <f>IF($A64="","",ROUND((AF64+AG64+AH64+AI64)*IF(AND(F64&lt;설정!$C$10,N64&lt;설정!$C$10),0.3,1),1))</f>
        <v/>
      </c>
      <c r="AB64" s="50">
        <f>IF($A64="","",AA64+ROW()/1000000)</f>
        <v/>
      </c>
      <c r="AC64" s="56">
        <f>IF(OR($A64="",N64&lt;=0),"",SUMPRODUCT(MAX((전표_원본!$O$5:$O$100000=$E64)*(전표_원본!$M$5:$M$100000=설정!$C$20)*전표_원본!$P$5:$P$100000))/N64)</f>
        <v/>
      </c>
      <c r="AD64" s="29">
        <f>IF($A64="","",SUMIFS(전표_원본!$P$5:$P$100000,전표_원본!$O$5:$O$100000,$E64,전표_원본!$M$5:$M$100000,설정!$C$20,전표_원본!$E$5:$E$100000,"SA")-SUMIFS(전표_원본!$P$5:$P$100000,전표_원본!$O$5:$O$100000,$E64,전표_원본!$M$5:$M$100000,설정!$C$20-1,전표_원본!$E$5:$E$100000,"SA"))</f>
        <v/>
      </c>
      <c r="AE64" s="62">
        <f>IF($A64="","",COUNTIFS(전표_원본!$O$5:$O$100000,$E64,전표_원본!$M$5:$M$100000,설정!$C$20,전표_원본!$P$5:$P$100000,"&lt;0"))</f>
        <v/>
      </c>
      <c r="AF64" s="61">
        <f>IF($A64="","",MIN(MAX(0,N64)/(설정!$C$10*5),1)*30)</f>
        <v/>
      </c>
      <c r="AG64" s="63">
        <f>IF($A64="","",MIN(MAX(0,H64,J64),1)*20)</f>
        <v/>
      </c>
      <c r="AH64" s="63">
        <f>IF($A64="","",MIN(MAX(0,O64)/3,1)*25)</f>
        <v/>
      </c>
      <c r="AI64" s="63">
        <f>IF($A64="","",IF(OR(W64="부족 예상",W64="무예산"),25,IF(W64="주의",15,0)))</f>
        <v/>
      </c>
    </row>
    <row r="65">
      <c r="A65" s="12" t="inlineStr">
        <is>
          <t>D800</t>
        </is>
      </c>
      <c r="B65" s="22">
        <f>IF($A65="","",IFERROR(INDEX(부서매핑!$D$5:$D$504,MATCH($A65,부서매핑!$C$5:$C$504,0)),"부서매핑 없음"))</f>
        <v/>
      </c>
      <c r="C65" s="59" t="inlineStr">
        <is>
          <t>62301000</t>
        </is>
      </c>
      <c r="D65" s="22">
        <f>IF($A65="","",IFERROR(INDEX(계정매핑!$B$5:$B$504,MATCH($C65&amp;"",계정매핑!$A$5:$A$504,0)),"계정매핑 없음"))</f>
        <v/>
      </c>
      <c r="E65" s="21">
        <f>IF($A65="","",$A65&amp;"|"&amp;$C65)</f>
        <v/>
      </c>
      <c r="F65" s="29">
        <f>IF($A65="","",월별집계!$Z65)</f>
        <v/>
      </c>
      <c r="G65" s="29">
        <f>IF($A65="","",월별집계!$Y65)</f>
        <v/>
      </c>
      <c r="H65" s="60">
        <f>IF($A65="","",IF(G65&lt;=0,IF(F65&gt;0,1,0),F65/G65-1))</f>
        <v/>
      </c>
      <c r="I65" s="29">
        <f>IF($A65="","",월별집계!$N65)</f>
        <v/>
      </c>
      <c r="J65" s="60">
        <f>IF($A65="","",IF(I65&lt;=0,IF(F65&gt;0,1,0),F65/I65-1))</f>
        <v/>
      </c>
      <c r="K65" s="29">
        <f>IF($A65="","",SUMIFS(월별집계!$C65:$Z65,월별집계!$C$5:$Z$5,"&gt;="&amp;설정!$C$22,월별집계!$C$5:$Z$5,"&lt;="&amp;설정!$C$20))</f>
        <v/>
      </c>
      <c r="L65" s="29">
        <f>IF($A65="","",SUMIFS(월별집계!$C65:$Z65,월별집계!$C$5:$Z$5,"&gt;="&amp;(설정!$C$22-3),월별집계!$C$5:$Z$5,"&lt;="&amp;(설정!$C$20-3)))</f>
        <v/>
      </c>
      <c r="M65" s="60">
        <f>IF($A65="","",IF(L65&lt;=0,IF(K65&gt;0,1,0),K65/L65-1))</f>
        <v/>
      </c>
      <c r="N65" s="53">
        <f>IF($A65="","",MAX(F65-G65,F65-I65))</f>
        <v/>
      </c>
      <c r="O65" s="61">
        <f>IF($A65="","",IFERROR((월별집계!$Z65-AVERAGE(월별집계!N65:Y65))/STDEV(월별집계!N65:Y65),0))</f>
        <v/>
      </c>
      <c r="P65" s="29">
        <f>IF($A65="","",SUMIFS(예산판_원본!$O$5:$O$5000,예산판_원본!$L$5:$L$5000,$E65,예산판_원본!$M$5:$M$5000,설정!$C$6))</f>
        <v/>
      </c>
      <c r="Q65" s="29">
        <f>IF($A65="","",SUMIFS(월별집계!$C65:$Z65,월별집계!$C$5:$Z$5,"&gt;="&amp;(설정!$C$6*12+1),월별집계!$C$5:$Z$5,"&lt;="&amp;설정!$C$20))</f>
        <v/>
      </c>
      <c r="R65" s="53">
        <f>IF($A65="","",P65-Q65)</f>
        <v/>
      </c>
      <c r="S65" s="29">
        <f>IF($A65="","",AVERAGE(월별집계!X65:Z65)*(12-설정!$C$7))</f>
        <v/>
      </c>
      <c r="T65" s="29">
        <f>IF($A65="","",IFERROR(Q65/(SUMIFS(월별집계!$C65:$Z65,월별집계!$C$5:$Z$5,"&gt;="&amp;((설정!$C$6-1)*12+1),월별집계!$C$5:$Z$5,"&lt;="&amp;(설정!$C$20-12))/SUMIFS(월별집계!$C65:$Z65,월별집계!$C$5:$Z$5,"&gt;="&amp;((설정!$C$6-1)*12+1),월별집계!$C$5:$Z$5,"&lt;="&amp;((설정!$C$6-1)*12+12)))-Q65,S65))</f>
        <v/>
      </c>
      <c r="U65" s="53">
        <f>IF($A65="","",Q65+MAX(S65,T65))</f>
        <v/>
      </c>
      <c r="V65" s="49">
        <f>IF($A65="","",IF(P65=0,0,U65/P65))</f>
        <v/>
      </c>
      <c r="W65" s="28">
        <f>IF($A65="","",IF(AND(P65=0,Q65&gt;0),"무예산",IF(P65=0,"-",IF(V65&gt;설정!$C$12,"부족 예상",IF(V65&gt;설정!$C$11,"주의","여유")))))</f>
        <v/>
      </c>
      <c r="X65" s="53">
        <f>IF($A65="","",IF(P65=0,0,MAX(0,U65-P65)))</f>
        <v/>
      </c>
      <c r="Y65" s="28">
        <f>IF($A65="","",IF(OR(W65&lt;&gt;"부족 예상",설정!$C$7=12),"",IF(R65&lt;=0,"이미 초과",MIN(12,설정!$C$7+ROUNDUP(R65/(MAX(S65,T65)/(12-설정!$C$7)),0))&amp;"월")))</f>
        <v/>
      </c>
      <c r="Z65" s="22">
        <f>IF($A65="","",TRIM(IF(N(AC65)&gt;=설정!$C$14,"단건"&amp;TEXT(AC65,"0%")&amp;" ","")&amp;IF(AND(N65&gt;0,AD65&gt;0),IF(AD65/N65&gt;=설정!$C$16,"SA대체 ",""),"")&amp;IF(AE65&gt;0,"역분개"&amp;AE65&amp;"건 ","")&amp;IF(O65&gt;=설정!$C$13,"이상치 ","")&amp;IF(AND(I65=0,F65&gt;0),"신규지출 ","")))</f>
        <v/>
      </c>
      <c r="AA65" s="61">
        <f>IF($A65="","",ROUND((AF65+AG65+AH65+AI65)*IF(AND(F65&lt;설정!$C$10,N65&lt;설정!$C$10),0.3,1),1))</f>
        <v/>
      </c>
      <c r="AB65" s="50">
        <f>IF($A65="","",AA65+ROW()/1000000)</f>
        <v/>
      </c>
      <c r="AC65" s="56">
        <f>IF(OR($A65="",N65&lt;=0),"",SUMPRODUCT(MAX((전표_원본!$O$5:$O$100000=$E65)*(전표_원본!$M$5:$M$100000=설정!$C$20)*전표_원본!$P$5:$P$100000))/N65)</f>
        <v/>
      </c>
      <c r="AD65" s="29">
        <f>IF($A65="","",SUMIFS(전표_원본!$P$5:$P$100000,전표_원본!$O$5:$O$100000,$E65,전표_원본!$M$5:$M$100000,설정!$C$20,전표_원본!$E$5:$E$100000,"SA")-SUMIFS(전표_원본!$P$5:$P$100000,전표_원본!$O$5:$O$100000,$E65,전표_원본!$M$5:$M$100000,설정!$C$20-1,전표_원본!$E$5:$E$100000,"SA"))</f>
        <v/>
      </c>
      <c r="AE65" s="62">
        <f>IF($A65="","",COUNTIFS(전표_원본!$O$5:$O$100000,$E65,전표_원본!$M$5:$M$100000,설정!$C$20,전표_원본!$P$5:$P$100000,"&lt;0"))</f>
        <v/>
      </c>
      <c r="AF65" s="61">
        <f>IF($A65="","",MIN(MAX(0,N65)/(설정!$C$10*5),1)*30)</f>
        <v/>
      </c>
      <c r="AG65" s="63">
        <f>IF($A65="","",MIN(MAX(0,H65,J65),1)*20)</f>
        <v/>
      </c>
      <c r="AH65" s="63">
        <f>IF($A65="","",MIN(MAX(0,O65)/3,1)*25)</f>
        <v/>
      </c>
      <c r="AI65" s="63">
        <f>IF($A65="","",IF(OR(W65="부족 예상",W65="무예산"),25,IF(W65="주의",15,0)))</f>
        <v/>
      </c>
    </row>
    <row r="66">
      <c r="A66" s="12" t="inlineStr">
        <is>
          <t>D800</t>
        </is>
      </c>
      <c r="B66" s="22">
        <f>IF($A66="","",IFERROR(INDEX(부서매핑!$D$5:$D$504,MATCH($A66,부서매핑!$C$5:$C$504,0)),"부서매핑 없음"))</f>
        <v/>
      </c>
      <c r="C66" s="59" t="inlineStr">
        <is>
          <t>62401000</t>
        </is>
      </c>
      <c r="D66" s="22">
        <f>IF($A66="","",IFERROR(INDEX(계정매핑!$B$5:$B$504,MATCH($C66&amp;"",계정매핑!$A$5:$A$504,0)),"계정매핑 없음"))</f>
        <v/>
      </c>
      <c r="E66" s="21">
        <f>IF($A66="","",$A66&amp;"|"&amp;$C66)</f>
        <v/>
      </c>
      <c r="F66" s="29">
        <f>IF($A66="","",월별집계!$Z66)</f>
        <v/>
      </c>
      <c r="G66" s="29">
        <f>IF($A66="","",월별집계!$Y66)</f>
        <v/>
      </c>
      <c r="H66" s="60">
        <f>IF($A66="","",IF(G66&lt;=0,IF(F66&gt;0,1,0),F66/G66-1))</f>
        <v/>
      </c>
      <c r="I66" s="29">
        <f>IF($A66="","",월별집계!$N66)</f>
        <v/>
      </c>
      <c r="J66" s="60">
        <f>IF($A66="","",IF(I66&lt;=0,IF(F66&gt;0,1,0),F66/I66-1))</f>
        <v/>
      </c>
      <c r="K66" s="29">
        <f>IF($A66="","",SUMIFS(월별집계!$C66:$Z66,월별집계!$C$5:$Z$5,"&gt;="&amp;설정!$C$22,월별집계!$C$5:$Z$5,"&lt;="&amp;설정!$C$20))</f>
        <v/>
      </c>
      <c r="L66" s="29">
        <f>IF($A66="","",SUMIFS(월별집계!$C66:$Z66,월별집계!$C$5:$Z$5,"&gt;="&amp;(설정!$C$22-3),월별집계!$C$5:$Z$5,"&lt;="&amp;(설정!$C$20-3)))</f>
        <v/>
      </c>
      <c r="M66" s="60">
        <f>IF($A66="","",IF(L66&lt;=0,IF(K66&gt;0,1,0),K66/L66-1))</f>
        <v/>
      </c>
      <c r="N66" s="53">
        <f>IF($A66="","",MAX(F66-G66,F66-I66))</f>
        <v/>
      </c>
      <c r="O66" s="61">
        <f>IF($A66="","",IFERROR((월별집계!$Z66-AVERAGE(월별집계!N66:Y66))/STDEV(월별집계!N66:Y66),0))</f>
        <v/>
      </c>
      <c r="P66" s="29">
        <f>IF($A66="","",SUMIFS(예산판_원본!$O$5:$O$5000,예산판_원본!$L$5:$L$5000,$E66,예산판_원본!$M$5:$M$5000,설정!$C$6))</f>
        <v/>
      </c>
      <c r="Q66" s="29">
        <f>IF($A66="","",SUMIFS(월별집계!$C66:$Z66,월별집계!$C$5:$Z$5,"&gt;="&amp;(설정!$C$6*12+1),월별집계!$C$5:$Z$5,"&lt;="&amp;설정!$C$20))</f>
        <v/>
      </c>
      <c r="R66" s="53">
        <f>IF($A66="","",P66-Q66)</f>
        <v/>
      </c>
      <c r="S66" s="29">
        <f>IF($A66="","",AVERAGE(월별집계!X66:Z66)*(12-설정!$C$7))</f>
        <v/>
      </c>
      <c r="T66" s="29">
        <f>IF($A66="","",IFERROR(Q66/(SUMIFS(월별집계!$C66:$Z66,월별집계!$C$5:$Z$5,"&gt;="&amp;((설정!$C$6-1)*12+1),월별집계!$C$5:$Z$5,"&lt;="&amp;(설정!$C$20-12))/SUMIFS(월별집계!$C66:$Z66,월별집계!$C$5:$Z$5,"&gt;="&amp;((설정!$C$6-1)*12+1),월별집계!$C$5:$Z$5,"&lt;="&amp;((설정!$C$6-1)*12+12)))-Q66,S66))</f>
        <v/>
      </c>
      <c r="U66" s="53">
        <f>IF($A66="","",Q66+MAX(S66,T66))</f>
        <v/>
      </c>
      <c r="V66" s="49">
        <f>IF($A66="","",IF(P66=0,0,U66/P66))</f>
        <v/>
      </c>
      <c r="W66" s="28">
        <f>IF($A66="","",IF(AND(P66=0,Q66&gt;0),"무예산",IF(P66=0,"-",IF(V66&gt;설정!$C$12,"부족 예상",IF(V66&gt;설정!$C$11,"주의","여유")))))</f>
        <v/>
      </c>
      <c r="X66" s="53">
        <f>IF($A66="","",IF(P66=0,0,MAX(0,U66-P66)))</f>
        <v/>
      </c>
      <c r="Y66" s="28">
        <f>IF($A66="","",IF(OR(W66&lt;&gt;"부족 예상",설정!$C$7=12),"",IF(R66&lt;=0,"이미 초과",MIN(12,설정!$C$7+ROUNDUP(R66/(MAX(S66,T66)/(12-설정!$C$7)),0))&amp;"월")))</f>
        <v/>
      </c>
      <c r="Z66" s="22">
        <f>IF($A66="","",TRIM(IF(N(AC66)&gt;=설정!$C$14,"단건"&amp;TEXT(AC66,"0%")&amp;" ","")&amp;IF(AND(N66&gt;0,AD66&gt;0),IF(AD66/N66&gt;=설정!$C$16,"SA대체 ",""),"")&amp;IF(AE66&gt;0,"역분개"&amp;AE66&amp;"건 ","")&amp;IF(O66&gt;=설정!$C$13,"이상치 ","")&amp;IF(AND(I66=0,F66&gt;0),"신규지출 ","")))</f>
        <v/>
      </c>
      <c r="AA66" s="61">
        <f>IF($A66="","",ROUND((AF66+AG66+AH66+AI66)*IF(AND(F66&lt;설정!$C$10,N66&lt;설정!$C$10),0.3,1),1))</f>
        <v/>
      </c>
      <c r="AB66" s="50">
        <f>IF($A66="","",AA66+ROW()/1000000)</f>
        <v/>
      </c>
      <c r="AC66" s="56">
        <f>IF(OR($A66="",N66&lt;=0),"",SUMPRODUCT(MAX((전표_원본!$O$5:$O$100000=$E66)*(전표_원본!$M$5:$M$100000=설정!$C$20)*전표_원본!$P$5:$P$100000))/N66)</f>
        <v/>
      </c>
      <c r="AD66" s="29">
        <f>IF($A66="","",SUMIFS(전표_원본!$P$5:$P$100000,전표_원본!$O$5:$O$100000,$E66,전표_원본!$M$5:$M$100000,설정!$C$20,전표_원본!$E$5:$E$100000,"SA")-SUMIFS(전표_원본!$P$5:$P$100000,전표_원본!$O$5:$O$100000,$E66,전표_원본!$M$5:$M$100000,설정!$C$20-1,전표_원본!$E$5:$E$100000,"SA"))</f>
        <v/>
      </c>
      <c r="AE66" s="62">
        <f>IF($A66="","",COUNTIFS(전표_원본!$O$5:$O$100000,$E66,전표_원본!$M$5:$M$100000,설정!$C$20,전표_원본!$P$5:$P$100000,"&lt;0"))</f>
        <v/>
      </c>
      <c r="AF66" s="61">
        <f>IF($A66="","",MIN(MAX(0,N66)/(설정!$C$10*5),1)*30)</f>
        <v/>
      </c>
      <c r="AG66" s="63">
        <f>IF($A66="","",MIN(MAX(0,H66,J66),1)*20)</f>
        <v/>
      </c>
      <c r="AH66" s="63">
        <f>IF($A66="","",MIN(MAX(0,O66)/3,1)*25)</f>
        <v/>
      </c>
      <c r="AI66" s="63">
        <f>IF($A66="","",IF(OR(W66="부족 예상",W66="무예산"),25,IF(W66="주의",15,0)))</f>
        <v/>
      </c>
    </row>
    <row r="67">
      <c r="A67" s="12" t="inlineStr">
        <is>
          <t>D800</t>
        </is>
      </c>
      <c r="B67" s="22">
        <f>IF($A67="","",IFERROR(INDEX(부서매핑!$D$5:$D$504,MATCH($A67,부서매핑!$C$5:$C$504,0)),"부서매핑 없음"))</f>
        <v/>
      </c>
      <c r="C67" s="59" t="inlineStr">
        <is>
          <t>62501000</t>
        </is>
      </c>
      <c r="D67" s="22">
        <f>IF($A67="","",IFERROR(INDEX(계정매핑!$B$5:$B$504,MATCH($C67&amp;"",계정매핑!$A$5:$A$504,0)),"계정매핑 없음"))</f>
        <v/>
      </c>
      <c r="E67" s="21">
        <f>IF($A67="","",$A67&amp;"|"&amp;$C67)</f>
        <v/>
      </c>
      <c r="F67" s="29">
        <f>IF($A67="","",월별집계!$Z67)</f>
        <v/>
      </c>
      <c r="G67" s="29">
        <f>IF($A67="","",월별집계!$Y67)</f>
        <v/>
      </c>
      <c r="H67" s="60">
        <f>IF($A67="","",IF(G67&lt;=0,IF(F67&gt;0,1,0),F67/G67-1))</f>
        <v/>
      </c>
      <c r="I67" s="29">
        <f>IF($A67="","",월별집계!$N67)</f>
        <v/>
      </c>
      <c r="J67" s="60">
        <f>IF($A67="","",IF(I67&lt;=0,IF(F67&gt;0,1,0),F67/I67-1))</f>
        <v/>
      </c>
      <c r="K67" s="29">
        <f>IF($A67="","",SUMIFS(월별집계!$C67:$Z67,월별집계!$C$5:$Z$5,"&gt;="&amp;설정!$C$22,월별집계!$C$5:$Z$5,"&lt;="&amp;설정!$C$20))</f>
        <v/>
      </c>
      <c r="L67" s="29">
        <f>IF($A67="","",SUMIFS(월별집계!$C67:$Z67,월별집계!$C$5:$Z$5,"&gt;="&amp;(설정!$C$22-3),월별집계!$C$5:$Z$5,"&lt;="&amp;(설정!$C$20-3)))</f>
        <v/>
      </c>
      <c r="M67" s="60">
        <f>IF($A67="","",IF(L67&lt;=0,IF(K67&gt;0,1,0),K67/L67-1))</f>
        <v/>
      </c>
      <c r="N67" s="53">
        <f>IF($A67="","",MAX(F67-G67,F67-I67))</f>
        <v/>
      </c>
      <c r="O67" s="61">
        <f>IF($A67="","",IFERROR((월별집계!$Z67-AVERAGE(월별집계!N67:Y67))/STDEV(월별집계!N67:Y67),0))</f>
        <v/>
      </c>
      <c r="P67" s="29">
        <f>IF($A67="","",SUMIFS(예산판_원본!$O$5:$O$5000,예산판_원본!$L$5:$L$5000,$E67,예산판_원본!$M$5:$M$5000,설정!$C$6))</f>
        <v/>
      </c>
      <c r="Q67" s="29">
        <f>IF($A67="","",SUMIFS(월별집계!$C67:$Z67,월별집계!$C$5:$Z$5,"&gt;="&amp;(설정!$C$6*12+1),월별집계!$C$5:$Z$5,"&lt;="&amp;설정!$C$20))</f>
        <v/>
      </c>
      <c r="R67" s="53">
        <f>IF($A67="","",P67-Q67)</f>
        <v/>
      </c>
      <c r="S67" s="29">
        <f>IF($A67="","",AVERAGE(월별집계!X67:Z67)*(12-설정!$C$7))</f>
        <v/>
      </c>
      <c r="T67" s="29">
        <f>IF($A67="","",IFERROR(Q67/(SUMIFS(월별집계!$C67:$Z67,월별집계!$C$5:$Z$5,"&gt;="&amp;((설정!$C$6-1)*12+1),월별집계!$C$5:$Z$5,"&lt;="&amp;(설정!$C$20-12))/SUMIFS(월별집계!$C67:$Z67,월별집계!$C$5:$Z$5,"&gt;="&amp;((설정!$C$6-1)*12+1),월별집계!$C$5:$Z$5,"&lt;="&amp;((설정!$C$6-1)*12+12)))-Q67,S67))</f>
        <v/>
      </c>
      <c r="U67" s="53">
        <f>IF($A67="","",Q67+MAX(S67,T67))</f>
        <v/>
      </c>
      <c r="V67" s="49">
        <f>IF($A67="","",IF(P67=0,0,U67/P67))</f>
        <v/>
      </c>
      <c r="W67" s="28">
        <f>IF($A67="","",IF(AND(P67=0,Q67&gt;0),"무예산",IF(P67=0,"-",IF(V67&gt;설정!$C$12,"부족 예상",IF(V67&gt;설정!$C$11,"주의","여유")))))</f>
        <v/>
      </c>
      <c r="X67" s="53">
        <f>IF($A67="","",IF(P67=0,0,MAX(0,U67-P67)))</f>
        <v/>
      </c>
      <c r="Y67" s="28">
        <f>IF($A67="","",IF(OR(W67&lt;&gt;"부족 예상",설정!$C$7=12),"",IF(R67&lt;=0,"이미 초과",MIN(12,설정!$C$7+ROUNDUP(R67/(MAX(S67,T67)/(12-설정!$C$7)),0))&amp;"월")))</f>
        <v/>
      </c>
      <c r="Z67" s="22">
        <f>IF($A67="","",TRIM(IF(N(AC67)&gt;=설정!$C$14,"단건"&amp;TEXT(AC67,"0%")&amp;" ","")&amp;IF(AND(N67&gt;0,AD67&gt;0),IF(AD67/N67&gt;=설정!$C$16,"SA대체 ",""),"")&amp;IF(AE67&gt;0,"역분개"&amp;AE67&amp;"건 ","")&amp;IF(O67&gt;=설정!$C$13,"이상치 ","")&amp;IF(AND(I67=0,F67&gt;0),"신규지출 ","")))</f>
        <v/>
      </c>
      <c r="AA67" s="61">
        <f>IF($A67="","",ROUND((AF67+AG67+AH67+AI67)*IF(AND(F67&lt;설정!$C$10,N67&lt;설정!$C$10),0.3,1),1))</f>
        <v/>
      </c>
      <c r="AB67" s="50">
        <f>IF($A67="","",AA67+ROW()/1000000)</f>
        <v/>
      </c>
      <c r="AC67" s="56">
        <f>IF(OR($A67="",N67&lt;=0),"",SUMPRODUCT(MAX((전표_원본!$O$5:$O$100000=$E67)*(전표_원본!$M$5:$M$100000=설정!$C$20)*전표_원본!$P$5:$P$100000))/N67)</f>
        <v/>
      </c>
      <c r="AD67" s="29">
        <f>IF($A67="","",SUMIFS(전표_원본!$P$5:$P$100000,전표_원본!$O$5:$O$100000,$E67,전표_원본!$M$5:$M$100000,설정!$C$20,전표_원본!$E$5:$E$100000,"SA")-SUMIFS(전표_원본!$P$5:$P$100000,전표_원본!$O$5:$O$100000,$E67,전표_원본!$M$5:$M$100000,설정!$C$20-1,전표_원본!$E$5:$E$100000,"SA"))</f>
        <v/>
      </c>
      <c r="AE67" s="62">
        <f>IF($A67="","",COUNTIFS(전표_원본!$O$5:$O$100000,$E67,전표_원본!$M$5:$M$100000,설정!$C$20,전표_원본!$P$5:$P$100000,"&lt;0"))</f>
        <v/>
      </c>
      <c r="AF67" s="61">
        <f>IF($A67="","",MIN(MAX(0,N67)/(설정!$C$10*5),1)*30)</f>
        <v/>
      </c>
      <c r="AG67" s="63">
        <f>IF($A67="","",MIN(MAX(0,H67,J67),1)*20)</f>
        <v/>
      </c>
      <c r="AH67" s="63">
        <f>IF($A67="","",MIN(MAX(0,O67)/3,1)*25)</f>
        <v/>
      </c>
      <c r="AI67" s="63">
        <f>IF($A67="","",IF(OR(W67="부족 예상",W67="무예산"),25,IF(W67="주의",15,0)))</f>
        <v/>
      </c>
    </row>
    <row r="68">
      <c r="A68" s="12" t="inlineStr">
        <is>
          <t>D800</t>
        </is>
      </c>
      <c r="B68" s="22">
        <f>IF($A68="","",IFERROR(INDEX(부서매핑!$D$5:$D$504,MATCH($A68,부서매핑!$C$5:$C$504,0)),"부서매핑 없음"))</f>
        <v/>
      </c>
      <c r="C68" s="59" t="inlineStr">
        <is>
          <t>62901000</t>
        </is>
      </c>
      <c r="D68" s="22">
        <f>IF($A68="","",IFERROR(INDEX(계정매핑!$B$5:$B$504,MATCH($C68&amp;"",계정매핑!$A$5:$A$504,0)),"계정매핑 없음"))</f>
        <v/>
      </c>
      <c r="E68" s="21">
        <f>IF($A68="","",$A68&amp;"|"&amp;$C68)</f>
        <v/>
      </c>
      <c r="F68" s="29">
        <f>IF($A68="","",월별집계!$Z68)</f>
        <v/>
      </c>
      <c r="G68" s="29">
        <f>IF($A68="","",월별집계!$Y68)</f>
        <v/>
      </c>
      <c r="H68" s="60">
        <f>IF($A68="","",IF(G68&lt;=0,IF(F68&gt;0,1,0),F68/G68-1))</f>
        <v/>
      </c>
      <c r="I68" s="29">
        <f>IF($A68="","",월별집계!$N68)</f>
        <v/>
      </c>
      <c r="J68" s="60">
        <f>IF($A68="","",IF(I68&lt;=0,IF(F68&gt;0,1,0),F68/I68-1))</f>
        <v/>
      </c>
      <c r="K68" s="29">
        <f>IF($A68="","",SUMIFS(월별집계!$C68:$Z68,월별집계!$C$5:$Z$5,"&gt;="&amp;설정!$C$22,월별집계!$C$5:$Z$5,"&lt;="&amp;설정!$C$20))</f>
        <v/>
      </c>
      <c r="L68" s="29">
        <f>IF($A68="","",SUMIFS(월별집계!$C68:$Z68,월별집계!$C$5:$Z$5,"&gt;="&amp;(설정!$C$22-3),월별집계!$C$5:$Z$5,"&lt;="&amp;(설정!$C$20-3)))</f>
        <v/>
      </c>
      <c r="M68" s="60">
        <f>IF($A68="","",IF(L68&lt;=0,IF(K68&gt;0,1,0),K68/L68-1))</f>
        <v/>
      </c>
      <c r="N68" s="53">
        <f>IF($A68="","",MAX(F68-G68,F68-I68))</f>
        <v/>
      </c>
      <c r="O68" s="61">
        <f>IF($A68="","",IFERROR((월별집계!$Z68-AVERAGE(월별집계!N68:Y68))/STDEV(월별집계!N68:Y68),0))</f>
        <v/>
      </c>
      <c r="P68" s="29">
        <f>IF($A68="","",SUMIFS(예산판_원본!$O$5:$O$5000,예산판_원본!$L$5:$L$5000,$E68,예산판_원본!$M$5:$M$5000,설정!$C$6))</f>
        <v/>
      </c>
      <c r="Q68" s="29">
        <f>IF($A68="","",SUMIFS(월별집계!$C68:$Z68,월별집계!$C$5:$Z$5,"&gt;="&amp;(설정!$C$6*12+1),월별집계!$C$5:$Z$5,"&lt;="&amp;설정!$C$20))</f>
        <v/>
      </c>
      <c r="R68" s="53">
        <f>IF($A68="","",P68-Q68)</f>
        <v/>
      </c>
      <c r="S68" s="29">
        <f>IF($A68="","",AVERAGE(월별집계!X68:Z68)*(12-설정!$C$7))</f>
        <v/>
      </c>
      <c r="T68" s="29">
        <f>IF($A68="","",IFERROR(Q68/(SUMIFS(월별집계!$C68:$Z68,월별집계!$C$5:$Z$5,"&gt;="&amp;((설정!$C$6-1)*12+1),월별집계!$C$5:$Z$5,"&lt;="&amp;(설정!$C$20-12))/SUMIFS(월별집계!$C68:$Z68,월별집계!$C$5:$Z$5,"&gt;="&amp;((설정!$C$6-1)*12+1),월별집계!$C$5:$Z$5,"&lt;="&amp;((설정!$C$6-1)*12+12)))-Q68,S68))</f>
        <v/>
      </c>
      <c r="U68" s="53">
        <f>IF($A68="","",Q68+MAX(S68,T68))</f>
        <v/>
      </c>
      <c r="V68" s="49">
        <f>IF($A68="","",IF(P68=0,0,U68/P68))</f>
        <v/>
      </c>
      <c r="W68" s="28">
        <f>IF($A68="","",IF(AND(P68=0,Q68&gt;0),"무예산",IF(P68=0,"-",IF(V68&gt;설정!$C$12,"부족 예상",IF(V68&gt;설정!$C$11,"주의","여유")))))</f>
        <v/>
      </c>
      <c r="X68" s="53">
        <f>IF($A68="","",IF(P68=0,0,MAX(0,U68-P68)))</f>
        <v/>
      </c>
      <c r="Y68" s="28">
        <f>IF($A68="","",IF(OR(W68&lt;&gt;"부족 예상",설정!$C$7=12),"",IF(R68&lt;=0,"이미 초과",MIN(12,설정!$C$7+ROUNDUP(R68/(MAX(S68,T68)/(12-설정!$C$7)),0))&amp;"월")))</f>
        <v/>
      </c>
      <c r="Z68" s="22">
        <f>IF($A68="","",TRIM(IF(N(AC68)&gt;=설정!$C$14,"단건"&amp;TEXT(AC68,"0%")&amp;" ","")&amp;IF(AND(N68&gt;0,AD68&gt;0),IF(AD68/N68&gt;=설정!$C$16,"SA대체 ",""),"")&amp;IF(AE68&gt;0,"역분개"&amp;AE68&amp;"건 ","")&amp;IF(O68&gt;=설정!$C$13,"이상치 ","")&amp;IF(AND(I68=0,F68&gt;0),"신규지출 ","")))</f>
        <v/>
      </c>
      <c r="AA68" s="61">
        <f>IF($A68="","",ROUND((AF68+AG68+AH68+AI68)*IF(AND(F68&lt;설정!$C$10,N68&lt;설정!$C$10),0.3,1),1))</f>
        <v/>
      </c>
      <c r="AB68" s="50">
        <f>IF($A68="","",AA68+ROW()/1000000)</f>
        <v/>
      </c>
      <c r="AC68" s="56">
        <f>IF(OR($A68="",N68&lt;=0),"",SUMPRODUCT(MAX((전표_원본!$O$5:$O$100000=$E68)*(전표_원본!$M$5:$M$100000=설정!$C$20)*전표_원본!$P$5:$P$100000))/N68)</f>
        <v/>
      </c>
      <c r="AD68" s="29">
        <f>IF($A68="","",SUMIFS(전표_원본!$P$5:$P$100000,전표_원본!$O$5:$O$100000,$E68,전표_원본!$M$5:$M$100000,설정!$C$20,전표_원본!$E$5:$E$100000,"SA")-SUMIFS(전표_원본!$P$5:$P$100000,전표_원본!$O$5:$O$100000,$E68,전표_원본!$M$5:$M$100000,설정!$C$20-1,전표_원본!$E$5:$E$100000,"SA"))</f>
        <v/>
      </c>
      <c r="AE68" s="62">
        <f>IF($A68="","",COUNTIFS(전표_원본!$O$5:$O$100000,$E68,전표_원본!$M$5:$M$100000,설정!$C$20,전표_원본!$P$5:$P$100000,"&lt;0"))</f>
        <v/>
      </c>
      <c r="AF68" s="61">
        <f>IF($A68="","",MIN(MAX(0,N68)/(설정!$C$10*5),1)*30)</f>
        <v/>
      </c>
      <c r="AG68" s="63">
        <f>IF($A68="","",MIN(MAX(0,H68,J68),1)*20)</f>
        <v/>
      </c>
      <c r="AH68" s="63">
        <f>IF($A68="","",MIN(MAX(0,O68)/3,1)*25)</f>
        <v/>
      </c>
      <c r="AI68" s="63">
        <f>IF($A68="","",IF(OR(W68="부족 예상",W68="무예산"),25,IF(W68="주의",15,0)))</f>
        <v/>
      </c>
    </row>
    <row r="69">
      <c r="A69" s="12" t="inlineStr">
        <is>
          <t>D800</t>
        </is>
      </c>
      <c r="B69" s="22">
        <f>IF($A69="","",IFERROR(INDEX(부서매핑!$D$5:$D$504,MATCH($A69,부서매핑!$C$5:$C$504,0)),"부서매핑 없음"))</f>
        <v/>
      </c>
      <c r="C69" s="59" t="inlineStr">
        <is>
          <t>62902000</t>
        </is>
      </c>
      <c r="D69" s="22">
        <f>IF($A69="","",IFERROR(INDEX(계정매핑!$B$5:$B$504,MATCH($C69&amp;"",계정매핑!$A$5:$A$504,0)),"계정매핑 없음"))</f>
        <v/>
      </c>
      <c r="E69" s="21">
        <f>IF($A69="","",$A69&amp;"|"&amp;$C69)</f>
        <v/>
      </c>
      <c r="F69" s="29">
        <f>IF($A69="","",월별집계!$Z69)</f>
        <v/>
      </c>
      <c r="G69" s="29">
        <f>IF($A69="","",월별집계!$Y69)</f>
        <v/>
      </c>
      <c r="H69" s="60">
        <f>IF($A69="","",IF(G69&lt;=0,IF(F69&gt;0,1,0),F69/G69-1))</f>
        <v/>
      </c>
      <c r="I69" s="29">
        <f>IF($A69="","",월별집계!$N69)</f>
        <v/>
      </c>
      <c r="J69" s="60">
        <f>IF($A69="","",IF(I69&lt;=0,IF(F69&gt;0,1,0),F69/I69-1))</f>
        <v/>
      </c>
      <c r="K69" s="29">
        <f>IF($A69="","",SUMIFS(월별집계!$C69:$Z69,월별집계!$C$5:$Z$5,"&gt;="&amp;설정!$C$22,월별집계!$C$5:$Z$5,"&lt;="&amp;설정!$C$20))</f>
        <v/>
      </c>
      <c r="L69" s="29">
        <f>IF($A69="","",SUMIFS(월별집계!$C69:$Z69,월별집계!$C$5:$Z$5,"&gt;="&amp;(설정!$C$22-3),월별집계!$C$5:$Z$5,"&lt;="&amp;(설정!$C$20-3)))</f>
        <v/>
      </c>
      <c r="M69" s="60">
        <f>IF($A69="","",IF(L69&lt;=0,IF(K69&gt;0,1,0),K69/L69-1))</f>
        <v/>
      </c>
      <c r="N69" s="53">
        <f>IF($A69="","",MAX(F69-G69,F69-I69))</f>
        <v/>
      </c>
      <c r="O69" s="61">
        <f>IF($A69="","",IFERROR((월별집계!$Z69-AVERAGE(월별집계!N69:Y69))/STDEV(월별집계!N69:Y69),0))</f>
        <v/>
      </c>
      <c r="P69" s="29">
        <f>IF($A69="","",SUMIFS(예산판_원본!$O$5:$O$5000,예산판_원본!$L$5:$L$5000,$E69,예산판_원본!$M$5:$M$5000,설정!$C$6))</f>
        <v/>
      </c>
      <c r="Q69" s="29">
        <f>IF($A69="","",SUMIFS(월별집계!$C69:$Z69,월별집계!$C$5:$Z$5,"&gt;="&amp;(설정!$C$6*12+1),월별집계!$C$5:$Z$5,"&lt;="&amp;설정!$C$20))</f>
        <v/>
      </c>
      <c r="R69" s="53">
        <f>IF($A69="","",P69-Q69)</f>
        <v/>
      </c>
      <c r="S69" s="29">
        <f>IF($A69="","",AVERAGE(월별집계!X69:Z69)*(12-설정!$C$7))</f>
        <v/>
      </c>
      <c r="T69" s="29">
        <f>IF($A69="","",IFERROR(Q69/(SUMIFS(월별집계!$C69:$Z69,월별집계!$C$5:$Z$5,"&gt;="&amp;((설정!$C$6-1)*12+1),월별집계!$C$5:$Z$5,"&lt;="&amp;(설정!$C$20-12))/SUMIFS(월별집계!$C69:$Z69,월별집계!$C$5:$Z$5,"&gt;="&amp;((설정!$C$6-1)*12+1),월별집계!$C$5:$Z$5,"&lt;="&amp;((설정!$C$6-1)*12+12)))-Q69,S69))</f>
        <v/>
      </c>
      <c r="U69" s="53">
        <f>IF($A69="","",Q69+MAX(S69,T69))</f>
        <v/>
      </c>
      <c r="V69" s="49">
        <f>IF($A69="","",IF(P69=0,0,U69/P69))</f>
        <v/>
      </c>
      <c r="W69" s="28">
        <f>IF($A69="","",IF(AND(P69=0,Q69&gt;0),"무예산",IF(P69=0,"-",IF(V69&gt;설정!$C$12,"부족 예상",IF(V69&gt;설정!$C$11,"주의","여유")))))</f>
        <v/>
      </c>
      <c r="X69" s="53">
        <f>IF($A69="","",IF(P69=0,0,MAX(0,U69-P69)))</f>
        <v/>
      </c>
      <c r="Y69" s="28">
        <f>IF($A69="","",IF(OR(W69&lt;&gt;"부족 예상",설정!$C$7=12),"",IF(R69&lt;=0,"이미 초과",MIN(12,설정!$C$7+ROUNDUP(R69/(MAX(S69,T69)/(12-설정!$C$7)),0))&amp;"월")))</f>
        <v/>
      </c>
      <c r="Z69" s="22">
        <f>IF($A69="","",TRIM(IF(N(AC69)&gt;=설정!$C$14,"단건"&amp;TEXT(AC69,"0%")&amp;" ","")&amp;IF(AND(N69&gt;0,AD69&gt;0),IF(AD69/N69&gt;=설정!$C$16,"SA대체 ",""),"")&amp;IF(AE69&gt;0,"역분개"&amp;AE69&amp;"건 ","")&amp;IF(O69&gt;=설정!$C$13,"이상치 ","")&amp;IF(AND(I69=0,F69&gt;0),"신규지출 ","")))</f>
        <v/>
      </c>
      <c r="AA69" s="61">
        <f>IF($A69="","",ROUND((AF69+AG69+AH69+AI69)*IF(AND(F69&lt;설정!$C$10,N69&lt;설정!$C$10),0.3,1),1))</f>
        <v/>
      </c>
      <c r="AB69" s="50">
        <f>IF($A69="","",AA69+ROW()/1000000)</f>
        <v/>
      </c>
      <c r="AC69" s="56">
        <f>IF(OR($A69="",N69&lt;=0),"",SUMPRODUCT(MAX((전표_원본!$O$5:$O$100000=$E69)*(전표_원본!$M$5:$M$100000=설정!$C$20)*전표_원본!$P$5:$P$100000))/N69)</f>
        <v/>
      </c>
      <c r="AD69" s="29">
        <f>IF($A69="","",SUMIFS(전표_원본!$P$5:$P$100000,전표_원본!$O$5:$O$100000,$E69,전표_원본!$M$5:$M$100000,설정!$C$20,전표_원본!$E$5:$E$100000,"SA")-SUMIFS(전표_원본!$P$5:$P$100000,전표_원본!$O$5:$O$100000,$E69,전표_원본!$M$5:$M$100000,설정!$C$20-1,전표_원본!$E$5:$E$100000,"SA"))</f>
        <v/>
      </c>
      <c r="AE69" s="62">
        <f>IF($A69="","",COUNTIFS(전표_원본!$O$5:$O$100000,$E69,전표_원본!$M$5:$M$100000,설정!$C$20,전표_원본!$P$5:$P$100000,"&lt;0"))</f>
        <v/>
      </c>
      <c r="AF69" s="61">
        <f>IF($A69="","",MIN(MAX(0,N69)/(설정!$C$10*5),1)*30)</f>
        <v/>
      </c>
      <c r="AG69" s="63">
        <f>IF($A69="","",MIN(MAX(0,H69,J69),1)*20)</f>
        <v/>
      </c>
      <c r="AH69" s="63">
        <f>IF($A69="","",MIN(MAX(0,O69)/3,1)*25)</f>
        <v/>
      </c>
      <c r="AI69" s="63">
        <f>IF($A69="","",IF(OR(W69="부족 예상",W69="무예산"),25,IF(W69="주의",15,0)))</f>
        <v/>
      </c>
    </row>
    <row r="70">
      <c r="A70" s="12" t="n"/>
      <c r="B70" s="22">
        <f>IF($A70="","",IFERROR(INDEX(부서매핑!$D$5:$D$504,MATCH($A70,부서매핑!$C$5:$C$504,0)),"부서매핑 없음"))</f>
        <v/>
      </c>
      <c r="C70" s="59" t="n"/>
      <c r="D70" s="22">
        <f>IF($A70="","",IFERROR(INDEX(계정매핑!$B$5:$B$504,MATCH($C70&amp;"",계정매핑!$A$5:$A$504,0)),"계정매핑 없음"))</f>
        <v/>
      </c>
      <c r="E70" s="21">
        <f>IF($A70="","",$A70&amp;"|"&amp;$C70)</f>
        <v/>
      </c>
      <c r="F70" s="29">
        <f>IF($A70="","",월별집계!$Z70)</f>
        <v/>
      </c>
      <c r="G70" s="29">
        <f>IF($A70="","",월별집계!$Y70)</f>
        <v/>
      </c>
      <c r="H70" s="60">
        <f>IF($A70="","",IF(G70&lt;=0,IF(F70&gt;0,1,0),F70/G70-1))</f>
        <v/>
      </c>
      <c r="I70" s="29">
        <f>IF($A70="","",월별집계!$N70)</f>
        <v/>
      </c>
      <c r="J70" s="60">
        <f>IF($A70="","",IF(I70&lt;=0,IF(F70&gt;0,1,0),F70/I70-1))</f>
        <v/>
      </c>
      <c r="K70" s="29">
        <f>IF($A70="","",SUMIFS(월별집계!$C70:$Z70,월별집계!$C$5:$Z$5,"&gt;="&amp;설정!$C$22,월별집계!$C$5:$Z$5,"&lt;="&amp;설정!$C$20))</f>
        <v/>
      </c>
      <c r="L70" s="29">
        <f>IF($A70="","",SUMIFS(월별집계!$C70:$Z70,월별집계!$C$5:$Z$5,"&gt;="&amp;(설정!$C$22-3),월별집계!$C$5:$Z$5,"&lt;="&amp;(설정!$C$20-3)))</f>
        <v/>
      </c>
      <c r="M70" s="60">
        <f>IF($A70="","",IF(L70&lt;=0,IF(K70&gt;0,1,0),K70/L70-1))</f>
        <v/>
      </c>
      <c r="N70" s="53">
        <f>IF($A70="","",MAX(F70-G70,F70-I70))</f>
        <v/>
      </c>
      <c r="O70" s="61">
        <f>IF($A70="","",IFERROR((월별집계!$Z70-AVERAGE(월별집계!N70:Y70))/STDEV(월별집계!N70:Y70),0))</f>
        <v/>
      </c>
      <c r="P70" s="29">
        <f>IF($A70="","",SUMIFS(예산판_원본!$O$5:$O$5000,예산판_원본!$L$5:$L$5000,$E70,예산판_원본!$M$5:$M$5000,설정!$C$6))</f>
        <v/>
      </c>
      <c r="Q70" s="29">
        <f>IF($A70="","",SUMIFS(월별집계!$C70:$Z70,월별집계!$C$5:$Z$5,"&gt;="&amp;(설정!$C$6*12+1),월별집계!$C$5:$Z$5,"&lt;="&amp;설정!$C$20))</f>
        <v/>
      </c>
      <c r="R70" s="53">
        <f>IF($A70="","",P70-Q70)</f>
        <v/>
      </c>
      <c r="S70" s="29">
        <f>IF($A70="","",AVERAGE(월별집계!X70:Z70)*(12-설정!$C$7))</f>
        <v/>
      </c>
      <c r="T70" s="29">
        <f>IF($A70="","",IFERROR(Q70/(SUMIFS(월별집계!$C70:$Z70,월별집계!$C$5:$Z$5,"&gt;="&amp;((설정!$C$6-1)*12+1),월별집계!$C$5:$Z$5,"&lt;="&amp;(설정!$C$20-12))/SUMIFS(월별집계!$C70:$Z70,월별집계!$C$5:$Z$5,"&gt;="&amp;((설정!$C$6-1)*12+1),월별집계!$C$5:$Z$5,"&lt;="&amp;((설정!$C$6-1)*12+12)))-Q70,S70))</f>
        <v/>
      </c>
      <c r="U70" s="53">
        <f>IF($A70="","",Q70+MAX(S70,T70))</f>
        <v/>
      </c>
      <c r="V70" s="49">
        <f>IF($A70="","",IF(P70=0,0,U70/P70))</f>
        <v/>
      </c>
      <c r="W70" s="28">
        <f>IF($A70="","",IF(AND(P70=0,Q70&gt;0),"무예산",IF(P70=0,"-",IF(V70&gt;설정!$C$12,"부족 예상",IF(V70&gt;설정!$C$11,"주의","여유")))))</f>
        <v/>
      </c>
      <c r="X70" s="53">
        <f>IF($A70="","",IF(P70=0,0,MAX(0,U70-P70)))</f>
        <v/>
      </c>
      <c r="Y70" s="28">
        <f>IF($A70="","",IF(OR(W70&lt;&gt;"부족 예상",설정!$C$7=12),"",IF(R70&lt;=0,"이미 초과",MIN(12,설정!$C$7+ROUNDUP(R70/(MAX(S70,T70)/(12-설정!$C$7)),0))&amp;"월")))</f>
        <v/>
      </c>
      <c r="Z70" s="22">
        <f>IF($A70="","",TRIM(IF(N(AC70)&gt;=설정!$C$14,"단건"&amp;TEXT(AC70,"0%")&amp;" ","")&amp;IF(AND(N70&gt;0,AD70&gt;0),IF(AD70/N70&gt;=설정!$C$16,"SA대체 ",""),"")&amp;IF(AE70&gt;0,"역분개"&amp;AE70&amp;"건 ","")&amp;IF(O70&gt;=설정!$C$13,"이상치 ","")&amp;IF(AND(I70=0,F70&gt;0),"신규지출 ","")))</f>
        <v/>
      </c>
      <c r="AA70" s="61">
        <f>IF($A70="","",ROUND((AF70+AG70+AH70+AI70)*IF(AND(F70&lt;설정!$C$10,N70&lt;설정!$C$10),0.3,1),1))</f>
        <v/>
      </c>
      <c r="AB70" s="50">
        <f>IF($A70="","",AA70+ROW()/1000000)</f>
        <v/>
      </c>
      <c r="AC70" s="56">
        <f>IF(OR($A70="",N70&lt;=0),"",SUMPRODUCT(MAX((전표_원본!$O$5:$O$100000=$E70)*(전표_원본!$M$5:$M$100000=설정!$C$20)*전표_원본!$P$5:$P$100000))/N70)</f>
        <v/>
      </c>
      <c r="AD70" s="29">
        <f>IF($A70="","",SUMIFS(전표_원본!$P$5:$P$100000,전표_원본!$O$5:$O$100000,$E70,전표_원본!$M$5:$M$100000,설정!$C$20,전표_원본!$E$5:$E$100000,"SA")-SUMIFS(전표_원본!$P$5:$P$100000,전표_원본!$O$5:$O$100000,$E70,전표_원본!$M$5:$M$100000,설정!$C$20-1,전표_원본!$E$5:$E$100000,"SA"))</f>
        <v/>
      </c>
      <c r="AE70" s="62">
        <f>IF($A70="","",COUNTIFS(전표_원본!$O$5:$O$100000,$E70,전표_원본!$M$5:$M$100000,설정!$C$20,전표_원본!$P$5:$P$100000,"&lt;0"))</f>
        <v/>
      </c>
      <c r="AF70" s="61">
        <f>IF($A70="","",MIN(MAX(0,N70)/(설정!$C$10*5),1)*30)</f>
        <v/>
      </c>
      <c r="AG70" s="63">
        <f>IF($A70="","",MIN(MAX(0,H70,J70),1)*20)</f>
        <v/>
      </c>
      <c r="AH70" s="63">
        <f>IF($A70="","",MIN(MAX(0,O70)/3,1)*25)</f>
        <v/>
      </c>
      <c r="AI70" s="63">
        <f>IF($A70="","",IF(OR(W70="부족 예상",W70="무예산"),25,IF(W70="주의",15,0)))</f>
        <v/>
      </c>
    </row>
    <row r="71">
      <c r="A71" s="12" t="n"/>
      <c r="B71" s="22">
        <f>IF($A71="","",IFERROR(INDEX(부서매핑!$D$5:$D$504,MATCH($A71,부서매핑!$C$5:$C$504,0)),"부서매핑 없음"))</f>
        <v/>
      </c>
      <c r="C71" s="59" t="n"/>
      <c r="D71" s="22">
        <f>IF($A71="","",IFERROR(INDEX(계정매핑!$B$5:$B$504,MATCH($C71&amp;"",계정매핑!$A$5:$A$504,0)),"계정매핑 없음"))</f>
        <v/>
      </c>
      <c r="E71" s="21">
        <f>IF($A71="","",$A71&amp;"|"&amp;$C71)</f>
        <v/>
      </c>
      <c r="F71" s="29">
        <f>IF($A71="","",월별집계!$Z71)</f>
        <v/>
      </c>
      <c r="G71" s="29">
        <f>IF($A71="","",월별집계!$Y71)</f>
        <v/>
      </c>
      <c r="H71" s="60">
        <f>IF($A71="","",IF(G71&lt;=0,IF(F71&gt;0,1,0),F71/G71-1))</f>
        <v/>
      </c>
      <c r="I71" s="29">
        <f>IF($A71="","",월별집계!$N71)</f>
        <v/>
      </c>
      <c r="J71" s="60">
        <f>IF($A71="","",IF(I71&lt;=0,IF(F71&gt;0,1,0),F71/I71-1))</f>
        <v/>
      </c>
      <c r="K71" s="29">
        <f>IF($A71="","",SUMIFS(월별집계!$C71:$Z71,월별집계!$C$5:$Z$5,"&gt;="&amp;설정!$C$22,월별집계!$C$5:$Z$5,"&lt;="&amp;설정!$C$20))</f>
        <v/>
      </c>
      <c r="L71" s="29">
        <f>IF($A71="","",SUMIFS(월별집계!$C71:$Z71,월별집계!$C$5:$Z$5,"&gt;="&amp;(설정!$C$22-3),월별집계!$C$5:$Z$5,"&lt;="&amp;(설정!$C$20-3)))</f>
        <v/>
      </c>
      <c r="M71" s="60">
        <f>IF($A71="","",IF(L71&lt;=0,IF(K71&gt;0,1,0),K71/L71-1))</f>
        <v/>
      </c>
      <c r="N71" s="53">
        <f>IF($A71="","",MAX(F71-G71,F71-I71))</f>
        <v/>
      </c>
      <c r="O71" s="61">
        <f>IF($A71="","",IFERROR((월별집계!$Z71-AVERAGE(월별집계!N71:Y71))/STDEV(월별집계!N71:Y71),0))</f>
        <v/>
      </c>
      <c r="P71" s="29">
        <f>IF($A71="","",SUMIFS(예산판_원본!$O$5:$O$5000,예산판_원본!$L$5:$L$5000,$E71,예산판_원본!$M$5:$M$5000,설정!$C$6))</f>
        <v/>
      </c>
      <c r="Q71" s="29">
        <f>IF($A71="","",SUMIFS(월별집계!$C71:$Z71,월별집계!$C$5:$Z$5,"&gt;="&amp;(설정!$C$6*12+1),월별집계!$C$5:$Z$5,"&lt;="&amp;설정!$C$20))</f>
        <v/>
      </c>
      <c r="R71" s="53">
        <f>IF($A71="","",P71-Q71)</f>
        <v/>
      </c>
      <c r="S71" s="29">
        <f>IF($A71="","",AVERAGE(월별집계!X71:Z71)*(12-설정!$C$7))</f>
        <v/>
      </c>
      <c r="T71" s="29">
        <f>IF($A71="","",IFERROR(Q71/(SUMIFS(월별집계!$C71:$Z71,월별집계!$C$5:$Z$5,"&gt;="&amp;((설정!$C$6-1)*12+1),월별집계!$C$5:$Z$5,"&lt;="&amp;(설정!$C$20-12))/SUMIFS(월별집계!$C71:$Z71,월별집계!$C$5:$Z$5,"&gt;="&amp;((설정!$C$6-1)*12+1),월별집계!$C$5:$Z$5,"&lt;="&amp;((설정!$C$6-1)*12+12)))-Q71,S71))</f>
        <v/>
      </c>
      <c r="U71" s="53">
        <f>IF($A71="","",Q71+MAX(S71,T71))</f>
        <v/>
      </c>
      <c r="V71" s="49">
        <f>IF($A71="","",IF(P71=0,0,U71/P71))</f>
        <v/>
      </c>
      <c r="W71" s="28">
        <f>IF($A71="","",IF(AND(P71=0,Q71&gt;0),"무예산",IF(P71=0,"-",IF(V71&gt;설정!$C$12,"부족 예상",IF(V71&gt;설정!$C$11,"주의","여유")))))</f>
        <v/>
      </c>
      <c r="X71" s="53">
        <f>IF($A71="","",IF(P71=0,0,MAX(0,U71-P71)))</f>
        <v/>
      </c>
      <c r="Y71" s="28">
        <f>IF($A71="","",IF(OR(W71&lt;&gt;"부족 예상",설정!$C$7=12),"",IF(R71&lt;=0,"이미 초과",MIN(12,설정!$C$7+ROUNDUP(R71/(MAX(S71,T71)/(12-설정!$C$7)),0))&amp;"월")))</f>
        <v/>
      </c>
      <c r="Z71" s="22">
        <f>IF($A71="","",TRIM(IF(N(AC71)&gt;=설정!$C$14,"단건"&amp;TEXT(AC71,"0%")&amp;" ","")&amp;IF(AND(N71&gt;0,AD71&gt;0),IF(AD71/N71&gt;=설정!$C$16,"SA대체 ",""),"")&amp;IF(AE71&gt;0,"역분개"&amp;AE71&amp;"건 ","")&amp;IF(O71&gt;=설정!$C$13,"이상치 ","")&amp;IF(AND(I71=0,F71&gt;0),"신규지출 ","")))</f>
        <v/>
      </c>
      <c r="AA71" s="61">
        <f>IF($A71="","",ROUND((AF71+AG71+AH71+AI71)*IF(AND(F71&lt;설정!$C$10,N71&lt;설정!$C$10),0.3,1),1))</f>
        <v/>
      </c>
      <c r="AB71" s="50">
        <f>IF($A71="","",AA71+ROW()/1000000)</f>
        <v/>
      </c>
      <c r="AC71" s="56">
        <f>IF(OR($A71="",N71&lt;=0),"",SUMPRODUCT(MAX((전표_원본!$O$5:$O$100000=$E71)*(전표_원본!$M$5:$M$100000=설정!$C$20)*전표_원본!$P$5:$P$100000))/N71)</f>
        <v/>
      </c>
      <c r="AD71" s="29">
        <f>IF($A71="","",SUMIFS(전표_원본!$P$5:$P$100000,전표_원본!$O$5:$O$100000,$E71,전표_원본!$M$5:$M$100000,설정!$C$20,전표_원본!$E$5:$E$100000,"SA")-SUMIFS(전표_원본!$P$5:$P$100000,전표_원본!$O$5:$O$100000,$E71,전표_원본!$M$5:$M$100000,설정!$C$20-1,전표_원본!$E$5:$E$100000,"SA"))</f>
        <v/>
      </c>
      <c r="AE71" s="62">
        <f>IF($A71="","",COUNTIFS(전표_원본!$O$5:$O$100000,$E71,전표_원본!$M$5:$M$100000,설정!$C$20,전표_원본!$P$5:$P$100000,"&lt;0"))</f>
        <v/>
      </c>
      <c r="AF71" s="61">
        <f>IF($A71="","",MIN(MAX(0,N71)/(설정!$C$10*5),1)*30)</f>
        <v/>
      </c>
      <c r="AG71" s="63">
        <f>IF($A71="","",MIN(MAX(0,H71,J71),1)*20)</f>
        <v/>
      </c>
      <c r="AH71" s="63">
        <f>IF($A71="","",MIN(MAX(0,O71)/3,1)*25)</f>
        <v/>
      </c>
      <c r="AI71" s="63">
        <f>IF($A71="","",IF(OR(W71="부족 예상",W71="무예산"),25,IF(W71="주의",15,0)))</f>
        <v/>
      </c>
    </row>
    <row r="72">
      <c r="A72" s="12" t="n"/>
      <c r="B72" s="22">
        <f>IF($A72="","",IFERROR(INDEX(부서매핑!$D$5:$D$504,MATCH($A72,부서매핑!$C$5:$C$504,0)),"부서매핑 없음"))</f>
        <v/>
      </c>
      <c r="C72" s="59" t="n"/>
      <c r="D72" s="22">
        <f>IF($A72="","",IFERROR(INDEX(계정매핑!$B$5:$B$504,MATCH($C72&amp;"",계정매핑!$A$5:$A$504,0)),"계정매핑 없음"))</f>
        <v/>
      </c>
      <c r="E72" s="21">
        <f>IF($A72="","",$A72&amp;"|"&amp;$C72)</f>
        <v/>
      </c>
      <c r="F72" s="29">
        <f>IF($A72="","",월별집계!$Z72)</f>
        <v/>
      </c>
      <c r="G72" s="29">
        <f>IF($A72="","",월별집계!$Y72)</f>
        <v/>
      </c>
      <c r="H72" s="60">
        <f>IF($A72="","",IF(G72&lt;=0,IF(F72&gt;0,1,0),F72/G72-1))</f>
        <v/>
      </c>
      <c r="I72" s="29">
        <f>IF($A72="","",월별집계!$N72)</f>
        <v/>
      </c>
      <c r="J72" s="60">
        <f>IF($A72="","",IF(I72&lt;=0,IF(F72&gt;0,1,0),F72/I72-1))</f>
        <v/>
      </c>
      <c r="K72" s="29">
        <f>IF($A72="","",SUMIFS(월별집계!$C72:$Z72,월별집계!$C$5:$Z$5,"&gt;="&amp;설정!$C$22,월별집계!$C$5:$Z$5,"&lt;="&amp;설정!$C$20))</f>
        <v/>
      </c>
      <c r="L72" s="29">
        <f>IF($A72="","",SUMIFS(월별집계!$C72:$Z72,월별집계!$C$5:$Z$5,"&gt;="&amp;(설정!$C$22-3),월별집계!$C$5:$Z$5,"&lt;="&amp;(설정!$C$20-3)))</f>
        <v/>
      </c>
      <c r="M72" s="60">
        <f>IF($A72="","",IF(L72&lt;=0,IF(K72&gt;0,1,0),K72/L72-1))</f>
        <v/>
      </c>
      <c r="N72" s="53">
        <f>IF($A72="","",MAX(F72-G72,F72-I72))</f>
        <v/>
      </c>
      <c r="O72" s="61">
        <f>IF($A72="","",IFERROR((월별집계!$Z72-AVERAGE(월별집계!N72:Y72))/STDEV(월별집계!N72:Y72),0))</f>
        <v/>
      </c>
      <c r="P72" s="29">
        <f>IF($A72="","",SUMIFS(예산판_원본!$O$5:$O$5000,예산판_원본!$L$5:$L$5000,$E72,예산판_원본!$M$5:$M$5000,설정!$C$6))</f>
        <v/>
      </c>
      <c r="Q72" s="29">
        <f>IF($A72="","",SUMIFS(월별집계!$C72:$Z72,월별집계!$C$5:$Z$5,"&gt;="&amp;(설정!$C$6*12+1),월별집계!$C$5:$Z$5,"&lt;="&amp;설정!$C$20))</f>
        <v/>
      </c>
      <c r="R72" s="53">
        <f>IF($A72="","",P72-Q72)</f>
        <v/>
      </c>
      <c r="S72" s="29">
        <f>IF($A72="","",AVERAGE(월별집계!X72:Z72)*(12-설정!$C$7))</f>
        <v/>
      </c>
      <c r="T72" s="29">
        <f>IF($A72="","",IFERROR(Q72/(SUMIFS(월별집계!$C72:$Z72,월별집계!$C$5:$Z$5,"&gt;="&amp;((설정!$C$6-1)*12+1),월별집계!$C$5:$Z$5,"&lt;="&amp;(설정!$C$20-12))/SUMIFS(월별집계!$C72:$Z72,월별집계!$C$5:$Z$5,"&gt;="&amp;((설정!$C$6-1)*12+1),월별집계!$C$5:$Z$5,"&lt;="&amp;((설정!$C$6-1)*12+12)))-Q72,S72))</f>
        <v/>
      </c>
      <c r="U72" s="53">
        <f>IF($A72="","",Q72+MAX(S72,T72))</f>
        <v/>
      </c>
      <c r="V72" s="49">
        <f>IF($A72="","",IF(P72=0,0,U72/P72))</f>
        <v/>
      </c>
      <c r="W72" s="28">
        <f>IF($A72="","",IF(AND(P72=0,Q72&gt;0),"무예산",IF(P72=0,"-",IF(V72&gt;설정!$C$12,"부족 예상",IF(V72&gt;설정!$C$11,"주의","여유")))))</f>
        <v/>
      </c>
      <c r="X72" s="53">
        <f>IF($A72="","",IF(P72=0,0,MAX(0,U72-P72)))</f>
        <v/>
      </c>
      <c r="Y72" s="28">
        <f>IF($A72="","",IF(OR(W72&lt;&gt;"부족 예상",설정!$C$7=12),"",IF(R72&lt;=0,"이미 초과",MIN(12,설정!$C$7+ROUNDUP(R72/(MAX(S72,T72)/(12-설정!$C$7)),0))&amp;"월")))</f>
        <v/>
      </c>
      <c r="Z72" s="22">
        <f>IF($A72="","",TRIM(IF(N(AC72)&gt;=설정!$C$14,"단건"&amp;TEXT(AC72,"0%")&amp;" ","")&amp;IF(AND(N72&gt;0,AD72&gt;0),IF(AD72/N72&gt;=설정!$C$16,"SA대체 ",""),"")&amp;IF(AE72&gt;0,"역분개"&amp;AE72&amp;"건 ","")&amp;IF(O72&gt;=설정!$C$13,"이상치 ","")&amp;IF(AND(I72=0,F72&gt;0),"신규지출 ","")))</f>
        <v/>
      </c>
      <c r="AA72" s="61">
        <f>IF($A72="","",ROUND((AF72+AG72+AH72+AI72)*IF(AND(F72&lt;설정!$C$10,N72&lt;설정!$C$10),0.3,1),1))</f>
        <v/>
      </c>
      <c r="AB72" s="50">
        <f>IF($A72="","",AA72+ROW()/1000000)</f>
        <v/>
      </c>
      <c r="AC72" s="56">
        <f>IF(OR($A72="",N72&lt;=0),"",SUMPRODUCT(MAX((전표_원본!$O$5:$O$100000=$E72)*(전표_원본!$M$5:$M$100000=설정!$C$20)*전표_원본!$P$5:$P$100000))/N72)</f>
        <v/>
      </c>
      <c r="AD72" s="29">
        <f>IF($A72="","",SUMIFS(전표_원본!$P$5:$P$100000,전표_원본!$O$5:$O$100000,$E72,전표_원본!$M$5:$M$100000,설정!$C$20,전표_원본!$E$5:$E$100000,"SA")-SUMIFS(전표_원본!$P$5:$P$100000,전표_원본!$O$5:$O$100000,$E72,전표_원본!$M$5:$M$100000,설정!$C$20-1,전표_원본!$E$5:$E$100000,"SA"))</f>
        <v/>
      </c>
      <c r="AE72" s="62">
        <f>IF($A72="","",COUNTIFS(전표_원본!$O$5:$O$100000,$E72,전표_원본!$M$5:$M$100000,설정!$C$20,전표_원본!$P$5:$P$100000,"&lt;0"))</f>
        <v/>
      </c>
      <c r="AF72" s="61">
        <f>IF($A72="","",MIN(MAX(0,N72)/(설정!$C$10*5),1)*30)</f>
        <v/>
      </c>
      <c r="AG72" s="63">
        <f>IF($A72="","",MIN(MAX(0,H72,J72),1)*20)</f>
        <v/>
      </c>
      <c r="AH72" s="63">
        <f>IF($A72="","",MIN(MAX(0,O72)/3,1)*25)</f>
        <v/>
      </c>
      <c r="AI72" s="63">
        <f>IF($A72="","",IF(OR(W72="부족 예상",W72="무예산"),25,IF(W72="주의",15,0)))</f>
        <v/>
      </c>
    </row>
    <row r="73">
      <c r="A73" s="12" t="n"/>
      <c r="B73" s="22">
        <f>IF($A73="","",IFERROR(INDEX(부서매핑!$D$5:$D$504,MATCH($A73,부서매핑!$C$5:$C$504,0)),"부서매핑 없음"))</f>
        <v/>
      </c>
      <c r="C73" s="59" t="n"/>
      <c r="D73" s="22">
        <f>IF($A73="","",IFERROR(INDEX(계정매핑!$B$5:$B$504,MATCH($C73&amp;"",계정매핑!$A$5:$A$504,0)),"계정매핑 없음"))</f>
        <v/>
      </c>
      <c r="E73" s="21">
        <f>IF($A73="","",$A73&amp;"|"&amp;$C73)</f>
        <v/>
      </c>
      <c r="F73" s="29">
        <f>IF($A73="","",월별집계!$Z73)</f>
        <v/>
      </c>
      <c r="G73" s="29">
        <f>IF($A73="","",월별집계!$Y73)</f>
        <v/>
      </c>
      <c r="H73" s="60">
        <f>IF($A73="","",IF(G73&lt;=0,IF(F73&gt;0,1,0),F73/G73-1))</f>
        <v/>
      </c>
      <c r="I73" s="29">
        <f>IF($A73="","",월별집계!$N73)</f>
        <v/>
      </c>
      <c r="J73" s="60">
        <f>IF($A73="","",IF(I73&lt;=0,IF(F73&gt;0,1,0),F73/I73-1))</f>
        <v/>
      </c>
      <c r="K73" s="29">
        <f>IF($A73="","",SUMIFS(월별집계!$C73:$Z73,월별집계!$C$5:$Z$5,"&gt;="&amp;설정!$C$22,월별집계!$C$5:$Z$5,"&lt;="&amp;설정!$C$20))</f>
        <v/>
      </c>
      <c r="L73" s="29">
        <f>IF($A73="","",SUMIFS(월별집계!$C73:$Z73,월별집계!$C$5:$Z$5,"&gt;="&amp;(설정!$C$22-3),월별집계!$C$5:$Z$5,"&lt;="&amp;(설정!$C$20-3)))</f>
        <v/>
      </c>
      <c r="M73" s="60">
        <f>IF($A73="","",IF(L73&lt;=0,IF(K73&gt;0,1,0),K73/L73-1))</f>
        <v/>
      </c>
      <c r="N73" s="53">
        <f>IF($A73="","",MAX(F73-G73,F73-I73))</f>
        <v/>
      </c>
      <c r="O73" s="61">
        <f>IF($A73="","",IFERROR((월별집계!$Z73-AVERAGE(월별집계!N73:Y73))/STDEV(월별집계!N73:Y73),0))</f>
        <v/>
      </c>
      <c r="P73" s="29">
        <f>IF($A73="","",SUMIFS(예산판_원본!$O$5:$O$5000,예산판_원본!$L$5:$L$5000,$E73,예산판_원본!$M$5:$M$5000,설정!$C$6))</f>
        <v/>
      </c>
      <c r="Q73" s="29">
        <f>IF($A73="","",SUMIFS(월별집계!$C73:$Z73,월별집계!$C$5:$Z$5,"&gt;="&amp;(설정!$C$6*12+1),월별집계!$C$5:$Z$5,"&lt;="&amp;설정!$C$20))</f>
        <v/>
      </c>
      <c r="R73" s="53">
        <f>IF($A73="","",P73-Q73)</f>
        <v/>
      </c>
      <c r="S73" s="29">
        <f>IF($A73="","",AVERAGE(월별집계!X73:Z73)*(12-설정!$C$7))</f>
        <v/>
      </c>
      <c r="T73" s="29">
        <f>IF($A73="","",IFERROR(Q73/(SUMIFS(월별집계!$C73:$Z73,월별집계!$C$5:$Z$5,"&gt;="&amp;((설정!$C$6-1)*12+1),월별집계!$C$5:$Z$5,"&lt;="&amp;(설정!$C$20-12))/SUMIFS(월별집계!$C73:$Z73,월별집계!$C$5:$Z$5,"&gt;="&amp;((설정!$C$6-1)*12+1),월별집계!$C$5:$Z$5,"&lt;="&amp;((설정!$C$6-1)*12+12)))-Q73,S73))</f>
        <v/>
      </c>
      <c r="U73" s="53">
        <f>IF($A73="","",Q73+MAX(S73,T73))</f>
        <v/>
      </c>
      <c r="V73" s="49">
        <f>IF($A73="","",IF(P73=0,0,U73/P73))</f>
        <v/>
      </c>
      <c r="W73" s="28">
        <f>IF($A73="","",IF(AND(P73=0,Q73&gt;0),"무예산",IF(P73=0,"-",IF(V73&gt;설정!$C$12,"부족 예상",IF(V73&gt;설정!$C$11,"주의","여유")))))</f>
        <v/>
      </c>
      <c r="X73" s="53">
        <f>IF($A73="","",IF(P73=0,0,MAX(0,U73-P73)))</f>
        <v/>
      </c>
      <c r="Y73" s="28">
        <f>IF($A73="","",IF(OR(W73&lt;&gt;"부족 예상",설정!$C$7=12),"",IF(R73&lt;=0,"이미 초과",MIN(12,설정!$C$7+ROUNDUP(R73/(MAX(S73,T73)/(12-설정!$C$7)),0))&amp;"월")))</f>
        <v/>
      </c>
      <c r="Z73" s="22">
        <f>IF($A73="","",TRIM(IF(N(AC73)&gt;=설정!$C$14,"단건"&amp;TEXT(AC73,"0%")&amp;" ","")&amp;IF(AND(N73&gt;0,AD73&gt;0),IF(AD73/N73&gt;=설정!$C$16,"SA대체 ",""),"")&amp;IF(AE73&gt;0,"역분개"&amp;AE73&amp;"건 ","")&amp;IF(O73&gt;=설정!$C$13,"이상치 ","")&amp;IF(AND(I73=0,F73&gt;0),"신규지출 ","")))</f>
        <v/>
      </c>
      <c r="AA73" s="61">
        <f>IF($A73="","",ROUND((AF73+AG73+AH73+AI73)*IF(AND(F73&lt;설정!$C$10,N73&lt;설정!$C$10),0.3,1),1))</f>
        <v/>
      </c>
      <c r="AB73" s="50">
        <f>IF($A73="","",AA73+ROW()/1000000)</f>
        <v/>
      </c>
      <c r="AC73" s="56">
        <f>IF(OR($A73="",N73&lt;=0),"",SUMPRODUCT(MAX((전표_원본!$O$5:$O$100000=$E73)*(전표_원본!$M$5:$M$100000=설정!$C$20)*전표_원본!$P$5:$P$100000))/N73)</f>
        <v/>
      </c>
      <c r="AD73" s="29">
        <f>IF($A73="","",SUMIFS(전표_원본!$P$5:$P$100000,전표_원본!$O$5:$O$100000,$E73,전표_원본!$M$5:$M$100000,설정!$C$20,전표_원본!$E$5:$E$100000,"SA")-SUMIFS(전표_원본!$P$5:$P$100000,전표_원본!$O$5:$O$100000,$E73,전표_원본!$M$5:$M$100000,설정!$C$20-1,전표_원본!$E$5:$E$100000,"SA"))</f>
        <v/>
      </c>
      <c r="AE73" s="62">
        <f>IF($A73="","",COUNTIFS(전표_원본!$O$5:$O$100000,$E73,전표_원본!$M$5:$M$100000,설정!$C$20,전표_원본!$P$5:$P$100000,"&lt;0"))</f>
        <v/>
      </c>
      <c r="AF73" s="61">
        <f>IF($A73="","",MIN(MAX(0,N73)/(설정!$C$10*5),1)*30)</f>
        <v/>
      </c>
      <c r="AG73" s="63">
        <f>IF($A73="","",MIN(MAX(0,H73,J73),1)*20)</f>
        <v/>
      </c>
      <c r="AH73" s="63">
        <f>IF($A73="","",MIN(MAX(0,O73)/3,1)*25)</f>
        <v/>
      </c>
      <c r="AI73" s="63">
        <f>IF($A73="","",IF(OR(W73="부족 예상",W73="무예산"),25,IF(W73="주의",15,0)))</f>
        <v/>
      </c>
    </row>
    <row r="74">
      <c r="A74" s="12" t="n"/>
      <c r="B74" s="22">
        <f>IF($A74="","",IFERROR(INDEX(부서매핑!$D$5:$D$504,MATCH($A74,부서매핑!$C$5:$C$504,0)),"부서매핑 없음"))</f>
        <v/>
      </c>
      <c r="C74" s="59" t="n"/>
      <c r="D74" s="22">
        <f>IF($A74="","",IFERROR(INDEX(계정매핑!$B$5:$B$504,MATCH($C74&amp;"",계정매핑!$A$5:$A$504,0)),"계정매핑 없음"))</f>
        <v/>
      </c>
      <c r="E74" s="21">
        <f>IF($A74="","",$A74&amp;"|"&amp;$C74)</f>
        <v/>
      </c>
      <c r="F74" s="29">
        <f>IF($A74="","",월별집계!$Z74)</f>
        <v/>
      </c>
      <c r="G74" s="29">
        <f>IF($A74="","",월별집계!$Y74)</f>
        <v/>
      </c>
      <c r="H74" s="60">
        <f>IF($A74="","",IF(G74&lt;=0,IF(F74&gt;0,1,0),F74/G74-1))</f>
        <v/>
      </c>
      <c r="I74" s="29">
        <f>IF($A74="","",월별집계!$N74)</f>
        <v/>
      </c>
      <c r="J74" s="60">
        <f>IF($A74="","",IF(I74&lt;=0,IF(F74&gt;0,1,0),F74/I74-1))</f>
        <v/>
      </c>
      <c r="K74" s="29">
        <f>IF($A74="","",SUMIFS(월별집계!$C74:$Z74,월별집계!$C$5:$Z$5,"&gt;="&amp;설정!$C$22,월별집계!$C$5:$Z$5,"&lt;="&amp;설정!$C$20))</f>
        <v/>
      </c>
      <c r="L74" s="29">
        <f>IF($A74="","",SUMIFS(월별집계!$C74:$Z74,월별집계!$C$5:$Z$5,"&gt;="&amp;(설정!$C$22-3),월별집계!$C$5:$Z$5,"&lt;="&amp;(설정!$C$20-3)))</f>
        <v/>
      </c>
      <c r="M74" s="60">
        <f>IF($A74="","",IF(L74&lt;=0,IF(K74&gt;0,1,0),K74/L74-1))</f>
        <v/>
      </c>
      <c r="N74" s="53">
        <f>IF($A74="","",MAX(F74-G74,F74-I74))</f>
        <v/>
      </c>
      <c r="O74" s="61">
        <f>IF($A74="","",IFERROR((월별집계!$Z74-AVERAGE(월별집계!N74:Y74))/STDEV(월별집계!N74:Y74),0))</f>
        <v/>
      </c>
      <c r="P74" s="29">
        <f>IF($A74="","",SUMIFS(예산판_원본!$O$5:$O$5000,예산판_원본!$L$5:$L$5000,$E74,예산판_원본!$M$5:$M$5000,설정!$C$6))</f>
        <v/>
      </c>
      <c r="Q74" s="29">
        <f>IF($A74="","",SUMIFS(월별집계!$C74:$Z74,월별집계!$C$5:$Z$5,"&gt;="&amp;(설정!$C$6*12+1),월별집계!$C$5:$Z$5,"&lt;="&amp;설정!$C$20))</f>
        <v/>
      </c>
      <c r="R74" s="53">
        <f>IF($A74="","",P74-Q74)</f>
        <v/>
      </c>
      <c r="S74" s="29">
        <f>IF($A74="","",AVERAGE(월별집계!X74:Z74)*(12-설정!$C$7))</f>
        <v/>
      </c>
      <c r="T74" s="29">
        <f>IF($A74="","",IFERROR(Q74/(SUMIFS(월별집계!$C74:$Z74,월별집계!$C$5:$Z$5,"&gt;="&amp;((설정!$C$6-1)*12+1),월별집계!$C$5:$Z$5,"&lt;="&amp;(설정!$C$20-12))/SUMIFS(월별집계!$C74:$Z74,월별집계!$C$5:$Z$5,"&gt;="&amp;((설정!$C$6-1)*12+1),월별집계!$C$5:$Z$5,"&lt;="&amp;((설정!$C$6-1)*12+12)))-Q74,S74))</f>
        <v/>
      </c>
      <c r="U74" s="53">
        <f>IF($A74="","",Q74+MAX(S74,T74))</f>
        <v/>
      </c>
      <c r="V74" s="49">
        <f>IF($A74="","",IF(P74=0,0,U74/P74))</f>
        <v/>
      </c>
      <c r="W74" s="28">
        <f>IF($A74="","",IF(AND(P74=0,Q74&gt;0),"무예산",IF(P74=0,"-",IF(V74&gt;설정!$C$12,"부족 예상",IF(V74&gt;설정!$C$11,"주의","여유")))))</f>
        <v/>
      </c>
      <c r="X74" s="53">
        <f>IF($A74="","",IF(P74=0,0,MAX(0,U74-P74)))</f>
        <v/>
      </c>
      <c r="Y74" s="28">
        <f>IF($A74="","",IF(OR(W74&lt;&gt;"부족 예상",설정!$C$7=12),"",IF(R74&lt;=0,"이미 초과",MIN(12,설정!$C$7+ROUNDUP(R74/(MAX(S74,T74)/(12-설정!$C$7)),0))&amp;"월")))</f>
        <v/>
      </c>
      <c r="Z74" s="22">
        <f>IF($A74="","",TRIM(IF(N(AC74)&gt;=설정!$C$14,"단건"&amp;TEXT(AC74,"0%")&amp;" ","")&amp;IF(AND(N74&gt;0,AD74&gt;0),IF(AD74/N74&gt;=설정!$C$16,"SA대체 ",""),"")&amp;IF(AE74&gt;0,"역분개"&amp;AE74&amp;"건 ","")&amp;IF(O74&gt;=설정!$C$13,"이상치 ","")&amp;IF(AND(I74=0,F74&gt;0),"신규지출 ","")))</f>
        <v/>
      </c>
      <c r="AA74" s="61">
        <f>IF($A74="","",ROUND((AF74+AG74+AH74+AI74)*IF(AND(F74&lt;설정!$C$10,N74&lt;설정!$C$10),0.3,1),1))</f>
        <v/>
      </c>
      <c r="AB74" s="50">
        <f>IF($A74="","",AA74+ROW()/1000000)</f>
        <v/>
      </c>
      <c r="AC74" s="56">
        <f>IF(OR($A74="",N74&lt;=0),"",SUMPRODUCT(MAX((전표_원본!$O$5:$O$100000=$E74)*(전표_원본!$M$5:$M$100000=설정!$C$20)*전표_원본!$P$5:$P$100000))/N74)</f>
        <v/>
      </c>
      <c r="AD74" s="29">
        <f>IF($A74="","",SUMIFS(전표_원본!$P$5:$P$100000,전표_원본!$O$5:$O$100000,$E74,전표_원본!$M$5:$M$100000,설정!$C$20,전표_원본!$E$5:$E$100000,"SA")-SUMIFS(전표_원본!$P$5:$P$100000,전표_원본!$O$5:$O$100000,$E74,전표_원본!$M$5:$M$100000,설정!$C$20-1,전표_원본!$E$5:$E$100000,"SA"))</f>
        <v/>
      </c>
      <c r="AE74" s="62">
        <f>IF($A74="","",COUNTIFS(전표_원본!$O$5:$O$100000,$E74,전표_원본!$M$5:$M$100000,설정!$C$20,전표_원본!$P$5:$P$100000,"&lt;0"))</f>
        <v/>
      </c>
      <c r="AF74" s="61">
        <f>IF($A74="","",MIN(MAX(0,N74)/(설정!$C$10*5),1)*30)</f>
        <v/>
      </c>
      <c r="AG74" s="63">
        <f>IF($A74="","",MIN(MAX(0,H74,J74),1)*20)</f>
        <v/>
      </c>
      <c r="AH74" s="63">
        <f>IF($A74="","",MIN(MAX(0,O74)/3,1)*25)</f>
        <v/>
      </c>
      <c r="AI74" s="63">
        <f>IF($A74="","",IF(OR(W74="부족 예상",W74="무예산"),25,IF(W74="주의",15,0)))</f>
        <v/>
      </c>
    </row>
    <row r="75">
      <c r="A75" s="12" t="n"/>
      <c r="B75" s="22">
        <f>IF($A75="","",IFERROR(INDEX(부서매핑!$D$5:$D$504,MATCH($A75,부서매핑!$C$5:$C$504,0)),"부서매핑 없음"))</f>
        <v/>
      </c>
      <c r="C75" s="59" t="n"/>
      <c r="D75" s="22">
        <f>IF($A75="","",IFERROR(INDEX(계정매핑!$B$5:$B$504,MATCH($C75&amp;"",계정매핑!$A$5:$A$504,0)),"계정매핑 없음"))</f>
        <v/>
      </c>
      <c r="E75" s="21">
        <f>IF($A75="","",$A75&amp;"|"&amp;$C75)</f>
        <v/>
      </c>
      <c r="F75" s="29">
        <f>IF($A75="","",월별집계!$Z75)</f>
        <v/>
      </c>
      <c r="G75" s="29">
        <f>IF($A75="","",월별집계!$Y75)</f>
        <v/>
      </c>
      <c r="H75" s="60">
        <f>IF($A75="","",IF(G75&lt;=0,IF(F75&gt;0,1,0),F75/G75-1))</f>
        <v/>
      </c>
      <c r="I75" s="29">
        <f>IF($A75="","",월별집계!$N75)</f>
        <v/>
      </c>
      <c r="J75" s="60">
        <f>IF($A75="","",IF(I75&lt;=0,IF(F75&gt;0,1,0),F75/I75-1))</f>
        <v/>
      </c>
      <c r="K75" s="29">
        <f>IF($A75="","",SUMIFS(월별집계!$C75:$Z75,월별집계!$C$5:$Z$5,"&gt;="&amp;설정!$C$22,월별집계!$C$5:$Z$5,"&lt;="&amp;설정!$C$20))</f>
        <v/>
      </c>
      <c r="L75" s="29">
        <f>IF($A75="","",SUMIFS(월별집계!$C75:$Z75,월별집계!$C$5:$Z$5,"&gt;="&amp;(설정!$C$22-3),월별집계!$C$5:$Z$5,"&lt;="&amp;(설정!$C$20-3)))</f>
        <v/>
      </c>
      <c r="M75" s="60">
        <f>IF($A75="","",IF(L75&lt;=0,IF(K75&gt;0,1,0),K75/L75-1))</f>
        <v/>
      </c>
      <c r="N75" s="53">
        <f>IF($A75="","",MAX(F75-G75,F75-I75))</f>
        <v/>
      </c>
      <c r="O75" s="61">
        <f>IF($A75="","",IFERROR((월별집계!$Z75-AVERAGE(월별집계!N75:Y75))/STDEV(월별집계!N75:Y75),0))</f>
        <v/>
      </c>
      <c r="P75" s="29">
        <f>IF($A75="","",SUMIFS(예산판_원본!$O$5:$O$5000,예산판_원본!$L$5:$L$5000,$E75,예산판_원본!$M$5:$M$5000,설정!$C$6))</f>
        <v/>
      </c>
      <c r="Q75" s="29">
        <f>IF($A75="","",SUMIFS(월별집계!$C75:$Z75,월별집계!$C$5:$Z$5,"&gt;="&amp;(설정!$C$6*12+1),월별집계!$C$5:$Z$5,"&lt;="&amp;설정!$C$20))</f>
        <v/>
      </c>
      <c r="R75" s="53">
        <f>IF($A75="","",P75-Q75)</f>
        <v/>
      </c>
      <c r="S75" s="29">
        <f>IF($A75="","",AVERAGE(월별집계!X75:Z75)*(12-설정!$C$7))</f>
        <v/>
      </c>
      <c r="T75" s="29">
        <f>IF($A75="","",IFERROR(Q75/(SUMIFS(월별집계!$C75:$Z75,월별집계!$C$5:$Z$5,"&gt;="&amp;((설정!$C$6-1)*12+1),월별집계!$C$5:$Z$5,"&lt;="&amp;(설정!$C$20-12))/SUMIFS(월별집계!$C75:$Z75,월별집계!$C$5:$Z$5,"&gt;="&amp;((설정!$C$6-1)*12+1),월별집계!$C$5:$Z$5,"&lt;="&amp;((설정!$C$6-1)*12+12)))-Q75,S75))</f>
        <v/>
      </c>
      <c r="U75" s="53">
        <f>IF($A75="","",Q75+MAX(S75,T75))</f>
        <v/>
      </c>
      <c r="V75" s="49">
        <f>IF($A75="","",IF(P75=0,0,U75/P75))</f>
        <v/>
      </c>
      <c r="W75" s="28">
        <f>IF($A75="","",IF(AND(P75=0,Q75&gt;0),"무예산",IF(P75=0,"-",IF(V75&gt;설정!$C$12,"부족 예상",IF(V75&gt;설정!$C$11,"주의","여유")))))</f>
        <v/>
      </c>
      <c r="X75" s="53">
        <f>IF($A75="","",IF(P75=0,0,MAX(0,U75-P75)))</f>
        <v/>
      </c>
      <c r="Y75" s="28">
        <f>IF($A75="","",IF(OR(W75&lt;&gt;"부족 예상",설정!$C$7=12),"",IF(R75&lt;=0,"이미 초과",MIN(12,설정!$C$7+ROUNDUP(R75/(MAX(S75,T75)/(12-설정!$C$7)),0))&amp;"월")))</f>
        <v/>
      </c>
      <c r="Z75" s="22">
        <f>IF($A75="","",TRIM(IF(N(AC75)&gt;=설정!$C$14,"단건"&amp;TEXT(AC75,"0%")&amp;" ","")&amp;IF(AND(N75&gt;0,AD75&gt;0),IF(AD75/N75&gt;=설정!$C$16,"SA대체 ",""),"")&amp;IF(AE75&gt;0,"역분개"&amp;AE75&amp;"건 ","")&amp;IF(O75&gt;=설정!$C$13,"이상치 ","")&amp;IF(AND(I75=0,F75&gt;0),"신규지출 ","")))</f>
        <v/>
      </c>
      <c r="AA75" s="61">
        <f>IF($A75="","",ROUND((AF75+AG75+AH75+AI75)*IF(AND(F75&lt;설정!$C$10,N75&lt;설정!$C$10),0.3,1),1))</f>
        <v/>
      </c>
      <c r="AB75" s="50">
        <f>IF($A75="","",AA75+ROW()/1000000)</f>
        <v/>
      </c>
      <c r="AC75" s="56">
        <f>IF(OR($A75="",N75&lt;=0),"",SUMPRODUCT(MAX((전표_원본!$O$5:$O$100000=$E75)*(전표_원본!$M$5:$M$100000=설정!$C$20)*전표_원본!$P$5:$P$100000))/N75)</f>
        <v/>
      </c>
      <c r="AD75" s="29">
        <f>IF($A75="","",SUMIFS(전표_원본!$P$5:$P$100000,전표_원본!$O$5:$O$100000,$E75,전표_원본!$M$5:$M$100000,설정!$C$20,전표_원본!$E$5:$E$100000,"SA")-SUMIFS(전표_원본!$P$5:$P$100000,전표_원본!$O$5:$O$100000,$E75,전표_원본!$M$5:$M$100000,설정!$C$20-1,전표_원본!$E$5:$E$100000,"SA"))</f>
        <v/>
      </c>
      <c r="AE75" s="62">
        <f>IF($A75="","",COUNTIFS(전표_원본!$O$5:$O$100000,$E75,전표_원본!$M$5:$M$100000,설정!$C$20,전표_원본!$P$5:$P$100000,"&lt;0"))</f>
        <v/>
      </c>
      <c r="AF75" s="61">
        <f>IF($A75="","",MIN(MAX(0,N75)/(설정!$C$10*5),1)*30)</f>
        <v/>
      </c>
      <c r="AG75" s="63">
        <f>IF($A75="","",MIN(MAX(0,H75,J75),1)*20)</f>
        <v/>
      </c>
      <c r="AH75" s="63">
        <f>IF($A75="","",MIN(MAX(0,O75)/3,1)*25)</f>
        <v/>
      </c>
      <c r="AI75" s="63">
        <f>IF($A75="","",IF(OR(W75="부족 예상",W75="무예산"),25,IF(W75="주의",15,0)))</f>
        <v/>
      </c>
    </row>
    <row r="76">
      <c r="A76" s="12" t="n"/>
      <c r="B76" s="22">
        <f>IF($A76="","",IFERROR(INDEX(부서매핑!$D$5:$D$504,MATCH($A76,부서매핑!$C$5:$C$504,0)),"부서매핑 없음"))</f>
        <v/>
      </c>
      <c r="C76" s="59" t="n"/>
      <c r="D76" s="22">
        <f>IF($A76="","",IFERROR(INDEX(계정매핑!$B$5:$B$504,MATCH($C76&amp;"",계정매핑!$A$5:$A$504,0)),"계정매핑 없음"))</f>
        <v/>
      </c>
      <c r="E76" s="21">
        <f>IF($A76="","",$A76&amp;"|"&amp;$C76)</f>
        <v/>
      </c>
      <c r="F76" s="29">
        <f>IF($A76="","",월별집계!$Z76)</f>
        <v/>
      </c>
      <c r="G76" s="29">
        <f>IF($A76="","",월별집계!$Y76)</f>
        <v/>
      </c>
      <c r="H76" s="60">
        <f>IF($A76="","",IF(G76&lt;=0,IF(F76&gt;0,1,0),F76/G76-1))</f>
        <v/>
      </c>
      <c r="I76" s="29">
        <f>IF($A76="","",월별집계!$N76)</f>
        <v/>
      </c>
      <c r="J76" s="60">
        <f>IF($A76="","",IF(I76&lt;=0,IF(F76&gt;0,1,0),F76/I76-1))</f>
        <v/>
      </c>
      <c r="K76" s="29">
        <f>IF($A76="","",SUMIFS(월별집계!$C76:$Z76,월별집계!$C$5:$Z$5,"&gt;="&amp;설정!$C$22,월별집계!$C$5:$Z$5,"&lt;="&amp;설정!$C$20))</f>
        <v/>
      </c>
      <c r="L76" s="29">
        <f>IF($A76="","",SUMIFS(월별집계!$C76:$Z76,월별집계!$C$5:$Z$5,"&gt;="&amp;(설정!$C$22-3),월별집계!$C$5:$Z$5,"&lt;="&amp;(설정!$C$20-3)))</f>
        <v/>
      </c>
      <c r="M76" s="60">
        <f>IF($A76="","",IF(L76&lt;=0,IF(K76&gt;0,1,0),K76/L76-1))</f>
        <v/>
      </c>
      <c r="N76" s="53">
        <f>IF($A76="","",MAX(F76-G76,F76-I76))</f>
        <v/>
      </c>
      <c r="O76" s="61">
        <f>IF($A76="","",IFERROR((월별집계!$Z76-AVERAGE(월별집계!N76:Y76))/STDEV(월별집계!N76:Y76),0))</f>
        <v/>
      </c>
      <c r="P76" s="29">
        <f>IF($A76="","",SUMIFS(예산판_원본!$O$5:$O$5000,예산판_원본!$L$5:$L$5000,$E76,예산판_원본!$M$5:$M$5000,설정!$C$6))</f>
        <v/>
      </c>
      <c r="Q76" s="29">
        <f>IF($A76="","",SUMIFS(월별집계!$C76:$Z76,월별집계!$C$5:$Z$5,"&gt;="&amp;(설정!$C$6*12+1),월별집계!$C$5:$Z$5,"&lt;="&amp;설정!$C$20))</f>
        <v/>
      </c>
      <c r="R76" s="53">
        <f>IF($A76="","",P76-Q76)</f>
        <v/>
      </c>
      <c r="S76" s="29">
        <f>IF($A76="","",AVERAGE(월별집계!X76:Z76)*(12-설정!$C$7))</f>
        <v/>
      </c>
      <c r="T76" s="29">
        <f>IF($A76="","",IFERROR(Q76/(SUMIFS(월별집계!$C76:$Z76,월별집계!$C$5:$Z$5,"&gt;="&amp;((설정!$C$6-1)*12+1),월별집계!$C$5:$Z$5,"&lt;="&amp;(설정!$C$20-12))/SUMIFS(월별집계!$C76:$Z76,월별집계!$C$5:$Z$5,"&gt;="&amp;((설정!$C$6-1)*12+1),월별집계!$C$5:$Z$5,"&lt;="&amp;((설정!$C$6-1)*12+12)))-Q76,S76))</f>
        <v/>
      </c>
      <c r="U76" s="53">
        <f>IF($A76="","",Q76+MAX(S76,T76))</f>
        <v/>
      </c>
      <c r="V76" s="49">
        <f>IF($A76="","",IF(P76=0,0,U76/P76))</f>
        <v/>
      </c>
      <c r="W76" s="28">
        <f>IF($A76="","",IF(AND(P76=0,Q76&gt;0),"무예산",IF(P76=0,"-",IF(V76&gt;설정!$C$12,"부족 예상",IF(V76&gt;설정!$C$11,"주의","여유")))))</f>
        <v/>
      </c>
      <c r="X76" s="53">
        <f>IF($A76="","",IF(P76=0,0,MAX(0,U76-P76)))</f>
        <v/>
      </c>
      <c r="Y76" s="28">
        <f>IF($A76="","",IF(OR(W76&lt;&gt;"부족 예상",설정!$C$7=12),"",IF(R76&lt;=0,"이미 초과",MIN(12,설정!$C$7+ROUNDUP(R76/(MAX(S76,T76)/(12-설정!$C$7)),0))&amp;"월")))</f>
        <v/>
      </c>
      <c r="Z76" s="22">
        <f>IF($A76="","",TRIM(IF(N(AC76)&gt;=설정!$C$14,"단건"&amp;TEXT(AC76,"0%")&amp;" ","")&amp;IF(AND(N76&gt;0,AD76&gt;0),IF(AD76/N76&gt;=설정!$C$16,"SA대체 ",""),"")&amp;IF(AE76&gt;0,"역분개"&amp;AE76&amp;"건 ","")&amp;IF(O76&gt;=설정!$C$13,"이상치 ","")&amp;IF(AND(I76=0,F76&gt;0),"신규지출 ","")))</f>
        <v/>
      </c>
      <c r="AA76" s="61">
        <f>IF($A76="","",ROUND((AF76+AG76+AH76+AI76)*IF(AND(F76&lt;설정!$C$10,N76&lt;설정!$C$10),0.3,1),1))</f>
        <v/>
      </c>
      <c r="AB76" s="50">
        <f>IF($A76="","",AA76+ROW()/1000000)</f>
        <v/>
      </c>
      <c r="AC76" s="56">
        <f>IF(OR($A76="",N76&lt;=0),"",SUMPRODUCT(MAX((전표_원본!$O$5:$O$100000=$E76)*(전표_원본!$M$5:$M$100000=설정!$C$20)*전표_원본!$P$5:$P$100000))/N76)</f>
        <v/>
      </c>
      <c r="AD76" s="29">
        <f>IF($A76="","",SUMIFS(전표_원본!$P$5:$P$100000,전표_원본!$O$5:$O$100000,$E76,전표_원본!$M$5:$M$100000,설정!$C$20,전표_원본!$E$5:$E$100000,"SA")-SUMIFS(전표_원본!$P$5:$P$100000,전표_원본!$O$5:$O$100000,$E76,전표_원본!$M$5:$M$100000,설정!$C$20-1,전표_원본!$E$5:$E$100000,"SA"))</f>
        <v/>
      </c>
      <c r="AE76" s="62">
        <f>IF($A76="","",COUNTIFS(전표_원본!$O$5:$O$100000,$E76,전표_원본!$M$5:$M$100000,설정!$C$20,전표_원본!$P$5:$P$100000,"&lt;0"))</f>
        <v/>
      </c>
      <c r="AF76" s="61">
        <f>IF($A76="","",MIN(MAX(0,N76)/(설정!$C$10*5),1)*30)</f>
        <v/>
      </c>
      <c r="AG76" s="63">
        <f>IF($A76="","",MIN(MAX(0,H76,J76),1)*20)</f>
        <v/>
      </c>
      <c r="AH76" s="63">
        <f>IF($A76="","",MIN(MAX(0,O76)/3,1)*25)</f>
        <v/>
      </c>
      <c r="AI76" s="63">
        <f>IF($A76="","",IF(OR(W76="부족 예상",W76="무예산"),25,IF(W76="주의",15,0)))</f>
        <v/>
      </c>
    </row>
    <row r="77">
      <c r="A77" s="12" t="n"/>
      <c r="B77" s="22">
        <f>IF($A77="","",IFERROR(INDEX(부서매핑!$D$5:$D$504,MATCH($A77,부서매핑!$C$5:$C$504,0)),"부서매핑 없음"))</f>
        <v/>
      </c>
      <c r="C77" s="59" t="n"/>
      <c r="D77" s="22">
        <f>IF($A77="","",IFERROR(INDEX(계정매핑!$B$5:$B$504,MATCH($C77&amp;"",계정매핑!$A$5:$A$504,0)),"계정매핑 없음"))</f>
        <v/>
      </c>
      <c r="E77" s="21">
        <f>IF($A77="","",$A77&amp;"|"&amp;$C77)</f>
        <v/>
      </c>
      <c r="F77" s="29">
        <f>IF($A77="","",월별집계!$Z77)</f>
        <v/>
      </c>
      <c r="G77" s="29">
        <f>IF($A77="","",월별집계!$Y77)</f>
        <v/>
      </c>
      <c r="H77" s="60">
        <f>IF($A77="","",IF(G77&lt;=0,IF(F77&gt;0,1,0),F77/G77-1))</f>
        <v/>
      </c>
      <c r="I77" s="29">
        <f>IF($A77="","",월별집계!$N77)</f>
        <v/>
      </c>
      <c r="J77" s="60">
        <f>IF($A77="","",IF(I77&lt;=0,IF(F77&gt;0,1,0),F77/I77-1))</f>
        <v/>
      </c>
      <c r="K77" s="29">
        <f>IF($A77="","",SUMIFS(월별집계!$C77:$Z77,월별집계!$C$5:$Z$5,"&gt;="&amp;설정!$C$22,월별집계!$C$5:$Z$5,"&lt;="&amp;설정!$C$20))</f>
        <v/>
      </c>
      <c r="L77" s="29">
        <f>IF($A77="","",SUMIFS(월별집계!$C77:$Z77,월별집계!$C$5:$Z$5,"&gt;="&amp;(설정!$C$22-3),월별집계!$C$5:$Z$5,"&lt;="&amp;(설정!$C$20-3)))</f>
        <v/>
      </c>
      <c r="M77" s="60">
        <f>IF($A77="","",IF(L77&lt;=0,IF(K77&gt;0,1,0),K77/L77-1))</f>
        <v/>
      </c>
      <c r="N77" s="53">
        <f>IF($A77="","",MAX(F77-G77,F77-I77))</f>
        <v/>
      </c>
      <c r="O77" s="61">
        <f>IF($A77="","",IFERROR((월별집계!$Z77-AVERAGE(월별집계!N77:Y77))/STDEV(월별집계!N77:Y77),0))</f>
        <v/>
      </c>
      <c r="P77" s="29">
        <f>IF($A77="","",SUMIFS(예산판_원본!$O$5:$O$5000,예산판_원본!$L$5:$L$5000,$E77,예산판_원본!$M$5:$M$5000,설정!$C$6))</f>
        <v/>
      </c>
      <c r="Q77" s="29">
        <f>IF($A77="","",SUMIFS(월별집계!$C77:$Z77,월별집계!$C$5:$Z$5,"&gt;="&amp;(설정!$C$6*12+1),월별집계!$C$5:$Z$5,"&lt;="&amp;설정!$C$20))</f>
        <v/>
      </c>
      <c r="R77" s="53">
        <f>IF($A77="","",P77-Q77)</f>
        <v/>
      </c>
      <c r="S77" s="29">
        <f>IF($A77="","",AVERAGE(월별집계!X77:Z77)*(12-설정!$C$7))</f>
        <v/>
      </c>
      <c r="T77" s="29">
        <f>IF($A77="","",IFERROR(Q77/(SUMIFS(월별집계!$C77:$Z77,월별집계!$C$5:$Z$5,"&gt;="&amp;((설정!$C$6-1)*12+1),월별집계!$C$5:$Z$5,"&lt;="&amp;(설정!$C$20-12))/SUMIFS(월별집계!$C77:$Z77,월별집계!$C$5:$Z$5,"&gt;="&amp;((설정!$C$6-1)*12+1),월별집계!$C$5:$Z$5,"&lt;="&amp;((설정!$C$6-1)*12+12)))-Q77,S77))</f>
        <v/>
      </c>
      <c r="U77" s="53">
        <f>IF($A77="","",Q77+MAX(S77,T77))</f>
        <v/>
      </c>
      <c r="V77" s="49">
        <f>IF($A77="","",IF(P77=0,0,U77/P77))</f>
        <v/>
      </c>
      <c r="W77" s="28">
        <f>IF($A77="","",IF(AND(P77=0,Q77&gt;0),"무예산",IF(P77=0,"-",IF(V77&gt;설정!$C$12,"부족 예상",IF(V77&gt;설정!$C$11,"주의","여유")))))</f>
        <v/>
      </c>
      <c r="X77" s="53">
        <f>IF($A77="","",IF(P77=0,0,MAX(0,U77-P77)))</f>
        <v/>
      </c>
      <c r="Y77" s="28">
        <f>IF($A77="","",IF(OR(W77&lt;&gt;"부족 예상",설정!$C$7=12),"",IF(R77&lt;=0,"이미 초과",MIN(12,설정!$C$7+ROUNDUP(R77/(MAX(S77,T77)/(12-설정!$C$7)),0))&amp;"월")))</f>
        <v/>
      </c>
      <c r="Z77" s="22">
        <f>IF($A77="","",TRIM(IF(N(AC77)&gt;=설정!$C$14,"단건"&amp;TEXT(AC77,"0%")&amp;" ","")&amp;IF(AND(N77&gt;0,AD77&gt;0),IF(AD77/N77&gt;=설정!$C$16,"SA대체 ",""),"")&amp;IF(AE77&gt;0,"역분개"&amp;AE77&amp;"건 ","")&amp;IF(O77&gt;=설정!$C$13,"이상치 ","")&amp;IF(AND(I77=0,F77&gt;0),"신규지출 ","")))</f>
        <v/>
      </c>
      <c r="AA77" s="61">
        <f>IF($A77="","",ROUND((AF77+AG77+AH77+AI77)*IF(AND(F77&lt;설정!$C$10,N77&lt;설정!$C$10),0.3,1),1))</f>
        <v/>
      </c>
      <c r="AB77" s="50">
        <f>IF($A77="","",AA77+ROW()/1000000)</f>
        <v/>
      </c>
      <c r="AC77" s="56">
        <f>IF(OR($A77="",N77&lt;=0),"",SUMPRODUCT(MAX((전표_원본!$O$5:$O$100000=$E77)*(전표_원본!$M$5:$M$100000=설정!$C$20)*전표_원본!$P$5:$P$100000))/N77)</f>
        <v/>
      </c>
      <c r="AD77" s="29">
        <f>IF($A77="","",SUMIFS(전표_원본!$P$5:$P$100000,전표_원본!$O$5:$O$100000,$E77,전표_원본!$M$5:$M$100000,설정!$C$20,전표_원본!$E$5:$E$100000,"SA")-SUMIFS(전표_원본!$P$5:$P$100000,전표_원본!$O$5:$O$100000,$E77,전표_원본!$M$5:$M$100000,설정!$C$20-1,전표_원본!$E$5:$E$100000,"SA"))</f>
        <v/>
      </c>
      <c r="AE77" s="62">
        <f>IF($A77="","",COUNTIFS(전표_원본!$O$5:$O$100000,$E77,전표_원본!$M$5:$M$100000,설정!$C$20,전표_원본!$P$5:$P$100000,"&lt;0"))</f>
        <v/>
      </c>
      <c r="AF77" s="61">
        <f>IF($A77="","",MIN(MAX(0,N77)/(설정!$C$10*5),1)*30)</f>
        <v/>
      </c>
      <c r="AG77" s="63">
        <f>IF($A77="","",MIN(MAX(0,H77,J77),1)*20)</f>
        <v/>
      </c>
      <c r="AH77" s="63">
        <f>IF($A77="","",MIN(MAX(0,O77)/3,1)*25)</f>
        <v/>
      </c>
      <c r="AI77" s="63">
        <f>IF($A77="","",IF(OR(W77="부족 예상",W77="무예산"),25,IF(W77="주의",15,0)))</f>
        <v/>
      </c>
    </row>
    <row r="78">
      <c r="A78" s="12" t="n"/>
      <c r="B78" s="22">
        <f>IF($A78="","",IFERROR(INDEX(부서매핑!$D$5:$D$504,MATCH($A78,부서매핑!$C$5:$C$504,0)),"부서매핑 없음"))</f>
        <v/>
      </c>
      <c r="C78" s="59" t="n"/>
      <c r="D78" s="22">
        <f>IF($A78="","",IFERROR(INDEX(계정매핑!$B$5:$B$504,MATCH($C78&amp;"",계정매핑!$A$5:$A$504,0)),"계정매핑 없음"))</f>
        <v/>
      </c>
      <c r="E78" s="21">
        <f>IF($A78="","",$A78&amp;"|"&amp;$C78)</f>
        <v/>
      </c>
      <c r="F78" s="29">
        <f>IF($A78="","",월별집계!$Z78)</f>
        <v/>
      </c>
      <c r="G78" s="29">
        <f>IF($A78="","",월별집계!$Y78)</f>
        <v/>
      </c>
      <c r="H78" s="60">
        <f>IF($A78="","",IF(G78&lt;=0,IF(F78&gt;0,1,0),F78/G78-1))</f>
        <v/>
      </c>
      <c r="I78" s="29">
        <f>IF($A78="","",월별집계!$N78)</f>
        <v/>
      </c>
      <c r="J78" s="60">
        <f>IF($A78="","",IF(I78&lt;=0,IF(F78&gt;0,1,0),F78/I78-1))</f>
        <v/>
      </c>
      <c r="K78" s="29">
        <f>IF($A78="","",SUMIFS(월별집계!$C78:$Z78,월별집계!$C$5:$Z$5,"&gt;="&amp;설정!$C$22,월별집계!$C$5:$Z$5,"&lt;="&amp;설정!$C$20))</f>
        <v/>
      </c>
      <c r="L78" s="29">
        <f>IF($A78="","",SUMIFS(월별집계!$C78:$Z78,월별집계!$C$5:$Z$5,"&gt;="&amp;(설정!$C$22-3),월별집계!$C$5:$Z$5,"&lt;="&amp;(설정!$C$20-3)))</f>
        <v/>
      </c>
      <c r="M78" s="60">
        <f>IF($A78="","",IF(L78&lt;=0,IF(K78&gt;0,1,0),K78/L78-1))</f>
        <v/>
      </c>
      <c r="N78" s="53">
        <f>IF($A78="","",MAX(F78-G78,F78-I78))</f>
        <v/>
      </c>
      <c r="O78" s="61">
        <f>IF($A78="","",IFERROR((월별집계!$Z78-AVERAGE(월별집계!N78:Y78))/STDEV(월별집계!N78:Y78),0))</f>
        <v/>
      </c>
      <c r="P78" s="29">
        <f>IF($A78="","",SUMIFS(예산판_원본!$O$5:$O$5000,예산판_원본!$L$5:$L$5000,$E78,예산판_원본!$M$5:$M$5000,설정!$C$6))</f>
        <v/>
      </c>
      <c r="Q78" s="29">
        <f>IF($A78="","",SUMIFS(월별집계!$C78:$Z78,월별집계!$C$5:$Z$5,"&gt;="&amp;(설정!$C$6*12+1),월별집계!$C$5:$Z$5,"&lt;="&amp;설정!$C$20))</f>
        <v/>
      </c>
      <c r="R78" s="53">
        <f>IF($A78="","",P78-Q78)</f>
        <v/>
      </c>
      <c r="S78" s="29">
        <f>IF($A78="","",AVERAGE(월별집계!X78:Z78)*(12-설정!$C$7))</f>
        <v/>
      </c>
      <c r="T78" s="29">
        <f>IF($A78="","",IFERROR(Q78/(SUMIFS(월별집계!$C78:$Z78,월별집계!$C$5:$Z$5,"&gt;="&amp;((설정!$C$6-1)*12+1),월별집계!$C$5:$Z$5,"&lt;="&amp;(설정!$C$20-12))/SUMIFS(월별집계!$C78:$Z78,월별집계!$C$5:$Z$5,"&gt;="&amp;((설정!$C$6-1)*12+1),월별집계!$C$5:$Z$5,"&lt;="&amp;((설정!$C$6-1)*12+12)))-Q78,S78))</f>
        <v/>
      </c>
      <c r="U78" s="53">
        <f>IF($A78="","",Q78+MAX(S78,T78))</f>
        <v/>
      </c>
      <c r="V78" s="49">
        <f>IF($A78="","",IF(P78=0,0,U78/P78))</f>
        <v/>
      </c>
      <c r="W78" s="28">
        <f>IF($A78="","",IF(AND(P78=0,Q78&gt;0),"무예산",IF(P78=0,"-",IF(V78&gt;설정!$C$12,"부족 예상",IF(V78&gt;설정!$C$11,"주의","여유")))))</f>
        <v/>
      </c>
      <c r="X78" s="53">
        <f>IF($A78="","",IF(P78=0,0,MAX(0,U78-P78)))</f>
        <v/>
      </c>
      <c r="Y78" s="28">
        <f>IF($A78="","",IF(OR(W78&lt;&gt;"부족 예상",설정!$C$7=12),"",IF(R78&lt;=0,"이미 초과",MIN(12,설정!$C$7+ROUNDUP(R78/(MAX(S78,T78)/(12-설정!$C$7)),0))&amp;"월")))</f>
        <v/>
      </c>
      <c r="Z78" s="22">
        <f>IF($A78="","",TRIM(IF(N(AC78)&gt;=설정!$C$14,"단건"&amp;TEXT(AC78,"0%")&amp;" ","")&amp;IF(AND(N78&gt;0,AD78&gt;0),IF(AD78/N78&gt;=설정!$C$16,"SA대체 ",""),"")&amp;IF(AE78&gt;0,"역분개"&amp;AE78&amp;"건 ","")&amp;IF(O78&gt;=설정!$C$13,"이상치 ","")&amp;IF(AND(I78=0,F78&gt;0),"신규지출 ","")))</f>
        <v/>
      </c>
      <c r="AA78" s="61">
        <f>IF($A78="","",ROUND((AF78+AG78+AH78+AI78)*IF(AND(F78&lt;설정!$C$10,N78&lt;설정!$C$10),0.3,1),1))</f>
        <v/>
      </c>
      <c r="AB78" s="50">
        <f>IF($A78="","",AA78+ROW()/1000000)</f>
        <v/>
      </c>
      <c r="AC78" s="56">
        <f>IF(OR($A78="",N78&lt;=0),"",SUMPRODUCT(MAX((전표_원본!$O$5:$O$100000=$E78)*(전표_원본!$M$5:$M$100000=설정!$C$20)*전표_원본!$P$5:$P$100000))/N78)</f>
        <v/>
      </c>
      <c r="AD78" s="29">
        <f>IF($A78="","",SUMIFS(전표_원본!$P$5:$P$100000,전표_원본!$O$5:$O$100000,$E78,전표_원본!$M$5:$M$100000,설정!$C$20,전표_원본!$E$5:$E$100000,"SA")-SUMIFS(전표_원본!$P$5:$P$100000,전표_원본!$O$5:$O$100000,$E78,전표_원본!$M$5:$M$100000,설정!$C$20-1,전표_원본!$E$5:$E$100000,"SA"))</f>
        <v/>
      </c>
      <c r="AE78" s="62">
        <f>IF($A78="","",COUNTIFS(전표_원본!$O$5:$O$100000,$E78,전표_원본!$M$5:$M$100000,설정!$C$20,전표_원본!$P$5:$P$100000,"&lt;0"))</f>
        <v/>
      </c>
      <c r="AF78" s="61">
        <f>IF($A78="","",MIN(MAX(0,N78)/(설정!$C$10*5),1)*30)</f>
        <v/>
      </c>
      <c r="AG78" s="63">
        <f>IF($A78="","",MIN(MAX(0,H78,J78),1)*20)</f>
        <v/>
      </c>
      <c r="AH78" s="63">
        <f>IF($A78="","",MIN(MAX(0,O78)/3,1)*25)</f>
        <v/>
      </c>
      <c r="AI78" s="63">
        <f>IF($A78="","",IF(OR(W78="부족 예상",W78="무예산"),25,IF(W78="주의",15,0)))</f>
        <v/>
      </c>
    </row>
    <row r="79">
      <c r="A79" s="12" t="n"/>
      <c r="B79" s="22">
        <f>IF($A79="","",IFERROR(INDEX(부서매핑!$D$5:$D$504,MATCH($A79,부서매핑!$C$5:$C$504,0)),"부서매핑 없음"))</f>
        <v/>
      </c>
      <c r="C79" s="59" t="n"/>
      <c r="D79" s="22">
        <f>IF($A79="","",IFERROR(INDEX(계정매핑!$B$5:$B$504,MATCH($C79&amp;"",계정매핑!$A$5:$A$504,0)),"계정매핑 없음"))</f>
        <v/>
      </c>
      <c r="E79" s="21">
        <f>IF($A79="","",$A79&amp;"|"&amp;$C79)</f>
        <v/>
      </c>
      <c r="F79" s="29">
        <f>IF($A79="","",월별집계!$Z79)</f>
        <v/>
      </c>
      <c r="G79" s="29">
        <f>IF($A79="","",월별집계!$Y79)</f>
        <v/>
      </c>
      <c r="H79" s="60">
        <f>IF($A79="","",IF(G79&lt;=0,IF(F79&gt;0,1,0),F79/G79-1))</f>
        <v/>
      </c>
      <c r="I79" s="29">
        <f>IF($A79="","",월별집계!$N79)</f>
        <v/>
      </c>
      <c r="J79" s="60">
        <f>IF($A79="","",IF(I79&lt;=0,IF(F79&gt;0,1,0),F79/I79-1))</f>
        <v/>
      </c>
      <c r="K79" s="29">
        <f>IF($A79="","",SUMIFS(월별집계!$C79:$Z79,월별집계!$C$5:$Z$5,"&gt;="&amp;설정!$C$22,월별집계!$C$5:$Z$5,"&lt;="&amp;설정!$C$20))</f>
        <v/>
      </c>
      <c r="L79" s="29">
        <f>IF($A79="","",SUMIFS(월별집계!$C79:$Z79,월별집계!$C$5:$Z$5,"&gt;="&amp;(설정!$C$22-3),월별집계!$C$5:$Z$5,"&lt;="&amp;(설정!$C$20-3)))</f>
        <v/>
      </c>
      <c r="M79" s="60">
        <f>IF($A79="","",IF(L79&lt;=0,IF(K79&gt;0,1,0),K79/L79-1))</f>
        <v/>
      </c>
      <c r="N79" s="53">
        <f>IF($A79="","",MAX(F79-G79,F79-I79))</f>
        <v/>
      </c>
      <c r="O79" s="61">
        <f>IF($A79="","",IFERROR((월별집계!$Z79-AVERAGE(월별집계!N79:Y79))/STDEV(월별집계!N79:Y79),0))</f>
        <v/>
      </c>
      <c r="P79" s="29">
        <f>IF($A79="","",SUMIFS(예산판_원본!$O$5:$O$5000,예산판_원본!$L$5:$L$5000,$E79,예산판_원본!$M$5:$M$5000,설정!$C$6))</f>
        <v/>
      </c>
      <c r="Q79" s="29">
        <f>IF($A79="","",SUMIFS(월별집계!$C79:$Z79,월별집계!$C$5:$Z$5,"&gt;="&amp;(설정!$C$6*12+1),월별집계!$C$5:$Z$5,"&lt;="&amp;설정!$C$20))</f>
        <v/>
      </c>
      <c r="R79" s="53">
        <f>IF($A79="","",P79-Q79)</f>
        <v/>
      </c>
      <c r="S79" s="29">
        <f>IF($A79="","",AVERAGE(월별집계!X79:Z79)*(12-설정!$C$7))</f>
        <v/>
      </c>
      <c r="T79" s="29">
        <f>IF($A79="","",IFERROR(Q79/(SUMIFS(월별집계!$C79:$Z79,월별집계!$C$5:$Z$5,"&gt;="&amp;((설정!$C$6-1)*12+1),월별집계!$C$5:$Z$5,"&lt;="&amp;(설정!$C$20-12))/SUMIFS(월별집계!$C79:$Z79,월별집계!$C$5:$Z$5,"&gt;="&amp;((설정!$C$6-1)*12+1),월별집계!$C$5:$Z$5,"&lt;="&amp;((설정!$C$6-1)*12+12)))-Q79,S79))</f>
        <v/>
      </c>
      <c r="U79" s="53">
        <f>IF($A79="","",Q79+MAX(S79,T79))</f>
        <v/>
      </c>
      <c r="V79" s="49">
        <f>IF($A79="","",IF(P79=0,0,U79/P79))</f>
        <v/>
      </c>
      <c r="W79" s="28">
        <f>IF($A79="","",IF(AND(P79=0,Q79&gt;0),"무예산",IF(P79=0,"-",IF(V79&gt;설정!$C$12,"부족 예상",IF(V79&gt;설정!$C$11,"주의","여유")))))</f>
        <v/>
      </c>
      <c r="X79" s="53">
        <f>IF($A79="","",IF(P79=0,0,MAX(0,U79-P79)))</f>
        <v/>
      </c>
      <c r="Y79" s="28">
        <f>IF($A79="","",IF(OR(W79&lt;&gt;"부족 예상",설정!$C$7=12),"",IF(R79&lt;=0,"이미 초과",MIN(12,설정!$C$7+ROUNDUP(R79/(MAX(S79,T79)/(12-설정!$C$7)),0))&amp;"월")))</f>
        <v/>
      </c>
      <c r="Z79" s="22">
        <f>IF($A79="","",TRIM(IF(N(AC79)&gt;=설정!$C$14,"단건"&amp;TEXT(AC79,"0%")&amp;" ","")&amp;IF(AND(N79&gt;0,AD79&gt;0),IF(AD79/N79&gt;=설정!$C$16,"SA대체 ",""),"")&amp;IF(AE79&gt;0,"역분개"&amp;AE79&amp;"건 ","")&amp;IF(O79&gt;=설정!$C$13,"이상치 ","")&amp;IF(AND(I79=0,F79&gt;0),"신규지출 ","")))</f>
        <v/>
      </c>
      <c r="AA79" s="61">
        <f>IF($A79="","",ROUND((AF79+AG79+AH79+AI79)*IF(AND(F79&lt;설정!$C$10,N79&lt;설정!$C$10),0.3,1),1))</f>
        <v/>
      </c>
      <c r="AB79" s="50">
        <f>IF($A79="","",AA79+ROW()/1000000)</f>
        <v/>
      </c>
      <c r="AC79" s="56">
        <f>IF(OR($A79="",N79&lt;=0),"",SUMPRODUCT(MAX((전표_원본!$O$5:$O$100000=$E79)*(전표_원본!$M$5:$M$100000=설정!$C$20)*전표_원본!$P$5:$P$100000))/N79)</f>
        <v/>
      </c>
      <c r="AD79" s="29">
        <f>IF($A79="","",SUMIFS(전표_원본!$P$5:$P$100000,전표_원본!$O$5:$O$100000,$E79,전표_원본!$M$5:$M$100000,설정!$C$20,전표_원본!$E$5:$E$100000,"SA")-SUMIFS(전표_원본!$P$5:$P$100000,전표_원본!$O$5:$O$100000,$E79,전표_원본!$M$5:$M$100000,설정!$C$20-1,전표_원본!$E$5:$E$100000,"SA"))</f>
        <v/>
      </c>
      <c r="AE79" s="62">
        <f>IF($A79="","",COUNTIFS(전표_원본!$O$5:$O$100000,$E79,전표_원본!$M$5:$M$100000,설정!$C$20,전표_원본!$P$5:$P$100000,"&lt;0"))</f>
        <v/>
      </c>
      <c r="AF79" s="61">
        <f>IF($A79="","",MIN(MAX(0,N79)/(설정!$C$10*5),1)*30)</f>
        <v/>
      </c>
      <c r="AG79" s="63">
        <f>IF($A79="","",MIN(MAX(0,H79,J79),1)*20)</f>
        <v/>
      </c>
      <c r="AH79" s="63">
        <f>IF($A79="","",MIN(MAX(0,O79)/3,1)*25)</f>
        <v/>
      </c>
      <c r="AI79" s="63">
        <f>IF($A79="","",IF(OR(W79="부족 예상",W79="무예산"),25,IF(W79="주의",15,0)))</f>
        <v/>
      </c>
    </row>
    <row r="80">
      <c r="A80" s="12" t="n"/>
      <c r="B80" s="22">
        <f>IF($A80="","",IFERROR(INDEX(부서매핑!$D$5:$D$504,MATCH($A80,부서매핑!$C$5:$C$504,0)),"부서매핑 없음"))</f>
        <v/>
      </c>
      <c r="C80" s="59" t="n"/>
      <c r="D80" s="22">
        <f>IF($A80="","",IFERROR(INDEX(계정매핑!$B$5:$B$504,MATCH($C80&amp;"",계정매핑!$A$5:$A$504,0)),"계정매핑 없음"))</f>
        <v/>
      </c>
      <c r="E80" s="21">
        <f>IF($A80="","",$A80&amp;"|"&amp;$C80)</f>
        <v/>
      </c>
      <c r="F80" s="29">
        <f>IF($A80="","",월별집계!$Z80)</f>
        <v/>
      </c>
      <c r="G80" s="29">
        <f>IF($A80="","",월별집계!$Y80)</f>
        <v/>
      </c>
      <c r="H80" s="60">
        <f>IF($A80="","",IF(G80&lt;=0,IF(F80&gt;0,1,0),F80/G80-1))</f>
        <v/>
      </c>
      <c r="I80" s="29">
        <f>IF($A80="","",월별집계!$N80)</f>
        <v/>
      </c>
      <c r="J80" s="60">
        <f>IF($A80="","",IF(I80&lt;=0,IF(F80&gt;0,1,0),F80/I80-1))</f>
        <v/>
      </c>
      <c r="K80" s="29">
        <f>IF($A80="","",SUMIFS(월별집계!$C80:$Z80,월별집계!$C$5:$Z$5,"&gt;="&amp;설정!$C$22,월별집계!$C$5:$Z$5,"&lt;="&amp;설정!$C$20))</f>
        <v/>
      </c>
      <c r="L80" s="29">
        <f>IF($A80="","",SUMIFS(월별집계!$C80:$Z80,월별집계!$C$5:$Z$5,"&gt;="&amp;(설정!$C$22-3),월별집계!$C$5:$Z$5,"&lt;="&amp;(설정!$C$20-3)))</f>
        <v/>
      </c>
      <c r="M80" s="60">
        <f>IF($A80="","",IF(L80&lt;=0,IF(K80&gt;0,1,0),K80/L80-1))</f>
        <v/>
      </c>
      <c r="N80" s="53">
        <f>IF($A80="","",MAX(F80-G80,F80-I80))</f>
        <v/>
      </c>
      <c r="O80" s="61">
        <f>IF($A80="","",IFERROR((월별집계!$Z80-AVERAGE(월별집계!N80:Y80))/STDEV(월별집계!N80:Y80),0))</f>
        <v/>
      </c>
      <c r="P80" s="29">
        <f>IF($A80="","",SUMIFS(예산판_원본!$O$5:$O$5000,예산판_원본!$L$5:$L$5000,$E80,예산판_원본!$M$5:$M$5000,설정!$C$6))</f>
        <v/>
      </c>
      <c r="Q80" s="29">
        <f>IF($A80="","",SUMIFS(월별집계!$C80:$Z80,월별집계!$C$5:$Z$5,"&gt;="&amp;(설정!$C$6*12+1),월별집계!$C$5:$Z$5,"&lt;="&amp;설정!$C$20))</f>
        <v/>
      </c>
      <c r="R80" s="53">
        <f>IF($A80="","",P80-Q80)</f>
        <v/>
      </c>
      <c r="S80" s="29">
        <f>IF($A80="","",AVERAGE(월별집계!X80:Z80)*(12-설정!$C$7))</f>
        <v/>
      </c>
      <c r="T80" s="29">
        <f>IF($A80="","",IFERROR(Q80/(SUMIFS(월별집계!$C80:$Z80,월별집계!$C$5:$Z$5,"&gt;="&amp;((설정!$C$6-1)*12+1),월별집계!$C$5:$Z$5,"&lt;="&amp;(설정!$C$20-12))/SUMIFS(월별집계!$C80:$Z80,월별집계!$C$5:$Z$5,"&gt;="&amp;((설정!$C$6-1)*12+1),월별집계!$C$5:$Z$5,"&lt;="&amp;((설정!$C$6-1)*12+12)))-Q80,S80))</f>
        <v/>
      </c>
      <c r="U80" s="53">
        <f>IF($A80="","",Q80+MAX(S80,T80))</f>
        <v/>
      </c>
      <c r="V80" s="49">
        <f>IF($A80="","",IF(P80=0,0,U80/P80))</f>
        <v/>
      </c>
      <c r="W80" s="28">
        <f>IF($A80="","",IF(AND(P80=0,Q80&gt;0),"무예산",IF(P80=0,"-",IF(V80&gt;설정!$C$12,"부족 예상",IF(V80&gt;설정!$C$11,"주의","여유")))))</f>
        <v/>
      </c>
      <c r="X80" s="53">
        <f>IF($A80="","",IF(P80=0,0,MAX(0,U80-P80)))</f>
        <v/>
      </c>
      <c r="Y80" s="28">
        <f>IF($A80="","",IF(OR(W80&lt;&gt;"부족 예상",설정!$C$7=12),"",IF(R80&lt;=0,"이미 초과",MIN(12,설정!$C$7+ROUNDUP(R80/(MAX(S80,T80)/(12-설정!$C$7)),0))&amp;"월")))</f>
        <v/>
      </c>
      <c r="Z80" s="22">
        <f>IF($A80="","",TRIM(IF(N(AC80)&gt;=설정!$C$14,"단건"&amp;TEXT(AC80,"0%")&amp;" ","")&amp;IF(AND(N80&gt;0,AD80&gt;0),IF(AD80/N80&gt;=설정!$C$16,"SA대체 ",""),"")&amp;IF(AE80&gt;0,"역분개"&amp;AE80&amp;"건 ","")&amp;IF(O80&gt;=설정!$C$13,"이상치 ","")&amp;IF(AND(I80=0,F80&gt;0),"신규지출 ","")))</f>
        <v/>
      </c>
      <c r="AA80" s="61">
        <f>IF($A80="","",ROUND((AF80+AG80+AH80+AI80)*IF(AND(F80&lt;설정!$C$10,N80&lt;설정!$C$10),0.3,1),1))</f>
        <v/>
      </c>
      <c r="AB80" s="50">
        <f>IF($A80="","",AA80+ROW()/1000000)</f>
        <v/>
      </c>
      <c r="AC80" s="56">
        <f>IF(OR($A80="",N80&lt;=0),"",SUMPRODUCT(MAX((전표_원본!$O$5:$O$100000=$E80)*(전표_원본!$M$5:$M$100000=설정!$C$20)*전표_원본!$P$5:$P$100000))/N80)</f>
        <v/>
      </c>
      <c r="AD80" s="29">
        <f>IF($A80="","",SUMIFS(전표_원본!$P$5:$P$100000,전표_원본!$O$5:$O$100000,$E80,전표_원본!$M$5:$M$100000,설정!$C$20,전표_원본!$E$5:$E$100000,"SA")-SUMIFS(전표_원본!$P$5:$P$100000,전표_원본!$O$5:$O$100000,$E80,전표_원본!$M$5:$M$100000,설정!$C$20-1,전표_원본!$E$5:$E$100000,"SA"))</f>
        <v/>
      </c>
      <c r="AE80" s="62">
        <f>IF($A80="","",COUNTIFS(전표_원본!$O$5:$O$100000,$E80,전표_원본!$M$5:$M$100000,설정!$C$20,전표_원본!$P$5:$P$100000,"&lt;0"))</f>
        <v/>
      </c>
      <c r="AF80" s="61">
        <f>IF($A80="","",MIN(MAX(0,N80)/(설정!$C$10*5),1)*30)</f>
        <v/>
      </c>
      <c r="AG80" s="63">
        <f>IF($A80="","",MIN(MAX(0,H80,J80),1)*20)</f>
        <v/>
      </c>
      <c r="AH80" s="63">
        <f>IF($A80="","",MIN(MAX(0,O80)/3,1)*25)</f>
        <v/>
      </c>
      <c r="AI80" s="63">
        <f>IF($A80="","",IF(OR(W80="부족 예상",W80="무예산"),25,IF(W80="주의",15,0)))</f>
        <v/>
      </c>
    </row>
    <row r="81">
      <c r="A81" s="12" t="n"/>
      <c r="B81" s="22">
        <f>IF($A81="","",IFERROR(INDEX(부서매핑!$D$5:$D$504,MATCH($A81,부서매핑!$C$5:$C$504,0)),"부서매핑 없음"))</f>
        <v/>
      </c>
      <c r="C81" s="59" t="n"/>
      <c r="D81" s="22">
        <f>IF($A81="","",IFERROR(INDEX(계정매핑!$B$5:$B$504,MATCH($C81&amp;"",계정매핑!$A$5:$A$504,0)),"계정매핑 없음"))</f>
        <v/>
      </c>
      <c r="E81" s="21">
        <f>IF($A81="","",$A81&amp;"|"&amp;$C81)</f>
        <v/>
      </c>
      <c r="F81" s="29">
        <f>IF($A81="","",월별집계!$Z81)</f>
        <v/>
      </c>
      <c r="G81" s="29">
        <f>IF($A81="","",월별집계!$Y81)</f>
        <v/>
      </c>
      <c r="H81" s="60">
        <f>IF($A81="","",IF(G81&lt;=0,IF(F81&gt;0,1,0),F81/G81-1))</f>
        <v/>
      </c>
      <c r="I81" s="29">
        <f>IF($A81="","",월별집계!$N81)</f>
        <v/>
      </c>
      <c r="J81" s="60">
        <f>IF($A81="","",IF(I81&lt;=0,IF(F81&gt;0,1,0),F81/I81-1))</f>
        <v/>
      </c>
      <c r="K81" s="29">
        <f>IF($A81="","",SUMIFS(월별집계!$C81:$Z81,월별집계!$C$5:$Z$5,"&gt;="&amp;설정!$C$22,월별집계!$C$5:$Z$5,"&lt;="&amp;설정!$C$20))</f>
        <v/>
      </c>
      <c r="L81" s="29">
        <f>IF($A81="","",SUMIFS(월별집계!$C81:$Z81,월별집계!$C$5:$Z$5,"&gt;="&amp;(설정!$C$22-3),월별집계!$C$5:$Z$5,"&lt;="&amp;(설정!$C$20-3)))</f>
        <v/>
      </c>
      <c r="M81" s="60">
        <f>IF($A81="","",IF(L81&lt;=0,IF(K81&gt;0,1,0),K81/L81-1))</f>
        <v/>
      </c>
      <c r="N81" s="53">
        <f>IF($A81="","",MAX(F81-G81,F81-I81))</f>
        <v/>
      </c>
      <c r="O81" s="61">
        <f>IF($A81="","",IFERROR((월별집계!$Z81-AVERAGE(월별집계!N81:Y81))/STDEV(월별집계!N81:Y81),0))</f>
        <v/>
      </c>
      <c r="P81" s="29">
        <f>IF($A81="","",SUMIFS(예산판_원본!$O$5:$O$5000,예산판_원본!$L$5:$L$5000,$E81,예산판_원본!$M$5:$M$5000,설정!$C$6))</f>
        <v/>
      </c>
      <c r="Q81" s="29">
        <f>IF($A81="","",SUMIFS(월별집계!$C81:$Z81,월별집계!$C$5:$Z$5,"&gt;="&amp;(설정!$C$6*12+1),월별집계!$C$5:$Z$5,"&lt;="&amp;설정!$C$20))</f>
        <v/>
      </c>
      <c r="R81" s="53">
        <f>IF($A81="","",P81-Q81)</f>
        <v/>
      </c>
      <c r="S81" s="29">
        <f>IF($A81="","",AVERAGE(월별집계!X81:Z81)*(12-설정!$C$7))</f>
        <v/>
      </c>
      <c r="T81" s="29">
        <f>IF($A81="","",IFERROR(Q81/(SUMIFS(월별집계!$C81:$Z81,월별집계!$C$5:$Z$5,"&gt;="&amp;((설정!$C$6-1)*12+1),월별집계!$C$5:$Z$5,"&lt;="&amp;(설정!$C$20-12))/SUMIFS(월별집계!$C81:$Z81,월별집계!$C$5:$Z$5,"&gt;="&amp;((설정!$C$6-1)*12+1),월별집계!$C$5:$Z$5,"&lt;="&amp;((설정!$C$6-1)*12+12)))-Q81,S81))</f>
        <v/>
      </c>
      <c r="U81" s="53">
        <f>IF($A81="","",Q81+MAX(S81,T81))</f>
        <v/>
      </c>
      <c r="V81" s="49">
        <f>IF($A81="","",IF(P81=0,0,U81/P81))</f>
        <v/>
      </c>
      <c r="W81" s="28">
        <f>IF($A81="","",IF(AND(P81=0,Q81&gt;0),"무예산",IF(P81=0,"-",IF(V81&gt;설정!$C$12,"부족 예상",IF(V81&gt;설정!$C$11,"주의","여유")))))</f>
        <v/>
      </c>
      <c r="X81" s="53">
        <f>IF($A81="","",IF(P81=0,0,MAX(0,U81-P81)))</f>
        <v/>
      </c>
      <c r="Y81" s="28">
        <f>IF($A81="","",IF(OR(W81&lt;&gt;"부족 예상",설정!$C$7=12),"",IF(R81&lt;=0,"이미 초과",MIN(12,설정!$C$7+ROUNDUP(R81/(MAX(S81,T81)/(12-설정!$C$7)),0))&amp;"월")))</f>
        <v/>
      </c>
      <c r="Z81" s="22">
        <f>IF($A81="","",TRIM(IF(N(AC81)&gt;=설정!$C$14,"단건"&amp;TEXT(AC81,"0%")&amp;" ","")&amp;IF(AND(N81&gt;0,AD81&gt;0),IF(AD81/N81&gt;=설정!$C$16,"SA대체 ",""),"")&amp;IF(AE81&gt;0,"역분개"&amp;AE81&amp;"건 ","")&amp;IF(O81&gt;=설정!$C$13,"이상치 ","")&amp;IF(AND(I81=0,F81&gt;0),"신규지출 ","")))</f>
        <v/>
      </c>
      <c r="AA81" s="61">
        <f>IF($A81="","",ROUND((AF81+AG81+AH81+AI81)*IF(AND(F81&lt;설정!$C$10,N81&lt;설정!$C$10),0.3,1),1))</f>
        <v/>
      </c>
      <c r="AB81" s="50">
        <f>IF($A81="","",AA81+ROW()/1000000)</f>
        <v/>
      </c>
      <c r="AC81" s="56">
        <f>IF(OR($A81="",N81&lt;=0),"",SUMPRODUCT(MAX((전표_원본!$O$5:$O$100000=$E81)*(전표_원본!$M$5:$M$100000=설정!$C$20)*전표_원본!$P$5:$P$100000))/N81)</f>
        <v/>
      </c>
      <c r="AD81" s="29">
        <f>IF($A81="","",SUMIFS(전표_원본!$P$5:$P$100000,전표_원본!$O$5:$O$100000,$E81,전표_원본!$M$5:$M$100000,설정!$C$20,전표_원본!$E$5:$E$100000,"SA")-SUMIFS(전표_원본!$P$5:$P$100000,전표_원본!$O$5:$O$100000,$E81,전표_원본!$M$5:$M$100000,설정!$C$20-1,전표_원본!$E$5:$E$100000,"SA"))</f>
        <v/>
      </c>
      <c r="AE81" s="62">
        <f>IF($A81="","",COUNTIFS(전표_원본!$O$5:$O$100000,$E81,전표_원본!$M$5:$M$100000,설정!$C$20,전표_원본!$P$5:$P$100000,"&lt;0"))</f>
        <v/>
      </c>
      <c r="AF81" s="61">
        <f>IF($A81="","",MIN(MAX(0,N81)/(설정!$C$10*5),1)*30)</f>
        <v/>
      </c>
      <c r="AG81" s="63">
        <f>IF($A81="","",MIN(MAX(0,H81,J81),1)*20)</f>
        <v/>
      </c>
      <c r="AH81" s="63">
        <f>IF($A81="","",MIN(MAX(0,O81)/3,1)*25)</f>
        <v/>
      </c>
      <c r="AI81" s="63">
        <f>IF($A81="","",IF(OR(W81="부족 예상",W81="무예산"),25,IF(W81="주의",15,0)))</f>
        <v/>
      </c>
    </row>
    <row r="82">
      <c r="A82" s="12" t="n"/>
      <c r="B82" s="22">
        <f>IF($A82="","",IFERROR(INDEX(부서매핑!$D$5:$D$504,MATCH($A82,부서매핑!$C$5:$C$504,0)),"부서매핑 없음"))</f>
        <v/>
      </c>
      <c r="C82" s="59" t="n"/>
      <c r="D82" s="22">
        <f>IF($A82="","",IFERROR(INDEX(계정매핑!$B$5:$B$504,MATCH($C82&amp;"",계정매핑!$A$5:$A$504,0)),"계정매핑 없음"))</f>
        <v/>
      </c>
      <c r="E82" s="21">
        <f>IF($A82="","",$A82&amp;"|"&amp;$C82)</f>
        <v/>
      </c>
      <c r="F82" s="29">
        <f>IF($A82="","",월별집계!$Z82)</f>
        <v/>
      </c>
      <c r="G82" s="29">
        <f>IF($A82="","",월별집계!$Y82)</f>
        <v/>
      </c>
      <c r="H82" s="60">
        <f>IF($A82="","",IF(G82&lt;=0,IF(F82&gt;0,1,0),F82/G82-1))</f>
        <v/>
      </c>
      <c r="I82" s="29">
        <f>IF($A82="","",월별집계!$N82)</f>
        <v/>
      </c>
      <c r="J82" s="60">
        <f>IF($A82="","",IF(I82&lt;=0,IF(F82&gt;0,1,0),F82/I82-1))</f>
        <v/>
      </c>
      <c r="K82" s="29">
        <f>IF($A82="","",SUMIFS(월별집계!$C82:$Z82,월별집계!$C$5:$Z$5,"&gt;="&amp;설정!$C$22,월별집계!$C$5:$Z$5,"&lt;="&amp;설정!$C$20))</f>
        <v/>
      </c>
      <c r="L82" s="29">
        <f>IF($A82="","",SUMIFS(월별집계!$C82:$Z82,월별집계!$C$5:$Z$5,"&gt;="&amp;(설정!$C$22-3),월별집계!$C$5:$Z$5,"&lt;="&amp;(설정!$C$20-3)))</f>
        <v/>
      </c>
      <c r="M82" s="60">
        <f>IF($A82="","",IF(L82&lt;=0,IF(K82&gt;0,1,0),K82/L82-1))</f>
        <v/>
      </c>
      <c r="N82" s="53">
        <f>IF($A82="","",MAX(F82-G82,F82-I82))</f>
        <v/>
      </c>
      <c r="O82" s="61">
        <f>IF($A82="","",IFERROR((월별집계!$Z82-AVERAGE(월별집계!N82:Y82))/STDEV(월별집계!N82:Y82),0))</f>
        <v/>
      </c>
      <c r="P82" s="29">
        <f>IF($A82="","",SUMIFS(예산판_원본!$O$5:$O$5000,예산판_원본!$L$5:$L$5000,$E82,예산판_원본!$M$5:$M$5000,설정!$C$6))</f>
        <v/>
      </c>
      <c r="Q82" s="29">
        <f>IF($A82="","",SUMIFS(월별집계!$C82:$Z82,월별집계!$C$5:$Z$5,"&gt;="&amp;(설정!$C$6*12+1),월별집계!$C$5:$Z$5,"&lt;="&amp;설정!$C$20))</f>
        <v/>
      </c>
      <c r="R82" s="53">
        <f>IF($A82="","",P82-Q82)</f>
        <v/>
      </c>
      <c r="S82" s="29">
        <f>IF($A82="","",AVERAGE(월별집계!X82:Z82)*(12-설정!$C$7))</f>
        <v/>
      </c>
      <c r="T82" s="29">
        <f>IF($A82="","",IFERROR(Q82/(SUMIFS(월별집계!$C82:$Z82,월별집계!$C$5:$Z$5,"&gt;="&amp;((설정!$C$6-1)*12+1),월별집계!$C$5:$Z$5,"&lt;="&amp;(설정!$C$20-12))/SUMIFS(월별집계!$C82:$Z82,월별집계!$C$5:$Z$5,"&gt;="&amp;((설정!$C$6-1)*12+1),월별집계!$C$5:$Z$5,"&lt;="&amp;((설정!$C$6-1)*12+12)))-Q82,S82))</f>
        <v/>
      </c>
      <c r="U82" s="53">
        <f>IF($A82="","",Q82+MAX(S82,T82))</f>
        <v/>
      </c>
      <c r="V82" s="49">
        <f>IF($A82="","",IF(P82=0,0,U82/P82))</f>
        <v/>
      </c>
      <c r="W82" s="28">
        <f>IF($A82="","",IF(AND(P82=0,Q82&gt;0),"무예산",IF(P82=0,"-",IF(V82&gt;설정!$C$12,"부족 예상",IF(V82&gt;설정!$C$11,"주의","여유")))))</f>
        <v/>
      </c>
      <c r="X82" s="53">
        <f>IF($A82="","",IF(P82=0,0,MAX(0,U82-P82)))</f>
        <v/>
      </c>
      <c r="Y82" s="28">
        <f>IF($A82="","",IF(OR(W82&lt;&gt;"부족 예상",설정!$C$7=12),"",IF(R82&lt;=0,"이미 초과",MIN(12,설정!$C$7+ROUNDUP(R82/(MAX(S82,T82)/(12-설정!$C$7)),0))&amp;"월")))</f>
        <v/>
      </c>
      <c r="Z82" s="22">
        <f>IF($A82="","",TRIM(IF(N(AC82)&gt;=설정!$C$14,"단건"&amp;TEXT(AC82,"0%")&amp;" ","")&amp;IF(AND(N82&gt;0,AD82&gt;0),IF(AD82/N82&gt;=설정!$C$16,"SA대체 ",""),"")&amp;IF(AE82&gt;0,"역분개"&amp;AE82&amp;"건 ","")&amp;IF(O82&gt;=설정!$C$13,"이상치 ","")&amp;IF(AND(I82=0,F82&gt;0),"신규지출 ","")))</f>
        <v/>
      </c>
      <c r="AA82" s="61">
        <f>IF($A82="","",ROUND((AF82+AG82+AH82+AI82)*IF(AND(F82&lt;설정!$C$10,N82&lt;설정!$C$10),0.3,1),1))</f>
        <v/>
      </c>
      <c r="AB82" s="50">
        <f>IF($A82="","",AA82+ROW()/1000000)</f>
        <v/>
      </c>
      <c r="AC82" s="56">
        <f>IF(OR($A82="",N82&lt;=0),"",SUMPRODUCT(MAX((전표_원본!$O$5:$O$100000=$E82)*(전표_원본!$M$5:$M$100000=설정!$C$20)*전표_원본!$P$5:$P$100000))/N82)</f>
        <v/>
      </c>
      <c r="AD82" s="29">
        <f>IF($A82="","",SUMIFS(전표_원본!$P$5:$P$100000,전표_원본!$O$5:$O$100000,$E82,전표_원본!$M$5:$M$100000,설정!$C$20,전표_원본!$E$5:$E$100000,"SA")-SUMIFS(전표_원본!$P$5:$P$100000,전표_원본!$O$5:$O$100000,$E82,전표_원본!$M$5:$M$100000,설정!$C$20-1,전표_원본!$E$5:$E$100000,"SA"))</f>
        <v/>
      </c>
      <c r="AE82" s="62">
        <f>IF($A82="","",COUNTIFS(전표_원본!$O$5:$O$100000,$E82,전표_원본!$M$5:$M$100000,설정!$C$20,전표_원본!$P$5:$P$100000,"&lt;0"))</f>
        <v/>
      </c>
      <c r="AF82" s="61">
        <f>IF($A82="","",MIN(MAX(0,N82)/(설정!$C$10*5),1)*30)</f>
        <v/>
      </c>
      <c r="AG82" s="63">
        <f>IF($A82="","",MIN(MAX(0,H82,J82),1)*20)</f>
        <v/>
      </c>
      <c r="AH82" s="63">
        <f>IF($A82="","",MIN(MAX(0,O82)/3,1)*25)</f>
        <v/>
      </c>
      <c r="AI82" s="63">
        <f>IF($A82="","",IF(OR(W82="부족 예상",W82="무예산"),25,IF(W82="주의",15,0)))</f>
        <v/>
      </c>
    </row>
    <row r="83">
      <c r="A83" s="12" t="n"/>
      <c r="B83" s="22">
        <f>IF($A83="","",IFERROR(INDEX(부서매핑!$D$5:$D$504,MATCH($A83,부서매핑!$C$5:$C$504,0)),"부서매핑 없음"))</f>
        <v/>
      </c>
      <c r="C83" s="59" t="n"/>
      <c r="D83" s="22">
        <f>IF($A83="","",IFERROR(INDEX(계정매핑!$B$5:$B$504,MATCH($C83&amp;"",계정매핑!$A$5:$A$504,0)),"계정매핑 없음"))</f>
        <v/>
      </c>
      <c r="E83" s="21">
        <f>IF($A83="","",$A83&amp;"|"&amp;$C83)</f>
        <v/>
      </c>
      <c r="F83" s="29">
        <f>IF($A83="","",월별집계!$Z83)</f>
        <v/>
      </c>
      <c r="G83" s="29">
        <f>IF($A83="","",월별집계!$Y83)</f>
        <v/>
      </c>
      <c r="H83" s="60">
        <f>IF($A83="","",IF(G83&lt;=0,IF(F83&gt;0,1,0),F83/G83-1))</f>
        <v/>
      </c>
      <c r="I83" s="29">
        <f>IF($A83="","",월별집계!$N83)</f>
        <v/>
      </c>
      <c r="J83" s="60">
        <f>IF($A83="","",IF(I83&lt;=0,IF(F83&gt;0,1,0),F83/I83-1))</f>
        <v/>
      </c>
      <c r="K83" s="29">
        <f>IF($A83="","",SUMIFS(월별집계!$C83:$Z83,월별집계!$C$5:$Z$5,"&gt;="&amp;설정!$C$22,월별집계!$C$5:$Z$5,"&lt;="&amp;설정!$C$20))</f>
        <v/>
      </c>
      <c r="L83" s="29">
        <f>IF($A83="","",SUMIFS(월별집계!$C83:$Z83,월별집계!$C$5:$Z$5,"&gt;="&amp;(설정!$C$22-3),월별집계!$C$5:$Z$5,"&lt;="&amp;(설정!$C$20-3)))</f>
        <v/>
      </c>
      <c r="M83" s="60">
        <f>IF($A83="","",IF(L83&lt;=0,IF(K83&gt;0,1,0),K83/L83-1))</f>
        <v/>
      </c>
      <c r="N83" s="53">
        <f>IF($A83="","",MAX(F83-G83,F83-I83))</f>
        <v/>
      </c>
      <c r="O83" s="61">
        <f>IF($A83="","",IFERROR((월별집계!$Z83-AVERAGE(월별집계!N83:Y83))/STDEV(월별집계!N83:Y83),0))</f>
        <v/>
      </c>
      <c r="P83" s="29">
        <f>IF($A83="","",SUMIFS(예산판_원본!$O$5:$O$5000,예산판_원본!$L$5:$L$5000,$E83,예산판_원본!$M$5:$M$5000,설정!$C$6))</f>
        <v/>
      </c>
      <c r="Q83" s="29">
        <f>IF($A83="","",SUMIFS(월별집계!$C83:$Z83,월별집계!$C$5:$Z$5,"&gt;="&amp;(설정!$C$6*12+1),월별집계!$C$5:$Z$5,"&lt;="&amp;설정!$C$20))</f>
        <v/>
      </c>
      <c r="R83" s="53">
        <f>IF($A83="","",P83-Q83)</f>
        <v/>
      </c>
      <c r="S83" s="29">
        <f>IF($A83="","",AVERAGE(월별집계!X83:Z83)*(12-설정!$C$7))</f>
        <v/>
      </c>
      <c r="T83" s="29">
        <f>IF($A83="","",IFERROR(Q83/(SUMIFS(월별집계!$C83:$Z83,월별집계!$C$5:$Z$5,"&gt;="&amp;((설정!$C$6-1)*12+1),월별집계!$C$5:$Z$5,"&lt;="&amp;(설정!$C$20-12))/SUMIFS(월별집계!$C83:$Z83,월별집계!$C$5:$Z$5,"&gt;="&amp;((설정!$C$6-1)*12+1),월별집계!$C$5:$Z$5,"&lt;="&amp;((설정!$C$6-1)*12+12)))-Q83,S83))</f>
        <v/>
      </c>
      <c r="U83" s="53">
        <f>IF($A83="","",Q83+MAX(S83,T83))</f>
        <v/>
      </c>
      <c r="V83" s="49">
        <f>IF($A83="","",IF(P83=0,0,U83/P83))</f>
        <v/>
      </c>
      <c r="W83" s="28">
        <f>IF($A83="","",IF(AND(P83=0,Q83&gt;0),"무예산",IF(P83=0,"-",IF(V83&gt;설정!$C$12,"부족 예상",IF(V83&gt;설정!$C$11,"주의","여유")))))</f>
        <v/>
      </c>
      <c r="X83" s="53">
        <f>IF($A83="","",IF(P83=0,0,MAX(0,U83-P83)))</f>
        <v/>
      </c>
      <c r="Y83" s="28">
        <f>IF($A83="","",IF(OR(W83&lt;&gt;"부족 예상",설정!$C$7=12),"",IF(R83&lt;=0,"이미 초과",MIN(12,설정!$C$7+ROUNDUP(R83/(MAX(S83,T83)/(12-설정!$C$7)),0))&amp;"월")))</f>
        <v/>
      </c>
      <c r="Z83" s="22">
        <f>IF($A83="","",TRIM(IF(N(AC83)&gt;=설정!$C$14,"단건"&amp;TEXT(AC83,"0%")&amp;" ","")&amp;IF(AND(N83&gt;0,AD83&gt;0),IF(AD83/N83&gt;=설정!$C$16,"SA대체 ",""),"")&amp;IF(AE83&gt;0,"역분개"&amp;AE83&amp;"건 ","")&amp;IF(O83&gt;=설정!$C$13,"이상치 ","")&amp;IF(AND(I83=0,F83&gt;0),"신규지출 ","")))</f>
        <v/>
      </c>
      <c r="AA83" s="61">
        <f>IF($A83="","",ROUND((AF83+AG83+AH83+AI83)*IF(AND(F83&lt;설정!$C$10,N83&lt;설정!$C$10),0.3,1),1))</f>
        <v/>
      </c>
      <c r="AB83" s="50">
        <f>IF($A83="","",AA83+ROW()/1000000)</f>
        <v/>
      </c>
      <c r="AC83" s="56">
        <f>IF(OR($A83="",N83&lt;=0),"",SUMPRODUCT(MAX((전표_원본!$O$5:$O$100000=$E83)*(전표_원본!$M$5:$M$100000=설정!$C$20)*전표_원본!$P$5:$P$100000))/N83)</f>
        <v/>
      </c>
      <c r="AD83" s="29">
        <f>IF($A83="","",SUMIFS(전표_원본!$P$5:$P$100000,전표_원본!$O$5:$O$100000,$E83,전표_원본!$M$5:$M$100000,설정!$C$20,전표_원본!$E$5:$E$100000,"SA")-SUMIFS(전표_원본!$P$5:$P$100000,전표_원본!$O$5:$O$100000,$E83,전표_원본!$M$5:$M$100000,설정!$C$20-1,전표_원본!$E$5:$E$100000,"SA"))</f>
        <v/>
      </c>
      <c r="AE83" s="62">
        <f>IF($A83="","",COUNTIFS(전표_원본!$O$5:$O$100000,$E83,전표_원본!$M$5:$M$100000,설정!$C$20,전표_원본!$P$5:$P$100000,"&lt;0"))</f>
        <v/>
      </c>
      <c r="AF83" s="61">
        <f>IF($A83="","",MIN(MAX(0,N83)/(설정!$C$10*5),1)*30)</f>
        <v/>
      </c>
      <c r="AG83" s="63">
        <f>IF($A83="","",MIN(MAX(0,H83,J83),1)*20)</f>
        <v/>
      </c>
      <c r="AH83" s="63">
        <f>IF($A83="","",MIN(MAX(0,O83)/3,1)*25)</f>
        <v/>
      </c>
      <c r="AI83" s="63">
        <f>IF($A83="","",IF(OR(W83="부족 예상",W83="무예산"),25,IF(W83="주의",15,0)))</f>
        <v/>
      </c>
    </row>
    <row r="84">
      <c r="A84" s="12" t="n"/>
      <c r="B84" s="22">
        <f>IF($A84="","",IFERROR(INDEX(부서매핑!$D$5:$D$504,MATCH($A84,부서매핑!$C$5:$C$504,0)),"부서매핑 없음"))</f>
        <v/>
      </c>
      <c r="C84" s="59" t="n"/>
      <c r="D84" s="22">
        <f>IF($A84="","",IFERROR(INDEX(계정매핑!$B$5:$B$504,MATCH($C84&amp;"",계정매핑!$A$5:$A$504,0)),"계정매핑 없음"))</f>
        <v/>
      </c>
      <c r="E84" s="21">
        <f>IF($A84="","",$A84&amp;"|"&amp;$C84)</f>
        <v/>
      </c>
      <c r="F84" s="29">
        <f>IF($A84="","",월별집계!$Z84)</f>
        <v/>
      </c>
      <c r="G84" s="29">
        <f>IF($A84="","",월별집계!$Y84)</f>
        <v/>
      </c>
      <c r="H84" s="60">
        <f>IF($A84="","",IF(G84&lt;=0,IF(F84&gt;0,1,0),F84/G84-1))</f>
        <v/>
      </c>
      <c r="I84" s="29">
        <f>IF($A84="","",월별집계!$N84)</f>
        <v/>
      </c>
      <c r="J84" s="60">
        <f>IF($A84="","",IF(I84&lt;=0,IF(F84&gt;0,1,0),F84/I84-1))</f>
        <v/>
      </c>
      <c r="K84" s="29">
        <f>IF($A84="","",SUMIFS(월별집계!$C84:$Z84,월별집계!$C$5:$Z$5,"&gt;="&amp;설정!$C$22,월별집계!$C$5:$Z$5,"&lt;="&amp;설정!$C$20))</f>
        <v/>
      </c>
      <c r="L84" s="29">
        <f>IF($A84="","",SUMIFS(월별집계!$C84:$Z84,월별집계!$C$5:$Z$5,"&gt;="&amp;(설정!$C$22-3),월별집계!$C$5:$Z$5,"&lt;="&amp;(설정!$C$20-3)))</f>
        <v/>
      </c>
      <c r="M84" s="60">
        <f>IF($A84="","",IF(L84&lt;=0,IF(K84&gt;0,1,0),K84/L84-1))</f>
        <v/>
      </c>
      <c r="N84" s="53">
        <f>IF($A84="","",MAX(F84-G84,F84-I84))</f>
        <v/>
      </c>
      <c r="O84" s="61">
        <f>IF($A84="","",IFERROR((월별집계!$Z84-AVERAGE(월별집계!N84:Y84))/STDEV(월별집계!N84:Y84),0))</f>
        <v/>
      </c>
      <c r="P84" s="29">
        <f>IF($A84="","",SUMIFS(예산판_원본!$O$5:$O$5000,예산판_원본!$L$5:$L$5000,$E84,예산판_원본!$M$5:$M$5000,설정!$C$6))</f>
        <v/>
      </c>
      <c r="Q84" s="29">
        <f>IF($A84="","",SUMIFS(월별집계!$C84:$Z84,월별집계!$C$5:$Z$5,"&gt;="&amp;(설정!$C$6*12+1),월별집계!$C$5:$Z$5,"&lt;="&amp;설정!$C$20))</f>
        <v/>
      </c>
      <c r="R84" s="53">
        <f>IF($A84="","",P84-Q84)</f>
        <v/>
      </c>
      <c r="S84" s="29">
        <f>IF($A84="","",AVERAGE(월별집계!X84:Z84)*(12-설정!$C$7))</f>
        <v/>
      </c>
      <c r="T84" s="29">
        <f>IF($A84="","",IFERROR(Q84/(SUMIFS(월별집계!$C84:$Z84,월별집계!$C$5:$Z$5,"&gt;="&amp;((설정!$C$6-1)*12+1),월별집계!$C$5:$Z$5,"&lt;="&amp;(설정!$C$20-12))/SUMIFS(월별집계!$C84:$Z84,월별집계!$C$5:$Z$5,"&gt;="&amp;((설정!$C$6-1)*12+1),월별집계!$C$5:$Z$5,"&lt;="&amp;((설정!$C$6-1)*12+12)))-Q84,S84))</f>
        <v/>
      </c>
      <c r="U84" s="53">
        <f>IF($A84="","",Q84+MAX(S84,T84))</f>
        <v/>
      </c>
      <c r="V84" s="49">
        <f>IF($A84="","",IF(P84=0,0,U84/P84))</f>
        <v/>
      </c>
      <c r="W84" s="28">
        <f>IF($A84="","",IF(AND(P84=0,Q84&gt;0),"무예산",IF(P84=0,"-",IF(V84&gt;설정!$C$12,"부족 예상",IF(V84&gt;설정!$C$11,"주의","여유")))))</f>
        <v/>
      </c>
      <c r="X84" s="53">
        <f>IF($A84="","",IF(P84=0,0,MAX(0,U84-P84)))</f>
        <v/>
      </c>
      <c r="Y84" s="28">
        <f>IF($A84="","",IF(OR(W84&lt;&gt;"부족 예상",설정!$C$7=12),"",IF(R84&lt;=0,"이미 초과",MIN(12,설정!$C$7+ROUNDUP(R84/(MAX(S84,T84)/(12-설정!$C$7)),0))&amp;"월")))</f>
        <v/>
      </c>
      <c r="Z84" s="22">
        <f>IF($A84="","",TRIM(IF(N(AC84)&gt;=설정!$C$14,"단건"&amp;TEXT(AC84,"0%")&amp;" ","")&amp;IF(AND(N84&gt;0,AD84&gt;0),IF(AD84/N84&gt;=설정!$C$16,"SA대체 ",""),"")&amp;IF(AE84&gt;0,"역분개"&amp;AE84&amp;"건 ","")&amp;IF(O84&gt;=설정!$C$13,"이상치 ","")&amp;IF(AND(I84=0,F84&gt;0),"신규지출 ","")))</f>
        <v/>
      </c>
      <c r="AA84" s="61">
        <f>IF($A84="","",ROUND((AF84+AG84+AH84+AI84)*IF(AND(F84&lt;설정!$C$10,N84&lt;설정!$C$10),0.3,1),1))</f>
        <v/>
      </c>
      <c r="AB84" s="50">
        <f>IF($A84="","",AA84+ROW()/1000000)</f>
        <v/>
      </c>
      <c r="AC84" s="56">
        <f>IF(OR($A84="",N84&lt;=0),"",SUMPRODUCT(MAX((전표_원본!$O$5:$O$100000=$E84)*(전표_원본!$M$5:$M$100000=설정!$C$20)*전표_원본!$P$5:$P$100000))/N84)</f>
        <v/>
      </c>
      <c r="AD84" s="29">
        <f>IF($A84="","",SUMIFS(전표_원본!$P$5:$P$100000,전표_원본!$O$5:$O$100000,$E84,전표_원본!$M$5:$M$100000,설정!$C$20,전표_원본!$E$5:$E$100000,"SA")-SUMIFS(전표_원본!$P$5:$P$100000,전표_원본!$O$5:$O$100000,$E84,전표_원본!$M$5:$M$100000,설정!$C$20-1,전표_원본!$E$5:$E$100000,"SA"))</f>
        <v/>
      </c>
      <c r="AE84" s="62">
        <f>IF($A84="","",COUNTIFS(전표_원본!$O$5:$O$100000,$E84,전표_원본!$M$5:$M$100000,설정!$C$20,전표_원본!$P$5:$P$100000,"&lt;0"))</f>
        <v/>
      </c>
      <c r="AF84" s="61">
        <f>IF($A84="","",MIN(MAX(0,N84)/(설정!$C$10*5),1)*30)</f>
        <v/>
      </c>
      <c r="AG84" s="63">
        <f>IF($A84="","",MIN(MAX(0,H84,J84),1)*20)</f>
        <v/>
      </c>
      <c r="AH84" s="63">
        <f>IF($A84="","",MIN(MAX(0,O84)/3,1)*25)</f>
        <v/>
      </c>
      <c r="AI84" s="63">
        <f>IF($A84="","",IF(OR(W84="부족 예상",W84="무예산"),25,IF(W84="주의",15,0)))</f>
        <v/>
      </c>
    </row>
    <row r="85">
      <c r="A85" s="12" t="n"/>
      <c r="B85" s="22">
        <f>IF($A85="","",IFERROR(INDEX(부서매핑!$D$5:$D$504,MATCH($A85,부서매핑!$C$5:$C$504,0)),"부서매핑 없음"))</f>
        <v/>
      </c>
      <c r="C85" s="59" t="n"/>
      <c r="D85" s="22">
        <f>IF($A85="","",IFERROR(INDEX(계정매핑!$B$5:$B$504,MATCH($C85&amp;"",계정매핑!$A$5:$A$504,0)),"계정매핑 없음"))</f>
        <v/>
      </c>
      <c r="E85" s="21">
        <f>IF($A85="","",$A85&amp;"|"&amp;$C85)</f>
        <v/>
      </c>
      <c r="F85" s="29">
        <f>IF($A85="","",월별집계!$Z85)</f>
        <v/>
      </c>
      <c r="G85" s="29">
        <f>IF($A85="","",월별집계!$Y85)</f>
        <v/>
      </c>
      <c r="H85" s="60">
        <f>IF($A85="","",IF(G85&lt;=0,IF(F85&gt;0,1,0),F85/G85-1))</f>
        <v/>
      </c>
      <c r="I85" s="29">
        <f>IF($A85="","",월별집계!$N85)</f>
        <v/>
      </c>
      <c r="J85" s="60">
        <f>IF($A85="","",IF(I85&lt;=0,IF(F85&gt;0,1,0),F85/I85-1))</f>
        <v/>
      </c>
      <c r="K85" s="29">
        <f>IF($A85="","",SUMIFS(월별집계!$C85:$Z85,월별집계!$C$5:$Z$5,"&gt;="&amp;설정!$C$22,월별집계!$C$5:$Z$5,"&lt;="&amp;설정!$C$20))</f>
        <v/>
      </c>
      <c r="L85" s="29">
        <f>IF($A85="","",SUMIFS(월별집계!$C85:$Z85,월별집계!$C$5:$Z$5,"&gt;="&amp;(설정!$C$22-3),월별집계!$C$5:$Z$5,"&lt;="&amp;(설정!$C$20-3)))</f>
        <v/>
      </c>
      <c r="M85" s="60">
        <f>IF($A85="","",IF(L85&lt;=0,IF(K85&gt;0,1,0),K85/L85-1))</f>
        <v/>
      </c>
      <c r="N85" s="53">
        <f>IF($A85="","",MAX(F85-G85,F85-I85))</f>
        <v/>
      </c>
      <c r="O85" s="61">
        <f>IF($A85="","",IFERROR((월별집계!$Z85-AVERAGE(월별집계!N85:Y85))/STDEV(월별집계!N85:Y85),0))</f>
        <v/>
      </c>
      <c r="P85" s="29">
        <f>IF($A85="","",SUMIFS(예산판_원본!$O$5:$O$5000,예산판_원본!$L$5:$L$5000,$E85,예산판_원본!$M$5:$M$5000,설정!$C$6))</f>
        <v/>
      </c>
      <c r="Q85" s="29">
        <f>IF($A85="","",SUMIFS(월별집계!$C85:$Z85,월별집계!$C$5:$Z$5,"&gt;="&amp;(설정!$C$6*12+1),월별집계!$C$5:$Z$5,"&lt;="&amp;설정!$C$20))</f>
        <v/>
      </c>
      <c r="R85" s="53">
        <f>IF($A85="","",P85-Q85)</f>
        <v/>
      </c>
      <c r="S85" s="29">
        <f>IF($A85="","",AVERAGE(월별집계!X85:Z85)*(12-설정!$C$7))</f>
        <v/>
      </c>
      <c r="T85" s="29">
        <f>IF($A85="","",IFERROR(Q85/(SUMIFS(월별집계!$C85:$Z85,월별집계!$C$5:$Z$5,"&gt;="&amp;((설정!$C$6-1)*12+1),월별집계!$C$5:$Z$5,"&lt;="&amp;(설정!$C$20-12))/SUMIFS(월별집계!$C85:$Z85,월별집계!$C$5:$Z$5,"&gt;="&amp;((설정!$C$6-1)*12+1),월별집계!$C$5:$Z$5,"&lt;="&amp;((설정!$C$6-1)*12+12)))-Q85,S85))</f>
        <v/>
      </c>
      <c r="U85" s="53">
        <f>IF($A85="","",Q85+MAX(S85,T85))</f>
        <v/>
      </c>
      <c r="V85" s="49">
        <f>IF($A85="","",IF(P85=0,0,U85/P85))</f>
        <v/>
      </c>
      <c r="W85" s="28">
        <f>IF($A85="","",IF(AND(P85=0,Q85&gt;0),"무예산",IF(P85=0,"-",IF(V85&gt;설정!$C$12,"부족 예상",IF(V85&gt;설정!$C$11,"주의","여유")))))</f>
        <v/>
      </c>
      <c r="X85" s="53">
        <f>IF($A85="","",IF(P85=0,0,MAX(0,U85-P85)))</f>
        <v/>
      </c>
      <c r="Y85" s="28">
        <f>IF($A85="","",IF(OR(W85&lt;&gt;"부족 예상",설정!$C$7=12),"",IF(R85&lt;=0,"이미 초과",MIN(12,설정!$C$7+ROUNDUP(R85/(MAX(S85,T85)/(12-설정!$C$7)),0))&amp;"월")))</f>
        <v/>
      </c>
      <c r="Z85" s="22">
        <f>IF($A85="","",TRIM(IF(N(AC85)&gt;=설정!$C$14,"단건"&amp;TEXT(AC85,"0%")&amp;" ","")&amp;IF(AND(N85&gt;0,AD85&gt;0),IF(AD85/N85&gt;=설정!$C$16,"SA대체 ",""),"")&amp;IF(AE85&gt;0,"역분개"&amp;AE85&amp;"건 ","")&amp;IF(O85&gt;=설정!$C$13,"이상치 ","")&amp;IF(AND(I85=0,F85&gt;0),"신규지출 ","")))</f>
        <v/>
      </c>
      <c r="AA85" s="61">
        <f>IF($A85="","",ROUND((AF85+AG85+AH85+AI85)*IF(AND(F85&lt;설정!$C$10,N85&lt;설정!$C$10),0.3,1),1))</f>
        <v/>
      </c>
      <c r="AB85" s="50">
        <f>IF($A85="","",AA85+ROW()/1000000)</f>
        <v/>
      </c>
      <c r="AC85" s="56">
        <f>IF(OR($A85="",N85&lt;=0),"",SUMPRODUCT(MAX((전표_원본!$O$5:$O$100000=$E85)*(전표_원본!$M$5:$M$100000=설정!$C$20)*전표_원본!$P$5:$P$100000))/N85)</f>
        <v/>
      </c>
      <c r="AD85" s="29">
        <f>IF($A85="","",SUMIFS(전표_원본!$P$5:$P$100000,전표_원본!$O$5:$O$100000,$E85,전표_원본!$M$5:$M$100000,설정!$C$20,전표_원본!$E$5:$E$100000,"SA")-SUMIFS(전표_원본!$P$5:$P$100000,전표_원본!$O$5:$O$100000,$E85,전표_원본!$M$5:$M$100000,설정!$C$20-1,전표_원본!$E$5:$E$100000,"SA"))</f>
        <v/>
      </c>
      <c r="AE85" s="62">
        <f>IF($A85="","",COUNTIFS(전표_원본!$O$5:$O$100000,$E85,전표_원본!$M$5:$M$100000,설정!$C$20,전표_원본!$P$5:$P$100000,"&lt;0"))</f>
        <v/>
      </c>
      <c r="AF85" s="61">
        <f>IF($A85="","",MIN(MAX(0,N85)/(설정!$C$10*5),1)*30)</f>
        <v/>
      </c>
      <c r="AG85" s="63">
        <f>IF($A85="","",MIN(MAX(0,H85,J85),1)*20)</f>
        <v/>
      </c>
      <c r="AH85" s="63">
        <f>IF($A85="","",MIN(MAX(0,O85)/3,1)*25)</f>
        <v/>
      </c>
      <c r="AI85" s="63">
        <f>IF($A85="","",IF(OR(W85="부족 예상",W85="무예산"),25,IF(W85="주의",15,0)))</f>
        <v/>
      </c>
    </row>
    <row r="86">
      <c r="A86" s="12" t="n"/>
      <c r="B86" s="22">
        <f>IF($A86="","",IFERROR(INDEX(부서매핑!$D$5:$D$504,MATCH($A86,부서매핑!$C$5:$C$504,0)),"부서매핑 없음"))</f>
        <v/>
      </c>
      <c r="C86" s="59" t="n"/>
      <c r="D86" s="22">
        <f>IF($A86="","",IFERROR(INDEX(계정매핑!$B$5:$B$504,MATCH($C86&amp;"",계정매핑!$A$5:$A$504,0)),"계정매핑 없음"))</f>
        <v/>
      </c>
      <c r="E86" s="21">
        <f>IF($A86="","",$A86&amp;"|"&amp;$C86)</f>
        <v/>
      </c>
      <c r="F86" s="29">
        <f>IF($A86="","",월별집계!$Z86)</f>
        <v/>
      </c>
      <c r="G86" s="29">
        <f>IF($A86="","",월별집계!$Y86)</f>
        <v/>
      </c>
      <c r="H86" s="60">
        <f>IF($A86="","",IF(G86&lt;=0,IF(F86&gt;0,1,0),F86/G86-1))</f>
        <v/>
      </c>
      <c r="I86" s="29">
        <f>IF($A86="","",월별집계!$N86)</f>
        <v/>
      </c>
      <c r="J86" s="60">
        <f>IF($A86="","",IF(I86&lt;=0,IF(F86&gt;0,1,0),F86/I86-1))</f>
        <v/>
      </c>
      <c r="K86" s="29">
        <f>IF($A86="","",SUMIFS(월별집계!$C86:$Z86,월별집계!$C$5:$Z$5,"&gt;="&amp;설정!$C$22,월별집계!$C$5:$Z$5,"&lt;="&amp;설정!$C$20))</f>
        <v/>
      </c>
      <c r="L86" s="29">
        <f>IF($A86="","",SUMIFS(월별집계!$C86:$Z86,월별집계!$C$5:$Z$5,"&gt;="&amp;(설정!$C$22-3),월별집계!$C$5:$Z$5,"&lt;="&amp;(설정!$C$20-3)))</f>
        <v/>
      </c>
      <c r="M86" s="60">
        <f>IF($A86="","",IF(L86&lt;=0,IF(K86&gt;0,1,0),K86/L86-1))</f>
        <v/>
      </c>
      <c r="N86" s="53">
        <f>IF($A86="","",MAX(F86-G86,F86-I86))</f>
        <v/>
      </c>
      <c r="O86" s="61">
        <f>IF($A86="","",IFERROR((월별집계!$Z86-AVERAGE(월별집계!N86:Y86))/STDEV(월별집계!N86:Y86),0))</f>
        <v/>
      </c>
      <c r="P86" s="29">
        <f>IF($A86="","",SUMIFS(예산판_원본!$O$5:$O$5000,예산판_원본!$L$5:$L$5000,$E86,예산판_원본!$M$5:$M$5000,설정!$C$6))</f>
        <v/>
      </c>
      <c r="Q86" s="29">
        <f>IF($A86="","",SUMIFS(월별집계!$C86:$Z86,월별집계!$C$5:$Z$5,"&gt;="&amp;(설정!$C$6*12+1),월별집계!$C$5:$Z$5,"&lt;="&amp;설정!$C$20))</f>
        <v/>
      </c>
      <c r="R86" s="53">
        <f>IF($A86="","",P86-Q86)</f>
        <v/>
      </c>
      <c r="S86" s="29">
        <f>IF($A86="","",AVERAGE(월별집계!X86:Z86)*(12-설정!$C$7))</f>
        <v/>
      </c>
      <c r="T86" s="29">
        <f>IF($A86="","",IFERROR(Q86/(SUMIFS(월별집계!$C86:$Z86,월별집계!$C$5:$Z$5,"&gt;="&amp;((설정!$C$6-1)*12+1),월별집계!$C$5:$Z$5,"&lt;="&amp;(설정!$C$20-12))/SUMIFS(월별집계!$C86:$Z86,월별집계!$C$5:$Z$5,"&gt;="&amp;((설정!$C$6-1)*12+1),월별집계!$C$5:$Z$5,"&lt;="&amp;((설정!$C$6-1)*12+12)))-Q86,S86))</f>
        <v/>
      </c>
      <c r="U86" s="53">
        <f>IF($A86="","",Q86+MAX(S86,T86))</f>
        <v/>
      </c>
      <c r="V86" s="49">
        <f>IF($A86="","",IF(P86=0,0,U86/P86))</f>
        <v/>
      </c>
      <c r="W86" s="28">
        <f>IF($A86="","",IF(AND(P86=0,Q86&gt;0),"무예산",IF(P86=0,"-",IF(V86&gt;설정!$C$12,"부족 예상",IF(V86&gt;설정!$C$11,"주의","여유")))))</f>
        <v/>
      </c>
      <c r="X86" s="53">
        <f>IF($A86="","",IF(P86=0,0,MAX(0,U86-P86)))</f>
        <v/>
      </c>
      <c r="Y86" s="28">
        <f>IF($A86="","",IF(OR(W86&lt;&gt;"부족 예상",설정!$C$7=12),"",IF(R86&lt;=0,"이미 초과",MIN(12,설정!$C$7+ROUNDUP(R86/(MAX(S86,T86)/(12-설정!$C$7)),0))&amp;"월")))</f>
        <v/>
      </c>
      <c r="Z86" s="22">
        <f>IF($A86="","",TRIM(IF(N(AC86)&gt;=설정!$C$14,"단건"&amp;TEXT(AC86,"0%")&amp;" ","")&amp;IF(AND(N86&gt;0,AD86&gt;0),IF(AD86/N86&gt;=설정!$C$16,"SA대체 ",""),"")&amp;IF(AE86&gt;0,"역분개"&amp;AE86&amp;"건 ","")&amp;IF(O86&gt;=설정!$C$13,"이상치 ","")&amp;IF(AND(I86=0,F86&gt;0),"신규지출 ","")))</f>
        <v/>
      </c>
      <c r="AA86" s="61">
        <f>IF($A86="","",ROUND((AF86+AG86+AH86+AI86)*IF(AND(F86&lt;설정!$C$10,N86&lt;설정!$C$10),0.3,1),1))</f>
        <v/>
      </c>
      <c r="AB86" s="50">
        <f>IF($A86="","",AA86+ROW()/1000000)</f>
        <v/>
      </c>
      <c r="AC86" s="56">
        <f>IF(OR($A86="",N86&lt;=0),"",SUMPRODUCT(MAX((전표_원본!$O$5:$O$100000=$E86)*(전표_원본!$M$5:$M$100000=설정!$C$20)*전표_원본!$P$5:$P$100000))/N86)</f>
        <v/>
      </c>
      <c r="AD86" s="29">
        <f>IF($A86="","",SUMIFS(전표_원본!$P$5:$P$100000,전표_원본!$O$5:$O$100000,$E86,전표_원본!$M$5:$M$100000,설정!$C$20,전표_원본!$E$5:$E$100000,"SA")-SUMIFS(전표_원본!$P$5:$P$100000,전표_원본!$O$5:$O$100000,$E86,전표_원본!$M$5:$M$100000,설정!$C$20-1,전표_원본!$E$5:$E$100000,"SA"))</f>
        <v/>
      </c>
      <c r="AE86" s="62">
        <f>IF($A86="","",COUNTIFS(전표_원본!$O$5:$O$100000,$E86,전표_원본!$M$5:$M$100000,설정!$C$20,전표_원본!$P$5:$P$100000,"&lt;0"))</f>
        <v/>
      </c>
      <c r="AF86" s="61">
        <f>IF($A86="","",MIN(MAX(0,N86)/(설정!$C$10*5),1)*30)</f>
        <v/>
      </c>
      <c r="AG86" s="63">
        <f>IF($A86="","",MIN(MAX(0,H86,J86),1)*20)</f>
        <v/>
      </c>
      <c r="AH86" s="63">
        <f>IF($A86="","",MIN(MAX(0,O86)/3,1)*25)</f>
        <v/>
      </c>
      <c r="AI86" s="63">
        <f>IF($A86="","",IF(OR(W86="부족 예상",W86="무예산"),25,IF(W86="주의",15,0)))</f>
        <v/>
      </c>
    </row>
    <row r="87">
      <c r="A87" s="12" t="n"/>
      <c r="B87" s="22">
        <f>IF($A87="","",IFERROR(INDEX(부서매핑!$D$5:$D$504,MATCH($A87,부서매핑!$C$5:$C$504,0)),"부서매핑 없음"))</f>
        <v/>
      </c>
      <c r="C87" s="59" t="n"/>
      <c r="D87" s="22">
        <f>IF($A87="","",IFERROR(INDEX(계정매핑!$B$5:$B$504,MATCH($C87&amp;"",계정매핑!$A$5:$A$504,0)),"계정매핑 없음"))</f>
        <v/>
      </c>
      <c r="E87" s="21">
        <f>IF($A87="","",$A87&amp;"|"&amp;$C87)</f>
        <v/>
      </c>
      <c r="F87" s="29">
        <f>IF($A87="","",월별집계!$Z87)</f>
        <v/>
      </c>
      <c r="G87" s="29">
        <f>IF($A87="","",월별집계!$Y87)</f>
        <v/>
      </c>
      <c r="H87" s="60">
        <f>IF($A87="","",IF(G87&lt;=0,IF(F87&gt;0,1,0),F87/G87-1))</f>
        <v/>
      </c>
      <c r="I87" s="29">
        <f>IF($A87="","",월별집계!$N87)</f>
        <v/>
      </c>
      <c r="J87" s="60">
        <f>IF($A87="","",IF(I87&lt;=0,IF(F87&gt;0,1,0),F87/I87-1))</f>
        <v/>
      </c>
      <c r="K87" s="29">
        <f>IF($A87="","",SUMIFS(월별집계!$C87:$Z87,월별집계!$C$5:$Z$5,"&gt;="&amp;설정!$C$22,월별집계!$C$5:$Z$5,"&lt;="&amp;설정!$C$20))</f>
        <v/>
      </c>
      <c r="L87" s="29">
        <f>IF($A87="","",SUMIFS(월별집계!$C87:$Z87,월별집계!$C$5:$Z$5,"&gt;="&amp;(설정!$C$22-3),월별집계!$C$5:$Z$5,"&lt;="&amp;(설정!$C$20-3)))</f>
        <v/>
      </c>
      <c r="M87" s="60">
        <f>IF($A87="","",IF(L87&lt;=0,IF(K87&gt;0,1,0),K87/L87-1))</f>
        <v/>
      </c>
      <c r="N87" s="53">
        <f>IF($A87="","",MAX(F87-G87,F87-I87))</f>
        <v/>
      </c>
      <c r="O87" s="61">
        <f>IF($A87="","",IFERROR((월별집계!$Z87-AVERAGE(월별집계!N87:Y87))/STDEV(월별집계!N87:Y87),0))</f>
        <v/>
      </c>
      <c r="P87" s="29">
        <f>IF($A87="","",SUMIFS(예산판_원본!$O$5:$O$5000,예산판_원본!$L$5:$L$5000,$E87,예산판_원본!$M$5:$M$5000,설정!$C$6))</f>
        <v/>
      </c>
      <c r="Q87" s="29">
        <f>IF($A87="","",SUMIFS(월별집계!$C87:$Z87,월별집계!$C$5:$Z$5,"&gt;="&amp;(설정!$C$6*12+1),월별집계!$C$5:$Z$5,"&lt;="&amp;설정!$C$20))</f>
        <v/>
      </c>
      <c r="R87" s="53">
        <f>IF($A87="","",P87-Q87)</f>
        <v/>
      </c>
      <c r="S87" s="29">
        <f>IF($A87="","",AVERAGE(월별집계!X87:Z87)*(12-설정!$C$7))</f>
        <v/>
      </c>
      <c r="T87" s="29">
        <f>IF($A87="","",IFERROR(Q87/(SUMIFS(월별집계!$C87:$Z87,월별집계!$C$5:$Z$5,"&gt;="&amp;((설정!$C$6-1)*12+1),월별집계!$C$5:$Z$5,"&lt;="&amp;(설정!$C$20-12))/SUMIFS(월별집계!$C87:$Z87,월별집계!$C$5:$Z$5,"&gt;="&amp;((설정!$C$6-1)*12+1),월별집계!$C$5:$Z$5,"&lt;="&amp;((설정!$C$6-1)*12+12)))-Q87,S87))</f>
        <v/>
      </c>
      <c r="U87" s="53">
        <f>IF($A87="","",Q87+MAX(S87,T87))</f>
        <v/>
      </c>
      <c r="V87" s="49">
        <f>IF($A87="","",IF(P87=0,0,U87/P87))</f>
        <v/>
      </c>
      <c r="W87" s="28">
        <f>IF($A87="","",IF(AND(P87=0,Q87&gt;0),"무예산",IF(P87=0,"-",IF(V87&gt;설정!$C$12,"부족 예상",IF(V87&gt;설정!$C$11,"주의","여유")))))</f>
        <v/>
      </c>
      <c r="X87" s="53">
        <f>IF($A87="","",IF(P87=0,0,MAX(0,U87-P87)))</f>
        <v/>
      </c>
      <c r="Y87" s="28">
        <f>IF($A87="","",IF(OR(W87&lt;&gt;"부족 예상",설정!$C$7=12),"",IF(R87&lt;=0,"이미 초과",MIN(12,설정!$C$7+ROUNDUP(R87/(MAX(S87,T87)/(12-설정!$C$7)),0))&amp;"월")))</f>
        <v/>
      </c>
      <c r="Z87" s="22">
        <f>IF($A87="","",TRIM(IF(N(AC87)&gt;=설정!$C$14,"단건"&amp;TEXT(AC87,"0%")&amp;" ","")&amp;IF(AND(N87&gt;0,AD87&gt;0),IF(AD87/N87&gt;=설정!$C$16,"SA대체 ",""),"")&amp;IF(AE87&gt;0,"역분개"&amp;AE87&amp;"건 ","")&amp;IF(O87&gt;=설정!$C$13,"이상치 ","")&amp;IF(AND(I87=0,F87&gt;0),"신규지출 ","")))</f>
        <v/>
      </c>
      <c r="AA87" s="61">
        <f>IF($A87="","",ROUND((AF87+AG87+AH87+AI87)*IF(AND(F87&lt;설정!$C$10,N87&lt;설정!$C$10),0.3,1),1))</f>
        <v/>
      </c>
      <c r="AB87" s="50">
        <f>IF($A87="","",AA87+ROW()/1000000)</f>
        <v/>
      </c>
      <c r="AC87" s="56">
        <f>IF(OR($A87="",N87&lt;=0),"",SUMPRODUCT(MAX((전표_원본!$O$5:$O$100000=$E87)*(전표_원본!$M$5:$M$100000=설정!$C$20)*전표_원본!$P$5:$P$100000))/N87)</f>
        <v/>
      </c>
      <c r="AD87" s="29">
        <f>IF($A87="","",SUMIFS(전표_원본!$P$5:$P$100000,전표_원본!$O$5:$O$100000,$E87,전표_원본!$M$5:$M$100000,설정!$C$20,전표_원본!$E$5:$E$100000,"SA")-SUMIFS(전표_원본!$P$5:$P$100000,전표_원본!$O$5:$O$100000,$E87,전표_원본!$M$5:$M$100000,설정!$C$20-1,전표_원본!$E$5:$E$100000,"SA"))</f>
        <v/>
      </c>
      <c r="AE87" s="62">
        <f>IF($A87="","",COUNTIFS(전표_원본!$O$5:$O$100000,$E87,전표_원본!$M$5:$M$100000,설정!$C$20,전표_원본!$P$5:$P$100000,"&lt;0"))</f>
        <v/>
      </c>
      <c r="AF87" s="61">
        <f>IF($A87="","",MIN(MAX(0,N87)/(설정!$C$10*5),1)*30)</f>
        <v/>
      </c>
      <c r="AG87" s="63">
        <f>IF($A87="","",MIN(MAX(0,H87,J87),1)*20)</f>
        <v/>
      </c>
      <c r="AH87" s="63">
        <f>IF($A87="","",MIN(MAX(0,O87)/3,1)*25)</f>
        <v/>
      </c>
      <c r="AI87" s="63">
        <f>IF($A87="","",IF(OR(W87="부족 예상",W87="무예산"),25,IF(W87="주의",15,0)))</f>
        <v/>
      </c>
    </row>
    <row r="88">
      <c r="A88" s="12" t="n"/>
      <c r="B88" s="22">
        <f>IF($A88="","",IFERROR(INDEX(부서매핑!$D$5:$D$504,MATCH($A88,부서매핑!$C$5:$C$504,0)),"부서매핑 없음"))</f>
        <v/>
      </c>
      <c r="C88" s="59" t="n"/>
      <c r="D88" s="22">
        <f>IF($A88="","",IFERROR(INDEX(계정매핑!$B$5:$B$504,MATCH($C88&amp;"",계정매핑!$A$5:$A$504,0)),"계정매핑 없음"))</f>
        <v/>
      </c>
      <c r="E88" s="21">
        <f>IF($A88="","",$A88&amp;"|"&amp;$C88)</f>
        <v/>
      </c>
      <c r="F88" s="29">
        <f>IF($A88="","",월별집계!$Z88)</f>
        <v/>
      </c>
      <c r="G88" s="29">
        <f>IF($A88="","",월별집계!$Y88)</f>
        <v/>
      </c>
      <c r="H88" s="60">
        <f>IF($A88="","",IF(G88&lt;=0,IF(F88&gt;0,1,0),F88/G88-1))</f>
        <v/>
      </c>
      <c r="I88" s="29">
        <f>IF($A88="","",월별집계!$N88)</f>
        <v/>
      </c>
      <c r="J88" s="60">
        <f>IF($A88="","",IF(I88&lt;=0,IF(F88&gt;0,1,0),F88/I88-1))</f>
        <v/>
      </c>
      <c r="K88" s="29">
        <f>IF($A88="","",SUMIFS(월별집계!$C88:$Z88,월별집계!$C$5:$Z$5,"&gt;="&amp;설정!$C$22,월별집계!$C$5:$Z$5,"&lt;="&amp;설정!$C$20))</f>
        <v/>
      </c>
      <c r="L88" s="29">
        <f>IF($A88="","",SUMIFS(월별집계!$C88:$Z88,월별집계!$C$5:$Z$5,"&gt;="&amp;(설정!$C$22-3),월별집계!$C$5:$Z$5,"&lt;="&amp;(설정!$C$20-3)))</f>
        <v/>
      </c>
      <c r="M88" s="60">
        <f>IF($A88="","",IF(L88&lt;=0,IF(K88&gt;0,1,0),K88/L88-1))</f>
        <v/>
      </c>
      <c r="N88" s="53">
        <f>IF($A88="","",MAX(F88-G88,F88-I88))</f>
        <v/>
      </c>
      <c r="O88" s="61">
        <f>IF($A88="","",IFERROR((월별집계!$Z88-AVERAGE(월별집계!N88:Y88))/STDEV(월별집계!N88:Y88),0))</f>
        <v/>
      </c>
      <c r="P88" s="29">
        <f>IF($A88="","",SUMIFS(예산판_원본!$O$5:$O$5000,예산판_원본!$L$5:$L$5000,$E88,예산판_원본!$M$5:$M$5000,설정!$C$6))</f>
        <v/>
      </c>
      <c r="Q88" s="29">
        <f>IF($A88="","",SUMIFS(월별집계!$C88:$Z88,월별집계!$C$5:$Z$5,"&gt;="&amp;(설정!$C$6*12+1),월별집계!$C$5:$Z$5,"&lt;="&amp;설정!$C$20))</f>
        <v/>
      </c>
      <c r="R88" s="53">
        <f>IF($A88="","",P88-Q88)</f>
        <v/>
      </c>
      <c r="S88" s="29">
        <f>IF($A88="","",AVERAGE(월별집계!X88:Z88)*(12-설정!$C$7))</f>
        <v/>
      </c>
      <c r="T88" s="29">
        <f>IF($A88="","",IFERROR(Q88/(SUMIFS(월별집계!$C88:$Z88,월별집계!$C$5:$Z$5,"&gt;="&amp;((설정!$C$6-1)*12+1),월별집계!$C$5:$Z$5,"&lt;="&amp;(설정!$C$20-12))/SUMIFS(월별집계!$C88:$Z88,월별집계!$C$5:$Z$5,"&gt;="&amp;((설정!$C$6-1)*12+1),월별집계!$C$5:$Z$5,"&lt;="&amp;((설정!$C$6-1)*12+12)))-Q88,S88))</f>
        <v/>
      </c>
      <c r="U88" s="53">
        <f>IF($A88="","",Q88+MAX(S88,T88))</f>
        <v/>
      </c>
      <c r="V88" s="49">
        <f>IF($A88="","",IF(P88=0,0,U88/P88))</f>
        <v/>
      </c>
      <c r="W88" s="28">
        <f>IF($A88="","",IF(AND(P88=0,Q88&gt;0),"무예산",IF(P88=0,"-",IF(V88&gt;설정!$C$12,"부족 예상",IF(V88&gt;설정!$C$11,"주의","여유")))))</f>
        <v/>
      </c>
      <c r="X88" s="53">
        <f>IF($A88="","",IF(P88=0,0,MAX(0,U88-P88)))</f>
        <v/>
      </c>
      <c r="Y88" s="28">
        <f>IF($A88="","",IF(OR(W88&lt;&gt;"부족 예상",설정!$C$7=12),"",IF(R88&lt;=0,"이미 초과",MIN(12,설정!$C$7+ROUNDUP(R88/(MAX(S88,T88)/(12-설정!$C$7)),0))&amp;"월")))</f>
        <v/>
      </c>
      <c r="Z88" s="22">
        <f>IF($A88="","",TRIM(IF(N(AC88)&gt;=설정!$C$14,"단건"&amp;TEXT(AC88,"0%")&amp;" ","")&amp;IF(AND(N88&gt;0,AD88&gt;0),IF(AD88/N88&gt;=설정!$C$16,"SA대체 ",""),"")&amp;IF(AE88&gt;0,"역분개"&amp;AE88&amp;"건 ","")&amp;IF(O88&gt;=설정!$C$13,"이상치 ","")&amp;IF(AND(I88=0,F88&gt;0),"신규지출 ","")))</f>
        <v/>
      </c>
      <c r="AA88" s="61">
        <f>IF($A88="","",ROUND((AF88+AG88+AH88+AI88)*IF(AND(F88&lt;설정!$C$10,N88&lt;설정!$C$10),0.3,1),1))</f>
        <v/>
      </c>
      <c r="AB88" s="50">
        <f>IF($A88="","",AA88+ROW()/1000000)</f>
        <v/>
      </c>
      <c r="AC88" s="56">
        <f>IF(OR($A88="",N88&lt;=0),"",SUMPRODUCT(MAX((전표_원본!$O$5:$O$100000=$E88)*(전표_원본!$M$5:$M$100000=설정!$C$20)*전표_원본!$P$5:$P$100000))/N88)</f>
        <v/>
      </c>
      <c r="AD88" s="29">
        <f>IF($A88="","",SUMIFS(전표_원본!$P$5:$P$100000,전표_원본!$O$5:$O$100000,$E88,전표_원본!$M$5:$M$100000,설정!$C$20,전표_원본!$E$5:$E$100000,"SA")-SUMIFS(전표_원본!$P$5:$P$100000,전표_원본!$O$5:$O$100000,$E88,전표_원본!$M$5:$M$100000,설정!$C$20-1,전표_원본!$E$5:$E$100000,"SA"))</f>
        <v/>
      </c>
      <c r="AE88" s="62">
        <f>IF($A88="","",COUNTIFS(전표_원본!$O$5:$O$100000,$E88,전표_원본!$M$5:$M$100000,설정!$C$20,전표_원본!$P$5:$P$100000,"&lt;0"))</f>
        <v/>
      </c>
      <c r="AF88" s="61">
        <f>IF($A88="","",MIN(MAX(0,N88)/(설정!$C$10*5),1)*30)</f>
        <v/>
      </c>
      <c r="AG88" s="63">
        <f>IF($A88="","",MIN(MAX(0,H88,J88),1)*20)</f>
        <v/>
      </c>
      <c r="AH88" s="63">
        <f>IF($A88="","",MIN(MAX(0,O88)/3,1)*25)</f>
        <v/>
      </c>
      <c r="AI88" s="63">
        <f>IF($A88="","",IF(OR(W88="부족 예상",W88="무예산"),25,IF(W88="주의",15,0)))</f>
        <v/>
      </c>
    </row>
    <row r="89">
      <c r="A89" s="12" t="n"/>
      <c r="B89" s="22">
        <f>IF($A89="","",IFERROR(INDEX(부서매핑!$D$5:$D$504,MATCH($A89,부서매핑!$C$5:$C$504,0)),"부서매핑 없음"))</f>
        <v/>
      </c>
      <c r="C89" s="59" t="n"/>
      <c r="D89" s="22">
        <f>IF($A89="","",IFERROR(INDEX(계정매핑!$B$5:$B$504,MATCH($C89&amp;"",계정매핑!$A$5:$A$504,0)),"계정매핑 없음"))</f>
        <v/>
      </c>
      <c r="E89" s="21">
        <f>IF($A89="","",$A89&amp;"|"&amp;$C89)</f>
        <v/>
      </c>
      <c r="F89" s="29">
        <f>IF($A89="","",월별집계!$Z89)</f>
        <v/>
      </c>
      <c r="G89" s="29">
        <f>IF($A89="","",월별집계!$Y89)</f>
        <v/>
      </c>
      <c r="H89" s="60">
        <f>IF($A89="","",IF(G89&lt;=0,IF(F89&gt;0,1,0),F89/G89-1))</f>
        <v/>
      </c>
      <c r="I89" s="29">
        <f>IF($A89="","",월별집계!$N89)</f>
        <v/>
      </c>
      <c r="J89" s="60">
        <f>IF($A89="","",IF(I89&lt;=0,IF(F89&gt;0,1,0),F89/I89-1))</f>
        <v/>
      </c>
      <c r="K89" s="29">
        <f>IF($A89="","",SUMIFS(월별집계!$C89:$Z89,월별집계!$C$5:$Z$5,"&gt;="&amp;설정!$C$22,월별집계!$C$5:$Z$5,"&lt;="&amp;설정!$C$20))</f>
        <v/>
      </c>
      <c r="L89" s="29">
        <f>IF($A89="","",SUMIFS(월별집계!$C89:$Z89,월별집계!$C$5:$Z$5,"&gt;="&amp;(설정!$C$22-3),월별집계!$C$5:$Z$5,"&lt;="&amp;(설정!$C$20-3)))</f>
        <v/>
      </c>
      <c r="M89" s="60">
        <f>IF($A89="","",IF(L89&lt;=0,IF(K89&gt;0,1,0),K89/L89-1))</f>
        <v/>
      </c>
      <c r="N89" s="53">
        <f>IF($A89="","",MAX(F89-G89,F89-I89))</f>
        <v/>
      </c>
      <c r="O89" s="61">
        <f>IF($A89="","",IFERROR((월별집계!$Z89-AVERAGE(월별집계!N89:Y89))/STDEV(월별집계!N89:Y89),0))</f>
        <v/>
      </c>
      <c r="P89" s="29">
        <f>IF($A89="","",SUMIFS(예산판_원본!$O$5:$O$5000,예산판_원본!$L$5:$L$5000,$E89,예산판_원본!$M$5:$M$5000,설정!$C$6))</f>
        <v/>
      </c>
      <c r="Q89" s="29">
        <f>IF($A89="","",SUMIFS(월별집계!$C89:$Z89,월별집계!$C$5:$Z$5,"&gt;="&amp;(설정!$C$6*12+1),월별집계!$C$5:$Z$5,"&lt;="&amp;설정!$C$20))</f>
        <v/>
      </c>
      <c r="R89" s="53">
        <f>IF($A89="","",P89-Q89)</f>
        <v/>
      </c>
      <c r="S89" s="29">
        <f>IF($A89="","",AVERAGE(월별집계!X89:Z89)*(12-설정!$C$7))</f>
        <v/>
      </c>
      <c r="T89" s="29">
        <f>IF($A89="","",IFERROR(Q89/(SUMIFS(월별집계!$C89:$Z89,월별집계!$C$5:$Z$5,"&gt;="&amp;((설정!$C$6-1)*12+1),월별집계!$C$5:$Z$5,"&lt;="&amp;(설정!$C$20-12))/SUMIFS(월별집계!$C89:$Z89,월별집계!$C$5:$Z$5,"&gt;="&amp;((설정!$C$6-1)*12+1),월별집계!$C$5:$Z$5,"&lt;="&amp;((설정!$C$6-1)*12+12)))-Q89,S89))</f>
        <v/>
      </c>
      <c r="U89" s="53">
        <f>IF($A89="","",Q89+MAX(S89,T89))</f>
        <v/>
      </c>
      <c r="V89" s="49">
        <f>IF($A89="","",IF(P89=0,0,U89/P89))</f>
        <v/>
      </c>
      <c r="W89" s="28">
        <f>IF($A89="","",IF(AND(P89=0,Q89&gt;0),"무예산",IF(P89=0,"-",IF(V89&gt;설정!$C$12,"부족 예상",IF(V89&gt;설정!$C$11,"주의","여유")))))</f>
        <v/>
      </c>
      <c r="X89" s="53">
        <f>IF($A89="","",IF(P89=0,0,MAX(0,U89-P89)))</f>
        <v/>
      </c>
      <c r="Y89" s="28">
        <f>IF($A89="","",IF(OR(W89&lt;&gt;"부족 예상",설정!$C$7=12),"",IF(R89&lt;=0,"이미 초과",MIN(12,설정!$C$7+ROUNDUP(R89/(MAX(S89,T89)/(12-설정!$C$7)),0))&amp;"월")))</f>
        <v/>
      </c>
      <c r="Z89" s="22">
        <f>IF($A89="","",TRIM(IF(N(AC89)&gt;=설정!$C$14,"단건"&amp;TEXT(AC89,"0%")&amp;" ","")&amp;IF(AND(N89&gt;0,AD89&gt;0),IF(AD89/N89&gt;=설정!$C$16,"SA대체 ",""),"")&amp;IF(AE89&gt;0,"역분개"&amp;AE89&amp;"건 ","")&amp;IF(O89&gt;=설정!$C$13,"이상치 ","")&amp;IF(AND(I89=0,F89&gt;0),"신규지출 ","")))</f>
        <v/>
      </c>
      <c r="AA89" s="61">
        <f>IF($A89="","",ROUND((AF89+AG89+AH89+AI89)*IF(AND(F89&lt;설정!$C$10,N89&lt;설정!$C$10),0.3,1),1))</f>
        <v/>
      </c>
      <c r="AB89" s="50">
        <f>IF($A89="","",AA89+ROW()/1000000)</f>
        <v/>
      </c>
      <c r="AC89" s="56">
        <f>IF(OR($A89="",N89&lt;=0),"",SUMPRODUCT(MAX((전표_원본!$O$5:$O$100000=$E89)*(전표_원본!$M$5:$M$100000=설정!$C$20)*전표_원본!$P$5:$P$100000))/N89)</f>
        <v/>
      </c>
      <c r="AD89" s="29">
        <f>IF($A89="","",SUMIFS(전표_원본!$P$5:$P$100000,전표_원본!$O$5:$O$100000,$E89,전표_원본!$M$5:$M$100000,설정!$C$20,전표_원본!$E$5:$E$100000,"SA")-SUMIFS(전표_원본!$P$5:$P$100000,전표_원본!$O$5:$O$100000,$E89,전표_원본!$M$5:$M$100000,설정!$C$20-1,전표_원본!$E$5:$E$100000,"SA"))</f>
        <v/>
      </c>
      <c r="AE89" s="62">
        <f>IF($A89="","",COUNTIFS(전표_원본!$O$5:$O$100000,$E89,전표_원본!$M$5:$M$100000,설정!$C$20,전표_원본!$P$5:$P$100000,"&lt;0"))</f>
        <v/>
      </c>
      <c r="AF89" s="61">
        <f>IF($A89="","",MIN(MAX(0,N89)/(설정!$C$10*5),1)*30)</f>
        <v/>
      </c>
      <c r="AG89" s="63">
        <f>IF($A89="","",MIN(MAX(0,H89,J89),1)*20)</f>
        <v/>
      </c>
      <c r="AH89" s="63">
        <f>IF($A89="","",MIN(MAX(0,O89)/3,1)*25)</f>
        <v/>
      </c>
      <c r="AI89" s="63">
        <f>IF($A89="","",IF(OR(W89="부족 예상",W89="무예산"),25,IF(W89="주의",15,0)))</f>
        <v/>
      </c>
    </row>
    <row r="90">
      <c r="A90" s="12" t="n"/>
      <c r="B90" s="22">
        <f>IF($A90="","",IFERROR(INDEX(부서매핑!$D$5:$D$504,MATCH($A90,부서매핑!$C$5:$C$504,0)),"부서매핑 없음"))</f>
        <v/>
      </c>
      <c r="C90" s="59" t="n"/>
      <c r="D90" s="22">
        <f>IF($A90="","",IFERROR(INDEX(계정매핑!$B$5:$B$504,MATCH($C90&amp;"",계정매핑!$A$5:$A$504,0)),"계정매핑 없음"))</f>
        <v/>
      </c>
      <c r="E90" s="21">
        <f>IF($A90="","",$A90&amp;"|"&amp;$C90)</f>
        <v/>
      </c>
      <c r="F90" s="29">
        <f>IF($A90="","",월별집계!$Z90)</f>
        <v/>
      </c>
      <c r="G90" s="29">
        <f>IF($A90="","",월별집계!$Y90)</f>
        <v/>
      </c>
      <c r="H90" s="60">
        <f>IF($A90="","",IF(G90&lt;=0,IF(F90&gt;0,1,0),F90/G90-1))</f>
        <v/>
      </c>
      <c r="I90" s="29">
        <f>IF($A90="","",월별집계!$N90)</f>
        <v/>
      </c>
      <c r="J90" s="60">
        <f>IF($A90="","",IF(I90&lt;=0,IF(F90&gt;0,1,0),F90/I90-1))</f>
        <v/>
      </c>
      <c r="K90" s="29">
        <f>IF($A90="","",SUMIFS(월별집계!$C90:$Z90,월별집계!$C$5:$Z$5,"&gt;="&amp;설정!$C$22,월별집계!$C$5:$Z$5,"&lt;="&amp;설정!$C$20))</f>
        <v/>
      </c>
      <c r="L90" s="29">
        <f>IF($A90="","",SUMIFS(월별집계!$C90:$Z90,월별집계!$C$5:$Z$5,"&gt;="&amp;(설정!$C$22-3),월별집계!$C$5:$Z$5,"&lt;="&amp;(설정!$C$20-3)))</f>
        <v/>
      </c>
      <c r="M90" s="60">
        <f>IF($A90="","",IF(L90&lt;=0,IF(K90&gt;0,1,0),K90/L90-1))</f>
        <v/>
      </c>
      <c r="N90" s="53">
        <f>IF($A90="","",MAX(F90-G90,F90-I90))</f>
        <v/>
      </c>
      <c r="O90" s="61">
        <f>IF($A90="","",IFERROR((월별집계!$Z90-AVERAGE(월별집계!N90:Y90))/STDEV(월별집계!N90:Y90),0))</f>
        <v/>
      </c>
      <c r="P90" s="29">
        <f>IF($A90="","",SUMIFS(예산판_원본!$O$5:$O$5000,예산판_원본!$L$5:$L$5000,$E90,예산판_원본!$M$5:$M$5000,설정!$C$6))</f>
        <v/>
      </c>
      <c r="Q90" s="29">
        <f>IF($A90="","",SUMIFS(월별집계!$C90:$Z90,월별집계!$C$5:$Z$5,"&gt;="&amp;(설정!$C$6*12+1),월별집계!$C$5:$Z$5,"&lt;="&amp;설정!$C$20))</f>
        <v/>
      </c>
      <c r="R90" s="53">
        <f>IF($A90="","",P90-Q90)</f>
        <v/>
      </c>
      <c r="S90" s="29">
        <f>IF($A90="","",AVERAGE(월별집계!X90:Z90)*(12-설정!$C$7))</f>
        <v/>
      </c>
      <c r="T90" s="29">
        <f>IF($A90="","",IFERROR(Q90/(SUMIFS(월별집계!$C90:$Z90,월별집계!$C$5:$Z$5,"&gt;="&amp;((설정!$C$6-1)*12+1),월별집계!$C$5:$Z$5,"&lt;="&amp;(설정!$C$20-12))/SUMIFS(월별집계!$C90:$Z90,월별집계!$C$5:$Z$5,"&gt;="&amp;((설정!$C$6-1)*12+1),월별집계!$C$5:$Z$5,"&lt;="&amp;((설정!$C$6-1)*12+12)))-Q90,S90))</f>
        <v/>
      </c>
      <c r="U90" s="53">
        <f>IF($A90="","",Q90+MAX(S90,T90))</f>
        <v/>
      </c>
      <c r="V90" s="49">
        <f>IF($A90="","",IF(P90=0,0,U90/P90))</f>
        <v/>
      </c>
      <c r="W90" s="28">
        <f>IF($A90="","",IF(AND(P90=0,Q90&gt;0),"무예산",IF(P90=0,"-",IF(V90&gt;설정!$C$12,"부족 예상",IF(V90&gt;설정!$C$11,"주의","여유")))))</f>
        <v/>
      </c>
      <c r="X90" s="53">
        <f>IF($A90="","",IF(P90=0,0,MAX(0,U90-P90)))</f>
        <v/>
      </c>
      <c r="Y90" s="28">
        <f>IF($A90="","",IF(OR(W90&lt;&gt;"부족 예상",설정!$C$7=12),"",IF(R90&lt;=0,"이미 초과",MIN(12,설정!$C$7+ROUNDUP(R90/(MAX(S90,T90)/(12-설정!$C$7)),0))&amp;"월")))</f>
        <v/>
      </c>
      <c r="Z90" s="22">
        <f>IF($A90="","",TRIM(IF(N(AC90)&gt;=설정!$C$14,"단건"&amp;TEXT(AC90,"0%")&amp;" ","")&amp;IF(AND(N90&gt;0,AD90&gt;0),IF(AD90/N90&gt;=설정!$C$16,"SA대체 ",""),"")&amp;IF(AE90&gt;0,"역분개"&amp;AE90&amp;"건 ","")&amp;IF(O90&gt;=설정!$C$13,"이상치 ","")&amp;IF(AND(I90=0,F90&gt;0),"신규지출 ","")))</f>
        <v/>
      </c>
      <c r="AA90" s="61">
        <f>IF($A90="","",ROUND((AF90+AG90+AH90+AI90)*IF(AND(F90&lt;설정!$C$10,N90&lt;설정!$C$10),0.3,1),1))</f>
        <v/>
      </c>
      <c r="AB90" s="50">
        <f>IF($A90="","",AA90+ROW()/1000000)</f>
        <v/>
      </c>
      <c r="AC90" s="56">
        <f>IF(OR($A90="",N90&lt;=0),"",SUMPRODUCT(MAX((전표_원본!$O$5:$O$100000=$E90)*(전표_원본!$M$5:$M$100000=설정!$C$20)*전표_원본!$P$5:$P$100000))/N90)</f>
        <v/>
      </c>
      <c r="AD90" s="29">
        <f>IF($A90="","",SUMIFS(전표_원본!$P$5:$P$100000,전표_원본!$O$5:$O$100000,$E90,전표_원본!$M$5:$M$100000,설정!$C$20,전표_원본!$E$5:$E$100000,"SA")-SUMIFS(전표_원본!$P$5:$P$100000,전표_원본!$O$5:$O$100000,$E90,전표_원본!$M$5:$M$100000,설정!$C$20-1,전표_원본!$E$5:$E$100000,"SA"))</f>
        <v/>
      </c>
      <c r="AE90" s="62">
        <f>IF($A90="","",COUNTIFS(전표_원본!$O$5:$O$100000,$E90,전표_원본!$M$5:$M$100000,설정!$C$20,전표_원본!$P$5:$P$100000,"&lt;0"))</f>
        <v/>
      </c>
      <c r="AF90" s="61">
        <f>IF($A90="","",MIN(MAX(0,N90)/(설정!$C$10*5),1)*30)</f>
        <v/>
      </c>
      <c r="AG90" s="63">
        <f>IF($A90="","",MIN(MAX(0,H90,J90),1)*20)</f>
        <v/>
      </c>
      <c r="AH90" s="63">
        <f>IF($A90="","",MIN(MAX(0,O90)/3,1)*25)</f>
        <v/>
      </c>
      <c r="AI90" s="63">
        <f>IF($A90="","",IF(OR(W90="부족 예상",W90="무예산"),25,IF(W90="주의",15,0)))</f>
        <v/>
      </c>
    </row>
    <row r="91">
      <c r="A91" s="12" t="n"/>
      <c r="B91" s="22">
        <f>IF($A91="","",IFERROR(INDEX(부서매핑!$D$5:$D$504,MATCH($A91,부서매핑!$C$5:$C$504,0)),"부서매핑 없음"))</f>
        <v/>
      </c>
      <c r="C91" s="59" t="n"/>
      <c r="D91" s="22">
        <f>IF($A91="","",IFERROR(INDEX(계정매핑!$B$5:$B$504,MATCH($C91&amp;"",계정매핑!$A$5:$A$504,0)),"계정매핑 없음"))</f>
        <v/>
      </c>
      <c r="E91" s="21">
        <f>IF($A91="","",$A91&amp;"|"&amp;$C91)</f>
        <v/>
      </c>
      <c r="F91" s="29">
        <f>IF($A91="","",월별집계!$Z91)</f>
        <v/>
      </c>
      <c r="G91" s="29">
        <f>IF($A91="","",월별집계!$Y91)</f>
        <v/>
      </c>
      <c r="H91" s="60">
        <f>IF($A91="","",IF(G91&lt;=0,IF(F91&gt;0,1,0),F91/G91-1))</f>
        <v/>
      </c>
      <c r="I91" s="29">
        <f>IF($A91="","",월별집계!$N91)</f>
        <v/>
      </c>
      <c r="J91" s="60">
        <f>IF($A91="","",IF(I91&lt;=0,IF(F91&gt;0,1,0),F91/I91-1))</f>
        <v/>
      </c>
      <c r="K91" s="29">
        <f>IF($A91="","",SUMIFS(월별집계!$C91:$Z91,월별집계!$C$5:$Z$5,"&gt;="&amp;설정!$C$22,월별집계!$C$5:$Z$5,"&lt;="&amp;설정!$C$20))</f>
        <v/>
      </c>
      <c r="L91" s="29">
        <f>IF($A91="","",SUMIFS(월별집계!$C91:$Z91,월별집계!$C$5:$Z$5,"&gt;="&amp;(설정!$C$22-3),월별집계!$C$5:$Z$5,"&lt;="&amp;(설정!$C$20-3)))</f>
        <v/>
      </c>
      <c r="M91" s="60">
        <f>IF($A91="","",IF(L91&lt;=0,IF(K91&gt;0,1,0),K91/L91-1))</f>
        <v/>
      </c>
      <c r="N91" s="53">
        <f>IF($A91="","",MAX(F91-G91,F91-I91))</f>
        <v/>
      </c>
      <c r="O91" s="61">
        <f>IF($A91="","",IFERROR((월별집계!$Z91-AVERAGE(월별집계!N91:Y91))/STDEV(월별집계!N91:Y91),0))</f>
        <v/>
      </c>
      <c r="P91" s="29">
        <f>IF($A91="","",SUMIFS(예산판_원본!$O$5:$O$5000,예산판_원본!$L$5:$L$5000,$E91,예산판_원본!$M$5:$M$5000,설정!$C$6))</f>
        <v/>
      </c>
      <c r="Q91" s="29">
        <f>IF($A91="","",SUMIFS(월별집계!$C91:$Z91,월별집계!$C$5:$Z$5,"&gt;="&amp;(설정!$C$6*12+1),월별집계!$C$5:$Z$5,"&lt;="&amp;설정!$C$20))</f>
        <v/>
      </c>
      <c r="R91" s="53">
        <f>IF($A91="","",P91-Q91)</f>
        <v/>
      </c>
      <c r="S91" s="29">
        <f>IF($A91="","",AVERAGE(월별집계!X91:Z91)*(12-설정!$C$7))</f>
        <v/>
      </c>
      <c r="T91" s="29">
        <f>IF($A91="","",IFERROR(Q91/(SUMIFS(월별집계!$C91:$Z91,월별집계!$C$5:$Z$5,"&gt;="&amp;((설정!$C$6-1)*12+1),월별집계!$C$5:$Z$5,"&lt;="&amp;(설정!$C$20-12))/SUMIFS(월별집계!$C91:$Z91,월별집계!$C$5:$Z$5,"&gt;="&amp;((설정!$C$6-1)*12+1),월별집계!$C$5:$Z$5,"&lt;="&amp;((설정!$C$6-1)*12+12)))-Q91,S91))</f>
        <v/>
      </c>
      <c r="U91" s="53">
        <f>IF($A91="","",Q91+MAX(S91,T91))</f>
        <v/>
      </c>
      <c r="V91" s="49">
        <f>IF($A91="","",IF(P91=0,0,U91/P91))</f>
        <v/>
      </c>
      <c r="W91" s="28">
        <f>IF($A91="","",IF(AND(P91=0,Q91&gt;0),"무예산",IF(P91=0,"-",IF(V91&gt;설정!$C$12,"부족 예상",IF(V91&gt;설정!$C$11,"주의","여유")))))</f>
        <v/>
      </c>
      <c r="X91" s="53">
        <f>IF($A91="","",IF(P91=0,0,MAX(0,U91-P91)))</f>
        <v/>
      </c>
      <c r="Y91" s="28">
        <f>IF($A91="","",IF(OR(W91&lt;&gt;"부족 예상",설정!$C$7=12),"",IF(R91&lt;=0,"이미 초과",MIN(12,설정!$C$7+ROUNDUP(R91/(MAX(S91,T91)/(12-설정!$C$7)),0))&amp;"월")))</f>
        <v/>
      </c>
      <c r="Z91" s="22">
        <f>IF($A91="","",TRIM(IF(N(AC91)&gt;=설정!$C$14,"단건"&amp;TEXT(AC91,"0%")&amp;" ","")&amp;IF(AND(N91&gt;0,AD91&gt;0),IF(AD91/N91&gt;=설정!$C$16,"SA대체 ",""),"")&amp;IF(AE91&gt;0,"역분개"&amp;AE91&amp;"건 ","")&amp;IF(O91&gt;=설정!$C$13,"이상치 ","")&amp;IF(AND(I91=0,F91&gt;0),"신규지출 ","")))</f>
        <v/>
      </c>
      <c r="AA91" s="61">
        <f>IF($A91="","",ROUND((AF91+AG91+AH91+AI91)*IF(AND(F91&lt;설정!$C$10,N91&lt;설정!$C$10),0.3,1),1))</f>
        <v/>
      </c>
      <c r="AB91" s="50">
        <f>IF($A91="","",AA91+ROW()/1000000)</f>
        <v/>
      </c>
      <c r="AC91" s="56">
        <f>IF(OR($A91="",N91&lt;=0),"",SUMPRODUCT(MAX((전표_원본!$O$5:$O$100000=$E91)*(전표_원본!$M$5:$M$100000=설정!$C$20)*전표_원본!$P$5:$P$100000))/N91)</f>
        <v/>
      </c>
      <c r="AD91" s="29">
        <f>IF($A91="","",SUMIFS(전표_원본!$P$5:$P$100000,전표_원본!$O$5:$O$100000,$E91,전표_원본!$M$5:$M$100000,설정!$C$20,전표_원본!$E$5:$E$100000,"SA")-SUMIFS(전표_원본!$P$5:$P$100000,전표_원본!$O$5:$O$100000,$E91,전표_원본!$M$5:$M$100000,설정!$C$20-1,전표_원본!$E$5:$E$100000,"SA"))</f>
        <v/>
      </c>
      <c r="AE91" s="62">
        <f>IF($A91="","",COUNTIFS(전표_원본!$O$5:$O$100000,$E91,전표_원본!$M$5:$M$100000,설정!$C$20,전표_원본!$P$5:$P$100000,"&lt;0"))</f>
        <v/>
      </c>
      <c r="AF91" s="61">
        <f>IF($A91="","",MIN(MAX(0,N91)/(설정!$C$10*5),1)*30)</f>
        <v/>
      </c>
      <c r="AG91" s="63">
        <f>IF($A91="","",MIN(MAX(0,H91,J91),1)*20)</f>
        <v/>
      </c>
      <c r="AH91" s="63">
        <f>IF($A91="","",MIN(MAX(0,O91)/3,1)*25)</f>
        <v/>
      </c>
      <c r="AI91" s="63">
        <f>IF($A91="","",IF(OR(W91="부족 예상",W91="무예산"),25,IF(W91="주의",15,0)))</f>
        <v/>
      </c>
    </row>
    <row r="92">
      <c r="A92" s="12" t="n"/>
      <c r="B92" s="22">
        <f>IF($A92="","",IFERROR(INDEX(부서매핑!$D$5:$D$504,MATCH($A92,부서매핑!$C$5:$C$504,0)),"부서매핑 없음"))</f>
        <v/>
      </c>
      <c r="C92" s="59" t="n"/>
      <c r="D92" s="22">
        <f>IF($A92="","",IFERROR(INDEX(계정매핑!$B$5:$B$504,MATCH($C92&amp;"",계정매핑!$A$5:$A$504,0)),"계정매핑 없음"))</f>
        <v/>
      </c>
      <c r="E92" s="21">
        <f>IF($A92="","",$A92&amp;"|"&amp;$C92)</f>
        <v/>
      </c>
      <c r="F92" s="29">
        <f>IF($A92="","",월별집계!$Z92)</f>
        <v/>
      </c>
      <c r="G92" s="29">
        <f>IF($A92="","",월별집계!$Y92)</f>
        <v/>
      </c>
      <c r="H92" s="60">
        <f>IF($A92="","",IF(G92&lt;=0,IF(F92&gt;0,1,0),F92/G92-1))</f>
        <v/>
      </c>
      <c r="I92" s="29">
        <f>IF($A92="","",월별집계!$N92)</f>
        <v/>
      </c>
      <c r="J92" s="60">
        <f>IF($A92="","",IF(I92&lt;=0,IF(F92&gt;0,1,0),F92/I92-1))</f>
        <v/>
      </c>
      <c r="K92" s="29">
        <f>IF($A92="","",SUMIFS(월별집계!$C92:$Z92,월별집계!$C$5:$Z$5,"&gt;="&amp;설정!$C$22,월별집계!$C$5:$Z$5,"&lt;="&amp;설정!$C$20))</f>
        <v/>
      </c>
      <c r="L92" s="29">
        <f>IF($A92="","",SUMIFS(월별집계!$C92:$Z92,월별집계!$C$5:$Z$5,"&gt;="&amp;(설정!$C$22-3),월별집계!$C$5:$Z$5,"&lt;="&amp;(설정!$C$20-3)))</f>
        <v/>
      </c>
      <c r="M92" s="60">
        <f>IF($A92="","",IF(L92&lt;=0,IF(K92&gt;0,1,0),K92/L92-1))</f>
        <v/>
      </c>
      <c r="N92" s="53">
        <f>IF($A92="","",MAX(F92-G92,F92-I92))</f>
        <v/>
      </c>
      <c r="O92" s="61">
        <f>IF($A92="","",IFERROR((월별집계!$Z92-AVERAGE(월별집계!N92:Y92))/STDEV(월별집계!N92:Y92),0))</f>
        <v/>
      </c>
      <c r="P92" s="29">
        <f>IF($A92="","",SUMIFS(예산판_원본!$O$5:$O$5000,예산판_원본!$L$5:$L$5000,$E92,예산판_원본!$M$5:$M$5000,설정!$C$6))</f>
        <v/>
      </c>
      <c r="Q92" s="29">
        <f>IF($A92="","",SUMIFS(월별집계!$C92:$Z92,월별집계!$C$5:$Z$5,"&gt;="&amp;(설정!$C$6*12+1),월별집계!$C$5:$Z$5,"&lt;="&amp;설정!$C$20))</f>
        <v/>
      </c>
      <c r="R92" s="53">
        <f>IF($A92="","",P92-Q92)</f>
        <v/>
      </c>
      <c r="S92" s="29">
        <f>IF($A92="","",AVERAGE(월별집계!X92:Z92)*(12-설정!$C$7))</f>
        <v/>
      </c>
      <c r="T92" s="29">
        <f>IF($A92="","",IFERROR(Q92/(SUMIFS(월별집계!$C92:$Z92,월별집계!$C$5:$Z$5,"&gt;="&amp;((설정!$C$6-1)*12+1),월별집계!$C$5:$Z$5,"&lt;="&amp;(설정!$C$20-12))/SUMIFS(월별집계!$C92:$Z92,월별집계!$C$5:$Z$5,"&gt;="&amp;((설정!$C$6-1)*12+1),월별집계!$C$5:$Z$5,"&lt;="&amp;((설정!$C$6-1)*12+12)))-Q92,S92))</f>
        <v/>
      </c>
      <c r="U92" s="53">
        <f>IF($A92="","",Q92+MAX(S92,T92))</f>
        <v/>
      </c>
      <c r="V92" s="49">
        <f>IF($A92="","",IF(P92=0,0,U92/P92))</f>
        <v/>
      </c>
      <c r="W92" s="28">
        <f>IF($A92="","",IF(AND(P92=0,Q92&gt;0),"무예산",IF(P92=0,"-",IF(V92&gt;설정!$C$12,"부족 예상",IF(V92&gt;설정!$C$11,"주의","여유")))))</f>
        <v/>
      </c>
      <c r="X92" s="53">
        <f>IF($A92="","",IF(P92=0,0,MAX(0,U92-P92)))</f>
        <v/>
      </c>
      <c r="Y92" s="28">
        <f>IF($A92="","",IF(OR(W92&lt;&gt;"부족 예상",설정!$C$7=12),"",IF(R92&lt;=0,"이미 초과",MIN(12,설정!$C$7+ROUNDUP(R92/(MAX(S92,T92)/(12-설정!$C$7)),0))&amp;"월")))</f>
        <v/>
      </c>
      <c r="Z92" s="22">
        <f>IF($A92="","",TRIM(IF(N(AC92)&gt;=설정!$C$14,"단건"&amp;TEXT(AC92,"0%")&amp;" ","")&amp;IF(AND(N92&gt;0,AD92&gt;0),IF(AD92/N92&gt;=설정!$C$16,"SA대체 ",""),"")&amp;IF(AE92&gt;0,"역분개"&amp;AE92&amp;"건 ","")&amp;IF(O92&gt;=설정!$C$13,"이상치 ","")&amp;IF(AND(I92=0,F92&gt;0),"신규지출 ","")))</f>
        <v/>
      </c>
      <c r="AA92" s="61">
        <f>IF($A92="","",ROUND((AF92+AG92+AH92+AI92)*IF(AND(F92&lt;설정!$C$10,N92&lt;설정!$C$10),0.3,1),1))</f>
        <v/>
      </c>
      <c r="AB92" s="50">
        <f>IF($A92="","",AA92+ROW()/1000000)</f>
        <v/>
      </c>
      <c r="AC92" s="56">
        <f>IF(OR($A92="",N92&lt;=0),"",SUMPRODUCT(MAX((전표_원본!$O$5:$O$100000=$E92)*(전표_원본!$M$5:$M$100000=설정!$C$20)*전표_원본!$P$5:$P$100000))/N92)</f>
        <v/>
      </c>
      <c r="AD92" s="29">
        <f>IF($A92="","",SUMIFS(전표_원본!$P$5:$P$100000,전표_원본!$O$5:$O$100000,$E92,전표_원본!$M$5:$M$100000,설정!$C$20,전표_원본!$E$5:$E$100000,"SA")-SUMIFS(전표_원본!$P$5:$P$100000,전표_원본!$O$5:$O$100000,$E92,전표_원본!$M$5:$M$100000,설정!$C$20-1,전표_원본!$E$5:$E$100000,"SA"))</f>
        <v/>
      </c>
      <c r="AE92" s="62">
        <f>IF($A92="","",COUNTIFS(전표_원본!$O$5:$O$100000,$E92,전표_원본!$M$5:$M$100000,설정!$C$20,전표_원본!$P$5:$P$100000,"&lt;0"))</f>
        <v/>
      </c>
      <c r="AF92" s="61">
        <f>IF($A92="","",MIN(MAX(0,N92)/(설정!$C$10*5),1)*30)</f>
        <v/>
      </c>
      <c r="AG92" s="63">
        <f>IF($A92="","",MIN(MAX(0,H92,J92),1)*20)</f>
        <v/>
      </c>
      <c r="AH92" s="63">
        <f>IF($A92="","",MIN(MAX(0,O92)/3,1)*25)</f>
        <v/>
      </c>
      <c r="AI92" s="63">
        <f>IF($A92="","",IF(OR(W92="부족 예상",W92="무예산"),25,IF(W92="주의",15,0)))</f>
        <v/>
      </c>
    </row>
    <row r="93">
      <c r="A93" s="12" t="n"/>
      <c r="B93" s="22">
        <f>IF($A93="","",IFERROR(INDEX(부서매핑!$D$5:$D$504,MATCH($A93,부서매핑!$C$5:$C$504,0)),"부서매핑 없음"))</f>
        <v/>
      </c>
      <c r="C93" s="59" t="n"/>
      <c r="D93" s="22">
        <f>IF($A93="","",IFERROR(INDEX(계정매핑!$B$5:$B$504,MATCH($C93&amp;"",계정매핑!$A$5:$A$504,0)),"계정매핑 없음"))</f>
        <v/>
      </c>
      <c r="E93" s="21">
        <f>IF($A93="","",$A93&amp;"|"&amp;$C93)</f>
        <v/>
      </c>
      <c r="F93" s="29">
        <f>IF($A93="","",월별집계!$Z93)</f>
        <v/>
      </c>
      <c r="G93" s="29">
        <f>IF($A93="","",월별집계!$Y93)</f>
        <v/>
      </c>
      <c r="H93" s="60">
        <f>IF($A93="","",IF(G93&lt;=0,IF(F93&gt;0,1,0),F93/G93-1))</f>
        <v/>
      </c>
      <c r="I93" s="29">
        <f>IF($A93="","",월별집계!$N93)</f>
        <v/>
      </c>
      <c r="J93" s="60">
        <f>IF($A93="","",IF(I93&lt;=0,IF(F93&gt;0,1,0),F93/I93-1))</f>
        <v/>
      </c>
      <c r="K93" s="29">
        <f>IF($A93="","",SUMIFS(월별집계!$C93:$Z93,월별집계!$C$5:$Z$5,"&gt;="&amp;설정!$C$22,월별집계!$C$5:$Z$5,"&lt;="&amp;설정!$C$20))</f>
        <v/>
      </c>
      <c r="L93" s="29">
        <f>IF($A93="","",SUMIFS(월별집계!$C93:$Z93,월별집계!$C$5:$Z$5,"&gt;="&amp;(설정!$C$22-3),월별집계!$C$5:$Z$5,"&lt;="&amp;(설정!$C$20-3)))</f>
        <v/>
      </c>
      <c r="M93" s="60">
        <f>IF($A93="","",IF(L93&lt;=0,IF(K93&gt;0,1,0),K93/L93-1))</f>
        <v/>
      </c>
      <c r="N93" s="53">
        <f>IF($A93="","",MAX(F93-G93,F93-I93))</f>
        <v/>
      </c>
      <c r="O93" s="61">
        <f>IF($A93="","",IFERROR((월별집계!$Z93-AVERAGE(월별집계!N93:Y93))/STDEV(월별집계!N93:Y93),0))</f>
        <v/>
      </c>
      <c r="P93" s="29">
        <f>IF($A93="","",SUMIFS(예산판_원본!$O$5:$O$5000,예산판_원본!$L$5:$L$5000,$E93,예산판_원본!$M$5:$M$5000,설정!$C$6))</f>
        <v/>
      </c>
      <c r="Q93" s="29">
        <f>IF($A93="","",SUMIFS(월별집계!$C93:$Z93,월별집계!$C$5:$Z$5,"&gt;="&amp;(설정!$C$6*12+1),월별집계!$C$5:$Z$5,"&lt;="&amp;설정!$C$20))</f>
        <v/>
      </c>
      <c r="R93" s="53">
        <f>IF($A93="","",P93-Q93)</f>
        <v/>
      </c>
      <c r="S93" s="29">
        <f>IF($A93="","",AVERAGE(월별집계!X93:Z93)*(12-설정!$C$7))</f>
        <v/>
      </c>
      <c r="T93" s="29">
        <f>IF($A93="","",IFERROR(Q93/(SUMIFS(월별집계!$C93:$Z93,월별집계!$C$5:$Z$5,"&gt;="&amp;((설정!$C$6-1)*12+1),월별집계!$C$5:$Z$5,"&lt;="&amp;(설정!$C$20-12))/SUMIFS(월별집계!$C93:$Z93,월별집계!$C$5:$Z$5,"&gt;="&amp;((설정!$C$6-1)*12+1),월별집계!$C$5:$Z$5,"&lt;="&amp;((설정!$C$6-1)*12+12)))-Q93,S93))</f>
        <v/>
      </c>
      <c r="U93" s="53">
        <f>IF($A93="","",Q93+MAX(S93,T93))</f>
        <v/>
      </c>
      <c r="V93" s="49">
        <f>IF($A93="","",IF(P93=0,0,U93/P93))</f>
        <v/>
      </c>
      <c r="W93" s="28">
        <f>IF($A93="","",IF(AND(P93=0,Q93&gt;0),"무예산",IF(P93=0,"-",IF(V93&gt;설정!$C$12,"부족 예상",IF(V93&gt;설정!$C$11,"주의","여유")))))</f>
        <v/>
      </c>
      <c r="X93" s="53">
        <f>IF($A93="","",IF(P93=0,0,MAX(0,U93-P93)))</f>
        <v/>
      </c>
      <c r="Y93" s="28">
        <f>IF($A93="","",IF(OR(W93&lt;&gt;"부족 예상",설정!$C$7=12),"",IF(R93&lt;=0,"이미 초과",MIN(12,설정!$C$7+ROUNDUP(R93/(MAX(S93,T93)/(12-설정!$C$7)),0))&amp;"월")))</f>
        <v/>
      </c>
      <c r="Z93" s="22">
        <f>IF($A93="","",TRIM(IF(N(AC93)&gt;=설정!$C$14,"단건"&amp;TEXT(AC93,"0%")&amp;" ","")&amp;IF(AND(N93&gt;0,AD93&gt;0),IF(AD93/N93&gt;=설정!$C$16,"SA대체 ",""),"")&amp;IF(AE93&gt;0,"역분개"&amp;AE93&amp;"건 ","")&amp;IF(O93&gt;=설정!$C$13,"이상치 ","")&amp;IF(AND(I93=0,F93&gt;0),"신규지출 ","")))</f>
        <v/>
      </c>
      <c r="AA93" s="61">
        <f>IF($A93="","",ROUND((AF93+AG93+AH93+AI93)*IF(AND(F93&lt;설정!$C$10,N93&lt;설정!$C$10),0.3,1),1))</f>
        <v/>
      </c>
      <c r="AB93" s="50">
        <f>IF($A93="","",AA93+ROW()/1000000)</f>
        <v/>
      </c>
      <c r="AC93" s="56">
        <f>IF(OR($A93="",N93&lt;=0),"",SUMPRODUCT(MAX((전표_원본!$O$5:$O$100000=$E93)*(전표_원본!$M$5:$M$100000=설정!$C$20)*전표_원본!$P$5:$P$100000))/N93)</f>
        <v/>
      </c>
      <c r="AD93" s="29">
        <f>IF($A93="","",SUMIFS(전표_원본!$P$5:$P$100000,전표_원본!$O$5:$O$100000,$E93,전표_원본!$M$5:$M$100000,설정!$C$20,전표_원본!$E$5:$E$100000,"SA")-SUMIFS(전표_원본!$P$5:$P$100000,전표_원본!$O$5:$O$100000,$E93,전표_원본!$M$5:$M$100000,설정!$C$20-1,전표_원본!$E$5:$E$100000,"SA"))</f>
        <v/>
      </c>
      <c r="AE93" s="62">
        <f>IF($A93="","",COUNTIFS(전표_원본!$O$5:$O$100000,$E93,전표_원본!$M$5:$M$100000,설정!$C$20,전표_원본!$P$5:$P$100000,"&lt;0"))</f>
        <v/>
      </c>
      <c r="AF93" s="61">
        <f>IF($A93="","",MIN(MAX(0,N93)/(설정!$C$10*5),1)*30)</f>
        <v/>
      </c>
      <c r="AG93" s="63">
        <f>IF($A93="","",MIN(MAX(0,H93,J93),1)*20)</f>
        <v/>
      </c>
      <c r="AH93" s="63">
        <f>IF($A93="","",MIN(MAX(0,O93)/3,1)*25)</f>
        <v/>
      </c>
      <c r="AI93" s="63">
        <f>IF($A93="","",IF(OR(W93="부족 예상",W93="무예산"),25,IF(W93="주의",15,0)))</f>
        <v/>
      </c>
    </row>
    <row r="94">
      <c r="A94" s="12" t="n"/>
      <c r="B94" s="22">
        <f>IF($A94="","",IFERROR(INDEX(부서매핑!$D$5:$D$504,MATCH($A94,부서매핑!$C$5:$C$504,0)),"부서매핑 없음"))</f>
        <v/>
      </c>
      <c r="C94" s="59" t="n"/>
      <c r="D94" s="22">
        <f>IF($A94="","",IFERROR(INDEX(계정매핑!$B$5:$B$504,MATCH($C94&amp;"",계정매핑!$A$5:$A$504,0)),"계정매핑 없음"))</f>
        <v/>
      </c>
      <c r="E94" s="21">
        <f>IF($A94="","",$A94&amp;"|"&amp;$C94)</f>
        <v/>
      </c>
      <c r="F94" s="29">
        <f>IF($A94="","",월별집계!$Z94)</f>
        <v/>
      </c>
      <c r="G94" s="29">
        <f>IF($A94="","",월별집계!$Y94)</f>
        <v/>
      </c>
      <c r="H94" s="60">
        <f>IF($A94="","",IF(G94&lt;=0,IF(F94&gt;0,1,0),F94/G94-1))</f>
        <v/>
      </c>
      <c r="I94" s="29">
        <f>IF($A94="","",월별집계!$N94)</f>
        <v/>
      </c>
      <c r="J94" s="60">
        <f>IF($A94="","",IF(I94&lt;=0,IF(F94&gt;0,1,0),F94/I94-1))</f>
        <v/>
      </c>
      <c r="K94" s="29">
        <f>IF($A94="","",SUMIFS(월별집계!$C94:$Z94,월별집계!$C$5:$Z$5,"&gt;="&amp;설정!$C$22,월별집계!$C$5:$Z$5,"&lt;="&amp;설정!$C$20))</f>
        <v/>
      </c>
      <c r="L94" s="29">
        <f>IF($A94="","",SUMIFS(월별집계!$C94:$Z94,월별집계!$C$5:$Z$5,"&gt;="&amp;(설정!$C$22-3),월별집계!$C$5:$Z$5,"&lt;="&amp;(설정!$C$20-3)))</f>
        <v/>
      </c>
      <c r="M94" s="60">
        <f>IF($A94="","",IF(L94&lt;=0,IF(K94&gt;0,1,0),K94/L94-1))</f>
        <v/>
      </c>
      <c r="N94" s="53">
        <f>IF($A94="","",MAX(F94-G94,F94-I94))</f>
        <v/>
      </c>
      <c r="O94" s="61">
        <f>IF($A94="","",IFERROR((월별집계!$Z94-AVERAGE(월별집계!N94:Y94))/STDEV(월별집계!N94:Y94),0))</f>
        <v/>
      </c>
      <c r="P94" s="29">
        <f>IF($A94="","",SUMIFS(예산판_원본!$O$5:$O$5000,예산판_원본!$L$5:$L$5000,$E94,예산판_원본!$M$5:$M$5000,설정!$C$6))</f>
        <v/>
      </c>
      <c r="Q94" s="29">
        <f>IF($A94="","",SUMIFS(월별집계!$C94:$Z94,월별집계!$C$5:$Z$5,"&gt;="&amp;(설정!$C$6*12+1),월별집계!$C$5:$Z$5,"&lt;="&amp;설정!$C$20))</f>
        <v/>
      </c>
      <c r="R94" s="53">
        <f>IF($A94="","",P94-Q94)</f>
        <v/>
      </c>
      <c r="S94" s="29">
        <f>IF($A94="","",AVERAGE(월별집계!X94:Z94)*(12-설정!$C$7))</f>
        <v/>
      </c>
      <c r="T94" s="29">
        <f>IF($A94="","",IFERROR(Q94/(SUMIFS(월별집계!$C94:$Z94,월별집계!$C$5:$Z$5,"&gt;="&amp;((설정!$C$6-1)*12+1),월별집계!$C$5:$Z$5,"&lt;="&amp;(설정!$C$20-12))/SUMIFS(월별집계!$C94:$Z94,월별집계!$C$5:$Z$5,"&gt;="&amp;((설정!$C$6-1)*12+1),월별집계!$C$5:$Z$5,"&lt;="&amp;((설정!$C$6-1)*12+12)))-Q94,S94))</f>
        <v/>
      </c>
      <c r="U94" s="53">
        <f>IF($A94="","",Q94+MAX(S94,T94))</f>
        <v/>
      </c>
      <c r="V94" s="49">
        <f>IF($A94="","",IF(P94=0,0,U94/P94))</f>
        <v/>
      </c>
      <c r="W94" s="28">
        <f>IF($A94="","",IF(AND(P94=0,Q94&gt;0),"무예산",IF(P94=0,"-",IF(V94&gt;설정!$C$12,"부족 예상",IF(V94&gt;설정!$C$11,"주의","여유")))))</f>
        <v/>
      </c>
      <c r="X94" s="53">
        <f>IF($A94="","",IF(P94=0,0,MAX(0,U94-P94)))</f>
        <v/>
      </c>
      <c r="Y94" s="28">
        <f>IF($A94="","",IF(OR(W94&lt;&gt;"부족 예상",설정!$C$7=12),"",IF(R94&lt;=0,"이미 초과",MIN(12,설정!$C$7+ROUNDUP(R94/(MAX(S94,T94)/(12-설정!$C$7)),0))&amp;"월")))</f>
        <v/>
      </c>
      <c r="Z94" s="22">
        <f>IF($A94="","",TRIM(IF(N(AC94)&gt;=설정!$C$14,"단건"&amp;TEXT(AC94,"0%")&amp;" ","")&amp;IF(AND(N94&gt;0,AD94&gt;0),IF(AD94/N94&gt;=설정!$C$16,"SA대체 ",""),"")&amp;IF(AE94&gt;0,"역분개"&amp;AE94&amp;"건 ","")&amp;IF(O94&gt;=설정!$C$13,"이상치 ","")&amp;IF(AND(I94=0,F94&gt;0),"신규지출 ","")))</f>
        <v/>
      </c>
      <c r="AA94" s="61">
        <f>IF($A94="","",ROUND((AF94+AG94+AH94+AI94)*IF(AND(F94&lt;설정!$C$10,N94&lt;설정!$C$10),0.3,1),1))</f>
        <v/>
      </c>
      <c r="AB94" s="50">
        <f>IF($A94="","",AA94+ROW()/1000000)</f>
        <v/>
      </c>
      <c r="AC94" s="56">
        <f>IF(OR($A94="",N94&lt;=0),"",SUMPRODUCT(MAX((전표_원본!$O$5:$O$100000=$E94)*(전표_원본!$M$5:$M$100000=설정!$C$20)*전표_원본!$P$5:$P$100000))/N94)</f>
        <v/>
      </c>
      <c r="AD94" s="29">
        <f>IF($A94="","",SUMIFS(전표_원본!$P$5:$P$100000,전표_원본!$O$5:$O$100000,$E94,전표_원본!$M$5:$M$100000,설정!$C$20,전표_원본!$E$5:$E$100000,"SA")-SUMIFS(전표_원본!$P$5:$P$100000,전표_원본!$O$5:$O$100000,$E94,전표_원본!$M$5:$M$100000,설정!$C$20-1,전표_원본!$E$5:$E$100000,"SA"))</f>
        <v/>
      </c>
      <c r="AE94" s="62">
        <f>IF($A94="","",COUNTIFS(전표_원본!$O$5:$O$100000,$E94,전표_원본!$M$5:$M$100000,설정!$C$20,전표_원본!$P$5:$P$100000,"&lt;0"))</f>
        <v/>
      </c>
      <c r="AF94" s="61">
        <f>IF($A94="","",MIN(MAX(0,N94)/(설정!$C$10*5),1)*30)</f>
        <v/>
      </c>
      <c r="AG94" s="63">
        <f>IF($A94="","",MIN(MAX(0,H94,J94),1)*20)</f>
        <v/>
      </c>
      <c r="AH94" s="63">
        <f>IF($A94="","",MIN(MAX(0,O94)/3,1)*25)</f>
        <v/>
      </c>
      <c r="AI94" s="63">
        <f>IF($A94="","",IF(OR(W94="부족 예상",W94="무예산"),25,IF(W94="주의",15,0)))</f>
        <v/>
      </c>
    </row>
    <row r="95">
      <c r="A95" s="12" t="n"/>
      <c r="B95" s="22">
        <f>IF($A95="","",IFERROR(INDEX(부서매핑!$D$5:$D$504,MATCH($A95,부서매핑!$C$5:$C$504,0)),"부서매핑 없음"))</f>
        <v/>
      </c>
      <c r="C95" s="59" t="n"/>
      <c r="D95" s="22">
        <f>IF($A95="","",IFERROR(INDEX(계정매핑!$B$5:$B$504,MATCH($C95&amp;"",계정매핑!$A$5:$A$504,0)),"계정매핑 없음"))</f>
        <v/>
      </c>
      <c r="E95" s="21">
        <f>IF($A95="","",$A95&amp;"|"&amp;$C95)</f>
        <v/>
      </c>
      <c r="F95" s="29">
        <f>IF($A95="","",월별집계!$Z95)</f>
        <v/>
      </c>
      <c r="G95" s="29">
        <f>IF($A95="","",월별집계!$Y95)</f>
        <v/>
      </c>
      <c r="H95" s="60">
        <f>IF($A95="","",IF(G95&lt;=0,IF(F95&gt;0,1,0),F95/G95-1))</f>
        <v/>
      </c>
      <c r="I95" s="29">
        <f>IF($A95="","",월별집계!$N95)</f>
        <v/>
      </c>
      <c r="J95" s="60">
        <f>IF($A95="","",IF(I95&lt;=0,IF(F95&gt;0,1,0),F95/I95-1))</f>
        <v/>
      </c>
      <c r="K95" s="29">
        <f>IF($A95="","",SUMIFS(월별집계!$C95:$Z95,월별집계!$C$5:$Z$5,"&gt;="&amp;설정!$C$22,월별집계!$C$5:$Z$5,"&lt;="&amp;설정!$C$20))</f>
        <v/>
      </c>
      <c r="L95" s="29">
        <f>IF($A95="","",SUMIFS(월별집계!$C95:$Z95,월별집계!$C$5:$Z$5,"&gt;="&amp;(설정!$C$22-3),월별집계!$C$5:$Z$5,"&lt;="&amp;(설정!$C$20-3)))</f>
        <v/>
      </c>
      <c r="M95" s="60">
        <f>IF($A95="","",IF(L95&lt;=0,IF(K95&gt;0,1,0),K95/L95-1))</f>
        <v/>
      </c>
      <c r="N95" s="53">
        <f>IF($A95="","",MAX(F95-G95,F95-I95))</f>
        <v/>
      </c>
      <c r="O95" s="61">
        <f>IF($A95="","",IFERROR((월별집계!$Z95-AVERAGE(월별집계!N95:Y95))/STDEV(월별집계!N95:Y95),0))</f>
        <v/>
      </c>
      <c r="P95" s="29">
        <f>IF($A95="","",SUMIFS(예산판_원본!$O$5:$O$5000,예산판_원본!$L$5:$L$5000,$E95,예산판_원본!$M$5:$M$5000,설정!$C$6))</f>
        <v/>
      </c>
      <c r="Q95" s="29">
        <f>IF($A95="","",SUMIFS(월별집계!$C95:$Z95,월별집계!$C$5:$Z$5,"&gt;="&amp;(설정!$C$6*12+1),월별집계!$C$5:$Z$5,"&lt;="&amp;설정!$C$20))</f>
        <v/>
      </c>
      <c r="R95" s="53">
        <f>IF($A95="","",P95-Q95)</f>
        <v/>
      </c>
      <c r="S95" s="29">
        <f>IF($A95="","",AVERAGE(월별집계!X95:Z95)*(12-설정!$C$7))</f>
        <v/>
      </c>
      <c r="T95" s="29">
        <f>IF($A95="","",IFERROR(Q95/(SUMIFS(월별집계!$C95:$Z95,월별집계!$C$5:$Z$5,"&gt;="&amp;((설정!$C$6-1)*12+1),월별집계!$C$5:$Z$5,"&lt;="&amp;(설정!$C$20-12))/SUMIFS(월별집계!$C95:$Z95,월별집계!$C$5:$Z$5,"&gt;="&amp;((설정!$C$6-1)*12+1),월별집계!$C$5:$Z$5,"&lt;="&amp;((설정!$C$6-1)*12+12)))-Q95,S95))</f>
        <v/>
      </c>
      <c r="U95" s="53">
        <f>IF($A95="","",Q95+MAX(S95,T95))</f>
        <v/>
      </c>
      <c r="V95" s="49">
        <f>IF($A95="","",IF(P95=0,0,U95/P95))</f>
        <v/>
      </c>
      <c r="W95" s="28">
        <f>IF($A95="","",IF(AND(P95=0,Q95&gt;0),"무예산",IF(P95=0,"-",IF(V95&gt;설정!$C$12,"부족 예상",IF(V95&gt;설정!$C$11,"주의","여유")))))</f>
        <v/>
      </c>
      <c r="X95" s="53">
        <f>IF($A95="","",IF(P95=0,0,MAX(0,U95-P95)))</f>
        <v/>
      </c>
      <c r="Y95" s="28">
        <f>IF($A95="","",IF(OR(W95&lt;&gt;"부족 예상",설정!$C$7=12),"",IF(R95&lt;=0,"이미 초과",MIN(12,설정!$C$7+ROUNDUP(R95/(MAX(S95,T95)/(12-설정!$C$7)),0))&amp;"월")))</f>
        <v/>
      </c>
      <c r="Z95" s="22">
        <f>IF($A95="","",TRIM(IF(N(AC95)&gt;=설정!$C$14,"단건"&amp;TEXT(AC95,"0%")&amp;" ","")&amp;IF(AND(N95&gt;0,AD95&gt;0),IF(AD95/N95&gt;=설정!$C$16,"SA대체 ",""),"")&amp;IF(AE95&gt;0,"역분개"&amp;AE95&amp;"건 ","")&amp;IF(O95&gt;=설정!$C$13,"이상치 ","")&amp;IF(AND(I95=0,F95&gt;0),"신규지출 ","")))</f>
        <v/>
      </c>
      <c r="AA95" s="61">
        <f>IF($A95="","",ROUND((AF95+AG95+AH95+AI95)*IF(AND(F95&lt;설정!$C$10,N95&lt;설정!$C$10),0.3,1),1))</f>
        <v/>
      </c>
      <c r="AB95" s="50">
        <f>IF($A95="","",AA95+ROW()/1000000)</f>
        <v/>
      </c>
      <c r="AC95" s="56">
        <f>IF(OR($A95="",N95&lt;=0),"",SUMPRODUCT(MAX((전표_원본!$O$5:$O$100000=$E95)*(전표_원본!$M$5:$M$100000=설정!$C$20)*전표_원본!$P$5:$P$100000))/N95)</f>
        <v/>
      </c>
      <c r="AD95" s="29">
        <f>IF($A95="","",SUMIFS(전표_원본!$P$5:$P$100000,전표_원본!$O$5:$O$100000,$E95,전표_원본!$M$5:$M$100000,설정!$C$20,전표_원본!$E$5:$E$100000,"SA")-SUMIFS(전표_원본!$P$5:$P$100000,전표_원본!$O$5:$O$100000,$E95,전표_원본!$M$5:$M$100000,설정!$C$20-1,전표_원본!$E$5:$E$100000,"SA"))</f>
        <v/>
      </c>
      <c r="AE95" s="62">
        <f>IF($A95="","",COUNTIFS(전표_원본!$O$5:$O$100000,$E95,전표_원본!$M$5:$M$100000,설정!$C$20,전표_원본!$P$5:$P$100000,"&lt;0"))</f>
        <v/>
      </c>
      <c r="AF95" s="61">
        <f>IF($A95="","",MIN(MAX(0,N95)/(설정!$C$10*5),1)*30)</f>
        <v/>
      </c>
      <c r="AG95" s="63">
        <f>IF($A95="","",MIN(MAX(0,H95,J95),1)*20)</f>
        <v/>
      </c>
      <c r="AH95" s="63">
        <f>IF($A95="","",MIN(MAX(0,O95)/3,1)*25)</f>
        <v/>
      </c>
      <c r="AI95" s="63">
        <f>IF($A95="","",IF(OR(W95="부족 예상",W95="무예산"),25,IF(W95="주의",15,0)))</f>
        <v/>
      </c>
    </row>
    <row r="96">
      <c r="A96" s="12" t="n"/>
      <c r="B96" s="22">
        <f>IF($A96="","",IFERROR(INDEX(부서매핑!$D$5:$D$504,MATCH($A96,부서매핑!$C$5:$C$504,0)),"부서매핑 없음"))</f>
        <v/>
      </c>
      <c r="C96" s="59" t="n"/>
      <c r="D96" s="22">
        <f>IF($A96="","",IFERROR(INDEX(계정매핑!$B$5:$B$504,MATCH($C96&amp;"",계정매핑!$A$5:$A$504,0)),"계정매핑 없음"))</f>
        <v/>
      </c>
      <c r="E96" s="21">
        <f>IF($A96="","",$A96&amp;"|"&amp;$C96)</f>
        <v/>
      </c>
      <c r="F96" s="29">
        <f>IF($A96="","",월별집계!$Z96)</f>
        <v/>
      </c>
      <c r="G96" s="29">
        <f>IF($A96="","",월별집계!$Y96)</f>
        <v/>
      </c>
      <c r="H96" s="60">
        <f>IF($A96="","",IF(G96&lt;=0,IF(F96&gt;0,1,0),F96/G96-1))</f>
        <v/>
      </c>
      <c r="I96" s="29">
        <f>IF($A96="","",월별집계!$N96)</f>
        <v/>
      </c>
      <c r="J96" s="60">
        <f>IF($A96="","",IF(I96&lt;=0,IF(F96&gt;0,1,0),F96/I96-1))</f>
        <v/>
      </c>
      <c r="K96" s="29">
        <f>IF($A96="","",SUMIFS(월별집계!$C96:$Z96,월별집계!$C$5:$Z$5,"&gt;="&amp;설정!$C$22,월별집계!$C$5:$Z$5,"&lt;="&amp;설정!$C$20))</f>
        <v/>
      </c>
      <c r="L96" s="29">
        <f>IF($A96="","",SUMIFS(월별집계!$C96:$Z96,월별집계!$C$5:$Z$5,"&gt;="&amp;(설정!$C$22-3),월별집계!$C$5:$Z$5,"&lt;="&amp;(설정!$C$20-3)))</f>
        <v/>
      </c>
      <c r="M96" s="60">
        <f>IF($A96="","",IF(L96&lt;=0,IF(K96&gt;0,1,0),K96/L96-1))</f>
        <v/>
      </c>
      <c r="N96" s="53">
        <f>IF($A96="","",MAX(F96-G96,F96-I96))</f>
        <v/>
      </c>
      <c r="O96" s="61">
        <f>IF($A96="","",IFERROR((월별집계!$Z96-AVERAGE(월별집계!N96:Y96))/STDEV(월별집계!N96:Y96),0))</f>
        <v/>
      </c>
      <c r="P96" s="29">
        <f>IF($A96="","",SUMIFS(예산판_원본!$O$5:$O$5000,예산판_원본!$L$5:$L$5000,$E96,예산판_원본!$M$5:$M$5000,설정!$C$6))</f>
        <v/>
      </c>
      <c r="Q96" s="29">
        <f>IF($A96="","",SUMIFS(월별집계!$C96:$Z96,월별집계!$C$5:$Z$5,"&gt;="&amp;(설정!$C$6*12+1),월별집계!$C$5:$Z$5,"&lt;="&amp;설정!$C$20))</f>
        <v/>
      </c>
      <c r="R96" s="53">
        <f>IF($A96="","",P96-Q96)</f>
        <v/>
      </c>
      <c r="S96" s="29">
        <f>IF($A96="","",AVERAGE(월별집계!X96:Z96)*(12-설정!$C$7))</f>
        <v/>
      </c>
      <c r="T96" s="29">
        <f>IF($A96="","",IFERROR(Q96/(SUMIFS(월별집계!$C96:$Z96,월별집계!$C$5:$Z$5,"&gt;="&amp;((설정!$C$6-1)*12+1),월별집계!$C$5:$Z$5,"&lt;="&amp;(설정!$C$20-12))/SUMIFS(월별집계!$C96:$Z96,월별집계!$C$5:$Z$5,"&gt;="&amp;((설정!$C$6-1)*12+1),월별집계!$C$5:$Z$5,"&lt;="&amp;((설정!$C$6-1)*12+12)))-Q96,S96))</f>
        <v/>
      </c>
      <c r="U96" s="53">
        <f>IF($A96="","",Q96+MAX(S96,T96))</f>
        <v/>
      </c>
      <c r="V96" s="49">
        <f>IF($A96="","",IF(P96=0,0,U96/P96))</f>
        <v/>
      </c>
      <c r="W96" s="28">
        <f>IF($A96="","",IF(AND(P96=0,Q96&gt;0),"무예산",IF(P96=0,"-",IF(V96&gt;설정!$C$12,"부족 예상",IF(V96&gt;설정!$C$11,"주의","여유")))))</f>
        <v/>
      </c>
      <c r="X96" s="53">
        <f>IF($A96="","",IF(P96=0,0,MAX(0,U96-P96)))</f>
        <v/>
      </c>
      <c r="Y96" s="28">
        <f>IF($A96="","",IF(OR(W96&lt;&gt;"부족 예상",설정!$C$7=12),"",IF(R96&lt;=0,"이미 초과",MIN(12,설정!$C$7+ROUNDUP(R96/(MAX(S96,T96)/(12-설정!$C$7)),0))&amp;"월")))</f>
        <v/>
      </c>
      <c r="Z96" s="22">
        <f>IF($A96="","",TRIM(IF(N(AC96)&gt;=설정!$C$14,"단건"&amp;TEXT(AC96,"0%")&amp;" ","")&amp;IF(AND(N96&gt;0,AD96&gt;0),IF(AD96/N96&gt;=설정!$C$16,"SA대체 ",""),"")&amp;IF(AE96&gt;0,"역분개"&amp;AE96&amp;"건 ","")&amp;IF(O96&gt;=설정!$C$13,"이상치 ","")&amp;IF(AND(I96=0,F96&gt;0),"신규지출 ","")))</f>
        <v/>
      </c>
      <c r="AA96" s="61">
        <f>IF($A96="","",ROUND((AF96+AG96+AH96+AI96)*IF(AND(F96&lt;설정!$C$10,N96&lt;설정!$C$10),0.3,1),1))</f>
        <v/>
      </c>
      <c r="AB96" s="50">
        <f>IF($A96="","",AA96+ROW()/1000000)</f>
        <v/>
      </c>
      <c r="AC96" s="56">
        <f>IF(OR($A96="",N96&lt;=0),"",SUMPRODUCT(MAX((전표_원본!$O$5:$O$100000=$E96)*(전표_원본!$M$5:$M$100000=설정!$C$20)*전표_원본!$P$5:$P$100000))/N96)</f>
        <v/>
      </c>
      <c r="AD96" s="29">
        <f>IF($A96="","",SUMIFS(전표_원본!$P$5:$P$100000,전표_원본!$O$5:$O$100000,$E96,전표_원본!$M$5:$M$100000,설정!$C$20,전표_원본!$E$5:$E$100000,"SA")-SUMIFS(전표_원본!$P$5:$P$100000,전표_원본!$O$5:$O$100000,$E96,전표_원본!$M$5:$M$100000,설정!$C$20-1,전표_원본!$E$5:$E$100000,"SA"))</f>
        <v/>
      </c>
      <c r="AE96" s="62">
        <f>IF($A96="","",COUNTIFS(전표_원본!$O$5:$O$100000,$E96,전표_원본!$M$5:$M$100000,설정!$C$20,전표_원본!$P$5:$P$100000,"&lt;0"))</f>
        <v/>
      </c>
      <c r="AF96" s="61">
        <f>IF($A96="","",MIN(MAX(0,N96)/(설정!$C$10*5),1)*30)</f>
        <v/>
      </c>
      <c r="AG96" s="63">
        <f>IF($A96="","",MIN(MAX(0,H96,J96),1)*20)</f>
        <v/>
      </c>
      <c r="AH96" s="63">
        <f>IF($A96="","",MIN(MAX(0,O96)/3,1)*25)</f>
        <v/>
      </c>
      <c r="AI96" s="63">
        <f>IF($A96="","",IF(OR(W96="부족 예상",W96="무예산"),25,IF(W96="주의",15,0)))</f>
        <v/>
      </c>
    </row>
    <row r="97">
      <c r="A97" s="12" t="n"/>
      <c r="B97" s="22">
        <f>IF($A97="","",IFERROR(INDEX(부서매핑!$D$5:$D$504,MATCH($A97,부서매핑!$C$5:$C$504,0)),"부서매핑 없음"))</f>
        <v/>
      </c>
      <c r="C97" s="59" t="n"/>
      <c r="D97" s="22">
        <f>IF($A97="","",IFERROR(INDEX(계정매핑!$B$5:$B$504,MATCH($C97&amp;"",계정매핑!$A$5:$A$504,0)),"계정매핑 없음"))</f>
        <v/>
      </c>
      <c r="E97" s="21">
        <f>IF($A97="","",$A97&amp;"|"&amp;$C97)</f>
        <v/>
      </c>
      <c r="F97" s="29">
        <f>IF($A97="","",월별집계!$Z97)</f>
        <v/>
      </c>
      <c r="G97" s="29">
        <f>IF($A97="","",월별집계!$Y97)</f>
        <v/>
      </c>
      <c r="H97" s="60">
        <f>IF($A97="","",IF(G97&lt;=0,IF(F97&gt;0,1,0),F97/G97-1))</f>
        <v/>
      </c>
      <c r="I97" s="29">
        <f>IF($A97="","",월별집계!$N97)</f>
        <v/>
      </c>
      <c r="J97" s="60">
        <f>IF($A97="","",IF(I97&lt;=0,IF(F97&gt;0,1,0),F97/I97-1))</f>
        <v/>
      </c>
      <c r="K97" s="29">
        <f>IF($A97="","",SUMIFS(월별집계!$C97:$Z97,월별집계!$C$5:$Z$5,"&gt;="&amp;설정!$C$22,월별집계!$C$5:$Z$5,"&lt;="&amp;설정!$C$20))</f>
        <v/>
      </c>
      <c r="L97" s="29">
        <f>IF($A97="","",SUMIFS(월별집계!$C97:$Z97,월별집계!$C$5:$Z$5,"&gt;="&amp;(설정!$C$22-3),월별집계!$C$5:$Z$5,"&lt;="&amp;(설정!$C$20-3)))</f>
        <v/>
      </c>
      <c r="M97" s="60">
        <f>IF($A97="","",IF(L97&lt;=0,IF(K97&gt;0,1,0),K97/L97-1))</f>
        <v/>
      </c>
      <c r="N97" s="53">
        <f>IF($A97="","",MAX(F97-G97,F97-I97))</f>
        <v/>
      </c>
      <c r="O97" s="61">
        <f>IF($A97="","",IFERROR((월별집계!$Z97-AVERAGE(월별집계!N97:Y97))/STDEV(월별집계!N97:Y97),0))</f>
        <v/>
      </c>
      <c r="P97" s="29">
        <f>IF($A97="","",SUMIFS(예산판_원본!$O$5:$O$5000,예산판_원본!$L$5:$L$5000,$E97,예산판_원본!$M$5:$M$5000,설정!$C$6))</f>
        <v/>
      </c>
      <c r="Q97" s="29">
        <f>IF($A97="","",SUMIFS(월별집계!$C97:$Z97,월별집계!$C$5:$Z$5,"&gt;="&amp;(설정!$C$6*12+1),월별집계!$C$5:$Z$5,"&lt;="&amp;설정!$C$20))</f>
        <v/>
      </c>
      <c r="R97" s="53">
        <f>IF($A97="","",P97-Q97)</f>
        <v/>
      </c>
      <c r="S97" s="29">
        <f>IF($A97="","",AVERAGE(월별집계!X97:Z97)*(12-설정!$C$7))</f>
        <v/>
      </c>
      <c r="T97" s="29">
        <f>IF($A97="","",IFERROR(Q97/(SUMIFS(월별집계!$C97:$Z97,월별집계!$C$5:$Z$5,"&gt;="&amp;((설정!$C$6-1)*12+1),월별집계!$C$5:$Z$5,"&lt;="&amp;(설정!$C$20-12))/SUMIFS(월별집계!$C97:$Z97,월별집계!$C$5:$Z$5,"&gt;="&amp;((설정!$C$6-1)*12+1),월별집계!$C$5:$Z$5,"&lt;="&amp;((설정!$C$6-1)*12+12)))-Q97,S97))</f>
        <v/>
      </c>
      <c r="U97" s="53">
        <f>IF($A97="","",Q97+MAX(S97,T97))</f>
        <v/>
      </c>
      <c r="V97" s="49">
        <f>IF($A97="","",IF(P97=0,0,U97/P97))</f>
        <v/>
      </c>
      <c r="W97" s="28">
        <f>IF($A97="","",IF(AND(P97=0,Q97&gt;0),"무예산",IF(P97=0,"-",IF(V97&gt;설정!$C$12,"부족 예상",IF(V97&gt;설정!$C$11,"주의","여유")))))</f>
        <v/>
      </c>
      <c r="X97" s="53">
        <f>IF($A97="","",IF(P97=0,0,MAX(0,U97-P97)))</f>
        <v/>
      </c>
      <c r="Y97" s="28">
        <f>IF($A97="","",IF(OR(W97&lt;&gt;"부족 예상",설정!$C$7=12),"",IF(R97&lt;=0,"이미 초과",MIN(12,설정!$C$7+ROUNDUP(R97/(MAX(S97,T97)/(12-설정!$C$7)),0))&amp;"월")))</f>
        <v/>
      </c>
      <c r="Z97" s="22">
        <f>IF($A97="","",TRIM(IF(N(AC97)&gt;=설정!$C$14,"단건"&amp;TEXT(AC97,"0%")&amp;" ","")&amp;IF(AND(N97&gt;0,AD97&gt;0),IF(AD97/N97&gt;=설정!$C$16,"SA대체 ",""),"")&amp;IF(AE97&gt;0,"역분개"&amp;AE97&amp;"건 ","")&amp;IF(O97&gt;=설정!$C$13,"이상치 ","")&amp;IF(AND(I97=0,F97&gt;0),"신규지출 ","")))</f>
        <v/>
      </c>
      <c r="AA97" s="61">
        <f>IF($A97="","",ROUND((AF97+AG97+AH97+AI97)*IF(AND(F97&lt;설정!$C$10,N97&lt;설정!$C$10),0.3,1),1))</f>
        <v/>
      </c>
      <c r="AB97" s="50">
        <f>IF($A97="","",AA97+ROW()/1000000)</f>
        <v/>
      </c>
      <c r="AC97" s="56">
        <f>IF(OR($A97="",N97&lt;=0),"",SUMPRODUCT(MAX((전표_원본!$O$5:$O$100000=$E97)*(전표_원본!$M$5:$M$100000=설정!$C$20)*전표_원본!$P$5:$P$100000))/N97)</f>
        <v/>
      </c>
      <c r="AD97" s="29">
        <f>IF($A97="","",SUMIFS(전표_원본!$P$5:$P$100000,전표_원본!$O$5:$O$100000,$E97,전표_원본!$M$5:$M$100000,설정!$C$20,전표_원본!$E$5:$E$100000,"SA")-SUMIFS(전표_원본!$P$5:$P$100000,전표_원본!$O$5:$O$100000,$E97,전표_원본!$M$5:$M$100000,설정!$C$20-1,전표_원본!$E$5:$E$100000,"SA"))</f>
        <v/>
      </c>
      <c r="AE97" s="62">
        <f>IF($A97="","",COUNTIFS(전표_원본!$O$5:$O$100000,$E97,전표_원본!$M$5:$M$100000,설정!$C$20,전표_원본!$P$5:$P$100000,"&lt;0"))</f>
        <v/>
      </c>
      <c r="AF97" s="61">
        <f>IF($A97="","",MIN(MAX(0,N97)/(설정!$C$10*5),1)*30)</f>
        <v/>
      </c>
      <c r="AG97" s="63">
        <f>IF($A97="","",MIN(MAX(0,H97,J97),1)*20)</f>
        <v/>
      </c>
      <c r="AH97" s="63">
        <f>IF($A97="","",MIN(MAX(0,O97)/3,1)*25)</f>
        <v/>
      </c>
      <c r="AI97" s="63">
        <f>IF($A97="","",IF(OR(W97="부족 예상",W97="무예산"),25,IF(W97="주의",15,0)))</f>
        <v/>
      </c>
    </row>
    <row r="98">
      <c r="A98" s="12" t="n"/>
      <c r="B98" s="22">
        <f>IF($A98="","",IFERROR(INDEX(부서매핑!$D$5:$D$504,MATCH($A98,부서매핑!$C$5:$C$504,0)),"부서매핑 없음"))</f>
        <v/>
      </c>
      <c r="C98" s="59" t="n"/>
      <c r="D98" s="22">
        <f>IF($A98="","",IFERROR(INDEX(계정매핑!$B$5:$B$504,MATCH($C98&amp;"",계정매핑!$A$5:$A$504,0)),"계정매핑 없음"))</f>
        <v/>
      </c>
      <c r="E98" s="21">
        <f>IF($A98="","",$A98&amp;"|"&amp;$C98)</f>
        <v/>
      </c>
      <c r="F98" s="29">
        <f>IF($A98="","",월별집계!$Z98)</f>
        <v/>
      </c>
      <c r="G98" s="29">
        <f>IF($A98="","",월별집계!$Y98)</f>
        <v/>
      </c>
      <c r="H98" s="60">
        <f>IF($A98="","",IF(G98&lt;=0,IF(F98&gt;0,1,0),F98/G98-1))</f>
        <v/>
      </c>
      <c r="I98" s="29">
        <f>IF($A98="","",월별집계!$N98)</f>
        <v/>
      </c>
      <c r="J98" s="60">
        <f>IF($A98="","",IF(I98&lt;=0,IF(F98&gt;0,1,0),F98/I98-1))</f>
        <v/>
      </c>
      <c r="K98" s="29">
        <f>IF($A98="","",SUMIFS(월별집계!$C98:$Z98,월별집계!$C$5:$Z$5,"&gt;="&amp;설정!$C$22,월별집계!$C$5:$Z$5,"&lt;="&amp;설정!$C$20))</f>
        <v/>
      </c>
      <c r="L98" s="29">
        <f>IF($A98="","",SUMIFS(월별집계!$C98:$Z98,월별집계!$C$5:$Z$5,"&gt;="&amp;(설정!$C$22-3),월별집계!$C$5:$Z$5,"&lt;="&amp;(설정!$C$20-3)))</f>
        <v/>
      </c>
      <c r="M98" s="60">
        <f>IF($A98="","",IF(L98&lt;=0,IF(K98&gt;0,1,0),K98/L98-1))</f>
        <v/>
      </c>
      <c r="N98" s="53">
        <f>IF($A98="","",MAX(F98-G98,F98-I98))</f>
        <v/>
      </c>
      <c r="O98" s="61">
        <f>IF($A98="","",IFERROR((월별집계!$Z98-AVERAGE(월별집계!N98:Y98))/STDEV(월별집계!N98:Y98),0))</f>
        <v/>
      </c>
      <c r="P98" s="29">
        <f>IF($A98="","",SUMIFS(예산판_원본!$O$5:$O$5000,예산판_원본!$L$5:$L$5000,$E98,예산판_원본!$M$5:$M$5000,설정!$C$6))</f>
        <v/>
      </c>
      <c r="Q98" s="29">
        <f>IF($A98="","",SUMIFS(월별집계!$C98:$Z98,월별집계!$C$5:$Z$5,"&gt;="&amp;(설정!$C$6*12+1),월별집계!$C$5:$Z$5,"&lt;="&amp;설정!$C$20))</f>
        <v/>
      </c>
      <c r="R98" s="53">
        <f>IF($A98="","",P98-Q98)</f>
        <v/>
      </c>
      <c r="S98" s="29">
        <f>IF($A98="","",AVERAGE(월별집계!X98:Z98)*(12-설정!$C$7))</f>
        <v/>
      </c>
      <c r="T98" s="29">
        <f>IF($A98="","",IFERROR(Q98/(SUMIFS(월별집계!$C98:$Z98,월별집계!$C$5:$Z$5,"&gt;="&amp;((설정!$C$6-1)*12+1),월별집계!$C$5:$Z$5,"&lt;="&amp;(설정!$C$20-12))/SUMIFS(월별집계!$C98:$Z98,월별집계!$C$5:$Z$5,"&gt;="&amp;((설정!$C$6-1)*12+1),월별집계!$C$5:$Z$5,"&lt;="&amp;((설정!$C$6-1)*12+12)))-Q98,S98))</f>
        <v/>
      </c>
      <c r="U98" s="53">
        <f>IF($A98="","",Q98+MAX(S98,T98))</f>
        <v/>
      </c>
      <c r="V98" s="49">
        <f>IF($A98="","",IF(P98=0,0,U98/P98))</f>
        <v/>
      </c>
      <c r="W98" s="28">
        <f>IF($A98="","",IF(AND(P98=0,Q98&gt;0),"무예산",IF(P98=0,"-",IF(V98&gt;설정!$C$12,"부족 예상",IF(V98&gt;설정!$C$11,"주의","여유")))))</f>
        <v/>
      </c>
      <c r="X98" s="53">
        <f>IF($A98="","",IF(P98=0,0,MAX(0,U98-P98)))</f>
        <v/>
      </c>
      <c r="Y98" s="28">
        <f>IF($A98="","",IF(OR(W98&lt;&gt;"부족 예상",설정!$C$7=12),"",IF(R98&lt;=0,"이미 초과",MIN(12,설정!$C$7+ROUNDUP(R98/(MAX(S98,T98)/(12-설정!$C$7)),0))&amp;"월")))</f>
        <v/>
      </c>
      <c r="Z98" s="22">
        <f>IF($A98="","",TRIM(IF(N(AC98)&gt;=설정!$C$14,"단건"&amp;TEXT(AC98,"0%")&amp;" ","")&amp;IF(AND(N98&gt;0,AD98&gt;0),IF(AD98/N98&gt;=설정!$C$16,"SA대체 ",""),"")&amp;IF(AE98&gt;0,"역분개"&amp;AE98&amp;"건 ","")&amp;IF(O98&gt;=설정!$C$13,"이상치 ","")&amp;IF(AND(I98=0,F98&gt;0),"신규지출 ","")))</f>
        <v/>
      </c>
      <c r="AA98" s="61">
        <f>IF($A98="","",ROUND((AF98+AG98+AH98+AI98)*IF(AND(F98&lt;설정!$C$10,N98&lt;설정!$C$10),0.3,1),1))</f>
        <v/>
      </c>
      <c r="AB98" s="50">
        <f>IF($A98="","",AA98+ROW()/1000000)</f>
        <v/>
      </c>
      <c r="AC98" s="56">
        <f>IF(OR($A98="",N98&lt;=0),"",SUMPRODUCT(MAX((전표_원본!$O$5:$O$100000=$E98)*(전표_원본!$M$5:$M$100000=설정!$C$20)*전표_원본!$P$5:$P$100000))/N98)</f>
        <v/>
      </c>
      <c r="AD98" s="29">
        <f>IF($A98="","",SUMIFS(전표_원본!$P$5:$P$100000,전표_원본!$O$5:$O$100000,$E98,전표_원본!$M$5:$M$100000,설정!$C$20,전표_원본!$E$5:$E$100000,"SA")-SUMIFS(전표_원본!$P$5:$P$100000,전표_원본!$O$5:$O$100000,$E98,전표_원본!$M$5:$M$100000,설정!$C$20-1,전표_원본!$E$5:$E$100000,"SA"))</f>
        <v/>
      </c>
      <c r="AE98" s="62">
        <f>IF($A98="","",COUNTIFS(전표_원본!$O$5:$O$100000,$E98,전표_원본!$M$5:$M$100000,설정!$C$20,전표_원본!$P$5:$P$100000,"&lt;0"))</f>
        <v/>
      </c>
      <c r="AF98" s="61">
        <f>IF($A98="","",MIN(MAX(0,N98)/(설정!$C$10*5),1)*30)</f>
        <v/>
      </c>
      <c r="AG98" s="63">
        <f>IF($A98="","",MIN(MAX(0,H98,J98),1)*20)</f>
        <v/>
      </c>
      <c r="AH98" s="63">
        <f>IF($A98="","",MIN(MAX(0,O98)/3,1)*25)</f>
        <v/>
      </c>
      <c r="AI98" s="63">
        <f>IF($A98="","",IF(OR(W98="부족 예상",W98="무예산"),25,IF(W98="주의",15,0)))</f>
        <v/>
      </c>
    </row>
    <row r="99">
      <c r="A99" s="12" t="n"/>
      <c r="B99" s="22">
        <f>IF($A99="","",IFERROR(INDEX(부서매핑!$D$5:$D$504,MATCH($A99,부서매핑!$C$5:$C$504,0)),"부서매핑 없음"))</f>
        <v/>
      </c>
      <c r="C99" s="59" t="n"/>
      <c r="D99" s="22">
        <f>IF($A99="","",IFERROR(INDEX(계정매핑!$B$5:$B$504,MATCH($C99&amp;"",계정매핑!$A$5:$A$504,0)),"계정매핑 없음"))</f>
        <v/>
      </c>
      <c r="E99" s="21">
        <f>IF($A99="","",$A99&amp;"|"&amp;$C99)</f>
        <v/>
      </c>
      <c r="F99" s="29">
        <f>IF($A99="","",월별집계!$Z99)</f>
        <v/>
      </c>
      <c r="G99" s="29">
        <f>IF($A99="","",월별집계!$Y99)</f>
        <v/>
      </c>
      <c r="H99" s="60">
        <f>IF($A99="","",IF(G99&lt;=0,IF(F99&gt;0,1,0),F99/G99-1))</f>
        <v/>
      </c>
      <c r="I99" s="29">
        <f>IF($A99="","",월별집계!$N99)</f>
        <v/>
      </c>
      <c r="J99" s="60">
        <f>IF($A99="","",IF(I99&lt;=0,IF(F99&gt;0,1,0),F99/I99-1))</f>
        <v/>
      </c>
      <c r="K99" s="29">
        <f>IF($A99="","",SUMIFS(월별집계!$C99:$Z99,월별집계!$C$5:$Z$5,"&gt;="&amp;설정!$C$22,월별집계!$C$5:$Z$5,"&lt;="&amp;설정!$C$20))</f>
        <v/>
      </c>
      <c r="L99" s="29">
        <f>IF($A99="","",SUMIFS(월별집계!$C99:$Z99,월별집계!$C$5:$Z$5,"&gt;="&amp;(설정!$C$22-3),월별집계!$C$5:$Z$5,"&lt;="&amp;(설정!$C$20-3)))</f>
        <v/>
      </c>
      <c r="M99" s="60">
        <f>IF($A99="","",IF(L99&lt;=0,IF(K99&gt;0,1,0),K99/L99-1))</f>
        <v/>
      </c>
      <c r="N99" s="53">
        <f>IF($A99="","",MAX(F99-G99,F99-I99))</f>
        <v/>
      </c>
      <c r="O99" s="61">
        <f>IF($A99="","",IFERROR((월별집계!$Z99-AVERAGE(월별집계!N99:Y99))/STDEV(월별집계!N99:Y99),0))</f>
        <v/>
      </c>
      <c r="P99" s="29">
        <f>IF($A99="","",SUMIFS(예산판_원본!$O$5:$O$5000,예산판_원본!$L$5:$L$5000,$E99,예산판_원본!$M$5:$M$5000,설정!$C$6))</f>
        <v/>
      </c>
      <c r="Q99" s="29">
        <f>IF($A99="","",SUMIFS(월별집계!$C99:$Z99,월별집계!$C$5:$Z$5,"&gt;="&amp;(설정!$C$6*12+1),월별집계!$C$5:$Z$5,"&lt;="&amp;설정!$C$20))</f>
        <v/>
      </c>
      <c r="R99" s="53">
        <f>IF($A99="","",P99-Q99)</f>
        <v/>
      </c>
      <c r="S99" s="29">
        <f>IF($A99="","",AVERAGE(월별집계!X99:Z99)*(12-설정!$C$7))</f>
        <v/>
      </c>
      <c r="T99" s="29">
        <f>IF($A99="","",IFERROR(Q99/(SUMIFS(월별집계!$C99:$Z99,월별집계!$C$5:$Z$5,"&gt;="&amp;((설정!$C$6-1)*12+1),월별집계!$C$5:$Z$5,"&lt;="&amp;(설정!$C$20-12))/SUMIFS(월별집계!$C99:$Z99,월별집계!$C$5:$Z$5,"&gt;="&amp;((설정!$C$6-1)*12+1),월별집계!$C$5:$Z$5,"&lt;="&amp;((설정!$C$6-1)*12+12)))-Q99,S99))</f>
        <v/>
      </c>
      <c r="U99" s="53">
        <f>IF($A99="","",Q99+MAX(S99,T99))</f>
        <v/>
      </c>
      <c r="V99" s="49">
        <f>IF($A99="","",IF(P99=0,0,U99/P99))</f>
        <v/>
      </c>
      <c r="W99" s="28">
        <f>IF($A99="","",IF(AND(P99=0,Q99&gt;0),"무예산",IF(P99=0,"-",IF(V99&gt;설정!$C$12,"부족 예상",IF(V99&gt;설정!$C$11,"주의","여유")))))</f>
        <v/>
      </c>
      <c r="X99" s="53">
        <f>IF($A99="","",IF(P99=0,0,MAX(0,U99-P99)))</f>
        <v/>
      </c>
      <c r="Y99" s="28">
        <f>IF($A99="","",IF(OR(W99&lt;&gt;"부족 예상",설정!$C$7=12),"",IF(R99&lt;=0,"이미 초과",MIN(12,설정!$C$7+ROUNDUP(R99/(MAX(S99,T99)/(12-설정!$C$7)),0))&amp;"월")))</f>
        <v/>
      </c>
      <c r="Z99" s="22">
        <f>IF($A99="","",TRIM(IF(N(AC99)&gt;=설정!$C$14,"단건"&amp;TEXT(AC99,"0%")&amp;" ","")&amp;IF(AND(N99&gt;0,AD99&gt;0),IF(AD99/N99&gt;=설정!$C$16,"SA대체 ",""),"")&amp;IF(AE99&gt;0,"역분개"&amp;AE99&amp;"건 ","")&amp;IF(O99&gt;=설정!$C$13,"이상치 ","")&amp;IF(AND(I99=0,F99&gt;0),"신규지출 ","")))</f>
        <v/>
      </c>
      <c r="AA99" s="61">
        <f>IF($A99="","",ROUND((AF99+AG99+AH99+AI99)*IF(AND(F99&lt;설정!$C$10,N99&lt;설정!$C$10),0.3,1),1))</f>
        <v/>
      </c>
      <c r="AB99" s="50">
        <f>IF($A99="","",AA99+ROW()/1000000)</f>
        <v/>
      </c>
      <c r="AC99" s="56">
        <f>IF(OR($A99="",N99&lt;=0),"",SUMPRODUCT(MAX((전표_원본!$O$5:$O$100000=$E99)*(전표_원본!$M$5:$M$100000=설정!$C$20)*전표_원본!$P$5:$P$100000))/N99)</f>
        <v/>
      </c>
      <c r="AD99" s="29">
        <f>IF($A99="","",SUMIFS(전표_원본!$P$5:$P$100000,전표_원본!$O$5:$O$100000,$E99,전표_원본!$M$5:$M$100000,설정!$C$20,전표_원본!$E$5:$E$100000,"SA")-SUMIFS(전표_원본!$P$5:$P$100000,전표_원본!$O$5:$O$100000,$E99,전표_원본!$M$5:$M$100000,설정!$C$20-1,전표_원본!$E$5:$E$100000,"SA"))</f>
        <v/>
      </c>
      <c r="AE99" s="62">
        <f>IF($A99="","",COUNTIFS(전표_원본!$O$5:$O$100000,$E99,전표_원본!$M$5:$M$100000,설정!$C$20,전표_원본!$P$5:$P$100000,"&lt;0"))</f>
        <v/>
      </c>
      <c r="AF99" s="61">
        <f>IF($A99="","",MIN(MAX(0,N99)/(설정!$C$10*5),1)*30)</f>
        <v/>
      </c>
      <c r="AG99" s="63">
        <f>IF($A99="","",MIN(MAX(0,H99,J99),1)*20)</f>
        <v/>
      </c>
      <c r="AH99" s="63">
        <f>IF($A99="","",MIN(MAX(0,O99)/3,1)*25)</f>
        <v/>
      </c>
      <c r="AI99" s="63">
        <f>IF($A99="","",IF(OR(W99="부족 예상",W99="무예산"),25,IF(W99="주의",15,0)))</f>
        <v/>
      </c>
    </row>
    <row r="100">
      <c r="A100" s="12" t="n"/>
      <c r="B100" s="22">
        <f>IF($A100="","",IFERROR(INDEX(부서매핑!$D$5:$D$504,MATCH($A100,부서매핑!$C$5:$C$504,0)),"부서매핑 없음"))</f>
        <v/>
      </c>
      <c r="C100" s="59" t="n"/>
      <c r="D100" s="22">
        <f>IF($A100="","",IFERROR(INDEX(계정매핑!$B$5:$B$504,MATCH($C100&amp;"",계정매핑!$A$5:$A$504,0)),"계정매핑 없음"))</f>
        <v/>
      </c>
      <c r="E100" s="21">
        <f>IF($A100="","",$A100&amp;"|"&amp;$C100)</f>
        <v/>
      </c>
      <c r="F100" s="29">
        <f>IF($A100="","",월별집계!$Z100)</f>
        <v/>
      </c>
      <c r="G100" s="29">
        <f>IF($A100="","",월별집계!$Y100)</f>
        <v/>
      </c>
      <c r="H100" s="60">
        <f>IF($A100="","",IF(G100&lt;=0,IF(F100&gt;0,1,0),F100/G100-1))</f>
        <v/>
      </c>
      <c r="I100" s="29">
        <f>IF($A100="","",월별집계!$N100)</f>
        <v/>
      </c>
      <c r="J100" s="60">
        <f>IF($A100="","",IF(I100&lt;=0,IF(F100&gt;0,1,0),F100/I100-1))</f>
        <v/>
      </c>
      <c r="K100" s="29">
        <f>IF($A100="","",SUMIFS(월별집계!$C100:$Z100,월별집계!$C$5:$Z$5,"&gt;="&amp;설정!$C$22,월별집계!$C$5:$Z$5,"&lt;="&amp;설정!$C$20))</f>
        <v/>
      </c>
      <c r="L100" s="29">
        <f>IF($A100="","",SUMIFS(월별집계!$C100:$Z100,월별집계!$C$5:$Z$5,"&gt;="&amp;(설정!$C$22-3),월별집계!$C$5:$Z$5,"&lt;="&amp;(설정!$C$20-3)))</f>
        <v/>
      </c>
      <c r="M100" s="60">
        <f>IF($A100="","",IF(L100&lt;=0,IF(K100&gt;0,1,0),K100/L100-1))</f>
        <v/>
      </c>
      <c r="N100" s="53">
        <f>IF($A100="","",MAX(F100-G100,F100-I100))</f>
        <v/>
      </c>
      <c r="O100" s="61">
        <f>IF($A100="","",IFERROR((월별집계!$Z100-AVERAGE(월별집계!N100:Y100))/STDEV(월별집계!N100:Y100),0))</f>
        <v/>
      </c>
      <c r="P100" s="29">
        <f>IF($A100="","",SUMIFS(예산판_원본!$O$5:$O$5000,예산판_원본!$L$5:$L$5000,$E100,예산판_원본!$M$5:$M$5000,설정!$C$6))</f>
        <v/>
      </c>
      <c r="Q100" s="29">
        <f>IF($A100="","",SUMIFS(월별집계!$C100:$Z100,월별집계!$C$5:$Z$5,"&gt;="&amp;(설정!$C$6*12+1),월별집계!$C$5:$Z$5,"&lt;="&amp;설정!$C$20))</f>
        <v/>
      </c>
      <c r="R100" s="53">
        <f>IF($A100="","",P100-Q100)</f>
        <v/>
      </c>
      <c r="S100" s="29">
        <f>IF($A100="","",AVERAGE(월별집계!X100:Z100)*(12-설정!$C$7))</f>
        <v/>
      </c>
      <c r="T100" s="29">
        <f>IF($A100="","",IFERROR(Q100/(SUMIFS(월별집계!$C100:$Z100,월별집계!$C$5:$Z$5,"&gt;="&amp;((설정!$C$6-1)*12+1),월별집계!$C$5:$Z$5,"&lt;="&amp;(설정!$C$20-12))/SUMIFS(월별집계!$C100:$Z100,월별집계!$C$5:$Z$5,"&gt;="&amp;((설정!$C$6-1)*12+1),월별집계!$C$5:$Z$5,"&lt;="&amp;((설정!$C$6-1)*12+12)))-Q100,S100))</f>
        <v/>
      </c>
      <c r="U100" s="53">
        <f>IF($A100="","",Q100+MAX(S100,T100))</f>
        <v/>
      </c>
      <c r="V100" s="49">
        <f>IF($A100="","",IF(P100=0,0,U100/P100))</f>
        <v/>
      </c>
      <c r="W100" s="28">
        <f>IF($A100="","",IF(AND(P100=0,Q100&gt;0),"무예산",IF(P100=0,"-",IF(V100&gt;설정!$C$12,"부족 예상",IF(V100&gt;설정!$C$11,"주의","여유")))))</f>
        <v/>
      </c>
      <c r="X100" s="53">
        <f>IF($A100="","",IF(P100=0,0,MAX(0,U100-P100)))</f>
        <v/>
      </c>
      <c r="Y100" s="28">
        <f>IF($A100="","",IF(OR(W100&lt;&gt;"부족 예상",설정!$C$7=12),"",IF(R100&lt;=0,"이미 초과",MIN(12,설정!$C$7+ROUNDUP(R100/(MAX(S100,T100)/(12-설정!$C$7)),0))&amp;"월")))</f>
        <v/>
      </c>
      <c r="Z100" s="22">
        <f>IF($A100="","",TRIM(IF(N(AC100)&gt;=설정!$C$14,"단건"&amp;TEXT(AC100,"0%")&amp;" ","")&amp;IF(AND(N100&gt;0,AD100&gt;0),IF(AD100/N100&gt;=설정!$C$16,"SA대체 ",""),"")&amp;IF(AE100&gt;0,"역분개"&amp;AE100&amp;"건 ","")&amp;IF(O100&gt;=설정!$C$13,"이상치 ","")&amp;IF(AND(I100=0,F100&gt;0),"신규지출 ","")))</f>
        <v/>
      </c>
      <c r="AA100" s="61">
        <f>IF($A100="","",ROUND((AF100+AG100+AH100+AI100)*IF(AND(F100&lt;설정!$C$10,N100&lt;설정!$C$10),0.3,1),1))</f>
        <v/>
      </c>
      <c r="AB100" s="50">
        <f>IF($A100="","",AA100+ROW()/1000000)</f>
        <v/>
      </c>
      <c r="AC100" s="56">
        <f>IF(OR($A100="",N100&lt;=0),"",SUMPRODUCT(MAX((전표_원본!$O$5:$O$100000=$E100)*(전표_원본!$M$5:$M$100000=설정!$C$20)*전표_원본!$P$5:$P$100000))/N100)</f>
        <v/>
      </c>
      <c r="AD100" s="29">
        <f>IF($A100="","",SUMIFS(전표_원본!$P$5:$P$100000,전표_원본!$O$5:$O$100000,$E100,전표_원본!$M$5:$M$100000,설정!$C$20,전표_원본!$E$5:$E$100000,"SA")-SUMIFS(전표_원본!$P$5:$P$100000,전표_원본!$O$5:$O$100000,$E100,전표_원본!$M$5:$M$100000,설정!$C$20-1,전표_원본!$E$5:$E$100000,"SA"))</f>
        <v/>
      </c>
      <c r="AE100" s="62">
        <f>IF($A100="","",COUNTIFS(전표_원본!$O$5:$O$100000,$E100,전표_원본!$M$5:$M$100000,설정!$C$20,전표_원본!$P$5:$P$100000,"&lt;0"))</f>
        <v/>
      </c>
      <c r="AF100" s="61">
        <f>IF($A100="","",MIN(MAX(0,N100)/(설정!$C$10*5),1)*30)</f>
        <v/>
      </c>
      <c r="AG100" s="63">
        <f>IF($A100="","",MIN(MAX(0,H100,J100),1)*20)</f>
        <v/>
      </c>
      <c r="AH100" s="63">
        <f>IF($A100="","",MIN(MAX(0,O100)/3,1)*25)</f>
        <v/>
      </c>
      <c r="AI100" s="63">
        <f>IF($A100="","",IF(OR(W100="부족 예상",W100="무예산"),25,IF(W100="주의",15,0)))</f>
        <v/>
      </c>
    </row>
    <row r="101">
      <c r="A101" s="12" t="n"/>
      <c r="B101" s="22">
        <f>IF($A101="","",IFERROR(INDEX(부서매핑!$D$5:$D$504,MATCH($A101,부서매핑!$C$5:$C$504,0)),"부서매핑 없음"))</f>
        <v/>
      </c>
      <c r="C101" s="59" t="n"/>
      <c r="D101" s="22">
        <f>IF($A101="","",IFERROR(INDEX(계정매핑!$B$5:$B$504,MATCH($C101&amp;"",계정매핑!$A$5:$A$504,0)),"계정매핑 없음"))</f>
        <v/>
      </c>
      <c r="E101" s="21">
        <f>IF($A101="","",$A101&amp;"|"&amp;$C101)</f>
        <v/>
      </c>
      <c r="F101" s="29">
        <f>IF($A101="","",월별집계!$Z101)</f>
        <v/>
      </c>
      <c r="G101" s="29">
        <f>IF($A101="","",월별집계!$Y101)</f>
        <v/>
      </c>
      <c r="H101" s="60">
        <f>IF($A101="","",IF(G101&lt;=0,IF(F101&gt;0,1,0),F101/G101-1))</f>
        <v/>
      </c>
      <c r="I101" s="29">
        <f>IF($A101="","",월별집계!$N101)</f>
        <v/>
      </c>
      <c r="J101" s="60">
        <f>IF($A101="","",IF(I101&lt;=0,IF(F101&gt;0,1,0),F101/I101-1))</f>
        <v/>
      </c>
      <c r="K101" s="29">
        <f>IF($A101="","",SUMIFS(월별집계!$C101:$Z101,월별집계!$C$5:$Z$5,"&gt;="&amp;설정!$C$22,월별집계!$C$5:$Z$5,"&lt;="&amp;설정!$C$20))</f>
        <v/>
      </c>
      <c r="L101" s="29">
        <f>IF($A101="","",SUMIFS(월별집계!$C101:$Z101,월별집계!$C$5:$Z$5,"&gt;="&amp;(설정!$C$22-3),월별집계!$C$5:$Z$5,"&lt;="&amp;(설정!$C$20-3)))</f>
        <v/>
      </c>
      <c r="M101" s="60">
        <f>IF($A101="","",IF(L101&lt;=0,IF(K101&gt;0,1,0),K101/L101-1))</f>
        <v/>
      </c>
      <c r="N101" s="53">
        <f>IF($A101="","",MAX(F101-G101,F101-I101))</f>
        <v/>
      </c>
      <c r="O101" s="61">
        <f>IF($A101="","",IFERROR((월별집계!$Z101-AVERAGE(월별집계!N101:Y101))/STDEV(월별집계!N101:Y101),0))</f>
        <v/>
      </c>
      <c r="P101" s="29">
        <f>IF($A101="","",SUMIFS(예산판_원본!$O$5:$O$5000,예산판_원본!$L$5:$L$5000,$E101,예산판_원본!$M$5:$M$5000,설정!$C$6))</f>
        <v/>
      </c>
      <c r="Q101" s="29">
        <f>IF($A101="","",SUMIFS(월별집계!$C101:$Z101,월별집계!$C$5:$Z$5,"&gt;="&amp;(설정!$C$6*12+1),월별집계!$C$5:$Z$5,"&lt;="&amp;설정!$C$20))</f>
        <v/>
      </c>
      <c r="R101" s="53">
        <f>IF($A101="","",P101-Q101)</f>
        <v/>
      </c>
      <c r="S101" s="29">
        <f>IF($A101="","",AVERAGE(월별집계!X101:Z101)*(12-설정!$C$7))</f>
        <v/>
      </c>
      <c r="T101" s="29">
        <f>IF($A101="","",IFERROR(Q101/(SUMIFS(월별집계!$C101:$Z101,월별집계!$C$5:$Z$5,"&gt;="&amp;((설정!$C$6-1)*12+1),월별집계!$C$5:$Z$5,"&lt;="&amp;(설정!$C$20-12))/SUMIFS(월별집계!$C101:$Z101,월별집계!$C$5:$Z$5,"&gt;="&amp;((설정!$C$6-1)*12+1),월별집계!$C$5:$Z$5,"&lt;="&amp;((설정!$C$6-1)*12+12)))-Q101,S101))</f>
        <v/>
      </c>
      <c r="U101" s="53">
        <f>IF($A101="","",Q101+MAX(S101,T101))</f>
        <v/>
      </c>
      <c r="V101" s="49">
        <f>IF($A101="","",IF(P101=0,0,U101/P101))</f>
        <v/>
      </c>
      <c r="W101" s="28">
        <f>IF($A101="","",IF(AND(P101=0,Q101&gt;0),"무예산",IF(P101=0,"-",IF(V101&gt;설정!$C$12,"부족 예상",IF(V101&gt;설정!$C$11,"주의","여유")))))</f>
        <v/>
      </c>
      <c r="X101" s="53">
        <f>IF($A101="","",IF(P101=0,0,MAX(0,U101-P101)))</f>
        <v/>
      </c>
      <c r="Y101" s="28">
        <f>IF($A101="","",IF(OR(W101&lt;&gt;"부족 예상",설정!$C$7=12),"",IF(R101&lt;=0,"이미 초과",MIN(12,설정!$C$7+ROUNDUP(R101/(MAX(S101,T101)/(12-설정!$C$7)),0))&amp;"월")))</f>
        <v/>
      </c>
      <c r="Z101" s="22">
        <f>IF($A101="","",TRIM(IF(N(AC101)&gt;=설정!$C$14,"단건"&amp;TEXT(AC101,"0%")&amp;" ","")&amp;IF(AND(N101&gt;0,AD101&gt;0),IF(AD101/N101&gt;=설정!$C$16,"SA대체 ",""),"")&amp;IF(AE101&gt;0,"역분개"&amp;AE101&amp;"건 ","")&amp;IF(O101&gt;=설정!$C$13,"이상치 ","")&amp;IF(AND(I101=0,F101&gt;0),"신규지출 ","")))</f>
        <v/>
      </c>
      <c r="AA101" s="61">
        <f>IF($A101="","",ROUND((AF101+AG101+AH101+AI101)*IF(AND(F101&lt;설정!$C$10,N101&lt;설정!$C$10),0.3,1),1))</f>
        <v/>
      </c>
      <c r="AB101" s="50">
        <f>IF($A101="","",AA101+ROW()/1000000)</f>
        <v/>
      </c>
      <c r="AC101" s="56">
        <f>IF(OR($A101="",N101&lt;=0),"",SUMPRODUCT(MAX((전표_원본!$O$5:$O$100000=$E101)*(전표_원본!$M$5:$M$100000=설정!$C$20)*전표_원본!$P$5:$P$100000))/N101)</f>
        <v/>
      </c>
      <c r="AD101" s="29">
        <f>IF($A101="","",SUMIFS(전표_원본!$P$5:$P$100000,전표_원본!$O$5:$O$100000,$E101,전표_원본!$M$5:$M$100000,설정!$C$20,전표_원본!$E$5:$E$100000,"SA")-SUMIFS(전표_원본!$P$5:$P$100000,전표_원본!$O$5:$O$100000,$E101,전표_원본!$M$5:$M$100000,설정!$C$20-1,전표_원본!$E$5:$E$100000,"SA"))</f>
        <v/>
      </c>
      <c r="AE101" s="62">
        <f>IF($A101="","",COUNTIFS(전표_원본!$O$5:$O$100000,$E101,전표_원본!$M$5:$M$100000,설정!$C$20,전표_원본!$P$5:$P$100000,"&lt;0"))</f>
        <v/>
      </c>
      <c r="AF101" s="61">
        <f>IF($A101="","",MIN(MAX(0,N101)/(설정!$C$10*5),1)*30)</f>
        <v/>
      </c>
      <c r="AG101" s="63">
        <f>IF($A101="","",MIN(MAX(0,H101,J101),1)*20)</f>
        <v/>
      </c>
      <c r="AH101" s="63">
        <f>IF($A101="","",MIN(MAX(0,O101)/3,1)*25)</f>
        <v/>
      </c>
      <c r="AI101" s="63">
        <f>IF($A101="","",IF(OR(W101="부족 예상",W101="무예산"),25,IF(W101="주의",15,0)))</f>
        <v/>
      </c>
    </row>
    <row r="102">
      <c r="A102" s="12" t="n"/>
      <c r="B102" s="22">
        <f>IF($A102="","",IFERROR(INDEX(부서매핑!$D$5:$D$504,MATCH($A102,부서매핑!$C$5:$C$504,0)),"부서매핑 없음"))</f>
        <v/>
      </c>
      <c r="C102" s="59" t="n"/>
      <c r="D102" s="22">
        <f>IF($A102="","",IFERROR(INDEX(계정매핑!$B$5:$B$504,MATCH($C102&amp;"",계정매핑!$A$5:$A$504,0)),"계정매핑 없음"))</f>
        <v/>
      </c>
      <c r="E102" s="21">
        <f>IF($A102="","",$A102&amp;"|"&amp;$C102)</f>
        <v/>
      </c>
      <c r="F102" s="29">
        <f>IF($A102="","",월별집계!$Z102)</f>
        <v/>
      </c>
      <c r="G102" s="29">
        <f>IF($A102="","",월별집계!$Y102)</f>
        <v/>
      </c>
      <c r="H102" s="60">
        <f>IF($A102="","",IF(G102&lt;=0,IF(F102&gt;0,1,0),F102/G102-1))</f>
        <v/>
      </c>
      <c r="I102" s="29">
        <f>IF($A102="","",월별집계!$N102)</f>
        <v/>
      </c>
      <c r="J102" s="60">
        <f>IF($A102="","",IF(I102&lt;=0,IF(F102&gt;0,1,0),F102/I102-1))</f>
        <v/>
      </c>
      <c r="K102" s="29">
        <f>IF($A102="","",SUMIFS(월별집계!$C102:$Z102,월별집계!$C$5:$Z$5,"&gt;="&amp;설정!$C$22,월별집계!$C$5:$Z$5,"&lt;="&amp;설정!$C$20))</f>
        <v/>
      </c>
      <c r="L102" s="29">
        <f>IF($A102="","",SUMIFS(월별집계!$C102:$Z102,월별집계!$C$5:$Z$5,"&gt;="&amp;(설정!$C$22-3),월별집계!$C$5:$Z$5,"&lt;="&amp;(설정!$C$20-3)))</f>
        <v/>
      </c>
      <c r="M102" s="60">
        <f>IF($A102="","",IF(L102&lt;=0,IF(K102&gt;0,1,0),K102/L102-1))</f>
        <v/>
      </c>
      <c r="N102" s="53">
        <f>IF($A102="","",MAX(F102-G102,F102-I102))</f>
        <v/>
      </c>
      <c r="O102" s="61">
        <f>IF($A102="","",IFERROR((월별집계!$Z102-AVERAGE(월별집계!N102:Y102))/STDEV(월별집계!N102:Y102),0))</f>
        <v/>
      </c>
      <c r="P102" s="29">
        <f>IF($A102="","",SUMIFS(예산판_원본!$O$5:$O$5000,예산판_원본!$L$5:$L$5000,$E102,예산판_원본!$M$5:$M$5000,설정!$C$6))</f>
        <v/>
      </c>
      <c r="Q102" s="29">
        <f>IF($A102="","",SUMIFS(월별집계!$C102:$Z102,월별집계!$C$5:$Z$5,"&gt;="&amp;(설정!$C$6*12+1),월별집계!$C$5:$Z$5,"&lt;="&amp;설정!$C$20))</f>
        <v/>
      </c>
      <c r="R102" s="53">
        <f>IF($A102="","",P102-Q102)</f>
        <v/>
      </c>
      <c r="S102" s="29">
        <f>IF($A102="","",AVERAGE(월별집계!X102:Z102)*(12-설정!$C$7))</f>
        <v/>
      </c>
      <c r="T102" s="29">
        <f>IF($A102="","",IFERROR(Q102/(SUMIFS(월별집계!$C102:$Z102,월별집계!$C$5:$Z$5,"&gt;="&amp;((설정!$C$6-1)*12+1),월별집계!$C$5:$Z$5,"&lt;="&amp;(설정!$C$20-12))/SUMIFS(월별집계!$C102:$Z102,월별집계!$C$5:$Z$5,"&gt;="&amp;((설정!$C$6-1)*12+1),월별집계!$C$5:$Z$5,"&lt;="&amp;((설정!$C$6-1)*12+12)))-Q102,S102))</f>
        <v/>
      </c>
      <c r="U102" s="53">
        <f>IF($A102="","",Q102+MAX(S102,T102))</f>
        <v/>
      </c>
      <c r="V102" s="49">
        <f>IF($A102="","",IF(P102=0,0,U102/P102))</f>
        <v/>
      </c>
      <c r="W102" s="28">
        <f>IF($A102="","",IF(AND(P102=0,Q102&gt;0),"무예산",IF(P102=0,"-",IF(V102&gt;설정!$C$12,"부족 예상",IF(V102&gt;설정!$C$11,"주의","여유")))))</f>
        <v/>
      </c>
      <c r="X102" s="53">
        <f>IF($A102="","",IF(P102=0,0,MAX(0,U102-P102)))</f>
        <v/>
      </c>
      <c r="Y102" s="28">
        <f>IF($A102="","",IF(OR(W102&lt;&gt;"부족 예상",설정!$C$7=12),"",IF(R102&lt;=0,"이미 초과",MIN(12,설정!$C$7+ROUNDUP(R102/(MAX(S102,T102)/(12-설정!$C$7)),0))&amp;"월")))</f>
        <v/>
      </c>
      <c r="Z102" s="22">
        <f>IF($A102="","",TRIM(IF(N(AC102)&gt;=설정!$C$14,"단건"&amp;TEXT(AC102,"0%")&amp;" ","")&amp;IF(AND(N102&gt;0,AD102&gt;0),IF(AD102/N102&gt;=설정!$C$16,"SA대체 ",""),"")&amp;IF(AE102&gt;0,"역분개"&amp;AE102&amp;"건 ","")&amp;IF(O102&gt;=설정!$C$13,"이상치 ","")&amp;IF(AND(I102=0,F102&gt;0),"신규지출 ","")))</f>
        <v/>
      </c>
      <c r="AA102" s="61">
        <f>IF($A102="","",ROUND((AF102+AG102+AH102+AI102)*IF(AND(F102&lt;설정!$C$10,N102&lt;설정!$C$10),0.3,1),1))</f>
        <v/>
      </c>
      <c r="AB102" s="50">
        <f>IF($A102="","",AA102+ROW()/1000000)</f>
        <v/>
      </c>
      <c r="AC102" s="56">
        <f>IF(OR($A102="",N102&lt;=0),"",SUMPRODUCT(MAX((전표_원본!$O$5:$O$100000=$E102)*(전표_원본!$M$5:$M$100000=설정!$C$20)*전표_원본!$P$5:$P$100000))/N102)</f>
        <v/>
      </c>
      <c r="AD102" s="29">
        <f>IF($A102="","",SUMIFS(전표_원본!$P$5:$P$100000,전표_원본!$O$5:$O$100000,$E102,전표_원본!$M$5:$M$100000,설정!$C$20,전표_원본!$E$5:$E$100000,"SA")-SUMIFS(전표_원본!$P$5:$P$100000,전표_원본!$O$5:$O$100000,$E102,전표_원본!$M$5:$M$100000,설정!$C$20-1,전표_원본!$E$5:$E$100000,"SA"))</f>
        <v/>
      </c>
      <c r="AE102" s="62">
        <f>IF($A102="","",COUNTIFS(전표_원본!$O$5:$O$100000,$E102,전표_원본!$M$5:$M$100000,설정!$C$20,전표_원본!$P$5:$P$100000,"&lt;0"))</f>
        <v/>
      </c>
      <c r="AF102" s="61">
        <f>IF($A102="","",MIN(MAX(0,N102)/(설정!$C$10*5),1)*30)</f>
        <v/>
      </c>
      <c r="AG102" s="63">
        <f>IF($A102="","",MIN(MAX(0,H102,J102),1)*20)</f>
        <v/>
      </c>
      <c r="AH102" s="63">
        <f>IF($A102="","",MIN(MAX(0,O102)/3,1)*25)</f>
        <v/>
      </c>
      <c r="AI102" s="63">
        <f>IF($A102="","",IF(OR(W102="부족 예상",W102="무예산"),25,IF(W102="주의",15,0)))</f>
        <v/>
      </c>
    </row>
    <row r="103">
      <c r="A103" s="12" t="n"/>
      <c r="B103" s="22">
        <f>IF($A103="","",IFERROR(INDEX(부서매핑!$D$5:$D$504,MATCH($A103,부서매핑!$C$5:$C$504,0)),"부서매핑 없음"))</f>
        <v/>
      </c>
      <c r="C103" s="59" t="n"/>
      <c r="D103" s="22">
        <f>IF($A103="","",IFERROR(INDEX(계정매핑!$B$5:$B$504,MATCH($C103&amp;"",계정매핑!$A$5:$A$504,0)),"계정매핑 없음"))</f>
        <v/>
      </c>
      <c r="E103" s="21">
        <f>IF($A103="","",$A103&amp;"|"&amp;$C103)</f>
        <v/>
      </c>
      <c r="F103" s="29">
        <f>IF($A103="","",월별집계!$Z103)</f>
        <v/>
      </c>
      <c r="G103" s="29">
        <f>IF($A103="","",월별집계!$Y103)</f>
        <v/>
      </c>
      <c r="H103" s="60">
        <f>IF($A103="","",IF(G103&lt;=0,IF(F103&gt;0,1,0),F103/G103-1))</f>
        <v/>
      </c>
      <c r="I103" s="29">
        <f>IF($A103="","",월별집계!$N103)</f>
        <v/>
      </c>
      <c r="J103" s="60">
        <f>IF($A103="","",IF(I103&lt;=0,IF(F103&gt;0,1,0),F103/I103-1))</f>
        <v/>
      </c>
      <c r="K103" s="29">
        <f>IF($A103="","",SUMIFS(월별집계!$C103:$Z103,월별집계!$C$5:$Z$5,"&gt;="&amp;설정!$C$22,월별집계!$C$5:$Z$5,"&lt;="&amp;설정!$C$20))</f>
        <v/>
      </c>
      <c r="L103" s="29">
        <f>IF($A103="","",SUMIFS(월별집계!$C103:$Z103,월별집계!$C$5:$Z$5,"&gt;="&amp;(설정!$C$22-3),월별집계!$C$5:$Z$5,"&lt;="&amp;(설정!$C$20-3)))</f>
        <v/>
      </c>
      <c r="M103" s="60">
        <f>IF($A103="","",IF(L103&lt;=0,IF(K103&gt;0,1,0),K103/L103-1))</f>
        <v/>
      </c>
      <c r="N103" s="53">
        <f>IF($A103="","",MAX(F103-G103,F103-I103))</f>
        <v/>
      </c>
      <c r="O103" s="61">
        <f>IF($A103="","",IFERROR((월별집계!$Z103-AVERAGE(월별집계!N103:Y103))/STDEV(월별집계!N103:Y103),0))</f>
        <v/>
      </c>
      <c r="P103" s="29">
        <f>IF($A103="","",SUMIFS(예산판_원본!$O$5:$O$5000,예산판_원본!$L$5:$L$5000,$E103,예산판_원본!$M$5:$M$5000,설정!$C$6))</f>
        <v/>
      </c>
      <c r="Q103" s="29">
        <f>IF($A103="","",SUMIFS(월별집계!$C103:$Z103,월별집계!$C$5:$Z$5,"&gt;="&amp;(설정!$C$6*12+1),월별집계!$C$5:$Z$5,"&lt;="&amp;설정!$C$20))</f>
        <v/>
      </c>
      <c r="R103" s="53">
        <f>IF($A103="","",P103-Q103)</f>
        <v/>
      </c>
      <c r="S103" s="29">
        <f>IF($A103="","",AVERAGE(월별집계!X103:Z103)*(12-설정!$C$7))</f>
        <v/>
      </c>
      <c r="T103" s="29">
        <f>IF($A103="","",IFERROR(Q103/(SUMIFS(월별집계!$C103:$Z103,월별집계!$C$5:$Z$5,"&gt;="&amp;((설정!$C$6-1)*12+1),월별집계!$C$5:$Z$5,"&lt;="&amp;(설정!$C$20-12))/SUMIFS(월별집계!$C103:$Z103,월별집계!$C$5:$Z$5,"&gt;="&amp;((설정!$C$6-1)*12+1),월별집계!$C$5:$Z$5,"&lt;="&amp;((설정!$C$6-1)*12+12)))-Q103,S103))</f>
        <v/>
      </c>
      <c r="U103" s="53">
        <f>IF($A103="","",Q103+MAX(S103,T103))</f>
        <v/>
      </c>
      <c r="V103" s="49">
        <f>IF($A103="","",IF(P103=0,0,U103/P103))</f>
        <v/>
      </c>
      <c r="W103" s="28">
        <f>IF($A103="","",IF(AND(P103=0,Q103&gt;0),"무예산",IF(P103=0,"-",IF(V103&gt;설정!$C$12,"부족 예상",IF(V103&gt;설정!$C$11,"주의","여유")))))</f>
        <v/>
      </c>
      <c r="X103" s="53">
        <f>IF($A103="","",IF(P103=0,0,MAX(0,U103-P103)))</f>
        <v/>
      </c>
      <c r="Y103" s="28">
        <f>IF($A103="","",IF(OR(W103&lt;&gt;"부족 예상",설정!$C$7=12),"",IF(R103&lt;=0,"이미 초과",MIN(12,설정!$C$7+ROUNDUP(R103/(MAX(S103,T103)/(12-설정!$C$7)),0))&amp;"월")))</f>
        <v/>
      </c>
      <c r="Z103" s="22">
        <f>IF($A103="","",TRIM(IF(N(AC103)&gt;=설정!$C$14,"단건"&amp;TEXT(AC103,"0%")&amp;" ","")&amp;IF(AND(N103&gt;0,AD103&gt;0),IF(AD103/N103&gt;=설정!$C$16,"SA대체 ",""),"")&amp;IF(AE103&gt;0,"역분개"&amp;AE103&amp;"건 ","")&amp;IF(O103&gt;=설정!$C$13,"이상치 ","")&amp;IF(AND(I103=0,F103&gt;0),"신규지출 ","")))</f>
        <v/>
      </c>
      <c r="AA103" s="61">
        <f>IF($A103="","",ROUND((AF103+AG103+AH103+AI103)*IF(AND(F103&lt;설정!$C$10,N103&lt;설정!$C$10),0.3,1),1))</f>
        <v/>
      </c>
      <c r="AB103" s="50">
        <f>IF($A103="","",AA103+ROW()/1000000)</f>
        <v/>
      </c>
      <c r="AC103" s="56">
        <f>IF(OR($A103="",N103&lt;=0),"",SUMPRODUCT(MAX((전표_원본!$O$5:$O$100000=$E103)*(전표_원본!$M$5:$M$100000=설정!$C$20)*전표_원본!$P$5:$P$100000))/N103)</f>
        <v/>
      </c>
      <c r="AD103" s="29">
        <f>IF($A103="","",SUMIFS(전표_원본!$P$5:$P$100000,전표_원본!$O$5:$O$100000,$E103,전표_원본!$M$5:$M$100000,설정!$C$20,전표_원본!$E$5:$E$100000,"SA")-SUMIFS(전표_원본!$P$5:$P$100000,전표_원본!$O$5:$O$100000,$E103,전표_원본!$M$5:$M$100000,설정!$C$20-1,전표_원본!$E$5:$E$100000,"SA"))</f>
        <v/>
      </c>
      <c r="AE103" s="62">
        <f>IF($A103="","",COUNTIFS(전표_원본!$O$5:$O$100000,$E103,전표_원본!$M$5:$M$100000,설정!$C$20,전표_원본!$P$5:$P$100000,"&lt;0"))</f>
        <v/>
      </c>
      <c r="AF103" s="61">
        <f>IF($A103="","",MIN(MAX(0,N103)/(설정!$C$10*5),1)*30)</f>
        <v/>
      </c>
      <c r="AG103" s="63">
        <f>IF($A103="","",MIN(MAX(0,H103,J103),1)*20)</f>
        <v/>
      </c>
      <c r="AH103" s="63">
        <f>IF($A103="","",MIN(MAX(0,O103)/3,1)*25)</f>
        <v/>
      </c>
      <c r="AI103" s="63">
        <f>IF($A103="","",IF(OR(W103="부족 예상",W103="무예산"),25,IF(W103="주의",15,0)))</f>
        <v/>
      </c>
    </row>
    <row r="104">
      <c r="A104" s="12" t="n"/>
      <c r="B104" s="22">
        <f>IF($A104="","",IFERROR(INDEX(부서매핑!$D$5:$D$504,MATCH($A104,부서매핑!$C$5:$C$504,0)),"부서매핑 없음"))</f>
        <v/>
      </c>
      <c r="C104" s="59" t="n"/>
      <c r="D104" s="22">
        <f>IF($A104="","",IFERROR(INDEX(계정매핑!$B$5:$B$504,MATCH($C104&amp;"",계정매핑!$A$5:$A$504,0)),"계정매핑 없음"))</f>
        <v/>
      </c>
      <c r="E104" s="21">
        <f>IF($A104="","",$A104&amp;"|"&amp;$C104)</f>
        <v/>
      </c>
      <c r="F104" s="29">
        <f>IF($A104="","",월별집계!$Z104)</f>
        <v/>
      </c>
      <c r="G104" s="29">
        <f>IF($A104="","",월별집계!$Y104)</f>
        <v/>
      </c>
      <c r="H104" s="60">
        <f>IF($A104="","",IF(G104&lt;=0,IF(F104&gt;0,1,0),F104/G104-1))</f>
        <v/>
      </c>
      <c r="I104" s="29">
        <f>IF($A104="","",월별집계!$N104)</f>
        <v/>
      </c>
      <c r="J104" s="60">
        <f>IF($A104="","",IF(I104&lt;=0,IF(F104&gt;0,1,0),F104/I104-1))</f>
        <v/>
      </c>
      <c r="K104" s="29">
        <f>IF($A104="","",SUMIFS(월별집계!$C104:$Z104,월별집계!$C$5:$Z$5,"&gt;="&amp;설정!$C$22,월별집계!$C$5:$Z$5,"&lt;="&amp;설정!$C$20))</f>
        <v/>
      </c>
      <c r="L104" s="29">
        <f>IF($A104="","",SUMIFS(월별집계!$C104:$Z104,월별집계!$C$5:$Z$5,"&gt;="&amp;(설정!$C$22-3),월별집계!$C$5:$Z$5,"&lt;="&amp;(설정!$C$20-3)))</f>
        <v/>
      </c>
      <c r="M104" s="60">
        <f>IF($A104="","",IF(L104&lt;=0,IF(K104&gt;0,1,0),K104/L104-1))</f>
        <v/>
      </c>
      <c r="N104" s="53">
        <f>IF($A104="","",MAX(F104-G104,F104-I104))</f>
        <v/>
      </c>
      <c r="O104" s="61">
        <f>IF($A104="","",IFERROR((월별집계!$Z104-AVERAGE(월별집계!N104:Y104))/STDEV(월별집계!N104:Y104),0))</f>
        <v/>
      </c>
      <c r="P104" s="29">
        <f>IF($A104="","",SUMIFS(예산판_원본!$O$5:$O$5000,예산판_원본!$L$5:$L$5000,$E104,예산판_원본!$M$5:$M$5000,설정!$C$6))</f>
        <v/>
      </c>
      <c r="Q104" s="29">
        <f>IF($A104="","",SUMIFS(월별집계!$C104:$Z104,월별집계!$C$5:$Z$5,"&gt;="&amp;(설정!$C$6*12+1),월별집계!$C$5:$Z$5,"&lt;="&amp;설정!$C$20))</f>
        <v/>
      </c>
      <c r="R104" s="53">
        <f>IF($A104="","",P104-Q104)</f>
        <v/>
      </c>
      <c r="S104" s="29">
        <f>IF($A104="","",AVERAGE(월별집계!X104:Z104)*(12-설정!$C$7))</f>
        <v/>
      </c>
      <c r="T104" s="29">
        <f>IF($A104="","",IFERROR(Q104/(SUMIFS(월별집계!$C104:$Z104,월별집계!$C$5:$Z$5,"&gt;="&amp;((설정!$C$6-1)*12+1),월별집계!$C$5:$Z$5,"&lt;="&amp;(설정!$C$20-12))/SUMIFS(월별집계!$C104:$Z104,월별집계!$C$5:$Z$5,"&gt;="&amp;((설정!$C$6-1)*12+1),월별집계!$C$5:$Z$5,"&lt;="&amp;((설정!$C$6-1)*12+12)))-Q104,S104))</f>
        <v/>
      </c>
      <c r="U104" s="53">
        <f>IF($A104="","",Q104+MAX(S104,T104))</f>
        <v/>
      </c>
      <c r="V104" s="49">
        <f>IF($A104="","",IF(P104=0,0,U104/P104))</f>
        <v/>
      </c>
      <c r="W104" s="28">
        <f>IF($A104="","",IF(AND(P104=0,Q104&gt;0),"무예산",IF(P104=0,"-",IF(V104&gt;설정!$C$12,"부족 예상",IF(V104&gt;설정!$C$11,"주의","여유")))))</f>
        <v/>
      </c>
      <c r="X104" s="53">
        <f>IF($A104="","",IF(P104=0,0,MAX(0,U104-P104)))</f>
        <v/>
      </c>
      <c r="Y104" s="28">
        <f>IF($A104="","",IF(OR(W104&lt;&gt;"부족 예상",설정!$C$7=12),"",IF(R104&lt;=0,"이미 초과",MIN(12,설정!$C$7+ROUNDUP(R104/(MAX(S104,T104)/(12-설정!$C$7)),0))&amp;"월")))</f>
        <v/>
      </c>
      <c r="Z104" s="22">
        <f>IF($A104="","",TRIM(IF(N(AC104)&gt;=설정!$C$14,"단건"&amp;TEXT(AC104,"0%")&amp;" ","")&amp;IF(AND(N104&gt;0,AD104&gt;0),IF(AD104/N104&gt;=설정!$C$16,"SA대체 ",""),"")&amp;IF(AE104&gt;0,"역분개"&amp;AE104&amp;"건 ","")&amp;IF(O104&gt;=설정!$C$13,"이상치 ","")&amp;IF(AND(I104=0,F104&gt;0),"신규지출 ","")))</f>
        <v/>
      </c>
      <c r="AA104" s="61">
        <f>IF($A104="","",ROUND((AF104+AG104+AH104+AI104)*IF(AND(F104&lt;설정!$C$10,N104&lt;설정!$C$10),0.3,1),1))</f>
        <v/>
      </c>
      <c r="AB104" s="50">
        <f>IF($A104="","",AA104+ROW()/1000000)</f>
        <v/>
      </c>
      <c r="AC104" s="56">
        <f>IF(OR($A104="",N104&lt;=0),"",SUMPRODUCT(MAX((전표_원본!$O$5:$O$100000=$E104)*(전표_원본!$M$5:$M$100000=설정!$C$20)*전표_원본!$P$5:$P$100000))/N104)</f>
        <v/>
      </c>
      <c r="AD104" s="29">
        <f>IF($A104="","",SUMIFS(전표_원본!$P$5:$P$100000,전표_원본!$O$5:$O$100000,$E104,전표_원본!$M$5:$M$100000,설정!$C$20,전표_원본!$E$5:$E$100000,"SA")-SUMIFS(전표_원본!$P$5:$P$100000,전표_원본!$O$5:$O$100000,$E104,전표_원본!$M$5:$M$100000,설정!$C$20-1,전표_원본!$E$5:$E$100000,"SA"))</f>
        <v/>
      </c>
      <c r="AE104" s="62">
        <f>IF($A104="","",COUNTIFS(전표_원본!$O$5:$O$100000,$E104,전표_원본!$M$5:$M$100000,설정!$C$20,전표_원본!$P$5:$P$100000,"&lt;0"))</f>
        <v/>
      </c>
      <c r="AF104" s="61">
        <f>IF($A104="","",MIN(MAX(0,N104)/(설정!$C$10*5),1)*30)</f>
        <v/>
      </c>
      <c r="AG104" s="63">
        <f>IF($A104="","",MIN(MAX(0,H104,J104),1)*20)</f>
        <v/>
      </c>
      <c r="AH104" s="63">
        <f>IF($A104="","",MIN(MAX(0,O104)/3,1)*25)</f>
        <v/>
      </c>
      <c r="AI104" s="63">
        <f>IF($A104="","",IF(OR(W104="부족 예상",W104="무예산"),25,IF(W104="주의",15,0)))</f>
        <v/>
      </c>
    </row>
    <row r="105">
      <c r="A105" s="12" t="n"/>
      <c r="B105" s="22">
        <f>IF($A105="","",IFERROR(INDEX(부서매핑!$D$5:$D$504,MATCH($A105,부서매핑!$C$5:$C$504,0)),"부서매핑 없음"))</f>
        <v/>
      </c>
      <c r="C105" s="59" t="n"/>
      <c r="D105" s="22">
        <f>IF($A105="","",IFERROR(INDEX(계정매핑!$B$5:$B$504,MATCH($C105&amp;"",계정매핑!$A$5:$A$504,0)),"계정매핑 없음"))</f>
        <v/>
      </c>
      <c r="E105" s="21">
        <f>IF($A105="","",$A105&amp;"|"&amp;$C105)</f>
        <v/>
      </c>
      <c r="F105" s="29">
        <f>IF($A105="","",월별집계!$Z105)</f>
        <v/>
      </c>
      <c r="G105" s="29">
        <f>IF($A105="","",월별집계!$Y105)</f>
        <v/>
      </c>
      <c r="H105" s="60">
        <f>IF($A105="","",IF(G105&lt;=0,IF(F105&gt;0,1,0),F105/G105-1))</f>
        <v/>
      </c>
      <c r="I105" s="29">
        <f>IF($A105="","",월별집계!$N105)</f>
        <v/>
      </c>
      <c r="J105" s="60">
        <f>IF($A105="","",IF(I105&lt;=0,IF(F105&gt;0,1,0),F105/I105-1))</f>
        <v/>
      </c>
      <c r="K105" s="29">
        <f>IF($A105="","",SUMIFS(월별집계!$C105:$Z105,월별집계!$C$5:$Z$5,"&gt;="&amp;설정!$C$22,월별집계!$C$5:$Z$5,"&lt;="&amp;설정!$C$20))</f>
        <v/>
      </c>
      <c r="L105" s="29">
        <f>IF($A105="","",SUMIFS(월별집계!$C105:$Z105,월별집계!$C$5:$Z$5,"&gt;="&amp;(설정!$C$22-3),월별집계!$C$5:$Z$5,"&lt;="&amp;(설정!$C$20-3)))</f>
        <v/>
      </c>
      <c r="M105" s="60">
        <f>IF($A105="","",IF(L105&lt;=0,IF(K105&gt;0,1,0),K105/L105-1))</f>
        <v/>
      </c>
      <c r="N105" s="53">
        <f>IF($A105="","",MAX(F105-G105,F105-I105))</f>
        <v/>
      </c>
      <c r="O105" s="61">
        <f>IF($A105="","",IFERROR((월별집계!$Z105-AVERAGE(월별집계!N105:Y105))/STDEV(월별집계!N105:Y105),0))</f>
        <v/>
      </c>
      <c r="P105" s="29">
        <f>IF($A105="","",SUMIFS(예산판_원본!$O$5:$O$5000,예산판_원본!$L$5:$L$5000,$E105,예산판_원본!$M$5:$M$5000,설정!$C$6))</f>
        <v/>
      </c>
      <c r="Q105" s="29">
        <f>IF($A105="","",SUMIFS(월별집계!$C105:$Z105,월별집계!$C$5:$Z$5,"&gt;="&amp;(설정!$C$6*12+1),월별집계!$C$5:$Z$5,"&lt;="&amp;설정!$C$20))</f>
        <v/>
      </c>
      <c r="R105" s="53">
        <f>IF($A105="","",P105-Q105)</f>
        <v/>
      </c>
      <c r="S105" s="29">
        <f>IF($A105="","",AVERAGE(월별집계!X105:Z105)*(12-설정!$C$7))</f>
        <v/>
      </c>
      <c r="T105" s="29">
        <f>IF($A105="","",IFERROR(Q105/(SUMIFS(월별집계!$C105:$Z105,월별집계!$C$5:$Z$5,"&gt;="&amp;((설정!$C$6-1)*12+1),월별집계!$C$5:$Z$5,"&lt;="&amp;(설정!$C$20-12))/SUMIFS(월별집계!$C105:$Z105,월별집계!$C$5:$Z$5,"&gt;="&amp;((설정!$C$6-1)*12+1),월별집계!$C$5:$Z$5,"&lt;="&amp;((설정!$C$6-1)*12+12)))-Q105,S105))</f>
        <v/>
      </c>
      <c r="U105" s="53">
        <f>IF($A105="","",Q105+MAX(S105,T105))</f>
        <v/>
      </c>
      <c r="V105" s="49">
        <f>IF($A105="","",IF(P105=0,0,U105/P105))</f>
        <v/>
      </c>
      <c r="W105" s="28">
        <f>IF($A105="","",IF(AND(P105=0,Q105&gt;0),"무예산",IF(P105=0,"-",IF(V105&gt;설정!$C$12,"부족 예상",IF(V105&gt;설정!$C$11,"주의","여유")))))</f>
        <v/>
      </c>
      <c r="X105" s="53">
        <f>IF($A105="","",IF(P105=0,0,MAX(0,U105-P105)))</f>
        <v/>
      </c>
      <c r="Y105" s="28">
        <f>IF($A105="","",IF(OR(W105&lt;&gt;"부족 예상",설정!$C$7=12),"",IF(R105&lt;=0,"이미 초과",MIN(12,설정!$C$7+ROUNDUP(R105/(MAX(S105,T105)/(12-설정!$C$7)),0))&amp;"월")))</f>
        <v/>
      </c>
      <c r="Z105" s="22">
        <f>IF($A105="","",TRIM(IF(N(AC105)&gt;=설정!$C$14,"단건"&amp;TEXT(AC105,"0%")&amp;" ","")&amp;IF(AND(N105&gt;0,AD105&gt;0),IF(AD105/N105&gt;=설정!$C$16,"SA대체 ",""),"")&amp;IF(AE105&gt;0,"역분개"&amp;AE105&amp;"건 ","")&amp;IF(O105&gt;=설정!$C$13,"이상치 ","")&amp;IF(AND(I105=0,F105&gt;0),"신규지출 ","")))</f>
        <v/>
      </c>
      <c r="AA105" s="61">
        <f>IF($A105="","",ROUND((AF105+AG105+AH105+AI105)*IF(AND(F105&lt;설정!$C$10,N105&lt;설정!$C$10),0.3,1),1))</f>
        <v/>
      </c>
      <c r="AB105" s="50">
        <f>IF($A105="","",AA105+ROW()/1000000)</f>
        <v/>
      </c>
      <c r="AC105" s="56">
        <f>IF(OR($A105="",N105&lt;=0),"",SUMPRODUCT(MAX((전표_원본!$O$5:$O$100000=$E105)*(전표_원본!$M$5:$M$100000=설정!$C$20)*전표_원본!$P$5:$P$100000))/N105)</f>
        <v/>
      </c>
      <c r="AD105" s="29">
        <f>IF($A105="","",SUMIFS(전표_원본!$P$5:$P$100000,전표_원본!$O$5:$O$100000,$E105,전표_원본!$M$5:$M$100000,설정!$C$20,전표_원본!$E$5:$E$100000,"SA")-SUMIFS(전표_원본!$P$5:$P$100000,전표_원본!$O$5:$O$100000,$E105,전표_원본!$M$5:$M$100000,설정!$C$20-1,전표_원본!$E$5:$E$100000,"SA"))</f>
        <v/>
      </c>
      <c r="AE105" s="62">
        <f>IF($A105="","",COUNTIFS(전표_원본!$O$5:$O$100000,$E105,전표_원본!$M$5:$M$100000,설정!$C$20,전표_원본!$P$5:$P$100000,"&lt;0"))</f>
        <v/>
      </c>
      <c r="AF105" s="61">
        <f>IF($A105="","",MIN(MAX(0,N105)/(설정!$C$10*5),1)*30)</f>
        <v/>
      </c>
      <c r="AG105" s="63">
        <f>IF($A105="","",MIN(MAX(0,H105,J105),1)*20)</f>
        <v/>
      </c>
      <c r="AH105" s="63">
        <f>IF($A105="","",MIN(MAX(0,O105)/3,1)*25)</f>
        <v/>
      </c>
      <c r="AI105" s="63">
        <f>IF($A105="","",IF(OR(W105="부족 예상",W105="무예산"),25,IF(W105="주의",15,0)))</f>
        <v/>
      </c>
    </row>
    <row r="106">
      <c r="A106" s="12" t="n"/>
      <c r="B106" s="22">
        <f>IF($A106="","",IFERROR(INDEX(부서매핑!$D$5:$D$504,MATCH($A106,부서매핑!$C$5:$C$504,0)),"부서매핑 없음"))</f>
        <v/>
      </c>
      <c r="C106" s="59" t="n"/>
      <c r="D106" s="22">
        <f>IF($A106="","",IFERROR(INDEX(계정매핑!$B$5:$B$504,MATCH($C106&amp;"",계정매핑!$A$5:$A$504,0)),"계정매핑 없음"))</f>
        <v/>
      </c>
      <c r="E106" s="21">
        <f>IF($A106="","",$A106&amp;"|"&amp;$C106)</f>
        <v/>
      </c>
      <c r="F106" s="29">
        <f>IF($A106="","",월별집계!$Z106)</f>
        <v/>
      </c>
      <c r="G106" s="29">
        <f>IF($A106="","",월별집계!$Y106)</f>
        <v/>
      </c>
      <c r="H106" s="60">
        <f>IF($A106="","",IF(G106&lt;=0,IF(F106&gt;0,1,0),F106/G106-1))</f>
        <v/>
      </c>
      <c r="I106" s="29">
        <f>IF($A106="","",월별집계!$N106)</f>
        <v/>
      </c>
      <c r="J106" s="60">
        <f>IF($A106="","",IF(I106&lt;=0,IF(F106&gt;0,1,0),F106/I106-1))</f>
        <v/>
      </c>
      <c r="K106" s="29">
        <f>IF($A106="","",SUMIFS(월별집계!$C106:$Z106,월별집계!$C$5:$Z$5,"&gt;="&amp;설정!$C$22,월별집계!$C$5:$Z$5,"&lt;="&amp;설정!$C$20))</f>
        <v/>
      </c>
      <c r="L106" s="29">
        <f>IF($A106="","",SUMIFS(월별집계!$C106:$Z106,월별집계!$C$5:$Z$5,"&gt;="&amp;(설정!$C$22-3),월별집계!$C$5:$Z$5,"&lt;="&amp;(설정!$C$20-3)))</f>
        <v/>
      </c>
      <c r="M106" s="60">
        <f>IF($A106="","",IF(L106&lt;=0,IF(K106&gt;0,1,0),K106/L106-1))</f>
        <v/>
      </c>
      <c r="N106" s="53">
        <f>IF($A106="","",MAX(F106-G106,F106-I106))</f>
        <v/>
      </c>
      <c r="O106" s="61">
        <f>IF($A106="","",IFERROR((월별집계!$Z106-AVERAGE(월별집계!N106:Y106))/STDEV(월별집계!N106:Y106),0))</f>
        <v/>
      </c>
      <c r="P106" s="29">
        <f>IF($A106="","",SUMIFS(예산판_원본!$O$5:$O$5000,예산판_원본!$L$5:$L$5000,$E106,예산판_원본!$M$5:$M$5000,설정!$C$6))</f>
        <v/>
      </c>
      <c r="Q106" s="29">
        <f>IF($A106="","",SUMIFS(월별집계!$C106:$Z106,월별집계!$C$5:$Z$5,"&gt;="&amp;(설정!$C$6*12+1),월별집계!$C$5:$Z$5,"&lt;="&amp;설정!$C$20))</f>
        <v/>
      </c>
      <c r="R106" s="53">
        <f>IF($A106="","",P106-Q106)</f>
        <v/>
      </c>
      <c r="S106" s="29">
        <f>IF($A106="","",AVERAGE(월별집계!X106:Z106)*(12-설정!$C$7))</f>
        <v/>
      </c>
      <c r="T106" s="29">
        <f>IF($A106="","",IFERROR(Q106/(SUMIFS(월별집계!$C106:$Z106,월별집계!$C$5:$Z$5,"&gt;="&amp;((설정!$C$6-1)*12+1),월별집계!$C$5:$Z$5,"&lt;="&amp;(설정!$C$20-12))/SUMIFS(월별집계!$C106:$Z106,월별집계!$C$5:$Z$5,"&gt;="&amp;((설정!$C$6-1)*12+1),월별집계!$C$5:$Z$5,"&lt;="&amp;((설정!$C$6-1)*12+12)))-Q106,S106))</f>
        <v/>
      </c>
      <c r="U106" s="53">
        <f>IF($A106="","",Q106+MAX(S106,T106))</f>
        <v/>
      </c>
      <c r="V106" s="49">
        <f>IF($A106="","",IF(P106=0,0,U106/P106))</f>
        <v/>
      </c>
      <c r="W106" s="28">
        <f>IF($A106="","",IF(AND(P106=0,Q106&gt;0),"무예산",IF(P106=0,"-",IF(V106&gt;설정!$C$12,"부족 예상",IF(V106&gt;설정!$C$11,"주의","여유")))))</f>
        <v/>
      </c>
      <c r="X106" s="53">
        <f>IF($A106="","",IF(P106=0,0,MAX(0,U106-P106)))</f>
        <v/>
      </c>
      <c r="Y106" s="28">
        <f>IF($A106="","",IF(OR(W106&lt;&gt;"부족 예상",설정!$C$7=12),"",IF(R106&lt;=0,"이미 초과",MIN(12,설정!$C$7+ROUNDUP(R106/(MAX(S106,T106)/(12-설정!$C$7)),0))&amp;"월")))</f>
        <v/>
      </c>
      <c r="Z106" s="22">
        <f>IF($A106="","",TRIM(IF(N(AC106)&gt;=설정!$C$14,"단건"&amp;TEXT(AC106,"0%")&amp;" ","")&amp;IF(AND(N106&gt;0,AD106&gt;0),IF(AD106/N106&gt;=설정!$C$16,"SA대체 ",""),"")&amp;IF(AE106&gt;0,"역분개"&amp;AE106&amp;"건 ","")&amp;IF(O106&gt;=설정!$C$13,"이상치 ","")&amp;IF(AND(I106=0,F106&gt;0),"신규지출 ","")))</f>
        <v/>
      </c>
      <c r="AA106" s="61">
        <f>IF($A106="","",ROUND((AF106+AG106+AH106+AI106)*IF(AND(F106&lt;설정!$C$10,N106&lt;설정!$C$10),0.3,1),1))</f>
        <v/>
      </c>
      <c r="AB106" s="50">
        <f>IF($A106="","",AA106+ROW()/1000000)</f>
        <v/>
      </c>
      <c r="AC106" s="56">
        <f>IF(OR($A106="",N106&lt;=0),"",SUMPRODUCT(MAX((전표_원본!$O$5:$O$100000=$E106)*(전표_원본!$M$5:$M$100000=설정!$C$20)*전표_원본!$P$5:$P$100000))/N106)</f>
        <v/>
      </c>
      <c r="AD106" s="29">
        <f>IF($A106="","",SUMIFS(전표_원본!$P$5:$P$100000,전표_원본!$O$5:$O$100000,$E106,전표_원본!$M$5:$M$100000,설정!$C$20,전표_원본!$E$5:$E$100000,"SA")-SUMIFS(전표_원본!$P$5:$P$100000,전표_원본!$O$5:$O$100000,$E106,전표_원본!$M$5:$M$100000,설정!$C$20-1,전표_원본!$E$5:$E$100000,"SA"))</f>
        <v/>
      </c>
      <c r="AE106" s="62">
        <f>IF($A106="","",COUNTIFS(전표_원본!$O$5:$O$100000,$E106,전표_원본!$M$5:$M$100000,설정!$C$20,전표_원본!$P$5:$P$100000,"&lt;0"))</f>
        <v/>
      </c>
      <c r="AF106" s="61">
        <f>IF($A106="","",MIN(MAX(0,N106)/(설정!$C$10*5),1)*30)</f>
        <v/>
      </c>
      <c r="AG106" s="63">
        <f>IF($A106="","",MIN(MAX(0,H106,J106),1)*20)</f>
        <v/>
      </c>
      <c r="AH106" s="63">
        <f>IF($A106="","",MIN(MAX(0,O106)/3,1)*25)</f>
        <v/>
      </c>
      <c r="AI106" s="63">
        <f>IF($A106="","",IF(OR(W106="부족 예상",W106="무예산"),25,IF(W106="주의",15,0)))</f>
        <v/>
      </c>
    </row>
    <row r="107">
      <c r="A107" s="12" t="n"/>
      <c r="B107" s="22">
        <f>IF($A107="","",IFERROR(INDEX(부서매핑!$D$5:$D$504,MATCH($A107,부서매핑!$C$5:$C$504,0)),"부서매핑 없음"))</f>
        <v/>
      </c>
      <c r="C107" s="59" t="n"/>
      <c r="D107" s="22">
        <f>IF($A107="","",IFERROR(INDEX(계정매핑!$B$5:$B$504,MATCH($C107&amp;"",계정매핑!$A$5:$A$504,0)),"계정매핑 없음"))</f>
        <v/>
      </c>
      <c r="E107" s="21">
        <f>IF($A107="","",$A107&amp;"|"&amp;$C107)</f>
        <v/>
      </c>
      <c r="F107" s="29">
        <f>IF($A107="","",월별집계!$Z107)</f>
        <v/>
      </c>
      <c r="G107" s="29">
        <f>IF($A107="","",월별집계!$Y107)</f>
        <v/>
      </c>
      <c r="H107" s="60">
        <f>IF($A107="","",IF(G107&lt;=0,IF(F107&gt;0,1,0),F107/G107-1))</f>
        <v/>
      </c>
      <c r="I107" s="29">
        <f>IF($A107="","",월별집계!$N107)</f>
        <v/>
      </c>
      <c r="J107" s="60">
        <f>IF($A107="","",IF(I107&lt;=0,IF(F107&gt;0,1,0),F107/I107-1))</f>
        <v/>
      </c>
      <c r="K107" s="29">
        <f>IF($A107="","",SUMIFS(월별집계!$C107:$Z107,월별집계!$C$5:$Z$5,"&gt;="&amp;설정!$C$22,월별집계!$C$5:$Z$5,"&lt;="&amp;설정!$C$20))</f>
        <v/>
      </c>
      <c r="L107" s="29">
        <f>IF($A107="","",SUMIFS(월별집계!$C107:$Z107,월별집계!$C$5:$Z$5,"&gt;="&amp;(설정!$C$22-3),월별집계!$C$5:$Z$5,"&lt;="&amp;(설정!$C$20-3)))</f>
        <v/>
      </c>
      <c r="M107" s="60">
        <f>IF($A107="","",IF(L107&lt;=0,IF(K107&gt;0,1,0),K107/L107-1))</f>
        <v/>
      </c>
      <c r="N107" s="53">
        <f>IF($A107="","",MAX(F107-G107,F107-I107))</f>
        <v/>
      </c>
      <c r="O107" s="61">
        <f>IF($A107="","",IFERROR((월별집계!$Z107-AVERAGE(월별집계!N107:Y107))/STDEV(월별집계!N107:Y107),0))</f>
        <v/>
      </c>
      <c r="P107" s="29">
        <f>IF($A107="","",SUMIFS(예산판_원본!$O$5:$O$5000,예산판_원본!$L$5:$L$5000,$E107,예산판_원본!$M$5:$M$5000,설정!$C$6))</f>
        <v/>
      </c>
      <c r="Q107" s="29">
        <f>IF($A107="","",SUMIFS(월별집계!$C107:$Z107,월별집계!$C$5:$Z$5,"&gt;="&amp;(설정!$C$6*12+1),월별집계!$C$5:$Z$5,"&lt;="&amp;설정!$C$20))</f>
        <v/>
      </c>
      <c r="R107" s="53">
        <f>IF($A107="","",P107-Q107)</f>
        <v/>
      </c>
      <c r="S107" s="29">
        <f>IF($A107="","",AVERAGE(월별집계!X107:Z107)*(12-설정!$C$7))</f>
        <v/>
      </c>
      <c r="T107" s="29">
        <f>IF($A107="","",IFERROR(Q107/(SUMIFS(월별집계!$C107:$Z107,월별집계!$C$5:$Z$5,"&gt;="&amp;((설정!$C$6-1)*12+1),월별집계!$C$5:$Z$5,"&lt;="&amp;(설정!$C$20-12))/SUMIFS(월별집계!$C107:$Z107,월별집계!$C$5:$Z$5,"&gt;="&amp;((설정!$C$6-1)*12+1),월별집계!$C$5:$Z$5,"&lt;="&amp;((설정!$C$6-1)*12+12)))-Q107,S107))</f>
        <v/>
      </c>
      <c r="U107" s="53">
        <f>IF($A107="","",Q107+MAX(S107,T107))</f>
        <v/>
      </c>
      <c r="V107" s="49">
        <f>IF($A107="","",IF(P107=0,0,U107/P107))</f>
        <v/>
      </c>
      <c r="W107" s="28">
        <f>IF($A107="","",IF(AND(P107=0,Q107&gt;0),"무예산",IF(P107=0,"-",IF(V107&gt;설정!$C$12,"부족 예상",IF(V107&gt;설정!$C$11,"주의","여유")))))</f>
        <v/>
      </c>
      <c r="X107" s="53">
        <f>IF($A107="","",IF(P107=0,0,MAX(0,U107-P107)))</f>
        <v/>
      </c>
      <c r="Y107" s="28">
        <f>IF($A107="","",IF(OR(W107&lt;&gt;"부족 예상",설정!$C$7=12),"",IF(R107&lt;=0,"이미 초과",MIN(12,설정!$C$7+ROUNDUP(R107/(MAX(S107,T107)/(12-설정!$C$7)),0))&amp;"월")))</f>
        <v/>
      </c>
      <c r="Z107" s="22">
        <f>IF($A107="","",TRIM(IF(N(AC107)&gt;=설정!$C$14,"단건"&amp;TEXT(AC107,"0%")&amp;" ","")&amp;IF(AND(N107&gt;0,AD107&gt;0),IF(AD107/N107&gt;=설정!$C$16,"SA대체 ",""),"")&amp;IF(AE107&gt;0,"역분개"&amp;AE107&amp;"건 ","")&amp;IF(O107&gt;=설정!$C$13,"이상치 ","")&amp;IF(AND(I107=0,F107&gt;0),"신규지출 ","")))</f>
        <v/>
      </c>
      <c r="AA107" s="61">
        <f>IF($A107="","",ROUND((AF107+AG107+AH107+AI107)*IF(AND(F107&lt;설정!$C$10,N107&lt;설정!$C$10),0.3,1),1))</f>
        <v/>
      </c>
      <c r="AB107" s="50">
        <f>IF($A107="","",AA107+ROW()/1000000)</f>
        <v/>
      </c>
      <c r="AC107" s="56">
        <f>IF(OR($A107="",N107&lt;=0),"",SUMPRODUCT(MAX((전표_원본!$O$5:$O$100000=$E107)*(전표_원본!$M$5:$M$100000=설정!$C$20)*전표_원본!$P$5:$P$100000))/N107)</f>
        <v/>
      </c>
      <c r="AD107" s="29">
        <f>IF($A107="","",SUMIFS(전표_원본!$P$5:$P$100000,전표_원본!$O$5:$O$100000,$E107,전표_원본!$M$5:$M$100000,설정!$C$20,전표_원본!$E$5:$E$100000,"SA")-SUMIFS(전표_원본!$P$5:$P$100000,전표_원본!$O$5:$O$100000,$E107,전표_원본!$M$5:$M$100000,설정!$C$20-1,전표_원본!$E$5:$E$100000,"SA"))</f>
        <v/>
      </c>
      <c r="AE107" s="62">
        <f>IF($A107="","",COUNTIFS(전표_원본!$O$5:$O$100000,$E107,전표_원본!$M$5:$M$100000,설정!$C$20,전표_원본!$P$5:$P$100000,"&lt;0"))</f>
        <v/>
      </c>
      <c r="AF107" s="61">
        <f>IF($A107="","",MIN(MAX(0,N107)/(설정!$C$10*5),1)*30)</f>
        <v/>
      </c>
      <c r="AG107" s="63">
        <f>IF($A107="","",MIN(MAX(0,H107,J107),1)*20)</f>
        <v/>
      </c>
      <c r="AH107" s="63">
        <f>IF($A107="","",MIN(MAX(0,O107)/3,1)*25)</f>
        <v/>
      </c>
      <c r="AI107" s="63">
        <f>IF($A107="","",IF(OR(W107="부족 예상",W107="무예산"),25,IF(W107="주의",15,0)))</f>
        <v/>
      </c>
    </row>
    <row r="108">
      <c r="A108" s="12" t="n"/>
      <c r="B108" s="22">
        <f>IF($A108="","",IFERROR(INDEX(부서매핑!$D$5:$D$504,MATCH($A108,부서매핑!$C$5:$C$504,0)),"부서매핑 없음"))</f>
        <v/>
      </c>
      <c r="C108" s="59" t="n"/>
      <c r="D108" s="22">
        <f>IF($A108="","",IFERROR(INDEX(계정매핑!$B$5:$B$504,MATCH($C108&amp;"",계정매핑!$A$5:$A$504,0)),"계정매핑 없음"))</f>
        <v/>
      </c>
      <c r="E108" s="21">
        <f>IF($A108="","",$A108&amp;"|"&amp;$C108)</f>
        <v/>
      </c>
      <c r="F108" s="29">
        <f>IF($A108="","",월별집계!$Z108)</f>
        <v/>
      </c>
      <c r="G108" s="29">
        <f>IF($A108="","",월별집계!$Y108)</f>
        <v/>
      </c>
      <c r="H108" s="60">
        <f>IF($A108="","",IF(G108&lt;=0,IF(F108&gt;0,1,0),F108/G108-1))</f>
        <v/>
      </c>
      <c r="I108" s="29">
        <f>IF($A108="","",월별집계!$N108)</f>
        <v/>
      </c>
      <c r="J108" s="60">
        <f>IF($A108="","",IF(I108&lt;=0,IF(F108&gt;0,1,0),F108/I108-1))</f>
        <v/>
      </c>
      <c r="K108" s="29">
        <f>IF($A108="","",SUMIFS(월별집계!$C108:$Z108,월별집계!$C$5:$Z$5,"&gt;="&amp;설정!$C$22,월별집계!$C$5:$Z$5,"&lt;="&amp;설정!$C$20))</f>
        <v/>
      </c>
      <c r="L108" s="29">
        <f>IF($A108="","",SUMIFS(월별집계!$C108:$Z108,월별집계!$C$5:$Z$5,"&gt;="&amp;(설정!$C$22-3),월별집계!$C$5:$Z$5,"&lt;="&amp;(설정!$C$20-3)))</f>
        <v/>
      </c>
      <c r="M108" s="60">
        <f>IF($A108="","",IF(L108&lt;=0,IF(K108&gt;0,1,0),K108/L108-1))</f>
        <v/>
      </c>
      <c r="N108" s="53">
        <f>IF($A108="","",MAX(F108-G108,F108-I108))</f>
        <v/>
      </c>
      <c r="O108" s="61">
        <f>IF($A108="","",IFERROR((월별집계!$Z108-AVERAGE(월별집계!N108:Y108))/STDEV(월별집계!N108:Y108),0))</f>
        <v/>
      </c>
      <c r="P108" s="29">
        <f>IF($A108="","",SUMIFS(예산판_원본!$O$5:$O$5000,예산판_원본!$L$5:$L$5000,$E108,예산판_원본!$M$5:$M$5000,설정!$C$6))</f>
        <v/>
      </c>
      <c r="Q108" s="29">
        <f>IF($A108="","",SUMIFS(월별집계!$C108:$Z108,월별집계!$C$5:$Z$5,"&gt;="&amp;(설정!$C$6*12+1),월별집계!$C$5:$Z$5,"&lt;="&amp;설정!$C$20))</f>
        <v/>
      </c>
      <c r="R108" s="53">
        <f>IF($A108="","",P108-Q108)</f>
        <v/>
      </c>
      <c r="S108" s="29">
        <f>IF($A108="","",AVERAGE(월별집계!X108:Z108)*(12-설정!$C$7))</f>
        <v/>
      </c>
      <c r="T108" s="29">
        <f>IF($A108="","",IFERROR(Q108/(SUMIFS(월별집계!$C108:$Z108,월별집계!$C$5:$Z$5,"&gt;="&amp;((설정!$C$6-1)*12+1),월별집계!$C$5:$Z$5,"&lt;="&amp;(설정!$C$20-12))/SUMIFS(월별집계!$C108:$Z108,월별집계!$C$5:$Z$5,"&gt;="&amp;((설정!$C$6-1)*12+1),월별집계!$C$5:$Z$5,"&lt;="&amp;((설정!$C$6-1)*12+12)))-Q108,S108))</f>
        <v/>
      </c>
      <c r="U108" s="53">
        <f>IF($A108="","",Q108+MAX(S108,T108))</f>
        <v/>
      </c>
      <c r="V108" s="49">
        <f>IF($A108="","",IF(P108=0,0,U108/P108))</f>
        <v/>
      </c>
      <c r="W108" s="28">
        <f>IF($A108="","",IF(AND(P108=0,Q108&gt;0),"무예산",IF(P108=0,"-",IF(V108&gt;설정!$C$12,"부족 예상",IF(V108&gt;설정!$C$11,"주의","여유")))))</f>
        <v/>
      </c>
      <c r="X108" s="53">
        <f>IF($A108="","",IF(P108=0,0,MAX(0,U108-P108)))</f>
        <v/>
      </c>
      <c r="Y108" s="28">
        <f>IF($A108="","",IF(OR(W108&lt;&gt;"부족 예상",설정!$C$7=12),"",IF(R108&lt;=0,"이미 초과",MIN(12,설정!$C$7+ROUNDUP(R108/(MAX(S108,T108)/(12-설정!$C$7)),0))&amp;"월")))</f>
        <v/>
      </c>
      <c r="Z108" s="22">
        <f>IF($A108="","",TRIM(IF(N(AC108)&gt;=설정!$C$14,"단건"&amp;TEXT(AC108,"0%")&amp;" ","")&amp;IF(AND(N108&gt;0,AD108&gt;0),IF(AD108/N108&gt;=설정!$C$16,"SA대체 ",""),"")&amp;IF(AE108&gt;0,"역분개"&amp;AE108&amp;"건 ","")&amp;IF(O108&gt;=설정!$C$13,"이상치 ","")&amp;IF(AND(I108=0,F108&gt;0),"신규지출 ","")))</f>
        <v/>
      </c>
      <c r="AA108" s="61">
        <f>IF($A108="","",ROUND((AF108+AG108+AH108+AI108)*IF(AND(F108&lt;설정!$C$10,N108&lt;설정!$C$10),0.3,1),1))</f>
        <v/>
      </c>
      <c r="AB108" s="50">
        <f>IF($A108="","",AA108+ROW()/1000000)</f>
        <v/>
      </c>
      <c r="AC108" s="56">
        <f>IF(OR($A108="",N108&lt;=0),"",SUMPRODUCT(MAX((전표_원본!$O$5:$O$100000=$E108)*(전표_원본!$M$5:$M$100000=설정!$C$20)*전표_원본!$P$5:$P$100000))/N108)</f>
        <v/>
      </c>
      <c r="AD108" s="29">
        <f>IF($A108="","",SUMIFS(전표_원본!$P$5:$P$100000,전표_원본!$O$5:$O$100000,$E108,전표_원본!$M$5:$M$100000,설정!$C$20,전표_원본!$E$5:$E$100000,"SA")-SUMIFS(전표_원본!$P$5:$P$100000,전표_원본!$O$5:$O$100000,$E108,전표_원본!$M$5:$M$100000,설정!$C$20-1,전표_원본!$E$5:$E$100000,"SA"))</f>
        <v/>
      </c>
      <c r="AE108" s="62">
        <f>IF($A108="","",COUNTIFS(전표_원본!$O$5:$O$100000,$E108,전표_원본!$M$5:$M$100000,설정!$C$20,전표_원본!$P$5:$P$100000,"&lt;0"))</f>
        <v/>
      </c>
      <c r="AF108" s="61">
        <f>IF($A108="","",MIN(MAX(0,N108)/(설정!$C$10*5),1)*30)</f>
        <v/>
      </c>
      <c r="AG108" s="63">
        <f>IF($A108="","",MIN(MAX(0,H108,J108),1)*20)</f>
        <v/>
      </c>
      <c r="AH108" s="63">
        <f>IF($A108="","",MIN(MAX(0,O108)/3,1)*25)</f>
        <v/>
      </c>
      <c r="AI108" s="63">
        <f>IF($A108="","",IF(OR(W108="부족 예상",W108="무예산"),25,IF(W108="주의",15,0)))</f>
        <v/>
      </c>
    </row>
    <row r="109">
      <c r="A109" s="12" t="n"/>
      <c r="B109" s="22">
        <f>IF($A109="","",IFERROR(INDEX(부서매핑!$D$5:$D$504,MATCH($A109,부서매핑!$C$5:$C$504,0)),"부서매핑 없음"))</f>
        <v/>
      </c>
      <c r="C109" s="59" t="n"/>
      <c r="D109" s="22">
        <f>IF($A109="","",IFERROR(INDEX(계정매핑!$B$5:$B$504,MATCH($C109&amp;"",계정매핑!$A$5:$A$504,0)),"계정매핑 없음"))</f>
        <v/>
      </c>
      <c r="E109" s="21">
        <f>IF($A109="","",$A109&amp;"|"&amp;$C109)</f>
        <v/>
      </c>
      <c r="F109" s="29">
        <f>IF($A109="","",월별집계!$Z109)</f>
        <v/>
      </c>
      <c r="G109" s="29">
        <f>IF($A109="","",월별집계!$Y109)</f>
        <v/>
      </c>
      <c r="H109" s="60">
        <f>IF($A109="","",IF(G109&lt;=0,IF(F109&gt;0,1,0),F109/G109-1))</f>
        <v/>
      </c>
      <c r="I109" s="29">
        <f>IF($A109="","",월별집계!$N109)</f>
        <v/>
      </c>
      <c r="J109" s="60">
        <f>IF($A109="","",IF(I109&lt;=0,IF(F109&gt;0,1,0),F109/I109-1))</f>
        <v/>
      </c>
      <c r="K109" s="29">
        <f>IF($A109="","",SUMIFS(월별집계!$C109:$Z109,월별집계!$C$5:$Z$5,"&gt;="&amp;설정!$C$22,월별집계!$C$5:$Z$5,"&lt;="&amp;설정!$C$20))</f>
        <v/>
      </c>
      <c r="L109" s="29">
        <f>IF($A109="","",SUMIFS(월별집계!$C109:$Z109,월별집계!$C$5:$Z$5,"&gt;="&amp;(설정!$C$22-3),월별집계!$C$5:$Z$5,"&lt;="&amp;(설정!$C$20-3)))</f>
        <v/>
      </c>
      <c r="M109" s="60">
        <f>IF($A109="","",IF(L109&lt;=0,IF(K109&gt;0,1,0),K109/L109-1))</f>
        <v/>
      </c>
      <c r="N109" s="53">
        <f>IF($A109="","",MAX(F109-G109,F109-I109))</f>
        <v/>
      </c>
      <c r="O109" s="61">
        <f>IF($A109="","",IFERROR((월별집계!$Z109-AVERAGE(월별집계!N109:Y109))/STDEV(월별집계!N109:Y109),0))</f>
        <v/>
      </c>
      <c r="P109" s="29">
        <f>IF($A109="","",SUMIFS(예산판_원본!$O$5:$O$5000,예산판_원본!$L$5:$L$5000,$E109,예산판_원본!$M$5:$M$5000,설정!$C$6))</f>
        <v/>
      </c>
      <c r="Q109" s="29">
        <f>IF($A109="","",SUMIFS(월별집계!$C109:$Z109,월별집계!$C$5:$Z$5,"&gt;="&amp;(설정!$C$6*12+1),월별집계!$C$5:$Z$5,"&lt;="&amp;설정!$C$20))</f>
        <v/>
      </c>
      <c r="R109" s="53">
        <f>IF($A109="","",P109-Q109)</f>
        <v/>
      </c>
      <c r="S109" s="29">
        <f>IF($A109="","",AVERAGE(월별집계!X109:Z109)*(12-설정!$C$7))</f>
        <v/>
      </c>
      <c r="T109" s="29">
        <f>IF($A109="","",IFERROR(Q109/(SUMIFS(월별집계!$C109:$Z109,월별집계!$C$5:$Z$5,"&gt;="&amp;((설정!$C$6-1)*12+1),월별집계!$C$5:$Z$5,"&lt;="&amp;(설정!$C$20-12))/SUMIFS(월별집계!$C109:$Z109,월별집계!$C$5:$Z$5,"&gt;="&amp;((설정!$C$6-1)*12+1),월별집계!$C$5:$Z$5,"&lt;="&amp;((설정!$C$6-1)*12+12)))-Q109,S109))</f>
        <v/>
      </c>
      <c r="U109" s="53">
        <f>IF($A109="","",Q109+MAX(S109,T109))</f>
        <v/>
      </c>
      <c r="V109" s="49">
        <f>IF($A109="","",IF(P109=0,0,U109/P109))</f>
        <v/>
      </c>
      <c r="W109" s="28">
        <f>IF($A109="","",IF(AND(P109=0,Q109&gt;0),"무예산",IF(P109=0,"-",IF(V109&gt;설정!$C$12,"부족 예상",IF(V109&gt;설정!$C$11,"주의","여유")))))</f>
        <v/>
      </c>
      <c r="X109" s="53">
        <f>IF($A109="","",IF(P109=0,0,MAX(0,U109-P109)))</f>
        <v/>
      </c>
      <c r="Y109" s="28">
        <f>IF($A109="","",IF(OR(W109&lt;&gt;"부족 예상",설정!$C$7=12),"",IF(R109&lt;=0,"이미 초과",MIN(12,설정!$C$7+ROUNDUP(R109/(MAX(S109,T109)/(12-설정!$C$7)),0))&amp;"월")))</f>
        <v/>
      </c>
      <c r="Z109" s="22">
        <f>IF($A109="","",TRIM(IF(N(AC109)&gt;=설정!$C$14,"단건"&amp;TEXT(AC109,"0%")&amp;" ","")&amp;IF(AND(N109&gt;0,AD109&gt;0),IF(AD109/N109&gt;=설정!$C$16,"SA대체 ",""),"")&amp;IF(AE109&gt;0,"역분개"&amp;AE109&amp;"건 ","")&amp;IF(O109&gt;=설정!$C$13,"이상치 ","")&amp;IF(AND(I109=0,F109&gt;0),"신규지출 ","")))</f>
        <v/>
      </c>
      <c r="AA109" s="61">
        <f>IF($A109="","",ROUND((AF109+AG109+AH109+AI109)*IF(AND(F109&lt;설정!$C$10,N109&lt;설정!$C$10),0.3,1),1))</f>
        <v/>
      </c>
      <c r="AB109" s="50">
        <f>IF($A109="","",AA109+ROW()/1000000)</f>
        <v/>
      </c>
      <c r="AC109" s="56">
        <f>IF(OR($A109="",N109&lt;=0),"",SUMPRODUCT(MAX((전표_원본!$O$5:$O$100000=$E109)*(전표_원본!$M$5:$M$100000=설정!$C$20)*전표_원본!$P$5:$P$100000))/N109)</f>
        <v/>
      </c>
      <c r="AD109" s="29">
        <f>IF($A109="","",SUMIFS(전표_원본!$P$5:$P$100000,전표_원본!$O$5:$O$100000,$E109,전표_원본!$M$5:$M$100000,설정!$C$20,전표_원본!$E$5:$E$100000,"SA")-SUMIFS(전표_원본!$P$5:$P$100000,전표_원본!$O$5:$O$100000,$E109,전표_원본!$M$5:$M$100000,설정!$C$20-1,전표_원본!$E$5:$E$100000,"SA"))</f>
        <v/>
      </c>
      <c r="AE109" s="62">
        <f>IF($A109="","",COUNTIFS(전표_원본!$O$5:$O$100000,$E109,전표_원본!$M$5:$M$100000,설정!$C$20,전표_원본!$P$5:$P$100000,"&lt;0"))</f>
        <v/>
      </c>
      <c r="AF109" s="61">
        <f>IF($A109="","",MIN(MAX(0,N109)/(설정!$C$10*5),1)*30)</f>
        <v/>
      </c>
      <c r="AG109" s="63">
        <f>IF($A109="","",MIN(MAX(0,H109,J109),1)*20)</f>
        <v/>
      </c>
      <c r="AH109" s="63">
        <f>IF($A109="","",MIN(MAX(0,O109)/3,1)*25)</f>
        <v/>
      </c>
      <c r="AI109" s="63">
        <f>IF($A109="","",IF(OR(W109="부족 예상",W109="무예산"),25,IF(W109="주의",15,0)))</f>
        <v/>
      </c>
    </row>
  </sheetData>
  <autoFilter ref="A6:AI109"/>
  <conditionalFormatting sqref="W7:W506">
    <cfRule type="cellIs" priority="1" operator="equal" dxfId="8">
      <formula>"부족 예상"</formula>
    </cfRule>
    <cfRule type="cellIs" priority="2" operator="equal" dxfId="4">
      <formula>"주의"</formula>
    </cfRule>
    <cfRule type="cellIs" priority="3" operator="equal" dxfId="5">
      <formula>"무예산"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1" t="inlineStr">
        <is>
          <t>TRACE · 계정변동 (TB 기준, 전사) 및 3자 대사</t>
        </is>
      </c>
    </row>
    <row r="2">
      <c r="A2" s="2" t="inlineStr">
        <is>
          <t>TB로 본 계정별 변동 + 전표·예산판과 합계 대사 · 금액: 보고단위</t>
        </is>
      </c>
    </row>
    <row r="3">
      <c r="A3" s="35">
        <f>"기준: "&amp;INT((설정!$C$20-1)/12)&amp;"-"&amp;TEXT(MOD(설정!$C$20-1,12)+1,"00")&amp;" · 당분기: "&amp;설정!$C$6&amp;"년 "&amp;설정!$C$21&amp;"분기"</f>
        <v/>
      </c>
    </row>
    <row r="5" ht="40" customHeight="1">
      <c r="A5" s="4" t="inlineStr">
        <is>
          <t>G/L 계정</t>
        </is>
      </c>
      <c r="B5" s="4" t="inlineStr">
        <is>
          <t>계정명</t>
        </is>
      </c>
      <c r="C5" s="4" t="inlineStr">
        <is>
          <t>TB 당월</t>
        </is>
      </c>
      <c r="D5" s="4" t="inlineStr">
        <is>
          <t>TB 전월</t>
        </is>
      </c>
      <c r="E5" s="4" t="inlineStr">
        <is>
          <t>전월
대비</t>
        </is>
      </c>
      <c r="F5" s="4" t="inlineStr">
        <is>
          <t>TB 전년동월</t>
        </is>
      </c>
      <c r="G5" s="4" t="inlineStr">
        <is>
          <t>전년동월
대비</t>
        </is>
      </c>
      <c r="H5" s="4" t="inlineStr">
        <is>
          <t>TB 당분기</t>
        </is>
      </c>
      <c r="I5" s="4" t="inlineStr">
        <is>
          <t>TB 전분기</t>
        </is>
      </c>
      <c r="J5" s="4" t="inlineStr">
        <is>
          <t>전분기
대비</t>
        </is>
      </c>
      <c r="K5" s="4" t="inlineStr">
        <is>
          <t>전표 당월</t>
        </is>
      </c>
      <c r="L5" s="4" t="inlineStr">
        <is>
          <t>대사 차이
(TB−전표)</t>
        </is>
      </c>
      <c r="M5" s="4" t="inlineStr">
        <is>
          <t>예산판
당분기 실적</t>
        </is>
      </c>
      <c r="N5" s="4" t="inlineStr">
        <is>
          <t>전표
당분기</t>
        </is>
      </c>
      <c r="O5" s="4" t="inlineStr">
        <is>
          <t>대사 차이
(예산판−전표)</t>
        </is>
      </c>
      <c r="P5" s="4" t="inlineStr">
        <is>
          <t>판정</t>
        </is>
      </c>
    </row>
    <row r="6">
      <c r="A6" s="59" t="inlineStr">
        <is>
          <t>62101000</t>
        </is>
      </c>
      <c r="B6" s="22">
        <f>IFERROR(INDEX(계정매핑!$B$5:$B$504,MATCH($A6,계정매핑!$A$5:$A$504,0)),"")</f>
        <v/>
      </c>
      <c r="C6" s="29">
        <f>SUMIFS(TB_원본!$K$5:$K$20000,TB_원본!$J$5:$J$20000,$A6,TB_원본!$I$5:$I$20000,설정!$C$20)</f>
        <v/>
      </c>
      <c r="D6" s="29">
        <f>SUMIFS(TB_원본!$K$5:$K$20000,TB_원본!$J$5:$J$20000,$A6,TB_원본!$I$5:$I$20000,설정!$C$20-1)</f>
        <v/>
      </c>
      <c r="E6" s="60">
        <f>IF(D6&lt;=0,IF(C6&gt;0,1,0),C6/D6-1)</f>
        <v/>
      </c>
      <c r="F6" s="29">
        <f>SUMIFS(TB_원본!$K$5:$K$20000,TB_원본!$J$5:$J$20000,$A6,TB_원본!$I$5:$I$20000,설정!$C$20-12)</f>
        <v/>
      </c>
      <c r="G6" s="60">
        <f>IF(F6&lt;=0,IF(C6&gt;0,1,0),C6/F6-1)</f>
        <v/>
      </c>
      <c r="H6" s="29">
        <f>SUMIFS(TB_원본!$K$5:$K$20000,TB_원본!$J$5:$J$20000,$A6,TB_원본!$I$5:$I$20000,"&gt;="&amp;설정!$C$22,TB_원본!$I$5:$I$20000,"&lt;="&amp;설정!$C$20)</f>
        <v/>
      </c>
      <c r="I6" s="29">
        <f>SUMIFS(TB_원본!$K$5:$K$20000,TB_원본!$J$5:$J$20000,$A6,TB_원본!$I$5:$I$20000,"&gt;="&amp;(설정!$C$22-3),TB_원본!$I$5:$I$20000,"&lt;="&amp;(설정!$C$20-3))</f>
        <v/>
      </c>
      <c r="J6" s="60">
        <f>IF(I6&lt;=0,IF(H6&gt;0,1,0),H6/I6-1)</f>
        <v/>
      </c>
      <c r="K6" s="29">
        <f>SUMIFS(전표_원본!$P$5:$P$100000,전표_원본!$X$5:$X$100000,$A6,전표_원본!$M$5:$M$100000,설정!$C$20)</f>
        <v/>
      </c>
      <c r="L6" s="53">
        <f>C6-K6</f>
        <v/>
      </c>
      <c r="M6" s="29">
        <f>SUMIFS(예산판_원본!$P$5:$P$5000,예산판_원본!$R$5:$R$5000,$A6,예산판_원본!$M$5:$M$5000,설정!$C$6,예산판_원본!$N$5:$N$5000,설정!$C$21)</f>
        <v/>
      </c>
      <c r="N6" s="29">
        <f>SUMIFS(전표_원본!$P$5:$P$100000,전표_원본!$X$5:$X$100000,$A6,전표_원본!$M$5:$M$100000,"&gt;="&amp;설정!$C$22,전표_원본!$M$5:$M$100000,"&lt;="&amp;설정!$C$20)</f>
        <v/>
      </c>
      <c r="O6" s="53">
        <f>M6-N6</f>
        <v/>
      </c>
      <c r="P6" s="21">
        <f>IF(AND(ABS(L6)&lt;0.05,ABS(O6)&lt;0.05),"OK","차이 확인")</f>
        <v/>
      </c>
    </row>
    <row r="7">
      <c r="A7" s="59" t="inlineStr">
        <is>
          <t>62102000</t>
        </is>
      </c>
      <c r="B7" s="22">
        <f>IFERROR(INDEX(계정매핑!$B$5:$B$504,MATCH($A7,계정매핑!$A$5:$A$504,0)),"")</f>
        <v/>
      </c>
      <c r="C7" s="29">
        <f>SUMIFS(TB_원본!$K$5:$K$20000,TB_원본!$J$5:$J$20000,$A7,TB_원본!$I$5:$I$20000,설정!$C$20)</f>
        <v/>
      </c>
      <c r="D7" s="29">
        <f>SUMIFS(TB_원본!$K$5:$K$20000,TB_원본!$J$5:$J$20000,$A7,TB_원본!$I$5:$I$20000,설정!$C$20-1)</f>
        <v/>
      </c>
      <c r="E7" s="60">
        <f>IF(D7&lt;=0,IF(C7&gt;0,1,0),C7/D7-1)</f>
        <v/>
      </c>
      <c r="F7" s="29">
        <f>SUMIFS(TB_원본!$K$5:$K$20000,TB_원본!$J$5:$J$20000,$A7,TB_원본!$I$5:$I$20000,설정!$C$20-12)</f>
        <v/>
      </c>
      <c r="G7" s="60">
        <f>IF(F7&lt;=0,IF(C7&gt;0,1,0),C7/F7-1)</f>
        <v/>
      </c>
      <c r="H7" s="29">
        <f>SUMIFS(TB_원본!$K$5:$K$20000,TB_원본!$J$5:$J$20000,$A7,TB_원본!$I$5:$I$20000,"&gt;="&amp;설정!$C$22,TB_원본!$I$5:$I$20000,"&lt;="&amp;설정!$C$20)</f>
        <v/>
      </c>
      <c r="I7" s="29">
        <f>SUMIFS(TB_원본!$K$5:$K$20000,TB_원본!$J$5:$J$20000,$A7,TB_원본!$I$5:$I$20000,"&gt;="&amp;(설정!$C$22-3),TB_원본!$I$5:$I$20000,"&lt;="&amp;(설정!$C$20-3))</f>
        <v/>
      </c>
      <c r="J7" s="60">
        <f>IF(I7&lt;=0,IF(H7&gt;0,1,0),H7/I7-1)</f>
        <v/>
      </c>
      <c r="K7" s="29">
        <f>SUMIFS(전표_원본!$P$5:$P$100000,전표_원본!$X$5:$X$100000,$A7,전표_원본!$M$5:$M$100000,설정!$C$20)</f>
        <v/>
      </c>
      <c r="L7" s="53">
        <f>C7-K7</f>
        <v/>
      </c>
      <c r="M7" s="29">
        <f>SUMIFS(예산판_원본!$P$5:$P$5000,예산판_원본!$R$5:$R$5000,$A7,예산판_원본!$M$5:$M$5000,설정!$C$6,예산판_원본!$N$5:$N$5000,설정!$C$21)</f>
        <v/>
      </c>
      <c r="N7" s="29">
        <f>SUMIFS(전표_원본!$P$5:$P$100000,전표_원본!$X$5:$X$100000,$A7,전표_원본!$M$5:$M$100000,"&gt;="&amp;설정!$C$22,전표_원본!$M$5:$M$100000,"&lt;="&amp;설정!$C$20)</f>
        <v/>
      </c>
      <c r="O7" s="53">
        <f>M7-N7</f>
        <v/>
      </c>
      <c r="P7" s="21">
        <f>IF(AND(ABS(L7)&lt;0.05,ABS(O7)&lt;0.05),"OK","차이 확인")</f>
        <v/>
      </c>
    </row>
    <row r="8">
      <c r="A8" s="59" t="inlineStr">
        <is>
          <t>62201000</t>
        </is>
      </c>
      <c r="B8" s="22">
        <f>IFERROR(INDEX(계정매핑!$B$5:$B$504,MATCH($A8,계정매핑!$A$5:$A$504,0)),"")</f>
        <v/>
      </c>
      <c r="C8" s="29">
        <f>SUMIFS(TB_원본!$K$5:$K$20000,TB_원본!$J$5:$J$20000,$A8,TB_원본!$I$5:$I$20000,설정!$C$20)</f>
        <v/>
      </c>
      <c r="D8" s="29">
        <f>SUMIFS(TB_원본!$K$5:$K$20000,TB_원본!$J$5:$J$20000,$A8,TB_원본!$I$5:$I$20000,설정!$C$20-1)</f>
        <v/>
      </c>
      <c r="E8" s="60">
        <f>IF(D8&lt;=0,IF(C8&gt;0,1,0),C8/D8-1)</f>
        <v/>
      </c>
      <c r="F8" s="29">
        <f>SUMIFS(TB_원본!$K$5:$K$20000,TB_원본!$J$5:$J$20000,$A8,TB_원본!$I$5:$I$20000,설정!$C$20-12)</f>
        <v/>
      </c>
      <c r="G8" s="60">
        <f>IF(F8&lt;=0,IF(C8&gt;0,1,0),C8/F8-1)</f>
        <v/>
      </c>
      <c r="H8" s="29">
        <f>SUMIFS(TB_원본!$K$5:$K$20000,TB_원본!$J$5:$J$20000,$A8,TB_원본!$I$5:$I$20000,"&gt;="&amp;설정!$C$22,TB_원본!$I$5:$I$20000,"&lt;="&amp;설정!$C$20)</f>
        <v/>
      </c>
      <c r="I8" s="29">
        <f>SUMIFS(TB_원본!$K$5:$K$20000,TB_원본!$J$5:$J$20000,$A8,TB_원본!$I$5:$I$20000,"&gt;="&amp;(설정!$C$22-3),TB_원본!$I$5:$I$20000,"&lt;="&amp;(설정!$C$20-3))</f>
        <v/>
      </c>
      <c r="J8" s="60">
        <f>IF(I8&lt;=0,IF(H8&gt;0,1,0),H8/I8-1)</f>
        <v/>
      </c>
      <c r="K8" s="29">
        <f>SUMIFS(전표_원본!$P$5:$P$100000,전표_원본!$X$5:$X$100000,$A8,전표_원본!$M$5:$M$100000,설정!$C$20)</f>
        <v/>
      </c>
      <c r="L8" s="53">
        <f>C8-K8</f>
        <v/>
      </c>
      <c r="M8" s="29">
        <f>SUMIFS(예산판_원본!$P$5:$P$5000,예산판_원본!$R$5:$R$5000,$A8,예산판_원본!$M$5:$M$5000,설정!$C$6,예산판_원본!$N$5:$N$5000,설정!$C$21)</f>
        <v/>
      </c>
      <c r="N8" s="29">
        <f>SUMIFS(전표_원본!$P$5:$P$100000,전표_원본!$X$5:$X$100000,$A8,전표_원본!$M$5:$M$100000,"&gt;="&amp;설정!$C$22,전표_원본!$M$5:$M$100000,"&lt;="&amp;설정!$C$20)</f>
        <v/>
      </c>
      <c r="O8" s="53">
        <f>M8-N8</f>
        <v/>
      </c>
      <c r="P8" s="21">
        <f>IF(AND(ABS(L8)&lt;0.05,ABS(O8)&lt;0.05),"OK","차이 확인")</f>
        <v/>
      </c>
    </row>
    <row r="9">
      <c r="A9" s="59" t="inlineStr">
        <is>
          <t>62301000</t>
        </is>
      </c>
      <c r="B9" s="22">
        <f>IFERROR(INDEX(계정매핑!$B$5:$B$504,MATCH($A9,계정매핑!$A$5:$A$504,0)),"")</f>
        <v/>
      </c>
      <c r="C9" s="29">
        <f>SUMIFS(TB_원본!$K$5:$K$20000,TB_원본!$J$5:$J$20000,$A9,TB_원본!$I$5:$I$20000,설정!$C$20)</f>
        <v/>
      </c>
      <c r="D9" s="29">
        <f>SUMIFS(TB_원본!$K$5:$K$20000,TB_원본!$J$5:$J$20000,$A9,TB_원본!$I$5:$I$20000,설정!$C$20-1)</f>
        <v/>
      </c>
      <c r="E9" s="60">
        <f>IF(D9&lt;=0,IF(C9&gt;0,1,0),C9/D9-1)</f>
        <v/>
      </c>
      <c r="F9" s="29">
        <f>SUMIFS(TB_원본!$K$5:$K$20000,TB_원본!$J$5:$J$20000,$A9,TB_원본!$I$5:$I$20000,설정!$C$20-12)</f>
        <v/>
      </c>
      <c r="G9" s="60">
        <f>IF(F9&lt;=0,IF(C9&gt;0,1,0),C9/F9-1)</f>
        <v/>
      </c>
      <c r="H9" s="29">
        <f>SUMIFS(TB_원본!$K$5:$K$20000,TB_원본!$J$5:$J$20000,$A9,TB_원본!$I$5:$I$20000,"&gt;="&amp;설정!$C$22,TB_원본!$I$5:$I$20000,"&lt;="&amp;설정!$C$20)</f>
        <v/>
      </c>
      <c r="I9" s="29">
        <f>SUMIFS(TB_원본!$K$5:$K$20000,TB_원본!$J$5:$J$20000,$A9,TB_원본!$I$5:$I$20000,"&gt;="&amp;(설정!$C$22-3),TB_원본!$I$5:$I$20000,"&lt;="&amp;(설정!$C$20-3))</f>
        <v/>
      </c>
      <c r="J9" s="60">
        <f>IF(I9&lt;=0,IF(H9&gt;0,1,0),H9/I9-1)</f>
        <v/>
      </c>
      <c r="K9" s="29">
        <f>SUMIFS(전표_원본!$P$5:$P$100000,전표_원본!$X$5:$X$100000,$A9,전표_원본!$M$5:$M$100000,설정!$C$20)</f>
        <v/>
      </c>
      <c r="L9" s="53">
        <f>C9-K9</f>
        <v/>
      </c>
      <c r="M9" s="29">
        <f>SUMIFS(예산판_원본!$P$5:$P$5000,예산판_원본!$R$5:$R$5000,$A9,예산판_원본!$M$5:$M$5000,설정!$C$6,예산판_원본!$N$5:$N$5000,설정!$C$21)</f>
        <v/>
      </c>
      <c r="N9" s="29">
        <f>SUMIFS(전표_원본!$P$5:$P$100000,전표_원본!$X$5:$X$100000,$A9,전표_원본!$M$5:$M$100000,"&gt;="&amp;설정!$C$22,전표_원본!$M$5:$M$100000,"&lt;="&amp;설정!$C$20)</f>
        <v/>
      </c>
      <c r="O9" s="53">
        <f>M9-N9</f>
        <v/>
      </c>
      <c r="P9" s="21">
        <f>IF(AND(ABS(L9)&lt;0.05,ABS(O9)&lt;0.05),"OK","차이 확인")</f>
        <v/>
      </c>
    </row>
    <row r="10">
      <c r="A10" s="59" t="inlineStr">
        <is>
          <t>62401000</t>
        </is>
      </c>
      <c r="B10" s="22">
        <f>IFERROR(INDEX(계정매핑!$B$5:$B$504,MATCH($A10,계정매핑!$A$5:$A$504,0)),"")</f>
        <v/>
      </c>
      <c r="C10" s="29">
        <f>SUMIFS(TB_원본!$K$5:$K$20000,TB_원본!$J$5:$J$20000,$A10,TB_원본!$I$5:$I$20000,설정!$C$20)</f>
        <v/>
      </c>
      <c r="D10" s="29">
        <f>SUMIFS(TB_원본!$K$5:$K$20000,TB_원본!$J$5:$J$20000,$A10,TB_원본!$I$5:$I$20000,설정!$C$20-1)</f>
        <v/>
      </c>
      <c r="E10" s="60">
        <f>IF(D10&lt;=0,IF(C10&gt;0,1,0),C10/D10-1)</f>
        <v/>
      </c>
      <c r="F10" s="29">
        <f>SUMIFS(TB_원본!$K$5:$K$20000,TB_원본!$J$5:$J$20000,$A10,TB_원본!$I$5:$I$20000,설정!$C$20-12)</f>
        <v/>
      </c>
      <c r="G10" s="60">
        <f>IF(F10&lt;=0,IF(C10&gt;0,1,0),C10/F10-1)</f>
        <v/>
      </c>
      <c r="H10" s="29">
        <f>SUMIFS(TB_원본!$K$5:$K$20000,TB_원본!$J$5:$J$20000,$A10,TB_원본!$I$5:$I$20000,"&gt;="&amp;설정!$C$22,TB_원본!$I$5:$I$20000,"&lt;="&amp;설정!$C$20)</f>
        <v/>
      </c>
      <c r="I10" s="29">
        <f>SUMIFS(TB_원본!$K$5:$K$20000,TB_원본!$J$5:$J$20000,$A10,TB_원본!$I$5:$I$20000,"&gt;="&amp;(설정!$C$22-3),TB_원본!$I$5:$I$20000,"&lt;="&amp;(설정!$C$20-3))</f>
        <v/>
      </c>
      <c r="J10" s="60">
        <f>IF(I10&lt;=0,IF(H10&gt;0,1,0),H10/I10-1)</f>
        <v/>
      </c>
      <c r="K10" s="29">
        <f>SUMIFS(전표_원본!$P$5:$P$100000,전표_원본!$X$5:$X$100000,$A10,전표_원본!$M$5:$M$100000,설정!$C$20)</f>
        <v/>
      </c>
      <c r="L10" s="53">
        <f>C10-K10</f>
        <v/>
      </c>
      <c r="M10" s="29">
        <f>SUMIFS(예산판_원본!$P$5:$P$5000,예산판_원본!$R$5:$R$5000,$A10,예산판_원본!$M$5:$M$5000,설정!$C$6,예산판_원본!$N$5:$N$5000,설정!$C$21)</f>
        <v/>
      </c>
      <c r="N10" s="29">
        <f>SUMIFS(전표_원본!$P$5:$P$100000,전표_원본!$X$5:$X$100000,$A10,전표_원본!$M$5:$M$100000,"&gt;="&amp;설정!$C$22,전표_원본!$M$5:$M$100000,"&lt;="&amp;설정!$C$20)</f>
        <v/>
      </c>
      <c r="O10" s="53">
        <f>M10-N10</f>
        <v/>
      </c>
      <c r="P10" s="21">
        <f>IF(AND(ABS(L10)&lt;0.05,ABS(O10)&lt;0.05),"OK","차이 확인")</f>
        <v/>
      </c>
    </row>
    <row r="11">
      <c r="A11" s="59" t="inlineStr">
        <is>
          <t>62501000</t>
        </is>
      </c>
      <c r="B11" s="22">
        <f>IFERROR(INDEX(계정매핑!$B$5:$B$504,MATCH($A11,계정매핑!$A$5:$A$504,0)),"")</f>
        <v/>
      </c>
      <c r="C11" s="29">
        <f>SUMIFS(TB_원본!$K$5:$K$20000,TB_원본!$J$5:$J$20000,$A11,TB_원본!$I$5:$I$20000,설정!$C$20)</f>
        <v/>
      </c>
      <c r="D11" s="29">
        <f>SUMIFS(TB_원본!$K$5:$K$20000,TB_원본!$J$5:$J$20000,$A11,TB_원본!$I$5:$I$20000,설정!$C$20-1)</f>
        <v/>
      </c>
      <c r="E11" s="60">
        <f>IF(D11&lt;=0,IF(C11&gt;0,1,0),C11/D11-1)</f>
        <v/>
      </c>
      <c r="F11" s="29">
        <f>SUMIFS(TB_원본!$K$5:$K$20000,TB_원본!$J$5:$J$20000,$A11,TB_원본!$I$5:$I$20000,설정!$C$20-12)</f>
        <v/>
      </c>
      <c r="G11" s="60">
        <f>IF(F11&lt;=0,IF(C11&gt;0,1,0),C11/F11-1)</f>
        <v/>
      </c>
      <c r="H11" s="29">
        <f>SUMIFS(TB_원본!$K$5:$K$20000,TB_원본!$J$5:$J$20000,$A11,TB_원본!$I$5:$I$20000,"&gt;="&amp;설정!$C$22,TB_원본!$I$5:$I$20000,"&lt;="&amp;설정!$C$20)</f>
        <v/>
      </c>
      <c r="I11" s="29">
        <f>SUMIFS(TB_원본!$K$5:$K$20000,TB_원본!$J$5:$J$20000,$A11,TB_원본!$I$5:$I$20000,"&gt;="&amp;(설정!$C$22-3),TB_원본!$I$5:$I$20000,"&lt;="&amp;(설정!$C$20-3))</f>
        <v/>
      </c>
      <c r="J11" s="60">
        <f>IF(I11&lt;=0,IF(H11&gt;0,1,0),H11/I11-1)</f>
        <v/>
      </c>
      <c r="K11" s="29">
        <f>SUMIFS(전표_원본!$P$5:$P$100000,전표_원본!$X$5:$X$100000,$A11,전표_원본!$M$5:$M$100000,설정!$C$20)</f>
        <v/>
      </c>
      <c r="L11" s="53">
        <f>C11-K11</f>
        <v/>
      </c>
      <c r="M11" s="29">
        <f>SUMIFS(예산판_원본!$P$5:$P$5000,예산판_원본!$R$5:$R$5000,$A11,예산판_원본!$M$5:$M$5000,설정!$C$6,예산판_원본!$N$5:$N$5000,설정!$C$21)</f>
        <v/>
      </c>
      <c r="N11" s="29">
        <f>SUMIFS(전표_원본!$P$5:$P$100000,전표_원본!$X$5:$X$100000,$A11,전표_원본!$M$5:$M$100000,"&gt;="&amp;설정!$C$22,전표_원본!$M$5:$M$100000,"&lt;="&amp;설정!$C$20)</f>
        <v/>
      </c>
      <c r="O11" s="53">
        <f>M11-N11</f>
        <v/>
      </c>
      <c r="P11" s="21">
        <f>IF(AND(ABS(L11)&lt;0.05,ABS(O11)&lt;0.05),"OK","차이 확인")</f>
        <v/>
      </c>
    </row>
    <row r="12">
      <c r="A12" s="59" t="inlineStr">
        <is>
          <t>62601000</t>
        </is>
      </c>
      <c r="B12" s="22">
        <f>IFERROR(INDEX(계정매핑!$B$5:$B$504,MATCH($A12,계정매핑!$A$5:$A$504,0)),"")</f>
        <v/>
      </c>
      <c r="C12" s="29">
        <f>SUMIFS(TB_원본!$K$5:$K$20000,TB_원본!$J$5:$J$20000,$A12,TB_원본!$I$5:$I$20000,설정!$C$20)</f>
        <v/>
      </c>
      <c r="D12" s="29">
        <f>SUMIFS(TB_원본!$K$5:$K$20000,TB_원본!$J$5:$J$20000,$A12,TB_원본!$I$5:$I$20000,설정!$C$20-1)</f>
        <v/>
      </c>
      <c r="E12" s="60">
        <f>IF(D12&lt;=0,IF(C12&gt;0,1,0),C12/D12-1)</f>
        <v/>
      </c>
      <c r="F12" s="29">
        <f>SUMIFS(TB_원본!$K$5:$K$20000,TB_원본!$J$5:$J$20000,$A12,TB_원본!$I$5:$I$20000,설정!$C$20-12)</f>
        <v/>
      </c>
      <c r="G12" s="60">
        <f>IF(F12&lt;=0,IF(C12&gt;0,1,0),C12/F12-1)</f>
        <v/>
      </c>
      <c r="H12" s="29">
        <f>SUMIFS(TB_원본!$K$5:$K$20000,TB_원본!$J$5:$J$20000,$A12,TB_원본!$I$5:$I$20000,"&gt;="&amp;설정!$C$22,TB_원본!$I$5:$I$20000,"&lt;="&amp;설정!$C$20)</f>
        <v/>
      </c>
      <c r="I12" s="29">
        <f>SUMIFS(TB_원본!$K$5:$K$20000,TB_원본!$J$5:$J$20000,$A12,TB_원본!$I$5:$I$20000,"&gt;="&amp;(설정!$C$22-3),TB_원본!$I$5:$I$20000,"&lt;="&amp;(설정!$C$20-3))</f>
        <v/>
      </c>
      <c r="J12" s="60">
        <f>IF(I12&lt;=0,IF(H12&gt;0,1,0),H12/I12-1)</f>
        <v/>
      </c>
      <c r="K12" s="29">
        <f>SUMIFS(전표_원본!$P$5:$P$100000,전표_원본!$X$5:$X$100000,$A12,전표_원본!$M$5:$M$100000,설정!$C$20)</f>
        <v/>
      </c>
      <c r="L12" s="53">
        <f>C12-K12</f>
        <v/>
      </c>
      <c r="M12" s="29">
        <f>SUMIFS(예산판_원본!$P$5:$P$5000,예산판_원본!$R$5:$R$5000,$A12,예산판_원본!$M$5:$M$5000,설정!$C$6,예산판_원본!$N$5:$N$5000,설정!$C$21)</f>
        <v/>
      </c>
      <c r="N12" s="29">
        <f>SUMIFS(전표_원본!$P$5:$P$100000,전표_원본!$X$5:$X$100000,$A12,전표_원본!$M$5:$M$100000,"&gt;="&amp;설정!$C$22,전표_원본!$M$5:$M$100000,"&lt;="&amp;설정!$C$20)</f>
        <v/>
      </c>
      <c r="O12" s="53">
        <f>M12-N12</f>
        <v/>
      </c>
      <c r="P12" s="21">
        <f>IF(AND(ABS(L12)&lt;0.05,ABS(O12)&lt;0.05),"OK","차이 확인")</f>
        <v/>
      </c>
    </row>
    <row r="13">
      <c r="A13" s="59" t="inlineStr">
        <is>
          <t>62701000</t>
        </is>
      </c>
      <c r="B13" s="22">
        <f>IFERROR(INDEX(계정매핑!$B$5:$B$504,MATCH($A13,계정매핑!$A$5:$A$504,0)),"")</f>
        <v/>
      </c>
      <c r="C13" s="29">
        <f>SUMIFS(TB_원본!$K$5:$K$20000,TB_원본!$J$5:$J$20000,$A13,TB_원본!$I$5:$I$20000,설정!$C$20)</f>
        <v/>
      </c>
      <c r="D13" s="29">
        <f>SUMIFS(TB_원본!$K$5:$K$20000,TB_원본!$J$5:$J$20000,$A13,TB_원본!$I$5:$I$20000,설정!$C$20-1)</f>
        <v/>
      </c>
      <c r="E13" s="60">
        <f>IF(D13&lt;=0,IF(C13&gt;0,1,0),C13/D13-1)</f>
        <v/>
      </c>
      <c r="F13" s="29">
        <f>SUMIFS(TB_원본!$K$5:$K$20000,TB_원본!$J$5:$J$20000,$A13,TB_원본!$I$5:$I$20000,설정!$C$20-12)</f>
        <v/>
      </c>
      <c r="G13" s="60">
        <f>IF(F13&lt;=0,IF(C13&gt;0,1,0),C13/F13-1)</f>
        <v/>
      </c>
      <c r="H13" s="29">
        <f>SUMIFS(TB_원본!$K$5:$K$20000,TB_원본!$J$5:$J$20000,$A13,TB_원본!$I$5:$I$20000,"&gt;="&amp;설정!$C$22,TB_원본!$I$5:$I$20000,"&lt;="&amp;설정!$C$20)</f>
        <v/>
      </c>
      <c r="I13" s="29">
        <f>SUMIFS(TB_원본!$K$5:$K$20000,TB_원본!$J$5:$J$20000,$A13,TB_원본!$I$5:$I$20000,"&gt;="&amp;(설정!$C$22-3),TB_원본!$I$5:$I$20000,"&lt;="&amp;(설정!$C$20-3))</f>
        <v/>
      </c>
      <c r="J13" s="60">
        <f>IF(I13&lt;=0,IF(H13&gt;0,1,0),H13/I13-1)</f>
        <v/>
      </c>
      <c r="K13" s="29">
        <f>SUMIFS(전표_원본!$P$5:$P$100000,전표_원본!$X$5:$X$100000,$A13,전표_원본!$M$5:$M$100000,설정!$C$20)</f>
        <v/>
      </c>
      <c r="L13" s="53">
        <f>C13-K13</f>
        <v/>
      </c>
      <c r="M13" s="29">
        <f>SUMIFS(예산판_원본!$P$5:$P$5000,예산판_원본!$R$5:$R$5000,$A13,예산판_원본!$M$5:$M$5000,설정!$C$6,예산판_원본!$N$5:$N$5000,설정!$C$21)</f>
        <v/>
      </c>
      <c r="N13" s="29">
        <f>SUMIFS(전표_원본!$P$5:$P$100000,전표_원본!$X$5:$X$100000,$A13,전표_원본!$M$5:$M$100000,"&gt;="&amp;설정!$C$22,전표_원본!$M$5:$M$100000,"&lt;="&amp;설정!$C$20)</f>
        <v/>
      </c>
      <c r="O13" s="53">
        <f>M13-N13</f>
        <v/>
      </c>
      <c r="P13" s="21">
        <f>IF(AND(ABS(L13)&lt;0.05,ABS(O13)&lt;0.05),"OK","차이 확인")</f>
        <v/>
      </c>
    </row>
    <row r="14">
      <c r="A14" s="59" t="inlineStr">
        <is>
          <t>62801000</t>
        </is>
      </c>
      <c r="B14" s="22">
        <f>IFERROR(INDEX(계정매핑!$B$5:$B$504,MATCH($A14,계정매핑!$A$5:$A$504,0)),"")</f>
        <v/>
      </c>
      <c r="C14" s="29">
        <f>SUMIFS(TB_원본!$K$5:$K$20000,TB_원본!$J$5:$J$20000,$A14,TB_원본!$I$5:$I$20000,설정!$C$20)</f>
        <v/>
      </c>
      <c r="D14" s="29">
        <f>SUMIFS(TB_원본!$K$5:$K$20000,TB_원본!$J$5:$J$20000,$A14,TB_원본!$I$5:$I$20000,설정!$C$20-1)</f>
        <v/>
      </c>
      <c r="E14" s="60">
        <f>IF(D14&lt;=0,IF(C14&gt;0,1,0),C14/D14-1)</f>
        <v/>
      </c>
      <c r="F14" s="29">
        <f>SUMIFS(TB_원본!$K$5:$K$20000,TB_원본!$J$5:$J$20000,$A14,TB_원본!$I$5:$I$20000,설정!$C$20-12)</f>
        <v/>
      </c>
      <c r="G14" s="60">
        <f>IF(F14&lt;=0,IF(C14&gt;0,1,0),C14/F14-1)</f>
        <v/>
      </c>
      <c r="H14" s="29">
        <f>SUMIFS(TB_원본!$K$5:$K$20000,TB_원본!$J$5:$J$20000,$A14,TB_원본!$I$5:$I$20000,"&gt;="&amp;설정!$C$22,TB_원본!$I$5:$I$20000,"&lt;="&amp;설정!$C$20)</f>
        <v/>
      </c>
      <c r="I14" s="29">
        <f>SUMIFS(TB_원본!$K$5:$K$20000,TB_원본!$J$5:$J$20000,$A14,TB_원본!$I$5:$I$20000,"&gt;="&amp;(설정!$C$22-3),TB_원본!$I$5:$I$20000,"&lt;="&amp;(설정!$C$20-3))</f>
        <v/>
      </c>
      <c r="J14" s="60">
        <f>IF(I14&lt;=0,IF(H14&gt;0,1,0),H14/I14-1)</f>
        <v/>
      </c>
      <c r="K14" s="29">
        <f>SUMIFS(전표_원본!$P$5:$P$100000,전표_원본!$X$5:$X$100000,$A14,전표_원본!$M$5:$M$100000,설정!$C$20)</f>
        <v/>
      </c>
      <c r="L14" s="53">
        <f>C14-K14</f>
        <v/>
      </c>
      <c r="M14" s="29">
        <f>SUMIFS(예산판_원본!$P$5:$P$5000,예산판_원본!$R$5:$R$5000,$A14,예산판_원본!$M$5:$M$5000,설정!$C$6,예산판_원본!$N$5:$N$5000,설정!$C$21)</f>
        <v/>
      </c>
      <c r="N14" s="29">
        <f>SUMIFS(전표_원본!$P$5:$P$100000,전표_원본!$X$5:$X$100000,$A14,전표_원본!$M$5:$M$100000,"&gt;="&amp;설정!$C$22,전표_원본!$M$5:$M$100000,"&lt;="&amp;설정!$C$20)</f>
        <v/>
      </c>
      <c r="O14" s="53">
        <f>M14-N14</f>
        <v/>
      </c>
      <c r="P14" s="21">
        <f>IF(AND(ABS(L14)&lt;0.05,ABS(O14)&lt;0.05),"OK","차이 확인")</f>
        <v/>
      </c>
    </row>
    <row r="15">
      <c r="A15" s="59" t="inlineStr">
        <is>
          <t>62802000</t>
        </is>
      </c>
      <c r="B15" s="22">
        <f>IFERROR(INDEX(계정매핑!$B$5:$B$504,MATCH($A15,계정매핑!$A$5:$A$504,0)),"")</f>
        <v/>
      </c>
      <c r="C15" s="29">
        <f>SUMIFS(TB_원본!$K$5:$K$20000,TB_원본!$J$5:$J$20000,$A15,TB_원본!$I$5:$I$20000,설정!$C$20)</f>
        <v/>
      </c>
      <c r="D15" s="29">
        <f>SUMIFS(TB_원본!$K$5:$K$20000,TB_원본!$J$5:$J$20000,$A15,TB_원본!$I$5:$I$20000,설정!$C$20-1)</f>
        <v/>
      </c>
      <c r="E15" s="60">
        <f>IF(D15&lt;=0,IF(C15&gt;0,1,0),C15/D15-1)</f>
        <v/>
      </c>
      <c r="F15" s="29">
        <f>SUMIFS(TB_원본!$K$5:$K$20000,TB_원본!$J$5:$J$20000,$A15,TB_원본!$I$5:$I$20000,설정!$C$20-12)</f>
        <v/>
      </c>
      <c r="G15" s="60">
        <f>IF(F15&lt;=0,IF(C15&gt;0,1,0),C15/F15-1)</f>
        <v/>
      </c>
      <c r="H15" s="29">
        <f>SUMIFS(TB_원본!$K$5:$K$20000,TB_원본!$J$5:$J$20000,$A15,TB_원본!$I$5:$I$20000,"&gt;="&amp;설정!$C$22,TB_원본!$I$5:$I$20000,"&lt;="&amp;설정!$C$20)</f>
        <v/>
      </c>
      <c r="I15" s="29">
        <f>SUMIFS(TB_원본!$K$5:$K$20000,TB_원본!$J$5:$J$20000,$A15,TB_원본!$I$5:$I$20000,"&gt;="&amp;(설정!$C$22-3),TB_원본!$I$5:$I$20000,"&lt;="&amp;(설정!$C$20-3))</f>
        <v/>
      </c>
      <c r="J15" s="60">
        <f>IF(I15&lt;=0,IF(H15&gt;0,1,0),H15/I15-1)</f>
        <v/>
      </c>
      <c r="K15" s="29">
        <f>SUMIFS(전표_원본!$P$5:$P$100000,전표_원본!$X$5:$X$100000,$A15,전표_원본!$M$5:$M$100000,설정!$C$20)</f>
        <v/>
      </c>
      <c r="L15" s="53">
        <f>C15-K15</f>
        <v/>
      </c>
      <c r="M15" s="29">
        <f>SUMIFS(예산판_원본!$P$5:$P$5000,예산판_원본!$R$5:$R$5000,$A15,예산판_원본!$M$5:$M$5000,설정!$C$6,예산판_원본!$N$5:$N$5000,설정!$C$21)</f>
        <v/>
      </c>
      <c r="N15" s="29">
        <f>SUMIFS(전표_원본!$P$5:$P$100000,전표_원본!$X$5:$X$100000,$A15,전표_원본!$M$5:$M$100000,"&gt;="&amp;설정!$C$22,전표_원본!$M$5:$M$100000,"&lt;="&amp;설정!$C$20)</f>
        <v/>
      </c>
      <c r="O15" s="53">
        <f>M15-N15</f>
        <v/>
      </c>
      <c r="P15" s="21">
        <f>IF(AND(ABS(L15)&lt;0.05,ABS(O15)&lt;0.05),"OK","차이 확인")</f>
        <v/>
      </c>
    </row>
    <row r="16">
      <c r="A16" s="59" t="inlineStr">
        <is>
          <t>62901000</t>
        </is>
      </c>
      <c r="B16" s="22">
        <f>IFERROR(INDEX(계정매핑!$B$5:$B$504,MATCH($A16,계정매핑!$A$5:$A$504,0)),"")</f>
        <v/>
      </c>
      <c r="C16" s="29">
        <f>SUMIFS(TB_원본!$K$5:$K$20000,TB_원본!$J$5:$J$20000,$A16,TB_원본!$I$5:$I$20000,설정!$C$20)</f>
        <v/>
      </c>
      <c r="D16" s="29">
        <f>SUMIFS(TB_원본!$K$5:$K$20000,TB_원본!$J$5:$J$20000,$A16,TB_원본!$I$5:$I$20000,설정!$C$20-1)</f>
        <v/>
      </c>
      <c r="E16" s="60">
        <f>IF(D16&lt;=0,IF(C16&gt;0,1,0),C16/D16-1)</f>
        <v/>
      </c>
      <c r="F16" s="29">
        <f>SUMIFS(TB_원본!$K$5:$K$20000,TB_원본!$J$5:$J$20000,$A16,TB_원본!$I$5:$I$20000,설정!$C$20-12)</f>
        <v/>
      </c>
      <c r="G16" s="60">
        <f>IF(F16&lt;=0,IF(C16&gt;0,1,0),C16/F16-1)</f>
        <v/>
      </c>
      <c r="H16" s="29">
        <f>SUMIFS(TB_원본!$K$5:$K$20000,TB_원본!$J$5:$J$20000,$A16,TB_원본!$I$5:$I$20000,"&gt;="&amp;설정!$C$22,TB_원본!$I$5:$I$20000,"&lt;="&amp;설정!$C$20)</f>
        <v/>
      </c>
      <c r="I16" s="29">
        <f>SUMIFS(TB_원본!$K$5:$K$20000,TB_원본!$J$5:$J$20000,$A16,TB_원본!$I$5:$I$20000,"&gt;="&amp;(설정!$C$22-3),TB_원본!$I$5:$I$20000,"&lt;="&amp;(설정!$C$20-3))</f>
        <v/>
      </c>
      <c r="J16" s="60">
        <f>IF(I16&lt;=0,IF(H16&gt;0,1,0),H16/I16-1)</f>
        <v/>
      </c>
      <c r="K16" s="29">
        <f>SUMIFS(전표_원본!$P$5:$P$100000,전표_원본!$X$5:$X$100000,$A16,전표_원본!$M$5:$M$100000,설정!$C$20)</f>
        <v/>
      </c>
      <c r="L16" s="53">
        <f>C16-K16</f>
        <v/>
      </c>
      <c r="M16" s="29">
        <f>SUMIFS(예산판_원본!$P$5:$P$5000,예산판_원본!$R$5:$R$5000,$A16,예산판_원본!$M$5:$M$5000,설정!$C$6,예산판_원본!$N$5:$N$5000,설정!$C$21)</f>
        <v/>
      </c>
      <c r="N16" s="29">
        <f>SUMIFS(전표_원본!$P$5:$P$100000,전표_원본!$X$5:$X$100000,$A16,전표_원본!$M$5:$M$100000,"&gt;="&amp;설정!$C$22,전표_원본!$M$5:$M$100000,"&lt;="&amp;설정!$C$20)</f>
        <v/>
      </c>
      <c r="O16" s="53">
        <f>M16-N16</f>
        <v/>
      </c>
      <c r="P16" s="21">
        <f>IF(AND(ABS(L16)&lt;0.05,ABS(O16)&lt;0.05),"OK","차이 확인")</f>
        <v/>
      </c>
    </row>
    <row r="17">
      <c r="A17" s="59" t="inlineStr">
        <is>
          <t>62902000</t>
        </is>
      </c>
      <c r="B17" s="22">
        <f>IFERROR(INDEX(계정매핑!$B$5:$B$504,MATCH($A17,계정매핑!$A$5:$A$504,0)),"")</f>
        <v/>
      </c>
      <c r="C17" s="29">
        <f>SUMIFS(TB_원본!$K$5:$K$20000,TB_원본!$J$5:$J$20000,$A17,TB_원본!$I$5:$I$20000,설정!$C$20)</f>
        <v/>
      </c>
      <c r="D17" s="29">
        <f>SUMIFS(TB_원본!$K$5:$K$20000,TB_원본!$J$5:$J$20000,$A17,TB_원본!$I$5:$I$20000,설정!$C$20-1)</f>
        <v/>
      </c>
      <c r="E17" s="60">
        <f>IF(D17&lt;=0,IF(C17&gt;0,1,0),C17/D17-1)</f>
        <v/>
      </c>
      <c r="F17" s="29">
        <f>SUMIFS(TB_원본!$K$5:$K$20000,TB_원본!$J$5:$J$20000,$A17,TB_원본!$I$5:$I$20000,설정!$C$20-12)</f>
        <v/>
      </c>
      <c r="G17" s="60">
        <f>IF(F17&lt;=0,IF(C17&gt;0,1,0),C17/F17-1)</f>
        <v/>
      </c>
      <c r="H17" s="29">
        <f>SUMIFS(TB_원본!$K$5:$K$20000,TB_원본!$J$5:$J$20000,$A17,TB_원본!$I$5:$I$20000,"&gt;="&amp;설정!$C$22,TB_원본!$I$5:$I$20000,"&lt;="&amp;설정!$C$20)</f>
        <v/>
      </c>
      <c r="I17" s="29">
        <f>SUMIFS(TB_원본!$K$5:$K$20000,TB_원본!$J$5:$J$20000,$A17,TB_원본!$I$5:$I$20000,"&gt;="&amp;(설정!$C$22-3),TB_원본!$I$5:$I$20000,"&lt;="&amp;(설정!$C$20-3))</f>
        <v/>
      </c>
      <c r="J17" s="60">
        <f>IF(I17&lt;=0,IF(H17&gt;0,1,0),H17/I17-1)</f>
        <v/>
      </c>
      <c r="K17" s="29">
        <f>SUMIFS(전표_원본!$P$5:$P$100000,전표_원본!$X$5:$X$100000,$A17,전표_원본!$M$5:$M$100000,설정!$C$20)</f>
        <v/>
      </c>
      <c r="L17" s="53">
        <f>C17-K17</f>
        <v/>
      </c>
      <c r="M17" s="29">
        <f>SUMIFS(예산판_원본!$P$5:$P$5000,예산판_원본!$R$5:$R$5000,$A17,예산판_원본!$M$5:$M$5000,설정!$C$6,예산판_원본!$N$5:$N$5000,설정!$C$21)</f>
        <v/>
      </c>
      <c r="N17" s="29">
        <f>SUMIFS(전표_원본!$P$5:$P$100000,전표_원본!$X$5:$X$100000,$A17,전표_원본!$M$5:$M$100000,"&gt;="&amp;설정!$C$22,전표_원본!$M$5:$M$100000,"&lt;="&amp;설정!$C$20)</f>
        <v/>
      </c>
      <c r="O17" s="53">
        <f>M17-N17</f>
        <v/>
      </c>
      <c r="P17" s="21">
        <f>IF(AND(ABS(L17)&lt;0.05,ABS(O17)&lt;0.05),"OK","차이 확인")</f>
        <v/>
      </c>
    </row>
    <row r="18">
      <c r="A18" s="59" t="inlineStr">
        <is>
          <t>63001000</t>
        </is>
      </c>
      <c r="B18" s="22">
        <f>IFERROR(INDEX(계정매핑!$B$5:$B$504,MATCH($A18,계정매핑!$A$5:$A$504,0)),"")</f>
        <v/>
      </c>
      <c r="C18" s="29">
        <f>SUMIFS(TB_원본!$K$5:$K$20000,TB_원본!$J$5:$J$20000,$A18,TB_원본!$I$5:$I$20000,설정!$C$20)</f>
        <v/>
      </c>
      <c r="D18" s="29">
        <f>SUMIFS(TB_원본!$K$5:$K$20000,TB_원본!$J$5:$J$20000,$A18,TB_원본!$I$5:$I$20000,설정!$C$20-1)</f>
        <v/>
      </c>
      <c r="E18" s="60">
        <f>IF(D18&lt;=0,IF(C18&gt;0,1,0),C18/D18-1)</f>
        <v/>
      </c>
      <c r="F18" s="29">
        <f>SUMIFS(TB_원본!$K$5:$K$20000,TB_원본!$J$5:$J$20000,$A18,TB_원본!$I$5:$I$20000,설정!$C$20-12)</f>
        <v/>
      </c>
      <c r="G18" s="60">
        <f>IF(F18&lt;=0,IF(C18&gt;0,1,0),C18/F18-1)</f>
        <v/>
      </c>
      <c r="H18" s="29">
        <f>SUMIFS(TB_원본!$K$5:$K$20000,TB_원본!$J$5:$J$20000,$A18,TB_원본!$I$5:$I$20000,"&gt;="&amp;설정!$C$22,TB_원본!$I$5:$I$20000,"&lt;="&amp;설정!$C$20)</f>
        <v/>
      </c>
      <c r="I18" s="29">
        <f>SUMIFS(TB_원본!$K$5:$K$20000,TB_원본!$J$5:$J$20000,$A18,TB_원본!$I$5:$I$20000,"&gt;="&amp;(설정!$C$22-3),TB_원본!$I$5:$I$20000,"&lt;="&amp;(설정!$C$20-3))</f>
        <v/>
      </c>
      <c r="J18" s="60">
        <f>IF(I18&lt;=0,IF(H18&gt;0,1,0),H18/I18-1)</f>
        <v/>
      </c>
      <c r="K18" s="29">
        <f>SUMIFS(전표_원본!$P$5:$P$100000,전표_원본!$X$5:$X$100000,$A18,전표_원본!$M$5:$M$100000,설정!$C$20)</f>
        <v/>
      </c>
      <c r="L18" s="53">
        <f>C18-K18</f>
        <v/>
      </c>
      <c r="M18" s="29">
        <f>SUMIFS(예산판_원본!$P$5:$P$5000,예산판_원본!$R$5:$R$5000,$A18,예산판_원본!$M$5:$M$5000,설정!$C$6,예산판_원본!$N$5:$N$5000,설정!$C$21)</f>
        <v/>
      </c>
      <c r="N18" s="29">
        <f>SUMIFS(전표_원본!$P$5:$P$100000,전표_원본!$X$5:$X$100000,$A18,전표_원본!$M$5:$M$100000,"&gt;="&amp;설정!$C$22,전표_원본!$M$5:$M$100000,"&lt;="&amp;설정!$C$20)</f>
        <v/>
      </c>
      <c r="O18" s="53">
        <f>M18-N18</f>
        <v/>
      </c>
      <c r="P18" s="21">
        <f>IF(AND(ABS(L18)&lt;0.05,ABS(O18)&lt;0.05),"OK","차이 확인")</f>
        <v/>
      </c>
    </row>
    <row r="19">
      <c r="A19" s="59" t="inlineStr">
        <is>
          <t>63002000</t>
        </is>
      </c>
      <c r="B19" s="22">
        <f>IFERROR(INDEX(계정매핑!$B$5:$B$504,MATCH($A19,계정매핑!$A$5:$A$504,0)),"")</f>
        <v/>
      </c>
      <c r="C19" s="29">
        <f>SUMIFS(TB_원본!$K$5:$K$20000,TB_원본!$J$5:$J$20000,$A19,TB_원본!$I$5:$I$20000,설정!$C$20)</f>
        <v/>
      </c>
      <c r="D19" s="29">
        <f>SUMIFS(TB_원본!$K$5:$K$20000,TB_원본!$J$5:$J$20000,$A19,TB_원본!$I$5:$I$20000,설정!$C$20-1)</f>
        <v/>
      </c>
      <c r="E19" s="60">
        <f>IF(D19&lt;=0,IF(C19&gt;0,1,0),C19/D19-1)</f>
        <v/>
      </c>
      <c r="F19" s="29">
        <f>SUMIFS(TB_원본!$K$5:$K$20000,TB_원본!$J$5:$J$20000,$A19,TB_원본!$I$5:$I$20000,설정!$C$20-12)</f>
        <v/>
      </c>
      <c r="G19" s="60">
        <f>IF(F19&lt;=0,IF(C19&gt;0,1,0),C19/F19-1)</f>
        <v/>
      </c>
      <c r="H19" s="29">
        <f>SUMIFS(TB_원본!$K$5:$K$20000,TB_원본!$J$5:$J$20000,$A19,TB_원본!$I$5:$I$20000,"&gt;="&amp;설정!$C$22,TB_원본!$I$5:$I$20000,"&lt;="&amp;설정!$C$20)</f>
        <v/>
      </c>
      <c r="I19" s="29">
        <f>SUMIFS(TB_원본!$K$5:$K$20000,TB_원본!$J$5:$J$20000,$A19,TB_원본!$I$5:$I$20000,"&gt;="&amp;(설정!$C$22-3),TB_원본!$I$5:$I$20000,"&lt;="&amp;(설정!$C$20-3))</f>
        <v/>
      </c>
      <c r="J19" s="60">
        <f>IF(I19&lt;=0,IF(H19&gt;0,1,0),H19/I19-1)</f>
        <v/>
      </c>
      <c r="K19" s="29">
        <f>SUMIFS(전표_원본!$P$5:$P$100000,전표_원본!$X$5:$X$100000,$A19,전표_원본!$M$5:$M$100000,설정!$C$20)</f>
        <v/>
      </c>
      <c r="L19" s="53">
        <f>C19-K19</f>
        <v/>
      </c>
      <c r="M19" s="29">
        <f>SUMIFS(예산판_원본!$P$5:$P$5000,예산판_원본!$R$5:$R$5000,$A19,예산판_원본!$M$5:$M$5000,설정!$C$6,예산판_원본!$N$5:$N$5000,설정!$C$21)</f>
        <v/>
      </c>
      <c r="N19" s="29">
        <f>SUMIFS(전표_원본!$P$5:$P$100000,전표_원본!$X$5:$X$100000,$A19,전표_원본!$M$5:$M$100000,"&gt;="&amp;설정!$C$22,전표_원본!$M$5:$M$100000,"&lt;="&amp;설정!$C$20)</f>
        <v/>
      </c>
      <c r="O19" s="53">
        <f>M19-N19</f>
        <v/>
      </c>
      <c r="P19" s="21">
        <f>IF(AND(ABS(L19)&lt;0.05,ABS(O19)&lt;0.05),"OK","차이 확인")</f>
        <v/>
      </c>
    </row>
    <row r="20">
      <c r="A20" s="59" t="inlineStr">
        <is>
          <t>63101000</t>
        </is>
      </c>
      <c r="B20" s="22">
        <f>IFERROR(INDEX(계정매핑!$B$5:$B$504,MATCH($A20,계정매핑!$A$5:$A$504,0)),"")</f>
        <v/>
      </c>
      <c r="C20" s="29">
        <f>SUMIFS(TB_원본!$K$5:$K$20000,TB_원본!$J$5:$J$20000,$A20,TB_원본!$I$5:$I$20000,설정!$C$20)</f>
        <v/>
      </c>
      <c r="D20" s="29">
        <f>SUMIFS(TB_원본!$K$5:$K$20000,TB_원본!$J$5:$J$20000,$A20,TB_원본!$I$5:$I$20000,설정!$C$20-1)</f>
        <v/>
      </c>
      <c r="E20" s="60">
        <f>IF(D20&lt;=0,IF(C20&gt;0,1,0),C20/D20-1)</f>
        <v/>
      </c>
      <c r="F20" s="29">
        <f>SUMIFS(TB_원본!$K$5:$K$20000,TB_원본!$J$5:$J$20000,$A20,TB_원본!$I$5:$I$20000,설정!$C$20-12)</f>
        <v/>
      </c>
      <c r="G20" s="60">
        <f>IF(F20&lt;=0,IF(C20&gt;0,1,0),C20/F20-1)</f>
        <v/>
      </c>
      <c r="H20" s="29">
        <f>SUMIFS(TB_원본!$K$5:$K$20000,TB_원본!$J$5:$J$20000,$A20,TB_원본!$I$5:$I$20000,"&gt;="&amp;설정!$C$22,TB_원본!$I$5:$I$20000,"&lt;="&amp;설정!$C$20)</f>
        <v/>
      </c>
      <c r="I20" s="29">
        <f>SUMIFS(TB_원본!$K$5:$K$20000,TB_원본!$J$5:$J$20000,$A20,TB_원본!$I$5:$I$20000,"&gt;="&amp;(설정!$C$22-3),TB_원본!$I$5:$I$20000,"&lt;="&amp;(설정!$C$20-3))</f>
        <v/>
      </c>
      <c r="J20" s="60">
        <f>IF(I20&lt;=0,IF(H20&gt;0,1,0),H20/I20-1)</f>
        <v/>
      </c>
      <c r="K20" s="29">
        <f>SUMIFS(전표_원본!$P$5:$P$100000,전표_원본!$X$5:$X$100000,$A20,전표_원본!$M$5:$M$100000,설정!$C$20)</f>
        <v/>
      </c>
      <c r="L20" s="53">
        <f>C20-K20</f>
        <v/>
      </c>
      <c r="M20" s="29">
        <f>SUMIFS(예산판_원본!$P$5:$P$5000,예산판_원본!$R$5:$R$5000,$A20,예산판_원본!$M$5:$M$5000,설정!$C$6,예산판_원본!$N$5:$N$5000,설정!$C$21)</f>
        <v/>
      </c>
      <c r="N20" s="29">
        <f>SUMIFS(전표_원본!$P$5:$P$100000,전표_원본!$X$5:$X$100000,$A20,전표_원본!$M$5:$M$100000,"&gt;="&amp;설정!$C$22,전표_원본!$M$5:$M$100000,"&lt;="&amp;설정!$C$20)</f>
        <v/>
      </c>
      <c r="O20" s="53">
        <f>M20-N20</f>
        <v/>
      </c>
      <c r="P20" s="21">
        <f>IF(AND(ABS(L20)&lt;0.05,ABS(O20)&lt;0.05),"OK","차이 확인")</f>
        <v/>
      </c>
    </row>
    <row r="21">
      <c r="A21" s="59" t="inlineStr">
        <is>
          <t>63201000</t>
        </is>
      </c>
      <c r="B21" s="22">
        <f>IFERROR(INDEX(계정매핑!$B$5:$B$504,MATCH($A21,계정매핑!$A$5:$A$504,0)),"")</f>
        <v/>
      </c>
      <c r="C21" s="29">
        <f>SUMIFS(TB_원본!$K$5:$K$20000,TB_원본!$J$5:$J$20000,$A21,TB_원본!$I$5:$I$20000,설정!$C$20)</f>
        <v/>
      </c>
      <c r="D21" s="29">
        <f>SUMIFS(TB_원본!$K$5:$K$20000,TB_원본!$J$5:$J$20000,$A21,TB_원본!$I$5:$I$20000,설정!$C$20-1)</f>
        <v/>
      </c>
      <c r="E21" s="60">
        <f>IF(D21&lt;=0,IF(C21&gt;0,1,0),C21/D21-1)</f>
        <v/>
      </c>
      <c r="F21" s="29">
        <f>SUMIFS(TB_원본!$K$5:$K$20000,TB_원본!$J$5:$J$20000,$A21,TB_원본!$I$5:$I$20000,설정!$C$20-12)</f>
        <v/>
      </c>
      <c r="G21" s="60">
        <f>IF(F21&lt;=0,IF(C21&gt;0,1,0),C21/F21-1)</f>
        <v/>
      </c>
      <c r="H21" s="29">
        <f>SUMIFS(TB_원본!$K$5:$K$20000,TB_원본!$J$5:$J$20000,$A21,TB_원본!$I$5:$I$20000,"&gt;="&amp;설정!$C$22,TB_원본!$I$5:$I$20000,"&lt;="&amp;설정!$C$20)</f>
        <v/>
      </c>
      <c r="I21" s="29">
        <f>SUMIFS(TB_원본!$K$5:$K$20000,TB_원본!$J$5:$J$20000,$A21,TB_원본!$I$5:$I$20000,"&gt;="&amp;(설정!$C$22-3),TB_원본!$I$5:$I$20000,"&lt;="&amp;(설정!$C$20-3))</f>
        <v/>
      </c>
      <c r="J21" s="60">
        <f>IF(I21&lt;=0,IF(H21&gt;0,1,0),H21/I21-1)</f>
        <v/>
      </c>
      <c r="K21" s="29">
        <f>SUMIFS(전표_원본!$P$5:$P$100000,전표_원본!$X$5:$X$100000,$A21,전표_원본!$M$5:$M$100000,설정!$C$20)</f>
        <v/>
      </c>
      <c r="L21" s="53">
        <f>C21-K21</f>
        <v/>
      </c>
      <c r="M21" s="29">
        <f>SUMIFS(예산판_원본!$P$5:$P$5000,예산판_원본!$R$5:$R$5000,$A21,예산판_원본!$M$5:$M$5000,설정!$C$6,예산판_원본!$N$5:$N$5000,설정!$C$21)</f>
        <v/>
      </c>
      <c r="N21" s="29">
        <f>SUMIFS(전표_원본!$P$5:$P$100000,전표_원본!$X$5:$X$100000,$A21,전표_원본!$M$5:$M$100000,"&gt;="&amp;설정!$C$22,전표_원본!$M$5:$M$100000,"&lt;="&amp;설정!$C$20)</f>
        <v/>
      </c>
      <c r="O21" s="53">
        <f>M21-N21</f>
        <v/>
      </c>
      <c r="P21" s="21">
        <f>IF(AND(ABS(L21)&lt;0.05,ABS(O21)&lt;0.05),"OK","차이 확인")</f>
        <v/>
      </c>
    </row>
    <row r="22">
      <c r="A22" s="64" t="inlineStr">
        <is>
          <t>합계</t>
        </is>
      </c>
      <c r="B22" s="65" t="n"/>
      <c r="C22" s="66">
        <f>SUM(C6:C21)</f>
        <v/>
      </c>
      <c r="D22" s="66">
        <f>SUM(D6:D21)</f>
        <v/>
      </c>
      <c r="E22" s="67">
        <f>IF(D22&lt;=0,0,C22/D22-1)</f>
        <v/>
      </c>
      <c r="F22" s="66">
        <f>SUM(F6:F21)</f>
        <v/>
      </c>
      <c r="G22" s="67">
        <f>IF(F22&lt;=0,0,C22/F22-1)</f>
        <v/>
      </c>
      <c r="H22" s="66">
        <f>SUM(H6:H21)</f>
        <v/>
      </c>
      <c r="I22" s="66">
        <f>SUM(I6:I21)</f>
        <v/>
      </c>
      <c r="J22" s="67">
        <f>IF(I22&lt;=0,0,H22/I22-1)</f>
        <v/>
      </c>
      <c r="K22" s="66">
        <f>SUM(K6:K21)</f>
        <v/>
      </c>
      <c r="L22" s="66">
        <f>SUM(L6:L21)</f>
        <v/>
      </c>
      <c r="M22" s="66">
        <f>SUM(M6:M21)</f>
        <v/>
      </c>
      <c r="N22" s="66">
        <f>SUM(N6:N21)</f>
        <v/>
      </c>
      <c r="O22" s="66">
        <f>SUM(O6:O21)</f>
        <v/>
      </c>
      <c r="P22" s="68">
        <f>IF(COUNTIF(P6:P21,"OK")=16,"전체 일치","차이 있음")</f>
        <v/>
      </c>
    </row>
  </sheetData>
  <conditionalFormatting sqref="P6:P22">
    <cfRule type="cellIs" priority="1" operator="equal" dxfId="1">
      <formula>"차이 확인"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09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8.5" customWidth="1" min="3" max="3"/>
    <col width="8.5" customWidth="1" min="4" max="4"/>
    <col width="8.5" customWidth="1" min="5" max="5"/>
    <col width="8.5" customWidth="1" min="6" max="6"/>
    <col width="8.5" customWidth="1" min="7" max="7"/>
    <col width="8.5" customWidth="1" min="8" max="8"/>
    <col width="8.5" customWidth="1" min="9" max="9"/>
    <col width="8.5" customWidth="1" min="10" max="10"/>
    <col width="8.5" customWidth="1" min="11" max="11"/>
    <col width="8.5" customWidth="1" min="12" max="12"/>
    <col width="8.5" customWidth="1" min="13" max="13"/>
    <col width="8.5" customWidth="1" min="14" max="14"/>
    <col width="8.5" customWidth="1" min="15" max="15"/>
    <col width="8.5" customWidth="1" min="16" max="16"/>
    <col width="8.5" customWidth="1" min="17" max="17"/>
    <col width="8.5" customWidth="1" min="18" max="18"/>
    <col width="8.5" customWidth="1" min="19" max="19"/>
    <col width="8.5" customWidth="1" min="20" max="20"/>
    <col width="8.5" customWidth="1" min="21" max="21"/>
    <col width="8.5" customWidth="1" min="22" max="22"/>
    <col width="8.5" customWidth="1" min="23" max="23"/>
    <col width="8.5" customWidth="1" min="24" max="24"/>
    <col width="8.5" customWidth="1" min="25" max="25"/>
    <col width="8.5" customWidth="1" min="26" max="26"/>
  </cols>
  <sheetData>
    <row r="1">
      <c r="A1" s="1" t="inlineStr">
        <is>
          <t>TRACE · 월별 집계 (부서 × 계정 × 최근 24개월)</t>
        </is>
      </c>
    </row>
    <row r="2">
      <c r="A2" s="2" t="inlineStr">
        <is>
          <t>전표 기준 · 행 순서는 변동분석과 같음 · 금액: 보고단위</t>
        </is>
      </c>
    </row>
    <row r="4">
      <c r="B4" s="6" t="inlineStr">
        <is>
          <t>기간</t>
        </is>
      </c>
      <c r="C4" s="69">
        <f>INT((C$5-1)/12)&amp;"-"&amp;TEXT(MOD(C$5-1,12)+1,"00")</f>
        <v/>
      </c>
      <c r="D4" s="69">
        <f>INT((D$5-1)/12)&amp;"-"&amp;TEXT(MOD(D$5-1,12)+1,"00")</f>
        <v/>
      </c>
      <c r="E4" s="69">
        <f>INT((E$5-1)/12)&amp;"-"&amp;TEXT(MOD(E$5-1,12)+1,"00")</f>
        <v/>
      </c>
      <c r="F4" s="69">
        <f>INT((F$5-1)/12)&amp;"-"&amp;TEXT(MOD(F$5-1,12)+1,"00")</f>
        <v/>
      </c>
      <c r="G4" s="69">
        <f>INT((G$5-1)/12)&amp;"-"&amp;TEXT(MOD(G$5-1,12)+1,"00")</f>
        <v/>
      </c>
      <c r="H4" s="69">
        <f>INT((H$5-1)/12)&amp;"-"&amp;TEXT(MOD(H$5-1,12)+1,"00")</f>
        <v/>
      </c>
      <c r="I4" s="69">
        <f>INT((I$5-1)/12)&amp;"-"&amp;TEXT(MOD(I$5-1,12)+1,"00")</f>
        <v/>
      </c>
      <c r="J4" s="69">
        <f>INT((J$5-1)/12)&amp;"-"&amp;TEXT(MOD(J$5-1,12)+1,"00")</f>
        <v/>
      </c>
      <c r="K4" s="69">
        <f>INT((K$5-1)/12)&amp;"-"&amp;TEXT(MOD(K$5-1,12)+1,"00")</f>
        <v/>
      </c>
      <c r="L4" s="69">
        <f>INT((L$5-1)/12)&amp;"-"&amp;TEXT(MOD(L$5-1,12)+1,"00")</f>
        <v/>
      </c>
      <c r="M4" s="69">
        <f>INT((M$5-1)/12)&amp;"-"&amp;TEXT(MOD(M$5-1,12)+1,"00")</f>
        <v/>
      </c>
      <c r="N4" s="69">
        <f>INT((N$5-1)/12)&amp;"-"&amp;TEXT(MOD(N$5-1,12)+1,"00")</f>
        <v/>
      </c>
      <c r="O4" s="69">
        <f>INT((O$5-1)/12)&amp;"-"&amp;TEXT(MOD(O$5-1,12)+1,"00")</f>
        <v/>
      </c>
      <c r="P4" s="69">
        <f>INT((P$5-1)/12)&amp;"-"&amp;TEXT(MOD(P$5-1,12)+1,"00")</f>
        <v/>
      </c>
      <c r="Q4" s="69">
        <f>INT((Q$5-1)/12)&amp;"-"&amp;TEXT(MOD(Q$5-1,12)+1,"00")</f>
        <v/>
      </c>
      <c r="R4" s="69">
        <f>INT((R$5-1)/12)&amp;"-"&amp;TEXT(MOD(R$5-1,12)+1,"00")</f>
        <v/>
      </c>
      <c r="S4" s="69">
        <f>INT((S$5-1)/12)&amp;"-"&amp;TEXT(MOD(S$5-1,12)+1,"00")</f>
        <v/>
      </c>
      <c r="T4" s="69">
        <f>INT((T$5-1)/12)&amp;"-"&amp;TEXT(MOD(T$5-1,12)+1,"00")</f>
        <v/>
      </c>
      <c r="U4" s="69">
        <f>INT((U$5-1)/12)&amp;"-"&amp;TEXT(MOD(U$5-1,12)+1,"00")</f>
        <v/>
      </c>
      <c r="V4" s="69">
        <f>INT((V$5-1)/12)&amp;"-"&amp;TEXT(MOD(V$5-1,12)+1,"00")</f>
        <v/>
      </c>
      <c r="W4" s="69">
        <f>INT((W$5-1)/12)&amp;"-"&amp;TEXT(MOD(W$5-1,12)+1,"00")</f>
        <v/>
      </c>
      <c r="X4" s="69">
        <f>INT((X$5-1)/12)&amp;"-"&amp;TEXT(MOD(X$5-1,12)+1,"00")</f>
        <v/>
      </c>
      <c r="Y4" s="69">
        <f>INT((Y$5-1)/12)&amp;"-"&amp;TEXT(MOD(Y$5-1,12)+1,"00")</f>
        <v/>
      </c>
      <c r="Z4" s="69">
        <f>INT((Z$5-1)/12)&amp;"-"&amp;TEXT(MOD(Z$5-1,12)+1,"00")</f>
        <v/>
      </c>
    </row>
    <row r="5">
      <c r="A5" s="10" t="inlineStr">
        <is>
          <t>키</t>
        </is>
      </c>
      <c r="B5" s="10" t="inlineStr">
        <is>
          <t>기간번호</t>
        </is>
      </c>
      <c r="C5" s="70">
        <f>설정!$C$20-23</f>
        <v/>
      </c>
      <c r="D5" s="70">
        <f>설정!$C$20-22</f>
        <v/>
      </c>
      <c r="E5" s="70">
        <f>설정!$C$20-21</f>
        <v/>
      </c>
      <c r="F5" s="70">
        <f>설정!$C$20-20</f>
        <v/>
      </c>
      <c r="G5" s="70">
        <f>설정!$C$20-19</f>
        <v/>
      </c>
      <c r="H5" s="70">
        <f>설정!$C$20-18</f>
        <v/>
      </c>
      <c r="I5" s="70">
        <f>설정!$C$20-17</f>
        <v/>
      </c>
      <c r="J5" s="70">
        <f>설정!$C$20-16</f>
        <v/>
      </c>
      <c r="K5" s="70">
        <f>설정!$C$20-15</f>
        <v/>
      </c>
      <c r="L5" s="70">
        <f>설정!$C$20-14</f>
        <v/>
      </c>
      <c r="M5" s="70">
        <f>설정!$C$20-13</f>
        <v/>
      </c>
      <c r="N5" s="70">
        <f>설정!$C$20-12</f>
        <v/>
      </c>
      <c r="O5" s="70">
        <f>설정!$C$20-11</f>
        <v/>
      </c>
      <c r="P5" s="70">
        <f>설정!$C$20-10</f>
        <v/>
      </c>
      <c r="Q5" s="70">
        <f>설정!$C$20-9</f>
        <v/>
      </c>
      <c r="R5" s="70">
        <f>설정!$C$20-8</f>
        <v/>
      </c>
      <c r="S5" s="70">
        <f>설정!$C$20-7</f>
        <v/>
      </c>
      <c r="T5" s="70">
        <f>설정!$C$20-6</f>
        <v/>
      </c>
      <c r="U5" s="70">
        <f>설정!$C$20-5</f>
        <v/>
      </c>
      <c r="V5" s="70">
        <f>설정!$C$20-4</f>
        <v/>
      </c>
      <c r="W5" s="70">
        <f>설정!$C$20-3</f>
        <v/>
      </c>
      <c r="X5" s="70">
        <f>설정!$C$20-2</f>
        <v/>
      </c>
      <c r="Y5" s="70">
        <f>설정!$C$20-1</f>
        <v/>
      </c>
      <c r="Z5" s="70">
        <f>설정!$C$20-0</f>
        <v/>
      </c>
    </row>
    <row r="6">
      <c r="A6" s="64" t="inlineStr">
        <is>
          <t>전사</t>
        </is>
      </c>
      <c r="B6" s="64" t="inlineStr">
        <is>
          <t>사업비 합계</t>
        </is>
      </c>
      <c r="C6" s="66">
        <f>SUM(C7:C506)</f>
        <v/>
      </c>
      <c r="D6" s="66">
        <f>SUM(D7:D506)</f>
        <v/>
      </c>
      <c r="E6" s="66">
        <f>SUM(E7:E506)</f>
        <v/>
      </c>
      <c r="F6" s="66">
        <f>SUM(F7:F506)</f>
        <v/>
      </c>
      <c r="G6" s="66">
        <f>SUM(G7:G506)</f>
        <v/>
      </c>
      <c r="H6" s="66">
        <f>SUM(H7:H506)</f>
        <v/>
      </c>
      <c r="I6" s="66">
        <f>SUM(I7:I506)</f>
        <v/>
      </c>
      <c r="J6" s="66">
        <f>SUM(J7:J506)</f>
        <v/>
      </c>
      <c r="K6" s="66">
        <f>SUM(K7:K506)</f>
        <v/>
      </c>
      <c r="L6" s="66">
        <f>SUM(L7:L506)</f>
        <v/>
      </c>
      <c r="M6" s="66">
        <f>SUM(M7:M506)</f>
        <v/>
      </c>
      <c r="N6" s="66">
        <f>SUM(N7:N506)</f>
        <v/>
      </c>
      <c r="O6" s="66">
        <f>SUM(O7:O506)</f>
        <v/>
      </c>
      <c r="P6" s="66">
        <f>SUM(P7:P506)</f>
        <v/>
      </c>
      <c r="Q6" s="66">
        <f>SUM(Q7:Q506)</f>
        <v/>
      </c>
      <c r="R6" s="66">
        <f>SUM(R7:R506)</f>
        <v/>
      </c>
      <c r="S6" s="66">
        <f>SUM(S7:S506)</f>
        <v/>
      </c>
      <c r="T6" s="66">
        <f>SUM(T7:T506)</f>
        <v/>
      </c>
      <c r="U6" s="66">
        <f>SUM(U7:U506)</f>
        <v/>
      </c>
      <c r="V6" s="66">
        <f>SUM(V7:V506)</f>
        <v/>
      </c>
      <c r="W6" s="66">
        <f>SUM(W7:W506)</f>
        <v/>
      </c>
      <c r="X6" s="66">
        <f>SUM(X7:X506)</f>
        <v/>
      </c>
      <c r="Y6" s="66">
        <f>SUM(Y7:Y506)</f>
        <v/>
      </c>
      <c r="Z6" s="66">
        <f>SUM(Z7:Z506)</f>
        <v/>
      </c>
    </row>
    <row r="7">
      <c r="A7" s="22">
        <f>IF(변동분석!$A7="","",변동분석!$E7)</f>
        <v/>
      </c>
      <c r="B7" s="22">
        <f>IF($A7="","",변동분석!$B7&amp;" "&amp;변동분석!$D7)</f>
        <v/>
      </c>
      <c r="C7" s="29">
        <f>IF($A7="","",SUMIFS(전표_원본!$P$5:$P$100000,전표_원본!$O$5:$O$100000,$A7,전표_원본!$M$5:$M$100000,C$5))</f>
        <v/>
      </c>
      <c r="D7" s="29">
        <f>IF($A7="","",SUMIFS(전표_원본!$P$5:$P$100000,전표_원본!$O$5:$O$100000,$A7,전표_원본!$M$5:$M$100000,D$5))</f>
        <v/>
      </c>
      <c r="E7" s="29">
        <f>IF($A7="","",SUMIFS(전표_원본!$P$5:$P$100000,전표_원본!$O$5:$O$100000,$A7,전표_원본!$M$5:$M$100000,E$5))</f>
        <v/>
      </c>
      <c r="F7" s="29">
        <f>IF($A7="","",SUMIFS(전표_원본!$P$5:$P$100000,전표_원본!$O$5:$O$100000,$A7,전표_원본!$M$5:$M$100000,F$5))</f>
        <v/>
      </c>
      <c r="G7" s="29">
        <f>IF($A7="","",SUMIFS(전표_원본!$P$5:$P$100000,전표_원본!$O$5:$O$100000,$A7,전표_원본!$M$5:$M$100000,G$5))</f>
        <v/>
      </c>
      <c r="H7" s="29">
        <f>IF($A7="","",SUMIFS(전표_원본!$P$5:$P$100000,전표_원본!$O$5:$O$100000,$A7,전표_원본!$M$5:$M$100000,H$5))</f>
        <v/>
      </c>
      <c r="I7" s="29">
        <f>IF($A7="","",SUMIFS(전표_원본!$P$5:$P$100000,전표_원본!$O$5:$O$100000,$A7,전표_원본!$M$5:$M$100000,I$5))</f>
        <v/>
      </c>
      <c r="J7" s="29">
        <f>IF($A7="","",SUMIFS(전표_원본!$P$5:$P$100000,전표_원본!$O$5:$O$100000,$A7,전표_원본!$M$5:$M$100000,J$5))</f>
        <v/>
      </c>
      <c r="K7" s="29">
        <f>IF($A7="","",SUMIFS(전표_원본!$P$5:$P$100000,전표_원본!$O$5:$O$100000,$A7,전표_원본!$M$5:$M$100000,K$5))</f>
        <v/>
      </c>
      <c r="L7" s="29">
        <f>IF($A7="","",SUMIFS(전표_원본!$P$5:$P$100000,전표_원본!$O$5:$O$100000,$A7,전표_원본!$M$5:$M$100000,L$5))</f>
        <v/>
      </c>
      <c r="M7" s="29">
        <f>IF($A7="","",SUMIFS(전표_원본!$P$5:$P$100000,전표_원본!$O$5:$O$100000,$A7,전표_원본!$M$5:$M$100000,M$5))</f>
        <v/>
      </c>
      <c r="N7" s="29">
        <f>IF($A7="","",SUMIFS(전표_원본!$P$5:$P$100000,전표_원본!$O$5:$O$100000,$A7,전표_원본!$M$5:$M$100000,N$5))</f>
        <v/>
      </c>
      <c r="O7" s="29">
        <f>IF($A7="","",SUMIFS(전표_원본!$P$5:$P$100000,전표_원본!$O$5:$O$100000,$A7,전표_원본!$M$5:$M$100000,O$5))</f>
        <v/>
      </c>
      <c r="P7" s="29">
        <f>IF($A7="","",SUMIFS(전표_원본!$P$5:$P$100000,전표_원본!$O$5:$O$100000,$A7,전표_원본!$M$5:$M$100000,P$5))</f>
        <v/>
      </c>
      <c r="Q7" s="29">
        <f>IF($A7="","",SUMIFS(전표_원본!$P$5:$P$100000,전표_원본!$O$5:$O$100000,$A7,전표_원본!$M$5:$M$100000,Q$5))</f>
        <v/>
      </c>
      <c r="R7" s="29">
        <f>IF($A7="","",SUMIFS(전표_원본!$P$5:$P$100000,전표_원본!$O$5:$O$100000,$A7,전표_원본!$M$5:$M$100000,R$5))</f>
        <v/>
      </c>
      <c r="S7" s="29">
        <f>IF($A7="","",SUMIFS(전표_원본!$P$5:$P$100000,전표_원본!$O$5:$O$100000,$A7,전표_원본!$M$5:$M$100000,S$5))</f>
        <v/>
      </c>
      <c r="T7" s="29">
        <f>IF($A7="","",SUMIFS(전표_원본!$P$5:$P$100000,전표_원본!$O$5:$O$100000,$A7,전표_원본!$M$5:$M$100000,T$5))</f>
        <v/>
      </c>
      <c r="U7" s="29">
        <f>IF($A7="","",SUMIFS(전표_원본!$P$5:$P$100000,전표_원본!$O$5:$O$100000,$A7,전표_원본!$M$5:$M$100000,U$5))</f>
        <v/>
      </c>
      <c r="V7" s="29">
        <f>IF($A7="","",SUMIFS(전표_원본!$P$5:$P$100000,전표_원본!$O$5:$O$100000,$A7,전표_원본!$M$5:$M$100000,V$5))</f>
        <v/>
      </c>
      <c r="W7" s="29">
        <f>IF($A7="","",SUMIFS(전표_원본!$P$5:$P$100000,전표_원본!$O$5:$O$100000,$A7,전표_원본!$M$5:$M$100000,W$5))</f>
        <v/>
      </c>
      <c r="X7" s="29">
        <f>IF($A7="","",SUMIFS(전표_원본!$P$5:$P$100000,전표_원본!$O$5:$O$100000,$A7,전표_원본!$M$5:$M$100000,X$5))</f>
        <v/>
      </c>
      <c r="Y7" s="29">
        <f>IF($A7="","",SUMIFS(전표_원본!$P$5:$P$100000,전표_원본!$O$5:$O$100000,$A7,전표_원본!$M$5:$M$100000,Y$5))</f>
        <v/>
      </c>
      <c r="Z7" s="29">
        <f>IF($A7="","",SUMIFS(전표_원본!$P$5:$P$100000,전표_원본!$O$5:$O$100000,$A7,전표_원본!$M$5:$M$100000,Z$5))</f>
        <v/>
      </c>
    </row>
    <row r="8">
      <c r="A8" s="22">
        <f>IF(변동분석!$A8="","",변동분석!$E8)</f>
        <v/>
      </c>
      <c r="B8" s="22">
        <f>IF($A8="","",변동분석!$B8&amp;" "&amp;변동분석!$D8)</f>
        <v/>
      </c>
      <c r="C8" s="29">
        <f>IF($A8="","",SUMIFS(전표_원본!$P$5:$P$100000,전표_원본!$O$5:$O$100000,$A8,전표_원본!$M$5:$M$100000,C$5))</f>
        <v/>
      </c>
      <c r="D8" s="29">
        <f>IF($A8="","",SUMIFS(전표_원본!$P$5:$P$100000,전표_원본!$O$5:$O$100000,$A8,전표_원본!$M$5:$M$100000,D$5))</f>
        <v/>
      </c>
      <c r="E8" s="29">
        <f>IF($A8="","",SUMIFS(전표_원본!$P$5:$P$100000,전표_원본!$O$5:$O$100000,$A8,전표_원본!$M$5:$M$100000,E$5))</f>
        <v/>
      </c>
      <c r="F8" s="29">
        <f>IF($A8="","",SUMIFS(전표_원본!$P$5:$P$100000,전표_원본!$O$5:$O$100000,$A8,전표_원본!$M$5:$M$100000,F$5))</f>
        <v/>
      </c>
      <c r="G8" s="29">
        <f>IF($A8="","",SUMIFS(전표_원본!$P$5:$P$100000,전표_원본!$O$5:$O$100000,$A8,전표_원본!$M$5:$M$100000,G$5))</f>
        <v/>
      </c>
      <c r="H8" s="29">
        <f>IF($A8="","",SUMIFS(전표_원본!$P$5:$P$100000,전표_원본!$O$5:$O$100000,$A8,전표_원본!$M$5:$M$100000,H$5))</f>
        <v/>
      </c>
      <c r="I8" s="29">
        <f>IF($A8="","",SUMIFS(전표_원본!$P$5:$P$100000,전표_원본!$O$5:$O$100000,$A8,전표_원본!$M$5:$M$100000,I$5))</f>
        <v/>
      </c>
      <c r="J8" s="29">
        <f>IF($A8="","",SUMIFS(전표_원본!$P$5:$P$100000,전표_원본!$O$5:$O$100000,$A8,전표_원본!$M$5:$M$100000,J$5))</f>
        <v/>
      </c>
      <c r="K8" s="29">
        <f>IF($A8="","",SUMIFS(전표_원본!$P$5:$P$100000,전표_원본!$O$5:$O$100000,$A8,전표_원본!$M$5:$M$100000,K$5))</f>
        <v/>
      </c>
      <c r="L8" s="29">
        <f>IF($A8="","",SUMIFS(전표_원본!$P$5:$P$100000,전표_원본!$O$5:$O$100000,$A8,전표_원본!$M$5:$M$100000,L$5))</f>
        <v/>
      </c>
      <c r="M8" s="29">
        <f>IF($A8="","",SUMIFS(전표_원본!$P$5:$P$100000,전표_원본!$O$5:$O$100000,$A8,전표_원본!$M$5:$M$100000,M$5))</f>
        <v/>
      </c>
      <c r="N8" s="29">
        <f>IF($A8="","",SUMIFS(전표_원본!$P$5:$P$100000,전표_원본!$O$5:$O$100000,$A8,전표_원본!$M$5:$M$100000,N$5))</f>
        <v/>
      </c>
      <c r="O8" s="29">
        <f>IF($A8="","",SUMIFS(전표_원본!$P$5:$P$100000,전표_원본!$O$5:$O$100000,$A8,전표_원본!$M$5:$M$100000,O$5))</f>
        <v/>
      </c>
      <c r="P8" s="29">
        <f>IF($A8="","",SUMIFS(전표_원본!$P$5:$P$100000,전표_원본!$O$5:$O$100000,$A8,전표_원본!$M$5:$M$100000,P$5))</f>
        <v/>
      </c>
      <c r="Q8" s="29">
        <f>IF($A8="","",SUMIFS(전표_원본!$P$5:$P$100000,전표_원본!$O$5:$O$100000,$A8,전표_원본!$M$5:$M$100000,Q$5))</f>
        <v/>
      </c>
      <c r="R8" s="29">
        <f>IF($A8="","",SUMIFS(전표_원본!$P$5:$P$100000,전표_원본!$O$5:$O$100000,$A8,전표_원본!$M$5:$M$100000,R$5))</f>
        <v/>
      </c>
      <c r="S8" s="29">
        <f>IF($A8="","",SUMIFS(전표_원본!$P$5:$P$100000,전표_원본!$O$5:$O$100000,$A8,전표_원본!$M$5:$M$100000,S$5))</f>
        <v/>
      </c>
      <c r="T8" s="29">
        <f>IF($A8="","",SUMIFS(전표_원본!$P$5:$P$100000,전표_원본!$O$5:$O$100000,$A8,전표_원본!$M$5:$M$100000,T$5))</f>
        <v/>
      </c>
      <c r="U8" s="29">
        <f>IF($A8="","",SUMIFS(전표_원본!$P$5:$P$100000,전표_원본!$O$5:$O$100000,$A8,전표_원본!$M$5:$M$100000,U$5))</f>
        <v/>
      </c>
      <c r="V8" s="29">
        <f>IF($A8="","",SUMIFS(전표_원본!$P$5:$P$100000,전표_원본!$O$5:$O$100000,$A8,전표_원본!$M$5:$M$100000,V$5))</f>
        <v/>
      </c>
      <c r="W8" s="29">
        <f>IF($A8="","",SUMIFS(전표_원본!$P$5:$P$100000,전표_원본!$O$5:$O$100000,$A8,전표_원본!$M$5:$M$100000,W$5))</f>
        <v/>
      </c>
      <c r="X8" s="29">
        <f>IF($A8="","",SUMIFS(전표_원본!$P$5:$P$100000,전표_원본!$O$5:$O$100000,$A8,전표_원본!$M$5:$M$100000,X$5))</f>
        <v/>
      </c>
      <c r="Y8" s="29">
        <f>IF($A8="","",SUMIFS(전표_원본!$P$5:$P$100000,전표_원본!$O$5:$O$100000,$A8,전표_원본!$M$5:$M$100000,Y$5))</f>
        <v/>
      </c>
      <c r="Z8" s="29">
        <f>IF($A8="","",SUMIFS(전표_원본!$P$5:$P$100000,전표_원본!$O$5:$O$100000,$A8,전표_원본!$M$5:$M$100000,Z$5))</f>
        <v/>
      </c>
    </row>
    <row r="9">
      <c r="A9" s="22">
        <f>IF(변동분석!$A9="","",변동분석!$E9)</f>
        <v/>
      </c>
      <c r="B9" s="22">
        <f>IF($A9="","",변동분석!$B9&amp;" "&amp;변동분석!$D9)</f>
        <v/>
      </c>
      <c r="C9" s="29">
        <f>IF($A9="","",SUMIFS(전표_원본!$P$5:$P$100000,전표_원본!$O$5:$O$100000,$A9,전표_원본!$M$5:$M$100000,C$5))</f>
        <v/>
      </c>
      <c r="D9" s="29">
        <f>IF($A9="","",SUMIFS(전표_원본!$P$5:$P$100000,전표_원본!$O$5:$O$100000,$A9,전표_원본!$M$5:$M$100000,D$5))</f>
        <v/>
      </c>
      <c r="E9" s="29">
        <f>IF($A9="","",SUMIFS(전표_원본!$P$5:$P$100000,전표_원본!$O$5:$O$100000,$A9,전표_원본!$M$5:$M$100000,E$5))</f>
        <v/>
      </c>
      <c r="F9" s="29">
        <f>IF($A9="","",SUMIFS(전표_원본!$P$5:$P$100000,전표_원본!$O$5:$O$100000,$A9,전표_원본!$M$5:$M$100000,F$5))</f>
        <v/>
      </c>
      <c r="G9" s="29">
        <f>IF($A9="","",SUMIFS(전표_원본!$P$5:$P$100000,전표_원본!$O$5:$O$100000,$A9,전표_원본!$M$5:$M$100000,G$5))</f>
        <v/>
      </c>
      <c r="H9" s="29">
        <f>IF($A9="","",SUMIFS(전표_원본!$P$5:$P$100000,전표_원본!$O$5:$O$100000,$A9,전표_원본!$M$5:$M$100000,H$5))</f>
        <v/>
      </c>
      <c r="I9" s="29">
        <f>IF($A9="","",SUMIFS(전표_원본!$P$5:$P$100000,전표_원본!$O$5:$O$100000,$A9,전표_원본!$M$5:$M$100000,I$5))</f>
        <v/>
      </c>
      <c r="J9" s="29">
        <f>IF($A9="","",SUMIFS(전표_원본!$P$5:$P$100000,전표_원본!$O$5:$O$100000,$A9,전표_원본!$M$5:$M$100000,J$5))</f>
        <v/>
      </c>
      <c r="K9" s="29">
        <f>IF($A9="","",SUMIFS(전표_원본!$P$5:$P$100000,전표_원본!$O$5:$O$100000,$A9,전표_원본!$M$5:$M$100000,K$5))</f>
        <v/>
      </c>
      <c r="L9" s="29">
        <f>IF($A9="","",SUMIFS(전표_원본!$P$5:$P$100000,전표_원본!$O$5:$O$100000,$A9,전표_원본!$M$5:$M$100000,L$5))</f>
        <v/>
      </c>
      <c r="M9" s="29">
        <f>IF($A9="","",SUMIFS(전표_원본!$P$5:$P$100000,전표_원본!$O$5:$O$100000,$A9,전표_원본!$M$5:$M$100000,M$5))</f>
        <v/>
      </c>
      <c r="N9" s="29">
        <f>IF($A9="","",SUMIFS(전표_원본!$P$5:$P$100000,전표_원본!$O$5:$O$100000,$A9,전표_원본!$M$5:$M$100000,N$5))</f>
        <v/>
      </c>
      <c r="O9" s="29">
        <f>IF($A9="","",SUMIFS(전표_원본!$P$5:$P$100000,전표_원본!$O$5:$O$100000,$A9,전표_원본!$M$5:$M$100000,O$5))</f>
        <v/>
      </c>
      <c r="P9" s="29">
        <f>IF($A9="","",SUMIFS(전표_원본!$P$5:$P$100000,전표_원본!$O$5:$O$100000,$A9,전표_원본!$M$5:$M$100000,P$5))</f>
        <v/>
      </c>
      <c r="Q9" s="29">
        <f>IF($A9="","",SUMIFS(전표_원본!$P$5:$P$100000,전표_원본!$O$5:$O$100000,$A9,전표_원본!$M$5:$M$100000,Q$5))</f>
        <v/>
      </c>
      <c r="R9" s="29">
        <f>IF($A9="","",SUMIFS(전표_원본!$P$5:$P$100000,전표_원본!$O$5:$O$100000,$A9,전표_원본!$M$5:$M$100000,R$5))</f>
        <v/>
      </c>
      <c r="S9" s="29">
        <f>IF($A9="","",SUMIFS(전표_원본!$P$5:$P$100000,전표_원본!$O$5:$O$100000,$A9,전표_원본!$M$5:$M$100000,S$5))</f>
        <v/>
      </c>
      <c r="T9" s="29">
        <f>IF($A9="","",SUMIFS(전표_원본!$P$5:$P$100000,전표_원본!$O$5:$O$100000,$A9,전표_원본!$M$5:$M$100000,T$5))</f>
        <v/>
      </c>
      <c r="U9" s="29">
        <f>IF($A9="","",SUMIFS(전표_원본!$P$5:$P$100000,전표_원본!$O$5:$O$100000,$A9,전표_원본!$M$5:$M$100000,U$5))</f>
        <v/>
      </c>
      <c r="V9" s="29">
        <f>IF($A9="","",SUMIFS(전표_원본!$P$5:$P$100000,전표_원본!$O$5:$O$100000,$A9,전표_원본!$M$5:$M$100000,V$5))</f>
        <v/>
      </c>
      <c r="W9" s="29">
        <f>IF($A9="","",SUMIFS(전표_원본!$P$5:$P$100000,전표_원본!$O$5:$O$100000,$A9,전표_원본!$M$5:$M$100000,W$5))</f>
        <v/>
      </c>
      <c r="X9" s="29">
        <f>IF($A9="","",SUMIFS(전표_원본!$P$5:$P$100000,전표_원본!$O$5:$O$100000,$A9,전표_원본!$M$5:$M$100000,X$5))</f>
        <v/>
      </c>
      <c r="Y9" s="29">
        <f>IF($A9="","",SUMIFS(전표_원본!$P$5:$P$100000,전표_원본!$O$5:$O$100000,$A9,전표_원본!$M$5:$M$100000,Y$5))</f>
        <v/>
      </c>
      <c r="Z9" s="29">
        <f>IF($A9="","",SUMIFS(전표_원본!$P$5:$P$100000,전표_원본!$O$5:$O$100000,$A9,전표_원본!$M$5:$M$100000,Z$5))</f>
        <v/>
      </c>
    </row>
    <row r="10">
      <c r="A10" s="22">
        <f>IF(변동분석!$A10="","",변동분석!$E10)</f>
        <v/>
      </c>
      <c r="B10" s="22">
        <f>IF($A10="","",변동분석!$B10&amp;" "&amp;변동분석!$D10)</f>
        <v/>
      </c>
      <c r="C10" s="29">
        <f>IF($A10="","",SUMIFS(전표_원본!$P$5:$P$100000,전표_원본!$O$5:$O$100000,$A10,전표_원본!$M$5:$M$100000,C$5))</f>
        <v/>
      </c>
      <c r="D10" s="29">
        <f>IF($A10="","",SUMIFS(전표_원본!$P$5:$P$100000,전표_원본!$O$5:$O$100000,$A10,전표_원본!$M$5:$M$100000,D$5))</f>
        <v/>
      </c>
      <c r="E10" s="29">
        <f>IF($A10="","",SUMIFS(전표_원본!$P$5:$P$100000,전표_원본!$O$5:$O$100000,$A10,전표_원본!$M$5:$M$100000,E$5))</f>
        <v/>
      </c>
      <c r="F10" s="29">
        <f>IF($A10="","",SUMIFS(전표_원본!$P$5:$P$100000,전표_원본!$O$5:$O$100000,$A10,전표_원본!$M$5:$M$100000,F$5))</f>
        <v/>
      </c>
      <c r="G10" s="29">
        <f>IF($A10="","",SUMIFS(전표_원본!$P$5:$P$100000,전표_원본!$O$5:$O$100000,$A10,전표_원본!$M$5:$M$100000,G$5))</f>
        <v/>
      </c>
      <c r="H10" s="29">
        <f>IF($A10="","",SUMIFS(전표_원본!$P$5:$P$100000,전표_원본!$O$5:$O$100000,$A10,전표_원본!$M$5:$M$100000,H$5))</f>
        <v/>
      </c>
      <c r="I10" s="29">
        <f>IF($A10="","",SUMIFS(전표_원본!$P$5:$P$100000,전표_원본!$O$5:$O$100000,$A10,전표_원본!$M$5:$M$100000,I$5))</f>
        <v/>
      </c>
      <c r="J10" s="29">
        <f>IF($A10="","",SUMIFS(전표_원본!$P$5:$P$100000,전표_원본!$O$5:$O$100000,$A10,전표_원본!$M$5:$M$100000,J$5))</f>
        <v/>
      </c>
      <c r="K10" s="29">
        <f>IF($A10="","",SUMIFS(전표_원본!$P$5:$P$100000,전표_원본!$O$5:$O$100000,$A10,전표_원본!$M$5:$M$100000,K$5))</f>
        <v/>
      </c>
      <c r="L10" s="29">
        <f>IF($A10="","",SUMIFS(전표_원본!$P$5:$P$100000,전표_원본!$O$5:$O$100000,$A10,전표_원본!$M$5:$M$100000,L$5))</f>
        <v/>
      </c>
      <c r="M10" s="29">
        <f>IF($A10="","",SUMIFS(전표_원본!$P$5:$P$100000,전표_원본!$O$5:$O$100000,$A10,전표_원본!$M$5:$M$100000,M$5))</f>
        <v/>
      </c>
      <c r="N10" s="29">
        <f>IF($A10="","",SUMIFS(전표_원본!$P$5:$P$100000,전표_원본!$O$5:$O$100000,$A10,전표_원본!$M$5:$M$100000,N$5))</f>
        <v/>
      </c>
      <c r="O10" s="29">
        <f>IF($A10="","",SUMIFS(전표_원본!$P$5:$P$100000,전표_원본!$O$5:$O$100000,$A10,전표_원본!$M$5:$M$100000,O$5))</f>
        <v/>
      </c>
      <c r="P10" s="29">
        <f>IF($A10="","",SUMIFS(전표_원본!$P$5:$P$100000,전표_원본!$O$5:$O$100000,$A10,전표_원본!$M$5:$M$100000,P$5))</f>
        <v/>
      </c>
      <c r="Q10" s="29">
        <f>IF($A10="","",SUMIFS(전표_원본!$P$5:$P$100000,전표_원본!$O$5:$O$100000,$A10,전표_원본!$M$5:$M$100000,Q$5))</f>
        <v/>
      </c>
      <c r="R10" s="29">
        <f>IF($A10="","",SUMIFS(전표_원본!$P$5:$P$100000,전표_원본!$O$5:$O$100000,$A10,전표_원본!$M$5:$M$100000,R$5))</f>
        <v/>
      </c>
      <c r="S10" s="29">
        <f>IF($A10="","",SUMIFS(전표_원본!$P$5:$P$100000,전표_원본!$O$5:$O$100000,$A10,전표_원본!$M$5:$M$100000,S$5))</f>
        <v/>
      </c>
      <c r="T10" s="29">
        <f>IF($A10="","",SUMIFS(전표_원본!$P$5:$P$100000,전표_원본!$O$5:$O$100000,$A10,전표_원본!$M$5:$M$100000,T$5))</f>
        <v/>
      </c>
      <c r="U10" s="29">
        <f>IF($A10="","",SUMIFS(전표_원본!$P$5:$P$100000,전표_원본!$O$5:$O$100000,$A10,전표_원본!$M$5:$M$100000,U$5))</f>
        <v/>
      </c>
      <c r="V10" s="29">
        <f>IF($A10="","",SUMIFS(전표_원본!$P$5:$P$100000,전표_원본!$O$5:$O$100000,$A10,전표_원본!$M$5:$M$100000,V$5))</f>
        <v/>
      </c>
      <c r="W10" s="29">
        <f>IF($A10="","",SUMIFS(전표_원본!$P$5:$P$100000,전표_원본!$O$5:$O$100000,$A10,전표_원본!$M$5:$M$100000,W$5))</f>
        <v/>
      </c>
      <c r="X10" s="29">
        <f>IF($A10="","",SUMIFS(전표_원본!$P$5:$P$100000,전표_원본!$O$5:$O$100000,$A10,전표_원본!$M$5:$M$100000,X$5))</f>
        <v/>
      </c>
      <c r="Y10" s="29">
        <f>IF($A10="","",SUMIFS(전표_원본!$P$5:$P$100000,전표_원본!$O$5:$O$100000,$A10,전표_원본!$M$5:$M$100000,Y$5))</f>
        <v/>
      </c>
      <c r="Z10" s="29">
        <f>IF($A10="","",SUMIFS(전표_원본!$P$5:$P$100000,전표_원본!$O$5:$O$100000,$A10,전표_원본!$M$5:$M$100000,Z$5))</f>
        <v/>
      </c>
    </row>
    <row r="11">
      <c r="A11" s="22">
        <f>IF(변동분석!$A11="","",변동분석!$E11)</f>
        <v/>
      </c>
      <c r="B11" s="22">
        <f>IF($A11="","",변동분석!$B11&amp;" "&amp;변동분석!$D11)</f>
        <v/>
      </c>
      <c r="C11" s="29">
        <f>IF($A11="","",SUMIFS(전표_원본!$P$5:$P$100000,전표_원본!$O$5:$O$100000,$A11,전표_원본!$M$5:$M$100000,C$5))</f>
        <v/>
      </c>
      <c r="D11" s="29">
        <f>IF($A11="","",SUMIFS(전표_원본!$P$5:$P$100000,전표_원본!$O$5:$O$100000,$A11,전표_원본!$M$5:$M$100000,D$5))</f>
        <v/>
      </c>
      <c r="E11" s="29">
        <f>IF($A11="","",SUMIFS(전표_원본!$P$5:$P$100000,전표_원본!$O$5:$O$100000,$A11,전표_원본!$M$5:$M$100000,E$5))</f>
        <v/>
      </c>
      <c r="F11" s="29">
        <f>IF($A11="","",SUMIFS(전표_원본!$P$5:$P$100000,전표_원본!$O$5:$O$100000,$A11,전표_원본!$M$5:$M$100000,F$5))</f>
        <v/>
      </c>
      <c r="G11" s="29">
        <f>IF($A11="","",SUMIFS(전표_원본!$P$5:$P$100000,전표_원본!$O$5:$O$100000,$A11,전표_원본!$M$5:$M$100000,G$5))</f>
        <v/>
      </c>
      <c r="H11" s="29">
        <f>IF($A11="","",SUMIFS(전표_원본!$P$5:$P$100000,전표_원본!$O$5:$O$100000,$A11,전표_원본!$M$5:$M$100000,H$5))</f>
        <v/>
      </c>
      <c r="I11" s="29">
        <f>IF($A11="","",SUMIFS(전표_원본!$P$5:$P$100000,전표_원본!$O$5:$O$100000,$A11,전표_원본!$M$5:$M$100000,I$5))</f>
        <v/>
      </c>
      <c r="J11" s="29">
        <f>IF($A11="","",SUMIFS(전표_원본!$P$5:$P$100000,전표_원본!$O$5:$O$100000,$A11,전표_원본!$M$5:$M$100000,J$5))</f>
        <v/>
      </c>
      <c r="K11" s="29">
        <f>IF($A11="","",SUMIFS(전표_원본!$P$5:$P$100000,전표_원본!$O$5:$O$100000,$A11,전표_원본!$M$5:$M$100000,K$5))</f>
        <v/>
      </c>
      <c r="L11" s="29">
        <f>IF($A11="","",SUMIFS(전표_원본!$P$5:$P$100000,전표_원본!$O$5:$O$100000,$A11,전표_원본!$M$5:$M$100000,L$5))</f>
        <v/>
      </c>
      <c r="M11" s="29">
        <f>IF($A11="","",SUMIFS(전표_원본!$P$5:$P$100000,전표_원본!$O$5:$O$100000,$A11,전표_원본!$M$5:$M$100000,M$5))</f>
        <v/>
      </c>
      <c r="N11" s="29">
        <f>IF($A11="","",SUMIFS(전표_원본!$P$5:$P$100000,전표_원본!$O$5:$O$100000,$A11,전표_원본!$M$5:$M$100000,N$5))</f>
        <v/>
      </c>
      <c r="O11" s="29">
        <f>IF($A11="","",SUMIFS(전표_원본!$P$5:$P$100000,전표_원본!$O$5:$O$100000,$A11,전표_원본!$M$5:$M$100000,O$5))</f>
        <v/>
      </c>
      <c r="P11" s="29">
        <f>IF($A11="","",SUMIFS(전표_원본!$P$5:$P$100000,전표_원본!$O$5:$O$100000,$A11,전표_원본!$M$5:$M$100000,P$5))</f>
        <v/>
      </c>
      <c r="Q11" s="29">
        <f>IF($A11="","",SUMIFS(전표_원본!$P$5:$P$100000,전표_원본!$O$5:$O$100000,$A11,전표_원본!$M$5:$M$100000,Q$5))</f>
        <v/>
      </c>
      <c r="R11" s="29">
        <f>IF($A11="","",SUMIFS(전표_원본!$P$5:$P$100000,전표_원본!$O$5:$O$100000,$A11,전표_원본!$M$5:$M$100000,R$5))</f>
        <v/>
      </c>
      <c r="S11" s="29">
        <f>IF($A11="","",SUMIFS(전표_원본!$P$5:$P$100000,전표_원본!$O$5:$O$100000,$A11,전표_원본!$M$5:$M$100000,S$5))</f>
        <v/>
      </c>
      <c r="T11" s="29">
        <f>IF($A11="","",SUMIFS(전표_원본!$P$5:$P$100000,전표_원본!$O$5:$O$100000,$A11,전표_원본!$M$5:$M$100000,T$5))</f>
        <v/>
      </c>
      <c r="U11" s="29">
        <f>IF($A11="","",SUMIFS(전표_원본!$P$5:$P$100000,전표_원본!$O$5:$O$100000,$A11,전표_원본!$M$5:$M$100000,U$5))</f>
        <v/>
      </c>
      <c r="V11" s="29">
        <f>IF($A11="","",SUMIFS(전표_원본!$P$5:$P$100000,전표_원본!$O$5:$O$100000,$A11,전표_원본!$M$5:$M$100000,V$5))</f>
        <v/>
      </c>
      <c r="W11" s="29">
        <f>IF($A11="","",SUMIFS(전표_원본!$P$5:$P$100000,전표_원본!$O$5:$O$100000,$A11,전표_원본!$M$5:$M$100000,W$5))</f>
        <v/>
      </c>
      <c r="X11" s="29">
        <f>IF($A11="","",SUMIFS(전표_원본!$P$5:$P$100000,전표_원본!$O$5:$O$100000,$A11,전표_원본!$M$5:$M$100000,X$5))</f>
        <v/>
      </c>
      <c r="Y11" s="29">
        <f>IF($A11="","",SUMIFS(전표_원본!$P$5:$P$100000,전표_원본!$O$5:$O$100000,$A11,전표_원본!$M$5:$M$100000,Y$5))</f>
        <v/>
      </c>
      <c r="Z11" s="29">
        <f>IF($A11="","",SUMIFS(전표_원본!$P$5:$P$100000,전표_원본!$O$5:$O$100000,$A11,전표_원본!$M$5:$M$100000,Z$5))</f>
        <v/>
      </c>
    </row>
    <row r="12">
      <c r="A12" s="22">
        <f>IF(변동분석!$A12="","",변동분석!$E12)</f>
        <v/>
      </c>
      <c r="B12" s="22">
        <f>IF($A12="","",변동분석!$B12&amp;" "&amp;변동분석!$D12)</f>
        <v/>
      </c>
      <c r="C12" s="29">
        <f>IF($A12="","",SUMIFS(전표_원본!$P$5:$P$100000,전표_원본!$O$5:$O$100000,$A12,전표_원본!$M$5:$M$100000,C$5))</f>
        <v/>
      </c>
      <c r="D12" s="29">
        <f>IF($A12="","",SUMIFS(전표_원본!$P$5:$P$100000,전표_원본!$O$5:$O$100000,$A12,전표_원본!$M$5:$M$100000,D$5))</f>
        <v/>
      </c>
      <c r="E12" s="29">
        <f>IF($A12="","",SUMIFS(전표_원본!$P$5:$P$100000,전표_원본!$O$5:$O$100000,$A12,전표_원본!$M$5:$M$100000,E$5))</f>
        <v/>
      </c>
      <c r="F12" s="29">
        <f>IF($A12="","",SUMIFS(전표_원본!$P$5:$P$100000,전표_원본!$O$5:$O$100000,$A12,전표_원본!$M$5:$M$100000,F$5))</f>
        <v/>
      </c>
      <c r="G12" s="29">
        <f>IF($A12="","",SUMIFS(전표_원본!$P$5:$P$100000,전표_원본!$O$5:$O$100000,$A12,전표_원본!$M$5:$M$100000,G$5))</f>
        <v/>
      </c>
      <c r="H12" s="29">
        <f>IF($A12="","",SUMIFS(전표_원본!$P$5:$P$100000,전표_원본!$O$5:$O$100000,$A12,전표_원본!$M$5:$M$100000,H$5))</f>
        <v/>
      </c>
      <c r="I12" s="29">
        <f>IF($A12="","",SUMIFS(전표_원본!$P$5:$P$100000,전표_원본!$O$5:$O$100000,$A12,전표_원본!$M$5:$M$100000,I$5))</f>
        <v/>
      </c>
      <c r="J12" s="29">
        <f>IF($A12="","",SUMIFS(전표_원본!$P$5:$P$100000,전표_원본!$O$5:$O$100000,$A12,전표_원본!$M$5:$M$100000,J$5))</f>
        <v/>
      </c>
      <c r="K12" s="29">
        <f>IF($A12="","",SUMIFS(전표_원본!$P$5:$P$100000,전표_원본!$O$5:$O$100000,$A12,전표_원본!$M$5:$M$100000,K$5))</f>
        <v/>
      </c>
      <c r="L12" s="29">
        <f>IF($A12="","",SUMIFS(전표_원본!$P$5:$P$100000,전표_원본!$O$5:$O$100000,$A12,전표_원본!$M$5:$M$100000,L$5))</f>
        <v/>
      </c>
      <c r="M12" s="29">
        <f>IF($A12="","",SUMIFS(전표_원본!$P$5:$P$100000,전표_원본!$O$5:$O$100000,$A12,전표_원본!$M$5:$M$100000,M$5))</f>
        <v/>
      </c>
      <c r="N12" s="29">
        <f>IF($A12="","",SUMIFS(전표_원본!$P$5:$P$100000,전표_원본!$O$5:$O$100000,$A12,전표_원본!$M$5:$M$100000,N$5))</f>
        <v/>
      </c>
      <c r="O12" s="29">
        <f>IF($A12="","",SUMIFS(전표_원본!$P$5:$P$100000,전표_원본!$O$5:$O$100000,$A12,전표_원본!$M$5:$M$100000,O$5))</f>
        <v/>
      </c>
      <c r="P12" s="29">
        <f>IF($A12="","",SUMIFS(전표_원본!$P$5:$P$100000,전표_원본!$O$5:$O$100000,$A12,전표_원본!$M$5:$M$100000,P$5))</f>
        <v/>
      </c>
      <c r="Q12" s="29">
        <f>IF($A12="","",SUMIFS(전표_원본!$P$5:$P$100000,전표_원본!$O$5:$O$100000,$A12,전표_원본!$M$5:$M$100000,Q$5))</f>
        <v/>
      </c>
      <c r="R12" s="29">
        <f>IF($A12="","",SUMIFS(전표_원본!$P$5:$P$100000,전표_원본!$O$5:$O$100000,$A12,전표_원본!$M$5:$M$100000,R$5))</f>
        <v/>
      </c>
      <c r="S12" s="29">
        <f>IF($A12="","",SUMIFS(전표_원본!$P$5:$P$100000,전표_원본!$O$5:$O$100000,$A12,전표_원본!$M$5:$M$100000,S$5))</f>
        <v/>
      </c>
      <c r="T12" s="29">
        <f>IF($A12="","",SUMIFS(전표_원본!$P$5:$P$100000,전표_원본!$O$5:$O$100000,$A12,전표_원본!$M$5:$M$100000,T$5))</f>
        <v/>
      </c>
      <c r="U12" s="29">
        <f>IF($A12="","",SUMIFS(전표_원본!$P$5:$P$100000,전표_원본!$O$5:$O$100000,$A12,전표_원본!$M$5:$M$100000,U$5))</f>
        <v/>
      </c>
      <c r="V12" s="29">
        <f>IF($A12="","",SUMIFS(전표_원본!$P$5:$P$100000,전표_원본!$O$5:$O$100000,$A12,전표_원본!$M$5:$M$100000,V$5))</f>
        <v/>
      </c>
      <c r="W12" s="29">
        <f>IF($A12="","",SUMIFS(전표_원본!$P$5:$P$100000,전표_원본!$O$5:$O$100000,$A12,전표_원본!$M$5:$M$100000,W$5))</f>
        <v/>
      </c>
      <c r="X12" s="29">
        <f>IF($A12="","",SUMIFS(전표_원본!$P$5:$P$100000,전표_원본!$O$5:$O$100000,$A12,전표_원본!$M$5:$M$100000,X$5))</f>
        <v/>
      </c>
      <c r="Y12" s="29">
        <f>IF($A12="","",SUMIFS(전표_원본!$P$5:$P$100000,전표_원본!$O$5:$O$100000,$A12,전표_원본!$M$5:$M$100000,Y$5))</f>
        <v/>
      </c>
      <c r="Z12" s="29">
        <f>IF($A12="","",SUMIFS(전표_원본!$P$5:$P$100000,전표_원본!$O$5:$O$100000,$A12,전표_원본!$M$5:$M$100000,Z$5))</f>
        <v/>
      </c>
    </row>
    <row r="13">
      <c r="A13" s="22">
        <f>IF(변동분석!$A13="","",변동분석!$E13)</f>
        <v/>
      </c>
      <c r="B13" s="22">
        <f>IF($A13="","",변동분석!$B13&amp;" "&amp;변동분석!$D13)</f>
        <v/>
      </c>
      <c r="C13" s="29">
        <f>IF($A13="","",SUMIFS(전표_원본!$P$5:$P$100000,전표_원본!$O$5:$O$100000,$A13,전표_원본!$M$5:$M$100000,C$5))</f>
        <v/>
      </c>
      <c r="D13" s="29">
        <f>IF($A13="","",SUMIFS(전표_원본!$P$5:$P$100000,전표_원본!$O$5:$O$100000,$A13,전표_원본!$M$5:$M$100000,D$5))</f>
        <v/>
      </c>
      <c r="E13" s="29">
        <f>IF($A13="","",SUMIFS(전표_원본!$P$5:$P$100000,전표_원본!$O$5:$O$100000,$A13,전표_원본!$M$5:$M$100000,E$5))</f>
        <v/>
      </c>
      <c r="F13" s="29">
        <f>IF($A13="","",SUMIFS(전표_원본!$P$5:$P$100000,전표_원본!$O$5:$O$100000,$A13,전표_원본!$M$5:$M$100000,F$5))</f>
        <v/>
      </c>
      <c r="G13" s="29">
        <f>IF($A13="","",SUMIFS(전표_원본!$P$5:$P$100000,전표_원본!$O$5:$O$100000,$A13,전표_원본!$M$5:$M$100000,G$5))</f>
        <v/>
      </c>
      <c r="H13" s="29">
        <f>IF($A13="","",SUMIFS(전표_원본!$P$5:$P$100000,전표_원본!$O$5:$O$100000,$A13,전표_원본!$M$5:$M$100000,H$5))</f>
        <v/>
      </c>
      <c r="I13" s="29">
        <f>IF($A13="","",SUMIFS(전표_원본!$P$5:$P$100000,전표_원본!$O$5:$O$100000,$A13,전표_원본!$M$5:$M$100000,I$5))</f>
        <v/>
      </c>
      <c r="J13" s="29">
        <f>IF($A13="","",SUMIFS(전표_원본!$P$5:$P$100000,전표_원본!$O$5:$O$100000,$A13,전표_원본!$M$5:$M$100000,J$5))</f>
        <v/>
      </c>
      <c r="K13" s="29">
        <f>IF($A13="","",SUMIFS(전표_원본!$P$5:$P$100000,전표_원본!$O$5:$O$100000,$A13,전표_원본!$M$5:$M$100000,K$5))</f>
        <v/>
      </c>
      <c r="L13" s="29">
        <f>IF($A13="","",SUMIFS(전표_원본!$P$5:$P$100000,전표_원본!$O$5:$O$100000,$A13,전표_원본!$M$5:$M$100000,L$5))</f>
        <v/>
      </c>
      <c r="M13" s="29">
        <f>IF($A13="","",SUMIFS(전표_원본!$P$5:$P$100000,전표_원본!$O$5:$O$100000,$A13,전표_원본!$M$5:$M$100000,M$5))</f>
        <v/>
      </c>
      <c r="N13" s="29">
        <f>IF($A13="","",SUMIFS(전표_원본!$P$5:$P$100000,전표_원본!$O$5:$O$100000,$A13,전표_원본!$M$5:$M$100000,N$5))</f>
        <v/>
      </c>
      <c r="O13" s="29">
        <f>IF($A13="","",SUMIFS(전표_원본!$P$5:$P$100000,전표_원본!$O$5:$O$100000,$A13,전표_원본!$M$5:$M$100000,O$5))</f>
        <v/>
      </c>
      <c r="P13" s="29">
        <f>IF($A13="","",SUMIFS(전표_원본!$P$5:$P$100000,전표_원본!$O$5:$O$100000,$A13,전표_원본!$M$5:$M$100000,P$5))</f>
        <v/>
      </c>
      <c r="Q13" s="29">
        <f>IF($A13="","",SUMIFS(전표_원본!$P$5:$P$100000,전표_원본!$O$5:$O$100000,$A13,전표_원본!$M$5:$M$100000,Q$5))</f>
        <v/>
      </c>
      <c r="R13" s="29">
        <f>IF($A13="","",SUMIFS(전표_원본!$P$5:$P$100000,전표_원본!$O$5:$O$100000,$A13,전표_원본!$M$5:$M$100000,R$5))</f>
        <v/>
      </c>
      <c r="S13" s="29">
        <f>IF($A13="","",SUMIFS(전표_원본!$P$5:$P$100000,전표_원본!$O$5:$O$100000,$A13,전표_원본!$M$5:$M$100000,S$5))</f>
        <v/>
      </c>
      <c r="T13" s="29">
        <f>IF($A13="","",SUMIFS(전표_원본!$P$5:$P$100000,전표_원본!$O$5:$O$100000,$A13,전표_원본!$M$5:$M$100000,T$5))</f>
        <v/>
      </c>
      <c r="U13" s="29">
        <f>IF($A13="","",SUMIFS(전표_원본!$P$5:$P$100000,전표_원본!$O$5:$O$100000,$A13,전표_원본!$M$5:$M$100000,U$5))</f>
        <v/>
      </c>
      <c r="V13" s="29">
        <f>IF($A13="","",SUMIFS(전표_원본!$P$5:$P$100000,전표_원본!$O$5:$O$100000,$A13,전표_원본!$M$5:$M$100000,V$5))</f>
        <v/>
      </c>
      <c r="W13" s="29">
        <f>IF($A13="","",SUMIFS(전표_원본!$P$5:$P$100000,전표_원본!$O$5:$O$100000,$A13,전표_원본!$M$5:$M$100000,W$5))</f>
        <v/>
      </c>
      <c r="X13" s="29">
        <f>IF($A13="","",SUMIFS(전표_원본!$P$5:$P$100000,전표_원본!$O$5:$O$100000,$A13,전표_원본!$M$5:$M$100000,X$5))</f>
        <v/>
      </c>
      <c r="Y13" s="29">
        <f>IF($A13="","",SUMIFS(전표_원본!$P$5:$P$100000,전표_원본!$O$5:$O$100000,$A13,전표_원본!$M$5:$M$100000,Y$5))</f>
        <v/>
      </c>
      <c r="Z13" s="29">
        <f>IF($A13="","",SUMIFS(전표_원본!$P$5:$P$100000,전표_원본!$O$5:$O$100000,$A13,전표_원본!$M$5:$M$100000,Z$5))</f>
        <v/>
      </c>
    </row>
    <row r="14">
      <c r="A14" s="22">
        <f>IF(변동분석!$A14="","",변동분석!$E14)</f>
        <v/>
      </c>
      <c r="B14" s="22">
        <f>IF($A14="","",변동분석!$B14&amp;" "&amp;변동분석!$D14)</f>
        <v/>
      </c>
      <c r="C14" s="29">
        <f>IF($A14="","",SUMIFS(전표_원본!$P$5:$P$100000,전표_원본!$O$5:$O$100000,$A14,전표_원본!$M$5:$M$100000,C$5))</f>
        <v/>
      </c>
      <c r="D14" s="29">
        <f>IF($A14="","",SUMIFS(전표_원본!$P$5:$P$100000,전표_원본!$O$5:$O$100000,$A14,전표_원본!$M$5:$M$100000,D$5))</f>
        <v/>
      </c>
      <c r="E14" s="29">
        <f>IF($A14="","",SUMIFS(전표_원본!$P$5:$P$100000,전표_원본!$O$5:$O$100000,$A14,전표_원본!$M$5:$M$100000,E$5))</f>
        <v/>
      </c>
      <c r="F14" s="29">
        <f>IF($A14="","",SUMIFS(전표_원본!$P$5:$P$100000,전표_원본!$O$5:$O$100000,$A14,전표_원본!$M$5:$M$100000,F$5))</f>
        <v/>
      </c>
      <c r="G14" s="29">
        <f>IF($A14="","",SUMIFS(전표_원본!$P$5:$P$100000,전표_원본!$O$5:$O$100000,$A14,전표_원본!$M$5:$M$100000,G$5))</f>
        <v/>
      </c>
      <c r="H14" s="29">
        <f>IF($A14="","",SUMIFS(전표_원본!$P$5:$P$100000,전표_원본!$O$5:$O$100000,$A14,전표_원본!$M$5:$M$100000,H$5))</f>
        <v/>
      </c>
      <c r="I14" s="29">
        <f>IF($A14="","",SUMIFS(전표_원본!$P$5:$P$100000,전표_원본!$O$5:$O$100000,$A14,전표_원본!$M$5:$M$100000,I$5))</f>
        <v/>
      </c>
      <c r="J14" s="29">
        <f>IF($A14="","",SUMIFS(전표_원본!$P$5:$P$100000,전표_원본!$O$5:$O$100000,$A14,전표_원본!$M$5:$M$100000,J$5))</f>
        <v/>
      </c>
      <c r="K14" s="29">
        <f>IF($A14="","",SUMIFS(전표_원본!$P$5:$P$100000,전표_원본!$O$5:$O$100000,$A14,전표_원본!$M$5:$M$100000,K$5))</f>
        <v/>
      </c>
      <c r="L14" s="29">
        <f>IF($A14="","",SUMIFS(전표_원본!$P$5:$P$100000,전표_원본!$O$5:$O$100000,$A14,전표_원본!$M$5:$M$100000,L$5))</f>
        <v/>
      </c>
      <c r="M14" s="29">
        <f>IF($A14="","",SUMIFS(전표_원본!$P$5:$P$100000,전표_원본!$O$5:$O$100000,$A14,전표_원본!$M$5:$M$100000,M$5))</f>
        <v/>
      </c>
      <c r="N14" s="29">
        <f>IF($A14="","",SUMIFS(전표_원본!$P$5:$P$100000,전표_원본!$O$5:$O$100000,$A14,전표_원본!$M$5:$M$100000,N$5))</f>
        <v/>
      </c>
      <c r="O14" s="29">
        <f>IF($A14="","",SUMIFS(전표_원본!$P$5:$P$100000,전표_원본!$O$5:$O$100000,$A14,전표_원본!$M$5:$M$100000,O$5))</f>
        <v/>
      </c>
      <c r="P14" s="29">
        <f>IF($A14="","",SUMIFS(전표_원본!$P$5:$P$100000,전표_원본!$O$5:$O$100000,$A14,전표_원본!$M$5:$M$100000,P$5))</f>
        <v/>
      </c>
      <c r="Q14" s="29">
        <f>IF($A14="","",SUMIFS(전표_원본!$P$5:$P$100000,전표_원본!$O$5:$O$100000,$A14,전표_원본!$M$5:$M$100000,Q$5))</f>
        <v/>
      </c>
      <c r="R14" s="29">
        <f>IF($A14="","",SUMIFS(전표_원본!$P$5:$P$100000,전표_원본!$O$5:$O$100000,$A14,전표_원본!$M$5:$M$100000,R$5))</f>
        <v/>
      </c>
      <c r="S14" s="29">
        <f>IF($A14="","",SUMIFS(전표_원본!$P$5:$P$100000,전표_원본!$O$5:$O$100000,$A14,전표_원본!$M$5:$M$100000,S$5))</f>
        <v/>
      </c>
      <c r="T14" s="29">
        <f>IF($A14="","",SUMIFS(전표_원본!$P$5:$P$100000,전표_원본!$O$5:$O$100000,$A14,전표_원본!$M$5:$M$100000,T$5))</f>
        <v/>
      </c>
      <c r="U14" s="29">
        <f>IF($A14="","",SUMIFS(전표_원본!$P$5:$P$100000,전표_원본!$O$5:$O$100000,$A14,전표_원본!$M$5:$M$100000,U$5))</f>
        <v/>
      </c>
      <c r="V14" s="29">
        <f>IF($A14="","",SUMIFS(전표_원본!$P$5:$P$100000,전표_원본!$O$5:$O$100000,$A14,전표_원본!$M$5:$M$100000,V$5))</f>
        <v/>
      </c>
      <c r="W14" s="29">
        <f>IF($A14="","",SUMIFS(전표_원본!$P$5:$P$100000,전표_원본!$O$5:$O$100000,$A14,전표_원본!$M$5:$M$100000,W$5))</f>
        <v/>
      </c>
      <c r="X14" s="29">
        <f>IF($A14="","",SUMIFS(전표_원본!$P$5:$P$100000,전표_원본!$O$5:$O$100000,$A14,전표_원본!$M$5:$M$100000,X$5))</f>
        <v/>
      </c>
      <c r="Y14" s="29">
        <f>IF($A14="","",SUMIFS(전표_원본!$P$5:$P$100000,전표_원본!$O$5:$O$100000,$A14,전표_원본!$M$5:$M$100000,Y$5))</f>
        <v/>
      </c>
      <c r="Z14" s="29">
        <f>IF($A14="","",SUMIFS(전표_원본!$P$5:$P$100000,전표_원본!$O$5:$O$100000,$A14,전표_원본!$M$5:$M$100000,Z$5))</f>
        <v/>
      </c>
    </row>
    <row r="15">
      <c r="A15" s="22">
        <f>IF(변동분석!$A15="","",변동분석!$E15)</f>
        <v/>
      </c>
      <c r="B15" s="22">
        <f>IF($A15="","",변동분석!$B15&amp;" "&amp;변동분석!$D15)</f>
        <v/>
      </c>
      <c r="C15" s="29">
        <f>IF($A15="","",SUMIFS(전표_원본!$P$5:$P$100000,전표_원본!$O$5:$O$100000,$A15,전표_원본!$M$5:$M$100000,C$5))</f>
        <v/>
      </c>
      <c r="D15" s="29">
        <f>IF($A15="","",SUMIFS(전표_원본!$P$5:$P$100000,전표_원본!$O$5:$O$100000,$A15,전표_원본!$M$5:$M$100000,D$5))</f>
        <v/>
      </c>
      <c r="E15" s="29">
        <f>IF($A15="","",SUMIFS(전표_원본!$P$5:$P$100000,전표_원본!$O$5:$O$100000,$A15,전표_원본!$M$5:$M$100000,E$5))</f>
        <v/>
      </c>
      <c r="F15" s="29">
        <f>IF($A15="","",SUMIFS(전표_원본!$P$5:$P$100000,전표_원본!$O$5:$O$100000,$A15,전표_원본!$M$5:$M$100000,F$5))</f>
        <v/>
      </c>
      <c r="G15" s="29">
        <f>IF($A15="","",SUMIFS(전표_원본!$P$5:$P$100000,전표_원본!$O$5:$O$100000,$A15,전표_원본!$M$5:$M$100000,G$5))</f>
        <v/>
      </c>
      <c r="H15" s="29">
        <f>IF($A15="","",SUMIFS(전표_원본!$P$5:$P$100000,전표_원본!$O$5:$O$100000,$A15,전표_원본!$M$5:$M$100000,H$5))</f>
        <v/>
      </c>
      <c r="I15" s="29">
        <f>IF($A15="","",SUMIFS(전표_원본!$P$5:$P$100000,전표_원본!$O$5:$O$100000,$A15,전표_원본!$M$5:$M$100000,I$5))</f>
        <v/>
      </c>
      <c r="J15" s="29">
        <f>IF($A15="","",SUMIFS(전표_원본!$P$5:$P$100000,전표_원본!$O$5:$O$100000,$A15,전표_원본!$M$5:$M$100000,J$5))</f>
        <v/>
      </c>
      <c r="K15" s="29">
        <f>IF($A15="","",SUMIFS(전표_원본!$P$5:$P$100000,전표_원본!$O$5:$O$100000,$A15,전표_원본!$M$5:$M$100000,K$5))</f>
        <v/>
      </c>
      <c r="L15" s="29">
        <f>IF($A15="","",SUMIFS(전표_원본!$P$5:$P$100000,전표_원본!$O$5:$O$100000,$A15,전표_원본!$M$5:$M$100000,L$5))</f>
        <v/>
      </c>
      <c r="M15" s="29">
        <f>IF($A15="","",SUMIFS(전표_원본!$P$5:$P$100000,전표_원본!$O$5:$O$100000,$A15,전표_원본!$M$5:$M$100000,M$5))</f>
        <v/>
      </c>
      <c r="N15" s="29">
        <f>IF($A15="","",SUMIFS(전표_원본!$P$5:$P$100000,전표_원본!$O$5:$O$100000,$A15,전표_원본!$M$5:$M$100000,N$5))</f>
        <v/>
      </c>
      <c r="O15" s="29">
        <f>IF($A15="","",SUMIFS(전표_원본!$P$5:$P$100000,전표_원본!$O$5:$O$100000,$A15,전표_원본!$M$5:$M$100000,O$5))</f>
        <v/>
      </c>
      <c r="P15" s="29">
        <f>IF($A15="","",SUMIFS(전표_원본!$P$5:$P$100000,전표_원본!$O$5:$O$100000,$A15,전표_원본!$M$5:$M$100000,P$5))</f>
        <v/>
      </c>
      <c r="Q15" s="29">
        <f>IF($A15="","",SUMIFS(전표_원본!$P$5:$P$100000,전표_원본!$O$5:$O$100000,$A15,전표_원본!$M$5:$M$100000,Q$5))</f>
        <v/>
      </c>
      <c r="R15" s="29">
        <f>IF($A15="","",SUMIFS(전표_원본!$P$5:$P$100000,전표_원본!$O$5:$O$100000,$A15,전표_원본!$M$5:$M$100000,R$5))</f>
        <v/>
      </c>
      <c r="S15" s="29">
        <f>IF($A15="","",SUMIFS(전표_원본!$P$5:$P$100000,전표_원본!$O$5:$O$100000,$A15,전표_원본!$M$5:$M$100000,S$5))</f>
        <v/>
      </c>
      <c r="T15" s="29">
        <f>IF($A15="","",SUMIFS(전표_원본!$P$5:$P$100000,전표_원본!$O$5:$O$100000,$A15,전표_원본!$M$5:$M$100000,T$5))</f>
        <v/>
      </c>
      <c r="U15" s="29">
        <f>IF($A15="","",SUMIFS(전표_원본!$P$5:$P$100000,전표_원본!$O$5:$O$100000,$A15,전표_원본!$M$5:$M$100000,U$5))</f>
        <v/>
      </c>
      <c r="V15" s="29">
        <f>IF($A15="","",SUMIFS(전표_원본!$P$5:$P$100000,전표_원본!$O$5:$O$100000,$A15,전표_원본!$M$5:$M$100000,V$5))</f>
        <v/>
      </c>
      <c r="W15" s="29">
        <f>IF($A15="","",SUMIFS(전표_원본!$P$5:$P$100000,전표_원본!$O$5:$O$100000,$A15,전표_원본!$M$5:$M$100000,W$5))</f>
        <v/>
      </c>
      <c r="X15" s="29">
        <f>IF($A15="","",SUMIFS(전표_원본!$P$5:$P$100000,전표_원본!$O$5:$O$100000,$A15,전표_원본!$M$5:$M$100000,X$5))</f>
        <v/>
      </c>
      <c r="Y15" s="29">
        <f>IF($A15="","",SUMIFS(전표_원본!$P$5:$P$100000,전표_원본!$O$5:$O$100000,$A15,전표_원본!$M$5:$M$100000,Y$5))</f>
        <v/>
      </c>
      <c r="Z15" s="29">
        <f>IF($A15="","",SUMIFS(전표_원본!$P$5:$P$100000,전표_원본!$O$5:$O$100000,$A15,전표_원본!$M$5:$M$100000,Z$5))</f>
        <v/>
      </c>
    </row>
    <row r="16">
      <c r="A16" s="22">
        <f>IF(변동분석!$A16="","",변동분석!$E16)</f>
        <v/>
      </c>
      <c r="B16" s="22">
        <f>IF($A16="","",변동분석!$B16&amp;" "&amp;변동분석!$D16)</f>
        <v/>
      </c>
      <c r="C16" s="29">
        <f>IF($A16="","",SUMIFS(전표_원본!$P$5:$P$100000,전표_원본!$O$5:$O$100000,$A16,전표_원본!$M$5:$M$100000,C$5))</f>
        <v/>
      </c>
      <c r="D16" s="29">
        <f>IF($A16="","",SUMIFS(전표_원본!$P$5:$P$100000,전표_원본!$O$5:$O$100000,$A16,전표_원본!$M$5:$M$100000,D$5))</f>
        <v/>
      </c>
      <c r="E16" s="29">
        <f>IF($A16="","",SUMIFS(전표_원본!$P$5:$P$100000,전표_원본!$O$5:$O$100000,$A16,전표_원본!$M$5:$M$100000,E$5))</f>
        <v/>
      </c>
      <c r="F16" s="29">
        <f>IF($A16="","",SUMIFS(전표_원본!$P$5:$P$100000,전표_원본!$O$5:$O$100000,$A16,전표_원본!$M$5:$M$100000,F$5))</f>
        <v/>
      </c>
      <c r="G16" s="29">
        <f>IF($A16="","",SUMIFS(전표_원본!$P$5:$P$100000,전표_원본!$O$5:$O$100000,$A16,전표_원본!$M$5:$M$100000,G$5))</f>
        <v/>
      </c>
      <c r="H16" s="29">
        <f>IF($A16="","",SUMIFS(전표_원본!$P$5:$P$100000,전표_원본!$O$5:$O$100000,$A16,전표_원본!$M$5:$M$100000,H$5))</f>
        <v/>
      </c>
      <c r="I16" s="29">
        <f>IF($A16="","",SUMIFS(전표_원본!$P$5:$P$100000,전표_원본!$O$5:$O$100000,$A16,전표_원본!$M$5:$M$100000,I$5))</f>
        <v/>
      </c>
      <c r="J16" s="29">
        <f>IF($A16="","",SUMIFS(전표_원본!$P$5:$P$100000,전표_원본!$O$5:$O$100000,$A16,전표_원본!$M$5:$M$100000,J$5))</f>
        <v/>
      </c>
      <c r="K16" s="29">
        <f>IF($A16="","",SUMIFS(전표_원본!$P$5:$P$100000,전표_원본!$O$5:$O$100000,$A16,전표_원본!$M$5:$M$100000,K$5))</f>
        <v/>
      </c>
      <c r="L16" s="29">
        <f>IF($A16="","",SUMIFS(전표_원본!$P$5:$P$100000,전표_원본!$O$5:$O$100000,$A16,전표_원본!$M$5:$M$100000,L$5))</f>
        <v/>
      </c>
      <c r="M16" s="29">
        <f>IF($A16="","",SUMIFS(전표_원본!$P$5:$P$100000,전표_원본!$O$5:$O$100000,$A16,전표_원본!$M$5:$M$100000,M$5))</f>
        <v/>
      </c>
      <c r="N16" s="29">
        <f>IF($A16="","",SUMIFS(전표_원본!$P$5:$P$100000,전표_원본!$O$5:$O$100000,$A16,전표_원본!$M$5:$M$100000,N$5))</f>
        <v/>
      </c>
      <c r="O16" s="29">
        <f>IF($A16="","",SUMIFS(전표_원본!$P$5:$P$100000,전표_원본!$O$5:$O$100000,$A16,전표_원본!$M$5:$M$100000,O$5))</f>
        <v/>
      </c>
      <c r="P16" s="29">
        <f>IF($A16="","",SUMIFS(전표_원본!$P$5:$P$100000,전표_원본!$O$5:$O$100000,$A16,전표_원본!$M$5:$M$100000,P$5))</f>
        <v/>
      </c>
      <c r="Q16" s="29">
        <f>IF($A16="","",SUMIFS(전표_원본!$P$5:$P$100000,전표_원본!$O$5:$O$100000,$A16,전표_원본!$M$5:$M$100000,Q$5))</f>
        <v/>
      </c>
      <c r="R16" s="29">
        <f>IF($A16="","",SUMIFS(전표_원본!$P$5:$P$100000,전표_원본!$O$5:$O$100000,$A16,전표_원본!$M$5:$M$100000,R$5))</f>
        <v/>
      </c>
      <c r="S16" s="29">
        <f>IF($A16="","",SUMIFS(전표_원본!$P$5:$P$100000,전표_원본!$O$5:$O$100000,$A16,전표_원본!$M$5:$M$100000,S$5))</f>
        <v/>
      </c>
      <c r="T16" s="29">
        <f>IF($A16="","",SUMIFS(전표_원본!$P$5:$P$100000,전표_원본!$O$5:$O$100000,$A16,전표_원본!$M$5:$M$100000,T$5))</f>
        <v/>
      </c>
      <c r="U16" s="29">
        <f>IF($A16="","",SUMIFS(전표_원본!$P$5:$P$100000,전표_원본!$O$5:$O$100000,$A16,전표_원본!$M$5:$M$100000,U$5))</f>
        <v/>
      </c>
      <c r="V16" s="29">
        <f>IF($A16="","",SUMIFS(전표_원본!$P$5:$P$100000,전표_원본!$O$5:$O$100000,$A16,전표_원본!$M$5:$M$100000,V$5))</f>
        <v/>
      </c>
      <c r="W16" s="29">
        <f>IF($A16="","",SUMIFS(전표_원본!$P$5:$P$100000,전표_원본!$O$5:$O$100000,$A16,전표_원본!$M$5:$M$100000,W$5))</f>
        <v/>
      </c>
      <c r="X16" s="29">
        <f>IF($A16="","",SUMIFS(전표_원본!$P$5:$P$100000,전표_원본!$O$5:$O$100000,$A16,전표_원본!$M$5:$M$100000,X$5))</f>
        <v/>
      </c>
      <c r="Y16" s="29">
        <f>IF($A16="","",SUMIFS(전표_원본!$P$5:$P$100000,전표_원본!$O$5:$O$100000,$A16,전표_원본!$M$5:$M$100000,Y$5))</f>
        <v/>
      </c>
      <c r="Z16" s="29">
        <f>IF($A16="","",SUMIFS(전표_원본!$P$5:$P$100000,전표_원본!$O$5:$O$100000,$A16,전표_원본!$M$5:$M$100000,Z$5))</f>
        <v/>
      </c>
    </row>
    <row r="17">
      <c r="A17" s="22">
        <f>IF(변동분석!$A17="","",변동분석!$E17)</f>
        <v/>
      </c>
      <c r="B17" s="22">
        <f>IF($A17="","",변동분석!$B17&amp;" "&amp;변동분석!$D17)</f>
        <v/>
      </c>
      <c r="C17" s="29">
        <f>IF($A17="","",SUMIFS(전표_원본!$P$5:$P$100000,전표_원본!$O$5:$O$100000,$A17,전표_원본!$M$5:$M$100000,C$5))</f>
        <v/>
      </c>
      <c r="D17" s="29">
        <f>IF($A17="","",SUMIFS(전표_원본!$P$5:$P$100000,전표_원본!$O$5:$O$100000,$A17,전표_원본!$M$5:$M$100000,D$5))</f>
        <v/>
      </c>
      <c r="E17" s="29">
        <f>IF($A17="","",SUMIFS(전표_원본!$P$5:$P$100000,전표_원본!$O$5:$O$100000,$A17,전표_원본!$M$5:$M$100000,E$5))</f>
        <v/>
      </c>
      <c r="F17" s="29">
        <f>IF($A17="","",SUMIFS(전표_원본!$P$5:$P$100000,전표_원본!$O$5:$O$100000,$A17,전표_원본!$M$5:$M$100000,F$5))</f>
        <v/>
      </c>
      <c r="G17" s="29">
        <f>IF($A17="","",SUMIFS(전표_원본!$P$5:$P$100000,전표_원본!$O$5:$O$100000,$A17,전표_원본!$M$5:$M$100000,G$5))</f>
        <v/>
      </c>
      <c r="H17" s="29">
        <f>IF($A17="","",SUMIFS(전표_원본!$P$5:$P$100000,전표_원본!$O$5:$O$100000,$A17,전표_원본!$M$5:$M$100000,H$5))</f>
        <v/>
      </c>
      <c r="I17" s="29">
        <f>IF($A17="","",SUMIFS(전표_원본!$P$5:$P$100000,전표_원본!$O$5:$O$100000,$A17,전표_원본!$M$5:$M$100000,I$5))</f>
        <v/>
      </c>
      <c r="J17" s="29">
        <f>IF($A17="","",SUMIFS(전표_원본!$P$5:$P$100000,전표_원본!$O$5:$O$100000,$A17,전표_원본!$M$5:$M$100000,J$5))</f>
        <v/>
      </c>
      <c r="K17" s="29">
        <f>IF($A17="","",SUMIFS(전표_원본!$P$5:$P$100000,전표_원본!$O$5:$O$100000,$A17,전표_원본!$M$5:$M$100000,K$5))</f>
        <v/>
      </c>
      <c r="L17" s="29">
        <f>IF($A17="","",SUMIFS(전표_원본!$P$5:$P$100000,전표_원본!$O$5:$O$100000,$A17,전표_원본!$M$5:$M$100000,L$5))</f>
        <v/>
      </c>
      <c r="M17" s="29">
        <f>IF($A17="","",SUMIFS(전표_원본!$P$5:$P$100000,전표_원본!$O$5:$O$100000,$A17,전표_원본!$M$5:$M$100000,M$5))</f>
        <v/>
      </c>
      <c r="N17" s="29">
        <f>IF($A17="","",SUMIFS(전표_원본!$P$5:$P$100000,전표_원본!$O$5:$O$100000,$A17,전표_원본!$M$5:$M$100000,N$5))</f>
        <v/>
      </c>
      <c r="O17" s="29">
        <f>IF($A17="","",SUMIFS(전표_원본!$P$5:$P$100000,전표_원본!$O$5:$O$100000,$A17,전표_원본!$M$5:$M$100000,O$5))</f>
        <v/>
      </c>
      <c r="P17" s="29">
        <f>IF($A17="","",SUMIFS(전표_원본!$P$5:$P$100000,전표_원본!$O$5:$O$100000,$A17,전표_원본!$M$5:$M$100000,P$5))</f>
        <v/>
      </c>
      <c r="Q17" s="29">
        <f>IF($A17="","",SUMIFS(전표_원본!$P$5:$P$100000,전표_원본!$O$5:$O$100000,$A17,전표_원본!$M$5:$M$100000,Q$5))</f>
        <v/>
      </c>
      <c r="R17" s="29">
        <f>IF($A17="","",SUMIFS(전표_원본!$P$5:$P$100000,전표_원본!$O$5:$O$100000,$A17,전표_원본!$M$5:$M$100000,R$5))</f>
        <v/>
      </c>
      <c r="S17" s="29">
        <f>IF($A17="","",SUMIFS(전표_원본!$P$5:$P$100000,전표_원본!$O$5:$O$100000,$A17,전표_원본!$M$5:$M$100000,S$5))</f>
        <v/>
      </c>
      <c r="T17" s="29">
        <f>IF($A17="","",SUMIFS(전표_원본!$P$5:$P$100000,전표_원본!$O$5:$O$100000,$A17,전표_원본!$M$5:$M$100000,T$5))</f>
        <v/>
      </c>
      <c r="U17" s="29">
        <f>IF($A17="","",SUMIFS(전표_원본!$P$5:$P$100000,전표_원본!$O$5:$O$100000,$A17,전표_원본!$M$5:$M$100000,U$5))</f>
        <v/>
      </c>
      <c r="V17" s="29">
        <f>IF($A17="","",SUMIFS(전표_원본!$P$5:$P$100000,전표_원본!$O$5:$O$100000,$A17,전표_원본!$M$5:$M$100000,V$5))</f>
        <v/>
      </c>
      <c r="W17" s="29">
        <f>IF($A17="","",SUMIFS(전표_원본!$P$5:$P$100000,전표_원본!$O$5:$O$100000,$A17,전표_원본!$M$5:$M$100000,W$5))</f>
        <v/>
      </c>
      <c r="X17" s="29">
        <f>IF($A17="","",SUMIFS(전표_원본!$P$5:$P$100000,전표_원본!$O$5:$O$100000,$A17,전표_원본!$M$5:$M$100000,X$5))</f>
        <v/>
      </c>
      <c r="Y17" s="29">
        <f>IF($A17="","",SUMIFS(전표_원본!$P$5:$P$100000,전표_원본!$O$5:$O$100000,$A17,전표_원본!$M$5:$M$100000,Y$5))</f>
        <v/>
      </c>
      <c r="Z17" s="29">
        <f>IF($A17="","",SUMIFS(전표_원본!$P$5:$P$100000,전표_원본!$O$5:$O$100000,$A17,전표_원본!$M$5:$M$100000,Z$5))</f>
        <v/>
      </c>
    </row>
    <row r="18">
      <c r="A18" s="22">
        <f>IF(변동분석!$A18="","",변동분석!$E18)</f>
        <v/>
      </c>
      <c r="B18" s="22">
        <f>IF($A18="","",변동분석!$B18&amp;" "&amp;변동분석!$D18)</f>
        <v/>
      </c>
      <c r="C18" s="29">
        <f>IF($A18="","",SUMIFS(전표_원본!$P$5:$P$100000,전표_원본!$O$5:$O$100000,$A18,전표_원본!$M$5:$M$100000,C$5))</f>
        <v/>
      </c>
      <c r="D18" s="29">
        <f>IF($A18="","",SUMIFS(전표_원본!$P$5:$P$100000,전표_원본!$O$5:$O$100000,$A18,전표_원본!$M$5:$M$100000,D$5))</f>
        <v/>
      </c>
      <c r="E18" s="29">
        <f>IF($A18="","",SUMIFS(전표_원본!$P$5:$P$100000,전표_원본!$O$5:$O$100000,$A18,전표_원본!$M$5:$M$100000,E$5))</f>
        <v/>
      </c>
      <c r="F18" s="29">
        <f>IF($A18="","",SUMIFS(전표_원본!$P$5:$P$100000,전표_원본!$O$5:$O$100000,$A18,전표_원본!$M$5:$M$100000,F$5))</f>
        <v/>
      </c>
      <c r="G18" s="29">
        <f>IF($A18="","",SUMIFS(전표_원본!$P$5:$P$100000,전표_원본!$O$5:$O$100000,$A18,전표_원본!$M$5:$M$100000,G$5))</f>
        <v/>
      </c>
      <c r="H18" s="29">
        <f>IF($A18="","",SUMIFS(전표_원본!$P$5:$P$100000,전표_원본!$O$5:$O$100000,$A18,전표_원본!$M$5:$M$100000,H$5))</f>
        <v/>
      </c>
      <c r="I18" s="29">
        <f>IF($A18="","",SUMIFS(전표_원본!$P$5:$P$100000,전표_원본!$O$5:$O$100000,$A18,전표_원본!$M$5:$M$100000,I$5))</f>
        <v/>
      </c>
      <c r="J18" s="29">
        <f>IF($A18="","",SUMIFS(전표_원본!$P$5:$P$100000,전표_원본!$O$5:$O$100000,$A18,전표_원본!$M$5:$M$100000,J$5))</f>
        <v/>
      </c>
      <c r="K18" s="29">
        <f>IF($A18="","",SUMIFS(전표_원본!$P$5:$P$100000,전표_원본!$O$5:$O$100000,$A18,전표_원본!$M$5:$M$100000,K$5))</f>
        <v/>
      </c>
      <c r="L18" s="29">
        <f>IF($A18="","",SUMIFS(전표_원본!$P$5:$P$100000,전표_원본!$O$5:$O$100000,$A18,전표_원본!$M$5:$M$100000,L$5))</f>
        <v/>
      </c>
      <c r="M18" s="29">
        <f>IF($A18="","",SUMIFS(전표_원본!$P$5:$P$100000,전표_원본!$O$5:$O$100000,$A18,전표_원본!$M$5:$M$100000,M$5))</f>
        <v/>
      </c>
      <c r="N18" s="29">
        <f>IF($A18="","",SUMIFS(전표_원본!$P$5:$P$100000,전표_원본!$O$5:$O$100000,$A18,전표_원본!$M$5:$M$100000,N$5))</f>
        <v/>
      </c>
      <c r="O18" s="29">
        <f>IF($A18="","",SUMIFS(전표_원본!$P$5:$P$100000,전표_원본!$O$5:$O$100000,$A18,전표_원본!$M$5:$M$100000,O$5))</f>
        <v/>
      </c>
      <c r="P18" s="29">
        <f>IF($A18="","",SUMIFS(전표_원본!$P$5:$P$100000,전표_원본!$O$5:$O$100000,$A18,전표_원본!$M$5:$M$100000,P$5))</f>
        <v/>
      </c>
      <c r="Q18" s="29">
        <f>IF($A18="","",SUMIFS(전표_원본!$P$5:$P$100000,전표_원본!$O$5:$O$100000,$A18,전표_원본!$M$5:$M$100000,Q$5))</f>
        <v/>
      </c>
      <c r="R18" s="29">
        <f>IF($A18="","",SUMIFS(전표_원본!$P$5:$P$100000,전표_원본!$O$5:$O$100000,$A18,전표_원본!$M$5:$M$100000,R$5))</f>
        <v/>
      </c>
      <c r="S18" s="29">
        <f>IF($A18="","",SUMIFS(전표_원본!$P$5:$P$100000,전표_원본!$O$5:$O$100000,$A18,전표_원본!$M$5:$M$100000,S$5))</f>
        <v/>
      </c>
      <c r="T18" s="29">
        <f>IF($A18="","",SUMIFS(전표_원본!$P$5:$P$100000,전표_원본!$O$5:$O$100000,$A18,전표_원본!$M$5:$M$100000,T$5))</f>
        <v/>
      </c>
      <c r="U18" s="29">
        <f>IF($A18="","",SUMIFS(전표_원본!$P$5:$P$100000,전표_원본!$O$5:$O$100000,$A18,전표_원본!$M$5:$M$100000,U$5))</f>
        <v/>
      </c>
      <c r="V18" s="29">
        <f>IF($A18="","",SUMIFS(전표_원본!$P$5:$P$100000,전표_원본!$O$5:$O$100000,$A18,전표_원본!$M$5:$M$100000,V$5))</f>
        <v/>
      </c>
      <c r="W18" s="29">
        <f>IF($A18="","",SUMIFS(전표_원본!$P$5:$P$100000,전표_원본!$O$5:$O$100000,$A18,전표_원본!$M$5:$M$100000,W$5))</f>
        <v/>
      </c>
      <c r="X18" s="29">
        <f>IF($A18="","",SUMIFS(전표_원본!$P$5:$P$100000,전표_원본!$O$5:$O$100000,$A18,전표_원본!$M$5:$M$100000,X$5))</f>
        <v/>
      </c>
      <c r="Y18" s="29">
        <f>IF($A18="","",SUMIFS(전표_원본!$P$5:$P$100000,전표_원본!$O$5:$O$100000,$A18,전표_원본!$M$5:$M$100000,Y$5))</f>
        <v/>
      </c>
      <c r="Z18" s="29">
        <f>IF($A18="","",SUMIFS(전표_원본!$P$5:$P$100000,전표_원본!$O$5:$O$100000,$A18,전표_원본!$M$5:$M$100000,Z$5))</f>
        <v/>
      </c>
    </row>
    <row r="19">
      <c r="A19" s="22">
        <f>IF(변동분석!$A19="","",변동분석!$E19)</f>
        <v/>
      </c>
      <c r="B19" s="22">
        <f>IF($A19="","",변동분석!$B19&amp;" "&amp;변동분석!$D19)</f>
        <v/>
      </c>
      <c r="C19" s="29">
        <f>IF($A19="","",SUMIFS(전표_원본!$P$5:$P$100000,전표_원본!$O$5:$O$100000,$A19,전표_원본!$M$5:$M$100000,C$5))</f>
        <v/>
      </c>
      <c r="D19" s="29">
        <f>IF($A19="","",SUMIFS(전표_원본!$P$5:$P$100000,전표_원본!$O$5:$O$100000,$A19,전표_원본!$M$5:$M$100000,D$5))</f>
        <v/>
      </c>
      <c r="E19" s="29">
        <f>IF($A19="","",SUMIFS(전표_원본!$P$5:$P$100000,전표_원본!$O$5:$O$100000,$A19,전표_원본!$M$5:$M$100000,E$5))</f>
        <v/>
      </c>
      <c r="F19" s="29">
        <f>IF($A19="","",SUMIFS(전표_원본!$P$5:$P$100000,전표_원본!$O$5:$O$100000,$A19,전표_원본!$M$5:$M$100000,F$5))</f>
        <v/>
      </c>
      <c r="G19" s="29">
        <f>IF($A19="","",SUMIFS(전표_원본!$P$5:$P$100000,전표_원본!$O$5:$O$100000,$A19,전표_원본!$M$5:$M$100000,G$5))</f>
        <v/>
      </c>
      <c r="H19" s="29">
        <f>IF($A19="","",SUMIFS(전표_원본!$P$5:$P$100000,전표_원본!$O$5:$O$100000,$A19,전표_원본!$M$5:$M$100000,H$5))</f>
        <v/>
      </c>
      <c r="I19" s="29">
        <f>IF($A19="","",SUMIFS(전표_원본!$P$5:$P$100000,전표_원본!$O$5:$O$100000,$A19,전표_원본!$M$5:$M$100000,I$5))</f>
        <v/>
      </c>
      <c r="J19" s="29">
        <f>IF($A19="","",SUMIFS(전표_원본!$P$5:$P$100000,전표_원본!$O$5:$O$100000,$A19,전표_원본!$M$5:$M$100000,J$5))</f>
        <v/>
      </c>
      <c r="K19" s="29">
        <f>IF($A19="","",SUMIFS(전표_원본!$P$5:$P$100000,전표_원본!$O$5:$O$100000,$A19,전표_원본!$M$5:$M$100000,K$5))</f>
        <v/>
      </c>
      <c r="L19" s="29">
        <f>IF($A19="","",SUMIFS(전표_원본!$P$5:$P$100000,전표_원본!$O$5:$O$100000,$A19,전표_원본!$M$5:$M$100000,L$5))</f>
        <v/>
      </c>
      <c r="M19" s="29">
        <f>IF($A19="","",SUMIFS(전표_원본!$P$5:$P$100000,전표_원본!$O$5:$O$100000,$A19,전표_원본!$M$5:$M$100000,M$5))</f>
        <v/>
      </c>
      <c r="N19" s="29">
        <f>IF($A19="","",SUMIFS(전표_원본!$P$5:$P$100000,전표_원본!$O$5:$O$100000,$A19,전표_원본!$M$5:$M$100000,N$5))</f>
        <v/>
      </c>
      <c r="O19" s="29">
        <f>IF($A19="","",SUMIFS(전표_원본!$P$5:$P$100000,전표_원본!$O$5:$O$100000,$A19,전표_원본!$M$5:$M$100000,O$5))</f>
        <v/>
      </c>
      <c r="P19" s="29">
        <f>IF($A19="","",SUMIFS(전표_원본!$P$5:$P$100000,전표_원본!$O$5:$O$100000,$A19,전표_원본!$M$5:$M$100000,P$5))</f>
        <v/>
      </c>
      <c r="Q19" s="29">
        <f>IF($A19="","",SUMIFS(전표_원본!$P$5:$P$100000,전표_원본!$O$5:$O$100000,$A19,전표_원본!$M$5:$M$100000,Q$5))</f>
        <v/>
      </c>
      <c r="R19" s="29">
        <f>IF($A19="","",SUMIFS(전표_원본!$P$5:$P$100000,전표_원본!$O$5:$O$100000,$A19,전표_원본!$M$5:$M$100000,R$5))</f>
        <v/>
      </c>
      <c r="S19" s="29">
        <f>IF($A19="","",SUMIFS(전표_원본!$P$5:$P$100000,전표_원본!$O$5:$O$100000,$A19,전표_원본!$M$5:$M$100000,S$5))</f>
        <v/>
      </c>
      <c r="T19" s="29">
        <f>IF($A19="","",SUMIFS(전표_원본!$P$5:$P$100000,전표_원본!$O$5:$O$100000,$A19,전표_원본!$M$5:$M$100000,T$5))</f>
        <v/>
      </c>
      <c r="U19" s="29">
        <f>IF($A19="","",SUMIFS(전표_원본!$P$5:$P$100000,전표_원본!$O$5:$O$100000,$A19,전표_원본!$M$5:$M$100000,U$5))</f>
        <v/>
      </c>
      <c r="V19" s="29">
        <f>IF($A19="","",SUMIFS(전표_원본!$P$5:$P$100000,전표_원본!$O$5:$O$100000,$A19,전표_원본!$M$5:$M$100000,V$5))</f>
        <v/>
      </c>
      <c r="W19" s="29">
        <f>IF($A19="","",SUMIFS(전표_원본!$P$5:$P$100000,전표_원본!$O$5:$O$100000,$A19,전표_원본!$M$5:$M$100000,W$5))</f>
        <v/>
      </c>
      <c r="X19" s="29">
        <f>IF($A19="","",SUMIFS(전표_원본!$P$5:$P$100000,전표_원본!$O$5:$O$100000,$A19,전표_원본!$M$5:$M$100000,X$5))</f>
        <v/>
      </c>
      <c r="Y19" s="29">
        <f>IF($A19="","",SUMIFS(전표_원본!$P$5:$P$100000,전표_원본!$O$5:$O$100000,$A19,전표_원본!$M$5:$M$100000,Y$5))</f>
        <v/>
      </c>
      <c r="Z19" s="29">
        <f>IF($A19="","",SUMIFS(전표_원본!$P$5:$P$100000,전표_원본!$O$5:$O$100000,$A19,전표_원본!$M$5:$M$100000,Z$5))</f>
        <v/>
      </c>
    </row>
    <row r="20">
      <c r="A20" s="22">
        <f>IF(변동분석!$A20="","",변동분석!$E20)</f>
        <v/>
      </c>
      <c r="B20" s="22">
        <f>IF($A20="","",변동분석!$B20&amp;" "&amp;변동분석!$D20)</f>
        <v/>
      </c>
      <c r="C20" s="29">
        <f>IF($A20="","",SUMIFS(전표_원본!$P$5:$P$100000,전표_원본!$O$5:$O$100000,$A20,전표_원본!$M$5:$M$100000,C$5))</f>
        <v/>
      </c>
      <c r="D20" s="29">
        <f>IF($A20="","",SUMIFS(전표_원본!$P$5:$P$100000,전표_원본!$O$5:$O$100000,$A20,전표_원본!$M$5:$M$100000,D$5))</f>
        <v/>
      </c>
      <c r="E20" s="29">
        <f>IF($A20="","",SUMIFS(전표_원본!$P$5:$P$100000,전표_원본!$O$5:$O$100000,$A20,전표_원본!$M$5:$M$100000,E$5))</f>
        <v/>
      </c>
      <c r="F20" s="29">
        <f>IF($A20="","",SUMIFS(전표_원본!$P$5:$P$100000,전표_원본!$O$5:$O$100000,$A20,전표_원본!$M$5:$M$100000,F$5))</f>
        <v/>
      </c>
      <c r="G20" s="29">
        <f>IF($A20="","",SUMIFS(전표_원본!$P$5:$P$100000,전표_원본!$O$5:$O$100000,$A20,전표_원본!$M$5:$M$100000,G$5))</f>
        <v/>
      </c>
      <c r="H20" s="29">
        <f>IF($A20="","",SUMIFS(전표_원본!$P$5:$P$100000,전표_원본!$O$5:$O$100000,$A20,전표_원본!$M$5:$M$100000,H$5))</f>
        <v/>
      </c>
      <c r="I20" s="29">
        <f>IF($A20="","",SUMIFS(전표_원본!$P$5:$P$100000,전표_원본!$O$5:$O$100000,$A20,전표_원본!$M$5:$M$100000,I$5))</f>
        <v/>
      </c>
      <c r="J20" s="29">
        <f>IF($A20="","",SUMIFS(전표_원본!$P$5:$P$100000,전표_원본!$O$5:$O$100000,$A20,전표_원본!$M$5:$M$100000,J$5))</f>
        <v/>
      </c>
      <c r="K20" s="29">
        <f>IF($A20="","",SUMIFS(전표_원본!$P$5:$P$100000,전표_원본!$O$5:$O$100000,$A20,전표_원본!$M$5:$M$100000,K$5))</f>
        <v/>
      </c>
      <c r="L20" s="29">
        <f>IF($A20="","",SUMIFS(전표_원본!$P$5:$P$100000,전표_원본!$O$5:$O$100000,$A20,전표_원본!$M$5:$M$100000,L$5))</f>
        <v/>
      </c>
      <c r="M20" s="29">
        <f>IF($A20="","",SUMIFS(전표_원본!$P$5:$P$100000,전표_원본!$O$5:$O$100000,$A20,전표_원본!$M$5:$M$100000,M$5))</f>
        <v/>
      </c>
      <c r="N20" s="29">
        <f>IF($A20="","",SUMIFS(전표_원본!$P$5:$P$100000,전표_원본!$O$5:$O$100000,$A20,전표_원본!$M$5:$M$100000,N$5))</f>
        <v/>
      </c>
      <c r="O20" s="29">
        <f>IF($A20="","",SUMIFS(전표_원본!$P$5:$P$100000,전표_원본!$O$5:$O$100000,$A20,전표_원본!$M$5:$M$100000,O$5))</f>
        <v/>
      </c>
      <c r="P20" s="29">
        <f>IF($A20="","",SUMIFS(전표_원본!$P$5:$P$100000,전표_원본!$O$5:$O$100000,$A20,전표_원본!$M$5:$M$100000,P$5))</f>
        <v/>
      </c>
      <c r="Q20" s="29">
        <f>IF($A20="","",SUMIFS(전표_원본!$P$5:$P$100000,전표_원본!$O$5:$O$100000,$A20,전표_원본!$M$5:$M$100000,Q$5))</f>
        <v/>
      </c>
      <c r="R20" s="29">
        <f>IF($A20="","",SUMIFS(전표_원본!$P$5:$P$100000,전표_원본!$O$5:$O$100000,$A20,전표_원본!$M$5:$M$100000,R$5))</f>
        <v/>
      </c>
      <c r="S20" s="29">
        <f>IF($A20="","",SUMIFS(전표_원본!$P$5:$P$100000,전표_원본!$O$5:$O$100000,$A20,전표_원본!$M$5:$M$100000,S$5))</f>
        <v/>
      </c>
      <c r="T20" s="29">
        <f>IF($A20="","",SUMIFS(전표_원본!$P$5:$P$100000,전표_원본!$O$5:$O$100000,$A20,전표_원본!$M$5:$M$100000,T$5))</f>
        <v/>
      </c>
      <c r="U20" s="29">
        <f>IF($A20="","",SUMIFS(전표_원본!$P$5:$P$100000,전표_원본!$O$5:$O$100000,$A20,전표_원본!$M$5:$M$100000,U$5))</f>
        <v/>
      </c>
      <c r="V20" s="29">
        <f>IF($A20="","",SUMIFS(전표_원본!$P$5:$P$100000,전표_원본!$O$5:$O$100000,$A20,전표_원본!$M$5:$M$100000,V$5))</f>
        <v/>
      </c>
      <c r="W20" s="29">
        <f>IF($A20="","",SUMIFS(전표_원본!$P$5:$P$100000,전표_원본!$O$5:$O$100000,$A20,전표_원본!$M$5:$M$100000,W$5))</f>
        <v/>
      </c>
      <c r="X20" s="29">
        <f>IF($A20="","",SUMIFS(전표_원본!$P$5:$P$100000,전표_원본!$O$5:$O$100000,$A20,전표_원본!$M$5:$M$100000,X$5))</f>
        <v/>
      </c>
      <c r="Y20" s="29">
        <f>IF($A20="","",SUMIFS(전표_원본!$P$5:$P$100000,전표_원본!$O$5:$O$100000,$A20,전표_원본!$M$5:$M$100000,Y$5))</f>
        <v/>
      </c>
      <c r="Z20" s="29">
        <f>IF($A20="","",SUMIFS(전표_원본!$P$5:$P$100000,전표_원본!$O$5:$O$100000,$A20,전표_원본!$M$5:$M$100000,Z$5))</f>
        <v/>
      </c>
    </row>
    <row r="21">
      <c r="A21" s="22">
        <f>IF(변동분석!$A21="","",변동분석!$E21)</f>
        <v/>
      </c>
      <c r="B21" s="22">
        <f>IF($A21="","",변동분석!$B21&amp;" "&amp;변동분석!$D21)</f>
        <v/>
      </c>
      <c r="C21" s="29">
        <f>IF($A21="","",SUMIFS(전표_원본!$P$5:$P$100000,전표_원본!$O$5:$O$100000,$A21,전표_원본!$M$5:$M$100000,C$5))</f>
        <v/>
      </c>
      <c r="D21" s="29">
        <f>IF($A21="","",SUMIFS(전표_원본!$P$5:$P$100000,전표_원본!$O$5:$O$100000,$A21,전표_원본!$M$5:$M$100000,D$5))</f>
        <v/>
      </c>
      <c r="E21" s="29">
        <f>IF($A21="","",SUMIFS(전표_원본!$P$5:$P$100000,전표_원본!$O$5:$O$100000,$A21,전표_원본!$M$5:$M$100000,E$5))</f>
        <v/>
      </c>
      <c r="F21" s="29">
        <f>IF($A21="","",SUMIFS(전표_원본!$P$5:$P$100000,전표_원본!$O$5:$O$100000,$A21,전표_원본!$M$5:$M$100000,F$5))</f>
        <v/>
      </c>
      <c r="G21" s="29">
        <f>IF($A21="","",SUMIFS(전표_원본!$P$5:$P$100000,전표_원본!$O$5:$O$100000,$A21,전표_원본!$M$5:$M$100000,G$5))</f>
        <v/>
      </c>
      <c r="H21" s="29">
        <f>IF($A21="","",SUMIFS(전표_원본!$P$5:$P$100000,전표_원본!$O$5:$O$100000,$A21,전표_원본!$M$5:$M$100000,H$5))</f>
        <v/>
      </c>
      <c r="I21" s="29">
        <f>IF($A21="","",SUMIFS(전표_원본!$P$5:$P$100000,전표_원본!$O$5:$O$100000,$A21,전표_원본!$M$5:$M$100000,I$5))</f>
        <v/>
      </c>
      <c r="J21" s="29">
        <f>IF($A21="","",SUMIFS(전표_원본!$P$5:$P$100000,전표_원본!$O$5:$O$100000,$A21,전표_원본!$M$5:$M$100000,J$5))</f>
        <v/>
      </c>
      <c r="K21" s="29">
        <f>IF($A21="","",SUMIFS(전표_원본!$P$5:$P$100000,전표_원본!$O$5:$O$100000,$A21,전표_원본!$M$5:$M$100000,K$5))</f>
        <v/>
      </c>
      <c r="L21" s="29">
        <f>IF($A21="","",SUMIFS(전표_원본!$P$5:$P$100000,전표_원본!$O$5:$O$100000,$A21,전표_원본!$M$5:$M$100000,L$5))</f>
        <v/>
      </c>
      <c r="M21" s="29">
        <f>IF($A21="","",SUMIFS(전표_원본!$P$5:$P$100000,전표_원본!$O$5:$O$100000,$A21,전표_원본!$M$5:$M$100000,M$5))</f>
        <v/>
      </c>
      <c r="N21" s="29">
        <f>IF($A21="","",SUMIFS(전표_원본!$P$5:$P$100000,전표_원본!$O$5:$O$100000,$A21,전표_원본!$M$5:$M$100000,N$5))</f>
        <v/>
      </c>
      <c r="O21" s="29">
        <f>IF($A21="","",SUMIFS(전표_원본!$P$5:$P$100000,전표_원본!$O$5:$O$100000,$A21,전표_원본!$M$5:$M$100000,O$5))</f>
        <v/>
      </c>
      <c r="P21" s="29">
        <f>IF($A21="","",SUMIFS(전표_원본!$P$5:$P$100000,전표_원본!$O$5:$O$100000,$A21,전표_원본!$M$5:$M$100000,P$5))</f>
        <v/>
      </c>
      <c r="Q21" s="29">
        <f>IF($A21="","",SUMIFS(전표_원본!$P$5:$P$100000,전표_원본!$O$5:$O$100000,$A21,전표_원본!$M$5:$M$100000,Q$5))</f>
        <v/>
      </c>
      <c r="R21" s="29">
        <f>IF($A21="","",SUMIFS(전표_원본!$P$5:$P$100000,전표_원본!$O$5:$O$100000,$A21,전표_원본!$M$5:$M$100000,R$5))</f>
        <v/>
      </c>
      <c r="S21" s="29">
        <f>IF($A21="","",SUMIFS(전표_원본!$P$5:$P$100000,전표_원본!$O$5:$O$100000,$A21,전표_원본!$M$5:$M$100000,S$5))</f>
        <v/>
      </c>
      <c r="T21" s="29">
        <f>IF($A21="","",SUMIFS(전표_원본!$P$5:$P$100000,전표_원본!$O$5:$O$100000,$A21,전표_원본!$M$5:$M$100000,T$5))</f>
        <v/>
      </c>
      <c r="U21" s="29">
        <f>IF($A21="","",SUMIFS(전표_원본!$P$5:$P$100000,전표_원본!$O$5:$O$100000,$A21,전표_원본!$M$5:$M$100000,U$5))</f>
        <v/>
      </c>
      <c r="V21" s="29">
        <f>IF($A21="","",SUMIFS(전표_원본!$P$5:$P$100000,전표_원본!$O$5:$O$100000,$A21,전표_원본!$M$5:$M$100000,V$5))</f>
        <v/>
      </c>
      <c r="W21" s="29">
        <f>IF($A21="","",SUMIFS(전표_원본!$P$5:$P$100000,전표_원본!$O$5:$O$100000,$A21,전표_원본!$M$5:$M$100000,W$5))</f>
        <v/>
      </c>
      <c r="X21" s="29">
        <f>IF($A21="","",SUMIFS(전표_원본!$P$5:$P$100000,전표_원본!$O$5:$O$100000,$A21,전표_원본!$M$5:$M$100000,X$5))</f>
        <v/>
      </c>
      <c r="Y21" s="29">
        <f>IF($A21="","",SUMIFS(전표_원본!$P$5:$P$100000,전표_원본!$O$5:$O$100000,$A21,전표_원본!$M$5:$M$100000,Y$5))</f>
        <v/>
      </c>
      <c r="Z21" s="29">
        <f>IF($A21="","",SUMIFS(전표_원본!$P$5:$P$100000,전표_원본!$O$5:$O$100000,$A21,전표_원본!$M$5:$M$100000,Z$5))</f>
        <v/>
      </c>
    </row>
    <row r="22">
      <c r="A22" s="22">
        <f>IF(변동분석!$A22="","",변동분석!$E22)</f>
        <v/>
      </c>
      <c r="B22" s="22">
        <f>IF($A22="","",변동분석!$B22&amp;" "&amp;변동분석!$D22)</f>
        <v/>
      </c>
      <c r="C22" s="29">
        <f>IF($A22="","",SUMIFS(전표_원본!$P$5:$P$100000,전표_원본!$O$5:$O$100000,$A22,전표_원본!$M$5:$M$100000,C$5))</f>
        <v/>
      </c>
      <c r="D22" s="29">
        <f>IF($A22="","",SUMIFS(전표_원본!$P$5:$P$100000,전표_원본!$O$5:$O$100000,$A22,전표_원본!$M$5:$M$100000,D$5))</f>
        <v/>
      </c>
      <c r="E22" s="29">
        <f>IF($A22="","",SUMIFS(전표_원본!$P$5:$P$100000,전표_원본!$O$5:$O$100000,$A22,전표_원본!$M$5:$M$100000,E$5))</f>
        <v/>
      </c>
      <c r="F22" s="29">
        <f>IF($A22="","",SUMIFS(전표_원본!$P$5:$P$100000,전표_원본!$O$5:$O$100000,$A22,전표_원본!$M$5:$M$100000,F$5))</f>
        <v/>
      </c>
      <c r="G22" s="29">
        <f>IF($A22="","",SUMIFS(전표_원본!$P$5:$P$100000,전표_원본!$O$5:$O$100000,$A22,전표_원본!$M$5:$M$100000,G$5))</f>
        <v/>
      </c>
      <c r="H22" s="29">
        <f>IF($A22="","",SUMIFS(전표_원본!$P$5:$P$100000,전표_원본!$O$5:$O$100000,$A22,전표_원본!$M$5:$M$100000,H$5))</f>
        <v/>
      </c>
      <c r="I22" s="29">
        <f>IF($A22="","",SUMIFS(전표_원본!$P$5:$P$100000,전표_원본!$O$5:$O$100000,$A22,전표_원본!$M$5:$M$100000,I$5))</f>
        <v/>
      </c>
      <c r="J22" s="29">
        <f>IF($A22="","",SUMIFS(전표_원본!$P$5:$P$100000,전표_원본!$O$5:$O$100000,$A22,전표_원본!$M$5:$M$100000,J$5))</f>
        <v/>
      </c>
      <c r="K22" s="29">
        <f>IF($A22="","",SUMIFS(전표_원본!$P$5:$P$100000,전표_원본!$O$5:$O$100000,$A22,전표_원본!$M$5:$M$100000,K$5))</f>
        <v/>
      </c>
      <c r="L22" s="29">
        <f>IF($A22="","",SUMIFS(전표_원본!$P$5:$P$100000,전표_원본!$O$5:$O$100000,$A22,전표_원본!$M$5:$M$100000,L$5))</f>
        <v/>
      </c>
      <c r="M22" s="29">
        <f>IF($A22="","",SUMIFS(전표_원본!$P$5:$P$100000,전표_원본!$O$5:$O$100000,$A22,전표_원본!$M$5:$M$100000,M$5))</f>
        <v/>
      </c>
      <c r="N22" s="29">
        <f>IF($A22="","",SUMIFS(전표_원본!$P$5:$P$100000,전표_원본!$O$5:$O$100000,$A22,전표_원본!$M$5:$M$100000,N$5))</f>
        <v/>
      </c>
      <c r="O22" s="29">
        <f>IF($A22="","",SUMIFS(전표_원본!$P$5:$P$100000,전표_원본!$O$5:$O$100000,$A22,전표_원본!$M$5:$M$100000,O$5))</f>
        <v/>
      </c>
      <c r="P22" s="29">
        <f>IF($A22="","",SUMIFS(전표_원본!$P$5:$P$100000,전표_원본!$O$5:$O$100000,$A22,전표_원본!$M$5:$M$100000,P$5))</f>
        <v/>
      </c>
      <c r="Q22" s="29">
        <f>IF($A22="","",SUMIFS(전표_원본!$P$5:$P$100000,전표_원본!$O$5:$O$100000,$A22,전표_원본!$M$5:$M$100000,Q$5))</f>
        <v/>
      </c>
      <c r="R22" s="29">
        <f>IF($A22="","",SUMIFS(전표_원본!$P$5:$P$100000,전표_원본!$O$5:$O$100000,$A22,전표_원본!$M$5:$M$100000,R$5))</f>
        <v/>
      </c>
      <c r="S22" s="29">
        <f>IF($A22="","",SUMIFS(전표_원본!$P$5:$P$100000,전표_원본!$O$5:$O$100000,$A22,전표_원본!$M$5:$M$100000,S$5))</f>
        <v/>
      </c>
      <c r="T22" s="29">
        <f>IF($A22="","",SUMIFS(전표_원본!$P$5:$P$100000,전표_원본!$O$5:$O$100000,$A22,전표_원본!$M$5:$M$100000,T$5))</f>
        <v/>
      </c>
      <c r="U22" s="29">
        <f>IF($A22="","",SUMIFS(전표_원본!$P$5:$P$100000,전표_원본!$O$5:$O$100000,$A22,전표_원본!$M$5:$M$100000,U$5))</f>
        <v/>
      </c>
      <c r="V22" s="29">
        <f>IF($A22="","",SUMIFS(전표_원본!$P$5:$P$100000,전표_원본!$O$5:$O$100000,$A22,전표_원본!$M$5:$M$100000,V$5))</f>
        <v/>
      </c>
      <c r="W22" s="29">
        <f>IF($A22="","",SUMIFS(전표_원본!$P$5:$P$100000,전표_원본!$O$5:$O$100000,$A22,전표_원본!$M$5:$M$100000,W$5))</f>
        <v/>
      </c>
      <c r="X22" s="29">
        <f>IF($A22="","",SUMIFS(전표_원본!$P$5:$P$100000,전표_원본!$O$5:$O$100000,$A22,전표_원본!$M$5:$M$100000,X$5))</f>
        <v/>
      </c>
      <c r="Y22" s="29">
        <f>IF($A22="","",SUMIFS(전표_원본!$P$5:$P$100000,전표_원본!$O$5:$O$100000,$A22,전표_원본!$M$5:$M$100000,Y$5))</f>
        <v/>
      </c>
      <c r="Z22" s="29">
        <f>IF($A22="","",SUMIFS(전표_원본!$P$5:$P$100000,전표_원본!$O$5:$O$100000,$A22,전표_원본!$M$5:$M$100000,Z$5))</f>
        <v/>
      </c>
    </row>
    <row r="23">
      <c r="A23" s="22">
        <f>IF(변동분석!$A23="","",변동분석!$E23)</f>
        <v/>
      </c>
      <c r="B23" s="22">
        <f>IF($A23="","",변동분석!$B23&amp;" "&amp;변동분석!$D23)</f>
        <v/>
      </c>
      <c r="C23" s="29">
        <f>IF($A23="","",SUMIFS(전표_원본!$P$5:$P$100000,전표_원본!$O$5:$O$100000,$A23,전표_원본!$M$5:$M$100000,C$5))</f>
        <v/>
      </c>
      <c r="D23" s="29">
        <f>IF($A23="","",SUMIFS(전표_원본!$P$5:$P$100000,전표_원본!$O$5:$O$100000,$A23,전표_원본!$M$5:$M$100000,D$5))</f>
        <v/>
      </c>
      <c r="E23" s="29">
        <f>IF($A23="","",SUMIFS(전표_원본!$P$5:$P$100000,전표_원본!$O$5:$O$100000,$A23,전표_원본!$M$5:$M$100000,E$5))</f>
        <v/>
      </c>
      <c r="F23" s="29">
        <f>IF($A23="","",SUMIFS(전표_원본!$P$5:$P$100000,전표_원본!$O$5:$O$100000,$A23,전표_원본!$M$5:$M$100000,F$5))</f>
        <v/>
      </c>
      <c r="G23" s="29">
        <f>IF($A23="","",SUMIFS(전표_원본!$P$5:$P$100000,전표_원본!$O$5:$O$100000,$A23,전표_원본!$M$5:$M$100000,G$5))</f>
        <v/>
      </c>
      <c r="H23" s="29">
        <f>IF($A23="","",SUMIFS(전표_원본!$P$5:$P$100000,전표_원본!$O$5:$O$100000,$A23,전표_원본!$M$5:$M$100000,H$5))</f>
        <v/>
      </c>
      <c r="I23" s="29">
        <f>IF($A23="","",SUMIFS(전표_원본!$P$5:$P$100000,전표_원본!$O$5:$O$100000,$A23,전표_원본!$M$5:$M$100000,I$5))</f>
        <v/>
      </c>
      <c r="J23" s="29">
        <f>IF($A23="","",SUMIFS(전표_원본!$P$5:$P$100000,전표_원본!$O$5:$O$100000,$A23,전표_원본!$M$5:$M$100000,J$5))</f>
        <v/>
      </c>
      <c r="K23" s="29">
        <f>IF($A23="","",SUMIFS(전표_원본!$P$5:$P$100000,전표_원본!$O$5:$O$100000,$A23,전표_원본!$M$5:$M$100000,K$5))</f>
        <v/>
      </c>
      <c r="L23" s="29">
        <f>IF($A23="","",SUMIFS(전표_원본!$P$5:$P$100000,전표_원본!$O$5:$O$100000,$A23,전표_원본!$M$5:$M$100000,L$5))</f>
        <v/>
      </c>
      <c r="M23" s="29">
        <f>IF($A23="","",SUMIFS(전표_원본!$P$5:$P$100000,전표_원본!$O$5:$O$100000,$A23,전표_원본!$M$5:$M$100000,M$5))</f>
        <v/>
      </c>
      <c r="N23" s="29">
        <f>IF($A23="","",SUMIFS(전표_원본!$P$5:$P$100000,전표_원본!$O$5:$O$100000,$A23,전표_원본!$M$5:$M$100000,N$5))</f>
        <v/>
      </c>
      <c r="O23" s="29">
        <f>IF($A23="","",SUMIFS(전표_원본!$P$5:$P$100000,전표_원본!$O$5:$O$100000,$A23,전표_원본!$M$5:$M$100000,O$5))</f>
        <v/>
      </c>
      <c r="P23" s="29">
        <f>IF($A23="","",SUMIFS(전표_원본!$P$5:$P$100000,전표_원본!$O$5:$O$100000,$A23,전표_원본!$M$5:$M$100000,P$5))</f>
        <v/>
      </c>
      <c r="Q23" s="29">
        <f>IF($A23="","",SUMIFS(전표_원본!$P$5:$P$100000,전표_원본!$O$5:$O$100000,$A23,전표_원본!$M$5:$M$100000,Q$5))</f>
        <v/>
      </c>
      <c r="R23" s="29">
        <f>IF($A23="","",SUMIFS(전표_원본!$P$5:$P$100000,전표_원본!$O$5:$O$100000,$A23,전표_원본!$M$5:$M$100000,R$5))</f>
        <v/>
      </c>
      <c r="S23" s="29">
        <f>IF($A23="","",SUMIFS(전표_원본!$P$5:$P$100000,전표_원본!$O$5:$O$100000,$A23,전표_원본!$M$5:$M$100000,S$5))</f>
        <v/>
      </c>
      <c r="T23" s="29">
        <f>IF($A23="","",SUMIFS(전표_원본!$P$5:$P$100000,전표_원본!$O$5:$O$100000,$A23,전표_원본!$M$5:$M$100000,T$5))</f>
        <v/>
      </c>
      <c r="U23" s="29">
        <f>IF($A23="","",SUMIFS(전표_원본!$P$5:$P$100000,전표_원본!$O$5:$O$100000,$A23,전표_원본!$M$5:$M$100000,U$5))</f>
        <v/>
      </c>
      <c r="V23" s="29">
        <f>IF($A23="","",SUMIFS(전표_원본!$P$5:$P$100000,전표_원본!$O$5:$O$100000,$A23,전표_원본!$M$5:$M$100000,V$5))</f>
        <v/>
      </c>
      <c r="W23" s="29">
        <f>IF($A23="","",SUMIFS(전표_원본!$P$5:$P$100000,전표_원본!$O$5:$O$100000,$A23,전표_원본!$M$5:$M$100000,W$5))</f>
        <v/>
      </c>
      <c r="X23" s="29">
        <f>IF($A23="","",SUMIFS(전표_원본!$P$5:$P$100000,전표_원본!$O$5:$O$100000,$A23,전표_원본!$M$5:$M$100000,X$5))</f>
        <v/>
      </c>
      <c r="Y23" s="29">
        <f>IF($A23="","",SUMIFS(전표_원본!$P$5:$P$100000,전표_원본!$O$5:$O$100000,$A23,전표_원본!$M$5:$M$100000,Y$5))</f>
        <v/>
      </c>
      <c r="Z23" s="29">
        <f>IF($A23="","",SUMIFS(전표_원본!$P$5:$P$100000,전표_원본!$O$5:$O$100000,$A23,전표_원본!$M$5:$M$100000,Z$5))</f>
        <v/>
      </c>
    </row>
    <row r="24">
      <c r="A24" s="22">
        <f>IF(변동분석!$A24="","",변동분석!$E24)</f>
        <v/>
      </c>
      <c r="B24" s="22">
        <f>IF($A24="","",변동분석!$B24&amp;" "&amp;변동분석!$D24)</f>
        <v/>
      </c>
      <c r="C24" s="29">
        <f>IF($A24="","",SUMIFS(전표_원본!$P$5:$P$100000,전표_원본!$O$5:$O$100000,$A24,전표_원본!$M$5:$M$100000,C$5))</f>
        <v/>
      </c>
      <c r="D24" s="29">
        <f>IF($A24="","",SUMIFS(전표_원본!$P$5:$P$100000,전표_원본!$O$5:$O$100000,$A24,전표_원본!$M$5:$M$100000,D$5))</f>
        <v/>
      </c>
      <c r="E24" s="29">
        <f>IF($A24="","",SUMIFS(전표_원본!$P$5:$P$100000,전표_원본!$O$5:$O$100000,$A24,전표_원본!$M$5:$M$100000,E$5))</f>
        <v/>
      </c>
      <c r="F24" s="29">
        <f>IF($A24="","",SUMIFS(전표_원본!$P$5:$P$100000,전표_원본!$O$5:$O$100000,$A24,전표_원본!$M$5:$M$100000,F$5))</f>
        <v/>
      </c>
      <c r="G24" s="29">
        <f>IF($A24="","",SUMIFS(전표_원본!$P$5:$P$100000,전표_원본!$O$5:$O$100000,$A24,전표_원본!$M$5:$M$100000,G$5))</f>
        <v/>
      </c>
      <c r="H24" s="29">
        <f>IF($A24="","",SUMIFS(전표_원본!$P$5:$P$100000,전표_원본!$O$5:$O$100000,$A24,전표_원본!$M$5:$M$100000,H$5))</f>
        <v/>
      </c>
      <c r="I24" s="29">
        <f>IF($A24="","",SUMIFS(전표_원본!$P$5:$P$100000,전표_원본!$O$5:$O$100000,$A24,전표_원본!$M$5:$M$100000,I$5))</f>
        <v/>
      </c>
      <c r="J24" s="29">
        <f>IF($A24="","",SUMIFS(전표_원본!$P$5:$P$100000,전표_원본!$O$5:$O$100000,$A24,전표_원본!$M$5:$M$100000,J$5))</f>
        <v/>
      </c>
      <c r="K24" s="29">
        <f>IF($A24="","",SUMIFS(전표_원본!$P$5:$P$100000,전표_원본!$O$5:$O$100000,$A24,전표_원본!$M$5:$M$100000,K$5))</f>
        <v/>
      </c>
      <c r="L24" s="29">
        <f>IF($A24="","",SUMIFS(전표_원본!$P$5:$P$100000,전표_원본!$O$5:$O$100000,$A24,전표_원본!$M$5:$M$100000,L$5))</f>
        <v/>
      </c>
      <c r="M24" s="29">
        <f>IF($A24="","",SUMIFS(전표_원본!$P$5:$P$100000,전표_원본!$O$5:$O$100000,$A24,전표_원본!$M$5:$M$100000,M$5))</f>
        <v/>
      </c>
      <c r="N24" s="29">
        <f>IF($A24="","",SUMIFS(전표_원본!$P$5:$P$100000,전표_원본!$O$5:$O$100000,$A24,전표_원본!$M$5:$M$100000,N$5))</f>
        <v/>
      </c>
      <c r="O24" s="29">
        <f>IF($A24="","",SUMIFS(전표_원본!$P$5:$P$100000,전표_원본!$O$5:$O$100000,$A24,전표_원본!$M$5:$M$100000,O$5))</f>
        <v/>
      </c>
      <c r="P24" s="29">
        <f>IF($A24="","",SUMIFS(전표_원본!$P$5:$P$100000,전표_원본!$O$5:$O$100000,$A24,전표_원본!$M$5:$M$100000,P$5))</f>
        <v/>
      </c>
      <c r="Q24" s="29">
        <f>IF($A24="","",SUMIFS(전표_원본!$P$5:$P$100000,전표_원본!$O$5:$O$100000,$A24,전표_원본!$M$5:$M$100000,Q$5))</f>
        <v/>
      </c>
      <c r="R24" s="29">
        <f>IF($A24="","",SUMIFS(전표_원본!$P$5:$P$100000,전표_원본!$O$5:$O$100000,$A24,전표_원본!$M$5:$M$100000,R$5))</f>
        <v/>
      </c>
      <c r="S24" s="29">
        <f>IF($A24="","",SUMIFS(전표_원본!$P$5:$P$100000,전표_원본!$O$5:$O$100000,$A24,전표_원본!$M$5:$M$100000,S$5))</f>
        <v/>
      </c>
      <c r="T24" s="29">
        <f>IF($A24="","",SUMIFS(전표_원본!$P$5:$P$100000,전표_원본!$O$5:$O$100000,$A24,전표_원본!$M$5:$M$100000,T$5))</f>
        <v/>
      </c>
      <c r="U24" s="29">
        <f>IF($A24="","",SUMIFS(전표_원본!$P$5:$P$100000,전표_원본!$O$5:$O$100000,$A24,전표_원본!$M$5:$M$100000,U$5))</f>
        <v/>
      </c>
      <c r="V24" s="29">
        <f>IF($A24="","",SUMIFS(전표_원본!$P$5:$P$100000,전표_원본!$O$5:$O$100000,$A24,전표_원본!$M$5:$M$100000,V$5))</f>
        <v/>
      </c>
      <c r="W24" s="29">
        <f>IF($A24="","",SUMIFS(전표_원본!$P$5:$P$100000,전표_원본!$O$5:$O$100000,$A24,전표_원본!$M$5:$M$100000,W$5))</f>
        <v/>
      </c>
      <c r="X24" s="29">
        <f>IF($A24="","",SUMIFS(전표_원본!$P$5:$P$100000,전표_원본!$O$5:$O$100000,$A24,전표_원본!$M$5:$M$100000,X$5))</f>
        <v/>
      </c>
      <c r="Y24" s="29">
        <f>IF($A24="","",SUMIFS(전표_원본!$P$5:$P$100000,전표_원본!$O$5:$O$100000,$A24,전표_원본!$M$5:$M$100000,Y$5))</f>
        <v/>
      </c>
      <c r="Z24" s="29">
        <f>IF($A24="","",SUMIFS(전표_원본!$P$5:$P$100000,전표_원본!$O$5:$O$100000,$A24,전표_원본!$M$5:$M$100000,Z$5))</f>
        <v/>
      </c>
    </row>
    <row r="25">
      <c r="A25" s="22">
        <f>IF(변동분석!$A25="","",변동분석!$E25)</f>
        <v/>
      </c>
      <c r="B25" s="22">
        <f>IF($A25="","",변동분석!$B25&amp;" "&amp;변동분석!$D25)</f>
        <v/>
      </c>
      <c r="C25" s="29">
        <f>IF($A25="","",SUMIFS(전표_원본!$P$5:$P$100000,전표_원본!$O$5:$O$100000,$A25,전표_원본!$M$5:$M$100000,C$5))</f>
        <v/>
      </c>
      <c r="D25" s="29">
        <f>IF($A25="","",SUMIFS(전표_원본!$P$5:$P$100000,전표_원본!$O$5:$O$100000,$A25,전표_원본!$M$5:$M$100000,D$5))</f>
        <v/>
      </c>
      <c r="E25" s="29">
        <f>IF($A25="","",SUMIFS(전표_원본!$P$5:$P$100000,전표_원본!$O$5:$O$100000,$A25,전표_원본!$M$5:$M$100000,E$5))</f>
        <v/>
      </c>
      <c r="F25" s="29">
        <f>IF($A25="","",SUMIFS(전표_원본!$P$5:$P$100000,전표_원본!$O$5:$O$100000,$A25,전표_원본!$M$5:$M$100000,F$5))</f>
        <v/>
      </c>
      <c r="G25" s="29">
        <f>IF($A25="","",SUMIFS(전표_원본!$P$5:$P$100000,전표_원본!$O$5:$O$100000,$A25,전표_원본!$M$5:$M$100000,G$5))</f>
        <v/>
      </c>
      <c r="H25" s="29">
        <f>IF($A25="","",SUMIFS(전표_원본!$P$5:$P$100000,전표_원본!$O$5:$O$100000,$A25,전표_원본!$M$5:$M$100000,H$5))</f>
        <v/>
      </c>
      <c r="I25" s="29">
        <f>IF($A25="","",SUMIFS(전표_원본!$P$5:$P$100000,전표_원본!$O$5:$O$100000,$A25,전표_원본!$M$5:$M$100000,I$5))</f>
        <v/>
      </c>
      <c r="J25" s="29">
        <f>IF($A25="","",SUMIFS(전표_원본!$P$5:$P$100000,전표_원본!$O$5:$O$100000,$A25,전표_원본!$M$5:$M$100000,J$5))</f>
        <v/>
      </c>
      <c r="K25" s="29">
        <f>IF($A25="","",SUMIFS(전표_원본!$P$5:$P$100000,전표_원본!$O$5:$O$100000,$A25,전표_원본!$M$5:$M$100000,K$5))</f>
        <v/>
      </c>
      <c r="L25" s="29">
        <f>IF($A25="","",SUMIFS(전표_원본!$P$5:$P$100000,전표_원본!$O$5:$O$100000,$A25,전표_원본!$M$5:$M$100000,L$5))</f>
        <v/>
      </c>
      <c r="M25" s="29">
        <f>IF($A25="","",SUMIFS(전표_원본!$P$5:$P$100000,전표_원본!$O$5:$O$100000,$A25,전표_원본!$M$5:$M$100000,M$5))</f>
        <v/>
      </c>
      <c r="N25" s="29">
        <f>IF($A25="","",SUMIFS(전표_원본!$P$5:$P$100000,전표_원본!$O$5:$O$100000,$A25,전표_원본!$M$5:$M$100000,N$5))</f>
        <v/>
      </c>
      <c r="O25" s="29">
        <f>IF($A25="","",SUMIFS(전표_원본!$P$5:$P$100000,전표_원본!$O$5:$O$100000,$A25,전표_원본!$M$5:$M$100000,O$5))</f>
        <v/>
      </c>
      <c r="P25" s="29">
        <f>IF($A25="","",SUMIFS(전표_원본!$P$5:$P$100000,전표_원본!$O$5:$O$100000,$A25,전표_원본!$M$5:$M$100000,P$5))</f>
        <v/>
      </c>
      <c r="Q25" s="29">
        <f>IF($A25="","",SUMIFS(전표_원본!$P$5:$P$100000,전표_원본!$O$5:$O$100000,$A25,전표_원본!$M$5:$M$100000,Q$5))</f>
        <v/>
      </c>
      <c r="R25" s="29">
        <f>IF($A25="","",SUMIFS(전표_원본!$P$5:$P$100000,전표_원본!$O$5:$O$100000,$A25,전표_원본!$M$5:$M$100000,R$5))</f>
        <v/>
      </c>
      <c r="S25" s="29">
        <f>IF($A25="","",SUMIFS(전표_원본!$P$5:$P$100000,전표_원본!$O$5:$O$100000,$A25,전표_원본!$M$5:$M$100000,S$5))</f>
        <v/>
      </c>
      <c r="T25" s="29">
        <f>IF($A25="","",SUMIFS(전표_원본!$P$5:$P$100000,전표_원본!$O$5:$O$100000,$A25,전표_원본!$M$5:$M$100000,T$5))</f>
        <v/>
      </c>
      <c r="U25" s="29">
        <f>IF($A25="","",SUMIFS(전표_원본!$P$5:$P$100000,전표_원본!$O$5:$O$100000,$A25,전표_원본!$M$5:$M$100000,U$5))</f>
        <v/>
      </c>
      <c r="V25" s="29">
        <f>IF($A25="","",SUMIFS(전표_원본!$P$5:$P$100000,전표_원본!$O$5:$O$100000,$A25,전표_원본!$M$5:$M$100000,V$5))</f>
        <v/>
      </c>
      <c r="W25" s="29">
        <f>IF($A25="","",SUMIFS(전표_원본!$P$5:$P$100000,전표_원본!$O$5:$O$100000,$A25,전표_원본!$M$5:$M$100000,W$5))</f>
        <v/>
      </c>
      <c r="X25" s="29">
        <f>IF($A25="","",SUMIFS(전표_원본!$P$5:$P$100000,전표_원본!$O$5:$O$100000,$A25,전표_원본!$M$5:$M$100000,X$5))</f>
        <v/>
      </c>
      <c r="Y25" s="29">
        <f>IF($A25="","",SUMIFS(전표_원본!$P$5:$P$100000,전표_원본!$O$5:$O$100000,$A25,전표_원본!$M$5:$M$100000,Y$5))</f>
        <v/>
      </c>
      <c r="Z25" s="29">
        <f>IF($A25="","",SUMIFS(전표_원본!$P$5:$P$100000,전표_원본!$O$5:$O$100000,$A25,전표_원본!$M$5:$M$100000,Z$5))</f>
        <v/>
      </c>
    </row>
    <row r="26">
      <c r="A26" s="22">
        <f>IF(변동분석!$A26="","",변동분석!$E26)</f>
        <v/>
      </c>
      <c r="B26" s="22">
        <f>IF($A26="","",변동분석!$B26&amp;" "&amp;변동분석!$D26)</f>
        <v/>
      </c>
      <c r="C26" s="29">
        <f>IF($A26="","",SUMIFS(전표_원본!$P$5:$P$100000,전표_원본!$O$5:$O$100000,$A26,전표_원본!$M$5:$M$100000,C$5))</f>
        <v/>
      </c>
      <c r="D26" s="29">
        <f>IF($A26="","",SUMIFS(전표_원본!$P$5:$P$100000,전표_원본!$O$5:$O$100000,$A26,전표_원본!$M$5:$M$100000,D$5))</f>
        <v/>
      </c>
      <c r="E26" s="29">
        <f>IF($A26="","",SUMIFS(전표_원본!$P$5:$P$100000,전표_원본!$O$5:$O$100000,$A26,전표_원본!$M$5:$M$100000,E$5))</f>
        <v/>
      </c>
      <c r="F26" s="29">
        <f>IF($A26="","",SUMIFS(전표_원본!$P$5:$P$100000,전표_원본!$O$5:$O$100000,$A26,전표_원본!$M$5:$M$100000,F$5))</f>
        <v/>
      </c>
      <c r="G26" s="29">
        <f>IF($A26="","",SUMIFS(전표_원본!$P$5:$P$100000,전표_원본!$O$5:$O$100000,$A26,전표_원본!$M$5:$M$100000,G$5))</f>
        <v/>
      </c>
      <c r="H26" s="29">
        <f>IF($A26="","",SUMIFS(전표_원본!$P$5:$P$100000,전표_원본!$O$5:$O$100000,$A26,전표_원본!$M$5:$M$100000,H$5))</f>
        <v/>
      </c>
      <c r="I26" s="29">
        <f>IF($A26="","",SUMIFS(전표_원본!$P$5:$P$100000,전표_원본!$O$5:$O$100000,$A26,전표_원본!$M$5:$M$100000,I$5))</f>
        <v/>
      </c>
      <c r="J26" s="29">
        <f>IF($A26="","",SUMIFS(전표_원본!$P$5:$P$100000,전표_원본!$O$5:$O$100000,$A26,전표_원본!$M$5:$M$100000,J$5))</f>
        <v/>
      </c>
      <c r="K26" s="29">
        <f>IF($A26="","",SUMIFS(전표_원본!$P$5:$P$100000,전표_원본!$O$5:$O$100000,$A26,전표_원본!$M$5:$M$100000,K$5))</f>
        <v/>
      </c>
      <c r="L26" s="29">
        <f>IF($A26="","",SUMIFS(전표_원본!$P$5:$P$100000,전표_원본!$O$5:$O$100000,$A26,전표_원본!$M$5:$M$100000,L$5))</f>
        <v/>
      </c>
      <c r="M26" s="29">
        <f>IF($A26="","",SUMIFS(전표_원본!$P$5:$P$100000,전표_원본!$O$5:$O$100000,$A26,전표_원본!$M$5:$M$100000,M$5))</f>
        <v/>
      </c>
      <c r="N26" s="29">
        <f>IF($A26="","",SUMIFS(전표_원본!$P$5:$P$100000,전표_원본!$O$5:$O$100000,$A26,전표_원본!$M$5:$M$100000,N$5))</f>
        <v/>
      </c>
      <c r="O26" s="29">
        <f>IF($A26="","",SUMIFS(전표_원본!$P$5:$P$100000,전표_원본!$O$5:$O$100000,$A26,전표_원본!$M$5:$M$100000,O$5))</f>
        <v/>
      </c>
      <c r="P26" s="29">
        <f>IF($A26="","",SUMIFS(전표_원본!$P$5:$P$100000,전표_원본!$O$5:$O$100000,$A26,전표_원본!$M$5:$M$100000,P$5))</f>
        <v/>
      </c>
      <c r="Q26" s="29">
        <f>IF($A26="","",SUMIFS(전표_원본!$P$5:$P$100000,전표_원본!$O$5:$O$100000,$A26,전표_원본!$M$5:$M$100000,Q$5))</f>
        <v/>
      </c>
      <c r="R26" s="29">
        <f>IF($A26="","",SUMIFS(전표_원본!$P$5:$P$100000,전표_원본!$O$5:$O$100000,$A26,전표_원본!$M$5:$M$100000,R$5))</f>
        <v/>
      </c>
      <c r="S26" s="29">
        <f>IF($A26="","",SUMIFS(전표_원본!$P$5:$P$100000,전표_원본!$O$5:$O$100000,$A26,전표_원본!$M$5:$M$100000,S$5))</f>
        <v/>
      </c>
      <c r="T26" s="29">
        <f>IF($A26="","",SUMIFS(전표_원본!$P$5:$P$100000,전표_원본!$O$5:$O$100000,$A26,전표_원본!$M$5:$M$100000,T$5))</f>
        <v/>
      </c>
      <c r="U26" s="29">
        <f>IF($A26="","",SUMIFS(전표_원본!$P$5:$P$100000,전표_원본!$O$5:$O$100000,$A26,전표_원본!$M$5:$M$100000,U$5))</f>
        <v/>
      </c>
      <c r="V26" s="29">
        <f>IF($A26="","",SUMIFS(전표_원본!$P$5:$P$100000,전표_원본!$O$5:$O$100000,$A26,전표_원본!$M$5:$M$100000,V$5))</f>
        <v/>
      </c>
      <c r="W26" s="29">
        <f>IF($A26="","",SUMIFS(전표_원본!$P$5:$P$100000,전표_원본!$O$5:$O$100000,$A26,전표_원본!$M$5:$M$100000,W$5))</f>
        <v/>
      </c>
      <c r="X26" s="29">
        <f>IF($A26="","",SUMIFS(전표_원본!$P$5:$P$100000,전표_원본!$O$5:$O$100000,$A26,전표_원본!$M$5:$M$100000,X$5))</f>
        <v/>
      </c>
      <c r="Y26" s="29">
        <f>IF($A26="","",SUMIFS(전표_원본!$P$5:$P$100000,전표_원본!$O$5:$O$100000,$A26,전표_원본!$M$5:$M$100000,Y$5))</f>
        <v/>
      </c>
      <c r="Z26" s="29">
        <f>IF($A26="","",SUMIFS(전표_원본!$P$5:$P$100000,전표_원본!$O$5:$O$100000,$A26,전표_원본!$M$5:$M$100000,Z$5))</f>
        <v/>
      </c>
    </row>
    <row r="27">
      <c r="A27" s="22">
        <f>IF(변동분석!$A27="","",변동분석!$E27)</f>
        <v/>
      </c>
      <c r="B27" s="22">
        <f>IF($A27="","",변동분석!$B27&amp;" "&amp;변동분석!$D27)</f>
        <v/>
      </c>
      <c r="C27" s="29">
        <f>IF($A27="","",SUMIFS(전표_원본!$P$5:$P$100000,전표_원본!$O$5:$O$100000,$A27,전표_원본!$M$5:$M$100000,C$5))</f>
        <v/>
      </c>
      <c r="D27" s="29">
        <f>IF($A27="","",SUMIFS(전표_원본!$P$5:$P$100000,전표_원본!$O$5:$O$100000,$A27,전표_원본!$M$5:$M$100000,D$5))</f>
        <v/>
      </c>
      <c r="E27" s="29">
        <f>IF($A27="","",SUMIFS(전표_원본!$P$5:$P$100000,전표_원본!$O$5:$O$100000,$A27,전표_원본!$M$5:$M$100000,E$5))</f>
        <v/>
      </c>
      <c r="F27" s="29">
        <f>IF($A27="","",SUMIFS(전표_원본!$P$5:$P$100000,전표_원본!$O$5:$O$100000,$A27,전표_원본!$M$5:$M$100000,F$5))</f>
        <v/>
      </c>
      <c r="G27" s="29">
        <f>IF($A27="","",SUMIFS(전표_원본!$P$5:$P$100000,전표_원본!$O$5:$O$100000,$A27,전표_원본!$M$5:$M$100000,G$5))</f>
        <v/>
      </c>
      <c r="H27" s="29">
        <f>IF($A27="","",SUMIFS(전표_원본!$P$5:$P$100000,전표_원본!$O$5:$O$100000,$A27,전표_원본!$M$5:$M$100000,H$5))</f>
        <v/>
      </c>
      <c r="I27" s="29">
        <f>IF($A27="","",SUMIFS(전표_원본!$P$5:$P$100000,전표_원본!$O$5:$O$100000,$A27,전표_원본!$M$5:$M$100000,I$5))</f>
        <v/>
      </c>
      <c r="J27" s="29">
        <f>IF($A27="","",SUMIFS(전표_원본!$P$5:$P$100000,전표_원본!$O$5:$O$100000,$A27,전표_원본!$M$5:$M$100000,J$5))</f>
        <v/>
      </c>
      <c r="K27" s="29">
        <f>IF($A27="","",SUMIFS(전표_원본!$P$5:$P$100000,전표_원본!$O$5:$O$100000,$A27,전표_원본!$M$5:$M$100000,K$5))</f>
        <v/>
      </c>
      <c r="L27" s="29">
        <f>IF($A27="","",SUMIFS(전표_원본!$P$5:$P$100000,전표_원본!$O$5:$O$100000,$A27,전표_원본!$M$5:$M$100000,L$5))</f>
        <v/>
      </c>
      <c r="M27" s="29">
        <f>IF($A27="","",SUMIFS(전표_원본!$P$5:$P$100000,전표_원본!$O$5:$O$100000,$A27,전표_원본!$M$5:$M$100000,M$5))</f>
        <v/>
      </c>
      <c r="N27" s="29">
        <f>IF($A27="","",SUMIFS(전표_원본!$P$5:$P$100000,전표_원본!$O$5:$O$100000,$A27,전표_원본!$M$5:$M$100000,N$5))</f>
        <v/>
      </c>
      <c r="O27" s="29">
        <f>IF($A27="","",SUMIFS(전표_원본!$P$5:$P$100000,전표_원본!$O$5:$O$100000,$A27,전표_원본!$M$5:$M$100000,O$5))</f>
        <v/>
      </c>
      <c r="P27" s="29">
        <f>IF($A27="","",SUMIFS(전표_원본!$P$5:$P$100000,전표_원본!$O$5:$O$100000,$A27,전표_원본!$M$5:$M$100000,P$5))</f>
        <v/>
      </c>
      <c r="Q27" s="29">
        <f>IF($A27="","",SUMIFS(전표_원본!$P$5:$P$100000,전표_원본!$O$5:$O$100000,$A27,전표_원본!$M$5:$M$100000,Q$5))</f>
        <v/>
      </c>
      <c r="R27" s="29">
        <f>IF($A27="","",SUMIFS(전표_원본!$P$5:$P$100000,전표_원본!$O$5:$O$100000,$A27,전표_원본!$M$5:$M$100000,R$5))</f>
        <v/>
      </c>
      <c r="S27" s="29">
        <f>IF($A27="","",SUMIFS(전표_원본!$P$5:$P$100000,전표_원본!$O$5:$O$100000,$A27,전표_원본!$M$5:$M$100000,S$5))</f>
        <v/>
      </c>
      <c r="T27" s="29">
        <f>IF($A27="","",SUMIFS(전표_원본!$P$5:$P$100000,전표_원본!$O$5:$O$100000,$A27,전표_원본!$M$5:$M$100000,T$5))</f>
        <v/>
      </c>
      <c r="U27" s="29">
        <f>IF($A27="","",SUMIFS(전표_원본!$P$5:$P$100000,전표_원본!$O$5:$O$100000,$A27,전표_원본!$M$5:$M$100000,U$5))</f>
        <v/>
      </c>
      <c r="V27" s="29">
        <f>IF($A27="","",SUMIFS(전표_원본!$P$5:$P$100000,전표_원본!$O$5:$O$100000,$A27,전표_원본!$M$5:$M$100000,V$5))</f>
        <v/>
      </c>
      <c r="W27" s="29">
        <f>IF($A27="","",SUMIFS(전표_원본!$P$5:$P$100000,전표_원본!$O$5:$O$100000,$A27,전표_원본!$M$5:$M$100000,W$5))</f>
        <v/>
      </c>
      <c r="X27" s="29">
        <f>IF($A27="","",SUMIFS(전표_원본!$P$5:$P$100000,전표_원본!$O$5:$O$100000,$A27,전표_원본!$M$5:$M$100000,X$5))</f>
        <v/>
      </c>
      <c r="Y27" s="29">
        <f>IF($A27="","",SUMIFS(전표_원본!$P$5:$P$100000,전표_원본!$O$5:$O$100000,$A27,전표_원본!$M$5:$M$100000,Y$5))</f>
        <v/>
      </c>
      <c r="Z27" s="29">
        <f>IF($A27="","",SUMIFS(전표_원본!$P$5:$P$100000,전표_원본!$O$5:$O$100000,$A27,전표_원본!$M$5:$M$100000,Z$5))</f>
        <v/>
      </c>
    </row>
    <row r="28">
      <c r="A28" s="22">
        <f>IF(변동분석!$A28="","",변동분석!$E28)</f>
        <v/>
      </c>
      <c r="B28" s="22">
        <f>IF($A28="","",변동분석!$B28&amp;" "&amp;변동분석!$D28)</f>
        <v/>
      </c>
      <c r="C28" s="29">
        <f>IF($A28="","",SUMIFS(전표_원본!$P$5:$P$100000,전표_원본!$O$5:$O$100000,$A28,전표_원본!$M$5:$M$100000,C$5))</f>
        <v/>
      </c>
      <c r="D28" s="29">
        <f>IF($A28="","",SUMIFS(전표_원본!$P$5:$P$100000,전표_원본!$O$5:$O$100000,$A28,전표_원본!$M$5:$M$100000,D$5))</f>
        <v/>
      </c>
      <c r="E28" s="29">
        <f>IF($A28="","",SUMIFS(전표_원본!$P$5:$P$100000,전표_원본!$O$5:$O$100000,$A28,전표_원본!$M$5:$M$100000,E$5))</f>
        <v/>
      </c>
      <c r="F28" s="29">
        <f>IF($A28="","",SUMIFS(전표_원본!$P$5:$P$100000,전표_원본!$O$5:$O$100000,$A28,전표_원본!$M$5:$M$100000,F$5))</f>
        <v/>
      </c>
      <c r="G28" s="29">
        <f>IF($A28="","",SUMIFS(전표_원본!$P$5:$P$100000,전표_원본!$O$5:$O$100000,$A28,전표_원본!$M$5:$M$100000,G$5))</f>
        <v/>
      </c>
      <c r="H28" s="29">
        <f>IF($A28="","",SUMIFS(전표_원본!$P$5:$P$100000,전표_원본!$O$5:$O$100000,$A28,전표_원본!$M$5:$M$100000,H$5))</f>
        <v/>
      </c>
      <c r="I28" s="29">
        <f>IF($A28="","",SUMIFS(전표_원본!$P$5:$P$100000,전표_원본!$O$5:$O$100000,$A28,전표_원본!$M$5:$M$100000,I$5))</f>
        <v/>
      </c>
      <c r="J28" s="29">
        <f>IF($A28="","",SUMIFS(전표_원본!$P$5:$P$100000,전표_원본!$O$5:$O$100000,$A28,전표_원본!$M$5:$M$100000,J$5))</f>
        <v/>
      </c>
      <c r="K28" s="29">
        <f>IF($A28="","",SUMIFS(전표_원본!$P$5:$P$100000,전표_원본!$O$5:$O$100000,$A28,전표_원본!$M$5:$M$100000,K$5))</f>
        <v/>
      </c>
      <c r="L28" s="29">
        <f>IF($A28="","",SUMIFS(전표_원본!$P$5:$P$100000,전표_원본!$O$5:$O$100000,$A28,전표_원본!$M$5:$M$100000,L$5))</f>
        <v/>
      </c>
      <c r="M28" s="29">
        <f>IF($A28="","",SUMIFS(전표_원본!$P$5:$P$100000,전표_원본!$O$5:$O$100000,$A28,전표_원본!$M$5:$M$100000,M$5))</f>
        <v/>
      </c>
      <c r="N28" s="29">
        <f>IF($A28="","",SUMIFS(전표_원본!$P$5:$P$100000,전표_원본!$O$5:$O$100000,$A28,전표_원본!$M$5:$M$100000,N$5))</f>
        <v/>
      </c>
      <c r="O28" s="29">
        <f>IF($A28="","",SUMIFS(전표_원본!$P$5:$P$100000,전표_원본!$O$5:$O$100000,$A28,전표_원본!$M$5:$M$100000,O$5))</f>
        <v/>
      </c>
      <c r="P28" s="29">
        <f>IF($A28="","",SUMIFS(전표_원본!$P$5:$P$100000,전표_원본!$O$5:$O$100000,$A28,전표_원본!$M$5:$M$100000,P$5))</f>
        <v/>
      </c>
      <c r="Q28" s="29">
        <f>IF($A28="","",SUMIFS(전표_원본!$P$5:$P$100000,전표_원본!$O$5:$O$100000,$A28,전표_원본!$M$5:$M$100000,Q$5))</f>
        <v/>
      </c>
      <c r="R28" s="29">
        <f>IF($A28="","",SUMIFS(전표_원본!$P$5:$P$100000,전표_원본!$O$5:$O$100000,$A28,전표_원본!$M$5:$M$100000,R$5))</f>
        <v/>
      </c>
      <c r="S28" s="29">
        <f>IF($A28="","",SUMIFS(전표_원본!$P$5:$P$100000,전표_원본!$O$5:$O$100000,$A28,전표_원본!$M$5:$M$100000,S$5))</f>
        <v/>
      </c>
      <c r="T28" s="29">
        <f>IF($A28="","",SUMIFS(전표_원본!$P$5:$P$100000,전표_원본!$O$5:$O$100000,$A28,전표_원본!$M$5:$M$100000,T$5))</f>
        <v/>
      </c>
      <c r="U28" s="29">
        <f>IF($A28="","",SUMIFS(전표_원본!$P$5:$P$100000,전표_원본!$O$5:$O$100000,$A28,전표_원본!$M$5:$M$100000,U$5))</f>
        <v/>
      </c>
      <c r="V28" s="29">
        <f>IF($A28="","",SUMIFS(전표_원본!$P$5:$P$100000,전표_원본!$O$5:$O$100000,$A28,전표_원본!$M$5:$M$100000,V$5))</f>
        <v/>
      </c>
      <c r="W28" s="29">
        <f>IF($A28="","",SUMIFS(전표_원본!$P$5:$P$100000,전표_원본!$O$5:$O$100000,$A28,전표_원본!$M$5:$M$100000,W$5))</f>
        <v/>
      </c>
      <c r="X28" s="29">
        <f>IF($A28="","",SUMIFS(전표_원본!$P$5:$P$100000,전표_원본!$O$5:$O$100000,$A28,전표_원본!$M$5:$M$100000,X$5))</f>
        <v/>
      </c>
      <c r="Y28" s="29">
        <f>IF($A28="","",SUMIFS(전표_원본!$P$5:$P$100000,전표_원본!$O$5:$O$100000,$A28,전표_원본!$M$5:$M$100000,Y$5))</f>
        <v/>
      </c>
      <c r="Z28" s="29">
        <f>IF($A28="","",SUMIFS(전표_원본!$P$5:$P$100000,전표_원본!$O$5:$O$100000,$A28,전표_원본!$M$5:$M$100000,Z$5))</f>
        <v/>
      </c>
    </row>
    <row r="29">
      <c r="A29" s="22">
        <f>IF(변동분석!$A29="","",변동분석!$E29)</f>
        <v/>
      </c>
      <c r="B29" s="22">
        <f>IF($A29="","",변동분석!$B29&amp;" "&amp;변동분석!$D29)</f>
        <v/>
      </c>
      <c r="C29" s="29">
        <f>IF($A29="","",SUMIFS(전표_원본!$P$5:$P$100000,전표_원본!$O$5:$O$100000,$A29,전표_원본!$M$5:$M$100000,C$5))</f>
        <v/>
      </c>
      <c r="D29" s="29">
        <f>IF($A29="","",SUMIFS(전표_원본!$P$5:$P$100000,전표_원본!$O$5:$O$100000,$A29,전표_원본!$M$5:$M$100000,D$5))</f>
        <v/>
      </c>
      <c r="E29" s="29">
        <f>IF($A29="","",SUMIFS(전표_원본!$P$5:$P$100000,전표_원본!$O$5:$O$100000,$A29,전표_원본!$M$5:$M$100000,E$5))</f>
        <v/>
      </c>
      <c r="F29" s="29">
        <f>IF($A29="","",SUMIFS(전표_원본!$P$5:$P$100000,전표_원본!$O$5:$O$100000,$A29,전표_원본!$M$5:$M$100000,F$5))</f>
        <v/>
      </c>
      <c r="G29" s="29">
        <f>IF($A29="","",SUMIFS(전표_원본!$P$5:$P$100000,전표_원본!$O$5:$O$100000,$A29,전표_원본!$M$5:$M$100000,G$5))</f>
        <v/>
      </c>
      <c r="H29" s="29">
        <f>IF($A29="","",SUMIFS(전표_원본!$P$5:$P$100000,전표_원본!$O$5:$O$100000,$A29,전표_원본!$M$5:$M$100000,H$5))</f>
        <v/>
      </c>
      <c r="I29" s="29">
        <f>IF($A29="","",SUMIFS(전표_원본!$P$5:$P$100000,전표_원본!$O$5:$O$100000,$A29,전표_원본!$M$5:$M$100000,I$5))</f>
        <v/>
      </c>
      <c r="J29" s="29">
        <f>IF($A29="","",SUMIFS(전표_원본!$P$5:$P$100000,전표_원본!$O$5:$O$100000,$A29,전표_원본!$M$5:$M$100000,J$5))</f>
        <v/>
      </c>
      <c r="K29" s="29">
        <f>IF($A29="","",SUMIFS(전표_원본!$P$5:$P$100000,전표_원본!$O$5:$O$100000,$A29,전표_원본!$M$5:$M$100000,K$5))</f>
        <v/>
      </c>
      <c r="L29" s="29">
        <f>IF($A29="","",SUMIFS(전표_원본!$P$5:$P$100000,전표_원본!$O$5:$O$100000,$A29,전표_원본!$M$5:$M$100000,L$5))</f>
        <v/>
      </c>
      <c r="M29" s="29">
        <f>IF($A29="","",SUMIFS(전표_원본!$P$5:$P$100000,전표_원본!$O$5:$O$100000,$A29,전표_원본!$M$5:$M$100000,M$5))</f>
        <v/>
      </c>
      <c r="N29" s="29">
        <f>IF($A29="","",SUMIFS(전표_원본!$P$5:$P$100000,전표_원본!$O$5:$O$100000,$A29,전표_원본!$M$5:$M$100000,N$5))</f>
        <v/>
      </c>
      <c r="O29" s="29">
        <f>IF($A29="","",SUMIFS(전표_원본!$P$5:$P$100000,전표_원본!$O$5:$O$100000,$A29,전표_원본!$M$5:$M$100000,O$5))</f>
        <v/>
      </c>
      <c r="P29" s="29">
        <f>IF($A29="","",SUMIFS(전표_원본!$P$5:$P$100000,전표_원본!$O$5:$O$100000,$A29,전표_원본!$M$5:$M$100000,P$5))</f>
        <v/>
      </c>
      <c r="Q29" s="29">
        <f>IF($A29="","",SUMIFS(전표_원본!$P$5:$P$100000,전표_원본!$O$5:$O$100000,$A29,전표_원본!$M$5:$M$100000,Q$5))</f>
        <v/>
      </c>
      <c r="R29" s="29">
        <f>IF($A29="","",SUMIFS(전표_원본!$P$5:$P$100000,전표_원본!$O$5:$O$100000,$A29,전표_원본!$M$5:$M$100000,R$5))</f>
        <v/>
      </c>
      <c r="S29" s="29">
        <f>IF($A29="","",SUMIFS(전표_원본!$P$5:$P$100000,전표_원본!$O$5:$O$100000,$A29,전표_원본!$M$5:$M$100000,S$5))</f>
        <v/>
      </c>
      <c r="T29" s="29">
        <f>IF($A29="","",SUMIFS(전표_원본!$P$5:$P$100000,전표_원본!$O$5:$O$100000,$A29,전표_원본!$M$5:$M$100000,T$5))</f>
        <v/>
      </c>
      <c r="U29" s="29">
        <f>IF($A29="","",SUMIFS(전표_원본!$P$5:$P$100000,전표_원본!$O$5:$O$100000,$A29,전표_원본!$M$5:$M$100000,U$5))</f>
        <v/>
      </c>
      <c r="V29" s="29">
        <f>IF($A29="","",SUMIFS(전표_원본!$P$5:$P$100000,전표_원본!$O$5:$O$100000,$A29,전표_원본!$M$5:$M$100000,V$5))</f>
        <v/>
      </c>
      <c r="W29" s="29">
        <f>IF($A29="","",SUMIFS(전표_원본!$P$5:$P$100000,전표_원본!$O$5:$O$100000,$A29,전표_원본!$M$5:$M$100000,W$5))</f>
        <v/>
      </c>
      <c r="X29" s="29">
        <f>IF($A29="","",SUMIFS(전표_원본!$P$5:$P$100000,전표_원본!$O$5:$O$100000,$A29,전표_원본!$M$5:$M$100000,X$5))</f>
        <v/>
      </c>
      <c r="Y29" s="29">
        <f>IF($A29="","",SUMIFS(전표_원본!$P$5:$P$100000,전표_원본!$O$5:$O$100000,$A29,전표_원본!$M$5:$M$100000,Y$5))</f>
        <v/>
      </c>
      <c r="Z29" s="29">
        <f>IF($A29="","",SUMIFS(전표_원본!$P$5:$P$100000,전표_원본!$O$5:$O$100000,$A29,전표_원본!$M$5:$M$100000,Z$5))</f>
        <v/>
      </c>
    </row>
    <row r="30">
      <c r="A30" s="22">
        <f>IF(변동분석!$A30="","",변동분석!$E30)</f>
        <v/>
      </c>
      <c r="B30" s="22">
        <f>IF($A30="","",변동분석!$B30&amp;" "&amp;변동분석!$D30)</f>
        <v/>
      </c>
      <c r="C30" s="29">
        <f>IF($A30="","",SUMIFS(전표_원본!$P$5:$P$100000,전표_원본!$O$5:$O$100000,$A30,전표_원본!$M$5:$M$100000,C$5))</f>
        <v/>
      </c>
      <c r="D30" s="29">
        <f>IF($A30="","",SUMIFS(전표_원본!$P$5:$P$100000,전표_원본!$O$5:$O$100000,$A30,전표_원본!$M$5:$M$100000,D$5))</f>
        <v/>
      </c>
      <c r="E30" s="29">
        <f>IF($A30="","",SUMIFS(전표_원본!$P$5:$P$100000,전표_원본!$O$5:$O$100000,$A30,전표_원본!$M$5:$M$100000,E$5))</f>
        <v/>
      </c>
      <c r="F30" s="29">
        <f>IF($A30="","",SUMIFS(전표_원본!$P$5:$P$100000,전표_원본!$O$5:$O$100000,$A30,전표_원본!$M$5:$M$100000,F$5))</f>
        <v/>
      </c>
      <c r="G30" s="29">
        <f>IF($A30="","",SUMIFS(전표_원본!$P$5:$P$100000,전표_원본!$O$5:$O$100000,$A30,전표_원본!$M$5:$M$100000,G$5))</f>
        <v/>
      </c>
      <c r="H30" s="29">
        <f>IF($A30="","",SUMIFS(전표_원본!$P$5:$P$100000,전표_원본!$O$5:$O$100000,$A30,전표_원본!$M$5:$M$100000,H$5))</f>
        <v/>
      </c>
      <c r="I30" s="29">
        <f>IF($A30="","",SUMIFS(전표_원본!$P$5:$P$100000,전표_원본!$O$5:$O$100000,$A30,전표_원본!$M$5:$M$100000,I$5))</f>
        <v/>
      </c>
      <c r="J30" s="29">
        <f>IF($A30="","",SUMIFS(전표_원본!$P$5:$P$100000,전표_원본!$O$5:$O$100000,$A30,전표_원본!$M$5:$M$100000,J$5))</f>
        <v/>
      </c>
      <c r="K30" s="29">
        <f>IF($A30="","",SUMIFS(전표_원본!$P$5:$P$100000,전표_원본!$O$5:$O$100000,$A30,전표_원본!$M$5:$M$100000,K$5))</f>
        <v/>
      </c>
      <c r="L30" s="29">
        <f>IF($A30="","",SUMIFS(전표_원본!$P$5:$P$100000,전표_원본!$O$5:$O$100000,$A30,전표_원본!$M$5:$M$100000,L$5))</f>
        <v/>
      </c>
      <c r="M30" s="29">
        <f>IF($A30="","",SUMIFS(전표_원본!$P$5:$P$100000,전표_원본!$O$5:$O$100000,$A30,전표_원본!$M$5:$M$100000,M$5))</f>
        <v/>
      </c>
      <c r="N30" s="29">
        <f>IF($A30="","",SUMIFS(전표_원본!$P$5:$P$100000,전표_원본!$O$5:$O$100000,$A30,전표_원본!$M$5:$M$100000,N$5))</f>
        <v/>
      </c>
      <c r="O30" s="29">
        <f>IF($A30="","",SUMIFS(전표_원본!$P$5:$P$100000,전표_원본!$O$5:$O$100000,$A30,전표_원본!$M$5:$M$100000,O$5))</f>
        <v/>
      </c>
      <c r="P30" s="29">
        <f>IF($A30="","",SUMIFS(전표_원본!$P$5:$P$100000,전표_원본!$O$5:$O$100000,$A30,전표_원본!$M$5:$M$100000,P$5))</f>
        <v/>
      </c>
      <c r="Q30" s="29">
        <f>IF($A30="","",SUMIFS(전표_원본!$P$5:$P$100000,전표_원본!$O$5:$O$100000,$A30,전표_원본!$M$5:$M$100000,Q$5))</f>
        <v/>
      </c>
      <c r="R30" s="29">
        <f>IF($A30="","",SUMIFS(전표_원본!$P$5:$P$100000,전표_원본!$O$5:$O$100000,$A30,전표_원본!$M$5:$M$100000,R$5))</f>
        <v/>
      </c>
      <c r="S30" s="29">
        <f>IF($A30="","",SUMIFS(전표_원본!$P$5:$P$100000,전표_원본!$O$5:$O$100000,$A30,전표_원본!$M$5:$M$100000,S$5))</f>
        <v/>
      </c>
      <c r="T30" s="29">
        <f>IF($A30="","",SUMIFS(전표_원본!$P$5:$P$100000,전표_원본!$O$5:$O$100000,$A30,전표_원본!$M$5:$M$100000,T$5))</f>
        <v/>
      </c>
      <c r="U30" s="29">
        <f>IF($A30="","",SUMIFS(전표_원본!$P$5:$P$100000,전표_원본!$O$5:$O$100000,$A30,전표_원본!$M$5:$M$100000,U$5))</f>
        <v/>
      </c>
      <c r="V30" s="29">
        <f>IF($A30="","",SUMIFS(전표_원본!$P$5:$P$100000,전표_원본!$O$5:$O$100000,$A30,전표_원본!$M$5:$M$100000,V$5))</f>
        <v/>
      </c>
      <c r="W30" s="29">
        <f>IF($A30="","",SUMIFS(전표_원본!$P$5:$P$100000,전표_원본!$O$5:$O$100000,$A30,전표_원본!$M$5:$M$100000,W$5))</f>
        <v/>
      </c>
      <c r="X30" s="29">
        <f>IF($A30="","",SUMIFS(전표_원본!$P$5:$P$100000,전표_원본!$O$5:$O$100000,$A30,전표_원본!$M$5:$M$100000,X$5))</f>
        <v/>
      </c>
      <c r="Y30" s="29">
        <f>IF($A30="","",SUMIFS(전표_원본!$P$5:$P$100000,전표_원본!$O$5:$O$100000,$A30,전표_원본!$M$5:$M$100000,Y$5))</f>
        <v/>
      </c>
      <c r="Z30" s="29">
        <f>IF($A30="","",SUMIFS(전표_원본!$P$5:$P$100000,전표_원본!$O$5:$O$100000,$A30,전표_원본!$M$5:$M$100000,Z$5))</f>
        <v/>
      </c>
    </row>
    <row r="31">
      <c r="A31" s="22">
        <f>IF(변동분석!$A31="","",변동분석!$E31)</f>
        <v/>
      </c>
      <c r="B31" s="22">
        <f>IF($A31="","",변동분석!$B31&amp;" "&amp;변동분석!$D31)</f>
        <v/>
      </c>
      <c r="C31" s="29">
        <f>IF($A31="","",SUMIFS(전표_원본!$P$5:$P$100000,전표_원본!$O$5:$O$100000,$A31,전표_원본!$M$5:$M$100000,C$5))</f>
        <v/>
      </c>
      <c r="D31" s="29">
        <f>IF($A31="","",SUMIFS(전표_원본!$P$5:$P$100000,전표_원본!$O$5:$O$100000,$A31,전표_원본!$M$5:$M$100000,D$5))</f>
        <v/>
      </c>
      <c r="E31" s="29">
        <f>IF($A31="","",SUMIFS(전표_원본!$P$5:$P$100000,전표_원본!$O$5:$O$100000,$A31,전표_원본!$M$5:$M$100000,E$5))</f>
        <v/>
      </c>
      <c r="F31" s="29">
        <f>IF($A31="","",SUMIFS(전표_원본!$P$5:$P$100000,전표_원본!$O$5:$O$100000,$A31,전표_원본!$M$5:$M$100000,F$5))</f>
        <v/>
      </c>
      <c r="G31" s="29">
        <f>IF($A31="","",SUMIFS(전표_원본!$P$5:$P$100000,전표_원본!$O$5:$O$100000,$A31,전표_원본!$M$5:$M$100000,G$5))</f>
        <v/>
      </c>
      <c r="H31" s="29">
        <f>IF($A31="","",SUMIFS(전표_원본!$P$5:$P$100000,전표_원본!$O$5:$O$100000,$A31,전표_원본!$M$5:$M$100000,H$5))</f>
        <v/>
      </c>
      <c r="I31" s="29">
        <f>IF($A31="","",SUMIFS(전표_원본!$P$5:$P$100000,전표_원본!$O$5:$O$100000,$A31,전표_원본!$M$5:$M$100000,I$5))</f>
        <v/>
      </c>
      <c r="J31" s="29">
        <f>IF($A31="","",SUMIFS(전표_원본!$P$5:$P$100000,전표_원본!$O$5:$O$100000,$A31,전표_원본!$M$5:$M$100000,J$5))</f>
        <v/>
      </c>
      <c r="K31" s="29">
        <f>IF($A31="","",SUMIFS(전표_원본!$P$5:$P$100000,전표_원본!$O$5:$O$100000,$A31,전표_원본!$M$5:$M$100000,K$5))</f>
        <v/>
      </c>
      <c r="L31" s="29">
        <f>IF($A31="","",SUMIFS(전표_원본!$P$5:$P$100000,전표_원본!$O$5:$O$100000,$A31,전표_원본!$M$5:$M$100000,L$5))</f>
        <v/>
      </c>
      <c r="M31" s="29">
        <f>IF($A31="","",SUMIFS(전표_원본!$P$5:$P$100000,전표_원본!$O$5:$O$100000,$A31,전표_원본!$M$5:$M$100000,M$5))</f>
        <v/>
      </c>
      <c r="N31" s="29">
        <f>IF($A31="","",SUMIFS(전표_원본!$P$5:$P$100000,전표_원본!$O$5:$O$100000,$A31,전표_원본!$M$5:$M$100000,N$5))</f>
        <v/>
      </c>
      <c r="O31" s="29">
        <f>IF($A31="","",SUMIFS(전표_원본!$P$5:$P$100000,전표_원본!$O$5:$O$100000,$A31,전표_원본!$M$5:$M$100000,O$5))</f>
        <v/>
      </c>
      <c r="P31" s="29">
        <f>IF($A31="","",SUMIFS(전표_원본!$P$5:$P$100000,전표_원본!$O$5:$O$100000,$A31,전표_원본!$M$5:$M$100000,P$5))</f>
        <v/>
      </c>
      <c r="Q31" s="29">
        <f>IF($A31="","",SUMIFS(전표_원본!$P$5:$P$100000,전표_원본!$O$5:$O$100000,$A31,전표_원본!$M$5:$M$100000,Q$5))</f>
        <v/>
      </c>
      <c r="R31" s="29">
        <f>IF($A31="","",SUMIFS(전표_원본!$P$5:$P$100000,전표_원본!$O$5:$O$100000,$A31,전표_원본!$M$5:$M$100000,R$5))</f>
        <v/>
      </c>
      <c r="S31" s="29">
        <f>IF($A31="","",SUMIFS(전표_원본!$P$5:$P$100000,전표_원본!$O$5:$O$100000,$A31,전표_원본!$M$5:$M$100000,S$5))</f>
        <v/>
      </c>
      <c r="T31" s="29">
        <f>IF($A31="","",SUMIFS(전표_원본!$P$5:$P$100000,전표_원본!$O$5:$O$100000,$A31,전표_원본!$M$5:$M$100000,T$5))</f>
        <v/>
      </c>
      <c r="U31" s="29">
        <f>IF($A31="","",SUMIFS(전표_원본!$P$5:$P$100000,전표_원본!$O$5:$O$100000,$A31,전표_원본!$M$5:$M$100000,U$5))</f>
        <v/>
      </c>
      <c r="V31" s="29">
        <f>IF($A31="","",SUMIFS(전표_원본!$P$5:$P$100000,전표_원본!$O$5:$O$100000,$A31,전표_원본!$M$5:$M$100000,V$5))</f>
        <v/>
      </c>
      <c r="W31" s="29">
        <f>IF($A31="","",SUMIFS(전표_원본!$P$5:$P$100000,전표_원본!$O$5:$O$100000,$A31,전표_원본!$M$5:$M$100000,W$5))</f>
        <v/>
      </c>
      <c r="X31" s="29">
        <f>IF($A31="","",SUMIFS(전표_원본!$P$5:$P$100000,전표_원본!$O$5:$O$100000,$A31,전표_원본!$M$5:$M$100000,X$5))</f>
        <v/>
      </c>
      <c r="Y31" s="29">
        <f>IF($A31="","",SUMIFS(전표_원본!$P$5:$P$100000,전표_원본!$O$5:$O$100000,$A31,전표_원본!$M$5:$M$100000,Y$5))</f>
        <v/>
      </c>
      <c r="Z31" s="29">
        <f>IF($A31="","",SUMIFS(전표_원본!$P$5:$P$100000,전표_원본!$O$5:$O$100000,$A31,전표_원본!$M$5:$M$100000,Z$5))</f>
        <v/>
      </c>
    </row>
    <row r="32">
      <c r="A32" s="22">
        <f>IF(변동분석!$A32="","",변동분석!$E32)</f>
        <v/>
      </c>
      <c r="B32" s="22">
        <f>IF($A32="","",변동분석!$B32&amp;" "&amp;변동분석!$D32)</f>
        <v/>
      </c>
      <c r="C32" s="29">
        <f>IF($A32="","",SUMIFS(전표_원본!$P$5:$P$100000,전표_원본!$O$5:$O$100000,$A32,전표_원본!$M$5:$M$100000,C$5))</f>
        <v/>
      </c>
      <c r="D32" s="29">
        <f>IF($A32="","",SUMIFS(전표_원본!$P$5:$P$100000,전표_원본!$O$5:$O$100000,$A32,전표_원본!$M$5:$M$100000,D$5))</f>
        <v/>
      </c>
      <c r="E32" s="29">
        <f>IF($A32="","",SUMIFS(전표_원본!$P$5:$P$100000,전표_원본!$O$5:$O$100000,$A32,전표_원본!$M$5:$M$100000,E$5))</f>
        <v/>
      </c>
      <c r="F32" s="29">
        <f>IF($A32="","",SUMIFS(전표_원본!$P$5:$P$100000,전표_원본!$O$5:$O$100000,$A32,전표_원본!$M$5:$M$100000,F$5))</f>
        <v/>
      </c>
      <c r="G32" s="29">
        <f>IF($A32="","",SUMIFS(전표_원본!$P$5:$P$100000,전표_원본!$O$5:$O$100000,$A32,전표_원본!$M$5:$M$100000,G$5))</f>
        <v/>
      </c>
      <c r="H32" s="29">
        <f>IF($A32="","",SUMIFS(전표_원본!$P$5:$P$100000,전표_원본!$O$5:$O$100000,$A32,전표_원본!$M$5:$M$100000,H$5))</f>
        <v/>
      </c>
      <c r="I32" s="29">
        <f>IF($A32="","",SUMIFS(전표_원본!$P$5:$P$100000,전표_원본!$O$5:$O$100000,$A32,전표_원본!$M$5:$M$100000,I$5))</f>
        <v/>
      </c>
      <c r="J32" s="29">
        <f>IF($A32="","",SUMIFS(전표_원본!$P$5:$P$100000,전표_원본!$O$5:$O$100000,$A32,전표_원본!$M$5:$M$100000,J$5))</f>
        <v/>
      </c>
      <c r="K32" s="29">
        <f>IF($A32="","",SUMIFS(전표_원본!$P$5:$P$100000,전표_원본!$O$5:$O$100000,$A32,전표_원본!$M$5:$M$100000,K$5))</f>
        <v/>
      </c>
      <c r="L32" s="29">
        <f>IF($A32="","",SUMIFS(전표_원본!$P$5:$P$100000,전표_원본!$O$5:$O$100000,$A32,전표_원본!$M$5:$M$100000,L$5))</f>
        <v/>
      </c>
      <c r="M32" s="29">
        <f>IF($A32="","",SUMIFS(전표_원본!$P$5:$P$100000,전표_원본!$O$5:$O$100000,$A32,전표_원본!$M$5:$M$100000,M$5))</f>
        <v/>
      </c>
      <c r="N32" s="29">
        <f>IF($A32="","",SUMIFS(전표_원본!$P$5:$P$100000,전표_원본!$O$5:$O$100000,$A32,전표_원본!$M$5:$M$100000,N$5))</f>
        <v/>
      </c>
      <c r="O32" s="29">
        <f>IF($A32="","",SUMIFS(전표_원본!$P$5:$P$100000,전표_원본!$O$5:$O$100000,$A32,전표_원본!$M$5:$M$100000,O$5))</f>
        <v/>
      </c>
      <c r="P32" s="29">
        <f>IF($A32="","",SUMIFS(전표_원본!$P$5:$P$100000,전표_원본!$O$5:$O$100000,$A32,전표_원본!$M$5:$M$100000,P$5))</f>
        <v/>
      </c>
      <c r="Q32" s="29">
        <f>IF($A32="","",SUMIFS(전표_원본!$P$5:$P$100000,전표_원본!$O$5:$O$100000,$A32,전표_원본!$M$5:$M$100000,Q$5))</f>
        <v/>
      </c>
      <c r="R32" s="29">
        <f>IF($A32="","",SUMIFS(전표_원본!$P$5:$P$100000,전표_원본!$O$5:$O$100000,$A32,전표_원본!$M$5:$M$100000,R$5))</f>
        <v/>
      </c>
      <c r="S32" s="29">
        <f>IF($A32="","",SUMIFS(전표_원본!$P$5:$P$100000,전표_원본!$O$5:$O$100000,$A32,전표_원본!$M$5:$M$100000,S$5))</f>
        <v/>
      </c>
      <c r="T32" s="29">
        <f>IF($A32="","",SUMIFS(전표_원본!$P$5:$P$100000,전표_원본!$O$5:$O$100000,$A32,전표_원본!$M$5:$M$100000,T$5))</f>
        <v/>
      </c>
      <c r="U32" s="29">
        <f>IF($A32="","",SUMIFS(전표_원본!$P$5:$P$100000,전표_원본!$O$5:$O$100000,$A32,전표_원본!$M$5:$M$100000,U$5))</f>
        <v/>
      </c>
      <c r="V32" s="29">
        <f>IF($A32="","",SUMIFS(전표_원본!$P$5:$P$100000,전표_원본!$O$5:$O$100000,$A32,전표_원본!$M$5:$M$100000,V$5))</f>
        <v/>
      </c>
      <c r="W32" s="29">
        <f>IF($A32="","",SUMIFS(전표_원본!$P$5:$P$100000,전표_원본!$O$5:$O$100000,$A32,전표_원본!$M$5:$M$100000,W$5))</f>
        <v/>
      </c>
      <c r="X32" s="29">
        <f>IF($A32="","",SUMIFS(전표_원본!$P$5:$P$100000,전표_원본!$O$5:$O$100000,$A32,전표_원본!$M$5:$M$100000,X$5))</f>
        <v/>
      </c>
      <c r="Y32" s="29">
        <f>IF($A32="","",SUMIFS(전표_원본!$P$5:$P$100000,전표_원본!$O$5:$O$100000,$A32,전표_원본!$M$5:$M$100000,Y$5))</f>
        <v/>
      </c>
      <c r="Z32" s="29">
        <f>IF($A32="","",SUMIFS(전표_원본!$P$5:$P$100000,전표_원본!$O$5:$O$100000,$A32,전표_원본!$M$5:$M$100000,Z$5))</f>
        <v/>
      </c>
    </row>
    <row r="33">
      <c r="A33" s="22">
        <f>IF(변동분석!$A33="","",변동분석!$E33)</f>
        <v/>
      </c>
      <c r="B33" s="22">
        <f>IF($A33="","",변동분석!$B33&amp;" "&amp;변동분석!$D33)</f>
        <v/>
      </c>
      <c r="C33" s="29">
        <f>IF($A33="","",SUMIFS(전표_원본!$P$5:$P$100000,전표_원본!$O$5:$O$100000,$A33,전표_원본!$M$5:$M$100000,C$5))</f>
        <v/>
      </c>
      <c r="D33" s="29">
        <f>IF($A33="","",SUMIFS(전표_원본!$P$5:$P$100000,전표_원본!$O$5:$O$100000,$A33,전표_원본!$M$5:$M$100000,D$5))</f>
        <v/>
      </c>
      <c r="E33" s="29">
        <f>IF($A33="","",SUMIFS(전표_원본!$P$5:$P$100000,전표_원본!$O$5:$O$100000,$A33,전표_원본!$M$5:$M$100000,E$5))</f>
        <v/>
      </c>
      <c r="F33" s="29">
        <f>IF($A33="","",SUMIFS(전표_원본!$P$5:$P$100000,전표_원본!$O$5:$O$100000,$A33,전표_원본!$M$5:$M$100000,F$5))</f>
        <v/>
      </c>
      <c r="G33" s="29">
        <f>IF($A33="","",SUMIFS(전표_원본!$P$5:$P$100000,전표_원본!$O$5:$O$100000,$A33,전표_원본!$M$5:$M$100000,G$5))</f>
        <v/>
      </c>
      <c r="H33" s="29">
        <f>IF($A33="","",SUMIFS(전표_원본!$P$5:$P$100000,전표_원본!$O$5:$O$100000,$A33,전표_원본!$M$5:$M$100000,H$5))</f>
        <v/>
      </c>
      <c r="I33" s="29">
        <f>IF($A33="","",SUMIFS(전표_원본!$P$5:$P$100000,전표_원본!$O$5:$O$100000,$A33,전표_원본!$M$5:$M$100000,I$5))</f>
        <v/>
      </c>
      <c r="J33" s="29">
        <f>IF($A33="","",SUMIFS(전표_원본!$P$5:$P$100000,전표_원본!$O$5:$O$100000,$A33,전표_원본!$M$5:$M$100000,J$5))</f>
        <v/>
      </c>
      <c r="K33" s="29">
        <f>IF($A33="","",SUMIFS(전표_원본!$P$5:$P$100000,전표_원본!$O$5:$O$100000,$A33,전표_원본!$M$5:$M$100000,K$5))</f>
        <v/>
      </c>
      <c r="L33" s="29">
        <f>IF($A33="","",SUMIFS(전표_원본!$P$5:$P$100000,전표_원본!$O$5:$O$100000,$A33,전표_원본!$M$5:$M$100000,L$5))</f>
        <v/>
      </c>
      <c r="M33" s="29">
        <f>IF($A33="","",SUMIFS(전표_원본!$P$5:$P$100000,전표_원본!$O$5:$O$100000,$A33,전표_원본!$M$5:$M$100000,M$5))</f>
        <v/>
      </c>
      <c r="N33" s="29">
        <f>IF($A33="","",SUMIFS(전표_원본!$P$5:$P$100000,전표_원본!$O$5:$O$100000,$A33,전표_원본!$M$5:$M$100000,N$5))</f>
        <v/>
      </c>
      <c r="O33" s="29">
        <f>IF($A33="","",SUMIFS(전표_원본!$P$5:$P$100000,전표_원본!$O$5:$O$100000,$A33,전표_원본!$M$5:$M$100000,O$5))</f>
        <v/>
      </c>
      <c r="P33" s="29">
        <f>IF($A33="","",SUMIFS(전표_원본!$P$5:$P$100000,전표_원본!$O$5:$O$100000,$A33,전표_원본!$M$5:$M$100000,P$5))</f>
        <v/>
      </c>
      <c r="Q33" s="29">
        <f>IF($A33="","",SUMIFS(전표_원본!$P$5:$P$100000,전표_원본!$O$5:$O$100000,$A33,전표_원본!$M$5:$M$100000,Q$5))</f>
        <v/>
      </c>
      <c r="R33" s="29">
        <f>IF($A33="","",SUMIFS(전표_원본!$P$5:$P$100000,전표_원본!$O$5:$O$100000,$A33,전표_원본!$M$5:$M$100000,R$5))</f>
        <v/>
      </c>
      <c r="S33" s="29">
        <f>IF($A33="","",SUMIFS(전표_원본!$P$5:$P$100000,전표_원본!$O$5:$O$100000,$A33,전표_원본!$M$5:$M$100000,S$5))</f>
        <v/>
      </c>
      <c r="T33" s="29">
        <f>IF($A33="","",SUMIFS(전표_원본!$P$5:$P$100000,전표_원본!$O$5:$O$100000,$A33,전표_원본!$M$5:$M$100000,T$5))</f>
        <v/>
      </c>
      <c r="U33" s="29">
        <f>IF($A33="","",SUMIFS(전표_원본!$P$5:$P$100000,전표_원본!$O$5:$O$100000,$A33,전표_원본!$M$5:$M$100000,U$5))</f>
        <v/>
      </c>
      <c r="V33" s="29">
        <f>IF($A33="","",SUMIFS(전표_원본!$P$5:$P$100000,전표_원본!$O$5:$O$100000,$A33,전표_원본!$M$5:$M$100000,V$5))</f>
        <v/>
      </c>
      <c r="W33" s="29">
        <f>IF($A33="","",SUMIFS(전표_원본!$P$5:$P$100000,전표_원본!$O$5:$O$100000,$A33,전표_원본!$M$5:$M$100000,W$5))</f>
        <v/>
      </c>
      <c r="X33" s="29">
        <f>IF($A33="","",SUMIFS(전표_원본!$P$5:$P$100000,전표_원본!$O$5:$O$100000,$A33,전표_원본!$M$5:$M$100000,X$5))</f>
        <v/>
      </c>
      <c r="Y33" s="29">
        <f>IF($A33="","",SUMIFS(전표_원본!$P$5:$P$100000,전표_원본!$O$5:$O$100000,$A33,전표_원본!$M$5:$M$100000,Y$5))</f>
        <v/>
      </c>
      <c r="Z33" s="29">
        <f>IF($A33="","",SUMIFS(전표_원본!$P$5:$P$100000,전표_원본!$O$5:$O$100000,$A33,전표_원본!$M$5:$M$100000,Z$5))</f>
        <v/>
      </c>
    </row>
    <row r="34">
      <c r="A34" s="22">
        <f>IF(변동분석!$A34="","",변동분석!$E34)</f>
        <v/>
      </c>
      <c r="B34" s="22">
        <f>IF($A34="","",변동분석!$B34&amp;" "&amp;변동분석!$D34)</f>
        <v/>
      </c>
      <c r="C34" s="29">
        <f>IF($A34="","",SUMIFS(전표_원본!$P$5:$P$100000,전표_원본!$O$5:$O$100000,$A34,전표_원본!$M$5:$M$100000,C$5))</f>
        <v/>
      </c>
      <c r="D34" s="29">
        <f>IF($A34="","",SUMIFS(전표_원본!$P$5:$P$100000,전표_원본!$O$5:$O$100000,$A34,전표_원본!$M$5:$M$100000,D$5))</f>
        <v/>
      </c>
      <c r="E34" s="29">
        <f>IF($A34="","",SUMIFS(전표_원본!$P$5:$P$100000,전표_원본!$O$5:$O$100000,$A34,전표_원본!$M$5:$M$100000,E$5))</f>
        <v/>
      </c>
      <c r="F34" s="29">
        <f>IF($A34="","",SUMIFS(전표_원본!$P$5:$P$100000,전표_원본!$O$5:$O$100000,$A34,전표_원본!$M$5:$M$100000,F$5))</f>
        <v/>
      </c>
      <c r="G34" s="29">
        <f>IF($A34="","",SUMIFS(전표_원본!$P$5:$P$100000,전표_원본!$O$5:$O$100000,$A34,전표_원본!$M$5:$M$100000,G$5))</f>
        <v/>
      </c>
      <c r="H34" s="29">
        <f>IF($A34="","",SUMIFS(전표_원본!$P$5:$P$100000,전표_원본!$O$5:$O$100000,$A34,전표_원본!$M$5:$M$100000,H$5))</f>
        <v/>
      </c>
      <c r="I34" s="29">
        <f>IF($A34="","",SUMIFS(전표_원본!$P$5:$P$100000,전표_원본!$O$5:$O$100000,$A34,전표_원본!$M$5:$M$100000,I$5))</f>
        <v/>
      </c>
      <c r="J34" s="29">
        <f>IF($A34="","",SUMIFS(전표_원본!$P$5:$P$100000,전표_원본!$O$5:$O$100000,$A34,전표_원본!$M$5:$M$100000,J$5))</f>
        <v/>
      </c>
      <c r="K34" s="29">
        <f>IF($A34="","",SUMIFS(전표_원본!$P$5:$P$100000,전표_원본!$O$5:$O$100000,$A34,전표_원본!$M$5:$M$100000,K$5))</f>
        <v/>
      </c>
      <c r="L34" s="29">
        <f>IF($A34="","",SUMIFS(전표_원본!$P$5:$P$100000,전표_원본!$O$5:$O$100000,$A34,전표_원본!$M$5:$M$100000,L$5))</f>
        <v/>
      </c>
      <c r="M34" s="29">
        <f>IF($A34="","",SUMIFS(전표_원본!$P$5:$P$100000,전표_원본!$O$5:$O$100000,$A34,전표_원본!$M$5:$M$100000,M$5))</f>
        <v/>
      </c>
      <c r="N34" s="29">
        <f>IF($A34="","",SUMIFS(전표_원본!$P$5:$P$100000,전표_원본!$O$5:$O$100000,$A34,전표_원본!$M$5:$M$100000,N$5))</f>
        <v/>
      </c>
      <c r="O34" s="29">
        <f>IF($A34="","",SUMIFS(전표_원본!$P$5:$P$100000,전표_원본!$O$5:$O$100000,$A34,전표_원본!$M$5:$M$100000,O$5))</f>
        <v/>
      </c>
      <c r="P34" s="29">
        <f>IF($A34="","",SUMIFS(전표_원본!$P$5:$P$100000,전표_원본!$O$5:$O$100000,$A34,전표_원본!$M$5:$M$100000,P$5))</f>
        <v/>
      </c>
      <c r="Q34" s="29">
        <f>IF($A34="","",SUMIFS(전표_원본!$P$5:$P$100000,전표_원본!$O$5:$O$100000,$A34,전표_원본!$M$5:$M$100000,Q$5))</f>
        <v/>
      </c>
      <c r="R34" s="29">
        <f>IF($A34="","",SUMIFS(전표_원본!$P$5:$P$100000,전표_원본!$O$5:$O$100000,$A34,전표_원본!$M$5:$M$100000,R$5))</f>
        <v/>
      </c>
      <c r="S34" s="29">
        <f>IF($A34="","",SUMIFS(전표_원본!$P$5:$P$100000,전표_원본!$O$5:$O$100000,$A34,전표_원본!$M$5:$M$100000,S$5))</f>
        <v/>
      </c>
      <c r="T34" s="29">
        <f>IF($A34="","",SUMIFS(전표_원본!$P$5:$P$100000,전표_원본!$O$5:$O$100000,$A34,전표_원본!$M$5:$M$100000,T$5))</f>
        <v/>
      </c>
      <c r="U34" s="29">
        <f>IF($A34="","",SUMIFS(전표_원본!$P$5:$P$100000,전표_원본!$O$5:$O$100000,$A34,전표_원본!$M$5:$M$100000,U$5))</f>
        <v/>
      </c>
      <c r="V34" s="29">
        <f>IF($A34="","",SUMIFS(전표_원본!$P$5:$P$100000,전표_원본!$O$5:$O$100000,$A34,전표_원본!$M$5:$M$100000,V$5))</f>
        <v/>
      </c>
      <c r="W34" s="29">
        <f>IF($A34="","",SUMIFS(전표_원본!$P$5:$P$100000,전표_원본!$O$5:$O$100000,$A34,전표_원본!$M$5:$M$100000,W$5))</f>
        <v/>
      </c>
      <c r="X34" s="29">
        <f>IF($A34="","",SUMIFS(전표_원본!$P$5:$P$100000,전표_원본!$O$5:$O$100000,$A34,전표_원본!$M$5:$M$100000,X$5))</f>
        <v/>
      </c>
      <c r="Y34" s="29">
        <f>IF($A34="","",SUMIFS(전표_원본!$P$5:$P$100000,전표_원본!$O$5:$O$100000,$A34,전표_원본!$M$5:$M$100000,Y$5))</f>
        <v/>
      </c>
      <c r="Z34" s="29">
        <f>IF($A34="","",SUMIFS(전표_원본!$P$5:$P$100000,전표_원본!$O$5:$O$100000,$A34,전표_원본!$M$5:$M$100000,Z$5))</f>
        <v/>
      </c>
    </row>
    <row r="35">
      <c r="A35" s="22">
        <f>IF(변동분석!$A35="","",변동분석!$E35)</f>
        <v/>
      </c>
      <c r="B35" s="22">
        <f>IF($A35="","",변동분석!$B35&amp;" "&amp;변동분석!$D35)</f>
        <v/>
      </c>
      <c r="C35" s="29">
        <f>IF($A35="","",SUMIFS(전표_원본!$P$5:$P$100000,전표_원본!$O$5:$O$100000,$A35,전표_원본!$M$5:$M$100000,C$5))</f>
        <v/>
      </c>
      <c r="D35" s="29">
        <f>IF($A35="","",SUMIFS(전표_원본!$P$5:$P$100000,전표_원본!$O$5:$O$100000,$A35,전표_원본!$M$5:$M$100000,D$5))</f>
        <v/>
      </c>
      <c r="E35" s="29">
        <f>IF($A35="","",SUMIFS(전표_원본!$P$5:$P$100000,전표_원본!$O$5:$O$100000,$A35,전표_원본!$M$5:$M$100000,E$5))</f>
        <v/>
      </c>
      <c r="F35" s="29">
        <f>IF($A35="","",SUMIFS(전표_원본!$P$5:$P$100000,전표_원본!$O$5:$O$100000,$A35,전표_원본!$M$5:$M$100000,F$5))</f>
        <v/>
      </c>
      <c r="G35" s="29">
        <f>IF($A35="","",SUMIFS(전표_원본!$P$5:$P$100000,전표_원본!$O$5:$O$100000,$A35,전표_원본!$M$5:$M$100000,G$5))</f>
        <v/>
      </c>
      <c r="H35" s="29">
        <f>IF($A35="","",SUMIFS(전표_원본!$P$5:$P$100000,전표_원본!$O$5:$O$100000,$A35,전표_원본!$M$5:$M$100000,H$5))</f>
        <v/>
      </c>
      <c r="I35" s="29">
        <f>IF($A35="","",SUMIFS(전표_원본!$P$5:$P$100000,전표_원본!$O$5:$O$100000,$A35,전표_원본!$M$5:$M$100000,I$5))</f>
        <v/>
      </c>
      <c r="J35" s="29">
        <f>IF($A35="","",SUMIFS(전표_원본!$P$5:$P$100000,전표_원본!$O$5:$O$100000,$A35,전표_원본!$M$5:$M$100000,J$5))</f>
        <v/>
      </c>
      <c r="K35" s="29">
        <f>IF($A35="","",SUMIFS(전표_원본!$P$5:$P$100000,전표_원본!$O$5:$O$100000,$A35,전표_원본!$M$5:$M$100000,K$5))</f>
        <v/>
      </c>
      <c r="L35" s="29">
        <f>IF($A35="","",SUMIFS(전표_원본!$P$5:$P$100000,전표_원본!$O$5:$O$100000,$A35,전표_원본!$M$5:$M$100000,L$5))</f>
        <v/>
      </c>
      <c r="M35" s="29">
        <f>IF($A35="","",SUMIFS(전표_원본!$P$5:$P$100000,전표_원본!$O$5:$O$100000,$A35,전표_원본!$M$5:$M$100000,M$5))</f>
        <v/>
      </c>
      <c r="N35" s="29">
        <f>IF($A35="","",SUMIFS(전표_원본!$P$5:$P$100000,전표_원본!$O$5:$O$100000,$A35,전표_원본!$M$5:$M$100000,N$5))</f>
        <v/>
      </c>
      <c r="O35" s="29">
        <f>IF($A35="","",SUMIFS(전표_원본!$P$5:$P$100000,전표_원본!$O$5:$O$100000,$A35,전표_원본!$M$5:$M$100000,O$5))</f>
        <v/>
      </c>
      <c r="P35" s="29">
        <f>IF($A35="","",SUMIFS(전표_원본!$P$5:$P$100000,전표_원본!$O$5:$O$100000,$A35,전표_원본!$M$5:$M$100000,P$5))</f>
        <v/>
      </c>
      <c r="Q35" s="29">
        <f>IF($A35="","",SUMIFS(전표_원본!$P$5:$P$100000,전표_원본!$O$5:$O$100000,$A35,전표_원본!$M$5:$M$100000,Q$5))</f>
        <v/>
      </c>
      <c r="R35" s="29">
        <f>IF($A35="","",SUMIFS(전표_원본!$P$5:$P$100000,전표_원본!$O$5:$O$100000,$A35,전표_원본!$M$5:$M$100000,R$5))</f>
        <v/>
      </c>
      <c r="S35" s="29">
        <f>IF($A35="","",SUMIFS(전표_원본!$P$5:$P$100000,전표_원본!$O$5:$O$100000,$A35,전표_원본!$M$5:$M$100000,S$5))</f>
        <v/>
      </c>
      <c r="T35" s="29">
        <f>IF($A35="","",SUMIFS(전표_원본!$P$5:$P$100000,전표_원본!$O$5:$O$100000,$A35,전표_원본!$M$5:$M$100000,T$5))</f>
        <v/>
      </c>
      <c r="U35" s="29">
        <f>IF($A35="","",SUMIFS(전표_원본!$P$5:$P$100000,전표_원본!$O$5:$O$100000,$A35,전표_원본!$M$5:$M$100000,U$5))</f>
        <v/>
      </c>
      <c r="V35" s="29">
        <f>IF($A35="","",SUMIFS(전표_원본!$P$5:$P$100000,전표_원본!$O$5:$O$100000,$A35,전표_원본!$M$5:$M$100000,V$5))</f>
        <v/>
      </c>
      <c r="W35" s="29">
        <f>IF($A35="","",SUMIFS(전표_원본!$P$5:$P$100000,전표_원본!$O$5:$O$100000,$A35,전표_원본!$M$5:$M$100000,W$5))</f>
        <v/>
      </c>
      <c r="X35" s="29">
        <f>IF($A35="","",SUMIFS(전표_원본!$P$5:$P$100000,전표_원본!$O$5:$O$100000,$A35,전표_원본!$M$5:$M$100000,X$5))</f>
        <v/>
      </c>
      <c r="Y35" s="29">
        <f>IF($A35="","",SUMIFS(전표_원본!$P$5:$P$100000,전표_원본!$O$5:$O$100000,$A35,전표_원본!$M$5:$M$100000,Y$5))</f>
        <v/>
      </c>
      <c r="Z35" s="29">
        <f>IF($A35="","",SUMIFS(전표_원본!$P$5:$P$100000,전표_원본!$O$5:$O$100000,$A35,전표_원본!$M$5:$M$100000,Z$5))</f>
        <v/>
      </c>
    </row>
    <row r="36">
      <c r="A36" s="22">
        <f>IF(변동분석!$A36="","",변동분석!$E36)</f>
        <v/>
      </c>
      <c r="B36" s="22">
        <f>IF($A36="","",변동분석!$B36&amp;" "&amp;변동분석!$D36)</f>
        <v/>
      </c>
      <c r="C36" s="29">
        <f>IF($A36="","",SUMIFS(전표_원본!$P$5:$P$100000,전표_원본!$O$5:$O$100000,$A36,전표_원본!$M$5:$M$100000,C$5))</f>
        <v/>
      </c>
      <c r="D36" s="29">
        <f>IF($A36="","",SUMIFS(전표_원본!$P$5:$P$100000,전표_원본!$O$5:$O$100000,$A36,전표_원본!$M$5:$M$100000,D$5))</f>
        <v/>
      </c>
      <c r="E36" s="29">
        <f>IF($A36="","",SUMIFS(전표_원본!$P$5:$P$100000,전표_원본!$O$5:$O$100000,$A36,전표_원본!$M$5:$M$100000,E$5))</f>
        <v/>
      </c>
      <c r="F36" s="29">
        <f>IF($A36="","",SUMIFS(전표_원본!$P$5:$P$100000,전표_원본!$O$5:$O$100000,$A36,전표_원본!$M$5:$M$100000,F$5))</f>
        <v/>
      </c>
      <c r="G36" s="29">
        <f>IF($A36="","",SUMIFS(전표_원본!$P$5:$P$100000,전표_원본!$O$5:$O$100000,$A36,전표_원본!$M$5:$M$100000,G$5))</f>
        <v/>
      </c>
      <c r="H36" s="29">
        <f>IF($A36="","",SUMIFS(전표_원본!$P$5:$P$100000,전표_원본!$O$5:$O$100000,$A36,전표_원본!$M$5:$M$100000,H$5))</f>
        <v/>
      </c>
      <c r="I36" s="29">
        <f>IF($A36="","",SUMIFS(전표_원본!$P$5:$P$100000,전표_원본!$O$5:$O$100000,$A36,전표_원본!$M$5:$M$100000,I$5))</f>
        <v/>
      </c>
      <c r="J36" s="29">
        <f>IF($A36="","",SUMIFS(전표_원본!$P$5:$P$100000,전표_원본!$O$5:$O$100000,$A36,전표_원본!$M$5:$M$100000,J$5))</f>
        <v/>
      </c>
      <c r="K36" s="29">
        <f>IF($A36="","",SUMIFS(전표_원본!$P$5:$P$100000,전표_원본!$O$5:$O$100000,$A36,전표_원본!$M$5:$M$100000,K$5))</f>
        <v/>
      </c>
      <c r="L36" s="29">
        <f>IF($A36="","",SUMIFS(전표_원본!$P$5:$P$100000,전표_원본!$O$5:$O$100000,$A36,전표_원본!$M$5:$M$100000,L$5))</f>
        <v/>
      </c>
      <c r="M36" s="29">
        <f>IF($A36="","",SUMIFS(전표_원본!$P$5:$P$100000,전표_원본!$O$5:$O$100000,$A36,전표_원본!$M$5:$M$100000,M$5))</f>
        <v/>
      </c>
      <c r="N36" s="29">
        <f>IF($A36="","",SUMIFS(전표_원본!$P$5:$P$100000,전표_원본!$O$5:$O$100000,$A36,전표_원본!$M$5:$M$100000,N$5))</f>
        <v/>
      </c>
      <c r="O36" s="29">
        <f>IF($A36="","",SUMIFS(전표_원본!$P$5:$P$100000,전표_원본!$O$5:$O$100000,$A36,전표_원본!$M$5:$M$100000,O$5))</f>
        <v/>
      </c>
      <c r="P36" s="29">
        <f>IF($A36="","",SUMIFS(전표_원본!$P$5:$P$100000,전표_원본!$O$5:$O$100000,$A36,전표_원본!$M$5:$M$100000,P$5))</f>
        <v/>
      </c>
      <c r="Q36" s="29">
        <f>IF($A36="","",SUMIFS(전표_원본!$P$5:$P$100000,전표_원본!$O$5:$O$100000,$A36,전표_원본!$M$5:$M$100000,Q$5))</f>
        <v/>
      </c>
      <c r="R36" s="29">
        <f>IF($A36="","",SUMIFS(전표_원본!$P$5:$P$100000,전표_원본!$O$5:$O$100000,$A36,전표_원본!$M$5:$M$100000,R$5))</f>
        <v/>
      </c>
      <c r="S36" s="29">
        <f>IF($A36="","",SUMIFS(전표_원본!$P$5:$P$100000,전표_원본!$O$5:$O$100000,$A36,전표_원본!$M$5:$M$100000,S$5))</f>
        <v/>
      </c>
      <c r="T36" s="29">
        <f>IF($A36="","",SUMIFS(전표_원본!$P$5:$P$100000,전표_원본!$O$5:$O$100000,$A36,전표_원본!$M$5:$M$100000,T$5))</f>
        <v/>
      </c>
      <c r="U36" s="29">
        <f>IF($A36="","",SUMIFS(전표_원본!$P$5:$P$100000,전표_원본!$O$5:$O$100000,$A36,전표_원본!$M$5:$M$100000,U$5))</f>
        <v/>
      </c>
      <c r="V36" s="29">
        <f>IF($A36="","",SUMIFS(전표_원본!$P$5:$P$100000,전표_원본!$O$5:$O$100000,$A36,전표_원본!$M$5:$M$100000,V$5))</f>
        <v/>
      </c>
      <c r="W36" s="29">
        <f>IF($A36="","",SUMIFS(전표_원본!$P$5:$P$100000,전표_원본!$O$5:$O$100000,$A36,전표_원본!$M$5:$M$100000,W$5))</f>
        <v/>
      </c>
      <c r="X36" s="29">
        <f>IF($A36="","",SUMIFS(전표_원본!$P$5:$P$100000,전표_원본!$O$5:$O$100000,$A36,전표_원본!$M$5:$M$100000,X$5))</f>
        <v/>
      </c>
      <c r="Y36" s="29">
        <f>IF($A36="","",SUMIFS(전표_원본!$P$5:$P$100000,전표_원본!$O$5:$O$100000,$A36,전표_원본!$M$5:$M$100000,Y$5))</f>
        <v/>
      </c>
      <c r="Z36" s="29">
        <f>IF($A36="","",SUMIFS(전표_원본!$P$5:$P$100000,전표_원본!$O$5:$O$100000,$A36,전표_원본!$M$5:$M$100000,Z$5))</f>
        <v/>
      </c>
    </row>
    <row r="37">
      <c r="A37" s="22">
        <f>IF(변동분석!$A37="","",변동분석!$E37)</f>
        <v/>
      </c>
      <c r="B37" s="22">
        <f>IF($A37="","",변동분석!$B37&amp;" "&amp;변동분석!$D37)</f>
        <v/>
      </c>
      <c r="C37" s="29">
        <f>IF($A37="","",SUMIFS(전표_원본!$P$5:$P$100000,전표_원본!$O$5:$O$100000,$A37,전표_원본!$M$5:$M$100000,C$5))</f>
        <v/>
      </c>
      <c r="D37" s="29">
        <f>IF($A37="","",SUMIFS(전표_원본!$P$5:$P$100000,전표_원본!$O$5:$O$100000,$A37,전표_원본!$M$5:$M$100000,D$5))</f>
        <v/>
      </c>
      <c r="E37" s="29">
        <f>IF($A37="","",SUMIFS(전표_원본!$P$5:$P$100000,전표_원본!$O$5:$O$100000,$A37,전표_원본!$M$5:$M$100000,E$5))</f>
        <v/>
      </c>
      <c r="F37" s="29">
        <f>IF($A37="","",SUMIFS(전표_원본!$P$5:$P$100000,전표_원본!$O$5:$O$100000,$A37,전표_원본!$M$5:$M$100000,F$5))</f>
        <v/>
      </c>
      <c r="G37" s="29">
        <f>IF($A37="","",SUMIFS(전표_원본!$P$5:$P$100000,전표_원본!$O$5:$O$100000,$A37,전표_원본!$M$5:$M$100000,G$5))</f>
        <v/>
      </c>
      <c r="H37" s="29">
        <f>IF($A37="","",SUMIFS(전표_원본!$P$5:$P$100000,전표_원본!$O$5:$O$100000,$A37,전표_원본!$M$5:$M$100000,H$5))</f>
        <v/>
      </c>
      <c r="I37" s="29">
        <f>IF($A37="","",SUMIFS(전표_원본!$P$5:$P$100000,전표_원본!$O$5:$O$100000,$A37,전표_원본!$M$5:$M$100000,I$5))</f>
        <v/>
      </c>
      <c r="J37" s="29">
        <f>IF($A37="","",SUMIFS(전표_원본!$P$5:$P$100000,전표_원본!$O$5:$O$100000,$A37,전표_원본!$M$5:$M$100000,J$5))</f>
        <v/>
      </c>
      <c r="K37" s="29">
        <f>IF($A37="","",SUMIFS(전표_원본!$P$5:$P$100000,전표_원본!$O$5:$O$100000,$A37,전표_원본!$M$5:$M$100000,K$5))</f>
        <v/>
      </c>
      <c r="L37" s="29">
        <f>IF($A37="","",SUMIFS(전표_원본!$P$5:$P$100000,전표_원본!$O$5:$O$100000,$A37,전표_원본!$M$5:$M$100000,L$5))</f>
        <v/>
      </c>
      <c r="M37" s="29">
        <f>IF($A37="","",SUMIFS(전표_원본!$P$5:$P$100000,전표_원본!$O$5:$O$100000,$A37,전표_원본!$M$5:$M$100000,M$5))</f>
        <v/>
      </c>
      <c r="N37" s="29">
        <f>IF($A37="","",SUMIFS(전표_원본!$P$5:$P$100000,전표_원본!$O$5:$O$100000,$A37,전표_원본!$M$5:$M$100000,N$5))</f>
        <v/>
      </c>
      <c r="O37" s="29">
        <f>IF($A37="","",SUMIFS(전표_원본!$P$5:$P$100000,전표_원본!$O$5:$O$100000,$A37,전표_원본!$M$5:$M$100000,O$5))</f>
        <v/>
      </c>
      <c r="P37" s="29">
        <f>IF($A37="","",SUMIFS(전표_원본!$P$5:$P$100000,전표_원본!$O$5:$O$100000,$A37,전표_원본!$M$5:$M$100000,P$5))</f>
        <v/>
      </c>
      <c r="Q37" s="29">
        <f>IF($A37="","",SUMIFS(전표_원본!$P$5:$P$100000,전표_원본!$O$5:$O$100000,$A37,전표_원본!$M$5:$M$100000,Q$5))</f>
        <v/>
      </c>
      <c r="R37" s="29">
        <f>IF($A37="","",SUMIFS(전표_원본!$P$5:$P$100000,전표_원본!$O$5:$O$100000,$A37,전표_원본!$M$5:$M$100000,R$5))</f>
        <v/>
      </c>
      <c r="S37" s="29">
        <f>IF($A37="","",SUMIFS(전표_원본!$P$5:$P$100000,전표_원본!$O$5:$O$100000,$A37,전표_원본!$M$5:$M$100000,S$5))</f>
        <v/>
      </c>
      <c r="T37" s="29">
        <f>IF($A37="","",SUMIFS(전표_원본!$P$5:$P$100000,전표_원본!$O$5:$O$100000,$A37,전표_원본!$M$5:$M$100000,T$5))</f>
        <v/>
      </c>
      <c r="U37" s="29">
        <f>IF($A37="","",SUMIFS(전표_원본!$P$5:$P$100000,전표_원본!$O$5:$O$100000,$A37,전표_원본!$M$5:$M$100000,U$5))</f>
        <v/>
      </c>
      <c r="V37" s="29">
        <f>IF($A37="","",SUMIFS(전표_원본!$P$5:$P$100000,전표_원본!$O$5:$O$100000,$A37,전표_원본!$M$5:$M$100000,V$5))</f>
        <v/>
      </c>
      <c r="W37" s="29">
        <f>IF($A37="","",SUMIFS(전표_원본!$P$5:$P$100000,전표_원본!$O$5:$O$100000,$A37,전표_원본!$M$5:$M$100000,W$5))</f>
        <v/>
      </c>
      <c r="X37" s="29">
        <f>IF($A37="","",SUMIFS(전표_원본!$P$5:$P$100000,전표_원본!$O$5:$O$100000,$A37,전표_원본!$M$5:$M$100000,X$5))</f>
        <v/>
      </c>
      <c r="Y37" s="29">
        <f>IF($A37="","",SUMIFS(전표_원본!$P$5:$P$100000,전표_원본!$O$5:$O$100000,$A37,전표_원본!$M$5:$M$100000,Y$5))</f>
        <v/>
      </c>
      <c r="Z37" s="29">
        <f>IF($A37="","",SUMIFS(전표_원본!$P$5:$P$100000,전표_원본!$O$5:$O$100000,$A37,전표_원본!$M$5:$M$100000,Z$5))</f>
        <v/>
      </c>
    </row>
    <row r="38">
      <c r="A38" s="22">
        <f>IF(변동분석!$A38="","",변동분석!$E38)</f>
        <v/>
      </c>
      <c r="B38" s="22">
        <f>IF($A38="","",변동분석!$B38&amp;" "&amp;변동분석!$D38)</f>
        <v/>
      </c>
      <c r="C38" s="29">
        <f>IF($A38="","",SUMIFS(전표_원본!$P$5:$P$100000,전표_원본!$O$5:$O$100000,$A38,전표_원본!$M$5:$M$100000,C$5))</f>
        <v/>
      </c>
      <c r="D38" s="29">
        <f>IF($A38="","",SUMIFS(전표_원본!$P$5:$P$100000,전표_원본!$O$5:$O$100000,$A38,전표_원본!$M$5:$M$100000,D$5))</f>
        <v/>
      </c>
      <c r="E38" s="29">
        <f>IF($A38="","",SUMIFS(전표_원본!$P$5:$P$100000,전표_원본!$O$5:$O$100000,$A38,전표_원본!$M$5:$M$100000,E$5))</f>
        <v/>
      </c>
      <c r="F38" s="29">
        <f>IF($A38="","",SUMIFS(전표_원본!$P$5:$P$100000,전표_원본!$O$5:$O$100000,$A38,전표_원본!$M$5:$M$100000,F$5))</f>
        <v/>
      </c>
      <c r="G38" s="29">
        <f>IF($A38="","",SUMIFS(전표_원본!$P$5:$P$100000,전표_원본!$O$5:$O$100000,$A38,전표_원본!$M$5:$M$100000,G$5))</f>
        <v/>
      </c>
      <c r="H38" s="29">
        <f>IF($A38="","",SUMIFS(전표_원본!$P$5:$P$100000,전표_원본!$O$5:$O$100000,$A38,전표_원본!$M$5:$M$100000,H$5))</f>
        <v/>
      </c>
      <c r="I38" s="29">
        <f>IF($A38="","",SUMIFS(전표_원본!$P$5:$P$100000,전표_원본!$O$5:$O$100000,$A38,전표_원본!$M$5:$M$100000,I$5))</f>
        <v/>
      </c>
      <c r="J38" s="29">
        <f>IF($A38="","",SUMIFS(전표_원본!$P$5:$P$100000,전표_원본!$O$5:$O$100000,$A38,전표_원본!$M$5:$M$100000,J$5))</f>
        <v/>
      </c>
      <c r="K38" s="29">
        <f>IF($A38="","",SUMIFS(전표_원본!$P$5:$P$100000,전표_원본!$O$5:$O$100000,$A38,전표_원본!$M$5:$M$100000,K$5))</f>
        <v/>
      </c>
      <c r="L38" s="29">
        <f>IF($A38="","",SUMIFS(전표_원본!$P$5:$P$100000,전표_원본!$O$5:$O$100000,$A38,전표_원본!$M$5:$M$100000,L$5))</f>
        <v/>
      </c>
      <c r="M38" s="29">
        <f>IF($A38="","",SUMIFS(전표_원본!$P$5:$P$100000,전표_원본!$O$5:$O$100000,$A38,전표_원본!$M$5:$M$100000,M$5))</f>
        <v/>
      </c>
      <c r="N38" s="29">
        <f>IF($A38="","",SUMIFS(전표_원본!$P$5:$P$100000,전표_원본!$O$5:$O$100000,$A38,전표_원본!$M$5:$M$100000,N$5))</f>
        <v/>
      </c>
      <c r="O38" s="29">
        <f>IF($A38="","",SUMIFS(전표_원본!$P$5:$P$100000,전표_원본!$O$5:$O$100000,$A38,전표_원본!$M$5:$M$100000,O$5))</f>
        <v/>
      </c>
      <c r="P38" s="29">
        <f>IF($A38="","",SUMIFS(전표_원본!$P$5:$P$100000,전표_원본!$O$5:$O$100000,$A38,전표_원본!$M$5:$M$100000,P$5))</f>
        <v/>
      </c>
      <c r="Q38" s="29">
        <f>IF($A38="","",SUMIFS(전표_원본!$P$5:$P$100000,전표_원본!$O$5:$O$100000,$A38,전표_원본!$M$5:$M$100000,Q$5))</f>
        <v/>
      </c>
      <c r="R38" s="29">
        <f>IF($A38="","",SUMIFS(전표_원본!$P$5:$P$100000,전표_원본!$O$5:$O$100000,$A38,전표_원본!$M$5:$M$100000,R$5))</f>
        <v/>
      </c>
      <c r="S38" s="29">
        <f>IF($A38="","",SUMIFS(전표_원본!$P$5:$P$100000,전표_원본!$O$5:$O$100000,$A38,전표_원본!$M$5:$M$100000,S$5))</f>
        <v/>
      </c>
      <c r="T38" s="29">
        <f>IF($A38="","",SUMIFS(전표_원본!$P$5:$P$100000,전표_원본!$O$5:$O$100000,$A38,전표_원본!$M$5:$M$100000,T$5))</f>
        <v/>
      </c>
      <c r="U38" s="29">
        <f>IF($A38="","",SUMIFS(전표_원본!$P$5:$P$100000,전표_원본!$O$5:$O$100000,$A38,전표_원본!$M$5:$M$100000,U$5))</f>
        <v/>
      </c>
      <c r="V38" s="29">
        <f>IF($A38="","",SUMIFS(전표_원본!$P$5:$P$100000,전표_원본!$O$5:$O$100000,$A38,전표_원본!$M$5:$M$100000,V$5))</f>
        <v/>
      </c>
      <c r="W38" s="29">
        <f>IF($A38="","",SUMIFS(전표_원본!$P$5:$P$100000,전표_원본!$O$5:$O$100000,$A38,전표_원본!$M$5:$M$100000,W$5))</f>
        <v/>
      </c>
      <c r="X38" s="29">
        <f>IF($A38="","",SUMIFS(전표_원본!$P$5:$P$100000,전표_원본!$O$5:$O$100000,$A38,전표_원본!$M$5:$M$100000,X$5))</f>
        <v/>
      </c>
      <c r="Y38" s="29">
        <f>IF($A38="","",SUMIFS(전표_원본!$P$5:$P$100000,전표_원본!$O$5:$O$100000,$A38,전표_원본!$M$5:$M$100000,Y$5))</f>
        <v/>
      </c>
      <c r="Z38" s="29">
        <f>IF($A38="","",SUMIFS(전표_원본!$P$5:$P$100000,전표_원본!$O$5:$O$100000,$A38,전표_원본!$M$5:$M$100000,Z$5))</f>
        <v/>
      </c>
    </row>
    <row r="39">
      <c r="A39" s="22">
        <f>IF(변동분석!$A39="","",변동분석!$E39)</f>
        <v/>
      </c>
      <c r="B39" s="22">
        <f>IF($A39="","",변동분석!$B39&amp;" "&amp;변동분석!$D39)</f>
        <v/>
      </c>
      <c r="C39" s="29">
        <f>IF($A39="","",SUMIFS(전표_원본!$P$5:$P$100000,전표_원본!$O$5:$O$100000,$A39,전표_원본!$M$5:$M$100000,C$5))</f>
        <v/>
      </c>
      <c r="D39" s="29">
        <f>IF($A39="","",SUMIFS(전표_원본!$P$5:$P$100000,전표_원본!$O$5:$O$100000,$A39,전표_원본!$M$5:$M$100000,D$5))</f>
        <v/>
      </c>
      <c r="E39" s="29">
        <f>IF($A39="","",SUMIFS(전표_원본!$P$5:$P$100000,전표_원본!$O$5:$O$100000,$A39,전표_원본!$M$5:$M$100000,E$5))</f>
        <v/>
      </c>
      <c r="F39" s="29">
        <f>IF($A39="","",SUMIFS(전표_원본!$P$5:$P$100000,전표_원본!$O$5:$O$100000,$A39,전표_원본!$M$5:$M$100000,F$5))</f>
        <v/>
      </c>
      <c r="G39" s="29">
        <f>IF($A39="","",SUMIFS(전표_원본!$P$5:$P$100000,전표_원본!$O$5:$O$100000,$A39,전표_원본!$M$5:$M$100000,G$5))</f>
        <v/>
      </c>
      <c r="H39" s="29">
        <f>IF($A39="","",SUMIFS(전표_원본!$P$5:$P$100000,전표_원본!$O$5:$O$100000,$A39,전표_원본!$M$5:$M$100000,H$5))</f>
        <v/>
      </c>
      <c r="I39" s="29">
        <f>IF($A39="","",SUMIFS(전표_원본!$P$5:$P$100000,전표_원본!$O$5:$O$100000,$A39,전표_원본!$M$5:$M$100000,I$5))</f>
        <v/>
      </c>
      <c r="J39" s="29">
        <f>IF($A39="","",SUMIFS(전표_원본!$P$5:$P$100000,전표_원본!$O$5:$O$100000,$A39,전표_원본!$M$5:$M$100000,J$5))</f>
        <v/>
      </c>
      <c r="K39" s="29">
        <f>IF($A39="","",SUMIFS(전표_원본!$P$5:$P$100000,전표_원본!$O$5:$O$100000,$A39,전표_원본!$M$5:$M$100000,K$5))</f>
        <v/>
      </c>
      <c r="L39" s="29">
        <f>IF($A39="","",SUMIFS(전표_원본!$P$5:$P$100000,전표_원본!$O$5:$O$100000,$A39,전표_원본!$M$5:$M$100000,L$5))</f>
        <v/>
      </c>
      <c r="M39" s="29">
        <f>IF($A39="","",SUMIFS(전표_원본!$P$5:$P$100000,전표_원본!$O$5:$O$100000,$A39,전표_원본!$M$5:$M$100000,M$5))</f>
        <v/>
      </c>
      <c r="N39" s="29">
        <f>IF($A39="","",SUMIFS(전표_원본!$P$5:$P$100000,전표_원본!$O$5:$O$100000,$A39,전표_원본!$M$5:$M$100000,N$5))</f>
        <v/>
      </c>
      <c r="O39" s="29">
        <f>IF($A39="","",SUMIFS(전표_원본!$P$5:$P$100000,전표_원본!$O$5:$O$100000,$A39,전표_원본!$M$5:$M$100000,O$5))</f>
        <v/>
      </c>
      <c r="P39" s="29">
        <f>IF($A39="","",SUMIFS(전표_원본!$P$5:$P$100000,전표_원본!$O$5:$O$100000,$A39,전표_원본!$M$5:$M$100000,P$5))</f>
        <v/>
      </c>
      <c r="Q39" s="29">
        <f>IF($A39="","",SUMIFS(전표_원본!$P$5:$P$100000,전표_원본!$O$5:$O$100000,$A39,전표_원본!$M$5:$M$100000,Q$5))</f>
        <v/>
      </c>
      <c r="R39" s="29">
        <f>IF($A39="","",SUMIFS(전표_원본!$P$5:$P$100000,전표_원본!$O$5:$O$100000,$A39,전표_원본!$M$5:$M$100000,R$5))</f>
        <v/>
      </c>
      <c r="S39" s="29">
        <f>IF($A39="","",SUMIFS(전표_원본!$P$5:$P$100000,전표_원본!$O$5:$O$100000,$A39,전표_원본!$M$5:$M$100000,S$5))</f>
        <v/>
      </c>
      <c r="T39" s="29">
        <f>IF($A39="","",SUMIFS(전표_원본!$P$5:$P$100000,전표_원본!$O$5:$O$100000,$A39,전표_원본!$M$5:$M$100000,T$5))</f>
        <v/>
      </c>
      <c r="U39" s="29">
        <f>IF($A39="","",SUMIFS(전표_원본!$P$5:$P$100000,전표_원본!$O$5:$O$100000,$A39,전표_원본!$M$5:$M$100000,U$5))</f>
        <v/>
      </c>
      <c r="V39" s="29">
        <f>IF($A39="","",SUMIFS(전표_원본!$P$5:$P$100000,전표_원본!$O$5:$O$100000,$A39,전표_원본!$M$5:$M$100000,V$5))</f>
        <v/>
      </c>
      <c r="W39" s="29">
        <f>IF($A39="","",SUMIFS(전표_원본!$P$5:$P$100000,전표_원본!$O$5:$O$100000,$A39,전표_원본!$M$5:$M$100000,W$5))</f>
        <v/>
      </c>
      <c r="X39" s="29">
        <f>IF($A39="","",SUMIFS(전표_원본!$P$5:$P$100000,전표_원본!$O$5:$O$100000,$A39,전표_원본!$M$5:$M$100000,X$5))</f>
        <v/>
      </c>
      <c r="Y39" s="29">
        <f>IF($A39="","",SUMIFS(전표_원본!$P$5:$P$100000,전표_원본!$O$5:$O$100000,$A39,전표_원본!$M$5:$M$100000,Y$5))</f>
        <v/>
      </c>
      <c r="Z39" s="29">
        <f>IF($A39="","",SUMIFS(전표_원본!$P$5:$P$100000,전표_원본!$O$5:$O$100000,$A39,전표_원본!$M$5:$M$100000,Z$5))</f>
        <v/>
      </c>
    </row>
    <row r="40">
      <c r="A40" s="22">
        <f>IF(변동분석!$A40="","",변동분석!$E40)</f>
        <v/>
      </c>
      <c r="B40" s="22">
        <f>IF($A40="","",변동분석!$B40&amp;" "&amp;변동분석!$D40)</f>
        <v/>
      </c>
      <c r="C40" s="29">
        <f>IF($A40="","",SUMIFS(전표_원본!$P$5:$P$100000,전표_원본!$O$5:$O$100000,$A40,전표_원본!$M$5:$M$100000,C$5))</f>
        <v/>
      </c>
      <c r="D40" s="29">
        <f>IF($A40="","",SUMIFS(전표_원본!$P$5:$P$100000,전표_원본!$O$5:$O$100000,$A40,전표_원본!$M$5:$M$100000,D$5))</f>
        <v/>
      </c>
      <c r="E40" s="29">
        <f>IF($A40="","",SUMIFS(전표_원본!$P$5:$P$100000,전표_원본!$O$5:$O$100000,$A40,전표_원본!$M$5:$M$100000,E$5))</f>
        <v/>
      </c>
      <c r="F40" s="29">
        <f>IF($A40="","",SUMIFS(전표_원본!$P$5:$P$100000,전표_원본!$O$5:$O$100000,$A40,전표_원본!$M$5:$M$100000,F$5))</f>
        <v/>
      </c>
      <c r="G40" s="29">
        <f>IF($A40="","",SUMIFS(전표_원본!$P$5:$P$100000,전표_원본!$O$5:$O$100000,$A40,전표_원본!$M$5:$M$100000,G$5))</f>
        <v/>
      </c>
      <c r="H40" s="29">
        <f>IF($A40="","",SUMIFS(전표_원본!$P$5:$P$100000,전표_원본!$O$5:$O$100000,$A40,전표_원본!$M$5:$M$100000,H$5))</f>
        <v/>
      </c>
      <c r="I40" s="29">
        <f>IF($A40="","",SUMIFS(전표_원본!$P$5:$P$100000,전표_원본!$O$5:$O$100000,$A40,전표_원본!$M$5:$M$100000,I$5))</f>
        <v/>
      </c>
      <c r="J40" s="29">
        <f>IF($A40="","",SUMIFS(전표_원본!$P$5:$P$100000,전표_원본!$O$5:$O$100000,$A40,전표_원본!$M$5:$M$100000,J$5))</f>
        <v/>
      </c>
      <c r="K40" s="29">
        <f>IF($A40="","",SUMIFS(전표_원본!$P$5:$P$100000,전표_원본!$O$5:$O$100000,$A40,전표_원본!$M$5:$M$100000,K$5))</f>
        <v/>
      </c>
      <c r="L40" s="29">
        <f>IF($A40="","",SUMIFS(전표_원본!$P$5:$P$100000,전표_원본!$O$5:$O$100000,$A40,전표_원본!$M$5:$M$100000,L$5))</f>
        <v/>
      </c>
      <c r="M40" s="29">
        <f>IF($A40="","",SUMIFS(전표_원본!$P$5:$P$100000,전표_원본!$O$5:$O$100000,$A40,전표_원본!$M$5:$M$100000,M$5))</f>
        <v/>
      </c>
      <c r="N40" s="29">
        <f>IF($A40="","",SUMIFS(전표_원본!$P$5:$P$100000,전표_원본!$O$5:$O$100000,$A40,전표_원본!$M$5:$M$100000,N$5))</f>
        <v/>
      </c>
      <c r="O40" s="29">
        <f>IF($A40="","",SUMIFS(전표_원본!$P$5:$P$100000,전표_원본!$O$5:$O$100000,$A40,전표_원본!$M$5:$M$100000,O$5))</f>
        <v/>
      </c>
      <c r="P40" s="29">
        <f>IF($A40="","",SUMIFS(전표_원본!$P$5:$P$100000,전표_원본!$O$5:$O$100000,$A40,전표_원본!$M$5:$M$100000,P$5))</f>
        <v/>
      </c>
      <c r="Q40" s="29">
        <f>IF($A40="","",SUMIFS(전표_원본!$P$5:$P$100000,전표_원본!$O$5:$O$100000,$A40,전표_원본!$M$5:$M$100000,Q$5))</f>
        <v/>
      </c>
      <c r="R40" s="29">
        <f>IF($A40="","",SUMIFS(전표_원본!$P$5:$P$100000,전표_원본!$O$5:$O$100000,$A40,전표_원본!$M$5:$M$100000,R$5))</f>
        <v/>
      </c>
      <c r="S40" s="29">
        <f>IF($A40="","",SUMIFS(전표_원본!$P$5:$P$100000,전표_원본!$O$5:$O$100000,$A40,전표_원본!$M$5:$M$100000,S$5))</f>
        <v/>
      </c>
      <c r="T40" s="29">
        <f>IF($A40="","",SUMIFS(전표_원본!$P$5:$P$100000,전표_원본!$O$5:$O$100000,$A40,전표_원본!$M$5:$M$100000,T$5))</f>
        <v/>
      </c>
      <c r="U40" s="29">
        <f>IF($A40="","",SUMIFS(전표_원본!$P$5:$P$100000,전표_원본!$O$5:$O$100000,$A40,전표_원본!$M$5:$M$100000,U$5))</f>
        <v/>
      </c>
      <c r="V40" s="29">
        <f>IF($A40="","",SUMIFS(전표_원본!$P$5:$P$100000,전표_원본!$O$5:$O$100000,$A40,전표_원본!$M$5:$M$100000,V$5))</f>
        <v/>
      </c>
      <c r="W40" s="29">
        <f>IF($A40="","",SUMIFS(전표_원본!$P$5:$P$100000,전표_원본!$O$5:$O$100000,$A40,전표_원본!$M$5:$M$100000,W$5))</f>
        <v/>
      </c>
      <c r="X40" s="29">
        <f>IF($A40="","",SUMIFS(전표_원본!$P$5:$P$100000,전표_원본!$O$5:$O$100000,$A40,전표_원본!$M$5:$M$100000,X$5))</f>
        <v/>
      </c>
      <c r="Y40" s="29">
        <f>IF($A40="","",SUMIFS(전표_원본!$P$5:$P$100000,전표_원본!$O$5:$O$100000,$A40,전표_원본!$M$5:$M$100000,Y$5))</f>
        <v/>
      </c>
      <c r="Z40" s="29">
        <f>IF($A40="","",SUMIFS(전표_원본!$P$5:$P$100000,전표_원본!$O$5:$O$100000,$A40,전표_원본!$M$5:$M$100000,Z$5))</f>
        <v/>
      </c>
    </row>
    <row r="41">
      <c r="A41" s="22">
        <f>IF(변동분석!$A41="","",변동분석!$E41)</f>
        <v/>
      </c>
      <c r="B41" s="22">
        <f>IF($A41="","",변동분석!$B41&amp;" "&amp;변동분석!$D41)</f>
        <v/>
      </c>
      <c r="C41" s="29">
        <f>IF($A41="","",SUMIFS(전표_원본!$P$5:$P$100000,전표_원본!$O$5:$O$100000,$A41,전표_원본!$M$5:$M$100000,C$5))</f>
        <v/>
      </c>
      <c r="D41" s="29">
        <f>IF($A41="","",SUMIFS(전표_원본!$P$5:$P$100000,전표_원본!$O$5:$O$100000,$A41,전표_원본!$M$5:$M$100000,D$5))</f>
        <v/>
      </c>
      <c r="E41" s="29">
        <f>IF($A41="","",SUMIFS(전표_원본!$P$5:$P$100000,전표_원본!$O$5:$O$100000,$A41,전표_원본!$M$5:$M$100000,E$5))</f>
        <v/>
      </c>
      <c r="F41" s="29">
        <f>IF($A41="","",SUMIFS(전표_원본!$P$5:$P$100000,전표_원본!$O$5:$O$100000,$A41,전표_원본!$M$5:$M$100000,F$5))</f>
        <v/>
      </c>
      <c r="G41" s="29">
        <f>IF($A41="","",SUMIFS(전표_원본!$P$5:$P$100000,전표_원본!$O$5:$O$100000,$A41,전표_원본!$M$5:$M$100000,G$5))</f>
        <v/>
      </c>
      <c r="H41" s="29">
        <f>IF($A41="","",SUMIFS(전표_원본!$P$5:$P$100000,전표_원본!$O$5:$O$100000,$A41,전표_원본!$M$5:$M$100000,H$5))</f>
        <v/>
      </c>
      <c r="I41" s="29">
        <f>IF($A41="","",SUMIFS(전표_원본!$P$5:$P$100000,전표_원본!$O$5:$O$100000,$A41,전표_원본!$M$5:$M$100000,I$5))</f>
        <v/>
      </c>
      <c r="J41" s="29">
        <f>IF($A41="","",SUMIFS(전표_원본!$P$5:$P$100000,전표_원본!$O$5:$O$100000,$A41,전표_원본!$M$5:$M$100000,J$5))</f>
        <v/>
      </c>
      <c r="K41" s="29">
        <f>IF($A41="","",SUMIFS(전표_원본!$P$5:$P$100000,전표_원본!$O$5:$O$100000,$A41,전표_원본!$M$5:$M$100000,K$5))</f>
        <v/>
      </c>
      <c r="L41" s="29">
        <f>IF($A41="","",SUMIFS(전표_원본!$P$5:$P$100000,전표_원본!$O$5:$O$100000,$A41,전표_원본!$M$5:$M$100000,L$5))</f>
        <v/>
      </c>
      <c r="M41" s="29">
        <f>IF($A41="","",SUMIFS(전표_원본!$P$5:$P$100000,전표_원본!$O$5:$O$100000,$A41,전표_원본!$M$5:$M$100000,M$5))</f>
        <v/>
      </c>
      <c r="N41" s="29">
        <f>IF($A41="","",SUMIFS(전표_원본!$P$5:$P$100000,전표_원본!$O$5:$O$100000,$A41,전표_원본!$M$5:$M$100000,N$5))</f>
        <v/>
      </c>
      <c r="O41" s="29">
        <f>IF($A41="","",SUMIFS(전표_원본!$P$5:$P$100000,전표_원본!$O$5:$O$100000,$A41,전표_원본!$M$5:$M$100000,O$5))</f>
        <v/>
      </c>
      <c r="P41" s="29">
        <f>IF($A41="","",SUMIFS(전표_원본!$P$5:$P$100000,전표_원본!$O$5:$O$100000,$A41,전표_원본!$M$5:$M$100000,P$5))</f>
        <v/>
      </c>
      <c r="Q41" s="29">
        <f>IF($A41="","",SUMIFS(전표_원본!$P$5:$P$100000,전표_원본!$O$5:$O$100000,$A41,전표_원본!$M$5:$M$100000,Q$5))</f>
        <v/>
      </c>
      <c r="R41" s="29">
        <f>IF($A41="","",SUMIFS(전표_원본!$P$5:$P$100000,전표_원본!$O$5:$O$100000,$A41,전표_원본!$M$5:$M$100000,R$5))</f>
        <v/>
      </c>
      <c r="S41" s="29">
        <f>IF($A41="","",SUMIFS(전표_원본!$P$5:$P$100000,전표_원본!$O$5:$O$100000,$A41,전표_원본!$M$5:$M$100000,S$5))</f>
        <v/>
      </c>
      <c r="T41" s="29">
        <f>IF($A41="","",SUMIFS(전표_원본!$P$5:$P$100000,전표_원본!$O$5:$O$100000,$A41,전표_원본!$M$5:$M$100000,T$5))</f>
        <v/>
      </c>
      <c r="U41" s="29">
        <f>IF($A41="","",SUMIFS(전표_원본!$P$5:$P$100000,전표_원본!$O$5:$O$100000,$A41,전표_원본!$M$5:$M$100000,U$5))</f>
        <v/>
      </c>
      <c r="V41" s="29">
        <f>IF($A41="","",SUMIFS(전표_원본!$P$5:$P$100000,전표_원본!$O$5:$O$100000,$A41,전표_원본!$M$5:$M$100000,V$5))</f>
        <v/>
      </c>
      <c r="W41" s="29">
        <f>IF($A41="","",SUMIFS(전표_원본!$P$5:$P$100000,전표_원본!$O$5:$O$100000,$A41,전표_원본!$M$5:$M$100000,W$5))</f>
        <v/>
      </c>
      <c r="X41" s="29">
        <f>IF($A41="","",SUMIFS(전표_원본!$P$5:$P$100000,전표_원본!$O$5:$O$100000,$A41,전표_원본!$M$5:$M$100000,X$5))</f>
        <v/>
      </c>
      <c r="Y41" s="29">
        <f>IF($A41="","",SUMIFS(전표_원본!$P$5:$P$100000,전표_원본!$O$5:$O$100000,$A41,전표_원본!$M$5:$M$100000,Y$5))</f>
        <v/>
      </c>
      <c r="Z41" s="29">
        <f>IF($A41="","",SUMIFS(전표_원본!$P$5:$P$100000,전표_원본!$O$5:$O$100000,$A41,전표_원본!$M$5:$M$100000,Z$5))</f>
        <v/>
      </c>
    </row>
    <row r="42">
      <c r="A42" s="22">
        <f>IF(변동분석!$A42="","",변동분석!$E42)</f>
        <v/>
      </c>
      <c r="B42" s="22">
        <f>IF($A42="","",변동분석!$B42&amp;" "&amp;변동분석!$D42)</f>
        <v/>
      </c>
      <c r="C42" s="29">
        <f>IF($A42="","",SUMIFS(전표_원본!$P$5:$P$100000,전표_원본!$O$5:$O$100000,$A42,전표_원본!$M$5:$M$100000,C$5))</f>
        <v/>
      </c>
      <c r="D42" s="29">
        <f>IF($A42="","",SUMIFS(전표_원본!$P$5:$P$100000,전표_원본!$O$5:$O$100000,$A42,전표_원본!$M$5:$M$100000,D$5))</f>
        <v/>
      </c>
      <c r="E42" s="29">
        <f>IF($A42="","",SUMIFS(전표_원본!$P$5:$P$100000,전표_원본!$O$5:$O$100000,$A42,전표_원본!$M$5:$M$100000,E$5))</f>
        <v/>
      </c>
      <c r="F42" s="29">
        <f>IF($A42="","",SUMIFS(전표_원본!$P$5:$P$100000,전표_원본!$O$5:$O$100000,$A42,전표_원본!$M$5:$M$100000,F$5))</f>
        <v/>
      </c>
      <c r="G42" s="29">
        <f>IF($A42="","",SUMIFS(전표_원본!$P$5:$P$100000,전표_원본!$O$5:$O$100000,$A42,전표_원본!$M$5:$M$100000,G$5))</f>
        <v/>
      </c>
      <c r="H42" s="29">
        <f>IF($A42="","",SUMIFS(전표_원본!$P$5:$P$100000,전표_원본!$O$5:$O$100000,$A42,전표_원본!$M$5:$M$100000,H$5))</f>
        <v/>
      </c>
      <c r="I42" s="29">
        <f>IF($A42="","",SUMIFS(전표_원본!$P$5:$P$100000,전표_원본!$O$5:$O$100000,$A42,전표_원본!$M$5:$M$100000,I$5))</f>
        <v/>
      </c>
      <c r="J42" s="29">
        <f>IF($A42="","",SUMIFS(전표_원본!$P$5:$P$100000,전표_원본!$O$5:$O$100000,$A42,전표_원본!$M$5:$M$100000,J$5))</f>
        <v/>
      </c>
      <c r="K42" s="29">
        <f>IF($A42="","",SUMIFS(전표_원본!$P$5:$P$100000,전표_원본!$O$5:$O$100000,$A42,전표_원본!$M$5:$M$100000,K$5))</f>
        <v/>
      </c>
      <c r="L42" s="29">
        <f>IF($A42="","",SUMIFS(전표_원본!$P$5:$P$100000,전표_원본!$O$5:$O$100000,$A42,전표_원본!$M$5:$M$100000,L$5))</f>
        <v/>
      </c>
      <c r="M42" s="29">
        <f>IF($A42="","",SUMIFS(전표_원본!$P$5:$P$100000,전표_원본!$O$5:$O$100000,$A42,전표_원본!$M$5:$M$100000,M$5))</f>
        <v/>
      </c>
      <c r="N42" s="29">
        <f>IF($A42="","",SUMIFS(전표_원본!$P$5:$P$100000,전표_원본!$O$5:$O$100000,$A42,전표_원본!$M$5:$M$100000,N$5))</f>
        <v/>
      </c>
      <c r="O42" s="29">
        <f>IF($A42="","",SUMIFS(전표_원본!$P$5:$P$100000,전표_원본!$O$5:$O$100000,$A42,전표_원본!$M$5:$M$100000,O$5))</f>
        <v/>
      </c>
      <c r="P42" s="29">
        <f>IF($A42="","",SUMIFS(전표_원본!$P$5:$P$100000,전표_원본!$O$5:$O$100000,$A42,전표_원본!$M$5:$M$100000,P$5))</f>
        <v/>
      </c>
      <c r="Q42" s="29">
        <f>IF($A42="","",SUMIFS(전표_원본!$P$5:$P$100000,전표_원본!$O$5:$O$100000,$A42,전표_원본!$M$5:$M$100000,Q$5))</f>
        <v/>
      </c>
      <c r="R42" s="29">
        <f>IF($A42="","",SUMIFS(전표_원본!$P$5:$P$100000,전표_원본!$O$5:$O$100000,$A42,전표_원본!$M$5:$M$100000,R$5))</f>
        <v/>
      </c>
      <c r="S42" s="29">
        <f>IF($A42="","",SUMIFS(전표_원본!$P$5:$P$100000,전표_원본!$O$5:$O$100000,$A42,전표_원본!$M$5:$M$100000,S$5))</f>
        <v/>
      </c>
      <c r="T42" s="29">
        <f>IF($A42="","",SUMIFS(전표_원본!$P$5:$P$100000,전표_원본!$O$5:$O$100000,$A42,전표_원본!$M$5:$M$100000,T$5))</f>
        <v/>
      </c>
      <c r="U42" s="29">
        <f>IF($A42="","",SUMIFS(전표_원본!$P$5:$P$100000,전표_원본!$O$5:$O$100000,$A42,전표_원본!$M$5:$M$100000,U$5))</f>
        <v/>
      </c>
      <c r="V42" s="29">
        <f>IF($A42="","",SUMIFS(전표_원본!$P$5:$P$100000,전표_원본!$O$5:$O$100000,$A42,전표_원본!$M$5:$M$100000,V$5))</f>
        <v/>
      </c>
      <c r="W42" s="29">
        <f>IF($A42="","",SUMIFS(전표_원본!$P$5:$P$100000,전표_원본!$O$5:$O$100000,$A42,전표_원본!$M$5:$M$100000,W$5))</f>
        <v/>
      </c>
      <c r="X42" s="29">
        <f>IF($A42="","",SUMIFS(전표_원본!$P$5:$P$100000,전표_원본!$O$5:$O$100000,$A42,전표_원본!$M$5:$M$100000,X$5))</f>
        <v/>
      </c>
      <c r="Y42" s="29">
        <f>IF($A42="","",SUMIFS(전표_원본!$P$5:$P$100000,전표_원본!$O$5:$O$100000,$A42,전표_원본!$M$5:$M$100000,Y$5))</f>
        <v/>
      </c>
      <c r="Z42" s="29">
        <f>IF($A42="","",SUMIFS(전표_원본!$P$5:$P$100000,전표_원본!$O$5:$O$100000,$A42,전표_원본!$M$5:$M$100000,Z$5))</f>
        <v/>
      </c>
    </row>
    <row r="43">
      <c r="A43" s="22">
        <f>IF(변동분석!$A43="","",변동분석!$E43)</f>
        <v/>
      </c>
      <c r="B43" s="22">
        <f>IF($A43="","",변동분석!$B43&amp;" "&amp;변동분석!$D43)</f>
        <v/>
      </c>
      <c r="C43" s="29">
        <f>IF($A43="","",SUMIFS(전표_원본!$P$5:$P$100000,전표_원본!$O$5:$O$100000,$A43,전표_원본!$M$5:$M$100000,C$5))</f>
        <v/>
      </c>
      <c r="D43" s="29">
        <f>IF($A43="","",SUMIFS(전표_원본!$P$5:$P$100000,전표_원본!$O$5:$O$100000,$A43,전표_원본!$M$5:$M$100000,D$5))</f>
        <v/>
      </c>
      <c r="E43" s="29">
        <f>IF($A43="","",SUMIFS(전표_원본!$P$5:$P$100000,전표_원본!$O$5:$O$100000,$A43,전표_원본!$M$5:$M$100000,E$5))</f>
        <v/>
      </c>
      <c r="F43" s="29">
        <f>IF($A43="","",SUMIFS(전표_원본!$P$5:$P$100000,전표_원본!$O$5:$O$100000,$A43,전표_원본!$M$5:$M$100000,F$5))</f>
        <v/>
      </c>
      <c r="G43" s="29">
        <f>IF($A43="","",SUMIFS(전표_원본!$P$5:$P$100000,전표_원본!$O$5:$O$100000,$A43,전표_원본!$M$5:$M$100000,G$5))</f>
        <v/>
      </c>
      <c r="H43" s="29">
        <f>IF($A43="","",SUMIFS(전표_원본!$P$5:$P$100000,전표_원본!$O$5:$O$100000,$A43,전표_원본!$M$5:$M$100000,H$5))</f>
        <v/>
      </c>
      <c r="I43" s="29">
        <f>IF($A43="","",SUMIFS(전표_원본!$P$5:$P$100000,전표_원본!$O$5:$O$100000,$A43,전표_원본!$M$5:$M$100000,I$5))</f>
        <v/>
      </c>
      <c r="J43" s="29">
        <f>IF($A43="","",SUMIFS(전표_원본!$P$5:$P$100000,전표_원본!$O$5:$O$100000,$A43,전표_원본!$M$5:$M$100000,J$5))</f>
        <v/>
      </c>
      <c r="K43" s="29">
        <f>IF($A43="","",SUMIFS(전표_원본!$P$5:$P$100000,전표_원본!$O$5:$O$100000,$A43,전표_원본!$M$5:$M$100000,K$5))</f>
        <v/>
      </c>
      <c r="L43" s="29">
        <f>IF($A43="","",SUMIFS(전표_원본!$P$5:$P$100000,전표_원본!$O$5:$O$100000,$A43,전표_원본!$M$5:$M$100000,L$5))</f>
        <v/>
      </c>
      <c r="M43" s="29">
        <f>IF($A43="","",SUMIFS(전표_원본!$P$5:$P$100000,전표_원본!$O$5:$O$100000,$A43,전표_원본!$M$5:$M$100000,M$5))</f>
        <v/>
      </c>
      <c r="N43" s="29">
        <f>IF($A43="","",SUMIFS(전표_원본!$P$5:$P$100000,전표_원본!$O$5:$O$100000,$A43,전표_원본!$M$5:$M$100000,N$5))</f>
        <v/>
      </c>
      <c r="O43" s="29">
        <f>IF($A43="","",SUMIFS(전표_원본!$P$5:$P$100000,전표_원본!$O$5:$O$100000,$A43,전표_원본!$M$5:$M$100000,O$5))</f>
        <v/>
      </c>
      <c r="P43" s="29">
        <f>IF($A43="","",SUMIFS(전표_원본!$P$5:$P$100000,전표_원본!$O$5:$O$100000,$A43,전표_원본!$M$5:$M$100000,P$5))</f>
        <v/>
      </c>
      <c r="Q43" s="29">
        <f>IF($A43="","",SUMIFS(전표_원본!$P$5:$P$100000,전표_원본!$O$5:$O$100000,$A43,전표_원본!$M$5:$M$100000,Q$5))</f>
        <v/>
      </c>
      <c r="R43" s="29">
        <f>IF($A43="","",SUMIFS(전표_원본!$P$5:$P$100000,전표_원본!$O$5:$O$100000,$A43,전표_원본!$M$5:$M$100000,R$5))</f>
        <v/>
      </c>
      <c r="S43" s="29">
        <f>IF($A43="","",SUMIFS(전표_원본!$P$5:$P$100000,전표_원본!$O$5:$O$100000,$A43,전표_원본!$M$5:$M$100000,S$5))</f>
        <v/>
      </c>
      <c r="T43" s="29">
        <f>IF($A43="","",SUMIFS(전표_원본!$P$5:$P$100000,전표_원본!$O$5:$O$100000,$A43,전표_원본!$M$5:$M$100000,T$5))</f>
        <v/>
      </c>
      <c r="U43" s="29">
        <f>IF($A43="","",SUMIFS(전표_원본!$P$5:$P$100000,전표_원본!$O$5:$O$100000,$A43,전표_원본!$M$5:$M$100000,U$5))</f>
        <v/>
      </c>
      <c r="V43" s="29">
        <f>IF($A43="","",SUMIFS(전표_원본!$P$5:$P$100000,전표_원본!$O$5:$O$100000,$A43,전표_원본!$M$5:$M$100000,V$5))</f>
        <v/>
      </c>
      <c r="W43" s="29">
        <f>IF($A43="","",SUMIFS(전표_원본!$P$5:$P$100000,전표_원본!$O$5:$O$100000,$A43,전표_원본!$M$5:$M$100000,W$5))</f>
        <v/>
      </c>
      <c r="X43" s="29">
        <f>IF($A43="","",SUMIFS(전표_원본!$P$5:$P$100000,전표_원본!$O$5:$O$100000,$A43,전표_원본!$M$5:$M$100000,X$5))</f>
        <v/>
      </c>
      <c r="Y43" s="29">
        <f>IF($A43="","",SUMIFS(전표_원본!$P$5:$P$100000,전표_원본!$O$5:$O$100000,$A43,전표_원본!$M$5:$M$100000,Y$5))</f>
        <v/>
      </c>
      <c r="Z43" s="29">
        <f>IF($A43="","",SUMIFS(전표_원본!$P$5:$P$100000,전표_원본!$O$5:$O$100000,$A43,전표_원본!$M$5:$M$100000,Z$5))</f>
        <v/>
      </c>
    </row>
    <row r="44">
      <c r="A44" s="22">
        <f>IF(변동분석!$A44="","",변동분석!$E44)</f>
        <v/>
      </c>
      <c r="B44" s="22">
        <f>IF($A44="","",변동분석!$B44&amp;" "&amp;변동분석!$D44)</f>
        <v/>
      </c>
      <c r="C44" s="29">
        <f>IF($A44="","",SUMIFS(전표_원본!$P$5:$P$100000,전표_원본!$O$5:$O$100000,$A44,전표_원본!$M$5:$M$100000,C$5))</f>
        <v/>
      </c>
      <c r="D44" s="29">
        <f>IF($A44="","",SUMIFS(전표_원본!$P$5:$P$100000,전표_원본!$O$5:$O$100000,$A44,전표_원본!$M$5:$M$100000,D$5))</f>
        <v/>
      </c>
      <c r="E44" s="29">
        <f>IF($A44="","",SUMIFS(전표_원본!$P$5:$P$100000,전표_원본!$O$5:$O$100000,$A44,전표_원본!$M$5:$M$100000,E$5))</f>
        <v/>
      </c>
      <c r="F44" s="29">
        <f>IF($A44="","",SUMIFS(전표_원본!$P$5:$P$100000,전표_원본!$O$5:$O$100000,$A44,전표_원본!$M$5:$M$100000,F$5))</f>
        <v/>
      </c>
      <c r="G44" s="29">
        <f>IF($A44="","",SUMIFS(전표_원본!$P$5:$P$100000,전표_원본!$O$5:$O$100000,$A44,전표_원본!$M$5:$M$100000,G$5))</f>
        <v/>
      </c>
      <c r="H44" s="29">
        <f>IF($A44="","",SUMIFS(전표_원본!$P$5:$P$100000,전표_원본!$O$5:$O$100000,$A44,전표_원본!$M$5:$M$100000,H$5))</f>
        <v/>
      </c>
      <c r="I44" s="29">
        <f>IF($A44="","",SUMIFS(전표_원본!$P$5:$P$100000,전표_원본!$O$5:$O$100000,$A44,전표_원본!$M$5:$M$100000,I$5))</f>
        <v/>
      </c>
      <c r="J44" s="29">
        <f>IF($A44="","",SUMIFS(전표_원본!$P$5:$P$100000,전표_원본!$O$5:$O$100000,$A44,전표_원본!$M$5:$M$100000,J$5))</f>
        <v/>
      </c>
      <c r="K44" s="29">
        <f>IF($A44="","",SUMIFS(전표_원본!$P$5:$P$100000,전표_원본!$O$5:$O$100000,$A44,전표_원본!$M$5:$M$100000,K$5))</f>
        <v/>
      </c>
      <c r="L44" s="29">
        <f>IF($A44="","",SUMIFS(전표_원본!$P$5:$P$100000,전표_원본!$O$5:$O$100000,$A44,전표_원본!$M$5:$M$100000,L$5))</f>
        <v/>
      </c>
      <c r="M44" s="29">
        <f>IF($A44="","",SUMIFS(전표_원본!$P$5:$P$100000,전표_원본!$O$5:$O$100000,$A44,전표_원본!$M$5:$M$100000,M$5))</f>
        <v/>
      </c>
      <c r="N44" s="29">
        <f>IF($A44="","",SUMIFS(전표_원본!$P$5:$P$100000,전표_원본!$O$5:$O$100000,$A44,전표_원본!$M$5:$M$100000,N$5))</f>
        <v/>
      </c>
      <c r="O44" s="29">
        <f>IF($A44="","",SUMIFS(전표_원본!$P$5:$P$100000,전표_원본!$O$5:$O$100000,$A44,전표_원본!$M$5:$M$100000,O$5))</f>
        <v/>
      </c>
      <c r="P44" s="29">
        <f>IF($A44="","",SUMIFS(전표_원본!$P$5:$P$100000,전표_원본!$O$5:$O$100000,$A44,전표_원본!$M$5:$M$100000,P$5))</f>
        <v/>
      </c>
      <c r="Q44" s="29">
        <f>IF($A44="","",SUMIFS(전표_원본!$P$5:$P$100000,전표_원본!$O$5:$O$100000,$A44,전표_원본!$M$5:$M$100000,Q$5))</f>
        <v/>
      </c>
      <c r="R44" s="29">
        <f>IF($A44="","",SUMIFS(전표_원본!$P$5:$P$100000,전표_원본!$O$5:$O$100000,$A44,전표_원본!$M$5:$M$100000,R$5))</f>
        <v/>
      </c>
      <c r="S44" s="29">
        <f>IF($A44="","",SUMIFS(전표_원본!$P$5:$P$100000,전표_원본!$O$5:$O$100000,$A44,전표_원본!$M$5:$M$100000,S$5))</f>
        <v/>
      </c>
      <c r="T44" s="29">
        <f>IF($A44="","",SUMIFS(전표_원본!$P$5:$P$100000,전표_원본!$O$5:$O$100000,$A44,전표_원본!$M$5:$M$100000,T$5))</f>
        <v/>
      </c>
      <c r="U44" s="29">
        <f>IF($A44="","",SUMIFS(전표_원본!$P$5:$P$100000,전표_원본!$O$5:$O$100000,$A44,전표_원본!$M$5:$M$100000,U$5))</f>
        <v/>
      </c>
      <c r="V44" s="29">
        <f>IF($A44="","",SUMIFS(전표_원본!$P$5:$P$100000,전표_원본!$O$5:$O$100000,$A44,전표_원본!$M$5:$M$100000,V$5))</f>
        <v/>
      </c>
      <c r="W44" s="29">
        <f>IF($A44="","",SUMIFS(전표_원본!$P$5:$P$100000,전표_원본!$O$5:$O$100000,$A44,전표_원본!$M$5:$M$100000,W$5))</f>
        <v/>
      </c>
      <c r="X44" s="29">
        <f>IF($A44="","",SUMIFS(전표_원본!$P$5:$P$100000,전표_원본!$O$5:$O$100000,$A44,전표_원본!$M$5:$M$100000,X$5))</f>
        <v/>
      </c>
      <c r="Y44" s="29">
        <f>IF($A44="","",SUMIFS(전표_원본!$P$5:$P$100000,전표_원본!$O$5:$O$100000,$A44,전표_원본!$M$5:$M$100000,Y$5))</f>
        <v/>
      </c>
      <c r="Z44" s="29">
        <f>IF($A44="","",SUMIFS(전표_원본!$P$5:$P$100000,전표_원본!$O$5:$O$100000,$A44,전표_원본!$M$5:$M$100000,Z$5))</f>
        <v/>
      </c>
    </row>
    <row r="45">
      <c r="A45" s="22">
        <f>IF(변동분석!$A45="","",변동분석!$E45)</f>
        <v/>
      </c>
      <c r="B45" s="22">
        <f>IF($A45="","",변동분석!$B45&amp;" "&amp;변동분석!$D45)</f>
        <v/>
      </c>
      <c r="C45" s="29">
        <f>IF($A45="","",SUMIFS(전표_원본!$P$5:$P$100000,전표_원본!$O$5:$O$100000,$A45,전표_원본!$M$5:$M$100000,C$5))</f>
        <v/>
      </c>
      <c r="D45" s="29">
        <f>IF($A45="","",SUMIFS(전표_원본!$P$5:$P$100000,전표_원본!$O$5:$O$100000,$A45,전표_원본!$M$5:$M$100000,D$5))</f>
        <v/>
      </c>
      <c r="E45" s="29">
        <f>IF($A45="","",SUMIFS(전표_원본!$P$5:$P$100000,전표_원본!$O$5:$O$100000,$A45,전표_원본!$M$5:$M$100000,E$5))</f>
        <v/>
      </c>
      <c r="F45" s="29">
        <f>IF($A45="","",SUMIFS(전표_원본!$P$5:$P$100000,전표_원본!$O$5:$O$100000,$A45,전표_원본!$M$5:$M$100000,F$5))</f>
        <v/>
      </c>
      <c r="G45" s="29">
        <f>IF($A45="","",SUMIFS(전표_원본!$P$5:$P$100000,전표_원본!$O$5:$O$100000,$A45,전표_원본!$M$5:$M$100000,G$5))</f>
        <v/>
      </c>
      <c r="H45" s="29">
        <f>IF($A45="","",SUMIFS(전표_원본!$P$5:$P$100000,전표_원본!$O$5:$O$100000,$A45,전표_원본!$M$5:$M$100000,H$5))</f>
        <v/>
      </c>
      <c r="I45" s="29">
        <f>IF($A45="","",SUMIFS(전표_원본!$P$5:$P$100000,전표_원본!$O$5:$O$100000,$A45,전표_원본!$M$5:$M$100000,I$5))</f>
        <v/>
      </c>
      <c r="J45" s="29">
        <f>IF($A45="","",SUMIFS(전표_원본!$P$5:$P$100000,전표_원본!$O$5:$O$100000,$A45,전표_원본!$M$5:$M$100000,J$5))</f>
        <v/>
      </c>
      <c r="K45" s="29">
        <f>IF($A45="","",SUMIFS(전표_원본!$P$5:$P$100000,전표_원본!$O$5:$O$100000,$A45,전표_원본!$M$5:$M$100000,K$5))</f>
        <v/>
      </c>
      <c r="L45" s="29">
        <f>IF($A45="","",SUMIFS(전표_원본!$P$5:$P$100000,전표_원본!$O$5:$O$100000,$A45,전표_원본!$M$5:$M$100000,L$5))</f>
        <v/>
      </c>
      <c r="M45" s="29">
        <f>IF($A45="","",SUMIFS(전표_원본!$P$5:$P$100000,전표_원본!$O$5:$O$100000,$A45,전표_원본!$M$5:$M$100000,M$5))</f>
        <v/>
      </c>
      <c r="N45" s="29">
        <f>IF($A45="","",SUMIFS(전표_원본!$P$5:$P$100000,전표_원본!$O$5:$O$100000,$A45,전표_원본!$M$5:$M$100000,N$5))</f>
        <v/>
      </c>
      <c r="O45" s="29">
        <f>IF($A45="","",SUMIFS(전표_원본!$P$5:$P$100000,전표_원본!$O$5:$O$100000,$A45,전표_원본!$M$5:$M$100000,O$5))</f>
        <v/>
      </c>
      <c r="P45" s="29">
        <f>IF($A45="","",SUMIFS(전표_원본!$P$5:$P$100000,전표_원본!$O$5:$O$100000,$A45,전표_원본!$M$5:$M$100000,P$5))</f>
        <v/>
      </c>
      <c r="Q45" s="29">
        <f>IF($A45="","",SUMIFS(전표_원본!$P$5:$P$100000,전표_원본!$O$5:$O$100000,$A45,전표_원본!$M$5:$M$100000,Q$5))</f>
        <v/>
      </c>
      <c r="R45" s="29">
        <f>IF($A45="","",SUMIFS(전표_원본!$P$5:$P$100000,전표_원본!$O$5:$O$100000,$A45,전표_원본!$M$5:$M$100000,R$5))</f>
        <v/>
      </c>
      <c r="S45" s="29">
        <f>IF($A45="","",SUMIFS(전표_원본!$P$5:$P$100000,전표_원본!$O$5:$O$100000,$A45,전표_원본!$M$5:$M$100000,S$5))</f>
        <v/>
      </c>
      <c r="T45" s="29">
        <f>IF($A45="","",SUMIFS(전표_원본!$P$5:$P$100000,전표_원본!$O$5:$O$100000,$A45,전표_원본!$M$5:$M$100000,T$5))</f>
        <v/>
      </c>
      <c r="U45" s="29">
        <f>IF($A45="","",SUMIFS(전표_원본!$P$5:$P$100000,전표_원본!$O$5:$O$100000,$A45,전표_원본!$M$5:$M$100000,U$5))</f>
        <v/>
      </c>
      <c r="V45" s="29">
        <f>IF($A45="","",SUMIFS(전표_원본!$P$5:$P$100000,전표_원본!$O$5:$O$100000,$A45,전표_원본!$M$5:$M$100000,V$5))</f>
        <v/>
      </c>
      <c r="W45" s="29">
        <f>IF($A45="","",SUMIFS(전표_원본!$P$5:$P$100000,전표_원본!$O$5:$O$100000,$A45,전표_원본!$M$5:$M$100000,W$5))</f>
        <v/>
      </c>
      <c r="X45" s="29">
        <f>IF($A45="","",SUMIFS(전표_원본!$P$5:$P$100000,전표_원본!$O$5:$O$100000,$A45,전표_원본!$M$5:$M$100000,X$5))</f>
        <v/>
      </c>
      <c r="Y45" s="29">
        <f>IF($A45="","",SUMIFS(전표_원본!$P$5:$P$100000,전표_원본!$O$5:$O$100000,$A45,전표_원본!$M$5:$M$100000,Y$5))</f>
        <v/>
      </c>
      <c r="Z45" s="29">
        <f>IF($A45="","",SUMIFS(전표_원본!$P$5:$P$100000,전표_원본!$O$5:$O$100000,$A45,전표_원본!$M$5:$M$100000,Z$5))</f>
        <v/>
      </c>
    </row>
    <row r="46">
      <c r="A46" s="22">
        <f>IF(변동분석!$A46="","",변동분석!$E46)</f>
        <v/>
      </c>
      <c r="B46" s="22">
        <f>IF($A46="","",변동분석!$B46&amp;" "&amp;변동분석!$D46)</f>
        <v/>
      </c>
      <c r="C46" s="29">
        <f>IF($A46="","",SUMIFS(전표_원본!$P$5:$P$100000,전표_원본!$O$5:$O$100000,$A46,전표_원본!$M$5:$M$100000,C$5))</f>
        <v/>
      </c>
      <c r="D46" s="29">
        <f>IF($A46="","",SUMIFS(전표_원본!$P$5:$P$100000,전표_원본!$O$5:$O$100000,$A46,전표_원본!$M$5:$M$100000,D$5))</f>
        <v/>
      </c>
      <c r="E46" s="29">
        <f>IF($A46="","",SUMIFS(전표_원본!$P$5:$P$100000,전표_원본!$O$5:$O$100000,$A46,전표_원본!$M$5:$M$100000,E$5))</f>
        <v/>
      </c>
      <c r="F46" s="29">
        <f>IF($A46="","",SUMIFS(전표_원본!$P$5:$P$100000,전표_원본!$O$5:$O$100000,$A46,전표_원본!$M$5:$M$100000,F$5))</f>
        <v/>
      </c>
      <c r="G46" s="29">
        <f>IF($A46="","",SUMIFS(전표_원본!$P$5:$P$100000,전표_원본!$O$5:$O$100000,$A46,전표_원본!$M$5:$M$100000,G$5))</f>
        <v/>
      </c>
      <c r="H46" s="29">
        <f>IF($A46="","",SUMIFS(전표_원본!$P$5:$P$100000,전표_원본!$O$5:$O$100000,$A46,전표_원본!$M$5:$M$100000,H$5))</f>
        <v/>
      </c>
      <c r="I46" s="29">
        <f>IF($A46="","",SUMIFS(전표_원본!$P$5:$P$100000,전표_원본!$O$5:$O$100000,$A46,전표_원본!$M$5:$M$100000,I$5))</f>
        <v/>
      </c>
      <c r="J46" s="29">
        <f>IF($A46="","",SUMIFS(전표_원본!$P$5:$P$100000,전표_원본!$O$5:$O$100000,$A46,전표_원본!$M$5:$M$100000,J$5))</f>
        <v/>
      </c>
      <c r="K46" s="29">
        <f>IF($A46="","",SUMIFS(전표_원본!$P$5:$P$100000,전표_원본!$O$5:$O$100000,$A46,전표_원본!$M$5:$M$100000,K$5))</f>
        <v/>
      </c>
      <c r="L46" s="29">
        <f>IF($A46="","",SUMIFS(전표_원본!$P$5:$P$100000,전표_원본!$O$5:$O$100000,$A46,전표_원본!$M$5:$M$100000,L$5))</f>
        <v/>
      </c>
      <c r="M46" s="29">
        <f>IF($A46="","",SUMIFS(전표_원본!$P$5:$P$100000,전표_원본!$O$5:$O$100000,$A46,전표_원본!$M$5:$M$100000,M$5))</f>
        <v/>
      </c>
      <c r="N46" s="29">
        <f>IF($A46="","",SUMIFS(전표_원본!$P$5:$P$100000,전표_원본!$O$5:$O$100000,$A46,전표_원본!$M$5:$M$100000,N$5))</f>
        <v/>
      </c>
      <c r="O46" s="29">
        <f>IF($A46="","",SUMIFS(전표_원본!$P$5:$P$100000,전표_원본!$O$5:$O$100000,$A46,전표_원본!$M$5:$M$100000,O$5))</f>
        <v/>
      </c>
      <c r="P46" s="29">
        <f>IF($A46="","",SUMIFS(전표_원본!$P$5:$P$100000,전표_원본!$O$5:$O$100000,$A46,전표_원본!$M$5:$M$100000,P$5))</f>
        <v/>
      </c>
      <c r="Q46" s="29">
        <f>IF($A46="","",SUMIFS(전표_원본!$P$5:$P$100000,전표_원본!$O$5:$O$100000,$A46,전표_원본!$M$5:$M$100000,Q$5))</f>
        <v/>
      </c>
      <c r="R46" s="29">
        <f>IF($A46="","",SUMIFS(전표_원본!$P$5:$P$100000,전표_원본!$O$5:$O$100000,$A46,전표_원본!$M$5:$M$100000,R$5))</f>
        <v/>
      </c>
      <c r="S46" s="29">
        <f>IF($A46="","",SUMIFS(전표_원본!$P$5:$P$100000,전표_원본!$O$5:$O$100000,$A46,전표_원본!$M$5:$M$100000,S$5))</f>
        <v/>
      </c>
      <c r="T46" s="29">
        <f>IF($A46="","",SUMIFS(전표_원본!$P$5:$P$100000,전표_원본!$O$5:$O$100000,$A46,전표_원본!$M$5:$M$100000,T$5))</f>
        <v/>
      </c>
      <c r="U46" s="29">
        <f>IF($A46="","",SUMIFS(전표_원본!$P$5:$P$100000,전표_원본!$O$5:$O$100000,$A46,전표_원본!$M$5:$M$100000,U$5))</f>
        <v/>
      </c>
      <c r="V46" s="29">
        <f>IF($A46="","",SUMIFS(전표_원본!$P$5:$P$100000,전표_원본!$O$5:$O$100000,$A46,전표_원본!$M$5:$M$100000,V$5))</f>
        <v/>
      </c>
      <c r="W46" s="29">
        <f>IF($A46="","",SUMIFS(전표_원본!$P$5:$P$100000,전표_원본!$O$5:$O$100000,$A46,전표_원본!$M$5:$M$100000,W$5))</f>
        <v/>
      </c>
      <c r="X46" s="29">
        <f>IF($A46="","",SUMIFS(전표_원본!$P$5:$P$100000,전표_원본!$O$5:$O$100000,$A46,전표_원본!$M$5:$M$100000,X$5))</f>
        <v/>
      </c>
      <c r="Y46" s="29">
        <f>IF($A46="","",SUMIFS(전표_원본!$P$5:$P$100000,전표_원본!$O$5:$O$100000,$A46,전표_원본!$M$5:$M$100000,Y$5))</f>
        <v/>
      </c>
      <c r="Z46" s="29">
        <f>IF($A46="","",SUMIFS(전표_원본!$P$5:$P$100000,전표_원본!$O$5:$O$100000,$A46,전표_원본!$M$5:$M$100000,Z$5))</f>
        <v/>
      </c>
    </row>
    <row r="47">
      <c r="A47" s="22">
        <f>IF(변동분석!$A47="","",변동분석!$E47)</f>
        <v/>
      </c>
      <c r="B47" s="22">
        <f>IF($A47="","",변동분석!$B47&amp;" "&amp;변동분석!$D47)</f>
        <v/>
      </c>
      <c r="C47" s="29">
        <f>IF($A47="","",SUMIFS(전표_원본!$P$5:$P$100000,전표_원본!$O$5:$O$100000,$A47,전표_원본!$M$5:$M$100000,C$5))</f>
        <v/>
      </c>
      <c r="D47" s="29">
        <f>IF($A47="","",SUMIFS(전표_원본!$P$5:$P$100000,전표_원본!$O$5:$O$100000,$A47,전표_원본!$M$5:$M$100000,D$5))</f>
        <v/>
      </c>
      <c r="E47" s="29">
        <f>IF($A47="","",SUMIFS(전표_원본!$P$5:$P$100000,전표_원본!$O$5:$O$100000,$A47,전표_원본!$M$5:$M$100000,E$5))</f>
        <v/>
      </c>
      <c r="F47" s="29">
        <f>IF($A47="","",SUMIFS(전표_원본!$P$5:$P$100000,전표_원본!$O$5:$O$100000,$A47,전표_원본!$M$5:$M$100000,F$5))</f>
        <v/>
      </c>
      <c r="G47" s="29">
        <f>IF($A47="","",SUMIFS(전표_원본!$P$5:$P$100000,전표_원본!$O$5:$O$100000,$A47,전표_원본!$M$5:$M$100000,G$5))</f>
        <v/>
      </c>
      <c r="H47" s="29">
        <f>IF($A47="","",SUMIFS(전표_원본!$P$5:$P$100000,전표_원본!$O$5:$O$100000,$A47,전표_원본!$M$5:$M$100000,H$5))</f>
        <v/>
      </c>
      <c r="I47" s="29">
        <f>IF($A47="","",SUMIFS(전표_원본!$P$5:$P$100000,전표_원본!$O$5:$O$100000,$A47,전표_원본!$M$5:$M$100000,I$5))</f>
        <v/>
      </c>
      <c r="J47" s="29">
        <f>IF($A47="","",SUMIFS(전표_원본!$P$5:$P$100000,전표_원본!$O$5:$O$100000,$A47,전표_원본!$M$5:$M$100000,J$5))</f>
        <v/>
      </c>
      <c r="K47" s="29">
        <f>IF($A47="","",SUMIFS(전표_원본!$P$5:$P$100000,전표_원본!$O$5:$O$100000,$A47,전표_원본!$M$5:$M$100000,K$5))</f>
        <v/>
      </c>
      <c r="L47" s="29">
        <f>IF($A47="","",SUMIFS(전표_원본!$P$5:$P$100000,전표_원본!$O$5:$O$100000,$A47,전표_원본!$M$5:$M$100000,L$5))</f>
        <v/>
      </c>
      <c r="M47" s="29">
        <f>IF($A47="","",SUMIFS(전표_원본!$P$5:$P$100000,전표_원본!$O$5:$O$100000,$A47,전표_원본!$M$5:$M$100000,M$5))</f>
        <v/>
      </c>
      <c r="N47" s="29">
        <f>IF($A47="","",SUMIFS(전표_원본!$P$5:$P$100000,전표_원본!$O$5:$O$100000,$A47,전표_원본!$M$5:$M$100000,N$5))</f>
        <v/>
      </c>
      <c r="O47" s="29">
        <f>IF($A47="","",SUMIFS(전표_원본!$P$5:$P$100000,전표_원본!$O$5:$O$100000,$A47,전표_원본!$M$5:$M$100000,O$5))</f>
        <v/>
      </c>
      <c r="P47" s="29">
        <f>IF($A47="","",SUMIFS(전표_원본!$P$5:$P$100000,전표_원본!$O$5:$O$100000,$A47,전표_원본!$M$5:$M$100000,P$5))</f>
        <v/>
      </c>
      <c r="Q47" s="29">
        <f>IF($A47="","",SUMIFS(전표_원본!$P$5:$P$100000,전표_원본!$O$5:$O$100000,$A47,전표_원본!$M$5:$M$100000,Q$5))</f>
        <v/>
      </c>
      <c r="R47" s="29">
        <f>IF($A47="","",SUMIFS(전표_원본!$P$5:$P$100000,전표_원본!$O$5:$O$100000,$A47,전표_원본!$M$5:$M$100000,R$5))</f>
        <v/>
      </c>
      <c r="S47" s="29">
        <f>IF($A47="","",SUMIFS(전표_원본!$P$5:$P$100000,전표_원본!$O$5:$O$100000,$A47,전표_원본!$M$5:$M$100000,S$5))</f>
        <v/>
      </c>
      <c r="T47" s="29">
        <f>IF($A47="","",SUMIFS(전표_원본!$P$5:$P$100000,전표_원본!$O$5:$O$100000,$A47,전표_원본!$M$5:$M$100000,T$5))</f>
        <v/>
      </c>
      <c r="U47" s="29">
        <f>IF($A47="","",SUMIFS(전표_원본!$P$5:$P$100000,전표_원본!$O$5:$O$100000,$A47,전표_원본!$M$5:$M$100000,U$5))</f>
        <v/>
      </c>
      <c r="V47" s="29">
        <f>IF($A47="","",SUMIFS(전표_원본!$P$5:$P$100000,전표_원본!$O$5:$O$100000,$A47,전표_원본!$M$5:$M$100000,V$5))</f>
        <v/>
      </c>
      <c r="W47" s="29">
        <f>IF($A47="","",SUMIFS(전표_원본!$P$5:$P$100000,전표_원본!$O$5:$O$100000,$A47,전표_원본!$M$5:$M$100000,W$5))</f>
        <v/>
      </c>
      <c r="X47" s="29">
        <f>IF($A47="","",SUMIFS(전표_원본!$P$5:$P$100000,전표_원본!$O$5:$O$100000,$A47,전표_원본!$M$5:$M$100000,X$5))</f>
        <v/>
      </c>
      <c r="Y47" s="29">
        <f>IF($A47="","",SUMIFS(전표_원본!$P$5:$P$100000,전표_원본!$O$5:$O$100000,$A47,전표_원본!$M$5:$M$100000,Y$5))</f>
        <v/>
      </c>
      <c r="Z47" s="29">
        <f>IF($A47="","",SUMIFS(전표_원본!$P$5:$P$100000,전표_원본!$O$5:$O$100000,$A47,전표_원본!$M$5:$M$100000,Z$5))</f>
        <v/>
      </c>
    </row>
    <row r="48">
      <c r="A48" s="22">
        <f>IF(변동분석!$A48="","",변동분석!$E48)</f>
        <v/>
      </c>
      <c r="B48" s="22">
        <f>IF($A48="","",변동분석!$B48&amp;" "&amp;변동분석!$D48)</f>
        <v/>
      </c>
      <c r="C48" s="29">
        <f>IF($A48="","",SUMIFS(전표_원본!$P$5:$P$100000,전표_원본!$O$5:$O$100000,$A48,전표_원본!$M$5:$M$100000,C$5))</f>
        <v/>
      </c>
      <c r="D48" s="29">
        <f>IF($A48="","",SUMIFS(전표_원본!$P$5:$P$100000,전표_원본!$O$5:$O$100000,$A48,전표_원본!$M$5:$M$100000,D$5))</f>
        <v/>
      </c>
      <c r="E48" s="29">
        <f>IF($A48="","",SUMIFS(전표_원본!$P$5:$P$100000,전표_원본!$O$5:$O$100000,$A48,전표_원본!$M$5:$M$100000,E$5))</f>
        <v/>
      </c>
      <c r="F48" s="29">
        <f>IF($A48="","",SUMIFS(전표_원본!$P$5:$P$100000,전표_원본!$O$5:$O$100000,$A48,전표_원본!$M$5:$M$100000,F$5))</f>
        <v/>
      </c>
      <c r="G48" s="29">
        <f>IF($A48="","",SUMIFS(전표_원본!$P$5:$P$100000,전표_원본!$O$5:$O$100000,$A48,전표_원본!$M$5:$M$100000,G$5))</f>
        <v/>
      </c>
      <c r="H48" s="29">
        <f>IF($A48="","",SUMIFS(전표_원본!$P$5:$P$100000,전표_원본!$O$5:$O$100000,$A48,전표_원본!$M$5:$M$100000,H$5))</f>
        <v/>
      </c>
      <c r="I48" s="29">
        <f>IF($A48="","",SUMIFS(전표_원본!$P$5:$P$100000,전표_원본!$O$5:$O$100000,$A48,전표_원본!$M$5:$M$100000,I$5))</f>
        <v/>
      </c>
      <c r="J48" s="29">
        <f>IF($A48="","",SUMIFS(전표_원본!$P$5:$P$100000,전표_원본!$O$5:$O$100000,$A48,전표_원본!$M$5:$M$100000,J$5))</f>
        <v/>
      </c>
      <c r="K48" s="29">
        <f>IF($A48="","",SUMIFS(전표_원본!$P$5:$P$100000,전표_원본!$O$5:$O$100000,$A48,전표_원본!$M$5:$M$100000,K$5))</f>
        <v/>
      </c>
      <c r="L48" s="29">
        <f>IF($A48="","",SUMIFS(전표_원본!$P$5:$P$100000,전표_원본!$O$5:$O$100000,$A48,전표_원본!$M$5:$M$100000,L$5))</f>
        <v/>
      </c>
      <c r="M48" s="29">
        <f>IF($A48="","",SUMIFS(전표_원본!$P$5:$P$100000,전표_원본!$O$5:$O$100000,$A48,전표_원본!$M$5:$M$100000,M$5))</f>
        <v/>
      </c>
      <c r="N48" s="29">
        <f>IF($A48="","",SUMIFS(전표_원본!$P$5:$P$100000,전표_원본!$O$5:$O$100000,$A48,전표_원본!$M$5:$M$100000,N$5))</f>
        <v/>
      </c>
      <c r="O48" s="29">
        <f>IF($A48="","",SUMIFS(전표_원본!$P$5:$P$100000,전표_원본!$O$5:$O$100000,$A48,전표_원본!$M$5:$M$100000,O$5))</f>
        <v/>
      </c>
      <c r="P48" s="29">
        <f>IF($A48="","",SUMIFS(전표_원본!$P$5:$P$100000,전표_원본!$O$5:$O$100000,$A48,전표_원본!$M$5:$M$100000,P$5))</f>
        <v/>
      </c>
      <c r="Q48" s="29">
        <f>IF($A48="","",SUMIFS(전표_원본!$P$5:$P$100000,전표_원본!$O$5:$O$100000,$A48,전표_원본!$M$5:$M$100000,Q$5))</f>
        <v/>
      </c>
      <c r="R48" s="29">
        <f>IF($A48="","",SUMIFS(전표_원본!$P$5:$P$100000,전표_원본!$O$5:$O$100000,$A48,전표_원본!$M$5:$M$100000,R$5))</f>
        <v/>
      </c>
      <c r="S48" s="29">
        <f>IF($A48="","",SUMIFS(전표_원본!$P$5:$P$100000,전표_원본!$O$5:$O$100000,$A48,전표_원본!$M$5:$M$100000,S$5))</f>
        <v/>
      </c>
      <c r="T48" s="29">
        <f>IF($A48="","",SUMIFS(전표_원본!$P$5:$P$100000,전표_원본!$O$5:$O$100000,$A48,전표_원본!$M$5:$M$100000,T$5))</f>
        <v/>
      </c>
      <c r="U48" s="29">
        <f>IF($A48="","",SUMIFS(전표_원본!$P$5:$P$100000,전표_원본!$O$5:$O$100000,$A48,전표_원본!$M$5:$M$100000,U$5))</f>
        <v/>
      </c>
      <c r="V48" s="29">
        <f>IF($A48="","",SUMIFS(전표_원본!$P$5:$P$100000,전표_원본!$O$5:$O$100000,$A48,전표_원본!$M$5:$M$100000,V$5))</f>
        <v/>
      </c>
      <c r="W48" s="29">
        <f>IF($A48="","",SUMIFS(전표_원본!$P$5:$P$100000,전표_원본!$O$5:$O$100000,$A48,전표_원본!$M$5:$M$100000,W$5))</f>
        <v/>
      </c>
      <c r="X48" s="29">
        <f>IF($A48="","",SUMIFS(전표_원본!$P$5:$P$100000,전표_원본!$O$5:$O$100000,$A48,전표_원본!$M$5:$M$100000,X$5))</f>
        <v/>
      </c>
      <c r="Y48" s="29">
        <f>IF($A48="","",SUMIFS(전표_원본!$P$5:$P$100000,전표_원본!$O$5:$O$100000,$A48,전표_원본!$M$5:$M$100000,Y$5))</f>
        <v/>
      </c>
      <c r="Z48" s="29">
        <f>IF($A48="","",SUMIFS(전표_원본!$P$5:$P$100000,전표_원본!$O$5:$O$100000,$A48,전표_원본!$M$5:$M$100000,Z$5))</f>
        <v/>
      </c>
    </row>
    <row r="49">
      <c r="A49" s="22">
        <f>IF(변동분석!$A49="","",변동분석!$E49)</f>
        <v/>
      </c>
      <c r="B49" s="22">
        <f>IF($A49="","",변동분석!$B49&amp;" "&amp;변동분석!$D49)</f>
        <v/>
      </c>
      <c r="C49" s="29">
        <f>IF($A49="","",SUMIFS(전표_원본!$P$5:$P$100000,전표_원본!$O$5:$O$100000,$A49,전표_원본!$M$5:$M$100000,C$5))</f>
        <v/>
      </c>
      <c r="D49" s="29">
        <f>IF($A49="","",SUMIFS(전표_원본!$P$5:$P$100000,전표_원본!$O$5:$O$100000,$A49,전표_원본!$M$5:$M$100000,D$5))</f>
        <v/>
      </c>
      <c r="E49" s="29">
        <f>IF($A49="","",SUMIFS(전표_원본!$P$5:$P$100000,전표_원본!$O$5:$O$100000,$A49,전표_원본!$M$5:$M$100000,E$5))</f>
        <v/>
      </c>
      <c r="F49" s="29">
        <f>IF($A49="","",SUMIFS(전표_원본!$P$5:$P$100000,전표_원본!$O$5:$O$100000,$A49,전표_원본!$M$5:$M$100000,F$5))</f>
        <v/>
      </c>
      <c r="G49" s="29">
        <f>IF($A49="","",SUMIFS(전표_원본!$P$5:$P$100000,전표_원본!$O$5:$O$100000,$A49,전표_원본!$M$5:$M$100000,G$5))</f>
        <v/>
      </c>
      <c r="H49" s="29">
        <f>IF($A49="","",SUMIFS(전표_원본!$P$5:$P$100000,전표_원본!$O$5:$O$100000,$A49,전표_원본!$M$5:$M$100000,H$5))</f>
        <v/>
      </c>
      <c r="I49" s="29">
        <f>IF($A49="","",SUMIFS(전표_원본!$P$5:$P$100000,전표_원본!$O$5:$O$100000,$A49,전표_원본!$M$5:$M$100000,I$5))</f>
        <v/>
      </c>
      <c r="J49" s="29">
        <f>IF($A49="","",SUMIFS(전표_원본!$P$5:$P$100000,전표_원본!$O$5:$O$100000,$A49,전표_원본!$M$5:$M$100000,J$5))</f>
        <v/>
      </c>
      <c r="K49" s="29">
        <f>IF($A49="","",SUMIFS(전표_원본!$P$5:$P$100000,전표_원본!$O$5:$O$100000,$A49,전표_원본!$M$5:$M$100000,K$5))</f>
        <v/>
      </c>
      <c r="L49" s="29">
        <f>IF($A49="","",SUMIFS(전표_원본!$P$5:$P$100000,전표_원본!$O$5:$O$100000,$A49,전표_원본!$M$5:$M$100000,L$5))</f>
        <v/>
      </c>
      <c r="M49" s="29">
        <f>IF($A49="","",SUMIFS(전표_원본!$P$5:$P$100000,전표_원본!$O$5:$O$100000,$A49,전표_원본!$M$5:$M$100000,M$5))</f>
        <v/>
      </c>
      <c r="N49" s="29">
        <f>IF($A49="","",SUMIFS(전표_원본!$P$5:$P$100000,전표_원본!$O$5:$O$100000,$A49,전표_원본!$M$5:$M$100000,N$5))</f>
        <v/>
      </c>
      <c r="O49" s="29">
        <f>IF($A49="","",SUMIFS(전표_원본!$P$5:$P$100000,전표_원본!$O$5:$O$100000,$A49,전표_원본!$M$5:$M$100000,O$5))</f>
        <v/>
      </c>
      <c r="P49" s="29">
        <f>IF($A49="","",SUMIFS(전표_원본!$P$5:$P$100000,전표_원본!$O$5:$O$100000,$A49,전표_원본!$M$5:$M$100000,P$5))</f>
        <v/>
      </c>
      <c r="Q49" s="29">
        <f>IF($A49="","",SUMIFS(전표_원본!$P$5:$P$100000,전표_원본!$O$5:$O$100000,$A49,전표_원본!$M$5:$M$100000,Q$5))</f>
        <v/>
      </c>
      <c r="R49" s="29">
        <f>IF($A49="","",SUMIFS(전표_원본!$P$5:$P$100000,전표_원본!$O$5:$O$100000,$A49,전표_원본!$M$5:$M$100000,R$5))</f>
        <v/>
      </c>
      <c r="S49" s="29">
        <f>IF($A49="","",SUMIFS(전표_원본!$P$5:$P$100000,전표_원본!$O$5:$O$100000,$A49,전표_원본!$M$5:$M$100000,S$5))</f>
        <v/>
      </c>
      <c r="T49" s="29">
        <f>IF($A49="","",SUMIFS(전표_원본!$P$5:$P$100000,전표_원본!$O$5:$O$100000,$A49,전표_원본!$M$5:$M$100000,T$5))</f>
        <v/>
      </c>
      <c r="U49" s="29">
        <f>IF($A49="","",SUMIFS(전표_원본!$P$5:$P$100000,전표_원본!$O$5:$O$100000,$A49,전표_원본!$M$5:$M$100000,U$5))</f>
        <v/>
      </c>
      <c r="V49" s="29">
        <f>IF($A49="","",SUMIFS(전표_원본!$P$5:$P$100000,전표_원본!$O$5:$O$100000,$A49,전표_원본!$M$5:$M$100000,V$5))</f>
        <v/>
      </c>
      <c r="W49" s="29">
        <f>IF($A49="","",SUMIFS(전표_원본!$P$5:$P$100000,전표_원본!$O$5:$O$100000,$A49,전표_원본!$M$5:$M$100000,W$5))</f>
        <v/>
      </c>
      <c r="X49" s="29">
        <f>IF($A49="","",SUMIFS(전표_원본!$P$5:$P$100000,전표_원본!$O$5:$O$100000,$A49,전표_원본!$M$5:$M$100000,X$5))</f>
        <v/>
      </c>
      <c r="Y49" s="29">
        <f>IF($A49="","",SUMIFS(전표_원본!$P$5:$P$100000,전표_원본!$O$5:$O$100000,$A49,전표_원본!$M$5:$M$100000,Y$5))</f>
        <v/>
      </c>
      <c r="Z49" s="29">
        <f>IF($A49="","",SUMIFS(전표_원본!$P$5:$P$100000,전표_원본!$O$5:$O$100000,$A49,전표_원본!$M$5:$M$100000,Z$5))</f>
        <v/>
      </c>
    </row>
    <row r="50">
      <c r="A50" s="22">
        <f>IF(변동분석!$A50="","",변동분석!$E50)</f>
        <v/>
      </c>
      <c r="B50" s="22">
        <f>IF($A50="","",변동분석!$B50&amp;" "&amp;변동분석!$D50)</f>
        <v/>
      </c>
      <c r="C50" s="29">
        <f>IF($A50="","",SUMIFS(전표_원본!$P$5:$P$100000,전표_원본!$O$5:$O$100000,$A50,전표_원본!$M$5:$M$100000,C$5))</f>
        <v/>
      </c>
      <c r="D50" s="29">
        <f>IF($A50="","",SUMIFS(전표_원본!$P$5:$P$100000,전표_원본!$O$5:$O$100000,$A50,전표_원본!$M$5:$M$100000,D$5))</f>
        <v/>
      </c>
      <c r="E50" s="29">
        <f>IF($A50="","",SUMIFS(전표_원본!$P$5:$P$100000,전표_원본!$O$5:$O$100000,$A50,전표_원본!$M$5:$M$100000,E$5))</f>
        <v/>
      </c>
      <c r="F50" s="29">
        <f>IF($A50="","",SUMIFS(전표_원본!$P$5:$P$100000,전표_원본!$O$5:$O$100000,$A50,전표_원본!$M$5:$M$100000,F$5))</f>
        <v/>
      </c>
      <c r="G50" s="29">
        <f>IF($A50="","",SUMIFS(전표_원본!$P$5:$P$100000,전표_원본!$O$5:$O$100000,$A50,전표_원본!$M$5:$M$100000,G$5))</f>
        <v/>
      </c>
      <c r="H50" s="29">
        <f>IF($A50="","",SUMIFS(전표_원본!$P$5:$P$100000,전표_원본!$O$5:$O$100000,$A50,전표_원본!$M$5:$M$100000,H$5))</f>
        <v/>
      </c>
      <c r="I50" s="29">
        <f>IF($A50="","",SUMIFS(전표_원본!$P$5:$P$100000,전표_원본!$O$5:$O$100000,$A50,전표_원본!$M$5:$M$100000,I$5))</f>
        <v/>
      </c>
      <c r="J50" s="29">
        <f>IF($A50="","",SUMIFS(전표_원본!$P$5:$P$100000,전표_원본!$O$5:$O$100000,$A50,전표_원본!$M$5:$M$100000,J$5))</f>
        <v/>
      </c>
      <c r="K50" s="29">
        <f>IF($A50="","",SUMIFS(전표_원본!$P$5:$P$100000,전표_원본!$O$5:$O$100000,$A50,전표_원본!$M$5:$M$100000,K$5))</f>
        <v/>
      </c>
      <c r="L50" s="29">
        <f>IF($A50="","",SUMIFS(전표_원본!$P$5:$P$100000,전표_원본!$O$5:$O$100000,$A50,전표_원본!$M$5:$M$100000,L$5))</f>
        <v/>
      </c>
      <c r="M50" s="29">
        <f>IF($A50="","",SUMIFS(전표_원본!$P$5:$P$100000,전표_원본!$O$5:$O$100000,$A50,전표_원본!$M$5:$M$100000,M$5))</f>
        <v/>
      </c>
      <c r="N50" s="29">
        <f>IF($A50="","",SUMIFS(전표_원본!$P$5:$P$100000,전표_원본!$O$5:$O$100000,$A50,전표_원본!$M$5:$M$100000,N$5))</f>
        <v/>
      </c>
      <c r="O50" s="29">
        <f>IF($A50="","",SUMIFS(전표_원본!$P$5:$P$100000,전표_원본!$O$5:$O$100000,$A50,전표_원본!$M$5:$M$100000,O$5))</f>
        <v/>
      </c>
      <c r="P50" s="29">
        <f>IF($A50="","",SUMIFS(전표_원본!$P$5:$P$100000,전표_원본!$O$5:$O$100000,$A50,전표_원본!$M$5:$M$100000,P$5))</f>
        <v/>
      </c>
      <c r="Q50" s="29">
        <f>IF($A50="","",SUMIFS(전표_원본!$P$5:$P$100000,전표_원본!$O$5:$O$100000,$A50,전표_원본!$M$5:$M$100000,Q$5))</f>
        <v/>
      </c>
      <c r="R50" s="29">
        <f>IF($A50="","",SUMIFS(전표_원본!$P$5:$P$100000,전표_원본!$O$5:$O$100000,$A50,전표_원본!$M$5:$M$100000,R$5))</f>
        <v/>
      </c>
      <c r="S50" s="29">
        <f>IF($A50="","",SUMIFS(전표_원본!$P$5:$P$100000,전표_원본!$O$5:$O$100000,$A50,전표_원본!$M$5:$M$100000,S$5))</f>
        <v/>
      </c>
      <c r="T50" s="29">
        <f>IF($A50="","",SUMIFS(전표_원본!$P$5:$P$100000,전표_원본!$O$5:$O$100000,$A50,전표_원본!$M$5:$M$100000,T$5))</f>
        <v/>
      </c>
      <c r="U50" s="29">
        <f>IF($A50="","",SUMIFS(전표_원본!$P$5:$P$100000,전표_원본!$O$5:$O$100000,$A50,전표_원본!$M$5:$M$100000,U$5))</f>
        <v/>
      </c>
      <c r="V50" s="29">
        <f>IF($A50="","",SUMIFS(전표_원본!$P$5:$P$100000,전표_원본!$O$5:$O$100000,$A50,전표_원본!$M$5:$M$100000,V$5))</f>
        <v/>
      </c>
      <c r="W50" s="29">
        <f>IF($A50="","",SUMIFS(전표_원본!$P$5:$P$100000,전표_원본!$O$5:$O$100000,$A50,전표_원본!$M$5:$M$100000,W$5))</f>
        <v/>
      </c>
      <c r="X50" s="29">
        <f>IF($A50="","",SUMIFS(전표_원본!$P$5:$P$100000,전표_원본!$O$5:$O$100000,$A50,전표_원본!$M$5:$M$100000,X$5))</f>
        <v/>
      </c>
      <c r="Y50" s="29">
        <f>IF($A50="","",SUMIFS(전표_원본!$P$5:$P$100000,전표_원본!$O$5:$O$100000,$A50,전표_원본!$M$5:$M$100000,Y$5))</f>
        <v/>
      </c>
      <c r="Z50" s="29">
        <f>IF($A50="","",SUMIFS(전표_원본!$P$5:$P$100000,전표_원본!$O$5:$O$100000,$A50,전표_원본!$M$5:$M$100000,Z$5))</f>
        <v/>
      </c>
    </row>
    <row r="51">
      <c r="A51" s="22">
        <f>IF(변동분석!$A51="","",변동분석!$E51)</f>
        <v/>
      </c>
      <c r="B51" s="22">
        <f>IF($A51="","",변동분석!$B51&amp;" "&amp;변동분석!$D51)</f>
        <v/>
      </c>
      <c r="C51" s="29">
        <f>IF($A51="","",SUMIFS(전표_원본!$P$5:$P$100000,전표_원본!$O$5:$O$100000,$A51,전표_원본!$M$5:$M$100000,C$5))</f>
        <v/>
      </c>
      <c r="D51" s="29">
        <f>IF($A51="","",SUMIFS(전표_원본!$P$5:$P$100000,전표_원본!$O$5:$O$100000,$A51,전표_원본!$M$5:$M$100000,D$5))</f>
        <v/>
      </c>
      <c r="E51" s="29">
        <f>IF($A51="","",SUMIFS(전표_원본!$P$5:$P$100000,전표_원본!$O$5:$O$100000,$A51,전표_원본!$M$5:$M$100000,E$5))</f>
        <v/>
      </c>
      <c r="F51" s="29">
        <f>IF($A51="","",SUMIFS(전표_원본!$P$5:$P$100000,전표_원본!$O$5:$O$100000,$A51,전표_원본!$M$5:$M$100000,F$5))</f>
        <v/>
      </c>
      <c r="G51" s="29">
        <f>IF($A51="","",SUMIFS(전표_원본!$P$5:$P$100000,전표_원본!$O$5:$O$100000,$A51,전표_원본!$M$5:$M$100000,G$5))</f>
        <v/>
      </c>
      <c r="H51" s="29">
        <f>IF($A51="","",SUMIFS(전표_원본!$P$5:$P$100000,전표_원본!$O$5:$O$100000,$A51,전표_원본!$M$5:$M$100000,H$5))</f>
        <v/>
      </c>
      <c r="I51" s="29">
        <f>IF($A51="","",SUMIFS(전표_원본!$P$5:$P$100000,전표_원본!$O$5:$O$100000,$A51,전표_원본!$M$5:$M$100000,I$5))</f>
        <v/>
      </c>
      <c r="J51" s="29">
        <f>IF($A51="","",SUMIFS(전표_원본!$P$5:$P$100000,전표_원본!$O$5:$O$100000,$A51,전표_원본!$M$5:$M$100000,J$5))</f>
        <v/>
      </c>
      <c r="K51" s="29">
        <f>IF($A51="","",SUMIFS(전표_원본!$P$5:$P$100000,전표_원본!$O$5:$O$100000,$A51,전표_원본!$M$5:$M$100000,K$5))</f>
        <v/>
      </c>
      <c r="L51" s="29">
        <f>IF($A51="","",SUMIFS(전표_원본!$P$5:$P$100000,전표_원본!$O$5:$O$100000,$A51,전표_원본!$M$5:$M$100000,L$5))</f>
        <v/>
      </c>
      <c r="M51" s="29">
        <f>IF($A51="","",SUMIFS(전표_원본!$P$5:$P$100000,전표_원본!$O$5:$O$100000,$A51,전표_원본!$M$5:$M$100000,M$5))</f>
        <v/>
      </c>
      <c r="N51" s="29">
        <f>IF($A51="","",SUMIFS(전표_원본!$P$5:$P$100000,전표_원본!$O$5:$O$100000,$A51,전표_원본!$M$5:$M$100000,N$5))</f>
        <v/>
      </c>
      <c r="O51" s="29">
        <f>IF($A51="","",SUMIFS(전표_원본!$P$5:$P$100000,전표_원본!$O$5:$O$100000,$A51,전표_원본!$M$5:$M$100000,O$5))</f>
        <v/>
      </c>
      <c r="P51" s="29">
        <f>IF($A51="","",SUMIFS(전표_원본!$P$5:$P$100000,전표_원본!$O$5:$O$100000,$A51,전표_원본!$M$5:$M$100000,P$5))</f>
        <v/>
      </c>
      <c r="Q51" s="29">
        <f>IF($A51="","",SUMIFS(전표_원본!$P$5:$P$100000,전표_원본!$O$5:$O$100000,$A51,전표_원본!$M$5:$M$100000,Q$5))</f>
        <v/>
      </c>
      <c r="R51" s="29">
        <f>IF($A51="","",SUMIFS(전표_원본!$P$5:$P$100000,전표_원본!$O$5:$O$100000,$A51,전표_원본!$M$5:$M$100000,R$5))</f>
        <v/>
      </c>
      <c r="S51" s="29">
        <f>IF($A51="","",SUMIFS(전표_원본!$P$5:$P$100000,전표_원본!$O$5:$O$100000,$A51,전표_원본!$M$5:$M$100000,S$5))</f>
        <v/>
      </c>
      <c r="T51" s="29">
        <f>IF($A51="","",SUMIFS(전표_원본!$P$5:$P$100000,전표_원본!$O$5:$O$100000,$A51,전표_원본!$M$5:$M$100000,T$5))</f>
        <v/>
      </c>
      <c r="U51" s="29">
        <f>IF($A51="","",SUMIFS(전표_원본!$P$5:$P$100000,전표_원본!$O$5:$O$100000,$A51,전표_원본!$M$5:$M$100000,U$5))</f>
        <v/>
      </c>
      <c r="V51" s="29">
        <f>IF($A51="","",SUMIFS(전표_원본!$P$5:$P$100000,전표_원본!$O$5:$O$100000,$A51,전표_원본!$M$5:$M$100000,V$5))</f>
        <v/>
      </c>
      <c r="W51" s="29">
        <f>IF($A51="","",SUMIFS(전표_원본!$P$5:$P$100000,전표_원본!$O$5:$O$100000,$A51,전표_원본!$M$5:$M$100000,W$5))</f>
        <v/>
      </c>
      <c r="X51" s="29">
        <f>IF($A51="","",SUMIFS(전표_원본!$P$5:$P$100000,전표_원본!$O$5:$O$100000,$A51,전표_원본!$M$5:$M$100000,X$5))</f>
        <v/>
      </c>
      <c r="Y51" s="29">
        <f>IF($A51="","",SUMIFS(전표_원본!$P$5:$P$100000,전표_원본!$O$5:$O$100000,$A51,전표_원본!$M$5:$M$100000,Y$5))</f>
        <v/>
      </c>
      <c r="Z51" s="29">
        <f>IF($A51="","",SUMIFS(전표_원본!$P$5:$P$100000,전표_원본!$O$5:$O$100000,$A51,전표_원본!$M$5:$M$100000,Z$5))</f>
        <v/>
      </c>
    </row>
    <row r="52">
      <c r="A52" s="22">
        <f>IF(변동분석!$A52="","",변동분석!$E52)</f>
        <v/>
      </c>
      <c r="B52" s="22">
        <f>IF($A52="","",변동분석!$B52&amp;" "&amp;변동분석!$D52)</f>
        <v/>
      </c>
      <c r="C52" s="29">
        <f>IF($A52="","",SUMIFS(전표_원본!$P$5:$P$100000,전표_원본!$O$5:$O$100000,$A52,전표_원본!$M$5:$M$100000,C$5))</f>
        <v/>
      </c>
      <c r="D52" s="29">
        <f>IF($A52="","",SUMIFS(전표_원본!$P$5:$P$100000,전표_원본!$O$5:$O$100000,$A52,전표_원본!$M$5:$M$100000,D$5))</f>
        <v/>
      </c>
      <c r="E52" s="29">
        <f>IF($A52="","",SUMIFS(전표_원본!$P$5:$P$100000,전표_원본!$O$5:$O$100000,$A52,전표_원본!$M$5:$M$100000,E$5))</f>
        <v/>
      </c>
      <c r="F52" s="29">
        <f>IF($A52="","",SUMIFS(전표_원본!$P$5:$P$100000,전표_원본!$O$5:$O$100000,$A52,전표_원본!$M$5:$M$100000,F$5))</f>
        <v/>
      </c>
      <c r="G52" s="29">
        <f>IF($A52="","",SUMIFS(전표_원본!$P$5:$P$100000,전표_원본!$O$5:$O$100000,$A52,전표_원본!$M$5:$M$100000,G$5))</f>
        <v/>
      </c>
      <c r="H52" s="29">
        <f>IF($A52="","",SUMIFS(전표_원본!$P$5:$P$100000,전표_원본!$O$5:$O$100000,$A52,전표_원본!$M$5:$M$100000,H$5))</f>
        <v/>
      </c>
      <c r="I52" s="29">
        <f>IF($A52="","",SUMIFS(전표_원본!$P$5:$P$100000,전표_원본!$O$5:$O$100000,$A52,전표_원본!$M$5:$M$100000,I$5))</f>
        <v/>
      </c>
      <c r="J52" s="29">
        <f>IF($A52="","",SUMIFS(전표_원본!$P$5:$P$100000,전표_원본!$O$5:$O$100000,$A52,전표_원본!$M$5:$M$100000,J$5))</f>
        <v/>
      </c>
      <c r="K52" s="29">
        <f>IF($A52="","",SUMIFS(전표_원본!$P$5:$P$100000,전표_원본!$O$5:$O$100000,$A52,전표_원본!$M$5:$M$100000,K$5))</f>
        <v/>
      </c>
      <c r="L52" s="29">
        <f>IF($A52="","",SUMIFS(전표_원본!$P$5:$P$100000,전표_원본!$O$5:$O$100000,$A52,전표_원본!$M$5:$M$100000,L$5))</f>
        <v/>
      </c>
      <c r="M52" s="29">
        <f>IF($A52="","",SUMIFS(전표_원본!$P$5:$P$100000,전표_원본!$O$5:$O$100000,$A52,전표_원본!$M$5:$M$100000,M$5))</f>
        <v/>
      </c>
      <c r="N52" s="29">
        <f>IF($A52="","",SUMIFS(전표_원본!$P$5:$P$100000,전표_원본!$O$5:$O$100000,$A52,전표_원본!$M$5:$M$100000,N$5))</f>
        <v/>
      </c>
      <c r="O52" s="29">
        <f>IF($A52="","",SUMIFS(전표_원본!$P$5:$P$100000,전표_원본!$O$5:$O$100000,$A52,전표_원본!$M$5:$M$100000,O$5))</f>
        <v/>
      </c>
      <c r="P52" s="29">
        <f>IF($A52="","",SUMIFS(전표_원본!$P$5:$P$100000,전표_원본!$O$5:$O$100000,$A52,전표_원본!$M$5:$M$100000,P$5))</f>
        <v/>
      </c>
      <c r="Q52" s="29">
        <f>IF($A52="","",SUMIFS(전표_원본!$P$5:$P$100000,전표_원본!$O$5:$O$100000,$A52,전표_원본!$M$5:$M$100000,Q$5))</f>
        <v/>
      </c>
      <c r="R52" s="29">
        <f>IF($A52="","",SUMIFS(전표_원본!$P$5:$P$100000,전표_원본!$O$5:$O$100000,$A52,전표_원본!$M$5:$M$100000,R$5))</f>
        <v/>
      </c>
      <c r="S52" s="29">
        <f>IF($A52="","",SUMIFS(전표_원본!$P$5:$P$100000,전표_원본!$O$5:$O$100000,$A52,전표_원본!$M$5:$M$100000,S$5))</f>
        <v/>
      </c>
      <c r="T52" s="29">
        <f>IF($A52="","",SUMIFS(전표_원본!$P$5:$P$100000,전표_원본!$O$5:$O$100000,$A52,전표_원본!$M$5:$M$100000,T$5))</f>
        <v/>
      </c>
      <c r="U52" s="29">
        <f>IF($A52="","",SUMIFS(전표_원본!$P$5:$P$100000,전표_원본!$O$5:$O$100000,$A52,전표_원본!$M$5:$M$100000,U$5))</f>
        <v/>
      </c>
      <c r="V52" s="29">
        <f>IF($A52="","",SUMIFS(전표_원본!$P$5:$P$100000,전표_원본!$O$5:$O$100000,$A52,전표_원본!$M$5:$M$100000,V$5))</f>
        <v/>
      </c>
      <c r="W52" s="29">
        <f>IF($A52="","",SUMIFS(전표_원본!$P$5:$P$100000,전표_원본!$O$5:$O$100000,$A52,전표_원본!$M$5:$M$100000,W$5))</f>
        <v/>
      </c>
      <c r="X52" s="29">
        <f>IF($A52="","",SUMIFS(전표_원본!$P$5:$P$100000,전표_원본!$O$5:$O$100000,$A52,전표_원본!$M$5:$M$100000,X$5))</f>
        <v/>
      </c>
      <c r="Y52" s="29">
        <f>IF($A52="","",SUMIFS(전표_원본!$P$5:$P$100000,전표_원본!$O$5:$O$100000,$A52,전표_원본!$M$5:$M$100000,Y$5))</f>
        <v/>
      </c>
      <c r="Z52" s="29">
        <f>IF($A52="","",SUMIFS(전표_원본!$P$5:$P$100000,전표_원본!$O$5:$O$100000,$A52,전표_원본!$M$5:$M$100000,Z$5))</f>
        <v/>
      </c>
    </row>
    <row r="53">
      <c r="A53" s="22">
        <f>IF(변동분석!$A53="","",변동분석!$E53)</f>
        <v/>
      </c>
      <c r="B53" s="22">
        <f>IF($A53="","",변동분석!$B53&amp;" "&amp;변동분석!$D53)</f>
        <v/>
      </c>
      <c r="C53" s="29">
        <f>IF($A53="","",SUMIFS(전표_원본!$P$5:$P$100000,전표_원본!$O$5:$O$100000,$A53,전표_원본!$M$5:$M$100000,C$5))</f>
        <v/>
      </c>
      <c r="D53" s="29">
        <f>IF($A53="","",SUMIFS(전표_원본!$P$5:$P$100000,전표_원본!$O$5:$O$100000,$A53,전표_원본!$M$5:$M$100000,D$5))</f>
        <v/>
      </c>
      <c r="E53" s="29">
        <f>IF($A53="","",SUMIFS(전표_원본!$P$5:$P$100000,전표_원본!$O$5:$O$100000,$A53,전표_원본!$M$5:$M$100000,E$5))</f>
        <v/>
      </c>
      <c r="F53" s="29">
        <f>IF($A53="","",SUMIFS(전표_원본!$P$5:$P$100000,전표_원본!$O$5:$O$100000,$A53,전표_원본!$M$5:$M$100000,F$5))</f>
        <v/>
      </c>
      <c r="G53" s="29">
        <f>IF($A53="","",SUMIFS(전표_원본!$P$5:$P$100000,전표_원본!$O$5:$O$100000,$A53,전표_원본!$M$5:$M$100000,G$5))</f>
        <v/>
      </c>
      <c r="H53" s="29">
        <f>IF($A53="","",SUMIFS(전표_원본!$P$5:$P$100000,전표_원본!$O$5:$O$100000,$A53,전표_원본!$M$5:$M$100000,H$5))</f>
        <v/>
      </c>
      <c r="I53" s="29">
        <f>IF($A53="","",SUMIFS(전표_원본!$P$5:$P$100000,전표_원본!$O$5:$O$100000,$A53,전표_원본!$M$5:$M$100000,I$5))</f>
        <v/>
      </c>
      <c r="J53" s="29">
        <f>IF($A53="","",SUMIFS(전표_원본!$P$5:$P$100000,전표_원본!$O$5:$O$100000,$A53,전표_원본!$M$5:$M$100000,J$5))</f>
        <v/>
      </c>
      <c r="K53" s="29">
        <f>IF($A53="","",SUMIFS(전표_원본!$P$5:$P$100000,전표_원본!$O$5:$O$100000,$A53,전표_원본!$M$5:$M$100000,K$5))</f>
        <v/>
      </c>
      <c r="L53" s="29">
        <f>IF($A53="","",SUMIFS(전표_원본!$P$5:$P$100000,전표_원본!$O$5:$O$100000,$A53,전표_원본!$M$5:$M$100000,L$5))</f>
        <v/>
      </c>
      <c r="M53" s="29">
        <f>IF($A53="","",SUMIFS(전표_원본!$P$5:$P$100000,전표_원본!$O$5:$O$100000,$A53,전표_원본!$M$5:$M$100000,M$5))</f>
        <v/>
      </c>
      <c r="N53" s="29">
        <f>IF($A53="","",SUMIFS(전표_원본!$P$5:$P$100000,전표_원본!$O$5:$O$100000,$A53,전표_원본!$M$5:$M$100000,N$5))</f>
        <v/>
      </c>
      <c r="O53" s="29">
        <f>IF($A53="","",SUMIFS(전표_원본!$P$5:$P$100000,전표_원본!$O$5:$O$100000,$A53,전표_원본!$M$5:$M$100000,O$5))</f>
        <v/>
      </c>
      <c r="P53" s="29">
        <f>IF($A53="","",SUMIFS(전표_원본!$P$5:$P$100000,전표_원본!$O$5:$O$100000,$A53,전표_원본!$M$5:$M$100000,P$5))</f>
        <v/>
      </c>
      <c r="Q53" s="29">
        <f>IF($A53="","",SUMIFS(전표_원본!$P$5:$P$100000,전표_원본!$O$5:$O$100000,$A53,전표_원본!$M$5:$M$100000,Q$5))</f>
        <v/>
      </c>
      <c r="R53" s="29">
        <f>IF($A53="","",SUMIFS(전표_원본!$P$5:$P$100000,전표_원본!$O$5:$O$100000,$A53,전표_원본!$M$5:$M$100000,R$5))</f>
        <v/>
      </c>
      <c r="S53" s="29">
        <f>IF($A53="","",SUMIFS(전표_원본!$P$5:$P$100000,전표_원본!$O$5:$O$100000,$A53,전표_원본!$M$5:$M$100000,S$5))</f>
        <v/>
      </c>
      <c r="T53" s="29">
        <f>IF($A53="","",SUMIFS(전표_원본!$P$5:$P$100000,전표_원본!$O$5:$O$100000,$A53,전표_원본!$M$5:$M$100000,T$5))</f>
        <v/>
      </c>
      <c r="U53" s="29">
        <f>IF($A53="","",SUMIFS(전표_원본!$P$5:$P$100000,전표_원본!$O$5:$O$100000,$A53,전표_원본!$M$5:$M$100000,U$5))</f>
        <v/>
      </c>
      <c r="V53" s="29">
        <f>IF($A53="","",SUMIFS(전표_원본!$P$5:$P$100000,전표_원본!$O$5:$O$100000,$A53,전표_원본!$M$5:$M$100000,V$5))</f>
        <v/>
      </c>
      <c r="W53" s="29">
        <f>IF($A53="","",SUMIFS(전표_원본!$P$5:$P$100000,전표_원본!$O$5:$O$100000,$A53,전표_원본!$M$5:$M$100000,W$5))</f>
        <v/>
      </c>
      <c r="X53" s="29">
        <f>IF($A53="","",SUMIFS(전표_원본!$P$5:$P$100000,전표_원본!$O$5:$O$100000,$A53,전표_원본!$M$5:$M$100000,X$5))</f>
        <v/>
      </c>
      <c r="Y53" s="29">
        <f>IF($A53="","",SUMIFS(전표_원본!$P$5:$P$100000,전표_원본!$O$5:$O$100000,$A53,전표_원본!$M$5:$M$100000,Y$5))</f>
        <v/>
      </c>
      <c r="Z53" s="29">
        <f>IF($A53="","",SUMIFS(전표_원본!$P$5:$P$100000,전표_원본!$O$5:$O$100000,$A53,전표_원본!$M$5:$M$100000,Z$5))</f>
        <v/>
      </c>
    </row>
    <row r="54">
      <c r="A54" s="22">
        <f>IF(변동분석!$A54="","",변동분석!$E54)</f>
        <v/>
      </c>
      <c r="B54" s="22">
        <f>IF($A54="","",변동분석!$B54&amp;" "&amp;변동분석!$D54)</f>
        <v/>
      </c>
      <c r="C54" s="29">
        <f>IF($A54="","",SUMIFS(전표_원본!$P$5:$P$100000,전표_원본!$O$5:$O$100000,$A54,전표_원본!$M$5:$M$100000,C$5))</f>
        <v/>
      </c>
      <c r="D54" s="29">
        <f>IF($A54="","",SUMIFS(전표_원본!$P$5:$P$100000,전표_원본!$O$5:$O$100000,$A54,전표_원본!$M$5:$M$100000,D$5))</f>
        <v/>
      </c>
      <c r="E54" s="29">
        <f>IF($A54="","",SUMIFS(전표_원본!$P$5:$P$100000,전표_원본!$O$5:$O$100000,$A54,전표_원본!$M$5:$M$100000,E$5))</f>
        <v/>
      </c>
      <c r="F54" s="29">
        <f>IF($A54="","",SUMIFS(전표_원본!$P$5:$P$100000,전표_원본!$O$5:$O$100000,$A54,전표_원본!$M$5:$M$100000,F$5))</f>
        <v/>
      </c>
      <c r="G54" s="29">
        <f>IF($A54="","",SUMIFS(전표_원본!$P$5:$P$100000,전표_원본!$O$5:$O$100000,$A54,전표_원본!$M$5:$M$100000,G$5))</f>
        <v/>
      </c>
      <c r="H54" s="29">
        <f>IF($A54="","",SUMIFS(전표_원본!$P$5:$P$100000,전표_원본!$O$5:$O$100000,$A54,전표_원본!$M$5:$M$100000,H$5))</f>
        <v/>
      </c>
      <c r="I54" s="29">
        <f>IF($A54="","",SUMIFS(전표_원본!$P$5:$P$100000,전표_원본!$O$5:$O$100000,$A54,전표_원본!$M$5:$M$100000,I$5))</f>
        <v/>
      </c>
      <c r="J54" s="29">
        <f>IF($A54="","",SUMIFS(전표_원본!$P$5:$P$100000,전표_원본!$O$5:$O$100000,$A54,전표_원본!$M$5:$M$100000,J$5))</f>
        <v/>
      </c>
      <c r="K54" s="29">
        <f>IF($A54="","",SUMIFS(전표_원본!$P$5:$P$100000,전표_원본!$O$5:$O$100000,$A54,전표_원본!$M$5:$M$100000,K$5))</f>
        <v/>
      </c>
      <c r="L54" s="29">
        <f>IF($A54="","",SUMIFS(전표_원본!$P$5:$P$100000,전표_원본!$O$5:$O$100000,$A54,전표_원본!$M$5:$M$100000,L$5))</f>
        <v/>
      </c>
      <c r="M54" s="29">
        <f>IF($A54="","",SUMIFS(전표_원본!$P$5:$P$100000,전표_원본!$O$5:$O$100000,$A54,전표_원본!$M$5:$M$100000,M$5))</f>
        <v/>
      </c>
      <c r="N54" s="29">
        <f>IF($A54="","",SUMIFS(전표_원본!$P$5:$P$100000,전표_원본!$O$5:$O$100000,$A54,전표_원본!$M$5:$M$100000,N$5))</f>
        <v/>
      </c>
      <c r="O54" s="29">
        <f>IF($A54="","",SUMIFS(전표_원본!$P$5:$P$100000,전표_원본!$O$5:$O$100000,$A54,전표_원본!$M$5:$M$100000,O$5))</f>
        <v/>
      </c>
      <c r="P54" s="29">
        <f>IF($A54="","",SUMIFS(전표_원본!$P$5:$P$100000,전표_원본!$O$5:$O$100000,$A54,전표_원본!$M$5:$M$100000,P$5))</f>
        <v/>
      </c>
      <c r="Q54" s="29">
        <f>IF($A54="","",SUMIFS(전표_원본!$P$5:$P$100000,전표_원본!$O$5:$O$100000,$A54,전표_원본!$M$5:$M$100000,Q$5))</f>
        <v/>
      </c>
      <c r="R54" s="29">
        <f>IF($A54="","",SUMIFS(전표_원본!$P$5:$P$100000,전표_원본!$O$5:$O$100000,$A54,전표_원본!$M$5:$M$100000,R$5))</f>
        <v/>
      </c>
      <c r="S54" s="29">
        <f>IF($A54="","",SUMIFS(전표_원본!$P$5:$P$100000,전표_원본!$O$5:$O$100000,$A54,전표_원본!$M$5:$M$100000,S$5))</f>
        <v/>
      </c>
      <c r="T54" s="29">
        <f>IF($A54="","",SUMIFS(전표_원본!$P$5:$P$100000,전표_원본!$O$5:$O$100000,$A54,전표_원본!$M$5:$M$100000,T$5))</f>
        <v/>
      </c>
      <c r="U54" s="29">
        <f>IF($A54="","",SUMIFS(전표_원본!$P$5:$P$100000,전표_원본!$O$5:$O$100000,$A54,전표_원본!$M$5:$M$100000,U$5))</f>
        <v/>
      </c>
      <c r="V54" s="29">
        <f>IF($A54="","",SUMIFS(전표_원본!$P$5:$P$100000,전표_원본!$O$5:$O$100000,$A54,전표_원본!$M$5:$M$100000,V$5))</f>
        <v/>
      </c>
      <c r="W54" s="29">
        <f>IF($A54="","",SUMIFS(전표_원본!$P$5:$P$100000,전표_원본!$O$5:$O$100000,$A54,전표_원본!$M$5:$M$100000,W$5))</f>
        <v/>
      </c>
      <c r="X54" s="29">
        <f>IF($A54="","",SUMIFS(전표_원본!$P$5:$P$100000,전표_원본!$O$5:$O$100000,$A54,전표_원본!$M$5:$M$100000,X$5))</f>
        <v/>
      </c>
      <c r="Y54" s="29">
        <f>IF($A54="","",SUMIFS(전표_원본!$P$5:$P$100000,전표_원본!$O$5:$O$100000,$A54,전표_원본!$M$5:$M$100000,Y$5))</f>
        <v/>
      </c>
      <c r="Z54" s="29">
        <f>IF($A54="","",SUMIFS(전표_원본!$P$5:$P$100000,전표_원본!$O$5:$O$100000,$A54,전표_원본!$M$5:$M$100000,Z$5))</f>
        <v/>
      </c>
    </row>
    <row r="55">
      <c r="A55" s="22">
        <f>IF(변동분석!$A55="","",변동분석!$E55)</f>
        <v/>
      </c>
      <c r="B55" s="22">
        <f>IF($A55="","",변동분석!$B55&amp;" "&amp;변동분석!$D55)</f>
        <v/>
      </c>
      <c r="C55" s="29">
        <f>IF($A55="","",SUMIFS(전표_원본!$P$5:$P$100000,전표_원본!$O$5:$O$100000,$A55,전표_원본!$M$5:$M$100000,C$5))</f>
        <v/>
      </c>
      <c r="D55" s="29">
        <f>IF($A55="","",SUMIFS(전표_원본!$P$5:$P$100000,전표_원본!$O$5:$O$100000,$A55,전표_원본!$M$5:$M$100000,D$5))</f>
        <v/>
      </c>
      <c r="E55" s="29">
        <f>IF($A55="","",SUMIFS(전표_원본!$P$5:$P$100000,전표_원본!$O$5:$O$100000,$A55,전표_원본!$M$5:$M$100000,E$5))</f>
        <v/>
      </c>
      <c r="F55" s="29">
        <f>IF($A55="","",SUMIFS(전표_원본!$P$5:$P$100000,전표_원본!$O$5:$O$100000,$A55,전표_원본!$M$5:$M$100000,F$5))</f>
        <v/>
      </c>
      <c r="G55" s="29">
        <f>IF($A55="","",SUMIFS(전표_원본!$P$5:$P$100000,전표_원본!$O$5:$O$100000,$A55,전표_원본!$M$5:$M$100000,G$5))</f>
        <v/>
      </c>
      <c r="H55" s="29">
        <f>IF($A55="","",SUMIFS(전표_원본!$P$5:$P$100000,전표_원본!$O$5:$O$100000,$A55,전표_원본!$M$5:$M$100000,H$5))</f>
        <v/>
      </c>
      <c r="I55" s="29">
        <f>IF($A55="","",SUMIFS(전표_원본!$P$5:$P$100000,전표_원본!$O$5:$O$100000,$A55,전표_원본!$M$5:$M$100000,I$5))</f>
        <v/>
      </c>
      <c r="J55" s="29">
        <f>IF($A55="","",SUMIFS(전표_원본!$P$5:$P$100000,전표_원본!$O$5:$O$100000,$A55,전표_원본!$M$5:$M$100000,J$5))</f>
        <v/>
      </c>
      <c r="K55" s="29">
        <f>IF($A55="","",SUMIFS(전표_원본!$P$5:$P$100000,전표_원본!$O$5:$O$100000,$A55,전표_원본!$M$5:$M$100000,K$5))</f>
        <v/>
      </c>
      <c r="L55" s="29">
        <f>IF($A55="","",SUMIFS(전표_원본!$P$5:$P$100000,전표_원본!$O$5:$O$100000,$A55,전표_원본!$M$5:$M$100000,L$5))</f>
        <v/>
      </c>
      <c r="M55" s="29">
        <f>IF($A55="","",SUMIFS(전표_원본!$P$5:$P$100000,전표_원본!$O$5:$O$100000,$A55,전표_원본!$M$5:$M$100000,M$5))</f>
        <v/>
      </c>
      <c r="N55" s="29">
        <f>IF($A55="","",SUMIFS(전표_원본!$P$5:$P$100000,전표_원본!$O$5:$O$100000,$A55,전표_원본!$M$5:$M$100000,N$5))</f>
        <v/>
      </c>
      <c r="O55" s="29">
        <f>IF($A55="","",SUMIFS(전표_원본!$P$5:$P$100000,전표_원본!$O$5:$O$100000,$A55,전표_원본!$M$5:$M$100000,O$5))</f>
        <v/>
      </c>
      <c r="P55" s="29">
        <f>IF($A55="","",SUMIFS(전표_원본!$P$5:$P$100000,전표_원본!$O$5:$O$100000,$A55,전표_원본!$M$5:$M$100000,P$5))</f>
        <v/>
      </c>
      <c r="Q55" s="29">
        <f>IF($A55="","",SUMIFS(전표_원본!$P$5:$P$100000,전표_원본!$O$5:$O$100000,$A55,전표_원본!$M$5:$M$100000,Q$5))</f>
        <v/>
      </c>
      <c r="R55" s="29">
        <f>IF($A55="","",SUMIFS(전표_원본!$P$5:$P$100000,전표_원본!$O$5:$O$100000,$A55,전표_원본!$M$5:$M$100000,R$5))</f>
        <v/>
      </c>
      <c r="S55" s="29">
        <f>IF($A55="","",SUMIFS(전표_원본!$P$5:$P$100000,전표_원본!$O$5:$O$100000,$A55,전표_원본!$M$5:$M$100000,S$5))</f>
        <v/>
      </c>
      <c r="T55" s="29">
        <f>IF($A55="","",SUMIFS(전표_원본!$P$5:$P$100000,전표_원본!$O$5:$O$100000,$A55,전표_원본!$M$5:$M$100000,T$5))</f>
        <v/>
      </c>
      <c r="U55" s="29">
        <f>IF($A55="","",SUMIFS(전표_원본!$P$5:$P$100000,전표_원본!$O$5:$O$100000,$A55,전표_원본!$M$5:$M$100000,U$5))</f>
        <v/>
      </c>
      <c r="V55" s="29">
        <f>IF($A55="","",SUMIFS(전표_원본!$P$5:$P$100000,전표_원본!$O$5:$O$100000,$A55,전표_원본!$M$5:$M$100000,V$5))</f>
        <v/>
      </c>
      <c r="W55" s="29">
        <f>IF($A55="","",SUMIFS(전표_원본!$P$5:$P$100000,전표_원본!$O$5:$O$100000,$A55,전표_원본!$M$5:$M$100000,W$5))</f>
        <v/>
      </c>
      <c r="X55" s="29">
        <f>IF($A55="","",SUMIFS(전표_원본!$P$5:$P$100000,전표_원본!$O$5:$O$100000,$A55,전표_원본!$M$5:$M$100000,X$5))</f>
        <v/>
      </c>
      <c r="Y55" s="29">
        <f>IF($A55="","",SUMIFS(전표_원본!$P$5:$P$100000,전표_원본!$O$5:$O$100000,$A55,전표_원본!$M$5:$M$100000,Y$5))</f>
        <v/>
      </c>
      <c r="Z55" s="29">
        <f>IF($A55="","",SUMIFS(전표_원본!$P$5:$P$100000,전표_원본!$O$5:$O$100000,$A55,전표_원본!$M$5:$M$100000,Z$5))</f>
        <v/>
      </c>
    </row>
    <row r="56">
      <c r="A56" s="22">
        <f>IF(변동분석!$A56="","",변동분석!$E56)</f>
        <v/>
      </c>
      <c r="B56" s="22">
        <f>IF($A56="","",변동분석!$B56&amp;" "&amp;변동분석!$D56)</f>
        <v/>
      </c>
      <c r="C56" s="29">
        <f>IF($A56="","",SUMIFS(전표_원본!$P$5:$P$100000,전표_원본!$O$5:$O$100000,$A56,전표_원본!$M$5:$M$100000,C$5))</f>
        <v/>
      </c>
      <c r="D56" s="29">
        <f>IF($A56="","",SUMIFS(전표_원본!$P$5:$P$100000,전표_원본!$O$5:$O$100000,$A56,전표_원본!$M$5:$M$100000,D$5))</f>
        <v/>
      </c>
      <c r="E56" s="29">
        <f>IF($A56="","",SUMIFS(전표_원본!$P$5:$P$100000,전표_원본!$O$5:$O$100000,$A56,전표_원본!$M$5:$M$100000,E$5))</f>
        <v/>
      </c>
      <c r="F56" s="29">
        <f>IF($A56="","",SUMIFS(전표_원본!$P$5:$P$100000,전표_원본!$O$5:$O$100000,$A56,전표_원본!$M$5:$M$100000,F$5))</f>
        <v/>
      </c>
      <c r="G56" s="29">
        <f>IF($A56="","",SUMIFS(전표_원본!$P$5:$P$100000,전표_원본!$O$5:$O$100000,$A56,전표_원본!$M$5:$M$100000,G$5))</f>
        <v/>
      </c>
      <c r="H56" s="29">
        <f>IF($A56="","",SUMIFS(전표_원본!$P$5:$P$100000,전표_원본!$O$5:$O$100000,$A56,전표_원본!$M$5:$M$100000,H$5))</f>
        <v/>
      </c>
      <c r="I56" s="29">
        <f>IF($A56="","",SUMIFS(전표_원본!$P$5:$P$100000,전표_원본!$O$5:$O$100000,$A56,전표_원본!$M$5:$M$100000,I$5))</f>
        <v/>
      </c>
      <c r="J56" s="29">
        <f>IF($A56="","",SUMIFS(전표_원본!$P$5:$P$100000,전표_원본!$O$5:$O$100000,$A56,전표_원본!$M$5:$M$100000,J$5))</f>
        <v/>
      </c>
      <c r="K56" s="29">
        <f>IF($A56="","",SUMIFS(전표_원본!$P$5:$P$100000,전표_원본!$O$5:$O$100000,$A56,전표_원본!$M$5:$M$100000,K$5))</f>
        <v/>
      </c>
      <c r="L56" s="29">
        <f>IF($A56="","",SUMIFS(전표_원본!$P$5:$P$100000,전표_원본!$O$5:$O$100000,$A56,전표_원본!$M$5:$M$100000,L$5))</f>
        <v/>
      </c>
      <c r="M56" s="29">
        <f>IF($A56="","",SUMIFS(전표_원본!$P$5:$P$100000,전표_원본!$O$5:$O$100000,$A56,전표_원본!$M$5:$M$100000,M$5))</f>
        <v/>
      </c>
      <c r="N56" s="29">
        <f>IF($A56="","",SUMIFS(전표_원본!$P$5:$P$100000,전표_원본!$O$5:$O$100000,$A56,전표_원본!$M$5:$M$100000,N$5))</f>
        <v/>
      </c>
      <c r="O56" s="29">
        <f>IF($A56="","",SUMIFS(전표_원본!$P$5:$P$100000,전표_원본!$O$5:$O$100000,$A56,전표_원본!$M$5:$M$100000,O$5))</f>
        <v/>
      </c>
      <c r="P56" s="29">
        <f>IF($A56="","",SUMIFS(전표_원본!$P$5:$P$100000,전표_원본!$O$5:$O$100000,$A56,전표_원본!$M$5:$M$100000,P$5))</f>
        <v/>
      </c>
      <c r="Q56" s="29">
        <f>IF($A56="","",SUMIFS(전표_원본!$P$5:$P$100000,전표_원본!$O$5:$O$100000,$A56,전표_원본!$M$5:$M$100000,Q$5))</f>
        <v/>
      </c>
      <c r="R56" s="29">
        <f>IF($A56="","",SUMIFS(전표_원본!$P$5:$P$100000,전표_원본!$O$5:$O$100000,$A56,전표_원본!$M$5:$M$100000,R$5))</f>
        <v/>
      </c>
      <c r="S56" s="29">
        <f>IF($A56="","",SUMIFS(전표_원본!$P$5:$P$100000,전표_원본!$O$5:$O$100000,$A56,전표_원본!$M$5:$M$100000,S$5))</f>
        <v/>
      </c>
      <c r="T56" s="29">
        <f>IF($A56="","",SUMIFS(전표_원본!$P$5:$P$100000,전표_원본!$O$5:$O$100000,$A56,전표_원본!$M$5:$M$100000,T$5))</f>
        <v/>
      </c>
      <c r="U56" s="29">
        <f>IF($A56="","",SUMIFS(전표_원본!$P$5:$P$100000,전표_원본!$O$5:$O$100000,$A56,전표_원본!$M$5:$M$100000,U$5))</f>
        <v/>
      </c>
      <c r="V56" s="29">
        <f>IF($A56="","",SUMIFS(전표_원본!$P$5:$P$100000,전표_원본!$O$5:$O$100000,$A56,전표_원본!$M$5:$M$100000,V$5))</f>
        <v/>
      </c>
      <c r="W56" s="29">
        <f>IF($A56="","",SUMIFS(전표_원본!$P$5:$P$100000,전표_원본!$O$5:$O$100000,$A56,전표_원본!$M$5:$M$100000,W$5))</f>
        <v/>
      </c>
      <c r="X56" s="29">
        <f>IF($A56="","",SUMIFS(전표_원본!$P$5:$P$100000,전표_원본!$O$5:$O$100000,$A56,전표_원본!$M$5:$M$100000,X$5))</f>
        <v/>
      </c>
      <c r="Y56" s="29">
        <f>IF($A56="","",SUMIFS(전표_원본!$P$5:$P$100000,전표_원본!$O$5:$O$100000,$A56,전표_원본!$M$5:$M$100000,Y$5))</f>
        <v/>
      </c>
      <c r="Z56" s="29">
        <f>IF($A56="","",SUMIFS(전표_원본!$P$5:$P$100000,전표_원본!$O$5:$O$100000,$A56,전표_원본!$M$5:$M$100000,Z$5))</f>
        <v/>
      </c>
    </row>
    <row r="57">
      <c r="A57" s="22">
        <f>IF(변동분석!$A57="","",변동분석!$E57)</f>
        <v/>
      </c>
      <c r="B57" s="22">
        <f>IF($A57="","",변동분석!$B57&amp;" "&amp;변동분석!$D57)</f>
        <v/>
      </c>
      <c r="C57" s="29">
        <f>IF($A57="","",SUMIFS(전표_원본!$P$5:$P$100000,전표_원본!$O$5:$O$100000,$A57,전표_원본!$M$5:$M$100000,C$5))</f>
        <v/>
      </c>
      <c r="D57" s="29">
        <f>IF($A57="","",SUMIFS(전표_원본!$P$5:$P$100000,전표_원본!$O$5:$O$100000,$A57,전표_원본!$M$5:$M$100000,D$5))</f>
        <v/>
      </c>
      <c r="E57" s="29">
        <f>IF($A57="","",SUMIFS(전표_원본!$P$5:$P$100000,전표_원본!$O$5:$O$100000,$A57,전표_원본!$M$5:$M$100000,E$5))</f>
        <v/>
      </c>
      <c r="F57" s="29">
        <f>IF($A57="","",SUMIFS(전표_원본!$P$5:$P$100000,전표_원본!$O$5:$O$100000,$A57,전표_원본!$M$5:$M$100000,F$5))</f>
        <v/>
      </c>
      <c r="G57" s="29">
        <f>IF($A57="","",SUMIFS(전표_원본!$P$5:$P$100000,전표_원본!$O$5:$O$100000,$A57,전표_원본!$M$5:$M$100000,G$5))</f>
        <v/>
      </c>
      <c r="H57" s="29">
        <f>IF($A57="","",SUMIFS(전표_원본!$P$5:$P$100000,전표_원본!$O$5:$O$100000,$A57,전표_원본!$M$5:$M$100000,H$5))</f>
        <v/>
      </c>
      <c r="I57" s="29">
        <f>IF($A57="","",SUMIFS(전표_원본!$P$5:$P$100000,전표_원본!$O$5:$O$100000,$A57,전표_원본!$M$5:$M$100000,I$5))</f>
        <v/>
      </c>
      <c r="J57" s="29">
        <f>IF($A57="","",SUMIFS(전표_원본!$P$5:$P$100000,전표_원본!$O$5:$O$100000,$A57,전표_원본!$M$5:$M$100000,J$5))</f>
        <v/>
      </c>
      <c r="K57" s="29">
        <f>IF($A57="","",SUMIFS(전표_원본!$P$5:$P$100000,전표_원본!$O$5:$O$100000,$A57,전표_원본!$M$5:$M$100000,K$5))</f>
        <v/>
      </c>
      <c r="L57" s="29">
        <f>IF($A57="","",SUMIFS(전표_원본!$P$5:$P$100000,전표_원본!$O$5:$O$100000,$A57,전표_원본!$M$5:$M$100000,L$5))</f>
        <v/>
      </c>
      <c r="M57" s="29">
        <f>IF($A57="","",SUMIFS(전표_원본!$P$5:$P$100000,전표_원본!$O$5:$O$100000,$A57,전표_원본!$M$5:$M$100000,M$5))</f>
        <v/>
      </c>
      <c r="N57" s="29">
        <f>IF($A57="","",SUMIFS(전표_원본!$P$5:$P$100000,전표_원본!$O$5:$O$100000,$A57,전표_원본!$M$5:$M$100000,N$5))</f>
        <v/>
      </c>
      <c r="O57" s="29">
        <f>IF($A57="","",SUMIFS(전표_원본!$P$5:$P$100000,전표_원본!$O$5:$O$100000,$A57,전표_원본!$M$5:$M$100000,O$5))</f>
        <v/>
      </c>
      <c r="P57" s="29">
        <f>IF($A57="","",SUMIFS(전표_원본!$P$5:$P$100000,전표_원본!$O$5:$O$100000,$A57,전표_원본!$M$5:$M$100000,P$5))</f>
        <v/>
      </c>
      <c r="Q57" s="29">
        <f>IF($A57="","",SUMIFS(전표_원본!$P$5:$P$100000,전표_원본!$O$5:$O$100000,$A57,전표_원본!$M$5:$M$100000,Q$5))</f>
        <v/>
      </c>
      <c r="R57" s="29">
        <f>IF($A57="","",SUMIFS(전표_원본!$P$5:$P$100000,전표_원본!$O$5:$O$100000,$A57,전표_원본!$M$5:$M$100000,R$5))</f>
        <v/>
      </c>
      <c r="S57" s="29">
        <f>IF($A57="","",SUMIFS(전표_원본!$P$5:$P$100000,전표_원본!$O$5:$O$100000,$A57,전표_원본!$M$5:$M$100000,S$5))</f>
        <v/>
      </c>
      <c r="T57" s="29">
        <f>IF($A57="","",SUMIFS(전표_원본!$P$5:$P$100000,전표_원본!$O$5:$O$100000,$A57,전표_원본!$M$5:$M$100000,T$5))</f>
        <v/>
      </c>
      <c r="U57" s="29">
        <f>IF($A57="","",SUMIFS(전표_원본!$P$5:$P$100000,전표_원본!$O$5:$O$100000,$A57,전표_원본!$M$5:$M$100000,U$5))</f>
        <v/>
      </c>
      <c r="V57" s="29">
        <f>IF($A57="","",SUMIFS(전표_원본!$P$5:$P$100000,전표_원본!$O$5:$O$100000,$A57,전표_원본!$M$5:$M$100000,V$5))</f>
        <v/>
      </c>
      <c r="W57" s="29">
        <f>IF($A57="","",SUMIFS(전표_원본!$P$5:$P$100000,전표_원본!$O$5:$O$100000,$A57,전표_원본!$M$5:$M$100000,W$5))</f>
        <v/>
      </c>
      <c r="X57" s="29">
        <f>IF($A57="","",SUMIFS(전표_원본!$P$5:$P$100000,전표_원본!$O$5:$O$100000,$A57,전표_원본!$M$5:$M$100000,X$5))</f>
        <v/>
      </c>
      <c r="Y57" s="29">
        <f>IF($A57="","",SUMIFS(전표_원본!$P$5:$P$100000,전표_원본!$O$5:$O$100000,$A57,전표_원본!$M$5:$M$100000,Y$5))</f>
        <v/>
      </c>
      <c r="Z57" s="29">
        <f>IF($A57="","",SUMIFS(전표_원본!$P$5:$P$100000,전표_원본!$O$5:$O$100000,$A57,전표_원본!$M$5:$M$100000,Z$5))</f>
        <v/>
      </c>
    </row>
    <row r="58">
      <c r="A58" s="22">
        <f>IF(변동분석!$A58="","",변동분석!$E58)</f>
        <v/>
      </c>
      <c r="B58" s="22">
        <f>IF($A58="","",변동분석!$B58&amp;" "&amp;변동분석!$D58)</f>
        <v/>
      </c>
      <c r="C58" s="29">
        <f>IF($A58="","",SUMIFS(전표_원본!$P$5:$P$100000,전표_원본!$O$5:$O$100000,$A58,전표_원본!$M$5:$M$100000,C$5))</f>
        <v/>
      </c>
      <c r="D58" s="29">
        <f>IF($A58="","",SUMIFS(전표_원본!$P$5:$P$100000,전표_원본!$O$5:$O$100000,$A58,전표_원본!$M$5:$M$100000,D$5))</f>
        <v/>
      </c>
      <c r="E58" s="29">
        <f>IF($A58="","",SUMIFS(전표_원본!$P$5:$P$100000,전표_원본!$O$5:$O$100000,$A58,전표_원본!$M$5:$M$100000,E$5))</f>
        <v/>
      </c>
      <c r="F58" s="29">
        <f>IF($A58="","",SUMIFS(전표_원본!$P$5:$P$100000,전표_원본!$O$5:$O$100000,$A58,전표_원본!$M$5:$M$100000,F$5))</f>
        <v/>
      </c>
      <c r="G58" s="29">
        <f>IF($A58="","",SUMIFS(전표_원본!$P$5:$P$100000,전표_원본!$O$5:$O$100000,$A58,전표_원본!$M$5:$M$100000,G$5))</f>
        <v/>
      </c>
      <c r="H58" s="29">
        <f>IF($A58="","",SUMIFS(전표_원본!$P$5:$P$100000,전표_원본!$O$5:$O$100000,$A58,전표_원본!$M$5:$M$100000,H$5))</f>
        <v/>
      </c>
      <c r="I58" s="29">
        <f>IF($A58="","",SUMIFS(전표_원본!$P$5:$P$100000,전표_원본!$O$5:$O$100000,$A58,전표_원본!$M$5:$M$100000,I$5))</f>
        <v/>
      </c>
      <c r="J58" s="29">
        <f>IF($A58="","",SUMIFS(전표_원본!$P$5:$P$100000,전표_원본!$O$5:$O$100000,$A58,전표_원본!$M$5:$M$100000,J$5))</f>
        <v/>
      </c>
      <c r="K58" s="29">
        <f>IF($A58="","",SUMIFS(전표_원본!$P$5:$P$100000,전표_원본!$O$5:$O$100000,$A58,전표_원본!$M$5:$M$100000,K$5))</f>
        <v/>
      </c>
      <c r="L58" s="29">
        <f>IF($A58="","",SUMIFS(전표_원본!$P$5:$P$100000,전표_원본!$O$5:$O$100000,$A58,전표_원본!$M$5:$M$100000,L$5))</f>
        <v/>
      </c>
      <c r="M58" s="29">
        <f>IF($A58="","",SUMIFS(전표_원본!$P$5:$P$100000,전표_원본!$O$5:$O$100000,$A58,전표_원본!$M$5:$M$100000,M$5))</f>
        <v/>
      </c>
      <c r="N58" s="29">
        <f>IF($A58="","",SUMIFS(전표_원본!$P$5:$P$100000,전표_원본!$O$5:$O$100000,$A58,전표_원본!$M$5:$M$100000,N$5))</f>
        <v/>
      </c>
      <c r="O58" s="29">
        <f>IF($A58="","",SUMIFS(전표_원본!$P$5:$P$100000,전표_원본!$O$5:$O$100000,$A58,전표_원본!$M$5:$M$100000,O$5))</f>
        <v/>
      </c>
      <c r="P58" s="29">
        <f>IF($A58="","",SUMIFS(전표_원본!$P$5:$P$100000,전표_원본!$O$5:$O$100000,$A58,전표_원본!$M$5:$M$100000,P$5))</f>
        <v/>
      </c>
      <c r="Q58" s="29">
        <f>IF($A58="","",SUMIFS(전표_원본!$P$5:$P$100000,전표_원본!$O$5:$O$100000,$A58,전표_원본!$M$5:$M$100000,Q$5))</f>
        <v/>
      </c>
      <c r="R58" s="29">
        <f>IF($A58="","",SUMIFS(전표_원본!$P$5:$P$100000,전표_원본!$O$5:$O$100000,$A58,전표_원본!$M$5:$M$100000,R$5))</f>
        <v/>
      </c>
      <c r="S58" s="29">
        <f>IF($A58="","",SUMIFS(전표_원본!$P$5:$P$100000,전표_원본!$O$5:$O$100000,$A58,전표_원본!$M$5:$M$100000,S$5))</f>
        <v/>
      </c>
      <c r="T58" s="29">
        <f>IF($A58="","",SUMIFS(전표_원본!$P$5:$P$100000,전표_원본!$O$5:$O$100000,$A58,전표_원본!$M$5:$M$100000,T$5))</f>
        <v/>
      </c>
      <c r="U58" s="29">
        <f>IF($A58="","",SUMIFS(전표_원본!$P$5:$P$100000,전표_원본!$O$5:$O$100000,$A58,전표_원본!$M$5:$M$100000,U$5))</f>
        <v/>
      </c>
      <c r="V58" s="29">
        <f>IF($A58="","",SUMIFS(전표_원본!$P$5:$P$100000,전표_원본!$O$5:$O$100000,$A58,전표_원본!$M$5:$M$100000,V$5))</f>
        <v/>
      </c>
      <c r="W58" s="29">
        <f>IF($A58="","",SUMIFS(전표_원본!$P$5:$P$100000,전표_원본!$O$5:$O$100000,$A58,전표_원본!$M$5:$M$100000,W$5))</f>
        <v/>
      </c>
      <c r="X58" s="29">
        <f>IF($A58="","",SUMIFS(전표_원본!$P$5:$P$100000,전표_원본!$O$5:$O$100000,$A58,전표_원본!$M$5:$M$100000,X$5))</f>
        <v/>
      </c>
      <c r="Y58" s="29">
        <f>IF($A58="","",SUMIFS(전표_원본!$P$5:$P$100000,전표_원본!$O$5:$O$100000,$A58,전표_원본!$M$5:$M$100000,Y$5))</f>
        <v/>
      </c>
      <c r="Z58" s="29">
        <f>IF($A58="","",SUMIFS(전표_원본!$P$5:$P$100000,전표_원본!$O$5:$O$100000,$A58,전표_원본!$M$5:$M$100000,Z$5))</f>
        <v/>
      </c>
    </row>
    <row r="59">
      <c r="A59" s="22">
        <f>IF(변동분석!$A59="","",변동분석!$E59)</f>
        <v/>
      </c>
      <c r="B59" s="22">
        <f>IF($A59="","",변동분석!$B59&amp;" "&amp;변동분석!$D59)</f>
        <v/>
      </c>
      <c r="C59" s="29">
        <f>IF($A59="","",SUMIFS(전표_원본!$P$5:$P$100000,전표_원본!$O$5:$O$100000,$A59,전표_원본!$M$5:$M$100000,C$5))</f>
        <v/>
      </c>
      <c r="D59" s="29">
        <f>IF($A59="","",SUMIFS(전표_원본!$P$5:$P$100000,전표_원본!$O$5:$O$100000,$A59,전표_원본!$M$5:$M$100000,D$5))</f>
        <v/>
      </c>
      <c r="E59" s="29">
        <f>IF($A59="","",SUMIFS(전표_원본!$P$5:$P$100000,전표_원본!$O$5:$O$100000,$A59,전표_원본!$M$5:$M$100000,E$5))</f>
        <v/>
      </c>
      <c r="F59" s="29">
        <f>IF($A59="","",SUMIFS(전표_원본!$P$5:$P$100000,전표_원본!$O$5:$O$100000,$A59,전표_원본!$M$5:$M$100000,F$5))</f>
        <v/>
      </c>
      <c r="G59" s="29">
        <f>IF($A59="","",SUMIFS(전표_원본!$P$5:$P$100000,전표_원본!$O$5:$O$100000,$A59,전표_원본!$M$5:$M$100000,G$5))</f>
        <v/>
      </c>
      <c r="H59" s="29">
        <f>IF($A59="","",SUMIFS(전표_원본!$P$5:$P$100000,전표_원본!$O$5:$O$100000,$A59,전표_원본!$M$5:$M$100000,H$5))</f>
        <v/>
      </c>
      <c r="I59" s="29">
        <f>IF($A59="","",SUMIFS(전표_원본!$P$5:$P$100000,전표_원본!$O$5:$O$100000,$A59,전표_원본!$M$5:$M$100000,I$5))</f>
        <v/>
      </c>
      <c r="J59" s="29">
        <f>IF($A59="","",SUMIFS(전표_원본!$P$5:$P$100000,전표_원본!$O$5:$O$100000,$A59,전표_원본!$M$5:$M$100000,J$5))</f>
        <v/>
      </c>
      <c r="K59" s="29">
        <f>IF($A59="","",SUMIFS(전표_원본!$P$5:$P$100000,전표_원본!$O$5:$O$100000,$A59,전표_원본!$M$5:$M$100000,K$5))</f>
        <v/>
      </c>
      <c r="L59" s="29">
        <f>IF($A59="","",SUMIFS(전표_원본!$P$5:$P$100000,전표_원본!$O$5:$O$100000,$A59,전표_원본!$M$5:$M$100000,L$5))</f>
        <v/>
      </c>
      <c r="M59" s="29">
        <f>IF($A59="","",SUMIFS(전표_원본!$P$5:$P$100000,전표_원본!$O$5:$O$100000,$A59,전표_원본!$M$5:$M$100000,M$5))</f>
        <v/>
      </c>
      <c r="N59" s="29">
        <f>IF($A59="","",SUMIFS(전표_원본!$P$5:$P$100000,전표_원본!$O$5:$O$100000,$A59,전표_원본!$M$5:$M$100000,N$5))</f>
        <v/>
      </c>
      <c r="O59" s="29">
        <f>IF($A59="","",SUMIFS(전표_원본!$P$5:$P$100000,전표_원본!$O$5:$O$100000,$A59,전표_원본!$M$5:$M$100000,O$5))</f>
        <v/>
      </c>
      <c r="P59" s="29">
        <f>IF($A59="","",SUMIFS(전표_원본!$P$5:$P$100000,전표_원본!$O$5:$O$100000,$A59,전표_원본!$M$5:$M$100000,P$5))</f>
        <v/>
      </c>
      <c r="Q59" s="29">
        <f>IF($A59="","",SUMIFS(전표_원본!$P$5:$P$100000,전표_원본!$O$5:$O$100000,$A59,전표_원본!$M$5:$M$100000,Q$5))</f>
        <v/>
      </c>
      <c r="R59" s="29">
        <f>IF($A59="","",SUMIFS(전표_원본!$P$5:$P$100000,전표_원본!$O$5:$O$100000,$A59,전표_원본!$M$5:$M$100000,R$5))</f>
        <v/>
      </c>
      <c r="S59" s="29">
        <f>IF($A59="","",SUMIFS(전표_원본!$P$5:$P$100000,전표_원본!$O$5:$O$100000,$A59,전표_원본!$M$5:$M$100000,S$5))</f>
        <v/>
      </c>
      <c r="T59" s="29">
        <f>IF($A59="","",SUMIFS(전표_원본!$P$5:$P$100000,전표_원본!$O$5:$O$100000,$A59,전표_원본!$M$5:$M$100000,T$5))</f>
        <v/>
      </c>
      <c r="U59" s="29">
        <f>IF($A59="","",SUMIFS(전표_원본!$P$5:$P$100000,전표_원본!$O$5:$O$100000,$A59,전표_원본!$M$5:$M$100000,U$5))</f>
        <v/>
      </c>
      <c r="V59" s="29">
        <f>IF($A59="","",SUMIFS(전표_원본!$P$5:$P$100000,전표_원본!$O$5:$O$100000,$A59,전표_원본!$M$5:$M$100000,V$5))</f>
        <v/>
      </c>
      <c r="W59" s="29">
        <f>IF($A59="","",SUMIFS(전표_원본!$P$5:$P$100000,전표_원본!$O$5:$O$100000,$A59,전표_원본!$M$5:$M$100000,W$5))</f>
        <v/>
      </c>
      <c r="X59" s="29">
        <f>IF($A59="","",SUMIFS(전표_원본!$P$5:$P$100000,전표_원본!$O$5:$O$100000,$A59,전표_원본!$M$5:$M$100000,X$5))</f>
        <v/>
      </c>
      <c r="Y59" s="29">
        <f>IF($A59="","",SUMIFS(전표_원본!$P$5:$P$100000,전표_원본!$O$5:$O$100000,$A59,전표_원본!$M$5:$M$100000,Y$5))</f>
        <v/>
      </c>
      <c r="Z59" s="29">
        <f>IF($A59="","",SUMIFS(전표_원본!$P$5:$P$100000,전표_원본!$O$5:$O$100000,$A59,전표_원본!$M$5:$M$100000,Z$5))</f>
        <v/>
      </c>
    </row>
    <row r="60">
      <c r="A60" s="22">
        <f>IF(변동분석!$A60="","",변동분석!$E60)</f>
        <v/>
      </c>
      <c r="B60" s="22">
        <f>IF($A60="","",변동분석!$B60&amp;" "&amp;변동분석!$D60)</f>
        <v/>
      </c>
      <c r="C60" s="29">
        <f>IF($A60="","",SUMIFS(전표_원본!$P$5:$P$100000,전표_원본!$O$5:$O$100000,$A60,전표_원본!$M$5:$M$100000,C$5))</f>
        <v/>
      </c>
      <c r="D60" s="29">
        <f>IF($A60="","",SUMIFS(전표_원본!$P$5:$P$100000,전표_원본!$O$5:$O$100000,$A60,전표_원본!$M$5:$M$100000,D$5))</f>
        <v/>
      </c>
      <c r="E60" s="29">
        <f>IF($A60="","",SUMIFS(전표_원본!$P$5:$P$100000,전표_원본!$O$5:$O$100000,$A60,전표_원본!$M$5:$M$100000,E$5))</f>
        <v/>
      </c>
      <c r="F60" s="29">
        <f>IF($A60="","",SUMIFS(전표_원본!$P$5:$P$100000,전표_원본!$O$5:$O$100000,$A60,전표_원본!$M$5:$M$100000,F$5))</f>
        <v/>
      </c>
      <c r="G60" s="29">
        <f>IF($A60="","",SUMIFS(전표_원본!$P$5:$P$100000,전표_원본!$O$5:$O$100000,$A60,전표_원본!$M$5:$M$100000,G$5))</f>
        <v/>
      </c>
      <c r="H60" s="29">
        <f>IF($A60="","",SUMIFS(전표_원본!$P$5:$P$100000,전표_원본!$O$5:$O$100000,$A60,전표_원본!$M$5:$M$100000,H$5))</f>
        <v/>
      </c>
      <c r="I60" s="29">
        <f>IF($A60="","",SUMIFS(전표_원본!$P$5:$P$100000,전표_원본!$O$5:$O$100000,$A60,전표_원본!$M$5:$M$100000,I$5))</f>
        <v/>
      </c>
      <c r="J60" s="29">
        <f>IF($A60="","",SUMIFS(전표_원본!$P$5:$P$100000,전표_원본!$O$5:$O$100000,$A60,전표_원본!$M$5:$M$100000,J$5))</f>
        <v/>
      </c>
      <c r="K60" s="29">
        <f>IF($A60="","",SUMIFS(전표_원본!$P$5:$P$100000,전표_원본!$O$5:$O$100000,$A60,전표_원본!$M$5:$M$100000,K$5))</f>
        <v/>
      </c>
      <c r="L60" s="29">
        <f>IF($A60="","",SUMIFS(전표_원본!$P$5:$P$100000,전표_원본!$O$5:$O$100000,$A60,전표_원본!$M$5:$M$100000,L$5))</f>
        <v/>
      </c>
      <c r="M60" s="29">
        <f>IF($A60="","",SUMIFS(전표_원본!$P$5:$P$100000,전표_원본!$O$5:$O$100000,$A60,전표_원본!$M$5:$M$100000,M$5))</f>
        <v/>
      </c>
      <c r="N60" s="29">
        <f>IF($A60="","",SUMIFS(전표_원본!$P$5:$P$100000,전표_원본!$O$5:$O$100000,$A60,전표_원본!$M$5:$M$100000,N$5))</f>
        <v/>
      </c>
      <c r="O60" s="29">
        <f>IF($A60="","",SUMIFS(전표_원본!$P$5:$P$100000,전표_원본!$O$5:$O$100000,$A60,전표_원본!$M$5:$M$100000,O$5))</f>
        <v/>
      </c>
      <c r="P60" s="29">
        <f>IF($A60="","",SUMIFS(전표_원본!$P$5:$P$100000,전표_원본!$O$5:$O$100000,$A60,전표_원본!$M$5:$M$100000,P$5))</f>
        <v/>
      </c>
      <c r="Q60" s="29">
        <f>IF($A60="","",SUMIFS(전표_원본!$P$5:$P$100000,전표_원본!$O$5:$O$100000,$A60,전표_원본!$M$5:$M$100000,Q$5))</f>
        <v/>
      </c>
      <c r="R60" s="29">
        <f>IF($A60="","",SUMIFS(전표_원본!$P$5:$P$100000,전표_원본!$O$5:$O$100000,$A60,전표_원본!$M$5:$M$100000,R$5))</f>
        <v/>
      </c>
      <c r="S60" s="29">
        <f>IF($A60="","",SUMIFS(전표_원본!$P$5:$P$100000,전표_원본!$O$5:$O$100000,$A60,전표_원본!$M$5:$M$100000,S$5))</f>
        <v/>
      </c>
      <c r="T60" s="29">
        <f>IF($A60="","",SUMIFS(전표_원본!$P$5:$P$100000,전표_원본!$O$5:$O$100000,$A60,전표_원본!$M$5:$M$100000,T$5))</f>
        <v/>
      </c>
      <c r="U60" s="29">
        <f>IF($A60="","",SUMIFS(전표_원본!$P$5:$P$100000,전표_원본!$O$5:$O$100000,$A60,전표_원본!$M$5:$M$100000,U$5))</f>
        <v/>
      </c>
      <c r="V60" s="29">
        <f>IF($A60="","",SUMIFS(전표_원본!$P$5:$P$100000,전표_원본!$O$5:$O$100000,$A60,전표_원본!$M$5:$M$100000,V$5))</f>
        <v/>
      </c>
      <c r="W60" s="29">
        <f>IF($A60="","",SUMIFS(전표_원본!$P$5:$P$100000,전표_원본!$O$5:$O$100000,$A60,전표_원본!$M$5:$M$100000,W$5))</f>
        <v/>
      </c>
      <c r="X60" s="29">
        <f>IF($A60="","",SUMIFS(전표_원본!$P$5:$P$100000,전표_원본!$O$5:$O$100000,$A60,전표_원본!$M$5:$M$100000,X$5))</f>
        <v/>
      </c>
      <c r="Y60" s="29">
        <f>IF($A60="","",SUMIFS(전표_원본!$P$5:$P$100000,전표_원본!$O$5:$O$100000,$A60,전표_원본!$M$5:$M$100000,Y$5))</f>
        <v/>
      </c>
      <c r="Z60" s="29">
        <f>IF($A60="","",SUMIFS(전표_원본!$P$5:$P$100000,전표_원본!$O$5:$O$100000,$A60,전표_원본!$M$5:$M$100000,Z$5))</f>
        <v/>
      </c>
    </row>
    <row r="61">
      <c r="A61" s="22">
        <f>IF(변동분석!$A61="","",변동분석!$E61)</f>
        <v/>
      </c>
      <c r="B61" s="22">
        <f>IF($A61="","",변동분석!$B61&amp;" "&amp;변동분석!$D61)</f>
        <v/>
      </c>
      <c r="C61" s="29">
        <f>IF($A61="","",SUMIFS(전표_원본!$P$5:$P$100000,전표_원본!$O$5:$O$100000,$A61,전표_원본!$M$5:$M$100000,C$5))</f>
        <v/>
      </c>
      <c r="D61" s="29">
        <f>IF($A61="","",SUMIFS(전표_원본!$P$5:$P$100000,전표_원본!$O$5:$O$100000,$A61,전표_원본!$M$5:$M$100000,D$5))</f>
        <v/>
      </c>
      <c r="E61" s="29">
        <f>IF($A61="","",SUMIFS(전표_원본!$P$5:$P$100000,전표_원본!$O$5:$O$100000,$A61,전표_원본!$M$5:$M$100000,E$5))</f>
        <v/>
      </c>
      <c r="F61" s="29">
        <f>IF($A61="","",SUMIFS(전표_원본!$P$5:$P$100000,전표_원본!$O$5:$O$100000,$A61,전표_원본!$M$5:$M$100000,F$5))</f>
        <v/>
      </c>
      <c r="G61" s="29">
        <f>IF($A61="","",SUMIFS(전표_원본!$P$5:$P$100000,전표_원본!$O$5:$O$100000,$A61,전표_원본!$M$5:$M$100000,G$5))</f>
        <v/>
      </c>
      <c r="H61" s="29">
        <f>IF($A61="","",SUMIFS(전표_원본!$P$5:$P$100000,전표_원본!$O$5:$O$100000,$A61,전표_원본!$M$5:$M$100000,H$5))</f>
        <v/>
      </c>
      <c r="I61" s="29">
        <f>IF($A61="","",SUMIFS(전표_원본!$P$5:$P$100000,전표_원본!$O$5:$O$100000,$A61,전표_원본!$M$5:$M$100000,I$5))</f>
        <v/>
      </c>
      <c r="J61" s="29">
        <f>IF($A61="","",SUMIFS(전표_원본!$P$5:$P$100000,전표_원본!$O$5:$O$100000,$A61,전표_원본!$M$5:$M$100000,J$5))</f>
        <v/>
      </c>
      <c r="K61" s="29">
        <f>IF($A61="","",SUMIFS(전표_원본!$P$5:$P$100000,전표_원본!$O$5:$O$100000,$A61,전표_원본!$M$5:$M$100000,K$5))</f>
        <v/>
      </c>
      <c r="L61" s="29">
        <f>IF($A61="","",SUMIFS(전표_원본!$P$5:$P$100000,전표_원본!$O$5:$O$100000,$A61,전표_원본!$M$5:$M$100000,L$5))</f>
        <v/>
      </c>
      <c r="M61" s="29">
        <f>IF($A61="","",SUMIFS(전표_원본!$P$5:$P$100000,전표_원본!$O$5:$O$100000,$A61,전표_원본!$M$5:$M$100000,M$5))</f>
        <v/>
      </c>
      <c r="N61" s="29">
        <f>IF($A61="","",SUMIFS(전표_원본!$P$5:$P$100000,전표_원본!$O$5:$O$100000,$A61,전표_원본!$M$5:$M$100000,N$5))</f>
        <v/>
      </c>
      <c r="O61" s="29">
        <f>IF($A61="","",SUMIFS(전표_원본!$P$5:$P$100000,전표_원본!$O$5:$O$100000,$A61,전표_원본!$M$5:$M$100000,O$5))</f>
        <v/>
      </c>
      <c r="P61" s="29">
        <f>IF($A61="","",SUMIFS(전표_원본!$P$5:$P$100000,전표_원본!$O$5:$O$100000,$A61,전표_원본!$M$5:$M$100000,P$5))</f>
        <v/>
      </c>
      <c r="Q61" s="29">
        <f>IF($A61="","",SUMIFS(전표_원본!$P$5:$P$100000,전표_원본!$O$5:$O$100000,$A61,전표_원본!$M$5:$M$100000,Q$5))</f>
        <v/>
      </c>
      <c r="R61" s="29">
        <f>IF($A61="","",SUMIFS(전표_원본!$P$5:$P$100000,전표_원본!$O$5:$O$100000,$A61,전표_원본!$M$5:$M$100000,R$5))</f>
        <v/>
      </c>
      <c r="S61" s="29">
        <f>IF($A61="","",SUMIFS(전표_원본!$P$5:$P$100000,전표_원본!$O$5:$O$100000,$A61,전표_원본!$M$5:$M$100000,S$5))</f>
        <v/>
      </c>
      <c r="T61" s="29">
        <f>IF($A61="","",SUMIFS(전표_원본!$P$5:$P$100000,전표_원본!$O$5:$O$100000,$A61,전표_원본!$M$5:$M$100000,T$5))</f>
        <v/>
      </c>
      <c r="U61" s="29">
        <f>IF($A61="","",SUMIFS(전표_원본!$P$5:$P$100000,전표_원본!$O$5:$O$100000,$A61,전표_원본!$M$5:$M$100000,U$5))</f>
        <v/>
      </c>
      <c r="V61" s="29">
        <f>IF($A61="","",SUMIFS(전표_원본!$P$5:$P$100000,전표_원본!$O$5:$O$100000,$A61,전표_원본!$M$5:$M$100000,V$5))</f>
        <v/>
      </c>
      <c r="W61" s="29">
        <f>IF($A61="","",SUMIFS(전표_원본!$P$5:$P$100000,전표_원본!$O$5:$O$100000,$A61,전표_원본!$M$5:$M$100000,W$5))</f>
        <v/>
      </c>
      <c r="X61" s="29">
        <f>IF($A61="","",SUMIFS(전표_원본!$P$5:$P$100000,전표_원본!$O$5:$O$100000,$A61,전표_원본!$M$5:$M$100000,X$5))</f>
        <v/>
      </c>
      <c r="Y61" s="29">
        <f>IF($A61="","",SUMIFS(전표_원본!$P$5:$P$100000,전표_원본!$O$5:$O$100000,$A61,전표_원본!$M$5:$M$100000,Y$5))</f>
        <v/>
      </c>
      <c r="Z61" s="29">
        <f>IF($A61="","",SUMIFS(전표_원본!$P$5:$P$100000,전표_원본!$O$5:$O$100000,$A61,전표_원본!$M$5:$M$100000,Z$5))</f>
        <v/>
      </c>
    </row>
    <row r="62">
      <c r="A62" s="22">
        <f>IF(변동분석!$A62="","",변동분석!$E62)</f>
        <v/>
      </c>
      <c r="B62" s="22">
        <f>IF($A62="","",변동분석!$B62&amp;" "&amp;변동분석!$D62)</f>
        <v/>
      </c>
      <c r="C62" s="29">
        <f>IF($A62="","",SUMIFS(전표_원본!$P$5:$P$100000,전표_원본!$O$5:$O$100000,$A62,전표_원본!$M$5:$M$100000,C$5))</f>
        <v/>
      </c>
      <c r="D62" s="29">
        <f>IF($A62="","",SUMIFS(전표_원본!$P$5:$P$100000,전표_원본!$O$5:$O$100000,$A62,전표_원본!$M$5:$M$100000,D$5))</f>
        <v/>
      </c>
      <c r="E62" s="29">
        <f>IF($A62="","",SUMIFS(전표_원본!$P$5:$P$100000,전표_원본!$O$5:$O$100000,$A62,전표_원본!$M$5:$M$100000,E$5))</f>
        <v/>
      </c>
      <c r="F62" s="29">
        <f>IF($A62="","",SUMIFS(전표_원본!$P$5:$P$100000,전표_원본!$O$5:$O$100000,$A62,전표_원본!$M$5:$M$100000,F$5))</f>
        <v/>
      </c>
      <c r="G62" s="29">
        <f>IF($A62="","",SUMIFS(전표_원본!$P$5:$P$100000,전표_원본!$O$5:$O$100000,$A62,전표_원본!$M$5:$M$100000,G$5))</f>
        <v/>
      </c>
      <c r="H62" s="29">
        <f>IF($A62="","",SUMIFS(전표_원본!$P$5:$P$100000,전표_원본!$O$5:$O$100000,$A62,전표_원본!$M$5:$M$100000,H$5))</f>
        <v/>
      </c>
      <c r="I62" s="29">
        <f>IF($A62="","",SUMIFS(전표_원본!$P$5:$P$100000,전표_원본!$O$5:$O$100000,$A62,전표_원본!$M$5:$M$100000,I$5))</f>
        <v/>
      </c>
      <c r="J62" s="29">
        <f>IF($A62="","",SUMIFS(전표_원본!$P$5:$P$100000,전표_원본!$O$5:$O$100000,$A62,전표_원본!$M$5:$M$100000,J$5))</f>
        <v/>
      </c>
      <c r="K62" s="29">
        <f>IF($A62="","",SUMIFS(전표_원본!$P$5:$P$100000,전표_원본!$O$5:$O$100000,$A62,전표_원본!$M$5:$M$100000,K$5))</f>
        <v/>
      </c>
      <c r="L62" s="29">
        <f>IF($A62="","",SUMIFS(전표_원본!$P$5:$P$100000,전표_원본!$O$5:$O$100000,$A62,전표_원본!$M$5:$M$100000,L$5))</f>
        <v/>
      </c>
      <c r="M62" s="29">
        <f>IF($A62="","",SUMIFS(전표_원본!$P$5:$P$100000,전표_원본!$O$5:$O$100000,$A62,전표_원본!$M$5:$M$100000,M$5))</f>
        <v/>
      </c>
      <c r="N62" s="29">
        <f>IF($A62="","",SUMIFS(전표_원본!$P$5:$P$100000,전표_원본!$O$5:$O$100000,$A62,전표_원본!$M$5:$M$100000,N$5))</f>
        <v/>
      </c>
      <c r="O62" s="29">
        <f>IF($A62="","",SUMIFS(전표_원본!$P$5:$P$100000,전표_원본!$O$5:$O$100000,$A62,전표_원본!$M$5:$M$100000,O$5))</f>
        <v/>
      </c>
      <c r="P62" s="29">
        <f>IF($A62="","",SUMIFS(전표_원본!$P$5:$P$100000,전표_원본!$O$5:$O$100000,$A62,전표_원본!$M$5:$M$100000,P$5))</f>
        <v/>
      </c>
      <c r="Q62" s="29">
        <f>IF($A62="","",SUMIFS(전표_원본!$P$5:$P$100000,전표_원본!$O$5:$O$100000,$A62,전표_원본!$M$5:$M$100000,Q$5))</f>
        <v/>
      </c>
      <c r="R62" s="29">
        <f>IF($A62="","",SUMIFS(전표_원본!$P$5:$P$100000,전표_원본!$O$5:$O$100000,$A62,전표_원본!$M$5:$M$100000,R$5))</f>
        <v/>
      </c>
      <c r="S62" s="29">
        <f>IF($A62="","",SUMIFS(전표_원본!$P$5:$P$100000,전표_원본!$O$5:$O$100000,$A62,전표_원본!$M$5:$M$100000,S$5))</f>
        <v/>
      </c>
      <c r="T62" s="29">
        <f>IF($A62="","",SUMIFS(전표_원본!$P$5:$P$100000,전표_원본!$O$5:$O$100000,$A62,전표_원본!$M$5:$M$100000,T$5))</f>
        <v/>
      </c>
      <c r="U62" s="29">
        <f>IF($A62="","",SUMIFS(전표_원본!$P$5:$P$100000,전표_원본!$O$5:$O$100000,$A62,전표_원본!$M$5:$M$100000,U$5))</f>
        <v/>
      </c>
      <c r="V62" s="29">
        <f>IF($A62="","",SUMIFS(전표_원본!$P$5:$P$100000,전표_원본!$O$5:$O$100000,$A62,전표_원본!$M$5:$M$100000,V$5))</f>
        <v/>
      </c>
      <c r="W62" s="29">
        <f>IF($A62="","",SUMIFS(전표_원본!$P$5:$P$100000,전표_원본!$O$5:$O$100000,$A62,전표_원본!$M$5:$M$100000,W$5))</f>
        <v/>
      </c>
      <c r="X62" s="29">
        <f>IF($A62="","",SUMIFS(전표_원본!$P$5:$P$100000,전표_원본!$O$5:$O$100000,$A62,전표_원본!$M$5:$M$100000,X$5))</f>
        <v/>
      </c>
      <c r="Y62" s="29">
        <f>IF($A62="","",SUMIFS(전표_원본!$P$5:$P$100000,전표_원본!$O$5:$O$100000,$A62,전표_원본!$M$5:$M$100000,Y$5))</f>
        <v/>
      </c>
      <c r="Z62" s="29">
        <f>IF($A62="","",SUMIFS(전표_원본!$P$5:$P$100000,전표_원본!$O$5:$O$100000,$A62,전표_원본!$M$5:$M$100000,Z$5))</f>
        <v/>
      </c>
    </row>
    <row r="63">
      <c r="A63" s="22">
        <f>IF(변동분석!$A63="","",변동분석!$E63)</f>
        <v/>
      </c>
      <c r="B63" s="22">
        <f>IF($A63="","",변동분석!$B63&amp;" "&amp;변동분석!$D63)</f>
        <v/>
      </c>
      <c r="C63" s="29">
        <f>IF($A63="","",SUMIFS(전표_원본!$P$5:$P$100000,전표_원본!$O$5:$O$100000,$A63,전표_원본!$M$5:$M$100000,C$5))</f>
        <v/>
      </c>
      <c r="D63" s="29">
        <f>IF($A63="","",SUMIFS(전표_원본!$P$5:$P$100000,전표_원본!$O$5:$O$100000,$A63,전표_원본!$M$5:$M$100000,D$5))</f>
        <v/>
      </c>
      <c r="E63" s="29">
        <f>IF($A63="","",SUMIFS(전표_원본!$P$5:$P$100000,전표_원본!$O$5:$O$100000,$A63,전표_원본!$M$5:$M$100000,E$5))</f>
        <v/>
      </c>
      <c r="F63" s="29">
        <f>IF($A63="","",SUMIFS(전표_원본!$P$5:$P$100000,전표_원본!$O$5:$O$100000,$A63,전표_원본!$M$5:$M$100000,F$5))</f>
        <v/>
      </c>
      <c r="G63" s="29">
        <f>IF($A63="","",SUMIFS(전표_원본!$P$5:$P$100000,전표_원본!$O$5:$O$100000,$A63,전표_원본!$M$5:$M$100000,G$5))</f>
        <v/>
      </c>
      <c r="H63" s="29">
        <f>IF($A63="","",SUMIFS(전표_원본!$P$5:$P$100000,전표_원본!$O$5:$O$100000,$A63,전표_원본!$M$5:$M$100000,H$5))</f>
        <v/>
      </c>
      <c r="I63" s="29">
        <f>IF($A63="","",SUMIFS(전표_원본!$P$5:$P$100000,전표_원본!$O$5:$O$100000,$A63,전표_원본!$M$5:$M$100000,I$5))</f>
        <v/>
      </c>
      <c r="J63" s="29">
        <f>IF($A63="","",SUMIFS(전표_원본!$P$5:$P$100000,전표_원본!$O$5:$O$100000,$A63,전표_원본!$M$5:$M$100000,J$5))</f>
        <v/>
      </c>
      <c r="K63" s="29">
        <f>IF($A63="","",SUMIFS(전표_원본!$P$5:$P$100000,전표_원본!$O$5:$O$100000,$A63,전표_원본!$M$5:$M$100000,K$5))</f>
        <v/>
      </c>
      <c r="L63" s="29">
        <f>IF($A63="","",SUMIFS(전표_원본!$P$5:$P$100000,전표_원본!$O$5:$O$100000,$A63,전표_원본!$M$5:$M$100000,L$5))</f>
        <v/>
      </c>
      <c r="M63" s="29">
        <f>IF($A63="","",SUMIFS(전표_원본!$P$5:$P$100000,전표_원본!$O$5:$O$100000,$A63,전표_원본!$M$5:$M$100000,M$5))</f>
        <v/>
      </c>
      <c r="N63" s="29">
        <f>IF($A63="","",SUMIFS(전표_원본!$P$5:$P$100000,전표_원본!$O$5:$O$100000,$A63,전표_원본!$M$5:$M$100000,N$5))</f>
        <v/>
      </c>
      <c r="O63" s="29">
        <f>IF($A63="","",SUMIFS(전표_원본!$P$5:$P$100000,전표_원본!$O$5:$O$100000,$A63,전표_원본!$M$5:$M$100000,O$5))</f>
        <v/>
      </c>
      <c r="P63" s="29">
        <f>IF($A63="","",SUMIFS(전표_원본!$P$5:$P$100000,전표_원본!$O$5:$O$100000,$A63,전표_원본!$M$5:$M$100000,P$5))</f>
        <v/>
      </c>
      <c r="Q63" s="29">
        <f>IF($A63="","",SUMIFS(전표_원본!$P$5:$P$100000,전표_원본!$O$5:$O$100000,$A63,전표_원본!$M$5:$M$100000,Q$5))</f>
        <v/>
      </c>
      <c r="R63" s="29">
        <f>IF($A63="","",SUMIFS(전표_원본!$P$5:$P$100000,전표_원본!$O$5:$O$100000,$A63,전표_원본!$M$5:$M$100000,R$5))</f>
        <v/>
      </c>
      <c r="S63" s="29">
        <f>IF($A63="","",SUMIFS(전표_원본!$P$5:$P$100000,전표_원본!$O$5:$O$100000,$A63,전표_원본!$M$5:$M$100000,S$5))</f>
        <v/>
      </c>
      <c r="T63" s="29">
        <f>IF($A63="","",SUMIFS(전표_원본!$P$5:$P$100000,전표_원본!$O$5:$O$100000,$A63,전표_원본!$M$5:$M$100000,T$5))</f>
        <v/>
      </c>
      <c r="U63" s="29">
        <f>IF($A63="","",SUMIFS(전표_원본!$P$5:$P$100000,전표_원본!$O$5:$O$100000,$A63,전표_원본!$M$5:$M$100000,U$5))</f>
        <v/>
      </c>
      <c r="V63" s="29">
        <f>IF($A63="","",SUMIFS(전표_원본!$P$5:$P$100000,전표_원본!$O$5:$O$100000,$A63,전표_원본!$M$5:$M$100000,V$5))</f>
        <v/>
      </c>
      <c r="W63" s="29">
        <f>IF($A63="","",SUMIFS(전표_원본!$P$5:$P$100000,전표_원본!$O$5:$O$100000,$A63,전표_원본!$M$5:$M$100000,W$5))</f>
        <v/>
      </c>
      <c r="X63" s="29">
        <f>IF($A63="","",SUMIFS(전표_원본!$P$5:$P$100000,전표_원본!$O$5:$O$100000,$A63,전표_원본!$M$5:$M$100000,X$5))</f>
        <v/>
      </c>
      <c r="Y63" s="29">
        <f>IF($A63="","",SUMIFS(전표_원본!$P$5:$P$100000,전표_원본!$O$5:$O$100000,$A63,전표_원본!$M$5:$M$100000,Y$5))</f>
        <v/>
      </c>
      <c r="Z63" s="29">
        <f>IF($A63="","",SUMIFS(전표_원본!$P$5:$P$100000,전표_원본!$O$5:$O$100000,$A63,전표_원본!$M$5:$M$100000,Z$5))</f>
        <v/>
      </c>
    </row>
    <row r="64">
      <c r="A64" s="22">
        <f>IF(변동분석!$A64="","",변동분석!$E64)</f>
        <v/>
      </c>
      <c r="B64" s="22">
        <f>IF($A64="","",변동분석!$B64&amp;" "&amp;변동분석!$D64)</f>
        <v/>
      </c>
      <c r="C64" s="29">
        <f>IF($A64="","",SUMIFS(전표_원본!$P$5:$P$100000,전표_원본!$O$5:$O$100000,$A64,전표_원본!$M$5:$M$100000,C$5))</f>
        <v/>
      </c>
      <c r="D64" s="29">
        <f>IF($A64="","",SUMIFS(전표_원본!$P$5:$P$100000,전표_원본!$O$5:$O$100000,$A64,전표_원본!$M$5:$M$100000,D$5))</f>
        <v/>
      </c>
      <c r="E64" s="29">
        <f>IF($A64="","",SUMIFS(전표_원본!$P$5:$P$100000,전표_원본!$O$5:$O$100000,$A64,전표_원본!$M$5:$M$100000,E$5))</f>
        <v/>
      </c>
      <c r="F64" s="29">
        <f>IF($A64="","",SUMIFS(전표_원본!$P$5:$P$100000,전표_원본!$O$5:$O$100000,$A64,전표_원본!$M$5:$M$100000,F$5))</f>
        <v/>
      </c>
      <c r="G64" s="29">
        <f>IF($A64="","",SUMIFS(전표_원본!$P$5:$P$100000,전표_원본!$O$5:$O$100000,$A64,전표_원본!$M$5:$M$100000,G$5))</f>
        <v/>
      </c>
      <c r="H64" s="29">
        <f>IF($A64="","",SUMIFS(전표_원본!$P$5:$P$100000,전표_원본!$O$5:$O$100000,$A64,전표_원본!$M$5:$M$100000,H$5))</f>
        <v/>
      </c>
      <c r="I64" s="29">
        <f>IF($A64="","",SUMIFS(전표_원본!$P$5:$P$100000,전표_원본!$O$5:$O$100000,$A64,전표_원본!$M$5:$M$100000,I$5))</f>
        <v/>
      </c>
      <c r="J64" s="29">
        <f>IF($A64="","",SUMIFS(전표_원본!$P$5:$P$100000,전표_원본!$O$5:$O$100000,$A64,전표_원본!$M$5:$M$100000,J$5))</f>
        <v/>
      </c>
      <c r="K64" s="29">
        <f>IF($A64="","",SUMIFS(전표_원본!$P$5:$P$100000,전표_원본!$O$5:$O$100000,$A64,전표_원본!$M$5:$M$100000,K$5))</f>
        <v/>
      </c>
      <c r="L64" s="29">
        <f>IF($A64="","",SUMIFS(전표_원본!$P$5:$P$100000,전표_원본!$O$5:$O$100000,$A64,전표_원본!$M$5:$M$100000,L$5))</f>
        <v/>
      </c>
      <c r="M64" s="29">
        <f>IF($A64="","",SUMIFS(전표_원본!$P$5:$P$100000,전표_원본!$O$5:$O$100000,$A64,전표_원본!$M$5:$M$100000,M$5))</f>
        <v/>
      </c>
      <c r="N64" s="29">
        <f>IF($A64="","",SUMIFS(전표_원본!$P$5:$P$100000,전표_원본!$O$5:$O$100000,$A64,전표_원본!$M$5:$M$100000,N$5))</f>
        <v/>
      </c>
      <c r="O64" s="29">
        <f>IF($A64="","",SUMIFS(전표_원본!$P$5:$P$100000,전표_원본!$O$5:$O$100000,$A64,전표_원본!$M$5:$M$100000,O$5))</f>
        <v/>
      </c>
      <c r="P64" s="29">
        <f>IF($A64="","",SUMIFS(전표_원본!$P$5:$P$100000,전표_원본!$O$5:$O$100000,$A64,전표_원본!$M$5:$M$100000,P$5))</f>
        <v/>
      </c>
      <c r="Q64" s="29">
        <f>IF($A64="","",SUMIFS(전표_원본!$P$5:$P$100000,전표_원본!$O$5:$O$100000,$A64,전표_원본!$M$5:$M$100000,Q$5))</f>
        <v/>
      </c>
      <c r="R64" s="29">
        <f>IF($A64="","",SUMIFS(전표_원본!$P$5:$P$100000,전표_원본!$O$5:$O$100000,$A64,전표_원본!$M$5:$M$100000,R$5))</f>
        <v/>
      </c>
      <c r="S64" s="29">
        <f>IF($A64="","",SUMIFS(전표_원본!$P$5:$P$100000,전표_원본!$O$5:$O$100000,$A64,전표_원본!$M$5:$M$100000,S$5))</f>
        <v/>
      </c>
      <c r="T64" s="29">
        <f>IF($A64="","",SUMIFS(전표_원본!$P$5:$P$100000,전표_원본!$O$5:$O$100000,$A64,전표_원본!$M$5:$M$100000,T$5))</f>
        <v/>
      </c>
      <c r="U64" s="29">
        <f>IF($A64="","",SUMIFS(전표_원본!$P$5:$P$100000,전표_원본!$O$5:$O$100000,$A64,전표_원본!$M$5:$M$100000,U$5))</f>
        <v/>
      </c>
      <c r="V64" s="29">
        <f>IF($A64="","",SUMIFS(전표_원본!$P$5:$P$100000,전표_원본!$O$5:$O$100000,$A64,전표_원본!$M$5:$M$100000,V$5))</f>
        <v/>
      </c>
      <c r="W64" s="29">
        <f>IF($A64="","",SUMIFS(전표_원본!$P$5:$P$100000,전표_원본!$O$5:$O$100000,$A64,전표_원본!$M$5:$M$100000,W$5))</f>
        <v/>
      </c>
      <c r="X64" s="29">
        <f>IF($A64="","",SUMIFS(전표_원본!$P$5:$P$100000,전표_원본!$O$5:$O$100000,$A64,전표_원본!$M$5:$M$100000,X$5))</f>
        <v/>
      </c>
      <c r="Y64" s="29">
        <f>IF($A64="","",SUMIFS(전표_원본!$P$5:$P$100000,전표_원본!$O$5:$O$100000,$A64,전표_원본!$M$5:$M$100000,Y$5))</f>
        <v/>
      </c>
      <c r="Z64" s="29">
        <f>IF($A64="","",SUMIFS(전표_원본!$P$5:$P$100000,전표_원본!$O$5:$O$100000,$A64,전표_원본!$M$5:$M$100000,Z$5))</f>
        <v/>
      </c>
    </row>
    <row r="65">
      <c r="A65" s="22">
        <f>IF(변동분석!$A65="","",변동분석!$E65)</f>
        <v/>
      </c>
      <c r="B65" s="22">
        <f>IF($A65="","",변동분석!$B65&amp;" "&amp;변동분석!$D65)</f>
        <v/>
      </c>
      <c r="C65" s="29">
        <f>IF($A65="","",SUMIFS(전표_원본!$P$5:$P$100000,전표_원본!$O$5:$O$100000,$A65,전표_원본!$M$5:$M$100000,C$5))</f>
        <v/>
      </c>
      <c r="D65" s="29">
        <f>IF($A65="","",SUMIFS(전표_원본!$P$5:$P$100000,전표_원본!$O$5:$O$100000,$A65,전표_원본!$M$5:$M$100000,D$5))</f>
        <v/>
      </c>
      <c r="E65" s="29">
        <f>IF($A65="","",SUMIFS(전표_원본!$P$5:$P$100000,전표_원본!$O$5:$O$100000,$A65,전표_원본!$M$5:$M$100000,E$5))</f>
        <v/>
      </c>
      <c r="F65" s="29">
        <f>IF($A65="","",SUMIFS(전표_원본!$P$5:$P$100000,전표_원본!$O$5:$O$100000,$A65,전표_원본!$M$5:$M$100000,F$5))</f>
        <v/>
      </c>
      <c r="G65" s="29">
        <f>IF($A65="","",SUMIFS(전표_원본!$P$5:$P$100000,전표_원본!$O$5:$O$100000,$A65,전표_원본!$M$5:$M$100000,G$5))</f>
        <v/>
      </c>
      <c r="H65" s="29">
        <f>IF($A65="","",SUMIFS(전표_원본!$P$5:$P$100000,전표_원본!$O$5:$O$100000,$A65,전표_원본!$M$5:$M$100000,H$5))</f>
        <v/>
      </c>
      <c r="I65" s="29">
        <f>IF($A65="","",SUMIFS(전표_원본!$P$5:$P$100000,전표_원본!$O$5:$O$100000,$A65,전표_원본!$M$5:$M$100000,I$5))</f>
        <v/>
      </c>
      <c r="J65" s="29">
        <f>IF($A65="","",SUMIFS(전표_원본!$P$5:$P$100000,전표_원본!$O$5:$O$100000,$A65,전표_원본!$M$5:$M$100000,J$5))</f>
        <v/>
      </c>
      <c r="K65" s="29">
        <f>IF($A65="","",SUMIFS(전표_원본!$P$5:$P$100000,전표_원본!$O$5:$O$100000,$A65,전표_원본!$M$5:$M$100000,K$5))</f>
        <v/>
      </c>
      <c r="L65" s="29">
        <f>IF($A65="","",SUMIFS(전표_원본!$P$5:$P$100000,전표_원본!$O$5:$O$100000,$A65,전표_원본!$M$5:$M$100000,L$5))</f>
        <v/>
      </c>
      <c r="M65" s="29">
        <f>IF($A65="","",SUMIFS(전표_원본!$P$5:$P$100000,전표_원본!$O$5:$O$100000,$A65,전표_원본!$M$5:$M$100000,M$5))</f>
        <v/>
      </c>
      <c r="N65" s="29">
        <f>IF($A65="","",SUMIFS(전표_원본!$P$5:$P$100000,전표_원본!$O$5:$O$100000,$A65,전표_원본!$M$5:$M$100000,N$5))</f>
        <v/>
      </c>
      <c r="O65" s="29">
        <f>IF($A65="","",SUMIFS(전표_원본!$P$5:$P$100000,전표_원본!$O$5:$O$100000,$A65,전표_원본!$M$5:$M$100000,O$5))</f>
        <v/>
      </c>
      <c r="P65" s="29">
        <f>IF($A65="","",SUMIFS(전표_원본!$P$5:$P$100000,전표_원본!$O$5:$O$100000,$A65,전표_원본!$M$5:$M$100000,P$5))</f>
        <v/>
      </c>
      <c r="Q65" s="29">
        <f>IF($A65="","",SUMIFS(전표_원본!$P$5:$P$100000,전표_원본!$O$5:$O$100000,$A65,전표_원본!$M$5:$M$100000,Q$5))</f>
        <v/>
      </c>
      <c r="R65" s="29">
        <f>IF($A65="","",SUMIFS(전표_원본!$P$5:$P$100000,전표_원본!$O$5:$O$100000,$A65,전표_원본!$M$5:$M$100000,R$5))</f>
        <v/>
      </c>
      <c r="S65" s="29">
        <f>IF($A65="","",SUMIFS(전표_원본!$P$5:$P$100000,전표_원본!$O$5:$O$100000,$A65,전표_원본!$M$5:$M$100000,S$5))</f>
        <v/>
      </c>
      <c r="T65" s="29">
        <f>IF($A65="","",SUMIFS(전표_원본!$P$5:$P$100000,전표_원본!$O$5:$O$100000,$A65,전표_원본!$M$5:$M$100000,T$5))</f>
        <v/>
      </c>
      <c r="U65" s="29">
        <f>IF($A65="","",SUMIFS(전표_원본!$P$5:$P$100000,전표_원본!$O$5:$O$100000,$A65,전표_원본!$M$5:$M$100000,U$5))</f>
        <v/>
      </c>
      <c r="V65" s="29">
        <f>IF($A65="","",SUMIFS(전표_원본!$P$5:$P$100000,전표_원본!$O$5:$O$100000,$A65,전표_원본!$M$5:$M$100000,V$5))</f>
        <v/>
      </c>
      <c r="W65" s="29">
        <f>IF($A65="","",SUMIFS(전표_원본!$P$5:$P$100000,전표_원본!$O$5:$O$100000,$A65,전표_원본!$M$5:$M$100000,W$5))</f>
        <v/>
      </c>
      <c r="X65" s="29">
        <f>IF($A65="","",SUMIFS(전표_원본!$P$5:$P$100000,전표_원본!$O$5:$O$100000,$A65,전표_원본!$M$5:$M$100000,X$5))</f>
        <v/>
      </c>
      <c r="Y65" s="29">
        <f>IF($A65="","",SUMIFS(전표_원본!$P$5:$P$100000,전표_원본!$O$5:$O$100000,$A65,전표_원본!$M$5:$M$100000,Y$5))</f>
        <v/>
      </c>
      <c r="Z65" s="29">
        <f>IF($A65="","",SUMIFS(전표_원본!$P$5:$P$100000,전표_원본!$O$5:$O$100000,$A65,전표_원본!$M$5:$M$100000,Z$5))</f>
        <v/>
      </c>
    </row>
    <row r="66">
      <c r="A66" s="22">
        <f>IF(변동분석!$A66="","",변동분석!$E66)</f>
        <v/>
      </c>
      <c r="B66" s="22">
        <f>IF($A66="","",변동분석!$B66&amp;" "&amp;변동분석!$D66)</f>
        <v/>
      </c>
      <c r="C66" s="29">
        <f>IF($A66="","",SUMIFS(전표_원본!$P$5:$P$100000,전표_원본!$O$5:$O$100000,$A66,전표_원본!$M$5:$M$100000,C$5))</f>
        <v/>
      </c>
      <c r="D66" s="29">
        <f>IF($A66="","",SUMIFS(전표_원본!$P$5:$P$100000,전표_원본!$O$5:$O$100000,$A66,전표_원본!$M$5:$M$100000,D$5))</f>
        <v/>
      </c>
      <c r="E66" s="29">
        <f>IF($A66="","",SUMIFS(전표_원본!$P$5:$P$100000,전표_원본!$O$5:$O$100000,$A66,전표_원본!$M$5:$M$100000,E$5))</f>
        <v/>
      </c>
      <c r="F66" s="29">
        <f>IF($A66="","",SUMIFS(전표_원본!$P$5:$P$100000,전표_원본!$O$5:$O$100000,$A66,전표_원본!$M$5:$M$100000,F$5))</f>
        <v/>
      </c>
      <c r="G66" s="29">
        <f>IF($A66="","",SUMIFS(전표_원본!$P$5:$P$100000,전표_원본!$O$5:$O$100000,$A66,전표_원본!$M$5:$M$100000,G$5))</f>
        <v/>
      </c>
      <c r="H66" s="29">
        <f>IF($A66="","",SUMIFS(전표_원본!$P$5:$P$100000,전표_원본!$O$5:$O$100000,$A66,전표_원본!$M$5:$M$100000,H$5))</f>
        <v/>
      </c>
      <c r="I66" s="29">
        <f>IF($A66="","",SUMIFS(전표_원본!$P$5:$P$100000,전표_원본!$O$5:$O$100000,$A66,전표_원본!$M$5:$M$100000,I$5))</f>
        <v/>
      </c>
      <c r="J66" s="29">
        <f>IF($A66="","",SUMIFS(전표_원본!$P$5:$P$100000,전표_원본!$O$5:$O$100000,$A66,전표_원본!$M$5:$M$100000,J$5))</f>
        <v/>
      </c>
      <c r="K66" s="29">
        <f>IF($A66="","",SUMIFS(전표_원본!$P$5:$P$100000,전표_원본!$O$5:$O$100000,$A66,전표_원본!$M$5:$M$100000,K$5))</f>
        <v/>
      </c>
      <c r="L66" s="29">
        <f>IF($A66="","",SUMIFS(전표_원본!$P$5:$P$100000,전표_원본!$O$5:$O$100000,$A66,전표_원본!$M$5:$M$100000,L$5))</f>
        <v/>
      </c>
      <c r="M66" s="29">
        <f>IF($A66="","",SUMIFS(전표_원본!$P$5:$P$100000,전표_원본!$O$5:$O$100000,$A66,전표_원본!$M$5:$M$100000,M$5))</f>
        <v/>
      </c>
      <c r="N66" s="29">
        <f>IF($A66="","",SUMIFS(전표_원본!$P$5:$P$100000,전표_원본!$O$5:$O$100000,$A66,전표_원본!$M$5:$M$100000,N$5))</f>
        <v/>
      </c>
      <c r="O66" s="29">
        <f>IF($A66="","",SUMIFS(전표_원본!$P$5:$P$100000,전표_원본!$O$5:$O$100000,$A66,전표_원본!$M$5:$M$100000,O$5))</f>
        <v/>
      </c>
      <c r="P66" s="29">
        <f>IF($A66="","",SUMIFS(전표_원본!$P$5:$P$100000,전표_원본!$O$5:$O$100000,$A66,전표_원본!$M$5:$M$100000,P$5))</f>
        <v/>
      </c>
      <c r="Q66" s="29">
        <f>IF($A66="","",SUMIFS(전표_원본!$P$5:$P$100000,전표_원본!$O$5:$O$100000,$A66,전표_원본!$M$5:$M$100000,Q$5))</f>
        <v/>
      </c>
      <c r="R66" s="29">
        <f>IF($A66="","",SUMIFS(전표_원본!$P$5:$P$100000,전표_원본!$O$5:$O$100000,$A66,전표_원본!$M$5:$M$100000,R$5))</f>
        <v/>
      </c>
      <c r="S66" s="29">
        <f>IF($A66="","",SUMIFS(전표_원본!$P$5:$P$100000,전표_원본!$O$5:$O$100000,$A66,전표_원본!$M$5:$M$100000,S$5))</f>
        <v/>
      </c>
      <c r="T66" s="29">
        <f>IF($A66="","",SUMIFS(전표_원본!$P$5:$P$100000,전표_원본!$O$5:$O$100000,$A66,전표_원본!$M$5:$M$100000,T$5))</f>
        <v/>
      </c>
      <c r="U66" s="29">
        <f>IF($A66="","",SUMIFS(전표_원본!$P$5:$P$100000,전표_원본!$O$5:$O$100000,$A66,전표_원본!$M$5:$M$100000,U$5))</f>
        <v/>
      </c>
      <c r="V66" s="29">
        <f>IF($A66="","",SUMIFS(전표_원본!$P$5:$P$100000,전표_원본!$O$5:$O$100000,$A66,전표_원본!$M$5:$M$100000,V$5))</f>
        <v/>
      </c>
      <c r="W66" s="29">
        <f>IF($A66="","",SUMIFS(전표_원본!$P$5:$P$100000,전표_원본!$O$5:$O$100000,$A66,전표_원본!$M$5:$M$100000,W$5))</f>
        <v/>
      </c>
      <c r="X66" s="29">
        <f>IF($A66="","",SUMIFS(전표_원본!$P$5:$P$100000,전표_원본!$O$5:$O$100000,$A66,전표_원본!$M$5:$M$100000,X$5))</f>
        <v/>
      </c>
      <c r="Y66" s="29">
        <f>IF($A66="","",SUMIFS(전표_원본!$P$5:$P$100000,전표_원본!$O$5:$O$100000,$A66,전표_원본!$M$5:$M$100000,Y$5))</f>
        <v/>
      </c>
      <c r="Z66" s="29">
        <f>IF($A66="","",SUMIFS(전표_원본!$P$5:$P$100000,전표_원본!$O$5:$O$100000,$A66,전표_원본!$M$5:$M$100000,Z$5))</f>
        <v/>
      </c>
    </row>
    <row r="67">
      <c r="A67" s="22">
        <f>IF(변동분석!$A67="","",변동분석!$E67)</f>
        <v/>
      </c>
      <c r="B67" s="22">
        <f>IF($A67="","",변동분석!$B67&amp;" "&amp;변동분석!$D67)</f>
        <v/>
      </c>
      <c r="C67" s="29">
        <f>IF($A67="","",SUMIFS(전표_원본!$P$5:$P$100000,전표_원본!$O$5:$O$100000,$A67,전표_원본!$M$5:$M$100000,C$5))</f>
        <v/>
      </c>
      <c r="D67" s="29">
        <f>IF($A67="","",SUMIFS(전표_원본!$P$5:$P$100000,전표_원본!$O$5:$O$100000,$A67,전표_원본!$M$5:$M$100000,D$5))</f>
        <v/>
      </c>
      <c r="E67" s="29">
        <f>IF($A67="","",SUMIFS(전표_원본!$P$5:$P$100000,전표_원본!$O$5:$O$100000,$A67,전표_원본!$M$5:$M$100000,E$5))</f>
        <v/>
      </c>
      <c r="F67" s="29">
        <f>IF($A67="","",SUMIFS(전표_원본!$P$5:$P$100000,전표_원본!$O$5:$O$100000,$A67,전표_원본!$M$5:$M$100000,F$5))</f>
        <v/>
      </c>
      <c r="G67" s="29">
        <f>IF($A67="","",SUMIFS(전표_원본!$P$5:$P$100000,전표_원본!$O$5:$O$100000,$A67,전표_원본!$M$5:$M$100000,G$5))</f>
        <v/>
      </c>
      <c r="H67" s="29">
        <f>IF($A67="","",SUMIFS(전표_원본!$P$5:$P$100000,전표_원본!$O$5:$O$100000,$A67,전표_원본!$M$5:$M$100000,H$5))</f>
        <v/>
      </c>
      <c r="I67" s="29">
        <f>IF($A67="","",SUMIFS(전표_원본!$P$5:$P$100000,전표_원본!$O$5:$O$100000,$A67,전표_원본!$M$5:$M$100000,I$5))</f>
        <v/>
      </c>
      <c r="J67" s="29">
        <f>IF($A67="","",SUMIFS(전표_원본!$P$5:$P$100000,전표_원본!$O$5:$O$100000,$A67,전표_원본!$M$5:$M$100000,J$5))</f>
        <v/>
      </c>
      <c r="K67" s="29">
        <f>IF($A67="","",SUMIFS(전표_원본!$P$5:$P$100000,전표_원본!$O$5:$O$100000,$A67,전표_원본!$M$5:$M$100000,K$5))</f>
        <v/>
      </c>
      <c r="L67" s="29">
        <f>IF($A67="","",SUMIFS(전표_원본!$P$5:$P$100000,전표_원본!$O$5:$O$100000,$A67,전표_원본!$M$5:$M$100000,L$5))</f>
        <v/>
      </c>
      <c r="M67" s="29">
        <f>IF($A67="","",SUMIFS(전표_원본!$P$5:$P$100000,전표_원본!$O$5:$O$100000,$A67,전표_원본!$M$5:$M$100000,M$5))</f>
        <v/>
      </c>
      <c r="N67" s="29">
        <f>IF($A67="","",SUMIFS(전표_원본!$P$5:$P$100000,전표_원본!$O$5:$O$100000,$A67,전표_원본!$M$5:$M$100000,N$5))</f>
        <v/>
      </c>
      <c r="O67" s="29">
        <f>IF($A67="","",SUMIFS(전표_원본!$P$5:$P$100000,전표_원본!$O$5:$O$100000,$A67,전표_원본!$M$5:$M$100000,O$5))</f>
        <v/>
      </c>
      <c r="P67" s="29">
        <f>IF($A67="","",SUMIFS(전표_원본!$P$5:$P$100000,전표_원본!$O$5:$O$100000,$A67,전표_원본!$M$5:$M$100000,P$5))</f>
        <v/>
      </c>
      <c r="Q67" s="29">
        <f>IF($A67="","",SUMIFS(전표_원본!$P$5:$P$100000,전표_원본!$O$5:$O$100000,$A67,전표_원본!$M$5:$M$100000,Q$5))</f>
        <v/>
      </c>
      <c r="R67" s="29">
        <f>IF($A67="","",SUMIFS(전표_원본!$P$5:$P$100000,전표_원본!$O$5:$O$100000,$A67,전표_원본!$M$5:$M$100000,R$5))</f>
        <v/>
      </c>
      <c r="S67" s="29">
        <f>IF($A67="","",SUMIFS(전표_원본!$P$5:$P$100000,전표_원본!$O$5:$O$100000,$A67,전표_원본!$M$5:$M$100000,S$5))</f>
        <v/>
      </c>
      <c r="T67" s="29">
        <f>IF($A67="","",SUMIFS(전표_원본!$P$5:$P$100000,전표_원본!$O$5:$O$100000,$A67,전표_원본!$M$5:$M$100000,T$5))</f>
        <v/>
      </c>
      <c r="U67" s="29">
        <f>IF($A67="","",SUMIFS(전표_원본!$P$5:$P$100000,전표_원본!$O$5:$O$100000,$A67,전표_원본!$M$5:$M$100000,U$5))</f>
        <v/>
      </c>
      <c r="V67" s="29">
        <f>IF($A67="","",SUMIFS(전표_원본!$P$5:$P$100000,전표_원본!$O$5:$O$100000,$A67,전표_원본!$M$5:$M$100000,V$5))</f>
        <v/>
      </c>
      <c r="W67" s="29">
        <f>IF($A67="","",SUMIFS(전표_원본!$P$5:$P$100000,전표_원본!$O$5:$O$100000,$A67,전표_원본!$M$5:$M$100000,W$5))</f>
        <v/>
      </c>
      <c r="X67" s="29">
        <f>IF($A67="","",SUMIFS(전표_원본!$P$5:$P$100000,전표_원본!$O$5:$O$100000,$A67,전표_원본!$M$5:$M$100000,X$5))</f>
        <v/>
      </c>
      <c r="Y67" s="29">
        <f>IF($A67="","",SUMIFS(전표_원본!$P$5:$P$100000,전표_원본!$O$5:$O$100000,$A67,전표_원본!$M$5:$M$100000,Y$5))</f>
        <v/>
      </c>
      <c r="Z67" s="29">
        <f>IF($A67="","",SUMIFS(전표_원본!$P$5:$P$100000,전표_원본!$O$5:$O$100000,$A67,전표_원본!$M$5:$M$100000,Z$5))</f>
        <v/>
      </c>
    </row>
    <row r="68">
      <c r="A68" s="22">
        <f>IF(변동분석!$A68="","",변동분석!$E68)</f>
        <v/>
      </c>
      <c r="B68" s="22">
        <f>IF($A68="","",변동분석!$B68&amp;" "&amp;변동분석!$D68)</f>
        <v/>
      </c>
      <c r="C68" s="29">
        <f>IF($A68="","",SUMIFS(전표_원본!$P$5:$P$100000,전표_원본!$O$5:$O$100000,$A68,전표_원본!$M$5:$M$100000,C$5))</f>
        <v/>
      </c>
      <c r="D68" s="29">
        <f>IF($A68="","",SUMIFS(전표_원본!$P$5:$P$100000,전표_원본!$O$5:$O$100000,$A68,전표_원본!$M$5:$M$100000,D$5))</f>
        <v/>
      </c>
      <c r="E68" s="29">
        <f>IF($A68="","",SUMIFS(전표_원본!$P$5:$P$100000,전표_원본!$O$5:$O$100000,$A68,전표_원본!$M$5:$M$100000,E$5))</f>
        <v/>
      </c>
      <c r="F68" s="29">
        <f>IF($A68="","",SUMIFS(전표_원본!$P$5:$P$100000,전표_원본!$O$5:$O$100000,$A68,전표_원본!$M$5:$M$100000,F$5))</f>
        <v/>
      </c>
      <c r="G68" s="29">
        <f>IF($A68="","",SUMIFS(전표_원본!$P$5:$P$100000,전표_원본!$O$5:$O$100000,$A68,전표_원본!$M$5:$M$100000,G$5))</f>
        <v/>
      </c>
      <c r="H68" s="29">
        <f>IF($A68="","",SUMIFS(전표_원본!$P$5:$P$100000,전표_원본!$O$5:$O$100000,$A68,전표_원본!$M$5:$M$100000,H$5))</f>
        <v/>
      </c>
      <c r="I68" s="29">
        <f>IF($A68="","",SUMIFS(전표_원본!$P$5:$P$100000,전표_원본!$O$5:$O$100000,$A68,전표_원본!$M$5:$M$100000,I$5))</f>
        <v/>
      </c>
      <c r="J68" s="29">
        <f>IF($A68="","",SUMIFS(전표_원본!$P$5:$P$100000,전표_원본!$O$5:$O$100000,$A68,전표_원본!$M$5:$M$100000,J$5))</f>
        <v/>
      </c>
      <c r="K68" s="29">
        <f>IF($A68="","",SUMIFS(전표_원본!$P$5:$P$100000,전표_원본!$O$5:$O$100000,$A68,전표_원본!$M$5:$M$100000,K$5))</f>
        <v/>
      </c>
      <c r="L68" s="29">
        <f>IF($A68="","",SUMIFS(전표_원본!$P$5:$P$100000,전표_원본!$O$5:$O$100000,$A68,전표_원본!$M$5:$M$100000,L$5))</f>
        <v/>
      </c>
      <c r="M68" s="29">
        <f>IF($A68="","",SUMIFS(전표_원본!$P$5:$P$100000,전표_원본!$O$5:$O$100000,$A68,전표_원본!$M$5:$M$100000,M$5))</f>
        <v/>
      </c>
      <c r="N68" s="29">
        <f>IF($A68="","",SUMIFS(전표_원본!$P$5:$P$100000,전표_원본!$O$5:$O$100000,$A68,전표_원본!$M$5:$M$100000,N$5))</f>
        <v/>
      </c>
      <c r="O68" s="29">
        <f>IF($A68="","",SUMIFS(전표_원본!$P$5:$P$100000,전표_원본!$O$5:$O$100000,$A68,전표_원본!$M$5:$M$100000,O$5))</f>
        <v/>
      </c>
      <c r="P68" s="29">
        <f>IF($A68="","",SUMIFS(전표_원본!$P$5:$P$100000,전표_원본!$O$5:$O$100000,$A68,전표_원본!$M$5:$M$100000,P$5))</f>
        <v/>
      </c>
      <c r="Q68" s="29">
        <f>IF($A68="","",SUMIFS(전표_원본!$P$5:$P$100000,전표_원본!$O$5:$O$100000,$A68,전표_원본!$M$5:$M$100000,Q$5))</f>
        <v/>
      </c>
      <c r="R68" s="29">
        <f>IF($A68="","",SUMIFS(전표_원본!$P$5:$P$100000,전표_원본!$O$5:$O$100000,$A68,전표_원본!$M$5:$M$100000,R$5))</f>
        <v/>
      </c>
      <c r="S68" s="29">
        <f>IF($A68="","",SUMIFS(전표_원본!$P$5:$P$100000,전표_원본!$O$5:$O$100000,$A68,전표_원본!$M$5:$M$100000,S$5))</f>
        <v/>
      </c>
      <c r="T68" s="29">
        <f>IF($A68="","",SUMIFS(전표_원본!$P$5:$P$100000,전표_원본!$O$5:$O$100000,$A68,전표_원본!$M$5:$M$100000,T$5))</f>
        <v/>
      </c>
      <c r="U68" s="29">
        <f>IF($A68="","",SUMIFS(전표_원본!$P$5:$P$100000,전표_원본!$O$5:$O$100000,$A68,전표_원본!$M$5:$M$100000,U$5))</f>
        <v/>
      </c>
      <c r="V68" s="29">
        <f>IF($A68="","",SUMIFS(전표_원본!$P$5:$P$100000,전표_원본!$O$5:$O$100000,$A68,전표_원본!$M$5:$M$100000,V$5))</f>
        <v/>
      </c>
      <c r="W68" s="29">
        <f>IF($A68="","",SUMIFS(전표_원본!$P$5:$P$100000,전표_원본!$O$5:$O$100000,$A68,전표_원본!$M$5:$M$100000,W$5))</f>
        <v/>
      </c>
      <c r="X68" s="29">
        <f>IF($A68="","",SUMIFS(전표_원본!$P$5:$P$100000,전표_원본!$O$5:$O$100000,$A68,전표_원본!$M$5:$M$100000,X$5))</f>
        <v/>
      </c>
      <c r="Y68" s="29">
        <f>IF($A68="","",SUMIFS(전표_원본!$P$5:$P$100000,전표_원본!$O$5:$O$100000,$A68,전표_원본!$M$5:$M$100000,Y$5))</f>
        <v/>
      </c>
      <c r="Z68" s="29">
        <f>IF($A68="","",SUMIFS(전표_원본!$P$5:$P$100000,전표_원본!$O$5:$O$100000,$A68,전표_원본!$M$5:$M$100000,Z$5))</f>
        <v/>
      </c>
    </row>
    <row r="69">
      <c r="A69" s="22">
        <f>IF(변동분석!$A69="","",변동분석!$E69)</f>
        <v/>
      </c>
      <c r="B69" s="22">
        <f>IF($A69="","",변동분석!$B69&amp;" "&amp;변동분석!$D69)</f>
        <v/>
      </c>
      <c r="C69" s="29">
        <f>IF($A69="","",SUMIFS(전표_원본!$P$5:$P$100000,전표_원본!$O$5:$O$100000,$A69,전표_원본!$M$5:$M$100000,C$5))</f>
        <v/>
      </c>
      <c r="D69" s="29">
        <f>IF($A69="","",SUMIFS(전표_원본!$P$5:$P$100000,전표_원본!$O$5:$O$100000,$A69,전표_원본!$M$5:$M$100000,D$5))</f>
        <v/>
      </c>
      <c r="E69" s="29">
        <f>IF($A69="","",SUMIFS(전표_원본!$P$5:$P$100000,전표_원본!$O$5:$O$100000,$A69,전표_원본!$M$5:$M$100000,E$5))</f>
        <v/>
      </c>
      <c r="F69" s="29">
        <f>IF($A69="","",SUMIFS(전표_원본!$P$5:$P$100000,전표_원본!$O$5:$O$100000,$A69,전표_원본!$M$5:$M$100000,F$5))</f>
        <v/>
      </c>
      <c r="G69" s="29">
        <f>IF($A69="","",SUMIFS(전표_원본!$P$5:$P$100000,전표_원본!$O$5:$O$100000,$A69,전표_원본!$M$5:$M$100000,G$5))</f>
        <v/>
      </c>
      <c r="H69" s="29">
        <f>IF($A69="","",SUMIFS(전표_원본!$P$5:$P$100000,전표_원본!$O$5:$O$100000,$A69,전표_원본!$M$5:$M$100000,H$5))</f>
        <v/>
      </c>
      <c r="I69" s="29">
        <f>IF($A69="","",SUMIFS(전표_원본!$P$5:$P$100000,전표_원본!$O$5:$O$100000,$A69,전표_원본!$M$5:$M$100000,I$5))</f>
        <v/>
      </c>
      <c r="J69" s="29">
        <f>IF($A69="","",SUMIFS(전표_원본!$P$5:$P$100000,전표_원본!$O$5:$O$100000,$A69,전표_원본!$M$5:$M$100000,J$5))</f>
        <v/>
      </c>
      <c r="K69" s="29">
        <f>IF($A69="","",SUMIFS(전표_원본!$P$5:$P$100000,전표_원본!$O$5:$O$100000,$A69,전표_원본!$M$5:$M$100000,K$5))</f>
        <v/>
      </c>
      <c r="L69" s="29">
        <f>IF($A69="","",SUMIFS(전표_원본!$P$5:$P$100000,전표_원본!$O$5:$O$100000,$A69,전표_원본!$M$5:$M$100000,L$5))</f>
        <v/>
      </c>
      <c r="M69" s="29">
        <f>IF($A69="","",SUMIFS(전표_원본!$P$5:$P$100000,전표_원본!$O$5:$O$100000,$A69,전표_원본!$M$5:$M$100000,M$5))</f>
        <v/>
      </c>
      <c r="N69" s="29">
        <f>IF($A69="","",SUMIFS(전표_원본!$P$5:$P$100000,전표_원본!$O$5:$O$100000,$A69,전표_원본!$M$5:$M$100000,N$5))</f>
        <v/>
      </c>
      <c r="O69" s="29">
        <f>IF($A69="","",SUMIFS(전표_원본!$P$5:$P$100000,전표_원본!$O$5:$O$100000,$A69,전표_원본!$M$5:$M$100000,O$5))</f>
        <v/>
      </c>
      <c r="P69" s="29">
        <f>IF($A69="","",SUMIFS(전표_원본!$P$5:$P$100000,전표_원본!$O$5:$O$100000,$A69,전표_원본!$M$5:$M$100000,P$5))</f>
        <v/>
      </c>
      <c r="Q69" s="29">
        <f>IF($A69="","",SUMIFS(전표_원본!$P$5:$P$100000,전표_원본!$O$5:$O$100000,$A69,전표_원본!$M$5:$M$100000,Q$5))</f>
        <v/>
      </c>
      <c r="R69" s="29">
        <f>IF($A69="","",SUMIFS(전표_원본!$P$5:$P$100000,전표_원본!$O$5:$O$100000,$A69,전표_원본!$M$5:$M$100000,R$5))</f>
        <v/>
      </c>
      <c r="S69" s="29">
        <f>IF($A69="","",SUMIFS(전표_원본!$P$5:$P$100000,전표_원본!$O$5:$O$100000,$A69,전표_원본!$M$5:$M$100000,S$5))</f>
        <v/>
      </c>
      <c r="T69" s="29">
        <f>IF($A69="","",SUMIFS(전표_원본!$P$5:$P$100000,전표_원본!$O$5:$O$100000,$A69,전표_원본!$M$5:$M$100000,T$5))</f>
        <v/>
      </c>
      <c r="U69" s="29">
        <f>IF($A69="","",SUMIFS(전표_원본!$P$5:$P$100000,전표_원본!$O$5:$O$100000,$A69,전표_원본!$M$5:$M$100000,U$5))</f>
        <v/>
      </c>
      <c r="V69" s="29">
        <f>IF($A69="","",SUMIFS(전표_원본!$P$5:$P$100000,전표_원본!$O$5:$O$100000,$A69,전표_원본!$M$5:$M$100000,V$5))</f>
        <v/>
      </c>
      <c r="W69" s="29">
        <f>IF($A69="","",SUMIFS(전표_원본!$P$5:$P$100000,전표_원본!$O$5:$O$100000,$A69,전표_원본!$M$5:$M$100000,W$5))</f>
        <v/>
      </c>
      <c r="X69" s="29">
        <f>IF($A69="","",SUMIFS(전표_원본!$P$5:$P$100000,전표_원본!$O$5:$O$100000,$A69,전표_원본!$M$5:$M$100000,X$5))</f>
        <v/>
      </c>
      <c r="Y69" s="29">
        <f>IF($A69="","",SUMIFS(전표_원본!$P$5:$P$100000,전표_원본!$O$5:$O$100000,$A69,전표_원본!$M$5:$M$100000,Y$5))</f>
        <v/>
      </c>
      <c r="Z69" s="29">
        <f>IF($A69="","",SUMIFS(전표_원본!$P$5:$P$100000,전표_원본!$O$5:$O$100000,$A69,전표_원본!$M$5:$M$100000,Z$5))</f>
        <v/>
      </c>
    </row>
    <row r="70">
      <c r="A70" s="22">
        <f>IF(변동분석!$A70="","",변동분석!$E70)</f>
        <v/>
      </c>
      <c r="B70" s="22">
        <f>IF($A70="","",변동분석!$B70&amp;" "&amp;변동분석!$D70)</f>
        <v/>
      </c>
      <c r="C70" s="29">
        <f>IF($A70="","",SUMIFS(전표_원본!$P$5:$P$100000,전표_원본!$O$5:$O$100000,$A70,전표_원본!$M$5:$M$100000,C$5))</f>
        <v/>
      </c>
      <c r="D70" s="29">
        <f>IF($A70="","",SUMIFS(전표_원본!$P$5:$P$100000,전표_원본!$O$5:$O$100000,$A70,전표_원본!$M$5:$M$100000,D$5))</f>
        <v/>
      </c>
      <c r="E70" s="29">
        <f>IF($A70="","",SUMIFS(전표_원본!$P$5:$P$100000,전표_원본!$O$5:$O$100000,$A70,전표_원본!$M$5:$M$100000,E$5))</f>
        <v/>
      </c>
      <c r="F70" s="29">
        <f>IF($A70="","",SUMIFS(전표_원본!$P$5:$P$100000,전표_원본!$O$5:$O$100000,$A70,전표_원본!$M$5:$M$100000,F$5))</f>
        <v/>
      </c>
      <c r="G70" s="29">
        <f>IF($A70="","",SUMIFS(전표_원본!$P$5:$P$100000,전표_원본!$O$5:$O$100000,$A70,전표_원본!$M$5:$M$100000,G$5))</f>
        <v/>
      </c>
      <c r="H70" s="29">
        <f>IF($A70="","",SUMIFS(전표_원본!$P$5:$P$100000,전표_원본!$O$5:$O$100000,$A70,전표_원본!$M$5:$M$100000,H$5))</f>
        <v/>
      </c>
      <c r="I70" s="29">
        <f>IF($A70="","",SUMIFS(전표_원본!$P$5:$P$100000,전표_원본!$O$5:$O$100000,$A70,전표_원본!$M$5:$M$100000,I$5))</f>
        <v/>
      </c>
      <c r="J70" s="29">
        <f>IF($A70="","",SUMIFS(전표_원본!$P$5:$P$100000,전표_원본!$O$5:$O$100000,$A70,전표_원본!$M$5:$M$100000,J$5))</f>
        <v/>
      </c>
      <c r="K70" s="29">
        <f>IF($A70="","",SUMIFS(전표_원본!$P$5:$P$100000,전표_원본!$O$5:$O$100000,$A70,전표_원본!$M$5:$M$100000,K$5))</f>
        <v/>
      </c>
      <c r="L70" s="29">
        <f>IF($A70="","",SUMIFS(전표_원본!$P$5:$P$100000,전표_원본!$O$5:$O$100000,$A70,전표_원본!$M$5:$M$100000,L$5))</f>
        <v/>
      </c>
      <c r="M70" s="29">
        <f>IF($A70="","",SUMIFS(전표_원본!$P$5:$P$100000,전표_원본!$O$5:$O$100000,$A70,전표_원본!$M$5:$M$100000,M$5))</f>
        <v/>
      </c>
      <c r="N70" s="29">
        <f>IF($A70="","",SUMIFS(전표_원본!$P$5:$P$100000,전표_원본!$O$5:$O$100000,$A70,전표_원본!$M$5:$M$100000,N$5))</f>
        <v/>
      </c>
      <c r="O70" s="29">
        <f>IF($A70="","",SUMIFS(전표_원본!$P$5:$P$100000,전표_원본!$O$5:$O$100000,$A70,전표_원본!$M$5:$M$100000,O$5))</f>
        <v/>
      </c>
      <c r="P70" s="29">
        <f>IF($A70="","",SUMIFS(전표_원본!$P$5:$P$100000,전표_원본!$O$5:$O$100000,$A70,전표_원본!$M$5:$M$100000,P$5))</f>
        <v/>
      </c>
      <c r="Q70" s="29">
        <f>IF($A70="","",SUMIFS(전표_원본!$P$5:$P$100000,전표_원본!$O$5:$O$100000,$A70,전표_원본!$M$5:$M$100000,Q$5))</f>
        <v/>
      </c>
      <c r="R70" s="29">
        <f>IF($A70="","",SUMIFS(전표_원본!$P$5:$P$100000,전표_원본!$O$5:$O$100000,$A70,전표_원본!$M$5:$M$100000,R$5))</f>
        <v/>
      </c>
      <c r="S70" s="29">
        <f>IF($A70="","",SUMIFS(전표_원본!$P$5:$P$100000,전표_원본!$O$5:$O$100000,$A70,전표_원본!$M$5:$M$100000,S$5))</f>
        <v/>
      </c>
      <c r="T70" s="29">
        <f>IF($A70="","",SUMIFS(전표_원본!$P$5:$P$100000,전표_원본!$O$5:$O$100000,$A70,전표_원본!$M$5:$M$100000,T$5))</f>
        <v/>
      </c>
      <c r="U70" s="29">
        <f>IF($A70="","",SUMIFS(전표_원본!$P$5:$P$100000,전표_원본!$O$5:$O$100000,$A70,전표_원본!$M$5:$M$100000,U$5))</f>
        <v/>
      </c>
      <c r="V70" s="29">
        <f>IF($A70="","",SUMIFS(전표_원본!$P$5:$P$100000,전표_원본!$O$5:$O$100000,$A70,전표_원본!$M$5:$M$100000,V$5))</f>
        <v/>
      </c>
      <c r="W70" s="29">
        <f>IF($A70="","",SUMIFS(전표_원본!$P$5:$P$100000,전표_원본!$O$5:$O$100000,$A70,전표_원본!$M$5:$M$100000,W$5))</f>
        <v/>
      </c>
      <c r="X70" s="29">
        <f>IF($A70="","",SUMIFS(전표_원본!$P$5:$P$100000,전표_원본!$O$5:$O$100000,$A70,전표_원본!$M$5:$M$100000,X$5))</f>
        <v/>
      </c>
      <c r="Y70" s="29">
        <f>IF($A70="","",SUMIFS(전표_원본!$P$5:$P$100000,전표_원본!$O$5:$O$100000,$A70,전표_원본!$M$5:$M$100000,Y$5))</f>
        <v/>
      </c>
      <c r="Z70" s="29">
        <f>IF($A70="","",SUMIFS(전표_원본!$P$5:$P$100000,전표_원본!$O$5:$O$100000,$A70,전표_원본!$M$5:$M$100000,Z$5))</f>
        <v/>
      </c>
    </row>
    <row r="71">
      <c r="A71" s="22">
        <f>IF(변동분석!$A71="","",변동분석!$E71)</f>
        <v/>
      </c>
      <c r="B71" s="22">
        <f>IF($A71="","",변동분석!$B71&amp;" "&amp;변동분석!$D71)</f>
        <v/>
      </c>
      <c r="C71" s="29">
        <f>IF($A71="","",SUMIFS(전표_원본!$P$5:$P$100000,전표_원본!$O$5:$O$100000,$A71,전표_원본!$M$5:$M$100000,C$5))</f>
        <v/>
      </c>
      <c r="D71" s="29">
        <f>IF($A71="","",SUMIFS(전표_원본!$P$5:$P$100000,전표_원본!$O$5:$O$100000,$A71,전표_원본!$M$5:$M$100000,D$5))</f>
        <v/>
      </c>
      <c r="E71" s="29">
        <f>IF($A71="","",SUMIFS(전표_원본!$P$5:$P$100000,전표_원본!$O$5:$O$100000,$A71,전표_원본!$M$5:$M$100000,E$5))</f>
        <v/>
      </c>
      <c r="F71" s="29">
        <f>IF($A71="","",SUMIFS(전표_원본!$P$5:$P$100000,전표_원본!$O$5:$O$100000,$A71,전표_원본!$M$5:$M$100000,F$5))</f>
        <v/>
      </c>
      <c r="G71" s="29">
        <f>IF($A71="","",SUMIFS(전표_원본!$P$5:$P$100000,전표_원본!$O$5:$O$100000,$A71,전표_원본!$M$5:$M$100000,G$5))</f>
        <v/>
      </c>
      <c r="H71" s="29">
        <f>IF($A71="","",SUMIFS(전표_원본!$P$5:$P$100000,전표_원본!$O$5:$O$100000,$A71,전표_원본!$M$5:$M$100000,H$5))</f>
        <v/>
      </c>
      <c r="I71" s="29">
        <f>IF($A71="","",SUMIFS(전표_원본!$P$5:$P$100000,전표_원본!$O$5:$O$100000,$A71,전표_원본!$M$5:$M$100000,I$5))</f>
        <v/>
      </c>
      <c r="J71" s="29">
        <f>IF($A71="","",SUMIFS(전표_원본!$P$5:$P$100000,전표_원본!$O$5:$O$100000,$A71,전표_원본!$M$5:$M$100000,J$5))</f>
        <v/>
      </c>
      <c r="K71" s="29">
        <f>IF($A71="","",SUMIFS(전표_원본!$P$5:$P$100000,전표_원본!$O$5:$O$100000,$A71,전표_원본!$M$5:$M$100000,K$5))</f>
        <v/>
      </c>
      <c r="L71" s="29">
        <f>IF($A71="","",SUMIFS(전표_원본!$P$5:$P$100000,전표_원본!$O$5:$O$100000,$A71,전표_원본!$M$5:$M$100000,L$5))</f>
        <v/>
      </c>
      <c r="M71" s="29">
        <f>IF($A71="","",SUMIFS(전표_원본!$P$5:$P$100000,전표_원본!$O$5:$O$100000,$A71,전표_원본!$M$5:$M$100000,M$5))</f>
        <v/>
      </c>
      <c r="N71" s="29">
        <f>IF($A71="","",SUMIFS(전표_원본!$P$5:$P$100000,전표_원본!$O$5:$O$100000,$A71,전표_원본!$M$5:$M$100000,N$5))</f>
        <v/>
      </c>
      <c r="O71" s="29">
        <f>IF($A71="","",SUMIFS(전표_원본!$P$5:$P$100000,전표_원본!$O$5:$O$100000,$A71,전표_원본!$M$5:$M$100000,O$5))</f>
        <v/>
      </c>
      <c r="P71" s="29">
        <f>IF($A71="","",SUMIFS(전표_원본!$P$5:$P$100000,전표_원본!$O$5:$O$100000,$A71,전표_원본!$M$5:$M$100000,P$5))</f>
        <v/>
      </c>
      <c r="Q71" s="29">
        <f>IF($A71="","",SUMIFS(전표_원본!$P$5:$P$100000,전표_원본!$O$5:$O$100000,$A71,전표_원본!$M$5:$M$100000,Q$5))</f>
        <v/>
      </c>
      <c r="R71" s="29">
        <f>IF($A71="","",SUMIFS(전표_원본!$P$5:$P$100000,전표_원본!$O$5:$O$100000,$A71,전표_원본!$M$5:$M$100000,R$5))</f>
        <v/>
      </c>
      <c r="S71" s="29">
        <f>IF($A71="","",SUMIFS(전표_원본!$P$5:$P$100000,전표_원본!$O$5:$O$100000,$A71,전표_원본!$M$5:$M$100000,S$5))</f>
        <v/>
      </c>
      <c r="T71" s="29">
        <f>IF($A71="","",SUMIFS(전표_원본!$P$5:$P$100000,전표_원본!$O$5:$O$100000,$A71,전표_원본!$M$5:$M$100000,T$5))</f>
        <v/>
      </c>
      <c r="U71" s="29">
        <f>IF($A71="","",SUMIFS(전표_원본!$P$5:$P$100000,전표_원본!$O$5:$O$100000,$A71,전표_원본!$M$5:$M$100000,U$5))</f>
        <v/>
      </c>
      <c r="V71" s="29">
        <f>IF($A71="","",SUMIFS(전표_원본!$P$5:$P$100000,전표_원본!$O$5:$O$100000,$A71,전표_원본!$M$5:$M$100000,V$5))</f>
        <v/>
      </c>
      <c r="W71" s="29">
        <f>IF($A71="","",SUMIFS(전표_원본!$P$5:$P$100000,전표_원본!$O$5:$O$100000,$A71,전표_원본!$M$5:$M$100000,W$5))</f>
        <v/>
      </c>
      <c r="X71" s="29">
        <f>IF($A71="","",SUMIFS(전표_원본!$P$5:$P$100000,전표_원본!$O$5:$O$100000,$A71,전표_원본!$M$5:$M$100000,X$5))</f>
        <v/>
      </c>
      <c r="Y71" s="29">
        <f>IF($A71="","",SUMIFS(전표_원본!$P$5:$P$100000,전표_원본!$O$5:$O$100000,$A71,전표_원본!$M$5:$M$100000,Y$5))</f>
        <v/>
      </c>
      <c r="Z71" s="29">
        <f>IF($A71="","",SUMIFS(전표_원본!$P$5:$P$100000,전표_원본!$O$5:$O$100000,$A71,전표_원본!$M$5:$M$100000,Z$5))</f>
        <v/>
      </c>
    </row>
    <row r="72">
      <c r="A72" s="22">
        <f>IF(변동분석!$A72="","",변동분석!$E72)</f>
        <v/>
      </c>
      <c r="B72" s="22">
        <f>IF($A72="","",변동분석!$B72&amp;" "&amp;변동분석!$D72)</f>
        <v/>
      </c>
      <c r="C72" s="29">
        <f>IF($A72="","",SUMIFS(전표_원본!$P$5:$P$100000,전표_원본!$O$5:$O$100000,$A72,전표_원본!$M$5:$M$100000,C$5))</f>
        <v/>
      </c>
      <c r="D72" s="29">
        <f>IF($A72="","",SUMIFS(전표_원본!$P$5:$P$100000,전표_원본!$O$5:$O$100000,$A72,전표_원본!$M$5:$M$100000,D$5))</f>
        <v/>
      </c>
      <c r="E72" s="29">
        <f>IF($A72="","",SUMIFS(전표_원본!$P$5:$P$100000,전표_원본!$O$5:$O$100000,$A72,전표_원본!$M$5:$M$100000,E$5))</f>
        <v/>
      </c>
      <c r="F72" s="29">
        <f>IF($A72="","",SUMIFS(전표_원본!$P$5:$P$100000,전표_원본!$O$5:$O$100000,$A72,전표_원본!$M$5:$M$100000,F$5))</f>
        <v/>
      </c>
      <c r="G72" s="29">
        <f>IF($A72="","",SUMIFS(전표_원본!$P$5:$P$100000,전표_원본!$O$5:$O$100000,$A72,전표_원본!$M$5:$M$100000,G$5))</f>
        <v/>
      </c>
      <c r="H72" s="29">
        <f>IF($A72="","",SUMIFS(전표_원본!$P$5:$P$100000,전표_원본!$O$5:$O$100000,$A72,전표_원본!$M$5:$M$100000,H$5))</f>
        <v/>
      </c>
      <c r="I72" s="29">
        <f>IF($A72="","",SUMIFS(전표_원본!$P$5:$P$100000,전표_원본!$O$5:$O$100000,$A72,전표_원본!$M$5:$M$100000,I$5))</f>
        <v/>
      </c>
      <c r="J72" s="29">
        <f>IF($A72="","",SUMIFS(전표_원본!$P$5:$P$100000,전표_원본!$O$5:$O$100000,$A72,전표_원본!$M$5:$M$100000,J$5))</f>
        <v/>
      </c>
      <c r="K72" s="29">
        <f>IF($A72="","",SUMIFS(전표_원본!$P$5:$P$100000,전표_원본!$O$5:$O$100000,$A72,전표_원본!$M$5:$M$100000,K$5))</f>
        <v/>
      </c>
      <c r="L72" s="29">
        <f>IF($A72="","",SUMIFS(전표_원본!$P$5:$P$100000,전표_원본!$O$5:$O$100000,$A72,전표_원본!$M$5:$M$100000,L$5))</f>
        <v/>
      </c>
      <c r="M72" s="29">
        <f>IF($A72="","",SUMIFS(전표_원본!$P$5:$P$100000,전표_원본!$O$5:$O$100000,$A72,전표_원본!$M$5:$M$100000,M$5))</f>
        <v/>
      </c>
      <c r="N72" s="29">
        <f>IF($A72="","",SUMIFS(전표_원본!$P$5:$P$100000,전표_원본!$O$5:$O$100000,$A72,전표_원본!$M$5:$M$100000,N$5))</f>
        <v/>
      </c>
      <c r="O72" s="29">
        <f>IF($A72="","",SUMIFS(전표_원본!$P$5:$P$100000,전표_원본!$O$5:$O$100000,$A72,전표_원본!$M$5:$M$100000,O$5))</f>
        <v/>
      </c>
      <c r="P72" s="29">
        <f>IF($A72="","",SUMIFS(전표_원본!$P$5:$P$100000,전표_원본!$O$5:$O$100000,$A72,전표_원본!$M$5:$M$100000,P$5))</f>
        <v/>
      </c>
      <c r="Q72" s="29">
        <f>IF($A72="","",SUMIFS(전표_원본!$P$5:$P$100000,전표_원본!$O$5:$O$100000,$A72,전표_원본!$M$5:$M$100000,Q$5))</f>
        <v/>
      </c>
      <c r="R72" s="29">
        <f>IF($A72="","",SUMIFS(전표_원본!$P$5:$P$100000,전표_원본!$O$5:$O$100000,$A72,전표_원본!$M$5:$M$100000,R$5))</f>
        <v/>
      </c>
      <c r="S72" s="29">
        <f>IF($A72="","",SUMIFS(전표_원본!$P$5:$P$100000,전표_원본!$O$5:$O$100000,$A72,전표_원본!$M$5:$M$100000,S$5))</f>
        <v/>
      </c>
      <c r="T72" s="29">
        <f>IF($A72="","",SUMIFS(전표_원본!$P$5:$P$100000,전표_원본!$O$5:$O$100000,$A72,전표_원본!$M$5:$M$100000,T$5))</f>
        <v/>
      </c>
      <c r="U72" s="29">
        <f>IF($A72="","",SUMIFS(전표_원본!$P$5:$P$100000,전표_원본!$O$5:$O$100000,$A72,전표_원본!$M$5:$M$100000,U$5))</f>
        <v/>
      </c>
      <c r="V72" s="29">
        <f>IF($A72="","",SUMIFS(전표_원본!$P$5:$P$100000,전표_원본!$O$5:$O$100000,$A72,전표_원본!$M$5:$M$100000,V$5))</f>
        <v/>
      </c>
      <c r="W72" s="29">
        <f>IF($A72="","",SUMIFS(전표_원본!$P$5:$P$100000,전표_원본!$O$5:$O$100000,$A72,전표_원본!$M$5:$M$100000,W$5))</f>
        <v/>
      </c>
      <c r="X72" s="29">
        <f>IF($A72="","",SUMIFS(전표_원본!$P$5:$P$100000,전표_원본!$O$5:$O$100000,$A72,전표_원본!$M$5:$M$100000,X$5))</f>
        <v/>
      </c>
      <c r="Y72" s="29">
        <f>IF($A72="","",SUMIFS(전표_원본!$P$5:$P$100000,전표_원본!$O$5:$O$100000,$A72,전표_원본!$M$5:$M$100000,Y$5))</f>
        <v/>
      </c>
      <c r="Z72" s="29">
        <f>IF($A72="","",SUMIFS(전표_원본!$P$5:$P$100000,전표_원본!$O$5:$O$100000,$A72,전표_원본!$M$5:$M$100000,Z$5))</f>
        <v/>
      </c>
    </row>
    <row r="73">
      <c r="A73" s="22">
        <f>IF(변동분석!$A73="","",변동분석!$E73)</f>
        <v/>
      </c>
      <c r="B73" s="22">
        <f>IF($A73="","",변동분석!$B73&amp;" "&amp;변동분석!$D73)</f>
        <v/>
      </c>
      <c r="C73" s="29">
        <f>IF($A73="","",SUMIFS(전표_원본!$P$5:$P$100000,전표_원본!$O$5:$O$100000,$A73,전표_원본!$M$5:$M$100000,C$5))</f>
        <v/>
      </c>
      <c r="D73" s="29">
        <f>IF($A73="","",SUMIFS(전표_원본!$P$5:$P$100000,전표_원본!$O$5:$O$100000,$A73,전표_원본!$M$5:$M$100000,D$5))</f>
        <v/>
      </c>
      <c r="E73" s="29">
        <f>IF($A73="","",SUMIFS(전표_원본!$P$5:$P$100000,전표_원본!$O$5:$O$100000,$A73,전표_원본!$M$5:$M$100000,E$5))</f>
        <v/>
      </c>
      <c r="F73" s="29">
        <f>IF($A73="","",SUMIFS(전표_원본!$P$5:$P$100000,전표_원본!$O$5:$O$100000,$A73,전표_원본!$M$5:$M$100000,F$5))</f>
        <v/>
      </c>
      <c r="G73" s="29">
        <f>IF($A73="","",SUMIFS(전표_원본!$P$5:$P$100000,전표_원본!$O$5:$O$100000,$A73,전표_원본!$M$5:$M$100000,G$5))</f>
        <v/>
      </c>
      <c r="H73" s="29">
        <f>IF($A73="","",SUMIFS(전표_원본!$P$5:$P$100000,전표_원본!$O$5:$O$100000,$A73,전표_원본!$M$5:$M$100000,H$5))</f>
        <v/>
      </c>
      <c r="I73" s="29">
        <f>IF($A73="","",SUMIFS(전표_원본!$P$5:$P$100000,전표_원본!$O$5:$O$100000,$A73,전표_원본!$M$5:$M$100000,I$5))</f>
        <v/>
      </c>
      <c r="J73" s="29">
        <f>IF($A73="","",SUMIFS(전표_원본!$P$5:$P$100000,전표_원본!$O$5:$O$100000,$A73,전표_원본!$M$5:$M$100000,J$5))</f>
        <v/>
      </c>
      <c r="K73" s="29">
        <f>IF($A73="","",SUMIFS(전표_원본!$P$5:$P$100000,전표_원본!$O$5:$O$100000,$A73,전표_원본!$M$5:$M$100000,K$5))</f>
        <v/>
      </c>
      <c r="L73" s="29">
        <f>IF($A73="","",SUMIFS(전표_원본!$P$5:$P$100000,전표_원본!$O$5:$O$100000,$A73,전표_원본!$M$5:$M$100000,L$5))</f>
        <v/>
      </c>
      <c r="M73" s="29">
        <f>IF($A73="","",SUMIFS(전표_원본!$P$5:$P$100000,전표_원본!$O$5:$O$100000,$A73,전표_원본!$M$5:$M$100000,M$5))</f>
        <v/>
      </c>
      <c r="N73" s="29">
        <f>IF($A73="","",SUMIFS(전표_원본!$P$5:$P$100000,전표_원본!$O$5:$O$100000,$A73,전표_원본!$M$5:$M$100000,N$5))</f>
        <v/>
      </c>
      <c r="O73" s="29">
        <f>IF($A73="","",SUMIFS(전표_원본!$P$5:$P$100000,전표_원본!$O$5:$O$100000,$A73,전표_원본!$M$5:$M$100000,O$5))</f>
        <v/>
      </c>
      <c r="P73" s="29">
        <f>IF($A73="","",SUMIFS(전표_원본!$P$5:$P$100000,전표_원본!$O$5:$O$100000,$A73,전표_원본!$M$5:$M$100000,P$5))</f>
        <v/>
      </c>
      <c r="Q73" s="29">
        <f>IF($A73="","",SUMIFS(전표_원본!$P$5:$P$100000,전표_원본!$O$5:$O$100000,$A73,전표_원본!$M$5:$M$100000,Q$5))</f>
        <v/>
      </c>
      <c r="R73" s="29">
        <f>IF($A73="","",SUMIFS(전표_원본!$P$5:$P$100000,전표_원본!$O$5:$O$100000,$A73,전표_원본!$M$5:$M$100000,R$5))</f>
        <v/>
      </c>
      <c r="S73" s="29">
        <f>IF($A73="","",SUMIFS(전표_원본!$P$5:$P$100000,전표_원본!$O$5:$O$100000,$A73,전표_원본!$M$5:$M$100000,S$5))</f>
        <v/>
      </c>
      <c r="T73" s="29">
        <f>IF($A73="","",SUMIFS(전표_원본!$P$5:$P$100000,전표_원본!$O$5:$O$100000,$A73,전표_원본!$M$5:$M$100000,T$5))</f>
        <v/>
      </c>
      <c r="U73" s="29">
        <f>IF($A73="","",SUMIFS(전표_원본!$P$5:$P$100000,전표_원본!$O$5:$O$100000,$A73,전표_원본!$M$5:$M$100000,U$5))</f>
        <v/>
      </c>
      <c r="V73" s="29">
        <f>IF($A73="","",SUMIFS(전표_원본!$P$5:$P$100000,전표_원본!$O$5:$O$100000,$A73,전표_원본!$M$5:$M$100000,V$5))</f>
        <v/>
      </c>
      <c r="W73" s="29">
        <f>IF($A73="","",SUMIFS(전표_원본!$P$5:$P$100000,전표_원본!$O$5:$O$100000,$A73,전표_원본!$M$5:$M$100000,W$5))</f>
        <v/>
      </c>
      <c r="X73" s="29">
        <f>IF($A73="","",SUMIFS(전표_원본!$P$5:$P$100000,전표_원본!$O$5:$O$100000,$A73,전표_원본!$M$5:$M$100000,X$5))</f>
        <v/>
      </c>
      <c r="Y73" s="29">
        <f>IF($A73="","",SUMIFS(전표_원본!$P$5:$P$100000,전표_원본!$O$5:$O$100000,$A73,전표_원본!$M$5:$M$100000,Y$5))</f>
        <v/>
      </c>
      <c r="Z73" s="29">
        <f>IF($A73="","",SUMIFS(전표_원본!$P$5:$P$100000,전표_원본!$O$5:$O$100000,$A73,전표_원본!$M$5:$M$100000,Z$5))</f>
        <v/>
      </c>
    </row>
    <row r="74">
      <c r="A74" s="22">
        <f>IF(변동분석!$A74="","",변동분석!$E74)</f>
        <v/>
      </c>
      <c r="B74" s="22">
        <f>IF($A74="","",변동분석!$B74&amp;" "&amp;변동분석!$D74)</f>
        <v/>
      </c>
      <c r="C74" s="29">
        <f>IF($A74="","",SUMIFS(전표_원본!$P$5:$P$100000,전표_원본!$O$5:$O$100000,$A74,전표_원본!$M$5:$M$100000,C$5))</f>
        <v/>
      </c>
      <c r="D74" s="29">
        <f>IF($A74="","",SUMIFS(전표_원본!$P$5:$P$100000,전표_원본!$O$5:$O$100000,$A74,전표_원본!$M$5:$M$100000,D$5))</f>
        <v/>
      </c>
      <c r="E74" s="29">
        <f>IF($A74="","",SUMIFS(전표_원본!$P$5:$P$100000,전표_원본!$O$5:$O$100000,$A74,전표_원본!$M$5:$M$100000,E$5))</f>
        <v/>
      </c>
      <c r="F74" s="29">
        <f>IF($A74="","",SUMIFS(전표_원본!$P$5:$P$100000,전표_원본!$O$5:$O$100000,$A74,전표_원본!$M$5:$M$100000,F$5))</f>
        <v/>
      </c>
      <c r="G74" s="29">
        <f>IF($A74="","",SUMIFS(전표_원본!$P$5:$P$100000,전표_원본!$O$5:$O$100000,$A74,전표_원본!$M$5:$M$100000,G$5))</f>
        <v/>
      </c>
      <c r="H74" s="29">
        <f>IF($A74="","",SUMIFS(전표_원본!$P$5:$P$100000,전표_원본!$O$5:$O$100000,$A74,전표_원본!$M$5:$M$100000,H$5))</f>
        <v/>
      </c>
      <c r="I74" s="29">
        <f>IF($A74="","",SUMIFS(전표_원본!$P$5:$P$100000,전표_원본!$O$5:$O$100000,$A74,전표_원본!$M$5:$M$100000,I$5))</f>
        <v/>
      </c>
      <c r="J74" s="29">
        <f>IF($A74="","",SUMIFS(전표_원본!$P$5:$P$100000,전표_원본!$O$5:$O$100000,$A74,전표_원본!$M$5:$M$100000,J$5))</f>
        <v/>
      </c>
      <c r="K74" s="29">
        <f>IF($A74="","",SUMIFS(전표_원본!$P$5:$P$100000,전표_원본!$O$5:$O$100000,$A74,전표_원본!$M$5:$M$100000,K$5))</f>
        <v/>
      </c>
      <c r="L74" s="29">
        <f>IF($A74="","",SUMIFS(전표_원본!$P$5:$P$100000,전표_원본!$O$5:$O$100000,$A74,전표_원본!$M$5:$M$100000,L$5))</f>
        <v/>
      </c>
      <c r="M74" s="29">
        <f>IF($A74="","",SUMIFS(전표_원본!$P$5:$P$100000,전표_원본!$O$5:$O$100000,$A74,전표_원본!$M$5:$M$100000,M$5))</f>
        <v/>
      </c>
      <c r="N74" s="29">
        <f>IF($A74="","",SUMIFS(전표_원본!$P$5:$P$100000,전표_원본!$O$5:$O$100000,$A74,전표_원본!$M$5:$M$100000,N$5))</f>
        <v/>
      </c>
      <c r="O74" s="29">
        <f>IF($A74="","",SUMIFS(전표_원본!$P$5:$P$100000,전표_원본!$O$5:$O$100000,$A74,전표_원본!$M$5:$M$100000,O$5))</f>
        <v/>
      </c>
      <c r="P74" s="29">
        <f>IF($A74="","",SUMIFS(전표_원본!$P$5:$P$100000,전표_원본!$O$5:$O$100000,$A74,전표_원본!$M$5:$M$100000,P$5))</f>
        <v/>
      </c>
      <c r="Q74" s="29">
        <f>IF($A74="","",SUMIFS(전표_원본!$P$5:$P$100000,전표_원본!$O$5:$O$100000,$A74,전표_원본!$M$5:$M$100000,Q$5))</f>
        <v/>
      </c>
      <c r="R74" s="29">
        <f>IF($A74="","",SUMIFS(전표_원본!$P$5:$P$100000,전표_원본!$O$5:$O$100000,$A74,전표_원본!$M$5:$M$100000,R$5))</f>
        <v/>
      </c>
      <c r="S74" s="29">
        <f>IF($A74="","",SUMIFS(전표_원본!$P$5:$P$100000,전표_원본!$O$5:$O$100000,$A74,전표_원본!$M$5:$M$100000,S$5))</f>
        <v/>
      </c>
      <c r="T74" s="29">
        <f>IF($A74="","",SUMIFS(전표_원본!$P$5:$P$100000,전표_원본!$O$5:$O$100000,$A74,전표_원본!$M$5:$M$100000,T$5))</f>
        <v/>
      </c>
      <c r="U74" s="29">
        <f>IF($A74="","",SUMIFS(전표_원본!$P$5:$P$100000,전표_원본!$O$5:$O$100000,$A74,전표_원본!$M$5:$M$100000,U$5))</f>
        <v/>
      </c>
      <c r="V74" s="29">
        <f>IF($A74="","",SUMIFS(전표_원본!$P$5:$P$100000,전표_원본!$O$5:$O$100000,$A74,전표_원본!$M$5:$M$100000,V$5))</f>
        <v/>
      </c>
      <c r="W74" s="29">
        <f>IF($A74="","",SUMIFS(전표_원본!$P$5:$P$100000,전표_원본!$O$5:$O$100000,$A74,전표_원본!$M$5:$M$100000,W$5))</f>
        <v/>
      </c>
      <c r="X74" s="29">
        <f>IF($A74="","",SUMIFS(전표_원본!$P$5:$P$100000,전표_원본!$O$5:$O$100000,$A74,전표_원본!$M$5:$M$100000,X$5))</f>
        <v/>
      </c>
      <c r="Y74" s="29">
        <f>IF($A74="","",SUMIFS(전표_원본!$P$5:$P$100000,전표_원본!$O$5:$O$100000,$A74,전표_원본!$M$5:$M$100000,Y$5))</f>
        <v/>
      </c>
      <c r="Z74" s="29">
        <f>IF($A74="","",SUMIFS(전표_원본!$P$5:$P$100000,전표_원본!$O$5:$O$100000,$A74,전표_원본!$M$5:$M$100000,Z$5))</f>
        <v/>
      </c>
    </row>
    <row r="75">
      <c r="A75" s="22">
        <f>IF(변동분석!$A75="","",변동분석!$E75)</f>
        <v/>
      </c>
      <c r="B75" s="22">
        <f>IF($A75="","",변동분석!$B75&amp;" "&amp;변동분석!$D75)</f>
        <v/>
      </c>
      <c r="C75" s="29">
        <f>IF($A75="","",SUMIFS(전표_원본!$P$5:$P$100000,전표_원본!$O$5:$O$100000,$A75,전표_원본!$M$5:$M$100000,C$5))</f>
        <v/>
      </c>
      <c r="D75" s="29">
        <f>IF($A75="","",SUMIFS(전표_원본!$P$5:$P$100000,전표_원본!$O$5:$O$100000,$A75,전표_원본!$M$5:$M$100000,D$5))</f>
        <v/>
      </c>
      <c r="E75" s="29">
        <f>IF($A75="","",SUMIFS(전표_원본!$P$5:$P$100000,전표_원본!$O$5:$O$100000,$A75,전표_원본!$M$5:$M$100000,E$5))</f>
        <v/>
      </c>
      <c r="F75" s="29">
        <f>IF($A75="","",SUMIFS(전표_원본!$P$5:$P$100000,전표_원본!$O$5:$O$100000,$A75,전표_원본!$M$5:$M$100000,F$5))</f>
        <v/>
      </c>
      <c r="G75" s="29">
        <f>IF($A75="","",SUMIFS(전표_원본!$P$5:$P$100000,전표_원본!$O$5:$O$100000,$A75,전표_원본!$M$5:$M$100000,G$5))</f>
        <v/>
      </c>
      <c r="H75" s="29">
        <f>IF($A75="","",SUMIFS(전표_원본!$P$5:$P$100000,전표_원본!$O$5:$O$100000,$A75,전표_원본!$M$5:$M$100000,H$5))</f>
        <v/>
      </c>
      <c r="I75" s="29">
        <f>IF($A75="","",SUMIFS(전표_원본!$P$5:$P$100000,전표_원본!$O$5:$O$100000,$A75,전표_원본!$M$5:$M$100000,I$5))</f>
        <v/>
      </c>
      <c r="J75" s="29">
        <f>IF($A75="","",SUMIFS(전표_원본!$P$5:$P$100000,전표_원본!$O$5:$O$100000,$A75,전표_원본!$M$5:$M$100000,J$5))</f>
        <v/>
      </c>
      <c r="K75" s="29">
        <f>IF($A75="","",SUMIFS(전표_원본!$P$5:$P$100000,전표_원본!$O$5:$O$100000,$A75,전표_원본!$M$5:$M$100000,K$5))</f>
        <v/>
      </c>
      <c r="L75" s="29">
        <f>IF($A75="","",SUMIFS(전표_원본!$P$5:$P$100000,전표_원본!$O$5:$O$100000,$A75,전표_원본!$M$5:$M$100000,L$5))</f>
        <v/>
      </c>
      <c r="M75" s="29">
        <f>IF($A75="","",SUMIFS(전표_원본!$P$5:$P$100000,전표_원본!$O$5:$O$100000,$A75,전표_원본!$M$5:$M$100000,M$5))</f>
        <v/>
      </c>
      <c r="N75" s="29">
        <f>IF($A75="","",SUMIFS(전표_원본!$P$5:$P$100000,전표_원본!$O$5:$O$100000,$A75,전표_원본!$M$5:$M$100000,N$5))</f>
        <v/>
      </c>
      <c r="O75" s="29">
        <f>IF($A75="","",SUMIFS(전표_원본!$P$5:$P$100000,전표_원본!$O$5:$O$100000,$A75,전표_원본!$M$5:$M$100000,O$5))</f>
        <v/>
      </c>
      <c r="P75" s="29">
        <f>IF($A75="","",SUMIFS(전표_원본!$P$5:$P$100000,전표_원본!$O$5:$O$100000,$A75,전표_원본!$M$5:$M$100000,P$5))</f>
        <v/>
      </c>
      <c r="Q75" s="29">
        <f>IF($A75="","",SUMIFS(전표_원본!$P$5:$P$100000,전표_원본!$O$5:$O$100000,$A75,전표_원본!$M$5:$M$100000,Q$5))</f>
        <v/>
      </c>
      <c r="R75" s="29">
        <f>IF($A75="","",SUMIFS(전표_원본!$P$5:$P$100000,전표_원본!$O$5:$O$100000,$A75,전표_원본!$M$5:$M$100000,R$5))</f>
        <v/>
      </c>
      <c r="S75" s="29">
        <f>IF($A75="","",SUMIFS(전표_원본!$P$5:$P$100000,전표_원본!$O$5:$O$100000,$A75,전표_원본!$M$5:$M$100000,S$5))</f>
        <v/>
      </c>
      <c r="T75" s="29">
        <f>IF($A75="","",SUMIFS(전표_원본!$P$5:$P$100000,전표_원본!$O$5:$O$100000,$A75,전표_원본!$M$5:$M$100000,T$5))</f>
        <v/>
      </c>
      <c r="U75" s="29">
        <f>IF($A75="","",SUMIFS(전표_원본!$P$5:$P$100000,전표_원본!$O$5:$O$100000,$A75,전표_원본!$M$5:$M$100000,U$5))</f>
        <v/>
      </c>
      <c r="V75" s="29">
        <f>IF($A75="","",SUMIFS(전표_원본!$P$5:$P$100000,전표_원본!$O$5:$O$100000,$A75,전표_원본!$M$5:$M$100000,V$5))</f>
        <v/>
      </c>
      <c r="W75" s="29">
        <f>IF($A75="","",SUMIFS(전표_원본!$P$5:$P$100000,전표_원본!$O$5:$O$100000,$A75,전표_원본!$M$5:$M$100000,W$5))</f>
        <v/>
      </c>
      <c r="X75" s="29">
        <f>IF($A75="","",SUMIFS(전표_원본!$P$5:$P$100000,전표_원본!$O$5:$O$100000,$A75,전표_원본!$M$5:$M$100000,X$5))</f>
        <v/>
      </c>
      <c r="Y75" s="29">
        <f>IF($A75="","",SUMIFS(전표_원본!$P$5:$P$100000,전표_원본!$O$5:$O$100000,$A75,전표_원본!$M$5:$M$100000,Y$5))</f>
        <v/>
      </c>
      <c r="Z75" s="29">
        <f>IF($A75="","",SUMIFS(전표_원본!$P$5:$P$100000,전표_원본!$O$5:$O$100000,$A75,전표_원본!$M$5:$M$100000,Z$5))</f>
        <v/>
      </c>
    </row>
    <row r="76">
      <c r="A76" s="22">
        <f>IF(변동분석!$A76="","",변동분석!$E76)</f>
        <v/>
      </c>
      <c r="B76" s="22">
        <f>IF($A76="","",변동분석!$B76&amp;" "&amp;변동분석!$D76)</f>
        <v/>
      </c>
      <c r="C76" s="29">
        <f>IF($A76="","",SUMIFS(전표_원본!$P$5:$P$100000,전표_원본!$O$5:$O$100000,$A76,전표_원본!$M$5:$M$100000,C$5))</f>
        <v/>
      </c>
      <c r="D76" s="29">
        <f>IF($A76="","",SUMIFS(전표_원본!$P$5:$P$100000,전표_원본!$O$5:$O$100000,$A76,전표_원본!$M$5:$M$100000,D$5))</f>
        <v/>
      </c>
      <c r="E76" s="29">
        <f>IF($A76="","",SUMIFS(전표_원본!$P$5:$P$100000,전표_원본!$O$5:$O$100000,$A76,전표_원본!$M$5:$M$100000,E$5))</f>
        <v/>
      </c>
      <c r="F76" s="29">
        <f>IF($A76="","",SUMIFS(전표_원본!$P$5:$P$100000,전표_원본!$O$5:$O$100000,$A76,전표_원본!$M$5:$M$100000,F$5))</f>
        <v/>
      </c>
      <c r="G76" s="29">
        <f>IF($A76="","",SUMIFS(전표_원본!$P$5:$P$100000,전표_원본!$O$5:$O$100000,$A76,전표_원본!$M$5:$M$100000,G$5))</f>
        <v/>
      </c>
      <c r="H76" s="29">
        <f>IF($A76="","",SUMIFS(전표_원본!$P$5:$P$100000,전표_원본!$O$5:$O$100000,$A76,전표_원본!$M$5:$M$100000,H$5))</f>
        <v/>
      </c>
      <c r="I76" s="29">
        <f>IF($A76="","",SUMIFS(전표_원본!$P$5:$P$100000,전표_원본!$O$5:$O$100000,$A76,전표_원본!$M$5:$M$100000,I$5))</f>
        <v/>
      </c>
      <c r="J76" s="29">
        <f>IF($A76="","",SUMIFS(전표_원본!$P$5:$P$100000,전표_원본!$O$5:$O$100000,$A76,전표_원본!$M$5:$M$100000,J$5))</f>
        <v/>
      </c>
      <c r="K76" s="29">
        <f>IF($A76="","",SUMIFS(전표_원본!$P$5:$P$100000,전표_원본!$O$5:$O$100000,$A76,전표_원본!$M$5:$M$100000,K$5))</f>
        <v/>
      </c>
      <c r="L76" s="29">
        <f>IF($A76="","",SUMIFS(전표_원본!$P$5:$P$100000,전표_원본!$O$5:$O$100000,$A76,전표_원본!$M$5:$M$100000,L$5))</f>
        <v/>
      </c>
      <c r="M76" s="29">
        <f>IF($A76="","",SUMIFS(전표_원본!$P$5:$P$100000,전표_원본!$O$5:$O$100000,$A76,전표_원본!$M$5:$M$100000,M$5))</f>
        <v/>
      </c>
      <c r="N76" s="29">
        <f>IF($A76="","",SUMIFS(전표_원본!$P$5:$P$100000,전표_원본!$O$5:$O$100000,$A76,전표_원본!$M$5:$M$100000,N$5))</f>
        <v/>
      </c>
      <c r="O76" s="29">
        <f>IF($A76="","",SUMIFS(전표_원본!$P$5:$P$100000,전표_원본!$O$5:$O$100000,$A76,전표_원본!$M$5:$M$100000,O$5))</f>
        <v/>
      </c>
      <c r="P76" s="29">
        <f>IF($A76="","",SUMIFS(전표_원본!$P$5:$P$100000,전표_원본!$O$5:$O$100000,$A76,전표_원본!$M$5:$M$100000,P$5))</f>
        <v/>
      </c>
      <c r="Q76" s="29">
        <f>IF($A76="","",SUMIFS(전표_원본!$P$5:$P$100000,전표_원본!$O$5:$O$100000,$A76,전표_원본!$M$5:$M$100000,Q$5))</f>
        <v/>
      </c>
      <c r="R76" s="29">
        <f>IF($A76="","",SUMIFS(전표_원본!$P$5:$P$100000,전표_원본!$O$5:$O$100000,$A76,전표_원본!$M$5:$M$100000,R$5))</f>
        <v/>
      </c>
      <c r="S76" s="29">
        <f>IF($A76="","",SUMIFS(전표_원본!$P$5:$P$100000,전표_원본!$O$5:$O$100000,$A76,전표_원본!$M$5:$M$100000,S$5))</f>
        <v/>
      </c>
      <c r="T76" s="29">
        <f>IF($A76="","",SUMIFS(전표_원본!$P$5:$P$100000,전표_원본!$O$5:$O$100000,$A76,전표_원본!$M$5:$M$100000,T$5))</f>
        <v/>
      </c>
      <c r="U76" s="29">
        <f>IF($A76="","",SUMIFS(전표_원본!$P$5:$P$100000,전표_원본!$O$5:$O$100000,$A76,전표_원본!$M$5:$M$100000,U$5))</f>
        <v/>
      </c>
      <c r="V76" s="29">
        <f>IF($A76="","",SUMIFS(전표_원본!$P$5:$P$100000,전표_원본!$O$5:$O$100000,$A76,전표_원본!$M$5:$M$100000,V$5))</f>
        <v/>
      </c>
      <c r="W76" s="29">
        <f>IF($A76="","",SUMIFS(전표_원본!$P$5:$P$100000,전표_원본!$O$5:$O$100000,$A76,전표_원본!$M$5:$M$100000,W$5))</f>
        <v/>
      </c>
      <c r="X76" s="29">
        <f>IF($A76="","",SUMIFS(전표_원본!$P$5:$P$100000,전표_원본!$O$5:$O$100000,$A76,전표_원본!$M$5:$M$100000,X$5))</f>
        <v/>
      </c>
      <c r="Y76" s="29">
        <f>IF($A76="","",SUMIFS(전표_원본!$P$5:$P$100000,전표_원본!$O$5:$O$100000,$A76,전표_원본!$M$5:$M$100000,Y$5))</f>
        <v/>
      </c>
      <c r="Z76" s="29">
        <f>IF($A76="","",SUMIFS(전표_원본!$P$5:$P$100000,전표_원본!$O$5:$O$100000,$A76,전표_원본!$M$5:$M$100000,Z$5))</f>
        <v/>
      </c>
    </row>
    <row r="77">
      <c r="A77" s="22">
        <f>IF(변동분석!$A77="","",변동분석!$E77)</f>
        <v/>
      </c>
      <c r="B77" s="22">
        <f>IF($A77="","",변동분석!$B77&amp;" "&amp;변동분석!$D77)</f>
        <v/>
      </c>
      <c r="C77" s="29">
        <f>IF($A77="","",SUMIFS(전표_원본!$P$5:$P$100000,전표_원본!$O$5:$O$100000,$A77,전표_원본!$M$5:$M$100000,C$5))</f>
        <v/>
      </c>
      <c r="D77" s="29">
        <f>IF($A77="","",SUMIFS(전표_원본!$P$5:$P$100000,전표_원본!$O$5:$O$100000,$A77,전표_원본!$M$5:$M$100000,D$5))</f>
        <v/>
      </c>
      <c r="E77" s="29">
        <f>IF($A77="","",SUMIFS(전표_원본!$P$5:$P$100000,전표_원본!$O$5:$O$100000,$A77,전표_원본!$M$5:$M$100000,E$5))</f>
        <v/>
      </c>
      <c r="F77" s="29">
        <f>IF($A77="","",SUMIFS(전표_원본!$P$5:$P$100000,전표_원본!$O$5:$O$100000,$A77,전표_원본!$M$5:$M$100000,F$5))</f>
        <v/>
      </c>
      <c r="G77" s="29">
        <f>IF($A77="","",SUMIFS(전표_원본!$P$5:$P$100000,전표_원본!$O$5:$O$100000,$A77,전표_원본!$M$5:$M$100000,G$5))</f>
        <v/>
      </c>
      <c r="H77" s="29">
        <f>IF($A77="","",SUMIFS(전표_원본!$P$5:$P$100000,전표_원본!$O$5:$O$100000,$A77,전표_원본!$M$5:$M$100000,H$5))</f>
        <v/>
      </c>
      <c r="I77" s="29">
        <f>IF($A77="","",SUMIFS(전표_원본!$P$5:$P$100000,전표_원본!$O$5:$O$100000,$A77,전표_원본!$M$5:$M$100000,I$5))</f>
        <v/>
      </c>
      <c r="J77" s="29">
        <f>IF($A77="","",SUMIFS(전표_원본!$P$5:$P$100000,전표_원본!$O$5:$O$100000,$A77,전표_원본!$M$5:$M$100000,J$5))</f>
        <v/>
      </c>
      <c r="K77" s="29">
        <f>IF($A77="","",SUMIFS(전표_원본!$P$5:$P$100000,전표_원본!$O$5:$O$100000,$A77,전표_원본!$M$5:$M$100000,K$5))</f>
        <v/>
      </c>
      <c r="L77" s="29">
        <f>IF($A77="","",SUMIFS(전표_원본!$P$5:$P$100000,전표_원본!$O$5:$O$100000,$A77,전표_원본!$M$5:$M$100000,L$5))</f>
        <v/>
      </c>
      <c r="M77" s="29">
        <f>IF($A77="","",SUMIFS(전표_원본!$P$5:$P$100000,전표_원본!$O$5:$O$100000,$A77,전표_원본!$M$5:$M$100000,M$5))</f>
        <v/>
      </c>
      <c r="N77" s="29">
        <f>IF($A77="","",SUMIFS(전표_원본!$P$5:$P$100000,전표_원본!$O$5:$O$100000,$A77,전표_원본!$M$5:$M$100000,N$5))</f>
        <v/>
      </c>
      <c r="O77" s="29">
        <f>IF($A77="","",SUMIFS(전표_원본!$P$5:$P$100000,전표_원본!$O$5:$O$100000,$A77,전표_원본!$M$5:$M$100000,O$5))</f>
        <v/>
      </c>
      <c r="P77" s="29">
        <f>IF($A77="","",SUMIFS(전표_원본!$P$5:$P$100000,전표_원본!$O$5:$O$100000,$A77,전표_원본!$M$5:$M$100000,P$5))</f>
        <v/>
      </c>
      <c r="Q77" s="29">
        <f>IF($A77="","",SUMIFS(전표_원본!$P$5:$P$100000,전표_원본!$O$5:$O$100000,$A77,전표_원본!$M$5:$M$100000,Q$5))</f>
        <v/>
      </c>
      <c r="R77" s="29">
        <f>IF($A77="","",SUMIFS(전표_원본!$P$5:$P$100000,전표_원본!$O$5:$O$100000,$A77,전표_원본!$M$5:$M$100000,R$5))</f>
        <v/>
      </c>
      <c r="S77" s="29">
        <f>IF($A77="","",SUMIFS(전표_원본!$P$5:$P$100000,전표_원본!$O$5:$O$100000,$A77,전표_원본!$M$5:$M$100000,S$5))</f>
        <v/>
      </c>
      <c r="T77" s="29">
        <f>IF($A77="","",SUMIFS(전표_원본!$P$5:$P$100000,전표_원본!$O$5:$O$100000,$A77,전표_원본!$M$5:$M$100000,T$5))</f>
        <v/>
      </c>
      <c r="U77" s="29">
        <f>IF($A77="","",SUMIFS(전표_원본!$P$5:$P$100000,전표_원본!$O$5:$O$100000,$A77,전표_원본!$M$5:$M$100000,U$5))</f>
        <v/>
      </c>
      <c r="V77" s="29">
        <f>IF($A77="","",SUMIFS(전표_원본!$P$5:$P$100000,전표_원본!$O$5:$O$100000,$A77,전표_원본!$M$5:$M$100000,V$5))</f>
        <v/>
      </c>
      <c r="W77" s="29">
        <f>IF($A77="","",SUMIFS(전표_원본!$P$5:$P$100000,전표_원본!$O$5:$O$100000,$A77,전표_원본!$M$5:$M$100000,W$5))</f>
        <v/>
      </c>
      <c r="X77" s="29">
        <f>IF($A77="","",SUMIFS(전표_원본!$P$5:$P$100000,전표_원본!$O$5:$O$100000,$A77,전표_원본!$M$5:$M$100000,X$5))</f>
        <v/>
      </c>
      <c r="Y77" s="29">
        <f>IF($A77="","",SUMIFS(전표_원본!$P$5:$P$100000,전표_원본!$O$5:$O$100000,$A77,전표_원본!$M$5:$M$100000,Y$5))</f>
        <v/>
      </c>
      <c r="Z77" s="29">
        <f>IF($A77="","",SUMIFS(전표_원본!$P$5:$P$100000,전표_원본!$O$5:$O$100000,$A77,전표_원본!$M$5:$M$100000,Z$5))</f>
        <v/>
      </c>
    </row>
    <row r="78">
      <c r="A78" s="22">
        <f>IF(변동분석!$A78="","",변동분석!$E78)</f>
        <v/>
      </c>
      <c r="B78" s="22">
        <f>IF($A78="","",변동분석!$B78&amp;" "&amp;변동분석!$D78)</f>
        <v/>
      </c>
      <c r="C78" s="29">
        <f>IF($A78="","",SUMIFS(전표_원본!$P$5:$P$100000,전표_원본!$O$5:$O$100000,$A78,전표_원본!$M$5:$M$100000,C$5))</f>
        <v/>
      </c>
      <c r="D78" s="29">
        <f>IF($A78="","",SUMIFS(전표_원본!$P$5:$P$100000,전표_원본!$O$5:$O$100000,$A78,전표_원본!$M$5:$M$100000,D$5))</f>
        <v/>
      </c>
      <c r="E78" s="29">
        <f>IF($A78="","",SUMIFS(전표_원본!$P$5:$P$100000,전표_원본!$O$5:$O$100000,$A78,전표_원본!$M$5:$M$100000,E$5))</f>
        <v/>
      </c>
      <c r="F78" s="29">
        <f>IF($A78="","",SUMIFS(전표_원본!$P$5:$P$100000,전표_원본!$O$5:$O$100000,$A78,전표_원본!$M$5:$M$100000,F$5))</f>
        <v/>
      </c>
      <c r="G78" s="29">
        <f>IF($A78="","",SUMIFS(전표_원본!$P$5:$P$100000,전표_원본!$O$5:$O$100000,$A78,전표_원본!$M$5:$M$100000,G$5))</f>
        <v/>
      </c>
      <c r="H78" s="29">
        <f>IF($A78="","",SUMIFS(전표_원본!$P$5:$P$100000,전표_원본!$O$5:$O$100000,$A78,전표_원본!$M$5:$M$100000,H$5))</f>
        <v/>
      </c>
      <c r="I78" s="29">
        <f>IF($A78="","",SUMIFS(전표_원본!$P$5:$P$100000,전표_원본!$O$5:$O$100000,$A78,전표_원본!$M$5:$M$100000,I$5))</f>
        <v/>
      </c>
      <c r="J78" s="29">
        <f>IF($A78="","",SUMIFS(전표_원본!$P$5:$P$100000,전표_원본!$O$5:$O$100000,$A78,전표_원본!$M$5:$M$100000,J$5))</f>
        <v/>
      </c>
      <c r="K78" s="29">
        <f>IF($A78="","",SUMIFS(전표_원본!$P$5:$P$100000,전표_원본!$O$5:$O$100000,$A78,전표_원본!$M$5:$M$100000,K$5))</f>
        <v/>
      </c>
      <c r="L78" s="29">
        <f>IF($A78="","",SUMIFS(전표_원본!$P$5:$P$100000,전표_원본!$O$5:$O$100000,$A78,전표_원본!$M$5:$M$100000,L$5))</f>
        <v/>
      </c>
      <c r="M78" s="29">
        <f>IF($A78="","",SUMIFS(전표_원본!$P$5:$P$100000,전표_원본!$O$5:$O$100000,$A78,전표_원본!$M$5:$M$100000,M$5))</f>
        <v/>
      </c>
      <c r="N78" s="29">
        <f>IF($A78="","",SUMIFS(전표_원본!$P$5:$P$100000,전표_원본!$O$5:$O$100000,$A78,전표_원본!$M$5:$M$100000,N$5))</f>
        <v/>
      </c>
      <c r="O78" s="29">
        <f>IF($A78="","",SUMIFS(전표_원본!$P$5:$P$100000,전표_원본!$O$5:$O$100000,$A78,전표_원본!$M$5:$M$100000,O$5))</f>
        <v/>
      </c>
      <c r="P78" s="29">
        <f>IF($A78="","",SUMIFS(전표_원본!$P$5:$P$100000,전표_원본!$O$5:$O$100000,$A78,전표_원본!$M$5:$M$100000,P$5))</f>
        <v/>
      </c>
      <c r="Q78" s="29">
        <f>IF($A78="","",SUMIFS(전표_원본!$P$5:$P$100000,전표_원본!$O$5:$O$100000,$A78,전표_원본!$M$5:$M$100000,Q$5))</f>
        <v/>
      </c>
      <c r="R78" s="29">
        <f>IF($A78="","",SUMIFS(전표_원본!$P$5:$P$100000,전표_원본!$O$5:$O$100000,$A78,전표_원본!$M$5:$M$100000,R$5))</f>
        <v/>
      </c>
      <c r="S78" s="29">
        <f>IF($A78="","",SUMIFS(전표_원본!$P$5:$P$100000,전표_원본!$O$5:$O$100000,$A78,전표_원본!$M$5:$M$100000,S$5))</f>
        <v/>
      </c>
      <c r="T78" s="29">
        <f>IF($A78="","",SUMIFS(전표_원본!$P$5:$P$100000,전표_원본!$O$5:$O$100000,$A78,전표_원본!$M$5:$M$100000,T$5))</f>
        <v/>
      </c>
      <c r="U78" s="29">
        <f>IF($A78="","",SUMIFS(전표_원본!$P$5:$P$100000,전표_원본!$O$5:$O$100000,$A78,전표_원본!$M$5:$M$100000,U$5))</f>
        <v/>
      </c>
      <c r="V78" s="29">
        <f>IF($A78="","",SUMIFS(전표_원본!$P$5:$P$100000,전표_원본!$O$5:$O$100000,$A78,전표_원본!$M$5:$M$100000,V$5))</f>
        <v/>
      </c>
      <c r="W78" s="29">
        <f>IF($A78="","",SUMIFS(전표_원본!$P$5:$P$100000,전표_원본!$O$5:$O$100000,$A78,전표_원본!$M$5:$M$100000,W$5))</f>
        <v/>
      </c>
      <c r="X78" s="29">
        <f>IF($A78="","",SUMIFS(전표_원본!$P$5:$P$100000,전표_원본!$O$5:$O$100000,$A78,전표_원본!$M$5:$M$100000,X$5))</f>
        <v/>
      </c>
      <c r="Y78" s="29">
        <f>IF($A78="","",SUMIFS(전표_원본!$P$5:$P$100000,전표_원본!$O$5:$O$100000,$A78,전표_원본!$M$5:$M$100000,Y$5))</f>
        <v/>
      </c>
      <c r="Z78" s="29">
        <f>IF($A78="","",SUMIFS(전표_원본!$P$5:$P$100000,전표_원본!$O$5:$O$100000,$A78,전표_원본!$M$5:$M$100000,Z$5))</f>
        <v/>
      </c>
    </row>
    <row r="79">
      <c r="A79" s="22">
        <f>IF(변동분석!$A79="","",변동분석!$E79)</f>
        <v/>
      </c>
      <c r="B79" s="22">
        <f>IF($A79="","",변동분석!$B79&amp;" "&amp;변동분석!$D79)</f>
        <v/>
      </c>
      <c r="C79" s="29">
        <f>IF($A79="","",SUMIFS(전표_원본!$P$5:$P$100000,전표_원본!$O$5:$O$100000,$A79,전표_원본!$M$5:$M$100000,C$5))</f>
        <v/>
      </c>
      <c r="D79" s="29">
        <f>IF($A79="","",SUMIFS(전표_원본!$P$5:$P$100000,전표_원본!$O$5:$O$100000,$A79,전표_원본!$M$5:$M$100000,D$5))</f>
        <v/>
      </c>
      <c r="E79" s="29">
        <f>IF($A79="","",SUMIFS(전표_원본!$P$5:$P$100000,전표_원본!$O$5:$O$100000,$A79,전표_원본!$M$5:$M$100000,E$5))</f>
        <v/>
      </c>
      <c r="F79" s="29">
        <f>IF($A79="","",SUMIFS(전표_원본!$P$5:$P$100000,전표_원본!$O$5:$O$100000,$A79,전표_원본!$M$5:$M$100000,F$5))</f>
        <v/>
      </c>
      <c r="G79" s="29">
        <f>IF($A79="","",SUMIFS(전표_원본!$P$5:$P$100000,전표_원본!$O$5:$O$100000,$A79,전표_원본!$M$5:$M$100000,G$5))</f>
        <v/>
      </c>
      <c r="H79" s="29">
        <f>IF($A79="","",SUMIFS(전표_원본!$P$5:$P$100000,전표_원본!$O$5:$O$100000,$A79,전표_원본!$M$5:$M$100000,H$5))</f>
        <v/>
      </c>
      <c r="I79" s="29">
        <f>IF($A79="","",SUMIFS(전표_원본!$P$5:$P$100000,전표_원본!$O$5:$O$100000,$A79,전표_원본!$M$5:$M$100000,I$5))</f>
        <v/>
      </c>
      <c r="J79" s="29">
        <f>IF($A79="","",SUMIFS(전표_원본!$P$5:$P$100000,전표_원본!$O$5:$O$100000,$A79,전표_원본!$M$5:$M$100000,J$5))</f>
        <v/>
      </c>
      <c r="K79" s="29">
        <f>IF($A79="","",SUMIFS(전표_원본!$P$5:$P$100000,전표_원본!$O$5:$O$100000,$A79,전표_원본!$M$5:$M$100000,K$5))</f>
        <v/>
      </c>
      <c r="L79" s="29">
        <f>IF($A79="","",SUMIFS(전표_원본!$P$5:$P$100000,전표_원본!$O$5:$O$100000,$A79,전표_원본!$M$5:$M$100000,L$5))</f>
        <v/>
      </c>
      <c r="M79" s="29">
        <f>IF($A79="","",SUMIFS(전표_원본!$P$5:$P$100000,전표_원본!$O$5:$O$100000,$A79,전표_원본!$M$5:$M$100000,M$5))</f>
        <v/>
      </c>
      <c r="N79" s="29">
        <f>IF($A79="","",SUMIFS(전표_원본!$P$5:$P$100000,전표_원본!$O$5:$O$100000,$A79,전표_원본!$M$5:$M$100000,N$5))</f>
        <v/>
      </c>
      <c r="O79" s="29">
        <f>IF($A79="","",SUMIFS(전표_원본!$P$5:$P$100000,전표_원본!$O$5:$O$100000,$A79,전표_원본!$M$5:$M$100000,O$5))</f>
        <v/>
      </c>
      <c r="P79" s="29">
        <f>IF($A79="","",SUMIFS(전표_원본!$P$5:$P$100000,전표_원본!$O$5:$O$100000,$A79,전표_원본!$M$5:$M$100000,P$5))</f>
        <v/>
      </c>
      <c r="Q79" s="29">
        <f>IF($A79="","",SUMIFS(전표_원본!$P$5:$P$100000,전표_원본!$O$5:$O$100000,$A79,전표_원본!$M$5:$M$100000,Q$5))</f>
        <v/>
      </c>
      <c r="R79" s="29">
        <f>IF($A79="","",SUMIFS(전표_원본!$P$5:$P$100000,전표_원본!$O$5:$O$100000,$A79,전표_원본!$M$5:$M$100000,R$5))</f>
        <v/>
      </c>
      <c r="S79" s="29">
        <f>IF($A79="","",SUMIFS(전표_원본!$P$5:$P$100000,전표_원본!$O$5:$O$100000,$A79,전표_원본!$M$5:$M$100000,S$5))</f>
        <v/>
      </c>
      <c r="T79" s="29">
        <f>IF($A79="","",SUMIFS(전표_원본!$P$5:$P$100000,전표_원본!$O$5:$O$100000,$A79,전표_원본!$M$5:$M$100000,T$5))</f>
        <v/>
      </c>
      <c r="U79" s="29">
        <f>IF($A79="","",SUMIFS(전표_원본!$P$5:$P$100000,전표_원본!$O$5:$O$100000,$A79,전표_원본!$M$5:$M$100000,U$5))</f>
        <v/>
      </c>
      <c r="V79" s="29">
        <f>IF($A79="","",SUMIFS(전표_원본!$P$5:$P$100000,전표_원본!$O$5:$O$100000,$A79,전표_원본!$M$5:$M$100000,V$5))</f>
        <v/>
      </c>
      <c r="W79" s="29">
        <f>IF($A79="","",SUMIFS(전표_원본!$P$5:$P$100000,전표_원본!$O$5:$O$100000,$A79,전표_원본!$M$5:$M$100000,W$5))</f>
        <v/>
      </c>
      <c r="X79" s="29">
        <f>IF($A79="","",SUMIFS(전표_원본!$P$5:$P$100000,전표_원본!$O$5:$O$100000,$A79,전표_원본!$M$5:$M$100000,X$5))</f>
        <v/>
      </c>
      <c r="Y79" s="29">
        <f>IF($A79="","",SUMIFS(전표_원본!$P$5:$P$100000,전표_원본!$O$5:$O$100000,$A79,전표_원본!$M$5:$M$100000,Y$5))</f>
        <v/>
      </c>
      <c r="Z79" s="29">
        <f>IF($A79="","",SUMIFS(전표_원본!$P$5:$P$100000,전표_원본!$O$5:$O$100000,$A79,전표_원본!$M$5:$M$100000,Z$5))</f>
        <v/>
      </c>
    </row>
    <row r="80">
      <c r="A80" s="22">
        <f>IF(변동분석!$A80="","",변동분석!$E80)</f>
        <v/>
      </c>
      <c r="B80" s="22">
        <f>IF($A80="","",변동분석!$B80&amp;" "&amp;변동분석!$D80)</f>
        <v/>
      </c>
      <c r="C80" s="29">
        <f>IF($A80="","",SUMIFS(전표_원본!$P$5:$P$100000,전표_원본!$O$5:$O$100000,$A80,전표_원본!$M$5:$M$100000,C$5))</f>
        <v/>
      </c>
      <c r="D80" s="29">
        <f>IF($A80="","",SUMIFS(전표_원본!$P$5:$P$100000,전표_원본!$O$5:$O$100000,$A80,전표_원본!$M$5:$M$100000,D$5))</f>
        <v/>
      </c>
      <c r="E80" s="29">
        <f>IF($A80="","",SUMIFS(전표_원본!$P$5:$P$100000,전표_원본!$O$5:$O$100000,$A80,전표_원본!$M$5:$M$100000,E$5))</f>
        <v/>
      </c>
      <c r="F80" s="29">
        <f>IF($A80="","",SUMIFS(전표_원본!$P$5:$P$100000,전표_원본!$O$5:$O$100000,$A80,전표_원본!$M$5:$M$100000,F$5))</f>
        <v/>
      </c>
      <c r="G80" s="29">
        <f>IF($A80="","",SUMIFS(전표_원본!$P$5:$P$100000,전표_원본!$O$5:$O$100000,$A80,전표_원본!$M$5:$M$100000,G$5))</f>
        <v/>
      </c>
      <c r="H80" s="29">
        <f>IF($A80="","",SUMIFS(전표_원본!$P$5:$P$100000,전표_원본!$O$5:$O$100000,$A80,전표_원본!$M$5:$M$100000,H$5))</f>
        <v/>
      </c>
      <c r="I80" s="29">
        <f>IF($A80="","",SUMIFS(전표_원본!$P$5:$P$100000,전표_원본!$O$5:$O$100000,$A80,전표_원본!$M$5:$M$100000,I$5))</f>
        <v/>
      </c>
      <c r="J80" s="29">
        <f>IF($A80="","",SUMIFS(전표_원본!$P$5:$P$100000,전표_원본!$O$5:$O$100000,$A80,전표_원본!$M$5:$M$100000,J$5))</f>
        <v/>
      </c>
      <c r="K80" s="29">
        <f>IF($A80="","",SUMIFS(전표_원본!$P$5:$P$100000,전표_원본!$O$5:$O$100000,$A80,전표_원본!$M$5:$M$100000,K$5))</f>
        <v/>
      </c>
      <c r="L80" s="29">
        <f>IF($A80="","",SUMIFS(전표_원본!$P$5:$P$100000,전표_원본!$O$5:$O$100000,$A80,전표_원본!$M$5:$M$100000,L$5))</f>
        <v/>
      </c>
      <c r="M80" s="29">
        <f>IF($A80="","",SUMIFS(전표_원본!$P$5:$P$100000,전표_원본!$O$5:$O$100000,$A80,전표_원본!$M$5:$M$100000,M$5))</f>
        <v/>
      </c>
      <c r="N80" s="29">
        <f>IF($A80="","",SUMIFS(전표_원본!$P$5:$P$100000,전표_원본!$O$5:$O$100000,$A80,전표_원본!$M$5:$M$100000,N$5))</f>
        <v/>
      </c>
      <c r="O80" s="29">
        <f>IF($A80="","",SUMIFS(전표_원본!$P$5:$P$100000,전표_원본!$O$5:$O$100000,$A80,전표_원본!$M$5:$M$100000,O$5))</f>
        <v/>
      </c>
      <c r="P80" s="29">
        <f>IF($A80="","",SUMIFS(전표_원본!$P$5:$P$100000,전표_원본!$O$5:$O$100000,$A80,전표_원본!$M$5:$M$100000,P$5))</f>
        <v/>
      </c>
      <c r="Q80" s="29">
        <f>IF($A80="","",SUMIFS(전표_원본!$P$5:$P$100000,전표_원본!$O$5:$O$100000,$A80,전표_원본!$M$5:$M$100000,Q$5))</f>
        <v/>
      </c>
      <c r="R80" s="29">
        <f>IF($A80="","",SUMIFS(전표_원본!$P$5:$P$100000,전표_원본!$O$5:$O$100000,$A80,전표_원본!$M$5:$M$100000,R$5))</f>
        <v/>
      </c>
      <c r="S80" s="29">
        <f>IF($A80="","",SUMIFS(전표_원본!$P$5:$P$100000,전표_원본!$O$5:$O$100000,$A80,전표_원본!$M$5:$M$100000,S$5))</f>
        <v/>
      </c>
      <c r="T80" s="29">
        <f>IF($A80="","",SUMIFS(전표_원본!$P$5:$P$100000,전표_원본!$O$5:$O$100000,$A80,전표_원본!$M$5:$M$100000,T$5))</f>
        <v/>
      </c>
      <c r="U80" s="29">
        <f>IF($A80="","",SUMIFS(전표_원본!$P$5:$P$100000,전표_원본!$O$5:$O$100000,$A80,전표_원본!$M$5:$M$100000,U$5))</f>
        <v/>
      </c>
      <c r="V80" s="29">
        <f>IF($A80="","",SUMIFS(전표_원본!$P$5:$P$100000,전표_원본!$O$5:$O$100000,$A80,전표_원본!$M$5:$M$100000,V$5))</f>
        <v/>
      </c>
      <c r="W80" s="29">
        <f>IF($A80="","",SUMIFS(전표_원본!$P$5:$P$100000,전표_원본!$O$5:$O$100000,$A80,전표_원본!$M$5:$M$100000,W$5))</f>
        <v/>
      </c>
      <c r="X80" s="29">
        <f>IF($A80="","",SUMIFS(전표_원본!$P$5:$P$100000,전표_원본!$O$5:$O$100000,$A80,전표_원본!$M$5:$M$100000,X$5))</f>
        <v/>
      </c>
      <c r="Y80" s="29">
        <f>IF($A80="","",SUMIFS(전표_원본!$P$5:$P$100000,전표_원본!$O$5:$O$100000,$A80,전표_원본!$M$5:$M$100000,Y$5))</f>
        <v/>
      </c>
      <c r="Z80" s="29">
        <f>IF($A80="","",SUMIFS(전표_원본!$P$5:$P$100000,전표_원본!$O$5:$O$100000,$A80,전표_원본!$M$5:$M$100000,Z$5))</f>
        <v/>
      </c>
    </row>
    <row r="81">
      <c r="A81" s="22">
        <f>IF(변동분석!$A81="","",변동분석!$E81)</f>
        <v/>
      </c>
      <c r="B81" s="22">
        <f>IF($A81="","",변동분석!$B81&amp;" "&amp;변동분석!$D81)</f>
        <v/>
      </c>
      <c r="C81" s="29">
        <f>IF($A81="","",SUMIFS(전표_원본!$P$5:$P$100000,전표_원본!$O$5:$O$100000,$A81,전표_원본!$M$5:$M$100000,C$5))</f>
        <v/>
      </c>
      <c r="D81" s="29">
        <f>IF($A81="","",SUMIFS(전표_원본!$P$5:$P$100000,전표_원본!$O$5:$O$100000,$A81,전표_원본!$M$5:$M$100000,D$5))</f>
        <v/>
      </c>
      <c r="E81" s="29">
        <f>IF($A81="","",SUMIFS(전표_원본!$P$5:$P$100000,전표_원본!$O$5:$O$100000,$A81,전표_원본!$M$5:$M$100000,E$5))</f>
        <v/>
      </c>
      <c r="F81" s="29">
        <f>IF($A81="","",SUMIFS(전표_원본!$P$5:$P$100000,전표_원본!$O$5:$O$100000,$A81,전표_원본!$M$5:$M$100000,F$5))</f>
        <v/>
      </c>
      <c r="G81" s="29">
        <f>IF($A81="","",SUMIFS(전표_원본!$P$5:$P$100000,전표_원본!$O$5:$O$100000,$A81,전표_원본!$M$5:$M$100000,G$5))</f>
        <v/>
      </c>
      <c r="H81" s="29">
        <f>IF($A81="","",SUMIFS(전표_원본!$P$5:$P$100000,전표_원본!$O$5:$O$100000,$A81,전표_원본!$M$5:$M$100000,H$5))</f>
        <v/>
      </c>
      <c r="I81" s="29">
        <f>IF($A81="","",SUMIFS(전표_원본!$P$5:$P$100000,전표_원본!$O$5:$O$100000,$A81,전표_원본!$M$5:$M$100000,I$5))</f>
        <v/>
      </c>
      <c r="J81" s="29">
        <f>IF($A81="","",SUMIFS(전표_원본!$P$5:$P$100000,전표_원본!$O$5:$O$100000,$A81,전표_원본!$M$5:$M$100000,J$5))</f>
        <v/>
      </c>
      <c r="K81" s="29">
        <f>IF($A81="","",SUMIFS(전표_원본!$P$5:$P$100000,전표_원본!$O$5:$O$100000,$A81,전표_원본!$M$5:$M$100000,K$5))</f>
        <v/>
      </c>
      <c r="L81" s="29">
        <f>IF($A81="","",SUMIFS(전표_원본!$P$5:$P$100000,전표_원본!$O$5:$O$100000,$A81,전표_원본!$M$5:$M$100000,L$5))</f>
        <v/>
      </c>
      <c r="M81" s="29">
        <f>IF($A81="","",SUMIFS(전표_원본!$P$5:$P$100000,전표_원본!$O$5:$O$100000,$A81,전표_원본!$M$5:$M$100000,M$5))</f>
        <v/>
      </c>
      <c r="N81" s="29">
        <f>IF($A81="","",SUMIFS(전표_원본!$P$5:$P$100000,전표_원본!$O$5:$O$100000,$A81,전표_원본!$M$5:$M$100000,N$5))</f>
        <v/>
      </c>
      <c r="O81" s="29">
        <f>IF($A81="","",SUMIFS(전표_원본!$P$5:$P$100000,전표_원본!$O$5:$O$100000,$A81,전표_원본!$M$5:$M$100000,O$5))</f>
        <v/>
      </c>
      <c r="P81" s="29">
        <f>IF($A81="","",SUMIFS(전표_원본!$P$5:$P$100000,전표_원본!$O$5:$O$100000,$A81,전표_원본!$M$5:$M$100000,P$5))</f>
        <v/>
      </c>
      <c r="Q81" s="29">
        <f>IF($A81="","",SUMIFS(전표_원본!$P$5:$P$100000,전표_원본!$O$5:$O$100000,$A81,전표_원본!$M$5:$M$100000,Q$5))</f>
        <v/>
      </c>
      <c r="R81" s="29">
        <f>IF($A81="","",SUMIFS(전표_원본!$P$5:$P$100000,전표_원본!$O$5:$O$100000,$A81,전표_원본!$M$5:$M$100000,R$5))</f>
        <v/>
      </c>
      <c r="S81" s="29">
        <f>IF($A81="","",SUMIFS(전표_원본!$P$5:$P$100000,전표_원본!$O$5:$O$100000,$A81,전표_원본!$M$5:$M$100000,S$5))</f>
        <v/>
      </c>
      <c r="T81" s="29">
        <f>IF($A81="","",SUMIFS(전표_원본!$P$5:$P$100000,전표_원본!$O$5:$O$100000,$A81,전표_원본!$M$5:$M$100000,T$5))</f>
        <v/>
      </c>
      <c r="U81" s="29">
        <f>IF($A81="","",SUMIFS(전표_원본!$P$5:$P$100000,전표_원본!$O$5:$O$100000,$A81,전표_원본!$M$5:$M$100000,U$5))</f>
        <v/>
      </c>
      <c r="V81" s="29">
        <f>IF($A81="","",SUMIFS(전표_원본!$P$5:$P$100000,전표_원본!$O$5:$O$100000,$A81,전표_원본!$M$5:$M$100000,V$5))</f>
        <v/>
      </c>
      <c r="W81" s="29">
        <f>IF($A81="","",SUMIFS(전표_원본!$P$5:$P$100000,전표_원본!$O$5:$O$100000,$A81,전표_원본!$M$5:$M$100000,W$5))</f>
        <v/>
      </c>
      <c r="X81" s="29">
        <f>IF($A81="","",SUMIFS(전표_원본!$P$5:$P$100000,전표_원본!$O$5:$O$100000,$A81,전표_원본!$M$5:$M$100000,X$5))</f>
        <v/>
      </c>
      <c r="Y81" s="29">
        <f>IF($A81="","",SUMIFS(전표_원본!$P$5:$P$100000,전표_원본!$O$5:$O$100000,$A81,전표_원본!$M$5:$M$100000,Y$5))</f>
        <v/>
      </c>
      <c r="Z81" s="29">
        <f>IF($A81="","",SUMIFS(전표_원본!$P$5:$P$100000,전표_원본!$O$5:$O$100000,$A81,전표_원본!$M$5:$M$100000,Z$5))</f>
        <v/>
      </c>
    </row>
    <row r="82">
      <c r="A82" s="22">
        <f>IF(변동분석!$A82="","",변동분석!$E82)</f>
        <v/>
      </c>
      <c r="B82" s="22">
        <f>IF($A82="","",변동분석!$B82&amp;" "&amp;변동분석!$D82)</f>
        <v/>
      </c>
      <c r="C82" s="29">
        <f>IF($A82="","",SUMIFS(전표_원본!$P$5:$P$100000,전표_원본!$O$5:$O$100000,$A82,전표_원본!$M$5:$M$100000,C$5))</f>
        <v/>
      </c>
      <c r="D82" s="29">
        <f>IF($A82="","",SUMIFS(전표_원본!$P$5:$P$100000,전표_원본!$O$5:$O$100000,$A82,전표_원본!$M$5:$M$100000,D$5))</f>
        <v/>
      </c>
      <c r="E82" s="29">
        <f>IF($A82="","",SUMIFS(전표_원본!$P$5:$P$100000,전표_원본!$O$5:$O$100000,$A82,전표_원본!$M$5:$M$100000,E$5))</f>
        <v/>
      </c>
      <c r="F82" s="29">
        <f>IF($A82="","",SUMIFS(전표_원본!$P$5:$P$100000,전표_원본!$O$5:$O$100000,$A82,전표_원본!$M$5:$M$100000,F$5))</f>
        <v/>
      </c>
      <c r="G82" s="29">
        <f>IF($A82="","",SUMIFS(전표_원본!$P$5:$P$100000,전표_원본!$O$5:$O$100000,$A82,전표_원본!$M$5:$M$100000,G$5))</f>
        <v/>
      </c>
      <c r="H82" s="29">
        <f>IF($A82="","",SUMIFS(전표_원본!$P$5:$P$100000,전표_원본!$O$5:$O$100000,$A82,전표_원본!$M$5:$M$100000,H$5))</f>
        <v/>
      </c>
      <c r="I82" s="29">
        <f>IF($A82="","",SUMIFS(전표_원본!$P$5:$P$100000,전표_원본!$O$5:$O$100000,$A82,전표_원본!$M$5:$M$100000,I$5))</f>
        <v/>
      </c>
      <c r="J82" s="29">
        <f>IF($A82="","",SUMIFS(전표_원본!$P$5:$P$100000,전표_원본!$O$5:$O$100000,$A82,전표_원본!$M$5:$M$100000,J$5))</f>
        <v/>
      </c>
      <c r="K82" s="29">
        <f>IF($A82="","",SUMIFS(전표_원본!$P$5:$P$100000,전표_원본!$O$5:$O$100000,$A82,전표_원본!$M$5:$M$100000,K$5))</f>
        <v/>
      </c>
      <c r="L82" s="29">
        <f>IF($A82="","",SUMIFS(전표_원본!$P$5:$P$100000,전표_원본!$O$5:$O$100000,$A82,전표_원본!$M$5:$M$100000,L$5))</f>
        <v/>
      </c>
      <c r="M82" s="29">
        <f>IF($A82="","",SUMIFS(전표_원본!$P$5:$P$100000,전표_원본!$O$5:$O$100000,$A82,전표_원본!$M$5:$M$100000,M$5))</f>
        <v/>
      </c>
      <c r="N82" s="29">
        <f>IF($A82="","",SUMIFS(전표_원본!$P$5:$P$100000,전표_원본!$O$5:$O$100000,$A82,전표_원본!$M$5:$M$100000,N$5))</f>
        <v/>
      </c>
      <c r="O82" s="29">
        <f>IF($A82="","",SUMIFS(전표_원본!$P$5:$P$100000,전표_원본!$O$5:$O$100000,$A82,전표_원본!$M$5:$M$100000,O$5))</f>
        <v/>
      </c>
      <c r="P82" s="29">
        <f>IF($A82="","",SUMIFS(전표_원본!$P$5:$P$100000,전표_원본!$O$5:$O$100000,$A82,전표_원본!$M$5:$M$100000,P$5))</f>
        <v/>
      </c>
      <c r="Q82" s="29">
        <f>IF($A82="","",SUMIFS(전표_원본!$P$5:$P$100000,전표_원본!$O$5:$O$100000,$A82,전표_원본!$M$5:$M$100000,Q$5))</f>
        <v/>
      </c>
      <c r="R82" s="29">
        <f>IF($A82="","",SUMIFS(전표_원본!$P$5:$P$100000,전표_원본!$O$5:$O$100000,$A82,전표_원본!$M$5:$M$100000,R$5))</f>
        <v/>
      </c>
      <c r="S82" s="29">
        <f>IF($A82="","",SUMIFS(전표_원본!$P$5:$P$100000,전표_원본!$O$5:$O$100000,$A82,전표_원본!$M$5:$M$100000,S$5))</f>
        <v/>
      </c>
      <c r="T82" s="29">
        <f>IF($A82="","",SUMIFS(전표_원본!$P$5:$P$100000,전표_원본!$O$5:$O$100000,$A82,전표_원본!$M$5:$M$100000,T$5))</f>
        <v/>
      </c>
      <c r="U82" s="29">
        <f>IF($A82="","",SUMIFS(전표_원본!$P$5:$P$100000,전표_원본!$O$5:$O$100000,$A82,전표_원본!$M$5:$M$100000,U$5))</f>
        <v/>
      </c>
      <c r="V82" s="29">
        <f>IF($A82="","",SUMIFS(전표_원본!$P$5:$P$100000,전표_원본!$O$5:$O$100000,$A82,전표_원본!$M$5:$M$100000,V$5))</f>
        <v/>
      </c>
      <c r="W82" s="29">
        <f>IF($A82="","",SUMIFS(전표_원본!$P$5:$P$100000,전표_원본!$O$5:$O$100000,$A82,전표_원본!$M$5:$M$100000,W$5))</f>
        <v/>
      </c>
      <c r="X82" s="29">
        <f>IF($A82="","",SUMIFS(전표_원본!$P$5:$P$100000,전표_원본!$O$5:$O$100000,$A82,전표_원본!$M$5:$M$100000,X$5))</f>
        <v/>
      </c>
      <c r="Y82" s="29">
        <f>IF($A82="","",SUMIFS(전표_원본!$P$5:$P$100000,전표_원본!$O$5:$O$100000,$A82,전표_원본!$M$5:$M$100000,Y$5))</f>
        <v/>
      </c>
      <c r="Z82" s="29">
        <f>IF($A82="","",SUMIFS(전표_원본!$P$5:$P$100000,전표_원본!$O$5:$O$100000,$A82,전표_원본!$M$5:$M$100000,Z$5))</f>
        <v/>
      </c>
    </row>
    <row r="83">
      <c r="A83" s="22">
        <f>IF(변동분석!$A83="","",변동분석!$E83)</f>
        <v/>
      </c>
      <c r="B83" s="22">
        <f>IF($A83="","",변동분석!$B83&amp;" "&amp;변동분석!$D83)</f>
        <v/>
      </c>
      <c r="C83" s="29">
        <f>IF($A83="","",SUMIFS(전표_원본!$P$5:$P$100000,전표_원본!$O$5:$O$100000,$A83,전표_원본!$M$5:$M$100000,C$5))</f>
        <v/>
      </c>
      <c r="D83" s="29">
        <f>IF($A83="","",SUMIFS(전표_원본!$P$5:$P$100000,전표_원본!$O$5:$O$100000,$A83,전표_원본!$M$5:$M$100000,D$5))</f>
        <v/>
      </c>
      <c r="E83" s="29">
        <f>IF($A83="","",SUMIFS(전표_원본!$P$5:$P$100000,전표_원본!$O$5:$O$100000,$A83,전표_원본!$M$5:$M$100000,E$5))</f>
        <v/>
      </c>
      <c r="F83" s="29">
        <f>IF($A83="","",SUMIFS(전표_원본!$P$5:$P$100000,전표_원본!$O$5:$O$100000,$A83,전표_원본!$M$5:$M$100000,F$5))</f>
        <v/>
      </c>
      <c r="G83" s="29">
        <f>IF($A83="","",SUMIFS(전표_원본!$P$5:$P$100000,전표_원본!$O$5:$O$100000,$A83,전표_원본!$M$5:$M$100000,G$5))</f>
        <v/>
      </c>
      <c r="H83" s="29">
        <f>IF($A83="","",SUMIFS(전표_원본!$P$5:$P$100000,전표_원본!$O$5:$O$100000,$A83,전표_원본!$M$5:$M$100000,H$5))</f>
        <v/>
      </c>
      <c r="I83" s="29">
        <f>IF($A83="","",SUMIFS(전표_원본!$P$5:$P$100000,전표_원본!$O$5:$O$100000,$A83,전표_원본!$M$5:$M$100000,I$5))</f>
        <v/>
      </c>
      <c r="J83" s="29">
        <f>IF($A83="","",SUMIFS(전표_원본!$P$5:$P$100000,전표_원본!$O$5:$O$100000,$A83,전표_원본!$M$5:$M$100000,J$5))</f>
        <v/>
      </c>
      <c r="K83" s="29">
        <f>IF($A83="","",SUMIFS(전표_원본!$P$5:$P$100000,전표_원본!$O$5:$O$100000,$A83,전표_원본!$M$5:$M$100000,K$5))</f>
        <v/>
      </c>
      <c r="L83" s="29">
        <f>IF($A83="","",SUMIFS(전표_원본!$P$5:$P$100000,전표_원본!$O$5:$O$100000,$A83,전표_원본!$M$5:$M$100000,L$5))</f>
        <v/>
      </c>
      <c r="M83" s="29">
        <f>IF($A83="","",SUMIFS(전표_원본!$P$5:$P$100000,전표_원본!$O$5:$O$100000,$A83,전표_원본!$M$5:$M$100000,M$5))</f>
        <v/>
      </c>
      <c r="N83" s="29">
        <f>IF($A83="","",SUMIFS(전표_원본!$P$5:$P$100000,전표_원본!$O$5:$O$100000,$A83,전표_원본!$M$5:$M$100000,N$5))</f>
        <v/>
      </c>
      <c r="O83" s="29">
        <f>IF($A83="","",SUMIFS(전표_원본!$P$5:$P$100000,전표_원본!$O$5:$O$100000,$A83,전표_원본!$M$5:$M$100000,O$5))</f>
        <v/>
      </c>
      <c r="P83" s="29">
        <f>IF($A83="","",SUMIFS(전표_원본!$P$5:$P$100000,전표_원본!$O$5:$O$100000,$A83,전표_원본!$M$5:$M$100000,P$5))</f>
        <v/>
      </c>
      <c r="Q83" s="29">
        <f>IF($A83="","",SUMIFS(전표_원본!$P$5:$P$100000,전표_원본!$O$5:$O$100000,$A83,전표_원본!$M$5:$M$100000,Q$5))</f>
        <v/>
      </c>
      <c r="R83" s="29">
        <f>IF($A83="","",SUMIFS(전표_원본!$P$5:$P$100000,전표_원본!$O$5:$O$100000,$A83,전표_원본!$M$5:$M$100000,R$5))</f>
        <v/>
      </c>
      <c r="S83" s="29">
        <f>IF($A83="","",SUMIFS(전표_원본!$P$5:$P$100000,전표_원본!$O$5:$O$100000,$A83,전표_원본!$M$5:$M$100000,S$5))</f>
        <v/>
      </c>
      <c r="T83" s="29">
        <f>IF($A83="","",SUMIFS(전표_원본!$P$5:$P$100000,전표_원본!$O$5:$O$100000,$A83,전표_원본!$M$5:$M$100000,T$5))</f>
        <v/>
      </c>
      <c r="U83" s="29">
        <f>IF($A83="","",SUMIFS(전표_원본!$P$5:$P$100000,전표_원본!$O$5:$O$100000,$A83,전표_원본!$M$5:$M$100000,U$5))</f>
        <v/>
      </c>
      <c r="V83" s="29">
        <f>IF($A83="","",SUMIFS(전표_원본!$P$5:$P$100000,전표_원본!$O$5:$O$100000,$A83,전표_원본!$M$5:$M$100000,V$5))</f>
        <v/>
      </c>
      <c r="W83" s="29">
        <f>IF($A83="","",SUMIFS(전표_원본!$P$5:$P$100000,전표_원본!$O$5:$O$100000,$A83,전표_원본!$M$5:$M$100000,W$5))</f>
        <v/>
      </c>
      <c r="X83" s="29">
        <f>IF($A83="","",SUMIFS(전표_원본!$P$5:$P$100000,전표_원본!$O$5:$O$100000,$A83,전표_원본!$M$5:$M$100000,X$5))</f>
        <v/>
      </c>
      <c r="Y83" s="29">
        <f>IF($A83="","",SUMIFS(전표_원본!$P$5:$P$100000,전표_원본!$O$5:$O$100000,$A83,전표_원본!$M$5:$M$100000,Y$5))</f>
        <v/>
      </c>
      <c r="Z83" s="29">
        <f>IF($A83="","",SUMIFS(전표_원본!$P$5:$P$100000,전표_원본!$O$5:$O$100000,$A83,전표_원본!$M$5:$M$100000,Z$5))</f>
        <v/>
      </c>
    </row>
    <row r="84">
      <c r="A84" s="22">
        <f>IF(변동분석!$A84="","",변동분석!$E84)</f>
        <v/>
      </c>
      <c r="B84" s="22">
        <f>IF($A84="","",변동분석!$B84&amp;" "&amp;변동분석!$D84)</f>
        <v/>
      </c>
      <c r="C84" s="29">
        <f>IF($A84="","",SUMIFS(전표_원본!$P$5:$P$100000,전표_원본!$O$5:$O$100000,$A84,전표_원본!$M$5:$M$100000,C$5))</f>
        <v/>
      </c>
      <c r="D84" s="29">
        <f>IF($A84="","",SUMIFS(전표_원본!$P$5:$P$100000,전표_원본!$O$5:$O$100000,$A84,전표_원본!$M$5:$M$100000,D$5))</f>
        <v/>
      </c>
      <c r="E84" s="29">
        <f>IF($A84="","",SUMIFS(전표_원본!$P$5:$P$100000,전표_원본!$O$5:$O$100000,$A84,전표_원본!$M$5:$M$100000,E$5))</f>
        <v/>
      </c>
      <c r="F84" s="29">
        <f>IF($A84="","",SUMIFS(전표_원본!$P$5:$P$100000,전표_원본!$O$5:$O$100000,$A84,전표_원본!$M$5:$M$100000,F$5))</f>
        <v/>
      </c>
      <c r="G84" s="29">
        <f>IF($A84="","",SUMIFS(전표_원본!$P$5:$P$100000,전표_원본!$O$5:$O$100000,$A84,전표_원본!$M$5:$M$100000,G$5))</f>
        <v/>
      </c>
      <c r="H84" s="29">
        <f>IF($A84="","",SUMIFS(전표_원본!$P$5:$P$100000,전표_원본!$O$5:$O$100000,$A84,전표_원본!$M$5:$M$100000,H$5))</f>
        <v/>
      </c>
      <c r="I84" s="29">
        <f>IF($A84="","",SUMIFS(전표_원본!$P$5:$P$100000,전표_원본!$O$5:$O$100000,$A84,전표_원본!$M$5:$M$100000,I$5))</f>
        <v/>
      </c>
      <c r="J84" s="29">
        <f>IF($A84="","",SUMIFS(전표_원본!$P$5:$P$100000,전표_원본!$O$5:$O$100000,$A84,전표_원본!$M$5:$M$100000,J$5))</f>
        <v/>
      </c>
      <c r="K84" s="29">
        <f>IF($A84="","",SUMIFS(전표_원본!$P$5:$P$100000,전표_원본!$O$5:$O$100000,$A84,전표_원본!$M$5:$M$100000,K$5))</f>
        <v/>
      </c>
      <c r="L84" s="29">
        <f>IF($A84="","",SUMIFS(전표_원본!$P$5:$P$100000,전표_원본!$O$5:$O$100000,$A84,전표_원본!$M$5:$M$100000,L$5))</f>
        <v/>
      </c>
      <c r="M84" s="29">
        <f>IF($A84="","",SUMIFS(전표_원본!$P$5:$P$100000,전표_원본!$O$5:$O$100000,$A84,전표_원본!$M$5:$M$100000,M$5))</f>
        <v/>
      </c>
      <c r="N84" s="29">
        <f>IF($A84="","",SUMIFS(전표_원본!$P$5:$P$100000,전표_원본!$O$5:$O$100000,$A84,전표_원본!$M$5:$M$100000,N$5))</f>
        <v/>
      </c>
      <c r="O84" s="29">
        <f>IF($A84="","",SUMIFS(전표_원본!$P$5:$P$100000,전표_원본!$O$5:$O$100000,$A84,전표_원본!$M$5:$M$100000,O$5))</f>
        <v/>
      </c>
      <c r="P84" s="29">
        <f>IF($A84="","",SUMIFS(전표_원본!$P$5:$P$100000,전표_원본!$O$5:$O$100000,$A84,전표_원본!$M$5:$M$100000,P$5))</f>
        <v/>
      </c>
      <c r="Q84" s="29">
        <f>IF($A84="","",SUMIFS(전표_원본!$P$5:$P$100000,전표_원본!$O$5:$O$100000,$A84,전표_원본!$M$5:$M$100000,Q$5))</f>
        <v/>
      </c>
      <c r="R84" s="29">
        <f>IF($A84="","",SUMIFS(전표_원본!$P$5:$P$100000,전표_원본!$O$5:$O$100000,$A84,전표_원본!$M$5:$M$100000,R$5))</f>
        <v/>
      </c>
      <c r="S84" s="29">
        <f>IF($A84="","",SUMIFS(전표_원본!$P$5:$P$100000,전표_원본!$O$5:$O$100000,$A84,전표_원본!$M$5:$M$100000,S$5))</f>
        <v/>
      </c>
      <c r="T84" s="29">
        <f>IF($A84="","",SUMIFS(전표_원본!$P$5:$P$100000,전표_원본!$O$5:$O$100000,$A84,전표_원본!$M$5:$M$100000,T$5))</f>
        <v/>
      </c>
      <c r="U84" s="29">
        <f>IF($A84="","",SUMIFS(전표_원본!$P$5:$P$100000,전표_원본!$O$5:$O$100000,$A84,전표_원본!$M$5:$M$100000,U$5))</f>
        <v/>
      </c>
      <c r="V84" s="29">
        <f>IF($A84="","",SUMIFS(전표_원본!$P$5:$P$100000,전표_원본!$O$5:$O$100000,$A84,전표_원본!$M$5:$M$100000,V$5))</f>
        <v/>
      </c>
      <c r="W84" s="29">
        <f>IF($A84="","",SUMIFS(전표_원본!$P$5:$P$100000,전표_원본!$O$5:$O$100000,$A84,전표_원본!$M$5:$M$100000,W$5))</f>
        <v/>
      </c>
      <c r="X84" s="29">
        <f>IF($A84="","",SUMIFS(전표_원본!$P$5:$P$100000,전표_원본!$O$5:$O$100000,$A84,전표_원본!$M$5:$M$100000,X$5))</f>
        <v/>
      </c>
      <c r="Y84" s="29">
        <f>IF($A84="","",SUMIFS(전표_원본!$P$5:$P$100000,전표_원본!$O$5:$O$100000,$A84,전표_원본!$M$5:$M$100000,Y$5))</f>
        <v/>
      </c>
      <c r="Z84" s="29">
        <f>IF($A84="","",SUMIFS(전표_원본!$P$5:$P$100000,전표_원본!$O$5:$O$100000,$A84,전표_원본!$M$5:$M$100000,Z$5))</f>
        <v/>
      </c>
    </row>
    <row r="85">
      <c r="A85" s="22">
        <f>IF(변동분석!$A85="","",변동분석!$E85)</f>
        <v/>
      </c>
      <c r="B85" s="22">
        <f>IF($A85="","",변동분석!$B85&amp;" "&amp;변동분석!$D85)</f>
        <v/>
      </c>
      <c r="C85" s="29">
        <f>IF($A85="","",SUMIFS(전표_원본!$P$5:$P$100000,전표_원본!$O$5:$O$100000,$A85,전표_원본!$M$5:$M$100000,C$5))</f>
        <v/>
      </c>
      <c r="D85" s="29">
        <f>IF($A85="","",SUMIFS(전표_원본!$P$5:$P$100000,전표_원본!$O$5:$O$100000,$A85,전표_원본!$M$5:$M$100000,D$5))</f>
        <v/>
      </c>
      <c r="E85" s="29">
        <f>IF($A85="","",SUMIFS(전표_원본!$P$5:$P$100000,전표_원본!$O$5:$O$100000,$A85,전표_원본!$M$5:$M$100000,E$5))</f>
        <v/>
      </c>
      <c r="F85" s="29">
        <f>IF($A85="","",SUMIFS(전표_원본!$P$5:$P$100000,전표_원본!$O$5:$O$100000,$A85,전표_원본!$M$5:$M$100000,F$5))</f>
        <v/>
      </c>
      <c r="G85" s="29">
        <f>IF($A85="","",SUMIFS(전표_원본!$P$5:$P$100000,전표_원본!$O$5:$O$100000,$A85,전표_원본!$M$5:$M$100000,G$5))</f>
        <v/>
      </c>
      <c r="H85" s="29">
        <f>IF($A85="","",SUMIFS(전표_원본!$P$5:$P$100000,전표_원본!$O$5:$O$100000,$A85,전표_원본!$M$5:$M$100000,H$5))</f>
        <v/>
      </c>
      <c r="I85" s="29">
        <f>IF($A85="","",SUMIFS(전표_원본!$P$5:$P$100000,전표_원본!$O$5:$O$100000,$A85,전표_원본!$M$5:$M$100000,I$5))</f>
        <v/>
      </c>
      <c r="J85" s="29">
        <f>IF($A85="","",SUMIFS(전표_원본!$P$5:$P$100000,전표_원본!$O$5:$O$100000,$A85,전표_원본!$M$5:$M$100000,J$5))</f>
        <v/>
      </c>
      <c r="K85" s="29">
        <f>IF($A85="","",SUMIFS(전표_원본!$P$5:$P$100000,전표_원본!$O$5:$O$100000,$A85,전표_원본!$M$5:$M$100000,K$5))</f>
        <v/>
      </c>
      <c r="L85" s="29">
        <f>IF($A85="","",SUMIFS(전표_원본!$P$5:$P$100000,전표_원본!$O$5:$O$100000,$A85,전표_원본!$M$5:$M$100000,L$5))</f>
        <v/>
      </c>
      <c r="M85" s="29">
        <f>IF($A85="","",SUMIFS(전표_원본!$P$5:$P$100000,전표_원본!$O$5:$O$100000,$A85,전표_원본!$M$5:$M$100000,M$5))</f>
        <v/>
      </c>
      <c r="N85" s="29">
        <f>IF($A85="","",SUMIFS(전표_원본!$P$5:$P$100000,전표_원본!$O$5:$O$100000,$A85,전표_원본!$M$5:$M$100000,N$5))</f>
        <v/>
      </c>
      <c r="O85" s="29">
        <f>IF($A85="","",SUMIFS(전표_원본!$P$5:$P$100000,전표_원본!$O$5:$O$100000,$A85,전표_원본!$M$5:$M$100000,O$5))</f>
        <v/>
      </c>
      <c r="P85" s="29">
        <f>IF($A85="","",SUMIFS(전표_원본!$P$5:$P$100000,전표_원본!$O$5:$O$100000,$A85,전표_원본!$M$5:$M$100000,P$5))</f>
        <v/>
      </c>
      <c r="Q85" s="29">
        <f>IF($A85="","",SUMIFS(전표_원본!$P$5:$P$100000,전표_원본!$O$5:$O$100000,$A85,전표_원본!$M$5:$M$100000,Q$5))</f>
        <v/>
      </c>
      <c r="R85" s="29">
        <f>IF($A85="","",SUMIFS(전표_원본!$P$5:$P$100000,전표_원본!$O$5:$O$100000,$A85,전표_원본!$M$5:$M$100000,R$5))</f>
        <v/>
      </c>
      <c r="S85" s="29">
        <f>IF($A85="","",SUMIFS(전표_원본!$P$5:$P$100000,전표_원본!$O$5:$O$100000,$A85,전표_원본!$M$5:$M$100000,S$5))</f>
        <v/>
      </c>
      <c r="T85" s="29">
        <f>IF($A85="","",SUMIFS(전표_원본!$P$5:$P$100000,전표_원본!$O$5:$O$100000,$A85,전표_원본!$M$5:$M$100000,T$5))</f>
        <v/>
      </c>
      <c r="U85" s="29">
        <f>IF($A85="","",SUMIFS(전표_원본!$P$5:$P$100000,전표_원본!$O$5:$O$100000,$A85,전표_원본!$M$5:$M$100000,U$5))</f>
        <v/>
      </c>
      <c r="V85" s="29">
        <f>IF($A85="","",SUMIFS(전표_원본!$P$5:$P$100000,전표_원본!$O$5:$O$100000,$A85,전표_원본!$M$5:$M$100000,V$5))</f>
        <v/>
      </c>
      <c r="W85" s="29">
        <f>IF($A85="","",SUMIFS(전표_원본!$P$5:$P$100000,전표_원본!$O$5:$O$100000,$A85,전표_원본!$M$5:$M$100000,W$5))</f>
        <v/>
      </c>
      <c r="X85" s="29">
        <f>IF($A85="","",SUMIFS(전표_원본!$P$5:$P$100000,전표_원본!$O$5:$O$100000,$A85,전표_원본!$M$5:$M$100000,X$5))</f>
        <v/>
      </c>
      <c r="Y85" s="29">
        <f>IF($A85="","",SUMIFS(전표_원본!$P$5:$P$100000,전표_원본!$O$5:$O$100000,$A85,전표_원본!$M$5:$M$100000,Y$5))</f>
        <v/>
      </c>
      <c r="Z85" s="29">
        <f>IF($A85="","",SUMIFS(전표_원본!$P$5:$P$100000,전표_원본!$O$5:$O$100000,$A85,전표_원본!$M$5:$M$100000,Z$5))</f>
        <v/>
      </c>
    </row>
    <row r="86">
      <c r="A86" s="22">
        <f>IF(변동분석!$A86="","",변동분석!$E86)</f>
        <v/>
      </c>
      <c r="B86" s="22">
        <f>IF($A86="","",변동분석!$B86&amp;" "&amp;변동분석!$D86)</f>
        <v/>
      </c>
      <c r="C86" s="29">
        <f>IF($A86="","",SUMIFS(전표_원본!$P$5:$P$100000,전표_원본!$O$5:$O$100000,$A86,전표_원본!$M$5:$M$100000,C$5))</f>
        <v/>
      </c>
      <c r="D86" s="29">
        <f>IF($A86="","",SUMIFS(전표_원본!$P$5:$P$100000,전표_원본!$O$5:$O$100000,$A86,전표_원본!$M$5:$M$100000,D$5))</f>
        <v/>
      </c>
      <c r="E86" s="29">
        <f>IF($A86="","",SUMIFS(전표_원본!$P$5:$P$100000,전표_원본!$O$5:$O$100000,$A86,전표_원본!$M$5:$M$100000,E$5))</f>
        <v/>
      </c>
      <c r="F86" s="29">
        <f>IF($A86="","",SUMIFS(전표_원본!$P$5:$P$100000,전표_원본!$O$5:$O$100000,$A86,전표_원본!$M$5:$M$100000,F$5))</f>
        <v/>
      </c>
      <c r="G86" s="29">
        <f>IF($A86="","",SUMIFS(전표_원본!$P$5:$P$100000,전표_원본!$O$5:$O$100000,$A86,전표_원본!$M$5:$M$100000,G$5))</f>
        <v/>
      </c>
      <c r="H86" s="29">
        <f>IF($A86="","",SUMIFS(전표_원본!$P$5:$P$100000,전표_원본!$O$5:$O$100000,$A86,전표_원본!$M$5:$M$100000,H$5))</f>
        <v/>
      </c>
      <c r="I86" s="29">
        <f>IF($A86="","",SUMIFS(전표_원본!$P$5:$P$100000,전표_원본!$O$5:$O$100000,$A86,전표_원본!$M$5:$M$100000,I$5))</f>
        <v/>
      </c>
      <c r="J86" s="29">
        <f>IF($A86="","",SUMIFS(전표_원본!$P$5:$P$100000,전표_원본!$O$5:$O$100000,$A86,전표_원본!$M$5:$M$100000,J$5))</f>
        <v/>
      </c>
      <c r="K86" s="29">
        <f>IF($A86="","",SUMIFS(전표_원본!$P$5:$P$100000,전표_원본!$O$5:$O$100000,$A86,전표_원본!$M$5:$M$100000,K$5))</f>
        <v/>
      </c>
      <c r="L86" s="29">
        <f>IF($A86="","",SUMIFS(전표_원본!$P$5:$P$100000,전표_원본!$O$5:$O$100000,$A86,전표_원본!$M$5:$M$100000,L$5))</f>
        <v/>
      </c>
      <c r="M86" s="29">
        <f>IF($A86="","",SUMIFS(전표_원본!$P$5:$P$100000,전표_원본!$O$5:$O$100000,$A86,전표_원본!$M$5:$M$100000,M$5))</f>
        <v/>
      </c>
      <c r="N86" s="29">
        <f>IF($A86="","",SUMIFS(전표_원본!$P$5:$P$100000,전표_원본!$O$5:$O$100000,$A86,전표_원본!$M$5:$M$100000,N$5))</f>
        <v/>
      </c>
      <c r="O86" s="29">
        <f>IF($A86="","",SUMIFS(전표_원본!$P$5:$P$100000,전표_원본!$O$5:$O$100000,$A86,전표_원본!$M$5:$M$100000,O$5))</f>
        <v/>
      </c>
      <c r="P86" s="29">
        <f>IF($A86="","",SUMIFS(전표_원본!$P$5:$P$100000,전표_원본!$O$5:$O$100000,$A86,전표_원본!$M$5:$M$100000,P$5))</f>
        <v/>
      </c>
      <c r="Q86" s="29">
        <f>IF($A86="","",SUMIFS(전표_원본!$P$5:$P$100000,전표_원본!$O$5:$O$100000,$A86,전표_원본!$M$5:$M$100000,Q$5))</f>
        <v/>
      </c>
      <c r="R86" s="29">
        <f>IF($A86="","",SUMIFS(전표_원본!$P$5:$P$100000,전표_원본!$O$5:$O$100000,$A86,전표_원본!$M$5:$M$100000,R$5))</f>
        <v/>
      </c>
      <c r="S86" s="29">
        <f>IF($A86="","",SUMIFS(전표_원본!$P$5:$P$100000,전표_원본!$O$5:$O$100000,$A86,전표_원본!$M$5:$M$100000,S$5))</f>
        <v/>
      </c>
      <c r="T86" s="29">
        <f>IF($A86="","",SUMIFS(전표_원본!$P$5:$P$100000,전표_원본!$O$5:$O$100000,$A86,전표_원본!$M$5:$M$100000,T$5))</f>
        <v/>
      </c>
      <c r="U86" s="29">
        <f>IF($A86="","",SUMIFS(전표_원본!$P$5:$P$100000,전표_원본!$O$5:$O$100000,$A86,전표_원본!$M$5:$M$100000,U$5))</f>
        <v/>
      </c>
      <c r="V86" s="29">
        <f>IF($A86="","",SUMIFS(전표_원본!$P$5:$P$100000,전표_원본!$O$5:$O$100000,$A86,전표_원본!$M$5:$M$100000,V$5))</f>
        <v/>
      </c>
      <c r="W86" s="29">
        <f>IF($A86="","",SUMIFS(전표_원본!$P$5:$P$100000,전표_원본!$O$5:$O$100000,$A86,전표_원본!$M$5:$M$100000,W$5))</f>
        <v/>
      </c>
      <c r="X86" s="29">
        <f>IF($A86="","",SUMIFS(전표_원본!$P$5:$P$100000,전표_원본!$O$5:$O$100000,$A86,전표_원본!$M$5:$M$100000,X$5))</f>
        <v/>
      </c>
      <c r="Y86" s="29">
        <f>IF($A86="","",SUMIFS(전표_원본!$P$5:$P$100000,전표_원본!$O$5:$O$100000,$A86,전표_원본!$M$5:$M$100000,Y$5))</f>
        <v/>
      </c>
      <c r="Z86" s="29">
        <f>IF($A86="","",SUMIFS(전표_원본!$P$5:$P$100000,전표_원본!$O$5:$O$100000,$A86,전표_원본!$M$5:$M$100000,Z$5))</f>
        <v/>
      </c>
    </row>
    <row r="87">
      <c r="A87" s="22">
        <f>IF(변동분석!$A87="","",변동분석!$E87)</f>
        <v/>
      </c>
      <c r="B87" s="22">
        <f>IF($A87="","",변동분석!$B87&amp;" "&amp;변동분석!$D87)</f>
        <v/>
      </c>
      <c r="C87" s="29">
        <f>IF($A87="","",SUMIFS(전표_원본!$P$5:$P$100000,전표_원본!$O$5:$O$100000,$A87,전표_원본!$M$5:$M$100000,C$5))</f>
        <v/>
      </c>
      <c r="D87" s="29">
        <f>IF($A87="","",SUMIFS(전표_원본!$P$5:$P$100000,전표_원본!$O$5:$O$100000,$A87,전표_원본!$M$5:$M$100000,D$5))</f>
        <v/>
      </c>
      <c r="E87" s="29">
        <f>IF($A87="","",SUMIFS(전표_원본!$P$5:$P$100000,전표_원본!$O$5:$O$100000,$A87,전표_원본!$M$5:$M$100000,E$5))</f>
        <v/>
      </c>
      <c r="F87" s="29">
        <f>IF($A87="","",SUMIFS(전표_원본!$P$5:$P$100000,전표_원본!$O$5:$O$100000,$A87,전표_원본!$M$5:$M$100000,F$5))</f>
        <v/>
      </c>
      <c r="G87" s="29">
        <f>IF($A87="","",SUMIFS(전표_원본!$P$5:$P$100000,전표_원본!$O$5:$O$100000,$A87,전표_원본!$M$5:$M$100000,G$5))</f>
        <v/>
      </c>
      <c r="H87" s="29">
        <f>IF($A87="","",SUMIFS(전표_원본!$P$5:$P$100000,전표_원본!$O$5:$O$100000,$A87,전표_원본!$M$5:$M$100000,H$5))</f>
        <v/>
      </c>
      <c r="I87" s="29">
        <f>IF($A87="","",SUMIFS(전표_원본!$P$5:$P$100000,전표_원본!$O$5:$O$100000,$A87,전표_원본!$M$5:$M$100000,I$5))</f>
        <v/>
      </c>
      <c r="J87" s="29">
        <f>IF($A87="","",SUMIFS(전표_원본!$P$5:$P$100000,전표_원본!$O$5:$O$100000,$A87,전표_원본!$M$5:$M$100000,J$5))</f>
        <v/>
      </c>
      <c r="K87" s="29">
        <f>IF($A87="","",SUMIFS(전표_원본!$P$5:$P$100000,전표_원본!$O$5:$O$100000,$A87,전표_원본!$M$5:$M$100000,K$5))</f>
        <v/>
      </c>
      <c r="L87" s="29">
        <f>IF($A87="","",SUMIFS(전표_원본!$P$5:$P$100000,전표_원본!$O$5:$O$100000,$A87,전표_원본!$M$5:$M$100000,L$5))</f>
        <v/>
      </c>
      <c r="M87" s="29">
        <f>IF($A87="","",SUMIFS(전표_원본!$P$5:$P$100000,전표_원본!$O$5:$O$100000,$A87,전표_원본!$M$5:$M$100000,M$5))</f>
        <v/>
      </c>
      <c r="N87" s="29">
        <f>IF($A87="","",SUMIFS(전표_원본!$P$5:$P$100000,전표_원본!$O$5:$O$100000,$A87,전표_원본!$M$5:$M$100000,N$5))</f>
        <v/>
      </c>
      <c r="O87" s="29">
        <f>IF($A87="","",SUMIFS(전표_원본!$P$5:$P$100000,전표_원본!$O$5:$O$100000,$A87,전표_원본!$M$5:$M$100000,O$5))</f>
        <v/>
      </c>
      <c r="P87" s="29">
        <f>IF($A87="","",SUMIFS(전표_원본!$P$5:$P$100000,전표_원본!$O$5:$O$100000,$A87,전표_원본!$M$5:$M$100000,P$5))</f>
        <v/>
      </c>
      <c r="Q87" s="29">
        <f>IF($A87="","",SUMIFS(전표_원본!$P$5:$P$100000,전표_원본!$O$5:$O$100000,$A87,전표_원본!$M$5:$M$100000,Q$5))</f>
        <v/>
      </c>
      <c r="R87" s="29">
        <f>IF($A87="","",SUMIFS(전표_원본!$P$5:$P$100000,전표_원본!$O$5:$O$100000,$A87,전표_원본!$M$5:$M$100000,R$5))</f>
        <v/>
      </c>
      <c r="S87" s="29">
        <f>IF($A87="","",SUMIFS(전표_원본!$P$5:$P$100000,전표_원본!$O$5:$O$100000,$A87,전표_원본!$M$5:$M$100000,S$5))</f>
        <v/>
      </c>
      <c r="T87" s="29">
        <f>IF($A87="","",SUMIFS(전표_원본!$P$5:$P$100000,전표_원본!$O$5:$O$100000,$A87,전표_원본!$M$5:$M$100000,T$5))</f>
        <v/>
      </c>
      <c r="U87" s="29">
        <f>IF($A87="","",SUMIFS(전표_원본!$P$5:$P$100000,전표_원본!$O$5:$O$100000,$A87,전표_원본!$M$5:$M$100000,U$5))</f>
        <v/>
      </c>
      <c r="V87" s="29">
        <f>IF($A87="","",SUMIFS(전표_원본!$P$5:$P$100000,전표_원본!$O$5:$O$100000,$A87,전표_원본!$M$5:$M$100000,V$5))</f>
        <v/>
      </c>
      <c r="W87" s="29">
        <f>IF($A87="","",SUMIFS(전표_원본!$P$5:$P$100000,전표_원본!$O$5:$O$100000,$A87,전표_원본!$M$5:$M$100000,W$5))</f>
        <v/>
      </c>
      <c r="X87" s="29">
        <f>IF($A87="","",SUMIFS(전표_원본!$P$5:$P$100000,전표_원본!$O$5:$O$100000,$A87,전표_원본!$M$5:$M$100000,X$5))</f>
        <v/>
      </c>
      <c r="Y87" s="29">
        <f>IF($A87="","",SUMIFS(전표_원본!$P$5:$P$100000,전표_원본!$O$5:$O$100000,$A87,전표_원본!$M$5:$M$100000,Y$5))</f>
        <v/>
      </c>
      <c r="Z87" s="29">
        <f>IF($A87="","",SUMIFS(전표_원본!$P$5:$P$100000,전표_원본!$O$5:$O$100000,$A87,전표_원본!$M$5:$M$100000,Z$5))</f>
        <v/>
      </c>
    </row>
    <row r="88">
      <c r="A88" s="22">
        <f>IF(변동분석!$A88="","",변동분석!$E88)</f>
        <v/>
      </c>
      <c r="B88" s="22">
        <f>IF($A88="","",변동분석!$B88&amp;" "&amp;변동분석!$D88)</f>
        <v/>
      </c>
      <c r="C88" s="29">
        <f>IF($A88="","",SUMIFS(전표_원본!$P$5:$P$100000,전표_원본!$O$5:$O$100000,$A88,전표_원본!$M$5:$M$100000,C$5))</f>
        <v/>
      </c>
      <c r="D88" s="29">
        <f>IF($A88="","",SUMIFS(전표_원본!$P$5:$P$100000,전표_원본!$O$5:$O$100000,$A88,전표_원본!$M$5:$M$100000,D$5))</f>
        <v/>
      </c>
      <c r="E88" s="29">
        <f>IF($A88="","",SUMIFS(전표_원본!$P$5:$P$100000,전표_원본!$O$5:$O$100000,$A88,전표_원본!$M$5:$M$100000,E$5))</f>
        <v/>
      </c>
      <c r="F88" s="29">
        <f>IF($A88="","",SUMIFS(전표_원본!$P$5:$P$100000,전표_원본!$O$5:$O$100000,$A88,전표_원본!$M$5:$M$100000,F$5))</f>
        <v/>
      </c>
      <c r="G88" s="29">
        <f>IF($A88="","",SUMIFS(전표_원본!$P$5:$P$100000,전표_원본!$O$5:$O$100000,$A88,전표_원본!$M$5:$M$100000,G$5))</f>
        <v/>
      </c>
      <c r="H88" s="29">
        <f>IF($A88="","",SUMIFS(전표_원본!$P$5:$P$100000,전표_원본!$O$5:$O$100000,$A88,전표_원본!$M$5:$M$100000,H$5))</f>
        <v/>
      </c>
      <c r="I88" s="29">
        <f>IF($A88="","",SUMIFS(전표_원본!$P$5:$P$100000,전표_원본!$O$5:$O$100000,$A88,전표_원본!$M$5:$M$100000,I$5))</f>
        <v/>
      </c>
      <c r="J88" s="29">
        <f>IF($A88="","",SUMIFS(전표_원본!$P$5:$P$100000,전표_원본!$O$5:$O$100000,$A88,전표_원본!$M$5:$M$100000,J$5))</f>
        <v/>
      </c>
      <c r="K88" s="29">
        <f>IF($A88="","",SUMIFS(전표_원본!$P$5:$P$100000,전표_원본!$O$5:$O$100000,$A88,전표_원본!$M$5:$M$100000,K$5))</f>
        <v/>
      </c>
      <c r="L88" s="29">
        <f>IF($A88="","",SUMIFS(전표_원본!$P$5:$P$100000,전표_원본!$O$5:$O$100000,$A88,전표_원본!$M$5:$M$100000,L$5))</f>
        <v/>
      </c>
      <c r="M88" s="29">
        <f>IF($A88="","",SUMIFS(전표_원본!$P$5:$P$100000,전표_원본!$O$5:$O$100000,$A88,전표_원본!$M$5:$M$100000,M$5))</f>
        <v/>
      </c>
      <c r="N88" s="29">
        <f>IF($A88="","",SUMIFS(전표_원본!$P$5:$P$100000,전표_원본!$O$5:$O$100000,$A88,전표_원본!$M$5:$M$100000,N$5))</f>
        <v/>
      </c>
      <c r="O88" s="29">
        <f>IF($A88="","",SUMIFS(전표_원본!$P$5:$P$100000,전표_원본!$O$5:$O$100000,$A88,전표_원본!$M$5:$M$100000,O$5))</f>
        <v/>
      </c>
      <c r="P88" s="29">
        <f>IF($A88="","",SUMIFS(전표_원본!$P$5:$P$100000,전표_원본!$O$5:$O$100000,$A88,전표_원본!$M$5:$M$100000,P$5))</f>
        <v/>
      </c>
      <c r="Q88" s="29">
        <f>IF($A88="","",SUMIFS(전표_원본!$P$5:$P$100000,전표_원본!$O$5:$O$100000,$A88,전표_원본!$M$5:$M$100000,Q$5))</f>
        <v/>
      </c>
      <c r="R88" s="29">
        <f>IF($A88="","",SUMIFS(전표_원본!$P$5:$P$100000,전표_원본!$O$5:$O$100000,$A88,전표_원본!$M$5:$M$100000,R$5))</f>
        <v/>
      </c>
      <c r="S88" s="29">
        <f>IF($A88="","",SUMIFS(전표_원본!$P$5:$P$100000,전표_원본!$O$5:$O$100000,$A88,전표_원본!$M$5:$M$100000,S$5))</f>
        <v/>
      </c>
      <c r="T88" s="29">
        <f>IF($A88="","",SUMIFS(전표_원본!$P$5:$P$100000,전표_원본!$O$5:$O$100000,$A88,전표_원본!$M$5:$M$100000,T$5))</f>
        <v/>
      </c>
      <c r="U88" s="29">
        <f>IF($A88="","",SUMIFS(전표_원본!$P$5:$P$100000,전표_원본!$O$5:$O$100000,$A88,전표_원본!$M$5:$M$100000,U$5))</f>
        <v/>
      </c>
      <c r="V88" s="29">
        <f>IF($A88="","",SUMIFS(전표_원본!$P$5:$P$100000,전표_원본!$O$5:$O$100000,$A88,전표_원본!$M$5:$M$100000,V$5))</f>
        <v/>
      </c>
      <c r="W88" s="29">
        <f>IF($A88="","",SUMIFS(전표_원본!$P$5:$P$100000,전표_원본!$O$5:$O$100000,$A88,전표_원본!$M$5:$M$100000,W$5))</f>
        <v/>
      </c>
      <c r="X88" s="29">
        <f>IF($A88="","",SUMIFS(전표_원본!$P$5:$P$100000,전표_원본!$O$5:$O$100000,$A88,전표_원본!$M$5:$M$100000,X$5))</f>
        <v/>
      </c>
      <c r="Y88" s="29">
        <f>IF($A88="","",SUMIFS(전표_원본!$P$5:$P$100000,전표_원본!$O$5:$O$100000,$A88,전표_원본!$M$5:$M$100000,Y$5))</f>
        <v/>
      </c>
      <c r="Z88" s="29">
        <f>IF($A88="","",SUMIFS(전표_원본!$P$5:$P$100000,전표_원본!$O$5:$O$100000,$A88,전표_원본!$M$5:$M$100000,Z$5))</f>
        <v/>
      </c>
    </row>
    <row r="89">
      <c r="A89" s="22">
        <f>IF(변동분석!$A89="","",변동분석!$E89)</f>
        <v/>
      </c>
      <c r="B89" s="22">
        <f>IF($A89="","",변동분석!$B89&amp;" "&amp;변동분석!$D89)</f>
        <v/>
      </c>
      <c r="C89" s="29">
        <f>IF($A89="","",SUMIFS(전표_원본!$P$5:$P$100000,전표_원본!$O$5:$O$100000,$A89,전표_원본!$M$5:$M$100000,C$5))</f>
        <v/>
      </c>
      <c r="D89" s="29">
        <f>IF($A89="","",SUMIFS(전표_원본!$P$5:$P$100000,전표_원본!$O$5:$O$100000,$A89,전표_원본!$M$5:$M$100000,D$5))</f>
        <v/>
      </c>
      <c r="E89" s="29">
        <f>IF($A89="","",SUMIFS(전표_원본!$P$5:$P$100000,전표_원본!$O$5:$O$100000,$A89,전표_원본!$M$5:$M$100000,E$5))</f>
        <v/>
      </c>
      <c r="F89" s="29">
        <f>IF($A89="","",SUMIFS(전표_원본!$P$5:$P$100000,전표_원본!$O$5:$O$100000,$A89,전표_원본!$M$5:$M$100000,F$5))</f>
        <v/>
      </c>
      <c r="G89" s="29">
        <f>IF($A89="","",SUMIFS(전표_원본!$P$5:$P$100000,전표_원본!$O$5:$O$100000,$A89,전표_원본!$M$5:$M$100000,G$5))</f>
        <v/>
      </c>
      <c r="H89" s="29">
        <f>IF($A89="","",SUMIFS(전표_원본!$P$5:$P$100000,전표_원본!$O$5:$O$100000,$A89,전표_원본!$M$5:$M$100000,H$5))</f>
        <v/>
      </c>
      <c r="I89" s="29">
        <f>IF($A89="","",SUMIFS(전표_원본!$P$5:$P$100000,전표_원본!$O$5:$O$100000,$A89,전표_원본!$M$5:$M$100000,I$5))</f>
        <v/>
      </c>
      <c r="J89" s="29">
        <f>IF($A89="","",SUMIFS(전표_원본!$P$5:$P$100000,전표_원본!$O$5:$O$100000,$A89,전표_원본!$M$5:$M$100000,J$5))</f>
        <v/>
      </c>
      <c r="K89" s="29">
        <f>IF($A89="","",SUMIFS(전표_원본!$P$5:$P$100000,전표_원본!$O$5:$O$100000,$A89,전표_원본!$M$5:$M$100000,K$5))</f>
        <v/>
      </c>
      <c r="L89" s="29">
        <f>IF($A89="","",SUMIFS(전표_원본!$P$5:$P$100000,전표_원본!$O$5:$O$100000,$A89,전표_원본!$M$5:$M$100000,L$5))</f>
        <v/>
      </c>
      <c r="M89" s="29">
        <f>IF($A89="","",SUMIFS(전표_원본!$P$5:$P$100000,전표_원본!$O$5:$O$100000,$A89,전표_원본!$M$5:$M$100000,M$5))</f>
        <v/>
      </c>
      <c r="N89" s="29">
        <f>IF($A89="","",SUMIFS(전표_원본!$P$5:$P$100000,전표_원본!$O$5:$O$100000,$A89,전표_원본!$M$5:$M$100000,N$5))</f>
        <v/>
      </c>
      <c r="O89" s="29">
        <f>IF($A89="","",SUMIFS(전표_원본!$P$5:$P$100000,전표_원본!$O$5:$O$100000,$A89,전표_원본!$M$5:$M$100000,O$5))</f>
        <v/>
      </c>
      <c r="P89" s="29">
        <f>IF($A89="","",SUMIFS(전표_원본!$P$5:$P$100000,전표_원본!$O$5:$O$100000,$A89,전표_원본!$M$5:$M$100000,P$5))</f>
        <v/>
      </c>
      <c r="Q89" s="29">
        <f>IF($A89="","",SUMIFS(전표_원본!$P$5:$P$100000,전표_원본!$O$5:$O$100000,$A89,전표_원본!$M$5:$M$100000,Q$5))</f>
        <v/>
      </c>
      <c r="R89" s="29">
        <f>IF($A89="","",SUMIFS(전표_원본!$P$5:$P$100000,전표_원본!$O$5:$O$100000,$A89,전표_원본!$M$5:$M$100000,R$5))</f>
        <v/>
      </c>
      <c r="S89" s="29">
        <f>IF($A89="","",SUMIFS(전표_원본!$P$5:$P$100000,전표_원본!$O$5:$O$100000,$A89,전표_원본!$M$5:$M$100000,S$5))</f>
        <v/>
      </c>
      <c r="T89" s="29">
        <f>IF($A89="","",SUMIFS(전표_원본!$P$5:$P$100000,전표_원본!$O$5:$O$100000,$A89,전표_원본!$M$5:$M$100000,T$5))</f>
        <v/>
      </c>
      <c r="U89" s="29">
        <f>IF($A89="","",SUMIFS(전표_원본!$P$5:$P$100000,전표_원본!$O$5:$O$100000,$A89,전표_원본!$M$5:$M$100000,U$5))</f>
        <v/>
      </c>
      <c r="V89" s="29">
        <f>IF($A89="","",SUMIFS(전표_원본!$P$5:$P$100000,전표_원본!$O$5:$O$100000,$A89,전표_원본!$M$5:$M$100000,V$5))</f>
        <v/>
      </c>
      <c r="W89" s="29">
        <f>IF($A89="","",SUMIFS(전표_원본!$P$5:$P$100000,전표_원본!$O$5:$O$100000,$A89,전표_원본!$M$5:$M$100000,W$5))</f>
        <v/>
      </c>
      <c r="X89" s="29">
        <f>IF($A89="","",SUMIFS(전표_원본!$P$5:$P$100000,전표_원본!$O$5:$O$100000,$A89,전표_원본!$M$5:$M$100000,X$5))</f>
        <v/>
      </c>
      <c r="Y89" s="29">
        <f>IF($A89="","",SUMIFS(전표_원본!$P$5:$P$100000,전표_원본!$O$5:$O$100000,$A89,전표_원본!$M$5:$M$100000,Y$5))</f>
        <v/>
      </c>
      <c r="Z89" s="29">
        <f>IF($A89="","",SUMIFS(전표_원본!$P$5:$P$100000,전표_원본!$O$5:$O$100000,$A89,전표_원본!$M$5:$M$100000,Z$5))</f>
        <v/>
      </c>
    </row>
    <row r="90">
      <c r="A90" s="22">
        <f>IF(변동분석!$A90="","",변동분석!$E90)</f>
        <v/>
      </c>
      <c r="B90" s="22">
        <f>IF($A90="","",변동분석!$B90&amp;" "&amp;변동분석!$D90)</f>
        <v/>
      </c>
      <c r="C90" s="29">
        <f>IF($A90="","",SUMIFS(전표_원본!$P$5:$P$100000,전표_원본!$O$5:$O$100000,$A90,전표_원본!$M$5:$M$100000,C$5))</f>
        <v/>
      </c>
      <c r="D90" s="29">
        <f>IF($A90="","",SUMIFS(전표_원본!$P$5:$P$100000,전표_원본!$O$5:$O$100000,$A90,전표_원본!$M$5:$M$100000,D$5))</f>
        <v/>
      </c>
      <c r="E90" s="29">
        <f>IF($A90="","",SUMIFS(전표_원본!$P$5:$P$100000,전표_원본!$O$5:$O$100000,$A90,전표_원본!$M$5:$M$100000,E$5))</f>
        <v/>
      </c>
      <c r="F90" s="29">
        <f>IF($A90="","",SUMIFS(전표_원본!$P$5:$P$100000,전표_원본!$O$5:$O$100000,$A90,전표_원본!$M$5:$M$100000,F$5))</f>
        <v/>
      </c>
      <c r="G90" s="29">
        <f>IF($A90="","",SUMIFS(전표_원본!$P$5:$P$100000,전표_원본!$O$5:$O$100000,$A90,전표_원본!$M$5:$M$100000,G$5))</f>
        <v/>
      </c>
      <c r="H90" s="29">
        <f>IF($A90="","",SUMIFS(전표_원본!$P$5:$P$100000,전표_원본!$O$5:$O$100000,$A90,전표_원본!$M$5:$M$100000,H$5))</f>
        <v/>
      </c>
      <c r="I90" s="29">
        <f>IF($A90="","",SUMIFS(전표_원본!$P$5:$P$100000,전표_원본!$O$5:$O$100000,$A90,전표_원본!$M$5:$M$100000,I$5))</f>
        <v/>
      </c>
      <c r="J90" s="29">
        <f>IF($A90="","",SUMIFS(전표_원본!$P$5:$P$100000,전표_원본!$O$5:$O$100000,$A90,전표_원본!$M$5:$M$100000,J$5))</f>
        <v/>
      </c>
      <c r="K90" s="29">
        <f>IF($A90="","",SUMIFS(전표_원본!$P$5:$P$100000,전표_원본!$O$5:$O$100000,$A90,전표_원본!$M$5:$M$100000,K$5))</f>
        <v/>
      </c>
      <c r="L90" s="29">
        <f>IF($A90="","",SUMIFS(전표_원본!$P$5:$P$100000,전표_원본!$O$5:$O$100000,$A90,전표_원본!$M$5:$M$100000,L$5))</f>
        <v/>
      </c>
      <c r="M90" s="29">
        <f>IF($A90="","",SUMIFS(전표_원본!$P$5:$P$100000,전표_원본!$O$5:$O$100000,$A90,전표_원본!$M$5:$M$100000,M$5))</f>
        <v/>
      </c>
      <c r="N90" s="29">
        <f>IF($A90="","",SUMIFS(전표_원본!$P$5:$P$100000,전표_원본!$O$5:$O$100000,$A90,전표_원본!$M$5:$M$100000,N$5))</f>
        <v/>
      </c>
      <c r="O90" s="29">
        <f>IF($A90="","",SUMIFS(전표_원본!$P$5:$P$100000,전표_원본!$O$5:$O$100000,$A90,전표_원본!$M$5:$M$100000,O$5))</f>
        <v/>
      </c>
      <c r="P90" s="29">
        <f>IF($A90="","",SUMIFS(전표_원본!$P$5:$P$100000,전표_원본!$O$5:$O$100000,$A90,전표_원본!$M$5:$M$100000,P$5))</f>
        <v/>
      </c>
      <c r="Q90" s="29">
        <f>IF($A90="","",SUMIFS(전표_원본!$P$5:$P$100000,전표_원본!$O$5:$O$100000,$A90,전표_원본!$M$5:$M$100000,Q$5))</f>
        <v/>
      </c>
      <c r="R90" s="29">
        <f>IF($A90="","",SUMIFS(전표_원본!$P$5:$P$100000,전표_원본!$O$5:$O$100000,$A90,전표_원본!$M$5:$M$100000,R$5))</f>
        <v/>
      </c>
      <c r="S90" s="29">
        <f>IF($A90="","",SUMIFS(전표_원본!$P$5:$P$100000,전표_원본!$O$5:$O$100000,$A90,전표_원본!$M$5:$M$100000,S$5))</f>
        <v/>
      </c>
      <c r="T90" s="29">
        <f>IF($A90="","",SUMIFS(전표_원본!$P$5:$P$100000,전표_원본!$O$5:$O$100000,$A90,전표_원본!$M$5:$M$100000,T$5))</f>
        <v/>
      </c>
      <c r="U90" s="29">
        <f>IF($A90="","",SUMIFS(전표_원본!$P$5:$P$100000,전표_원본!$O$5:$O$100000,$A90,전표_원본!$M$5:$M$100000,U$5))</f>
        <v/>
      </c>
      <c r="V90" s="29">
        <f>IF($A90="","",SUMIFS(전표_원본!$P$5:$P$100000,전표_원본!$O$5:$O$100000,$A90,전표_원본!$M$5:$M$100000,V$5))</f>
        <v/>
      </c>
      <c r="W90" s="29">
        <f>IF($A90="","",SUMIFS(전표_원본!$P$5:$P$100000,전표_원본!$O$5:$O$100000,$A90,전표_원본!$M$5:$M$100000,W$5))</f>
        <v/>
      </c>
      <c r="X90" s="29">
        <f>IF($A90="","",SUMIFS(전표_원본!$P$5:$P$100000,전표_원본!$O$5:$O$100000,$A90,전표_원본!$M$5:$M$100000,X$5))</f>
        <v/>
      </c>
      <c r="Y90" s="29">
        <f>IF($A90="","",SUMIFS(전표_원본!$P$5:$P$100000,전표_원본!$O$5:$O$100000,$A90,전표_원본!$M$5:$M$100000,Y$5))</f>
        <v/>
      </c>
      <c r="Z90" s="29">
        <f>IF($A90="","",SUMIFS(전표_원본!$P$5:$P$100000,전표_원본!$O$5:$O$100000,$A90,전표_원본!$M$5:$M$100000,Z$5))</f>
        <v/>
      </c>
    </row>
    <row r="91">
      <c r="A91" s="22">
        <f>IF(변동분석!$A91="","",변동분석!$E91)</f>
        <v/>
      </c>
      <c r="B91" s="22">
        <f>IF($A91="","",변동분석!$B91&amp;" "&amp;변동분석!$D91)</f>
        <v/>
      </c>
      <c r="C91" s="29">
        <f>IF($A91="","",SUMIFS(전표_원본!$P$5:$P$100000,전표_원본!$O$5:$O$100000,$A91,전표_원본!$M$5:$M$100000,C$5))</f>
        <v/>
      </c>
      <c r="D91" s="29">
        <f>IF($A91="","",SUMIFS(전표_원본!$P$5:$P$100000,전표_원본!$O$5:$O$100000,$A91,전표_원본!$M$5:$M$100000,D$5))</f>
        <v/>
      </c>
      <c r="E91" s="29">
        <f>IF($A91="","",SUMIFS(전표_원본!$P$5:$P$100000,전표_원본!$O$5:$O$100000,$A91,전표_원본!$M$5:$M$100000,E$5))</f>
        <v/>
      </c>
      <c r="F91" s="29">
        <f>IF($A91="","",SUMIFS(전표_원본!$P$5:$P$100000,전표_원본!$O$5:$O$100000,$A91,전표_원본!$M$5:$M$100000,F$5))</f>
        <v/>
      </c>
      <c r="G91" s="29">
        <f>IF($A91="","",SUMIFS(전표_원본!$P$5:$P$100000,전표_원본!$O$5:$O$100000,$A91,전표_원본!$M$5:$M$100000,G$5))</f>
        <v/>
      </c>
      <c r="H91" s="29">
        <f>IF($A91="","",SUMIFS(전표_원본!$P$5:$P$100000,전표_원본!$O$5:$O$100000,$A91,전표_원본!$M$5:$M$100000,H$5))</f>
        <v/>
      </c>
      <c r="I91" s="29">
        <f>IF($A91="","",SUMIFS(전표_원본!$P$5:$P$100000,전표_원본!$O$5:$O$100000,$A91,전표_원본!$M$5:$M$100000,I$5))</f>
        <v/>
      </c>
      <c r="J91" s="29">
        <f>IF($A91="","",SUMIFS(전표_원본!$P$5:$P$100000,전표_원본!$O$5:$O$100000,$A91,전표_원본!$M$5:$M$100000,J$5))</f>
        <v/>
      </c>
      <c r="K91" s="29">
        <f>IF($A91="","",SUMIFS(전표_원본!$P$5:$P$100000,전표_원본!$O$5:$O$100000,$A91,전표_원본!$M$5:$M$100000,K$5))</f>
        <v/>
      </c>
      <c r="L91" s="29">
        <f>IF($A91="","",SUMIFS(전표_원본!$P$5:$P$100000,전표_원본!$O$5:$O$100000,$A91,전표_원본!$M$5:$M$100000,L$5))</f>
        <v/>
      </c>
      <c r="M91" s="29">
        <f>IF($A91="","",SUMIFS(전표_원본!$P$5:$P$100000,전표_원본!$O$5:$O$100000,$A91,전표_원본!$M$5:$M$100000,M$5))</f>
        <v/>
      </c>
      <c r="N91" s="29">
        <f>IF($A91="","",SUMIFS(전표_원본!$P$5:$P$100000,전표_원본!$O$5:$O$100000,$A91,전표_원본!$M$5:$M$100000,N$5))</f>
        <v/>
      </c>
      <c r="O91" s="29">
        <f>IF($A91="","",SUMIFS(전표_원본!$P$5:$P$100000,전표_원본!$O$5:$O$100000,$A91,전표_원본!$M$5:$M$100000,O$5))</f>
        <v/>
      </c>
      <c r="P91" s="29">
        <f>IF($A91="","",SUMIFS(전표_원본!$P$5:$P$100000,전표_원본!$O$5:$O$100000,$A91,전표_원본!$M$5:$M$100000,P$5))</f>
        <v/>
      </c>
      <c r="Q91" s="29">
        <f>IF($A91="","",SUMIFS(전표_원본!$P$5:$P$100000,전표_원본!$O$5:$O$100000,$A91,전표_원본!$M$5:$M$100000,Q$5))</f>
        <v/>
      </c>
      <c r="R91" s="29">
        <f>IF($A91="","",SUMIFS(전표_원본!$P$5:$P$100000,전표_원본!$O$5:$O$100000,$A91,전표_원본!$M$5:$M$100000,R$5))</f>
        <v/>
      </c>
      <c r="S91" s="29">
        <f>IF($A91="","",SUMIFS(전표_원본!$P$5:$P$100000,전표_원본!$O$5:$O$100000,$A91,전표_원본!$M$5:$M$100000,S$5))</f>
        <v/>
      </c>
      <c r="T91" s="29">
        <f>IF($A91="","",SUMIFS(전표_원본!$P$5:$P$100000,전표_원본!$O$5:$O$100000,$A91,전표_원본!$M$5:$M$100000,T$5))</f>
        <v/>
      </c>
      <c r="U91" s="29">
        <f>IF($A91="","",SUMIFS(전표_원본!$P$5:$P$100000,전표_원본!$O$5:$O$100000,$A91,전표_원본!$M$5:$M$100000,U$5))</f>
        <v/>
      </c>
      <c r="V91" s="29">
        <f>IF($A91="","",SUMIFS(전표_원본!$P$5:$P$100000,전표_원본!$O$5:$O$100000,$A91,전표_원본!$M$5:$M$100000,V$5))</f>
        <v/>
      </c>
      <c r="W91" s="29">
        <f>IF($A91="","",SUMIFS(전표_원본!$P$5:$P$100000,전표_원본!$O$5:$O$100000,$A91,전표_원본!$M$5:$M$100000,W$5))</f>
        <v/>
      </c>
      <c r="X91" s="29">
        <f>IF($A91="","",SUMIFS(전표_원본!$P$5:$P$100000,전표_원본!$O$5:$O$100000,$A91,전표_원본!$M$5:$M$100000,X$5))</f>
        <v/>
      </c>
      <c r="Y91" s="29">
        <f>IF($A91="","",SUMIFS(전표_원본!$P$5:$P$100000,전표_원본!$O$5:$O$100000,$A91,전표_원본!$M$5:$M$100000,Y$5))</f>
        <v/>
      </c>
      <c r="Z91" s="29">
        <f>IF($A91="","",SUMIFS(전표_원본!$P$5:$P$100000,전표_원본!$O$5:$O$100000,$A91,전표_원본!$M$5:$M$100000,Z$5))</f>
        <v/>
      </c>
    </row>
    <row r="92">
      <c r="A92" s="22">
        <f>IF(변동분석!$A92="","",변동분석!$E92)</f>
        <v/>
      </c>
      <c r="B92" s="22">
        <f>IF($A92="","",변동분석!$B92&amp;" "&amp;변동분석!$D92)</f>
        <v/>
      </c>
      <c r="C92" s="29">
        <f>IF($A92="","",SUMIFS(전표_원본!$P$5:$P$100000,전표_원본!$O$5:$O$100000,$A92,전표_원본!$M$5:$M$100000,C$5))</f>
        <v/>
      </c>
      <c r="D92" s="29">
        <f>IF($A92="","",SUMIFS(전표_원본!$P$5:$P$100000,전표_원본!$O$5:$O$100000,$A92,전표_원본!$M$5:$M$100000,D$5))</f>
        <v/>
      </c>
      <c r="E92" s="29">
        <f>IF($A92="","",SUMIFS(전표_원본!$P$5:$P$100000,전표_원본!$O$5:$O$100000,$A92,전표_원본!$M$5:$M$100000,E$5))</f>
        <v/>
      </c>
      <c r="F92" s="29">
        <f>IF($A92="","",SUMIFS(전표_원본!$P$5:$P$100000,전표_원본!$O$5:$O$100000,$A92,전표_원본!$M$5:$M$100000,F$5))</f>
        <v/>
      </c>
      <c r="G92" s="29">
        <f>IF($A92="","",SUMIFS(전표_원본!$P$5:$P$100000,전표_원본!$O$5:$O$100000,$A92,전표_원본!$M$5:$M$100000,G$5))</f>
        <v/>
      </c>
      <c r="H92" s="29">
        <f>IF($A92="","",SUMIFS(전표_원본!$P$5:$P$100000,전표_원본!$O$5:$O$100000,$A92,전표_원본!$M$5:$M$100000,H$5))</f>
        <v/>
      </c>
      <c r="I92" s="29">
        <f>IF($A92="","",SUMIFS(전표_원본!$P$5:$P$100000,전표_원본!$O$5:$O$100000,$A92,전표_원본!$M$5:$M$100000,I$5))</f>
        <v/>
      </c>
      <c r="J92" s="29">
        <f>IF($A92="","",SUMIFS(전표_원본!$P$5:$P$100000,전표_원본!$O$5:$O$100000,$A92,전표_원본!$M$5:$M$100000,J$5))</f>
        <v/>
      </c>
      <c r="K92" s="29">
        <f>IF($A92="","",SUMIFS(전표_원본!$P$5:$P$100000,전표_원본!$O$5:$O$100000,$A92,전표_원본!$M$5:$M$100000,K$5))</f>
        <v/>
      </c>
      <c r="L92" s="29">
        <f>IF($A92="","",SUMIFS(전표_원본!$P$5:$P$100000,전표_원본!$O$5:$O$100000,$A92,전표_원본!$M$5:$M$100000,L$5))</f>
        <v/>
      </c>
      <c r="M92" s="29">
        <f>IF($A92="","",SUMIFS(전표_원본!$P$5:$P$100000,전표_원본!$O$5:$O$100000,$A92,전표_원본!$M$5:$M$100000,M$5))</f>
        <v/>
      </c>
      <c r="N92" s="29">
        <f>IF($A92="","",SUMIFS(전표_원본!$P$5:$P$100000,전표_원본!$O$5:$O$100000,$A92,전표_원본!$M$5:$M$100000,N$5))</f>
        <v/>
      </c>
      <c r="O92" s="29">
        <f>IF($A92="","",SUMIFS(전표_원본!$P$5:$P$100000,전표_원본!$O$5:$O$100000,$A92,전표_원본!$M$5:$M$100000,O$5))</f>
        <v/>
      </c>
      <c r="P92" s="29">
        <f>IF($A92="","",SUMIFS(전표_원본!$P$5:$P$100000,전표_원본!$O$5:$O$100000,$A92,전표_원본!$M$5:$M$100000,P$5))</f>
        <v/>
      </c>
      <c r="Q92" s="29">
        <f>IF($A92="","",SUMIFS(전표_원본!$P$5:$P$100000,전표_원본!$O$5:$O$100000,$A92,전표_원본!$M$5:$M$100000,Q$5))</f>
        <v/>
      </c>
      <c r="R92" s="29">
        <f>IF($A92="","",SUMIFS(전표_원본!$P$5:$P$100000,전표_원본!$O$5:$O$100000,$A92,전표_원본!$M$5:$M$100000,R$5))</f>
        <v/>
      </c>
      <c r="S92" s="29">
        <f>IF($A92="","",SUMIFS(전표_원본!$P$5:$P$100000,전표_원본!$O$5:$O$100000,$A92,전표_원본!$M$5:$M$100000,S$5))</f>
        <v/>
      </c>
      <c r="T92" s="29">
        <f>IF($A92="","",SUMIFS(전표_원본!$P$5:$P$100000,전표_원본!$O$5:$O$100000,$A92,전표_원본!$M$5:$M$100000,T$5))</f>
        <v/>
      </c>
      <c r="U92" s="29">
        <f>IF($A92="","",SUMIFS(전표_원본!$P$5:$P$100000,전표_원본!$O$5:$O$100000,$A92,전표_원본!$M$5:$M$100000,U$5))</f>
        <v/>
      </c>
      <c r="V92" s="29">
        <f>IF($A92="","",SUMIFS(전표_원본!$P$5:$P$100000,전표_원본!$O$5:$O$100000,$A92,전표_원본!$M$5:$M$100000,V$5))</f>
        <v/>
      </c>
      <c r="W92" s="29">
        <f>IF($A92="","",SUMIFS(전표_원본!$P$5:$P$100000,전표_원본!$O$5:$O$100000,$A92,전표_원본!$M$5:$M$100000,W$5))</f>
        <v/>
      </c>
      <c r="X92" s="29">
        <f>IF($A92="","",SUMIFS(전표_원본!$P$5:$P$100000,전표_원본!$O$5:$O$100000,$A92,전표_원본!$M$5:$M$100000,X$5))</f>
        <v/>
      </c>
      <c r="Y92" s="29">
        <f>IF($A92="","",SUMIFS(전표_원본!$P$5:$P$100000,전표_원본!$O$5:$O$100000,$A92,전표_원본!$M$5:$M$100000,Y$5))</f>
        <v/>
      </c>
      <c r="Z92" s="29">
        <f>IF($A92="","",SUMIFS(전표_원본!$P$5:$P$100000,전표_원본!$O$5:$O$100000,$A92,전표_원본!$M$5:$M$100000,Z$5))</f>
        <v/>
      </c>
    </row>
    <row r="93">
      <c r="A93" s="22">
        <f>IF(변동분석!$A93="","",변동분석!$E93)</f>
        <v/>
      </c>
      <c r="B93" s="22">
        <f>IF($A93="","",변동분석!$B93&amp;" "&amp;변동분석!$D93)</f>
        <v/>
      </c>
      <c r="C93" s="29">
        <f>IF($A93="","",SUMIFS(전표_원본!$P$5:$P$100000,전표_원본!$O$5:$O$100000,$A93,전표_원본!$M$5:$M$100000,C$5))</f>
        <v/>
      </c>
      <c r="D93" s="29">
        <f>IF($A93="","",SUMIFS(전표_원본!$P$5:$P$100000,전표_원본!$O$5:$O$100000,$A93,전표_원본!$M$5:$M$100000,D$5))</f>
        <v/>
      </c>
      <c r="E93" s="29">
        <f>IF($A93="","",SUMIFS(전표_원본!$P$5:$P$100000,전표_원본!$O$5:$O$100000,$A93,전표_원본!$M$5:$M$100000,E$5))</f>
        <v/>
      </c>
      <c r="F93" s="29">
        <f>IF($A93="","",SUMIFS(전표_원본!$P$5:$P$100000,전표_원본!$O$5:$O$100000,$A93,전표_원본!$M$5:$M$100000,F$5))</f>
        <v/>
      </c>
      <c r="G93" s="29">
        <f>IF($A93="","",SUMIFS(전표_원본!$P$5:$P$100000,전표_원본!$O$5:$O$100000,$A93,전표_원본!$M$5:$M$100000,G$5))</f>
        <v/>
      </c>
      <c r="H93" s="29">
        <f>IF($A93="","",SUMIFS(전표_원본!$P$5:$P$100000,전표_원본!$O$5:$O$100000,$A93,전표_원본!$M$5:$M$100000,H$5))</f>
        <v/>
      </c>
      <c r="I93" s="29">
        <f>IF($A93="","",SUMIFS(전표_원본!$P$5:$P$100000,전표_원본!$O$5:$O$100000,$A93,전표_원본!$M$5:$M$100000,I$5))</f>
        <v/>
      </c>
      <c r="J93" s="29">
        <f>IF($A93="","",SUMIFS(전표_원본!$P$5:$P$100000,전표_원본!$O$5:$O$100000,$A93,전표_원본!$M$5:$M$100000,J$5))</f>
        <v/>
      </c>
      <c r="K93" s="29">
        <f>IF($A93="","",SUMIFS(전표_원본!$P$5:$P$100000,전표_원본!$O$5:$O$100000,$A93,전표_원본!$M$5:$M$100000,K$5))</f>
        <v/>
      </c>
      <c r="L93" s="29">
        <f>IF($A93="","",SUMIFS(전표_원본!$P$5:$P$100000,전표_원본!$O$5:$O$100000,$A93,전표_원본!$M$5:$M$100000,L$5))</f>
        <v/>
      </c>
      <c r="M93" s="29">
        <f>IF($A93="","",SUMIFS(전표_원본!$P$5:$P$100000,전표_원본!$O$5:$O$100000,$A93,전표_원본!$M$5:$M$100000,M$5))</f>
        <v/>
      </c>
      <c r="N93" s="29">
        <f>IF($A93="","",SUMIFS(전표_원본!$P$5:$P$100000,전표_원본!$O$5:$O$100000,$A93,전표_원본!$M$5:$M$100000,N$5))</f>
        <v/>
      </c>
      <c r="O93" s="29">
        <f>IF($A93="","",SUMIFS(전표_원본!$P$5:$P$100000,전표_원본!$O$5:$O$100000,$A93,전표_원본!$M$5:$M$100000,O$5))</f>
        <v/>
      </c>
      <c r="P93" s="29">
        <f>IF($A93="","",SUMIFS(전표_원본!$P$5:$P$100000,전표_원본!$O$5:$O$100000,$A93,전표_원본!$M$5:$M$100000,P$5))</f>
        <v/>
      </c>
      <c r="Q93" s="29">
        <f>IF($A93="","",SUMIFS(전표_원본!$P$5:$P$100000,전표_원본!$O$5:$O$100000,$A93,전표_원본!$M$5:$M$100000,Q$5))</f>
        <v/>
      </c>
      <c r="R93" s="29">
        <f>IF($A93="","",SUMIFS(전표_원본!$P$5:$P$100000,전표_원본!$O$5:$O$100000,$A93,전표_원본!$M$5:$M$100000,R$5))</f>
        <v/>
      </c>
      <c r="S93" s="29">
        <f>IF($A93="","",SUMIFS(전표_원본!$P$5:$P$100000,전표_원본!$O$5:$O$100000,$A93,전표_원본!$M$5:$M$100000,S$5))</f>
        <v/>
      </c>
      <c r="T93" s="29">
        <f>IF($A93="","",SUMIFS(전표_원본!$P$5:$P$100000,전표_원본!$O$5:$O$100000,$A93,전표_원본!$M$5:$M$100000,T$5))</f>
        <v/>
      </c>
      <c r="U93" s="29">
        <f>IF($A93="","",SUMIFS(전표_원본!$P$5:$P$100000,전표_원본!$O$5:$O$100000,$A93,전표_원본!$M$5:$M$100000,U$5))</f>
        <v/>
      </c>
      <c r="V93" s="29">
        <f>IF($A93="","",SUMIFS(전표_원본!$P$5:$P$100000,전표_원본!$O$5:$O$100000,$A93,전표_원본!$M$5:$M$100000,V$5))</f>
        <v/>
      </c>
      <c r="W93" s="29">
        <f>IF($A93="","",SUMIFS(전표_원본!$P$5:$P$100000,전표_원본!$O$5:$O$100000,$A93,전표_원본!$M$5:$M$100000,W$5))</f>
        <v/>
      </c>
      <c r="X93" s="29">
        <f>IF($A93="","",SUMIFS(전표_원본!$P$5:$P$100000,전표_원본!$O$5:$O$100000,$A93,전표_원본!$M$5:$M$100000,X$5))</f>
        <v/>
      </c>
      <c r="Y93" s="29">
        <f>IF($A93="","",SUMIFS(전표_원본!$P$5:$P$100000,전표_원본!$O$5:$O$100000,$A93,전표_원본!$M$5:$M$100000,Y$5))</f>
        <v/>
      </c>
      <c r="Z93" s="29">
        <f>IF($A93="","",SUMIFS(전표_원본!$P$5:$P$100000,전표_원본!$O$5:$O$100000,$A93,전표_원본!$M$5:$M$100000,Z$5))</f>
        <v/>
      </c>
    </row>
    <row r="94">
      <c r="A94" s="22">
        <f>IF(변동분석!$A94="","",변동분석!$E94)</f>
        <v/>
      </c>
      <c r="B94" s="22">
        <f>IF($A94="","",변동분석!$B94&amp;" "&amp;변동분석!$D94)</f>
        <v/>
      </c>
      <c r="C94" s="29">
        <f>IF($A94="","",SUMIFS(전표_원본!$P$5:$P$100000,전표_원본!$O$5:$O$100000,$A94,전표_원본!$M$5:$M$100000,C$5))</f>
        <v/>
      </c>
      <c r="D94" s="29">
        <f>IF($A94="","",SUMIFS(전표_원본!$P$5:$P$100000,전표_원본!$O$5:$O$100000,$A94,전표_원본!$M$5:$M$100000,D$5))</f>
        <v/>
      </c>
      <c r="E94" s="29">
        <f>IF($A94="","",SUMIFS(전표_원본!$P$5:$P$100000,전표_원본!$O$5:$O$100000,$A94,전표_원본!$M$5:$M$100000,E$5))</f>
        <v/>
      </c>
      <c r="F94" s="29">
        <f>IF($A94="","",SUMIFS(전표_원본!$P$5:$P$100000,전표_원본!$O$5:$O$100000,$A94,전표_원본!$M$5:$M$100000,F$5))</f>
        <v/>
      </c>
      <c r="G94" s="29">
        <f>IF($A94="","",SUMIFS(전표_원본!$P$5:$P$100000,전표_원본!$O$5:$O$100000,$A94,전표_원본!$M$5:$M$100000,G$5))</f>
        <v/>
      </c>
      <c r="H94" s="29">
        <f>IF($A94="","",SUMIFS(전표_원본!$P$5:$P$100000,전표_원본!$O$5:$O$100000,$A94,전표_원본!$M$5:$M$100000,H$5))</f>
        <v/>
      </c>
      <c r="I94" s="29">
        <f>IF($A94="","",SUMIFS(전표_원본!$P$5:$P$100000,전표_원본!$O$5:$O$100000,$A94,전표_원본!$M$5:$M$100000,I$5))</f>
        <v/>
      </c>
      <c r="J94" s="29">
        <f>IF($A94="","",SUMIFS(전표_원본!$P$5:$P$100000,전표_원본!$O$5:$O$100000,$A94,전표_원본!$M$5:$M$100000,J$5))</f>
        <v/>
      </c>
      <c r="K94" s="29">
        <f>IF($A94="","",SUMIFS(전표_원본!$P$5:$P$100000,전표_원본!$O$5:$O$100000,$A94,전표_원본!$M$5:$M$100000,K$5))</f>
        <v/>
      </c>
      <c r="L94" s="29">
        <f>IF($A94="","",SUMIFS(전표_원본!$P$5:$P$100000,전표_원본!$O$5:$O$100000,$A94,전표_원본!$M$5:$M$100000,L$5))</f>
        <v/>
      </c>
      <c r="M94" s="29">
        <f>IF($A94="","",SUMIFS(전표_원본!$P$5:$P$100000,전표_원본!$O$5:$O$100000,$A94,전표_원본!$M$5:$M$100000,M$5))</f>
        <v/>
      </c>
      <c r="N94" s="29">
        <f>IF($A94="","",SUMIFS(전표_원본!$P$5:$P$100000,전표_원본!$O$5:$O$100000,$A94,전표_원본!$M$5:$M$100000,N$5))</f>
        <v/>
      </c>
      <c r="O94" s="29">
        <f>IF($A94="","",SUMIFS(전표_원본!$P$5:$P$100000,전표_원본!$O$5:$O$100000,$A94,전표_원본!$M$5:$M$100000,O$5))</f>
        <v/>
      </c>
      <c r="P94" s="29">
        <f>IF($A94="","",SUMIFS(전표_원본!$P$5:$P$100000,전표_원본!$O$5:$O$100000,$A94,전표_원본!$M$5:$M$100000,P$5))</f>
        <v/>
      </c>
      <c r="Q94" s="29">
        <f>IF($A94="","",SUMIFS(전표_원본!$P$5:$P$100000,전표_원본!$O$5:$O$100000,$A94,전표_원본!$M$5:$M$100000,Q$5))</f>
        <v/>
      </c>
      <c r="R94" s="29">
        <f>IF($A94="","",SUMIFS(전표_원본!$P$5:$P$100000,전표_원본!$O$5:$O$100000,$A94,전표_원본!$M$5:$M$100000,R$5))</f>
        <v/>
      </c>
      <c r="S94" s="29">
        <f>IF($A94="","",SUMIFS(전표_원본!$P$5:$P$100000,전표_원본!$O$5:$O$100000,$A94,전표_원본!$M$5:$M$100000,S$5))</f>
        <v/>
      </c>
      <c r="T94" s="29">
        <f>IF($A94="","",SUMIFS(전표_원본!$P$5:$P$100000,전표_원본!$O$5:$O$100000,$A94,전표_원본!$M$5:$M$100000,T$5))</f>
        <v/>
      </c>
      <c r="U94" s="29">
        <f>IF($A94="","",SUMIFS(전표_원본!$P$5:$P$100000,전표_원본!$O$5:$O$100000,$A94,전표_원본!$M$5:$M$100000,U$5))</f>
        <v/>
      </c>
      <c r="V94" s="29">
        <f>IF($A94="","",SUMIFS(전표_원본!$P$5:$P$100000,전표_원본!$O$5:$O$100000,$A94,전표_원본!$M$5:$M$100000,V$5))</f>
        <v/>
      </c>
      <c r="W94" s="29">
        <f>IF($A94="","",SUMIFS(전표_원본!$P$5:$P$100000,전표_원본!$O$5:$O$100000,$A94,전표_원본!$M$5:$M$100000,W$5))</f>
        <v/>
      </c>
      <c r="X94" s="29">
        <f>IF($A94="","",SUMIFS(전표_원본!$P$5:$P$100000,전표_원본!$O$5:$O$100000,$A94,전표_원본!$M$5:$M$100000,X$5))</f>
        <v/>
      </c>
      <c r="Y94" s="29">
        <f>IF($A94="","",SUMIFS(전표_원본!$P$5:$P$100000,전표_원본!$O$5:$O$100000,$A94,전표_원본!$M$5:$M$100000,Y$5))</f>
        <v/>
      </c>
      <c r="Z94" s="29">
        <f>IF($A94="","",SUMIFS(전표_원본!$P$5:$P$100000,전표_원본!$O$5:$O$100000,$A94,전표_원본!$M$5:$M$100000,Z$5))</f>
        <v/>
      </c>
    </row>
    <row r="95">
      <c r="A95" s="22">
        <f>IF(변동분석!$A95="","",변동분석!$E95)</f>
        <v/>
      </c>
      <c r="B95" s="22">
        <f>IF($A95="","",변동분석!$B95&amp;" "&amp;변동분석!$D95)</f>
        <v/>
      </c>
      <c r="C95" s="29">
        <f>IF($A95="","",SUMIFS(전표_원본!$P$5:$P$100000,전표_원본!$O$5:$O$100000,$A95,전표_원본!$M$5:$M$100000,C$5))</f>
        <v/>
      </c>
      <c r="D95" s="29">
        <f>IF($A95="","",SUMIFS(전표_원본!$P$5:$P$100000,전표_원본!$O$5:$O$100000,$A95,전표_원본!$M$5:$M$100000,D$5))</f>
        <v/>
      </c>
      <c r="E95" s="29">
        <f>IF($A95="","",SUMIFS(전표_원본!$P$5:$P$100000,전표_원본!$O$5:$O$100000,$A95,전표_원본!$M$5:$M$100000,E$5))</f>
        <v/>
      </c>
      <c r="F95" s="29">
        <f>IF($A95="","",SUMIFS(전표_원본!$P$5:$P$100000,전표_원본!$O$5:$O$100000,$A95,전표_원본!$M$5:$M$100000,F$5))</f>
        <v/>
      </c>
      <c r="G95" s="29">
        <f>IF($A95="","",SUMIFS(전표_원본!$P$5:$P$100000,전표_원본!$O$5:$O$100000,$A95,전표_원본!$M$5:$M$100000,G$5))</f>
        <v/>
      </c>
      <c r="H95" s="29">
        <f>IF($A95="","",SUMIFS(전표_원본!$P$5:$P$100000,전표_원본!$O$5:$O$100000,$A95,전표_원본!$M$5:$M$100000,H$5))</f>
        <v/>
      </c>
      <c r="I95" s="29">
        <f>IF($A95="","",SUMIFS(전표_원본!$P$5:$P$100000,전표_원본!$O$5:$O$100000,$A95,전표_원본!$M$5:$M$100000,I$5))</f>
        <v/>
      </c>
      <c r="J95" s="29">
        <f>IF($A95="","",SUMIFS(전표_원본!$P$5:$P$100000,전표_원본!$O$5:$O$100000,$A95,전표_원본!$M$5:$M$100000,J$5))</f>
        <v/>
      </c>
      <c r="K95" s="29">
        <f>IF($A95="","",SUMIFS(전표_원본!$P$5:$P$100000,전표_원본!$O$5:$O$100000,$A95,전표_원본!$M$5:$M$100000,K$5))</f>
        <v/>
      </c>
      <c r="L95" s="29">
        <f>IF($A95="","",SUMIFS(전표_원본!$P$5:$P$100000,전표_원본!$O$5:$O$100000,$A95,전표_원본!$M$5:$M$100000,L$5))</f>
        <v/>
      </c>
      <c r="M95" s="29">
        <f>IF($A95="","",SUMIFS(전표_원본!$P$5:$P$100000,전표_원본!$O$5:$O$100000,$A95,전표_원본!$M$5:$M$100000,M$5))</f>
        <v/>
      </c>
      <c r="N95" s="29">
        <f>IF($A95="","",SUMIFS(전표_원본!$P$5:$P$100000,전표_원본!$O$5:$O$100000,$A95,전표_원본!$M$5:$M$100000,N$5))</f>
        <v/>
      </c>
      <c r="O95" s="29">
        <f>IF($A95="","",SUMIFS(전표_원본!$P$5:$P$100000,전표_원본!$O$5:$O$100000,$A95,전표_원본!$M$5:$M$100000,O$5))</f>
        <v/>
      </c>
      <c r="P95" s="29">
        <f>IF($A95="","",SUMIFS(전표_원본!$P$5:$P$100000,전표_원본!$O$5:$O$100000,$A95,전표_원본!$M$5:$M$100000,P$5))</f>
        <v/>
      </c>
      <c r="Q95" s="29">
        <f>IF($A95="","",SUMIFS(전표_원본!$P$5:$P$100000,전표_원본!$O$5:$O$100000,$A95,전표_원본!$M$5:$M$100000,Q$5))</f>
        <v/>
      </c>
      <c r="R95" s="29">
        <f>IF($A95="","",SUMIFS(전표_원본!$P$5:$P$100000,전표_원본!$O$5:$O$100000,$A95,전표_원본!$M$5:$M$100000,R$5))</f>
        <v/>
      </c>
      <c r="S95" s="29">
        <f>IF($A95="","",SUMIFS(전표_원본!$P$5:$P$100000,전표_원본!$O$5:$O$100000,$A95,전표_원본!$M$5:$M$100000,S$5))</f>
        <v/>
      </c>
      <c r="T95" s="29">
        <f>IF($A95="","",SUMIFS(전표_원본!$P$5:$P$100000,전표_원본!$O$5:$O$100000,$A95,전표_원본!$M$5:$M$100000,T$5))</f>
        <v/>
      </c>
      <c r="U95" s="29">
        <f>IF($A95="","",SUMIFS(전표_원본!$P$5:$P$100000,전표_원본!$O$5:$O$100000,$A95,전표_원본!$M$5:$M$100000,U$5))</f>
        <v/>
      </c>
      <c r="V95" s="29">
        <f>IF($A95="","",SUMIFS(전표_원본!$P$5:$P$100000,전표_원본!$O$5:$O$100000,$A95,전표_원본!$M$5:$M$100000,V$5))</f>
        <v/>
      </c>
      <c r="W95" s="29">
        <f>IF($A95="","",SUMIFS(전표_원본!$P$5:$P$100000,전표_원본!$O$5:$O$100000,$A95,전표_원본!$M$5:$M$100000,W$5))</f>
        <v/>
      </c>
      <c r="X95" s="29">
        <f>IF($A95="","",SUMIFS(전표_원본!$P$5:$P$100000,전표_원본!$O$5:$O$100000,$A95,전표_원본!$M$5:$M$100000,X$5))</f>
        <v/>
      </c>
      <c r="Y95" s="29">
        <f>IF($A95="","",SUMIFS(전표_원본!$P$5:$P$100000,전표_원본!$O$5:$O$100000,$A95,전표_원본!$M$5:$M$100000,Y$5))</f>
        <v/>
      </c>
      <c r="Z95" s="29">
        <f>IF($A95="","",SUMIFS(전표_원본!$P$5:$P$100000,전표_원본!$O$5:$O$100000,$A95,전표_원본!$M$5:$M$100000,Z$5))</f>
        <v/>
      </c>
    </row>
    <row r="96">
      <c r="A96" s="22">
        <f>IF(변동분석!$A96="","",변동분석!$E96)</f>
        <v/>
      </c>
      <c r="B96" s="22">
        <f>IF($A96="","",변동분석!$B96&amp;" "&amp;변동분석!$D96)</f>
        <v/>
      </c>
      <c r="C96" s="29">
        <f>IF($A96="","",SUMIFS(전표_원본!$P$5:$P$100000,전표_원본!$O$5:$O$100000,$A96,전표_원본!$M$5:$M$100000,C$5))</f>
        <v/>
      </c>
      <c r="D96" s="29">
        <f>IF($A96="","",SUMIFS(전표_원본!$P$5:$P$100000,전표_원본!$O$5:$O$100000,$A96,전표_원본!$M$5:$M$100000,D$5))</f>
        <v/>
      </c>
      <c r="E96" s="29">
        <f>IF($A96="","",SUMIFS(전표_원본!$P$5:$P$100000,전표_원본!$O$5:$O$100000,$A96,전표_원본!$M$5:$M$100000,E$5))</f>
        <v/>
      </c>
      <c r="F96" s="29">
        <f>IF($A96="","",SUMIFS(전표_원본!$P$5:$P$100000,전표_원본!$O$5:$O$100000,$A96,전표_원본!$M$5:$M$100000,F$5))</f>
        <v/>
      </c>
      <c r="G96" s="29">
        <f>IF($A96="","",SUMIFS(전표_원본!$P$5:$P$100000,전표_원본!$O$5:$O$100000,$A96,전표_원본!$M$5:$M$100000,G$5))</f>
        <v/>
      </c>
      <c r="H96" s="29">
        <f>IF($A96="","",SUMIFS(전표_원본!$P$5:$P$100000,전표_원본!$O$5:$O$100000,$A96,전표_원본!$M$5:$M$100000,H$5))</f>
        <v/>
      </c>
      <c r="I96" s="29">
        <f>IF($A96="","",SUMIFS(전표_원본!$P$5:$P$100000,전표_원본!$O$5:$O$100000,$A96,전표_원본!$M$5:$M$100000,I$5))</f>
        <v/>
      </c>
      <c r="J96" s="29">
        <f>IF($A96="","",SUMIFS(전표_원본!$P$5:$P$100000,전표_원본!$O$5:$O$100000,$A96,전표_원본!$M$5:$M$100000,J$5))</f>
        <v/>
      </c>
      <c r="K96" s="29">
        <f>IF($A96="","",SUMIFS(전표_원본!$P$5:$P$100000,전표_원본!$O$5:$O$100000,$A96,전표_원본!$M$5:$M$100000,K$5))</f>
        <v/>
      </c>
      <c r="L96" s="29">
        <f>IF($A96="","",SUMIFS(전표_원본!$P$5:$P$100000,전표_원본!$O$5:$O$100000,$A96,전표_원본!$M$5:$M$100000,L$5))</f>
        <v/>
      </c>
      <c r="M96" s="29">
        <f>IF($A96="","",SUMIFS(전표_원본!$P$5:$P$100000,전표_원본!$O$5:$O$100000,$A96,전표_원본!$M$5:$M$100000,M$5))</f>
        <v/>
      </c>
      <c r="N96" s="29">
        <f>IF($A96="","",SUMIFS(전표_원본!$P$5:$P$100000,전표_원본!$O$5:$O$100000,$A96,전표_원본!$M$5:$M$100000,N$5))</f>
        <v/>
      </c>
      <c r="O96" s="29">
        <f>IF($A96="","",SUMIFS(전표_원본!$P$5:$P$100000,전표_원본!$O$5:$O$100000,$A96,전표_원본!$M$5:$M$100000,O$5))</f>
        <v/>
      </c>
      <c r="P96" s="29">
        <f>IF($A96="","",SUMIFS(전표_원본!$P$5:$P$100000,전표_원본!$O$5:$O$100000,$A96,전표_원본!$M$5:$M$100000,P$5))</f>
        <v/>
      </c>
      <c r="Q96" s="29">
        <f>IF($A96="","",SUMIFS(전표_원본!$P$5:$P$100000,전표_원본!$O$5:$O$100000,$A96,전표_원본!$M$5:$M$100000,Q$5))</f>
        <v/>
      </c>
      <c r="R96" s="29">
        <f>IF($A96="","",SUMIFS(전표_원본!$P$5:$P$100000,전표_원본!$O$5:$O$100000,$A96,전표_원본!$M$5:$M$100000,R$5))</f>
        <v/>
      </c>
      <c r="S96" s="29">
        <f>IF($A96="","",SUMIFS(전표_원본!$P$5:$P$100000,전표_원본!$O$5:$O$100000,$A96,전표_원본!$M$5:$M$100000,S$5))</f>
        <v/>
      </c>
      <c r="T96" s="29">
        <f>IF($A96="","",SUMIFS(전표_원본!$P$5:$P$100000,전표_원본!$O$5:$O$100000,$A96,전표_원본!$M$5:$M$100000,T$5))</f>
        <v/>
      </c>
      <c r="U96" s="29">
        <f>IF($A96="","",SUMIFS(전표_원본!$P$5:$P$100000,전표_원본!$O$5:$O$100000,$A96,전표_원본!$M$5:$M$100000,U$5))</f>
        <v/>
      </c>
      <c r="V96" s="29">
        <f>IF($A96="","",SUMIFS(전표_원본!$P$5:$P$100000,전표_원본!$O$5:$O$100000,$A96,전표_원본!$M$5:$M$100000,V$5))</f>
        <v/>
      </c>
      <c r="W96" s="29">
        <f>IF($A96="","",SUMIFS(전표_원본!$P$5:$P$100000,전표_원본!$O$5:$O$100000,$A96,전표_원본!$M$5:$M$100000,W$5))</f>
        <v/>
      </c>
      <c r="X96" s="29">
        <f>IF($A96="","",SUMIFS(전표_원본!$P$5:$P$100000,전표_원본!$O$5:$O$100000,$A96,전표_원본!$M$5:$M$100000,X$5))</f>
        <v/>
      </c>
      <c r="Y96" s="29">
        <f>IF($A96="","",SUMIFS(전표_원본!$P$5:$P$100000,전표_원본!$O$5:$O$100000,$A96,전표_원본!$M$5:$M$100000,Y$5))</f>
        <v/>
      </c>
      <c r="Z96" s="29">
        <f>IF($A96="","",SUMIFS(전표_원본!$P$5:$P$100000,전표_원본!$O$5:$O$100000,$A96,전표_원본!$M$5:$M$100000,Z$5))</f>
        <v/>
      </c>
    </row>
    <row r="97">
      <c r="A97" s="22">
        <f>IF(변동분석!$A97="","",변동분석!$E97)</f>
        <v/>
      </c>
      <c r="B97" s="22">
        <f>IF($A97="","",변동분석!$B97&amp;" "&amp;변동분석!$D97)</f>
        <v/>
      </c>
      <c r="C97" s="29">
        <f>IF($A97="","",SUMIFS(전표_원본!$P$5:$P$100000,전표_원본!$O$5:$O$100000,$A97,전표_원본!$M$5:$M$100000,C$5))</f>
        <v/>
      </c>
      <c r="D97" s="29">
        <f>IF($A97="","",SUMIFS(전표_원본!$P$5:$P$100000,전표_원본!$O$5:$O$100000,$A97,전표_원본!$M$5:$M$100000,D$5))</f>
        <v/>
      </c>
      <c r="E97" s="29">
        <f>IF($A97="","",SUMIFS(전표_원본!$P$5:$P$100000,전표_원본!$O$5:$O$100000,$A97,전표_원본!$M$5:$M$100000,E$5))</f>
        <v/>
      </c>
      <c r="F97" s="29">
        <f>IF($A97="","",SUMIFS(전표_원본!$P$5:$P$100000,전표_원본!$O$5:$O$100000,$A97,전표_원본!$M$5:$M$100000,F$5))</f>
        <v/>
      </c>
      <c r="G97" s="29">
        <f>IF($A97="","",SUMIFS(전표_원본!$P$5:$P$100000,전표_원본!$O$5:$O$100000,$A97,전표_원본!$M$5:$M$100000,G$5))</f>
        <v/>
      </c>
      <c r="H97" s="29">
        <f>IF($A97="","",SUMIFS(전표_원본!$P$5:$P$100000,전표_원본!$O$5:$O$100000,$A97,전표_원본!$M$5:$M$100000,H$5))</f>
        <v/>
      </c>
      <c r="I97" s="29">
        <f>IF($A97="","",SUMIFS(전표_원본!$P$5:$P$100000,전표_원본!$O$5:$O$100000,$A97,전표_원본!$M$5:$M$100000,I$5))</f>
        <v/>
      </c>
      <c r="J97" s="29">
        <f>IF($A97="","",SUMIFS(전표_원본!$P$5:$P$100000,전표_원본!$O$5:$O$100000,$A97,전표_원본!$M$5:$M$100000,J$5))</f>
        <v/>
      </c>
      <c r="K97" s="29">
        <f>IF($A97="","",SUMIFS(전표_원본!$P$5:$P$100000,전표_원본!$O$5:$O$100000,$A97,전표_원본!$M$5:$M$100000,K$5))</f>
        <v/>
      </c>
      <c r="L97" s="29">
        <f>IF($A97="","",SUMIFS(전표_원본!$P$5:$P$100000,전표_원본!$O$5:$O$100000,$A97,전표_원본!$M$5:$M$100000,L$5))</f>
        <v/>
      </c>
      <c r="M97" s="29">
        <f>IF($A97="","",SUMIFS(전표_원본!$P$5:$P$100000,전표_원본!$O$5:$O$100000,$A97,전표_원본!$M$5:$M$100000,M$5))</f>
        <v/>
      </c>
      <c r="N97" s="29">
        <f>IF($A97="","",SUMIFS(전표_원본!$P$5:$P$100000,전표_원본!$O$5:$O$100000,$A97,전표_원본!$M$5:$M$100000,N$5))</f>
        <v/>
      </c>
      <c r="O97" s="29">
        <f>IF($A97="","",SUMIFS(전표_원본!$P$5:$P$100000,전표_원본!$O$5:$O$100000,$A97,전표_원본!$M$5:$M$100000,O$5))</f>
        <v/>
      </c>
      <c r="P97" s="29">
        <f>IF($A97="","",SUMIFS(전표_원본!$P$5:$P$100000,전표_원본!$O$5:$O$100000,$A97,전표_원본!$M$5:$M$100000,P$5))</f>
        <v/>
      </c>
      <c r="Q97" s="29">
        <f>IF($A97="","",SUMIFS(전표_원본!$P$5:$P$100000,전표_원본!$O$5:$O$100000,$A97,전표_원본!$M$5:$M$100000,Q$5))</f>
        <v/>
      </c>
      <c r="R97" s="29">
        <f>IF($A97="","",SUMIFS(전표_원본!$P$5:$P$100000,전표_원본!$O$5:$O$100000,$A97,전표_원본!$M$5:$M$100000,R$5))</f>
        <v/>
      </c>
      <c r="S97" s="29">
        <f>IF($A97="","",SUMIFS(전표_원본!$P$5:$P$100000,전표_원본!$O$5:$O$100000,$A97,전표_원본!$M$5:$M$100000,S$5))</f>
        <v/>
      </c>
      <c r="T97" s="29">
        <f>IF($A97="","",SUMIFS(전표_원본!$P$5:$P$100000,전표_원본!$O$5:$O$100000,$A97,전표_원본!$M$5:$M$100000,T$5))</f>
        <v/>
      </c>
      <c r="U97" s="29">
        <f>IF($A97="","",SUMIFS(전표_원본!$P$5:$P$100000,전표_원본!$O$5:$O$100000,$A97,전표_원본!$M$5:$M$100000,U$5))</f>
        <v/>
      </c>
      <c r="V97" s="29">
        <f>IF($A97="","",SUMIFS(전표_원본!$P$5:$P$100000,전표_원본!$O$5:$O$100000,$A97,전표_원본!$M$5:$M$100000,V$5))</f>
        <v/>
      </c>
      <c r="W97" s="29">
        <f>IF($A97="","",SUMIFS(전표_원본!$P$5:$P$100000,전표_원본!$O$5:$O$100000,$A97,전표_원본!$M$5:$M$100000,W$5))</f>
        <v/>
      </c>
      <c r="X97" s="29">
        <f>IF($A97="","",SUMIFS(전표_원본!$P$5:$P$100000,전표_원본!$O$5:$O$100000,$A97,전표_원본!$M$5:$M$100000,X$5))</f>
        <v/>
      </c>
      <c r="Y97" s="29">
        <f>IF($A97="","",SUMIFS(전표_원본!$P$5:$P$100000,전표_원본!$O$5:$O$100000,$A97,전표_원본!$M$5:$M$100000,Y$5))</f>
        <v/>
      </c>
      <c r="Z97" s="29">
        <f>IF($A97="","",SUMIFS(전표_원본!$P$5:$P$100000,전표_원본!$O$5:$O$100000,$A97,전표_원본!$M$5:$M$100000,Z$5))</f>
        <v/>
      </c>
    </row>
    <row r="98">
      <c r="A98" s="22">
        <f>IF(변동분석!$A98="","",변동분석!$E98)</f>
        <v/>
      </c>
      <c r="B98" s="22">
        <f>IF($A98="","",변동분석!$B98&amp;" "&amp;변동분석!$D98)</f>
        <v/>
      </c>
      <c r="C98" s="29">
        <f>IF($A98="","",SUMIFS(전표_원본!$P$5:$P$100000,전표_원본!$O$5:$O$100000,$A98,전표_원본!$M$5:$M$100000,C$5))</f>
        <v/>
      </c>
      <c r="D98" s="29">
        <f>IF($A98="","",SUMIFS(전표_원본!$P$5:$P$100000,전표_원본!$O$5:$O$100000,$A98,전표_원본!$M$5:$M$100000,D$5))</f>
        <v/>
      </c>
      <c r="E98" s="29">
        <f>IF($A98="","",SUMIFS(전표_원본!$P$5:$P$100000,전표_원본!$O$5:$O$100000,$A98,전표_원본!$M$5:$M$100000,E$5))</f>
        <v/>
      </c>
      <c r="F98" s="29">
        <f>IF($A98="","",SUMIFS(전표_원본!$P$5:$P$100000,전표_원본!$O$5:$O$100000,$A98,전표_원본!$M$5:$M$100000,F$5))</f>
        <v/>
      </c>
      <c r="G98" s="29">
        <f>IF($A98="","",SUMIFS(전표_원본!$P$5:$P$100000,전표_원본!$O$5:$O$100000,$A98,전표_원본!$M$5:$M$100000,G$5))</f>
        <v/>
      </c>
      <c r="H98" s="29">
        <f>IF($A98="","",SUMIFS(전표_원본!$P$5:$P$100000,전표_원본!$O$5:$O$100000,$A98,전표_원본!$M$5:$M$100000,H$5))</f>
        <v/>
      </c>
      <c r="I98" s="29">
        <f>IF($A98="","",SUMIFS(전표_원본!$P$5:$P$100000,전표_원본!$O$5:$O$100000,$A98,전표_원본!$M$5:$M$100000,I$5))</f>
        <v/>
      </c>
      <c r="J98" s="29">
        <f>IF($A98="","",SUMIFS(전표_원본!$P$5:$P$100000,전표_원본!$O$5:$O$100000,$A98,전표_원본!$M$5:$M$100000,J$5))</f>
        <v/>
      </c>
      <c r="K98" s="29">
        <f>IF($A98="","",SUMIFS(전표_원본!$P$5:$P$100000,전표_원본!$O$5:$O$100000,$A98,전표_원본!$M$5:$M$100000,K$5))</f>
        <v/>
      </c>
      <c r="L98" s="29">
        <f>IF($A98="","",SUMIFS(전표_원본!$P$5:$P$100000,전표_원본!$O$5:$O$100000,$A98,전표_원본!$M$5:$M$100000,L$5))</f>
        <v/>
      </c>
      <c r="M98" s="29">
        <f>IF($A98="","",SUMIFS(전표_원본!$P$5:$P$100000,전표_원본!$O$5:$O$100000,$A98,전표_원본!$M$5:$M$100000,M$5))</f>
        <v/>
      </c>
      <c r="N98" s="29">
        <f>IF($A98="","",SUMIFS(전표_원본!$P$5:$P$100000,전표_원본!$O$5:$O$100000,$A98,전표_원본!$M$5:$M$100000,N$5))</f>
        <v/>
      </c>
      <c r="O98" s="29">
        <f>IF($A98="","",SUMIFS(전표_원본!$P$5:$P$100000,전표_원본!$O$5:$O$100000,$A98,전표_원본!$M$5:$M$100000,O$5))</f>
        <v/>
      </c>
      <c r="P98" s="29">
        <f>IF($A98="","",SUMIFS(전표_원본!$P$5:$P$100000,전표_원본!$O$5:$O$100000,$A98,전표_원본!$M$5:$M$100000,P$5))</f>
        <v/>
      </c>
      <c r="Q98" s="29">
        <f>IF($A98="","",SUMIFS(전표_원본!$P$5:$P$100000,전표_원본!$O$5:$O$100000,$A98,전표_원본!$M$5:$M$100000,Q$5))</f>
        <v/>
      </c>
      <c r="R98" s="29">
        <f>IF($A98="","",SUMIFS(전표_원본!$P$5:$P$100000,전표_원본!$O$5:$O$100000,$A98,전표_원본!$M$5:$M$100000,R$5))</f>
        <v/>
      </c>
      <c r="S98" s="29">
        <f>IF($A98="","",SUMIFS(전표_원본!$P$5:$P$100000,전표_원본!$O$5:$O$100000,$A98,전표_원본!$M$5:$M$100000,S$5))</f>
        <v/>
      </c>
      <c r="T98" s="29">
        <f>IF($A98="","",SUMIFS(전표_원본!$P$5:$P$100000,전표_원본!$O$5:$O$100000,$A98,전표_원본!$M$5:$M$100000,T$5))</f>
        <v/>
      </c>
      <c r="U98" s="29">
        <f>IF($A98="","",SUMIFS(전표_원본!$P$5:$P$100000,전표_원본!$O$5:$O$100000,$A98,전표_원본!$M$5:$M$100000,U$5))</f>
        <v/>
      </c>
      <c r="V98" s="29">
        <f>IF($A98="","",SUMIFS(전표_원본!$P$5:$P$100000,전표_원본!$O$5:$O$100000,$A98,전표_원본!$M$5:$M$100000,V$5))</f>
        <v/>
      </c>
      <c r="W98" s="29">
        <f>IF($A98="","",SUMIFS(전표_원본!$P$5:$P$100000,전표_원본!$O$5:$O$100000,$A98,전표_원본!$M$5:$M$100000,W$5))</f>
        <v/>
      </c>
      <c r="X98" s="29">
        <f>IF($A98="","",SUMIFS(전표_원본!$P$5:$P$100000,전표_원본!$O$5:$O$100000,$A98,전표_원본!$M$5:$M$100000,X$5))</f>
        <v/>
      </c>
      <c r="Y98" s="29">
        <f>IF($A98="","",SUMIFS(전표_원본!$P$5:$P$100000,전표_원본!$O$5:$O$100000,$A98,전표_원본!$M$5:$M$100000,Y$5))</f>
        <v/>
      </c>
      <c r="Z98" s="29">
        <f>IF($A98="","",SUMIFS(전표_원본!$P$5:$P$100000,전표_원본!$O$5:$O$100000,$A98,전표_원본!$M$5:$M$100000,Z$5))</f>
        <v/>
      </c>
    </row>
    <row r="99">
      <c r="A99" s="22">
        <f>IF(변동분석!$A99="","",변동분석!$E99)</f>
        <v/>
      </c>
      <c r="B99" s="22">
        <f>IF($A99="","",변동분석!$B99&amp;" "&amp;변동분석!$D99)</f>
        <v/>
      </c>
      <c r="C99" s="29">
        <f>IF($A99="","",SUMIFS(전표_원본!$P$5:$P$100000,전표_원본!$O$5:$O$100000,$A99,전표_원본!$M$5:$M$100000,C$5))</f>
        <v/>
      </c>
      <c r="D99" s="29">
        <f>IF($A99="","",SUMIFS(전표_원본!$P$5:$P$100000,전표_원본!$O$5:$O$100000,$A99,전표_원본!$M$5:$M$100000,D$5))</f>
        <v/>
      </c>
      <c r="E99" s="29">
        <f>IF($A99="","",SUMIFS(전표_원본!$P$5:$P$100000,전표_원본!$O$5:$O$100000,$A99,전표_원본!$M$5:$M$100000,E$5))</f>
        <v/>
      </c>
      <c r="F99" s="29">
        <f>IF($A99="","",SUMIFS(전표_원본!$P$5:$P$100000,전표_원본!$O$5:$O$100000,$A99,전표_원본!$M$5:$M$100000,F$5))</f>
        <v/>
      </c>
      <c r="G99" s="29">
        <f>IF($A99="","",SUMIFS(전표_원본!$P$5:$P$100000,전표_원본!$O$5:$O$100000,$A99,전표_원본!$M$5:$M$100000,G$5))</f>
        <v/>
      </c>
      <c r="H99" s="29">
        <f>IF($A99="","",SUMIFS(전표_원본!$P$5:$P$100000,전표_원본!$O$5:$O$100000,$A99,전표_원본!$M$5:$M$100000,H$5))</f>
        <v/>
      </c>
      <c r="I99" s="29">
        <f>IF($A99="","",SUMIFS(전표_원본!$P$5:$P$100000,전표_원본!$O$5:$O$100000,$A99,전표_원본!$M$5:$M$100000,I$5))</f>
        <v/>
      </c>
      <c r="J99" s="29">
        <f>IF($A99="","",SUMIFS(전표_원본!$P$5:$P$100000,전표_원본!$O$5:$O$100000,$A99,전표_원본!$M$5:$M$100000,J$5))</f>
        <v/>
      </c>
      <c r="K99" s="29">
        <f>IF($A99="","",SUMIFS(전표_원본!$P$5:$P$100000,전표_원본!$O$5:$O$100000,$A99,전표_원본!$M$5:$M$100000,K$5))</f>
        <v/>
      </c>
      <c r="L99" s="29">
        <f>IF($A99="","",SUMIFS(전표_원본!$P$5:$P$100000,전표_원본!$O$5:$O$100000,$A99,전표_원본!$M$5:$M$100000,L$5))</f>
        <v/>
      </c>
      <c r="M99" s="29">
        <f>IF($A99="","",SUMIFS(전표_원본!$P$5:$P$100000,전표_원본!$O$5:$O$100000,$A99,전표_원본!$M$5:$M$100000,M$5))</f>
        <v/>
      </c>
      <c r="N99" s="29">
        <f>IF($A99="","",SUMIFS(전표_원본!$P$5:$P$100000,전표_원본!$O$5:$O$100000,$A99,전표_원본!$M$5:$M$100000,N$5))</f>
        <v/>
      </c>
      <c r="O99" s="29">
        <f>IF($A99="","",SUMIFS(전표_원본!$P$5:$P$100000,전표_원본!$O$5:$O$100000,$A99,전표_원본!$M$5:$M$100000,O$5))</f>
        <v/>
      </c>
      <c r="P99" s="29">
        <f>IF($A99="","",SUMIFS(전표_원본!$P$5:$P$100000,전표_원본!$O$5:$O$100000,$A99,전표_원본!$M$5:$M$100000,P$5))</f>
        <v/>
      </c>
      <c r="Q99" s="29">
        <f>IF($A99="","",SUMIFS(전표_원본!$P$5:$P$100000,전표_원본!$O$5:$O$100000,$A99,전표_원본!$M$5:$M$100000,Q$5))</f>
        <v/>
      </c>
      <c r="R99" s="29">
        <f>IF($A99="","",SUMIFS(전표_원본!$P$5:$P$100000,전표_원본!$O$5:$O$100000,$A99,전표_원본!$M$5:$M$100000,R$5))</f>
        <v/>
      </c>
      <c r="S99" s="29">
        <f>IF($A99="","",SUMIFS(전표_원본!$P$5:$P$100000,전표_원본!$O$5:$O$100000,$A99,전표_원본!$M$5:$M$100000,S$5))</f>
        <v/>
      </c>
      <c r="T99" s="29">
        <f>IF($A99="","",SUMIFS(전표_원본!$P$5:$P$100000,전표_원본!$O$5:$O$100000,$A99,전표_원본!$M$5:$M$100000,T$5))</f>
        <v/>
      </c>
      <c r="U99" s="29">
        <f>IF($A99="","",SUMIFS(전표_원본!$P$5:$P$100000,전표_원본!$O$5:$O$100000,$A99,전표_원본!$M$5:$M$100000,U$5))</f>
        <v/>
      </c>
      <c r="V99" s="29">
        <f>IF($A99="","",SUMIFS(전표_원본!$P$5:$P$100000,전표_원본!$O$5:$O$100000,$A99,전표_원본!$M$5:$M$100000,V$5))</f>
        <v/>
      </c>
      <c r="W99" s="29">
        <f>IF($A99="","",SUMIFS(전표_원본!$P$5:$P$100000,전표_원본!$O$5:$O$100000,$A99,전표_원본!$M$5:$M$100000,W$5))</f>
        <v/>
      </c>
      <c r="X99" s="29">
        <f>IF($A99="","",SUMIFS(전표_원본!$P$5:$P$100000,전표_원본!$O$5:$O$100000,$A99,전표_원본!$M$5:$M$100000,X$5))</f>
        <v/>
      </c>
      <c r="Y99" s="29">
        <f>IF($A99="","",SUMIFS(전표_원본!$P$5:$P$100000,전표_원본!$O$5:$O$100000,$A99,전표_원본!$M$5:$M$100000,Y$5))</f>
        <v/>
      </c>
      <c r="Z99" s="29">
        <f>IF($A99="","",SUMIFS(전표_원본!$P$5:$P$100000,전표_원본!$O$5:$O$100000,$A99,전표_원본!$M$5:$M$100000,Z$5))</f>
        <v/>
      </c>
    </row>
    <row r="100">
      <c r="A100" s="22">
        <f>IF(변동분석!$A100="","",변동분석!$E100)</f>
        <v/>
      </c>
      <c r="B100" s="22">
        <f>IF($A100="","",변동분석!$B100&amp;" "&amp;변동분석!$D100)</f>
        <v/>
      </c>
      <c r="C100" s="29">
        <f>IF($A100="","",SUMIFS(전표_원본!$P$5:$P$100000,전표_원본!$O$5:$O$100000,$A100,전표_원본!$M$5:$M$100000,C$5))</f>
        <v/>
      </c>
      <c r="D100" s="29">
        <f>IF($A100="","",SUMIFS(전표_원본!$P$5:$P$100000,전표_원본!$O$5:$O$100000,$A100,전표_원본!$M$5:$M$100000,D$5))</f>
        <v/>
      </c>
      <c r="E100" s="29">
        <f>IF($A100="","",SUMIFS(전표_원본!$P$5:$P$100000,전표_원본!$O$5:$O$100000,$A100,전표_원본!$M$5:$M$100000,E$5))</f>
        <v/>
      </c>
      <c r="F100" s="29">
        <f>IF($A100="","",SUMIFS(전표_원본!$P$5:$P$100000,전표_원본!$O$5:$O$100000,$A100,전표_원본!$M$5:$M$100000,F$5))</f>
        <v/>
      </c>
      <c r="G100" s="29">
        <f>IF($A100="","",SUMIFS(전표_원본!$P$5:$P$100000,전표_원본!$O$5:$O$100000,$A100,전표_원본!$M$5:$M$100000,G$5))</f>
        <v/>
      </c>
      <c r="H100" s="29">
        <f>IF($A100="","",SUMIFS(전표_원본!$P$5:$P$100000,전표_원본!$O$5:$O$100000,$A100,전표_원본!$M$5:$M$100000,H$5))</f>
        <v/>
      </c>
      <c r="I100" s="29">
        <f>IF($A100="","",SUMIFS(전표_원본!$P$5:$P$100000,전표_원본!$O$5:$O$100000,$A100,전표_원본!$M$5:$M$100000,I$5))</f>
        <v/>
      </c>
      <c r="J100" s="29">
        <f>IF($A100="","",SUMIFS(전표_원본!$P$5:$P$100000,전표_원본!$O$5:$O$100000,$A100,전표_원본!$M$5:$M$100000,J$5))</f>
        <v/>
      </c>
      <c r="K100" s="29">
        <f>IF($A100="","",SUMIFS(전표_원본!$P$5:$P$100000,전표_원본!$O$5:$O$100000,$A100,전표_원본!$M$5:$M$100000,K$5))</f>
        <v/>
      </c>
      <c r="L100" s="29">
        <f>IF($A100="","",SUMIFS(전표_원본!$P$5:$P$100000,전표_원본!$O$5:$O$100000,$A100,전표_원본!$M$5:$M$100000,L$5))</f>
        <v/>
      </c>
      <c r="M100" s="29">
        <f>IF($A100="","",SUMIFS(전표_원본!$P$5:$P$100000,전표_원본!$O$5:$O$100000,$A100,전표_원본!$M$5:$M$100000,M$5))</f>
        <v/>
      </c>
      <c r="N100" s="29">
        <f>IF($A100="","",SUMIFS(전표_원본!$P$5:$P$100000,전표_원본!$O$5:$O$100000,$A100,전표_원본!$M$5:$M$100000,N$5))</f>
        <v/>
      </c>
      <c r="O100" s="29">
        <f>IF($A100="","",SUMIFS(전표_원본!$P$5:$P$100000,전표_원본!$O$5:$O$100000,$A100,전표_원본!$M$5:$M$100000,O$5))</f>
        <v/>
      </c>
      <c r="P100" s="29">
        <f>IF($A100="","",SUMIFS(전표_원본!$P$5:$P$100000,전표_원본!$O$5:$O$100000,$A100,전표_원본!$M$5:$M$100000,P$5))</f>
        <v/>
      </c>
      <c r="Q100" s="29">
        <f>IF($A100="","",SUMIFS(전표_원본!$P$5:$P$100000,전표_원본!$O$5:$O$100000,$A100,전표_원본!$M$5:$M$100000,Q$5))</f>
        <v/>
      </c>
      <c r="R100" s="29">
        <f>IF($A100="","",SUMIFS(전표_원본!$P$5:$P$100000,전표_원본!$O$5:$O$100000,$A100,전표_원본!$M$5:$M$100000,R$5))</f>
        <v/>
      </c>
      <c r="S100" s="29">
        <f>IF($A100="","",SUMIFS(전표_원본!$P$5:$P$100000,전표_원본!$O$5:$O$100000,$A100,전표_원본!$M$5:$M$100000,S$5))</f>
        <v/>
      </c>
      <c r="T100" s="29">
        <f>IF($A100="","",SUMIFS(전표_원본!$P$5:$P$100000,전표_원본!$O$5:$O$100000,$A100,전표_원본!$M$5:$M$100000,T$5))</f>
        <v/>
      </c>
      <c r="U100" s="29">
        <f>IF($A100="","",SUMIFS(전표_원본!$P$5:$P$100000,전표_원본!$O$5:$O$100000,$A100,전표_원본!$M$5:$M$100000,U$5))</f>
        <v/>
      </c>
      <c r="V100" s="29">
        <f>IF($A100="","",SUMIFS(전표_원본!$P$5:$P$100000,전표_원본!$O$5:$O$100000,$A100,전표_원본!$M$5:$M$100000,V$5))</f>
        <v/>
      </c>
      <c r="W100" s="29">
        <f>IF($A100="","",SUMIFS(전표_원본!$P$5:$P$100000,전표_원본!$O$5:$O$100000,$A100,전표_원본!$M$5:$M$100000,W$5))</f>
        <v/>
      </c>
      <c r="X100" s="29">
        <f>IF($A100="","",SUMIFS(전표_원본!$P$5:$P$100000,전표_원본!$O$5:$O$100000,$A100,전표_원본!$M$5:$M$100000,X$5))</f>
        <v/>
      </c>
      <c r="Y100" s="29">
        <f>IF($A100="","",SUMIFS(전표_원본!$P$5:$P$100000,전표_원본!$O$5:$O$100000,$A100,전표_원본!$M$5:$M$100000,Y$5))</f>
        <v/>
      </c>
      <c r="Z100" s="29">
        <f>IF($A100="","",SUMIFS(전표_원본!$P$5:$P$100000,전표_원본!$O$5:$O$100000,$A100,전표_원본!$M$5:$M$100000,Z$5))</f>
        <v/>
      </c>
    </row>
    <row r="101">
      <c r="A101" s="22">
        <f>IF(변동분석!$A101="","",변동분석!$E101)</f>
        <v/>
      </c>
      <c r="B101" s="22">
        <f>IF($A101="","",변동분석!$B101&amp;" "&amp;변동분석!$D101)</f>
        <v/>
      </c>
      <c r="C101" s="29">
        <f>IF($A101="","",SUMIFS(전표_원본!$P$5:$P$100000,전표_원본!$O$5:$O$100000,$A101,전표_원본!$M$5:$M$100000,C$5))</f>
        <v/>
      </c>
      <c r="D101" s="29">
        <f>IF($A101="","",SUMIFS(전표_원본!$P$5:$P$100000,전표_원본!$O$5:$O$100000,$A101,전표_원본!$M$5:$M$100000,D$5))</f>
        <v/>
      </c>
      <c r="E101" s="29">
        <f>IF($A101="","",SUMIFS(전표_원본!$P$5:$P$100000,전표_원본!$O$5:$O$100000,$A101,전표_원본!$M$5:$M$100000,E$5))</f>
        <v/>
      </c>
      <c r="F101" s="29">
        <f>IF($A101="","",SUMIFS(전표_원본!$P$5:$P$100000,전표_원본!$O$5:$O$100000,$A101,전표_원본!$M$5:$M$100000,F$5))</f>
        <v/>
      </c>
      <c r="G101" s="29">
        <f>IF($A101="","",SUMIFS(전표_원본!$P$5:$P$100000,전표_원본!$O$5:$O$100000,$A101,전표_원본!$M$5:$M$100000,G$5))</f>
        <v/>
      </c>
      <c r="H101" s="29">
        <f>IF($A101="","",SUMIFS(전표_원본!$P$5:$P$100000,전표_원본!$O$5:$O$100000,$A101,전표_원본!$M$5:$M$100000,H$5))</f>
        <v/>
      </c>
      <c r="I101" s="29">
        <f>IF($A101="","",SUMIFS(전표_원본!$P$5:$P$100000,전표_원본!$O$5:$O$100000,$A101,전표_원본!$M$5:$M$100000,I$5))</f>
        <v/>
      </c>
      <c r="J101" s="29">
        <f>IF($A101="","",SUMIFS(전표_원본!$P$5:$P$100000,전표_원본!$O$5:$O$100000,$A101,전표_원본!$M$5:$M$100000,J$5))</f>
        <v/>
      </c>
      <c r="K101" s="29">
        <f>IF($A101="","",SUMIFS(전표_원본!$P$5:$P$100000,전표_원본!$O$5:$O$100000,$A101,전표_원본!$M$5:$M$100000,K$5))</f>
        <v/>
      </c>
      <c r="L101" s="29">
        <f>IF($A101="","",SUMIFS(전표_원본!$P$5:$P$100000,전표_원본!$O$5:$O$100000,$A101,전표_원본!$M$5:$M$100000,L$5))</f>
        <v/>
      </c>
      <c r="M101" s="29">
        <f>IF($A101="","",SUMIFS(전표_원본!$P$5:$P$100000,전표_원본!$O$5:$O$100000,$A101,전표_원본!$M$5:$M$100000,M$5))</f>
        <v/>
      </c>
      <c r="N101" s="29">
        <f>IF($A101="","",SUMIFS(전표_원본!$P$5:$P$100000,전표_원본!$O$5:$O$100000,$A101,전표_원본!$M$5:$M$100000,N$5))</f>
        <v/>
      </c>
      <c r="O101" s="29">
        <f>IF($A101="","",SUMIFS(전표_원본!$P$5:$P$100000,전표_원본!$O$5:$O$100000,$A101,전표_원본!$M$5:$M$100000,O$5))</f>
        <v/>
      </c>
      <c r="P101" s="29">
        <f>IF($A101="","",SUMIFS(전표_원본!$P$5:$P$100000,전표_원본!$O$5:$O$100000,$A101,전표_원본!$M$5:$M$100000,P$5))</f>
        <v/>
      </c>
      <c r="Q101" s="29">
        <f>IF($A101="","",SUMIFS(전표_원본!$P$5:$P$100000,전표_원본!$O$5:$O$100000,$A101,전표_원본!$M$5:$M$100000,Q$5))</f>
        <v/>
      </c>
      <c r="R101" s="29">
        <f>IF($A101="","",SUMIFS(전표_원본!$P$5:$P$100000,전표_원본!$O$5:$O$100000,$A101,전표_원본!$M$5:$M$100000,R$5))</f>
        <v/>
      </c>
      <c r="S101" s="29">
        <f>IF($A101="","",SUMIFS(전표_원본!$P$5:$P$100000,전표_원본!$O$5:$O$100000,$A101,전표_원본!$M$5:$M$100000,S$5))</f>
        <v/>
      </c>
      <c r="T101" s="29">
        <f>IF($A101="","",SUMIFS(전표_원본!$P$5:$P$100000,전표_원본!$O$5:$O$100000,$A101,전표_원본!$M$5:$M$100000,T$5))</f>
        <v/>
      </c>
      <c r="U101" s="29">
        <f>IF($A101="","",SUMIFS(전표_원본!$P$5:$P$100000,전표_원본!$O$5:$O$100000,$A101,전표_원본!$M$5:$M$100000,U$5))</f>
        <v/>
      </c>
      <c r="V101" s="29">
        <f>IF($A101="","",SUMIFS(전표_원본!$P$5:$P$100000,전표_원본!$O$5:$O$100000,$A101,전표_원본!$M$5:$M$100000,V$5))</f>
        <v/>
      </c>
      <c r="W101" s="29">
        <f>IF($A101="","",SUMIFS(전표_원본!$P$5:$P$100000,전표_원본!$O$5:$O$100000,$A101,전표_원본!$M$5:$M$100000,W$5))</f>
        <v/>
      </c>
      <c r="X101" s="29">
        <f>IF($A101="","",SUMIFS(전표_원본!$P$5:$P$100000,전표_원본!$O$5:$O$100000,$A101,전표_원본!$M$5:$M$100000,X$5))</f>
        <v/>
      </c>
      <c r="Y101" s="29">
        <f>IF($A101="","",SUMIFS(전표_원본!$P$5:$P$100000,전표_원본!$O$5:$O$100000,$A101,전표_원본!$M$5:$M$100000,Y$5))</f>
        <v/>
      </c>
      <c r="Z101" s="29">
        <f>IF($A101="","",SUMIFS(전표_원본!$P$5:$P$100000,전표_원본!$O$5:$O$100000,$A101,전표_원본!$M$5:$M$100000,Z$5))</f>
        <v/>
      </c>
    </row>
    <row r="102">
      <c r="A102" s="22">
        <f>IF(변동분석!$A102="","",변동분석!$E102)</f>
        <v/>
      </c>
      <c r="B102" s="22">
        <f>IF($A102="","",변동분석!$B102&amp;" "&amp;변동분석!$D102)</f>
        <v/>
      </c>
      <c r="C102" s="29">
        <f>IF($A102="","",SUMIFS(전표_원본!$P$5:$P$100000,전표_원본!$O$5:$O$100000,$A102,전표_원본!$M$5:$M$100000,C$5))</f>
        <v/>
      </c>
      <c r="D102" s="29">
        <f>IF($A102="","",SUMIFS(전표_원본!$P$5:$P$100000,전표_원본!$O$5:$O$100000,$A102,전표_원본!$M$5:$M$100000,D$5))</f>
        <v/>
      </c>
      <c r="E102" s="29">
        <f>IF($A102="","",SUMIFS(전표_원본!$P$5:$P$100000,전표_원본!$O$5:$O$100000,$A102,전표_원본!$M$5:$M$100000,E$5))</f>
        <v/>
      </c>
      <c r="F102" s="29">
        <f>IF($A102="","",SUMIFS(전표_원본!$P$5:$P$100000,전표_원본!$O$5:$O$100000,$A102,전표_원본!$M$5:$M$100000,F$5))</f>
        <v/>
      </c>
      <c r="G102" s="29">
        <f>IF($A102="","",SUMIFS(전표_원본!$P$5:$P$100000,전표_원본!$O$5:$O$100000,$A102,전표_원본!$M$5:$M$100000,G$5))</f>
        <v/>
      </c>
      <c r="H102" s="29">
        <f>IF($A102="","",SUMIFS(전표_원본!$P$5:$P$100000,전표_원본!$O$5:$O$100000,$A102,전표_원본!$M$5:$M$100000,H$5))</f>
        <v/>
      </c>
      <c r="I102" s="29">
        <f>IF($A102="","",SUMIFS(전표_원본!$P$5:$P$100000,전표_원본!$O$5:$O$100000,$A102,전표_원본!$M$5:$M$100000,I$5))</f>
        <v/>
      </c>
      <c r="J102" s="29">
        <f>IF($A102="","",SUMIFS(전표_원본!$P$5:$P$100000,전표_원본!$O$5:$O$100000,$A102,전표_원본!$M$5:$M$100000,J$5))</f>
        <v/>
      </c>
      <c r="K102" s="29">
        <f>IF($A102="","",SUMIFS(전표_원본!$P$5:$P$100000,전표_원본!$O$5:$O$100000,$A102,전표_원본!$M$5:$M$100000,K$5))</f>
        <v/>
      </c>
      <c r="L102" s="29">
        <f>IF($A102="","",SUMIFS(전표_원본!$P$5:$P$100000,전표_원본!$O$5:$O$100000,$A102,전표_원본!$M$5:$M$100000,L$5))</f>
        <v/>
      </c>
      <c r="M102" s="29">
        <f>IF($A102="","",SUMIFS(전표_원본!$P$5:$P$100000,전표_원본!$O$5:$O$100000,$A102,전표_원본!$M$5:$M$100000,M$5))</f>
        <v/>
      </c>
      <c r="N102" s="29">
        <f>IF($A102="","",SUMIFS(전표_원본!$P$5:$P$100000,전표_원본!$O$5:$O$100000,$A102,전표_원본!$M$5:$M$100000,N$5))</f>
        <v/>
      </c>
      <c r="O102" s="29">
        <f>IF($A102="","",SUMIFS(전표_원본!$P$5:$P$100000,전표_원본!$O$5:$O$100000,$A102,전표_원본!$M$5:$M$100000,O$5))</f>
        <v/>
      </c>
      <c r="P102" s="29">
        <f>IF($A102="","",SUMIFS(전표_원본!$P$5:$P$100000,전표_원본!$O$5:$O$100000,$A102,전표_원본!$M$5:$M$100000,P$5))</f>
        <v/>
      </c>
      <c r="Q102" s="29">
        <f>IF($A102="","",SUMIFS(전표_원본!$P$5:$P$100000,전표_원본!$O$5:$O$100000,$A102,전표_원본!$M$5:$M$100000,Q$5))</f>
        <v/>
      </c>
      <c r="R102" s="29">
        <f>IF($A102="","",SUMIFS(전표_원본!$P$5:$P$100000,전표_원본!$O$5:$O$100000,$A102,전표_원본!$M$5:$M$100000,R$5))</f>
        <v/>
      </c>
      <c r="S102" s="29">
        <f>IF($A102="","",SUMIFS(전표_원본!$P$5:$P$100000,전표_원본!$O$5:$O$100000,$A102,전표_원본!$M$5:$M$100000,S$5))</f>
        <v/>
      </c>
      <c r="T102" s="29">
        <f>IF($A102="","",SUMIFS(전표_원본!$P$5:$P$100000,전표_원본!$O$5:$O$100000,$A102,전표_원본!$M$5:$M$100000,T$5))</f>
        <v/>
      </c>
      <c r="U102" s="29">
        <f>IF($A102="","",SUMIFS(전표_원본!$P$5:$P$100000,전표_원본!$O$5:$O$100000,$A102,전표_원본!$M$5:$M$100000,U$5))</f>
        <v/>
      </c>
      <c r="V102" s="29">
        <f>IF($A102="","",SUMIFS(전표_원본!$P$5:$P$100000,전표_원본!$O$5:$O$100000,$A102,전표_원본!$M$5:$M$100000,V$5))</f>
        <v/>
      </c>
      <c r="W102" s="29">
        <f>IF($A102="","",SUMIFS(전표_원본!$P$5:$P$100000,전표_원본!$O$5:$O$100000,$A102,전표_원본!$M$5:$M$100000,W$5))</f>
        <v/>
      </c>
      <c r="X102" s="29">
        <f>IF($A102="","",SUMIFS(전표_원본!$P$5:$P$100000,전표_원본!$O$5:$O$100000,$A102,전표_원본!$M$5:$M$100000,X$5))</f>
        <v/>
      </c>
      <c r="Y102" s="29">
        <f>IF($A102="","",SUMIFS(전표_원본!$P$5:$P$100000,전표_원본!$O$5:$O$100000,$A102,전표_원본!$M$5:$M$100000,Y$5))</f>
        <v/>
      </c>
      <c r="Z102" s="29">
        <f>IF($A102="","",SUMIFS(전표_원본!$P$5:$P$100000,전표_원본!$O$5:$O$100000,$A102,전표_원본!$M$5:$M$100000,Z$5))</f>
        <v/>
      </c>
    </row>
    <row r="103">
      <c r="A103" s="22">
        <f>IF(변동분석!$A103="","",변동분석!$E103)</f>
        <v/>
      </c>
      <c r="B103" s="22">
        <f>IF($A103="","",변동분석!$B103&amp;" "&amp;변동분석!$D103)</f>
        <v/>
      </c>
      <c r="C103" s="29">
        <f>IF($A103="","",SUMIFS(전표_원본!$P$5:$P$100000,전표_원본!$O$5:$O$100000,$A103,전표_원본!$M$5:$M$100000,C$5))</f>
        <v/>
      </c>
      <c r="D103" s="29">
        <f>IF($A103="","",SUMIFS(전표_원본!$P$5:$P$100000,전표_원본!$O$5:$O$100000,$A103,전표_원본!$M$5:$M$100000,D$5))</f>
        <v/>
      </c>
      <c r="E103" s="29">
        <f>IF($A103="","",SUMIFS(전표_원본!$P$5:$P$100000,전표_원본!$O$5:$O$100000,$A103,전표_원본!$M$5:$M$100000,E$5))</f>
        <v/>
      </c>
      <c r="F103" s="29">
        <f>IF($A103="","",SUMIFS(전표_원본!$P$5:$P$100000,전표_원본!$O$5:$O$100000,$A103,전표_원본!$M$5:$M$100000,F$5))</f>
        <v/>
      </c>
      <c r="G103" s="29">
        <f>IF($A103="","",SUMIFS(전표_원본!$P$5:$P$100000,전표_원본!$O$5:$O$100000,$A103,전표_원본!$M$5:$M$100000,G$5))</f>
        <v/>
      </c>
      <c r="H103" s="29">
        <f>IF($A103="","",SUMIFS(전표_원본!$P$5:$P$100000,전표_원본!$O$5:$O$100000,$A103,전표_원본!$M$5:$M$100000,H$5))</f>
        <v/>
      </c>
      <c r="I103" s="29">
        <f>IF($A103="","",SUMIFS(전표_원본!$P$5:$P$100000,전표_원본!$O$5:$O$100000,$A103,전표_원본!$M$5:$M$100000,I$5))</f>
        <v/>
      </c>
      <c r="J103" s="29">
        <f>IF($A103="","",SUMIFS(전표_원본!$P$5:$P$100000,전표_원본!$O$5:$O$100000,$A103,전표_원본!$M$5:$M$100000,J$5))</f>
        <v/>
      </c>
      <c r="K103" s="29">
        <f>IF($A103="","",SUMIFS(전표_원본!$P$5:$P$100000,전표_원본!$O$5:$O$100000,$A103,전표_원본!$M$5:$M$100000,K$5))</f>
        <v/>
      </c>
      <c r="L103" s="29">
        <f>IF($A103="","",SUMIFS(전표_원본!$P$5:$P$100000,전표_원본!$O$5:$O$100000,$A103,전표_원본!$M$5:$M$100000,L$5))</f>
        <v/>
      </c>
      <c r="M103" s="29">
        <f>IF($A103="","",SUMIFS(전표_원본!$P$5:$P$100000,전표_원본!$O$5:$O$100000,$A103,전표_원본!$M$5:$M$100000,M$5))</f>
        <v/>
      </c>
      <c r="N103" s="29">
        <f>IF($A103="","",SUMIFS(전표_원본!$P$5:$P$100000,전표_원본!$O$5:$O$100000,$A103,전표_원본!$M$5:$M$100000,N$5))</f>
        <v/>
      </c>
      <c r="O103" s="29">
        <f>IF($A103="","",SUMIFS(전표_원본!$P$5:$P$100000,전표_원본!$O$5:$O$100000,$A103,전표_원본!$M$5:$M$100000,O$5))</f>
        <v/>
      </c>
      <c r="P103" s="29">
        <f>IF($A103="","",SUMIFS(전표_원본!$P$5:$P$100000,전표_원본!$O$5:$O$100000,$A103,전표_원본!$M$5:$M$100000,P$5))</f>
        <v/>
      </c>
      <c r="Q103" s="29">
        <f>IF($A103="","",SUMIFS(전표_원본!$P$5:$P$100000,전표_원본!$O$5:$O$100000,$A103,전표_원본!$M$5:$M$100000,Q$5))</f>
        <v/>
      </c>
      <c r="R103" s="29">
        <f>IF($A103="","",SUMIFS(전표_원본!$P$5:$P$100000,전표_원본!$O$5:$O$100000,$A103,전표_원본!$M$5:$M$100000,R$5))</f>
        <v/>
      </c>
      <c r="S103" s="29">
        <f>IF($A103="","",SUMIFS(전표_원본!$P$5:$P$100000,전표_원본!$O$5:$O$100000,$A103,전표_원본!$M$5:$M$100000,S$5))</f>
        <v/>
      </c>
      <c r="T103" s="29">
        <f>IF($A103="","",SUMIFS(전표_원본!$P$5:$P$100000,전표_원본!$O$5:$O$100000,$A103,전표_원본!$M$5:$M$100000,T$5))</f>
        <v/>
      </c>
      <c r="U103" s="29">
        <f>IF($A103="","",SUMIFS(전표_원본!$P$5:$P$100000,전표_원본!$O$5:$O$100000,$A103,전표_원본!$M$5:$M$100000,U$5))</f>
        <v/>
      </c>
      <c r="V103" s="29">
        <f>IF($A103="","",SUMIFS(전표_원본!$P$5:$P$100000,전표_원본!$O$5:$O$100000,$A103,전표_원본!$M$5:$M$100000,V$5))</f>
        <v/>
      </c>
      <c r="W103" s="29">
        <f>IF($A103="","",SUMIFS(전표_원본!$P$5:$P$100000,전표_원본!$O$5:$O$100000,$A103,전표_원본!$M$5:$M$100000,W$5))</f>
        <v/>
      </c>
      <c r="X103" s="29">
        <f>IF($A103="","",SUMIFS(전표_원본!$P$5:$P$100000,전표_원본!$O$5:$O$100000,$A103,전표_원본!$M$5:$M$100000,X$5))</f>
        <v/>
      </c>
      <c r="Y103" s="29">
        <f>IF($A103="","",SUMIFS(전표_원본!$P$5:$P$100000,전표_원본!$O$5:$O$100000,$A103,전표_원본!$M$5:$M$100000,Y$5))</f>
        <v/>
      </c>
      <c r="Z103" s="29">
        <f>IF($A103="","",SUMIFS(전표_원본!$P$5:$P$100000,전표_원본!$O$5:$O$100000,$A103,전표_원본!$M$5:$M$100000,Z$5))</f>
        <v/>
      </c>
    </row>
    <row r="104">
      <c r="A104" s="22">
        <f>IF(변동분석!$A104="","",변동분석!$E104)</f>
        <v/>
      </c>
      <c r="B104" s="22">
        <f>IF($A104="","",변동분석!$B104&amp;" "&amp;변동분석!$D104)</f>
        <v/>
      </c>
      <c r="C104" s="29">
        <f>IF($A104="","",SUMIFS(전표_원본!$P$5:$P$100000,전표_원본!$O$5:$O$100000,$A104,전표_원본!$M$5:$M$100000,C$5))</f>
        <v/>
      </c>
      <c r="D104" s="29">
        <f>IF($A104="","",SUMIFS(전표_원본!$P$5:$P$100000,전표_원본!$O$5:$O$100000,$A104,전표_원본!$M$5:$M$100000,D$5))</f>
        <v/>
      </c>
      <c r="E104" s="29">
        <f>IF($A104="","",SUMIFS(전표_원본!$P$5:$P$100000,전표_원본!$O$5:$O$100000,$A104,전표_원본!$M$5:$M$100000,E$5))</f>
        <v/>
      </c>
      <c r="F104" s="29">
        <f>IF($A104="","",SUMIFS(전표_원본!$P$5:$P$100000,전표_원본!$O$5:$O$100000,$A104,전표_원본!$M$5:$M$100000,F$5))</f>
        <v/>
      </c>
      <c r="G104" s="29">
        <f>IF($A104="","",SUMIFS(전표_원본!$P$5:$P$100000,전표_원본!$O$5:$O$100000,$A104,전표_원본!$M$5:$M$100000,G$5))</f>
        <v/>
      </c>
      <c r="H104" s="29">
        <f>IF($A104="","",SUMIFS(전표_원본!$P$5:$P$100000,전표_원본!$O$5:$O$100000,$A104,전표_원본!$M$5:$M$100000,H$5))</f>
        <v/>
      </c>
      <c r="I104" s="29">
        <f>IF($A104="","",SUMIFS(전표_원본!$P$5:$P$100000,전표_원본!$O$5:$O$100000,$A104,전표_원본!$M$5:$M$100000,I$5))</f>
        <v/>
      </c>
      <c r="J104" s="29">
        <f>IF($A104="","",SUMIFS(전표_원본!$P$5:$P$100000,전표_원본!$O$5:$O$100000,$A104,전표_원본!$M$5:$M$100000,J$5))</f>
        <v/>
      </c>
      <c r="K104" s="29">
        <f>IF($A104="","",SUMIFS(전표_원본!$P$5:$P$100000,전표_원본!$O$5:$O$100000,$A104,전표_원본!$M$5:$M$100000,K$5))</f>
        <v/>
      </c>
      <c r="L104" s="29">
        <f>IF($A104="","",SUMIFS(전표_원본!$P$5:$P$100000,전표_원본!$O$5:$O$100000,$A104,전표_원본!$M$5:$M$100000,L$5))</f>
        <v/>
      </c>
      <c r="M104" s="29">
        <f>IF($A104="","",SUMIFS(전표_원본!$P$5:$P$100000,전표_원본!$O$5:$O$100000,$A104,전표_원본!$M$5:$M$100000,M$5))</f>
        <v/>
      </c>
      <c r="N104" s="29">
        <f>IF($A104="","",SUMIFS(전표_원본!$P$5:$P$100000,전표_원본!$O$5:$O$100000,$A104,전표_원본!$M$5:$M$100000,N$5))</f>
        <v/>
      </c>
      <c r="O104" s="29">
        <f>IF($A104="","",SUMIFS(전표_원본!$P$5:$P$100000,전표_원본!$O$5:$O$100000,$A104,전표_원본!$M$5:$M$100000,O$5))</f>
        <v/>
      </c>
      <c r="P104" s="29">
        <f>IF($A104="","",SUMIFS(전표_원본!$P$5:$P$100000,전표_원본!$O$5:$O$100000,$A104,전표_원본!$M$5:$M$100000,P$5))</f>
        <v/>
      </c>
      <c r="Q104" s="29">
        <f>IF($A104="","",SUMIFS(전표_원본!$P$5:$P$100000,전표_원본!$O$5:$O$100000,$A104,전표_원본!$M$5:$M$100000,Q$5))</f>
        <v/>
      </c>
      <c r="R104" s="29">
        <f>IF($A104="","",SUMIFS(전표_원본!$P$5:$P$100000,전표_원본!$O$5:$O$100000,$A104,전표_원본!$M$5:$M$100000,R$5))</f>
        <v/>
      </c>
      <c r="S104" s="29">
        <f>IF($A104="","",SUMIFS(전표_원본!$P$5:$P$100000,전표_원본!$O$5:$O$100000,$A104,전표_원본!$M$5:$M$100000,S$5))</f>
        <v/>
      </c>
      <c r="T104" s="29">
        <f>IF($A104="","",SUMIFS(전표_원본!$P$5:$P$100000,전표_원본!$O$5:$O$100000,$A104,전표_원본!$M$5:$M$100000,T$5))</f>
        <v/>
      </c>
      <c r="U104" s="29">
        <f>IF($A104="","",SUMIFS(전표_원본!$P$5:$P$100000,전표_원본!$O$5:$O$100000,$A104,전표_원본!$M$5:$M$100000,U$5))</f>
        <v/>
      </c>
      <c r="V104" s="29">
        <f>IF($A104="","",SUMIFS(전표_원본!$P$5:$P$100000,전표_원본!$O$5:$O$100000,$A104,전표_원본!$M$5:$M$100000,V$5))</f>
        <v/>
      </c>
      <c r="W104" s="29">
        <f>IF($A104="","",SUMIFS(전표_원본!$P$5:$P$100000,전표_원본!$O$5:$O$100000,$A104,전표_원본!$M$5:$M$100000,W$5))</f>
        <v/>
      </c>
      <c r="X104" s="29">
        <f>IF($A104="","",SUMIFS(전표_원본!$P$5:$P$100000,전표_원본!$O$5:$O$100000,$A104,전표_원본!$M$5:$M$100000,X$5))</f>
        <v/>
      </c>
      <c r="Y104" s="29">
        <f>IF($A104="","",SUMIFS(전표_원본!$P$5:$P$100000,전표_원본!$O$5:$O$100000,$A104,전표_원본!$M$5:$M$100000,Y$5))</f>
        <v/>
      </c>
      <c r="Z104" s="29">
        <f>IF($A104="","",SUMIFS(전표_원본!$P$5:$P$100000,전표_원본!$O$5:$O$100000,$A104,전표_원본!$M$5:$M$100000,Z$5))</f>
        <v/>
      </c>
    </row>
    <row r="105">
      <c r="A105" s="22">
        <f>IF(변동분석!$A105="","",변동분석!$E105)</f>
        <v/>
      </c>
      <c r="B105" s="22">
        <f>IF($A105="","",변동분석!$B105&amp;" "&amp;변동분석!$D105)</f>
        <v/>
      </c>
      <c r="C105" s="29">
        <f>IF($A105="","",SUMIFS(전표_원본!$P$5:$P$100000,전표_원본!$O$5:$O$100000,$A105,전표_원본!$M$5:$M$100000,C$5))</f>
        <v/>
      </c>
      <c r="D105" s="29">
        <f>IF($A105="","",SUMIFS(전표_원본!$P$5:$P$100000,전표_원본!$O$5:$O$100000,$A105,전표_원본!$M$5:$M$100000,D$5))</f>
        <v/>
      </c>
      <c r="E105" s="29">
        <f>IF($A105="","",SUMIFS(전표_원본!$P$5:$P$100000,전표_원본!$O$5:$O$100000,$A105,전표_원본!$M$5:$M$100000,E$5))</f>
        <v/>
      </c>
      <c r="F105" s="29">
        <f>IF($A105="","",SUMIFS(전표_원본!$P$5:$P$100000,전표_원본!$O$5:$O$100000,$A105,전표_원본!$M$5:$M$100000,F$5))</f>
        <v/>
      </c>
      <c r="G105" s="29">
        <f>IF($A105="","",SUMIFS(전표_원본!$P$5:$P$100000,전표_원본!$O$5:$O$100000,$A105,전표_원본!$M$5:$M$100000,G$5))</f>
        <v/>
      </c>
      <c r="H105" s="29">
        <f>IF($A105="","",SUMIFS(전표_원본!$P$5:$P$100000,전표_원본!$O$5:$O$100000,$A105,전표_원본!$M$5:$M$100000,H$5))</f>
        <v/>
      </c>
      <c r="I105" s="29">
        <f>IF($A105="","",SUMIFS(전표_원본!$P$5:$P$100000,전표_원본!$O$5:$O$100000,$A105,전표_원본!$M$5:$M$100000,I$5))</f>
        <v/>
      </c>
      <c r="J105" s="29">
        <f>IF($A105="","",SUMIFS(전표_원본!$P$5:$P$100000,전표_원본!$O$5:$O$100000,$A105,전표_원본!$M$5:$M$100000,J$5))</f>
        <v/>
      </c>
      <c r="K105" s="29">
        <f>IF($A105="","",SUMIFS(전표_원본!$P$5:$P$100000,전표_원본!$O$5:$O$100000,$A105,전표_원본!$M$5:$M$100000,K$5))</f>
        <v/>
      </c>
      <c r="L105" s="29">
        <f>IF($A105="","",SUMIFS(전표_원본!$P$5:$P$100000,전표_원본!$O$5:$O$100000,$A105,전표_원본!$M$5:$M$100000,L$5))</f>
        <v/>
      </c>
      <c r="M105" s="29">
        <f>IF($A105="","",SUMIFS(전표_원본!$P$5:$P$100000,전표_원본!$O$5:$O$100000,$A105,전표_원본!$M$5:$M$100000,M$5))</f>
        <v/>
      </c>
      <c r="N105" s="29">
        <f>IF($A105="","",SUMIFS(전표_원본!$P$5:$P$100000,전표_원본!$O$5:$O$100000,$A105,전표_원본!$M$5:$M$100000,N$5))</f>
        <v/>
      </c>
      <c r="O105" s="29">
        <f>IF($A105="","",SUMIFS(전표_원본!$P$5:$P$100000,전표_원본!$O$5:$O$100000,$A105,전표_원본!$M$5:$M$100000,O$5))</f>
        <v/>
      </c>
      <c r="P105" s="29">
        <f>IF($A105="","",SUMIFS(전표_원본!$P$5:$P$100000,전표_원본!$O$5:$O$100000,$A105,전표_원본!$M$5:$M$100000,P$5))</f>
        <v/>
      </c>
      <c r="Q105" s="29">
        <f>IF($A105="","",SUMIFS(전표_원본!$P$5:$P$100000,전표_원본!$O$5:$O$100000,$A105,전표_원본!$M$5:$M$100000,Q$5))</f>
        <v/>
      </c>
      <c r="R105" s="29">
        <f>IF($A105="","",SUMIFS(전표_원본!$P$5:$P$100000,전표_원본!$O$5:$O$100000,$A105,전표_원본!$M$5:$M$100000,R$5))</f>
        <v/>
      </c>
      <c r="S105" s="29">
        <f>IF($A105="","",SUMIFS(전표_원본!$P$5:$P$100000,전표_원본!$O$5:$O$100000,$A105,전표_원본!$M$5:$M$100000,S$5))</f>
        <v/>
      </c>
      <c r="T105" s="29">
        <f>IF($A105="","",SUMIFS(전표_원본!$P$5:$P$100000,전표_원본!$O$5:$O$100000,$A105,전표_원본!$M$5:$M$100000,T$5))</f>
        <v/>
      </c>
      <c r="U105" s="29">
        <f>IF($A105="","",SUMIFS(전표_원본!$P$5:$P$100000,전표_원본!$O$5:$O$100000,$A105,전표_원본!$M$5:$M$100000,U$5))</f>
        <v/>
      </c>
      <c r="V105" s="29">
        <f>IF($A105="","",SUMIFS(전표_원본!$P$5:$P$100000,전표_원본!$O$5:$O$100000,$A105,전표_원본!$M$5:$M$100000,V$5))</f>
        <v/>
      </c>
      <c r="W105" s="29">
        <f>IF($A105="","",SUMIFS(전표_원본!$P$5:$P$100000,전표_원본!$O$5:$O$100000,$A105,전표_원본!$M$5:$M$100000,W$5))</f>
        <v/>
      </c>
      <c r="X105" s="29">
        <f>IF($A105="","",SUMIFS(전표_원본!$P$5:$P$100000,전표_원본!$O$5:$O$100000,$A105,전표_원본!$M$5:$M$100000,X$5))</f>
        <v/>
      </c>
      <c r="Y105" s="29">
        <f>IF($A105="","",SUMIFS(전표_원본!$P$5:$P$100000,전표_원본!$O$5:$O$100000,$A105,전표_원본!$M$5:$M$100000,Y$5))</f>
        <v/>
      </c>
      <c r="Z105" s="29">
        <f>IF($A105="","",SUMIFS(전표_원본!$P$5:$P$100000,전표_원본!$O$5:$O$100000,$A105,전표_원본!$M$5:$M$100000,Z$5))</f>
        <v/>
      </c>
    </row>
    <row r="106">
      <c r="A106" s="22">
        <f>IF(변동분석!$A106="","",변동분석!$E106)</f>
        <v/>
      </c>
      <c r="B106" s="22">
        <f>IF($A106="","",변동분석!$B106&amp;" "&amp;변동분석!$D106)</f>
        <v/>
      </c>
      <c r="C106" s="29">
        <f>IF($A106="","",SUMIFS(전표_원본!$P$5:$P$100000,전표_원본!$O$5:$O$100000,$A106,전표_원본!$M$5:$M$100000,C$5))</f>
        <v/>
      </c>
      <c r="D106" s="29">
        <f>IF($A106="","",SUMIFS(전표_원본!$P$5:$P$100000,전표_원본!$O$5:$O$100000,$A106,전표_원본!$M$5:$M$100000,D$5))</f>
        <v/>
      </c>
      <c r="E106" s="29">
        <f>IF($A106="","",SUMIFS(전표_원본!$P$5:$P$100000,전표_원본!$O$5:$O$100000,$A106,전표_원본!$M$5:$M$100000,E$5))</f>
        <v/>
      </c>
      <c r="F106" s="29">
        <f>IF($A106="","",SUMIFS(전표_원본!$P$5:$P$100000,전표_원본!$O$5:$O$100000,$A106,전표_원본!$M$5:$M$100000,F$5))</f>
        <v/>
      </c>
      <c r="G106" s="29">
        <f>IF($A106="","",SUMIFS(전표_원본!$P$5:$P$100000,전표_원본!$O$5:$O$100000,$A106,전표_원본!$M$5:$M$100000,G$5))</f>
        <v/>
      </c>
      <c r="H106" s="29">
        <f>IF($A106="","",SUMIFS(전표_원본!$P$5:$P$100000,전표_원본!$O$5:$O$100000,$A106,전표_원본!$M$5:$M$100000,H$5))</f>
        <v/>
      </c>
      <c r="I106" s="29">
        <f>IF($A106="","",SUMIFS(전표_원본!$P$5:$P$100000,전표_원본!$O$5:$O$100000,$A106,전표_원본!$M$5:$M$100000,I$5))</f>
        <v/>
      </c>
      <c r="J106" s="29">
        <f>IF($A106="","",SUMIFS(전표_원본!$P$5:$P$100000,전표_원본!$O$5:$O$100000,$A106,전표_원본!$M$5:$M$100000,J$5))</f>
        <v/>
      </c>
      <c r="K106" s="29">
        <f>IF($A106="","",SUMIFS(전표_원본!$P$5:$P$100000,전표_원본!$O$5:$O$100000,$A106,전표_원본!$M$5:$M$100000,K$5))</f>
        <v/>
      </c>
      <c r="L106" s="29">
        <f>IF($A106="","",SUMIFS(전표_원본!$P$5:$P$100000,전표_원본!$O$5:$O$100000,$A106,전표_원본!$M$5:$M$100000,L$5))</f>
        <v/>
      </c>
      <c r="M106" s="29">
        <f>IF($A106="","",SUMIFS(전표_원본!$P$5:$P$100000,전표_원본!$O$5:$O$100000,$A106,전표_원본!$M$5:$M$100000,M$5))</f>
        <v/>
      </c>
      <c r="N106" s="29">
        <f>IF($A106="","",SUMIFS(전표_원본!$P$5:$P$100000,전표_원본!$O$5:$O$100000,$A106,전표_원본!$M$5:$M$100000,N$5))</f>
        <v/>
      </c>
      <c r="O106" s="29">
        <f>IF($A106="","",SUMIFS(전표_원본!$P$5:$P$100000,전표_원본!$O$5:$O$100000,$A106,전표_원본!$M$5:$M$100000,O$5))</f>
        <v/>
      </c>
      <c r="P106" s="29">
        <f>IF($A106="","",SUMIFS(전표_원본!$P$5:$P$100000,전표_원본!$O$5:$O$100000,$A106,전표_원본!$M$5:$M$100000,P$5))</f>
        <v/>
      </c>
      <c r="Q106" s="29">
        <f>IF($A106="","",SUMIFS(전표_원본!$P$5:$P$100000,전표_원본!$O$5:$O$100000,$A106,전표_원본!$M$5:$M$100000,Q$5))</f>
        <v/>
      </c>
      <c r="R106" s="29">
        <f>IF($A106="","",SUMIFS(전표_원본!$P$5:$P$100000,전표_원본!$O$5:$O$100000,$A106,전표_원본!$M$5:$M$100000,R$5))</f>
        <v/>
      </c>
      <c r="S106" s="29">
        <f>IF($A106="","",SUMIFS(전표_원본!$P$5:$P$100000,전표_원본!$O$5:$O$100000,$A106,전표_원본!$M$5:$M$100000,S$5))</f>
        <v/>
      </c>
      <c r="T106" s="29">
        <f>IF($A106="","",SUMIFS(전표_원본!$P$5:$P$100000,전표_원본!$O$5:$O$100000,$A106,전표_원본!$M$5:$M$100000,T$5))</f>
        <v/>
      </c>
      <c r="U106" s="29">
        <f>IF($A106="","",SUMIFS(전표_원본!$P$5:$P$100000,전표_원본!$O$5:$O$100000,$A106,전표_원본!$M$5:$M$100000,U$5))</f>
        <v/>
      </c>
      <c r="V106" s="29">
        <f>IF($A106="","",SUMIFS(전표_원본!$P$5:$P$100000,전표_원본!$O$5:$O$100000,$A106,전표_원본!$M$5:$M$100000,V$5))</f>
        <v/>
      </c>
      <c r="W106" s="29">
        <f>IF($A106="","",SUMIFS(전표_원본!$P$5:$P$100000,전표_원본!$O$5:$O$100000,$A106,전표_원본!$M$5:$M$100000,W$5))</f>
        <v/>
      </c>
      <c r="X106" s="29">
        <f>IF($A106="","",SUMIFS(전표_원본!$P$5:$P$100000,전표_원본!$O$5:$O$100000,$A106,전표_원본!$M$5:$M$100000,X$5))</f>
        <v/>
      </c>
      <c r="Y106" s="29">
        <f>IF($A106="","",SUMIFS(전표_원본!$P$5:$P$100000,전표_원본!$O$5:$O$100000,$A106,전표_원본!$M$5:$M$100000,Y$5))</f>
        <v/>
      </c>
      <c r="Z106" s="29">
        <f>IF($A106="","",SUMIFS(전표_원본!$P$5:$P$100000,전표_원본!$O$5:$O$100000,$A106,전표_원본!$M$5:$M$100000,Z$5))</f>
        <v/>
      </c>
    </row>
    <row r="107">
      <c r="A107" s="22">
        <f>IF(변동분석!$A107="","",변동분석!$E107)</f>
        <v/>
      </c>
      <c r="B107" s="22">
        <f>IF($A107="","",변동분석!$B107&amp;" "&amp;변동분석!$D107)</f>
        <v/>
      </c>
      <c r="C107" s="29">
        <f>IF($A107="","",SUMIFS(전표_원본!$P$5:$P$100000,전표_원본!$O$5:$O$100000,$A107,전표_원본!$M$5:$M$100000,C$5))</f>
        <v/>
      </c>
      <c r="D107" s="29">
        <f>IF($A107="","",SUMIFS(전표_원본!$P$5:$P$100000,전표_원본!$O$5:$O$100000,$A107,전표_원본!$M$5:$M$100000,D$5))</f>
        <v/>
      </c>
      <c r="E107" s="29">
        <f>IF($A107="","",SUMIFS(전표_원본!$P$5:$P$100000,전표_원본!$O$5:$O$100000,$A107,전표_원본!$M$5:$M$100000,E$5))</f>
        <v/>
      </c>
      <c r="F107" s="29">
        <f>IF($A107="","",SUMIFS(전표_원본!$P$5:$P$100000,전표_원본!$O$5:$O$100000,$A107,전표_원본!$M$5:$M$100000,F$5))</f>
        <v/>
      </c>
      <c r="G107" s="29">
        <f>IF($A107="","",SUMIFS(전표_원본!$P$5:$P$100000,전표_원본!$O$5:$O$100000,$A107,전표_원본!$M$5:$M$100000,G$5))</f>
        <v/>
      </c>
      <c r="H107" s="29">
        <f>IF($A107="","",SUMIFS(전표_원본!$P$5:$P$100000,전표_원본!$O$5:$O$100000,$A107,전표_원본!$M$5:$M$100000,H$5))</f>
        <v/>
      </c>
      <c r="I107" s="29">
        <f>IF($A107="","",SUMIFS(전표_원본!$P$5:$P$100000,전표_원본!$O$5:$O$100000,$A107,전표_원본!$M$5:$M$100000,I$5))</f>
        <v/>
      </c>
      <c r="J107" s="29">
        <f>IF($A107="","",SUMIFS(전표_원본!$P$5:$P$100000,전표_원본!$O$5:$O$100000,$A107,전표_원본!$M$5:$M$100000,J$5))</f>
        <v/>
      </c>
      <c r="K107" s="29">
        <f>IF($A107="","",SUMIFS(전표_원본!$P$5:$P$100000,전표_원본!$O$5:$O$100000,$A107,전표_원본!$M$5:$M$100000,K$5))</f>
        <v/>
      </c>
      <c r="L107" s="29">
        <f>IF($A107="","",SUMIFS(전표_원본!$P$5:$P$100000,전표_원본!$O$5:$O$100000,$A107,전표_원본!$M$5:$M$100000,L$5))</f>
        <v/>
      </c>
      <c r="M107" s="29">
        <f>IF($A107="","",SUMIFS(전표_원본!$P$5:$P$100000,전표_원본!$O$5:$O$100000,$A107,전표_원본!$M$5:$M$100000,M$5))</f>
        <v/>
      </c>
      <c r="N107" s="29">
        <f>IF($A107="","",SUMIFS(전표_원본!$P$5:$P$100000,전표_원본!$O$5:$O$100000,$A107,전표_원본!$M$5:$M$100000,N$5))</f>
        <v/>
      </c>
      <c r="O107" s="29">
        <f>IF($A107="","",SUMIFS(전표_원본!$P$5:$P$100000,전표_원본!$O$5:$O$100000,$A107,전표_원본!$M$5:$M$100000,O$5))</f>
        <v/>
      </c>
      <c r="P107" s="29">
        <f>IF($A107="","",SUMIFS(전표_원본!$P$5:$P$100000,전표_원본!$O$5:$O$100000,$A107,전표_원본!$M$5:$M$100000,P$5))</f>
        <v/>
      </c>
      <c r="Q107" s="29">
        <f>IF($A107="","",SUMIFS(전표_원본!$P$5:$P$100000,전표_원본!$O$5:$O$100000,$A107,전표_원본!$M$5:$M$100000,Q$5))</f>
        <v/>
      </c>
      <c r="R107" s="29">
        <f>IF($A107="","",SUMIFS(전표_원본!$P$5:$P$100000,전표_원본!$O$5:$O$100000,$A107,전표_원본!$M$5:$M$100000,R$5))</f>
        <v/>
      </c>
      <c r="S107" s="29">
        <f>IF($A107="","",SUMIFS(전표_원본!$P$5:$P$100000,전표_원본!$O$5:$O$100000,$A107,전표_원본!$M$5:$M$100000,S$5))</f>
        <v/>
      </c>
      <c r="T107" s="29">
        <f>IF($A107="","",SUMIFS(전표_원본!$P$5:$P$100000,전표_원본!$O$5:$O$100000,$A107,전표_원본!$M$5:$M$100000,T$5))</f>
        <v/>
      </c>
      <c r="U107" s="29">
        <f>IF($A107="","",SUMIFS(전표_원본!$P$5:$P$100000,전표_원본!$O$5:$O$100000,$A107,전표_원본!$M$5:$M$100000,U$5))</f>
        <v/>
      </c>
      <c r="V107" s="29">
        <f>IF($A107="","",SUMIFS(전표_원본!$P$5:$P$100000,전표_원본!$O$5:$O$100000,$A107,전표_원본!$M$5:$M$100000,V$5))</f>
        <v/>
      </c>
      <c r="W107" s="29">
        <f>IF($A107="","",SUMIFS(전표_원본!$P$5:$P$100000,전표_원본!$O$5:$O$100000,$A107,전표_원본!$M$5:$M$100000,W$5))</f>
        <v/>
      </c>
      <c r="X107" s="29">
        <f>IF($A107="","",SUMIFS(전표_원본!$P$5:$P$100000,전표_원본!$O$5:$O$100000,$A107,전표_원본!$M$5:$M$100000,X$5))</f>
        <v/>
      </c>
      <c r="Y107" s="29">
        <f>IF($A107="","",SUMIFS(전표_원본!$P$5:$P$100000,전표_원본!$O$5:$O$100000,$A107,전표_원본!$M$5:$M$100000,Y$5))</f>
        <v/>
      </c>
      <c r="Z107" s="29">
        <f>IF($A107="","",SUMIFS(전표_원본!$P$5:$P$100000,전표_원본!$O$5:$O$100000,$A107,전표_원본!$M$5:$M$100000,Z$5))</f>
        <v/>
      </c>
    </row>
    <row r="108">
      <c r="A108" s="22">
        <f>IF(변동분석!$A108="","",변동분석!$E108)</f>
        <v/>
      </c>
      <c r="B108" s="22">
        <f>IF($A108="","",변동분석!$B108&amp;" "&amp;변동분석!$D108)</f>
        <v/>
      </c>
      <c r="C108" s="29">
        <f>IF($A108="","",SUMIFS(전표_원본!$P$5:$P$100000,전표_원본!$O$5:$O$100000,$A108,전표_원본!$M$5:$M$100000,C$5))</f>
        <v/>
      </c>
      <c r="D108" s="29">
        <f>IF($A108="","",SUMIFS(전표_원본!$P$5:$P$100000,전표_원본!$O$5:$O$100000,$A108,전표_원본!$M$5:$M$100000,D$5))</f>
        <v/>
      </c>
      <c r="E108" s="29">
        <f>IF($A108="","",SUMIFS(전표_원본!$P$5:$P$100000,전표_원본!$O$5:$O$100000,$A108,전표_원본!$M$5:$M$100000,E$5))</f>
        <v/>
      </c>
      <c r="F108" s="29">
        <f>IF($A108="","",SUMIFS(전표_원본!$P$5:$P$100000,전표_원본!$O$5:$O$100000,$A108,전표_원본!$M$5:$M$100000,F$5))</f>
        <v/>
      </c>
      <c r="G108" s="29">
        <f>IF($A108="","",SUMIFS(전표_원본!$P$5:$P$100000,전표_원본!$O$5:$O$100000,$A108,전표_원본!$M$5:$M$100000,G$5))</f>
        <v/>
      </c>
      <c r="H108" s="29">
        <f>IF($A108="","",SUMIFS(전표_원본!$P$5:$P$100000,전표_원본!$O$5:$O$100000,$A108,전표_원본!$M$5:$M$100000,H$5))</f>
        <v/>
      </c>
      <c r="I108" s="29">
        <f>IF($A108="","",SUMIFS(전표_원본!$P$5:$P$100000,전표_원본!$O$5:$O$100000,$A108,전표_원본!$M$5:$M$100000,I$5))</f>
        <v/>
      </c>
      <c r="J108" s="29">
        <f>IF($A108="","",SUMIFS(전표_원본!$P$5:$P$100000,전표_원본!$O$5:$O$100000,$A108,전표_원본!$M$5:$M$100000,J$5))</f>
        <v/>
      </c>
      <c r="K108" s="29">
        <f>IF($A108="","",SUMIFS(전표_원본!$P$5:$P$100000,전표_원본!$O$5:$O$100000,$A108,전표_원본!$M$5:$M$100000,K$5))</f>
        <v/>
      </c>
      <c r="L108" s="29">
        <f>IF($A108="","",SUMIFS(전표_원본!$P$5:$P$100000,전표_원본!$O$5:$O$100000,$A108,전표_원본!$M$5:$M$100000,L$5))</f>
        <v/>
      </c>
      <c r="M108" s="29">
        <f>IF($A108="","",SUMIFS(전표_원본!$P$5:$P$100000,전표_원본!$O$5:$O$100000,$A108,전표_원본!$M$5:$M$100000,M$5))</f>
        <v/>
      </c>
      <c r="N108" s="29">
        <f>IF($A108="","",SUMIFS(전표_원본!$P$5:$P$100000,전표_원본!$O$5:$O$100000,$A108,전표_원본!$M$5:$M$100000,N$5))</f>
        <v/>
      </c>
      <c r="O108" s="29">
        <f>IF($A108="","",SUMIFS(전표_원본!$P$5:$P$100000,전표_원본!$O$5:$O$100000,$A108,전표_원본!$M$5:$M$100000,O$5))</f>
        <v/>
      </c>
      <c r="P108" s="29">
        <f>IF($A108="","",SUMIFS(전표_원본!$P$5:$P$100000,전표_원본!$O$5:$O$100000,$A108,전표_원본!$M$5:$M$100000,P$5))</f>
        <v/>
      </c>
      <c r="Q108" s="29">
        <f>IF($A108="","",SUMIFS(전표_원본!$P$5:$P$100000,전표_원본!$O$5:$O$100000,$A108,전표_원본!$M$5:$M$100000,Q$5))</f>
        <v/>
      </c>
      <c r="R108" s="29">
        <f>IF($A108="","",SUMIFS(전표_원본!$P$5:$P$100000,전표_원본!$O$5:$O$100000,$A108,전표_원본!$M$5:$M$100000,R$5))</f>
        <v/>
      </c>
      <c r="S108" s="29">
        <f>IF($A108="","",SUMIFS(전표_원본!$P$5:$P$100000,전표_원본!$O$5:$O$100000,$A108,전표_원본!$M$5:$M$100000,S$5))</f>
        <v/>
      </c>
      <c r="T108" s="29">
        <f>IF($A108="","",SUMIFS(전표_원본!$P$5:$P$100000,전표_원본!$O$5:$O$100000,$A108,전표_원본!$M$5:$M$100000,T$5))</f>
        <v/>
      </c>
      <c r="U108" s="29">
        <f>IF($A108="","",SUMIFS(전표_원본!$P$5:$P$100000,전표_원본!$O$5:$O$100000,$A108,전표_원본!$M$5:$M$100000,U$5))</f>
        <v/>
      </c>
      <c r="V108" s="29">
        <f>IF($A108="","",SUMIFS(전표_원본!$P$5:$P$100000,전표_원본!$O$5:$O$100000,$A108,전표_원본!$M$5:$M$100000,V$5))</f>
        <v/>
      </c>
      <c r="W108" s="29">
        <f>IF($A108="","",SUMIFS(전표_원본!$P$5:$P$100000,전표_원본!$O$5:$O$100000,$A108,전표_원본!$M$5:$M$100000,W$5))</f>
        <v/>
      </c>
      <c r="X108" s="29">
        <f>IF($A108="","",SUMIFS(전표_원본!$P$5:$P$100000,전표_원본!$O$5:$O$100000,$A108,전표_원본!$M$5:$M$100000,X$5))</f>
        <v/>
      </c>
      <c r="Y108" s="29">
        <f>IF($A108="","",SUMIFS(전표_원본!$P$5:$P$100000,전표_원본!$O$5:$O$100000,$A108,전표_원본!$M$5:$M$100000,Y$5))</f>
        <v/>
      </c>
      <c r="Z108" s="29">
        <f>IF($A108="","",SUMIFS(전표_원본!$P$5:$P$100000,전표_원본!$O$5:$O$100000,$A108,전표_원본!$M$5:$M$100000,Z$5))</f>
        <v/>
      </c>
    </row>
    <row r="109">
      <c r="A109" s="22">
        <f>IF(변동분석!$A109="","",변동분석!$E109)</f>
        <v/>
      </c>
      <c r="B109" s="22">
        <f>IF($A109="","",변동분석!$B109&amp;" "&amp;변동분석!$D109)</f>
        <v/>
      </c>
      <c r="C109" s="29">
        <f>IF($A109="","",SUMIFS(전표_원본!$P$5:$P$100000,전표_원본!$O$5:$O$100000,$A109,전표_원본!$M$5:$M$100000,C$5))</f>
        <v/>
      </c>
      <c r="D109" s="29">
        <f>IF($A109="","",SUMIFS(전표_원본!$P$5:$P$100000,전표_원본!$O$5:$O$100000,$A109,전표_원본!$M$5:$M$100000,D$5))</f>
        <v/>
      </c>
      <c r="E109" s="29">
        <f>IF($A109="","",SUMIFS(전표_원본!$P$5:$P$100000,전표_원본!$O$5:$O$100000,$A109,전표_원본!$M$5:$M$100000,E$5))</f>
        <v/>
      </c>
      <c r="F109" s="29">
        <f>IF($A109="","",SUMIFS(전표_원본!$P$5:$P$100000,전표_원본!$O$5:$O$100000,$A109,전표_원본!$M$5:$M$100000,F$5))</f>
        <v/>
      </c>
      <c r="G109" s="29">
        <f>IF($A109="","",SUMIFS(전표_원본!$P$5:$P$100000,전표_원본!$O$5:$O$100000,$A109,전표_원본!$M$5:$M$100000,G$5))</f>
        <v/>
      </c>
      <c r="H109" s="29">
        <f>IF($A109="","",SUMIFS(전표_원본!$P$5:$P$100000,전표_원본!$O$5:$O$100000,$A109,전표_원본!$M$5:$M$100000,H$5))</f>
        <v/>
      </c>
      <c r="I109" s="29">
        <f>IF($A109="","",SUMIFS(전표_원본!$P$5:$P$100000,전표_원본!$O$5:$O$100000,$A109,전표_원본!$M$5:$M$100000,I$5))</f>
        <v/>
      </c>
      <c r="J109" s="29">
        <f>IF($A109="","",SUMIFS(전표_원본!$P$5:$P$100000,전표_원본!$O$5:$O$100000,$A109,전표_원본!$M$5:$M$100000,J$5))</f>
        <v/>
      </c>
      <c r="K109" s="29">
        <f>IF($A109="","",SUMIFS(전표_원본!$P$5:$P$100000,전표_원본!$O$5:$O$100000,$A109,전표_원본!$M$5:$M$100000,K$5))</f>
        <v/>
      </c>
      <c r="L109" s="29">
        <f>IF($A109="","",SUMIFS(전표_원본!$P$5:$P$100000,전표_원본!$O$5:$O$100000,$A109,전표_원본!$M$5:$M$100000,L$5))</f>
        <v/>
      </c>
      <c r="M109" s="29">
        <f>IF($A109="","",SUMIFS(전표_원본!$P$5:$P$100000,전표_원본!$O$5:$O$100000,$A109,전표_원본!$M$5:$M$100000,M$5))</f>
        <v/>
      </c>
      <c r="N109" s="29">
        <f>IF($A109="","",SUMIFS(전표_원본!$P$5:$P$100000,전표_원본!$O$5:$O$100000,$A109,전표_원본!$M$5:$M$100000,N$5))</f>
        <v/>
      </c>
      <c r="O109" s="29">
        <f>IF($A109="","",SUMIFS(전표_원본!$P$5:$P$100000,전표_원본!$O$5:$O$100000,$A109,전표_원본!$M$5:$M$100000,O$5))</f>
        <v/>
      </c>
      <c r="P109" s="29">
        <f>IF($A109="","",SUMIFS(전표_원본!$P$5:$P$100000,전표_원본!$O$5:$O$100000,$A109,전표_원본!$M$5:$M$100000,P$5))</f>
        <v/>
      </c>
      <c r="Q109" s="29">
        <f>IF($A109="","",SUMIFS(전표_원본!$P$5:$P$100000,전표_원본!$O$5:$O$100000,$A109,전표_원본!$M$5:$M$100000,Q$5))</f>
        <v/>
      </c>
      <c r="R109" s="29">
        <f>IF($A109="","",SUMIFS(전표_원본!$P$5:$P$100000,전표_원본!$O$5:$O$100000,$A109,전표_원본!$M$5:$M$100000,R$5))</f>
        <v/>
      </c>
      <c r="S109" s="29">
        <f>IF($A109="","",SUMIFS(전표_원본!$P$5:$P$100000,전표_원본!$O$5:$O$100000,$A109,전표_원본!$M$5:$M$100000,S$5))</f>
        <v/>
      </c>
      <c r="T109" s="29">
        <f>IF($A109="","",SUMIFS(전표_원본!$P$5:$P$100000,전표_원본!$O$5:$O$100000,$A109,전표_원본!$M$5:$M$100000,T$5))</f>
        <v/>
      </c>
      <c r="U109" s="29">
        <f>IF($A109="","",SUMIFS(전표_원본!$P$5:$P$100000,전표_원본!$O$5:$O$100000,$A109,전표_원본!$M$5:$M$100000,U$5))</f>
        <v/>
      </c>
      <c r="V109" s="29">
        <f>IF($A109="","",SUMIFS(전표_원본!$P$5:$P$100000,전표_원본!$O$5:$O$100000,$A109,전표_원본!$M$5:$M$100000,V$5))</f>
        <v/>
      </c>
      <c r="W109" s="29">
        <f>IF($A109="","",SUMIFS(전표_원본!$P$5:$P$100000,전표_원본!$O$5:$O$100000,$A109,전표_원본!$M$5:$M$100000,W$5))</f>
        <v/>
      </c>
      <c r="X109" s="29">
        <f>IF($A109="","",SUMIFS(전표_원본!$P$5:$P$100000,전표_원본!$O$5:$O$100000,$A109,전표_원본!$M$5:$M$100000,X$5))</f>
        <v/>
      </c>
      <c r="Y109" s="29">
        <f>IF($A109="","",SUMIFS(전표_원본!$P$5:$P$100000,전표_원본!$O$5:$O$100000,$A109,전표_원본!$M$5:$M$100000,Y$5))</f>
        <v/>
      </c>
      <c r="Z109" s="29">
        <f>IF($A109="","",SUMIFS(전표_원본!$P$5:$P$100000,전표_원본!$O$5:$O$100000,$A109,전표_원본!$M$5:$M$100000,Z$5))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0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5" customWidth="1" min="2" max="2"/>
    <col width="9" customWidth="1" min="3" max="3"/>
    <col width="11" customWidth="1" min="4" max="4"/>
    <col width="14" customWidth="1" min="5" max="5"/>
    <col width="60" customWidth="1" min="6" max="6"/>
    <col width="16" customWidth="1" min="7" max="7"/>
    <col width="11" customWidth="1" min="8" max="8"/>
    <col width="22" customWidth="1" min="9" max="9"/>
  </cols>
  <sheetData>
    <row r="1">
      <c r="A1" s="1" t="inlineStr">
        <is>
          <t>TRACE · 확인된 원인·조치</t>
        </is>
      </c>
    </row>
    <row r="2">
      <c r="A2" s="2" t="inlineStr">
        <is>
          <t>담당 부서 확인 결과를 월별로 누적 · 기준연도·기준월이 같은 코멘트가 주의대상·리포트에 표시</t>
        </is>
      </c>
    </row>
    <row r="4" ht="30" customHeight="1">
      <c r="A4" s="4" t="inlineStr">
        <is>
          <t>연도</t>
        </is>
      </c>
      <c r="B4" s="4" t="inlineStr">
        <is>
          <t>월</t>
        </is>
      </c>
      <c r="C4" s="4" t="inlineStr">
        <is>
          <t>부서코드</t>
        </is>
      </c>
      <c r="D4" s="4" t="inlineStr">
        <is>
          <t>G/L 계정</t>
        </is>
      </c>
      <c r="E4" s="4" t="inlineStr">
        <is>
          <t>원인 유형</t>
        </is>
      </c>
      <c r="F4" s="4" t="inlineStr">
        <is>
          <t>확인된 원인·조치</t>
        </is>
      </c>
      <c r="G4" s="4" t="inlineStr">
        <is>
          <t>작성자</t>
        </is>
      </c>
      <c r="H4" s="4" t="inlineStr">
        <is>
          <t>작성일</t>
        </is>
      </c>
      <c r="I4" s="36" t="inlineStr">
        <is>
          <t>키</t>
        </is>
      </c>
    </row>
    <row r="5">
      <c r="A5" s="12" t="n">
        <v>2026</v>
      </c>
      <c r="B5" s="12" t="n">
        <v>9</v>
      </c>
      <c r="C5" s="12" t="inlineStr">
        <is>
          <t>D500</t>
        </is>
      </c>
      <c r="D5" s="59" t="inlineStr">
        <is>
          <t>62701000</t>
        </is>
      </c>
      <c r="E5" s="12" t="inlineStr">
        <is>
          <t>일회성 대형</t>
        </is>
      </c>
      <c r="F5" s="71" t="inlineStr">
        <is>
          <t>3분기 신상품 TV캠페인 집행을 앞당김. 4분기 집행분에서 조정 예정</t>
        </is>
      </c>
      <c r="G5" s="71" t="inlineStr">
        <is>
          <t>마케팅팀 김OO</t>
        </is>
      </c>
      <c r="H5" s="72" t="n">
        <v>46303</v>
      </c>
      <c r="I5" s="73">
        <f>IF($A5="","",$A5&amp;"|"&amp;$B5&amp;"|"&amp;$C5&amp;"|"&amp;$D5)</f>
        <v/>
      </c>
    </row>
    <row r="6">
      <c r="A6" s="12" t="n">
        <v>2026</v>
      </c>
      <c r="B6" s="12" t="n">
        <v>9</v>
      </c>
      <c r="C6" s="12" t="inlineStr">
        <is>
          <t>D200</t>
        </is>
      </c>
      <c r="D6" s="59" t="inlineStr">
        <is>
          <t>62901000</t>
        </is>
      </c>
      <c r="E6" s="12" t="inlineStr">
        <is>
          <t>재분류</t>
        </is>
      </c>
      <c r="F6" s="71" t="inlineStr">
        <is>
          <t>8월 경영기획팀에 잘못 귀속된 회계자문료를 재분류. 실제 증가 아님</t>
        </is>
      </c>
      <c r="G6" s="71" t="inlineStr">
        <is>
          <t>재무회계팀 이OO</t>
        </is>
      </c>
      <c r="H6" s="72" t="n">
        <v>46303</v>
      </c>
      <c r="I6" s="73">
        <f>IF($A6="","",$A6&amp;"|"&amp;$B6&amp;"|"&amp;$C6&amp;"|"&amp;$D6)</f>
        <v/>
      </c>
    </row>
    <row r="7">
      <c r="I7" s="73">
        <f>IF($A7="","",$A7&amp;"|"&amp;$B7&amp;"|"&amp;$C7&amp;"|"&amp;$D7)</f>
        <v/>
      </c>
    </row>
    <row r="8">
      <c r="I8" s="73">
        <f>IF($A8="","",$A8&amp;"|"&amp;$B8&amp;"|"&amp;$C8&amp;"|"&amp;$D8)</f>
        <v/>
      </c>
    </row>
    <row r="9">
      <c r="I9" s="73">
        <f>IF($A9="","",$A9&amp;"|"&amp;$B9&amp;"|"&amp;$C9&amp;"|"&amp;$D9)</f>
        <v/>
      </c>
    </row>
    <row r="10">
      <c r="I10" s="73">
        <f>IF($A10="","",$A10&amp;"|"&amp;$B10&amp;"|"&amp;$C10&amp;"|"&amp;$D10)</f>
        <v/>
      </c>
    </row>
    <row r="11">
      <c r="I11" s="73">
        <f>IF($A11="","",$A11&amp;"|"&amp;$B11&amp;"|"&amp;$C11&amp;"|"&amp;$D11)</f>
        <v/>
      </c>
    </row>
    <row r="12">
      <c r="I12" s="73">
        <f>IF($A12="","",$A12&amp;"|"&amp;$B12&amp;"|"&amp;$C12&amp;"|"&amp;$D12)</f>
        <v/>
      </c>
    </row>
    <row r="13">
      <c r="I13" s="73">
        <f>IF($A13="","",$A13&amp;"|"&amp;$B13&amp;"|"&amp;$C13&amp;"|"&amp;$D13)</f>
        <v/>
      </c>
    </row>
    <row r="14">
      <c r="I14" s="73">
        <f>IF($A14="","",$A14&amp;"|"&amp;$B14&amp;"|"&amp;$C14&amp;"|"&amp;$D14)</f>
        <v/>
      </c>
    </row>
    <row r="15">
      <c r="I15" s="73">
        <f>IF($A15="","",$A15&amp;"|"&amp;$B15&amp;"|"&amp;$C15&amp;"|"&amp;$D15)</f>
        <v/>
      </c>
    </row>
    <row r="16">
      <c r="I16" s="73">
        <f>IF($A16="","",$A16&amp;"|"&amp;$B16&amp;"|"&amp;$C16&amp;"|"&amp;$D16)</f>
        <v/>
      </c>
    </row>
    <row r="17">
      <c r="I17" s="73">
        <f>IF($A17="","",$A17&amp;"|"&amp;$B17&amp;"|"&amp;$C17&amp;"|"&amp;$D17)</f>
        <v/>
      </c>
    </row>
    <row r="18">
      <c r="I18" s="73">
        <f>IF($A18="","",$A18&amp;"|"&amp;$B18&amp;"|"&amp;$C18&amp;"|"&amp;$D18)</f>
        <v/>
      </c>
    </row>
    <row r="19">
      <c r="I19" s="73">
        <f>IF($A19="","",$A19&amp;"|"&amp;$B19&amp;"|"&amp;$C19&amp;"|"&amp;$D19)</f>
        <v/>
      </c>
    </row>
    <row r="20">
      <c r="I20" s="73">
        <f>IF($A20="","",$A20&amp;"|"&amp;$B20&amp;"|"&amp;$C20&amp;"|"&amp;$D20)</f>
        <v/>
      </c>
    </row>
    <row r="21">
      <c r="I21" s="73">
        <f>IF($A21="","",$A21&amp;"|"&amp;$B21&amp;"|"&amp;$C21&amp;"|"&amp;$D21)</f>
        <v/>
      </c>
    </row>
    <row r="22">
      <c r="I22" s="73">
        <f>IF($A22="","",$A22&amp;"|"&amp;$B22&amp;"|"&amp;$C22&amp;"|"&amp;$D22)</f>
        <v/>
      </c>
    </row>
    <row r="23">
      <c r="I23" s="73">
        <f>IF($A23="","",$A23&amp;"|"&amp;$B23&amp;"|"&amp;$C23&amp;"|"&amp;$D23)</f>
        <v/>
      </c>
    </row>
    <row r="24">
      <c r="I24" s="73">
        <f>IF($A24="","",$A24&amp;"|"&amp;$B24&amp;"|"&amp;$C24&amp;"|"&amp;$D24)</f>
        <v/>
      </c>
    </row>
    <row r="25">
      <c r="I25" s="73">
        <f>IF($A25="","",$A25&amp;"|"&amp;$B25&amp;"|"&amp;$C25&amp;"|"&amp;$D25)</f>
        <v/>
      </c>
    </row>
    <row r="26">
      <c r="I26" s="73">
        <f>IF($A26="","",$A26&amp;"|"&amp;$B26&amp;"|"&amp;$C26&amp;"|"&amp;$D26)</f>
        <v/>
      </c>
    </row>
    <row r="27">
      <c r="I27" s="73">
        <f>IF($A27="","",$A27&amp;"|"&amp;$B27&amp;"|"&amp;$C27&amp;"|"&amp;$D27)</f>
        <v/>
      </c>
    </row>
    <row r="28">
      <c r="I28" s="73">
        <f>IF($A28="","",$A28&amp;"|"&amp;$B28&amp;"|"&amp;$C28&amp;"|"&amp;$D28)</f>
        <v/>
      </c>
    </row>
    <row r="29">
      <c r="I29" s="73">
        <f>IF($A29="","",$A29&amp;"|"&amp;$B29&amp;"|"&amp;$C29&amp;"|"&amp;$D29)</f>
        <v/>
      </c>
    </row>
    <row r="30">
      <c r="I30" s="73">
        <f>IF($A30="","",$A30&amp;"|"&amp;$B30&amp;"|"&amp;$C30&amp;"|"&amp;$D30)</f>
        <v/>
      </c>
    </row>
    <row r="31">
      <c r="I31" s="73">
        <f>IF($A31="","",$A31&amp;"|"&amp;$B31&amp;"|"&amp;$C31&amp;"|"&amp;$D31)</f>
        <v/>
      </c>
    </row>
    <row r="32">
      <c r="I32" s="73">
        <f>IF($A32="","",$A32&amp;"|"&amp;$B32&amp;"|"&amp;$C32&amp;"|"&amp;$D32)</f>
        <v/>
      </c>
    </row>
    <row r="33">
      <c r="I33" s="73">
        <f>IF($A33="","",$A33&amp;"|"&amp;$B33&amp;"|"&amp;$C33&amp;"|"&amp;$D33)</f>
        <v/>
      </c>
    </row>
    <row r="34">
      <c r="I34" s="73">
        <f>IF($A34="","",$A34&amp;"|"&amp;$B34&amp;"|"&amp;$C34&amp;"|"&amp;$D34)</f>
        <v/>
      </c>
    </row>
    <row r="35">
      <c r="I35" s="73">
        <f>IF($A35="","",$A35&amp;"|"&amp;$B35&amp;"|"&amp;$C35&amp;"|"&amp;$D35)</f>
        <v/>
      </c>
    </row>
    <row r="36">
      <c r="I36" s="73">
        <f>IF($A36="","",$A36&amp;"|"&amp;$B36&amp;"|"&amp;$C36&amp;"|"&amp;$D36)</f>
        <v/>
      </c>
    </row>
    <row r="37">
      <c r="I37" s="73">
        <f>IF($A37="","",$A37&amp;"|"&amp;$B37&amp;"|"&amp;$C37&amp;"|"&amp;$D37)</f>
        <v/>
      </c>
    </row>
    <row r="38">
      <c r="I38" s="73">
        <f>IF($A38="","",$A38&amp;"|"&amp;$B38&amp;"|"&amp;$C38&amp;"|"&amp;$D38)</f>
        <v/>
      </c>
    </row>
    <row r="39">
      <c r="I39" s="73">
        <f>IF($A39="","",$A39&amp;"|"&amp;$B39&amp;"|"&amp;$C39&amp;"|"&amp;$D39)</f>
        <v/>
      </c>
    </row>
    <row r="40">
      <c r="I40" s="73">
        <f>IF($A40="","",$A40&amp;"|"&amp;$B40&amp;"|"&amp;$C40&amp;"|"&amp;$D40)</f>
        <v/>
      </c>
    </row>
    <row r="41">
      <c r="I41" s="73">
        <f>IF($A41="","",$A41&amp;"|"&amp;$B41&amp;"|"&amp;$C41&amp;"|"&amp;$D41)</f>
        <v/>
      </c>
    </row>
    <row r="42">
      <c r="I42" s="73">
        <f>IF($A42="","",$A42&amp;"|"&amp;$B42&amp;"|"&amp;$C42&amp;"|"&amp;$D42)</f>
        <v/>
      </c>
    </row>
    <row r="43">
      <c r="I43" s="73">
        <f>IF($A43="","",$A43&amp;"|"&amp;$B43&amp;"|"&amp;$C43&amp;"|"&amp;$D43)</f>
        <v/>
      </c>
    </row>
    <row r="44">
      <c r="I44" s="73">
        <f>IF($A44="","",$A44&amp;"|"&amp;$B44&amp;"|"&amp;$C44&amp;"|"&amp;$D44)</f>
        <v/>
      </c>
    </row>
    <row r="45">
      <c r="I45" s="73">
        <f>IF($A45="","",$A45&amp;"|"&amp;$B45&amp;"|"&amp;$C45&amp;"|"&amp;$D45)</f>
        <v/>
      </c>
    </row>
    <row r="46">
      <c r="I46" s="73">
        <f>IF($A46="","",$A46&amp;"|"&amp;$B46&amp;"|"&amp;$C46&amp;"|"&amp;$D46)</f>
        <v/>
      </c>
    </row>
    <row r="47">
      <c r="I47" s="73">
        <f>IF($A47="","",$A47&amp;"|"&amp;$B47&amp;"|"&amp;$C47&amp;"|"&amp;$D47)</f>
        <v/>
      </c>
    </row>
    <row r="48">
      <c r="I48" s="73">
        <f>IF($A48="","",$A48&amp;"|"&amp;$B48&amp;"|"&amp;$C48&amp;"|"&amp;$D48)</f>
        <v/>
      </c>
    </row>
    <row r="49">
      <c r="I49" s="73">
        <f>IF($A49="","",$A49&amp;"|"&amp;$B49&amp;"|"&amp;$C49&amp;"|"&amp;$D49)</f>
        <v/>
      </c>
    </row>
    <row r="50">
      <c r="I50" s="73">
        <f>IF($A50="","",$A50&amp;"|"&amp;$B50&amp;"|"&amp;$C50&amp;"|"&amp;$D50)</f>
        <v/>
      </c>
    </row>
    <row r="51">
      <c r="I51" s="73">
        <f>IF($A51="","",$A51&amp;"|"&amp;$B51&amp;"|"&amp;$C51&amp;"|"&amp;$D51)</f>
        <v/>
      </c>
    </row>
    <row r="52">
      <c r="I52" s="73">
        <f>IF($A52="","",$A52&amp;"|"&amp;$B52&amp;"|"&amp;$C52&amp;"|"&amp;$D52)</f>
        <v/>
      </c>
    </row>
    <row r="53">
      <c r="I53" s="73">
        <f>IF($A53="","",$A53&amp;"|"&amp;$B53&amp;"|"&amp;$C53&amp;"|"&amp;$D53)</f>
        <v/>
      </c>
    </row>
    <row r="54">
      <c r="I54" s="73">
        <f>IF($A54="","",$A54&amp;"|"&amp;$B54&amp;"|"&amp;$C54&amp;"|"&amp;$D54)</f>
        <v/>
      </c>
    </row>
    <row r="55">
      <c r="I55" s="73">
        <f>IF($A55="","",$A55&amp;"|"&amp;$B55&amp;"|"&amp;$C55&amp;"|"&amp;$D55)</f>
        <v/>
      </c>
    </row>
    <row r="56">
      <c r="I56" s="73">
        <f>IF($A56="","",$A56&amp;"|"&amp;$B56&amp;"|"&amp;$C56&amp;"|"&amp;$D56)</f>
        <v/>
      </c>
    </row>
    <row r="57">
      <c r="I57" s="73">
        <f>IF($A57="","",$A57&amp;"|"&amp;$B57&amp;"|"&amp;$C57&amp;"|"&amp;$D57)</f>
        <v/>
      </c>
    </row>
    <row r="58">
      <c r="I58" s="73">
        <f>IF($A58="","",$A58&amp;"|"&amp;$B58&amp;"|"&amp;$C58&amp;"|"&amp;$D58)</f>
        <v/>
      </c>
    </row>
    <row r="59">
      <c r="I59" s="73">
        <f>IF($A59="","",$A59&amp;"|"&amp;$B59&amp;"|"&amp;$C59&amp;"|"&amp;$D59)</f>
        <v/>
      </c>
    </row>
    <row r="60">
      <c r="I60" s="73">
        <f>IF($A60="","",$A60&amp;"|"&amp;$B60&amp;"|"&amp;$C60&amp;"|"&amp;$D60)</f>
        <v/>
      </c>
    </row>
    <row r="61">
      <c r="I61" s="73">
        <f>IF($A61="","",$A61&amp;"|"&amp;$B61&amp;"|"&amp;$C61&amp;"|"&amp;$D61)</f>
        <v/>
      </c>
    </row>
    <row r="62">
      <c r="I62" s="73">
        <f>IF($A62="","",$A62&amp;"|"&amp;$B62&amp;"|"&amp;$C62&amp;"|"&amp;$D62)</f>
        <v/>
      </c>
    </row>
    <row r="63">
      <c r="I63" s="73">
        <f>IF($A63="","",$A63&amp;"|"&amp;$B63&amp;"|"&amp;$C63&amp;"|"&amp;$D63)</f>
        <v/>
      </c>
    </row>
    <row r="64">
      <c r="I64" s="73">
        <f>IF($A64="","",$A64&amp;"|"&amp;$B64&amp;"|"&amp;$C64&amp;"|"&amp;$D64)</f>
        <v/>
      </c>
    </row>
    <row r="65">
      <c r="I65" s="73">
        <f>IF($A65="","",$A65&amp;"|"&amp;$B65&amp;"|"&amp;$C65&amp;"|"&amp;$D65)</f>
        <v/>
      </c>
    </row>
    <row r="66">
      <c r="I66" s="73">
        <f>IF($A66="","",$A66&amp;"|"&amp;$B66&amp;"|"&amp;$C66&amp;"|"&amp;$D66)</f>
        <v/>
      </c>
    </row>
    <row r="67">
      <c r="I67" s="73">
        <f>IF($A67="","",$A67&amp;"|"&amp;$B67&amp;"|"&amp;$C67&amp;"|"&amp;$D67)</f>
        <v/>
      </c>
    </row>
    <row r="68">
      <c r="I68" s="73">
        <f>IF($A68="","",$A68&amp;"|"&amp;$B68&amp;"|"&amp;$C68&amp;"|"&amp;$D68)</f>
        <v/>
      </c>
    </row>
    <row r="69">
      <c r="I69" s="73">
        <f>IF($A69="","",$A69&amp;"|"&amp;$B69&amp;"|"&amp;$C69&amp;"|"&amp;$D69)</f>
        <v/>
      </c>
    </row>
    <row r="70">
      <c r="I70" s="73">
        <f>IF($A70="","",$A70&amp;"|"&amp;$B70&amp;"|"&amp;$C70&amp;"|"&amp;$D70)</f>
        <v/>
      </c>
    </row>
    <row r="71">
      <c r="I71" s="73">
        <f>IF($A71="","",$A71&amp;"|"&amp;$B71&amp;"|"&amp;$C71&amp;"|"&amp;$D71)</f>
        <v/>
      </c>
    </row>
    <row r="72">
      <c r="I72" s="73">
        <f>IF($A72="","",$A72&amp;"|"&amp;$B72&amp;"|"&amp;$C72&amp;"|"&amp;$D72)</f>
        <v/>
      </c>
    </row>
    <row r="73">
      <c r="I73" s="73">
        <f>IF($A73="","",$A73&amp;"|"&amp;$B73&amp;"|"&amp;$C73&amp;"|"&amp;$D73)</f>
        <v/>
      </c>
    </row>
    <row r="74">
      <c r="I74" s="73">
        <f>IF($A74="","",$A74&amp;"|"&amp;$B74&amp;"|"&amp;$C74&amp;"|"&amp;$D74)</f>
        <v/>
      </c>
    </row>
    <row r="75">
      <c r="I75" s="73">
        <f>IF($A75="","",$A75&amp;"|"&amp;$B75&amp;"|"&amp;$C75&amp;"|"&amp;$D75)</f>
        <v/>
      </c>
    </row>
    <row r="76">
      <c r="I76" s="73">
        <f>IF($A76="","",$A76&amp;"|"&amp;$B76&amp;"|"&amp;$C76&amp;"|"&amp;$D76)</f>
        <v/>
      </c>
    </row>
    <row r="77">
      <c r="I77" s="73">
        <f>IF($A77="","",$A77&amp;"|"&amp;$B77&amp;"|"&amp;$C77&amp;"|"&amp;$D77)</f>
        <v/>
      </c>
    </row>
    <row r="78">
      <c r="I78" s="73">
        <f>IF($A78="","",$A78&amp;"|"&amp;$B78&amp;"|"&amp;$C78&amp;"|"&amp;$D78)</f>
        <v/>
      </c>
    </row>
    <row r="79">
      <c r="I79" s="73">
        <f>IF($A79="","",$A79&amp;"|"&amp;$B79&amp;"|"&amp;$C79&amp;"|"&amp;$D79)</f>
        <v/>
      </c>
    </row>
    <row r="80">
      <c r="I80" s="73">
        <f>IF($A80="","",$A80&amp;"|"&amp;$B80&amp;"|"&amp;$C80&amp;"|"&amp;$D80)</f>
        <v/>
      </c>
    </row>
    <row r="81">
      <c r="I81" s="73">
        <f>IF($A81="","",$A81&amp;"|"&amp;$B81&amp;"|"&amp;$C81&amp;"|"&amp;$D81)</f>
        <v/>
      </c>
    </row>
    <row r="82">
      <c r="I82" s="73">
        <f>IF($A82="","",$A82&amp;"|"&amp;$B82&amp;"|"&amp;$C82&amp;"|"&amp;$D82)</f>
        <v/>
      </c>
    </row>
    <row r="83">
      <c r="I83" s="73">
        <f>IF($A83="","",$A83&amp;"|"&amp;$B83&amp;"|"&amp;$C83&amp;"|"&amp;$D83)</f>
        <v/>
      </c>
    </row>
    <row r="84">
      <c r="I84" s="73">
        <f>IF($A84="","",$A84&amp;"|"&amp;$B84&amp;"|"&amp;$C84&amp;"|"&amp;$D84)</f>
        <v/>
      </c>
    </row>
    <row r="85">
      <c r="I85" s="73">
        <f>IF($A85="","",$A85&amp;"|"&amp;$B85&amp;"|"&amp;$C85&amp;"|"&amp;$D85)</f>
        <v/>
      </c>
    </row>
    <row r="86">
      <c r="I86" s="73">
        <f>IF($A86="","",$A86&amp;"|"&amp;$B86&amp;"|"&amp;$C86&amp;"|"&amp;$D86)</f>
        <v/>
      </c>
    </row>
    <row r="87">
      <c r="I87" s="73">
        <f>IF($A87="","",$A87&amp;"|"&amp;$B87&amp;"|"&amp;$C87&amp;"|"&amp;$D87)</f>
        <v/>
      </c>
    </row>
    <row r="88">
      <c r="I88" s="73">
        <f>IF($A88="","",$A88&amp;"|"&amp;$B88&amp;"|"&amp;$C88&amp;"|"&amp;$D88)</f>
        <v/>
      </c>
    </row>
    <row r="89">
      <c r="I89" s="73">
        <f>IF($A89="","",$A89&amp;"|"&amp;$B89&amp;"|"&amp;$C89&amp;"|"&amp;$D89)</f>
        <v/>
      </c>
    </row>
    <row r="90">
      <c r="I90" s="73">
        <f>IF($A90="","",$A90&amp;"|"&amp;$B90&amp;"|"&amp;$C90&amp;"|"&amp;$D90)</f>
        <v/>
      </c>
    </row>
    <row r="91">
      <c r="I91" s="73">
        <f>IF($A91="","",$A91&amp;"|"&amp;$B91&amp;"|"&amp;$C91&amp;"|"&amp;$D91)</f>
        <v/>
      </c>
    </row>
    <row r="92">
      <c r="I92" s="73">
        <f>IF($A92="","",$A92&amp;"|"&amp;$B92&amp;"|"&amp;$C92&amp;"|"&amp;$D92)</f>
        <v/>
      </c>
    </row>
    <row r="93">
      <c r="I93" s="73">
        <f>IF($A93="","",$A93&amp;"|"&amp;$B93&amp;"|"&amp;$C93&amp;"|"&amp;$D93)</f>
        <v/>
      </c>
    </row>
    <row r="94">
      <c r="I94" s="73">
        <f>IF($A94="","",$A94&amp;"|"&amp;$B94&amp;"|"&amp;$C94&amp;"|"&amp;$D94)</f>
        <v/>
      </c>
    </row>
    <row r="95">
      <c r="I95" s="73">
        <f>IF($A95="","",$A95&amp;"|"&amp;$B95&amp;"|"&amp;$C95&amp;"|"&amp;$D95)</f>
        <v/>
      </c>
    </row>
    <row r="96">
      <c r="I96" s="73">
        <f>IF($A96="","",$A96&amp;"|"&amp;$B96&amp;"|"&amp;$C96&amp;"|"&amp;$D96)</f>
        <v/>
      </c>
    </row>
    <row r="97">
      <c r="I97" s="73">
        <f>IF($A97="","",$A97&amp;"|"&amp;$B97&amp;"|"&amp;$C97&amp;"|"&amp;$D97)</f>
        <v/>
      </c>
    </row>
    <row r="98">
      <c r="I98" s="73">
        <f>IF($A98="","",$A98&amp;"|"&amp;$B98&amp;"|"&amp;$C98&amp;"|"&amp;$D98)</f>
        <v/>
      </c>
    </row>
    <row r="99">
      <c r="I99" s="73">
        <f>IF($A99="","",$A99&amp;"|"&amp;$B99&amp;"|"&amp;$C99&amp;"|"&amp;$D99)</f>
        <v/>
      </c>
    </row>
    <row r="100">
      <c r="I100" s="73">
        <f>IF($A100="","",$A100&amp;"|"&amp;$B100&amp;"|"&amp;$C100&amp;"|"&amp;$D100)</f>
        <v/>
      </c>
    </row>
    <row r="101">
      <c r="I101" s="73">
        <f>IF($A101="","",$A101&amp;"|"&amp;$B101&amp;"|"&amp;$C101&amp;"|"&amp;$D101)</f>
        <v/>
      </c>
    </row>
    <row r="102">
      <c r="I102" s="73">
        <f>IF($A102="","",$A102&amp;"|"&amp;$B102&amp;"|"&amp;$C102&amp;"|"&amp;$D102)</f>
        <v/>
      </c>
    </row>
    <row r="103">
      <c r="I103" s="73">
        <f>IF($A103="","",$A103&amp;"|"&amp;$B103&amp;"|"&amp;$C103&amp;"|"&amp;$D103)</f>
        <v/>
      </c>
    </row>
    <row r="104">
      <c r="I104" s="73">
        <f>IF($A104="","",$A104&amp;"|"&amp;$B104&amp;"|"&amp;$C104&amp;"|"&amp;$D104)</f>
        <v/>
      </c>
    </row>
    <row r="105">
      <c r="I105" s="73">
        <f>IF($A105="","",$A105&amp;"|"&amp;$B105&amp;"|"&amp;$C105&amp;"|"&amp;$D105)</f>
        <v/>
      </c>
    </row>
    <row r="106">
      <c r="I106" s="73">
        <f>IF($A106="","",$A106&amp;"|"&amp;$B106&amp;"|"&amp;$C106&amp;"|"&amp;$D106)</f>
        <v/>
      </c>
    </row>
    <row r="107">
      <c r="I107" s="73">
        <f>IF($A107="","",$A107&amp;"|"&amp;$B107&amp;"|"&amp;$C107&amp;"|"&amp;$D107)</f>
        <v/>
      </c>
    </row>
    <row r="108">
      <c r="I108" s="73">
        <f>IF($A108="","",$A108&amp;"|"&amp;$B108&amp;"|"&amp;$C108&amp;"|"&amp;$D108)</f>
        <v/>
      </c>
    </row>
    <row r="109">
      <c r="I109" s="73">
        <f>IF($A109="","",$A109&amp;"|"&amp;$B109&amp;"|"&amp;$C109&amp;"|"&amp;$D109)</f>
        <v/>
      </c>
    </row>
    <row r="110">
      <c r="I110" s="73">
        <f>IF($A110="","",$A110&amp;"|"&amp;$B110&amp;"|"&amp;$C110&amp;"|"&amp;$D110)</f>
        <v/>
      </c>
    </row>
    <row r="111">
      <c r="I111" s="73">
        <f>IF($A111="","",$A111&amp;"|"&amp;$B111&amp;"|"&amp;$C111&amp;"|"&amp;$D111)</f>
        <v/>
      </c>
    </row>
    <row r="112">
      <c r="I112" s="73">
        <f>IF($A112="","",$A112&amp;"|"&amp;$B112&amp;"|"&amp;$C112&amp;"|"&amp;$D112)</f>
        <v/>
      </c>
    </row>
    <row r="113">
      <c r="I113" s="73">
        <f>IF($A113="","",$A113&amp;"|"&amp;$B113&amp;"|"&amp;$C113&amp;"|"&amp;$D113)</f>
        <v/>
      </c>
    </row>
    <row r="114">
      <c r="I114" s="73">
        <f>IF($A114="","",$A114&amp;"|"&amp;$B114&amp;"|"&amp;$C114&amp;"|"&amp;$D114)</f>
        <v/>
      </c>
    </row>
    <row r="115">
      <c r="I115" s="73">
        <f>IF($A115="","",$A115&amp;"|"&amp;$B115&amp;"|"&amp;$C115&amp;"|"&amp;$D115)</f>
        <v/>
      </c>
    </row>
    <row r="116">
      <c r="I116" s="73">
        <f>IF($A116="","",$A116&amp;"|"&amp;$B116&amp;"|"&amp;$C116&amp;"|"&amp;$D116)</f>
        <v/>
      </c>
    </row>
    <row r="117">
      <c r="I117" s="73">
        <f>IF($A117="","",$A117&amp;"|"&amp;$B117&amp;"|"&amp;$C117&amp;"|"&amp;$D117)</f>
        <v/>
      </c>
    </row>
    <row r="118">
      <c r="I118" s="73">
        <f>IF($A118="","",$A118&amp;"|"&amp;$B118&amp;"|"&amp;$C118&amp;"|"&amp;$D118)</f>
        <v/>
      </c>
    </row>
    <row r="119">
      <c r="I119" s="73">
        <f>IF($A119="","",$A119&amp;"|"&amp;$B119&amp;"|"&amp;$C119&amp;"|"&amp;$D119)</f>
        <v/>
      </c>
    </row>
    <row r="120">
      <c r="I120" s="73">
        <f>IF($A120="","",$A120&amp;"|"&amp;$B120&amp;"|"&amp;$C120&amp;"|"&amp;$D120)</f>
        <v/>
      </c>
    </row>
    <row r="121">
      <c r="I121" s="73">
        <f>IF($A121="","",$A121&amp;"|"&amp;$B121&amp;"|"&amp;$C121&amp;"|"&amp;$D121)</f>
        <v/>
      </c>
    </row>
    <row r="122">
      <c r="I122" s="73">
        <f>IF($A122="","",$A122&amp;"|"&amp;$B122&amp;"|"&amp;$C122&amp;"|"&amp;$D122)</f>
        <v/>
      </c>
    </row>
    <row r="123">
      <c r="I123" s="73">
        <f>IF($A123="","",$A123&amp;"|"&amp;$B123&amp;"|"&amp;$C123&amp;"|"&amp;$D123)</f>
        <v/>
      </c>
    </row>
    <row r="124">
      <c r="I124" s="73">
        <f>IF($A124="","",$A124&amp;"|"&amp;$B124&amp;"|"&amp;$C124&amp;"|"&amp;$D124)</f>
        <v/>
      </c>
    </row>
    <row r="125">
      <c r="I125" s="73">
        <f>IF($A125="","",$A125&amp;"|"&amp;$B125&amp;"|"&amp;$C125&amp;"|"&amp;$D125)</f>
        <v/>
      </c>
    </row>
    <row r="126">
      <c r="I126" s="73">
        <f>IF($A126="","",$A126&amp;"|"&amp;$B126&amp;"|"&amp;$C126&amp;"|"&amp;$D126)</f>
        <v/>
      </c>
    </row>
    <row r="127">
      <c r="I127" s="73">
        <f>IF($A127="","",$A127&amp;"|"&amp;$B127&amp;"|"&amp;$C127&amp;"|"&amp;$D127)</f>
        <v/>
      </c>
    </row>
    <row r="128">
      <c r="I128" s="73">
        <f>IF($A128="","",$A128&amp;"|"&amp;$B128&amp;"|"&amp;$C128&amp;"|"&amp;$D128)</f>
        <v/>
      </c>
    </row>
    <row r="129">
      <c r="I129" s="73">
        <f>IF($A129="","",$A129&amp;"|"&amp;$B129&amp;"|"&amp;$C129&amp;"|"&amp;$D129)</f>
        <v/>
      </c>
    </row>
    <row r="130">
      <c r="I130" s="73">
        <f>IF($A130="","",$A130&amp;"|"&amp;$B130&amp;"|"&amp;$C130&amp;"|"&amp;$D130)</f>
        <v/>
      </c>
    </row>
    <row r="131">
      <c r="I131" s="73">
        <f>IF($A131="","",$A131&amp;"|"&amp;$B131&amp;"|"&amp;$C131&amp;"|"&amp;$D131)</f>
        <v/>
      </c>
    </row>
    <row r="132">
      <c r="I132" s="73">
        <f>IF($A132="","",$A132&amp;"|"&amp;$B132&amp;"|"&amp;$C132&amp;"|"&amp;$D132)</f>
        <v/>
      </c>
    </row>
    <row r="133">
      <c r="I133" s="73">
        <f>IF($A133="","",$A133&amp;"|"&amp;$B133&amp;"|"&amp;$C133&amp;"|"&amp;$D133)</f>
        <v/>
      </c>
    </row>
    <row r="134">
      <c r="I134" s="73">
        <f>IF($A134="","",$A134&amp;"|"&amp;$B134&amp;"|"&amp;$C134&amp;"|"&amp;$D134)</f>
        <v/>
      </c>
    </row>
    <row r="135">
      <c r="I135" s="73">
        <f>IF($A135="","",$A135&amp;"|"&amp;$B135&amp;"|"&amp;$C135&amp;"|"&amp;$D135)</f>
        <v/>
      </c>
    </row>
    <row r="136">
      <c r="I136" s="73">
        <f>IF($A136="","",$A136&amp;"|"&amp;$B136&amp;"|"&amp;$C136&amp;"|"&amp;$D136)</f>
        <v/>
      </c>
    </row>
    <row r="137">
      <c r="I137" s="73">
        <f>IF($A137="","",$A137&amp;"|"&amp;$B137&amp;"|"&amp;$C137&amp;"|"&amp;$D137)</f>
        <v/>
      </c>
    </row>
    <row r="138">
      <c r="I138" s="73">
        <f>IF($A138="","",$A138&amp;"|"&amp;$B138&amp;"|"&amp;$C138&amp;"|"&amp;$D138)</f>
        <v/>
      </c>
    </row>
    <row r="139">
      <c r="I139" s="73">
        <f>IF($A139="","",$A139&amp;"|"&amp;$B139&amp;"|"&amp;$C139&amp;"|"&amp;$D139)</f>
        <v/>
      </c>
    </row>
    <row r="140">
      <c r="I140" s="73">
        <f>IF($A140="","",$A140&amp;"|"&amp;$B140&amp;"|"&amp;$C140&amp;"|"&amp;$D140)</f>
        <v/>
      </c>
    </row>
    <row r="141">
      <c r="I141" s="73">
        <f>IF($A141="","",$A141&amp;"|"&amp;$B141&amp;"|"&amp;$C141&amp;"|"&amp;$D141)</f>
        <v/>
      </c>
    </row>
    <row r="142">
      <c r="I142" s="73">
        <f>IF($A142="","",$A142&amp;"|"&amp;$B142&amp;"|"&amp;$C142&amp;"|"&amp;$D142)</f>
        <v/>
      </c>
    </row>
    <row r="143">
      <c r="I143" s="73">
        <f>IF($A143="","",$A143&amp;"|"&amp;$B143&amp;"|"&amp;$C143&amp;"|"&amp;$D143)</f>
        <v/>
      </c>
    </row>
    <row r="144">
      <c r="I144" s="73">
        <f>IF($A144="","",$A144&amp;"|"&amp;$B144&amp;"|"&amp;$C144&amp;"|"&amp;$D144)</f>
        <v/>
      </c>
    </row>
    <row r="145">
      <c r="I145" s="73">
        <f>IF($A145="","",$A145&amp;"|"&amp;$B145&amp;"|"&amp;$C145&amp;"|"&amp;$D145)</f>
        <v/>
      </c>
    </row>
    <row r="146">
      <c r="I146" s="73">
        <f>IF($A146="","",$A146&amp;"|"&amp;$B146&amp;"|"&amp;$C146&amp;"|"&amp;$D146)</f>
        <v/>
      </c>
    </row>
    <row r="147">
      <c r="I147" s="73">
        <f>IF($A147="","",$A147&amp;"|"&amp;$B147&amp;"|"&amp;$C147&amp;"|"&amp;$D147)</f>
        <v/>
      </c>
    </row>
    <row r="148">
      <c r="I148" s="73">
        <f>IF($A148="","",$A148&amp;"|"&amp;$B148&amp;"|"&amp;$C148&amp;"|"&amp;$D148)</f>
        <v/>
      </c>
    </row>
    <row r="149">
      <c r="I149" s="73">
        <f>IF($A149="","",$A149&amp;"|"&amp;$B149&amp;"|"&amp;$C149&amp;"|"&amp;$D149)</f>
        <v/>
      </c>
    </row>
    <row r="150">
      <c r="I150" s="73">
        <f>IF($A150="","",$A150&amp;"|"&amp;$B150&amp;"|"&amp;$C150&amp;"|"&amp;$D150)</f>
        <v/>
      </c>
    </row>
    <row r="151">
      <c r="I151" s="73">
        <f>IF($A151="","",$A151&amp;"|"&amp;$B151&amp;"|"&amp;$C151&amp;"|"&amp;$D151)</f>
        <v/>
      </c>
    </row>
    <row r="152">
      <c r="I152" s="73">
        <f>IF($A152="","",$A152&amp;"|"&amp;$B152&amp;"|"&amp;$C152&amp;"|"&amp;$D152)</f>
        <v/>
      </c>
    </row>
    <row r="153">
      <c r="I153" s="73">
        <f>IF($A153="","",$A153&amp;"|"&amp;$B153&amp;"|"&amp;$C153&amp;"|"&amp;$D153)</f>
        <v/>
      </c>
    </row>
    <row r="154">
      <c r="I154" s="73">
        <f>IF($A154="","",$A154&amp;"|"&amp;$B154&amp;"|"&amp;$C154&amp;"|"&amp;$D154)</f>
        <v/>
      </c>
    </row>
    <row r="155">
      <c r="I155" s="73">
        <f>IF($A155="","",$A155&amp;"|"&amp;$B155&amp;"|"&amp;$C155&amp;"|"&amp;$D155)</f>
        <v/>
      </c>
    </row>
    <row r="156">
      <c r="I156" s="73">
        <f>IF($A156="","",$A156&amp;"|"&amp;$B156&amp;"|"&amp;$C156&amp;"|"&amp;$D156)</f>
        <v/>
      </c>
    </row>
    <row r="157">
      <c r="I157" s="73">
        <f>IF($A157="","",$A157&amp;"|"&amp;$B157&amp;"|"&amp;$C157&amp;"|"&amp;$D157)</f>
        <v/>
      </c>
    </row>
    <row r="158">
      <c r="I158" s="73">
        <f>IF($A158="","",$A158&amp;"|"&amp;$B158&amp;"|"&amp;$C158&amp;"|"&amp;$D158)</f>
        <v/>
      </c>
    </row>
    <row r="159">
      <c r="I159" s="73">
        <f>IF($A159="","",$A159&amp;"|"&amp;$B159&amp;"|"&amp;$C159&amp;"|"&amp;$D159)</f>
        <v/>
      </c>
    </row>
    <row r="160">
      <c r="I160" s="73">
        <f>IF($A160="","",$A160&amp;"|"&amp;$B160&amp;"|"&amp;$C160&amp;"|"&amp;$D160)</f>
        <v/>
      </c>
    </row>
    <row r="161">
      <c r="I161" s="73">
        <f>IF($A161="","",$A161&amp;"|"&amp;$B161&amp;"|"&amp;$C161&amp;"|"&amp;$D161)</f>
        <v/>
      </c>
    </row>
    <row r="162">
      <c r="I162" s="73">
        <f>IF($A162="","",$A162&amp;"|"&amp;$B162&amp;"|"&amp;$C162&amp;"|"&amp;$D162)</f>
        <v/>
      </c>
    </row>
    <row r="163">
      <c r="I163" s="73">
        <f>IF($A163="","",$A163&amp;"|"&amp;$B163&amp;"|"&amp;$C163&amp;"|"&amp;$D163)</f>
        <v/>
      </c>
    </row>
    <row r="164">
      <c r="I164" s="73">
        <f>IF($A164="","",$A164&amp;"|"&amp;$B164&amp;"|"&amp;$C164&amp;"|"&amp;$D164)</f>
        <v/>
      </c>
    </row>
    <row r="165">
      <c r="I165" s="73">
        <f>IF($A165="","",$A165&amp;"|"&amp;$B165&amp;"|"&amp;$C165&amp;"|"&amp;$D165)</f>
        <v/>
      </c>
    </row>
    <row r="166">
      <c r="I166" s="73">
        <f>IF($A166="","",$A166&amp;"|"&amp;$B166&amp;"|"&amp;$C166&amp;"|"&amp;$D166)</f>
        <v/>
      </c>
    </row>
    <row r="167">
      <c r="I167" s="73">
        <f>IF($A167="","",$A167&amp;"|"&amp;$B167&amp;"|"&amp;$C167&amp;"|"&amp;$D167)</f>
        <v/>
      </c>
    </row>
    <row r="168">
      <c r="I168" s="73">
        <f>IF($A168="","",$A168&amp;"|"&amp;$B168&amp;"|"&amp;$C168&amp;"|"&amp;$D168)</f>
        <v/>
      </c>
    </row>
    <row r="169">
      <c r="I169" s="73">
        <f>IF($A169="","",$A169&amp;"|"&amp;$B169&amp;"|"&amp;$C169&amp;"|"&amp;$D169)</f>
        <v/>
      </c>
    </row>
    <row r="170">
      <c r="I170" s="73">
        <f>IF($A170="","",$A170&amp;"|"&amp;$B170&amp;"|"&amp;$C170&amp;"|"&amp;$D170)</f>
        <v/>
      </c>
    </row>
    <row r="171">
      <c r="I171" s="73">
        <f>IF($A171="","",$A171&amp;"|"&amp;$B171&amp;"|"&amp;$C171&amp;"|"&amp;$D171)</f>
        <v/>
      </c>
    </row>
    <row r="172">
      <c r="I172" s="73">
        <f>IF($A172="","",$A172&amp;"|"&amp;$B172&amp;"|"&amp;$C172&amp;"|"&amp;$D172)</f>
        <v/>
      </c>
    </row>
    <row r="173">
      <c r="I173" s="73">
        <f>IF($A173="","",$A173&amp;"|"&amp;$B173&amp;"|"&amp;$C173&amp;"|"&amp;$D173)</f>
        <v/>
      </c>
    </row>
    <row r="174">
      <c r="I174" s="73">
        <f>IF($A174="","",$A174&amp;"|"&amp;$B174&amp;"|"&amp;$C174&amp;"|"&amp;$D174)</f>
        <v/>
      </c>
    </row>
    <row r="175">
      <c r="I175" s="73">
        <f>IF($A175="","",$A175&amp;"|"&amp;$B175&amp;"|"&amp;$C175&amp;"|"&amp;$D175)</f>
        <v/>
      </c>
    </row>
    <row r="176">
      <c r="I176" s="73">
        <f>IF($A176="","",$A176&amp;"|"&amp;$B176&amp;"|"&amp;$C176&amp;"|"&amp;$D176)</f>
        <v/>
      </c>
    </row>
    <row r="177">
      <c r="I177" s="73">
        <f>IF($A177="","",$A177&amp;"|"&amp;$B177&amp;"|"&amp;$C177&amp;"|"&amp;$D177)</f>
        <v/>
      </c>
    </row>
    <row r="178">
      <c r="I178" s="73">
        <f>IF($A178="","",$A178&amp;"|"&amp;$B178&amp;"|"&amp;$C178&amp;"|"&amp;$D178)</f>
        <v/>
      </c>
    </row>
    <row r="179">
      <c r="I179" s="73">
        <f>IF($A179="","",$A179&amp;"|"&amp;$B179&amp;"|"&amp;$C179&amp;"|"&amp;$D179)</f>
        <v/>
      </c>
    </row>
    <row r="180">
      <c r="I180" s="73">
        <f>IF($A180="","",$A180&amp;"|"&amp;$B180&amp;"|"&amp;$C180&amp;"|"&amp;$D180)</f>
        <v/>
      </c>
    </row>
    <row r="181">
      <c r="I181" s="73">
        <f>IF($A181="","",$A181&amp;"|"&amp;$B181&amp;"|"&amp;$C181&amp;"|"&amp;$D181)</f>
        <v/>
      </c>
    </row>
    <row r="182">
      <c r="I182" s="73">
        <f>IF($A182="","",$A182&amp;"|"&amp;$B182&amp;"|"&amp;$C182&amp;"|"&amp;$D182)</f>
        <v/>
      </c>
    </row>
    <row r="183">
      <c r="I183" s="73">
        <f>IF($A183="","",$A183&amp;"|"&amp;$B183&amp;"|"&amp;$C183&amp;"|"&amp;$D183)</f>
        <v/>
      </c>
    </row>
    <row r="184">
      <c r="I184" s="73">
        <f>IF($A184="","",$A184&amp;"|"&amp;$B184&amp;"|"&amp;$C184&amp;"|"&amp;$D184)</f>
        <v/>
      </c>
    </row>
    <row r="185">
      <c r="I185" s="73">
        <f>IF($A185="","",$A185&amp;"|"&amp;$B185&amp;"|"&amp;$C185&amp;"|"&amp;$D185)</f>
        <v/>
      </c>
    </row>
    <row r="186">
      <c r="I186" s="73">
        <f>IF($A186="","",$A186&amp;"|"&amp;$B186&amp;"|"&amp;$C186&amp;"|"&amp;$D186)</f>
        <v/>
      </c>
    </row>
    <row r="187">
      <c r="I187" s="73">
        <f>IF($A187="","",$A187&amp;"|"&amp;$B187&amp;"|"&amp;$C187&amp;"|"&amp;$D187)</f>
        <v/>
      </c>
    </row>
    <row r="188">
      <c r="I188" s="73">
        <f>IF($A188="","",$A188&amp;"|"&amp;$B188&amp;"|"&amp;$C188&amp;"|"&amp;$D188)</f>
        <v/>
      </c>
    </row>
    <row r="189">
      <c r="I189" s="73">
        <f>IF($A189="","",$A189&amp;"|"&amp;$B189&amp;"|"&amp;$C189&amp;"|"&amp;$D189)</f>
        <v/>
      </c>
    </row>
    <row r="190">
      <c r="I190" s="73">
        <f>IF($A190="","",$A190&amp;"|"&amp;$B190&amp;"|"&amp;$C190&amp;"|"&amp;$D190)</f>
        <v/>
      </c>
    </row>
    <row r="191">
      <c r="I191" s="73">
        <f>IF($A191="","",$A191&amp;"|"&amp;$B191&amp;"|"&amp;$C191&amp;"|"&amp;$D191)</f>
        <v/>
      </c>
    </row>
    <row r="192">
      <c r="I192" s="73">
        <f>IF($A192="","",$A192&amp;"|"&amp;$B192&amp;"|"&amp;$C192&amp;"|"&amp;$D192)</f>
        <v/>
      </c>
    </row>
    <row r="193">
      <c r="I193" s="73">
        <f>IF($A193="","",$A193&amp;"|"&amp;$B193&amp;"|"&amp;$C193&amp;"|"&amp;$D193)</f>
        <v/>
      </c>
    </row>
    <row r="194">
      <c r="I194" s="73">
        <f>IF($A194="","",$A194&amp;"|"&amp;$B194&amp;"|"&amp;$C194&amp;"|"&amp;$D194)</f>
        <v/>
      </c>
    </row>
    <row r="195">
      <c r="I195" s="73">
        <f>IF($A195="","",$A195&amp;"|"&amp;$B195&amp;"|"&amp;$C195&amp;"|"&amp;$D195)</f>
        <v/>
      </c>
    </row>
    <row r="196">
      <c r="I196" s="73">
        <f>IF($A196="","",$A196&amp;"|"&amp;$B196&amp;"|"&amp;$C196&amp;"|"&amp;$D196)</f>
        <v/>
      </c>
    </row>
    <row r="197">
      <c r="I197" s="73">
        <f>IF($A197="","",$A197&amp;"|"&amp;$B197&amp;"|"&amp;$C197&amp;"|"&amp;$D197)</f>
        <v/>
      </c>
    </row>
    <row r="198">
      <c r="I198" s="73">
        <f>IF($A198="","",$A198&amp;"|"&amp;$B198&amp;"|"&amp;$C198&amp;"|"&amp;$D198)</f>
        <v/>
      </c>
    </row>
    <row r="199">
      <c r="I199" s="73">
        <f>IF($A199="","",$A199&amp;"|"&amp;$B199&amp;"|"&amp;$C199&amp;"|"&amp;$D199)</f>
        <v/>
      </c>
    </row>
    <row r="200">
      <c r="I200" s="73">
        <f>IF($A200="","",$A200&amp;"|"&amp;$B200&amp;"|"&amp;$C200&amp;"|"&amp;$D200)</f>
        <v/>
      </c>
    </row>
    <row r="201">
      <c r="I201" s="73">
        <f>IF($A201="","",$A201&amp;"|"&amp;$B201&amp;"|"&amp;$C201&amp;"|"&amp;$D201)</f>
        <v/>
      </c>
    </row>
    <row r="202">
      <c r="I202" s="73">
        <f>IF($A202="","",$A202&amp;"|"&amp;$B202&amp;"|"&amp;$C202&amp;"|"&amp;$D202)</f>
        <v/>
      </c>
    </row>
    <row r="203">
      <c r="I203" s="73">
        <f>IF($A203="","",$A203&amp;"|"&amp;$B203&amp;"|"&amp;$C203&amp;"|"&amp;$D203)</f>
        <v/>
      </c>
    </row>
    <row r="204">
      <c r="I204" s="73">
        <f>IF($A204="","",$A204&amp;"|"&amp;$B204&amp;"|"&amp;$C204&amp;"|"&amp;$D204)</f>
        <v/>
      </c>
    </row>
    <row r="205">
      <c r="I205" s="73">
        <f>IF($A205="","",$A205&amp;"|"&amp;$B205&amp;"|"&amp;$C205&amp;"|"&amp;$D205)</f>
        <v/>
      </c>
    </row>
    <row r="206">
      <c r="I206" s="73">
        <f>IF($A206="","",$A206&amp;"|"&amp;$B206&amp;"|"&amp;$C206&amp;"|"&amp;$D206)</f>
        <v/>
      </c>
    </row>
    <row r="207">
      <c r="I207" s="73">
        <f>IF($A207="","",$A207&amp;"|"&amp;$B207&amp;"|"&amp;$C207&amp;"|"&amp;$D207)</f>
        <v/>
      </c>
    </row>
    <row r="208">
      <c r="I208" s="73">
        <f>IF($A208="","",$A208&amp;"|"&amp;$B208&amp;"|"&amp;$C208&amp;"|"&amp;$D208)</f>
        <v/>
      </c>
    </row>
    <row r="209">
      <c r="I209" s="73">
        <f>IF($A209="","",$A209&amp;"|"&amp;$B209&amp;"|"&amp;$C209&amp;"|"&amp;$D209)</f>
        <v/>
      </c>
    </row>
    <row r="210">
      <c r="I210" s="73">
        <f>IF($A210="","",$A210&amp;"|"&amp;$B210&amp;"|"&amp;$C210&amp;"|"&amp;$D210)</f>
        <v/>
      </c>
    </row>
    <row r="211">
      <c r="I211" s="73">
        <f>IF($A211="","",$A211&amp;"|"&amp;$B211&amp;"|"&amp;$C211&amp;"|"&amp;$D211)</f>
        <v/>
      </c>
    </row>
    <row r="212">
      <c r="I212" s="73">
        <f>IF($A212="","",$A212&amp;"|"&amp;$B212&amp;"|"&amp;$C212&amp;"|"&amp;$D212)</f>
        <v/>
      </c>
    </row>
    <row r="213">
      <c r="I213" s="73">
        <f>IF($A213="","",$A213&amp;"|"&amp;$B213&amp;"|"&amp;$C213&amp;"|"&amp;$D213)</f>
        <v/>
      </c>
    </row>
    <row r="214">
      <c r="I214" s="73">
        <f>IF($A214="","",$A214&amp;"|"&amp;$B214&amp;"|"&amp;$C214&amp;"|"&amp;$D214)</f>
        <v/>
      </c>
    </row>
    <row r="215">
      <c r="I215" s="73">
        <f>IF($A215="","",$A215&amp;"|"&amp;$B215&amp;"|"&amp;$C215&amp;"|"&amp;$D215)</f>
        <v/>
      </c>
    </row>
    <row r="216">
      <c r="I216" s="73">
        <f>IF($A216="","",$A216&amp;"|"&amp;$B216&amp;"|"&amp;$C216&amp;"|"&amp;$D216)</f>
        <v/>
      </c>
    </row>
    <row r="217">
      <c r="I217" s="73">
        <f>IF($A217="","",$A217&amp;"|"&amp;$B217&amp;"|"&amp;$C217&amp;"|"&amp;$D217)</f>
        <v/>
      </c>
    </row>
    <row r="218">
      <c r="I218" s="73">
        <f>IF($A218="","",$A218&amp;"|"&amp;$B218&amp;"|"&amp;$C218&amp;"|"&amp;$D218)</f>
        <v/>
      </c>
    </row>
    <row r="219">
      <c r="I219" s="73">
        <f>IF($A219="","",$A219&amp;"|"&amp;$B219&amp;"|"&amp;$C219&amp;"|"&amp;$D219)</f>
        <v/>
      </c>
    </row>
    <row r="220">
      <c r="I220" s="73">
        <f>IF($A220="","",$A220&amp;"|"&amp;$B220&amp;"|"&amp;$C220&amp;"|"&amp;$D220)</f>
        <v/>
      </c>
    </row>
    <row r="221">
      <c r="I221" s="73">
        <f>IF($A221="","",$A221&amp;"|"&amp;$B221&amp;"|"&amp;$C221&amp;"|"&amp;$D221)</f>
        <v/>
      </c>
    </row>
    <row r="222">
      <c r="I222" s="73">
        <f>IF($A222="","",$A222&amp;"|"&amp;$B222&amp;"|"&amp;$C222&amp;"|"&amp;$D222)</f>
        <v/>
      </c>
    </row>
    <row r="223">
      <c r="I223" s="73">
        <f>IF($A223="","",$A223&amp;"|"&amp;$B223&amp;"|"&amp;$C223&amp;"|"&amp;$D223)</f>
        <v/>
      </c>
    </row>
    <row r="224">
      <c r="I224" s="73">
        <f>IF($A224="","",$A224&amp;"|"&amp;$B224&amp;"|"&amp;$C224&amp;"|"&amp;$D224)</f>
        <v/>
      </c>
    </row>
    <row r="225">
      <c r="I225" s="73">
        <f>IF($A225="","",$A225&amp;"|"&amp;$B225&amp;"|"&amp;$C225&amp;"|"&amp;$D225)</f>
        <v/>
      </c>
    </row>
    <row r="226">
      <c r="I226" s="73">
        <f>IF($A226="","",$A226&amp;"|"&amp;$B226&amp;"|"&amp;$C226&amp;"|"&amp;$D226)</f>
        <v/>
      </c>
    </row>
    <row r="227">
      <c r="I227" s="73">
        <f>IF($A227="","",$A227&amp;"|"&amp;$B227&amp;"|"&amp;$C227&amp;"|"&amp;$D227)</f>
        <v/>
      </c>
    </row>
    <row r="228">
      <c r="I228" s="73">
        <f>IF($A228="","",$A228&amp;"|"&amp;$B228&amp;"|"&amp;$C228&amp;"|"&amp;$D228)</f>
        <v/>
      </c>
    </row>
    <row r="229">
      <c r="I229" s="73">
        <f>IF($A229="","",$A229&amp;"|"&amp;$B229&amp;"|"&amp;$C229&amp;"|"&amp;$D229)</f>
        <v/>
      </c>
    </row>
    <row r="230">
      <c r="I230" s="73">
        <f>IF($A230="","",$A230&amp;"|"&amp;$B230&amp;"|"&amp;$C230&amp;"|"&amp;$D230)</f>
        <v/>
      </c>
    </row>
    <row r="231">
      <c r="I231" s="73">
        <f>IF($A231="","",$A231&amp;"|"&amp;$B231&amp;"|"&amp;$C231&amp;"|"&amp;$D231)</f>
        <v/>
      </c>
    </row>
    <row r="232">
      <c r="I232" s="73">
        <f>IF($A232="","",$A232&amp;"|"&amp;$B232&amp;"|"&amp;$C232&amp;"|"&amp;$D232)</f>
        <v/>
      </c>
    </row>
    <row r="233">
      <c r="I233" s="73">
        <f>IF($A233="","",$A233&amp;"|"&amp;$B233&amp;"|"&amp;$C233&amp;"|"&amp;$D233)</f>
        <v/>
      </c>
    </row>
    <row r="234">
      <c r="I234" s="73">
        <f>IF($A234="","",$A234&amp;"|"&amp;$B234&amp;"|"&amp;$C234&amp;"|"&amp;$D234)</f>
        <v/>
      </c>
    </row>
    <row r="235">
      <c r="I235" s="73">
        <f>IF($A235="","",$A235&amp;"|"&amp;$B235&amp;"|"&amp;$C235&amp;"|"&amp;$D235)</f>
        <v/>
      </c>
    </row>
    <row r="236">
      <c r="I236" s="73">
        <f>IF($A236="","",$A236&amp;"|"&amp;$B236&amp;"|"&amp;$C236&amp;"|"&amp;$D236)</f>
        <v/>
      </c>
    </row>
    <row r="237">
      <c r="I237" s="73">
        <f>IF($A237="","",$A237&amp;"|"&amp;$B237&amp;"|"&amp;$C237&amp;"|"&amp;$D237)</f>
        <v/>
      </c>
    </row>
    <row r="238">
      <c r="I238" s="73">
        <f>IF($A238="","",$A238&amp;"|"&amp;$B238&amp;"|"&amp;$C238&amp;"|"&amp;$D238)</f>
        <v/>
      </c>
    </row>
    <row r="239">
      <c r="I239" s="73">
        <f>IF($A239="","",$A239&amp;"|"&amp;$B239&amp;"|"&amp;$C239&amp;"|"&amp;$D239)</f>
        <v/>
      </c>
    </row>
    <row r="240">
      <c r="I240" s="73">
        <f>IF($A240="","",$A240&amp;"|"&amp;$B240&amp;"|"&amp;$C240&amp;"|"&amp;$D240)</f>
        <v/>
      </c>
    </row>
    <row r="241">
      <c r="I241" s="73">
        <f>IF($A241="","",$A241&amp;"|"&amp;$B241&amp;"|"&amp;$C241&amp;"|"&amp;$D241)</f>
        <v/>
      </c>
    </row>
    <row r="242">
      <c r="I242" s="73">
        <f>IF($A242="","",$A242&amp;"|"&amp;$B242&amp;"|"&amp;$C242&amp;"|"&amp;$D242)</f>
        <v/>
      </c>
    </row>
    <row r="243">
      <c r="I243" s="73">
        <f>IF($A243="","",$A243&amp;"|"&amp;$B243&amp;"|"&amp;$C243&amp;"|"&amp;$D243)</f>
        <v/>
      </c>
    </row>
    <row r="244">
      <c r="I244" s="73">
        <f>IF($A244="","",$A244&amp;"|"&amp;$B244&amp;"|"&amp;$C244&amp;"|"&amp;$D244)</f>
        <v/>
      </c>
    </row>
    <row r="245">
      <c r="I245" s="73">
        <f>IF($A245="","",$A245&amp;"|"&amp;$B245&amp;"|"&amp;$C245&amp;"|"&amp;$D245)</f>
        <v/>
      </c>
    </row>
    <row r="246">
      <c r="I246" s="73">
        <f>IF($A246="","",$A246&amp;"|"&amp;$B246&amp;"|"&amp;$C246&amp;"|"&amp;$D246)</f>
        <v/>
      </c>
    </row>
    <row r="247">
      <c r="I247" s="73">
        <f>IF($A247="","",$A247&amp;"|"&amp;$B247&amp;"|"&amp;$C247&amp;"|"&amp;$D247)</f>
        <v/>
      </c>
    </row>
    <row r="248">
      <c r="I248" s="73">
        <f>IF($A248="","",$A248&amp;"|"&amp;$B248&amp;"|"&amp;$C248&amp;"|"&amp;$D248)</f>
        <v/>
      </c>
    </row>
    <row r="249">
      <c r="I249" s="73">
        <f>IF($A249="","",$A249&amp;"|"&amp;$B249&amp;"|"&amp;$C249&amp;"|"&amp;$D249)</f>
        <v/>
      </c>
    </row>
    <row r="250">
      <c r="I250" s="73">
        <f>IF($A250="","",$A250&amp;"|"&amp;$B250&amp;"|"&amp;$C250&amp;"|"&amp;$D250)</f>
        <v/>
      </c>
    </row>
    <row r="251">
      <c r="I251" s="73">
        <f>IF($A251="","",$A251&amp;"|"&amp;$B251&amp;"|"&amp;$C251&amp;"|"&amp;$D251)</f>
        <v/>
      </c>
    </row>
    <row r="252">
      <c r="I252" s="73">
        <f>IF($A252="","",$A252&amp;"|"&amp;$B252&amp;"|"&amp;$C252&amp;"|"&amp;$D252)</f>
        <v/>
      </c>
    </row>
    <row r="253">
      <c r="I253" s="73">
        <f>IF($A253="","",$A253&amp;"|"&amp;$B253&amp;"|"&amp;$C253&amp;"|"&amp;$D253)</f>
        <v/>
      </c>
    </row>
    <row r="254">
      <c r="I254" s="73">
        <f>IF($A254="","",$A254&amp;"|"&amp;$B254&amp;"|"&amp;$C254&amp;"|"&amp;$D254)</f>
        <v/>
      </c>
    </row>
    <row r="255">
      <c r="I255" s="73">
        <f>IF($A255="","",$A255&amp;"|"&amp;$B255&amp;"|"&amp;$C255&amp;"|"&amp;$D255)</f>
        <v/>
      </c>
    </row>
    <row r="256">
      <c r="I256" s="73">
        <f>IF($A256="","",$A256&amp;"|"&amp;$B256&amp;"|"&amp;$C256&amp;"|"&amp;$D256)</f>
        <v/>
      </c>
    </row>
    <row r="257">
      <c r="I257" s="73">
        <f>IF($A257="","",$A257&amp;"|"&amp;$B257&amp;"|"&amp;$C257&amp;"|"&amp;$D257)</f>
        <v/>
      </c>
    </row>
    <row r="258">
      <c r="I258" s="73">
        <f>IF($A258="","",$A258&amp;"|"&amp;$B258&amp;"|"&amp;$C258&amp;"|"&amp;$D258)</f>
        <v/>
      </c>
    </row>
    <row r="259">
      <c r="I259" s="73">
        <f>IF($A259="","",$A259&amp;"|"&amp;$B259&amp;"|"&amp;$C259&amp;"|"&amp;$D259)</f>
        <v/>
      </c>
    </row>
    <row r="260">
      <c r="I260" s="73">
        <f>IF($A260="","",$A260&amp;"|"&amp;$B260&amp;"|"&amp;$C260&amp;"|"&amp;$D260)</f>
        <v/>
      </c>
    </row>
    <row r="261">
      <c r="I261" s="73">
        <f>IF($A261="","",$A261&amp;"|"&amp;$B261&amp;"|"&amp;$C261&amp;"|"&amp;$D261)</f>
        <v/>
      </c>
    </row>
    <row r="262">
      <c r="I262" s="73">
        <f>IF($A262="","",$A262&amp;"|"&amp;$B262&amp;"|"&amp;$C262&amp;"|"&amp;$D262)</f>
        <v/>
      </c>
    </row>
    <row r="263">
      <c r="I263" s="73">
        <f>IF($A263="","",$A263&amp;"|"&amp;$B263&amp;"|"&amp;$C263&amp;"|"&amp;$D263)</f>
        <v/>
      </c>
    </row>
    <row r="264">
      <c r="I264" s="73">
        <f>IF($A264="","",$A264&amp;"|"&amp;$B264&amp;"|"&amp;$C264&amp;"|"&amp;$D264)</f>
        <v/>
      </c>
    </row>
    <row r="265">
      <c r="I265" s="73">
        <f>IF($A265="","",$A265&amp;"|"&amp;$B265&amp;"|"&amp;$C265&amp;"|"&amp;$D265)</f>
        <v/>
      </c>
    </row>
    <row r="266">
      <c r="I266" s="73">
        <f>IF($A266="","",$A266&amp;"|"&amp;$B266&amp;"|"&amp;$C266&amp;"|"&amp;$D266)</f>
        <v/>
      </c>
    </row>
    <row r="267">
      <c r="I267" s="73">
        <f>IF($A267="","",$A267&amp;"|"&amp;$B267&amp;"|"&amp;$C267&amp;"|"&amp;$D267)</f>
        <v/>
      </c>
    </row>
    <row r="268">
      <c r="I268" s="73">
        <f>IF($A268="","",$A268&amp;"|"&amp;$B268&amp;"|"&amp;$C268&amp;"|"&amp;$D268)</f>
        <v/>
      </c>
    </row>
    <row r="269">
      <c r="I269" s="73">
        <f>IF($A269="","",$A269&amp;"|"&amp;$B269&amp;"|"&amp;$C269&amp;"|"&amp;$D269)</f>
        <v/>
      </c>
    </row>
    <row r="270">
      <c r="I270" s="73">
        <f>IF($A270="","",$A270&amp;"|"&amp;$B270&amp;"|"&amp;$C270&amp;"|"&amp;$D270)</f>
        <v/>
      </c>
    </row>
    <row r="271">
      <c r="I271" s="73">
        <f>IF($A271="","",$A271&amp;"|"&amp;$B271&amp;"|"&amp;$C271&amp;"|"&amp;$D271)</f>
        <v/>
      </c>
    </row>
    <row r="272">
      <c r="I272" s="73">
        <f>IF($A272="","",$A272&amp;"|"&amp;$B272&amp;"|"&amp;$C272&amp;"|"&amp;$D272)</f>
        <v/>
      </c>
    </row>
    <row r="273">
      <c r="I273" s="73">
        <f>IF($A273="","",$A273&amp;"|"&amp;$B273&amp;"|"&amp;$C273&amp;"|"&amp;$D273)</f>
        <v/>
      </c>
    </row>
    <row r="274">
      <c r="I274" s="73">
        <f>IF($A274="","",$A274&amp;"|"&amp;$B274&amp;"|"&amp;$C274&amp;"|"&amp;$D274)</f>
        <v/>
      </c>
    </row>
    <row r="275">
      <c r="I275" s="73">
        <f>IF($A275="","",$A275&amp;"|"&amp;$B275&amp;"|"&amp;$C275&amp;"|"&amp;$D275)</f>
        <v/>
      </c>
    </row>
    <row r="276">
      <c r="I276" s="73">
        <f>IF($A276="","",$A276&amp;"|"&amp;$B276&amp;"|"&amp;$C276&amp;"|"&amp;$D276)</f>
        <v/>
      </c>
    </row>
    <row r="277">
      <c r="I277" s="73">
        <f>IF($A277="","",$A277&amp;"|"&amp;$B277&amp;"|"&amp;$C277&amp;"|"&amp;$D277)</f>
        <v/>
      </c>
    </row>
    <row r="278">
      <c r="I278" s="73">
        <f>IF($A278="","",$A278&amp;"|"&amp;$B278&amp;"|"&amp;$C278&amp;"|"&amp;$D278)</f>
        <v/>
      </c>
    </row>
    <row r="279">
      <c r="I279" s="73">
        <f>IF($A279="","",$A279&amp;"|"&amp;$B279&amp;"|"&amp;$C279&amp;"|"&amp;$D279)</f>
        <v/>
      </c>
    </row>
    <row r="280">
      <c r="I280" s="73">
        <f>IF($A280="","",$A280&amp;"|"&amp;$B280&amp;"|"&amp;$C280&amp;"|"&amp;$D280)</f>
        <v/>
      </c>
    </row>
    <row r="281">
      <c r="I281" s="73">
        <f>IF($A281="","",$A281&amp;"|"&amp;$B281&amp;"|"&amp;$C281&amp;"|"&amp;$D281)</f>
        <v/>
      </c>
    </row>
    <row r="282">
      <c r="I282" s="73">
        <f>IF($A282="","",$A282&amp;"|"&amp;$B282&amp;"|"&amp;$C282&amp;"|"&amp;$D282)</f>
        <v/>
      </c>
    </row>
    <row r="283">
      <c r="I283" s="73">
        <f>IF($A283="","",$A283&amp;"|"&amp;$B283&amp;"|"&amp;$C283&amp;"|"&amp;$D283)</f>
        <v/>
      </c>
    </row>
    <row r="284">
      <c r="I284" s="73">
        <f>IF($A284="","",$A284&amp;"|"&amp;$B284&amp;"|"&amp;$C284&amp;"|"&amp;$D284)</f>
        <v/>
      </c>
    </row>
    <row r="285">
      <c r="I285" s="73">
        <f>IF($A285="","",$A285&amp;"|"&amp;$B285&amp;"|"&amp;$C285&amp;"|"&amp;$D285)</f>
        <v/>
      </c>
    </row>
    <row r="286">
      <c r="I286" s="73">
        <f>IF($A286="","",$A286&amp;"|"&amp;$B286&amp;"|"&amp;$C286&amp;"|"&amp;$D286)</f>
        <v/>
      </c>
    </row>
    <row r="287">
      <c r="I287" s="73">
        <f>IF($A287="","",$A287&amp;"|"&amp;$B287&amp;"|"&amp;$C287&amp;"|"&amp;$D287)</f>
        <v/>
      </c>
    </row>
    <row r="288">
      <c r="I288" s="73">
        <f>IF($A288="","",$A288&amp;"|"&amp;$B288&amp;"|"&amp;$C288&amp;"|"&amp;$D288)</f>
        <v/>
      </c>
    </row>
    <row r="289">
      <c r="I289" s="73">
        <f>IF($A289="","",$A289&amp;"|"&amp;$B289&amp;"|"&amp;$C289&amp;"|"&amp;$D289)</f>
        <v/>
      </c>
    </row>
    <row r="290">
      <c r="I290" s="73">
        <f>IF($A290="","",$A290&amp;"|"&amp;$B290&amp;"|"&amp;$C290&amp;"|"&amp;$D290)</f>
        <v/>
      </c>
    </row>
    <row r="291">
      <c r="I291" s="73">
        <f>IF($A291="","",$A291&amp;"|"&amp;$B291&amp;"|"&amp;$C291&amp;"|"&amp;$D291)</f>
        <v/>
      </c>
    </row>
    <row r="292">
      <c r="I292" s="73">
        <f>IF($A292="","",$A292&amp;"|"&amp;$B292&amp;"|"&amp;$C292&amp;"|"&amp;$D292)</f>
        <v/>
      </c>
    </row>
    <row r="293">
      <c r="I293" s="73">
        <f>IF($A293="","",$A293&amp;"|"&amp;$B293&amp;"|"&amp;$C293&amp;"|"&amp;$D293)</f>
        <v/>
      </c>
    </row>
    <row r="294">
      <c r="I294" s="73">
        <f>IF($A294="","",$A294&amp;"|"&amp;$B294&amp;"|"&amp;$C294&amp;"|"&amp;$D294)</f>
        <v/>
      </c>
    </row>
    <row r="295">
      <c r="I295" s="73">
        <f>IF($A295="","",$A295&amp;"|"&amp;$B295&amp;"|"&amp;$C295&amp;"|"&amp;$D295)</f>
        <v/>
      </c>
    </row>
    <row r="296">
      <c r="I296" s="73">
        <f>IF($A296="","",$A296&amp;"|"&amp;$B296&amp;"|"&amp;$C296&amp;"|"&amp;$D296)</f>
        <v/>
      </c>
    </row>
    <row r="297">
      <c r="I297" s="73">
        <f>IF($A297="","",$A297&amp;"|"&amp;$B297&amp;"|"&amp;$C297&amp;"|"&amp;$D297)</f>
        <v/>
      </c>
    </row>
    <row r="298">
      <c r="I298" s="73">
        <f>IF($A298="","",$A298&amp;"|"&amp;$B298&amp;"|"&amp;$C298&amp;"|"&amp;$D298)</f>
        <v/>
      </c>
    </row>
    <row r="299">
      <c r="I299" s="73">
        <f>IF($A299="","",$A299&amp;"|"&amp;$B299&amp;"|"&amp;$C299&amp;"|"&amp;$D299)</f>
        <v/>
      </c>
    </row>
    <row r="300">
      <c r="I300" s="73">
        <f>IF($A300="","",$A300&amp;"|"&amp;$B300&amp;"|"&amp;$C300&amp;"|"&amp;$D300)</f>
        <v/>
      </c>
    </row>
    <row r="301">
      <c r="I301" s="73">
        <f>IF($A301="","",$A301&amp;"|"&amp;$B301&amp;"|"&amp;$C301&amp;"|"&amp;$D301)</f>
        <v/>
      </c>
    </row>
    <row r="302">
      <c r="I302" s="73">
        <f>IF($A302="","",$A302&amp;"|"&amp;$B302&amp;"|"&amp;$C302&amp;"|"&amp;$D302)</f>
        <v/>
      </c>
    </row>
    <row r="303">
      <c r="I303" s="73">
        <f>IF($A303="","",$A303&amp;"|"&amp;$B303&amp;"|"&amp;$C303&amp;"|"&amp;$D303)</f>
        <v/>
      </c>
    </row>
    <row r="304">
      <c r="I304" s="73">
        <f>IF($A304="","",$A304&amp;"|"&amp;$B304&amp;"|"&amp;$C304&amp;"|"&amp;$D304)</f>
        <v/>
      </c>
    </row>
    <row r="305">
      <c r="I305" s="73">
        <f>IF($A305="","",$A305&amp;"|"&amp;$B305&amp;"|"&amp;$C305&amp;"|"&amp;$D305)</f>
        <v/>
      </c>
    </row>
    <row r="306">
      <c r="I306" s="73">
        <f>IF($A306="","",$A306&amp;"|"&amp;$B306&amp;"|"&amp;$C306&amp;"|"&amp;$D306)</f>
        <v/>
      </c>
    </row>
    <row r="307">
      <c r="I307" s="73">
        <f>IF($A307="","",$A307&amp;"|"&amp;$B307&amp;"|"&amp;$C307&amp;"|"&amp;$D307)</f>
        <v/>
      </c>
    </row>
    <row r="308">
      <c r="I308" s="73">
        <f>IF($A308="","",$A308&amp;"|"&amp;$B308&amp;"|"&amp;$C308&amp;"|"&amp;$D308)</f>
        <v/>
      </c>
    </row>
    <row r="309">
      <c r="I309" s="73">
        <f>IF($A309="","",$A309&amp;"|"&amp;$B309&amp;"|"&amp;$C309&amp;"|"&amp;$D309)</f>
        <v/>
      </c>
    </row>
    <row r="310">
      <c r="I310" s="73">
        <f>IF($A310="","",$A310&amp;"|"&amp;$B310&amp;"|"&amp;$C310&amp;"|"&amp;$D310)</f>
        <v/>
      </c>
    </row>
    <row r="311">
      <c r="I311" s="73">
        <f>IF($A311="","",$A311&amp;"|"&amp;$B311&amp;"|"&amp;$C311&amp;"|"&amp;$D311)</f>
        <v/>
      </c>
    </row>
    <row r="312">
      <c r="I312" s="73">
        <f>IF($A312="","",$A312&amp;"|"&amp;$B312&amp;"|"&amp;$C312&amp;"|"&amp;$D312)</f>
        <v/>
      </c>
    </row>
    <row r="313">
      <c r="I313" s="73">
        <f>IF($A313="","",$A313&amp;"|"&amp;$B313&amp;"|"&amp;$C313&amp;"|"&amp;$D313)</f>
        <v/>
      </c>
    </row>
    <row r="314">
      <c r="I314" s="73">
        <f>IF($A314="","",$A314&amp;"|"&amp;$B314&amp;"|"&amp;$C314&amp;"|"&amp;$D314)</f>
        <v/>
      </c>
    </row>
    <row r="315">
      <c r="I315" s="73">
        <f>IF($A315="","",$A315&amp;"|"&amp;$B315&amp;"|"&amp;$C315&amp;"|"&amp;$D315)</f>
        <v/>
      </c>
    </row>
    <row r="316">
      <c r="I316" s="73">
        <f>IF($A316="","",$A316&amp;"|"&amp;$B316&amp;"|"&amp;$C316&amp;"|"&amp;$D316)</f>
        <v/>
      </c>
    </row>
    <row r="317">
      <c r="I317" s="73">
        <f>IF($A317="","",$A317&amp;"|"&amp;$B317&amp;"|"&amp;$C317&amp;"|"&amp;$D317)</f>
        <v/>
      </c>
    </row>
    <row r="318">
      <c r="I318" s="73">
        <f>IF($A318="","",$A318&amp;"|"&amp;$B318&amp;"|"&amp;$C318&amp;"|"&amp;$D318)</f>
        <v/>
      </c>
    </row>
    <row r="319">
      <c r="I319" s="73">
        <f>IF($A319="","",$A319&amp;"|"&amp;$B319&amp;"|"&amp;$C319&amp;"|"&amp;$D319)</f>
        <v/>
      </c>
    </row>
    <row r="320">
      <c r="I320" s="73">
        <f>IF($A320="","",$A320&amp;"|"&amp;$B320&amp;"|"&amp;$C320&amp;"|"&amp;$D320)</f>
        <v/>
      </c>
    </row>
    <row r="321">
      <c r="I321" s="73">
        <f>IF($A321="","",$A321&amp;"|"&amp;$B321&amp;"|"&amp;$C321&amp;"|"&amp;$D321)</f>
        <v/>
      </c>
    </row>
    <row r="322">
      <c r="I322" s="73">
        <f>IF($A322="","",$A322&amp;"|"&amp;$B322&amp;"|"&amp;$C322&amp;"|"&amp;$D322)</f>
        <v/>
      </c>
    </row>
    <row r="323">
      <c r="I323" s="73">
        <f>IF($A323="","",$A323&amp;"|"&amp;$B323&amp;"|"&amp;$C323&amp;"|"&amp;$D323)</f>
        <v/>
      </c>
    </row>
    <row r="324">
      <c r="I324" s="73">
        <f>IF($A324="","",$A324&amp;"|"&amp;$B324&amp;"|"&amp;$C324&amp;"|"&amp;$D324)</f>
        <v/>
      </c>
    </row>
    <row r="325">
      <c r="I325" s="73">
        <f>IF($A325="","",$A325&amp;"|"&amp;$B325&amp;"|"&amp;$C325&amp;"|"&amp;$D325)</f>
        <v/>
      </c>
    </row>
    <row r="326">
      <c r="I326" s="73">
        <f>IF($A326="","",$A326&amp;"|"&amp;$B326&amp;"|"&amp;$C326&amp;"|"&amp;$D326)</f>
        <v/>
      </c>
    </row>
    <row r="327">
      <c r="I327" s="73">
        <f>IF($A327="","",$A327&amp;"|"&amp;$B327&amp;"|"&amp;$C327&amp;"|"&amp;$D327)</f>
        <v/>
      </c>
    </row>
    <row r="328">
      <c r="I328" s="73">
        <f>IF($A328="","",$A328&amp;"|"&amp;$B328&amp;"|"&amp;$C328&amp;"|"&amp;$D328)</f>
        <v/>
      </c>
    </row>
    <row r="329">
      <c r="I329" s="73">
        <f>IF($A329="","",$A329&amp;"|"&amp;$B329&amp;"|"&amp;$C329&amp;"|"&amp;$D329)</f>
        <v/>
      </c>
    </row>
    <row r="330">
      <c r="I330" s="73">
        <f>IF($A330="","",$A330&amp;"|"&amp;$B330&amp;"|"&amp;$C330&amp;"|"&amp;$D330)</f>
        <v/>
      </c>
    </row>
    <row r="331">
      <c r="I331" s="73">
        <f>IF($A331="","",$A331&amp;"|"&amp;$B331&amp;"|"&amp;$C331&amp;"|"&amp;$D331)</f>
        <v/>
      </c>
    </row>
    <row r="332">
      <c r="I332" s="73">
        <f>IF($A332="","",$A332&amp;"|"&amp;$B332&amp;"|"&amp;$C332&amp;"|"&amp;$D332)</f>
        <v/>
      </c>
    </row>
    <row r="333">
      <c r="I333" s="73">
        <f>IF($A333="","",$A333&amp;"|"&amp;$B333&amp;"|"&amp;$C333&amp;"|"&amp;$D333)</f>
        <v/>
      </c>
    </row>
    <row r="334">
      <c r="I334" s="73">
        <f>IF($A334="","",$A334&amp;"|"&amp;$B334&amp;"|"&amp;$C334&amp;"|"&amp;$D334)</f>
        <v/>
      </c>
    </row>
    <row r="335">
      <c r="I335" s="73">
        <f>IF($A335="","",$A335&amp;"|"&amp;$B335&amp;"|"&amp;$C335&amp;"|"&amp;$D335)</f>
        <v/>
      </c>
    </row>
    <row r="336">
      <c r="I336" s="73">
        <f>IF($A336="","",$A336&amp;"|"&amp;$B336&amp;"|"&amp;$C336&amp;"|"&amp;$D336)</f>
        <v/>
      </c>
    </row>
    <row r="337">
      <c r="I337" s="73">
        <f>IF($A337="","",$A337&amp;"|"&amp;$B337&amp;"|"&amp;$C337&amp;"|"&amp;$D337)</f>
        <v/>
      </c>
    </row>
    <row r="338">
      <c r="I338" s="73">
        <f>IF($A338="","",$A338&amp;"|"&amp;$B338&amp;"|"&amp;$C338&amp;"|"&amp;$D338)</f>
        <v/>
      </c>
    </row>
    <row r="339">
      <c r="I339" s="73">
        <f>IF($A339="","",$A339&amp;"|"&amp;$B339&amp;"|"&amp;$C339&amp;"|"&amp;$D339)</f>
        <v/>
      </c>
    </row>
    <row r="340">
      <c r="I340" s="73">
        <f>IF($A340="","",$A340&amp;"|"&amp;$B340&amp;"|"&amp;$C340&amp;"|"&amp;$D340)</f>
        <v/>
      </c>
    </row>
    <row r="341">
      <c r="I341" s="73">
        <f>IF($A341="","",$A341&amp;"|"&amp;$B341&amp;"|"&amp;$C341&amp;"|"&amp;$D341)</f>
        <v/>
      </c>
    </row>
    <row r="342">
      <c r="I342" s="73">
        <f>IF($A342="","",$A342&amp;"|"&amp;$B342&amp;"|"&amp;$C342&amp;"|"&amp;$D342)</f>
        <v/>
      </c>
    </row>
    <row r="343">
      <c r="I343" s="73">
        <f>IF($A343="","",$A343&amp;"|"&amp;$B343&amp;"|"&amp;$C343&amp;"|"&amp;$D343)</f>
        <v/>
      </c>
    </row>
    <row r="344">
      <c r="I344" s="73">
        <f>IF($A344="","",$A344&amp;"|"&amp;$B344&amp;"|"&amp;$C344&amp;"|"&amp;$D344)</f>
        <v/>
      </c>
    </row>
    <row r="345">
      <c r="I345" s="73">
        <f>IF($A345="","",$A345&amp;"|"&amp;$B345&amp;"|"&amp;$C345&amp;"|"&amp;$D345)</f>
        <v/>
      </c>
    </row>
    <row r="346">
      <c r="I346" s="73">
        <f>IF($A346="","",$A346&amp;"|"&amp;$B346&amp;"|"&amp;$C346&amp;"|"&amp;$D346)</f>
        <v/>
      </c>
    </row>
    <row r="347">
      <c r="I347" s="73">
        <f>IF($A347="","",$A347&amp;"|"&amp;$B347&amp;"|"&amp;$C347&amp;"|"&amp;$D347)</f>
        <v/>
      </c>
    </row>
    <row r="348">
      <c r="I348" s="73">
        <f>IF($A348="","",$A348&amp;"|"&amp;$B348&amp;"|"&amp;$C348&amp;"|"&amp;$D348)</f>
        <v/>
      </c>
    </row>
    <row r="349">
      <c r="I349" s="73">
        <f>IF($A349="","",$A349&amp;"|"&amp;$B349&amp;"|"&amp;$C349&amp;"|"&amp;$D349)</f>
        <v/>
      </c>
    </row>
    <row r="350">
      <c r="I350" s="73">
        <f>IF($A350="","",$A350&amp;"|"&amp;$B350&amp;"|"&amp;$C350&amp;"|"&amp;$D350)</f>
        <v/>
      </c>
    </row>
    <row r="351">
      <c r="I351" s="73">
        <f>IF($A351="","",$A351&amp;"|"&amp;$B351&amp;"|"&amp;$C351&amp;"|"&amp;$D351)</f>
        <v/>
      </c>
    </row>
    <row r="352">
      <c r="I352" s="73">
        <f>IF($A352="","",$A352&amp;"|"&amp;$B352&amp;"|"&amp;$C352&amp;"|"&amp;$D352)</f>
        <v/>
      </c>
    </row>
    <row r="353">
      <c r="I353" s="73">
        <f>IF($A353="","",$A353&amp;"|"&amp;$B353&amp;"|"&amp;$C353&amp;"|"&amp;$D353)</f>
        <v/>
      </c>
    </row>
    <row r="354">
      <c r="I354" s="73">
        <f>IF($A354="","",$A354&amp;"|"&amp;$B354&amp;"|"&amp;$C354&amp;"|"&amp;$D354)</f>
        <v/>
      </c>
    </row>
    <row r="355">
      <c r="I355" s="73">
        <f>IF($A355="","",$A355&amp;"|"&amp;$B355&amp;"|"&amp;$C355&amp;"|"&amp;$D355)</f>
        <v/>
      </c>
    </row>
    <row r="356">
      <c r="I356" s="73">
        <f>IF($A356="","",$A356&amp;"|"&amp;$B356&amp;"|"&amp;$C356&amp;"|"&amp;$D356)</f>
        <v/>
      </c>
    </row>
    <row r="357">
      <c r="I357" s="73">
        <f>IF($A357="","",$A357&amp;"|"&amp;$B357&amp;"|"&amp;$C357&amp;"|"&amp;$D357)</f>
        <v/>
      </c>
    </row>
    <row r="358">
      <c r="I358" s="73">
        <f>IF($A358="","",$A358&amp;"|"&amp;$B358&amp;"|"&amp;$C358&amp;"|"&amp;$D358)</f>
        <v/>
      </c>
    </row>
    <row r="359">
      <c r="I359" s="73">
        <f>IF($A359="","",$A359&amp;"|"&amp;$B359&amp;"|"&amp;$C359&amp;"|"&amp;$D359)</f>
        <v/>
      </c>
    </row>
    <row r="360">
      <c r="I360" s="73">
        <f>IF($A360="","",$A360&amp;"|"&amp;$B360&amp;"|"&amp;$C360&amp;"|"&amp;$D360)</f>
        <v/>
      </c>
    </row>
    <row r="361">
      <c r="I361" s="73">
        <f>IF($A361="","",$A361&amp;"|"&amp;$B361&amp;"|"&amp;$C361&amp;"|"&amp;$D361)</f>
        <v/>
      </c>
    </row>
    <row r="362">
      <c r="I362" s="73">
        <f>IF($A362="","",$A362&amp;"|"&amp;$B362&amp;"|"&amp;$C362&amp;"|"&amp;$D362)</f>
        <v/>
      </c>
    </row>
    <row r="363">
      <c r="I363" s="73">
        <f>IF($A363="","",$A363&amp;"|"&amp;$B363&amp;"|"&amp;$C363&amp;"|"&amp;$D363)</f>
        <v/>
      </c>
    </row>
    <row r="364">
      <c r="I364" s="73">
        <f>IF($A364="","",$A364&amp;"|"&amp;$B364&amp;"|"&amp;$C364&amp;"|"&amp;$D364)</f>
        <v/>
      </c>
    </row>
    <row r="365">
      <c r="I365" s="73">
        <f>IF($A365="","",$A365&amp;"|"&amp;$B365&amp;"|"&amp;$C365&amp;"|"&amp;$D365)</f>
        <v/>
      </c>
    </row>
    <row r="366">
      <c r="I366" s="73">
        <f>IF($A366="","",$A366&amp;"|"&amp;$B366&amp;"|"&amp;$C366&amp;"|"&amp;$D366)</f>
        <v/>
      </c>
    </row>
    <row r="367">
      <c r="I367" s="73">
        <f>IF($A367="","",$A367&amp;"|"&amp;$B367&amp;"|"&amp;$C367&amp;"|"&amp;$D367)</f>
        <v/>
      </c>
    </row>
    <row r="368">
      <c r="I368" s="73">
        <f>IF($A368="","",$A368&amp;"|"&amp;$B368&amp;"|"&amp;$C368&amp;"|"&amp;$D368)</f>
        <v/>
      </c>
    </row>
    <row r="369">
      <c r="I369" s="73">
        <f>IF($A369="","",$A369&amp;"|"&amp;$B369&amp;"|"&amp;$C369&amp;"|"&amp;$D369)</f>
        <v/>
      </c>
    </row>
    <row r="370">
      <c r="I370" s="73">
        <f>IF($A370="","",$A370&amp;"|"&amp;$B370&amp;"|"&amp;$C370&amp;"|"&amp;$D370)</f>
        <v/>
      </c>
    </row>
    <row r="371">
      <c r="I371" s="73">
        <f>IF($A371="","",$A371&amp;"|"&amp;$B371&amp;"|"&amp;$C371&amp;"|"&amp;$D371)</f>
        <v/>
      </c>
    </row>
    <row r="372">
      <c r="I372" s="73">
        <f>IF($A372="","",$A372&amp;"|"&amp;$B372&amp;"|"&amp;$C372&amp;"|"&amp;$D372)</f>
        <v/>
      </c>
    </row>
    <row r="373">
      <c r="I373" s="73">
        <f>IF($A373="","",$A373&amp;"|"&amp;$B373&amp;"|"&amp;$C373&amp;"|"&amp;$D373)</f>
        <v/>
      </c>
    </row>
    <row r="374">
      <c r="I374" s="73">
        <f>IF($A374="","",$A374&amp;"|"&amp;$B374&amp;"|"&amp;$C374&amp;"|"&amp;$D374)</f>
        <v/>
      </c>
    </row>
    <row r="375">
      <c r="I375" s="73">
        <f>IF($A375="","",$A375&amp;"|"&amp;$B375&amp;"|"&amp;$C375&amp;"|"&amp;$D375)</f>
        <v/>
      </c>
    </row>
    <row r="376">
      <c r="I376" s="73">
        <f>IF($A376="","",$A376&amp;"|"&amp;$B376&amp;"|"&amp;$C376&amp;"|"&amp;$D376)</f>
        <v/>
      </c>
    </row>
    <row r="377">
      <c r="I377" s="73">
        <f>IF($A377="","",$A377&amp;"|"&amp;$B377&amp;"|"&amp;$C377&amp;"|"&amp;$D377)</f>
        <v/>
      </c>
    </row>
    <row r="378">
      <c r="I378" s="73">
        <f>IF($A378="","",$A378&amp;"|"&amp;$B378&amp;"|"&amp;$C378&amp;"|"&amp;$D378)</f>
        <v/>
      </c>
    </row>
    <row r="379">
      <c r="I379" s="73">
        <f>IF($A379="","",$A379&amp;"|"&amp;$B379&amp;"|"&amp;$C379&amp;"|"&amp;$D379)</f>
        <v/>
      </c>
    </row>
    <row r="380">
      <c r="I380" s="73">
        <f>IF($A380="","",$A380&amp;"|"&amp;$B380&amp;"|"&amp;$C380&amp;"|"&amp;$D380)</f>
        <v/>
      </c>
    </row>
    <row r="381">
      <c r="I381" s="73">
        <f>IF($A381="","",$A381&amp;"|"&amp;$B381&amp;"|"&amp;$C381&amp;"|"&amp;$D381)</f>
        <v/>
      </c>
    </row>
    <row r="382">
      <c r="I382" s="73">
        <f>IF($A382="","",$A382&amp;"|"&amp;$B382&amp;"|"&amp;$C382&amp;"|"&amp;$D382)</f>
        <v/>
      </c>
    </row>
    <row r="383">
      <c r="I383" s="73">
        <f>IF($A383="","",$A383&amp;"|"&amp;$B383&amp;"|"&amp;$C383&amp;"|"&amp;$D383)</f>
        <v/>
      </c>
    </row>
    <row r="384">
      <c r="I384" s="73">
        <f>IF($A384="","",$A384&amp;"|"&amp;$B384&amp;"|"&amp;$C384&amp;"|"&amp;$D384)</f>
        <v/>
      </c>
    </row>
    <row r="385">
      <c r="I385" s="73">
        <f>IF($A385="","",$A385&amp;"|"&amp;$B385&amp;"|"&amp;$C385&amp;"|"&amp;$D385)</f>
        <v/>
      </c>
    </row>
    <row r="386">
      <c r="I386" s="73">
        <f>IF($A386="","",$A386&amp;"|"&amp;$B386&amp;"|"&amp;$C386&amp;"|"&amp;$D386)</f>
        <v/>
      </c>
    </row>
    <row r="387">
      <c r="I387" s="73">
        <f>IF($A387="","",$A387&amp;"|"&amp;$B387&amp;"|"&amp;$C387&amp;"|"&amp;$D387)</f>
        <v/>
      </c>
    </row>
    <row r="388">
      <c r="I388" s="73">
        <f>IF($A388="","",$A388&amp;"|"&amp;$B388&amp;"|"&amp;$C388&amp;"|"&amp;$D388)</f>
        <v/>
      </c>
    </row>
    <row r="389">
      <c r="I389" s="73">
        <f>IF($A389="","",$A389&amp;"|"&amp;$B389&amp;"|"&amp;$C389&amp;"|"&amp;$D389)</f>
        <v/>
      </c>
    </row>
    <row r="390">
      <c r="I390" s="73">
        <f>IF($A390="","",$A390&amp;"|"&amp;$B390&amp;"|"&amp;$C390&amp;"|"&amp;$D390)</f>
        <v/>
      </c>
    </row>
    <row r="391">
      <c r="I391" s="73">
        <f>IF($A391="","",$A391&amp;"|"&amp;$B391&amp;"|"&amp;$C391&amp;"|"&amp;$D391)</f>
        <v/>
      </c>
    </row>
    <row r="392">
      <c r="I392" s="73">
        <f>IF($A392="","",$A392&amp;"|"&amp;$B392&amp;"|"&amp;$C392&amp;"|"&amp;$D392)</f>
        <v/>
      </c>
    </row>
    <row r="393">
      <c r="I393" s="73">
        <f>IF($A393="","",$A393&amp;"|"&amp;$B393&amp;"|"&amp;$C393&amp;"|"&amp;$D393)</f>
        <v/>
      </c>
    </row>
    <row r="394">
      <c r="I394" s="73">
        <f>IF($A394="","",$A394&amp;"|"&amp;$B394&amp;"|"&amp;$C394&amp;"|"&amp;$D394)</f>
        <v/>
      </c>
    </row>
    <row r="395">
      <c r="I395" s="73">
        <f>IF($A395="","",$A395&amp;"|"&amp;$B395&amp;"|"&amp;$C395&amp;"|"&amp;$D395)</f>
        <v/>
      </c>
    </row>
    <row r="396">
      <c r="I396" s="73">
        <f>IF($A396="","",$A396&amp;"|"&amp;$B396&amp;"|"&amp;$C396&amp;"|"&amp;$D396)</f>
        <v/>
      </c>
    </row>
    <row r="397">
      <c r="I397" s="73">
        <f>IF($A397="","",$A397&amp;"|"&amp;$B397&amp;"|"&amp;$C397&amp;"|"&amp;$D397)</f>
        <v/>
      </c>
    </row>
    <row r="398">
      <c r="I398" s="73">
        <f>IF($A398="","",$A398&amp;"|"&amp;$B398&amp;"|"&amp;$C398&amp;"|"&amp;$D398)</f>
        <v/>
      </c>
    </row>
    <row r="399">
      <c r="I399" s="73">
        <f>IF($A399="","",$A399&amp;"|"&amp;$B399&amp;"|"&amp;$C399&amp;"|"&amp;$D399)</f>
        <v/>
      </c>
    </row>
    <row r="400">
      <c r="I400" s="73">
        <f>IF($A400="","",$A400&amp;"|"&amp;$B400&amp;"|"&amp;$C400&amp;"|"&amp;$D400)</f>
        <v/>
      </c>
    </row>
    <row r="401">
      <c r="I401" s="73">
        <f>IF($A401="","",$A401&amp;"|"&amp;$B401&amp;"|"&amp;$C401&amp;"|"&amp;$D401)</f>
        <v/>
      </c>
    </row>
    <row r="402">
      <c r="I402" s="73">
        <f>IF($A402="","",$A402&amp;"|"&amp;$B402&amp;"|"&amp;$C402&amp;"|"&amp;$D402)</f>
        <v/>
      </c>
    </row>
    <row r="403">
      <c r="I403" s="73">
        <f>IF($A403="","",$A403&amp;"|"&amp;$B403&amp;"|"&amp;$C403&amp;"|"&amp;$D403)</f>
        <v/>
      </c>
    </row>
    <row r="404">
      <c r="I404" s="73">
        <f>IF($A404="","",$A404&amp;"|"&amp;$B404&amp;"|"&amp;$C404&amp;"|"&amp;$D404)</f>
        <v/>
      </c>
    </row>
    <row r="405">
      <c r="I405" s="73">
        <f>IF($A405="","",$A405&amp;"|"&amp;$B405&amp;"|"&amp;$C405&amp;"|"&amp;$D405)</f>
        <v/>
      </c>
    </row>
    <row r="406">
      <c r="I406" s="73">
        <f>IF($A406="","",$A406&amp;"|"&amp;$B406&amp;"|"&amp;$C406&amp;"|"&amp;$D406)</f>
        <v/>
      </c>
    </row>
    <row r="407">
      <c r="I407" s="73">
        <f>IF($A407="","",$A407&amp;"|"&amp;$B407&amp;"|"&amp;$C407&amp;"|"&amp;$D407)</f>
        <v/>
      </c>
    </row>
    <row r="408">
      <c r="I408" s="73">
        <f>IF($A408="","",$A408&amp;"|"&amp;$B408&amp;"|"&amp;$C408&amp;"|"&amp;$D408)</f>
        <v/>
      </c>
    </row>
    <row r="409">
      <c r="I409" s="73">
        <f>IF($A409="","",$A409&amp;"|"&amp;$B409&amp;"|"&amp;$C409&amp;"|"&amp;$D409)</f>
        <v/>
      </c>
    </row>
    <row r="410">
      <c r="I410" s="73">
        <f>IF($A410="","",$A410&amp;"|"&amp;$B410&amp;"|"&amp;$C410&amp;"|"&amp;$D410)</f>
        <v/>
      </c>
    </row>
    <row r="411">
      <c r="I411" s="73">
        <f>IF($A411="","",$A411&amp;"|"&amp;$B411&amp;"|"&amp;$C411&amp;"|"&amp;$D411)</f>
        <v/>
      </c>
    </row>
    <row r="412">
      <c r="I412" s="73">
        <f>IF($A412="","",$A412&amp;"|"&amp;$B412&amp;"|"&amp;$C412&amp;"|"&amp;$D412)</f>
        <v/>
      </c>
    </row>
    <row r="413">
      <c r="I413" s="73">
        <f>IF($A413="","",$A413&amp;"|"&amp;$B413&amp;"|"&amp;$C413&amp;"|"&amp;$D413)</f>
        <v/>
      </c>
    </row>
    <row r="414">
      <c r="I414" s="73">
        <f>IF($A414="","",$A414&amp;"|"&amp;$B414&amp;"|"&amp;$C414&amp;"|"&amp;$D414)</f>
        <v/>
      </c>
    </row>
    <row r="415">
      <c r="I415" s="73">
        <f>IF($A415="","",$A415&amp;"|"&amp;$B415&amp;"|"&amp;$C415&amp;"|"&amp;$D415)</f>
        <v/>
      </c>
    </row>
    <row r="416">
      <c r="I416" s="73">
        <f>IF($A416="","",$A416&amp;"|"&amp;$B416&amp;"|"&amp;$C416&amp;"|"&amp;$D416)</f>
        <v/>
      </c>
    </row>
    <row r="417">
      <c r="I417" s="73">
        <f>IF($A417="","",$A417&amp;"|"&amp;$B417&amp;"|"&amp;$C417&amp;"|"&amp;$D417)</f>
        <v/>
      </c>
    </row>
    <row r="418">
      <c r="I418" s="73">
        <f>IF($A418="","",$A418&amp;"|"&amp;$B418&amp;"|"&amp;$C418&amp;"|"&amp;$D418)</f>
        <v/>
      </c>
    </row>
    <row r="419">
      <c r="I419" s="73">
        <f>IF($A419="","",$A419&amp;"|"&amp;$B419&amp;"|"&amp;$C419&amp;"|"&amp;$D419)</f>
        <v/>
      </c>
    </row>
    <row r="420">
      <c r="I420" s="73">
        <f>IF($A420="","",$A420&amp;"|"&amp;$B420&amp;"|"&amp;$C420&amp;"|"&amp;$D420)</f>
        <v/>
      </c>
    </row>
    <row r="421">
      <c r="I421" s="73">
        <f>IF($A421="","",$A421&amp;"|"&amp;$B421&amp;"|"&amp;$C421&amp;"|"&amp;$D421)</f>
        <v/>
      </c>
    </row>
    <row r="422">
      <c r="I422" s="73">
        <f>IF($A422="","",$A422&amp;"|"&amp;$B422&amp;"|"&amp;$C422&amp;"|"&amp;$D422)</f>
        <v/>
      </c>
    </row>
    <row r="423">
      <c r="I423" s="73">
        <f>IF($A423="","",$A423&amp;"|"&amp;$B423&amp;"|"&amp;$C423&amp;"|"&amp;$D423)</f>
        <v/>
      </c>
    </row>
    <row r="424">
      <c r="I424" s="73">
        <f>IF($A424="","",$A424&amp;"|"&amp;$B424&amp;"|"&amp;$C424&amp;"|"&amp;$D424)</f>
        <v/>
      </c>
    </row>
    <row r="425">
      <c r="I425" s="73">
        <f>IF($A425="","",$A425&amp;"|"&amp;$B425&amp;"|"&amp;$C425&amp;"|"&amp;$D425)</f>
        <v/>
      </c>
    </row>
    <row r="426">
      <c r="I426" s="73">
        <f>IF($A426="","",$A426&amp;"|"&amp;$B426&amp;"|"&amp;$C426&amp;"|"&amp;$D426)</f>
        <v/>
      </c>
    </row>
    <row r="427">
      <c r="I427" s="73">
        <f>IF($A427="","",$A427&amp;"|"&amp;$B427&amp;"|"&amp;$C427&amp;"|"&amp;$D427)</f>
        <v/>
      </c>
    </row>
    <row r="428">
      <c r="I428" s="73">
        <f>IF($A428="","",$A428&amp;"|"&amp;$B428&amp;"|"&amp;$C428&amp;"|"&amp;$D428)</f>
        <v/>
      </c>
    </row>
    <row r="429">
      <c r="I429" s="73">
        <f>IF($A429="","",$A429&amp;"|"&amp;$B429&amp;"|"&amp;$C429&amp;"|"&amp;$D429)</f>
        <v/>
      </c>
    </row>
    <row r="430">
      <c r="I430" s="73">
        <f>IF($A430="","",$A430&amp;"|"&amp;$B430&amp;"|"&amp;$C430&amp;"|"&amp;$D430)</f>
        <v/>
      </c>
    </row>
    <row r="431">
      <c r="I431" s="73">
        <f>IF($A431="","",$A431&amp;"|"&amp;$B431&amp;"|"&amp;$C431&amp;"|"&amp;$D431)</f>
        <v/>
      </c>
    </row>
    <row r="432">
      <c r="I432" s="73">
        <f>IF($A432="","",$A432&amp;"|"&amp;$B432&amp;"|"&amp;$C432&amp;"|"&amp;$D432)</f>
        <v/>
      </c>
    </row>
    <row r="433">
      <c r="I433" s="73">
        <f>IF($A433="","",$A433&amp;"|"&amp;$B433&amp;"|"&amp;$C433&amp;"|"&amp;$D433)</f>
        <v/>
      </c>
    </row>
    <row r="434">
      <c r="I434" s="73">
        <f>IF($A434="","",$A434&amp;"|"&amp;$B434&amp;"|"&amp;$C434&amp;"|"&amp;$D434)</f>
        <v/>
      </c>
    </row>
    <row r="435">
      <c r="I435" s="73">
        <f>IF($A435="","",$A435&amp;"|"&amp;$B435&amp;"|"&amp;$C435&amp;"|"&amp;$D435)</f>
        <v/>
      </c>
    </row>
    <row r="436">
      <c r="I436" s="73">
        <f>IF($A436="","",$A436&amp;"|"&amp;$B436&amp;"|"&amp;$C436&amp;"|"&amp;$D436)</f>
        <v/>
      </c>
    </row>
    <row r="437">
      <c r="I437" s="73">
        <f>IF($A437="","",$A437&amp;"|"&amp;$B437&amp;"|"&amp;$C437&amp;"|"&amp;$D437)</f>
        <v/>
      </c>
    </row>
    <row r="438">
      <c r="I438" s="73">
        <f>IF($A438="","",$A438&amp;"|"&amp;$B438&amp;"|"&amp;$C438&amp;"|"&amp;$D438)</f>
        <v/>
      </c>
    </row>
    <row r="439">
      <c r="I439" s="73">
        <f>IF($A439="","",$A439&amp;"|"&amp;$B439&amp;"|"&amp;$C439&amp;"|"&amp;$D439)</f>
        <v/>
      </c>
    </row>
    <row r="440">
      <c r="I440" s="73">
        <f>IF($A440="","",$A440&amp;"|"&amp;$B440&amp;"|"&amp;$C440&amp;"|"&amp;$D440)</f>
        <v/>
      </c>
    </row>
    <row r="441">
      <c r="I441" s="73">
        <f>IF($A441="","",$A441&amp;"|"&amp;$B441&amp;"|"&amp;$C441&amp;"|"&amp;$D441)</f>
        <v/>
      </c>
    </row>
    <row r="442">
      <c r="I442" s="73">
        <f>IF($A442="","",$A442&amp;"|"&amp;$B442&amp;"|"&amp;$C442&amp;"|"&amp;$D442)</f>
        <v/>
      </c>
    </row>
    <row r="443">
      <c r="I443" s="73">
        <f>IF($A443="","",$A443&amp;"|"&amp;$B443&amp;"|"&amp;$C443&amp;"|"&amp;$D443)</f>
        <v/>
      </c>
    </row>
    <row r="444">
      <c r="I444" s="73">
        <f>IF($A444="","",$A444&amp;"|"&amp;$B444&amp;"|"&amp;$C444&amp;"|"&amp;$D444)</f>
        <v/>
      </c>
    </row>
    <row r="445">
      <c r="I445" s="73">
        <f>IF($A445="","",$A445&amp;"|"&amp;$B445&amp;"|"&amp;$C445&amp;"|"&amp;$D445)</f>
        <v/>
      </c>
    </row>
    <row r="446">
      <c r="I446" s="73">
        <f>IF($A446="","",$A446&amp;"|"&amp;$B446&amp;"|"&amp;$C446&amp;"|"&amp;$D446)</f>
        <v/>
      </c>
    </row>
    <row r="447">
      <c r="I447" s="73">
        <f>IF($A447="","",$A447&amp;"|"&amp;$B447&amp;"|"&amp;$C447&amp;"|"&amp;$D447)</f>
        <v/>
      </c>
    </row>
    <row r="448">
      <c r="I448" s="73">
        <f>IF($A448="","",$A448&amp;"|"&amp;$B448&amp;"|"&amp;$C448&amp;"|"&amp;$D448)</f>
        <v/>
      </c>
    </row>
    <row r="449">
      <c r="I449" s="73">
        <f>IF($A449="","",$A449&amp;"|"&amp;$B449&amp;"|"&amp;$C449&amp;"|"&amp;$D449)</f>
        <v/>
      </c>
    </row>
    <row r="450">
      <c r="I450" s="73">
        <f>IF($A450="","",$A450&amp;"|"&amp;$B450&amp;"|"&amp;$C450&amp;"|"&amp;$D450)</f>
        <v/>
      </c>
    </row>
    <row r="451">
      <c r="I451" s="73">
        <f>IF($A451="","",$A451&amp;"|"&amp;$B451&amp;"|"&amp;$C451&amp;"|"&amp;$D451)</f>
        <v/>
      </c>
    </row>
    <row r="452">
      <c r="I452" s="73">
        <f>IF($A452="","",$A452&amp;"|"&amp;$B452&amp;"|"&amp;$C452&amp;"|"&amp;$D452)</f>
        <v/>
      </c>
    </row>
    <row r="453">
      <c r="I453" s="73">
        <f>IF($A453="","",$A453&amp;"|"&amp;$B453&amp;"|"&amp;$C453&amp;"|"&amp;$D453)</f>
        <v/>
      </c>
    </row>
    <row r="454">
      <c r="I454" s="73">
        <f>IF($A454="","",$A454&amp;"|"&amp;$B454&amp;"|"&amp;$C454&amp;"|"&amp;$D454)</f>
        <v/>
      </c>
    </row>
    <row r="455">
      <c r="I455" s="73">
        <f>IF($A455="","",$A455&amp;"|"&amp;$B455&amp;"|"&amp;$C455&amp;"|"&amp;$D455)</f>
        <v/>
      </c>
    </row>
    <row r="456">
      <c r="I456" s="73">
        <f>IF($A456="","",$A456&amp;"|"&amp;$B456&amp;"|"&amp;$C456&amp;"|"&amp;$D456)</f>
        <v/>
      </c>
    </row>
    <row r="457">
      <c r="I457" s="73">
        <f>IF($A457="","",$A457&amp;"|"&amp;$B457&amp;"|"&amp;$C457&amp;"|"&amp;$D457)</f>
        <v/>
      </c>
    </row>
    <row r="458">
      <c r="I458" s="73">
        <f>IF($A458="","",$A458&amp;"|"&amp;$B458&amp;"|"&amp;$C458&amp;"|"&amp;$D458)</f>
        <v/>
      </c>
    </row>
    <row r="459">
      <c r="I459" s="73">
        <f>IF($A459="","",$A459&amp;"|"&amp;$B459&amp;"|"&amp;$C459&amp;"|"&amp;$D459)</f>
        <v/>
      </c>
    </row>
    <row r="460">
      <c r="I460" s="73">
        <f>IF($A460="","",$A460&amp;"|"&amp;$B460&amp;"|"&amp;$C460&amp;"|"&amp;$D460)</f>
        <v/>
      </c>
    </row>
    <row r="461">
      <c r="I461" s="73">
        <f>IF($A461="","",$A461&amp;"|"&amp;$B461&amp;"|"&amp;$C461&amp;"|"&amp;$D461)</f>
        <v/>
      </c>
    </row>
    <row r="462">
      <c r="I462" s="73">
        <f>IF($A462="","",$A462&amp;"|"&amp;$B462&amp;"|"&amp;$C462&amp;"|"&amp;$D462)</f>
        <v/>
      </c>
    </row>
    <row r="463">
      <c r="I463" s="73">
        <f>IF($A463="","",$A463&amp;"|"&amp;$B463&amp;"|"&amp;$C463&amp;"|"&amp;$D463)</f>
        <v/>
      </c>
    </row>
    <row r="464">
      <c r="I464" s="73">
        <f>IF($A464="","",$A464&amp;"|"&amp;$B464&amp;"|"&amp;$C464&amp;"|"&amp;$D464)</f>
        <v/>
      </c>
    </row>
    <row r="465">
      <c r="I465" s="73">
        <f>IF($A465="","",$A465&amp;"|"&amp;$B465&amp;"|"&amp;$C465&amp;"|"&amp;$D465)</f>
        <v/>
      </c>
    </row>
    <row r="466">
      <c r="I466" s="73">
        <f>IF($A466="","",$A466&amp;"|"&amp;$B466&amp;"|"&amp;$C466&amp;"|"&amp;$D466)</f>
        <v/>
      </c>
    </row>
    <row r="467">
      <c r="I467" s="73">
        <f>IF($A467="","",$A467&amp;"|"&amp;$B467&amp;"|"&amp;$C467&amp;"|"&amp;$D467)</f>
        <v/>
      </c>
    </row>
    <row r="468">
      <c r="I468" s="73">
        <f>IF($A468="","",$A468&amp;"|"&amp;$B468&amp;"|"&amp;$C468&amp;"|"&amp;$D468)</f>
        <v/>
      </c>
    </row>
    <row r="469">
      <c r="I469" s="73">
        <f>IF($A469="","",$A469&amp;"|"&amp;$B469&amp;"|"&amp;$C469&amp;"|"&amp;$D469)</f>
        <v/>
      </c>
    </row>
    <row r="470">
      <c r="I470" s="73">
        <f>IF($A470="","",$A470&amp;"|"&amp;$B470&amp;"|"&amp;$C470&amp;"|"&amp;$D470)</f>
        <v/>
      </c>
    </row>
    <row r="471">
      <c r="I471" s="73">
        <f>IF($A471="","",$A471&amp;"|"&amp;$B471&amp;"|"&amp;$C471&amp;"|"&amp;$D471)</f>
        <v/>
      </c>
    </row>
    <row r="472">
      <c r="I472" s="73">
        <f>IF($A472="","",$A472&amp;"|"&amp;$B472&amp;"|"&amp;$C472&amp;"|"&amp;$D472)</f>
        <v/>
      </c>
    </row>
    <row r="473">
      <c r="I473" s="73">
        <f>IF($A473="","",$A473&amp;"|"&amp;$B473&amp;"|"&amp;$C473&amp;"|"&amp;$D473)</f>
        <v/>
      </c>
    </row>
    <row r="474">
      <c r="I474" s="73">
        <f>IF($A474="","",$A474&amp;"|"&amp;$B474&amp;"|"&amp;$C474&amp;"|"&amp;$D474)</f>
        <v/>
      </c>
    </row>
    <row r="475">
      <c r="I475" s="73">
        <f>IF($A475="","",$A475&amp;"|"&amp;$B475&amp;"|"&amp;$C475&amp;"|"&amp;$D475)</f>
        <v/>
      </c>
    </row>
    <row r="476">
      <c r="I476" s="73">
        <f>IF($A476="","",$A476&amp;"|"&amp;$B476&amp;"|"&amp;$C476&amp;"|"&amp;$D476)</f>
        <v/>
      </c>
    </row>
    <row r="477">
      <c r="I477" s="73">
        <f>IF($A477="","",$A477&amp;"|"&amp;$B477&amp;"|"&amp;$C477&amp;"|"&amp;$D477)</f>
        <v/>
      </c>
    </row>
    <row r="478">
      <c r="I478" s="73">
        <f>IF($A478="","",$A478&amp;"|"&amp;$B478&amp;"|"&amp;$C478&amp;"|"&amp;$D478)</f>
        <v/>
      </c>
    </row>
    <row r="479">
      <c r="I479" s="73">
        <f>IF($A479="","",$A479&amp;"|"&amp;$B479&amp;"|"&amp;$C479&amp;"|"&amp;$D479)</f>
        <v/>
      </c>
    </row>
    <row r="480">
      <c r="I480" s="73">
        <f>IF($A480="","",$A480&amp;"|"&amp;$B480&amp;"|"&amp;$C480&amp;"|"&amp;$D480)</f>
        <v/>
      </c>
    </row>
    <row r="481">
      <c r="I481" s="73">
        <f>IF($A481="","",$A481&amp;"|"&amp;$B481&amp;"|"&amp;$C481&amp;"|"&amp;$D481)</f>
        <v/>
      </c>
    </row>
    <row r="482">
      <c r="I482" s="73">
        <f>IF($A482="","",$A482&amp;"|"&amp;$B482&amp;"|"&amp;$C482&amp;"|"&amp;$D482)</f>
        <v/>
      </c>
    </row>
    <row r="483">
      <c r="I483" s="73">
        <f>IF($A483="","",$A483&amp;"|"&amp;$B483&amp;"|"&amp;$C483&amp;"|"&amp;$D483)</f>
        <v/>
      </c>
    </row>
    <row r="484">
      <c r="I484" s="73">
        <f>IF($A484="","",$A484&amp;"|"&amp;$B484&amp;"|"&amp;$C484&amp;"|"&amp;$D484)</f>
        <v/>
      </c>
    </row>
    <row r="485">
      <c r="I485" s="73">
        <f>IF($A485="","",$A485&amp;"|"&amp;$B485&amp;"|"&amp;$C485&amp;"|"&amp;$D485)</f>
        <v/>
      </c>
    </row>
    <row r="486">
      <c r="I486" s="73">
        <f>IF($A486="","",$A486&amp;"|"&amp;$B486&amp;"|"&amp;$C486&amp;"|"&amp;$D486)</f>
        <v/>
      </c>
    </row>
    <row r="487">
      <c r="I487" s="73">
        <f>IF($A487="","",$A487&amp;"|"&amp;$B487&amp;"|"&amp;$C487&amp;"|"&amp;$D487)</f>
        <v/>
      </c>
    </row>
    <row r="488">
      <c r="I488" s="73">
        <f>IF($A488="","",$A488&amp;"|"&amp;$B488&amp;"|"&amp;$C488&amp;"|"&amp;$D488)</f>
        <v/>
      </c>
    </row>
    <row r="489">
      <c r="I489" s="73">
        <f>IF($A489="","",$A489&amp;"|"&amp;$B489&amp;"|"&amp;$C489&amp;"|"&amp;$D489)</f>
        <v/>
      </c>
    </row>
    <row r="490">
      <c r="I490" s="73">
        <f>IF($A490="","",$A490&amp;"|"&amp;$B490&amp;"|"&amp;$C490&amp;"|"&amp;$D490)</f>
        <v/>
      </c>
    </row>
    <row r="491">
      <c r="I491" s="73">
        <f>IF($A491="","",$A491&amp;"|"&amp;$B491&amp;"|"&amp;$C491&amp;"|"&amp;$D491)</f>
        <v/>
      </c>
    </row>
    <row r="492">
      <c r="I492" s="73">
        <f>IF($A492="","",$A492&amp;"|"&amp;$B492&amp;"|"&amp;$C492&amp;"|"&amp;$D492)</f>
        <v/>
      </c>
    </row>
    <row r="493">
      <c r="I493" s="73">
        <f>IF($A493="","",$A493&amp;"|"&amp;$B493&amp;"|"&amp;$C493&amp;"|"&amp;$D493)</f>
        <v/>
      </c>
    </row>
    <row r="494">
      <c r="I494" s="73">
        <f>IF($A494="","",$A494&amp;"|"&amp;$B494&amp;"|"&amp;$C494&amp;"|"&amp;$D494)</f>
        <v/>
      </c>
    </row>
    <row r="495">
      <c r="I495" s="73">
        <f>IF($A495="","",$A495&amp;"|"&amp;$B495&amp;"|"&amp;$C495&amp;"|"&amp;$D495)</f>
        <v/>
      </c>
    </row>
    <row r="496">
      <c r="I496" s="73">
        <f>IF($A496="","",$A496&amp;"|"&amp;$B496&amp;"|"&amp;$C496&amp;"|"&amp;$D496)</f>
        <v/>
      </c>
    </row>
    <row r="497">
      <c r="I497" s="73">
        <f>IF($A497="","",$A497&amp;"|"&amp;$B497&amp;"|"&amp;$C497&amp;"|"&amp;$D497)</f>
        <v/>
      </c>
    </row>
    <row r="498">
      <c r="I498" s="73">
        <f>IF($A498="","",$A498&amp;"|"&amp;$B498&amp;"|"&amp;$C498&amp;"|"&amp;$D498)</f>
        <v/>
      </c>
    </row>
    <row r="499">
      <c r="I499" s="73">
        <f>IF($A499="","",$A499&amp;"|"&amp;$B499&amp;"|"&amp;$C499&amp;"|"&amp;$D499)</f>
        <v/>
      </c>
    </row>
    <row r="500">
      <c r="I500" s="73">
        <f>IF($A500="","",$A500&amp;"|"&amp;$B500&amp;"|"&amp;$C500&amp;"|"&amp;$D500)</f>
        <v/>
      </c>
    </row>
    <row r="501">
      <c r="I501" s="73">
        <f>IF($A501="","",$A501&amp;"|"&amp;$B501&amp;"|"&amp;$C501&amp;"|"&amp;$D501)</f>
        <v/>
      </c>
    </row>
    <row r="502">
      <c r="I502" s="73">
        <f>IF($A502="","",$A502&amp;"|"&amp;$B502&amp;"|"&amp;$C502&amp;"|"&amp;$D502)</f>
        <v/>
      </c>
    </row>
    <row r="503">
      <c r="I503" s="73">
        <f>IF($A503="","",$A503&amp;"|"&amp;$B503&amp;"|"&amp;$C503&amp;"|"&amp;$D503)</f>
        <v/>
      </c>
    </row>
    <row r="504">
      <c r="I504" s="73">
        <f>IF($A504="","",$A504&amp;"|"&amp;$B504&amp;"|"&amp;$C504&amp;"|"&amp;$D504)</f>
        <v/>
      </c>
    </row>
    <row r="505">
      <c r="I505" s="73">
        <f>IF($A505="","",$A505&amp;"|"&amp;$B505&amp;"|"&amp;$C505&amp;"|"&amp;$D505)</f>
        <v/>
      </c>
    </row>
    <row r="506">
      <c r="I506" s="73">
        <f>IF($A506="","",$A506&amp;"|"&amp;$B506&amp;"|"&amp;$C506&amp;"|"&amp;$D506)</f>
        <v/>
      </c>
    </row>
    <row r="507">
      <c r="I507" s="73">
        <f>IF($A507="","",$A507&amp;"|"&amp;$B507&amp;"|"&amp;$C507&amp;"|"&amp;$D507)</f>
        <v/>
      </c>
    </row>
    <row r="508">
      <c r="I508" s="73">
        <f>IF($A508="","",$A508&amp;"|"&amp;$B508&amp;"|"&amp;$C508&amp;"|"&amp;$D508)</f>
        <v/>
      </c>
    </row>
    <row r="509">
      <c r="I509" s="73">
        <f>IF($A509="","",$A509&amp;"|"&amp;$B509&amp;"|"&amp;$C509&amp;"|"&amp;$D509)</f>
        <v/>
      </c>
    </row>
    <row r="510">
      <c r="I510" s="73">
        <f>IF($A510="","",$A510&amp;"|"&amp;$B510&amp;"|"&amp;$C510&amp;"|"&amp;$D510)</f>
        <v/>
      </c>
    </row>
    <row r="511">
      <c r="I511" s="73">
        <f>IF($A511="","",$A511&amp;"|"&amp;$B511&amp;"|"&amp;$C511&amp;"|"&amp;$D511)</f>
        <v/>
      </c>
    </row>
    <row r="512">
      <c r="I512" s="73">
        <f>IF($A512="","",$A512&amp;"|"&amp;$B512&amp;"|"&amp;$C512&amp;"|"&amp;$D512)</f>
        <v/>
      </c>
    </row>
    <row r="513">
      <c r="I513" s="73">
        <f>IF($A513="","",$A513&amp;"|"&amp;$B513&amp;"|"&amp;$C513&amp;"|"&amp;$D513)</f>
        <v/>
      </c>
    </row>
    <row r="514">
      <c r="I514" s="73">
        <f>IF($A514="","",$A514&amp;"|"&amp;$B514&amp;"|"&amp;$C514&amp;"|"&amp;$D514)</f>
        <v/>
      </c>
    </row>
    <row r="515">
      <c r="I515" s="73">
        <f>IF($A515="","",$A515&amp;"|"&amp;$B515&amp;"|"&amp;$C515&amp;"|"&amp;$D515)</f>
        <v/>
      </c>
    </row>
    <row r="516">
      <c r="I516" s="73">
        <f>IF($A516="","",$A516&amp;"|"&amp;$B516&amp;"|"&amp;$C516&amp;"|"&amp;$D516)</f>
        <v/>
      </c>
    </row>
    <row r="517">
      <c r="I517" s="73">
        <f>IF($A517="","",$A517&amp;"|"&amp;$B517&amp;"|"&amp;$C517&amp;"|"&amp;$D517)</f>
        <v/>
      </c>
    </row>
    <row r="518">
      <c r="I518" s="73">
        <f>IF($A518="","",$A518&amp;"|"&amp;$B518&amp;"|"&amp;$C518&amp;"|"&amp;$D518)</f>
        <v/>
      </c>
    </row>
    <row r="519">
      <c r="I519" s="73">
        <f>IF($A519="","",$A519&amp;"|"&amp;$B519&amp;"|"&amp;$C519&amp;"|"&amp;$D519)</f>
        <v/>
      </c>
    </row>
    <row r="520">
      <c r="I520" s="73">
        <f>IF($A520="","",$A520&amp;"|"&amp;$B520&amp;"|"&amp;$C520&amp;"|"&amp;$D520)</f>
        <v/>
      </c>
    </row>
    <row r="521">
      <c r="I521" s="73">
        <f>IF($A521="","",$A521&amp;"|"&amp;$B521&amp;"|"&amp;$C521&amp;"|"&amp;$D521)</f>
        <v/>
      </c>
    </row>
    <row r="522">
      <c r="I522" s="73">
        <f>IF($A522="","",$A522&amp;"|"&amp;$B522&amp;"|"&amp;$C522&amp;"|"&amp;$D522)</f>
        <v/>
      </c>
    </row>
    <row r="523">
      <c r="I523" s="73">
        <f>IF($A523="","",$A523&amp;"|"&amp;$B523&amp;"|"&amp;$C523&amp;"|"&amp;$D523)</f>
        <v/>
      </c>
    </row>
    <row r="524">
      <c r="I524" s="73">
        <f>IF($A524="","",$A524&amp;"|"&amp;$B524&amp;"|"&amp;$C524&amp;"|"&amp;$D524)</f>
        <v/>
      </c>
    </row>
    <row r="525">
      <c r="I525" s="73">
        <f>IF($A525="","",$A525&amp;"|"&amp;$B525&amp;"|"&amp;$C525&amp;"|"&amp;$D525)</f>
        <v/>
      </c>
    </row>
    <row r="526">
      <c r="I526" s="73">
        <f>IF($A526="","",$A526&amp;"|"&amp;$B526&amp;"|"&amp;$C526&amp;"|"&amp;$D526)</f>
        <v/>
      </c>
    </row>
    <row r="527">
      <c r="I527" s="73">
        <f>IF($A527="","",$A527&amp;"|"&amp;$B527&amp;"|"&amp;$C527&amp;"|"&amp;$D527)</f>
        <v/>
      </c>
    </row>
    <row r="528">
      <c r="I528" s="73">
        <f>IF($A528="","",$A528&amp;"|"&amp;$B528&amp;"|"&amp;$C528&amp;"|"&amp;$D528)</f>
        <v/>
      </c>
    </row>
    <row r="529">
      <c r="I529" s="73">
        <f>IF($A529="","",$A529&amp;"|"&amp;$B529&amp;"|"&amp;$C529&amp;"|"&amp;$D529)</f>
        <v/>
      </c>
    </row>
    <row r="530">
      <c r="I530" s="73">
        <f>IF($A530="","",$A530&amp;"|"&amp;$B530&amp;"|"&amp;$C530&amp;"|"&amp;$D530)</f>
        <v/>
      </c>
    </row>
    <row r="531">
      <c r="I531" s="73">
        <f>IF($A531="","",$A531&amp;"|"&amp;$B531&amp;"|"&amp;$C531&amp;"|"&amp;$D531)</f>
        <v/>
      </c>
    </row>
    <row r="532">
      <c r="I532" s="73">
        <f>IF($A532="","",$A532&amp;"|"&amp;$B532&amp;"|"&amp;$C532&amp;"|"&amp;$D532)</f>
        <v/>
      </c>
    </row>
    <row r="533">
      <c r="I533" s="73">
        <f>IF($A533="","",$A533&amp;"|"&amp;$B533&amp;"|"&amp;$C533&amp;"|"&amp;$D533)</f>
        <v/>
      </c>
    </row>
    <row r="534">
      <c r="I534" s="73">
        <f>IF($A534="","",$A534&amp;"|"&amp;$B534&amp;"|"&amp;$C534&amp;"|"&amp;$D534)</f>
        <v/>
      </c>
    </row>
    <row r="535">
      <c r="I535" s="73">
        <f>IF($A535="","",$A535&amp;"|"&amp;$B535&amp;"|"&amp;$C535&amp;"|"&amp;$D535)</f>
        <v/>
      </c>
    </row>
    <row r="536">
      <c r="I536" s="73">
        <f>IF($A536="","",$A536&amp;"|"&amp;$B536&amp;"|"&amp;$C536&amp;"|"&amp;$D536)</f>
        <v/>
      </c>
    </row>
    <row r="537">
      <c r="I537" s="73">
        <f>IF($A537="","",$A537&amp;"|"&amp;$B537&amp;"|"&amp;$C537&amp;"|"&amp;$D537)</f>
        <v/>
      </c>
    </row>
    <row r="538">
      <c r="I538" s="73">
        <f>IF($A538="","",$A538&amp;"|"&amp;$B538&amp;"|"&amp;$C538&amp;"|"&amp;$D538)</f>
        <v/>
      </c>
    </row>
    <row r="539">
      <c r="I539" s="73">
        <f>IF($A539="","",$A539&amp;"|"&amp;$B539&amp;"|"&amp;$C539&amp;"|"&amp;$D539)</f>
        <v/>
      </c>
    </row>
    <row r="540">
      <c r="I540" s="73">
        <f>IF($A540="","",$A540&amp;"|"&amp;$B540&amp;"|"&amp;$C540&amp;"|"&amp;$D540)</f>
        <v/>
      </c>
    </row>
    <row r="541">
      <c r="I541" s="73">
        <f>IF($A541="","",$A541&amp;"|"&amp;$B541&amp;"|"&amp;$C541&amp;"|"&amp;$D541)</f>
        <v/>
      </c>
    </row>
    <row r="542">
      <c r="I542" s="73">
        <f>IF($A542="","",$A542&amp;"|"&amp;$B542&amp;"|"&amp;$C542&amp;"|"&amp;$D542)</f>
        <v/>
      </c>
    </row>
    <row r="543">
      <c r="I543" s="73">
        <f>IF($A543="","",$A543&amp;"|"&amp;$B543&amp;"|"&amp;$C543&amp;"|"&amp;$D543)</f>
        <v/>
      </c>
    </row>
    <row r="544">
      <c r="I544" s="73">
        <f>IF($A544="","",$A544&amp;"|"&amp;$B544&amp;"|"&amp;$C544&amp;"|"&amp;$D544)</f>
        <v/>
      </c>
    </row>
    <row r="545">
      <c r="I545" s="73">
        <f>IF($A545="","",$A545&amp;"|"&amp;$B545&amp;"|"&amp;$C545&amp;"|"&amp;$D545)</f>
        <v/>
      </c>
    </row>
    <row r="546">
      <c r="I546" s="73">
        <f>IF($A546="","",$A546&amp;"|"&amp;$B546&amp;"|"&amp;$C546&amp;"|"&amp;$D546)</f>
        <v/>
      </c>
    </row>
    <row r="547">
      <c r="I547" s="73">
        <f>IF($A547="","",$A547&amp;"|"&amp;$B547&amp;"|"&amp;$C547&amp;"|"&amp;$D547)</f>
        <v/>
      </c>
    </row>
    <row r="548">
      <c r="I548" s="73">
        <f>IF($A548="","",$A548&amp;"|"&amp;$B548&amp;"|"&amp;$C548&amp;"|"&amp;$D548)</f>
        <v/>
      </c>
    </row>
    <row r="549">
      <c r="I549" s="73">
        <f>IF($A549="","",$A549&amp;"|"&amp;$B549&amp;"|"&amp;$C549&amp;"|"&amp;$D549)</f>
        <v/>
      </c>
    </row>
    <row r="550">
      <c r="I550" s="73">
        <f>IF($A550="","",$A550&amp;"|"&amp;$B550&amp;"|"&amp;$C550&amp;"|"&amp;$D550)</f>
        <v/>
      </c>
    </row>
    <row r="551">
      <c r="I551" s="73">
        <f>IF($A551="","",$A551&amp;"|"&amp;$B551&amp;"|"&amp;$C551&amp;"|"&amp;$D551)</f>
        <v/>
      </c>
    </row>
    <row r="552">
      <c r="I552" s="73">
        <f>IF($A552="","",$A552&amp;"|"&amp;$B552&amp;"|"&amp;$C552&amp;"|"&amp;$D552)</f>
        <v/>
      </c>
    </row>
    <row r="553">
      <c r="I553" s="73">
        <f>IF($A553="","",$A553&amp;"|"&amp;$B553&amp;"|"&amp;$C553&amp;"|"&amp;$D553)</f>
        <v/>
      </c>
    </row>
    <row r="554">
      <c r="I554" s="73">
        <f>IF($A554="","",$A554&amp;"|"&amp;$B554&amp;"|"&amp;$C554&amp;"|"&amp;$D554)</f>
        <v/>
      </c>
    </row>
    <row r="555">
      <c r="I555" s="73">
        <f>IF($A555="","",$A555&amp;"|"&amp;$B555&amp;"|"&amp;$C555&amp;"|"&amp;$D555)</f>
        <v/>
      </c>
    </row>
    <row r="556">
      <c r="I556" s="73">
        <f>IF($A556="","",$A556&amp;"|"&amp;$B556&amp;"|"&amp;$C556&amp;"|"&amp;$D556)</f>
        <v/>
      </c>
    </row>
    <row r="557">
      <c r="I557" s="73">
        <f>IF($A557="","",$A557&amp;"|"&amp;$B557&amp;"|"&amp;$C557&amp;"|"&amp;$D557)</f>
        <v/>
      </c>
    </row>
    <row r="558">
      <c r="I558" s="73">
        <f>IF($A558="","",$A558&amp;"|"&amp;$B558&amp;"|"&amp;$C558&amp;"|"&amp;$D558)</f>
        <v/>
      </c>
    </row>
    <row r="559">
      <c r="I559" s="73">
        <f>IF($A559="","",$A559&amp;"|"&amp;$B559&amp;"|"&amp;$C559&amp;"|"&amp;$D559)</f>
        <v/>
      </c>
    </row>
    <row r="560">
      <c r="I560" s="73">
        <f>IF($A560="","",$A560&amp;"|"&amp;$B560&amp;"|"&amp;$C560&amp;"|"&amp;$D560)</f>
        <v/>
      </c>
    </row>
    <row r="561">
      <c r="I561" s="73">
        <f>IF($A561="","",$A561&amp;"|"&amp;$B561&amp;"|"&amp;$C561&amp;"|"&amp;$D561)</f>
        <v/>
      </c>
    </row>
    <row r="562">
      <c r="I562" s="73">
        <f>IF($A562="","",$A562&amp;"|"&amp;$B562&amp;"|"&amp;$C562&amp;"|"&amp;$D562)</f>
        <v/>
      </c>
    </row>
    <row r="563">
      <c r="I563" s="73">
        <f>IF($A563="","",$A563&amp;"|"&amp;$B563&amp;"|"&amp;$C563&amp;"|"&amp;$D563)</f>
        <v/>
      </c>
    </row>
    <row r="564">
      <c r="I564" s="73">
        <f>IF($A564="","",$A564&amp;"|"&amp;$B564&amp;"|"&amp;$C564&amp;"|"&amp;$D564)</f>
        <v/>
      </c>
    </row>
    <row r="565">
      <c r="I565" s="73">
        <f>IF($A565="","",$A565&amp;"|"&amp;$B565&amp;"|"&amp;$C565&amp;"|"&amp;$D565)</f>
        <v/>
      </c>
    </row>
    <row r="566">
      <c r="I566" s="73">
        <f>IF($A566="","",$A566&amp;"|"&amp;$B566&amp;"|"&amp;$C566&amp;"|"&amp;$D566)</f>
        <v/>
      </c>
    </row>
    <row r="567">
      <c r="I567" s="73">
        <f>IF($A567="","",$A567&amp;"|"&amp;$B567&amp;"|"&amp;$C567&amp;"|"&amp;$D567)</f>
        <v/>
      </c>
    </row>
    <row r="568">
      <c r="I568" s="73">
        <f>IF($A568="","",$A568&amp;"|"&amp;$B568&amp;"|"&amp;$C568&amp;"|"&amp;$D568)</f>
        <v/>
      </c>
    </row>
    <row r="569">
      <c r="I569" s="73">
        <f>IF($A569="","",$A569&amp;"|"&amp;$B569&amp;"|"&amp;$C569&amp;"|"&amp;$D569)</f>
        <v/>
      </c>
    </row>
    <row r="570">
      <c r="I570" s="73">
        <f>IF($A570="","",$A570&amp;"|"&amp;$B570&amp;"|"&amp;$C570&amp;"|"&amp;$D570)</f>
        <v/>
      </c>
    </row>
    <row r="571">
      <c r="I571" s="73">
        <f>IF($A571="","",$A571&amp;"|"&amp;$B571&amp;"|"&amp;$C571&amp;"|"&amp;$D571)</f>
        <v/>
      </c>
    </row>
    <row r="572">
      <c r="I572" s="73">
        <f>IF($A572="","",$A572&amp;"|"&amp;$B572&amp;"|"&amp;$C572&amp;"|"&amp;$D572)</f>
        <v/>
      </c>
    </row>
    <row r="573">
      <c r="I573" s="73">
        <f>IF($A573="","",$A573&amp;"|"&amp;$B573&amp;"|"&amp;$C573&amp;"|"&amp;$D573)</f>
        <v/>
      </c>
    </row>
    <row r="574">
      <c r="I574" s="73">
        <f>IF($A574="","",$A574&amp;"|"&amp;$B574&amp;"|"&amp;$C574&amp;"|"&amp;$D574)</f>
        <v/>
      </c>
    </row>
    <row r="575">
      <c r="I575" s="73">
        <f>IF($A575="","",$A575&amp;"|"&amp;$B575&amp;"|"&amp;$C575&amp;"|"&amp;$D575)</f>
        <v/>
      </c>
    </row>
    <row r="576">
      <c r="I576" s="73">
        <f>IF($A576="","",$A576&amp;"|"&amp;$B576&amp;"|"&amp;$C576&amp;"|"&amp;$D576)</f>
        <v/>
      </c>
    </row>
    <row r="577">
      <c r="I577" s="73">
        <f>IF($A577="","",$A577&amp;"|"&amp;$B577&amp;"|"&amp;$C577&amp;"|"&amp;$D577)</f>
        <v/>
      </c>
    </row>
    <row r="578">
      <c r="I578" s="73">
        <f>IF($A578="","",$A578&amp;"|"&amp;$B578&amp;"|"&amp;$C578&amp;"|"&amp;$D578)</f>
        <v/>
      </c>
    </row>
    <row r="579">
      <c r="I579" s="73">
        <f>IF($A579="","",$A579&amp;"|"&amp;$B579&amp;"|"&amp;$C579&amp;"|"&amp;$D579)</f>
        <v/>
      </c>
    </row>
    <row r="580">
      <c r="I580" s="73">
        <f>IF($A580="","",$A580&amp;"|"&amp;$B580&amp;"|"&amp;$C580&amp;"|"&amp;$D580)</f>
        <v/>
      </c>
    </row>
    <row r="581">
      <c r="I581" s="73">
        <f>IF($A581="","",$A581&amp;"|"&amp;$B581&amp;"|"&amp;$C581&amp;"|"&amp;$D581)</f>
        <v/>
      </c>
    </row>
    <row r="582">
      <c r="I582" s="73">
        <f>IF($A582="","",$A582&amp;"|"&amp;$B582&amp;"|"&amp;$C582&amp;"|"&amp;$D582)</f>
        <v/>
      </c>
    </row>
    <row r="583">
      <c r="I583" s="73">
        <f>IF($A583="","",$A583&amp;"|"&amp;$B583&amp;"|"&amp;$C583&amp;"|"&amp;$D583)</f>
        <v/>
      </c>
    </row>
    <row r="584">
      <c r="I584" s="73">
        <f>IF($A584="","",$A584&amp;"|"&amp;$B584&amp;"|"&amp;$C584&amp;"|"&amp;$D584)</f>
        <v/>
      </c>
    </row>
    <row r="585">
      <c r="I585" s="73">
        <f>IF($A585="","",$A585&amp;"|"&amp;$B585&amp;"|"&amp;$C585&amp;"|"&amp;$D585)</f>
        <v/>
      </c>
    </row>
    <row r="586">
      <c r="I586" s="73">
        <f>IF($A586="","",$A586&amp;"|"&amp;$B586&amp;"|"&amp;$C586&amp;"|"&amp;$D586)</f>
        <v/>
      </c>
    </row>
    <row r="587">
      <c r="I587" s="73">
        <f>IF($A587="","",$A587&amp;"|"&amp;$B587&amp;"|"&amp;$C587&amp;"|"&amp;$D587)</f>
        <v/>
      </c>
    </row>
    <row r="588">
      <c r="I588" s="73">
        <f>IF($A588="","",$A588&amp;"|"&amp;$B588&amp;"|"&amp;$C588&amp;"|"&amp;$D588)</f>
        <v/>
      </c>
    </row>
    <row r="589">
      <c r="I589" s="73">
        <f>IF($A589="","",$A589&amp;"|"&amp;$B589&amp;"|"&amp;$C589&amp;"|"&amp;$D589)</f>
        <v/>
      </c>
    </row>
    <row r="590">
      <c r="I590" s="73">
        <f>IF($A590="","",$A590&amp;"|"&amp;$B590&amp;"|"&amp;$C590&amp;"|"&amp;$D590)</f>
        <v/>
      </c>
    </row>
    <row r="591">
      <c r="I591" s="73">
        <f>IF($A591="","",$A591&amp;"|"&amp;$B591&amp;"|"&amp;$C591&amp;"|"&amp;$D591)</f>
        <v/>
      </c>
    </row>
    <row r="592">
      <c r="I592" s="73">
        <f>IF($A592="","",$A592&amp;"|"&amp;$B592&amp;"|"&amp;$C592&amp;"|"&amp;$D592)</f>
        <v/>
      </c>
    </row>
    <row r="593">
      <c r="I593" s="73">
        <f>IF($A593="","",$A593&amp;"|"&amp;$B593&amp;"|"&amp;$C593&amp;"|"&amp;$D593)</f>
        <v/>
      </c>
    </row>
    <row r="594">
      <c r="I594" s="73">
        <f>IF($A594="","",$A594&amp;"|"&amp;$B594&amp;"|"&amp;$C594&amp;"|"&amp;$D594)</f>
        <v/>
      </c>
    </row>
    <row r="595">
      <c r="I595" s="73">
        <f>IF($A595="","",$A595&amp;"|"&amp;$B595&amp;"|"&amp;$C595&amp;"|"&amp;$D595)</f>
        <v/>
      </c>
    </row>
    <row r="596">
      <c r="I596" s="73">
        <f>IF($A596="","",$A596&amp;"|"&amp;$B596&amp;"|"&amp;$C596&amp;"|"&amp;$D596)</f>
        <v/>
      </c>
    </row>
    <row r="597">
      <c r="I597" s="73">
        <f>IF($A597="","",$A597&amp;"|"&amp;$B597&amp;"|"&amp;$C597&amp;"|"&amp;$D597)</f>
        <v/>
      </c>
    </row>
    <row r="598">
      <c r="I598" s="73">
        <f>IF($A598="","",$A598&amp;"|"&amp;$B598&amp;"|"&amp;$C598&amp;"|"&amp;$D598)</f>
        <v/>
      </c>
    </row>
    <row r="599">
      <c r="I599" s="73">
        <f>IF($A599="","",$A599&amp;"|"&amp;$B599&amp;"|"&amp;$C599&amp;"|"&amp;$D599)</f>
        <v/>
      </c>
    </row>
    <row r="600">
      <c r="I600" s="73">
        <f>IF($A600="","",$A600&amp;"|"&amp;$B600&amp;"|"&amp;$C600&amp;"|"&amp;$D600)</f>
        <v/>
      </c>
    </row>
    <row r="601">
      <c r="I601" s="73">
        <f>IF($A601="","",$A601&amp;"|"&amp;$B601&amp;"|"&amp;$C601&amp;"|"&amp;$D601)</f>
        <v/>
      </c>
    </row>
    <row r="602">
      <c r="I602" s="73">
        <f>IF($A602="","",$A602&amp;"|"&amp;$B602&amp;"|"&amp;$C602&amp;"|"&amp;$D602)</f>
        <v/>
      </c>
    </row>
    <row r="603">
      <c r="I603" s="73">
        <f>IF($A603="","",$A603&amp;"|"&amp;$B603&amp;"|"&amp;$C603&amp;"|"&amp;$D603)</f>
        <v/>
      </c>
    </row>
    <row r="604">
      <c r="I604" s="73">
        <f>IF($A604="","",$A604&amp;"|"&amp;$B604&amp;"|"&amp;$C604&amp;"|"&amp;$D604)</f>
        <v/>
      </c>
    </row>
    <row r="605">
      <c r="I605" s="73">
        <f>IF($A605="","",$A605&amp;"|"&amp;$B605&amp;"|"&amp;$C605&amp;"|"&amp;$D605)</f>
        <v/>
      </c>
    </row>
    <row r="606">
      <c r="I606" s="73">
        <f>IF($A606="","",$A606&amp;"|"&amp;$B606&amp;"|"&amp;$C606&amp;"|"&amp;$D606)</f>
        <v/>
      </c>
    </row>
    <row r="607">
      <c r="I607" s="73">
        <f>IF($A607="","",$A607&amp;"|"&amp;$B607&amp;"|"&amp;$C607&amp;"|"&amp;$D607)</f>
        <v/>
      </c>
    </row>
    <row r="608">
      <c r="I608" s="73">
        <f>IF($A608="","",$A608&amp;"|"&amp;$B608&amp;"|"&amp;$C608&amp;"|"&amp;$D608)</f>
        <v/>
      </c>
    </row>
    <row r="609">
      <c r="I609" s="73">
        <f>IF($A609="","",$A609&amp;"|"&amp;$B609&amp;"|"&amp;$C609&amp;"|"&amp;$D609)</f>
        <v/>
      </c>
    </row>
    <row r="610">
      <c r="I610" s="73">
        <f>IF($A610="","",$A610&amp;"|"&amp;$B610&amp;"|"&amp;$C610&amp;"|"&amp;$D610)</f>
        <v/>
      </c>
    </row>
    <row r="611">
      <c r="I611" s="73">
        <f>IF($A611="","",$A611&amp;"|"&amp;$B611&amp;"|"&amp;$C611&amp;"|"&amp;$D611)</f>
        <v/>
      </c>
    </row>
    <row r="612">
      <c r="I612" s="73">
        <f>IF($A612="","",$A612&amp;"|"&amp;$B612&amp;"|"&amp;$C612&amp;"|"&amp;$D612)</f>
        <v/>
      </c>
    </row>
    <row r="613">
      <c r="I613" s="73">
        <f>IF($A613="","",$A613&amp;"|"&amp;$B613&amp;"|"&amp;$C613&amp;"|"&amp;$D613)</f>
        <v/>
      </c>
    </row>
    <row r="614">
      <c r="I614" s="73">
        <f>IF($A614="","",$A614&amp;"|"&amp;$B614&amp;"|"&amp;$C614&amp;"|"&amp;$D614)</f>
        <v/>
      </c>
    </row>
    <row r="615">
      <c r="I615" s="73">
        <f>IF($A615="","",$A615&amp;"|"&amp;$B615&amp;"|"&amp;$C615&amp;"|"&amp;$D615)</f>
        <v/>
      </c>
    </row>
    <row r="616">
      <c r="I616" s="73">
        <f>IF($A616="","",$A616&amp;"|"&amp;$B616&amp;"|"&amp;$C616&amp;"|"&amp;$D616)</f>
        <v/>
      </c>
    </row>
    <row r="617">
      <c r="I617" s="73">
        <f>IF($A617="","",$A617&amp;"|"&amp;$B617&amp;"|"&amp;$C617&amp;"|"&amp;$D617)</f>
        <v/>
      </c>
    </row>
    <row r="618">
      <c r="I618" s="73">
        <f>IF($A618="","",$A618&amp;"|"&amp;$B618&amp;"|"&amp;$C618&amp;"|"&amp;$D618)</f>
        <v/>
      </c>
    </row>
    <row r="619">
      <c r="I619" s="73">
        <f>IF($A619="","",$A619&amp;"|"&amp;$B619&amp;"|"&amp;$C619&amp;"|"&amp;$D619)</f>
        <v/>
      </c>
    </row>
    <row r="620">
      <c r="I620" s="73">
        <f>IF($A620="","",$A620&amp;"|"&amp;$B620&amp;"|"&amp;$C620&amp;"|"&amp;$D620)</f>
        <v/>
      </c>
    </row>
    <row r="621">
      <c r="I621" s="73">
        <f>IF($A621="","",$A621&amp;"|"&amp;$B621&amp;"|"&amp;$C621&amp;"|"&amp;$D621)</f>
        <v/>
      </c>
    </row>
    <row r="622">
      <c r="I622" s="73">
        <f>IF($A622="","",$A622&amp;"|"&amp;$B622&amp;"|"&amp;$C622&amp;"|"&amp;$D622)</f>
        <v/>
      </c>
    </row>
    <row r="623">
      <c r="I623" s="73">
        <f>IF($A623="","",$A623&amp;"|"&amp;$B623&amp;"|"&amp;$C623&amp;"|"&amp;$D623)</f>
        <v/>
      </c>
    </row>
    <row r="624">
      <c r="I624" s="73">
        <f>IF($A624="","",$A624&amp;"|"&amp;$B624&amp;"|"&amp;$C624&amp;"|"&amp;$D624)</f>
        <v/>
      </c>
    </row>
    <row r="625">
      <c r="I625" s="73">
        <f>IF($A625="","",$A625&amp;"|"&amp;$B625&amp;"|"&amp;$C625&amp;"|"&amp;$D625)</f>
        <v/>
      </c>
    </row>
    <row r="626">
      <c r="I626" s="73">
        <f>IF($A626="","",$A626&amp;"|"&amp;$B626&amp;"|"&amp;$C626&amp;"|"&amp;$D626)</f>
        <v/>
      </c>
    </row>
    <row r="627">
      <c r="I627" s="73">
        <f>IF($A627="","",$A627&amp;"|"&amp;$B627&amp;"|"&amp;$C627&amp;"|"&amp;$D627)</f>
        <v/>
      </c>
    </row>
    <row r="628">
      <c r="I628" s="73">
        <f>IF($A628="","",$A628&amp;"|"&amp;$B628&amp;"|"&amp;$C628&amp;"|"&amp;$D628)</f>
        <v/>
      </c>
    </row>
    <row r="629">
      <c r="I629" s="73">
        <f>IF($A629="","",$A629&amp;"|"&amp;$B629&amp;"|"&amp;$C629&amp;"|"&amp;$D629)</f>
        <v/>
      </c>
    </row>
    <row r="630">
      <c r="I630" s="73">
        <f>IF($A630="","",$A630&amp;"|"&amp;$B630&amp;"|"&amp;$C630&amp;"|"&amp;$D630)</f>
        <v/>
      </c>
    </row>
    <row r="631">
      <c r="I631" s="73">
        <f>IF($A631="","",$A631&amp;"|"&amp;$B631&amp;"|"&amp;$C631&amp;"|"&amp;$D631)</f>
        <v/>
      </c>
    </row>
    <row r="632">
      <c r="I632" s="73">
        <f>IF($A632="","",$A632&amp;"|"&amp;$B632&amp;"|"&amp;$C632&amp;"|"&amp;$D632)</f>
        <v/>
      </c>
    </row>
    <row r="633">
      <c r="I633" s="73">
        <f>IF($A633="","",$A633&amp;"|"&amp;$B633&amp;"|"&amp;$C633&amp;"|"&amp;$D633)</f>
        <v/>
      </c>
    </row>
    <row r="634">
      <c r="I634" s="73">
        <f>IF($A634="","",$A634&amp;"|"&amp;$B634&amp;"|"&amp;$C634&amp;"|"&amp;$D634)</f>
        <v/>
      </c>
    </row>
    <row r="635">
      <c r="I635" s="73">
        <f>IF($A635="","",$A635&amp;"|"&amp;$B635&amp;"|"&amp;$C635&amp;"|"&amp;$D635)</f>
        <v/>
      </c>
    </row>
    <row r="636">
      <c r="I636" s="73">
        <f>IF($A636="","",$A636&amp;"|"&amp;$B636&amp;"|"&amp;$C636&amp;"|"&amp;$D636)</f>
        <v/>
      </c>
    </row>
    <row r="637">
      <c r="I637" s="73">
        <f>IF($A637="","",$A637&amp;"|"&amp;$B637&amp;"|"&amp;$C637&amp;"|"&amp;$D637)</f>
        <v/>
      </c>
    </row>
    <row r="638">
      <c r="I638" s="73">
        <f>IF($A638="","",$A638&amp;"|"&amp;$B638&amp;"|"&amp;$C638&amp;"|"&amp;$D638)</f>
        <v/>
      </c>
    </row>
    <row r="639">
      <c r="I639" s="73">
        <f>IF($A639="","",$A639&amp;"|"&amp;$B639&amp;"|"&amp;$C639&amp;"|"&amp;$D639)</f>
        <v/>
      </c>
    </row>
    <row r="640">
      <c r="I640" s="73">
        <f>IF($A640="","",$A640&amp;"|"&amp;$B640&amp;"|"&amp;$C640&amp;"|"&amp;$D640)</f>
        <v/>
      </c>
    </row>
    <row r="641">
      <c r="I641" s="73">
        <f>IF($A641="","",$A641&amp;"|"&amp;$B641&amp;"|"&amp;$C641&amp;"|"&amp;$D641)</f>
        <v/>
      </c>
    </row>
    <row r="642">
      <c r="I642" s="73">
        <f>IF($A642="","",$A642&amp;"|"&amp;$B642&amp;"|"&amp;$C642&amp;"|"&amp;$D642)</f>
        <v/>
      </c>
    </row>
    <row r="643">
      <c r="I643" s="73">
        <f>IF($A643="","",$A643&amp;"|"&amp;$B643&amp;"|"&amp;$C643&amp;"|"&amp;$D643)</f>
        <v/>
      </c>
    </row>
    <row r="644">
      <c r="I644" s="73">
        <f>IF($A644="","",$A644&amp;"|"&amp;$B644&amp;"|"&amp;$C644&amp;"|"&amp;$D644)</f>
        <v/>
      </c>
    </row>
    <row r="645">
      <c r="I645" s="73">
        <f>IF($A645="","",$A645&amp;"|"&amp;$B645&amp;"|"&amp;$C645&amp;"|"&amp;$D645)</f>
        <v/>
      </c>
    </row>
    <row r="646">
      <c r="I646" s="73">
        <f>IF($A646="","",$A646&amp;"|"&amp;$B646&amp;"|"&amp;$C646&amp;"|"&amp;$D646)</f>
        <v/>
      </c>
    </row>
    <row r="647">
      <c r="I647" s="73">
        <f>IF($A647="","",$A647&amp;"|"&amp;$B647&amp;"|"&amp;$C647&amp;"|"&amp;$D647)</f>
        <v/>
      </c>
    </row>
    <row r="648">
      <c r="I648" s="73">
        <f>IF($A648="","",$A648&amp;"|"&amp;$B648&amp;"|"&amp;$C648&amp;"|"&amp;$D648)</f>
        <v/>
      </c>
    </row>
    <row r="649">
      <c r="I649" s="73">
        <f>IF($A649="","",$A649&amp;"|"&amp;$B649&amp;"|"&amp;$C649&amp;"|"&amp;$D649)</f>
        <v/>
      </c>
    </row>
    <row r="650">
      <c r="I650" s="73">
        <f>IF($A650="","",$A650&amp;"|"&amp;$B650&amp;"|"&amp;$C650&amp;"|"&amp;$D650)</f>
        <v/>
      </c>
    </row>
    <row r="651">
      <c r="I651" s="73">
        <f>IF($A651="","",$A651&amp;"|"&amp;$B651&amp;"|"&amp;$C651&amp;"|"&amp;$D651)</f>
        <v/>
      </c>
    </row>
    <row r="652">
      <c r="I652" s="73">
        <f>IF($A652="","",$A652&amp;"|"&amp;$B652&amp;"|"&amp;$C652&amp;"|"&amp;$D652)</f>
        <v/>
      </c>
    </row>
    <row r="653">
      <c r="I653" s="73">
        <f>IF($A653="","",$A653&amp;"|"&amp;$B653&amp;"|"&amp;$C653&amp;"|"&amp;$D653)</f>
        <v/>
      </c>
    </row>
    <row r="654">
      <c r="I654" s="73">
        <f>IF($A654="","",$A654&amp;"|"&amp;$B654&amp;"|"&amp;$C654&amp;"|"&amp;$D654)</f>
        <v/>
      </c>
    </row>
    <row r="655">
      <c r="I655" s="73">
        <f>IF($A655="","",$A655&amp;"|"&amp;$B655&amp;"|"&amp;$C655&amp;"|"&amp;$D655)</f>
        <v/>
      </c>
    </row>
    <row r="656">
      <c r="I656" s="73">
        <f>IF($A656="","",$A656&amp;"|"&amp;$B656&amp;"|"&amp;$C656&amp;"|"&amp;$D656)</f>
        <v/>
      </c>
    </row>
    <row r="657">
      <c r="I657" s="73">
        <f>IF($A657="","",$A657&amp;"|"&amp;$B657&amp;"|"&amp;$C657&amp;"|"&amp;$D657)</f>
        <v/>
      </c>
    </row>
    <row r="658">
      <c r="I658" s="73">
        <f>IF($A658="","",$A658&amp;"|"&amp;$B658&amp;"|"&amp;$C658&amp;"|"&amp;$D658)</f>
        <v/>
      </c>
    </row>
    <row r="659">
      <c r="I659" s="73">
        <f>IF($A659="","",$A659&amp;"|"&amp;$B659&amp;"|"&amp;$C659&amp;"|"&amp;$D659)</f>
        <v/>
      </c>
    </row>
    <row r="660">
      <c r="I660" s="73">
        <f>IF($A660="","",$A660&amp;"|"&amp;$B660&amp;"|"&amp;$C660&amp;"|"&amp;$D660)</f>
        <v/>
      </c>
    </row>
    <row r="661">
      <c r="I661" s="73">
        <f>IF($A661="","",$A661&amp;"|"&amp;$B661&amp;"|"&amp;$C661&amp;"|"&amp;$D661)</f>
        <v/>
      </c>
    </row>
    <row r="662">
      <c r="I662" s="73">
        <f>IF($A662="","",$A662&amp;"|"&amp;$B662&amp;"|"&amp;$C662&amp;"|"&amp;$D662)</f>
        <v/>
      </c>
    </row>
    <row r="663">
      <c r="I663" s="73">
        <f>IF($A663="","",$A663&amp;"|"&amp;$B663&amp;"|"&amp;$C663&amp;"|"&amp;$D663)</f>
        <v/>
      </c>
    </row>
    <row r="664">
      <c r="I664" s="73">
        <f>IF($A664="","",$A664&amp;"|"&amp;$B664&amp;"|"&amp;$C664&amp;"|"&amp;$D664)</f>
        <v/>
      </c>
    </row>
    <row r="665">
      <c r="I665" s="73">
        <f>IF($A665="","",$A665&amp;"|"&amp;$B665&amp;"|"&amp;$C665&amp;"|"&amp;$D665)</f>
        <v/>
      </c>
    </row>
    <row r="666">
      <c r="I666" s="73">
        <f>IF($A666="","",$A666&amp;"|"&amp;$B666&amp;"|"&amp;$C666&amp;"|"&amp;$D666)</f>
        <v/>
      </c>
    </row>
    <row r="667">
      <c r="I667" s="73">
        <f>IF($A667="","",$A667&amp;"|"&amp;$B667&amp;"|"&amp;$C667&amp;"|"&amp;$D667)</f>
        <v/>
      </c>
    </row>
    <row r="668">
      <c r="I668" s="73">
        <f>IF($A668="","",$A668&amp;"|"&amp;$B668&amp;"|"&amp;$C668&amp;"|"&amp;$D668)</f>
        <v/>
      </c>
    </row>
    <row r="669">
      <c r="I669" s="73">
        <f>IF($A669="","",$A669&amp;"|"&amp;$B669&amp;"|"&amp;$C669&amp;"|"&amp;$D669)</f>
        <v/>
      </c>
    </row>
    <row r="670">
      <c r="I670" s="73">
        <f>IF($A670="","",$A670&amp;"|"&amp;$B670&amp;"|"&amp;$C670&amp;"|"&amp;$D670)</f>
        <v/>
      </c>
    </row>
    <row r="671">
      <c r="I671" s="73">
        <f>IF($A671="","",$A671&amp;"|"&amp;$B671&amp;"|"&amp;$C671&amp;"|"&amp;$D671)</f>
        <v/>
      </c>
    </row>
    <row r="672">
      <c r="I672" s="73">
        <f>IF($A672="","",$A672&amp;"|"&amp;$B672&amp;"|"&amp;$C672&amp;"|"&amp;$D672)</f>
        <v/>
      </c>
    </row>
    <row r="673">
      <c r="I673" s="73">
        <f>IF($A673="","",$A673&amp;"|"&amp;$B673&amp;"|"&amp;$C673&amp;"|"&amp;$D673)</f>
        <v/>
      </c>
    </row>
    <row r="674">
      <c r="I674" s="73">
        <f>IF($A674="","",$A674&amp;"|"&amp;$B674&amp;"|"&amp;$C674&amp;"|"&amp;$D674)</f>
        <v/>
      </c>
    </row>
    <row r="675">
      <c r="I675" s="73">
        <f>IF($A675="","",$A675&amp;"|"&amp;$B675&amp;"|"&amp;$C675&amp;"|"&amp;$D675)</f>
        <v/>
      </c>
    </row>
    <row r="676">
      <c r="I676" s="73">
        <f>IF($A676="","",$A676&amp;"|"&amp;$B676&amp;"|"&amp;$C676&amp;"|"&amp;$D676)</f>
        <v/>
      </c>
    </row>
    <row r="677">
      <c r="I677" s="73">
        <f>IF($A677="","",$A677&amp;"|"&amp;$B677&amp;"|"&amp;$C677&amp;"|"&amp;$D677)</f>
        <v/>
      </c>
    </row>
    <row r="678">
      <c r="I678" s="73">
        <f>IF($A678="","",$A678&amp;"|"&amp;$B678&amp;"|"&amp;$C678&amp;"|"&amp;$D678)</f>
        <v/>
      </c>
    </row>
    <row r="679">
      <c r="I679" s="73">
        <f>IF($A679="","",$A679&amp;"|"&amp;$B679&amp;"|"&amp;$C679&amp;"|"&amp;$D679)</f>
        <v/>
      </c>
    </row>
    <row r="680">
      <c r="I680" s="73">
        <f>IF($A680="","",$A680&amp;"|"&amp;$B680&amp;"|"&amp;$C680&amp;"|"&amp;$D680)</f>
        <v/>
      </c>
    </row>
    <row r="681">
      <c r="I681" s="73">
        <f>IF($A681="","",$A681&amp;"|"&amp;$B681&amp;"|"&amp;$C681&amp;"|"&amp;$D681)</f>
        <v/>
      </c>
    </row>
    <row r="682">
      <c r="I682" s="73">
        <f>IF($A682="","",$A682&amp;"|"&amp;$B682&amp;"|"&amp;$C682&amp;"|"&amp;$D682)</f>
        <v/>
      </c>
    </row>
    <row r="683">
      <c r="I683" s="73">
        <f>IF($A683="","",$A683&amp;"|"&amp;$B683&amp;"|"&amp;$C683&amp;"|"&amp;$D683)</f>
        <v/>
      </c>
    </row>
    <row r="684">
      <c r="I684" s="73">
        <f>IF($A684="","",$A684&amp;"|"&amp;$B684&amp;"|"&amp;$C684&amp;"|"&amp;$D684)</f>
        <v/>
      </c>
    </row>
    <row r="685">
      <c r="I685" s="73">
        <f>IF($A685="","",$A685&amp;"|"&amp;$B685&amp;"|"&amp;$C685&amp;"|"&amp;$D685)</f>
        <v/>
      </c>
    </row>
    <row r="686">
      <c r="I686" s="73">
        <f>IF($A686="","",$A686&amp;"|"&amp;$B686&amp;"|"&amp;$C686&amp;"|"&amp;$D686)</f>
        <v/>
      </c>
    </row>
    <row r="687">
      <c r="I687" s="73">
        <f>IF($A687="","",$A687&amp;"|"&amp;$B687&amp;"|"&amp;$C687&amp;"|"&amp;$D687)</f>
        <v/>
      </c>
    </row>
    <row r="688">
      <c r="I688" s="73">
        <f>IF($A688="","",$A688&amp;"|"&amp;$B688&amp;"|"&amp;$C688&amp;"|"&amp;$D688)</f>
        <v/>
      </c>
    </row>
    <row r="689">
      <c r="I689" s="73">
        <f>IF($A689="","",$A689&amp;"|"&amp;$B689&amp;"|"&amp;$C689&amp;"|"&amp;$D689)</f>
        <v/>
      </c>
    </row>
    <row r="690">
      <c r="I690" s="73">
        <f>IF($A690="","",$A690&amp;"|"&amp;$B690&amp;"|"&amp;$C690&amp;"|"&amp;$D690)</f>
        <v/>
      </c>
    </row>
    <row r="691">
      <c r="I691" s="73">
        <f>IF($A691="","",$A691&amp;"|"&amp;$B691&amp;"|"&amp;$C691&amp;"|"&amp;$D691)</f>
        <v/>
      </c>
    </row>
    <row r="692">
      <c r="I692" s="73">
        <f>IF($A692="","",$A692&amp;"|"&amp;$B692&amp;"|"&amp;$C692&amp;"|"&amp;$D692)</f>
        <v/>
      </c>
    </row>
    <row r="693">
      <c r="I693" s="73">
        <f>IF($A693="","",$A693&amp;"|"&amp;$B693&amp;"|"&amp;$C693&amp;"|"&amp;$D693)</f>
        <v/>
      </c>
    </row>
    <row r="694">
      <c r="I694" s="73">
        <f>IF($A694="","",$A694&amp;"|"&amp;$B694&amp;"|"&amp;$C694&amp;"|"&amp;$D694)</f>
        <v/>
      </c>
    </row>
    <row r="695">
      <c r="I695" s="73">
        <f>IF($A695="","",$A695&amp;"|"&amp;$B695&amp;"|"&amp;$C695&amp;"|"&amp;$D695)</f>
        <v/>
      </c>
    </row>
    <row r="696">
      <c r="I696" s="73">
        <f>IF($A696="","",$A696&amp;"|"&amp;$B696&amp;"|"&amp;$C696&amp;"|"&amp;$D696)</f>
        <v/>
      </c>
    </row>
    <row r="697">
      <c r="I697" s="73">
        <f>IF($A697="","",$A697&amp;"|"&amp;$B697&amp;"|"&amp;$C697&amp;"|"&amp;$D697)</f>
        <v/>
      </c>
    </row>
    <row r="698">
      <c r="I698" s="73">
        <f>IF($A698="","",$A698&amp;"|"&amp;$B698&amp;"|"&amp;$C698&amp;"|"&amp;$D698)</f>
        <v/>
      </c>
    </row>
    <row r="699">
      <c r="I699" s="73">
        <f>IF($A699="","",$A699&amp;"|"&amp;$B699&amp;"|"&amp;$C699&amp;"|"&amp;$D699)</f>
        <v/>
      </c>
    </row>
    <row r="700">
      <c r="I700" s="73">
        <f>IF($A700="","",$A700&amp;"|"&amp;$B700&amp;"|"&amp;$C700&amp;"|"&amp;$D700)</f>
        <v/>
      </c>
    </row>
    <row r="701">
      <c r="I701" s="73">
        <f>IF($A701="","",$A701&amp;"|"&amp;$B701&amp;"|"&amp;$C701&amp;"|"&amp;$D701)</f>
        <v/>
      </c>
    </row>
    <row r="702">
      <c r="I702" s="73">
        <f>IF($A702="","",$A702&amp;"|"&amp;$B702&amp;"|"&amp;$C702&amp;"|"&amp;$D702)</f>
        <v/>
      </c>
    </row>
    <row r="703">
      <c r="I703" s="73">
        <f>IF($A703="","",$A703&amp;"|"&amp;$B703&amp;"|"&amp;$C703&amp;"|"&amp;$D703)</f>
        <v/>
      </c>
    </row>
    <row r="704">
      <c r="I704" s="73">
        <f>IF($A704="","",$A704&amp;"|"&amp;$B704&amp;"|"&amp;$C704&amp;"|"&amp;$D704)</f>
        <v/>
      </c>
    </row>
    <row r="705">
      <c r="I705" s="73">
        <f>IF($A705="","",$A705&amp;"|"&amp;$B705&amp;"|"&amp;$C705&amp;"|"&amp;$D705)</f>
        <v/>
      </c>
    </row>
    <row r="706">
      <c r="I706" s="73">
        <f>IF($A706="","",$A706&amp;"|"&amp;$B706&amp;"|"&amp;$C706&amp;"|"&amp;$D706)</f>
        <v/>
      </c>
    </row>
    <row r="707">
      <c r="I707" s="73">
        <f>IF($A707="","",$A707&amp;"|"&amp;$B707&amp;"|"&amp;$C707&amp;"|"&amp;$D707)</f>
        <v/>
      </c>
    </row>
    <row r="708">
      <c r="I708" s="73">
        <f>IF($A708="","",$A708&amp;"|"&amp;$B708&amp;"|"&amp;$C708&amp;"|"&amp;$D708)</f>
        <v/>
      </c>
    </row>
    <row r="709">
      <c r="I709" s="73">
        <f>IF($A709="","",$A709&amp;"|"&amp;$B709&amp;"|"&amp;$C709&amp;"|"&amp;$D709)</f>
        <v/>
      </c>
    </row>
    <row r="710">
      <c r="I710" s="73">
        <f>IF($A710="","",$A710&amp;"|"&amp;$B710&amp;"|"&amp;$C710&amp;"|"&amp;$D710)</f>
        <v/>
      </c>
    </row>
    <row r="711">
      <c r="I711" s="73">
        <f>IF($A711="","",$A711&amp;"|"&amp;$B711&amp;"|"&amp;$C711&amp;"|"&amp;$D711)</f>
        <v/>
      </c>
    </row>
    <row r="712">
      <c r="I712" s="73">
        <f>IF($A712="","",$A712&amp;"|"&amp;$B712&amp;"|"&amp;$C712&amp;"|"&amp;$D712)</f>
        <v/>
      </c>
    </row>
    <row r="713">
      <c r="I713" s="73">
        <f>IF($A713="","",$A713&amp;"|"&amp;$B713&amp;"|"&amp;$C713&amp;"|"&amp;$D713)</f>
        <v/>
      </c>
    </row>
    <row r="714">
      <c r="I714" s="73">
        <f>IF($A714="","",$A714&amp;"|"&amp;$B714&amp;"|"&amp;$C714&amp;"|"&amp;$D714)</f>
        <v/>
      </c>
    </row>
    <row r="715">
      <c r="I715" s="73">
        <f>IF($A715="","",$A715&amp;"|"&amp;$B715&amp;"|"&amp;$C715&amp;"|"&amp;$D715)</f>
        <v/>
      </c>
    </row>
    <row r="716">
      <c r="I716" s="73">
        <f>IF($A716="","",$A716&amp;"|"&amp;$B716&amp;"|"&amp;$C716&amp;"|"&amp;$D716)</f>
        <v/>
      </c>
    </row>
    <row r="717">
      <c r="I717" s="73">
        <f>IF($A717="","",$A717&amp;"|"&amp;$B717&amp;"|"&amp;$C717&amp;"|"&amp;$D717)</f>
        <v/>
      </c>
    </row>
    <row r="718">
      <c r="I718" s="73">
        <f>IF($A718="","",$A718&amp;"|"&amp;$B718&amp;"|"&amp;$C718&amp;"|"&amp;$D718)</f>
        <v/>
      </c>
    </row>
    <row r="719">
      <c r="I719" s="73">
        <f>IF($A719="","",$A719&amp;"|"&amp;$B719&amp;"|"&amp;$C719&amp;"|"&amp;$D719)</f>
        <v/>
      </c>
    </row>
    <row r="720">
      <c r="I720" s="73">
        <f>IF($A720="","",$A720&amp;"|"&amp;$B720&amp;"|"&amp;$C720&amp;"|"&amp;$D720)</f>
        <v/>
      </c>
    </row>
    <row r="721">
      <c r="I721" s="73">
        <f>IF($A721="","",$A721&amp;"|"&amp;$B721&amp;"|"&amp;$C721&amp;"|"&amp;$D721)</f>
        <v/>
      </c>
    </row>
    <row r="722">
      <c r="I722" s="73">
        <f>IF($A722="","",$A722&amp;"|"&amp;$B722&amp;"|"&amp;$C722&amp;"|"&amp;$D722)</f>
        <v/>
      </c>
    </row>
    <row r="723">
      <c r="I723" s="73">
        <f>IF($A723="","",$A723&amp;"|"&amp;$B723&amp;"|"&amp;$C723&amp;"|"&amp;$D723)</f>
        <v/>
      </c>
    </row>
    <row r="724">
      <c r="I724" s="73">
        <f>IF($A724="","",$A724&amp;"|"&amp;$B724&amp;"|"&amp;$C724&amp;"|"&amp;$D724)</f>
        <v/>
      </c>
    </row>
    <row r="725">
      <c r="I725" s="73">
        <f>IF($A725="","",$A725&amp;"|"&amp;$B725&amp;"|"&amp;$C725&amp;"|"&amp;$D725)</f>
        <v/>
      </c>
    </row>
    <row r="726">
      <c r="I726" s="73">
        <f>IF($A726="","",$A726&amp;"|"&amp;$B726&amp;"|"&amp;$C726&amp;"|"&amp;$D726)</f>
        <v/>
      </c>
    </row>
    <row r="727">
      <c r="I727" s="73">
        <f>IF($A727="","",$A727&amp;"|"&amp;$B727&amp;"|"&amp;$C727&amp;"|"&amp;$D727)</f>
        <v/>
      </c>
    </row>
    <row r="728">
      <c r="I728" s="73">
        <f>IF($A728="","",$A728&amp;"|"&amp;$B728&amp;"|"&amp;$C728&amp;"|"&amp;$D728)</f>
        <v/>
      </c>
    </row>
    <row r="729">
      <c r="I729" s="73">
        <f>IF($A729="","",$A729&amp;"|"&amp;$B729&amp;"|"&amp;$C729&amp;"|"&amp;$D729)</f>
        <v/>
      </c>
    </row>
    <row r="730">
      <c r="I730" s="73">
        <f>IF($A730="","",$A730&amp;"|"&amp;$B730&amp;"|"&amp;$C730&amp;"|"&amp;$D730)</f>
        <v/>
      </c>
    </row>
    <row r="731">
      <c r="I731" s="73">
        <f>IF($A731="","",$A731&amp;"|"&amp;$B731&amp;"|"&amp;$C731&amp;"|"&amp;$D731)</f>
        <v/>
      </c>
    </row>
    <row r="732">
      <c r="I732" s="73">
        <f>IF($A732="","",$A732&amp;"|"&amp;$B732&amp;"|"&amp;$C732&amp;"|"&amp;$D732)</f>
        <v/>
      </c>
    </row>
    <row r="733">
      <c r="I733" s="73">
        <f>IF($A733="","",$A733&amp;"|"&amp;$B733&amp;"|"&amp;$C733&amp;"|"&amp;$D733)</f>
        <v/>
      </c>
    </row>
    <row r="734">
      <c r="I734" s="73">
        <f>IF($A734="","",$A734&amp;"|"&amp;$B734&amp;"|"&amp;$C734&amp;"|"&amp;$D734)</f>
        <v/>
      </c>
    </row>
    <row r="735">
      <c r="I735" s="73">
        <f>IF($A735="","",$A735&amp;"|"&amp;$B735&amp;"|"&amp;$C735&amp;"|"&amp;$D735)</f>
        <v/>
      </c>
    </row>
    <row r="736">
      <c r="I736" s="73">
        <f>IF($A736="","",$A736&amp;"|"&amp;$B736&amp;"|"&amp;$C736&amp;"|"&amp;$D736)</f>
        <v/>
      </c>
    </row>
    <row r="737">
      <c r="I737" s="73">
        <f>IF($A737="","",$A737&amp;"|"&amp;$B737&amp;"|"&amp;$C737&amp;"|"&amp;$D737)</f>
        <v/>
      </c>
    </row>
    <row r="738">
      <c r="I738" s="73">
        <f>IF($A738="","",$A738&amp;"|"&amp;$B738&amp;"|"&amp;$C738&amp;"|"&amp;$D738)</f>
        <v/>
      </c>
    </row>
    <row r="739">
      <c r="I739" s="73">
        <f>IF($A739="","",$A739&amp;"|"&amp;$B739&amp;"|"&amp;$C739&amp;"|"&amp;$D739)</f>
        <v/>
      </c>
    </row>
    <row r="740">
      <c r="I740" s="73">
        <f>IF($A740="","",$A740&amp;"|"&amp;$B740&amp;"|"&amp;$C740&amp;"|"&amp;$D740)</f>
        <v/>
      </c>
    </row>
    <row r="741">
      <c r="I741" s="73">
        <f>IF($A741="","",$A741&amp;"|"&amp;$B741&amp;"|"&amp;$C741&amp;"|"&amp;$D741)</f>
        <v/>
      </c>
    </row>
    <row r="742">
      <c r="I742" s="73">
        <f>IF($A742="","",$A742&amp;"|"&amp;$B742&amp;"|"&amp;$C742&amp;"|"&amp;$D742)</f>
        <v/>
      </c>
    </row>
    <row r="743">
      <c r="I743" s="73">
        <f>IF($A743="","",$A743&amp;"|"&amp;$B743&amp;"|"&amp;$C743&amp;"|"&amp;$D743)</f>
        <v/>
      </c>
    </row>
    <row r="744">
      <c r="I744" s="73">
        <f>IF($A744="","",$A744&amp;"|"&amp;$B744&amp;"|"&amp;$C744&amp;"|"&amp;$D744)</f>
        <v/>
      </c>
    </row>
    <row r="745">
      <c r="I745" s="73">
        <f>IF($A745="","",$A745&amp;"|"&amp;$B745&amp;"|"&amp;$C745&amp;"|"&amp;$D745)</f>
        <v/>
      </c>
    </row>
    <row r="746">
      <c r="I746" s="73">
        <f>IF($A746="","",$A746&amp;"|"&amp;$B746&amp;"|"&amp;$C746&amp;"|"&amp;$D746)</f>
        <v/>
      </c>
    </row>
    <row r="747">
      <c r="I747" s="73">
        <f>IF($A747="","",$A747&amp;"|"&amp;$B747&amp;"|"&amp;$C747&amp;"|"&amp;$D747)</f>
        <v/>
      </c>
    </row>
    <row r="748">
      <c r="I748" s="73">
        <f>IF($A748="","",$A748&amp;"|"&amp;$B748&amp;"|"&amp;$C748&amp;"|"&amp;$D748)</f>
        <v/>
      </c>
    </row>
    <row r="749">
      <c r="I749" s="73">
        <f>IF($A749="","",$A749&amp;"|"&amp;$B749&amp;"|"&amp;$C749&amp;"|"&amp;$D749)</f>
        <v/>
      </c>
    </row>
    <row r="750">
      <c r="I750" s="73">
        <f>IF($A750="","",$A750&amp;"|"&amp;$B750&amp;"|"&amp;$C750&amp;"|"&amp;$D750)</f>
        <v/>
      </c>
    </row>
    <row r="751">
      <c r="I751" s="73">
        <f>IF($A751="","",$A751&amp;"|"&amp;$B751&amp;"|"&amp;$C751&amp;"|"&amp;$D751)</f>
        <v/>
      </c>
    </row>
    <row r="752">
      <c r="I752" s="73">
        <f>IF($A752="","",$A752&amp;"|"&amp;$B752&amp;"|"&amp;$C752&amp;"|"&amp;$D752)</f>
        <v/>
      </c>
    </row>
    <row r="753">
      <c r="I753" s="73">
        <f>IF($A753="","",$A753&amp;"|"&amp;$B753&amp;"|"&amp;$C753&amp;"|"&amp;$D753)</f>
        <v/>
      </c>
    </row>
    <row r="754">
      <c r="I754" s="73">
        <f>IF($A754="","",$A754&amp;"|"&amp;$B754&amp;"|"&amp;$C754&amp;"|"&amp;$D754)</f>
        <v/>
      </c>
    </row>
    <row r="755">
      <c r="I755" s="73">
        <f>IF($A755="","",$A755&amp;"|"&amp;$B755&amp;"|"&amp;$C755&amp;"|"&amp;$D755)</f>
        <v/>
      </c>
    </row>
    <row r="756">
      <c r="I756" s="73">
        <f>IF($A756="","",$A756&amp;"|"&amp;$B756&amp;"|"&amp;$C756&amp;"|"&amp;$D756)</f>
        <v/>
      </c>
    </row>
    <row r="757">
      <c r="I757" s="73">
        <f>IF($A757="","",$A757&amp;"|"&amp;$B757&amp;"|"&amp;$C757&amp;"|"&amp;$D757)</f>
        <v/>
      </c>
    </row>
    <row r="758">
      <c r="I758" s="73">
        <f>IF($A758="","",$A758&amp;"|"&amp;$B758&amp;"|"&amp;$C758&amp;"|"&amp;$D758)</f>
        <v/>
      </c>
    </row>
    <row r="759">
      <c r="I759" s="73">
        <f>IF($A759="","",$A759&amp;"|"&amp;$B759&amp;"|"&amp;$C759&amp;"|"&amp;$D759)</f>
        <v/>
      </c>
    </row>
    <row r="760">
      <c r="I760" s="73">
        <f>IF($A760="","",$A760&amp;"|"&amp;$B760&amp;"|"&amp;$C760&amp;"|"&amp;$D760)</f>
        <v/>
      </c>
    </row>
    <row r="761">
      <c r="I761" s="73">
        <f>IF($A761="","",$A761&amp;"|"&amp;$B761&amp;"|"&amp;$C761&amp;"|"&amp;$D761)</f>
        <v/>
      </c>
    </row>
    <row r="762">
      <c r="I762" s="73">
        <f>IF($A762="","",$A762&amp;"|"&amp;$B762&amp;"|"&amp;$C762&amp;"|"&amp;$D762)</f>
        <v/>
      </c>
    </row>
    <row r="763">
      <c r="I763" s="73">
        <f>IF($A763="","",$A763&amp;"|"&amp;$B763&amp;"|"&amp;$C763&amp;"|"&amp;$D763)</f>
        <v/>
      </c>
    </row>
    <row r="764">
      <c r="I764" s="73">
        <f>IF($A764="","",$A764&amp;"|"&amp;$B764&amp;"|"&amp;$C764&amp;"|"&amp;$D764)</f>
        <v/>
      </c>
    </row>
    <row r="765">
      <c r="I765" s="73">
        <f>IF($A765="","",$A765&amp;"|"&amp;$B765&amp;"|"&amp;$C765&amp;"|"&amp;$D765)</f>
        <v/>
      </c>
    </row>
    <row r="766">
      <c r="I766" s="73">
        <f>IF($A766="","",$A766&amp;"|"&amp;$B766&amp;"|"&amp;$C766&amp;"|"&amp;$D766)</f>
        <v/>
      </c>
    </row>
    <row r="767">
      <c r="I767" s="73">
        <f>IF($A767="","",$A767&amp;"|"&amp;$B767&amp;"|"&amp;$C767&amp;"|"&amp;$D767)</f>
        <v/>
      </c>
    </row>
    <row r="768">
      <c r="I768" s="73">
        <f>IF($A768="","",$A768&amp;"|"&amp;$B768&amp;"|"&amp;$C768&amp;"|"&amp;$D768)</f>
        <v/>
      </c>
    </row>
    <row r="769">
      <c r="I769" s="73">
        <f>IF($A769="","",$A769&amp;"|"&amp;$B769&amp;"|"&amp;$C769&amp;"|"&amp;$D769)</f>
        <v/>
      </c>
    </row>
    <row r="770">
      <c r="I770" s="73">
        <f>IF($A770="","",$A770&amp;"|"&amp;$B770&amp;"|"&amp;$C770&amp;"|"&amp;$D770)</f>
        <v/>
      </c>
    </row>
    <row r="771">
      <c r="I771" s="73">
        <f>IF($A771="","",$A771&amp;"|"&amp;$B771&amp;"|"&amp;$C771&amp;"|"&amp;$D771)</f>
        <v/>
      </c>
    </row>
    <row r="772">
      <c r="I772" s="73">
        <f>IF($A772="","",$A772&amp;"|"&amp;$B772&amp;"|"&amp;$C772&amp;"|"&amp;$D772)</f>
        <v/>
      </c>
    </row>
    <row r="773">
      <c r="I773" s="73">
        <f>IF($A773="","",$A773&amp;"|"&amp;$B773&amp;"|"&amp;$C773&amp;"|"&amp;$D773)</f>
        <v/>
      </c>
    </row>
    <row r="774">
      <c r="I774" s="73">
        <f>IF($A774="","",$A774&amp;"|"&amp;$B774&amp;"|"&amp;$C774&amp;"|"&amp;$D774)</f>
        <v/>
      </c>
    </row>
    <row r="775">
      <c r="I775" s="73">
        <f>IF($A775="","",$A775&amp;"|"&amp;$B775&amp;"|"&amp;$C775&amp;"|"&amp;$D775)</f>
        <v/>
      </c>
    </row>
    <row r="776">
      <c r="I776" s="73">
        <f>IF($A776="","",$A776&amp;"|"&amp;$B776&amp;"|"&amp;$C776&amp;"|"&amp;$D776)</f>
        <v/>
      </c>
    </row>
    <row r="777">
      <c r="I777" s="73">
        <f>IF($A777="","",$A777&amp;"|"&amp;$B777&amp;"|"&amp;$C777&amp;"|"&amp;$D777)</f>
        <v/>
      </c>
    </row>
    <row r="778">
      <c r="I778" s="73">
        <f>IF($A778="","",$A778&amp;"|"&amp;$B778&amp;"|"&amp;$C778&amp;"|"&amp;$D778)</f>
        <v/>
      </c>
    </row>
    <row r="779">
      <c r="I779" s="73">
        <f>IF($A779="","",$A779&amp;"|"&amp;$B779&amp;"|"&amp;$C779&amp;"|"&amp;$D779)</f>
        <v/>
      </c>
    </row>
    <row r="780">
      <c r="I780" s="73">
        <f>IF($A780="","",$A780&amp;"|"&amp;$B780&amp;"|"&amp;$C780&amp;"|"&amp;$D780)</f>
        <v/>
      </c>
    </row>
    <row r="781">
      <c r="I781" s="73">
        <f>IF($A781="","",$A781&amp;"|"&amp;$B781&amp;"|"&amp;$C781&amp;"|"&amp;$D781)</f>
        <v/>
      </c>
    </row>
    <row r="782">
      <c r="I782" s="73">
        <f>IF($A782="","",$A782&amp;"|"&amp;$B782&amp;"|"&amp;$C782&amp;"|"&amp;$D782)</f>
        <v/>
      </c>
    </row>
    <row r="783">
      <c r="I783" s="73">
        <f>IF($A783="","",$A783&amp;"|"&amp;$B783&amp;"|"&amp;$C783&amp;"|"&amp;$D783)</f>
        <v/>
      </c>
    </row>
    <row r="784">
      <c r="I784" s="73">
        <f>IF($A784="","",$A784&amp;"|"&amp;$B784&amp;"|"&amp;$C784&amp;"|"&amp;$D784)</f>
        <v/>
      </c>
    </row>
    <row r="785">
      <c r="I785" s="73">
        <f>IF($A785="","",$A785&amp;"|"&amp;$B785&amp;"|"&amp;$C785&amp;"|"&amp;$D785)</f>
        <v/>
      </c>
    </row>
    <row r="786">
      <c r="I786" s="73">
        <f>IF($A786="","",$A786&amp;"|"&amp;$B786&amp;"|"&amp;$C786&amp;"|"&amp;$D786)</f>
        <v/>
      </c>
    </row>
    <row r="787">
      <c r="I787" s="73">
        <f>IF($A787="","",$A787&amp;"|"&amp;$B787&amp;"|"&amp;$C787&amp;"|"&amp;$D787)</f>
        <v/>
      </c>
    </row>
    <row r="788">
      <c r="I788" s="73">
        <f>IF($A788="","",$A788&amp;"|"&amp;$B788&amp;"|"&amp;$C788&amp;"|"&amp;$D788)</f>
        <v/>
      </c>
    </row>
    <row r="789">
      <c r="I789" s="73">
        <f>IF($A789="","",$A789&amp;"|"&amp;$B789&amp;"|"&amp;$C789&amp;"|"&amp;$D789)</f>
        <v/>
      </c>
    </row>
    <row r="790">
      <c r="I790" s="73">
        <f>IF($A790="","",$A790&amp;"|"&amp;$B790&amp;"|"&amp;$C790&amp;"|"&amp;$D790)</f>
        <v/>
      </c>
    </row>
    <row r="791">
      <c r="I791" s="73">
        <f>IF($A791="","",$A791&amp;"|"&amp;$B791&amp;"|"&amp;$C791&amp;"|"&amp;$D791)</f>
        <v/>
      </c>
    </row>
    <row r="792">
      <c r="I792" s="73">
        <f>IF($A792="","",$A792&amp;"|"&amp;$B792&amp;"|"&amp;$C792&amp;"|"&amp;$D792)</f>
        <v/>
      </c>
    </row>
    <row r="793">
      <c r="I793" s="73">
        <f>IF($A793="","",$A793&amp;"|"&amp;$B793&amp;"|"&amp;$C793&amp;"|"&amp;$D793)</f>
        <v/>
      </c>
    </row>
    <row r="794">
      <c r="I794" s="73">
        <f>IF($A794="","",$A794&amp;"|"&amp;$B794&amp;"|"&amp;$C794&amp;"|"&amp;$D794)</f>
        <v/>
      </c>
    </row>
    <row r="795">
      <c r="I795" s="73">
        <f>IF($A795="","",$A795&amp;"|"&amp;$B795&amp;"|"&amp;$C795&amp;"|"&amp;$D795)</f>
        <v/>
      </c>
    </row>
    <row r="796">
      <c r="I796" s="73">
        <f>IF($A796="","",$A796&amp;"|"&amp;$B796&amp;"|"&amp;$C796&amp;"|"&amp;$D796)</f>
        <v/>
      </c>
    </row>
    <row r="797">
      <c r="I797" s="73">
        <f>IF($A797="","",$A797&amp;"|"&amp;$B797&amp;"|"&amp;$C797&amp;"|"&amp;$D797)</f>
        <v/>
      </c>
    </row>
    <row r="798">
      <c r="I798" s="73">
        <f>IF($A798="","",$A798&amp;"|"&amp;$B798&amp;"|"&amp;$C798&amp;"|"&amp;$D798)</f>
        <v/>
      </c>
    </row>
    <row r="799">
      <c r="I799" s="73">
        <f>IF($A799="","",$A799&amp;"|"&amp;$B799&amp;"|"&amp;$C799&amp;"|"&amp;$D799)</f>
        <v/>
      </c>
    </row>
    <row r="800">
      <c r="I800" s="73">
        <f>IF($A800="","",$A800&amp;"|"&amp;$B800&amp;"|"&amp;$C800&amp;"|"&amp;$D800)</f>
        <v/>
      </c>
    </row>
    <row r="801">
      <c r="I801" s="73">
        <f>IF($A801="","",$A801&amp;"|"&amp;$B801&amp;"|"&amp;$C801&amp;"|"&amp;$D801)</f>
        <v/>
      </c>
    </row>
    <row r="802">
      <c r="I802" s="73">
        <f>IF($A802="","",$A802&amp;"|"&amp;$B802&amp;"|"&amp;$C802&amp;"|"&amp;$D802)</f>
        <v/>
      </c>
    </row>
    <row r="803">
      <c r="I803" s="73">
        <f>IF($A803="","",$A803&amp;"|"&amp;$B803&amp;"|"&amp;$C803&amp;"|"&amp;$D803)</f>
        <v/>
      </c>
    </row>
    <row r="804">
      <c r="I804" s="73">
        <f>IF($A804="","",$A804&amp;"|"&amp;$B804&amp;"|"&amp;$C804&amp;"|"&amp;$D804)</f>
        <v/>
      </c>
    </row>
    <row r="805">
      <c r="I805" s="73">
        <f>IF($A805="","",$A805&amp;"|"&amp;$B805&amp;"|"&amp;$C805&amp;"|"&amp;$D805)</f>
        <v/>
      </c>
    </row>
    <row r="806">
      <c r="I806" s="73">
        <f>IF($A806="","",$A806&amp;"|"&amp;$B806&amp;"|"&amp;$C806&amp;"|"&amp;$D806)</f>
        <v/>
      </c>
    </row>
    <row r="807">
      <c r="I807" s="73">
        <f>IF($A807="","",$A807&amp;"|"&amp;$B807&amp;"|"&amp;$C807&amp;"|"&amp;$D807)</f>
        <v/>
      </c>
    </row>
    <row r="808">
      <c r="I808" s="73">
        <f>IF($A808="","",$A808&amp;"|"&amp;$B808&amp;"|"&amp;$C808&amp;"|"&amp;$D808)</f>
        <v/>
      </c>
    </row>
    <row r="809">
      <c r="I809" s="73">
        <f>IF($A809="","",$A809&amp;"|"&amp;$B809&amp;"|"&amp;$C809&amp;"|"&amp;$D809)</f>
        <v/>
      </c>
    </row>
    <row r="810">
      <c r="I810" s="73">
        <f>IF($A810="","",$A810&amp;"|"&amp;$B810&amp;"|"&amp;$C810&amp;"|"&amp;$D810)</f>
        <v/>
      </c>
    </row>
    <row r="811">
      <c r="I811" s="73">
        <f>IF($A811="","",$A811&amp;"|"&amp;$B811&amp;"|"&amp;$C811&amp;"|"&amp;$D811)</f>
        <v/>
      </c>
    </row>
    <row r="812">
      <c r="I812" s="73">
        <f>IF($A812="","",$A812&amp;"|"&amp;$B812&amp;"|"&amp;$C812&amp;"|"&amp;$D812)</f>
        <v/>
      </c>
    </row>
    <row r="813">
      <c r="I813" s="73">
        <f>IF($A813="","",$A813&amp;"|"&amp;$B813&amp;"|"&amp;$C813&amp;"|"&amp;$D813)</f>
        <v/>
      </c>
    </row>
    <row r="814">
      <c r="I814" s="73">
        <f>IF($A814="","",$A814&amp;"|"&amp;$B814&amp;"|"&amp;$C814&amp;"|"&amp;$D814)</f>
        <v/>
      </c>
    </row>
    <row r="815">
      <c r="I815" s="73">
        <f>IF($A815="","",$A815&amp;"|"&amp;$B815&amp;"|"&amp;$C815&amp;"|"&amp;$D815)</f>
        <v/>
      </c>
    </row>
    <row r="816">
      <c r="I816" s="73">
        <f>IF($A816="","",$A816&amp;"|"&amp;$B816&amp;"|"&amp;$C816&amp;"|"&amp;$D816)</f>
        <v/>
      </c>
    </row>
    <row r="817">
      <c r="I817" s="73">
        <f>IF($A817="","",$A817&amp;"|"&amp;$B817&amp;"|"&amp;$C817&amp;"|"&amp;$D817)</f>
        <v/>
      </c>
    </row>
    <row r="818">
      <c r="I818" s="73">
        <f>IF($A818="","",$A818&amp;"|"&amp;$B818&amp;"|"&amp;$C818&amp;"|"&amp;$D818)</f>
        <v/>
      </c>
    </row>
    <row r="819">
      <c r="I819" s="73">
        <f>IF($A819="","",$A819&amp;"|"&amp;$B819&amp;"|"&amp;$C819&amp;"|"&amp;$D819)</f>
        <v/>
      </c>
    </row>
    <row r="820">
      <c r="I820" s="73">
        <f>IF($A820="","",$A820&amp;"|"&amp;$B820&amp;"|"&amp;$C820&amp;"|"&amp;$D820)</f>
        <v/>
      </c>
    </row>
    <row r="821">
      <c r="I821" s="73">
        <f>IF($A821="","",$A821&amp;"|"&amp;$B821&amp;"|"&amp;$C821&amp;"|"&amp;$D821)</f>
        <v/>
      </c>
    </row>
    <row r="822">
      <c r="I822" s="73">
        <f>IF($A822="","",$A822&amp;"|"&amp;$B822&amp;"|"&amp;$C822&amp;"|"&amp;$D822)</f>
        <v/>
      </c>
    </row>
    <row r="823">
      <c r="I823" s="73">
        <f>IF($A823="","",$A823&amp;"|"&amp;$B823&amp;"|"&amp;$C823&amp;"|"&amp;$D823)</f>
        <v/>
      </c>
    </row>
    <row r="824">
      <c r="I824" s="73">
        <f>IF($A824="","",$A824&amp;"|"&amp;$B824&amp;"|"&amp;$C824&amp;"|"&amp;$D824)</f>
        <v/>
      </c>
    </row>
    <row r="825">
      <c r="I825" s="73">
        <f>IF($A825="","",$A825&amp;"|"&amp;$B825&amp;"|"&amp;$C825&amp;"|"&amp;$D825)</f>
        <v/>
      </c>
    </row>
    <row r="826">
      <c r="I826" s="73">
        <f>IF($A826="","",$A826&amp;"|"&amp;$B826&amp;"|"&amp;$C826&amp;"|"&amp;$D826)</f>
        <v/>
      </c>
    </row>
    <row r="827">
      <c r="I827" s="73">
        <f>IF($A827="","",$A827&amp;"|"&amp;$B827&amp;"|"&amp;$C827&amp;"|"&amp;$D827)</f>
        <v/>
      </c>
    </row>
    <row r="828">
      <c r="I828" s="73">
        <f>IF($A828="","",$A828&amp;"|"&amp;$B828&amp;"|"&amp;$C828&amp;"|"&amp;$D828)</f>
        <v/>
      </c>
    </row>
    <row r="829">
      <c r="I829" s="73">
        <f>IF($A829="","",$A829&amp;"|"&amp;$B829&amp;"|"&amp;$C829&amp;"|"&amp;$D829)</f>
        <v/>
      </c>
    </row>
    <row r="830">
      <c r="I830" s="73">
        <f>IF($A830="","",$A830&amp;"|"&amp;$B830&amp;"|"&amp;$C830&amp;"|"&amp;$D830)</f>
        <v/>
      </c>
    </row>
    <row r="831">
      <c r="I831" s="73">
        <f>IF($A831="","",$A831&amp;"|"&amp;$B831&amp;"|"&amp;$C831&amp;"|"&amp;$D831)</f>
        <v/>
      </c>
    </row>
    <row r="832">
      <c r="I832" s="73">
        <f>IF($A832="","",$A832&amp;"|"&amp;$B832&amp;"|"&amp;$C832&amp;"|"&amp;$D832)</f>
        <v/>
      </c>
    </row>
    <row r="833">
      <c r="I833" s="73">
        <f>IF($A833="","",$A833&amp;"|"&amp;$B833&amp;"|"&amp;$C833&amp;"|"&amp;$D833)</f>
        <v/>
      </c>
    </row>
    <row r="834">
      <c r="I834" s="73">
        <f>IF($A834="","",$A834&amp;"|"&amp;$B834&amp;"|"&amp;$C834&amp;"|"&amp;$D834)</f>
        <v/>
      </c>
    </row>
    <row r="835">
      <c r="I835" s="73">
        <f>IF($A835="","",$A835&amp;"|"&amp;$B835&amp;"|"&amp;$C835&amp;"|"&amp;$D835)</f>
        <v/>
      </c>
    </row>
    <row r="836">
      <c r="I836" s="73">
        <f>IF($A836="","",$A836&amp;"|"&amp;$B836&amp;"|"&amp;$C836&amp;"|"&amp;$D836)</f>
        <v/>
      </c>
    </row>
    <row r="837">
      <c r="I837" s="73">
        <f>IF($A837="","",$A837&amp;"|"&amp;$B837&amp;"|"&amp;$C837&amp;"|"&amp;$D837)</f>
        <v/>
      </c>
    </row>
    <row r="838">
      <c r="I838" s="73">
        <f>IF($A838="","",$A838&amp;"|"&amp;$B838&amp;"|"&amp;$C838&amp;"|"&amp;$D838)</f>
        <v/>
      </c>
    </row>
    <row r="839">
      <c r="I839" s="73">
        <f>IF($A839="","",$A839&amp;"|"&amp;$B839&amp;"|"&amp;$C839&amp;"|"&amp;$D839)</f>
        <v/>
      </c>
    </row>
    <row r="840">
      <c r="I840" s="73">
        <f>IF($A840="","",$A840&amp;"|"&amp;$B840&amp;"|"&amp;$C840&amp;"|"&amp;$D840)</f>
        <v/>
      </c>
    </row>
    <row r="841">
      <c r="I841" s="73">
        <f>IF($A841="","",$A841&amp;"|"&amp;$B841&amp;"|"&amp;$C841&amp;"|"&amp;$D841)</f>
        <v/>
      </c>
    </row>
    <row r="842">
      <c r="I842" s="73">
        <f>IF($A842="","",$A842&amp;"|"&amp;$B842&amp;"|"&amp;$C842&amp;"|"&amp;$D842)</f>
        <v/>
      </c>
    </row>
    <row r="843">
      <c r="I843" s="73">
        <f>IF($A843="","",$A843&amp;"|"&amp;$B843&amp;"|"&amp;$C843&amp;"|"&amp;$D843)</f>
        <v/>
      </c>
    </row>
    <row r="844">
      <c r="I844" s="73">
        <f>IF($A844="","",$A844&amp;"|"&amp;$B844&amp;"|"&amp;$C844&amp;"|"&amp;$D844)</f>
        <v/>
      </c>
    </row>
    <row r="845">
      <c r="I845" s="73">
        <f>IF($A845="","",$A845&amp;"|"&amp;$B845&amp;"|"&amp;$C845&amp;"|"&amp;$D845)</f>
        <v/>
      </c>
    </row>
    <row r="846">
      <c r="I846" s="73">
        <f>IF($A846="","",$A846&amp;"|"&amp;$B846&amp;"|"&amp;$C846&amp;"|"&amp;$D846)</f>
        <v/>
      </c>
    </row>
    <row r="847">
      <c r="I847" s="73">
        <f>IF($A847="","",$A847&amp;"|"&amp;$B847&amp;"|"&amp;$C847&amp;"|"&amp;$D847)</f>
        <v/>
      </c>
    </row>
    <row r="848">
      <c r="I848" s="73">
        <f>IF($A848="","",$A848&amp;"|"&amp;$B848&amp;"|"&amp;$C848&amp;"|"&amp;$D848)</f>
        <v/>
      </c>
    </row>
    <row r="849">
      <c r="I849" s="73">
        <f>IF($A849="","",$A849&amp;"|"&amp;$B849&amp;"|"&amp;$C849&amp;"|"&amp;$D849)</f>
        <v/>
      </c>
    </row>
    <row r="850">
      <c r="I850" s="73">
        <f>IF($A850="","",$A850&amp;"|"&amp;$B850&amp;"|"&amp;$C850&amp;"|"&amp;$D850)</f>
        <v/>
      </c>
    </row>
    <row r="851">
      <c r="I851" s="73">
        <f>IF($A851="","",$A851&amp;"|"&amp;$B851&amp;"|"&amp;$C851&amp;"|"&amp;$D851)</f>
        <v/>
      </c>
    </row>
    <row r="852">
      <c r="I852" s="73">
        <f>IF($A852="","",$A852&amp;"|"&amp;$B852&amp;"|"&amp;$C852&amp;"|"&amp;$D852)</f>
        <v/>
      </c>
    </row>
    <row r="853">
      <c r="I853" s="73">
        <f>IF($A853="","",$A853&amp;"|"&amp;$B853&amp;"|"&amp;$C853&amp;"|"&amp;$D853)</f>
        <v/>
      </c>
    </row>
    <row r="854">
      <c r="I854" s="73">
        <f>IF($A854="","",$A854&amp;"|"&amp;$B854&amp;"|"&amp;$C854&amp;"|"&amp;$D854)</f>
        <v/>
      </c>
    </row>
    <row r="855">
      <c r="I855" s="73">
        <f>IF($A855="","",$A855&amp;"|"&amp;$B855&amp;"|"&amp;$C855&amp;"|"&amp;$D855)</f>
        <v/>
      </c>
    </row>
    <row r="856">
      <c r="I856" s="73">
        <f>IF($A856="","",$A856&amp;"|"&amp;$B856&amp;"|"&amp;$C856&amp;"|"&amp;$D856)</f>
        <v/>
      </c>
    </row>
    <row r="857">
      <c r="I857" s="73">
        <f>IF($A857="","",$A857&amp;"|"&amp;$B857&amp;"|"&amp;$C857&amp;"|"&amp;$D857)</f>
        <v/>
      </c>
    </row>
    <row r="858">
      <c r="I858" s="73">
        <f>IF($A858="","",$A858&amp;"|"&amp;$B858&amp;"|"&amp;$C858&amp;"|"&amp;$D858)</f>
        <v/>
      </c>
    </row>
    <row r="859">
      <c r="I859" s="73">
        <f>IF($A859="","",$A859&amp;"|"&amp;$B859&amp;"|"&amp;$C859&amp;"|"&amp;$D859)</f>
        <v/>
      </c>
    </row>
    <row r="860">
      <c r="I860" s="73">
        <f>IF($A860="","",$A860&amp;"|"&amp;$B860&amp;"|"&amp;$C860&amp;"|"&amp;$D860)</f>
        <v/>
      </c>
    </row>
    <row r="861">
      <c r="I861" s="73">
        <f>IF($A861="","",$A861&amp;"|"&amp;$B861&amp;"|"&amp;$C861&amp;"|"&amp;$D861)</f>
        <v/>
      </c>
    </row>
    <row r="862">
      <c r="I862" s="73">
        <f>IF($A862="","",$A862&amp;"|"&amp;$B862&amp;"|"&amp;$C862&amp;"|"&amp;$D862)</f>
        <v/>
      </c>
    </row>
    <row r="863">
      <c r="I863" s="73">
        <f>IF($A863="","",$A863&amp;"|"&amp;$B863&amp;"|"&amp;$C863&amp;"|"&amp;$D863)</f>
        <v/>
      </c>
    </row>
    <row r="864">
      <c r="I864" s="73">
        <f>IF($A864="","",$A864&amp;"|"&amp;$B864&amp;"|"&amp;$C864&amp;"|"&amp;$D864)</f>
        <v/>
      </c>
    </row>
    <row r="865">
      <c r="I865" s="73">
        <f>IF($A865="","",$A865&amp;"|"&amp;$B865&amp;"|"&amp;$C865&amp;"|"&amp;$D865)</f>
        <v/>
      </c>
    </row>
    <row r="866">
      <c r="I866" s="73">
        <f>IF($A866="","",$A866&amp;"|"&amp;$B866&amp;"|"&amp;$C866&amp;"|"&amp;$D866)</f>
        <v/>
      </c>
    </row>
    <row r="867">
      <c r="I867" s="73">
        <f>IF($A867="","",$A867&amp;"|"&amp;$B867&amp;"|"&amp;$C867&amp;"|"&amp;$D867)</f>
        <v/>
      </c>
    </row>
    <row r="868">
      <c r="I868" s="73">
        <f>IF($A868="","",$A868&amp;"|"&amp;$B868&amp;"|"&amp;$C868&amp;"|"&amp;$D868)</f>
        <v/>
      </c>
    </row>
    <row r="869">
      <c r="I869" s="73">
        <f>IF($A869="","",$A869&amp;"|"&amp;$B869&amp;"|"&amp;$C869&amp;"|"&amp;$D869)</f>
        <v/>
      </c>
    </row>
    <row r="870">
      <c r="I870" s="73">
        <f>IF($A870="","",$A870&amp;"|"&amp;$B870&amp;"|"&amp;$C870&amp;"|"&amp;$D870)</f>
        <v/>
      </c>
    </row>
    <row r="871">
      <c r="I871" s="73">
        <f>IF($A871="","",$A871&amp;"|"&amp;$B871&amp;"|"&amp;$C871&amp;"|"&amp;$D871)</f>
        <v/>
      </c>
    </row>
    <row r="872">
      <c r="I872" s="73">
        <f>IF($A872="","",$A872&amp;"|"&amp;$B872&amp;"|"&amp;$C872&amp;"|"&amp;$D872)</f>
        <v/>
      </c>
    </row>
    <row r="873">
      <c r="I873" s="73">
        <f>IF($A873="","",$A873&amp;"|"&amp;$B873&amp;"|"&amp;$C873&amp;"|"&amp;$D873)</f>
        <v/>
      </c>
    </row>
    <row r="874">
      <c r="I874" s="73">
        <f>IF($A874="","",$A874&amp;"|"&amp;$B874&amp;"|"&amp;$C874&amp;"|"&amp;$D874)</f>
        <v/>
      </c>
    </row>
    <row r="875">
      <c r="I875" s="73">
        <f>IF($A875="","",$A875&amp;"|"&amp;$B875&amp;"|"&amp;$C875&amp;"|"&amp;$D875)</f>
        <v/>
      </c>
    </row>
    <row r="876">
      <c r="I876" s="73">
        <f>IF($A876="","",$A876&amp;"|"&amp;$B876&amp;"|"&amp;$C876&amp;"|"&amp;$D876)</f>
        <v/>
      </c>
    </row>
    <row r="877">
      <c r="I877" s="73">
        <f>IF($A877="","",$A877&amp;"|"&amp;$B877&amp;"|"&amp;$C877&amp;"|"&amp;$D877)</f>
        <v/>
      </c>
    </row>
    <row r="878">
      <c r="I878" s="73">
        <f>IF($A878="","",$A878&amp;"|"&amp;$B878&amp;"|"&amp;$C878&amp;"|"&amp;$D878)</f>
        <v/>
      </c>
    </row>
    <row r="879">
      <c r="I879" s="73">
        <f>IF($A879="","",$A879&amp;"|"&amp;$B879&amp;"|"&amp;$C879&amp;"|"&amp;$D879)</f>
        <v/>
      </c>
    </row>
    <row r="880">
      <c r="I880" s="73">
        <f>IF($A880="","",$A880&amp;"|"&amp;$B880&amp;"|"&amp;$C880&amp;"|"&amp;$D880)</f>
        <v/>
      </c>
    </row>
    <row r="881">
      <c r="I881" s="73">
        <f>IF($A881="","",$A881&amp;"|"&amp;$B881&amp;"|"&amp;$C881&amp;"|"&amp;$D881)</f>
        <v/>
      </c>
    </row>
    <row r="882">
      <c r="I882" s="73">
        <f>IF($A882="","",$A882&amp;"|"&amp;$B882&amp;"|"&amp;$C882&amp;"|"&amp;$D882)</f>
        <v/>
      </c>
    </row>
    <row r="883">
      <c r="I883" s="73">
        <f>IF($A883="","",$A883&amp;"|"&amp;$B883&amp;"|"&amp;$C883&amp;"|"&amp;$D883)</f>
        <v/>
      </c>
    </row>
    <row r="884">
      <c r="I884" s="73">
        <f>IF($A884="","",$A884&amp;"|"&amp;$B884&amp;"|"&amp;$C884&amp;"|"&amp;$D884)</f>
        <v/>
      </c>
    </row>
    <row r="885">
      <c r="I885" s="73">
        <f>IF($A885="","",$A885&amp;"|"&amp;$B885&amp;"|"&amp;$C885&amp;"|"&amp;$D885)</f>
        <v/>
      </c>
    </row>
    <row r="886">
      <c r="I886" s="73">
        <f>IF($A886="","",$A886&amp;"|"&amp;$B886&amp;"|"&amp;$C886&amp;"|"&amp;$D886)</f>
        <v/>
      </c>
    </row>
    <row r="887">
      <c r="I887" s="73">
        <f>IF($A887="","",$A887&amp;"|"&amp;$B887&amp;"|"&amp;$C887&amp;"|"&amp;$D887)</f>
        <v/>
      </c>
    </row>
    <row r="888">
      <c r="I888" s="73">
        <f>IF($A888="","",$A888&amp;"|"&amp;$B888&amp;"|"&amp;$C888&amp;"|"&amp;$D888)</f>
        <v/>
      </c>
    </row>
    <row r="889">
      <c r="I889" s="73">
        <f>IF($A889="","",$A889&amp;"|"&amp;$B889&amp;"|"&amp;$C889&amp;"|"&amp;$D889)</f>
        <v/>
      </c>
    </row>
    <row r="890">
      <c r="I890" s="73">
        <f>IF($A890="","",$A890&amp;"|"&amp;$B890&amp;"|"&amp;$C890&amp;"|"&amp;$D890)</f>
        <v/>
      </c>
    </row>
    <row r="891">
      <c r="I891" s="73">
        <f>IF($A891="","",$A891&amp;"|"&amp;$B891&amp;"|"&amp;$C891&amp;"|"&amp;$D891)</f>
        <v/>
      </c>
    </row>
    <row r="892">
      <c r="I892" s="73">
        <f>IF($A892="","",$A892&amp;"|"&amp;$B892&amp;"|"&amp;$C892&amp;"|"&amp;$D892)</f>
        <v/>
      </c>
    </row>
    <row r="893">
      <c r="I893" s="73">
        <f>IF($A893="","",$A893&amp;"|"&amp;$B893&amp;"|"&amp;$C893&amp;"|"&amp;$D893)</f>
        <v/>
      </c>
    </row>
    <row r="894">
      <c r="I894" s="73">
        <f>IF($A894="","",$A894&amp;"|"&amp;$B894&amp;"|"&amp;$C894&amp;"|"&amp;$D894)</f>
        <v/>
      </c>
    </row>
    <row r="895">
      <c r="I895" s="73">
        <f>IF($A895="","",$A895&amp;"|"&amp;$B895&amp;"|"&amp;$C895&amp;"|"&amp;$D895)</f>
        <v/>
      </c>
    </row>
    <row r="896">
      <c r="I896" s="73">
        <f>IF($A896="","",$A896&amp;"|"&amp;$B896&amp;"|"&amp;$C896&amp;"|"&amp;$D896)</f>
        <v/>
      </c>
    </row>
    <row r="897">
      <c r="I897" s="73">
        <f>IF($A897="","",$A897&amp;"|"&amp;$B897&amp;"|"&amp;$C897&amp;"|"&amp;$D897)</f>
        <v/>
      </c>
    </row>
    <row r="898">
      <c r="I898" s="73">
        <f>IF($A898="","",$A898&amp;"|"&amp;$B898&amp;"|"&amp;$C898&amp;"|"&amp;$D898)</f>
        <v/>
      </c>
    </row>
    <row r="899">
      <c r="I899" s="73">
        <f>IF($A899="","",$A899&amp;"|"&amp;$B899&amp;"|"&amp;$C899&amp;"|"&amp;$D899)</f>
        <v/>
      </c>
    </row>
    <row r="900">
      <c r="I900" s="73">
        <f>IF($A900="","",$A900&amp;"|"&amp;$B900&amp;"|"&amp;$C900&amp;"|"&amp;$D900)</f>
        <v/>
      </c>
    </row>
    <row r="901">
      <c r="I901" s="73">
        <f>IF($A901="","",$A901&amp;"|"&amp;$B901&amp;"|"&amp;$C901&amp;"|"&amp;$D901)</f>
        <v/>
      </c>
    </row>
    <row r="902">
      <c r="I902" s="73">
        <f>IF($A902="","",$A902&amp;"|"&amp;$B902&amp;"|"&amp;$C902&amp;"|"&amp;$D902)</f>
        <v/>
      </c>
    </row>
    <row r="903">
      <c r="I903" s="73">
        <f>IF($A903="","",$A903&amp;"|"&amp;$B903&amp;"|"&amp;$C903&amp;"|"&amp;$D903)</f>
        <v/>
      </c>
    </row>
    <row r="904">
      <c r="I904" s="73">
        <f>IF($A904="","",$A904&amp;"|"&amp;$B904&amp;"|"&amp;$C904&amp;"|"&amp;$D904)</f>
        <v/>
      </c>
    </row>
    <row r="905">
      <c r="I905" s="73">
        <f>IF($A905="","",$A905&amp;"|"&amp;$B905&amp;"|"&amp;$C905&amp;"|"&amp;$D905)</f>
        <v/>
      </c>
    </row>
    <row r="906">
      <c r="I906" s="73">
        <f>IF($A906="","",$A906&amp;"|"&amp;$B906&amp;"|"&amp;$C906&amp;"|"&amp;$D906)</f>
        <v/>
      </c>
    </row>
    <row r="907">
      <c r="I907" s="73">
        <f>IF($A907="","",$A907&amp;"|"&amp;$B907&amp;"|"&amp;$C907&amp;"|"&amp;$D907)</f>
        <v/>
      </c>
    </row>
    <row r="908">
      <c r="I908" s="73">
        <f>IF($A908="","",$A908&amp;"|"&amp;$B908&amp;"|"&amp;$C908&amp;"|"&amp;$D908)</f>
        <v/>
      </c>
    </row>
    <row r="909">
      <c r="I909" s="73">
        <f>IF($A909="","",$A909&amp;"|"&amp;$B909&amp;"|"&amp;$C909&amp;"|"&amp;$D909)</f>
        <v/>
      </c>
    </row>
    <row r="910">
      <c r="I910" s="73">
        <f>IF($A910="","",$A910&amp;"|"&amp;$B910&amp;"|"&amp;$C910&amp;"|"&amp;$D910)</f>
        <v/>
      </c>
    </row>
    <row r="911">
      <c r="I911" s="73">
        <f>IF($A911="","",$A911&amp;"|"&amp;$B911&amp;"|"&amp;$C911&amp;"|"&amp;$D911)</f>
        <v/>
      </c>
    </row>
    <row r="912">
      <c r="I912" s="73">
        <f>IF($A912="","",$A912&amp;"|"&amp;$B912&amp;"|"&amp;$C912&amp;"|"&amp;$D912)</f>
        <v/>
      </c>
    </row>
    <row r="913">
      <c r="I913" s="73">
        <f>IF($A913="","",$A913&amp;"|"&amp;$B913&amp;"|"&amp;$C913&amp;"|"&amp;$D913)</f>
        <v/>
      </c>
    </row>
    <row r="914">
      <c r="I914" s="73">
        <f>IF($A914="","",$A914&amp;"|"&amp;$B914&amp;"|"&amp;$C914&amp;"|"&amp;$D914)</f>
        <v/>
      </c>
    </row>
    <row r="915">
      <c r="I915" s="73">
        <f>IF($A915="","",$A915&amp;"|"&amp;$B915&amp;"|"&amp;$C915&amp;"|"&amp;$D915)</f>
        <v/>
      </c>
    </row>
    <row r="916">
      <c r="I916" s="73">
        <f>IF($A916="","",$A916&amp;"|"&amp;$B916&amp;"|"&amp;$C916&amp;"|"&amp;$D916)</f>
        <v/>
      </c>
    </row>
    <row r="917">
      <c r="I917" s="73">
        <f>IF($A917="","",$A917&amp;"|"&amp;$B917&amp;"|"&amp;$C917&amp;"|"&amp;$D917)</f>
        <v/>
      </c>
    </row>
    <row r="918">
      <c r="I918" s="73">
        <f>IF($A918="","",$A918&amp;"|"&amp;$B918&amp;"|"&amp;$C918&amp;"|"&amp;$D918)</f>
        <v/>
      </c>
    </row>
    <row r="919">
      <c r="I919" s="73">
        <f>IF($A919="","",$A919&amp;"|"&amp;$B919&amp;"|"&amp;$C919&amp;"|"&amp;$D919)</f>
        <v/>
      </c>
    </row>
    <row r="920">
      <c r="I920" s="73">
        <f>IF($A920="","",$A920&amp;"|"&amp;$B920&amp;"|"&amp;$C920&amp;"|"&amp;$D920)</f>
        <v/>
      </c>
    </row>
    <row r="921">
      <c r="I921" s="73">
        <f>IF($A921="","",$A921&amp;"|"&amp;$B921&amp;"|"&amp;$C921&amp;"|"&amp;$D921)</f>
        <v/>
      </c>
    </row>
    <row r="922">
      <c r="I922" s="73">
        <f>IF($A922="","",$A922&amp;"|"&amp;$B922&amp;"|"&amp;$C922&amp;"|"&amp;$D922)</f>
        <v/>
      </c>
    </row>
    <row r="923">
      <c r="I923" s="73">
        <f>IF($A923="","",$A923&amp;"|"&amp;$B923&amp;"|"&amp;$C923&amp;"|"&amp;$D923)</f>
        <v/>
      </c>
    </row>
    <row r="924">
      <c r="I924" s="73">
        <f>IF($A924="","",$A924&amp;"|"&amp;$B924&amp;"|"&amp;$C924&amp;"|"&amp;$D924)</f>
        <v/>
      </c>
    </row>
    <row r="925">
      <c r="I925" s="73">
        <f>IF($A925="","",$A925&amp;"|"&amp;$B925&amp;"|"&amp;$C925&amp;"|"&amp;$D925)</f>
        <v/>
      </c>
    </row>
    <row r="926">
      <c r="I926" s="73">
        <f>IF($A926="","",$A926&amp;"|"&amp;$B926&amp;"|"&amp;$C926&amp;"|"&amp;$D926)</f>
        <v/>
      </c>
    </row>
    <row r="927">
      <c r="I927" s="73">
        <f>IF($A927="","",$A927&amp;"|"&amp;$B927&amp;"|"&amp;$C927&amp;"|"&amp;$D927)</f>
        <v/>
      </c>
    </row>
    <row r="928">
      <c r="I928" s="73">
        <f>IF($A928="","",$A928&amp;"|"&amp;$B928&amp;"|"&amp;$C928&amp;"|"&amp;$D928)</f>
        <v/>
      </c>
    </row>
    <row r="929">
      <c r="I929" s="73">
        <f>IF($A929="","",$A929&amp;"|"&amp;$B929&amp;"|"&amp;$C929&amp;"|"&amp;$D929)</f>
        <v/>
      </c>
    </row>
    <row r="930">
      <c r="I930" s="73">
        <f>IF($A930="","",$A930&amp;"|"&amp;$B930&amp;"|"&amp;$C930&amp;"|"&amp;$D930)</f>
        <v/>
      </c>
    </row>
    <row r="931">
      <c r="I931" s="73">
        <f>IF($A931="","",$A931&amp;"|"&amp;$B931&amp;"|"&amp;$C931&amp;"|"&amp;$D931)</f>
        <v/>
      </c>
    </row>
    <row r="932">
      <c r="I932" s="73">
        <f>IF($A932="","",$A932&amp;"|"&amp;$B932&amp;"|"&amp;$C932&amp;"|"&amp;$D932)</f>
        <v/>
      </c>
    </row>
    <row r="933">
      <c r="I933" s="73">
        <f>IF($A933="","",$A933&amp;"|"&amp;$B933&amp;"|"&amp;$C933&amp;"|"&amp;$D933)</f>
        <v/>
      </c>
    </row>
    <row r="934">
      <c r="I934" s="73">
        <f>IF($A934="","",$A934&amp;"|"&amp;$B934&amp;"|"&amp;$C934&amp;"|"&amp;$D934)</f>
        <v/>
      </c>
    </row>
    <row r="935">
      <c r="I935" s="73">
        <f>IF($A935="","",$A935&amp;"|"&amp;$B935&amp;"|"&amp;$C935&amp;"|"&amp;$D935)</f>
        <v/>
      </c>
    </row>
    <row r="936">
      <c r="I936" s="73">
        <f>IF($A936="","",$A936&amp;"|"&amp;$B936&amp;"|"&amp;$C936&amp;"|"&amp;$D936)</f>
        <v/>
      </c>
    </row>
    <row r="937">
      <c r="I937" s="73">
        <f>IF($A937="","",$A937&amp;"|"&amp;$B937&amp;"|"&amp;$C937&amp;"|"&amp;$D937)</f>
        <v/>
      </c>
    </row>
    <row r="938">
      <c r="I938" s="73">
        <f>IF($A938="","",$A938&amp;"|"&amp;$B938&amp;"|"&amp;$C938&amp;"|"&amp;$D938)</f>
        <v/>
      </c>
    </row>
    <row r="939">
      <c r="I939" s="73">
        <f>IF($A939="","",$A939&amp;"|"&amp;$B939&amp;"|"&amp;$C939&amp;"|"&amp;$D939)</f>
        <v/>
      </c>
    </row>
    <row r="940">
      <c r="I940" s="73">
        <f>IF($A940="","",$A940&amp;"|"&amp;$B940&amp;"|"&amp;$C940&amp;"|"&amp;$D940)</f>
        <v/>
      </c>
    </row>
    <row r="941">
      <c r="I941" s="73">
        <f>IF($A941="","",$A941&amp;"|"&amp;$B941&amp;"|"&amp;$C941&amp;"|"&amp;$D941)</f>
        <v/>
      </c>
    </row>
    <row r="942">
      <c r="I942" s="73">
        <f>IF($A942="","",$A942&amp;"|"&amp;$B942&amp;"|"&amp;$C942&amp;"|"&amp;$D942)</f>
        <v/>
      </c>
    </row>
    <row r="943">
      <c r="I943" s="73">
        <f>IF($A943="","",$A943&amp;"|"&amp;$B943&amp;"|"&amp;$C943&amp;"|"&amp;$D943)</f>
        <v/>
      </c>
    </row>
    <row r="944">
      <c r="I944" s="73">
        <f>IF($A944="","",$A944&amp;"|"&amp;$B944&amp;"|"&amp;$C944&amp;"|"&amp;$D944)</f>
        <v/>
      </c>
    </row>
    <row r="945">
      <c r="I945" s="73">
        <f>IF($A945="","",$A945&amp;"|"&amp;$B945&amp;"|"&amp;$C945&amp;"|"&amp;$D945)</f>
        <v/>
      </c>
    </row>
    <row r="946">
      <c r="I946" s="73">
        <f>IF($A946="","",$A946&amp;"|"&amp;$B946&amp;"|"&amp;$C946&amp;"|"&amp;$D946)</f>
        <v/>
      </c>
    </row>
    <row r="947">
      <c r="I947" s="73">
        <f>IF($A947="","",$A947&amp;"|"&amp;$B947&amp;"|"&amp;$C947&amp;"|"&amp;$D947)</f>
        <v/>
      </c>
    </row>
    <row r="948">
      <c r="I948" s="73">
        <f>IF($A948="","",$A948&amp;"|"&amp;$B948&amp;"|"&amp;$C948&amp;"|"&amp;$D948)</f>
        <v/>
      </c>
    </row>
    <row r="949">
      <c r="I949" s="73">
        <f>IF($A949="","",$A949&amp;"|"&amp;$B949&amp;"|"&amp;$C949&amp;"|"&amp;$D949)</f>
        <v/>
      </c>
    </row>
    <row r="950">
      <c r="I950" s="73">
        <f>IF($A950="","",$A950&amp;"|"&amp;$B950&amp;"|"&amp;$C950&amp;"|"&amp;$D950)</f>
        <v/>
      </c>
    </row>
    <row r="951">
      <c r="I951" s="73">
        <f>IF($A951="","",$A951&amp;"|"&amp;$B951&amp;"|"&amp;$C951&amp;"|"&amp;$D951)</f>
        <v/>
      </c>
    </row>
    <row r="952">
      <c r="I952" s="73">
        <f>IF($A952="","",$A952&amp;"|"&amp;$B952&amp;"|"&amp;$C952&amp;"|"&amp;$D952)</f>
        <v/>
      </c>
    </row>
    <row r="953">
      <c r="I953" s="73">
        <f>IF($A953="","",$A953&amp;"|"&amp;$B953&amp;"|"&amp;$C953&amp;"|"&amp;$D953)</f>
        <v/>
      </c>
    </row>
    <row r="954">
      <c r="I954" s="73">
        <f>IF($A954="","",$A954&amp;"|"&amp;$B954&amp;"|"&amp;$C954&amp;"|"&amp;$D954)</f>
        <v/>
      </c>
    </row>
    <row r="955">
      <c r="I955" s="73">
        <f>IF($A955="","",$A955&amp;"|"&amp;$B955&amp;"|"&amp;$C955&amp;"|"&amp;$D955)</f>
        <v/>
      </c>
    </row>
    <row r="956">
      <c r="I956" s="73">
        <f>IF($A956="","",$A956&amp;"|"&amp;$B956&amp;"|"&amp;$C956&amp;"|"&amp;$D956)</f>
        <v/>
      </c>
    </row>
    <row r="957">
      <c r="I957" s="73">
        <f>IF($A957="","",$A957&amp;"|"&amp;$B957&amp;"|"&amp;$C957&amp;"|"&amp;$D957)</f>
        <v/>
      </c>
    </row>
    <row r="958">
      <c r="I958" s="73">
        <f>IF($A958="","",$A958&amp;"|"&amp;$B958&amp;"|"&amp;$C958&amp;"|"&amp;$D958)</f>
        <v/>
      </c>
    </row>
    <row r="959">
      <c r="I959" s="73">
        <f>IF($A959="","",$A959&amp;"|"&amp;$B959&amp;"|"&amp;$C959&amp;"|"&amp;$D959)</f>
        <v/>
      </c>
    </row>
    <row r="960">
      <c r="I960" s="73">
        <f>IF($A960="","",$A960&amp;"|"&amp;$B960&amp;"|"&amp;$C960&amp;"|"&amp;$D960)</f>
        <v/>
      </c>
    </row>
    <row r="961">
      <c r="I961" s="73">
        <f>IF($A961="","",$A961&amp;"|"&amp;$B961&amp;"|"&amp;$C961&amp;"|"&amp;$D961)</f>
        <v/>
      </c>
    </row>
    <row r="962">
      <c r="I962" s="73">
        <f>IF($A962="","",$A962&amp;"|"&amp;$B962&amp;"|"&amp;$C962&amp;"|"&amp;$D962)</f>
        <v/>
      </c>
    </row>
    <row r="963">
      <c r="I963" s="73">
        <f>IF($A963="","",$A963&amp;"|"&amp;$B963&amp;"|"&amp;$C963&amp;"|"&amp;$D963)</f>
        <v/>
      </c>
    </row>
    <row r="964">
      <c r="I964" s="73">
        <f>IF($A964="","",$A964&amp;"|"&amp;$B964&amp;"|"&amp;$C964&amp;"|"&amp;$D964)</f>
        <v/>
      </c>
    </row>
    <row r="965">
      <c r="I965" s="73">
        <f>IF($A965="","",$A965&amp;"|"&amp;$B965&amp;"|"&amp;$C965&amp;"|"&amp;$D965)</f>
        <v/>
      </c>
    </row>
    <row r="966">
      <c r="I966" s="73">
        <f>IF($A966="","",$A966&amp;"|"&amp;$B966&amp;"|"&amp;$C966&amp;"|"&amp;$D966)</f>
        <v/>
      </c>
    </row>
    <row r="967">
      <c r="I967" s="73">
        <f>IF($A967="","",$A967&amp;"|"&amp;$B967&amp;"|"&amp;$C967&amp;"|"&amp;$D967)</f>
        <v/>
      </c>
    </row>
    <row r="968">
      <c r="I968" s="73">
        <f>IF($A968="","",$A968&amp;"|"&amp;$B968&amp;"|"&amp;$C968&amp;"|"&amp;$D968)</f>
        <v/>
      </c>
    </row>
    <row r="969">
      <c r="I969" s="73">
        <f>IF($A969="","",$A969&amp;"|"&amp;$B969&amp;"|"&amp;$C969&amp;"|"&amp;$D969)</f>
        <v/>
      </c>
    </row>
    <row r="970">
      <c r="I970" s="73">
        <f>IF($A970="","",$A970&amp;"|"&amp;$B970&amp;"|"&amp;$C970&amp;"|"&amp;$D970)</f>
        <v/>
      </c>
    </row>
    <row r="971">
      <c r="I971" s="73">
        <f>IF($A971="","",$A971&amp;"|"&amp;$B971&amp;"|"&amp;$C971&amp;"|"&amp;$D971)</f>
        <v/>
      </c>
    </row>
    <row r="972">
      <c r="I972" s="73">
        <f>IF($A972="","",$A972&amp;"|"&amp;$B972&amp;"|"&amp;$C972&amp;"|"&amp;$D972)</f>
        <v/>
      </c>
    </row>
    <row r="973">
      <c r="I973" s="73">
        <f>IF($A973="","",$A973&amp;"|"&amp;$B973&amp;"|"&amp;$C973&amp;"|"&amp;$D973)</f>
        <v/>
      </c>
    </row>
    <row r="974">
      <c r="I974" s="73">
        <f>IF($A974="","",$A974&amp;"|"&amp;$B974&amp;"|"&amp;$C974&amp;"|"&amp;$D974)</f>
        <v/>
      </c>
    </row>
    <row r="975">
      <c r="I975" s="73">
        <f>IF($A975="","",$A975&amp;"|"&amp;$B975&amp;"|"&amp;$C975&amp;"|"&amp;$D975)</f>
        <v/>
      </c>
    </row>
    <row r="976">
      <c r="I976" s="73">
        <f>IF($A976="","",$A976&amp;"|"&amp;$B976&amp;"|"&amp;$C976&amp;"|"&amp;$D976)</f>
        <v/>
      </c>
    </row>
    <row r="977">
      <c r="I977" s="73">
        <f>IF($A977="","",$A977&amp;"|"&amp;$B977&amp;"|"&amp;$C977&amp;"|"&amp;$D977)</f>
        <v/>
      </c>
    </row>
    <row r="978">
      <c r="I978" s="73">
        <f>IF($A978="","",$A978&amp;"|"&amp;$B978&amp;"|"&amp;$C978&amp;"|"&amp;$D978)</f>
        <v/>
      </c>
    </row>
    <row r="979">
      <c r="I979" s="73">
        <f>IF($A979="","",$A979&amp;"|"&amp;$B979&amp;"|"&amp;$C979&amp;"|"&amp;$D979)</f>
        <v/>
      </c>
    </row>
    <row r="980">
      <c r="I980" s="73">
        <f>IF($A980="","",$A980&amp;"|"&amp;$B980&amp;"|"&amp;$C980&amp;"|"&amp;$D980)</f>
        <v/>
      </c>
    </row>
    <row r="981">
      <c r="I981" s="73">
        <f>IF($A981="","",$A981&amp;"|"&amp;$B981&amp;"|"&amp;$C981&amp;"|"&amp;$D981)</f>
        <v/>
      </c>
    </row>
    <row r="982">
      <c r="I982" s="73">
        <f>IF($A982="","",$A982&amp;"|"&amp;$B982&amp;"|"&amp;$C982&amp;"|"&amp;$D982)</f>
        <v/>
      </c>
    </row>
    <row r="983">
      <c r="I983" s="73">
        <f>IF($A983="","",$A983&amp;"|"&amp;$B983&amp;"|"&amp;$C983&amp;"|"&amp;$D983)</f>
        <v/>
      </c>
    </row>
    <row r="984">
      <c r="I984" s="73">
        <f>IF($A984="","",$A984&amp;"|"&amp;$B984&amp;"|"&amp;$C984&amp;"|"&amp;$D984)</f>
        <v/>
      </c>
    </row>
    <row r="985">
      <c r="I985" s="73">
        <f>IF($A985="","",$A985&amp;"|"&amp;$B985&amp;"|"&amp;$C985&amp;"|"&amp;$D985)</f>
        <v/>
      </c>
    </row>
    <row r="986">
      <c r="I986" s="73">
        <f>IF($A986="","",$A986&amp;"|"&amp;$B986&amp;"|"&amp;$C986&amp;"|"&amp;$D986)</f>
        <v/>
      </c>
    </row>
    <row r="987">
      <c r="I987" s="73">
        <f>IF($A987="","",$A987&amp;"|"&amp;$B987&amp;"|"&amp;$C987&amp;"|"&amp;$D987)</f>
        <v/>
      </c>
    </row>
    <row r="988">
      <c r="I988" s="73">
        <f>IF($A988="","",$A988&amp;"|"&amp;$B988&amp;"|"&amp;$C988&amp;"|"&amp;$D988)</f>
        <v/>
      </c>
    </row>
    <row r="989">
      <c r="I989" s="73">
        <f>IF($A989="","",$A989&amp;"|"&amp;$B989&amp;"|"&amp;$C989&amp;"|"&amp;$D989)</f>
        <v/>
      </c>
    </row>
    <row r="990">
      <c r="I990" s="73">
        <f>IF($A990="","",$A990&amp;"|"&amp;$B990&amp;"|"&amp;$C990&amp;"|"&amp;$D990)</f>
        <v/>
      </c>
    </row>
    <row r="991">
      <c r="I991" s="73">
        <f>IF($A991="","",$A991&amp;"|"&amp;$B991&amp;"|"&amp;$C991&amp;"|"&amp;$D991)</f>
        <v/>
      </c>
    </row>
    <row r="992">
      <c r="I992" s="73">
        <f>IF($A992="","",$A992&amp;"|"&amp;$B992&amp;"|"&amp;$C992&amp;"|"&amp;$D992)</f>
        <v/>
      </c>
    </row>
    <row r="993">
      <c r="I993" s="73">
        <f>IF($A993="","",$A993&amp;"|"&amp;$B993&amp;"|"&amp;$C993&amp;"|"&amp;$D993)</f>
        <v/>
      </c>
    </row>
    <row r="994">
      <c r="I994" s="73">
        <f>IF($A994="","",$A994&amp;"|"&amp;$B994&amp;"|"&amp;$C994&amp;"|"&amp;$D994)</f>
        <v/>
      </c>
    </row>
    <row r="995">
      <c r="I995" s="73">
        <f>IF($A995="","",$A995&amp;"|"&amp;$B995&amp;"|"&amp;$C995&amp;"|"&amp;$D995)</f>
        <v/>
      </c>
    </row>
    <row r="996">
      <c r="I996" s="73">
        <f>IF($A996="","",$A996&amp;"|"&amp;$B996&amp;"|"&amp;$C996&amp;"|"&amp;$D996)</f>
        <v/>
      </c>
    </row>
    <row r="997">
      <c r="I997" s="73">
        <f>IF($A997="","",$A997&amp;"|"&amp;$B997&amp;"|"&amp;$C997&amp;"|"&amp;$D997)</f>
        <v/>
      </c>
    </row>
    <row r="998">
      <c r="I998" s="73">
        <f>IF($A998="","",$A998&amp;"|"&amp;$B998&amp;"|"&amp;$C998&amp;"|"&amp;$D998)</f>
        <v/>
      </c>
    </row>
    <row r="999">
      <c r="I999" s="73">
        <f>IF($A999="","",$A999&amp;"|"&amp;$B999&amp;"|"&amp;$C999&amp;"|"&amp;$D999)</f>
        <v/>
      </c>
    </row>
    <row r="1000">
      <c r="I1000" s="73">
        <f>IF($A1000="","",$A1000&amp;"|"&amp;$B1000&amp;"|"&amp;$C1000&amp;"|"&amp;$D1000)</f>
        <v/>
      </c>
    </row>
    <row r="1001">
      <c r="I1001" s="73">
        <f>IF($A1001="","",$A1001&amp;"|"&amp;$B1001&amp;"|"&amp;$C1001&amp;"|"&amp;$D1001)</f>
        <v/>
      </c>
    </row>
    <row r="1002">
      <c r="I1002" s="73">
        <f>IF($A1002="","",$A1002&amp;"|"&amp;$B1002&amp;"|"&amp;$C1002&amp;"|"&amp;$D1002)</f>
        <v/>
      </c>
    </row>
    <row r="1003">
      <c r="I1003" s="73">
        <f>IF($A1003="","",$A1003&amp;"|"&amp;$B1003&amp;"|"&amp;$C1003&amp;"|"&amp;$D1003)</f>
        <v/>
      </c>
    </row>
    <row r="1004">
      <c r="I1004" s="73">
        <f>IF($A1004="","",$A1004&amp;"|"&amp;$B1004&amp;"|"&amp;$C1004&amp;"|"&amp;$D1004)</f>
        <v/>
      </c>
    </row>
    <row r="1005">
      <c r="I1005" s="73">
        <f>IF($A1005="","",$A1005&amp;"|"&amp;$B1005&amp;"|"&amp;$C1005&amp;"|"&amp;$D1005)</f>
        <v/>
      </c>
    </row>
    <row r="1006">
      <c r="I1006" s="73">
        <f>IF($A1006="","",$A1006&amp;"|"&amp;$B1006&amp;"|"&amp;$C1006&amp;"|"&amp;$D1006)</f>
        <v/>
      </c>
    </row>
    <row r="1007">
      <c r="I1007" s="73">
        <f>IF($A1007="","",$A1007&amp;"|"&amp;$B1007&amp;"|"&amp;$C1007&amp;"|"&amp;$D1007)</f>
        <v/>
      </c>
    </row>
    <row r="1008">
      <c r="I1008" s="73">
        <f>IF($A1008="","",$A1008&amp;"|"&amp;$B1008&amp;"|"&amp;$C1008&amp;"|"&amp;$D1008)</f>
        <v/>
      </c>
    </row>
    <row r="1009">
      <c r="I1009" s="73">
        <f>IF($A1009="","",$A1009&amp;"|"&amp;$B1009&amp;"|"&amp;$C1009&amp;"|"&amp;$D1009)</f>
        <v/>
      </c>
    </row>
    <row r="1010">
      <c r="I1010" s="73">
        <f>IF($A1010="","",$A1010&amp;"|"&amp;$B1010&amp;"|"&amp;$C1010&amp;"|"&amp;$D1010)</f>
        <v/>
      </c>
    </row>
    <row r="1011">
      <c r="I1011" s="73">
        <f>IF($A1011="","",$A1011&amp;"|"&amp;$B1011&amp;"|"&amp;$C1011&amp;"|"&amp;$D1011)</f>
        <v/>
      </c>
    </row>
    <row r="1012">
      <c r="I1012" s="73">
        <f>IF($A1012="","",$A1012&amp;"|"&amp;$B1012&amp;"|"&amp;$C1012&amp;"|"&amp;$D1012)</f>
        <v/>
      </c>
    </row>
    <row r="1013">
      <c r="I1013" s="73">
        <f>IF($A1013="","",$A1013&amp;"|"&amp;$B1013&amp;"|"&amp;$C1013&amp;"|"&amp;$D1013)</f>
        <v/>
      </c>
    </row>
    <row r="1014">
      <c r="I1014" s="73">
        <f>IF($A1014="","",$A1014&amp;"|"&amp;$B1014&amp;"|"&amp;$C1014&amp;"|"&amp;$D1014)</f>
        <v/>
      </c>
    </row>
    <row r="1015">
      <c r="I1015" s="73">
        <f>IF($A1015="","",$A1015&amp;"|"&amp;$B1015&amp;"|"&amp;$C1015&amp;"|"&amp;$D1015)</f>
        <v/>
      </c>
    </row>
    <row r="1016">
      <c r="I1016" s="73">
        <f>IF($A1016="","",$A1016&amp;"|"&amp;$B1016&amp;"|"&amp;$C1016&amp;"|"&amp;$D1016)</f>
        <v/>
      </c>
    </row>
    <row r="1017">
      <c r="I1017" s="73">
        <f>IF($A1017="","",$A1017&amp;"|"&amp;$B1017&amp;"|"&amp;$C1017&amp;"|"&amp;$D1017)</f>
        <v/>
      </c>
    </row>
    <row r="1018">
      <c r="I1018" s="73">
        <f>IF($A1018="","",$A1018&amp;"|"&amp;$B1018&amp;"|"&amp;$C1018&amp;"|"&amp;$D1018)</f>
        <v/>
      </c>
    </row>
    <row r="1019">
      <c r="I1019" s="73">
        <f>IF($A1019="","",$A1019&amp;"|"&amp;$B1019&amp;"|"&amp;$C1019&amp;"|"&amp;$D1019)</f>
        <v/>
      </c>
    </row>
    <row r="1020">
      <c r="I1020" s="73">
        <f>IF($A1020="","",$A1020&amp;"|"&amp;$B1020&amp;"|"&amp;$C1020&amp;"|"&amp;$D1020)</f>
        <v/>
      </c>
    </row>
    <row r="1021">
      <c r="I1021" s="73">
        <f>IF($A1021="","",$A1021&amp;"|"&amp;$B1021&amp;"|"&amp;$C1021&amp;"|"&amp;$D1021)</f>
        <v/>
      </c>
    </row>
    <row r="1022">
      <c r="I1022" s="73">
        <f>IF($A1022="","",$A1022&amp;"|"&amp;$B1022&amp;"|"&amp;$C1022&amp;"|"&amp;$D1022)</f>
        <v/>
      </c>
    </row>
    <row r="1023">
      <c r="I1023" s="73">
        <f>IF($A1023="","",$A1023&amp;"|"&amp;$B1023&amp;"|"&amp;$C1023&amp;"|"&amp;$D1023)</f>
        <v/>
      </c>
    </row>
    <row r="1024">
      <c r="I1024" s="73">
        <f>IF($A1024="","",$A1024&amp;"|"&amp;$B1024&amp;"|"&amp;$C1024&amp;"|"&amp;$D1024)</f>
        <v/>
      </c>
    </row>
    <row r="1025">
      <c r="I1025" s="73">
        <f>IF($A1025="","",$A1025&amp;"|"&amp;$B1025&amp;"|"&amp;$C1025&amp;"|"&amp;$D1025)</f>
        <v/>
      </c>
    </row>
    <row r="1026">
      <c r="I1026" s="73">
        <f>IF($A1026="","",$A1026&amp;"|"&amp;$B1026&amp;"|"&amp;$C1026&amp;"|"&amp;$D1026)</f>
        <v/>
      </c>
    </row>
    <row r="1027">
      <c r="I1027" s="73">
        <f>IF($A1027="","",$A1027&amp;"|"&amp;$B1027&amp;"|"&amp;$C1027&amp;"|"&amp;$D1027)</f>
        <v/>
      </c>
    </row>
    <row r="1028">
      <c r="I1028" s="73">
        <f>IF($A1028="","",$A1028&amp;"|"&amp;$B1028&amp;"|"&amp;$C1028&amp;"|"&amp;$D1028)</f>
        <v/>
      </c>
    </row>
    <row r="1029">
      <c r="I1029" s="73">
        <f>IF($A1029="","",$A1029&amp;"|"&amp;$B1029&amp;"|"&amp;$C1029&amp;"|"&amp;$D1029)</f>
        <v/>
      </c>
    </row>
    <row r="1030">
      <c r="I1030" s="73">
        <f>IF($A1030="","",$A1030&amp;"|"&amp;$B1030&amp;"|"&amp;$C1030&amp;"|"&amp;$D1030)</f>
        <v/>
      </c>
    </row>
    <row r="1031">
      <c r="I1031" s="73">
        <f>IF($A1031="","",$A1031&amp;"|"&amp;$B1031&amp;"|"&amp;$C1031&amp;"|"&amp;$D1031)</f>
        <v/>
      </c>
    </row>
    <row r="1032">
      <c r="I1032" s="73">
        <f>IF($A1032="","",$A1032&amp;"|"&amp;$B1032&amp;"|"&amp;$C1032&amp;"|"&amp;$D1032)</f>
        <v/>
      </c>
    </row>
    <row r="1033">
      <c r="I1033" s="73">
        <f>IF($A1033="","",$A1033&amp;"|"&amp;$B1033&amp;"|"&amp;$C1033&amp;"|"&amp;$D1033)</f>
        <v/>
      </c>
    </row>
    <row r="1034">
      <c r="I1034" s="73">
        <f>IF($A1034="","",$A1034&amp;"|"&amp;$B1034&amp;"|"&amp;$C1034&amp;"|"&amp;$D1034)</f>
        <v/>
      </c>
    </row>
    <row r="1035">
      <c r="I1035" s="73">
        <f>IF($A1035="","",$A1035&amp;"|"&amp;$B1035&amp;"|"&amp;$C1035&amp;"|"&amp;$D1035)</f>
        <v/>
      </c>
    </row>
    <row r="1036">
      <c r="I1036" s="73">
        <f>IF($A1036="","",$A1036&amp;"|"&amp;$B1036&amp;"|"&amp;$C1036&amp;"|"&amp;$D1036)</f>
        <v/>
      </c>
    </row>
    <row r="1037">
      <c r="I1037" s="73">
        <f>IF($A1037="","",$A1037&amp;"|"&amp;$B1037&amp;"|"&amp;$C1037&amp;"|"&amp;$D1037)</f>
        <v/>
      </c>
    </row>
    <row r="1038">
      <c r="I1038" s="73">
        <f>IF($A1038="","",$A1038&amp;"|"&amp;$B1038&amp;"|"&amp;$C1038&amp;"|"&amp;$D1038)</f>
        <v/>
      </c>
    </row>
    <row r="1039">
      <c r="I1039" s="73">
        <f>IF($A1039="","",$A1039&amp;"|"&amp;$B1039&amp;"|"&amp;$C1039&amp;"|"&amp;$D1039)</f>
        <v/>
      </c>
    </row>
    <row r="1040">
      <c r="I1040" s="73">
        <f>IF($A1040="","",$A1040&amp;"|"&amp;$B1040&amp;"|"&amp;$C1040&amp;"|"&amp;$D1040)</f>
        <v/>
      </c>
    </row>
    <row r="1041">
      <c r="I1041" s="73">
        <f>IF($A1041="","",$A1041&amp;"|"&amp;$B1041&amp;"|"&amp;$C1041&amp;"|"&amp;$D1041)</f>
        <v/>
      </c>
    </row>
    <row r="1042">
      <c r="I1042" s="73">
        <f>IF($A1042="","",$A1042&amp;"|"&amp;$B1042&amp;"|"&amp;$C1042&amp;"|"&amp;$D1042)</f>
        <v/>
      </c>
    </row>
    <row r="1043">
      <c r="I1043" s="73">
        <f>IF($A1043="","",$A1043&amp;"|"&amp;$B1043&amp;"|"&amp;$C1043&amp;"|"&amp;$D1043)</f>
        <v/>
      </c>
    </row>
    <row r="1044">
      <c r="I1044" s="73">
        <f>IF($A1044="","",$A1044&amp;"|"&amp;$B1044&amp;"|"&amp;$C1044&amp;"|"&amp;$D1044)</f>
        <v/>
      </c>
    </row>
    <row r="1045">
      <c r="I1045" s="73">
        <f>IF($A1045="","",$A1045&amp;"|"&amp;$B1045&amp;"|"&amp;$C1045&amp;"|"&amp;$D1045)</f>
        <v/>
      </c>
    </row>
    <row r="1046">
      <c r="I1046" s="73">
        <f>IF($A1046="","",$A1046&amp;"|"&amp;$B1046&amp;"|"&amp;$C1046&amp;"|"&amp;$D1046)</f>
        <v/>
      </c>
    </row>
    <row r="1047">
      <c r="I1047" s="73">
        <f>IF($A1047="","",$A1047&amp;"|"&amp;$B1047&amp;"|"&amp;$C1047&amp;"|"&amp;$D1047)</f>
        <v/>
      </c>
    </row>
    <row r="1048">
      <c r="I1048" s="73">
        <f>IF($A1048="","",$A1048&amp;"|"&amp;$B1048&amp;"|"&amp;$C1048&amp;"|"&amp;$D1048)</f>
        <v/>
      </c>
    </row>
    <row r="1049">
      <c r="I1049" s="73">
        <f>IF($A1049="","",$A1049&amp;"|"&amp;$B1049&amp;"|"&amp;$C1049&amp;"|"&amp;$D1049)</f>
        <v/>
      </c>
    </row>
    <row r="1050">
      <c r="I1050" s="73">
        <f>IF($A1050="","",$A1050&amp;"|"&amp;$B1050&amp;"|"&amp;$C1050&amp;"|"&amp;$D1050)</f>
        <v/>
      </c>
    </row>
    <row r="1051">
      <c r="I1051" s="73">
        <f>IF($A1051="","",$A1051&amp;"|"&amp;$B1051&amp;"|"&amp;$C1051&amp;"|"&amp;$D1051)</f>
        <v/>
      </c>
    </row>
    <row r="1052">
      <c r="I1052" s="73">
        <f>IF($A1052="","",$A1052&amp;"|"&amp;$B1052&amp;"|"&amp;$C1052&amp;"|"&amp;$D1052)</f>
        <v/>
      </c>
    </row>
    <row r="1053">
      <c r="I1053" s="73">
        <f>IF($A1053="","",$A1053&amp;"|"&amp;$B1053&amp;"|"&amp;$C1053&amp;"|"&amp;$D1053)</f>
        <v/>
      </c>
    </row>
    <row r="1054">
      <c r="I1054" s="73">
        <f>IF($A1054="","",$A1054&amp;"|"&amp;$B1054&amp;"|"&amp;$C1054&amp;"|"&amp;$D1054)</f>
        <v/>
      </c>
    </row>
    <row r="1055">
      <c r="I1055" s="73">
        <f>IF($A1055="","",$A1055&amp;"|"&amp;$B1055&amp;"|"&amp;$C1055&amp;"|"&amp;$D1055)</f>
        <v/>
      </c>
    </row>
    <row r="1056">
      <c r="I1056" s="73">
        <f>IF($A1056="","",$A1056&amp;"|"&amp;$B1056&amp;"|"&amp;$C1056&amp;"|"&amp;$D1056)</f>
        <v/>
      </c>
    </row>
    <row r="1057">
      <c r="I1057" s="73">
        <f>IF($A1057="","",$A1057&amp;"|"&amp;$B1057&amp;"|"&amp;$C1057&amp;"|"&amp;$D1057)</f>
        <v/>
      </c>
    </row>
    <row r="1058">
      <c r="I1058" s="73">
        <f>IF($A1058="","",$A1058&amp;"|"&amp;$B1058&amp;"|"&amp;$C1058&amp;"|"&amp;$D1058)</f>
        <v/>
      </c>
    </row>
    <row r="1059">
      <c r="I1059" s="73">
        <f>IF($A1059="","",$A1059&amp;"|"&amp;$B1059&amp;"|"&amp;$C1059&amp;"|"&amp;$D1059)</f>
        <v/>
      </c>
    </row>
    <row r="1060">
      <c r="I1060" s="73">
        <f>IF($A1060="","",$A1060&amp;"|"&amp;$B1060&amp;"|"&amp;$C1060&amp;"|"&amp;$D1060)</f>
        <v/>
      </c>
    </row>
    <row r="1061">
      <c r="I1061" s="73">
        <f>IF($A1061="","",$A1061&amp;"|"&amp;$B1061&amp;"|"&amp;$C1061&amp;"|"&amp;$D1061)</f>
        <v/>
      </c>
    </row>
    <row r="1062">
      <c r="I1062" s="73">
        <f>IF($A1062="","",$A1062&amp;"|"&amp;$B1062&amp;"|"&amp;$C1062&amp;"|"&amp;$D1062)</f>
        <v/>
      </c>
    </row>
    <row r="1063">
      <c r="I1063" s="73">
        <f>IF($A1063="","",$A1063&amp;"|"&amp;$B1063&amp;"|"&amp;$C1063&amp;"|"&amp;$D1063)</f>
        <v/>
      </c>
    </row>
    <row r="1064">
      <c r="I1064" s="73">
        <f>IF($A1064="","",$A1064&amp;"|"&amp;$B1064&amp;"|"&amp;$C1064&amp;"|"&amp;$D1064)</f>
        <v/>
      </c>
    </row>
    <row r="1065">
      <c r="I1065" s="73">
        <f>IF($A1065="","",$A1065&amp;"|"&amp;$B1065&amp;"|"&amp;$C1065&amp;"|"&amp;$D1065)</f>
        <v/>
      </c>
    </row>
    <row r="1066">
      <c r="I1066" s="73">
        <f>IF($A1066="","",$A1066&amp;"|"&amp;$B1066&amp;"|"&amp;$C1066&amp;"|"&amp;$D1066)</f>
        <v/>
      </c>
    </row>
    <row r="1067">
      <c r="I1067" s="73">
        <f>IF($A1067="","",$A1067&amp;"|"&amp;$B1067&amp;"|"&amp;$C1067&amp;"|"&amp;$D1067)</f>
        <v/>
      </c>
    </row>
    <row r="1068">
      <c r="I1068" s="73">
        <f>IF($A1068="","",$A1068&amp;"|"&amp;$B1068&amp;"|"&amp;$C1068&amp;"|"&amp;$D1068)</f>
        <v/>
      </c>
    </row>
    <row r="1069">
      <c r="I1069" s="73">
        <f>IF($A1069="","",$A1069&amp;"|"&amp;$B1069&amp;"|"&amp;$C1069&amp;"|"&amp;$D1069)</f>
        <v/>
      </c>
    </row>
    <row r="1070">
      <c r="I1070" s="73">
        <f>IF($A1070="","",$A1070&amp;"|"&amp;$B1070&amp;"|"&amp;$C1070&amp;"|"&amp;$D1070)</f>
        <v/>
      </c>
    </row>
    <row r="1071">
      <c r="I1071" s="73">
        <f>IF($A1071="","",$A1071&amp;"|"&amp;$B1071&amp;"|"&amp;$C1071&amp;"|"&amp;$D1071)</f>
        <v/>
      </c>
    </row>
    <row r="1072">
      <c r="I1072" s="73">
        <f>IF($A1072="","",$A1072&amp;"|"&amp;$B1072&amp;"|"&amp;$C1072&amp;"|"&amp;$D1072)</f>
        <v/>
      </c>
    </row>
    <row r="1073">
      <c r="I1073" s="73">
        <f>IF($A1073="","",$A1073&amp;"|"&amp;$B1073&amp;"|"&amp;$C1073&amp;"|"&amp;$D1073)</f>
        <v/>
      </c>
    </row>
    <row r="1074">
      <c r="I1074" s="73">
        <f>IF($A1074="","",$A1074&amp;"|"&amp;$B1074&amp;"|"&amp;$C1074&amp;"|"&amp;$D1074)</f>
        <v/>
      </c>
    </row>
    <row r="1075">
      <c r="I1075" s="73">
        <f>IF($A1075="","",$A1075&amp;"|"&amp;$B1075&amp;"|"&amp;$C1075&amp;"|"&amp;$D1075)</f>
        <v/>
      </c>
    </row>
    <row r="1076">
      <c r="I1076" s="73">
        <f>IF($A1076="","",$A1076&amp;"|"&amp;$B1076&amp;"|"&amp;$C1076&amp;"|"&amp;$D1076)</f>
        <v/>
      </c>
    </row>
    <row r="1077">
      <c r="I1077" s="73">
        <f>IF($A1077="","",$A1077&amp;"|"&amp;$B1077&amp;"|"&amp;$C1077&amp;"|"&amp;$D1077)</f>
        <v/>
      </c>
    </row>
    <row r="1078">
      <c r="I1078" s="73">
        <f>IF($A1078="","",$A1078&amp;"|"&amp;$B1078&amp;"|"&amp;$C1078&amp;"|"&amp;$D1078)</f>
        <v/>
      </c>
    </row>
    <row r="1079">
      <c r="I1079" s="73">
        <f>IF($A1079="","",$A1079&amp;"|"&amp;$B1079&amp;"|"&amp;$C1079&amp;"|"&amp;$D1079)</f>
        <v/>
      </c>
    </row>
    <row r="1080">
      <c r="I1080" s="73">
        <f>IF($A1080="","",$A1080&amp;"|"&amp;$B1080&amp;"|"&amp;$C1080&amp;"|"&amp;$D1080)</f>
        <v/>
      </c>
    </row>
    <row r="1081">
      <c r="I1081" s="73">
        <f>IF($A1081="","",$A1081&amp;"|"&amp;$B1081&amp;"|"&amp;$C1081&amp;"|"&amp;$D1081)</f>
        <v/>
      </c>
    </row>
    <row r="1082">
      <c r="I1082" s="73">
        <f>IF($A1082="","",$A1082&amp;"|"&amp;$B1082&amp;"|"&amp;$C1082&amp;"|"&amp;$D1082)</f>
        <v/>
      </c>
    </row>
    <row r="1083">
      <c r="I1083" s="73">
        <f>IF($A1083="","",$A1083&amp;"|"&amp;$B1083&amp;"|"&amp;$C1083&amp;"|"&amp;$D1083)</f>
        <v/>
      </c>
    </row>
    <row r="1084">
      <c r="I1084" s="73">
        <f>IF($A1084="","",$A1084&amp;"|"&amp;$B1084&amp;"|"&amp;$C1084&amp;"|"&amp;$D1084)</f>
        <v/>
      </c>
    </row>
    <row r="1085">
      <c r="I1085" s="73">
        <f>IF($A1085="","",$A1085&amp;"|"&amp;$B1085&amp;"|"&amp;$C1085&amp;"|"&amp;$D1085)</f>
        <v/>
      </c>
    </row>
    <row r="1086">
      <c r="I1086" s="73">
        <f>IF($A1086="","",$A1086&amp;"|"&amp;$B1086&amp;"|"&amp;$C1086&amp;"|"&amp;$D1086)</f>
        <v/>
      </c>
    </row>
    <row r="1087">
      <c r="I1087" s="73">
        <f>IF($A1087="","",$A1087&amp;"|"&amp;$B1087&amp;"|"&amp;$C1087&amp;"|"&amp;$D1087)</f>
        <v/>
      </c>
    </row>
    <row r="1088">
      <c r="I1088" s="73">
        <f>IF($A1088="","",$A1088&amp;"|"&amp;$B1088&amp;"|"&amp;$C1088&amp;"|"&amp;$D1088)</f>
        <v/>
      </c>
    </row>
    <row r="1089">
      <c r="I1089" s="73">
        <f>IF($A1089="","",$A1089&amp;"|"&amp;$B1089&amp;"|"&amp;$C1089&amp;"|"&amp;$D1089)</f>
        <v/>
      </c>
    </row>
    <row r="1090">
      <c r="I1090" s="73">
        <f>IF($A1090="","",$A1090&amp;"|"&amp;$B1090&amp;"|"&amp;$C1090&amp;"|"&amp;$D1090)</f>
        <v/>
      </c>
    </row>
    <row r="1091">
      <c r="I1091" s="73">
        <f>IF($A1091="","",$A1091&amp;"|"&amp;$B1091&amp;"|"&amp;$C1091&amp;"|"&amp;$D1091)</f>
        <v/>
      </c>
    </row>
    <row r="1092">
      <c r="I1092" s="73">
        <f>IF($A1092="","",$A1092&amp;"|"&amp;$B1092&amp;"|"&amp;$C1092&amp;"|"&amp;$D1092)</f>
        <v/>
      </c>
    </row>
    <row r="1093">
      <c r="I1093" s="73">
        <f>IF($A1093="","",$A1093&amp;"|"&amp;$B1093&amp;"|"&amp;$C1093&amp;"|"&amp;$D1093)</f>
        <v/>
      </c>
    </row>
    <row r="1094">
      <c r="I1094" s="73">
        <f>IF($A1094="","",$A1094&amp;"|"&amp;$B1094&amp;"|"&amp;$C1094&amp;"|"&amp;$D1094)</f>
        <v/>
      </c>
    </row>
    <row r="1095">
      <c r="I1095" s="73">
        <f>IF($A1095="","",$A1095&amp;"|"&amp;$B1095&amp;"|"&amp;$C1095&amp;"|"&amp;$D1095)</f>
        <v/>
      </c>
    </row>
    <row r="1096">
      <c r="I1096" s="73">
        <f>IF($A1096="","",$A1096&amp;"|"&amp;$B1096&amp;"|"&amp;$C1096&amp;"|"&amp;$D1096)</f>
        <v/>
      </c>
    </row>
    <row r="1097">
      <c r="I1097" s="73">
        <f>IF($A1097="","",$A1097&amp;"|"&amp;$B1097&amp;"|"&amp;$C1097&amp;"|"&amp;$D1097)</f>
        <v/>
      </c>
    </row>
    <row r="1098">
      <c r="I1098" s="73">
        <f>IF($A1098="","",$A1098&amp;"|"&amp;$B1098&amp;"|"&amp;$C1098&amp;"|"&amp;$D1098)</f>
        <v/>
      </c>
    </row>
    <row r="1099">
      <c r="I1099" s="73">
        <f>IF($A1099="","",$A1099&amp;"|"&amp;$B1099&amp;"|"&amp;$C1099&amp;"|"&amp;$D1099)</f>
        <v/>
      </c>
    </row>
    <row r="1100">
      <c r="I1100" s="73">
        <f>IF($A1100="","",$A1100&amp;"|"&amp;$B1100&amp;"|"&amp;$C1100&amp;"|"&amp;$D1100)</f>
        <v/>
      </c>
    </row>
    <row r="1101">
      <c r="I1101" s="73">
        <f>IF($A1101="","",$A1101&amp;"|"&amp;$B1101&amp;"|"&amp;$C1101&amp;"|"&amp;$D1101)</f>
        <v/>
      </c>
    </row>
    <row r="1102">
      <c r="I1102" s="73">
        <f>IF($A1102="","",$A1102&amp;"|"&amp;$B1102&amp;"|"&amp;$C1102&amp;"|"&amp;$D1102)</f>
        <v/>
      </c>
    </row>
    <row r="1103">
      <c r="I1103" s="73">
        <f>IF($A1103="","",$A1103&amp;"|"&amp;$B1103&amp;"|"&amp;$C1103&amp;"|"&amp;$D1103)</f>
        <v/>
      </c>
    </row>
    <row r="1104">
      <c r="I1104" s="73">
        <f>IF($A1104="","",$A1104&amp;"|"&amp;$B1104&amp;"|"&amp;$C1104&amp;"|"&amp;$D1104)</f>
        <v/>
      </c>
    </row>
    <row r="1105">
      <c r="I1105" s="73">
        <f>IF($A1105="","",$A1105&amp;"|"&amp;$B1105&amp;"|"&amp;$C1105&amp;"|"&amp;$D1105)</f>
        <v/>
      </c>
    </row>
    <row r="1106">
      <c r="I1106" s="73">
        <f>IF($A1106="","",$A1106&amp;"|"&amp;$B1106&amp;"|"&amp;$C1106&amp;"|"&amp;$D1106)</f>
        <v/>
      </c>
    </row>
    <row r="1107">
      <c r="I1107" s="73">
        <f>IF($A1107="","",$A1107&amp;"|"&amp;$B1107&amp;"|"&amp;$C1107&amp;"|"&amp;$D1107)</f>
        <v/>
      </c>
    </row>
    <row r="1108">
      <c r="I1108" s="73">
        <f>IF($A1108="","",$A1108&amp;"|"&amp;$B1108&amp;"|"&amp;$C1108&amp;"|"&amp;$D1108)</f>
        <v/>
      </c>
    </row>
    <row r="1109">
      <c r="I1109" s="73">
        <f>IF($A1109="","",$A1109&amp;"|"&amp;$B1109&amp;"|"&amp;$C1109&amp;"|"&amp;$D1109)</f>
        <v/>
      </c>
    </row>
    <row r="1110">
      <c r="I1110" s="73">
        <f>IF($A1110="","",$A1110&amp;"|"&amp;$B1110&amp;"|"&amp;$C1110&amp;"|"&amp;$D1110)</f>
        <v/>
      </c>
    </row>
    <row r="1111">
      <c r="I1111" s="73">
        <f>IF($A1111="","",$A1111&amp;"|"&amp;$B1111&amp;"|"&amp;$C1111&amp;"|"&amp;$D1111)</f>
        <v/>
      </c>
    </row>
    <row r="1112">
      <c r="I1112" s="73">
        <f>IF($A1112="","",$A1112&amp;"|"&amp;$B1112&amp;"|"&amp;$C1112&amp;"|"&amp;$D1112)</f>
        <v/>
      </c>
    </row>
    <row r="1113">
      <c r="I1113" s="73">
        <f>IF($A1113="","",$A1113&amp;"|"&amp;$B1113&amp;"|"&amp;$C1113&amp;"|"&amp;$D1113)</f>
        <v/>
      </c>
    </row>
    <row r="1114">
      <c r="I1114" s="73">
        <f>IF($A1114="","",$A1114&amp;"|"&amp;$B1114&amp;"|"&amp;$C1114&amp;"|"&amp;$D1114)</f>
        <v/>
      </c>
    </row>
    <row r="1115">
      <c r="I1115" s="73">
        <f>IF($A1115="","",$A1115&amp;"|"&amp;$B1115&amp;"|"&amp;$C1115&amp;"|"&amp;$D1115)</f>
        <v/>
      </c>
    </row>
    <row r="1116">
      <c r="I1116" s="73">
        <f>IF($A1116="","",$A1116&amp;"|"&amp;$B1116&amp;"|"&amp;$C1116&amp;"|"&amp;$D1116)</f>
        <v/>
      </c>
    </row>
    <row r="1117">
      <c r="I1117" s="73">
        <f>IF($A1117="","",$A1117&amp;"|"&amp;$B1117&amp;"|"&amp;$C1117&amp;"|"&amp;$D1117)</f>
        <v/>
      </c>
    </row>
    <row r="1118">
      <c r="I1118" s="73">
        <f>IF($A1118="","",$A1118&amp;"|"&amp;$B1118&amp;"|"&amp;$C1118&amp;"|"&amp;$D1118)</f>
        <v/>
      </c>
    </row>
    <row r="1119">
      <c r="I1119" s="73">
        <f>IF($A1119="","",$A1119&amp;"|"&amp;$B1119&amp;"|"&amp;$C1119&amp;"|"&amp;$D1119)</f>
        <v/>
      </c>
    </row>
    <row r="1120">
      <c r="I1120" s="73">
        <f>IF($A1120="","",$A1120&amp;"|"&amp;$B1120&amp;"|"&amp;$C1120&amp;"|"&amp;$D1120)</f>
        <v/>
      </c>
    </row>
    <row r="1121">
      <c r="I1121" s="73">
        <f>IF($A1121="","",$A1121&amp;"|"&amp;$B1121&amp;"|"&amp;$C1121&amp;"|"&amp;$D1121)</f>
        <v/>
      </c>
    </row>
    <row r="1122">
      <c r="I1122" s="73">
        <f>IF($A1122="","",$A1122&amp;"|"&amp;$B1122&amp;"|"&amp;$C1122&amp;"|"&amp;$D1122)</f>
        <v/>
      </c>
    </row>
    <row r="1123">
      <c r="I1123" s="73">
        <f>IF($A1123="","",$A1123&amp;"|"&amp;$B1123&amp;"|"&amp;$C1123&amp;"|"&amp;$D1123)</f>
        <v/>
      </c>
    </row>
    <row r="1124">
      <c r="I1124" s="73">
        <f>IF($A1124="","",$A1124&amp;"|"&amp;$B1124&amp;"|"&amp;$C1124&amp;"|"&amp;$D1124)</f>
        <v/>
      </c>
    </row>
    <row r="1125">
      <c r="I1125" s="73">
        <f>IF($A1125="","",$A1125&amp;"|"&amp;$B1125&amp;"|"&amp;$C1125&amp;"|"&amp;$D1125)</f>
        <v/>
      </c>
    </row>
    <row r="1126">
      <c r="I1126" s="73">
        <f>IF($A1126="","",$A1126&amp;"|"&amp;$B1126&amp;"|"&amp;$C1126&amp;"|"&amp;$D1126)</f>
        <v/>
      </c>
    </row>
    <row r="1127">
      <c r="I1127" s="73">
        <f>IF($A1127="","",$A1127&amp;"|"&amp;$B1127&amp;"|"&amp;$C1127&amp;"|"&amp;$D1127)</f>
        <v/>
      </c>
    </row>
    <row r="1128">
      <c r="I1128" s="73">
        <f>IF($A1128="","",$A1128&amp;"|"&amp;$B1128&amp;"|"&amp;$C1128&amp;"|"&amp;$D1128)</f>
        <v/>
      </c>
    </row>
    <row r="1129">
      <c r="I1129" s="73">
        <f>IF($A1129="","",$A1129&amp;"|"&amp;$B1129&amp;"|"&amp;$C1129&amp;"|"&amp;$D1129)</f>
        <v/>
      </c>
    </row>
    <row r="1130">
      <c r="I1130" s="73">
        <f>IF($A1130="","",$A1130&amp;"|"&amp;$B1130&amp;"|"&amp;$C1130&amp;"|"&amp;$D1130)</f>
        <v/>
      </c>
    </row>
    <row r="1131">
      <c r="I1131" s="73">
        <f>IF($A1131="","",$A1131&amp;"|"&amp;$B1131&amp;"|"&amp;$C1131&amp;"|"&amp;$D1131)</f>
        <v/>
      </c>
    </row>
    <row r="1132">
      <c r="I1132" s="73">
        <f>IF($A1132="","",$A1132&amp;"|"&amp;$B1132&amp;"|"&amp;$C1132&amp;"|"&amp;$D1132)</f>
        <v/>
      </c>
    </row>
    <row r="1133">
      <c r="I1133" s="73">
        <f>IF($A1133="","",$A1133&amp;"|"&amp;$B1133&amp;"|"&amp;$C1133&amp;"|"&amp;$D1133)</f>
        <v/>
      </c>
    </row>
    <row r="1134">
      <c r="I1134" s="73">
        <f>IF($A1134="","",$A1134&amp;"|"&amp;$B1134&amp;"|"&amp;$C1134&amp;"|"&amp;$D1134)</f>
        <v/>
      </c>
    </row>
    <row r="1135">
      <c r="I1135" s="73">
        <f>IF($A1135="","",$A1135&amp;"|"&amp;$B1135&amp;"|"&amp;$C1135&amp;"|"&amp;$D1135)</f>
        <v/>
      </c>
    </row>
    <row r="1136">
      <c r="I1136" s="73">
        <f>IF($A1136="","",$A1136&amp;"|"&amp;$B1136&amp;"|"&amp;$C1136&amp;"|"&amp;$D1136)</f>
        <v/>
      </c>
    </row>
    <row r="1137">
      <c r="I1137" s="73">
        <f>IF($A1137="","",$A1137&amp;"|"&amp;$B1137&amp;"|"&amp;$C1137&amp;"|"&amp;$D1137)</f>
        <v/>
      </c>
    </row>
    <row r="1138">
      <c r="I1138" s="73">
        <f>IF($A1138="","",$A1138&amp;"|"&amp;$B1138&amp;"|"&amp;$C1138&amp;"|"&amp;$D1138)</f>
        <v/>
      </c>
    </row>
    <row r="1139">
      <c r="I1139" s="73">
        <f>IF($A1139="","",$A1139&amp;"|"&amp;$B1139&amp;"|"&amp;$C1139&amp;"|"&amp;$D1139)</f>
        <v/>
      </c>
    </row>
    <row r="1140">
      <c r="I1140" s="73">
        <f>IF($A1140="","",$A1140&amp;"|"&amp;$B1140&amp;"|"&amp;$C1140&amp;"|"&amp;$D1140)</f>
        <v/>
      </c>
    </row>
    <row r="1141">
      <c r="I1141" s="73">
        <f>IF($A1141="","",$A1141&amp;"|"&amp;$B1141&amp;"|"&amp;$C1141&amp;"|"&amp;$D1141)</f>
        <v/>
      </c>
    </row>
    <row r="1142">
      <c r="I1142" s="73">
        <f>IF($A1142="","",$A1142&amp;"|"&amp;$B1142&amp;"|"&amp;$C1142&amp;"|"&amp;$D1142)</f>
        <v/>
      </c>
    </row>
    <row r="1143">
      <c r="I1143" s="73">
        <f>IF($A1143="","",$A1143&amp;"|"&amp;$B1143&amp;"|"&amp;$C1143&amp;"|"&amp;$D1143)</f>
        <v/>
      </c>
    </row>
    <row r="1144">
      <c r="I1144" s="73">
        <f>IF($A1144="","",$A1144&amp;"|"&amp;$B1144&amp;"|"&amp;$C1144&amp;"|"&amp;$D1144)</f>
        <v/>
      </c>
    </row>
    <row r="1145">
      <c r="I1145" s="73">
        <f>IF($A1145="","",$A1145&amp;"|"&amp;$B1145&amp;"|"&amp;$C1145&amp;"|"&amp;$D1145)</f>
        <v/>
      </c>
    </row>
    <row r="1146">
      <c r="I1146" s="73">
        <f>IF($A1146="","",$A1146&amp;"|"&amp;$B1146&amp;"|"&amp;$C1146&amp;"|"&amp;$D1146)</f>
        <v/>
      </c>
    </row>
    <row r="1147">
      <c r="I1147" s="73">
        <f>IF($A1147="","",$A1147&amp;"|"&amp;$B1147&amp;"|"&amp;$C1147&amp;"|"&amp;$D1147)</f>
        <v/>
      </c>
    </row>
    <row r="1148">
      <c r="I1148" s="73">
        <f>IF($A1148="","",$A1148&amp;"|"&amp;$B1148&amp;"|"&amp;$C1148&amp;"|"&amp;$D1148)</f>
        <v/>
      </c>
    </row>
    <row r="1149">
      <c r="I1149" s="73">
        <f>IF($A1149="","",$A1149&amp;"|"&amp;$B1149&amp;"|"&amp;$C1149&amp;"|"&amp;$D1149)</f>
        <v/>
      </c>
    </row>
    <row r="1150">
      <c r="I1150" s="73">
        <f>IF($A1150="","",$A1150&amp;"|"&amp;$B1150&amp;"|"&amp;$C1150&amp;"|"&amp;$D1150)</f>
        <v/>
      </c>
    </row>
    <row r="1151">
      <c r="I1151" s="73">
        <f>IF($A1151="","",$A1151&amp;"|"&amp;$B1151&amp;"|"&amp;$C1151&amp;"|"&amp;$D1151)</f>
        <v/>
      </c>
    </row>
    <row r="1152">
      <c r="I1152" s="73">
        <f>IF($A1152="","",$A1152&amp;"|"&amp;$B1152&amp;"|"&amp;$C1152&amp;"|"&amp;$D1152)</f>
        <v/>
      </c>
    </row>
    <row r="1153">
      <c r="I1153" s="73">
        <f>IF($A1153="","",$A1153&amp;"|"&amp;$B1153&amp;"|"&amp;$C1153&amp;"|"&amp;$D1153)</f>
        <v/>
      </c>
    </row>
    <row r="1154">
      <c r="I1154" s="73">
        <f>IF($A1154="","",$A1154&amp;"|"&amp;$B1154&amp;"|"&amp;$C1154&amp;"|"&amp;$D1154)</f>
        <v/>
      </c>
    </row>
    <row r="1155">
      <c r="I1155" s="73">
        <f>IF($A1155="","",$A1155&amp;"|"&amp;$B1155&amp;"|"&amp;$C1155&amp;"|"&amp;$D1155)</f>
        <v/>
      </c>
    </row>
    <row r="1156">
      <c r="I1156" s="73">
        <f>IF($A1156="","",$A1156&amp;"|"&amp;$B1156&amp;"|"&amp;$C1156&amp;"|"&amp;$D1156)</f>
        <v/>
      </c>
    </row>
    <row r="1157">
      <c r="I1157" s="73">
        <f>IF($A1157="","",$A1157&amp;"|"&amp;$B1157&amp;"|"&amp;$C1157&amp;"|"&amp;$D1157)</f>
        <v/>
      </c>
    </row>
    <row r="1158">
      <c r="I1158" s="73">
        <f>IF($A1158="","",$A1158&amp;"|"&amp;$B1158&amp;"|"&amp;$C1158&amp;"|"&amp;$D1158)</f>
        <v/>
      </c>
    </row>
    <row r="1159">
      <c r="I1159" s="73">
        <f>IF($A1159="","",$A1159&amp;"|"&amp;$B1159&amp;"|"&amp;$C1159&amp;"|"&amp;$D1159)</f>
        <v/>
      </c>
    </row>
    <row r="1160">
      <c r="I1160" s="73">
        <f>IF($A1160="","",$A1160&amp;"|"&amp;$B1160&amp;"|"&amp;$C1160&amp;"|"&amp;$D1160)</f>
        <v/>
      </c>
    </row>
    <row r="1161">
      <c r="I1161" s="73">
        <f>IF($A1161="","",$A1161&amp;"|"&amp;$B1161&amp;"|"&amp;$C1161&amp;"|"&amp;$D1161)</f>
        <v/>
      </c>
    </row>
    <row r="1162">
      <c r="I1162" s="73">
        <f>IF($A1162="","",$A1162&amp;"|"&amp;$B1162&amp;"|"&amp;$C1162&amp;"|"&amp;$D1162)</f>
        <v/>
      </c>
    </row>
    <row r="1163">
      <c r="I1163" s="73">
        <f>IF($A1163="","",$A1163&amp;"|"&amp;$B1163&amp;"|"&amp;$C1163&amp;"|"&amp;$D1163)</f>
        <v/>
      </c>
    </row>
    <row r="1164">
      <c r="I1164" s="73">
        <f>IF($A1164="","",$A1164&amp;"|"&amp;$B1164&amp;"|"&amp;$C1164&amp;"|"&amp;$D1164)</f>
        <v/>
      </c>
    </row>
    <row r="1165">
      <c r="I1165" s="73">
        <f>IF($A1165="","",$A1165&amp;"|"&amp;$B1165&amp;"|"&amp;$C1165&amp;"|"&amp;$D1165)</f>
        <v/>
      </c>
    </row>
    <row r="1166">
      <c r="I1166" s="73">
        <f>IF($A1166="","",$A1166&amp;"|"&amp;$B1166&amp;"|"&amp;$C1166&amp;"|"&amp;$D1166)</f>
        <v/>
      </c>
    </row>
    <row r="1167">
      <c r="I1167" s="73">
        <f>IF($A1167="","",$A1167&amp;"|"&amp;$B1167&amp;"|"&amp;$C1167&amp;"|"&amp;$D1167)</f>
        <v/>
      </c>
    </row>
    <row r="1168">
      <c r="I1168" s="73">
        <f>IF($A1168="","",$A1168&amp;"|"&amp;$B1168&amp;"|"&amp;$C1168&amp;"|"&amp;$D1168)</f>
        <v/>
      </c>
    </row>
    <row r="1169">
      <c r="I1169" s="73">
        <f>IF($A1169="","",$A1169&amp;"|"&amp;$B1169&amp;"|"&amp;$C1169&amp;"|"&amp;$D1169)</f>
        <v/>
      </c>
    </row>
    <row r="1170">
      <c r="I1170" s="73">
        <f>IF($A1170="","",$A1170&amp;"|"&amp;$B1170&amp;"|"&amp;$C1170&amp;"|"&amp;$D1170)</f>
        <v/>
      </c>
    </row>
    <row r="1171">
      <c r="I1171" s="73">
        <f>IF($A1171="","",$A1171&amp;"|"&amp;$B1171&amp;"|"&amp;$C1171&amp;"|"&amp;$D1171)</f>
        <v/>
      </c>
    </row>
    <row r="1172">
      <c r="I1172" s="73">
        <f>IF($A1172="","",$A1172&amp;"|"&amp;$B1172&amp;"|"&amp;$C1172&amp;"|"&amp;$D1172)</f>
        <v/>
      </c>
    </row>
    <row r="1173">
      <c r="I1173" s="73">
        <f>IF($A1173="","",$A1173&amp;"|"&amp;$B1173&amp;"|"&amp;$C1173&amp;"|"&amp;$D1173)</f>
        <v/>
      </c>
    </row>
    <row r="1174">
      <c r="I1174" s="73">
        <f>IF($A1174="","",$A1174&amp;"|"&amp;$B1174&amp;"|"&amp;$C1174&amp;"|"&amp;$D1174)</f>
        <v/>
      </c>
    </row>
    <row r="1175">
      <c r="I1175" s="73">
        <f>IF($A1175="","",$A1175&amp;"|"&amp;$B1175&amp;"|"&amp;$C1175&amp;"|"&amp;$D1175)</f>
        <v/>
      </c>
    </row>
    <row r="1176">
      <c r="I1176" s="73">
        <f>IF($A1176="","",$A1176&amp;"|"&amp;$B1176&amp;"|"&amp;$C1176&amp;"|"&amp;$D1176)</f>
        <v/>
      </c>
    </row>
    <row r="1177">
      <c r="I1177" s="73">
        <f>IF($A1177="","",$A1177&amp;"|"&amp;$B1177&amp;"|"&amp;$C1177&amp;"|"&amp;$D1177)</f>
        <v/>
      </c>
    </row>
    <row r="1178">
      <c r="I1178" s="73">
        <f>IF($A1178="","",$A1178&amp;"|"&amp;$B1178&amp;"|"&amp;$C1178&amp;"|"&amp;$D1178)</f>
        <v/>
      </c>
    </row>
    <row r="1179">
      <c r="I1179" s="73">
        <f>IF($A1179="","",$A1179&amp;"|"&amp;$B1179&amp;"|"&amp;$C1179&amp;"|"&amp;$D1179)</f>
        <v/>
      </c>
    </row>
    <row r="1180">
      <c r="I1180" s="73">
        <f>IF($A1180="","",$A1180&amp;"|"&amp;$B1180&amp;"|"&amp;$C1180&amp;"|"&amp;$D1180)</f>
        <v/>
      </c>
    </row>
    <row r="1181">
      <c r="I1181" s="73">
        <f>IF($A1181="","",$A1181&amp;"|"&amp;$B1181&amp;"|"&amp;$C1181&amp;"|"&amp;$D1181)</f>
        <v/>
      </c>
    </row>
    <row r="1182">
      <c r="I1182" s="73">
        <f>IF($A1182="","",$A1182&amp;"|"&amp;$B1182&amp;"|"&amp;$C1182&amp;"|"&amp;$D1182)</f>
        <v/>
      </c>
    </row>
    <row r="1183">
      <c r="I1183" s="73">
        <f>IF($A1183="","",$A1183&amp;"|"&amp;$B1183&amp;"|"&amp;$C1183&amp;"|"&amp;$D1183)</f>
        <v/>
      </c>
    </row>
    <row r="1184">
      <c r="I1184" s="73">
        <f>IF($A1184="","",$A1184&amp;"|"&amp;$B1184&amp;"|"&amp;$C1184&amp;"|"&amp;$D1184)</f>
        <v/>
      </c>
    </row>
    <row r="1185">
      <c r="I1185" s="73">
        <f>IF($A1185="","",$A1185&amp;"|"&amp;$B1185&amp;"|"&amp;$C1185&amp;"|"&amp;$D1185)</f>
        <v/>
      </c>
    </row>
    <row r="1186">
      <c r="I1186" s="73">
        <f>IF($A1186="","",$A1186&amp;"|"&amp;$B1186&amp;"|"&amp;$C1186&amp;"|"&amp;$D1186)</f>
        <v/>
      </c>
    </row>
    <row r="1187">
      <c r="I1187" s="73">
        <f>IF($A1187="","",$A1187&amp;"|"&amp;$B1187&amp;"|"&amp;$C1187&amp;"|"&amp;$D1187)</f>
        <v/>
      </c>
    </row>
    <row r="1188">
      <c r="I1188" s="73">
        <f>IF($A1188="","",$A1188&amp;"|"&amp;$B1188&amp;"|"&amp;$C1188&amp;"|"&amp;$D1188)</f>
        <v/>
      </c>
    </row>
    <row r="1189">
      <c r="I1189" s="73">
        <f>IF($A1189="","",$A1189&amp;"|"&amp;$B1189&amp;"|"&amp;$C1189&amp;"|"&amp;$D1189)</f>
        <v/>
      </c>
    </row>
    <row r="1190">
      <c r="I1190" s="73">
        <f>IF($A1190="","",$A1190&amp;"|"&amp;$B1190&amp;"|"&amp;$C1190&amp;"|"&amp;$D1190)</f>
        <v/>
      </c>
    </row>
    <row r="1191">
      <c r="I1191" s="73">
        <f>IF($A1191="","",$A1191&amp;"|"&amp;$B1191&amp;"|"&amp;$C1191&amp;"|"&amp;$D1191)</f>
        <v/>
      </c>
    </row>
    <row r="1192">
      <c r="I1192" s="73">
        <f>IF($A1192="","",$A1192&amp;"|"&amp;$B1192&amp;"|"&amp;$C1192&amp;"|"&amp;$D1192)</f>
        <v/>
      </c>
    </row>
    <row r="1193">
      <c r="I1193" s="73">
        <f>IF($A1193="","",$A1193&amp;"|"&amp;$B1193&amp;"|"&amp;$C1193&amp;"|"&amp;$D1193)</f>
        <v/>
      </c>
    </row>
    <row r="1194">
      <c r="I1194" s="73">
        <f>IF($A1194="","",$A1194&amp;"|"&amp;$B1194&amp;"|"&amp;$C1194&amp;"|"&amp;$D1194)</f>
        <v/>
      </c>
    </row>
    <row r="1195">
      <c r="I1195" s="73">
        <f>IF($A1195="","",$A1195&amp;"|"&amp;$B1195&amp;"|"&amp;$C1195&amp;"|"&amp;$D1195)</f>
        <v/>
      </c>
    </row>
    <row r="1196">
      <c r="I1196" s="73">
        <f>IF($A1196="","",$A1196&amp;"|"&amp;$B1196&amp;"|"&amp;$C1196&amp;"|"&amp;$D1196)</f>
        <v/>
      </c>
    </row>
    <row r="1197">
      <c r="I1197" s="73">
        <f>IF($A1197="","",$A1197&amp;"|"&amp;$B1197&amp;"|"&amp;$C1197&amp;"|"&amp;$D1197)</f>
        <v/>
      </c>
    </row>
    <row r="1198">
      <c r="I1198" s="73">
        <f>IF($A1198="","",$A1198&amp;"|"&amp;$B1198&amp;"|"&amp;$C1198&amp;"|"&amp;$D1198)</f>
        <v/>
      </c>
    </row>
    <row r="1199">
      <c r="I1199" s="73">
        <f>IF($A1199="","",$A1199&amp;"|"&amp;$B1199&amp;"|"&amp;$C1199&amp;"|"&amp;$D1199)</f>
        <v/>
      </c>
    </row>
    <row r="1200">
      <c r="I1200" s="73">
        <f>IF($A1200="","",$A1200&amp;"|"&amp;$B1200&amp;"|"&amp;$C1200&amp;"|"&amp;$D1200)</f>
        <v/>
      </c>
    </row>
    <row r="1201">
      <c r="I1201" s="73">
        <f>IF($A1201="","",$A1201&amp;"|"&amp;$B1201&amp;"|"&amp;$C1201&amp;"|"&amp;$D1201)</f>
        <v/>
      </c>
    </row>
    <row r="1202">
      <c r="I1202" s="73">
        <f>IF($A1202="","",$A1202&amp;"|"&amp;$B1202&amp;"|"&amp;$C1202&amp;"|"&amp;$D1202)</f>
        <v/>
      </c>
    </row>
    <row r="1203">
      <c r="I1203" s="73">
        <f>IF($A1203="","",$A1203&amp;"|"&amp;$B1203&amp;"|"&amp;$C1203&amp;"|"&amp;$D1203)</f>
        <v/>
      </c>
    </row>
    <row r="1204">
      <c r="I1204" s="73">
        <f>IF($A1204="","",$A1204&amp;"|"&amp;$B1204&amp;"|"&amp;$C1204&amp;"|"&amp;$D1204)</f>
        <v/>
      </c>
    </row>
    <row r="1205">
      <c r="I1205" s="73">
        <f>IF($A1205="","",$A1205&amp;"|"&amp;$B1205&amp;"|"&amp;$C1205&amp;"|"&amp;$D1205)</f>
        <v/>
      </c>
    </row>
    <row r="1206">
      <c r="I1206" s="73">
        <f>IF($A1206="","",$A1206&amp;"|"&amp;$B1206&amp;"|"&amp;$C1206&amp;"|"&amp;$D1206)</f>
        <v/>
      </c>
    </row>
    <row r="1207">
      <c r="I1207" s="73">
        <f>IF($A1207="","",$A1207&amp;"|"&amp;$B1207&amp;"|"&amp;$C1207&amp;"|"&amp;$D1207)</f>
        <v/>
      </c>
    </row>
    <row r="1208">
      <c r="I1208" s="73">
        <f>IF($A1208="","",$A1208&amp;"|"&amp;$B1208&amp;"|"&amp;$C1208&amp;"|"&amp;$D1208)</f>
        <v/>
      </c>
    </row>
    <row r="1209">
      <c r="I1209" s="73">
        <f>IF($A1209="","",$A1209&amp;"|"&amp;$B1209&amp;"|"&amp;$C1209&amp;"|"&amp;$D1209)</f>
        <v/>
      </c>
    </row>
    <row r="1210">
      <c r="I1210" s="73">
        <f>IF($A1210="","",$A1210&amp;"|"&amp;$B1210&amp;"|"&amp;$C1210&amp;"|"&amp;$D1210)</f>
        <v/>
      </c>
    </row>
    <row r="1211">
      <c r="I1211" s="73">
        <f>IF($A1211="","",$A1211&amp;"|"&amp;$B1211&amp;"|"&amp;$C1211&amp;"|"&amp;$D1211)</f>
        <v/>
      </c>
    </row>
    <row r="1212">
      <c r="I1212" s="73">
        <f>IF($A1212="","",$A1212&amp;"|"&amp;$B1212&amp;"|"&amp;$C1212&amp;"|"&amp;$D1212)</f>
        <v/>
      </c>
    </row>
    <row r="1213">
      <c r="I1213" s="73">
        <f>IF($A1213="","",$A1213&amp;"|"&amp;$B1213&amp;"|"&amp;$C1213&amp;"|"&amp;$D1213)</f>
        <v/>
      </c>
    </row>
    <row r="1214">
      <c r="I1214" s="73">
        <f>IF($A1214="","",$A1214&amp;"|"&amp;$B1214&amp;"|"&amp;$C1214&amp;"|"&amp;$D1214)</f>
        <v/>
      </c>
    </row>
    <row r="1215">
      <c r="I1215" s="73">
        <f>IF($A1215="","",$A1215&amp;"|"&amp;$B1215&amp;"|"&amp;$C1215&amp;"|"&amp;$D1215)</f>
        <v/>
      </c>
    </row>
    <row r="1216">
      <c r="I1216" s="73">
        <f>IF($A1216="","",$A1216&amp;"|"&amp;$B1216&amp;"|"&amp;$C1216&amp;"|"&amp;$D1216)</f>
        <v/>
      </c>
    </row>
    <row r="1217">
      <c r="I1217" s="73">
        <f>IF($A1217="","",$A1217&amp;"|"&amp;$B1217&amp;"|"&amp;$C1217&amp;"|"&amp;$D1217)</f>
        <v/>
      </c>
    </row>
    <row r="1218">
      <c r="I1218" s="73">
        <f>IF($A1218="","",$A1218&amp;"|"&amp;$B1218&amp;"|"&amp;$C1218&amp;"|"&amp;$D1218)</f>
        <v/>
      </c>
    </row>
    <row r="1219">
      <c r="I1219" s="73">
        <f>IF($A1219="","",$A1219&amp;"|"&amp;$B1219&amp;"|"&amp;$C1219&amp;"|"&amp;$D1219)</f>
        <v/>
      </c>
    </row>
    <row r="1220">
      <c r="I1220" s="73">
        <f>IF($A1220="","",$A1220&amp;"|"&amp;$B1220&amp;"|"&amp;$C1220&amp;"|"&amp;$D1220)</f>
        <v/>
      </c>
    </row>
    <row r="1221">
      <c r="I1221" s="73">
        <f>IF($A1221="","",$A1221&amp;"|"&amp;$B1221&amp;"|"&amp;$C1221&amp;"|"&amp;$D1221)</f>
        <v/>
      </c>
    </row>
    <row r="1222">
      <c r="I1222" s="73">
        <f>IF($A1222="","",$A1222&amp;"|"&amp;$B1222&amp;"|"&amp;$C1222&amp;"|"&amp;$D1222)</f>
        <v/>
      </c>
    </row>
    <row r="1223">
      <c r="I1223" s="73">
        <f>IF($A1223="","",$A1223&amp;"|"&amp;$B1223&amp;"|"&amp;$C1223&amp;"|"&amp;$D1223)</f>
        <v/>
      </c>
    </row>
    <row r="1224">
      <c r="I1224" s="73">
        <f>IF($A1224="","",$A1224&amp;"|"&amp;$B1224&amp;"|"&amp;$C1224&amp;"|"&amp;$D1224)</f>
        <v/>
      </c>
    </row>
    <row r="1225">
      <c r="I1225" s="73">
        <f>IF($A1225="","",$A1225&amp;"|"&amp;$B1225&amp;"|"&amp;$C1225&amp;"|"&amp;$D1225)</f>
        <v/>
      </c>
    </row>
    <row r="1226">
      <c r="I1226" s="73">
        <f>IF($A1226="","",$A1226&amp;"|"&amp;$B1226&amp;"|"&amp;$C1226&amp;"|"&amp;$D1226)</f>
        <v/>
      </c>
    </row>
    <row r="1227">
      <c r="I1227" s="73">
        <f>IF($A1227="","",$A1227&amp;"|"&amp;$B1227&amp;"|"&amp;$C1227&amp;"|"&amp;$D1227)</f>
        <v/>
      </c>
    </row>
    <row r="1228">
      <c r="I1228" s="73">
        <f>IF($A1228="","",$A1228&amp;"|"&amp;$B1228&amp;"|"&amp;$C1228&amp;"|"&amp;$D1228)</f>
        <v/>
      </c>
    </row>
    <row r="1229">
      <c r="I1229" s="73">
        <f>IF($A1229="","",$A1229&amp;"|"&amp;$B1229&amp;"|"&amp;$C1229&amp;"|"&amp;$D1229)</f>
        <v/>
      </c>
    </row>
    <row r="1230">
      <c r="I1230" s="73">
        <f>IF($A1230="","",$A1230&amp;"|"&amp;$B1230&amp;"|"&amp;$C1230&amp;"|"&amp;$D1230)</f>
        <v/>
      </c>
    </row>
    <row r="1231">
      <c r="I1231" s="73">
        <f>IF($A1231="","",$A1231&amp;"|"&amp;$B1231&amp;"|"&amp;$C1231&amp;"|"&amp;$D1231)</f>
        <v/>
      </c>
    </row>
    <row r="1232">
      <c r="I1232" s="73">
        <f>IF($A1232="","",$A1232&amp;"|"&amp;$B1232&amp;"|"&amp;$C1232&amp;"|"&amp;$D1232)</f>
        <v/>
      </c>
    </row>
    <row r="1233">
      <c r="I1233" s="73">
        <f>IF($A1233="","",$A1233&amp;"|"&amp;$B1233&amp;"|"&amp;$C1233&amp;"|"&amp;$D1233)</f>
        <v/>
      </c>
    </row>
    <row r="1234">
      <c r="I1234" s="73">
        <f>IF($A1234="","",$A1234&amp;"|"&amp;$B1234&amp;"|"&amp;$C1234&amp;"|"&amp;$D1234)</f>
        <v/>
      </c>
    </row>
    <row r="1235">
      <c r="I1235" s="73">
        <f>IF($A1235="","",$A1235&amp;"|"&amp;$B1235&amp;"|"&amp;$C1235&amp;"|"&amp;$D1235)</f>
        <v/>
      </c>
    </row>
    <row r="1236">
      <c r="I1236" s="73">
        <f>IF($A1236="","",$A1236&amp;"|"&amp;$B1236&amp;"|"&amp;$C1236&amp;"|"&amp;$D1236)</f>
        <v/>
      </c>
    </row>
    <row r="1237">
      <c r="I1237" s="73">
        <f>IF($A1237="","",$A1237&amp;"|"&amp;$B1237&amp;"|"&amp;$C1237&amp;"|"&amp;$D1237)</f>
        <v/>
      </c>
    </row>
    <row r="1238">
      <c r="I1238" s="73">
        <f>IF($A1238="","",$A1238&amp;"|"&amp;$B1238&amp;"|"&amp;$C1238&amp;"|"&amp;$D1238)</f>
        <v/>
      </c>
    </row>
    <row r="1239">
      <c r="I1239" s="73">
        <f>IF($A1239="","",$A1239&amp;"|"&amp;$B1239&amp;"|"&amp;$C1239&amp;"|"&amp;$D1239)</f>
        <v/>
      </c>
    </row>
    <row r="1240">
      <c r="I1240" s="73">
        <f>IF($A1240="","",$A1240&amp;"|"&amp;$B1240&amp;"|"&amp;$C1240&amp;"|"&amp;$D1240)</f>
        <v/>
      </c>
    </row>
    <row r="1241">
      <c r="I1241" s="73">
        <f>IF($A1241="","",$A1241&amp;"|"&amp;$B1241&amp;"|"&amp;$C1241&amp;"|"&amp;$D1241)</f>
        <v/>
      </c>
    </row>
    <row r="1242">
      <c r="I1242" s="73">
        <f>IF($A1242="","",$A1242&amp;"|"&amp;$B1242&amp;"|"&amp;$C1242&amp;"|"&amp;$D1242)</f>
        <v/>
      </c>
    </row>
    <row r="1243">
      <c r="I1243" s="73">
        <f>IF($A1243="","",$A1243&amp;"|"&amp;$B1243&amp;"|"&amp;$C1243&amp;"|"&amp;$D1243)</f>
        <v/>
      </c>
    </row>
    <row r="1244">
      <c r="I1244" s="73">
        <f>IF($A1244="","",$A1244&amp;"|"&amp;$B1244&amp;"|"&amp;$C1244&amp;"|"&amp;$D1244)</f>
        <v/>
      </c>
    </row>
    <row r="1245">
      <c r="I1245" s="73">
        <f>IF($A1245="","",$A1245&amp;"|"&amp;$B1245&amp;"|"&amp;$C1245&amp;"|"&amp;$D1245)</f>
        <v/>
      </c>
    </row>
    <row r="1246">
      <c r="I1246" s="73">
        <f>IF($A1246="","",$A1246&amp;"|"&amp;$B1246&amp;"|"&amp;$C1246&amp;"|"&amp;$D1246)</f>
        <v/>
      </c>
    </row>
    <row r="1247">
      <c r="I1247" s="73">
        <f>IF($A1247="","",$A1247&amp;"|"&amp;$B1247&amp;"|"&amp;$C1247&amp;"|"&amp;$D1247)</f>
        <v/>
      </c>
    </row>
    <row r="1248">
      <c r="I1248" s="73">
        <f>IF($A1248="","",$A1248&amp;"|"&amp;$B1248&amp;"|"&amp;$C1248&amp;"|"&amp;$D1248)</f>
        <v/>
      </c>
    </row>
    <row r="1249">
      <c r="I1249" s="73">
        <f>IF($A1249="","",$A1249&amp;"|"&amp;$B1249&amp;"|"&amp;$C1249&amp;"|"&amp;$D1249)</f>
        <v/>
      </c>
    </row>
    <row r="1250">
      <c r="I1250" s="73">
        <f>IF($A1250="","",$A1250&amp;"|"&amp;$B1250&amp;"|"&amp;$C1250&amp;"|"&amp;$D1250)</f>
        <v/>
      </c>
    </row>
    <row r="1251">
      <c r="I1251" s="73">
        <f>IF($A1251="","",$A1251&amp;"|"&amp;$B1251&amp;"|"&amp;$C1251&amp;"|"&amp;$D1251)</f>
        <v/>
      </c>
    </row>
    <row r="1252">
      <c r="I1252" s="73">
        <f>IF($A1252="","",$A1252&amp;"|"&amp;$B1252&amp;"|"&amp;$C1252&amp;"|"&amp;$D1252)</f>
        <v/>
      </c>
    </row>
    <row r="1253">
      <c r="I1253" s="73">
        <f>IF($A1253="","",$A1253&amp;"|"&amp;$B1253&amp;"|"&amp;$C1253&amp;"|"&amp;$D1253)</f>
        <v/>
      </c>
    </row>
    <row r="1254">
      <c r="I1254" s="73">
        <f>IF($A1254="","",$A1254&amp;"|"&amp;$B1254&amp;"|"&amp;$C1254&amp;"|"&amp;$D1254)</f>
        <v/>
      </c>
    </row>
    <row r="1255">
      <c r="I1255" s="73">
        <f>IF($A1255="","",$A1255&amp;"|"&amp;$B1255&amp;"|"&amp;$C1255&amp;"|"&amp;$D1255)</f>
        <v/>
      </c>
    </row>
    <row r="1256">
      <c r="I1256" s="73">
        <f>IF($A1256="","",$A1256&amp;"|"&amp;$B1256&amp;"|"&amp;$C1256&amp;"|"&amp;$D1256)</f>
        <v/>
      </c>
    </row>
    <row r="1257">
      <c r="I1257" s="73">
        <f>IF($A1257="","",$A1257&amp;"|"&amp;$B1257&amp;"|"&amp;$C1257&amp;"|"&amp;$D1257)</f>
        <v/>
      </c>
    </row>
    <row r="1258">
      <c r="I1258" s="73">
        <f>IF($A1258="","",$A1258&amp;"|"&amp;$B1258&amp;"|"&amp;$C1258&amp;"|"&amp;$D1258)</f>
        <v/>
      </c>
    </row>
    <row r="1259">
      <c r="I1259" s="73">
        <f>IF($A1259="","",$A1259&amp;"|"&amp;$B1259&amp;"|"&amp;$C1259&amp;"|"&amp;$D1259)</f>
        <v/>
      </c>
    </row>
    <row r="1260">
      <c r="I1260" s="73">
        <f>IF($A1260="","",$A1260&amp;"|"&amp;$B1260&amp;"|"&amp;$C1260&amp;"|"&amp;$D1260)</f>
        <v/>
      </c>
    </row>
    <row r="1261">
      <c r="I1261" s="73">
        <f>IF($A1261="","",$A1261&amp;"|"&amp;$B1261&amp;"|"&amp;$C1261&amp;"|"&amp;$D1261)</f>
        <v/>
      </c>
    </row>
    <row r="1262">
      <c r="I1262" s="73">
        <f>IF($A1262="","",$A1262&amp;"|"&amp;$B1262&amp;"|"&amp;$C1262&amp;"|"&amp;$D1262)</f>
        <v/>
      </c>
    </row>
    <row r="1263">
      <c r="I1263" s="73">
        <f>IF($A1263="","",$A1263&amp;"|"&amp;$B1263&amp;"|"&amp;$C1263&amp;"|"&amp;$D1263)</f>
        <v/>
      </c>
    </row>
    <row r="1264">
      <c r="I1264" s="73">
        <f>IF($A1264="","",$A1264&amp;"|"&amp;$B1264&amp;"|"&amp;$C1264&amp;"|"&amp;$D1264)</f>
        <v/>
      </c>
    </row>
    <row r="1265">
      <c r="I1265" s="73">
        <f>IF($A1265="","",$A1265&amp;"|"&amp;$B1265&amp;"|"&amp;$C1265&amp;"|"&amp;$D1265)</f>
        <v/>
      </c>
    </row>
    <row r="1266">
      <c r="I1266" s="73">
        <f>IF($A1266="","",$A1266&amp;"|"&amp;$B1266&amp;"|"&amp;$C1266&amp;"|"&amp;$D1266)</f>
        <v/>
      </c>
    </row>
    <row r="1267">
      <c r="I1267" s="73">
        <f>IF($A1267="","",$A1267&amp;"|"&amp;$B1267&amp;"|"&amp;$C1267&amp;"|"&amp;$D1267)</f>
        <v/>
      </c>
    </row>
    <row r="1268">
      <c r="I1268" s="73">
        <f>IF($A1268="","",$A1268&amp;"|"&amp;$B1268&amp;"|"&amp;$C1268&amp;"|"&amp;$D1268)</f>
        <v/>
      </c>
    </row>
    <row r="1269">
      <c r="I1269" s="73">
        <f>IF($A1269="","",$A1269&amp;"|"&amp;$B1269&amp;"|"&amp;$C1269&amp;"|"&amp;$D1269)</f>
        <v/>
      </c>
    </row>
    <row r="1270">
      <c r="I1270" s="73">
        <f>IF($A1270="","",$A1270&amp;"|"&amp;$B1270&amp;"|"&amp;$C1270&amp;"|"&amp;$D1270)</f>
        <v/>
      </c>
    </row>
    <row r="1271">
      <c r="I1271" s="73">
        <f>IF($A1271="","",$A1271&amp;"|"&amp;$B1271&amp;"|"&amp;$C1271&amp;"|"&amp;$D1271)</f>
        <v/>
      </c>
    </row>
    <row r="1272">
      <c r="I1272" s="73">
        <f>IF($A1272="","",$A1272&amp;"|"&amp;$B1272&amp;"|"&amp;$C1272&amp;"|"&amp;$D1272)</f>
        <v/>
      </c>
    </row>
    <row r="1273">
      <c r="I1273" s="73">
        <f>IF($A1273="","",$A1273&amp;"|"&amp;$B1273&amp;"|"&amp;$C1273&amp;"|"&amp;$D1273)</f>
        <v/>
      </c>
    </row>
    <row r="1274">
      <c r="I1274" s="73">
        <f>IF($A1274="","",$A1274&amp;"|"&amp;$B1274&amp;"|"&amp;$C1274&amp;"|"&amp;$D1274)</f>
        <v/>
      </c>
    </row>
    <row r="1275">
      <c r="I1275" s="73">
        <f>IF($A1275="","",$A1275&amp;"|"&amp;$B1275&amp;"|"&amp;$C1275&amp;"|"&amp;$D1275)</f>
        <v/>
      </c>
    </row>
    <row r="1276">
      <c r="I1276" s="73">
        <f>IF($A1276="","",$A1276&amp;"|"&amp;$B1276&amp;"|"&amp;$C1276&amp;"|"&amp;$D1276)</f>
        <v/>
      </c>
    </row>
    <row r="1277">
      <c r="I1277" s="73">
        <f>IF($A1277="","",$A1277&amp;"|"&amp;$B1277&amp;"|"&amp;$C1277&amp;"|"&amp;$D1277)</f>
        <v/>
      </c>
    </row>
    <row r="1278">
      <c r="I1278" s="73">
        <f>IF($A1278="","",$A1278&amp;"|"&amp;$B1278&amp;"|"&amp;$C1278&amp;"|"&amp;$D1278)</f>
        <v/>
      </c>
    </row>
    <row r="1279">
      <c r="I1279" s="73">
        <f>IF($A1279="","",$A1279&amp;"|"&amp;$B1279&amp;"|"&amp;$C1279&amp;"|"&amp;$D1279)</f>
        <v/>
      </c>
    </row>
    <row r="1280">
      <c r="I1280" s="73">
        <f>IF($A1280="","",$A1280&amp;"|"&amp;$B1280&amp;"|"&amp;$C1280&amp;"|"&amp;$D1280)</f>
        <v/>
      </c>
    </row>
    <row r="1281">
      <c r="I1281" s="73">
        <f>IF($A1281="","",$A1281&amp;"|"&amp;$B1281&amp;"|"&amp;$C1281&amp;"|"&amp;$D1281)</f>
        <v/>
      </c>
    </row>
    <row r="1282">
      <c r="I1282" s="73">
        <f>IF($A1282="","",$A1282&amp;"|"&amp;$B1282&amp;"|"&amp;$C1282&amp;"|"&amp;$D1282)</f>
        <v/>
      </c>
    </row>
    <row r="1283">
      <c r="I1283" s="73">
        <f>IF($A1283="","",$A1283&amp;"|"&amp;$B1283&amp;"|"&amp;$C1283&amp;"|"&amp;$D1283)</f>
        <v/>
      </c>
    </row>
    <row r="1284">
      <c r="I1284" s="73">
        <f>IF($A1284="","",$A1284&amp;"|"&amp;$B1284&amp;"|"&amp;$C1284&amp;"|"&amp;$D1284)</f>
        <v/>
      </c>
    </row>
    <row r="1285">
      <c r="I1285" s="73">
        <f>IF($A1285="","",$A1285&amp;"|"&amp;$B1285&amp;"|"&amp;$C1285&amp;"|"&amp;$D1285)</f>
        <v/>
      </c>
    </row>
    <row r="1286">
      <c r="I1286" s="73">
        <f>IF($A1286="","",$A1286&amp;"|"&amp;$B1286&amp;"|"&amp;$C1286&amp;"|"&amp;$D1286)</f>
        <v/>
      </c>
    </row>
    <row r="1287">
      <c r="I1287" s="73">
        <f>IF($A1287="","",$A1287&amp;"|"&amp;$B1287&amp;"|"&amp;$C1287&amp;"|"&amp;$D1287)</f>
        <v/>
      </c>
    </row>
    <row r="1288">
      <c r="I1288" s="73">
        <f>IF($A1288="","",$A1288&amp;"|"&amp;$B1288&amp;"|"&amp;$C1288&amp;"|"&amp;$D1288)</f>
        <v/>
      </c>
    </row>
    <row r="1289">
      <c r="I1289" s="73">
        <f>IF($A1289="","",$A1289&amp;"|"&amp;$B1289&amp;"|"&amp;$C1289&amp;"|"&amp;$D1289)</f>
        <v/>
      </c>
    </row>
    <row r="1290">
      <c r="I1290" s="73">
        <f>IF($A1290="","",$A1290&amp;"|"&amp;$B1290&amp;"|"&amp;$C1290&amp;"|"&amp;$D1290)</f>
        <v/>
      </c>
    </row>
    <row r="1291">
      <c r="I1291" s="73">
        <f>IF($A1291="","",$A1291&amp;"|"&amp;$B1291&amp;"|"&amp;$C1291&amp;"|"&amp;$D1291)</f>
        <v/>
      </c>
    </row>
    <row r="1292">
      <c r="I1292" s="73">
        <f>IF($A1292="","",$A1292&amp;"|"&amp;$B1292&amp;"|"&amp;$C1292&amp;"|"&amp;$D1292)</f>
        <v/>
      </c>
    </row>
    <row r="1293">
      <c r="I1293" s="73">
        <f>IF($A1293="","",$A1293&amp;"|"&amp;$B1293&amp;"|"&amp;$C1293&amp;"|"&amp;$D1293)</f>
        <v/>
      </c>
    </row>
    <row r="1294">
      <c r="I1294" s="73">
        <f>IF($A1294="","",$A1294&amp;"|"&amp;$B1294&amp;"|"&amp;$C1294&amp;"|"&amp;$D1294)</f>
        <v/>
      </c>
    </row>
    <row r="1295">
      <c r="I1295" s="73">
        <f>IF($A1295="","",$A1295&amp;"|"&amp;$B1295&amp;"|"&amp;$C1295&amp;"|"&amp;$D1295)</f>
        <v/>
      </c>
    </row>
    <row r="1296">
      <c r="I1296" s="73">
        <f>IF($A1296="","",$A1296&amp;"|"&amp;$B1296&amp;"|"&amp;$C1296&amp;"|"&amp;$D1296)</f>
        <v/>
      </c>
    </row>
    <row r="1297">
      <c r="I1297" s="73">
        <f>IF($A1297="","",$A1297&amp;"|"&amp;$B1297&amp;"|"&amp;$C1297&amp;"|"&amp;$D1297)</f>
        <v/>
      </c>
    </row>
    <row r="1298">
      <c r="I1298" s="73">
        <f>IF($A1298="","",$A1298&amp;"|"&amp;$B1298&amp;"|"&amp;$C1298&amp;"|"&amp;$D1298)</f>
        <v/>
      </c>
    </row>
    <row r="1299">
      <c r="I1299" s="73">
        <f>IF($A1299="","",$A1299&amp;"|"&amp;$B1299&amp;"|"&amp;$C1299&amp;"|"&amp;$D1299)</f>
        <v/>
      </c>
    </row>
    <row r="1300">
      <c r="I1300" s="73">
        <f>IF($A1300="","",$A1300&amp;"|"&amp;$B1300&amp;"|"&amp;$C1300&amp;"|"&amp;$D1300)</f>
        <v/>
      </c>
    </row>
    <row r="1301">
      <c r="I1301" s="73">
        <f>IF($A1301="","",$A1301&amp;"|"&amp;$B1301&amp;"|"&amp;$C1301&amp;"|"&amp;$D1301)</f>
        <v/>
      </c>
    </row>
    <row r="1302">
      <c r="I1302" s="73">
        <f>IF($A1302="","",$A1302&amp;"|"&amp;$B1302&amp;"|"&amp;$C1302&amp;"|"&amp;$D1302)</f>
        <v/>
      </c>
    </row>
    <row r="1303">
      <c r="I1303" s="73">
        <f>IF($A1303="","",$A1303&amp;"|"&amp;$B1303&amp;"|"&amp;$C1303&amp;"|"&amp;$D1303)</f>
        <v/>
      </c>
    </row>
    <row r="1304">
      <c r="I1304" s="73">
        <f>IF($A1304="","",$A1304&amp;"|"&amp;$B1304&amp;"|"&amp;$C1304&amp;"|"&amp;$D1304)</f>
        <v/>
      </c>
    </row>
    <row r="1305">
      <c r="I1305" s="73">
        <f>IF($A1305="","",$A1305&amp;"|"&amp;$B1305&amp;"|"&amp;$C1305&amp;"|"&amp;$D1305)</f>
        <v/>
      </c>
    </row>
    <row r="1306">
      <c r="I1306" s="73">
        <f>IF($A1306="","",$A1306&amp;"|"&amp;$B1306&amp;"|"&amp;$C1306&amp;"|"&amp;$D1306)</f>
        <v/>
      </c>
    </row>
    <row r="1307">
      <c r="I1307" s="73">
        <f>IF($A1307="","",$A1307&amp;"|"&amp;$B1307&amp;"|"&amp;$C1307&amp;"|"&amp;$D1307)</f>
        <v/>
      </c>
    </row>
    <row r="1308">
      <c r="I1308" s="73">
        <f>IF($A1308="","",$A1308&amp;"|"&amp;$B1308&amp;"|"&amp;$C1308&amp;"|"&amp;$D1308)</f>
        <v/>
      </c>
    </row>
    <row r="1309">
      <c r="I1309" s="73">
        <f>IF($A1309="","",$A1309&amp;"|"&amp;$B1309&amp;"|"&amp;$C1309&amp;"|"&amp;$D1309)</f>
        <v/>
      </c>
    </row>
    <row r="1310">
      <c r="I1310" s="73">
        <f>IF($A1310="","",$A1310&amp;"|"&amp;$B1310&amp;"|"&amp;$C1310&amp;"|"&amp;$D1310)</f>
        <v/>
      </c>
    </row>
    <row r="1311">
      <c r="I1311" s="73">
        <f>IF($A1311="","",$A1311&amp;"|"&amp;$B1311&amp;"|"&amp;$C1311&amp;"|"&amp;$D1311)</f>
        <v/>
      </c>
    </row>
    <row r="1312">
      <c r="I1312" s="73">
        <f>IF($A1312="","",$A1312&amp;"|"&amp;$B1312&amp;"|"&amp;$C1312&amp;"|"&amp;$D1312)</f>
        <v/>
      </c>
    </row>
    <row r="1313">
      <c r="I1313" s="73">
        <f>IF($A1313="","",$A1313&amp;"|"&amp;$B1313&amp;"|"&amp;$C1313&amp;"|"&amp;$D1313)</f>
        <v/>
      </c>
    </row>
    <row r="1314">
      <c r="I1314" s="73">
        <f>IF($A1314="","",$A1314&amp;"|"&amp;$B1314&amp;"|"&amp;$C1314&amp;"|"&amp;$D1314)</f>
        <v/>
      </c>
    </row>
    <row r="1315">
      <c r="I1315" s="73">
        <f>IF($A1315="","",$A1315&amp;"|"&amp;$B1315&amp;"|"&amp;$C1315&amp;"|"&amp;$D1315)</f>
        <v/>
      </c>
    </row>
    <row r="1316">
      <c r="I1316" s="73">
        <f>IF($A1316="","",$A1316&amp;"|"&amp;$B1316&amp;"|"&amp;$C1316&amp;"|"&amp;$D1316)</f>
        <v/>
      </c>
    </row>
    <row r="1317">
      <c r="I1317" s="73">
        <f>IF($A1317="","",$A1317&amp;"|"&amp;$B1317&amp;"|"&amp;$C1317&amp;"|"&amp;$D1317)</f>
        <v/>
      </c>
    </row>
    <row r="1318">
      <c r="I1318" s="73">
        <f>IF($A1318="","",$A1318&amp;"|"&amp;$B1318&amp;"|"&amp;$C1318&amp;"|"&amp;$D1318)</f>
        <v/>
      </c>
    </row>
    <row r="1319">
      <c r="I1319" s="73">
        <f>IF($A1319="","",$A1319&amp;"|"&amp;$B1319&amp;"|"&amp;$C1319&amp;"|"&amp;$D1319)</f>
        <v/>
      </c>
    </row>
    <row r="1320">
      <c r="I1320" s="73">
        <f>IF($A1320="","",$A1320&amp;"|"&amp;$B1320&amp;"|"&amp;$C1320&amp;"|"&amp;$D1320)</f>
        <v/>
      </c>
    </row>
    <row r="1321">
      <c r="I1321" s="73">
        <f>IF($A1321="","",$A1321&amp;"|"&amp;$B1321&amp;"|"&amp;$C1321&amp;"|"&amp;$D1321)</f>
        <v/>
      </c>
    </row>
    <row r="1322">
      <c r="I1322" s="73">
        <f>IF($A1322="","",$A1322&amp;"|"&amp;$B1322&amp;"|"&amp;$C1322&amp;"|"&amp;$D1322)</f>
        <v/>
      </c>
    </row>
    <row r="1323">
      <c r="I1323" s="73">
        <f>IF($A1323="","",$A1323&amp;"|"&amp;$B1323&amp;"|"&amp;$C1323&amp;"|"&amp;$D1323)</f>
        <v/>
      </c>
    </row>
    <row r="1324">
      <c r="I1324" s="73">
        <f>IF($A1324="","",$A1324&amp;"|"&amp;$B1324&amp;"|"&amp;$C1324&amp;"|"&amp;$D1324)</f>
        <v/>
      </c>
    </row>
    <row r="1325">
      <c r="I1325" s="73">
        <f>IF($A1325="","",$A1325&amp;"|"&amp;$B1325&amp;"|"&amp;$C1325&amp;"|"&amp;$D1325)</f>
        <v/>
      </c>
    </row>
    <row r="1326">
      <c r="I1326" s="73">
        <f>IF($A1326="","",$A1326&amp;"|"&amp;$B1326&amp;"|"&amp;$C1326&amp;"|"&amp;$D1326)</f>
        <v/>
      </c>
    </row>
    <row r="1327">
      <c r="I1327" s="73">
        <f>IF($A1327="","",$A1327&amp;"|"&amp;$B1327&amp;"|"&amp;$C1327&amp;"|"&amp;$D1327)</f>
        <v/>
      </c>
    </row>
    <row r="1328">
      <c r="I1328" s="73">
        <f>IF($A1328="","",$A1328&amp;"|"&amp;$B1328&amp;"|"&amp;$C1328&amp;"|"&amp;$D1328)</f>
        <v/>
      </c>
    </row>
    <row r="1329">
      <c r="I1329" s="73">
        <f>IF($A1329="","",$A1329&amp;"|"&amp;$B1329&amp;"|"&amp;$C1329&amp;"|"&amp;$D1329)</f>
        <v/>
      </c>
    </row>
    <row r="1330">
      <c r="I1330" s="73">
        <f>IF($A1330="","",$A1330&amp;"|"&amp;$B1330&amp;"|"&amp;$C1330&amp;"|"&amp;$D1330)</f>
        <v/>
      </c>
    </row>
    <row r="1331">
      <c r="I1331" s="73">
        <f>IF($A1331="","",$A1331&amp;"|"&amp;$B1331&amp;"|"&amp;$C1331&amp;"|"&amp;$D1331)</f>
        <v/>
      </c>
    </row>
    <row r="1332">
      <c r="I1332" s="73">
        <f>IF($A1332="","",$A1332&amp;"|"&amp;$B1332&amp;"|"&amp;$C1332&amp;"|"&amp;$D1332)</f>
        <v/>
      </c>
    </row>
    <row r="1333">
      <c r="I1333" s="73">
        <f>IF($A1333="","",$A1333&amp;"|"&amp;$B1333&amp;"|"&amp;$C1333&amp;"|"&amp;$D1333)</f>
        <v/>
      </c>
    </row>
    <row r="1334">
      <c r="I1334" s="73">
        <f>IF($A1334="","",$A1334&amp;"|"&amp;$B1334&amp;"|"&amp;$C1334&amp;"|"&amp;$D1334)</f>
        <v/>
      </c>
    </row>
    <row r="1335">
      <c r="I1335" s="73">
        <f>IF($A1335="","",$A1335&amp;"|"&amp;$B1335&amp;"|"&amp;$C1335&amp;"|"&amp;$D1335)</f>
        <v/>
      </c>
    </row>
    <row r="1336">
      <c r="I1336" s="73">
        <f>IF($A1336="","",$A1336&amp;"|"&amp;$B1336&amp;"|"&amp;$C1336&amp;"|"&amp;$D1336)</f>
        <v/>
      </c>
    </row>
    <row r="1337">
      <c r="I1337" s="73">
        <f>IF($A1337="","",$A1337&amp;"|"&amp;$B1337&amp;"|"&amp;$C1337&amp;"|"&amp;$D1337)</f>
        <v/>
      </c>
    </row>
    <row r="1338">
      <c r="I1338" s="73">
        <f>IF($A1338="","",$A1338&amp;"|"&amp;$B1338&amp;"|"&amp;$C1338&amp;"|"&amp;$D1338)</f>
        <v/>
      </c>
    </row>
    <row r="1339">
      <c r="I1339" s="73">
        <f>IF($A1339="","",$A1339&amp;"|"&amp;$B1339&amp;"|"&amp;$C1339&amp;"|"&amp;$D1339)</f>
        <v/>
      </c>
    </row>
    <row r="1340">
      <c r="I1340" s="73">
        <f>IF($A1340="","",$A1340&amp;"|"&amp;$B1340&amp;"|"&amp;$C1340&amp;"|"&amp;$D1340)</f>
        <v/>
      </c>
    </row>
    <row r="1341">
      <c r="I1341" s="73">
        <f>IF($A1341="","",$A1341&amp;"|"&amp;$B1341&amp;"|"&amp;$C1341&amp;"|"&amp;$D1341)</f>
        <v/>
      </c>
    </row>
    <row r="1342">
      <c r="I1342" s="73">
        <f>IF($A1342="","",$A1342&amp;"|"&amp;$B1342&amp;"|"&amp;$C1342&amp;"|"&amp;$D1342)</f>
        <v/>
      </c>
    </row>
    <row r="1343">
      <c r="I1343" s="73">
        <f>IF($A1343="","",$A1343&amp;"|"&amp;$B1343&amp;"|"&amp;$C1343&amp;"|"&amp;$D1343)</f>
        <v/>
      </c>
    </row>
    <row r="1344">
      <c r="I1344" s="73">
        <f>IF($A1344="","",$A1344&amp;"|"&amp;$B1344&amp;"|"&amp;$C1344&amp;"|"&amp;$D1344)</f>
        <v/>
      </c>
    </row>
    <row r="1345">
      <c r="I1345" s="73">
        <f>IF($A1345="","",$A1345&amp;"|"&amp;$B1345&amp;"|"&amp;$C1345&amp;"|"&amp;$D1345)</f>
        <v/>
      </c>
    </row>
    <row r="1346">
      <c r="I1346" s="73">
        <f>IF($A1346="","",$A1346&amp;"|"&amp;$B1346&amp;"|"&amp;$C1346&amp;"|"&amp;$D1346)</f>
        <v/>
      </c>
    </row>
    <row r="1347">
      <c r="I1347" s="73">
        <f>IF($A1347="","",$A1347&amp;"|"&amp;$B1347&amp;"|"&amp;$C1347&amp;"|"&amp;$D1347)</f>
        <v/>
      </c>
    </row>
    <row r="1348">
      <c r="I1348" s="73">
        <f>IF($A1348="","",$A1348&amp;"|"&amp;$B1348&amp;"|"&amp;$C1348&amp;"|"&amp;$D1348)</f>
        <v/>
      </c>
    </row>
    <row r="1349">
      <c r="I1349" s="73">
        <f>IF($A1349="","",$A1349&amp;"|"&amp;$B1349&amp;"|"&amp;$C1349&amp;"|"&amp;$D1349)</f>
        <v/>
      </c>
    </row>
    <row r="1350">
      <c r="I1350" s="73">
        <f>IF($A1350="","",$A1350&amp;"|"&amp;$B1350&amp;"|"&amp;$C1350&amp;"|"&amp;$D1350)</f>
        <v/>
      </c>
    </row>
    <row r="1351">
      <c r="I1351" s="73">
        <f>IF($A1351="","",$A1351&amp;"|"&amp;$B1351&amp;"|"&amp;$C1351&amp;"|"&amp;$D1351)</f>
        <v/>
      </c>
    </row>
    <row r="1352">
      <c r="I1352" s="73">
        <f>IF($A1352="","",$A1352&amp;"|"&amp;$B1352&amp;"|"&amp;$C1352&amp;"|"&amp;$D1352)</f>
        <v/>
      </c>
    </row>
    <row r="1353">
      <c r="I1353" s="73">
        <f>IF($A1353="","",$A1353&amp;"|"&amp;$B1353&amp;"|"&amp;$C1353&amp;"|"&amp;$D1353)</f>
        <v/>
      </c>
    </row>
    <row r="1354">
      <c r="I1354" s="73">
        <f>IF($A1354="","",$A1354&amp;"|"&amp;$B1354&amp;"|"&amp;$C1354&amp;"|"&amp;$D1354)</f>
        <v/>
      </c>
    </row>
    <row r="1355">
      <c r="I1355" s="73">
        <f>IF($A1355="","",$A1355&amp;"|"&amp;$B1355&amp;"|"&amp;$C1355&amp;"|"&amp;$D1355)</f>
        <v/>
      </c>
    </row>
    <row r="1356">
      <c r="I1356" s="73">
        <f>IF($A1356="","",$A1356&amp;"|"&amp;$B1356&amp;"|"&amp;$C1356&amp;"|"&amp;$D1356)</f>
        <v/>
      </c>
    </row>
    <row r="1357">
      <c r="I1357" s="73">
        <f>IF($A1357="","",$A1357&amp;"|"&amp;$B1357&amp;"|"&amp;$C1357&amp;"|"&amp;$D1357)</f>
        <v/>
      </c>
    </row>
    <row r="1358">
      <c r="I1358" s="73">
        <f>IF($A1358="","",$A1358&amp;"|"&amp;$B1358&amp;"|"&amp;$C1358&amp;"|"&amp;$D1358)</f>
        <v/>
      </c>
    </row>
    <row r="1359">
      <c r="I1359" s="73">
        <f>IF($A1359="","",$A1359&amp;"|"&amp;$B1359&amp;"|"&amp;$C1359&amp;"|"&amp;$D1359)</f>
        <v/>
      </c>
    </row>
    <row r="1360">
      <c r="I1360" s="73">
        <f>IF($A1360="","",$A1360&amp;"|"&amp;$B1360&amp;"|"&amp;$C1360&amp;"|"&amp;$D1360)</f>
        <v/>
      </c>
    </row>
    <row r="1361">
      <c r="I1361" s="73">
        <f>IF($A1361="","",$A1361&amp;"|"&amp;$B1361&amp;"|"&amp;$C1361&amp;"|"&amp;$D1361)</f>
        <v/>
      </c>
    </row>
    <row r="1362">
      <c r="I1362" s="73">
        <f>IF($A1362="","",$A1362&amp;"|"&amp;$B1362&amp;"|"&amp;$C1362&amp;"|"&amp;$D1362)</f>
        <v/>
      </c>
    </row>
    <row r="1363">
      <c r="I1363" s="73">
        <f>IF($A1363="","",$A1363&amp;"|"&amp;$B1363&amp;"|"&amp;$C1363&amp;"|"&amp;$D1363)</f>
        <v/>
      </c>
    </row>
    <row r="1364">
      <c r="I1364" s="73">
        <f>IF($A1364="","",$A1364&amp;"|"&amp;$B1364&amp;"|"&amp;$C1364&amp;"|"&amp;$D1364)</f>
        <v/>
      </c>
    </row>
    <row r="1365">
      <c r="I1365" s="73">
        <f>IF($A1365="","",$A1365&amp;"|"&amp;$B1365&amp;"|"&amp;$C1365&amp;"|"&amp;$D1365)</f>
        <v/>
      </c>
    </row>
    <row r="1366">
      <c r="I1366" s="73">
        <f>IF($A1366="","",$A1366&amp;"|"&amp;$B1366&amp;"|"&amp;$C1366&amp;"|"&amp;$D1366)</f>
        <v/>
      </c>
    </row>
    <row r="1367">
      <c r="I1367" s="73">
        <f>IF($A1367="","",$A1367&amp;"|"&amp;$B1367&amp;"|"&amp;$C1367&amp;"|"&amp;$D1367)</f>
        <v/>
      </c>
    </row>
    <row r="1368">
      <c r="I1368" s="73">
        <f>IF($A1368="","",$A1368&amp;"|"&amp;$B1368&amp;"|"&amp;$C1368&amp;"|"&amp;$D1368)</f>
        <v/>
      </c>
    </row>
    <row r="1369">
      <c r="I1369" s="73">
        <f>IF($A1369="","",$A1369&amp;"|"&amp;$B1369&amp;"|"&amp;$C1369&amp;"|"&amp;$D1369)</f>
        <v/>
      </c>
    </row>
    <row r="1370">
      <c r="I1370" s="73">
        <f>IF($A1370="","",$A1370&amp;"|"&amp;$B1370&amp;"|"&amp;$C1370&amp;"|"&amp;$D1370)</f>
        <v/>
      </c>
    </row>
    <row r="1371">
      <c r="I1371" s="73">
        <f>IF($A1371="","",$A1371&amp;"|"&amp;$B1371&amp;"|"&amp;$C1371&amp;"|"&amp;$D1371)</f>
        <v/>
      </c>
    </row>
    <row r="1372">
      <c r="I1372" s="73">
        <f>IF($A1372="","",$A1372&amp;"|"&amp;$B1372&amp;"|"&amp;$C1372&amp;"|"&amp;$D1372)</f>
        <v/>
      </c>
    </row>
    <row r="1373">
      <c r="I1373" s="73">
        <f>IF($A1373="","",$A1373&amp;"|"&amp;$B1373&amp;"|"&amp;$C1373&amp;"|"&amp;$D1373)</f>
        <v/>
      </c>
    </row>
    <row r="1374">
      <c r="I1374" s="73">
        <f>IF($A1374="","",$A1374&amp;"|"&amp;$B1374&amp;"|"&amp;$C1374&amp;"|"&amp;$D1374)</f>
        <v/>
      </c>
    </row>
    <row r="1375">
      <c r="I1375" s="73">
        <f>IF($A1375="","",$A1375&amp;"|"&amp;$B1375&amp;"|"&amp;$C1375&amp;"|"&amp;$D1375)</f>
        <v/>
      </c>
    </row>
    <row r="1376">
      <c r="I1376" s="73">
        <f>IF($A1376="","",$A1376&amp;"|"&amp;$B1376&amp;"|"&amp;$C1376&amp;"|"&amp;$D1376)</f>
        <v/>
      </c>
    </row>
    <row r="1377">
      <c r="I1377" s="73">
        <f>IF($A1377="","",$A1377&amp;"|"&amp;$B1377&amp;"|"&amp;$C1377&amp;"|"&amp;$D1377)</f>
        <v/>
      </c>
    </row>
    <row r="1378">
      <c r="I1378" s="73">
        <f>IF($A1378="","",$A1378&amp;"|"&amp;$B1378&amp;"|"&amp;$C1378&amp;"|"&amp;$D1378)</f>
        <v/>
      </c>
    </row>
    <row r="1379">
      <c r="I1379" s="73">
        <f>IF($A1379="","",$A1379&amp;"|"&amp;$B1379&amp;"|"&amp;$C1379&amp;"|"&amp;$D1379)</f>
        <v/>
      </c>
    </row>
    <row r="1380">
      <c r="I1380" s="73">
        <f>IF($A1380="","",$A1380&amp;"|"&amp;$B1380&amp;"|"&amp;$C1380&amp;"|"&amp;$D1380)</f>
        <v/>
      </c>
    </row>
    <row r="1381">
      <c r="I1381" s="73">
        <f>IF($A1381="","",$A1381&amp;"|"&amp;$B1381&amp;"|"&amp;$C1381&amp;"|"&amp;$D1381)</f>
        <v/>
      </c>
    </row>
    <row r="1382">
      <c r="I1382" s="73">
        <f>IF($A1382="","",$A1382&amp;"|"&amp;$B1382&amp;"|"&amp;$C1382&amp;"|"&amp;$D1382)</f>
        <v/>
      </c>
    </row>
    <row r="1383">
      <c r="I1383" s="73">
        <f>IF($A1383="","",$A1383&amp;"|"&amp;$B1383&amp;"|"&amp;$C1383&amp;"|"&amp;$D1383)</f>
        <v/>
      </c>
    </row>
    <row r="1384">
      <c r="I1384" s="73">
        <f>IF($A1384="","",$A1384&amp;"|"&amp;$B1384&amp;"|"&amp;$C1384&amp;"|"&amp;$D1384)</f>
        <v/>
      </c>
    </row>
    <row r="1385">
      <c r="I1385" s="73">
        <f>IF($A1385="","",$A1385&amp;"|"&amp;$B1385&amp;"|"&amp;$C1385&amp;"|"&amp;$D1385)</f>
        <v/>
      </c>
    </row>
    <row r="1386">
      <c r="I1386" s="73">
        <f>IF($A1386="","",$A1386&amp;"|"&amp;$B1386&amp;"|"&amp;$C1386&amp;"|"&amp;$D1386)</f>
        <v/>
      </c>
    </row>
    <row r="1387">
      <c r="I1387" s="73">
        <f>IF($A1387="","",$A1387&amp;"|"&amp;$B1387&amp;"|"&amp;$C1387&amp;"|"&amp;$D1387)</f>
        <v/>
      </c>
    </row>
    <row r="1388">
      <c r="I1388" s="73">
        <f>IF($A1388="","",$A1388&amp;"|"&amp;$B1388&amp;"|"&amp;$C1388&amp;"|"&amp;$D1388)</f>
        <v/>
      </c>
    </row>
    <row r="1389">
      <c r="I1389" s="73">
        <f>IF($A1389="","",$A1389&amp;"|"&amp;$B1389&amp;"|"&amp;$C1389&amp;"|"&amp;$D1389)</f>
        <v/>
      </c>
    </row>
    <row r="1390">
      <c r="I1390" s="73">
        <f>IF($A1390="","",$A1390&amp;"|"&amp;$B1390&amp;"|"&amp;$C1390&amp;"|"&amp;$D1390)</f>
        <v/>
      </c>
    </row>
    <row r="1391">
      <c r="I1391" s="73">
        <f>IF($A1391="","",$A1391&amp;"|"&amp;$B1391&amp;"|"&amp;$C1391&amp;"|"&amp;$D1391)</f>
        <v/>
      </c>
    </row>
    <row r="1392">
      <c r="I1392" s="73">
        <f>IF($A1392="","",$A1392&amp;"|"&amp;$B1392&amp;"|"&amp;$C1392&amp;"|"&amp;$D1392)</f>
        <v/>
      </c>
    </row>
    <row r="1393">
      <c r="I1393" s="73">
        <f>IF($A1393="","",$A1393&amp;"|"&amp;$B1393&amp;"|"&amp;$C1393&amp;"|"&amp;$D1393)</f>
        <v/>
      </c>
    </row>
    <row r="1394">
      <c r="I1394" s="73">
        <f>IF($A1394="","",$A1394&amp;"|"&amp;$B1394&amp;"|"&amp;$C1394&amp;"|"&amp;$D1394)</f>
        <v/>
      </c>
    </row>
    <row r="1395">
      <c r="I1395" s="73">
        <f>IF($A1395="","",$A1395&amp;"|"&amp;$B1395&amp;"|"&amp;$C1395&amp;"|"&amp;$D1395)</f>
        <v/>
      </c>
    </row>
    <row r="1396">
      <c r="I1396" s="73">
        <f>IF($A1396="","",$A1396&amp;"|"&amp;$B1396&amp;"|"&amp;$C1396&amp;"|"&amp;$D1396)</f>
        <v/>
      </c>
    </row>
    <row r="1397">
      <c r="I1397" s="73">
        <f>IF($A1397="","",$A1397&amp;"|"&amp;$B1397&amp;"|"&amp;$C1397&amp;"|"&amp;$D1397)</f>
        <v/>
      </c>
    </row>
    <row r="1398">
      <c r="I1398" s="73">
        <f>IF($A1398="","",$A1398&amp;"|"&amp;$B1398&amp;"|"&amp;$C1398&amp;"|"&amp;$D1398)</f>
        <v/>
      </c>
    </row>
    <row r="1399">
      <c r="I1399" s="73">
        <f>IF($A1399="","",$A1399&amp;"|"&amp;$B1399&amp;"|"&amp;$C1399&amp;"|"&amp;$D1399)</f>
        <v/>
      </c>
    </row>
    <row r="1400">
      <c r="I1400" s="73">
        <f>IF($A1400="","",$A1400&amp;"|"&amp;$B1400&amp;"|"&amp;$C1400&amp;"|"&amp;$D1400)</f>
        <v/>
      </c>
    </row>
    <row r="1401">
      <c r="I1401" s="73">
        <f>IF($A1401="","",$A1401&amp;"|"&amp;$B1401&amp;"|"&amp;$C1401&amp;"|"&amp;$D1401)</f>
        <v/>
      </c>
    </row>
    <row r="1402">
      <c r="I1402" s="73">
        <f>IF($A1402="","",$A1402&amp;"|"&amp;$B1402&amp;"|"&amp;$C1402&amp;"|"&amp;$D1402)</f>
        <v/>
      </c>
    </row>
    <row r="1403">
      <c r="I1403" s="73">
        <f>IF($A1403="","",$A1403&amp;"|"&amp;$B1403&amp;"|"&amp;$C1403&amp;"|"&amp;$D1403)</f>
        <v/>
      </c>
    </row>
    <row r="1404">
      <c r="I1404" s="73">
        <f>IF($A1404="","",$A1404&amp;"|"&amp;$B1404&amp;"|"&amp;$C1404&amp;"|"&amp;$D1404)</f>
        <v/>
      </c>
    </row>
    <row r="1405">
      <c r="I1405" s="73">
        <f>IF($A1405="","",$A1405&amp;"|"&amp;$B1405&amp;"|"&amp;$C1405&amp;"|"&amp;$D1405)</f>
        <v/>
      </c>
    </row>
    <row r="1406">
      <c r="I1406" s="73">
        <f>IF($A1406="","",$A1406&amp;"|"&amp;$B1406&amp;"|"&amp;$C1406&amp;"|"&amp;$D1406)</f>
        <v/>
      </c>
    </row>
    <row r="1407">
      <c r="I1407" s="73">
        <f>IF($A1407="","",$A1407&amp;"|"&amp;$B1407&amp;"|"&amp;$C1407&amp;"|"&amp;$D1407)</f>
        <v/>
      </c>
    </row>
    <row r="1408">
      <c r="I1408" s="73">
        <f>IF($A1408="","",$A1408&amp;"|"&amp;$B1408&amp;"|"&amp;$C1408&amp;"|"&amp;$D1408)</f>
        <v/>
      </c>
    </row>
    <row r="1409">
      <c r="I1409" s="73">
        <f>IF($A1409="","",$A1409&amp;"|"&amp;$B1409&amp;"|"&amp;$C1409&amp;"|"&amp;$D1409)</f>
        <v/>
      </c>
    </row>
    <row r="1410">
      <c r="I1410" s="73">
        <f>IF($A1410="","",$A1410&amp;"|"&amp;$B1410&amp;"|"&amp;$C1410&amp;"|"&amp;$D1410)</f>
        <v/>
      </c>
    </row>
    <row r="1411">
      <c r="I1411" s="73">
        <f>IF($A1411="","",$A1411&amp;"|"&amp;$B1411&amp;"|"&amp;$C1411&amp;"|"&amp;$D1411)</f>
        <v/>
      </c>
    </row>
    <row r="1412">
      <c r="I1412" s="73">
        <f>IF($A1412="","",$A1412&amp;"|"&amp;$B1412&amp;"|"&amp;$C1412&amp;"|"&amp;$D1412)</f>
        <v/>
      </c>
    </row>
    <row r="1413">
      <c r="I1413" s="73">
        <f>IF($A1413="","",$A1413&amp;"|"&amp;$B1413&amp;"|"&amp;$C1413&amp;"|"&amp;$D1413)</f>
        <v/>
      </c>
    </row>
    <row r="1414">
      <c r="I1414" s="73">
        <f>IF($A1414="","",$A1414&amp;"|"&amp;$B1414&amp;"|"&amp;$C1414&amp;"|"&amp;$D1414)</f>
        <v/>
      </c>
    </row>
    <row r="1415">
      <c r="I1415" s="73">
        <f>IF($A1415="","",$A1415&amp;"|"&amp;$B1415&amp;"|"&amp;$C1415&amp;"|"&amp;$D1415)</f>
        <v/>
      </c>
    </row>
    <row r="1416">
      <c r="I1416" s="73">
        <f>IF($A1416="","",$A1416&amp;"|"&amp;$B1416&amp;"|"&amp;$C1416&amp;"|"&amp;$D1416)</f>
        <v/>
      </c>
    </row>
    <row r="1417">
      <c r="I1417" s="73">
        <f>IF($A1417="","",$A1417&amp;"|"&amp;$B1417&amp;"|"&amp;$C1417&amp;"|"&amp;$D1417)</f>
        <v/>
      </c>
    </row>
    <row r="1418">
      <c r="I1418" s="73">
        <f>IF($A1418="","",$A1418&amp;"|"&amp;$B1418&amp;"|"&amp;$C1418&amp;"|"&amp;$D1418)</f>
        <v/>
      </c>
    </row>
    <row r="1419">
      <c r="I1419" s="73">
        <f>IF($A1419="","",$A1419&amp;"|"&amp;$B1419&amp;"|"&amp;$C1419&amp;"|"&amp;$D1419)</f>
        <v/>
      </c>
    </row>
    <row r="1420">
      <c r="I1420" s="73">
        <f>IF($A1420="","",$A1420&amp;"|"&amp;$B1420&amp;"|"&amp;$C1420&amp;"|"&amp;$D1420)</f>
        <v/>
      </c>
    </row>
    <row r="1421">
      <c r="I1421" s="73">
        <f>IF($A1421="","",$A1421&amp;"|"&amp;$B1421&amp;"|"&amp;$C1421&amp;"|"&amp;$D1421)</f>
        <v/>
      </c>
    </row>
    <row r="1422">
      <c r="I1422" s="73">
        <f>IF($A1422="","",$A1422&amp;"|"&amp;$B1422&amp;"|"&amp;$C1422&amp;"|"&amp;$D1422)</f>
        <v/>
      </c>
    </row>
    <row r="1423">
      <c r="I1423" s="73">
        <f>IF($A1423="","",$A1423&amp;"|"&amp;$B1423&amp;"|"&amp;$C1423&amp;"|"&amp;$D1423)</f>
        <v/>
      </c>
    </row>
    <row r="1424">
      <c r="I1424" s="73">
        <f>IF($A1424="","",$A1424&amp;"|"&amp;$B1424&amp;"|"&amp;$C1424&amp;"|"&amp;$D1424)</f>
        <v/>
      </c>
    </row>
    <row r="1425">
      <c r="I1425" s="73">
        <f>IF($A1425="","",$A1425&amp;"|"&amp;$B1425&amp;"|"&amp;$C1425&amp;"|"&amp;$D1425)</f>
        <v/>
      </c>
    </row>
    <row r="1426">
      <c r="I1426" s="73">
        <f>IF($A1426="","",$A1426&amp;"|"&amp;$B1426&amp;"|"&amp;$C1426&amp;"|"&amp;$D1426)</f>
        <v/>
      </c>
    </row>
    <row r="1427">
      <c r="I1427" s="73">
        <f>IF($A1427="","",$A1427&amp;"|"&amp;$B1427&amp;"|"&amp;$C1427&amp;"|"&amp;$D1427)</f>
        <v/>
      </c>
    </row>
    <row r="1428">
      <c r="I1428" s="73">
        <f>IF($A1428="","",$A1428&amp;"|"&amp;$B1428&amp;"|"&amp;$C1428&amp;"|"&amp;$D1428)</f>
        <v/>
      </c>
    </row>
    <row r="1429">
      <c r="I1429" s="73">
        <f>IF($A1429="","",$A1429&amp;"|"&amp;$B1429&amp;"|"&amp;$C1429&amp;"|"&amp;$D1429)</f>
        <v/>
      </c>
    </row>
    <row r="1430">
      <c r="I1430" s="73">
        <f>IF($A1430="","",$A1430&amp;"|"&amp;$B1430&amp;"|"&amp;$C1430&amp;"|"&amp;$D1430)</f>
        <v/>
      </c>
    </row>
    <row r="1431">
      <c r="I1431" s="73">
        <f>IF($A1431="","",$A1431&amp;"|"&amp;$B1431&amp;"|"&amp;$C1431&amp;"|"&amp;$D1431)</f>
        <v/>
      </c>
    </row>
    <row r="1432">
      <c r="I1432" s="73">
        <f>IF($A1432="","",$A1432&amp;"|"&amp;$B1432&amp;"|"&amp;$C1432&amp;"|"&amp;$D1432)</f>
        <v/>
      </c>
    </row>
    <row r="1433">
      <c r="I1433" s="73">
        <f>IF($A1433="","",$A1433&amp;"|"&amp;$B1433&amp;"|"&amp;$C1433&amp;"|"&amp;$D1433)</f>
        <v/>
      </c>
    </row>
    <row r="1434">
      <c r="I1434" s="73">
        <f>IF($A1434="","",$A1434&amp;"|"&amp;$B1434&amp;"|"&amp;$C1434&amp;"|"&amp;$D1434)</f>
        <v/>
      </c>
    </row>
    <row r="1435">
      <c r="I1435" s="73">
        <f>IF($A1435="","",$A1435&amp;"|"&amp;$B1435&amp;"|"&amp;$C1435&amp;"|"&amp;$D1435)</f>
        <v/>
      </c>
    </row>
    <row r="1436">
      <c r="I1436" s="73">
        <f>IF($A1436="","",$A1436&amp;"|"&amp;$B1436&amp;"|"&amp;$C1436&amp;"|"&amp;$D1436)</f>
        <v/>
      </c>
    </row>
    <row r="1437">
      <c r="I1437" s="73">
        <f>IF($A1437="","",$A1437&amp;"|"&amp;$B1437&amp;"|"&amp;$C1437&amp;"|"&amp;$D1437)</f>
        <v/>
      </c>
    </row>
    <row r="1438">
      <c r="I1438" s="73">
        <f>IF($A1438="","",$A1438&amp;"|"&amp;$B1438&amp;"|"&amp;$C1438&amp;"|"&amp;$D1438)</f>
        <v/>
      </c>
    </row>
    <row r="1439">
      <c r="I1439" s="73">
        <f>IF($A1439="","",$A1439&amp;"|"&amp;$B1439&amp;"|"&amp;$C1439&amp;"|"&amp;$D1439)</f>
        <v/>
      </c>
    </row>
    <row r="1440">
      <c r="I1440" s="73">
        <f>IF($A1440="","",$A1440&amp;"|"&amp;$B1440&amp;"|"&amp;$C1440&amp;"|"&amp;$D1440)</f>
        <v/>
      </c>
    </row>
    <row r="1441">
      <c r="I1441" s="73">
        <f>IF($A1441="","",$A1441&amp;"|"&amp;$B1441&amp;"|"&amp;$C1441&amp;"|"&amp;$D1441)</f>
        <v/>
      </c>
    </row>
    <row r="1442">
      <c r="I1442" s="73">
        <f>IF($A1442="","",$A1442&amp;"|"&amp;$B1442&amp;"|"&amp;$C1442&amp;"|"&amp;$D1442)</f>
        <v/>
      </c>
    </row>
    <row r="1443">
      <c r="I1443" s="73">
        <f>IF($A1443="","",$A1443&amp;"|"&amp;$B1443&amp;"|"&amp;$C1443&amp;"|"&amp;$D1443)</f>
        <v/>
      </c>
    </row>
    <row r="1444">
      <c r="I1444" s="73">
        <f>IF($A1444="","",$A1444&amp;"|"&amp;$B1444&amp;"|"&amp;$C1444&amp;"|"&amp;$D1444)</f>
        <v/>
      </c>
    </row>
    <row r="1445">
      <c r="I1445" s="73">
        <f>IF($A1445="","",$A1445&amp;"|"&amp;$B1445&amp;"|"&amp;$C1445&amp;"|"&amp;$D1445)</f>
        <v/>
      </c>
    </row>
    <row r="1446">
      <c r="I1446" s="73">
        <f>IF($A1446="","",$A1446&amp;"|"&amp;$B1446&amp;"|"&amp;$C1446&amp;"|"&amp;$D1446)</f>
        <v/>
      </c>
    </row>
    <row r="1447">
      <c r="I1447" s="73">
        <f>IF($A1447="","",$A1447&amp;"|"&amp;$B1447&amp;"|"&amp;$C1447&amp;"|"&amp;$D1447)</f>
        <v/>
      </c>
    </row>
    <row r="1448">
      <c r="I1448" s="73">
        <f>IF($A1448="","",$A1448&amp;"|"&amp;$B1448&amp;"|"&amp;$C1448&amp;"|"&amp;$D1448)</f>
        <v/>
      </c>
    </row>
    <row r="1449">
      <c r="I1449" s="73">
        <f>IF($A1449="","",$A1449&amp;"|"&amp;$B1449&amp;"|"&amp;$C1449&amp;"|"&amp;$D1449)</f>
        <v/>
      </c>
    </row>
    <row r="1450">
      <c r="I1450" s="73">
        <f>IF($A1450="","",$A1450&amp;"|"&amp;$B1450&amp;"|"&amp;$C1450&amp;"|"&amp;$D1450)</f>
        <v/>
      </c>
    </row>
    <row r="1451">
      <c r="I1451" s="73">
        <f>IF($A1451="","",$A1451&amp;"|"&amp;$B1451&amp;"|"&amp;$C1451&amp;"|"&amp;$D1451)</f>
        <v/>
      </c>
    </row>
    <row r="1452">
      <c r="I1452" s="73">
        <f>IF($A1452="","",$A1452&amp;"|"&amp;$B1452&amp;"|"&amp;$C1452&amp;"|"&amp;$D1452)</f>
        <v/>
      </c>
    </row>
    <row r="1453">
      <c r="I1453" s="73">
        <f>IF($A1453="","",$A1453&amp;"|"&amp;$B1453&amp;"|"&amp;$C1453&amp;"|"&amp;$D1453)</f>
        <v/>
      </c>
    </row>
    <row r="1454">
      <c r="I1454" s="73">
        <f>IF($A1454="","",$A1454&amp;"|"&amp;$B1454&amp;"|"&amp;$C1454&amp;"|"&amp;$D1454)</f>
        <v/>
      </c>
    </row>
    <row r="1455">
      <c r="I1455" s="73">
        <f>IF($A1455="","",$A1455&amp;"|"&amp;$B1455&amp;"|"&amp;$C1455&amp;"|"&amp;$D1455)</f>
        <v/>
      </c>
    </row>
    <row r="1456">
      <c r="I1456" s="73">
        <f>IF($A1456="","",$A1456&amp;"|"&amp;$B1456&amp;"|"&amp;$C1456&amp;"|"&amp;$D1456)</f>
        <v/>
      </c>
    </row>
    <row r="1457">
      <c r="I1457" s="73">
        <f>IF($A1457="","",$A1457&amp;"|"&amp;$B1457&amp;"|"&amp;$C1457&amp;"|"&amp;$D1457)</f>
        <v/>
      </c>
    </row>
    <row r="1458">
      <c r="I1458" s="73">
        <f>IF($A1458="","",$A1458&amp;"|"&amp;$B1458&amp;"|"&amp;$C1458&amp;"|"&amp;$D1458)</f>
        <v/>
      </c>
    </row>
    <row r="1459">
      <c r="I1459" s="73">
        <f>IF($A1459="","",$A1459&amp;"|"&amp;$B1459&amp;"|"&amp;$C1459&amp;"|"&amp;$D1459)</f>
        <v/>
      </c>
    </row>
    <row r="1460">
      <c r="I1460" s="73">
        <f>IF($A1460="","",$A1460&amp;"|"&amp;$B1460&amp;"|"&amp;$C1460&amp;"|"&amp;$D1460)</f>
        <v/>
      </c>
    </row>
    <row r="1461">
      <c r="I1461" s="73">
        <f>IF($A1461="","",$A1461&amp;"|"&amp;$B1461&amp;"|"&amp;$C1461&amp;"|"&amp;$D1461)</f>
        <v/>
      </c>
    </row>
    <row r="1462">
      <c r="I1462" s="73">
        <f>IF($A1462="","",$A1462&amp;"|"&amp;$B1462&amp;"|"&amp;$C1462&amp;"|"&amp;$D1462)</f>
        <v/>
      </c>
    </row>
    <row r="1463">
      <c r="I1463" s="73">
        <f>IF($A1463="","",$A1463&amp;"|"&amp;$B1463&amp;"|"&amp;$C1463&amp;"|"&amp;$D1463)</f>
        <v/>
      </c>
    </row>
    <row r="1464">
      <c r="I1464" s="73">
        <f>IF($A1464="","",$A1464&amp;"|"&amp;$B1464&amp;"|"&amp;$C1464&amp;"|"&amp;$D1464)</f>
        <v/>
      </c>
    </row>
    <row r="1465">
      <c r="I1465" s="73">
        <f>IF($A1465="","",$A1465&amp;"|"&amp;$B1465&amp;"|"&amp;$C1465&amp;"|"&amp;$D1465)</f>
        <v/>
      </c>
    </row>
    <row r="1466">
      <c r="I1466" s="73">
        <f>IF($A1466="","",$A1466&amp;"|"&amp;$B1466&amp;"|"&amp;$C1466&amp;"|"&amp;$D1466)</f>
        <v/>
      </c>
    </row>
    <row r="1467">
      <c r="I1467" s="73">
        <f>IF($A1467="","",$A1467&amp;"|"&amp;$B1467&amp;"|"&amp;$C1467&amp;"|"&amp;$D1467)</f>
        <v/>
      </c>
    </row>
    <row r="1468">
      <c r="I1468" s="73">
        <f>IF($A1468="","",$A1468&amp;"|"&amp;$B1468&amp;"|"&amp;$C1468&amp;"|"&amp;$D1468)</f>
        <v/>
      </c>
    </row>
    <row r="1469">
      <c r="I1469" s="73">
        <f>IF($A1469="","",$A1469&amp;"|"&amp;$B1469&amp;"|"&amp;$C1469&amp;"|"&amp;$D1469)</f>
        <v/>
      </c>
    </row>
    <row r="1470">
      <c r="I1470" s="73">
        <f>IF($A1470="","",$A1470&amp;"|"&amp;$B1470&amp;"|"&amp;$C1470&amp;"|"&amp;$D1470)</f>
        <v/>
      </c>
    </row>
    <row r="1471">
      <c r="I1471" s="73">
        <f>IF($A1471="","",$A1471&amp;"|"&amp;$B1471&amp;"|"&amp;$C1471&amp;"|"&amp;$D1471)</f>
        <v/>
      </c>
    </row>
    <row r="1472">
      <c r="I1472" s="73">
        <f>IF($A1472="","",$A1472&amp;"|"&amp;$B1472&amp;"|"&amp;$C1472&amp;"|"&amp;$D1472)</f>
        <v/>
      </c>
    </row>
    <row r="1473">
      <c r="I1473" s="73">
        <f>IF($A1473="","",$A1473&amp;"|"&amp;$B1473&amp;"|"&amp;$C1473&amp;"|"&amp;$D1473)</f>
        <v/>
      </c>
    </row>
    <row r="1474">
      <c r="I1474" s="73">
        <f>IF($A1474="","",$A1474&amp;"|"&amp;$B1474&amp;"|"&amp;$C1474&amp;"|"&amp;$D1474)</f>
        <v/>
      </c>
    </row>
    <row r="1475">
      <c r="I1475" s="73">
        <f>IF($A1475="","",$A1475&amp;"|"&amp;$B1475&amp;"|"&amp;$C1475&amp;"|"&amp;$D1475)</f>
        <v/>
      </c>
    </row>
    <row r="1476">
      <c r="I1476" s="73">
        <f>IF($A1476="","",$A1476&amp;"|"&amp;$B1476&amp;"|"&amp;$C1476&amp;"|"&amp;$D1476)</f>
        <v/>
      </c>
    </row>
    <row r="1477">
      <c r="I1477" s="73">
        <f>IF($A1477="","",$A1477&amp;"|"&amp;$B1477&amp;"|"&amp;$C1477&amp;"|"&amp;$D1477)</f>
        <v/>
      </c>
    </row>
    <row r="1478">
      <c r="I1478" s="73">
        <f>IF($A1478="","",$A1478&amp;"|"&amp;$B1478&amp;"|"&amp;$C1478&amp;"|"&amp;$D1478)</f>
        <v/>
      </c>
    </row>
    <row r="1479">
      <c r="I1479" s="73">
        <f>IF($A1479="","",$A1479&amp;"|"&amp;$B1479&amp;"|"&amp;$C1479&amp;"|"&amp;$D1479)</f>
        <v/>
      </c>
    </row>
    <row r="1480">
      <c r="I1480" s="73">
        <f>IF($A1480="","",$A1480&amp;"|"&amp;$B1480&amp;"|"&amp;$C1480&amp;"|"&amp;$D1480)</f>
        <v/>
      </c>
    </row>
    <row r="1481">
      <c r="I1481" s="73">
        <f>IF($A1481="","",$A1481&amp;"|"&amp;$B1481&amp;"|"&amp;$C1481&amp;"|"&amp;$D1481)</f>
        <v/>
      </c>
    </row>
    <row r="1482">
      <c r="I1482" s="73">
        <f>IF($A1482="","",$A1482&amp;"|"&amp;$B1482&amp;"|"&amp;$C1482&amp;"|"&amp;$D1482)</f>
        <v/>
      </c>
    </row>
    <row r="1483">
      <c r="I1483" s="73">
        <f>IF($A1483="","",$A1483&amp;"|"&amp;$B1483&amp;"|"&amp;$C1483&amp;"|"&amp;$D1483)</f>
        <v/>
      </c>
    </row>
    <row r="1484">
      <c r="I1484" s="73">
        <f>IF($A1484="","",$A1484&amp;"|"&amp;$B1484&amp;"|"&amp;$C1484&amp;"|"&amp;$D1484)</f>
        <v/>
      </c>
    </row>
    <row r="1485">
      <c r="I1485" s="73">
        <f>IF($A1485="","",$A1485&amp;"|"&amp;$B1485&amp;"|"&amp;$C1485&amp;"|"&amp;$D1485)</f>
        <v/>
      </c>
    </row>
    <row r="1486">
      <c r="I1486" s="73">
        <f>IF($A1486="","",$A1486&amp;"|"&amp;$B1486&amp;"|"&amp;$C1486&amp;"|"&amp;$D1486)</f>
        <v/>
      </c>
    </row>
    <row r="1487">
      <c r="I1487" s="73">
        <f>IF($A1487="","",$A1487&amp;"|"&amp;$B1487&amp;"|"&amp;$C1487&amp;"|"&amp;$D1487)</f>
        <v/>
      </c>
    </row>
    <row r="1488">
      <c r="I1488" s="73">
        <f>IF($A1488="","",$A1488&amp;"|"&amp;$B1488&amp;"|"&amp;$C1488&amp;"|"&amp;$D1488)</f>
        <v/>
      </c>
    </row>
    <row r="1489">
      <c r="I1489" s="73">
        <f>IF($A1489="","",$A1489&amp;"|"&amp;$B1489&amp;"|"&amp;$C1489&amp;"|"&amp;$D1489)</f>
        <v/>
      </c>
    </row>
    <row r="1490">
      <c r="I1490" s="73">
        <f>IF($A1490="","",$A1490&amp;"|"&amp;$B1490&amp;"|"&amp;$C1490&amp;"|"&amp;$D1490)</f>
        <v/>
      </c>
    </row>
    <row r="1491">
      <c r="I1491" s="73">
        <f>IF($A1491="","",$A1491&amp;"|"&amp;$B1491&amp;"|"&amp;$C1491&amp;"|"&amp;$D1491)</f>
        <v/>
      </c>
    </row>
    <row r="1492">
      <c r="I1492" s="73">
        <f>IF($A1492="","",$A1492&amp;"|"&amp;$B1492&amp;"|"&amp;$C1492&amp;"|"&amp;$D1492)</f>
        <v/>
      </c>
    </row>
    <row r="1493">
      <c r="I1493" s="73">
        <f>IF($A1493="","",$A1493&amp;"|"&amp;$B1493&amp;"|"&amp;$C1493&amp;"|"&amp;$D1493)</f>
        <v/>
      </c>
    </row>
    <row r="1494">
      <c r="I1494" s="73">
        <f>IF($A1494="","",$A1494&amp;"|"&amp;$B1494&amp;"|"&amp;$C1494&amp;"|"&amp;$D1494)</f>
        <v/>
      </c>
    </row>
    <row r="1495">
      <c r="I1495" s="73">
        <f>IF($A1495="","",$A1495&amp;"|"&amp;$B1495&amp;"|"&amp;$C1495&amp;"|"&amp;$D1495)</f>
        <v/>
      </c>
    </row>
    <row r="1496">
      <c r="I1496" s="73">
        <f>IF($A1496="","",$A1496&amp;"|"&amp;$B1496&amp;"|"&amp;$C1496&amp;"|"&amp;$D1496)</f>
        <v/>
      </c>
    </row>
    <row r="1497">
      <c r="I1497" s="73">
        <f>IF($A1497="","",$A1497&amp;"|"&amp;$B1497&amp;"|"&amp;$C1497&amp;"|"&amp;$D1497)</f>
        <v/>
      </c>
    </row>
    <row r="1498">
      <c r="I1498" s="73">
        <f>IF($A1498="","",$A1498&amp;"|"&amp;$B1498&amp;"|"&amp;$C1498&amp;"|"&amp;$D1498)</f>
        <v/>
      </c>
    </row>
    <row r="1499">
      <c r="I1499" s="73">
        <f>IF($A1499="","",$A1499&amp;"|"&amp;$B1499&amp;"|"&amp;$C1499&amp;"|"&amp;$D1499)</f>
        <v/>
      </c>
    </row>
    <row r="1500">
      <c r="I1500" s="73">
        <f>IF($A1500="","",$A1500&amp;"|"&amp;$B1500&amp;"|"&amp;$C1500&amp;"|"&amp;$D1500)</f>
        <v/>
      </c>
    </row>
    <row r="1501">
      <c r="I1501" s="73">
        <f>IF($A1501="","",$A1501&amp;"|"&amp;$B1501&amp;"|"&amp;$C1501&amp;"|"&amp;$D1501)</f>
        <v/>
      </c>
    </row>
    <row r="1502">
      <c r="I1502" s="73">
        <f>IF($A1502="","",$A1502&amp;"|"&amp;$B1502&amp;"|"&amp;$C1502&amp;"|"&amp;$D1502)</f>
        <v/>
      </c>
    </row>
    <row r="1503">
      <c r="I1503" s="73">
        <f>IF($A1503="","",$A1503&amp;"|"&amp;$B1503&amp;"|"&amp;$C1503&amp;"|"&amp;$D1503)</f>
        <v/>
      </c>
    </row>
    <row r="1504">
      <c r="I1504" s="73">
        <f>IF($A1504="","",$A1504&amp;"|"&amp;$B1504&amp;"|"&amp;$C1504&amp;"|"&amp;$D1504)</f>
        <v/>
      </c>
    </row>
    <row r="1505">
      <c r="I1505" s="73">
        <f>IF($A1505="","",$A1505&amp;"|"&amp;$B1505&amp;"|"&amp;$C1505&amp;"|"&amp;$D1505)</f>
        <v/>
      </c>
    </row>
    <row r="1506">
      <c r="I1506" s="73">
        <f>IF($A1506="","",$A1506&amp;"|"&amp;$B1506&amp;"|"&amp;$C1506&amp;"|"&amp;$D1506)</f>
        <v/>
      </c>
    </row>
    <row r="1507">
      <c r="I1507" s="73">
        <f>IF($A1507="","",$A1507&amp;"|"&amp;$B1507&amp;"|"&amp;$C1507&amp;"|"&amp;$D1507)</f>
        <v/>
      </c>
    </row>
    <row r="1508">
      <c r="I1508" s="73">
        <f>IF($A1508="","",$A1508&amp;"|"&amp;$B1508&amp;"|"&amp;$C1508&amp;"|"&amp;$D1508)</f>
        <v/>
      </c>
    </row>
    <row r="1509">
      <c r="I1509" s="73">
        <f>IF($A1509="","",$A1509&amp;"|"&amp;$B1509&amp;"|"&amp;$C1509&amp;"|"&amp;$D1509)</f>
        <v/>
      </c>
    </row>
    <row r="1510">
      <c r="I1510" s="73">
        <f>IF($A1510="","",$A1510&amp;"|"&amp;$B1510&amp;"|"&amp;$C1510&amp;"|"&amp;$D1510)</f>
        <v/>
      </c>
    </row>
    <row r="1511">
      <c r="I1511" s="73">
        <f>IF($A1511="","",$A1511&amp;"|"&amp;$B1511&amp;"|"&amp;$C1511&amp;"|"&amp;$D1511)</f>
        <v/>
      </c>
    </row>
    <row r="1512">
      <c r="I1512" s="73">
        <f>IF($A1512="","",$A1512&amp;"|"&amp;$B1512&amp;"|"&amp;$C1512&amp;"|"&amp;$D1512)</f>
        <v/>
      </c>
    </row>
    <row r="1513">
      <c r="I1513" s="73">
        <f>IF($A1513="","",$A1513&amp;"|"&amp;$B1513&amp;"|"&amp;$C1513&amp;"|"&amp;$D1513)</f>
        <v/>
      </c>
    </row>
    <row r="1514">
      <c r="I1514" s="73">
        <f>IF($A1514="","",$A1514&amp;"|"&amp;$B1514&amp;"|"&amp;$C1514&amp;"|"&amp;$D1514)</f>
        <v/>
      </c>
    </row>
    <row r="1515">
      <c r="I1515" s="73">
        <f>IF($A1515="","",$A1515&amp;"|"&amp;$B1515&amp;"|"&amp;$C1515&amp;"|"&amp;$D1515)</f>
        <v/>
      </c>
    </row>
    <row r="1516">
      <c r="I1516" s="73">
        <f>IF($A1516="","",$A1516&amp;"|"&amp;$B1516&amp;"|"&amp;$C1516&amp;"|"&amp;$D1516)</f>
        <v/>
      </c>
    </row>
    <row r="1517">
      <c r="I1517" s="73">
        <f>IF($A1517="","",$A1517&amp;"|"&amp;$B1517&amp;"|"&amp;$C1517&amp;"|"&amp;$D1517)</f>
        <v/>
      </c>
    </row>
    <row r="1518">
      <c r="I1518" s="73">
        <f>IF($A1518="","",$A1518&amp;"|"&amp;$B1518&amp;"|"&amp;$C1518&amp;"|"&amp;$D1518)</f>
        <v/>
      </c>
    </row>
    <row r="1519">
      <c r="I1519" s="73">
        <f>IF($A1519="","",$A1519&amp;"|"&amp;$B1519&amp;"|"&amp;$C1519&amp;"|"&amp;$D1519)</f>
        <v/>
      </c>
    </row>
    <row r="1520">
      <c r="I1520" s="73">
        <f>IF($A1520="","",$A1520&amp;"|"&amp;$B1520&amp;"|"&amp;$C1520&amp;"|"&amp;$D1520)</f>
        <v/>
      </c>
    </row>
    <row r="1521">
      <c r="I1521" s="73">
        <f>IF($A1521="","",$A1521&amp;"|"&amp;$B1521&amp;"|"&amp;$C1521&amp;"|"&amp;$D1521)</f>
        <v/>
      </c>
    </row>
    <row r="1522">
      <c r="I1522" s="73">
        <f>IF($A1522="","",$A1522&amp;"|"&amp;$B1522&amp;"|"&amp;$C1522&amp;"|"&amp;$D1522)</f>
        <v/>
      </c>
    </row>
    <row r="1523">
      <c r="I1523" s="73">
        <f>IF($A1523="","",$A1523&amp;"|"&amp;$B1523&amp;"|"&amp;$C1523&amp;"|"&amp;$D1523)</f>
        <v/>
      </c>
    </row>
    <row r="1524">
      <c r="I1524" s="73">
        <f>IF($A1524="","",$A1524&amp;"|"&amp;$B1524&amp;"|"&amp;$C1524&amp;"|"&amp;$D1524)</f>
        <v/>
      </c>
    </row>
    <row r="1525">
      <c r="I1525" s="73">
        <f>IF($A1525="","",$A1525&amp;"|"&amp;$B1525&amp;"|"&amp;$C1525&amp;"|"&amp;$D1525)</f>
        <v/>
      </c>
    </row>
    <row r="1526">
      <c r="I1526" s="73">
        <f>IF($A1526="","",$A1526&amp;"|"&amp;$B1526&amp;"|"&amp;$C1526&amp;"|"&amp;$D1526)</f>
        <v/>
      </c>
    </row>
    <row r="1527">
      <c r="I1527" s="73">
        <f>IF($A1527="","",$A1527&amp;"|"&amp;$B1527&amp;"|"&amp;$C1527&amp;"|"&amp;$D1527)</f>
        <v/>
      </c>
    </row>
    <row r="1528">
      <c r="I1528" s="73">
        <f>IF($A1528="","",$A1528&amp;"|"&amp;$B1528&amp;"|"&amp;$C1528&amp;"|"&amp;$D1528)</f>
        <v/>
      </c>
    </row>
    <row r="1529">
      <c r="I1529" s="73">
        <f>IF($A1529="","",$A1529&amp;"|"&amp;$B1529&amp;"|"&amp;$C1529&amp;"|"&amp;$D1529)</f>
        <v/>
      </c>
    </row>
    <row r="1530">
      <c r="I1530" s="73">
        <f>IF($A1530="","",$A1530&amp;"|"&amp;$B1530&amp;"|"&amp;$C1530&amp;"|"&amp;$D1530)</f>
        <v/>
      </c>
    </row>
    <row r="1531">
      <c r="I1531" s="73">
        <f>IF($A1531="","",$A1531&amp;"|"&amp;$B1531&amp;"|"&amp;$C1531&amp;"|"&amp;$D1531)</f>
        <v/>
      </c>
    </row>
    <row r="1532">
      <c r="I1532" s="73">
        <f>IF($A1532="","",$A1532&amp;"|"&amp;$B1532&amp;"|"&amp;$C1532&amp;"|"&amp;$D1532)</f>
        <v/>
      </c>
    </row>
    <row r="1533">
      <c r="I1533" s="73">
        <f>IF($A1533="","",$A1533&amp;"|"&amp;$B1533&amp;"|"&amp;$C1533&amp;"|"&amp;$D1533)</f>
        <v/>
      </c>
    </row>
    <row r="1534">
      <c r="I1534" s="73">
        <f>IF($A1534="","",$A1534&amp;"|"&amp;$B1534&amp;"|"&amp;$C1534&amp;"|"&amp;$D1534)</f>
        <v/>
      </c>
    </row>
    <row r="1535">
      <c r="I1535" s="73">
        <f>IF($A1535="","",$A1535&amp;"|"&amp;$B1535&amp;"|"&amp;$C1535&amp;"|"&amp;$D1535)</f>
        <v/>
      </c>
    </row>
    <row r="1536">
      <c r="I1536" s="73">
        <f>IF($A1536="","",$A1536&amp;"|"&amp;$B1536&amp;"|"&amp;$C1536&amp;"|"&amp;$D1536)</f>
        <v/>
      </c>
    </row>
    <row r="1537">
      <c r="I1537" s="73">
        <f>IF($A1537="","",$A1537&amp;"|"&amp;$B1537&amp;"|"&amp;$C1537&amp;"|"&amp;$D1537)</f>
        <v/>
      </c>
    </row>
    <row r="1538">
      <c r="I1538" s="73">
        <f>IF($A1538="","",$A1538&amp;"|"&amp;$B1538&amp;"|"&amp;$C1538&amp;"|"&amp;$D1538)</f>
        <v/>
      </c>
    </row>
    <row r="1539">
      <c r="I1539" s="73">
        <f>IF($A1539="","",$A1539&amp;"|"&amp;$B1539&amp;"|"&amp;$C1539&amp;"|"&amp;$D1539)</f>
        <v/>
      </c>
    </row>
    <row r="1540">
      <c r="I1540" s="73">
        <f>IF($A1540="","",$A1540&amp;"|"&amp;$B1540&amp;"|"&amp;$C1540&amp;"|"&amp;$D1540)</f>
        <v/>
      </c>
    </row>
    <row r="1541">
      <c r="I1541" s="73">
        <f>IF($A1541="","",$A1541&amp;"|"&amp;$B1541&amp;"|"&amp;$C1541&amp;"|"&amp;$D1541)</f>
        <v/>
      </c>
    </row>
    <row r="1542">
      <c r="I1542" s="73">
        <f>IF($A1542="","",$A1542&amp;"|"&amp;$B1542&amp;"|"&amp;$C1542&amp;"|"&amp;$D1542)</f>
        <v/>
      </c>
    </row>
    <row r="1543">
      <c r="I1543" s="73">
        <f>IF($A1543="","",$A1543&amp;"|"&amp;$B1543&amp;"|"&amp;$C1543&amp;"|"&amp;$D1543)</f>
        <v/>
      </c>
    </row>
    <row r="1544">
      <c r="I1544" s="73">
        <f>IF($A1544="","",$A1544&amp;"|"&amp;$B1544&amp;"|"&amp;$C1544&amp;"|"&amp;$D1544)</f>
        <v/>
      </c>
    </row>
    <row r="1545">
      <c r="I1545" s="73">
        <f>IF($A1545="","",$A1545&amp;"|"&amp;$B1545&amp;"|"&amp;$C1545&amp;"|"&amp;$D1545)</f>
        <v/>
      </c>
    </row>
    <row r="1546">
      <c r="I1546" s="73">
        <f>IF($A1546="","",$A1546&amp;"|"&amp;$B1546&amp;"|"&amp;$C1546&amp;"|"&amp;$D1546)</f>
        <v/>
      </c>
    </row>
    <row r="1547">
      <c r="I1547" s="73">
        <f>IF($A1547="","",$A1547&amp;"|"&amp;$B1547&amp;"|"&amp;$C1547&amp;"|"&amp;$D1547)</f>
        <v/>
      </c>
    </row>
    <row r="1548">
      <c r="I1548" s="73">
        <f>IF($A1548="","",$A1548&amp;"|"&amp;$B1548&amp;"|"&amp;$C1548&amp;"|"&amp;$D1548)</f>
        <v/>
      </c>
    </row>
    <row r="1549">
      <c r="I1549" s="73">
        <f>IF($A1549="","",$A1549&amp;"|"&amp;$B1549&amp;"|"&amp;$C1549&amp;"|"&amp;$D1549)</f>
        <v/>
      </c>
    </row>
    <row r="1550">
      <c r="I1550" s="73">
        <f>IF($A1550="","",$A1550&amp;"|"&amp;$B1550&amp;"|"&amp;$C1550&amp;"|"&amp;$D1550)</f>
        <v/>
      </c>
    </row>
    <row r="1551">
      <c r="I1551" s="73">
        <f>IF($A1551="","",$A1551&amp;"|"&amp;$B1551&amp;"|"&amp;$C1551&amp;"|"&amp;$D1551)</f>
        <v/>
      </c>
    </row>
    <row r="1552">
      <c r="I1552" s="73">
        <f>IF($A1552="","",$A1552&amp;"|"&amp;$B1552&amp;"|"&amp;$C1552&amp;"|"&amp;$D1552)</f>
        <v/>
      </c>
    </row>
    <row r="1553">
      <c r="I1553" s="73">
        <f>IF($A1553="","",$A1553&amp;"|"&amp;$B1553&amp;"|"&amp;$C1553&amp;"|"&amp;$D1553)</f>
        <v/>
      </c>
    </row>
    <row r="1554">
      <c r="I1554" s="73">
        <f>IF($A1554="","",$A1554&amp;"|"&amp;$B1554&amp;"|"&amp;$C1554&amp;"|"&amp;$D1554)</f>
        <v/>
      </c>
    </row>
    <row r="1555">
      <c r="I1555" s="73">
        <f>IF($A1555="","",$A1555&amp;"|"&amp;$B1555&amp;"|"&amp;$C1555&amp;"|"&amp;$D1555)</f>
        <v/>
      </c>
    </row>
    <row r="1556">
      <c r="I1556" s="73">
        <f>IF($A1556="","",$A1556&amp;"|"&amp;$B1556&amp;"|"&amp;$C1556&amp;"|"&amp;$D1556)</f>
        <v/>
      </c>
    </row>
    <row r="1557">
      <c r="I1557" s="73">
        <f>IF($A1557="","",$A1557&amp;"|"&amp;$B1557&amp;"|"&amp;$C1557&amp;"|"&amp;$D1557)</f>
        <v/>
      </c>
    </row>
    <row r="1558">
      <c r="I1558" s="73">
        <f>IF($A1558="","",$A1558&amp;"|"&amp;$B1558&amp;"|"&amp;$C1558&amp;"|"&amp;$D1558)</f>
        <v/>
      </c>
    </row>
    <row r="1559">
      <c r="I1559" s="73">
        <f>IF($A1559="","",$A1559&amp;"|"&amp;$B1559&amp;"|"&amp;$C1559&amp;"|"&amp;$D1559)</f>
        <v/>
      </c>
    </row>
    <row r="1560">
      <c r="I1560" s="73">
        <f>IF($A1560="","",$A1560&amp;"|"&amp;$B1560&amp;"|"&amp;$C1560&amp;"|"&amp;$D1560)</f>
        <v/>
      </c>
    </row>
    <row r="1561">
      <c r="I1561" s="73">
        <f>IF($A1561="","",$A1561&amp;"|"&amp;$B1561&amp;"|"&amp;$C1561&amp;"|"&amp;$D1561)</f>
        <v/>
      </c>
    </row>
    <row r="1562">
      <c r="I1562" s="73">
        <f>IF($A1562="","",$A1562&amp;"|"&amp;$B1562&amp;"|"&amp;$C1562&amp;"|"&amp;$D1562)</f>
        <v/>
      </c>
    </row>
    <row r="1563">
      <c r="I1563" s="73">
        <f>IF($A1563="","",$A1563&amp;"|"&amp;$B1563&amp;"|"&amp;$C1563&amp;"|"&amp;$D1563)</f>
        <v/>
      </c>
    </row>
    <row r="1564">
      <c r="I1564" s="73">
        <f>IF($A1564="","",$A1564&amp;"|"&amp;$B1564&amp;"|"&amp;$C1564&amp;"|"&amp;$D1564)</f>
        <v/>
      </c>
    </row>
    <row r="1565">
      <c r="I1565" s="73">
        <f>IF($A1565="","",$A1565&amp;"|"&amp;$B1565&amp;"|"&amp;$C1565&amp;"|"&amp;$D1565)</f>
        <v/>
      </c>
    </row>
    <row r="1566">
      <c r="I1566" s="73">
        <f>IF($A1566="","",$A1566&amp;"|"&amp;$B1566&amp;"|"&amp;$C1566&amp;"|"&amp;$D1566)</f>
        <v/>
      </c>
    </row>
    <row r="1567">
      <c r="I1567" s="73">
        <f>IF($A1567="","",$A1567&amp;"|"&amp;$B1567&amp;"|"&amp;$C1567&amp;"|"&amp;$D1567)</f>
        <v/>
      </c>
    </row>
    <row r="1568">
      <c r="I1568" s="73">
        <f>IF($A1568="","",$A1568&amp;"|"&amp;$B1568&amp;"|"&amp;$C1568&amp;"|"&amp;$D1568)</f>
        <v/>
      </c>
    </row>
    <row r="1569">
      <c r="I1569" s="73">
        <f>IF($A1569="","",$A1569&amp;"|"&amp;$B1569&amp;"|"&amp;$C1569&amp;"|"&amp;$D1569)</f>
        <v/>
      </c>
    </row>
    <row r="1570">
      <c r="I1570" s="73">
        <f>IF($A1570="","",$A1570&amp;"|"&amp;$B1570&amp;"|"&amp;$C1570&amp;"|"&amp;$D1570)</f>
        <v/>
      </c>
    </row>
    <row r="1571">
      <c r="I1571" s="73">
        <f>IF($A1571="","",$A1571&amp;"|"&amp;$B1571&amp;"|"&amp;$C1571&amp;"|"&amp;$D1571)</f>
        <v/>
      </c>
    </row>
    <row r="1572">
      <c r="I1572" s="73">
        <f>IF($A1572="","",$A1572&amp;"|"&amp;$B1572&amp;"|"&amp;$C1572&amp;"|"&amp;$D1572)</f>
        <v/>
      </c>
    </row>
    <row r="1573">
      <c r="I1573" s="73">
        <f>IF($A1573="","",$A1573&amp;"|"&amp;$B1573&amp;"|"&amp;$C1573&amp;"|"&amp;$D1573)</f>
        <v/>
      </c>
    </row>
    <row r="1574">
      <c r="I1574" s="73">
        <f>IF($A1574="","",$A1574&amp;"|"&amp;$B1574&amp;"|"&amp;$C1574&amp;"|"&amp;$D1574)</f>
        <v/>
      </c>
    </row>
    <row r="1575">
      <c r="I1575" s="73">
        <f>IF($A1575="","",$A1575&amp;"|"&amp;$B1575&amp;"|"&amp;$C1575&amp;"|"&amp;$D1575)</f>
        <v/>
      </c>
    </row>
    <row r="1576">
      <c r="I1576" s="73">
        <f>IF($A1576="","",$A1576&amp;"|"&amp;$B1576&amp;"|"&amp;$C1576&amp;"|"&amp;$D1576)</f>
        <v/>
      </c>
    </row>
    <row r="1577">
      <c r="I1577" s="73">
        <f>IF($A1577="","",$A1577&amp;"|"&amp;$B1577&amp;"|"&amp;$C1577&amp;"|"&amp;$D1577)</f>
        <v/>
      </c>
    </row>
    <row r="1578">
      <c r="I1578" s="73">
        <f>IF($A1578="","",$A1578&amp;"|"&amp;$B1578&amp;"|"&amp;$C1578&amp;"|"&amp;$D1578)</f>
        <v/>
      </c>
    </row>
    <row r="1579">
      <c r="I1579" s="73">
        <f>IF($A1579="","",$A1579&amp;"|"&amp;$B1579&amp;"|"&amp;$C1579&amp;"|"&amp;$D1579)</f>
        <v/>
      </c>
    </row>
    <row r="1580">
      <c r="I1580" s="73">
        <f>IF($A1580="","",$A1580&amp;"|"&amp;$B1580&amp;"|"&amp;$C1580&amp;"|"&amp;$D1580)</f>
        <v/>
      </c>
    </row>
    <row r="1581">
      <c r="I1581" s="73">
        <f>IF($A1581="","",$A1581&amp;"|"&amp;$B1581&amp;"|"&amp;$C1581&amp;"|"&amp;$D1581)</f>
        <v/>
      </c>
    </row>
    <row r="1582">
      <c r="I1582" s="73">
        <f>IF($A1582="","",$A1582&amp;"|"&amp;$B1582&amp;"|"&amp;$C1582&amp;"|"&amp;$D1582)</f>
        <v/>
      </c>
    </row>
    <row r="1583">
      <c r="I1583" s="73">
        <f>IF($A1583="","",$A1583&amp;"|"&amp;$B1583&amp;"|"&amp;$C1583&amp;"|"&amp;$D1583)</f>
        <v/>
      </c>
    </row>
    <row r="1584">
      <c r="I1584" s="73">
        <f>IF($A1584="","",$A1584&amp;"|"&amp;$B1584&amp;"|"&amp;$C1584&amp;"|"&amp;$D1584)</f>
        <v/>
      </c>
    </row>
    <row r="1585">
      <c r="I1585" s="73">
        <f>IF($A1585="","",$A1585&amp;"|"&amp;$B1585&amp;"|"&amp;$C1585&amp;"|"&amp;$D1585)</f>
        <v/>
      </c>
    </row>
    <row r="1586">
      <c r="I1586" s="73">
        <f>IF($A1586="","",$A1586&amp;"|"&amp;$B1586&amp;"|"&amp;$C1586&amp;"|"&amp;$D1586)</f>
        <v/>
      </c>
    </row>
    <row r="1587">
      <c r="I1587" s="73">
        <f>IF($A1587="","",$A1587&amp;"|"&amp;$B1587&amp;"|"&amp;$C1587&amp;"|"&amp;$D1587)</f>
        <v/>
      </c>
    </row>
    <row r="1588">
      <c r="I1588" s="73">
        <f>IF($A1588="","",$A1588&amp;"|"&amp;$B1588&amp;"|"&amp;$C1588&amp;"|"&amp;$D1588)</f>
        <v/>
      </c>
    </row>
    <row r="1589">
      <c r="I1589" s="73">
        <f>IF($A1589="","",$A1589&amp;"|"&amp;$B1589&amp;"|"&amp;$C1589&amp;"|"&amp;$D1589)</f>
        <v/>
      </c>
    </row>
    <row r="1590">
      <c r="I1590" s="73">
        <f>IF($A1590="","",$A1590&amp;"|"&amp;$B1590&amp;"|"&amp;$C1590&amp;"|"&amp;$D1590)</f>
        <v/>
      </c>
    </row>
    <row r="1591">
      <c r="I1591" s="73">
        <f>IF($A1591="","",$A1591&amp;"|"&amp;$B1591&amp;"|"&amp;$C1591&amp;"|"&amp;$D1591)</f>
        <v/>
      </c>
    </row>
    <row r="1592">
      <c r="I1592" s="73">
        <f>IF($A1592="","",$A1592&amp;"|"&amp;$B1592&amp;"|"&amp;$C1592&amp;"|"&amp;$D1592)</f>
        <v/>
      </c>
    </row>
    <row r="1593">
      <c r="I1593" s="73">
        <f>IF($A1593="","",$A1593&amp;"|"&amp;$B1593&amp;"|"&amp;$C1593&amp;"|"&amp;$D1593)</f>
        <v/>
      </c>
    </row>
    <row r="1594">
      <c r="I1594" s="73">
        <f>IF($A1594="","",$A1594&amp;"|"&amp;$B1594&amp;"|"&amp;$C1594&amp;"|"&amp;$D1594)</f>
        <v/>
      </c>
    </row>
    <row r="1595">
      <c r="I1595" s="73">
        <f>IF($A1595="","",$A1595&amp;"|"&amp;$B1595&amp;"|"&amp;$C1595&amp;"|"&amp;$D1595)</f>
        <v/>
      </c>
    </row>
    <row r="1596">
      <c r="I1596" s="73">
        <f>IF($A1596="","",$A1596&amp;"|"&amp;$B1596&amp;"|"&amp;$C1596&amp;"|"&amp;$D1596)</f>
        <v/>
      </c>
    </row>
    <row r="1597">
      <c r="I1597" s="73">
        <f>IF($A1597="","",$A1597&amp;"|"&amp;$B1597&amp;"|"&amp;$C1597&amp;"|"&amp;$D1597)</f>
        <v/>
      </c>
    </row>
    <row r="1598">
      <c r="I1598" s="73">
        <f>IF($A1598="","",$A1598&amp;"|"&amp;$B1598&amp;"|"&amp;$C1598&amp;"|"&amp;$D1598)</f>
        <v/>
      </c>
    </row>
    <row r="1599">
      <c r="I1599" s="73">
        <f>IF($A1599="","",$A1599&amp;"|"&amp;$B1599&amp;"|"&amp;$C1599&amp;"|"&amp;$D1599)</f>
        <v/>
      </c>
    </row>
    <row r="1600">
      <c r="I1600" s="73">
        <f>IF($A1600="","",$A1600&amp;"|"&amp;$B1600&amp;"|"&amp;$C1600&amp;"|"&amp;$D1600)</f>
        <v/>
      </c>
    </row>
    <row r="1601">
      <c r="I1601" s="73">
        <f>IF($A1601="","",$A1601&amp;"|"&amp;$B1601&amp;"|"&amp;$C1601&amp;"|"&amp;$D1601)</f>
        <v/>
      </c>
    </row>
    <row r="1602">
      <c r="I1602" s="73">
        <f>IF($A1602="","",$A1602&amp;"|"&amp;$B1602&amp;"|"&amp;$C1602&amp;"|"&amp;$D1602)</f>
        <v/>
      </c>
    </row>
    <row r="1603">
      <c r="I1603" s="73">
        <f>IF($A1603="","",$A1603&amp;"|"&amp;$B1603&amp;"|"&amp;$C1603&amp;"|"&amp;$D1603)</f>
        <v/>
      </c>
    </row>
    <row r="1604">
      <c r="I1604" s="73">
        <f>IF($A1604="","",$A1604&amp;"|"&amp;$B1604&amp;"|"&amp;$C1604&amp;"|"&amp;$D1604)</f>
        <v/>
      </c>
    </row>
    <row r="1605">
      <c r="I1605" s="73">
        <f>IF($A1605="","",$A1605&amp;"|"&amp;$B1605&amp;"|"&amp;$C1605&amp;"|"&amp;$D1605)</f>
        <v/>
      </c>
    </row>
    <row r="1606">
      <c r="I1606" s="73">
        <f>IF($A1606="","",$A1606&amp;"|"&amp;$B1606&amp;"|"&amp;$C1606&amp;"|"&amp;$D1606)</f>
        <v/>
      </c>
    </row>
    <row r="1607">
      <c r="I1607" s="73">
        <f>IF($A1607="","",$A1607&amp;"|"&amp;$B1607&amp;"|"&amp;$C1607&amp;"|"&amp;$D1607)</f>
        <v/>
      </c>
    </row>
    <row r="1608">
      <c r="I1608" s="73">
        <f>IF($A1608="","",$A1608&amp;"|"&amp;$B1608&amp;"|"&amp;$C1608&amp;"|"&amp;$D1608)</f>
        <v/>
      </c>
    </row>
    <row r="1609">
      <c r="I1609" s="73">
        <f>IF($A1609="","",$A1609&amp;"|"&amp;$B1609&amp;"|"&amp;$C1609&amp;"|"&amp;$D1609)</f>
        <v/>
      </c>
    </row>
    <row r="1610">
      <c r="I1610" s="73">
        <f>IF($A1610="","",$A1610&amp;"|"&amp;$B1610&amp;"|"&amp;$C1610&amp;"|"&amp;$D1610)</f>
        <v/>
      </c>
    </row>
    <row r="1611">
      <c r="I1611" s="73">
        <f>IF($A1611="","",$A1611&amp;"|"&amp;$B1611&amp;"|"&amp;$C1611&amp;"|"&amp;$D1611)</f>
        <v/>
      </c>
    </row>
    <row r="1612">
      <c r="I1612" s="73">
        <f>IF($A1612="","",$A1612&amp;"|"&amp;$B1612&amp;"|"&amp;$C1612&amp;"|"&amp;$D1612)</f>
        <v/>
      </c>
    </row>
    <row r="1613">
      <c r="I1613" s="73">
        <f>IF($A1613="","",$A1613&amp;"|"&amp;$B1613&amp;"|"&amp;$C1613&amp;"|"&amp;$D1613)</f>
        <v/>
      </c>
    </row>
    <row r="1614">
      <c r="I1614" s="73">
        <f>IF($A1614="","",$A1614&amp;"|"&amp;$B1614&amp;"|"&amp;$C1614&amp;"|"&amp;$D1614)</f>
        <v/>
      </c>
    </row>
    <row r="1615">
      <c r="I1615" s="73">
        <f>IF($A1615="","",$A1615&amp;"|"&amp;$B1615&amp;"|"&amp;$C1615&amp;"|"&amp;$D1615)</f>
        <v/>
      </c>
    </row>
    <row r="1616">
      <c r="I1616" s="73">
        <f>IF($A1616="","",$A1616&amp;"|"&amp;$B1616&amp;"|"&amp;$C1616&amp;"|"&amp;$D1616)</f>
        <v/>
      </c>
    </row>
    <row r="1617">
      <c r="I1617" s="73">
        <f>IF($A1617="","",$A1617&amp;"|"&amp;$B1617&amp;"|"&amp;$C1617&amp;"|"&amp;$D1617)</f>
        <v/>
      </c>
    </row>
    <row r="1618">
      <c r="I1618" s="73">
        <f>IF($A1618="","",$A1618&amp;"|"&amp;$B1618&amp;"|"&amp;$C1618&amp;"|"&amp;$D1618)</f>
        <v/>
      </c>
    </row>
    <row r="1619">
      <c r="I1619" s="73">
        <f>IF($A1619="","",$A1619&amp;"|"&amp;$B1619&amp;"|"&amp;$C1619&amp;"|"&amp;$D1619)</f>
        <v/>
      </c>
    </row>
    <row r="1620">
      <c r="I1620" s="73">
        <f>IF($A1620="","",$A1620&amp;"|"&amp;$B1620&amp;"|"&amp;$C1620&amp;"|"&amp;$D1620)</f>
        <v/>
      </c>
    </row>
    <row r="1621">
      <c r="I1621" s="73">
        <f>IF($A1621="","",$A1621&amp;"|"&amp;$B1621&amp;"|"&amp;$C1621&amp;"|"&amp;$D1621)</f>
        <v/>
      </c>
    </row>
    <row r="1622">
      <c r="I1622" s="73">
        <f>IF($A1622="","",$A1622&amp;"|"&amp;$B1622&amp;"|"&amp;$C1622&amp;"|"&amp;$D1622)</f>
        <v/>
      </c>
    </row>
    <row r="1623">
      <c r="I1623" s="73">
        <f>IF($A1623="","",$A1623&amp;"|"&amp;$B1623&amp;"|"&amp;$C1623&amp;"|"&amp;$D1623)</f>
        <v/>
      </c>
    </row>
    <row r="1624">
      <c r="I1624" s="73">
        <f>IF($A1624="","",$A1624&amp;"|"&amp;$B1624&amp;"|"&amp;$C1624&amp;"|"&amp;$D1624)</f>
        <v/>
      </c>
    </row>
    <row r="1625">
      <c r="I1625" s="73">
        <f>IF($A1625="","",$A1625&amp;"|"&amp;$B1625&amp;"|"&amp;$C1625&amp;"|"&amp;$D1625)</f>
        <v/>
      </c>
    </row>
    <row r="1626">
      <c r="I1626" s="73">
        <f>IF($A1626="","",$A1626&amp;"|"&amp;$B1626&amp;"|"&amp;$C1626&amp;"|"&amp;$D1626)</f>
        <v/>
      </c>
    </row>
    <row r="1627">
      <c r="I1627" s="73">
        <f>IF($A1627="","",$A1627&amp;"|"&amp;$B1627&amp;"|"&amp;$C1627&amp;"|"&amp;$D1627)</f>
        <v/>
      </c>
    </row>
    <row r="1628">
      <c r="I1628" s="73">
        <f>IF($A1628="","",$A1628&amp;"|"&amp;$B1628&amp;"|"&amp;$C1628&amp;"|"&amp;$D1628)</f>
        <v/>
      </c>
    </row>
    <row r="1629">
      <c r="I1629" s="73">
        <f>IF($A1629="","",$A1629&amp;"|"&amp;$B1629&amp;"|"&amp;$C1629&amp;"|"&amp;$D1629)</f>
        <v/>
      </c>
    </row>
    <row r="1630">
      <c r="I1630" s="73">
        <f>IF($A1630="","",$A1630&amp;"|"&amp;$B1630&amp;"|"&amp;$C1630&amp;"|"&amp;$D1630)</f>
        <v/>
      </c>
    </row>
    <row r="1631">
      <c r="I1631" s="73">
        <f>IF($A1631="","",$A1631&amp;"|"&amp;$B1631&amp;"|"&amp;$C1631&amp;"|"&amp;$D1631)</f>
        <v/>
      </c>
    </row>
    <row r="1632">
      <c r="I1632" s="73">
        <f>IF($A1632="","",$A1632&amp;"|"&amp;$B1632&amp;"|"&amp;$C1632&amp;"|"&amp;$D1632)</f>
        <v/>
      </c>
    </row>
    <row r="1633">
      <c r="I1633" s="73">
        <f>IF($A1633="","",$A1633&amp;"|"&amp;$B1633&amp;"|"&amp;$C1633&amp;"|"&amp;$D1633)</f>
        <v/>
      </c>
    </row>
    <row r="1634">
      <c r="I1634" s="73">
        <f>IF($A1634="","",$A1634&amp;"|"&amp;$B1634&amp;"|"&amp;$C1634&amp;"|"&amp;$D1634)</f>
        <v/>
      </c>
    </row>
    <row r="1635">
      <c r="I1635" s="73">
        <f>IF($A1635="","",$A1635&amp;"|"&amp;$B1635&amp;"|"&amp;$C1635&amp;"|"&amp;$D1635)</f>
        <v/>
      </c>
    </row>
    <row r="1636">
      <c r="I1636" s="73">
        <f>IF($A1636="","",$A1636&amp;"|"&amp;$B1636&amp;"|"&amp;$C1636&amp;"|"&amp;$D1636)</f>
        <v/>
      </c>
    </row>
    <row r="1637">
      <c r="I1637" s="73">
        <f>IF($A1637="","",$A1637&amp;"|"&amp;$B1637&amp;"|"&amp;$C1637&amp;"|"&amp;$D1637)</f>
        <v/>
      </c>
    </row>
    <row r="1638">
      <c r="I1638" s="73">
        <f>IF($A1638="","",$A1638&amp;"|"&amp;$B1638&amp;"|"&amp;$C1638&amp;"|"&amp;$D1638)</f>
        <v/>
      </c>
    </row>
    <row r="1639">
      <c r="I1639" s="73">
        <f>IF($A1639="","",$A1639&amp;"|"&amp;$B1639&amp;"|"&amp;$C1639&amp;"|"&amp;$D1639)</f>
        <v/>
      </c>
    </row>
    <row r="1640">
      <c r="I1640" s="73">
        <f>IF($A1640="","",$A1640&amp;"|"&amp;$B1640&amp;"|"&amp;$C1640&amp;"|"&amp;$D1640)</f>
        <v/>
      </c>
    </row>
    <row r="1641">
      <c r="I1641" s="73">
        <f>IF($A1641="","",$A1641&amp;"|"&amp;$B1641&amp;"|"&amp;$C1641&amp;"|"&amp;$D1641)</f>
        <v/>
      </c>
    </row>
    <row r="1642">
      <c r="I1642" s="73">
        <f>IF($A1642="","",$A1642&amp;"|"&amp;$B1642&amp;"|"&amp;$C1642&amp;"|"&amp;$D1642)</f>
        <v/>
      </c>
    </row>
    <row r="1643">
      <c r="I1643" s="73">
        <f>IF($A1643="","",$A1643&amp;"|"&amp;$B1643&amp;"|"&amp;$C1643&amp;"|"&amp;$D1643)</f>
        <v/>
      </c>
    </row>
    <row r="1644">
      <c r="I1644" s="73">
        <f>IF($A1644="","",$A1644&amp;"|"&amp;$B1644&amp;"|"&amp;$C1644&amp;"|"&amp;$D1644)</f>
        <v/>
      </c>
    </row>
    <row r="1645">
      <c r="I1645" s="73">
        <f>IF($A1645="","",$A1645&amp;"|"&amp;$B1645&amp;"|"&amp;$C1645&amp;"|"&amp;$D1645)</f>
        <v/>
      </c>
    </row>
    <row r="1646">
      <c r="I1646" s="73">
        <f>IF($A1646="","",$A1646&amp;"|"&amp;$B1646&amp;"|"&amp;$C1646&amp;"|"&amp;$D1646)</f>
        <v/>
      </c>
    </row>
    <row r="1647">
      <c r="I1647" s="73">
        <f>IF($A1647="","",$A1647&amp;"|"&amp;$B1647&amp;"|"&amp;$C1647&amp;"|"&amp;$D1647)</f>
        <v/>
      </c>
    </row>
    <row r="1648">
      <c r="I1648" s="73">
        <f>IF($A1648="","",$A1648&amp;"|"&amp;$B1648&amp;"|"&amp;$C1648&amp;"|"&amp;$D1648)</f>
        <v/>
      </c>
    </row>
    <row r="1649">
      <c r="I1649" s="73">
        <f>IF($A1649="","",$A1649&amp;"|"&amp;$B1649&amp;"|"&amp;$C1649&amp;"|"&amp;$D1649)</f>
        <v/>
      </c>
    </row>
    <row r="1650">
      <c r="I1650" s="73">
        <f>IF($A1650="","",$A1650&amp;"|"&amp;$B1650&amp;"|"&amp;$C1650&amp;"|"&amp;$D1650)</f>
        <v/>
      </c>
    </row>
    <row r="1651">
      <c r="I1651" s="73">
        <f>IF($A1651="","",$A1651&amp;"|"&amp;$B1651&amp;"|"&amp;$C1651&amp;"|"&amp;$D1651)</f>
        <v/>
      </c>
    </row>
    <row r="1652">
      <c r="I1652" s="73">
        <f>IF($A1652="","",$A1652&amp;"|"&amp;$B1652&amp;"|"&amp;$C1652&amp;"|"&amp;$D1652)</f>
        <v/>
      </c>
    </row>
    <row r="1653">
      <c r="I1653" s="73">
        <f>IF($A1653="","",$A1653&amp;"|"&amp;$B1653&amp;"|"&amp;$C1653&amp;"|"&amp;$D1653)</f>
        <v/>
      </c>
    </row>
    <row r="1654">
      <c r="I1654" s="73">
        <f>IF($A1654="","",$A1654&amp;"|"&amp;$B1654&amp;"|"&amp;$C1654&amp;"|"&amp;$D1654)</f>
        <v/>
      </c>
    </row>
    <row r="1655">
      <c r="I1655" s="73">
        <f>IF($A1655="","",$A1655&amp;"|"&amp;$B1655&amp;"|"&amp;$C1655&amp;"|"&amp;$D1655)</f>
        <v/>
      </c>
    </row>
    <row r="1656">
      <c r="I1656" s="73">
        <f>IF($A1656="","",$A1656&amp;"|"&amp;$B1656&amp;"|"&amp;$C1656&amp;"|"&amp;$D1656)</f>
        <v/>
      </c>
    </row>
    <row r="1657">
      <c r="I1657" s="73">
        <f>IF($A1657="","",$A1657&amp;"|"&amp;$B1657&amp;"|"&amp;$C1657&amp;"|"&amp;$D1657)</f>
        <v/>
      </c>
    </row>
    <row r="1658">
      <c r="I1658" s="73">
        <f>IF($A1658="","",$A1658&amp;"|"&amp;$B1658&amp;"|"&amp;$C1658&amp;"|"&amp;$D1658)</f>
        <v/>
      </c>
    </row>
    <row r="1659">
      <c r="I1659" s="73">
        <f>IF($A1659="","",$A1659&amp;"|"&amp;$B1659&amp;"|"&amp;$C1659&amp;"|"&amp;$D1659)</f>
        <v/>
      </c>
    </row>
    <row r="1660">
      <c r="I1660" s="73">
        <f>IF($A1660="","",$A1660&amp;"|"&amp;$B1660&amp;"|"&amp;$C1660&amp;"|"&amp;$D1660)</f>
        <v/>
      </c>
    </row>
    <row r="1661">
      <c r="I1661" s="73">
        <f>IF($A1661="","",$A1661&amp;"|"&amp;$B1661&amp;"|"&amp;$C1661&amp;"|"&amp;$D1661)</f>
        <v/>
      </c>
    </row>
    <row r="1662">
      <c r="I1662" s="73">
        <f>IF($A1662="","",$A1662&amp;"|"&amp;$B1662&amp;"|"&amp;$C1662&amp;"|"&amp;$D1662)</f>
        <v/>
      </c>
    </row>
    <row r="1663">
      <c r="I1663" s="73">
        <f>IF($A1663="","",$A1663&amp;"|"&amp;$B1663&amp;"|"&amp;$C1663&amp;"|"&amp;$D1663)</f>
        <v/>
      </c>
    </row>
    <row r="1664">
      <c r="I1664" s="73">
        <f>IF($A1664="","",$A1664&amp;"|"&amp;$B1664&amp;"|"&amp;$C1664&amp;"|"&amp;$D1664)</f>
        <v/>
      </c>
    </row>
    <row r="1665">
      <c r="I1665" s="73">
        <f>IF($A1665="","",$A1665&amp;"|"&amp;$B1665&amp;"|"&amp;$C1665&amp;"|"&amp;$D1665)</f>
        <v/>
      </c>
    </row>
    <row r="1666">
      <c r="I1666" s="73">
        <f>IF($A1666="","",$A1666&amp;"|"&amp;$B1666&amp;"|"&amp;$C1666&amp;"|"&amp;$D1666)</f>
        <v/>
      </c>
    </row>
    <row r="1667">
      <c r="I1667" s="73">
        <f>IF($A1667="","",$A1667&amp;"|"&amp;$B1667&amp;"|"&amp;$C1667&amp;"|"&amp;$D1667)</f>
        <v/>
      </c>
    </row>
    <row r="1668">
      <c r="I1668" s="73">
        <f>IF($A1668="","",$A1668&amp;"|"&amp;$B1668&amp;"|"&amp;$C1668&amp;"|"&amp;$D1668)</f>
        <v/>
      </c>
    </row>
    <row r="1669">
      <c r="I1669" s="73">
        <f>IF($A1669="","",$A1669&amp;"|"&amp;$B1669&amp;"|"&amp;$C1669&amp;"|"&amp;$D1669)</f>
        <v/>
      </c>
    </row>
    <row r="1670">
      <c r="I1670" s="73">
        <f>IF($A1670="","",$A1670&amp;"|"&amp;$B1670&amp;"|"&amp;$C1670&amp;"|"&amp;$D1670)</f>
        <v/>
      </c>
    </row>
    <row r="1671">
      <c r="I1671" s="73">
        <f>IF($A1671="","",$A1671&amp;"|"&amp;$B1671&amp;"|"&amp;$C1671&amp;"|"&amp;$D1671)</f>
        <v/>
      </c>
    </row>
    <row r="1672">
      <c r="I1672" s="73">
        <f>IF($A1672="","",$A1672&amp;"|"&amp;$B1672&amp;"|"&amp;$C1672&amp;"|"&amp;$D1672)</f>
        <v/>
      </c>
    </row>
    <row r="1673">
      <c r="I1673" s="73">
        <f>IF($A1673="","",$A1673&amp;"|"&amp;$B1673&amp;"|"&amp;$C1673&amp;"|"&amp;$D1673)</f>
        <v/>
      </c>
    </row>
    <row r="1674">
      <c r="I1674" s="73">
        <f>IF($A1674="","",$A1674&amp;"|"&amp;$B1674&amp;"|"&amp;$C1674&amp;"|"&amp;$D1674)</f>
        <v/>
      </c>
    </row>
    <row r="1675">
      <c r="I1675" s="73">
        <f>IF($A1675="","",$A1675&amp;"|"&amp;$B1675&amp;"|"&amp;$C1675&amp;"|"&amp;$D1675)</f>
        <v/>
      </c>
    </row>
    <row r="1676">
      <c r="I1676" s="73">
        <f>IF($A1676="","",$A1676&amp;"|"&amp;$B1676&amp;"|"&amp;$C1676&amp;"|"&amp;$D1676)</f>
        <v/>
      </c>
    </row>
    <row r="1677">
      <c r="I1677" s="73">
        <f>IF($A1677="","",$A1677&amp;"|"&amp;$B1677&amp;"|"&amp;$C1677&amp;"|"&amp;$D1677)</f>
        <v/>
      </c>
    </row>
    <row r="1678">
      <c r="I1678" s="73">
        <f>IF($A1678="","",$A1678&amp;"|"&amp;$B1678&amp;"|"&amp;$C1678&amp;"|"&amp;$D1678)</f>
        <v/>
      </c>
    </row>
    <row r="1679">
      <c r="I1679" s="73">
        <f>IF($A1679="","",$A1679&amp;"|"&amp;$B1679&amp;"|"&amp;$C1679&amp;"|"&amp;$D1679)</f>
        <v/>
      </c>
    </row>
    <row r="1680">
      <c r="I1680" s="73">
        <f>IF($A1680="","",$A1680&amp;"|"&amp;$B1680&amp;"|"&amp;$C1680&amp;"|"&amp;$D1680)</f>
        <v/>
      </c>
    </row>
    <row r="1681">
      <c r="I1681" s="73">
        <f>IF($A1681="","",$A1681&amp;"|"&amp;$B1681&amp;"|"&amp;$C1681&amp;"|"&amp;$D1681)</f>
        <v/>
      </c>
    </row>
    <row r="1682">
      <c r="I1682" s="73">
        <f>IF($A1682="","",$A1682&amp;"|"&amp;$B1682&amp;"|"&amp;$C1682&amp;"|"&amp;$D1682)</f>
        <v/>
      </c>
    </row>
    <row r="1683">
      <c r="I1683" s="73">
        <f>IF($A1683="","",$A1683&amp;"|"&amp;$B1683&amp;"|"&amp;$C1683&amp;"|"&amp;$D1683)</f>
        <v/>
      </c>
    </row>
    <row r="1684">
      <c r="I1684" s="73">
        <f>IF($A1684="","",$A1684&amp;"|"&amp;$B1684&amp;"|"&amp;$C1684&amp;"|"&amp;$D1684)</f>
        <v/>
      </c>
    </row>
    <row r="1685">
      <c r="I1685" s="73">
        <f>IF($A1685="","",$A1685&amp;"|"&amp;$B1685&amp;"|"&amp;$C1685&amp;"|"&amp;$D1685)</f>
        <v/>
      </c>
    </row>
    <row r="1686">
      <c r="I1686" s="73">
        <f>IF($A1686="","",$A1686&amp;"|"&amp;$B1686&amp;"|"&amp;$C1686&amp;"|"&amp;$D1686)</f>
        <v/>
      </c>
    </row>
    <row r="1687">
      <c r="I1687" s="73">
        <f>IF($A1687="","",$A1687&amp;"|"&amp;$B1687&amp;"|"&amp;$C1687&amp;"|"&amp;$D1687)</f>
        <v/>
      </c>
    </row>
    <row r="1688">
      <c r="I1688" s="73">
        <f>IF($A1688="","",$A1688&amp;"|"&amp;$B1688&amp;"|"&amp;$C1688&amp;"|"&amp;$D1688)</f>
        <v/>
      </c>
    </row>
    <row r="1689">
      <c r="I1689" s="73">
        <f>IF($A1689="","",$A1689&amp;"|"&amp;$B1689&amp;"|"&amp;$C1689&amp;"|"&amp;$D1689)</f>
        <v/>
      </c>
    </row>
    <row r="1690">
      <c r="I1690" s="73">
        <f>IF($A1690="","",$A1690&amp;"|"&amp;$B1690&amp;"|"&amp;$C1690&amp;"|"&amp;$D1690)</f>
        <v/>
      </c>
    </row>
    <row r="1691">
      <c r="I1691" s="73">
        <f>IF($A1691="","",$A1691&amp;"|"&amp;$B1691&amp;"|"&amp;$C1691&amp;"|"&amp;$D1691)</f>
        <v/>
      </c>
    </row>
    <row r="1692">
      <c r="I1692" s="73">
        <f>IF($A1692="","",$A1692&amp;"|"&amp;$B1692&amp;"|"&amp;$C1692&amp;"|"&amp;$D1692)</f>
        <v/>
      </c>
    </row>
    <row r="1693">
      <c r="I1693" s="73">
        <f>IF($A1693="","",$A1693&amp;"|"&amp;$B1693&amp;"|"&amp;$C1693&amp;"|"&amp;$D1693)</f>
        <v/>
      </c>
    </row>
    <row r="1694">
      <c r="I1694" s="73">
        <f>IF($A1694="","",$A1694&amp;"|"&amp;$B1694&amp;"|"&amp;$C1694&amp;"|"&amp;$D1694)</f>
        <v/>
      </c>
    </row>
    <row r="1695">
      <c r="I1695" s="73">
        <f>IF($A1695="","",$A1695&amp;"|"&amp;$B1695&amp;"|"&amp;$C1695&amp;"|"&amp;$D1695)</f>
        <v/>
      </c>
    </row>
    <row r="1696">
      <c r="I1696" s="73">
        <f>IF($A1696="","",$A1696&amp;"|"&amp;$B1696&amp;"|"&amp;$C1696&amp;"|"&amp;$D1696)</f>
        <v/>
      </c>
    </row>
    <row r="1697">
      <c r="I1697" s="73">
        <f>IF($A1697="","",$A1697&amp;"|"&amp;$B1697&amp;"|"&amp;$C1697&amp;"|"&amp;$D1697)</f>
        <v/>
      </c>
    </row>
    <row r="1698">
      <c r="I1698" s="73">
        <f>IF($A1698="","",$A1698&amp;"|"&amp;$B1698&amp;"|"&amp;$C1698&amp;"|"&amp;$D1698)</f>
        <v/>
      </c>
    </row>
    <row r="1699">
      <c r="I1699" s="73">
        <f>IF($A1699="","",$A1699&amp;"|"&amp;$B1699&amp;"|"&amp;$C1699&amp;"|"&amp;$D1699)</f>
        <v/>
      </c>
    </row>
    <row r="1700">
      <c r="I1700" s="73">
        <f>IF($A1700="","",$A1700&amp;"|"&amp;$B1700&amp;"|"&amp;$C1700&amp;"|"&amp;$D1700)</f>
        <v/>
      </c>
    </row>
    <row r="1701">
      <c r="I1701" s="73">
        <f>IF($A1701="","",$A1701&amp;"|"&amp;$B1701&amp;"|"&amp;$C1701&amp;"|"&amp;$D1701)</f>
        <v/>
      </c>
    </row>
    <row r="1702">
      <c r="I1702" s="73">
        <f>IF($A1702="","",$A1702&amp;"|"&amp;$B1702&amp;"|"&amp;$C1702&amp;"|"&amp;$D1702)</f>
        <v/>
      </c>
    </row>
    <row r="1703">
      <c r="I1703" s="73">
        <f>IF($A1703="","",$A1703&amp;"|"&amp;$B1703&amp;"|"&amp;$C1703&amp;"|"&amp;$D1703)</f>
        <v/>
      </c>
    </row>
    <row r="1704">
      <c r="I1704" s="73">
        <f>IF($A1704="","",$A1704&amp;"|"&amp;$B1704&amp;"|"&amp;$C1704&amp;"|"&amp;$D1704)</f>
        <v/>
      </c>
    </row>
    <row r="1705">
      <c r="I1705" s="73">
        <f>IF($A1705="","",$A1705&amp;"|"&amp;$B1705&amp;"|"&amp;$C1705&amp;"|"&amp;$D1705)</f>
        <v/>
      </c>
    </row>
    <row r="1706">
      <c r="I1706" s="73">
        <f>IF($A1706="","",$A1706&amp;"|"&amp;$B1706&amp;"|"&amp;$C1706&amp;"|"&amp;$D1706)</f>
        <v/>
      </c>
    </row>
    <row r="1707">
      <c r="I1707" s="73">
        <f>IF($A1707="","",$A1707&amp;"|"&amp;$B1707&amp;"|"&amp;$C1707&amp;"|"&amp;$D1707)</f>
        <v/>
      </c>
    </row>
    <row r="1708">
      <c r="I1708" s="73">
        <f>IF($A1708="","",$A1708&amp;"|"&amp;$B1708&amp;"|"&amp;$C1708&amp;"|"&amp;$D1708)</f>
        <v/>
      </c>
    </row>
    <row r="1709">
      <c r="I1709" s="73">
        <f>IF($A1709="","",$A1709&amp;"|"&amp;$B1709&amp;"|"&amp;$C1709&amp;"|"&amp;$D1709)</f>
        <v/>
      </c>
    </row>
    <row r="1710">
      <c r="I1710" s="73">
        <f>IF($A1710="","",$A1710&amp;"|"&amp;$B1710&amp;"|"&amp;$C1710&amp;"|"&amp;$D1710)</f>
        <v/>
      </c>
    </row>
    <row r="1711">
      <c r="I1711" s="73">
        <f>IF($A1711="","",$A1711&amp;"|"&amp;$B1711&amp;"|"&amp;$C1711&amp;"|"&amp;$D1711)</f>
        <v/>
      </c>
    </row>
    <row r="1712">
      <c r="I1712" s="73">
        <f>IF($A1712="","",$A1712&amp;"|"&amp;$B1712&amp;"|"&amp;$C1712&amp;"|"&amp;$D1712)</f>
        <v/>
      </c>
    </row>
    <row r="1713">
      <c r="I1713" s="73">
        <f>IF($A1713="","",$A1713&amp;"|"&amp;$B1713&amp;"|"&amp;$C1713&amp;"|"&amp;$D1713)</f>
        <v/>
      </c>
    </row>
    <row r="1714">
      <c r="I1714" s="73">
        <f>IF($A1714="","",$A1714&amp;"|"&amp;$B1714&amp;"|"&amp;$C1714&amp;"|"&amp;$D1714)</f>
        <v/>
      </c>
    </row>
    <row r="1715">
      <c r="I1715" s="73">
        <f>IF($A1715="","",$A1715&amp;"|"&amp;$B1715&amp;"|"&amp;$C1715&amp;"|"&amp;$D1715)</f>
        <v/>
      </c>
    </row>
    <row r="1716">
      <c r="I1716" s="73">
        <f>IF($A1716="","",$A1716&amp;"|"&amp;$B1716&amp;"|"&amp;$C1716&amp;"|"&amp;$D1716)</f>
        <v/>
      </c>
    </row>
    <row r="1717">
      <c r="I1717" s="73">
        <f>IF($A1717="","",$A1717&amp;"|"&amp;$B1717&amp;"|"&amp;$C1717&amp;"|"&amp;$D1717)</f>
        <v/>
      </c>
    </row>
    <row r="1718">
      <c r="I1718" s="73">
        <f>IF($A1718="","",$A1718&amp;"|"&amp;$B1718&amp;"|"&amp;$C1718&amp;"|"&amp;$D1718)</f>
        <v/>
      </c>
    </row>
    <row r="1719">
      <c r="I1719" s="73">
        <f>IF($A1719="","",$A1719&amp;"|"&amp;$B1719&amp;"|"&amp;$C1719&amp;"|"&amp;$D1719)</f>
        <v/>
      </c>
    </row>
    <row r="1720">
      <c r="I1720" s="73">
        <f>IF($A1720="","",$A1720&amp;"|"&amp;$B1720&amp;"|"&amp;$C1720&amp;"|"&amp;$D1720)</f>
        <v/>
      </c>
    </row>
    <row r="1721">
      <c r="I1721" s="73">
        <f>IF($A1721="","",$A1721&amp;"|"&amp;$B1721&amp;"|"&amp;$C1721&amp;"|"&amp;$D1721)</f>
        <v/>
      </c>
    </row>
    <row r="1722">
      <c r="I1722" s="73">
        <f>IF($A1722="","",$A1722&amp;"|"&amp;$B1722&amp;"|"&amp;$C1722&amp;"|"&amp;$D1722)</f>
        <v/>
      </c>
    </row>
    <row r="1723">
      <c r="I1723" s="73">
        <f>IF($A1723="","",$A1723&amp;"|"&amp;$B1723&amp;"|"&amp;$C1723&amp;"|"&amp;$D1723)</f>
        <v/>
      </c>
    </row>
    <row r="1724">
      <c r="I1724" s="73">
        <f>IF($A1724="","",$A1724&amp;"|"&amp;$B1724&amp;"|"&amp;$C1724&amp;"|"&amp;$D1724)</f>
        <v/>
      </c>
    </row>
    <row r="1725">
      <c r="I1725" s="73">
        <f>IF($A1725="","",$A1725&amp;"|"&amp;$B1725&amp;"|"&amp;$C1725&amp;"|"&amp;$D1725)</f>
        <v/>
      </c>
    </row>
    <row r="1726">
      <c r="I1726" s="73">
        <f>IF($A1726="","",$A1726&amp;"|"&amp;$B1726&amp;"|"&amp;$C1726&amp;"|"&amp;$D1726)</f>
        <v/>
      </c>
    </row>
    <row r="1727">
      <c r="I1727" s="73">
        <f>IF($A1727="","",$A1727&amp;"|"&amp;$B1727&amp;"|"&amp;$C1727&amp;"|"&amp;$D1727)</f>
        <v/>
      </c>
    </row>
    <row r="1728">
      <c r="I1728" s="73">
        <f>IF($A1728="","",$A1728&amp;"|"&amp;$B1728&amp;"|"&amp;$C1728&amp;"|"&amp;$D1728)</f>
        <v/>
      </c>
    </row>
    <row r="1729">
      <c r="I1729" s="73">
        <f>IF($A1729="","",$A1729&amp;"|"&amp;$B1729&amp;"|"&amp;$C1729&amp;"|"&amp;$D1729)</f>
        <v/>
      </c>
    </row>
    <row r="1730">
      <c r="I1730" s="73">
        <f>IF($A1730="","",$A1730&amp;"|"&amp;$B1730&amp;"|"&amp;$C1730&amp;"|"&amp;$D1730)</f>
        <v/>
      </c>
    </row>
    <row r="1731">
      <c r="I1731" s="73">
        <f>IF($A1731="","",$A1731&amp;"|"&amp;$B1731&amp;"|"&amp;$C1731&amp;"|"&amp;$D1731)</f>
        <v/>
      </c>
    </row>
    <row r="1732">
      <c r="I1732" s="73">
        <f>IF($A1732="","",$A1732&amp;"|"&amp;$B1732&amp;"|"&amp;$C1732&amp;"|"&amp;$D1732)</f>
        <v/>
      </c>
    </row>
    <row r="1733">
      <c r="I1733" s="73">
        <f>IF($A1733="","",$A1733&amp;"|"&amp;$B1733&amp;"|"&amp;$C1733&amp;"|"&amp;$D1733)</f>
        <v/>
      </c>
    </row>
    <row r="1734">
      <c r="I1734" s="73">
        <f>IF($A1734="","",$A1734&amp;"|"&amp;$B1734&amp;"|"&amp;$C1734&amp;"|"&amp;$D1734)</f>
        <v/>
      </c>
    </row>
    <row r="1735">
      <c r="I1735" s="73">
        <f>IF($A1735="","",$A1735&amp;"|"&amp;$B1735&amp;"|"&amp;$C1735&amp;"|"&amp;$D1735)</f>
        <v/>
      </c>
    </row>
    <row r="1736">
      <c r="I1736" s="73">
        <f>IF($A1736="","",$A1736&amp;"|"&amp;$B1736&amp;"|"&amp;$C1736&amp;"|"&amp;$D1736)</f>
        <v/>
      </c>
    </row>
    <row r="1737">
      <c r="I1737" s="73">
        <f>IF($A1737="","",$A1737&amp;"|"&amp;$B1737&amp;"|"&amp;$C1737&amp;"|"&amp;$D1737)</f>
        <v/>
      </c>
    </row>
    <row r="1738">
      <c r="I1738" s="73">
        <f>IF($A1738="","",$A1738&amp;"|"&amp;$B1738&amp;"|"&amp;$C1738&amp;"|"&amp;$D1738)</f>
        <v/>
      </c>
    </row>
    <row r="1739">
      <c r="I1739" s="73">
        <f>IF($A1739="","",$A1739&amp;"|"&amp;$B1739&amp;"|"&amp;$C1739&amp;"|"&amp;$D1739)</f>
        <v/>
      </c>
    </row>
    <row r="1740">
      <c r="I1740" s="73">
        <f>IF($A1740="","",$A1740&amp;"|"&amp;$B1740&amp;"|"&amp;$C1740&amp;"|"&amp;$D1740)</f>
        <v/>
      </c>
    </row>
    <row r="1741">
      <c r="I1741" s="73">
        <f>IF($A1741="","",$A1741&amp;"|"&amp;$B1741&amp;"|"&amp;$C1741&amp;"|"&amp;$D1741)</f>
        <v/>
      </c>
    </row>
    <row r="1742">
      <c r="I1742" s="73">
        <f>IF($A1742="","",$A1742&amp;"|"&amp;$B1742&amp;"|"&amp;$C1742&amp;"|"&amp;$D1742)</f>
        <v/>
      </c>
    </row>
    <row r="1743">
      <c r="I1743" s="73">
        <f>IF($A1743="","",$A1743&amp;"|"&amp;$B1743&amp;"|"&amp;$C1743&amp;"|"&amp;$D1743)</f>
        <v/>
      </c>
    </row>
    <row r="1744">
      <c r="I1744" s="73">
        <f>IF($A1744="","",$A1744&amp;"|"&amp;$B1744&amp;"|"&amp;$C1744&amp;"|"&amp;$D1744)</f>
        <v/>
      </c>
    </row>
    <row r="1745">
      <c r="I1745" s="73">
        <f>IF($A1745="","",$A1745&amp;"|"&amp;$B1745&amp;"|"&amp;$C1745&amp;"|"&amp;$D1745)</f>
        <v/>
      </c>
    </row>
    <row r="1746">
      <c r="I1746" s="73">
        <f>IF($A1746="","",$A1746&amp;"|"&amp;$B1746&amp;"|"&amp;$C1746&amp;"|"&amp;$D1746)</f>
        <v/>
      </c>
    </row>
    <row r="1747">
      <c r="I1747" s="73">
        <f>IF($A1747="","",$A1747&amp;"|"&amp;$B1747&amp;"|"&amp;$C1747&amp;"|"&amp;$D1747)</f>
        <v/>
      </c>
    </row>
    <row r="1748">
      <c r="I1748" s="73">
        <f>IF($A1748="","",$A1748&amp;"|"&amp;$B1748&amp;"|"&amp;$C1748&amp;"|"&amp;$D1748)</f>
        <v/>
      </c>
    </row>
    <row r="1749">
      <c r="I1749" s="73">
        <f>IF($A1749="","",$A1749&amp;"|"&amp;$B1749&amp;"|"&amp;$C1749&amp;"|"&amp;$D1749)</f>
        <v/>
      </c>
    </row>
    <row r="1750">
      <c r="I1750" s="73">
        <f>IF($A1750="","",$A1750&amp;"|"&amp;$B1750&amp;"|"&amp;$C1750&amp;"|"&amp;$D1750)</f>
        <v/>
      </c>
    </row>
    <row r="1751">
      <c r="I1751" s="73">
        <f>IF($A1751="","",$A1751&amp;"|"&amp;$B1751&amp;"|"&amp;$C1751&amp;"|"&amp;$D1751)</f>
        <v/>
      </c>
    </row>
    <row r="1752">
      <c r="I1752" s="73">
        <f>IF($A1752="","",$A1752&amp;"|"&amp;$B1752&amp;"|"&amp;$C1752&amp;"|"&amp;$D1752)</f>
        <v/>
      </c>
    </row>
    <row r="1753">
      <c r="I1753" s="73">
        <f>IF($A1753="","",$A1753&amp;"|"&amp;$B1753&amp;"|"&amp;$C1753&amp;"|"&amp;$D1753)</f>
        <v/>
      </c>
    </row>
    <row r="1754">
      <c r="I1754" s="73">
        <f>IF($A1754="","",$A1754&amp;"|"&amp;$B1754&amp;"|"&amp;$C1754&amp;"|"&amp;$D1754)</f>
        <v/>
      </c>
    </row>
    <row r="1755">
      <c r="I1755" s="73">
        <f>IF($A1755="","",$A1755&amp;"|"&amp;$B1755&amp;"|"&amp;$C1755&amp;"|"&amp;$D1755)</f>
        <v/>
      </c>
    </row>
    <row r="1756">
      <c r="I1756" s="73">
        <f>IF($A1756="","",$A1756&amp;"|"&amp;$B1756&amp;"|"&amp;$C1756&amp;"|"&amp;$D1756)</f>
        <v/>
      </c>
    </row>
    <row r="1757">
      <c r="I1757" s="73">
        <f>IF($A1757="","",$A1757&amp;"|"&amp;$B1757&amp;"|"&amp;$C1757&amp;"|"&amp;$D1757)</f>
        <v/>
      </c>
    </row>
    <row r="1758">
      <c r="I1758" s="73">
        <f>IF($A1758="","",$A1758&amp;"|"&amp;$B1758&amp;"|"&amp;$C1758&amp;"|"&amp;$D1758)</f>
        <v/>
      </c>
    </row>
    <row r="1759">
      <c r="I1759" s="73">
        <f>IF($A1759="","",$A1759&amp;"|"&amp;$B1759&amp;"|"&amp;$C1759&amp;"|"&amp;$D1759)</f>
        <v/>
      </c>
    </row>
    <row r="1760">
      <c r="I1760" s="73">
        <f>IF($A1760="","",$A1760&amp;"|"&amp;$B1760&amp;"|"&amp;$C1760&amp;"|"&amp;$D1760)</f>
        <v/>
      </c>
    </row>
    <row r="1761">
      <c r="I1761" s="73">
        <f>IF($A1761="","",$A1761&amp;"|"&amp;$B1761&amp;"|"&amp;$C1761&amp;"|"&amp;$D1761)</f>
        <v/>
      </c>
    </row>
    <row r="1762">
      <c r="I1762" s="73">
        <f>IF($A1762="","",$A1762&amp;"|"&amp;$B1762&amp;"|"&amp;$C1762&amp;"|"&amp;$D1762)</f>
        <v/>
      </c>
    </row>
    <row r="1763">
      <c r="I1763" s="73">
        <f>IF($A1763="","",$A1763&amp;"|"&amp;$B1763&amp;"|"&amp;$C1763&amp;"|"&amp;$D1763)</f>
        <v/>
      </c>
    </row>
    <row r="1764">
      <c r="I1764" s="73">
        <f>IF($A1764="","",$A1764&amp;"|"&amp;$B1764&amp;"|"&amp;$C1764&amp;"|"&amp;$D1764)</f>
        <v/>
      </c>
    </row>
    <row r="1765">
      <c r="I1765" s="73">
        <f>IF($A1765="","",$A1765&amp;"|"&amp;$B1765&amp;"|"&amp;$C1765&amp;"|"&amp;$D1765)</f>
        <v/>
      </c>
    </row>
    <row r="1766">
      <c r="I1766" s="73">
        <f>IF($A1766="","",$A1766&amp;"|"&amp;$B1766&amp;"|"&amp;$C1766&amp;"|"&amp;$D1766)</f>
        <v/>
      </c>
    </row>
    <row r="1767">
      <c r="I1767" s="73">
        <f>IF($A1767="","",$A1767&amp;"|"&amp;$B1767&amp;"|"&amp;$C1767&amp;"|"&amp;$D1767)</f>
        <v/>
      </c>
    </row>
    <row r="1768">
      <c r="I1768" s="73">
        <f>IF($A1768="","",$A1768&amp;"|"&amp;$B1768&amp;"|"&amp;$C1768&amp;"|"&amp;$D1768)</f>
        <v/>
      </c>
    </row>
    <row r="1769">
      <c r="I1769" s="73">
        <f>IF($A1769="","",$A1769&amp;"|"&amp;$B1769&amp;"|"&amp;$C1769&amp;"|"&amp;$D1769)</f>
        <v/>
      </c>
    </row>
    <row r="1770">
      <c r="I1770" s="73">
        <f>IF($A1770="","",$A1770&amp;"|"&amp;$B1770&amp;"|"&amp;$C1770&amp;"|"&amp;$D1770)</f>
        <v/>
      </c>
    </row>
    <row r="1771">
      <c r="I1771" s="73">
        <f>IF($A1771="","",$A1771&amp;"|"&amp;$B1771&amp;"|"&amp;$C1771&amp;"|"&amp;$D1771)</f>
        <v/>
      </c>
    </row>
    <row r="1772">
      <c r="I1772" s="73">
        <f>IF($A1772="","",$A1772&amp;"|"&amp;$B1772&amp;"|"&amp;$C1772&amp;"|"&amp;$D1772)</f>
        <v/>
      </c>
    </row>
    <row r="1773">
      <c r="I1773" s="73">
        <f>IF($A1773="","",$A1773&amp;"|"&amp;$B1773&amp;"|"&amp;$C1773&amp;"|"&amp;$D1773)</f>
        <v/>
      </c>
    </row>
    <row r="1774">
      <c r="I1774" s="73">
        <f>IF($A1774="","",$A1774&amp;"|"&amp;$B1774&amp;"|"&amp;$C1774&amp;"|"&amp;$D1774)</f>
        <v/>
      </c>
    </row>
    <row r="1775">
      <c r="I1775" s="73">
        <f>IF($A1775="","",$A1775&amp;"|"&amp;$B1775&amp;"|"&amp;$C1775&amp;"|"&amp;$D1775)</f>
        <v/>
      </c>
    </row>
    <row r="1776">
      <c r="I1776" s="73">
        <f>IF($A1776="","",$A1776&amp;"|"&amp;$B1776&amp;"|"&amp;$C1776&amp;"|"&amp;$D1776)</f>
        <v/>
      </c>
    </row>
    <row r="1777">
      <c r="I1777" s="73">
        <f>IF($A1777="","",$A1777&amp;"|"&amp;$B1777&amp;"|"&amp;$C1777&amp;"|"&amp;$D1777)</f>
        <v/>
      </c>
    </row>
    <row r="1778">
      <c r="I1778" s="73">
        <f>IF($A1778="","",$A1778&amp;"|"&amp;$B1778&amp;"|"&amp;$C1778&amp;"|"&amp;$D1778)</f>
        <v/>
      </c>
    </row>
    <row r="1779">
      <c r="I1779" s="73">
        <f>IF($A1779="","",$A1779&amp;"|"&amp;$B1779&amp;"|"&amp;$C1779&amp;"|"&amp;$D1779)</f>
        <v/>
      </c>
    </row>
    <row r="1780">
      <c r="I1780" s="73">
        <f>IF($A1780="","",$A1780&amp;"|"&amp;$B1780&amp;"|"&amp;$C1780&amp;"|"&amp;$D1780)</f>
        <v/>
      </c>
    </row>
    <row r="1781">
      <c r="I1781" s="73">
        <f>IF($A1781="","",$A1781&amp;"|"&amp;$B1781&amp;"|"&amp;$C1781&amp;"|"&amp;$D1781)</f>
        <v/>
      </c>
    </row>
    <row r="1782">
      <c r="I1782" s="73">
        <f>IF($A1782="","",$A1782&amp;"|"&amp;$B1782&amp;"|"&amp;$C1782&amp;"|"&amp;$D1782)</f>
        <v/>
      </c>
    </row>
    <row r="1783">
      <c r="I1783" s="73">
        <f>IF($A1783="","",$A1783&amp;"|"&amp;$B1783&amp;"|"&amp;$C1783&amp;"|"&amp;$D1783)</f>
        <v/>
      </c>
    </row>
    <row r="1784">
      <c r="I1784" s="73">
        <f>IF($A1784="","",$A1784&amp;"|"&amp;$B1784&amp;"|"&amp;$C1784&amp;"|"&amp;$D1784)</f>
        <v/>
      </c>
    </row>
    <row r="1785">
      <c r="I1785" s="73">
        <f>IF($A1785="","",$A1785&amp;"|"&amp;$B1785&amp;"|"&amp;$C1785&amp;"|"&amp;$D1785)</f>
        <v/>
      </c>
    </row>
    <row r="1786">
      <c r="I1786" s="73">
        <f>IF($A1786="","",$A1786&amp;"|"&amp;$B1786&amp;"|"&amp;$C1786&amp;"|"&amp;$D1786)</f>
        <v/>
      </c>
    </row>
    <row r="1787">
      <c r="I1787" s="73">
        <f>IF($A1787="","",$A1787&amp;"|"&amp;$B1787&amp;"|"&amp;$C1787&amp;"|"&amp;$D1787)</f>
        <v/>
      </c>
    </row>
    <row r="1788">
      <c r="I1788" s="73">
        <f>IF($A1788="","",$A1788&amp;"|"&amp;$B1788&amp;"|"&amp;$C1788&amp;"|"&amp;$D1788)</f>
        <v/>
      </c>
    </row>
    <row r="1789">
      <c r="I1789" s="73">
        <f>IF($A1789="","",$A1789&amp;"|"&amp;$B1789&amp;"|"&amp;$C1789&amp;"|"&amp;$D1789)</f>
        <v/>
      </c>
    </row>
    <row r="1790">
      <c r="I1790" s="73">
        <f>IF($A1790="","",$A1790&amp;"|"&amp;$B1790&amp;"|"&amp;$C1790&amp;"|"&amp;$D1790)</f>
        <v/>
      </c>
    </row>
    <row r="1791">
      <c r="I1791" s="73">
        <f>IF($A1791="","",$A1791&amp;"|"&amp;$B1791&amp;"|"&amp;$C1791&amp;"|"&amp;$D1791)</f>
        <v/>
      </c>
    </row>
    <row r="1792">
      <c r="I1792" s="73">
        <f>IF($A1792="","",$A1792&amp;"|"&amp;$B1792&amp;"|"&amp;$C1792&amp;"|"&amp;$D1792)</f>
        <v/>
      </c>
    </row>
    <row r="1793">
      <c r="I1793" s="73">
        <f>IF($A1793="","",$A1793&amp;"|"&amp;$B1793&amp;"|"&amp;$C1793&amp;"|"&amp;$D1793)</f>
        <v/>
      </c>
    </row>
    <row r="1794">
      <c r="I1794" s="73">
        <f>IF($A1794="","",$A1794&amp;"|"&amp;$B1794&amp;"|"&amp;$C1794&amp;"|"&amp;$D1794)</f>
        <v/>
      </c>
    </row>
    <row r="1795">
      <c r="I1795" s="73">
        <f>IF($A1795="","",$A1795&amp;"|"&amp;$B1795&amp;"|"&amp;$C1795&amp;"|"&amp;$D1795)</f>
        <v/>
      </c>
    </row>
    <row r="1796">
      <c r="I1796" s="73">
        <f>IF($A1796="","",$A1796&amp;"|"&amp;$B1796&amp;"|"&amp;$C1796&amp;"|"&amp;$D1796)</f>
        <v/>
      </c>
    </row>
    <row r="1797">
      <c r="I1797" s="73">
        <f>IF($A1797="","",$A1797&amp;"|"&amp;$B1797&amp;"|"&amp;$C1797&amp;"|"&amp;$D1797)</f>
        <v/>
      </c>
    </row>
    <row r="1798">
      <c r="I1798" s="73">
        <f>IF($A1798="","",$A1798&amp;"|"&amp;$B1798&amp;"|"&amp;$C1798&amp;"|"&amp;$D1798)</f>
        <v/>
      </c>
    </row>
    <row r="1799">
      <c r="I1799" s="73">
        <f>IF($A1799="","",$A1799&amp;"|"&amp;$B1799&amp;"|"&amp;$C1799&amp;"|"&amp;$D1799)</f>
        <v/>
      </c>
    </row>
    <row r="1800">
      <c r="I1800" s="73">
        <f>IF($A1800="","",$A1800&amp;"|"&amp;$B1800&amp;"|"&amp;$C1800&amp;"|"&amp;$D1800)</f>
        <v/>
      </c>
    </row>
    <row r="1801">
      <c r="I1801" s="73">
        <f>IF($A1801="","",$A1801&amp;"|"&amp;$B1801&amp;"|"&amp;$C1801&amp;"|"&amp;$D1801)</f>
        <v/>
      </c>
    </row>
    <row r="1802">
      <c r="I1802" s="73">
        <f>IF($A1802="","",$A1802&amp;"|"&amp;$B1802&amp;"|"&amp;$C1802&amp;"|"&amp;$D1802)</f>
        <v/>
      </c>
    </row>
    <row r="1803">
      <c r="I1803" s="73">
        <f>IF($A1803="","",$A1803&amp;"|"&amp;$B1803&amp;"|"&amp;$C1803&amp;"|"&amp;$D1803)</f>
        <v/>
      </c>
    </row>
    <row r="1804">
      <c r="I1804" s="73">
        <f>IF($A1804="","",$A1804&amp;"|"&amp;$B1804&amp;"|"&amp;$C1804&amp;"|"&amp;$D1804)</f>
        <v/>
      </c>
    </row>
    <row r="1805">
      <c r="I1805" s="73">
        <f>IF($A1805="","",$A1805&amp;"|"&amp;$B1805&amp;"|"&amp;$C1805&amp;"|"&amp;$D1805)</f>
        <v/>
      </c>
    </row>
    <row r="1806">
      <c r="I1806" s="73">
        <f>IF($A1806="","",$A1806&amp;"|"&amp;$B1806&amp;"|"&amp;$C1806&amp;"|"&amp;$D1806)</f>
        <v/>
      </c>
    </row>
    <row r="1807">
      <c r="I1807" s="73">
        <f>IF($A1807="","",$A1807&amp;"|"&amp;$B1807&amp;"|"&amp;$C1807&amp;"|"&amp;$D1807)</f>
        <v/>
      </c>
    </row>
    <row r="1808">
      <c r="I1808" s="73">
        <f>IF($A1808="","",$A1808&amp;"|"&amp;$B1808&amp;"|"&amp;$C1808&amp;"|"&amp;$D1808)</f>
        <v/>
      </c>
    </row>
    <row r="1809">
      <c r="I1809" s="73">
        <f>IF($A1809="","",$A1809&amp;"|"&amp;$B1809&amp;"|"&amp;$C1809&amp;"|"&amp;$D1809)</f>
        <v/>
      </c>
    </row>
    <row r="1810">
      <c r="I1810" s="73">
        <f>IF($A1810="","",$A1810&amp;"|"&amp;$B1810&amp;"|"&amp;$C1810&amp;"|"&amp;$D1810)</f>
        <v/>
      </c>
    </row>
    <row r="1811">
      <c r="I1811" s="73">
        <f>IF($A1811="","",$A1811&amp;"|"&amp;$B1811&amp;"|"&amp;$C1811&amp;"|"&amp;$D1811)</f>
        <v/>
      </c>
    </row>
    <row r="1812">
      <c r="I1812" s="73">
        <f>IF($A1812="","",$A1812&amp;"|"&amp;$B1812&amp;"|"&amp;$C1812&amp;"|"&amp;$D1812)</f>
        <v/>
      </c>
    </row>
    <row r="1813">
      <c r="I1813" s="73">
        <f>IF($A1813="","",$A1813&amp;"|"&amp;$B1813&amp;"|"&amp;$C1813&amp;"|"&amp;$D1813)</f>
        <v/>
      </c>
    </row>
    <row r="1814">
      <c r="I1814" s="73">
        <f>IF($A1814="","",$A1814&amp;"|"&amp;$B1814&amp;"|"&amp;$C1814&amp;"|"&amp;$D1814)</f>
        <v/>
      </c>
    </row>
    <row r="1815">
      <c r="I1815" s="73">
        <f>IF($A1815="","",$A1815&amp;"|"&amp;$B1815&amp;"|"&amp;$C1815&amp;"|"&amp;$D1815)</f>
        <v/>
      </c>
    </row>
    <row r="1816">
      <c r="I1816" s="73">
        <f>IF($A1816="","",$A1816&amp;"|"&amp;$B1816&amp;"|"&amp;$C1816&amp;"|"&amp;$D1816)</f>
        <v/>
      </c>
    </row>
    <row r="1817">
      <c r="I1817" s="73">
        <f>IF($A1817="","",$A1817&amp;"|"&amp;$B1817&amp;"|"&amp;$C1817&amp;"|"&amp;$D1817)</f>
        <v/>
      </c>
    </row>
    <row r="1818">
      <c r="I1818" s="73">
        <f>IF($A1818="","",$A1818&amp;"|"&amp;$B1818&amp;"|"&amp;$C1818&amp;"|"&amp;$D1818)</f>
        <v/>
      </c>
    </row>
    <row r="1819">
      <c r="I1819" s="73">
        <f>IF($A1819="","",$A1819&amp;"|"&amp;$B1819&amp;"|"&amp;$C1819&amp;"|"&amp;$D1819)</f>
        <v/>
      </c>
    </row>
    <row r="1820">
      <c r="I1820" s="73">
        <f>IF($A1820="","",$A1820&amp;"|"&amp;$B1820&amp;"|"&amp;$C1820&amp;"|"&amp;$D1820)</f>
        <v/>
      </c>
    </row>
    <row r="1821">
      <c r="I1821" s="73">
        <f>IF($A1821="","",$A1821&amp;"|"&amp;$B1821&amp;"|"&amp;$C1821&amp;"|"&amp;$D1821)</f>
        <v/>
      </c>
    </row>
    <row r="1822">
      <c r="I1822" s="73">
        <f>IF($A1822="","",$A1822&amp;"|"&amp;$B1822&amp;"|"&amp;$C1822&amp;"|"&amp;$D1822)</f>
        <v/>
      </c>
    </row>
    <row r="1823">
      <c r="I1823" s="73">
        <f>IF($A1823="","",$A1823&amp;"|"&amp;$B1823&amp;"|"&amp;$C1823&amp;"|"&amp;$D1823)</f>
        <v/>
      </c>
    </row>
    <row r="1824">
      <c r="I1824" s="73">
        <f>IF($A1824="","",$A1824&amp;"|"&amp;$B1824&amp;"|"&amp;$C1824&amp;"|"&amp;$D1824)</f>
        <v/>
      </c>
    </row>
    <row r="1825">
      <c r="I1825" s="73">
        <f>IF($A1825="","",$A1825&amp;"|"&amp;$B1825&amp;"|"&amp;$C1825&amp;"|"&amp;$D1825)</f>
        <v/>
      </c>
    </row>
    <row r="1826">
      <c r="I1826" s="73">
        <f>IF($A1826="","",$A1826&amp;"|"&amp;$B1826&amp;"|"&amp;$C1826&amp;"|"&amp;$D1826)</f>
        <v/>
      </c>
    </row>
    <row r="1827">
      <c r="I1827" s="73">
        <f>IF($A1827="","",$A1827&amp;"|"&amp;$B1827&amp;"|"&amp;$C1827&amp;"|"&amp;$D1827)</f>
        <v/>
      </c>
    </row>
    <row r="1828">
      <c r="I1828" s="73">
        <f>IF($A1828="","",$A1828&amp;"|"&amp;$B1828&amp;"|"&amp;$C1828&amp;"|"&amp;$D1828)</f>
        <v/>
      </c>
    </row>
    <row r="1829">
      <c r="I1829" s="73">
        <f>IF($A1829="","",$A1829&amp;"|"&amp;$B1829&amp;"|"&amp;$C1829&amp;"|"&amp;$D1829)</f>
        <v/>
      </c>
    </row>
    <row r="1830">
      <c r="I1830" s="73">
        <f>IF($A1830="","",$A1830&amp;"|"&amp;$B1830&amp;"|"&amp;$C1830&amp;"|"&amp;$D1830)</f>
        <v/>
      </c>
    </row>
    <row r="1831">
      <c r="I1831" s="73">
        <f>IF($A1831="","",$A1831&amp;"|"&amp;$B1831&amp;"|"&amp;$C1831&amp;"|"&amp;$D1831)</f>
        <v/>
      </c>
    </row>
    <row r="1832">
      <c r="I1832" s="73">
        <f>IF($A1832="","",$A1832&amp;"|"&amp;$B1832&amp;"|"&amp;$C1832&amp;"|"&amp;$D1832)</f>
        <v/>
      </c>
    </row>
    <row r="1833">
      <c r="I1833" s="73">
        <f>IF($A1833="","",$A1833&amp;"|"&amp;$B1833&amp;"|"&amp;$C1833&amp;"|"&amp;$D1833)</f>
        <v/>
      </c>
    </row>
    <row r="1834">
      <c r="I1834" s="73">
        <f>IF($A1834="","",$A1834&amp;"|"&amp;$B1834&amp;"|"&amp;$C1834&amp;"|"&amp;$D1834)</f>
        <v/>
      </c>
    </row>
    <row r="1835">
      <c r="I1835" s="73">
        <f>IF($A1835="","",$A1835&amp;"|"&amp;$B1835&amp;"|"&amp;$C1835&amp;"|"&amp;$D1835)</f>
        <v/>
      </c>
    </row>
    <row r="1836">
      <c r="I1836" s="73">
        <f>IF($A1836="","",$A1836&amp;"|"&amp;$B1836&amp;"|"&amp;$C1836&amp;"|"&amp;$D1836)</f>
        <v/>
      </c>
    </row>
    <row r="1837">
      <c r="I1837" s="73">
        <f>IF($A1837="","",$A1837&amp;"|"&amp;$B1837&amp;"|"&amp;$C1837&amp;"|"&amp;$D1837)</f>
        <v/>
      </c>
    </row>
    <row r="1838">
      <c r="I1838" s="73">
        <f>IF($A1838="","",$A1838&amp;"|"&amp;$B1838&amp;"|"&amp;$C1838&amp;"|"&amp;$D1838)</f>
        <v/>
      </c>
    </row>
    <row r="1839">
      <c r="I1839" s="73">
        <f>IF($A1839="","",$A1839&amp;"|"&amp;$B1839&amp;"|"&amp;$C1839&amp;"|"&amp;$D1839)</f>
        <v/>
      </c>
    </row>
    <row r="1840">
      <c r="I1840" s="73">
        <f>IF($A1840="","",$A1840&amp;"|"&amp;$B1840&amp;"|"&amp;$C1840&amp;"|"&amp;$D1840)</f>
        <v/>
      </c>
    </row>
    <row r="1841">
      <c r="I1841" s="73">
        <f>IF($A1841="","",$A1841&amp;"|"&amp;$B1841&amp;"|"&amp;$C1841&amp;"|"&amp;$D1841)</f>
        <v/>
      </c>
    </row>
    <row r="1842">
      <c r="I1842" s="73">
        <f>IF($A1842="","",$A1842&amp;"|"&amp;$B1842&amp;"|"&amp;$C1842&amp;"|"&amp;$D1842)</f>
        <v/>
      </c>
    </row>
    <row r="1843">
      <c r="I1843" s="73">
        <f>IF($A1843="","",$A1843&amp;"|"&amp;$B1843&amp;"|"&amp;$C1843&amp;"|"&amp;$D1843)</f>
        <v/>
      </c>
    </row>
    <row r="1844">
      <c r="I1844" s="73">
        <f>IF($A1844="","",$A1844&amp;"|"&amp;$B1844&amp;"|"&amp;$C1844&amp;"|"&amp;$D1844)</f>
        <v/>
      </c>
    </row>
    <row r="1845">
      <c r="I1845" s="73">
        <f>IF($A1845="","",$A1845&amp;"|"&amp;$B1845&amp;"|"&amp;$C1845&amp;"|"&amp;$D1845)</f>
        <v/>
      </c>
    </row>
    <row r="1846">
      <c r="I1846" s="73">
        <f>IF($A1846="","",$A1846&amp;"|"&amp;$B1846&amp;"|"&amp;$C1846&amp;"|"&amp;$D1846)</f>
        <v/>
      </c>
    </row>
    <row r="1847">
      <c r="I1847" s="73">
        <f>IF($A1847="","",$A1847&amp;"|"&amp;$B1847&amp;"|"&amp;$C1847&amp;"|"&amp;$D1847)</f>
        <v/>
      </c>
    </row>
    <row r="1848">
      <c r="I1848" s="73">
        <f>IF($A1848="","",$A1848&amp;"|"&amp;$B1848&amp;"|"&amp;$C1848&amp;"|"&amp;$D1848)</f>
        <v/>
      </c>
    </row>
    <row r="1849">
      <c r="I1849" s="73">
        <f>IF($A1849="","",$A1849&amp;"|"&amp;$B1849&amp;"|"&amp;$C1849&amp;"|"&amp;$D1849)</f>
        <v/>
      </c>
    </row>
    <row r="1850">
      <c r="I1850" s="73">
        <f>IF($A1850="","",$A1850&amp;"|"&amp;$B1850&amp;"|"&amp;$C1850&amp;"|"&amp;$D1850)</f>
        <v/>
      </c>
    </row>
    <row r="1851">
      <c r="I1851" s="73">
        <f>IF($A1851="","",$A1851&amp;"|"&amp;$B1851&amp;"|"&amp;$C1851&amp;"|"&amp;$D1851)</f>
        <v/>
      </c>
    </row>
    <row r="1852">
      <c r="I1852" s="73">
        <f>IF($A1852="","",$A1852&amp;"|"&amp;$B1852&amp;"|"&amp;$C1852&amp;"|"&amp;$D1852)</f>
        <v/>
      </c>
    </row>
    <row r="1853">
      <c r="I1853" s="73">
        <f>IF($A1853="","",$A1853&amp;"|"&amp;$B1853&amp;"|"&amp;$C1853&amp;"|"&amp;$D1853)</f>
        <v/>
      </c>
    </row>
    <row r="1854">
      <c r="I1854" s="73">
        <f>IF($A1854="","",$A1854&amp;"|"&amp;$B1854&amp;"|"&amp;$C1854&amp;"|"&amp;$D1854)</f>
        <v/>
      </c>
    </row>
    <row r="1855">
      <c r="I1855" s="73">
        <f>IF($A1855="","",$A1855&amp;"|"&amp;$B1855&amp;"|"&amp;$C1855&amp;"|"&amp;$D1855)</f>
        <v/>
      </c>
    </row>
    <row r="1856">
      <c r="I1856" s="73">
        <f>IF($A1856="","",$A1856&amp;"|"&amp;$B1856&amp;"|"&amp;$C1856&amp;"|"&amp;$D1856)</f>
        <v/>
      </c>
    </row>
    <row r="1857">
      <c r="I1857" s="73">
        <f>IF($A1857="","",$A1857&amp;"|"&amp;$B1857&amp;"|"&amp;$C1857&amp;"|"&amp;$D1857)</f>
        <v/>
      </c>
    </row>
    <row r="1858">
      <c r="I1858" s="73">
        <f>IF($A1858="","",$A1858&amp;"|"&amp;$B1858&amp;"|"&amp;$C1858&amp;"|"&amp;$D1858)</f>
        <v/>
      </c>
    </row>
    <row r="1859">
      <c r="I1859" s="73">
        <f>IF($A1859="","",$A1859&amp;"|"&amp;$B1859&amp;"|"&amp;$C1859&amp;"|"&amp;$D1859)</f>
        <v/>
      </c>
    </row>
    <row r="1860">
      <c r="I1860" s="73">
        <f>IF($A1860="","",$A1860&amp;"|"&amp;$B1860&amp;"|"&amp;$C1860&amp;"|"&amp;$D1860)</f>
        <v/>
      </c>
    </row>
    <row r="1861">
      <c r="I1861" s="73">
        <f>IF($A1861="","",$A1861&amp;"|"&amp;$B1861&amp;"|"&amp;$C1861&amp;"|"&amp;$D1861)</f>
        <v/>
      </c>
    </row>
    <row r="1862">
      <c r="I1862" s="73">
        <f>IF($A1862="","",$A1862&amp;"|"&amp;$B1862&amp;"|"&amp;$C1862&amp;"|"&amp;$D1862)</f>
        <v/>
      </c>
    </row>
    <row r="1863">
      <c r="I1863" s="73">
        <f>IF($A1863="","",$A1863&amp;"|"&amp;$B1863&amp;"|"&amp;$C1863&amp;"|"&amp;$D1863)</f>
        <v/>
      </c>
    </row>
    <row r="1864">
      <c r="I1864" s="73">
        <f>IF($A1864="","",$A1864&amp;"|"&amp;$B1864&amp;"|"&amp;$C1864&amp;"|"&amp;$D1864)</f>
        <v/>
      </c>
    </row>
    <row r="1865">
      <c r="I1865" s="73">
        <f>IF($A1865="","",$A1865&amp;"|"&amp;$B1865&amp;"|"&amp;$C1865&amp;"|"&amp;$D1865)</f>
        <v/>
      </c>
    </row>
    <row r="1866">
      <c r="I1866" s="73">
        <f>IF($A1866="","",$A1866&amp;"|"&amp;$B1866&amp;"|"&amp;$C1866&amp;"|"&amp;$D1866)</f>
        <v/>
      </c>
    </row>
    <row r="1867">
      <c r="I1867" s="73">
        <f>IF($A1867="","",$A1867&amp;"|"&amp;$B1867&amp;"|"&amp;$C1867&amp;"|"&amp;$D1867)</f>
        <v/>
      </c>
    </row>
    <row r="1868">
      <c r="I1868" s="73">
        <f>IF($A1868="","",$A1868&amp;"|"&amp;$B1868&amp;"|"&amp;$C1868&amp;"|"&amp;$D1868)</f>
        <v/>
      </c>
    </row>
    <row r="1869">
      <c r="I1869" s="73">
        <f>IF($A1869="","",$A1869&amp;"|"&amp;$B1869&amp;"|"&amp;$C1869&amp;"|"&amp;$D1869)</f>
        <v/>
      </c>
    </row>
    <row r="1870">
      <c r="I1870" s="73">
        <f>IF($A1870="","",$A1870&amp;"|"&amp;$B1870&amp;"|"&amp;$C1870&amp;"|"&amp;$D1870)</f>
        <v/>
      </c>
    </row>
    <row r="1871">
      <c r="I1871" s="73">
        <f>IF($A1871="","",$A1871&amp;"|"&amp;$B1871&amp;"|"&amp;$C1871&amp;"|"&amp;$D1871)</f>
        <v/>
      </c>
    </row>
    <row r="1872">
      <c r="I1872" s="73">
        <f>IF($A1872="","",$A1872&amp;"|"&amp;$B1872&amp;"|"&amp;$C1872&amp;"|"&amp;$D1872)</f>
        <v/>
      </c>
    </row>
    <row r="1873">
      <c r="I1873" s="73">
        <f>IF($A1873="","",$A1873&amp;"|"&amp;$B1873&amp;"|"&amp;$C1873&amp;"|"&amp;$D1873)</f>
        <v/>
      </c>
    </row>
    <row r="1874">
      <c r="I1874" s="73">
        <f>IF($A1874="","",$A1874&amp;"|"&amp;$B1874&amp;"|"&amp;$C1874&amp;"|"&amp;$D1874)</f>
        <v/>
      </c>
    </row>
    <row r="1875">
      <c r="I1875" s="73">
        <f>IF($A1875="","",$A1875&amp;"|"&amp;$B1875&amp;"|"&amp;$C1875&amp;"|"&amp;$D1875)</f>
        <v/>
      </c>
    </row>
    <row r="1876">
      <c r="I1876" s="73">
        <f>IF($A1876="","",$A1876&amp;"|"&amp;$B1876&amp;"|"&amp;$C1876&amp;"|"&amp;$D1876)</f>
        <v/>
      </c>
    </row>
    <row r="1877">
      <c r="I1877" s="73">
        <f>IF($A1877="","",$A1877&amp;"|"&amp;$B1877&amp;"|"&amp;$C1877&amp;"|"&amp;$D1877)</f>
        <v/>
      </c>
    </row>
    <row r="1878">
      <c r="I1878" s="73">
        <f>IF($A1878="","",$A1878&amp;"|"&amp;$B1878&amp;"|"&amp;$C1878&amp;"|"&amp;$D1878)</f>
        <v/>
      </c>
    </row>
    <row r="1879">
      <c r="I1879" s="73">
        <f>IF($A1879="","",$A1879&amp;"|"&amp;$B1879&amp;"|"&amp;$C1879&amp;"|"&amp;$D1879)</f>
        <v/>
      </c>
    </row>
    <row r="1880">
      <c r="I1880" s="73">
        <f>IF($A1880="","",$A1880&amp;"|"&amp;$B1880&amp;"|"&amp;$C1880&amp;"|"&amp;$D1880)</f>
        <v/>
      </c>
    </row>
    <row r="1881">
      <c r="I1881" s="73">
        <f>IF($A1881="","",$A1881&amp;"|"&amp;$B1881&amp;"|"&amp;$C1881&amp;"|"&amp;$D1881)</f>
        <v/>
      </c>
    </row>
    <row r="1882">
      <c r="I1882" s="73">
        <f>IF($A1882="","",$A1882&amp;"|"&amp;$B1882&amp;"|"&amp;$C1882&amp;"|"&amp;$D1882)</f>
        <v/>
      </c>
    </row>
    <row r="1883">
      <c r="I1883" s="73">
        <f>IF($A1883="","",$A1883&amp;"|"&amp;$B1883&amp;"|"&amp;$C1883&amp;"|"&amp;$D1883)</f>
        <v/>
      </c>
    </row>
    <row r="1884">
      <c r="I1884" s="73">
        <f>IF($A1884="","",$A1884&amp;"|"&amp;$B1884&amp;"|"&amp;$C1884&amp;"|"&amp;$D1884)</f>
        <v/>
      </c>
    </row>
    <row r="1885">
      <c r="I1885" s="73">
        <f>IF($A1885="","",$A1885&amp;"|"&amp;$B1885&amp;"|"&amp;$C1885&amp;"|"&amp;$D1885)</f>
        <v/>
      </c>
    </row>
    <row r="1886">
      <c r="I1886" s="73">
        <f>IF($A1886="","",$A1886&amp;"|"&amp;$B1886&amp;"|"&amp;$C1886&amp;"|"&amp;$D1886)</f>
        <v/>
      </c>
    </row>
    <row r="1887">
      <c r="I1887" s="73">
        <f>IF($A1887="","",$A1887&amp;"|"&amp;$B1887&amp;"|"&amp;$C1887&amp;"|"&amp;$D1887)</f>
        <v/>
      </c>
    </row>
    <row r="1888">
      <c r="I1888" s="73">
        <f>IF($A1888="","",$A1888&amp;"|"&amp;$B1888&amp;"|"&amp;$C1888&amp;"|"&amp;$D1888)</f>
        <v/>
      </c>
    </row>
    <row r="1889">
      <c r="I1889" s="73">
        <f>IF($A1889="","",$A1889&amp;"|"&amp;$B1889&amp;"|"&amp;$C1889&amp;"|"&amp;$D1889)</f>
        <v/>
      </c>
    </row>
    <row r="1890">
      <c r="I1890" s="73">
        <f>IF($A1890="","",$A1890&amp;"|"&amp;$B1890&amp;"|"&amp;$C1890&amp;"|"&amp;$D1890)</f>
        <v/>
      </c>
    </row>
    <row r="1891">
      <c r="I1891" s="73">
        <f>IF($A1891="","",$A1891&amp;"|"&amp;$B1891&amp;"|"&amp;$C1891&amp;"|"&amp;$D1891)</f>
        <v/>
      </c>
    </row>
    <row r="1892">
      <c r="I1892" s="73">
        <f>IF($A1892="","",$A1892&amp;"|"&amp;$B1892&amp;"|"&amp;$C1892&amp;"|"&amp;$D1892)</f>
        <v/>
      </c>
    </row>
    <row r="1893">
      <c r="I1893" s="73">
        <f>IF($A1893="","",$A1893&amp;"|"&amp;$B1893&amp;"|"&amp;$C1893&amp;"|"&amp;$D1893)</f>
        <v/>
      </c>
    </row>
    <row r="1894">
      <c r="I1894" s="73">
        <f>IF($A1894="","",$A1894&amp;"|"&amp;$B1894&amp;"|"&amp;$C1894&amp;"|"&amp;$D1894)</f>
        <v/>
      </c>
    </row>
    <row r="1895">
      <c r="I1895" s="73">
        <f>IF($A1895="","",$A1895&amp;"|"&amp;$B1895&amp;"|"&amp;$C1895&amp;"|"&amp;$D1895)</f>
        <v/>
      </c>
    </row>
    <row r="1896">
      <c r="I1896" s="73">
        <f>IF($A1896="","",$A1896&amp;"|"&amp;$B1896&amp;"|"&amp;$C1896&amp;"|"&amp;$D1896)</f>
        <v/>
      </c>
    </row>
    <row r="1897">
      <c r="I1897" s="73">
        <f>IF($A1897="","",$A1897&amp;"|"&amp;$B1897&amp;"|"&amp;$C1897&amp;"|"&amp;$D1897)</f>
        <v/>
      </c>
    </row>
    <row r="1898">
      <c r="I1898" s="73">
        <f>IF($A1898="","",$A1898&amp;"|"&amp;$B1898&amp;"|"&amp;$C1898&amp;"|"&amp;$D1898)</f>
        <v/>
      </c>
    </row>
    <row r="1899">
      <c r="I1899" s="73">
        <f>IF($A1899="","",$A1899&amp;"|"&amp;$B1899&amp;"|"&amp;$C1899&amp;"|"&amp;$D1899)</f>
        <v/>
      </c>
    </row>
    <row r="1900">
      <c r="I1900" s="73">
        <f>IF($A1900="","",$A1900&amp;"|"&amp;$B1900&amp;"|"&amp;$C1900&amp;"|"&amp;$D1900)</f>
        <v/>
      </c>
    </row>
    <row r="1901">
      <c r="I1901" s="73">
        <f>IF($A1901="","",$A1901&amp;"|"&amp;$B1901&amp;"|"&amp;$C1901&amp;"|"&amp;$D1901)</f>
        <v/>
      </c>
    </row>
    <row r="1902">
      <c r="I1902" s="73">
        <f>IF($A1902="","",$A1902&amp;"|"&amp;$B1902&amp;"|"&amp;$C1902&amp;"|"&amp;$D1902)</f>
        <v/>
      </c>
    </row>
    <row r="1903">
      <c r="I1903" s="73">
        <f>IF($A1903="","",$A1903&amp;"|"&amp;$B1903&amp;"|"&amp;$C1903&amp;"|"&amp;$D1903)</f>
        <v/>
      </c>
    </row>
    <row r="1904">
      <c r="I1904" s="73">
        <f>IF($A1904="","",$A1904&amp;"|"&amp;$B1904&amp;"|"&amp;$C1904&amp;"|"&amp;$D1904)</f>
        <v/>
      </c>
    </row>
    <row r="1905">
      <c r="I1905" s="73">
        <f>IF($A1905="","",$A1905&amp;"|"&amp;$B1905&amp;"|"&amp;$C1905&amp;"|"&amp;$D1905)</f>
        <v/>
      </c>
    </row>
    <row r="1906">
      <c r="I1906" s="73">
        <f>IF($A1906="","",$A1906&amp;"|"&amp;$B1906&amp;"|"&amp;$C1906&amp;"|"&amp;$D1906)</f>
        <v/>
      </c>
    </row>
    <row r="1907">
      <c r="I1907" s="73">
        <f>IF($A1907="","",$A1907&amp;"|"&amp;$B1907&amp;"|"&amp;$C1907&amp;"|"&amp;$D1907)</f>
        <v/>
      </c>
    </row>
    <row r="1908">
      <c r="I1908" s="73">
        <f>IF($A1908="","",$A1908&amp;"|"&amp;$B1908&amp;"|"&amp;$C1908&amp;"|"&amp;$D1908)</f>
        <v/>
      </c>
    </row>
    <row r="1909">
      <c r="I1909" s="73">
        <f>IF($A1909="","",$A1909&amp;"|"&amp;$B1909&amp;"|"&amp;$C1909&amp;"|"&amp;$D1909)</f>
        <v/>
      </c>
    </row>
    <row r="1910">
      <c r="I1910" s="73">
        <f>IF($A1910="","",$A1910&amp;"|"&amp;$B1910&amp;"|"&amp;$C1910&amp;"|"&amp;$D1910)</f>
        <v/>
      </c>
    </row>
    <row r="1911">
      <c r="I1911" s="73">
        <f>IF($A1911="","",$A1911&amp;"|"&amp;$B1911&amp;"|"&amp;$C1911&amp;"|"&amp;$D1911)</f>
        <v/>
      </c>
    </row>
    <row r="1912">
      <c r="I1912" s="73">
        <f>IF($A1912="","",$A1912&amp;"|"&amp;$B1912&amp;"|"&amp;$C1912&amp;"|"&amp;$D1912)</f>
        <v/>
      </c>
    </row>
    <row r="1913">
      <c r="I1913" s="73">
        <f>IF($A1913="","",$A1913&amp;"|"&amp;$B1913&amp;"|"&amp;$C1913&amp;"|"&amp;$D1913)</f>
        <v/>
      </c>
    </row>
    <row r="1914">
      <c r="I1914" s="73">
        <f>IF($A1914="","",$A1914&amp;"|"&amp;$B1914&amp;"|"&amp;$C1914&amp;"|"&amp;$D1914)</f>
        <v/>
      </c>
    </row>
    <row r="1915">
      <c r="I1915" s="73">
        <f>IF($A1915="","",$A1915&amp;"|"&amp;$B1915&amp;"|"&amp;$C1915&amp;"|"&amp;$D1915)</f>
        <v/>
      </c>
    </row>
    <row r="1916">
      <c r="I1916" s="73">
        <f>IF($A1916="","",$A1916&amp;"|"&amp;$B1916&amp;"|"&amp;$C1916&amp;"|"&amp;$D1916)</f>
        <v/>
      </c>
    </row>
    <row r="1917">
      <c r="I1917" s="73">
        <f>IF($A1917="","",$A1917&amp;"|"&amp;$B1917&amp;"|"&amp;$C1917&amp;"|"&amp;$D1917)</f>
        <v/>
      </c>
    </row>
    <row r="1918">
      <c r="I1918" s="73">
        <f>IF($A1918="","",$A1918&amp;"|"&amp;$B1918&amp;"|"&amp;$C1918&amp;"|"&amp;$D1918)</f>
        <v/>
      </c>
    </row>
    <row r="1919">
      <c r="I1919" s="73">
        <f>IF($A1919="","",$A1919&amp;"|"&amp;$B1919&amp;"|"&amp;$C1919&amp;"|"&amp;$D1919)</f>
        <v/>
      </c>
    </row>
    <row r="1920">
      <c r="I1920" s="73">
        <f>IF($A1920="","",$A1920&amp;"|"&amp;$B1920&amp;"|"&amp;$C1920&amp;"|"&amp;$D1920)</f>
        <v/>
      </c>
    </row>
    <row r="1921">
      <c r="I1921" s="73">
        <f>IF($A1921="","",$A1921&amp;"|"&amp;$B1921&amp;"|"&amp;$C1921&amp;"|"&amp;$D1921)</f>
        <v/>
      </c>
    </row>
    <row r="1922">
      <c r="I1922" s="73">
        <f>IF($A1922="","",$A1922&amp;"|"&amp;$B1922&amp;"|"&amp;$C1922&amp;"|"&amp;$D1922)</f>
        <v/>
      </c>
    </row>
    <row r="1923">
      <c r="I1923" s="73">
        <f>IF($A1923="","",$A1923&amp;"|"&amp;$B1923&amp;"|"&amp;$C1923&amp;"|"&amp;$D1923)</f>
        <v/>
      </c>
    </row>
    <row r="1924">
      <c r="I1924" s="73">
        <f>IF($A1924="","",$A1924&amp;"|"&amp;$B1924&amp;"|"&amp;$C1924&amp;"|"&amp;$D1924)</f>
        <v/>
      </c>
    </row>
    <row r="1925">
      <c r="I1925" s="73">
        <f>IF($A1925="","",$A1925&amp;"|"&amp;$B1925&amp;"|"&amp;$C1925&amp;"|"&amp;$D1925)</f>
        <v/>
      </c>
    </row>
    <row r="1926">
      <c r="I1926" s="73">
        <f>IF($A1926="","",$A1926&amp;"|"&amp;$B1926&amp;"|"&amp;$C1926&amp;"|"&amp;$D1926)</f>
        <v/>
      </c>
    </row>
    <row r="1927">
      <c r="I1927" s="73">
        <f>IF($A1927="","",$A1927&amp;"|"&amp;$B1927&amp;"|"&amp;$C1927&amp;"|"&amp;$D1927)</f>
        <v/>
      </c>
    </row>
    <row r="1928">
      <c r="I1928" s="73">
        <f>IF($A1928="","",$A1928&amp;"|"&amp;$B1928&amp;"|"&amp;$C1928&amp;"|"&amp;$D1928)</f>
        <v/>
      </c>
    </row>
    <row r="1929">
      <c r="I1929" s="73">
        <f>IF($A1929="","",$A1929&amp;"|"&amp;$B1929&amp;"|"&amp;$C1929&amp;"|"&amp;$D1929)</f>
        <v/>
      </c>
    </row>
    <row r="1930">
      <c r="I1930" s="73">
        <f>IF($A1930="","",$A1930&amp;"|"&amp;$B1930&amp;"|"&amp;$C1930&amp;"|"&amp;$D1930)</f>
        <v/>
      </c>
    </row>
    <row r="1931">
      <c r="I1931" s="73">
        <f>IF($A1931="","",$A1931&amp;"|"&amp;$B1931&amp;"|"&amp;$C1931&amp;"|"&amp;$D1931)</f>
        <v/>
      </c>
    </row>
    <row r="1932">
      <c r="I1932" s="73">
        <f>IF($A1932="","",$A1932&amp;"|"&amp;$B1932&amp;"|"&amp;$C1932&amp;"|"&amp;$D1932)</f>
        <v/>
      </c>
    </row>
    <row r="1933">
      <c r="I1933" s="73">
        <f>IF($A1933="","",$A1933&amp;"|"&amp;$B1933&amp;"|"&amp;$C1933&amp;"|"&amp;$D1933)</f>
        <v/>
      </c>
    </row>
    <row r="1934">
      <c r="I1934" s="73">
        <f>IF($A1934="","",$A1934&amp;"|"&amp;$B1934&amp;"|"&amp;$C1934&amp;"|"&amp;$D1934)</f>
        <v/>
      </c>
    </row>
    <row r="1935">
      <c r="I1935" s="73">
        <f>IF($A1935="","",$A1935&amp;"|"&amp;$B1935&amp;"|"&amp;$C1935&amp;"|"&amp;$D1935)</f>
        <v/>
      </c>
    </row>
    <row r="1936">
      <c r="I1936" s="73">
        <f>IF($A1936="","",$A1936&amp;"|"&amp;$B1936&amp;"|"&amp;$C1936&amp;"|"&amp;$D1936)</f>
        <v/>
      </c>
    </row>
    <row r="1937">
      <c r="I1937" s="73">
        <f>IF($A1937="","",$A1937&amp;"|"&amp;$B1937&amp;"|"&amp;$C1937&amp;"|"&amp;$D1937)</f>
        <v/>
      </c>
    </row>
    <row r="1938">
      <c r="I1938" s="73">
        <f>IF($A1938="","",$A1938&amp;"|"&amp;$B1938&amp;"|"&amp;$C1938&amp;"|"&amp;$D1938)</f>
        <v/>
      </c>
    </row>
    <row r="1939">
      <c r="I1939" s="73">
        <f>IF($A1939="","",$A1939&amp;"|"&amp;$B1939&amp;"|"&amp;$C1939&amp;"|"&amp;$D1939)</f>
        <v/>
      </c>
    </row>
    <row r="1940">
      <c r="I1940" s="73">
        <f>IF($A1940="","",$A1940&amp;"|"&amp;$B1940&amp;"|"&amp;$C1940&amp;"|"&amp;$D1940)</f>
        <v/>
      </c>
    </row>
    <row r="1941">
      <c r="I1941" s="73">
        <f>IF($A1941="","",$A1941&amp;"|"&amp;$B1941&amp;"|"&amp;$C1941&amp;"|"&amp;$D1941)</f>
        <v/>
      </c>
    </row>
    <row r="1942">
      <c r="I1942" s="73">
        <f>IF($A1942="","",$A1942&amp;"|"&amp;$B1942&amp;"|"&amp;$C1942&amp;"|"&amp;$D1942)</f>
        <v/>
      </c>
    </row>
    <row r="1943">
      <c r="I1943" s="73">
        <f>IF($A1943="","",$A1943&amp;"|"&amp;$B1943&amp;"|"&amp;$C1943&amp;"|"&amp;$D1943)</f>
        <v/>
      </c>
    </row>
    <row r="1944">
      <c r="I1944" s="73">
        <f>IF($A1944="","",$A1944&amp;"|"&amp;$B1944&amp;"|"&amp;$C1944&amp;"|"&amp;$D1944)</f>
        <v/>
      </c>
    </row>
    <row r="1945">
      <c r="I1945" s="73">
        <f>IF($A1945="","",$A1945&amp;"|"&amp;$B1945&amp;"|"&amp;$C1945&amp;"|"&amp;$D1945)</f>
        <v/>
      </c>
    </row>
    <row r="1946">
      <c r="I1946" s="73">
        <f>IF($A1946="","",$A1946&amp;"|"&amp;$B1946&amp;"|"&amp;$C1946&amp;"|"&amp;$D1946)</f>
        <v/>
      </c>
    </row>
    <row r="1947">
      <c r="I1947" s="73">
        <f>IF($A1947="","",$A1947&amp;"|"&amp;$B1947&amp;"|"&amp;$C1947&amp;"|"&amp;$D1947)</f>
        <v/>
      </c>
    </row>
    <row r="1948">
      <c r="I1948" s="73">
        <f>IF($A1948="","",$A1948&amp;"|"&amp;$B1948&amp;"|"&amp;$C1948&amp;"|"&amp;$D1948)</f>
        <v/>
      </c>
    </row>
    <row r="1949">
      <c r="I1949" s="73">
        <f>IF($A1949="","",$A1949&amp;"|"&amp;$B1949&amp;"|"&amp;$C1949&amp;"|"&amp;$D1949)</f>
        <v/>
      </c>
    </row>
    <row r="1950">
      <c r="I1950" s="73">
        <f>IF($A1950="","",$A1950&amp;"|"&amp;$B1950&amp;"|"&amp;$C1950&amp;"|"&amp;$D1950)</f>
        <v/>
      </c>
    </row>
    <row r="1951">
      <c r="I1951" s="73">
        <f>IF($A1951="","",$A1951&amp;"|"&amp;$B1951&amp;"|"&amp;$C1951&amp;"|"&amp;$D1951)</f>
        <v/>
      </c>
    </row>
    <row r="1952">
      <c r="I1952" s="73">
        <f>IF($A1952="","",$A1952&amp;"|"&amp;$B1952&amp;"|"&amp;$C1952&amp;"|"&amp;$D1952)</f>
        <v/>
      </c>
    </row>
    <row r="1953">
      <c r="I1953" s="73">
        <f>IF($A1953="","",$A1953&amp;"|"&amp;$B1953&amp;"|"&amp;$C1953&amp;"|"&amp;$D1953)</f>
        <v/>
      </c>
    </row>
    <row r="1954">
      <c r="I1954" s="73">
        <f>IF($A1954="","",$A1954&amp;"|"&amp;$B1954&amp;"|"&amp;$C1954&amp;"|"&amp;$D1954)</f>
        <v/>
      </c>
    </row>
    <row r="1955">
      <c r="I1955" s="73">
        <f>IF($A1955="","",$A1955&amp;"|"&amp;$B1955&amp;"|"&amp;$C1955&amp;"|"&amp;$D1955)</f>
        <v/>
      </c>
    </row>
    <row r="1956">
      <c r="I1956" s="73">
        <f>IF($A1956="","",$A1956&amp;"|"&amp;$B1956&amp;"|"&amp;$C1956&amp;"|"&amp;$D1956)</f>
        <v/>
      </c>
    </row>
    <row r="1957">
      <c r="I1957" s="73">
        <f>IF($A1957="","",$A1957&amp;"|"&amp;$B1957&amp;"|"&amp;$C1957&amp;"|"&amp;$D1957)</f>
        <v/>
      </c>
    </row>
    <row r="1958">
      <c r="I1958" s="73">
        <f>IF($A1958="","",$A1958&amp;"|"&amp;$B1958&amp;"|"&amp;$C1958&amp;"|"&amp;$D1958)</f>
        <v/>
      </c>
    </row>
    <row r="1959">
      <c r="I1959" s="73">
        <f>IF($A1959="","",$A1959&amp;"|"&amp;$B1959&amp;"|"&amp;$C1959&amp;"|"&amp;$D1959)</f>
        <v/>
      </c>
    </row>
    <row r="1960">
      <c r="I1960" s="73">
        <f>IF($A1960="","",$A1960&amp;"|"&amp;$B1960&amp;"|"&amp;$C1960&amp;"|"&amp;$D1960)</f>
        <v/>
      </c>
    </row>
    <row r="1961">
      <c r="I1961" s="73">
        <f>IF($A1961="","",$A1961&amp;"|"&amp;$B1961&amp;"|"&amp;$C1961&amp;"|"&amp;$D1961)</f>
        <v/>
      </c>
    </row>
    <row r="1962">
      <c r="I1962" s="73">
        <f>IF($A1962="","",$A1962&amp;"|"&amp;$B1962&amp;"|"&amp;$C1962&amp;"|"&amp;$D1962)</f>
        <v/>
      </c>
    </row>
    <row r="1963">
      <c r="I1963" s="73">
        <f>IF($A1963="","",$A1963&amp;"|"&amp;$B1963&amp;"|"&amp;$C1963&amp;"|"&amp;$D1963)</f>
        <v/>
      </c>
    </row>
    <row r="1964">
      <c r="I1964" s="73">
        <f>IF($A1964="","",$A1964&amp;"|"&amp;$B1964&amp;"|"&amp;$C1964&amp;"|"&amp;$D1964)</f>
        <v/>
      </c>
    </row>
    <row r="1965">
      <c r="I1965" s="73">
        <f>IF($A1965="","",$A1965&amp;"|"&amp;$B1965&amp;"|"&amp;$C1965&amp;"|"&amp;$D1965)</f>
        <v/>
      </c>
    </row>
    <row r="1966">
      <c r="I1966" s="73">
        <f>IF($A1966="","",$A1966&amp;"|"&amp;$B1966&amp;"|"&amp;$C1966&amp;"|"&amp;$D1966)</f>
        <v/>
      </c>
    </row>
    <row r="1967">
      <c r="I1967" s="73">
        <f>IF($A1967="","",$A1967&amp;"|"&amp;$B1967&amp;"|"&amp;$C1967&amp;"|"&amp;$D1967)</f>
        <v/>
      </c>
    </row>
    <row r="1968">
      <c r="I1968" s="73">
        <f>IF($A1968="","",$A1968&amp;"|"&amp;$B1968&amp;"|"&amp;$C1968&amp;"|"&amp;$D1968)</f>
        <v/>
      </c>
    </row>
    <row r="1969">
      <c r="I1969" s="73">
        <f>IF($A1969="","",$A1969&amp;"|"&amp;$B1969&amp;"|"&amp;$C1969&amp;"|"&amp;$D1969)</f>
        <v/>
      </c>
    </row>
    <row r="1970">
      <c r="I1970" s="73">
        <f>IF($A1970="","",$A1970&amp;"|"&amp;$B1970&amp;"|"&amp;$C1970&amp;"|"&amp;$D1970)</f>
        <v/>
      </c>
    </row>
    <row r="1971">
      <c r="I1971" s="73">
        <f>IF($A1971="","",$A1971&amp;"|"&amp;$B1971&amp;"|"&amp;$C1971&amp;"|"&amp;$D1971)</f>
        <v/>
      </c>
    </row>
    <row r="1972">
      <c r="I1972" s="73">
        <f>IF($A1972="","",$A1972&amp;"|"&amp;$B1972&amp;"|"&amp;$C1972&amp;"|"&amp;$D1972)</f>
        <v/>
      </c>
    </row>
    <row r="1973">
      <c r="I1973" s="73">
        <f>IF($A1973="","",$A1973&amp;"|"&amp;$B1973&amp;"|"&amp;$C1973&amp;"|"&amp;$D1973)</f>
        <v/>
      </c>
    </row>
    <row r="1974">
      <c r="I1974" s="73">
        <f>IF($A1974="","",$A1974&amp;"|"&amp;$B1974&amp;"|"&amp;$C1974&amp;"|"&amp;$D1974)</f>
        <v/>
      </c>
    </row>
    <row r="1975">
      <c r="I1975" s="73">
        <f>IF($A1975="","",$A1975&amp;"|"&amp;$B1975&amp;"|"&amp;$C1975&amp;"|"&amp;$D1975)</f>
        <v/>
      </c>
    </row>
    <row r="1976">
      <c r="I1976" s="73">
        <f>IF($A1976="","",$A1976&amp;"|"&amp;$B1976&amp;"|"&amp;$C1976&amp;"|"&amp;$D1976)</f>
        <v/>
      </c>
    </row>
    <row r="1977">
      <c r="I1977" s="73">
        <f>IF($A1977="","",$A1977&amp;"|"&amp;$B1977&amp;"|"&amp;$C1977&amp;"|"&amp;$D1977)</f>
        <v/>
      </c>
    </row>
    <row r="1978">
      <c r="I1978" s="73">
        <f>IF($A1978="","",$A1978&amp;"|"&amp;$B1978&amp;"|"&amp;$C1978&amp;"|"&amp;$D1978)</f>
        <v/>
      </c>
    </row>
    <row r="1979">
      <c r="I1979" s="73">
        <f>IF($A1979="","",$A1979&amp;"|"&amp;$B1979&amp;"|"&amp;$C1979&amp;"|"&amp;$D1979)</f>
        <v/>
      </c>
    </row>
    <row r="1980">
      <c r="I1980" s="73">
        <f>IF($A1980="","",$A1980&amp;"|"&amp;$B1980&amp;"|"&amp;$C1980&amp;"|"&amp;$D1980)</f>
        <v/>
      </c>
    </row>
    <row r="1981">
      <c r="I1981" s="73">
        <f>IF($A1981="","",$A1981&amp;"|"&amp;$B1981&amp;"|"&amp;$C1981&amp;"|"&amp;$D1981)</f>
        <v/>
      </c>
    </row>
    <row r="1982">
      <c r="I1982" s="73">
        <f>IF($A1982="","",$A1982&amp;"|"&amp;$B1982&amp;"|"&amp;$C1982&amp;"|"&amp;$D1982)</f>
        <v/>
      </c>
    </row>
    <row r="1983">
      <c r="I1983" s="73">
        <f>IF($A1983="","",$A1983&amp;"|"&amp;$B1983&amp;"|"&amp;$C1983&amp;"|"&amp;$D1983)</f>
        <v/>
      </c>
    </row>
    <row r="1984">
      <c r="I1984" s="73">
        <f>IF($A1984="","",$A1984&amp;"|"&amp;$B1984&amp;"|"&amp;$C1984&amp;"|"&amp;$D1984)</f>
        <v/>
      </c>
    </row>
    <row r="1985">
      <c r="I1985" s="73">
        <f>IF($A1985="","",$A1985&amp;"|"&amp;$B1985&amp;"|"&amp;$C1985&amp;"|"&amp;$D1985)</f>
        <v/>
      </c>
    </row>
    <row r="1986">
      <c r="I1986" s="73">
        <f>IF($A1986="","",$A1986&amp;"|"&amp;$B1986&amp;"|"&amp;$C1986&amp;"|"&amp;$D1986)</f>
        <v/>
      </c>
    </row>
    <row r="1987">
      <c r="I1987" s="73">
        <f>IF($A1987="","",$A1987&amp;"|"&amp;$B1987&amp;"|"&amp;$C1987&amp;"|"&amp;$D1987)</f>
        <v/>
      </c>
    </row>
    <row r="1988">
      <c r="I1988" s="73">
        <f>IF($A1988="","",$A1988&amp;"|"&amp;$B1988&amp;"|"&amp;$C1988&amp;"|"&amp;$D1988)</f>
        <v/>
      </c>
    </row>
    <row r="1989">
      <c r="I1989" s="73">
        <f>IF($A1989="","",$A1989&amp;"|"&amp;$B1989&amp;"|"&amp;$C1989&amp;"|"&amp;$D1989)</f>
        <v/>
      </c>
    </row>
    <row r="1990">
      <c r="I1990" s="73">
        <f>IF($A1990="","",$A1990&amp;"|"&amp;$B1990&amp;"|"&amp;$C1990&amp;"|"&amp;$D1990)</f>
        <v/>
      </c>
    </row>
    <row r="1991">
      <c r="I1991" s="73">
        <f>IF($A1991="","",$A1991&amp;"|"&amp;$B1991&amp;"|"&amp;$C1991&amp;"|"&amp;$D1991)</f>
        <v/>
      </c>
    </row>
    <row r="1992">
      <c r="I1992" s="73">
        <f>IF($A1992="","",$A1992&amp;"|"&amp;$B1992&amp;"|"&amp;$C1992&amp;"|"&amp;$D1992)</f>
        <v/>
      </c>
    </row>
    <row r="1993">
      <c r="I1993" s="73">
        <f>IF($A1993="","",$A1993&amp;"|"&amp;$B1993&amp;"|"&amp;$C1993&amp;"|"&amp;$D1993)</f>
        <v/>
      </c>
    </row>
    <row r="1994">
      <c r="I1994" s="73">
        <f>IF($A1994="","",$A1994&amp;"|"&amp;$B1994&amp;"|"&amp;$C1994&amp;"|"&amp;$D1994)</f>
        <v/>
      </c>
    </row>
    <row r="1995">
      <c r="I1995" s="73">
        <f>IF($A1995="","",$A1995&amp;"|"&amp;$B1995&amp;"|"&amp;$C1995&amp;"|"&amp;$D1995)</f>
        <v/>
      </c>
    </row>
    <row r="1996">
      <c r="I1996" s="73">
        <f>IF($A1996="","",$A1996&amp;"|"&amp;$B1996&amp;"|"&amp;$C1996&amp;"|"&amp;$D1996)</f>
        <v/>
      </c>
    </row>
    <row r="1997">
      <c r="I1997" s="73">
        <f>IF($A1997="","",$A1997&amp;"|"&amp;$B1997&amp;"|"&amp;$C1997&amp;"|"&amp;$D1997)</f>
        <v/>
      </c>
    </row>
    <row r="1998">
      <c r="I1998" s="73">
        <f>IF($A1998="","",$A1998&amp;"|"&amp;$B1998&amp;"|"&amp;$C1998&amp;"|"&amp;$D1998)</f>
        <v/>
      </c>
    </row>
    <row r="1999">
      <c r="I1999" s="73">
        <f>IF($A1999="","",$A1999&amp;"|"&amp;$B1999&amp;"|"&amp;$C1999&amp;"|"&amp;$D1999)</f>
        <v/>
      </c>
    </row>
    <row r="2000">
      <c r="I2000" s="73">
        <f>IF($A2000="","",$A2000&amp;"|"&amp;$B2000&amp;"|"&amp;$C2000&amp;"|"&amp;$D2000)</f>
        <v/>
      </c>
    </row>
    <row r="2001">
      <c r="I2001" s="73">
        <f>IF($A2001="","",$A2001&amp;"|"&amp;$B2001&amp;"|"&amp;$C2001&amp;"|"&amp;$D2001)</f>
        <v/>
      </c>
    </row>
    <row r="2002">
      <c r="I2002" s="73">
        <f>IF($A2002="","",$A2002&amp;"|"&amp;$B2002&amp;"|"&amp;$C2002&amp;"|"&amp;$D2002)</f>
        <v/>
      </c>
    </row>
    <row r="2003">
      <c r="I2003" s="73">
        <f>IF($A2003="","",$A2003&amp;"|"&amp;$B2003&amp;"|"&amp;$C2003&amp;"|"&amp;$D2003)</f>
        <v/>
      </c>
    </row>
    <row r="2004">
      <c r="I2004" s="73">
        <f>IF($A2004="","",$A2004&amp;"|"&amp;$B2004&amp;"|"&amp;$C2004&amp;"|"&amp;$D2004)</f>
        <v/>
      </c>
    </row>
  </sheetData>
  <dataValidations count="1">
    <dataValidation sqref="E5:E2004" showDropDown="0" showInputMessage="0" showErrorMessage="0" allowBlank="1" type="list">
      <formula1>"일회성 대형,신규 거래처,단가 인상,계상 시점 이동,정정·역분개,재분류,연간 일괄 계상,물량 증가,기타"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52" customWidth="1" min="7" max="7"/>
    <col width="12" customWidth="1" min="8" max="8"/>
    <col width="10" customWidth="1" min="9" max="9"/>
  </cols>
  <sheetData>
    <row r="1">
      <c r="A1" s="1" t="inlineStr">
        <is>
          <t>TRACE · 적요 키워드 사전</t>
        </is>
      </c>
    </row>
    <row r="2">
      <c r="A2" s="2" t="inlineStr">
        <is>
          <t>원인분석의 '키워드' 패턴이 사용 · 확인된 표현을 계속 추가하세요 (빈 칸은 무시)</t>
        </is>
      </c>
    </row>
    <row r="3">
      <c r="A3" s="35">
        <f>"현재 원인분석 선택: "&amp;원인분석!$E$9</f>
        <v/>
      </c>
    </row>
    <row r="4" ht="30" customHeight="1">
      <c r="A4" s="4" t="inlineStr">
        <is>
          <t>원인 유형</t>
        </is>
      </c>
      <c r="B4" s="4" t="inlineStr">
        <is>
          <t>키워드1</t>
        </is>
      </c>
      <c r="C4" s="4" t="inlineStr">
        <is>
          <t>키워드2</t>
        </is>
      </c>
      <c r="D4" s="4" t="inlineStr">
        <is>
          <t>키워드3</t>
        </is>
      </c>
      <c r="E4" s="4" t="inlineStr">
        <is>
          <t>키워드4</t>
        </is>
      </c>
      <c r="F4" s="4" t="inlineStr">
        <is>
          <t>키워드5</t>
        </is>
      </c>
      <c r="G4" s="4" t="inlineStr">
        <is>
          <t>원인 설명 (출력 문장에 사용)</t>
        </is>
      </c>
      <c r="H4" s="4" t="inlineStr">
        <is>
          <t>당기 해당 금액</t>
        </is>
      </c>
      <c r="I4" s="4" t="inlineStr">
        <is>
          <t>증가분 대비</t>
        </is>
      </c>
    </row>
    <row r="5">
      <c r="A5" s="74" t="inlineStr">
        <is>
          <t>연간 일괄 계상</t>
        </is>
      </c>
      <c r="B5" s="71" t="inlineStr">
        <is>
          <t>연간</t>
        </is>
      </c>
      <c r="C5" s="71" t="inlineStr">
        <is>
          <t>일시</t>
        </is>
      </c>
      <c r="D5" s="71" t="inlineStr">
        <is>
          <t>선급</t>
        </is>
      </c>
      <c r="E5" s="71" t="inlineStr">
        <is>
          <t>1년</t>
        </is>
      </c>
      <c r="F5" s="71" t="inlineStr">
        <is>
          <t>반기</t>
        </is>
      </c>
      <c r="G5" s="71" t="inlineStr">
        <is>
          <t>연간·반기 계약을 한 번에 계상했을 가능성. 월할 안분 대상인지 확인</t>
        </is>
      </c>
      <c r="H5" s="29">
        <f>IF($A5="","",SUMPRODUCT(MAX(($B5:$F5&lt;&gt;"")*SUMIFS(전표_원본!$P$5:$P$100000,전표_원본!$Q$5:$Q$100000,"당기",전표_원본!$I$5:$I$100000,"*"&amp;$B5:$F5&amp;"*"))))</f>
        <v/>
      </c>
      <c r="I5" s="56">
        <f>IF(OR($A5="",원인분석!$C$16&lt;=0),"",H5/원인분석!$C$16)</f>
        <v/>
      </c>
    </row>
    <row r="6">
      <c r="A6" s="74" t="inlineStr">
        <is>
          <t>캠페인·행사</t>
        </is>
      </c>
      <c r="B6" s="71" t="inlineStr">
        <is>
          <t>캠페인</t>
        </is>
      </c>
      <c r="C6" s="71" t="inlineStr">
        <is>
          <t>행사</t>
        </is>
      </c>
      <c r="D6" s="71" t="inlineStr">
        <is>
          <t>이벤트</t>
        </is>
      </c>
      <c r="E6" s="71" t="inlineStr">
        <is>
          <t>프로모션</t>
        </is>
      </c>
      <c r="F6" s="71" t="inlineStr">
        <is>
          <t>박람회</t>
        </is>
      </c>
      <c r="G6" s="71" t="inlineStr">
        <is>
          <t>일회성 캠페인·행사 비용일 가능성</t>
        </is>
      </c>
      <c r="H6" s="29">
        <f>IF($A6="","",SUMPRODUCT(MAX(($B6:$F6&lt;&gt;"")*SUMIFS(전표_원본!$P$5:$P$100000,전표_원본!$Q$5:$Q$100000,"당기",전표_원본!$I$5:$I$100000,"*"&amp;$B6:$F6&amp;"*"))))</f>
        <v/>
      </c>
      <c r="I6" s="56">
        <f>IF(OR($A6="",원인분석!$C$16&lt;=0),"",H6/원인분석!$C$16)</f>
        <v/>
      </c>
    </row>
    <row r="7">
      <c r="A7" s="74" t="inlineStr">
        <is>
          <t>정정·취소</t>
        </is>
      </c>
      <c r="B7" s="71" t="inlineStr">
        <is>
          <t>정정</t>
        </is>
      </c>
      <c r="C7" s="71" t="inlineStr">
        <is>
          <t>취소</t>
        </is>
      </c>
      <c r="D7" s="71" t="inlineStr">
        <is>
          <t>역분개</t>
        </is>
      </c>
      <c r="E7" s="71" t="inlineStr">
        <is>
          <t>오류</t>
        </is>
      </c>
      <c r="F7" s="71" t="inlineStr">
        <is>
          <t>환입</t>
        </is>
      </c>
      <c r="G7" s="71" t="inlineStr">
        <is>
          <t>정정 전표 영향. 순액 기준으로 다시 확인</t>
        </is>
      </c>
      <c r="H7" s="29">
        <f>IF($A7="","",SUMPRODUCT(MAX(($B7:$F7&lt;&gt;"")*SUMIFS(전표_원본!$P$5:$P$100000,전표_원본!$Q$5:$Q$100000,"당기",전표_원본!$I$5:$I$100000,"*"&amp;$B7:$F7&amp;"*"))))</f>
        <v/>
      </c>
      <c r="I7" s="56">
        <f>IF(OR($A7="",원인분석!$C$16&lt;=0),"",H7/원인분석!$C$16)</f>
        <v/>
      </c>
    </row>
    <row r="8">
      <c r="A8" s="74" t="inlineStr">
        <is>
          <t>이관·재분류</t>
        </is>
      </c>
      <c r="B8" s="71" t="inlineStr">
        <is>
          <t>재분류</t>
        </is>
      </c>
      <c r="C8" s="71" t="inlineStr">
        <is>
          <t>이관</t>
        </is>
      </c>
      <c r="D8" s="71" t="inlineStr">
        <is>
          <t>대체</t>
        </is>
      </c>
      <c r="E8" s="71" t="inlineStr">
        <is>
          <t>귀속변경</t>
        </is>
      </c>
      <c r="F8" s="71" t="n"/>
      <c r="G8" s="71" t="inlineStr">
        <is>
          <t>다른 부서·계정에서 넘어온 금액일 가능성</t>
        </is>
      </c>
      <c r="H8" s="29">
        <f>IF($A8="","",SUMPRODUCT(MAX(($B8:$F8&lt;&gt;"")*SUMIFS(전표_원본!$P$5:$P$100000,전표_원본!$Q$5:$Q$100000,"당기",전표_원본!$I$5:$I$100000,"*"&amp;$B8:$F8&amp;"*"))))</f>
        <v/>
      </c>
      <c r="I8" s="56">
        <f>IF(OR($A8="",원인분석!$C$16&lt;=0),"",H8/원인분석!$C$16)</f>
        <v/>
      </c>
    </row>
    <row r="9">
      <c r="A9" s="74" t="inlineStr">
        <is>
          <t>추정 계상</t>
        </is>
      </c>
      <c r="B9" s="71" t="inlineStr">
        <is>
          <t>미지급</t>
        </is>
      </c>
      <c r="C9" s="71" t="inlineStr">
        <is>
          <t>추정</t>
        </is>
      </c>
      <c r="D9" s="71" t="inlineStr">
        <is>
          <t>선계상</t>
        </is>
      </c>
      <c r="E9" s="71" t="n"/>
      <c r="F9" s="71" t="n"/>
      <c r="G9" s="71" t="inlineStr">
        <is>
          <t>월말 추정 계상분. 다음 달 역분개 여부 확인</t>
        </is>
      </c>
      <c r="H9" s="29">
        <f>IF($A9="","",SUMPRODUCT(MAX(($B9:$F9&lt;&gt;"")*SUMIFS(전표_원본!$P$5:$P$100000,전표_원본!$Q$5:$Q$100000,"당기",전표_원본!$I$5:$I$100000,"*"&amp;$B9:$F9&amp;"*"))))</f>
        <v/>
      </c>
      <c r="I9" s="56">
        <f>IF(OR($A9="",원인분석!$C$16&lt;=0),"",H9/원인분석!$C$16)</f>
        <v/>
      </c>
    </row>
    <row r="10">
      <c r="A10" s="74" t="inlineStr">
        <is>
          <t>소급·정산</t>
        </is>
      </c>
      <c r="B10" s="71" t="inlineStr">
        <is>
          <t>소급</t>
        </is>
      </c>
      <c r="C10" s="71" t="inlineStr">
        <is>
          <t>정산</t>
        </is>
      </c>
      <c r="D10" s="71" t="inlineStr">
        <is>
          <t>추가청구</t>
        </is>
      </c>
      <c r="E10" s="71" t="inlineStr">
        <is>
          <t>차액</t>
        </is>
      </c>
      <c r="F10" s="71" t="n"/>
      <c r="G10" s="71" t="inlineStr">
        <is>
          <t>과거분 정산·소급 지급일 가능성</t>
        </is>
      </c>
      <c r="H10" s="29">
        <f>IF($A10="","",SUMPRODUCT(MAX(($B10:$F10&lt;&gt;"")*SUMIFS(전표_원본!$P$5:$P$100000,전표_원본!$Q$5:$Q$100000,"당기",전표_원본!$I$5:$I$100000,"*"&amp;$B10:$F10&amp;"*"))))</f>
        <v/>
      </c>
      <c r="I10" s="56">
        <f>IF(OR($A10="",원인분석!$C$16&lt;=0),"",H10/원인분석!$C$16)</f>
        <v/>
      </c>
    </row>
    <row r="11">
      <c r="A11" s="71" t="n"/>
      <c r="B11" s="71" t="n"/>
      <c r="C11" s="71" t="n"/>
      <c r="D11" s="71" t="n"/>
      <c r="E11" s="71" t="n"/>
      <c r="F11" s="71" t="n"/>
      <c r="G11" s="71" t="n"/>
      <c r="H11" s="29">
        <f>IF($A11="","",SUMPRODUCT(MAX(($B11:$F11&lt;&gt;"")*SUMIFS(전표_원본!$P$5:$P$100000,전표_원본!$Q$5:$Q$100000,"당기",전표_원본!$I$5:$I$100000,"*"&amp;$B11:$F11&amp;"*"))))</f>
        <v/>
      </c>
      <c r="I11" s="56">
        <f>IF(OR($A11="",원인분석!$C$16&lt;=0),"",H11/원인분석!$C$16)</f>
        <v/>
      </c>
    </row>
    <row r="12">
      <c r="A12" s="71" t="n"/>
      <c r="B12" s="71" t="n"/>
      <c r="C12" s="71" t="n"/>
      <c r="D12" s="71" t="n"/>
      <c r="E12" s="71" t="n"/>
      <c r="F12" s="71" t="n"/>
      <c r="G12" s="71" t="n"/>
      <c r="H12" s="29">
        <f>IF($A12="","",SUMPRODUCT(MAX(($B12:$F12&lt;&gt;"")*SUMIFS(전표_원본!$P$5:$P$100000,전표_원본!$Q$5:$Q$100000,"당기",전표_원본!$I$5:$I$100000,"*"&amp;$B12:$F12&amp;"*"))))</f>
        <v/>
      </c>
      <c r="I12" s="56">
        <f>IF(OR($A12="",원인분석!$C$16&lt;=0),"",H12/원인분석!$C$16)</f>
        <v/>
      </c>
    </row>
    <row r="13">
      <c r="A13" s="71" t="n"/>
      <c r="B13" s="71" t="n"/>
      <c r="C13" s="71" t="n"/>
      <c r="D13" s="71" t="n"/>
      <c r="E13" s="71" t="n"/>
      <c r="F13" s="71" t="n"/>
      <c r="G13" s="71" t="n"/>
      <c r="H13" s="29">
        <f>IF($A13="","",SUMPRODUCT(MAX(($B13:$F13&lt;&gt;"")*SUMIFS(전표_원본!$P$5:$P$100000,전표_원본!$Q$5:$Q$100000,"당기",전표_원본!$I$5:$I$100000,"*"&amp;$B13:$F13&amp;"*"))))</f>
        <v/>
      </c>
      <c r="I13" s="56">
        <f>IF(OR($A13="",원인분석!$C$16&lt;=0),"",H13/원인분석!$C$16)</f>
        <v/>
      </c>
    </row>
    <row r="14">
      <c r="A14" s="71" t="n"/>
      <c r="B14" s="71" t="n"/>
      <c r="C14" s="71" t="n"/>
      <c r="D14" s="71" t="n"/>
      <c r="E14" s="71" t="n"/>
      <c r="F14" s="71" t="n"/>
      <c r="G14" s="71" t="n"/>
      <c r="H14" s="29">
        <f>IF($A14="","",SUMPRODUCT(MAX(($B14:$F14&lt;&gt;"")*SUMIFS(전표_원본!$P$5:$P$100000,전표_원본!$Q$5:$Q$100000,"당기",전표_원본!$I$5:$I$100000,"*"&amp;$B14:$F14&amp;"*"))))</f>
        <v/>
      </c>
      <c r="I14" s="56">
        <f>IF(OR($A14="",원인분석!$C$16&lt;=0),"",H14/원인분석!$C$16)</f>
        <v/>
      </c>
    </row>
    <row r="15">
      <c r="A15" s="71" t="n"/>
      <c r="B15" s="71" t="n"/>
      <c r="C15" s="71" t="n"/>
      <c r="D15" s="71" t="n"/>
      <c r="E15" s="71" t="n"/>
      <c r="F15" s="71" t="n"/>
      <c r="G15" s="71" t="n"/>
      <c r="H15" s="29">
        <f>IF($A15="","",SUMPRODUCT(MAX(($B15:$F15&lt;&gt;"")*SUMIFS(전표_원본!$P$5:$P$100000,전표_원본!$Q$5:$Q$100000,"당기",전표_원본!$I$5:$I$100000,"*"&amp;$B15:$F15&amp;"*"))))</f>
        <v/>
      </c>
      <c r="I15" s="56">
        <f>IF(OR($A15="",원인분석!$C$16&lt;=0),"",H15/원인분석!$C$16)</f>
        <v/>
      </c>
    </row>
    <row r="16">
      <c r="A16" s="71" t="n"/>
      <c r="B16" s="71" t="n"/>
      <c r="C16" s="71" t="n"/>
      <c r="D16" s="71" t="n"/>
      <c r="E16" s="71" t="n"/>
      <c r="F16" s="71" t="n"/>
      <c r="G16" s="71" t="n"/>
      <c r="H16" s="29">
        <f>IF($A16="","",SUMPRODUCT(MAX(($B16:$F16&lt;&gt;"")*SUMIFS(전표_원본!$P$5:$P$100000,전표_원본!$Q$5:$Q$100000,"당기",전표_원본!$I$5:$I$100000,"*"&amp;$B16:$F16&amp;"*"))))</f>
        <v/>
      </c>
      <c r="I16" s="56">
        <f>IF(OR($A16="",원인분석!$C$16&lt;=0),"",H16/원인분석!$C$16)</f>
        <v/>
      </c>
    </row>
    <row r="17">
      <c r="A17" s="71" t="n"/>
      <c r="B17" s="71" t="n"/>
      <c r="C17" s="71" t="n"/>
      <c r="D17" s="71" t="n"/>
      <c r="E17" s="71" t="n"/>
      <c r="F17" s="71" t="n"/>
      <c r="G17" s="71" t="n"/>
      <c r="H17" s="29">
        <f>IF($A17="","",SUMPRODUCT(MAX(($B17:$F17&lt;&gt;"")*SUMIFS(전표_원본!$P$5:$P$100000,전표_원본!$Q$5:$Q$100000,"당기",전표_원본!$I$5:$I$100000,"*"&amp;$B17:$F17&amp;"*"))))</f>
        <v/>
      </c>
      <c r="I17" s="56">
        <f>IF(OR($A17="",원인분석!$C$16&lt;=0),"",H17/원인분석!$C$16)</f>
        <v/>
      </c>
    </row>
    <row r="18">
      <c r="A18" s="71" t="n"/>
      <c r="B18" s="71" t="n"/>
      <c r="C18" s="71" t="n"/>
      <c r="D18" s="71" t="n"/>
      <c r="E18" s="71" t="n"/>
      <c r="F18" s="71" t="n"/>
      <c r="G18" s="71" t="n"/>
      <c r="H18" s="29">
        <f>IF($A18="","",SUMPRODUCT(MAX(($B18:$F18&lt;&gt;"")*SUMIFS(전표_원본!$P$5:$P$100000,전표_원본!$Q$5:$Q$100000,"당기",전표_원본!$I$5:$I$100000,"*"&amp;$B18:$F18&amp;"*"))))</f>
        <v/>
      </c>
      <c r="I18" s="56">
        <f>IF(OR($A18="",원인분석!$C$16&lt;=0),"",H18/원인분석!$C$16)</f>
        <v/>
      </c>
    </row>
    <row r="19">
      <c r="A19" s="71" t="n"/>
      <c r="B19" s="71" t="n"/>
      <c r="C19" s="71" t="n"/>
      <c r="D19" s="71" t="n"/>
      <c r="E19" s="71" t="n"/>
      <c r="F19" s="71" t="n"/>
      <c r="G19" s="71" t="n"/>
      <c r="H19" s="29">
        <f>IF($A19="","",SUMPRODUCT(MAX(($B19:$F19&lt;&gt;"")*SUMIFS(전표_원본!$P$5:$P$100000,전표_원본!$Q$5:$Q$100000,"당기",전표_원본!$I$5:$I$100000,"*"&amp;$B19:$F19&amp;"*"))))</f>
        <v/>
      </c>
      <c r="I19" s="56">
        <f>IF(OR($A19="",원인분석!$C$16&lt;=0),"",H19/원인분석!$C$16)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5B9BD5"/>
    <outlinePr summaryBelow="1" summaryRight="1"/>
    <pageSetUpPr/>
  </sheetPr>
  <dimension ref="A1:R25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2" customWidth="1" min="3" max="3"/>
    <col width="11" customWidth="1" min="4" max="4"/>
    <col width="20" customWidth="1" min="5" max="5"/>
    <col width="6" customWidth="1" min="6" max="6"/>
    <col width="14" customWidth="1" min="7" max="7"/>
    <col width="12" customWidth="1" min="8" max="8"/>
    <col width="14" customWidth="1" min="9" max="9"/>
    <col width="14" customWidth="1" min="10" max="10"/>
    <col width="2" customWidth="1" min="11" max="11"/>
    <col width="15" customWidth="1" min="12" max="12"/>
    <col width="6" customWidth="1" min="13" max="13"/>
    <col width="5" customWidth="1" min="14" max="14"/>
    <col width="11" customWidth="1" min="15" max="15"/>
    <col width="11" customWidth="1" min="16" max="16"/>
    <col width="8" customWidth="1" min="17" max="17"/>
    <col width="10" customWidth="1" min="18" max="18"/>
  </cols>
  <sheetData>
    <row r="1">
      <c r="A1" s="1" t="inlineStr">
        <is>
          <t>TRACE · 예산판 원본 (부서 × 계정 × 분기)</t>
        </is>
      </c>
    </row>
    <row r="2">
      <c r="A2" s="2" t="inlineStr">
        <is>
          <t>A~J: 붙여넣기 · L~R: 보조수식 · 분기는 1~4, Q1, 1분기 모두 인식</t>
        </is>
      </c>
    </row>
    <row r="4" ht="30" customHeight="1">
      <c r="A4" s="4" t="inlineStr">
        <is>
          <t>회계연도</t>
        </is>
      </c>
      <c r="B4" s="4" t="inlineStr">
        <is>
          <t>부서코드</t>
        </is>
      </c>
      <c r="C4" s="4" t="inlineStr">
        <is>
          <t>부서명</t>
        </is>
      </c>
      <c r="D4" s="4" t="inlineStr">
        <is>
          <t>G/L계정</t>
        </is>
      </c>
      <c r="E4" s="4" t="inlineStr">
        <is>
          <t>계정명</t>
        </is>
      </c>
      <c r="F4" s="4" t="inlineStr">
        <is>
          <t>분기</t>
        </is>
      </c>
      <c r="G4" s="4" t="inlineStr">
        <is>
          <t>배정</t>
        </is>
      </c>
      <c r="H4" s="4" t="inlineStr">
        <is>
          <t>조정</t>
        </is>
      </c>
      <c r="I4" s="4" t="inlineStr">
        <is>
          <t>실적</t>
        </is>
      </c>
      <c r="J4" s="4" t="inlineStr">
        <is>
          <t>잔여</t>
        </is>
      </c>
      <c r="L4" s="36" t="inlineStr">
        <is>
          <t>키</t>
        </is>
      </c>
      <c r="M4" s="36" t="inlineStr">
        <is>
          <t>연도</t>
        </is>
      </c>
      <c r="N4" s="36" t="inlineStr">
        <is>
          <t>분기</t>
        </is>
      </c>
      <c r="O4" s="36" t="inlineStr">
        <is>
          <t>가용
(보고단위)</t>
        </is>
      </c>
      <c r="P4" s="36" t="inlineStr">
        <is>
          <t>실적
(보고단위)</t>
        </is>
      </c>
      <c r="Q4" s="36" t="inlineStr">
        <is>
          <t>목록포함</t>
        </is>
      </c>
      <c r="R4" s="36" t="inlineStr">
        <is>
          <t>G/L텍스트</t>
        </is>
      </c>
    </row>
    <row r="5">
      <c r="A5" s="75" t="n">
        <v>2026</v>
      </c>
      <c r="B5" s="75" t="inlineStr">
        <is>
          <t>D100</t>
        </is>
      </c>
      <c r="C5" s="75" t="inlineStr">
        <is>
          <t>경영기획팀</t>
        </is>
      </c>
      <c r="D5" s="75" t="n">
        <v>62101000</v>
      </c>
      <c r="E5" s="75" t="inlineStr">
        <is>
          <t>여비교통비-국내</t>
        </is>
      </c>
      <c r="F5" s="75" t="n">
        <v>1</v>
      </c>
      <c r="G5" s="76" t="n">
        <v>7650000</v>
      </c>
      <c r="H5" s="76" t="n">
        <v>0</v>
      </c>
      <c r="I5" s="76" t="n">
        <v>6849000</v>
      </c>
      <c r="J5" s="76" t="n">
        <v>801000</v>
      </c>
      <c r="L5" s="9">
        <f>IF($A5="","",$B5&amp;"|"&amp;$D5)</f>
        <v/>
      </c>
      <c r="M5" s="9">
        <f>IF($A5="","",VALUE($A5&amp;""))</f>
        <v/>
      </c>
      <c r="N5" s="9">
        <f>IF($A5="","",VALUE(SUBSTITUTE(SUBSTITUTE(SUBSTITUTE(UPPER($F5&amp;""),"Q",""),"분기","")," ","")))</f>
        <v/>
      </c>
      <c r="O5" s="77">
        <f>IF($A5="",0,($G5+$H5)*설정!$C$23)</f>
        <v/>
      </c>
      <c r="P5" s="77">
        <f>IF($A5="",0,$I5*설정!$C$23)</f>
        <v/>
      </c>
      <c r="Q5" s="39">
        <f>IF($A5="","",IF(COUNTIF(변동분석!$E$7:$E$506,L5)&gt;0,"Y","N"))</f>
        <v/>
      </c>
      <c r="R5" s="9">
        <f>IF($A5="","",$D5&amp;"")</f>
        <v/>
      </c>
    </row>
    <row r="6">
      <c r="A6" s="75" t="n">
        <v>2026</v>
      </c>
      <c r="B6" s="75" t="inlineStr">
        <is>
          <t>D100</t>
        </is>
      </c>
      <c r="C6" s="75" t="inlineStr">
        <is>
          <t>경영기획팀</t>
        </is>
      </c>
      <c r="D6" s="75" t="n">
        <v>62101000</v>
      </c>
      <c r="E6" s="75" t="inlineStr">
        <is>
          <t>여비교통비-국내</t>
        </is>
      </c>
      <c r="F6" s="75" t="n">
        <v>2</v>
      </c>
      <c r="G6" s="76" t="n">
        <v>7650000</v>
      </c>
      <c r="H6" s="76" t="n">
        <v>0</v>
      </c>
      <c r="I6" s="76" t="n">
        <v>6789000</v>
      </c>
      <c r="J6" s="76" t="n">
        <v>861000</v>
      </c>
      <c r="L6" s="9">
        <f>IF($A6="","",$B6&amp;"|"&amp;$D6)</f>
        <v/>
      </c>
      <c r="M6" s="9">
        <f>IF($A6="","",VALUE($A6&amp;""))</f>
        <v/>
      </c>
      <c r="N6" s="9">
        <f>IF($A6="","",VALUE(SUBSTITUTE(SUBSTITUTE(SUBSTITUTE(UPPER($F6&amp;""),"Q",""),"분기","")," ","")))</f>
        <v/>
      </c>
      <c r="O6" s="77">
        <f>IF($A6="",0,($G6+$H6)*설정!$C$23)</f>
        <v/>
      </c>
      <c r="P6" s="77">
        <f>IF($A6="",0,$I6*설정!$C$23)</f>
        <v/>
      </c>
      <c r="Q6" s="39">
        <f>IF($A6="","",IF(COUNTIF(변동분석!$E$7:$E$506,L6)&gt;0,"Y","N"))</f>
        <v/>
      </c>
      <c r="R6" s="9">
        <f>IF($A6="","",$D6&amp;"")</f>
        <v/>
      </c>
    </row>
    <row r="7">
      <c r="A7" s="75" t="n">
        <v>2026</v>
      </c>
      <c r="B7" s="75" t="inlineStr">
        <is>
          <t>D100</t>
        </is>
      </c>
      <c r="C7" s="75" t="inlineStr">
        <is>
          <t>경영기획팀</t>
        </is>
      </c>
      <c r="D7" s="75" t="n">
        <v>62101000</v>
      </c>
      <c r="E7" s="75" t="inlineStr">
        <is>
          <t>여비교통비-국내</t>
        </is>
      </c>
      <c r="F7" s="75" t="n">
        <v>3</v>
      </c>
      <c r="G7" s="76" t="n">
        <v>7650000</v>
      </c>
      <c r="H7" s="76" t="n">
        <v>0</v>
      </c>
      <c r="I7" s="76" t="n">
        <v>6747000</v>
      </c>
      <c r="J7" s="76" t="n">
        <v>903000</v>
      </c>
      <c r="L7" s="9">
        <f>IF($A7="","",$B7&amp;"|"&amp;$D7)</f>
        <v/>
      </c>
      <c r="M7" s="9">
        <f>IF($A7="","",VALUE($A7&amp;""))</f>
        <v/>
      </c>
      <c r="N7" s="9">
        <f>IF($A7="","",VALUE(SUBSTITUTE(SUBSTITUTE(SUBSTITUTE(UPPER($F7&amp;""),"Q",""),"분기","")," ","")))</f>
        <v/>
      </c>
      <c r="O7" s="77">
        <f>IF($A7="",0,($G7+$H7)*설정!$C$23)</f>
        <v/>
      </c>
      <c r="P7" s="77">
        <f>IF($A7="",0,$I7*설정!$C$23)</f>
        <v/>
      </c>
      <c r="Q7" s="39">
        <f>IF($A7="","",IF(COUNTIF(변동분석!$E$7:$E$506,L7)&gt;0,"Y","N"))</f>
        <v/>
      </c>
      <c r="R7" s="9">
        <f>IF($A7="","",$D7&amp;"")</f>
        <v/>
      </c>
    </row>
    <row r="8">
      <c r="A8" s="75" t="n">
        <v>2026</v>
      </c>
      <c r="B8" s="75" t="inlineStr">
        <is>
          <t>D100</t>
        </is>
      </c>
      <c r="C8" s="75" t="inlineStr">
        <is>
          <t>경영기획팀</t>
        </is>
      </c>
      <c r="D8" s="75" t="n">
        <v>62101000</v>
      </c>
      <c r="E8" s="75" t="inlineStr">
        <is>
          <t>여비교통비-국내</t>
        </is>
      </c>
      <c r="F8" s="75" t="n">
        <v>4</v>
      </c>
      <c r="G8" s="76" t="n">
        <v>7650000</v>
      </c>
      <c r="H8" s="76" t="n">
        <v>0</v>
      </c>
      <c r="I8" s="76" t="n">
        <v>0</v>
      </c>
      <c r="J8" s="76" t="n">
        <v>7650000</v>
      </c>
      <c r="L8" s="9">
        <f>IF($A8="","",$B8&amp;"|"&amp;$D8)</f>
        <v/>
      </c>
      <c r="M8" s="9">
        <f>IF($A8="","",VALUE($A8&amp;""))</f>
        <v/>
      </c>
      <c r="N8" s="9">
        <f>IF($A8="","",VALUE(SUBSTITUTE(SUBSTITUTE(SUBSTITUTE(UPPER($F8&amp;""),"Q",""),"분기","")," ","")))</f>
        <v/>
      </c>
      <c r="O8" s="77">
        <f>IF($A8="",0,($G8+$H8)*설정!$C$23)</f>
        <v/>
      </c>
      <c r="P8" s="77">
        <f>IF($A8="",0,$I8*설정!$C$23)</f>
        <v/>
      </c>
      <c r="Q8" s="39">
        <f>IF($A8="","",IF(COUNTIF(변동분석!$E$7:$E$506,L8)&gt;0,"Y","N"))</f>
        <v/>
      </c>
      <c r="R8" s="9">
        <f>IF($A8="","",$D8&amp;"")</f>
        <v/>
      </c>
    </row>
    <row r="9">
      <c r="A9" s="75" t="n">
        <v>2026</v>
      </c>
      <c r="B9" s="75" t="inlineStr">
        <is>
          <t>D100</t>
        </is>
      </c>
      <c r="C9" s="75" t="inlineStr">
        <is>
          <t>경영기획팀</t>
        </is>
      </c>
      <c r="D9" s="75" t="n">
        <v>62102000</v>
      </c>
      <c r="E9" s="75" t="inlineStr">
        <is>
          <t>여비교통비-해외</t>
        </is>
      </c>
      <c r="F9" s="75" t="n">
        <v>1</v>
      </c>
      <c r="G9" s="76" t="n">
        <v>1350000</v>
      </c>
      <c r="H9" s="76" t="n">
        <v>0</v>
      </c>
      <c r="I9" s="76" t="n">
        <v>1142000</v>
      </c>
      <c r="J9" s="76" t="n">
        <v>208000</v>
      </c>
      <c r="L9" s="9">
        <f>IF($A9="","",$B9&amp;"|"&amp;$D9)</f>
        <v/>
      </c>
      <c r="M9" s="9">
        <f>IF($A9="","",VALUE($A9&amp;""))</f>
        <v/>
      </c>
      <c r="N9" s="9">
        <f>IF($A9="","",VALUE(SUBSTITUTE(SUBSTITUTE(SUBSTITUTE(UPPER($F9&amp;""),"Q",""),"분기","")," ","")))</f>
        <v/>
      </c>
      <c r="O9" s="77">
        <f>IF($A9="",0,($G9+$H9)*설정!$C$23)</f>
        <v/>
      </c>
      <c r="P9" s="77">
        <f>IF($A9="",0,$I9*설정!$C$23)</f>
        <v/>
      </c>
      <c r="Q9" s="39">
        <f>IF($A9="","",IF(COUNTIF(변동분석!$E$7:$E$506,L9)&gt;0,"Y","N"))</f>
        <v/>
      </c>
      <c r="R9" s="9">
        <f>IF($A9="","",$D9&amp;"")</f>
        <v/>
      </c>
    </row>
    <row r="10">
      <c r="A10" s="75" t="n">
        <v>2026</v>
      </c>
      <c r="B10" s="75" t="inlineStr">
        <is>
          <t>D100</t>
        </is>
      </c>
      <c r="C10" s="75" t="inlineStr">
        <is>
          <t>경영기획팀</t>
        </is>
      </c>
      <c r="D10" s="75" t="n">
        <v>62102000</v>
      </c>
      <c r="E10" s="75" t="inlineStr">
        <is>
          <t>여비교통비-해외</t>
        </is>
      </c>
      <c r="F10" s="75" t="n">
        <v>2</v>
      </c>
      <c r="G10" s="76" t="n">
        <v>1350000</v>
      </c>
      <c r="H10" s="76" t="n">
        <v>0</v>
      </c>
      <c r="I10" s="76" t="n">
        <v>1108000</v>
      </c>
      <c r="J10" s="76" t="n">
        <v>242000</v>
      </c>
      <c r="L10" s="9">
        <f>IF($A10="","",$B10&amp;"|"&amp;$D10)</f>
        <v/>
      </c>
      <c r="M10" s="9">
        <f>IF($A10="","",VALUE($A10&amp;""))</f>
        <v/>
      </c>
      <c r="N10" s="9">
        <f>IF($A10="","",VALUE(SUBSTITUTE(SUBSTITUTE(SUBSTITUTE(UPPER($F10&amp;""),"Q",""),"분기","")," ","")))</f>
        <v/>
      </c>
      <c r="O10" s="77">
        <f>IF($A10="",0,($G10+$H10)*설정!$C$23)</f>
        <v/>
      </c>
      <c r="P10" s="77">
        <f>IF($A10="",0,$I10*설정!$C$23)</f>
        <v/>
      </c>
      <c r="Q10" s="39">
        <f>IF($A10="","",IF(COUNTIF(변동분석!$E$7:$E$506,L10)&gt;0,"Y","N"))</f>
        <v/>
      </c>
      <c r="R10" s="9">
        <f>IF($A10="","",$D10&amp;"")</f>
        <v/>
      </c>
    </row>
    <row r="11">
      <c r="A11" s="75" t="n">
        <v>2026</v>
      </c>
      <c r="B11" s="75" t="inlineStr">
        <is>
          <t>D100</t>
        </is>
      </c>
      <c r="C11" s="75" t="inlineStr">
        <is>
          <t>경영기획팀</t>
        </is>
      </c>
      <c r="D11" s="75" t="n">
        <v>62102000</v>
      </c>
      <c r="E11" s="75" t="inlineStr">
        <is>
          <t>여비교통비-해외</t>
        </is>
      </c>
      <c r="F11" s="75" t="n">
        <v>3</v>
      </c>
      <c r="G11" s="76" t="n">
        <v>1350000</v>
      </c>
      <c r="H11" s="76" t="n">
        <v>0</v>
      </c>
      <c r="I11" s="76" t="n">
        <v>1152000</v>
      </c>
      <c r="J11" s="76" t="n">
        <v>198000</v>
      </c>
      <c r="L11" s="9">
        <f>IF($A11="","",$B11&amp;"|"&amp;$D11)</f>
        <v/>
      </c>
      <c r="M11" s="9">
        <f>IF($A11="","",VALUE($A11&amp;""))</f>
        <v/>
      </c>
      <c r="N11" s="9">
        <f>IF($A11="","",VALUE(SUBSTITUTE(SUBSTITUTE(SUBSTITUTE(UPPER($F11&amp;""),"Q",""),"분기","")," ","")))</f>
        <v/>
      </c>
      <c r="O11" s="77">
        <f>IF($A11="",0,($G11+$H11)*설정!$C$23)</f>
        <v/>
      </c>
      <c r="P11" s="77">
        <f>IF($A11="",0,$I11*설정!$C$23)</f>
        <v/>
      </c>
      <c r="Q11" s="39">
        <f>IF($A11="","",IF(COUNTIF(변동분석!$E$7:$E$506,L11)&gt;0,"Y","N"))</f>
        <v/>
      </c>
      <c r="R11" s="9">
        <f>IF($A11="","",$D11&amp;"")</f>
        <v/>
      </c>
    </row>
    <row r="12">
      <c r="A12" s="75" t="n">
        <v>2026</v>
      </c>
      <c r="B12" s="75" t="inlineStr">
        <is>
          <t>D100</t>
        </is>
      </c>
      <c r="C12" s="75" t="inlineStr">
        <is>
          <t>경영기획팀</t>
        </is>
      </c>
      <c r="D12" s="75" t="n">
        <v>62102000</v>
      </c>
      <c r="E12" s="75" t="inlineStr">
        <is>
          <t>여비교통비-해외</t>
        </is>
      </c>
      <c r="F12" s="75" t="n">
        <v>4</v>
      </c>
      <c r="G12" s="76" t="n">
        <v>1350000</v>
      </c>
      <c r="H12" s="76" t="n">
        <v>0</v>
      </c>
      <c r="I12" s="76" t="n">
        <v>0</v>
      </c>
      <c r="J12" s="76" t="n">
        <v>1350000</v>
      </c>
      <c r="L12" s="9">
        <f>IF($A12="","",$B12&amp;"|"&amp;$D12)</f>
        <v/>
      </c>
      <c r="M12" s="9">
        <f>IF($A12="","",VALUE($A12&amp;""))</f>
        <v/>
      </c>
      <c r="N12" s="9">
        <f>IF($A12="","",VALUE(SUBSTITUTE(SUBSTITUTE(SUBSTITUTE(UPPER($F12&amp;""),"Q",""),"분기","")," ","")))</f>
        <v/>
      </c>
      <c r="O12" s="77">
        <f>IF($A12="",0,($G12+$H12)*설정!$C$23)</f>
        <v/>
      </c>
      <c r="P12" s="77">
        <f>IF($A12="",0,$I12*설정!$C$23)</f>
        <v/>
      </c>
      <c r="Q12" s="39">
        <f>IF($A12="","",IF(COUNTIF(변동분석!$E$7:$E$506,L12)&gt;0,"Y","N"))</f>
        <v/>
      </c>
      <c r="R12" s="9">
        <f>IF($A12="","",$D12&amp;"")</f>
        <v/>
      </c>
    </row>
    <row r="13">
      <c r="A13" s="75" t="n">
        <v>2026</v>
      </c>
      <c r="B13" s="75" t="inlineStr">
        <is>
          <t>D100</t>
        </is>
      </c>
      <c r="C13" s="75" t="inlineStr">
        <is>
          <t>경영기획팀</t>
        </is>
      </c>
      <c r="D13" s="75" t="n">
        <v>62201000</v>
      </c>
      <c r="E13" s="75" t="inlineStr">
        <is>
          <t>통신비</t>
        </is>
      </c>
      <c r="F13" s="75" t="n">
        <v>1</v>
      </c>
      <c r="G13" s="76" t="n">
        <v>2400000</v>
      </c>
      <c r="H13" s="76" t="n">
        <v>0</v>
      </c>
      <c r="I13" s="76" t="n">
        <v>2237000</v>
      </c>
      <c r="J13" s="76" t="n">
        <v>163000</v>
      </c>
      <c r="L13" s="9">
        <f>IF($A13="","",$B13&amp;"|"&amp;$D13)</f>
        <v/>
      </c>
      <c r="M13" s="9">
        <f>IF($A13="","",VALUE($A13&amp;""))</f>
        <v/>
      </c>
      <c r="N13" s="9">
        <f>IF($A13="","",VALUE(SUBSTITUTE(SUBSTITUTE(SUBSTITUTE(UPPER($F13&amp;""),"Q",""),"분기","")," ","")))</f>
        <v/>
      </c>
      <c r="O13" s="77">
        <f>IF($A13="",0,($G13+$H13)*설정!$C$23)</f>
        <v/>
      </c>
      <c r="P13" s="77">
        <f>IF($A13="",0,$I13*설정!$C$23)</f>
        <v/>
      </c>
      <c r="Q13" s="39">
        <f>IF($A13="","",IF(COUNTIF(변동분석!$E$7:$E$506,L13)&gt;0,"Y","N"))</f>
        <v/>
      </c>
      <c r="R13" s="9">
        <f>IF($A13="","",$D13&amp;"")</f>
        <v/>
      </c>
    </row>
    <row r="14">
      <c r="A14" s="75" t="n">
        <v>2026</v>
      </c>
      <c r="B14" s="75" t="inlineStr">
        <is>
          <t>D100</t>
        </is>
      </c>
      <c r="C14" s="75" t="inlineStr">
        <is>
          <t>경영기획팀</t>
        </is>
      </c>
      <c r="D14" s="75" t="n">
        <v>62201000</v>
      </c>
      <c r="E14" s="75" t="inlineStr">
        <is>
          <t>통신비</t>
        </is>
      </c>
      <c r="F14" s="75" t="n">
        <v>2</v>
      </c>
      <c r="G14" s="76" t="n">
        <v>2400000</v>
      </c>
      <c r="H14" s="76" t="n">
        <v>0</v>
      </c>
      <c r="I14" s="76" t="n">
        <v>2267000</v>
      </c>
      <c r="J14" s="76" t="n">
        <v>133000</v>
      </c>
      <c r="L14" s="9">
        <f>IF($A14="","",$B14&amp;"|"&amp;$D14)</f>
        <v/>
      </c>
      <c r="M14" s="9">
        <f>IF($A14="","",VALUE($A14&amp;""))</f>
        <v/>
      </c>
      <c r="N14" s="9">
        <f>IF($A14="","",VALUE(SUBSTITUTE(SUBSTITUTE(SUBSTITUTE(UPPER($F14&amp;""),"Q",""),"분기","")," ","")))</f>
        <v/>
      </c>
      <c r="O14" s="77">
        <f>IF($A14="",0,($G14+$H14)*설정!$C$23)</f>
        <v/>
      </c>
      <c r="P14" s="77">
        <f>IF($A14="",0,$I14*설정!$C$23)</f>
        <v/>
      </c>
      <c r="Q14" s="39">
        <f>IF($A14="","",IF(COUNTIF(변동분석!$E$7:$E$506,L14)&gt;0,"Y","N"))</f>
        <v/>
      </c>
      <c r="R14" s="9">
        <f>IF($A14="","",$D14&amp;"")</f>
        <v/>
      </c>
    </row>
    <row r="15">
      <c r="A15" s="75" t="n">
        <v>2026</v>
      </c>
      <c r="B15" s="75" t="inlineStr">
        <is>
          <t>D100</t>
        </is>
      </c>
      <c r="C15" s="75" t="inlineStr">
        <is>
          <t>경영기획팀</t>
        </is>
      </c>
      <c r="D15" s="75" t="n">
        <v>62201000</v>
      </c>
      <c r="E15" s="75" t="inlineStr">
        <is>
          <t>통신비</t>
        </is>
      </c>
      <c r="F15" s="75" t="n">
        <v>3</v>
      </c>
      <c r="G15" s="76" t="n">
        <v>2400000</v>
      </c>
      <c r="H15" s="76" t="n">
        <v>0</v>
      </c>
      <c r="I15" s="76" t="n">
        <v>2241000</v>
      </c>
      <c r="J15" s="76" t="n">
        <v>159000</v>
      </c>
      <c r="L15" s="9">
        <f>IF($A15="","",$B15&amp;"|"&amp;$D15)</f>
        <v/>
      </c>
      <c r="M15" s="9">
        <f>IF($A15="","",VALUE($A15&amp;""))</f>
        <v/>
      </c>
      <c r="N15" s="9">
        <f>IF($A15="","",VALUE(SUBSTITUTE(SUBSTITUTE(SUBSTITUTE(UPPER($F15&amp;""),"Q",""),"분기","")," ","")))</f>
        <v/>
      </c>
      <c r="O15" s="77">
        <f>IF($A15="",0,($G15+$H15)*설정!$C$23)</f>
        <v/>
      </c>
      <c r="P15" s="77">
        <f>IF($A15="",0,$I15*설정!$C$23)</f>
        <v/>
      </c>
      <c r="Q15" s="39">
        <f>IF($A15="","",IF(COUNTIF(변동분석!$E$7:$E$506,L15)&gt;0,"Y","N"))</f>
        <v/>
      </c>
      <c r="R15" s="9">
        <f>IF($A15="","",$D15&amp;"")</f>
        <v/>
      </c>
    </row>
    <row r="16">
      <c r="A16" s="75" t="n">
        <v>2026</v>
      </c>
      <c r="B16" s="75" t="inlineStr">
        <is>
          <t>D100</t>
        </is>
      </c>
      <c r="C16" s="75" t="inlineStr">
        <is>
          <t>경영기획팀</t>
        </is>
      </c>
      <c r="D16" s="75" t="n">
        <v>62201000</v>
      </c>
      <c r="E16" s="75" t="inlineStr">
        <is>
          <t>통신비</t>
        </is>
      </c>
      <c r="F16" s="75" t="n">
        <v>4</v>
      </c>
      <c r="G16" s="76" t="n">
        <v>2400000</v>
      </c>
      <c r="H16" s="76" t="n">
        <v>0</v>
      </c>
      <c r="I16" s="76" t="n">
        <v>0</v>
      </c>
      <c r="J16" s="76" t="n">
        <v>2400000</v>
      </c>
      <c r="L16" s="9">
        <f>IF($A16="","",$B16&amp;"|"&amp;$D16)</f>
        <v/>
      </c>
      <c r="M16" s="9">
        <f>IF($A16="","",VALUE($A16&amp;""))</f>
        <v/>
      </c>
      <c r="N16" s="9">
        <f>IF($A16="","",VALUE(SUBSTITUTE(SUBSTITUTE(SUBSTITUTE(UPPER($F16&amp;""),"Q",""),"분기","")," ","")))</f>
        <v/>
      </c>
      <c r="O16" s="77">
        <f>IF($A16="",0,($G16+$H16)*설정!$C$23)</f>
        <v/>
      </c>
      <c r="P16" s="77">
        <f>IF($A16="",0,$I16*설정!$C$23)</f>
        <v/>
      </c>
      <c r="Q16" s="39">
        <f>IF($A16="","",IF(COUNTIF(변동분석!$E$7:$E$506,L16)&gt;0,"Y","N"))</f>
        <v/>
      </c>
      <c r="R16" s="9">
        <f>IF($A16="","",$D16&amp;"")</f>
        <v/>
      </c>
    </row>
    <row r="17">
      <c r="A17" s="75" t="n">
        <v>2026</v>
      </c>
      <c r="B17" s="75" t="inlineStr">
        <is>
          <t>D100</t>
        </is>
      </c>
      <c r="C17" s="75" t="inlineStr">
        <is>
          <t>경영기획팀</t>
        </is>
      </c>
      <c r="D17" s="75" t="n">
        <v>62301000</v>
      </c>
      <c r="E17" s="75" t="inlineStr">
        <is>
          <t>소모품비</t>
        </is>
      </c>
      <c r="F17" s="75" t="n">
        <v>1</v>
      </c>
      <c r="G17" s="76" t="n">
        <v>1500000</v>
      </c>
      <c r="H17" s="76" t="n">
        <v>0</v>
      </c>
      <c r="I17" s="76" t="n">
        <v>1443000</v>
      </c>
      <c r="J17" s="76" t="n">
        <v>57000</v>
      </c>
      <c r="L17" s="9">
        <f>IF($A17="","",$B17&amp;"|"&amp;$D17)</f>
        <v/>
      </c>
      <c r="M17" s="9">
        <f>IF($A17="","",VALUE($A17&amp;""))</f>
        <v/>
      </c>
      <c r="N17" s="9">
        <f>IF($A17="","",VALUE(SUBSTITUTE(SUBSTITUTE(SUBSTITUTE(UPPER($F17&amp;""),"Q",""),"분기","")," ","")))</f>
        <v/>
      </c>
      <c r="O17" s="77">
        <f>IF($A17="",0,($G17+$H17)*설정!$C$23)</f>
        <v/>
      </c>
      <c r="P17" s="77">
        <f>IF($A17="",0,$I17*설정!$C$23)</f>
        <v/>
      </c>
      <c r="Q17" s="39">
        <f>IF($A17="","",IF(COUNTIF(변동분석!$E$7:$E$506,L17)&gt;0,"Y","N"))</f>
        <v/>
      </c>
      <c r="R17" s="9">
        <f>IF($A17="","",$D17&amp;"")</f>
        <v/>
      </c>
    </row>
    <row r="18">
      <c r="A18" s="75" t="n">
        <v>2026</v>
      </c>
      <c r="B18" s="75" t="inlineStr">
        <is>
          <t>D100</t>
        </is>
      </c>
      <c r="C18" s="75" t="inlineStr">
        <is>
          <t>경영기획팀</t>
        </is>
      </c>
      <c r="D18" s="75" t="n">
        <v>62301000</v>
      </c>
      <c r="E18" s="75" t="inlineStr">
        <is>
          <t>소모품비</t>
        </is>
      </c>
      <c r="F18" s="75" t="n">
        <v>2</v>
      </c>
      <c r="G18" s="76" t="n">
        <v>1500000</v>
      </c>
      <c r="H18" s="76" t="n">
        <v>0</v>
      </c>
      <c r="I18" s="76" t="n">
        <v>1402000</v>
      </c>
      <c r="J18" s="76" t="n">
        <v>98000</v>
      </c>
      <c r="L18" s="9">
        <f>IF($A18="","",$B18&amp;"|"&amp;$D18)</f>
        <v/>
      </c>
      <c r="M18" s="9">
        <f>IF($A18="","",VALUE($A18&amp;""))</f>
        <v/>
      </c>
      <c r="N18" s="9">
        <f>IF($A18="","",VALUE(SUBSTITUTE(SUBSTITUTE(SUBSTITUTE(UPPER($F18&amp;""),"Q",""),"분기","")," ","")))</f>
        <v/>
      </c>
      <c r="O18" s="77">
        <f>IF($A18="",0,($G18+$H18)*설정!$C$23)</f>
        <v/>
      </c>
      <c r="P18" s="77">
        <f>IF($A18="",0,$I18*설정!$C$23)</f>
        <v/>
      </c>
      <c r="Q18" s="39">
        <f>IF($A18="","",IF(COUNTIF(변동분석!$E$7:$E$506,L18)&gt;0,"Y","N"))</f>
        <v/>
      </c>
      <c r="R18" s="9">
        <f>IF($A18="","",$D18&amp;"")</f>
        <v/>
      </c>
    </row>
    <row r="19">
      <c r="A19" s="75" t="n">
        <v>2026</v>
      </c>
      <c r="B19" s="75" t="inlineStr">
        <is>
          <t>D100</t>
        </is>
      </c>
      <c r="C19" s="75" t="inlineStr">
        <is>
          <t>경영기획팀</t>
        </is>
      </c>
      <c r="D19" s="75" t="n">
        <v>62301000</v>
      </c>
      <c r="E19" s="75" t="inlineStr">
        <is>
          <t>소모품비</t>
        </is>
      </c>
      <c r="F19" s="75" t="n">
        <v>3</v>
      </c>
      <c r="G19" s="76" t="n">
        <v>1500000</v>
      </c>
      <c r="H19" s="76" t="n">
        <v>0</v>
      </c>
      <c r="I19" s="76" t="n">
        <v>1429000</v>
      </c>
      <c r="J19" s="76" t="n">
        <v>71000</v>
      </c>
      <c r="L19" s="9">
        <f>IF($A19="","",$B19&amp;"|"&amp;$D19)</f>
        <v/>
      </c>
      <c r="M19" s="9">
        <f>IF($A19="","",VALUE($A19&amp;""))</f>
        <v/>
      </c>
      <c r="N19" s="9">
        <f>IF($A19="","",VALUE(SUBSTITUTE(SUBSTITUTE(SUBSTITUTE(UPPER($F19&amp;""),"Q",""),"분기","")," ","")))</f>
        <v/>
      </c>
      <c r="O19" s="77">
        <f>IF($A19="",0,($G19+$H19)*설정!$C$23)</f>
        <v/>
      </c>
      <c r="P19" s="77">
        <f>IF($A19="",0,$I19*설정!$C$23)</f>
        <v/>
      </c>
      <c r="Q19" s="39">
        <f>IF($A19="","",IF(COUNTIF(변동분석!$E$7:$E$506,L19)&gt;0,"Y","N"))</f>
        <v/>
      </c>
      <c r="R19" s="9">
        <f>IF($A19="","",$D19&amp;"")</f>
        <v/>
      </c>
    </row>
    <row r="20">
      <c r="A20" s="75" t="n">
        <v>2026</v>
      </c>
      <c r="B20" s="75" t="inlineStr">
        <is>
          <t>D100</t>
        </is>
      </c>
      <c r="C20" s="75" t="inlineStr">
        <is>
          <t>경영기획팀</t>
        </is>
      </c>
      <c r="D20" s="75" t="n">
        <v>62301000</v>
      </c>
      <c r="E20" s="75" t="inlineStr">
        <is>
          <t>소모품비</t>
        </is>
      </c>
      <c r="F20" s="75" t="n">
        <v>4</v>
      </c>
      <c r="G20" s="76" t="n">
        <v>1500000</v>
      </c>
      <c r="H20" s="76" t="n">
        <v>0</v>
      </c>
      <c r="I20" s="76" t="n">
        <v>0</v>
      </c>
      <c r="J20" s="76" t="n">
        <v>1500000</v>
      </c>
      <c r="L20" s="9">
        <f>IF($A20="","",$B20&amp;"|"&amp;$D20)</f>
        <v/>
      </c>
      <c r="M20" s="9">
        <f>IF($A20="","",VALUE($A20&amp;""))</f>
        <v/>
      </c>
      <c r="N20" s="9">
        <f>IF($A20="","",VALUE(SUBSTITUTE(SUBSTITUTE(SUBSTITUTE(UPPER($F20&amp;""),"Q",""),"분기","")," ","")))</f>
        <v/>
      </c>
      <c r="O20" s="77">
        <f>IF($A20="",0,($G20+$H20)*설정!$C$23)</f>
        <v/>
      </c>
      <c r="P20" s="77">
        <f>IF($A20="",0,$I20*설정!$C$23)</f>
        <v/>
      </c>
      <c r="Q20" s="39">
        <f>IF($A20="","",IF(COUNTIF(변동분석!$E$7:$E$506,L20)&gt;0,"Y","N"))</f>
        <v/>
      </c>
      <c r="R20" s="9">
        <f>IF($A20="","",$D20&amp;"")</f>
        <v/>
      </c>
    </row>
    <row r="21">
      <c r="A21" s="75" t="n">
        <v>2026</v>
      </c>
      <c r="B21" s="75" t="inlineStr">
        <is>
          <t>D100</t>
        </is>
      </c>
      <c r="C21" s="75" t="inlineStr">
        <is>
          <t>경영기획팀</t>
        </is>
      </c>
      <c r="D21" s="75" t="n">
        <v>62501000</v>
      </c>
      <c r="E21" s="75" t="inlineStr">
        <is>
          <t>회의비</t>
        </is>
      </c>
      <c r="F21" s="75" t="n">
        <v>1</v>
      </c>
      <c r="G21" s="76" t="n">
        <v>3000000</v>
      </c>
      <c r="H21" s="76" t="n">
        <v>0</v>
      </c>
      <c r="I21" s="76" t="n">
        <v>2398000</v>
      </c>
      <c r="J21" s="76" t="n">
        <v>602000</v>
      </c>
      <c r="L21" s="9">
        <f>IF($A21="","",$B21&amp;"|"&amp;$D21)</f>
        <v/>
      </c>
      <c r="M21" s="9">
        <f>IF($A21="","",VALUE($A21&amp;""))</f>
        <v/>
      </c>
      <c r="N21" s="9">
        <f>IF($A21="","",VALUE(SUBSTITUTE(SUBSTITUTE(SUBSTITUTE(UPPER($F21&amp;""),"Q",""),"분기","")," ","")))</f>
        <v/>
      </c>
      <c r="O21" s="77">
        <f>IF($A21="",0,($G21+$H21)*설정!$C$23)</f>
        <v/>
      </c>
      <c r="P21" s="77">
        <f>IF($A21="",0,$I21*설정!$C$23)</f>
        <v/>
      </c>
      <c r="Q21" s="39">
        <f>IF($A21="","",IF(COUNTIF(변동분석!$E$7:$E$506,L21)&gt;0,"Y","N"))</f>
        <v/>
      </c>
      <c r="R21" s="9">
        <f>IF($A21="","",$D21&amp;"")</f>
        <v/>
      </c>
    </row>
    <row r="22">
      <c r="A22" s="75" t="n">
        <v>2026</v>
      </c>
      <c r="B22" s="75" t="inlineStr">
        <is>
          <t>D100</t>
        </is>
      </c>
      <c r="C22" s="75" t="inlineStr">
        <is>
          <t>경영기획팀</t>
        </is>
      </c>
      <c r="D22" s="75" t="n">
        <v>62501000</v>
      </c>
      <c r="E22" s="75" t="inlineStr">
        <is>
          <t>회의비</t>
        </is>
      </c>
      <c r="F22" s="75" t="n">
        <v>2</v>
      </c>
      <c r="G22" s="76" t="n">
        <v>3000000</v>
      </c>
      <c r="H22" s="76" t="n">
        <v>0</v>
      </c>
      <c r="I22" s="76" t="n">
        <v>2457000</v>
      </c>
      <c r="J22" s="76" t="n">
        <v>543000</v>
      </c>
      <c r="L22" s="9">
        <f>IF($A22="","",$B22&amp;"|"&amp;$D22)</f>
        <v/>
      </c>
      <c r="M22" s="9">
        <f>IF($A22="","",VALUE($A22&amp;""))</f>
        <v/>
      </c>
      <c r="N22" s="9">
        <f>IF($A22="","",VALUE(SUBSTITUTE(SUBSTITUTE(SUBSTITUTE(UPPER($F22&amp;""),"Q",""),"분기","")," ","")))</f>
        <v/>
      </c>
      <c r="O22" s="77">
        <f>IF($A22="",0,($G22+$H22)*설정!$C$23)</f>
        <v/>
      </c>
      <c r="P22" s="77">
        <f>IF($A22="",0,$I22*설정!$C$23)</f>
        <v/>
      </c>
      <c r="Q22" s="39">
        <f>IF($A22="","",IF(COUNTIF(변동분석!$E$7:$E$506,L22)&gt;0,"Y","N"))</f>
        <v/>
      </c>
      <c r="R22" s="9">
        <f>IF($A22="","",$D22&amp;"")</f>
        <v/>
      </c>
    </row>
    <row r="23">
      <c r="A23" s="75" t="n">
        <v>2026</v>
      </c>
      <c r="B23" s="75" t="inlineStr">
        <is>
          <t>D100</t>
        </is>
      </c>
      <c r="C23" s="75" t="inlineStr">
        <is>
          <t>경영기획팀</t>
        </is>
      </c>
      <c r="D23" s="75" t="n">
        <v>62501000</v>
      </c>
      <c r="E23" s="75" t="inlineStr">
        <is>
          <t>회의비</t>
        </is>
      </c>
      <c r="F23" s="75" t="n">
        <v>3</v>
      </c>
      <c r="G23" s="76" t="n">
        <v>3000000</v>
      </c>
      <c r="H23" s="76" t="n">
        <v>0</v>
      </c>
      <c r="I23" s="76" t="n">
        <v>2601000</v>
      </c>
      <c r="J23" s="76" t="n">
        <v>399000</v>
      </c>
      <c r="L23" s="9">
        <f>IF($A23="","",$B23&amp;"|"&amp;$D23)</f>
        <v/>
      </c>
      <c r="M23" s="9">
        <f>IF($A23="","",VALUE($A23&amp;""))</f>
        <v/>
      </c>
      <c r="N23" s="9">
        <f>IF($A23="","",VALUE(SUBSTITUTE(SUBSTITUTE(SUBSTITUTE(UPPER($F23&amp;""),"Q",""),"분기","")," ","")))</f>
        <v/>
      </c>
      <c r="O23" s="77">
        <f>IF($A23="",0,($G23+$H23)*설정!$C$23)</f>
        <v/>
      </c>
      <c r="P23" s="77">
        <f>IF($A23="",0,$I23*설정!$C$23)</f>
        <v/>
      </c>
      <c r="Q23" s="39">
        <f>IF($A23="","",IF(COUNTIF(변동분석!$E$7:$E$506,L23)&gt;0,"Y","N"))</f>
        <v/>
      </c>
      <c r="R23" s="9">
        <f>IF($A23="","",$D23&amp;"")</f>
        <v/>
      </c>
    </row>
    <row r="24">
      <c r="A24" s="75" t="n">
        <v>2026</v>
      </c>
      <c r="B24" s="75" t="inlineStr">
        <is>
          <t>D100</t>
        </is>
      </c>
      <c r="C24" s="75" t="inlineStr">
        <is>
          <t>경영기획팀</t>
        </is>
      </c>
      <c r="D24" s="75" t="n">
        <v>62501000</v>
      </c>
      <c r="E24" s="75" t="inlineStr">
        <is>
          <t>회의비</t>
        </is>
      </c>
      <c r="F24" s="75" t="n">
        <v>4</v>
      </c>
      <c r="G24" s="76" t="n">
        <v>3000000</v>
      </c>
      <c r="H24" s="76" t="n">
        <v>0</v>
      </c>
      <c r="I24" s="76" t="n">
        <v>0</v>
      </c>
      <c r="J24" s="76" t="n">
        <v>3000000</v>
      </c>
      <c r="L24" s="9">
        <f>IF($A24="","",$B24&amp;"|"&amp;$D24)</f>
        <v/>
      </c>
      <c r="M24" s="9">
        <f>IF($A24="","",VALUE($A24&amp;""))</f>
        <v/>
      </c>
      <c r="N24" s="9">
        <f>IF($A24="","",VALUE(SUBSTITUTE(SUBSTITUTE(SUBSTITUTE(UPPER($F24&amp;""),"Q",""),"분기","")," ","")))</f>
        <v/>
      </c>
      <c r="O24" s="77">
        <f>IF($A24="",0,($G24+$H24)*설정!$C$23)</f>
        <v/>
      </c>
      <c r="P24" s="77">
        <f>IF($A24="",0,$I24*설정!$C$23)</f>
        <v/>
      </c>
      <c r="Q24" s="39">
        <f>IF($A24="","",IF(COUNTIF(변동분석!$E$7:$E$506,L24)&gt;0,"Y","N"))</f>
        <v/>
      </c>
      <c r="R24" s="9">
        <f>IF($A24="","",$D24&amp;"")</f>
        <v/>
      </c>
    </row>
    <row r="25">
      <c r="A25" s="75" t="n">
        <v>2026</v>
      </c>
      <c r="B25" s="75" t="inlineStr">
        <is>
          <t>D100</t>
        </is>
      </c>
      <c r="C25" s="75" t="inlineStr">
        <is>
          <t>경영기획팀</t>
        </is>
      </c>
      <c r="D25" s="75" t="n">
        <v>62601000</v>
      </c>
      <c r="E25" s="75" t="inlineStr">
        <is>
          <t>업무추진비</t>
        </is>
      </c>
      <c r="F25" s="75" t="n">
        <v>1</v>
      </c>
      <c r="G25" s="76" t="n">
        <v>12000000</v>
      </c>
      <c r="H25" s="76" t="n">
        <v>0</v>
      </c>
      <c r="I25" s="76" t="n">
        <v>10945000</v>
      </c>
      <c r="J25" s="76" t="n">
        <v>1055000</v>
      </c>
      <c r="L25" s="9">
        <f>IF($A25="","",$B25&amp;"|"&amp;$D25)</f>
        <v/>
      </c>
      <c r="M25" s="9">
        <f>IF($A25="","",VALUE($A25&amp;""))</f>
        <v/>
      </c>
      <c r="N25" s="9">
        <f>IF($A25="","",VALUE(SUBSTITUTE(SUBSTITUTE(SUBSTITUTE(UPPER($F25&amp;""),"Q",""),"분기","")," ","")))</f>
        <v/>
      </c>
      <c r="O25" s="77">
        <f>IF($A25="",0,($G25+$H25)*설정!$C$23)</f>
        <v/>
      </c>
      <c r="P25" s="77">
        <f>IF($A25="",0,$I25*설정!$C$23)</f>
        <v/>
      </c>
      <c r="Q25" s="39">
        <f>IF($A25="","",IF(COUNTIF(변동분석!$E$7:$E$506,L25)&gt;0,"Y","N"))</f>
        <v/>
      </c>
      <c r="R25" s="9">
        <f>IF($A25="","",$D25&amp;"")</f>
        <v/>
      </c>
    </row>
    <row r="26">
      <c r="A26" s="75" t="n">
        <v>2026</v>
      </c>
      <c r="B26" s="75" t="inlineStr">
        <is>
          <t>D100</t>
        </is>
      </c>
      <c r="C26" s="75" t="inlineStr">
        <is>
          <t>경영기획팀</t>
        </is>
      </c>
      <c r="D26" s="75" t="n">
        <v>62601000</v>
      </c>
      <c r="E26" s="75" t="inlineStr">
        <is>
          <t>업무추진비</t>
        </is>
      </c>
      <c r="F26" s="75" t="n">
        <v>2</v>
      </c>
      <c r="G26" s="76" t="n">
        <v>12000000</v>
      </c>
      <c r="H26" s="76" t="n">
        <v>0</v>
      </c>
      <c r="I26" s="76" t="n">
        <v>10360000</v>
      </c>
      <c r="J26" s="76" t="n">
        <v>1640000</v>
      </c>
      <c r="L26" s="9">
        <f>IF($A26="","",$B26&amp;"|"&amp;$D26)</f>
        <v/>
      </c>
      <c r="M26" s="9">
        <f>IF($A26="","",VALUE($A26&amp;""))</f>
        <v/>
      </c>
      <c r="N26" s="9">
        <f>IF($A26="","",VALUE(SUBSTITUTE(SUBSTITUTE(SUBSTITUTE(UPPER($F26&amp;""),"Q",""),"분기","")," ","")))</f>
        <v/>
      </c>
      <c r="O26" s="77">
        <f>IF($A26="",0,($G26+$H26)*설정!$C$23)</f>
        <v/>
      </c>
      <c r="P26" s="77">
        <f>IF($A26="",0,$I26*설정!$C$23)</f>
        <v/>
      </c>
      <c r="Q26" s="39">
        <f>IF($A26="","",IF(COUNTIF(변동분석!$E$7:$E$506,L26)&gt;0,"Y","N"))</f>
        <v/>
      </c>
      <c r="R26" s="9">
        <f>IF($A26="","",$D26&amp;"")</f>
        <v/>
      </c>
    </row>
    <row r="27">
      <c r="A27" s="75" t="n">
        <v>2026</v>
      </c>
      <c r="B27" s="75" t="inlineStr">
        <is>
          <t>D100</t>
        </is>
      </c>
      <c r="C27" s="75" t="inlineStr">
        <is>
          <t>경영기획팀</t>
        </is>
      </c>
      <c r="D27" s="75" t="n">
        <v>62601000</v>
      </c>
      <c r="E27" s="75" t="inlineStr">
        <is>
          <t>업무추진비</t>
        </is>
      </c>
      <c r="F27" s="75" t="n">
        <v>3</v>
      </c>
      <c r="G27" s="76" t="n">
        <v>12000000</v>
      </c>
      <c r="H27" s="76" t="n">
        <v>0</v>
      </c>
      <c r="I27" s="76" t="n">
        <v>11376000</v>
      </c>
      <c r="J27" s="76" t="n">
        <v>624000</v>
      </c>
      <c r="L27" s="9">
        <f>IF($A27="","",$B27&amp;"|"&amp;$D27)</f>
        <v/>
      </c>
      <c r="M27" s="9">
        <f>IF($A27="","",VALUE($A27&amp;""))</f>
        <v/>
      </c>
      <c r="N27" s="9">
        <f>IF($A27="","",VALUE(SUBSTITUTE(SUBSTITUTE(SUBSTITUTE(UPPER($F27&amp;""),"Q",""),"분기","")," ","")))</f>
        <v/>
      </c>
      <c r="O27" s="77">
        <f>IF($A27="",0,($G27+$H27)*설정!$C$23)</f>
        <v/>
      </c>
      <c r="P27" s="77">
        <f>IF($A27="",0,$I27*설정!$C$23)</f>
        <v/>
      </c>
      <c r="Q27" s="39">
        <f>IF($A27="","",IF(COUNTIF(변동분석!$E$7:$E$506,L27)&gt;0,"Y","N"))</f>
        <v/>
      </c>
      <c r="R27" s="9">
        <f>IF($A27="","",$D27&amp;"")</f>
        <v/>
      </c>
    </row>
    <row r="28">
      <c r="A28" s="75" t="n">
        <v>2026</v>
      </c>
      <c r="B28" s="75" t="inlineStr">
        <is>
          <t>D100</t>
        </is>
      </c>
      <c r="C28" s="75" t="inlineStr">
        <is>
          <t>경영기획팀</t>
        </is>
      </c>
      <c r="D28" s="75" t="n">
        <v>62601000</v>
      </c>
      <c r="E28" s="75" t="inlineStr">
        <is>
          <t>업무추진비</t>
        </is>
      </c>
      <c r="F28" s="75" t="n">
        <v>4</v>
      </c>
      <c r="G28" s="76" t="n">
        <v>12000000</v>
      </c>
      <c r="H28" s="76" t="n">
        <v>0</v>
      </c>
      <c r="I28" s="76" t="n">
        <v>0</v>
      </c>
      <c r="J28" s="76" t="n">
        <v>12000000</v>
      </c>
      <c r="L28" s="9">
        <f>IF($A28="","",$B28&amp;"|"&amp;$D28)</f>
        <v/>
      </c>
      <c r="M28" s="9">
        <f>IF($A28="","",VALUE($A28&amp;""))</f>
        <v/>
      </c>
      <c r="N28" s="9">
        <f>IF($A28="","",VALUE(SUBSTITUTE(SUBSTITUTE(SUBSTITUTE(UPPER($F28&amp;""),"Q",""),"분기","")," ","")))</f>
        <v/>
      </c>
      <c r="O28" s="77">
        <f>IF($A28="",0,($G28+$H28)*설정!$C$23)</f>
        <v/>
      </c>
      <c r="P28" s="77">
        <f>IF($A28="",0,$I28*설정!$C$23)</f>
        <v/>
      </c>
      <c r="Q28" s="39">
        <f>IF($A28="","",IF(COUNTIF(변동분석!$E$7:$E$506,L28)&gt;0,"Y","N"))</f>
        <v/>
      </c>
      <c r="R28" s="9">
        <f>IF($A28="","",$D28&amp;"")</f>
        <v/>
      </c>
    </row>
    <row r="29">
      <c r="A29" s="75" t="n">
        <v>2026</v>
      </c>
      <c r="B29" s="75" t="inlineStr">
        <is>
          <t>D100</t>
        </is>
      </c>
      <c r="C29" s="75" t="inlineStr">
        <is>
          <t>경영기획팀</t>
        </is>
      </c>
      <c r="D29" s="75" t="n">
        <v>62901000</v>
      </c>
      <c r="E29" s="75" t="inlineStr">
        <is>
          <t>지급수수료-컨설팅</t>
        </is>
      </c>
      <c r="F29" s="75" t="n">
        <v>1</v>
      </c>
      <c r="G29" s="76" t="n">
        <v>42000000</v>
      </c>
      <c r="H29" s="76" t="n">
        <v>0</v>
      </c>
      <c r="I29" s="76" t="n">
        <v>34126000</v>
      </c>
      <c r="J29" s="76" t="n">
        <v>7874000</v>
      </c>
      <c r="L29" s="9">
        <f>IF($A29="","",$B29&amp;"|"&amp;$D29)</f>
        <v/>
      </c>
      <c r="M29" s="9">
        <f>IF($A29="","",VALUE($A29&amp;""))</f>
        <v/>
      </c>
      <c r="N29" s="9">
        <f>IF($A29="","",VALUE(SUBSTITUTE(SUBSTITUTE(SUBSTITUTE(UPPER($F29&amp;""),"Q",""),"분기","")," ","")))</f>
        <v/>
      </c>
      <c r="O29" s="77">
        <f>IF($A29="",0,($G29+$H29)*설정!$C$23)</f>
        <v/>
      </c>
      <c r="P29" s="77">
        <f>IF($A29="",0,$I29*설정!$C$23)</f>
        <v/>
      </c>
      <c r="Q29" s="39">
        <f>IF($A29="","",IF(COUNTIF(변동분석!$E$7:$E$506,L29)&gt;0,"Y","N"))</f>
        <v/>
      </c>
      <c r="R29" s="9">
        <f>IF($A29="","",$D29&amp;"")</f>
        <v/>
      </c>
    </row>
    <row r="30">
      <c r="A30" s="75" t="n">
        <v>2026</v>
      </c>
      <c r="B30" s="75" t="inlineStr">
        <is>
          <t>D100</t>
        </is>
      </c>
      <c r="C30" s="75" t="inlineStr">
        <is>
          <t>경영기획팀</t>
        </is>
      </c>
      <c r="D30" s="75" t="n">
        <v>62901000</v>
      </c>
      <c r="E30" s="75" t="inlineStr">
        <is>
          <t>지급수수료-컨설팅</t>
        </is>
      </c>
      <c r="F30" s="75" t="n">
        <v>2</v>
      </c>
      <c r="G30" s="76" t="n">
        <v>42000000</v>
      </c>
      <c r="H30" s="76" t="n">
        <v>0</v>
      </c>
      <c r="I30" s="76" t="n">
        <v>32549000</v>
      </c>
      <c r="J30" s="76" t="n">
        <v>9451000</v>
      </c>
      <c r="L30" s="9">
        <f>IF($A30="","",$B30&amp;"|"&amp;$D30)</f>
        <v/>
      </c>
      <c r="M30" s="9">
        <f>IF($A30="","",VALUE($A30&amp;""))</f>
        <v/>
      </c>
      <c r="N30" s="9">
        <f>IF($A30="","",VALUE(SUBSTITUTE(SUBSTITUTE(SUBSTITUTE(UPPER($F30&amp;""),"Q",""),"분기","")," ","")))</f>
        <v/>
      </c>
      <c r="O30" s="77">
        <f>IF($A30="",0,($G30+$H30)*설정!$C$23)</f>
        <v/>
      </c>
      <c r="P30" s="77">
        <f>IF($A30="",0,$I30*설정!$C$23)</f>
        <v/>
      </c>
      <c r="Q30" s="39">
        <f>IF($A30="","",IF(COUNTIF(변동분석!$E$7:$E$506,L30)&gt;0,"Y","N"))</f>
        <v/>
      </c>
      <c r="R30" s="9">
        <f>IF($A30="","",$D30&amp;"")</f>
        <v/>
      </c>
    </row>
    <row r="31">
      <c r="A31" s="75" t="n">
        <v>2026</v>
      </c>
      <c r="B31" s="75" t="inlineStr">
        <is>
          <t>D100</t>
        </is>
      </c>
      <c r="C31" s="75" t="inlineStr">
        <is>
          <t>경영기획팀</t>
        </is>
      </c>
      <c r="D31" s="75" t="n">
        <v>62901000</v>
      </c>
      <c r="E31" s="75" t="inlineStr">
        <is>
          <t>지급수수료-컨설팅</t>
        </is>
      </c>
      <c r="F31" s="75" t="n">
        <v>3</v>
      </c>
      <c r="G31" s="76" t="n">
        <v>42000000</v>
      </c>
      <c r="H31" s="76" t="n">
        <v>0</v>
      </c>
      <c r="I31" s="76" t="n">
        <v>8538000</v>
      </c>
      <c r="J31" s="76" t="n">
        <v>33462000</v>
      </c>
      <c r="L31" s="9">
        <f>IF($A31="","",$B31&amp;"|"&amp;$D31)</f>
        <v/>
      </c>
      <c r="M31" s="9">
        <f>IF($A31="","",VALUE($A31&amp;""))</f>
        <v/>
      </c>
      <c r="N31" s="9">
        <f>IF($A31="","",VALUE(SUBSTITUTE(SUBSTITUTE(SUBSTITUTE(UPPER($F31&amp;""),"Q",""),"분기","")," ","")))</f>
        <v/>
      </c>
      <c r="O31" s="77">
        <f>IF($A31="",0,($G31+$H31)*설정!$C$23)</f>
        <v/>
      </c>
      <c r="P31" s="77">
        <f>IF($A31="",0,$I31*설정!$C$23)</f>
        <v/>
      </c>
      <c r="Q31" s="39">
        <f>IF($A31="","",IF(COUNTIF(변동분석!$E$7:$E$506,L31)&gt;0,"Y","N"))</f>
        <v/>
      </c>
      <c r="R31" s="9">
        <f>IF($A31="","",$D31&amp;"")</f>
        <v/>
      </c>
    </row>
    <row r="32">
      <c r="A32" s="75" t="n">
        <v>2026</v>
      </c>
      <c r="B32" s="75" t="inlineStr">
        <is>
          <t>D100</t>
        </is>
      </c>
      <c r="C32" s="75" t="inlineStr">
        <is>
          <t>경영기획팀</t>
        </is>
      </c>
      <c r="D32" s="75" t="n">
        <v>62901000</v>
      </c>
      <c r="E32" s="75" t="inlineStr">
        <is>
          <t>지급수수료-컨설팅</t>
        </is>
      </c>
      <c r="F32" s="75" t="n">
        <v>4</v>
      </c>
      <c r="G32" s="76" t="n">
        <v>42000000</v>
      </c>
      <c r="H32" s="76" t="n">
        <v>0</v>
      </c>
      <c r="I32" s="76" t="n">
        <v>0</v>
      </c>
      <c r="J32" s="76" t="n">
        <v>42000000</v>
      </c>
      <c r="L32" s="9">
        <f>IF($A32="","",$B32&amp;"|"&amp;$D32)</f>
        <v/>
      </c>
      <c r="M32" s="9">
        <f>IF($A32="","",VALUE($A32&amp;""))</f>
        <v/>
      </c>
      <c r="N32" s="9">
        <f>IF($A32="","",VALUE(SUBSTITUTE(SUBSTITUTE(SUBSTITUTE(UPPER($F32&amp;""),"Q",""),"분기","")," ","")))</f>
        <v/>
      </c>
      <c r="O32" s="77">
        <f>IF($A32="",0,($G32+$H32)*설정!$C$23)</f>
        <v/>
      </c>
      <c r="P32" s="77">
        <f>IF($A32="",0,$I32*설정!$C$23)</f>
        <v/>
      </c>
      <c r="Q32" s="39">
        <f>IF($A32="","",IF(COUNTIF(변동분석!$E$7:$E$506,L32)&gt;0,"Y","N"))</f>
        <v/>
      </c>
      <c r="R32" s="9">
        <f>IF($A32="","",$D32&amp;"")</f>
        <v/>
      </c>
    </row>
    <row r="33">
      <c r="A33" s="75" t="n">
        <v>2026</v>
      </c>
      <c r="B33" s="75" t="inlineStr">
        <is>
          <t>D100</t>
        </is>
      </c>
      <c r="C33" s="75" t="inlineStr">
        <is>
          <t>경영기획팀</t>
        </is>
      </c>
      <c r="D33" s="75" t="n">
        <v>62902000</v>
      </c>
      <c r="E33" s="75" t="inlineStr">
        <is>
          <t>지급수수료-기타</t>
        </is>
      </c>
      <c r="F33" s="75" t="n">
        <v>1</v>
      </c>
      <c r="G33" s="76" t="n">
        <v>18000000</v>
      </c>
      <c r="H33" s="76" t="n">
        <v>0</v>
      </c>
      <c r="I33" s="76" t="n">
        <v>15913000</v>
      </c>
      <c r="J33" s="76" t="n">
        <v>2087000</v>
      </c>
      <c r="L33" s="9">
        <f>IF($A33="","",$B33&amp;"|"&amp;$D33)</f>
        <v/>
      </c>
      <c r="M33" s="9">
        <f>IF($A33="","",VALUE($A33&amp;""))</f>
        <v/>
      </c>
      <c r="N33" s="9">
        <f>IF($A33="","",VALUE(SUBSTITUTE(SUBSTITUTE(SUBSTITUTE(UPPER($F33&amp;""),"Q",""),"분기","")," ","")))</f>
        <v/>
      </c>
      <c r="O33" s="77">
        <f>IF($A33="",0,($G33+$H33)*설정!$C$23)</f>
        <v/>
      </c>
      <c r="P33" s="77">
        <f>IF($A33="",0,$I33*설정!$C$23)</f>
        <v/>
      </c>
      <c r="Q33" s="39">
        <f>IF($A33="","",IF(COUNTIF(변동분석!$E$7:$E$506,L33)&gt;0,"Y","N"))</f>
        <v/>
      </c>
      <c r="R33" s="9">
        <f>IF($A33="","",$D33&amp;"")</f>
        <v/>
      </c>
    </row>
    <row r="34">
      <c r="A34" s="75" t="n">
        <v>2026</v>
      </c>
      <c r="B34" s="75" t="inlineStr">
        <is>
          <t>D100</t>
        </is>
      </c>
      <c r="C34" s="75" t="inlineStr">
        <is>
          <t>경영기획팀</t>
        </is>
      </c>
      <c r="D34" s="75" t="n">
        <v>62902000</v>
      </c>
      <c r="E34" s="75" t="inlineStr">
        <is>
          <t>지급수수료-기타</t>
        </is>
      </c>
      <c r="F34" s="75" t="n">
        <v>2</v>
      </c>
      <c r="G34" s="76" t="n">
        <v>18000000</v>
      </c>
      <c r="H34" s="76" t="n">
        <v>0</v>
      </c>
      <c r="I34" s="76" t="n">
        <v>15656000</v>
      </c>
      <c r="J34" s="76" t="n">
        <v>2344000</v>
      </c>
      <c r="L34" s="9">
        <f>IF($A34="","",$B34&amp;"|"&amp;$D34)</f>
        <v/>
      </c>
      <c r="M34" s="9">
        <f>IF($A34="","",VALUE($A34&amp;""))</f>
        <v/>
      </c>
      <c r="N34" s="9">
        <f>IF($A34="","",VALUE(SUBSTITUTE(SUBSTITUTE(SUBSTITUTE(UPPER($F34&amp;""),"Q",""),"분기","")," ","")))</f>
        <v/>
      </c>
      <c r="O34" s="77">
        <f>IF($A34="",0,($G34+$H34)*설정!$C$23)</f>
        <v/>
      </c>
      <c r="P34" s="77">
        <f>IF($A34="",0,$I34*설정!$C$23)</f>
        <v/>
      </c>
      <c r="Q34" s="39">
        <f>IF($A34="","",IF(COUNTIF(변동분석!$E$7:$E$506,L34)&gt;0,"Y","N"))</f>
        <v/>
      </c>
      <c r="R34" s="9">
        <f>IF($A34="","",$D34&amp;"")</f>
        <v/>
      </c>
    </row>
    <row r="35">
      <c r="A35" s="75" t="n">
        <v>2026</v>
      </c>
      <c r="B35" s="75" t="inlineStr">
        <is>
          <t>D100</t>
        </is>
      </c>
      <c r="C35" s="75" t="inlineStr">
        <is>
          <t>경영기획팀</t>
        </is>
      </c>
      <c r="D35" s="75" t="n">
        <v>62902000</v>
      </c>
      <c r="E35" s="75" t="inlineStr">
        <is>
          <t>지급수수료-기타</t>
        </is>
      </c>
      <c r="F35" s="75" t="n">
        <v>3</v>
      </c>
      <c r="G35" s="76" t="n">
        <v>18000000</v>
      </c>
      <c r="H35" s="76" t="n">
        <v>0</v>
      </c>
      <c r="I35" s="76" t="n">
        <v>16268000</v>
      </c>
      <c r="J35" s="76" t="n">
        <v>1732000</v>
      </c>
      <c r="L35" s="9">
        <f>IF($A35="","",$B35&amp;"|"&amp;$D35)</f>
        <v/>
      </c>
      <c r="M35" s="9">
        <f>IF($A35="","",VALUE($A35&amp;""))</f>
        <v/>
      </c>
      <c r="N35" s="9">
        <f>IF($A35="","",VALUE(SUBSTITUTE(SUBSTITUTE(SUBSTITUTE(UPPER($F35&amp;""),"Q",""),"분기","")," ","")))</f>
        <v/>
      </c>
      <c r="O35" s="77">
        <f>IF($A35="",0,($G35+$H35)*설정!$C$23)</f>
        <v/>
      </c>
      <c r="P35" s="77">
        <f>IF($A35="",0,$I35*설정!$C$23)</f>
        <v/>
      </c>
      <c r="Q35" s="39">
        <f>IF($A35="","",IF(COUNTIF(변동분석!$E$7:$E$506,L35)&gt;0,"Y","N"))</f>
        <v/>
      </c>
      <c r="R35" s="9">
        <f>IF($A35="","",$D35&amp;"")</f>
        <v/>
      </c>
    </row>
    <row r="36">
      <c r="A36" s="75" t="n">
        <v>2026</v>
      </c>
      <c r="B36" s="75" t="inlineStr">
        <is>
          <t>D100</t>
        </is>
      </c>
      <c r="C36" s="75" t="inlineStr">
        <is>
          <t>경영기획팀</t>
        </is>
      </c>
      <c r="D36" s="75" t="n">
        <v>62902000</v>
      </c>
      <c r="E36" s="75" t="inlineStr">
        <is>
          <t>지급수수료-기타</t>
        </is>
      </c>
      <c r="F36" s="75" t="n">
        <v>4</v>
      </c>
      <c r="G36" s="76" t="n">
        <v>18000000</v>
      </c>
      <c r="H36" s="76" t="n">
        <v>0</v>
      </c>
      <c r="I36" s="76" t="n">
        <v>0</v>
      </c>
      <c r="J36" s="76" t="n">
        <v>18000000</v>
      </c>
      <c r="L36" s="9">
        <f>IF($A36="","",$B36&amp;"|"&amp;$D36)</f>
        <v/>
      </c>
      <c r="M36" s="9">
        <f>IF($A36="","",VALUE($A36&amp;""))</f>
        <v/>
      </c>
      <c r="N36" s="9">
        <f>IF($A36="","",VALUE(SUBSTITUTE(SUBSTITUTE(SUBSTITUTE(UPPER($F36&amp;""),"Q",""),"분기","")," ","")))</f>
        <v/>
      </c>
      <c r="O36" s="77">
        <f>IF($A36="",0,($G36+$H36)*설정!$C$23)</f>
        <v/>
      </c>
      <c r="P36" s="77">
        <f>IF($A36="",0,$I36*설정!$C$23)</f>
        <v/>
      </c>
      <c r="Q36" s="39">
        <f>IF($A36="","",IF(COUNTIF(변동분석!$E$7:$E$506,L36)&gt;0,"Y","N"))</f>
        <v/>
      </c>
      <c r="R36" s="9">
        <f>IF($A36="","",$D36&amp;"")</f>
        <v/>
      </c>
    </row>
    <row r="37">
      <c r="A37" s="75" t="n">
        <v>2026</v>
      </c>
      <c r="B37" s="75" t="inlineStr">
        <is>
          <t>D200</t>
        </is>
      </c>
      <c r="C37" s="75" t="inlineStr">
        <is>
          <t>재무회계팀</t>
        </is>
      </c>
      <c r="D37" s="75" t="n">
        <v>62101000</v>
      </c>
      <c r="E37" s="75" t="inlineStr">
        <is>
          <t>여비교통비-국내</t>
        </is>
      </c>
      <c r="F37" s="75" t="n">
        <v>1</v>
      </c>
      <c r="G37" s="76" t="n">
        <v>3825000</v>
      </c>
      <c r="H37" s="76" t="n">
        <v>0</v>
      </c>
      <c r="I37" s="76" t="n">
        <v>3636000</v>
      </c>
      <c r="J37" s="76" t="n">
        <v>189000</v>
      </c>
      <c r="L37" s="9">
        <f>IF($A37="","",$B37&amp;"|"&amp;$D37)</f>
        <v/>
      </c>
      <c r="M37" s="9">
        <f>IF($A37="","",VALUE($A37&amp;""))</f>
        <v/>
      </c>
      <c r="N37" s="9">
        <f>IF($A37="","",VALUE(SUBSTITUTE(SUBSTITUTE(SUBSTITUTE(UPPER($F37&amp;""),"Q",""),"분기","")," ","")))</f>
        <v/>
      </c>
      <c r="O37" s="77">
        <f>IF($A37="",0,($G37+$H37)*설정!$C$23)</f>
        <v/>
      </c>
      <c r="P37" s="77">
        <f>IF($A37="",0,$I37*설정!$C$23)</f>
        <v/>
      </c>
      <c r="Q37" s="39">
        <f>IF($A37="","",IF(COUNTIF(변동분석!$E$7:$E$506,L37)&gt;0,"Y","N"))</f>
        <v/>
      </c>
      <c r="R37" s="9">
        <f>IF($A37="","",$D37&amp;"")</f>
        <v/>
      </c>
    </row>
    <row r="38">
      <c r="A38" s="75" t="n">
        <v>2026</v>
      </c>
      <c r="B38" s="75" t="inlineStr">
        <is>
          <t>D200</t>
        </is>
      </c>
      <c r="C38" s="75" t="inlineStr">
        <is>
          <t>재무회계팀</t>
        </is>
      </c>
      <c r="D38" s="75" t="n">
        <v>62101000</v>
      </c>
      <c r="E38" s="75" t="inlineStr">
        <is>
          <t>여비교통비-국내</t>
        </is>
      </c>
      <c r="F38" s="75" t="n">
        <v>2</v>
      </c>
      <c r="G38" s="76" t="n">
        <v>3825000</v>
      </c>
      <c r="H38" s="76" t="n">
        <v>0</v>
      </c>
      <c r="I38" s="76" t="n">
        <v>3202000</v>
      </c>
      <c r="J38" s="76" t="n">
        <v>623000</v>
      </c>
      <c r="L38" s="9">
        <f>IF($A38="","",$B38&amp;"|"&amp;$D38)</f>
        <v/>
      </c>
      <c r="M38" s="9">
        <f>IF($A38="","",VALUE($A38&amp;""))</f>
        <v/>
      </c>
      <c r="N38" s="9">
        <f>IF($A38="","",VALUE(SUBSTITUTE(SUBSTITUTE(SUBSTITUTE(UPPER($F38&amp;""),"Q",""),"분기","")," ","")))</f>
        <v/>
      </c>
      <c r="O38" s="77">
        <f>IF($A38="",0,($G38+$H38)*설정!$C$23)</f>
        <v/>
      </c>
      <c r="P38" s="77">
        <f>IF($A38="",0,$I38*설정!$C$23)</f>
        <v/>
      </c>
      <c r="Q38" s="39">
        <f>IF($A38="","",IF(COUNTIF(변동분석!$E$7:$E$506,L38)&gt;0,"Y","N"))</f>
        <v/>
      </c>
      <c r="R38" s="9">
        <f>IF($A38="","",$D38&amp;"")</f>
        <v/>
      </c>
    </row>
    <row r="39">
      <c r="A39" s="75" t="n">
        <v>2026</v>
      </c>
      <c r="B39" s="75" t="inlineStr">
        <is>
          <t>D200</t>
        </is>
      </c>
      <c r="C39" s="75" t="inlineStr">
        <is>
          <t>재무회계팀</t>
        </is>
      </c>
      <c r="D39" s="75" t="n">
        <v>62101000</v>
      </c>
      <c r="E39" s="75" t="inlineStr">
        <is>
          <t>여비교통비-국내</t>
        </is>
      </c>
      <c r="F39" s="75" t="n">
        <v>3</v>
      </c>
      <c r="G39" s="76" t="n">
        <v>3825000</v>
      </c>
      <c r="H39" s="76" t="n">
        <v>0</v>
      </c>
      <c r="I39" s="76" t="n">
        <v>3343000</v>
      </c>
      <c r="J39" s="76" t="n">
        <v>482000</v>
      </c>
      <c r="L39" s="9">
        <f>IF($A39="","",$B39&amp;"|"&amp;$D39)</f>
        <v/>
      </c>
      <c r="M39" s="9">
        <f>IF($A39="","",VALUE($A39&amp;""))</f>
        <v/>
      </c>
      <c r="N39" s="9">
        <f>IF($A39="","",VALUE(SUBSTITUTE(SUBSTITUTE(SUBSTITUTE(UPPER($F39&amp;""),"Q",""),"분기","")," ","")))</f>
        <v/>
      </c>
      <c r="O39" s="77">
        <f>IF($A39="",0,($G39+$H39)*설정!$C$23)</f>
        <v/>
      </c>
      <c r="P39" s="77">
        <f>IF($A39="",0,$I39*설정!$C$23)</f>
        <v/>
      </c>
      <c r="Q39" s="39">
        <f>IF($A39="","",IF(COUNTIF(변동분석!$E$7:$E$506,L39)&gt;0,"Y","N"))</f>
        <v/>
      </c>
      <c r="R39" s="9">
        <f>IF($A39="","",$D39&amp;"")</f>
        <v/>
      </c>
    </row>
    <row r="40">
      <c r="A40" s="75" t="n">
        <v>2026</v>
      </c>
      <c r="B40" s="75" t="inlineStr">
        <is>
          <t>D200</t>
        </is>
      </c>
      <c r="C40" s="75" t="inlineStr">
        <is>
          <t>재무회계팀</t>
        </is>
      </c>
      <c r="D40" s="75" t="n">
        <v>62101000</v>
      </c>
      <c r="E40" s="75" t="inlineStr">
        <is>
          <t>여비교통비-국내</t>
        </is>
      </c>
      <c r="F40" s="75" t="n">
        <v>4</v>
      </c>
      <c r="G40" s="76" t="n">
        <v>3825000</v>
      </c>
      <c r="H40" s="76" t="n">
        <v>0</v>
      </c>
      <c r="I40" s="76" t="n">
        <v>0</v>
      </c>
      <c r="J40" s="76" t="n">
        <v>3825000</v>
      </c>
      <c r="L40" s="9">
        <f>IF($A40="","",$B40&amp;"|"&amp;$D40)</f>
        <v/>
      </c>
      <c r="M40" s="9">
        <f>IF($A40="","",VALUE($A40&amp;""))</f>
        <v/>
      </c>
      <c r="N40" s="9">
        <f>IF($A40="","",VALUE(SUBSTITUTE(SUBSTITUTE(SUBSTITUTE(UPPER($F40&amp;""),"Q",""),"분기","")," ","")))</f>
        <v/>
      </c>
      <c r="O40" s="77">
        <f>IF($A40="",0,($G40+$H40)*설정!$C$23)</f>
        <v/>
      </c>
      <c r="P40" s="77">
        <f>IF($A40="",0,$I40*설정!$C$23)</f>
        <v/>
      </c>
      <c r="Q40" s="39">
        <f>IF($A40="","",IF(COUNTIF(변동분석!$E$7:$E$506,L40)&gt;0,"Y","N"))</f>
        <v/>
      </c>
      <c r="R40" s="9">
        <f>IF($A40="","",$D40&amp;"")</f>
        <v/>
      </c>
    </row>
    <row r="41">
      <c r="A41" s="75" t="n">
        <v>2026</v>
      </c>
      <c r="B41" s="75" t="inlineStr">
        <is>
          <t>D200</t>
        </is>
      </c>
      <c r="C41" s="75" t="inlineStr">
        <is>
          <t>재무회계팀</t>
        </is>
      </c>
      <c r="D41" s="75" t="n">
        <v>62102000</v>
      </c>
      <c r="E41" s="75" t="inlineStr">
        <is>
          <t>여비교통비-해외</t>
        </is>
      </c>
      <c r="F41" s="75" t="n">
        <v>1</v>
      </c>
      <c r="G41" s="76" t="n">
        <v>675000</v>
      </c>
      <c r="H41" s="76" t="n">
        <v>0</v>
      </c>
      <c r="I41" s="76" t="n">
        <v>570000</v>
      </c>
      <c r="J41" s="76" t="n">
        <v>105000</v>
      </c>
      <c r="L41" s="9">
        <f>IF($A41="","",$B41&amp;"|"&amp;$D41)</f>
        <v/>
      </c>
      <c r="M41" s="9">
        <f>IF($A41="","",VALUE($A41&amp;""))</f>
        <v/>
      </c>
      <c r="N41" s="9">
        <f>IF($A41="","",VALUE(SUBSTITUTE(SUBSTITUTE(SUBSTITUTE(UPPER($F41&amp;""),"Q",""),"분기","")," ","")))</f>
        <v/>
      </c>
      <c r="O41" s="77">
        <f>IF($A41="",0,($G41+$H41)*설정!$C$23)</f>
        <v/>
      </c>
      <c r="P41" s="77">
        <f>IF($A41="",0,$I41*설정!$C$23)</f>
        <v/>
      </c>
      <c r="Q41" s="39">
        <f>IF($A41="","",IF(COUNTIF(변동분석!$E$7:$E$506,L41)&gt;0,"Y","N"))</f>
        <v/>
      </c>
      <c r="R41" s="9">
        <f>IF($A41="","",$D41&amp;"")</f>
        <v/>
      </c>
    </row>
    <row r="42">
      <c r="A42" s="75" t="n">
        <v>2026</v>
      </c>
      <c r="B42" s="75" t="inlineStr">
        <is>
          <t>D200</t>
        </is>
      </c>
      <c r="C42" s="75" t="inlineStr">
        <is>
          <t>재무회계팀</t>
        </is>
      </c>
      <c r="D42" s="75" t="n">
        <v>62102000</v>
      </c>
      <c r="E42" s="75" t="inlineStr">
        <is>
          <t>여비교통비-해외</t>
        </is>
      </c>
      <c r="F42" s="75" t="n">
        <v>2</v>
      </c>
      <c r="G42" s="76" t="n">
        <v>675000</v>
      </c>
      <c r="H42" s="76" t="n">
        <v>0</v>
      </c>
      <c r="I42" s="76" t="n">
        <v>646000</v>
      </c>
      <c r="J42" s="76" t="n">
        <v>29000</v>
      </c>
      <c r="L42" s="9">
        <f>IF($A42="","",$B42&amp;"|"&amp;$D42)</f>
        <v/>
      </c>
      <c r="M42" s="9">
        <f>IF($A42="","",VALUE($A42&amp;""))</f>
        <v/>
      </c>
      <c r="N42" s="9">
        <f>IF($A42="","",VALUE(SUBSTITUTE(SUBSTITUTE(SUBSTITUTE(UPPER($F42&amp;""),"Q",""),"분기","")," ","")))</f>
        <v/>
      </c>
      <c r="O42" s="77">
        <f>IF($A42="",0,($G42+$H42)*설정!$C$23)</f>
        <v/>
      </c>
      <c r="P42" s="77">
        <f>IF($A42="",0,$I42*설정!$C$23)</f>
        <v/>
      </c>
      <c r="Q42" s="39">
        <f>IF($A42="","",IF(COUNTIF(변동분석!$E$7:$E$506,L42)&gt;0,"Y","N"))</f>
        <v/>
      </c>
      <c r="R42" s="9">
        <f>IF($A42="","",$D42&amp;"")</f>
        <v/>
      </c>
    </row>
    <row r="43">
      <c r="A43" s="75" t="n">
        <v>2026</v>
      </c>
      <c r="B43" s="75" t="inlineStr">
        <is>
          <t>D200</t>
        </is>
      </c>
      <c r="C43" s="75" t="inlineStr">
        <is>
          <t>재무회계팀</t>
        </is>
      </c>
      <c r="D43" s="75" t="n">
        <v>62102000</v>
      </c>
      <c r="E43" s="75" t="inlineStr">
        <is>
          <t>여비교통비-해외</t>
        </is>
      </c>
      <c r="F43" s="75" t="n">
        <v>3</v>
      </c>
      <c r="G43" s="76" t="n">
        <v>675000</v>
      </c>
      <c r="H43" s="76" t="n">
        <v>0</v>
      </c>
      <c r="I43" s="76" t="n">
        <v>636000</v>
      </c>
      <c r="J43" s="76" t="n">
        <v>39000</v>
      </c>
      <c r="L43" s="9">
        <f>IF($A43="","",$B43&amp;"|"&amp;$D43)</f>
        <v/>
      </c>
      <c r="M43" s="9">
        <f>IF($A43="","",VALUE($A43&amp;""))</f>
        <v/>
      </c>
      <c r="N43" s="9">
        <f>IF($A43="","",VALUE(SUBSTITUTE(SUBSTITUTE(SUBSTITUTE(UPPER($F43&amp;""),"Q",""),"분기","")," ","")))</f>
        <v/>
      </c>
      <c r="O43" s="77">
        <f>IF($A43="",0,($G43+$H43)*설정!$C$23)</f>
        <v/>
      </c>
      <c r="P43" s="77">
        <f>IF($A43="",0,$I43*설정!$C$23)</f>
        <v/>
      </c>
      <c r="Q43" s="39">
        <f>IF($A43="","",IF(COUNTIF(변동분석!$E$7:$E$506,L43)&gt;0,"Y","N"))</f>
        <v/>
      </c>
      <c r="R43" s="9">
        <f>IF($A43="","",$D43&amp;"")</f>
        <v/>
      </c>
    </row>
    <row r="44">
      <c r="A44" s="75" t="n">
        <v>2026</v>
      </c>
      <c r="B44" s="75" t="inlineStr">
        <is>
          <t>D200</t>
        </is>
      </c>
      <c r="C44" s="75" t="inlineStr">
        <is>
          <t>재무회계팀</t>
        </is>
      </c>
      <c r="D44" s="75" t="n">
        <v>62102000</v>
      </c>
      <c r="E44" s="75" t="inlineStr">
        <is>
          <t>여비교통비-해외</t>
        </is>
      </c>
      <c r="F44" s="75" t="n">
        <v>4</v>
      </c>
      <c r="G44" s="76" t="n">
        <v>675000</v>
      </c>
      <c r="H44" s="76" t="n">
        <v>0</v>
      </c>
      <c r="I44" s="76" t="n">
        <v>0</v>
      </c>
      <c r="J44" s="76" t="n">
        <v>675000</v>
      </c>
      <c r="L44" s="9">
        <f>IF($A44="","",$B44&amp;"|"&amp;$D44)</f>
        <v/>
      </c>
      <c r="M44" s="9">
        <f>IF($A44="","",VALUE($A44&amp;""))</f>
        <v/>
      </c>
      <c r="N44" s="9">
        <f>IF($A44="","",VALUE(SUBSTITUTE(SUBSTITUTE(SUBSTITUTE(UPPER($F44&amp;""),"Q",""),"분기","")," ","")))</f>
        <v/>
      </c>
      <c r="O44" s="77">
        <f>IF($A44="",0,($G44+$H44)*설정!$C$23)</f>
        <v/>
      </c>
      <c r="P44" s="77">
        <f>IF($A44="",0,$I44*설정!$C$23)</f>
        <v/>
      </c>
      <c r="Q44" s="39">
        <f>IF($A44="","",IF(COUNTIF(변동분석!$E$7:$E$506,L44)&gt;0,"Y","N"))</f>
        <v/>
      </c>
      <c r="R44" s="9">
        <f>IF($A44="","",$D44&amp;"")</f>
        <v/>
      </c>
    </row>
    <row r="45">
      <c r="A45" s="75" t="n">
        <v>2026</v>
      </c>
      <c r="B45" s="75" t="inlineStr">
        <is>
          <t>D200</t>
        </is>
      </c>
      <c r="C45" s="75" t="inlineStr">
        <is>
          <t>재무회계팀</t>
        </is>
      </c>
      <c r="D45" s="75" t="n">
        <v>62201000</v>
      </c>
      <c r="E45" s="75" t="inlineStr">
        <is>
          <t>통신비</t>
        </is>
      </c>
      <c r="F45" s="75" t="n">
        <v>1</v>
      </c>
      <c r="G45" s="76" t="n">
        <v>1800000</v>
      </c>
      <c r="H45" s="76" t="n">
        <v>0</v>
      </c>
      <c r="I45" s="76" t="n">
        <v>1589000</v>
      </c>
      <c r="J45" s="76" t="n">
        <v>211000</v>
      </c>
      <c r="L45" s="9">
        <f>IF($A45="","",$B45&amp;"|"&amp;$D45)</f>
        <v/>
      </c>
      <c r="M45" s="9">
        <f>IF($A45="","",VALUE($A45&amp;""))</f>
        <v/>
      </c>
      <c r="N45" s="9">
        <f>IF($A45="","",VALUE(SUBSTITUTE(SUBSTITUTE(SUBSTITUTE(UPPER($F45&amp;""),"Q",""),"분기","")," ","")))</f>
        <v/>
      </c>
      <c r="O45" s="77">
        <f>IF($A45="",0,($G45+$H45)*설정!$C$23)</f>
        <v/>
      </c>
      <c r="P45" s="77">
        <f>IF($A45="",0,$I45*설정!$C$23)</f>
        <v/>
      </c>
      <c r="Q45" s="39">
        <f>IF($A45="","",IF(COUNTIF(변동분석!$E$7:$E$506,L45)&gt;0,"Y","N"))</f>
        <v/>
      </c>
      <c r="R45" s="9">
        <f>IF($A45="","",$D45&amp;"")</f>
        <v/>
      </c>
    </row>
    <row r="46">
      <c r="A46" s="75" t="n">
        <v>2026</v>
      </c>
      <c r="B46" s="75" t="inlineStr">
        <is>
          <t>D200</t>
        </is>
      </c>
      <c r="C46" s="75" t="inlineStr">
        <is>
          <t>재무회계팀</t>
        </is>
      </c>
      <c r="D46" s="75" t="n">
        <v>62201000</v>
      </c>
      <c r="E46" s="75" t="inlineStr">
        <is>
          <t>통신비</t>
        </is>
      </c>
      <c r="F46" s="75" t="n">
        <v>2</v>
      </c>
      <c r="G46" s="76" t="n">
        <v>1800000</v>
      </c>
      <c r="H46" s="76" t="n">
        <v>0</v>
      </c>
      <c r="I46" s="76" t="n">
        <v>1540000</v>
      </c>
      <c r="J46" s="76" t="n">
        <v>260000</v>
      </c>
      <c r="L46" s="9">
        <f>IF($A46="","",$B46&amp;"|"&amp;$D46)</f>
        <v/>
      </c>
      <c r="M46" s="9">
        <f>IF($A46="","",VALUE($A46&amp;""))</f>
        <v/>
      </c>
      <c r="N46" s="9">
        <f>IF($A46="","",VALUE(SUBSTITUTE(SUBSTITUTE(SUBSTITUTE(UPPER($F46&amp;""),"Q",""),"분기","")," ","")))</f>
        <v/>
      </c>
      <c r="O46" s="77">
        <f>IF($A46="",0,($G46+$H46)*설정!$C$23)</f>
        <v/>
      </c>
      <c r="P46" s="77">
        <f>IF($A46="",0,$I46*설정!$C$23)</f>
        <v/>
      </c>
      <c r="Q46" s="39">
        <f>IF($A46="","",IF(COUNTIF(변동분석!$E$7:$E$506,L46)&gt;0,"Y","N"))</f>
        <v/>
      </c>
      <c r="R46" s="9">
        <f>IF($A46="","",$D46&amp;"")</f>
        <v/>
      </c>
    </row>
    <row r="47">
      <c r="A47" s="75" t="n">
        <v>2026</v>
      </c>
      <c r="B47" s="75" t="inlineStr">
        <is>
          <t>D200</t>
        </is>
      </c>
      <c r="C47" s="75" t="inlineStr">
        <is>
          <t>재무회계팀</t>
        </is>
      </c>
      <c r="D47" s="75" t="n">
        <v>62201000</v>
      </c>
      <c r="E47" s="75" t="inlineStr">
        <is>
          <t>통신비</t>
        </is>
      </c>
      <c r="F47" s="75" t="n">
        <v>3</v>
      </c>
      <c r="G47" s="76" t="n">
        <v>1800000</v>
      </c>
      <c r="H47" s="76" t="n">
        <v>0</v>
      </c>
      <c r="I47" s="76" t="n">
        <v>1507000</v>
      </c>
      <c r="J47" s="76" t="n">
        <v>293000</v>
      </c>
      <c r="L47" s="9">
        <f>IF($A47="","",$B47&amp;"|"&amp;$D47)</f>
        <v/>
      </c>
      <c r="M47" s="9">
        <f>IF($A47="","",VALUE($A47&amp;""))</f>
        <v/>
      </c>
      <c r="N47" s="9">
        <f>IF($A47="","",VALUE(SUBSTITUTE(SUBSTITUTE(SUBSTITUTE(UPPER($F47&amp;""),"Q",""),"분기","")," ","")))</f>
        <v/>
      </c>
      <c r="O47" s="77">
        <f>IF($A47="",0,($G47+$H47)*설정!$C$23)</f>
        <v/>
      </c>
      <c r="P47" s="77">
        <f>IF($A47="",0,$I47*설정!$C$23)</f>
        <v/>
      </c>
      <c r="Q47" s="39">
        <f>IF($A47="","",IF(COUNTIF(변동분석!$E$7:$E$506,L47)&gt;0,"Y","N"))</f>
        <v/>
      </c>
      <c r="R47" s="9">
        <f>IF($A47="","",$D47&amp;"")</f>
        <v/>
      </c>
    </row>
    <row r="48">
      <c r="A48" s="75" t="n">
        <v>2026</v>
      </c>
      <c r="B48" s="75" t="inlineStr">
        <is>
          <t>D200</t>
        </is>
      </c>
      <c r="C48" s="75" t="inlineStr">
        <is>
          <t>재무회계팀</t>
        </is>
      </c>
      <c r="D48" s="75" t="n">
        <v>62201000</v>
      </c>
      <c r="E48" s="75" t="inlineStr">
        <is>
          <t>통신비</t>
        </is>
      </c>
      <c r="F48" s="75" t="n">
        <v>4</v>
      </c>
      <c r="G48" s="76" t="n">
        <v>1800000</v>
      </c>
      <c r="H48" s="76" t="n">
        <v>0</v>
      </c>
      <c r="I48" s="76" t="n">
        <v>0</v>
      </c>
      <c r="J48" s="76" t="n">
        <v>1800000</v>
      </c>
      <c r="L48" s="9">
        <f>IF($A48="","",$B48&amp;"|"&amp;$D48)</f>
        <v/>
      </c>
      <c r="M48" s="9">
        <f>IF($A48="","",VALUE($A48&amp;""))</f>
        <v/>
      </c>
      <c r="N48" s="9">
        <f>IF($A48="","",VALUE(SUBSTITUTE(SUBSTITUTE(SUBSTITUTE(UPPER($F48&amp;""),"Q",""),"분기","")," ","")))</f>
        <v/>
      </c>
      <c r="O48" s="77">
        <f>IF($A48="",0,($G48+$H48)*설정!$C$23)</f>
        <v/>
      </c>
      <c r="P48" s="77">
        <f>IF($A48="",0,$I48*설정!$C$23)</f>
        <v/>
      </c>
      <c r="Q48" s="39">
        <f>IF($A48="","",IF(COUNTIF(변동분석!$E$7:$E$506,L48)&gt;0,"Y","N"))</f>
        <v/>
      </c>
      <c r="R48" s="9">
        <f>IF($A48="","",$D48&amp;"")</f>
        <v/>
      </c>
    </row>
    <row r="49">
      <c r="A49" s="75" t="n">
        <v>2026</v>
      </c>
      <c r="B49" s="75" t="inlineStr">
        <is>
          <t>D200</t>
        </is>
      </c>
      <c r="C49" s="75" t="inlineStr">
        <is>
          <t>재무회계팀</t>
        </is>
      </c>
      <c r="D49" s="75" t="n">
        <v>62301000</v>
      </c>
      <c r="E49" s="75" t="inlineStr">
        <is>
          <t>소모품비</t>
        </is>
      </c>
      <c r="F49" s="75" t="n">
        <v>1</v>
      </c>
      <c r="G49" s="76" t="n">
        <v>1800000</v>
      </c>
      <c r="H49" s="76" t="n">
        <v>0</v>
      </c>
      <c r="I49" s="76" t="n">
        <v>1586000</v>
      </c>
      <c r="J49" s="76" t="n">
        <v>214000</v>
      </c>
      <c r="L49" s="9">
        <f>IF($A49="","",$B49&amp;"|"&amp;$D49)</f>
        <v/>
      </c>
      <c r="M49" s="9">
        <f>IF($A49="","",VALUE($A49&amp;""))</f>
        <v/>
      </c>
      <c r="N49" s="9">
        <f>IF($A49="","",VALUE(SUBSTITUTE(SUBSTITUTE(SUBSTITUTE(UPPER($F49&amp;""),"Q",""),"분기","")," ","")))</f>
        <v/>
      </c>
      <c r="O49" s="77">
        <f>IF($A49="",0,($G49+$H49)*설정!$C$23)</f>
        <v/>
      </c>
      <c r="P49" s="77">
        <f>IF($A49="",0,$I49*설정!$C$23)</f>
        <v/>
      </c>
      <c r="Q49" s="39">
        <f>IF($A49="","",IF(COUNTIF(변동분석!$E$7:$E$506,L49)&gt;0,"Y","N"))</f>
        <v/>
      </c>
      <c r="R49" s="9">
        <f>IF($A49="","",$D49&amp;"")</f>
        <v/>
      </c>
    </row>
    <row r="50">
      <c r="A50" s="75" t="n">
        <v>2026</v>
      </c>
      <c r="B50" s="75" t="inlineStr">
        <is>
          <t>D200</t>
        </is>
      </c>
      <c r="C50" s="75" t="inlineStr">
        <is>
          <t>재무회계팀</t>
        </is>
      </c>
      <c r="D50" s="75" t="n">
        <v>62301000</v>
      </c>
      <c r="E50" s="75" t="inlineStr">
        <is>
          <t>소모품비</t>
        </is>
      </c>
      <c r="F50" s="75" t="n">
        <v>2</v>
      </c>
      <c r="G50" s="76" t="n">
        <v>1800000</v>
      </c>
      <c r="H50" s="76" t="n">
        <v>0</v>
      </c>
      <c r="I50" s="76" t="n">
        <v>1620000</v>
      </c>
      <c r="J50" s="76" t="n">
        <v>180000</v>
      </c>
      <c r="L50" s="9">
        <f>IF($A50="","",$B50&amp;"|"&amp;$D50)</f>
        <v/>
      </c>
      <c r="M50" s="9">
        <f>IF($A50="","",VALUE($A50&amp;""))</f>
        <v/>
      </c>
      <c r="N50" s="9">
        <f>IF($A50="","",VALUE(SUBSTITUTE(SUBSTITUTE(SUBSTITUTE(UPPER($F50&amp;""),"Q",""),"분기","")," ","")))</f>
        <v/>
      </c>
      <c r="O50" s="77">
        <f>IF($A50="",0,($G50+$H50)*설정!$C$23)</f>
        <v/>
      </c>
      <c r="P50" s="77">
        <f>IF($A50="",0,$I50*설정!$C$23)</f>
        <v/>
      </c>
      <c r="Q50" s="39">
        <f>IF($A50="","",IF(COUNTIF(변동분석!$E$7:$E$506,L50)&gt;0,"Y","N"))</f>
        <v/>
      </c>
      <c r="R50" s="9">
        <f>IF($A50="","",$D50&amp;"")</f>
        <v/>
      </c>
    </row>
    <row r="51">
      <c r="A51" s="75" t="n">
        <v>2026</v>
      </c>
      <c r="B51" s="75" t="inlineStr">
        <is>
          <t>D200</t>
        </is>
      </c>
      <c r="C51" s="75" t="inlineStr">
        <is>
          <t>재무회계팀</t>
        </is>
      </c>
      <c r="D51" s="75" t="n">
        <v>62301000</v>
      </c>
      <c r="E51" s="75" t="inlineStr">
        <is>
          <t>소모품비</t>
        </is>
      </c>
      <c r="F51" s="75" t="n">
        <v>3</v>
      </c>
      <c r="G51" s="76" t="n">
        <v>1800000</v>
      </c>
      <c r="H51" s="76" t="n">
        <v>0</v>
      </c>
      <c r="I51" s="76" t="n">
        <v>1685000</v>
      </c>
      <c r="J51" s="76" t="n">
        <v>115000</v>
      </c>
      <c r="L51" s="9">
        <f>IF($A51="","",$B51&amp;"|"&amp;$D51)</f>
        <v/>
      </c>
      <c r="M51" s="9">
        <f>IF($A51="","",VALUE($A51&amp;""))</f>
        <v/>
      </c>
      <c r="N51" s="9">
        <f>IF($A51="","",VALUE(SUBSTITUTE(SUBSTITUTE(SUBSTITUTE(UPPER($F51&amp;""),"Q",""),"분기","")," ","")))</f>
        <v/>
      </c>
      <c r="O51" s="77">
        <f>IF($A51="",0,($G51+$H51)*설정!$C$23)</f>
        <v/>
      </c>
      <c r="P51" s="77">
        <f>IF($A51="",0,$I51*설정!$C$23)</f>
        <v/>
      </c>
      <c r="Q51" s="39">
        <f>IF($A51="","",IF(COUNTIF(변동분석!$E$7:$E$506,L51)&gt;0,"Y","N"))</f>
        <v/>
      </c>
      <c r="R51" s="9">
        <f>IF($A51="","",$D51&amp;"")</f>
        <v/>
      </c>
    </row>
    <row r="52">
      <c r="A52" s="75" t="n">
        <v>2026</v>
      </c>
      <c r="B52" s="75" t="inlineStr">
        <is>
          <t>D200</t>
        </is>
      </c>
      <c r="C52" s="75" t="inlineStr">
        <is>
          <t>재무회계팀</t>
        </is>
      </c>
      <c r="D52" s="75" t="n">
        <v>62301000</v>
      </c>
      <c r="E52" s="75" t="inlineStr">
        <is>
          <t>소모품비</t>
        </is>
      </c>
      <c r="F52" s="75" t="n">
        <v>4</v>
      </c>
      <c r="G52" s="76" t="n">
        <v>1800000</v>
      </c>
      <c r="H52" s="76" t="n">
        <v>0</v>
      </c>
      <c r="I52" s="76" t="n">
        <v>0</v>
      </c>
      <c r="J52" s="76" t="n">
        <v>1800000</v>
      </c>
      <c r="L52" s="9">
        <f>IF($A52="","",$B52&amp;"|"&amp;$D52)</f>
        <v/>
      </c>
      <c r="M52" s="9">
        <f>IF($A52="","",VALUE($A52&amp;""))</f>
        <v/>
      </c>
      <c r="N52" s="9">
        <f>IF($A52="","",VALUE(SUBSTITUTE(SUBSTITUTE(SUBSTITUTE(UPPER($F52&amp;""),"Q",""),"분기","")," ","")))</f>
        <v/>
      </c>
      <c r="O52" s="77">
        <f>IF($A52="",0,($G52+$H52)*설정!$C$23)</f>
        <v/>
      </c>
      <c r="P52" s="77">
        <f>IF($A52="",0,$I52*설정!$C$23)</f>
        <v/>
      </c>
      <c r="Q52" s="39">
        <f>IF($A52="","",IF(COUNTIF(변동분석!$E$7:$E$506,L52)&gt;0,"Y","N"))</f>
        <v/>
      </c>
      <c r="R52" s="9">
        <f>IF($A52="","",$D52&amp;"")</f>
        <v/>
      </c>
    </row>
    <row r="53">
      <c r="A53" s="75" t="n">
        <v>2026</v>
      </c>
      <c r="B53" s="75" t="inlineStr">
        <is>
          <t>D200</t>
        </is>
      </c>
      <c r="C53" s="75" t="inlineStr">
        <is>
          <t>재무회계팀</t>
        </is>
      </c>
      <c r="D53" s="75" t="n">
        <v>62501000</v>
      </c>
      <c r="E53" s="75" t="inlineStr">
        <is>
          <t>회의비</t>
        </is>
      </c>
      <c r="F53" s="75" t="n">
        <v>1</v>
      </c>
      <c r="G53" s="76" t="n">
        <v>1500000</v>
      </c>
      <c r="H53" s="76" t="n">
        <v>0</v>
      </c>
      <c r="I53" s="76" t="n">
        <v>1315000</v>
      </c>
      <c r="J53" s="76" t="n">
        <v>185000</v>
      </c>
      <c r="L53" s="9">
        <f>IF($A53="","",$B53&amp;"|"&amp;$D53)</f>
        <v/>
      </c>
      <c r="M53" s="9">
        <f>IF($A53="","",VALUE($A53&amp;""))</f>
        <v/>
      </c>
      <c r="N53" s="9">
        <f>IF($A53="","",VALUE(SUBSTITUTE(SUBSTITUTE(SUBSTITUTE(UPPER($F53&amp;""),"Q",""),"분기","")," ","")))</f>
        <v/>
      </c>
      <c r="O53" s="77">
        <f>IF($A53="",0,($G53+$H53)*설정!$C$23)</f>
        <v/>
      </c>
      <c r="P53" s="77">
        <f>IF($A53="",0,$I53*설정!$C$23)</f>
        <v/>
      </c>
      <c r="Q53" s="39">
        <f>IF($A53="","",IF(COUNTIF(변동분석!$E$7:$E$506,L53)&gt;0,"Y","N"))</f>
        <v/>
      </c>
      <c r="R53" s="9">
        <f>IF($A53="","",$D53&amp;"")</f>
        <v/>
      </c>
    </row>
    <row r="54">
      <c r="A54" s="75" t="n">
        <v>2026</v>
      </c>
      <c r="B54" s="75" t="inlineStr">
        <is>
          <t>D200</t>
        </is>
      </c>
      <c r="C54" s="75" t="inlineStr">
        <is>
          <t>재무회계팀</t>
        </is>
      </c>
      <c r="D54" s="75" t="n">
        <v>62501000</v>
      </c>
      <c r="E54" s="75" t="inlineStr">
        <is>
          <t>회의비</t>
        </is>
      </c>
      <c r="F54" s="75" t="n">
        <v>2</v>
      </c>
      <c r="G54" s="76" t="n">
        <v>1500000</v>
      </c>
      <c r="H54" s="76" t="n">
        <v>0</v>
      </c>
      <c r="I54" s="76" t="n">
        <v>1333000</v>
      </c>
      <c r="J54" s="76" t="n">
        <v>167000</v>
      </c>
      <c r="L54" s="9">
        <f>IF($A54="","",$B54&amp;"|"&amp;$D54)</f>
        <v/>
      </c>
      <c r="M54" s="9">
        <f>IF($A54="","",VALUE($A54&amp;""))</f>
        <v/>
      </c>
      <c r="N54" s="9">
        <f>IF($A54="","",VALUE(SUBSTITUTE(SUBSTITUTE(SUBSTITUTE(UPPER($F54&amp;""),"Q",""),"분기","")," ","")))</f>
        <v/>
      </c>
      <c r="O54" s="77">
        <f>IF($A54="",0,($G54+$H54)*설정!$C$23)</f>
        <v/>
      </c>
      <c r="P54" s="77">
        <f>IF($A54="",0,$I54*설정!$C$23)</f>
        <v/>
      </c>
      <c r="Q54" s="39">
        <f>IF($A54="","",IF(COUNTIF(변동분석!$E$7:$E$506,L54)&gt;0,"Y","N"))</f>
        <v/>
      </c>
      <c r="R54" s="9">
        <f>IF($A54="","",$D54&amp;"")</f>
        <v/>
      </c>
    </row>
    <row r="55">
      <c r="A55" s="75" t="n">
        <v>2026</v>
      </c>
      <c r="B55" s="75" t="inlineStr">
        <is>
          <t>D200</t>
        </is>
      </c>
      <c r="C55" s="75" t="inlineStr">
        <is>
          <t>재무회계팀</t>
        </is>
      </c>
      <c r="D55" s="75" t="n">
        <v>62501000</v>
      </c>
      <c r="E55" s="75" t="inlineStr">
        <is>
          <t>회의비</t>
        </is>
      </c>
      <c r="F55" s="75" t="n">
        <v>3</v>
      </c>
      <c r="G55" s="76" t="n">
        <v>1500000</v>
      </c>
      <c r="H55" s="76" t="n">
        <v>0</v>
      </c>
      <c r="I55" s="76" t="n">
        <v>1265000</v>
      </c>
      <c r="J55" s="76" t="n">
        <v>235000</v>
      </c>
      <c r="L55" s="9">
        <f>IF($A55="","",$B55&amp;"|"&amp;$D55)</f>
        <v/>
      </c>
      <c r="M55" s="9">
        <f>IF($A55="","",VALUE($A55&amp;""))</f>
        <v/>
      </c>
      <c r="N55" s="9">
        <f>IF($A55="","",VALUE(SUBSTITUTE(SUBSTITUTE(SUBSTITUTE(UPPER($F55&amp;""),"Q",""),"분기","")," ","")))</f>
        <v/>
      </c>
      <c r="O55" s="77">
        <f>IF($A55="",0,($G55+$H55)*설정!$C$23)</f>
        <v/>
      </c>
      <c r="P55" s="77">
        <f>IF($A55="",0,$I55*설정!$C$23)</f>
        <v/>
      </c>
      <c r="Q55" s="39">
        <f>IF($A55="","",IF(COUNTIF(변동분석!$E$7:$E$506,L55)&gt;0,"Y","N"))</f>
        <v/>
      </c>
      <c r="R55" s="9">
        <f>IF($A55="","",$D55&amp;"")</f>
        <v/>
      </c>
    </row>
    <row r="56">
      <c r="A56" s="75" t="n">
        <v>2026</v>
      </c>
      <c r="B56" s="75" t="inlineStr">
        <is>
          <t>D200</t>
        </is>
      </c>
      <c r="C56" s="75" t="inlineStr">
        <is>
          <t>재무회계팀</t>
        </is>
      </c>
      <c r="D56" s="75" t="n">
        <v>62501000</v>
      </c>
      <c r="E56" s="75" t="inlineStr">
        <is>
          <t>회의비</t>
        </is>
      </c>
      <c r="F56" s="75" t="n">
        <v>4</v>
      </c>
      <c r="G56" s="76" t="n">
        <v>1500000</v>
      </c>
      <c r="H56" s="76" t="n">
        <v>0</v>
      </c>
      <c r="I56" s="76" t="n">
        <v>0</v>
      </c>
      <c r="J56" s="76" t="n">
        <v>1500000</v>
      </c>
      <c r="L56" s="9">
        <f>IF($A56="","",$B56&amp;"|"&amp;$D56)</f>
        <v/>
      </c>
      <c r="M56" s="9">
        <f>IF($A56="","",VALUE($A56&amp;""))</f>
        <v/>
      </c>
      <c r="N56" s="9">
        <f>IF($A56="","",VALUE(SUBSTITUTE(SUBSTITUTE(SUBSTITUTE(UPPER($F56&amp;""),"Q",""),"분기","")," ","")))</f>
        <v/>
      </c>
      <c r="O56" s="77">
        <f>IF($A56="",0,($G56+$H56)*설정!$C$23)</f>
        <v/>
      </c>
      <c r="P56" s="77">
        <f>IF($A56="",0,$I56*설정!$C$23)</f>
        <v/>
      </c>
      <c r="Q56" s="39">
        <f>IF($A56="","",IF(COUNTIF(변동분석!$E$7:$E$506,L56)&gt;0,"Y","N"))</f>
        <v/>
      </c>
      <c r="R56" s="9">
        <f>IF($A56="","",$D56&amp;"")</f>
        <v/>
      </c>
    </row>
    <row r="57">
      <c r="A57" s="75" t="n">
        <v>2026</v>
      </c>
      <c r="B57" s="75" t="inlineStr">
        <is>
          <t>D200</t>
        </is>
      </c>
      <c r="C57" s="75" t="inlineStr">
        <is>
          <t>재무회계팀</t>
        </is>
      </c>
      <c r="D57" s="75" t="n">
        <v>62901000</v>
      </c>
      <c r="E57" s="75" t="inlineStr">
        <is>
          <t>지급수수료-컨설팅</t>
        </is>
      </c>
      <c r="F57" s="75" t="n">
        <v>1</v>
      </c>
      <c r="G57" s="76" t="n">
        <v>73500000</v>
      </c>
      <c r="H57" s="76" t="n">
        <v>0</v>
      </c>
      <c r="I57" s="76" t="n">
        <v>62065000</v>
      </c>
      <c r="J57" s="76" t="n">
        <v>11435000</v>
      </c>
      <c r="L57" s="9">
        <f>IF($A57="","",$B57&amp;"|"&amp;$D57)</f>
        <v/>
      </c>
      <c r="M57" s="9">
        <f>IF($A57="","",VALUE($A57&amp;""))</f>
        <v/>
      </c>
      <c r="N57" s="9">
        <f>IF($A57="","",VALUE(SUBSTITUTE(SUBSTITUTE(SUBSTITUTE(UPPER($F57&amp;""),"Q",""),"분기","")," ","")))</f>
        <v/>
      </c>
      <c r="O57" s="77">
        <f>IF($A57="",0,($G57+$H57)*설정!$C$23)</f>
        <v/>
      </c>
      <c r="P57" s="77">
        <f>IF($A57="",0,$I57*설정!$C$23)</f>
        <v/>
      </c>
      <c r="Q57" s="39">
        <f>IF($A57="","",IF(COUNTIF(변동분석!$E$7:$E$506,L57)&gt;0,"Y","N"))</f>
        <v/>
      </c>
      <c r="R57" s="9">
        <f>IF($A57="","",$D57&amp;"")</f>
        <v/>
      </c>
    </row>
    <row r="58">
      <c r="A58" s="75" t="n">
        <v>2026</v>
      </c>
      <c r="B58" s="75" t="inlineStr">
        <is>
          <t>D200</t>
        </is>
      </c>
      <c r="C58" s="75" t="inlineStr">
        <is>
          <t>재무회계팀</t>
        </is>
      </c>
      <c r="D58" s="75" t="n">
        <v>62901000</v>
      </c>
      <c r="E58" s="75" t="inlineStr">
        <is>
          <t>지급수수료-컨설팅</t>
        </is>
      </c>
      <c r="F58" s="75" t="n">
        <v>2</v>
      </c>
      <c r="G58" s="76" t="n">
        <v>73500000</v>
      </c>
      <c r="H58" s="76" t="n">
        <v>0</v>
      </c>
      <c r="I58" s="76" t="n">
        <v>60567000</v>
      </c>
      <c r="J58" s="76" t="n">
        <v>12933000</v>
      </c>
      <c r="L58" s="9">
        <f>IF($A58="","",$B58&amp;"|"&amp;$D58)</f>
        <v/>
      </c>
      <c r="M58" s="9">
        <f>IF($A58="","",VALUE($A58&amp;""))</f>
        <v/>
      </c>
      <c r="N58" s="9">
        <f>IF($A58="","",VALUE(SUBSTITUTE(SUBSTITUTE(SUBSTITUTE(UPPER($F58&amp;""),"Q",""),"분기","")," ","")))</f>
        <v/>
      </c>
      <c r="O58" s="77">
        <f>IF($A58="",0,($G58+$H58)*설정!$C$23)</f>
        <v/>
      </c>
      <c r="P58" s="77">
        <f>IF($A58="",0,$I58*설정!$C$23)</f>
        <v/>
      </c>
      <c r="Q58" s="39">
        <f>IF($A58="","",IF(COUNTIF(변동분석!$E$7:$E$506,L58)&gt;0,"Y","N"))</f>
        <v/>
      </c>
      <c r="R58" s="9">
        <f>IF($A58="","",$D58&amp;"")</f>
        <v/>
      </c>
    </row>
    <row r="59">
      <c r="A59" s="75" t="n">
        <v>2026</v>
      </c>
      <c r="B59" s="75" t="inlineStr">
        <is>
          <t>D200</t>
        </is>
      </c>
      <c r="C59" s="75" t="inlineStr">
        <is>
          <t>재무회계팀</t>
        </is>
      </c>
      <c r="D59" s="75" t="n">
        <v>62901000</v>
      </c>
      <c r="E59" s="75" t="inlineStr">
        <is>
          <t>지급수수료-컨설팅</t>
        </is>
      </c>
      <c r="F59" s="75" t="n">
        <v>3</v>
      </c>
      <c r="G59" s="76" t="n">
        <v>73500000</v>
      </c>
      <c r="H59" s="76" t="n">
        <v>0</v>
      </c>
      <c r="I59" s="76" t="n">
        <v>90925000</v>
      </c>
      <c r="J59" s="76" t="n">
        <v>-17425000</v>
      </c>
      <c r="L59" s="9">
        <f>IF($A59="","",$B59&amp;"|"&amp;$D59)</f>
        <v/>
      </c>
      <c r="M59" s="9">
        <f>IF($A59="","",VALUE($A59&amp;""))</f>
        <v/>
      </c>
      <c r="N59" s="9">
        <f>IF($A59="","",VALUE(SUBSTITUTE(SUBSTITUTE(SUBSTITUTE(UPPER($F59&amp;""),"Q",""),"분기","")," ","")))</f>
        <v/>
      </c>
      <c r="O59" s="77">
        <f>IF($A59="",0,($G59+$H59)*설정!$C$23)</f>
        <v/>
      </c>
      <c r="P59" s="77">
        <f>IF($A59="",0,$I59*설정!$C$23)</f>
        <v/>
      </c>
      <c r="Q59" s="39">
        <f>IF($A59="","",IF(COUNTIF(변동분석!$E$7:$E$506,L59)&gt;0,"Y","N"))</f>
        <v/>
      </c>
      <c r="R59" s="9">
        <f>IF($A59="","",$D59&amp;"")</f>
        <v/>
      </c>
    </row>
    <row r="60">
      <c r="A60" s="75" t="n">
        <v>2026</v>
      </c>
      <c r="B60" s="75" t="inlineStr">
        <is>
          <t>D200</t>
        </is>
      </c>
      <c r="C60" s="75" t="inlineStr">
        <is>
          <t>재무회계팀</t>
        </is>
      </c>
      <c r="D60" s="75" t="n">
        <v>62901000</v>
      </c>
      <c r="E60" s="75" t="inlineStr">
        <is>
          <t>지급수수료-컨설팅</t>
        </is>
      </c>
      <c r="F60" s="75" t="n">
        <v>4</v>
      </c>
      <c r="G60" s="76" t="n">
        <v>73500000</v>
      </c>
      <c r="H60" s="76" t="n">
        <v>0</v>
      </c>
      <c r="I60" s="76" t="n">
        <v>0</v>
      </c>
      <c r="J60" s="76" t="n">
        <v>73500000</v>
      </c>
      <c r="L60" s="9">
        <f>IF($A60="","",$B60&amp;"|"&amp;$D60)</f>
        <v/>
      </c>
      <c r="M60" s="9">
        <f>IF($A60="","",VALUE($A60&amp;""))</f>
        <v/>
      </c>
      <c r="N60" s="9">
        <f>IF($A60="","",VALUE(SUBSTITUTE(SUBSTITUTE(SUBSTITUTE(UPPER($F60&amp;""),"Q",""),"분기","")," ","")))</f>
        <v/>
      </c>
      <c r="O60" s="77">
        <f>IF($A60="",0,($G60+$H60)*설정!$C$23)</f>
        <v/>
      </c>
      <c r="P60" s="77">
        <f>IF($A60="",0,$I60*설정!$C$23)</f>
        <v/>
      </c>
      <c r="Q60" s="39">
        <f>IF($A60="","",IF(COUNTIF(변동분석!$E$7:$E$506,L60)&gt;0,"Y","N"))</f>
        <v/>
      </c>
      <c r="R60" s="9">
        <f>IF($A60="","",$D60&amp;"")</f>
        <v/>
      </c>
    </row>
    <row r="61">
      <c r="A61" s="75" t="n">
        <v>2026</v>
      </c>
      <c r="B61" s="75" t="inlineStr">
        <is>
          <t>D200</t>
        </is>
      </c>
      <c r="C61" s="75" t="inlineStr">
        <is>
          <t>재무회계팀</t>
        </is>
      </c>
      <c r="D61" s="75" t="n">
        <v>62902000</v>
      </c>
      <c r="E61" s="75" t="inlineStr">
        <is>
          <t>지급수수료-기타</t>
        </is>
      </c>
      <c r="F61" s="75" t="n">
        <v>1</v>
      </c>
      <c r="G61" s="76" t="n">
        <v>31500000</v>
      </c>
      <c r="H61" s="76" t="n">
        <v>0</v>
      </c>
      <c r="I61" s="76" t="n">
        <v>31077000</v>
      </c>
      <c r="J61" s="76" t="n">
        <v>423000</v>
      </c>
      <c r="L61" s="9">
        <f>IF($A61="","",$B61&amp;"|"&amp;$D61)</f>
        <v/>
      </c>
      <c r="M61" s="9">
        <f>IF($A61="","",VALUE($A61&amp;""))</f>
        <v/>
      </c>
      <c r="N61" s="9">
        <f>IF($A61="","",VALUE(SUBSTITUTE(SUBSTITUTE(SUBSTITUTE(UPPER($F61&amp;""),"Q",""),"분기","")," ","")))</f>
        <v/>
      </c>
      <c r="O61" s="77">
        <f>IF($A61="",0,($G61+$H61)*설정!$C$23)</f>
        <v/>
      </c>
      <c r="P61" s="77">
        <f>IF($A61="",0,$I61*설정!$C$23)</f>
        <v/>
      </c>
      <c r="Q61" s="39">
        <f>IF($A61="","",IF(COUNTIF(변동분석!$E$7:$E$506,L61)&gt;0,"Y","N"))</f>
        <v/>
      </c>
      <c r="R61" s="9">
        <f>IF($A61="","",$D61&amp;"")</f>
        <v/>
      </c>
    </row>
    <row r="62">
      <c r="A62" s="75" t="n">
        <v>2026</v>
      </c>
      <c r="B62" s="75" t="inlineStr">
        <is>
          <t>D200</t>
        </is>
      </c>
      <c r="C62" s="75" t="inlineStr">
        <is>
          <t>재무회계팀</t>
        </is>
      </c>
      <c r="D62" s="75" t="n">
        <v>62902000</v>
      </c>
      <c r="E62" s="75" t="inlineStr">
        <is>
          <t>지급수수료-기타</t>
        </is>
      </c>
      <c r="F62" s="75" t="n">
        <v>2</v>
      </c>
      <c r="G62" s="76" t="n">
        <v>31500000</v>
      </c>
      <c r="H62" s="76" t="n">
        <v>0</v>
      </c>
      <c r="I62" s="76" t="n">
        <v>29563000</v>
      </c>
      <c r="J62" s="76" t="n">
        <v>1937000</v>
      </c>
      <c r="L62" s="9">
        <f>IF($A62="","",$B62&amp;"|"&amp;$D62)</f>
        <v/>
      </c>
      <c r="M62" s="9">
        <f>IF($A62="","",VALUE($A62&amp;""))</f>
        <v/>
      </c>
      <c r="N62" s="9">
        <f>IF($A62="","",VALUE(SUBSTITUTE(SUBSTITUTE(SUBSTITUTE(UPPER($F62&amp;""),"Q",""),"분기","")," ","")))</f>
        <v/>
      </c>
      <c r="O62" s="77">
        <f>IF($A62="",0,($G62+$H62)*설정!$C$23)</f>
        <v/>
      </c>
      <c r="P62" s="77">
        <f>IF($A62="",0,$I62*설정!$C$23)</f>
        <v/>
      </c>
      <c r="Q62" s="39">
        <f>IF($A62="","",IF(COUNTIF(변동분석!$E$7:$E$506,L62)&gt;0,"Y","N"))</f>
        <v/>
      </c>
      <c r="R62" s="9">
        <f>IF($A62="","",$D62&amp;"")</f>
        <v/>
      </c>
    </row>
    <row r="63">
      <c r="A63" s="75" t="n">
        <v>2026</v>
      </c>
      <c r="B63" s="75" t="inlineStr">
        <is>
          <t>D200</t>
        </is>
      </c>
      <c r="C63" s="75" t="inlineStr">
        <is>
          <t>재무회계팀</t>
        </is>
      </c>
      <c r="D63" s="75" t="n">
        <v>62902000</v>
      </c>
      <c r="E63" s="75" t="inlineStr">
        <is>
          <t>지급수수료-기타</t>
        </is>
      </c>
      <c r="F63" s="75" t="n">
        <v>3</v>
      </c>
      <c r="G63" s="76" t="n">
        <v>31500000</v>
      </c>
      <c r="H63" s="76" t="n">
        <v>0</v>
      </c>
      <c r="I63" s="76" t="n">
        <v>27175000</v>
      </c>
      <c r="J63" s="76" t="n">
        <v>4325000</v>
      </c>
      <c r="L63" s="9">
        <f>IF($A63="","",$B63&amp;"|"&amp;$D63)</f>
        <v/>
      </c>
      <c r="M63" s="9">
        <f>IF($A63="","",VALUE($A63&amp;""))</f>
        <v/>
      </c>
      <c r="N63" s="9">
        <f>IF($A63="","",VALUE(SUBSTITUTE(SUBSTITUTE(SUBSTITUTE(UPPER($F63&amp;""),"Q",""),"분기","")," ","")))</f>
        <v/>
      </c>
      <c r="O63" s="77">
        <f>IF($A63="",0,($G63+$H63)*설정!$C$23)</f>
        <v/>
      </c>
      <c r="P63" s="77">
        <f>IF($A63="",0,$I63*설정!$C$23)</f>
        <v/>
      </c>
      <c r="Q63" s="39">
        <f>IF($A63="","",IF(COUNTIF(변동분석!$E$7:$E$506,L63)&gt;0,"Y","N"))</f>
        <v/>
      </c>
      <c r="R63" s="9">
        <f>IF($A63="","",$D63&amp;"")</f>
        <v/>
      </c>
    </row>
    <row r="64">
      <c r="A64" s="75" t="n">
        <v>2026</v>
      </c>
      <c r="B64" s="75" t="inlineStr">
        <is>
          <t>D200</t>
        </is>
      </c>
      <c r="C64" s="75" t="inlineStr">
        <is>
          <t>재무회계팀</t>
        </is>
      </c>
      <c r="D64" s="75" t="n">
        <v>62902000</v>
      </c>
      <c r="E64" s="75" t="inlineStr">
        <is>
          <t>지급수수료-기타</t>
        </is>
      </c>
      <c r="F64" s="75" t="n">
        <v>4</v>
      </c>
      <c r="G64" s="76" t="n">
        <v>31500000</v>
      </c>
      <c r="H64" s="76" t="n">
        <v>0</v>
      </c>
      <c r="I64" s="76" t="n">
        <v>0</v>
      </c>
      <c r="J64" s="76" t="n">
        <v>31500000</v>
      </c>
      <c r="L64" s="9">
        <f>IF($A64="","",$B64&amp;"|"&amp;$D64)</f>
        <v/>
      </c>
      <c r="M64" s="9">
        <f>IF($A64="","",VALUE($A64&amp;""))</f>
        <v/>
      </c>
      <c r="N64" s="9">
        <f>IF($A64="","",VALUE(SUBSTITUTE(SUBSTITUTE(SUBSTITUTE(UPPER($F64&amp;""),"Q",""),"분기","")," ","")))</f>
        <v/>
      </c>
      <c r="O64" s="77">
        <f>IF($A64="",0,($G64+$H64)*설정!$C$23)</f>
        <v/>
      </c>
      <c r="P64" s="77">
        <f>IF($A64="",0,$I64*설정!$C$23)</f>
        <v/>
      </c>
      <c r="Q64" s="39">
        <f>IF($A64="","",IF(COUNTIF(변동분석!$E$7:$E$506,L64)&gt;0,"Y","N"))</f>
        <v/>
      </c>
      <c r="R64" s="9">
        <f>IF($A64="","",$D64&amp;"")</f>
        <v/>
      </c>
    </row>
    <row r="65">
      <c r="A65" s="75" t="n">
        <v>2026</v>
      </c>
      <c r="B65" s="75" t="inlineStr">
        <is>
          <t>D300</t>
        </is>
      </c>
      <c r="C65" s="75" t="inlineStr">
        <is>
          <t>인사팀</t>
        </is>
      </c>
      <c r="D65" s="75" t="n">
        <v>62101000</v>
      </c>
      <c r="E65" s="75" t="inlineStr">
        <is>
          <t>여비교통비-국내</t>
        </is>
      </c>
      <c r="F65" s="75" t="n">
        <v>1</v>
      </c>
      <c r="G65" s="76" t="n">
        <v>5100000</v>
      </c>
      <c r="H65" s="76" t="n">
        <v>0</v>
      </c>
      <c r="I65" s="76" t="n">
        <v>4747000</v>
      </c>
      <c r="J65" s="76" t="n">
        <v>353000</v>
      </c>
      <c r="L65" s="9">
        <f>IF($A65="","",$B65&amp;"|"&amp;$D65)</f>
        <v/>
      </c>
      <c r="M65" s="9">
        <f>IF($A65="","",VALUE($A65&amp;""))</f>
        <v/>
      </c>
      <c r="N65" s="9">
        <f>IF($A65="","",VALUE(SUBSTITUTE(SUBSTITUTE(SUBSTITUTE(UPPER($F65&amp;""),"Q",""),"분기","")," ","")))</f>
        <v/>
      </c>
      <c r="O65" s="77">
        <f>IF($A65="",0,($G65+$H65)*설정!$C$23)</f>
        <v/>
      </c>
      <c r="P65" s="77">
        <f>IF($A65="",0,$I65*설정!$C$23)</f>
        <v/>
      </c>
      <c r="Q65" s="39">
        <f>IF($A65="","",IF(COUNTIF(변동분석!$E$7:$E$506,L65)&gt;0,"Y","N"))</f>
        <v/>
      </c>
      <c r="R65" s="9">
        <f>IF($A65="","",$D65&amp;"")</f>
        <v/>
      </c>
    </row>
    <row r="66">
      <c r="A66" s="75" t="n">
        <v>2026</v>
      </c>
      <c r="B66" s="75" t="inlineStr">
        <is>
          <t>D300</t>
        </is>
      </c>
      <c r="C66" s="75" t="inlineStr">
        <is>
          <t>인사팀</t>
        </is>
      </c>
      <c r="D66" s="75" t="n">
        <v>62101000</v>
      </c>
      <c r="E66" s="75" t="inlineStr">
        <is>
          <t>여비교통비-국내</t>
        </is>
      </c>
      <c r="F66" s="75" t="n">
        <v>2</v>
      </c>
      <c r="G66" s="76" t="n">
        <v>5100000</v>
      </c>
      <c r="H66" s="76" t="n">
        <v>0</v>
      </c>
      <c r="I66" s="76" t="n">
        <v>4697000</v>
      </c>
      <c r="J66" s="76" t="n">
        <v>403000</v>
      </c>
      <c r="L66" s="9">
        <f>IF($A66="","",$B66&amp;"|"&amp;$D66)</f>
        <v/>
      </c>
      <c r="M66" s="9">
        <f>IF($A66="","",VALUE($A66&amp;""))</f>
        <v/>
      </c>
      <c r="N66" s="9">
        <f>IF($A66="","",VALUE(SUBSTITUTE(SUBSTITUTE(SUBSTITUTE(UPPER($F66&amp;""),"Q",""),"분기","")," ","")))</f>
        <v/>
      </c>
      <c r="O66" s="77">
        <f>IF($A66="",0,($G66+$H66)*설정!$C$23)</f>
        <v/>
      </c>
      <c r="P66" s="77">
        <f>IF($A66="",0,$I66*설정!$C$23)</f>
        <v/>
      </c>
      <c r="Q66" s="39">
        <f>IF($A66="","",IF(COUNTIF(변동분석!$E$7:$E$506,L66)&gt;0,"Y","N"))</f>
        <v/>
      </c>
      <c r="R66" s="9">
        <f>IF($A66="","",$D66&amp;"")</f>
        <v/>
      </c>
    </row>
    <row r="67">
      <c r="A67" s="75" t="n">
        <v>2026</v>
      </c>
      <c r="B67" s="75" t="inlineStr">
        <is>
          <t>D300</t>
        </is>
      </c>
      <c r="C67" s="75" t="inlineStr">
        <is>
          <t>인사팀</t>
        </is>
      </c>
      <c r="D67" s="75" t="n">
        <v>62101000</v>
      </c>
      <c r="E67" s="75" t="inlineStr">
        <is>
          <t>여비교통비-국내</t>
        </is>
      </c>
      <c r="F67" s="75" t="n">
        <v>3</v>
      </c>
      <c r="G67" s="76" t="n">
        <v>5100000</v>
      </c>
      <c r="H67" s="76" t="n">
        <v>0</v>
      </c>
      <c r="I67" s="76" t="n">
        <v>4620000</v>
      </c>
      <c r="J67" s="76" t="n">
        <v>480000</v>
      </c>
      <c r="L67" s="9">
        <f>IF($A67="","",$B67&amp;"|"&amp;$D67)</f>
        <v/>
      </c>
      <c r="M67" s="9">
        <f>IF($A67="","",VALUE($A67&amp;""))</f>
        <v/>
      </c>
      <c r="N67" s="9">
        <f>IF($A67="","",VALUE(SUBSTITUTE(SUBSTITUTE(SUBSTITUTE(UPPER($F67&amp;""),"Q",""),"분기","")," ","")))</f>
        <v/>
      </c>
      <c r="O67" s="77">
        <f>IF($A67="",0,($G67+$H67)*설정!$C$23)</f>
        <v/>
      </c>
      <c r="P67" s="77">
        <f>IF($A67="",0,$I67*설정!$C$23)</f>
        <v/>
      </c>
      <c r="Q67" s="39">
        <f>IF($A67="","",IF(COUNTIF(변동분석!$E$7:$E$506,L67)&gt;0,"Y","N"))</f>
        <v/>
      </c>
      <c r="R67" s="9">
        <f>IF($A67="","",$D67&amp;"")</f>
        <v/>
      </c>
    </row>
    <row r="68">
      <c r="A68" s="75" t="n">
        <v>2026</v>
      </c>
      <c r="B68" s="75" t="inlineStr">
        <is>
          <t>D300</t>
        </is>
      </c>
      <c r="C68" s="75" t="inlineStr">
        <is>
          <t>인사팀</t>
        </is>
      </c>
      <c r="D68" s="75" t="n">
        <v>62101000</v>
      </c>
      <c r="E68" s="75" t="inlineStr">
        <is>
          <t>여비교통비-국내</t>
        </is>
      </c>
      <c r="F68" s="75" t="n">
        <v>4</v>
      </c>
      <c r="G68" s="76" t="n">
        <v>5100000</v>
      </c>
      <c r="H68" s="76" t="n">
        <v>0</v>
      </c>
      <c r="I68" s="76" t="n">
        <v>0</v>
      </c>
      <c r="J68" s="76" t="n">
        <v>5100000</v>
      </c>
      <c r="L68" s="9">
        <f>IF($A68="","",$B68&amp;"|"&amp;$D68)</f>
        <v/>
      </c>
      <c r="M68" s="9">
        <f>IF($A68="","",VALUE($A68&amp;""))</f>
        <v/>
      </c>
      <c r="N68" s="9">
        <f>IF($A68="","",VALUE(SUBSTITUTE(SUBSTITUTE(SUBSTITUTE(UPPER($F68&amp;""),"Q",""),"분기","")," ","")))</f>
        <v/>
      </c>
      <c r="O68" s="77">
        <f>IF($A68="",0,($G68+$H68)*설정!$C$23)</f>
        <v/>
      </c>
      <c r="P68" s="77">
        <f>IF($A68="",0,$I68*설정!$C$23)</f>
        <v/>
      </c>
      <c r="Q68" s="39">
        <f>IF($A68="","",IF(COUNTIF(변동분석!$E$7:$E$506,L68)&gt;0,"Y","N"))</f>
        <v/>
      </c>
      <c r="R68" s="9">
        <f>IF($A68="","",$D68&amp;"")</f>
        <v/>
      </c>
    </row>
    <row r="69">
      <c r="A69" s="75" t="n">
        <v>2026</v>
      </c>
      <c r="B69" s="75" t="inlineStr">
        <is>
          <t>D300</t>
        </is>
      </c>
      <c r="C69" s="75" t="inlineStr">
        <is>
          <t>인사팀</t>
        </is>
      </c>
      <c r="D69" s="75" t="n">
        <v>62102000</v>
      </c>
      <c r="E69" s="75" t="inlineStr">
        <is>
          <t>여비교통비-해외</t>
        </is>
      </c>
      <c r="F69" s="75" t="n">
        <v>1</v>
      </c>
      <c r="G69" s="76" t="n">
        <v>900000</v>
      </c>
      <c r="H69" s="76" t="n">
        <v>0</v>
      </c>
      <c r="I69" s="76" t="n">
        <v>826000</v>
      </c>
      <c r="J69" s="76" t="n">
        <v>74000</v>
      </c>
      <c r="L69" s="9">
        <f>IF($A69="","",$B69&amp;"|"&amp;$D69)</f>
        <v/>
      </c>
      <c r="M69" s="9">
        <f>IF($A69="","",VALUE($A69&amp;""))</f>
        <v/>
      </c>
      <c r="N69" s="9">
        <f>IF($A69="","",VALUE(SUBSTITUTE(SUBSTITUTE(SUBSTITUTE(UPPER($F69&amp;""),"Q",""),"분기","")," ","")))</f>
        <v/>
      </c>
      <c r="O69" s="77">
        <f>IF($A69="",0,($G69+$H69)*설정!$C$23)</f>
        <v/>
      </c>
      <c r="P69" s="77">
        <f>IF($A69="",0,$I69*설정!$C$23)</f>
        <v/>
      </c>
      <c r="Q69" s="39">
        <f>IF($A69="","",IF(COUNTIF(변동분석!$E$7:$E$506,L69)&gt;0,"Y","N"))</f>
        <v/>
      </c>
      <c r="R69" s="9">
        <f>IF($A69="","",$D69&amp;"")</f>
        <v/>
      </c>
    </row>
    <row r="70">
      <c r="A70" s="75" t="n">
        <v>2026</v>
      </c>
      <c r="B70" s="75" t="inlineStr">
        <is>
          <t>D300</t>
        </is>
      </c>
      <c r="C70" s="75" t="inlineStr">
        <is>
          <t>인사팀</t>
        </is>
      </c>
      <c r="D70" s="75" t="n">
        <v>62102000</v>
      </c>
      <c r="E70" s="75" t="inlineStr">
        <is>
          <t>여비교통비-해외</t>
        </is>
      </c>
      <c r="F70" s="75" t="n">
        <v>2</v>
      </c>
      <c r="G70" s="76" t="n">
        <v>900000</v>
      </c>
      <c r="H70" s="76" t="n">
        <v>0</v>
      </c>
      <c r="I70" s="76" t="n">
        <v>783000</v>
      </c>
      <c r="J70" s="76" t="n">
        <v>117000</v>
      </c>
      <c r="L70" s="9">
        <f>IF($A70="","",$B70&amp;"|"&amp;$D70)</f>
        <v/>
      </c>
      <c r="M70" s="9">
        <f>IF($A70="","",VALUE($A70&amp;""))</f>
        <v/>
      </c>
      <c r="N70" s="9">
        <f>IF($A70="","",VALUE(SUBSTITUTE(SUBSTITUTE(SUBSTITUTE(UPPER($F70&amp;""),"Q",""),"분기","")," ","")))</f>
        <v/>
      </c>
      <c r="O70" s="77">
        <f>IF($A70="",0,($G70+$H70)*설정!$C$23)</f>
        <v/>
      </c>
      <c r="P70" s="77">
        <f>IF($A70="",0,$I70*설정!$C$23)</f>
        <v/>
      </c>
      <c r="Q70" s="39">
        <f>IF($A70="","",IF(COUNTIF(변동분석!$E$7:$E$506,L70)&gt;0,"Y","N"))</f>
        <v/>
      </c>
      <c r="R70" s="9">
        <f>IF($A70="","",$D70&amp;"")</f>
        <v/>
      </c>
    </row>
    <row r="71">
      <c r="A71" s="75" t="n">
        <v>2026</v>
      </c>
      <c r="B71" s="75" t="inlineStr">
        <is>
          <t>D300</t>
        </is>
      </c>
      <c r="C71" s="75" t="inlineStr">
        <is>
          <t>인사팀</t>
        </is>
      </c>
      <c r="D71" s="75" t="n">
        <v>62102000</v>
      </c>
      <c r="E71" s="75" t="inlineStr">
        <is>
          <t>여비교통비-해외</t>
        </is>
      </c>
      <c r="F71" s="75" t="n">
        <v>3</v>
      </c>
      <c r="G71" s="76" t="n">
        <v>900000</v>
      </c>
      <c r="H71" s="76" t="n">
        <v>0</v>
      </c>
      <c r="I71" s="76" t="n">
        <v>861000</v>
      </c>
      <c r="J71" s="76" t="n">
        <v>39000</v>
      </c>
      <c r="L71" s="9">
        <f>IF($A71="","",$B71&amp;"|"&amp;$D71)</f>
        <v/>
      </c>
      <c r="M71" s="9">
        <f>IF($A71="","",VALUE($A71&amp;""))</f>
        <v/>
      </c>
      <c r="N71" s="9">
        <f>IF($A71="","",VALUE(SUBSTITUTE(SUBSTITUTE(SUBSTITUTE(UPPER($F71&amp;""),"Q",""),"분기","")," ","")))</f>
        <v/>
      </c>
      <c r="O71" s="77">
        <f>IF($A71="",0,($G71+$H71)*설정!$C$23)</f>
        <v/>
      </c>
      <c r="P71" s="77">
        <f>IF($A71="",0,$I71*설정!$C$23)</f>
        <v/>
      </c>
      <c r="Q71" s="39">
        <f>IF($A71="","",IF(COUNTIF(변동분석!$E$7:$E$506,L71)&gt;0,"Y","N"))</f>
        <v/>
      </c>
      <c r="R71" s="9">
        <f>IF($A71="","",$D71&amp;"")</f>
        <v/>
      </c>
    </row>
    <row r="72">
      <c r="A72" s="75" t="n">
        <v>2026</v>
      </c>
      <c r="B72" s="75" t="inlineStr">
        <is>
          <t>D300</t>
        </is>
      </c>
      <c r="C72" s="75" t="inlineStr">
        <is>
          <t>인사팀</t>
        </is>
      </c>
      <c r="D72" s="75" t="n">
        <v>62102000</v>
      </c>
      <c r="E72" s="75" t="inlineStr">
        <is>
          <t>여비교통비-해외</t>
        </is>
      </c>
      <c r="F72" s="75" t="n">
        <v>4</v>
      </c>
      <c r="G72" s="76" t="n">
        <v>900000</v>
      </c>
      <c r="H72" s="76" t="n">
        <v>0</v>
      </c>
      <c r="I72" s="76" t="n">
        <v>0</v>
      </c>
      <c r="J72" s="76" t="n">
        <v>900000</v>
      </c>
      <c r="L72" s="9">
        <f>IF($A72="","",$B72&amp;"|"&amp;$D72)</f>
        <v/>
      </c>
      <c r="M72" s="9">
        <f>IF($A72="","",VALUE($A72&amp;""))</f>
        <v/>
      </c>
      <c r="N72" s="9">
        <f>IF($A72="","",VALUE(SUBSTITUTE(SUBSTITUTE(SUBSTITUTE(UPPER($F72&amp;""),"Q",""),"분기","")," ","")))</f>
        <v/>
      </c>
      <c r="O72" s="77">
        <f>IF($A72="",0,($G72+$H72)*설정!$C$23)</f>
        <v/>
      </c>
      <c r="P72" s="77">
        <f>IF($A72="",0,$I72*설정!$C$23)</f>
        <v/>
      </c>
      <c r="Q72" s="39">
        <f>IF($A72="","",IF(COUNTIF(변동분석!$E$7:$E$506,L72)&gt;0,"Y","N"))</f>
        <v/>
      </c>
      <c r="R72" s="9">
        <f>IF($A72="","",$D72&amp;"")</f>
        <v/>
      </c>
    </row>
    <row r="73">
      <c r="A73" s="75" t="n">
        <v>2026</v>
      </c>
      <c r="B73" s="75" t="inlineStr">
        <is>
          <t>D300</t>
        </is>
      </c>
      <c r="C73" s="75" t="inlineStr">
        <is>
          <t>인사팀</t>
        </is>
      </c>
      <c r="D73" s="75" t="n">
        <v>62201000</v>
      </c>
      <c r="E73" s="75" t="inlineStr">
        <is>
          <t>통신비</t>
        </is>
      </c>
      <c r="F73" s="75" t="n">
        <v>1</v>
      </c>
      <c r="G73" s="76" t="n">
        <v>2100000</v>
      </c>
      <c r="H73" s="76" t="n">
        <v>0</v>
      </c>
      <c r="I73" s="76" t="n">
        <v>1748000</v>
      </c>
      <c r="J73" s="76" t="n">
        <v>352000</v>
      </c>
      <c r="L73" s="9">
        <f>IF($A73="","",$B73&amp;"|"&amp;$D73)</f>
        <v/>
      </c>
      <c r="M73" s="9">
        <f>IF($A73="","",VALUE($A73&amp;""))</f>
        <v/>
      </c>
      <c r="N73" s="9">
        <f>IF($A73="","",VALUE(SUBSTITUTE(SUBSTITUTE(SUBSTITUTE(UPPER($F73&amp;""),"Q",""),"분기","")," ","")))</f>
        <v/>
      </c>
      <c r="O73" s="77">
        <f>IF($A73="",0,($G73+$H73)*설정!$C$23)</f>
        <v/>
      </c>
      <c r="P73" s="77">
        <f>IF($A73="",0,$I73*설정!$C$23)</f>
        <v/>
      </c>
      <c r="Q73" s="39">
        <f>IF($A73="","",IF(COUNTIF(변동분석!$E$7:$E$506,L73)&gt;0,"Y","N"))</f>
        <v/>
      </c>
      <c r="R73" s="9">
        <f>IF($A73="","",$D73&amp;"")</f>
        <v/>
      </c>
    </row>
    <row r="74">
      <c r="A74" s="75" t="n">
        <v>2026</v>
      </c>
      <c r="B74" s="75" t="inlineStr">
        <is>
          <t>D300</t>
        </is>
      </c>
      <c r="C74" s="75" t="inlineStr">
        <is>
          <t>인사팀</t>
        </is>
      </c>
      <c r="D74" s="75" t="n">
        <v>62201000</v>
      </c>
      <c r="E74" s="75" t="inlineStr">
        <is>
          <t>통신비</t>
        </is>
      </c>
      <c r="F74" s="75" t="n">
        <v>2</v>
      </c>
      <c r="G74" s="76" t="n">
        <v>2100000</v>
      </c>
      <c r="H74" s="76" t="n">
        <v>0</v>
      </c>
      <c r="I74" s="76" t="n">
        <v>1708000</v>
      </c>
      <c r="J74" s="76" t="n">
        <v>392000</v>
      </c>
      <c r="L74" s="9">
        <f>IF($A74="","",$B74&amp;"|"&amp;$D74)</f>
        <v/>
      </c>
      <c r="M74" s="9">
        <f>IF($A74="","",VALUE($A74&amp;""))</f>
        <v/>
      </c>
      <c r="N74" s="9">
        <f>IF($A74="","",VALUE(SUBSTITUTE(SUBSTITUTE(SUBSTITUTE(UPPER($F74&amp;""),"Q",""),"분기","")," ","")))</f>
        <v/>
      </c>
      <c r="O74" s="77">
        <f>IF($A74="",0,($G74+$H74)*설정!$C$23)</f>
        <v/>
      </c>
      <c r="P74" s="77">
        <f>IF($A74="",0,$I74*설정!$C$23)</f>
        <v/>
      </c>
      <c r="Q74" s="39">
        <f>IF($A74="","",IF(COUNTIF(변동분석!$E$7:$E$506,L74)&gt;0,"Y","N"))</f>
        <v/>
      </c>
      <c r="R74" s="9">
        <f>IF($A74="","",$D74&amp;"")</f>
        <v/>
      </c>
    </row>
    <row r="75">
      <c r="A75" s="75" t="n">
        <v>2026</v>
      </c>
      <c r="B75" s="75" t="inlineStr">
        <is>
          <t>D300</t>
        </is>
      </c>
      <c r="C75" s="75" t="inlineStr">
        <is>
          <t>인사팀</t>
        </is>
      </c>
      <c r="D75" s="75" t="n">
        <v>62201000</v>
      </c>
      <c r="E75" s="75" t="inlineStr">
        <is>
          <t>통신비</t>
        </is>
      </c>
      <c r="F75" s="75" t="n">
        <v>3</v>
      </c>
      <c r="G75" s="76" t="n">
        <v>2100000</v>
      </c>
      <c r="H75" s="76" t="n">
        <v>0</v>
      </c>
      <c r="I75" s="76" t="n">
        <v>1853000</v>
      </c>
      <c r="J75" s="76" t="n">
        <v>247000</v>
      </c>
      <c r="L75" s="9">
        <f>IF($A75="","",$B75&amp;"|"&amp;$D75)</f>
        <v/>
      </c>
      <c r="M75" s="9">
        <f>IF($A75="","",VALUE($A75&amp;""))</f>
        <v/>
      </c>
      <c r="N75" s="9">
        <f>IF($A75="","",VALUE(SUBSTITUTE(SUBSTITUTE(SUBSTITUTE(UPPER($F75&amp;""),"Q",""),"분기","")," ","")))</f>
        <v/>
      </c>
      <c r="O75" s="77">
        <f>IF($A75="",0,($G75+$H75)*설정!$C$23)</f>
        <v/>
      </c>
      <c r="P75" s="77">
        <f>IF($A75="",0,$I75*설정!$C$23)</f>
        <v/>
      </c>
      <c r="Q75" s="39">
        <f>IF($A75="","",IF(COUNTIF(변동분석!$E$7:$E$506,L75)&gt;0,"Y","N"))</f>
        <v/>
      </c>
      <c r="R75" s="9">
        <f>IF($A75="","",$D75&amp;"")</f>
        <v/>
      </c>
    </row>
    <row r="76">
      <c r="A76" s="75" t="n">
        <v>2026</v>
      </c>
      <c r="B76" s="75" t="inlineStr">
        <is>
          <t>D300</t>
        </is>
      </c>
      <c r="C76" s="75" t="inlineStr">
        <is>
          <t>인사팀</t>
        </is>
      </c>
      <c r="D76" s="75" t="n">
        <v>62201000</v>
      </c>
      <c r="E76" s="75" t="inlineStr">
        <is>
          <t>통신비</t>
        </is>
      </c>
      <c r="F76" s="75" t="n">
        <v>4</v>
      </c>
      <c r="G76" s="76" t="n">
        <v>2100000</v>
      </c>
      <c r="H76" s="76" t="n">
        <v>0</v>
      </c>
      <c r="I76" s="76" t="n">
        <v>0</v>
      </c>
      <c r="J76" s="76" t="n">
        <v>2100000</v>
      </c>
      <c r="L76" s="9">
        <f>IF($A76="","",$B76&amp;"|"&amp;$D76)</f>
        <v/>
      </c>
      <c r="M76" s="9">
        <f>IF($A76="","",VALUE($A76&amp;""))</f>
        <v/>
      </c>
      <c r="N76" s="9">
        <f>IF($A76="","",VALUE(SUBSTITUTE(SUBSTITUTE(SUBSTITUTE(UPPER($F76&amp;""),"Q",""),"분기","")," ","")))</f>
        <v/>
      </c>
      <c r="O76" s="77">
        <f>IF($A76="",0,($G76+$H76)*설정!$C$23)</f>
        <v/>
      </c>
      <c r="P76" s="77">
        <f>IF($A76="",0,$I76*설정!$C$23)</f>
        <v/>
      </c>
      <c r="Q76" s="39">
        <f>IF($A76="","",IF(COUNTIF(변동분석!$E$7:$E$506,L76)&gt;0,"Y","N"))</f>
        <v/>
      </c>
      <c r="R76" s="9">
        <f>IF($A76="","",$D76&amp;"")</f>
        <v/>
      </c>
    </row>
    <row r="77">
      <c r="A77" s="75" t="n">
        <v>2026</v>
      </c>
      <c r="B77" s="75" t="inlineStr">
        <is>
          <t>D300</t>
        </is>
      </c>
      <c r="C77" s="75" t="inlineStr">
        <is>
          <t>인사팀</t>
        </is>
      </c>
      <c r="D77" s="75" t="n">
        <v>62301000</v>
      </c>
      <c r="E77" s="75" t="inlineStr">
        <is>
          <t>소모품비</t>
        </is>
      </c>
      <c r="F77" s="75" t="n">
        <v>1</v>
      </c>
      <c r="G77" s="76" t="n">
        <v>2400000</v>
      </c>
      <c r="H77" s="76" t="n">
        <v>0</v>
      </c>
      <c r="I77" s="76" t="n">
        <v>2331000</v>
      </c>
      <c r="J77" s="76" t="n">
        <v>69000</v>
      </c>
      <c r="L77" s="9">
        <f>IF($A77="","",$B77&amp;"|"&amp;$D77)</f>
        <v/>
      </c>
      <c r="M77" s="9">
        <f>IF($A77="","",VALUE($A77&amp;""))</f>
        <v/>
      </c>
      <c r="N77" s="9">
        <f>IF($A77="","",VALUE(SUBSTITUTE(SUBSTITUTE(SUBSTITUTE(UPPER($F77&amp;""),"Q",""),"분기","")," ","")))</f>
        <v/>
      </c>
      <c r="O77" s="77">
        <f>IF($A77="",0,($G77+$H77)*설정!$C$23)</f>
        <v/>
      </c>
      <c r="P77" s="77">
        <f>IF($A77="",0,$I77*설정!$C$23)</f>
        <v/>
      </c>
      <c r="Q77" s="39">
        <f>IF($A77="","",IF(COUNTIF(변동분석!$E$7:$E$506,L77)&gt;0,"Y","N"))</f>
        <v/>
      </c>
      <c r="R77" s="9">
        <f>IF($A77="","",$D77&amp;"")</f>
        <v/>
      </c>
    </row>
    <row r="78">
      <c r="A78" s="75" t="n">
        <v>2026</v>
      </c>
      <c r="B78" s="75" t="inlineStr">
        <is>
          <t>D300</t>
        </is>
      </c>
      <c r="C78" s="75" t="inlineStr">
        <is>
          <t>인사팀</t>
        </is>
      </c>
      <c r="D78" s="75" t="n">
        <v>62301000</v>
      </c>
      <c r="E78" s="75" t="inlineStr">
        <is>
          <t>소모품비</t>
        </is>
      </c>
      <c r="F78" s="75" t="n">
        <v>2</v>
      </c>
      <c r="G78" s="76" t="n">
        <v>2400000</v>
      </c>
      <c r="H78" s="76" t="n">
        <v>0</v>
      </c>
      <c r="I78" s="76" t="n">
        <v>2250000</v>
      </c>
      <c r="J78" s="76" t="n">
        <v>150000</v>
      </c>
      <c r="L78" s="9">
        <f>IF($A78="","",$B78&amp;"|"&amp;$D78)</f>
        <v/>
      </c>
      <c r="M78" s="9">
        <f>IF($A78="","",VALUE($A78&amp;""))</f>
        <v/>
      </c>
      <c r="N78" s="9">
        <f>IF($A78="","",VALUE(SUBSTITUTE(SUBSTITUTE(SUBSTITUTE(UPPER($F78&amp;""),"Q",""),"분기","")," ","")))</f>
        <v/>
      </c>
      <c r="O78" s="77">
        <f>IF($A78="",0,($G78+$H78)*설정!$C$23)</f>
        <v/>
      </c>
      <c r="P78" s="77">
        <f>IF($A78="",0,$I78*설정!$C$23)</f>
        <v/>
      </c>
      <c r="Q78" s="39">
        <f>IF($A78="","",IF(COUNTIF(변동분석!$E$7:$E$506,L78)&gt;0,"Y","N"))</f>
        <v/>
      </c>
      <c r="R78" s="9">
        <f>IF($A78="","",$D78&amp;"")</f>
        <v/>
      </c>
    </row>
    <row r="79">
      <c r="A79" s="75" t="n">
        <v>2026</v>
      </c>
      <c r="B79" s="75" t="inlineStr">
        <is>
          <t>D300</t>
        </is>
      </c>
      <c r="C79" s="75" t="inlineStr">
        <is>
          <t>인사팀</t>
        </is>
      </c>
      <c r="D79" s="75" t="n">
        <v>62301000</v>
      </c>
      <c r="E79" s="75" t="inlineStr">
        <is>
          <t>소모품비</t>
        </is>
      </c>
      <c r="F79" s="75" t="n">
        <v>3</v>
      </c>
      <c r="G79" s="76" t="n">
        <v>2400000</v>
      </c>
      <c r="H79" s="76" t="n">
        <v>0</v>
      </c>
      <c r="I79" s="76" t="n">
        <v>2352000</v>
      </c>
      <c r="J79" s="76" t="n">
        <v>48000</v>
      </c>
      <c r="L79" s="9">
        <f>IF($A79="","",$B79&amp;"|"&amp;$D79)</f>
        <v/>
      </c>
      <c r="M79" s="9">
        <f>IF($A79="","",VALUE($A79&amp;""))</f>
        <v/>
      </c>
      <c r="N79" s="9">
        <f>IF($A79="","",VALUE(SUBSTITUTE(SUBSTITUTE(SUBSTITUTE(UPPER($F79&amp;""),"Q",""),"분기","")," ","")))</f>
        <v/>
      </c>
      <c r="O79" s="77">
        <f>IF($A79="",0,($G79+$H79)*설정!$C$23)</f>
        <v/>
      </c>
      <c r="P79" s="77">
        <f>IF($A79="",0,$I79*설정!$C$23)</f>
        <v/>
      </c>
      <c r="Q79" s="39">
        <f>IF($A79="","",IF(COUNTIF(변동분석!$E$7:$E$506,L79)&gt;0,"Y","N"))</f>
        <v/>
      </c>
      <c r="R79" s="9">
        <f>IF($A79="","",$D79&amp;"")</f>
        <v/>
      </c>
    </row>
    <row r="80">
      <c r="A80" s="75" t="n">
        <v>2026</v>
      </c>
      <c r="B80" s="75" t="inlineStr">
        <is>
          <t>D300</t>
        </is>
      </c>
      <c r="C80" s="75" t="inlineStr">
        <is>
          <t>인사팀</t>
        </is>
      </c>
      <c r="D80" s="75" t="n">
        <v>62301000</v>
      </c>
      <c r="E80" s="75" t="inlineStr">
        <is>
          <t>소모품비</t>
        </is>
      </c>
      <c r="F80" s="75" t="n">
        <v>4</v>
      </c>
      <c r="G80" s="76" t="n">
        <v>2400000</v>
      </c>
      <c r="H80" s="76" t="n">
        <v>0</v>
      </c>
      <c r="I80" s="76" t="n">
        <v>0</v>
      </c>
      <c r="J80" s="76" t="n">
        <v>2400000</v>
      </c>
      <c r="L80" s="9">
        <f>IF($A80="","",$B80&amp;"|"&amp;$D80)</f>
        <v/>
      </c>
      <c r="M80" s="9">
        <f>IF($A80="","",VALUE($A80&amp;""))</f>
        <v/>
      </c>
      <c r="N80" s="9">
        <f>IF($A80="","",VALUE(SUBSTITUTE(SUBSTITUTE(SUBSTITUTE(UPPER($F80&amp;""),"Q",""),"분기","")," ","")))</f>
        <v/>
      </c>
      <c r="O80" s="77">
        <f>IF($A80="",0,($G80+$H80)*설정!$C$23)</f>
        <v/>
      </c>
      <c r="P80" s="77">
        <f>IF($A80="",0,$I80*설정!$C$23)</f>
        <v/>
      </c>
      <c r="Q80" s="39">
        <f>IF($A80="","",IF(COUNTIF(변동분석!$E$7:$E$506,L80)&gt;0,"Y","N"))</f>
        <v/>
      </c>
      <c r="R80" s="9">
        <f>IF($A80="","",$D80&amp;"")</f>
        <v/>
      </c>
    </row>
    <row r="81">
      <c r="A81" s="75" t="n">
        <v>2026</v>
      </c>
      <c r="B81" s="75" t="inlineStr">
        <is>
          <t>D300</t>
        </is>
      </c>
      <c r="C81" s="75" t="inlineStr">
        <is>
          <t>인사팀</t>
        </is>
      </c>
      <c r="D81" s="75" t="n">
        <v>62501000</v>
      </c>
      <c r="E81" s="75" t="inlineStr">
        <is>
          <t>회의비</t>
        </is>
      </c>
      <c r="F81" s="75" t="n">
        <v>1</v>
      </c>
      <c r="G81" s="76" t="n">
        <v>2400000</v>
      </c>
      <c r="H81" s="76" t="n">
        <v>0</v>
      </c>
      <c r="I81" s="76" t="n">
        <v>2057000</v>
      </c>
      <c r="J81" s="76" t="n">
        <v>343000</v>
      </c>
      <c r="L81" s="9">
        <f>IF($A81="","",$B81&amp;"|"&amp;$D81)</f>
        <v/>
      </c>
      <c r="M81" s="9">
        <f>IF($A81="","",VALUE($A81&amp;""))</f>
        <v/>
      </c>
      <c r="N81" s="9">
        <f>IF($A81="","",VALUE(SUBSTITUTE(SUBSTITUTE(SUBSTITUTE(UPPER($F81&amp;""),"Q",""),"분기","")," ","")))</f>
        <v/>
      </c>
      <c r="O81" s="77">
        <f>IF($A81="",0,($G81+$H81)*설정!$C$23)</f>
        <v/>
      </c>
      <c r="P81" s="77">
        <f>IF($A81="",0,$I81*설정!$C$23)</f>
        <v/>
      </c>
      <c r="Q81" s="39">
        <f>IF($A81="","",IF(COUNTIF(변동분석!$E$7:$E$506,L81)&gt;0,"Y","N"))</f>
        <v/>
      </c>
      <c r="R81" s="9">
        <f>IF($A81="","",$D81&amp;"")</f>
        <v/>
      </c>
    </row>
    <row r="82">
      <c r="A82" s="75" t="n">
        <v>2026</v>
      </c>
      <c r="B82" s="75" t="inlineStr">
        <is>
          <t>D300</t>
        </is>
      </c>
      <c r="C82" s="75" t="inlineStr">
        <is>
          <t>인사팀</t>
        </is>
      </c>
      <c r="D82" s="75" t="n">
        <v>62501000</v>
      </c>
      <c r="E82" s="75" t="inlineStr">
        <is>
          <t>회의비</t>
        </is>
      </c>
      <c r="F82" s="75" t="n">
        <v>2</v>
      </c>
      <c r="G82" s="76" t="n">
        <v>2400000</v>
      </c>
      <c r="H82" s="76" t="n">
        <v>0</v>
      </c>
      <c r="I82" s="76" t="n">
        <v>2100000</v>
      </c>
      <c r="J82" s="76" t="n">
        <v>300000</v>
      </c>
      <c r="L82" s="9">
        <f>IF($A82="","",$B82&amp;"|"&amp;$D82)</f>
        <v/>
      </c>
      <c r="M82" s="9">
        <f>IF($A82="","",VALUE($A82&amp;""))</f>
        <v/>
      </c>
      <c r="N82" s="9">
        <f>IF($A82="","",VALUE(SUBSTITUTE(SUBSTITUTE(SUBSTITUTE(UPPER($F82&amp;""),"Q",""),"분기","")," ","")))</f>
        <v/>
      </c>
      <c r="O82" s="77">
        <f>IF($A82="",0,($G82+$H82)*설정!$C$23)</f>
        <v/>
      </c>
      <c r="P82" s="77">
        <f>IF($A82="",0,$I82*설정!$C$23)</f>
        <v/>
      </c>
      <c r="Q82" s="39">
        <f>IF($A82="","",IF(COUNTIF(변동분석!$E$7:$E$506,L82)&gt;0,"Y","N"))</f>
        <v/>
      </c>
      <c r="R82" s="9">
        <f>IF($A82="","",$D82&amp;"")</f>
        <v/>
      </c>
    </row>
    <row r="83">
      <c r="A83" s="75" t="n">
        <v>2026</v>
      </c>
      <c r="B83" s="75" t="inlineStr">
        <is>
          <t>D300</t>
        </is>
      </c>
      <c r="C83" s="75" t="inlineStr">
        <is>
          <t>인사팀</t>
        </is>
      </c>
      <c r="D83" s="75" t="n">
        <v>62501000</v>
      </c>
      <c r="E83" s="75" t="inlineStr">
        <is>
          <t>회의비</t>
        </is>
      </c>
      <c r="F83" s="75" t="n">
        <v>3</v>
      </c>
      <c r="G83" s="76" t="n">
        <v>2400000</v>
      </c>
      <c r="H83" s="76" t="n">
        <v>0</v>
      </c>
      <c r="I83" s="76" t="n">
        <v>2117000</v>
      </c>
      <c r="J83" s="76" t="n">
        <v>283000</v>
      </c>
      <c r="L83" s="9">
        <f>IF($A83="","",$B83&amp;"|"&amp;$D83)</f>
        <v/>
      </c>
      <c r="M83" s="9">
        <f>IF($A83="","",VALUE($A83&amp;""))</f>
        <v/>
      </c>
      <c r="N83" s="9">
        <f>IF($A83="","",VALUE(SUBSTITUTE(SUBSTITUTE(SUBSTITUTE(UPPER($F83&amp;""),"Q",""),"분기","")," ","")))</f>
        <v/>
      </c>
      <c r="O83" s="77">
        <f>IF($A83="",0,($G83+$H83)*설정!$C$23)</f>
        <v/>
      </c>
      <c r="P83" s="77">
        <f>IF($A83="",0,$I83*설정!$C$23)</f>
        <v/>
      </c>
      <c r="Q83" s="39">
        <f>IF($A83="","",IF(COUNTIF(변동분석!$E$7:$E$506,L83)&gt;0,"Y","N"))</f>
        <v/>
      </c>
      <c r="R83" s="9">
        <f>IF($A83="","",$D83&amp;"")</f>
        <v/>
      </c>
    </row>
    <row r="84">
      <c r="A84" s="75" t="n">
        <v>2026</v>
      </c>
      <c r="B84" s="75" t="inlineStr">
        <is>
          <t>D300</t>
        </is>
      </c>
      <c r="C84" s="75" t="inlineStr">
        <is>
          <t>인사팀</t>
        </is>
      </c>
      <c r="D84" s="75" t="n">
        <v>62501000</v>
      </c>
      <c r="E84" s="75" t="inlineStr">
        <is>
          <t>회의비</t>
        </is>
      </c>
      <c r="F84" s="75" t="n">
        <v>4</v>
      </c>
      <c r="G84" s="76" t="n">
        <v>2400000</v>
      </c>
      <c r="H84" s="76" t="n">
        <v>0</v>
      </c>
      <c r="I84" s="76" t="n">
        <v>0</v>
      </c>
      <c r="J84" s="76" t="n">
        <v>2400000</v>
      </c>
      <c r="L84" s="9">
        <f>IF($A84="","",$B84&amp;"|"&amp;$D84)</f>
        <v/>
      </c>
      <c r="M84" s="9">
        <f>IF($A84="","",VALUE($A84&amp;""))</f>
        <v/>
      </c>
      <c r="N84" s="9">
        <f>IF($A84="","",VALUE(SUBSTITUTE(SUBSTITUTE(SUBSTITUTE(UPPER($F84&amp;""),"Q",""),"분기","")," ","")))</f>
        <v/>
      </c>
      <c r="O84" s="77">
        <f>IF($A84="",0,($G84+$H84)*설정!$C$23)</f>
        <v/>
      </c>
      <c r="P84" s="77">
        <f>IF($A84="",0,$I84*설정!$C$23)</f>
        <v/>
      </c>
      <c r="Q84" s="39">
        <f>IF($A84="","",IF(COUNTIF(변동분석!$E$7:$E$506,L84)&gt;0,"Y","N"))</f>
        <v/>
      </c>
      <c r="R84" s="9">
        <f>IF($A84="","",$D84&amp;"")</f>
        <v/>
      </c>
    </row>
    <row r="85">
      <c r="A85" s="75" t="n">
        <v>2026</v>
      </c>
      <c r="B85" s="75" t="inlineStr">
        <is>
          <t>D300</t>
        </is>
      </c>
      <c r="C85" s="75" t="inlineStr">
        <is>
          <t>인사팀</t>
        </is>
      </c>
      <c r="D85" s="75" t="n">
        <v>62601000</v>
      </c>
      <c r="E85" s="75" t="inlineStr">
        <is>
          <t>업무추진비</t>
        </is>
      </c>
      <c r="F85" s="75" t="n">
        <v>1</v>
      </c>
      <c r="G85" s="76" t="n">
        <v>6000000</v>
      </c>
      <c r="H85" s="76" t="n">
        <v>0</v>
      </c>
      <c r="I85" s="76" t="n">
        <v>5003000</v>
      </c>
      <c r="J85" s="76" t="n">
        <v>997000</v>
      </c>
      <c r="L85" s="9">
        <f>IF($A85="","",$B85&amp;"|"&amp;$D85)</f>
        <v/>
      </c>
      <c r="M85" s="9">
        <f>IF($A85="","",VALUE($A85&amp;""))</f>
        <v/>
      </c>
      <c r="N85" s="9">
        <f>IF($A85="","",VALUE(SUBSTITUTE(SUBSTITUTE(SUBSTITUTE(UPPER($F85&amp;""),"Q",""),"분기","")," ","")))</f>
        <v/>
      </c>
      <c r="O85" s="77">
        <f>IF($A85="",0,($G85+$H85)*설정!$C$23)</f>
        <v/>
      </c>
      <c r="P85" s="77">
        <f>IF($A85="",0,$I85*설정!$C$23)</f>
        <v/>
      </c>
      <c r="Q85" s="39">
        <f>IF($A85="","",IF(COUNTIF(변동분석!$E$7:$E$506,L85)&gt;0,"Y","N"))</f>
        <v/>
      </c>
      <c r="R85" s="9">
        <f>IF($A85="","",$D85&amp;"")</f>
        <v/>
      </c>
    </row>
    <row r="86">
      <c r="A86" s="75" t="n">
        <v>2026</v>
      </c>
      <c r="B86" s="75" t="inlineStr">
        <is>
          <t>D300</t>
        </is>
      </c>
      <c r="C86" s="75" t="inlineStr">
        <is>
          <t>인사팀</t>
        </is>
      </c>
      <c r="D86" s="75" t="n">
        <v>62601000</v>
      </c>
      <c r="E86" s="75" t="inlineStr">
        <is>
          <t>업무추진비</t>
        </is>
      </c>
      <c r="F86" s="75" t="n">
        <v>2</v>
      </c>
      <c r="G86" s="76" t="n">
        <v>6000000</v>
      </c>
      <c r="H86" s="76" t="n">
        <v>0</v>
      </c>
      <c r="I86" s="76" t="n">
        <v>5131000</v>
      </c>
      <c r="J86" s="76" t="n">
        <v>869000</v>
      </c>
      <c r="L86" s="9">
        <f>IF($A86="","",$B86&amp;"|"&amp;$D86)</f>
        <v/>
      </c>
      <c r="M86" s="9">
        <f>IF($A86="","",VALUE($A86&amp;""))</f>
        <v/>
      </c>
      <c r="N86" s="9">
        <f>IF($A86="","",VALUE(SUBSTITUTE(SUBSTITUTE(SUBSTITUTE(UPPER($F86&amp;""),"Q",""),"분기","")," ","")))</f>
        <v/>
      </c>
      <c r="O86" s="77">
        <f>IF($A86="",0,($G86+$H86)*설정!$C$23)</f>
        <v/>
      </c>
      <c r="P86" s="77">
        <f>IF($A86="",0,$I86*설정!$C$23)</f>
        <v/>
      </c>
      <c r="Q86" s="39">
        <f>IF($A86="","",IF(COUNTIF(변동분석!$E$7:$E$506,L86)&gt;0,"Y","N"))</f>
        <v/>
      </c>
      <c r="R86" s="9">
        <f>IF($A86="","",$D86&amp;"")</f>
        <v/>
      </c>
    </row>
    <row r="87">
      <c r="A87" s="75" t="n">
        <v>2026</v>
      </c>
      <c r="B87" s="75" t="inlineStr">
        <is>
          <t>D300</t>
        </is>
      </c>
      <c r="C87" s="75" t="inlineStr">
        <is>
          <t>인사팀</t>
        </is>
      </c>
      <c r="D87" s="75" t="n">
        <v>62601000</v>
      </c>
      <c r="E87" s="75" t="inlineStr">
        <is>
          <t>업무추진비</t>
        </is>
      </c>
      <c r="F87" s="75" t="n">
        <v>3</v>
      </c>
      <c r="G87" s="76" t="n">
        <v>6000000</v>
      </c>
      <c r="H87" s="76" t="n">
        <v>0</v>
      </c>
      <c r="I87" s="76" t="n">
        <v>4873000</v>
      </c>
      <c r="J87" s="76" t="n">
        <v>1127000</v>
      </c>
      <c r="L87" s="9">
        <f>IF($A87="","",$B87&amp;"|"&amp;$D87)</f>
        <v/>
      </c>
      <c r="M87" s="9">
        <f>IF($A87="","",VALUE($A87&amp;""))</f>
        <v/>
      </c>
      <c r="N87" s="9">
        <f>IF($A87="","",VALUE(SUBSTITUTE(SUBSTITUTE(SUBSTITUTE(UPPER($F87&amp;""),"Q",""),"분기","")," ","")))</f>
        <v/>
      </c>
      <c r="O87" s="77">
        <f>IF($A87="",0,($G87+$H87)*설정!$C$23)</f>
        <v/>
      </c>
      <c r="P87" s="77">
        <f>IF($A87="",0,$I87*설정!$C$23)</f>
        <v/>
      </c>
      <c r="Q87" s="39">
        <f>IF($A87="","",IF(COUNTIF(변동분석!$E$7:$E$506,L87)&gt;0,"Y","N"))</f>
        <v/>
      </c>
      <c r="R87" s="9">
        <f>IF($A87="","",$D87&amp;"")</f>
        <v/>
      </c>
    </row>
    <row r="88">
      <c r="A88" s="75" t="n">
        <v>2026</v>
      </c>
      <c r="B88" s="75" t="inlineStr">
        <is>
          <t>D300</t>
        </is>
      </c>
      <c r="C88" s="75" t="inlineStr">
        <is>
          <t>인사팀</t>
        </is>
      </c>
      <c r="D88" s="75" t="n">
        <v>62601000</v>
      </c>
      <c r="E88" s="75" t="inlineStr">
        <is>
          <t>업무추진비</t>
        </is>
      </c>
      <c r="F88" s="75" t="n">
        <v>4</v>
      </c>
      <c r="G88" s="76" t="n">
        <v>6000000</v>
      </c>
      <c r="H88" s="76" t="n">
        <v>0</v>
      </c>
      <c r="I88" s="76" t="n">
        <v>0</v>
      </c>
      <c r="J88" s="76" t="n">
        <v>6000000</v>
      </c>
      <c r="L88" s="9">
        <f>IF($A88="","",$B88&amp;"|"&amp;$D88)</f>
        <v/>
      </c>
      <c r="M88" s="9">
        <f>IF($A88="","",VALUE($A88&amp;""))</f>
        <v/>
      </c>
      <c r="N88" s="9">
        <f>IF($A88="","",VALUE(SUBSTITUTE(SUBSTITUTE(SUBSTITUTE(UPPER($F88&amp;""),"Q",""),"분기","")," ","")))</f>
        <v/>
      </c>
      <c r="O88" s="77">
        <f>IF($A88="",0,($G88+$H88)*설정!$C$23)</f>
        <v/>
      </c>
      <c r="P88" s="77">
        <f>IF($A88="",0,$I88*설정!$C$23)</f>
        <v/>
      </c>
      <c r="Q88" s="39">
        <f>IF($A88="","",IF(COUNTIF(변동분석!$E$7:$E$506,L88)&gt;0,"Y","N"))</f>
        <v/>
      </c>
      <c r="R88" s="9">
        <f>IF($A88="","",$D88&amp;"")</f>
        <v/>
      </c>
    </row>
    <row r="89">
      <c r="A89" s="75" t="n">
        <v>2026</v>
      </c>
      <c r="B89" s="75" t="inlineStr">
        <is>
          <t>D300</t>
        </is>
      </c>
      <c r="C89" s="75" t="inlineStr">
        <is>
          <t>인사팀</t>
        </is>
      </c>
      <c r="D89" s="75" t="n">
        <v>62801000</v>
      </c>
      <c r="E89" s="75" t="inlineStr">
        <is>
          <t>교육훈련비-사내</t>
        </is>
      </c>
      <c r="F89" s="75" t="n">
        <v>1</v>
      </c>
      <c r="G89" s="76" t="n">
        <v>48000000</v>
      </c>
      <c r="H89" s="76" t="n">
        <v>0</v>
      </c>
      <c r="I89" s="76" t="n">
        <v>42294000</v>
      </c>
      <c r="J89" s="76" t="n">
        <v>5706000</v>
      </c>
      <c r="L89" s="9">
        <f>IF($A89="","",$B89&amp;"|"&amp;$D89)</f>
        <v/>
      </c>
      <c r="M89" s="9">
        <f>IF($A89="","",VALUE($A89&amp;""))</f>
        <v/>
      </c>
      <c r="N89" s="9">
        <f>IF($A89="","",VALUE(SUBSTITUTE(SUBSTITUTE(SUBSTITUTE(UPPER($F89&amp;""),"Q",""),"분기","")," ","")))</f>
        <v/>
      </c>
      <c r="O89" s="77">
        <f>IF($A89="",0,($G89+$H89)*설정!$C$23)</f>
        <v/>
      </c>
      <c r="P89" s="77">
        <f>IF($A89="",0,$I89*설정!$C$23)</f>
        <v/>
      </c>
      <c r="Q89" s="39">
        <f>IF($A89="","",IF(COUNTIF(변동분석!$E$7:$E$506,L89)&gt;0,"Y","N"))</f>
        <v/>
      </c>
      <c r="R89" s="9">
        <f>IF($A89="","",$D89&amp;"")</f>
        <v/>
      </c>
    </row>
    <row r="90">
      <c r="A90" s="75" t="n">
        <v>2026</v>
      </c>
      <c r="B90" s="75" t="inlineStr">
        <is>
          <t>D300</t>
        </is>
      </c>
      <c r="C90" s="75" t="inlineStr">
        <is>
          <t>인사팀</t>
        </is>
      </c>
      <c r="D90" s="75" t="n">
        <v>62801000</v>
      </c>
      <c r="E90" s="75" t="inlineStr">
        <is>
          <t>교육훈련비-사내</t>
        </is>
      </c>
      <c r="F90" s="75" t="n">
        <v>2</v>
      </c>
      <c r="G90" s="76" t="n">
        <v>48000000</v>
      </c>
      <c r="H90" s="76" t="n">
        <v>0</v>
      </c>
      <c r="I90" s="76" t="n">
        <v>44575000</v>
      </c>
      <c r="J90" s="76" t="n">
        <v>3425000</v>
      </c>
      <c r="L90" s="9">
        <f>IF($A90="","",$B90&amp;"|"&amp;$D90)</f>
        <v/>
      </c>
      <c r="M90" s="9">
        <f>IF($A90="","",VALUE($A90&amp;""))</f>
        <v/>
      </c>
      <c r="N90" s="9">
        <f>IF($A90="","",VALUE(SUBSTITUTE(SUBSTITUTE(SUBSTITUTE(UPPER($F90&amp;""),"Q",""),"분기","")," ","")))</f>
        <v/>
      </c>
      <c r="O90" s="77">
        <f>IF($A90="",0,($G90+$H90)*설정!$C$23)</f>
        <v/>
      </c>
      <c r="P90" s="77">
        <f>IF($A90="",0,$I90*설정!$C$23)</f>
        <v/>
      </c>
      <c r="Q90" s="39">
        <f>IF($A90="","",IF(COUNTIF(변동분석!$E$7:$E$506,L90)&gt;0,"Y","N"))</f>
        <v/>
      </c>
      <c r="R90" s="9">
        <f>IF($A90="","",$D90&amp;"")</f>
        <v/>
      </c>
    </row>
    <row r="91">
      <c r="A91" s="75" t="n">
        <v>2026</v>
      </c>
      <c r="B91" s="75" t="inlineStr">
        <is>
          <t>D300</t>
        </is>
      </c>
      <c r="C91" s="75" t="inlineStr">
        <is>
          <t>인사팀</t>
        </is>
      </c>
      <c r="D91" s="75" t="n">
        <v>62801000</v>
      </c>
      <c r="E91" s="75" t="inlineStr">
        <is>
          <t>교육훈련비-사내</t>
        </is>
      </c>
      <c r="F91" s="75" t="n">
        <v>3</v>
      </c>
      <c r="G91" s="76" t="n">
        <v>48000000</v>
      </c>
      <c r="H91" s="76" t="n">
        <v>0</v>
      </c>
      <c r="I91" s="76" t="n">
        <v>40264000</v>
      </c>
      <c r="J91" s="76" t="n">
        <v>7736000</v>
      </c>
      <c r="L91" s="9">
        <f>IF($A91="","",$B91&amp;"|"&amp;$D91)</f>
        <v/>
      </c>
      <c r="M91" s="9">
        <f>IF($A91="","",VALUE($A91&amp;""))</f>
        <v/>
      </c>
      <c r="N91" s="9">
        <f>IF($A91="","",VALUE(SUBSTITUTE(SUBSTITUTE(SUBSTITUTE(UPPER($F91&amp;""),"Q",""),"분기","")," ","")))</f>
        <v/>
      </c>
      <c r="O91" s="77">
        <f>IF($A91="",0,($G91+$H91)*설정!$C$23)</f>
        <v/>
      </c>
      <c r="P91" s="77">
        <f>IF($A91="",0,$I91*설정!$C$23)</f>
        <v/>
      </c>
      <c r="Q91" s="39">
        <f>IF($A91="","",IF(COUNTIF(변동분석!$E$7:$E$506,L91)&gt;0,"Y","N"))</f>
        <v/>
      </c>
      <c r="R91" s="9">
        <f>IF($A91="","",$D91&amp;"")</f>
        <v/>
      </c>
    </row>
    <row r="92">
      <c r="A92" s="75" t="n">
        <v>2026</v>
      </c>
      <c r="B92" s="75" t="inlineStr">
        <is>
          <t>D300</t>
        </is>
      </c>
      <c r="C92" s="75" t="inlineStr">
        <is>
          <t>인사팀</t>
        </is>
      </c>
      <c r="D92" s="75" t="n">
        <v>62801000</v>
      </c>
      <c r="E92" s="75" t="inlineStr">
        <is>
          <t>교육훈련비-사내</t>
        </is>
      </c>
      <c r="F92" s="75" t="n">
        <v>4</v>
      </c>
      <c r="G92" s="76" t="n">
        <v>48000000</v>
      </c>
      <c r="H92" s="76" t="n">
        <v>0</v>
      </c>
      <c r="I92" s="76" t="n">
        <v>0</v>
      </c>
      <c r="J92" s="76" t="n">
        <v>48000000</v>
      </c>
      <c r="L92" s="9">
        <f>IF($A92="","",$B92&amp;"|"&amp;$D92)</f>
        <v/>
      </c>
      <c r="M92" s="9">
        <f>IF($A92="","",VALUE($A92&amp;""))</f>
        <v/>
      </c>
      <c r="N92" s="9">
        <f>IF($A92="","",VALUE(SUBSTITUTE(SUBSTITUTE(SUBSTITUTE(UPPER($F92&amp;""),"Q",""),"분기","")," ","")))</f>
        <v/>
      </c>
      <c r="O92" s="77">
        <f>IF($A92="",0,($G92+$H92)*설정!$C$23)</f>
        <v/>
      </c>
      <c r="P92" s="77">
        <f>IF($A92="",0,$I92*설정!$C$23)</f>
        <v/>
      </c>
      <c r="Q92" s="39">
        <f>IF($A92="","",IF(COUNTIF(변동분석!$E$7:$E$506,L92)&gt;0,"Y","N"))</f>
        <v/>
      </c>
      <c r="R92" s="9">
        <f>IF($A92="","",$D92&amp;"")</f>
        <v/>
      </c>
    </row>
    <row r="93">
      <c r="A93" s="75" t="n">
        <v>2026</v>
      </c>
      <c r="B93" s="75" t="inlineStr">
        <is>
          <t>D300</t>
        </is>
      </c>
      <c r="C93" s="75" t="inlineStr">
        <is>
          <t>인사팀</t>
        </is>
      </c>
      <c r="D93" s="75" t="n">
        <v>62802000</v>
      </c>
      <c r="E93" s="75" t="inlineStr">
        <is>
          <t>교육훈련비-외부위탁</t>
        </is>
      </c>
      <c r="F93" s="75" t="n">
        <v>1</v>
      </c>
      <c r="G93" s="76" t="n">
        <v>72000000</v>
      </c>
      <c r="H93" s="76" t="n">
        <v>0</v>
      </c>
      <c r="I93" s="76" t="n">
        <v>32078000</v>
      </c>
      <c r="J93" s="76" t="n">
        <v>39922000</v>
      </c>
      <c r="L93" s="9">
        <f>IF($A93="","",$B93&amp;"|"&amp;$D93)</f>
        <v/>
      </c>
      <c r="M93" s="9">
        <f>IF($A93="","",VALUE($A93&amp;""))</f>
        <v/>
      </c>
      <c r="N93" s="9">
        <f>IF($A93="","",VALUE(SUBSTITUTE(SUBSTITUTE(SUBSTITUTE(UPPER($F93&amp;""),"Q",""),"분기","")," ","")))</f>
        <v/>
      </c>
      <c r="O93" s="77">
        <f>IF($A93="",0,($G93+$H93)*설정!$C$23)</f>
        <v/>
      </c>
      <c r="P93" s="77">
        <f>IF($A93="",0,$I93*설정!$C$23)</f>
        <v/>
      </c>
      <c r="Q93" s="39">
        <f>IF($A93="","",IF(COUNTIF(변동분석!$E$7:$E$506,L93)&gt;0,"Y","N"))</f>
        <v/>
      </c>
      <c r="R93" s="9">
        <f>IF($A93="","",$D93&amp;"")</f>
        <v/>
      </c>
    </row>
    <row r="94">
      <c r="A94" s="75" t="n">
        <v>2026</v>
      </c>
      <c r="B94" s="75" t="inlineStr">
        <is>
          <t>D300</t>
        </is>
      </c>
      <c r="C94" s="75" t="inlineStr">
        <is>
          <t>인사팀</t>
        </is>
      </c>
      <c r="D94" s="75" t="n">
        <v>62802000</v>
      </c>
      <c r="E94" s="75" t="inlineStr">
        <is>
          <t>교육훈련비-외부위탁</t>
        </is>
      </c>
      <c r="F94" s="75" t="n">
        <v>2</v>
      </c>
      <c r="G94" s="76" t="n">
        <v>72000000</v>
      </c>
      <c r="H94" s="76" t="n">
        <v>0</v>
      </c>
      <c r="I94" s="76" t="n">
        <v>34487000</v>
      </c>
      <c r="J94" s="76" t="n">
        <v>37513000</v>
      </c>
      <c r="L94" s="9">
        <f>IF($A94="","",$B94&amp;"|"&amp;$D94)</f>
        <v/>
      </c>
      <c r="M94" s="9">
        <f>IF($A94="","",VALUE($A94&amp;""))</f>
        <v/>
      </c>
      <c r="N94" s="9">
        <f>IF($A94="","",VALUE(SUBSTITUTE(SUBSTITUTE(SUBSTITUTE(UPPER($F94&amp;""),"Q",""),"분기","")," ","")))</f>
        <v/>
      </c>
      <c r="O94" s="77">
        <f>IF($A94="",0,($G94+$H94)*설정!$C$23)</f>
        <v/>
      </c>
      <c r="P94" s="77">
        <f>IF($A94="",0,$I94*설정!$C$23)</f>
        <v/>
      </c>
      <c r="Q94" s="39">
        <f>IF($A94="","",IF(COUNTIF(변동분석!$E$7:$E$506,L94)&gt;0,"Y","N"))</f>
        <v/>
      </c>
      <c r="R94" s="9">
        <f>IF($A94="","",$D94&amp;"")</f>
        <v/>
      </c>
    </row>
    <row r="95">
      <c r="A95" s="75" t="n">
        <v>2026</v>
      </c>
      <c r="B95" s="75" t="inlineStr">
        <is>
          <t>D300</t>
        </is>
      </c>
      <c r="C95" s="75" t="inlineStr">
        <is>
          <t>인사팀</t>
        </is>
      </c>
      <c r="D95" s="75" t="n">
        <v>62802000</v>
      </c>
      <c r="E95" s="75" t="inlineStr">
        <is>
          <t>교육훈련비-외부위탁</t>
        </is>
      </c>
      <c r="F95" s="75" t="n">
        <v>3</v>
      </c>
      <c r="G95" s="76" t="n">
        <v>72000000</v>
      </c>
      <c r="H95" s="76" t="n">
        <v>-20000000</v>
      </c>
      <c r="I95" s="76" t="n">
        <v>93470000</v>
      </c>
      <c r="J95" s="76" t="n">
        <v>-41470000</v>
      </c>
      <c r="L95" s="9">
        <f>IF($A95="","",$B95&amp;"|"&amp;$D95)</f>
        <v/>
      </c>
      <c r="M95" s="9">
        <f>IF($A95="","",VALUE($A95&amp;""))</f>
        <v/>
      </c>
      <c r="N95" s="9">
        <f>IF($A95="","",VALUE(SUBSTITUTE(SUBSTITUTE(SUBSTITUTE(UPPER($F95&amp;""),"Q",""),"분기","")," ","")))</f>
        <v/>
      </c>
      <c r="O95" s="77">
        <f>IF($A95="",0,($G95+$H95)*설정!$C$23)</f>
        <v/>
      </c>
      <c r="P95" s="77">
        <f>IF($A95="",0,$I95*설정!$C$23)</f>
        <v/>
      </c>
      <c r="Q95" s="39">
        <f>IF($A95="","",IF(COUNTIF(변동분석!$E$7:$E$506,L95)&gt;0,"Y","N"))</f>
        <v/>
      </c>
      <c r="R95" s="9">
        <f>IF($A95="","",$D95&amp;"")</f>
        <v/>
      </c>
    </row>
    <row r="96">
      <c r="A96" s="75" t="n">
        <v>2026</v>
      </c>
      <c r="B96" s="75" t="inlineStr">
        <is>
          <t>D300</t>
        </is>
      </c>
      <c r="C96" s="75" t="inlineStr">
        <is>
          <t>인사팀</t>
        </is>
      </c>
      <c r="D96" s="75" t="n">
        <v>62802000</v>
      </c>
      <c r="E96" s="75" t="inlineStr">
        <is>
          <t>교육훈련비-외부위탁</t>
        </is>
      </c>
      <c r="F96" s="75" t="n">
        <v>4</v>
      </c>
      <c r="G96" s="76" t="n">
        <v>72000000</v>
      </c>
      <c r="H96" s="76" t="n">
        <v>0</v>
      </c>
      <c r="I96" s="76" t="n">
        <v>0</v>
      </c>
      <c r="J96" s="76" t="n">
        <v>72000000</v>
      </c>
      <c r="L96" s="9">
        <f>IF($A96="","",$B96&amp;"|"&amp;$D96)</f>
        <v/>
      </c>
      <c r="M96" s="9">
        <f>IF($A96="","",VALUE($A96&amp;""))</f>
        <v/>
      </c>
      <c r="N96" s="9">
        <f>IF($A96="","",VALUE(SUBSTITUTE(SUBSTITUTE(SUBSTITUTE(UPPER($F96&amp;""),"Q",""),"분기","")," ","")))</f>
        <v/>
      </c>
      <c r="O96" s="77">
        <f>IF($A96="",0,($G96+$H96)*설정!$C$23)</f>
        <v/>
      </c>
      <c r="P96" s="77">
        <f>IF($A96="",0,$I96*설정!$C$23)</f>
        <v/>
      </c>
      <c r="Q96" s="39">
        <f>IF($A96="","",IF(COUNTIF(변동분석!$E$7:$E$506,L96)&gt;0,"Y","N"))</f>
        <v/>
      </c>
      <c r="R96" s="9">
        <f>IF($A96="","",$D96&amp;"")</f>
        <v/>
      </c>
    </row>
    <row r="97">
      <c r="A97" s="75" t="n">
        <v>2026</v>
      </c>
      <c r="B97" s="75" t="inlineStr">
        <is>
          <t>D400</t>
        </is>
      </c>
      <c r="C97" s="75" t="inlineStr">
        <is>
          <t>상품개발팀</t>
        </is>
      </c>
      <c r="D97" s="75" t="n">
        <v>62101000</v>
      </c>
      <c r="E97" s="75" t="inlineStr">
        <is>
          <t>여비교통비-국내</t>
        </is>
      </c>
      <c r="F97" s="75" t="n">
        <v>1</v>
      </c>
      <c r="G97" s="76" t="n">
        <v>6375000</v>
      </c>
      <c r="H97" s="76" t="n">
        <v>0</v>
      </c>
      <c r="I97" s="76" t="n">
        <v>5880000</v>
      </c>
      <c r="J97" s="76" t="n">
        <v>495000</v>
      </c>
      <c r="L97" s="9">
        <f>IF($A97="","",$B97&amp;"|"&amp;$D97)</f>
        <v/>
      </c>
      <c r="M97" s="9">
        <f>IF($A97="","",VALUE($A97&amp;""))</f>
        <v/>
      </c>
      <c r="N97" s="9">
        <f>IF($A97="","",VALUE(SUBSTITUTE(SUBSTITUTE(SUBSTITUTE(UPPER($F97&amp;""),"Q",""),"분기","")," ","")))</f>
        <v/>
      </c>
      <c r="O97" s="77">
        <f>IF($A97="",0,($G97+$H97)*설정!$C$23)</f>
        <v/>
      </c>
      <c r="P97" s="77">
        <f>IF($A97="",0,$I97*설정!$C$23)</f>
        <v/>
      </c>
      <c r="Q97" s="39">
        <f>IF($A97="","",IF(COUNTIF(변동분석!$E$7:$E$506,L97)&gt;0,"Y","N"))</f>
        <v/>
      </c>
      <c r="R97" s="9">
        <f>IF($A97="","",$D97&amp;"")</f>
        <v/>
      </c>
    </row>
    <row r="98">
      <c r="A98" s="75" t="n">
        <v>2026</v>
      </c>
      <c r="B98" s="75" t="inlineStr">
        <is>
          <t>D400</t>
        </is>
      </c>
      <c r="C98" s="75" t="inlineStr">
        <is>
          <t>상품개발팀</t>
        </is>
      </c>
      <c r="D98" s="75" t="n">
        <v>62101000</v>
      </c>
      <c r="E98" s="75" t="inlineStr">
        <is>
          <t>여비교통비-국내</t>
        </is>
      </c>
      <c r="F98" s="75" t="n">
        <v>2</v>
      </c>
      <c r="G98" s="76" t="n">
        <v>6375000</v>
      </c>
      <c r="H98" s="76" t="n">
        <v>0</v>
      </c>
      <c r="I98" s="76" t="n">
        <v>5520000</v>
      </c>
      <c r="J98" s="76" t="n">
        <v>855000</v>
      </c>
      <c r="L98" s="9">
        <f>IF($A98="","",$B98&amp;"|"&amp;$D98)</f>
        <v/>
      </c>
      <c r="M98" s="9">
        <f>IF($A98="","",VALUE($A98&amp;""))</f>
        <v/>
      </c>
      <c r="N98" s="9">
        <f>IF($A98="","",VALUE(SUBSTITUTE(SUBSTITUTE(SUBSTITUTE(UPPER($F98&amp;""),"Q",""),"분기","")," ","")))</f>
        <v/>
      </c>
      <c r="O98" s="77">
        <f>IF($A98="",0,($G98+$H98)*설정!$C$23)</f>
        <v/>
      </c>
      <c r="P98" s="77">
        <f>IF($A98="",0,$I98*설정!$C$23)</f>
        <v/>
      </c>
      <c r="Q98" s="39">
        <f>IF($A98="","",IF(COUNTIF(변동분석!$E$7:$E$506,L98)&gt;0,"Y","N"))</f>
        <v/>
      </c>
      <c r="R98" s="9">
        <f>IF($A98="","",$D98&amp;"")</f>
        <v/>
      </c>
    </row>
    <row r="99">
      <c r="A99" s="75" t="n">
        <v>2026</v>
      </c>
      <c r="B99" s="75" t="inlineStr">
        <is>
          <t>D400</t>
        </is>
      </c>
      <c r="C99" s="75" t="inlineStr">
        <is>
          <t>상품개발팀</t>
        </is>
      </c>
      <c r="D99" s="75" t="n">
        <v>62101000</v>
      </c>
      <c r="E99" s="75" t="inlineStr">
        <is>
          <t>여비교통비-국내</t>
        </is>
      </c>
      <c r="F99" s="75" t="n">
        <v>3</v>
      </c>
      <c r="G99" s="76" t="n">
        <v>6375000</v>
      </c>
      <c r="H99" s="76" t="n">
        <v>0</v>
      </c>
      <c r="I99" s="76" t="n">
        <v>5616000</v>
      </c>
      <c r="J99" s="76" t="n">
        <v>759000</v>
      </c>
      <c r="L99" s="9">
        <f>IF($A99="","",$B99&amp;"|"&amp;$D99)</f>
        <v/>
      </c>
      <c r="M99" s="9">
        <f>IF($A99="","",VALUE($A99&amp;""))</f>
        <v/>
      </c>
      <c r="N99" s="9">
        <f>IF($A99="","",VALUE(SUBSTITUTE(SUBSTITUTE(SUBSTITUTE(UPPER($F99&amp;""),"Q",""),"분기","")," ","")))</f>
        <v/>
      </c>
      <c r="O99" s="77">
        <f>IF($A99="",0,($G99+$H99)*설정!$C$23)</f>
        <v/>
      </c>
      <c r="P99" s="77">
        <f>IF($A99="",0,$I99*설정!$C$23)</f>
        <v/>
      </c>
      <c r="Q99" s="39">
        <f>IF($A99="","",IF(COUNTIF(변동분석!$E$7:$E$506,L99)&gt;0,"Y","N"))</f>
        <v/>
      </c>
      <c r="R99" s="9">
        <f>IF($A99="","",$D99&amp;"")</f>
        <v/>
      </c>
    </row>
    <row r="100">
      <c r="A100" s="75" t="n">
        <v>2026</v>
      </c>
      <c r="B100" s="75" t="inlineStr">
        <is>
          <t>D400</t>
        </is>
      </c>
      <c r="C100" s="75" t="inlineStr">
        <is>
          <t>상품개발팀</t>
        </is>
      </c>
      <c r="D100" s="75" t="n">
        <v>62101000</v>
      </c>
      <c r="E100" s="75" t="inlineStr">
        <is>
          <t>여비교통비-국내</t>
        </is>
      </c>
      <c r="F100" s="75" t="n">
        <v>4</v>
      </c>
      <c r="G100" s="76" t="n">
        <v>6375000</v>
      </c>
      <c r="H100" s="76" t="n">
        <v>0</v>
      </c>
      <c r="I100" s="76" t="n">
        <v>0</v>
      </c>
      <c r="J100" s="76" t="n">
        <v>6375000</v>
      </c>
      <c r="L100" s="9">
        <f>IF($A100="","",$B100&amp;"|"&amp;$D100)</f>
        <v/>
      </c>
      <c r="M100" s="9">
        <f>IF($A100="","",VALUE($A100&amp;""))</f>
        <v/>
      </c>
      <c r="N100" s="9">
        <f>IF($A100="","",VALUE(SUBSTITUTE(SUBSTITUTE(SUBSTITUTE(UPPER($F100&amp;""),"Q",""),"분기","")," ","")))</f>
        <v/>
      </c>
      <c r="O100" s="77">
        <f>IF($A100="",0,($G100+$H100)*설정!$C$23)</f>
        <v/>
      </c>
      <c r="P100" s="77">
        <f>IF($A100="",0,$I100*설정!$C$23)</f>
        <v/>
      </c>
      <c r="Q100" s="39">
        <f>IF($A100="","",IF(COUNTIF(변동분석!$E$7:$E$506,L100)&gt;0,"Y","N"))</f>
        <v/>
      </c>
      <c r="R100" s="9">
        <f>IF($A100="","",$D100&amp;"")</f>
        <v/>
      </c>
    </row>
    <row r="101">
      <c r="A101" s="75" t="n">
        <v>2026</v>
      </c>
      <c r="B101" s="75" t="inlineStr">
        <is>
          <t>D400</t>
        </is>
      </c>
      <c r="C101" s="75" t="inlineStr">
        <is>
          <t>상품개발팀</t>
        </is>
      </c>
      <c r="D101" s="75" t="n">
        <v>62102000</v>
      </c>
      <c r="E101" s="75" t="inlineStr">
        <is>
          <t>여비교통비-해외</t>
        </is>
      </c>
      <c r="F101" s="75" t="n">
        <v>1</v>
      </c>
      <c r="G101" s="76" t="n">
        <v>1125000</v>
      </c>
      <c r="H101" s="76" t="n">
        <v>0</v>
      </c>
      <c r="I101" s="76" t="n">
        <v>956000</v>
      </c>
      <c r="J101" s="76" t="n">
        <v>169000</v>
      </c>
      <c r="L101" s="9">
        <f>IF($A101="","",$B101&amp;"|"&amp;$D101)</f>
        <v/>
      </c>
      <c r="M101" s="9">
        <f>IF($A101="","",VALUE($A101&amp;""))</f>
        <v/>
      </c>
      <c r="N101" s="9">
        <f>IF($A101="","",VALUE(SUBSTITUTE(SUBSTITUTE(SUBSTITUTE(UPPER($F101&amp;""),"Q",""),"분기","")," ","")))</f>
        <v/>
      </c>
      <c r="O101" s="77">
        <f>IF($A101="",0,($G101+$H101)*설정!$C$23)</f>
        <v/>
      </c>
      <c r="P101" s="77">
        <f>IF($A101="",0,$I101*설정!$C$23)</f>
        <v/>
      </c>
      <c r="Q101" s="39">
        <f>IF($A101="","",IF(COUNTIF(변동분석!$E$7:$E$506,L101)&gt;0,"Y","N"))</f>
        <v/>
      </c>
      <c r="R101" s="9">
        <f>IF($A101="","",$D101&amp;"")</f>
        <v/>
      </c>
    </row>
    <row r="102">
      <c r="A102" s="75" t="n">
        <v>2026</v>
      </c>
      <c r="B102" s="75" t="inlineStr">
        <is>
          <t>D400</t>
        </is>
      </c>
      <c r="C102" s="75" t="inlineStr">
        <is>
          <t>상품개발팀</t>
        </is>
      </c>
      <c r="D102" s="75" t="n">
        <v>62102000</v>
      </c>
      <c r="E102" s="75" t="inlineStr">
        <is>
          <t>여비교통비-해외</t>
        </is>
      </c>
      <c r="F102" s="75" t="n">
        <v>2</v>
      </c>
      <c r="G102" s="76" t="n">
        <v>1125000</v>
      </c>
      <c r="H102" s="76" t="n">
        <v>0</v>
      </c>
      <c r="I102" s="76" t="n">
        <v>922000</v>
      </c>
      <c r="J102" s="76" t="n">
        <v>203000</v>
      </c>
      <c r="L102" s="9">
        <f>IF($A102="","",$B102&amp;"|"&amp;$D102)</f>
        <v/>
      </c>
      <c r="M102" s="9">
        <f>IF($A102="","",VALUE($A102&amp;""))</f>
        <v/>
      </c>
      <c r="N102" s="9">
        <f>IF($A102="","",VALUE(SUBSTITUTE(SUBSTITUTE(SUBSTITUTE(UPPER($F102&amp;""),"Q",""),"분기","")," ","")))</f>
        <v/>
      </c>
      <c r="O102" s="77">
        <f>IF($A102="",0,($G102+$H102)*설정!$C$23)</f>
        <v/>
      </c>
      <c r="P102" s="77">
        <f>IF($A102="",0,$I102*설정!$C$23)</f>
        <v/>
      </c>
      <c r="Q102" s="39">
        <f>IF($A102="","",IF(COUNTIF(변동분석!$E$7:$E$506,L102)&gt;0,"Y","N"))</f>
        <v/>
      </c>
      <c r="R102" s="9">
        <f>IF($A102="","",$D102&amp;"")</f>
        <v/>
      </c>
    </row>
    <row r="103">
      <c r="A103" s="75" t="n">
        <v>2026</v>
      </c>
      <c r="B103" s="75" t="inlineStr">
        <is>
          <t>D400</t>
        </is>
      </c>
      <c r="C103" s="75" t="inlineStr">
        <is>
          <t>상품개발팀</t>
        </is>
      </c>
      <c r="D103" s="75" t="n">
        <v>62102000</v>
      </c>
      <c r="E103" s="75" t="inlineStr">
        <is>
          <t>여비교통비-해외</t>
        </is>
      </c>
      <c r="F103" s="75" t="n">
        <v>3</v>
      </c>
      <c r="G103" s="76" t="n">
        <v>1125000</v>
      </c>
      <c r="H103" s="76" t="n">
        <v>0</v>
      </c>
      <c r="I103" s="76" t="n">
        <v>1000000</v>
      </c>
      <c r="J103" s="76" t="n">
        <v>125000</v>
      </c>
      <c r="L103" s="9">
        <f>IF($A103="","",$B103&amp;"|"&amp;$D103)</f>
        <v/>
      </c>
      <c r="M103" s="9">
        <f>IF($A103="","",VALUE($A103&amp;""))</f>
        <v/>
      </c>
      <c r="N103" s="9">
        <f>IF($A103="","",VALUE(SUBSTITUTE(SUBSTITUTE(SUBSTITUTE(UPPER($F103&amp;""),"Q",""),"분기","")," ","")))</f>
        <v/>
      </c>
      <c r="O103" s="77">
        <f>IF($A103="",0,($G103+$H103)*설정!$C$23)</f>
        <v/>
      </c>
      <c r="P103" s="77">
        <f>IF($A103="",0,$I103*설정!$C$23)</f>
        <v/>
      </c>
      <c r="Q103" s="39">
        <f>IF($A103="","",IF(COUNTIF(변동분석!$E$7:$E$506,L103)&gt;0,"Y","N"))</f>
        <v/>
      </c>
      <c r="R103" s="9">
        <f>IF($A103="","",$D103&amp;"")</f>
        <v/>
      </c>
    </row>
    <row r="104">
      <c r="A104" s="75" t="n">
        <v>2026</v>
      </c>
      <c r="B104" s="75" t="inlineStr">
        <is>
          <t>D400</t>
        </is>
      </c>
      <c r="C104" s="75" t="inlineStr">
        <is>
          <t>상품개발팀</t>
        </is>
      </c>
      <c r="D104" s="75" t="n">
        <v>62102000</v>
      </c>
      <c r="E104" s="75" t="inlineStr">
        <is>
          <t>여비교통비-해외</t>
        </is>
      </c>
      <c r="F104" s="75" t="n">
        <v>4</v>
      </c>
      <c r="G104" s="76" t="n">
        <v>1125000</v>
      </c>
      <c r="H104" s="76" t="n">
        <v>0</v>
      </c>
      <c r="I104" s="76" t="n">
        <v>0</v>
      </c>
      <c r="J104" s="76" t="n">
        <v>1125000</v>
      </c>
      <c r="L104" s="9">
        <f>IF($A104="","",$B104&amp;"|"&amp;$D104)</f>
        <v/>
      </c>
      <c r="M104" s="9">
        <f>IF($A104="","",VALUE($A104&amp;""))</f>
        <v/>
      </c>
      <c r="N104" s="9">
        <f>IF($A104="","",VALUE(SUBSTITUTE(SUBSTITUTE(SUBSTITUTE(UPPER($F104&amp;""),"Q",""),"분기","")," ","")))</f>
        <v/>
      </c>
      <c r="O104" s="77">
        <f>IF($A104="",0,($G104+$H104)*설정!$C$23)</f>
        <v/>
      </c>
      <c r="P104" s="77">
        <f>IF($A104="",0,$I104*설정!$C$23)</f>
        <v/>
      </c>
      <c r="Q104" s="39">
        <f>IF($A104="","",IF(COUNTIF(변동분석!$E$7:$E$506,L104)&gt;0,"Y","N"))</f>
        <v/>
      </c>
      <c r="R104" s="9">
        <f>IF($A104="","",$D104&amp;"")</f>
        <v/>
      </c>
    </row>
    <row r="105">
      <c r="A105" s="75" t="n">
        <v>2026</v>
      </c>
      <c r="B105" s="75" t="inlineStr">
        <is>
          <t>D400</t>
        </is>
      </c>
      <c r="C105" s="75" t="inlineStr">
        <is>
          <t>상품개발팀</t>
        </is>
      </c>
      <c r="D105" s="75" t="n">
        <v>62201000</v>
      </c>
      <c r="E105" s="75" t="inlineStr">
        <is>
          <t>통신비</t>
        </is>
      </c>
      <c r="F105" s="75" t="n">
        <v>1</v>
      </c>
      <c r="G105" s="76" t="n">
        <v>1800000</v>
      </c>
      <c r="H105" s="76" t="n">
        <v>0</v>
      </c>
      <c r="I105" s="76" t="n">
        <v>1703000</v>
      </c>
      <c r="J105" s="76" t="n">
        <v>97000</v>
      </c>
      <c r="L105" s="9">
        <f>IF($A105="","",$B105&amp;"|"&amp;$D105)</f>
        <v/>
      </c>
      <c r="M105" s="9">
        <f>IF($A105="","",VALUE($A105&amp;""))</f>
        <v/>
      </c>
      <c r="N105" s="9">
        <f>IF($A105="","",VALUE(SUBSTITUTE(SUBSTITUTE(SUBSTITUTE(UPPER($F105&amp;""),"Q",""),"분기","")," ","")))</f>
        <v/>
      </c>
      <c r="O105" s="77">
        <f>IF($A105="",0,($G105+$H105)*설정!$C$23)</f>
        <v/>
      </c>
      <c r="P105" s="77">
        <f>IF($A105="",0,$I105*설정!$C$23)</f>
        <v/>
      </c>
      <c r="Q105" s="39">
        <f>IF($A105="","",IF(COUNTIF(변동분석!$E$7:$E$506,L105)&gt;0,"Y","N"))</f>
        <v/>
      </c>
      <c r="R105" s="9">
        <f>IF($A105="","",$D105&amp;"")</f>
        <v/>
      </c>
    </row>
    <row r="106">
      <c r="A106" s="75" t="n">
        <v>2026</v>
      </c>
      <c r="B106" s="75" t="inlineStr">
        <is>
          <t>D400</t>
        </is>
      </c>
      <c r="C106" s="75" t="inlineStr">
        <is>
          <t>상품개발팀</t>
        </is>
      </c>
      <c r="D106" s="75" t="n">
        <v>62201000</v>
      </c>
      <c r="E106" s="75" t="inlineStr">
        <is>
          <t>통신비</t>
        </is>
      </c>
      <c r="F106" s="75" t="n">
        <v>2</v>
      </c>
      <c r="G106" s="76" t="n">
        <v>1800000</v>
      </c>
      <c r="H106" s="76" t="n">
        <v>0</v>
      </c>
      <c r="I106" s="76" t="n">
        <v>1485000</v>
      </c>
      <c r="J106" s="76" t="n">
        <v>315000</v>
      </c>
      <c r="L106" s="9">
        <f>IF($A106="","",$B106&amp;"|"&amp;$D106)</f>
        <v/>
      </c>
      <c r="M106" s="9">
        <f>IF($A106="","",VALUE($A106&amp;""))</f>
        <v/>
      </c>
      <c r="N106" s="9">
        <f>IF($A106="","",VALUE(SUBSTITUTE(SUBSTITUTE(SUBSTITUTE(UPPER($F106&amp;""),"Q",""),"분기","")," ","")))</f>
        <v/>
      </c>
      <c r="O106" s="77">
        <f>IF($A106="",0,($G106+$H106)*설정!$C$23)</f>
        <v/>
      </c>
      <c r="P106" s="77">
        <f>IF($A106="",0,$I106*설정!$C$23)</f>
        <v/>
      </c>
      <c r="Q106" s="39">
        <f>IF($A106="","",IF(COUNTIF(변동분석!$E$7:$E$506,L106)&gt;0,"Y","N"))</f>
        <v/>
      </c>
      <c r="R106" s="9">
        <f>IF($A106="","",$D106&amp;"")</f>
        <v/>
      </c>
    </row>
    <row r="107">
      <c r="A107" s="75" t="n">
        <v>2026</v>
      </c>
      <c r="B107" s="75" t="inlineStr">
        <is>
          <t>D400</t>
        </is>
      </c>
      <c r="C107" s="75" t="inlineStr">
        <is>
          <t>상품개발팀</t>
        </is>
      </c>
      <c r="D107" s="75" t="n">
        <v>62201000</v>
      </c>
      <c r="E107" s="75" t="inlineStr">
        <is>
          <t>통신비</t>
        </is>
      </c>
      <c r="F107" s="75" t="n">
        <v>3</v>
      </c>
      <c r="G107" s="76" t="n">
        <v>1800000</v>
      </c>
      <c r="H107" s="76" t="n">
        <v>0</v>
      </c>
      <c r="I107" s="76" t="n">
        <v>1608000</v>
      </c>
      <c r="J107" s="76" t="n">
        <v>192000</v>
      </c>
      <c r="L107" s="9">
        <f>IF($A107="","",$B107&amp;"|"&amp;$D107)</f>
        <v/>
      </c>
      <c r="M107" s="9">
        <f>IF($A107="","",VALUE($A107&amp;""))</f>
        <v/>
      </c>
      <c r="N107" s="9">
        <f>IF($A107="","",VALUE(SUBSTITUTE(SUBSTITUTE(SUBSTITUTE(UPPER($F107&amp;""),"Q",""),"분기","")," ","")))</f>
        <v/>
      </c>
      <c r="O107" s="77">
        <f>IF($A107="",0,($G107+$H107)*설정!$C$23)</f>
        <v/>
      </c>
      <c r="P107" s="77">
        <f>IF($A107="",0,$I107*설정!$C$23)</f>
        <v/>
      </c>
      <c r="Q107" s="39">
        <f>IF($A107="","",IF(COUNTIF(변동분석!$E$7:$E$506,L107)&gt;0,"Y","N"))</f>
        <v/>
      </c>
      <c r="R107" s="9">
        <f>IF($A107="","",$D107&amp;"")</f>
        <v/>
      </c>
    </row>
    <row r="108">
      <c r="A108" s="75" t="n">
        <v>2026</v>
      </c>
      <c r="B108" s="75" t="inlineStr">
        <is>
          <t>D400</t>
        </is>
      </c>
      <c r="C108" s="75" t="inlineStr">
        <is>
          <t>상품개발팀</t>
        </is>
      </c>
      <c r="D108" s="75" t="n">
        <v>62201000</v>
      </c>
      <c r="E108" s="75" t="inlineStr">
        <is>
          <t>통신비</t>
        </is>
      </c>
      <c r="F108" s="75" t="n">
        <v>4</v>
      </c>
      <c r="G108" s="76" t="n">
        <v>1800000</v>
      </c>
      <c r="H108" s="76" t="n">
        <v>0</v>
      </c>
      <c r="I108" s="76" t="n">
        <v>0</v>
      </c>
      <c r="J108" s="76" t="n">
        <v>1800000</v>
      </c>
      <c r="L108" s="9">
        <f>IF($A108="","",$B108&amp;"|"&amp;$D108)</f>
        <v/>
      </c>
      <c r="M108" s="9">
        <f>IF($A108="","",VALUE($A108&amp;""))</f>
        <v/>
      </c>
      <c r="N108" s="9">
        <f>IF($A108="","",VALUE(SUBSTITUTE(SUBSTITUTE(SUBSTITUTE(UPPER($F108&amp;""),"Q",""),"분기","")," ","")))</f>
        <v/>
      </c>
      <c r="O108" s="77">
        <f>IF($A108="",0,($G108+$H108)*설정!$C$23)</f>
        <v/>
      </c>
      <c r="P108" s="77">
        <f>IF($A108="",0,$I108*설정!$C$23)</f>
        <v/>
      </c>
      <c r="Q108" s="39">
        <f>IF($A108="","",IF(COUNTIF(변동분석!$E$7:$E$506,L108)&gt;0,"Y","N"))</f>
        <v/>
      </c>
      <c r="R108" s="9">
        <f>IF($A108="","",$D108&amp;"")</f>
        <v/>
      </c>
    </row>
    <row r="109">
      <c r="A109" s="75" t="n">
        <v>2026</v>
      </c>
      <c r="B109" s="75" t="inlineStr">
        <is>
          <t>D400</t>
        </is>
      </c>
      <c r="C109" s="75" t="inlineStr">
        <is>
          <t>상품개발팀</t>
        </is>
      </c>
      <c r="D109" s="75" t="n">
        <v>62301000</v>
      </c>
      <c r="E109" s="75" t="inlineStr">
        <is>
          <t>소모품비</t>
        </is>
      </c>
      <c r="F109" s="75" t="n">
        <v>1</v>
      </c>
      <c r="G109" s="76" t="n">
        <v>1200000</v>
      </c>
      <c r="H109" s="76" t="n">
        <v>0</v>
      </c>
      <c r="I109" s="76" t="n">
        <v>1083000</v>
      </c>
      <c r="J109" s="76" t="n">
        <v>117000</v>
      </c>
      <c r="L109" s="9">
        <f>IF($A109="","",$B109&amp;"|"&amp;$D109)</f>
        <v/>
      </c>
      <c r="M109" s="9">
        <f>IF($A109="","",VALUE($A109&amp;""))</f>
        <v/>
      </c>
      <c r="N109" s="9">
        <f>IF($A109="","",VALUE(SUBSTITUTE(SUBSTITUTE(SUBSTITUTE(UPPER($F109&amp;""),"Q",""),"분기","")," ","")))</f>
        <v/>
      </c>
      <c r="O109" s="77">
        <f>IF($A109="",0,($G109+$H109)*설정!$C$23)</f>
        <v/>
      </c>
      <c r="P109" s="77">
        <f>IF($A109="",0,$I109*설정!$C$23)</f>
        <v/>
      </c>
      <c r="Q109" s="39">
        <f>IF($A109="","",IF(COUNTIF(변동분석!$E$7:$E$506,L109)&gt;0,"Y","N"))</f>
        <v/>
      </c>
      <c r="R109" s="9">
        <f>IF($A109="","",$D109&amp;"")</f>
        <v/>
      </c>
    </row>
    <row r="110">
      <c r="A110" s="75" t="n">
        <v>2026</v>
      </c>
      <c r="B110" s="75" t="inlineStr">
        <is>
          <t>D400</t>
        </is>
      </c>
      <c r="C110" s="75" t="inlineStr">
        <is>
          <t>상품개발팀</t>
        </is>
      </c>
      <c r="D110" s="75" t="n">
        <v>62301000</v>
      </c>
      <c r="E110" s="75" t="inlineStr">
        <is>
          <t>소모품비</t>
        </is>
      </c>
      <c r="F110" s="75" t="n">
        <v>2</v>
      </c>
      <c r="G110" s="76" t="n">
        <v>1200000</v>
      </c>
      <c r="H110" s="76" t="n">
        <v>0</v>
      </c>
      <c r="I110" s="76" t="n">
        <v>1051000</v>
      </c>
      <c r="J110" s="76" t="n">
        <v>149000</v>
      </c>
      <c r="L110" s="9">
        <f>IF($A110="","",$B110&amp;"|"&amp;$D110)</f>
        <v/>
      </c>
      <c r="M110" s="9">
        <f>IF($A110="","",VALUE($A110&amp;""))</f>
        <v/>
      </c>
      <c r="N110" s="9">
        <f>IF($A110="","",VALUE(SUBSTITUTE(SUBSTITUTE(SUBSTITUTE(UPPER($F110&amp;""),"Q",""),"분기","")," ","")))</f>
        <v/>
      </c>
      <c r="O110" s="77">
        <f>IF($A110="",0,($G110+$H110)*설정!$C$23)</f>
        <v/>
      </c>
      <c r="P110" s="77">
        <f>IF($A110="",0,$I110*설정!$C$23)</f>
        <v/>
      </c>
      <c r="Q110" s="39">
        <f>IF($A110="","",IF(COUNTIF(변동분석!$E$7:$E$506,L110)&gt;0,"Y","N"))</f>
        <v/>
      </c>
      <c r="R110" s="9">
        <f>IF($A110="","",$D110&amp;"")</f>
        <v/>
      </c>
    </row>
    <row r="111">
      <c r="A111" s="75" t="n">
        <v>2026</v>
      </c>
      <c r="B111" s="75" t="inlineStr">
        <is>
          <t>D400</t>
        </is>
      </c>
      <c r="C111" s="75" t="inlineStr">
        <is>
          <t>상품개발팀</t>
        </is>
      </c>
      <c r="D111" s="75" t="n">
        <v>62301000</v>
      </c>
      <c r="E111" s="75" t="inlineStr">
        <is>
          <t>소모품비</t>
        </is>
      </c>
      <c r="F111" s="75" t="n">
        <v>3</v>
      </c>
      <c r="G111" s="76" t="n">
        <v>1200000</v>
      </c>
      <c r="H111" s="76" t="n">
        <v>0</v>
      </c>
      <c r="I111" s="76" t="n">
        <v>1148000</v>
      </c>
      <c r="J111" s="76" t="n">
        <v>52000</v>
      </c>
      <c r="L111" s="9">
        <f>IF($A111="","",$B111&amp;"|"&amp;$D111)</f>
        <v/>
      </c>
      <c r="M111" s="9">
        <f>IF($A111="","",VALUE($A111&amp;""))</f>
        <v/>
      </c>
      <c r="N111" s="9">
        <f>IF($A111="","",VALUE(SUBSTITUTE(SUBSTITUTE(SUBSTITUTE(UPPER($F111&amp;""),"Q",""),"분기","")," ","")))</f>
        <v/>
      </c>
      <c r="O111" s="77">
        <f>IF($A111="",0,($G111+$H111)*설정!$C$23)</f>
        <v/>
      </c>
      <c r="P111" s="77">
        <f>IF($A111="",0,$I111*설정!$C$23)</f>
        <v/>
      </c>
      <c r="Q111" s="39">
        <f>IF($A111="","",IF(COUNTIF(변동분석!$E$7:$E$506,L111)&gt;0,"Y","N"))</f>
        <v/>
      </c>
      <c r="R111" s="9">
        <f>IF($A111="","",$D111&amp;"")</f>
        <v/>
      </c>
    </row>
    <row r="112">
      <c r="A112" s="75" t="n">
        <v>2026</v>
      </c>
      <c r="B112" s="75" t="inlineStr">
        <is>
          <t>D400</t>
        </is>
      </c>
      <c r="C112" s="75" t="inlineStr">
        <is>
          <t>상품개발팀</t>
        </is>
      </c>
      <c r="D112" s="75" t="n">
        <v>62301000</v>
      </c>
      <c r="E112" s="75" t="inlineStr">
        <is>
          <t>소모품비</t>
        </is>
      </c>
      <c r="F112" s="75" t="n">
        <v>4</v>
      </c>
      <c r="G112" s="76" t="n">
        <v>1200000</v>
      </c>
      <c r="H112" s="76" t="n">
        <v>0</v>
      </c>
      <c r="I112" s="76" t="n">
        <v>0</v>
      </c>
      <c r="J112" s="76" t="n">
        <v>1200000</v>
      </c>
      <c r="L112" s="9">
        <f>IF($A112="","",$B112&amp;"|"&amp;$D112)</f>
        <v/>
      </c>
      <c r="M112" s="9">
        <f>IF($A112="","",VALUE($A112&amp;""))</f>
        <v/>
      </c>
      <c r="N112" s="9">
        <f>IF($A112="","",VALUE(SUBSTITUTE(SUBSTITUTE(SUBSTITUTE(UPPER($F112&amp;""),"Q",""),"분기","")," ","")))</f>
        <v/>
      </c>
      <c r="O112" s="77">
        <f>IF($A112="",0,($G112+$H112)*설정!$C$23)</f>
        <v/>
      </c>
      <c r="P112" s="77">
        <f>IF($A112="",0,$I112*설정!$C$23)</f>
        <v/>
      </c>
      <c r="Q112" s="39">
        <f>IF($A112="","",IF(COUNTIF(변동분석!$E$7:$E$506,L112)&gt;0,"Y","N"))</f>
        <v/>
      </c>
      <c r="R112" s="9">
        <f>IF($A112="","",$D112&amp;"")</f>
        <v/>
      </c>
    </row>
    <row r="113">
      <c r="A113" s="75" t="n">
        <v>2026</v>
      </c>
      <c r="B113" s="75" t="inlineStr">
        <is>
          <t>D400</t>
        </is>
      </c>
      <c r="C113" s="75" t="inlineStr">
        <is>
          <t>상품개발팀</t>
        </is>
      </c>
      <c r="D113" s="75" t="n">
        <v>62401000</v>
      </c>
      <c r="E113" s="75" t="inlineStr">
        <is>
          <t>도서인쇄비</t>
        </is>
      </c>
      <c r="F113" s="75" t="n">
        <v>1</v>
      </c>
      <c r="G113" s="76" t="n">
        <v>3000000</v>
      </c>
      <c r="H113" s="76" t="n">
        <v>0</v>
      </c>
      <c r="I113" s="76" t="n">
        <v>2799000</v>
      </c>
      <c r="J113" s="76" t="n">
        <v>201000</v>
      </c>
      <c r="L113" s="9">
        <f>IF($A113="","",$B113&amp;"|"&amp;$D113)</f>
        <v/>
      </c>
      <c r="M113" s="9">
        <f>IF($A113="","",VALUE($A113&amp;""))</f>
        <v/>
      </c>
      <c r="N113" s="9">
        <f>IF($A113="","",VALUE(SUBSTITUTE(SUBSTITUTE(SUBSTITUTE(UPPER($F113&amp;""),"Q",""),"분기","")," ","")))</f>
        <v/>
      </c>
      <c r="O113" s="77">
        <f>IF($A113="",0,($G113+$H113)*설정!$C$23)</f>
        <v/>
      </c>
      <c r="P113" s="77">
        <f>IF($A113="",0,$I113*설정!$C$23)</f>
        <v/>
      </c>
      <c r="Q113" s="39">
        <f>IF($A113="","",IF(COUNTIF(변동분석!$E$7:$E$506,L113)&gt;0,"Y","N"))</f>
        <v/>
      </c>
      <c r="R113" s="9">
        <f>IF($A113="","",$D113&amp;"")</f>
        <v/>
      </c>
    </row>
    <row r="114">
      <c r="A114" s="75" t="n">
        <v>2026</v>
      </c>
      <c r="B114" s="75" t="inlineStr">
        <is>
          <t>D400</t>
        </is>
      </c>
      <c r="C114" s="75" t="inlineStr">
        <is>
          <t>상품개발팀</t>
        </is>
      </c>
      <c r="D114" s="75" t="n">
        <v>62401000</v>
      </c>
      <c r="E114" s="75" t="inlineStr">
        <is>
          <t>도서인쇄비</t>
        </is>
      </c>
      <c r="F114" s="75" t="n">
        <v>2</v>
      </c>
      <c r="G114" s="76" t="n">
        <v>3000000</v>
      </c>
      <c r="H114" s="76" t="n">
        <v>0</v>
      </c>
      <c r="I114" s="76" t="n">
        <v>2721000</v>
      </c>
      <c r="J114" s="76" t="n">
        <v>279000</v>
      </c>
      <c r="L114" s="9">
        <f>IF($A114="","",$B114&amp;"|"&amp;$D114)</f>
        <v/>
      </c>
      <c r="M114" s="9">
        <f>IF($A114="","",VALUE($A114&amp;""))</f>
        <v/>
      </c>
      <c r="N114" s="9">
        <f>IF($A114="","",VALUE(SUBSTITUTE(SUBSTITUTE(SUBSTITUTE(UPPER($F114&amp;""),"Q",""),"분기","")," ","")))</f>
        <v/>
      </c>
      <c r="O114" s="77">
        <f>IF($A114="",0,($G114+$H114)*설정!$C$23)</f>
        <v/>
      </c>
      <c r="P114" s="77">
        <f>IF($A114="",0,$I114*설정!$C$23)</f>
        <v/>
      </c>
      <c r="Q114" s="39">
        <f>IF($A114="","",IF(COUNTIF(변동분석!$E$7:$E$506,L114)&gt;0,"Y","N"))</f>
        <v/>
      </c>
      <c r="R114" s="9">
        <f>IF($A114="","",$D114&amp;"")</f>
        <v/>
      </c>
    </row>
    <row r="115">
      <c r="A115" s="75" t="n">
        <v>2026</v>
      </c>
      <c r="B115" s="75" t="inlineStr">
        <is>
          <t>D400</t>
        </is>
      </c>
      <c r="C115" s="75" t="inlineStr">
        <is>
          <t>상품개발팀</t>
        </is>
      </c>
      <c r="D115" s="75" t="n">
        <v>62401000</v>
      </c>
      <c r="E115" s="75" t="inlineStr">
        <is>
          <t>도서인쇄비</t>
        </is>
      </c>
      <c r="F115" s="75" t="n">
        <v>3</v>
      </c>
      <c r="G115" s="76" t="n">
        <v>3000000</v>
      </c>
      <c r="H115" s="76" t="n">
        <v>0</v>
      </c>
      <c r="I115" s="76" t="n">
        <v>2619000</v>
      </c>
      <c r="J115" s="76" t="n">
        <v>381000</v>
      </c>
      <c r="L115" s="9">
        <f>IF($A115="","",$B115&amp;"|"&amp;$D115)</f>
        <v/>
      </c>
      <c r="M115" s="9">
        <f>IF($A115="","",VALUE($A115&amp;""))</f>
        <v/>
      </c>
      <c r="N115" s="9">
        <f>IF($A115="","",VALUE(SUBSTITUTE(SUBSTITUTE(SUBSTITUTE(UPPER($F115&amp;""),"Q",""),"분기","")," ","")))</f>
        <v/>
      </c>
      <c r="O115" s="77">
        <f>IF($A115="",0,($G115+$H115)*설정!$C$23)</f>
        <v/>
      </c>
      <c r="P115" s="77">
        <f>IF($A115="",0,$I115*설정!$C$23)</f>
        <v/>
      </c>
      <c r="Q115" s="39">
        <f>IF($A115="","",IF(COUNTIF(변동분석!$E$7:$E$506,L115)&gt;0,"Y","N"))</f>
        <v/>
      </c>
      <c r="R115" s="9">
        <f>IF($A115="","",$D115&amp;"")</f>
        <v/>
      </c>
    </row>
    <row r="116">
      <c r="A116" s="75" t="n">
        <v>2026</v>
      </c>
      <c r="B116" s="75" t="inlineStr">
        <is>
          <t>D400</t>
        </is>
      </c>
      <c r="C116" s="75" t="inlineStr">
        <is>
          <t>상품개발팀</t>
        </is>
      </c>
      <c r="D116" s="75" t="n">
        <v>62401000</v>
      </c>
      <c r="E116" s="75" t="inlineStr">
        <is>
          <t>도서인쇄비</t>
        </is>
      </c>
      <c r="F116" s="75" t="n">
        <v>4</v>
      </c>
      <c r="G116" s="76" t="n">
        <v>3000000</v>
      </c>
      <c r="H116" s="76" t="n">
        <v>0</v>
      </c>
      <c r="I116" s="76" t="n">
        <v>0</v>
      </c>
      <c r="J116" s="76" t="n">
        <v>3000000</v>
      </c>
      <c r="L116" s="9">
        <f>IF($A116="","",$B116&amp;"|"&amp;$D116)</f>
        <v/>
      </c>
      <c r="M116" s="9">
        <f>IF($A116="","",VALUE($A116&amp;""))</f>
        <v/>
      </c>
      <c r="N116" s="9">
        <f>IF($A116="","",VALUE(SUBSTITUTE(SUBSTITUTE(SUBSTITUTE(UPPER($F116&amp;""),"Q",""),"분기","")," ","")))</f>
        <v/>
      </c>
      <c r="O116" s="77">
        <f>IF($A116="",0,($G116+$H116)*설정!$C$23)</f>
        <v/>
      </c>
      <c r="P116" s="77">
        <f>IF($A116="",0,$I116*설정!$C$23)</f>
        <v/>
      </c>
      <c r="Q116" s="39">
        <f>IF($A116="","",IF(COUNTIF(변동분석!$E$7:$E$506,L116)&gt;0,"Y","N"))</f>
        <v/>
      </c>
      <c r="R116" s="9">
        <f>IF($A116="","",$D116&amp;"")</f>
        <v/>
      </c>
    </row>
    <row r="117">
      <c r="A117" s="75" t="n">
        <v>2026</v>
      </c>
      <c r="B117" s="75" t="inlineStr">
        <is>
          <t>D400</t>
        </is>
      </c>
      <c r="C117" s="75" t="inlineStr">
        <is>
          <t>상품개발팀</t>
        </is>
      </c>
      <c r="D117" s="75" t="n">
        <v>62501000</v>
      </c>
      <c r="E117" s="75" t="inlineStr">
        <is>
          <t>회의비</t>
        </is>
      </c>
      <c r="F117" s="75" t="n">
        <v>1</v>
      </c>
      <c r="G117" s="76" t="n">
        <v>1800000</v>
      </c>
      <c r="H117" s="76" t="n">
        <v>0</v>
      </c>
      <c r="I117" s="76" t="n">
        <v>1531000</v>
      </c>
      <c r="J117" s="76" t="n">
        <v>269000</v>
      </c>
      <c r="L117" s="9">
        <f>IF($A117="","",$B117&amp;"|"&amp;$D117)</f>
        <v/>
      </c>
      <c r="M117" s="9">
        <f>IF($A117="","",VALUE($A117&amp;""))</f>
        <v/>
      </c>
      <c r="N117" s="9">
        <f>IF($A117="","",VALUE(SUBSTITUTE(SUBSTITUTE(SUBSTITUTE(UPPER($F117&amp;""),"Q",""),"분기","")," ","")))</f>
        <v/>
      </c>
      <c r="O117" s="77">
        <f>IF($A117="",0,($G117+$H117)*설정!$C$23)</f>
        <v/>
      </c>
      <c r="P117" s="77">
        <f>IF($A117="",0,$I117*설정!$C$23)</f>
        <v/>
      </c>
      <c r="Q117" s="39">
        <f>IF($A117="","",IF(COUNTIF(변동분석!$E$7:$E$506,L117)&gt;0,"Y","N"))</f>
        <v/>
      </c>
      <c r="R117" s="9">
        <f>IF($A117="","",$D117&amp;"")</f>
        <v/>
      </c>
    </row>
    <row r="118">
      <c r="A118" s="75" t="n">
        <v>2026</v>
      </c>
      <c r="B118" s="75" t="inlineStr">
        <is>
          <t>D400</t>
        </is>
      </c>
      <c r="C118" s="75" t="inlineStr">
        <is>
          <t>상품개발팀</t>
        </is>
      </c>
      <c r="D118" s="75" t="n">
        <v>62501000</v>
      </c>
      <c r="E118" s="75" t="inlineStr">
        <is>
          <t>회의비</t>
        </is>
      </c>
      <c r="F118" s="75" t="n">
        <v>2</v>
      </c>
      <c r="G118" s="76" t="n">
        <v>1800000</v>
      </c>
      <c r="H118" s="76" t="n">
        <v>0</v>
      </c>
      <c r="I118" s="76" t="n">
        <v>1544000</v>
      </c>
      <c r="J118" s="76" t="n">
        <v>256000</v>
      </c>
      <c r="L118" s="9">
        <f>IF($A118="","",$B118&amp;"|"&amp;$D118)</f>
        <v/>
      </c>
      <c r="M118" s="9">
        <f>IF($A118="","",VALUE($A118&amp;""))</f>
        <v/>
      </c>
      <c r="N118" s="9">
        <f>IF($A118="","",VALUE(SUBSTITUTE(SUBSTITUTE(SUBSTITUTE(UPPER($F118&amp;""),"Q",""),"분기","")," ","")))</f>
        <v/>
      </c>
      <c r="O118" s="77">
        <f>IF($A118="",0,($G118+$H118)*설정!$C$23)</f>
        <v/>
      </c>
      <c r="P118" s="77">
        <f>IF($A118="",0,$I118*설정!$C$23)</f>
        <v/>
      </c>
      <c r="Q118" s="39">
        <f>IF($A118="","",IF(COUNTIF(변동분석!$E$7:$E$506,L118)&gt;0,"Y","N"))</f>
        <v/>
      </c>
      <c r="R118" s="9">
        <f>IF($A118="","",$D118&amp;"")</f>
        <v/>
      </c>
    </row>
    <row r="119">
      <c r="A119" s="75" t="n">
        <v>2026</v>
      </c>
      <c r="B119" s="75" t="inlineStr">
        <is>
          <t>D400</t>
        </is>
      </c>
      <c r="C119" s="75" t="inlineStr">
        <is>
          <t>상품개발팀</t>
        </is>
      </c>
      <c r="D119" s="75" t="n">
        <v>62501000</v>
      </c>
      <c r="E119" s="75" t="inlineStr">
        <is>
          <t>회의비</t>
        </is>
      </c>
      <c r="F119" s="75" t="n">
        <v>3</v>
      </c>
      <c r="G119" s="76" t="n">
        <v>1800000</v>
      </c>
      <c r="H119" s="76" t="n">
        <v>0</v>
      </c>
      <c r="I119" s="76" t="n">
        <v>1551000</v>
      </c>
      <c r="J119" s="76" t="n">
        <v>249000</v>
      </c>
      <c r="L119" s="9">
        <f>IF($A119="","",$B119&amp;"|"&amp;$D119)</f>
        <v/>
      </c>
      <c r="M119" s="9">
        <f>IF($A119="","",VALUE($A119&amp;""))</f>
        <v/>
      </c>
      <c r="N119" s="9">
        <f>IF($A119="","",VALUE(SUBSTITUTE(SUBSTITUTE(SUBSTITUTE(UPPER($F119&amp;""),"Q",""),"분기","")," ","")))</f>
        <v/>
      </c>
      <c r="O119" s="77">
        <f>IF($A119="",0,($G119+$H119)*설정!$C$23)</f>
        <v/>
      </c>
      <c r="P119" s="77">
        <f>IF($A119="",0,$I119*설정!$C$23)</f>
        <v/>
      </c>
      <c r="Q119" s="39">
        <f>IF($A119="","",IF(COUNTIF(변동분석!$E$7:$E$506,L119)&gt;0,"Y","N"))</f>
        <v/>
      </c>
      <c r="R119" s="9">
        <f>IF($A119="","",$D119&amp;"")</f>
        <v/>
      </c>
    </row>
    <row r="120">
      <c r="A120" s="75" t="n">
        <v>2026</v>
      </c>
      <c r="B120" s="75" t="inlineStr">
        <is>
          <t>D400</t>
        </is>
      </c>
      <c r="C120" s="75" t="inlineStr">
        <is>
          <t>상품개발팀</t>
        </is>
      </c>
      <c r="D120" s="75" t="n">
        <v>62501000</v>
      </c>
      <c r="E120" s="75" t="inlineStr">
        <is>
          <t>회의비</t>
        </is>
      </c>
      <c r="F120" s="75" t="n">
        <v>4</v>
      </c>
      <c r="G120" s="76" t="n">
        <v>1800000</v>
      </c>
      <c r="H120" s="76" t="n">
        <v>0</v>
      </c>
      <c r="I120" s="76" t="n">
        <v>0</v>
      </c>
      <c r="J120" s="76" t="n">
        <v>1800000</v>
      </c>
      <c r="L120" s="9">
        <f>IF($A120="","",$B120&amp;"|"&amp;$D120)</f>
        <v/>
      </c>
      <c r="M120" s="9">
        <f>IF($A120="","",VALUE($A120&amp;""))</f>
        <v/>
      </c>
      <c r="N120" s="9">
        <f>IF($A120="","",VALUE(SUBSTITUTE(SUBSTITUTE(SUBSTITUTE(UPPER($F120&amp;""),"Q",""),"분기","")," ","")))</f>
        <v/>
      </c>
      <c r="O120" s="77">
        <f>IF($A120="",0,($G120+$H120)*설정!$C$23)</f>
        <v/>
      </c>
      <c r="P120" s="77">
        <f>IF($A120="",0,$I120*설정!$C$23)</f>
        <v/>
      </c>
      <c r="Q120" s="39">
        <f>IF($A120="","",IF(COUNTIF(변동분석!$E$7:$E$506,L120)&gt;0,"Y","N"))</f>
        <v/>
      </c>
      <c r="R120" s="9">
        <f>IF($A120="","",$D120&amp;"")</f>
        <v/>
      </c>
    </row>
    <row r="121">
      <c r="A121" s="75" t="n">
        <v>2026</v>
      </c>
      <c r="B121" s="75" t="inlineStr">
        <is>
          <t>D400</t>
        </is>
      </c>
      <c r="C121" s="75" t="inlineStr">
        <is>
          <t>상품개발팀</t>
        </is>
      </c>
      <c r="D121" s="75" t="n">
        <v>62901000</v>
      </c>
      <c r="E121" s="75" t="inlineStr">
        <is>
          <t>지급수수료-컨설팅</t>
        </is>
      </c>
      <c r="F121" s="75" t="n">
        <v>1</v>
      </c>
      <c r="G121" s="76" t="n">
        <v>63000000</v>
      </c>
      <c r="H121" s="76" t="n">
        <v>0</v>
      </c>
      <c r="I121" s="76" t="n">
        <v>55215000</v>
      </c>
      <c r="J121" s="76" t="n">
        <v>7785000</v>
      </c>
      <c r="L121" s="9">
        <f>IF($A121="","",$B121&amp;"|"&amp;$D121)</f>
        <v/>
      </c>
      <c r="M121" s="9">
        <f>IF($A121="","",VALUE($A121&amp;""))</f>
        <v/>
      </c>
      <c r="N121" s="9">
        <f>IF($A121="","",VALUE(SUBSTITUTE(SUBSTITUTE(SUBSTITUTE(UPPER($F121&amp;""),"Q",""),"분기","")," ","")))</f>
        <v/>
      </c>
      <c r="O121" s="77">
        <f>IF($A121="",0,($G121+$H121)*설정!$C$23)</f>
        <v/>
      </c>
      <c r="P121" s="77">
        <f>IF($A121="",0,$I121*설정!$C$23)</f>
        <v/>
      </c>
      <c r="Q121" s="39">
        <f>IF($A121="","",IF(COUNTIF(변동분석!$E$7:$E$506,L121)&gt;0,"Y","N"))</f>
        <v/>
      </c>
      <c r="R121" s="9">
        <f>IF($A121="","",$D121&amp;"")</f>
        <v/>
      </c>
    </row>
    <row r="122">
      <c r="A122" s="75" t="n">
        <v>2026</v>
      </c>
      <c r="B122" s="75" t="inlineStr">
        <is>
          <t>D400</t>
        </is>
      </c>
      <c r="C122" s="75" t="inlineStr">
        <is>
          <t>상품개발팀</t>
        </is>
      </c>
      <c r="D122" s="75" t="n">
        <v>62901000</v>
      </c>
      <c r="E122" s="75" t="inlineStr">
        <is>
          <t>지급수수료-컨설팅</t>
        </is>
      </c>
      <c r="F122" s="75" t="n">
        <v>2</v>
      </c>
      <c r="G122" s="76" t="n">
        <v>63000000</v>
      </c>
      <c r="H122" s="76" t="n">
        <v>0</v>
      </c>
      <c r="I122" s="76" t="n">
        <v>56497000</v>
      </c>
      <c r="J122" s="76" t="n">
        <v>6503000</v>
      </c>
      <c r="L122" s="9">
        <f>IF($A122="","",$B122&amp;"|"&amp;$D122)</f>
        <v/>
      </c>
      <c r="M122" s="9">
        <f>IF($A122="","",VALUE($A122&amp;""))</f>
        <v/>
      </c>
      <c r="N122" s="9">
        <f>IF($A122="","",VALUE(SUBSTITUTE(SUBSTITUTE(SUBSTITUTE(UPPER($F122&amp;""),"Q",""),"분기","")," ","")))</f>
        <v/>
      </c>
      <c r="O122" s="77">
        <f>IF($A122="",0,($G122+$H122)*설정!$C$23)</f>
        <v/>
      </c>
      <c r="P122" s="77">
        <f>IF($A122="",0,$I122*설정!$C$23)</f>
        <v/>
      </c>
      <c r="Q122" s="39">
        <f>IF($A122="","",IF(COUNTIF(변동분석!$E$7:$E$506,L122)&gt;0,"Y","N"))</f>
        <v/>
      </c>
      <c r="R122" s="9">
        <f>IF($A122="","",$D122&amp;"")</f>
        <v/>
      </c>
    </row>
    <row r="123">
      <c r="A123" s="75" t="n">
        <v>2026</v>
      </c>
      <c r="B123" s="75" t="inlineStr">
        <is>
          <t>D400</t>
        </is>
      </c>
      <c r="C123" s="75" t="inlineStr">
        <is>
          <t>상품개발팀</t>
        </is>
      </c>
      <c r="D123" s="75" t="n">
        <v>62901000</v>
      </c>
      <c r="E123" s="75" t="inlineStr">
        <is>
          <t>지급수수료-컨설팅</t>
        </is>
      </c>
      <c r="F123" s="75" t="n">
        <v>3</v>
      </c>
      <c r="G123" s="76" t="n">
        <v>63000000</v>
      </c>
      <c r="H123" s="76" t="n">
        <v>0</v>
      </c>
      <c r="I123" s="76" t="n">
        <v>55807000</v>
      </c>
      <c r="J123" s="76" t="n">
        <v>7193000</v>
      </c>
      <c r="L123" s="9">
        <f>IF($A123="","",$B123&amp;"|"&amp;$D123)</f>
        <v/>
      </c>
      <c r="M123" s="9">
        <f>IF($A123="","",VALUE($A123&amp;""))</f>
        <v/>
      </c>
      <c r="N123" s="9">
        <f>IF($A123="","",VALUE(SUBSTITUTE(SUBSTITUTE(SUBSTITUTE(UPPER($F123&amp;""),"Q",""),"분기","")," ","")))</f>
        <v/>
      </c>
      <c r="O123" s="77">
        <f>IF($A123="",0,($G123+$H123)*설정!$C$23)</f>
        <v/>
      </c>
      <c r="P123" s="77">
        <f>IF($A123="",0,$I123*설정!$C$23)</f>
        <v/>
      </c>
      <c r="Q123" s="39">
        <f>IF($A123="","",IF(COUNTIF(변동분석!$E$7:$E$506,L123)&gt;0,"Y","N"))</f>
        <v/>
      </c>
      <c r="R123" s="9">
        <f>IF($A123="","",$D123&amp;"")</f>
        <v/>
      </c>
    </row>
    <row r="124">
      <c r="A124" s="75" t="n">
        <v>2026</v>
      </c>
      <c r="B124" s="75" t="inlineStr">
        <is>
          <t>D400</t>
        </is>
      </c>
      <c r="C124" s="75" t="inlineStr">
        <is>
          <t>상품개발팀</t>
        </is>
      </c>
      <c r="D124" s="75" t="n">
        <v>62901000</v>
      </c>
      <c r="E124" s="75" t="inlineStr">
        <is>
          <t>지급수수료-컨설팅</t>
        </is>
      </c>
      <c r="F124" s="75" t="n">
        <v>4</v>
      </c>
      <c r="G124" s="76" t="n">
        <v>63000000</v>
      </c>
      <c r="H124" s="76" t="n">
        <v>0</v>
      </c>
      <c r="I124" s="76" t="n">
        <v>0</v>
      </c>
      <c r="J124" s="76" t="n">
        <v>63000000</v>
      </c>
      <c r="L124" s="9">
        <f>IF($A124="","",$B124&amp;"|"&amp;$D124)</f>
        <v/>
      </c>
      <c r="M124" s="9">
        <f>IF($A124="","",VALUE($A124&amp;""))</f>
        <v/>
      </c>
      <c r="N124" s="9">
        <f>IF($A124="","",VALUE(SUBSTITUTE(SUBSTITUTE(SUBSTITUTE(UPPER($F124&amp;""),"Q",""),"분기","")," ","")))</f>
        <v/>
      </c>
      <c r="O124" s="77">
        <f>IF($A124="",0,($G124+$H124)*설정!$C$23)</f>
        <v/>
      </c>
      <c r="P124" s="77">
        <f>IF($A124="",0,$I124*설정!$C$23)</f>
        <v/>
      </c>
      <c r="Q124" s="39">
        <f>IF($A124="","",IF(COUNTIF(변동분석!$E$7:$E$506,L124)&gt;0,"Y","N"))</f>
        <v/>
      </c>
      <c r="R124" s="9">
        <f>IF($A124="","",$D124&amp;"")</f>
        <v/>
      </c>
    </row>
    <row r="125">
      <c r="A125" s="75" t="n">
        <v>2026</v>
      </c>
      <c r="B125" s="75" t="inlineStr">
        <is>
          <t>D400</t>
        </is>
      </c>
      <c r="C125" s="75" t="inlineStr">
        <is>
          <t>상품개발팀</t>
        </is>
      </c>
      <c r="D125" s="75" t="n">
        <v>62902000</v>
      </c>
      <c r="E125" s="75" t="inlineStr">
        <is>
          <t>지급수수료-기타</t>
        </is>
      </c>
      <c r="F125" s="75" t="n">
        <v>1</v>
      </c>
      <c r="G125" s="76" t="n">
        <v>27000000</v>
      </c>
      <c r="H125" s="76" t="n">
        <v>0</v>
      </c>
      <c r="I125" s="76" t="n">
        <v>23927000</v>
      </c>
      <c r="J125" s="76" t="n">
        <v>3073000</v>
      </c>
      <c r="L125" s="9">
        <f>IF($A125="","",$B125&amp;"|"&amp;$D125)</f>
        <v/>
      </c>
      <c r="M125" s="9">
        <f>IF($A125="","",VALUE($A125&amp;""))</f>
        <v/>
      </c>
      <c r="N125" s="9">
        <f>IF($A125="","",VALUE(SUBSTITUTE(SUBSTITUTE(SUBSTITUTE(UPPER($F125&amp;""),"Q",""),"분기","")," ","")))</f>
        <v/>
      </c>
      <c r="O125" s="77">
        <f>IF($A125="",0,($G125+$H125)*설정!$C$23)</f>
        <v/>
      </c>
      <c r="P125" s="77">
        <f>IF($A125="",0,$I125*설정!$C$23)</f>
        <v/>
      </c>
      <c r="Q125" s="39">
        <f>IF($A125="","",IF(COUNTIF(변동분석!$E$7:$E$506,L125)&gt;0,"Y","N"))</f>
        <v/>
      </c>
      <c r="R125" s="9">
        <f>IF($A125="","",$D125&amp;"")</f>
        <v/>
      </c>
    </row>
    <row r="126">
      <c r="A126" s="75" t="n">
        <v>2026</v>
      </c>
      <c r="B126" s="75" t="inlineStr">
        <is>
          <t>D400</t>
        </is>
      </c>
      <c r="C126" s="75" t="inlineStr">
        <is>
          <t>상품개발팀</t>
        </is>
      </c>
      <c r="D126" s="75" t="n">
        <v>62902000</v>
      </c>
      <c r="E126" s="75" t="inlineStr">
        <is>
          <t>지급수수료-기타</t>
        </is>
      </c>
      <c r="F126" s="75" t="n">
        <v>2</v>
      </c>
      <c r="G126" s="76" t="n">
        <v>27000000</v>
      </c>
      <c r="H126" s="76" t="n">
        <v>0</v>
      </c>
      <c r="I126" s="76" t="n">
        <v>21877000</v>
      </c>
      <c r="J126" s="76" t="n">
        <v>5123000</v>
      </c>
      <c r="L126" s="9">
        <f>IF($A126="","",$B126&amp;"|"&amp;$D126)</f>
        <v/>
      </c>
      <c r="M126" s="9">
        <f>IF($A126="","",VALUE($A126&amp;""))</f>
        <v/>
      </c>
      <c r="N126" s="9">
        <f>IF($A126="","",VALUE(SUBSTITUTE(SUBSTITUTE(SUBSTITUTE(UPPER($F126&amp;""),"Q",""),"분기","")," ","")))</f>
        <v/>
      </c>
      <c r="O126" s="77">
        <f>IF($A126="",0,($G126+$H126)*설정!$C$23)</f>
        <v/>
      </c>
      <c r="P126" s="77">
        <f>IF($A126="",0,$I126*설정!$C$23)</f>
        <v/>
      </c>
      <c r="Q126" s="39">
        <f>IF($A126="","",IF(COUNTIF(변동분석!$E$7:$E$506,L126)&gt;0,"Y","N"))</f>
        <v/>
      </c>
      <c r="R126" s="9">
        <f>IF($A126="","",$D126&amp;"")</f>
        <v/>
      </c>
    </row>
    <row r="127">
      <c r="A127" s="75" t="n">
        <v>2026</v>
      </c>
      <c r="B127" s="75" t="inlineStr">
        <is>
          <t>D400</t>
        </is>
      </c>
      <c r="C127" s="75" t="inlineStr">
        <is>
          <t>상품개발팀</t>
        </is>
      </c>
      <c r="D127" s="75" t="n">
        <v>62902000</v>
      </c>
      <c r="E127" s="75" t="inlineStr">
        <is>
          <t>지급수수료-기타</t>
        </is>
      </c>
      <c r="F127" s="75" t="n">
        <v>3</v>
      </c>
      <c r="G127" s="76" t="n">
        <v>27000000</v>
      </c>
      <c r="H127" s="76" t="n">
        <v>0</v>
      </c>
      <c r="I127" s="76" t="n">
        <v>21492000</v>
      </c>
      <c r="J127" s="76" t="n">
        <v>5508000</v>
      </c>
      <c r="L127" s="9">
        <f>IF($A127="","",$B127&amp;"|"&amp;$D127)</f>
        <v/>
      </c>
      <c r="M127" s="9">
        <f>IF($A127="","",VALUE($A127&amp;""))</f>
        <v/>
      </c>
      <c r="N127" s="9">
        <f>IF($A127="","",VALUE(SUBSTITUTE(SUBSTITUTE(SUBSTITUTE(UPPER($F127&amp;""),"Q",""),"분기","")," ","")))</f>
        <v/>
      </c>
      <c r="O127" s="77">
        <f>IF($A127="",0,($G127+$H127)*설정!$C$23)</f>
        <v/>
      </c>
      <c r="P127" s="77">
        <f>IF($A127="",0,$I127*설정!$C$23)</f>
        <v/>
      </c>
      <c r="Q127" s="39">
        <f>IF($A127="","",IF(COUNTIF(변동분석!$E$7:$E$506,L127)&gt;0,"Y","N"))</f>
        <v/>
      </c>
      <c r="R127" s="9">
        <f>IF($A127="","",$D127&amp;"")</f>
        <v/>
      </c>
    </row>
    <row r="128">
      <c r="A128" s="75" t="n">
        <v>2026</v>
      </c>
      <c r="B128" s="75" t="inlineStr">
        <is>
          <t>D400</t>
        </is>
      </c>
      <c r="C128" s="75" t="inlineStr">
        <is>
          <t>상품개발팀</t>
        </is>
      </c>
      <c r="D128" s="75" t="n">
        <v>62902000</v>
      </c>
      <c r="E128" s="75" t="inlineStr">
        <is>
          <t>지급수수료-기타</t>
        </is>
      </c>
      <c r="F128" s="75" t="n">
        <v>4</v>
      </c>
      <c r="G128" s="76" t="n">
        <v>27000000</v>
      </c>
      <c r="H128" s="76" t="n">
        <v>0</v>
      </c>
      <c r="I128" s="76" t="n">
        <v>0</v>
      </c>
      <c r="J128" s="76" t="n">
        <v>27000000</v>
      </c>
      <c r="L128" s="9">
        <f>IF($A128="","",$B128&amp;"|"&amp;$D128)</f>
        <v/>
      </c>
      <c r="M128" s="9">
        <f>IF($A128="","",VALUE($A128&amp;""))</f>
        <v/>
      </c>
      <c r="N128" s="9">
        <f>IF($A128="","",VALUE(SUBSTITUTE(SUBSTITUTE(SUBSTITUTE(UPPER($F128&amp;""),"Q",""),"분기","")," ","")))</f>
        <v/>
      </c>
      <c r="O128" s="77">
        <f>IF($A128="",0,($G128+$H128)*설정!$C$23)</f>
        <v/>
      </c>
      <c r="P128" s="77">
        <f>IF($A128="",0,$I128*설정!$C$23)</f>
        <v/>
      </c>
      <c r="Q128" s="39">
        <f>IF($A128="","",IF(COUNTIF(변동분석!$E$7:$E$506,L128)&gt;0,"Y","N"))</f>
        <v/>
      </c>
      <c r="R128" s="9">
        <f>IF($A128="","",$D128&amp;"")</f>
        <v/>
      </c>
    </row>
    <row r="129">
      <c r="A129" s="75" t="n">
        <v>2026</v>
      </c>
      <c r="B129" s="75" t="inlineStr">
        <is>
          <t>D500</t>
        </is>
      </c>
      <c r="C129" s="75" t="inlineStr">
        <is>
          <t>마케팅팀</t>
        </is>
      </c>
      <c r="D129" s="75" t="n">
        <v>62101000</v>
      </c>
      <c r="E129" s="75" t="inlineStr">
        <is>
          <t>여비교통비-국내</t>
        </is>
      </c>
      <c r="F129" s="75" t="n">
        <v>1</v>
      </c>
      <c r="G129" s="76" t="n">
        <v>8925000</v>
      </c>
      <c r="H129" s="76" t="n">
        <v>0</v>
      </c>
      <c r="I129" s="76" t="n">
        <v>7037000</v>
      </c>
      <c r="J129" s="76" t="n">
        <v>1888000</v>
      </c>
      <c r="L129" s="9">
        <f>IF($A129="","",$B129&amp;"|"&amp;$D129)</f>
        <v/>
      </c>
      <c r="M129" s="9">
        <f>IF($A129="","",VALUE($A129&amp;""))</f>
        <v/>
      </c>
      <c r="N129" s="9">
        <f>IF($A129="","",VALUE(SUBSTITUTE(SUBSTITUTE(SUBSTITUTE(UPPER($F129&amp;""),"Q",""),"분기","")," ","")))</f>
        <v/>
      </c>
      <c r="O129" s="77">
        <f>IF($A129="",0,($G129+$H129)*설정!$C$23)</f>
        <v/>
      </c>
      <c r="P129" s="77">
        <f>IF($A129="",0,$I129*설정!$C$23)</f>
        <v/>
      </c>
      <c r="Q129" s="39">
        <f>IF($A129="","",IF(COUNTIF(변동분석!$E$7:$E$506,L129)&gt;0,"Y","N"))</f>
        <v/>
      </c>
      <c r="R129" s="9">
        <f>IF($A129="","",$D129&amp;"")</f>
        <v/>
      </c>
    </row>
    <row r="130">
      <c r="A130" s="75" t="n">
        <v>2026</v>
      </c>
      <c r="B130" s="75" t="inlineStr">
        <is>
          <t>D500</t>
        </is>
      </c>
      <c r="C130" s="75" t="inlineStr">
        <is>
          <t>마케팅팀</t>
        </is>
      </c>
      <c r="D130" s="75" t="n">
        <v>62101000</v>
      </c>
      <c r="E130" s="75" t="inlineStr">
        <is>
          <t>여비교통비-국내</t>
        </is>
      </c>
      <c r="F130" s="75" t="n">
        <v>2</v>
      </c>
      <c r="G130" s="76" t="n">
        <v>8925000</v>
      </c>
      <c r="H130" s="76" t="n">
        <v>0</v>
      </c>
      <c r="I130" s="76" t="n">
        <v>7799000</v>
      </c>
      <c r="J130" s="76" t="n">
        <v>1126000</v>
      </c>
      <c r="L130" s="9">
        <f>IF($A130="","",$B130&amp;"|"&amp;$D130)</f>
        <v/>
      </c>
      <c r="M130" s="9">
        <f>IF($A130="","",VALUE($A130&amp;""))</f>
        <v/>
      </c>
      <c r="N130" s="9">
        <f>IF($A130="","",VALUE(SUBSTITUTE(SUBSTITUTE(SUBSTITUTE(UPPER($F130&amp;""),"Q",""),"분기","")," ","")))</f>
        <v/>
      </c>
      <c r="O130" s="77">
        <f>IF($A130="",0,($G130+$H130)*설정!$C$23)</f>
        <v/>
      </c>
      <c r="P130" s="77">
        <f>IF($A130="",0,$I130*설정!$C$23)</f>
        <v/>
      </c>
      <c r="Q130" s="39">
        <f>IF($A130="","",IF(COUNTIF(변동분석!$E$7:$E$506,L130)&gt;0,"Y","N"))</f>
        <v/>
      </c>
      <c r="R130" s="9">
        <f>IF($A130="","",$D130&amp;"")</f>
        <v/>
      </c>
    </row>
    <row r="131">
      <c r="A131" s="75" t="n">
        <v>2026</v>
      </c>
      <c r="B131" s="75" t="inlineStr">
        <is>
          <t>D500</t>
        </is>
      </c>
      <c r="C131" s="75" t="inlineStr">
        <is>
          <t>마케팅팀</t>
        </is>
      </c>
      <c r="D131" s="75" t="n">
        <v>62101000</v>
      </c>
      <c r="E131" s="75" t="inlineStr">
        <is>
          <t>여비교통비-국내</t>
        </is>
      </c>
      <c r="F131" s="75" t="n">
        <v>3</v>
      </c>
      <c r="G131" s="76" t="n">
        <v>8925000</v>
      </c>
      <c r="H131" s="76" t="n">
        <v>0</v>
      </c>
      <c r="I131" s="76" t="n">
        <v>8129000</v>
      </c>
      <c r="J131" s="76" t="n">
        <v>796000</v>
      </c>
      <c r="L131" s="9">
        <f>IF($A131="","",$B131&amp;"|"&amp;$D131)</f>
        <v/>
      </c>
      <c r="M131" s="9">
        <f>IF($A131="","",VALUE($A131&amp;""))</f>
        <v/>
      </c>
      <c r="N131" s="9">
        <f>IF($A131="","",VALUE(SUBSTITUTE(SUBSTITUTE(SUBSTITUTE(UPPER($F131&amp;""),"Q",""),"분기","")," ","")))</f>
        <v/>
      </c>
      <c r="O131" s="77">
        <f>IF($A131="",0,($G131+$H131)*설정!$C$23)</f>
        <v/>
      </c>
      <c r="P131" s="77">
        <f>IF($A131="",0,$I131*설정!$C$23)</f>
        <v/>
      </c>
      <c r="Q131" s="39">
        <f>IF($A131="","",IF(COUNTIF(변동분석!$E$7:$E$506,L131)&gt;0,"Y","N"))</f>
        <v/>
      </c>
      <c r="R131" s="9">
        <f>IF($A131="","",$D131&amp;"")</f>
        <v/>
      </c>
    </row>
    <row r="132">
      <c r="A132" s="75" t="n">
        <v>2026</v>
      </c>
      <c r="B132" s="75" t="inlineStr">
        <is>
          <t>D500</t>
        </is>
      </c>
      <c r="C132" s="75" t="inlineStr">
        <is>
          <t>마케팅팀</t>
        </is>
      </c>
      <c r="D132" s="75" t="n">
        <v>62101000</v>
      </c>
      <c r="E132" s="75" t="inlineStr">
        <is>
          <t>여비교통비-국내</t>
        </is>
      </c>
      <c r="F132" s="75" t="n">
        <v>4</v>
      </c>
      <c r="G132" s="76" t="n">
        <v>8925000</v>
      </c>
      <c r="H132" s="76" t="n">
        <v>0</v>
      </c>
      <c r="I132" s="76" t="n">
        <v>0</v>
      </c>
      <c r="J132" s="76" t="n">
        <v>8925000</v>
      </c>
      <c r="L132" s="9">
        <f>IF($A132="","",$B132&amp;"|"&amp;$D132)</f>
        <v/>
      </c>
      <c r="M132" s="9">
        <f>IF($A132="","",VALUE($A132&amp;""))</f>
        <v/>
      </c>
      <c r="N132" s="9">
        <f>IF($A132="","",VALUE(SUBSTITUTE(SUBSTITUTE(SUBSTITUTE(UPPER($F132&amp;""),"Q",""),"분기","")," ","")))</f>
        <v/>
      </c>
      <c r="O132" s="77">
        <f>IF($A132="",0,($G132+$H132)*설정!$C$23)</f>
        <v/>
      </c>
      <c r="P132" s="77">
        <f>IF($A132="",0,$I132*설정!$C$23)</f>
        <v/>
      </c>
      <c r="Q132" s="39">
        <f>IF($A132="","",IF(COUNTIF(변동분석!$E$7:$E$506,L132)&gt;0,"Y","N"))</f>
        <v/>
      </c>
      <c r="R132" s="9">
        <f>IF($A132="","",$D132&amp;"")</f>
        <v/>
      </c>
    </row>
    <row r="133">
      <c r="A133" s="75" t="n">
        <v>2026</v>
      </c>
      <c r="B133" s="75" t="inlineStr">
        <is>
          <t>D500</t>
        </is>
      </c>
      <c r="C133" s="75" t="inlineStr">
        <is>
          <t>마케팅팀</t>
        </is>
      </c>
      <c r="D133" s="75" t="n">
        <v>62102000</v>
      </c>
      <c r="E133" s="75" t="inlineStr">
        <is>
          <t>여비교통비-해외</t>
        </is>
      </c>
      <c r="F133" s="75" t="n">
        <v>1</v>
      </c>
      <c r="G133" s="76" t="n">
        <v>1575000</v>
      </c>
      <c r="H133" s="76" t="n">
        <v>0</v>
      </c>
      <c r="I133" s="76" t="n">
        <v>1459000</v>
      </c>
      <c r="J133" s="76" t="n">
        <v>116000</v>
      </c>
      <c r="L133" s="9">
        <f>IF($A133="","",$B133&amp;"|"&amp;$D133)</f>
        <v/>
      </c>
      <c r="M133" s="9">
        <f>IF($A133="","",VALUE($A133&amp;""))</f>
        <v/>
      </c>
      <c r="N133" s="9">
        <f>IF($A133="","",VALUE(SUBSTITUTE(SUBSTITUTE(SUBSTITUTE(UPPER($F133&amp;""),"Q",""),"분기","")," ","")))</f>
        <v/>
      </c>
      <c r="O133" s="77">
        <f>IF($A133="",0,($G133+$H133)*설정!$C$23)</f>
        <v/>
      </c>
      <c r="P133" s="77">
        <f>IF($A133="",0,$I133*설정!$C$23)</f>
        <v/>
      </c>
      <c r="Q133" s="39">
        <f>IF($A133="","",IF(COUNTIF(변동분석!$E$7:$E$506,L133)&gt;0,"Y","N"))</f>
        <v/>
      </c>
      <c r="R133" s="9">
        <f>IF($A133="","",$D133&amp;"")</f>
        <v/>
      </c>
    </row>
    <row r="134">
      <c r="A134" s="75" t="n">
        <v>2026</v>
      </c>
      <c r="B134" s="75" t="inlineStr">
        <is>
          <t>D500</t>
        </is>
      </c>
      <c r="C134" s="75" t="inlineStr">
        <is>
          <t>마케팅팀</t>
        </is>
      </c>
      <c r="D134" s="75" t="n">
        <v>62102000</v>
      </c>
      <c r="E134" s="75" t="inlineStr">
        <is>
          <t>여비교통비-해외</t>
        </is>
      </c>
      <c r="F134" s="75" t="n">
        <v>2</v>
      </c>
      <c r="G134" s="76" t="n">
        <v>1575000</v>
      </c>
      <c r="H134" s="76" t="n">
        <v>0</v>
      </c>
      <c r="I134" s="76" t="n">
        <v>1401000</v>
      </c>
      <c r="J134" s="76" t="n">
        <v>174000</v>
      </c>
      <c r="L134" s="9">
        <f>IF($A134="","",$B134&amp;"|"&amp;$D134)</f>
        <v/>
      </c>
      <c r="M134" s="9">
        <f>IF($A134="","",VALUE($A134&amp;""))</f>
        <v/>
      </c>
      <c r="N134" s="9">
        <f>IF($A134="","",VALUE(SUBSTITUTE(SUBSTITUTE(SUBSTITUTE(UPPER($F134&amp;""),"Q",""),"분기","")," ","")))</f>
        <v/>
      </c>
      <c r="O134" s="77">
        <f>IF($A134="",0,($G134+$H134)*설정!$C$23)</f>
        <v/>
      </c>
      <c r="P134" s="77">
        <f>IF($A134="",0,$I134*설정!$C$23)</f>
        <v/>
      </c>
      <c r="Q134" s="39">
        <f>IF($A134="","",IF(COUNTIF(변동분석!$E$7:$E$506,L134)&gt;0,"Y","N"))</f>
        <v/>
      </c>
      <c r="R134" s="9">
        <f>IF($A134="","",$D134&amp;"")</f>
        <v/>
      </c>
    </row>
    <row r="135">
      <c r="A135" s="75" t="n">
        <v>2026</v>
      </c>
      <c r="B135" s="75" t="inlineStr">
        <is>
          <t>D500</t>
        </is>
      </c>
      <c r="C135" s="75" t="inlineStr">
        <is>
          <t>마케팅팀</t>
        </is>
      </c>
      <c r="D135" s="75" t="n">
        <v>62102000</v>
      </c>
      <c r="E135" s="75" t="inlineStr">
        <is>
          <t>여비교통비-해외</t>
        </is>
      </c>
      <c r="F135" s="75" t="n">
        <v>3</v>
      </c>
      <c r="G135" s="76" t="n">
        <v>1575000</v>
      </c>
      <c r="H135" s="76" t="n">
        <v>0</v>
      </c>
      <c r="I135" s="76" t="n">
        <v>1368000</v>
      </c>
      <c r="J135" s="76" t="n">
        <v>207000</v>
      </c>
      <c r="L135" s="9">
        <f>IF($A135="","",$B135&amp;"|"&amp;$D135)</f>
        <v/>
      </c>
      <c r="M135" s="9">
        <f>IF($A135="","",VALUE($A135&amp;""))</f>
        <v/>
      </c>
      <c r="N135" s="9">
        <f>IF($A135="","",VALUE(SUBSTITUTE(SUBSTITUTE(SUBSTITUTE(UPPER($F135&amp;""),"Q",""),"분기","")," ","")))</f>
        <v/>
      </c>
      <c r="O135" s="77">
        <f>IF($A135="",0,($G135+$H135)*설정!$C$23)</f>
        <v/>
      </c>
      <c r="P135" s="77">
        <f>IF($A135="",0,$I135*설정!$C$23)</f>
        <v/>
      </c>
      <c r="Q135" s="39">
        <f>IF($A135="","",IF(COUNTIF(변동분석!$E$7:$E$506,L135)&gt;0,"Y","N"))</f>
        <v/>
      </c>
      <c r="R135" s="9">
        <f>IF($A135="","",$D135&amp;"")</f>
        <v/>
      </c>
    </row>
    <row r="136">
      <c r="A136" s="75" t="n">
        <v>2026</v>
      </c>
      <c r="B136" s="75" t="inlineStr">
        <is>
          <t>D500</t>
        </is>
      </c>
      <c r="C136" s="75" t="inlineStr">
        <is>
          <t>마케팅팀</t>
        </is>
      </c>
      <c r="D136" s="75" t="n">
        <v>62102000</v>
      </c>
      <c r="E136" s="75" t="inlineStr">
        <is>
          <t>여비교통비-해외</t>
        </is>
      </c>
      <c r="F136" s="75" t="n">
        <v>4</v>
      </c>
      <c r="G136" s="76" t="n">
        <v>1575000</v>
      </c>
      <c r="H136" s="76" t="n">
        <v>0</v>
      </c>
      <c r="I136" s="76" t="n">
        <v>0</v>
      </c>
      <c r="J136" s="76" t="n">
        <v>1575000</v>
      </c>
      <c r="L136" s="9">
        <f>IF($A136="","",$B136&amp;"|"&amp;$D136)</f>
        <v/>
      </c>
      <c r="M136" s="9">
        <f>IF($A136="","",VALUE($A136&amp;""))</f>
        <v/>
      </c>
      <c r="N136" s="9">
        <f>IF($A136="","",VALUE(SUBSTITUTE(SUBSTITUTE(SUBSTITUTE(UPPER($F136&amp;""),"Q",""),"분기","")," ","")))</f>
        <v/>
      </c>
      <c r="O136" s="77">
        <f>IF($A136="",0,($G136+$H136)*설정!$C$23)</f>
        <v/>
      </c>
      <c r="P136" s="77">
        <f>IF($A136="",0,$I136*설정!$C$23)</f>
        <v/>
      </c>
      <c r="Q136" s="39">
        <f>IF($A136="","",IF(COUNTIF(변동분석!$E$7:$E$506,L136)&gt;0,"Y","N"))</f>
        <v/>
      </c>
      <c r="R136" s="9">
        <f>IF($A136="","",$D136&amp;"")</f>
        <v/>
      </c>
    </row>
    <row r="137">
      <c r="A137" s="75" t="n">
        <v>2026</v>
      </c>
      <c r="B137" s="75" t="inlineStr">
        <is>
          <t>D500</t>
        </is>
      </c>
      <c r="C137" s="75" t="inlineStr">
        <is>
          <t>마케팅팀</t>
        </is>
      </c>
      <c r="D137" s="75" t="n">
        <v>62201000</v>
      </c>
      <c r="E137" s="75" t="inlineStr">
        <is>
          <t>통신비</t>
        </is>
      </c>
      <c r="F137" s="75" t="n">
        <v>1</v>
      </c>
      <c r="G137" s="76" t="n">
        <v>3000000</v>
      </c>
      <c r="H137" s="76" t="n">
        <v>0</v>
      </c>
      <c r="I137" s="76" t="n">
        <v>2798000</v>
      </c>
      <c r="J137" s="76" t="n">
        <v>202000</v>
      </c>
      <c r="L137" s="9">
        <f>IF($A137="","",$B137&amp;"|"&amp;$D137)</f>
        <v/>
      </c>
      <c r="M137" s="9">
        <f>IF($A137="","",VALUE($A137&amp;""))</f>
        <v/>
      </c>
      <c r="N137" s="9">
        <f>IF($A137="","",VALUE(SUBSTITUTE(SUBSTITUTE(SUBSTITUTE(UPPER($F137&amp;""),"Q",""),"분기","")," ","")))</f>
        <v/>
      </c>
      <c r="O137" s="77">
        <f>IF($A137="",0,($G137+$H137)*설정!$C$23)</f>
        <v/>
      </c>
      <c r="P137" s="77">
        <f>IF($A137="",0,$I137*설정!$C$23)</f>
        <v/>
      </c>
      <c r="Q137" s="39">
        <f>IF($A137="","",IF(COUNTIF(변동분석!$E$7:$E$506,L137)&gt;0,"Y","N"))</f>
        <v/>
      </c>
      <c r="R137" s="9">
        <f>IF($A137="","",$D137&amp;"")</f>
        <v/>
      </c>
    </row>
    <row r="138">
      <c r="A138" s="75" t="n">
        <v>2026</v>
      </c>
      <c r="B138" s="75" t="inlineStr">
        <is>
          <t>D500</t>
        </is>
      </c>
      <c r="C138" s="75" t="inlineStr">
        <is>
          <t>마케팅팀</t>
        </is>
      </c>
      <c r="D138" s="75" t="n">
        <v>62201000</v>
      </c>
      <c r="E138" s="75" t="inlineStr">
        <is>
          <t>통신비</t>
        </is>
      </c>
      <c r="F138" s="75" t="n">
        <v>2</v>
      </c>
      <c r="G138" s="76" t="n">
        <v>3000000</v>
      </c>
      <c r="H138" s="76" t="n">
        <v>0</v>
      </c>
      <c r="I138" s="76" t="n">
        <v>2734000</v>
      </c>
      <c r="J138" s="76" t="n">
        <v>266000</v>
      </c>
      <c r="L138" s="9">
        <f>IF($A138="","",$B138&amp;"|"&amp;$D138)</f>
        <v/>
      </c>
      <c r="M138" s="9">
        <f>IF($A138="","",VALUE($A138&amp;""))</f>
        <v/>
      </c>
      <c r="N138" s="9">
        <f>IF($A138="","",VALUE(SUBSTITUTE(SUBSTITUTE(SUBSTITUTE(UPPER($F138&amp;""),"Q",""),"분기","")," ","")))</f>
        <v/>
      </c>
      <c r="O138" s="77">
        <f>IF($A138="",0,($G138+$H138)*설정!$C$23)</f>
        <v/>
      </c>
      <c r="P138" s="77">
        <f>IF($A138="",0,$I138*설정!$C$23)</f>
        <v/>
      </c>
      <c r="Q138" s="39">
        <f>IF($A138="","",IF(COUNTIF(변동분석!$E$7:$E$506,L138)&gt;0,"Y","N"))</f>
        <v/>
      </c>
      <c r="R138" s="9">
        <f>IF($A138="","",$D138&amp;"")</f>
        <v/>
      </c>
    </row>
    <row r="139">
      <c r="A139" s="75" t="n">
        <v>2026</v>
      </c>
      <c r="B139" s="75" t="inlineStr">
        <is>
          <t>D500</t>
        </is>
      </c>
      <c r="C139" s="75" t="inlineStr">
        <is>
          <t>마케팅팀</t>
        </is>
      </c>
      <c r="D139" s="75" t="n">
        <v>62201000</v>
      </c>
      <c r="E139" s="75" t="inlineStr">
        <is>
          <t>통신비</t>
        </is>
      </c>
      <c r="F139" s="75" t="n">
        <v>3</v>
      </c>
      <c r="G139" s="76" t="n">
        <v>3000000</v>
      </c>
      <c r="H139" s="76" t="n">
        <v>0</v>
      </c>
      <c r="I139" s="76" t="n">
        <v>2877000</v>
      </c>
      <c r="J139" s="76" t="n">
        <v>123000</v>
      </c>
      <c r="L139" s="9">
        <f>IF($A139="","",$B139&amp;"|"&amp;$D139)</f>
        <v/>
      </c>
      <c r="M139" s="9">
        <f>IF($A139="","",VALUE($A139&amp;""))</f>
        <v/>
      </c>
      <c r="N139" s="9">
        <f>IF($A139="","",VALUE(SUBSTITUTE(SUBSTITUTE(SUBSTITUTE(UPPER($F139&amp;""),"Q",""),"분기","")," ","")))</f>
        <v/>
      </c>
      <c r="O139" s="77">
        <f>IF($A139="",0,($G139+$H139)*설정!$C$23)</f>
        <v/>
      </c>
      <c r="P139" s="77">
        <f>IF($A139="",0,$I139*설정!$C$23)</f>
        <v/>
      </c>
      <c r="Q139" s="39">
        <f>IF($A139="","",IF(COUNTIF(변동분석!$E$7:$E$506,L139)&gt;0,"Y","N"))</f>
        <v/>
      </c>
      <c r="R139" s="9">
        <f>IF($A139="","",$D139&amp;"")</f>
        <v/>
      </c>
    </row>
    <row r="140">
      <c r="A140" s="75" t="n">
        <v>2026</v>
      </c>
      <c r="B140" s="75" t="inlineStr">
        <is>
          <t>D500</t>
        </is>
      </c>
      <c r="C140" s="75" t="inlineStr">
        <is>
          <t>마케팅팀</t>
        </is>
      </c>
      <c r="D140" s="75" t="n">
        <v>62201000</v>
      </c>
      <c r="E140" s="75" t="inlineStr">
        <is>
          <t>통신비</t>
        </is>
      </c>
      <c r="F140" s="75" t="n">
        <v>4</v>
      </c>
      <c r="G140" s="76" t="n">
        <v>3000000</v>
      </c>
      <c r="H140" s="76" t="n">
        <v>0</v>
      </c>
      <c r="I140" s="76" t="n">
        <v>0</v>
      </c>
      <c r="J140" s="76" t="n">
        <v>3000000</v>
      </c>
      <c r="L140" s="9">
        <f>IF($A140="","",$B140&amp;"|"&amp;$D140)</f>
        <v/>
      </c>
      <c r="M140" s="9">
        <f>IF($A140="","",VALUE($A140&amp;""))</f>
        <v/>
      </c>
      <c r="N140" s="9">
        <f>IF($A140="","",VALUE(SUBSTITUTE(SUBSTITUTE(SUBSTITUTE(UPPER($F140&amp;""),"Q",""),"분기","")," ","")))</f>
        <v/>
      </c>
      <c r="O140" s="77">
        <f>IF($A140="",0,($G140+$H140)*설정!$C$23)</f>
        <v/>
      </c>
      <c r="P140" s="77">
        <f>IF($A140="",0,$I140*설정!$C$23)</f>
        <v/>
      </c>
      <c r="Q140" s="39">
        <f>IF($A140="","",IF(COUNTIF(변동분석!$E$7:$E$506,L140)&gt;0,"Y","N"))</f>
        <v/>
      </c>
      <c r="R140" s="9">
        <f>IF($A140="","",$D140&amp;"")</f>
        <v/>
      </c>
    </row>
    <row r="141">
      <c r="A141" s="75" t="n">
        <v>2026</v>
      </c>
      <c r="B141" s="75" t="inlineStr">
        <is>
          <t>D500</t>
        </is>
      </c>
      <c r="C141" s="75" t="inlineStr">
        <is>
          <t>마케팅팀</t>
        </is>
      </c>
      <c r="D141" s="75" t="n">
        <v>62301000</v>
      </c>
      <c r="E141" s="75" t="inlineStr">
        <is>
          <t>소모품비</t>
        </is>
      </c>
      <c r="F141" s="75" t="n">
        <v>1</v>
      </c>
      <c r="G141" s="76" t="n">
        <v>2400000</v>
      </c>
      <c r="H141" s="76" t="n">
        <v>0</v>
      </c>
      <c r="I141" s="76" t="n">
        <v>1867000</v>
      </c>
      <c r="J141" s="76" t="n">
        <v>533000</v>
      </c>
      <c r="L141" s="9">
        <f>IF($A141="","",$B141&amp;"|"&amp;$D141)</f>
        <v/>
      </c>
      <c r="M141" s="9">
        <f>IF($A141="","",VALUE($A141&amp;""))</f>
        <v/>
      </c>
      <c r="N141" s="9">
        <f>IF($A141="","",VALUE(SUBSTITUTE(SUBSTITUTE(SUBSTITUTE(UPPER($F141&amp;""),"Q",""),"분기","")," ","")))</f>
        <v/>
      </c>
      <c r="O141" s="77">
        <f>IF($A141="",0,($G141+$H141)*설정!$C$23)</f>
        <v/>
      </c>
      <c r="P141" s="77">
        <f>IF($A141="",0,$I141*설정!$C$23)</f>
        <v/>
      </c>
      <c r="Q141" s="39">
        <f>IF($A141="","",IF(COUNTIF(변동분석!$E$7:$E$506,L141)&gt;0,"Y","N"))</f>
        <v/>
      </c>
      <c r="R141" s="9">
        <f>IF($A141="","",$D141&amp;"")</f>
        <v/>
      </c>
    </row>
    <row r="142">
      <c r="A142" s="75" t="n">
        <v>2026</v>
      </c>
      <c r="B142" s="75" t="inlineStr">
        <is>
          <t>D500</t>
        </is>
      </c>
      <c r="C142" s="75" t="inlineStr">
        <is>
          <t>마케팅팀</t>
        </is>
      </c>
      <c r="D142" s="75" t="n">
        <v>62301000</v>
      </c>
      <c r="E142" s="75" t="inlineStr">
        <is>
          <t>소모품비</t>
        </is>
      </c>
      <c r="F142" s="75" t="n">
        <v>2</v>
      </c>
      <c r="G142" s="76" t="n">
        <v>2400000</v>
      </c>
      <c r="H142" s="76" t="n">
        <v>0</v>
      </c>
      <c r="I142" s="76" t="n">
        <v>2003000</v>
      </c>
      <c r="J142" s="76" t="n">
        <v>397000</v>
      </c>
      <c r="L142" s="9">
        <f>IF($A142="","",$B142&amp;"|"&amp;$D142)</f>
        <v/>
      </c>
      <c r="M142" s="9">
        <f>IF($A142="","",VALUE($A142&amp;""))</f>
        <v/>
      </c>
      <c r="N142" s="9">
        <f>IF($A142="","",VALUE(SUBSTITUTE(SUBSTITUTE(SUBSTITUTE(UPPER($F142&amp;""),"Q",""),"분기","")," ","")))</f>
        <v/>
      </c>
      <c r="O142" s="77">
        <f>IF($A142="",0,($G142+$H142)*설정!$C$23)</f>
        <v/>
      </c>
      <c r="P142" s="77">
        <f>IF($A142="",0,$I142*설정!$C$23)</f>
        <v/>
      </c>
      <c r="Q142" s="39">
        <f>IF($A142="","",IF(COUNTIF(변동분석!$E$7:$E$506,L142)&gt;0,"Y","N"))</f>
        <v/>
      </c>
      <c r="R142" s="9">
        <f>IF($A142="","",$D142&amp;"")</f>
        <v/>
      </c>
    </row>
    <row r="143">
      <c r="A143" s="75" t="n">
        <v>2026</v>
      </c>
      <c r="B143" s="75" t="inlineStr">
        <is>
          <t>D500</t>
        </is>
      </c>
      <c r="C143" s="75" t="inlineStr">
        <is>
          <t>마케팅팀</t>
        </is>
      </c>
      <c r="D143" s="75" t="n">
        <v>62301000</v>
      </c>
      <c r="E143" s="75" t="inlineStr">
        <is>
          <t>소모품비</t>
        </is>
      </c>
      <c r="F143" s="75" t="n">
        <v>3</v>
      </c>
      <c r="G143" s="76" t="n">
        <v>2400000</v>
      </c>
      <c r="H143" s="76" t="n">
        <v>0</v>
      </c>
      <c r="I143" s="76" t="n">
        <v>2178000</v>
      </c>
      <c r="J143" s="76" t="n">
        <v>222000</v>
      </c>
      <c r="L143" s="9">
        <f>IF($A143="","",$B143&amp;"|"&amp;$D143)</f>
        <v/>
      </c>
      <c r="M143" s="9">
        <f>IF($A143="","",VALUE($A143&amp;""))</f>
        <v/>
      </c>
      <c r="N143" s="9">
        <f>IF($A143="","",VALUE(SUBSTITUTE(SUBSTITUTE(SUBSTITUTE(UPPER($F143&amp;""),"Q",""),"분기","")," ","")))</f>
        <v/>
      </c>
      <c r="O143" s="77">
        <f>IF($A143="",0,($G143+$H143)*설정!$C$23)</f>
        <v/>
      </c>
      <c r="P143" s="77">
        <f>IF($A143="",0,$I143*설정!$C$23)</f>
        <v/>
      </c>
      <c r="Q143" s="39">
        <f>IF($A143="","",IF(COUNTIF(변동분석!$E$7:$E$506,L143)&gt;0,"Y","N"))</f>
        <v/>
      </c>
      <c r="R143" s="9">
        <f>IF($A143="","",$D143&amp;"")</f>
        <v/>
      </c>
    </row>
    <row r="144">
      <c r="A144" s="75" t="n">
        <v>2026</v>
      </c>
      <c r="B144" s="75" t="inlineStr">
        <is>
          <t>D500</t>
        </is>
      </c>
      <c r="C144" s="75" t="inlineStr">
        <is>
          <t>마케팅팀</t>
        </is>
      </c>
      <c r="D144" s="75" t="n">
        <v>62301000</v>
      </c>
      <c r="E144" s="75" t="inlineStr">
        <is>
          <t>소모품비</t>
        </is>
      </c>
      <c r="F144" s="75" t="n">
        <v>4</v>
      </c>
      <c r="G144" s="76" t="n">
        <v>2400000</v>
      </c>
      <c r="H144" s="76" t="n">
        <v>0</v>
      </c>
      <c r="I144" s="76" t="n">
        <v>0</v>
      </c>
      <c r="J144" s="76" t="n">
        <v>2400000</v>
      </c>
      <c r="L144" s="9">
        <f>IF($A144="","",$B144&amp;"|"&amp;$D144)</f>
        <v/>
      </c>
      <c r="M144" s="9">
        <f>IF($A144="","",VALUE($A144&amp;""))</f>
        <v/>
      </c>
      <c r="N144" s="9">
        <f>IF($A144="","",VALUE(SUBSTITUTE(SUBSTITUTE(SUBSTITUTE(UPPER($F144&amp;""),"Q",""),"분기","")," ","")))</f>
        <v/>
      </c>
      <c r="O144" s="77">
        <f>IF($A144="",0,($G144+$H144)*설정!$C$23)</f>
        <v/>
      </c>
      <c r="P144" s="77">
        <f>IF($A144="",0,$I144*설정!$C$23)</f>
        <v/>
      </c>
      <c r="Q144" s="39">
        <f>IF($A144="","",IF(COUNTIF(변동분석!$E$7:$E$506,L144)&gt;0,"Y","N"))</f>
        <v/>
      </c>
      <c r="R144" s="9">
        <f>IF($A144="","",$D144&amp;"")</f>
        <v/>
      </c>
    </row>
    <row r="145">
      <c r="A145" s="75" t="n">
        <v>2026</v>
      </c>
      <c r="B145" s="75" t="inlineStr">
        <is>
          <t>D500</t>
        </is>
      </c>
      <c r="C145" s="75" t="inlineStr">
        <is>
          <t>마케팅팀</t>
        </is>
      </c>
      <c r="D145" s="75" t="n">
        <v>62401000</v>
      </c>
      <c r="E145" s="75" t="inlineStr">
        <is>
          <t>도서인쇄비</t>
        </is>
      </c>
      <c r="F145" s="75" t="n">
        <v>1</v>
      </c>
      <c r="G145" s="76" t="n">
        <v>21000000</v>
      </c>
      <c r="H145" s="76" t="n">
        <v>0</v>
      </c>
      <c r="I145" s="76" t="n">
        <v>17182000</v>
      </c>
      <c r="J145" s="76" t="n">
        <v>3818000</v>
      </c>
      <c r="L145" s="9">
        <f>IF($A145="","",$B145&amp;"|"&amp;$D145)</f>
        <v/>
      </c>
      <c r="M145" s="9">
        <f>IF($A145="","",VALUE($A145&amp;""))</f>
        <v/>
      </c>
      <c r="N145" s="9">
        <f>IF($A145="","",VALUE(SUBSTITUTE(SUBSTITUTE(SUBSTITUTE(UPPER($F145&amp;""),"Q",""),"분기","")," ","")))</f>
        <v/>
      </c>
      <c r="O145" s="77">
        <f>IF($A145="",0,($G145+$H145)*설정!$C$23)</f>
        <v/>
      </c>
      <c r="P145" s="77">
        <f>IF($A145="",0,$I145*설정!$C$23)</f>
        <v/>
      </c>
      <c r="Q145" s="39">
        <f>IF($A145="","",IF(COUNTIF(변동분석!$E$7:$E$506,L145)&gt;0,"Y","N"))</f>
        <v/>
      </c>
      <c r="R145" s="9">
        <f>IF($A145="","",$D145&amp;"")</f>
        <v/>
      </c>
    </row>
    <row r="146">
      <c r="A146" s="75" t="n">
        <v>2026</v>
      </c>
      <c r="B146" s="75" t="inlineStr">
        <is>
          <t>D500</t>
        </is>
      </c>
      <c r="C146" s="75" t="inlineStr">
        <is>
          <t>마케팅팀</t>
        </is>
      </c>
      <c r="D146" s="75" t="n">
        <v>62401000</v>
      </c>
      <c r="E146" s="75" t="inlineStr">
        <is>
          <t>도서인쇄비</t>
        </is>
      </c>
      <c r="F146" s="75" t="n">
        <v>2</v>
      </c>
      <c r="G146" s="76" t="n">
        <v>21000000</v>
      </c>
      <c r="H146" s="76" t="n">
        <v>0</v>
      </c>
      <c r="I146" s="76" t="n">
        <v>17786000</v>
      </c>
      <c r="J146" s="76" t="n">
        <v>3214000</v>
      </c>
      <c r="L146" s="9">
        <f>IF($A146="","",$B146&amp;"|"&amp;$D146)</f>
        <v/>
      </c>
      <c r="M146" s="9">
        <f>IF($A146="","",VALUE($A146&amp;""))</f>
        <v/>
      </c>
      <c r="N146" s="9">
        <f>IF($A146="","",VALUE(SUBSTITUTE(SUBSTITUTE(SUBSTITUTE(UPPER($F146&amp;""),"Q",""),"분기","")," ","")))</f>
        <v/>
      </c>
      <c r="O146" s="77">
        <f>IF($A146="",0,($G146+$H146)*설정!$C$23)</f>
        <v/>
      </c>
      <c r="P146" s="77">
        <f>IF($A146="",0,$I146*설정!$C$23)</f>
        <v/>
      </c>
      <c r="Q146" s="39">
        <f>IF($A146="","",IF(COUNTIF(변동분석!$E$7:$E$506,L146)&gt;0,"Y","N"))</f>
        <v/>
      </c>
      <c r="R146" s="9">
        <f>IF($A146="","",$D146&amp;"")</f>
        <v/>
      </c>
    </row>
    <row r="147">
      <c r="A147" s="75" t="n">
        <v>2026</v>
      </c>
      <c r="B147" s="75" t="inlineStr">
        <is>
          <t>D500</t>
        </is>
      </c>
      <c r="C147" s="75" t="inlineStr">
        <is>
          <t>마케팅팀</t>
        </is>
      </c>
      <c r="D147" s="75" t="n">
        <v>62401000</v>
      </c>
      <c r="E147" s="75" t="inlineStr">
        <is>
          <t>도서인쇄비</t>
        </is>
      </c>
      <c r="F147" s="75" t="n">
        <v>3</v>
      </c>
      <c r="G147" s="76" t="n">
        <v>21000000</v>
      </c>
      <c r="H147" s="76" t="n">
        <v>0</v>
      </c>
      <c r="I147" s="76" t="n">
        <v>17629000</v>
      </c>
      <c r="J147" s="76" t="n">
        <v>3371000</v>
      </c>
      <c r="L147" s="9">
        <f>IF($A147="","",$B147&amp;"|"&amp;$D147)</f>
        <v/>
      </c>
      <c r="M147" s="9">
        <f>IF($A147="","",VALUE($A147&amp;""))</f>
        <v/>
      </c>
      <c r="N147" s="9">
        <f>IF($A147="","",VALUE(SUBSTITUTE(SUBSTITUTE(SUBSTITUTE(UPPER($F147&amp;""),"Q",""),"분기","")," ","")))</f>
        <v/>
      </c>
      <c r="O147" s="77">
        <f>IF($A147="",0,($G147+$H147)*설정!$C$23)</f>
        <v/>
      </c>
      <c r="P147" s="77">
        <f>IF($A147="",0,$I147*설정!$C$23)</f>
        <v/>
      </c>
      <c r="Q147" s="39">
        <f>IF($A147="","",IF(COUNTIF(변동분석!$E$7:$E$506,L147)&gt;0,"Y","N"))</f>
        <v/>
      </c>
      <c r="R147" s="9">
        <f>IF($A147="","",$D147&amp;"")</f>
        <v/>
      </c>
    </row>
    <row r="148">
      <c r="A148" s="75" t="n">
        <v>2026</v>
      </c>
      <c r="B148" s="75" t="inlineStr">
        <is>
          <t>D500</t>
        </is>
      </c>
      <c r="C148" s="75" t="inlineStr">
        <is>
          <t>마케팅팀</t>
        </is>
      </c>
      <c r="D148" s="75" t="n">
        <v>62401000</v>
      </c>
      <c r="E148" s="75" t="inlineStr">
        <is>
          <t>도서인쇄비</t>
        </is>
      </c>
      <c r="F148" s="75" t="n">
        <v>4</v>
      </c>
      <c r="G148" s="76" t="n">
        <v>21000000</v>
      </c>
      <c r="H148" s="76" t="n">
        <v>0</v>
      </c>
      <c r="I148" s="76" t="n">
        <v>0</v>
      </c>
      <c r="J148" s="76" t="n">
        <v>21000000</v>
      </c>
      <c r="L148" s="9">
        <f>IF($A148="","",$B148&amp;"|"&amp;$D148)</f>
        <v/>
      </c>
      <c r="M148" s="9">
        <f>IF($A148="","",VALUE($A148&amp;""))</f>
        <v/>
      </c>
      <c r="N148" s="9">
        <f>IF($A148="","",VALUE(SUBSTITUTE(SUBSTITUTE(SUBSTITUTE(UPPER($F148&amp;""),"Q",""),"분기","")," ","")))</f>
        <v/>
      </c>
      <c r="O148" s="77">
        <f>IF($A148="",0,($G148+$H148)*설정!$C$23)</f>
        <v/>
      </c>
      <c r="P148" s="77">
        <f>IF($A148="",0,$I148*설정!$C$23)</f>
        <v/>
      </c>
      <c r="Q148" s="39">
        <f>IF($A148="","",IF(COUNTIF(변동분석!$E$7:$E$506,L148)&gt;0,"Y","N"))</f>
        <v/>
      </c>
      <c r="R148" s="9">
        <f>IF($A148="","",$D148&amp;"")</f>
        <v/>
      </c>
    </row>
    <row r="149">
      <c r="A149" s="75" t="n">
        <v>2026</v>
      </c>
      <c r="B149" s="75" t="inlineStr">
        <is>
          <t>D500</t>
        </is>
      </c>
      <c r="C149" s="75" t="inlineStr">
        <is>
          <t>마케팅팀</t>
        </is>
      </c>
      <c r="D149" s="75" t="n">
        <v>62501000</v>
      </c>
      <c r="E149" s="75" t="inlineStr">
        <is>
          <t>회의비</t>
        </is>
      </c>
      <c r="F149" s="75" t="n">
        <v>1</v>
      </c>
      <c r="G149" s="76" t="n">
        <v>3600000</v>
      </c>
      <c r="H149" s="76" t="n">
        <v>0</v>
      </c>
      <c r="I149" s="76" t="n">
        <v>3078000</v>
      </c>
      <c r="J149" s="76" t="n">
        <v>522000</v>
      </c>
      <c r="L149" s="9">
        <f>IF($A149="","",$B149&amp;"|"&amp;$D149)</f>
        <v/>
      </c>
      <c r="M149" s="9">
        <f>IF($A149="","",VALUE($A149&amp;""))</f>
        <v/>
      </c>
      <c r="N149" s="9">
        <f>IF($A149="","",VALUE(SUBSTITUTE(SUBSTITUTE(SUBSTITUTE(UPPER($F149&amp;""),"Q",""),"분기","")," ","")))</f>
        <v/>
      </c>
      <c r="O149" s="77">
        <f>IF($A149="",0,($G149+$H149)*설정!$C$23)</f>
        <v/>
      </c>
      <c r="P149" s="77">
        <f>IF($A149="",0,$I149*설정!$C$23)</f>
        <v/>
      </c>
      <c r="Q149" s="39">
        <f>IF($A149="","",IF(COUNTIF(변동분석!$E$7:$E$506,L149)&gt;0,"Y","N"))</f>
        <v/>
      </c>
      <c r="R149" s="9">
        <f>IF($A149="","",$D149&amp;"")</f>
        <v/>
      </c>
    </row>
    <row r="150">
      <c r="A150" s="75" t="n">
        <v>2026</v>
      </c>
      <c r="B150" s="75" t="inlineStr">
        <is>
          <t>D500</t>
        </is>
      </c>
      <c r="C150" s="75" t="inlineStr">
        <is>
          <t>마케팅팀</t>
        </is>
      </c>
      <c r="D150" s="75" t="n">
        <v>62501000</v>
      </c>
      <c r="E150" s="75" t="inlineStr">
        <is>
          <t>회의비</t>
        </is>
      </c>
      <c r="F150" s="75" t="n">
        <v>2</v>
      </c>
      <c r="G150" s="76" t="n">
        <v>3600000</v>
      </c>
      <c r="H150" s="76" t="n">
        <v>0</v>
      </c>
      <c r="I150" s="76" t="n">
        <v>3125000</v>
      </c>
      <c r="J150" s="76" t="n">
        <v>475000</v>
      </c>
      <c r="L150" s="9">
        <f>IF($A150="","",$B150&amp;"|"&amp;$D150)</f>
        <v/>
      </c>
      <c r="M150" s="9">
        <f>IF($A150="","",VALUE($A150&amp;""))</f>
        <v/>
      </c>
      <c r="N150" s="9">
        <f>IF($A150="","",VALUE(SUBSTITUTE(SUBSTITUTE(SUBSTITUTE(UPPER($F150&amp;""),"Q",""),"분기","")," ","")))</f>
        <v/>
      </c>
      <c r="O150" s="77">
        <f>IF($A150="",0,($G150+$H150)*설정!$C$23)</f>
        <v/>
      </c>
      <c r="P150" s="77">
        <f>IF($A150="",0,$I150*설정!$C$23)</f>
        <v/>
      </c>
      <c r="Q150" s="39">
        <f>IF($A150="","",IF(COUNTIF(변동분석!$E$7:$E$506,L150)&gt;0,"Y","N"))</f>
        <v/>
      </c>
      <c r="R150" s="9">
        <f>IF($A150="","",$D150&amp;"")</f>
        <v/>
      </c>
    </row>
    <row r="151">
      <c r="A151" s="75" t="n">
        <v>2026</v>
      </c>
      <c r="B151" s="75" t="inlineStr">
        <is>
          <t>D500</t>
        </is>
      </c>
      <c r="C151" s="75" t="inlineStr">
        <is>
          <t>마케팅팀</t>
        </is>
      </c>
      <c r="D151" s="75" t="n">
        <v>62501000</v>
      </c>
      <c r="E151" s="75" t="inlineStr">
        <is>
          <t>회의비</t>
        </is>
      </c>
      <c r="F151" s="75" t="n">
        <v>3</v>
      </c>
      <c r="G151" s="76" t="n">
        <v>3600000</v>
      </c>
      <c r="H151" s="76" t="n">
        <v>0</v>
      </c>
      <c r="I151" s="76" t="n">
        <v>3041000</v>
      </c>
      <c r="J151" s="76" t="n">
        <v>559000</v>
      </c>
      <c r="L151" s="9">
        <f>IF($A151="","",$B151&amp;"|"&amp;$D151)</f>
        <v/>
      </c>
      <c r="M151" s="9">
        <f>IF($A151="","",VALUE($A151&amp;""))</f>
        <v/>
      </c>
      <c r="N151" s="9">
        <f>IF($A151="","",VALUE(SUBSTITUTE(SUBSTITUTE(SUBSTITUTE(UPPER($F151&amp;""),"Q",""),"분기","")," ","")))</f>
        <v/>
      </c>
      <c r="O151" s="77">
        <f>IF($A151="",0,($G151+$H151)*설정!$C$23)</f>
        <v/>
      </c>
      <c r="P151" s="77">
        <f>IF($A151="",0,$I151*설정!$C$23)</f>
        <v/>
      </c>
      <c r="Q151" s="39">
        <f>IF($A151="","",IF(COUNTIF(변동분석!$E$7:$E$506,L151)&gt;0,"Y","N"))</f>
        <v/>
      </c>
      <c r="R151" s="9">
        <f>IF($A151="","",$D151&amp;"")</f>
        <v/>
      </c>
    </row>
    <row r="152">
      <c r="A152" s="75" t="n">
        <v>2026</v>
      </c>
      <c r="B152" s="75" t="inlineStr">
        <is>
          <t>D500</t>
        </is>
      </c>
      <c r="C152" s="75" t="inlineStr">
        <is>
          <t>마케팅팀</t>
        </is>
      </c>
      <c r="D152" s="75" t="n">
        <v>62501000</v>
      </c>
      <c r="E152" s="75" t="inlineStr">
        <is>
          <t>회의비</t>
        </is>
      </c>
      <c r="F152" s="75" t="n">
        <v>4</v>
      </c>
      <c r="G152" s="76" t="n">
        <v>3600000</v>
      </c>
      <c r="H152" s="76" t="n">
        <v>0</v>
      </c>
      <c r="I152" s="76" t="n">
        <v>0</v>
      </c>
      <c r="J152" s="76" t="n">
        <v>3600000</v>
      </c>
      <c r="L152" s="9">
        <f>IF($A152="","",$B152&amp;"|"&amp;$D152)</f>
        <v/>
      </c>
      <c r="M152" s="9">
        <f>IF($A152="","",VALUE($A152&amp;""))</f>
        <v/>
      </c>
      <c r="N152" s="9">
        <f>IF($A152="","",VALUE(SUBSTITUTE(SUBSTITUTE(SUBSTITUTE(UPPER($F152&amp;""),"Q",""),"분기","")," ","")))</f>
        <v/>
      </c>
      <c r="O152" s="77">
        <f>IF($A152="",0,($G152+$H152)*설정!$C$23)</f>
        <v/>
      </c>
      <c r="P152" s="77">
        <f>IF($A152="",0,$I152*설정!$C$23)</f>
        <v/>
      </c>
      <c r="Q152" s="39">
        <f>IF($A152="","",IF(COUNTIF(변동분석!$E$7:$E$506,L152)&gt;0,"Y","N"))</f>
        <v/>
      </c>
      <c r="R152" s="9">
        <f>IF($A152="","",$D152&amp;"")</f>
        <v/>
      </c>
    </row>
    <row r="153">
      <c r="A153" s="75" t="n">
        <v>2026</v>
      </c>
      <c r="B153" s="75" t="inlineStr">
        <is>
          <t>D500</t>
        </is>
      </c>
      <c r="C153" s="75" t="inlineStr">
        <is>
          <t>마케팅팀</t>
        </is>
      </c>
      <c r="D153" s="75" t="n">
        <v>62601000</v>
      </c>
      <c r="E153" s="75" t="inlineStr">
        <is>
          <t>업무추진비</t>
        </is>
      </c>
      <c r="F153" s="75" t="n">
        <v>1</v>
      </c>
      <c r="G153" s="76" t="n">
        <v>9000000</v>
      </c>
      <c r="H153" s="76" t="n">
        <v>0</v>
      </c>
      <c r="I153" s="76" t="n">
        <v>7823000</v>
      </c>
      <c r="J153" s="76" t="n">
        <v>1177000</v>
      </c>
      <c r="L153" s="9">
        <f>IF($A153="","",$B153&amp;"|"&amp;$D153)</f>
        <v/>
      </c>
      <c r="M153" s="9">
        <f>IF($A153="","",VALUE($A153&amp;""))</f>
        <v/>
      </c>
      <c r="N153" s="9">
        <f>IF($A153="","",VALUE(SUBSTITUTE(SUBSTITUTE(SUBSTITUTE(UPPER($F153&amp;""),"Q",""),"분기","")," ","")))</f>
        <v/>
      </c>
      <c r="O153" s="77">
        <f>IF($A153="",0,($G153+$H153)*설정!$C$23)</f>
        <v/>
      </c>
      <c r="P153" s="77">
        <f>IF($A153="",0,$I153*설정!$C$23)</f>
        <v/>
      </c>
      <c r="Q153" s="39">
        <f>IF($A153="","",IF(COUNTIF(변동분석!$E$7:$E$506,L153)&gt;0,"Y","N"))</f>
        <v/>
      </c>
      <c r="R153" s="9">
        <f>IF($A153="","",$D153&amp;"")</f>
        <v/>
      </c>
    </row>
    <row r="154">
      <c r="A154" s="75" t="n">
        <v>2026</v>
      </c>
      <c r="B154" s="75" t="inlineStr">
        <is>
          <t>D500</t>
        </is>
      </c>
      <c r="C154" s="75" t="inlineStr">
        <is>
          <t>마케팅팀</t>
        </is>
      </c>
      <c r="D154" s="75" t="n">
        <v>62601000</v>
      </c>
      <c r="E154" s="75" t="inlineStr">
        <is>
          <t>업무추진비</t>
        </is>
      </c>
      <c r="F154" s="75" t="n">
        <v>2</v>
      </c>
      <c r="G154" s="76" t="n">
        <v>9000000</v>
      </c>
      <c r="H154" s="76" t="n">
        <v>0</v>
      </c>
      <c r="I154" s="76" t="n">
        <v>8634000</v>
      </c>
      <c r="J154" s="76" t="n">
        <v>366000</v>
      </c>
      <c r="L154" s="9">
        <f>IF($A154="","",$B154&amp;"|"&amp;$D154)</f>
        <v/>
      </c>
      <c r="M154" s="9">
        <f>IF($A154="","",VALUE($A154&amp;""))</f>
        <v/>
      </c>
      <c r="N154" s="9">
        <f>IF($A154="","",VALUE(SUBSTITUTE(SUBSTITUTE(SUBSTITUTE(UPPER($F154&amp;""),"Q",""),"분기","")," ","")))</f>
        <v/>
      </c>
      <c r="O154" s="77">
        <f>IF($A154="",0,($G154+$H154)*설정!$C$23)</f>
        <v/>
      </c>
      <c r="P154" s="77">
        <f>IF($A154="",0,$I154*설정!$C$23)</f>
        <v/>
      </c>
      <c r="Q154" s="39">
        <f>IF($A154="","",IF(COUNTIF(변동분석!$E$7:$E$506,L154)&gt;0,"Y","N"))</f>
        <v/>
      </c>
      <c r="R154" s="9">
        <f>IF($A154="","",$D154&amp;"")</f>
        <v/>
      </c>
    </row>
    <row r="155">
      <c r="A155" s="75" t="n">
        <v>2026</v>
      </c>
      <c r="B155" s="75" t="inlineStr">
        <is>
          <t>D500</t>
        </is>
      </c>
      <c r="C155" s="75" t="inlineStr">
        <is>
          <t>마케팅팀</t>
        </is>
      </c>
      <c r="D155" s="75" t="n">
        <v>62601000</v>
      </c>
      <c r="E155" s="75" t="inlineStr">
        <is>
          <t>업무추진비</t>
        </is>
      </c>
      <c r="F155" s="75" t="n">
        <v>3</v>
      </c>
      <c r="G155" s="76" t="n">
        <v>9000000</v>
      </c>
      <c r="H155" s="76" t="n">
        <v>0</v>
      </c>
      <c r="I155" s="76" t="n">
        <v>8021000</v>
      </c>
      <c r="J155" s="76" t="n">
        <v>979000</v>
      </c>
      <c r="L155" s="9">
        <f>IF($A155="","",$B155&amp;"|"&amp;$D155)</f>
        <v/>
      </c>
      <c r="M155" s="9">
        <f>IF($A155="","",VALUE($A155&amp;""))</f>
        <v/>
      </c>
      <c r="N155" s="9">
        <f>IF($A155="","",VALUE(SUBSTITUTE(SUBSTITUTE(SUBSTITUTE(UPPER($F155&amp;""),"Q",""),"분기","")," ","")))</f>
        <v/>
      </c>
      <c r="O155" s="77">
        <f>IF($A155="",0,($G155+$H155)*설정!$C$23)</f>
        <v/>
      </c>
      <c r="P155" s="77">
        <f>IF($A155="",0,$I155*설정!$C$23)</f>
        <v/>
      </c>
      <c r="Q155" s="39">
        <f>IF($A155="","",IF(COUNTIF(변동분석!$E$7:$E$506,L155)&gt;0,"Y","N"))</f>
        <v/>
      </c>
      <c r="R155" s="9">
        <f>IF($A155="","",$D155&amp;"")</f>
        <v/>
      </c>
    </row>
    <row r="156">
      <c r="A156" s="75" t="n">
        <v>2026</v>
      </c>
      <c r="B156" s="75" t="inlineStr">
        <is>
          <t>D500</t>
        </is>
      </c>
      <c r="C156" s="75" t="inlineStr">
        <is>
          <t>마케팅팀</t>
        </is>
      </c>
      <c r="D156" s="75" t="n">
        <v>62601000</v>
      </c>
      <c r="E156" s="75" t="inlineStr">
        <is>
          <t>업무추진비</t>
        </is>
      </c>
      <c r="F156" s="75" t="n">
        <v>4</v>
      </c>
      <c r="G156" s="76" t="n">
        <v>9000000</v>
      </c>
      <c r="H156" s="76" t="n">
        <v>0</v>
      </c>
      <c r="I156" s="76" t="n">
        <v>0</v>
      </c>
      <c r="J156" s="76" t="n">
        <v>9000000</v>
      </c>
      <c r="L156" s="9">
        <f>IF($A156="","",$B156&amp;"|"&amp;$D156)</f>
        <v/>
      </c>
      <c r="M156" s="9">
        <f>IF($A156="","",VALUE($A156&amp;""))</f>
        <v/>
      </c>
      <c r="N156" s="9">
        <f>IF($A156="","",VALUE(SUBSTITUTE(SUBSTITUTE(SUBSTITUTE(UPPER($F156&amp;""),"Q",""),"분기","")," ","")))</f>
        <v/>
      </c>
      <c r="O156" s="77">
        <f>IF($A156="",0,($G156+$H156)*설정!$C$23)</f>
        <v/>
      </c>
      <c r="P156" s="77">
        <f>IF($A156="",0,$I156*설정!$C$23)</f>
        <v/>
      </c>
      <c r="Q156" s="39">
        <f>IF($A156="","",IF(COUNTIF(변동분석!$E$7:$E$506,L156)&gt;0,"Y","N"))</f>
        <v/>
      </c>
      <c r="R156" s="9">
        <f>IF($A156="","",$D156&amp;"")</f>
        <v/>
      </c>
    </row>
    <row r="157">
      <c r="A157" s="75" t="n">
        <v>2026</v>
      </c>
      <c r="B157" s="75" t="inlineStr">
        <is>
          <t>D500</t>
        </is>
      </c>
      <c r="C157" s="75" t="inlineStr">
        <is>
          <t>마케팅팀</t>
        </is>
      </c>
      <c r="D157" s="75" t="n">
        <v>62701000</v>
      </c>
      <c r="E157" s="75" t="inlineStr">
        <is>
          <t>광고선전비</t>
        </is>
      </c>
      <c r="F157" s="75" t="n">
        <v>1</v>
      </c>
      <c r="G157" s="76" t="n">
        <v>420000000</v>
      </c>
      <c r="H157" s="76" t="n">
        <v>0</v>
      </c>
      <c r="I157" s="76" t="n">
        <v>570000000</v>
      </c>
      <c r="J157" s="76" t="n">
        <v>-150000000</v>
      </c>
      <c r="L157" s="9">
        <f>IF($A157="","",$B157&amp;"|"&amp;$D157)</f>
        <v/>
      </c>
      <c r="M157" s="9">
        <f>IF($A157="","",VALUE($A157&amp;""))</f>
        <v/>
      </c>
      <c r="N157" s="9">
        <f>IF($A157="","",VALUE(SUBSTITUTE(SUBSTITUTE(SUBSTITUTE(UPPER($F157&amp;""),"Q",""),"분기","")," ","")))</f>
        <v/>
      </c>
      <c r="O157" s="77">
        <f>IF($A157="",0,($G157+$H157)*설정!$C$23)</f>
        <v/>
      </c>
      <c r="P157" s="77">
        <f>IF($A157="",0,$I157*설정!$C$23)</f>
        <v/>
      </c>
      <c r="Q157" s="39">
        <f>IF($A157="","",IF(COUNTIF(변동분석!$E$7:$E$506,L157)&gt;0,"Y","N"))</f>
        <v/>
      </c>
      <c r="R157" s="9">
        <f>IF($A157="","",$D157&amp;"")</f>
        <v/>
      </c>
    </row>
    <row r="158">
      <c r="A158" s="75" t="n">
        <v>2026</v>
      </c>
      <c r="B158" s="75" t="inlineStr">
        <is>
          <t>D500</t>
        </is>
      </c>
      <c r="C158" s="75" t="inlineStr">
        <is>
          <t>마케팅팀</t>
        </is>
      </c>
      <c r="D158" s="75" t="n">
        <v>62701000</v>
      </c>
      <c r="E158" s="75" t="inlineStr">
        <is>
          <t>광고선전비</t>
        </is>
      </c>
      <c r="F158" s="75" t="n">
        <v>2</v>
      </c>
      <c r="G158" s="76" t="n">
        <v>450000000</v>
      </c>
      <c r="H158" s="76" t="n">
        <v>0</v>
      </c>
      <c r="I158" s="76" t="n">
        <v>410000000</v>
      </c>
      <c r="J158" s="76" t="n">
        <v>40000000</v>
      </c>
      <c r="L158" s="9">
        <f>IF($A158="","",$B158&amp;"|"&amp;$D158)</f>
        <v/>
      </c>
      <c r="M158" s="9">
        <f>IF($A158="","",VALUE($A158&amp;""))</f>
        <v/>
      </c>
      <c r="N158" s="9">
        <f>IF($A158="","",VALUE(SUBSTITUTE(SUBSTITUTE(SUBSTITUTE(UPPER($F158&amp;""),"Q",""),"분기","")," ","")))</f>
        <v/>
      </c>
      <c r="O158" s="77">
        <f>IF($A158="",0,($G158+$H158)*설정!$C$23)</f>
        <v/>
      </c>
      <c r="P158" s="77">
        <f>IF($A158="",0,$I158*설정!$C$23)</f>
        <v/>
      </c>
      <c r="Q158" s="39">
        <f>IF($A158="","",IF(COUNTIF(변동분석!$E$7:$E$506,L158)&gt;0,"Y","N"))</f>
        <v/>
      </c>
      <c r="R158" s="9">
        <f>IF($A158="","",$D158&amp;"")</f>
        <v/>
      </c>
    </row>
    <row r="159">
      <c r="A159" s="75" t="n">
        <v>2026</v>
      </c>
      <c r="B159" s="75" t="inlineStr">
        <is>
          <t>D500</t>
        </is>
      </c>
      <c r="C159" s="75" t="inlineStr">
        <is>
          <t>마케팅팀</t>
        </is>
      </c>
      <c r="D159" s="75" t="n">
        <v>62701000</v>
      </c>
      <c r="E159" s="75" t="inlineStr">
        <is>
          <t>광고선전비</t>
        </is>
      </c>
      <c r="F159" s="75" t="n">
        <v>3</v>
      </c>
      <c r="G159" s="76" t="n">
        <v>435000000</v>
      </c>
      <c r="H159" s="76" t="n">
        <v>0</v>
      </c>
      <c r="I159" s="76" t="n">
        <v>600001000</v>
      </c>
      <c r="J159" s="76" t="n">
        <v>-165001000</v>
      </c>
      <c r="L159" s="9">
        <f>IF($A159="","",$B159&amp;"|"&amp;$D159)</f>
        <v/>
      </c>
      <c r="M159" s="9">
        <f>IF($A159="","",VALUE($A159&amp;""))</f>
        <v/>
      </c>
      <c r="N159" s="9">
        <f>IF($A159="","",VALUE(SUBSTITUTE(SUBSTITUTE(SUBSTITUTE(UPPER($F159&amp;""),"Q",""),"분기","")," ","")))</f>
        <v/>
      </c>
      <c r="O159" s="77">
        <f>IF($A159="",0,($G159+$H159)*설정!$C$23)</f>
        <v/>
      </c>
      <c r="P159" s="77">
        <f>IF($A159="",0,$I159*설정!$C$23)</f>
        <v/>
      </c>
      <c r="Q159" s="39">
        <f>IF($A159="","",IF(COUNTIF(변동분석!$E$7:$E$506,L159)&gt;0,"Y","N"))</f>
        <v/>
      </c>
      <c r="R159" s="9">
        <f>IF($A159="","",$D159&amp;"")</f>
        <v/>
      </c>
    </row>
    <row r="160">
      <c r="A160" s="75" t="n">
        <v>2026</v>
      </c>
      <c r="B160" s="75" t="inlineStr">
        <is>
          <t>D500</t>
        </is>
      </c>
      <c r="C160" s="75" t="inlineStr">
        <is>
          <t>마케팅팀</t>
        </is>
      </c>
      <c r="D160" s="75" t="n">
        <v>62701000</v>
      </c>
      <c r="E160" s="75" t="inlineStr">
        <is>
          <t>광고선전비</t>
        </is>
      </c>
      <c r="F160" s="75" t="n">
        <v>4</v>
      </c>
      <c r="G160" s="76" t="n">
        <v>495000000</v>
      </c>
      <c r="H160" s="76" t="n">
        <v>0</v>
      </c>
      <c r="I160" s="76" t="n">
        <v>0</v>
      </c>
      <c r="J160" s="76" t="n">
        <v>495000000</v>
      </c>
      <c r="L160" s="9">
        <f>IF($A160="","",$B160&amp;"|"&amp;$D160)</f>
        <v/>
      </c>
      <c r="M160" s="9">
        <f>IF($A160="","",VALUE($A160&amp;""))</f>
        <v/>
      </c>
      <c r="N160" s="9">
        <f>IF($A160="","",VALUE(SUBSTITUTE(SUBSTITUTE(SUBSTITUTE(UPPER($F160&amp;""),"Q",""),"분기","")," ","")))</f>
        <v/>
      </c>
      <c r="O160" s="77">
        <f>IF($A160="",0,($G160+$H160)*설정!$C$23)</f>
        <v/>
      </c>
      <c r="P160" s="77">
        <f>IF($A160="",0,$I160*설정!$C$23)</f>
        <v/>
      </c>
      <c r="Q160" s="39">
        <f>IF($A160="","",IF(COUNTIF(변동분석!$E$7:$E$506,L160)&gt;0,"Y","N"))</f>
        <v/>
      </c>
      <c r="R160" s="9">
        <f>IF($A160="","",$D160&amp;"")</f>
        <v/>
      </c>
    </row>
    <row r="161">
      <c r="A161" s="75" t="n">
        <v>2026</v>
      </c>
      <c r="B161" s="75" t="inlineStr">
        <is>
          <t>D600</t>
        </is>
      </c>
      <c r="C161" s="75" t="inlineStr">
        <is>
          <t>영업지원팀</t>
        </is>
      </c>
      <c r="D161" s="75" t="n">
        <v>62101000</v>
      </c>
      <c r="E161" s="75" t="inlineStr">
        <is>
          <t>여비교통비-국내</t>
        </is>
      </c>
      <c r="F161" s="75" t="n">
        <v>1</v>
      </c>
      <c r="G161" s="76" t="n">
        <v>20400000</v>
      </c>
      <c r="H161" s="76" t="n">
        <v>0</v>
      </c>
      <c r="I161" s="76" t="n">
        <v>16699000</v>
      </c>
      <c r="J161" s="76" t="n">
        <v>3701000</v>
      </c>
      <c r="L161" s="9">
        <f>IF($A161="","",$B161&amp;"|"&amp;$D161)</f>
        <v/>
      </c>
      <c r="M161" s="9">
        <f>IF($A161="","",VALUE($A161&amp;""))</f>
        <v/>
      </c>
      <c r="N161" s="9">
        <f>IF($A161="","",VALUE(SUBSTITUTE(SUBSTITUTE(SUBSTITUTE(UPPER($F161&amp;""),"Q",""),"분기","")," ","")))</f>
        <v/>
      </c>
      <c r="O161" s="77">
        <f>IF($A161="",0,($G161+$H161)*설정!$C$23)</f>
        <v/>
      </c>
      <c r="P161" s="77">
        <f>IF($A161="",0,$I161*설정!$C$23)</f>
        <v/>
      </c>
      <c r="Q161" s="39">
        <f>IF($A161="","",IF(COUNTIF(변동분석!$E$7:$E$506,L161)&gt;0,"Y","N"))</f>
        <v/>
      </c>
      <c r="R161" s="9">
        <f>IF($A161="","",$D161&amp;"")</f>
        <v/>
      </c>
    </row>
    <row r="162">
      <c r="A162" s="75" t="n">
        <v>2026</v>
      </c>
      <c r="B162" s="75" t="inlineStr">
        <is>
          <t>D600</t>
        </is>
      </c>
      <c r="C162" s="75" t="inlineStr">
        <is>
          <t>영업지원팀</t>
        </is>
      </c>
      <c r="D162" s="75" t="n">
        <v>62101000</v>
      </c>
      <c r="E162" s="75" t="inlineStr">
        <is>
          <t>여비교통비-국내</t>
        </is>
      </c>
      <c r="F162" s="75" t="n">
        <v>2</v>
      </c>
      <c r="G162" s="76" t="n">
        <v>20400000</v>
      </c>
      <c r="H162" s="76" t="n">
        <v>0</v>
      </c>
      <c r="I162" s="76" t="n">
        <v>17220000</v>
      </c>
      <c r="J162" s="76" t="n">
        <v>3180000</v>
      </c>
      <c r="L162" s="9">
        <f>IF($A162="","",$B162&amp;"|"&amp;$D162)</f>
        <v/>
      </c>
      <c r="M162" s="9">
        <f>IF($A162="","",VALUE($A162&amp;""))</f>
        <v/>
      </c>
      <c r="N162" s="9">
        <f>IF($A162="","",VALUE(SUBSTITUTE(SUBSTITUTE(SUBSTITUTE(UPPER($F162&amp;""),"Q",""),"분기","")," ","")))</f>
        <v/>
      </c>
      <c r="O162" s="77">
        <f>IF($A162="",0,($G162+$H162)*설정!$C$23)</f>
        <v/>
      </c>
      <c r="P162" s="77">
        <f>IF($A162="",0,$I162*설정!$C$23)</f>
        <v/>
      </c>
      <c r="Q162" s="39">
        <f>IF($A162="","",IF(COUNTIF(변동분석!$E$7:$E$506,L162)&gt;0,"Y","N"))</f>
        <v/>
      </c>
      <c r="R162" s="9">
        <f>IF($A162="","",$D162&amp;"")</f>
        <v/>
      </c>
    </row>
    <row r="163">
      <c r="A163" s="75" t="n">
        <v>2026</v>
      </c>
      <c r="B163" s="75" t="inlineStr">
        <is>
          <t>D600</t>
        </is>
      </c>
      <c r="C163" s="75" t="inlineStr">
        <is>
          <t>영업지원팀</t>
        </is>
      </c>
      <c r="D163" s="75" t="n">
        <v>62101000</v>
      </c>
      <c r="E163" s="75" t="inlineStr">
        <is>
          <t>여비교통비-국내</t>
        </is>
      </c>
      <c r="F163" s="75" t="n">
        <v>3</v>
      </c>
      <c r="G163" s="76" t="n">
        <v>20400000</v>
      </c>
      <c r="H163" s="76" t="n">
        <v>0</v>
      </c>
      <c r="I163" s="76" t="n">
        <v>16124000</v>
      </c>
      <c r="J163" s="76" t="n">
        <v>4276000</v>
      </c>
      <c r="L163" s="9">
        <f>IF($A163="","",$B163&amp;"|"&amp;$D163)</f>
        <v/>
      </c>
      <c r="M163" s="9">
        <f>IF($A163="","",VALUE($A163&amp;""))</f>
        <v/>
      </c>
      <c r="N163" s="9">
        <f>IF($A163="","",VALUE(SUBSTITUTE(SUBSTITUTE(SUBSTITUTE(UPPER($F163&amp;""),"Q",""),"분기","")," ","")))</f>
        <v/>
      </c>
      <c r="O163" s="77">
        <f>IF($A163="",0,($G163+$H163)*설정!$C$23)</f>
        <v/>
      </c>
      <c r="P163" s="77">
        <f>IF($A163="",0,$I163*설정!$C$23)</f>
        <v/>
      </c>
      <c r="Q163" s="39">
        <f>IF($A163="","",IF(COUNTIF(변동분석!$E$7:$E$506,L163)&gt;0,"Y","N"))</f>
        <v/>
      </c>
      <c r="R163" s="9">
        <f>IF($A163="","",$D163&amp;"")</f>
        <v/>
      </c>
    </row>
    <row r="164">
      <c r="A164" s="75" t="n">
        <v>2026</v>
      </c>
      <c r="B164" s="75" t="inlineStr">
        <is>
          <t>D600</t>
        </is>
      </c>
      <c r="C164" s="75" t="inlineStr">
        <is>
          <t>영업지원팀</t>
        </is>
      </c>
      <c r="D164" s="75" t="n">
        <v>62101000</v>
      </c>
      <c r="E164" s="75" t="inlineStr">
        <is>
          <t>여비교통비-국내</t>
        </is>
      </c>
      <c r="F164" s="75" t="n">
        <v>4</v>
      </c>
      <c r="G164" s="76" t="n">
        <v>20400000</v>
      </c>
      <c r="H164" s="76" t="n">
        <v>0</v>
      </c>
      <c r="I164" s="76" t="n">
        <v>0</v>
      </c>
      <c r="J164" s="76" t="n">
        <v>20400000</v>
      </c>
      <c r="L164" s="9">
        <f>IF($A164="","",$B164&amp;"|"&amp;$D164)</f>
        <v/>
      </c>
      <c r="M164" s="9">
        <f>IF($A164="","",VALUE($A164&amp;""))</f>
        <v/>
      </c>
      <c r="N164" s="9">
        <f>IF($A164="","",VALUE(SUBSTITUTE(SUBSTITUTE(SUBSTITUTE(UPPER($F164&amp;""),"Q",""),"분기","")," ","")))</f>
        <v/>
      </c>
      <c r="O164" s="77">
        <f>IF($A164="",0,($G164+$H164)*설정!$C$23)</f>
        <v/>
      </c>
      <c r="P164" s="77">
        <f>IF($A164="",0,$I164*설정!$C$23)</f>
        <v/>
      </c>
      <c r="Q164" s="39">
        <f>IF($A164="","",IF(COUNTIF(변동분석!$E$7:$E$506,L164)&gt;0,"Y","N"))</f>
        <v/>
      </c>
      <c r="R164" s="9">
        <f>IF($A164="","",$D164&amp;"")</f>
        <v/>
      </c>
    </row>
    <row r="165">
      <c r="A165" s="75" t="n">
        <v>2026</v>
      </c>
      <c r="B165" s="75" t="inlineStr">
        <is>
          <t>D600</t>
        </is>
      </c>
      <c r="C165" s="75" t="inlineStr">
        <is>
          <t>영업지원팀</t>
        </is>
      </c>
      <c r="D165" s="75" t="n">
        <v>62102000</v>
      </c>
      <c r="E165" s="75" t="inlineStr">
        <is>
          <t>여비교통비-해외</t>
        </is>
      </c>
      <c r="F165" s="75" t="n">
        <v>1</v>
      </c>
      <c r="G165" s="76" t="n">
        <v>3600000</v>
      </c>
      <c r="H165" s="76" t="n">
        <v>0</v>
      </c>
      <c r="I165" s="76" t="n">
        <v>3084000</v>
      </c>
      <c r="J165" s="76" t="n">
        <v>516000</v>
      </c>
      <c r="L165" s="9">
        <f>IF($A165="","",$B165&amp;"|"&amp;$D165)</f>
        <v/>
      </c>
      <c r="M165" s="9">
        <f>IF($A165="","",VALUE($A165&amp;""))</f>
        <v/>
      </c>
      <c r="N165" s="9">
        <f>IF($A165="","",VALUE(SUBSTITUTE(SUBSTITUTE(SUBSTITUTE(UPPER($F165&amp;""),"Q",""),"분기","")," ","")))</f>
        <v/>
      </c>
      <c r="O165" s="77">
        <f>IF($A165="",0,($G165+$H165)*설정!$C$23)</f>
        <v/>
      </c>
      <c r="P165" s="77">
        <f>IF($A165="",0,$I165*설정!$C$23)</f>
        <v/>
      </c>
      <c r="Q165" s="39">
        <f>IF($A165="","",IF(COUNTIF(변동분석!$E$7:$E$506,L165)&gt;0,"Y","N"))</f>
        <v/>
      </c>
      <c r="R165" s="9">
        <f>IF($A165="","",$D165&amp;"")</f>
        <v/>
      </c>
    </row>
    <row r="166">
      <c r="A166" s="75" t="n">
        <v>2026</v>
      </c>
      <c r="B166" s="75" t="inlineStr">
        <is>
          <t>D600</t>
        </is>
      </c>
      <c r="C166" s="75" t="inlineStr">
        <is>
          <t>영업지원팀</t>
        </is>
      </c>
      <c r="D166" s="75" t="n">
        <v>62102000</v>
      </c>
      <c r="E166" s="75" t="inlineStr">
        <is>
          <t>여비교통비-해외</t>
        </is>
      </c>
      <c r="F166" s="75" t="n">
        <v>2</v>
      </c>
      <c r="G166" s="76" t="n">
        <v>3600000</v>
      </c>
      <c r="H166" s="76" t="n">
        <v>0</v>
      </c>
      <c r="I166" s="76" t="n">
        <v>2977000</v>
      </c>
      <c r="J166" s="76" t="n">
        <v>623000</v>
      </c>
      <c r="L166" s="9">
        <f>IF($A166="","",$B166&amp;"|"&amp;$D166)</f>
        <v/>
      </c>
      <c r="M166" s="9">
        <f>IF($A166="","",VALUE($A166&amp;""))</f>
        <v/>
      </c>
      <c r="N166" s="9">
        <f>IF($A166="","",VALUE(SUBSTITUTE(SUBSTITUTE(SUBSTITUTE(UPPER($F166&amp;""),"Q",""),"분기","")," ","")))</f>
        <v/>
      </c>
      <c r="O166" s="77">
        <f>IF($A166="",0,($G166+$H166)*설정!$C$23)</f>
        <v/>
      </c>
      <c r="P166" s="77">
        <f>IF($A166="",0,$I166*설정!$C$23)</f>
        <v/>
      </c>
      <c r="Q166" s="39">
        <f>IF($A166="","",IF(COUNTIF(변동분석!$E$7:$E$506,L166)&gt;0,"Y","N"))</f>
        <v/>
      </c>
      <c r="R166" s="9">
        <f>IF($A166="","",$D166&amp;"")</f>
        <v/>
      </c>
    </row>
    <row r="167">
      <c r="A167" s="75" t="n">
        <v>2026</v>
      </c>
      <c r="B167" s="75" t="inlineStr">
        <is>
          <t>D600</t>
        </is>
      </c>
      <c r="C167" s="75" t="inlineStr">
        <is>
          <t>영업지원팀</t>
        </is>
      </c>
      <c r="D167" s="75" t="n">
        <v>62102000</v>
      </c>
      <c r="E167" s="75" t="inlineStr">
        <is>
          <t>여비교통비-해외</t>
        </is>
      </c>
      <c r="F167" s="75" t="n">
        <v>3</v>
      </c>
      <c r="G167" s="76" t="n">
        <v>3600000</v>
      </c>
      <c r="H167" s="76" t="n">
        <v>0</v>
      </c>
      <c r="I167" s="76" t="n">
        <v>2896000</v>
      </c>
      <c r="J167" s="76" t="n">
        <v>704000</v>
      </c>
      <c r="L167" s="9">
        <f>IF($A167="","",$B167&amp;"|"&amp;$D167)</f>
        <v/>
      </c>
      <c r="M167" s="9">
        <f>IF($A167="","",VALUE($A167&amp;""))</f>
        <v/>
      </c>
      <c r="N167" s="9">
        <f>IF($A167="","",VALUE(SUBSTITUTE(SUBSTITUTE(SUBSTITUTE(UPPER($F167&amp;""),"Q",""),"분기","")," ","")))</f>
        <v/>
      </c>
      <c r="O167" s="77">
        <f>IF($A167="",0,($G167+$H167)*설정!$C$23)</f>
        <v/>
      </c>
      <c r="P167" s="77">
        <f>IF($A167="",0,$I167*설정!$C$23)</f>
        <v/>
      </c>
      <c r="Q167" s="39">
        <f>IF($A167="","",IF(COUNTIF(변동분석!$E$7:$E$506,L167)&gt;0,"Y","N"))</f>
        <v/>
      </c>
      <c r="R167" s="9">
        <f>IF($A167="","",$D167&amp;"")</f>
        <v/>
      </c>
    </row>
    <row r="168">
      <c r="A168" s="75" t="n">
        <v>2026</v>
      </c>
      <c r="B168" s="75" t="inlineStr">
        <is>
          <t>D600</t>
        </is>
      </c>
      <c r="C168" s="75" t="inlineStr">
        <is>
          <t>영업지원팀</t>
        </is>
      </c>
      <c r="D168" s="75" t="n">
        <v>62102000</v>
      </c>
      <c r="E168" s="75" t="inlineStr">
        <is>
          <t>여비교통비-해외</t>
        </is>
      </c>
      <c r="F168" s="75" t="n">
        <v>4</v>
      </c>
      <c r="G168" s="76" t="n">
        <v>3600000</v>
      </c>
      <c r="H168" s="76" t="n">
        <v>0</v>
      </c>
      <c r="I168" s="76" t="n">
        <v>0</v>
      </c>
      <c r="J168" s="76" t="n">
        <v>3600000</v>
      </c>
      <c r="L168" s="9">
        <f>IF($A168="","",$B168&amp;"|"&amp;$D168)</f>
        <v/>
      </c>
      <c r="M168" s="9">
        <f>IF($A168="","",VALUE($A168&amp;""))</f>
        <v/>
      </c>
      <c r="N168" s="9">
        <f>IF($A168="","",VALUE(SUBSTITUTE(SUBSTITUTE(SUBSTITUTE(UPPER($F168&amp;""),"Q",""),"분기","")," ","")))</f>
        <v/>
      </c>
      <c r="O168" s="77">
        <f>IF($A168="",0,($G168+$H168)*설정!$C$23)</f>
        <v/>
      </c>
      <c r="P168" s="77">
        <f>IF($A168="",0,$I168*설정!$C$23)</f>
        <v/>
      </c>
      <c r="Q168" s="39">
        <f>IF($A168="","",IF(COUNTIF(변동분석!$E$7:$E$506,L168)&gt;0,"Y","N"))</f>
        <v/>
      </c>
      <c r="R168" s="9">
        <f>IF($A168="","",$D168&amp;"")</f>
        <v/>
      </c>
    </row>
    <row r="169">
      <c r="A169" s="75" t="n">
        <v>2026</v>
      </c>
      <c r="B169" s="75" t="inlineStr">
        <is>
          <t>D600</t>
        </is>
      </c>
      <c r="C169" s="75" t="inlineStr">
        <is>
          <t>영업지원팀</t>
        </is>
      </c>
      <c r="D169" s="75" t="n">
        <v>62201000</v>
      </c>
      <c r="E169" s="75" t="inlineStr">
        <is>
          <t>통신비</t>
        </is>
      </c>
      <c r="F169" s="75" t="n">
        <v>1</v>
      </c>
      <c r="G169" s="76" t="n">
        <v>6600000</v>
      </c>
      <c r="H169" s="76" t="n">
        <v>0</v>
      </c>
      <c r="I169" s="76" t="n">
        <v>6060000</v>
      </c>
      <c r="J169" s="76" t="n">
        <v>540000</v>
      </c>
      <c r="L169" s="9">
        <f>IF($A169="","",$B169&amp;"|"&amp;$D169)</f>
        <v/>
      </c>
      <c r="M169" s="9">
        <f>IF($A169="","",VALUE($A169&amp;""))</f>
        <v/>
      </c>
      <c r="N169" s="9">
        <f>IF($A169="","",VALUE(SUBSTITUTE(SUBSTITUTE(SUBSTITUTE(UPPER($F169&amp;""),"Q",""),"분기","")," ","")))</f>
        <v/>
      </c>
      <c r="O169" s="77">
        <f>IF($A169="",0,($G169+$H169)*설정!$C$23)</f>
        <v/>
      </c>
      <c r="P169" s="77">
        <f>IF($A169="",0,$I169*설정!$C$23)</f>
        <v/>
      </c>
      <c r="Q169" s="39">
        <f>IF($A169="","",IF(COUNTIF(변동분석!$E$7:$E$506,L169)&gt;0,"Y","N"))</f>
        <v/>
      </c>
      <c r="R169" s="9">
        <f>IF($A169="","",$D169&amp;"")</f>
        <v/>
      </c>
    </row>
    <row r="170">
      <c r="A170" s="75" t="n">
        <v>2026</v>
      </c>
      <c r="B170" s="75" t="inlineStr">
        <is>
          <t>D600</t>
        </is>
      </c>
      <c r="C170" s="75" t="inlineStr">
        <is>
          <t>영업지원팀</t>
        </is>
      </c>
      <c r="D170" s="75" t="n">
        <v>62201000</v>
      </c>
      <c r="E170" s="75" t="inlineStr">
        <is>
          <t>통신비</t>
        </is>
      </c>
      <c r="F170" s="75" t="n">
        <v>2</v>
      </c>
      <c r="G170" s="76" t="n">
        <v>6600000</v>
      </c>
      <c r="H170" s="76" t="n">
        <v>0</v>
      </c>
      <c r="I170" s="76" t="n">
        <v>5853000</v>
      </c>
      <c r="J170" s="76" t="n">
        <v>747000</v>
      </c>
      <c r="L170" s="9">
        <f>IF($A170="","",$B170&amp;"|"&amp;$D170)</f>
        <v/>
      </c>
      <c r="M170" s="9">
        <f>IF($A170="","",VALUE($A170&amp;""))</f>
        <v/>
      </c>
      <c r="N170" s="9">
        <f>IF($A170="","",VALUE(SUBSTITUTE(SUBSTITUTE(SUBSTITUTE(UPPER($F170&amp;""),"Q",""),"분기","")," ","")))</f>
        <v/>
      </c>
      <c r="O170" s="77">
        <f>IF($A170="",0,($G170+$H170)*설정!$C$23)</f>
        <v/>
      </c>
      <c r="P170" s="77">
        <f>IF($A170="",0,$I170*설정!$C$23)</f>
        <v/>
      </c>
      <c r="Q170" s="39">
        <f>IF($A170="","",IF(COUNTIF(변동분석!$E$7:$E$506,L170)&gt;0,"Y","N"))</f>
        <v/>
      </c>
      <c r="R170" s="9">
        <f>IF($A170="","",$D170&amp;"")</f>
        <v/>
      </c>
    </row>
    <row r="171">
      <c r="A171" s="75" t="n">
        <v>2026</v>
      </c>
      <c r="B171" s="75" t="inlineStr">
        <is>
          <t>D600</t>
        </is>
      </c>
      <c r="C171" s="75" t="inlineStr">
        <is>
          <t>영업지원팀</t>
        </is>
      </c>
      <c r="D171" s="75" t="n">
        <v>62201000</v>
      </c>
      <c r="E171" s="75" t="inlineStr">
        <is>
          <t>통신비</t>
        </is>
      </c>
      <c r="F171" s="75" t="n">
        <v>3</v>
      </c>
      <c r="G171" s="76" t="n">
        <v>6600000</v>
      </c>
      <c r="H171" s="76" t="n">
        <v>0</v>
      </c>
      <c r="I171" s="76" t="n">
        <v>5661000</v>
      </c>
      <c r="J171" s="76" t="n">
        <v>939000</v>
      </c>
      <c r="L171" s="9">
        <f>IF($A171="","",$B171&amp;"|"&amp;$D171)</f>
        <v/>
      </c>
      <c r="M171" s="9">
        <f>IF($A171="","",VALUE($A171&amp;""))</f>
        <v/>
      </c>
      <c r="N171" s="9">
        <f>IF($A171="","",VALUE(SUBSTITUTE(SUBSTITUTE(SUBSTITUTE(UPPER($F171&amp;""),"Q",""),"분기","")," ","")))</f>
        <v/>
      </c>
      <c r="O171" s="77">
        <f>IF($A171="",0,($G171+$H171)*설정!$C$23)</f>
        <v/>
      </c>
      <c r="P171" s="77">
        <f>IF($A171="",0,$I171*설정!$C$23)</f>
        <v/>
      </c>
      <c r="Q171" s="39">
        <f>IF($A171="","",IF(COUNTIF(변동분석!$E$7:$E$506,L171)&gt;0,"Y","N"))</f>
        <v/>
      </c>
      <c r="R171" s="9">
        <f>IF($A171="","",$D171&amp;"")</f>
        <v/>
      </c>
    </row>
    <row r="172">
      <c r="A172" s="75" t="n">
        <v>2026</v>
      </c>
      <c r="B172" s="75" t="inlineStr">
        <is>
          <t>D600</t>
        </is>
      </c>
      <c r="C172" s="75" t="inlineStr">
        <is>
          <t>영업지원팀</t>
        </is>
      </c>
      <c r="D172" s="75" t="n">
        <v>62201000</v>
      </c>
      <c r="E172" s="75" t="inlineStr">
        <is>
          <t>통신비</t>
        </is>
      </c>
      <c r="F172" s="75" t="n">
        <v>4</v>
      </c>
      <c r="G172" s="76" t="n">
        <v>6600000</v>
      </c>
      <c r="H172" s="76" t="n">
        <v>0</v>
      </c>
      <c r="I172" s="76" t="n">
        <v>0</v>
      </c>
      <c r="J172" s="76" t="n">
        <v>6600000</v>
      </c>
      <c r="L172" s="9">
        <f>IF($A172="","",$B172&amp;"|"&amp;$D172)</f>
        <v/>
      </c>
      <c r="M172" s="9">
        <f>IF($A172="","",VALUE($A172&amp;""))</f>
        <v/>
      </c>
      <c r="N172" s="9">
        <f>IF($A172="","",VALUE(SUBSTITUTE(SUBSTITUTE(SUBSTITUTE(UPPER($F172&amp;""),"Q",""),"분기","")," ","")))</f>
        <v/>
      </c>
      <c r="O172" s="77">
        <f>IF($A172="",0,($G172+$H172)*설정!$C$23)</f>
        <v/>
      </c>
      <c r="P172" s="77">
        <f>IF($A172="",0,$I172*설정!$C$23)</f>
        <v/>
      </c>
      <c r="Q172" s="39">
        <f>IF($A172="","",IF(COUNTIF(변동분석!$E$7:$E$506,L172)&gt;0,"Y","N"))</f>
        <v/>
      </c>
      <c r="R172" s="9">
        <f>IF($A172="","",$D172&amp;"")</f>
        <v/>
      </c>
    </row>
    <row r="173">
      <c r="A173" s="75" t="n">
        <v>2026</v>
      </c>
      <c r="B173" s="75" t="inlineStr">
        <is>
          <t>D600</t>
        </is>
      </c>
      <c r="C173" s="75" t="inlineStr">
        <is>
          <t>영업지원팀</t>
        </is>
      </c>
      <c r="D173" s="75" t="n">
        <v>62301000</v>
      </c>
      <c r="E173" s="75" t="inlineStr">
        <is>
          <t>소모품비</t>
        </is>
      </c>
      <c r="F173" s="75" t="n">
        <v>1</v>
      </c>
      <c r="G173" s="76" t="n">
        <v>3600000</v>
      </c>
      <c r="H173" s="76" t="n">
        <v>0</v>
      </c>
      <c r="I173" s="76" t="n">
        <v>2846000</v>
      </c>
      <c r="J173" s="76" t="n">
        <v>754000</v>
      </c>
      <c r="L173" s="9">
        <f>IF($A173="","",$B173&amp;"|"&amp;$D173)</f>
        <v/>
      </c>
      <c r="M173" s="9">
        <f>IF($A173="","",VALUE($A173&amp;""))</f>
        <v/>
      </c>
      <c r="N173" s="9">
        <f>IF($A173="","",VALUE(SUBSTITUTE(SUBSTITUTE(SUBSTITUTE(UPPER($F173&amp;""),"Q",""),"분기","")," ","")))</f>
        <v/>
      </c>
      <c r="O173" s="77">
        <f>IF($A173="",0,($G173+$H173)*설정!$C$23)</f>
        <v/>
      </c>
      <c r="P173" s="77">
        <f>IF($A173="",0,$I173*설정!$C$23)</f>
        <v/>
      </c>
      <c r="Q173" s="39">
        <f>IF($A173="","",IF(COUNTIF(변동분석!$E$7:$E$506,L173)&gt;0,"Y","N"))</f>
        <v/>
      </c>
      <c r="R173" s="9">
        <f>IF($A173="","",$D173&amp;"")</f>
        <v/>
      </c>
    </row>
    <row r="174">
      <c r="A174" s="75" t="n">
        <v>2026</v>
      </c>
      <c r="B174" s="75" t="inlineStr">
        <is>
          <t>D600</t>
        </is>
      </c>
      <c r="C174" s="75" t="inlineStr">
        <is>
          <t>영업지원팀</t>
        </is>
      </c>
      <c r="D174" s="75" t="n">
        <v>62301000</v>
      </c>
      <c r="E174" s="75" t="inlineStr">
        <is>
          <t>소모품비</t>
        </is>
      </c>
      <c r="F174" s="75" t="n">
        <v>2</v>
      </c>
      <c r="G174" s="76" t="n">
        <v>3600000</v>
      </c>
      <c r="H174" s="76" t="n">
        <v>0</v>
      </c>
      <c r="I174" s="76" t="n">
        <v>3186000</v>
      </c>
      <c r="J174" s="76" t="n">
        <v>414000</v>
      </c>
      <c r="L174" s="9">
        <f>IF($A174="","",$B174&amp;"|"&amp;$D174)</f>
        <v/>
      </c>
      <c r="M174" s="9">
        <f>IF($A174="","",VALUE($A174&amp;""))</f>
        <v/>
      </c>
      <c r="N174" s="9">
        <f>IF($A174="","",VALUE(SUBSTITUTE(SUBSTITUTE(SUBSTITUTE(UPPER($F174&amp;""),"Q",""),"분기","")," ","")))</f>
        <v/>
      </c>
      <c r="O174" s="77">
        <f>IF($A174="",0,($G174+$H174)*설정!$C$23)</f>
        <v/>
      </c>
      <c r="P174" s="77">
        <f>IF($A174="",0,$I174*설정!$C$23)</f>
        <v/>
      </c>
      <c r="Q174" s="39">
        <f>IF($A174="","",IF(COUNTIF(변동분석!$E$7:$E$506,L174)&gt;0,"Y","N"))</f>
        <v/>
      </c>
      <c r="R174" s="9">
        <f>IF($A174="","",$D174&amp;"")</f>
        <v/>
      </c>
    </row>
    <row r="175">
      <c r="A175" s="75" t="n">
        <v>2026</v>
      </c>
      <c r="B175" s="75" t="inlineStr">
        <is>
          <t>D600</t>
        </is>
      </c>
      <c r="C175" s="75" t="inlineStr">
        <is>
          <t>영업지원팀</t>
        </is>
      </c>
      <c r="D175" s="75" t="n">
        <v>62301000</v>
      </c>
      <c r="E175" s="75" t="inlineStr">
        <is>
          <t>소모품비</t>
        </is>
      </c>
      <c r="F175" s="75" t="n">
        <v>3</v>
      </c>
      <c r="G175" s="76" t="n">
        <v>3600000</v>
      </c>
      <c r="H175" s="76" t="n">
        <v>0</v>
      </c>
      <c r="I175" s="76" t="n">
        <v>2838000</v>
      </c>
      <c r="J175" s="76" t="n">
        <v>762000</v>
      </c>
      <c r="L175" s="9">
        <f>IF($A175="","",$B175&amp;"|"&amp;$D175)</f>
        <v/>
      </c>
      <c r="M175" s="9">
        <f>IF($A175="","",VALUE($A175&amp;""))</f>
        <v/>
      </c>
      <c r="N175" s="9">
        <f>IF($A175="","",VALUE(SUBSTITUTE(SUBSTITUTE(SUBSTITUTE(UPPER($F175&amp;""),"Q",""),"분기","")," ","")))</f>
        <v/>
      </c>
      <c r="O175" s="77">
        <f>IF($A175="",0,($G175+$H175)*설정!$C$23)</f>
        <v/>
      </c>
      <c r="P175" s="77">
        <f>IF($A175="",0,$I175*설정!$C$23)</f>
        <v/>
      </c>
      <c r="Q175" s="39">
        <f>IF($A175="","",IF(COUNTIF(변동분석!$E$7:$E$506,L175)&gt;0,"Y","N"))</f>
        <v/>
      </c>
      <c r="R175" s="9">
        <f>IF($A175="","",$D175&amp;"")</f>
        <v/>
      </c>
    </row>
    <row r="176">
      <c r="A176" s="75" t="n">
        <v>2026</v>
      </c>
      <c r="B176" s="75" t="inlineStr">
        <is>
          <t>D600</t>
        </is>
      </c>
      <c r="C176" s="75" t="inlineStr">
        <is>
          <t>영업지원팀</t>
        </is>
      </c>
      <c r="D176" s="75" t="n">
        <v>62301000</v>
      </c>
      <c r="E176" s="75" t="inlineStr">
        <is>
          <t>소모품비</t>
        </is>
      </c>
      <c r="F176" s="75" t="n">
        <v>4</v>
      </c>
      <c r="G176" s="76" t="n">
        <v>3600000</v>
      </c>
      <c r="H176" s="76" t="n">
        <v>0</v>
      </c>
      <c r="I176" s="76" t="n">
        <v>0</v>
      </c>
      <c r="J176" s="76" t="n">
        <v>3600000</v>
      </c>
      <c r="L176" s="9">
        <f>IF($A176="","",$B176&amp;"|"&amp;$D176)</f>
        <v/>
      </c>
      <c r="M176" s="9">
        <f>IF($A176="","",VALUE($A176&amp;""))</f>
        <v/>
      </c>
      <c r="N176" s="9">
        <f>IF($A176="","",VALUE(SUBSTITUTE(SUBSTITUTE(SUBSTITUTE(UPPER($F176&amp;""),"Q",""),"분기","")," ","")))</f>
        <v/>
      </c>
      <c r="O176" s="77">
        <f>IF($A176="",0,($G176+$H176)*설정!$C$23)</f>
        <v/>
      </c>
      <c r="P176" s="77">
        <f>IF($A176="",0,$I176*설정!$C$23)</f>
        <v/>
      </c>
      <c r="Q176" s="39">
        <f>IF($A176="","",IF(COUNTIF(변동분석!$E$7:$E$506,L176)&gt;0,"Y","N"))</f>
        <v/>
      </c>
      <c r="R176" s="9">
        <f>IF($A176="","",$D176&amp;"")</f>
        <v/>
      </c>
    </row>
    <row r="177">
      <c r="A177" s="75" t="n">
        <v>2026</v>
      </c>
      <c r="B177" s="75" t="inlineStr">
        <is>
          <t>D600</t>
        </is>
      </c>
      <c r="C177" s="75" t="inlineStr">
        <is>
          <t>영업지원팀</t>
        </is>
      </c>
      <c r="D177" s="75" t="n">
        <v>62501000</v>
      </c>
      <c r="E177" s="75" t="inlineStr">
        <is>
          <t>회의비</t>
        </is>
      </c>
      <c r="F177" s="75" t="n">
        <v>1</v>
      </c>
      <c r="G177" s="76" t="n">
        <v>4500000</v>
      </c>
      <c r="H177" s="76" t="n">
        <v>0</v>
      </c>
      <c r="I177" s="76" t="n">
        <v>3898000</v>
      </c>
      <c r="J177" s="76" t="n">
        <v>602000</v>
      </c>
      <c r="L177" s="9">
        <f>IF($A177="","",$B177&amp;"|"&amp;$D177)</f>
        <v/>
      </c>
      <c r="M177" s="9">
        <f>IF($A177="","",VALUE($A177&amp;""))</f>
        <v/>
      </c>
      <c r="N177" s="9">
        <f>IF($A177="","",VALUE(SUBSTITUTE(SUBSTITUTE(SUBSTITUTE(UPPER($F177&amp;""),"Q",""),"분기","")," ","")))</f>
        <v/>
      </c>
      <c r="O177" s="77">
        <f>IF($A177="",0,($G177+$H177)*설정!$C$23)</f>
        <v/>
      </c>
      <c r="P177" s="77">
        <f>IF($A177="",0,$I177*설정!$C$23)</f>
        <v/>
      </c>
      <c r="Q177" s="39">
        <f>IF($A177="","",IF(COUNTIF(변동분석!$E$7:$E$506,L177)&gt;0,"Y","N"))</f>
        <v/>
      </c>
      <c r="R177" s="9">
        <f>IF($A177="","",$D177&amp;"")</f>
        <v/>
      </c>
    </row>
    <row r="178">
      <c r="A178" s="75" t="n">
        <v>2026</v>
      </c>
      <c r="B178" s="75" t="inlineStr">
        <is>
          <t>D600</t>
        </is>
      </c>
      <c r="C178" s="75" t="inlineStr">
        <is>
          <t>영업지원팀</t>
        </is>
      </c>
      <c r="D178" s="75" t="n">
        <v>62501000</v>
      </c>
      <c r="E178" s="75" t="inlineStr">
        <is>
          <t>회의비</t>
        </is>
      </c>
      <c r="F178" s="75" t="n">
        <v>2</v>
      </c>
      <c r="G178" s="76" t="n">
        <v>4500000</v>
      </c>
      <c r="H178" s="76" t="n">
        <v>0</v>
      </c>
      <c r="I178" s="76" t="n">
        <v>3938000</v>
      </c>
      <c r="J178" s="76" t="n">
        <v>562000</v>
      </c>
      <c r="L178" s="9">
        <f>IF($A178="","",$B178&amp;"|"&amp;$D178)</f>
        <v/>
      </c>
      <c r="M178" s="9">
        <f>IF($A178="","",VALUE($A178&amp;""))</f>
        <v/>
      </c>
      <c r="N178" s="9">
        <f>IF($A178="","",VALUE(SUBSTITUTE(SUBSTITUTE(SUBSTITUTE(UPPER($F178&amp;""),"Q",""),"분기","")," ","")))</f>
        <v/>
      </c>
      <c r="O178" s="77">
        <f>IF($A178="",0,($G178+$H178)*설정!$C$23)</f>
        <v/>
      </c>
      <c r="P178" s="77">
        <f>IF($A178="",0,$I178*설정!$C$23)</f>
        <v/>
      </c>
      <c r="Q178" s="39">
        <f>IF($A178="","",IF(COUNTIF(변동분석!$E$7:$E$506,L178)&gt;0,"Y","N"))</f>
        <v/>
      </c>
      <c r="R178" s="9">
        <f>IF($A178="","",$D178&amp;"")</f>
        <v/>
      </c>
    </row>
    <row r="179">
      <c r="A179" s="75" t="n">
        <v>2026</v>
      </c>
      <c r="B179" s="75" t="inlineStr">
        <is>
          <t>D600</t>
        </is>
      </c>
      <c r="C179" s="75" t="inlineStr">
        <is>
          <t>영업지원팀</t>
        </is>
      </c>
      <c r="D179" s="75" t="n">
        <v>62501000</v>
      </c>
      <c r="E179" s="75" t="inlineStr">
        <is>
          <t>회의비</t>
        </is>
      </c>
      <c r="F179" s="75" t="n">
        <v>3</v>
      </c>
      <c r="G179" s="76" t="n">
        <v>4500000</v>
      </c>
      <c r="H179" s="76" t="n">
        <v>0</v>
      </c>
      <c r="I179" s="76" t="n">
        <v>3802000</v>
      </c>
      <c r="J179" s="76" t="n">
        <v>698000</v>
      </c>
      <c r="L179" s="9">
        <f>IF($A179="","",$B179&amp;"|"&amp;$D179)</f>
        <v/>
      </c>
      <c r="M179" s="9">
        <f>IF($A179="","",VALUE($A179&amp;""))</f>
        <v/>
      </c>
      <c r="N179" s="9">
        <f>IF($A179="","",VALUE(SUBSTITUTE(SUBSTITUTE(SUBSTITUTE(UPPER($F179&amp;""),"Q",""),"분기","")," ","")))</f>
        <v/>
      </c>
      <c r="O179" s="77">
        <f>IF($A179="",0,($G179+$H179)*설정!$C$23)</f>
        <v/>
      </c>
      <c r="P179" s="77">
        <f>IF($A179="",0,$I179*설정!$C$23)</f>
        <v/>
      </c>
      <c r="Q179" s="39">
        <f>IF($A179="","",IF(COUNTIF(변동분석!$E$7:$E$506,L179)&gt;0,"Y","N"))</f>
        <v/>
      </c>
      <c r="R179" s="9">
        <f>IF($A179="","",$D179&amp;"")</f>
        <v/>
      </c>
    </row>
    <row r="180">
      <c r="A180" s="75" t="n">
        <v>2026</v>
      </c>
      <c r="B180" s="75" t="inlineStr">
        <is>
          <t>D600</t>
        </is>
      </c>
      <c r="C180" s="75" t="inlineStr">
        <is>
          <t>영업지원팀</t>
        </is>
      </c>
      <c r="D180" s="75" t="n">
        <v>62501000</v>
      </c>
      <c r="E180" s="75" t="inlineStr">
        <is>
          <t>회의비</t>
        </is>
      </c>
      <c r="F180" s="75" t="n">
        <v>4</v>
      </c>
      <c r="G180" s="76" t="n">
        <v>4500000</v>
      </c>
      <c r="H180" s="76" t="n">
        <v>0</v>
      </c>
      <c r="I180" s="76" t="n">
        <v>0</v>
      </c>
      <c r="J180" s="76" t="n">
        <v>4500000</v>
      </c>
      <c r="L180" s="9">
        <f>IF($A180="","",$B180&amp;"|"&amp;$D180)</f>
        <v/>
      </c>
      <c r="M180" s="9">
        <f>IF($A180="","",VALUE($A180&amp;""))</f>
        <v/>
      </c>
      <c r="N180" s="9">
        <f>IF($A180="","",VALUE(SUBSTITUTE(SUBSTITUTE(SUBSTITUTE(UPPER($F180&amp;""),"Q",""),"분기","")," ","")))</f>
        <v/>
      </c>
      <c r="O180" s="77">
        <f>IF($A180="",0,($G180+$H180)*설정!$C$23)</f>
        <v/>
      </c>
      <c r="P180" s="77">
        <f>IF($A180="",0,$I180*설정!$C$23)</f>
        <v/>
      </c>
      <c r="Q180" s="39">
        <f>IF($A180="","",IF(COUNTIF(변동분석!$E$7:$E$506,L180)&gt;0,"Y","N"))</f>
        <v/>
      </c>
      <c r="R180" s="9">
        <f>IF($A180="","",$D180&amp;"")</f>
        <v/>
      </c>
    </row>
    <row r="181">
      <c r="A181" s="75" t="n">
        <v>2026</v>
      </c>
      <c r="B181" s="75" t="inlineStr">
        <is>
          <t>D600</t>
        </is>
      </c>
      <c r="C181" s="75" t="inlineStr">
        <is>
          <t>영업지원팀</t>
        </is>
      </c>
      <c r="D181" s="75" t="n">
        <v>62601000</v>
      </c>
      <c r="E181" s="75" t="inlineStr">
        <is>
          <t>업무추진비</t>
        </is>
      </c>
      <c r="F181" s="75" t="n">
        <v>1</v>
      </c>
      <c r="G181" s="76" t="n">
        <v>10500000</v>
      </c>
      <c r="H181" s="76" t="n">
        <v>0</v>
      </c>
      <c r="I181" s="76" t="n">
        <v>9242000</v>
      </c>
      <c r="J181" s="76" t="n">
        <v>1258000</v>
      </c>
      <c r="L181" s="9">
        <f>IF($A181="","",$B181&amp;"|"&amp;$D181)</f>
        <v/>
      </c>
      <c r="M181" s="9">
        <f>IF($A181="","",VALUE($A181&amp;""))</f>
        <v/>
      </c>
      <c r="N181" s="9">
        <f>IF($A181="","",VALUE(SUBSTITUTE(SUBSTITUTE(SUBSTITUTE(UPPER($F181&amp;""),"Q",""),"분기","")," ","")))</f>
        <v/>
      </c>
      <c r="O181" s="77">
        <f>IF($A181="",0,($G181+$H181)*설정!$C$23)</f>
        <v/>
      </c>
      <c r="P181" s="77">
        <f>IF($A181="",0,$I181*설정!$C$23)</f>
        <v/>
      </c>
      <c r="Q181" s="39">
        <f>IF($A181="","",IF(COUNTIF(변동분석!$E$7:$E$506,L181)&gt;0,"Y","N"))</f>
        <v/>
      </c>
      <c r="R181" s="9">
        <f>IF($A181="","",$D181&amp;"")</f>
        <v/>
      </c>
    </row>
    <row r="182">
      <c r="A182" s="75" t="n">
        <v>2026</v>
      </c>
      <c r="B182" s="75" t="inlineStr">
        <is>
          <t>D600</t>
        </is>
      </c>
      <c r="C182" s="75" t="inlineStr">
        <is>
          <t>영업지원팀</t>
        </is>
      </c>
      <c r="D182" s="75" t="n">
        <v>62601000</v>
      </c>
      <c r="E182" s="75" t="inlineStr">
        <is>
          <t>업무추진비</t>
        </is>
      </c>
      <c r="F182" s="75" t="n">
        <v>2</v>
      </c>
      <c r="G182" s="76" t="n">
        <v>10500000</v>
      </c>
      <c r="H182" s="76" t="n">
        <v>0</v>
      </c>
      <c r="I182" s="76" t="n">
        <v>9437000</v>
      </c>
      <c r="J182" s="76" t="n">
        <v>1063000</v>
      </c>
      <c r="L182" s="9">
        <f>IF($A182="","",$B182&amp;"|"&amp;$D182)</f>
        <v/>
      </c>
      <c r="M182" s="9">
        <f>IF($A182="","",VALUE($A182&amp;""))</f>
        <v/>
      </c>
      <c r="N182" s="9">
        <f>IF($A182="","",VALUE(SUBSTITUTE(SUBSTITUTE(SUBSTITUTE(UPPER($F182&amp;""),"Q",""),"분기","")," ","")))</f>
        <v/>
      </c>
      <c r="O182" s="77">
        <f>IF($A182="",0,($G182+$H182)*설정!$C$23)</f>
        <v/>
      </c>
      <c r="P182" s="77">
        <f>IF($A182="",0,$I182*설정!$C$23)</f>
        <v/>
      </c>
      <c r="Q182" s="39">
        <f>IF($A182="","",IF(COUNTIF(변동분석!$E$7:$E$506,L182)&gt;0,"Y","N"))</f>
        <v/>
      </c>
      <c r="R182" s="9">
        <f>IF($A182="","",$D182&amp;"")</f>
        <v/>
      </c>
    </row>
    <row r="183">
      <c r="A183" s="75" t="n">
        <v>2026</v>
      </c>
      <c r="B183" s="75" t="inlineStr">
        <is>
          <t>D600</t>
        </is>
      </c>
      <c r="C183" s="75" t="inlineStr">
        <is>
          <t>영업지원팀</t>
        </is>
      </c>
      <c r="D183" s="75" t="n">
        <v>62601000</v>
      </c>
      <c r="E183" s="75" t="inlineStr">
        <is>
          <t>업무추진비</t>
        </is>
      </c>
      <c r="F183" s="75" t="n">
        <v>3</v>
      </c>
      <c r="G183" s="76" t="n">
        <v>10500000</v>
      </c>
      <c r="H183" s="76" t="n">
        <v>0</v>
      </c>
      <c r="I183" s="76" t="n">
        <v>9129000</v>
      </c>
      <c r="J183" s="76" t="n">
        <v>1371000</v>
      </c>
      <c r="L183" s="9">
        <f>IF($A183="","",$B183&amp;"|"&amp;$D183)</f>
        <v/>
      </c>
      <c r="M183" s="9">
        <f>IF($A183="","",VALUE($A183&amp;""))</f>
        <v/>
      </c>
      <c r="N183" s="9">
        <f>IF($A183="","",VALUE(SUBSTITUTE(SUBSTITUTE(SUBSTITUTE(UPPER($F183&amp;""),"Q",""),"분기","")," ","")))</f>
        <v/>
      </c>
      <c r="O183" s="77">
        <f>IF($A183="",0,($G183+$H183)*설정!$C$23)</f>
        <v/>
      </c>
      <c r="P183" s="77">
        <f>IF($A183="",0,$I183*설정!$C$23)</f>
        <v/>
      </c>
      <c r="Q183" s="39">
        <f>IF($A183="","",IF(COUNTIF(변동분석!$E$7:$E$506,L183)&gt;0,"Y","N"))</f>
        <v/>
      </c>
      <c r="R183" s="9">
        <f>IF($A183="","",$D183&amp;"")</f>
        <v/>
      </c>
    </row>
    <row r="184">
      <c r="A184" s="75" t="n">
        <v>2026</v>
      </c>
      <c r="B184" s="75" t="inlineStr">
        <is>
          <t>D600</t>
        </is>
      </c>
      <c r="C184" s="75" t="inlineStr">
        <is>
          <t>영업지원팀</t>
        </is>
      </c>
      <c r="D184" s="75" t="n">
        <v>62601000</v>
      </c>
      <c r="E184" s="75" t="inlineStr">
        <is>
          <t>업무추진비</t>
        </is>
      </c>
      <c r="F184" s="75" t="n">
        <v>4</v>
      </c>
      <c r="G184" s="76" t="n">
        <v>10500000</v>
      </c>
      <c r="H184" s="76" t="n">
        <v>0</v>
      </c>
      <c r="I184" s="76" t="n">
        <v>0</v>
      </c>
      <c r="J184" s="76" t="n">
        <v>10500000</v>
      </c>
      <c r="L184" s="9">
        <f>IF($A184="","",$B184&amp;"|"&amp;$D184)</f>
        <v/>
      </c>
      <c r="M184" s="9">
        <f>IF($A184="","",VALUE($A184&amp;""))</f>
        <v/>
      </c>
      <c r="N184" s="9">
        <f>IF($A184="","",VALUE(SUBSTITUTE(SUBSTITUTE(SUBSTITUTE(UPPER($F184&amp;""),"Q",""),"분기","")," ","")))</f>
        <v/>
      </c>
      <c r="O184" s="77">
        <f>IF($A184="",0,($G184+$H184)*설정!$C$23)</f>
        <v/>
      </c>
      <c r="P184" s="77">
        <f>IF($A184="",0,$I184*설정!$C$23)</f>
        <v/>
      </c>
      <c r="Q184" s="39">
        <f>IF($A184="","",IF(COUNTIF(변동분석!$E$7:$E$506,L184)&gt;0,"Y","N"))</f>
        <v/>
      </c>
      <c r="R184" s="9">
        <f>IF($A184="","",$D184&amp;"")</f>
        <v/>
      </c>
    </row>
    <row r="185">
      <c r="A185" s="75" t="n">
        <v>2026</v>
      </c>
      <c r="B185" s="75" t="inlineStr">
        <is>
          <t>D600</t>
        </is>
      </c>
      <c r="C185" s="75" t="inlineStr">
        <is>
          <t>영업지원팀</t>
        </is>
      </c>
      <c r="D185" s="75" t="n">
        <v>63101000</v>
      </c>
      <c r="E185" s="75" t="inlineStr">
        <is>
          <t>임차료</t>
        </is>
      </c>
      <c r="F185" s="75" t="n">
        <v>1</v>
      </c>
      <c r="G185" s="76" t="n">
        <v>54000000</v>
      </c>
      <c r="H185" s="76" t="n">
        <v>0</v>
      </c>
      <c r="I185" s="76" t="n">
        <v>46685000</v>
      </c>
      <c r="J185" s="76" t="n">
        <v>7315000</v>
      </c>
      <c r="L185" s="9">
        <f>IF($A185="","",$B185&amp;"|"&amp;$D185)</f>
        <v/>
      </c>
      <c r="M185" s="9">
        <f>IF($A185="","",VALUE($A185&amp;""))</f>
        <v/>
      </c>
      <c r="N185" s="9">
        <f>IF($A185="","",VALUE(SUBSTITUTE(SUBSTITUTE(SUBSTITUTE(UPPER($F185&amp;""),"Q",""),"분기","")," ","")))</f>
        <v/>
      </c>
      <c r="O185" s="77">
        <f>IF($A185="",0,($G185+$H185)*설정!$C$23)</f>
        <v/>
      </c>
      <c r="P185" s="77">
        <f>IF($A185="",0,$I185*설정!$C$23)</f>
        <v/>
      </c>
      <c r="Q185" s="39">
        <f>IF($A185="","",IF(COUNTIF(변동분석!$E$7:$E$506,L185)&gt;0,"Y","N"))</f>
        <v/>
      </c>
      <c r="R185" s="9">
        <f>IF($A185="","",$D185&amp;"")</f>
        <v/>
      </c>
    </row>
    <row r="186">
      <c r="A186" s="75" t="n">
        <v>2026</v>
      </c>
      <c r="B186" s="75" t="inlineStr">
        <is>
          <t>D600</t>
        </is>
      </c>
      <c r="C186" s="75" t="inlineStr">
        <is>
          <t>영업지원팀</t>
        </is>
      </c>
      <c r="D186" s="75" t="n">
        <v>63101000</v>
      </c>
      <c r="E186" s="75" t="inlineStr">
        <is>
          <t>임차료</t>
        </is>
      </c>
      <c r="F186" s="75" t="n">
        <v>2</v>
      </c>
      <c r="G186" s="76" t="n">
        <v>54000000</v>
      </c>
      <c r="H186" s="76" t="n">
        <v>0</v>
      </c>
      <c r="I186" s="76" t="n">
        <v>46937000</v>
      </c>
      <c r="J186" s="76" t="n">
        <v>7063000</v>
      </c>
      <c r="L186" s="9">
        <f>IF($A186="","",$B186&amp;"|"&amp;$D186)</f>
        <v/>
      </c>
      <c r="M186" s="9">
        <f>IF($A186="","",VALUE($A186&amp;""))</f>
        <v/>
      </c>
      <c r="N186" s="9">
        <f>IF($A186="","",VALUE(SUBSTITUTE(SUBSTITUTE(SUBSTITUTE(UPPER($F186&amp;""),"Q",""),"분기","")," ","")))</f>
        <v/>
      </c>
      <c r="O186" s="77">
        <f>IF($A186="",0,($G186+$H186)*설정!$C$23)</f>
        <v/>
      </c>
      <c r="P186" s="77">
        <f>IF($A186="",0,$I186*설정!$C$23)</f>
        <v/>
      </c>
      <c r="Q186" s="39">
        <f>IF($A186="","",IF(COUNTIF(변동분석!$E$7:$E$506,L186)&gt;0,"Y","N"))</f>
        <v/>
      </c>
      <c r="R186" s="9">
        <f>IF($A186="","",$D186&amp;"")</f>
        <v/>
      </c>
    </row>
    <row r="187">
      <c r="A187" s="75" t="n">
        <v>2026</v>
      </c>
      <c r="B187" s="75" t="inlineStr">
        <is>
          <t>D600</t>
        </is>
      </c>
      <c r="C187" s="75" t="inlineStr">
        <is>
          <t>영업지원팀</t>
        </is>
      </c>
      <c r="D187" s="75" t="n">
        <v>63101000</v>
      </c>
      <c r="E187" s="75" t="inlineStr">
        <is>
          <t>임차료</t>
        </is>
      </c>
      <c r="F187" s="75" t="n">
        <v>3</v>
      </c>
      <c r="G187" s="76" t="n">
        <v>54000000</v>
      </c>
      <c r="H187" s="76" t="n">
        <v>0</v>
      </c>
      <c r="I187" s="76" t="n">
        <v>44685000</v>
      </c>
      <c r="J187" s="76" t="n">
        <v>9315000</v>
      </c>
      <c r="L187" s="9">
        <f>IF($A187="","",$B187&amp;"|"&amp;$D187)</f>
        <v/>
      </c>
      <c r="M187" s="9">
        <f>IF($A187="","",VALUE($A187&amp;""))</f>
        <v/>
      </c>
      <c r="N187" s="9">
        <f>IF($A187="","",VALUE(SUBSTITUTE(SUBSTITUTE(SUBSTITUTE(UPPER($F187&amp;""),"Q",""),"분기","")," ","")))</f>
        <v/>
      </c>
      <c r="O187" s="77">
        <f>IF($A187="",0,($G187+$H187)*설정!$C$23)</f>
        <v/>
      </c>
      <c r="P187" s="77">
        <f>IF($A187="",0,$I187*설정!$C$23)</f>
        <v/>
      </c>
      <c r="Q187" s="39">
        <f>IF($A187="","",IF(COUNTIF(변동분석!$E$7:$E$506,L187)&gt;0,"Y","N"))</f>
        <v/>
      </c>
      <c r="R187" s="9">
        <f>IF($A187="","",$D187&amp;"")</f>
        <v/>
      </c>
    </row>
    <row r="188">
      <c r="A188" s="75" t="n">
        <v>2026</v>
      </c>
      <c r="B188" s="75" t="inlineStr">
        <is>
          <t>D600</t>
        </is>
      </c>
      <c r="C188" s="75" t="inlineStr">
        <is>
          <t>영업지원팀</t>
        </is>
      </c>
      <c r="D188" s="75" t="n">
        <v>63101000</v>
      </c>
      <c r="E188" s="75" t="inlineStr">
        <is>
          <t>임차료</t>
        </is>
      </c>
      <c r="F188" s="75" t="n">
        <v>4</v>
      </c>
      <c r="G188" s="76" t="n">
        <v>54000000</v>
      </c>
      <c r="H188" s="76" t="n">
        <v>0</v>
      </c>
      <c r="I188" s="76" t="n">
        <v>0</v>
      </c>
      <c r="J188" s="76" t="n">
        <v>54000000</v>
      </c>
      <c r="L188" s="9">
        <f>IF($A188="","",$B188&amp;"|"&amp;$D188)</f>
        <v/>
      </c>
      <c r="M188" s="9">
        <f>IF($A188="","",VALUE($A188&amp;""))</f>
        <v/>
      </c>
      <c r="N188" s="9">
        <f>IF($A188="","",VALUE(SUBSTITUTE(SUBSTITUTE(SUBSTITUTE(UPPER($F188&amp;""),"Q",""),"분기","")," ","")))</f>
        <v/>
      </c>
      <c r="O188" s="77">
        <f>IF($A188="",0,($G188+$H188)*설정!$C$23)</f>
        <v/>
      </c>
      <c r="P188" s="77">
        <f>IF($A188="",0,$I188*설정!$C$23)</f>
        <v/>
      </c>
      <c r="Q188" s="39">
        <f>IF($A188="","",IF(COUNTIF(변동분석!$E$7:$E$506,L188)&gt;0,"Y","N"))</f>
        <v/>
      </c>
      <c r="R188" s="9">
        <f>IF($A188="","",$D188&amp;"")</f>
        <v/>
      </c>
    </row>
    <row r="189">
      <c r="A189" s="75" t="n">
        <v>2026</v>
      </c>
      <c r="B189" s="75" t="inlineStr">
        <is>
          <t>D600</t>
        </is>
      </c>
      <c r="C189" s="75" t="inlineStr">
        <is>
          <t>영업지원팀</t>
        </is>
      </c>
      <c r="D189" s="75" t="n">
        <v>63201000</v>
      </c>
      <c r="E189" s="75" t="inlineStr">
        <is>
          <t>차량유지비</t>
        </is>
      </c>
      <c r="F189" s="75" t="n">
        <v>1</v>
      </c>
      <c r="G189" s="76" t="n">
        <v>24000000</v>
      </c>
      <c r="H189" s="76" t="n">
        <v>0</v>
      </c>
      <c r="I189" s="76" t="n">
        <v>23995000</v>
      </c>
      <c r="J189" s="76" t="n">
        <v>5000</v>
      </c>
      <c r="L189" s="9">
        <f>IF($A189="","",$B189&amp;"|"&amp;$D189)</f>
        <v/>
      </c>
      <c r="M189" s="9">
        <f>IF($A189="","",VALUE($A189&amp;""))</f>
        <v/>
      </c>
      <c r="N189" s="9">
        <f>IF($A189="","",VALUE(SUBSTITUTE(SUBSTITUTE(SUBSTITUTE(UPPER($F189&amp;""),"Q",""),"분기","")," ","")))</f>
        <v/>
      </c>
      <c r="O189" s="77">
        <f>IF($A189="",0,($G189+$H189)*설정!$C$23)</f>
        <v/>
      </c>
      <c r="P189" s="77">
        <f>IF($A189="",0,$I189*설정!$C$23)</f>
        <v/>
      </c>
      <c r="Q189" s="39">
        <f>IF($A189="","",IF(COUNTIF(변동분석!$E$7:$E$506,L189)&gt;0,"Y","N"))</f>
        <v/>
      </c>
      <c r="R189" s="9">
        <f>IF($A189="","",$D189&amp;"")</f>
        <v/>
      </c>
    </row>
    <row r="190">
      <c r="A190" s="75" t="n">
        <v>2026</v>
      </c>
      <c r="B190" s="75" t="inlineStr">
        <is>
          <t>D600</t>
        </is>
      </c>
      <c r="C190" s="75" t="inlineStr">
        <is>
          <t>영업지원팀</t>
        </is>
      </c>
      <c r="D190" s="75" t="n">
        <v>63201000</v>
      </c>
      <c r="E190" s="75" t="inlineStr">
        <is>
          <t>차량유지비</t>
        </is>
      </c>
      <c r="F190" s="75" t="n">
        <v>2</v>
      </c>
      <c r="G190" s="76" t="n">
        <v>24000000</v>
      </c>
      <c r="H190" s="76" t="n">
        <v>0</v>
      </c>
      <c r="I190" s="76" t="n">
        <v>23621000</v>
      </c>
      <c r="J190" s="76" t="n">
        <v>379000</v>
      </c>
      <c r="L190" s="9">
        <f>IF($A190="","",$B190&amp;"|"&amp;$D190)</f>
        <v/>
      </c>
      <c r="M190" s="9">
        <f>IF($A190="","",VALUE($A190&amp;""))</f>
        <v/>
      </c>
      <c r="N190" s="9">
        <f>IF($A190="","",VALUE(SUBSTITUTE(SUBSTITUTE(SUBSTITUTE(UPPER($F190&amp;""),"Q",""),"분기","")," ","")))</f>
        <v/>
      </c>
      <c r="O190" s="77">
        <f>IF($A190="",0,($G190+$H190)*설정!$C$23)</f>
        <v/>
      </c>
      <c r="P190" s="77">
        <f>IF($A190="",0,$I190*설정!$C$23)</f>
        <v/>
      </c>
      <c r="Q190" s="39">
        <f>IF($A190="","",IF(COUNTIF(변동분석!$E$7:$E$506,L190)&gt;0,"Y","N"))</f>
        <v/>
      </c>
      <c r="R190" s="9">
        <f>IF($A190="","",$D190&amp;"")</f>
        <v/>
      </c>
    </row>
    <row r="191">
      <c r="A191" s="75" t="n">
        <v>2026</v>
      </c>
      <c r="B191" s="75" t="inlineStr">
        <is>
          <t>D600</t>
        </is>
      </c>
      <c r="C191" s="75" t="inlineStr">
        <is>
          <t>영업지원팀</t>
        </is>
      </c>
      <c r="D191" s="75" t="n">
        <v>63201000</v>
      </c>
      <c r="E191" s="75" t="inlineStr">
        <is>
          <t>차량유지비</t>
        </is>
      </c>
      <c r="F191" s="75" t="n">
        <v>3</v>
      </c>
      <c r="G191" s="76" t="n">
        <v>24000000</v>
      </c>
      <c r="H191" s="76" t="n">
        <v>0</v>
      </c>
      <c r="I191" s="76" t="n">
        <v>24122000</v>
      </c>
      <c r="J191" s="76" t="n">
        <v>-122000</v>
      </c>
      <c r="L191" s="9">
        <f>IF($A191="","",$B191&amp;"|"&amp;$D191)</f>
        <v/>
      </c>
      <c r="M191" s="9">
        <f>IF($A191="","",VALUE($A191&amp;""))</f>
        <v/>
      </c>
      <c r="N191" s="9">
        <f>IF($A191="","",VALUE(SUBSTITUTE(SUBSTITUTE(SUBSTITUTE(UPPER($F191&amp;""),"Q",""),"분기","")," ","")))</f>
        <v/>
      </c>
      <c r="O191" s="77">
        <f>IF($A191="",0,($G191+$H191)*설정!$C$23)</f>
        <v/>
      </c>
      <c r="P191" s="77">
        <f>IF($A191="",0,$I191*설정!$C$23)</f>
        <v/>
      </c>
      <c r="Q191" s="39">
        <f>IF($A191="","",IF(COUNTIF(변동분석!$E$7:$E$506,L191)&gt;0,"Y","N"))</f>
        <v/>
      </c>
      <c r="R191" s="9">
        <f>IF($A191="","",$D191&amp;"")</f>
        <v/>
      </c>
    </row>
    <row r="192">
      <c r="A192" s="75" t="n">
        <v>2026</v>
      </c>
      <c r="B192" s="75" t="inlineStr">
        <is>
          <t>D600</t>
        </is>
      </c>
      <c r="C192" s="75" t="inlineStr">
        <is>
          <t>영업지원팀</t>
        </is>
      </c>
      <c r="D192" s="75" t="n">
        <v>63201000</v>
      </c>
      <c r="E192" s="75" t="inlineStr">
        <is>
          <t>차량유지비</t>
        </is>
      </c>
      <c r="F192" s="75" t="n">
        <v>4</v>
      </c>
      <c r="G192" s="76" t="n">
        <v>24000000</v>
      </c>
      <c r="H192" s="76" t="n">
        <v>0</v>
      </c>
      <c r="I192" s="76" t="n">
        <v>0</v>
      </c>
      <c r="J192" s="76" t="n">
        <v>24000000</v>
      </c>
      <c r="L192" s="9">
        <f>IF($A192="","",$B192&amp;"|"&amp;$D192)</f>
        <v/>
      </c>
      <c r="M192" s="9">
        <f>IF($A192="","",VALUE($A192&amp;""))</f>
        <v/>
      </c>
      <c r="N192" s="9">
        <f>IF($A192="","",VALUE(SUBSTITUTE(SUBSTITUTE(SUBSTITUTE(UPPER($F192&amp;""),"Q",""),"분기","")," ","")))</f>
        <v/>
      </c>
      <c r="O192" s="77">
        <f>IF($A192="",0,($G192+$H192)*설정!$C$23)</f>
        <v/>
      </c>
      <c r="P192" s="77">
        <f>IF($A192="",0,$I192*설정!$C$23)</f>
        <v/>
      </c>
      <c r="Q192" s="39">
        <f>IF($A192="","",IF(COUNTIF(변동분석!$E$7:$E$506,L192)&gt;0,"Y","N"))</f>
        <v/>
      </c>
      <c r="R192" s="9">
        <f>IF($A192="","",$D192&amp;"")</f>
        <v/>
      </c>
    </row>
    <row r="193">
      <c r="A193" s="75" t="n">
        <v>2026</v>
      </c>
      <c r="B193" s="75" t="inlineStr">
        <is>
          <t>D700</t>
        </is>
      </c>
      <c r="C193" s="75" t="inlineStr">
        <is>
          <t>IT운영팀</t>
        </is>
      </c>
      <c r="D193" s="75" t="n">
        <v>62101000</v>
      </c>
      <c r="E193" s="75" t="inlineStr">
        <is>
          <t>여비교통비-국내</t>
        </is>
      </c>
      <c r="F193" s="75" t="n">
        <v>1</v>
      </c>
      <c r="G193" s="76" t="n">
        <v>3060000</v>
      </c>
      <c r="H193" s="76" t="n">
        <v>0</v>
      </c>
      <c r="I193" s="76" t="n">
        <v>2607000</v>
      </c>
      <c r="J193" s="76" t="n">
        <v>453000</v>
      </c>
      <c r="L193" s="9">
        <f>IF($A193="","",$B193&amp;"|"&amp;$D193)</f>
        <v/>
      </c>
      <c r="M193" s="9">
        <f>IF($A193="","",VALUE($A193&amp;""))</f>
        <v/>
      </c>
      <c r="N193" s="9">
        <f>IF($A193="","",VALUE(SUBSTITUTE(SUBSTITUTE(SUBSTITUTE(UPPER($F193&amp;""),"Q",""),"분기","")," ","")))</f>
        <v/>
      </c>
      <c r="O193" s="77">
        <f>IF($A193="",0,($G193+$H193)*설정!$C$23)</f>
        <v/>
      </c>
      <c r="P193" s="77">
        <f>IF($A193="",0,$I193*설정!$C$23)</f>
        <v/>
      </c>
      <c r="Q193" s="39">
        <f>IF($A193="","",IF(COUNTIF(변동분석!$E$7:$E$506,L193)&gt;0,"Y","N"))</f>
        <v/>
      </c>
      <c r="R193" s="9">
        <f>IF($A193="","",$D193&amp;"")</f>
        <v/>
      </c>
    </row>
    <row r="194">
      <c r="A194" s="75" t="n">
        <v>2026</v>
      </c>
      <c r="B194" s="75" t="inlineStr">
        <is>
          <t>D700</t>
        </is>
      </c>
      <c r="C194" s="75" t="inlineStr">
        <is>
          <t>IT운영팀</t>
        </is>
      </c>
      <c r="D194" s="75" t="n">
        <v>62101000</v>
      </c>
      <c r="E194" s="75" t="inlineStr">
        <is>
          <t>여비교통비-국내</t>
        </is>
      </c>
      <c r="F194" s="75" t="n">
        <v>2</v>
      </c>
      <c r="G194" s="76" t="n">
        <v>3060000</v>
      </c>
      <c r="H194" s="76" t="n">
        <v>0</v>
      </c>
      <c r="I194" s="76" t="n">
        <v>2762000</v>
      </c>
      <c r="J194" s="76" t="n">
        <v>298000</v>
      </c>
      <c r="L194" s="9">
        <f>IF($A194="","",$B194&amp;"|"&amp;$D194)</f>
        <v/>
      </c>
      <c r="M194" s="9">
        <f>IF($A194="","",VALUE($A194&amp;""))</f>
        <v/>
      </c>
      <c r="N194" s="9">
        <f>IF($A194="","",VALUE(SUBSTITUTE(SUBSTITUTE(SUBSTITUTE(UPPER($F194&amp;""),"Q",""),"분기","")," ","")))</f>
        <v/>
      </c>
      <c r="O194" s="77">
        <f>IF($A194="",0,($G194+$H194)*설정!$C$23)</f>
        <v/>
      </c>
      <c r="P194" s="77">
        <f>IF($A194="",0,$I194*설정!$C$23)</f>
        <v/>
      </c>
      <c r="Q194" s="39">
        <f>IF($A194="","",IF(COUNTIF(변동분석!$E$7:$E$506,L194)&gt;0,"Y","N"))</f>
        <v/>
      </c>
      <c r="R194" s="9">
        <f>IF($A194="","",$D194&amp;"")</f>
        <v/>
      </c>
    </row>
    <row r="195">
      <c r="A195" s="75" t="n">
        <v>2026</v>
      </c>
      <c r="B195" s="75" t="inlineStr">
        <is>
          <t>D700</t>
        </is>
      </c>
      <c r="C195" s="75" t="inlineStr">
        <is>
          <t>IT운영팀</t>
        </is>
      </c>
      <c r="D195" s="75" t="n">
        <v>62101000</v>
      </c>
      <c r="E195" s="75" t="inlineStr">
        <is>
          <t>여비교통비-국내</t>
        </is>
      </c>
      <c r="F195" s="75" t="n">
        <v>3</v>
      </c>
      <c r="G195" s="76" t="n">
        <v>3060000</v>
      </c>
      <c r="H195" s="76" t="n">
        <v>0</v>
      </c>
      <c r="I195" s="76" t="n">
        <v>2700000</v>
      </c>
      <c r="J195" s="76" t="n">
        <v>360000</v>
      </c>
      <c r="L195" s="9">
        <f>IF($A195="","",$B195&amp;"|"&amp;$D195)</f>
        <v/>
      </c>
      <c r="M195" s="9">
        <f>IF($A195="","",VALUE($A195&amp;""))</f>
        <v/>
      </c>
      <c r="N195" s="9">
        <f>IF($A195="","",VALUE(SUBSTITUTE(SUBSTITUTE(SUBSTITUTE(UPPER($F195&amp;""),"Q",""),"분기","")," ","")))</f>
        <v/>
      </c>
      <c r="O195" s="77">
        <f>IF($A195="",0,($G195+$H195)*설정!$C$23)</f>
        <v/>
      </c>
      <c r="P195" s="77">
        <f>IF($A195="",0,$I195*설정!$C$23)</f>
        <v/>
      </c>
      <c r="Q195" s="39">
        <f>IF($A195="","",IF(COUNTIF(변동분석!$E$7:$E$506,L195)&gt;0,"Y","N"))</f>
        <v/>
      </c>
      <c r="R195" s="9">
        <f>IF($A195="","",$D195&amp;"")</f>
        <v/>
      </c>
    </row>
    <row r="196">
      <c r="A196" s="75" t="n">
        <v>2026</v>
      </c>
      <c r="B196" s="75" t="inlineStr">
        <is>
          <t>D700</t>
        </is>
      </c>
      <c r="C196" s="75" t="inlineStr">
        <is>
          <t>IT운영팀</t>
        </is>
      </c>
      <c r="D196" s="75" t="n">
        <v>62101000</v>
      </c>
      <c r="E196" s="75" t="inlineStr">
        <is>
          <t>여비교통비-국내</t>
        </is>
      </c>
      <c r="F196" s="75" t="n">
        <v>4</v>
      </c>
      <c r="G196" s="76" t="n">
        <v>3060000</v>
      </c>
      <c r="H196" s="76" t="n">
        <v>0</v>
      </c>
      <c r="I196" s="76" t="n">
        <v>0</v>
      </c>
      <c r="J196" s="76" t="n">
        <v>3060000</v>
      </c>
      <c r="L196" s="9">
        <f>IF($A196="","",$B196&amp;"|"&amp;$D196)</f>
        <v/>
      </c>
      <c r="M196" s="9">
        <f>IF($A196="","",VALUE($A196&amp;""))</f>
        <v/>
      </c>
      <c r="N196" s="9">
        <f>IF($A196="","",VALUE(SUBSTITUTE(SUBSTITUTE(SUBSTITUTE(UPPER($F196&amp;""),"Q",""),"분기","")," ","")))</f>
        <v/>
      </c>
      <c r="O196" s="77">
        <f>IF($A196="",0,($G196+$H196)*설정!$C$23)</f>
        <v/>
      </c>
      <c r="P196" s="77">
        <f>IF($A196="",0,$I196*설정!$C$23)</f>
        <v/>
      </c>
      <c r="Q196" s="39">
        <f>IF($A196="","",IF(COUNTIF(변동분석!$E$7:$E$506,L196)&gt;0,"Y","N"))</f>
        <v/>
      </c>
      <c r="R196" s="9">
        <f>IF($A196="","",$D196&amp;"")</f>
        <v/>
      </c>
    </row>
    <row r="197">
      <c r="A197" s="75" t="n">
        <v>2026</v>
      </c>
      <c r="B197" s="75" t="inlineStr">
        <is>
          <t>D700</t>
        </is>
      </c>
      <c r="C197" s="75" t="inlineStr">
        <is>
          <t>IT운영팀</t>
        </is>
      </c>
      <c r="D197" s="75" t="n">
        <v>62102000</v>
      </c>
      <c r="E197" s="75" t="inlineStr">
        <is>
          <t>여비교통비-해외</t>
        </is>
      </c>
      <c r="F197" s="75" t="n">
        <v>1</v>
      </c>
      <c r="G197" s="76" t="n">
        <v>540000</v>
      </c>
      <c r="H197" s="76" t="n">
        <v>0</v>
      </c>
      <c r="I197" s="76" t="n">
        <v>482000</v>
      </c>
      <c r="J197" s="76" t="n">
        <v>58000</v>
      </c>
      <c r="L197" s="9">
        <f>IF($A197="","",$B197&amp;"|"&amp;$D197)</f>
        <v/>
      </c>
      <c r="M197" s="9">
        <f>IF($A197="","",VALUE($A197&amp;""))</f>
        <v/>
      </c>
      <c r="N197" s="9">
        <f>IF($A197="","",VALUE(SUBSTITUTE(SUBSTITUTE(SUBSTITUTE(UPPER($F197&amp;""),"Q",""),"분기","")," ","")))</f>
        <v/>
      </c>
      <c r="O197" s="77">
        <f>IF($A197="",0,($G197+$H197)*설정!$C$23)</f>
        <v/>
      </c>
      <c r="P197" s="77">
        <f>IF($A197="",0,$I197*설정!$C$23)</f>
        <v/>
      </c>
      <c r="Q197" s="39">
        <f>IF($A197="","",IF(COUNTIF(변동분석!$E$7:$E$506,L197)&gt;0,"Y","N"))</f>
        <v/>
      </c>
      <c r="R197" s="9">
        <f>IF($A197="","",$D197&amp;"")</f>
        <v/>
      </c>
    </row>
    <row r="198">
      <c r="A198" s="75" t="n">
        <v>2026</v>
      </c>
      <c r="B198" s="75" t="inlineStr">
        <is>
          <t>D700</t>
        </is>
      </c>
      <c r="C198" s="75" t="inlineStr">
        <is>
          <t>IT운영팀</t>
        </is>
      </c>
      <c r="D198" s="75" t="n">
        <v>62102000</v>
      </c>
      <c r="E198" s="75" t="inlineStr">
        <is>
          <t>여비교통비-해외</t>
        </is>
      </c>
      <c r="F198" s="75" t="n">
        <v>2</v>
      </c>
      <c r="G198" s="76" t="n">
        <v>540000</v>
      </c>
      <c r="H198" s="76" t="n">
        <v>0</v>
      </c>
      <c r="I198" s="76" t="n">
        <v>460000</v>
      </c>
      <c r="J198" s="76" t="n">
        <v>80000</v>
      </c>
      <c r="L198" s="9">
        <f>IF($A198="","",$B198&amp;"|"&amp;$D198)</f>
        <v/>
      </c>
      <c r="M198" s="9">
        <f>IF($A198="","",VALUE($A198&amp;""))</f>
        <v/>
      </c>
      <c r="N198" s="9">
        <f>IF($A198="","",VALUE(SUBSTITUTE(SUBSTITUTE(SUBSTITUTE(UPPER($F198&amp;""),"Q",""),"분기","")," ","")))</f>
        <v/>
      </c>
      <c r="O198" s="77">
        <f>IF($A198="",0,($G198+$H198)*설정!$C$23)</f>
        <v/>
      </c>
      <c r="P198" s="77">
        <f>IF($A198="",0,$I198*설정!$C$23)</f>
        <v/>
      </c>
      <c r="Q198" s="39">
        <f>IF($A198="","",IF(COUNTIF(변동분석!$E$7:$E$506,L198)&gt;0,"Y","N"))</f>
        <v/>
      </c>
      <c r="R198" s="9">
        <f>IF($A198="","",$D198&amp;"")</f>
        <v/>
      </c>
    </row>
    <row r="199">
      <c r="A199" s="75" t="n">
        <v>2026</v>
      </c>
      <c r="B199" s="75" t="inlineStr">
        <is>
          <t>D700</t>
        </is>
      </c>
      <c r="C199" s="75" t="inlineStr">
        <is>
          <t>IT운영팀</t>
        </is>
      </c>
      <c r="D199" s="75" t="n">
        <v>62102000</v>
      </c>
      <c r="E199" s="75" t="inlineStr">
        <is>
          <t>여비교통비-해외</t>
        </is>
      </c>
      <c r="F199" s="75" t="n">
        <v>3</v>
      </c>
      <c r="G199" s="76" t="n">
        <v>540000</v>
      </c>
      <c r="H199" s="76" t="n">
        <v>0</v>
      </c>
      <c r="I199" s="76" t="n">
        <v>491000</v>
      </c>
      <c r="J199" s="76" t="n">
        <v>49000</v>
      </c>
      <c r="L199" s="9">
        <f>IF($A199="","",$B199&amp;"|"&amp;$D199)</f>
        <v/>
      </c>
      <c r="M199" s="9">
        <f>IF($A199="","",VALUE($A199&amp;""))</f>
        <v/>
      </c>
      <c r="N199" s="9">
        <f>IF($A199="","",VALUE(SUBSTITUTE(SUBSTITUTE(SUBSTITUTE(UPPER($F199&amp;""),"Q",""),"분기","")," ","")))</f>
        <v/>
      </c>
      <c r="O199" s="77">
        <f>IF($A199="",0,($G199+$H199)*설정!$C$23)</f>
        <v/>
      </c>
      <c r="P199" s="77">
        <f>IF($A199="",0,$I199*설정!$C$23)</f>
        <v/>
      </c>
      <c r="Q199" s="39">
        <f>IF($A199="","",IF(COUNTIF(변동분석!$E$7:$E$506,L199)&gt;0,"Y","N"))</f>
        <v/>
      </c>
      <c r="R199" s="9">
        <f>IF($A199="","",$D199&amp;"")</f>
        <v/>
      </c>
    </row>
    <row r="200">
      <c r="A200" s="75" t="n">
        <v>2026</v>
      </c>
      <c r="B200" s="75" t="inlineStr">
        <is>
          <t>D700</t>
        </is>
      </c>
      <c r="C200" s="75" t="inlineStr">
        <is>
          <t>IT운영팀</t>
        </is>
      </c>
      <c r="D200" s="75" t="n">
        <v>62102000</v>
      </c>
      <c r="E200" s="75" t="inlineStr">
        <is>
          <t>여비교통비-해외</t>
        </is>
      </c>
      <c r="F200" s="75" t="n">
        <v>4</v>
      </c>
      <c r="G200" s="76" t="n">
        <v>540000</v>
      </c>
      <c r="H200" s="76" t="n">
        <v>0</v>
      </c>
      <c r="I200" s="76" t="n">
        <v>0</v>
      </c>
      <c r="J200" s="76" t="n">
        <v>540000</v>
      </c>
      <c r="L200" s="9">
        <f>IF($A200="","",$B200&amp;"|"&amp;$D200)</f>
        <v/>
      </c>
      <c r="M200" s="9">
        <f>IF($A200="","",VALUE($A200&amp;""))</f>
        <v/>
      </c>
      <c r="N200" s="9">
        <f>IF($A200="","",VALUE(SUBSTITUTE(SUBSTITUTE(SUBSTITUTE(UPPER($F200&amp;""),"Q",""),"분기","")," ","")))</f>
        <v/>
      </c>
      <c r="O200" s="77">
        <f>IF($A200="",0,($G200+$H200)*설정!$C$23)</f>
        <v/>
      </c>
      <c r="P200" s="77">
        <f>IF($A200="",0,$I200*설정!$C$23)</f>
        <v/>
      </c>
      <c r="Q200" s="39">
        <f>IF($A200="","",IF(COUNTIF(변동분석!$E$7:$E$506,L200)&gt;0,"Y","N"))</f>
        <v/>
      </c>
      <c r="R200" s="9">
        <f>IF($A200="","",$D200&amp;"")</f>
        <v/>
      </c>
    </row>
    <row r="201">
      <c r="A201" s="75" t="n">
        <v>2026</v>
      </c>
      <c r="B201" s="75" t="inlineStr">
        <is>
          <t>D700</t>
        </is>
      </c>
      <c r="C201" s="75" t="inlineStr">
        <is>
          <t>IT운영팀</t>
        </is>
      </c>
      <c r="D201" s="75" t="n">
        <v>62201000</v>
      </c>
      <c r="E201" s="75" t="inlineStr">
        <is>
          <t>통신비</t>
        </is>
      </c>
      <c r="F201" s="75" t="n">
        <v>1</v>
      </c>
      <c r="G201" s="76" t="n">
        <v>45000000</v>
      </c>
      <c r="H201" s="76" t="n">
        <v>0</v>
      </c>
      <c r="I201" s="76" t="n">
        <v>39589000</v>
      </c>
      <c r="J201" s="76" t="n">
        <v>5411000</v>
      </c>
      <c r="L201" s="9">
        <f>IF($A201="","",$B201&amp;"|"&amp;$D201)</f>
        <v/>
      </c>
      <c r="M201" s="9">
        <f>IF($A201="","",VALUE($A201&amp;""))</f>
        <v/>
      </c>
      <c r="N201" s="9">
        <f>IF($A201="","",VALUE(SUBSTITUTE(SUBSTITUTE(SUBSTITUTE(UPPER($F201&amp;""),"Q",""),"분기","")," ","")))</f>
        <v/>
      </c>
      <c r="O201" s="77">
        <f>IF($A201="",0,($G201+$H201)*설정!$C$23)</f>
        <v/>
      </c>
      <c r="P201" s="77">
        <f>IF($A201="",0,$I201*설정!$C$23)</f>
        <v/>
      </c>
      <c r="Q201" s="39">
        <f>IF($A201="","",IF(COUNTIF(변동분석!$E$7:$E$506,L201)&gt;0,"Y","N"))</f>
        <v/>
      </c>
      <c r="R201" s="9">
        <f>IF($A201="","",$D201&amp;"")</f>
        <v/>
      </c>
    </row>
    <row r="202">
      <c r="A202" s="75" t="n">
        <v>2026</v>
      </c>
      <c r="B202" s="75" t="inlineStr">
        <is>
          <t>D700</t>
        </is>
      </c>
      <c r="C202" s="75" t="inlineStr">
        <is>
          <t>IT운영팀</t>
        </is>
      </c>
      <c r="D202" s="75" t="n">
        <v>62201000</v>
      </c>
      <c r="E202" s="75" t="inlineStr">
        <is>
          <t>통신비</t>
        </is>
      </c>
      <c r="F202" s="75" t="n">
        <v>2</v>
      </c>
      <c r="G202" s="76" t="n">
        <v>45000000</v>
      </c>
      <c r="H202" s="76" t="n">
        <v>0</v>
      </c>
      <c r="I202" s="76" t="n">
        <v>38718000</v>
      </c>
      <c r="J202" s="76" t="n">
        <v>6282000</v>
      </c>
      <c r="L202" s="9">
        <f>IF($A202="","",$B202&amp;"|"&amp;$D202)</f>
        <v/>
      </c>
      <c r="M202" s="9">
        <f>IF($A202="","",VALUE($A202&amp;""))</f>
        <v/>
      </c>
      <c r="N202" s="9">
        <f>IF($A202="","",VALUE(SUBSTITUTE(SUBSTITUTE(SUBSTITUTE(UPPER($F202&amp;""),"Q",""),"분기","")," ","")))</f>
        <v/>
      </c>
      <c r="O202" s="77">
        <f>IF($A202="",0,($G202+$H202)*설정!$C$23)</f>
        <v/>
      </c>
      <c r="P202" s="77">
        <f>IF($A202="",0,$I202*설정!$C$23)</f>
        <v/>
      </c>
      <c r="Q202" s="39">
        <f>IF($A202="","",IF(COUNTIF(변동분석!$E$7:$E$506,L202)&gt;0,"Y","N"))</f>
        <v/>
      </c>
      <c r="R202" s="9">
        <f>IF($A202="","",$D202&amp;"")</f>
        <v/>
      </c>
    </row>
    <row r="203">
      <c r="A203" s="75" t="n">
        <v>2026</v>
      </c>
      <c r="B203" s="75" t="inlineStr">
        <is>
          <t>D700</t>
        </is>
      </c>
      <c r="C203" s="75" t="inlineStr">
        <is>
          <t>IT운영팀</t>
        </is>
      </c>
      <c r="D203" s="75" t="n">
        <v>62201000</v>
      </c>
      <c r="E203" s="75" t="inlineStr">
        <is>
          <t>통신비</t>
        </is>
      </c>
      <c r="F203" s="75" t="n">
        <v>3</v>
      </c>
      <c r="G203" s="76" t="n">
        <v>45000000</v>
      </c>
      <c r="H203" s="76" t="n">
        <v>0</v>
      </c>
      <c r="I203" s="76" t="n">
        <v>38012000</v>
      </c>
      <c r="J203" s="76" t="n">
        <v>6988000</v>
      </c>
      <c r="L203" s="9">
        <f>IF($A203="","",$B203&amp;"|"&amp;$D203)</f>
        <v/>
      </c>
      <c r="M203" s="9">
        <f>IF($A203="","",VALUE($A203&amp;""))</f>
        <v/>
      </c>
      <c r="N203" s="9">
        <f>IF($A203="","",VALUE(SUBSTITUTE(SUBSTITUTE(SUBSTITUTE(UPPER($F203&amp;""),"Q",""),"분기","")," ","")))</f>
        <v/>
      </c>
      <c r="O203" s="77">
        <f>IF($A203="",0,($G203+$H203)*설정!$C$23)</f>
        <v/>
      </c>
      <c r="P203" s="77">
        <f>IF($A203="",0,$I203*설정!$C$23)</f>
        <v/>
      </c>
      <c r="Q203" s="39">
        <f>IF($A203="","",IF(COUNTIF(변동분석!$E$7:$E$506,L203)&gt;0,"Y","N"))</f>
        <v/>
      </c>
      <c r="R203" s="9">
        <f>IF($A203="","",$D203&amp;"")</f>
        <v/>
      </c>
    </row>
    <row r="204">
      <c r="A204" s="75" t="n">
        <v>2026</v>
      </c>
      <c r="B204" s="75" t="inlineStr">
        <is>
          <t>D700</t>
        </is>
      </c>
      <c r="C204" s="75" t="inlineStr">
        <is>
          <t>IT운영팀</t>
        </is>
      </c>
      <c r="D204" s="75" t="n">
        <v>62201000</v>
      </c>
      <c r="E204" s="75" t="inlineStr">
        <is>
          <t>통신비</t>
        </is>
      </c>
      <c r="F204" s="75" t="n">
        <v>4</v>
      </c>
      <c r="G204" s="76" t="n">
        <v>45000000</v>
      </c>
      <c r="H204" s="76" t="n">
        <v>0</v>
      </c>
      <c r="I204" s="76" t="n">
        <v>0</v>
      </c>
      <c r="J204" s="76" t="n">
        <v>45000000</v>
      </c>
      <c r="L204" s="9">
        <f>IF($A204="","",$B204&amp;"|"&amp;$D204)</f>
        <v/>
      </c>
      <c r="M204" s="9">
        <f>IF($A204="","",VALUE($A204&amp;""))</f>
        <v/>
      </c>
      <c r="N204" s="9">
        <f>IF($A204="","",VALUE(SUBSTITUTE(SUBSTITUTE(SUBSTITUTE(UPPER($F204&amp;""),"Q",""),"분기","")," ","")))</f>
        <v/>
      </c>
      <c r="O204" s="77">
        <f>IF($A204="",0,($G204+$H204)*설정!$C$23)</f>
        <v/>
      </c>
      <c r="P204" s="77">
        <f>IF($A204="",0,$I204*설정!$C$23)</f>
        <v/>
      </c>
      <c r="Q204" s="39">
        <f>IF($A204="","",IF(COUNTIF(변동분석!$E$7:$E$506,L204)&gt;0,"Y","N"))</f>
        <v/>
      </c>
      <c r="R204" s="9">
        <f>IF($A204="","",$D204&amp;"")</f>
        <v/>
      </c>
    </row>
    <row r="205">
      <c r="A205" s="75" t="n">
        <v>2026</v>
      </c>
      <c r="B205" s="75" t="inlineStr">
        <is>
          <t>D700</t>
        </is>
      </c>
      <c r="C205" s="75" t="inlineStr">
        <is>
          <t>IT운영팀</t>
        </is>
      </c>
      <c r="D205" s="75" t="n">
        <v>62301000</v>
      </c>
      <c r="E205" s="75" t="inlineStr">
        <is>
          <t>소모품비</t>
        </is>
      </c>
      <c r="F205" s="75" t="n">
        <v>1</v>
      </c>
      <c r="G205" s="76" t="n">
        <v>3000000</v>
      </c>
      <c r="H205" s="76" t="n">
        <v>0</v>
      </c>
      <c r="I205" s="76" t="n">
        <v>2520000</v>
      </c>
      <c r="J205" s="76" t="n">
        <v>480000</v>
      </c>
      <c r="L205" s="9">
        <f>IF($A205="","",$B205&amp;"|"&amp;$D205)</f>
        <v/>
      </c>
      <c r="M205" s="9">
        <f>IF($A205="","",VALUE($A205&amp;""))</f>
        <v/>
      </c>
      <c r="N205" s="9">
        <f>IF($A205="","",VALUE(SUBSTITUTE(SUBSTITUTE(SUBSTITUTE(UPPER($F205&amp;""),"Q",""),"분기","")," ","")))</f>
        <v/>
      </c>
      <c r="O205" s="77">
        <f>IF($A205="",0,($G205+$H205)*설정!$C$23)</f>
        <v/>
      </c>
      <c r="P205" s="77">
        <f>IF($A205="",0,$I205*설정!$C$23)</f>
        <v/>
      </c>
      <c r="Q205" s="39">
        <f>IF($A205="","",IF(COUNTIF(변동분석!$E$7:$E$506,L205)&gt;0,"Y","N"))</f>
        <v/>
      </c>
      <c r="R205" s="9">
        <f>IF($A205="","",$D205&amp;"")</f>
        <v/>
      </c>
    </row>
    <row r="206">
      <c r="A206" s="75" t="n">
        <v>2026</v>
      </c>
      <c r="B206" s="75" t="inlineStr">
        <is>
          <t>D700</t>
        </is>
      </c>
      <c r="C206" s="75" t="inlineStr">
        <is>
          <t>IT운영팀</t>
        </is>
      </c>
      <c r="D206" s="75" t="n">
        <v>62301000</v>
      </c>
      <c r="E206" s="75" t="inlineStr">
        <is>
          <t>소모품비</t>
        </is>
      </c>
      <c r="F206" s="75" t="n">
        <v>2</v>
      </c>
      <c r="G206" s="76" t="n">
        <v>3000000</v>
      </c>
      <c r="H206" s="76" t="n">
        <v>0</v>
      </c>
      <c r="I206" s="76" t="n">
        <v>2545000</v>
      </c>
      <c r="J206" s="76" t="n">
        <v>455000</v>
      </c>
      <c r="L206" s="9">
        <f>IF($A206="","",$B206&amp;"|"&amp;$D206)</f>
        <v/>
      </c>
      <c r="M206" s="9">
        <f>IF($A206="","",VALUE($A206&amp;""))</f>
        <v/>
      </c>
      <c r="N206" s="9">
        <f>IF($A206="","",VALUE(SUBSTITUTE(SUBSTITUTE(SUBSTITUTE(UPPER($F206&amp;""),"Q",""),"분기","")," ","")))</f>
        <v/>
      </c>
      <c r="O206" s="77">
        <f>IF($A206="",0,($G206+$H206)*설정!$C$23)</f>
        <v/>
      </c>
      <c r="P206" s="77">
        <f>IF($A206="",0,$I206*설정!$C$23)</f>
        <v/>
      </c>
      <c r="Q206" s="39">
        <f>IF($A206="","",IF(COUNTIF(변동분석!$E$7:$E$506,L206)&gt;0,"Y","N"))</f>
        <v/>
      </c>
      <c r="R206" s="9">
        <f>IF($A206="","",$D206&amp;"")</f>
        <v/>
      </c>
    </row>
    <row r="207">
      <c r="A207" s="75" t="n">
        <v>2026</v>
      </c>
      <c r="B207" s="75" t="inlineStr">
        <is>
          <t>D700</t>
        </is>
      </c>
      <c r="C207" s="75" t="inlineStr">
        <is>
          <t>IT운영팀</t>
        </is>
      </c>
      <c r="D207" s="75" t="n">
        <v>62301000</v>
      </c>
      <c r="E207" s="75" t="inlineStr">
        <is>
          <t>소모품비</t>
        </is>
      </c>
      <c r="F207" s="75" t="n">
        <v>3</v>
      </c>
      <c r="G207" s="76" t="n">
        <v>3000000</v>
      </c>
      <c r="H207" s="76" t="n">
        <v>0</v>
      </c>
      <c r="I207" s="76" t="n">
        <v>2469000</v>
      </c>
      <c r="J207" s="76" t="n">
        <v>531000</v>
      </c>
      <c r="L207" s="9">
        <f>IF($A207="","",$B207&amp;"|"&amp;$D207)</f>
        <v/>
      </c>
      <c r="M207" s="9">
        <f>IF($A207="","",VALUE($A207&amp;""))</f>
        <v/>
      </c>
      <c r="N207" s="9">
        <f>IF($A207="","",VALUE(SUBSTITUTE(SUBSTITUTE(SUBSTITUTE(UPPER($F207&amp;""),"Q",""),"분기","")," ","")))</f>
        <v/>
      </c>
      <c r="O207" s="77">
        <f>IF($A207="",0,($G207+$H207)*설정!$C$23)</f>
        <v/>
      </c>
      <c r="P207" s="77">
        <f>IF($A207="",0,$I207*설정!$C$23)</f>
        <v/>
      </c>
      <c r="Q207" s="39">
        <f>IF($A207="","",IF(COUNTIF(변동분석!$E$7:$E$506,L207)&gt;0,"Y","N"))</f>
        <v/>
      </c>
      <c r="R207" s="9">
        <f>IF($A207="","",$D207&amp;"")</f>
        <v/>
      </c>
    </row>
    <row r="208">
      <c r="A208" s="75" t="n">
        <v>2026</v>
      </c>
      <c r="B208" s="75" t="inlineStr">
        <is>
          <t>D700</t>
        </is>
      </c>
      <c r="C208" s="75" t="inlineStr">
        <is>
          <t>IT운영팀</t>
        </is>
      </c>
      <c r="D208" s="75" t="n">
        <v>62301000</v>
      </c>
      <c r="E208" s="75" t="inlineStr">
        <is>
          <t>소모품비</t>
        </is>
      </c>
      <c r="F208" s="75" t="n">
        <v>4</v>
      </c>
      <c r="G208" s="76" t="n">
        <v>3000000</v>
      </c>
      <c r="H208" s="76" t="n">
        <v>0</v>
      </c>
      <c r="I208" s="76" t="n">
        <v>0</v>
      </c>
      <c r="J208" s="76" t="n">
        <v>3000000</v>
      </c>
      <c r="L208" s="9">
        <f>IF($A208="","",$B208&amp;"|"&amp;$D208)</f>
        <v/>
      </c>
      <c r="M208" s="9">
        <f>IF($A208="","",VALUE($A208&amp;""))</f>
        <v/>
      </c>
      <c r="N208" s="9">
        <f>IF($A208="","",VALUE(SUBSTITUTE(SUBSTITUTE(SUBSTITUTE(UPPER($F208&amp;""),"Q",""),"분기","")," ","")))</f>
        <v/>
      </c>
      <c r="O208" s="77">
        <f>IF($A208="",0,($G208+$H208)*설정!$C$23)</f>
        <v/>
      </c>
      <c r="P208" s="77">
        <f>IF($A208="",0,$I208*설정!$C$23)</f>
        <v/>
      </c>
      <c r="Q208" s="39">
        <f>IF($A208="","",IF(COUNTIF(변동분석!$E$7:$E$506,L208)&gt;0,"Y","N"))</f>
        <v/>
      </c>
      <c r="R208" s="9">
        <f>IF($A208="","",$D208&amp;"")</f>
        <v/>
      </c>
    </row>
    <row r="209">
      <c r="A209" s="75" t="n">
        <v>2026</v>
      </c>
      <c r="B209" s="75" t="inlineStr">
        <is>
          <t>D700</t>
        </is>
      </c>
      <c r="C209" s="75" t="inlineStr">
        <is>
          <t>IT운영팀</t>
        </is>
      </c>
      <c r="D209" s="75" t="n">
        <v>62501000</v>
      </c>
      <c r="E209" s="75" t="inlineStr">
        <is>
          <t>회의비</t>
        </is>
      </c>
      <c r="F209" s="75" t="n">
        <v>1</v>
      </c>
      <c r="G209" s="76" t="n">
        <v>1200000</v>
      </c>
      <c r="H209" s="76" t="n">
        <v>0</v>
      </c>
      <c r="I209" s="76" t="n">
        <v>1035000</v>
      </c>
      <c r="J209" s="76" t="n">
        <v>165000</v>
      </c>
      <c r="L209" s="9">
        <f>IF($A209="","",$B209&amp;"|"&amp;$D209)</f>
        <v/>
      </c>
      <c r="M209" s="9">
        <f>IF($A209="","",VALUE($A209&amp;""))</f>
        <v/>
      </c>
      <c r="N209" s="9">
        <f>IF($A209="","",VALUE(SUBSTITUTE(SUBSTITUTE(SUBSTITUTE(UPPER($F209&amp;""),"Q",""),"분기","")," ","")))</f>
        <v/>
      </c>
      <c r="O209" s="77">
        <f>IF($A209="",0,($G209+$H209)*설정!$C$23)</f>
        <v/>
      </c>
      <c r="P209" s="77">
        <f>IF($A209="",0,$I209*설정!$C$23)</f>
        <v/>
      </c>
      <c r="Q209" s="39">
        <f>IF($A209="","",IF(COUNTIF(변동분석!$E$7:$E$506,L209)&gt;0,"Y","N"))</f>
        <v/>
      </c>
      <c r="R209" s="9">
        <f>IF($A209="","",$D209&amp;"")</f>
        <v/>
      </c>
    </row>
    <row r="210">
      <c r="A210" s="75" t="n">
        <v>2026</v>
      </c>
      <c r="B210" s="75" t="inlineStr">
        <is>
          <t>D700</t>
        </is>
      </c>
      <c r="C210" s="75" t="inlineStr">
        <is>
          <t>IT운영팀</t>
        </is>
      </c>
      <c r="D210" s="75" t="n">
        <v>62501000</v>
      </c>
      <c r="E210" s="75" t="inlineStr">
        <is>
          <t>회의비</t>
        </is>
      </c>
      <c r="F210" s="75" t="n">
        <v>2</v>
      </c>
      <c r="G210" s="76" t="n">
        <v>1200000</v>
      </c>
      <c r="H210" s="76" t="n">
        <v>0</v>
      </c>
      <c r="I210" s="76" t="n">
        <v>1007000</v>
      </c>
      <c r="J210" s="76" t="n">
        <v>193000</v>
      </c>
      <c r="L210" s="9">
        <f>IF($A210="","",$B210&amp;"|"&amp;$D210)</f>
        <v/>
      </c>
      <c r="M210" s="9">
        <f>IF($A210="","",VALUE($A210&amp;""))</f>
        <v/>
      </c>
      <c r="N210" s="9">
        <f>IF($A210="","",VALUE(SUBSTITUTE(SUBSTITUTE(SUBSTITUTE(UPPER($F210&amp;""),"Q",""),"분기","")," ","")))</f>
        <v/>
      </c>
      <c r="O210" s="77">
        <f>IF($A210="",0,($G210+$H210)*설정!$C$23)</f>
        <v/>
      </c>
      <c r="P210" s="77">
        <f>IF($A210="",0,$I210*설정!$C$23)</f>
        <v/>
      </c>
      <c r="Q210" s="39">
        <f>IF($A210="","",IF(COUNTIF(변동분석!$E$7:$E$506,L210)&gt;0,"Y","N"))</f>
        <v/>
      </c>
      <c r="R210" s="9">
        <f>IF($A210="","",$D210&amp;"")</f>
        <v/>
      </c>
    </row>
    <row r="211">
      <c r="A211" s="75" t="n">
        <v>2026</v>
      </c>
      <c r="B211" s="75" t="inlineStr">
        <is>
          <t>D700</t>
        </is>
      </c>
      <c r="C211" s="75" t="inlineStr">
        <is>
          <t>IT운영팀</t>
        </is>
      </c>
      <c r="D211" s="75" t="n">
        <v>62501000</v>
      </c>
      <c r="E211" s="75" t="inlineStr">
        <is>
          <t>회의비</t>
        </is>
      </c>
      <c r="F211" s="75" t="n">
        <v>3</v>
      </c>
      <c r="G211" s="76" t="n">
        <v>1200000</v>
      </c>
      <c r="H211" s="76" t="n">
        <v>0</v>
      </c>
      <c r="I211" s="76" t="n">
        <v>1035000</v>
      </c>
      <c r="J211" s="76" t="n">
        <v>165000</v>
      </c>
      <c r="L211" s="9">
        <f>IF($A211="","",$B211&amp;"|"&amp;$D211)</f>
        <v/>
      </c>
      <c r="M211" s="9">
        <f>IF($A211="","",VALUE($A211&amp;""))</f>
        <v/>
      </c>
      <c r="N211" s="9">
        <f>IF($A211="","",VALUE(SUBSTITUTE(SUBSTITUTE(SUBSTITUTE(UPPER($F211&amp;""),"Q",""),"분기","")," ","")))</f>
        <v/>
      </c>
      <c r="O211" s="77">
        <f>IF($A211="",0,($G211+$H211)*설정!$C$23)</f>
        <v/>
      </c>
      <c r="P211" s="77">
        <f>IF($A211="",0,$I211*설정!$C$23)</f>
        <v/>
      </c>
      <c r="Q211" s="39">
        <f>IF($A211="","",IF(COUNTIF(변동분석!$E$7:$E$506,L211)&gt;0,"Y","N"))</f>
        <v/>
      </c>
      <c r="R211" s="9">
        <f>IF($A211="","",$D211&amp;"")</f>
        <v/>
      </c>
    </row>
    <row r="212">
      <c r="A212" s="75" t="n">
        <v>2026</v>
      </c>
      <c r="B212" s="75" t="inlineStr">
        <is>
          <t>D700</t>
        </is>
      </c>
      <c r="C212" s="75" t="inlineStr">
        <is>
          <t>IT운영팀</t>
        </is>
      </c>
      <c r="D212" s="75" t="n">
        <v>62501000</v>
      </c>
      <c r="E212" s="75" t="inlineStr">
        <is>
          <t>회의비</t>
        </is>
      </c>
      <c r="F212" s="75" t="n">
        <v>4</v>
      </c>
      <c r="G212" s="76" t="n">
        <v>1200000</v>
      </c>
      <c r="H212" s="76" t="n">
        <v>0</v>
      </c>
      <c r="I212" s="76" t="n">
        <v>0</v>
      </c>
      <c r="J212" s="76" t="n">
        <v>1200000</v>
      </c>
      <c r="L212" s="9">
        <f>IF($A212="","",$B212&amp;"|"&amp;$D212)</f>
        <v/>
      </c>
      <c r="M212" s="9">
        <f>IF($A212="","",VALUE($A212&amp;""))</f>
        <v/>
      </c>
      <c r="N212" s="9">
        <f>IF($A212="","",VALUE(SUBSTITUTE(SUBSTITUTE(SUBSTITUTE(UPPER($F212&amp;""),"Q",""),"분기","")," ","")))</f>
        <v/>
      </c>
      <c r="O212" s="77">
        <f>IF($A212="",0,($G212+$H212)*설정!$C$23)</f>
        <v/>
      </c>
      <c r="P212" s="77">
        <f>IF($A212="",0,$I212*설정!$C$23)</f>
        <v/>
      </c>
      <c r="Q212" s="39">
        <f>IF($A212="","",IF(COUNTIF(변동분석!$E$7:$E$506,L212)&gt;0,"Y","N"))</f>
        <v/>
      </c>
      <c r="R212" s="9">
        <f>IF($A212="","",$D212&amp;"")</f>
        <v/>
      </c>
    </row>
    <row r="213">
      <c r="A213" s="75" t="n">
        <v>2026</v>
      </c>
      <c r="B213" s="75" t="inlineStr">
        <is>
          <t>D700</t>
        </is>
      </c>
      <c r="C213" s="75" t="inlineStr">
        <is>
          <t>IT운영팀</t>
        </is>
      </c>
      <c r="D213" s="75" t="n">
        <v>63001000</v>
      </c>
      <c r="E213" s="75" t="inlineStr">
        <is>
          <t>전산운영비-SW유지보수</t>
        </is>
      </c>
      <c r="F213" s="75" t="n">
        <v>1</v>
      </c>
      <c r="G213" s="76" t="n">
        <v>330000000</v>
      </c>
      <c r="H213" s="76" t="n">
        <v>0</v>
      </c>
      <c r="I213" s="76" t="n">
        <v>292424000</v>
      </c>
      <c r="J213" s="76" t="n">
        <v>37576000</v>
      </c>
      <c r="L213" s="9">
        <f>IF($A213="","",$B213&amp;"|"&amp;$D213)</f>
        <v/>
      </c>
      <c r="M213" s="9">
        <f>IF($A213="","",VALUE($A213&amp;""))</f>
        <v/>
      </c>
      <c r="N213" s="9">
        <f>IF($A213="","",VALUE(SUBSTITUTE(SUBSTITUTE(SUBSTITUTE(UPPER($F213&amp;""),"Q",""),"분기","")," ","")))</f>
        <v/>
      </c>
      <c r="O213" s="77">
        <f>IF($A213="",0,($G213+$H213)*설정!$C$23)</f>
        <v/>
      </c>
      <c r="P213" s="77">
        <f>IF($A213="",0,$I213*설정!$C$23)</f>
        <v/>
      </c>
      <c r="Q213" s="39">
        <f>IF($A213="","",IF(COUNTIF(변동분석!$E$7:$E$506,L213)&gt;0,"Y","N"))</f>
        <v/>
      </c>
      <c r="R213" s="9">
        <f>IF($A213="","",$D213&amp;"")</f>
        <v/>
      </c>
    </row>
    <row r="214">
      <c r="A214" s="75" t="n">
        <v>2026</v>
      </c>
      <c r="B214" s="75" t="inlineStr">
        <is>
          <t>D700</t>
        </is>
      </c>
      <c r="C214" s="75" t="inlineStr">
        <is>
          <t>IT운영팀</t>
        </is>
      </c>
      <c r="D214" s="75" t="n">
        <v>63001000</v>
      </c>
      <c r="E214" s="75" t="inlineStr">
        <is>
          <t>전산운영비-SW유지보수</t>
        </is>
      </c>
      <c r="F214" s="75" t="n">
        <v>2</v>
      </c>
      <c r="G214" s="76" t="n">
        <v>330000000</v>
      </c>
      <c r="H214" s="76" t="n">
        <v>0</v>
      </c>
      <c r="I214" s="76" t="n">
        <v>275743000</v>
      </c>
      <c r="J214" s="76" t="n">
        <v>54257000</v>
      </c>
      <c r="L214" s="9">
        <f>IF($A214="","",$B214&amp;"|"&amp;$D214)</f>
        <v/>
      </c>
      <c r="M214" s="9">
        <f>IF($A214="","",VALUE($A214&amp;""))</f>
        <v/>
      </c>
      <c r="N214" s="9">
        <f>IF($A214="","",VALUE(SUBSTITUTE(SUBSTITUTE(SUBSTITUTE(UPPER($F214&amp;""),"Q",""),"분기","")," ","")))</f>
        <v/>
      </c>
      <c r="O214" s="77">
        <f>IF($A214="",0,($G214+$H214)*설정!$C$23)</f>
        <v/>
      </c>
      <c r="P214" s="77">
        <f>IF($A214="",0,$I214*설정!$C$23)</f>
        <v/>
      </c>
      <c r="Q214" s="39">
        <f>IF($A214="","",IF(COUNTIF(변동분석!$E$7:$E$506,L214)&gt;0,"Y","N"))</f>
        <v/>
      </c>
      <c r="R214" s="9">
        <f>IF($A214="","",$D214&amp;"")</f>
        <v/>
      </c>
    </row>
    <row r="215">
      <c r="A215" s="75" t="n">
        <v>2026</v>
      </c>
      <c r="B215" s="75" t="inlineStr">
        <is>
          <t>D700</t>
        </is>
      </c>
      <c r="C215" s="75" t="inlineStr">
        <is>
          <t>IT운영팀</t>
        </is>
      </c>
      <c r="D215" s="75" t="n">
        <v>63001000</v>
      </c>
      <c r="E215" s="75" t="inlineStr">
        <is>
          <t>전산운영비-SW유지보수</t>
        </is>
      </c>
      <c r="F215" s="75" t="n">
        <v>3</v>
      </c>
      <c r="G215" s="76" t="n">
        <v>330000000</v>
      </c>
      <c r="H215" s="76" t="n">
        <v>0</v>
      </c>
      <c r="I215" s="76" t="n">
        <v>281736000</v>
      </c>
      <c r="J215" s="76" t="n">
        <v>48264000</v>
      </c>
      <c r="L215" s="9">
        <f>IF($A215="","",$B215&amp;"|"&amp;$D215)</f>
        <v/>
      </c>
      <c r="M215" s="9">
        <f>IF($A215="","",VALUE($A215&amp;""))</f>
        <v/>
      </c>
      <c r="N215" s="9">
        <f>IF($A215="","",VALUE(SUBSTITUTE(SUBSTITUTE(SUBSTITUTE(UPPER($F215&amp;""),"Q",""),"분기","")," ","")))</f>
        <v/>
      </c>
      <c r="O215" s="77">
        <f>IF($A215="",0,($G215+$H215)*설정!$C$23)</f>
        <v/>
      </c>
      <c r="P215" s="77">
        <f>IF($A215="",0,$I215*설정!$C$23)</f>
        <v/>
      </c>
      <c r="Q215" s="39">
        <f>IF($A215="","",IF(COUNTIF(변동분석!$E$7:$E$506,L215)&gt;0,"Y","N"))</f>
        <v/>
      </c>
      <c r="R215" s="9">
        <f>IF($A215="","",$D215&amp;"")</f>
        <v/>
      </c>
    </row>
    <row r="216">
      <c r="A216" s="75" t="n">
        <v>2026</v>
      </c>
      <c r="B216" s="75" t="inlineStr">
        <is>
          <t>D700</t>
        </is>
      </c>
      <c r="C216" s="75" t="inlineStr">
        <is>
          <t>IT운영팀</t>
        </is>
      </c>
      <c r="D216" s="75" t="n">
        <v>63001000</v>
      </c>
      <c r="E216" s="75" t="inlineStr">
        <is>
          <t>전산운영비-SW유지보수</t>
        </is>
      </c>
      <c r="F216" s="75" t="n">
        <v>4</v>
      </c>
      <c r="G216" s="76" t="n">
        <v>330000000</v>
      </c>
      <c r="H216" s="76" t="n">
        <v>0</v>
      </c>
      <c r="I216" s="76" t="n">
        <v>0</v>
      </c>
      <c r="J216" s="76" t="n">
        <v>330000000</v>
      </c>
      <c r="L216" s="9">
        <f>IF($A216="","",$B216&amp;"|"&amp;$D216)</f>
        <v/>
      </c>
      <c r="M216" s="9">
        <f>IF($A216="","",VALUE($A216&amp;""))</f>
        <v/>
      </c>
      <c r="N216" s="9">
        <f>IF($A216="","",VALUE(SUBSTITUTE(SUBSTITUTE(SUBSTITUTE(UPPER($F216&amp;""),"Q",""),"분기","")," ","")))</f>
        <v/>
      </c>
      <c r="O216" s="77">
        <f>IF($A216="",0,($G216+$H216)*설정!$C$23)</f>
        <v/>
      </c>
      <c r="P216" s="77">
        <f>IF($A216="",0,$I216*설정!$C$23)</f>
        <v/>
      </c>
      <c r="Q216" s="39">
        <f>IF($A216="","",IF(COUNTIF(변동분석!$E$7:$E$506,L216)&gt;0,"Y","N"))</f>
        <v/>
      </c>
      <c r="R216" s="9">
        <f>IF($A216="","",$D216&amp;"")</f>
        <v/>
      </c>
    </row>
    <row r="217">
      <c r="A217" s="75" t="n">
        <v>2026</v>
      </c>
      <c r="B217" s="75" t="inlineStr">
        <is>
          <t>D700</t>
        </is>
      </c>
      <c r="C217" s="75" t="inlineStr">
        <is>
          <t>IT운영팀</t>
        </is>
      </c>
      <c r="D217" s="75" t="n">
        <v>63002000</v>
      </c>
      <c r="E217" s="75" t="inlineStr">
        <is>
          <t>전산운영비-클라우드</t>
        </is>
      </c>
      <c r="F217" s="75" t="n">
        <v>1</v>
      </c>
      <c r="G217" s="76" t="n">
        <v>270000000</v>
      </c>
      <c r="H217" s="76" t="n">
        <v>0</v>
      </c>
      <c r="I217" s="76" t="n">
        <v>235000000</v>
      </c>
      <c r="J217" s="76" t="n">
        <v>35000000</v>
      </c>
      <c r="L217" s="9">
        <f>IF($A217="","",$B217&amp;"|"&amp;$D217)</f>
        <v/>
      </c>
      <c r="M217" s="9">
        <f>IF($A217="","",VALUE($A217&amp;""))</f>
        <v/>
      </c>
      <c r="N217" s="9">
        <f>IF($A217="","",VALUE(SUBSTITUTE(SUBSTITUTE(SUBSTITUTE(UPPER($F217&amp;""),"Q",""),"분기","")," ","")))</f>
        <v/>
      </c>
      <c r="O217" s="77">
        <f>IF($A217="",0,($G217+$H217)*설정!$C$23)</f>
        <v/>
      </c>
      <c r="P217" s="77">
        <f>IF($A217="",0,$I217*설정!$C$23)</f>
        <v/>
      </c>
      <c r="Q217" s="39">
        <f>IF($A217="","",IF(COUNTIF(변동분석!$E$7:$E$506,L217)&gt;0,"Y","N"))</f>
        <v/>
      </c>
      <c r="R217" s="9">
        <f>IF($A217="","",$D217&amp;"")</f>
        <v/>
      </c>
    </row>
    <row r="218">
      <c r="A218" s="75" t="n">
        <v>2026</v>
      </c>
      <c r="B218" s="75" t="inlineStr">
        <is>
          <t>D700</t>
        </is>
      </c>
      <c r="C218" s="75" t="inlineStr">
        <is>
          <t>IT운영팀</t>
        </is>
      </c>
      <c r="D218" s="75" t="n">
        <v>63002000</v>
      </c>
      <c r="E218" s="75" t="inlineStr">
        <is>
          <t>전산운영비-클라우드</t>
        </is>
      </c>
      <c r="F218" s="75" t="n">
        <v>2</v>
      </c>
      <c r="G218" s="76" t="n">
        <v>270000000</v>
      </c>
      <c r="H218" s="76" t="n">
        <v>0</v>
      </c>
      <c r="I218" s="76" t="n">
        <v>239000000</v>
      </c>
      <c r="J218" s="76" t="n">
        <v>31000000</v>
      </c>
      <c r="L218" s="9">
        <f>IF($A218="","",$B218&amp;"|"&amp;$D218)</f>
        <v/>
      </c>
      <c r="M218" s="9">
        <f>IF($A218="","",VALUE($A218&amp;""))</f>
        <v/>
      </c>
      <c r="N218" s="9">
        <f>IF($A218="","",VALUE(SUBSTITUTE(SUBSTITUTE(SUBSTITUTE(UPPER($F218&amp;""),"Q",""),"분기","")," ","")))</f>
        <v/>
      </c>
      <c r="O218" s="77">
        <f>IF($A218="",0,($G218+$H218)*설정!$C$23)</f>
        <v/>
      </c>
      <c r="P218" s="77">
        <f>IF($A218="",0,$I218*설정!$C$23)</f>
        <v/>
      </c>
      <c r="Q218" s="39">
        <f>IF($A218="","",IF(COUNTIF(변동분석!$E$7:$E$506,L218)&gt;0,"Y","N"))</f>
        <v/>
      </c>
      <c r="R218" s="9">
        <f>IF($A218="","",$D218&amp;"")</f>
        <v/>
      </c>
    </row>
    <row r="219">
      <c r="A219" s="75" t="n">
        <v>2026</v>
      </c>
      <c r="B219" s="75" t="inlineStr">
        <is>
          <t>D700</t>
        </is>
      </c>
      <c r="C219" s="75" t="inlineStr">
        <is>
          <t>IT운영팀</t>
        </is>
      </c>
      <c r="D219" s="75" t="n">
        <v>63002000</v>
      </c>
      <c r="E219" s="75" t="inlineStr">
        <is>
          <t>전산운영비-클라우드</t>
        </is>
      </c>
      <c r="F219" s="75" t="n">
        <v>3</v>
      </c>
      <c r="G219" s="76" t="n">
        <v>270000000</v>
      </c>
      <c r="H219" s="76" t="n">
        <v>50000000</v>
      </c>
      <c r="I219" s="76" t="n">
        <v>280000000</v>
      </c>
      <c r="J219" s="76" t="n">
        <v>40000000</v>
      </c>
      <c r="L219" s="9">
        <f>IF($A219="","",$B219&amp;"|"&amp;$D219)</f>
        <v/>
      </c>
      <c r="M219" s="9">
        <f>IF($A219="","",VALUE($A219&amp;""))</f>
        <v/>
      </c>
      <c r="N219" s="9">
        <f>IF($A219="","",VALUE(SUBSTITUTE(SUBSTITUTE(SUBSTITUTE(UPPER($F219&amp;""),"Q",""),"분기","")," ","")))</f>
        <v/>
      </c>
      <c r="O219" s="77">
        <f>IF($A219="",0,($G219+$H219)*설정!$C$23)</f>
        <v/>
      </c>
      <c r="P219" s="77">
        <f>IF($A219="",0,$I219*설정!$C$23)</f>
        <v/>
      </c>
      <c r="Q219" s="39">
        <f>IF($A219="","",IF(COUNTIF(변동분석!$E$7:$E$506,L219)&gt;0,"Y","N"))</f>
        <v/>
      </c>
      <c r="R219" s="9">
        <f>IF($A219="","",$D219&amp;"")</f>
        <v/>
      </c>
    </row>
    <row r="220">
      <c r="A220" s="75" t="n">
        <v>2026</v>
      </c>
      <c r="B220" s="75" t="inlineStr">
        <is>
          <t>D700</t>
        </is>
      </c>
      <c r="C220" s="75" t="inlineStr">
        <is>
          <t>IT운영팀</t>
        </is>
      </c>
      <c r="D220" s="75" t="n">
        <v>63002000</v>
      </c>
      <c r="E220" s="75" t="inlineStr">
        <is>
          <t>전산운영비-클라우드</t>
        </is>
      </c>
      <c r="F220" s="75" t="n">
        <v>4</v>
      </c>
      <c r="G220" s="76" t="n">
        <v>270000000</v>
      </c>
      <c r="H220" s="76" t="n">
        <v>0</v>
      </c>
      <c r="I220" s="76" t="n">
        <v>0</v>
      </c>
      <c r="J220" s="76" t="n">
        <v>270000000</v>
      </c>
      <c r="L220" s="9">
        <f>IF($A220="","",$B220&amp;"|"&amp;$D220)</f>
        <v/>
      </c>
      <c r="M220" s="9">
        <f>IF($A220="","",VALUE($A220&amp;""))</f>
        <v/>
      </c>
      <c r="N220" s="9">
        <f>IF($A220="","",VALUE(SUBSTITUTE(SUBSTITUTE(SUBSTITUTE(UPPER($F220&amp;""),"Q",""),"분기","")," ","")))</f>
        <v/>
      </c>
      <c r="O220" s="77">
        <f>IF($A220="",0,($G220+$H220)*설정!$C$23)</f>
        <v/>
      </c>
      <c r="P220" s="77">
        <f>IF($A220="",0,$I220*설정!$C$23)</f>
        <v/>
      </c>
      <c r="Q220" s="39">
        <f>IF($A220="","",IF(COUNTIF(변동분석!$E$7:$E$506,L220)&gt;0,"Y","N"))</f>
        <v/>
      </c>
      <c r="R220" s="9">
        <f>IF($A220="","",$D220&amp;"")</f>
        <v/>
      </c>
    </row>
    <row r="221">
      <c r="A221" s="75" t="n">
        <v>2026</v>
      </c>
      <c r="B221" s="75" t="inlineStr">
        <is>
          <t>D800</t>
        </is>
      </c>
      <c r="C221" s="75" t="inlineStr">
        <is>
          <t>고객서비스팀</t>
        </is>
      </c>
      <c r="D221" s="75" t="n">
        <v>62101000</v>
      </c>
      <c r="E221" s="75" t="inlineStr">
        <is>
          <t>여비교통비-국내</t>
        </is>
      </c>
      <c r="F221" s="75" t="n">
        <v>1</v>
      </c>
      <c r="G221" s="76" t="n">
        <v>2550000</v>
      </c>
      <c r="H221" s="76" t="n">
        <v>0</v>
      </c>
      <c r="I221" s="76" t="n">
        <v>2262000</v>
      </c>
      <c r="J221" s="76" t="n">
        <v>288000</v>
      </c>
      <c r="L221" s="9">
        <f>IF($A221="","",$B221&amp;"|"&amp;$D221)</f>
        <v/>
      </c>
      <c r="M221" s="9">
        <f>IF($A221="","",VALUE($A221&amp;""))</f>
        <v/>
      </c>
      <c r="N221" s="9">
        <f>IF($A221="","",VALUE(SUBSTITUTE(SUBSTITUTE(SUBSTITUTE(UPPER($F221&amp;""),"Q",""),"분기","")," ","")))</f>
        <v/>
      </c>
      <c r="O221" s="77">
        <f>IF($A221="",0,($G221+$H221)*설정!$C$23)</f>
        <v/>
      </c>
      <c r="P221" s="77">
        <f>IF($A221="",0,$I221*설정!$C$23)</f>
        <v/>
      </c>
      <c r="Q221" s="39">
        <f>IF($A221="","",IF(COUNTIF(변동분석!$E$7:$E$506,L221)&gt;0,"Y","N"))</f>
        <v/>
      </c>
      <c r="R221" s="9">
        <f>IF($A221="","",$D221&amp;"")</f>
        <v/>
      </c>
    </row>
    <row r="222">
      <c r="A222" s="75" t="n">
        <v>2026</v>
      </c>
      <c r="B222" s="75" t="inlineStr">
        <is>
          <t>D800</t>
        </is>
      </c>
      <c r="C222" s="75" t="inlineStr">
        <is>
          <t>고객서비스팀</t>
        </is>
      </c>
      <c r="D222" s="75" t="n">
        <v>62101000</v>
      </c>
      <c r="E222" s="75" t="inlineStr">
        <is>
          <t>여비교통비-국내</t>
        </is>
      </c>
      <c r="F222" s="75" t="n">
        <v>2</v>
      </c>
      <c r="G222" s="76" t="n">
        <v>2550000</v>
      </c>
      <c r="H222" s="76" t="n">
        <v>0</v>
      </c>
      <c r="I222" s="76" t="n">
        <v>2460000</v>
      </c>
      <c r="J222" s="76" t="n">
        <v>90000</v>
      </c>
      <c r="L222" s="9">
        <f>IF($A222="","",$B222&amp;"|"&amp;$D222)</f>
        <v/>
      </c>
      <c r="M222" s="9">
        <f>IF($A222="","",VALUE($A222&amp;""))</f>
        <v/>
      </c>
      <c r="N222" s="9">
        <f>IF($A222="","",VALUE(SUBSTITUTE(SUBSTITUTE(SUBSTITUTE(UPPER($F222&amp;""),"Q",""),"분기","")," ","")))</f>
        <v/>
      </c>
      <c r="O222" s="77">
        <f>IF($A222="",0,($G222+$H222)*설정!$C$23)</f>
        <v/>
      </c>
      <c r="P222" s="77">
        <f>IF($A222="",0,$I222*설정!$C$23)</f>
        <v/>
      </c>
      <c r="Q222" s="39">
        <f>IF($A222="","",IF(COUNTIF(변동분석!$E$7:$E$506,L222)&gt;0,"Y","N"))</f>
        <v/>
      </c>
      <c r="R222" s="9">
        <f>IF($A222="","",$D222&amp;"")</f>
        <v/>
      </c>
    </row>
    <row r="223">
      <c r="A223" s="75" t="n">
        <v>2026</v>
      </c>
      <c r="B223" s="75" t="inlineStr">
        <is>
          <t>D800</t>
        </is>
      </c>
      <c r="C223" s="75" t="inlineStr">
        <is>
          <t>고객서비스팀</t>
        </is>
      </c>
      <c r="D223" s="75" t="n">
        <v>62101000</v>
      </c>
      <c r="E223" s="75" t="inlineStr">
        <is>
          <t>여비교통비-국내</t>
        </is>
      </c>
      <c r="F223" s="75" t="n">
        <v>3</v>
      </c>
      <c r="G223" s="76" t="n">
        <v>2550000</v>
      </c>
      <c r="H223" s="76" t="n">
        <v>0</v>
      </c>
      <c r="I223" s="76" t="n">
        <v>2291000</v>
      </c>
      <c r="J223" s="76" t="n">
        <v>259000</v>
      </c>
      <c r="L223" s="9">
        <f>IF($A223="","",$B223&amp;"|"&amp;$D223)</f>
        <v/>
      </c>
      <c r="M223" s="9">
        <f>IF($A223="","",VALUE($A223&amp;""))</f>
        <v/>
      </c>
      <c r="N223" s="9">
        <f>IF($A223="","",VALUE(SUBSTITUTE(SUBSTITUTE(SUBSTITUTE(UPPER($F223&amp;""),"Q",""),"분기","")," ","")))</f>
        <v/>
      </c>
      <c r="O223" s="77">
        <f>IF($A223="",0,($G223+$H223)*설정!$C$23)</f>
        <v/>
      </c>
      <c r="P223" s="77">
        <f>IF($A223="",0,$I223*설정!$C$23)</f>
        <v/>
      </c>
      <c r="Q223" s="39">
        <f>IF($A223="","",IF(COUNTIF(변동분석!$E$7:$E$506,L223)&gt;0,"Y","N"))</f>
        <v/>
      </c>
      <c r="R223" s="9">
        <f>IF($A223="","",$D223&amp;"")</f>
        <v/>
      </c>
    </row>
    <row r="224">
      <c r="A224" s="75" t="n">
        <v>2026</v>
      </c>
      <c r="B224" s="75" t="inlineStr">
        <is>
          <t>D800</t>
        </is>
      </c>
      <c r="C224" s="75" t="inlineStr">
        <is>
          <t>고객서비스팀</t>
        </is>
      </c>
      <c r="D224" s="75" t="n">
        <v>62101000</v>
      </c>
      <c r="E224" s="75" t="inlineStr">
        <is>
          <t>여비교통비-국내</t>
        </is>
      </c>
      <c r="F224" s="75" t="n">
        <v>4</v>
      </c>
      <c r="G224" s="76" t="n">
        <v>2550000</v>
      </c>
      <c r="H224" s="76" t="n">
        <v>0</v>
      </c>
      <c r="I224" s="76" t="n">
        <v>0</v>
      </c>
      <c r="J224" s="76" t="n">
        <v>2550000</v>
      </c>
      <c r="L224" s="9">
        <f>IF($A224="","",$B224&amp;"|"&amp;$D224)</f>
        <v/>
      </c>
      <c r="M224" s="9">
        <f>IF($A224="","",VALUE($A224&amp;""))</f>
        <v/>
      </c>
      <c r="N224" s="9">
        <f>IF($A224="","",VALUE(SUBSTITUTE(SUBSTITUTE(SUBSTITUTE(UPPER($F224&amp;""),"Q",""),"분기","")," ","")))</f>
        <v/>
      </c>
      <c r="O224" s="77">
        <f>IF($A224="",0,($G224+$H224)*설정!$C$23)</f>
        <v/>
      </c>
      <c r="P224" s="77">
        <f>IF($A224="",0,$I224*설정!$C$23)</f>
        <v/>
      </c>
      <c r="Q224" s="39">
        <f>IF($A224="","",IF(COUNTIF(변동분석!$E$7:$E$506,L224)&gt;0,"Y","N"))</f>
        <v/>
      </c>
      <c r="R224" s="9">
        <f>IF($A224="","",$D224&amp;"")</f>
        <v/>
      </c>
    </row>
    <row r="225">
      <c r="A225" s="75" t="n">
        <v>2026</v>
      </c>
      <c r="B225" s="75" t="inlineStr">
        <is>
          <t>D800</t>
        </is>
      </c>
      <c r="C225" s="75" t="inlineStr">
        <is>
          <t>고객서비스팀</t>
        </is>
      </c>
      <c r="D225" s="75" t="n">
        <v>62102000</v>
      </c>
      <c r="E225" s="75" t="inlineStr">
        <is>
          <t>여비교통비-해외</t>
        </is>
      </c>
      <c r="F225" s="75" t="n">
        <v>1</v>
      </c>
      <c r="G225" s="76" t="n">
        <v>450000</v>
      </c>
      <c r="H225" s="76" t="n">
        <v>0</v>
      </c>
      <c r="I225" s="76" t="n">
        <v>361000</v>
      </c>
      <c r="J225" s="76" t="n">
        <v>89000</v>
      </c>
      <c r="L225" s="9">
        <f>IF($A225="","",$B225&amp;"|"&amp;$D225)</f>
        <v/>
      </c>
      <c r="M225" s="9">
        <f>IF($A225="","",VALUE($A225&amp;""))</f>
        <v/>
      </c>
      <c r="N225" s="9">
        <f>IF($A225="","",VALUE(SUBSTITUTE(SUBSTITUTE(SUBSTITUTE(UPPER($F225&amp;""),"Q",""),"분기","")," ","")))</f>
        <v/>
      </c>
      <c r="O225" s="77">
        <f>IF($A225="",0,($G225+$H225)*설정!$C$23)</f>
        <v/>
      </c>
      <c r="P225" s="77">
        <f>IF($A225="",0,$I225*설정!$C$23)</f>
        <v/>
      </c>
      <c r="Q225" s="39">
        <f>IF($A225="","",IF(COUNTIF(변동분석!$E$7:$E$506,L225)&gt;0,"Y","N"))</f>
        <v/>
      </c>
      <c r="R225" s="9">
        <f>IF($A225="","",$D225&amp;"")</f>
        <v/>
      </c>
    </row>
    <row r="226">
      <c r="A226" s="75" t="n">
        <v>2026</v>
      </c>
      <c r="B226" s="75" t="inlineStr">
        <is>
          <t>D800</t>
        </is>
      </c>
      <c r="C226" s="75" t="inlineStr">
        <is>
          <t>고객서비스팀</t>
        </is>
      </c>
      <c r="D226" s="75" t="n">
        <v>62102000</v>
      </c>
      <c r="E226" s="75" t="inlineStr">
        <is>
          <t>여비교통비-해외</t>
        </is>
      </c>
      <c r="F226" s="75" t="n">
        <v>2</v>
      </c>
      <c r="G226" s="76" t="n">
        <v>450000</v>
      </c>
      <c r="H226" s="76" t="n">
        <v>0</v>
      </c>
      <c r="I226" s="76" t="n">
        <v>358000</v>
      </c>
      <c r="J226" s="76" t="n">
        <v>92000</v>
      </c>
      <c r="L226" s="9">
        <f>IF($A226="","",$B226&amp;"|"&amp;$D226)</f>
        <v/>
      </c>
      <c r="M226" s="9">
        <f>IF($A226="","",VALUE($A226&amp;""))</f>
        <v/>
      </c>
      <c r="N226" s="9">
        <f>IF($A226="","",VALUE(SUBSTITUTE(SUBSTITUTE(SUBSTITUTE(UPPER($F226&amp;""),"Q",""),"분기","")," ","")))</f>
        <v/>
      </c>
      <c r="O226" s="77">
        <f>IF($A226="",0,($G226+$H226)*설정!$C$23)</f>
        <v/>
      </c>
      <c r="P226" s="77">
        <f>IF($A226="",0,$I226*설정!$C$23)</f>
        <v/>
      </c>
      <c r="Q226" s="39">
        <f>IF($A226="","",IF(COUNTIF(변동분석!$E$7:$E$506,L226)&gt;0,"Y","N"))</f>
        <v/>
      </c>
      <c r="R226" s="9">
        <f>IF($A226="","",$D226&amp;"")</f>
        <v/>
      </c>
    </row>
    <row r="227">
      <c r="A227" s="75" t="n">
        <v>2026</v>
      </c>
      <c r="B227" s="75" t="inlineStr">
        <is>
          <t>D800</t>
        </is>
      </c>
      <c r="C227" s="75" t="inlineStr">
        <is>
          <t>고객서비스팀</t>
        </is>
      </c>
      <c r="D227" s="75" t="n">
        <v>62102000</v>
      </c>
      <c r="E227" s="75" t="inlineStr">
        <is>
          <t>여비교통비-해외</t>
        </is>
      </c>
      <c r="F227" s="75" t="n">
        <v>3</v>
      </c>
      <c r="G227" s="76" t="n">
        <v>450000</v>
      </c>
      <c r="H227" s="76" t="n">
        <v>0</v>
      </c>
      <c r="I227" s="76" t="n">
        <v>370000</v>
      </c>
      <c r="J227" s="76" t="n">
        <v>80000</v>
      </c>
      <c r="L227" s="9">
        <f>IF($A227="","",$B227&amp;"|"&amp;$D227)</f>
        <v/>
      </c>
      <c r="M227" s="9">
        <f>IF($A227="","",VALUE($A227&amp;""))</f>
        <v/>
      </c>
      <c r="N227" s="9">
        <f>IF($A227="","",VALUE(SUBSTITUTE(SUBSTITUTE(SUBSTITUTE(UPPER($F227&amp;""),"Q",""),"분기","")," ","")))</f>
        <v/>
      </c>
      <c r="O227" s="77">
        <f>IF($A227="",0,($G227+$H227)*설정!$C$23)</f>
        <v/>
      </c>
      <c r="P227" s="77">
        <f>IF($A227="",0,$I227*설정!$C$23)</f>
        <v/>
      </c>
      <c r="Q227" s="39">
        <f>IF($A227="","",IF(COUNTIF(변동분석!$E$7:$E$506,L227)&gt;0,"Y","N"))</f>
        <v/>
      </c>
      <c r="R227" s="9">
        <f>IF($A227="","",$D227&amp;"")</f>
        <v/>
      </c>
    </row>
    <row r="228">
      <c r="A228" s="75" t="n">
        <v>2026</v>
      </c>
      <c r="B228" s="75" t="inlineStr">
        <is>
          <t>D800</t>
        </is>
      </c>
      <c r="C228" s="75" t="inlineStr">
        <is>
          <t>고객서비스팀</t>
        </is>
      </c>
      <c r="D228" s="75" t="n">
        <v>62102000</v>
      </c>
      <c r="E228" s="75" t="inlineStr">
        <is>
          <t>여비교통비-해외</t>
        </is>
      </c>
      <c r="F228" s="75" t="n">
        <v>4</v>
      </c>
      <c r="G228" s="76" t="n">
        <v>450000</v>
      </c>
      <c r="H228" s="76" t="n">
        <v>0</v>
      </c>
      <c r="I228" s="76" t="n">
        <v>0</v>
      </c>
      <c r="J228" s="76" t="n">
        <v>450000</v>
      </c>
      <c r="L228" s="9">
        <f>IF($A228="","",$B228&amp;"|"&amp;$D228)</f>
        <v/>
      </c>
      <c r="M228" s="9">
        <f>IF($A228="","",VALUE($A228&amp;""))</f>
        <v/>
      </c>
      <c r="N228" s="9">
        <f>IF($A228="","",VALUE(SUBSTITUTE(SUBSTITUTE(SUBSTITUTE(UPPER($F228&amp;""),"Q",""),"분기","")," ","")))</f>
        <v/>
      </c>
      <c r="O228" s="77">
        <f>IF($A228="",0,($G228+$H228)*설정!$C$23)</f>
        <v/>
      </c>
      <c r="P228" s="77">
        <f>IF($A228="",0,$I228*설정!$C$23)</f>
        <v/>
      </c>
      <c r="Q228" s="39">
        <f>IF($A228="","",IF(COUNTIF(변동분석!$E$7:$E$506,L228)&gt;0,"Y","N"))</f>
        <v/>
      </c>
      <c r="R228" s="9">
        <f>IF($A228="","",$D228&amp;"")</f>
        <v/>
      </c>
    </row>
    <row r="229">
      <c r="A229" s="75" t="n">
        <v>2026</v>
      </c>
      <c r="B229" s="75" t="inlineStr">
        <is>
          <t>D800</t>
        </is>
      </c>
      <c r="C229" s="75" t="inlineStr">
        <is>
          <t>고객서비스팀</t>
        </is>
      </c>
      <c r="D229" s="75" t="n">
        <v>62201000</v>
      </c>
      <c r="E229" s="75" t="inlineStr">
        <is>
          <t>통신비</t>
        </is>
      </c>
      <c r="F229" s="75" t="n">
        <v>1</v>
      </c>
      <c r="G229" s="76" t="n">
        <v>60000000</v>
      </c>
      <c r="H229" s="76" t="n">
        <v>0</v>
      </c>
      <c r="I229" s="76" t="n">
        <v>49657000</v>
      </c>
      <c r="J229" s="76" t="n">
        <v>10343000</v>
      </c>
      <c r="L229" s="9">
        <f>IF($A229="","",$B229&amp;"|"&amp;$D229)</f>
        <v/>
      </c>
      <c r="M229" s="9">
        <f>IF($A229="","",VALUE($A229&amp;""))</f>
        <v/>
      </c>
      <c r="N229" s="9">
        <f>IF($A229="","",VALUE(SUBSTITUTE(SUBSTITUTE(SUBSTITUTE(UPPER($F229&amp;""),"Q",""),"분기","")," ","")))</f>
        <v/>
      </c>
      <c r="O229" s="77">
        <f>IF($A229="",0,($G229+$H229)*설정!$C$23)</f>
        <v/>
      </c>
      <c r="P229" s="77">
        <f>IF($A229="",0,$I229*설정!$C$23)</f>
        <v/>
      </c>
      <c r="Q229" s="39">
        <f>IF($A229="","",IF(COUNTIF(변동분석!$E$7:$E$506,L229)&gt;0,"Y","N"))</f>
        <v/>
      </c>
      <c r="R229" s="9">
        <f>IF($A229="","",$D229&amp;"")</f>
        <v/>
      </c>
    </row>
    <row r="230">
      <c r="A230" s="75" t="n">
        <v>2026</v>
      </c>
      <c r="B230" s="75" t="inlineStr">
        <is>
          <t>D800</t>
        </is>
      </c>
      <c r="C230" s="75" t="inlineStr">
        <is>
          <t>고객서비스팀</t>
        </is>
      </c>
      <c r="D230" s="75" t="n">
        <v>62201000</v>
      </c>
      <c r="E230" s="75" t="inlineStr">
        <is>
          <t>통신비</t>
        </is>
      </c>
      <c r="F230" s="75" t="n">
        <v>2</v>
      </c>
      <c r="G230" s="76" t="n">
        <v>60000000</v>
      </c>
      <c r="H230" s="76" t="n">
        <v>0</v>
      </c>
      <c r="I230" s="76" t="n">
        <v>51673000</v>
      </c>
      <c r="J230" s="76" t="n">
        <v>8327000</v>
      </c>
      <c r="L230" s="9">
        <f>IF($A230="","",$B230&amp;"|"&amp;$D230)</f>
        <v/>
      </c>
      <c r="M230" s="9">
        <f>IF($A230="","",VALUE($A230&amp;""))</f>
        <v/>
      </c>
      <c r="N230" s="9">
        <f>IF($A230="","",VALUE(SUBSTITUTE(SUBSTITUTE(SUBSTITUTE(UPPER($F230&amp;""),"Q",""),"분기","")," ","")))</f>
        <v/>
      </c>
      <c r="O230" s="77">
        <f>IF($A230="",0,($G230+$H230)*설정!$C$23)</f>
        <v/>
      </c>
      <c r="P230" s="77">
        <f>IF($A230="",0,$I230*설정!$C$23)</f>
        <v/>
      </c>
      <c r="Q230" s="39">
        <f>IF($A230="","",IF(COUNTIF(변동분석!$E$7:$E$506,L230)&gt;0,"Y","N"))</f>
        <v/>
      </c>
      <c r="R230" s="9">
        <f>IF($A230="","",$D230&amp;"")</f>
        <v/>
      </c>
    </row>
    <row r="231">
      <c r="A231" s="75" t="n">
        <v>2026</v>
      </c>
      <c r="B231" s="75" t="inlineStr">
        <is>
          <t>D800</t>
        </is>
      </c>
      <c r="C231" s="75" t="inlineStr">
        <is>
          <t>고객서비스팀</t>
        </is>
      </c>
      <c r="D231" s="75" t="n">
        <v>62201000</v>
      </c>
      <c r="E231" s="75" t="inlineStr">
        <is>
          <t>통신비</t>
        </is>
      </c>
      <c r="F231" s="75" t="n">
        <v>3</v>
      </c>
      <c r="G231" s="76" t="n">
        <v>60000000</v>
      </c>
      <c r="H231" s="76" t="n">
        <v>0</v>
      </c>
      <c r="I231" s="76" t="n">
        <v>52636000</v>
      </c>
      <c r="J231" s="76" t="n">
        <v>7364000</v>
      </c>
      <c r="L231" s="9">
        <f>IF($A231="","",$B231&amp;"|"&amp;$D231)</f>
        <v/>
      </c>
      <c r="M231" s="9">
        <f>IF($A231="","",VALUE($A231&amp;""))</f>
        <v/>
      </c>
      <c r="N231" s="9">
        <f>IF($A231="","",VALUE(SUBSTITUTE(SUBSTITUTE(SUBSTITUTE(UPPER($F231&amp;""),"Q",""),"분기","")," ","")))</f>
        <v/>
      </c>
      <c r="O231" s="77">
        <f>IF($A231="",0,($G231+$H231)*설정!$C$23)</f>
        <v/>
      </c>
      <c r="P231" s="77">
        <f>IF($A231="",0,$I231*설정!$C$23)</f>
        <v/>
      </c>
      <c r="Q231" s="39">
        <f>IF($A231="","",IF(COUNTIF(변동분석!$E$7:$E$506,L231)&gt;0,"Y","N"))</f>
        <v/>
      </c>
      <c r="R231" s="9">
        <f>IF($A231="","",$D231&amp;"")</f>
        <v/>
      </c>
    </row>
    <row r="232">
      <c r="A232" s="75" t="n">
        <v>2026</v>
      </c>
      <c r="B232" s="75" t="inlineStr">
        <is>
          <t>D800</t>
        </is>
      </c>
      <c r="C232" s="75" t="inlineStr">
        <is>
          <t>고객서비스팀</t>
        </is>
      </c>
      <c r="D232" s="75" t="n">
        <v>62201000</v>
      </c>
      <c r="E232" s="75" t="inlineStr">
        <is>
          <t>통신비</t>
        </is>
      </c>
      <c r="F232" s="75" t="n">
        <v>4</v>
      </c>
      <c r="G232" s="76" t="n">
        <v>60000000</v>
      </c>
      <c r="H232" s="76" t="n">
        <v>0</v>
      </c>
      <c r="I232" s="76" t="n">
        <v>0</v>
      </c>
      <c r="J232" s="76" t="n">
        <v>60000000</v>
      </c>
      <c r="L232" s="9">
        <f>IF($A232="","",$B232&amp;"|"&amp;$D232)</f>
        <v/>
      </c>
      <c r="M232" s="9">
        <f>IF($A232="","",VALUE($A232&amp;""))</f>
        <v/>
      </c>
      <c r="N232" s="9">
        <f>IF($A232="","",VALUE(SUBSTITUTE(SUBSTITUTE(SUBSTITUTE(UPPER($F232&amp;""),"Q",""),"분기","")," ","")))</f>
        <v/>
      </c>
      <c r="O232" s="77">
        <f>IF($A232="",0,($G232+$H232)*설정!$C$23)</f>
        <v/>
      </c>
      <c r="P232" s="77">
        <f>IF($A232="",0,$I232*설정!$C$23)</f>
        <v/>
      </c>
      <c r="Q232" s="39">
        <f>IF($A232="","",IF(COUNTIF(변동분석!$E$7:$E$506,L232)&gt;0,"Y","N"))</f>
        <v/>
      </c>
      <c r="R232" s="9">
        <f>IF($A232="","",$D232&amp;"")</f>
        <v/>
      </c>
    </row>
    <row r="233">
      <c r="A233" s="75" t="n">
        <v>2026</v>
      </c>
      <c r="B233" s="75" t="inlineStr">
        <is>
          <t>D800</t>
        </is>
      </c>
      <c r="C233" s="75" t="inlineStr">
        <is>
          <t>고객서비스팀</t>
        </is>
      </c>
      <c r="D233" s="75" t="n">
        <v>62301000</v>
      </c>
      <c r="E233" s="75" t="inlineStr">
        <is>
          <t>소모품비</t>
        </is>
      </c>
      <c r="F233" s="75" t="n">
        <v>1</v>
      </c>
      <c r="G233" s="76" t="n">
        <v>4500000</v>
      </c>
      <c r="H233" s="76" t="n">
        <v>0</v>
      </c>
      <c r="I233" s="76" t="n">
        <v>3642000</v>
      </c>
      <c r="J233" s="76" t="n">
        <v>858000</v>
      </c>
      <c r="L233" s="9">
        <f>IF($A233="","",$B233&amp;"|"&amp;$D233)</f>
        <v/>
      </c>
      <c r="M233" s="9">
        <f>IF($A233="","",VALUE($A233&amp;""))</f>
        <v/>
      </c>
      <c r="N233" s="9">
        <f>IF($A233="","",VALUE(SUBSTITUTE(SUBSTITUTE(SUBSTITUTE(UPPER($F233&amp;""),"Q",""),"분기","")," ","")))</f>
        <v/>
      </c>
      <c r="O233" s="77">
        <f>IF($A233="",0,($G233+$H233)*설정!$C$23)</f>
        <v/>
      </c>
      <c r="P233" s="77">
        <f>IF($A233="",0,$I233*설정!$C$23)</f>
        <v/>
      </c>
      <c r="Q233" s="39">
        <f>IF($A233="","",IF(COUNTIF(변동분석!$E$7:$E$506,L233)&gt;0,"Y","N"))</f>
        <v/>
      </c>
      <c r="R233" s="9">
        <f>IF($A233="","",$D233&amp;"")</f>
        <v/>
      </c>
    </row>
    <row r="234">
      <c r="A234" s="75" t="n">
        <v>2026</v>
      </c>
      <c r="B234" s="75" t="inlineStr">
        <is>
          <t>D800</t>
        </is>
      </c>
      <c r="C234" s="75" t="inlineStr">
        <is>
          <t>고객서비스팀</t>
        </is>
      </c>
      <c r="D234" s="75" t="n">
        <v>62301000</v>
      </c>
      <c r="E234" s="75" t="inlineStr">
        <is>
          <t>소모품비</t>
        </is>
      </c>
      <c r="F234" s="75" t="n">
        <v>2</v>
      </c>
      <c r="G234" s="76" t="n">
        <v>4500000</v>
      </c>
      <c r="H234" s="76" t="n">
        <v>0</v>
      </c>
      <c r="I234" s="76" t="n">
        <v>3669000</v>
      </c>
      <c r="J234" s="76" t="n">
        <v>831000</v>
      </c>
      <c r="L234" s="9">
        <f>IF($A234="","",$B234&amp;"|"&amp;$D234)</f>
        <v/>
      </c>
      <c r="M234" s="9">
        <f>IF($A234="","",VALUE($A234&amp;""))</f>
        <v/>
      </c>
      <c r="N234" s="9">
        <f>IF($A234="","",VALUE(SUBSTITUTE(SUBSTITUTE(SUBSTITUTE(UPPER($F234&amp;""),"Q",""),"분기","")," ","")))</f>
        <v/>
      </c>
      <c r="O234" s="77">
        <f>IF($A234="",0,($G234+$H234)*설정!$C$23)</f>
        <v/>
      </c>
      <c r="P234" s="77">
        <f>IF($A234="",0,$I234*설정!$C$23)</f>
        <v/>
      </c>
      <c r="Q234" s="39">
        <f>IF($A234="","",IF(COUNTIF(변동분석!$E$7:$E$506,L234)&gt;0,"Y","N"))</f>
        <v/>
      </c>
      <c r="R234" s="9">
        <f>IF($A234="","",$D234&amp;"")</f>
        <v/>
      </c>
    </row>
    <row r="235">
      <c r="A235" s="75" t="n">
        <v>2026</v>
      </c>
      <c r="B235" s="75" t="inlineStr">
        <is>
          <t>D800</t>
        </is>
      </c>
      <c r="C235" s="75" t="inlineStr">
        <is>
          <t>고객서비스팀</t>
        </is>
      </c>
      <c r="D235" s="75" t="n">
        <v>62301000</v>
      </c>
      <c r="E235" s="75" t="inlineStr">
        <is>
          <t>소모품비</t>
        </is>
      </c>
      <c r="F235" s="75" t="n">
        <v>3</v>
      </c>
      <c r="G235" s="76" t="n">
        <v>4500000</v>
      </c>
      <c r="H235" s="76" t="n">
        <v>0</v>
      </c>
      <c r="I235" s="76" t="n">
        <v>3744000</v>
      </c>
      <c r="J235" s="76" t="n">
        <v>756000</v>
      </c>
      <c r="L235" s="9">
        <f>IF($A235="","",$B235&amp;"|"&amp;$D235)</f>
        <v/>
      </c>
      <c r="M235" s="9">
        <f>IF($A235="","",VALUE($A235&amp;""))</f>
        <v/>
      </c>
      <c r="N235" s="9">
        <f>IF($A235="","",VALUE(SUBSTITUTE(SUBSTITUTE(SUBSTITUTE(UPPER($F235&amp;""),"Q",""),"분기","")," ","")))</f>
        <v/>
      </c>
      <c r="O235" s="77">
        <f>IF($A235="",0,($G235+$H235)*설정!$C$23)</f>
        <v/>
      </c>
      <c r="P235" s="77">
        <f>IF($A235="",0,$I235*설정!$C$23)</f>
        <v/>
      </c>
      <c r="Q235" s="39">
        <f>IF($A235="","",IF(COUNTIF(변동분석!$E$7:$E$506,L235)&gt;0,"Y","N"))</f>
        <v/>
      </c>
      <c r="R235" s="9">
        <f>IF($A235="","",$D235&amp;"")</f>
        <v/>
      </c>
    </row>
    <row r="236">
      <c r="A236" s="75" t="n">
        <v>2026</v>
      </c>
      <c r="B236" s="75" t="inlineStr">
        <is>
          <t>D800</t>
        </is>
      </c>
      <c r="C236" s="75" t="inlineStr">
        <is>
          <t>고객서비스팀</t>
        </is>
      </c>
      <c r="D236" s="75" t="n">
        <v>62301000</v>
      </c>
      <c r="E236" s="75" t="inlineStr">
        <is>
          <t>소모품비</t>
        </is>
      </c>
      <c r="F236" s="75" t="n">
        <v>4</v>
      </c>
      <c r="G236" s="76" t="n">
        <v>4500000</v>
      </c>
      <c r="H236" s="76" t="n">
        <v>0</v>
      </c>
      <c r="I236" s="76" t="n">
        <v>0</v>
      </c>
      <c r="J236" s="76" t="n">
        <v>4500000</v>
      </c>
      <c r="L236" s="9">
        <f>IF($A236="","",$B236&amp;"|"&amp;$D236)</f>
        <v/>
      </c>
      <c r="M236" s="9">
        <f>IF($A236="","",VALUE($A236&amp;""))</f>
        <v/>
      </c>
      <c r="N236" s="9">
        <f>IF($A236="","",VALUE(SUBSTITUTE(SUBSTITUTE(SUBSTITUTE(UPPER($F236&amp;""),"Q",""),"분기","")," ","")))</f>
        <v/>
      </c>
      <c r="O236" s="77">
        <f>IF($A236="",0,($G236+$H236)*설정!$C$23)</f>
        <v/>
      </c>
      <c r="P236" s="77">
        <f>IF($A236="",0,$I236*설정!$C$23)</f>
        <v/>
      </c>
      <c r="Q236" s="39">
        <f>IF($A236="","",IF(COUNTIF(변동분석!$E$7:$E$506,L236)&gt;0,"Y","N"))</f>
        <v/>
      </c>
      <c r="R236" s="9">
        <f>IF($A236="","",$D236&amp;"")</f>
        <v/>
      </c>
    </row>
    <row r="237">
      <c r="A237" s="75" t="n">
        <v>2026</v>
      </c>
      <c r="B237" s="75" t="inlineStr">
        <is>
          <t>D800</t>
        </is>
      </c>
      <c r="C237" s="75" t="inlineStr">
        <is>
          <t>고객서비스팀</t>
        </is>
      </c>
      <c r="D237" s="75" t="n">
        <v>62401000</v>
      </c>
      <c r="E237" s="75" t="inlineStr">
        <is>
          <t>도서인쇄비</t>
        </is>
      </c>
      <c r="F237" s="75" t="n">
        <v>1</v>
      </c>
      <c r="G237" s="76" t="n">
        <v>24000000</v>
      </c>
      <c r="H237" s="76" t="n">
        <v>0</v>
      </c>
      <c r="I237" s="76" t="n">
        <v>18570000</v>
      </c>
      <c r="J237" s="76" t="n">
        <v>5430000</v>
      </c>
      <c r="L237" s="9">
        <f>IF($A237="","",$B237&amp;"|"&amp;$D237)</f>
        <v/>
      </c>
      <c r="M237" s="9">
        <f>IF($A237="","",VALUE($A237&amp;""))</f>
        <v/>
      </c>
      <c r="N237" s="9">
        <f>IF($A237="","",VALUE(SUBSTITUTE(SUBSTITUTE(SUBSTITUTE(UPPER($F237&amp;""),"Q",""),"분기","")," ","")))</f>
        <v/>
      </c>
      <c r="O237" s="77">
        <f>IF($A237="",0,($G237+$H237)*설정!$C$23)</f>
        <v/>
      </c>
      <c r="P237" s="77">
        <f>IF($A237="",0,$I237*설정!$C$23)</f>
        <v/>
      </c>
      <c r="Q237" s="39">
        <f>IF($A237="","",IF(COUNTIF(변동분석!$E$7:$E$506,L237)&gt;0,"Y","N"))</f>
        <v/>
      </c>
      <c r="R237" s="9">
        <f>IF($A237="","",$D237&amp;"")</f>
        <v/>
      </c>
    </row>
    <row r="238">
      <c r="A238" s="75" t="n">
        <v>2026</v>
      </c>
      <c r="B238" s="75" t="inlineStr">
        <is>
          <t>D800</t>
        </is>
      </c>
      <c r="C238" s="75" t="inlineStr">
        <is>
          <t>고객서비스팀</t>
        </is>
      </c>
      <c r="D238" s="75" t="n">
        <v>62401000</v>
      </c>
      <c r="E238" s="75" t="inlineStr">
        <is>
          <t>도서인쇄비</t>
        </is>
      </c>
      <c r="F238" s="75" t="n">
        <v>2</v>
      </c>
      <c r="G238" s="76" t="n">
        <v>24000000</v>
      </c>
      <c r="H238" s="76" t="n">
        <v>0</v>
      </c>
      <c r="I238" s="76" t="n">
        <v>18095000</v>
      </c>
      <c r="J238" s="76" t="n">
        <v>5905000</v>
      </c>
      <c r="L238" s="9">
        <f>IF($A238="","",$B238&amp;"|"&amp;$D238)</f>
        <v/>
      </c>
      <c r="M238" s="9">
        <f>IF($A238="","",VALUE($A238&amp;""))</f>
        <v/>
      </c>
      <c r="N238" s="9">
        <f>IF($A238="","",VALUE(SUBSTITUTE(SUBSTITUTE(SUBSTITUTE(UPPER($F238&amp;""),"Q",""),"분기","")," ","")))</f>
        <v/>
      </c>
      <c r="O238" s="77">
        <f>IF($A238="",0,($G238+$H238)*설정!$C$23)</f>
        <v/>
      </c>
      <c r="P238" s="77">
        <f>IF($A238="",0,$I238*설정!$C$23)</f>
        <v/>
      </c>
      <c r="Q238" s="39">
        <f>IF($A238="","",IF(COUNTIF(변동분석!$E$7:$E$506,L238)&gt;0,"Y","N"))</f>
        <v/>
      </c>
      <c r="R238" s="9">
        <f>IF($A238="","",$D238&amp;"")</f>
        <v/>
      </c>
    </row>
    <row r="239">
      <c r="A239" s="75" t="n">
        <v>2026</v>
      </c>
      <c r="B239" s="75" t="inlineStr">
        <is>
          <t>D800</t>
        </is>
      </c>
      <c r="C239" s="75" t="inlineStr">
        <is>
          <t>고객서비스팀</t>
        </is>
      </c>
      <c r="D239" s="75" t="n">
        <v>62401000</v>
      </c>
      <c r="E239" s="75" t="inlineStr">
        <is>
          <t>도서인쇄비</t>
        </is>
      </c>
      <c r="F239" s="75" t="n">
        <v>3</v>
      </c>
      <c r="G239" s="76" t="n">
        <v>24000000</v>
      </c>
      <c r="H239" s="76" t="n">
        <v>0</v>
      </c>
      <c r="I239" s="76" t="n">
        <v>21636000</v>
      </c>
      <c r="J239" s="76" t="n">
        <v>2364000</v>
      </c>
      <c r="L239" s="9">
        <f>IF($A239="","",$B239&amp;"|"&amp;$D239)</f>
        <v/>
      </c>
      <c r="M239" s="9">
        <f>IF($A239="","",VALUE($A239&amp;""))</f>
        <v/>
      </c>
      <c r="N239" s="9">
        <f>IF($A239="","",VALUE(SUBSTITUTE(SUBSTITUTE(SUBSTITUTE(UPPER($F239&amp;""),"Q",""),"분기","")," ","")))</f>
        <v/>
      </c>
      <c r="O239" s="77">
        <f>IF($A239="",0,($G239+$H239)*설정!$C$23)</f>
        <v/>
      </c>
      <c r="P239" s="77">
        <f>IF($A239="",0,$I239*설정!$C$23)</f>
        <v/>
      </c>
      <c r="Q239" s="39">
        <f>IF($A239="","",IF(COUNTIF(변동분석!$E$7:$E$506,L239)&gt;0,"Y","N"))</f>
        <v/>
      </c>
      <c r="R239" s="9">
        <f>IF($A239="","",$D239&amp;"")</f>
        <v/>
      </c>
    </row>
    <row r="240">
      <c r="A240" s="75" t="n">
        <v>2026</v>
      </c>
      <c r="B240" s="75" t="inlineStr">
        <is>
          <t>D800</t>
        </is>
      </c>
      <c r="C240" s="75" t="inlineStr">
        <is>
          <t>고객서비스팀</t>
        </is>
      </c>
      <c r="D240" s="75" t="n">
        <v>62401000</v>
      </c>
      <c r="E240" s="75" t="inlineStr">
        <is>
          <t>도서인쇄비</t>
        </is>
      </c>
      <c r="F240" s="75" t="n">
        <v>4</v>
      </c>
      <c r="G240" s="76" t="n">
        <v>24000000</v>
      </c>
      <c r="H240" s="76" t="n">
        <v>0</v>
      </c>
      <c r="I240" s="76" t="n">
        <v>0</v>
      </c>
      <c r="J240" s="76" t="n">
        <v>24000000</v>
      </c>
      <c r="L240" s="9">
        <f>IF($A240="","",$B240&amp;"|"&amp;$D240)</f>
        <v/>
      </c>
      <c r="M240" s="9">
        <f>IF($A240="","",VALUE($A240&amp;""))</f>
        <v/>
      </c>
      <c r="N240" s="9">
        <f>IF($A240="","",VALUE(SUBSTITUTE(SUBSTITUTE(SUBSTITUTE(UPPER($F240&amp;""),"Q",""),"분기","")," ","")))</f>
        <v/>
      </c>
      <c r="O240" s="77">
        <f>IF($A240="",0,($G240+$H240)*설정!$C$23)</f>
        <v/>
      </c>
      <c r="P240" s="77">
        <f>IF($A240="",0,$I240*설정!$C$23)</f>
        <v/>
      </c>
      <c r="Q240" s="39">
        <f>IF($A240="","",IF(COUNTIF(변동분석!$E$7:$E$506,L240)&gt;0,"Y","N"))</f>
        <v/>
      </c>
      <c r="R240" s="9">
        <f>IF($A240="","",$D240&amp;"")</f>
        <v/>
      </c>
    </row>
    <row r="241">
      <c r="A241" s="75" t="n">
        <v>2026</v>
      </c>
      <c r="B241" s="75" t="inlineStr">
        <is>
          <t>D800</t>
        </is>
      </c>
      <c r="C241" s="75" t="inlineStr">
        <is>
          <t>고객서비스팀</t>
        </is>
      </c>
      <c r="D241" s="75" t="n">
        <v>62501000</v>
      </c>
      <c r="E241" s="75" t="inlineStr">
        <is>
          <t>회의비</t>
        </is>
      </c>
      <c r="F241" s="75" t="n">
        <v>1</v>
      </c>
      <c r="G241" s="76" t="n">
        <v>1500000</v>
      </c>
      <c r="H241" s="76" t="n">
        <v>0</v>
      </c>
      <c r="I241" s="76" t="n">
        <v>1214000</v>
      </c>
      <c r="J241" s="76" t="n">
        <v>286000</v>
      </c>
      <c r="L241" s="9">
        <f>IF($A241="","",$B241&amp;"|"&amp;$D241)</f>
        <v/>
      </c>
      <c r="M241" s="9">
        <f>IF($A241="","",VALUE($A241&amp;""))</f>
        <v/>
      </c>
      <c r="N241" s="9">
        <f>IF($A241="","",VALUE(SUBSTITUTE(SUBSTITUTE(SUBSTITUTE(UPPER($F241&amp;""),"Q",""),"분기","")," ","")))</f>
        <v/>
      </c>
      <c r="O241" s="77">
        <f>IF($A241="",0,($G241+$H241)*설정!$C$23)</f>
        <v/>
      </c>
      <c r="P241" s="77">
        <f>IF($A241="",0,$I241*설정!$C$23)</f>
        <v/>
      </c>
      <c r="Q241" s="39">
        <f>IF($A241="","",IF(COUNTIF(변동분석!$E$7:$E$506,L241)&gt;0,"Y","N"))</f>
        <v/>
      </c>
      <c r="R241" s="9">
        <f>IF($A241="","",$D241&amp;"")</f>
        <v/>
      </c>
    </row>
    <row r="242">
      <c r="A242" s="75" t="n">
        <v>2026</v>
      </c>
      <c r="B242" s="75" t="inlineStr">
        <is>
          <t>D800</t>
        </is>
      </c>
      <c r="C242" s="75" t="inlineStr">
        <is>
          <t>고객서비스팀</t>
        </is>
      </c>
      <c r="D242" s="75" t="n">
        <v>62501000</v>
      </c>
      <c r="E242" s="75" t="inlineStr">
        <is>
          <t>회의비</t>
        </is>
      </c>
      <c r="F242" s="75" t="n">
        <v>2</v>
      </c>
      <c r="G242" s="76" t="n">
        <v>1500000</v>
      </c>
      <c r="H242" s="76" t="n">
        <v>0</v>
      </c>
      <c r="I242" s="76" t="n">
        <v>1251000</v>
      </c>
      <c r="J242" s="76" t="n">
        <v>249000</v>
      </c>
      <c r="L242" s="9">
        <f>IF($A242="","",$B242&amp;"|"&amp;$D242)</f>
        <v/>
      </c>
      <c r="M242" s="9">
        <f>IF($A242="","",VALUE($A242&amp;""))</f>
        <v/>
      </c>
      <c r="N242" s="9">
        <f>IF($A242="","",VALUE(SUBSTITUTE(SUBSTITUTE(SUBSTITUTE(UPPER($F242&amp;""),"Q",""),"분기","")," ","")))</f>
        <v/>
      </c>
      <c r="O242" s="77">
        <f>IF($A242="",0,($G242+$H242)*설정!$C$23)</f>
        <v/>
      </c>
      <c r="P242" s="77">
        <f>IF($A242="",0,$I242*설정!$C$23)</f>
        <v/>
      </c>
      <c r="Q242" s="39">
        <f>IF($A242="","",IF(COUNTIF(변동분석!$E$7:$E$506,L242)&gt;0,"Y","N"))</f>
        <v/>
      </c>
      <c r="R242" s="9">
        <f>IF($A242="","",$D242&amp;"")</f>
        <v/>
      </c>
    </row>
    <row r="243">
      <c r="A243" s="75" t="n">
        <v>2026</v>
      </c>
      <c r="B243" s="75" t="inlineStr">
        <is>
          <t>D800</t>
        </is>
      </c>
      <c r="C243" s="75" t="inlineStr">
        <is>
          <t>고객서비스팀</t>
        </is>
      </c>
      <c r="D243" s="75" t="n">
        <v>62501000</v>
      </c>
      <c r="E243" s="75" t="inlineStr">
        <is>
          <t>회의비</t>
        </is>
      </c>
      <c r="F243" s="75" t="n">
        <v>3</v>
      </c>
      <c r="G243" s="76" t="n">
        <v>1500000</v>
      </c>
      <c r="H243" s="76" t="n">
        <v>0</v>
      </c>
      <c r="I243" s="76" t="n">
        <v>1304000</v>
      </c>
      <c r="J243" s="76" t="n">
        <v>196000</v>
      </c>
      <c r="L243" s="9">
        <f>IF($A243="","",$B243&amp;"|"&amp;$D243)</f>
        <v/>
      </c>
      <c r="M243" s="9">
        <f>IF($A243="","",VALUE($A243&amp;""))</f>
        <v/>
      </c>
      <c r="N243" s="9">
        <f>IF($A243="","",VALUE(SUBSTITUTE(SUBSTITUTE(SUBSTITUTE(UPPER($F243&amp;""),"Q",""),"분기","")," ","")))</f>
        <v/>
      </c>
      <c r="O243" s="77">
        <f>IF($A243="",0,($G243+$H243)*설정!$C$23)</f>
        <v/>
      </c>
      <c r="P243" s="77">
        <f>IF($A243="",0,$I243*설정!$C$23)</f>
        <v/>
      </c>
      <c r="Q243" s="39">
        <f>IF($A243="","",IF(COUNTIF(변동분석!$E$7:$E$506,L243)&gt;0,"Y","N"))</f>
        <v/>
      </c>
      <c r="R243" s="9">
        <f>IF($A243="","",$D243&amp;"")</f>
        <v/>
      </c>
    </row>
    <row r="244">
      <c r="A244" s="75" t="n">
        <v>2026</v>
      </c>
      <c r="B244" s="75" t="inlineStr">
        <is>
          <t>D800</t>
        </is>
      </c>
      <c r="C244" s="75" t="inlineStr">
        <is>
          <t>고객서비스팀</t>
        </is>
      </c>
      <c r="D244" s="75" t="n">
        <v>62501000</v>
      </c>
      <c r="E244" s="75" t="inlineStr">
        <is>
          <t>회의비</t>
        </is>
      </c>
      <c r="F244" s="75" t="n">
        <v>4</v>
      </c>
      <c r="G244" s="76" t="n">
        <v>1500000</v>
      </c>
      <c r="H244" s="76" t="n">
        <v>0</v>
      </c>
      <c r="I244" s="76" t="n">
        <v>0</v>
      </c>
      <c r="J244" s="76" t="n">
        <v>1500000</v>
      </c>
      <c r="L244" s="9">
        <f>IF($A244="","",$B244&amp;"|"&amp;$D244)</f>
        <v/>
      </c>
      <c r="M244" s="9">
        <f>IF($A244="","",VALUE($A244&amp;""))</f>
        <v/>
      </c>
      <c r="N244" s="9">
        <f>IF($A244="","",VALUE(SUBSTITUTE(SUBSTITUTE(SUBSTITUTE(UPPER($F244&amp;""),"Q",""),"분기","")," ","")))</f>
        <v/>
      </c>
      <c r="O244" s="77">
        <f>IF($A244="",0,($G244+$H244)*설정!$C$23)</f>
        <v/>
      </c>
      <c r="P244" s="77">
        <f>IF($A244="",0,$I244*설정!$C$23)</f>
        <v/>
      </c>
      <c r="Q244" s="39">
        <f>IF($A244="","",IF(COUNTIF(변동분석!$E$7:$E$506,L244)&gt;0,"Y","N"))</f>
        <v/>
      </c>
      <c r="R244" s="9">
        <f>IF($A244="","",$D244&amp;"")</f>
        <v/>
      </c>
    </row>
    <row r="245">
      <c r="A245" s="75" t="n">
        <v>2026</v>
      </c>
      <c r="B245" s="75" t="inlineStr">
        <is>
          <t>D800</t>
        </is>
      </c>
      <c r="C245" s="75" t="inlineStr">
        <is>
          <t>고객서비스팀</t>
        </is>
      </c>
      <c r="D245" s="75" t="n">
        <v>62901000</v>
      </c>
      <c r="E245" s="75" t="inlineStr">
        <is>
          <t>지급수수료-컨설팅</t>
        </is>
      </c>
      <c r="F245" s="75" t="n">
        <v>1</v>
      </c>
      <c r="G245" s="76" t="n">
        <v>105000000</v>
      </c>
      <c r="H245" s="76" t="n">
        <v>0</v>
      </c>
      <c r="I245" s="76" t="n">
        <v>94753000</v>
      </c>
      <c r="J245" s="76" t="n">
        <v>10247000</v>
      </c>
      <c r="L245" s="9">
        <f>IF($A245="","",$B245&amp;"|"&amp;$D245)</f>
        <v/>
      </c>
      <c r="M245" s="9">
        <f>IF($A245="","",VALUE($A245&amp;""))</f>
        <v/>
      </c>
      <c r="N245" s="9">
        <f>IF($A245="","",VALUE(SUBSTITUTE(SUBSTITUTE(SUBSTITUTE(UPPER($F245&amp;""),"Q",""),"분기","")," ","")))</f>
        <v/>
      </c>
      <c r="O245" s="77">
        <f>IF($A245="",0,($G245+$H245)*설정!$C$23)</f>
        <v/>
      </c>
      <c r="P245" s="77">
        <f>IF($A245="",0,$I245*설정!$C$23)</f>
        <v/>
      </c>
      <c r="Q245" s="39">
        <f>IF($A245="","",IF(COUNTIF(변동분석!$E$7:$E$506,L245)&gt;0,"Y","N"))</f>
        <v/>
      </c>
      <c r="R245" s="9">
        <f>IF($A245="","",$D245&amp;"")</f>
        <v/>
      </c>
    </row>
    <row r="246">
      <c r="A246" s="75" t="n">
        <v>2026</v>
      </c>
      <c r="B246" s="75" t="inlineStr">
        <is>
          <t>D800</t>
        </is>
      </c>
      <c r="C246" s="75" t="inlineStr">
        <is>
          <t>고객서비스팀</t>
        </is>
      </c>
      <c r="D246" s="75" t="n">
        <v>62901000</v>
      </c>
      <c r="E246" s="75" t="inlineStr">
        <is>
          <t>지급수수료-컨설팅</t>
        </is>
      </c>
      <c r="F246" s="75" t="n">
        <v>2</v>
      </c>
      <c r="G246" s="76" t="n">
        <v>105000000</v>
      </c>
      <c r="H246" s="76" t="n">
        <v>0</v>
      </c>
      <c r="I246" s="76" t="n">
        <v>93229000</v>
      </c>
      <c r="J246" s="76" t="n">
        <v>11771000</v>
      </c>
      <c r="L246" s="9">
        <f>IF($A246="","",$B246&amp;"|"&amp;$D246)</f>
        <v/>
      </c>
      <c r="M246" s="9">
        <f>IF($A246="","",VALUE($A246&amp;""))</f>
        <v/>
      </c>
      <c r="N246" s="9">
        <f>IF($A246="","",VALUE(SUBSTITUTE(SUBSTITUTE(SUBSTITUTE(UPPER($F246&amp;""),"Q",""),"분기","")," ","")))</f>
        <v/>
      </c>
      <c r="O246" s="77">
        <f>IF($A246="",0,($G246+$H246)*설정!$C$23)</f>
        <v/>
      </c>
      <c r="P246" s="77">
        <f>IF($A246="",0,$I246*설정!$C$23)</f>
        <v/>
      </c>
      <c r="Q246" s="39">
        <f>IF($A246="","",IF(COUNTIF(변동분석!$E$7:$E$506,L246)&gt;0,"Y","N"))</f>
        <v/>
      </c>
      <c r="R246" s="9">
        <f>IF($A246="","",$D246&amp;"")</f>
        <v/>
      </c>
    </row>
    <row r="247">
      <c r="A247" s="75" t="n">
        <v>2026</v>
      </c>
      <c r="B247" s="75" t="inlineStr">
        <is>
          <t>D800</t>
        </is>
      </c>
      <c r="C247" s="75" t="inlineStr">
        <is>
          <t>고객서비스팀</t>
        </is>
      </c>
      <c r="D247" s="75" t="n">
        <v>62901000</v>
      </c>
      <c r="E247" s="75" t="inlineStr">
        <is>
          <t>지급수수료-컨설팅</t>
        </is>
      </c>
      <c r="F247" s="75" t="n">
        <v>3</v>
      </c>
      <c r="G247" s="76" t="n">
        <v>105000000</v>
      </c>
      <c r="H247" s="76" t="n">
        <v>0</v>
      </c>
      <c r="I247" s="76" t="n">
        <v>95668000</v>
      </c>
      <c r="J247" s="76" t="n">
        <v>9332000</v>
      </c>
      <c r="L247" s="9">
        <f>IF($A247="","",$B247&amp;"|"&amp;$D247)</f>
        <v/>
      </c>
      <c r="M247" s="9">
        <f>IF($A247="","",VALUE($A247&amp;""))</f>
        <v/>
      </c>
      <c r="N247" s="9">
        <f>IF($A247="","",VALUE(SUBSTITUTE(SUBSTITUTE(SUBSTITUTE(UPPER($F247&amp;""),"Q",""),"분기","")," ","")))</f>
        <v/>
      </c>
      <c r="O247" s="77">
        <f>IF($A247="",0,($G247+$H247)*설정!$C$23)</f>
        <v/>
      </c>
      <c r="P247" s="77">
        <f>IF($A247="",0,$I247*설정!$C$23)</f>
        <v/>
      </c>
      <c r="Q247" s="39">
        <f>IF($A247="","",IF(COUNTIF(변동분석!$E$7:$E$506,L247)&gt;0,"Y","N"))</f>
        <v/>
      </c>
      <c r="R247" s="9">
        <f>IF($A247="","",$D247&amp;"")</f>
        <v/>
      </c>
    </row>
    <row r="248">
      <c r="A248" s="75" t="n">
        <v>2026</v>
      </c>
      <c r="B248" s="75" t="inlineStr">
        <is>
          <t>D800</t>
        </is>
      </c>
      <c r="C248" s="75" t="inlineStr">
        <is>
          <t>고객서비스팀</t>
        </is>
      </c>
      <c r="D248" s="75" t="n">
        <v>62901000</v>
      </c>
      <c r="E248" s="75" t="inlineStr">
        <is>
          <t>지급수수료-컨설팅</t>
        </is>
      </c>
      <c r="F248" s="75" t="n">
        <v>4</v>
      </c>
      <c r="G248" s="76" t="n">
        <v>105000000</v>
      </c>
      <c r="H248" s="76" t="n">
        <v>0</v>
      </c>
      <c r="I248" s="76" t="n">
        <v>0</v>
      </c>
      <c r="J248" s="76" t="n">
        <v>105000000</v>
      </c>
      <c r="L248" s="9">
        <f>IF($A248="","",$B248&amp;"|"&amp;$D248)</f>
        <v/>
      </c>
      <c r="M248" s="9">
        <f>IF($A248="","",VALUE($A248&amp;""))</f>
        <v/>
      </c>
      <c r="N248" s="9">
        <f>IF($A248="","",VALUE(SUBSTITUTE(SUBSTITUTE(SUBSTITUTE(UPPER($F248&amp;""),"Q",""),"분기","")," ","")))</f>
        <v/>
      </c>
      <c r="O248" s="77">
        <f>IF($A248="",0,($G248+$H248)*설정!$C$23)</f>
        <v/>
      </c>
      <c r="P248" s="77">
        <f>IF($A248="",0,$I248*설정!$C$23)</f>
        <v/>
      </c>
      <c r="Q248" s="39">
        <f>IF($A248="","",IF(COUNTIF(변동분석!$E$7:$E$506,L248)&gt;0,"Y","N"))</f>
        <v/>
      </c>
      <c r="R248" s="9">
        <f>IF($A248="","",$D248&amp;"")</f>
        <v/>
      </c>
    </row>
    <row r="249">
      <c r="A249" s="75" t="n">
        <v>2026</v>
      </c>
      <c r="B249" s="75" t="inlineStr">
        <is>
          <t>D800</t>
        </is>
      </c>
      <c r="C249" s="75" t="inlineStr">
        <is>
          <t>고객서비스팀</t>
        </is>
      </c>
      <c r="D249" s="75" t="n">
        <v>62902000</v>
      </c>
      <c r="E249" s="75" t="inlineStr">
        <is>
          <t>지급수수료-기타</t>
        </is>
      </c>
      <c r="F249" s="75" t="n">
        <v>1</v>
      </c>
      <c r="G249" s="76" t="n">
        <v>45000000</v>
      </c>
      <c r="H249" s="76" t="n">
        <v>0</v>
      </c>
      <c r="I249" s="76" t="n">
        <v>63093000</v>
      </c>
      <c r="J249" s="76" t="n">
        <v>-18093000</v>
      </c>
      <c r="L249" s="9">
        <f>IF($A249="","",$B249&amp;"|"&amp;$D249)</f>
        <v/>
      </c>
      <c r="M249" s="9">
        <f>IF($A249="","",VALUE($A249&amp;""))</f>
        <v/>
      </c>
      <c r="N249" s="9">
        <f>IF($A249="","",VALUE(SUBSTITUTE(SUBSTITUTE(SUBSTITUTE(UPPER($F249&amp;""),"Q",""),"분기","")," ","")))</f>
        <v/>
      </c>
      <c r="O249" s="77">
        <f>IF($A249="",0,($G249+$H249)*설정!$C$23)</f>
        <v/>
      </c>
      <c r="P249" s="77">
        <f>IF($A249="",0,$I249*설정!$C$23)</f>
        <v/>
      </c>
      <c r="Q249" s="39">
        <f>IF($A249="","",IF(COUNTIF(변동분석!$E$7:$E$506,L249)&gt;0,"Y","N"))</f>
        <v/>
      </c>
      <c r="R249" s="9">
        <f>IF($A249="","",$D249&amp;"")</f>
        <v/>
      </c>
    </row>
    <row r="250">
      <c r="A250" s="75" t="n">
        <v>2026</v>
      </c>
      <c r="B250" s="75" t="inlineStr">
        <is>
          <t>D800</t>
        </is>
      </c>
      <c r="C250" s="75" t="inlineStr">
        <is>
          <t>고객서비스팀</t>
        </is>
      </c>
      <c r="D250" s="75" t="n">
        <v>62902000</v>
      </c>
      <c r="E250" s="75" t="inlineStr">
        <is>
          <t>지급수수료-기타</t>
        </is>
      </c>
      <c r="F250" s="75" t="n">
        <v>2</v>
      </c>
      <c r="G250" s="76" t="n">
        <v>45000000</v>
      </c>
      <c r="H250" s="76" t="n">
        <v>0</v>
      </c>
      <c r="I250" s="76" t="n">
        <v>63077000</v>
      </c>
      <c r="J250" s="76" t="n">
        <v>-18077000</v>
      </c>
      <c r="L250" s="9">
        <f>IF($A250="","",$B250&amp;"|"&amp;$D250)</f>
        <v/>
      </c>
      <c r="M250" s="9">
        <f>IF($A250="","",VALUE($A250&amp;""))</f>
        <v/>
      </c>
      <c r="N250" s="9">
        <f>IF($A250="","",VALUE(SUBSTITUTE(SUBSTITUTE(SUBSTITUTE(UPPER($F250&amp;""),"Q",""),"분기","")," ","")))</f>
        <v/>
      </c>
      <c r="O250" s="77">
        <f>IF($A250="",0,($G250+$H250)*설정!$C$23)</f>
        <v/>
      </c>
      <c r="P250" s="77">
        <f>IF($A250="",0,$I250*설정!$C$23)</f>
        <v/>
      </c>
      <c r="Q250" s="39">
        <f>IF($A250="","",IF(COUNTIF(변동분석!$E$7:$E$506,L250)&gt;0,"Y","N"))</f>
        <v/>
      </c>
      <c r="R250" s="9">
        <f>IF($A250="","",$D250&amp;"")</f>
        <v/>
      </c>
    </row>
    <row r="251">
      <c r="A251" s="75" t="n">
        <v>2026</v>
      </c>
      <c r="B251" s="75" t="inlineStr">
        <is>
          <t>D800</t>
        </is>
      </c>
      <c r="C251" s="75" t="inlineStr">
        <is>
          <t>고객서비스팀</t>
        </is>
      </c>
      <c r="D251" s="75" t="n">
        <v>62902000</v>
      </c>
      <c r="E251" s="75" t="inlineStr">
        <is>
          <t>지급수수료-기타</t>
        </is>
      </c>
      <c r="F251" s="75" t="n">
        <v>3</v>
      </c>
      <c r="G251" s="76" t="n">
        <v>45000000</v>
      </c>
      <c r="H251" s="76" t="n">
        <v>0</v>
      </c>
      <c r="I251" s="76" t="n">
        <v>69868000</v>
      </c>
      <c r="J251" s="76" t="n">
        <v>-24868000</v>
      </c>
      <c r="L251" s="9">
        <f>IF($A251="","",$B251&amp;"|"&amp;$D251)</f>
        <v/>
      </c>
      <c r="M251" s="9">
        <f>IF($A251="","",VALUE($A251&amp;""))</f>
        <v/>
      </c>
      <c r="N251" s="9">
        <f>IF($A251="","",VALUE(SUBSTITUTE(SUBSTITUTE(SUBSTITUTE(UPPER($F251&amp;""),"Q",""),"분기","")," ","")))</f>
        <v/>
      </c>
      <c r="O251" s="77">
        <f>IF($A251="",0,($G251+$H251)*설정!$C$23)</f>
        <v/>
      </c>
      <c r="P251" s="77">
        <f>IF($A251="",0,$I251*설정!$C$23)</f>
        <v/>
      </c>
      <c r="Q251" s="39">
        <f>IF($A251="","",IF(COUNTIF(변동분석!$E$7:$E$506,L251)&gt;0,"Y","N"))</f>
        <v/>
      </c>
      <c r="R251" s="9">
        <f>IF($A251="","",$D251&amp;"")</f>
        <v/>
      </c>
    </row>
    <row r="252">
      <c r="A252" s="75" t="n">
        <v>2026</v>
      </c>
      <c r="B252" s="75" t="inlineStr">
        <is>
          <t>D800</t>
        </is>
      </c>
      <c r="C252" s="75" t="inlineStr">
        <is>
          <t>고객서비스팀</t>
        </is>
      </c>
      <c r="D252" s="75" t="n">
        <v>62902000</v>
      </c>
      <c r="E252" s="75" t="inlineStr">
        <is>
          <t>지급수수료-기타</t>
        </is>
      </c>
      <c r="F252" s="75" t="n">
        <v>4</v>
      </c>
      <c r="G252" s="76" t="n">
        <v>45000000</v>
      </c>
      <c r="H252" s="76" t="n">
        <v>0</v>
      </c>
      <c r="I252" s="76" t="n">
        <v>0</v>
      </c>
      <c r="J252" s="76" t="n">
        <v>45000000</v>
      </c>
      <c r="L252" s="9">
        <f>IF($A252="","",$B252&amp;"|"&amp;$D252)</f>
        <v/>
      </c>
      <c r="M252" s="9">
        <f>IF($A252="","",VALUE($A252&amp;""))</f>
        <v/>
      </c>
      <c r="N252" s="9">
        <f>IF($A252="","",VALUE(SUBSTITUTE(SUBSTITUTE(SUBSTITUTE(UPPER($F252&amp;""),"Q",""),"분기","")," ","")))</f>
        <v/>
      </c>
      <c r="O252" s="77">
        <f>IF($A252="",0,($G252+$H252)*설정!$C$23)</f>
        <v/>
      </c>
      <c r="P252" s="77">
        <f>IF($A252="",0,$I252*설정!$C$23)</f>
        <v/>
      </c>
      <c r="Q252" s="39">
        <f>IF($A252="","",IF(COUNTIF(변동분석!$E$7:$E$506,L252)&gt;0,"Y","N"))</f>
        <v/>
      </c>
      <c r="R252" s="9">
        <f>IF($A252="","",$D252&amp;"")</f>
        <v/>
      </c>
    </row>
    <row r="253">
      <c r="A253" s="75" t="n">
        <v>2026</v>
      </c>
      <c r="B253" s="75" t="inlineStr">
        <is>
          <t>D300</t>
        </is>
      </c>
      <c r="C253" s="75" t="inlineStr">
        <is>
          <t>인사팀</t>
        </is>
      </c>
      <c r="D253" s="75" t="n">
        <v>62701000</v>
      </c>
      <c r="E253" s="75" t="inlineStr">
        <is>
          <t>광고선전비</t>
        </is>
      </c>
      <c r="F253" s="75" t="n">
        <v>1</v>
      </c>
      <c r="G253" s="76" t="n">
        <v>0</v>
      </c>
      <c r="H253" s="76" t="n">
        <v>0</v>
      </c>
      <c r="I253" s="76" t="n">
        <v>4800000</v>
      </c>
      <c r="J253" s="76" t="n">
        <v>-4800000</v>
      </c>
      <c r="L253" s="9">
        <f>IF($A253="","",$B253&amp;"|"&amp;$D253)</f>
        <v/>
      </c>
      <c r="M253" s="9">
        <f>IF($A253="","",VALUE($A253&amp;""))</f>
        <v/>
      </c>
      <c r="N253" s="9">
        <f>IF($A253="","",VALUE(SUBSTITUTE(SUBSTITUTE(SUBSTITUTE(UPPER($F253&amp;""),"Q",""),"분기","")," ","")))</f>
        <v/>
      </c>
      <c r="O253" s="77">
        <f>IF($A253="",0,($G253+$H253)*설정!$C$23)</f>
        <v/>
      </c>
      <c r="P253" s="77">
        <f>IF($A253="",0,$I253*설정!$C$23)</f>
        <v/>
      </c>
      <c r="Q253" s="39">
        <f>IF($A253="","",IF(COUNTIF(변동분석!$E$7:$E$506,L253)&gt;0,"Y","N"))</f>
        <v/>
      </c>
      <c r="R253" s="9">
        <f>IF($A253="","",$D253&amp;"")</f>
        <v/>
      </c>
    </row>
    <row r="254">
      <c r="A254" s="75" t="n">
        <v>2026</v>
      </c>
      <c r="B254" s="75" t="inlineStr">
        <is>
          <t>D300</t>
        </is>
      </c>
      <c r="C254" s="75" t="inlineStr">
        <is>
          <t>인사팀</t>
        </is>
      </c>
      <c r="D254" s="75" t="n">
        <v>62701000</v>
      </c>
      <c r="E254" s="75" t="inlineStr">
        <is>
          <t>광고선전비</t>
        </is>
      </c>
      <c r="F254" s="75" t="n">
        <v>2</v>
      </c>
      <c r="G254" s="76" t="n">
        <v>0</v>
      </c>
      <c r="H254" s="76" t="n">
        <v>0</v>
      </c>
      <c r="I254" s="76" t="n">
        <v>3200000</v>
      </c>
      <c r="J254" s="76" t="n">
        <v>-3200000</v>
      </c>
      <c r="L254" s="9">
        <f>IF($A254="","",$B254&amp;"|"&amp;$D254)</f>
        <v/>
      </c>
      <c r="M254" s="9">
        <f>IF($A254="","",VALUE($A254&amp;""))</f>
        <v/>
      </c>
      <c r="N254" s="9">
        <f>IF($A254="","",VALUE(SUBSTITUTE(SUBSTITUTE(SUBSTITUTE(UPPER($F254&amp;""),"Q",""),"분기","")," ","")))</f>
        <v/>
      </c>
      <c r="O254" s="77">
        <f>IF($A254="",0,($G254+$H254)*설정!$C$23)</f>
        <v/>
      </c>
      <c r="P254" s="77">
        <f>IF($A254="",0,$I254*설정!$C$23)</f>
        <v/>
      </c>
      <c r="Q254" s="39">
        <f>IF($A254="","",IF(COUNTIF(변동분석!$E$7:$E$506,L254)&gt;0,"Y","N"))</f>
        <v/>
      </c>
      <c r="R254" s="9">
        <f>IF($A254="","",$D254&amp;"")</f>
        <v/>
      </c>
    </row>
    <row r="255">
      <c r="A255" s="75" t="n">
        <v>2026</v>
      </c>
      <c r="B255" s="75" t="inlineStr">
        <is>
          <t>D300</t>
        </is>
      </c>
      <c r="C255" s="75" t="inlineStr">
        <is>
          <t>인사팀</t>
        </is>
      </c>
      <c r="D255" s="75" t="n">
        <v>62701000</v>
      </c>
      <c r="E255" s="75" t="inlineStr">
        <is>
          <t>광고선전비</t>
        </is>
      </c>
      <c r="F255" s="75" t="n">
        <v>3</v>
      </c>
      <c r="G255" s="76" t="n">
        <v>0</v>
      </c>
      <c r="H255" s="76" t="n">
        <v>0</v>
      </c>
      <c r="I255" s="76" t="n">
        <v>5500000</v>
      </c>
      <c r="J255" s="76" t="n">
        <v>-5500000</v>
      </c>
      <c r="L255" s="9">
        <f>IF($A255="","",$B255&amp;"|"&amp;$D255)</f>
        <v/>
      </c>
      <c r="M255" s="9">
        <f>IF($A255="","",VALUE($A255&amp;""))</f>
        <v/>
      </c>
      <c r="N255" s="9">
        <f>IF($A255="","",VALUE(SUBSTITUTE(SUBSTITUTE(SUBSTITUTE(UPPER($F255&amp;""),"Q",""),"분기","")," ","")))</f>
        <v/>
      </c>
      <c r="O255" s="77">
        <f>IF($A255="",0,($G255+$H255)*설정!$C$23)</f>
        <v/>
      </c>
      <c r="P255" s="77">
        <f>IF($A255="",0,$I255*설정!$C$23)</f>
        <v/>
      </c>
      <c r="Q255" s="39">
        <f>IF($A255="","",IF(COUNTIF(변동분석!$E$7:$E$506,L255)&gt;0,"Y","N"))</f>
        <v/>
      </c>
      <c r="R255" s="9">
        <f>IF($A255="","",$D255&amp;"")</f>
        <v/>
      </c>
    </row>
    <row r="256">
      <c r="A256" s="75" t="n">
        <v>2026</v>
      </c>
      <c r="B256" s="75" t="inlineStr">
        <is>
          <t>D300</t>
        </is>
      </c>
      <c r="C256" s="75" t="inlineStr">
        <is>
          <t>인사팀</t>
        </is>
      </c>
      <c r="D256" s="75" t="n">
        <v>62701000</v>
      </c>
      <c r="E256" s="75" t="inlineStr">
        <is>
          <t>광고선전비</t>
        </is>
      </c>
      <c r="F256" s="75" t="n">
        <v>4</v>
      </c>
      <c r="G256" s="76" t="n">
        <v>0</v>
      </c>
      <c r="H256" s="76" t="n">
        <v>0</v>
      </c>
      <c r="I256" s="76" t="n">
        <v>0</v>
      </c>
      <c r="J256" s="76" t="n">
        <v>0</v>
      </c>
      <c r="L256" s="9">
        <f>IF($A256="","",$B256&amp;"|"&amp;$D256)</f>
        <v/>
      </c>
      <c r="M256" s="9">
        <f>IF($A256="","",VALUE($A256&amp;""))</f>
        <v/>
      </c>
      <c r="N256" s="9">
        <f>IF($A256="","",VALUE(SUBSTITUTE(SUBSTITUTE(SUBSTITUTE(UPPER($F256&amp;""),"Q",""),"분기","")," ","")))</f>
        <v/>
      </c>
      <c r="O256" s="77">
        <f>IF($A256="",0,($G256+$H256)*설정!$C$23)</f>
        <v/>
      </c>
      <c r="P256" s="77">
        <f>IF($A256="",0,$I256*설정!$C$23)</f>
        <v/>
      </c>
      <c r="Q256" s="39">
        <f>IF($A256="","",IF(COUNTIF(변동분석!$E$7:$E$506,L256)&gt;0,"Y","N"))</f>
        <v/>
      </c>
      <c r="R256" s="9">
        <f>IF($A256="","",$D256&amp;"")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5B9BD5"/>
    <outlinePr summaryBelow="1" summaryRight="1"/>
    <pageSetUpPr/>
  </sheetPr>
  <dimension ref="A1:K38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5" customWidth="1" min="2" max="2"/>
    <col width="11" customWidth="1" min="3" max="3"/>
    <col width="22" customWidth="1" min="4" max="4"/>
    <col width="15" customWidth="1" min="5" max="5"/>
    <col width="13" customWidth="1" min="6" max="6"/>
    <col width="15" customWidth="1" min="7" max="7"/>
    <col width="2" customWidth="1" min="8" max="8"/>
    <col width="8" customWidth="1" min="9" max="9"/>
    <col width="10" customWidth="1" min="10" max="10"/>
    <col width="11" customWidth="1" min="11" max="11"/>
  </cols>
  <sheetData>
    <row r="1">
      <c r="A1" s="1" t="inlineStr">
        <is>
          <t>TRACE · TB 원본 (월별 시산표)</t>
        </is>
      </c>
    </row>
    <row r="2">
      <c r="A2" s="2" t="inlineStr">
        <is>
          <t>A~G: 붙여넣기 · I~K: 보조수식 · 당해와 전년을 함께 넣으세요</t>
        </is>
      </c>
    </row>
    <row r="4" ht="30" customHeight="1">
      <c r="A4" s="4" t="inlineStr">
        <is>
          <t>회계연도</t>
        </is>
      </c>
      <c r="B4" s="4" t="inlineStr">
        <is>
          <t>기간</t>
        </is>
      </c>
      <c r="C4" s="4" t="inlineStr">
        <is>
          <t>G/L계정</t>
        </is>
      </c>
      <c r="D4" s="4" t="inlineStr">
        <is>
          <t>계정명</t>
        </is>
      </c>
      <c r="E4" s="4" t="inlineStr">
        <is>
          <t>당기차변</t>
        </is>
      </c>
      <c r="F4" s="4" t="inlineStr">
        <is>
          <t>당기대변</t>
        </is>
      </c>
      <c r="G4" s="4" t="inlineStr">
        <is>
          <t>기말잔액</t>
        </is>
      </c>
      <c r="I4" s="36" t="inlineStr">
        <is>
          <t>기간번호</t>
        </is>
      </c>
      <c r="J4" s="36" t="inlineStr">
        <is>
          <t>G/L텍스트</t>
        </is>
      </c>
      <c r="K4" s="36" t="inlineStr">
        <is>
          <t>당월증감
(보고단위)</t>
        </is>
      </c>
    </row>
    <row r="5">
      <c r="A5" s="75" t="n">
        <v>2025</v>
      </c>
      <c r="B5" s="75" t="n">
        <v>1</v>
      </c>
      <c r="C5" s="75" t="n">
        <v>62101000</v>
      </c>
      <c r="D5" s="75" t="inlineStr">
        <is>
          <t>여비교통비-국내</t>
        </is>
      </c>
      <c r="E5" s="76" t="n">
        <v>17289000</v>
      </c>
      <c r="F5" s="76" t="n">
        <v>0</v>
      </c>
      <c r="G5" s="76" t="n">
        <v>17289000</v>
      </c>
      <c r="I5" s="9">
        <f>IF($A5="","",VALUE($A5&amp;"")*12+VALUE($B5&amp;""))</f>
        <v/>
      </c>
      <c r="J5" s="9">
        <f>IF($A5="","",$C5&amp;"")</f>
        <v/>
      </c>
      <c r="K5" s="77">
        <f>IF($A5="",0,($E5-$F5)*설정!$C$23)</f>
        <v/>
      </c>
    </row>
    <row r="6">
      <c r="A6" s="75" t="n">
        <v>2025</v>
      </c>
      <c r="B6" s="75" t="n">
        <v>1</v>
      </c>
      <c r="C6" s="75" t="n">
        <v>62102000</v>
      </c>
      <c r="D6" s="75" t="inlineStr">
        <is>
          <t>여비교통비-해외</t>
        </is>
      </c>
      <c r="E6" s="76" t="n">
        <v>2912000</v>
      </c>
      <c r="F6" s="76" t="n">
        <v>0</v>
      </c>
      <c r="G6" s="76" t="n">
        <v>2912000</v>
      </c>
      <c r="I6" s="9">
        <f>IF($A6="","",VALUE($A6&amp;"")*12+VALUE($B6&amp;""))</f>
        <v/>
      </c>
      <c r="J6" s="9">
        <f>IF($A6="","",$C6&amp;"")</f>
        <v/>
      </c>
      <c r="K6" s="77">
        <f>IF($A6="",0,($E6-$F6)*설정!$C$23)</f>
        <v/>
      </c>
    </row>
    <row r="7">
      <c r="A7" s="75" t="n">
        <v>2025</v>
      </c>
      <c r="B7" s="75" t="n">
        <v>1</v>
      </c>
      <c r="C7" s="75" t="n">
        <v>62201000</v>
      </c>
      <c r="D7" s="75" t="inlineStr">
        <is>
          <t>통신비</t>
        </is>
      </c>
      <c r="E7" s="76" t="n">
        <v>35494000</v>
      </c>
      <c r="F7" s="76" t="n">
        <v>0</v>
      </c>
      <c r="G7" s="76" t="n">
        <v>35494000</v>
      </c>
      <c r="I7" s="9">
        <f>IF($A7="","",VALUE($A7&amp;"")*12+VALUE($B7&amp;""))</f>
        <v/>
      </c>
      <c r="J7" s="9">
        <f>IF($A7="","",$C7&amp;"")</f>
        <v/>
      </c>
      <c r="K7" s="77">
        <f>IF($A7="",0,($E7-$F7)*설정!$C$23)</f>
        <v/>
      </c>
    </row>
    <row r="8">
      <c r="A8" s="75" t="n">
        <v>2025</v>
      </c>
      <c r="B8" s="75" t="n">
        <v>1</v>
      </c>
      <c r="C8" s="75" t="n">
        <v>62301000</v>
      </c>
      <c r="D8" s="75" t="inlineStr">
        <is>
          <t>소모품비</t>
        </is>
      </c>
      <c r="E8" s="76" t="n">
        <v>6062000</v>
      </c>
      <c r="F8" s="76" t="n">
        <v>0</v>
      </c>
      <c r="G8" s="76" t="n">
        <v>6062000</v>
      </c>
      <c r="I8" s="9">
        <f>IF($A8="","",VALUE($A8&amp;"")*12+VALUE($B8&amp;""))</f>
        <v/>
      </c>
      <c r="J8" s="9">
        <f>IF($A8="","",$C8&amp;"")</f>
        <v/>
      </c>
      <c r="K8" s="77">
        <f>IF($A8="",0,($E8-$F8)*설정!$C$23)</f>
        <v/>
      </c>
    </row>
    <row r="9">
      <c r="A9" s="75" t="n">
        <v>2025</v>
      </c>
      <c r="B9" s="75" t="n">
        <v>1</v>
      </c>
      <c r="C9" s="75" t="n">
        <v>62401000</v>
      </c>
      <c r="D9" s="75" t="inlineStr">
        <is>
          <t>도서인쇄비</t>
        </is>
      </c>
      <c r="E9" s="76" t="n">
        <v>13103000</v>
      </c>
      <c r="F9" s="76" t="n">
        <v>0</v>
      </c>
      <c r="G9" s="76" t="n">
        <v>13103000</v>
      </c>
      <c r="I9" s="9">
        <f>IF($A9="","",VALUE($A9&amp;"")*12+VALUE($B9&amp;""))</f>
        <v/>
      </c>
      <c r="J9" s="9">
        <f>IF($A9="","",$C9&amp;"")</f>
        <v/>
      </c>
      <c r="K9" s="77">
        <f>IF($A9="",0,($E9-$F9)*설정!$C$23)</f>
        <v/>
      </c>
    </row>
    <row r="10">
      <c r="A10" s="75" t="n">
        <v>2025</v>
      </c>
      <c r="B10" s="75" t="n">
        <v>1</v>
      </c>
      <c r="C10" s="75" t="n">
        <v>62501000</v>
      </c>
      <c r="D10" s="75" t="inlineStr">
        <is>
          <t>회의비</t>
        </is>
      </c>
      <c r="E10" s="76" t="n">
        <v>5347000</v>
      </c>
      <c r="F10" s="76" t="n">
        <v>0</v>
      </c>
      <c r="G10" s="76" t="n">
        <v>5347000</v>
      </c>
      <c r="I10" s="9">
        <f>IF($A10="","",VALUE($A10&amp;"")*12+VALUE($B10&amp;""))</f>
        <v/>
      </c>
      <c r="J10" s="9">
        <f>IF($A10="","",$C10&amp;"")</f>
        <v/>
      </c>
      <c r="K10" s="77">
        <f>IF($A10="",0,($E10-$F10)*설정!$C$23)</f>
        <v/>
      </c>
    </row>
    <row r="11">
      <c r="A11" s="75" t="n">
        <v>2025</v>
      </c>
      <c r="B11" s="75" t="n">
        <v>1</v>
      </c>
      <c r="C11" s="75" t="n">
        <v>62601000</v>
      </c>
      <c r="D11" s="75" t="inlineStr">
        <is>
          <t>업무추진비</t>
        </is>
      </c>
      <c r="E11" s="76" t="n">
        <v>10111000</v>
      </c>
      <c r="F11" s="76" t="n">
        <v>0</v>
      </c>
      <c r="G11" s="76" t="n">
        <v>10111000</v>
      </c>
      <c r="I11" s="9">
        <f>IF($A11="","",VALUE($A11&amp;"")*12+VALUE($B11&amp;""))</f>
        <v/>
      </c>
      <c r="J11" s="9">
        <f>IF($A11="","",$C11&amp;"")</f>
        <v/>
      </c>
      <c r="K11" s="77">
        <f>IF($A11="",0,($E11-$F11)*설정!$C$23)</f>
        <v/>
      </c>
    </row>
    <row r="12">
      <c r="A12" s="75" t="n">
        <v>2025</v>
      </c>
      <c r="B12" s="75" t="n">
        <v>1</v>
      </c>
      <c r="C12" s="75" t="n">
        <v>62701000</v>
      </c>
      <c r="D12" s="75" t="inlineStr">
        <is>
          <t>광고선전비</t>
        </is>
      </c>
      <c r="E12" s="76" t="n">
        <v>150000000</v>
      </c>
      <c r="F12" s="76" t="n">
        <v>0</v>
      </c>
      <c r="G12" s="76" t="n">
        <v>150000000</v>
      </c>
      <c r="I12" s="9">
        <f>IF($A12="","",VALUE($A12&amp;"")*12+VALUE($B12&amp;""))</f>
        <v/>
      </c>
      <c r="J12" s="9">
        <f>IF($A12="","",$C12&amp;"")</f>
        <v/>
      </c>
      <c r="K12" s="77">
        <f>IF($A12="",0,($E12-$F12)*설정!$C$23)</f>
        <v/>
      </c>
    </row>
    <row r="13">
      <c r="A13" s="75" t="n">
        <v>2025</v>
      </c>
      <c r="B13" s="75" t="n">
        <v>1</v>
      </c>
      <c r="C13" s="75" t="n">
        <v>62801000</v>
      </c>
      <c r="D13" s="75" t="inlineStr">
        <is>
          <t>교육훈련비-사내</t>
        </is>
      </c>
      <c r="E13" s="76" t="n">
        <v>11552000</v>
      </c>
      <c r="F13" s="76" t="n">
        <v>0</v>
      </c>
      <c r="G13" s="76" t="n">
        <v>11552000</v>
      </c>
      <c r="I13" s="9">
        <f>IF($A13="","",VALUE($A13&amp;"")*12+VALUE($B13&amp;""))</f>
        <v/>
      </c>
      <c r="J13" s="9">
        <f>IF($A13="","",$C13&amp;"")</f>
        <v/>
      </c>
      <c r="K13" s="77">
        <f>IF($A13="",0,($E13-$F13)*설정!$C$23)</f>
        <v/>
      </c>
    </row>
    <row r="14">
      <c r="A14" s="75" t="n">
        <v>2025</v>
      </c>
      <c r="B14" s="75" t="n">
        <v>1</v>
      </c>
      <c r="C14" s="75" t="n">
        <v>62802000</v>
      </c>
      <c r="D14" s="75" t="inlineStr">
        <is>
          <t>교육훈련비-외부위탁</t>
        </is>
      </c>
      <c r="E14" s="76" t="n">
        <v>15188000</v>
      </c>
      <c r="F14" s="76" t="n">
        <v>0</v>
      </c>
      <c r="G14" s="76" t="n">
        <v>15188000</v>
      </c>
      <c r="I14" s="9">
        <f>IF($A14="","",VALUE($A14&amp;"")*12+VALUE($B14&amp;""))</f>
        <v/>
      </c>
      <c r="J14" s="9">
        <f>IF($A14="","",$C14&amp;"")</f>
        <v/>
      </c>
      <c r="K14" s="77">
        <f>IF($A14="",0,($E14-$F14)*설정!$C$23)</f>
        <v/>
      </c>
    </row>
    <row r="15">
      <c r="A15" s="75" t="n">
        <v>2025</v>
      </c>
      <c r="B15" s="75" t="n">
        <v>1</v>
      </c>
      <c r="C15" s="75" t="n">
        <v>62901000</v>
      </c>
      <c r="D15" s="75" t="inlineStr">
        <is>
          <t>지급수수료-컨설팅</t>
        </is>
      </c>
      <c r="E15" s="76" t="n">
        <v>84033000</v>
      </c>
      <c r="F15" s="76" t="n">
        <v>0</v>
      </c>
      <c r="G15" s="76" t="n">
        <v>84033000</v>
      </c>
      <c r="I15" s="9">
        <f>IF($A15="","",VALUE($A15&amp;"")*12+VALUE($B15&amp;""))</f>
        <v/>
      </c>
      <c r="J15" s="9">
        <f>IF($A15="","",$C15&amp;"")</f>
        <v/>
      </c>
      <c r="K15" s="77">
        <f>IF($A15="",0,($E15-$F15)*설정!$C$23)</f>
        <v/>
      </c>
    </row>
    <row r="16">
      <c r="A16" s="75" t="n">
        <v>2025</v>
      </c>
      <c r="B16" s="75" t="n">
        <v>1</v>
      </c>
      <c r="C16" s="75" t="n">
        <v>62902000</v>
      </c>
      <c r="D16" s="75" t="inlineStr">
        <is>
          <t>지급수수료-기타</t>
        </is>
      </c>
      <c r="E16" s="76" t="n">
        <v>41018000</v>
      </c>
      <c r="F16" s="76" t="n">
        <v>0</v>
      </c>
      <c r="G16" s="76" t="n">
        <v>41018000</v>
      </c>
      <c r="I16" s="9">
        <f>IF($A16="","",VALUE($A16&amp;"")*12+VALUE($B16&amp;""))</f>
        <v/>
      </c>
      <c r="J16" s="9">
        <f>IF($A16="","",$C16&amp;"")</f>
        <v/>
      </c>
      <c r="K16" s="77">
        <f>IF($A16="",0,($E16-$F16)*설정!$C$23)</f>
        <v/>
      </c>
    </row>
    <row r="17">
      <c r="A17" s="75" t="n">
        <v>2025</v>
      </c>
      <c r="B17" s="75" t="n">
        <v>1</v>
      </c>
      <c r="C17" s="75" t="n">
        <v>63001000</v>
      </c>
      <c r="D17" s="75" t="inlineStr">
        <is>
          <t>전산운영비-SW유지보수</t>
        </is>
      </c>
      <c r="E17" s="76" t="n">
        <v>86470000</v>
      </c>
      <c r="F17" s="76" t="n">
        <v>0</v>
      </c>
      <c r="G17" s="76" t="n">
        <v>86470000</v>
      </c>
      <c r="I17" s="9">
        <f>IF($A17="","",VALUE($A17&amp;"")*12+VALUE($B17&amp;""))</f>
        <v/>
      </c>
      <c r="J17" s="9">
        <f>IF($A17="","",$C17&amp;"")</f>
        <v/>
      </c>
      <c r="K17" s="77">
        <f>IF($A17="",0,($E17-$F17)*설정!$C$23)</f>
        <v/>
      </c>
    </row>
    <row r="18">
      <c r="A18" s="75" t="n">
        <v>2025</v>
      </c>
      <c r="B18" s="75" t="n">
        <v>1</v>
      </c>
      <c r="C18" s="75" t="n">
        <v>63002000</v>
      </c>
      <c r="D18" s="75" t="inlineStr">
        <is>
          <t>전산운영비-클라우드</t>
        </is>
      </c>
      <c r="E18" s="76" t="n">
        <v>64000000</v>
      </c>
      <c r="F18" s="76" t="n">
        <v>0</v>
      </c>
      <c r="G18" s="76" t="n">
        <v>64000000</v>
      </c>
      <c r="I18" s="9">
        <f>IF($A18="","",VALUE($A18&amp;"")*12+VALUE($B18&amp;""))</f>
        <v/>
      </c>
      <c r="J18" s="9">
        <f>IF($A18="","",$C18&amp;"")</f>
        <v/>
      </c>
      <c r="K18" s="77">
        <f>IF($A18="",0,($E18-$F18)*설정!$C$23)</f>
        <v/>
      </c>
    </row>
    <row r="19">
      <c r="A19" s="75" t="n">
        <v>2025</v>
      </c>
      <c r="B19" s="75" t="n">
        <v>1</v>
      </c>
      <c r="C19" s="75" t="n">
        <v>63101000</v>
      </c>
      <c r="D19" s="75" t="inlineStr">
        <is>
          <t>임차료</t>
        </is>
      </c>
      <c r="E19" s="76" t="n">
        <v>13617000</v>
      </c>
      <c r="F19" s="76" t="n">
        <v>0</v>
      </c>
      <c r="G19" s="76" t="n">
        <v>13617000</v>
      </c>
      <c r="I19" s="9">
        <f>IF($A19="","",VALUE($A19&amp;"")*12+VALUE($B19&amp;""))</f>
        <v/>
      </c>
      <c r="J19" s="9">
        <f>IF($A19="","",$C19&amp;"")</f>
        <v/>
      </c>
      <c r="K19" s="77">
        <f>IF($A19="",0,($E19-$F19)*설정!$C$23)</f>
        <v/>
      </c>
    </row>
    <row r="20">
      <c r="A20" s="75" t="n">
        <v>2025</v>
      </c>
      <c r="B20" s="75" t="n">
        <v>1</v>
      </c>
      <c r="C20" s="75" t="n">
        <v>63201000</v>
      </c>
      <c r="D20" s="75" t="inlineStr">
        <is>
          <t>차량유지비</t>
        </is>
      </c>
      <c r="E20" s="76" t="n">
        <v>7277000</v>
      </c>
      <c r="F20" s="76" t="n">
        <v>0</v>
      </c>
      <c r="G20" s="76" t="n">
        <v>7277000</v>
      </c>
      <c r="I20" s="9">
        <f>IF($A20="","",VALUE($A20&amp;"")*12+VALUE($B20&amp;""))</f>
        <v/>
      </c>
      <c r="J20" s="9">
        <f>IF($A20="","",$C20&amp;"")</f>
        <v/>
      </c>
      <c r="K20" s="77">
        <f>IF($A20="",0,($E20-$F20)*설정!$C$23)</f>
        <v/>
      </c>
    </row>
    <row r="21">
      <c r="A21" s="75" t="n">
        <v>2025</v>
      </c>
      <c r="B21" s="75" t="n">
        <v>1</v>
      </c>
      <c r="C21" s="75" t="n">
        <v>61101000</v>
      </c>
      <c r="D21" s="75" t="inlineStr">
        <is>
          <t>급여</t>
        </is>
      </c>
      <c r="E21" s="76" t="n">
        <v>813504000</v>
      </c>
      <c r="F21" s="76" t="n">
        <v>0</v>
      </c>
      <c r="G21" s="76" t="n">
        <v>813504000</v>
      </c>
      <c r="I21" s="9">
        <f>IF($A21="","",VALUE($A21&amp;"")*12+VALUE($B21&amp;""))</f>
        <v/>
      </c>
      <c r="J21" s="9">
        <f>IF($A21="","",$C21&amp;"")</f>
        <v/>
      </c>
      <c r="K21" s="77">
        <f>IF($A21="",0,($E21-$F21)*설정!$C$23)</f>
        <v/>
      </c>
    </row>
    <row r="22">
      <c r="A22" s="75" t="n">
        <v>2025</v>
      </c>
      <c r="B22" s="75" t="n">
        <v>1</v>
      </c>
      <c r="C22" s="75" t="n">
        <v>61201000</v>
      </c>
      <c r="D22" s="75" t="inlineStr">
        <is>
          <t>복리후생비</t>
        </is>
      </c>
      <c r="E22" s="76" t="n">
        <v>118492000</v>
      </c>
      <c r="F22" s="76" t="n">
        <v>0</v>
      </c>
      <c r="G22" s="76" t="n">
        <v>118492000</v>
      </c>
      <c r="I22" s="9">
        <f>IF($A22="","",VALUE($A22&amp;"")*12+VALUE($B22&amp;""))</f>
        <v/>
      </c>
      <c r="J22" s="9">
        <f>IF($A22="","",$C22&amp;"")</f>
        <v/>
      </c>
      <c r="K22" s="77">
        <f>IF($A22="",0,($E22-$F22)*설정!$C$23)</f>
        <v/>
      </c>
    </row>
    <row r="23">
      <c r="A23" s="75" t="n">
        <v>2025</v>
      </c>
      <c r="B23" s="75" t="n">
        <v>2</v>
      </c>
      <c r="C23" s="75" t="n">
        <v>62101000</v>
      </c>
      <c r="D23" s="75" t="inlineStr">
        <is>
          <t>여비교통비-국내</t>
        </is>
      </c>
      <c r="E23" s="76" t="n">
        <v>16388000</v>
      </c>
      <c r="F23" s="76" t="n">
        <v>0</v>
      </c>
      <c r="G23" s="76" t="n">
        <v>33677000</v>
      </c>
      <c r="I23" s="9">
        <f>IF($A23="","",VALUE($A23&amp;"")*12+VALUE($B23&amp;""))</f>
        <v/>
      </c>
      <c r="J23" s="9">
        <f>IF($A23="","",$C23&amp;"")</f>
        <v/>
      </c>
      <c r="K23" s="77">
        <f>IF($A23="",0,($E23-$F23)*설정!$C$23)</f>
        <v/>
      </c>
    </row>
    <row r="24">
      <c r="A24" s="75" t="n">
        <v>2025</v>
      </c>
      <c r="B24" s="75" t="n">
        <v>2</v>
      </c>
      <c r="C24" s="75" t="n">
        <v>62102000</v>
      </c>
      <c r="D24" s="75" t="inlineStr">
        <is>
          <t>여비교통비-해외</t>
        </is>
      </c>
      <c r="E24" s="76" t="n">
        <v>3160000</v>
      </c>
      <c r="F24" s="76" t="n">
        <v>0</v>
      </c>
      <c r="G24" s="76" t="n">
        <v>6072000</v>
      </c>
      <c r="I24" s="9">
        <f>IF($A24="","",VALUE($A24&amp;"")*12+VALUE($B24&amp;""))</f>
        <v/>
      </c>
      <c r="J24" s="9">
        <f>IF($A24="","",$C24&amp;"")</f>
        <v/>
      </c>
      <c r="K24" s="77">
        <f>IF($A24="",0,($E24-$F24)*설정!$C$23)</f>
        <v/>
      </c>
    </row>
    <row r="25">
      <c r="A25" s="75" t="n">
        <v>2025</v>
      </c>
      <c r="B25" s="75" t="n">
        <v>2</v>
      </c>
      <c r="C25" s="75" t="n">
        <v>62201000</v>
      </c>
      <c r="D25" s="75" t="inlineStr">
        <is>
          <t>통신비</t>
        </is>
      </c>
      <c r="E25" s="76" t="n">
        <v>31709000</v>
      </c>
      <c r="F25" s="76" t="n">
        <v>0</v>
      </c>
      <c r="G25" s="76" t="n">
        <v>67203000</v>
      </c>
      <c r="I25" s="9">
        <f>IF($A25="","",VALUE($A25&amp;"")*12+VALUE($B25&amp;""))</f>
        <v/>
      </c>
      <c r="J25" s="9">
        <f>IF($A25="","",$C25&amp;"")</f>
        <v/>
      </c>
      <c r="K25" s="77">
        <f>IF($A25="",0,($E25-$F25)*설정!$C$23)</f>
        <v/>
      </c>
    </row>
    <row r="26">
      <c r="A26" s="75" t="n">
        <v>2025</v>
      </c>
      <c r="B26" s="75" t="n">
        <v>2</v>
      </c>
      <c r="C26" s="75" t="n">
        <v>62301000</v>
      </c>
      <c r="D26" s="75" t="inlineStr">
        <is>
          <t>소모품비</t>
        </is>
      </c>
      <c r="E26" s="76" t="n">
        <v>5785000</v>
      </c>
      <c r="F26" s="76" t="n">
        <v>0</v>
      </c>
      <c r="G26" s="76" t="n">
        <v>11847000</v>
      </c>
      <c r="I26" s="9">
        <f>IF($A26="","",VALUE($A26&amp;"")*12+VALUE($B26&amp;""))</f>
        <v/>
      </c>
      <c r="J26" s="9">
        <f>IF($A26="","",$C26&amp;"")</f>
        <v/>
      </c>
      <c r="K26" s="77">
        <f>IF($A26="",0,($E26-$F26)*설정!$C$23)</f>
        <v/>
      </c>
    </row>
    <row r="27">
      <c r="A27" s="75" t="n">
        <v>2025</v>
      </c>
      <c r="B27" s="75" t="n">
        <v>2</v>
      </c>
      <c r="C27" s="75" t="n">
        <v>62401000</v>
      </c>
      <c r="D27" s="75" t="inlineStr">
        <is>
          <t>도서인쇄비</t>
        </is>
      </c>
      <c r="E27" s="76" t="n">
        <v>13965000</v>
      </c>
      <c r="F27" s="76" t="n">
        <v>0</v>
      </c>
      <c r="G27" s="76" t="n">
        <v>27068000</v>
      </c>
      <c r="I27" s="9">
        <f>IF($A27="","",VALUE($A27&amp;"")*12+VALUE($B27&amp;""))</f>
        <v/>
      </c>
      <c r="J27" s="9">
        <f>IF($A27="","",$C27&amp;"")</f>
        <v/>
      </c>
      <c r="K27" s="77">
        <f>IF($A27="",0,($E27-$F27)*설정!$C$23)</f>
        <v/>
      </c>
    </row>
    <row r="28">
      <c r="A28" s="75" t="n">
        <v>2025</v>
      </c>
      <c r="B28" s="75" t="n">
        <v>2</v>
      </c>
      <c r="C28" s="75" t="n">
        <v>62501000</v>
      </c>
      <c r="D28" s="75" t="inlineStr">
        <is>
          <t>회의비</t>
        </is>
      </c>
      <c r="E28" s="76" t="n">
        <v>5570000</v>
      </c>
      <c r="F28" s="76" t="n">
        <v>0</v>
      </c>
      <c r="G28" s="76" t="n">
        <v>10917000</v>
      </c>
      <c r="I28" s="9">
        <f>IF($A28="","",VALUE($A28&amp;"")*12+VALUE($B28&amp;""))</f>
        <v/>
      </c>
      <c r="J28" s="9">
        <f>IF($A28="","",$C28&amp;"")</f>
        <v/>
      </c>
      <c r="K28" s="77">
        <f>IF($A28="",0,($E28-$F28)*설정!$C$23)</f>
        <v/>
      </c>
    </row>
    <row r="29">
      <c r="A29" s="75" t="n">
        <v>2025</v>
      </c>
      <c r="B29" s="75" t="n">
        <v>2</v>
      </c>
      <c r="C29" s="75" t="n">
        <v>62601000</v>
      </c>
      <c r="D29" s="75" t="inlineStr">
        <is>
          <t>업무추진비</t>
        </is>
      </c>
      <c r="E29" s="76" t="n">
        <v>10870000</v>
      </c>
      <c r="F29" s="76" t="n">
        <v>0</v>
      </c>
      <c r="G29" s="76" t="n">
        <v>20981000</v>
      </c>
      <c r="I29" s="9">
        <f>IF($A29="","",VALUE($A29&amp;"")*12+VALUE($B29&amp;""))</f>
        <v/>
      </c>
      <c r="J29" s="9">
        <f>IF($A29="","",$C29&amp;"")</f>
        <v/>
      </c>
      <c r="K29" s="77">
        <f>IF($A29="",0,($E29-$F29)*설정!$C$23)</f>
        <v/>
      </c>
    </row>
    <row r="30">
      <c r="A30" s="75" t="n">
        <v>2025</v>
      </c>
      <c r="B30" s="75" t="n">
        <v>2</v>
      </c>
      <c r="C30" s="75" t="n">
        <v>62701000</v>
      </c>
      <c r="D30" s="75" t="inlineStr">
        <is>
          <t>광고선전비</t>
        </is>
      </c>
      <c r="E30" s="76" t="n">
        <v>140000000</v>
      </c>
      <c r="F30" s="76" t="n">
        <v>0</v>
      </c>
      <c r="G30" s="76" t="n">
        <v>290000000</v>
      </c>
      <c r="I30" s="9">
        <f>IF($A30="","",VALUE($A30&amp;"")*12+VALUE($B30&amp;""))</f>
        <v/>
      </c>
      <c r="J30" s="9">
        <f>IF($A30="","",$C30&amp;"")</f>
        <v/>
      </c>
      <c r="K30" s="77">
        <f>IF($A30="",0,($E30-$F30)*설정!$C$23)</f>
        <v/>
      </c>
    </row>
    <row r="31">
      <c r="A31" s="75" t="n">
        <v>2025</v>
      </c>
      <c r="B31" s="75" t="n">
        <v>2</v>
      </c>
      <c r="C31" s="75" t="n">
        <v>62801000</v>
      </c>
      <c r="D31" s="75" t="inlineStr">
        <is>
          <t>교육훈련비-사내</t>
        </is>
      </c>
      <c r="E31" s="76" t="n">
        <v>11908000</v>
      </c>
      <c r="F31" s="76" t="n">
        <v>0</v>
      </c>
      <c r="G31" s="76" t="n">
        <v>23460000</v>
      </c>
      <c r="I31" s="9">
        <f>IF($A31="","",VALUE($A31&amp;"")*12+VALUE($B31&amp;""))</f>
        <v/>
      </c>
      <c r="J31" s="9">
        <f>IF($A31="","",$C31&amp;"")</f>
        <v/>
      </c>
      <c r="K31" s="77">
        <f>IF($A31="",0,($E31-$F31)*설정!$C$23)</f>
        <v/>
      </c>
    </row>
    <row r="32">
      <c r="A32" s="75" t="n">
        <v>2025</v>
      </c>
      <c r="B32" s="75" t="n">
        <v>2</v>
      </c>
      <c r="C32" s="75" t="n">
        <v>62802000</v>
      </c>
      <c r="D32" s="75" t="inlineStr">
        <is>
          <t>교육훈련비-외부위탁</t>
        </is>
      </c>
      <c r="E32" s="76" t="n">
        <v>14323000</v>
      </c>
      <c r="F32" s="76" t="n">
        <v>0</v>
      </c>
      <c r="G32" s="76" t="n">
        <v>29511000</v>
      </c>
      <c r="I32" s="9">
        <f>IF($A32="","",VALUE($A32&amp;"")*12+VALUE($B32&amp;""))</f>
        <v/>
      </c>
      <c r="J32" s="9">
        <f>IF($A32="","",$C32&amp;"")</f>
        <v/>
      </c>
      <c r="K32" s="77">
        <f>IF($A32="",0,($E32-$F32)*설정!$C$23)</f>
        <v/>
      </c>
    </row>
    <row r="33">
      <c r="A33" s="75" t="n">
        <v>2025</v>
      </c>
      <c r="B33" s="75" t="n">
        <v>2</v>
      </c>
      <c r="C33" s="75" t="n">
        <v>62901000</v>
      </c>
      <c r="D33" s="75" t="inlineStr">
        <is>
          <t>지급수수료-컨설팅</t>
        </is>
      </c>
      <c r="E33" s="76" t="n">
        <v>77392000</v>
      </c>
      <c r="F33" s="76" t="n">
        <v>0</v>
      </c>
      <c r="G33" s="76" t="n">
        <v>161425000</v>
      </c>
      <c r="I33" s="9">
        <f>IF($A33="","",VALUE($A33&amp;"")*12+VALUE($B33&amp;""))</f>
        <v/>
      </c>
      <c r="J33" s="9">
        <f>IF($A33="","",$C33&amp;"")</f>
        <v/>
      </c>
      <c r="K33" s="77">
        <f>IF($A33="",0,($E33-$F33)*설정!$C$23)</f>
        <v/>
      </c>
    </row>
    <row r="34">
      <c r="A34" s="75" t="n">
        <v>2025</v>
      </c>
      <c r="B34" s="75" t="n">
        <v>2</v>
      </c>
      <c r="C34" s="75" t="n">
        <v>62902000</v>
      </c>
      <c r="D34" s="75" t="inlineStr">
        <is>
          <t>지급수수료-기타</t>
        </is>
      </c>
      <c r="E34" s="76" t="n">
        <v>41521000</v>
      </c>
      <c r="F34" s="76" t="n">
        <v>0</v>
      </c>
      <c r="G34" s="76" t="n">
        <v>82539000</v>
      </c>
      <c r="I34" s="9">
        <f>IF($A34="","",VALUE($A34&amp;"")*12+VALUE($B34&amp;""))</f>
        <v/>
      </c>
      <c r="J34" s="9">
        <f>IF($A34="","",$C34&amp;"")</f>
        <v/>
      </c>
      <c r="K34" s="77">
        <f>IF($A34="",0,($E34-$F34)*설정!$C$23)</f>
        <v/>
      </c>
    </row>
    <row r="35">
      <c r="A35" s="75" t="n">
        <v>2025</v>
      </c>
      <c r="B35" s="75" t="n">
        <v>2</v>
      </c>
      <c r="C35" s="75" t="n">
        <v>63001000</v>
      </c>
      <c r="D35" s="75" t="inlineStr">
        <is>
          <t>전산운영비-SW유지보수</t>
        </is>
      </c>
      <c r="E35" s="76" t="n">
        <v>90242000</v>
      </c>
      <c r="F35" s="76" t="n">
        <v>0</v>
      </c>
      <c r="G35" s="76" t="n">
        <v>176712000</v>
      </c>
      <c r="I35" s="9">
        <f>IF($A35="","",VALUE($A35&amp;"")*12+VALUE($B35&amp;""))</f>
        <v/>
      </c>
      <c r="J35" s="9">
        <f>IF($A35="","",$C35&amp;"")</f>
        <v/>
      </c>
      <c r="K35" s="77">
        <f>IF($A35="",0,($E35-$F35)*설정!$C$23)</f>
        <v/>
      </c>
    </row>
    <row r="36">
      <c r="A36" s="75" t="n">
        <v>2025</v>
      </c>
      <c r="B36" s="75" t="n">
        <v>2</v>
      </c>
      <c r="C36" s="75" t="n">
        <v>63002000</v>
      </c>
      <c r="D36" s="75" t="inlineStr">
        <is>
          <t>전산운영비-클라우드</t>
        </is>
      </c>
      <c r="E36" s="76" t="n">
        <v>65000000</v>
      </c>
      <c r="F36" s="76" t="n">
        <v>0</v>
      </c>
      <c r="G36" s="76" t="n">
        <v>129000000</v>
      </c>
      <c r="I36" s="9">
        <f>IF($A36="","",VALUE($A36&amp;"")*12+VALUE($B36&amp;""))</f>
        <v/>
      </c>
      <c r="J36" s="9">
        <f>IF($A36="","",$C36&amp;"")</f>
        <v/>
      </c>
      <c r="K36" s="77">
        <f>IF($A36="",0,($E36-$F36)*설정!$C$23)</f>
        <v/>
      </c>
    </row>
    <row r="37">
      <c r="A37" s="75" t="n">
        <v>2025</v>
      </c>
      <c r="B37" s="75" t="n">
        <v>2</v>
      </c>
      <c r="C37" s="75" t="n">
        <v>63101000</v>
      </c>
      <c r="D37" s="75" t="inlineStr">
        <is>
          <t>임차료</t>
        </is>
      </c>
      <c r="E37" s="76" t="n">
        <v>16932000</v>
      </c>
      <c r="F37" s="76" t="n">
        <v>0</v>
      </c>
      <c r="G37" s="76" t="n">
        <v>30549000</v>
      </c>
      <c r="I37" s="9">
        <f>IF($A37="","",VALUE($A37&amp;"")*12+VALUE($B37&amp;""))</f>
        <v/>
      </c>
      <c r="J37" s="9">
        <f>IF($A37="","",$C37&amp;"")</f>
        <v/>
      </c>
      <c r="K37" s="77">
        <f>IF($A37="",0,($E37-$F37)*설정!$C$23)</f>
        <v/>
      </c>
    </row>
    <row r="38">
      <c r="A38" s="75" t="n">
        <v>2025</v>
      </c>
      <c r="B38" s="75" t="n">
        <v>2</v>
      </c>
      <c r="C38" s="75" t="n">
        <v>63201000</v>
      </c>
      <c r="D38" s="75" t="inlineStr">
        <is>
          <t>차량유지비</t>
        </is>
      </c>
      <c r="E38" s="76" t="n">
        <v>7370000</v>
      </c>
      <c r="F38" s="76" t="n">
        <v>0</v>
      </c>
      <c r="G38" s="76" t="n">
        <v>14647000</v>
      </c>
      <c r="I38" s="9">
        <f>IF($A38="","",VALUE($A38&amp;"")*12+VALUE($B38&amp;""))</f>
        <v/>
      </c>
      <c r="J38" s="9">
        <f>IF($A38="","",$C38&amp;"")</f>
        <v/>
      </c>
      <c r="K38" s="77">
        <f>IF($A38="",0,($E38-$F38)*설정!$C$23)</f>
        <v/>
      </c>
    </row>
    <row r="39">
      <c r="A39" s="75" t="n">
        <v>2025</v>
      </c>
      <c r="B39" s="75" t="n">
        <v>2</v>
      </c>
      <c r="C39" s="75" t="n">
        <v>61101000</v>
      </c>
      <c r="D39" s="75" t="inlineStr">
        <is>
          <t>급여</t>
        </is>
      </c>
      <c r="E39" s="76" t="n">
        <v>813470000</v>
      </c>
      <c r="F39" s="76" t="n">
        <v>0</v>
      </c>
      <c r="G39" s="76" t="n">
        <v>1626974000</v>
      </c>
      <c r="I39" s="9">
        <f>IF($A39="","",VALUE($A39&amp;"")*12+VALUE($B39&amp;""))</f>
        <v/>
      </c>
      <c r="J39" s="9">
        <f>IF($A39="","",$C39&amp;"")</f>
        <v/>
      </c>
      <c r="K39" s="77">
        <f>IF($A39="",0,($E39-$F39)*설정!$C$23)</f>
        <v/>
      </c>
    </row>
    <row r="40">
      <c r="A40" s="75" t="n">
        <v>2025</v>
      </c>
      <c r="B40" s="75" t="n">
        <v>2</v>
      </c>
      <c r="C40" s="75" t="n">
        <v>61201000</v>
      </c>
      <c r="D40" s="75" t="inlineStr">
        <is>
          <t>복리후생비</t>
        </is>
      </c>
      <c r="E40" s="76" t="n">
        <v>121143000</v>
      </c>
      <c r="F40" s="76" t="n">
        <v>0</v>
      </c>
      <c r="G40" s="76" t="n">
        <v>239635000</v>
      </c>
      <c r="I40" s="9">
        <f>IF($A40="","",VALUE($A40&amp;"")*12+VALUE($B40&amp;""))</f>
        <v/>
      </c>
      <c r="J40" s="9">
        <f>IF($A40="","",$C40&amp;"")</f>
        <v/>
      </c>
      <c r="K40" s="77">
        <f>IF($A40="",0,($E40-$F40)*설정!$C$23)</f>
        <v/>
      </c>
    </row>
    <row r="41">
      <c r="A41" s="75" t="n">
        <v>2025</v>
      </c>
      <c r="B41" s="75" t="n">
        <v>3</v>
      </c>
      <c r="C41" s="75" t="n">
        <v>62101000</v>
      </c>
      <c r="D41" s="75" t="inlineStr">
        <is>
          <t>여비교통비-국내</t>
        </is>
      </c>
      <c r="E41" s="76" t="n">
        <v>15548000</v>
      </c>
      <c r="F41" s="76" t="n">
        <v>0</v>
      </c>
      <c r="G41" s="76" t="n">
        <v>49225000</v>
      </c>
      <c r="I41" s="9">
        <f>IF($A41="","",VALUE($A41&amp;"")*12+VALUE($B41&amp;""))</f>
        <v/>
      </c>
      <c r="J41" s="9">
        <f>IF($A41="","",$C41&amp;"")</f>
        <v/>
      </c>
      <c r="K41" s="77">
        <f>IF($A41="",0,($E41-$F41)*설정!$C$23)</f>
        <v/>
      </c>
    </row>
    <row r="42">
      <c r="A42" s="75" t="n">
        <v>2025</v>
      </c>
      <c r="B42" s="75" t="n">
        <v>3</v>
      </c>
      <c r="C42" s="75" t="n">
        <v>62102000</v>
      </c>
      <c r="D42" s="75" t="inlineStr">
        <is>
          <t>여비교통비-해외</t>
        </is>
      </c>
      <c r="E42" s="76" t="n">
        <v>2909000</v>
      </c>
      <c r="F42" s="76" t="n">
        <v>0</v>
      </c>
      <c r="G42" s="76" t="n">
        <v>8981000</v>
      </c>
      <c r="I42" s="9">
        <f>IF($A42="","",VALUE($A42&amp;"")*12+VALUE($B42&amp;""))</f>
        <v/>
      </c>
      <c r="J42" s="9">
        <f>IF($A42="","",$C42&amp;"")</f>
        <v/>
      </c>
      <c r="K42" s="77">
        <f>IF($A42="",0,($E42-$F42)*설정!$C$23)</f>
        <v/>
      </c>
    </row>
    <row r="43">
      <c r="A43" s="75" t="n">
        <v>2025</v>
      </c>
      <c r="B43" s="75" t="n">
        <v>3</v>
      </c>
      <c r="C43" s="75" t="n">
        <v>62201000</v>
      </c>
      <c r="D43" s="75" t="inlineStr">
        <is>
          <t>통신비</t>
        </is>
      </c>
      <c r="E43" s="76" t="n">
        <v>36264000</v>
      </c>
      <c r="F43" s="76" t="n">
        <v>0</v>
      </c>
      <c r="G43" s="76" t="n">
        <v>103467000</v>
      </c>
      <c r="I43" s="9">
        <f>IF($A43="","",VALUE($A43&amp;"")*12+VALUE($B43&amp;""))</f>
        <v/>
      </c>
      <c r="J43" s="9">
        <f>IF($A43="","",$C43&amp;"")</f>
        <v/>
      </c>
      <c r="K43" s="77">
        <f>IF($A43="",0,($E43-$F43)*설정!$C$23)</f>
        <v/>
      </c>
    </row>
    <row r="44">
      <c r="A44" s="75" t="n">
        <v>2025</v>
      </c>
      <c r="B44" s="75" t="n">
        <v>3</v>
      </c>
      <c r="C44" s="75" t="n">
        <v>62301000</v>
      </c>
      <c r="D44" s="75" t="inlineStr">
        <is>
          <t>소모품비</t>
        </is>
      </c>
      <c r="E44" s="76" t="n">
        <v>5841000</v>
      </c>
      <c r="F44" s="76" t="n">
        <v>0</v>
      </c>
      <c r="G44" s="76" t="n">
        <v>17688000</v>
      </c>
      <c r="I44" s="9">
        <f>IF($A44="","",VALUE($A44&amp;"")*12+VALUE($B44&amp;""))</f>
        <v/>
      </c>
      <c r="J44" s="9">
        <f>IF($A44="","",$C44&amp;"")</f>
        <v/>
      </c>
      <c r="K44" s="77">
        <f>IF($A44="",0,($E44-$F44)*설정!$C$23)</f>
        <v/>
      </c>
    </row>
    <row r="45">
      <c r="A45" s="75" t="n">
        <v>2025</v>
      </c>
      <c r="B45" s="75" t="n">
        <v>3</v>
      </c>
      <c r="C45" s="75" t="n">
        <v>62401000</v>
      </c>
      <c r="D45" s="75" t="inlineStr">
        <is>
          <t>도서인쇄비</t>
        </is>
      </c>
      <c r="E45" s="76" t="n">
        <v>13827000</v>
      </c>
      <c r="F45" s="76" t="n">
        <v>0</v>
      </c>
      <c r="G45" s="76" t="n">
        <v>40895000</v>
      </c>
      <c r="I45" s="9">
        <f>IF($A45="","",VALUE($A45&amp;"")*12+VALUE($B45&amp;""))</f>
        <v/>
      </c>
      <c r="J45" s="9">
        <f>IF($A45="","",$C45&amp;"")</f>
        <v/>
      </c>
      <c r="K45" s="77">
        <f>IF($A45="",0,($E45-$F45)*설정!$C$23)</f>
        <v/>
      </c>
    </row>
    <row r="46">
      <c r="A46" s="75" t="n">
        <v>2025</v>
      </c>
      <c r="B46" s="75" t="n">
        <v>3</v>
      </c>
      <c r="C46" s="75" t="n">
        <v>62501000</v>
      </c>
      <c r="D46" s="75" t="inlineStr">
        <is>
          <t>회의비</t>
        </is>
      </c>
      <c r="E46" s="76" t="n">
        <v>5204000</v>
      </c>
      <c r="F46" s="76" t="n">
        <v>0</v>
      </c>
      <c r="G46" s="76" t="n">
        <v>16121000</v>
      </c>
      <c r="I46" s="9">
        <f>IF($A46="","",VALUE($A46&amp;"")*12+VALUE($B46&amp;""))</f>
        <v/>
      </c>
      <c r="J46" s="9">
        <f>IF($A46="","",$C46&amp;"")</f>
        <v/>
      </c>
      <c r="K46" s="77">
        <f>IF($A46="",0,($E46-$F46)*설정!$C$23)</f>
        <v/>
      </c>
    </row>
    <row r="47">
      <c r="A47" s="75" t="n">
        <v>2025</v>
      </c>
      <c r="B47" s="75" t="n">
        <v>3</v>
      </c>
      <c r="C47" s="75" t="n">
        <v>62601000</v>
      </c>
      <c r="D47" s="75" t="inlineStr">
        <is>
          <t>업무추진비</t>
        </is>
      </c>
      <c r="E47" s="76" t="n">
        <v>11107000</v>
      </c>
      <c r="F47" s="76" t="n">
        <v>0</v>
      </c>
      <c r="G47" s="76" t="n">
        <v>32088000</v>
      </c>
      <c r="I47" s="9">
        <f>IF($A47="","",VALUE($A47&amp;"")*12+VALUE($B47&amp;""))</f>
        <v/>
      </c>
      <c r="J47" s="9">
        <f>IF($A47="","",$C47&amp;"")</f>
        <v/>
      </c>
      <c r="K47" s="77">
        <f>IF($A47="",0,($E47-$F47)*설정!$C$23)</f>
        <v/>
      </c>
    </row>
    <row r="48">
      <c r="A48" s="75" t="n">
        <v>2025</v>
      </c>
      <c r="B48" s="75" t="n">
        <v>3</v>
      </c>
      <c r="C48" s="75" t="n">
        <v>62701000</v>
      </c>
      <c r="D48" s="75" t="inlineStr">
        <is>
          <t>광고선전비</t>
        </is>
      </c>
      <c r="E48" s="76" t="n">
        <v>160000000</v>
      </c>
      <c r="F48" s="76" t="n">
        <v>0</v>
      </c>
      <c r="G48" s="76" t="n">
        <v>450000000</v>
      </c>
      <c r="I48" s="9">
        <f>IF($A48="","",VALUE($A48&amp;"")*12+VALUE($B48&amp;""))</f>
        <v/>
      </c>
      <c r="J48" s="9">
        <f>IF($A48="","",$C48&amp;"")</f>
        <v/>
      </c>
      <c r="K48" s="77">
        <f>IF($A48="",0,($E48-$F48)*설정!$C$23)</f>
        <v/>
      </c>
    </row>
    <row r="49">
      <c r="A49" s="75" t="n">
        <v>2025</v>
      </c>
      <c r="B49" s="75" t="n">
        <v>3</v>
      </c>
      <c r="C49" s="75" t="n">
        <v>62801000</v>
      </c>
      <c r="D49" s="75" t="inlineStr">
        <is>
          <t>교육훈련비-사내</t>
        </is>
      </c>
      <c r="E49" s="76" t="n">
        <v>11242000</v>
      </c>
      <c r="F49" s="76" t="n">
        <v>0</v>
      </c>
      <c r="G49" s="76" t="n">
        <v>34702000</v>
      </c>
      <c r="I49" s="9">
        <f>IF($A49="","",VALUE($A49&amp;"")*12+VALUE($B49&amp;""))</f>
        <v/>
      </c>
      <c r="J49" s="9">
        <f>IF($A49="","",$C49&amp;"")</f>
        <v/>
      </c>
      <c r="K49" s="77">
        <f>IF($A49="",0,($E49-$F49)*설정!$C$23)</f>
        <v/>
      </c>
    </row>
    <row r="50">
      <c r="A50" s="75" t="n">
        <v>2025</v>
      </c>
      <c r="B50" s="75" t="n">
        <v>3</v>
      </c>
      <c r="C50" s="75" t="n">
        <v>62802000</v>
      </c>
      <c r="D50" s="75" t="inlineStr">
        <is>
          <t>교육훈련비-외부위탁</t>
        </is>
      </c>
      <c r="E50" s="76" t="n">
        <v>14086000</v>
      </c>
      <c r="F50" s="76" t="n">
        <v>0</v>
      </c>
      <c r="G50" s="76" t="n">
        <v>43597000</v>
      </c>
      <c r="I50" s="9">
        <f>IF($A50="","",VALUE($A50&amp;"")*12+VALUE($B50&amp;""))</f>
        <v/>
      </c>
      <c r="J50" s="9">
        <f>IF($A50="","",$C50&amp;"")</f>
        <v/>
      </c>
      <c r="K50" s="77">
        <f>IF($A50="",0,($E50-$F50)*설정!$C$23)</f>
        <v/>
      </c>
    </row>
    <row r="51">
      <c r="A51" s="75" t="n">
        <v>2025</v>
      </c>
      <c r="B51" s="75" t="n">
        <v>3</v>
      </c>
      <c r="C51" s="75" t="n">
        <v>62901000</v>
      </c>
      <c r="D51" s="75" t="inlineStr">
        <is>
          <t>지급수수료-컨설팅</t>
        </is>
      </c>
      <c r="E51" s="76" t="n">
        <v>83057000</v>
      </c>
      <c r="F51" s="76" t="n">
        <v>0</v>
      </c>
      <c r="G51" s="76" t="n">
        <v>244482000</v>
      </c>
      <c r="I51" s="9">
        <f>IF($A51="","",VALUE($A51&amp;"")*12+VALUE($B51&amp;""))</f>
        <v/>
      </c>
      <c r="J51" s="9">
        <f>IF($A51="","",$C51&amp;"")</f>
        <v/>
      </c>
      <c r="K51" s="77">
        <f>IF($A51="",0,($E51-$F51)*설정!$C$23)</f>
        <v/>
      </c>
    </row>
    <row r="52">
      <c r="A52" s="75" t="n">
        <v>2025</v>
      </c>
      <c r="B52" s="75" t="n">
        <v>3</v>
      </c>
      <c r="C52" s="75" t="n">
        <v>62902000</v>
      </c>
      <c r="D52" s="75" t="inlineStr">
        <is>
          <t>지급수수료-기타</t>
        </is>
      </c>
      <c r="E52" s="76" t="n">
        <v>41460000</v>
      </c>
      <c r="F52" s="76" t="n">
        <v>0</v>
      </c>
      <c r="G52" s="76" t="n">
        <v>123999000</v>
      </c>
      <c r="I52" s="9">
        <f>IF($A52="","",VALUE($A52&amp;"")*12+VALUE($B52&amp;""))</f>
        <v/>
      </c>
      <c r="J52" s="9">
        <f>IF($A52="","",$C52&amp;"")</f>
        <v/>
      </c>
      <c r="K52" s="77">
        <f>IF($A52="",0,($E52-$F52)*설정!$C$23)</f>
        <v/>
      </c>
    </row>
    <row r="53">
      <c r="A53" s="75" t="n">
        <v>2025</v>
      </c>
      <c r="B53" s="75" t="n">
        <v>3</v>
      </c>
      <c r="C53" s="75" t="n">
        <v>63001000</v>
      </c>
      <c r="D53" s="75" t="inlineStr">
        <is>
          <t>전산운영비-SW유지보수</t>
        </is>
      </c>
      <c r="E53" s="76" t="n">
        <v>91398000</v>
      </c>
      <c r="F53" s="76" t="n">
        <v>0</v>
      </c>
      <c r="G53" s="76" t="n">
        <v>268110000</v>
      </c>
      <c r="I53" s="9">
        <f>IF($A53="","",VALUE($A53&amp;"")*12+VALUE($B53&amp;""))</f>
        <v/>
      </c>
      <c r="J53" s="9">
        <f>IF($A53="","",$C53&amp;"")</f>
        <v/>
      </c>
      <c r="K53" s="77">
        <f>IF($A53="",0,($E53-$F53)*설정!$C$23)</f>
        <v/>
      </c>
    </row>
    <row r="54">
      <c r="A54" s="75" t="n">
        <v>2025</v>
      </c>
      <c r="B54" s="75" t="n">
        <v>3</v>
      </c>
      <c r="C54" s="75" t="n">
        <v>63002000</v>
      </c>
      <c r="D54" s="75" t="inlineStr">
        <is>
          <t>전산운영비-클라우드</t>
        </is>
      </c>
      <c r="E54" s="76" t="n">
        <v>66000000</v>
      </c>
      <c r="F54" s="76" t="n">
        <v>0</v>
      </c>
      <c r="G54" s="76" t="n">
        <v>195000000</v>
      </c>
      <c r="I54" s="9">
        <f>IF($A54="","",VALUE($A54&amp;"")*12+VALUE($B54&amp;""))</f>
        <v/>
      </c>
      <c r="J54" s="9">
        <f>IF($A54="","",$C54&amp;"")</f>
        <v/>
      </c>
      <c r="K54" s="77">
        <f>IF($A54="",0,($E54-$F54)*설정!$C$23)</f>
        <v/>
      </c>
    </row>
    <row r="55">
      <c r="A55" s="75" t="n">
        <v>2025</v>
      </c>
      <c r="B55" s="75" t="n">
        <v>3</v>
      </c>
      <c r="C55" s="75" t="n">
        <v>63101000</v>
      </c>
      <c r="D55" s="75" t="inlineStr">
        <is>
          <t>임차료</t>
        </is>
      </c>
      <c r="E55" s="76" t="n">
        <v>15584000</v>
      </c>
      <c r="F55" s="76" t="n">
        <v>0</v>
      </c>
      <c r="G55" s="76" t="n">
        <v>46133000</v>
      </c>
      <c r="I55" s="9">
        <f>IF($A55="","",VALUE($A55&amp;"")*12+VALUE($B55&amp;""))</f>
        <v/>
      </c>
      <c r="J55" s="9">
        <f>IF($A55="","",$C55&amp;"")</f>
        <v/>
      </c>
      <c r="K55" s="77">
        <f>IF($A55="",0,($E55-$F55)*설정!$C$23)</f>
        <v/>
      </c>
    </row>
    <row r="56">
      <c r="A56" s="75" t="n">
        <v>2025</v>
      </c>
      <c r="B56" s="75" t="n">
        <v>3</v>
      </c>
      <c r="C56" s="75" t="n">
        <v>63201000</v>
      </c>
      <c r="D56" s="75" t="inlineStr">
        <is>
          <t>차량유지비</t>
        </is>
      </c>
      <c r="E56" s="76" t="n">
        <v>7067000</v>
      </c>
      <c r="F56" s="76" t="n">
        <v>0</v>
      </c>
      <c r="G56" s="76" t="n">
        <v>21714000</v>
      </c>
      <c r="I56" s="9">
        <f>IF($A56="","",VALUE($A56&amp;"")*12+VALUE($B56&amp;""))</f>
        <v/>
      </c>
      <c r="J56" s="9">
        <f>IF($A56="","",$C56&amp;"")</f>
        <v/>
      </c>
      <c r="K56" s="77">
        <f>IF($A56="",0,($E56-$F56)*설정!$C$23)</f>
        <v/>
      </c>
    </row>
    <row r="57">
      <c r="A57" s="75" t="n">
        <v>2025</v>
      </c>
      <c r="B57" s="75" t="n">
        <v>3</v>
      </c>
      <c r="C57" s="75" t="n">
        <v>61101000</v>
      </c>
      <c r="D57" s="75" t="inlineStr">
        <is>
          <t>급여</t>
        </is>
      </c>
      <c r="E57" s="76" t="n">
        <v>776635000</v>
      </c>
      <c r="F57" s="76" t="n">
        <v>0</v>
      </c>
      <c r="G57" s="76" t="n">
        <v>2403609000</v>
      </c>
      <c r="I57" s="9">
        <f>IF($A57="","",VALUE($A57&amp;"")*12+VALUE($B57&amp;""))</f>
        <v/>
      </c>
      <c r="J57" s="9">
        <f>IF($A57="","",$C57&amp;"")</f>
        <v/>
      </c>
      <c r="K57" s="77">
        <f>IF($A57="",0,($E57-$F57)*설정!$C$23)</f>
        <v/>
      </c>
    </row>
    <row r="58">
      <c r="A58" s="75" t="n">
        <v>2025</v>
      </c>
      <c r="B58" s="75" t="n">
        <v>3</v>
      </c>
      <c r="C58" s="75" t="n">
        <v>61201000</v>
      </c>
      <c r="D58" s="75" t="inlineStr">
        <is>
          <t>복리후생비</t>
        </is>
      </c>
      <c r="E58" s="76" t="n">
        <v>118480000</v>
      </c>
      <c r="F58" s="76" t="n">
        <v>0</v>
      </c>
      <c r="G58" s="76" t="n">
        <v>358115000</v>
      </c>
      <c r="I58" s="9">
        <f>IF($A58="","",VALUE($A58&amp;"")*12+VALUE($B58&amp;""))</f>
        <v/>
      </c>
      <c r="J58" s="9">
        <f>IF($A58="","",$C58&amp;"")</f>
        <v/>
      </c>
      <c r="K58" s="77">
        <f>IF($A58="",0,($E58-$F58)*설정!$C$23)</f>
        <v/>
      </c>
    </row>
    <row r="59">
      <c r="A59" s="75" t="n">
        <v>2025</v>
      </c>
      <c r="B59" s="75" t="n">
        <v>4</v>
      </c>
      <c r="C59" s="75" t="n">
        <v>62101000</v>
      </c>
      <c r="D59" s="75" t="inlineStr">
        <is>
          <t>여비교통비-국내</t>
        </is>
      </c>
      <c r="E59" s="76" t="n">
        <v>16589000</v>
      </c>
      <c r="F59" s="76" t="n">
        <v>0</v>
      </c>
      <c r="G59" s="76" t="n">
        <v>65814000</v>
      </c>
      <c r="I59" s="9">
        <f>IF($A59="","",VALUE($A59&amp;"")*12+VALUE($B59&amp;""))</f>
        <v/>
      </c>
      <c r="J59" s="9">
        <f>IF($A59="","",$C59&amp;"")</f>
        <v/>
      </c>
      <c r="K59" s="77">
        <f>IF($A59="",0,($E59-$F59)*설정!$C$23)</f>
        <v/>
      </c>
    </row>
    <row r="60">
      <c r="A60" s="75" t="n">
        <v>2025</v>
      </c>
      <c r="B60" s="75" t="n">
        <v>4</v>
      </c>
      <c r="C60" s="75" t="n">
        <v>62102000</v>
      </c>
      <c r="D60" s="75" t="inlineStr">
        <is>
          <t>여비교통비-해외</t>
        </is>
      </c>
      <c r="E60" s="76" t="n">
        <v>2887000</v>
      </c>
      <c r="F60" s="76" t="n">
        <v>0</v>
      </c>
      <c r="G60" s="76" t="n">
        <v>11868000</v>
      </c>
      <c r="I60" s="9">
        <f>IF($A60="","",VALUE($A60&amp;"")*12+VALUE($B60&amp;""))</f>
        <v/>
      </c>
      <c r="J60" s="9">
        <f>IF($A60="","",$C60&amp;"")</f>
        <v/>
      </c>
      <c r="K60" s="77">
        <f>IF($A60="",0,($E60-$F60)*설정!$C$23)</f>
        <v/>
      </c>
    </row>
    <row r="61">
      <c r="A61" s="75" t="n">
        <v>2025</v>
      </c>
      <c r="B61" s="75" t="n">
        <v>4</v>
      </c>
      <c r="C61" s="75" t="n">
        <v>62201000</v>
      </c>
      <c r="D61" s="75" t="inlineStr">
        <is>
          <t>통신비</t>
        </is>
      </c>
      <c r="E61" s="76" t="n">
        <v>35560000</v>
      </c>
      <c r="F61" s="76" t="n">
        <v>0</v>
      </c>
      <c r="G61" s="76" t="n">
        <v>139027000</v>
      </c>
      <c r="I61" s="9">
        <f>IF($A61="","",VALUE($A61&amp;"")*12+VALUE($B61&amp;""))</f>
        <v/>
      </c>
      <c r="J61" s="9">
        <f>IF($A61="","",$C61&amp;"")</f>
        <v/>
      </c>
      <c r="K61" s="77">
        <f>IF($A61="",0,($E61-$F61)*설정!$C$23)</f>
        <v/>
      </c>
    </row>
    <row r="62">
      <c r="A62" s="75" t="n">
        <v>2025</v>
      </c>
      <c r="B62" s="75" t="n">
        <v>4</v>
      </c>
      <c r="C62" s="75" t="n">
        <v>62301000</v>
      </c>
      <c r="D62" s="75" t="inlineStr">
        <is>
          <t>소모품비</t>
        </is>
      </c>
      <c r="E62" s="76" t="n">
        <v>6137000</v>
      </c>
      <c r="F62" s="76" t="n">
        <v>0</v>
      </c>
      <c r="G62" s="76" t="n">
        <v>23825000</v>
      </c>
      <c r="I62" s="9">
        <f>IF($A62="","",VALUE($A62&amp;"")*12+VALUE($B62&amp;""))</f>
        <v/>
      </c>
      <c r="J62" s="9">
        <f>IF($A62="","",$C62&amp;"")</f>
        <v/>
      </c>
      <c r="K62" s="77">
        <f>IF($A62="",0,($E62-$F62)*설정!$C$23)</f>
        <v/>
      </c>
    </row>
    <row r="63">
      <c r="A63" s="75" t="n">
        <v>2025</v>
      </c>
      <c r="B63" s="75" t="n">
        <v>4</v>
      </c>
      <c r="C63" s="75" t="n">
        <v>62401000</v>
      </c>
      <c r="D63" s="75" t="inlineStr">
        <is>
          <t>도서인쇄비</t>
        </is>
      </c>
      <c r="E63" s="76" t="n">
        <v>13963000</v>
      </c>
      <c r="F63" s="76" t="n">
        <v>0</v>
      </c>
      <c r="G63" s="76" t="n">
        <v>54858000</v>
      </c>
      <c r="I63" s="9">
        <f>IF($A63="","",VALUE($A63&amp;"")*12+VALUE($B63&amp;""))</f>
        <v/>
      </c>
      <c r="J63" s="9">
        <f>IF($A63="","",$C63&amp;"")</f>
        <v/>
      </c>
      <c r="K63" s="77">
        <f>IF($A63="",0,($E63-$F63)*설정!$C$23)</f>
        <v/>
      </c>
    </row>
    <row r="64">
      <c r="A64" s="75" t="n">
        <v>2025</v>
      </c>
      <c r="B64" s="75" t="n">
        <v>4</v>
      </c>
      <c r="C64" s="75" t="n">
        <v>62501000</v>
      </c>
      <c r="D64" s="75" t="inlineStr">
        <is>
          <t>회의비</t>
        </is>
      </c>
      <c r="E64" s="76" t="n">
        <v>5422000</v>
      </c>
      <c r="F64" s="76" t="n">
        <v>0</v>
      </c>
      <c r="G64" s="76" t="n">
        <v>21543000</v>
      </c>
      <c r="I64" s="9">
        <f>IF($A64="","",VALUE($A64&amp;"")*12+VALUE($B64&amp;""))</f>
        <v/>
      </c>
      <c r="J64" s="9">
        <f>IF($A64="","",$C64&amp;"")</f>
        <v/>
      </c>
      <c r="K64" s="77">
        <f>IF($A64="",0,($E64-$F64)*설정!$C$23)</f>
        <v/>
      </c>
    </row>
    <row r="65">
      <c r="A65" s="75" t="n">
        <v>2025</v>
      </c>
      <c r="B65" s="75" t="n">
        <v>4</v>
      </c>
      <c r="C65" s="75" t="n">
        <v>62601000</v>
      </c>
      <c r="D65" s="75" t="inlineStr">
        <is>
          <t>업무추진비</t>
        </is>
      </c>
      <c r="E65" s="76" t="n">
        <v>10466000</v>
      </c>
      <c r="F65" s="76" t="n">
        <v>0</v>
      </c>
      <c r="G65" s="76" t="n">
        <v>42554000</v>
      </c>
      <c r="I65" s="9">
        <f>IF($A65="","",VALUE($A65&amp;"")*12+VALUE($B65&amp;""))</f>
        <v/>
      </c>
      <c r="J65" s="9">
        <f>IF($A65="","",$C65&amp;"")</f>
        <v/>
      </c>
      <c r="K65" s="77">
        <f>IF($A65="",0,($E65-$F65)*설정!$C$23)</f>
        <v/>
      </c>
    </row>
    <row r="66">
      <c r="A66" s="75" t="n">
        <v>2025</v>
      </c>
      <c r="B66" s="75" t="n">
        <v>4</v>
      </c>
      <c r="C66" s="75" t="n">
        <v>62701000</v>
      </c>
      <c r="D66" s="75" t="inlineStr">
        <is>
          <t>광고선전비</t>
        </is>
      </c>
      <c r="E66" s="76" t="n">
        <v>150000000</v>
      </c>
      <c r="F66" s="76" t="n">
        <v>0</v>
      </c>
      <c r="G66" s="76" t="n">
        <v>600000000</v>
      </c>
      <c r="I66" s="9">
        <f>IF($A66="","",VALUE($A66&amp;"")*12+VALUE($B66&amp;""))</f>
        <v/>
      </c>
      <c r="J66" s="9">
        <f>IF($A66="","",$C66&amp;"")</f>
        <v/>
      </c>
      <c r="K66" s="77">
        <f>IF($A66="",0,($E66-$F66)*설정!$C$23)</f>
        <v/>
      </c>
    </row>
    <row r="67">
      <c r="A67" s="75" t="n">
        <v>2025</v>
      </c>
      <c r="B67" s="75" t="n">
        <v>4</v>
      </c>
      <c r="C67" s="75" t="n">
        <v>62801000</v>
      </c>
      <c r="D67" s="75" t="inlineStr">
        <is>
          <t>교육훈련비-사내</t>
        </is>
      </c>
      <c r="E67" s="76" t="n">
        <v>13399000</v>
      </c>
      <c r="F67" s="76" t="n">
        <v>0</v>
      </c>
      <c r="G67" s="76" t="n">
        <v>48101000</v>
      </c>
      <c r="I67" s="9">
        <f>IF($A67="","",VALUE($A67&amp;"")*12+VALUE($B67&amp;""))</f>
        <v/>
      </c>
      <c r="J67" s="9">
        <f>IF($A67="","",$C67&amp;"")</f>
        <v/>
      </c>
      <c r="K67" s="77">
        <f>IF($A67="",0,($E67-$F67)*설정!$C$23)</f>
        <v/>
      </c>
    </row>
    <row r="68">
      <c r="A68" s="75" t="n">
        <v>2025</v>
      </c>
      <c r="B68" s="75" t="n">
        <v>4</v>
      </c>
      <c r="C68" s="75" t="n">
        <v>62802000</v>
      </c>
      <c r="D68" s="75" t="inlineStr">
        <is>
          <t>교육훈련비-외부위탁</t>
        </is>
      </c>
      <c r="E68" s="76" t="n">
        <v>12672000</v>
      </c>
      <c r="F68" s="76" t="n">
        <v>0</v>
      </c>
      <c r="G68" s="76" t="n">
        <v>56269000</v>
      </c>
      <c r="I68" s="9">
        <f>IF($A68="","",VALUE($A68&amp;"")*12+VALUE($B68&amp;""))</f>
        <v/>
      </c>
      <c r="J68" s="9">
        <f>IF($A68="","",$C68&amp;"")</f>
        <v/>
      </c>
      <c r="K68" s="77">
        <f>IF($A68="",0,($E68-$F68)*설정!$C$23)</f>
        <v/>
      </c>
    </row>
    <row r="69">
      <c r="A69" s="75" t="n">
        <v>2025</v>
      </c>
      <c r="B69" s="75" t="n">
        <v>4</v>
      </c>
      <c r="C69" s="75" t="n">
        <v>62901000</v>
      </c>
      <c r="D69" s="75" t="inlineStr">
        <is>
          <t>지급수수료-컨설팅</t>
        </is>
      </c>
      <c r="E69" s="76" t="n">
        <v>81380000</v>
      </c>
      <c r="F69" s="76" t="n">
        <v>0</v>
      </c>
      <c r="G69" s="76" t="n">
        <v>325862000</v>
      </c>
      <c r="I69" s="9">
        <f>IF($A69="","",VALUE($A69&amp;"")*12+VALUE($B69&amp;""))</f>
        <v/>
      </c>
      <c r="J69" s="9">
        <f>IF($A69="","",$C69&amp;"")</f>
        <v/>
      </c>
      <c r="K69" s="77">
        <f>IF($A69="",0,($E69-$F69)*설정!$C$23)</f>
        <v/>
      </c>
    </row>
    <row r="70">
      <c r="A70" s="75" t="n">
        <v>2025</v>
      </c>
      <c r="B70" s="75" t="n">
        <v>4</v>
      </c>
      <c r="C70" s="75" t="n">
        <v>62902000</v>
      </c>
      <c r="D70" s="75" t="inlineStr">
        <is>
          <t>지급수수료-기타</t>
        </is>
      </c>
      <c r="E70" s="76" t="n">
        <v>40925000</v>
      </c>
      <c r="F70" s="76" t="n">
        <v>0</v>
      </c>
      <c r="G70" s="76" t="n">
        <v>164924000</v>
      </c>
      <c r="I70" s="9">
        <f>IF($A70="","",VALUE($A70&amp;"")*12+VALUE($B70&amp;""))</f>
        <v/>
      </c>
      <c r="J70" s="9">
        <f>IF($A70="","",$C70&amp;"")</f>
        <v/>
      </c>
      <c r="K70" s="77">
        <f>IF($A70="",0,($E70-$F70)*설정!$C$23)</f>
        <v/>
      </c>
    </row>
    <row r="71">
      <c r="A71" s="75" t="n">
        <v>2025</v>
      </c>
      <c r="B71" s="75" t="n">
        <v>4</v>
      </c>
      <c r="C71" s="75" t="n">
        <v>63001000</v>
      </c>
      <c r="D71" s="75" t="inlineStr">
        <is>
          <t>전산운영비-SW유지보수</t>
        </is>
      </c>
      <c r="E71" s="76" t="n">
        <v>96129000</v>
      </c>
      <c r="F71" s="76" t="n">
        <v>0</v>
      </c>
      <c r="G71" s="76" t="n">
        <v>364239000</v>
      </c>
      <c r="I71" s="9">
        <f>IF($A71="","",VALUE($A71&amp;"")*12+VALUE($B71&amp;""))</f>
        <v/>
      </c>
      <c r="J71" s="9">
        <f>IF($A71="","",$C71&amp;"")</f>
        <v/>
      </c>
      <c r="K71" s="77">
        <f>IF($A71="",0,($E71-$F71)*설정!$C$23)</f>
        <v/>
      </c>
    </row>
    <row r="72">
      <c r="A72" s="75" t="n">
        <v>2025</v>
      </c>
      <c r="B72" s="75" t="n">
        <v>4</v>
      </c>
      <c r="C72" s="75" t="n">
        <v>63002000</v>
      </c>
      <c r="D72" s="75" t="inlineStr">
        <is>
          <t>전산운영비-클라우드</t>
        </is>
      </c>
      <c r="E72" s="76" t="n">
        <v>66000000</v>
      </c>
      <c r="F72" s="76" t="n">
        <v>0</v>
      </c>
      <c r="G72" s="76" t="n">
        <v>261000000</v>
      </c>
      <c r="I72" s="9">
        <f>IF($A72="","",VALUE($A72&amp;"")*12+VALUE($B72&amp;""))</f>
        <v/>
      </c>
      <c r="J72" s="9">
        <f>IF($A72="","",$C72&amp;"")</f>
        <v/>
      </c>
      <c r="K72" s="77">
        <f>IF($A72="",0,($E72-$F72)*설정!$C$23)</f>
        <v/>
      </c>
    </row>
    <row r="73">
      <c r="A73" s="75" t="n">
        <v>2025</v>
      </c>
      <c r="B73" s="75" t="n">
        <v>4</v>
      </c>
      <c r="C73" s="75" t="n">
        <v>63101000</v>
      </c>
      <c r="D73" s="75" t="inlineStr">
        <is>
          <t>임차료</t>
        </is>
      </c>
      <c r="E73" s="76" t="n">
        <v>15389000</v>
      </c>
      <c r="F73" s="76" t="n">
        <v>0</v>
      </c>
      <c r="G73" s="76" t="n">
        <v>61522000</v>
      </c>
      <c r="I73" s="9">
        <f>IF($A73="","",VALUE($A73&amp;"")*12+VALUE($B73&amp;""))</f>
        <v/>
      </c>
      <c r="J73" s="9">
        <f>IF($A73="","",$C73&amp;"")</f>
        <v/>
      </c>
      <c r="K73" s="77">
        <f>IF($A73="",0,($E73-$F73)*설정!$C$23)</f>
        <v/>
      </c>
    </row>
    <row r="74">
      <c r="A74" s="75" t="n">
        <v>2025</v>
      </c>
      <c r="B74" s="75" t="n">
        <v>4</v>
      </c>
      <c r="C74" s="75" t="n">
        <v>63201000</v>
      </c>
      <c r="D74" s="75" t="inlineStr">
        <is>
          <t>차량유지비</t>
        </is>
      </c>
      <c r="E74" s="76" t="n">
        <v>7224000</v>
      </c>
      <c r="F74" s="76" t="n">
        <v>0</v>
      </c>
      <c r="G74" s="76" t="n">
        <v>28938000</v>
      </c>
      <c r="I74" s="9">
        <f>IF($A74="","",VALUE($A74&amp;"")*12+VALUE($B74&amp;""))</f>
        <v/>
      </c>
      <c r="J74" s="9">
        <f>IF($A74="","",$C74&amp;"")</f>
        <v/>
      </c>
      <c r="K74" s="77">
        <f>IF($A74="",0,($E74-$F74)*설정!$C$23)</f>
        <v/>
      </c>
    </row>
    <row r="75">
      <c r="A75" s="75" t="n">
        <v>2025</v>
      </c>
      <c r="B75" s="75" t="n">
        <v>4</v>
      </c>
      <c r="C75" s="75" t="n">
        <v>61101000</v>
      </c>
      <c r="D75" s="75" t="inlineStr">
        <is>
          <t>급여</t>
        </is>
      </c>
      <c r="E75" s="76" t="n">
        <v>822399000</v>
      </c>
      <c r="F75" s="76" t="n">
        <v>0</v>
      </c>
      <c r="G75" s="76" t="n">
        <v>3226008000</v>
      </c>
      <c r="I75" s="9">
        <f>IF($A75="","",VALUE($A75&amp;"")*12+VALUE($B75&amp;""))</f>
        <v/>
      </c>
      <c r="J75" s="9">
        <f>IF($A75="","",$C75&amp;"")</f>
        <v/>
      </c>
      <c r="K75" s="77">
        <f>IF($A75="",0,($E75-$F75)*설정!$C$23)</f>
        <v/>
      </c>
    </row>
    <row r="76">
      <c r="A76" s="75" t="n">
        <v>2025</v>
      </c>
      <c r="B76" s="75" t="n">
        <v>4</v>
      </c>
      <c r="C76" s="75" t="n">
        <v>61201000</v>
      </c>
      <c r="D76" s="75" t="inlineStr">
        <is>
          <t>복리후생비</t>
        </is>
      </c>
      <c r="E76" s="76" t="n">
        <v>116551000</v>
      </c>
      <c r="F76" s="76" t="n">
        <v>0</v>
      </c>
      <c r="G76" s="76" t="n">
        <v>474666000</v>
      </c>
      <c r="I76" s="9">
        <f>IF($A76="","",VALUE($A76&amp;"")*12+VALUE($B76&amp;""))</f>
        <v/>
      </c>
      <c r="J76" s="9">
        <f>IF($A76="","",$C76&amp;"")</f>
        <v/>
      </c>
      <c r="K76" s="77">
        <f>IF($A76="",0,($E76-$F76)*설정!$C$23)</f>
        <v/>
      </c>
    </row>
    <row r="77">
      <c r="A77" s="75" t="n">
        <v>2025</v>
      </c>
      <c r="B77" s="75" t="n">
        <v>5</v>
      </c>
      <c r="C77" s="75" t="n">
        <v>62101000</v>
      </c>
      <c r="D77" s="75" t="inlineStr">
        <is>
          <t>여비교통비-국내</t>
        </is>
      </c>
      <c r="E77" s="76" t="n">
        <v>16374000</v>
      </c>
      <c r="F77" s="76" t="n">
        <v>0</v>
      </c>
      <c r="G77" s="76" t="n">
        <v>82188000</v>
      </c>
      <c r="I77" s="9">
        <f>IF($A77="","",VALUE($A77&amp;"")*12+VALUE($B77&amp;""))</f>
        <v/>
      </c>
      <c r="J77" s="9">
        <f>IF($A77="","",$C77&amp;"")</f>
        <v/>
      </c>
      <c r="K77" s="77">
        <f>IF($A77="",0,($E77-$F77)*설정!$C$23)</f>
        <v/>
      </c>
    </row>
    <row r="78">
      <c r="A78" s="75" t="n">
        <v>2025</v>
      </c>
      <c r="B78" s="75" t="n">
        <v>5</v>
      </c>
      <c r="C78" s="75" t="n">
        <v>62102000</v>
      </c>
      <c r="D78" s="75" t="inlineStr">
        <is>
          <t>여비교통비-해외</t>
        </is>
      </c>
      <c r="E78" s="76" t="n">
        <v>2955000</v>
      </c>
      <c r="F78" s="76" t="n">
        <v>0</v>
      </c>
      <c r="G78" s="76" t="n">
        <v>14823000</v>
      </c>
      <c r="I78" s="9">
        <f>IF($A78="","",VALUE($A78&amp;"")*12+VALUE($B78&amp;""))</f>
        <v/>
      </c>
      <c r="J78" s="9">
        <f>IF($A78="","",$C78&amp;"")</f>
        <v/>
      </c>
      <c r="K78" s="77">
        <f>IF($A78="",0,($E78-$F78)*설정!$C$23)</f>
        <v/>
      </c>
    </row>
    <row r="79">
      <c r="A79" s="75" t="n">
        <v>2025</v>
      </c>
      <c r="B79" s="75" t="n">
        <v>5</v>
      </c>
      <c r="C79" s="75" t="n">
        <v>62201000</v>
      </c>
      <c r="D79" s="75" t="inlineStr">
        <is>
          <t>통신비</t>
        </is>
      </c>
      <c r="E79" s="76" t="n">
        <v>33910000</v>
      </c>
      <c r="F79" s="76" t="n">
        <v>0</v>
      </c>
      <c r="G79" s="76" t="n">
        <v>172937000</v>
      </c>
      <c r="I79" s="9">
        <f>IF($A79="","",VALUE($A79&amp;"")*12+VALUE($B79&amp;""))</f>
        <v/>
      </c>
      <c r="J79" s="9">
        <f>IF($A79="","",$C79&amp;"")</f>
        <v/>
      </c>
      <c r="K79" s="77">
        <f>IF($A79="",0,($E79-$F79)*설정!$C$23)</f>
        <v/>
      </c>
    </row>
    <row r="80">
      <c r="A80" s="75" t="n">
        <v>2025</v>
      </c>
      <c r="B80" s="75" t="n">
        <v>5</v>
      </c>
      <c r="C80" s="75" t="n">
        <v>62301000</v>
      </c>
      <c r="D80" s="75" t="inlineStr">
        <is>
          <t>소모품비</t>
        </is>
      </c>
      <c r="E80" s="76" t="n">
        <v>6071000</v>
      </c>
      <c r="F80" s="76" t="n">
        <v>0</v>
      </c>
      <c r="G80" s="76" t="n">
        <v>29896000</v>
      </c>
      <c r="I80" s="9">
        <f>IF($A80="","",VALUE($A80&amp;"")*12+VALUE($B80&amp;""))</f>
        <v/>
      </c>
      <c r="J80" s="9">
        <f>IF($A80="","",$C80&amp;"")</f>
        <v/>
      </c>
      <c r="K80" s="77">
        <f>IF($A80="",0,($E80-$F80)*설정!$C$23)</f>
        <v/>
      </c>
    </row>
    <row r="81">
      <c r="A81" s="75" t="n">
        <v>2025</v>
      </c>
      <c r="B81" s="75" t="n">
        <v>5</v>
      </c>
      <c r="C81" s="75" t="n">
        <v>62401000</v>
      </c>
      <c r="D81" s="75" t="inlineStr">
        <is>
          <t>도서인쇄비</t>
        </is>
      </c>
      <c r="E81" s="76" t="n">
        <v>13710000</v>
      </c>
      <c r="F81" s="76" t="n">
        <v>0</v>
      </c>
      <c r="G81" s="76" t="n">
        <v>68568000</v>
      </c>
      <c r="I81" s="9">
        <f>IF($A81="","",VALUE($A81&amp;"")*12+VALUE($B81&amp;""))</f>
        <v/>
      </c>
      <c r="J81" s="9">
        <f>IF($A81="","",$C81&amp;"")</f>
        <v/>
      </c>
      <c r="K81" s="77">
        <f>IF($A81="",0,($E81-$F81)*설정!$C$23)</f>
        <v/>
      </c>
    </row>
    <row r="82">
      <c r="A82" s="75" t="n">
        <v>2025</v>
      </c>
      <c r="B82" s="75" t="n">
        <v>5</v>
      </c>
      <c r="C82" s="75" t="n">
        <v>62501000</v>
      </c>
      <c r="D82" s="75" t="inlineStr">
        <is>
          <t>회의비</t>
        </is>
      </c>
      <c r="E82" s="76" t="n">
        <v>5669000</v>
      </c>
      <c r="F82" s="76" t="n">
        <v>0</v>
      </c>
      <c r="G82" s="76" t="n">
        <v>27212000</v>
      </c>
      <c r="I82" s="9">
        <f>IF($A82="","",VALUE($A82&amp;"")*12+VALUE($B82&amp;""))</f>
        <v/>
      </c>
      <c r="J82" s="9">
        <f>IF($A82="","",$C82&amp;"")</f>
        <v/>
      </c>
      <c r="K82" s="77">
        <f>IF($A82="",0,($E82-$F82)*설정!$C$23)</f>
        <v/>
      </c>
    </row>
    <row r="83">
      <c r="A83" s="75" t="n">
        <v>2025</v>
      </c>
      <c r="B83" s="75" t="n">
        <v>5</v>
      </c>
      <c r="C83" s="75" t="n">
        <v>62601000</v>
      </c>
      <c r="D83" s="75" t="inlineStr">
        <is>
          <t>업무추진비</t>
        </is>
      </c>
      <c r="E83" s="76" t="n">
        <v>10213000</v>
      </c>
      <c r="F83" s="76" t="n">
        <v>0</v>
      </c>
      <c r="G83" s="76" t="n">
        <v>52767000</v>
      </c>
      <c r="I83" s="9">
        <f>IF($A83="","",VALUE($A83&amp;"")*12+VALUE($B83&amp;""))</f>
        <v/>
      </c>
      <c r="J83" s="9">
        <f>IF($A83="","",$C83&amp;"")</f>
        <v/>
      </c>
      <c r="K83" s="77">
        <f>IF($A83="",0,($E83-$F83)*설정!$C$23)</f>
        <v/>
      </c>
    </row>
    <row r="84">
      <c r="A84" s="75" t="n">
        <v>2025</v>
      </c>
      <c r="B84" s="75" t="n">
        <v>5</v>
      </c>
      <c r="C84" s="75" t="n">
        <v>62701000</v>
      </c>
      <c r="D84" s="75" t="inlineStr">
        <is>
          <t>광고선전비</t>
        </is>
      </c>
      <c r="E84" s="76" t="n">
        <v>140001000</v>
      </c>
      <c r="F84" s="76" t="n">
        <v>0</v>
      </c>
      <c r="G84" s="76" t="n">
        <v>740001000</v>
      </c>
      <c r="I84" s="9">
        <f>IF($A84="","",VALUE($A84&amp;"")*12+VALUE($B84&amp;""))</f>
        <v/>
      </c>
      <c r="J84" s="9">
        <f>IF($A84="","",$C84&amp;"")</f>
        <v/>
      </c>
      <c r="K84" s="77">
        <f>IF($A84="",0,($E84-$F84)*설정!$C$23)</f>
        <v/>
      </c>
    </row>
    <row r="85">
      <c r="A85" s="75" t="n">
        <v>2025</v>
      </c>
      <c r="B85" s="75" t="n">
        <v>5</v>
      </c>
      <c r="C85" s="75" t="n">
        <v>62801000</v>
      </c>
      <c r="D85" s="75" t="inlineStr">
        <is>
          <t>교육훈련비-사내</t>
        </is>
      </c>
      <c r="E85" s="76" t="n">
        <v>12410000</v>
      </c>
      <c r="F85" s="76" t="n">
        <v>0</v>
      </c>
      <c r="G85" s="76" t="n">
        <v>60511000</v>
      </c>
      <c r="I85" s="9">
        <f>IF($A85="","",VALUE($A85&amp;"")*12+VALUE($B85&amp;""))</f>
        <v/>
      </c>
      <c r="J85" s="9">
        <f>IF($A85="","",$C85&amp;"")</f>
        <v/>
      </c>
      <c r="K85" s="77">
        <f>IF($A85="",0,($E85-$F85)*설정!$C$23)</f>
        <v/>
      </c>
    </row>
    <row r="86">
      <c r="A86" s="75" t="n">
        <v>2025</v>
      </c>
      <c r="B86" s="75" t="n">
        <v>5</v>
      </c>
      <c r="C86" s="75" t="n">
        <v>62802000</v>
      </c>
      <c r="D86" s="75" t="inlineStr">
        <is>
          <t>교육훈련비-외부위탁</t>
        </is>
      </c>
      <c r="E86" s="76" t="n">
        <v>13418000</v>
      </c>
      <c r="F86" s="76" t="n">
        <v>0</v>
      </c>
      <c r="G86" s="76" t="n">
        <v>69687000</v>
      </c>
      <c r="I86" s="9">
        <f>IF($A86="","",VALUE($A86&amp;"")*12+VALUE($B86&amp;""))</f>
        <v/>
      </c>
      <c r="J86" s="9">
        <f>IF($A86="","",$C86&amp;"")</f>
        <v/>
      </c>
      <c r="K86" s="77">
        <f>IF($A86="",0,($E86-$F86)*설정!$C$23)</f>
        <v/>
      </c>
    </row>
    <row r="87">
      <c r="A87" s="75" t="n">
        <v>2025</v>
      </c>
      <c r="B87" s="75" t="n">
        <v>5</v>
      </c>
      <c r="C87" s="75" t="n">
        <v>62901000</v>
      </c>
      <c r="D87" s="75" t="inlineStr">
        <is>
          <t>지급수수료-컨설팅</t>
        </is>
      </c>
      <c r="E87" s="76" t="n">
        <v>73583000</v>
      </c>
      <c r="F87" s="76" t="n">
        <v>0</v>
      </c>
      <c r="G87" s="76" t="n">
        <v>399445000</v>
      </c>
      <c r="I87" s="9">
        <f>IF($A87="","",VALUE($A87&amp;"")*12+VALUE($B87&amp;""))</f>
        <v/>
      </c>
      <c r="J87" s="9">
        <f>IF($A87="","",$C87&amp;"")</f>
        <v/>
      </c>
      <c r="K87" s="77">
        <f>IF($A87="",0,($E87-$F87)*설정!$C$23)</f>
        <v/>
      </c>
    </row>
    <row r="88">
      <c r="A88" s="75" t="n">
        <v>2025</v>
      </c>
      <c r="B88" s="75" t="n">
        <v>5</v>
      </c>
      <c r="C88" s="75" t="n">
        <v>62902000</v>
      </c>
      <c r="D88" s="75" t="inlineStr">
        <is>
          <t>지급수수료-기타</t>
        </is>
      </c>
      <c r="E88" s="76" t="n">
        <v>42042000</v>
      </c>
      <c r="F88" s="76" t="n">
        <v>0</v>
      </c>
      <c r="G88" s="76" t="n">
        <v>206966000</v>
      </c>
      <c r="I88" s="9">
        <f>IF($A88="","",VALUE($A88&amp;"")*12+VALUE($B88&amp;""))</f>
        <v/>
      </c>
      <c r="J88" s="9">
        <f>IF($A88="","",$C88&amp;"")</f>
        <v/>
      </c>
      <c r="K88" s="77">
        <f>IF($A88="",0,($E88-$F88)*설정!$C$23)</f>
        <v/>
      </c>
    </row>
    <row r="89">
      <c r="A89" s="75" t="n">
        <v>2025</v>
      </c>
      <c r="B89" s="75" t="n">
        <v>5</v>
      </c>
      <c r="C89" s="75" t="n">
        <v>63001000</v>
      </c>
      <c r="D89" s="75" t="inlineStr">
        <is>
          <t>전산운영비-SW유지보수</t>
        </is>
      </c>
      <c r="E89" s="76" t="n">
        <v>96580000</v>
      </c>
      <c r="F89" s="76" t="n">
        <v>0</v>
      </c>
      <c r="G89" s="76" t="n">
        <v>460819000</v>
      </c>
      <c r="I89" s="9">
        <f>IF($A89="","",VALUE($A89&amp;"")*12+VALUE($B89&amp;""))</f>
        <v/>
      </c>
      <c r="J89" s="9">
        <f>IF($A89="","",$C89&amp;"")</f>
        <v/>
      </c>
      <c r="K89" s="77">
        <f>IF($A89="",0,($E89-$F89)*설정!$C$23)</f>
        <v/>
      </c>
    </row>
    <row r="90">
      <c r="A90" s="75" t="n">
        <v>2025</v>
      </c>
      <c r="B90" s="75" t="n">
        <v>5</v>
      </c>
      <c r="C90" s="75" t="n">
        <v>63002000</v>
      </c>
      <c r="D90" s="75" t="inlineStr">
        <is>
          <t>전산운영비-클라우드</t>
        </is>
      </c>
      <c r="E90" s="76" t="n">
        <v>67000000</v>
      </c>
      <c r="F90" s="76" t="n">
        <v>0</v>
      </c>
      <c r="G90" s="76" t="n">
        <v>328000000</v>
      </c>
      <c r="I90" s="9">
        <f>IF($A90="","",VALUE($A90&amp;"")*12+VALUE($B90&amp;""))</f>
        <v/>
      </c>
      <c r="J90" s="9">
        <f>IF($A90="","",$C90&amp;"")</f>
        <v/>
      </c>
      <c r="K90" s="77">
        <f>IF($A90="",0,($E90-$F90)*설정!$C$23)</f>
        <v/>
      </c>
    </row>
    <row r="91">
      <c r="A91" s="75" t="n">
        <v>2025</v>
      </c>
      <c r="B91" s="75" t="n">
        <v>5</v>
      </c>
      <c r="C91" s="75" t="n">
        <v>63101000</v>
      </c>
      <c r="D91" s="75" t="inlineStr">
        <is>
          <t>임차료</t>
        </is>
      </c>
      <c r="E91" s="76" t="n">
        <v>15226000</v>
      </c>
      <c r="F91" s="76" t="n">
        <v>0</v>
      </c>
      <c r="G91" s="76" t="n">
        <v>76748000</v>
      </c>
      <c r="I91" s="9">
        <f>IF($A91="","",VALUE($A91&amp;"")*12+VALUE($B91&amp;""))</f>
        <v/>
      </c>
      <c r="J91" s="9">
        <f>IF($A91="","",$C91&amp;"")</f>
        <v/>
      </c>
      <c r="K91" s="77">
        <f>IF($A91="",0,($E91-$F91)*설정!$C$23)</f>
        <v/>
      </c>
    </row>
    <row r="92">
      <c r="A92" s="75" t="n">
        <v>2025</v>
      </c>
      <c r="B92" s="75" t="n">
        <v>5</v>
      </c>
      <c r="C92" s="75" t="n">
        <v>63201000</v>
      </c>
      <c r="D92" s="75" t="inlineStr">
        <is>
          <t>차량유지비</t>
        </is>
      </c>
      <c r="E92" s="76" t="n">
        <v>7247000</v>
      </c>
      <c r="F92" s="76" t="n">
        <v>0</v>
      </c>
      <c r="G92" s="76" t="n">
        <v>36185000</v>
      </c>
      <c r="I92" s="9">
        <f>IF($A92="","",VALUE($A92&amp;"")*12+VALUE($B92&amp;""))</f>
        <v/>
      </c>
      <c r="J92" s="9">
        <f>IF($A92="","",$C92&amp;"")</f>
        <v/>
      </c>
      <c r="K92" s="77">
        <f>IF($A92="",0,($E92-$F92)*설정!$C$23)</f>
        <v/>
      </c>
    </row>
    <row r="93">
      <c r="A93" s="75" t="n">
        <v>2025</v>
      </c>
      <c r="B93" s="75" t="n">
        <v>5</v>
      </c>
      <c r="C93" s="75" t="n">
        <v>61101000</v>
      </c>
      <c r="D93" s="75" t="inlineStr">
        <is>
          <t>급여</t>
        </is>
      </c>
      <c r="E93" s="76" t="n">
        <v>781805000</v>
      </c>
      <c r="F93" s="76" t="n">
        <v>0</v>
      </c>
      <c r="G93" s="76" t="n">
        <v>4007813000</v>
      </c>
      <c r="I93" s="9">
        <f>IF($A93="","",VALUE($A93&amp;"")*12+VALUE($B93&amp;""))</f>
        <v/>
      </c>
      <c r="J93" s="9">
        <f>IF($A93="","",$C93&amp;"")</f>
        <v/>
      </c>
      <c r="K93" s="77">
        <f>IF($A93="",0,($E93-$F93)*설정!$C$23)</f>
        <v/>
      </c>
    </row>
    <row r="94">
      <c r="A94" s="75" t="n">
        <v>2025</v>
      </c>
      <c r="B94" s="75" t="n">
        <v>5</v>
      </c>
      <c r="C94" s="75" t="n">
        <v>61201000</v>
      </c>
      <c r="D94" s="75" t="inlineStr">
        <is>
          <t>복리후생비</t>
        </is>
      </c>
      <c r="E94" s="76" t="n">
        <v>118790000</v>
      </c>
      <c r="F94" s="76" t="n">
        <v>0</v>
      </c>
      <c r="G94" s="76" t="n">
        <v>593456000</v>
      </c>
      <c r="I94" s="9">
        <f>IF($A94="","",VALUE($A94&amp;"")*12+VALUE($B94&amp;""))</f>
        <v/>
      </c>
      <c r="J94" s="9">
        <f>IF($A94="","",$C94&amp;"")</f>
        <v/>
      </c>
      <c r="K94" s="77">
        <f>IF($A94="",0,($E94-$F94)*설정!$C$23)</f>
        <v/>
      </c>
    </row>
    <row r="95">
      <c r="A95" s="75" t="n">
        <v>2025</v>
      </c>
      <c r="B95" s="75" t="n">
        <v>6</v>
      </c>
      <c r="C95" s="75" t="n">
        <v>62101000</v>
      </c>
      <c r="D95" s="75" t="inlineStr">
        <is>
          <t>여비교통비-국내</t>
        </is>
      </c>
      <c r="E95" s="76" t="n">
        <v>16658000</v>
      </c>
      <c r="F95" s="76" t="n">
        <v>0</v>
      </c>
      <c r="G95" s="76" t="n">
        <v>98846000</v>
      </c>
      <c r="I95" s="9">
        <f>IF($A95="","",VALUE($A95&amp;"")*12+VALUE($B95&amp;""))</f>
        <v/>
      </c>
      <c r="J95" s="9">
        <f>IF($A95="","",$C95&amp;"")</f>
        <v/>
      </c>
      <c r="K95" s="77">
        <f>IF($A95="",0,($E95-$F95)*설정!$C$23)</f>
        <v/>
      </c>
    </row>
    <row r="96">
      <c r="A96" s="75" t="n">
        <v>2025</v>
      </c>
      <c r="B96" s="75" t="n">
        <v>6</v>
      </c>
      <c r="C96" s="75" t="n">
        <v>62102000</v>
      </c>
      <c r="D96" s="75" t="inlineStr">
        <is>
          <t>여비교통비-해외</t>
        </is>
      </c>
      <c r="E96" s="76" t="n">
        <v>2966000</v>
      </c>
      <c r="F96" s="76" t="n">
        <v>0</v>
      </c>
      <c r="G96" s="76" t="n">
        <v>17789000</v>
      </c>
      <c r="I96" s="9">
        <f>IF($A96="","",VALUE($A96&amp;"")*12+VALUE($B96&amp;""))</f>
        <v/>
      </c>
      <c r="J96" s="9">
        <f>IF($A96="","",$C96&amp;"")</f>
        <v/>
      </c>
      <c r="K96" s="77">
        <f>IF($A96="",0,($E96-$F96)*설정!$C$23)</f>
        <v/>
      </c>
    </row>
    <row r="97">
      <c r="A97" s="75" t="n">
        <v>2025</v>
      </c>
      <c r="B97" s="75" t="n">
        <v>6</v>
      </c>
      <c r="C97" s="75" t="n">
        <v>62201000</v>
      </c>
      <c r="D97" s="75" t="inlineStr">
        <is>
          <t>통신비</t>
        </is>
      </c>
      <c r="E97" s="76" t="n">
        <v>32534000</v>
      </c>
      <c r="F97" s="76" t="n">
        <v>0</v>
      </c>
      <c r="G97" s="76" t="n">
        <v>205471000</v>
      </c>
      <c r="I97" s="9">
        <f>IF($A97="","",VALUE($A97&amp;"")*12+VALUE($B97&amp;""))</f>
        <v/>
      </c>
      <c r="J97" s="9">
        <f>IF($A97="","",$C97&amp;"")</f>
        <v/>
      </c>
      <c r="K97" s="77">
        <f>IF($A97="",0,($E97-$F97)*설정!$C$23)</f>
        <v/>
      </c>
    </row>
    <row r="98">
      <c r="A98" s="75" t="n">
        <v>2025</v>
      </c>
      <c r="B98" s="75" t="n">
        <v>6</v>
      </c>
      <c r="C98" s="75" t="n">
        <v>62301000</v>
      </c>
      <c r="D98" s="75" t="inlineStr">
        <is>
          <t>소모품비</t>
        </is>
      </c>
      <c r="E98" s="76" t="n">
        <v>6291000</v>
      </c>
      <c r="F98" s="76" t="n">
        <v>0</v>
      </c>
      <c r="G98" s="76" t="n">
        <v>36187000</v>
      </c>
      <c r="I98" s="9">
        <f>IF($A98="","",VALUE($A98&amp;"")*12+VALUE($B98&amp;""))</f>
        <v/>
      </c>
      <c r="J98" s="9">
        <f>IF($A98="","",$C98&amp;"")</f>
        <v/>
      </c>
      <c r="K98" s="77">
        <f>IF($A98="",0,($E98-$F98)*설정!$C$23)</f>
        <v/>
      </c>
    </row>
    <row r="99">
      <c r="A99" s="75" t="n">
        <v>2025</v>
      </c>
      <c r="B99" s="75" t="n">
        <v>6</v>
      </c>
      <c r="C99" s="75" t="n">
        <v>62401000</v>
      </c>
      <c r="D99" s="75" t="inlineStr">
        <is>
          <t>도서인쇄비</t>
        </is>
      </c>
      <c r="E99" s="76" t="n">
        <v>14598000</v>
      </c>
      <c r="F99" s="76" t="n">
        <v>0</v>
      </c>
      <c r="G99" s="76" t="n">
        <v>83166000</v>
      </c>
      <c r="I99" s="9">
        <f>IF($A99="","",VALUE($A99&amp;"")*12+VALUE($B99&amp;""))</f>
        <v/>
      </c>
      <c r="J99" s="9">
        <f>IF($A99="","",$C99&amp;"")</f>
        <v/>
      </c>
      <c r="K99" s="77">
        <f>IF($A99="",0,($E99-$F99)*설정!$C$23)</f>
        <v/>
      </c>
    </row>
    <row r="100">
      <c r="A100" s="75" t="n">
        <v>2025</v>
      </c>
      <c r="B100" s="75" t="n">
        <v>6</v>
      </c>
      <c r="C100" s="75" t="n">
        <v>62501000</v>
      </c>
      <c r="D100" s="75" t="inlineStr">
        <is>
          <t>회의비</t>
        </is>
      </c>
      <c r="E100" s="76" t="n">
        <v>5635000</v>
      </c>
      <c r="F100" s="76" t="n">
        <v>0</v>
      </c>
      <c r="G100" s="76" t="n">
        <v>32847000</v>
      </c>
      <c r="I100" s="9">
        <f>IF($A100="","",VALUE($A100&amp;"")*12+VALUE($B100&amp;""))</f>
        <v/>
      </c>
      <c r="J100" s="9">
        <f>IF($A100="","",$C100&amp;"")</f>
        <v/>
      </c>
      <c r="K100" s="77">
        <f>IF($A100="",0,($E100-$F100)*설정!$C$23)</f>
        <v/>
      </c>
    </row>
    <row r="101">
      <c r="A101" s="75" t="n">
        <v>2025</v>
      </c>
      <c r="B101" s="75" t="n">
        <v>6</v>
      </c>
      <c r="C101" s="75" t="n">
        <v>62601000</v>
      </c>
      <c r="D101" s="75" t="inlineStr">
        <is>
          <t>업무추진비</t>
        </is>
      </c>
      <c r="E101" s="76" t="n">
        <v>11059000</v>
      </c>
      <c r="F101" s="76" t="n">
        <v>0</v>
      </c>
      <c r="G101" s="76" t="n">
        <v>63826000</v>
      </c>
      <c r="I101" s="9">
        <f>IF($A101="","",VALUE($A101&amp;"")*12+VALUE($B101&amp;""))</f>
        <v/>
      </c>
      <c r="J101" s="9">
        <f>IF($A101="","",$C101&amp;"")</f>
        <v/>
      </c>
      <c r="K101" s="77">
        <f>IF($A101="",0,($E101-$F101)*설정!$C$23)</f>
        <v/>
      </c>
    </row>
    <row r="102">
      <c r="A102" s="75" t="n">
        <v>2025</v>
      </c>
      <c r="B102" s="75" t="n">
        <v>6</v>
      </c>
      <c r="C102" s="75" t="n">
        <v>62701000</v>
      </c>
      <c r="D102" s="75" t="inlineStr">
        <is>
          <t>광고선전비</t>
        </is>
      </c>
      <c r="E102" s="76" t="n">
        <v>150000000</v>
      </c>
      <c r="F102" s="76" t="n">
        <v>0</v>
      </c>
      <c r="G102" s="76" t="n">
        <v>890001000</v>
      </c>
      <c r="I102" s="9">
        <f>IF($A102="","",VALUE($A102&amp;"")*12+VALUE($B102&amp;""))</f>
        <v/>
      </c>
      <c r="J102" s="9">
        <f>IF($A102="","",$C102&amp;"")</f>
        <v/>
      </c>
      <c r="K102" s="77">
        <f>IF($A102="",0,($E102-$F102)*설정!$C$23)</f>
        <v/>
      </c>
    </row>
    <row r="103">
      <c r="A103" s="75" t="n">
        <v>2025</v>
      </c>
      <c r="B103" s="75" t="n">
        <v>6</v>
      </c>
      <c r="C103" s="75" t="n">
        <v>62801000</v>
      </c>
      <c r="D103" s="75" t="inlineStr">
        <is>
          <t>교육훈련비-사내</t>
        </is>
      </c>
      <c r="E103" s="76" t="n">
        <v>13960000</v>
      </c>
      <c r="F103" s="76" t="n">
        <v>0</v>
      </c>
      <c r="G103" s="76" t="n">
        <v>74471000</v>
      </c>
      <c r="I103" s="9">
        <f>IF($A103="","",VALUE($A103&amp;"")*12+VALUE($B103&amp;""))</f>
        <v/>
      </c>
      <c r="J103" s="9">
        <f>IF($A103="","",$C103&amp;"")</f>
        <v/>
      </c>
      <c r="K103" s="77">
        <f>IF($A103="",0,($E103-$F103)*설정!$C$23)</f>
        <v/>
      </c>
    </row>
    <row r="104">
      <c r="A104" s="75" t="n">
        <v>2025</v>
      </c>
      <c r="B104" s="75" t="n">
        <v>6</v>
      </c>
      <c r="C104" s="75" t="n">
        <v>62802000</v>
      </c>
      <c r="D104" s="75" t="inlineStr">
        <is>
          <t>교육훈련비-외부위탁</t>
        </is>
      </c>
      <c r="E104" s="76" t="n">
        <v>15342000</v>
      </c>
      <c r="F104" s="76" t="n">
        <v>0</v>
      </c>
      <c r="G104" s="76" t="n">
        <v>85029000</v>
      </c>
      <c r="I104" s="9">
        <f>IF($A104="","",VALUE($A104&amp;"")*12+VALUE($B104&amp;""))</f>
        <v/>
      </c>
      <c r="J104" s="9">
        <f>IF($A104="","",$C104&amp;"")</f>
        <v/>
      </c>
      <c r="K104" s="77">
        <f>IF($A104="",0,($E104-$F104)*설정!$C$23)</f>
        <v/>
      </c>
    </row>
    <row r="105">
      <c r="A105" s="75" t="n">
        <v>2025</v>
      </c>
      <c r="B105" s="75" t="n">
        <v>6</v>
      </c>
      <c r="C105" s="75" t="n">
        <v>62901000</v>
      </c>
      <c r="D105" s="75" t="inlineStr">
        <is>
          <t>지급수수료-컨설팅</t>
        </is>
      </c>
      <c r="E105" s="76" t="n">
        <v>78481000</v>
      </c>
      <c r="F105" s="76" t="n">
        <v>0</v>
      </c>
      <c r="G105" s="76" t="n">
        <v>477926000</v>
      </c>
      <c r="I105" s="9">
        <f>IF($A105="","",VALUE($A105&amp;"")*12+VALUE($B105&amp;""))</f>
        <v/>
      </c>
      <c r="J105" s="9">
        <f>IF($A105="","",$C105&amp;"")</f>
        <v/>
      </c>
      <c r="K105" s="77">
        <f>IF($A105="",0,($E105-$F105)*설정!$C$23)</f>
        <v/>
      </c>
    </row>
    <row r="106">
      <c r="A106" s="75" t="n">
        <v>2025</v>
      </c>
      <c r="B106" s="75" t="n">
        <v>6</v>
      </c>
      <c r="C106" s="75" t="n">
        <v>62902000</v>
      </c>
      <c r="D106" s="75" t="inlineStr">
        <is>
          <t>지급수수료-기타</t>
        </is>
      </c>
      <c r="E106" s="76" t="n">
        <v>42278000</v>
      </c>
      <c r="F106" s="76" t="n">
        <v>0</v>
      </c>
      <c r="G106" s="76" t="n">
        <v>249244000</v>
      </c>
      <c r="I106" s="9">
        <f>IF($A106="","",VALUE($A106&amp;"")*12+VALUE($B106&amp;""))</f>
        <v/>
      </c>
      <c r="J106" s="9">
        <f>IF($A106="","",$C106&amp;"")</f>
        <v/>
      </c>
      <c r="K106" s="77">
        <f>IF($A106="",0,($E106-$F106)*설정!$C$23)</f>
        <v/>
      </c>
    </row>
    <row r="107">
      <c r="A107" s="75" t="n">
        <v>2025</v>
      </c>
      <c r="B107" s="75" t="n">
        <v>6</v>
      </c>
      <c r="C107" s="75" t="n">
        <v>63001000</v>
      </c>
      <c r="D107" s="75" t="inlineStr">
        <is>
          <t>전산운영비-SW유지보수</t>
        </is>
      </c>
      <c r="E107" s="76" t="n">
        <v>79530000</v>
      </c>
      <c r="F107" s="76" t="n">
        <v>0</v>
      </c>
      <c r="G107" s="76" t="n">
        <v>540349000</v>
      </c>
      <c r="I107" s="9">
        <f>IF($A107="","",VALUE($A107&amp;"")*12+VALUE($B107&amp;""))</f>
        <v/>
      </c>
      <c r="J107" s="9">
        <f>IF($A107="","",$C107&amp;"")</f>
        <v/>
      </c>
      <c r="K107" s="77">
        <f>IF($A107="",0,($E107-$F107)*설정!$C$23)</f>
        <v/>
      </c>
    </row>
    <row r="108">
      <c r="A108" s="75" t="n">
        <v>2025</v>
      </c>
      <c r="B108" s="75" t="n">
        <v>6</v>
      </c>
      <c r="C108" s="75" t="n">
        <v>63002000</v>
      </c>
      <c r="D108" s="75" t="inlineStr">
        <is>
          <t>전산운영비-클라우드</t>
        </is>
      </c>
      <c r="E108" s="76" t="n">
        <v>68000000</v>
      </c>
      <c r="F108" s="76" t="n">
        <v>0</v>
      </c>
      <c r="G108" s="76" t="n">
        <v>396000000</v>
      </c>
      <c r="I108" s="9">
        <f>IF($A108="","",VALUE($A108&amp;"")*12+VALUE($B108&amp;""))</f>
        <v/>
      </c>
      <c r="J108" s="9">
        <f>IF($A108="","",$C108&amp;"")</f>
        <v/>
      </c>
      <c r="K108" s="77">
        <f>IF($A108="",0,($E108-$F108)*설정!$C$23)</f>
        <v/>
      </c>
    </row>
    <row r="109">
      <c r="A109" s="75" t="n">
        <v>2025</v>
      </c>
      <c r="B109" s="75" t="n">
        <v>6</v>
      </c>
      <c r="C109" s="75" t="n">
        <v>63101000</v>
      </c>
      <c r="D109" s="75" t="inlineStr">
        <is>
          <t>임차료</t>
        </is>
      </c>
      <c r="E109" s="76" t="n">
        <v>15999000</v>
      </c>
      <c r="F109" s="76" t="n">
        <v>0</v>
      </c>
      <c r="G109" s="76" t="n">
        <v>92747000</v>
      </c>
      <c r="I109" s="9">
        <f>IF($A109="","",VALUE($A109&amp;"")*12+VALUE($B109&amp;""))</f>
        <v/>
      </c>
      <c r="J109" s="9">
        <f>IF($A109="","",$C109&amp;"")</f>
        <v/>
      </c>
      <c r="K109" s="77">
        <f>IF($A109="",0,($E109-$F109)*설정!$C$23)</f>
        <v/>
      </c>
    </row>
    <row r="110">
      <c r="A110" s="75" t="n">
        <v>2025</v>
      </c>
      <c r="B110" s="75" t="n">
        <v>6</v>
      </c>
      <c r="C110" s="75" t="n">
        <v>63201000</v>
      </c>
      <c r="D110" s="75" t="inlineStr">
        <is>
          <t>차량유지비</t>
        </is>
      </c>
      <c r="E110" s="76" t="n">
        <v>7442000</v>
      </c>
      <c r="F110" s="76" t="n">
        <v>0</v>
      </c>
      <c r="G110" s="76" t="n">
        <v>43627000</v>
      </c>
      <c r="I110" s="9">
        <f>IF($A110="","",VALUE($A110&amp;"")*12+VALUE($B110&amp;""))</f>
        <v/>
      </c>
      <c r="J110" s="9">
        <f>IF($A110="","",$C110&amp;"")</f>
        <v/>
      </c>
      <c r="K110" s="77">
        <f>IF($A110="",0,($E110-$F110)*설정!$C$23)</f>
        <v/>
      </c>
    </row>
    <row r="111">
      <c r="A111" s="75" t="n">
        <v>2025</v>
      </c>
      <c r="B111" s="75" t="n">
        <v>6</v>
      </c>
      <c r="C111" s="75" t="n">
        <v>61101000</v>
      </c>
      <c r="D111" s="75" t="inlineStr">
        <is>
          <t>급여</t>
        </is>
      </c>
      <c r="E111" s="76" t="n">
        <v>800479000</v>
      </c>
      <c r="F111" s="76" t="n">
        <v>0</v>
      </c>
      <c r="G111" s="76" t="n">
        <v>4808292000</v>
      </c>
      <c r="I111" s="9">
        <f>IF($A111="","",VALUE($A111&amp;"")*12+VALUE($B111&amp;""))</f>
        <v/>
      </c>
      <c r="J111" s="9">
        <f>IF($A111="","",$C111&amp;"")</f>
        <v/>
      </c>
      <c r="K111" s="77">
        <f>IF($A111="",0,($E111-$F111)*설정!$C$23)</f>
        <v/>
      </c>
    </row>
    <row r="112">
      <c r="A112" s="75" t="n">
        <v>2025</v>
      </c>
      <c r="B112" s="75" t="n">
        <v>6</v>
      </c>
      <c r="C112" s="75" t="n">
        <v>61201000</v>
      </c>
      <c r="D112" s="75" t="inlineStr">
        <is>
          <t>복리후생비</t>
        </is>
      </c>
      <c r="E112" s="76" t="n">
        <v>121877000</v>
      </c>
      <c r="F112" s="76" t="n">
        <v>0</v>
      </c>
      <c r="G112" s="76" t="n">
        <v>715333000</v>
      </c>
      <c r="I112" s="9">
        <f>IF($A112="","",VALUE($A112&amp;"")*12+VALUE($B112&amp;""))</f>
        <v/>
      </c>
      <c r="J112" s="9">
        <f>IF($A112="","",$C112&amp;"")</f>
        <v/>
      </c>
      <c r="K112" s="77">
        <f>IF($A112="",0,($E112-$F112)*설정!$C$23)</f>
        <v/>
      </c>
    </row>
    <row r="113">
      <c r="A113" s="75" t="n">
        <v>2025</v>
      </c>
      <c r="B113" s="75" t="n">
        <v>7</v>
      </c>
      <c r="C113" s="75" t="n">
        <v>62101000</v>
      </c>
      <c r="D113" s="75" t="inlineStr">
        <is>
          <t>여비교통비-국내</t>
        </is>
      </c>
      <c r="E113" s="76" t="n">
        <v>15312000</v>
      </c>
      <c r="F113" s="76" t="n">
        <v>0</v>
      </c>
      <c r="G113" s="76" t="n">
        <v>114158000</v>
      </c>
      <c r="I113" s="9">
        <f>IF($A113="","",VALUE($A113&amp;"")*12+VALUE($B113&amp;""))</f>
        <v/>
      </c>
      <c r="J113" s="9">
        <f>IF($A113="","",$C113&amp;"")</f>
        <v/>
      </c>
      <c r="K113" s="77">
        <f>IF($A113="",0,($E113-$F113)*설정!$C$23)</f>
        <v/>
      </c>
    </row>
    <row r="114">
      <c r="A114" s="75" t="n">
        <v>2025</v>
      </c>
      <c r="B114" s="75" t="n">
        <v>7</v>
      </c>
      <c r="C114" s="75" t="n">
        <v>62102000</v>
      </c>
      <c r="D114" s="75" t="inlineStr">
        <is>
          <t>여비교통비-해외</t>
        </is>
      </c>
      <c r="E114" s="76" t="n">
        <v>2773000</v>
      </c>
      <c r="F114" s="76" t="n">
        <v>0</v>
      </c>
      <c r="G114" s="76" t="n">
        <v>20562000</v>
      </c>
      <c r="I114" s="9">
        <f>IF($A114="","",VALUE($A114&amp;"")*12+VALUE($B114&amp;""))</f>
        <v/>
      </c>
      <c r="J114" s="9">
        <f>IF($A114="","",$C114&amp;"")</f>
        <v/>
      </c>
      <c r="K114" s="77">
        <f>IF($A114="",0,($E114-$F114)*설정!$C$23)</f>
        <v/>
      </c>
    </row>
    <row r="115">
      <c r="A115" s="75" t="n">
        <v>2025</v>
      </c>
      <c r="B115" s="75" t="n">
        <v>7</v>
      </c>
      <c r="C115" s="75" t="n">
        <v>62201000</v>
      </c>
      <c r="D115" s="75" t="inlineStr">
        <is>
          <t>통신비</t>
        </is>
      </c>
      <c r="E115" s="76" t="n">
        <v>36446000</v>
      </c>
      <c r="F115" s="76" t="n">
        <v>0</v>
      </c>
      <c r="G115" s="76" t="n">
        <v>241917000</v>
      </c>
      <c r="I115" s="9">
        <f>IF($A115="","",VALUE($A115&amp;"")*12+VALUE($B115&amp;""))</f>
        <v/>
      </c>
      <c r="J115" s="9">
        <f>IF($A115="","",$C115&amp;"")</f>
        <v/>
      </c>
      <c r="K115" s="77">
        <f>IF($A115="",0,($E115-$F115)*설정!$C$23)</f>
        <v/>
      </c>
    </row>
    <row r="116">
      <c r="A116" s="75" t="n">
        <v>2025</v>
      </c>
      <c r="B116" s="75" t="n">
        <v>7</v>
      </c>
      <c r="C116" s="75" t="n">
        <v>62301000</v>
      </c>
      <c r="D116" s="75" t="inlineStr">
        <is>
          <t>소모품비</t>
        </is>
      </c>
      <c r="E116" s="76" t="n">
        <v>5994000</v>
      </c>
      <c r="F116" s="76" t="n">
        <v>0</v>
      </c>
      <c r="G116" s="76" t="n">
        <v>42181000</v>
      </c>
      <c r="I116" s="9">
        <f>IF($A116="","",VALUE($A116&amp;"")*12+VALUE($B116&amp;""))</f>
        <v/>
      </c>
      <c r="J116" s="9">
        <f>IF($A116="","",$C116&amp;"")</f>
        <v/>
      </c>
      <c r="K116" s="77">
        <f>IF($A116="",0,($E116-$F116)*설정!$C$23)</f>
        <v/>
      </c>
    </row>
    <row r="117">
      <c r="A117" s="75" t="n">
        <v>2025</v>
      </c>
      <c r="B117" s="75" t="n">
        <v>7</v>
      </c>
      <c r="C117" s="75" t="n">
        <v>62401000</v>
      </c>
      <c r="D117" s="75" t="inlineStr">
        <is>
          <t>도서인쇄비</t>
        </is>
      </c>
      <c r="E117" s="76" t="n">
        <v>12740000</v>
      </c>
      <c r="F117" s="76" t="n">
        <v>0</v>
      </c>
      <c r="G117" s="76" t="n">
        <v>95906000</v>
      </c>
      <c r="I117" s="9">
        <f>IF($A117="","",VALUE($A117&amp;"")*12+VALUE($B117&amp;""))</f>
        <v/>
      </c>
      <c r="J117" s="9">
        <f>IF($A117="","",$C117&amp;"")</f>
        <v/>
      </c>
      <c r="K117" s="77">
        <f>IF($A117="",0,($E117-$F117)*설정!$C$23)</f>
        <v/>
      </c>
    </row>
    <row r="118">
      <c r="A118" s="75" t="n">
        <v>2025</v>
      </c>
      <c r="B118" s="75" t="n">
        <v>7</v>
      </c>
      <c r="C118" s="75" t="n">
        <v>62501000</v>
      </c>
      <c r="D118" s="75" t="inlineStr">
        <is>
          <t>회의비</t>
        </is>
      </c>
      <c r="E118" s="76" t="n">
        <v>5569000</v>
      </c>
      <c r="F118" s="76" t="n">
        <v>0</v>
      </c>
      <c r="G118" s="76" t="n">
        <v>38416000</v>
      </c>
      <c r="I118" s="9">
        <f>IF($A118="","",VALUE($A118&amp;"")*12+VALUE($B118&amp;""))</f>
        <v/>
      </c>
      <c r="J118" s="9">
        <f>IF($A118="","",$C118&amp;"")</f>
        <v/>
      </c>
      <c r="K118" s="77">
        <f>IF($A118="",0,($E118-$F118)*설정!$C$23)</f>
        <v/>
      </c>
    </row>
    <row r="119">
      <c r="A119" s="75" t="n">
        <v>2025</v>
      </c>
      <c r="B119" s="75" t="n">
        <v>7</v>
      </c>
      <c r="C119" s="75" t="n">
        <v>62601000</v>
      </c>
      <c r="D119" s="75" t="inlineStr">
        <is>
          <t>업무추진비</t>
        </is>
      </c>
      <c r="E119" s="76" t="n">
        <v>10632000</v>
      </c>
      <c r="F119" s="76" t="n">
        <v>0</v>
      </c>
      <c r="G119" s="76" t="n">
        <v>74458000</v>
      </c>
      <c r="I119" s="9">
        <f>IF($A119="","",VALUE($A119&amp;"")*12+VALUE($B119&amp;""))</f>
        <v/>
      </c>
      <c r="J119" s="9">
        <f>IF($A119="","",$C119&amp;"")</f>
        <v/>
      </c>
      <c r="K119" s="77">
        <f>IF($A119="",0,($E119-$F119)*설정!$C$23)</f>
        <v/>
      </c>
    </row>
    <row r="120">
      <c r="A120" s="75" t="n">
        <v>2025</v>
      </c>
      <c r="B120" s="75" t="n">
        <v>7</v>
      </c>
      <c r="C120" s="75" t="n">
        <v>62701000</v>
      </c>
      <c r="D120" s="75" t="inlineStr">
        <is>
          <t>광고선전비</t>
        </is>
      </c>
      <c r="E120" s="76" t="n">
        <v>160000000</v>
      </c>
      <c r="F120" s="76" t="n">
        <v>0</v>
      </c>
      <c r="G120" s="76" t="n">
        <v>1050001000</v>
      </c>
      <c r="I120" s="9">
        <f>IF($A120="","",VALUE($A120&amp;"")*12+VALUE($B120&amp;""))</f>
        <v/>
      </c>
      <c r="J120" s="9">
        <f>IF($A120="","",$C120&amp;"")</f>
        <v/>
      </c>
      <c r="K120" s="77">
        <f>IF($A120="",0,($E120-$F120)*설정!$C$23)</f>
        <v/>
      </c>
    </row>
    <row r="121">
      <c r="A121" s="75" t="n">
        <v>2025</v>
      </c>
      <c r="B121" s="75" t="n">
        <v>7</v>
      </c>
      <c r="C121" s="75" t="n">
        <v>62801000</v>
      </c>
      <c r="D121" s="75" t="inlineStr">
        <is>
          <t>교육훈련비-사내</t>
        </is>
      </c>
      <c r="E121" s="76" t="n">
        <v>12898000</v>
      </c>
      <c r="F121" s="76" t="n">
        <v>0</v>
      </c>
      <c r="G121" s="76" t="n">
        <v>87369000</v>
      </c>
      <c r="I121" s="9">
        <f>IF($A121="","",VALUE($A121&amp;"")*12+VALUE($B121&amp;""))</f>
        <v/>
      </c>
      <c r="J121" s="9">
        <f>IF($A121="","",$C121&amp;"")</f>
        <v/>
      </c>
      <c r="K121" s="77">
        <f>IF($A121="",0,($E121-$F121)*설정!$C$23)</f>
        <v/>
      </c>
    </row>
    <row r="122">
      <c r="A122" s="75" t="n">
        <v>2025</v>
      </c>
      <c r="B122" s="75" t="n">
        <v>7</v>
      </c>
      <c r="C122" s="75" t="n">
        <v>62802000</v>
      </c>
      <c r="D122" s="75" t="inlineStr">
        <is>
          <t>교육훈련비-외부위탁</t>
        </is>
      </c>
      <c r="E122" s="76" t="n">
        <v>12878000</v>
      </c>
      <c r="F122" s="76" t="n">
        <v>0</v>
      </c>
      <c r="G122" s="76" t="n">
        <v>97907000</v>
      </c>
      <c r="I122" s="9">
        <f>IF($A122="","",VALUE($A122&amp;"")*12+VALUE($B122&amp;""))</f>
        <v/>
      </c>
      <c r="J122" s="9">
        <f>IF($A122="","",$C122&amp;"")</f>
        <v/>
      </c>
      <c r="K122" s="77">
        <f>IF($A122="",0,($E122-$F122)*설정!$C$23)</f>
        <v/>
      </c>
    </row>
    <row r="123">
      <c r="A123" s="75" t="n">
        <v>2025</v>
      </c>
      <c r="B123" s="75" t="n">
        <v>7</v>
      </c>
      <c r="C123" s="75" t="n">
        <v>62901000</v>
      </c>
      <c r="D123" s="75" t="inlineStr">
        <is>
          <t>지급수수료-컨설팅</t>
        </is>
      </c>
      <c r="E123" s="76" t="n">
        <v>78321000</v>
      </c>
      <c r="F123" s="76" t="n">
        <v>0</v>
      </c>
      <c r="G123" s="76" t="n">
        <v>556247000</v>
      </c>
      <c r="I123" s="9">
        <f>IF($A123="","",VALUE($A123&amp;"")*12+VALUE($B123&amp;""))</f>
        <v/>
      </c>
      <c r="J123" s="9">
        <f>IF($A123="","",$C123&amp;"")</f>
        <v/>
      </c>
      <c r="K123" s="77">
        <f>IF($A123="",0,($E123-$F123)*설정!$C$23)</f>
        <v/>
      </c>
    </row>
    <row r="124">
      <c r="A124" s="75" t="n">
        <v>2025</v>
      </c>
      <c r="B124" s="75" t="n">
        <v>7</v>
      </c>
      <c r="C124" s="75" t="n">
        <v>62902000</v>
      </c>
      <c r="D124" s="75" t="inlineStr">
        <is>
          <t>지급수수료-기타</t>
        </is>
      </c>
      <c r="E124" s="76" t="n">
        <v>40464000</v>
      </c>
      <c r="F124" s="76" t="n">
        <v>0</v>
      </c>
      <c r="G124" s="76" t="n">
        <v>289708000</v>
      </c>
      <c r="I124" s="9">
        <f>IF($A124="","",VALUE($A124&amp;"")*12+VALUE($B124&amp;""))</f>
        <v/>
      </c>
      <c r="J124" s="9">
        <f>IF($A124="","",$C124&amp;"")</f>
        <v/>
      </c>
      <c r="K124" s="77">
        <f>IF($A124="",0,($E124-$F124)*설정!$C$23)</f>
        <v/>
      </c>
    </row>
    <row r="125">
      <c r="A125" s="75" t="n">
        <v>2025</v>
      </c>
      <c r="B125" s="75" t="n">
        <v>7</v>
      </c>
      <c r="C125" s="75" t="n">
        <v>63001000</v>
      </c>
      <c r="D125" s="75" t="inlineStr">
        <is>
          <t>전산운영비-SW유지보수</t>
        </is>
      </c>
      <c r="E125" s="76" t="n">
        <v>92274000</v>
      </c>
      <c r="F125" s="76" t="n">
        <v>0</v>
      </c>
      <c r="G125" s="76" t="n">
        <v>632623000</v>
      </c>
      <c r="I125" s="9">
        <f>IF($A125="","",VALUE($A125&amp;"")*12+VALUE($B125&amp;""))</f>
        <v/>
      </c>
      <c r="J125" s="9">
        <f>IF($A125="","",$C125&amp;"")</f>
        <v/>
      </c>
      <c r="K125" s="77">
        <f>IF($A125="",0,($E125-$F125)*설정!$C$23)</f>
        <v/>
      </c>
    </row>
    <row r="126">
      <c r="A126" s="75" t="n">
        <v>2025</v>
      </c>
      <c r="B126" s="75" t="n">
        <v>7</v>
      </c>
      <c r="C126" s="75" t="n">
        <v>63002000</v>
      </c>
      <c r="D126" s="75" t="inlineStr">
        <is>
          <t>전산운영비-클라우드</t>
        </is>
      </c>
      <c r="E126" s="76" t="n">
        <v>68000000</v>
      </c>
      <c r="F126" s="76" t="n">
        <v>0</v>
      </c>
      <c r="G126" s="76" t="n">
        <v>464000000</v>
      </c>
      <c r="I126" s="9">
        <f>IF($A126="","",VALUE($A126&amp;"")*12+VALUE($B126&amp;""))</f>
        <v/>
      </c>
      <c r="J126" s="9">
        <f>IF($A126="","",$C126&amp;"")</f>
        <v/>
      </c>
      <c r="K126" s="77">
        <f>IF($A126="",0,($E126-$F126)*설정!$C$23)</f>
        <v/>
      </c>
    </row>
    <row r="127">
      <c r="A127" s="75" t="n">
        <v>2025</v>
      </c>
      <c r="B127" s="75" t="n">
        <v>7</v>
      </c>
      <c r="C127" s="75" t="n">
        <v>63101000</v>
      </c>
      <c r="D127" s="75" t="inlineStr">
        <is>
          <t>임차료</t>
        </is>
      </c>
      <c r="E127" s="76" t="n">
        <v>15714000</v>
      </c>
      <c r="F127" s="76" t="n">
        <v>0</v>
      </c>
      <c r="G127" s="76" t="n">
        <v>108461000</v>
      </c>
      <c r="I127" s="9">
        <f>IF($A127="","",VALUE($A127&amp;"")*12+VALUE($B127&amp;""))</f>
        <v/>
      </c>
      <c r="J127" s="9">
        <f>IF($A127="","",$C127&amp;"")</f>
        <v/>
      </c>
      <c r="K127" s="77">
        <f>IF($A127="",0,($E127-$F127)*설정!$C$23)</f>
        <v/>
      </c>
    </row>
    <row r="128">
      <c r="A128" s="75" t="n">
        <v>2025</v>
      </c>
      <c r="B128" s="75" t="n">
        <v>7</v>
      </c>
      <c r="C128" s="75" t="n">
        <v>63201000</v>
      </c>
      <c r="D128" s="75" t="inlineStr">
        <is>
          <t>차량유지비</t>
        </is>
      </c>
      <c r="E128" s="76" t="n">
        <v>7323000</v>
      </c>
      <c r="F128" s="76" t="n">
        <v>0</v>
      </c>
      <c r="G128" s="76" t="n">
        <v>50950000</v>
      </c>
      <c r="I128" s="9">
        <f>IF($A128="","",VALUE($A128&amp;"")*12+VALUE($B128&amp;""))</f>
        <v/>
      </c>
      <c r="J128" s="9">
        <f>IF($A128="","",$C128&amp;"")</f>
        <v/>
      </c>
      <c r="K128" s="77">
        <f>IF($A128="",0,($E128-$F128)*설정!$C$23)</f>
        <v/>
      </c>
    </row>
    <row r="129">
      <c r="A129" s="75" t="n">
        <v>2025</v>
      </c>
      <c r="B129" s="75" t="n">
        <v>7</v>
      </c>
      <c r="C129" s="75" t="n">
        <v>61101000</v>
      </c>
      <c r="D129" s="75" t="inlineStr">
        <is>
          <t>급여</t>
        </is>
      </c>
      <c r="E129" s="76" t="n">
        <v>783668000</v>
      </c>
      <c r="F129" s="76" t="n">
        <v>0</v>
      </c>
      <c r="G129" s="76" t="n">
        <v>5591960000</v>
      </c>
      <c r="I129" s="9">
        <f>IF($A129="","",VALUE($A129&amp;"")*12+VALUE($B129&amp;""))</f>
        <v/>
      </c>
      <c r="J129" s="9">
        <f>IF($A129="","",$C129&amp;"")</f>
        <v/>
      </c>
      <c r="K129" s="77">
        <f>IF($A129="",0,($E129-$F129)*설정!$C$23)</f>
        <v/>
      </c>
    </row>
    <row r="130">
      <c r="A130" s="75" t="n">
        <v>2025</v>
      </c>
      <c r="B130" s="75" t="n">
        <v>7</v>
      </c>
      <c r="C130" s="75" t="n">
        <v>61201000</v>
      </c>
      <c r="D130" s="75" t="inlineStr">
        <is>
          <t>복리후생비</t>
        </is>
      </c>
      <c r="E130" s="76" t="n">
        <v>121527000</v>
      </c>
      <c r="F130" s="76" t="n">
        <v>0</v>
      </c>
      <c r="G130" s="76" t="n">
        <v>836860000</v>
      </c>
      <c r="I130" s="9">
        <f>IF($A130="","",VALUE($A130&amp;"")*12+VALUE($B130&amp;""))</f>
        <v/>
      </c>
      <c r="J130" s="9">
        <f>IF($A130="","",$C130&amp;"")</f>
        <v/>
      </c>
      <c r="K130" s="77">
        <f>IF($A130="",0,($E130-$F130)*설정!$C$23)</f>
        <v/>
      </c>
    </row>
    <row r="131">
      <c r="A131" s="75" t="n">
        <v>2025</v>
      </c>
      <c r="B131" s="75" t="n">
        <v>8</v>
      </c>
      <c r="C131" s="75" t="n">
        <v>62101000</v>
      </c>
      <c r="D131" s="75" t="inlineStr">
        <is>
          <t>여비교통비-국내</t>
        </is>
      </c>
      <c r="E131" s="76" t="n">
        <v>16014000</v>
      </c>
      <c r="F131" s="76" t="n">
        <v>0</v>
      </c>
      <c r="G131" s="76" t="n">
        <v>130172000</v>
      </c>
      <c r="I131" s="9">
        <f>IF($A131="","",VALUE($A131&amp;"")*12+VALUE($B131&amp;""))</f>
        <v/>
      </c>
      <c r="J131" s="9">
        <f>IF($A131="","",$C131&amp;"")</f>
        <v/>
      </c>
      <c r="K131" s="77">
        <f>IF($A131="",0,($E131-$F131)*설정!$C$23)</f>
        <v/>
      </c>
    </row>
    <row r="132">
      <c r="A132" s="75" t="n">
        <v>2025</v>
      </c>
      <c r="B132" s="75" t="n">
        <v>8</v>
      </c>
      <c r="C132" s="75" t="n">
        <v>62102000</v>
      </c>
      <c r="D132" s="75" t="inlineStr">
        <is>
          <t>여비교통비-해외</t>
        </is>
      </c>
      <c r="E132" s="76" t="n">
        <v>2914000</v>
      </c>
      <c r="F132" s="76" t="n">
        <v>0</v>
      </c>
      <c r="G132" s="76" t="n">
        <v>23476000</v>
      </c>
      <c r="I132" s="9">
        <f>IF($A132="","",VALUE($A132&amp;"")*12+VALUE($B132&amp;""))</f>
        <v/>
      </c>
      <c r="J132" s="9">
        <f>IF($A132="","",$C132&amp;"")</f>
        <v/>
      </c>
      <c r="K132" s="77">
        <f>IF($A132="",0,($E132-$F132)*설정!$C$23)</f>
        <v/>
      </c>
    </row>
    <row r="133">
      <c r="A133" s="75" t="n">
        <v>2025</v>
      </c>
      <c r="B133" s="75" t="n">
        <v>8</v>
      </c>
      <c r="C133" s="75" t="n">
        <v>62201000</v>
      </c>
      <c r="D133" s="75" t="inlineStr">
        <is>
          <t>통신비</t>
        </is>
      </c>
      <c r="E133" s="76" t="n">
        <v>34629000</v>
      </c>
      <c r="F133" s="76" t="n">
        <v>0</v>
      </c>
      <c r="G133" s="76" t="n">
        <v>276546000</v>
      </c>
      <c r="I133" s="9">
        <f>IF($A133="","",VALUE($A133&amp;"")*12+VALUE($B133&amp;""))</f>
        <v/>
      </c>
      <c r="J133" s="9">
        <f>IF($A133="","",$C133&amp;"")</f>
        <v/>
      </c>
      <c r="K133" s="77">
        <f>IF($A133="",0,($E133-$F133)*설정!$C$23)</f>
        <v/>
      </c>
    </row>
    <row r="134">
      <c r="A134" s="75" t="n">
        <v>2025</v>
      </c>
      <c r="B134" s="75" t="n">
        <v>8</v>
      </c>
      <c r="C134" s="75" t="n">
        <v>62301000</v>
      </c>
      <c r="D134" s="75" t="inlineStr">
        <is>
          <t>소모품비</t>
        </is>
      </c>
      <c r="E134" s="76" t="n">
        <v>6178000</v>
      </c>
      <c r="F134" s="76" t="n">
        <v>0</v>
      </c>
      <c r="G134" s="76" t="n">
        <v>48359000</v>
      </c>
      <c r="I134" s="9">
        <f>IF($A134="","",VALUE($A134&amp;"")*12+VALUE($B134&amp;""))</f>
        <v/>
      </c>
      <c r="J134" s="9">
        <f>IF($A134="","",$C134&amp;"")</f>
        <v/>
      </c>
      <c r="K134" s="77">
        <f>IF($A134="",0,($E134-$F134)*설정!$C$23)</f>
        <v/>
      </c>
    </row>
    <row r="135">
      <c r="A135" s="75" t="n">
        <v>2025</v>
      </c>
      <c r="B135" s="75" t="n">
        <v>8</v>
      </c>
      <c r="C135" s="75" t="n">
        <v>62401000</v>
      </c>
      <c r="D135" s="75" t="inlineStr">
        <is>
          <t>도서인쇄비</t>
        </is>
      </c>
      <c r="E135" s="76" t="n">
        <v>13801000</v>
      </c>
      <c r="F135" s="76" t="n">
        <v>0</v>
      </c>
      <c r="G135" s="76" t="n">
        <v>109707000</v>
      </c>
      <c r="I135" s="9">
        <f>IF($A135="","",VALUE($A135&amp;"")*12+VALUE($B135&amp;""))</f>
        <v/>
      </c>
      <c r="J135" s="9">
        <f>IF($A135="","",$C135&amp;"")</f>
        <v/>
      </c>
      <c r="K135" s="77">
        <f>IF($A135="",0,($E135-$F135)*설정!$C$23)</f>
        <v/>
      </c>
    </row>
    <row r="136">
      <c r="A136" s="75" t="n">
        <v>2025</v>
      </c>
      <c r="B136" s="75" t="n">
        <v>8</v>
      </c>
      <c r="C136" s="75" t="n">
        <v>62501000</v>
      </c>
      <c r="D136" s="75" t="inlineStr">
        <is>
          <t>회의비</t>
        </is>
      </c>
      <c r="E136" s="76" t="n">
        <v>5397000</v>
      </c>
      <c r="F136" s="76" t="n">
        <v>0</v>
      </c>
      <c r="G136" s="76" t="n">
        <v>43813000</v>
      </c>
      <c r="I136" s="9">
        <f>IF($A136="","",VALUE($A136&amp;"")*12+VALUE($B136&amp;""))</f>
        <v/>
      </c>
      <c r="J136" s="9">
        <f>IF($A136="","",$C136&amp;"")</f>
        <v/>
      </c>
      <c r="K136" s="77">
        <f>IF($A136="",0,($E136-$F136)*설정!$C$23)</f>
        <v/>
      </c>
    </row>
    <row r="137">
      <c r="A137" s="75" t="n">
        <v>2025</v>
      </c>
      <c r="B137" s="75" t="n">
        <v>8</v>
      </c>
      <c r="C137" s="75" t="n">
        <v>62601000</v>
      </c>
      <c r="D137" s="75" t="inlineStr">
        <is>
          <t>업무추진비</t>
        </is>
      </c>
      <c r="E137" s="76" t="n">
        <v>10199000</v>
      </c>
      <c r="F137" s="76" t="n">
        <v>0</v>
      </c>
      <c r="G137" s="76" t="n">
        <v>84657000</v>
      </c>
      <c r="I137" s="9">
        <f>IF($A137="","",VALUE($A137&amp;"")*12+VALUE($B137&amp;""))</f>
        <v/>
      </c>
      <c r="J137" s="9">
        <f>IF($A137="","",$C137&amp;"")</f>
        <v/>
      </c>
      <c r="K137" s="77">
        <f>IF($A137="",0,($E137-$F137)*설정!$C$23)</f>
        <v/>
      </c>
    </row>
    <row r="138">
      <c r="A138" s="75" t="n">
        <v>2025</v>
      </c>
      <c r="B138" s="75" t="n">
        <v>8</v>
      </c>
      <c r="C138" s="75" t="n">
        <v>62701000</v>
      </c>
      <c r="D138" s="75" t="inlineStr">
        <is>
          <t>광고선전비</t>
        </is>
      </c>
      <c r="E138" s="76" t="n">
        <v>150000000</v>
      </c>
      <c r="F138" s="76" t="n">
        <v>0</v>
      </c>
      <c r="G138" s="76" t="n">
        <v>1200001000</v>
      </c>
      <c r="I138" s="9">
        <f>IF($A138="","",VALUE($A138&amp;"")*12+VALUE($B138&amp;""))</f>
        <v/>
      </c>
      <c r="J138" s="9">
        <f>IF($A138="","",$C138&amp;"")</f>
        <v/>
      </c>
      <c r="K138" s="77">
        <f>IF($A138="",0,($E138-$F138)*설정!$C$23)</f>
        <v/>
      </c>
    </row>
    <row r="139">
      <c r="A139" s="75" t="n">
        <v>2025</v>
      </c>
      <c r="B139" s="75" t="n">
        <v>8</v>
      </c>
      <c r="C139" s="75" t="n">
        <v>62801000</v>
      </c>
      <c r="D139" s="75" t="inlineStr">
        <is>
          <t>교육훈련비-사내</t>
        </is>
      </c>
      <c r="E139" s="76" t="n">
        <v>13343000</v>
      </c>
      <c r="F139" s="76" t="n">
        <v>0</v>
      </c>
      <c r="G139" s="76" t="n">
        <v>100712000</v>
      </c>
      <c r="I139" s="9">
        <f>IF($A139="","",VALUE($A139&amp;"")*12+VALUE($B139&amp;""))</f>
        <v/>
      </c>
      <c r="J139" s="9">
        <f>IF($A139="","",$C139&amp;"")</f>
        <v/>
      </c>
      <c r="K139" s="77">
        <f>IF($A139="",0,($E139-$F139)*설정!$C$23)</f>
        <v/>
      </c>
    </row>
    <row r="140">
      <c r="A140" s="75" t="n">
        <v>2025</v>
      </c>
      <c r="B140" s="75" t="n">
        <v>8</v>
      </c>
      <c r="C140" s="75" t="n">
        <v>62802000</v>
      </c>
      <c r="D140" s="75" t="inlineStr">
        <is>
          <t>교육훈련비-외부위탁</t>
        </is>
      </c>
      <c r="E140" s="76" t="n">
        <v>14333000</v>
      </c>
      <c r="F140" s="76" t="n">
        <v>0</v>
      </c>
      <c r="G140" s="76" t="n">
        <v>112240000</v>
      </c>
      <c r="I140" s="9">
        <f>IF($A140="","",VALUE($A140&amp;"")*12+VALUE($B140&amp;""))</f>
        <v/>
      </c>
      <c r="J140" s="9">
        <f>IF($A140="","",$C140&amp;"")</f>
        <v/>
      </c>
      <c r="K140" s="77">
        <f>IF($A140="",0,($E140-$F140)*설정!$C$23)</f>
        <v/>
      </c>
    </row>
    <row r="141">
      <c r="A141" s="75" t="n">
        <v>2025</v>
      </c>
      <c r="B141" s="75" t="n">
        <v>8</v>
      </c>
      <c r="C141" s="75" t="n">
        <v>62901000</v>
      </c>
      <c r="D141" s="75" t="inlineStr">
        <is>
          <t>지급수수료-컨설팅</t>
        </is>
      </c>
      <c r="E141" s="76" t="n">
        <v>77061000</v>
      </c>
      <c r="F141" s="76" t="n">
        <v>0</v>
      </c>
      <c r="G141" s="76" t="n">
        <v>633308000</v>
      </c>
      <c r="I141" s="9">
        <f>IF($A141="","",VALUE($A141&amp;"")*12+VALUE($B141&amp;""))</f>
        <v/>
      </c>
      <c r="J141" s="9">
        <f>IF($A141="","",$C141&amp;"")</f>
        <v/>
      </c>
      <c r="K141" s="77">
        <f>IF($A141="",0,($E141-$F141)*설정!$C$23)</f>
        <v/>
      </c>
    </row>
    <row r="142">
      <c r="A142" s="75" t="n">
        <v>2025</v>
      </c>
      <c r="B142" s="75" t="n">
        <v>8</v>
      </c>
      <c r="C142" s="75" t="n">
        <v>62902000</v>
      </c>
      <c r="D142" s="75" t="inlineStr">
        <is>
          <t>지급수수료-기타</t>
        </is>
      </c>
      <c r="E142" s="76" t="n">
        <v>41966000</v>
      </c>
      <c r="F142" s="76" t="n">
        <v>0</v>
      </c>
      <c r="G142" s="76" t="n">
        <v>331674000</v>
      </c>
      <c r="I142" s="9">
        <f>IF($A142="","",VALUE($A142&amp;"")*12+VALUE($B142&amp;""))</f>
        <v/>
      </c>
      <c r="J142" s="9">
        <f>IF($A142="","",$C142&amp;"")</f>
        <v/>
      </c>
      <c r="K142" s="77">
        <f>IF($A142="",0,($E142-$F142)*설정!$C$23)</f>
        <v/>
      </c>
    </row>
    <row r="143">
      <c r="A143" s="75" t="n">
        <v>2025</v>
      </c>
      <c r="B143" s="75" t="n">
        <v>8</v>
      </c>
      <c r="C143" s="75" t="n">
        <v>63001000</v>
      </c>
      <c r="D143" s="75" t="inlineStr">
        <is>
          <t>전산운영비-SW유지보수</t>
        </is>
      </c>
      <c r="E143" s="76" t="n">
        <v>93530000</v>
      </c>
      <c r="F143" s="76" t="n">
        <v>0</v>
      </c>
      <c r="G143" s="76" t="n">
        <v>726153000</v>
      </c>
      <c r="I143" s="9">
        <f>IF($A143="","",VALUE($A143&amp;"")*12+VALUE($B143&amp;""))</f>
        <v/>
      </c>
      <c r="J143" s="9">
        <f>IF($A143="","",$C143&amp;"")</f>
        <v/>
      </c>
      <c r="K143" s="77">
        <f>IF($A143="",0,($E143-$F143)*설정!$C$23)</f>
        <v/>
      </c>
    </row>
    <row r="144">
      <c r="A144" s="75" t="n">
        <v>2025</v>
      </c>
      <c r="B144" s="75" t="n">
        <v>8</v>
      </c>
      <c r="C144" s="75" t="n">
        <v>63002000</v>
      </c>
      <c r="D144" s="75" t="inlineStr">
        <is>
          <t>전산운영비-클라우드</t>
        </is>
      </c>
      <c r="E144" s="76" t="n">
        <v>69000000</v>
      </c>
      <c r="F144" s="76" t="n">
        <v>0</v>
      </c>
      <c r="G144" s="76" t="n">
        <v>533000000</v>
      </c>
      <c r="I144" s="9">
        <f>IF($A144="","",VALUE($A144&amp;"")*12+VALUE($B144&amp;""))</f>
        <v/>
      </c>
      <c r="J144" s="9">
        <f>IF($A144="","",$C144&amp;"")</f>
        <v/>
      </c>
      <c r="K144" s="77">
        <f>IF($A144="",0,($E144-$F144)*설정!$C$23)</f>
        <v/>
      </c>
    </row>
    <row r="145">
      <c r="A145" s="75" t="n">
        <v>2025</v>
      </c>
      <c r="B145" s="75" t="n">
        <v>8</v>
      </c>
      <c r="C145" s="75" t="n">
        <v>63101000</v>
      </c>
      <c r="D145" s="75" t="inlineStr">
        <is>
          <t>임차료</t>
        </is>
      </c>
      <c r="E145" s="76" t="n">
        <v>15674000</v>
      </c>
      <c r="F145" s="76" t="n">
        <v>0</v>
      </c>
      <c r="G145" s="76" t="n">
        <v>124135000</v>
      </c>
      <c r="I145" s="9">
        <f>IF($A145="","",VALUE($A145&amp;"")*12+VALUE($B145&amp;""))</f>
        <v/>
      </c>
      <c r="J145" s="9">
        <f>IF($A145="","",$C145&amp;"")</f>
        <v/>
      </c>
      <c r="K145" s="77">
        <f>IF($A145="",0,($E145-$F145)*설정!$C$23)</f>
        <v/>
      </c>
    </row>
    <row r="146">
      <c r="A146" s="75" t="n">
        <v>2025</v>
      </c>
      <c r="B146" s="75" t="n">
        <v>8</v>
      </c>
      <c r="C146" s="75" t="n">
        <v>63201000</v>
      </c>
      <c r="D146" s="75" t="inlineStr">
        <is>
          <t>차량유지비</t>
        </is>
      </c>
      <c r="E146" s="76" t="n">
        <v>7159000</v>
      </c>
      <c r="F146" s="76" t="n">
        <v>0</v>
      </c>
      <c r="G146" s="76" t="n">
        <v>58109000</v>
      </c>
      <c r="I146" s="9">
        <f>IF($A146="","",VALUE($A146&amp;"")*12+VALUE($B146&amp;""))</f>
        <v/>
      </c>
      <c r="J146" s="9">
        <f>IF($A146="","",$C146&amp;"")</f>
        <v/>
      </c>
      <c r="K146" s="77">
        <f>IF($A146="",0,($E146-$F146)*설정!$C$23)</f>
        <v/>
      </c>
    </row>
    <row r="147">
      <c r="A147" s="75" t="n">
        <v>2025</v>
      </c>
      <c r="B147" s="75" t="n">
        <v>8</v>
      </c>
      <c r="C147" s="75" t="n">
        <v>61101000</v>
      </c>
      <c r="D147" s="75" t="inlineStr">
        <is>
          <t>급여</t>
        </is>
      </c>
      <c r="E147" s="76" t="n">
        <v>788570000</v>
      </c>
      <c r="F147" s="76" t="n">
        <v>0</v>
      </c>
      <c r="G147" s="76" t="n">
        <v>6380530000</v>
      </c>
      <c r="I147" s="9">
        <f>IF($A147="","",VALUE($A147&amp;"")*12+VALUE($B147&amp;""))</f>
        <v/>
      </c>
      <c r="J147" s="9">
        <f>IF($A147="","",$C147&amp;"")</f>
        <v/>
      </c>
      <c r="K147" s="77">
        <f>IF($A147="",0,($E147-$F147)*설정!$C$23)</f>
        <v/>
      </c>
    </row>
    <row r="148">
      <c r="A148" s="75" t="n">
        <v>2025</v>
      </c>
      <c r="B148" s="75" t="n">
        <v>8</v>
      </c>
      <c r="C148" s="75" t="n">
        <v>61201000</v>
      </c>
      <c r="D148" s="75" t="inlineStr">
        <is>
          <t>복리후생비</t>
        </is>
      </c>
      <c r="E148" s="76" t="n">
        <v>119294000</v>
      </c>
      <c r="F148" s="76" t="n">
        <v>0</v>
      </c>
      <c r="G148" s="76" t="n">
        <v>956154000</v>
      </c>
      <c r="I148" s="9">
        <f>IF($A148="","",VALUE($A148&amp;"")*12+VALUE($B148&amp;""))</f>
        <v/>
      </c>
      <c r="J148" s="9">
        <f>IF($A148="","",$C148&amp;"")</f>
        <v/>
      </c>
      <c r="K148" s="77">
        <f>IF($A148="",0,($E148-$F148)*설정!$C$23)</f>
        <v/>
      </c>
    </row>
    <row r="149">
      <c r="A149" s="75" t="n">
        <v>2025</v>
      </c>
      <c r="B149" s="75" t="n">
        <v>9</v>
      </c>
      <c r="C149" s="75" t="n">
        <v>62101000</v>
      </c>
      <c r="D149" s="75" t="inlineStr">
        <is>
          <t>여비교통비-국내</t>
        </is>
      </c>
      <c r="E149" s="76" t="n">
        <v>15823000</v>
      </c>
      <c r="F149" s="76" t="n">
        <v>0</v>
      </c>
      <c r="G149" s="76" t="n">
        <v>145995000</v>
      </c>
      <c r="I149" s="9">
        <f>IF($A149="","",VALUE($A149&amp;"")*12+VALUE($B149&amp;""))</f>
        <v/>
      </c>
      <c r="J149" s="9">
        <f>IF($A149="","",$C149&amp;"")</f>
        <v/>
      </c>
      <c r="K149" s="77">
        <f>IF($A149="",0,($E149-$F149)*설정!$C$23)</f>
        <v/>
      </c>
    </row>
    <row r="150">
      <c r="A150" s="75" t="n">
        <v>2025</v>
      </c>
      <c r="B150" s="75" t="n">
        <v>9</v>
      </c>
      <c r="C150" s="75" t="n">
        <v>62102000</v>
      </c>
      <c r="D150" s="75" t="inlineStr">
        <is>
          <t>여비교통비-해외</t>
        </is>
      </c>
      <c r="E150" s="76" t="n">
        <v>2893000</v>
      </c>
      <c r="F150" s="76" t="n">
        <v>0</v>
      </c>
      <c r="G150" s="76" t="n">
        <v>26369000</v>
      </c>
      <c r="I150" s="9">
        <f>IF($A150="","",VALUE($A150&amp;"")*12+VALUE($B150&amp;""))</f>
        <v/>
      </c>
      <c r="J150" s="9">
        <f>IF($A150="","",$C150&amp;"")</f>
        <v/>
      </c>
      <c r="K150" s="77">
        <f>IF($A150="",0,($E150-$F150)*설정!$C$23)</f>
        <v/>
      </c>
    </row>
    <row r="151">
      <c r="A151" s="75" t="n">
        <v>2025</v>
      </c>
      <c r="B151" s="75" t="n">
        <v>9</v>
      </c>
      <c r="C151" s="75" t="n">
        <v>62201000</v>
      </c>
      <c r="D151" s="75" t="inlineStr">
        <is>
          <t>통신비</t>
        </is>
      </c>
      <c r="E151" s="76" t="n">
        <v>36577000</v>
      </c>
      <c r="F151" s="76" t="n">
        <v>0</v>
      </c>
      <c r="G151" s="76" t="n">
        <v>313123000</v>
      </c>
      <c r="I151" s="9">
        <f>IF($A151="","",VALUE($A151&amp;"")*12+VALUE($B151&amp;""))</f>
        <v/>
      </c>
      <c r="J151" s="9">
        <f>IF($A151="","",$C151&amp;"")</f>
        <v/>
      </c>
      <c r="K151" s="77">
        <f>IF($A151="",0,($E151-$F151)*설정!$C$23)</f>
        <v/>
      </c>
    </row>
    <row r="152">
      <c r="A152" s="75" t="n">
        <v>2025</v>
      </c>
      <c r="B152" s="75" t="n">
        <v>9</v>
      </c>
      <c r="C152" s="75" t="n">
        <v>62301000</v>
      </c>
      <c r="D152" s="75" t="inlineStr">
        <is>
          <t>소모품비</t>
        </is>
      </c>
      <c r="E152" s="76" t="n">
        <v>6173000</v>
      </c>
      <c r="F152" s="76" t="n">
        <v>0</v>
      </c>
      <c r="G152" s="76" t="n">
        <v>54532000</v>
      </c>
      <c r="I152" s="9">
        <f>IF($A152="","",VALUE($A152&amp;"")*12+VALUE($B152&amp;""))</f>
        <v/>
      </c>
      <c r="J152" s="9">
        <f>IF($A152="","",$C152&amp;"")</f>
        <v/>
      </c>
      <c r="K152" s="77">
        <f>IF($A152="",0,($E152-$F152)*설정!$C$23)</f>
        <v/>
      </c>
    </row>
    <row r="153">
      <c r="A153" s="75" t="n">
        <v>2025</v>
      </c>
      <c r="B153" s="75" t="n">
        <v>9</v>
      </c>
      <c r="C153" s="75" t="n">
        <v>62401000</v>
      </c>
      <c r="D153" s="75" t="inlineStr">
        <is>
          <t>도서인쇄비</t>
        </is>
      </c>
      <c r="E153" s="76" t="n">
        <v>14242000</v>
      </c>
      <c r="F153" s="76" t="n">
        <v>0</v>
      </c>
      <c r="G153" s="76" t="n">
        <v>123949000</v>
      </c>
      <c r="I153" s="9">
        <f>IF($A153="","",VALUE($A153&amp;"")*12+VALUE($B153&amp;""))</f>
        <v/>
      </c>
      <c r="J153" s="9">
        <f>IF($A153="","",$C153&amp;"")</f>
        <v/>
      </c>
      <c r="K153" s="77">
        <f>IF($A153="",0,($E153-$F153)*설정!$C$23)</f>
        <v/>
      </c>
    </row>
    <row r="154">
      <c r="A154" s="75" t="n">
        <v>2025</v>
      </c>
      <c r="B154" s="75" t="n">
        <v>9</v>
      </c>
      <c r="C154" s="75" t="n">
        <v>62501000</v>
      </c>
      <c r="D154" s="75" t="inlineStr">
        <is>
          <t>회의비</t>
        </is>
      </c>
      <c r="E154" s="76" t="n">
        <v>5399000</v>
      </c>
      <c r="F154" s="76" t="n">
        <v>0</v>
      </c>
      <c r="G154" s="76" t="n">
        <v>49212000</v>
      </c>
      <c r="I154" s="9">
        <f>IF($A154="","",VALUE($A154&amp;"")*12+VALUE($B154&amp;""))</f>
        <v/>
      </c>
      <c r="J154" s="9">
        <f>IF($A154="","",$C154&amp;"")</f>
        <v/>
      </c>
      <c r="K154" s="77">
        <f>IF($A154="",0,($E154-$F154)*설정!$C$23)</f>
        <v/>
      </c>
    </row>
    <row r="155">
      <c r="A155" s="75" t="n">
        <v>2025</v>
      </c>
      <c r="B155" s="75" t="n">
        <v>9</v>
      </c>
      <c r="C155" s="75" t="n">
        <v>62601000</v>
      </c>
      <c r="D155" s="75" t="inlineStr">
        <is>
          <t>업무추진비</t>
        </is>
      </c>
      <c r="E155" s="76" t="n">
        <v>10559000</v>
      </c>
      <c r="F155" s="76" t="n">
        <v>0</v>
      </c>
      <c r="G155" s="76" t="n">
        <v>95216000</v>
      </c>
      <c r="I155" s="9">
        <f>IF($A155="","",VALUE($A155&amp;"")*12+VALUE($B155&amp;""))</f>
        <v/>
      </c>
      <c r="J155" s="9">
        <f>IF($A155="","",$C155&amp;"")</f>
        <v/>
      </c>
      <c r="K155" s="77">
        <f>IF($A155="",0,($E155-$F155)*설정!$C$23)</f>
        <v/>
      </c>
    </row>
    <row r="156">
      <c r="A156" s="75" t="n">
        <v>2025</v>
      </c>
      <c r="B156" s="75" t="n">
        <v>9</v>
      </c>
      <c r="C156" s="75" t="n">
        <v>62701000</v>
      </c>
      <c r="D156" s="75" t="inlineStr">
        <is>
          <t>광고선전비</t>
        </is>
      </c>
      <c r="E156" s="76" t="n">
        <v>180000000</v>
      </c>
      <c r="F156" s="76" t="n">
        <v>0</v>
      </c>
      <c r="G156" s="76" t="n">
        <v>1380001000</v>
      </c>
      <c r="I156" s="9">
        <f>IF($A156="","",VALUE($A156&amp;"")*12+VALUE($B156&amp;""))</f>
        <v/>
      </c>
      <c r="J156" s="9">
        <f>IF($A156="","",$C156&amp;"")</f>
        <v/>
      </c>
      <c r="K156" s="77">
        <f>IF($A156="",0,($E156-$F156)*설정!$C$23)</f>
        <v/>
      </c>
    </row>
    <row r="157">
      <c r="A157" s="75" t="n">
        <v>2025</v>
      </c>
      <c r="B157" s="75" t="n">
        <v>9</v>
      </c>
      <c r="C157" s="75" t="n">
        <v>62801000</v>
      </c>
      <c r="D157" s="75" t="inlineStr">
        <is>
          <t>교육훈련비-사내</t>
        </is>
      </c>
      <c r="E157" s="76" t="n">
        <v>13131000</v>
      </c>
      <c r="F157" s="76" t="n">
        <v>0</v>
      </c>
      <c r="G157" s="76" t="n">
        <v>113843000</v>
      </c>
      <c r="I157" s="9">
        <f>IF($A157="","",VALUE($A157&amp;"")*12+VALUE($B157&amp;""))</f>
        <v/>
      </c>
      <c r="J157" s="9">
        <f>IF($A157="","",$C157&amp;"")</f>
        <v/>
      </c>
      <c r="K157" s="77">
        <f>IF($A157="",0,($E157-$F157)*설정!$C$23)</f>
        <v/>
      </c>
    </row>
    <row r="158">
      <c r="A158" s="75" t="n">
        <v>2025</v>
      </c>
      <c r="B158" s="75" t="n">
        <v>9</v>
      </c>
      <c r="C158" s="75" t="n">
        <v>62802000</v>
      </c>
      <c r="D158" s="75" t="inlineStr">
        <is>
          <t>교육훈련비-외부위탁</t>
        </is>
      </c>
      <c r="E158" s="76" t="n">
        <v>14063000</v>
      </c>
      <c r="F158" s="76" t="n">
        <v>0</v>
      </c>
      <c r="G158" s="76" t="n">
        <v>126303000</v>
      </c>
      <c r="I158" s="9">
        <f>IF($A158="","",VALUE($A158&amp;"")*12+VALUE($B158&amp;""))</f>
        <v/>
      </c>
      <c r="J158" s="9">
        <f>IF($A158="","",$C158&amp;"")</f>
        <v/>
      </c>
      <c r="K158" s="77">
        <f>IF($A158="",0,($E158-$F158)*설정!$C$23)</f>
        <v/>
      </c>
    </row>
    <row r="159">
      <c r="A159" s="75" t="n">
        <v>2025</v>
      </c>
      <c r="B159" s="75" t="n">
        <v>9</v>
      </c>
      <c r="C159" s="75" t="n">
        <v>62901000</v>
      </c>
      <c r="D159" s="75" t="inlineStr">
        <is>
          <t>지급수수료-컨설팅</t>
        </is>
      </c>
      <c r="E159" s="76" t="n">
        <v>77706000</v>
      </c>
      <c r="F159" s="76" t="n">
        <v>0</v>
      </c>
      <c r="G159" s="76" t="n">
        <v>711014000</v>
      </c>
      <c r="I159" s="9">
        <f>IF($A159="","",VALUE($A159&amp;"")*12+VALUE($B159&amp;""))</f>
        <v/>
      </c>
      <c r="J159" s="9">
        <f>IF($A159="","",$C159&amp;"")</f>
        <v/>
      </c>
      <c r="K159" s="77">
        <f>IF($A159="",0,($E159-$F159)*설정!$C$23)</f>
        <v/>
      </c>
    </row>
    <row r="160">
      <c r="A160" s="75" t="n">
        <v>2025</v>
      </c>
      <c r="B160" s="75" t="n">
        <v>9</v>
      </c>
      <c r="C160" s="75" t="n">
        <v>62902000</v>
      </c>
      <c r="D160" s="75" t="inlineStr">
        <is>
          <t>지급수수료-기타</t>
        </is>
      </c>
      <c r="E160" s="76" t="n">
        <v>41517000</v>
      </c>
      <c r="F160" s="76" t="n">
        <v>0</v>
      </c>
      <c r="G160" s="76" t="n">
        <v>373191000</v>
      </c>
      <c r="I160" s="9">
        <f>IF($A160="","",VALUE($A160&amp;"")*12+VALUE($B160&amp;""))</f>
        <v/>
      </c>
      <c r="J160" s="9">
        <f>IF($A160="","",$C160&amp;"")</f>
        <v/>
      </c>
      <c r="K160" s="77">
        <f>IF($A160="",0,($E160-$F160)*설정!$C$23)</f>
        <v/>
      </c>
    </row>
    <row r="161">
      <c r="A161" s="75" t="n">
        <v>2025</v>
      </c>
      <c r="B161" s="75" t="n">
        <v>9</v>
      </c>
      <c r="C161" s="75" t="n">
        <v>63001000</v>
      </c>
      <c r="D161" s="75" t="inlineStr">
        <is>
          <t>전산운영비-SW유지보수</t>
        </is>
      </c>
      <c r="E161" s="76" t="n">
        <v>94303000</v>
      </c>
      <c r="F161" s="76" t="n">
        <v>0</v>
      </c>
      <c r="G161" s="76" t="n">
        <v>820456000</v>
      </c>
      <c r="I161" s="9">
        <f>IF($A161="","",VALUE($A161&amp;"")*12+VALUE($B161&amp;""))</f>
        <v/>
      </c>
      <c r="J161" s="9">
        <f>IF($A161="","",$C161&amp;"")</f>
        <v/>
      </c>
      <c r="K161" s="77">
        <f>IF($A161="",0,($E161-$F161)*설정!$C$23)</f>
        <v/>
      </c>
    </row>
    <row r="162">
      <c r="A162" s="75" t="n">
        <v>2025</v>
      </c>
      <c r="B162" s="75" t="n">
        <v>9</v>
      </c>
      <c r="C162" s="75" t="n">
        <v>63002000</v>
      </c>
      <c r="D162" s="75" t="inlineStr">
        <is>
          <t>전산운영비-클라우드</t>
        </is>
      </c>
      <c r="E162" s="76" t="n">
        <v>70000000</v>
      </c>
      <c r="F162" s="76" t="n">
        <v>0</v>
      </c>
      <c r="G162" s="76" t="n">
        <v>603000000</v>
      </c>
      <c r="I162" s="9">
        <f>IF($A162="","",VALUE($A162&amp;"")*12+VALUE($B162&amp;""))</f>
        <v/>
      </c>
      <c r="J162" s="9">
        <f>IF($A162="","",$C162&amp;"")</f>
        <v/>
      </c>
      <c r="K162" s="77">
        <f>IF($A162="",0,($E162-$F162)*설정!$C$23)</f>
        <v/>
      </c>
    </row>
    <row r="163">
      <c r="A163" s="75" t="n">
        <v>2025</v>
      </c>
      <c r="B163" s="75" t="n">
        <v>9</v>
      </c>
      <c r="C163" s="75" t="n">
        <v>63101000</v>
      </c>
      <c r="D163" s="75" t="inlineStr">
        <is>
          <t>임차료</t>
        </is>
      </c>
      <c r="E163" s="76" t="n">
        <v>15470000</v>
      </c>
      <c r="F163" s="76" t="n">
        <v>0</v>
      </c>
      <c r="G163" s="76" t="n">
        <v>139605000</v>
      </c>
      <c r="I163" s="9">
        <f>IF($A163="","",VALUE($A163&amp;"")*12+VALUE($B163&amp;""))</f>
        <v/>
      </c>
      <c r="J163" s="9">
        <f>IF($A163="","",$C163&amp;"")</f>
        <v/>
      </c>
      <c r="K163" s="77">
        <f>IF($A163="",0,($E163-$F163)*설정!$C$23)</f>
        <v/>
      </c>
    </row>
    <row r="164">
      <c r="A164" s="75" t="n">
        <v>2025</v>
      </c>
      <c r="B164" s="75" t="n">
        <v>9</v>
      </c>
      <c r="C164" s="75" t="n">
        <v>63201000</v>
      </c>
      <c r="D164" s="75" t="inlineStr">
        <is>
          <t>차량유지비</t>
        </is>
      </c>
      <c r="E164" s="76" t="n">
        <v>7172000</v>
      </c>
      <c r="F164" s="76" t="n">
        <v>0</v>
      </c>
      <c r="G164" s="76" t="n">
        <v>65281000</v>
      </c>
      <c r="I164" s="9">
        <f>IF($A164="","",VALUE($A164&amp;"")*12+VALUE($B164&amp;""))</f>
        <v/>
      </c>
      <c r="J164" s="9">
        <f>IF($A164="","",$C164&amp;"")</f>
        <v/>
      </c>
      <c r="K164" s="77">
        <f>IF($A164="",0,($E164-$F164)*설정!$C$23)</f>
        <v/>
      </c>
    </row>
    <row r="165">
      <c r="A165" s="75" t="n">
        <v>2025</v>
      </c>
      <c r="B165" s="75" t="n">
        <v>9</v>
      </c>
      <c r="C165" s="75" t="n">
        <v>61101000</v>
      </c>
      <c r="D165" s="75" t="inlineStr">
        <is>
          <t>급여</t>
        </is>
      </c>
      <c r="E165" s="76" t="n">
        <v>795655000</v>
      </c>
      <c r="F165" s="76" t="n">
        <v>0</v>
      </c>
      <c r="G165" s="76" t="n">
        <v>7176185000</v>
      </c>
      <c r="I165" s="9">
        <f>IF($A165="","",VALUE($A165&amp;"")*12+VALUE($B165&amp;""))</f>
        <v/>
      </c>
      <c r="J165" s="9">
        <f>IF($A165="","",$C165&amp;"")</f>
        <v/>
      </c>
      <c r="K165" s="77">
        <f>IF($A165="",0,($E165-$F165)*설정!$C$23)</f>
        <v/>
      </c>
    </row>
    <row r="166">
      <c r="A166" s="75" t="n">
        <v>2025</v>
      </c>
      <c r="B166" s="75" t="n">
        <v>9</v>
      </c>
      <c r="C166" s="75" t="n">
        <v>61201000</v>
      </c>
      <c r="D166" s="75" t="inlineStr">
        <is>
          <t>복리후생비</t>
        </is>
      </c>
      <c r="E166" s="76" t="n">
        <v>118909000</v>
      </c>
      <c r="F166" s="76" t="n">
        <v>0</v>
      </c>
      <c r="G166" s="76" t="n">
        <v>1075063000</v>
      </c>
      <c r="I166" s="9">
        <f>IF($A166="","",VALUE($A166&amp;"")*12+VALUE($B166&amp;""))</f>
        <v/>
      </c>
      <c r="J166" s="9">
        <f>IF($A166="","",$C166&amp;"")</f>
        <v/>
      </c>
      <c r="K166" s="77">
        <f>IF($A166="",0,($E166-$F166)*설정!$C$23)</f>
        <v/>
      </c>
    </row>
    <row r="167">
      <c r="A167" s="75" t="n">
        <v>2025</v>
      </c>
      <c r="B167" s="75" t="n">
        <v>10</v>
      </c>
      <c r="C167" s="75" t="n">
        <v>62101000</v>
      </c>
      <c r="D167" s="75" t="inlineStr">
        <is>
          <t>여비교통비-국내</t>
        </is>
      </c>
      <c r="E167" s="76" t="n">
        <v>16594000</v>
      </c>
      <c r="F167" s="76" t="n">
        <v>0</v>
      </c>
      <c r="G167" s="76" t="n">
        <v>162589000</v>
      </c>
      <c r="I167" s="9">
        <f>IF($A167="","",VALUE($A167&amp;"")*12+VALUE($B167&amp;""))</f>
        <v/>
      </c>
      <c r="J167" s="9">
        <f>IF($A167="","",$C167&amp;"")</f>
        <v/>
      </c>
      <c r="K167" s="77">
        <f>IF($A167="",0,($E167-$F167)*설정!$C$23)</f>
        <v/>
      </c>
    </row>
    <row r="168">
      <c r="A168" s="75" t="n">
        <v>2025</v>
      </c>
      <c r="B168" s="75" t="n">
        <v>10</v>
      </c>
      <c r="C168" s="75" t="n">
        <v>62102000</v>
      </c>
      <c r="D168" s="75" t="inlineStr">
        <is>
          <t>여비교통비-해외</t>
        </is>
      </c>
      <c r="E168" s="76" t="n">
        <v>2933000</v>
      </c>
      <c r="F168" s="76" t="n">
        <v>0</v>
      </c>
      <c r="G168" s="76" t="n">
        <v>29302000</v>
      </c>
      <c r="I168" s="9">
        <f>IF($A168="","",VALUE($A168&amp;"")*12+VALUE($B168&amp;""))</f>
        <v/>
      </c>
      <c r="J168" s="9">
        <f>IF($A168="","",$C168&amp;"")</f>
        <v/>
      </c>
      <c r="K168" s="77">
        <f>IF($A168="",0,($E168-$F168)*설정!$C$23)</f>
        <v/>
      </c>
    </row>
    <row r="169">
      <c r="A169" s="75" t="n">
        <v>2025</v>
      </c>
      <c r="B169" s="75" t="n">
        <v>10</v>
      </c>
      <c r="C169" s="75" t="n">
        <v>62201000</v>
      </c>
      <c r="D169" s="75" t="inlineStr">
        <is>
          <t>통신비</t>
        </is>
      </c>
      <c r="E169" s="76" t="n">
        <v>37787000</v>
      </c>
      <c r="F169" s="76" t="n">
        <v>0</v>
      </c>
      <c r="G169" s="76" t="n">
        <v>350910000</v>
      </c>
      <c r="I169" s="9">
        <f>IF($A169="","",VALUE($A169&amp;"")*12+VALUE($B169&amp;""))</f>
        <v/>
      </c>
      <c r="J169" s="9">
        <f>IF($A169="","",$C169&amp;"")</f>
        <v/>
      </c>
      <c r="K169" s="77">
        <f>IF($A169="",0,($E169-$F169)*설정!$C$23)</f>
        <v/>
      </c>
    </row>
    <row r="170">
      <c r="A170" s="75" t="n">
        <v>2025</v>
      </c>
      <c r="B170" s="75" t="n">
        <v>10</v>
      </c>
      <c r="C170" s="75" t="n">
        <v>62301000</v>
      </c>
      <c r="D170" s="75" t="inlineStr">
        <is>
          <t>소모품비</t>
        </is>
      </c>
      <c r="E170" s="76" t="n">
        <v>6170000</v>
      </c>
      <c r="F170" s="76" t="n">
        <v>0</v>
      </c>
      <c r="G170" s="76" t="n">
        <v>60702000</v>
      </c>
      <c r="I170" s="9">
        <f>IF($A170="","",VALUE($A170&amp;"")*12+VALUE($B170&amp;""))</f>
        <v/>
      </c>
      <c r="J170" s="9">
        <f>IF($A170="","",$C170&amp;"")</f>
        <v/>
      </c>
      <c r="K170" s="77">
        <f>IF($A170="",0,($E170-$F170)*설정!$C$23)</f>
        <v/>
      </c>
    </row>
    <row r="171">
      <c r="A171" s="75" t="n">
        <v>2025</v>
      </c>
      <c r="B171" s="75" t="n">
        <v>10</v>
      </c>
      <c r="C171" s="75" t="n">
        <v>62401000</v>
      </c>
      <c r="D171" s="75" t="inlineStr">
        <is>
          <t>도서인쇄비</t>
        </is>
      </c>
      <c r="E171" s="76" t="n">
        <v>13699000</v>
      </c>
      <c r="F171" s="76" t="n">
        <v>0</v>
      </c>
      <c r="G171" s="76" t="n">
        <v>137648000</v>
      </c>
      <c r="I171" s="9">
        <f>IF($A171="","",VALUE($A171&amp;"")*12+VALUE($B171&amp;""))</f>
        <v/>
      </c>
      <c r="J171" s="9">
        <f>IF($A171="","",$C171&amp;"")</f>
        <v/>
      </c>
      <c r="K171" s="77">
        <f>IF($A171="",0,($E171-$F171)*설정!$C$23)</f>
        <v/>
      </c>
    </row>
    <row r="172">
      <c r="A172" s="75" t="n">
        <v>2025</v>
      </c>
      <c r="B172" s="75" t="n">
        <v>10</v>
      </c>
      <c r="C172" s="75" t="n">
        <v>62501000</v>
      </c>
      <c r="D172" s="75" t="inlineStr">
        <is>
          <t>회의비</t>
        </is>
      </c>
      <c r="E172" s="76" t="n">
        <v>5334000</v>
      </c>
      <c r="F172" s="76" t="n">
        <v>0</v>
      </c>
      <c r="G172" s="76" t="n">
        <v>54546000</v>
      </c>
      <c r="I172" s="9">
        <f>IF($A172="","",VALUE($A172&amp;"")*12+VALUE($B172&amp;""))</f>
        <v/>
      </c>
      <c r="J172" s="9">
        <f>IF($A172="","",$C172&amp;"")</f>
        <v/>
      </c>
      <c r="K172" s="77">
        <f>IF($A172="",0,($E172-$F172)*설정!$C$23)</f>
        <v/>
      </c>
    </row>
    <row r="173">
      <c r="A173" s="75" t="n">
        <v>2025</v>
      </c>
      <c r="B173" s="75" t="n">
        <v>10</v>
      </c>
      <c r="C173" s="75" t="n">
        <v>62601000</v>
      </c>
      <c r="D173" s="75" t="inlineStr">
        <is>
          <t>업무추진비</t>
        </is>
      </c>
      <c r="E173" s="76" t="n">
        <v>10721000</v>
      </c>
      <c r="F173" s="76" t="n">
        <v>0</v>
      </c>
      <c r="G173" s="76" t="n">
        <v>105937000</v>
      </c>
      <c r="I173" s="9">
        <f>IF($A173="","",VALUE($A173&amp;"")*12+VALUE($B173&amp;""))</f>
        <v/>
      </c>
      <c r="J173" s="9">
        <f>IF($A173="","",$C173&amp;"")</f>
        <v/>
      </c>
      <c r="K173" s="77">
        <f>IF($A173="",0,($E173-$F173)*설정!$C$23)</f>
        <v/>
      </c>
    </row>
    <row r="174">
      <c r="A174" s="75" t="n">
        <v>2025</v>
      </c>
      <c r="B174" s="75" t="n">
        <v>10</v>
      </c>
      <c r="C174" s="75" t="n">
        <v>62701000</v>
      </c>
      <c r="D174" s="75" t="inlineStr">
        <is>
          <t>광고선전비</t>
        </is>
      </c>
      <c r="E174" s="76" t="n">
        <v>190000000</v>
      </c>
      <c r="F174" s="76" t="n">
        <v>0</v>
      </c>
      <c r="G174" s="76" t="n">
        <v>1570001000</v>
      </c>
      <c r="I174" s="9">
        <f>IF($A174="","",VALUE($A174&amp;"")*12+VALUE($B174&amp;""))</f>
        <v/>
      </c>
      <c r="J174" s="9">
        <f>IF($A174="","",$C174&amp;"")</f>
        <v/>
      </c>
      <c r="K174" s="77">
        <f>IF($A174="",0,($E174-$F174)*설정!$C$23)</f>
        <v/>
      </c>
    </row>
    <row r="175">
      <c r="A175" s="75" t="n">
        <v>2025</v>
      </c>
      <c r="B175" s="75" t="n">
        <v>10</v>
      </c>
      <c r="C175" s="75" t="n">
        <v>62801000</v>
      </c>
      <c r="D175" s="75" t="inlineStr">
        <is>
          <t>교육훈련비-사내</t>
        </is>
      </c>
      <c r="E175" s="76" t="n">
        <v>11913000</v>
      </c>
      <c r="F175" s="76" t="n">
        <v>0</v>
      </c>
      <c r="G175" s="76" t="n">
        <v>125756000</v>
      </c>
      <c r="I175" s="9">
        <f>IF($A175="","",VALUE($A175&amp;"")*12+VALUE($B175&amp;""))</f>
        <v/>
      </c>
      <c r="J175" s="9">
        <f>IF($A175="","",$C175&amp;"")</f>
        <v/>
      </c>
      <c r="K175" s="77">
        <f>IF($A175="",0,($E175-$F175)*설정!$C$23)</f>
        <v/>
      </c>
    </row>
    <row r="176">
      <c r="A176" s="75" t="n">
        <v>2025</v>
      </c>
      <c r="B176" s="75" t="n">
        <v>10</v>
      </c>
      <c r="C176" s="75" t="n">
        <v>62802000</v>
      </c>
      <c r="D176" s="75" t="inlineStr">
        <is>
          <t>교육훈련비-외부위탁</t>
        </is>
      </c>
      <c r="E176" s="76" t="n">
        <v>14310000</v>
      </c>
      <c r="F176" s="76" t="n">
        <v>0</v>
      </c>
      <c r="G176" s="76" t="n">
        <v>140613000</v>
      </c>
      <c r="I176" s="9">
        <f>IF($A176="","",VALUE($A176&amp;"")*12+VALUE($B176&amp;""))</f>
        <v/>
      </c>
      <c r="J176" s="9">
        <f>IF($A176="","",$C176&amp;"")</f>
        <v/>
      </c>
      <c r="K176" s="77">
        <f>IF($A176="",0,($E176-$F176)*설정!$C$23)</f>
        <v/>
      </c>
    </row>
    <row r="177">
      <c r="A177" s="75" t="n">
        <v>2025</v>
      </c>
      <c r="B177" s="75" t="n">
        <v>10</v>
      </c>
      <c r="C177" s="75" t="n">
        <v>62901000</v>
      </c>
      <c r="D177" s="75" t="inlineStr">
        <is>
          <t>지급수수료-컨설팅</t>
        </is>
      </c>
      <c r="E177" s="76" t="n">
        <v>79486000</v>
      </c>
      <c r="F177" s="76" t="n">
        <v>0</v>
      </c>
      <c r="G177" s="76" t="n">
        <v>790500000</v>
      </c>
      <c r="I177" s="9">
        <f>IF($A177="","",VALUE($A177&amp;"")*12+VALUE($B177&amp;""))</f>
        <v/>
      </c>
      <c r="J177" s="9">
        <f>IF($A177="","",$C177&amp;"")</f>
        <v/>
      </c>
      <c r="K177" s="77">
        <f>IF($A177="",0,($E177-$F177)*설정!$C$23)</f>
        <v/>
      </c>
    </row>
    <row r="178">
      <c r="A178" s="75" t="n">
        <v>2025</v>
      </c>
      <c r="B178" s="75" t="n">
        <v>10</v>
      </c>
      <c r="C178" s="75" t="n">
        <v>62902000</v>
      </c>
      <c r="D178" s="75" t="inlineStr">
        <is>
          <t>지급수수료-기타</t>
        </is>
      </c>
      <c r="E178" s="76" t="n">
        <v>41238000</v>
      </c>
      <c r="F178" s="76" t="n">
        <v>0</v>
      </c>
      <c r="G178" s="76" t="n">
        <v>414429000</v>
      </c>
      <c r="I178" s="9">
        <f>IF($A178="","",VALUE($A178&amp;"")*12+VALUE($B178&amp;""))</f>
        <v/>
      </c>
      <c r="J178" s="9">
        <f>IF($A178="","",$C178&amp;"")</f>
        <v/>
      </c>
      <c r="K178" s="77">
        <f>IF($A178="",0,($E178-$F178)*설정!$C$23)</f>
        <v/>
      </c>
    </row>
    <row r="179">
      <c r="A179" s="75" t="n">
        <v>2025</v>
      </c>
      <c r="B179" s="75" t="n">
        <v>10</v>
      </c>
      <c r="C179" s="75" t="n">
        <v>63001000</v>
      </c>
      <c r="D179" s="75" t="inlineStr">
        <is>
          <t>전산운영비-SW유지보수</t>
        </is>
      </c>
      <c r="E179" s="76" t="n">
        <v>97764000</v>
      </c>
      <c r="F179" s="76" t="n">
        <v>0</v>
      </c>
      <c r="G179" s="76" t="n">
        <v>918220000</v>
      </c>
      <c r="I179" s="9">
        <f>IF($A179="","",VALUE($A179&amp;"")*12+VALUE($B179&amp;""))</f>
        <v/>
      </c>
      <c r="J179" s="9">
        <f>IF($A179="","",$C179&amp;"")</f>
        <v/>
      </c>
      <c r="K179" s="77">
        <f>IF($A179="",0,($E179-$F179)*설정!$C$23)</f>
        <v/>
      </c>
    </row>
    <row r="180">
      <c r="A180" s="75" t="n">
        <v>2025</v>
      </c>
      <c r="B180" s="75" t="n">
        <v>10</v>
      </c>
      <c r="C180" s="75" t="n">
        <v>63002000</v>
      </c>
      <c r="D180" s="75" t="inlineStr">
        <is>
          <t>전산운영비-클라우드</t>
        </is>
      </c>
      <c r="E180" s="76" t="n">
        <v>70000000</v>
      </c>
      <c r="F180" s="76" t="n">
        <v>0</v>
      </c>
      <c r="G180" s="76" t="n">
        <v>673000000</v>
      </c>
      <c r="I180" s="9">
        <f>IF($A180="","",VALUE($A180&amp;"")*12+VALUE($B180&amp;""))</f>
        <v/>
      </c>
      <c r="J180" s="9">
        <f>IF($A180="","",$C180&amp;"")</f>
        <v/>
      </c>
      <c r="K180" s="77">
        <f>IF($A180="",0,($E180-$F180)*설정!$C$23)</f>
        <v/>
      </c>
    </row>
    <row r="181">
      <c r="A181" s="75" t="n">
        <v>2025</v>
      </c>
      <c r="B181" s="75" t="n">
        <v>10</v>
      </c>
      <c r="C181" s="75" t="n">
        <v>63101000</v>
      </c>
      <c r="D181" s="75" t="inlineStr">
        <is>
          <t>임차료</t>
        </is>
      </c>
      <c r="E181" s="76" t="n">
        <v>15797000</v>
      </c>
      <c r="F181" s="76" t="n">
        <v>0</v>
      </c>
      <c r="G181" s="76" t="n">
        <v>155402000</v>
      </c>
      <c r="I181" s="9">
        <f>IF($A181="","",VALUE($A181&amp;"")*12+VALUE($B181&amp;""))</f>
        <v/>
      </c>
      <c r="J181" s="9">
        <f>IF($A181="","",$C181&amp;"")</f>
        <v/>
      </c>
      <c r="K181" s="77">
        <f>IF($A181="",0,($E181-$F181)*설정!$C$23)</f>
        <v/>
      </c>
    </row>
    <row r="182">
      <c r="A182" s="75" t="n">
        <v>2025</v>
      </c>
      <c r="B182" s="75" t="n">
        <v>10</v>
      </c>
      <c r="C182" s="75" t="n">
        <v>63201000</v>
      </c>
      <c r="D182" s="75" t="inlineStr">
        <is>
          <t>차량유지비</t>
        </is>
      </c>
      <c r="E182" s="76" t="n">
        <v>7488000</v>
      </c>
      <c r="F182" s="76" t="n">
        <v>0</v>
      </c>
      <c r="G182" s="76" t="n">
        <v>72769000</v>
      </c>
      <c r="I182" s="9">
        <f>IF($A182="","",VALUE($A182&amp;"")*12+VALUE($B182&amp;""))</f>
        <v/>
      </c>
      <c r="J182" s="9">
        <f>IF($A182="","",$C182&amp;"")</f>
        <v/>
      </c>
      <c r="K182" s="77">
        <f>IF($A182="",0,($E182-$F182)*설정!$C$23)</f>
        <v/>
      </c>
    </row>
    <row r="183">
      <c r="A183" s="75" t="n">
        <v>2025</v>
      </c>
      <c r="B183" s="75" t="n">
        <v>10</v>
      </c>
      <c r="C183" s="75" t="n">
        <v>61101000</v>
      </c>
      <c r="D183" s="75" t="inlineStr">
        <is>
          <t>급여</t>
        </is>
      </c>
      <c r="E183" s="76" t="n">
        <v>782600000</v>
      </c>
      <c r="F183" s="76" t="n">
        <v>0</v>
      </c>
      <c r="G183" s="76" t="n">
        <v>7958785000</v>
      </c>
      <c r="I183" s="9">
        <f>IF($A183="","",VALUE($A183&amp;"")*12+VALUE($B183&amp;""))</f>
        <v/>
      </c>
      <c r="J183" s="9">
        <f>IF($A183="","",$C183&amp;"")</f>
        <v/>
      </c>
      <c r="K183" s="77">
        <f>IF($A183="",0,($E183-$F183)*설정!$C$23)</f>
        <v/>
      </c>
    </row>
    <row r="184">
      <c r="A184" s="75" t="n">
        <v>2025</v>
      </c>
      <c r="B184" s="75" t="n">
        <v>10</v>
      </c>
      <c r="C184" s="75" t="n">
        <v>61201000</v>
      </c>
      <c r="D184" s="75" t="inlineStr">
        <is>
          <t>복리후생비</t>
        </is>
      </c>
      <c r="E184" s="76" t="n">
        <v>119139000</v>
      </c>
      <c r="F184" s="76" t="n">
        <v>0</v>
      </c>
      <c r="G184" s="76" t="n">
        <v>1194202000</v>
      </c>
      <c r="I184" s="9">
        <f>IF($A184="","",VALUE($A184&amp;"")*12+VALUE($B184&amp;""))</f>
        <v/>
      </c>
      <c r="J184" s="9">
        <f>IF($A184="","",$C184&amp;"")</f>
        <v/>
      </c>
      <c r="K184" s="77">
        <f>IF($A184="",0,($E184-$F184)*설정!$C$23)</f>
        <v/>
      </c>
    </row>
    <row r="185">
      <c r="A185" s="75" t="n">
        <v>2025</v>
      </c>
      <c r="B185" s="75" t="n">
        <v>11</v>
      </c>
      <c r="C185" s="75" t="n">
        <v>62101000</v>
      </c>
      <c r="D185" s="75" t="inlineStr">
        <is>
          <t>여비교통비-국내</t>
        </is>
      </c>
      <c r="E185" s="76" t="n">
        <v>15896000</v>
      </c>
      <c r="F185" s="76" t="n">
        <v>0</v>
      </c>
      <c r="G185" s="76" t="n">
        <v>178485000</v>
      </c>
      <c r="I185" s="9">
        <f>IF($A185="","",VALUE($A185&amp;"")*12+VALUE($B185&amp;""))</f>
        <v/>
      </c>
      <c r="J185" s="9">
        <f>IF($A185="","",$C185&amp;"")</f>
        <v/>
      </c>
      <c r="K185" s="77">
        <f>IF($A185="",0,($E185-$F185)*설정!$C$23)</f>
        <v/>
      </c>
    </row>
    <row r="186">
      <c r="A186" s="75" t="n">
        <v>2025</v>
      </c>
      <c r="B186" s="75" t="n">
        <v>11</v>
      </c>
      <c r="C186" s="75" t="n">
        <v>62102000</v>
      </c>
      <c r="D186" s="75" t="inlineStr">
        <is>
          <t>여비교통비-해외</t>
        </is>
      </c>
      <c r="E186" s="76" t="n">
        <v>2998000</v>
      </c>
      <c r="F186" s="76" t="n">
        <v>0</v>
      </c>
      <c r="G186" s="76" t="n">
        <v>32300000</v>
      </c>
      <c r="I186" s="9">
        <f>IF($A186="","",VALUE($A186&amp;"")*12+VALUE($B186&amp;""))</f>
        <v/>
      </c>
      <c r="J186" s="9">
        <f>IF($A186="","",$C186&amp;"")</f>
        <v/>
      </c>
      <c r="K186" s="77">
        <f>IF($A186="",0,($E186-$F186)*설정!$C$23)</f>
        <v/>
      </c>
    </row>
    <row r="187">
      <c r="A187" s="75" t="n">
        <v>2025</v>
      </c>
      <c r="B187" s="75" t="n">
        <v>11</v>
      </c>
      <c r="C187" s="75" t="n">
        <v>62201000</v>
      </c>
      <c r="D187" s="75" t="inlineStr">
        <is>
          <t>통신비</t>
        </is>
      </c>
      <c r="E187" s="76" t="n">
        <v>34236000</v>
      </c>
      <c r="F187" s="76" t="n">
        <v>0</v>
      </c>
      <c r="G187" s="76" t="n">
        <v>385146000</v>
      </c>
      <c r="I187" s="9">
        <f>IF($A187="","",VALUE($A187&amp;"")*12+VALUE($B187&amp;""))</f>
        <v/>
      </c>
      <c r="J187" s="9">
        <f>IF($A187="","",$C187&amp;"")</f>
        <v/>
      </c>
      <c r="K187" s="77">
        <f>IF($A187="",0,($E187-$F187)*설정!$C$23)</f>
        <v/>
      </c>
    </row>
    <row r="188">
      <c r="A188" s="75" t="n">
        <v>2025</v>
      </c>
      <c r="B188" s="75" t="n">
        <v>11</v>
      </c>
      <c r="C188" s="75" t="n">
        <v>62301000</v>
      </c>
      <c r="D188" s="75" t="inlineStr">
        <is>
          <t>소모품비</t>
        </is>
      </c>
      <c r="E188" s="76" t="n">
        <v>5839000</v>
      </c>
      <c r="F188" s="76" t="n">
        <v>0</v>
      </c>
      <c r="G188" s="76" t="n">
        <v>66541000</v>
      </c>
      <c r="I188" s="9">
        <f>IF($A188="","",VALUE($A188&amp;"")*12+VALUE($B188&amp;""))</f>
        <v/>
      </c>
      <c r="J188" s="9">
        <f>IF($A188="","",$C188&amp;"")</f>
        <v/>
      </c>
      <c r="K188" s="77">
        <f>IF($A188="",0,($E188-$F188)*설정!$C$23)</f>
        <v/>
      </c>
    </row>
    <row r="189">
      <c r="A189" s="75" t="n">
        <v>2025</v>
      </c>
      <c r="B189" s="75" t="n">
        <v>11</v>
      </c>
      <c r="C189" s="75" t="n">
        <v>62401000</v>
      </c>
      <c r="D189" s="75" t="inlineStr">
        <is>
          <t>도서인쇄비</t>
        </is>
      </c>
      <c r="E189" s="76" t="n">
        <v>15160000</v>
      </c>
      <c r="F189" s="76" t="n">
        <v>0</v>
      </c>
      <c r="G189" s="76" t="n">
        <v>152808000</v>
      </c>
      <c r="I189" s="9">
        <f>IF($A189="","",VALUE($A189&amp;"")*12+VALUE($B189&amp;""))</f>
        <v/>
      </c>
      <c r="J189" s="9">
        <f>IF($A189="","",$C189&amp;"")</f>
        <v/>
      </c>
      <c r="K189" s="77">
        <f>IF($A189="",0,($E189-$F189)*설정!$C$23)</f>
        <v/>
      </c>
    </row>
    <row r="190">
      <c r="A190" s="75" t="n">
        <v>2025</v>
      </c>
      <c r="B190" s="75" t="n">
        <v>11</v>
      </c>
      <c r="C190" s="75" t="n">
        <v>62501000</v>
      </c>
      <c r="D190" s="75" t="inlineStr">
        <is>
          <t>회의비</t>
        </is>
      </c>
      <c r="E190" s="76" t="n">
        <v>5263000</v>
      </c>
      <c r="F190" s="76" t="n">
        <v>0</v>
      </c>
      <c r="G190" s="76" t="n">
        <v>59809000</v>
      </c>
      <c r="I190" s="9">
        <f>IF($A190="","",VALUE($A190&amp;"")*12+VALUE($B190&amp;""))</f>
        <v/>
      </c>
      <c r="J190" s="9">
        <f>IF($A190="","",$C190&amp;"")</f>
        <v/>
      </c>
      <c r="K190" s="77">
        <f>IF($A190="",0,($E190-$F190)*설정!$C$23)</f>
        <v/>
      </c>
    </row>
    <row r="191">
      <c r="A191" s="75" t="n">
        <v>2025</v>
      </c>
      <c r="B191" s="75" t="n">
        <v>11</v>
      </c>
      <c r="C191" s="75" t="n">
        <v>62601000</v>
      </c>
      <c r="D191" s="75" t="inlineStr">
        <is>
          <t>업무추진비</t>
        </is>
      </c>
      <c r="E191" s="76" t="n">
        <v>10259000</v>
      </c>
      <c r="F191" s="76" t="n">
        <v>0</v>
      </c>
      <c r="G191" s="76" t="n">
        <v>116196000</v>
      </c>
      <c r="I191" s="9">
        <f>IF($A191="","",VALUE($A191&amp;"")*12+VALUE($B191&amp;""))</f>
        <v/>
      </c>
      <c r="J191" s="9">
        <f>IF($A191="","",$C191&amp;"")</f>
        <v/>
      </c>
      <c r="K191" s="77">
        <f>IF($A191="",0,($E191-$F191)*설정!$C$23)</f>
        <v/>
      </c>
    </row>
    <row r="192">
      <c r="A192" s="75" t="n">
        <v>2025</v>
      </c>
      <c r="B192" s="75" t="n">
        <v>11</v>
      </c>
      <c r="C192" s="75" t="n">
        <v>62701000</v>
      </c>
      <c r="D192" s="75" t="inlineStr">
        <is>
          <t>광고선전비</t>
        </is>
      </c>
      <c r="E192" s="76" t="n">
        <v>199999000</v>
      </c>
      <c r="F192" s="76" t="n">
        <v>0</v>
      </c>
      <c r="G192" s="76" t="n">
        <v>1770000000</v>
      </c>
      <c r="I192" s="9">
        <f>IF($A192="","",VALUE($A192&amp;"")*12+VALUE($B192&amp;""))</f>
        <v/>
      </c>
      <c r="J192" s="9">
        <f>IF($A192="","",$C192&amp;"")</f>
        <v/>
      </c>
      <c r="K192" s="77">
        <f>IF($A192="",0,($E192-$F192)*설정!$C$23)</f>
        <v/>
      </c>
    </row>
    <row r="193">
      <c r="A193" s="75" t="n">
        <v>2025</v>
      </c>
      <c r="B193" s="75" t="n">
        <v>11</v>
      </c>
      <c r="C193" s="75" t="n">
        <v>62801000</v>
      </c>
      <c r="D193" s="75" t="inlineStr">
        <is>
          <t>교육훈련비-사내</t>
        </is>
      </c>
      <c r="E193" s="76" t="n">
        <v>12522000</v>
      </c>
      <c r="F193" s="76" t="n">
        <v>0</v>
      </c>
      <c r="G193" s="76" t="n">
        <v>138278000</v>
      </c>
      <c r="I193" s="9">
        <f>IF($A193="","",VALUE($A193&amp;"")*12+VALUE($B193&amp;""))</f>
        <v/>
      </c>
      <c r="J193" s="9">
        <f>IF($A193="","",$C193&amp;"")</f>
        <v/>
      </c>
      <c r="K193" s="77">
        <f>IF($A193="",0,($E193-$F193)*설정!$C$23)</f>
        <v/>
      </c>
    </row>
    <row r="194">
      <c r="A194" s="75" t="n">
        <v>2025</v>
      </c>
      <c r="B194" s="75" t="n">
        <v>11</v>
      </c>
      <c r="C194" s="75" t="n">
        <v>62802000</v>
      </c>
      <c r="D194" s="75" t="inlineStr">
        <is>
          <t>교육훈련비-외부위탁</t>
        </is>
      </c>
      <c r="E194" s="76" t="n">
        <v>13259000</v>
      </c>
      <c r="F194" s="76" t="n">
        <v>0</v>
      </c>
      <c r="G194" s="76" t="n">
        <v>153872000</v>
      </c>
      <c r="I194" s="9">
        <f>IF($A194="","",VALUE($A194&amp;"")*12+VALUE($B194&amp;""))</f>
        <v/>
      </c>
      <c r="J194" s="9">
        <f>IF($A194="","",$C194&amp;"")</f>
        <v/>
      </c>
      <c r="K194" s="77">
        <f>IF($A194="",0,($E194-$F194)*설정!$C$23)</f>
        <v/>
      </c>
    </row>
    <row r="195">
      <c r="A195" s="75" t="n">
        <v>2025</v>
      </c>
      <c r="B195" s="75" t="n">
        <v>11</v>
      </c>
      <c r="C195" s="75" t="n">
        <v>62901000</v>
      </c>
      <c r="D195" s="75" t="inlineStr">
        <is>
          <t>지급수수료-컨설팅</t>
        </is>
      </c>
      <c r="E195" s="76" t="n">
        <v>77496000</v>
      </c>
      <c r="F195" s="76" t="n">
        <v>0</v>
      </c>
      <c r="G195" s="76" t="n">
        <v>867996000</v>
      </c>
      <c r="I195" s="9">
        <f>IF($A195="","",VALUE($A195&amp;"")*12+VALUE($B195&amp;""))</f>
        <v/>
      </c>
      <c r="J195" s="9">
        <f>IF($A195="","",$C195&amp;"")</f>
        <v/>
      </c>
      <c r="K195" s="77">
        <f>IF($A195="",0,($E195-$F195)*설정!$C$23)</f>
        <v/>
      </c>
    </row>
    <row r="196">
      <c r="A196" s="75" t="n">
        <v>2025</v>
      </c>
      <c r="B196" s="75" t="n">
        <v>11</v>
      </c>
      <c r="C196" s="75" t="n">
        <v>62902000</v>
      </c>
      <c r="D196" s="75" t="inlineStr">
        <is>
          <t>지급수수료-기타</t>
        </is>
      </c>
      <c r="E196" s="76" t="n">
        <v>41135000</v>
      </c>
      <c r="F196" s="76" t="n">
        <v>0</v>
      </c>
      <c r="G196" s="76" t="n">
        <v>455564000</v>
      </c>
      <c r="I196" s="9">
        <f>IF($A196="","",VALUE($A196&amp;"")*12+VALUE($B196&amp;""))</f>
        <v/>
      </c>
      <c r="J196" s="9">
        <f>IF($A196="","",$C196&amp;"")</f>
        <v/>
      </c>
      <c r="K196" s="77">
        <f>IF($A196="",0,($E196-$F196)*설정!$C$23)</f>
        <v/>
      </c>
    </row>
    <row r="197">
      <c r="A197" s="75" t="n">
        <v>2025</v>
      </c>
      <c r="B197" s="75" t="n">
        <v>11</v>
      </c>
      <c r="C197" s="75" t="n">
        <v>63001000</v>
      </c>
      <c r="D197" s="75" t="inlineStr">
        <is>
          <t>전산운영비-SW유지보수</t>
        </is>
      </c>
      <c r="E197" s="76" t="n">
        <v>88560000</v>
      </c>
      <c r="F197" s="76" t="n">
        <v>0</v>
      </c>
      <c r="G197" s="76" t="n">
        <v>1006780000</v>
      </c>
      <c r="I197" s="9">
        <f>IF($A197="","",VALUE($A197&amp;"")*12+VALUE($B197&amp;""))</f>
        <v/>
      </c>
      <c r="J197" s="9">
        <f>IF($A197="","",$C197&amp;"")</f>
        <v/>
      </c>
      <c r="K197" s="77">
        <f>IF($A197="",0,($E197-$F197)*설정!$C$23)</f>
        <v/>
      </c>
    </row>
    <row r="198">
      <c r="A198" s="75" t="n">
        <v>2025</v>
      </c>
      <c r="B198" s="75" t="n">
        <v>11</v>
      </c>
      <c r="C198" s="75" t="n">
        <v>63002000</v>
      </c>
      <c r="D198" s="75" t="inlineStr">
        <is>
          <t>전산운영비-클라우드</t>
        </is>
      </c>
      <c r="E198" s="76" t="n">
        <v>71000000</v>
      </c>
      <c r="F198" s="76" t="n">
        <v>0</v>
      </c>
      <c r="G198" s="76" t="n">
        <v>744000000</v>
      </c>
      <c r="I198" s="9">
        <f>IF($A198="","",VALUE($A198&amp;"")*12+VALUE($B198&amp;""))</f>
        <v/>
      </c>
      <c r="J198" s="9">
        <f>IF($A198="","",$C198&amp;"")</f>
        <v/>
      </c>
      <c r="K198" s="77">
        <f>IF($A198="",0,($E198-$F198)*설정!$C$23)</f>
        <v/>
      </c>
    </row>
    <row r="199">
      <c r="A199" s="75" t="n">
        <v>2025</v>
      </c>
      <c r="B199" s="75" t="n">
        <v>11</v>
      </c>
      <c r="C199" s="75" t="n">
        <v>63101000</v>
      </c>
      <c r="D199" s="75" t="inlineStr">
        <is>
          <t>임차료</t>
        </is>
      </c>
      <c r="E199" s="76" t="n">
        <v>16398000</v>
      </c>
      <c r="F199" s="76" t="n">
        <v>0</v>
      </c>
      <c r="G199" s="76" t="n">
        <v>171800000</v>
      </c>
      <c r="I199" s="9">
        <f>IF($A199="","",VALUE($A199&amp;"")*12+VALUE($B199&amp;""))</f>
        <v/>
      </c>
      <c r="J199" s="9">
        <f>IF($A199="","",$C199&amp;"")</f>
        <v/>
      </c>
      <c r="K199" s="77">
        <f>IF($A199="",0,($E199-$F199)*설정!$C$23)</f>
        <v/>
      </c>
    </row>
    <row r="200">
      <c r="A200" s="75" t="n">
        <v>2025</v>
      </c>
      <c r="B200" s="75" t="n">
        <v>11</v>
      </c>
      <c r="C200" s="75" t="n">
        <v>63201000</v>
      </c>
      <c r="D200" s="75" t="inlineStr">
        <is>
          <t>차량유지비</t>
        </is>
      </c>
      <c r="E200" s="76" t="n">
        <v>7410000</v>
      </c>
      <c r="F200" s="76" t="n">
        <v>0</v>
      </c>
      <c r="G200" s="76" t="n">
        <v>80179000</v>
      </c>
      <c r="I200" s="9">
        <f>IF($A200="","",VALUE($A200&amp;"")*12+VALUE($B200&amp;""))</f>
        <v/>
      </c>
      <c r="J200" s="9">
        <f>IF($A200="","",$C200&amp;"")</f>
        <v/>
      </c>
      <c r="K200" s="77">
        <f>IF($A200="",0,($E200-$F200)*설정!$C$23)</f>
        <v/>
      </c>
    </row>
    <row r="201">
      <c r="A201" s="75" t="n">
        <v>2025</v>
      </c>
      <c r="B201" s="75" t="n">
        <v>11</v>
      </c>
      <c r="C201" s="75" t="n">
        <v>61101000</v>
      </c>
      <c r="D201" s="75" t="inlineStr">
        <is>
          <t>급여</t>
        </is>
      </c>
      <c r="E201" s="76" t="n">
        <v>778283000</v>
      </c>
      <c r="F201" s="76" t="n">
        <v>0</v>
      </c>
      <c r="G201" s="76" t="n">
        <v>8737068000</v>
      </c>
      <c r="I201" s="9">
        <f>IF($A201="","",VALUE($A201&amp;"")*12+VALUE($B201&amp;""))</f>
        <v/>
      </c>
      <c r="J201" s="9">
        <f>IF($A201="","",$C201&amp;"")</f>
        <v/>
      </c>
      <c r="K201" s="77">
        <f>IF($A201="",0,($E201-$F201)*설정!$C$23)</f>
        <v/>
      </c>
    </row>
    <row r="202">
      <c r="A202" s="75" t="n">
        <v>2025</v>
      </c>
      <c r="B202" s="75" t="n">
        <v>11</v>
      </c>
      <c r="C202" s="75" t="n">
        <v>61201000</v>
      </c>
      <c r="D202" s="75" t="inlineStr">
        <is>
          <t>복리후생비</t>
        </is>
      </c>
      <c r="E202" s="76" t="n">
        <v>116513000</v>
      </c>
      <c r="F202" s="76" t="n">
        <v>0</v>
      </c>
      <c r="G202" s="76" t="n">
        <v>1310715000</v>
      </c>
      <c r="I202" s="9">
        <f>IF($A202="","",VALUE($A202&amp;"")*12+VALUE($B202&amp;""))</f>
        <v/>
      </c>
      <c r="J202" s="9">
        <f>IF($A202="","",$C202&amp;"")</f>
        <v/>
      </c>
      <c r="K202" s="77">
        <f>IF($A202="",0,($E202-$F202)*설정!$C$23)</f>
        <v/>
      </c>
    </row>
    <row r="203">
      <c r="A203" s="75" t="n">
        <v>2025</v>
      </c>
      <c r="B203" s="75" t="n">
        <v>12</v>
      </c>
      <c r="C203" s="75" t="n">
        <v>62101000</v>
      </c>
      <c r="D203" s="75" t="inlineStr">
        <is>
          <t>여비교통비-국내</t>
        </is>
      </c>
      <c r="E203" s="76" t="n">
        <v>15928000</v>
      </c>
      <c r="F203" s="76" t="n">
        <v>0</v>
      </c>
      <c r="G203" s="76" t="n">
        <v>194413000</v>
      </c>
      <c r="I203" s="9">
        <f>IF($A203="","",VALUE($A203&amp;"")*12+VALUE($B203&amp;""))</f>
        <v/>
      </c>
      <c r="J203" s="9">
        <f>IF($A203="","",$C203&amp;"")</f>
        <v/>
      </c>
      <c r="K203" s="77">
        <f>IF($A203="",0,($E203-$F203)*설정!$C$23)</f>
        <v/>
      </c>
    </row>
    <row r="204">
      <c r="A204" s="75" t="n">
        <v>2025</v>
      </c>
      <c r="B204" s="75" t="n">
        <v>12</v>
      </c>
      <c r="C204" s="75" t="n">
        <v>62102000</v>
      </c>
      <c r="D204" s="75" t="inlineStr">
        <is>
          <t>여비교통비-해외</t>
        </is>
      </c>
      <c r="E204" s="76" t="n">
        <v>2836000</v>
      </c>
      <c r="F204" s="76" t="n">
        <v>0</v>
      </c>
      <c r="G204" s="76" t="n">
        <v>35136000</v>
      </c>
      <c r="I204" s="9">
        <f>IF($A204="","",VALUE($A204&amp;"")*12+VALUE($B204&amp;""))</f>
        <v/>
      </c>
      <c r="J204" s="9">
        <f>IF($A204="","",$C204&amp;"")</f>
        <v/>
      </c>
      <c r="K204" s="77">
        <f>IF($A204="",0,($E204-$F204)*설정!$C$23)</f>
        <v/>
      </c>
    </row>
    <row r="205">
      <c r="A205" s="75" t="n">
        <v>2025</v>
      </c>
      <c r="B205" s="75" t="n">
        <v>12</v>
      </c>
      <c r="C205" s="75" t="n">
        <v>62201000</v>
      </c>
      <c r="D205" s="75" t="inlineStr">
        <is>
          <t>통신비</t>
        </is>
      </c>
      <c r="E205" s="76" t="n">
        <v>34601000</v>
      </c>
      <c r="F205" s="76" t="n">
        <v>0</v>
      </c>
      <c r="G205" s="76" t="n">
        <v>419747000</v>
      </c>
      <c r="I205" s="9">
        <f>IF($A205="","",VALUE($A205&amp;"")*12+VALUE($B205&amp;""))</f>
        <v/>
      </c>
      <c r="J205" s="9">
        <f>IF($A205="","",$C205&amp;"")</f>
        <v/>
      </c>
      <c r="K205" s="77">
        <f>IF($A205="",0,($E205-$F205)*설정!$C$23)</f>
        <v/>
      </c>
    </row>
    <row r="206">
      <c r="A206" s="75" t="n">
        <v>2025</v>
      </c>
      <c r="B206" s="75" t="n">
        <v>12</v>
      </c>
      <c r="C206" s="75" t="n">
        <v>62301000</v>
      </c>
      <c r="D206" s="75" t="inlineStr">
        <is>
          <t>소모품비</t>
        </is>
      </c>
      <c r="E206" s="76" t="n">
        <v>6096000</v>
      </c>
      <c r="F206" s="76" t="n">
        <v>0</v>
      </c>
      <c r="G206" s="76" t="n">
        <v>72637000</v>
      </c>
      <c r="I206" s="9">
        <f>IF($A206="","",VALUE($A206&amp;"")*12+VALUE($B206&amp;""))</f>
        <v/>
      </c>
      <c r="J206" s="9">
        <f>IF($A206="","",$C206&amp;"")</f>
        <v/>
      </c>
      <c r="K206" s="77">
        <f>IF($A206="",0,($E206-$F206)*설정!$C$23)</f>
        <v/>
      </c>
    </row>
    <row r="207">
      <c r="A207" s="75" t="n">
        <v>2025</v>
      </c>
      <c r="B207" s="75" t="n">
        <v>12</v>
      </c>
      <c r="C207" s="75" t="n">
        <v>62401000</v>
      </c>
      <c r="D207" s="75" t="inlineStr">
        <is>
          <t>도서인쇄비</t>
        </is>
      </c>
      <c r="E207" s="76" t="n">
        <v>13828000</v>
      </c>
      <c r="F207" s="76" t="n">
        <v>0</v>
      </c>
      <c r="G207" s="76" t="n">
        <v>166636000</v>
      </c>
      <c r="I207" s="9">
        <f>IF($A207="","",VALUE($A207&amp;"")*12+VALUE($B207&amp;""))</f>
        <v/>
      </c>
      <c r="J207" s="9">
        <f>IF($A207="","",$C207&amp;"")</f>
        <v/>
      </c>
      <c r="K207" s="77">
        <f>IF($A207="",0,($E207-$F207)*설정!$C$23)</f>
        <v/>
      </c>
    </row>
    <row r="208">
      <c r="A208" s="75" t="n">
        <v>2025</v>
      </c>
      <c r="B208" s="75" t="n">
        <v>12</v>
      </c>
      <c r="C208" s="75" t="n">
        <v>62501000</v>
      </c>
      <c r="D208" s="75" t="inlineStr">
        <is>
          <t>회의비</t>
        </is>
      </c>
      <c r="E208" s="76" t="n">
        <v>5524000</v>
      </c>
      <c r="F208" s="76" t="n">
        <v>0</v>
      </c>
      <c r="G208" s="76" t="n">
        <v>65333000</v>
      </c>
      <c r="I208" s="9">
        <f>IF($A208="","",VALUE($A208&amp;"")*12+VALUE($B208&amp;""))</f>
        <v/>
      </c>
      <c r="J208" s="9">
        <f>IF($A208="","",$C208&amp;"")</f>
        <v/>
      </c>
      <c r="K208" s="77">
        <f>IF($A208="",0,($E208-$F208)*설정!$C$23)</f>
        <v/>
      </c>
    </row>
    <row r="209">
      <c r="A209" s="75" t="n">
        <v>2025</v>
      </c>
      <c r="B209" s="75" t="n">
        <v>12</v>
      </c>
      <c r="C209" s="75" t="n">
        <v>62601000</v>
      </c>
      <c r="D209" s="75" t="inlineStr">
        <is>
          <t>업무추진비</t>
        </is>
      </c>
      <c r="E209" s="76" t="n">
        <v>10731000</v>
      </c>
      <c r="F209" s="76" t="n">
        <v>0</v>
      </c>
      <c r="G209" s="76" t="n">
        <v>126927000</v>
      </c>
      <c r="I209" s="9">
        <f>IF($A209="","",VALUE($A209&amp;"")*12+VALUE($B209&amp;""))</f>
        <v/>
      </c>
      <c r="J209" s="9">
        <f>IF($A209="","",$C209&amp;"")</f>
        <v/>
      </c>
      <c r="K209" s="77">
        <f>IF($A209="",0,($E209-$F209)*설정!$C$23)</f>
        <v/>
      </c>
    </row>
    <row r="210">
      <c r="A210" s="75" t="n">
        <v>2025</v>
      </c>
      <c r="B210" s="75" t="n">
        <v>12</v>
      </c>
      <c r="C210" s="75" t="n">
        <v>62701000</v>
      </c>
      <c r="D210" s="75" t="inlineStr">
        <is>
          <t>광고선전비</t>
        </is>
      </c>
      <c r="E210" s="76" t="n">
        <v>201400000</v>
      </c>
      <c r="F210" s="76" t="n">
        <v>0</v>
      </c>
      <c r="G210" s="76" t="n">
        <v>1971400000</v>
      </c>
      <c r="I210" s="9">
        <f>IF($A210="","",VALUE($A210&amp;"")*12+VALUE($B210&amp;""))</f>
        <v/>
      </c>
      <c r="J210" s="9">
        <f>IF($A210="","",$C210&amp;"")</f>
        <v/>
      </c>
      <c r="K210" s="77">
        <f>IF($A210="",0,($E210-$F210)*설정!$C$23)</f>
        <v/>
      </c>
    </row>
    <row r="211">
      <c r="A211" s="75" t="n">
        <v>2025</v>
      </c>
      <c r="B211" s="75" t="n">
        <v>12</v>
      </c>
      <c r="C211" s="75" t="n">
        <v>62801000</v>
      </c>
      <c r="D211" s="75" t="inlineStr">
        <is>
          <t>교육훈련비-사내</t>
        </is>
      </c>
      <c r="E211" s="76" t="n">
        <v>13589000</v>
      </c>
      <c r="F211" s="76" t="n">
        <v>0</v>
      </c>
      <c r="G211" s="76" t="n">
        <v>151867000</v>
      </c>
      <c r="I211" s="9">
        <f>IF($A211="","",VALUE($A211&amp;"")*12+VALUE($B211&amp;""))</f>
        <v/>
      </c>
      <c r="J211" s="9">
        <f>IF($A211="","",$C211&amp;"")</f>
        <v/>
      </c>
      <c r="K211" s="77">
        <f>IF($A211="",0,($E211-$F211)*설정!$C$23)</f>
        <v/>
      </c>
    </row>
    <row r="212">
      <c r="A212" s="75" t="n">
        <v>2025</v>
      </c>
      <c r="B212" s="75" t="n">
        <v>12</v>
      </c>
      <c r="C212" s="75" t="n">
        <v>62802000</v>
      </c>
      <c r="D212" s="75" t="inlineStr">
        <is>
          <t>교육훈련비-외부위탁</t>
        </is>
      </c>
      <c r="E212" s="76" t="n">
        <v>14775000</v>
      </c>
      <c r="F212" s="76" t="n">
        <v>0</v>
      </c>
      <c r="G212" s="76" t="n">
        <v>168647000</v>
      </c>
      <c r="I212" s="9">
        <f>IF($A212="","",VALUE($A212&amp;"")*12+VALUE($B212&amp;""))</f>
        <v/>
      </c>
      <c r="J212" s="9">
        <f>IF($A212="","",$C212&amp;"")</f>
        <v/>
      </c>
      <c r="K212" s="77">
        <f>IF($A212="",0,($E212-$F212)*설정!$C$23)</f>
        <v/>
      </c>
    </row>
    <row r="213">
      <c r="A213" s="75" t="n">
        <v>2025</v>
      </c>
      <c r="B213" s="75" t="n">
        <v>12</v>
      </c>
      <c r="C213" s="75" t="n">
        <v>62901000</v>
      </c>
      <c r="D213" s="75" t="inlineStr">
        <is>
          <t>지급수수료-컨설팅</t>
        </is>
      </c>
      <c r="E213" s="76" t="n">
        <v>79152000</v>
      </c>
      <c r="F213" s="76" t="n">
        <v>0</v>
      </c>
      <c r="G213" s="76" t="n">
        <v>947148000</v>
      </c>
      <c r="I213" s="9">
        <f>IF($A213="","",VALUE($A213&amp;"")*12+VALUE($B213&amp;""))</f>
        <v/>
      </c>
      <c r="J213" s="9">
        <f>IF($A213="","",$C213&amp;"")</f>
        <v/>
      </c>
      <c r="K213" s="77">
        <f>IF($A213="",0,($E213-$F213)*설정!$C$23)</f>
        <v/>
      </c>
    </row>
    <row r="214">
      <c r="A214" s="75" t="n">
        <v>2025</v>
      </c>
      <c r="B214" s="75" t="n">
        <v>12</v>
      </c>
      <c r="C214" s="75" t="n">
        <v>62902000</v>
      </c>
      <c r="D214" s="75" t="inlineStr">
        <is>
          <t>지급수수료-기타</t>
        </is>
      </c>
      <c r="E214" s="76" t="n">
        <v>42140000</v>
      </c>
      <c r="F214" s="76" t="n">
        <v>0</v>
      </c>
      <c r="G214" s="76" t="n">
        <v>497704000</v>
      </c>
      <c r="I214" s="9">
        <f>IF($A214="","",VALUE($A214&amp;"")*12+VALUE($B214&amp;""))</f>
        <v/>
      </c>
      <c r="J214" s="9">
        <f>IF($A214="","",$C214&amp;"")</f>
        <v/>
      </c>
      <c r="K214" s="77">
        <f>IF($A214="",0,($E214-$F214)*설정!$C$23)</f>
        <v/>
      </c>
    </row>
    <row r="215">
      <c r="A215" s="75" t="n">
        <v>2025</v>
      </c>
      <c r="B215" s="75" t="n">
        <v>12</v>
      </c>
      <c r="C215" s="75" t="n">
        <v>63001000</v>
      </c>
      <c r="D215" s="75" t="inlineStr">
        <is>
          <t>전산운영비-SW유지보수</t>
        </is>
      </c>
      <c r="E215" s="76" t="n">
        <v>81503000</v>
      </c>
      <c r="F215" s="76" t="n">
        <v>0</v>
      </c>
      <c r="G215" s="76" t="n">
        <v>1088283000</v>
      </c>
      <c r="I215" s="9">
        <f>IF($A215="","",VALUE($A215&amp;"")*12+VALUE($B215&amp;""))</f>
        <v/>
      </c>
      <c r="J215" s="9">
        <f>IF($A215="","",$C215&amp;"")</f>
        <v/>
      </c>
      <c r="K215" s="77">
        <f>IF($A215="",0,($E215-$F215)*설정!$C$23)</f>
        <v/>
      </c>
    </row>
    <row r="216">
      <c r="A216" s="75" t="n">
        <v>2025</v>
      </c>
      <c r="B216" s="75" t="n">
        <v>12</v>
      </c>
      <c r="C216" s="75" t="n">
        <v>63002000</v>
      </c>
      <c r="D216" s="75" t="inlineStr">
        <is>
          <t>전산운영비-클라우드</t>
        </is>
      </c>
      <c r="E216" s="76" t="n">
        <v>72000000</v>
      </c>
      <c r="F216" s="76" t="n">
        <v>0</v>
      </c>
      <c r="G216" s="76" t="n">
        <v>816000000</v>
      </c>
      <c r="I216" s="9">
        <f>IF($A216="","",VALUE($A216&amp;"")*12+VALUE($B216&amp;""))</f>
        <v/>
      </c>
      <c r="J216" s="9">
        <f>IF($A216="","",$C216&amp;"")</f>
        <v/>
      </c>
      <c r="K216" s="77">
        <f>IF($A216="",0,($E216-$F216)*설정!$C$23)</f>
        <v/>
      </c>
    </row>
    <row r="217">
      <c r="A217" s="75" t="n">
        <v>2025</v>
      </c>
      <c r="B217" s="75" t="n">
        <v>12</v>
      </c>
      <c r="C217" s="75" t="n">
        <v>63101000</v>
      </c>
      <c r="D217" s="75" t="inlineStr">
        <is>
          <t>임차료</t>
        </is>
      </c>
      <c r="E217" s="76" t="n">
        <v>16856000</v>
      </c>
      <c r="F217" s="76" t="n">
        <v>0</v>
      </c>
      <c r="G217" s="76" t="n">
        <v>188656000</v>
      </c>
      <c r="I217" s="9">
        <f>IF($A217="","",VALUE($A217&amp;"")*12+VALUE($B217&amp;""))</f>
        <v/>
      </c>
      <c r="J217" s="9">
        <f>IF($A217="","",$C217&amp;"")</f>
        <v/>
      </c>
      <c r="K217" s="77">
        <f>IF($A217="",0,($E217-$F217)*설정!$C$23)</f>
        <v/>
      </c>
    </row>
    <row r="218">
      <c r="A218" s="75" t="n">
        <v>2025</v>
      </c>
      <c r="B218" s="75" t="n">
        <v>12</v>
      </c>
      <c r="C218" s="75" t="n">
        <v>63201000</v>
      </c>
      <c r="D218" s="75" t="inlineStr">
        <is>
          <t>차량유지비</t>
        </is>
      </c>
      <c r="E218" s="76" t="n">
        <v>7356000</v>
      </c>
      <c r="F218" s="76" t="n">
        <v>0</v>
      </c>
      <c r="G218" s="76" t="n">
        <v>87535000</v>
      </c>
      <c r="I218" s="9">
        <f>IF($A218="","",VALUE($A218&amp;"")*12+VALUE($B218&amp;""))</f>
        <v/>
      </c>
      <c r="J218" s="9">
        <f>IF($A218="","",$C218&amp;"")</f>
        <v/>
      </c>
      <c r="K218" s="77">
        <f>IF($A218="",0,($E218-$F218)*설정!$C$23)</f>
        <v/>
      </c>
    </row>
    <row r="219">
      <c r="A219" s="75" t="n">
        <v>2025</v>
      </c>
      <c r="B219" s="75" t="n">
        <v>12</v>
      </c>
      <c r="C219" s="75" t="n">
        <v>61101000</v>
      </c>
      <c r="D219" s="75" t="inlineStr">
        <is>
          <t>급여</t>
        </is>
      </c>
      <c r="E219" s="76" t="n">
        <v>810732000</v>
      </c>
      <c r="F219" s="76" t="n">
        <v>0</v>
      </c>
      <c r="G219" s="76" t="n">
        <v>9547800000</v>
      </c>
      <c r="I219" s="9">
        <f>IF($A219="","",VALUE($A219&amp;"")*12+VALUE($B219&amp;""))</f>
        <v/>
      </c>
      <c r="J219" s="9">
        <f>IF($A219="","",$C219&amp;"")</f>
        <v/>
      </c>
      <c r="K219" s="77">
        <f>IF($A219="",0,($E219-$F219)*설정!$C$23)</f>
        <v/>
      </c>
    </row>
    <row r="220">
      <c r="A220" s="75" t="n">
        <v>2025</v>
      </c>
      <c r="B220" s="75" t="n">
        <v>12</v>
      </c>
      <c r="C220" s="75" t="n">
        <v>61201000</v>
      </c>
      <c r="D220" s="75" t="inlineStr">
        <is>
          <t>복리후생비</t>
        </is>
      </c>
      <c r="E220" s="76" t="n">
        <v>118149000</v>
      </c>
      <c r="F220" s="76" t="n">
        <v>0</v>
      </c>
      <c r="G220" s="76" t="n">
        <v>1428864000</v>
      </c>
      <c r="I220" s="9">
        <f>IF($A220="","",VALUE($A220&amp;"")*12+VALUE($B220&amp;""))</f>
        <v/>
      </c>
      <c r="J220" s="9">
        <f>IF($A220="","",$C220&amp;"")</f>
        <v/>
      </c>
      <c r="K220" s="77">
        <f>IF($A220="",0,($E220-$F220)*설정!$C$23)</f>
        <v/>
      </c>
    </row>
    <row r="221">
      <c r="A221" s="75" t="n">
        <v>2026</v>
      </c>
      <c r="B221" s="75" t="n">
        <v>1</v>
      </c>
      <c r="C221" s="75" t="n">
        <v>62101000</v>
      </c>
      <c r="D221" s="75" t="inlineStr">
        <is>
          <t>여비교통비-국내</t>
        </is>
      </c>
      <c r="E221" s="76" t="n">
        <v>16615000</v>
      </c>
      <c r="F221" s="76" t="n">
        <v>0</v>
      </c>
      <c r="G221" s="76" t="n">
        <v>16615000</v>
      </c>
      <c r="I221" s="9">
        <f>IF($A221="","",VALUE($A221&amp;"")*12+VALUE($B221&amp;""))</f>
        <v/>
      </c>
      <c r="J221" s="9">
        <f>IF($A221="","",$C221&amp;"")</f>
        <v/>
      </c>
      <c r="K221" s="77">
        <f>IF($A221="",0,($E221-$F221)*설정!$C$23)</f>
        <v/>
      </c>
    </row>
    <row r="222">
      <c r="A222" s="75" t="n">
        <v>2026</v>
      </c>
      <c r="B222" s="75" t="n">
        <v>1</v>
      </c>
      <c r="C222" s="75" t="n">
        <v>62102000</v>
      </c>
      <c r="D222" s="75" t="inlineStr">
        <is>
          <t>여비교통비-해외</t>
        </is>
      </c>
      <c r="E222" s="76" t="n">
        <v>2945000</v>
      </c>
      <c r="F222" s="76" t="n">
        <v>0</v>
      </c>
      <c r="G222" s="76" t="n">
        <v>2945000</v>
      </c>
      <c r="I222" s="9">
        <f>IF($A222="","",VALUE($A222&amp;"")*12+VALUE($B222&amp;""))</f>
        <v/>
      </c>
      <c r="J222" s="9">
        <f>IF($A222="","",$C222&amp;"")</f>
        <v/>
      </c>
      <c r="K222" s="77">
        <f>IF($A222="",0,($E222-$F222)*설정!$C$23)</f>
        <v/>
      </c>
    </row>
    <row r="223">
      <c r="A223" s="75" t="n">
        <v>2026</v>
      </c>
      <c r="B223" s="75" t="n">
        <v>1</v>
      </c>
      <c r="C223" s="75" t="n">
        <v>62201000</v>
      </c>
      <c r="D223" s="75" t="inlineStr">
        <is>
          <t>통신비</t>
        </is>
      </c>
      <c r="E223" s="76" t="n">
        <v>35358000</v>
      </c>
      <c r="F223" s="76" t="n">
        <v>0</v>
      </c>
      <c r="G223" s="76" t="n">
        <v>35358000</v>
      </c>
      <c r="I223" s="9">
        <f>IF($A223="","",VALUE($A223&amp;"")*12+VALUE($B223&amp;""))</f>
        <v/>
      </c>
      <c r="J223" s="9">
        <f>IF($A223="","",$C223&amp;"")</f>
        <v/>
      </c>
      <c r="K223" s="77">
        <f>IF($A223="",0,($E223-$F223)*설정!$C$23)</f>
        <v/>
      </c>
    </row>
    <row r="224">
      <c r="A224" s="75" t="n">
        <v>2026</v>
      </c>
      <c r="B224" s="75" t="n">
        <v>1</v>
      </c>
      <c r="C224" s="75" t="n">
        <v>62301000</v>
      </c>
      <c r="D224" s="75" t="inlineStr">
        <is>
          <t>소모품비</t>
        </is>
      </c>
      <c r="E224" s="76" t="n">
        <v>5527000</v>
      </c>
      <c r="F224" s="76" t="n">
        <v>0</v>
      </c>
      <c r="G224" s="76" t="n">
        <v>5527000</v>
      </c>
      <c r="I224" s="9">
        <f>IF($A224="","",VALUE($A224&amp;"")*12+VALUE($B224&amp;""))</f>
        <v/>
      </c>
      <c r="J224" s="9">
        <f>IF($A224="","",$C224&amp;"")</f>
        <v/>
      </c>
      <c r="K224" s="77">
        <f>IF($A224="",0,($E224-$F224)*설정!$C$23)</f>
        <v/>
      </c>
    </row>
    <row r="225">
      <c r="A225" s="75" t="n">
        <v>2026</v>
      </c>
      <c r="B225" s="75" t="n">
        <v>1</v>
      </c>
      <c r="C225" s="75" t="n">
        <v>62401000</v>
      </c>
      <c r="D225" s="75" t="inlineStr">
        <is>
          <t>도서인쇄비</t>
        </is>
      </c>
      <c r="E225" s="76" t="n">
        <v>13934000</v>
      </c>
      <c r="F225" s="76" t="n">
        <v>0</v>
      </c>
      <c r="G225" s="76" t="n">
        <v>13934000</v>
      </c>
      <c r="I225" s="9">
        <f>IF($A225="","",VALUE($A225&amp;"")*12+VALUE($B225&amp;""))</f>
        <v/>
      </c>
      <c r="J225" s="9">
        <f>IF($A225="","",$C225&amp;"")</f>
        <v/>
      </c>
      <c r="K225" s="77">
        <f>IF($A225="",0,($E225-$F225)*설정!$C$23)</f>
        <v/>
      </c>
    </row>
    <row r="226">
      <c r="A226" s="75" t="n">
        <v>2026</v>
      </c>
      <c r="B226" s="75" t="n">
        <v>1</v>
      </c>
      <c r="C226" s="75" t="n">
        <v>62501000</v>
      </c>
      <c r="D226" s="75" t="inlineStr">
        <is>
          <t>회의비</t>
        </is>
      </c>
      <c r="E226" s="76" t="n">
        <v>5788000</v>
      </c>
      <c r="F226" s="76" t="n">
        <v>0</v>
      </c>
      <c r="G226" s="76" t="n">
        <v>5788000</v>
      </c>
      <c r="I226" s="9">
        <f>IF($A226="","",VALUE($A226&amp;"")*12+VALUE($B226&amp;""))</f>
        <v/>
      </c>
      <c r="J226" s="9">
        <f>IF($A226="","",$C226&amp;"")</f>
        <v/>
      </c>
      <c r="K226" s="77">
        <f>IF($A226="",0,($E226-$F226)*설정!$C$23)</f>
        <v/>
      </c>
    </row>
    <row r="227">
      <c r="A227" s="75" t="n">
        <v>2026</v>
      </c>
      <c r="B227" s="75" t="n">
        <v>1</v>
      </c>
      <c r="C227" s="75" t="n">
        <v>62601000</v>
      </c>
      <c r="D227" s="75" t="inlineStr">
        <is>
          <t>업무추진비</t>
        </is>
      </c>
      <c r="E227" s="76" t="n">
        <v>11139000</v>
      </c>
      <c r="F227" s="76" t="n">
        <v>0</v>
      </c>
      <c r="G227" s="76" t="n">
        <v>11139000</v>
      </c>
      <c r="I227" s="9">
        <f>IF($A227="","",VALUE($A227&amp;"")*12+VALUE($B227&amp;""))</f>
        <v/>
      </c>
      <c r="J227" s="9">
        <f>IF($A227="","",$C227&amp;"")</f>
        <v/>
      </c>
      <c r="K227" s="77">
        <f>IF($A227="",0,($E227-$F227)*설정!$C$23)</f>
        <v/>
      </c>
    </row>
    <row r="228">
      <c r="A228" s="75" t="n">
        <v>2026</v>
      </c>
      <c r="B228" s="75" t="n">
        <v>1</v>
      </c>
      <c r="C228" s="75" t="n">
        <v>62701000</v>
      </c>
      <c r="D228" s="75" t="inlineStr">
        <is>
          <t>광고선전비</t>
        </is>
      </c>
      <c r="E228" s="76" t="n">
        <v>190000000</v>
      </c>
      <c r="F228" s="76" t="n">
        <v>0</v>
      </c>
      <c r="G228" s="76" t="n">
        <v>190000000</v>
      </c>
      <c r="I228" s="9">
        <f>IF($A228="","",VALUE($A228&amp;"")*12+VALUE($B228&amp;""))</f>
        <v/>
      </c>
      <c r="J228" s="9">
        <f>IF($A228="","",$C228&amp;"")</f>
        <v/>
      </c>
      <c r="K228" s="77">
        <f>IF($A228="",0,($E228-$F228)*설정!$C$23)</f>
        <v/>
      </c>
    </row>
    <row r="229">
      <c r="A229" s="75" t="n">
        <v>2026</v>
      </c>
      <c r="B229" s="75" t="n">
        <v>1</v>
      </c>
      <c r="C229" s="75" t="n">
        <v>62801000</v>
      </c>
      <c r="D229" s="75" t="inlineStr">
        <is>
          <t>교육훈련비-사내</t>
        </is>
      </c>
      <c r="E229" s="76" t="n">
        <v>13372000</v>
      </c>
      <c r="F229" s="76" t="n">
        <v>0</v>
      </c>
      <c r="G229" s="76" t="n">
        <v>13372000</v>
      </c>
      <c r="I229" s="9">
        <f>IF($A229="","",VALUE($A229&amp;"")*12+VALUE($B229&amp;""))</f>
        <v/>
      </c>
      <c r="J229" s="9">
        <f>IF($A229="","",$C229&amp;"")</f>
        <v/>
      </c>
      <c r="K229" s="77">
        <f>IF($A229="",0,($E229-$F229)*설정!$C$23)</f>
        <v/>
      </c>
    </row>
    <row r="230">
      <c r="A230" s="75" t="n">
        <v>2026</v>
      </c>
      <c r="B230" s="75" t="n">
        <v>1</v>
      </c>
      <c r="C230" s="75" t="n">
        <v>62802000</v>
      </c>
      <c r="D230" s="75" t="inlineStr">
        <is>
          <t>교육훈련비-외부위탁</t>
        </is>
      </c>
      <c r="E230" s="76" t="n">
        <v>10807000</v>
      </c>
      <c r="F230" s="76" t="n">
        <v>0</v>
      </c>
      <c r="G230" s="76" t="n">
        <v>10807000</v>
      </c>
      <c r="I230" s="9">
        <f>IF($A230="","",VALUE($A230&amp;"")*12+VALUE($B230&amp;""))</f>
        <v/>
      </c>
      <c r="J230" s="9">
        <f>IF($A230="","",$C230&amp;"")</f>
        <v/>
      </c>
      <c r="K230" s="77">
        <f>IF($A230="",0,($E230-$F230)*설정!$C$23)</f>
        <v/>
      </c>
    </row>
    <row r="231">
      <c r="A231" s="75" t="n">
        <v>2026</v>
      </c>
      <c r="B231" s="75" t="n">
        <v>1</v>
      </c>
      <c r="C231" s="75" t="n">
        <v>62901000</v>
      </c>
      <c r="D231" s="75" t="inlineStr">
        <is>
          <t>지급수수료-컨설팅</t>
        </is>
      </c>
      <c r="E231" s="76" t="n">
        <v>78329000</v>
      </c>
      <c r="F231" s="76" t="n">
        <v>0</v>
      </c>
      <c r="G231" s="76" t="n">
        <v>78329000</v>
      </c>
      <c r="I231" s="9">
        <f>IF($A231="","",VALUE($A231&amp;"")*12+VALUE($B231&amp;""))</f>
        <v/>
      </c>
      <c r="J231" s="9">
        <f>IF($A231="","",$C231&amp;"")</f>
        <v/>
      </c>
      <c r="K231" s="77">
        <f>IF($A231="",0,($E231-$F231)*설정!$C$23)</f>
        <v/>
      </c>
    </row>
    <row r="232">
      <c r="A232" s="75" t="n">
        <v>2026</v>
      </c>
      <c r="B232" s="75" t="n">
        <v>1</v>
      </c>
      <c r="C232" s="75" t="n">
        <v>62902000</v>
      </c>
      <c r="D232" s="75" t="inlineStr">
        <is>
          <t>지급수수료-기타</t>
        </is>
      </c>
      <c r="E232" s="76" t="n">
        <v>45078000</v>
      </c>
      <c r="F232" s="76" t="n">
        <v>0</v>
      </c>
      <c r="G232" s="76" t="n">
        <v>45078000</v>
      </c>
      <c r="I232" s="9">
        <f>IF($A232="","",VALUE($A232&amp;"")*12+VALUE($B232&amp;""))</f>
        <v/>
      </c>
      <c r="J232" s="9">
        <f>IF($A232="","",$C232&amp;"")</f>
        <v/>
      </c>
      <c r="K232" s="77">
        <f>IF($A232="",0,($E232-$F232)*설정!$C$23)</f>
        <v/>
      </c>
    </row>
    <row r="233">
      <c r="A233" s="75" t="n">
        <v>2026</v>
      </c>
      <c r="B233" s="75" t="n">
        <v>1</v>
      </c>
      <c r="C233" s="75" t="n">
        <v>63001000</v>
      </c>
      <c r="D233" s="75" t="inlineStr">
        <is>
          <t>전산운영비-SW유지보수</t>
        </is>
      </c>
      <c r="E233" s="76" t="n">
        <v>99935000</v>
      </c>
      <c r="F233" s="76" t="n">
        <v>0</v>
      </c>
      <c r="G233" s="76" t="n">
        <v>99935000</v>
      </c>
      <c r="I233" s="9">
        <f>IF($A233="","",VALUE($A233&amp;"")*12+VALUE($B233&amp;""))</f>
        <v/>
      </c>
      <c r="J233" s="9">
        <f>IF($A233="","",$C233&amp;"")</f>
        <v/>
      </c>
      <c r="K233" s="77">
        <f>IF($A233="",0,($E233-$F233)*설정!$C$23)</f>
        <v/>
      </c>
    </row>
    <row r="234">
      <c r="A234" s="75" t="n">
        <v>2026</v>
      </c>
      <c r="B234" s="75" t="n">
        <v>1</v>
      </c>
      <c r="C234" s="75" t="n">
        <v>63002000</v>
      </c>
      <c r="D234" s="75" t="inlineStr">
        <is>
          <t>전산운영비-클라우드</t>
        </is>
      </c>
      <c r="E234" s="76" t="n">
        <v>78000000</v>
      </c>
      <c r="F234" s="76" t="n">
        <v>0</v>
      </c>
      <c r="G234" s="76" t="n">
        <v>78000000</v>
      </c>
      <c r="I234" s="9">
        <f>IF($A234="","",VALUE($A234&amp;"")*12+VALUE($B234&amp;""))</f>
        <v/>
      </c>
      <c r="J234" s="9">
        <f>IF($A234="","",$C234&amp;"")</f>
        <v/>
      </c>
      <c r="K234" s="77">
        <f>IF($A234="",0,($E234-$F234)*설정!$C$23)</f>
        <v/>
      </c>
    </row>
    <row r="235">
      <c r="A235" s="75" t="n">
        <v>2026</v>
      </c>
      <c r="B235" s="75" t="n">
        <v>1</v>
      </c>
      <c r="C235" s="75" t="n">
        <v>63101000</v>
      </c>
      <c r="D235" s="75" t="inlineStr">
        <is>
          <t>임차료</t>
        </is>
      </c>
      <c r="E235" s="76" t="n">
        <v>17551000</v>
      </c>
      <c r="F235" s="76" t="n">
        <v>0</v>
      </c>
      <c r="G235" s="76" t="n">
        <v>17551000</v>
      </c>
      <c r="I235" s="9">
        <f>IF($A235="","",VALUE($A235&amp;"")*12+VALUE($B235&amp;""))</f>
        <v/>
      </c>
      <c r="J235" s="9">
        <f>IF($A235="","",$C235&amp;"")</f>
        <v/>
      </c>
      <c r="K235" s="77">
        <f>IF($A235="",0,($E235-$F235)*설정!$C$23)</f>
        <v/>
      </c>
    </row>
    <row r="236">
      <c r="A236" s="75" t="n">
        <v>2026</v>
      </c>
      <c r="B236" s="75" t="n">
        <v>1</v>
      </c>
      <c r="C236" s="75" t="n">
        <v>63201000</v>
      </c>
      <c r="D236" s="75" t="inlineStr">
        <is>
          <t>차량유지비</t>
        </is>
      </c>
      <c r="E236" s="76" t="n">
        <v>8257000</v>
      </c>
      <c r="F236" s="76" t="n">
        <v>0</v>
      </c>
      <c r="G236" s="76" t="n">
        <v>8257000</v>
      </c>
      <c r="I236" s="9">
        <f>IF($A236="","",VALUE($A236&amp;"")*12+VALUE($B236&amp;""))</f>
        <v/>
      </c>
      <c r="J236" s="9">
        <f>IF($A236="","",$C236&amp;"")</f>
        <v/>
      </c>
      <c r="K236" s="77">
        <f>IF($A236="",0,($E236-$F236)*설정!$C$23)</f>
        <v/>
      </c>
    </row>
    <row r="237">
      <c r="A237" s="75" t="n">
        <v>2026</v>
      </c>
      <c r="B237" s="75" t="n">
        <v>1</v>
      </c>
      <c r="C237" s="75" t="n">
        <v>61101000</v>
      </c>
      <c r="D237" s="75" t="inlineStr">
        <is>
          <t>급여</t>
        </is>
      </c>
      <c r="E237" s="76" t="n">
        <v>818796000</v>
      </c>
      <c r="F237" s="76" t="n">
        <v>0</v>
      </c>
      <c r="G237" s="76" t="n">
        <v>818796000</v>
      </c>
      <c r="I237" s="9">
        <f>IF($A237="","",VALUE($A237&amp;"")*12+VALUE($B237&amp;""))</f>
        <v/>
      </c>
      <c r="J237" s="9">
        <f>IF($A237="","",$C237&amp;"")</f>
        <v/>
      </c>
      <c r="K237" s="77">
        <f>IF($A237="",0,($E237-$F237)*설정!$C$23)</f>
        <v/>
      </c>
    </row>
    <row r="238">
      <c r="A238" s="75" t="n">
        <v>2026</v>
      </c>
      <c r="B238" s="75" t="n">
        <v>1</v>
      </c>
      <c r="C238" s="75" t="n">
        <v>61201000</v>
      </c>
      <c r="D238" s="75" t="inlineStr">
        <is>
          <t>복리후생비</t>
        </is>
      </c>
      <c r="E238" s="76" t="n">
        <v>123498000</v>
      </c>
      <c r="F238" s="76" t="n">
        <v>0</v>
      </c>
      <c r="G238" s="76" t="n">
        <v>123498000</v>
      </c>
      <c r="I238" s="9">
        <f>IF($A238="","",VALUE($A238&amp;"")*12+VALUE($B238&amp;""))</f>
        <v/>
      </c>
      <c r="J238" s="9">
        <f>IF($A238="","",$C238&amp;"")</f>
        <v/>
      </c>
      <c r="K238" s="77">
        <f>IF($A238="",0,($E238-$F238)*설정!$C$23)</f>
        <v/>
      </c>
    </row>
    <row r="239">
      <c r="A239" s="75" t="n">
        <v>2026</v>
      </c>
      <c r="B239" s="75" t="n">
        <v>2</v>
      </c>
      <c r="C239" s="75" t="n">
        <v>62101000</v>
      </c>
      <c r="D239" s="75" t="inlineStr">
        <is>
          <t>여비교통비-국내</t>
        </is>
      </c>
      <c r="E239" s="76" t="n">
        <v>17374000</v>
      </c>
      <c r="F239" s="76" t="n">
        <v>0</v>
      </c>
      <c r="G239" s="76" t="n">
        <v>33989000</v>
      </c>
      <c r="I239" s="9">
        <f>IF($A239="","",VALUE($A239&amp;"")*12+VALUE($B239&amp;""))</f>
        <v/>
      </c>
      <c r="J239" s="9">
        <f>IF($A239="","",$C239&amp;"")</f>
        <v/>
      </c>
      <c r="K239" s="77">
        <f>IF($A239="",0,($E239-$F239)*설정!$C$23)</f>
        <v/>
      </c>
    </row>
    <row r="240">
      <c r="A240" s="75" t="n">
        <v>2026</v>
      </c>
      <c r="B240" s="75" t="n">
        <v>2</v>
      </c>
      <c r="C240" s="75" t="n">
        <v>62102000</v>
      </c>
      <c r="D240" s="75" t="inlineStr">
        <is>
          <t>여비교통비-해외</t>
        </is>
      </c>
      <c r="E240" s="76" t="n">
        <v>2957000</v>
      </c>
      <c r="F240" s="76" t="n">
        <v>0</v>
      </c>
      <c r="G240" s="76" t="n">
        <v>5902000</v>
      </c>
      <c r="I240" s="9">
        <f>IF($A240="","",VALUE($A240&amp;"")*12+VALUE($B240&amp;""))</f>
        <v/>
      </c>
      <c r="J240" s="9">
        <f>IF($A240="","",$C240&amp;"")</f>
        <v/>
      </c>
      <c r="K240" s="77">
        <f>IF($A240="",0,($E240-$F240)*설정!$C$23)</f>
        <v/>
      </c>
    </row>
    <row r="241">
      <c r="A241" s="75" t="n">
        <v>2026</v>
      </c>
      <c r="B241" s="75" t="n">
        <v>2</v>
      </c>
      <c r="C241" s="75" t="n">
        <v>62201000</v>
      </c>
      <c r="D241" s="75" t="inlineStr">
        <is>
          <t>통신비</t>
        </is>
      </c>
      <c r="E241" s="76" t="n">
        <v>35126000</v>
      </c>
      <c r="F241" s="76" t="n">
        <v>0</v>
      </c>
      <c r="G241" s="76" t="n">
        <v>70484000</v>
      </c>
      <c r="I241" s="9">
        <f>IF($A241="","",VALUE($A241&amp;"")*12+VALUE($B241&amp;""))</f>
        <v/>
      </c>
      <c r="J241" s="9">
        <f>IF($A241="","",$C241&amp;"")</f>
        <v/>
      </c>
      <c r="K241" s="77">
        <f>IF($A241="",0,($E241-$F241)*설정!$C$23)</f>
        <v/>
      </c>
    </row>
    <row r="242">
      <c r="A242" s="75" t="n">
        <v>2026</v>
      </c>
      <c r="B242" s="75" t="n">
        <v>2</v>
      </c>
      <c r="C242" s="75" t="n">
        <v>62301000</v>
      </c>
      <c r="D242" s="75" t="inlineStr">
        <is>
          <t>소모품비</t>
        </is>
      </c>
      <c r="E242" s="76" t="n">
        <v>5914000</v>
      </c>
      <c r="F242" s="76" t="n">
        <v>0</v>
      </c>
      <c r="G242" s="76" t="n">
        <v>11441000</v>
      </c>
      <c r="I242" s="9">
        <f>IF($A242="","",VALUE($A242&amp;"")*12+VALUE($B242&amp;""))</f>
        <v/>
      </c>
      <c r="J242" s="9">
        <f>IF($A242="","",$C242&amp;"")</f>
        <v/>
      </c>
      <c r="K242" s="77">
        <f>IF($A242="",0,($E242-$F242)*설정!$C$23)</f>
        <v/>
      </c>
    </row>
    <row r="243">
      <c r="A243" s="75" t="n">
        <v>2026</v>
      </c>
      <c r="B243" s="75" t="n">
        <v>2</v>
      </c>
      <c r="C243" s="75" t="n">
        <v>62401000</v>
      </c>
      <c r="D243" s="75" t="inlineStr">
        <is>
          <t>도서인쇄비</t>
        </is>
      </c>
      <c r="E243" s="76" t="n">
        <v>12191000</v>
      </c>
      <c r="F243" s="76" t="n">
        <v>0</v>
      </c>
      <c r="G243" s="76" t="n">
        <v>26125000</v>
      </c>
      <c r="I243" s="9">
        <f>IF($A243="","",VALUE($A243&amp;"")*12+VALUE($B243&amp;""))</f>
        <v/>
      </c>
      <c r="J243" s="9">
        <f>IF($A243="","",$C243&amp;"")</f>
        <v/>
      </c>
      <c r="K243" s="77">
        <f>IF($A243="",0,($E243-$F243)*설정!$C$23)</f>
        <v/>
      </c>
    </row>
    <row r="244">
      <c r="A244" s="75" t="n">
        <v>2026</v>
      </c>
      <c r="B244" s="75" t="n">
        <v>2</v>
      </c>
      <c r="C244" s="75" t="n">
        <v>62501000</v>
      </c>
      <c r="D244" s="75" t="inlineStr">
        <is>
          <t>회의비</t>
        </is>
      </c>
      <c r="E244" s="76" t="n">
        <v>5315000</v>
      </c>
      <c r="F244" s="76" t="n">
        <v>0</v>
      </c>
      <c r="G244" s="76" t="n">
        <v>11103000</v>
      </c>
      <c r="I244" s="9">
        <f>IF($A244="","",VALUE($A244&amp;"")*12+VALUE($B244&amp;""))</f>
        <v/>
      </c>
      <c r="J244" s="9">
        <f>IF($A244="","",$C244&amp;"")</f>
        <v/>
      </c>
      <c r="K244" s="77">
        <f>IF($A244="",0,($E244-$F244)*설정!$C$23)</f>
        <v/>
      </c>
    </row>
    <row r="245">
      <c r="A245" s="75" t="n">
        <v>2026</v>
      </c>
      <c r="B245" s="75" t="n">
        <v>2</v>
      </c>
      <c r="C245" s="75" t="n">
        <v>62601000</v>
      </c>
      <c r="D245" s="75" t="inlineStr">
        <is>
          <t>업무추진비</t>
        </is>
      </c>
      <c r="E245" s="76" t="n">
        <v>10793000</v>
      </c>
      <c r="F245" s="76" t="n">
        <v>0</v>
      </c>
      <c r="G245" s="76" t="n">
        <v>21932000</v>
      </c>
      <c r="I245" s="9">
        <f>IF($A245="","",VALUE($A245&amp;"")*12+VALUE($B245&amp;""))</f>
        <v/>
      </c>
      <c r="J245" s="9">
        <f>IF($A245="","",$C245&amp;"")</f>
        <v/>
      </c>
      <c r="K245" s="77">
        <f>IF($A245="",0,($E245-$F245)*설정!$C$23)</f>
        <v/>
      </c>
    </row>
    <row r="246">
      <c r="A246" s="75" t="n">
        <v>2026</v>
      </c>
      <c r="B246" s="75" t="n">
        <v>2</v>
      </c>
      <c r="C246" s="75" t="n">
        <v>62701000</v>
      </c>
      <c r="D246" s="75" t="inlineStr">
        <is>
          <t>광고선전비</t>
        </is>
      </c>
      <c r="E246" s="76" t="n">
        <v>190000000</v>
      </c>
      <c r="F246" s="76" t="n">
        <v>0</v>
      </c>
      <c r="G246" s="76" t="n">
        <v>380000000</v>
      </c>
      <c r="I246" s="9">
        <f>IF($A246="","",VALUE($A246&amp;"")*12+VALUE($B246&amp;""))</f>
        <v/>
      </c>
      <c r="J246" s="9">
        <f>IF($A246="","",$C246&amp;"")</f>
        <v/>
      </c>
      <c r="K246" s="77">
        <f>IF($A246="",0,($E246-$F246)*설정!$C$23)</f>
        <v/>
      </c>
    </row>
    <row r="247">
      <c r="A247" s="75" t="n">
        <v>2026</v>
      </c>
      <c r="B247" s="75" t="n">
        <v>2</v>
      </c>
      <c r="C247" s="75" t="n">
        <v>62801000</v>
      </c>
      <c r="D247" s="75" t="inlineStr">
        <is>
          <t>교육훈련비-사내</t>
        </is>
      </c>
      <c r="E247" s="76" t="n">
        <v>14375000</v>
      </c>
      <c r="F247" s="76" t="n">
        <v>0</v>
      </c>
      <c r="G247" s="76" t="n">
        <v>27747000</v>
      </c>
      <c r="I247" s="9">
        <f>IF($A247="","",VALUE($A247&amp;"")*12+VALUE($B247&amp;""))</f>
        <v/>
      </c>
      <c r="J247" s="9">
        <f>IF($A247="","",$C247&amp;"")</f>
        <v/>
      </c>
      <c r="K247" s="77">
        <f>IF($A247="",0,($E247-$F247)*설정!$C$23)</f>
        <v/>
      </c>
    </row>
    <row r="248">
      <c r="A248" s="75" t="n">
        <v>2026</v>
      </c>
      <c r="B248" s="75" t="n">
        <v>2</v>
      </c>
      <c r="C248" s="75" t="n">
        <v>62802000</v>
      </c>
      <c r="D248" s="75" t="inlineStr">
        <is>
          <t>교육훈련비-외부위탁</t>
        </is>
      </c>
      <c r="E248" s="76" t="n">
        <v>11364000</v>
      </c>
      <c r="F248" s="76" t="n">
        <v>0</v>
      </c>
      <c r="G248" s="76" t="n">
        <v>22171000</v>
      </c>
      <c r="I248" s="9">
        <f>IF($A248="","",VALUE($A248&amp;"")*12+VALUE($B248&amp;""))</f>
        <v/>
      </c>
      <c r="J248" s="9">
        <f>IF($A248="","",$C248&amp;"")</f>
        <v/>
      </c>
      <c r="K248" s="77">
        <f>IF($A248="",0,($E248-$F248)*설정!$C$23)</f>
        <v/>
      </c>
    </row>
    <row r="249">
      <c r="A249" s="75" t="n">
        <v>2026</v>
      </c>
      <c r="B249" s="75" t="n">
        <v>2</v>
      </c>
      <c r="C249" s="75" t="n">
        <v>62901000</v>
      </c>
      <c r="D249" s="75" t="inlineStr">
        <is>
          <t>지급수수료-컨설팅</t>
        </is>
      </c>
      <c r="E249" s="76" t="n">
        <v>83243000</v>
      </c>
      <c r="F249" s="76" t="n">
        <v>0</v>
      </c>
      <c r="G249" s="76" t="n">
        <v>161572000</v>
      </c>
      <c r="I249" s="9">
        <f>IF($A249="","",VALUE($A249&amp;"")*12+VALUE($B249&amp;""))</f>
        <v/>
      </c>
      <c r="J249" s="9">
        <f>IF($A249="","",$C249&amp;"")</f>
        <v/>
      </c>
      <c r="K249" s="77">
        <f>IF($A249="",0,($E249-$F249)*설정!$C$23)</f>
        <v/>
      </c>
    </row>
    <row r="250">
      <c r="A250" s="75" t="n">
        <v>2026</v>
      </c>
      <c r="B250" s="75" t="n">
        <v>2</v>
      </c>
      <c r="C250" s="75" t="n">
        <v>62902000</v>
      </c>
      <c r="D250" s="75" t="inlineStr">
        <is>
          <t>지급수수료-기타</t>
        </is>
      </c>
      <c r="E250" s="76" t="n">
        <v>45266000</v>
      </c>
      <c r="F250" s="76" t="n">
        <v>0</v>
      </c>
      <c r="G250" s="76" t="n">
        <v>90344000</v>
      </c>
      <c r="I250" s="9">
        <f>IF($A250="","",VALUE($A250&amp;"")*12+VALUE($B250&amp;""))</f>
        <v/>
      </c>
      <c r="J250" s="9">
        <f>IF($A250="","",$C250&amp;"")</f>
        <v/>
      </c>
      <c r="K250" s="77">
        <f>IF($A250="",0,($E250-$F250)*설정!$C$23)</f>
        <v/>
      </c>
    </row>
    <row r="251">
      <c r="A251" s="75" t="n">
        <v>2026</v>
      </c>
      <c r="B251" s="75" t="n">
        <v>2</v>
      </c>
      <c r="C251" s="75" t="n">
        <v>63001000</v>
      </c>
      <c r="D251" s="75" t="inlineStr">
        <is>
          <t>전산운영비-SW유지보수</t>
        </is>
      </c>
      <c r="E251" s="76" t="n">
        <v>91550000</v>
      </c>
      <c r="F251" s="76" t="n">
        <v>0</v>
      </c>
      <c r="G251" s="76" t="n">
        <v>191485000</v>
      </c>
      <c r="I251" s="9">
        <f>IF($A251="","",VALUE($A251&amp;"")*12+VALUE($B251&amp;""))</f>
        <v/>
      </c>
      <c r="J251" s="9">
        <f>IF($A251="","",$C251&amp;"")</f>
        <v/>
      </c>
      <c r="K251" s="77">
        <f>IF($A251="",0,($E251-$F251)*설정!$C$23)</f>
        <v/>
      </c>
    </row>
    <row r="252">
      <c r="A252" s="75" t="n">
        <v>2026</v>
      </c>
      <c r="B252" s="75" t="n">
        <v>2</v>
      </c>
      <c r="C252" s="75" t="n">
        <v>63002000</v>
      </c>
      <c r="D252" s="75" t="inlineStr">
        <is>
          <t>전산운영비-클라우드</t>
        </is>
      </c>
      <c r="E252" s="76" t="n">
        <v>79000000</v>
      </c>
      <c r="F252" s="76" t="n">
        <v>0</v>
      </c>
      <c r="G252" s="76" t="n">
        <v>157000000</v>
      </c>
      <c r="I252" s="9">
        <f>IF($A252="","",VALUE($A252&amp;"")*12+VALUE($B252&amp;""))</f>
        <v/>
      </c>
      <c r="J252" s="9">
        <f>IF($A252="","",$C252&amp;"")</f>
        <v/>
      </c>
      <c r="K252" s="77">
        <f>IF($A252="",0,($E252-$F252)*설정!$C$23)</f>
        <v/>
      </c>
    </row>
    <row r="253">
      <c r="A253" s="75" t="n">
        <v>2026</v>
      </c>
      <c r="B253" s="75" t="n">
        <v>2</v>
      </c>
      <c r="C253" s="75" t="n">
        <v>63101000</v>
      </c>
      <c r="D253" s="75" t="inlineStr">
        <is>
          <t>임차료</t>
        </is>
      </c>
      <c r="E253" s="76" t="n">
        <v>14146000</v>
      </c>
      <c r="F253" s="76" t="n">
        <v>0</v>
      </c>
      <c r="G253" s="76" t="n">
        <v>31697000</v>
      </c>
      <c r="I253" s="9">
        <f>IF($A253="","",VALUE($A253&amp;"")*12+VALUE($B253&amp;""))</f>
        <v/>
      </c>
      <c r="J253" s="9">
        <f>IF($A253="","",$C253&amp;"")</f>
        <v/>
      </c>
      <c r="K253" s="77">
        <f>IF($A253="",0,($E253-$F253)*설정!$C$23)</f>
        <v/>
      </c>
    </row>
    <row r="254">
      <c r="A254" s="75" t="n">
        <v>2026</v>
      </c>
      <c r="B254" s="75" t="n">
        <v>2</v>
      </c>
      <c r="C254" s="75" t="n">
        <v>63201000</v>
      </c>
      <c r="D254" s="75" t="inlineStr">
        <is>
          <t>차량유지비</t>
        </is>
      </c>
      <c r="E254" s="76" t="n">
        <v>7693000</v>
      </c>
      <c r="F254" s="76" t="n">
        <v>0</v>
      </c>
      <c r="G254" s="76" t="n">
        <v>15950000</v>
      </c>
      <c r="I254" s="9">
        <f>IF($A254="","",VALUE($A254&amp;"")*12+VALUE($B254&amp;""))</f>
        <v/>
      </c>
      <c r="J254" s="9">
        <f>IF($A254="","",$C254&amp;"")</f>
        <v/>
      </c>
      <c r="K254" s="77">
        <f>IF($A254="",0,($E254-$F254)*설정!$C$23)</f>
        <v/>
      </c>
    </row>
    <row r="255">
      <c r="A255" s="75" t="n">
        <v>2026</v>
      </c>
      <c r="B255" s="75" t="n">
        <v>2</v>
      </c>
      <c r="C255" s="75" t="n">
        <v>61101000</v>
      </c>
      <c r="D255" s="75" t="inlineStr">
        <is>
          <t>급여</t>
        </is>
      </c>
      <c r="E255" s="76" t="n">
        <v>790109000</v>
      </c>
      <c r="F255" s="76" t="n">
        <v>0</v>
      </c>
      <c r="G255" s="76" t="n">
        <v>1608905000</v>
      </c>
      <c r="I255" s="9">
        <f>IF($A255="","",VALUE($A255&amp;"")*12+VALUE($B255&amp;""))</f>
        <v/>
      </c>
      <c r="J255" s="9">
        <f>IF($A255="","",$C255&amp;"")</f>
        <v/>
      </c>
      <c r="K255" s="77">
        <f>IF($A255="",0,($E255-$F255)*설정!$C$23)</f>
        <v/>
      </c>
    </row>
    <row r="256">
      <c r="A256" s="75" t="n">
        <v>2026</v>
      </c>
      <c r="B256" s="75" t="n">
        <v>2</v>
      </c>
      <c r="C256" s="75" t="n">
        <v>61201000</v>
      </c>
      <c r="D256" s="75" t="inlineStr">
        <is>
          <t>복리후생비</t>
        </is>
      </c>
      <c r="E256" s="76" t="n">
        <v>117525000</v>
      </c>
      <c r="F256" s="76" t="n">
        <v>0</v>
      </c>
      <c r="G256" s="76" t="n">
        <v>241023000</v>
      </c>
      <c r="I256" s="9">
        <f>IF($A256="","",VALUE($A256&amp;"")*12+VALUE($B256&amp;""))</f>
        <v/>
      </c>
      <c r="J256" s="9">
        <f>IF($A256="","",$C256&amp;"")</f>
        <v/>
      </c>
      <c r="K256" s="77">
        <f>IF($A256="",0,($E256-$F256)*설정!$C$23)</f>
        <v/>
      </c>
    </row>
    <row r="257">
      <c r="A257" s="75" t="n">
        <v>2026</v>
      </c>
      <c r="B257" s="75" t="n">
        <v>3</v>
      </c>
      <c r="C257" s="75" t="n">
        <v>62101000</v>
      </c>
      <c r="D257" s="75" t="inlineStr">
        <is>
          <t>여비교통비-국내</t>
        </is>
      </c>
      <c r="E257" s="76" t="n">
        <v>15728000</v>
      </c>
      <c r="F257" s="76" t="n">
        <v>0</v>
      </c>
      <c r="G257" s="76" t="n">
        <v>49717000</v>
      </c>
      <c r="I257" s="9">
        <f>IF($A257="","",VALUE($A257&amp;"")*12+VALUE($B257&amp;""))</f>
        <v/>
      </c>
      <c r="J257" s="9">
        <f>IF($A257="","",$C257&amp;"")</f>
        <v/>
      </c>
      <c r="K257" s="77">
        <f>IF($A257="",0,($E257-$F257)*설정!$C$23)</f>
        <v/>
      </c>
    </row>
    <row r="258">
      <c r="A258" s="75" t="n">
        <v>2026</v>
      </c>
      <c r="B258" s="75" t="n">
        <v>3</v>
      </c>
      <c r="C258" s="75" t="n">
        <v>62102000</v>
      </c>
      <c r="D258" s="75" t="inlineStr">
        <is>
          <t>여비교통비-해외</t>
        </is>
      </c>
      <c r="E258" s="76" t="n">
        <v>2978000</v>
      </c>
      <c r="F258" s="76" t="n">
        <v>0</v>
      </c>
      <c r="G258" s="76" t="n">
        <v>8880000</v>
      </c>
      <c r="I258" s="9">
        <f>IF($A258="","",VALUE($A258&amp;"")*12+VALUE($B258&amp;""))</f>
        <v/>
      </c>
      <c r="J258" s="9">
        <f>IF($A258="","",$C258&amp;"")</f>
        <v/>
      </c>
      <c r="K258" s="77">
        <f>IF($A258="",0,($E258-$F258)*설정!$C$23)</f>
        <v/>
      </c>
    </row>
    <row r="259">
      <c r="A259" s="75" t="n">
        <v>2026</v>
      </c>
      <c r="B259" s="75" t="n">
        <v>3</v>
      </c>
      <c r="C259" s="75" t="n">
        <v>62201000</v>
      </c>
      <c r="D259" s="75" t="inlineStr">
        <is>
          <t>통신비</t>
        </is>
      </c>
      <c r="E259" s="76" t="n">
        <v>34897000</v>
      </c>
      <c r="F259" s="76" t="n">
        <v>0</v>
      </c>
      <c r="G259" s="76" t="n">
        <v>105381000</v>
      </c>
      <c r="I259" s="9">
        <f>IF($A259="","",VALUE($A259&amp;"")*12+VALUE($B259&amp;""))</f>
        <v/>
      </c>
      <c r="J259" s="9">
        <f>IF($A259="","",$C259&amp;"")</f>
        <v/>
      </c>
      <c r="K259" s="77">
        <f>IF($A259="",0,($E259-$F259)*설정!$C$23)</f>
        <v/>
      </c>
    </row>
    <row r="260">
      <c r="A260" s="75" t="n">
        <v>2026</v>
      </c>
      <c r="B260" s="75" t="n">
        <v>3</v>
      </c>
      <c r="C260" s="75" t="n">
        <v>62301000</v>
      </c>
      <c r="D260" s="75" t="inlineStr">
        <is>
          <t>소모품비</t>
        </is>
      </c>
      <c r="E260" s="76" t="n">
        <v>5877000</v>
      </c>
      <c r="F260" s="76" t="n">
        <v>0</v>
      </c>
      <c r="G260" s="76" t="n">
        <v>17318000</v>
      </c>
      <c r="I260" s="9">
        <f>IF($A260="","",VALUE($A260&amp;"")*12+VALUE($B260&amp;""))</f>
        <v/>
      </c>
      <c r="J260" s="9">
        <f>IF($A260="","",$C260&amp;"")</f>
        <v/>
      </c>
      <c r="K260" s="77">
        <f>IF($A260="",0,($E260-$F260)*설정!$C$23)</f>
        <v/>
      </c>
    </row>
    <row r="261">
      <c r="A261" s="75" t="n">
        <v>2026</v>
      </c>
      <c r="B261" s="75" t="n">
        <v>3</v>
      </c>
      <c r="C261" s="75" t="n">
        <v>62401000</v>
      </c>
      <c r="D261" s="75" t="inlineStr">
        <is>
          <t>도서인쇄비</t>
        </is>
      </c>
      <c r="E261" s="76" t="n">
        <v>12426000</v>
      </c>
      <c r="F261" s="76" t="n">
        <v>0</v>
      </c>
      <c r="G261" s="76" t="n">
        <v>38551000</v>
      </c>
      <c r="I261" s="9">
        <f>IF($A261="","",VALUE($A261&amp;"")*12+VALUE($B261&amp;""))</f>
        <v/>
      </c>
      <c r="J261" s="9">
        <f>IF($A261="","",$C261&amp;"")</f>
        <v/>
      </c>
      <c r="K261" s="77">
        <f>IF($A261="",0,($E261-$F261)*설정!$C$23)</f>
        <v/>
      </c>
    </row>
    <row r="262">
      <c r="A262" s="75" t="n">
        <v>2026</v>
      </c>
      <c r="B262" s="75" t="n">
        <v>3</v>
      </c>
      <c r="C262" s="75" t="n">
        <v>62501000</v>
      </c>
      <c r="D262" s="75" t="inlineStr">
        <is>
          <t>회의비</t>
        </is>
      </c>
      <c r="E262" s="76" t="n">
        <v>5423000</v>
      </c>
      <c r="F262" s="76" t="n">
        <v>0</v>
      </c>
      <c r="G262" s="76" t="n">
        <v>16526000</v>
      </c>
      <c r="I262" s="9">
        <f>IF($A262="","",VALUE($A262&amp;"")*12+VALUE($B262&amp;""))</f>
        <v/>
      </c>
      <c r="J262" s="9">
        <f>IF($A262="","",$C262&amp;"")</f>
        <v/>
      </c>
      <c r="K262" s="77">
        <f>IF($A262="",0,($E262-$F262)*설정!$C$23)</f>
        <v/>
      </c>
    </row>
    <row r="263">
      <c r="A263" s="75" t="n">
        <v>2026</v>
      </c>
      <c r="B263" s="75" t="n">
        <v>3</v>
      </c>
      <c r="C263" s="75" t="n">
        <v>62601000</v>
      </c>
      <c r="D263" s="75" t="inlineStr">
        <is>
          <t>업무추진비</t>
        </is>
      </c>
      <c r="E263" s="76" t="n">
        <v>11081000</v>
      </c>
      <c r="F263" s="76" t="n">
        <v>0</v>
      </c>
      <c r="G263" s="76" t="n">
        <v>33013000</v>
      </c>
      <c r="I263" s="9">
        <f>IF($A263="","",VALUE($A263&amp;"")*12+VALUE($B263&amp;""))</f>
        <v/>
      </c>
      <c r="J263" s="9">
        <f>IF($A263="","",$C263&amp;"")</f>
        <v/>
      </c>
      <c r="K263" s="77">
        <f>IF($A263="",0,($E263-$F263)*설정!$C$23)</f>
        <v/>
      </c>
    </row>
    <row r="264">
      <c r="A264" s="75" t="n">
        <v>2026</v>
      </c>
      <c r="B264" s="75" t="n">
        <v>3</v>
      </c>
      <c r="C264" s="75" t="n">
        <v>62701000</v>
      </c>
      <c r="D264" s="75" t="inlineStr">
        <is>
          <t>광고선전비</t>
        </is>
      </c>
      <c r="E264" s="76" t="n">
        <v>194800000</v>
      </c>
      <c r="F264" s="76" t="n">
        <v>0</v>
      </c>
      <c r="G264" s="76" t="n">
        <v>574800000</v>
      </c>
      <c r="I264" s="9">
        <f>IF($A264="","",VALUE($A264&amp;"")*12+VALUE($B264&amp;""))</f>
        <v/>
      </c>
      <c r="J264" s="9">
        <f>IF($A264="","",$C264&amp;"")</f>
        <v/>
      </c>
      <c r="K264" s="77">
        <f>IF($A264="",0,($E264-$F264)*설정!$C$23)</f>
        <v/>
      </c>
    </row>
    <row r="265">
      <c r="A265" s="75" t="n">
        <v>2026</v>
      </c>
      <c r="B265" s="75" t="n">
        <v>3</v>
      </c>
      <c r="C265" s="75" t="n">
        <v>62801000</v>
      </c>
      <c r="D265" s="75" t="inlineStr">
        <is>
          <t>교육훈련비-사내</t>
        </is>
      </c>
      <c r="E265" s="76" t="n">
        <v>14547000</v>
      </c>
      <c r="F265" s="76" t="n">
        <v>0</v>
      </c>
      <c r="G265" s="76" t="n">
        <v>42294000</v>
      </c>
      <c r="I265" s="9">
        <f>IF($A265="","",VALUE($A265&amp;"")*12+VALUE($B265&amp;""))</f>
        <v/>
      </c>
      <c r="J265" s="9">
        <f>IF($A265="","",$C265&amp;"")</f>
        <v/>
      </c>
      <c r="K265" s="77">
        <f>IF($A265="",0,($E265-$F265)*설정!$C$23)</f>
        <v/>
      </c>
    </row>
    <row r="266">
      <c r="A266" s="75" t="n">
        <v>2026</v>
      </c>
      <c r="B266" s="75" t="n">
        <v>3</v>
      </c>
      <c r="C266" s="75" t="n">
        <v>62802000</v>
      </c>
      <c r="D266" s="75" t="inlineStr">
        <is>
          <t>교육훈련비-외부위탁</t>
        </is>
      </c>
      <c r="E266" s="76" t="n">
        <v>9907000</v>
      </c>
      <c r="F266" s="76" t="n">
        <v>0</v>
      </c>
      <c r="G266" s="76" t="n">
        <v>32078000</v>
      </c>
      <c r="I266" s="9">
        <f>IF($A266="","",VALUE($A266&amp;"")*12+VALUE($B266&amp;""))</f>
        <v/>
      </c>
      <c r="J266" s="9">
        <f>IF($A266="","",$C266&amp;"")</f>
        <v/>
      </c>
      <c r="K266" s="77">
        <f>IF($A266="",0,($E266-$F266)*설정!$C$23)</f>
        <v/>
      </c>
    </row>
    <row r="267">
      <c r="A267" s="75" t="n">
        <v>2026</v>
      </c>
      <c r="B267" s="75" t="n">
        <v>3</v>
      </c>
      <c r="C267" s="75" t="n">
        <v>62901000</v>
      </c>
      <c r="D267" s="75" t="inlineStr">
        <is>
          <t>지급수수료-컨설팅</t>
        </is>
      </c>
      <c r="E267" s="76" t="n">
        <v>84587000</v>
      </c>
      <c r="F267" s="76" t="n">
        <v>0</v>
      </c>
      <c r="G267" s="76" t="n">
        <v>246159000</v>
      </c>
      <c r="I267" s="9">
        <f>IF($A267="","",VALUE($A267&amp;"")*12+VALUE($B267&amp;""))</f>
        <v/>
      </c>
      <c r="J267" s="9">
        <f>IF($A267="","",$C267&amp;"")</f>
        <v/>
      </c>
      <c r="K267" s="77">
        <f>IF($A267="",0,($E267-$F267)*설정!$C$23)</f>
        <v/>
      </c>
    </row>
    <row r="268">
      <c r="A268" s="75" t="n">
        <v>2026</v>
      </c>
      <c r="B268" s="75" t="n">
        <v>3</v>
      </c>
      <c r="C268" s="75" t="n">
        <v>62902000</v>
      </c>
      <c r="D268" s="75" t="inlineStr">
        <is>
          <t>지급수수료-기타</t>
        </is>
      </c>
      <c r="E268" s="76" t="n">
        <v>43666000</v>
      </c>
      <c r="F268" s="76" t="n">
        <v>0</v>
      </c>
      <c r="G268" s="76" t="n">
        <v>134010000</v>
      </c>
      <c r="I268" s="9">
        <f>IF($A268="","",VALUE($A268&amp;"")*12+VALUE($B268&amp;""))</f>
        <v/>
      </c>
      <c r="J268" s="9">
        <f>IF($A268="","",$C268&amp;"")</f>
        <v/>
      </c>
      <c r="K268" s="77">
        <f>IF($A268="",0,($E268-$F268)*설정!$C$23)</f>
        <v/>
      </c>
    </row>
    <row r="269">
      <c r="A269" s="75" t="n">
        <v>2026</v>
      </c>
      <c r="B269" s="75" t="n">
        <v>3</v>
      </c>
      <c r="C269" s="75" t="n">
        <v>63001000</v>
      </c>
      <c r="D269" s="75" t="inlineStr">
        <is>
          <t>전산운영비-SW유지보수</t>
        </is>
      </c>
      <c r="E269" s="76" t="n">
        <v>100939000</v>
      </c>
      <c r="F269" s="76" t="n">
        <v>0</v>
      </c>
      <c r="G269" s="76" t="n">
        <v>292424000</v>
      </c>
      <c r="I269" s="9">
        <f>IF($A269="","",VALUE($A269&amp;"")*12+VALUE($B269&amp;""))</f>
        <v/>
      </c>
      <c r="J269" s="9">
        <f>IF($A269="","",$C269&amp;"")</f>
        <v/>
      </c>
      <c r="K269" s="77">
        <f>IF($A269="",0,($E269-$F269)*설정!$C$23)</f>
        <v/>
      </c>
    </row>
    <row r="270">
      <c r="A270" s="75" t="n">
        <v>2026</v>
      </c>
      <c r="B270" s="75" t="n">
        <v>3</v>
      </c>
      <c r="C270" s="75" t="n">
        <v>63002000</v>
      </c>
      <c r="D270" s="75" t="inlineStr">
        <is>
          <t>전산운영비-클라우드</t>
        </is>
      </c>
      <c r="E270" s="76" t="n">
        <v>78000000</v>
      </c>
      <c r="F270" s="76" t="n">
        <v>0</v>
      </c>
      <c r="G270" s="76" t="n">
        <v>235000000</v>
      </c>
      <c r="I270" s="9">
        <f>IF($A270="","",VALUE($A270&amp;"")*12+VALUE($B270&amp;""))</f>
        <v/>
      </c>
      <c r="J270" s="9">
        <f>IF($A270="","",$C270&amp;"")</f>
        <v/>
      </c>
      <c r="K270" s="77">
        <f>IF($A270="",0,($E270-$F270)*설정!$C$23)</f>
        <v/>
      </c>
    </row>
    <row r="271">
      <c r="A271" s="75" t="n">
        <v>2026</v>
      </c>
      <c r="B271" s="75" t="n">
        <v>3</v>
      </c>
      <c r="C271" s="75" t="n">
        <v>63101000</v>
      </c>
      <c r="D271" s="75" t="inlineStr">
        <is>
          <t>임차료</t>
        </is>
      </c>
      <c r="E271" s="76" t="n">
        <v>14988000</v>
      </c>
      <c r="F271" s="76" t="n">
        <v>0</v>
      </c>
      <c r="G271" s="76" t="n">
        <v>46685000</v>
      </c>
      <c r="I271" s="9">
        <f>IF($A271="","",VALUE($A271&amp;"")*12+VALUE($B271&amp;""))</f>
        <v/>
      </c>
      <c r="J271" s="9">
        <f>IF($A271="","",$C271&amp;"")</f>
        <v/>
      </c>
      <c r="K271" s="77">
        <f>IF($A271="",0,($E271-$F271)*설정!$C$23)</f>
        <v/>
      </c>
    </row>
    <row r="272">
      <c r="A272" s="75" t="n">
        <v>2026</v>
      </c>
      <c r="B272" s="75" t="n">
        <v>3</v>
      </c>
      <c r="C272" s="75" t="n">
        <v>63201000</v>
      </c>
      <c r="D272" s="75" t="inlineStr">
        <is>
          <t>차량유지비</t>
        </is>
      </c>
      <c r="E272" s="76" t="n">
        <v>8045000</v>
      </c>
      <c r="F272" s="76" t="n">
        <v>0</v>
      </c>
      <c r="G272" s="76" t="n">
        <v>23995000</v>
      </c>
      <c r="I272" s="9">
        <f>IF($A272="","",VALUE($A272&amp;"")*12+VALUE($B272&amp;""))</f>
        <v/>
      </c>
      <c r="J272" s="9">
        <f>IF($A272="","",$C272&amp;"")</f>
        <v/>
      </c>
      <c r="K272" s="77">
        <f>IF($A272="",0,($E272-$F272)*설정!$C$23)</f>
        <v/>
      </c>
    </row>
    <row r="273">
      <c r="A273" s="75" t="n">
        <v>2026</v>
      </c>
      <c r="B273" s="75" t="n">
        <v>3</v>
      </c>
      <c r="C273" s="75" t="n">
        <v>61101000</v>
      </c>
      <c r="D273" s="75" t="inlineStr">
        <is>
          <t>급여</t>
        </is>
      </c>
      <c r="E273" s="76" t="n">
        <v>822340000</v>
      </c>
      <c r="F273" s="76" t="n">
        <v>0</v>
      </c>
      <c r="G273" s="76" t="n">
        <v>2431245000</v>
      </c>
      <c r="I273" s="9">
        <f>IF($A273="","",VALUE($A273&amp;"")*12+VALUE($B273&amp;""))</f>
        <v/>
      </c>
      <c r="J273" s="9">
        <f>IF($A273="","",$C273&amp;"")</f>
        <v/>
      </c>
      <c r="K273" s="77">
        <f>IF($A273="",0,($E273-$F273)*설정!$C$23)</f>
        <v/>
      </c>
    </row>
    <row r="274">
      <c r="A274" s="75" t="n">
        <v>2026</v>
      </c>
      <c r="B274" s="75" t="n">
        <v>3</v>
      </c>
      <c r="C274" s="75" t="n">
        <v>61201000</v>
      </c>
      <c r="D274" s="75" t="inlineStr">
        <is>
          <t>복리후생비</t>
        </is>
      </c>
      <c r="E274" s="76" t="n">
        <v>117976000</v>
      </c>
      <c r="F274" s="76" t="n">
        <v>0</v>
      </c>
      <c r="G274" s="76" t="n">
        <v>358999000</v>
      </c>
      <c r="I274" s="9">
        <f>IF($A274="","",VALUE($A274&amp;"")*12+VALUE($B274&amp;""))</f>
        <v/>
      </c>
      <c r="J274" s="9">
        <f>IF($A274="","",$C274&amp;"")</f>
        <v/>
      </c>
      <c r="K274" s="77">
        <f>IF($A274="",0,($E274-$F274)*설정!$C$23)</f>
        <v/>
      </c>
    </row>
    <row r="275">
      <c r="A275" s="75" t="n">
        <v>2026</v>
      </c>
      <c r="B275" s="75" t="n">
        <v>4</v>
      </c>
      <c r="C275" s="75" t="n">
        <v>62101000</v>
      </c>
      <c r="D275" s="75" t="inlineStr">
        <is>
          <t>여비교통비-국내</t>
        </is>
      </c>
      <c r="E275" s="76" t="n">
        <v>16599000</v>
      </c>
      <c r="F275" s="76" t="n">
        <v>0</v>
      </c>
      <c r="G275" s="76" t="n">
        <v>66316000</v>
      </c>
      <c r="I275" s="9">
        <f>IF($A275="","",VALUE($A275&amp;"")*12+VALUE($B275&amp;""))</f>
        <v/>
      </c>
      <c r="J275" s="9">
        <f>IF($A275="","",$C275&amp;"")</f>
        <v/>
      </c>
      <c r="K275" s="77">
        <f>IF($A275="",0,($E275-$F275)*설정!$C$23)</f>
        <v/>
      </c>
    </row>
    <row r="276">
      <c r="A276" s="75" t="n">
        <v>2026</v>
      </c>
      <c r="B276" s="75" t="n">
        <v>4</v>
      </c>
      <c r="C276" s="75" t="n">
        <v>62102000</v>
      </c>
      <c r="D276" s="75" t="inlineStr">
        <is>
          <t>여비교통비-해외</t>
        </is>
      </c>
      <c r="E276" s="76" t="n">
        <v>2822000</v>
      </c>
      <c r="F276" s="76" t="n">
        <v>0</v>
      </c>
      <c r="G276" s="76" t="n">
        <v>11702000</v>
      </c>
      <c r="I276" s="9">
        <f>IF($A276="","",VALUE($A276&amp;"")*12+VALUE($B276&amp;""))</f>
        <v/>
      </c>
      <c r="J276" s="9">
        <f>IF($A276="","",$C276&amp;"")</f>
        <v/>
      </c>
      <c r="K276" s="77">
        <f>IF($A276="",0,($E276-$F276)*설정!$C$23)</f>
        <v/>
      </c>
    </row>
    <row r="277">
      <c r="A277" s="75" t="n">
        <v>2026</v>
      </c>
      <c r="B277" s="75" t="n">
        <v>4</v>
      </c>
      <c r="C277" s="75" t="n">
        <v>62201000</v>
      </c>
      <c r="D277" s="75" t="inlineStr">
        <is>
          <t>통신비</t>
        </is>
      </c>
      <c r="E277" s="76" t="n">
        <v>33578000</v>
      </c>
      <c r="F277" s="76" t="n">
        <v>0</v>
      </c>
      <c r="G277" s="76" t="n">
        <v>138959000</v>
      </c>
      <c r="I277" s="9">
        <f>IF($A277="","",VALUE($A277&amp;"")*12+VALUE($B277&amp;""))</f>
        <v/>
      </c>
      <c r="J277" s="9">
        <f>IF($A277="","",$C277&amp;"")</f>
        <v/>
      </c>
      <c r="K277" s="77">
        <f>IF($A277="",0,($E277-$F277)*설정!$C$23)</f>
        <v/>
      </c>
    </row>
    <row r="278">
      <c r="A278" s="75" t="n">
        <v>2026</v>
      </c>
      <c r="B278" s="75" t="n">
        <v>4</v>
      </c>
      <c r="C278" s="75" t="n">
        <v>62301000</v>
      </c>
      <c r="D278" s="75" t="inlineStr">
        <is>
          <t>소모품비</t>
        </is>
      </c>
      <c r="E278" s="76" t="n">
        <v>5944000</v>
      </c>
      <c r="F278" s="76" t="n">
        <v>0</v>
      </c>
      <c r="G278" s="76" t="n">
        <v>23262000</v>
      </c>
      <c r="I278" s="9">
        <f>IF($A278="","",VALUE($A278&amp;"")*12+VALUE($B278&amp;""))</f>
        <v/>
      </c>
      <c r="J278" s="9">
        <f>IF($A278="","",$C278&amp;"")</f>
        <v/>
      </c>
      <c r="K278" s="77">
        <f>IF($A278="",0,($E278-$F278)*설정!$C$23)</f>
        <v/>
      </c>
    </row>
    <row r="279">
      <c r="A279" s="75" t="n">
        <v>2026</v>
      </c>
      <c r="B279" s="75" t="n">
        <v>4</v>
      </c>
      <c r="C279" s="75" t="n">
        <v>62401000</v>
      </c>
      <c r="D279" s="75" t="inlineStr">
        <is>
          <t>도서인쇄비</t>
        </is>
      </c>
      <c r="E279" s="76" t="n">
        <v>12683000</v>
      </c>
      <c r="F279" s="76" t="n">
        <v>0</v>
      </c>
      <c r="G279" s="76" t="n">
        <v>51234000</v>
      </c>
      <c r="I279" s="9">
        <f>IF($A279="","",VALUE($A279&amp;"")*12+VALUE($B279&amp;""))</f>
        <v/>
      </c>
      <c r="J279" s="9">
        <f>IF($A279="","",$C279&amp;"")</f>
        <v/>
      </c>
      <c r="K279" s="77">
        <f>IF($A279="",0,($E279-$F279)*설정!$C$23)</f>
        <v/>
      </c>
    </row>
    <row r="280">
      <c r="A280" s="75" t="n">
        <v>2026</v>
      </c>
      <c r="B280" s="75" t="n">
        <v>4</v>
      </c>
      <c r="C280" s="75" t="n">
        <v>62501000</v>
      </c>
      <c r="D280" s="75" t="inlineStr">
        <is>
          <t>회의비</t>
        </is>
      </c>
      <c r="E280" s="76" t="n">
        <v>5689000</v>
      </c>
      <c r="F280" s="76" t="n">
        <v>0</v>
      </c>
      <c r="G280" s="76" t="n">
        <v>22215000</v>
      </c>
      <c r="I280" s="9">
        <f>IF($A280="","",VALUE($A280&amp;"")*12+VALUE($B280&amp;""))</f>
        <v/>
      </c>
      <c r="J280" s="9">
        <f>IF($A280="","",$C280&amp;"")</f>
        <v/>
      </c>
      <c r="K280" s="77">
        <f>IF($A280="",0,($E280-$F280)*설정!$C$23)</f>
        <v/>
      </c>
    </row>
    <row r="281">
      <c r="A281" s="75" t="n">
        <v>2026</v>
      </c>
      <c r="B281" s="75" t="n">
        <v>4</v>
      </c>
      <c r="C281" s="75" t="n">
        <v>62601000</v>
      </c>
      <c r="D281" s="75" t="inlineStr">
        <is>
          <t>업무추진비</t>
        </is>
      </c>
      <c r="E281" s="76" t="n">
        <v>10951000</v>
      </c>
      <c r="F281" s="76" t="n">
        <v>0</v>
      </c>
      <c r="G281" s="76" t="n">
        <v>43964000</v>
      </c>
      <c r="I281" s="9">
        <f>IF($A281="","",VALUE($A281&amp;"")*12+VALUE($B281&amp;""))</f>
        <v/>
      </c>
      <c r="J281" s="9">
        <f>IF($A281="","",$C281&amp;"")</f>
        <v/>
      </c>
      <c r="K281" s="77">
        <f>IF($A281="",0,($E281-$F281)*설정!$C$23)</f>
        <v/>
      </c>
    </row>
    <row r="282">
      <c r="A282" s="75" t="n">
        <v>2026</v>
      </c>
      <c r="B282" s="75" t="n">
        <v>4</v>
      </c>
      <c r="C282" s="75" t="n">
        <v>62701000</v>
      </c>
      <c r="D282" s="75" t="inlineStr">
        <is>
          <t>광고선전비</t>
        </is>
      </c>
      <c r="E282" s="76" t="n">
        <v>143200000</v>
      </c>
      <c r="F282" s="76" t="n">
        <v>0</v>
      </c>
      <c r="G282" s="76" t="n">
        <v>718000000</v>
      </c>
      <c r="I282" s="9">
        <f>IF($A282="","",VALUE($A282&amp;"")*12+VALUE($B282&amp;""))</f>
        <v/>
      </c>
      <c r="J282" s="9">
        <f>IF($A282="","",$C282&amp;"")</f>
        <v/>
      </c>
      <c r="K282" s="77">
        <f>IF($A282="",0,($E282-$F282)*설정!$C$23)</f>
        <v/>
      </c>
    </row>
    <row r="283">
      <c r="A283" s="75" t="n">
        <v>2026</v>
      </c>
      <c r="B283" s="75" t="n">
        <v>4</v>
      </c>
      <c r="C283" s="75" t="n">
        <v>62801000</v>
      </c>
      <c r="D283" s="75" t="inlineStr">
        <is>
          <t>교육훈련비-사내</t>
        </is>
      </c>
      <c r="E283" s="76" t="n">
        <v>13414000</v>
      </c>
      <c r="F283" s="76" t="n">
        <v>0</v>
      </c>
      <c r="G283" s="76" t="n">
        <v>55708000</v>
      </c>
      <c r="I283" s="9">
        <f>IF($A283="","",VALUE($A283&amp;"")*12+VALUE($B283&amp;""))</f>
        <v/>
      </c>
      <c r="J283" s="9">
        <f>IF($A283="","",$C283&amp;"")</f>
        <v/>
      </c>
      <c r="K283" s="77">
        <f>IF($A283="",0,($E283-$F283)*설정!$C$23)</f>
        <v/>
      </c>
    </row>
    <row r="284">
      <c r="A284" s="75" t="n">
        <v>2026</v>
      </c>
      <c r="B284" s="75" t="n">
        <v>4</v>
      </c>
      <c r="C284" s="75" t="n">
        <v>62802000</v>
      </c>
      <c r="D284" s="75" t="inlineStr">
        <is>
          <t>교육훈련비-외부위탁</t>
        </is>
      </c>
      <c r="E284" s="76" t="n">
        <v>12071000</v>
      </c>
      <c r="F284" s="76" t="n">
        <v>0</v>
      </c>
      <c r="G284" s="76" t="n">
        <v>44149000</v>
      </c>
      <c r="I284" s="9">
        <f>IF($A284="","",VALUE($A284&amp;"")*12+VALUE($B284&amp;""))</f>
        <v/>
      </c>
      <c r="J284" s="9">
        <f>IF($A284="","",$C284&amp;"")</f>
        <v/>
      </c>
      <c r="K284" s="77">
        <f>IF($A284="",0,($E284-$F284)*설정!$C$23)</f>
        <v/>
      </c>
    </row>
    <row r="285">
      <c r="A285" s="75" t="n">
        <v>2026</v>
      </c>
      <c r="B285" s="75" t="n">
        <v>4</v>
      </c>
      <c r="C285" s="75" t="n">
        <v>62901000</v>
      </c>
      <c r="D285" s="75" t="inlineStr">
        <is>
          <t>지급수수료-컨설팅</t>
        </is>
      </c>
      <c r="E285" s="76" t="n">
        <v>78260000</v>
      </c>
      <c r="F285" s="76" t="n">
        <v>0</v>
      </c>
      <c r="G285" s="76" t="n">
        <v>324419000</v>
      </c>
      <c r="I285" s="9">
        <f>IF($A285="","",VALUE($A285&amp;"")*12+VALUE($B285&amp;""))</f>
        <v/>
      </c>
      <c r="J285" s="9">
        <f>IF($A285="","",$C285&amp;"")</f>
        <v/>
      </c>
      <c r="K285" s="77">
        <f>IF($A285="",0,($E285-$F285)*설정!$C$23)</f>
        <v/>
      </c>
    </row>
    <row r="286">
      <c r="A286" s="75" t="n">
        <v>2026</v>
      </c>
      <c r="B286" s="75" t="n">
        <v>4</v>
      </c>
      <c r="C286" s="75" t="n">
        <v>62902000</v>
      </c>
      <c r="D286" s="75" t="inlineStr">
        <is>
          <t>지급수수료-기타</t>
        </is>
      </c>
      <c r="E286" s="76" t="n">
        <v>43982000</v>
      </c>
      <c r="F286" s="76" t="n">
        <v>0</v>
      </c>
      <c r="G286" s="76" t="n">
        <v>177992000</v>
      </c>
      <c r="I286" s="9">
        <f>IF($A286="","",VALUE($A286&amp;"")*12+VALUE($B286&amp;""))</f>
        <v/>
      </c>
      <c r="J286" s="9">
        <f>IF($A286="","",$C286&amp;"")</f>
        <v/>
      </c>
      <c r="K286" s="77">
        <f>IF($A286="",0,($E286-$F286)*설정!$C$23)</f>
        <v/>
      </c>
    </row>
    <row r="287">
      <c r="A287" s="75" t="n">
        <v>2026</v>
      </c>
      <c r="B287" s="75" t="n">
        <v>4</v>
      </c>
      <c r="C287" s="75" t="n">
        <v>63001000</v>
      </c>
      <c r="D287" s="75" t="inlineStr">
        <is>
          <t>전산운영비-SW유지보수</t>
        </is>
      </c>
      <c r="E287" s="76" t="n">
        <v>88357000</v>
      </c>
      <c r="F287" s="76" t="n">
        <v>0</v>
      </c>
      <c r="G287" s="76" t="n">
        <v>380781000</v>
      </c>
      <c r="I287" s="9">
        <f>IF($A287="","",VALUE($A287&amp;"")*12+VALUE($B287&amp;""))</f>
        <v/>
      </c>
      <c r="J287" s="9">
        <f>IF($A287="","",$C287&amp;"")</f>
        <v/>
      </c>
      <c r="K287" s="77">
        <f>IF($A287="",0,($E287-$F287)*설정!$C$23)</f>
        <v/>
      </c>
    </row>
    <row r="288">
      <c r="A288" s="75" t="n">
        <v>2026</v>
      </c>
      <c r="B288" s="75" t="n">
        <v>4</v>
      </c>
      <c r="C288" s="75" t="n">
        <v>63002000</v>
      </c>
      <c r="D288" s="75" t="inlineStr">
        <is>
          <t>전산운영비-클라우드</t>
        </is>
      </c>
      <c r="E288" s="76" t="n">
        <v>80000000</v>
      </c>
      <c r="F288" s="76" t="n">
        <v>0</v>
      </c>
      <c r="G288" s="76" t="n">
        <v>315000000</v>
      </c>
      <c r="I288" s="9">
        <f>IF($A288="","",VALUE($A288&amp;"")*12+VALUE($B288&amp;""))</f>
        <v/>
      </c>
      <c r="J288" s="9">
        <f>IF($A288="","",$C288&amp;"")</f>
        <v/>
      </c>
      <c r="K288" s="77">
        <f>IF($A288="",0,($E288-$F288)*설정!$C$23)</f>
        <v/>
      </c>
    </row>
    <row r="289">
      <c r="A289" s="75" t="n">
        <v>2026</v>
      </c>
      <c r="B289" s="75" t="n">
        <v>4</v>
      </c>
      <c r="C289" s="75" t="n">
        <v>63101000</v>
      </c>
      <c r="D289" s="75" t="inlineStr">
        <is>
          <t>임차료</t>
        </is>
      </c>
      <c r="E289" s="76" t="n">
        <v>15340000</v>
      </c>
      <c r="F289" s="76" t="n">
        <v>0</v>
      </c>
      <c r="G289" s="76" t="n">
        <v>62025000</v>
      </c>
      <c r="I289" s="9">
        <f>IF($A289="","",VALUE($A289&amp;"")*12+VALUE($B289&amp;""))</f>
        <v/>
      </c>
      <c r="J289" s="9">
        <f>IF($A289="","",$C289&amp;"")</f>
        <v/>
      </c>
      <c r="K289" s="77">
        <f>IF($A289="",0,($E289-$F289)*설정!$C$23)</f>
        <v/>
      </c>
    </row>
    <row r="290">
      <c r="A290" s="75" t="n">
        <v>2026</v>
      </c>
      <c r="B290" s="75" t="n">
        <v>4</v>
      </c>
      <c r="C290" s="75" t="n">
        <v>63201000</v>
      </c>
      <c r="D290" s="75" t="inlineStr">
        <is>
          <t>차량유지비</t>
        </is>
      </c>
      <c r="E290" s="76" t="n">
        <v>7870000</v>
      </c>
      <c r="F290" s="76" t="n">
        <v>0</v>
      </c>
      <c r="G290" s="76" t="n">
        <v>31865000</v>
      </c>
      <c r="I290" s="9">
        <f>IF($A290="","",VALUE($A290&amp;"")*12+VALUE($B290&amp;""))</f>
        <v/>
      </c>
      <c r="J290" s="9">
        <f>IF($A290="","",$C290&amp;"")</f>
        <v/>
      </c>
      <c r="K290" s="77">
        <f>IF($A290="",0,($E290-$F290)*설정!$C$23)</f>
        <v/>
      </c>
    </row>
    <row r="291">
      <c r="A291" s="75" t="n">
        <v>2026</v>
      </c>
      <c r="B291" s="75" t="n">
        <v>4</v>
      </c>
      <c r="C291" s="75" t="n">
        <v>61101000</v>
      </c>
      <c r="D291" s="75" t="inlineStr">
        <is>
          <t>급여</t>
        </is>
      </c>
      <c r="E291" s="76" t="n">
        <v>819386000</v>
      </c>
      <c r="F291" s="76" t="n">
        <v>0</v>
      </c>
      <c r="G291" s="76" t="n">
        <v>3250631000</v>
      </c>
      <c r="I291" s="9">
        <f>IF($A291="","",VALUE($A291&amp;"")*12+VALUE($B291&amp;""))</f>
        <v/>
      </c>
      <c r="J291" s="9">
        <f>IF($A291="","",$C291&amp;"")</f>
        <v/>
      </c>
      <c r="K291" s="77">
        <f>IF($A291="",0,($E291-$F291)*설정!$C$23)</f>
        <v/>
      </c>
    </row>
    <row r="292">
      <c r="A292" s="75" t="n">
        <v>2026</v>
      </c>
      <c r="B292" s="75" t="n">
        <v>4</v>
      </c>
      <c r="C292" s="75" t="n">
        <v>61201000</v>
      </c>
      <c r="D292" s="75" t="inlineStr">
        <is>
          <t>복리후생비</t>
        </is>
      </c>
      <c r="E292" s="76" t="n">
        <v>122617000</v>
      </c>
      <c r="F292" s="76" t="n">
        <v>0</v>
      </c>
      <c r="G292" s="76" t="n">
        <v>481616000</v>
      </c>
      <c r="I292" s="9">
        <f>IF($A292="","",VALUE($A292&amp;"")*12+VALUE($B292&amp;""))</f>
        <v/>
      </c>
      <c r="J292" s="9">
        <f>IF($A292="","",$C292&amp;"")</f>
        <v/>
      </c>
      <c r="K292" s="77">
        <f>IF($A292="",0,($E292-$F292)*설정!$C$23)</f>
        <v/>
      </c>
    </row>
    <row r="293">
      <c r="A293" s="75" t="n">
        <v>2026</v>
      </c>
      <c r="B293" s="75" t="n">
        <v>5</v>
      </c>
      <c r="C293" s="75" t="n">
        <v>62101000</v>
      </c>
      <c r="D293" s="75" t="inlineStr">
        <is>
          <t>여비교통비-국내</t>
        </is>
      </c>
      <c r="E293" s="76" t="n">
        <v>16845000</v>
      </c>
      <c r="F293" s="76" t="n">
        <v>0</v>
      </c>
      <c r="G293" s="76" t="n">
        <v>83161000</v>
      </c>
      <c r="I293" s="9">
        <f>IF($A293="","",VALUE($A293&amp;"")*12+VALUE($B293&amp;""))</f>
        <v/>
      </c>
      <c r="J293" s="9">
        <f>IF($A293="","",$C293&amp;"")</f>
        <v/>
      </c>
      <c r="K293" s="77">
        <f>IF($A293="",0,($E293-$F293)*설정!$C$23)</f>
        <v/>
      </c>
    </row>
    <row r="294">
      <c r="A294" s="75" t="n">
        <v>2026</v>
      </c>
      <c r="B294" s="75" t="n">
        <v>5</v>
      </c>
      <c r="C294" s="75" t="n">
        <v>62102000</v>
      </c>
      <c r="D294" s="75" t="inlineStr">
        <is>
          <t>여비교통비-해외</t>
        </is>
      </c>
      <c r="E294" s="76" t="n">
        <v>2794000</v>
      </c>
      <c r="F294" s="76" t="n">
        <v>0</v>
      </c>
      <c r="G294" s="76" t="n">
        <v>14496000</v>
      </c>
      <c r="I294" s="9">
        <f>IF($A294="","",VALUE($A294&amp;"")*12+VALUE($B294&amp;""))</f>
        <v/>
      </c>
      <c r="J294" s="9">
        <f>IF($A294="","",$C294&amp;"")</f>
        <v/>
      </c>
      <c r="K294" s="77">
        <f>IF($A294="",0,($E294-$F294)*설정!$C$23)</f>
        <v/>
      </c>
    </row>
    <row r="295">
      <c r="A295" s="75" t="n">
        <v>2026</v>
      </c>
      <c r="B295" s="75" t="n">
        <v>5</v>
      </c>
      <c r="C295" s="75" t="n">
        <v>62201000</v>
      </c>
      <c r="D295" s="75" t="inlineStr">
        <is>
          <t>통신비</t>
        </is>
      </c>
      <c r="E295" s="76" t="n">
        <v>37478000</v>
      </c>
      <c r="F295" s="76" t="n">
        <v>0</v>
      </c>
      <c r="G295" s="76" t="n">
        <v>176437000</v>
      </c>
      <c r="I295" s="9">
        <f>IF($A295="","",VALUE($A295&amp;"")*12+VALUE($B295&amp;""))</f>
        <v/>
      </c>
      <c r="J295" s="9">
        <f>IF($A295="","",$C295&amp;"")</f>
        <v/>
      </c>
      <c r="K295" s="77">
        <f>IF($A295="",0,($E295-$F295)*설정!$C$23)</f>
        <v/>
      </c>
    </row>
    <row r="296">
      <c r="A296" s="75" t="n">
        <v>2026</v>
      </c>
      <c r="B296" s="75" t="n">
        <v>5</v>
      </c>
      <c r="C296" s="75" t="n">
        <v>62301000</v>
      </c>
      <c r="D296" s="75" t="inlineStr">
        <is>
          <t>소모품비</t>
        </is>
      </c>
      <c r="E296" s="76" t="n">
        <v>5711000</v>
      </c>
      <c r="F296" s="76" t="n">
        <v>0</v>
      </c>
      <c r="G296" s="76" t="n">
        <v>28973000</v>
      </c>
      <c r="I296" s="9">
        <f>IF($A296="","",VALUE($A296&amp;"")*12+VALUE($B296&amp;""))</f>
        <v/>
      </c>
      <c r="J296" s="9">
        <f>IF($A296="","",$C296&amp;"")</f>
        <v/>
      </c>
      <c r="K296" s="77">
        <f>IF($A296="",0,($E296-$F296)*설정!$C$23)</f>
        <v/>
      </c>
    </row>
    <row r="297">
      <c r="A297" s="75" t="n">
        <v>2026</v>
      </c>
      <c r="B297" s="75" t="n">
        <v>5</v>
      </c>
      <c r="C297" s="75" t="n">
        <v>62401000</v>
      </c>
      <c r="D297" s="75" t="inlineStr">
        <is>
          <t>도서인쇄비</t>
        </is>
      </c>
      <c r="E297" s="76" t="n">
        <v>12604000</v>
      </c>
      <c r="F297" s="76" t="n">
        <v>0</v>
      </c>
      <c r="G297" s="76" t="n">
        <v>63838000</v>
      </c>
      <c r="I297" s="9">
        <f>IF($A297="","",VALUE($A297&amp;"")*12+VALUE($B297&amp;""))</f>
        <v/>
      </c>
      <c r="J297" s="9">
        <f>IF($A297="","",$C297&amp;"")</f>
        <v/>
      </c>
      <c r="K297" s="77">
        <f>IF($A297="",0,($E297-$F297)*설정!$C$23)</f>
        <v/>
      </c>
    </row>
    <row r="298">
      <c r="A298" s="75" t="n">
        <v>2026</v>
      </c>
      <c r="B298" s="75" t="n">
        <v>5</v>
      </c>
      <c r="C298" s="75" t="n">
        <v>62501000</v>
      </c>
      <c r="D298" s="75" t="inlineStr">
        <is>
          <t>회의비</t>
        </is>
      </c>
      <c r="E298" s="76" t="n">
        <v>5403000</v>
      </c>
      <c r="F298" s="76" t="n">
        <v>0</v>
      </c>
      <c r="G298" s="76" t="n">
        <v>27618000</v>
      </c>
      <c r="I298" s="9">
        <f>IF($A298="","",VALUE($A298&amp;"")*12+VALUE($B298&amp;""))</f>
        <v/>
      </c>
      <c r="J298" s="9">
        <f>IF($A298="","",$C298&amp;"")</f>
        <v/>
      </c>
      <c r="K298" s="77">
        <f>IF($A298="",0,($E298-$F298)*설정!$C$23)</f>
        <v/>
      </c>
    </row>
    <row r="299">
      <c r="A299" s="75" t="n">
        <v>2026</v>
      </c>
      <c r="B299" s="75" t="n">
        <v>5</v>
      </c>
      <c r="C299" s="75" t="n">
        <v>62601000</v>
      </c>
      <c r="D299" s="75" t="inlineStr">
        <is>
          <t>업무추진비</t>
        </is>
      </c>
      <c r="E299" s="76" t="n">
        <v>11134000</v>
      </c>
      <c r="F299" s="76" t="n">
        <v>0</v>
      </c>
      <c r="G299" s="76" t="n">
        <v>55098000</v>
      </c>
      <c r="I299" s="9">
        <f>IF($A299="","",VALUE($A299&amp;"")*12+VALUE($B299&amp;""))</f>
        <v/>
      </c>
      <c r="J299" s="9">
        <f>IF($A299="","",$C299&amp;"")</f>
        <v/>
      </c>
      <c r="K299" s="77">
        <f>IF($A299="",0,($E299-$F299)*설정!$C$23)</f>
        <v/>
      </c>
    </row>
    <row r="300">
      <c r="A300" s="75" t="n">
        <v>2026</v>
      </c>
      <c r="B300" s="75" t="n">
        <v>5</v>
      </c>
      <c r="C300" s="75" t="n">
        <v>62701000</v>
      </c>
      <c r="D300" s="75" t="inlineStr">
        <is>
          <t>광고선전비</t>
        </is>
      </c>
      <c r="E300" s="76" t="n">
        <v>130001000</v>
      </c>
      <c r="F300" s="76" t="n">
        <v>0</v>
      </c>
      <c r="G300" s="76" t="n">
        <v>848001000</v>
      </c>
      <c r="I300" s="9">
        <f>IF($A300="","",VALUE($A300&amp;"")*12+VALUE($B300&amp;""))</f>
        <v/>
      </c>
      <c r="J300" s="9">
        <f>IF($A300="","",$C300&amp;"")</f>
        <v/>
      </c>
      <c r="K300" s="77">
        <f>IF($A300="",0,($E300-$F300)*설정!$C$23)</f>
        <v/>
      </c>
    </row>
    <row r="301">
      <c r="A301" s="75" t="n">
        <v>2026</v>
      </c>
      <c r="B301" s="75" t="n">
        <v>5</v>
      </c>
      <c r="C301" s="75" t="n">
        <v>62801000</v>
      </c>
      <c r="D301" s="75" t="inlineStr">
        <is>
          <t>교육훈련비-사내</t>
        </is>
      </c>
      <c r="E301" s="76" t="n">
        <v>15264000</v>
      </c>
      <c r="F301" s="76" t="n">
        <v>0</v>
      </c>
      <c r="G301" s="76" t="n">
        <v>70972000</v>
      </c>
      <c r="I301" s="9">
        <f>IF($A301="","",VALUE($A301&amp;"")*12+VALUE($B301&amp;""))</f>
        <v/>
      </c>
      <c r="J301" s="9">
        <f>IF($A301="","",$C301&amp;"")</f>
        <v/>
      </c>
      <c r="K301" s="77">
        <f>IF($A301="",0,($E301-$F301)*설정!$C$23)</f>
        <v/>
      </c>
    </row>
    <row r="302">
      <c r="A302" s="75" t="n">
        <v>2026</v>
      </c>
      <c r="B302" s="75" t="n">
        <v>5</v>
      </c>
      <c r="C302" s="75" t="n">
        <v>62802000</v>
      </c>
      <c r="D302" s="75" t="inlineStr">
        <is>
          <t>교육훈련비-외부위탁</t>
        </is>
      </c>
      <c r="E302" s="76" t="n">
        <v>11444000</v>
      </c>
      <c r="F302" s="76" t="n">
        <v>0</v>
      </c>
      <c r="G302" s="76" t="n">
        <v>55593000</v>
      </c>
      <c r="I302" s="9">
        <f>IF($A302="","",VALUE($A302&amp;"")*12+VALUE($B302&amp;""))</f>
        <v/>
      </c>
      <c r="J302" s="9">
        <f>IF($A302="","",$C302&amp;"")</f>
        <v/>
      </c>
      <c r="K302" s="77">
        <f>IF($A302="",0,($E302-$F302)*설정!$C$23)</f>
        <v/>
      </c>
    </row>
    <row r="303">
      <c r="A303" s="75" t="n">
        <v>2026</v>
      </c>
      <c r="B303" s="75" t="n">
        <v>5</v>
      </c>
      <c r="C303" s="75" t="n">
        <v>62901000</v>
      </c>
      <c r="D303" s="75" t="inlineStr">
        <is>
          <t>지급수수료-컨설팅</t>
        </is>
      </c>
      <c r="E303" s="76" t="n">
        <v>85268000</v>
      </c>
      <c r="F303" s="76" t="n">
        <v>0</v>
      </c>
      <c r="G303" s="76" t="n">
        <v>409687000</v>
      </c>
      <c r="I303" s="9">
        <f>IF($A303="","",VALUE($A303&amp;"")*12+VALUE($B303&amp;""))</f>
        <v/>
      </c>
      <c r="J303" s="9">
        <f>IF($A303="","",$C303&amp;"")</f>
        <v/>
      </c>
      <c r="K303" s="77">
        <f>IF($A303="",0,($E303-$F303)*설정!$C$23)</f>
        <v/>
      </c>
    </row>
    <row r="304">
      <c r="A304" s="75" t="n">
        <v>2026</v>
      </c>
      <c r="B304" s="75" t="n">
        <v>5</v>
      </c>
      <c r="C304" s="75" t="n">
        <v>62902000</v>
      </c>
      <c r="D304" s="75" t="inlineStr">
        <is>
          <t>지급수수료-기타</t>
        </is>
      </c>
      <c r="E304" s="76" t="n">
        <v>43122000</v>
      </c>
      <c r="F304" s="76" t="n">
        <v>0</v>
      </c>
      <c r="G304" s="76" t="n">
        <v>221114000</v>
      </c>
      <c r="I304" s="9">
        <f>IF($A304="","",VALUE($A304&amp;"")*12+VALUE($B304&amp;""))</f>
        <v/>
      </c>
      <c r="J304" s="9">
        <f>IF($A304="","",$C304&amp;"")</f>
        <v/>
      </c>
      <c r="K304" s="77">
        <f>IF($A304="",0,($E304-$F304)*설정!$C$23)</f>
        <v/>
      </c>
    </row>
    <row r="305">
      <c r="A305" s="75" t="n">
        <v>2026</v>
      </c>
      <c r="B305" s="75" t="n">
        <v>5</v>
      </c>
      <c r="C305" s="75" t="n">
        <v>63001000</v>
      </c>
      <c r="D305" s="75" t="inlineStr">
        <is>
          <t>전산운영비-SW유지보수</t>
        </is>
      </c>
      <c r="E305" s="76" t="n">
        <v>90244000</v>
      </c>
      <c r="F305" s="76" t="n">
        <v>0</v>
      </c>
      <c r="G305" s="76" t="n">
        <v>471025000</v>
      </c>
      <c r="I305" s="9">
        <f>IF($A305="","",VALUE($A305&amp;"")*12+VALUE($B305&amp;""))</f>
        <v/>
      </c>
      <c r="J305" s="9">
        <f>IF($A305="","",$C305&amp;"")</f>
        <v/>
      </c>
      <c r="K305" s="77">
        <f>IF($A305="",0,($E305-$F305)*설정!$C$23)</f>
        <v/>
      </c>
    </row>
    <row r="306">
      <c r="A306" s="75" t="n">
        <v>2026</v>
      </c>
      <c r="B306" s="75" t="n">
        <v>5</v>
      </c>
      <c r="C306" s="75" t="n">
        <v>63002000</v>
      </c>
      <c r="D306" s="75" t="inlineStr">
        <is>
          <t>전산운영비-클라우드</t>
        </is>
      </c>
      <c r="E306" s="76" t="n">
        <v>79000000</v>
      </c>
      <c r="F306" s="76" t="n">
        <v>0</v>
      </c>
      <c r="G306" s="76" t="n">
        <v>394000000</v>
      </c>
      <c r="I306" s="9">
        <f>IF($A306="","",VALUE($A306&amp;"")*12+VALUE($B306&amp;""))</f>
        <v/>
      </c>
      <c r="J306" s="9">
        <f>IF($A306="","",$C306&amp;"")</f>
        <v/>
      </c>
      <c r="K306" s="77">
        <f>IF($A306="",0,($E306-$F306)*설정!$C$23)</f>
        <v/>
      </c>
    </row>
    <row r="307">
      <c r="A307" s="75" t="n">
        <v>2026</v>
      </c>
      <c r="B307" s="75" t="n">
        <v>5</v>
      </c>
      <c r="C307" s="75" t="n">
        <v>63101000</v>
      </c>
      <c r="D307" s="75" t="inlineStr">
        <is>
          <t>임차료</t>
        </is>
      </c>
      <c r="E307" s="76" t="n">
        <v>16666000</v>
      </c>
      <c r="F307" s="76" t="n">
        <v>0</v>
      </c>
      <c r="G307" s="76" t="n">
        <v>78691000</v>
      </c>
      <c r="I307" s="9">
        <f>IF($A307="","",VALUE($A307&amp;"")*12+VALUE($B307&amp;""))</f>
        <v/>
      </c>
      <c r="J307" s="9">
        <f>IF($A307="","",$C307&amp;"")</f>
        <v/>
      </c>
      <c r="K307" s="77">
        <f>IF($A307="",0,($E307-$F307)*설정!$C$23)</f>
        <v/>
      </c>
    </row>
    <row r="308">
      <c r="A308" s="75" t="n">
        <v>2026</v>
      </c>
      <c r="B308" s="75" t="n">
        <v>5</v>
      </c>
      <c r="C308" s="75" t="n">
        <v>63201000</v>
      </c>
      <c r="D308" s="75" t="inlineStr">
        <is>
          <t>차량유지비</t>
        </is>
      </c>
      <c r="E308" s="76" t="n">
        <v>7705000</v>
      </c>
      <c r="F308" s="76" t="n">
        <v>0</v>
      </c>
      <c r="G308" s="76" t="n">
        <v>39570000</v>
      </c>
      <c r="I308" s="9">
        <f>IF($A308="","",VALUE($A308&amp;"")*12+VALUE($B308&amp;""))</f>
        <v/>
      </c>
      <c r="J308" s="9">
        <f>IF($A308="","",$C308&amp;"")</f>
        <v/>
      </c>
      <c r="K308" s="77">
        <f>IF($A308="",0,($E308-$F308)*설정!$C$23)</f>
        <v/>
      </c>
    </row>
    <row r="309">
      <c r="A309" s="75" t="n">
        <v>2026</v>
      </c>
      <c r="B309" s="75" t="n">
        <v>5</v>
      </c>
      <c r="C309" s="75" t="n">
        <v>61101000</v>
      </c>
      <c r="D309" s="75" t="inlineStr">
        <is>
          <t>급여</t>
        </is>
      </c>
      <c r="E309" s="76" t="n">
        <v>802827000</v>
      </c>
      <c r="F309" s="76" t="n">
        <v>0</v>
      </c>
      <c r="G309" s="76" t="n">
        <v>4053458000</v>
      </c>
      <c r="I309" s="9">
        <f>IF($A309="","",VALUE($A309&amp;"")*12+VALUE($B309&amp;""))</f>
        <v/>
      </c>
      <c r="J309" s="9">
        <f>IF($A309="","",$C309&amp;"")</f>
        <v/>
      </c>
      <c r="K309" s="77">
        <f>IF($A309="",0,($E309-$F309)*설정!$C$23)</f>
        <v/>
      </c>
    </row>
    <row r="310">
      <c r="A310" s="75" t="n">
        <v>2026</v>
      </c>
      <c r="B310" s="75" t="n">
        <v>5</v>
      </c>
      <c r="C310" s="75" t="n">
        <v>61201000</v>
      </c>
      <c r="D310" s="75" t="inlineStr">
        <is>
          <t>복리후생비</t>
        </is>
      </c>
      <c r="E310" s="76" t="n">
        <v>118038000</v>
      </c>
      <c r="F310" s="76" t="n">
        <v>0</v>
      </c>
      <c r="G310" s="76" t="n">
        <v>599654000</v>
      </c>
      <c r="I310" s="9">
        <f>IF($A310="","",VALUE($A310&amp;"")*12+VALUE($B310&amp;""))</f>
        <v/>
      </c>
      <c r="J310" s="9">
        <f>IF($A310="","",$C310&amp;"")</f>
        <v/>
      </c>
      <c r="K310" s="77">
        <f>IF($A310="",0,($E310-$F310)*설정!$C$23)</f>
        <v/>
      </c>
    </row>
    <row r="311">
      <c r="A311" s="75" t="n">
        <v>2026</v>
      </c>
      <c r="B311" s="75" t="n">
        <v>6</v>
      </c>
      <c r="C311" s="75" t="n">
        <v>62101000</v>
      </c>
      <c r="D311" s="75" t="inlineStr">
        <is>
          <t>여비교통비-국내</t>
        </is>
      </c>
      <c r="E311" s="76" t="n">
        <v>17005000</v>
      </c>
      <c r="F311" s="76" t="n">
        <v>0</v>
      </c>
      <c r="G311" s="76" t="n">
        <v>100166000</v>
      </c>
      <c r="I311" s="9">
        <f>IF($A311="","",VALUE($A311&amp;"")*12+VALUE($B311&amp;""))</f>
        <v/>
      </c>
      <c r="J311" s="9">
        <f>IF($A311="","",$C311&amp;"")</f>
        <v/>
      </c>
      <c r="K311" s="77">
        <f>IF($A311="",0,($E311-$F311)*설정!$C$23)</f>
        <v/>
      </c>
    </row>
    <row r="312">
      <c r="A312" s="75" t="n">
        <v>2026</v>
      </c>
      <c r="B312" s="75" t="n">
        <v>6</v>
      </c>
      <c r="C312" s="75" t="n">
        <v>62102000</v>
      </c>
      <c r="D312" s="75" t="inlineStr">
        <is>
          <t>여비교통비-해외</t>
        </is>
      </c>
      <c r="E312" s="76" t="n">
        <v>3039000</v>
      </c>
      <c r="F312" s="76" t="n">
        <v>0</v>
      </c>
      <c r="G312" s="76" t="n">
        <v>17535000</v>
      </c>
      <c r="I312" s="9">
        <f>IF($A312="","",VALUE($A312&amp;"")*12+VALUE($B312&amp;""))</f>
        <v/>
      </c>
      <c r="J312" s="9">
        <f>IF($A312="","",$C312&amp;"")</f>
        <v/>
      </c>
      <c r="K312" s="77">
        <f>IF($A312="",0,($E312-$F312)*설정!$C$23)</f>
        <v/>
      </c>
    </row>
    <row r="313">
      <c r="A313" s="75" t="n">
        <v>2026</v>
      </c>
      <c r="B313" s="75" t="n">
        <v>6</v>
      </c>
      <c r="C313" s="75" t="n">
        <v>62201000</v>
      </c>
      <c r="D313" s="75" t="inlineStr">
        <is>
          <t>통신비</t>
        </is>
      </c>
      <c r="E313" s="76" t="n">
        <v>34922000</v>
      </c>
      <c r="F313" s="76" t="n">
        <v>0</v>
      </c>
      <c r="G313" s="76" t="n">
        <v>211359000</v>
      </c>
      <c r="I313" s="9">
        <f>IF($A313="","",VALUE($A313&amp;"")*12+VALUE($B313&amp;""))</f>
        <v/>
      </c>
      <c r="J313" s="9">
        <f>IF($A313="","",$C313&amp;"")</f>
        <v/>
      </c>
      <c r="K313" s="77">
        <f>IF($A313="",0,($E313-$F313)*설정!$C$23)</f>
        <v/>
      </c>
    </row>
    <row r="314">
      <c r="A314" s="75" t="n">
        <v>2026</v>
      </c>
      <c r="B314" s="75" t="n">
        <v>6</v>
      </c>
      <c r="C314" s="75" t="n">
        <v>62301000</v>
      </c>
      <c r="D314" s="75" t="inlineStr">
        <is>
          <t>소모품비</t>
        </is>
      </c>
      <c r="E314" s="76" t="n">
        <v>6071000</v>
      </c>
      <c r="F314" s="76" t="n">
        <v>0</v>
      </c>
      <c r="G314" s="76" t="n">
        <v>35044000</v>
      </c>
      <c r="I314" s="9">
        <f>IF($A314="","",VALUE($A314&amp;"")*12+VALUE($B314&amp;""))</f>
        <v/>
      </c>
      <c r="J314" s="9">
        <f>IF($A314="","",$C314&amp;"")</f>
        <v/>
      </c>
      <c r="K314" s="77">
        <f>IF($A314="",0,($E314-$F314)*설정!$C$23)</f>
        <v/>
      </c>
    </row>
    <row r="315">
      <c r="A315" s="75" t="n">
        <v>2026</v>
      </c>
      <c r="B315" s="75" t="n">
        <v>6</v>
      </c>
      <c r="C315" s="75" t="n">
        <v>62401000</v>
      </c>
      <c r="D315" s="75" t="inlineStr">
        <is>
          <t>도서인쇄비</t>
        </is>
      </c>
      <c r="E315" s="76" t="n">
        <v>13315000</v>
      </c>
      <c r="F315" s="76" t="n">
        <v>0</v>
      </c>
      <c r="G315" s="76" t="n">
        <v>77153000</v>
      </c>
      <c r="I315" s="9">
        <f>IF($A315="","",VALUE($A315&amp;"")*12+VALUE($B315&amp;""))</f>
        <v/>
      </c>
      <c r="J315" s="9">
        <f>IF($A315="","",$C315&amp;"")</f>
        <v/>
      </c>
      <c r="K315" s="77">
        <f>IF($A315="",0,($E315-$F315)*설정!$C$23)</f>
        <v/>
      </c>
    </row>
    <row r="316">
      <c r="A316" s="75" t="n">
        <v>2026</v>
      </c>
      <c r="B316" s="75" t="n">
        <v>6</v>
      </c>
      <c r="C316" s="75" t="n">
        <v>62501000</v>
      </c>
      <c r="D316" s="75" t="inlineStr">
        <is>
          <t>회의비</t>
        </is>
      </c>
      <c r="E316" s="76" t="n">
        <v>5663000</v>
      </c>
      <c r="F316" s="76" t="n">
        <v>0</v>
      </c>
      <c r="G316" s="76" t="n">
        <v>33281000</v>
      </c>
      <c r="I316" s="9">
        <f>IF($A316="","",VALUE($A316&amp;"")*12+VALUE($B316&amp;""))</f>
        <v/>
      </c>
      <c r="J316" s="9">
        <f>IF($A316="","",$C316&amp;"")</f>
        <v/>
      </c>
      <c r="K316" s="77">
        <f>IF($A316="",0,($E316-$F316)*설정!$C$23)</f>
        <v/>
      </c>
    </row>
    <row r="317">
      <c r="A317" s="75" t="n">
        <v>2026</v>
      </c>
      <c r="B317" s="75" t="n">
        <v>6</v>
      </c>
      <c r="C317" s="75" t="n">
        <v>62601000</v>
      </c>
      <c r="D317" s="75" t="inlineStr">
        <is>
          <t>업무추진비</t>
        </is>
      </c>
      <c r="E317" s="76" t="n">
        <v>11477000</v>
      </c>
      <c r="F317" s="76" t="n">
        <v>0</v>
      </c>
      <c r="G317" s="76" t="n">
        <v>66575000</v>
      </c>
      <c r="I317" s="9">
        <f>IF($A317="","",VALUE($A317&amp;"")*12+VALUE($B317&amp;""))</f>
        <v/>
      </c>
      <c r="J317" s="9">
        <f>IF($A317="","",$C317&amp;"")</f>
        <v/>
      </c>
      <c r="K317" s="77">
        <f>IF($A317="",0,($E317-$F317)*설정!$C$23)</f>
        <v/>
      </c>
    </row>
    <row r="318">
      <c r="A318" s="75" t="n">
        <v>2026</v>
      </c>
      <c r="B318" s="75" t="n">
        <v>6</v>
      </c>
      <c r="C318" s="75" t="n">
        <v>62701000</v>
      </c>
      <c r="D318" s="75" t="inlineStr">
        <is>
          <t>광고선전비</t>
        </is>
      </c>
      <c r="E318" s="76" t="n">
        <v>139999000</v>
      </c>
      <c r="F318" s="76" t="n">
        <v>0</v>
      </c>
      <c r="G318" s="76" t="n">
        <v>988000000</v>
      </c>
      <c r="I318" s="9">
        <f>IF($A318="","",VALUE($A318&amp;"")*12+VALUE($B318&amp;""))</f>
        <v/>
      </c>
      <c r="J318" s="9">
        <f>IF($A318="","",$C318&amp;"")</f>
        <v/>
      </c>
      <c r="K318" s="77">
        <f>IF($A318="",0,($E318-$F318)*설정!$C$23)</f>
        <v/>
      </c>
    </row>
    <row r="319">
      <c r="A319" s="75" t="n">
        <v>2026</v>
      </c>
      <c r="B319" s="75" t="n">
        <v>6</v>
      </c>
      <c r="C319" s="75" t="n">
        <v>62801000</v>
      </c>
      <c r="D319" s="75" t="inlineStr">
        <is>
          <t>교육훈련비-사내</t>
        </is>
      </c>
      <c r="E319" s="76" t="n">
        <v>15897000</v>
      </c>
      <c r="F319" s="76" t="n">
        <v>0</v>
      </c>
      <c r="G319" s="76" t="n">
        <v>86869000</v>
      </c>
      <c r="I319" s="9">
        <f>IF($A319="","",VALUE($A319&amp;"")*12+VALUE($B319&amp;""))</f>
        <v/>
      </c>
      <c r="J319" s="9">
        <f>IF($A319="","",$C319&amp;"")</f>
        <v/>
      </c>
      <c r="K319" s="77">
        <f>IF($A319="",0,($E319-$F319)*설정!$C$23)</f>
        <v/>
      </c>
    </row>
    <row r="320">
      <c r="A320" s="75" t="n">
        <v>2026</v>
      </c>
      <c r="B320" s="75" t="n">
        <v>6</v>
      </c>
      <c r="C320" s="75" t="n">
        <v>62802000</v>
      </c>
      <c r="D320" s="75" t="inlineStr">
        <is>
          <t>교육훈련비-외부위탁</t>
        </is>
      </c>
      <c r="E320" s="76" t="n">
        <v>10972000</v>
      </c>
      <c r="F320" s="76" t="n">
        <v>0</v>
      </c>
      <c r="G320" s="76" t="n">
        <v>66565000</v>
      </c>
      <c r="I320" s="9">
        <f>IF($A320="","",VALUE($A320&amp;"")*12+VALUE($B320&amp;""))</f>
        <v/>
      </c>
      <c r="J320" s="9">
        <f>IF($A320="","",$C320&amp;"")</f>
        <v/>
      </c>
      <c r="K320" s="77">
        <f>IF($A320="",0,($E320-$F320)*설정!$C$23)</f>
        <v/>
      </c>
    </row>
    <row r="321">
      <c r="A321" s="75" t="n">
        <v>2026</v>
      </c>
      <c r="B321" s="75" t="n">
        <v>6</v>
      </c>
      <c r="C321" s="75" t="n">
        <v>62901000</v>
      </c>
      <c r="D321" s="75" t="inlineStr">
        <is>
          <t>지급수수료-컨설팅</t>
        </is>
      </c>
      <c r="E321" s="76" t="n">
        <v>79314000</v>
      </c>
      <c r="F321" s="76" t="n">
        <v>0</v>
      </c>
      <c r="G321" s="76" t="n">
        <v>489001000</v>
      </c>
      <c r="I321" s="9">
        <f>IF($A321="","",VALUE($A321&amp;"")*12+VALUE($B321&amp;""))</f>
        <v/>
      </c>
      <c r="J321" s="9">
        <f>IF($A321="","",$C321&amp;"")</f>
        <v/>
      </c>
      <c r="K321" s="77">
        <f>IF($A321="",0,($E321-$F321)*설정!$C$23)</f>
        <v/>
      </c>
    </row>
    <row r="322">
      <c r="A322" s="75" t="n">
        <v>2026</v>
      </c>
      <c r="B322" s="75" t="n">
        <v>6</v>
      </c>
      <c r="C322" s="75" t="n">
        <v>62902000</v>
      </c>
      <c r="D322" s="75" t="inlineStr">
        <is>
          <t>지급수수료-기타</t>
        </is>
      </c>
      <c r="E322" s="76" t="n">
        <v>43069000</v>
      </c>
      <c r="F322" s="76" t="n">
        <v>0</v>
      </c>
      <c r="G322" s="76" t="n">
        <v>264183000</v>
      </c>
      <c r="I322" s="9">
        <f>IF($A322="","",VALUE($A322&amp;"")*12+VALUE($B322&amp;""))</f>
        <v/>
      </c>
      <c r="J322" s="9">
        <f>IF($A322="","",$C322&amp;"")</f>
        <v/>
      </c>
      <c r="K322" s="77">
        <f>IF($A322="",0,($E322-$F322)*설정!$C$23)</f>
        <v/>
      </c>
    </row>
    <row r="323">
      <c r="A323" s="75" t="n">
        <v>2026</v>
      </c>
      <c r="B323" s="75" t="n">
        <v>6</v>
      </c>
      <c r="C323" s="75" t="n">
        <v>63001000</v>
      </c>
      <c r="D323" s="75" t="inlineStr">
        <is>
          <t>전산운영비-SW유지보수</t>
        </is>
      </c>
      <c r="E323" s="76" t="n">
        <v>97142000</v>
      </c>
      <c r="F323" s="76" t="n">
        <v>0</v>
      </c>
      <c r="G323" s="76" t="n">
        <v>568167000</v>
      </c>
      <c r="I323" s="9">
        <f>IF($A323="","",VALUE($A323&amp;"")*12+VALUE($B323&amp;""))</f>
        <v/>
      </c>
      <c r="J323" s="9">
        <f>IF($A323="","",$C323&amp;"")</f>
        <v/>
      </c>
      <c r="K323" s="77">
        <f>IF($A323="",0,($E323-$F323)*설정!$C$23)</f>
        <v/>
      </c>
    </row>
    <row r="324">
      <c r="A324" s="75" t="n">
        <v>2026</v>
      </c>
      <c r="B324" s="75" t="n">
        <v>6</v>
      </c>
      <c r="C324" s="75" t="n">
        <v>63002000</v>
      </c>
      <c r="D324" s="75" t="inlineStr">
        <is>
          <t>전산운영비-클라우드</t>
        </is>
      </c>
      <c r="E324" s="76" t="n">
        <v>80000000</v>
      </c>
      <c r="F324" s="76" t="n">
        <v>0</v>
      </c>
      <c r="G324" s="76" t="n">
        <v>474000000</v>
      </c>
      <c r="I324" s="9">
        <f>IF($A324="","",VALUE($A324&amp;"")*12+VALUE($B324&amp;""))</f>
        <v/>
      </c>
      <c r="J324" s="9">
        <f>IF($A324="","",$C324&amp;"")</f>
        <v/>
      </c>
      <c r="K324" s="77">
        <f>IF($A324="",0,($E324-$F324)*설정!$C$23)</f>
        <v/>
      </c>
    </row>
    <row r="325">
      <c r="A325" s="75" t="n">
        <v>2026</v>
      </c>
      <c r="B325" s="75" t="n">
        <v>6</v>
      </c>
      <c r="C325" s="75" t="n">
        <v>63101000</v>
      </c>
      <c r="D325" s="75" t="inlineStr">
        <is>
          <t>임차료</t>
        </is>
      </c>
      <c r="E325" s="76" t="n">
        <v>14931000</v>
      </c>
      <c r="F325" s="76" t="n">
        <v>0</v>
      </c>
      <c r="G325" s="76" t="n">
        <v>93622000</v>
      </c>
      <c r="I325" s="9">
        <f>IF($A325="","",VALUE($A325&amp;"")*12+VALUE($B325&amp;""))</f>
        <v/>
      </c>
      <c r="J325" s="9">
        <f>IF($A325="","",$C325&amp;"")</f>
        <v/>
      </c>
      <c r="K325" s="77">
        <f>IF($A325="",0,($E325-$F325)*설정!$C$23)</f>
        <v/>
      </c>
    </row>
    <row r="326">
      <c r="A326" s="75" t="n">
        <v>2026</v>
      </c>
      <c r="B326" s="75" t="n">
        <v>6</v>
      </c>
      <c r="C326" s="75" t="n">
        <v>63201000</v>
      </c>
      <c r="D326" s="75" t="inlineStr">
        <is>
          <t>차량유지비</t>
        </is>
      </c>
      <c r="E326" s="76" t="n">
        <v>8046000</v>
      </c>
      <c r="F326" s="76" t="n">
        <v>0</v>
      </c>
      <c r="G326" s="76" t="n">
        <v>47616000</v>
      </c>
      <c r="I326" s="9">
        <f>IF($A326="","",VALUE($A326&amp;"")*12+VALUE($B326&amp;""))</f>
        <v/>
      </c>
      <c r="J326" s="9">
        <f>IF($A326="","",$C326&amp;"")</f>
        <v/>
      </c>
      <c r="K326" s="77">
        <f>IF($A326="",0,($E326-$F326)*설정!$C$23)</f>
        <v/>
      </c>
    </row>
    <row r="327">
      <c r="A327" s="75" t="n">
        <v>2026</v>
      </c>
      <c r="B327" s="75" t="n">
        <v>6</v>
      </c>
      <c r="C327" s="75" t="n">
        <v>61101000</v>
      </c>
      <c r="D327" s="75" t="inlineStr">
        <is>
          <t>급여</t>
        </is>
      </c>
      <c r="E327" s="76" t="n">
        <v>788962000</v>
      </c>
      <c r="F327" s="76" t="n">
        <v>0</v>
      </c>
      <c r="G327" s="76" t="n">
        <v>4842420000</v>
      </c>
      <c r="I327" s="9">
        <f>IF($A327="","",VALUE($A327&amp;"")*12+VALUE($B327&amp;""))</f>
        <v/>
      </c>
      <c r="J327" s="9">
        <f>IF($A327="","",$C327&amp;"")</f>
        <v/>
      </c>
      <c r="K327" s="77">
        <f>IF($A327="",0,($E327-$F327)*설정!$C$23)</f>
        <v/>
      </c>
    </row>
    <row r="328">
      <c r="A328" s="75" t="n">
        <v>2026</v>
      </c>
      <c r="B328" s="75" t="n">
        <v>6</v>
      </c>
      <c r="C328" s="75" t="n">
        <v>61201000</v>
      </c>
      <c r="D328" s="75" t="inlineStr">
        <is>
          <t>복리후생비</t>
        </is>
      </c>
      <c r="E328" s="76" t="n">
        <v>123493000</v>
      </c>
      <c r="F328" s="76" t="n">
        <v>0</v>
      </c>
      <c r="G328" s="76" t="n">
        <v>723147000</v>
      </c>
      <c r="I328" s="9">
        <f>IF($A328="","",VALUE($A328&amp;"")*12+VALUE($B328&amp;""))</f>
        <v/>
      </c>
      <c r="J328" s="9">
        <f>IF($A328="","",$C328&amp;"")</f>
        <v/>
      </c>
      <c r="K328" s="77">
        <f>IF($A328="",0,($E328-$F328)*설정!$C$23)</f>
        <v/>
      </c>
    </row>
    <row r="329">
      <c r="A329" s="75" t="n">
        <v>2026</v>
      </c>
      <c r="B329" s="75" t="n">
        <v>7</v>
      </c>
      <c r="C329" s="75" t="n">
        <v>62101000</v>
      </c>
      <c r="D329" s="75" t="inlineStr">
        <is>
          <t>여비교통비-국내</t>
        </is>
      </c>
      <c r="E329" s="76" t="n">
        <v>15984000</v>
      </c>
      <c r="F329" s="76" t="n">
        <v>0</v>
      </c>
      <c r="G329" s="76" t="n">
        <v>116150000</v>
      </c>
      <c r="I329" s="9">
        <f>IF($A329="","",VALUE($A329&amp;"")*12+VALUE($B329&amp;""))</f>
        <v/>
      </c>
      <c r="J329" s="9">
        <f>IF($A329="","",$C329&amp;"")</f>
        <v/>
      </c>
      <c r="K329" s="77">
        <f>IF($A329="",0,($E329-$F329)*설정!$C$23)</f>
        <v/>
      </c>
    </row>
    <row r="330">
      <c r="A330" s="75" t="n">
        <v>2026</v>
      </c>
      <c r="B330" s="75" t="n">
        <v>7</v>
      </c>
      <c r="C330" s="75" t="n">
        <v>62102000</v>
      </c>
      <c r="D330" s="75" t="inlineStr">
        <is>
          <t>여비교통비-해외</t>
        </is>
      </c>
      <c r="E330" s="76" t="n">
        <v>2974000</v>
      </c>
      <c r="F330" s="76" t="n">
        <v>0</v>
      </c>
      <c r="G330" s="76" t="n">
        <v>20509000</v>
      </c>
      <c r="I330" s="9">
        <f>IF($A330="","",VALUE($A330&amp;"")*12+VALUE($B330&amp;""))</f>
        <v/>
      </c>
      <c r="J330" s="9">
        <f>IF($A330="","",$C330&amp;"")</f>
        <v/>
      </c>
      <c r="K330" s="77">
        <f>IF($A330="",0,($E330-$F330)*설정!$C$23)</f>
        <v/>
      </c>
    </row>
    <row r="331">
      <c r="A331" s="75" t="n">
        <v>2026</v>
      </c>
      <c r="B331" s="75" t="n">
        <v>7</v>
      </c>
      <c r="C331" s="75" t="n">
        <v>62201000</v>
      </c>
      <c r="D331" s="75" t="inlineStr">
        <is>
          <t>통신비</t>
        </is>
      </c>
      <c r="E331" s="76" t="n">
        <v>35686000</v>
      </c>
      <c r="F331" s="76" t="n">
        <v>0</v>
      </c>
      <c r="G331" s="76" t="n">
        <v>247045000</v>
      </c>
      <c r="I331" s="9">
        <f>IF($A331="","",VALUE($A331&amp;"")*12+VALUE($B331&amp;""))</f>
        <v/>
      </c>
      <c r="J331" s="9">
        <f>IF($A331="","",$C331&amp;"")</f>
        <v/>
      </c>
      <c r="K331" s="77">
        <f>IF($A331="",0,($E331-$F331)*설정!$C$23)</f>
        <v/>
      </c>
    </row>
    <row r="332">
      <c r="A332" s="75" t="n">
        <v>2026</v>
      </c>
      <c r="B332" s="75" t="n">
        <v>7</v>
      </c>
      <c r="C332" s="75" t="n">
        <v>62301000</v>
      </c>
      <c r="D332" s="75" t="inlineStr">
        <is>
          <t>소모품비</t>
        </is>
      </c>
      <c r="E332" s="76" t="n">
        <v>5958000</v>
      </c>
      <c r="F332" s="76" t="n">
        <v>0</v>
      </c>
      <c r="G332" s="76" t="n">
        <v>41002000</v>
      </c>
      <c r="I332" s="9">
        <f>IF($A332="","",VALUE($A332&amp;"")*12+VALUE($B332&amp;""))</f>
        <v/>
      </c>
      <c r="J332" s="9">
        <f>IF($A332="","",$C332&amp;"")</f>
        <v/>
      </c>
      <c r="K332" s="77">
        <f>IF($A332="",0,($E332-$F332)*설정!$C$23)</f>
        <v/>
      </c>
    </row>
    <row r="333">
      <c r="A333" s="75" t="n">
        <v>2026</v>
      </c>
      <c r="B333" s="75" t="n">
        <v>7</v>
      </c>
      <c r="C333" s="75" t="n">
        <v>62401000</v>
      </c>
      <c r="D333" s="75" t="inlineStr">
        <is>
          <t>도서인쇄비</t>
        </is>
      </c>
      <c r="E333" s="76" t="n">
        <v>14454000</v>
      </c>
      <c r="F333" s="76" t="n">
        <v>0</v>
      </c>
      <c r="G333" s="76" t="n">
        <v>91607000</v>
      </c>
      <c r="I333" s="9">
        <f>IF($A333="","",VALUE($A333&amp;"")*12+VALUE($B333&amp;""))</f>
        <v/>
      </c>
      <c r="J333" s="9">
        <f>IF($A333="","",$C333&amp;"")</f>
        <v/>
      </c>
      <c r="K333" s="77">
        <f>IF($A333="",0,($E333-$F333)*설정!$C$23)</f>
        <v/>
      </c>
    </row>
    <row r="334">
      <c r="A334" s="75" t="n">
        <v>2026</v>
      </c>
      <c r="B334" s="75" t="n">
        <v>7</v>
      </c>
      <c r="C334" s="75" t="n">
        <v>62501000</v>
      </c>
      <c r="D334" s="75" t="inlineStr">
        <is>
          <t>회의비</t>
        </is>
      </c>
      <c r="E334" s="76" t="n">
        <v>5789000</v>
      </c>
      <c r="F334" s="76" t="n">
        <v>0</v>
      </c>
      <c r="G334" s="76" t="n">
        <v>39070000</v>
      </c>
      <c r="I334" s="9">
        <f>IF($A334="","",VALUE($A334&amp;"")*12+VALUE($B334&amp;""))</f>
        <v/>
      </c>
      <c r="J334" s="9">
        <f>IF($A334="","",$C334&amp;"")</f>
        <v/>
      </c>
      <c r="K334" s="77">
        <f>IF($A334="",0,($E334-$F334)*설정!$C$23)</f>
        <v/>
      </c>
    </row>
    <row r="335">
      <c r="A335" s="75" t="n">
        <v>2026</v>
      </c>
      <c r="B335" s="75" t="n">
        <v>7</v>
      </c>
      <c r="C335" s="75" t="n">
        <v>62601000</v>
      </c>
      <c r="D335" s="75" t="inlineStr">
        <is>
          <t>업무추진비</t>
        </is>
      </c>
      <c r="E335" s="76" t="n">
        <v>10603000</v>
      </c>
      <c r="F335" s="76" t="n">
        <v>0</v>
      </c>
      <c r="G335" s="76" t="n">
        <v>77178000</v>
      </c>
      <c r="I335" s="9">
        <f>IF($A335="","",VALUE($A335&amp;"")*12+VALUE($B335&amp;""))</f>
        <v/>
      </c>
      <c r="J335" s="9">
        <f>IF($A335="","",$C335&amp;"")</f>
        <v/>
      </c>
      <c r="K335" s="77">
        <f>IF($A335="",0,($E335-$F335)*설정!$C$23)</f>
        <v/>
      </c>
    </row>
    <row r="336">
      <c r="A336" s="75" t="n">
        <v>2026</v>
      </c>
      <c r="B336" s="75" t="n">
        <v>7</v>
      </c>
      <c r="C336" s="75" t="n">
        <v>62701000</v>
      </c>
      <c r="D336" s="75" t="inlineStr">
        <is>
          <t>광고선전비</t>
        </is>
      </c>
      <c r="E336" s="76" t="n">
        <v>190001000</v>
      </c>
      <c r="F336" s="76" t="n">
        <v>0</v>
      </c>
      <c r="G336" s="76" t="n">
        <v>1178001000</v>
      </c>
      <c r="I336" s="9">
        <f>IF($A336="","",VALUE($A336&amp;"")*12+VALUE($B336&amp;""))</f>
        <v/>
      </c>
      <c r="J336" s="9">
        <f>IF($A336="","",$C336&amp;"")</f>
        <v/>
      </c>
      <c r="K336" s="77">
        <f>IF($A336="",0,($E336-$F336)*설정!$C$23)</f>
        <v/>
      </c>
    </row>
    <row r="337">
      <c r="A337" s="75" t="n">
        <v>2026</v>
      </c>
      <c r="B337" s="75" t="n">
        <v>7</v>
      </c>
      <c r="C337" s="75" t="n">
        <v>62801000</v>
      </c>
      <c r="D337" s="75" t="inlineStr">
        <is>
          <t>교육훈련비-사내</t>
        </is>
      </c>
      <c r="E337" s="76" t="n">
        <v>14216000</v>
      </c>
      <c r="F337" s="76" t="n">
        <v>0</v>
      </c>
      <c r="G337" s="76" t="n">
        <v>101085000</v>
      </c>
      <c r="I337" s="9">
        <f>IF($A337="","",VALUE($A337&amp;"")*12+VALUE($B337&amp;""))</f>
        <v/>
      </c>
      <c r="J337" s="9">
        <f>IF($A337="","",$C337&amp;"")</f>
        <v/>
      </c>
      <c r="K337" s="77">
        <f>IF($A337="",0,($E337-$F337)*설정!$C$23)</f>
        <v/>
      </c>
    </row>
    <row r="338">
      <c r="A338" s="75" t="n">
        <v>2026</v>
      </c>
      <c r="B338" s="75" t="n">
        <v>7</v>
      </c>
      <c r="C338" s="75" t="n">
        <v>62802000</v>
      </c>
      <c r="D338" s="75" t="inlineStr">
        <is>
          <t>교육훈련비-외부위탁</t>
        </is>
      </c>
      <c r="E338" s="76" t="n">
        <v>12087000</v>
      </c>
      <c r="F338" s="76" t="n">
        <v>0</v>
      </c>
      <c r="G338" s="76" t="n">
        <v>78652000</v>
      </c>
      <c r="I338" s="9">
        <f>IF($A338="","",VALUE($A338&amp;"")*12+VALUE($B338&amp;""))</f>
        <v/>
      </c>
      <c r="J338" s="9">
        <f>IF($A338="","",$C338&amp;"")</f>
        <v/>
      </c>
      <c r="K338" s="77">
        <f>IF($A338="",0,($E338-$F338)*설정!$C$23)</f>
        <v/>
      </c>
    </row>
    <row r="339">
      <c r="A339" s="75" t="n">
        <v>2026</v>
      </c>
      <c r="B339" s="75" t="n">
        <v>7</v>
      </c>
      <c r="C339" s="75" t="n">
        <v>62901000</v>
      </c>
      <c r="D339" s="75" t="inlineStr">
        <is>
          <t>지급수수료-컨설팅</t>
        </is>
      </c>
      <c r="E339" s="76" t="n">
        <v>83463000</v>
      </c>
      <c r="F339" s="76" t="n">
        <v>0</v>
      </c>
      <c r="G339" s="76" t="n">
        <v>572464000</v>
      </c>
      <c r="I339" s="9">
        <f>IF($A339="","",VALUE($A339&amp;"")*12+VALUE($B339&amp;""))</f>
        <v/>
      </c>
      <c r="J339" s="9">
        <f>IF($A339="","",$C339&amp;"")</f>
        <v/>
      </c>
      <c r="K339" s="77">
        <f>IF($A339="",0,($E339-$F339)*설정!$C$23)</f>
        <v/>
      </c>
    </row>
    <row r="340">
      <c r="A340" s="75" t="n">
        <v>2026</v>
      </c>
      <c r="B340" s="75" t="n">
        <v>7</v>
      </c>
      <c r="C340" s="75" t="n">
        <v>62902000</v>
      </c>
      <c r="D340" s="75" t="inlineStr">
        <is>
          <t>지급수수료-기타</t>
        </is>
      </c>
      <c r="E340" s="76" t="n">
        <v>42530000</v>
      </c>
      <c r="F340" s="76" t="n">
        <v>0</v>
      </c>
      <c r="G340" s="76" t="n">
        <v>306713000</v>
      </c>
      <c r="I340" s="9">
        <f>IF($A340="","",VALUE($A340&amp;"")*12+VALUE($B340&amp;""))</f>
        <v/>
      </c>
      <c r="J340" s="9">
        <f>IF($A340="","",$C340&amp;"")</f>
        <v/>
      </c>
      <c r="K340" s="77">
        <f>IF($A340="",0,($E340-$F340)*설정!$C$23)</f>
        <v/>
      </c>
    </row>
    <row r="341">
      <c r="A341" s="75" t="n">
        <v>2026</v>
      </c>
      <c r="B341" s="75" t="n">
        <v>7</v>
      </c>
      <c r="C341" s="75" t="n">
        <v>63001000</v>
      </c>
      <c r="D341" s="75" t="inlineStr">
        <is>
          <t>전산운영비-SW유지보수</t>
        </is>
      </c>
      <c r="E341" s="76" t="n">
        <v>91389000</v>
      </c>
      <c r="F341" s="76" t="n">
        <v>0</v>
      </c>
      <c r="G341" s="76" t="n">
        <v>659556000</v>
      </c>
      <c r="I341" s="9">
        <f>IF($A341="","",VALUE($A341&amp;"")*12+VALUE($B341&amp;""))</f>
        <v/>
      </c>
      <c r="J341" s="9">
        <f>IF($A341="","",$C341&amp;"")</f>
        <v/>
      </c>
      <c r="K341" s="77">
        <f>IF($A341="",0,($E341-$F341)*설정!$C$23)</f>
        <v/>
      </c>
    </row>
    <row r="342">
      <c r="A342" s="75" t="n">
        <v>2026</v>
      </c>
      <c r="B342" s="75" t="n">
        <v>7</v>
      </c>
      <c r="C342" s="75" t="n">
        <v>63002000</v>
      </c>
      <c r="D342" s="75" t="inlineStr">
        <is>
          <t>전산운영비-클라우드</t>
        </is>
      </c>
      <c r="E342" s="76" t="n">
        <v>86000000</v>
      </c>
      <c r="F342" s="76" t="n">
        <v>0</v>
      </c>
      <c r="G342" s="76" t="n">
        <v>560000000</v>
      </c>
      <c r="I342" s="9">
        <f>IF($A342="","",VALUE($A342&amp;"")*12+VALUE($B342&amp;""))</f>
        <v/>
      </c>
      <c r="J342" s="9">
        <f>IF($A342="","",$C342&amp;"")</f>
        <v/>
      </c>
      <c r="K342" s="77">
        <f>IF($A342="",0,($E342-$F342)*설정!$C$23)</f>
        <v/>
      </c>
    </row>
    <row r="343">
      <c r="A343" s="75" t="n">
        <v>2026</v>
      </c>
      <c r="B343" s="75" t="n">
        <v>7</v>
      </c>
      <c r="C343" s="75" t="n">
        <v>63101000</v>
      </c>
      <c r="D343" s="75" t="inlineStr">
        <is>
          <t>임차료</t>
        </is>
      </c>
      <c r="E343" s="76" t="n">
        <v>14543000</v>
      </c>
      <c r="F343" s="76" t="n">
        <v>0</v>
      </c>
      <c r="G343" s="76" t="n">
        <v>108165000</v>
      </c>
      <c r="I343" s="9">
        <f>IF($A343="","",VALUE($A343&amp;"")*12+VALUE($B343&amp;""))</f>
        <v/>
      </c>
      <c r="J343" s="9">
        <f>IF($A343="","",$C343&amp;"")</f>
        <v/>
      </c>
      <c r="K343" s="77">
        <f>IF($A343="",0,($E343-$F343)*설정!$C$23)</f>
        <v/>
      </c>
    </row>
    <row r="344">
      <c r="A344" s="75" t="n">
        <v>2026</v>
      </c>
      <c r="B344" s="75" t="n">
        <v>7</v>
      </c>
      <c r="C344" s="75" t="n">
        <v>63201000</v>
      </c>
      <c r="D344" s="75" t="inlineStr">
        <is>
          <t>차량유지비</t>
        </is>
      </c>
      <c r="E344" s="76" t="n">
        <v>7803000</v>
      </c>
      <c r="F344" s="76" t="n">
        <v>0</v>
      </c>
      <c r="G344" s="76" t="n">
        <v>55419000</v>
      </c>
      <c r="I344" s="9">
        <f>IF($A344="","",VALUE($A344&amp;"")*12+VALUE($B344&amp;""))</f>
        <v/>
      </c>
      <c r="J344" s="9">
        <f>IF($A344="","",$C344&amp;"")</f>
        <v/>
      </c>
      <c r="K344" s="77">
        <f>IF($A344="",0,($E344-$F344)*설정!$C$23)</f>
        <v/>
      </c>
    </row>
    <row r="345">
      <c r="A345" s="75" t="n">
        <v>2026</v>
      </c>
      <c r="B345" s="75" t="n">
        <v>7</v>
      </c>
      <c r="C345" s="75" t="n">
        <v>61101000</v>
      </c>
      <c r="D345" s="75" t="inlineStr">
        <is>
          <t>급여</t>
        </is>
      </c>
      <c r="E345" s="76" t="n">
        <v>812070000</v>
      </c>
      <c r="F345" s="76" t="n">
        <v>0</v>
      </c>
      <c r="G345" s="76" t="n">
        <v>5654490000</v>
      </c>
      <c r="I345" s="9">
        <f>IF($A345="","",VALUE($A345&amp;"")*12+VALUE($B345&amp;""))</f>
        <v/>
      </c>
      <c r="J345" s="9">
        <f>IF($A345="","",$C345&amp;"")</f>
        <v/>
      </c>
      <c r="K345" s="77">
        <f>IF($A345="",0,($E345-$F345)*설정!$C$23)</f>
        <v/>
      </c>
    </row>
    <row r="346">
      <c r="A346" s="75" t="n">
        <v>2026</v>
      </c>
      <c r="B346" s="75" t="n">
        <v>7</v>
      </c>
      <c r="C346" s="75" t="n">
        <v>61201000</v>
      </c>
      <c r="D346" s="75" t="inlineStr">
        <is>
          <t>복리후생비</t>
        </is>
      </c>
      <c r="E346" s="76" t="n">
        <v>118965000</v>
      </c>
      <c r="F346" s="76" t="n">
        <v>0</v>
      </c>
      <c r="G346" s="76" t="n">
        <v>842112000</v>
      </c>
      <c r="I346" s="9">
        <f>IF($A346="","",VALUE($A346&amp;"")*12+VALUE($B346&amp;""))</f>
        <v/>
      </c>
      <c r="J346" s="9">
        <f>IF($A346="","",$C346&amp;"")</f>
        <v/>
      </c>
      <c r="K346" s="77">
        <f>IF($A346="",0,($E346-$F346)*설정!$C$23)</f>
        <v/>
      </c>
    </row>
    <row r="347">
      <c r="A347" s="75" t="n">
        <v>2026</v>
      </c>
      <c r="B347" s="75" t="n">
        <v>8</v>
      </c>
      <c r="C347" s="75" t="n">
        <v>62101000</v>
      </c>
      <c r="D347" s="75" t="inlineStr">
        <is>
          <t>여비교통비-국내</t>
        </is>
      </c>
      <c r="E347" s="76" t="n">
        <v>17494000</v>
      </c>
      <c r="F347" s="76" t="n">
        <v>0</v>
      </c>
      <c r="G347" s="76" t="n">
        <v>133644000</v>
      </c>
      <c r="I347" s="9">
        <f>IF($A347="","",VALUE($A347&amp;"")*12+VALUE($B347&amp;""))</f>
        <v/>
      </c>
      <c r="J347" s="9">
        <f>IF($A347="","",$C347&amp;"")</f>
        <v/>
      </c>
      <c r="K347" s="77">
        <f>IF($A347="",0,($E347-$F347)*설정!$C$23)</f>
        <v/>
      </c>
    </row>
    <row r="348">
      <c r="A348" s="75" t="n">
        <v>2026</v>
      </c>
      <c r="B348" s="75" t="n">
        <v>8</v>
      </c>
      <c r="C348" s="75" t="n">
        <v>62102000</v>
      </c>
      <c r="D348" s="75" t="inlineStr">
        <is>
          <t>여비교통비-해외</t>
        </is>
      </c>
      <c r="E348" s="76" t="n">
        <v>2900000</v>
      </c>
      <c r="F348" s="76" t="n">
        <v>0</v>
      </c>
      <c r="G348" s="76" t="n">
        <v>23409000</v>
      </c>
      <c r="I348" s="9">
        <f>IF($A348="","",VALUE($A348&amp;"")*12+VALUE($B348&amp;""))</f>
        <v/>
      </c>
      <c r="J348" s="9">
        <f>IF($A348="","",$C348&amp;"")</f>
        <v/>
      </c>
      <c r="K348" s="77">
        <f>IF($A348="",0,($E348-$F348)*설정!$C$23)</f>
        <v/>
      </c>
    </row>
    <row r="349">
      <c r="A349" s="75" t="n">
        <v>2026</v>
      </c>
      <c r="B349" s="75" t="n">
        <v>8</v>
      </c>
      <c r="C349" s="75" t="n">
        <v>62201000</v>
      </c>
      <c r="D349" s="75" t="inlineStr">
        <is>
          <t>통신비</t>
        </is>
      </c>
      <c r="E349" s="76" t="n">
        <v>35351000</v>
      </c>
      <c r="F349" s="76" t="n">
        <v>0</v>
      </c>
      <c r="G349" s="76" t="n">
        <v>282396000</v>
      </c>
      <c r="I349" s="9">
        <f>IF($A349="","",VALUE($A349&amp;"")*12+VALUE($B349&amp;""))</f>
        <v/>
      </c>
      <c r="J349" s="9">
        <f>IF($A349="","",$C349&amp;"")</f>
        <v/>
      </c>
      <c r="K349" s="77">
        <f>IF($A349="",0,($E349-$F349)*설정!$C$23)</f>
        <v/>
      </c>
    </row>
    <row r="350">
      <c r="A350" s="75" t="n">
        <v>2026</v>
      </c>
      <c r="B350" s="75" t="n">
        <v>8</v>
      </c>
      <c r="C350" s="75" t="n">
        <v>62301000</v>
      </c>
      <c r="D350" s="75" t="inlineStr">
        <is>
          <t>소모품비</t>
        </is>
      </c>
      <c r="E350" s="76" t="n">
        <v>5862000</v>
      </c>
      <c r="F350" s="76" t="n">
        <v>0</v>
      </c>
      <c r="G350" s="76" t="n">
        <v>46864000</v>
      </c>
      <c r="I350" s="9">
        <f>IF($A350="","",VALUE($A350&amp;"")*12+VALUE($B350&amp;""))</f>
        <v/>
      </c>
      <c r="J350" s="9">
        <f>IF($A350="","",$C350&amp;"")</f>
        <v/>
      </c>
      <c r="K350" s="77">
        <f>IF($A350="",0,($E350-$F350)*설정!$C$23)</f>
        <v/>
      </c>
    </row>
    <row r="351">
      <c r="A351" s="75" t="n">
        <v>2026</v>
      </c>
      <c r="B351" s="75" t="n">
        <v>8</v>
      </c>
      <c r="C351" s="75" t="n">
        <v>62401000</v>
      </c>
      <c r="D351" s="75" t="inlineStr">
        <is>
          <t>도서인쇄비</t>
        </is>
      </c>
      <c r="E351" s="76" t="n">
        <v>13670000</v>
      </c>
      <c r="F351" s="76" t="n">
        <v>0</v>
      </c>
      <c r="G351" s="76" t="n">
        <v>105277000</v>
      </c>
      <c r="I351" s="9">
        <f>IF($A351="","",VALUE($A351&amp;"")*12+VALUE($B351&amp;""))</f>
        <v/>
      </c>
      <c r="J351" s="9">
        <f>IF($A351="","",$C351&amp;"")</f>
        <v/>
      </c>
      <c r="K351" s="77">
        <f>IF($A351="",0,($E351-$F351)*설정!$C$23)</f>
        <v/>
      </c>
    </row>
    <row r="352">
      <c r="A352" s="75" t="n">
        <v>2026</v>
      </c>
      <c r="B352" s="75" t="n">
        <v>8</v>
      </c>
      <c r="C352" s="75" t="n">
        <v>62501000</v>
      </c>
      <c r="D352" s="75" t="inlineStr">
        <is>
          <t>회의비</t>
        </is>
      </c>
      <c r="E352" s="76" t="n">
        <v>5443000</v>
      </c>
      <c r="F352" s="76" t="n">
        <v>0</v>
      </c>
      <c r="G352" s="76" t="n">
        <v>44513000</v>
      </c>
      <c r="I352" s="9">
        <f>IF($A352="","",VALUE($A352&amp;"")*12+VALUE($B352&amp;""))</f>
        <v/>
      </c>
      <c r="J352" s="9">
        <f>IF($A352="","",$C352&amp;"")</f>
        <v/>
      </c>
      <c r="K352" s="77">
        <f>IF($A352="",0,($E352-$F352)*설정!$C$23)</f>
        <v/>
      </c>
    </row>
    <row r="353">
      <c r="A353" s="75" t="n">
        <v>2026</v>
      </c>
      <c r="B353" s="75" t="n">
        <v>8</v>
      </c>
      <c r="C353" s="75" t="n">
        <v>62601000</v>
      </c>
      <c r="D353" s="75" t="inlineStr">
        <is>
          <t>업무추진비</t>
        </is>
      </c>
      <c r="E353" s="76" t="n">
        <v>11090000</v>
      </c>
      <c r="F353" s="76" t="n">
        <v>0</v>
      </c>
      <c r="G353" s="76" t="n">
        <v>88268000</v>
      </c>
      <c r="I353" s="9">
        <f>IF($A353="","",VALUE($A353&amp;"")*12+VALUE($B353&amp;""))</f>
        <v/>
      </c>
      <c r="J353" s="9">
        <f>IF($A353="","",$C353&amp;"")</f>
        <v/>
      </c>
      <c r="K353" s="77">
        <f>IF($A353="",0,($E353-$F353)*설정!$C$23)</f>
        <v/>
      </c>
    </row>
    <row r="354">
      <c r="A354" s="75" t="n">
        <v>2026</v>
      </c>
      <c r="B354" s="75" t="n">
        <v>8</v>
      </c>
      <c r="C354" s="75" t="n">
        <v>62701000</v>
      </c>
      <c r="D354" s="75" t="inlineStr">
        <is>
          <t>광고선전비</t>
        </is>
      </c>
      <c r="E354" s="76" t="n">
        <v>120000000</v>
      </c>
      <c r="F354" s="76" t="n">
        <v>0</v>
      </c>
      <c r="G354" s="76" t="n">
        <v>1298001000</v>
      </c>
      <c r="I354" s="9">
        <f>IF($A354="","",VALUE($A354&amp;"")*12+VALUE($B354&amp;""))</f>
        <v/>
      </c>
      <c r="J354" s="9">
        <f>IF($A354="","",$C354&amp;"")</f>
        <v/>
      </c>
      <c r="K354" s="77">
        <f>IF($A354="",0,($E354-$F354)*설정!$C$23)</f>
        <v/>
      </c>
    </row>
    <row r="355">
      <c r="A355" s="75" t="n">
        <v>2026</v>
      </c>
      <c r="B355" s="75" t="n">
        <v>8</v>
      </c>
      <c r="C355" s="75" t="n">
        <v>62801000</v>
      </c>
      <c r="D355" s="75" t="inlineStr">
        <is>
          <t>교육훈련비-사내</t>
        </is>
      </c>
      <c r="E355" s="76" t="n">
        <v>12679000</v>
      </c>
      <c r="F355" s="76" t="n">
        <v>0</v>
      </c>
      <c r="G355" s="76" t="n">
        <v>113764000</v>
      </c>
      <c r="I355" s="9">
        <f>IF($A355="","",VALUE($A355&amp;"")*12+VALUE($B355&amp;""))</f>
        <v/>
      </c>
      <c r="J355" s="9">
        <f>IF($A355="","",$C355&amp;"")</f>
        <v/>
      </c>
      <c r="K355" s="77">
        <f>IF($A355="",0,($E355-$F355)*설정!$C$23)</f>
        <v/>
      </c>
    </row>
    <row r="356">
      <c r="A356" s="75" t="n">
        <v>2026</v>
      </c>
      <c r="B356" s="75" t="n">
        <v>8</v>
      </c>
      <c r="C356" s="75" t="n">
        <v>62802000</v>
      </c>
      <c r="D356" s="75" t="inlineStr">
        <is>
          <t>교육훈련비-외부위탁</t>
        </is>
      </c>
      <c r="E356" s="76" t="n">
        <v>11475000</v>
      </c>
      <c r="F356" s="76" t="n">
        <v>0</v>
      </c>
      <c r="G356" s="76" t="n">
        <v>90127000</v>
      </c>
      <c r="I356" s="9">
        <f>IF($A356="","",VALUE($A356&amp;"")*12+VALUE($B356&amp;""))</f>
        <v/>
      </c>
      <c r="J356" s="9">
        <f>IF($A356="","",$C356&amp;"")</f>
        <v/>
      </c>
      <c r="K356" s="77">
        <f>IF($A356="",0,($E356-$F356)*설정!$C$23)</f>
        <v/>
      </c>
    </row>
    <row r="357">
      <c r="A357" s="75" t="n">
        <v>2026</v>
      </c>
      <c r="B357" s="75" t="n">
        <v>8</v>
      </c>
      <c r="C357" s="75" t="n">
        <v>62901000</v>
      </c>
      <c r="D357" s="75" t="inlineStr">
        <is>
          <t>지급수수료-컨설팅</t>
        </is>
      </c>
      <c r="E357" s="76" t="n">
        <v>81971000</v>
      </c>
      <c r="F357" s="76" t="n">
        <v>0</v>
      </c>
      <c r="G357" s="76" t="n">
        <v>654435000</v>
      </c>
      <c r="I357" s="9">
        <f>IF($A357="","",VALUE($A357&amp;"")*12+VALUE($B357&amp;""))</f>
        <v/>
      </c>
      <c r="J357" s="9">
        <f>IF($A357="","",$C357&amp;"")</f>
        <v/>
      </c>
      <c r="K357" s="77">
        <f>IF($A357="",0,($E357-$F357)*설정!$C$23)</f>
        <v/>
      </c>
    </row>
    <row r="358">
      <c r="A358" s="75" t="n">
        <v>2026</v>
      </c>
      <c r="B358" s="75" t="n">
        <v>8</v>
      </c>
      <c r="C358" s="75" t="n">
        <v>62902000</v>
      </c>
      <c r="D358" s="75" t="inlineStr">
        <is>
          <t>지급수수료-기타</t>
        </is>
      </c>
      <c r="E358" s="76" t="n">
        <v>42025000</v>
      </c>
      <c r="F358" s="76" t="n">
        <v>0</v>
      </c>
      <c r="G358" s="76" t="n">
        <v>348738000</v>
      </c>
      <c r="I358" s="9">
        <f>IF($A358="","",VALUE($A358&amp;"")*12+VALUE($B358&amp;""))</f>
        <v/>
      </c>
      <c r="J358" s="9">
        <f>IF($A358="","",$C358&amp;"")</f>
        <v/>
      </c>
      <c r="K358" s="77">
        <f>IF($A358="",0,($E358-$F358)*설정!$C$23)</f>
        <v/>
      </c>
    </row>
    <row r="359">
      <c r="A359" s="75" t="n">
        <v>2026</v>
      </c>
      <c r="B359" s="75" t="n">
        <v>8</v>
      </c>
      <c r="C359" s="75" t="n">
        <v>63001000</v>
      </c>
      <c r="D359" s="75" t="inlineStr">
        <is>
          <t>전산운영비-SW유지보수</t>
        </is>
      </c>
      <c r="E359" s="76" t="n">
        <v>101233000</v>
      </c>
      <c r="F359" s="76" t="n">
        <v>0</v>
      </c>
      <c r="G359" s="76" t="n">
        <v>760789000</v>
      </c>
      <c r="I359" s="9">
        <f>IF($A359="","",VALUE($A359&amp;"")*12+VALUE($B359&amp;""))</f>
        <v/>
      </c>
      <c r="J359" s="9">
        <f>IF($A359="","",$C359&amp;"")</f>
        <v/>
      </c>
      <c r="K359" s="77">
        <f>IF($A359="",0,($E359-$F359)*설정!$C$23)</f>
        <v/>
      </c>
    </row>
    <row r="360">
      <c r="A360" s="75" t="n">
        <v>2026</v>
      </c>
      <c r="B360" s="75" t="n">
        <v>8</v>
      </c>
      <c r="C360" s="75" t="n">
        <v>63002000</v>
      </c>
      <c r="D360" s="75" t="inlineStr">
        <is>
          <t>전산운영비-클라우드</t>
        </is>
      </c>
      <c r="E360" s="76" t="n">
        <v>93000000</v>
      </c>
      <c r="F360" s="76" t="n">
        <v>0</v>
      </c>
      <c r="G360" s="76" t="n">
        <v>653000000</v>
      </c>
      <c r="I360" s="9">
        <f>IF($A360="","",VALUE($A360&amp;"")*12+VALUE($B360&amp;""))</f>
        <v/>
      </c>
      <c r="J360" s="9">
        <f>IF($A360="","",$C360&amp;"")</f>
        <v/>
      </c>
      <c r="K360" s="77">
        <f>IF($A360="",0,($E360-$F360)*설정!$C$23)</f>
        <v/>
      </c>
    </row>
    <row r="361">
      <c r="A361" s="75" t="n">
        <v>2026</v>
      </c>
      <c r="B361" s="75" t="n">
        <v>8</v>
      </c>
      <c r="C361" s="75" t="n">
        <v>63101000</v>
      </c>
      <c r="D361" s="75" t="inlineStr">
        <is>
          <t>임차료</t>
        </is>
      </c>
      <c r="E361" s="76" t="n">
        <v>15294000</v>
      </c>
      <c r="F361" s="76" t="n">
        <v>0</v>
      </c>
      <c r="G361" s="76" t="n">
        <v>123459000</v>
      </c>
      <c r="I361" s="9">
        <f>IF($A361="","",VALUE($A361&amp;"")*12+VALUE($B361&amp;""))</f>
        <v/>
      </c>
      <c r="J361" s="9">
        <f>IF($A361="","",$C361&amp;"")</f>
        <v/>
      </c>
      <c r="K361" s="77">
        <f>IF($A361="",0,($E361-$F361)*설정!$C$23)</f>
        <v/>
      </c>
    </row>
    <row r="362">
      <c r="A362" s="75" t="n">
        <v>2026</v>
      </c>
      <c r="B362" s="75" t="n">
        <v>8</v>
      </c>
      <c r="C362" s="75" t="n">
        <v>63201000</v>
      </c>
      <c r="D362" s="75" t="inlineStr">
        <is>
          <t>차량유지비</t>
        </is>
      </c>
      <c r="E362" s="76" t="n">
        <v>2004000</v>
      </c>
      <c r="F362" s="76" t="n">
        <v>0</v>
      </c>
      <c r="G362" s="76" t="n">
        <v>57423000</v>
      </c>
      <c r="I362" s="9">
        <f>IF($A362="","",VALUE($A362&amp;"")*12+VALUE($B362&amp;""))</f>
        <v/>
      </c>
      <c r="J362" s="9">
        <f>IF($A362="","",$C362&amp;"")</f>
        <v/>
      </c>
      <c r="K362" s="77">
        <f>IF($A362="",0,($E362-$F362)*설정!$C$23)</f>
        <v/>
      </c>
    </row>
    <row r="363">
      <c r="A363" s="75" t="n">
        <v>2026</v>
      </c>
      <c r="B363" s="75" t="n">
        <v>8</v>
      </c>
      <c r="C363" s="75" t="n">
        <v>61101000</v>
      </c>
      <c r="D363" s="75" t="inlineStr">
        <is>
          <t>급여</t>
        </is>
      </c>
      <c r="E363" s="76" t="n">
        <v>818866000</v>
      </c>
      <c r="F363" s="76" t="n">
        <v>0</v>
      </c>
      <c r="G363" s="76" t="n">
        <v>6473356000</v>
      </c>
      <c r="I363" s="9">
        <f>IF($A363="","",VALUE($A363&amp;"")*12+VALUE($B363&amp;""))</f>
        <v/>
      </c>
      <c r="J363" s="9">
        <f>IF($A363="","",$C363&amp;"")</f>
        <v/>
      </c>
      <c r="K363" s="77">
        <f>IF($A363="",0,($E363-$F363)*설정!$C$23)</f>
        <v/>
      </c>
    </row>
    <row r="364">
      <c r="A364" s="75" t="n">
        <v>2026</v>
      </c>
      <c r="B364" s="75" t="n">
        <v>8</v>
      </c>
      <c r="C364" s="75" t="n">
        <v>61201000</v>
      </c>
      <c r="D364" s="75" t="inlineStr">
        <is>
          <t>복리후생비</t>
        </is>
      </c>
      <c r="E364" s="76" t="n">
        <v>122095000</v>
      </c>
      <c r="F364" s="76" t="n">
        <v>0</v>
      </c>
      <c r="G364" s="76" t="n">
        <v>964207000</v>
      </c>
      <c r="I364" s="9">
        <f>IF($A364="","",VALUE($A364&amp;"")*12+VALUE($B364&amp;""))</f>
        <v/>
      </c>
      <c r="J364" s="9">
        <f>IF($A364="","",$C364&amp;"")</f>
        <v/>
      </c>
      <c r="K364" s="77">
        <f>IF($A364="",0,($E364-$F364)*설정!$C$23)</f>
        <v/>
      </c>
    </row>
    <row r="365">
      <c r="A365" s="75" t="n">
        <v>2026</v>
      </c>
      <c r="B365" s="75" t="n">
        <v>9</v>
      </c>
      <c r="C365" s="75" t="n">
        <v>62101000</v>
      </c>
      <c r="D365" s="75" t="inlineStr">
        <is>
          <t>여비교통비-국내</t>
        </is>
      </c>
      <c r="E365" s="76" t="n">
        <v>16092000</v>
      </c>
      <c r="F365" s="76" t="n">
        <v>0</v>
      </c>
      <c r="G365" s="76" t="n">
        <v>149736000</v>
      </c>
      <c r="I365" s="9">
        <f>IF($A365="","",VALUE($A365&amp;"")*12+VALUE($B365&amp;""))</f>
        <v/>
      </c>
      <c r="J365" s="9">
        <f>IF($A365="","",$C365&amp;"")</f>
        <v/>
      </c>
      <c r="K365" s="77">
        <f>IF($A365="",0,($E365-$F365)*설정!$C$23)</f>
        <v/>
      </c>
    </row>
    <row r="366">
      <c r="A366" s="75" t="n">
        <v>2026</v>
      </c>
      <c r="B366" s="75" t="n">
        <v>9</v>
      </c>
      <c r="C366" s="75" t="n">
        <v>62102000</v>
      </c>
      <c r="D366" s="75" t="inlineStr">
        <is>
          <t>여비교통비-해외</t>
        </is>
      </c>
      <c r="E366" s="76" t="n">
        <v>2900000</v>
      </c>
      <c r="F366" s="76" t="n">
        <v>0</v>
      </c>
      <c r="G366" s="76" t="n">
        <v>26309000</v>
      </c>
      <c r="I366" s="9">
        <f>IF($A366="","",VALUE($A366&amp;"")*12+VALUE($B366&amp;""))</f>
        <v/>
      </c>
      <c r="J366" s="9">
        <f>IF($A366="","",$C366&amp;"")</f>
        <v/>
      </c>
      <c r="K366" s="77">
        <f>IF($A366="",0,($E366-$F366)*설정!$C$23)</f>
        <v/>
      </c>
    </row>
    <row r="367">
      <c r="A367" s="75" t="n">
        <v>2026</v>
      </c>
      <c r="B367" s="75" t="n">
        <v>9</v>
      </c>
      <c r="C367" s="75" t="n">
        <v>62201000</v>
      </c>
      <c r="D367" s="75" t="inlineStr">
        <is>
          <t>통신비</t>
        </is>
      </c>
      <c r="E367" s="76" t="n">
        <v>35358000</v>
      </c>
      <c r="F367" s="76" t="n">
        <v>0</v>
      </c>
      <c r="G367" s="76" t="n">
        <v>317754000</v>
      </c>
      <c r="I367" s="9">
        <f>IF($A367="","",VALUE($A367&amp;"")*12+VALUE($B367&amp;""))</f>
        <v/>
      </c>
      <c r="J367" s="9">
        <f>IF($A367="","",$C367&amp;"")</f>
        <v/>
      </c>
      <c r="K367" s="77">
        <f>IF($A367="",0,($E367-$F367)*설정!$C$23)</f>
        <v/>
      </c>
    </row>
    <row r="368">
      <c r="A368" s="75" t="n">
        <v>2026</v>
      </c>
      <c r="B368" s="75" t="n">
        <v>9</v>
      </c>
      <c r="C368" s="75" t="n">
        <v>62301000</v>
      </c>
      <c r="D368" s="75" t="inlineStr">
        <is>
          <t>소모품비</t>
        </is>
      </c>
      <c r="E368" s="76" t="n">
        <v>6023000</v>
      </c>
      <c r="F368" s="76" t="n">
        <v>0</v>
      </c>
      <c r="G368" s="76" t="n">
        <v>52887000</v>
      </c>
      <c r="I368" s="9">
        <f>IF($A368="","",VALUE($A368&amp;"")*12+VALUE($B368&amp;""))</f>
        <v/>
      </c>
      <c r="J368" s="9">
        <f>IF($A368="","",$C368&amp;"")</f>
        <v/>
      </c>
      <c r="K368" s="77">
        <f>IF($A368="",0,($E368-$F368)*설정!$C$23)</f>
        <v/>
      </c>
    </row>
    <row r="369">
      <c r="A369" s="75" t="n">
        <v>2026</v>
      </c>
      <c r="B369" s="75" t="n">
        <v>9</v>
      </c>
      <c r="C369" s="75" t="n">
        <v>62401000</v>
      </c>
      <c r="D369" s="75" t="inlineStr">
        <is>
          <t>도서인쇄비</t>
        </is>
      </c>
      <c r="E369" s="76" t="n">
        <v>13760000</v>
      </c>
      <c r="F369" s="76" t="n">
        <v>0</v>
      </c>
      <c r="G369" s="76" t="n">
        <v>119037000</v>
      </c>
      <c r="I369" s="9">
        <f>IF($A369="","",VALUE($A369&amp;"")*12+VALUE($B369&amp;""))</f>
        <v/>
      </c>
      <c r="J369" s="9">
        <f>IF($A369="","",$C369&amp;"")</f>
        <v/>
      </c>
      <c r="K369" s="77">
        <f>IF($A369="",0,($E369-$F369)*설정!$C$23)</f>
        <v/>
      </c>
    </row>
    <row r="370">
      <c r="A370" s="75" t="n">
        <v>2026</v>
      </c>
      <c r="B370" s="75" t="n">
        <v>9</v>
      </c>
      <c r="C370" s="75" t="n">
        <v>62501000</v>
      </c>
      <c r="D370" s="75" t="inlineStr">
        <is>
          <t>회의비</t>
        </is>
      </c>
      <c r="E370" s="76" t="n">
        <v>5484000</v>
      </c>
      <c r="F370" s="76" t="n">
        <v>0</v>
      </c>
      <c r="G370" s="76" t="n">
        <v>49997000</v>
      </c>
      <c r="I370" s="9">
        <f>IF($A370="","",VALUE($A370&amp;"")*12+VALUE($B370&amp;""))</f>
        <v/>
      </c>
      <c r="J370" s="9">
        <f>IF($A370="","",$C370&amp;"")</f>
        <v/>
      </c>
      <c r="K370" s="77">
        <f>IF($A370="",0,($E370-$F370)*설정!$C$23)</f>
        <v/>
      </c>
    </row>
    <row r="371">
      <c r="A371" s="75" t="n">
        <v>2026</v>
      </c>
      <c r="B371" s="75" t="n">
        <v>9</v>
      </c>
      <c r="C371" s="75" t="n">
        <v>62601000</v>
      </c>
      <c r="D371" s="75" t="inlineStr">
        <is>
          <t>업무추진비</t>
        </is>
      </c>
      <c r="E371" s="76" t="n">
        <v>11706000</v>
      </c>
      <c r="F371" s="76" t="n">
        <v>0</v>
      </c>
      <c r="G371" s="76" t="n">
        <v>99974000</v>
      </c>
      <c r="I371" s="9">
        <f>IF($A371="","",VALUE($A371&amp;"")*12+VALUE($B371&amp;""))</f>
        <v/>
      </c>
      <c r="J371" s="9">
        <f>IF($A371="","",$C371&amp;"")</f>
        <v/>
      </c>
      <c r="K371" s="77">
        <f>IF($A371="",0,($E371-$F371)*설정!$C$23)</f>
        <v/>
      </c>
    </row>
    <row r="372">
      <c r="A372" s="75" t="n">
        <v>2026</v>
      </c>
      <c r="B372" s="75" t="n">
        <v>9</v>
      </c>
      <c r="C372" s="75" t="n">
        <v>62701000</v>
      </c>
      <c r="D372" s="75" t="inlineStr">
        <is>
          <t>광고선전비</t>
        </is>
      </c>
      <c r="E372" s="76" t="n">
        <v>295500000</v>
      </c>
      <c r="F372" s="76" t="n">
        <v>0</v>
      </c>
      <c r="G372" s="76" t="n">
        <v>1593501000</v>
      </c>
      <c r="I372" s="9">
        <f>IF($A372="","",VALUE($A372&amp;"")*12+VALUE($B372&amp;""))</f>
        <v/>
      </c>
      <c r="J372" s="9">
        <f>IF($A372="","",$C372&amp;"")</f>
        <v/>
      </c>
      <c r="K372" s="77">
        <f>IF($A372="",0,($E372-$F372)*설정!$C$23)</f>
        <v/>
      </c>
    </row>
    <row r="373">
      <c r="A373" s="75" t="n">
        <v>2026</v>
      </c>
      <c r="B373" s="75" t="n">
        <v>9</v>
      </c>
      <c r="C373" s="75" t="n">
        <v>62801000</v>
      </c>
      <c r="D373" s="75" t="inlineStr">
        <is>
          <t>교육훈련비-사내</t>
        </is>
      </c>
      <c r="E373" s="76" t="n">
        <v>13369000</v>
      </c>
      <c r="F373" s="76" t="n">
        <v>0</v>
      </c>
      <c r="G373" s="76" t="n">
        <v>127133000</v>
      </c>
      <c r="I373" s="9">
        <f>IF($A373="","",VALUE($A373&amp;"")*12+VALUE($B373&amp;""))</f>
        <v/>
      </c>
      <c r="J373" s="9">
        <f>IF($A373="","",$C373&amp;"")</f>
        <v/>
      </c>
      <c r="K373" s="77">
        <f>IF($A373="",0,($E373-$F373)*설정!$C$23)</f>
        <v/>
      </c>
    </row>
    <row r="374">
      <c r="A374" s="75" t="n">
        <v>2026</v>
      </c>
      <c r="B374" s="75" t="n">
        <v>9</v>
      </c>
      <c r="C374" s="75" t="n">
        <v>62802000</v>
      </c>
      <c r="D374" s="75" t="inlineStr">
        <is>
          <t>교육훈련비-외부위탁</t>
        </is>
      </c>
      <c r="E374" s="76" t="n">
        <v>69908000</v>
      </c>
      <c r="F374" s="76" t="n">
        <v>0</v>
      </c>
      <c r="G374" s="76" t="n">
        <v>160035000</v>
      </c>
      <c r="I374" s="9">
        <f>IF($A374="","",VALUE($A374&amp;"")*12+VALUE($B374&amp;""))</f>
        <v/>
      </c>
      <c r="J374" s="9">
        <f>IF($A374="","",$C374&amp;"")</f>
        <v/>
      </c>
      <c r="K374" s="77">
        <f>IF($A374="",0,($E374-$F374)*설정!$C$23)</f>
        <v/>
      </c>
    </row>
    <row r="375">
      <c r="A375" s="75" t="n">
        <v>2026</v>
      </c>
      <c r="B375" s="75" t="n">
        <v>9</v>
      </c>
      <c r="C375" s="75" t="n">
        <v>62901000</v>
      </c>
      <c r="D375" s="75" t="inlineStr">
        <is>
          <t>지급수수료-컨설팅</t>
        </is>
      </c>
      <c r="E375" s="76" t="n">
        <v>118504000</v>
      </c>
      <c r="F375" s="76" t="n">
        <v>33000000</v>
      </c>
      <c r="G375" s="76" t="n">
        <v>739939000</v>
      </c>
      <c r="I375" s="9">
        <f>IF($A375="","",VALUE($A375&amp;"")*12+VALUE($B375&amp;""))</f>
        <v/>
      </c>
      <c r="J375" s="9">
        <f>IF($A375="","",$C375&amp;"")</f>
        <v/>
      </c>
      <c r="K375" s="77">
        <f>IF($A375="",0,($E375-$F375)*설정!$C$23)</f>
        <v/>
      </c>
    </row>
    <row r="376">
      <c r="A376" s="75" t="n">
        <v>2026</v>
      </c>
      <c r="B376" s="75" t="n">
        <v>9</v>
      </c>
      <c r="C376" s="75" t="n">
        <v>62902000</v>
      </c>
      <c r="D376" s="75" t="inlineStr">
        <is>
          <t>지급수수료-기타</t>
        </is>
      </c>
      <c r="E376" s="76" t="n">
        <v>50248000</v>
      </c>
      <c r="F376" s="76" t="n">
        <v>0</v>
      </c>
      <c r="G376" s="76" t="n">
        <v>398986000</v>
      </c>
      <c r="I376" s="9">
        <f>IF($A376="","",VALUE($A376&amp;"")*12+VALUE($B376&amp;""))</f>
        <v/>
      </c>
      <c r="J376" s="9">
        <f>IF($A376="","",$C376&amp;"")</f>
        <v/>
      </c>
      <c r="K376" s="77">
        <f>IF($A376="",0,($E376-$F376)*설정!$C$23)</f>
        <v/>
      </c>
    </row>
    <row r="377">
      <c r="A377" s="75" t="n">
        <v>2026</v>
      </c>
      <c r="B377" s="75" t="n">
        <v>9</v>
      </c>
      <c r="C377" s="75" t="n">
        <v>63001000</v>
      </c>
      <c r="D377" s="75" t="inlineStr">
        <is>
          <t>전산운영비-SW유지보수</t>
        </is>
      </c>
      <c r="E377" s="76" t="n">
        <v>89114000</v>
      </c>
      <c r="F377" s="76" t="n">
        <v>0</v>
      </c>
      <c r="G377" s="76" t="n">
        <v>849903000</v>
      </c>
      <c r="I377" s="9">
        <f>IF($A377="","",VALUE($A377&amp;"")*12+VALUE($B377&amp;""))</f>
        <v/>
      </c>
      <c r="J377" s="9">
        <f>IF($A377="","",$C377&amp;"")</f>
        <v/>
      </c>
      <c r="K377" s="77">
        <f>IF($A377="",0,($E377-$F377)*설정!$C$23)</f>
        <v/>
      </c>
    </row>
    <row r="378">
      <c r="A378" s="75" t="n">
        <v>2026</v>
      </c>
      <c r="B378" s="75" t="n">
        <v>9</v>
      </c>
      <c r="C378" s="75" t="n">
        <v>63002000</v>
      </c>
      <c r="D378" s="75" t="inlineStr">
        <is>
          <t>전산운영비-클라우드</t>
        </is>
      </c>
      <c r="E378" s="76" t="n">
        <v>101000000</v>
      </c>
      <c r="F378" s="76" t="n">
        <v>0</v>
      </c>
      <c r="G378" s="76" t="n">
        <v>754000000</v>
      </c>
      <c r="I378" s="9">
        <f>IF($A378="","",VALUE($A378&amp;"")*12+VALUE($B378&amp;""))</f>
        <v/>
      </c>
      <c r="J378" s="9">
        <f>IF($A378="","",$C378&amp;"")</f>
        <v/>
      </c>
      <c r="K378" s="77">
        <f>IF($A378="",0,($E378-$F378)*설정!$C$23)</f>
        <v/>
      </c>
    </row>
    <row r="379">
      <c r="A379" s="75" t="n">
        <v>2026</v>
      </c>
      <c r="B379" s="75" t="n">
        <v>9</v>
      </c>
      <c r="C379" s="75" t="n">
        <v>63101000</v>
      </c>
      <c r="D379" s="75" t="inlineStr">
        <is>
          <t>임차료</t>
        </is>
      </c>
      <c r="E379" s="76" t="n">
        <v>14848000</v>
      </c>
      <c r="F379" s="76" t="n">
        <v>0</v>
      </c>
      <c r="G379" s="76" t="n">
        <v>138307000</v>
      </c>
      <c r="I379" s="9">
        <f>IF($A379="","",VALUE($A379&amp;"")*12+VALUE($B379&amp;""))</f>
        <v/>
      </c>
      <c r="J379" s="9">
        <f>IF($A379="","",$C379&amp;"")</f>
        <v/>
      </c>
      <c r="K379" s="77">
        <f>IF($A379="",0,($E379-$F379)*설정!$C$23)</f>
        <v/>
      </c>
    </row>
    <row r="380">
      <c r="A380" s="75" t="n">
        <v>2026</v>
      </c>
      <c r="B380" s="75" t="n">
        <v>9</v>
      </c>
      <c r="C380" s="75" t="n">
        <v>63201000</v>
      </c>
      <c r="D380" s="75" t="inlineStr">
        <is>
          <t>차량유지비</t>
        </is>
      </c>
      <c r="E380" s="76" t="n">
        <v>14315000</v>
      </c>
      <c r="F380" s="76" t="n">
        <v>0</v>
      </c>
      <c r="G380" s="76" t="n">
        <v>71738000</v>
      </c>
      <c r="I380" s="9">
        <f>IF($A380="","",VALUE($A380&amp;"")*12+VALUE($B380&amp;""))</f>
        <v/>
      </c>
      <c r="J380" s="9">
        <f>IF($A380="","",$C380&amp;"")</f>
        <v/>
      </c>
      <c r="K380" s="77">
        <f>IF($A380="",0,($E380-$F380)*설정!$C$23)</f>
        <v/>
      </c>
    </row>
    <row r="381">
      <c r="A381" s="75" t="n">
        <v>2026</v>
      </c>
      <c r="B381" s="75" t="n">
        <v>9</v>
      </c>
      <c r="C381" s="75" t="n">
        <v>61101000</v>
      </c>
      <c r="D381" s="75" t="inlineStr">
        <is>
          <t>급여</t>
        </is>
      </c>
      <c r="E381" s="76" t="n">
        <v>814302000</v>
      </c>
      <c r="F381" s="76" t="n">
        <v>0</v>
      </c>
      <c r="G381" s="76" t="n">
        <v>7287658000</v>
      </c>
      <c r="I381" s="9">
        <f>IF($A381="","",VALUE($A381&amp;"")*12+VALUE($B381&amp;""))</f>
        <v/>
      </c>
      <c r="J381" s="9">
        <f>IF($A381="","",$C381&amp;"")</f>
        <v/>
      </c>
      <c r="K381" s="77">
        <f>IF($A381="",0,($E381-$F381)*설정!$C$23)</f>
        <v/>
      </c>
    </row>
    <row r="382">
      <c r="A382" s="75" t="n">
        <v>2026</v>
      </c>
      <c r="B382" s="75" t="n">
        <v>9</v>
      </c>
      <c r="C382" s="75" t="n">
        <v>61201000</v>
      </c>
      <c r="D382" s="75" t="inlineStr">
        <is>
          <t>복리후생비</t>
        </is>
      </c>
      <c r="E382" s="76" t="n">
        <v>122200000</v>
      </c>
      <c r="F382" s="76" t="n">
        <v>0</v>
      </c>
      <c r="G382" s="76" t="n">
        <v>1086407000</v>
      </c>
      <c r="I382" s="9">
        <f>IF($A382="","",VALUE($A382&amp;"")*12+VALUE($B382&amp;""))</f>
        <v/>
      </c>
      <c r="J382" s="9">
        <f>IF($A382="","",$C382&amp;"")</f>
        <v/>
      </c>
      <c r="K382" s="77">
        <f>IF($A382="",0,($E382-$F382)*설정!$C$23)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5B9BD5"/>
    <outlinePr summaryBelow="1" summaryRight="1"/>
    <pageSetUpPr/>
  </sheetPr>
  <dimension ref="A1:X41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5" customWidth="1" min="2" max="2"/>
    <col width="12" customWidth="1" min="3" max="3"/>
    <col width="11" customWidth="1" min="4" max="4"/>
    <col width="7" customWidth="1" min="5" max="5"/>
    <col width="10" customWidth="1" min="6" max="6"/>
    <col width="9" customWidth="1" min="7" max="7"/>
    <col width="13" customWidth="1" min="8" max="8"/>
    <col width="40" customWidth="1" min="9" max="9"/>
    <col width="9" customWidth="1" min="10" max="10"/>
    <col width="13" customWidth="1" min="11" max="11"/>
    <col width="2" customWidth="1" min="12" max="12"/>
    <col width="8" customWidth="1" min="13" max="13"/>
    <col width="8" customWidth="1" min="14" max="14"/>
    <col width="14" customWidth="1" min="15" max="15"/>
    <col width="10" customWidth="1" min="16" max="16"/>
    <col width="8" customWidth="1" min="17" max="17"/>
    <col width="12" customWidth="1" min="18" max="18"/>
    <col width="8" customWidth="1" min="19" max="19"/>
    <col width="9" customWidth="1" min="20" max="20"/>
    <col width="9" customWidth="1" min="21" max="21"/>
    <col width="8" customWidth="1" min="22" max="22"/>
    <col width="8" customWidth="1" min="23" max="23"/>
    <col width="10" customWidth="1" min="24" max="24"/>
  </cols>
  <sheetData>
    <row r="1">
      <c r="A1" s="1" t="inlineStr">
        <is>
          <t>TRACE · 전표 원본 (사업비 계정 전표 라인)</t>
        </is>
      </c>
    </row>
    <row r="2">
      <c r="A2" s="2" t="inlineStr">
        <is>
          <t>A~K: 붙여넣기 · M~X: 보조수식 (회색, 수정 금지) · 최근 24개월 권장</t>
        </is>
      </c>
    </row>
    <row r="4" ht="30" customHeight="1">
      <c r="A4" s="4" t="inlineStr">
        <is>
          <t>회계연도</t>
        </is>
      </c>
      <c r="B4" s="4" t="inlineStr">
        <is>
          <t>기간</t>
        </is>
      </c>
      <c r="C4" s="4" t="inlineStr">
        <is>
          <t>전표번호</t>
        </is>
      </c>
      <c r="D4" s="4" t="inlineStr">
        <is>
          <t>전기일</t>
        </is>
      </c>
      <c r="E4" s="4" t="inlineStr">
        <is>
          <t>전표유형</t>
        </is>
      </c>
      <c r="F4" s="4" t="inlineStr">
        <is>
          <t>G/L계정</t>
        </is>
      </c>
      <c r="G4" s="4" t="inlineStr">
        <is>
          <t>코스트센터</t>
        </is>
      </c>
      <c r="H4" s="4" t="inlineStr">
        <is>
          <t>금액</t>
        </is>
      </c>
      <c r="I4" s="4" t="inlineStr">
        <is>
          <t>적요</t>
        </is>
      </c>
      <c r="J4" s="4" t="inlineStr">
        <is>
          <t>거래처코드</t>
        </is>
      </c>
      <c r="K4" s="4" t="inlineStr">
        <is>
          <t>거래처명</t>
        </is>
      </c>
      <c r="M4" s="36" t="inlineStr">
        <is>
          <t>기간번호</t>
        </is>
      </c>
      <c r="N4" s="36" t="inlineStr">
        <is>
          <t>부서코드</t>
        </is>
      </c>
      <c r="O4" s="36" t="inlineStr">
        <is>
          <t>키</t>
        </is>
      </c>
      <c r="P4" s="36" t="inlineStr">
        <is>
          <t>금액
(보고단위)</t>
        </is>
      </c>
      <c r="Q4" s="36" t="inlineStr">
        <is>
          <t>선택구분</t>
        </is>
      </c>
      <c r="R4" s="36" t="inlineStr">
        <is>
          <t>선택거래처</t>
        </is>
      </c>
      <c r="S4" s="36" t="inlineStr">
        <is>
          <t>첫등장행</t>
        </is>
      </c>
      <c r="T4" s="36" t="inlineStr">
        <is>
          <t>당기
근거점수</t>
        </is>
      </c>
      <c r="U4" s="36" t="inlineStr">
        <is>
          <t>비교
근거점수</t>
        </is>
      </c>
      <c r="V4" s="36" t="inlineStr">
        <is>
          <t>목록포함</t>
        </is>
      </c>
      <c r="W4" s="36" t="inlineStr">
        <is>
          <t>사업비여부</t>
        </is>
      </c>
      <c r="X4" s="36" t="inlineStr">
        <is>
          <t>G/L텍스트</t>
        </is>
      </c>
    </row>
    <row r="5">
      <c r="A5" s="75" t="n">
        <v>2025</v>
      </c>
      <c r="B5" s="75" t="n">
        <v>1</v>
      </c>
      <c r="C5" s="75" t="inlineStr">
        <is>
          <t>5100000001</t>
        </is>
      </c>
      <c r="D5" s="78" t="n">
        <v>45659</v>
      </c>
      <c r="E5" s="75" t="inlineStr">
        <is>
          <t>KR</t>
        </is>
      </c>
      <c r="F5" s="75" t="n">
        <v>62101000</v>
      </c>
      <c r="G5" s="75" t="n">
        <v>1401</v>
      </c>
      <c r="H5" s="76" t="n">
        <v>511000</v>
      </c>
      <c r="I5" s="75" t="inlineStr">
        <is>
          <t>1월 국내출장 - M항공</t>
        </is>
      </c>
      <c r="J5" s="75" t="inlineStr">
        <is>
          <t>V10001</t>
        </is>
      </c>
      <c r="K5" s="75" t="inlineStr">
        <is>
          <t>M항공</t>
        </is>
      </c>
      <c r="M5" s="9">
        <f>IF($A5="","",VALUE($A5&amp;"")*12+VALUE($B5&amp;""))</f>
        <v/>
      </c>
      <c r="N5" s="39">
        <f>IF($A5="","",IFERROR(INDEX(부서매핑!$C$5:$C$504,MATCH($G5&amp;"",부서매핑!$A$5:$A$504,0)),"미매핑"))</f>
        <v/>
      </c>
      <c r="O5" s="9">
        <f>IF($A5="","",N5&amp;"|"&amp;$F5)</f>
        <v/>
      </c>
      <c r="P5" s="77">
        <f>IF($A5="",0,$H5*설정!$C$23)</f>
        <v/>
      </c>
      <c r="Q5" s="39">
        <f>IF($A5="","",IF(O5&lt;&gt;원인분석!$C$9,"",IF(AND(M5&gt;=원인분석!$C$10,M5&lt;=원인분석!$C$11),"당기",IF(AND(M5&gt;=원인분석!$C$12,M5&lt;=원인분석!$C$13),"비교",""))))</f>
        <v/>
      </c>
      <c r="R5" s="9">
        <f>IF(Q5="","",$K5&amp;"")</f>
        <v/>
      </c>
      <c r="S5" s="9">
        <f>IF(Q5="","",IF(MATCH(R5,$R$5:$R$100000,0)=ROW()-4,ROW(),""))</f>
        <v/>
      </c>
      <c r="T5" s="9">
        <f>IF(Q5="당기",ABS(P5)+ROW()/1000000000,"")</f>
        <v/>
      </c>
      <c r="U5" s="9">
        <f>IF(Q5="비교",ABS(P5)+ROW()/1000000000,"")</f>
        <v/>
      </c>
      <c r="V5" s="39">
        <f>IF($A5="","",IF(COUNTIF(변동분석!$E$7:$E$506,O5)&gt;0,"Y","N"))</f>
        <v/>
      </c>
      <c r="W5" s="39">
        <f>IF($A5="","",IFERROR(INDEX(계정매핑!$D$5:$D$504,MATCH($F5&amp;"",계정매핑!$A$5:$A$504,0)),"미매핑"))</f>
        <v/>
      </c>
      <c r="X5" s="9">
        <f>IF($A5="","",$F5&amp;"")</f>
        <v/>
      </c>
    </row>
    <row r="6">
      <c r="A6" s="75" t="n">
        <v>2025</v>
      </c>
      <c r="B6" s="75" t="n">
        <v>1</v>
      </c>
      <c r="C6" s="75" t="inlineStr">
        <is>
          <t>5100000002</t>
        </is>
      </c>
      <c r="D6" s="78" t="n">
        <v>45659</v>
      </c>
      <c r="E6" s="75" t="inlineStr">
        <is>
          <t>KR</t>
        </is>
      </c>
      <c r="F6" s="75" t="n">
        <v>62201000</v>
      </c>
      <c r="G6" s="75" t="n">
        <v>1801</v>
      </c>
      <c r="H6" s="76" t="n">
        <v>3584000</v>
      </c>
      <c r="I6" s="75" t="inlineStr">
        <is>
          <t>1월 통신요금 - O텔레콤</t>
        </is>
      </c>
      <c r="J6" s="75" t="inlineStr">
        <is>
          <t>V10002</t>
        </is>
      </c>
      <c r="K6" s="75" t="inlineStr">
        <is>
          <t>O텔레콤</t>
        </is>
      </c>
      <c r="M6" s="9">
        <f>IF($A6="","",VALUE($A6&amp;"")*12+VALUE($B6&amp;""))</f>
        <v/>
      </c>
      <c r="N6" s="39">
        <f>IF($A6="","",IFERROR(INDEX(부서매핑!$C$5:$C$504,MATCH($G6&amp;"",부서매핑!$A$5:$A$504,0)),"미매핑"))</f>
        <v/>
      </c>
      <c r="O6" s="9">
        <f>IF($A6="","",N6&amp;"|"&amp;$F6)</f>
        <v/>
      </c>
      <c r="P6" s="77">
        <f>IF($A6="",0,$H6*설정!$C$23)</f>
        <v/>
      </c>
      <c r="Q6" s="39">
        <f>IF($A6="","",IF(O6&lt;&gt;원인분석!$C$9,"",IF(AND(M6&gt;=원인분석!$C$10,M6&lt;=원인분석!$C$11),"당기",IF(AND(M6&gt;=원인분석!$C$12,M6&lt;=원인분석!$C$13),"비교",""))))</f>
        <v/>
      </c>
      <c r="R6" s="9">
        <f>IF(Q6="","",$K6&amp;"")</f>
        <v/>
      </c>
      <c r="S6" s="9">
        <f>IF(Q6="","",IF(MATCH(R6,$R$5:$R$100000,0)=ROW()-4,ROW(),""))</f>
        <v/>
      </c>
      <c r="T6" s="9">
        <f>IF(Q6="당기",ABS(P6)+ROW()/1000000000,"")</f>
        <v/>
      </c>
      <c r="U6" s="9">
        <f>IF(Q6="비교",ABS(P6)+ROW()/1000000000,"")</f>
        <v/>
      </c>
      <c r="V6" s="39">
        <f>IF($A6="","",IF(COUNTIF(변동분석!$E$7:$E$506,O6)&gt;0,"Y","N"))</f>
        <v/>
      </c>
      <c r="W6" s="39">
        <f>IF($A6="","",IFERROR(INDEX(계정매핑!$D$5:$D$504,MATCH($F6&amp;"",계정매핑!$A$5:$A$504,0)),"미매핑"))</f>
        <v/>
      </c>
      <c r="X6" s="9">
        <f>IF($A6="","",$F6&amp;"")</f>
        <v/>
      </c>
    </row>
    <row r="7">
      <c r="A7" s="75" t="n">
        <v>2025</v>
      </c>
      <c r="B7" s="75" t="n">
        <v>1</v>
      </c>
      <c r="C7" s="75" t="inlineStr">
        <is>
          <t>5100000003</t>
        </is>
      </c>
      <c r="D7" s="78" t="n">
        <v>45659</v>
      </c>
      <c r="E7" s="75" t="inlineStr">
        <is>
          <t>KR</t>
        </is>
      </c>
      <c r="F7" s="75" t="n">
        <v>62301000</v>
      </c>
      <c r="G7" s="75" t="n">
        <v>1201</v>
      </c>
      <c r="H7" s="76" t="n">
        <v>263000</v>
      </c>
      <c r="I7" s="75" t="inlineStr">
        <is>
          <t>1월 소모품 구입 - Q오피스</t>
        </is>
      </c>
      <c r="J7" s="75" t="inlineStr">
        <is>
          <t>V10003</t>
        </is>
      </c>
      <c r="K7" s="75" t="inlineStr">
        <is>
          <t>Q오피스</t>
        </is>
      </c>
      <c r="M7" s="9">
        <f>IF($A7="","",VALUE($A7&amp;"")*12+VALUE($B7&amp;""))</f>
        <v/>
      </c>
      <c r="N7" s="39">
        <f>IF($A7="","",IFERROR(INDEX(부서매핑!$C$5:$C$504,MATCH($G7&amp;"",부서매핑!$A$5:$A$504,0)),"미매핑"))</f>
        <v/>
      </c>
      <c r="O7" s="9">
        <f>IF($A7="","",N7&amp;"|"&amp;$F7)</f>
        <v/>
      </c>
      <c r="P7" s="77">
        <f>IF($A7="",0,$H7*설정!$C$23)</f>
        <v/>
      </c>
      <c r="Q7" s="39">
        <f>IF($A7="","",IF(O7&lt;&gt;원인분석!$C$9,"",IF(AND(M7&gt;=원인분석!$C$10,M7&lt;=원인분석!$C$11),"당기",IF(AND(M7&gt;=원인분석!$C$12,M7&lt;=원인분석!$C$13),"비교",""))))</f>
        <v/>
      </c>
      <c r="R7" s="9">
        <f>IF(Q7="","",$K7&amp;"")</f>
        <v/>
      </c>
      <c r="S7" s="9">
        <f>IF(Q7="","",IF(MATCH(R7,$R$5:$R$100000,0)=ROW()-4,ROW(),""))</f>
        <v/>
      </c>
      <c r="T7" s="9">
        <f>IF(Q7="당기",ABS(P7)+ROW()/1000000000,"")</f>
        <v/>
      </c>
      <c r="U7" s="9">
        <f>IF(Q7="비교",ABS(P7)+ROW()/1000000000,"")</f>
        <v/>
      </c>
      <c r="V7" s="39">
        <f>IF($A7="","",IF(COUNTIF(변동분석!$E$7:$E$506,O7)&gt;0,"Y","N"))</f>
        <v/>
      </c>
      <c r="W7" s="39">
        <f>IF($A7="","",IFERROR(INDEX(계정매핑!$D$5:$D$504,MATCH($F7&amp;"",계정매핑!$A$5:$A$504,0)),"미매핑"))</f>
        <v/>
      </c>
      <c r="X7" s="9">
        <f>IF($A7="","",$F7&amp;"")</f>
        <v/>
      </c>
    </row>
    <row r="8">
      <c r="A8" s="75" t="n">
        <v>2025</v>
      </c>
      <c r="B8" s="75" t="n">
        <v>1</v>
      </c>
      <c r="C8" s="75" t="inlineStr">
        <is>
          <t>5100000004</t>
        </is>
      </c>
      <c r="D8" s="78" t="n">
        <v>45659</v>
      </c>
      <c r="E8" s="75" t="inlineStr">
        <is>
          <t>KR</t>
        </is>
      </c>
      <c r="F8" s="75" t="n">
        <v>62401000</v>
      </c>
      <c r="G8" s="75" t="n">
        <v>1401</v>
      </c>
      <c r="H8" s="76" t="n">
        <v>343000</v>
      </c>
      <c r="I8" s="75" t="inlineStr">
        <is>
          <t>1월 인쇄물 제작 - G인쇄</t>
        </is>
      </c>
      <c r="J8" s="75" t="inlineStr">
        <is>
          <t>V10004</t>
        </is>
      </c>
      <c r="K8" s="75" t="inlineStr">
        <is>
          <t>G인쇄</t>
        </is>
      </c>
      <c r="M8" s="9">
        <f>IF($A8="","",VALUE($A8&amp;"")*12+VALUE($B8&amp;""))</f>
        <v/>
      </c>
      <c r="N8" s="39">
        <f>IF($A8="","",IFERROR(INDEX(부서매핑!$C$5:$C$504,MATCH($G8&amp;"",부서매핑!$A$5:$A$504,0)),"미매핑"))</f>
        <v/>
      </c>
      <c r="O8" s="9">
        <f>IF($A8="","",N8&amp;"|"&amp;$F8)</f>
        <v/>
      </c>
      <c r="P8" s="77">
        <f>IF($A8="",0,$H8*설정!$C$23)</f>
        <v/>
      </c>
      <c r="Q8" s="39">
        <f>IF($A8="","",IF(O8&lt;&gt;원인분석!$C$9,"",IF(AND(M8&gt;=원인분석!$C$10,M8&lt;=원인분석!$C$11),"당기",IF(AND(M8&gt;=원인분석!$C$12,M8&lt;=원인분석!$C$13),"비교",""))))</f>
        <v/>
      </c>
      <c r="R8" s="9">
        <f>IF(Q8="","",$K8&amp;"")</f>
        <v/>
      </c>
      <c r="S8" s="9">
        <f>IF(Q8="","",IF(MATCH(R8,$R$5:$R$100000,0)=ROW()-4,ROW(),""))</f>
        <v/>
      </c>
      <c r="T8" s="9">
        <f>IF(Q8="당기",ABS(P8)+ROW()/1000000000,"")</f>
        <v/>
      </c>
      <c r="U8" s="9">
        <f>IF(Q8="비교",ABS(P8)+ROW()/1000000000,"")</f>
        <v/>
      </c>
      <c r="V8" s="39">
        <f>IF($A8="","",IF(COUNTIF(변동분석!$E$7:$E$506,O8)&gt;0,"Y","N"))</f>
        <v/>
      </c>
      <c r="W8" s="39">
        <f>IF($A8="","",IFERROR(INDEX(계정매핑!$D$5:$D$504,MATCH($F8&amp;"",계정매핑!$A$5:$A$504,0)),"미매핑"))</f>
        <v/>
      </c>
      <c r="X8" s="9">
        <f>IF($A8="","",$F8&amp;"")</f>
        <v/>
      </c>
    </row>
    <row r="9">
      <c r="A9" s="75" t="n">
        <v>2025</v>
      </c>
      <c r="B9" s="75" t="n">
        <v>1</v>
      </c>
      <c r="C9" s="75" t="inlineStr">
        <is>
          <t>5100000005</t>
        </is>
      </c>
      <c r="D9" s="78" t="n">
        <v>45659</v>
      </c>
      <c r="E9" s="75" t="inlineStr">
        <is>
          <t>KR</t>
        </is>
      </c>
      <c r="F9" s="75" t="n">
        <v>62501000</v>
      </c>
      <c r="G9" s="75" t="n">
        <v>1602</v>
      </c>
      <c r="H9" s="76" t="n">
        <v>356000</v>
      </c>
      <c r="I9" s="75" t="inlineStr">
        <is>
          <t>1월 회의 다과 - T케이터링</t>
        </is>
      </c>
      <c r="J9" s="75" t="inlineStr">
        <is>
          <t>V10005</t>
        </is>
      </c>
      <c r="K9" s="75" t="inlineStr">
        <is>
          <t>T케이터링</t>
        </is>
      </c>
      <c r="M9" s="9">
        <f>IF($A9="","",VALUE($A9&amp;"")*12+VALUE($B9&amp;""))</f>
        <v/>
      </c>
      <c r="N9" s="39">
        <f>IF($A9="","",IFERROR(INDEX(부서매핑!$C$5:$C$504,MATCH($G9&amp;"",부서매핑!$A$5:$A$504,0)),"미매핑"))</f>
        <v/>
      </c>
      <c r="O9" s="9">
        <f>IF($A9="","",N9&amp;"|"&amp;$F9)</f>
        <v/>
      </c>
      <c r="P9" s="77">
        <f>IF($A9="",0,$H9*설정!$C$23)</f>
        <v/>
      </c>
      <c r="Q9" s="39">
        <f>IF($A9="","",IF(O9&lt;&gt;원인분석!$C$9,"",IF(AND(M9&gt;=원인분석!$C$10,M9&lt;=원인분석!$C$11),"당기",IF(AND(M9&gt;=원인분석!$C$12,M9&lt;=원인분석!$C$13),"비교",""))))</f>
        <v/>
      </c>
      <c r="R9" s="9">
        <f>IF(Q9="","",$K9&amp;"")</f>
        <v/>
      </c>
      <c r="S9" s="9">
        <f>IF(Q9="","",IF(MATCH(R9,$R$5:$R$100000,0)=ROW()-4,ROW(),""))</f>
        <v/>
      </c>
      <c r="T9" s="9">
        <f>IF(Q9="당기",ABS(P9)+ROW()/1000000000,"")</f>
        <v/>
      </c>
      <c r="U9" s="9">
        <f>IF(Q9="비교",ABS(P9)+ROW()/1000000000,"")</f>
        <v/>
      </c>
      <c r="V9" s="39">
        <f>IF($A9="","",IF(COUNTIF(변동분석!$E$7:$E$506,O9)&gt;0,"Y","N"))</f>
        <v/>
      </c>
      <c r="W9" s="39">
        <f>IF($A9="","",IFERROR(INDEX(계정매핑!$D$5:$D$504,MATCH($F9&amp;"",계정매핑!$A$5:$A$504,0)),"미매핑"))</f>
        <v/>
      </c>
      <c r="X9" s="9">
        <f>IF($A9="","",$F9&amp;"")</f>
        <v/>
      </c>
    </row>
    <row r="10">
      <c r="A10" s="75" t="n">
        <v>2025</v>
      </c>
      <c r="B10" s="75" t="n">
        <v>1</v>
      </c>
      <c r="C10" s="75" t="inlineStr">
        <is>
          <t>5100000006</t>
        </is>
      </c>
      <c r="D10" s="78" t="n">
        <v>45659</v>
      </c>
      <c r="E10" s="75" t="inlineStr">
        <is>
          <t>KR</t>
        </is>
      </c>
      <c r="F10" s="75" t="n">
        <v>63101000</v>
      </c>
      <c r="G10" s="75" t="n">
        <v>1601</v>
      </c>
      <c r="H10" s="76" t="n">
        <v>4840000</v>
      </c>
      <c r="I10" s="75" t="inlineStr">
        <is>
          <t>1월 사무실 임차료 - AA빌딩</t>
        </is>
      </c>
      <c r="J10" s="75" t="inlineStr">
        <is>
          <t>V10006</t>
        </is>
      </c>
      <c r="K10" s="75" t="inlineStr">
        <is>
          <t>AA빌딩</t>
        </is>
      </c>
      <c r="M10" s="9">
        <f>IF($A10="","",VALUE($A10&amp;"")*12+VALUE($B10&amp;""))</f>
        <v/>
      </c>
      <c r="N10" s="39">
        <f>IF($A10="","",IFERROR(INDEX(부서매핑!$C$5:$C$504,MATCH($G10&amp;"",부서매핑!$A$5:$A$504,0)),"미매핑"))</f>
        <v/>
      </c>
      <c r="O10" s="9">
        <f>IF($A10="","",N10&amp;"|"&amp;$F10)</f>
        <v/>
      </c>
      <c r="P10" s="77">
        <f>IF($A10="",0,$H10*설정!$C$23)</f>
        <v/>
      </c>
      <c r="Q10" s="39">
        <f>IF($A10="","",IF(O10&lt;&gt;원인분석!$C$9,"",IF(AND(M10&gt;=원인분석!$C$10,M10&lt;=원인분석!$C$11),"당기",IF(AND(M10&gt;=원인분석!$C$12,M10&lt;=원인분석!$C$13),"비교",""))))</f>
        <v/>
      </c>
      <c r="R10" s="9">
        <f>IF(Q10="","",$K10&amp;"")</f>
        <v/>
      </c>
      <c r="S10" s="9">
        <f>IF(Q10="","",IF(MATCH(R10,$R$5:$R$100000,0)=ROW()-4,ROW(),""))</f>
        <v/>
      </c>
      <c r="T10" s="9">
        <f>IF(Q10="당기",ABS(P10)+ROW()/1000000000,"")</f>
        <v/>
      </c>
      <c r="U10" s="9">
        <f>IF(Q10="비교",ABS(P10)+ROW()/1000000000,"")</f>
        <v/>
      </c>
      <c r="V10" s="39">
        <f>IF($A10="","",IF(COUNTIF(변동분석!$E$7:$E$506,O10)&gt;0,"Y","N"))</f>
        <v/>
      </c>
      <c r="W10" s="39">
        <f>IF($A10="","",IFERROR(INDEX(계정매핑!$D$5:$D$504,MATCH($F10&amp;"",계정매핑!$A$5:$A$504,0)),"미매핑"))</f>
        <v/>
      </c>
      <c r="X10" s="9">
        <f>IF($A10="","",$F10&amp;"")</f>
        <v/>
      </c>
    </row>
    <row r="11">
      <c r="A11" s="75" t="n">
        <v>2025</v>
      </c>
      <c r="B11" s="75" t="n">
        <v>1</v>
      </c>
      <c r="C11" s="75" t="inlineStr">
        <is>
          <t>5100000007</t>
        </is>
      </c>
      <c r="D11" s="78" t="n">
        <v>45660</v>
      </c>
      <c r="E11" s="75" t="inlineStr">
        <is>
          <t>KR</t>
        </is>
      </c>
      <c r="F11" s="75" t="n">
        <v>62101000</v>
      </c>
      <c r="G11" s="75" t="n">
        <v>1501</v>
      </c>
      <c r="H11" s="76" t="n">
        <v>620000</v>
      </c>
      <c r="I11" s="75" t="inlineStr">
        <is>
          <t>1월 국내출장 - M항공</t>
        </is>
      </c>
      <c r="J11" s="75" t="inlineStr">
        <is>
          <t>V10001</t>
        </is>
      </c>
      <c r="K11" s="75" t="inlineStr">
        <is>
          <t>M항공</t>
        </is>
      </c>
      <c r="M11" s="9">
        <f>IF($A11="","",VALUE($A11&amp;"")*12+VALUE($B11&amp;""))</f>
        <v/>
      </c>
      <c r="N11" s="39">
        <f>IF($A11="","",IFERROR(INDEX(부서매핑!$C$5:$C$504,MATCH($G11&amp;"",부서매핑!$A$5:$A$504,0)),"미매핑"))</f>
        <v/>
      </c>
      <c r="O11" s="9">
        <f>IF($A11="","",N11&amp;"|"&amp;$F11)</f>
        <v/>
      </c>
      <c r="P11" s="77">
        <f>IF($A11="",0,$H11*설정!$C$23)</f>
        <v/>
      </c>
      <c r="Q11" s="39">
        <f>IF($A11="","",IF(O11&lt;&gt;원인분석!$C$9,"",IF(AND(M11&gt;=원인분석!$C$10,M11&lt;=원인분석!$C$11),"당기",IF(AND(M11&gt;=원인분석!$C$12,M11&lt;=원인분석!$C$13),"비교",""))))</f>
        <v/>
      </c>
      <c r="R11" s="9">
        <f>IF(Q11="","",$K11&amp;"")</f>
        <v/>
      </c>
      <c r="S11" s="9">
        <f>IF(Q11="","",IF(MATCH(R11,$R$5:$R$100000,0)=ROW()-4,ROW(),""))</f>
        <v/>
      </c>
      <c r="T11" s="9">
        <f>IF(Q11="당기",ABS(P11)+ROW()/1000000000,"")</f>
        <v/>
      </c>
      <c r="U11" s="9">
        <f>IF(Q11="비교",ABS(P11)+ROW()/1000000000,"")</f>
        <v/>
      </c>
      <c r="V11" s="39">
        <f>IF($A11="","",IF(COUNTIF(변동분석!$E$7:$E$506,O11)&gt;0,"Y","N"))</f>
        <v/>
      </c>
      <c r="W11" s="39">
        <f>IF($A11="","",IFERROR(INDEX(계정매핑!$D$5:$D$504,MATCH($F11&amp;"",계정매핑!$A$5:$A$504,0)),"미매핑"))</f>
        <v/>
      </c>
      <c r="X11" s="9">
        <f>IF($A11="","",$F11&amp;"")</f>
        <v/>
      </c>
    </row>
    <row r="12">
      <c r="A12" s="75" t="n">
        <v>2025</v>
      </c>
      <c r="B12" s="75" t="n">
        <v>1</v>
      </c>
      <c r="C12" s="75" t="inlineStr">
        <is>
          <t>5100000008</t>
        </is>
      </c>
      <c r="D12" s="78" t="n">
        <v>45660</v>
      </c>
      <c r="E12" s="75" t="inlineStr">
        <is>
          <t>KR</t>
        </is>
      </c>
      <c r="F12" s="75" t="n">
        <v>62102000</v>
      </c>
      <c r="G12" s="75" t="n">
        <v>1801</v>
      </c>
      <c r="H12" s="76" t="n">
        <v>56000</v>
      </c>
      <c r="I12" s="75" t="inlineStr">
        <is>
          <t>1월 해외출장 - N호텔</t>
        </is>
      </c>
      <c r="J12" s="75" t="inlineStr">
        <is>
          <t>V10007</t>
        </is>
      </c>
      <c r="K12" s="75" t="inlineStr">
        <is>
          <t>N호텔</t>
        </is>
      </c>
      <c r="M12" s="9">
        <f>IF($A12="","",VALUE($A12&amp;"")*12+VALUE($B12&amp;""))</f>
        <v/>
      </c>
      <c r="N12" s="39">
        <f>IF($A12="","",IFERROR(INDEX(부서매핑!$C$5:$C$504,MATCH($G12&amp;"",부서매핑!$A$5:$A$504,0)),"미매핑"))</f>
        <v/>
      </c>
      <c r="O12" s="9">
        <f>IF($A12="","",N12&amp;"|"&amp;$F12)</f>
        <v/>
      </c>
      <c r="P12" s="77">
        <f>IF($A12="",0,$H12*설정!$C$23)</f>
        <v/>
      </c>
      <c r="Q12" s="39">
        <f>IF($A12="","",IF(O12&lt;&gt;원인분석!$C$9,"",IF(AND(M12&gt;=원인분석!$C$10,M12&lt;=원인분석!$C$11),"당기",IF(AND(M12&gt;=원인분석!$C$12,M12&lt;=원인분석!$C$13),"비교",""))))</f>
        <v/>
      </c>
      <c r="R12" s="9">
        <f>IF(Q12="","",$K12&amp;"")</f>
        <v/>
      </c>
      <c r="S12" s="9">
        <f>IF(Q12="","",IF(MATCH(R12,$R$5:$R$100000,0)=ROW()-4,ROW(),""))</f>
        <v/>
      </c>
      <c r="T12" s="9">
        <f>IF(Q12="당기",ABS(P12)+ROW()/1000000000,"")</f>
        <v/>
      </c>
      <c r="U12" s="9">
        <f>IF(Q12="비교",ABS(P12)+ROW()/1000000000,"")</f>
        <v/>
      </c>
      <c r="V12" s="39">
        <f>IF($A12="","",IF(COUNTIF(변동분석!$E$7:$E$506,O12)&gt;0,"Y","N"))</f>
        <v/>
      </c>
      <c r="W12" s="39">
        <f>IF($A12="","",IFERROR(INDEX(계정매핑!$D$5:$D$504,MATCH($F12&amp;"",계정매핑!$A$5:$A$504,0)),"미매핑"))</f>
        <v/>
      </c>
      <c r="X12" s="9">
        <f>IF($A12="","",$F12&amp;"")</f>
        <v/>
      </c>
    </row>
    <row r="13">
      <c r="A13" s="75" t="n">
        <v>2025</v>
      </c>
      <c r="B13" s="75" t="n">
        <v>1</v>
      </c>
      <c r="C13" s="75" t="inlineStr">
        <is>
          <t>5100000009</t>
        </is>
      </c>
      <c r="D13" s="78" t="n">
        <v>45660</v>
      </c>
      <c r="E13" s="75" t="inlineStr">
        <is>
          <t>KR</t>
        </is>
      </c>
      <c r="F13" s="75" t="n">
        <v>62201000</v>
      </c>
      <c r="G13" s="75" t="n">
        <v>1701</v>
      </c>
      <c r="H13" s="76" t="n">
        <v>6587000</v>
      </c>
      <c r="I13" s="75" t="inlineStr">
        <is>
          <t>1월 통신요금 - O텔레콤</t>
        </is>
      </c>
      <c r="J13" s="75" t="inlineStr">
        <is>
          <t>V10002</t>
        </is>
      </c>
      <c r="K13" s="75" t="inlineStr">
        <is>
          <t>O텔레콤</t>
        </is>
      </c>
      <c r="M13" s="9">
        <f>IF($A13="","",VALUE($A13&amp;"")*12+VALUE($B13&amp;""))</f>
        <v/>
      </c>
      <c r="N13" s="39">
        <f>IF($A13="","",IFERROR(INDEX(부서매핑!$C$5:$C$504,MATCH($G13&amp;"",부서매핑!$A$5:$A$504,0)),"미매핑"))</f>
        <v/>
      </c>
      <c r="O13" s="9">
        <f>IF($A13="","",N13&amp;"|"&amp;$F13)</f>
        <v/>
      </c>
      <c r="P13" s="77">
        <f>IF($A13="",0,$H13*설정!$C$23)</f>
        <v/>
      </c>
      <c r="Q13" s="39">
        <f>IF($A13="","",IF(O13&lt;&gt;원인분석!$C$9,"",IF(AND(M13&gt;=원인분석!$C$10,M13&lt;=원인분석!$C$11),"당기",IF(AND(M13&gt;=원인분석!$C$12,M13&lt;=원인분석!$C$13),"비교",""))))</f>
        <v/>
      </c>
      <c r="R13" s="9">
        <f>IF(Q13="","",$K13&amp;"")</f>
        <v/>
      </c>
      <c r="S13" s="9">
        <f>IF(Q13="","",IF(MATCH(R13,$R$5:$R$100000,0)=ROW()-4,ROW(),""))</f>
        <v/>
      </c>
      <c r="T13" s="9">
        <f>IF(Q13="당기",ABS(P13)+ROW()/1000000000,"")</f>
        <v/>
      </c>
      <c r="U13" s="9">
        <f>IF(Q13="비교",ABS(P13)+ROW()/1000000000,"")</f>
        <v/>
      </c>
      <c r="V13" s="39">
        <f>IF($A13="","",IF(COUNTIF(변동분석!$E$7:$E$506,O13)&gt;0,"Y","N"))</f>
        <v/>
      </c>
      <c r="W13" s="39">
        <f>IF($A13="","",IFERROR(INDEX(계정매핑!$D$5:$D$504,MATCH($F13&amp;"",계정매핑!$A$5:$A$504,0)),"미매핑"))</f>
        <v/>
      </c>
      <c r="X13" s="9">
        <f>IF($A13="","",$F13&amp;"")</f>
        <v/>
      </c>
    </row>
    <row r="14">
      <c r="A14" s="75" t="n">
        <v>2025</v>
      </c>
      <c r="B14" s="75" t="n">
        <v>1</v>
      </c>
      <c r="C14" s="75" t="inlineStr">
        <is>
          <t>5100000010</t>
        </is>
      </c>
      <c r="D14" s="78" t="n">
        <v>45660</v>
      </c>
      <c r="E14" s="75" t="inlineStr">
        <is>
          <t>KR</t>
        </is>
      </c>
      <c r="F14" s="75" t="n">
        <v>62301000</v>
      </c>
      <c r="G14" s="75" t="n">
        <v>1701</v>
      </c>
      <c r="H14" s="76" t="n">
        <v>281000</v>
      </c>
      <c r="I14" s="75" t="inlineStr">
        <is>
          <t>1월 소모품 구입 - Q오피스</t>
        </is>
      </c>
      <c r="J14" s="75" t="inlineStr">
        <is>
          <t>V10003</t>
        </is>
      </c>
      <c r="K14" s="75" t="inlineStr">
        <is>
          <t>Q오피스</t>
        </is>
      </c>
      <c r="M14" s="9">
        <f>IF($A14="","",VALUE($A14&amp;"")*12+VALUE($B14&amp;""))</f>
        <v/>
      </c>
      <c r="N14" s="39">
        <f>IF($A14="","",IFERROR(INDEX(부서매핑!$C$5:$C$504,MATCH($G14&amp;"",부서매핑!$A$5:$A$504,0)),"미매핑"))</f>
        <v/>
      </c>
      <c r="O14" s="9">
        <f>IF($A14="","",N14&amp;"|"&amp;$F14)</f>
        <v/>
      </c>
      <c r="P14" s="77">
        <f>IF($A14="",0,$H14*설정!$C$23)</f>
        <v/>
      </c>
      <c r="Q14" s="39">
        <f>IF($A14="","",IF(O14&lt;&gt;원인분석!$C$9,"",IF(AND(M14&gt;=원인분석!$C$10,M14&lt;=원인분석!$C$11),"당기",IF(AND(M14&gt;=원인분석!$C$12,M14&lt;=원인분석!$C$13),"비교",""))))</f>
        <v/>
      </c>
      <c r="R14" s="9">
        <f>IF(Q14="","",$K14&amp;"")</f>
        <v/>
      </c>
      <c r="S14" s="9">
        <f>IF(Q14="","",IF(MATCH(R14,$R$5:$R$100000,0)=ROW()-4,ROW(),""))</f>
        <v/>
      </c>
      <c r="T14" s="9">
        <f>IF(Q14="당기",ABS(P14)+ROW()/1000000000,"")</f>
        <v/>
      </c>
      <c r="U14" s="9">
        <f>IF(Q14="비교",ABS(P14)+ROW()/1000000000,"")</f>
        <v/>
      </c>
      <c r="V14" s="39">
        <f>IF($A14="","",IF(COUNTIF(변동분석!$E$7:$E$506,O14)&gt;0,"Y","N"))</f>
        <v/>
      </c>
      <c r="W14" s="39">
        <f>IF($A14="","",IFERROR(INDEX(계정매핑!$D$5:$D$504,MATCH($F14&amp;"",계정매핑!$A$5:$A$504,0)),"미매핑"))</f>
        <v/>
      </c>
      <c r="X14" s="9">
        <f>IF($A14="","",$F14&amp;"")</f>
        <v/>
      </c>
    </row>
    <row r="15">
      <c r="A15" s="75" t="n">
        <v>2025</v>
      </c>
      <c r="B15" s="75" t="n">
        <v>1</v>
      </c>
      <c r="C15" s="75" t="inlineStr">
        <is>
          <t>5100000011</t>
        </is>
      </c>
      <c r="D15" s="78" t="n">
        <v>45660</v>
      </c>
      <c r="E15" s="75" t="inlineStr">
        <is>
          <t>KR</t>
        </is>
      </c>
      <c r="F15" s="75" t="n">
        <v>62301000</v>
      </c>
      <c r="G15" s="75" t="n">
        <v>1701</v>
      </c>
      <c r="H15" s="76" t="n">
        <v>323000</v>
      </c>
      <c r="I15" s="75" t="inlineStr">
        <is>
          <t>1월 소모품 구입 - Q오피스</t>
        </is>
      </c>
      <c r="J15" s="75" t="inlineStr">
        <is>
          <t>V10003</t>
        </is>
      </c>
      <c r="K15" s="75" t="inlineStr">
        <is>
          <t>Q오피스</t>
        </is>
      </c>
      <c r="M15" s="9">
        <f>IF($A15="","",VALUE($A15&amp;"")*12+VALUE($B15&amp;""))</f>
        <v/>
      </c>
      <c r="N15" s="39">
        <f>IF($A15="","",IFERROR(INDEX(부서매핑!$C$5:$C$504,MATCH($G15&amp;"",부서매핑!$A$5:$A$504,0)),"미매핑"))</f>
        <v/>
      </c>
      <c r="O15" s="9">
        <f>IF($A15="","",N15&amp;"|"&amp;$F15)</f>
        <v/>
      </c>
      <c r="P15" s="77">
        <f>IF($A15="",0,$H15*설정!$C$23)</f>
        <v/>
      </c>
      <c r="Q15" s="39">
        <f>IF($A15="","",IF(O15&lt;&gt;원인분석!$C$9,"",IF(AND(M15&gt;=원인분석!$C$10,M15&lt;=원인분석!$C$11),"당기",IF(AND(M15&gt;=원인분석!$C$12,M15&lt;=원인분석!$C$13),"비교",""))))</f>
        <v/>
      </c>
      <c r="R15" s="9">
        <f>IF(Q15="","",$K15&amp;"")</f>
        <v/>
      </c>
      <c r="S15" s="9">
        <f>IF(Q15="","",IF(MATCH(R15,$R$5:$R$100000,0)=ROW()-4,ROW(),""))</f>
        <v/>
      </c>
      <c r="T15" s="9">
        <f>IF(Q15="당기",ABS(P15)+ROW()/1000000000,"")</f>
        <v/>
      </c>
      <c r="U15" s="9">
        <f>IF(Q15="비교",ABS(P15)+ROW()/1000000000,"")</f>
        <v/>
      </c>
      <c r="V15" s="39">
        <f>IF($A15="","",IF(COUNTIF(변동분석!$E$7:$E$506,O15)&gt;0,"Y","N"))</f>
        <v/>
      </c>
      <c r="W15" s="39">
        <f>IF($A15="","",IFERROR(INDEX(계정매핑!$D$5:$D$504,MATCH($F15&amp;"",계정매핑!$A$5:$A$504,0)),"미매핑"))</f>
        <v/>
      </c>
      <c r="X15" s="9">
        <f>IF($A15="","",$F15&amp;"")</f>
        <v/>
      </c>
    </row>
    <row r="16">
      <c r="A16" s="75" t="n">
        <v>2025</v>
      </c>
      <c r="B16" s="75" t="n">
        <v>1</v>
      </c>
      <c r="C16" s="75" t="inlineStr">
        <is>
          <t>5100000012</t>
        </is>
      </c>
      <c r="D16" s="78" t="n">
        <v>45660</v>
      </c>
      <c r="E16" s="75" t="inlineStr">
        <is>
          <t>KR</t>
        </is>
      </c>
      <c r="F16" s="75" t="n">
        <v>62501000</v>
      </c>
      <c r="G16" s="75" t="n">
        <v>1201</v>
      </c>
      <c r="H16" s="76" t="n">
        <v>103000</v>
      </c>
      <c r="I16" s="75" t="inlineStr">
        <is>
          <t>1월 회의 다과 - (법인카드)</t>
        </is>
      </c>
      <c r="J16" s="75" t="inlineStr">
        <is>
          <t>V10008</t>
        </is>
      </c>
      <c r="K16" s="75" t="inlineStr">
        <is>
          <t>(법인카드)</t>
        </is>
      </c>
      <c r="M16" s="9">
        <f>IF($A16="","",VALUE($A16&amp;"")*12+VALUE($B16&amp;""))</f>
        <v/>
      </c>
      <c r="N16" s="39">
        <f>IF($A16="","",IFERROR(INDEX(부서매핑!$C$5:$C$504,MATCH($G16&amp;"",부서매핑!$A$5:$A$504,0)),"미매핑"))</f>
        <v/>
      </c>
      <c r="O16" s="9">
        <f>IF($A16="","",N16&amp;"|"&amp;$F16)</f>
        <v/>
      </c>
      <c r="P16" s="77">
        <f>IF($A16="",0,$H16*설정!$C$23)</f>
        <v/>
      </c>
      <c r="Q16" s="39">
        <f>IF($A16="","",IF(O16&lt;&gt;원인분석!$C$9,"",IF(AND(M16&gt;=원인분석!$C$10,M16&lt;=원인분석!$C$11),"당기",IF(AND(M16&gt;=원인분석!$C$12,M16&lt;=원인분석!$C$13),"비교",""))))</f>
        <v/>
      </c>
      <c r="R16" s="9">
        <f>IF(Q16="","",$K16&amp;"")</f>
        <v/>
      </c>
      <c r="S16" s="9">
        <f>IF(Q16="","",IF(MATCH(R16,$R$5:$R$100000,0)=ROW()-4,ROW(),""))</f>
        <v/>
      </c>
      <c r="T16" s="9">
        <f>IF(Q16="당기",ABS(P16)+ROW()/1000000000,"")</f>
        <v/>
      </c>
      <c r="U16" s="9">
        <f>IF(Q16="비교",ABS(P16)+ROW()/1000000000,"")</f>
        <v/>
      </c>
      <c r="V16" s="39">
        <f>IF($A16="","",IF(COUNTIF(변동분석!$E$7:$E$506,O16)&gt;0,"Y","N"))</f>
        <v/>
      </c>
      <c r="W16" s="39">
        <f>IF($A16="","",IFERROR(INDEX(계정매핑!$D$5:$D$504,MATCH($F16&amp;"",계정매핑!$A$5:$A$504,0)),"미매핑"))</f>
        <v/>
      </c>
      <c r="X16" s="9">
        <f>IF($A16="","",$F16&amp;"")</f>
        <v/>
      </c>
    </row>
    <row r="17">
      <c r="A17" s="75" t="n">
        <v>2025</v>
      </c>
      <c r="B17" s="75" t="n">
        <v>1</v>
      </c>
      <c r="C17" s="75" t="inlineStr">
        <is>
          <t>5100000013</t>
        </is>
      </c>
      <c r="D17" s="78" t="n">
        <v>45660</v>
      </c>
      <c r="E17" s="75" t="inlineStr">
        <is>
          <t>KR</t>
        </is>
      </c>
      <c r="F17" s="75" t="n">
        <v>62501000</v>
      </c>
      <c r="G17" s="75" t="n">
        <v>1801</v>
      </c>
      <c r="H17" s="76" t="n">
        <v>175000</v>
      </c>
      <c r="I17" s="75" t="inlineStr">
        <is>
          <t>1월 회의 다과 - (법인카드)</t>
        </is>
      </c>
      <c r="J17" s="75" t="inlineStr">
        <is>
          <t>V10008</t>
        </is>
      </c>
      <c r="K17" s="75" t="inlineStr">
        <is>
          <t>(법인카드)</t>
        </is>
      </c>
      <c r="M17" s="9">
        <f>IF($A17="","",VALUE($A17&amp;"")*12+VALUE($B17&amp;""))</f>
        <v/>
      </c>
      <c r="N17" s="39">
        <f>IF($A17="","",IFERROR(INDEX(부서매핑!$C$5:$C$504,MATCH($G17&amp;"",부서매핑!$A$5:$A$504,0)),"미매핑"))</f>
        <v/>
      </c>
      <c r="O17" s="9">
        <f>IF($A17="","",N17&amp;"|"&amp;$F17)</f>
        <v/>
      </c>
      <c r="P17" s="77">
        <f>IF($A17="",0,$H17*설정!$C$23)</f>
        <v/>
      </c>
      <c r="Q17" s="39">
        <f>IF($A17="","",IF(O17&lt;&gt;원인분석!$C$9,"",IF(AND(M17&gt;=원인분석!$C$10,M17&lt;=원인분석!$C$11),"당기",IF(AND(M17&gt;=원인분석!$C$12,M17&lt;=원인분석!$C$13),"비교",""))))</f>
        <v/>
      </c>
      <c r="R17" s="9">
        <f>IF(Q17="","",$K17&amp;"")</f>
        <v/>
      </c>
      <c r="S17" s="9">
        <f>IF(Q17="","",IF(MATCH(R17,$R$5:$R$100000,0)=ROW()-4,ROW(),""))</f>
        <v/>
      </c>
      <c r="T17" s="9">
        <f>IF(Q17="당기",ABS(P17)+ROW()/1000000000,"")</f>
        <v/>
      </c>
      <c r="U17" s="9">
        <f>IF(Q17="비교",ABS(P17)+ROW()/1000000000,"")</f>
        <v/>
      </c>
      <c r="V17" s="39">
        <f>IF($A17="","",IF(COUNTIF(변동분석!$E$7:$E$506,O17)&gt;0,"Y","N"))</f>
        <v/>
      </c>
      <c r="W17" s="39">
        <f>IF($A17="","",IFERROR(INDEX(계정매핑!$D$5:$D$504,MATCH($F17&amp;"",계정매핑!$A$5:$A$504,0)),"미매핑"))</f>
        <v/>
      </c>
      <c r="X17" s="9">
        <f>IF($A17="","",$F17&amp;"")</f>
        <v/>
      </c>
    </row>
    <row r="18">
      <c r="A18" s="75" t="n">
        <v>2025</v>
      </c>
      <c r="B18" s="75" t="n">
        <v>1</v>
      </c>
      <c r="C18" s="75" t="inlineStr">
        <is>
          <t>5100000014</t>
        </is>
      </c>
      <c r="D18" s="78" t="n">
        <v>45660</v>
      </c>
      <c r="E18" s="75" t="inlineStr">
        <is>
          <t>KR</t>
        </is>
      </c>
      <c r="F18" s="75" t="n">
        <v>62901000</v>
      </c>
      <c r="G18" s="75" t="n">
        <v>1201</v>
      </c>
      <c r="H18" s="76" t="n">
        <v>9302000</v>
      </c>
      <c r="I18" s="75" t="inlineStr">
        <is>
          <t>1월 자문 수수료 - W컨설팅</t>
        </is>
      </c>
      <c r="J18" s="75" t="inlineStr">
        <is>
          <t>V10009</t>
        </is>
      </c>
      <c r="K18" s="75" t="inlineStr">
        <is>
          <t>W컨설팅</t>
        </is>
      </c>
      <c r="M18" s="9">
        <f>IF($A18="","",VALUE($A18&amp;"")*12+VALUE($B18&amp;""))</f>
        <v/>
      </c>
      <c r="N18" s="39">
        <f>IF($A18="","",IFERROR(INDEX(부서매핑!$C$5:$C$504,MATCH($G18&amp;"",부서매핑!$A$5:$A$504,0)),"미매핑"))</f>
        <v/>
      </c>
      <c r="O18" s="9">
        <f>IF($A18="","",N18&amp;"|"&amp;$F18)</f>
        <v/>
      </c>
      <c r="P18" s="77">
        <f>IF($A18="",0,$H18*설정!$C$23)</f>
        <v/>
      </c>
      <c r="Q18" s="39">
        <f>IF($A18="","",IF(O18&lt;&gt;원인분석!$C$9,"",IF(AND(M18&gt;=원인분석!$C$10,M18&lt;=원인분석!$C$11),"당기",IF(AND(M18&gt;=원인분석!$C$12,M18&lt;=원인분석!$C$13),"비교",""))))</f>
        <v/>
      </c>
      <c r="R18" s="9">
        <f>IF(Q18="","",$K18&amp;"")</f>
        <v/>
      </c>
      <c r="S18" s="9">
        <f>IF(Q18="","",IF(MATCH(R18,$R$5:$R$100000,0)=ROW()-4,ROW(),""))</f>
        <v/>
      </c>
      <c r="T18" s="9">
        <f>IF(Q18="당기",ABS(P18)+ROW()/1000000000,"")</f>
        <v/>
      </c>
      <c r="U18" s="9">
        <f>IF(Q18="비교",ABS(P18)+ROW()/1000000000,"")</f>
        <v/>
      </c>
      <c r="V18" s="39">
        <f>IF($A18="","",IF(COUNTIF(변동분석!$E$7:$E$506,O18)&gt;0,"Y","N"))</f>
        <v/>
      </c>
      <c r="W18" s="39">
        <f>IF($A18="","",IFERROR(INDEX(계정매핑!$D$5:$D$504,MATCH($F18&amp;"",계정매핑!$A$5:$A$504,0)),"미매핑"))</f>
        <v/>
      </c>
      <c r="X18" s="9">
        <f>IF($A18="","",$F18&amp;"")</f>
        <v/>
      </c>
    </row>
    <row r="19">
      <c r="A19" s="75" t="n">
        <v>2025</v>
      </c>
      <c r="B19" s="75" t="n">
        <v>1</v>
      </c>
      <c r="C19" s="75" t="inlineStr">
        <is>
          <t>5100000015</t>
        </is>
      </c>
      <c r="D19" s="78" t="n">
        <v>45660</v>
      </c>
      <c r="E19" s="75" t="inlineStr">
        <is>
          <t>KR</t>
        </is>
      </c>
      <c r="F19" s="75" t="n">
        <v>62901000</v>
      </c>
      <c r="G19" s="75" t="n">
        <v>1401</v>
      </c>
      <c r="H19" s="76" t="n">
        <v>6945000</v>
      </c>
      <c r="I19" s="75" t="inlineStr">
        <is>
          <t>1월 자문 수수료 - K회계법인</t>
        </is>
      </c>
      <c r="J19" s="75" t="inlineStr">
        <is>
          <t>V10010</t>
        </is>
      </c>
      <c r="K19" s="75" t="inlineStr">
        <is>
          <t>K회계법인</t>
        </is>
      </c>
      <c r="M19" s="9">
        <f>IF($A19="","",VALUE($A19&amp;"")*12+VALUE($B19&amp;""))</f>
        <v/>
      </c>
      <c r="N19" s="39">
        <f>IF($A19="","",IFERROR(INDEX(부서매핑!$C$5:$C$504,MATCH($G19&amp;"",부서매핑!$A$5:$A$504,0)),"미매핑"))</f>
        <v/>
      </c>
      <c r="O19" s="9">
        <f>IF($A19="","",N19&amp;"|"&amp;$F19)</f>
        <v/>
      </c>
      <c r="P19" s="77">
        <f>IF($A19="",0,$H19*설정!$C$23)</f>
        <v/>
      </c>
      <c r="Q19" s="39">
        <f>IF($A19="","",IF(O19&lt;&gt;원인분석!$C$9,"",IF(AND(M19&gt;=원인분석!$C$10,M19&lt;=원인분석!$C$11),"당기",IF(AND(M19&gt;=원인분석!$C$12,M19&lt;=원인분석!$C$13),"비교",""))))</f>
        <v/>
      </c>
      <c r="R19" s="9">
        <f>IF(Q19="","",$K19&amp;"")</f>
        <v/>
      </c>
      <c r="S19" s="9">
        <f>IF(Q19="","",IF(MATCH(R19,$R$5:$R$100000,0)=ROW()-4,ROW(),""))</f>
        <v/>
      </c>
      <c r="T19" s="9">
        <f>IF(Q19="당기",ABS(P19)+ROW()/1000000000,"")</f>
        <v/>
      </c>
      <c r="U19" s="9">
        <f>IF(Q19="비교",ABS(P19)+ROW()/1000000000,"")</f>
        <v/>
      </c>
      <c r="V19" s="39">
        <f>IF($A19="","",IF(COUNTIF(변동분석!$E$7:$E$506,O19)&gt;0,"Y","N"))</f>
        <v/>
      </c>
      <c r="W19" s="39">
        <f>IF($A19="","",IFERROR(INDEX(계정매핑!$D$5:$D$504,MATCH($F19&amp;"",계정매핑!$A$5:$A$504,0)),"미매핑"))</f>
        <v/>
      </c>
      <c r="X19" s="9">
        <f>IF($A19="","",$F19&amp;"")</f>
        <v/>
      </c>
    </row>
    <row r="20">
      <c r="A20" s="75" t="n">
        <v>2025</v>
      </c>
      <c r="B20" s="75" t="n">
        <v>1</v>
      </c>
      <c r="C20" s="75" t="inlineStr">
        <is>
          <t>5100000016</t>
        </is>
      </c>
      <c r="D20" s="78" t="n">
        <v>45660</v>
      </c>
      <c r="E20" s="75" t="inlineStr">
        <is>
          <t>KR</t>
        </is>
      </c>
      <c r="F20" s="75" t="n">
        <v>62901000</v>
      </c>
      <c r="G20" s="75" t="n">
        <v>1401</v>
      </c>
      <c r="H20" s="76" t="n">
        <v>4391000</v>
      </c>
      <c r="I20" s="75" t="inlineStr">
        <is>
          <t>1월 자문 수수료 - W컨설팅</t>
        </is>
      </c>
      <c r="J20" s="75" t="inlineStr">
        <is>
          <t>V10009</t>
        </is>
      </c>
      <c r="K20" s="75" t="inlineStr">
        <is>
          <t>W컨설팅</t>
        </is>
      </c>
      <c r="M20" s="9">
        <f>IF($A20="","",VALUE($A20&amp;"")*12+VALUE($B20&amp;""))</f>
        <v/>
      </c>
      <c r="N20" s="39">
        <f>IF($A20="","",IFERROR(INDEX(부서매핑!$C$5:$C$504,MATCH($G20&amp;"",부서매핑!$A$5:$A$504,0)),"미매핑"))</f>
        <v/>
      </c>
      <c r="O20" s="9">
        <f>IF($A20="","",N20&amp;"|"&amp;$F20)</f>
        <v/>
      </c>
      <c r="P20" s="77">
        <f>IF($A20="",0,$H20*설정!$C$23)</f>
        <v/>
      </c>
      <c r="Q20" s="39">
        <f>IF($A20="","",IF(O20&lt;&gt;원인분석!$C$9,"",IF(AND(M20&gt;=원인분석!$C$10,M20&lt;=원인분석!$C$11),"당기",IF(AND(M20&gt;=원인분석!$C$12,M20&lt;=원인분석!$C$13),"비교",""))))</f>
        <v/>
      </c>
      <c r="R20" s="9">
        <f>IF(Q20="","",$K20&amp;"")</f>
        <v/>
      </c>
      <c r="S20" s="9">
        <f>IF(Q20="","",IF(MATCH(R20,$R$5:$R$100000,0)=ROW()-4,ROW(),""))</f>
        <v/>
      </c>
      <c r="T20" s="9">
        <f>IF(Q20="당기",ABS(P20)+ROW()/1000000000,"")</f>
        <v/>
      </c>
      <c r="U20" s="9">
        <f>IF(Q20="비교",ABS(P20)+ROW()/1000000000,"")</f>
        <v/>
      </c>
      <c r="V20" s="39">
        <f>IF($A20="","",IF(COUNTIF(변동분석!$E$7:$E$506,O20)&gt;0,"Y","N"))</f>
        <v/>
      </c>
      <c r="W20" s="39">
        <f>IF($A20="","",IFERROR(INDEX(계정매핑!$D$5:$D$504,MATCH($F20&amp;"",계정매핑!$A$5:$A$504,0)),"미매핑"))</f>
        <v/>
      </c>
      <c r="X20" s="9">
        <f>IF($A20="","",$F20&amp;"")</f>
        <v/>
      </c>
    </row>
    <row r="21">
      <c r="A21" s="75" t="n">
        <v>2025</v>
      </c>
      <c r="B21" s="75" t="n">
        <v>1</v>
      </c>
      <c r="C21" s="75" t="inlineStr">
        <is>
          <t>5100000017</t>
        </is>
      </c>
      <c r="D21" s="78" t="n">
        <v>45661</v>
      </c>
      <c r="E21" s="75" t="inlineStr">
        <is>
          <t>KR</t>
        </is>
      </c>
      <c r="F21" s="75" t="n">
        <v>62101000</v>
      </c>
      <c r="G21" s="75" t="n">
        <v>1401</v>
      </c>
      <c r="H21" s="76" t="n">
        <v>460000</v>
      </c>
      <c r="I21" s="75" t="inlineStr">
        <is>
          <t>1월 국내출장 - M항공</t>
        </is>
      </c>
      <c r="J21" s="75" t="inlineStr">
        <is>
          <t>V10001</t>
        </is>
      </c>
      <c r="K21" s="75" t="inlineStr">
        <is>
          <t>M항공</t>
        </is>
      </c>
      <c r="M21" s="9">
        <f>IF($A21="","",VALUE($A21&amp;"")*12+VALUE($B21&amp;""))</f>
        <v/>
      </c>
      <c r="N21" s="39">
        <f>IF($A21="","",IFERROR(INDEX(부서매핑!$C$5:$C$504,MATCH($G21&amp;"",부서매핑!$A$5:$A$504,0)),"미매핑"))</f>
        <v/>
      </c>
      <c r="O21" s="9">
        <f>IF($A21="","",N21&amp;"|"&amp;$F21)</f>
        <v/>
      </c>
      <c r="P21" s="77">
        <f>IF($A21="",0,$H21*설정!$C$23)</f>
        <v/>
      </c>
      <c r="Q21" s="39">
        <f>IF($A21="","",IF(O21&lt;&gt;원인분석!$C$9,"",IF(AND(M21&gt;=원인분석!$C$10,M21&lt;=원인분석!$C$11),"당기",IF(AND(M21&gt;=원인분석!$C$12,M21&lt;=원인분석!$C$13),"비교",""))))</f>
        <v/>
      </c>
      <c r="R21" s="9">
        <f>IF(Q21="","",$K21&amp;"")</f>
        <v/>
      </c>
      <c r="S21" s="9">
        <f>IF(Q21="","",IF(MATCH(R21,$R$5:$R$100000,0)=ROW()-4,ROW(),""))</f>
        <v/>
      </c>
      <c r="T21" s="9">
        <f>IF(Q21="당기",ABS(P21)+ROW()/1000000000,"")</f>
        <v/>
      </c>
      <c r="U21" s="9">
        <f>IF(Q21="비교",ABS(P21)+ROW()/1000000000,"")</f>
        <v/>
      </c>
      <c r="V21" s="39">
        <f>IF($A21="","",IF(COUNTIF(변동분석!$E$7:$E$506,O21)&gt;0,"Y","N"))</f>
        <v/>
      </c>
      <c r="W21" s="39">
        <f>IF($A21="","",IFERROR(INDEX(계정매핑!$D$5:$D$504,MATCH($F21&amp;"",계정매핑!$A$5:$A$504,0)),"미매핑"))</f>
        <v/>
      </c>
      <c r="X21" s="9">
        <f>IF($A21="","",$F21&amp;"")</f>
        <v/>
      </c>
    </row>
    <row r="22">
      <c r="A22" s="75" t="n">
        <v>2025</v>
      </c>
      <c r="B22" s="75" t="n">
        <v>1</v>
      </c>
      <c r="C22" s="75" t="inlineStr">
        <is>
          <t>5100000018</t>
        </is>
      </c>
      <c r="D22" s="78" t="n">
        <v>45661</v>
      </c>
      <c r="E22" s="75" t="inlineStr">
        <is>
          <t>KR</t>
        </is>
      </c>
      <c r="F22" s="75" t="n">
        <v>62101000</v>
      </c>
      <c r="G22" s="75" t="n">
        <v>1701</v>
      </c>
      <c r="H22" s="76" t="n">
        <v>191000</v>
      </c>
      <c r="I22" s="75" t="inlineStr">
        <is>
          <t>1월 국내출장 - (법인카드)</t>
        </is>
      </c>
      <c r="J22" s="75" t="inlineStr">
        <is>
          <t>V10008</t>
        </is>
      </c>
      <c r="K22" s="75" t="inlineStr">
        <is>
          <t>(법인카드)</t>
        </is>
      </c>
      <c r="M22" s="9">
        <f>IF($A22="","",VALUE($A22&amp;"")*12+VALUE($B22&amp;""))</f>
        <v/>
      </c>
      <c r="N22" s="39">
        <f>IF($A22="","",IFERROR(INDEX(부서매핑!$C$5:$C$504,MATCH($G22&amp;"",부서매핑!$A$5:$A$504,0)),"미매핑"))</f>
        <v/>
      </c>
      <c r="O22" s="9">
        <f>IF($A22="","",N22&amp;"|"&amp;$F22)</f>
        <v/>
      </c>
      <c r="P22" s="77">
        <f>IF($A22="",0,$H22*설정!$C$23)</f>
        <v/>
      </c>
      <c r="Q22" s="39">
        <f>IF($A22="","",IF(O22&lt;&gt;원인분석!$C$9,"",IF(AND(M22&gt;=원인분석!$C$10,M22&lt;=원인분석!$C$11),"당기",IF(AND(M22&gt;=원인분석!$C$12,M22&lt;=원인분석!$C$13),"비교",""))))</f>
        <v/>
      </c>
      <c r="R22" s="9">
        <f>IF(Q22="","",$K22&amp;"")</f>
        <v/>
      </c>
      <c r="S22" s="9">
        <f>IF(Q22="","",IF(MATCH(R22,$R$5:$R$100000,0)=ROW()-4,ROW(),""))</f>
        <v/>
      </c>
      <c r="T22" s="9">
        <f>IF(Q22="당기",ABS(P22)+ROW()/1000000000,"")</f>
        <v/>
      </c>
      <c r="U22" s="9">
        <f>IF(Q22="비교",ABS(P22)+ROW()/1000000000,"")</f>
        <v/>
      </c>
      <c r="V22" s="39">
        <f>IF($A22="","",IF(COUNTIF(변동분석!$E$7:$E$506,O22)&gt;0,"Y","N"))</f>
        <v/>
      </c>
      <c r="W22" s="39">
        <f>IF($A22="","",IFERROR(INDEX(계정매핑!$D$5:$D$504,MATCH($F22&amp;"",계정매핑!$A$5:$A$504,0)),"미매핑"))</f>
        <v/>
      </c>
      <c r="X22" s="9">
        <f>IF($A22="","",$F22&amp;"")</f>
        <v/>
      </c>
    </row>
    <row r="23">
      <c r="A23" s="75" t="n">
        <v>2025</v>
      </c>
      <c r="B23" s="75" t="n">
        <v>1</v>
      </c>
      <c r="C23" s="75" t="inlineStr">
        <is>
          <t>5100000019</t>
        </is>
      </c>
      <c r="D23" s="78" t="n">
        <v>45661</v>
      </c>
      <c r="E23" s="75" t="inlineStr">
        <is>
          <t>KR</t>
        </is>
      </c>
      <c r="F23" s="75" t="n">
        <v>62201000</v>
      </c>
      <c r="G23" s="75" t="n">
        <v>1502</v>
      </c>
      <c r="H23" s="76" t="n">
        <v>269000</v>
      </c>
      <c r="I23" s="75" t="inlineStr">
        <is>
          <t>1월 통신요금 - P통신</t>
        </is>
      </c>
      <c r="J23" s="75" t="inlineStr">
        <is>
          <t>V10011</t>
        </is>
      </c>
      <c r="K23" s="75" t="inlineStr">
        <is>
          <t>P통신</t>
        </is>
      </c>
      <c r="M23" s="9">
        <f>IF($A23="","",VALUE($A23&amp;"")*12+VALUE($B23&amp;""))</f>
        <v/>
      </c>
      <c r="N23" s="39">
        <f>IF($A23="","",IFERROR(INDEX(부서매핑!$C$5:$C$504,MATCH($G23&amp;"",부서매핑!$A$5:$A$504,0)),"미매핑"))</f>
        <v/>
      </c>
      <c r="O23" s="9">
        <f>IF($A23="","",N23&amp;"|"&amp;$F23)</f>
        <v/>
      </c>
      <c r="P23" s="77">
        <f>IF($A23="",0,$H23*설정!$C$23)</f>
        <v/>
      </c>
      <c r="Q23" s="39">
        <f>IF($A23="","",IF(O23&lt;&gt;원인분석!$C$9,"",IF(AND(M23&gt;=원인분석!$C$10,M23&lt;=원인분석!$C$11),"당기",IF(AND(M23&gt;=원인분석!$C$12,M23&lt;=원인분석!$C$13),"비교",""))))</f>
        <v/>
      </c>
      <c r="R23" s="9">
        <f>IF(Q23="","",$K23&amp;"")</f>
        <v/>
      </c>
      <c r="S23" s="9">
        <f>IF(Q23="","",IF(MATCH(R23,$R$5:$R$100000,0)=ROW()-4,ROW(),""))</f>
        <v/>
      </c>
      <c r="T23" s="9">
        <f>IF(Q23="당기",ABS(P23)+ROW()/1000000000,"")</f>
        <v/>
      </c>
      <c r="U23" s="9">
        <f>IF(Q23="비교",ABS(P23)+ROW()/1000000000,"")</f>
        <v/>
      </c>
      <c r="V23" s="39">
        <f>IF($A23="","",IF(COUNTIF(변동분석!$E$7:$E$506,O23)&gt;0,"Y","N"))</f>
        <v/>
      </c>
      <c r="W23" s="39">
        <f>IF($A23="","",IFERROR(INDEX(계정매핑!$D$5:$D$504,MATCH($F23&amp;"",계정매핑!$A$5:$A$504,0)),"미매핑"))</f>
        <v/>
      </c>
      <c r="X23" s="9">
        <f>IF($A23="","",$F23&amp;"")</f>
        <v/>
      </c>
    </row>
    <row r="24">
      <c r="A24" s="75" t="n">
        <v>2025</v>
      </c>
      <c r="B24" s="75" t="n">
        <v>1</v>
      </c>
      <c r="C24" s="75" t="inlineStr">
        <is>
          <t>5100000020</t>
        </is>
      </c>
      <c r="D24" s="78" t="n">
        <v>45661</v>
      </c>
      <c r="E24" s="75" t="inlineStr">
        <is>
          <t>KR</t>
        </is>
      </c>
      <c r="F24" s="75" t="n">
        <v>62401000</v>
      </c>
      <c r="G24" s="75" t="n">
        <v>1401</v>
      </c>
      <c r="H24" s="76" t="n">
        <v>235000</v>
      </c>
      <c r="I24" s="75" t="inlineStr">
        <is>
          <t>1월 인쇄물 제작 - S출판</t>
        </is>
      </c>
      <c r="J24" s="75" t="inlineStr">
        <is>
          <t>V10012</t>
        </is>
      </c>
      <c r="K24" s="75" t="inlineStr">
        <is>
          <t>S출판</t>
        </is>
      </c>
      <c r="M24" s="9">
        <f>IF($A24="","",VALUE($A24&amp;"")*12+VALUE($B24&amp;""))</f>
        <v/>
      </c>
      <c r="N24" s="39">
        <f>IF($A24="","",IFERROR(INDEX(부서매핑!$C$5:$C$504,MATCH($G24&amp;"",부서매핑!$A$5:$A$504,0)),"미매핑"))</f>
        <v/>
      </c>
      <c r="O24" s="9">
        <f>IF($A24="","",N24&amp;"|"&amp;$F24)</f>
        <v/>
      </c>
      <c r="P24" s="77">
        <f>IF($A24="",0,$H24*설정!$C$23)</f>
        <v/>
      </c>
      <c r="Q24" s="39">
        <f>IF($A24="","",IF(O24&lt;&gt;원인분석!$C$9,"",IF(AND(M24&gt;=원인분석!$C$10,M24&lt;=원인분석!$C$11),"당기",IF(AND(M24&gt;=원인분석!$C$12,M24&lt;=원인분석!$C$13),"비교",""))))</f>
        <v/>
      </c>
      <c r="R24" s="9">
        <f>IF(Q24="","",$K24&amp;"")</f>
        <v/>
      </c>
      <c r="S24" s="9">
        <f>IF(Q24="","",IF(MATCH(R24,$R$5:$R$100000,0)=ROW()-4,ROW(),""))</f>
        <v/>
      </c>
      <c r="T24" s="9">
        <f>IF(Q24="당기",ABS(P24)+ROW()/1000000000,"")</f>
        <v/>
      </c>
      <c r="U24" s="9">
        <f>IF(Q24="비교",ABS(P24)+ROW()/1000000000,"")</f>
        <v/>
      </c>
      <c r="V24" s="39">
        <f>IF($A24="","",IF(COUNTIF(변동분석!$E$7:$E$506,O24)&gt;0,"Y","N"))</f>
        <v/>
      </c>
      <c r="W24" s="39">
        <f>IF($A24="","",IFERROR(INDEX(계정매핑!$D$5:$D$504,MATCH($F24&amp;"",계정매핑!$A$5:$A$504,0)),"미매핑"))</f>
        <v/>
      </c>
      <c r="X24" s="9">
        <f>IF($A24="","",$F24&amp;"")</f>
        <v/>
      </c>
    </row>
    <row r="25">
      <c r="A25" s="75" t="n">
        <v>2025</v>
      </c>
      <c r="B25" s="75" t="n">
        <v>1</v>
      </c>
      <c r="C25" s="75" t="inlineStr">
        <is>
          <t>5100000021</t>
        </is>
      </c>
      <c r="D25" s="78" t="n">
        <v>45661</v>
      </c>
      <c r="E25" s="75" t="inlineStr">
        <is>
          <t>KR</t>
        </is>
      </c>
      <c r="F25" s="75" t="n">
        <v>62901000</v>
      </c>
      <c r="G25" s="75" t="n">
        <v>1801</v>
      </c>
      <c r="H25" s="76" t="n">
        <v>18507000</v>
      </c>
      <c r="I25" s="75" t="inlineStr">
        <is>
          <t>1월 자문 수수료 - W컨설팅</t>
        </is>
      </c>
      <c r="J25" s="75" t="inlineStr">
        <is>
          <t>V10009</t>
        </is>
      </c>
      <c r="K25" s="75" t="inlineStr">
        <is>
          <t>W컨설팅</t>
        </is>
      </c>
      <c r="M25" s="9">
        <f>IF($A25="","",VALUE($A25&amp;"")*12+VALUE($B25&amp;""))</f>
        <v/>
      </c>
      <c r="N25" s="39">
        <f>IF($A25="","",IFERROR(INDEX(부서매핑!$C$5:$C$504,MATCH($G25&amp;"",부서매핑!$A$5:$A$504,0)),"미매핑"))</f>
        <v/>
      </c>
      <c r="O25" s="9">
        <f>IF($A25="","",N25&amp;"|"&amp;$F25)</f>
        <v/>
      </c>
      <c r="P25" s="77">
        <f>IF($A25="",0,$H25*설정!$C$23)</f>
        <v/>
      </c>
      <c r="Q25" s="39">
        <f>IF($A25="","",IF(O25&lt;&gt;원인분석!$C$9,"",IF(AND(M25&gt;=원인분석!$C$10,M25&lt;=원인분석!$C$11),"당기",IF(AND(M25&gt;=원인분석!$C$12,M25&lt;=원인분석!$C$13),"비교",""))))</f>
        <v/>
      </c>
      <c r="R25" s="9">
        <f>IF(Q25="","",$K25&amp;"")</f>
        <v/>
      </c>
      <c r="S25" s="9">
        <f>IF(Q25="","",IF(MATCH(R25,$R$5:$R$100000,0)=ROW()-4,ROW(),""))</f>
        <v/>
      </c>
      <c r="T25" s="9">
        <f>IF(Q25="당기",ABS(P25)+ROW()/1000000000,"")</f>
        <v/>
      </c>
      <c r="U25" s="9">
        <f>IF(Q25="비교",ABS(P25)+ROW()/1000000000,"")</f>
        <v/>
      </c>
      <c r="V25" s="39">
        <f>IF($A25="","",IF(COUNTIF(변동분석!$E$7:$E$506,O25)&gt;0,"Y","N"))</f>
        <v/>
      </c>
      <c r="W25" s="39">
        <f>IF($A25="","",IFERROR(INDEX(계정매핑!$D$5:$D$504,MATCH($F25&amp;"",계정매핑!$A$5:$A$504,0)),"미매핑"))</f>
        <v/>
      </c>
      <c r="X25" s="9">
        <f>IF($A25="","",$F25&amp;"")</f>
        <v/>
      </c>
    </row>
    <row r="26">
      <c r="A26" s="75" t="n">
        <v>2025</v>
      </c>
      <c r="B26" s="75" t="n">
        <v>1</v>
      </c>
      <c r="C26" s="75" t="inlineStr">
        <is>
          <t>5100000022</t>
        </is>
      </c>
      <c r="D26" s="78" t="n">
        <v>45661</v>
      </c>
      <c r="E26" s="75" t="inlineStr">
        <is>
          <t>KR</t>
        </is>
      </c>
      <c r="F26" s="75" t="n">
        <v>62902000</v>
      </c>
      <c r="G26" s="75" t="n">
        <v>1801</v>
      </c>
      <c r="H26" s="76" t="n">
        <v>1790000</v>
      </c>
      <c r="I26" s="75" t="inlineStr">
        <is>
          <t>1월 콜 위탁 수수료(건별)</t>
        </is>
      </c>
      <c r="J26" s="75" t="inlineStr">
        <is>
          <t>V10013</t>
        </is>
      </c>
      <c r="K26" s="75" t="inlineStr">
        <is>
          <t>J콜센터</t>
        </is>
      </c>
      <c r="M26" s="9">
        <f>IF($A26="","",VALUE($A26&amp;"")*12+VALUE($B26&amp;""))</f>
        <v/>
      </c>
      <c r="N26" s="39">
        <f>IF($A26="","",IFERROR(INDEX(부서매핑!$C$5:$C$504,MATCH($G26&amp;"",부서매핑!$A$5:$A$504,0)),"미매핑"))</f>
        <v/>
      </c>
      <c r="O26" s="9">
        <f>IF($A26="","",N26&amp;"|"&amp;$F26)</f>
        <v/>
      </c>
      <c r="P26" s="77">
        <f>IF($A26="",0,$H26*설정!$C$23)</f>
        <v/>
      </c>
      <c r="Q26" s="39">
        <f>IF($A26="","",IF(O26&lt;&gt;원인분석!$C$9,"",IF(AND(M26&gt;=원인분석!$C$10,M26&lt;=원인분석!$C$11),"당기",IF(AND(M26&gt;=원인분석!$C$12,M26&lt;=원인분석!$C$13),"비교",""))))</f>
        <v/>
      </c>
      <c r="R26" s="9">
        <f>IF(Q26="","",$K26&amp;"")</f>
        <v/>
      </c>
      <c r="S26" s="9">
        <f>IF(Q26="","",IF(MATCH(R26,$R$5:$R$100000,0)=ROW()-4,ROW(),""))</f>
        <v/>
      </c>
      <c r="T26" s="9">
        <f>IF(Q26="당기",ABS(P26)+ROW()/1000000000,"")</f>
        <v/>
      </c>
      <c r="U26" s="9">
        <f>IF(Q26="비교",ABS(P26)+ROW()/1000000000,"")</f>
        <v/>
      </c>
      <c r="V26" s="39">
        <f>IF($A26="","",IF(COUNTIF(변동분석!$E$7:$E$506,O26)&gt;0,"Y","N"))</f>
        <v/>
      </c>
      <c r="W26" s="39">
        <f>IF($A26="","",IFERROR(INDEX(계정매핑!$D$5:$D$504,MATCH($F26&amp;"",계정매핑!$A$5:$A$504,0)),"미매핑"))</f>
        <v/>
      </c>
      <c r="X26" s="9">
        <f>IF($A26="","",$F26&amp;"")</f>
        <v/>
      </c>
    </row>
    <row r="27">
      <c r="A27" s="75" t="n">
        <v>2025</v>
      </c>
      <c r="B27" s="75" t="n">
        <v>1</v>
      </c>
      <c r="C27" s="75" t="inlineStr">
        <is>
          <t>5100000023</t>
        </is>
      </c>
      <c r="D27" s="78" t="n">
        <v>45662</v>
      </c>
      <c r="E27" s="75" t="inlineStr">
        <is>
          <t>KR</t>
        </is>
      </c>
      <c r="F27" s="75" t="n">
        <v>62101000</v>
      </c>
      <c r="G27" s="75" t="n">
        <v>1201</v>
      </c>
      <c r="H27" s="76" t="n">
        <v>145000</v>
      </c>
      <c r="I27" s="75" t="inlineStr">
        <is>
          <t>1월 국내출장 - (법인카드)</t>
        </is>
      </c>
      <c r="J27" s="75" t="inlineStr">
        <is>
          <t>V10008</t>
        </is>
      </c>
      <c r="K27" s="75" t="inlineStr">
        <is>
          <t>(법인카드)</t>
        </is>
      </c>
      <c r="M27" s="9">
        <f>IF($A27="","",VALUE($A27&amp;"")*12+VALUE($B27&amp;""))</f>
        <v/>
      </c>
      <c r="N27" s="39">
        <f>IF($A27="","",IFERROR(INDEX(부서매핑!$C$5:$C$504,MATCH($G27&amp;"",부서매핑!$A$5:$A$504,0)),"미매핑"))</f>
        <v/>
      </c>
      <c r="O27" s="9">
        <f>IF($A27="","",N27&amp;"|"&amp;$F27)</f>
        <v/>
      </c>
      <c r="P27" s="77">
        <f>IF($A27="",0,$H27*설정!$C$23)</f>
        <v/>
      </c>
      <c r="Q27" s="39">
        <f>IF($A27="","",IF(O27&lt;&gt;원인분석!$C$9,"",IF(AND(M27&gt;=원인분석!$C$10,M27&lt;=원인분석!$C$11),"당기",IF(AND(M27&gt;=원인분석!$C$12,M27&lt;=원인분석!$C$13),"비교",""))))</f>
        <v/>
      </c>
      <c r="R27" s="9">
        <f>IF(Q27="","",$K27&amp;"")</f>
        <v/>
      </c>
      <c r="S27" s="9">
        <f>IF(Q27="","",IF(MATCH(R27,$R$5:$R$100000,0)=ROW()-4,ROW(),""))</f>
        <v/>
      </c>
      <c r="T27" s="9">
        <f>IF(Q27="당기",ABS(P27)+ROW()/1000000000,"")</f>
        <v/>
      </c>
      <c r="U27" s="9">
        <f>IF(Q27="비교",ABS(P27)+ROW()/1000000000,"")</f>
        <v/>
      </c>
      <c r="V27" s="39">
        <f>IF($A27="","",IF(COUNTIF(변동분석!$E$7:$E$506,O27)&gt;0,"Y","N"))</f>
        <v/>
      </c>
      <c r="W27" s="39">
        <f>IF($A27="","",IFERROR(INDEX(계정매핑!$D$5:$D$504,MATCH($F27&amp;"",계정매핑!$A$5:$A$504,0)),"미매핑"))</f>
        <v/>
      </c>
      <c r="X27" s="9">
        <f>IF($A27="","",$F27&amp;"")</f>
        <v/>
      </c>
    </row>
    <row r="28">
      <c r="A28" s="75" t="n">
        <v>2025</v>
      </c>
      <c r="B28" s="75" t="n">
        <v>1</v>
      </c>
      <c r="C28" s="75" t="inlineStr">
        <is>
          <t>5100000024</t>
        </is>
      </c>
      <c r="D28" s="78" t="n">
        <v>45662</v>
      </c>
      <c r="E28" s="75" t="inlineStr">
        <is>
          <t>KR</t>
        </is>
      </c>
      <c r="F28" s="75" t="n">
        <v>62101000</v>
      </c>
      <c r="G28" s="75" t="n">
        <v>1301</v>
      </c>
      <c r="H28" s="76" t="n">
        <v>230000</v>
      </c>
      <c r="I28" s="75" t="inlineStr">
        <is>
          <t>1월 국내출장 - (법인카드)</t>
        </is>
      </c>
      <c r="J28" s="75" t="inlineStr">
        <is>
          <t>V10008</t>
        </is>
      </c>
      <c r="K28" s="75" t="inlineStr">
        <is>
          <t>(법인카드)</t>
        </is>
      </c>
      <c r="M28" s="9">
        <f>IF($A28="","",VALUE($A28&amp;"")*12+VALUE($B28&amp;""))</f>
        <v/>
      </c>
      <c r="N28" s="39">
        <f>IF($A28="","",IFERROR(INDEX(부서매핑!$C$5:$C$504,MATCH($G28&amp;"",부서매핑!$A$5:$A$504,0)),"미매핑"))</f>
        <v/>
      </c>
      <c r="O28" s="9">
        <f>IF($A28="","",N28&amp;"|"&amp;$F28)</f>
        <v/>
      </c>
      <c r="P28" s="77">
        <f>IF($A28="",0,$H28*설정!$C$23)</f>
        <v/>
      </c>
      <c r="Q28" s="39">
        <f>IF($A28="","",IF(O28&lt;&gt;원인분석!$C$9,"",IF(AND(M28&gt;=원인분석!$C$10,M28&lt;=원인분석!$C$11),"당기",IF(AND(M28&gt;=원인분석!$C$12,M28&lt;=원인분석!$C$13),"비교",""))))</f>
        <v/>
      </c>
      <c r="R28" s="9">
        <f>IF(Q28="","",$K28&amp;"")</f>
        <v/>
      </c>
      <c r="S28" s="9">
        <f>IF(Q28="","",IF(MATCH(R28,$R$5:$R$100000,0)=ROW()-4,ROW(),""))</f>
        <v/>
      </c>
      <c r="T28" s="9">
        <f>IF(Q28="당기",ABS(P28)+ROW()/1000000000,"")</f>
        <v/>
      </c>
      <c r="U28" s="9">
        <f>IF(Q28="비교",ABS(P28)+ROW()/1000000000,"")</f>
        <v/>
      </c>
      <c r="V28" s="39">
        <f>IF($A28="","",IF(COUNTIF(변동분석!$E$7:$E$506,O28)&gt;0,"Y","N"))</f>
        <v/>
      </c>
      <c r="W28" s="39">
        <f>IF($A28="","",IFERROR(INDEX(계정매핑!$D$5:$D$504,MATCH($F28&amp;"",계정매핑!$A$5:$A$504,0)),"미매핑"))</f>
        <v/>
      </c>
      <c r="X28" s="9">
        <f>IF($A28="","",$F28&amp;"")</f>
        <v/>
      </c>
    </row>
    <row r="29">
      <c r="A29" s="75" t="n">
        <v>2025</v>
      </c>
      <c r="B29" s="75" t="n">
        <v>1</v>
      </c>
      <c r="C29" s="75" t="inlineStr">
        <is>
          <t>5100000025</t>
        </is>
      </c>
      <c r="D29" s="78" t="n">
        <v>45662</v>
      </c>
      <c r="E29" s="75" t="inlineStr">
        <is>
          <t>KR</t>
        </is>
      </c>
      <c r="F29" s="75" t="n">
        <v>62101000</v>
      </c>
      <c r="G29" s="75" t="n">
        <v>1401</v>
      </c>
      <c r="H29" s="76" t="n">
        <v>389000</v>
      </c>
      <c r="I29" s="75" t="inlineStr">
        <is>
          <t>1월 국내출장 - (법인카드)</t>
        </is>
      </c>
      <c r="J29" s="75" t="inlineStr">
        <is>
          <t>V10008</t>
        </is>
      </c>
      <c r="K29" s="75" t="inlineStr">
        <is>
          <t>(법인카드)</t>
        </is>
      </c>
      <c r="M29" s="9">
        <f>IF($A29="","",VALUE($A29&amp;"")*12+VALUE($B29&amp;""))</f>
        <v/>
      </c>
      <c r="N29" s="39">
        <f>IF($A29="","",IFERROR(INDEX(부서매핑!$C$5:$C$504,MATCH($G29&amp;"",부서매핑!$A$5:$A$504,0)),"미매핑"))</f>
        <v/>
      </c>
      <c r="O29" s="9">
        <f>IF($A29="","",N29&amp;"|"&amp;$F29)</f>
        <v/>
      </c>
      <c r="P29" s="77">
        <f>IF($A29="",0,$H29*설정!$C$23)</f>
        <v/>
      </c>
      <c r="Q29" s="39">
        <f>IF($A29="","",IF(O29&lt;&gt;원인분석!$C$9,"",IF(AND(M29&gt;=원인분석!$C$10,M29&lt;=원인분석!$C$11),"당기",IF(AND(M29&gt;=원인분석!$C$12,M29&lt;=원인분석!$C$13),"비교",""))))</f>
        <v/>
      </c>
      <c r="R29" s="9">
        <f>IF(Q29="","",$K29&amp;"")</f>
        <v/>
      </c>
      <c r="S29" s="9">
        <f>IF(Q29="","",IF(MATCH(R29,$R$5:$R$100000,0)=ROW()-4,ROW(),""))</f>
        <v/>
      </c>
      <c r="T29" s="9">
        <f>IF(Q29="당기",ABS(P29)+ROW()/1000000000,"")</f>
        <v/>
      </c>
      <c r="U29" s="9">
        <f>IF(Q29="비교",ABS(P29)+ROW()/1000000000,"")</f>
        <v/>
      </c>
      <c r="V29" s="39">
        <f>IF($A29="","",IF(COUNTIF(변동분석!$E$7:$E$506,O29)&gt;0,"Y","N"))</f>
        <v/>
      </c>
      <c r="W29" s="39">
        <f>IF($A29="","",IFERROR(INDEX(계정매핑!$D$5:$D$504,MATCH($F29&amp;"",계정매핑!$A$5:$A$504,0)),"미매핑"))</f>
        <v/>
      </c>
      <c r="X29" s="9">
        <f>IF($A29="","",$F29&amp;"")</f>
        <v/>
      </c>
    </row>
    <row r="30">
      <c r="A30" s="75" t="n">
        <v>2025</v>
      </c>
      <c r="B30" s="75" t="n">
        <v>1</v>
      </c>
      <c r="C30" s="75" t="inlineStr">
        <is>
          <t>5100000026</t>
        </is>
      </c>
      <c r="D30" s="78" t="n">
        <v>45662</v>
      </c>
      <c r="E30" s="75" t="inlineStr">
        <is>
          <t>KR</t>
        </is>
      </c>
      <c r="F30" s="75" t="n">
        <v>62102000</v>
      </c>
      <c r="G30" s="75" t="n">
        <v>1501</v>
      </c>
      <c r="H30" s="76" t="n">
        <v>115000</v>
      </c>
      <c r="I30" s="75" t="inlineStr">
        <is>
          <t>1월 해외출장 - N호텔</t>
        </is>
      </c>
      <c r="J30" s="75" t="inlineStr">
        <is>
          <t>V10007</t>
        </is>
      </c>
      <c r="K30" s="75" t="inlineStr">
        <is>
          <t>N호텔</t>
        </is>
      </c>
      <c r="M30" s="9">
        <f>IF($A30="","",VALUE($A30&amp;"")*12+VALUE($B30&amp;""))</f>
        <v/>
      </c>
      <c r="N30" s="39">
        <f>IF($A30="","",IFERROR(INDEX(부서매핑!$C$5:$C$504,MATCH($G30&amp;"",부서매핑!$A$5:$A$504,0)),"미매핑"))</f>
        <v/>
      </c>
      <c r="O30" s="9">
        <f>IF($A30="","",N30&amp;"|"&amp;$F30)</f>
        <v/>
      </c>
      <c r="P30" s="77">
        <f>IF($A30="",0,$H30*설정!$C$23)</f>
        <v/>
      </c>
      <c r="Q30" s="39">
        <f>IF($A30="","",IF(O30&lt;&gt;원인분석!$C$9,"",IF(AND(M30&gt;=원인분석!$C$10,M30&lt;=원인분석!$C$11),"당기",IF(AND(M30&gt;=원인분석!$C$12,M30&lt;=원인분석!$C$13),"비교",""))))</f>
        <v/>
      </c>
      <c r="R30" s="9">
        <f>IF(Q30="","",$K30&amp;"")</f>
        <v/>
      </c>
      <c r="S30" s="9">
        <f>IF(Q30="","",IF(MATCH(R30,$R$5:$R$100000,0)=ROW()-4,ROW(),""))</f>
        <v/>
      </c>
      <c r="T30" s="9">
        <f>IF(Q30="당기",ABS(P30)+ROW()/1000000000,"")</f>
        <v/>
      </c>
      <c r="U30" s="9">
        <f>IF(Q30="비교",ABS(P30)+ROW()/1000000000,"")</f>
        <v/>
      </c>
      <c r="V30" s="39">
        <f>IF($A30="","",IF(COUNTIF(변동분석!$E$7:$E$506,O30)&gt;0,"Y","N"))</f>
        <v/>
      </c>
      <c r="W30" s="39">
        <f>IF($A30="","",IFERROR(INDEX(계정매핑!$D$5:$D$504,MATCH($F30&amp;"",계정매핑!$A$5:$A$504,0)),"미매핑"))</f>
        <v/>
      </c>
      <c r="X30" s="9">
        <f>IF($A30="","",$F30&amp;"")</f>
        <v/>
      </c>
    </row>
    <row r="31">
      <c r="A31" s="75" t="n">
        <v>2025</v>
      </c>
      <c r="B31" s="75" t="n">
        <v>1</v>
      </c>
      <c r="C31" s="75" t="inlineStr">
        <is>
          <t>5100000027</t>
        </is>
      </c>
      <c r="D31" s="78" t="n">
        <v>45662</v>
      </c>
      <c r="E31" s="75" t="inlineStr">
        <is>
          <t>KR</t>
        </is>
      </c>
      <c r="F31" s="75" t="n">
        <v>62201000</v>
      </c>
      <c r="G31" s="75" t="n">
        <v>1801</v>
      </c>
      <c r="H31" s="76" t="n">
        <v>4801000</v>
      </c>
      <c r="I31" s="75" t="inlineStr">
        <is>
          <t>1월 통신요금 - O텔레콤</t>
        </is>
      </c>
      <c r="J31" s="75" t="inlineStr">
        <is>
          <t>V10002</t>
        </is>
      </c>
      <c r="K31" s="75" t="inlineStr">
        <is>
          <t>O텔레콤</t>
        </is>
      </c>
      <c r="M31" s="9">
        <f>IF($A31="","",VALUE($A31&amp;"")*12+VALUE($B31&amp;""))</f>
        <v/>
      </c>
      <c r="N31" s="39">
        <f>IF($A31="","",IFERROR(INDEX(부서매핑!$C$5:$C$504,MATCH($G31&amp;"",부서매핑!$A$5:$A$504,0)),"미매핑"))</f>
        <v/>
      </c>
      <c r="O31" s="9">
        <f>IF($A31="","",N31&amp;"|"&amp;$F31)</f>
        <v/>
      </c>
      <c r="P31" s="77">
        <f>IF($A31="",0,$H31*설정!$C$23)</f>
        <v/>
      </c>
      <c r="Q31" s="39">
        <f>IF($A31="","",IF(O31&lt;&gt;원인분석!$C$9,"",IF(AND(M31&gt;=원인분석!$C$10,M31&lt;=원인분석!$C$11),"당기",IF(AND(M31&gt;=원인분석!$C$12,M31&lt;=원인분석!$C$13),"비교",""))))</f>
        <v/>
      </c>
      <c r="R31" s="9">
        <f>IF(Q31="","",$K31&amp;"")</f>
        <v/>
      </c>
      <c r="S31" s="9">
        <f>IF(Q31="","",IF(MATCH(R31,$R$5:$R$100000,0)=ROW()-4,ROW(),""))</f>
        <v/>
      </c>
      <c r="T31" s="9">
        <f>IF(Q31="당기",ABS(P31)+ROW()/1000000000,"")</f>
        <v/>
      </c>
      <c r="U31" s="9">
        <f>IF(Q31="비교",ABS(P31)+ROW()/1000000000,"")</f>
        <v/>
      </c>
      <c r="V31" s="39">
        <f>IF($A31="","",IF(COUNTIF(변동분석!$E$7:$E$506,O31)&gt;0,"Y","N"))</f>
        <v/>
      </c>
      <c r="W31" s="39">
        <f>IF($A31="","",IFERROR(INDEX(계정매핑!$D$5:$D$504,MATCH($F31&amp;"",계정매핑!$A$5:$A$504,0)),"미매핑"))</f>
        <v/>
      </c>
      <c r="X31" s="9">
        <f>IF($A31="","",$F31&amp;"")</f>
        <v/>
      </c>
    </row>
    <row r="32">
      <c r="A32" s="75" t="n">
        <v>2025</v>
      </c>
      <c r="B32" s="75" t="n">
        <v>1</v>
      </c>
      <c r="C32" s="75" t="inlineStr">
        <is>
          <t>5100000028</t>
        </is>
      </c>
      <c r="D32" s="78" t="n">
        <v>45662</v>
      </c>
      <c r="E32" s="75" t="inlineStr">
        <is>
          <t>KR</t>
        </is>
      </c>
      <c r="F32" s="75" t="n">
        <v>62401000</v>
      </c>
      <c r="G32" s="75" t="n">
        <v>1502</v>
      </c>
      <c r="H32" s="76" t="n">
        <v>1165000</v>
      </c>
      <c r="I32" s="75" t="inlineStr">
        <is>
          <t>1월 인쇄물 제작 - S출판</t>
        </is>
      </c>
      <c r="J32" s="75" t="inlineStr">
        <is>
          <t>V10012</t>
        </is>
      </c>
      <c r="K32" s="75" t="inlineStr">
        <is>
          <t>S출판</t>
        </is>
      </c>
      <c r="M32" s="9">
        <f>IF($A32="","",VALUE($A32&amp;"")*12+VALUE($B32&amp;""))</f>
        <v/>
      </c>
      <c r="N32" s="39">
        <f>IF($A32="","",IFERROR(INDEX(부서매핑!$C$5:$C$504,MATCH($G32&amp;"",부서매핑!$A$5:$A$504,0)),"미매핑"))</f>
        <v/>
      </c>
      <c r="O32" s="9">
        <f>IF($A32="","",N32&amp;"|"&amp;$F32)</f>
        <v/>
      </c>
      <c r="P32" s="77">
        <f>IF($A32="",0,$H32*설정!$C$23)</f>
        <v/>
      </c>
      <c r="Q32" s="39">
        <f>IF($A32="","",IF(O32&lt;&gt;원인분석!$C$9,"",IF(AND(M32&gt;=원인분석!$C$10,M32&lt;=원인분석!$C$11),"당기",IF(AND(M32&gt;=원인분석!$C$12,M32&lt;=원인분석!$C$13),"비교",""))))</f>
        <v/>
      </c>
      <c r="R32" s="9">
        <f>IF(Q32="","",$K32&amp;"")</f>
        <v/>
      </c>
      <c r="S32" s="9">
        <f>IF(Q32="","",IF(MATCH(R32,$R$5:$R$100000,0)=ROW()-4,ROW(),""))</f>
        <v/>
      </c>
      <c r="T32" s="9">
        <f>IF(Q32="당기",ABS(P32)+ROW()/1000000000,"")</f>
        <v/>
      </c>
      <c r="U32" s="9">
        <f>IF(Q32="비교",ABS(P32)+ROW()/1000000000,"")</f>
        <v/>
      </c>
      <c r="V32" s="39">
        <f>IF($A32="","",IF(COUNTIF(변동분석!$E$7:$E$506,O32)&gt;0,"Y","N"))</f>
        <v/>
      </c>
      <c r="W32" s="39">
        <f>IF($A32="","",IFERROR(INDEX(계정매핑!$D$5:$D$504,MATCH($F32&amp;"",계정매핑!$A$5:$A$504,0)),"미매핑"))</f>
        <v/>
      </c>
      <c r="X32" s="9">
        <f>IF($A32="","",$F32&amp;"")</f>
        <v/>
      </c>
    </row>
    <row r="33">
      <c r="A33" s="75" t="n">
        <v>2025</v>
      </c>
      <c r="B33" s="75" t="n">
        <v>1</v>
      </c>
      <c r="C33" s="75" t="inlineStr">
        <is>
          <t>5100000029</t>
        </is>
      </c>
      <c r="D33" s="78" t="n">
        <v>45662</v>
      </c>
      <c r="E33" s="75" t="inlineStr">
        <is>
          <t>KR</t>
        </is>
      </c>
      <c r="F33" s="75" t="n">
        <v>62501000</v>
      </c>
      <c r="G33" s="75" t="n">
        <v>1301</v>
      </c>
      <c r="H33" s="76" t="n">
        <v>114000</v>
      </c>
      <c r="I33" s="75" t="inlineStr">
        <is>
          <t>1월 회의 다과 - (법인카드)</t>
        </is>
      </c>
      <c r="J33" s="75" t="inlineStr">
        <is>
          <t>V10008</t>
        </is>
      </c>
      <c r="K33" s="75" t="inlineStr">
        <is>
          <t>(법인카드)</t>
        </is>
      </c>
      <c r="M33" s="9">
        <f>IF($A33="","",VALUE($A33&amp;"")*12+VALUE($B33&amp;""))</f>
        <v/>
      </c>
      <c r="N33" s="39">
        <f>IF($A33="","",IFERROR(INDEX(부서매핑!$C$5:$C$504,MATCH($G33&amp;"",부서매핑!$A$5:$A$504,0)),"미매핑"))</f>
        <v/>
      </c>
      <c r="O33" s="9">
        <f>IF($A33="","",N33&amp;"|"&amp;$F33)</f>
        <v/>
      </c>
      <c r="P33" s="77">
        <f>IF($A33="",0,$H33*설정!$C$23)</f>
        <v/>
      </c>
      <c r="Q33" s="39">
        <f>IF($A33="","",IF(O33&lt;&gt;원인분석!$C$9,"",IF(AND(M33&gt;=원인분석!$C$10,M33&lt;=원인분석!$C$11),"당기",IF(AND(M33&gt;=원인분석!$C$12,M33&lt;=원인분석!$C$13),"비교",""))))</f>
        <v/>
      </c>
      <c r="R33" s="9">
        <f>IF(Q33="","",$K33&amp;"")</f>
        <v/>
      </c>
      <c r="S33" s="9">
        <f>IF(Q33="","",IF(MATCH(R33,$R$5:$R$100000,0)=ROW()-4,ROW(),""))</f>
        <v/>
      </c>
      <c r="T33" s="9">
        <f>IF(Q33="당기",ABS(P33)+ROW()/1000000000,"")</f>
        <v/>
      </c>
      <c r="U33" s="9">
        <f>IF(Q33="비교",ABS(P33)+ROW()/1000000000,"")</f>
        <v/>
      </c>
      <c r="V33" s="39">
        <f>IF($A33="","",IF(COUNTIF(변동분석!$E$7:$E$506,O33)&gt;0,"Y","N"))</f>
        <v/>
      </c>
      <c r="W33" s="39">
        <f>IF($A33="","",IFERROR(INDEX(계정매핑!$D$5:$D$504,MATCH($F33&amp;"",계정매핑!$A$5:$A$504,0)),"미매핑"))</f>
        <v/>
      </c>
      <c r="X33" s="9">
        <f>IF($A33="","",$F33&amp;"")</f>
        <v/>
      </c>
    </row>
    <row r="34">
      <c r="A34" s="75" t="n">
        <v>2025</v>
      </c>
      <c r="B34" s="75" t="n">
        <v>1</v>
      </c>
      <c r="C34" s="75" t="inlineStr">
        <is>
          <t>5100000030</t>
        </is>
      </c>
      <c r="D34" s="78" t="n">
        <v>45662</v>
      </c>
      <c r="E34" s="75" t="inlineStr">
        <is>
          <t>KR</t>
        </is>
      </c>
      <c r="F34" s="75" t="n">
        <v>62501000</v>
      </c>
      <c r="G34" s="75" t="n">
        <v>1701</v>
      </c>
      <c r="H34" s="76" t="n">
        <v>114000</v>
      </c>
      <c r="I34" s="75" t="inlineStr">
        <is>
          <t>1월 회의 다과 - T케이터링</t>
        </is>
      </c>
      <c r="J34" s="75" t="inlineStr">
        <is>
          <t>V10005</t>
        </is>
      </c>
      <c r="K34" s="75" t="inlineStr">
        <is>
          <t>T케이터링</t>
        </is>
      </c>
      <c r="M34" s="9">
        <f>IF($A34="","",VALUE($A34&amp;"")*12+VALUE($B34&amp;""))</f>
        <v/>
      </c>
      <c r="N34" s="39">
        <f>IF($A34="","",IFERROR(INDEX(부서매핑!$C$5:$C$504,MATCH($G34&amp;"",부서매핑!$A$5:$A$504,0)),"미매핑"))</f>
        <v/>
      </c>
      <c r="O34" s="9">
        <f>IF($A34="","",N34&amp;"|"&amp;$F34)</f>
        <v/>
      </c>
      <c r="P34" s="77">
        <f>IF($A34="",0,$H34*설정!$C$23)</f>
        <v/>
      </c>
      <c r="Q34" s="39">
        <f>IF($A34="","",IF(O34&lt;&gt;원인분석!$C$9,"",IF(AND(M34&gt;=원인분석!$C$10,M34&lt;=원인분석!$C$11),"당기",IF(AND(M34&gt;=원인분석!$C$12,M34&lt;=원인분석!$C$13),"비교",""))))</f>
        <v/>
      </c>
      <c r="R34" s="9">
        <f>IF(Q34="","",$K34&amp;"")</f>
        <v/>
      </c>
      <c r="S34" s="9">
        <f>IF(Q34="","",IF(MATCH(R34,$R$5:$R$100000,0)=ROW()-4,ROW(),""))</f>
        <v/>
      </c>
      <c r="T34" s="9">
        <f>IF(Q34="당기",ABS(P34)+ROW()/1000000000,"")</f>
        <v/>
      </c>
      <c r="U34" s="9">
        <f>IF(Q34="비교",ABS(P34)+ROW()/1000000000,"")</f>
        <v/>
      </c>
      <c r="V34" s="39">
        <f>IF($A34="","",IF(COUNTIF(변동분석!$E$7:$E$506,O34)&gt;0,"Y","N"))</f>
        <v/>
      </c>
      <c r="W34" s="39">
        <f>IF($A34="","",IFERROR(INDEX(계정매핑!$D$5:$D$504,MATCH($F34&amp;"",계정매핑!$A$5:$A$504,0)),"미매핑"))</f>
        <v/>
      </c>
      <c r="X34" s="9">
        <f>IF($A34="","",$F34&amp;"")</f>
        <v/>
      </c>
    </row>
    <row r="35">
      <c r="A35" s="75" t="n">
        <v>2025</v>
      </c>
      <c r="B35" s="75" t="n">
        <v>1</v>
      </c>
      <c r="C35" s="75" t="inlineStr">
        <is>
          <t>5100000031</t>
        </is>
      </c>
      <c r="D35" s="78" t="n">
        <v>45662</v>
      </c>
      <c r="E35" s="75" t="inlineStr">
        <is>
          <t>KR</t>
        </is>
      </c>
      <c r="F35" s="75" t="n">
        <v>62902000</v>
      </c>
      <c r="G35" s="75" t="n">
        <v>1101</v>
      </c>
      <c r="H35" s="76" t="n">
        <v>1277000</v>
      </c>
      <c r="I35" s="75" t="inlineStr">
        <is>
          <t>1월 업무 위탁 수수료 - J콜센터</t>
        </is>
      </c>
      <c r="J35" s="75" t="inlineStr">
        <is>
          <t>V10013</t>
        </is>
      </c>
      <c r="K35" s="75" t="inlineStr">
        <is>
          <t>J콜센터</t>
        </is>
      </c>
      <c r="M35" s="9">
        <f>IF($A35="","",VALUE($A35&amp;"")*12+VALUE($B35&amp;""))</f>
        <v/>
      </c>
      <c r="N35" s="39">
        <f>IF($A35="","",IFERROR(INDEX(부서매핑!$C$5:$C$504,MATCH($G35&amp;"",부서매핑!$A$5:$A$504,0)),"미매핑"))</f>
        <v/>
      </c>
      <c r="O35" s="9">
        <f>IF($A35="","",N35&amp;"|"&amp;$F35)</f>
        <v/>
      </c>
      <c r="P35" s="77">
        <f>IF($A35="",0,$H35*설정!$C$23)</f>
        <v/>
      </c>
      <c r="Q35" s="39">
        <f>IF($A35="","",IF(O35&lt;&gt;원인분석!$C$9,"",IF(AND(M35&gt;=원인분석!$C$10,M35&lt;=원인분석!$C$11),"당기",IF(AND(M35&gt;=원인분석!$C$12,M35&lt;=원인분석!$C$13),"비교",""))))</f>
        <v/>
      </c>
      <c r="R35" s="9">
        <f>IF(Q35="","",$K35&amp;"")</f>
        <v/>
      </c>
      <c r="S35" s="9">
        <f>IF(Q35="","",IF(MATCH(R35,$R$5:$R$100000,0)=ROW()-4,ROW(),""))</f>
        <v/>
      </c>
      <c r="T35" s="9">
        <f>IF(Q35="당기",ABS(P35)+ROW()/1000000000,"")</f>
        <v/>
      </c>
      <c r="U35" s="9">
        <f>IF(Q35="비교",ABS(P35)+ROW()/1000000000,"")</f>
        <v/>
      </c>
      <c r="V35" s="39">
        <f>IF($A35="","",IF(COUNTIF(변동분석!$E$7:$E$506,O35)&gt;0,"Y","N"))</f>
        <v/>
      </c>
      <c r="W35" s="39">
        <f>IF($A35="","",IFERROR(INDEX(계정매핑!$D$5:$D$504,MATCH($F35&amp;"",계정매핑!$A$5:$A$504,0)),"미매핑"))</f>
        <v/>
      </c>
      <c r="X35" s="9">
        <f>IF($A35="","",$F35&amp;"")</f>
        <v/>
      </c>
    </row>
    <row r="36">
      <c r="A36" s="75" t="n">
        <v>2025</v>
      </c>
      <c r="B36" s="75" t="n">
        <v>1</v>
      </c>
      <c r="C36" s="75" t="inlineStr">
        <is>
          <t>5100000032</t>
        </is>
      </c>
      <c r="D36" s="78" t="n">
        <v>45662</v>
      </c>
      <c r="E36" s="75" t="inlineStr">
        <is>
          <t>KR</t>
        </is>
      </c>
      <c r="F36" s="75" t="n">
        <v>62902000</v>
      </c>
      <c r="G36" s="75" t="n">
        <v>1401</v>
      </c>
      <c r="H36" s="76" t="n">
        <v>3166000</v>
      </c>
      <c r="I36" s="75" t="inlineStr">
        <is>
          <t>1월 업무 위탁 수수료 - J콜센터</t>
        </is>
      </c>
      <c r="J36" s="75" t="inlineStr">
        <is>
          <t>V10013</t>
        </is>
      </c>
      <c r="K36" s="75" t="inlineStr">
        <is>
          <t>J콜센터</t>
        </is>
      </c>
      <c r="M36" s="9">
        <f>IF($A36="","",VALUE($A36&amp;"")*12+VALUE($B36&amp;""))</f>
        <v/>
      </c>
      <c r="N36" s="39">
        <f>IF($A36="","",IFERROR(INDEX(부서매핑!$C$5:$C$504,MATCH($G36&amp;"",부서매핑!$A$5:$A$504,0)),"미매핑"))</f>
        <v/>
      </c>
      <c r="O36" s="9">
        <f>IF($A36="","",N36&amp;"|"&amp;$F36)</f>
        <v/>
      </c>
      <c r="P36" s="77">
        <f>IF($A36="",0,$H36*설정!$C$23)</f>
        <v/>
      </c>
      <c r="Q36" s="39">
        <f>IF($A36="","",IF(O36&lt;&gt;원인분석!$C$9,"",IF(AND(M36&gt;=원인분석!$C$10,M36&lt;=원인분석!$C$11),"당기",IF(AND(M36&gt;=원인분석!$C$12,M36&lt;=원인분석!$C$13),"비교",""))))</f>
        <v/>
      </c>
      <c r="R36" s="9">
        <f>IF(Q36="","",$K36&amp;"")</f>
        <v/>
      </c>
      <c r="S36" s="9">
        <f>IF(Q36="","",IF(MATCH(R36,$R$5:$R$100000,0)=ROW()-4,ROW(),""))</f>
        <v/>
      </c>
      <c r="T36" s="9">
        <f>IF(Q36="당기",ABS(P36)+ROW()/1000000000,"")</f>
        <v/>
      </c>
      <c r="U36" s="9">
        <f>IF(Q36="비교",ABS(P36)+ROW()/1000000000,"")</f>
        <v/>
      </c>
      <c r="V36" s="39">
        <f>IF($A36="","",IF(COUNTIF(변동분석!$E$7:$E$506,O36)&gt;0,"Y","N"))</f>
        <v/>
      </c>
      <c r="W36" s="39">
        <f>IF($A36="","",IFERROR(INDEX(계정매핑!$D$5:$D$504,MATCH($F36&amp;"",계정매핑!$A$5:$A$504,0)),"미매핑"))</f>
        <v/>
      </c>
      <c r="X36" s="9">
        <f>IF($A36="","",$F36&amp;"")</f>
        <v/>
      </c>
    </row>
    <row r="37">
      <c r="A37" s="75" t="n">
        <v>2025</v>
      </c>
      <c r="B37" s="75" t="n">
        <v>1</v>
      </c>
      <c r="C37" s="75" t="inlineStr">
        <is>
          <t>5100000033</t>
        </is>
      </c>
      <c r="D37" s="78" t="n">
        <v>45663</v>
      </c>
      <c r="E37" s="75" t="inlineStr">
        <is>
          <t>KR</t>
        </is>
      </c>
      <c r="F37" s="75" t="n">
        <v>62101000</v>
      </c>
      <c r="G37" s="75" t="n">
        <v>1801</v>
      </c>
      <c r="H37" s="76" t="n">
        <v>202000</v>
      </c>
      <c r="I37" s="75" t="inlineStr">
        <is>
          <t>1월 국내출장 - L여행사</t>
        </is>
      </c>
      <c r="J37" s="75" t="inlineStr">
        <is>
          <t>V10014</t>
        </is>
      </c>
      <c r="K37" s="75" t="inlineStr">
        <is>
          <t>L여행사</t>
        </is>
      </c>
      <c r="M37" s="9">
        <f>IF($A37="","",VALUE($A37&amp;"")*12+VALUE($B37&amp;""))</f>
        <v/>
      </c>
      <c r="N37" s="39">
        <f>IF($A37="","",IFERROR(INDEX(부서매핑!$C$5:$C$504,MATCH($G37&amp;"",부서매핑!$A$5:$A$504,0)),"미매핑"))</f>
        <v/>
      </c>
      <c r="O37" s="9">
        <f>IF($A37="","",N37&amp;"|"&amp;$F37)</f>
        <v/>
      </c>
      <c r="P37" s="77">
        <f>IF($A37="",0,$H37*설정!$C$23)</f>
        <v/>
      </c>
      <c r="Q37" s="39">
        <f>IF($A37="","",IF(O37&lt;&gt;원인분석!$C$9,"",IF(AND(M37&gt;=원인분석!$C$10,M37&lt;=원인분석!$C$11),"당기",IF(AND(M37&gt;=원인분석!$C$12,M37&lt;=원인분석!$C$13),"비교",""))))</f>
        <v/>
      </c>
      <c r="R37" s="9">
        <f>IF(Q37="","",$K37&amp;"")</f>
        <v/>
      </c>
      <c r="S37" s="9">
        <f>IF(Q37="","",IF(MATCH(R37,$R$5:$R$100000,0)=ROW()-4,ROW(),""))</f>
        <v/>
      </c>
      <c r="T37" s="9">
        <f>IF(Q37="당기",ABS(P37)+ROW()/1000000000,"")</f>
        <v/>
      </c>
      <c r="U37" s="9">
        <f>IF(Q37="비교",ABS(P37)+ROW()/1000000000,"")</f>
        <v/>
      </c>
      <c r="V37" s="39">
        <f>IF($A37="","",IF(COUNTIF(변동분석!$E$7:$E$506,O37)&gt;0,"Y","N"))</f>
        <v/>
      </c>
      <c r="W37" s="39">
        <f>IF($A37="","",IFERROR(INDEX(계정매핑!$D$5:$D$504,MATCH($F37&amp;"",계정매핑!$A$5:$A$504,0)),"미매핑"))</f>
        <v/>
      </c>
      <c r="X37" s="9">
        <f>IF($A37="","",$F37&amp;"")</f>
        <v/>
      </c>
    </row>
    <row r="38">
      <c r="A38" s="75" t="n">
        <v>2025</v>
      </c>
      <c r="B38" s="75" t="n">
        <v>1</v>
      </c>
      <c r="C38" s="75" t="inlineStr">
        <is>
          <t>5100000034</t>
        </is>
      </c>
      <c r="D38" s="78" t="n">
        <v>45663</v>
      </c>
      <c r="E38" s="75" t="inlineStr">
        <is>
          <t>KR</t>
        </is>
      </c>
      <c r="F38" s="75" t="n">
        <v>62102000</v>
      </c>
      <c r="G38" s="75" t="n">
        <v>1201</v>
      </c>
      <c r="H38" s="76" t="n">
        <v>32000</v>
      </c>
      <c r="I38" s="75" t="inlineStr">
        <is>
          <t>1월 해외출장 - M항공</t>
        </is>
      </c>
      <c r="J38" s="75" t="inlineStr">
        <is>
          <t>V10001</t>
        </is>
      </c>
      <c r="K38" s="75" t="inlineStr">
        <is>
          <t>M항공</t>
        </is>
      </c>
      <c r="M38" s="9">
        <f>IF($A38="","",VALUE($A38&amp;"")*12+VALUE($B38&amp;""))</f>
        <v/>
      </c>
      <c r="N38" s="39">
        <f>IF($A38="","",IFERROR(INDEX(부서매핑!$C$5:$C$504,MATCH($G38&amp;"",부서매핑!$A$5:$A$504,0)),"미매핑"))</f>
        <v/>
      </c>
      <c r="O38" s="9">
        <f>IF($A38="","",N38&amp;"|"&amp;$F38)</f>
        <v/>
      </c>
      <c r="P38" s="77">
        <f>IF($A38="",0,$H38*설정!$C$23)</f>
        <v/>
      </c>
      <c r="Q38" s="39">
        <f>IF($A38="","",IF(O38&lt;&gt;원인분석!$C$9,"",IF(AND(M38&gt;=원인분석!$C$10,M38&lt;=원인분석!$C$11),"당기",IF(AND(M38&gt;=원인분석!$C$12,M38&lt;=원인분석!$C$13),"비교",""))))</f>
        <v/>
      </c>
      <c r="R38" s="9">
        <f>IF(Q38="","",$K38&amp;"")</f>
        <v/>
      </c>
      <c r="S38" s="9">
        <f>IF(Q38="","",IF(MATCH(R38,$R$5:$R$100000,0)=ROW()-4,ROW(),""))</f>
        <v/>
      </c>
      <c r="T38" s="9">
        <f>IF(Q38="당기",ABS(P38)+ROW()/1000000000,"")</f>
        <v/>
      </c>
      <c r="U38" s="9">
        <f>IF(Q38="비교",ABS(P38)+ROW()/1000000000,"")</f>
        <v/>
      </c>
      <c r="V38" s="39">
        <f>IF($A38="","",IF(COUNTIF(변동분석!$E$7:$E$506,O38)&gt;0,"Y","N"))</f>
        <v/>
      </c>
      <c r="W38" s="39">
        <f>IF($A38="","",IFERROR(INDEX(계정매핑!$D$5:$D$504,MATCH($F38&amp;"",계정매핑!$A$5:$A$504,0)),"미매핑"))</f>
        <v/>
      </c>
      <c r="X38" s="9">
        <f>IF($A38="","",$F38&amp;"")</f>
        <v/>
      </c>
    </row>
    <row r="39">
      <c r="A39" s="75" t="n">
        <v>2025</v>
      </c>
      <c r="B39" s="75" t="n">
        <v>1</v>
      </c>
      <c r="C39" s="75" t="inlineStr">
        <is>
          <t>5100000035</t>
        </is>
      </c>
      <c r="D39" s="78" t="n">
        <v>45663</v>
      </c>
      <c r="E39" s="75" t="inlineStr">
        <is>
          <t>KR</t>
        </is>
      </c>
      <c r="F39" s="75" t="n">
        <v>62102000</v>
      </c>
      <c r="G39" s="75" t="n">
        <v>1301</v>
      </c>
      <c r="H39" s="76" t="n">
        <v>123000</v>
      </c>
      <c r="I39" s="75" t="inlineStr">
        <is>
          <t>1월 해외출장 - M항공</t>
        </is>
      </c>
      <c r="J39" s="75" t="inlineStr">
        <is>
          <t>V10001</t>
        </is>
      </c>
      <c r="K39" s="75" t="inlineStr">
        <is>
          <t>M항공</t>
        </is>
      </c>
      <c r="M39" s="9">
        <f>IF($A39="","",VALUE($A39&amp;"")*12+VALUE($B39&amp;""))</f>
        <v/>
      </c>
      <c r="N39" s="39">
        <f>IF($A39="","",IFERROR(INDEX(부서매핑!$C$5:$C$504,MATCH($G39&amp;"",부서매핑!$A$5:$A$504,0)),"미매핑"))</f>
        <v/>
      </c>
      <c r="O39" s="9">
        <f>IF($A39="","",N39&amp;"|"&amp;$F39)</f>
        <v/>
      </c>
      <c r="P39" s="77">
        <f>IF($A39="",0,$H39*설정!$C$23)</f>
        <v/>
      </c>
      <c r="Q39" s="39">
        <f>IF($A39="","",IF(O39&lt;&gt;원인분석!$C$9,"",IF(AND(M39&gt;=원인분석!$C$10,M39&lt;=원인분석!$C$11),"당기",IF(AND(M39&gt;=원인분석!$C$12,M39&lt;=원인분석!$C$13),"비교",""))))</f>
        <v/>
      </c>
      <c r="R39" s="9">
        <f>IF(Q39="","",$K39&amp;"")</f>
        <v/>
      </c>
      <c r="S39" s="9">
        <f>IF(Q39="","",IF(MATCH(R39,$R$5:$R$100000,0)=ROW()-4,ROW(),""))</f>
        <v/>
      </c>
      <c r="T39" s="9">
        <f>IF(Q39="당기",ABS(P39)+ROW()/1000000000,"")</f>
        <v/>
      </c>
      <c r="U39" s="9">
        <f>IF(Q39="비교",ABS(P39)+ROW()/1000000000,"")</f>
        <v/>
      </c>
      <c r="V39" s="39">
        <f>IF($A39="","",IF(COUNTIF(변동분석!$E$7:$E$506,O39)&gt;0,"Y","N"))</f>
        <v/>
      </c>
      <c r="W39" s="39">
        <f>IF($A39="","",IFERROR(INDEX(계정매핑!$D$5:$D$504,MATCH($F39&amp;"",계정매핑!$A$5:$A$504,0)),"미매핑"))</f>
        <v/>
      </c>
      <c r="X39" s="9">
        <f>IF($A39="","",$F39&amp;"")</f>
        <v/>
      </c>
    </row>
    <row r="40">
      <c r="A40" s="75" t="n">
        <v>2025</v>
      </c>
      <c r="B40" s="75" t="n">
        <v>1</v>
      </c>
      <c r="C40" s="75" t="inlineStr">
        <is>
          <t>5100000036</t>
        </is>
      </c>
      <c r="D40" s="78" t="n">
        <v>45663</v>
      </c>
      <c r="E40" s="75" t="inlineStr">
        <is>
          <t>KR</t>
        </is>
      </c>
      <c r="F40" s="75" t="n">
        <v>62102000</v>
      </c>
      <c r="G40" s="75" t="n">
        <v>1502</v>
      </c>
      <c r="H40" s="76" t="n">
        <v>109000</v>
      </c>
      <c r="I40" s="75" t="inlineStr">
        <is>
          <t>1월 해외출장 - N호텔</t>
        </is>
      </c>
      <c r="J40" s="75" t="inlineStr">
        <is>
          <t>V10007</t>
        </is>
      </c>
      <c r="K40" s="75" t="inlineStr">
        <is>
          <t>N호텔</t>
        </is>
      </c>
      <c r="M40" s="9">
        <f>IF($A40="","",VALUE($A40&amp;"")*12+VALUE($B40&amp;""))</f>
        <v/>
      </c>
      <c r="N40" s="39">
        <f>IF($A40="","",IFERROR(INDEX(부서매핑!$C$5:$C$504,MATCH($G40&amp;"",부서매핑!$A$5:$A$504,0)),"미매핑"))</f>
        <v/>
      </c>
      <c r="O40" s="9">
        <f>IF($A40="","",N40&amp;"|"&amp;$F40)</f>
        <v/>
      </c>
      <c r="P40" s="77">
        <f>IF($A40="",0,$H40*설정!$C$23)</f>
        <v/>
      </c>
      <c r="Q40" s="39">
        <f>IF($A40="","",IF(O40&lt;&gt;원인분석!$C$9,"",IF(AND(M40&gt;=원인분석!$C$10,M40&lt;=원인분석!$C$11),"당기",IF(AND(M40&gt;=원인분석!$C$12,M40&lt;=원인분석!$C$13),"비교",""))))</f>
        <v/>
      </c>
      <c r="R40" s="9">
        <f>IF(Q40="","",$K40&amp;"")</f>
        <v/>
      </c>
      <c r="S40" s="9">
        <f>IF(Q40="","",IF(MATCH(R40,$R$5:$R$100000,0)=ROW()-4,ROW(),""))</f>
        <v/>
      </c>
      <c r="T40" s="9">
        <f>IF(Q40="당기",ABS(P40)+ROW()/1000000000,"")</f>
        <v/>
      </c>
      <c r="U40" s="9">
        <f>IF(Q40="비교",ABS(P40)+ROW()/1000000000,"")</f>
        <v/>
      </c>
      <c r="V40" s="39">
        <f>IF($A40="","",IF(COUNTIF(변동분석!$E$7:$E$506,O40)&gt;0,"Y","N"))</f>
        <v/>
      </c>
      <c r="W40" s="39">
        <f>IF($A40="","",IFERROR(INDEX(계정매핑!$D$5:$D$504,MATCH($F40&amp;"",계정매핑!$A$5:$A$504,0)),"미매핑"))</f>
        <v/>
      </c>
      <c r="X40" s="9">
        <f>IF($A40="","",$F40&amp;"")</f>
        <v/>
      </c>
    </row>
    <row r="41">
      <c r="A41" s="75" t="n">
        <v>2025</v>
      </c>
      <c r="B41" s="75" t="n">
        <v>1</v>
      </c>
      <c r="C41" s="75" t="inlineStr">
        <is>
          <t>5100000037</t>
        </is>
      </c>
      <c r="D41" s="78" t="n">
        <v>45663</v>
      </c>
      <c r="E41" s="75" t="inlineStr">
        <is>
          <t>KR</t>
        </is>
      </c>
      <c r="F41" s="75" t="n">
        <v>62201000</v>
      </c>
      <c r="G41" s="75" t="n">
        <v>1601</v>
      </c>
      <c r="H41" s="76" t="n">
        <v>524000</v>
      </c>
      <c r="I41" s="75" t="inlineStr">
        <is>
          <t>1월 통신요금 - O텔레콤</t>
        </is>
      </c>
      <c r="J41" s="75" t="inlineStr">
        <is>
          <t>V10002</t>
        </is>
      </c>
      <c r="K41" s="75" t="inlineStr">
        <is>
          <t>O텔레콤</t>
        </is>
      </c>
      <c r="M41" s="9">
        <f>IF($A41="","",VALUE($A41&amp;"")*12+VALUE($B41&amp;""))</f>
        <v/>
      </c>
      <c r="N41" s="39">
        <f>IF($A41="","",IFERROR(INDEX(부서매핑!$C$5:$C$504,MATCH($G41&amp;"",부서매핑!$A$5:$A$504,0)),"미매핑"))</f>
        <v/>
      </c>
      <c r="O41" s="9">
        <f>IF($A41="","",N41&amp;"|"&amp;$F41)</f>
        <v/>
      </c>
      <c r="P41" s="77">
        <f>IF($A41="",0,$H41*설정!$C$23)</f>
        <v/>
      </c>
      <c r="Q41" s="39">
        <f>IF($A41="","",IF(O41&lt;&gt;원인분석!$C$9,"",IF(AND(M41&gt;=원인분석!$C$10,M41&lt;=원인분석!$C$11),"당기",IF(AND(M41&gt;=원인분석!$C$12,M41&lt;=원인분석!$C$13),"비교",""))))</f>
        <v/>
      </c>
      <c r="R41" s="9">
        <f>IF(Q41="","",$K41&amp;"")</f>
        <v/>
      </c>
      <c r="S41" s="9">
        <f>IF(Q41="","",IF(MATCH(R41,$R$5:$R$100000,0)=ROW()-4,ROW(),""))</f>
        <v/>
      </c>
      <c r="T41" s="9">
        <f>IF(Q41="당기",ABS(P41)+ROW()/1000000000,"")</f>
        <v/>
      </c>
      <c r="U41" s="9">
        <f>IF(Q41="비교",ABS(P41)+ROW()/1000000000,"")</f>
        <v/>
      </c>
      <c r="V41" s="39">
        <f>IF($A41="","",IF(COUNTIF(변동분석!$E$7:$E$506,O41)&gt;0,"Y","N"))</f>
        <v/>
      </c>
      <c r="W41" s="39">
        <f>IF($A41="","",IFERROR(INDEX(계정매핑!$D$5:$D$504,MATCH($F41&amp;"",계정매핑!$A$5:$A$504,0)),"미매핑"))</f>
        <v/>
      </c>
      <c r="X41" s="9">
        <f>IF($A41="","",$F41&amp;"")</f>
        <v/>
      </c>
    </row>
    <row r="42">
      <c r="A42" s="75" t="n">
        <v>2025</v>
      </c>
      <c r="B42" s="75" t="n">
        <v>1</v>
      </c>
      <c r="C42" s="75" t="inlineStr">
        <is>
          <t>5100000038</t>
        </is>
      </c>
      <c r="D42" s="78" t="n">
        <v>45663</v>
      </c>
      <c r="E42" s="75" t="inlineStr">
        <is>
          <t>KR</t>
        </is>
      </c>
      <c r="F42" s="75" t="n">
        <v>62201000</v>
      </c>
      <c r="G42" s="75" t="n">
        <v>1602</v>
      </c>
      <c r="H42" s="76" t="n">
        <v>762000</v>
      </c>
      <c r="I42" s="75" t="inlineStr">
        <is>
          <t>1월 통신요금 - P통신</t>
        </is>
      </c>
      <c r="J42" s="75" t="inlineStr">
        <is>
          <t>V10011</t>
        </is>
      </c>
      <c r="K42" s="75" t="inlineStr">
        <is>
          <t>P통신</t>
        </is>
      </c>
      <c r="M42" s="9">
        <f>IF($A42="","",VALUE($A42&amp;"")*12+VALUE($B42&amp;""))</f>
        <v/>
      </c>
      <c r="N42" s="39">
        <f>IF($A42="","",IFERROR(INDEX(부서매핑!$C$5:$C$504,MATCH($G42&amp;"",부서매핑!$A$5:$A$504,0)),"미매핑"))</f>
        <v/>
      </c>
      <c r="O42" s="9">
        <f>IF($A42="","",N42&amp;"|"&amp;$F42)</f>
        <v/>
      </c>
      <c r="P42" s="77">
        <f>IF($A42="",0,$H42*설정!$C$23)</f>
        <v/>
      </c>
      <c r="Q42" s="39">
        <f>IF($A42="","",IF(O42&lt;&gt;원인분석!$C$9,"",IF(AND(M42&gt;=원인분석!$C$10,M42&lt;=원인분석!$C$11),"당기",IF(AND(M42&gt;=원인분석!$C$12,M42&lt;=원인분석!$C$13),"비교",""))))</f>
        <v/>
      </c>
      <c r="R42" s="9">
        <f>IF(Q42="","",$K42&amp;"")</f>
        <v/>
      </c>
      <c r="S42" s="9">
        <f>IF(Q42="","",IF(MATCH(R42,$R$5:$R$100000,0)=ROW()-4,ROW(),""))</f>
        <v/>
      </c>
      <c r="T42" s="9">
        <f>IF(Q42="당기",ABS(P42)+ROW()/1000000000,"")</f>
        <v/>
      </c>
      <c r="U42" s="9">
        <f>IF(Q42="비교",ABS(P42)+ROW()/1000000000,"")</f>
        <v/>
      </c>
      <c r="V42" s="39">
        <f>IF($A42="","",IF(COUNTIF(변동분석!$E$7:$E$506,O42)&gt;0,"Y","N"))</f>
        <v/>
      </c>
      <c r="W42" s="39">
        <f>IF($A42="","",IFERROR(INDEX(계정매핑!$D$5:$D$504,MATCH($F42&amp;"",계정매핑!$A$5:$A$504,0)),"미매핑"))</f>
        <v/>
      </c>
      <c r="X42" s="9">
        <f>IF($A42="","",$F42&amp;"")</f>
        <v/>
      </c>
    </row>
    <row r="43">
      <c r="A43" s="75" t="n">
        <v>2025</v>
      </c>
      <c r="B43" s="75" t="n">
        <v>1</v>
      </c>
      <c r="C43" s="75" t="inlineStr">
        <is>
          <t>5100000039</t>
        </is>
      </c>
      <c r="D43" s="78" t="n">
        <v>45663</v>
      </c>
      <c r="E43" s="75" t="inlineStr">
        <is>
          <t>KR</t>
        </is>
      </c>
      <c r="F43" s="75" t="n">
        <v>62401000</v>
      </c>
      <c r="G43" s="75" t="n">
        <v>1801</v>
      </c>
      <c r="H43" s="76" t="n">
        <v>3075000</v>
      </c>
      <c r="I43" s="75" t="inlineStr">
        <is>
          <t>1월 인쇄물 제작 - S출판</t>
        </is>
      </c>
      <c r="J43" s="75" t="inlineStr">
        <is>
          <t>V10012</t>
        </is>
      </c>
      <c r="K43" s="75" t="inlineStr">
        <is>
          <t>S출판</t>
        </is>
      </c>
      <c r="M43" s="9">
        <f>IF($A43="","",VALUE($A43&amp;"")*12+VALUE($B43&amp;""))</f>
        <v/>
      </c>
      <c r="N43" s="39">
        <f>IF($A43="","",IFERROR(INDEX(부서매핑!$C$5:$C$504,MATCH($G43&amp;"",부서매핑!$A$5:$A$504,0)),"미매핑"))</f>
        <v/>
      </c>
      <c r="O43" s="9">
        <f>IF($A43="","",N43&amp;"|"&amp;$F43)</f>
        <v/>
      </c>
      <c r="P43" s="77">
        <f>IF($A43="",0,$H43*설정!$C$23)</f>
        <v/>
      </c>
      <c r="Q43" s="39">
        <f>IF($A43="","",IF(O43&lt;&gt;원인분석!$C$9,"",IF(AND(M43&gt;=원인분석!$C$10,M43&lt;=원인분석!$C$11),"당기",IF(AND(M43&gt;=원인분석!$C$12,M43&lt;=원인분석!$C$13),"비교",""))))</f>
        <v/>
      </c>
      <c r="R43" s="9">
        <f>IF(Q43="","",$K43&amp;"")</f>
        <v/>
      </c>
      <c r="S43" s="9">
        <f>IF(Q43="","",IF(MATCH(R43,$R$5:$R$100000,0)=ROW()-4,ROW(),""))</f>
        <v/>
      </c>
      <c r="T43" s="9">
        <f>IF(Q43="당기",ABS(P43)+ROW()/1000000000,"")</f>
        <v/>
      </c>
      <c r="U43" s="9">
        <f>IF(Q43="비교",ABS(P43)+ROW()/1000000000,"")</f>
        <v/>
      </c>
      <c r="V43" s="39">
        <f>IF($A43="","",IF(COUNTIF(변동분석!$E$7:$E$506,O43)&gt;0,"Y","N"))</f>
        <v/>
      </c>
      <c r="W43" s="39">
        <f>IF($A43="","",IFERROR(INDEX(계정매핑!$D$5:$D$504,MATCH($F43&amp;"",계정매핑!$A$5:$A$504,0)),"미매핑"))</f>
        <v/>
      </c>
      <c r="X43" s="9">
        <f>IF($A43="","",$F43&amp;"")</f>
        <v/>
      </c>
    </row>
    <row r="44">
      <c r="A44" s="75" t="n">
        <v>2025</v>
      </c>
      <c r="B44" s="75" t="n">
        <v>1</v>
      </c>
      <c r="C44" s="75" t="inlineStr">
        <is>
          <t>5100000040</t>
        </is>
      </c>
      <c r="D44" s="78" t="n">
        <v>45663</v>
      </c>
      <c r="E44" s="75" t="inlineStr">
        <is>
          <t>KR</t>
        </is>
      </c>
      <c r="F44" s="75" t="n">
        <v>62802000</v>
      </c>
      <c r="G44" s="75" t="n">
        <v>1301</v>
      </c>
      <c r="H44" s="76" t="n">
        <v>5790000</v>
      </c>
      <c r="I44" s="75" t="inlineStr">
        <is>
          <t>1월 위탁교육 - I교육원</t>
        </is>
      </c>
      <c r="J44" s="75" t="inlineStr">
        <is>
          <t>V10015</t>
        </is>
      </c>
      <c r="K44" s="75" t="inlineStr">
        <is>
          <t>I교육원</t>
        </is>
      </c>
      <c r="M44" s="9">
        <f>IF($A44="","",VALUE($A44&amp;"")*12+VALUE($B44&amp;""))</f>
        <v/>
      </c>
      <c r="N44" s="39">
        <f>IF($A44="","",IFERROR(INDEX(부서매핑!$C$5:$C$504,MATCH($G44&amp;"",부서매핑!$A$5:$A$504,0)),"미매핑"))</f>
        <v/>
      </c>
      <c r="O44" s="9">
        <f>IF($A44="","",N44&amp;"|"&amp;$F44)</f>
        <v/>
      </c>
      <c r="P44" s="77">
        <f>IF($A44="",0,$H44*설정!$C$23)</f>
        <v/>
      </c>
      <c r="Q44" s="39">
        <f>IF($A44="","",IF(O44&lt;&gt;원인분석!$C$9,"",IF(AND(M44&gt;=원인분석!$C$10,M44&lt;=원인분석!$C$11),"당기",IF(AND(M44&gt;=원인분석!$C$12,M44&lt;=원인분석!$C$13),"비교",""))))</f>
        <v/>
      </c>
      <c r="R44" s="9">
        <f>IF(Q44="","",$K44&amp;"")</f>
        <v/>
      </c>
      <c r="S44" s="9">
        <f>IF(Q44="","",IF(MATCH(R44,$R$5:$R$100000,0)=ROW()-4,ROW(),""))</f>
        <v/>
      </c>
      <c r="T44" s="9">
        <f>IF(Q44="당기",ABS(P44)+ROW()/1000000000,"")</f>
        <v/>
      </c>
      <c r="U44" s="9">
        <f>IF(Q44="비교",ABS(P44)+ROW()/1000000000,"")</f>
        <v/>
      </c>
      <c r="V44" s="39">
        <f>IF($A44="","",IF(COUNTIF(변동분석!$E$7:$E$506,O44)&gt;0,"Y","N"))</f>
        <v/>
      </c>
      <c r="W44" s="39">
        <f>IF($A44="","",IFERROR(INDEX(계정매핑!$D$5:$D$504,MATCH($F44&amp;"",계정매핑!$A$5:$A$504,0)),"미매핑"))</f>
        <v/>
      </c>
      <c r="X44" s="9">
        <f>IF($A44="","",$F44&amp;"")</f>
        <v/>
      </c>
    </row>
    <row r="45">
      <c r="A45" s="75" t="n">
        <v>2025</v>
      </c>
      <c r="B45" s="75" t="n">
        <v>1</v>
      </c>
      <c r="C45" s="75" t="inlineStr">
        <is>
          <t>5100000041</t>
        </is>
      </c>
      <c r="D45" s="78" t="n">
        <v>45663</v>
      </c>
      <c r="E45" s="75" t="inlineStr">
        <is>
          <t>KR</t>
        </is>
      </c>
      <c r="F45" s="75" t="n">
        <v>62902000</v>
      </c>
      <c r="G45" s="75" t="n">
        <v>1101</v>
      </c>
      <c r="H45" s="76" t="n">
        <v>1240000</v>
      </c>
      <c r="I45" s="75" t="inlineStr">
        <is>
          <t>1월 업무 위탁 수수료 - X서비스</t>
        </is>
      </c>
      <c r="J45" s="75" t="inlineStr">
        <is>
          <t>V10016</t>
        </is>
      </c>
      <c r="K45" s="75" t="inlineStr">
        <is>
          <t>X서비스</t>
        </is>
      </c>
      <c r="M45" s="9">
        <f>IF($A45="","",VALUE($A45&amp;"")*12+VALUE($B45&amp;""))</f>
        <v/>
      </c>
      <c r="N45" s="39">
        <f>IF($A45="","",IFERROR(INDEX(부서매핑!$C$5:$C$504,MATCH($G45&amp;"",부서매핑!$A$5:$A$504,0)),"미매핑"))</f>
        <v/>
      </c>
      <c r="O45" s="9">
        <f>IF($A45="","",N45&amp;"|"&amp;$F45)</f>
        <v/>
      </c>
      <c r="P45" s="77">
        <f>IF($A45="",0,$H45*설정!$C$23)</f>
        <v/>
      </c>
      <c r="Q45" s="39">
        <f>IF($A45="","",IF(O45&lt;&gt;원인분석!$C$9,"",IF(AND(M45&gt;=원인분석!$C$10,M45&lt;=원인분석!$C$11),"당기",IF(AND(M45&gt;=원인분석!$C$12,M45&lt;=원인분석!$C$13),"비교",""))))</f>
        <v/>
      </c>
      <c r="R45" s="9">
        <f>IF(Q45="","",$K45&amp;"")</f>
        <v/>
      </c>
      <c r="S45" s="9">
        <f>IF(Q45="","",IF(MATCH(R45,$R$5:$R$100000,0)=ROW()-4,ROW(),""))</f>
        <v/>
      </c>
      <c r="T45" s="9">
        <f>IF(Q45="당기",ABS(P45)+ROW()/1000000000,"")</f>
        <v/>
      </c>
      <c r="U45" s="9">
        <f>IF(Q45="비교",ABS(P45)+ROW()/1000000000,"")</f>
        <v/>
      </c>
      <c r="V45" s="39">
        <f>IF($A45="","",IF(COUNTIF(변동분석!$E$7:$E$506,O45)&gt;0,"Y","N"))</f>
        <v/>
      </c>
      <c r="W45" s="39">
        <f>IF($A45="","",IFERROR(INDEX(계정매핑!$D$5:$D$504,MATCH($F45&amp;"",계정매핑!$A$5:$A$504,0)),"미매핑"))</f>
        <v/>
      </c>
      <c r="X45" s="9">
        <f>IF($A45="","",$F45&amp;"")</f>
        <v/>
      </c>
    </row>
    <row r="46">
      <c r="A46" s="75" t="n">
        <v>2025</v>
      </c>
      <c r="B46" s="75" t="n">
        <v>1</v>
      </c>
      <c r="C46" s="75" t="inlineStr">
        <is>
          <t>5100000042</t>
        </is>
      </c>
      <c r="D46" s="78" t="n">
        <v>45663</v>
      </c>
      <c r="E46" s="75" t="inlineStr">
        <is>
          <t>KR</t>
        </is>
      </c>
      <c r="F46" s="75" t="n">
        <v>63001000</v>
      </c>
      <c r="G46" s="75" t="n">
        <v>1701</v>
      </c>
      <c r="H46" s="76" t="n">
        <v>17436000</v>
      </c>
      <c r="I46" s="75" t="inlineStr">
        <is>
          <t>1월 SW 유지보수 - Y소프트</t>
        </is>
      </c>
      <c r="J46" s="75" t="inlineStr">
        <is>
          <t>V10017</t>
        </is>
      </c>
      <c r="K46" s="75" t="inlineStr">
        <is>
          <t>Y소프트</t>
        </is>
      </c>
      <c r="M46" s="9">
        <f>IF($A46="","",VALUE($A46&amp;"")*12+VALUE($B46&amp;""))</f>
        <v/>
      </c>
      <c r="N46" s="39">
        <f>IF($A46="","",IFERROR(INDEX(부서매핑!$C$5:$C$504,MATCH($G46&amp;"",부서매핑!$A$5:$A$504,0)),"미매핑"))</f>
        <v/>
      </c>
      <c r="O46" s="9">
        <f>IF($A46="","",N46&amp;"|"&amp;$F46)</f>
        <v/>
      </c>
      <c r="P46" s="77">
        <f>IF($A46="",0,$H46*설정!$C$23)</f>
        <v/>
      </c>
      <c r="Q46" s="39">
        <f>IF($A46="","",IF(O46&lt;&gt;원인분석!$C$9,"",IF(AND(M46&gt;=원인분석!$C$10,M46&lt;=원인분석!$C$11),"당기",IF(AND(M46&gt;=원인분석!$C$12,M46&lt;=원인분석!$C$13),"비교",""))))</f>
        <v/>
      </c>
      <c r="R46" s="9">
        <f>IF(Q46="","",$K46&amp;"")</f>
        <v/>
      </c>
      <c r="S46" s="9">
        <f>IF(Q46="","",IF(MATCH(R46,$R$5:$R$100000,0)=ROW()-4,ROW(),""))</f>
        <v/>
      </c>
      <c r="T46" s="9">
        <f>IF(Q46="당기",ABS(P46)+ROW()/1000000000,"")</f>
        <v/>
      </c>
      <c r="U46" s="9">
        <f>IF(Q46="비교",ABS(P46)+ROW()/1000000000,"")</f>
        <v/>
      </c>
      <c r="V46" s="39">
        <f>IF($A46="","",IF(COUNTIF(변동분석!$E$7:$E$506,O46)&gt;0,"Y","N"))</f>
        <v/>
      </c>
      <c r="W46" s="39">
        <f>IF($A46="","",IFERROR(INDEX(계정매핑!$D$5:$D$504,MATCH($F46&amp;"",계정매핑!$A$5:$A$504,0)),"미매핑"))</f>
        <v/>
      </c>
      <c r="X46" s="9">
        <f>IF($A46="","",$F46&amp;"")</f>
        <v/>
      </c>
    </row>
    <row r="47">
      <c r="A47" s="75" t="n">
        <v>2025</v>
      </c>
      <c r="B47" s="75" t="n">
        <v>1</v>
      </c>
      <c r="C47" s="75" t="inlineStr">
        <is>
          <t>5100000043</t>
        </is>
      </c>
      <c r="D47" s="78" t="n">
        <v>45664</v>
      </c>
      <c r="E47" s="75" t="inlineStr">
        <is>
          <t>KR</t>
        </is>
      </c>
      <c r="F47" s="75" t="n">
        <v>62101000</v>
      </c>
      <c r="G47" s="75" t="n">
        <v>1701</v>
      </c>
      <c r="H47" s="76" t="n">
        <v>196000</v>
      </c>
      <c r="I47" s="75" t="inlineStr">
        <is>
          <t>1월 국내출장 - L여행사</t>
        </is>
      </c>
      <c r="J47" s="75" t="inlineStr">
        <is>
          <t>V10014</t>
        </is>
      </c>
      <c r="K47" s="75" t="inlineStr">
        <is>
          <t>L여행사</t>
        </is>
      </c>
      <c r="M47" s="9">
        <f>IF($A47="","",VALUE($A47&amp;"")*12+VALUE($B47&amp;""))</f>
        <v/>
      </c>
      <c r="N47" s="39">
        <f>IF($A47="","",IFERROR(INDEX(부서매핑!$C$5:$C$504,MATCH($G47&amp;"",부서매핑!$A$5:$A$504,0)),"미매핑"))</f>
        <v/>
      </c>
      <c r="O47" s="9">
        <f>IF($A47="","",N47&amp;"|"&amp;$F47)</f>
        <v/>
      </c>
      <c r="P47" s="77">
        <f>IF($A47="",0,$H47*설정!$C$23)</f>
        <v/>
      </c>
      <c r="Q47" s="39">
        <f>IF($A47="","",IF(O47&lt;&gt;원인분석!$C$9,"",IF(AND(M47&gt;=원인분석!$C$10,M47&lt;=원인분석!$C$11),"당기",IF(AND(M47&gt;=원인분석!$C$12,M47&lt;=원인분석!$C$13),"비교",""))))</f>
        <v/>
      </c>
      <c r="R47" s="9">
        <f>IF(Q47="","",$K47&amp;"")</f>
        <v/>
      </c>
      <c r="S47" s="9">
        <f>IF(Q47="","",IF(MATCH(R47,$R$5:$R$100000,0)=ROW()-4,ROW(),""))</f>
        <v/>
      </c>
      <c r="T47" s="9">
        <f>IF(Q47="당기",ABS(P47)+ROW()/1000000000,"")</f>
        <v/>
      </c>
      <c r="U47" s="9">
        <f>IF(Q47="비교",ABS(P47)+ROW()/1000000000,"")</f>
        <v/>
      </c>
      <c r="V47" s="39">
        <f>IF($A47="","",IF(COUNTIF(변동분석!$E$7:$E$506,O47)&gt;0,"Y","N"))</f>
        <v/>
      </c>
      <c r="W47" s="39">
        <f>IF($A47="","",IFERROR(INDEX(계정매핑!$D$5:$D$504,MATCH($F47&amp;"",계정매핑!$A$5:$A$504,0)),"미매핑"))</f>
        <v/>
      </c>
      <c r="X47" s="9">
        <f>IF($A47="","",$F47&amp;"")</f>
        <v/>
      </c>
    </row>
    <row r="48">
      <c r="A48" s="75" t="n">
        <v>2025</v>
      </c>
      <c r="B48" s="75" t="n">
        <v>1</v>
      </c>
      <c r="C48" s="75" t="inlineStr">
        <is>
          <t>5100000044</t>
        </is>
      </c>
      <c r="D48" s="78" t="n">
        <v>45664</v>
      </c>
      <c r="E48" s="75" t="inlineStr">
        <is>
          <t>KR</t>
        </is>
      </c>
      <c r="F48" s="75" t="n">
        <v>62101000</v>
      </c>
      <c r="G48" s="75" t="n">
        <v>1801</v>
      </c>
      <c r="H48" s="76" t="n">
        <v>200000</v>
      </c>
      <c r="I48" s="75" t="inlineStr">
        <is>
          <t>1월 국내출장 - L여행사</t>
        </is>
      </c>
      <c r="J48" s="75" t="inlineStr">
        <is>
          <t>V10014</t>
        </is>
      </c>
      <c r="K48" s="75" t="inlineStr">
        <is>
          <t>L여행사</t>
        </is>
      </c>
      <c r="M48" s="9">
        <f>IF($A48="","",VALUE($A48&amp;"")*12+VALUE($B48&amp;""))</f>
        <v/>
      </c>
      <c r="N48" s="39">
        <f>IF($A48="","",IFERROR(INDEX(부서매핑!$C$5:$C$504,MATCH($G48&amp;"",부서매핑!$A$5:$A$504,0)),"미매핑"))</f>
        <v/>
      </c>
      <c r="O48" s="9">
        <f>IF($A48="","",N48&amp;"|"&amp;$F48)</f>
        <v/>
      </c>
      <c r="P48" s="77">
        <f>IF($A48="",0,$H48*설정!$C$23)</f>
        <v/>
      </c>
      <c r="Q48" s="39">
        <f>IF($A48="","",IF(O48&lt;&gt;원인분석!$C$9,"",IF(AND(M48&gt;=원인분석!$C$10,M48&lt;=원인분석!$C$11),"당기",IF(AND(M48&gt;=원인분석!$C$12,M48&lt;=원인분석!$C$13),"비교",""))))</f>
        <v/>
      </c>
      <c r="R48" s="9">
        <f>IF(Q48="","",$K48&amp;"")</f>
        <v/>
      </c>
      <c r="S48" s="9">
        <f>IF(Q48="","",IF(MATCH(R48,$R$5:$R$100000,0)=ROW()-4,ROW(),""))</f>
        <v/>
      </c>
      <c r="T48" s="9">
        <f>IF(Q48="당기",ABS(P48)+ROW()/1000000000,"")</f>
        <v/>
      </c>
      <c r="U48" s="9">
        <f>IF(Q48="비교",ABS(P48)+ROW()/1000000000,"")</f>
        <v/>
      </c>
      <c r="V48" s="39">
        <f>IF($A48="","",IF(COUNTIF(변동분석!$E$7:$E$506,O48)&gt;0,"Y","N"))</f>
        <v/>
      </c>
      <c r="W48" s="39">
        <f>IF($A48="","",IFERROR(INDEX(계정매핑!$D$5:$D$504,MATCH($F48&amp;"",계정매핑!$A$5:$A$504,0)),"미매핑"))</f>
        <v/>
      </c>
      <c r="X48" s="9">
        <f>IF($A48="","",$F48&amp;"")</f>
        <v/>
      </c>
    </row>
    <row r="49">
      <c r="A49" s="75" t="n">
        <v>2025</v>
      </c>
      <c r="B49" s="75" t="n">
        <v>1</v>
      </c>
      <c r="C49" s="75" t="inlineStr">
        <is>
          <t>5100000045</t>
        </is>
      </c>
      <c r="D49" s="78" t="n">
        <v>45664</v>
      </c>
      <c r="E49" s="75" t="inlineStr">
        <is>
          <t>KR</t>
        </is>
      </c>
      <c r="F49" s="75" t="n">
        <v>62201000</v>
      </c>
      <c r="G49" s="75" t="n">
        <v>1101</v>
      </c>
      <c r="H49" s="76" t="n">
        <v>447000</v>
      </c>
      <c r="I49" s="75" t="inlineStr">
        <is>
          <t>1월 통신요금 - P통신</t>
        </is>
      </c>
      <c r="J49" s="75" t="inlineStr">
        <is>
          <t>V10011</t>
        </is>
      </c>
      <c r="K49" s="75" t="inlineStr">
        <is>
          <t>P통신</t>
        </is>
      </c>
      <c r="M49" s="9">
        <f>IF($A49="","",VALUE($A49&amp;"")*12+VALUE($B49&amp;""))</f>
        <v/>
      </c>
      <c r="N49" s="39">
        <f>IF($A49="","",IFERROR(INDEX(부서매핑!$C$5:$C$504,MATCH($G49&amp;"",부서매핑!$A$5:$A$504,0)),"미매핑"))</f>
        <v/>
      </c>
      <c r="O49" s="9">
        <f>IF($A49="","",N49&amp;"|"&amp;$F49)</f>
        <v/>
      </c>
      <c r="P49" s="77">
        <f>IF($A49="",0,$H49*설정!$C$23)</f>
        <v/>
      </c>
      <c r="Q49" s="39">
        <f>IF($A49="","",IF(O49&lt;&gt;원인분석!$C$9,"",IF(AND(M49&gt;=원인분석!$C$10,M49&lt;=원인분석!$C$11),"당기",IF(AND(M49&gt;=원인분석!$C$12,M49&lt;=원인분석!$C$13),"비교",""))))</f>
        <v/>
      </c>
      <c r="R49" s="9">
        <f>IF(Q49="","",$K49&amp;"")</f>
        <v/>
      </c>
      <c r="S49" s="9">
        <f>IF(Q49="","",IF(MATCH(R49,$R$5:$R$100000,0)=ROW()-4,ROW(),""))</f>
        <v/>
      </c>
      <c r="T49" s="9">
        <f>IF(Q49="당기",ABS(P49)+ROW()/1000000000,"")</f>
        <v/>
      </c>
      <c r="U49" s="9">
        <f>IF(Q49="비교",ABS(P49)+ROW()/1000000000,"")</f>
        <v/>
      </c>
      <c r="V49" s="39">
        <f>IF($A49="","",IF(COUNTIF(변동분석!$E$7:$E$506,O49)&gt;0,"Y","N"))</f>
        <v/>
      </c>
      <c r="W49" s="39">
        <f>IF($A49="","",IFERROR(INDEX(계정매핑!$D$5:$D$504,MATCH($F49&amp;"",계정매핑!$A$5:$A$504,0)),"미매핑"))</f>
        <v/>
      </c>
      <c r="X49" s="9">
        <f>IF($A49="","",$F49&amp;"")</f>
        <v/>
      </c>
    </row>
    <row r="50">
      <c r="A50" s="75" t="n">
        <v>2025</v>
      </c>
      <c r="B50" s="75" t="n">
        <v>1</v>
      </c>
      <c r="C50" s="75" t="inlineStr">
        <is>
          <t>5100000046</t>
        </is>
      </c>
      <c r="D50" s="78" t="n">
        <v>45664</v>
      </c>
      <c r="E50" s="75" t="inlineStr">
        <is>
          <t>KR</t>
        </is>
      </c>
      <c r="F50" s="75" t="n">
        <v>62301000</v>
      </c>
      <c r="G50" s="75" t="n">
        <v>1101</v>
      </c>
      <c r="H50" s="76" t="n">
        <v>242000</v>
      </c>
      <c r="I50" s="75" t="inlineStr">
        <is>
          <t>1월 소모품 구입 - Q오피스</t>
        </is>
      </c>
      <c r="J50" s="75" t="inlineStr">
        <is>
          <t>V10003</t>
        </is>
      </c>
      <c r="K50" s="75" t="inlineStr">
        <is>
          <t>Q오피스</t>
        </is>
      </c>
      <c r="M50" s="9">
        <f>IF($A50="","",VALUE($A50&amp;"")*12+VALUE($B50&amp;""))</f>
        <v/>
      </c>
      <c r="N50" s="39">
        <f>IF($A50="","",IFERROR(INDEX(부서매핑!$C$5:$C$504,MATCH($G50&amp;"",부서매핑!$A$5:$A$504,0)),"미매핑"))</f>
        <v/>
      </c>
      <c r="O50" s="9">
        <f>IF($A50="","",N50&amp;"|"&amp;$F50)</f>
        <v/>
      </c>
      <c r="P50" s="77">
        <f>IF($A50="",0,$H50*설정!$C$23)</f>
        <v/>
      </c>
      <c r="Q50" s="39">
        <f>IF($A50="","",IF(O50&lt;&gt;원인분석!$C$9,"",IF(AND(M50&gt;=원인분석!$C$10,M50&lt;=원인분석!$C$11),"당기",IF(AND(M50&gt;=원인분석!$C$12,M50&lt;=원인분석!$C$13),"비교",""))))</f>
        <v/>
      </c>
      <c r="R50" s="9">
        <f>IF(Q50="","",$K50&amp;"")</f>
        <v/>
      </c>
      <c r="S50" s="9">
        <f>IF(Q50="","",IF(MATCH(R50,$R$5:$R$100000,0)=ROW()-4,ROW(),""))</f>
        <v/>
      </c>
      <c r="T50" s="9">
        <f>IF(Q50="당기",ABS(P50)+ROW()/1000000000,"")</f>
        <v/>
      </c>
      <c r="U50" s="9">
        <f>IF(Q50="비교",ABS(P50)+ROW()/1000000000,"")</f>
        <v/>
      </c>
      <c r="V50" s="39">
        <f>IF($A50="","",IF(COUNTIF(변동분석!$E$7:$E$506,O50)&gt;0,"Y","N"))</f>
        <v/>
      </c>
      <c r="W50" s="39">
        <f>IF($A50="","",IFERROR(INDEX(계정매핑!$D$5:$D$504,MATCH($F50&amp;"",계정매핑!$A$5:$A$504,0)),"미매핑"))</f>
        <v/>
      </c>
      <c r="X50" s="9">
        <f>IF($A50="","",$F50&amp;"")</f>
        <v/>
      </c>
    </row>
    <row r="51">
      <c r="A51" s="75" t="n">
        <v>2025</v>
      </c>
      <c r="B51" s="75" t="n">
        <v>1</v>
      </c>
      <c r="C51" s="75" t="inlineStr">
        <is>
          <t>5100000047</t>
        </is>
      </c>
      <c r="D51" s="78" t="n">
        <v>45664</v>
      </c>
      <c r="E51" s="75" t="inlineStr">
        <is>
          <t>KR</t>
        </is>
      </c>
      <c r="F51" s="75" t="n">
        <v>62301000</v>
      </c>
      <c r="G51" s="75" t="n">
        <v>1502</v>
      </c>
      <c r="H51" s="76" t="n">
        <v>377000</v>
      </c>
      <c r="I51" s="75" t="inlineStr">
        <is>
          <t>1월 소모품 구입 - R문구</t>
        </is>
      </c>
      <c r="J51" s="75" t="inlineStr">
        <is>
          <t>V10018</t>
        </is>
      </c>
      <c r="K51" s="75" t="inlineStr">
        <is>
          <t>R문구</t>
        </is>
      </c>
      <c r="M51" s="9">
        <f>IF($A51="","",VALUE($A51&amp;"")*12+VALUE($B51&amp;""))</f>
        <v/>
      </c>
      <c r="N51" s="39">
        <f>IF($A51="","",IFERROR(INDEX(부서매핑!$C$5:$C$504,MATCH($G51&amp;"",부서매핑!$A$5:$A$504,0)),"미매핑"))</f>
        <v/>
      </c>
      <c r="O51" s="9">
        <f>IF($A51="","",N51&amp;"|"&amp;$F51)</f>
        <v/>
      </c>
      <c r="P51" s="77">
        <f>IF($A51="",0,$H51*설정!$C$23)</f>
        <v/>
      </c>
      <c r="Q51" s="39">
        <f>IF($A51="","",IF(O51&lt;&gt;원인분석!$C$9,"",IF(AND(M51&gt;=원인분석!$C$10,M51&lt;=원인분석!$C$11),"당기",IF(AND(M51&gt;=원인분석!$C$12,M51&lt;=원인분석!$C$13),"비교",""))))</f>
        <v/>
      </c>
      <c r="R51" s="9">
        <f>IF(Q51="","",$K51&amp;"")</f>
        <v/>
      </c>
      <c r="S51" s="9">
        <f>IF(Q51="","",IF(MATCH(R51,$R$5:$R$100000,0)=ROW()-4,ROW(),""))</f>
        <v/>
      </c>
      <c r="T51" s="9">
        <f>IF(Q51="당기",ABS(P51)+ROW()/1000000000,"")</f>
        <v/>
      </c>
      <c r="U51" s="9">
        <f>IF(Q51="비교",ABS(P51)+ROW()/1000000000,"")</f>
        <v/>
      </c>
      <c r="V51" s="39">
        <f>IF($A51="","",IF(COUNTIF(변동분석!$E$7:$E$506,O51)&gt;0,"Y","N"))</f>
        <v/>
      </c>
      <c r="W51" s="39">
        <f>IF($A51="","",IFERROR(INDEX(계정매핑!$D$5:$D$504,MATCH($F51&amp;"",계정매핑!$A$5:$A$504,0)),"미매핑"))</f>
        <v/>
      </c>
      <c r="X51" s="9">
        <f>IF($A51="","",$F51&amp;"")</f>
        <v/>
      </c>
    </row>
    <row r="52">
      <c r="A52" s="75" t="n">
        <v>2025</v>
      </c>
      <c r="B52" s="75" t="n">
        <v>1</v>
      </c>
      <c r="C52" s="75" t="inlineStr">
        <is>
          <t>5100000048</t>
        </is>
      </c>
      <c r="D52" s="78" t="n">
        <v>45664</v>
      </c>
      <c r="E52" s="75" t="inlineStr">
        <is>
          <t>KR</t>
        </is>
      </c>
      <c r="F52" s="75" t="n">
        <v>62902000</v>
      </c>
      <c r="G52" s="75" t="n">
        <v>1201</v>
      </c>
      <c r="H52" s="76" t="n">
        <v>1831000</v>
      </c>
      <c r="I52" s="75" t="inlineStr">
        <is>
          <t>1월 업무 위탁 수수료 - X서비스</t>
        </is>
      </c>
      <c r="J52" s="75" t="inlineStr">
        <is>
          <t>V10016</t>
        </is>
      </c>
      <c r="K52" s="75" t="inlineStr">
        <is>
          <t>X서비스</t>
        </is>
      </c>
      <c r="M52" s="9">
        <f>IF($A52="","",VALUE($A52&amp;"")*12+VALUE($B52&amp;""))</f>
        <v/>
      </c>
      <c r="N52" s="39">
        <f>IF($A52="","",IFERROR(INDEX(부서매핑!$C$5:$C$504,MATCH($G52&amp;"",부서매핑!$A$5:$A$504,0)),"미매핑"))</f>
        <v/>
      </c>
      <c r="O52" s="9">
        <f>IF($A52="","",N52&amp;"|"&amp;$F52)</f>
        <v/>
      </c>
      <c r="P52" s="77">
        <f>IF($A52="",0,$H52*설정!$C$23)</f>
        <v/>
      </c>
      <c r="Q52" s="39">
        <f>IF($A52="","",IF(O52&lt;&gt;원인분석!$C$9,"",IF(AND(M52&gt;=원인분석!$C$10,M52&lt;=원인분석!$C$11),"당기",IF(AND(M52&gt;=원인분석!$C$12,M52&lt;=원인분석!$C$13),"비교",""))))</f>
        <v/>
      </c>
      <c r="R52" s="9">
        <f>IF(Q52="","",$K52&amp;"")</f>
        <v/>
      </c>
      <c r="S52" s="9">
        <f>IF(Q52="","",IF(MATCH(R52,$R$5:$R$100000,0)=ROW()-4,ROW(),""))</f>
        <v/>
      </c>
      <c r="T52" s="9">
        <f>IF(Q52="당기",ABS(P52)+ROW()/1000000000,"")</f>
        <v/>
      </c>
      <c r="U52" s="9">
        <f>IF(Q52="비교",ABS(P52)+ROW()/1000000000,"")</f>
        <v/>
      </c>
      <c r="V52" s="39">
        <f>IF($A52="","",IF(COUNTIF(변동분석!$E$7:$E$506,O52)&gt;0,"Y","N"))</f>
        <v/>
      </c>
      <c r="W52" s="39">
        <f>IF($A52="","",IFERROR(INDEX(계정매핑!$D$5:$D$504,MATCH($F52&amp;"",계정매핑!$A$5:$A$504,0)),"미매핑"))</f>
        <v/>
      </c>
      <c r="X52" s="9">
        <f>IF($A52="","",$F52&amp;"")</f>
        <v/>
      </c>
    </row>
    <row r="53">
      <c r="A53" s="75" t="n">
        <v>2025</v>
      </c>
      <c r="B53" s="75" t="n">
        <v>1</v>
      </c>
      <c r="C53" s="75" t="inlineStr">
        <is>
          <t>5100000049</t>
        </is>
      </c>
      <c r="D53" s="78" t="n">
        <v>45664</v>
      </c>
      <c r="E53" s="75" t="inlineStr">
        <is>
          <t>KR</t>
        </is>
      </c>
      <c r="F53" s="75" t="n">
        <v>62902000</v>
      </c>
      <c r="G53" s="75" t="n">
        <v>1801</v>
      </c>
      <c r="H53" s="76" t="n">
        <v>1786000</v>
      </c>
      <c r="I53" s="75" t="inlineStr">
        <is>
          <t>1월 콜 위탁 수수료(건별)</t>
        </is>
      </c>
      <c r="J53" s="75" t="inlineStr">
        <is>
          <t>V10013</t>
        </is>
      </c>
      <c r="K53" s="75" t="inlineStr">
        <is>
          <t>J콜센터</t>
        </is>
      </c>
      <c r="M53" s="9">
        <f>IF($A53="","",VALUE($A53&amp;"")*12+VALUE($B53&amp;""))</f>
        <v/>
      </c>
      <c r="N53" s="39">
        <f>IF($A53="","",IFERROR(INDEX(부서매핑!$C$5:$C$504,MATCH($G53&amp;"",부서매핑!$A$5:$A$504,0)),"미매핑"))</f>
        <v/>
      </c>
      <c r="O53" s="9">
        <f>IF($A53="","",N53&amp;"|"&amp;$F53)</f>
        <v/>
      </c>
      <c r="P53" s="77">
        <f>IF($A53="",0,$H53*설정!$C$23)</f>
        <v/>
      </c>
      <c r="Q53" s="39">
        <f>IF($A53="","",IF(O53&lt;&gt;원인분석!$C$9,"",IF(AND(M53&gt;=원인분석!$C$10,M53&lt;=원인분석!$C$11),"당기",IF(AND(M53&gt;=원인분석!$C$12,M53&lt;=원인분석!$C$13),"비교",""))))</f>
        <v/>
      </c>
      <c r="R53" s="9">
        <f>IF(Q53="","",$K53&amp;"")</f>
        <v/>
      </c>
      <c r="S53" s="9">
        <f>IF(Q53="","",IF(MATCH(R53,$R$5:$R$100000,0)=ROW()-4,ROW(),""))</f>
        <v/>
      </c>
      <c r="T53" s="9">
        <f>IF(Q53="당기",ABS(P53)+ROW()/1000000000,"")</f>
        <v/>
      </c>
      <c r="U53" s="9">
        <f>IF(Q53="비교",ABS(P53)+ROW()/1000000000,"")</f>
        <v/>
      </c>
      <c r="V53" s="39">
        <f>IF($A53="","",IF(COUNTIF(변동분석!$E$7:$E$506,O53)&gt;0,"Y","N"))</f>
        <v/>
      </c>
      <c r="W53" s="39">
        <f>IF($A53="","",IFERROR(INDEX(계정매핑!$D$5:$D$504,MATCH($F53&amp;"",계정매핑!$A$5:$A$504,0)),"미매핑"))</f>
        <v/>
      </c>
      <c r="X53" s="9">
        <f>IF($A53="","",$F53&amp;"")</f>
        <v/>
      </c>
    </row>
    <row r="54">
      <c r="A54" s="75" t="n">
        <v>2025</v>
      </c>
      <c r="B54" s="75" t="n">
        <v>1</v>
      </c>
      <c r="C54" s="75" t="inlineStr">
        <is>
          <t>5100000050</t>
        </is>
      </c>
      <c r="D54" s="78" t="n">
        <v>45665</v>
      </c>
      <c r="E54" s="75" t="inlineStr">
        <is>
          <t>KR</t>
        </is>
      </c>
      <c r="F54" s="75" t="n">
        <v>62101000</v>
      </c>
      <c r="G54" s="75" t="n">
        <v>1602</v>
      </c>
      <c r="H54" s="76" t="n">
        <v>1454000</v>
      </c>
      <c r="I54" s="75" t="inlineStr">
        <is>
          <t>1월 국내출장 - L여행사</t>
        </is>
      </c>
      <c r="J54" s="75" t="inlineStr">
        <is>
          <t>V10014</t>
        </is>
      </c>
      <c r="K54" s="75" t="inlineStr">
        <is>
          <t>L여행사</t>
        </is>
      </c>
      <c r="M54" s="9">
        <f>IF($A54="","",VALUE($A54&amp;"")*12+VALUE($B54&amp;""))</f>
        <v/>
      </c>
      <c r="N54" s="39">
        <f>IF($A54="","",IFERROR(INDEX(부서매핑!$C$5:$C$504,MATCH($G54&amp;"",부서매핑!$A$5:$A$504,0)),"미매핑"))</f>
        <v/>
      </c>
      <c r="O54" s="9">
        <f>IF($A54="","",N54&amp;"|"&amp;$F54)</f>
        <v/>
      </c>
      <c r="P54" s="77">
        <f>IF($A54="",0,$H54*설정!$C$23)</f>
        <v/>
      </c>
      <c r="Q54" s="39">
        <f>IF($A54="","",IF(O54&lt;&gt;원인분석!$C$9,"",IF(AND(M54&gt;=원인분석!$C$10,M54&lt;=원인분석!$C$11),"당기",IF(AND(M54&gt;=원인분석!$C$12,M54&lt;=원인분석!$C$13),"비교",""))))</f>
        <v/>
      </c>
      <c r="R54" s="9">
        <f>IF(Q54="","",$K54&amp;"")</f>
        <v/>
      </c>
      <c r="S54" s="9">
        <f>IF(Q54="","",IF(MATCH(R54,$R$5:$R$100000,0)=ROW()-4,ROW(),""))</f>
        <v/>
      </c>
      <c r="T54" s="9">
        <f>IF(Q54="당기",ABS(P54)+ROW()/1000000000,"")</f>
        <v/>
      </c>
      <c r="U54" s="9">
        <f>IF(Q54="비교",ABS(P54)+ROW()/1000000000,"")</f>
        <v/>
      </c>
      <c r="V54" s="39">
        <f>IF($A54="","",IF(COUNTIF(변동분석!$E$7:$E$506,O54)&gt;0,"Y","N"))</f>
        <v/>
      </c>
      <c r="W54" s="39">
        <f>IF($A54="","",IFERROR(INDEX(계정매핑!$D$5:$D$504,MATCH($F54&amp;"",계정매핑!$A$5:$A$504,0)),"미매핑"))</f>
        <v/>
      </c>
      <c r="X54" s="9">
        <f>IF($A54="","",$F54&amp;"")</f>
        <v/>
      </c>
    </row>
    <row r="55">
      <c r="A55" s="75" t="n">
        <v>2025</v>
      </c>
      <c r="B55" s="75" t="n">
        <v>1</v>
      </c>
      <c r="C55" s="75" t="inlineStr">
        <is>
          <t>5100000051</t>
        </is>
      </c>
      <c r="D55" s="78" t="n">
        <v>45665</v>
      </c>
      <c r="E55" s="75" t="inlineStr">
        <is>
          <t>KR</t>
        </is>
      </c>
      <c r="F55" s="75" t="n">
        <v>62102000</v>
      </c>
      <c r="G55" s="75" t="n">
        <v>1601</v>
      </c>
      <c r="H55" s="76" t="n">
        <v>287000</v>
      </c>
      <c r="I55" s="75" t="inlineStr">
        <is>
          <t>1월 해외출장 - M항공</t>
        </is>
      </c>
      <c r="J55" s="75" t="inlineStr">
        <is>
          <t>V10001</t>
        </is>
      </c>
      <c r="K55" s="75" t="inlineStr">
        <is>
          <t>M항공</t>
        </is>
      </c>
      <c r="M55" s="9">
        <f>IF($A55="","",VALUE($A55&amp;"")*12+VALUE($B55&amp;""))</f>
        <v/>
      </c>
      <c r="N55" s="39">
        <f>IF($A55="","",IFERROR(INDEX(부서매핑!$C$5:$C$504,MATCH($G55&amp;"",부서매핑!$A$5:$A$504,0)),"미매핑"))</f>
        <v/>
      </c>
      <c r="O55" s="9">
        <f>IF($A55="","",N55&amp;"|"&amp;$F55)</f>
        <v/>
      </c>
      <c r="P55" s="77">
        <f>IF($A55="",0,$H55*설정!$C$23)</f>
        <v/>
      </c>
      <c r="Q55" s="39">
        <f>IF($A55="","",IF(O55&lt;&gt;원인분석!$C$9,"",IF(AND(M55&gt;=원인분석!$C$10,M55&lt;=원인분석!$C$11),"당기",IF(AND(M55&gt;=원인분석!$C$12,M55&lt;=원인분석!$C$13),"비교",""))))</f>
        <v/>
      </c>
      <c r="R55" s="9">
        <f>IF(Q55="","",$K55&amp;"")</f>
        <v/>
      </c>
      <c r="S55" s="9">
        <f>IF(Q55="","",IF(MATCH(R55,$R$5:$R$100000,0)=ROW()-4,ROW(),""))</f>
        <v/>
      </c>
      <c r="T55" s="9">
        <f>IF(Q55="당기",ABS(P55)+ROW()/1000000000,"")</f>
        <v/>
      </c>
      <c r="U55" s="9">
        <f>IF(Q55="비교",ABS(P55)+ROW()/1000000000,"")</f>
        <v/>
      </c>
      <c r="V55" s="39">
        <f>IF($A55="","",IF(COUNTIF(변동분석!$E$7:$E$506,O55)&gt;0,"Y","N"))</f>
        <v/>
      </c>
      <c r="W55" s="39">
        <f>IF($A55="","",IFERROR(INDEX(계정매핑!$D$5:$D$504,MATCH($F55&amp;"",계정매핑!$A$5:$A$504,0)),"미매핑"))</f>
        <v/>
      </c>
      <c r="X55" s="9">
        <f>IF($A55="","",$F55&amp;"")</f>
        <v/>
      </c>
    </row>
    <row r="56">
      <c r="A56" s="75" t="n">
        <v>2025</v>
      </c>
      <c r="B56" s="75" t="n">
        <v>1</v>
      </c>
      <c r="C56" s="75" t="inlineStr">
        <is>
          <t>5100000052</t>
        </is>
      </c>
      <c r="D56" s="78" t="n">
        <v>45665</v>
      </c>
      <c r="E56" s="75" t="inlineStr">
        <is>
          <t>KR</t>
        </is>
      </c>
      <c r="F56" s="75" t="n">
        <v>62301000</v>
      </c>
      <c r="G56" s="75" t="n">
        <v>1401</v>
      </c>
      <c r="H56" s="76" t="n">
        <v>74000</v>
      </c>
      <c r="I56" s="75" t="inlineStr">
        <is>
          <t>1월 소모품 구입 - Q오피스</t>
        </is>
      </c>
      <c r="J56" s="75" t="inlineStr">
        <is>
          <t>V10003</t>
        </is>
      </c>
      <c r="K56" s="75" t="inlineStr">
        <is>
          <t>Q오피스</t>
        </is>
      </c>
      <c r="M56" s="9">
        <f>IF($A56="","",VALUE($A56&amp;"")*12+VALUE($B56&amp;""))</f>
        <v/>
      </c>
      <c r="N56" s="39">
        <f>IF($A56="","",IFERROR(INDEX(부서매핑!$C$5:$C$504,MATCH($G56&amp;"",부서매핑!$A$5:$A$504,0)),"미매핑"))</f>
        <v/>
      </c>
      <c r="O56" s="9">
        <f>IF($A56="","",N56&amp;"|"&amp;$F56)</f>
        <v/>
      </c>
      <c r="P56" s="77">
        <f>IF($A56="",0,$H56*설정!$C$23)</f>
        <v/>
      </c>
      <c r="Q56" s="39">
        <f>IF($A56="","",IF(O56&lt;&gt;원인분석!$C$9,"",IF(AND(M56&gt;=원인분석!$C$10,M56&lt;=원인분석!$C$11),"당기",IF(AND(M56&gt;=원인분석!$C$12,M56&lt;=원인분석!$C$13),"비교",""))))</f>
        <v/>
      </c>
      <c r="R56" s="9">
        <f>IF(Q56="","",$K56&amp;"")</f>
        <v/>
      </c>
      <c r="S56" s="9">
        <f>IF(Q56="","",IF(MATCH(R56,$R$5:$R$100000,0)=ROW()-4,ROW(),""))</f>
        <v/>
      </c>
      <c r="T56" s="9">
        <f>IF(Q56="당기",ABS(P56)+ROW()/1000000000,"")</f>
        <v/>
      </c>
      <c r="U56" s="9">
        <f>IF(Q56="비교",ABS(P56)+ROW()/1000000000,"")</f>
        <v/>
      </c>
      <c r="V56" s="39">
        <f>IF($A56="","",IF(COUNTIF(변동분석!$E$7:$E$506,O56)&gt;0,"Y","N"))</f>
        <v/>
      </c>
      <c r="W56" s="39">
        <f>IF($A56="","",IFERROR(INDEX(계정매핑!$D$5:$D$504,MATCH($F56&amp;"",계정매핑!$A$5:$A$504,0)),"미매핑"))</f>
        <v/>
      </c>
      <c r="X56" s="9">
        <f>IF($A56="","",$F56&amp;"")</f>
        <v/>
      </c>
    </row>
    <row r="57">
      <c r="A57" s="75" t="n">
        <v>2025</v>
      </c>
      <c r="B57" s="75" t="n">
        <v>1</v>
      </c>
      <c r="C57" s="75" t="inlineStr">
        <is>
          <t>5100000053</t>
        </is>
      </c>
      <c r="D57" s="78" t="n">
        <v>45665</v>
      </c>
      <c r="E57" s="75" t="inlineStr">
        <is>
          <t>KR</t>
        </is>
      </c>
      <c r="F57" s="75" t="n">
        <v>62301000</v>
      </c>
      <c r="G57" s="75" t="n">
        <v>1601</v>
      </c>
      <c r="H57" s="76" t="n">
        <v>341000</v>
      </c>
      <c r="I57" s="75" t="inlineStr">
        <is>
          <t>1월 소모품 구입 - R문구</t>
        </is>
      </c>
      <c r="J57" s="75" t="inlineStr">
        <is>
          <t>V10018</t>
        </is>
      </c>
      <c r="K57" s="75" t="inlineStr">
        <is>
          <t>R문구</t>
        </is>
      </c>
      <c r="M57" s="9">
        <f>IF($A57="","",VALUE($A57&amp;"")*12+VALUE($B57&amp;""))</f>
        <v/>
      </c>
      <c r="N57" s="39">
        <f>IF($A57="","",IFERROR(INDEX(부서매핑!$C$5:$C$504,MATCH($G57&amp;"",부서매핑!$A$5:$A$504,0)),"미매핑"))</f>
        <v/>
      </c>
      <c r="O57" s="9">
        <f>IF($A57="","",N57&amp;"|"&amp;$F57)</f>
        <v/>
      </c>
      <c r="P57" s="77">
        <f>IF($A57="",0,$H57*설정!$C$23)</f>
        <v/>
      </c>
      <c r="Q57" s="39">
        <f>IF($A57="","",IF(O57&lt;&gt;원인분석!$C$9,"",IF(AND(M57&gt;=원인분석!$C$10,M57&lt;=원인분석!$C$11),"당기",IF(AND(M57&gt;=원인분석!$C$12,M57&lt;=원인분석!$C$13),"비교",""))))</f>
        <v/>
      </c>
      <c r="R57" s="9">
        <f>IF(Q57="","",$K57&amp;"")</f>
        <v/>
      </c>
      <c r="S57" s="9">
        <f>IF(Q57="","",IF(MATCH(R57,$R$5:$R$100000,0)=ROW()-4,ROW(),""))</f>
        <v/>
      </c>
      <c r="T57" s="9">
        <f>IF(Q57="당기",ABS(P57)+ROW()/1000000000,"")</f>
        <v/>
      </c>
      <c r="U57" s="9">
        <f>IF(Q57="비교",ABS(P57)+ROW()/1000000000,"")</f>
        <v/>
      </c>
      <c r="V57" s="39">
        <f>IF($A57="","",IF(COUNTIF(변동분석!$E$7:$E$506,O57)&gt;0,"Y","N"))</f>
        <v/>
      </c>
      <c r="W57" s="39">
        <f>IF($A57="","",IFERROR(INDEX(계정매핑!$D$5:$D$504,MATCH($F57&amp;"",계정매핑!$A$5:$A$504,0)),"미매핑"))</f>
        <v/>
      </c>
      <c r="X57" s="9">
        <f>IF($A57="","",$F57&amp;"")</f>
        <v/>
      </c>
    </row>
    <row r="58">
      <c r="A58" s="75" t="n">
        <v>2025</v>
      </c>
      <c r="B58" s="75" t="n">
        <v>1</v>
      </c>
      <c r="C58" s="75" t="inlineStr">
        <is>
          <t>5100000054</t>
        </is>
      </c>
      <c r="D58" s="78" t="n">
        <v>45665</v>
      </c>
      <c r="E58" s="75" t="inlineStr">
        <is>
          <t>KR</t>
        </is>
      </c>
      <c r="F58" s="75" t="n">
        <v>62401000</v>
      </c>
      <c r="G58" s="75" t="n">
        <v>1501</v>
      </c>
      <c r="H58" s="76" t="n">
        <v>2049000</v>
      </c>
      <c r="I58" s="75" t="inlineStr">
        <is>
          <t>1월 인쇄물 제작 - G인쇄</t>
        </is>
      </c>
      <c r="J58" s="75" t="inlineStr">
        <is>
          <t>V10004</t>
        </is>
      </c>
      <c r="K58" s="75" t="inlineStr">
        <is>
          <t>G인쇄</t>
        </is>
      </c>
      <c r="M58" s="9">
        <f>IF($A58="","",VALUE($A58&amp;"")*12+VALUE($B58&amp;""))</f>
        <v/>
      </c>
      <c r="N58" s="39">
        <f>IF($A58="","",IFERROR(INDEX(부서매핑!$C$5:$C$504,MATCH($G58&amp;"",부서매핑!$A$5:$A$504,0)),"미매핑"))</f>
        <v/>
      </c>
      <c r="O58" s="9">
        <f>IF($A58="","",N58&amp;"|"&amp;$F58)</f>
        <v/>
      </c>
      <c r="P58" s="77">
        <f>IF($A58="",0,$H58*설정!$C$23)</f>
        <v/>
      </c>
      <c r="Q58" s="39">
        <f>IF($A58="","",IF(O58&lt;&gt;원인분석!$C$9,"",IF(AND(M58&gt;=원인분석!$C$10,M58&lt;=원인분석!$C$11),"당기",IF(AND(M58&gt;=원인분석!$C$12,M58&lt;=원인분석!$C$13),"비교",""))))</f>
        <v/>
      </c>
      <c r="R58" s="9">
        <f>IF(Q58="","",$K58&amp;"")</f>
        <v/>
      </c>
      <c r="S58" s="9">
        <f>IF(Q58="","",IF(MATCH(R58,$R$5:$R$100000,0)=ROW()-4,ROW(),""))</f>
        <v/>
      </c>
      <c r="T58" s="9">
        <f>IF(Q58="당기",ABS(P58)+ROW()/1000000000,"")</f>
        <v/>
      </c>
      <c r="U58" s="9">
        <f>IF(Q58="비교",ABS(P58)+ROW()/1000000000,"")</f>
        <v/>
      </c>
      <c r="V58" s="39">
        <f>IF($A58="","",IF(COUNTIF(변동분석!$E$7:$E$506,O58)&gt;0,"Y","N"))</f>
        <v/>
      </c>
      <c r="W58" s="39">
        <f>IF($A58="","",IFERROR(INDEX(계정매핑!$D$5:$D$504,MATCH($F58&amp;"",계정매핑!$A$5:$A$504,0)),"미매핑"))</f>
        <v/>
      </c>
      <c r="X58" s="9">
        <f>IF($A58="","",$F58&amp;"")</f>
        <v/>
      </c>
    </row>
    <row r="59">
      <c r="A59" s="75" t="n">
        <v>2025</v>
      </c>
      <c r="B59" s="75" t="n">
        <v>1</v>
      </c>
      <c r="C59" s="75" t="inlineStr">
        <is>
          <t>5100000055</t>
        </is>
      </c>
      <c r="D59" s="78" t="n">
        <v>45665</v>
      </c>
      <c r="E59" s="75" t="inlineStr">
        <is>
          <t>KR</t>
        </is>
      </c>
      <c r="F59" s="75" t="n">
        <v>62501000</v>
      </c>
      <c r="G59" s="75" t="n">
        <v>1601</v>
      </c>
      <c r="H59" s="76" t="n">
        <v>241000</v>
      </c>
      <c r="I59" s="75" t="inlineStr">
        <is>
          <t>1월 회의 다과 - (법인카드)</t>
        </is>
      </c>
      <c r="J59" s="75" t="inlineStr">
        <is>
          <t>V10008</t>
        </is>
      </c>
      <c r="K59" s="75" t="inlineStr">
        <is>
          <t>(법인카드)</t>
        </is>
      </c>
      <c r="M59" s="9">
        <f>IF($A59="","",VALUE($A59&amp;"")*12+VALUE($B59&amp;""))</f>
        <v/>
      </c>
      <c r="N59" s="39">
        <f>IF($A59="","",IFERROR(INDEX(부서매핑!$C$5:$C$504,MATCH($G59&amp;"",부서매핑!$A$5:$A$504,0)),"미매핑"))</f>
        <v/>
      </c>
      <c r="O59" s="9">
        <f>IF($A59="","",N59&amp;"|"&amp;$F59)</f>
        <v/>
      </c>
      <c r="P59" s="77">
        <f>IF($A59="",0,$H59*설정!$C$23)</f>
        <v/>
      </c>
      <c r="Q59" s="39">
        <f>IF($A59="","",IF(O59&lt;&gt;원인분석!$C$9,"",IF(AND(M59&gt;=원인분석!$C$10,M59&lt;=원인분석!$C$11),"당기",IF(AND(M59&gt;=원인분석!$C$12,M59&lt;=원인분석!$C$13),"비교",""))))</f>
        <v/>
      </c>
      <c r="R59" s="9">
        <f>IF(Q59="","",$K59&amp;"")</f>
        <v/>
      </c>
      <c r="S59" s="9">
        <f>IF(Q59="","",IF(MATCH(R59,$R$5:$R$100000,0)=ROW()-4,ROW(),""))</f>
        <v/>
      </c>
      <c r="T59" s="9">
        <f>IF(Q59="당기",ABS(P59)+ROW()/1000000000,"")</f>
        <v/>
      </c>
      <c r="U59" s="9">
        <f>IF(Q59="비교",ABS(P59)+ROW()/1000000000,"")</f>
        <v/>
      </c>
      <c r="V59" s="39">
        <f>IF($A59="","",IF(COUNTIF(변동분석!$E$7:$E$506,O59)&gt;0,"Y","N"))</f>
        <v/>
      </c>
      <c r="W59" s="39">
        <f>IF($A59="","",IFERROR(INDEX(계정매핑!$D$5:$D$504,MATCH($F59&amp;"",계정매핑!$A$5:$A$504,0)),"미매핑"))</f>
        <v/>
      </c>
      <c r="X59" s="9">
        <f>IF($A59="","",$F59&amp;"")</f>
        <v/>
      </c>
    </row>
    <row r="60">
      <c r="A60" s="75" t="n">
        <v>2025</v>
      </c>
      <c r="B60" s="75" t="n">
        <v>1</v>
      </c>
      <c r="C60" s="75" t="inlineStr">
        <is>
          <t>5100000056</t>
        </is>
      </c>
      <c r="D60" s="78" t="n">
        <v>45665</v>
      </c>
      <c r="E60" s="75" t="inlineStr">
        <is>
          <t>KR</t>
        </is>
      </c>
      <c r="F60" s="75" t="n">
        <v>62902000</v>
      </c>
      <c r="G60" s="75" t="n">
        <v>1101</v>
      </c>
      <c r="H60" s="76" t="n">
        <v>1191000</v>
      </c>
      <c r="I60" s="75" t="inlineStr">
        <is>
          <t>1월 업무 위탁 수수료 - J콜센터</t>
        </is>
      </c>
      <c r="J60" s="75" t="inlineStr">
        <is>
          <t>V10013</t>
        </is>
      </c>
      <c r="K60" s="75" t="inlineStr">
        <is>
          <t>J콜센터</t>
        </is>
      </c>
      <c r="M60" s="9">
        <f>IF($A60="","",VALUE($A60&amp;"")*12+VALUE($B60&amp;""))</f>
        <v/>
      </c>
      <c r="N60" s="39">
        <f>IF($A60="","",IFERROR(INDEX(부서매핑!$C$5:$C$504,MATCH($G60&amp;"",부서매핑!$A$5:$A$504,0)),"미매핑"))</f>
        <v/>
      </c>
      <c r="O60" s="9">
        <f>IF($A60="","",N60&amp;"|"&amp;$F60)</f>
        <v/>
      </c>
      <c r="P60" s="77">
        <f>IF($A60="",0,$H60*설정!$C$23)</f>
        <v/>
      </c>
      <c r="Q60" s="39">
        <f>IF($A60="","",IF(O60&lt;&gt;원인분석!$C$9,"",IF(AND(M60&gt;=원인분석!$C$10,M60&lt;=원인분석!$C$11),"당기",IF(AND(M60&gt;=원인분석!$C$12,M60&lt;=원인분석!$C$13),"비교",""))))</f>
        <v/>
      </c>
      <c r="R60" s="9">
        <f>IF(Q60="","",$K60&amp;"")</f>
        <v/>
      </c>
      <c r="S60" s="9">
        <f>IF(Q60="","",IF(MATCH(R60,$R$5:$R$100000,0)=ROW()-4,ROW(),""))</f>
        <v/>
      </c>
      <c r="T60" s="9">
        <f>IF(Q60="당기",ABS(P60)+ROW()/1000000000,"")</f>
        <v/>
      </c>
      <c r="U60" s="9">
        <f>IF(Q60="비교",ABS(P60)+ROW()/1000000000,"")</f>
        <v/>
      </c>
      <c r="V60" s="39">
        <f>IF($A60="","",IF(COUNTIF(변동분석!$E$7:$E$506,O60)&gt;0,"Y","N"))</f>
        <v/>
      </c>
      <c r="W60" s="39">
        <f>IF($A60="","",IFERROR(INDEX(계정매핑!$D$5:$D$504,MATCH($F60&amp;"",계정매핑!$A$5:$A$504,0)),"미매핑"))</f>
        <v/>
      </c>
      <c r="X60" s="9">
        <f>IF($A60="","",$F60&amp;"")</f>
        <v/>
      </c>
    </row>
    <row r="61">
      <c r="A61" s="75" t="n">
        <v>2025</v>
      </c>
      <c r="B61" s="75" t="n">
        <v>1</v>
      </c>
      <c r="C61" s="75" t="inlineStr">
        <is>
          <t>5100000057</t>
        </is>
      </c>
      <c r="D61" s="78" t="n">
        <v>45665</v>
      </c>
      <c r="E61" s="75" t="inlineStr">
        <is>
          <t>KR</t>
        </is>
      </c>
      <c r="F61" s="75" t="n">
        <v>62902000</v>
      </c>
      <c r="G61" s="75" t="n">
        <v>1101</v>
      </c>
      <c r="H61" s="76" t="n">
        <v>1915000</v>
      </c>
      <c r="I61" s="75" t="inlineStr">
        <is>
          <t>1월 업무 위탁 수수료 - X서비스</t>
        </is>
      </c>
      <c r="J61" s="75" t="inlineStr">
        <is>
          <t>V10016</t>
        </is>
      </c>
      <c r="K61" s="75" t="inlineStr">
        <is>
          <t>X서비스</t>
        </is>
      </c>
      <c r="M61" s="9">
        <f>IF($A61="","",VALUE($A61&amp;"")*12+VALUE($B61&amp;""))</f>
        <v/>
      </c>
      <c r="N61" s="39">
        <f>IF($A61="","",IFERROR(INDEX(부서매핑!$C$5:$C$504,MATCH($G61&amp;"",부서매핑!$A$5:$A$504,0)),"미매핑"))</f>
        <v/>
      </c>
      <c r="O61" s="9">
        <f>IF($A61="","",N61&amp;"|"&amp;$F61)</f>
        <v/>
      </c>
      <c r="P61" s="77">
        <f>IF($A61="",0,$H61*설정!$C$23)</f>
        <v/>
      </c>
      <c r="Q61" s="39">
        <f>IF($A61="","",IF(O61&lt;&gt;원인분석!$C$9,"",IF(AND(M61&gt;=원인분석!$C$10,M61&lt;=원인분석!$C$11),"당기",IF(AND(M61&gt;=원인분석!$C$12,M61&lt;=원인분석!$C$13),"비교",""))))</f>
        <v/>
      </c>
      <c r="R61" s="9">
        <f>IF(Q61="","",$K61&amp;"")</f>
        <v/>
      </c>
      <c r="S61" s="9">
        <f>IF(Q61="","",IF(MATCH(R61,$R$5:$R$100000,0)=ROW()-4,ROW(),""))</f>
        <v/>
      </c>
      <c r="T61" s="9">
        <f>IF(Q61="당기",ABS(P61)+ROW()/1000000000,"")</f>
        <v/>
      </c>
      <c r="U61" s="9">
        <f>IF(Q61="비교",ABS(P61)+ROW()/1000000000,"")</f>
        <v/>
      </c>
      <c r="V61" s="39">
        <f>IF($A61="","",IF(COUNTIF(변동분석!$E$7:$E$506,O61)&gt;0,"Y","N"))</f>
        <v/>
      </c>
      <c r="W61" s="39">
        <f>IF($A61="","",IFERROR(INDEX(계정매핑!$D$5:$D$504,MATCH($F61&amp;"",계정매핑!$A$5:$A$504,0)),"미매핑"))</f>
        <v/>
      </c>
      <c r="X61" s="9">
        <f>IF($A61="","",$F61&amp;"")</f>
        <v/>
      </c>
    </row>
    <row r="62">
      <c r="A62" s="75" t="n">
        <v>2025</v>
      </c>
      <c r="B62" s="75" t="n">
        <v>1</v>
      </c>
      <c r="C62" s="75" t="inlineStr">
        <is>
          <t>5100000058</t>
        </is>
      </c>
      <c r="D62" s="78" t="n">
        <v>45666</v>
      </c>
      <c r="E62" s="75" t="inlineStr">
        <is>
          <t>KR</t>
        </is>
      </c>
      <c r="F62" s="75" t="n">
        <v>62101000</v>
      </c>
      <c r="G62" s="75" t="n">
        <v>1401</v>
      </c>
      <c r="H62" s="76" t="n">
        <v>378000</v>
      </c>
      <c r="I62" s="75" t="inlineStr">
        <is>
          <t>1월 국내출장 - L여행사</t>
        </is>
      </c>
      <c r="J62" s="75" t="inlineStr">
        <is>
          <t>V10014</t>
        </is>
      </c>
      <c r="K62" s="75" t="inlineStr">
        <is>
          <t>L여행사</t>
        </is>
      </c>
      <c r="M62" s="9">
        <f>IF($A62="","",VALUE($A62&amp;"")*12+VALUE($B62&amp;""))</f>
        <v/>
      </c>
      <c r="N62" s="39">
        <f>IF($A62="","",IFERROR(INDEX(부서매핑!$C$5:$C$504,MATCH($G62&amp;"",부서매핑!$A$5:$A$504,0)),"미매핑"))</f>
        <v/>
      </c>
      <c r="O62" s="9">
        <f>IF($A62="","",N62&amp;"|"&amp;$F62)</f>
        <v/>
      </c>
      <c r="P62" s="77">
        <f>IF($A62="",0,$H62*설정!$C$23)</f>
        <v/>
      </c>
      <c r="Q62" s="39">
        <f>IF($A62="","",IF(O62&lt;&gt;원인분석!$C$9,"",IF(AND(M62&gt;=원인분석!$C$10,M62&lt;=원인분석!$C$11),"당기",IF(AND(M62&gt;=원인분석!$C$12,M62&lt;=원인분석!$C$13),"비교",""))))</f>
        <v/>
      </c>
      <c r="R62" s="9">
        <f>IF(Q62="","",$K62&amp;"")</f>
        <v/>
      </c>
      <c r="S62" s="9">
        <f>IF(Q62="","",IF(MATCH(R62,$R$5:$R$100000,0)=ROW()-4,ROW(),""))</f>
        <v/>
      </c>
      <c r="T62" s="9">
        <f>IF(Q62="당기",ABS(P62)+ROW()/1000000000,"")</f>
        <v/>
      </c>
      <c r="U62" s="9">
        <f>IF(Q62="비교",ABS(P62)+ROW()/1000000000,"")</f>
        <v/>
      </c>
      <c r="V62" s="39">
        <f>IF($A62="","",IF(COUNTIF(변동분석!$E$7:$E$506,O62)&gt;0,"Y","N"))</f>
        <v/>
      </c>
      <c r="W62" s="39">
        <f>IF($A62="","",IFERROR(INDEX(계정매핑!$D$5:$D$504,MATCH($F62&amp;"",계정매핑!$A$5:$A$504,0)),"미매핑"))</f>
        <v/>
      </c>
      <c r="X62" s="9">
        <f>IF($A62="","",$F62&amp;"")</f>
        <v/>
      </c>
    </row>
    <row r="63">
      <c r="A63" s="75" t="n">
        <v>2025</v>
      </c>
      <c r="B63" s="75" t="n">
        <v>1</v>
      </c>
      <c r="C63" s="75" t="inlineStr">
        <is>
          <t>5100000059</t>
        </is>
      </c>
      <c r="D63" s="78" t="n">
        <v>45666</v>
      </c>
      <c r="E63" s="75" t="inlineStr">
        <is>
          <t>KR</t>
        </is>
      </c>
      <c r="F63" s="75" t="n">
        <v>62101000</v>
      </c>
      <c r="G63" s="75" t="n">
        <v>1601</v>
      </c>
      <c r="H63" s="76" t="n">
        <v>746000</v>
      </c>
      <c r="I63" s="75" t="inlineStr">
        <is>
          <t>1월 국내출장 - L여행사</t>
        </is>
      </c>
      <c r="J63" s="75" t="inlineStr">
        <is>
          <t>V10014</t>
        </is>
      </c>
      <c r="K63" s="75" t="inlineStr">
        <is>
          <t>L여행사</t>
        </is>
      </c>
      <c r="M63" s="9">
        <f>IF($A63="","",VALUE($A63&amp;"")*12+VALUE($B63&amp;""))</f>
        <v/>
      </c>
      <c r="N63" s="39">
        <f>IF($A63="","",IFERROR(INDEX(부서매핑!$C$5:$C$504,MATCH($G63&amp;"",부서매핑!$A$5:$A$504,0)),"미매핑"))</f>
        <v/>
      </c>
      <c r="O63" s="9">
        <f>IF($A63="","",N63&amp;"|"&amp;$F63)</f>
        <v/>
      </c>
      <c r="P63" s="77">
        <f>IF($A63="",0,$H63*설정!$C$23)</f>
        <v/>
      </c>
      <c r="Q63" s="39">
        <f>IF($A63="","",IF(O63&lt;&gt;원인분석!$C$9,"",IF(AND(M63&gt;=원인분석!$C$10,M63&lt;=원인분석!$C$11),"당기",IF(AND(M63&gt;=원인분석!$C$12,M63&lt;=원인분석!$C$13),"비교",""))))</f>
        <v/>
      </c>
      <c r="R63" s="9">
        <f>IF(Q63="","",$K63&amp;"")</f>
        <v/>
      </c>
      <c r="S63" s="9">
        <f>IF(Q63="","",IF(MATCH(R63,$R$5:$R$100000,0)=ROW()-4,ROW(),""))</f>
        <v/>
      </c>
      <c r="T63" s="9">
        <f>IF(Q63="당기",ABS(P63)+ROW()/1000000000,"")</f>
        <v/>
      </c>
      <c r="U63" s="9">
        <f>IF(Q63="비교",ABS(P63)+ROW()/1000000000,"")</f>
        <v/>
      </c>
      <c r="V63" s="39">
        <f>IF($A63="","",IF(COUNTIF(변동분석!$E$7:$E$506,O63)&gt;0,"Y","N"))</f>
        <v/>
      </c>
      <c r="W63" s="39">
        <f>IF($A63="","",IFERROR(INDEX(계정매핑!$D$5:$D$504,MATCH($F63&amp;"",계정매핑!$A$5:$A$504,0)),"미매핑"))</f>
        <v/>
      </c>
      <c r="X63" s="9">
        <f>IF($A63="","",$F63&amp;"")</f>
        <v/>
      </c>
    </row>
    <row r="64">
      <c r="A64" s="75" t="n">
        <v>2025</v>
      </c>
      <c r="B64" s="75" t="n">
        <v>1</v>
      </c>
      <c r="C64" s="75" t="inlineStr">
        <is>
          <t>5100000060</t>
        </is>
      </c>
      <c r="D64" s="78" t="n">
        <v>45666</v>
      </c>
      <c r="E64" s="75" t="inlineStr">
        <is>
          <t>KR</t>
        </is>
      </c>
      <c r="F64" s="75" t="n">
        <v>62102000</v>
      </c>
      <c r="G64" s="75" t="n">
        <v>1601</v>
      </c>
      <c r="H64" s="76" t="n">
        <v>231000</v>
      </c>
      <c r="I64" s="75" t="inlineStr">
        <is>
          <t>1월 해외출장 - N호텔</t>
        </is>
      </c>
      <c r="J64" s="75" t="inlineStr">
        <is>
          <t>V10007</t>
        </is>
      </c>
      <c r="K64" s="75" t="inlineStr">
        <is>
          <t>N호텔</t>
        </is>
      </c>
      <c r="M64" s="9">
        <f>IF($A64="","",VALUE($A64&amp;"")*12+VALUE($B64&amp;""))</f>
        <v/>
      </c>
      <c r="N64" s="39">
        <f>IF($A64="","",IFERROR(INDEX(부서매핑!$C$5:$C$504,MATCH($G64&amp;"",부서매핑!$A$5:$A$504,0)),"미매핑"))</f>
        <v/>
      </c>
      <c r="O64" s="9">
        <f>IF($A64="","",N64&amp;"|"&amp;$F64)</f>
        <v/>
      </c>
      <c r="P64" s="77">
        <f>IF($A64="",0,$H64*설정!$C$23)</f>
        <v/>
      </c>
      <c r="Q64" s="39">
        <f>IF($A64="","",IF(O64&lt;&gt;원인분석!$C$9,"",IF(AND(M64&gt;=원인분석!$C$10,M64&lt;=원인분석!$C$11),"당기",IF(AND(M64&gt;=원인분석!$C$12,M64&lt;=원인분석!$C$13),"비교",""))))</f>
        <v/>
      </c>
      <c r="R64" s="9">
        <f>IF(Q64="","",$K64&amp;"")</f>
        <v/>
      </c>
      <c r="S64" s="9">
        <f>IF(Q64="","",IF(MATCH(R64,$R$5:$R$100000,0)=ROW()-4,ROW(),""))</f>
        <v/>
      </c>
      <c r="T64" s="9">
        <f>IF(Q64="당기",ABS(P64)+ROW()/1000000000,"")</f>
        <v/>
      </c>
      <c r="U64" s="9">
        <f>IF(Q64="비교",ABS(P64)+ROW()/1000000000,"")</f>
        <v/>
      </c>
      <c r="V64" s="39">
        <f>IF($A64="","",IF(COUNTIF(변동분석!$E$7:$E$506,O64)&gt;0,"Y","N"))</f>
        <v/>
      </c>
      <c r="W64" s="39">
        <f>IF($A64="","",IFERROR(INDEX(계정매핑!$D$5:$D$504,MATCH($F64&amp;"",계정매핑!$A$5:$A$504,0)),"미매핑"))</f>
        <v/>
      </c>
      <c r="X64" s="9">
        <f>IF($A64="","",$F64&amp;"")</f>
        <v/>
      </c>
    </row>
    <row r="65">
      <c r="A65" s="75" t="n">
        <v>2025</v>
      </c>
      <c r="B65" s="75" t="n">
        <v>1</v>
      </c>
      <c r="C65" s="75" t="inlineStr">
        <is>
          <t>5100000061</t>
        </is>
      </c>
      <c r="D65" s="78" t="n">
        <v>45666</v>
      </c>
      <c r="E65" s="75" t="inlineStr">
        <is>
          <t>KR</t>
        </is>
      </c>
      <c r="F65" s="75" t="n">
        <v>62301000</v>
      </c>
      <c r="G65" s="75" t="n">
        <v>1301</v>
      </c>
      <c r="H65" s="76" t="n">
        <v>262000</v>
      </c>
      <c r="I65" s="75" t="inlineStr">
        <is>
          <t>1월 소모품 구입 - Q오피스</t>
        </is>
      </c>
      <c r="J65" s="75" t="inlineStr">
        <is>
          <t>V10003</t>
        </is>
      </c>
      <c r="K65" s="75" t="inlineStr">
        <is>
          <t>Q오피스</t>
        </is>
      </c>
      <c r="M65" s="9">
        <f>IF($A65="","",VALUE($A65&amp;"")*12+VALUE($B65&amp;""))</f>
        <v/>
      </c>
      <c r="N65" s="39">
        <f>IF($A65="","",IFERROR(INDEX(부서매핑!$C$5:$C$504,MATCH($G65&amp;"",부서매핑!$A$5:$A$504,0)),"미매핑"))</f>
        <v/>
      </c>
      <c r="O65" s="9">
        <f>IF($A65="","",N65&amp;"|"&amp;$F65)</f>
        <v/>
      </c>
      <c r="P65" s="77">
        <f>IF($A65="",0,$H65*설정!$C$23)</f>
        <v/>
      </c>
      <c r="Q65" s="39">
        <f>IF($A65="","",IF(O65&lt;&gt;원인분석!$C$9,"",IF(AND(M65&gt;=원인분석!$C$10,M65&lt;=원인분석!$C$11),"당기",IF(AND(M65&gt;=원인분석!$C$12,M65&lt;=원인분석!$C$13),"비교",""))))</f>
        <v/>
      </c>
      <c r="R65" s="9">
        <f>IF(Q65="","",$K65&amp;"")</f>
        <v/>
      </c>
      <c r="S65" s="9">
        <f>IF(Q65="","",IF(MATCH(R65,$R$5:$R$100000,0)=ROW()-4,ROW(),""))</f>
        <v/>
      </c>
      <c r="T65" s="9">
        <f>IF(Q65="당기",ABS(P65)+ROW()/1000000000,"")</f>
        <v/>
      </c>
      <c r="U65" s="9">
        <f>IF(Q65="비교",ABS(P65)+ROW()/1000000000,"")</f>
        <v/>
      </c>
      <c r="V65" s="39">
        <f>IF($A65="","",IF(COUNTIF(변동분석!$E$7:$E$506,O65)&gt;0,"Y","N"))</f>
        <v/>
      </c>
      <c r="W65" s="39">
        <f>IF($A65="","",IFERROR(INDEX(계정매핑!$D$5:$D$504,MATCH($F65&amp;"",계정매핑!$A$5:$A$504,0)),"미매핑"))</f>
        <v/>
      </c>
      <c r="X65" s="9">
        <f>IF($A65="","",$F65&amp;"")</f>
        <v/>
      </c>
    </row>
    <row r="66">
      <c r="A66" s="75" t="n">
        <v>2025</v>
      </c>
      <c r="B66" s="75" t="n">
        <v>1</v>
      </c>
      <c r="C66" s="75" t="inlineStr">
        <is>
          <t>5100000062</t>
        </is>
      </c>
      <c r="D66" s="78" t="n">
        <v>45666</v>
      </c>
      <c r="E66" s="75" t="inlineStr">
        <is>
          <t>KR</t>
        </is>
      </c>
      <c r="F66" s="75" t="n">
        <v>62301000</v>
      </c>
      <c r="G66" s="75" t="n">
        <v>1401</v>
      </c>
      <c r="H66" s="76" t="n">
        <v>93000</v>
      </c>
      <c r="I66" s="75" t="inlineStr">
        <is>
          <t>1월 소모품 구입 - R문구</t>
        </is>
      </c>
      <c r="J66" s="75" t="inlineStr">
        <is>
          <t>V10018</t>
        </is>
      </c>
      <c r="K66" s="75" t="inlineStr">
        <is>
          <t>R문구</t>
        </is>
      </c>
      <c r="M66" s="9">
        <f>IF($A66="","",VALUE($A66&amp;"")*12+VALUE($B66&amp;""))</f>
        <v/>
      </c>
      <c r="N66" s="39">
        <f>IF($A66="","",IFERROR(INDEX(부서매핑!$C$5:$C$504,MATCH($G66&amp;"",부서매핑!$A$5:$A$504,0)),"미매핑"))</f>
        <v/>
      </c>
      <c r="O66" s="9">
        <f>IF($A66="","",N66&amp;"|"&amp;$F66)</f>
        <v/>
      </c>
      <c r="P66" s="77">
        <f>IF($A66="",0,$H66*설정!$C$23)</f>
        <v/>
      </c>
      <c r="Q66" s="39">
        <f>IF($A66="","",IF(O66&lt;&gt;원인분석!$C$9,"",IF(AND(M66&gt;=원인분석!$C$10,M66&lt;=원인분석!$C$11),"당기",IF(AND(M66&gt;=원인분석!$C$12,M66&lt;=원인분석!$C$13),"비교",""))))</f>
        <v/>
      </c>
      <c r="R66" s="9">
        <f>IF(Q66="","",$K66&amp;"")</f>
        <v/>
      </c>
      <c r="S66" s="9">
        <f>IF(Q66="","",IF(MATCH(R66,$R$5:$R$100000,0)=ROW()-4,ROW(),""))</f>
        <v/>
      </c>
      <c r="T66" s="9">
        <f>IF(Q66="당기",ABS(P66)+ROW()/1000000000,"")</f>
        <v/>
      </c>
      <c r="U66" s="9">
        <f>IF(Q66="비교",ABS(P66)+ROW()/1000000000,"")</f>
        <v/>
      </c>
      <c r="V66" s="39">
        <f>IF($A66="","",IF(COUNTIF(변동분석!$E$7:$E$506,O66)&gt;0,"Y","N"))</f>
        <v/>
      </c>
      <c r="W66" s="39">
        <f>IF($A66="","",IFERROR(INDEX(계정매핑!$D$5:$D$504,MATCH($F66&amp;"",계정매핑!$A$5:$A$504,0)),"미매핑"))</f>
        <v/>
      </c>
      <c r="X66" s="9">
        <f>IF($A66="","",$F66&amp;"")</f>
        <v/>
      </c>
    </row>
    <row r="67">
      <c r="A67" s="75" t="n">
        <v>2025</v>
      </c>
      <c r="B67" s="75" t="n">
        <v>1</v>
      </c>
      <c r="C67" s="75" t="inlineStr">
        <is>
          <t>5100000063</t>
        </is>
      </c>
      <c r="D67" s="78" t="n">
        <v>45666</v>
      </c>
      <c r="E67" s="75" t="inlineStr">
        <is>
          <t>KR</t>
        </is>
      </c>
      <c r="F67" s="75" t="n">
        <v>62301000</v>
      </c>
      <c r="G67" s="75" t="n">
        <v>1801</v>
      </c>
      <c r="H67" s="76" t="n">
        <v>584000</v>
      </c>
      <c r="I67" s="75" t="inlineStr">
        <is>
          <t>1월 소모품 구입 - R문구</t>
        </is>
      </c>
      <c r="J67" s="75" t="inlineStr">
        <is>
          <t>V10018</t>
        </is>
      </c>
      <c r="K67" s="75" t="inlineStr">
        <is>
          <t>R문구</t>
        </is>
      </c>
      <c r="M67" s="9">
        <f>IF($A67="","",VALUE($A67&amp;"")*12+VALUE($B67&amp;""))</f>
        <v/>
      </c>
      <c r="N67" s="39">
        <f>IF($A67="","",IFERROR(INDEX(부서매핑!$C$5:$C$504,MATCH($G67&amp;"",부서매핑!$A$5:$A$504,0)),"미매핑"))</f>
        <v/>
      </c>
      <c r="O67" s="9">
        <f>IF($A67="","",N67&amp;"|"&amp;$F67)</f>
        <v/>
      </c>
      <c r="P67" s="77">
        <f>IF($A67="",0,$H67*설정!$C$23)</f>
        <v/>
      </c>
      <c r="Q67" s="39">
        <f>IF($A67="","",IF(O67&lt;&gt;원인분석!$C$9,"",IF(AND(M67&gt;=원인분석!$C$10,M67&lt;=원인분석!$C$11),"당기",IF(AND(M67&gt;=원인분석!$C$12,M67&lt;=원인분석!$C$13),"비교",""))))</f>
        <v/>
      </c>
      <c r="R67" s="9">
        <f>IF(Q67="","",$K67&amp;"")</f>
        <v/>
      </c>
      <c r="S67" s="9">
        <f>IF(Q67="","",IF(MATCH(R67,$R$5:$R$100000,0)=ROW()-4,ROW(),""))</f>
        <v/>
      </c>
      <c r="T67" s="9">
        <f>IF(Q67="당기",ABS(P67)+ROW()/1000000000,"")</f>
        <v/>
      </c>
      <c r="U67" s="9">
        <f>IF(Q67="비교",ABS(P67)+ROW()/1000000000,"")</f>
        <v/>
      </c>
      <c r="V67" s="39">
        <f>IF($A67="","",IF(COUNTIF(변동분석!$E$7:$E$506,O67)&gt;0,"Y","N"))</f>
        <v/>
      </c>
      <c r="W67" s="39">
        <f>IF($A67="","",IFERROR(INDEX(계정매핑!$D$5:$D$504,MATCH($F67&amp;"",계정매핑!$A$5:$A$504,0)),"미매핑"))</f>
        <v/>
      </c>
      <c r="X67" s="9">
        <f>IF($A67="","",$F67&amp;"")</f>
        <v/>
      </c>
    </row>
    <row r="68">
      <c r="A68" s="75" t="n">
        <v>2025</v>
      </c>
      <c r="B68" s="75" t="n">
        <v>1</v>
      </c>
      <c r="C68" s="75" t="inlineStr">
        <is>
          <t>5100000064</t>
        </is>
      </c>
      <c r="D68" s="78" t="n">
        <v>45666</v>
      </c>
      <c r="E68" s="75" t="inlineStr">
        <is>
          <t>KR</t>
        </is>
      </c>
      <c r="F68" s="75" t="n">
        <v>62501000</v>
      </c>
      <c r="G68" s="75" t="n">
        <v>1401</v>
      </c>
      <c r="H68" s="76" t="n">
        <v>155000</v>
      </c>
      <c r="I68" s="75" t="inlineStr">
        <is>
          <t>1월 회의 다과 - T케이터링</t>
        </is>
      </c>
      <c r="J68" s="75" t="inlineStr">
        <is>
          <t>V10005</t>
        </is>
      </c>
      <c r="K68" s="75" t="inlineStr">
        <is>
          <t>T케이터링</t>
        </is>
      </c>
      <c r="M68" s="9">
        <f>IF($A68="","",VALUE($A68&amp;"")*12+VALUE($B68&amp;""))</f>
        <v/>
      </c>
      <c r="N68" s="39">
        <f>IF($A68="","",IFERROR(INDEX(부서매핑!$C$5:$C$504,MATCH($G68&amp;"",부서매핑!$A$5:$A$504,0)),"미매핑"))</f>
        <v/>
      </c>
      <c r="O68" s="9">
        <f>IF($A68="","",N68&amp;"|"&amp;$F68)</f>
        <v/>
      </c>
      <c r="P68" s="77">
        <f>IF($A68="",0,$H68*설정!$C$23)</f>
        <v/>
      </c>
      <c r="Q68" s="39">
        <f>IF($A68="","",IF(O68&lt;&gt;원인분석!$C$9,"",IF(AND(M68&gt;=원인분석!$C$10,M68&lt;=원인분석!$C$11),"당기",IF(AND(M68&gt;=원인분석!$C$12,M68&lt;=원인분석!$C$13),"비교",""))))</f>
        <v/>
      </c>
      <c r="R68" s="9">
        <f>IF(Q68="","",$K68&amp;"")</f>
        <v/>
      </c>
      <c r="S68" s="9">
        <f>IF(Q68="","",IF(MATCH(R68,$R$5:$R$100000,0)=ROW()-4,ROW(),""))</f>
        <v/>
      </c>
      <c r="T68" s="9">
        <f>IF(Q68="당기",ABS(P68)+ROW()/1000000000,"")</f>
        <v/>
      </c>
      <c r="U68" s="9">
        <f>IF(Q68="비교",ABS(P68)+ROW()/1000000000,"")</f>
        <v/>
      </c>
      <c r="V68" s="39">
        <f>IF($A68="","",IF(COUNTIF(변동분석!$E$7:$E$506,O68)&gt;0,"Y","N"))</f>
        <v/>
      </c>
      <c r="W68" s="39">
        <f>IF($A68="","",IFERROR(INDEX(계정매핑!$D$5:$D$504,MATCH($F68&amp;"",계정매핑!$A$5:$A$504,0)),"미매핑"))</f>
        <v/>
      </c>
      <c r="X68" s="9">
        <f>IF($A68="","",$F68&amp;"")</f>
        <v/>
      </c>
    </row>
    <row r="69">
      <c r="A69" s="75" t="n">
        <v>2025</v>
      </c>
      <c r="B69" s="75" t="n">
        <v>1</v>
      </c>
      <c r="C69" s="75" t="inlineStr">
        <is>
          <t>5100000065</t>
        </is>
      </c>
      <c r="D69" s="78" t="n">
        <v>45666</v>
      </c>
      <c r="E69" s="75" t="inlineStr">
        <is>
          <t>KR</t>
        </is>
      </c>
      <c r="F69" s="75" t="n">
        <v>62901000</v>
      </c>
      <c r="G69" s="75" t="n">
        <v>1101</v>
      </c>
      <c r="H69" s="76" t="n">
        <v>3664000</v>
      </c>
      <c r="I69" s="75" t="inlineStr">
        <is>
          <t>1월 자문 수수료 - K회계법인</t>
        </is>
      </c>
      <c r="J69" s="75" t="inlineStr">
        <is>
          <t>V10010</t>
        </is>
      </c>
      <c r="K69" s="75" t="inlineStr">
        <is>
          <t>K회계법인</t>
        </is>
      </c>
      <c r="M69" s="9">
        <f>IF($A69="","",VALUE($A69&amp;"")*12+VALUE($B69&amp;""))</f>
        <v/>
      </c>
      <c r="N69" s="39">
        <f>IF($A69="","",IFERROR(INDEX(부서매핑!$C$5:$C$504,MATCH($G69&amp;"",부서매핑!$A$5:$A$504,0)),"미매핑"))</f>
        <v/>
      </c>
      <c r="O69" s="9">
        <f>IF($A69="","",N69&amp;"|"&amp;$F69)</f>
        <v/>
      </c>
      <c r="P69" s="77">
        <f>IF($A69="",0,$H69*설정!$C$23)</f>
        <v/>
      </c>
      <c r="Q69" s="39">
        <f>IF($A69="","",IF(O69&lt;&gt;원인분석!$C$9,"",IF(AND(M69&gt;=원인분석!$C$10,M69&lt;=원인분석!$C$11),"당기",IF(AND(M69&gt;=원인분석!$C$12,M69&lt;=원인분석!$C$13),"비교",""))))</f>
        <v/>
      </c>
      <c r="R69" s="9">
        <f>IF(Q69="","",$K69&amp;"")</f>
        <v/>
      </c>
      <c r="S69" s="9">
        <f>IF(Q69="","",IF(MATCH(R69,$R$5:$R$100000,0)=ROW()-4,ROW(),""))</f>
        <v/>
      </c>
      <c r="T69" s="9">
        <f>IF(Q69="당기",ABS(P69)+ROW()/1000000000,"")</f>
        <v/>
      </c>
      <c r="U69" s="9">
        <f>IF(Q69="비교",ABS(P69)+ROW()/1000000000,"")</f>
        <v/>
      </c>
      <c r="V69" s="39">
        <f>IF($A69="","",IF(COUNTIF(변동분석!$E$7:$E$506,O69)&gt;0,"Y","N"))</f>
        <v/>
      </c>
      <c r="W69" s="39">
        <f>IF($A69="","",IFERROR(INDEX(계정매핑!$D$5:$D$504,MATCH($F69&amp;"",계정매핑!$A$5:$A$504,0)),"미매핑"))</f>
        <v/>
      </c>
      <c r="X69" s="9">
        <f>IF($A69="","",$F69&amp;"")</f>
        <v/>
      </c>
    </row>
    <row r="70">
      <c r="A70" s="75" t="n">
        <v>2025</v>
      </c>
      <c r="B70" s="75" t="n">
        <v>1</v>
      </c>
      <c r="C70" s="75" t="inlineStr">
        <is>
          <t>5100000066</t>
        </is>
      </c>
      <c r="D70" s="78" t="n">
        <v>45667</v>
      </c>
      <c r="E70" s="75" t="inlineStr">
        <is>
          <t>KR</t>
        </is>
      </c>
      <c r="F70" s="75" t="n">
        <v>62101000</v>
      </c>
      <c r="G70" s="75" t="n">
        <v>1201</v>
      </c>
      <c r="H70" s="76" t="n">
        <v>163000</v>
      </c>
      <c r="I70" s="75" t="inlineStr">
        <is>
          <t>1월 국내출장 - M항공</t>
        </is>
      </c>
      <c r="J70" s="75" t="inlineStr">
        <is>
          <t>V10001</t>
        </is>
      </c>
      <c r="K70" s="75" t="inlineStr">
        <is>
          <t>M항공</t>
        </is>
      </c>
      <c r="M70" s="9">
        <f>IF($A70="","",VALUE($A70&amp;"")*12+VALUE($B70&amp;""))</f>
        <v/>
      </c>
      <c r="N70" s="39">
        <f>IF($A70="","",IFERROR(INDEX(부서매핑!$C$5:$C$504,MATCH($G70&amp;"",부서매핑!$A$5:$A$504,0)),"미매핑"))</f>
        <v/>
      </c>
      <c r="O70" s="9">
        <f>IF($A70="","",N70&amp;"|"&amp;$F70)</f>
        <v/>
      </c>
      <c r="P70" s="77">
        <f>IF($A70="",0,$H70*설정!$C$23)</f>
        <v/>
      </c>
      <c r="Q70" s="39">
        <f>IF($A70="","",IF(O70&lt;&gt;원인분석!$C$9,"",IF(AND(M70&gt;=원인분석!$C$10,M70&lt;=원인분석!$C$11),"당기",IF(AND(M70&gt;=원인분석!$C$12,M70&lt;=원인분석!$C$13),"비교",""))))</f>
        <v/>
      </c>
      <c r="R70" s="9">
        <f>IF(Q70="","",$K70&amp;"")</f>
        <v/>
      </c>
      <c r="S70" s="9">
        <f>IF(Q70="","",IF(MATCH(R70,$R$5:$R$100000,0)=ROW()-4,ROW(),""))</f>
        <v/>
      </c>
      <c r="T70" s="9">
        <f>IF(Q70="당기",ABS(P70)+ROW()/1000000000,"")</f>
        <v/>
      </c>
      <c r="U70" s="9">
        <f>IF(Q70="비교",ABS(P70)+ROW()/1000000000,"")</f>
        <v/>
      </c>
      <c r="V70" s="39">
        <f>IF($A70="","",IF(COUNTIF(변동분석!$E$7:$E$506,O70)&gt;0,"Y","N"))</f>
        <v/>
      </c>
      <c r="W70" s="39">
        <f>IF($A70="","",IFERROR(INDEX(계정매핑!$D$5:$D$504,MATCH($F70&amp;"",계정매핑!$A$5:$A$504,0)),"미매핑"))</f>
        <v/>
      </c>
      <c r="X70" s="9">
        <f>IF($A70="","",$F70&amp;"")</f>
        <v/>
      </c>
    </row>
    <row r="71">
      <c r="A71" s="75" t="n">
        <v>2025</v>
      </c>
      <c r="B71" s="75" t="n">
        <v>1</v>
      </c>
      <c r="C71" s="75" t="inlineStr">
        <is>
          <t>5100000067</t>
        </is>
      </c>
      <c r="D71" s="78" t="n">
        <v>45667</v>
      </c>
      <c r="E71" s="75" t="inlineStr">
        <is>
          <t>KR</t>
        </is>
      </c>
      <c r="F71" s="75" t="n">
        <v>62101000</v>
      </c>
      <c r="G71" s="75" t="n">
        <v>1301</v>
      </c>
      <c r="H71" s="76" t="n">
        <v>169000</v>
      </c>
      <c r="I71" s="75" t="inlineStr">
        <is>
          <t>1월 국내출장 - (법인카드)</t>
        </is>
      </c>
      <c r="J71" s="75" t="inlineStr">
        <is>
          <t>V10008</t>
        </is>
      </c>
      <c r="K71" s="75" t="inlineStr">
        <is>
          <t>(법인카드)</t>
        </is>
      </c>
      <c r="M71" s="9">
        <f>IF($A71="","",VALUE($A71&amp;"")*12+VALUE($B71&amp;""))</f>
        <v/>
      </c>
      <c r="N71" s="39">
        <f>IF($A71="","",IFERROR(INDEX(부서매핑!$C$5:$C$504,MATCH($G71&amp;"",부서매핑!$A$5:$A$504,0)),"미매핑"))</f>
        <v/>
      </c>
      <c r="O71" s="9">
        <f>IF($A71="","",N71&amp;"|"&amp;$F71)</f>
        <v/>
      </c>
      <c r="P71" s="77">
        <f>IF($A71="",0,$H71*설정!$C$23)</f>
        <v/>
      </c>
      <c r="Q71" s="39">
        <f>IF($A71="","",IF(O71&lt;&gt;원인분석!$C$9,"",IF(AND(M71&gt;=원인분석!$C$10,M71&lt;=원인분석!$C$11),"당기",IF(AND(M71&gt;=원인분석!$C$12,M71&lt;=원인분석!$C$13),"비교",""))))</f>
        <v/>
      </c>
      <c r="R71" s="9">
        <f>IF(Q71="","",$K71&amp;"")</f>
        <v/>
      </c>
      <c r="S71" s="9">
        <f>IF(Q71="","",IF(MATCH(R71,$R$5:$R$100000,0)=ROW()-4,ROW(),""))</f>
        <v/>
      </c>
      <c r="T71" s="9">
        <f>IF(Q71="당기",ABS(P71)+ROW()/1000000000,"")</f>
        <v/>
      </c>
      <c r="U71" s="9">
        <f>IF(Q71="비교",ABS(P71)+ROW()/1000000000,"")</f>
        <v/>
      </c>
      <c r="V71" s="39">
        <f>IF($A71="","",IF(COUNTIF(변동분석!$E$7:$E$506,O71)&gt;0,"Y","N"))</f>
        <v/>
      </c>
      <c r="W71" s="39">
        <f>IF($A71="","",IFERROR(INDEX(계정매핑!$D$5:$D$504,MATCH($F71&amp;"",계정매핑!$A$5:$A$504,0)),"미매핑"))</f>
        <v/>
      </c>
      <c r="X71" s="9">
        <f>IF($A71="","",$F71&amp;"")</f>
        <v/>
      </c>
    </row>
    <row r="72">
      <c r="A72" s="75" t="n">
        <v>2025</v>
      </c>
      <c r="B72" s="75" t="n">
        <v>1</v>
      </c>
      <c r="C72" s="75" t="inlineStr">
        <is>
          <t>5100000068</t>
        </is>
      </c>
      <c r="D72" s="78" t="n">
        <v>45667</v>
      </c>
      <c r="E72" s="75" t="inlineStr">
        <is>
          <t>KR</t>
        </is>
      </c>
      <c r="F72" s="75" t="n">
        <v>62101000</v>
      </c>
      <c r="G72" s="75" t="n">
        <v>1501</v>
      </c>
      <c r="H72" s="76" t="n">
        <v>361000</v>
      </c>
      <c r="I72" s="75" t="inlineStr">
        <is>
          <t>1월 국내출장 - (법인카드)</t>
        </is>
      </c>
      <c r="J72" s="75" t="inlineStr">
        <is>
          <t>V10008</t>
        </is>
      </c>
      <c r="K72" s="75" t="inlineStr">
        <is>
          <t>(법인카드)</t>
        </is>
      </c>
      <c r="M72" s="9">
        <f>IF($A72="","",VALUE($A72&amp;"")*12+VALUE($B72&amp;""))</f>
        <v/>
      </c>
      <c r="N72" s="39">
        <f>IF($A72="","",IFERROR(INDEX(부서매핑!$C$5:$C$504,MATCH($G72&amp;"",부서매핑!$A$5:$A$504,0)),"미매핑"))</f>
        <v/>
      </c>
      <c r="O72" s="9">
        <f>IF($A72="","",N72&amp;"|"&amp;$F72)</f>
        <v/>
      </c>
      <c r="P72" s="77">
        <f>IF($A72="",0,$H72*설정!$C$23)</f>
        <v/>
      </c>
      <c r="Q72" s="39">
        <f>IF($A72="","",IF(O72&lt;&gt;원인분석!$C$9,"",IF(AND(M72&gt;=원인분석!$C$10,M72&lt;=원인분석!$C$11),"당기",IF(AND(M72&gt;=원인분석!$C$12,M72&lt;=원인분석!$C$13),"비교",""))))</f>
        <v/>
      </c>
      <c r="R72" s="9">
        <f>IF(Q72="","",$K72&amp;"")</f>
        <v/>
      </c>
      <c r="S72" s="9">
        <f>IF(Q72="","",IF(MATCH(R72,$R$5:$R$100000,0)=ROW()-4,ROW(),""))</f>
        <v/>
      </c>
      <c r="T72" s="9">
        <f>IF(Q72="당기",ABS(P72)+ROW()/1000000000,"")</f>
        <v/>
      </c>
      <c r="U72" s="9">
        <f>IF(Q72="비교",ABS(P72)+ROW()/1000000000,"")</f>
        <v/>
      </c>
      <c r="V72" s="39">
        <f>IF($A72="","",IF(COUNTIF(변동분석!$E$7:$E$506,O72)&gt;0,"Y","N"))</f>
        <v/>
      </c>
      <c r="W72" s="39">
        <f>IF($A72="","",IFERROR(INDEX(계정매핑!$D$5:$D$504,MATCH($F72&amp;"",계정매핑!$A$5:$A$504,0)),"미매핑"))</f>
        <v/>
      </c>
      <c r="X72" s="9">
        <f>IF($A72="","",$F72&amp;"")</f>
        <v/>
      </c>
    </row>
    <row r="73">
      <c r="A73" s="75" t="n">
        <v>2025</v>
      </c>
      <c r="B73" s="75" t="n">
        <v>1</v>
      </c>
      <c r="C73" s="75" t="inlineStr">
        <is>
          <t>5100000069</t>
        </is>
      </c>
      <c r="D73" s="78" t="n">
        <v>45667</v>
      </c>
      <c r="E73" s="75" t="inlineStr">
        <is>
          <t>KR</t>
        </is>
      </c>
      <c r="F73" s="75" t="n">
        <v>62102000</v>
      </c>
      <c r="G73" s="75" t="n">
        <v>1401</v>
      </c>
      <c r="H73" s="76" t="n">
        <v>82000</v>
      </c>
      <c r="I73" s="75" t="inlineStr">
        <is>
          <t>1월 해외출장 - M항공</t>
        </is>
      </c>
      <c r="J73" s="75" t="inlineStr">
        <is>
          <t>V10001</t>
        </is>
      </c>
      <c r="K73" s="75" t="inlineStr">
        <is>
          <t>M항공</t>
        </is>
      </c>
      <c r="M73" s="9">
        <f>IF($A73="","",VALUE($A73&amp;"")*12+VALUE($B73&amp;""))</f>
        <v/>
      </c>
      <c r="N73" s="39">
        <f>IF($A73="","",IFERROR(INDEX(부서매핑!$C$5:$C$504,MATCH($G73&amp;"",부서매핑!$A$5:$A$504,0)),"미매핑"))</f>
        <v/>
      </c>
      <c r="O73" s="9">
        <f>IF($A73="","",N73&amp;"|"&amp;$F73)</f>
        <v/>
      </c>
      <c r="P73" s="77">
        <f>IF($A73="",0,$H73*설정!$C$23)</f>
        <v/>
      </c>
      <c r="Q73" s="39">
        <f>IF($A73="","",IF(O73&lt;&gt;원인분석!$C$9,"",IF(AND(M73&gt;=원인분석!$C$10,M73&lt;=원인분석!$C$11),"당기",IF(AND(M73&gt;=원인분석!$C$12,M73&lt;=원인분석!$C$13),"비교",""))))</f>
        <v/>
      </c>
      <c r="R73" s="9">
        <f>IF(Q73="","",$K73&amp;"")</f>
        <v/>
      </c>
      <c r="S73" s="9">
        <f>IF(Q73="","",IF(MATCH(R73,$R$5:$R$100000,0)=ROW()-4,ROW(),""))</f>
        <v/>
      </c>
      <c r="T73" s="9">
        <f>IF(Q73="당기",ABS(P73)+ROW()/1000000000,"")</f>
        <v/>
      </c>
      <c r="U73" s="9">
        <f>IF(Q73="비교",ABS(P73)+ROW()/1000000000,"")</f>
        <v/>
      </c>
      <c r="V73" s="39">
        <f>IF($A73="","",IF(COUNTIF(변동분석!$E$7:$E$506,O73)&gt;0,"Y","N"))</f>
        <v/>
      </c>
      <c r="W73" s="39">
        <f>IF($A73="","",IFERROR(INDEX(계정매핑!$D$5:$D$504,MATCH($F73&amp;"",계정매핑!$A$5:$A$504,0)),"미매핑"))</f>
        <v/>
      </c>
      <c r="X73" s="9">
        <f>IF($A73="","",$F73&amp;"")</f>
        <v/>
      </c>
    </row>
    <row r="74">
      <c r="A74" s="75" t="n">
        <v>2025</v>
      </c>
      <c r="B74" s="75" t="n">
        <v>1</v>
      </c>
      <c r="C74" s="75" t="inlineStr">
        <is>
          <t>5100000070</t>
        </is>
      </c>
      <c r="D74" s="78" t="n">
        <v>45667</v>
      </c>
      <c r="E74" s="75" t="inlineStr">
        <is>
          <t>KR</t>
        </is>
      </c>
      <c r="F74" s="75" t="n">
        <v>62102000</v>
      </c>
      <c r="G74" s="75" t="n">
        <v>1401</v>
      </c>
      <c r="H74" s="76" t="n">
        <v>88000</v>
      </c>
      <c r="I74" s="75" t="inlineStr">
        <is>
          <t>1월 해외출장 - N호텔</t>
        </is>
      </c>
      <c r="J74" s="75" t="inlineStr">
        <is>
          <t>V10007</t>
        </is>
      </c>
      <c r="K74" s="75" t="inlineStr">
        <is>
          <t>N호텔</t>
        </is>
      </c>
      <c r="M74" s="9">
        <f>IF($A74="","",VALUE($A74&amp;"")*12+VALUE($B74&amp;""))</f>
        <v/>
      </c>
      <c r="N74" s="39">
        <f>IF($A74="","",IFERROR(INDEX(부서매핑!$C$5:$C$504,MATCH($G74&amp;"",부서매핑!$A$5:$A$504,0)),"미매핑"))</f>
        <v/>
      </c>
      <c r="O74" s="9">
        <f>IF($A74="","",N74&amp;"|"&amp;$F74)</f>
        <v/>
      </c>
      <c r="P74" s="77">
        <f>IF($A74="",0,$H74*설정!$C$23)</f>
        <v/>
      </c>
      <c r="Q74" s="39">
        <f>IF($A74="","",IF(O74&lt;&gt;원인분석!$C$9,"",IF(AND(M74&gt;=원인분석!$C$10,M74&lt;=원인분석!$C$11),"당기",IF(AND(M74&gt;=원인분석!$C$12,M74&lt;=원인분석!$C$13),"비교",""))))</f>
        <v/>
      </c>
      <c r="R74" s="9">
        <f>IF(Q74="","",$K74&amp;"")</f>
        <v/>
      </c>
      <c r="S74" s="9">
        <f>IF(Q74="","",IF(MATCH(R74,$R$5:$R$100000,0)=ROW()-4,ROW(),""))</f>
        <v/>
      </c>
      <c r="T74" s="9">
        <f>IF(Q74="당기",ABS(P74)+ROW()/1000000000,"")</f>
        <v/>
      </c>
      <c r="U74" s="9">
        <f>IF(Q74="비교",ABS(P74)+ROW()/1000000000,"")</f>
        <v/>
      </c>
      <c r="V74" s="39">
        <f>IF($A74="","",IF(COUNTIF(변동분석!$E$7:$E$506,O74)&gt;0,"Y","N"))</f>
        <v/>
      </c>
      <c r="W74" s="39">
        <f>IF($A74="","",IFERROR(INDEX(계정매핑!$D$5:$D$504,MATCH($F74&amp;"",계정매핑!$A$5:$A$504,0)),"미매핑"))</f>
        <v/>
      </c>
      <c r="X74" s="9">
        <f>IF($A74="","",$F74&amp;"")</f>
        <v/>
      </c>
    </row>
    <row r="75">
      <c r="A75" s="75" t="n">
        <v>2025</v>
      </c>
      <c r="B75" s="75" t="n">
        <v>1</v>
      </c>
      <c r="C75" s="75" t="inlineStr">
        <is>
          <t>5100000071</t>
        </is>
      </c>
      <c r="D75" s="78" t="n">
        <v>45667</v>
      </c>
      <c r="E75" s="75" t="inlineStr">
        <is>
          <t>KR</t>
        </is>
      </c>
      <c r="F75" s="75" t="n">
        <v>62201000</v>
      </c>
      <c r="G75" s="75" t="n">
        <v>1201</v>
      </c>
      <c r="H75" s="76" t="n">
        <v>128000</v>
      </c>
      <c r="I75" s="75" t="inlineStr">
        <is>
          <t>1월 통신요금 - P통신</t>
        </is>
      </c>
      <c r="J75" s="75" t="inlineStr">
        <is>
          <t>V10011</t>
        </is>
      </c>
      <c r="K75" s="75" t="inlineStr">
        <is>
          <t>P통신</t>
        </is>
      </c>
      <c r="M75" s="9">
        <f>IF($A75="","",VALUE($A75&amp;"")*12+VALUE($B75&amp;""))</f>
        <v/>
      </c>
      <c r="N75" s="39">
        <f>IF($A75="","",IFERROR(INDEX(부서매핑!$C$5:$C$504,MATCH($G75&amp;"",부서매핑!$A$5:$A$504,0)),"미매핑"))</f>
        <v/>
      </c>
      <c r="O75" s="9">
        <f>IF($A75="","",N75&amp;"|"&amp;$F75)</f>
        <v/>
      </c>
      <c r="P75" s="77">
        <f>IF($A75="",0,$H75*설정!$C$23)</f>
        <v/>
      </c>
      <c r="Q75" s="39">
        <f>IF($A75="","",IF(O75&lt;&gt;원인분석!$C$9,"",IF(AND(M75&gt;=원인분석!$C$10,M75&lt;=원인분석!$C$11),"당기",IF(AND(M75&gt;=원인분석!$C$12,M75&lt;=원인분석!$C$13),"비교",""))))</f>
        <v/>
      </c>
      <c r="R75" s="9">
        <f>IF(Q75="","",$K75&amp;"")</f>
        <v/>
      </c>
      <c r="S75" s="9">
        <f>IF(Q75="","",IF(MATCH(R75,$R$5:$R$100000,0)=ROW()-4,ROW(),""))</f>
        <v/>
      </c>
      <c r="T75" s="9">
        <f>IF(Q75="당기",ABS(P75)+ROW()/1000000000,"")</f>
        <v/>
      </c>
      <c r="U75" s="9">
        <f>IF(Q75="비교",ABS(P75)+ROW()/1000000000,"")</f>
        <v/>
      </c>
      <c r="V75" s="39">
        <f>IF($A75="","",IF(COUNTIF(변동분석!$E$7:$E$506,O75)&gt;0,"Y","N"))</f>
        <v/>
      </c>
      <c r="W75" s="39">
        <f>IF($A75="","",IFERROR(INDEX(계정매핑!$D$5:$D$504,MATCH($F75&amp;"",계정매핑!$A$5:$A$504,0)),"미매핑"))</f>
        <v/>
      </c>
      <c r="X75" s="9">
        <f>IF($A75="","",$F75&amp;"")</f>
        <v/>
      </c>
    </row>
    <row r="76">
      <c r="A76" s="75" t="n">
        <v>2025</v>
      </c>
      <c r="B76" s="75" t="n">
        <v>1</v>
      </c>
      <c r="C76" s="75" t="inlineStr">
        <is>
          <t>5100000072</t>
        </is>
      </c>
      <c r="D76" s="78" t="n">
        <v>45667</v>
      </c>
      <c r="E76" s="75" t="inlineStr">
        <is>
          <t>KR</t>
        </is>
      </c>
      <c r="F76" s="75" t="n">
        <v>62301000</v>
      </c>
      <c r="G76" s="75" t="n">
        <v>1201</v>
      </c>
      <c r="H76" s="76" t="n">
        <v>220000</v>
      </c>
      <c r="I76" s="75" t="inlineStr">
        <is>
          <t>1월 소모품 구입 - R문구</t>
        </is>
      </c>
      <c r="J76" s="75" t="inlineStr">
        <is>
          <t>V10018</t>
        </is>
      </c>
      <c r="K76" s="75" t="inlineStr">
        <is>
          <t>R문구</t>
        </is>
      </c>
      <c r="M76" s="9">
        <f>IF($A76="","",VALUE($A76&amp;"")*12+VALUE($B76&amp;""))</f>
        <v/>
      </c>
      <c r="N76" s="39">
        <f>IF($A76="","",IFERROR(INDEX(부서매핑!$C$5:$C$504,MATCH($G76&amp;"",부서매핑!$A$5:$A$504,0)),"미매핑"))</f>
        <v/>
      </c>
      <c r="O76" s="9">
        <f>IF($A76="","",N76&amp;"|"&amp;$F76)</f>
        <v/>
      </c>
      <c r="P76" s="77">
        <f>IF($A76="",0,$H76*설정!$C$23)</f>
        <v/>
      </c>
      <c r="Q76" s="39">
        <f>IF($A76="","",IF(O76&lt;&gt;원인분석!$C$9,"",IF(AND(M76&gt;=원인분석!$C$10,M76&lt;=원인분석!$C$11),"당기",IF(AND(M76&gt;=원인분석!$C$12,M76&lt;=원인분석!$C$13),"비교",""))))</f>
        <v/>
      </c>
      <c r="R76" s="9">
        <f>IF(Q76="","",$K76&amp;"")</f>
        <v/>
      </c>
      <c r="S76" s="9">
        <f>IF(Q76="","",IF(MATCH(R76,$R$5:$R$100000,0)=ROW()-4,ROW(),""))</f>
        <v/>
      </c>
      <c r="T76" s="9">
        <f>IF(Q76="당기",ABS(P76)+ROW()/1000000000,"")</f>
        <v/>
      </c>
      <c r="U76" s="9">
        <f>IF(Q76="비교",ABS(P76)+ROW()/1000000000,"")</f>
        <v/>
      </c>
      <c r="V76" s="39">
        <f>IF($A76="","",IF(COUNTIF(변동분석!$E$7:$E$506,O76)&gt;0,"Y","N"))</f>
        <v/>
      </c>
      <c r="W76" s="39">
        <f>IF($A76="","",IFERROR(INDEX(계정매핑!$D$5:$D$504,MATCH($F76&amp;"",계정매핑!$A$5:$A$504,0)),"미매핑"))</f>
        <v/>
      </c>
      <c r="X76" s="9">
        <f>IF($A76="","",$F76&amp;"")</f>
        <v/>
      </c>
    </row>
    <row r="77">
      <c r="A77" s="75" t="n">
        <v>2025</v>
      </c>
      <c r="B77" s="75" t="n">
        <v>1</v>
      </c>
      <c r="C77" s="75" t="inlineStr">
        <is>
          <t>5100000073</t>
        </is>
      </c>
      <c r="D77" s="78" t="n">
        <v>45667</v>
      </c>
      <c r="E77" s="75" t="inlineStr">
        <is>
          <t>KR</t>
        </is>
      </c>
      <c r="F77" s="75" t="n">
        <v>62701000</v>
      </c>
      <c r="G77" s="75" t="n">
        <v>1501</v>
      </c>
      <c r="H77" s="76" t="n">
        <v>36107000</v>
      </c>
      <c r="I77" s="75" t="inlineStr">
        <is>
          <t>1월 광고 집행 - F애드</t>
        </is>
      </c>
      <c r="J77" s="75" t="inlineStr">
        <is>
          <t>V10019</t>
        </is>
      </c>
      <c r="K77" s="75" t="inlineStr">
        <is>
          <t>F애드</t>
        </is>
      </c>
      <c r="M77" s="9">
        <f>IF($A77="","",VALUE($A77&amp;"")*12+VALUE($B77&amp;""))</f>
        <v/>
      </c>
      <c r="N77" s="39">
        <f>IF($A77="","",IFERROR(INDEX(부서매핑!$C$5:$C$504,MATCH($G77&amp;"",부서매핑!$A$5:$A$504,0)),"미매핑"))</f>
        <v/>
      </c>
      <c r="O77" s="9">
        <f>IF($A77="","",N77&amp;"|"&amp;$F77)</f>
        <v/>
      </c>
      <c r="P77" s="77">
        <f>IF($A77="",0,$H77*설정!$C$23)</f>
        <v/>
      </c>
      <c r="Q77" s="39">
        <f>IF($A77="","",IF(O77&lt;&gt;원인분석!$C$9,"",IF(AND(M77&gt;=원인분석!$C$10,M77&lt;=원인분석!$C$11),"당기",IF(AND(M77&gt;=원인분석!$C$12,M77&lt;=원인분석!$C$13),"비교",""))))</f>
        <v/>
      </c>
      <c r="R77" s="9">
        <f>IF(Q77="","",$K77&amp;"")</f>
        <v/>
      </c>
      <c r="S77" s="9">
        <f>IF(Q77="","",IF(MATCH(R77,$R$5:$R$100000,0)=ROW()-4,ROW(),""))</f>
        <v/>
      </c>
      <c r="T77" s="9">
        <f>IF(Q77="당기",ABS(P77)+ROW()/1000000000,"")</f>
        <v/>
      </c>
      <c r="U77" s="9">
        <f>IF(Q77="비교",ABS(P77)+ROW()/1000000000,"")</f>
        <v/>
      </c>
      <c r="V77" s="39">
        <f>IF($A77="","",IF(COUNTIF(변동분석!$E$7:$E$506,O77)&gt;0,"Y","N"))</f>
        <v/>
      </c>
      <c r="W77" s="39">
        <f>IF($A77="","",IFERROR(INDEX(계정매핑!$D$5:$D$504,MATCH($F77&amp;"",계정매핑!$A$5:$A$504,0)),"미매핑"))</f>
        <v/>
      </c>
      <c r="X77" s="9">
        <f>IF($A77="","",$F77&amp;"")</f>
        <v/>
      </c>
    </row>
    <row r="78">
      <c r="A78" s="75" t="n">
        <v>2025</v>
      </c>
      <c r="B78" s="75" t="n">
        <v>1</v>
      </c>
      <c r="C78" s="75" t="inlineStr">
        <is>
          <t>5100000074</t>
        </is>
      </c>
      <c r="D78" s="78" t="n">
        <v>45667</v>
      </c>
      <c r="E78" s="75" t="inlineStr">
        <is>
          <t>KR</t>
        </is>
      </c>
      <c r="F78" s="75" t="n">
        <v>62801000</v>
      </c>
      <c r="G78" s="75" t="n">
        <v>1301</v>
      </c>
      <c r="H78" s="76" t="n">
        <v>2865000</v>
      </c>
      <c r="I78" s="75" t="inlineStr">
        <is>
          <t>1월 사내교육 - (사내강사료)</t>
        </is>
      </c>
      <c r="J78" s="75" t="inlineStr">
        <is>
          <t>V10020</t>
        </is>
      </c>
      <c r="K78" s="75" t="inlineStr">
        <is>
          <t>(사내강사료)</t>
        </is>
      </c>
      <c r="M78" s="9">
        <f>IF($A78="","",VALUE($A78&amp;"")*12+VALUE($B78&amp;""))</f>
        <v/>
      </c>
      <c r="N78" s="39">
        <f>IF($A78="","",IFERROR(INDEX(부서매핑!$C$5:$C$504,MATCH($G78&amp;"",부서매핑!$A$5:$A$504,0)),"미매핑"))</f>
        <v/>
      </c>
      <c r="O78" s="9">
        <f>IF($A78="","",N78&amp;"|"&amp;$F78)</f>
        <v/>
      </c>
      <c r="P78" s="77">
        <f>IF($A78="",0,$H78*설정!$C$23)</f>
        <v/>
      </c>
      <c r="Q78" s="39">
        <f>IF($A78="","",IF(O78&lt;&gt;원인분석!$C$9,"",IF(AND(M78&gt;=원인분석!$C$10,M78&lt;=원인분석!$C$11),"당기",IF(AND(M78&gt;=원인분석!$C$12,M78&lt;=원인분석!$C$13),"비교",""))))</f>
        <v/>
      </c>
      <c r="R78" s="9">
        <f>IF(Q78="","",$K78&amp;"")</f>
        <v/>
      </c>
      <c r="S78" s="9">
        <f>IF(Q78="","",IF(MATCH(R78,$R$5:$R$100000,0)=ROW()-4,ROW(),""))</f>
        <v/>
      </c>
      <c r="T78" s="9">
        <f>IF(Q78="당기",ABS(P78)+ROW()/1000000000,"")</f>
        <v/>
      </c>
      <c r="U78" s="9">
        <f>IF(Q78="비교",ABS(P78)+ROW()/1000000000,"")</f>
        <v/>
      </c>
      <c r="V78" s="39">
        <f>IF($A78="","",IF(COUNTIF(변동분석!$E$7:$E$506,O78)&gt;0,"Y","N"))</f>
        <v/>
      </c>
      <c r="W78" s="39">
        <f>IF($A78="","",IFERROR(INDEX(계정매핑!$D$5:$D$504,MATCH($F78&amp;"",계정매핑!$A$5:$A$504,0)),"미매핑"))</f>
        <v/>
      </c>
      <c r="X78" s="9">
        <f>IF($A78="","",$F78&amp;"")</f>
        <v/>
      </c>
    </row>
    <row r="79">
      <c r="A79" s="75" t="n">
        <v>2025</v>
      </c>
      <c r="B79" s="75" t="n">
        <v>1</v>
      </c>
      <c r="C79" s="75" t="inlineStr">
        <is>
          <t>5100000075</t>
        </is>
      </c>
      <c r="D79" s="78" t="n">
        <v>45667</v>
      </c>
      <c r="E79" s="75" t="inlineStr">
        <is>
          <t>KR</t>
        </is>
      </c>
      <c r="F79" s="75" t="n">
        <v>63001000</v>
      </c>
      <c r="G79" s="75" t="n">
        <v>1701</v>
      </c>
      <c r="H79" s="76" t="n">
        <v>20386000</v>
      </c>
      <c r="I79" s="75" t="inlineStr">
        <is>
          <t>1월 SW 유지보수 - Z시스템</t>
        </is>
      </c>
      <c r="J79" s="75" t="inlineStr">
        <is>
          <t>V10021</t>
        </is>
      </c>
      <c r="K79" s="75" t="inlineStr">
        <is>
          <t>Z시스템</t>
        </is>
      </c>
      <c r="M79" s="9">
        <f>IF($A79="","",VALUE($A79&amp;"")*12+VALUE($B79&amp;""))</f>
        <v/>
      </c>
      <c r="N79" s="39">
        <f>IF($A79="","",IFERROR(INDEX(부서매핑!$C$5:$C$504,MATCH($G79&amp;"",부서매핑!$A$5:$A$504,0)),"미매핑"))</f>
        <v/>
      </c>
      <c r="O79" s="9">
        <f>IF($A79="","",N79&amp;"|"&amp;$F79)</f>
        <v/>
      </c>
      <c r="P79" s="77">
        <f>IF($A79="",0,$H79*설정!$C$23)</f>
        <v/>
      </c>
      <c r="Q79" s="39">
        <f>IF($A79="","",IF(O79&lt;&gt;원인분석!$C$9,"",IF(AND(M79&gt;=원인분석!$C$10,M79&lt;=원인분석!$C$11),"당기",IF(AND(M79&gt;=원인분석!$C$12,M79&lt;=원인분석!$C$13),"비교",""))))</f>
        <v/>
      </c>
      <c r="R79" s="9">
        <f>IF(Q79="","",$K79&amp;"")</f>
        <v/>
      </c>
      <c r="S79" s="9">
        <f>IF(Q79="","",IF(MATCH(R79,$R$5:$R$100000,0)=ROW()-4,ROW(),""))</f>
        <v/>
      </c>
      <c r="T79" s="9">
        <f>IF(Q79="당기",ABS(P79)+ROW()/1000000000,"")</f>
        <v/>
      </c>
      <c r="U79" s="9">
        <f>IF(Q79="비교",ABS(P79)+ROW()/1000000000,"")</f>
        <v/>
      </c>
      <c r="V79" s="39">
        <f>IF($A79="","",IF(COUNTIF(변동분석!$E$7:$E$506,O79)&gt;0,"Y","N"))</f>
        <v/>
      </c>
      <c r="W79" s="39">
        <f>IF($A79="","",IFERROR(INDEX(계정매핑!$D$5:$D$504,MATCH($F79&amp;"",계정매핑!$A$5:$A$504,0)),"미매핑"))</f>
        <v/>
      </c>
      <c r="X79" s="9">
        <f>IF($A79="","",$F79&amp;"")</f>
        <v/>
      </c>
    </row>
    <row r="80">
      <c r="A80" s="75" t="n">
        <v>2025</v>
      </c>
      <c r="B80" s="75" t="n">
        <v>1</v>
      </c>
      <c r="C80" s="75" t="inlineStr">
        <is>
          <t>5100000076</t>
        </is>
      </c>
      <c r="D80" s="78" t="n">
        <v>45667</v>
      </c>
      <c r="E80" s="75" t="inlineStr">
        <is>
          <t>KR</t>
        </is>
      </c>
      <c r="F80" s="75" t="n">
        <v>63201000</v>
      </c>
      <c r="G80" s="75" t="n">
        <v>1602</v>
      </c>
      <c r="H80" s="76" t="n">
        <v>5522000</v>
      </c>
      <c r="I80" s="75" t="inlineStr">
        <is>
          <t>1월 차량 유지 - D정비</t>
        </is>
      </c>
      <c r="J80" s="75" t="inlineStr">
        <is>
          <t>V10022</t>
        </is>
      </c>
      <c r="K80" s="75" t="inlineStr">
        <is>
          <t>D정비</t>
        </is>
      </c>
      <c r="M80" s="9">
        <f>IF($A80="","",VALUE($A80&amp;"")*12+VALUE($B80&amp;""))</f>
        <v/>
      </c>
      <c r="N80" s="39">
        <f>IF($A80="","",IFERROR(INDEX(부서매핑!$C$5:$C$504,MATCH($G80&amp;"",부서매핑!$A$5:$A$504,0)),"미매핑"))</f>
        <v/>
      </c>
      <c r="O80" s="9">
        <f>IF($A80="","",N80&amp;"|"&amp;$F80)</f>
        <v/>
      </c>
      <c r="P80" s="77">
        <f>IF($A80="",0,$H80*설정!$C$23)</f>
        <v/>
      </c>
      <c r="Q80" s="39">
        <f>IF($A80="","",IF(O80&lt;&gt;원인분석!$C$9,"",IF(AND(M80&gt;=원인분석!$C$10,M80&lt;=원인분석!$C$11),"당기",IF(AND(M80&gt;=원인분석!$C$12,M80&lt;=원인분석!$C$13),"비교",""))))</f>
        <v/>
      </c>
      <c r="R80" s="9">
        <f>IF(Q80="","",$K80&amp;"")</f>
        <v/>
      </c>
      <c r="S80" s="9">
        <f>IF(Q80="","",IF(MATCH(R80,$R$5:$R$100000,0)=ROW()-4,ROW(),""))</f>
        <v/>
      </c>
      <c r="T80" s="9">
        <f>IF(Q80="당기",ABS(P80)+ROW()/1000000000,"")</f>
        <v/>
      </c>
      <c r="U80" s="9">
        <f>IF(Q80="비교",ABS(P80)+ROW()/1000000000,"")</f>
        <v/>
      </c>
      <c r="V80" s="39">
        <f>IF($A80="","",IF(COUNTIF(변동분석!$E$7:$E$506,O80)&gt;0,"Y","N"))</f>
        <v/>
      </c>
      <c r="W80" s="39">
        <f>IF($A80="","",IFERROR(INDEX(계정매핑!$D$5:$D$504,MATCH($F80&amp;"",계정매핑!$A$5:$A$504,0)),"미매핑"))</f>
        <v/>
      </c>
      <c r="X80" s="9">
        <f>IF($A80="","",$F80&amp;"")</f>
        <v/>
      </c>
    </row>
    <row r="81">
      <c r="A81" s="75" t="n">
        <v>2025</v>
      </c>
      <c r="B81" s="75" t="n">
        <v>1</v>
      </c>
      <c r="C81" s="75" t="inlineStr">
        <is>
          <t>5100000077</t>
        </is>
      </c>
      <c r="D81" s="78" t="n">
        <v>45668</v>
      </c>
      <c r="E81" s="75" t="inlineStr">
        <is>
          <t>KR</t>
        </is>
      </c>
      <c r="F81" s="75" t="n">
        <v>62101000</v>
      </c>
      <c r="G81" s="75" t="n">
        <v>1101</v>
      </c>
      <c r="H81" s="76" t="n">
        <v>378000</v>
      </c>
      <c r="I81" s="75" t="inlineStr">
        <is>
          <t>1월 국내출장 - L여행사</t>
        </is>
      </c>
      <c r="J81" s="75" t="inlineStr">
        <is>
          <t>V10014</t>
        </is>
      </c>
      <c r="K81" s="75" t="inlineStr">
        <is>
          <t>L여행사</t>
        </is>
      </c>
      <c r="M81" s="9">
        <f>IF($A81="","",VALUE($A81&amp;"")*12+VALUE($B81&amp;""))</f>
        <v/>
      </c>
      <c r="N81" s="39">
        <f>IF($A81="","",IFERROR(INDEX(부서매핑!$C$5:$C$504,MATCH($G81&amp;"",부서매핑!$A$5:$A$504,0)),"미매핑"))</f>
        <v/>
      </c>
      <c r="O81" s="9">
        <f>IF($A81="","",N81&amp;"|"&amp;$F81)</f>
        <v/>
      </c>
      <c r="P81" s="77">
        <f>IF($A81="",0,$H81*설정!$C$23)</f>
        <v/>
      </c>
      <c r="Q81" s="39">
        <f>IF($A81="","",IF(O81&lt;&gt;원인분석!$C$9,"",IF(AND(M81&gt;=원인분석!$C$10,M81&lt;=원인분석!$C$11),"당기",IF(AND(M81&gt;=원인분석!$C$12,M81&lt;=원인분석!$C$13),"비교",""))))</f>
        <v/>
      </c>
      <c r="R81" s="9">
        <f>IF(Q81="","",$K81&amp;"")</f>
        <v/>
      </c>
      <c r="S81" s="9">
        <f>IF(Q81="","",IF(MATCH(R81,$R$5:$R$100000,0)=ROW()-4,ROW(),""))</f>
        <v/>
      </c>
      <c r="T81" s="9">
        <f>IF(Q81="당기",ABS(P81)+ROW()/1000000000,"")</f>
        <v/>
      </c>
      <c r="U81" s="9">
        <f>IF(Q81="비교",ABS(P81)+ROW()/1000000000,"")</f>
        <v/>
      </c>
      <c r="V81" s="39">
        <f>IF($A81="","",IF(COUNTIF(변동분석!$E$7:$E$506,O81)&gt;0,"Y","N"))</f>
        <v/>
      </c>
      <c r="W81" s="39">
        <f>IF($A81="","",IFERROR(INDEX(계정매핑!$D$5:$D$504,MATCH($F81&amp;"",계정매핑!$A$5:$A$504,0)),"미매핑"))</f>
        <v/>
      </c>
      <c r="X81" s="9">
        <f>IF($A81="","",$F81&amp;"")</f>
        <v/>
      </c>
    </row>
    <row r="82">
      <c r="A82" s="75" t="n">
        <v>2025</v>
      </c>
      <c r="B82" s="75" t="n">
        <v>1</v>
      </c>
      <c r="C82" s="75" t="inlineStr">
        <is>
          <t>5100000078</t>
        </is>
      </c>
      <c r="D82" s="78" t="n">
        <v>45668</v>
      </c>
      <c r="E82" s="75" t="inlineStr">
        <is>
          <t>KR</t>
        </is>
      </c>
      <c r="F82" s="75" t="n">
        <v>62101000</v>
      </c>
      <c r="G82" s="75" t="n">
        <v>1701</v>
      </c>
      <c r="H82" s="76" t="n">
        <v>186000</v>
      </c>
      <c r="I82" s="75" t="inlineStr">
        <is>
          <t>1월 국내출장 - L여행사</t>
        </is>
      </c>
      <c r="J82" s="75" t="inlineStr">
        <is>
          <t>V10014</t>
        </is>
      </c>
      <c r="K82" s="75" t="inlineStr">
        <is>
          <t>L여행사</t>
        </is>
      </c>
      <c r="M82" s="9">
        <f>IF($A82="","",VALUE($A82&amp;"")*12+VALUE($B82&amp;""))</f>
        <v/>
      </c>
      <c r="N82" s="39">
        <f>IF($A82="","",IFERROR(INDEX(부서매핑!$C$5:$C$504,MATCH($G82&amp;"",부서매핑!$A$5:$A$504,0)),"미매핑"))</f>
        <v/>
      </c>
      <c r="O82" s="9">
        <f>IF($A82="","",N82&amp;"|"&amp;$F82)</f>
        <v/>
      </c>
      <c r="P82" s="77">
        <f>IF($A82="",0,$H82*설정!$C$23)</f>
        <v/>
      </c>
      <c r="Q82" s="39">
        <f>IF($A82="","",IF(O82&lt;&gt;원인분석!$C$9,"",IF(AND(M82&gt;=원인분석!$C$10,M82&lt;=원인분석!$C$11),"당기",IF(AND(M82&gt;=원인분석!$C$12,M82&lt;=원인분석!$C$13),"비교",""))))</f>
        <v/>
      </c>
      <c r="R82" s="9">
        <f>IF(Q82="","",$K82&amp;"")</f>
        <v/>
      </c>
      <c r="S82" s="9">
        <f>IF(Q82="","",IF(MATCH(R82,$R$5:$R$100000,0)=ROW()-4,ROW(),""))</f>
        <v/>
      </c>
      <c r="T82" s="9">
        <f>IF(Q82="당기",ABS(P82)+ROW()/1000000000,"")</f>
        <v/>
      </c>
      <c r="U82" s="9">
        <f>IF(Q82="비교",ABS(P82)+ROW()/1000000000,"")</f>
        <v/>
      </c>
      <c r="V82" s="39">
        <f>IF($A82="","",IF(COUNTIF(변동분석!$E$7:$E$506,O82)&gt;0,"Y","N"))</f>
        <v/>
      </c>
      <c r="W82" s="39">
        <f>IF($A82="","",IFERROR(INDEX(계정매핑!$D$5:$D$504,MATCH($F82&amp;"",계정매핑!$A$5:$A$504,0)),"미매핑"))</f>
        <v/>
      </c>
      <c r="X82" s="9">
        <f>IF($A82="","",$F82&amp;"")</f>
        <v/>
      </c>
    </row>
    <row r="83">
      <c r="A83" s="75" t="n">
        <v>2025</v>
      </c>
      <c r="B83" s="75" t="n">
        <v>1</v>
      </c>
      <c r="C83" s="75" t="inlineStr">
        <is>
          <t>5100000079</t>
        </is>
      </c>
      <c r="D83" s="78" t="n">
        <v>45668</v>
      </c>
      <c r="E83" s="75" t="inlineStr">
        <is>
          <t>KR</t>
        </is>
      </c>
      <c r="F83" s="75" t="n">
        <v>62301000</v>
      </c>
      <c r="G83" s="75" t="n">
        <v>1301</v>
      </c>
      <c r="H83" s="76" t="n">
        <v>263000</v>
      </c>
      <c r="I83" s="75" t="inlineStr">
        <is>
          <t>1월 소모품 구입 - Q오피스</t>
        </is>
      </c>
      <c r="J83" s="75" t="inlineStr">
        <is>
          <t>V10003</t>
        </is>
      </c>
      <c r="K83" s="75" t="inlineStr">
        <is>
          <t>Q오피스</t>
        </is>
      </c>
      <c r="M83" s="9">
        <f>IF($A83="","",VALUE($A83&amp;"")*12+VALUE($B83&amp;""))</f>
        <v/>
      </c>
      <c r="N83" s="39">
        <f>IF($A83="","",IFERROR(INDEX(부서매핑!$C$5:$C$504,MATCH($G83&amp;"",부서매핑!$A$5:$A$504,0)),"미매핑"))</f>
        <v/>
      </c>
      <c r="O83" s="9">
        <f>IF($A83="","",N83&amp;"|"&amp;$F83)</f>
        <v/>
      </c>
      <c r="P83" s="77">
        <f>IF($A83="",0,$H83*설정!$C$23)</f>
        <v/>
      </c>
      <c r="Q83" s="39">
        <f>IF($A83="","",IF(O83&lt;&gt;원인분석!$C$9,"",IF(AND(M83&gt;=원인분석!$C$10,M83&lt;=원인분석!$C$11),"당기",IF(AND(M83&gt;=원인분석!$C$12,M83&lt;=원인분석!$C$13),"비교",""))))</f>
        <v/>
      </c>
      <c r="R83" s="9">
        <f>IF(Q83="","",$K83&amp;"")</f>
        <v/>
      </c>
      <c r="S83" s="9">
        <f>IF(Q83="","",IF(MATCH(R83,$R$5:$R$100000,0)=ROW()-4,ROW(),""))</f>
        <v/>
      </c>
      <c r="T83" s="9">
        <f>IF(Q83="당기",ABS(P83)+ROW()/1000000000,"")</f>
        <v/>
      </c>
      <c r="U83" s="9">
        <f>IF(Q83="비교",ABS(P83)+ROW()/1000000000,"")</f>
        <v/>
      </c>
      <c r="V83" s="39">
        <f>IF($A83="","",IF(COUNTIF(변동분석!$E$7:$E$506,O83)&gt;0,"Y","N"))</f>
        <v/>
      </c>
      <c r="W83" s="39">
        <f>IF($A83="","",IFERROR(INDEX(계정매핑!$D$5:$D$504,MATCH($F83&amp;"",계정매핑!$A$5:$A$504,0)),"미매핑"))</f>
        <v/>
      </c>
      <c r="X83" s="9">
        <f>IF($A83="","",$F83&amp;"")</f>
        <v/>
      </c>
    </row>
    <row r="84">
      <c r="A84" s="75" t="n">
        <v>2025</v>
      </c>
      <c r="B84" s="75" t="n">
        <v>1</v>
      </c>
      <c r="C84" s="75" t="inlineStr">
        <is>
          <t>5100000080</t>
        </is>
      </c>
      <c r="D84" s="78" t="n">
        <v>45668</v>
      </c>
      <c r="E84" s="75" t="inlineStr">
        <is>
          <t>KR</t>
        </is>
      </c>
      <c r="F84" s="75" t="n">
        <v>62501000</v>
      </c>
      <c r="G84" s="75" t="n">
        <v>1401</v>
      </c>
      <c r="H84" s="76" t="n">
        <v>179000</v>
      </c>
      <c r="I84" s="75" t="inlineStr">
        <is>
          <t>1월 회의 다과 - T케이터링</t>
        </is>
      </c>
      <c r="J84" s="75" t="inlineStr">
        <is>
          <t>V10005</t>
        </is>
      </c>
      <c r="K84" s="75" t="inlineStr">
        <is>
          <t>T케이터링</t>
        </is>
      </c>
      <c r="M84" s="9">
        <f>IF($A84="","",VALUE($A84&amp;"")*12+VALUE($B84&amp;""))</f>
        <v/>
      </c>
      <c r="N84" s="39">
        <f>IF($A84="","",IFERROR(INDEX(부서매핑!$C$5:$C$504,MATCH($G84&amp;"",부서매핑!$A$5:$A$504,0)),"미매핑"))</f>
        <v/>
      </c>
      <c r="O84" s="9">
        <f>IF($A84="","",N84&amp;"|"&amp;$F84)</f>
        <v/>
      </c>
      <c r="P84" s="77">
        <f>IF($A84="",0,$H84*설정!$C$23)</f>
        <v/>
      </c>
      <c r="Q84" s="39">
        <f>IF($A84="","",IF(O84&lt;&gt;원인분석!$C$9,"",IF(AND(M84&gt;=원인분석!$C$10,M84&lt;=원인분석!$C$11),"당기",IF(AND(M84&gt;=원인분석!$C$12,M84&lt;=원인분석!$C$13),"비교",""))))</f>
        <v/>
      </c>
      <c r="R84" s="9">
        <f>IF(Q84="","",$K84&amp;"")</f>
        <v/>
      </c>
      <c r="S84" s="9">
        <f>IF(Q84="","",IF(MATCH(R84,$R$5:$R$100000,0)=ROW()-4,ROW(),""))</f>
        <v/>
      </c>
      <c r="T84" s="9">
        <f>IF(Q84="당기",ABS(P84)+ROW()/1000000000,"")</f>
        <v/>
      </c>
      <c r="U84" s="9">
        <f>IF(Q84="비교",ABS(P84)+ROW()/1000000000,"")</f>
        <v/>
      </c>
      <c r="V84" s="39">
        <f>IF($A84="","",IF(COUNTIF(변동분석!$E$7:$E$506,O84)&gt;0,"Y","N"))</f>
        <v/>
      </c>
      <c r="W84" s="39">
        <f>IF($A84="","",IFERROR(INDEX(계정매핑!$D$5:$D$504,MATCH($F84&amp;"",계정매핑!$A$5:$A$504,0)),"미매핑"))</f>
        <v/>
      </c>
      <c r="X84" s="9">
        <f>IF($A84="","",$F84&amp;"")</f>
        <v/>
      </c>
    </row>
    <row r="85">
      <c r="A85" s="75" t="n">
        <v>2025</v>
      </c>
      <c r="B85" s="75" t="n">
        <v>1</v>
      </c>
      <c r="C85" s="75" t="inlineStr">
        <is>
          <t>5100000081</t>
        </is>
      </c>
      <c r="D85" s="78" t="n">
        <v>45668</v>
      </c>
      <c r="E85" s="75" t="inlineStr">
        <is>
          <t>KR</t>
        </is>
      </c>
      <c r="F85" s="75" t="n">
        <v>62501000</v>
      </c>
      <c r="G85" s="75" t="n">
        <v>1501</v>
      </c>
      <c r="H85" s="76" t="n">
        <v>345000</v>
      </c>
      <c r="I85" s="75" t="inlineStr">
        <is>
          <t>1월 회의 다과 - T케이터링</t>
        </is>
      </c>
      <c r="J85" s="75" t="inlineStr">
        <is>
          <t>V10005</t>
        </is>
      </c>
      <c r="K85" s="75" t="inlineStr">
        <is>
          <t>T케이터링</t>
        </is>
      </c>
      <c r="M85" s="9">
        <f>IF($A85="","",VALUE($A85&amp;"")*12+VALUE($B85&amp;""))</f>
        <v/>
      </c>
      <c r="N85" s="39">
        <f>IF($A85="","",IFERROR(INDEX(부서매핑!$C$5:$C$504,MATCH($G85&amp;"",부서매핑!$A$5:$A$504,0)),"미매핑"))</f>
        <v/>
      </c>
      <c r="O85" s="9">
        <f>IF($A85="","",N85&amp;"|"&amp;$F85)</f>
        <v/>
      </c>
      <c r="P85" s="77">
        <f>IF($A85="",0,$H85*설정!$C$23)</f>
        <v/>
      </c>
      <c r="Q85" s="39">
        <f>IF($A85="","",IF(O85&lt;&gt;원인분석!$C$9,"",IF(AND(M85&gt;=원인분석!$C$10,M85&lt;=원인분석!$C$11),"당기",IF(AND(M85&gt;=원인분석!$C$12,M85&lt;=원인분석!$C$13),"비교",""))))</f>
        <v/>
      </c>
      <c r="R85" s="9">
        <f>IF(Q85="","",$K85&amp;"")</f>
        <v/>
      </c>
      <c r="S85" s="9">
        <f>IF(Q85="","",IF(MATCH(R85,$R$5:$R$100000,0)=ROW()-4,ROW(),""))</f>
        <v/>
      </c>
      <c r="T85" s="9">
        <f>IF(Q85="당기",ABS(P85)+ROW()/1000000000,"")</f>
        <v/>
      </c>
      <c r="U85" s="9">
        <f>IF(Q85="비교",ABS(P85)+ROW()/1000000000,"")</f>
        <v/>
      </c>
      <c r="V85" s="39">
        <f>IF($A85="","",IF(COUNTIF(변동분석!$E$7:$E$506,O85)&gt;0,"Y","N"))</f>
        <v/>
      </c>
      <c r="W85" s="39">
        <f>IF($A85="","",IFERROR(INDEX(계정매핑!$D$5:$D$504,MATCH($F85&amp;"",계정매핑!$A$5:$A$504,0)),"미매핑"))</f>
        <v/>
      </c>
      <c r="X85" s="9">
        <f>IF($A85="","",$F85&amp;"")</f>
        <v/>
      </c>
    </row>
    <row r="86">
      <c r="A86" s="75" t="n">
        <v>2025</v>
      </c>
      <c r="B86" s="75" t="n">
        <v>1</v>
      </c>
      <c r="C86" s="75" t="inlineStr">
        <is>
          <t>5100000082</t>
        </is>
      </c>
      <c r="D86" s="78" t="n">
        <v>45668</v>
      </c>
      <c r="E86" s="75" t="inlineStr">
        <is>
          <t>KR</t>
        </is>
      </c>
      <c r="F86" s="75" t="n">
        <v>62902000</v>
      </c>
      <c r="G86" s="75" t="n">
        <v>1201</v>
      </c>
      <c r="H86" s="76" t="n">
        <v>2211000</v>
      </c>
      <c r="I86" s="75" t="inlineStr">
        <is>
          <t>1월 업무 위탁 수수료 - J콜센터</t>
        </is>
      </c>
      <c r="J86" s="75" t="inlineStr">
        <is>
          <t>V10013</t>
        </is>
      </c>
      <c r="K86" s="75" t="inlineStr">
        <is>
          <t>J콜센터</t>
        </is>
      </c>
      <c r="M86" s="9">
        <f>IF($A86="","",VALUE($A86&amp;"")*12+VALUE($B86&amp;""))</f>
        <v/>
      </c>
      <c r="N86" s="39">
        <f>IF($A86="","",IFERROR(INDEX(부서매핑!$C$5:$C$504,MATCH($G86&amp;"",부서매핑!$A$5:$A$504,0)),"미매핑"))</f>
        <v/>
      </c>
      <c r="O86" s="9">
        <f>IF($A86="","",N86&amp;"|"&amp;$F86)</f>
        <v/>
      </c>
      <c r="P86" s="77">
        <f>IF($A86="",0,$H86*설정!$C$23)</f>
        <v/>
      </c>
      <c r="Q86" s="39">
        <f>IF($A86="","",IF(O86&lt;&gt;원인분석!$C$9,"",IF(AND(M86&gt;=원인분석!$C$10,M86&lt;=원인분석!$C$11),"당기",IF(AND(M86&gt;=원인분석!$C$12,M86&lt;=원인분석!$C$13),"비교",""))))</f>
        <v/>
      </c>
      <c r="R86" s="9">
        <f>IF(Q86="","",$K86&amp;"")</f>
        <v/>
      </c>
      <c r="S86" s="9">
        <f>IF(Q86="","",IF(MATCH(R86,$R$5:$R$100000,0)=ROW()-4,ROW(),""))</f>
        <v/>
      </c>
      <c r="T86" s="9">
        <f>IF(Q86="당기",ABS(P86)+ROW()/1000000000,"")</f>
        <v/>
      </c>
      <c r="U86" s="9">
        <f>IF(Q86="비교",ABS(P86)+ROW()/1000000000,"")</f>
        <v/>
      </c>
      <c r="V86" s="39">
        <f>IF($A86="","",IF(COUNTIF(변동분석!$E$7:$E$506,O86)&gt;0,"Y","N"))</f>
        <v/>
      </c>
      <c r="W86" s="39">
        <f>IF($A86="","",IFERROR(INDEX(계정매핑!$D$5:$D$504,MATCH($F86&amp;"",계정매핑!$A$5:$A$504,0)),"미매핑"))</f>
        <v/>
      </c>
      <c r="X86" s="9">
        <f>IF($A86="","",$F86&amp;"")</f>
        <v/>
      </c>
    </row>
    <row r="87">
      <c r="A87" s="75" t="n">
        <v>2025</v>
      </c>
      <c r="B87" s="75" t="n">
        <v>1</v>
      </c>
      <c r="C87" s="75" t="inlineStr">
        <is>
          <t>5100000083</t>
        </is>
      </c>
      <c r="D87" s="78" t="n">
        <v>45668</v>
      </c>
      <c r="E87" s="75" t="inlineStr">
        <is>
          <t>KR</t>
        </is>
      </c>
      <c r="F87" s="75" t="n">
        <v>62902000</v>
      </c>
      <c r="G87" s="75" t="n">
        <v>1801</v>
      </c>
      <c r="H87" s="76" t="n">
        <v>1772000</v>
      </c>
      <c r="I87" s="75" t="inlineStr">
        <is>
          <t>1월 콜 위탁 수수료(건별)</t>
        </is>
      </c>
      <c r="J87" s="75" t="inlineStr">
        <is>
          <t>V10013</t>
        </is>
      </c>
      <c r="K87" s="75" t="inlineStr">
        <is>
          <t>J콜센터</t>
        </is>
      </c>
      <c r="M87" s="9">
        <f>IF($A87="","",VALUE($A87&amp;"")*12+VALUE($B87&amp;""))</f>
        <v/>
      </c>
      <c r="N87" s="39">
        <f>IF($A87="","",IFERROR(INDEX(부서매핑!$C$5:$C$504,MATCH($G87&amp;"",부서매핑!$A$5:$A$504,0)),"미매핑"))</f>
        <v/>
      </c>
      <c r="O87" s="9">
        <f>IF($A87="","",N87&amp;"|"&amp;$F87)</f>
        <v/>
      </c>
      <c r="P87" s="77">
        <f>IF($A87="",0,$H87*설정!$C$23)</f>
        <v/>
      </c>
      <c r="Q87" s="39">
        <f>IF($A87="","",IF(O87&lt;&gt;원인분석!$C$9,"",IF(AND(M87&gt;=원인분석!$C$10,M87&lt;=원인분석!$C$11),"당기",IF(AND(M87&gt;=원인분석!$C$12,M87&lt;=원인분석!$C$13),"비교",""))))</f>
        <v/>
      </c>
      <c r="R87" s="9">
        <f>IF(Q87="","",$K87&amp;"")</f>
        <v/>
      </c>
      <c r="S87" s="9">
        <f>IF(Q87="","",IF(MATCH(R87,$R$5:$R$100000,0)=ROW()-4,ROW(),""))</f>
        <v/>
      </c>
      <c r="T87" s="9">
        <f>IF(Q87="당기",ABS(P87)+ROW()/1000000000,"")</f>
        <v/>
      </c>
      <c r="U87" s="9">
        <f>IF(Q87="비교",ABS(P87)+ROW()/1000000000,"")</f>
        <v/>
      </c>
      <c r="V87" s="39">
        <f>IF($A87="","",IF(COUNTIF(변동분석!$E$7:$E$506,O87)&gt;0,"Y","N"))</f>
        <v/>
      </c>
      <c r="W87" s="39">
        <f>IF($A87="","",IFERROR(INDEX(계정매핑!$D$5:$D$504,MATCH($F87&amp;"",계정매핑!$A$5:$A$504,0)),"미매핑"))</f>
        <v/>
      </c>
      <c r="X87" s="9">
        <f>IF($A87="","",$F87&amp;"")</f>
        <v/>
      </c>
    </row>
    <row r="88">
      <c r="A88" s="75" t="n">
        <v>2025</v>
      </c>
      <c r="B88" s="75" t="n">
        <v>1</v>
      </c>
      <c r="C88" s="75" t="inlineStr">
        <is>
          <t>5100000084</t>
        </is>
      </c>
      <c r="D88" s="78" t="n">
        <v>45668</v>
      </c>
      <c r="E88" s="75" t="inlineStr">
        <is>
          <t>KR</t>
        </is>
      </c>
      <c r="F88" s="75" t="n">
        <v>63001000</v>
      </c>
      <c r="G88" s="75" t="n">
        <v>1701</v>
      </c>
      <c r="H88" s="76" t="n">
        <v>27168000</v>
      </c>
      <c r="I88" s="75" t="inlineStr">
        <is>
          <t>1월 SW 유지보수 - Y소프트</t>
        </is>
      </c>
      <c r="J88" s="75" t="inlineStr">
        <is>
          <t>V10017</t>
        </is>
      </c>
      <c r="K88" s="75" t="inlineStr">
        <is>
          <t>Y소프트</t>
        </is>
      </c>
      <c r="M88" s="9">
        <f>IF($A88="","",VALUE($A88&amp;"")*12+VALUE($B88&amp;""))</f>
        <v/>
      </c>
      <c r="N88" s="39">
        <f>IF($A88="","",IFERROR(INDEX(부서매핑!$C$5:$C$504,MATCH($G88&amp;"",부서매핑!$A$5:$A$504,0)),"미매핑"))</f>
        <v/>
      </c>
      <c r="O88" s="9">
        <f>IF($A88="","",N88&amp;"|"&amp;$F88)</f>
        <v/>
      </c>
      <c r="P88" s="77">
        <f>IF($A88="",0,$H88*설정!$C$23)</f>
        <v/>
      </c>
      <c r="Q88" s="39">
        <f>IF($A88="","",IF(O88&lt;&gt;원인분석!$C$9,"",IF(AND(M88&gt;=원인분석!$C$10,M88&lt;=원인분석!$C$11),"당기",IF(AND(M88&gt;=원인분석!$C$12,M88&lt;=원인분석!$C$13),"비교",""))))</f>
        <v/>
      </c>
      <c r="R88" s="9">
        <f>IF(Q88="","",$K88&amp;"")</f>
        <v/>
      </c>
      <c r="S88" s="9">
        <f>IF(Q88="","",IF(MATCH(R88,$R$5:$R$100000,0)=ROW()-4,ROW(),""))</f>
        <v/>
      </c>
      <c r="T88" s="9">
        <f>IF(Q88="당기",ABS(P88)+ROW()/1000000000,"")</f>
        <v/>
      </c>
      <c r="U88" s="9">
        <f>IF(Q88="비교",ABS(P88)+ROW()/1000000000,"")</f>
        <v/>
      </c>
      <c r="V88" s="39">
        <f>IF($A88="","",IF(COUNTIF(변동분석!$E$7:$E$506,O88)&gt;0,"Y","N"))</f>
        <v/>
      </c>
      <c r="W88" s="39">
        <f>IF($A88="","",IFERROR(INDEX(계정매핑!$D$5:$D$504,MATCH($F88&amp;"",계정매핑!$A$5:$A$504,0)),"미매핑"))</f>
        <v/>
      </c>
      <c r="X88" s="9">
        <f>IF($A88="","",$F88&amp;"")</f>
        <v/>
      </c>
    </row>
    <row r="89">
      <c r="A89" s="75" t="n">
        <v>2025</v>
      </c>
      <c r="B89" s="75" t="n">
        <v>1</v>
      </c>
      <c r="C89" s="75" t="inlineStr">
        <is>
          <t>5100000085</t>
        </is>
      </c>
      <c r="D89" s="78" t="n">
        <v>45669</v>
      </c>
      <c r="E89" s="75" t="inlineStr">
        <is>
          <t>KR</t>
        </is>
      </c>
      <c r="F89" s="75" t="n">
        <v>62102000</v>
      </c>
      <c r="G89" s="75" t="n">
        <v>1401</v>
      </c>
      <c r="H89" s="76" t="n">
        <v>95000</v>
      </c>
      <c r="I89" s="75" t="inlineStr">
        <is>
          <t>1월 해외출장 - N호텔</t>
        </is>
      </c>
      <c r="J89" s="75" t="inlineStr">
        <is>
          <t>V10007</t>
        </is>
      </c>
      <c r="K89" s="75" t="inlineStr">
        <is>
          <t>N호텔</t>
        </is>
      </c>
      <c r="M89" s="9">
        <f>IF($A89="","",VALUE($A89&amp;"")*12+VALUE($B89&amp;""))</f>
        <v/>
      </c>
      <c r="N89" s="39">
        <f>IF($A89="","",IFERROR(INDEX(부서매핑!$C$5:$C$504,MATCH($G89&amp;"",부서매핑!$A$5:$A$504,0)),"미매핑"))</f>
        <v/>
      </c>
      <c r="O89" s="9">
        <f>IF($A89="","",N89&amp;"|"&amp;$F89)</f>
        <v/>
      </c>
      <c r="P89" s="77">
        <f>IF($A89="",0,$H89*설정!$C$23)</f>
        <v/>
      </c>
      <c r="Q89" s="39">
        <f>IF($A89="","",IF(O89&lt;&gt;원인분석!$C$9,"",IF(AND(M89&gt;=원인분석!$C$10,M89&lt;=원인분석!$C$11),"당기",IF(AND(M89&gt;=원인분석!$C$12,M89&lt;=원인분석!$C$13),"비교",""))))</f>
        <v/>
      </c>
      <c r="R89" s="9">
        <f>IF(Q89="","",$K89&amp;"")</f>
        <v/>
      </c>
      <c r="S89" s="9">
        <f>IF(Q89="","",IF(MATCH(R89,$R$5:$R$100000,0)=ROW()-4,ROW(),""))</f>
        <v/>
      </c>
      <c r="T89" s="9">
        <f>IF(Q89="당기",ABS(P89)+ROW()/1000000000,"")</f>
        <v/>
      </c>
      <c r="U89" s="9">
        <f>IF(Q89="비교",ABS(P89)+ROW()/1000000000,"")</f>
        <v/>
      </c>
      <c r="V89" s="39">
        <f>IF($A89="","",IF(COUNTIF(변동분석!$E$7:$E$506,O89)&gt;0,"Y","N"))</f>
        <v/>
      </c>
      <c r="W89" s="39">
        <f>IF($A89="","",IFERROR(INDEX(계정매핑!$D$5:$D$504,MATCH($F89&amp;"",계정매핑!$A$5:$A$504,0)),"미매핑"))</f>
        <v/>
      </c>
      <c r="X89" s="9">
        <f>IF($A89="","",$F89&amp;"")</f>
        <v/>
      </c>
    </row>
    <row r="90">
      <c r="A90" s="75" t="n">
        <v>2025</v>
      </c>
      <c r="B90" s="75" t="n">
        <v>1</v>
      </c>
      <c r="C90" s="75" t="inlineStr">
        <is>
          <t>5100000086</t>
        </is>
      </c>
      <c r="D90" s="78" t="n">
        <v>45669</v>
      </c>
      <c r="E90" s="75" t="inlineStr">
        <is>
          <t>KR</t>
        </is>
      </c>
      <c r="F90" s="75" t="n">
        <v>62102000</v>
      </c>
      <c r="G90" s="75" t="n">
        <v>1501</v>
      </c>
      <c r="H90" s="76" t="n">
        <v>137000</v>
      </c>
      <c r="I90" s="75" t="inlineStr">
        <is>
          <t>1월 해외출장 - M항공</t>
        </is>
      </c>
      <c r="J90" s="75" t="inlineStr">
        <is>
          <t>V10001</t>
        </is>
      </c>
      <c r="K90" s="75" t="inlineStr">
        <is>
          <t>M항공</t>
        </is>
      </c>
      <c r="M90" s="9">
        <f>IF($A90="","",VALUE($A90&amp;"")*12+VALUE($B90&amp;""))</f>
        <v/>
      </c>
      <c r="N90" s="39">
        <f>IF($A90="","",IFERROR(INDEX(부서매핑!$C$5:$C$504,MATCH($G90&amp;"",부서매핑!$A$5:$A$504,0)),"미매핑"))</f>
        <v/>
      </c>
      <c r="O90" s="9">
        <f>IF($A90="","",N90&amp;"|"&amp;$F90)</f>
        <v/>
      </c>
      <c r="P90" s="77">
        <f>IF($A90="",0,$H90*설정!$C$23)</f>
        <v/>
      </c>
      <c r="Q90" s="39">
        <f>IF($A90="","",IF(O90&lt;&gt;원인분석!$C$9,"",IF(AND(M90&gt;=원인분석!$C$10,M90&lt;=원인분석!$C$11),"당기",IF(AND(M90&gt;=원인분석!$C$12,M90&lt;=원인분석!$C$13),"비교",""))))</f>
        <v/>
      </c>
      <c r="R90" s="9">
        <f>IF(Q90="","",$K90&amp;"")</f>
        <v/>
      </c>
      <c r="S90" s="9">
        <f>IF(Q90="","",IF(MATCH(R90,$R$5:$R$100000,0)=ROW()-4,ROW(),""))</f>
        <v/>
      </c>
      <c r="T90" s="9">
        <f>IF(Q90="당기",ABS(P90)+ROW()/1000000000,"")</f>
        <v/>
      </c>
      <c r="U90" s="9">
        <f>IF(Q90="비교",ABS(P90)+ROW()/1000000000,"")</f>
        <v/>
      </c>
      <c r="V90" s="39">
        <f>IF($A90="","",IF(COUNTIF(변동분석!$E$7:$E$506,O90)&gt;0,"Y","N"))</f>
        <v/>
      </c>
      <c r="W90" s="39">
        <f>IF($A90="","",IFERROR(INDEX(계정매핑!$D$5:$D$504,MATCH($F90&amp;"",계정매핑!$A$5:$A$504,0)),"미매핑"))</f>
        <v/>
      </c>
      <c r="X90" s="9">
        <f>IF($A90="","",$F90&amp;"")</f>
        <v/>
      </c>
    </row>
    <row r="91">
      <c r="A91" s="75" t="n">
        <v>2025</v>
      </c>
      <c r="B91" s="75" t="n">
        <v>1</v>
      </c>
      <c r="C91" s="75" t="inlineStr">
        <is>
          <t>5100000087</t>
        </is>
      </c>
      <c r="D91" s="78" t="n">
        <v>45669</v>
      </c>
      <c r="E91" s="75" t="inlineStr">
        <is>
          <t>KR</t>
        </is>
      </c>
      <c r="F91" s="75" t="n">
        <v>62201000</v>
      </c>
      <c r="G91" s="75" t="n">
        <v>1301</v>
      </c>
      <c r="H91" s="76" t="n">
        <v>107000</v>
      </c>
      <c r="I91" s="75" t="inlineStr">
        <is>
          <t>1월 통신요금 - O텔레콤</t>
        </is>
      </c>
      <c r="J91" s="75" t="inlineStr">
        <is>
          <t>V10002</t>
        </is>
      </c>
      <c r="K91" s="75" t="inlineStr">
        <is>
          <t>O텔레콤</t>
        </is>
      </c>
      <c r="M91" s="9">
        <f>IF($A91="","",VALUE($A91&amp;"")*12+VALUE($B91&amp;""))</f>
        <v/>
      </c>
      <c r="N91" s="39">
        <f>IF($A91="","",IFERROR(INDEX(부서매핑!$C$5:$C$504,MATCH($G91&amp;"",부서매핑!$A$5:$A$504,0)),"미매핑"))</f>
        <v/>
      </c>
      <c r="O91" s="9">
        <f>IF($A91="","",N91&amp;"|"&amp;$F91)</f>
        <v/>
      </c>
      <c r="P91" s="77">
        <f>IF($A91="",0,$H91*설정!$C$23)</f>
        <v/>
      </c>
      <c r="Q91" s="39">
        <f>IF($A91="","",IF(O91&lt;&gt;원인분석!$C$9,"",IF(AND(M91&gt;=원인분석!$C$10,M91&lt;=원인분석!$C$11),"당기",IF(AND(M91&gt;=원인분석!$C$12,M91&lt;=원인분석!$C$13),"비교",""))))</f>
        <v/>
      </c>
      <c r="R91" s="9">
        <f>IF(Q91="","",$K91&amp;"")</f>
        <v/>
      </c>
      <c r="S91" s="9">
        <f>IF(Q91="","",IF(MATCH(R91,$R$5:$R$100000,0)=ROW()-4,ROW(),""))</f>
        <v/>
      </c>
      <c r="T91" s="9">
        <f>IF(Q91="당기",ABS(P91)+ROW()/1000000000,"")</f>
        <v/>
      </c>
      <c r="U91" s="9">
        <f>IF(Q91="비교",ABS(P91)+ROW()/1000000000,"")</f>
        <v/>
      </c>
      <c r="V91" s="39">
        <f>IF($A91="","",IF(COUNTIF(변동분석!$E$7:$E$506,O91)&gt;0,"Y","N"))</f>
        <v/>
      </c>
      <c r="W91" s="39">
        <f>IF($A91="","",IFERROR(INDEX(계정매핑!$D$5:$D$504,MATCH($F91&amp;"",계정매핑!$A$5:$A$504,0)),"미매핑"))</f>
        <v/>
      </c>
      <c r="X91" s="9">
        <f>IF($A91="","",$F91&amp;"")</f>
        <v/>
      </c>
    </row>
    <row r="92">
      <c r="A92" s="75" t="n">
        <v>2025</v>
      </c>
      <c r="B92" s="75" t="n">
        <v>1</v>
      </c>
      <c r="C92" s="75" t="inlineStr">
        <is>
          <t>5100000088</t>
        </is>
      </c>
      <c r="D92" s="78" t="n">
        <v>45669</v>
      </c>
      <c r="E92" s="75" t="inlineStr">
        <is>
          <t>KR</t>
        </is>
      </c>
      <c r="F92" s="75" t="n">
        <v>62201000</v>
      </c>
      <c r="G92" s="75" t="n">
        <v>1301</v>
      </c>
      <c r="H92" s="76" t="n">
        <v>244000</v>
      </c>
      <c r="I92" s="75" t="inlineStr">
        <is>
          <t>1월 통신요금 - P통신</t>
        </is>
      </c>
      <c r="J92" s="75" t="inlineStr">
        <is>
          <t>V10011</t>
        </is>
      </c>
      <c r="K92" s="75" t="inlineStr">
        <is>
          <t>P통신</t>
        </is>
      </c>
      <c r="M92" s="9">
        <f>IF($A92="","",VALUE($A92&amp;"")*12+VALUE($B92&amp;""))</f>
        <v/>
      </c>
      <c r="N92" s="39">
        <f>IF($A92="","",IFERROR(INDEX(부서매핑!$C$5:$C$504,MATCH($G92&amp;"",부서매핑!$A$5:$A$504,0)),"미매핑"))</f>
        <v/>
      </c>
      <c r="O92" s="9">
        <f>IF($A92="","",N92&amp;"|"&amp;$F92)</f>
        <v/>
      </c>
      <c r="P92" s="77">
        <f>IF($A92="",0,$H92*설정!$C$23)</f>
        <v/>
      </c>
      <c r="Q92" s="39">
        <f>IF($A92="","",IF(O92&lt;&gt;원인분석!$C$9,"",IF(AND(M92&gt;=원인분석!$C$10,M92&lt;=원인분석!$C$11),"당기",IF(AND(M92&gt;=원인분석!$C$12,M92&lt;=원인분석!$C$13),"비교",""))))</f>
        <v/>
      </c>
      <c r="R92" s="9">
        <f>IF(Q92="","",$K92&amp;"")</f>
        <v/>
      </c>
      <c r="S92" s="9">
        <f>IF(Q92="","",IF(MATCH(R92,$R$5:$R$100000,0)=ROW()-4,ROW(),""))</f>
        <v/>
      </c>
      <c r="T92" s="9">
        <f>IF(Q92="당기",ABS(P92)+ROW()/1000000000,"")</f>
        <v/>
      </c>
      <c r="U92" s="9">
        <f>IF(Q92="비교",ABS(P92)+ROW()/1000000000,"")</f>
        <v/>
      </c>
      <c r="V92" s="39">
        <f>IF($A92="","",IF(COUNTIF(변동분석!$E$7:$E$506,O92)&gt;0,"Y","N"))</f>
        <v/>
      </c>
      <c r="W92" s="39">
        <f>IF($A92="","",IFERROR(INDEX(계정매핑!$D$5:$D$504,MATCH($F92&amp;"",계정매핑!$A$5:$A$504,0)),"미매핑"))</f>
        <v/>
      </c>
      <c r="X92" s="9">
        <f>IF($A92="","",$F92&amp;"")</f>
        <v/>
      </c>
    </row>
    <row r="93">
      <c r="A93" s="75" t="n">
        <v>2025</v>
      </c>
      <c r="B93" s="75" t="n">
        <v>1</v>
      </c>
      <c r="C93" s="75" t="inlineStr">
        <is>
          <t>5100000089</t>
        </is>
      </c>
      <c r="D93" s="78" t="n">
        <v>45669</v>
      </c>
      <c r="E93" s="75" t="inlineStr">
        <is>
          <t>KR</t>
        </is>
      </c>
      <c r="F93" s="75" t="n">
        <v>62501000</v>
      </c>
      <c r="G93" s="75" t="n">
        <v>1101</v>
      </c>
      <c r="H93" s="76" t="n">
        <v>285000</v>
      </c>
      <c r="I93" s="75" t="inlineStr">
        <is>
          <t>1월 회의 다과 - (법인카드)</t>
        </is>
      </c>
      <c r="J93" s="75" t="inlineStr">
        <is>
          <t>V10008</t>
        </is>
      </c>
      <c r="K93" s="75" t="inlineStr">
        <is>
          <t>(법인카드)</t>
        </is>
      </c>
      <c r="M93" s="9">
        <f>IF($A93="","",VALUE($A93&amp;"")*12+VALUE($B93&amp;""))</f>
        <v/>
      </c>
      <c r="N93" s="39">
        <f>IF($A93="","",IFERROR(INDEX(부서매핑!$C$5:$C$504,MATCH($G93&amp;"",부서매핑!$A$5:$A$504,0)),"미매핑"))</f>
        <v/>
      </c>
      <c r="O93" s="9">
        <f>IF($A93="","",N93&amp;"|"&amp;$F93)</f>
        <v/>
      </c>
      <c r="P93" s="77">
        <f>IF($A93="",0,$H93*설정!$C$23)</f>
        <v/>
      </c>
      <c r="Q93" s="39">
        <f>IF($A93="","",IF(O93&lt;&gt;원인분석!$C$9,"",IF(AND(M93&gt;=원인분석!$C$10,M93&lt;=원인분석!$C$11),"당기",IF(AND(M93&gt;=원인분석!$C$12,M93&lt;=원인분석!$C$13),"비교",""))))</f>
        <v/>
      </c>
      <c r="R93" s="9">
        <f>IF(Q93="","",$K93&amp;"")</f>
        <v/>
      </c>
      <c r="S93" s="9">
        <f>IF(Q93="","",IF(MATCH(R93,$R$5:$R$100000,0)=ROW()-4,ROW(),""))</f>
        <v/>
      </c>
      <c r="T93" s="9">
        <f>IF(Q93="당기",ABS(P93)+ROW()/1000000000,"")</f>
        <v/>
      </c>
      <c r="U93" s="9">
        <f>IF(Q93="비교",ABS(P93)+ROW()/1000000000,"")</f>
        <v/>
      </c>
      <c r="V93" s="39">
        <f>IF($A93="","",IF(COUNTIF(변동분석!$E$7:$E$506,O93)&gt;0,"Y","N"))</f>
        <v/>
      </c>
      <c r="W93" s="39">
        <f>IF($A93="","",IFERROR(INDEX(계정매핑!$D$5:$D$504,MATCH($F93&amp;"",계정매핑!$A$5:$A$504,0)),"미매핑"))</f>
        <v/>
      </c>
      <c r="X93" s="9">
        <f>IF($A93="","",$F93&amp;"")</f>
        <v/>
      </c>
    </row>
    <row r="94">
      <c r="A94" s="75" t="n">
        <v>2025</v>
      </c>
      <c r="B94" s="75" t="n">
        <v>1</v>
      </c>
      <c r="C94" s="75" t="inlineStr">
        <is>
          <t>5100000090</t>
        </is>
      </c>
      <c r="D94" s="78" t="n">
        <v>45669</v>
      </c>
      <c r="E94" s="75" t="inlineStr">
        <is>
          <t>KR</t>
        </is>
      </c>
      <c r="F94" s="75" t="n">
        <v>63101000</v>
      </c>
      <c r="G94" s="75" t="n">
        <v>1602</v>
      </c>
      <c r="H94" s="76" t="n">
        <v>5655000</v>
      </c>
      <c r="I94" s="75" t="inlineStr">
        <is>
          <t>1월 사무실 임차료 - AA빌딩</t>
        </is>
      </c>
      <c r="J94" s="75" t="inlineStr">
        <is>
          <t>V10006</t>
        </is>
      </c>
      <c r="K94" s="75" t="inlineStr">
        <is>
          <t>AA빌딩</t>
        </is>
      </c>
      <c r="M94" s="9">
        <f>IF($A94="","",VALUE($A94&amp;"")*12+VALUE($B94&amp;""))</f>
        <v/>
      </c>
      <c r="N94" s="39">
        <f>IF($A94="","",IFERROR(INDEX(부서매핑!$C$5:$C$504,MATCH($G94&amp;"",부서매핑!$A$5:$A$504,0)),"미매핑"))</f>
        <v/>
      </c>
      <c r="O94" s="9">
        <f>IF($A94="","",N94&amp;"|"&amp;$F94)</f>
        <v/>
      </c>
      <c r="P94" s="77">
        <f>IF($A94="",0,$H94*설정!$C$23)</f>
        <v/>
      </c>
      <c r="Q94" s="39">
        <f>IF($A94="","",IF(O94&lt;&gt;원인분석!$C$9,"",IF(AND(M94&gt;=원인분석!$C$10,M94&lt;=원인분석!$C$11),"당기",IF(AND(M94&gt;=원인분석!$C$12,M94&lt;=원인분석!$C$13),"비교",""))))</f>
        <v/>
      </c>
      <c r="R94" s="9">
        <f>IF(Q94="","",$K94&amp;"")</f>
        <v/>
      </c>
      <c r="S94" s="9">
        <f>IF(Q94="","",IF(MATCH(R94,$R$5:$R$100000,0)=ROW()-4,ROW(),""))</f>
        <v/>
      </c>
      <c r="T94" s="9">
        <f>IF(Q94="당기",ABS(P94)+ROW()/1000000000,"")</f>
        <v/>
      </c>
      <c r="U94" s="9">
        <f>IF(Q94="비교",ABS(P94)+ROW()/1000000000,"")</f>
        <v/>
      </c>
      <c r="V94" s="39">
        <f>IF($A94="","",IF(COUNTIF(변동분석!$E$7:$E$506,O94)&gt;0,"Y","N"))</f>
        <v/>
      </c>
      <c r="W94" s="39">
        <f>IF($A94="","",IFERROR(INDEX(계정매핑!$D$5:$D$504,MATCH($F94&amp;"",계정매핑!$A$5:$A$504,0)),"미매핑"))</f>
        <v/>
      </c>
      <c r="X94" s="9">
        <f>IF($A94="","",$F94&amp;"")</f>
        <v/>
      </c>
    </row>
    <row r="95">
      <c r="A95" s="75" t="n">
        <v>2025</v>
      </c>
      <c r="B95" s="75" t="n">
        <v>1</v>
      </c>
      <c r="C95" s="75" t="inlineStr">
        <is>
          <t>5100000091</t>
        </is>
      </c>
      <c r="D95" s="78" t="n">
        <v>45670</v>
      </c>
      <c r="E95" s="75" t="inlineStr">
        <is>
          <t>KR</t>
        </is>
      </c>
      <c r="F95" s="75" t="n">
        <v>62101000</v>
      </c>
      <c r="G95" s="75" t="n">
        <v>1301</v>
      </c>
      <c r="H95" s="76" t="n">
        <v>212000</v>
      </c>
      <c r="I95" s="75" t="inlineStr">
        <is>
          <t>1월 국내출장 - M항공</t>
        </is>
      </c>
      <c r="J95" s="75" t="inlineStr">
        <is>
          <t>V10001</t>
        </is>
      </c>
      <c r="K95" s="75" t="inlineStr">
        <is>
          <t>M항공</t>
        </is>
      </c>
      <c r="M95" s="9">
        <f>IF($A95="","",VALUE($A95&amp;"")*12+VALUE($B95&amp;""))</f>
        <v/>
      </c>
      <c r="N95" s="39">
        <f>IF($A95="","",IFERROR(INDEX(부서매핑!$C$5:$C$504,MATCH($G95&amp;"",부서매핑!$A$5:$A$504,0)),"미매핑"))</f>
        <v/>
      </c>
      <c r="O95" s="9">
        <f>IF($A95="","",N95&amp;"|"&amp;$F95)</f>
        <v/>
      </c>
      <c r="P95" s="77">
        <f>IF($A95="",0,$H95*설정!$C$23)</f>
        <v/>
      </c>
      <c r="Q95" s="39">
        <f>IF($A95="","",IF(O95&lt;&gt;원인분석!$C$9,"",IF(AND(M95&gt;=원인분석!$C$10,M95&lt;=원인분석!$C$11),"당기",IF(AND(M95&gt;=원인분석!$C$12,M95&lt;=원인분석!$C$13),"비교",""))))</f>
        <v/>
      </c>
      <c r="R95" s="9">
        <f>IF(Q95="","",$K95&amp;"")</f>
        <v/>
      </c>
      <c r="S95" s="9">
        <f>IF(Q95="","",IF(MATCH(R95,$R$5:$R$100000,0)=ROW()-4,ROW(),""))</f>
        <v/>
      </c>
      <c r="T95" s="9">
        <f>IF(Q95="당기",ABS(P95)+ROW()/1000000000,"")</f>
        <v/>
      </c>
      <c r="U95" s="9">
        <f>IF(Q95="비교",ABS(P95)+ROW()/1000000000,"")</f>
        <v/>
      </c>
      <c r="V95" s="39">
        <f>IF($A95="","",IF(COUNTIF(변동분석!$E$7:$E$506,O95)&gt;0,"Y","N"))</f>
        <v/>
      </c>
      <c r="W95" s="39">
        <f>IF($A95="","",IFERROR(INDEX(계정매핑!$D$5:$D$504,MATCH($F95&amp;"",계정매핑!$A$5:$A$504,0)),"미매핑"))</f>
        <v/>
      </c>
      <c r="X95" s="9">
        <f>IF($A95="","",$F95&amp;"")</f>
        <v/>
      </c>
    </row>
    <row r="96">
      <c r="A96" s="75" t="n">
        <v>2025</v>
      </c>
      <c r="B96" s="75" t="n">
        <v>1</v>
      </c>
      <c r="C96" s="75" t="inlineStr">
        <is>
          <t>5100000092</t>
        </is>
      </c>
      <c r="D96" s="78" t="n">
        <v>45670</v>
      </c>
      <c r="E96" s="75" t="inlineStr">
        <is>
          <t>KR</t>
        </is>
      </c>
      <c r="F96" s="75" t="n">
        <v>62101000</v>
      </c>
      <c r="G96" s="75" t="n">
        <v>1502</v>
      </c>
      <c r="H96" s="76" t="n">
        <v>374000</v>
      </c>
      <c r="I96" s="75" t="inlineStr">
        <is>
          <t>1월 국내출장 - L여행사</t>
        </is>
      </c>
      <c r="J96" s="75" t="inlineStr">
        <is>
          <t>V10014</t>
        </is>
      </c>
      <c r="K96" s="75" t="inlineStr">
        <is>
          <t>L여행사</t>
        </is>
      </c>
      <c r="M96" s="9">
        <f>IF($A96="","",VALUE($A96&amp;"")*12+VALUE($B96&amp;""))</f>
        <v/>
      </c>
      <c r="N96" s="39">
        <f>IF($A96="","",IFERROR(INDEX(부서매핑!$C$5:$C$504,MATCH($G96&amp;"",부서매핑!$A$5:$A$504,0)),"미매핑"))</f>
        <v/>
      </c>
      <c r="O96" s="9">
        <f>IF($A96="","",N96&amp;"|"&amp;$F96)</f>
        <v/>
      </c>
      <c r="P96" s="77">
        <f>IF($A96="",0,$H96*설정!$C$23)</f>
        <v/>
      </c>
      <c r="Q96" s="39">
        <f>IF($A96="","",IF(O96&lt;&gt;원인분석!$C$9,"",IF(AND(M96&gt;=원인분석!$C$10,M96&lt;=원인분석!$C$11),"당기",IF(AND(M96&gt;=원인분석!$C$12,M96&lt;=원인분석!$C$13),"비교",""))))</f>
        <v/>
      </c>
      <c r="R96" s="9">
        <f>IF(Q96="","",$K96&amp;"")</f>
        <v/>
      </c>
      <c r="S96" s="9">
        <f>IF(Q96="","",IF(MATCH(R96,$R$5:$R$100000,0)=ROW()-4,ROW(),""))</f>
        <v/>
      </c>
      <c r="T96" s="9">
        <f>IF(Q96="당기",ABS(P96)+ROW()/1000000000,"")</f>
        <v/>
      </c>
      <c r="U96" s="9">
        <f>IF(Q96="비교",ABS(P96)+ROW()/1000000000,"")</f>
        <v/>
      </c>
      <c r="V96" s="39">
        <f>IF($A96="","",IF(COUNTIF(변동분석!$E$7:$E$506,O96)&gt;0,"Y","N"))</f>
        <v/>
      </c>
      <c r="W96" s="39">
        <f>IF($A96="","",IFERROR(INDEX(계정매핑!$D$5:$D$504,MATCH($F96&amp;"",계정매핑!$A$5:$A$504,0)),"미매핑"))</f>
        <v/>
      </c>
      <c r="X96" s="9">
        <f>IF($A96="","",$F96&amp;"")</f>
        <v/>
      </c>
    </row>
    <row r="97">
      <c r="A97" s="75" t="n">
        <v>2025</v>
      </c>
      <c r="B97" s="75" t="n">
        <v>1</v>
      </c>
      <c r="C97" s="75" t="inlineStr">
        <is>
          <t>5100000093</t>
        </is>
      </c>
      <c r="D97" s="78" t="n">
        <v>45670</v>
      </c>
      <c r="E97" s="75" t="inlineStr">
        <is>
          <t>KR</t>
        </is>
      </c>
      <c r="F97" s="75" t="n">
        <v>62201000</v>
      </c>
      <c r="G97" s="75" t="n">
        <v>1301</v>
      </c>
      <c r="H97" s="76" t="n">
        <v>143000</v>
      </c>
      <c r="I97" s="75" t="inlineStr">
        <is>
          <t>1월 통신요금 - P통신</t>
        </is>
      </c>
      <c r="J97" s="75" t="inlineStr">
        <is>
          <t>V10011</t>
        </is>
      </c>
      <c r="K97" s="75" t="inlineStr">
        <is>
          <t>P통신</t>
        </is>
      </c>
      <c r="M97" s="9">
        <f>IF($A97="","",VALUE($A97&amp;"")*12+VALUE($B97&amp;""))</f>
        <v/>
      </c>
      <c r="N97" s="39">
        <f>IF($A97="","",IFERROR(INDEX(부서매핑!$C$5:$C$504,MATCH($G97&amp;"",부서매핑!$A$5:$A$504,0)),"미매핑"))</f>
        <v/>
      </c>
      <c r="O97" s="9">
        <f>IF($A97="","",N97&amp;"|"&amp;$F97)</f>
        <v/>
      </c>
      <c r="P97" s="77">
        <f>IF($A97="",0,$H97*설정!$C$23)</f>
        <v/>
      </c>
      <c r="Q97" s="39">
        <f>IF($A97="","",IF(O97&lt;&gt;원인분석!$C$9,"",IF(AND(M97&gt;=원인분석!$C$10,M97&lt;=원인분석!$C$11),"당기",IF(AND(M97&gt;=원인분석!$C$12,M97&lt;=원인분석!$C$13),"비교",""))))</f>
        <v/>
      </c>
      <c r="R97" s="9">
        <f>IF(Q97="","",$K97&amp;"")</f>
        <v/>
      </c>
      <c r="S97" s="9">
        <f>IF(Q97="","",IF(MATCH(R97,$R$5:$R$100000,0)=ROW()-4,ROW(),""))</f>
        <v/>
      </c>
      <c r="T97" s="9">
        <f>IF(Q97="당기",ABS(P97)+ROW()/1000000000,"")</f>
        <v/>
      </c>
      <c r="U97" s="9">
        <f>IF(Q97="비교",ABS(P97)+ROW()/1000000000,"")</f>
        <v/>
      </c>
      <c r="V97" s="39">
        <f>IF($A97="","",IF(COUNTIF(변동분석!$E$7:$E$506,O97)&gt;0,"Y","N"))</f>
        <v/>
      </c>
      <c r="W97" s="39">
        <f>IF($A97="","",IFERROR(INDEX(계정매핑!$D$5:$D$504,MATCH($F97&amp;"",계정매핑!$A$5:$A$504,0)),"미매핑"))</f>
        <v/>
      </c>
      <c r="X97" s="9">
        <f>IF($A97="","",$F97&amp;"")</f>
        <v/>
      </c>
    </row>
    <row r="98">
      <c r="A98" s="75" t="n">
        <v>2025</v>
      </c>
      <c r="B98" s="75" t="n">
        <v>1</v>
      </c>
      <c r="C98" s="75" t="inlineStr">
        <is>
          <t>5100000094</t>
        </is>
      </c>
      <c r="D98" s="78" t="n">
        <v>45670</v>
      </c>
      <c r="E98" s="75" t="inlineStr">
        <is>
          <t>KR</t>
        </is>
      </c>
      <c r="F98" s="75" t="n">
        <v>62301000</v>
      </c>
      <c r="G98" s="75" t="n">
        <v>1301</v>
      </c>
      <c r="H98" s="76" t="n">
        <v>215000</v>
      </c>
      <c r="I98" s="75" t="inlineStr">
        <is>
          <t>1월 소모품 구입 - R문구</t>
        </is>
      </c>
      <c r="J98" s="75" t="inlineStr">
        <is>
          <t>V10018</t>
        </is>
      </c>
      <c r="K98" s="75" t="inlineStr">
        <is>
          <t>R문구</t>
        </is>
      </c>
      <c r="M98" s="9">
        <f>IF($A98="","",VALUE($A98&amp;"")*12+VALUE($B98&amp;""))</f>
        <v/>
      </c>
      <c r="N98" s="39">
        <f>IF($A98="","",IFERROR(INDEX(부서매핑!$C$5:$C$504,MATCH($G98&amp;"",부서매핑!$A$5:$A$504,0)),"미매핑"))</f>
        <v/>
      </c>
      <c r="O98" s="9">
        <f>IF($A98="","",N98&amp;"|"&amp;$F98)</f>
        <v/>
      </c>
      <c r="P98" s="77">
        <f>IF($A98="",0,$H98*설정!$C$23)</f>
        <v/>
      </c>
      <c r="Q98" s="39">
        <f>IF($A98="","",IF(O98&lt;&gt;원인분석!$C$9,"",IF(AND(M98&gt;=원인분석!$C$10,M98&lt;=원인분석!$C$11),"당기",IF(AND(M98&gt;=원인분석!$C$12,M98&lt;=원인분석!$C$13),"비교",""))))</f>
        <v/>
      </c>
      <c r="R98" s="9">
        <f>IF(Q98="","",$K98&amp;"")</f>
        <v/>
      </c>
      <c r="S98" s="9">
        <f>IF(Q98="","",IF(MATCH(R98,$R$5:$R$100000,0)=ROW()-4,ROW(),""))</f>
        <v/>
      </c>
      <c r="T98" s="9">
        <f>IF(Q98="당기",ABS(P98)+ROW()/1000000000,"")</f>
        <v/>
      </c>
      <c r="U98" s="9">
        <f>IF(Q98="비교",ABS(P98)+ROW()/1000000000,"")</f>
        <v/>
      </c>
      <c r="V98" s="39">
        <f>IF($A98="","",IF(COUNTIF(변동분석!$E$7:$E$506,O98)&gt;0,"Y","N"))</f>
        <v/>
      </c>
      <c r="W98" s="39">
        <f>IF($A98="","",IFERROR(INDEX(계정매핑!$D$5:$D$504,MATCH($F98&amp;"",계정매핑!$A$5:$A$504,0)),"미매핑"))</f>
        <v/>
      </c>
      <c r="X98" s="9">
        <f>IF($A98="","",$F98&amp;"")</f>
        <v/>
      </c>
    </row>
    <row r="99">
      <c r="A99" s="75" t="n">
        <v>2025</v>
      </c>
      <c r="B99" s="75" t="n">
        <v>1</v>
      </c>
      <c r="C99" s="75" t="inlineStr">
        <is>
          <t>5100000095</t>
        </is>
      </c>
      <c r="D99" s="78" t="n">
        <v>45670</v>
      </c>
      <c r="E99" s="75" t="inlineStr">
        <is>
          <t>KR</t>
        </is>
      </c>
      <c r="F99" s="75" t="n">
        <v>62301000</v>
      </c>
      <c r="G99" s="75" t="n">
        <v>1401</v>
      </c>
      <c r="H99" s="76" t="n">
        <v>85000</v>
      </c>
      <c r="I99" s="75" t="inlineStr">
        <is>
          <t>1월 소모품 구입 - Q오피스</t>
        </is>
      </c>
      <c r="J99" s="75" t="inlineStr">
        <is>
          <t>V10003</t>
        </is>
      </c>
      <c r="K99" s="75" t="inlineStr">
        <is>
          <t>Q오피스</t>
        </is>
      </c>
      <c r="M99" s="9">
        <f>IF($A99="","",VALUE($A99&amp;"")*12+VALUE($B99&amp;""))</f>
        <v/>
      </c>
      <c r="N99" s="39">
        <f>IF($A99="","",IFERROR(INDEX(부서매핑!$C$5:$C$504,MATCH($G99&amp;"",부서매핑!$A$5:$A$504,0)),"미매핑"))</f>
        <v/>
      </c>
      <c r="O99" s="9">
        <f>IF($A99="","",N99&amp;"|"&amp;$F99)</f>
        <v/>
      </c>
      <c r="P99" s="77">
        <f>IF($A99="",0,$H99*설정!$C$23)</f>
        <v/>
      </c>
      <c r="Q99" s="39">
        <f>IF($A99="","",IF(O99&lt;&gt;원인분석!$C$9,"",IF(AND(M99&gt;=원인분석!$C$10,M99&lt;=원인분석!$C$11),"당기",IF(AND(M99&gt;=원인분석!$C$12,M99&lt;=원인분석!$C$13),"비교",""))))</f>
        <v/>
      </c>
      <c r="R99" s="9">
        <f>IF(Q99="","",$K99&amp;"")</f>
        <v/>
      </c>
      <c r="S99" s="9">
        <f>IF(Q99="","",IF(MATCH(R99,$R$5:$R$100000,0)=ROW()-4,ROW(),""))</f>
        <v/>
      </c>
      <c r="T99" s="9">
        <f>IF(Q99="당기",ABS(P99)+ROW()/1000000000,"")</f>
        <v/>
      </c>
      <c r="U99" s="9">
        <f>IF(Q99="비교",ABS(P99)+ROW()/1000000000,"")</f>
        <v/>
      </c>
      <c r="V99" s="39">
        <f>IF($A99="","",IF(COUNTIF(변동분석!$E$7:$E$506,O99)&gt;0,"Y","N"))</f>
        <v/>
      </c>
      <c r="W99" s="39">
        <f>IF($A99="","",IFERROR(INDEX(계정매핑!$D$5:$D$504,MATCH($F99&amp;"",계정매핑!$A$5:$A$504,0)),"미매핑"))</f>
        <v/>
      </c>
      <c r="X99" s="9">
        <f>IF($A99="","",$F99&amp;"")</f>
        <v/>
      </c>
    </row>
    <row r="100">
      <c r="A100" s="75" t="n">
        <v>2025</v>
      </c>
      <c r="B100" s="75" t="n">
        <v>1</v>
      </c>
      <c r="C100" s="75" t="inlineStr">
        <is>
          <t>5100000096</t>
        </is>
      </c>
      <c r="D100" s="78" t="n">
        <v>45670</v>
      </c>
      <c r="E100" s="75" t="inlineStr">
        <is>
          <t>KR</t>
        </is>
      </c>
      <c r="F100" s="75" t="n">
        <v>62401000</v>
      </c>
      <c r="G100" s="75" t="n">
        <v>1401</v>
      </c>
      <c r="H100" s="76" t="n">
        <v>189000</v>
      </c>
      <c r="I100" s="75" t="inlineStr">
        <is>
          <t>1월 인쇄물 제작 - S출판</t>
        </is>
      </c>
      <c r="J100" s="75" t="inlineStr">
        <is>
          <t>V10012</t>
        </is>
      </c>
      <c r="K100" s="75" t="inlineStr">
        <is>
          <t>S출판</t>
        </is>
      </c>
      <c r="M100" s="9">
        <f>IF($A100="","",VALUE($A100&amp;"")*12+VALUE($B100&amp;""))</f>
        <v/>
      </c>
      <c r="N100" s="39">
        <f>IF($A100="","",IFERROR(INDEX(부서매핑!$C$5:$C$504,MATCH($G100&amp;"",부서매핑!$A$5:$A$504,0)),"미매핑"))</f>
        <v/>
      </c>
      <c r="O100" s="9">
        <f>IF($A100="","",N100&amp;"|"&amp;$F100)</f>
        <v/>
      </c>
      <c r="P100" s="77">
        <f>IF($A100="",0,$H100*설정!$C$23)</f>
        <v/>
      </c>
      <c r="Q100" s="39">
        <f>IF($A100="","",IF(O100&lt;&gt;원인분석!$C$9,"",IF(AND(M100&gt;=원인분석!$C$10,M100&lt;=원인분석!$C$11),"당기",IF(AND(M100&gt;=원인분석!$C$12,M100&lt;=원인분석!$C$13),"비교",""))))</f>
        <v/>
      </c>
      <c r="R100" s="9">
        <f>IF(Q100="","",$K100&amp;"")</f>
        <v/>
      </c>
      <c r="S100" s="9">
        <f>IF(Q100="","",IF(MATCH(R100,$R$5:$R$100000,0)=ROW()-4,ROW(),""))</f>
        <v/>
      </c>
      <c r="T100" s="9">
        <f>IF(Q100="당기",ABS(P100)+ROW()/1000000000,"")</f>
        <v/>
      </c>
      <c r="U100" s="9">
        <f>IF(Q100="비교",ABS(P100)+ROW()/1000000000,"")</f>
        <v/>
      </c>
      <c r="V100" s="39">
        <f>IF($A100="","",IF(COUNTIF(변동분석!$E$7:$E$506,O100)&gt;0,"Y","N"))</f>
        <v/>
      </c>
      <c r="W100" s="39">
        <f>IF($A100="","",IFERROR(INDEX(계정매핑!$D$5:$D$504,MATCH($F100&amp;"",계정매핑!$A$5:$A$504,0)),"미매핑"))</f>
        <v/>
      </c>
      <c r="X100" s="9">
        <f>IF($A100="","",$F100&amp;"")</f>
        <v/>
      </c>
    </row>
    <row r="101">
      <c r="A101" s="75" t="n">
        <v>2025</v>
      </c>
      <c r="B101" s="75" t="n">
        <v>1</v>
      </c>
      <c r="C101" s="75" t="inlineStr">
        <is>
          <t>5100000097</t>
        </is>
      </c>
      <c r="D101" s="78" t="n">
        <v>45670</v>
      </c>
      <c r="E101" s="75" t="inlineStr">
        <is>
          <t>KR</t>
        </is>
      </c>
      <c r="F101" s="75" t="n">
        <v>62802000</v>
      </c>
      <c r="G101" s="75" t="n">
        <v>1301</v>
      </c>
      <c r="H101" s="76" t="n">
        <v>5457000</v>
      </c>
      <c r="I101" s="75" t="inlineStr">
        <is>
          <t>1월 위탁교육 - V아카데미</t>
        </is>
      </c>
      <c r="J101" s="75" t="inlineStr">
        <is>
          <t>V10023</t>
        </is>
      </c>
      <c r="K101" s="75" t="inlineStr">
        <is>
          <t>V아카데미</t>
        </is>
      </c>
      <c r="M101" s="9">
        <f>IF($A101="","",VALUE($A101&amp;"")*12+VALUE($B101&amp;""))</f>
        <v/>
      </c>
      <c r="N101" s="39">
        <f>IF($A101="","",IFERROR(INDEX(부서매핑!$C$5:$C$504,MATCH($G101&amp;"",부서매핑!$A$5:$A$504,0)),"미매핑"))</f>
        <v/>
      </c>
      <c r="O101" s="9">
        <f>IF($A101="","",N101&amp;"|"&amp;$F101)</f>
        <v/>
      </c>
      <c r="P101" s="77">
        <f>IF($A101="",0,$H101*설정!$C$23)</f>
        <v/>
      </c>
      <c r="Q101" s="39">
        <f>IF($A101="","",IF(O101&lt;&gt;원인분석!$C$9,"",IF(AND(M101&gt;=원인분석!$C$10,M101&lt;=원인분석!$C$11),"당기",IF(AND(M101&gt;=원인분석!$C$12,M101&lt;=원인분석!$C$13),"비교",""))))</f>
        <v/>
      </c>
      <c r="R101" s="9">
        <f>IF(Q101="","",$K101&amp;"")</f>
        <v/>
      </c>
      <c r="S101" s="9">
        <f>IF(Q101="","",IF(MATCH(R101,$R$5:$R$100000,0)=ROW()-4,ROW(),""))</f>
        <v/>
      </c>
      <c r="T101" s="9">
        <f>IF(Q101="당기",ABS(P101)+ROW()/1000000000,"")</f>
        <v/>
      </c>
      <c r="U101" s="9">
        <f>IF(Q101="비교",ABS(P101)+ROW()/1000000000,"")</f>
        <v/>
      </c>
      <c r="V101" s="39">
        <f>IF($A101="","",IF(COUNTIF(변동분석!$E$7:$E$506,O101)&gt;0,"Y","N"))</f>
        <v/>
      </c>
      <c r="W101" s="39">
        <f>IF($A101="","",IFERROR(INDEX(계정매핑!$D$5:$D$504,MATCH($F101&amp;"",계정매핑!$A$5:$A$504,0)),"미매핑"))</f>
        <v/>
      </c>
      <c r="X101" s="9">
        <f>IF($A101="","",$F101&amp;"")</f>
        <v/>
      </c>
    </row>
    <row r="102">
      <c r="A102" s="75" t="n">
        <v>2025</v>
      </c>
      <c r="B102" s="75" t="n">
        <v>1</v>
      </c>
      <c r="C102" s="75" t="inlineStr">
        <is>
          <t>5100000098</t>
        </is>
      </c>
      <c r="D102" s="78" t="n">
        <v>45670</v>
      </c>
      <c r="E102" s="75" t="inlineStr">
        <is>
          <t>KR</t>
        </is>
      </c>
      <c r="F102" s="75" t="n">
        <v>62901000</v>
      </c>
      <c r="G102" s="75" t="n">
        <v>1101</v>
      </c>
      <c r="H102" s="76" t="n">
        <v>2125000</v>
      </c>
      <c r="I102" s="75" t="inlineStr">
        <is>
          <t>1월 자문 수수료 - K회계법인</t>
        </is>
      </c>
      <c r="J102" s="75" t="inlineStr">
        <is>
          <t>V10010</t>
        </is>
      </c>
      <c r="K102" s="75" t="inlineStr">
        <is>
          <t>K회계법인</t>
        </is>
      </c>
      <c r="M102" s="9">
        <f>IF($A102="","",VALUE($A102&amp;"")*12+VALUE($B102&amp;""))</f>
        <v/>
      </c>
      <c r="N102" s="39">
        <f>IF($A102="","",IFERROR(INDEX(부서매핑!$C$5:$C$504,MATCH($G102&amp;"",부서매핑!$A$5:$A$504,0)),"미매핑"))</f>
        <v/>
      </c>
      <c r="O102" s="9">
        <f>IF($A102="","",N102&amp;"|"&amp;$F102)</f>
        <v/>
      </c>
      <c r="P102" s="77">
        <f>IF($A102="",0,$H102*설정!$C$23)</f>
        <v/>
      </c>
      <c r="Q102" s="39">
        <f>IF($A102="","",IF(O102&lt;&gt;원인분석!$C$9,"",IF(AND(M102&gt;=원인분석!$C$10,M102&lt;=원인분석!$C$11),"당기",IF(AND(M102&gt;=원인분석!$C$12,M102&lt;=원인분석!$C$13),"비교",""))))</f>
        <v/>
      </c>
      <c r="R102" s="9">
        <f>IF(Q102="","",$K102&amp;"")</f>
        <v/>
      </c>
      <c r="S102" s="9">
        <f>IF(Q102="","",IF(MATCH(R102,$R$5:$R$100000,0)=ROW()-4,ROW(),""))</f>
        <v/>
      </c>
      <c r="T102" s="9">
        <f>IF(Q102="당기",ABS(P102)+ROW()/1000000000,"")</f>
        <v/>
      </c>
      <c r="U102" s="9">
        <f>IF(Q102="비교",ABS(P102)+ROW()/1000000000,"")</f>
        <v/>
      </c>
      <c r="V102" s="39">
        <f>IF($A102="","",IF(COUNTIF(변동분석!$E$7:$E$506,O102)&gt;0,"Y","N"))</f>
        <v/>
      </c>
      <c r="W102" s="39">
        <f>IF($A102="","",IFERROR(INDEX(계정매핑!$D$5:$D$504,MATCH($F102&amp;"",계정매핑!$A$5:$A$504,0)),"미매핑"))</f>
        <v/>
      </c>
      <c r="X102" s="9">
        <f>IF($A102="","",$F102&amp;"")</f>
        <v/>
      </c>
    </row>
    <row r="103">
      <c r="A103" s="75" t="n">
        <v>2025</v>
      </c>
      <c r="B103" s="75" t="n">
        <v>1</v>
      </c>
      <c r="C103" s="75" t="inlineStr">
        <is>
          <t>5100000099</t>
        </is>
      </c>
      <c r="D103" s="78" t="n">
        <v>45670</v>
      </c>
      <c r="E103" s="75" t="inlineStr">
        <is>
          <t>KR</t>
        </is>
      </c>
      <c r="F103" s="75" t="n">
        <v>62902000</v>
      </c>
      <c r="G103" s="75" t="n">
        <v>1801</v>
      </c>
      <c r="H103" s="76" t="n">
        <v>1765000</v>
      </c>
      <c r="I103" s="75" t="inlineStr">
        <is>
          <t>1월 콜 위탁 수수료(건별)</t>
        </is>
      </c>
      <c r="J103" s="75" t="inlineStr">
        <is>
          <t>V10013</t>
        </is>
      </c>
      <c r="K103" s="75" t="inlineStr">
        <is>
          <t>J콜센터</t>
        </is>
      </c>
      <c r="M103" s="9">
        <f>IF($A103="","",VALUE($A103&amp;"")*12+VALUE($B103&amp;""))</f>
        <v/>
      </c>
      <c r="N103" s="39">
        <f>IF($A103="","",IFERROR(INDEX(부서매핑!$C$5:$C$504,MATCH($G103&amp;"",부서매핑!$A$5:$A$504,0)),"미매핑"))</f>
        <v/>
      </c>
      <c r="O103" s="9">
        <f>IF($A103="","",N103&amp;"|"&amp;$F103)</f>
        <v/>
      </c>
      <c r="P103" s="77">
        <f>IF($A103="",0,$H103*설정!$C$23)</f>
        <v/>
      </c>
      <c r="Q103" s="39">
        <f>IF($A103="","",IF(O103&lt;&gt;원인분석!$C$9,"",IF(AND(M103&gt;=원인분석!$C$10,M103&lt;=원인분석!$C$11),"당기",IF(AND(M103&gt;=원인분석!$C$12,M103&lt;=원인분석!$C$13),"비교",""))))</f>
        <v/>
      </c>
      <c r="R103" s="9">
        <f>IF(Q103="","",$K103&amp;"")</f>
        <v/>
      </c>
      <c r="S103" s="9">
        <f>IF(Q103="","",IF(MATCH(R103,$R$5:$R$100000,0)=ROW()-4,ROW(),""))</f>
        <v/>
      </c>
      <c r="T103" s="9">
        <f>IF(Q103="당기",ABS(P103)+ROW()/1000000000,"")</f>
        <v/>
      </c>
      <c r="U103" s="9">
        <f>IF(Q103="비교",ABS(P103)+ROW()/1000000000,"")</f>
        <v/>
      </c>
      <c r="V103" s="39">
        <f>IF($A103="","",IF(COUNTIF(변동분석!$E$7:$E$506,O103)&gt;0,"Y","N"))</f>
        <v/>
      </c>
      <c r="W103" s="39">
        <f>IF($A103="","",IFERROR(INDEX(계정매핑!$D$5:$D$504,MATCH($F103&amp;"",계정매핑!$A$5:$A$504,0)),"미매핑"))</f>
        <v/>
      </c>
      <c r="X103" s="9">
        <f>IF($A103="","",$F103&amp;"")</f>
        <v/>
      </c>
    </row>
    <row r="104">
      <c r="A104" s="75" t="n">
        <v>2025</v>
      </c>
      <c r="B104" s="75" t="n">
        <v>1</v>
      </c>
      <c r="C104" s="75" t="inlineStr">
        <is>
          <t>5100000100</t>
        </is>
      </c>
      <c r="D104" s="78" t="n">
        <v>45671</v>
      </c>
      <c r="E104" s="75" t="inlineStr">
        <is>
          <t>KR</t>
        </is>
      </c>
      <c r="F104" s="75" t="n">
        <v>62101000</v>
      </c>
      <c r="G104" s="75" t="n">
        <v>1301</v>
      </c>
      <c r="H104" s="76" t="n">
        <v>187000</v>
      </c>
      <c r="I104" s="75" t="inlineStr">
        <is>
          <t>1월 국내출장 - L여행사</t>
        </is>
      </c>
      <c r="J104" s="75" t="inlineStr">
        <is>
          <t>V10014</t>
        </is>
      </c>
      <c r="K104" s="75" t="inlineStr">
        <is>
          <t>L여행사</t>
        </is>
      </c>
      <c r="M104" s="9">
        <f>IF($A104="","",VALUE($A104&amp;"")*12+VALUE($B104&amp;""))</f>
        <v/>
      </c>
      <c r="N104" s="39">
        <f>IF($A104="","",IFERROR(INDEX(부서매핑!$C$5:$C$504,MATCH($G104&amp;"",부서매핑!$A$5:$A$504,0)),"미매핑"))</f>
        <v/>
      </c>
      <c r="O104" s="9">
        <f>IF($A104="","",N104&amp;"|"&amp;$F104)</f>
        <v/>
      </c>
      <c r="P104" s="77">
        <f>IF($A104="",0,$H104*설정!$C$23)</f>
        <v/>
      </c>
      <c r="Q104" s="39">
        <f>IF($A104="","",IF(O104&lt;&gt;원인분석!$C$9,"",IF(AND(M104&gt;=원인분석!$C$10,M104&lt;=원인분석!$C$11),"당기",IF(AND(M104&gt;=원인분석!$C$12,M104&lt;=원인분석!$C$13),"비교",""))))</f>
        <v/>
      </c>
      <c r="R104" s="9">
        <f>IF(Q104="","",$K104&amp;"")</f>
        <v/>
      </c>
      <c r="S104" s="9">
        <f>IF(Q104="","",IF(MATCH(R104,$R$5:$R$100000,0)=ROW()-4,ROW(),""))</f>
        <v/>
      </c>
      <c r="T104" s="9">
        <f>IF(Q104="당기",ABS(P104)+ROW()/1000000000,"")</f>
        <v/>
      </c>
      <c r="U104" s="9">
        <f>IF(Q104="비교",ABS(P104)+ROW()/1000000000,"")</f>
        <v/>
      </c>
      <c r="V104" s="39">
        <f>IF($A104="","",IF(COUNTIF(변동분석!$E$7:$E$506,O104)&gt;0,"Y","N"))</f>
        <v/>
      </c>
      <c r="W104" s="39">
        <f>IF($A104="","",IFERROR(INDEX(계정매핑!$D$5:$D$504,MATCH($F104&amp;"",계정매핑!$A$5:$A$504,0)),"미매핑"))</f>
        <v/>
      </c>
      <c r="X104" s="9">
        <f>IF($A104="","",$F104&amp;"")</f>
        <v/>
      </c>
    </row>
    <row r="105">
      <c r="A105" s="75" t="n">
        <v>2025</v>
      </c>
      <c r="B105" s="75" t="n">
        <v>1</v>
      </c>
      <c r="C105" s="75" t="inlineStr">
        <is>
          <t>5100000101</t>
        </is>
      </c>
      <c r="D105" s="78" t="n">
        <v>45671</v>
      </c>
      <c r="E105" s="75" t="inlineStr">
        <is>
          <t>KR</t>
        </is>
      </c>
      <c r="F105" s="75" t="n">
        <v>62101000</v>
      </c>
      <c r="G105" s="75" t="n">
        <v>1701</v>
      </c>
      <c r="H105" s="76" t="n">
        <v>221000</v>
      </c>
      <c r="I105" s="75" t="inlineStr">
        <is>
          <t>1월 국내출장 - M항공</t>
        </is>
      </c>
      <c r="J105" s="75" t="inlineStr">
        <is>
          <t>V10001</t>
        </is>
      </c>
      <c r="K105" s="75" t="inlineStr">
        <is>
          <t>M항공</t>
        </is>
      </c>
      <c r="M105" s="9">
        <f>IF($A105="","",VALUE($A105&amp;"")*12+VALUE($B105&amp;""))</f>
        <v/>
      </c>
      <c r="N105" s="39">
        <f>IF($A105="","",IFERROR(INDEX(부서매핑!$C$5:$C$504,MATCH($G105&amp;"",부서매핑!$A$5:$A$504,0)),"미매핑"))</f>
        <v/>
      </c>
      <c r="O105" s="9">
        <f>IF($A105="","",N105&amp;"|"&amp;$F105)</f>
        <v/>
      </c>
      <c r="P105" s="77">
        <f>IF($A105="",0,$H105*설정!$C$23)</f>
        <v/>
      </c>
      <c r="Q105" s="39">
        <f>IF($A105="","",IF(O105&lt;&gt;원인분석!$C$9,"",IF(AND(M105&gt;=원인분석!$C$10,M105&lt;=원인분석!$C$11),"당기",IF(AND(M105&gt;=원인분석!$C$12,M105&lt;=원인분석!$C$13),"비교",""))))</f>
        <v/>
      </c>
      <c r="R105" s="9">
        <f>IF(Q105="","",$K105&amp;"")</f>
        <v/>
      </c>
      <c r="S105" s="9">
        <f>IF(Q105="","",IF(MATCH(R105,$R$5:$R$100000,0)=ROW()-4,ROW(),""))</f>
        <v/>
      </c>
      <c r="T105" s="9">
        <f>IF(Q105="당기",ABS(P105)+ROW()/1000000000,"")</f>
        <v/>
      </c>
      <c r="U105" s="9">
        <f>IF(Q105="비교",ABS(P105)+ROW()/1000000000,"")</f>
        <v/>
      </c>
      <c r="V105" s="39">
        <f>IF($A105="","",IF(COUNTIF(변동분석!$E$7:$E$506,O105)&gt;0,"Y","N"))</f>
        <v/>
      </c>
      <c r="W105" s="39">
        <f>IF($A105="","",IFERROR(INDEX(계정매핑!$D$5:$D$504,MATCH($F105&amp;"",계정매핑!$A$5:$A$504,0)),"미매핑"))</f>
        <v/>
      </c>
      <c r="X105" s="9">
        <f>IF($A105="","",$F105&amp;"")</f>
        <v/>
      </c>
    </row>
    <row r="106">
      <c r="A106" s="75" t="n">
        <v>2025</v>
      </c>
      <c r="B106" s="75" t="n">
        <v>1</v>
      </c>
      <c r="C106" s="75" t="inlineStr">
        <is>
          <t>5100000102</t>
        </is>
      </c>
      <c r="D106" s="78" t="n">
        <v>45671</v>
      </c>
      <c r="E106" s="75" t="inlineStr">
        <is>
          <t>KR</t>
        </is>
      </c>
      <c r="F106" s="75" t="n">
        <v>62102000</v>
      </c>
      <c r="G106" s="75" t="n">
        <v>1601</v>
      </c>
      <c r="H106" s="76" t="n">
        <v>169000</v>
      </c>
      <c r="I106" s="75" t="inlineStr">
        <is>
          <t>1월 해외출장 - N호텔</t>
        </is>
      </c>
      <c r="J106" s="75" t="inlineStr">
        <is>
          <t>V10007</t>
        </is>
      </c>
      <c r="K106" s="75" t="inlineStr">
        <is>
          <t>N호텔</t>
        </is>
      </c>
      <c r="M106" s="9">
        <f>IF($A106="","",VALUE($A106&amp;"")*12+VALUE($B106&amp;""))</f>
        <v/>
      </c>
      <c r="N106" s="39">
        <f>IF($A106="","",IFERROR(INDEX(부서매핑!$C$5:$C$504,MATCH($G106&amp;"",부서매핑!$A$5:$A$504,0)),"미매핑"))</f>
        <v/>
      </c>
      <c r="O106" s="9">
        <f>IF($A106="","",N106&amp;"|"&amp;$F106)</f>
        <v/>
      </c>
      <c r="P106" s="77">
        <f>IF($A106="",0,$H106*설정!$C$23)</f>
        <v/>
      </c>
      <c r="Q106" s="39">
        <f>IF($A106="","",IF(O106&lt;&gt;원인분석!$C$9,"",IF(AND(M106&gt;=원인분석!$C$10,M106&lt;=원인분석!$C$11),"당기",IF(AND(M106&gt;=원인분석!$C$12,M106&lt;=원인분석!$C$13),"비교",""))))</f>
        <v/>
      </c>
      <c r="R106" s="9">
        <f>IF(Q106="","",$K106&amp;"")</f>
        <v/>
      </c>
      <c r="S106" s="9">
        <f>IF(Q106="","",IF(MATCH(R106,$R$5:$R$100000,0)=ROW()-4,ROW(),""))</f>
        <v/>
      </c>
      <c r="T106" s="9">
        <f>IF(Q106="당기",ABS(P106)+ROW()/1000000000,"")</f>
        <v/>
      </c>
      <c r="U106" s="9">
        <f>IF(Q106="비교",ABS(P106)+ROW()/1000000000,"")</f>
        <v/>
      </c>
      <c r="V106" s="39">
        <f>IF($A106="","",IF(COUNTIF(변동분석!$E$7:$E$506,O106)&gt;0,"Y","N"))</f>
        <v/>
      </c>
      <c r="W106" s="39">
        <f>IF($A106="","",IFERROR(INDEX(계정매핑!$D$5:$D$504,MATCH($F106&amp;"",계정매핑!$A$5:$A$504,0)),"미매핑"))</f>
        <v/>
      </c>
      <c r="X106" s="9">
        <f>IF($A106="","",$F106&amp;"")</f>
        <v/>
      </c>
    </row>
    <row r="107">
      <c r="A107" s="75" t="n">
        <v>2025</v>
      </c>
      <c r="B107" s="75" t="n">
        <v>1</v>
      </c>
      <c r="C107" s="75" t="inlineStr">
        <is>
          <t>5100000103</t>
        </is>
      </c>
      <c r="D107" s="78" t="n">
        <v>45671</v>
      </c>
      <c r="E107" s="75" t="inlineStr">
        <is>
          <t>KR</t>
        </is>
      </c>
      <c r="F107" s="75" t="n">
        <v>62102000</v>
      </c>
      <c r="G107" s="75" t="n">
        <v>1701</v>
      </c>
      <c r="H107" s="76" t="n">
        <v>41000</v>
      </c>
      <c r="I107" s="75" t="inlineStr">
        <is>
          <t>1월 해외출장 - M항공</t>
        </is>
      </c>
      <c r="J107" s="75" t="inlineStr">
        <is>
          <t>V10001</t>
        </is>
      </c>
      <c r="K107" s="75" t="inlineStr">
        <is>
          <t>M항공</t>
        </is>
      </c>
      <c r="M107" s="9">
        <f>IF($A107="","",VALUE($A107&amp;"")*12+VALUE($B107&amp;""))</f>
        <v/>
      </c>
      <c r="N107" s="39">
        <f>IF($A107="","",IFERROR(INDEX(부서매핑!$C$5:$C$504,MATCH($G107&amp;"",부서매핑!$A$5:$A$504,0)),"미매핑"))</f>
        <v/>
      </c>
      <c r="O107" s="9">
        <f>IF($A107="","",N107&amp;"|"&amp;$F107)</f>
        <v/>
      </c>
      <c r="P107" s="77">
        <f>IF($A107="",0,$H107*설정!$C$23)</f>
        <v/>
      </c>
      <c r="Q107" s="39">
        <f>IF($A107="","",IF(O107&lt;&gt;원인분석!$C$9,"",IF(AND(M107&gt;=원인분석!$C$10,M107&lt;=원인분석!$C$11),"당기",IF(AND(M107&gt;=원인분석!$C$12,M107&lt;=원인분석!$C$13),"비교",""))))</f>
        <v/>
      </c>
      <c r="R107" s="9">
        <f>IF(Q107="","",$K107&amp;"")</f>
        <v/>
      </c>
      <c r="S107" s="9">
        <f>IF(Q107="","",IF(MATCH(R107,$R$5:$R$100000,0)=ROW()-4,ROW(),""))</f>
        <v/>
      </c>
      <c r="T107" s="9">
        <f>IF(Q107="당기",ABS(P107)+ROW()/1000000000,"")</f>
        <v/>
      </c>
      <c r="U107" s="9">
        <f>IF(Q107="비교",ABS(P107)+ROW()/1000000000,"")</f>
        <v/>
      </c>
      <c r="V107" s="39">
        <f>IF($A107="","",IF(COUNTIF(변동분석!$E$7:$E$506,O107)&gt;0,"Y","N"))</f>
        <v/>
      </c>
      <c r="W107" s="39">
        <f>IF($A107="","",IFERROR(INDEX(계정매핑!$D$5:$D$504,MATCH($F107&amp;"",계정매핑!$A$5:$A$504,0)),"미매핑"))</f>
        <v/>
      </c>
      <c r="X107" s="9">
        <f>IF($A107="","",$F107&amp;"")</f>
        <v/>
      </c>
    </row>
    <row r="108">
      <c r="A108" s="75" t="n">
        <v>2025</v>
      </c>
      <c r="B108" s="75" t="n">
        <v>1</v>
      </c>
      <c r="C108" s="75" t="inlineStr">
        <is>
          <t>5100000104</t>
        </is>
      </c>
      <c r="D108" s="78" t="n">
        <v>45671</v>
      </c>
      <c r="E108" s="75" t="inlineStr">
        <is>
          <t>KR</t>
        </is>
      </c>
      <c r="F108" s="75" t="n">
        <v>62102000</v>
      </c>
      <c r="G108" s="75" t="n">
        <v>1701</v>
      </c>
      <c r="H108" s="76" t="n">
        <v>47000</v>
      </c>
      <c r="I108" s="75" t="inlineStr">
        <is>
          <t>1월 해외출장 - M항공</t>
        </is>
      </c>
      <c r="J108" s="75" t="inlineStr">
        <is>
          <t>V10001</t>
        </is>
      </c>
      <c r="K108" s="75" t="inlineStr">
        <is>
          <t>M항공</t>
        </is>
      </c>
      <c r="M108" s="9">
        <f>IF($A108="","",VALUE($A108&amp;"")*12+VALUE($B108&amp;""))</f>
        <v/>
      </c>
      <c r="N108" s="39">
        <f>IF($A108="","",IFERROR(INDEX(부서매핑!$C$5:$C$504,MATCH($G108&amp;"",부서매핑!$A$5:$A$504,0)),"미매핑"))</f>
        <v/>
      </c>
      <c r="O108" s="9">
        <f>IF($A108="","",N108&amp;"|"&amp;$F108)</f>
        <v/>
      </c>
      <c r="P108" s="77">
        <f>IF($A108="",0,$H108*설정!$C$23)</f>
        <v/>
      </c>
      <c r="Q108" s="39">
        <f>IF($A108="","",IF(O108&lt;&gt;원인분석!$C$9,"",IF(AND(M108&gt;=원인분석!$C$10,M108&lt;=원인분석!$C$11),"당기",IF(AND(M108&gt;=원인분석!$C$12,M108&lt;=원인분석!$C$13),"비교",""))))</f>
        <v/>
      </c>
      <c r="R108" s="9">
        <f>IF(Q108="","",$K108&amp;"")</f>
        <v/>
      </c>
      <c r="S108" s="9">
        <f>IF(Q108="","",IF(MATCH(R108,$R$5:$R$100000,0)=ROW()-4,ROW(),""))</f>
        <v/>
      </c>
      <c r="T108" s="9">
        <f>IF(Q108="당기",ABS(P108)+ROW()/1000000000,"")</f>
        <v/>
      </c>
      <c r="U108" s="9">
        <f>IF(Q108="비교",ABS(P108)+ROW()/1000000000,"")</f>
        <v/>
      </c>
      <c r="V108" s="39">
        <f>IF($A108="","",IF(COUNTIF(변동분석!$E$7:$E$506,O108)&gt;0,"Y","N"))</f>
        <v/>
      </c>
      <c r="W108" s="39">
        <f>IF($A108="","",IFERROR(INDEX(계정매핑!$D$5:$D$504,MATCH($F108&amp;"",계정매핑!$A$5:$A$504,0)),"미매핑"))</f>
        <v/>
      </c>
      <c r="X108" s="9">
        <f>IF($A108="","",$F108&amp;"")</f>
        <v/>
      </c>
    </row>
    <row r="109">
      <c r="A109" s="75" t="n">
        <v>2025</v>
      </c>
      <c r="B109" s="75" t="n">
        <v>1</v>
      </c>
      <c r="C109" s="75" t="inlineStr">
        <is>
          <t>5100000105</t>
        </is>
      </c>
      <c r="D109" s="78" t="n">
        <v>45671</v>
      </c>
      <c r="E109" s="75" t="inlineStr">
        <is>
          <t>KR</t>
        </is>
      </c>
      <c r="F109" s="75" t="n">
        <v>62102000</v>
      </c>
      <c r="G109" s="75" t="n">
        <v>1701</v>
      </c>
      <c r="H109" s="76" t="n">
        <v>36000</v>
      </c>
      <c r="I109" s="75" t="inlineStr">
        <is>
          <t>1월 해외출장 - N호텔</t>
        </is>
      </c>
      <c r="J109" s="75" t="inlineStr">
        <is>
          <t>V10007</t>
        </is>
      </c>
      <c r="K109" s="75" t="inlineStr">
        <is>
          <t>N호텔</t>
        </is>
      </c>
      <c r="M109" s="9">
        <f>IF($A109="","",VALUE($A109&amp;"")*12+VALUE($B109&amp;""))</f>
        <v/>
      </c>
      <c r="N109" s="39">
        <f>IF($A109="","",IFERROR(INDEX(부서매핑!$C$5:$C$504,MATCH($G109&amp;"",부서매핑!$A$5:$A$504,0)),"미매핑"))</f>
        <v/>
      </c>
      <c r="O109" s="9">
        <f>IF($A109="","",N109&amp;"|"&amp;$F109)</f>
        <v/>
      </c>
      <c r="P109" s="77">
        <f>IF($A109="",0,$H109*설정!$C$23)</f>
        <v/>
      </c>
      <c r="Q109" s="39">
        <f>IF($A109="","",IF(O109&lt;&gt;원인분석!$C$9,"",IF(AND(M109&gt;=원인분석!$C$10,M109&lt;=원인분석!$C$11),"당기",IF(AND(M109&gt;=원인분석!$C$12,M109&lt;=원인분석!$C$13),"비교",""))))</f>
        <v/>
      </c>
      <c r="R109" s="9">
        <f>IF(Q109="","",$K109&amp;"")</f>
        <v/>
      </c>
      <c r="S109" s="9">
        <f>IF(Q109="","",IF(MATCH(R109,$R$5:$R$100000,0)=ROW()-4,ROW(),""))</f>
        <v/>
      </c>
      <c r="T109" s="9">
        <f>IF(Q109="당기",ABS(P109)+ROW()/1000000000,"")</f>
        <v/>
      </c>
      <c r="U109" s="9">
        <f>IF(Q109="비교",ABS(P109)+ROW()/1000000000,"")</f>
        <v/>
      </c>
      <c r="V109" s="39">
        <f>IF($A109="","",IF(COUNTIF(변동분석!$E$7:$E$506,O109)&gt;0,"Y","N"))</f>
        <v/>
      </c>
      <c r="W109" s="39">
        <f>IF($A109="","",IFERROR(INDEX(계정매핑!$D$5:$D$504,MATCH($F109&amp;"",계정매핑!$A$5:$A$504,0)),"미매핑"))</f>
        <v/>
      </c>
      <c r="X109" s="9">
        <f>IF($A109="","",$F109&amp;"")</f>
        <v/>
      </c>
    </row>
    <row r="110">
      <c r="A110" s="75" t="n">
        <v>2025</v>
      </c>
      <c r="B110" s="75" t="n">
        <v>1</v>
      </c>
      <c r="C110" s="75" t="inlineStr">
        <is>
          <t>5100000106</t>
        </is>
      </c>
      <c r="D110" s="78" t="n">
        <v>45671</v>
      </c>
      <c r="E110" s="75" t="inlineStr">
        <is>
          <t>KR</t>
        </is>
      </c>
      <c r="F110" s="75" t="n">
        <v>62201000</v>
      </c>
      <c r="G110" s="75" t="n">
        <v>1101</v>
      </c>
      <c r="H110" s="76" t="n">
        <v>301000</v>
      </c>
      <c r="I110" s="75" t="inlineStr">
        <is>
          <t>1월 통신요금 - O텔레콤</t>
        </is>
      </c>
      <c r="J110" s="75" t="inlineStr">
        <is>
          <t>V10002</t>
        </is>
      </c>
      <c r="K110" s="75" t="inlineStr">
        <is>
          <t>O텔레콤</t>
        </is>
      </c>
      <c r="M110" s="9">
        <f>IF($A110="","",VALUE($A110&amp;"")*12+VALUE($B110&amp;""))</f>
        <v/>
      </c>
      <c r="N110" s="39">
        <f>IF($A110="","",IFERROR(INDEX(부서매핑!$C$5:$C$504,MATCH($G110&amp;"",부서매핑!$A$5:$A$504,0)),"미매핑"))</f>
        <v/>
      </c>
      <c r="O110" s="9">
        <f>IF($A110="","",N110&amp;"|"&amp;$F110)</f>
        <v/>
      </c>
      <c r="P110" s="77">
        <f>IF($A110="",0,$H110*설정!$C$23)</f>
        <v/>
      </c>
      <c r="Q110" s="39">
        <f>IF($A110="","",IF(O110&lt;&gt;원인분석!$C$9,"",IF(AND(M110&gt;=원인분석!$C$10,M110&lt;=원인분석!$C$11),"당기",IF(AND(M110&gt;=원인분석!$C$12,M110&lt;=원인분석!$C$13),"비교",""))))</f>
        <v/>
      </c>
      <c r="R110" s="9">
        <f>IF(Q110="","",$K110&amp;"")</f>
        <v/>
      </c>
      <c r="S110" s="9">
        <f>IF(Q110="","",IF(MATCH(R110,$R$5:$R$100000,0)=ROW()-4,ROW(),""))</f>
        <v/>
      </c>
      <c r="T110" s="9">
        <f>IF(Q110="당기",ABS(P110)+ROW()/1000000000,"")</f>
        <v/>
      </c>
      <c r="U110" s="9">
        <f>IF(Q110="비교",ABS(P110)+ROW()/1000000000,"")</f>
        <v/>
      </c>
      <c r="V110" s="39">
        <f>IF($A110="","",IF(COUNTIF(변동분석!$E$7:$E$506,O110)&gt;0,"Y","N"))</f>
        <v/>
      </c>
      <c r="W110" s="39">
        <f>IF($A110="","",IFERROR(INDEX(계정매핑!$D$5:$D$504,MATCH($F110&amp;"",계정매핑!$A$5:$A$504,0)),"미매핑"))</f>
        <v/>
      </c>
      <c r="X110" s="9">
        <f>IF($A110="","",$F110&amp;"")</f>
        <v/>
      </c>
    </row>
    <row r="111">
      <c r="A111" s="75" t="n">
        <v>2025</v>
      </c>
      <c r="B111" s="75" t="n">
        <v>1</v>
      </c>
      <c r="C111" s="75" t="inlineStr">
        <is>
          <t>5100000107</t>
        </is>
      </c>
      <c r="D111" s="78" t="n">
        <v>45671</v>
      </c>
      <c r="E111" s="75" t="inlineStr">
        <is>
          <t>KR</t>
        </is>
      </c>
      <c r="F111" s="75" t="n">
        <v>62201000</v>
      </c>
      <c r="G111" s="75" t="n">
        <v>1201</v>
      </c>
      <c r="H111" s="76" t="n">
        <v>130000</v>
      </c>
      <c r="I111" s="75" t="inlineStr">
        <is>
          <t>1월 통신요금 - P통신</t>
        </is>
      </c>
      <c r="J111" s="75" t="inlineStr">
        <is>
          <t>V10011</t>
        </is>
      </c>
      <c r="K111" s="75" t="inlineStr">
        <is>
          <t>P통신</t>
        </is>
      </c>
      <c r="M111" s="9">
        <f>IF($A111="","",VALUE($A111&amp;"")*12+VALUE($B111&amp;""))</f>
        <v/>
      </c>
      <c r="N111" s="39">
        <f>IF($A111="","",IFERROR(INDEX(부서매핑!$C$5:$C$504,MATCH($G111&amp;"",부서매핑!$A$5:$A$504,0)),"미매핑"))</f>
        <v/>
      </c>
      <c r="O111" s="9">
        <f>IF($A111="","",N111&amp;"|"&amp;$F111)</f>
        <v/>
      </c>
      <c r="P111" s="77">
        <f>IF($A111="",0,$H111*설정!$C$23)</f>
        <v/>
      </c>
      <c r="Q111" s="39">
        <f>IF($A111="","",IF(O111&lt;&gt;원인분석!$C$9,"",IF(AND(M111&gt;=원인분석!$C$10,M111&lt;=원인분석!$C$11),"당기",IF(AND(M111&gt;=원인분석!$C$12,M111&lt;=원인분석!$C$13),"비교",""))))</f>
        <v/>
      </c>
      <c r="R111" s="9">
        <f>IF(Q111="","",$K111&amp;"")</f>
        <v/>
      </c>
      <c r="S111" s="9">
        <f>IF(Q111="","",IF(MATCH(R111,$R$5:$R$100000,0)=ROW()-4,ROW(),""))</f>
        <v/>
      </c>
      <c r="T111" s="9">
        <f>IF(Q111="당기",ABS(P111)+ROW()/1000000000,"")</f>
        <v/>
      </c>
      <c r="U111" s="9">
        <f>IF(Q111="비교",ABS(P111)+ROW()/1000000000,"")</f>
        <v/>
      </c>
      <c r="V111" s="39">
        <f>IF($A111="","",IF(COUNTIF(변동분석!$E$7:$E$506,O111)&gt;0,"Y","N"))</f>
        <v/>
      </c>
      <c r="W111" s="39">
        <f>IF($A111="","",IFERROR(INDEX(계정매핑!$D$5:$D$504,MATCH($F111&amp;"",계정매핑!$A$5:$A$504,0)),"미매핑"))</f>
        <v/>
      </c>
      <c r="X111" s="9">
        <f>IF($A111="","",$F111&amp;"")</f>
        <v/>
      </c>
    </row>
    <row r="112">
      <c r="A112" s="75" t="n">
        <v>2025</v>
      </c>
      <c r="B112" s="75" t="n">
        <v>1</v>
      </c>
      <c r="C112" s="75" t="inlineStr">
        <is>
          <t>5100000108</t>
        </is>
      </c>
      <c r="D112" s="78" t="n">
        <v>45671</v>
      </c>
      <c r="E112" s="75" t="inlineStr">
        <is>
          <t>KR</t>
        </is>
      </c>
      <c r="F112" s="75" t="n">
        <v>62201000</v>
      </c>
      <c r="G112" s="75" t="n">
        <v>1301</v>
      </c>
      <c r="H112" s="76" t="n">
        <v>142000</v>
      </c>
      <c r="I112" s="75" t="inlineStr">
        <is>
          <t>1월 통신요금 - O텔레콤</t>
        </is>
      </c>
      <c r="J112" s="75" t="inlineStr">
        <is>
          <t>V10002</t>
        </is>
      </c>
      <c r="K112" s="75" t="inlineStr">
        <is>
          <t>O텔레콤</t>
        </is>
      </c>
      <c r="M112" s="9">
        <f>IF($A112="","",VALUE($A112&amp;"")*12+VALUE($B112&amp;""))</f>
        <v/>
      </c>
      <c r="N112" s="39">
        <f>IF($A112="","",IFERROR(INDEX(부서매핑!$C$5:$C$504,MATCH($G112&amp;"",부서매핑!$A$5:$A$504,0)),"미매핑"))</f>
        <v/>
      </c>
      <c r="O112" s="9">
        <f>IF($A112="","",N112&amp;"|"&amp;$F112)</f>
        <v/>
      </c>
      <c r="P112" s="77">
        <f>IF($A112="",0,$H112*설정!$C$23)</f>
        <v/>
      </c>
      <c r="Q112" s="39">
        <f>IF($A112="","",IF(O112&lt;&gt;원인분석!$C$9,"",IF(AND(M112&gt;=원인분석!$C$10,M112&lt;=원인분석!$C$11),"당기",IF(AND(M112&gt;=원인분석!$C$12,M112&lt;=원인분석!$C$13),"비교",""))))</f>
        <v/>
      </c>
      <c r="R112" s="9">
        <f>IF(Q112="","",$K112&amp;"")</f>
        <v/>
      </c>
      <c r="S112" s="9">
        <f>IF(Q112="","",IF(MATCH(R112,$R$5:$R$100000,0)=ROW()-4,ROW(),""))</f>
        <v/>
      </c>
      <c r="T112" s="9">
        <f>IF(Q112="당기",ABS(P112)+ROW()/1000000000,"")</f>
        <v/>
      </c>
      <c r="U112" s="9">
        <f>IF(Q112="비교",ABS(P112)+ROW()/1000000000,"")</f>
        <v/>
      </c>
      <c r="V112" s="39">
        <f>IF($A112="","",IF(COUNTIF(변동분석!$E$7:$E$506,O112)&gt;0,"Y","N"))</f>
        <v/>
      </c>
      <c r="W112" s="39">
        <f>IF($A112="","",IFERROR(INDEX(계정매핑!$D$5:$D$504,MATCH($F112&amp;"",계정매핑!$A$5:$A$504,0)),"미매핑"))</f>
        <v/>
      </c>
      <c r="X112" s="9">
        <f>IF($A112="","",$F112&amp;"")</f>
        <v/>
      </c>
    </row>
    <row r="113">
      <c r="A113" s="75" t="n">
        <v>2025</v>
      </c>
      <c r="B113" s="75" t="n">
        <v>1</v>
      </c>
      <c r="C113" s="75" t="inlineStr">
        <is>
          <t>5100000109</t>
        </is>
      </c>
      <c r="D113" s="78" t="n">
        <v>45671</v>
      </c>
      <c r="E113" s="75" t="inlineStr">
        <is>
          <t>KR</t>
        </is>
      </c>
      <c r="F113" s="75" t="n">
        <v>62201000</v>
      </c>
      <c r="G113" s="75" t="n">
        <v>1801</v>
      </c>
      <c r="H113" s="76" t="n">
        <v>4450000</v>
      </c>
      <c r="I113" s="75" t="inlineStr">
        <is>
          <t>1월 통신요금 - P통신</t>
        </is>
      </c>
      <c r="J113" s="75" t="inlineStr">
        <is>
          <t>V10011</t>
        </is>
      </c>
      <c r="K113" s="75" t="inlineStr">
        <is>
          <t>P통신</t>
        </is>
      </c>
      <c r="M113" s="9">
        <f>IF($A113="","",VALUE($A113&amp;"")*12+VALUE($B113&amp;""))</f>
        <v/>
      </c>
      <c r="N113" s="39">
        <f>IF($A113="","",IFERROR(INDEX(부서매핑!$C$5:$C$504,MATCH($G113&amp;"",부서매핑!$A$5:$A$504,0)),"미매핑"))</f>
        <v/>
      </c>
      <c r="O113" s="9">
        <f>IF($A113="","",N113&amp;"|"&amp;$F113)</f>
        <v/>
      </c>
      <c r="P113" s="77">
        <f>IF($A113="",0,$H113*설정!$C$23)</f>
        <v/>
      </c>
      <c r="Q113" s="39">
        <f>IF($A113="","",IF(O113&lt;&gt;원인분석!$C$9,"",IF(AND(M113&gt;=원인분석!$C$10,M113&lt;=원인분석!$C$11),"당기",IF(AND(M113&gt;=원인분석!$C$12,M113&lt;=원인분석!$C$13),"비교",""))))</f>
        <v/>
      </c>
      <c r="R113" s="9">
        <f>IF(Q113="","",$K113&amp;"")</f>
        <v/>
      </c>
      <c r="S113" s="9">
        <f>IF(Q113="","",IF(MATCH(R113,$R$5:$R$100000,0)=ROW()-4,ROW(),""))</f>
        <v/>
      </c>
      <c r="T113" s="9">
        <f>IF(Q113="당기",ABS(P113)+ROW()/1000000000,"")</f>
        <v/>
      </c>
      <c r="U113" s="9">
        <f>IF(Q113="비교",ABS(P113)+ROW()/1000000000,"")</f>
        <v/>
      </c>
      <c r="V113" s="39">
        <f>IF($A113="","",IF(COUNTIF(변동분석!$E$7:$E$506,O113)&gt;0,"Y","N"))</f>
        <v/>
      </c>
      <c r="W113" s="39">
        <f>IF($A113="","",IFERROR(INDEX(계정매핑!$D$5:$D$504,MATCH($F113&amp;"",계정매핑!$A$5:$A$504,0)),"미매핑"))</f>
        <v/>
      </c>
      <c r="X113" s="9">
        <f>IF($A113="","",$F113&amp;"")</f>
        <v/>
      </c>
    </row>
    <row r="114">
      <c r="A114" s="75" t="n">
        <v>2025</v>
      </c>
      <c r="B114" s="75" t="n">
        <v>1</v>
      </c>
      <c r="C114" s="75" t="inlineStr">
        <is>
          <t>5100000110</t>
        </is>
      </c>
      <c r="D114" s="78" t="n">
        <v>45671</v>
      </c>
      <c r="E114" s="75" t="inlineStr">
        <is>
          <t>KR</t>
        </is>
      </c>
      <c r="F114" s="75" t="n">
        <v>62301000</v>
      </c>
      <c r="G114" s="75" t="n">
        <v>1801</v>
      </c>
      <c r="H114" s="76" t="n">
        <v>736000</v>
      </c>
      <c r="I114" s="75" t="inlineStr">
        <is>
          <t>1월 소모품 구입 - Q오피스</t>
        </is>
      </c>
      <c r="J114" s="75" t="inlineStr">
        <is>
          <t>V10003</t>
        </is>
      </c>
      <c r="K114" s="75" t="inlineStr">
        <is>
          <t>Q오피스</t>
        </is>
      </c>
      <c r="M114" s="9">
        <f>IF($A114="","",VALUE($A114&amp;"")*12+VALUE($B114&amp;""))</f>
        <v/>
      </c>
      <c r="N114" s="39">
        <f>IF($A114="","",IFERROR(INDEX(부서매핑!$C$5:$C$504,MATCH($G114&amp;"",부서매핑!$A$5:$A$504,0)),"미매핑"))</f>
        <v/>
      </c>
      <c r="O114" s="9">
        <f>IF($A114="","",N114&amp;"|"&amp;$F114)</f>
        <v/>
      </c>
      <c r="P114" s="77">
        <f>IF($A114="",0,$H114*설정!$C$23)</f>
        <v/>
      </c>
      <c r="Q114" s="39">
        <f>IF($A114="","",IF(O114&lt;&gt;원인분석!$C$9,"",IF(AND(M114&gt;=원인분석!$C$10,M114&lt;=원인분석!$C$11),"당기",IF(AND(M114&gt;=원인분석!$C$12,M114&lt;=원인분석!$C$13),"비교",""))))</f>
        <v/>
      </c>
      <c r="R114" s="9">
        <f>IF(Q114="","",$K114&amp;"")</f>
        <v/>
      </c>
      <c r="S114" s="9">
        <f>IF(Q114="","",IF(MATCH(R114,$R$5:$R$100000,0)=ROW()-4,ROW(),""))</f>
        <v/>
      </c>
      <c r="T114" s="9">
        <f>IF(Q114="당기",ABS(P114)+ROW()/1000000000,"")</f>
        <v/>
      </c>
      <c r="U114" s="9">
        <f>IF(Q114="비교",ABS(P114)+ROW()/1000000000,"")</f>
        <v/>
      </c>
      <c r="V114" s="39">
        <f>IF($A114="","",IF(COUNTIF(변동분석!$E$7:$E$506,O114)&gt;0,"Y","N"))</f>
        <v/>
      </c>
      <c r="W114" s="39">
        <f>IF($A114="","",IFERROR(INDEX(계정매핑!$D$5:$D$504,MATCH($F114&amp;"",계정매핑!$A$5:$A$504,0)),"미매핑"))</f>
        <v/>
      </c>
      <c r="X114" s="9">
        <f>IF($A114="","",$F114&amp;"")</f>
        <v/>
      </c>
    </row>
    <row r="115">
      <c r="A115" s="75" t="n">
        <v>2025</v>
      </c>
      <c r="B115" s="75" t="n">
        <v>1</v>
      </c>
      <c r="C115" s="75" t="inlineStr">
        <is>
          <t>5100000111</t>
        </is>
      </c>
      <c r="D115" s="78" t="n">
        <v>45671</v>
      </c>
      <c r="E115" s="75" t="inlineStr">
        <is>
          <t>KR</t>
        </is>
      </c>
      <c r="F115" s="75" t="n">
        <v>62501000</v>
      </c>
      <c r="G115" s="75" t="n">
        <v>1201</v>
      </c>
      <c r="H115" s="76" t="n">
        <v>162000</v>
      </c>
      <c r="I115" s="75" t="inlineStr">
        <is>
          <t>1월 회의 다과 - T케이터링</t>
        </is>
      </c>
      <c r="J115" s="75" t="inlineStr">
        <is>
          <t>V10005</t>
        </is>
      </c>
      <c r="K115" s="75" t="inlineStr">
        <is>
          <t>T케이터링</t>
        </is>
      </c>
      <c r="M115" s="9">
        <f>IF($A115="","",VALUE($A115&amp;"")*12+VALUE($B115&amp;""))</f>
        <v/>
      </c>
      <c r="N115" s="39">
        <f>IF($A115="","",IFERROR(INDEX(부서매핑!$C$5:$C$504,MATCH($G115&amp;"",부서매핑!$A$5:$A$504,0)),"미매핑"))</f>
        <v/>
      </c>
      <c r="O115" s="9">
        <f>IF($A115="","",N115&amp;"|"&amp;$F115)</f>
        <v/>
      </c>
      <c r="P115" s="77">
        <f>IF($A115="",0,$H115*설정!$C$23)</f>
        <v/>
      </c>
      <c r="Q115" s="39">
        <f>IF($A115="","",IF(O115&lt;&gt;원인분석!$C$9,"",IF(AND(M115&gt;=원인분석!$C$10,M115&lt;=원인분석!$C$11),"당기",IF(AND(M115&gt;=원인분석!$C$12,M115&lt;=원인분석!$C$13),"비교",""))))</f>
        <v/>
      </c>
      <c r="R115" s="9">
        <f>IF(Q115="","",$K115&amp;"")</f>
        <v/>
      </c>
      <c r="S115" s="9">
        <f>IF(Q115="","",IF(MATCH(R115,$R$5:$R$100000,0)=ROW()-4,ROW(),""))</f>
        <v/>
      </c>
      <c r="T115" s="9">
        <f>IF(Q115="당기",ABS(P115)+ROW()/1000000000,"")</f>
        <v/>
      </c>
      <c r="U115" s="9">
        <f>IF(Q115="비교",ABS(P115)+ROW()/1000000000,"")</f>
        <v/>
      </c>
      <c r="V115" s="39">
        <f>IF($A115="","",IF(COUNTIF(변동분석!$E$7:$E$506,O115)&gt;0,"Y","N"))</f>
        <v/>
      </c>
      <c r="W115" s="39">
        <f>IF($A115="","",IFERROR(INDEX(계정매핑!$D$5:$D$504,MATCH($F115&amp;"",계정매핑!$A$5:$A$504,0)),"미매핑"))</f>
        <v/>
      </c>
      <c r="X115" s="9">
        <f>IF($A115="","",$F115&amp;"")</f>
        <v/>
      </c>
    </row>
    <row r="116">
      <c r="A116" s="75" t="n">
        <v>2025</v>
      </c>
      <c r="B116" s="75" t="n">
        <v>1</v>
      </c>
      <c r="C116" s="75" t="inlineStr">
        <is>
          <t>5100000112</t>
        </is>
      </c>
      <c r="D116" s="78" t="n">
        <v>45671</v>
      </c>
      <c r="E116" s="75" t="inlineStr">
        <is>
          <t>KR</t>
        </is>
      </c>
      <c r="F116" s="75" t="n">
        <v>62501000</v>
      </c>
      <c r="G116" s="75" t="n">
        <v>1301</v>
      </c>
      <c r="H116" s="76" t="n">
        <v>167000</v>
      </c>
      <c r="I116" s="75" t="inlineStr">
        <is>
          <t>1월 회의 다과 - (법인카드)</t>
        </is>
      </c>
      <c r="J116" s="75" t="inlineStr">
        <is>
          <t>V10008</t>
        </is>
      </c>
      <c r="K116" s="75" t="inlineStr">
        <is>
          <t>(법인카드)</t>
        </is>
      </c>
      <c r="M116" s="9">
        <f>IF($A116="","",VALUE($A116&amp;"")*12+VALUE($B116&amp;""))</f>
        <v/>
      </c>
      <c r="N116" s="39">
        <f>IF($A116="","",IFERROR(INDEX(부서매핑!$C$5:$C$504,MATCH($G116&amp;"",부서매핑!$A$5:$A$504,0)),"미매핑"))</f>
        <v/>
      </c>
      <c r="O116" s="9">
        <f>IF($A116="","",N116&amp;"|"&amp;$F116)</f>
        <v/>
      </c>
      <c r="P116" s="77">
        <f>IF($A116="",0,$H116*설정!$C$23)</f>
        <v/>
      </c>
      <c r="Q116" s="39">
        <f>IF($A116="","",IF(O116&lt;&gt;원인분석!$C$9,"",IF(AND(M116&gt;=원인분석!$C$10,M116&lt;=원인분석!$C$11),"당기",IF(AND(M116&gt;=원인분석!$C$12,M116&lt;=원인분석!$C$13),"비교",""))))</f>
        <v/>
      </c>
      <c r="R116" s="9">
        <f>IF(Q116="","",$K116&amp;"")</f>
        <v/>
      </c>
      <c r="S116" s="9">
        <f>IF(Q116="","",IF(MATCH(R116,$R$5:$R$100000,0)=ROW()-4,ROW(),""))</f>
        <v/>
      </c>
      <c r="T116" s="9">
        <f>IF(Q116="당기",ABS(P116)+ROW()/1000000000,"")</f>
        <v/>
      </c>
      <c r="U116" s="9">
        <f>IF(Q116="비교",ABS(P116)+ROW()/1000000000,"")</f>
        <v/>
      </c>
      <c r="V116" s="39">
        <f>IF($A116="","",IF(COUNTIF(변동분석!$E$7:$E$506,O116)&gt;0,"Y","N"))</f>
        <v/>
      </c>
      <c r="W116" s="39">
        <f>IF($A116="","",IFERROR(INDEX(계정매핑!$D$5:$D$504,MATCH($F116&amp;"",계정매핑!$A$5:$A$504,0)),"미매핑"))</f>
        <v/>
      </c>
      <c r="X116" s="9">
        <f>IF($A116="","",$F116&amp;"")</f>
        <v/>
      </c>
    </row>
    <row r="117">
      <c r="A117" s="75" t="n">
        <v>2025</v>
      </c>
      <c r="B117" s="75" t="n">
        <v>1</v>
      </c>
      <c r="C117" s="75" t="inlineStr">
        <is>
          <t>5100000113</t>
        </is>
      </c>
      <c r="D117" s="78" t="n">
        <v>45671</v>
      </c>
      <c r="E117" s="75" t="inlineStr">
        <is>
          <t>KR</t>
        </is>
      </c>
      <c r="F117" s="75" t="n">
        <v>62902000</v>
      </c>
      <c r="G117" s="75" t="n">
        <v>1801</v>
      </c>
      <c r="H117" s="76" t="n">
        <v>1786000</v>
      </c>
      <c r="I117" s="75" t="inlineStr">
        <is>
          <t>1월 콜 위탁 수수료(건별)</t>
        </is>
      </c>
      <c r="J117" s="75" t="inlineStr">
        <is>
          <t>V10013</t>
        </is>
      </c>
      <c r="K117" s="75" t="inlineStr">
        <is>
          <t>J콜센터</t>
        </is>
      </c>
      <c r="M117" s="9">
        <f>IF($A117="","",VALUE($A117&amp;"")*12+VALUE($B117&amp;""))</f>
        <v/>
      </c>
      <c r="N117" s="39">
        <f>IF($A117="","",IFERROR(INDEX(부서매핑!$C$5:$C$504,MATCH($G117&amp;"",부서매핑!$A$5:$A$504,0)),"미매핑"))</f>
        <v/>
      </c>
      <c r="O117" s="9">
        <f>IF($A117="","",N117&amp;"|"&amp;$F117)</f>
        <v/>
      </c>
      <c r="P117" s="77">
        <f>IF($A117="",0,$H117*설정!$C$23)</f>
        <v/>
      </c>
      <c r="Q117" s="39">
        <f>IF($A117="","",IF(O117&lt;&gt;원인분석!$C$9,"",IF(AND(M117&gt;=원인분석!$C$10,M117&lt;=원인분석!$C$11),"당기",IF(AND(M117&gt;=원인분석!$C$12,M117&lt;=원인분석!$C$13),"비교",""))))</f>
        <v/>
      </c>
      <c r="R117" s="9">
        <f>IF(Q117="","",$K117&amp;"")</f>
        <v/>
      </c>
      <c r="S117" s="9">
        <f>IF(Q117="","",IF(MATCH(R117,$R$5:$R$100000,0)=ROW()-4,ROW(),""))</f>
        <v/>
      </c>
      <c r="T117" s="9">
        <f>IF(Q117="당기",ABS(P117)+ROW()/1000000000,"")</f>
        <v/>
      </c>
      <c r="U117" s="9">
        <f>IF(Q117="비교",ABS(P117)+ROW()/1000000000,"")</f>
        <v/>
      </c>
      <c r="V117" s="39">
        <f>IF($A117="","",IF(COUNTIF(변동분석!$E$7:$E$506,O117)&gt;0,"Y","N"))</f>
        <v/>
      </c>
      <c r="W117" s="39">
        <f>IF($A117="","",IFERROR(INDEX(계정매핑!$D$5:$D$504,MATCH($F117&amp;"",계정매핑!$A$5:$A$504,0)),"미매핑"))</f>
        <v/>
      </c>
      <c r="X117" s="9">
        <f>IF($A117="","",$F117&amp;"")</f>
        <v/>
      </c>
    </row>
    <row r="118">
      <c r="A118" s="75" t="n">
        <v>2025</v>
      </c>
      <c r="B118" s="75" t="n">
        <v>1</v>
      </c>
      <c r="C118" s="75" t="inlineStr">
        <is>
          <t>5100000114</t>
        </is>
      </c>
      <c r="D118" s="78" t="n">
        <v>45671</v>
      </c>
      <c r="E118" s="75" t="inlineStr">
        <is>
          <t>KR</t>
        </is>
      </c>
      <c r="F118" s="75" t="n">
        <v>63001000</v>
      </c>
      <c r="G118" s="75" t="n">
        <v>1701</v>
      </c>
      <c r="H118" s="76" t="n">
        <v>21480000</v>
      </c>
      <c r="I118" s="75" t="inlineStr">
        <is>
          <t>1월 SW 유지보수 - Z시스템</t>
        </is>
      </c>
      <c r="J118" s="75" t="inlineStr">
        <is>
          <t>V10021</t>
        </is>
      </c>
      <c r="K118" s="75" t="inlineStr">
        <is>
          <t>Z시스템</t>
        </is>
      </c>
      <c r="M118" s="9">
        <f>IF($A118="","",VALUE($A118&amp;"")*12+VALUE($B118&amp;""))</f>
        <v/>
      </c>
      <c r="N118" s="39">
        <f>IF($A118="","",IFERROR(INDEX(부서매핑!$C$5:$C$504,MATCH($G118&amp;"",부서매핑!$A$5:$A$504,0)),"미매핑"))</f>
        <v/>
      </c>
      <c r="O118" s="9">
        <f>IF($A118="","",N118&amp;"|"&amp;$F118)</f>
        <v/>
      </c>
      <c r="P118" s="77">
        <f>IF($A118="",0,$H118*설정!$C$23)</f>
        <v/>
      </c>
      <c r="Q118" s="39">
        <f>IF($A118="","",IF(O118&lt;&gt;원인분석!$C$9,"",IF(AND(M118&gt;=원인분석!$C$10,M118&lt;=원인분석!$C$11),"당기",IF(AND(M118&gt;=원인분석!$C$12,M118&lt;=원인분석!$C$13),"비교",""))))</f>
        <v/>
      </c>
      <c r="R118" s="9">
        <f>IF(Q118="","",$K118&amp;"")</f>
        <v/>
      </c>
      <c r="S118" s="9">
        <f>IF(Q118="","",IF(MATCH(R118,$R$5:$R$100000,0)=ROW()-4,ROW(),""))</f>
        <v/>
      </c>
      <c r="T118" s="9">
        <f>IF(Q118="당기",ABS(P118)+ROW()/1000000000,"")</f>
        <v/>
      </c>
      <c r="U118" s="9">
        <f>IF(Q118="비교",ABS(P118)+ROW()/1000000000,"")</f>
        <v/>
      </c>
      <c r="V118" s="39">
        <f>IF($A118="","",IF(COUNTIF(변동분석!$E$7:$E$506,O118)&gt;0,"Y","N"))</f>
        <v/>
      </c>
      <c r="W118" s="39">
        <f>IF($A118="","",IFERROR(INDEX(계정매핑!$D$5:$D$504,MATCH($F118&amp;"",계정매핑!$A$5:$A$504,0)),"미매핑"))</f>
        <v/>
      </c>
      <c r="X118" s="9">
        <f>IF($A118="","",$F118&amp;"")</f>
        <v/>
      </c>
    </row>
    <row r="119">
      <c r="A119" s="75" t="n">
        <v>2025</v>
      </c>
      <c r="B119" s="75" t="n">
        <v>1</v>
      </c>
      <c r="C119" s="75" t="inlineStr">
        <is>
          <t>5100000115</t>
        </is>
      </c>
      <c r="D119" s="78" t="n">
        <v>45671</v>
      </c>
      <c r="E119" s="75" t="inlineStr">
        <is>
          <t>KR</t>
        </is>
      </c>
      <c r="F119" s="75" t="n">
        <v>63101000</v>
      </c>
      <c r="G119" s="75" t="n">
        <v>1601</v>
      </c>
      <c r="H119" s="76" t="n">
        <v>3122000</v>
      </c>
      <c r="I119" s="75" t="inlineStr">
        <is>
          <t>1월 사무실 임차료 - BB부동산</t>
        </is>
      </c>
      <c r="J119" s="75" t="inlineStr">
        <is>
          <t>V10024</t>
        </is>
      </c>
      <c r="K119" s="75" t="inlineStr">
        <is>
          <t>BB부동산</t>
        </is>
      </c>
      <c r="M119" s="9">
        <f>IF($A119="","",VALUE($A119&amp;"")*12+VALUE($B119&amp;""))</f>
        <v/>
      </c>
      <c r="N119" s="39">
        <f>IF($A119="","",IFERROR(INDEX(부서매핑!$C$5:$C$504,MATCH($G119&amp;"",부서매핑!$A$5:$A$504,0)),"미매핑"))</f>
        <v/>
      </c>
      <c r="O119" s="9">
        <f>IF($A119="","",N119&amp;"|"&amp;$F119)</f>
        <v/>
      </c>
      <c r="P119" s="77">
        <f>IF($A119="",0,$H119*설정!$C$23)</f>
        <v/>
      </c>
      <c r="Q119" s="39">
        <f>IF($A119="","",IF(O119&lt;&gt;원인분석!$C$9,"",IF(AND(M119&gt;=원인분석!$C$10,M119&lt;=원인분석!$C$11),"당기",IF(AND(M119&gt;=원인분석!$C$12,M119&lt;=원인분석!$C$13),"비교",""))))</f>
        <v/>
      </c>
      <c r="R119" s="9">
        <f>IF(Q119="","",$K119&amp;"")</f>
        <v/>
      </c>
      <c r="S119" s="9">
        <f>IF(Q119="","",IF(MATCH(R119,$R$5:$R$100000,0)=ROW()-4,ROW(),""))</f>
        <v/>
      </c>
      <c r="T119" s="9">
        <f>IF(Q119="당기",ABS(P119)+ROW()/1000000000,"")</f>
        <v/>
      </c>
      <c r="U119" s="9">
        <f>IF(Q119="비교",ABS(P119)+ROW()/1000000000,"")</f>
        <v/>
      </c>
      <c r="V119" s="39">
        <f>IF($A119="","",IF(COUNTIF(변동분석!$E$7:$E$506,O119)&gt;0,"Y","N"))</f>
        <v/>
      </c>
      <c r="W119" s="39">
        <f>IF($A119="","",IFERROR(INDEX(계정매핑!$D$5:$D$504,MATCH($F119&amp;"",계정매핑!$A$5:$A$504,0)),"미매핑"))</f>
        <v/>
      </c>
      <c r="X119" s="9">
        <f>IF($A119="","",$F119&amp;"")</f>
        <v/>
      </c>
    </row>
    <row r="120">
      <c r="A120" s="75" t="n">
        <v>2025</v>
      </c>
      <c r="B120" s="75" t="n">
        <v>1</v>
      </c>
      <c r="C120" s="75" t="inlineStr">
        <is>
          <t>5100000116</t>
        </is>
      </c>
      <c r="D120" s="78" t="n">
        <v>45672</v>
      </c>
      <c r="E120" s="75" t="inlineStr">
        <is>
          <t>KR</t>
        </is>
      </c>
      <c r="F120" s="75" t="n">
        <v>62101000</v>
      </c>
      <c r="G120" s="75" t="n">
        <v>1401</v>
      </c>
      <c r="H120" s="76" t="n">
        <v>245000</v>
      </c>
      <c r="I120" s="75" t="inlineStr">
        <is>
          <t>1월 국내출장 - L여행사</t>
        </is>
      </c>
      <c r="J120" s="75" t="inlineStr">
        <is>
          <t>V10014</t>
        </is>
      </c>
      <c r="K120" s="75" t="inlineStr">
        <is>
          <t>L여행사</t>
        </is>
      </c>
      <c r="M120" s="9">
        <f>IF($A120="","",VALUE($A120&amp;"")*12+VALUE($B120&amp;""))</f>
        <v/>
      </c>
      <c r="N120" s="39">
        <f>IF($A120="","",IFERROR(INDEX(부서매핑!$C$5:$C$504,MATCH($G120&amp;"",부서매핑!$A$5:$A$504,0)),"미매핑"))</f>
        <v/>
      </c>
      <c r="O120" s="9">
        <f>IF($A120="","",N120&amp;"|"&amp;$F120)</f>
        <v/>
      </c>
      <c r="P120" s="77">
        <f>IF($A120="",0,$H120*설정!$C$23)</f>
        <v/>
      </c>
      <c r="Q120" s="39">
        <f>IF($A120="","",IF(O120&lt;&gt;원인분석!$C$9,"",IF(AND(M120&gt;=원인분석!$C$10,M120&lt;=원인분석!$C$11),"당기",IF(AND(M120&gt;=원인분석!$C$12,M120&lt;=원인분석!$C$13),"비교",""))))</f>
        <v/>
      </c>
      <c r="R120" s="9">
        <f>IF(Q120="","",$K120&amp;"")</f>
        <v/>
      </c>
      <c r="S120" s="9">
        <f>IF(Q120="","",IF(MATCH(R120,$R$5:$R$100000,0)=ROW()-4,ROW(),""))</f>
        <v/>
      </c>
      <c r="T120" s="9">
        <f>IF(Q120="당기",ABS(P120)+ROW()/1000000000,"")</f>
        <v/>
      </c>
      <c r="U120" s="9">
        <f>IF(Q120="비교",ABS(P120)+ROW()/1000000000,"")</f>
        <v/>
      </c>
      <c r="V120" s="39">
        <f>IF($A120="","",IF(COUNTIF(변동분석!$E$7:$E$506,O120)&gt;0,"Y","N"))</f>
        <v/>
      </c>
      <c r="W120" s="39">
        <f>IF($A120="","",IFERROR(INDEX(계정매핑!$D$5:$D$504,MATCH($F120&amp;"",계정매핑!$A$5:$A$504,0)),"미매핑"))</f>
        <v/>
      </c>
      <c r="X120" s="9">
        <f>IF($A120="","",$F120&amp;"")</f>
        <v/>
      </c>
    </row>
    <row r="121">
      <c r="A121" s="75" t="n">
        <v>2025</v>
      </c>
      <c r="B121" s="75" t="n">
        <v>1</v>
      </c>
      <c r="C121" s="75" t="inlineStr">
        <is>
          <t>5100000117</t>
        </is>
      </c>
      <c r="D121" s="78" t="n">
        <v>45672</v>
      </c>
      <c r="E121" s="75" t="inlineStr">
        <is>
          <t>KR</t>
        </is>
      </c>
      <c r="F121" s="75" t="n">
        <v>62101000</v>
      </c>
      <c r="G121" s="75" t="n">
        <v>1501</v>
      </c>
      <c r="H121" s="76" t="n">
        <v>463000</v>
      </c>
      <c r="I121" s="75" t="inlineStr">
        <is>
          <t>1월 국내출장 - M항공</t>
        </is>
      </c>
      <c r="J121" s="75" t="inlineStr">
        <is>
          <t>V10001</t>
        </is>
      </c>
      <c r="K121" s="75" t="inlineStr">
        <is>
          <t>M항공</t>
        </is>
      </c>
      <c r="M121" s="9">
        <f>IF($A121="","",VALUE($A121&amp;"")*12+VALUE($B121&amp;""))</f>
        <v/>
      </c>
      <c r="N121" s="39">
        <f>IF($A121="","",IFERROR(INDEX(부서매핑!$C$5:$C$504,MATCH($G121&amp;"",부서매핑!$A$5:$A$504,0)),"미매핑"))</f>
        <v/>
      </c>
      <c r="O121" s="9">
        <f>IF($A121="","",N121&amp;"|"&amp;$F121)</f>
        <v/>
      </c>
      <c r="P121" s="77">
        <f>IF($A121="",0,$H121*설정!$C$23)</f>
        <v/>
      </c>
      <c r="Q121" s="39">
        <f>IF($A121="","",IF(O121&lt;&gt;원인분석!$C$9,"",IF(AND(M121&gt;=원인분석!$C$10,M121&lt;=원인분석!$C$11),"당기",IF(AND(M121&gt;=원인분석!$C$12,M121&lt;=원인분석!$C$13),"비교",""))))</f>
        <v/>
      </c>
      <c r="R121" s="9">
        <f>IF(Q121="","",$K121&amp;"")</f>
        <v/>
      </c>
      <c r="S121" s="9">
        <f>IF(Q121="","",IF(MATCH(R121,$R$5:$R$100000,0)=ROW()-4,ROW(),""))</f>
        <v/>
      </c>
      <c r="T121" s="9">
        <f>IF(Q121="당기",ABS(P121)+ROW()/1000000000,"")</f>
        <v/>
      </c>
      <c r="U121" s="9">
        <f>IF(Q121="비교",ABS(P121)+ROW()/1000000000,"")</f>
        <v/>
      </c>
      <c r="V121" s="39">
        <f>IF($A121="","",IF(COUNTIF(변동분석!$E$7:$E$506,O121)&gt;0,"Y","N"))</f>
        <v/>
      </c>
      <c r="W121" s="39">
        <f>IF($A121="","",IFERROR(INDEX(계정매핑!$D$5:$D$504,MATCH($F121&amp;"",계정매핑!$A$5:$A$504,0)),"미매핑"))</f>
        <v/>
      </c>
      <c r="X121" s="9">
        <f>IF($A121="","",$F121&amp;"")</f>
        <v/>
      </c>
    </row>
    <row r="122">
      <c r="A122" s="75" t="n">
        <v>2025</v>
      </c>
      <c r="B122" s="75" t="n">
        <v>1</v>
      </c>
      <c r="C122" s="75" t="inlineStr">
        <is>
          <t>5100000118</t>
        </is>
      </c>
      <c r="D122" s="78" t="n">
        <v>45672</v>
      </c>
      <c r="E122" s="75" t="inlineStr">
        <is>
          <t>KR</t>
        </is>
      </c>
      <c r="F122" s="75" t="n">
        <v>62102000</v>
      </c>
      <c r="G122" s="75" t="n">
        <v>1501</v>
      </c>
      <c r="H122" s="76" t="n">
        <v>145000</v>
      </c>
      <c r="I122" s="75" t="inlineStr">
        <is>
          <t>1월 해외출장 - M항공</t>
        </is>
      </c>
      <c r="J122" s="75" t="inlineStr">
        <is>
          <t>V10001</t>
        </is>
      </c>
      <c r="K122" s="75" t="inlineStr">
        <is>
          <t>M항공</t>
        </is>
      </c>
      <c r="M122" s="9">
        <f>IF($A122="","",VALUE($A122&amp;"")*12+VALUE($B122&amp;""))</f>
        <v/>
      </c>
      <c r="N122" s="39">
        <f>IF($A122="","",IFERROR(INDEX(부서매핑!$C$5:$C$504,MATCH($G122&amp;"",부서매핑!$A$5:$A$504,0)),"미매핑"))</f>
        <v/>
      </c>
      <c r="O122" s="9">
        <f>IF($A122="","",N122&amp;"|"&amp;$F122)</f>
        <v/>
      </c>
      <c r="P122" s="77">
        <f>IF($A122="",0,$H122*설정!$C$23)</f>
        <v/>
      </c>
      <c r="Q122" s="39">
        <f>IF($A122="","",IF(O122&lt;&gt;원인분석!$C$9,"",IF(AND(M122&gt;=원인분석!$C$10,M122&lt;=원인분석!$C$11),"당기",IF(AND(M122&gt;=원인분석!$C$12,M122&lt;=원인분석!$C$13),"비교",""))))</f>
        <v/>
      </c>
      <c r="R122" s="9">
        <f>IF(Q122="","",$K122&amp;"")</f>
        <v/>
      </c>
      <c r="S122" s="9">
        <f>IF(Q122="","",IF(MATCH(R122,$R$5:$R$100000,0)=ROW()-4,ROW(),""))</f>
        <v/>
      </c>
      <c r="T122" s="9">
        <f>IF(Q122="당기",ABS(P122)+ROW()/1000000000,"")</f>
        <v/>
      </c>
      <c r="U122" s="9">
        <f>IF(Q122="비교",ABS(P122)+ROW()/1000000000,"")</f>
        <v/>
      </c>
      <c r="V122" s="39">
        <f>IF($A122="","",IF(COUNTIF(변동분석!$E$7:$E$506,O122)&gt;0,"Y","N"))</f>
        <v/>
      </c>
      <c r="W122" s="39">
        <f>IF($A122="","",IFERROR(INDEX(계정매핑!$D$5:$D$504,MATCH($F122&amp;"",계정매핑!$A$5:$A$504,0)),"미매핑"))</f>
        <v/>
      </c>
      <c r="X122" s="9">
        <f>IF($A122="","",$F122&amp;"")</f>
        <v/>
      </c>
    </row>
    <row r="123">
      <c r="A123" s="75" t="n">
        <v>2025</v>
      </c>
      <c r="B123" s="75" t="n">
        <v>1</v>
      </c>
      <c r="C123" s="75" t="inlineStr">
        <is>
          <t>5100000119</t>
        </is>
      </c>
      <c r="D123" s="78" t="n">
        <v>45672</v>
      </c>
      <c r="E123" s="75" t="inlineStr">
        <is>
          <t>KR</t>
        </is>
      </c>
      <c r="F123" s="75" t="n">
        <v>62102000</v>
      </c>
      <c r="G123" s="75" t="n">
        <v>1801</v>
      </c>
      <c r="H123" s="76" t="n">
        <v>66000</v>
      </c>
      <c r="I123" s="75" t="inlineStr">
        <is>
          <t>1월 해외출장 - M항공</t>
        </is>
      </c>
      <c r="J123" s="75" t="inlineStr">
        <is>
          <t>V10001</t>
        </is>
      </c>
      <c r="K123" s="75" t="inlineStr">
        <is>
          <t>M항공</t>
        </is>
      </c>
      <c r="M123" s="9">
        <f>IF($A123="","",VALUE($A123&amp;"")*12+VALUE($B123&amp;""))</f>
        <v/>
      </c>
      <c r="N123" s="39">
        <f>IF($A123="","",IFERROR(INDEX(부서매핑!$C$5:$C$504,MATCH($G123&amp;"",부서매핑!$A$5:$A$504,0)),"미매핑"))</f>
        <v/>
      </c>
      <c r="O123" s="9">
        <f>IF($A123="","",N123&amp;"|"&amp;$F123)</f>
        <v/>
      </c>
      <c r="P123" s="77">
        <f>IF($A123="",0,$H123*설정!$C$23)</f>
        <v/>
      </c>
      <c r="Q123" s="39">
        <f>IF($A123="","",IF(O123&lt;&gt;원인분석!$C$9,"",IF(AND(M123&gt;=원인분석!$C$10,M123&lt;=원인분석!$C$11),"당기",IF(AND(M123&gt;=원인분석!$C$12,M123&lt;=원인분석!$C$13),"비교",""))))</f>
        <v/>
      </c>
      <c r="R123" s="9">
        <f>IF(Q123="","",$K123&amp;"")</f>
        <v/>
      </c>
      <c r="S123" s="9">
        <f>IF(Q123="","",IF(MATCH(R123,$R$5:$R$100000,0)=ROW()-4,ROW(),""))</f>
        <v/>
      </c>
      <c r="T123" s="9">
        <f>IF(Q123="당기",ABS(P123)+ROW()/1000000000,"")</f>
        <v/>
      </c>
      <c r="U123" s="9">
        <f>IF(Q123="비교",ABS(P123)+ROW()/1000000000,"")</f>
        <v/>
      </c>
      <c r="V123" s="39">
        <f>IF($A123="","",IF(COUNTIF(변동분석!$E$7:$E$506,O123)&gt;0,"Y","N"))</f>
        <v/>
      </c>
      <c r="W123" s="39">
        <f>IF($A123="","",IFERROR(INDEX(계정매핑!$D$5:$D$504,MATCH($F123&amp;"",계정매핑!$A$5:$A$504,0)),"미매핑"))</f>
        <v/>
      </c>
      <c r="X123" s="9">
        <f>IF($A123="","",$F123&amp;"")</f>
        <v/>
      </c>
    </row>
    <row r="124">
      <c r="A124" s="75" t="n">
        <v>2025</v>
      </c>
      <c r="B124" s="75" t="n">
        <v>1</v>
      </c>
      <c r="C124" s="75" t="inlineStr">
        <is>
          <t>5100000120</t>
        </is>
      </c>
      <c r="D124" s="78" t="n">
        <v>45672</v>
      </c>
      <c r="E124" s="75" t="inlineStr">
        <is>
          <t>KR</t>
        </is>
      </c>
      <c r="F124" s="75" t="n">
        <v>62201000</v>
      </c>
      <c r="G124" s="75" t="n">
        <v>1401</v>
      </c>
      <c r="H124" s="76" t="n">
        <v>244000</v>
      </c>
      <c r="I124" s="75" t="inlineStr">
        <is>
          <t>1월 통신요금 - O텔레콤</t>
        </is>
      </c>
      <c r="J124" s="75" t="inlineStr">
        <is>
          <t>V10002</t>
        </is>
      </c>
      <c r="K124" s="75" t="inlineStr">
        <is>
          <t>O텔레콤</t>
        </is>
      </c>
      <c r="M124" s="9">
        <f>IF($A124="","",VALUE($A124&amp;"")*12+VALUE($B124&amp;""))</f>
        <v/>
      </c>
      <c r="N124" s="39">
        <f>IF($A124="","",IFERROR(INDEX(부서매핑!$C$5:$C$504,MATCH($G124&amp;"",부서매핑!$A$5:$A$504,0)),"미매핑"))</f>
        <v/>
      </c>
      <c r="O124" s="9">
        <f>IF($A124="","",N124&amp;"|"&amp;$F124)</f>
        <v/>
      </c>
      <c r="P124" s="77">
        <f>IF($A124="",0,$H124*설정!$C$23)</f>
        <v/>
      </c>
      <c r="Q124" s="39">
        <f>IF($A124="","",IF(O124&lt;&gt;원인분석!$C$9,"",IF(AND(M124&gt;=원인분석!$C$10,M124&lt;=원인분석!$C$11),"당기",IF(AND(M124&gt;=원인분석!$C$12,M124&lt;=원인분석!$C$13),"비교",""))))</f>
        <v/>
      </c>
      <c r="R124" s="9">
        <f>IF(Q124="","",$K124&amp;"")</f>
        <v/>
      </c>
      <c r="S124" s="9">
        <f>IF(Q124="","",IF(MATCH(R124,$R$5:$R$100000,0)=ROW()-4,ROW(),""))</f>
        <v/>
      </c>
      <c r="T124" s="9">
        <f>IF(Q124="당기",ABS(P124)+ROW()/1000000000,"")</f>
        <v/>
      </c>
      <c r="U124" s="9">
        <f>IF(Q124="비교",ABS(P124)+ROW()/1000000000,"")</f>
        <v/>
      </c>
      <c r="V124" s="39">
        <f>IF($A124="","",IF(COUNTIF(변동분석!$E$7:$E$506,O124)&gt;0,"Y","N"))</f>
        <v/>
      </c>
      <c r="W124" s="39">
        <f>IF($A124="","",IFERROR(INDEX(계정매핑!$D$5:$D$504,MATCH($F124&amp;"",계정매핑!$A$5:$A$504,0)),"미매핑"))</f>
        <v/>
      </c>
      <c r="X124" s="9">
        <f>IF($A124="","",$F124&amp;"")</f>
        <v/>
      </c>
    </row>
    <row r="125">
      <c r="A125" s="75" t="n">
        <v>2025</v>
      </c>
      <c r="B125" s="75" t="n">
        <v>1</v>
      </c>
      <c r="C125" s="75" t="inlineStr">
        <is>
          <t>5100000121</t>
        </is>
      </c>
      <c r="D125" s="78" t="n">
        <v>45672</v>
      </c>
      <c r="E125" s="75" t="inlineStr">
        <is>
          <t>KR</t>
        </is>
      </c>
      <c r="F125" s="75" t="n">
        <v>62301000</v>
      </c>
      <c r="G125" s="75" t="n">
        <v>1701</v>
      </c>
      <c r="H125" s="76" t="n">
        <v>197000</v>
      </c>
      <c r="I125" s="75" t="inlineStr">
        <is>
          <t>1월 소모품 구입 - R문구</t>
        </is>
      </c>
      <c r="J125" s="75" t="inlineStr">
        <is>
          <t>V10018</t>
        </is>
      </c>
      <c r="K125" s="75" t="inlineStr">
        <is>
          <t>R문구</t>
        </is>
      </c>
      <c r="M125" s="9">
        <f>IF($A125="","",VALUE($A125&amp;"")*12+VALUE($B125&amp;""))</f>
        <v/>
      </c>
      <c r="N125" s="39">
        <f>IF($A125="","",IFERROR(INDEX(부서매핑!$C$5:$C$504,MATCH($G125&amp;"",부서매핑!$A$5:$A$504,0)),"미매핑"))</f>
        <v/>
      </c>
      <c r="O125" s="9">
        <f>IF($A125="","",N125&amp;"|"&amp;$F125)</f>
        <v/>
      </c>
      <c r="P125" s="77">
        <f>IF($A125="",0,$H125*설정!$C$23)</f>
        <v/>
      </c>
      <c r="Q125" s="39">
        <f>IF($A125="","",IF(O125&lt;&gt;원인분석!$C$9,"",IF(AND(M125&gt;=원인분석!$C$10,M125&lt;=원인분석!$C$11),"당기",IF(AND(M125&gt;=원인분석!$C$12,M125&lt;=원인분석!$C$13),"비교",""))))</f>
        <v/>
      </c>
      <c r="R125" s="9">
        <f>IF(Q125="","",$K125&amp;"")</f>
        <v/>
      </c>
      <c r="S125" s="9">
        <f>IF(Q125="","",IF(MATCH(R125,$R$5:$R$100000,0)=ROW()-4,ROW(),""))</f>
        <v/>
      </c>
      <c r="T125" s="9">
        <f>IF(Q125="당기",ABS(P125)+ROW()/1000000000,"")</f>
        <v/>
      </c>
      <c r="U125" s="9">
        <f>IF(Q125="비교",ABS(P125)+ROW()/1000000000,"")</f>
        <v/>
      </c>
      <c r="V125" s="39">
        <f>IF($A125="","",IF(COUNTIF(변동분석!$E$7:$E$506,O125)&gt;0,"Y","N"))</f>
        <v/>
      </c>
      <c r="W125" s="39">
        <f>IF($A125="","",IFERROR(INDEX(계정매핑!$D$5:$D$504,MATCH($F125&amp;"",계정매핑!$A$5:$A$504,0)),"미매핑"))</f>
        <v/>
      </c>
      <c r="X125" s="9">
        <f>IF($A125="","",$F125&amp;"")</f>
        <v/>
      </c>
    </row>
    <row r="126">
      <c r="A126" s="75" t="n">
        <v>2025</v>
      </c>
      <c r="B126" s="75" t="n">
        <v>1</v>
      </c>
      <c r="C126" s="75" t="inlineStr">
        <is>
          <t>5100000122</t>
        </is>
      </c>
      <c r="D126" s="78" t="n">
        <v>45672</v>
      </c>
      <c r="E126" s="75" t="inlineStr">
        <is>
          <t>KR</t>
        </is>
      </c>
      <c r="F126" s="75" t="n">
        <v>62501000</v>
      </c>
      <c r="G126" s="75" t="n">
        <v>1201</v>
      </c>
      <c r="H126" s="76" t="n">
        <v>91000</v>
      </c>
      <c r="I126" s="75" t="inlineStr">
        <is>
          <t>1월 회의 다과 - T케이터링</t>
        </is>
      </c>
      <c r="J126" s="75" t="inlineStr">
        <is>
          <t>V10005</t>
        </is>
      </c>
      <c r="K126" s="75" t="inlineStr">
        <is>
          <t>T케이터링</t>
        </is>
      </c>
      <c r="M126" s="9">
        <f>IF($A126="","",VALUE($A126&amp;"")*12+VALUE($B126&amp;""))</f>
        <v/>
      </c>
      <c r="N126" s="39">
        <f>IF($A126="","",IFERROR(INDEX(부서매핑!$C$5:$C$504,MATCH($G126&amp;"",부서매핑!$A$5:$A$504,0)),"미매핑"))</f>
        <v/>
      </c>
      <c r="O126" s="9">
        <f>IF($A126="","",N126&amp;"|"&amp;$F126)</f>
        <v/>
      </c>
      <c r="P126" s="77">
        <f>IF($A126="",0,$H126*설정!$C$23)</f>
        <v/>
      </c>
      <c r="Q126" s="39">
        <f>IF($A126="","",IF(O126&lt;&gt;원인분석!$C$9,"",IF(AND(M126&gt;=원인분석!$C$10,M126&lt;=원인분석!$C$11),"당기",IF(AND(M126&gt;=원인분석!$C$12,M126&lt;=원인분석!$C$13),"비교",""))))</f>
        <v/>
      </c>
      <c r="R126" s="9">
        <f>IF(Q126="","",$K126&amp;"")</f>
        <v/>
      </c>
      <c r="S126" s="9">
        <f>IF(Q126="","",IF(MATCH(R126,$R$5:$R$100000,0)=ROW()-4,ROW(),""))</f>
        <v/>
      </c>
      <c r="T126" s="9">
        <f>IF(Q126="당기",ABS(P126)+ROW()/1000000000,"")</f>
        <v/>
      </c>
      <c r="U126" s="9">
        <f>IF(Q126="비교",ABS(P126)+ROW()/1000000000,"")</f>
        <v/>
      </c>
      <c r="V126" s="39">
        <f>IF($A126="","",IF(COUNTIF(변동분석!$E$7:$E$506,O126)&gt;0,"Y","N"))</f>
        <v/>
      </c>
      <c r="W126" s="39">
        <f>IF($A126="","",IFERROR(INDEX(계정매핑!$D$5:$D$504,MATCH($F126&amp;"",계정매핑!$A$5:$A$504,0)),"미매핑"))</f>
        <v/>
      </c>
      <c r="X126" s="9">
        <f>IF($A126="","",$F126&amp;"")</f>
        <v/>
      </c>
    </row>
    <row r="127">
      <c r="A127" s="75" t="n">
        <v>2025</v>
      </c>
      <c r="B127" s="75" t="n">
        <v>1</v>
      </c>
      <c r="C127" s="75" t="inlineStr">
        <is>
          <t>5100000123</t>
        </is>
      </c>
      <c r="D127" s="78" t="n">
        <v>45672</v>
      </c>
      <c r="E127" s="75" t="inlineStr">
        <is>
          <t>KR</t>
        </is>
      </c>
      <c r="F127" s="75" t="n">
        <v>62501000</v>
      </c>
      <c r="G127" s="75" t="n">
        <v>1401</v>
      </c>
      <c r="H127" s="76" t="n">
        <v>145000</v>
      </c>
      <c r="I127" s="75" t="inlineStr">
        <is>
          <t>1월 회의 다과 - (법인카드)</t>
        </is>
      </c>
      <c r="J127" s="75" t="inlineStr">
        <is>
          <t>V10008</t>
        </is>
      </c>
      <c r="K127" s="75" t="inlineStr">
        <is>
          <t>(법인카드)</t>
        </is>
      </c>
      <c r="M127" s="9">
        <f>IF($A127="","",VALUE($A127&amp;"")*12+VALUE($B127&amp;""))</f>
        <v/>
      </c>
      <c r="N127" s="39">
        <f>IF($A127="","",IFERROR(INDEX(부서매핑!$C$5:$C$504,MATCH($G127&amp;"",부서매핑!$A$5:$A$504,0)),"미매핑"))</f>
        <v/>
      </c>
      <c r="O127" s="9">
        <f>IF($A127="","",N127&amp;"|"&amp;$F127)</f>
        <v/>
      </c>
      <c r="P127" s="77">
        <f>IF($A127="",0,$H127*설정!$C$23)</f>
        <v/>
      </c>
      <c r="Q127" s="39">
        <f>IF($A127="","",IF(O127&lt;&gt;원인분석!$C$9,"",IF(AND(M127&gt;=원인분석!$C$10,M127&lt;=원인분석!$C$11),"당기",IF(AND(M127&gt;=원인분석!$C$12,M127&lt;=원인분석!$C$13),"비교",""))))</f>
        <v/>
      </c>
      <c r="R127" s="9">
        <f>IF(Q127="","",$K127&amp;"")</f>
        <v/>
      </c>
      <c r="S127" s="9">
        <f>IF(Q127="","",IF(MATCH(R127,$R$5:$R$100000,0)=ROW()-4,ROW(),""))</f>
        <v/>
      </c>
      <c r="T127" s="9">
        <f>IF(Q127="당기",ABS(P127)+ROW()/1000000000,"")</f>
        <v/>
      </c>
      <c r="U127" s="9">
        <f>IF(Q127="비교",ABS(P127)+ROW()/1000000000,"")</f>
        <v/>
      </c>
      <c r="V127" s="39">
        <f>IF($A127="","",IF(COUNTIF(변동분석!$E$7:$E$506,O127)&gt;0,"Y","N"))</f>
        <v/>
      </c>
      <c r="W127" s="39">
        <f>IF($A127="","",IFERROR(INDEX(계정매핑!$D$5:$D$504,MATCH($F127&amp;"",계정매핑!$A$5:$A$504,0)),"미매핑"))</f>
        <v/>
      </c>
      <c r="X127" s="9">
        <f>IF($A127="","",$F127&amp;"")</f>
        <v/>
      </c>
    </row>
    <row r="128">
      <c r="A128" s="75" t="n">
        <v>2025</v>
      </c>
      <c r="B128" s="75" t="n">
        <v>1</v>
      </c>
      <c r="C128" s="75" t="inlineStr">
        <is>
          <t>5100000124</t>
        </is>
      </c>
      <c r="D128" s="78" t="n">
        <v>45672</v>
      </c>
      <c r="E128" s="75" t="inlineStr">
        <is>
          <t>KR</t>
        </is>
      </c>
      <c r="F128" s="75" t="n">
        <v>62601000</v>
      </c>
      <c r="G128" s="75" t="n">
        <v>1501</v>
      </c>
      <c r="H128" s="76" t="n">
        <v>1462000</v>
      </c>
      <c r="I128" s="75" t="inlineStr">
        <is>
          <t>1월 업무추진 - (법인카드)</t>
        </is>
      </c>
      <c r="J128" s="75" t="inlineStr">
        <is>
          <t>V10008</t>
        </is>
      </c>
      <c r="K128" s="75" t="inlineStr">
        <is>
          <t>(법인카드)</t>
        </is>
      </c>
      <c r="M128" s="9">
        <f>IF($A128="","",VALUE($A128&amp;"")*12+VALUE($B128&amp;""))</f>
        <v/>
      </c>
      <c r="N128" s="39">
        <f>IF($A128="","",IFERROR(INDEX(부서매핑!$C$5:$C$504,MATCH($G128&amp;"",부서매핑!$A$5:$A$504,0)),"미매핑"))</f>
        <v/>
      </c>
      <c r="O128" s="9">
        <f>IF($A128="","",N128&amp;"|"&amp;$F128)</f>
        <v/>
      </c>
      <c r="P128" s="77">
        <f>IF($A128="",0,$H128*설정!$C$23)</f>
        <v/>
      </c>
      <c r="Q128" s="39">
        <f>IF($A128="","",IF(O128&lt;&gt;원인분석!$C$9,"",IF(AND(M128&gt;=원인분석!$C$10,M128&lt;=원인분석!$C$11),"당기",IF(AND(M128&gt;=원인분석!$C$12,M128&lt;=원인분석!$C$13),"비교",""))))</f>
        <v/>
      </c>
      <c r="R128" s="9">
        <f>IF(Q128="","",$K128&amp;"")</f>
        <v/>
      </c>
      <c r="S128" s="9">
        <f>IF(Q128="","",IF(MATCH(R128,$R$5:$R$100000,0)=ROW()-4,ROW(),""))</f>
        <v/>
      </c>
      <c r="T128" s="9">
        <f>IF(Q128="당기",ABS(P128)+ROW()/1000000000,"")</f>
        <v/>
      </c>
      <c r="U128" s="9">
        <f>IF(Q128="비교",ABS(P128)+ROW()/1000000000,"")</f>
        <v/>
      </c>
      <c r="V128" s="39">
        <f>IF($A128="","",IF(COUNTIF(변동분석!$E$7:$E$506,O128)&gt;0,"Y","N"))</f>
        <v/>
      </c>
      <c r="W128" s="39">
        <f>IF($A128="","",IFERROR(INDEX(계정매핑!$D$5:$D$504,MATCH($F128&amp;"",계정매핑!$A$5:$A$504,0)),"미매핑"))</f>
        <v/>
      </c>
      <c r="X128" s="9">
        <f>IF($A128="","",$F128&amp;"")</f>
        <v/>
      </c>
    </row>
    <row r="129">
      <c r="A129" s="75" t="n">
        <v>2025</v>
      </c>
      <c r="B129" s="75" t="n">
        <v>1</v>
      </c>
      <c r="C129" s="75" t="inlineStr">
        <is>
          <t>5100000125</t>
        </is>
      </c>
      <c r="D129" s="78" t="n">
        <v>45672</v>
      </c>
      <c r="E129" s="75" t="inlineStr">
        <is>
          <t>KR</t>
        </is>
      </c>
      <c r="F129" s="75" t="n">
        <v>62601000</v>
      </c>
      <c r="G129" s="75" t="n">
        <v>1601</v>
      </c>
      <c r="H129" s="76" t="n">
        <v>1055000</v>
      </c>
      <c r="I129" s="75" t="inlineStr">
        <is>
          <t>1월 업무추진 - (법인카드)</t>
        </is>
      </c>
      <c r="J129" s="75" t="inlineStr">
        <is>
          <t>V10008</t>
        </is>
      </c>
      <c r="K129" s="75" t="inlineStr">
        <is>
          <t>(법인카드)</t>
        </is>
      </c>
      <c r="M129" s="9">
        <f>IF($A129="","",VALUE($A129&amp;"")*12+VALUE($B129&amp;""))</f>
        <v/>
      </c>
      <c r="N129" s="39">
        <f>IF($A129="","",IFERROR(INDEX(부서매핑!$C$5:$C$504,MATCH($G129&amp;"",부서매핑!$A$5:$A$504,0)),"미매핑"))</f>
        <v/>
      </c>
      <c r="O129" s="9">
        <f>IF($A129="","",N129&amp;"|"&amp;$F129)</f>
        <v/>
      </c>
      <c r="P129" s="77">
        <f>IF($A129="",0,$H129*설정!$C$23)</f>
        <v/>
      </c>
      <c r="Q129" s="39">
        <f>IF($A129="","",IF(O129&lt;&gt;원인분석!$C$9,"",IF(AND(M129&gt;=원인분석!$C$10,M129&lt;=원인분석!$C$11),"당기",IF(AND(M129&gt;=원인분석!$C$12,M129&lt;=원인분석!$C$13),"비교",""))))</f>
        <v/>
      </c>
      <c r="R129" s="9">
        <f>IF(Q129="","",$K129&amp;"")</f>
        <v/>
      </c>
      <c r="S129" s="9">
        <f>IF(Q129="","",IF(MATCH(R129,$R$5:$R$100000,0)=ROW()-4,ROW(),""))</f>
        <v/>
      </c>
      <c r="T129" s="9">
        <f>IF(Q129="당기",ABS(P129)+ROW()/1000000000,"")</f>
        <v/>
      </c>
      <c r="U129" s="9">
        <f>IF(Q129="비교",ABS(P129)+ROW()/1000000000,"")</f>
        <v/>
      </c>
      <c r="V129" s="39">
        <f>IF($A129="","",IF(COUNTIF(변동분석!$E$7:$E$506,O129)&gt;0,"Y","N"))</f>
        <v/>
      </c>
      <c r="W129" s="39">
        <f>IF($A129="","",IFERROR(INDEX(계정매핑!$D$5:$D$504,MATCH($F129&amp;"",계정매핑!$A$5:$A$504,0)),"미매핑"))</f>
        <v/>
      </c>
      <c r="X129" s="9">
        <f>IF($A129="","",$F129&amp;"")</f>
        <v/>
      </c>
    </row>
    <row r="130">
      <c r="A130" s="75" t="n">
        <v>2025</v>
      </c>
      <c r="B130" s="75" t="n">
        <v>1</v>
      </c>
      <c r="C130" s="75" t="inlineStr">
        <is>
          <t>5100000126</t>
        </is>
      </c>
      <c r="D130" s="78" t="n">
        <v>45672</v>
      </c>
      <c r="E130" s="75" t="inlineStr">
        <is>
          <t>KR</t>
        </is>
      </c>
      <c r="F130" s="75" t="n">
        <v>62901000</v>
      </c>
      <c r="G130" s="75" t="n">
        <v>1101</v>
      </c>
      <c r="H130" s="76" t="n">
        <v>3320000</v>
      </c>
      <c r="I130" s="75" t="inlineStr">
        <is>
          <t>1월 자문 수수료 - W컨설팅</t>
        </is>
      </c>
      <c r="J130" s="75" t="inlineStr">
        <is>
          <t>V10009</t>
        </is>
      </c>
      <c r="K130" s="75" t="inlineStr">
        <is>
          <t>W컨설팅</t>
        </is>
      </c>
      <c r="M130" s="9">
        <f>IF($A130="","",VALUE($A130&amp;"")*12+VALUE($B130&amp;""))</f>
        <v/>
      </c>
      <c r="N130" s="39">
        <f>IF($A130="","",IFERROR(INDEX(부서매핑!$C$5:$C$504,MATCH($G130&amp;"",부서매핑!$A$5:$A$504,0)),"미매핑"))</f>
        <v/>
      </c>
      <c r="O130" s="9">
        <f>IF($A130="","",N130&amp;"|"&amp;$F130)</f>
        <v/>
      </c>
      <c r="P130" s="77">
        <f>IF($A130="",0,$H130*설정!$C$23)</f>
        <v/>
      </c>
      <c r="Q130" s="39">
        <f>IF($A130="","",IF(O130&lt;&gt;원인분석!$C$9,"",IF(AND(M130&gt;=원인분석!$C$10,M130&lt;=원인분석!$C$11),"당기",IF(AND(M130&gt;=원인분석!$C$12,M130&lt;=원인분석!$C$13),"비교",""))))</f>
        <v/>
      </c>
      <c r="R130" s="9">
        <f>IF(Q130="","",$K130&amp;"")</f>
        <v/>
      </c>
      <c r="S130" s="9">
        <f>IF(Q130="","",IF(MATCH(R130,$R$5:$R$100000,0)=ROW()-4,ROW(),""))</f>
        <v/>
      </c>
      <c r="T130" s="9">
        <f>IF(Q130="당기",ABS(P130)+ROW()/1000000000,"")</f>
        <v/>
      </c>
      <c r="U130" s="9">
        <f>IF(Q130="비교",ABS(P130)+ROW()/1000000000,"")</f>
        <v/>
      </c>
      <c r="V130" s="39">
        <f>IF($A130="","",IF(COUNTIF(변동분석!$E$7:$E$506,O130)&gt;0,"Y","N"))</f>
        <v/>
      </c>
      <c r="W130" s="39">
        <f>IF($A130="","",IFERROR(INDEX(계정매핑!$D$5:$D$504,MATCH($F130&amp;"",계정매핑!$A$5:$A$504,0)),"미매핑"))</f>
        <v/>
      </c>
      <c r="X130" s="9">
        <f>IF($A130="","",$F130&amp;"")</f>
        <v/>
      </c>
    </row>
    <row r="131">
      <c r="A131" s="75" t="n">
        <v>2025</v>
      </c>
      <c r="B131" s="75" t="n">
        <v>1</v>
      </c>
      <c r="C131" s="75" t="inlineStr">
        <is>
          <t>5100000127</t>
        </is>
      </c>
      <c r="D131" s="78" t="n">
        <v>45672</v>
      </c>
      <c r="E131" s="75" t="inlineStr">
        <is>
          <t>KR</t>
        </is>
      </c>
      <c r="F131" s="75" t="n">
        <v>62902000</v>
      </c>
      <c r="G131" s="75" t="n">
        <v>1401</v>
      </c>
      <c r="H131" s="76" t="n">
        <v>2461000</v>
      </c>
      <c r="I131" s="75" t="inlineStr">
        <is>
          <t>1월 업무 위탁 수수료 - J콜센터</t>
        </is>
      </c>
      <c r="J131" s="75" t="inlineStr">
        <is>
          <t>V10013</t>
        </is>
      </c>
      <c r="K131" s="75" t="inlineStr">
        <is>
          <t>J콜센터</t>
        </is>
      </c>
      <c r="M131" s="9">
        <f>IF($A131="","",VALUE($A131&amp;"")*12+VALUE($B131&amp;""))</f>
        <v/>
      </c>
      <c r="N131" s="39">
        <f>IF($A131="","",IFERROR(INDEX(부서매핑!$C$5:$C$504,MATCH($G131&amp;"",부서매핑!$A$5:$A$504,0)),"미매핑"))</f>
        <v/>
      </c>
      <c r="O131" s="9">
        <f>IF($A131="","",N131&amp;"|"&amp;$F131)</f>
        <v/>
      </c>
      <c r="P131" s="77">
        <f>IF($A131="",0,$H131*설정!$C$23)</f>
        <v/>
      </c>
      <c r="Q131" s="39">
        <f>IF($A131="","",IF(O131&lt;&gt;원인분석!$C$9,"",IF(AND(M131&gt;=원인분석!$C$10,M131&lt;=원인분석!$C$11),"당기",IF(AND(M131&gt;=원인분석!$C$12,M131&lt;=원인분석!$C$13),"비교",""))))</f>
        <v/>
      </c>
      <c r="R131" s="9">
        <f>IF(Q131="","",$K131&amp;"")</f>
        <v/>
      </c>
      <c r="S131" s="9">
        <f>IF(Q131="","",IF(MATCH(R131,$R$5:$R$100000,0)=ROW()-4,ROW(),""))</f>
        <v/>
      </c>
      <c r="T131" s="9">
        <f>IF(Q131="당기",ABS(P131)+ROW()/1000000000,"")</f>
        <v/>
      </c>
      <c r="U131" s="9">
        <f>IF(Q131="비교",ABS(P131)+ROW()/1000000000,"")</f>
        <v/>
      </c>
      <c r="V131" s="39">
        <f>IF($A131="","",IF(COUNTIF(변동분석!$E$7:$E$506,O131)&gt;0,"Y","N"))</f>
        <v/>
      </c>
      <c r="W131" s="39">
        <f>IF($A131="","",IFERROR(INDEX(계정매핑!$D$5:$D$504,MATCH($F131&amp;"",계정매핑!$A$5:$A$504,0)),"미매핑"))</f>
        <v/>
      </c>
      <c r="X131" s="9">
        <f>IF($A131="","",$F131&amp;"")</f>
        <v/>
      </c>
    </row>
    <row r="132">
      <c r="A132" s="75" t="n">
        <v>2025</v>
      </c>
      <c r="B132" s="75" t="n">
        <v>1</v>
      </c>
      <c r="C132" s="75" t="inlineStr">
        <is>
          <t>5100000128</t>
        </is>
      </c>
      <c r="D132" s="78" t="n">
        <v>45672</v>
      </c>
      <c r="E132" s="75" t="inlineStr">
        <is>
          <t>KR</t>
        </is>
      </c>
      <c r="F132" s="75" t="n">
        <v>62902000</v>
      </c>
      <c r="G132" s="75" t="n">
        <v>1801</v>
      </c>
      <c r="H132" s="76" t="n">
        <v>1759000</v>
      </c>
      <c r="I132" s="75" t="inlineStr">
        <is>
          <t>1월 콜 위탁 수수료(건별)</t>
        </is>
      </c>
      <c r="J132" s="75" t="inlineStr">
        <is>
          <t>V10013</t>
        </is>
      </c>
      <c r="K132" s="75" t="inlineStr">
        <is>
          <t>J콜센터</t>
        </is>
      </c>
      <c r="M132" s="9">
        <f>IF($A132="","",VALUE($A132&amp;"")*12+VALUE($B132&amp;""))</f>
        <v/>
      </c>
      <c r="N132" s="39">
        <f>IF($A132="","",IFERROR(INDEX(부서매핑!$C$5:$C$504,MATCH($G132&amp;"",부서매핑!$A$5:$A$504,0)),"미매핑"))</f>
        <v/>
      </c>
      <c r="O132" s="9">
        <f>IF($A132="","",N132&amp;"|"&amp;$F132)</f>
        <v/>
      </c>
      <c r="P132" s="77">
        <f>IF($A132="",0,$H132*설정!$C$23)</f>
        <v/>
      </c>
      <c r="Q132" s="39">
        <f>IF($A132="","",IF(O132&lt;&gt;원인분석!$C$9,"",IF(AND(M132&gt;=원인분석!$C$10,M132&lt;=원인분석!$C$11),"당기",IF(AND(M132&gt;=원인분석!$C$12,M132&lt;=원인분석!$C$13),"비교",""))))</f>
        <v/>
      </c>
      <c r="R132" s="9">
        <f>IF(Q132="","",$K132&amp;"")</f>
        <v/>
      </c>
      <c r="S132" s="9">
        <f>IF(Q132="","",IF(MATCH(R132,$R$5:$R$100000,0)=ROW()-4,ROW(),""))</f>
        <v/>
      </c>
      <c r="T132" s="9">
        <f>IF(Q132="당기",ABS(P132)+ROW()/1000000000,"")</f>
        <v/>
      </c>
      <c r="U132" s="9">
        <f>IF(Q132="비교",ABS(P132)+ROW()/1000000000,"")</f>
        <v/>
      </c>
      <c r="V132" s="39">
        <f>IF($A132="","",IF(COUNTIF(변동분석!$E$7:$E$506,O132)&gt;0,"Y","N"))</f>
        <v/>
      </c>
      <c r="W132" s="39">
        <f>IF($A132="","",IFERROR(INDEX(계정매핑!$D$5:$D$504,MATCH($F132&amp;"",계정매핑!$A$5:$A$504,0)),"미매핑"))</f>
        <v/>
      </c>
      <c r="X132" s="9">
        <f>IF($A132="","",$F132&amp;"")</f>
        <v/>
      </c>
    </row>
    <row r="133">
      <c r="A133" s="75" t="n">
        <v>2025</v>
      </c>
      <c r="B133" s="75" t="n">
        <v>1</v>
      </c>
      <c r="C133" s="75" t="inlineStr">
        <is>
          <t>5100000129</t>
        </is>
      </c>
      <c r="D133" s="78" t="n">
        <v>45672</v>
      </c>
      <c r="E133" s="75" t="inlineStr">
        <is>
          <t>KR</t>
        </is>
      </c>
      <c r="F133" s="75" t="n">
        <v>63201000</v>
      </c>
      <c r="G133" s="75" t="n">
        <v>1601</v>
      </c>
      <c r="H133" s="76" t="n">
        <v>1755000</v>
      </c>
      <c r="I133" s="75" t="inlineStr">
        <is>
          <t>1월 차량 유지 - H에너지</t>
        </is>
      </c>
      <c r="J133" s="75" t="inlineStr">
        <is>
          <t>V10025</t>
        </is>
      </c>
      <c r="K133" s="75" t="inlineStr">
        <is>
          <t>H에너지</t>
        </is>
      </c>
      <c r="M133" s="9">
        <f>IF($A133="","",VALUE($A133&amp;"")*12+VALUE($B133&amp;""))</f>
        <v/>
      </c>
      <c r="N133" s="39">
        <f>IF($A133="","",IFERROR(INDEX(부서매핑!$C$5:$C$504,MATCH($G133&amp;"",부서매핑!$A$5:$A$504,0)),"미매핑"))</f>
        <v/>
      </c>
      <c r="O133" s="9">
        <f>IF($A133="","",N133&amp;"|"&amp;$F133)</f>
        <v/>
      </c>
      <c r="P133" s="77">
        <f>IF($A133="",0,$H133*설정!$C$23)</f>
        <v/>
      </c>
      <c r="Q133" s="39">
        <f>IF($A133="","",IF(O133&lt;&gt;원인분석!$C$9,"",IF(AND(M133&gt;=원인분석!$C$10,M133&lt;=원인분석!$C$11),"당기",IF(AND(M133&gt;=원인분석!$C$12,M133&lt;=원인분석!$C$13),"비교",""))))</f>
        <v/>
      </c>
      <c r="R133" s="9">
        <f>IF(Q133="","",$K133&amp;"")</f>
        <v/>
      </c>
      <c r="S133" s="9">
        <f>IF(Q133="","",IF(MATCH(R133,$R$5:$R$100000,0)=ROW()-4,ROW(),""))</f>
        <v/>
      </c>
      <c r="T133" s="9">
        <f>IF(Q133="당기",ABS(P133)+ROW()/1000000000,"")</f>
        <v/>
      </c>
      <c r="U133" s="9">
        <f>IF(Q133="비교",ABS(P133)+ROW()/1000000000,"")</f>
        <v/>
      </c>
      <c r="V133" s="39">
        <f>IF($A133="","",IF(COUNTIF(변동분석!$E$7:$E$506,O133)&gt;0,"Y","N"))</f>
        <v/>
      </c>
      <c r="W133" s="39">
        <f>IF($A133="","",IFERROR(INDEX(계정매핑!$D$5:$D$504,MATCH($F133&amp;"",계정매핑!$A$5:$A$504,0)),"미매핑"))</f>
        <v/>
      </c>
      <c r="X133" s="9">
        <f>IF($A133="","",$F133&amp;"")</f>
        <v/>
      </c>
    </row>
    <row r="134">
      <c r="A134" s="75" t="n">
        <v>2025</v>
      </c>
      <c r="B134" s="75" t="n">
        <v>1</v>
      </c>
      <c r="C134" s="75" t="inlineStr">
        <is>
          <t>5100000130</t>
        </is>
      </c>
      <c r="D134" s="78" t="n">
        <v>45673</v>
      </c>
      <c r="E134" s="75" t="inlineStr">
        <is>
          <t>KR</t>
        </is>
      </c>
      <c r="F134" s="75" t="n">
        <v>62101000</v>
      </c>
      <c r="G134" s="75" t="n">
        <v>1101</v>
      </c>
      <c r="H134" s="76" t="n">
        <v>341000</v>
      </c>
      <c r="I134" s="75" t="inlineStr">
        <is>
          <t>1월 국내출장 - (법인카드)</t>
        </is>
      </c>
      <c r="J134" s="75" t="inlineStr">
        <is>
          <t>V10008</t>
        </is>
      </c>
      <c r="K134" s="75" t="inlineStr">
        <is>
          <t>(법인카드)</t>
        </is>
      </c>
      <c r="M134" s="9">
        <f>IF($A134="","",VALUE($A134&amp;"")*12+VALUE($B134&amp;""))</f>
        <v/>
      </c>
      <c r="N134" s="39">
        <f>IF($A134="","",IFERROR(INDEX(부서매핑!$C$5:$C$504,MATCH($G134&amp;"",부서매핑!$A$5:$A$504,0)),"미매핑"))</f>
        <v/>
      </c>
      <c r="O134" s="9">
        <f>IF($A134="","",N134&amp;"|"&amp;$F134)</f>
        <v/>
      </c>
      <c r="P134" s="77">
        <f>IF($A134="",0,$H134*설정!$C$23)</f>
        <v/>
      </c>
      <c r="Q134" s="39">
        <f>IF($A134="","",IF(O134&lt;&gt;원인분석!$C$9,"",IF(AND(M134&gt;=원인분석!$C$10,M134&lt;=원인분석!$C$11),"당기",IF(AND(M134&gt;=원인분석!$C$12,M134&lt;=원인분석!$C$13),"비교",""))))</f>
        <v/>
      </c>
      <c r="R134" s="9">
        <f>IF(Q134="","",$K134&amp;"")</f>
        <v/>
      </c>
      <c r="S134" s="9">
        <f>IF(Q134="","",IF(MATCH(R134,$R$5:$R$100000,0)=ROW()-4,ROW(),""))</f>
        <v/>
      </c>
      <c r="T134" s="9">
        <f>IF(Q134="당기",ABS(P134)+ROW()/1000000000,"")</f>
        <v/>
      </c>
      <c r="U134" s="9">
        <f>IF(Q134="비교",ABS(P134)+ROW()/1000000000,"")</f>
        <v/>
      </c>
      <c r="V134" s="39">
        <f>IF($A134="","",IF(COUNTIF(변동분석!$E$7:$E$506,O134)&gt;0,"Y","N"))</f>
        <v/>
      </c>
      <c r="W134" s="39">
        <f>IF($A134="","",IFERROR(INDEX(계정매핑!$D$5:$D$504,MATCH($F134&amp;"",계정매핑!$A$5:$A$504,0)),"미매핑"))</f>
        <v/>
      </c>
      <c r="X134" s="9">
        <f>IF($A134="","",$F134&amp;"")</f>
        <v/>
      </c>
    </row>
    <row r="135">
      <c r="A135" s="75" t="n">
        <v>2025</v>
      </c>
      <c r="B135" s="75" t="n">
        <v>1</v>
      </c>
      <c r="C135" s="75" t="inlineStr">
        <is>
          <t>5100000131</t>
        </is>
      </c>
      <c r="D135" s="78" t="n">
        <v>45673</v>
      </c>
      <c r="E135" s="75" t="inlineStr">
        <is>
          <t>KR</t>
        </is>
      </c>
      <c r="F135" s="75" t="n">
        <v>62101000</v>
      </c>
      <c r="G135" s="75" t="n">
        <v>1601</v>
      </c>
      <c r="H135" s="76" t="n">
        <v>1014000</v>
      </c>
      <c r="I135" s="75" t="inlineStr">
        <is>
          <t>1월 국내출장 - (법인카드)</t>
        </is>
      </c>
      <c r="J135" s="75" t="inlineStr">
        <is>
          <t>V10008</t>
        </is>
      </c>
      <c r="K135" s="75" t="inlineStr">
        <is>
          <t>(법인카드)</t>
        </is>
      </c>
      <c r="M135" s="9">
        <f>IF($A135="","",VALUE($A135&amp;"")*12+VALUE($B135&amp;""))</f>
        <v/>
      </c>
      <c r="N135" s="39">
        <f>IF($A135="","",IFERROR(INDEX(부서매핑!$C$5:$C$504,MATCH($G135&amp;"",부서매핑!$A$5:$A$504,0)),"미매핑"))</f>
        <v/>
      </c>
      <c r="O135" s="9">
        <f>IF($A135="","",N135&amp;"|"&amp;$F135)</f>
        <v/>
      </c>
      <c r="P135" s="77">
        <f>IF($A135="",0,$H135*설정!$C$23)</f>
        <v/>
      </c>
      <c r="Q135" s="39">
        <f>IF($A135="","",IF(O135&lt;&gt;원인분석!$C$9,"",IF(AND(M135&gt;=원인분석!$C$10,M135&lt;=원인분석!$C$11),"당기",IF(AND(M135&gt;=원인분석!$C$12,M135&lt;=원인분석!$C$13),"비교",""))))</f>
        <v/>
      </c>
      <c r="R135" s="9">
        <f>IF(Q135="","",$K135&amp;"")</f>
        <v/>
      </c>
      <c r="S135" s="9">
        <f>IF(Q135="","",IF(MATCH(R135,$R$5:$R$100000,0)=ROW()-4,ROW(),""))</f>
        <v/>
      </c>
      <c r="T135" s="9">
        <f>IF(Q135="당기",ABS(P135)+ROW()/1000000000,"")</f>
        <v/>
      </c>
      <c r="U135" s="9">
        <f>IF(Q135="비교",ABS(P135)+ROW()/1000000000,"")</f>
        <v/>
      </c>
      <c r="V135" s="39">
        <f>IF($A135="","",IF(COUNTIF(변동분석!$E$7:$E$506,O135)&gt;0,"Y","N"))</f>
        <v/>
      </c>
      <c r="W135" s="39">
        <f>IF($A135="","",IFERROR(INDEX(계정매핑!$D$5:$D$504,MATCH($F135&amp;"",계정매핑!$A$5:$A$504,0)),"미매핑"))</f>
        <v/>
      </c>
      <c r="X135" s="9">
        <f>IF($A135="","",$F135&amp;"")</f>
        <v/>
      </c>
    </row>
    <row r="136">
      <c r="A136" s="75" t="n">
        <v>2025</v>
      </c>
      <c r="B136" s="75" t="n">
        <v>1</v>
      </c>
      <c r="C136" s="75" t="inlineStr">
        <is>
          <t>5100000132</t>
        </is>
      </c>
      <c r="D136" s="78" t="n">
        <v>45673</v>
      </c>
      <c r="E136" s="75" t="inlineStr">
        <is>
          <t>KR</t>
        </is>
      </c>
      <c r="F136" s="75" t="n">
        <v>62101000</v>
      </c>
      <c r="G136" s="75" t="n">
        <v>1602</v>
      </c>
      <c r="H136" s="76" t="n">
        <v>1506000</v>
      </c>
      <c r="I136" s="75" t="inlineStr">
        <is>
          <t>1월 국내출장 - (법인카드)</t>
        </is>
      </c>
      <c r="J136" s="75" t="inlineStr">
        <is>
          <t>V10008</t>
        </is>
      </c>
      <c r="K136" s="75" t="inlineStr">
        <is>
          <t>(법인카드)</t>
        </is>
      </c>
      <c r="M136" s="9">
        <f>IF($A136="","",VALUE($A136&amp;"")*12+VALUE($B136&amp;""))</f>
        <v/>
      </c>
      <c r="N136" s="39">
        <f>IF($A136="","",IFERROR(INDEX(부서매핑!$C$5:$C$504,MATCH($G136&amp;"",부서매핑!$A$5:$A$504,0)),"미매핑"))</f>
        <v/>
      </c>
      <c r="O136" s="9">
        <f>IF($A136="","",N136&amp;"|"&amp;$F136)</f>
        <v/>
      </c>
      <c r="P136" s="77">
        <f>IF($A136="",0,$H136*설정!$C$23)</f>
        <v/>
      </c>
      <c r="Q136" s="39">
        <f>IF($A136="","",IF(O136&lt;&gt;원인분석!$C$9,"",IF(AND(M136&gt;=원인분석!$C$10,M136&lt;=원인분석!$C$11),"당기",IF(AND(M136&gt;=원인분석!$C$12,M136&lt;=원인분석!$C$13),"비교",""))))</f>
        <v/>
      </c>
      <c r="R136" s="9">
        <f>IF(Q136="","",$K136&amp;"")</f>
        <v/>
      </c>
      <c r="S136" s="9">
        <f>IF(Q136="","",IF(MATCH(R136,$R$5:$R$100000,0)=ROW()-4,ROW(),""))</f>
        <v/>
      </c>
      <c r="T136" s="9">
        <f>IF(Q136="당기",ABS(P136)+ROW()/1000000000,"")</f>
        <v/>
      </c>
      <c r="U136" s="9">
        <f>IF(Q136="비교",ABS(P136)+ROW()/1000000000,"")</f>
        <v/>
      </c>
      <c r="V136" s="39">
        <f>IF($A136="","",IF(COUNTIF(변동분석!$E$7:$E$506,O136)&gt;0,"Y","N"))</f>
        <v/>
      </c>
      <c r="W136" s="39">
        <f>IF($A136="","",IFERROR(INDEX(계정매핑!$D$5:$D$504,MATCH($F136&amp;"",계정매핑!$A$5:$A$504,0)),"미매핑"))</f>
        <v/>
      </c>
      <c r="X136" s="9">
        <f>IF($A136="","",$F136&amp;"")</f>
        <v/>
      </c>
    </row>
    <row r="137">
      <c r="A137" s="75" t="n">
        <v>2025</v>
      </c>
      <c r="B137" s="75" t="n">
        <v>1</v>
      </c>
      <c r="C137" s="75" t="inlineStr">
        <is>
          <t>5100000133</t>
        </is>
      </c>
      <c r="D137" s="78" t="n">
        <v>45673</v>
      </c>
      <c r="E137" s="75" t="inlineStr">
        <is>
          <t>KR</t>
        </is>
      </c>
      <c r="F137" s="75" t="n">
        <v>62101000</v>
      </c>
      <c r="G137" s="75" t="n">
        <v>1801</v>
      </c>
      <c r="H137" s="76" t="n">
        <v>196000</v>
      </c>
      <c r="I137" s="75" t="inlineStr">
        <is>
          <t>1월 국내출장 - (법인카드)</t>
        </is>
      </c>
      <c r="J137" s="75" t="inlineStr">
        <is>
          <t>V10008</t>
        </is>
      </c>
      <c r="K137" s="75" t="inlineStr">
        <is>
          <t>(법인카드)</t>
        </is>
      </c>
      <c r="M137" s="9">
        <f>IF($A137="","",VALUE($A137&amp;"")*12+VALUE($B137&amp;""))</f>
        <v/>
      </c>
      <c r="N137" s="39">
        <f>IF($A137="","",IFERROR(INDEX(부서매핑!$C$5:$C$504,MATCH($G137&amp;"",부서매핑!$A$5:$A$504,0)),"미매핑"))</f>
        <v/>
      </c>
      <c r="O137" s="9">
        <f>IF($A137="","",N137&amp;"|"&amp;$F137)</f>
        <v/>
      </c>
      <c r="P137" s="77">
        <f>IF($A137="",0,$H137*설정!$C$23)</f>
        <v/>
      </c>
      <c r="Q137" s="39">
        <f>IF($A137="","",IF(O137&lt;&gt;원인분석!$C$9,"",IF(AND(M137&gt;=원인분석!$C$10,M137&lt;=원인분석!$C$11),"당기",IF(AND(M137&gt;=원인분석!$C$12,M137&lt;=원인분석!$C$13),"비교",""))))</f>
        <v/>
      </c>
      <c r="R137" s="9">
        <f>IF(Q137="","",$K137&amp;"")</f>
        <v/>
      </c>
      <c r="S137" s="9">
        <f>IF(Q137="","",IF(MATCH(R137,$R$5:$R$100000,0)=ROW()-4,ROW(),""))</f>
        <v/>
      </c>
      <c r="T137" s="9">
        <f>IF(Q137="당기",ABS(P137)+ROW()/1000000000,"")</f>
        <v/>
      </c>
      <c r="U137" s="9">
        <f>IF(Q137="비교",ABS(P137)+ROW()/1000000000,"")</f>
        <v/>
      </c>
      <c r="V137" s="39">
        <f>IF($A137="","",IF(COUNTIF(변동분석!$E$7:$E$506,O137)&gt;0,"Y","N"))</f>
        <v/>
      </c>
      <c r="W137" s="39">
        <f>IF($A137="","",IFERROR(INDEX(계정매핑!$D$5:$D$504,MATCH($F137&amp;"",계정매핑!$A$5:$A$504,0)),"미매핑"))</f>
        <v/>
      </c>
      <c r="X137" s="9">
        <f>IF($A137="","",$F137&amp;"")</f>
        <v/>
      </c>
    </row>
    <row r="138">
      <c r="A138" s="75" t="n">
        <v>2025</v>
      </c>
      <c r="B138" s="75" t="n">
        <v>1</v>
      </c>
      <c r="C138" s="75" t="inlineStr">
        <is>
          <t>5100000134</t>
        </is>
      </c>
      <c r="D138" s="78" t="n">
        <v>45673</v>
      </c>
      <c r="E138" s="75" t="inlineStr">
        <is>
          <t>KR</t>
        </is>
      </c>
      <c r="F138" s="75" t="n">
        <v>62102000</v>
      </c>
      <c r="G138" s="75" t="n">
        <v>1401</v>
      </c>
      <c r="H138" s="76" t="n">
        <v>74000</v>
      </c>
      <c r="I138" s="75" t="inlineStr">
        <is>
          <t>1월 해외출장 - M항공</t>
        </is>
      </c>
      <c r="J138" s="75" t="inlineStr">
        <is>
          <t>V10001</t>
        </is>
      </c>
      <c r="K138" s="75" t="inlineStr">
        <is>
          <t>M항공</t>
        </is>
      </c>
      <c r="M138" s="9">
        <f>IF($A138="","",VALUE($A138&amp;"")*12+VALUE($B138&amp;""))</f>
        <v/>
      </c>
      <c r="N138" s="39">
        <f>IF($A138="","",IFERROR(INDEX(부서매핑!$C$5:$C$504,MATCH($G138&amp;"",부서매핑!$A$5:$A$504,0)),"미매핑"))</f>
        <v/>
      </c>
      <c r="O138" s="9">
        <f>IF($A138="","",N138&amp;"|"&amp;$F138)</f>
        <v/>
      </c>
      <c r="P138" s="77">
        <f>IF($A138="",0,$H138*설정!$C$23)</f>
        <v/>
      </c>
      <c r="Q138" s="39">
        <f>IF($A138="","",IF(O138&lt;&gt;원인분석!$C$9,"",IF(AND(M138&gt;=원인분석!$C$10,M138&lt;=원인분석!$C$11),"당기",IF(AND(M138&gt;=원인분석!$C$12,M138&lt;=원인분석!$C$13),"비교",""))))</f>
        <v/>
      </c>
      <c r="R138" s="9">
        <f>IF(Q138="","",$K138&amp;"")</f>
        <v/>
      </c>
      <c r="S138" s="9">
        <f>IF(Q138="","",IF(MATCH(R138,$R$5:$R$100000,0)=ROW()-4,ROW(),""))</f>
        <v/>
      </c>
      <c r="T138" s="9">
        <f>IF(Q138="당기",ABS(P138)+ROW()/1000000000,"")</f>
        <v/>
      </c>
      <c r="U138" s="9">
        <f>IF(Q138="비교",ABS(P138)+ROW()/1000000000,"")</f>
        <v/>
      </c>
      <c r="V138" s="39">
        <f>IF($A138="","",IF(COUNTIF(변동분석!$E$7:$E$506,O138)&gt;0,"Y","N"))</f>
        <v/>
      </c>
      <c r="W138" s="39">
        <f>IF($A138="","",IFERROR(INDEX(계정매핑!$D$5:$D$504,MATCH($F138&amp;"",계정매핑!$A$5:$A$504,0)),"미매핑"))</f>
        <v/>
      </c>
      <c r="X138" s="9">
        <f>IF($A138="","",$F138&amp;"")</f>
        <v/>
      </c>
    </row>
    <row r="139">
      <c r="A139" s="75" t="n">
        <v>2025</v>
      </c>
      <c r="B139" s="75" t="n">
        <v>1</v>
      </c>
      <c r="C139" s="75" t="inlineStr">
        <is>
          <t>5100000135</t>
        </is>
      </c>
      <c r="D139" s="78" t="n">
        <v>45673</v>
      </c>
      <c r="E139" s="75" t="inlineStr">
        <is>
          <t>KR</t>
        </is>
      </c>
      <c r="F139" s="75" t="n">
        <v>62201000</v>
      </c>
      <c r="G139" s="75" t="n">
        <v>1601</v>
      </c>
      <c r="H139" s="76" t="n">
        <v>578000</v>
      </c>
      <c r="I139" s="75" t="inlineStr">
        <is>
          <t>1월 통신요금 - P통신</t>
        </is>
      </c>
      <c r="J139" s="75" t="inlineStr">
        <is>
          <t>V10011</t>
        </is>
      </c>
      <c r="K139" s="75" t="inlineStr">
        <is>
          <t>P통신</t>
        </is>
      </c>
      <c r="M139" s="9">
        <f>IF($A139="","",VALUE($A139&amp;"")*12+VALUE($B139&amp;""))</f>
        <v/>
      </c>
      <c r="N139" s="39">
        <f>IF($A139="","",IFERROR(INDEX(부서매핑!$C$5:$C$504,MATCH($G139&amp;"",부서매핑!$A$5:$A$504,0)),"미매핑"))</f>
        <v/>
      </c>
      <c r="O139" s="9">
        <f>IF($A139="","",N139&amp;"|"&amp;$F139)</f>
        <v/>
      </c>
      <c r="P139" s="77">
        <f>IF($A139="",0,$H139*설정!$C$23)</f>
        <v/>
      </c>
      <c r="Q139" s="39">
        <f>IF($A139="","",IF(O139&lt;&gt;원인분석!$C$9,"",IF(AND(M139&gt;=원인분석!$C$10,M139&lt;=원인분석!$C$11),"당기",IF(AND(M139&gt;=원인분석!$C$12,M139&lt;=원인분석!$C$13),"비교",""))))</f>
        <v/>
      </c>
      <c r="R139" s="9">
        <f>IF(Q139="","",$K139&amp;"")</f>
        <v/>
      </c>
      <c r="S139" s="9">
        <f>IF(Q139="","",IF(MATCH(R139,$R$5:$R$100000,0)=ROW()-4,ROW(),""))</f>
        <v/>
      </c>
      <c r="T139" s="9">
        <f>IF(Q139="당기",ABS(P139)+ROW()/1000000000,"")</f>
        <v/>
      </c>
      <c r="U139" s="9">
        <f>IF(Q139="비교",ABS(P139)+ROW()/1000000000,"")</f>
        <v/>
      </c>
      <c r="V139" s="39">
        <f>IF($A139="","",IF(COUNTIF(변동분석!$E$7:$E$506,O139)&gt;0,"Y","N"))</f>
        <v/>
      </c>
      <c r="W139" s="39">
        <f>IF($A139="","",IFERROR(INDEX(계정매핑!$D$5:$D$504,MATCH($F139&amp;"",계정매핑!$A$5:$A$504,0)),"미매핑"))</f>
        <v/>
      </c>
      <c r="X139" s="9">
        <f>IF($A139="","",$F139&amp;"")</f>
        <v/>
      </c>
    </row>
    <row r="140">
      <c r="A140" s="75" t="n">
        <v>2025</v>
      </c>
      <c r="B140" s="75" t="n">
        <v>1</v>
      </c>
      <c r="C140" s="75" t="inlineStr">
        <is>
          <t>5100000136</t>
        </is>
      </c>
      <c r="D140" s="78" t="n">
        <v>45673</v>
      </c>
      <c r="E140" s="75" t="inlineStr">
        <is>
          <t>KR</t>
        </is>
      </c>
      <c r="F140" s="75" t="n">
        <v>62301000</v>
      </c>
      <c r="G140" s="75" t="n">
        <v>1601</v>
      </c>
      <c r="H140" s="76" t="n">
        <v>367000</v>
      </c>
      <c r="I140" s="75" t="inlineStr">
        <is>
          <t>1월 소모품 구입 - R문구</t>
        </is>
      </c>
      <c r="J140" s="75" t="inlineStr">
        <is>
          <t>V10018</t>
        </is>
      </c>
      <c r="K140" s="75" t="inlineStr">
        <is>
          <t>R문구</t>
        </is>
      </c>
      <c r="M140" s="9">
        <f>IF($A140="","",VALUE($A140&amp;"")*12+VALUE($B140&amp;""))</f>
        <v/>
      </c>
      <c r="N140" s="39">
        <f>IF($A140="","",IFERROR(INDEX(부서매핑!$C$5:$C$504,MATCH($G140&amp;"",부서매핑!$A$5:$A$504,0)),"미매핑"))</f>
        <v/>
      </c>
      <c r="O140" s="9">
        <f>IF($A140="","",N140&amp;"|"&amp;$F140)</f>
        <v/>
      </c>
      <c r="P140" s="77">
        <f>IF($A140="",0,$H140*설정!$C$23)</f>
        <v/>
      </c>
      <c r="Q140" s="39">
        <f>IF($A140="","",IF(O140&lt;&gt;원인분석!$C$9,"",IF(AND(M140&gt;=원인분석!$C$10,M140&lt;=원인분석!$C$11),"당기",IF(AND(M140&gt;=원인분석!$C$12,M140&lt;=원인분석!$C$13),"비교",""))))</f>
        <v/>
      </c>
      <c r="R140" s="9">
        <f>IF(Q140="","",$K140&amp;"")</f>
        <v/>
      </c>
      <c r="S140" s="9">
        <f>IF(Q140="","",IF(MATCH(R140,$R$5:$R$100000,0)=ROW()-4,ROW(),""))</f>
        <v/>
      </c>
      <c r="T140" s="9">
        <f>IF(Q140="당기",ABS(P140)+ROW()/1000000000,"")</f>
        <v/>
      </c>
      <c r="U140" s="9">
        <f>IF(Q140="비교",ABS(P140)+ROW()/1000000000,"")</f>
        <v/>
      </c>
      <c r="V140" s="39">
        <f>IF($A140="","",IF(COUNTIF(변동분석!$E$7:$E$506,O140)&gt;0,"Y","N"))</f>
        <v/>
      </c>
      <c r="W140" s="39">
        <f>IF($A140="","",IFERROR(INDEX(계정매핑!$D$5:$D$504,MATCH($F140&amp;"",계정매핑!$A$5:$A$504,0)),"미매핑"))</f>
        <v/>
      </c>
      <c r="X140" s="9">
        <f>IF($A140="","",$F140&amp;"")</f>
        <v/>
      </c>
    </row>
    <row r="141">
      <c r="A141" s="75" t="n">
        <v>2025</v>
      </c>
      <c r="B141" s="75" t="n">
        <v>1</v>
      </c>
      <c r="C141" s="75" t="inlineStr">
        <is>
          <t>5100000137</t>
        </is>
      </c>
      <c r="D141" s="78" t="n">
        <v>45673</v>
      </c>
      <c r="E141" s="75" t="inlineStr">
        <is>
          <t>KR</t>
        </is>
      </c>
      <c r="F141" s="75" t="n">
        <v>62601000</v>
      </c>
      <c r="G141" s="75" t="n">
        <v>1601</v>
      </c>
      <c r="H141" s="76" t="n">
        <v>1750000</v>
      </c>
      <c r="I141" s="75" t="inlineStr">
        <is>
          <t>1월 업무추진 - (법인카드)</t>
        </is>
      </c>
      <c r="J141" s="75" t="inlineStr">
        <is>
          <t>V10008</t>
        </is>
      </c>
      <c r="K141" s="75" t="inlineStr">
        <is>
          <t>(법인카드)</t>
        </is>
      </c>
      <c r="M141" s="9">
        <f>IF($A141="","",VALUE($A141&amp;"")*12+VALUE($B141&amp;""))</f>
        <v/>
      </c>
      <c r="N141" s="39">
        <f>IF($A141="","",IFERROR(INDEX(부서매핑!$C$5:$C$504,MATCH($G141&amp;"",부서매핑!$A$5:$A$504,0)),"미매핑"))</f>
        <v/>
      </c>
      <c r="O141" s="9">
        <f>IF($A141="","",N141&amp;"|"&amp;$F141)</f>
        <v/>
      </c>
      <c r="P141" s="77">
        <f>IF($A141="",0,$H141*설정!$C$23)</f>
        <v/>
      </c>
      <c r="Q141" s="39">
        <f>IF($A141="","",IF(O141&lt;&gt;원인분석!$C$9,"",IF(AND(M141&gt;=원인분석!$C$10,M141&lt;=원인분석!$C$11),"당기",IF(AND(M141&gt;=원인분석!$C$12,M141&lt;=원인분석!$C$13),"비교",""))))</f>
        <v/>
      </c>
      <c r="R141" s="9">
        <f>IF(Q141="","",$K141&amp;"")</f>
        <v/>
      </c>
      <c r="S141" s="9">
        <f>IF(Q141="","",IF(MATCH(R141,$R$5:$R$100000,0)=ROW()-4,ROW(),""))</f>
        <v/>
      </c>
      <c r="T141" s="9">
        <f>IF(Q141="당기",ABS(P141)+ROW()/1000000000,"")</f>
        <v/>
      </c>
      <c r="U141" s="9">
        <f>IF(Q141="비교",ABS(P141)+ROW()/1000000000,"")</f>
        <v/>
      </c>
      <c r="V141" s="39">
        <f>IF($A141="","",IF(COUNTIF(변동분석!$E$7:$E$506,O141)&gt;0,"Y","N"))</f>
        <v/>
      </c>
      <c r="W141" s="39">
        <f>IF($A141="","",IFERROR(INDEX(계정매핑!$D$5:$D$504,MATCH($F141&amp;"",계정매핑!$A$5:$A$504,0)),"미매핑"))</f>
        <v/>
      </c>
      <c r="X141" s="9">
        <f>IF($A141="","",$F141&amp;"")</f>
        <v/>
      </c>
    </row>
    <row r="142">
      <c r="A142" s="75" t="n">
        <v>2025</v>
      </c>
      <c r="B142" s="75" t="n">
        <v>1</v>
      </c>
      <c r="C142" s="75" t="inlineStr">
        <is>
          <t>5100000138</t>
        </is>
      </c>
      <c r="D142" s="78" t="n">
        <v>45673</v>
      </c>
      <c r="E142" s="75" t="inlineStr">
        <is>
          <t>KR</t>
        </is>
      </c>
      <c r="F142" s="75" t="n">
        <v>62701000</v>
      </c>
      <c r="G142" s="75" t="n">
        <v>1502</v>
      </c>
      <c r="H142" s="76" t="n">
        <v>44314000</v>
      </c>
      <c r="I142" s="75" t="inlineStr">
        <is>
          <t>1월 광고 집행 - F애드</t>
        </is>
      </c>
      <c r="J142" s="75" t="inlineStr">
        <is>
          <t>V10019</t>
        </is>
      </c>
      <c r="K142" s="75" t="inlineStr">
        <is>
          <t>F애드</t>
        </is>
      </c>
      <c r="M142" s="9">
        <f>IF($A142="","",VALUE($A142&amp;"")*12+VALUE($B142&amp;""))</f>
        <v/>
      </c>
      <c r="N142" s="39">
        <f>IF($A142="","",IFERROR(INDEX(부서매핑!$C$5:$C$504,MATCH($G142&amp;"",부서매핑!$A$5:$A$504,0)),"미매핑"))</f>
        <v/>
      </c>
      <c r="O142" s="9">
        <f>IF($A142="","",N142&amp;"|"&amp;$F142)</f>
        <v/>
      </c>
      <c r="P142" s="77">
        <f>IF($A142="",0,$H142*설정!$C$23)</f>
        <v/>
      </c>
      <c r="Q142" s="39">
        <f>IF($A142="","",IF(O142&lt;&gt;원인분석!$C$9,"",IF(AND(M142&gt;=원인분석!$C$10,M142&lt;=원인분석!$C$11),"당기",IF(AND(M142&gt;=원인분석!$C$12,M142&lt;=원인분석!$C$13),"비교",""))))</f>
        <v/>
      </c>
      <c r="R142" s="9">
        <f>IF(Q142="","",$K142&amp;"")</f>
        <v/>
      </c>
      <c r="S142" s="9">
        <f>IF(Q142="","",IF(MATCH(R142,$R$5:$R$100000,0)=ROW()-4,ROW(),""))</f>
        <v/>
      </c>
      <c r="T142" s="9">
        <f>IF(Q142="당기",ABS(P142)+ROW()/1000000000,"")</f>
        <v/>
      </c>
      <c r="U142" s="9">
        <f>IF(Q142="비교",ABS(P142)+ROW()/1000000000,"")</f>
        <v/>
      </c>
      <c r="V142" s="39">
        <f>IF($A142="","",IF(COUNTIF(변동분석!$E$7:$E$506,O142)&gt;0,"Y","N"))</f>
        <v/>
      </c>
      <c r="W142" s="39">
        <f>IF($A142="","",IFERROR(INDEX(계정매핑!$D$5:$D$504,MATCH($F142&amp;"",계정매핑!$A$5:$A$504,0)),"미매핑"))</f>
        <v/>
      </c>
      <c r="X142" s="9">
        <f>IF($A142="","",$F142&amp;"")</f>
        <v/>
      </c>
    </row>
    <row r="143">
      <c r="A143" s="75" t="n">
        <v>2025</v>
      </c>
      <c r="B143" s="75" t="n">
        <v>1</v>
      </c>
      <c r="C143" s="75" t="inlineStr">
        <is>
          <t>5100000139</t>
        </is>
      </c>
      <c r="D143" s="78" t="n">
        <v>45673</v>
      </c>
      <c r="E143" s="75" t="inlineStr">
        <is>
          <t>KR</t>
        </is>
      </c>
      <c r="F143" s="75" t="n">
        <v>62802000</v>
      </c>
      <c r="G143" s="75" t="n">
        <v>1301</v>
      </c>
      <c r="H143" s="76" t="n">
        <v>3941000</v>
      </c>
      <c r="I143" s="75" t="inlineStr">
        <is>
          <t>1월 위탁교육 - V아카데미</t>
        </is>
      </c>
      <c r="J143" s="75" t="inlineStr">
        <is>
          <t>V10023</t>
        </is>
      </c>
      <c r="K143" s="75" t="inlineStr">
        <is>
          <t>V아카데미</t>
        </is>
      </c>
      <c r="M143" s="9">
        <f>IF($A143="","",VALUE($A143&amp;"")*12+VALUE($B143&amp;""))</f>
        <v/>
      </c>
      <c r="N143" s="39">
        <f>IF($A143="","",IFERROR(INDEX(부서매핑!$C$5:$C$504,MATCH($G143&amp;"",부서매핑!$A$5:$A$504,0)),"미매핑"))</f>
        <v/>
      </c>
      <c r="O143" s="9">
        <f>IF($A143="","",N143&amp;"|"&amp;$F143)</f>
        <v/>
      </c>
      <c r="P143" s="77">
        <f>IF($A143="",0,$H143*설정!$C$23)</f>
        <v/>
      </c>
      <c r="Q143" s="39">
        <f>IF($A143="","",IF(O143&lt;&gt;원인분석!$C$9,"",IF(AND(M143&gt;=원인분석!$C$10,M143&lt;=원인분석!$C$11),"당기",IF(AND(M143&gt;=원인분석!$C$12,M143&lt;=원인분석!$C$13),"비교",""))))</f>
        <v/>
      </c>
      <c r="R143" s="9">
        <f>IF(Q143="","",$K143&amp;"")</f>
        <v/>
      </c>
      <c r="S143" s="9">
        <f>IF(Q143="","",IF(MATCH(R143,$R$5:$R$100000,0)=ROW()-4,ROW(),""))</f>
        <v/>
      </c>
      <c r="T143" s="9">
        <f>IF(Q143="당기",ABS(P143)+ROW()/1000000000,"")</f>
        <v/>
      </c>
      <c r="U143" s="9">
        <f>IF(Q143="비교",ABS(P143)+ROW()/1000000000,"")</f>
        <v/>
      </c>
      <c r="V143" s="39">
        <f>IF($A143="","",IF(COUNTIF(변동분석!$E$7:$E$506,O143)&gt;0,"Y","N"))</f>
        <v/>
      </c>
      <c r="W143" s="39">
        <f>IF($A143="","",IFERROR(INDEX(계정매핑!$D$5:$D$504,MATCH($F143&amp;"",계정매핑!$A$5:$A$504,0)),"미매핑"))</f>
        <v/>
      </c>
      <c r="X143" s="9">
        <f>IF($A143="","",$F143&amp;"")</f>
        <v/>
      </c>
    </row>
    <row r="144">
      <c r="A144" s="75" t="n">
        <v>2025</v>
      </c>
      <c r="B144" s="75" t="n">
        <v>1</v>
      </c>
      <c r="C144" s="75" t="inlineStr">
        <is>
          <t>5100000140</t>
        </is>
      </c>
      <c r="D144" s="78" t="n">
        <v>45673</v>
      </c>
      <c r="E144" s="75" t="inlineStr">
        <is>
          <t>KR</t>
        </is>
      </c>
      <c r="F144" s="75" t="n">
        <v>62902000</v>
      </c>
      <c r="G144" s="75" t="n">
        <v>1801</v>
      </c>
      <c r="H144" s="76" t="n">
        <v>3000000</v>
      </c>
      <c r="I144" s="75" t="inlineStr">
        <is>
          <t>1월 업무 위탁 수수료 - X서비스</t>
        </is>
      </c>
      <c r="J144" s="75" t="inlineStr">
        <is>
          <t>V10016</t>
        </is>
      </c>
      <c r="K144" s="75" t="inlineStr">
        <is>
          <t>X서비스</t>
        </is>
      </c>
      <c r="M144" s="9">
        <f>IF($A144="","",VALUE($A144&amp;"")*12+VALUE($B144&amp;""))</f>
        <v/>
      </c>
      <c r="N144" s="39">
        <f>IF($A144="","",IFERROR(INDEX(부서매핑!$C$5:$C$504,MATCH($G144&amp;"",부서매핑!$A$5:$A$504,0)),"미매핑"))</f>
        <v/>
      </c>
      <c r="O144" s="9">
        <f>IF($A144="","",N144&amp;"|"&amp;$F144)</f>
        <v/>
      </c>
      <c r="P144" s="77">
        <f>IF($A144="",0,$H144*설정!$C$23)</f>
        <v/>
      </c>
      <c r="Q144" s="39">
        <f>IF($A144="","",IF(O144&lt;&gt;원인분석!$C$9,"",IF(AND(M144&gt;=원인분석!$C$10,M144&lt;=원인분석!$C$11),"당기",IF(AND(M144&gt;=원인분석!$C$12,M144&lt;=원인분석!$C$13),"비교",""))))</f>
        <v/>
      </c>
      <c r="R144" s="9">
        <f>IF(Q144="","",$K144&amp;"")</f>
        <v/>
      </c>
      <c r="S144" s="9">
        <f>IF(Q144="","",IF(MATCH(R144,$R$5:$R$100000,0)=ROW()-4,ROW(),""))</f>
        <v/>
      </c>
      <c r="T144" s="9">
        <f>IF(Q144="당기",ABS(P144)+ROW()/1000000000,"")</f>
        <v/>
      </c>
      <c r="U144" s="9">
        <f>IF(Q144="비교",ABS(P144)+ROW()/1000000000,"")</f>
        <v/>
      </c>
      <c r="V144" s="39">
        <f>IF($A144="","",IF(COUNTIF(변동분석!$E$7:$E$506,O144)&gt;0,"Y","N"))</f>
        <v/>
      </c>
      <c r="W144" s="39">
        <f>IF($A144="","",IFERROR(INDEX(계정매핑!$D$5:$D$504,MATCH($F144&amp;"",계정매핑!$A$5:$A$504,0)),"미매핑"))</f>
        <v/>
      </c>
      <c r="X144" s="9">
        <f>IF($A144="","",$F144&amp;"")</f>
        <v/>
      </c>
    </row>
    <row r="145">
      <c r="A145" s="75" t="n">
        <v>2025</v>
      </c>
      <c r="B145" s="75" t="n">
        <v>1</v>
      </c>
      <c r="C145" s="75" t="inlineStr">
        <is>
          <t>5100000141</t>
        </is>
      </c>
      <c r="D145" s="78" t="n">
        <v>45674</v>
      </c>
      <c r="E145" s="75" t="inlineStr">
        <is>
          <t>KR</t>
        </is>
      </c>
      <c r="F145" s="75" t="n">
        <v>62101000</v>
      </c>
      <c r="G145" s="75" t="n">
        <v>1501</v>
      </c>
      <c r="H145" s="76" t="n">
        <v>448000</v>
      </c>
      <c r="I145" s="75" t="inlineStr">
        <is>
          <t>1월 국내출장 - L여행사</t>
        </is>
      </c>
      <c r="J145" s="75" t="inlineStr">
        <is>
          <t>V10014</t>
        </is>
      </c>
      <c r="K145" s="75" t="inlineStr">
        <is>
          <t>L여행사</t>
        </is>
      </c>
      <c r="M145" s="9">
        <f>IF($A145="","",VALUE($A145&amp;"")*12+VALUE($B145&amp;""))</f>
        <v/>
      </c>
      <c r="N145" s="39">
        <f>IF($A145="","",IFERROR(INDEX(부서매핑!$C$5:$C$504,MATCH($G145&amp;"",부서매핑!$A$5:$A$504,0)),"미매핑"))</f>
        <v/>
      </c>
      <c r="O145" s="9">
        <f>IF($A145="","",N145&amp;"|"&amp;$F145)</f>
        <v/>
      </c>
      <c r="P145" s="77">
        <f>IF($A145="",0,$H145*설정!$C$23)</f>
        <v/>
      </c>
      <c r="Q145" s="39">
        <f>IF($A145="","",IF(O145&lt;&gt;원인분석!$C$9,"",IF(AND(M145&gt;=원인분석!$C$10,M145&lt;=원인분석!$C$11),"당기",IF(AND(M145&gt;=원인분석!$C$12,M145&lt;=원인분석!$C$13),"비교",""))))</f>
        <v/>
      </c>
      <c r="R145" s="9">
        <f>IF(Q145="","",$K145&amp;"")</f>
        <v/>
      </c>
      <c r="S145" s="9">
        <f>IF(Q145="","",IF(MATCH(R145,$R$5:$R$100000,0)=ROW()-4,ROW(),""))</f>
        <v/>
      </c>
      <c r="T145" s="9">
        <f>IF(Q145="당기",ABS(P145)+ROW()/1000000000,"")</f>
        <v/>
      </c>
      <c r="U145" s="9">
        <f>IF(Q145="비교",ABS(P145)+ROW()/1000000000,"")</f>
        <v/>
      </c>
      <c r="V145" s="39">
        <f>IF($A145="","",IF(COUNTIF(변동분석!$E$7:$E$506,O145)&gt;0,"Y","N"))</f>
        <v/>
      </c>
      <c r="W145" s="39">
        <f>IF($A145="","",IFERROR(INDEX(계정매핑!$D$5:$D$504,MATCH($F145&amp;"",계정매핑!$A$5:$A$504,0)),"미매핑"))</f>
        <v/>
      </c>
      <c r="X145" s="9">
        <f>IF($A145="","",$F145&amp;"")</f>
        <v/>
      </c>
    </row>
    <row r="146">
      <c r="A146" s="75" t="n">
        <v>2025</v>
      </c>
      <c r="B146" s="75" t="n">
        <v>1</v>
      </c>
      <c r="C146" s="75" t="inlineStr">
        <is>
          <t>5100000142</t>
        </is>
      </c>
      <c r="D146" s="78" t="n">
        <v>45674</v>
      </c>
      <c r="E146" s="75" t="inlineStr">
        <is>
          <t>KR</t>
        </is>
      </c>
      <c r="F146" s="75" t="n">
        <v>62102000</v>
      </c>
      <c r="G146" s="75" t="n">
        <v>1201</v>
      </c>
      <c r="H146" s="76" t="n">
        <v>50000</v>
      </c>
      <c r="I146" s="75" t="inlineStr">
        <is>
          <t>1월 해외출장 - N호텔</t>
        </is>
      </c>
      <c r="J146" s="75" t="inlineStr">
        <is>
          <t>V10007</t>
        </is>
      </c>
      <c r="K146" s="75" t="inlineStr">
        <is>
          <t>N호텔</t>
        </is>
      </c>
      <c r="M146" s="9">
        <f>IF($A146="","",VALUE($A146&amp;"")*12+VALUE($B146&amp;""))</f>
        <v/>
      </c>
      <c r="N146" s="39">
        <f>IF($A146="","",IFERROR(INDEX(부서매핑!$C$5:$C$504,MATCH($G146&amp;"",부서매핑!$A$5:$A$504,0)),"미매핑"))</f>
        <v/>
      </c>
      <c r="O146" s="9">
        <f>IF($A146="","",N146&amp;"|"&amp;$F146)</f>
        <v/>
      </c>
      <c r="P146" s="77">
        <f>IF($A146="",0,$H146*설정!$C$23)</f>
        <v/>
      </c>
      <c r="Q146" s="39">
        <f>IF($A146="","",IF(O146&lt;&gt;원인분석!$C$9,"",IF(AND(M146&gt;=원인분석!$C$10,M146&lt;=원인분석!$C$11),"당기",IF(AND(M146&gt;=원인분석!$C$12,M146&lt;=원인분석!$C$13),"비교",""))))</f>
        <v/>
      </c>
      <c r="R146" s="9">
        <f>IF(Q146="","",$K146&amp;"")</f>
        <v/>
      </c>
      <c r="S146" s="9">
        <f>IF(Q146="","",IF(MATCH(R146,$R$5:$R$100000,0)=ROW()-4,ROW(),""))</f>
        <v/>
      </c>
      <c r="T146" s="9">
        <f>IF(Q146="당기",ABS(P146)+ROW()/1000000000,"")</f>
        <v/>
      </c>
      <c r="U146" s="9">
        <f>IF(Q146="비교",ABS(P146)+ROW()/1000000000,"")</f>
        <v/>
      </c>
      <c r="V146" s="39">
        <f>IF($A146="","",IF(COUNTIF(변동분석!$E$7:$E$506,O146)&gt;0,"Y","N"))</f>
        <v/>
      </c>
      <c r="W146" s="39">
        <f>IF($A146="","",IFERROR(INDEX(계정매핑!$D$5:$D$504,MATCH($F146&amp;"",계정매핑!$A$5:$A$504,0)),"미매핑"))</f>
        <v/>
      </c>
      <c r="X146" s="9">
        <f>IF($A146="","",$F146&amp;"")</f>
        <v/>
      </c>
    </row>
    <row r="147">
      <c r="A147" s="75" t="n">
        <v>2025</v>
      </c>
      <c r="B147" s="75" t="n">
        <v>1</v>
      </c>
      <c r="C147" s="75" t="inlineStr">
        <is>
          <t>5100000143</t>
        </is>
      </c>
      <c r="D147" s="78" t="n">
        <v>45674</v>
      </c>
      <c r="E147" s="75" t="inlineStr">
        <is>
          <t>KR</t>
        </is>
      </c>
      <c r="F147" s="75" t="n">
        <v>62201000</v>
      </c>
      <c r="G147" s="75" t="n">
        <v>1502</v>
      </c>
      <c r="H147" s="76" t="n">
        <v>283000</v>
      </c>
      <c r="I147" s="75" t="inlineStr">
        <is>
          <t>1월 통신요금 - P통신</t>
        </is>
      </c>
      <c r="J147" s="75" t="inlineStr">
        <is>
          <t>V10011</t>
        </is>
      </c>
      <c r="K147" s="75" t="inlineStr">
        <is>
          <t>P통신</t>
        </is>
      </c>
      <c r="M147" s="9">
        <f>IF($A147="","",VALUE($A147&amp;"")*12+VALUE($B147&amp;""))</f>
        <v/>
      </c>
      <c r="N147" s="39">
        <f>IF($A147="","",IFERROR(INDEX(부서매핑!$C$5:$C$504,MATCH($G147&amp;"",부서매핑!$A$5:$A$504,0)),"미매핑"))</f>
        <v/>
      </c>
      <c r="O147" s="9">
        <f>IF($A147="","",N147&amp;"|"&amp;$F147)</f>
        <v/>
      </c>
      <c r="P147" s="77">
        <f>IF($A147="",0,$H147*설정!$C$23)</f>
        <v/>
      </c>
      <c r="Q147" s="39">
        <f>IF($A147="","",IF(O147&lt;&gt;원인분석!$C$9,"",IF(AND(M147&gt;=원인분석!$C$10,M147&lt;=원인분석!$C$11),"당기",IF(AND(M147&gt;=원인분석!$C$12,M147&lt;=원인분석!$C$13),"비교",""))))</f>
        <v/>
      </c>
      <c r="R147" s="9">
        <f>IF(Q147="","",$K147&amp;"")</f>
        <v/>
      </c>
      <c r="S147" s="9">
        <f>IF(Q147="","",IF(MATCH(R147,$R$5:$R$100000,0)=ROW()-4,ROW(),""))</f>
        <v/>
      </c>
      <c r="T147" s="9">
        <f>IF(Q147="당기",ABS(P147)+ROW()/1000000000,"")</f>
        <v/>
      </c>
      <c r="U147" s="9">
        <f>IF(Q147="비교",ABS(P147)+ROW()/1000000000,"")</f>
        <v/>
      </c>
      <c r="V147" s="39">
        <f>IF($A147="","",IF(COUNTIF(변동분석!$E$7:$E$506,O147)&gt;0,"Y","N"))</f>
        <v/>
      </c>
      <c r="W147" s="39">
        <f>IF($A147="","",IFERROR(INDEX(계정매핑!$D$5:$D$504,MATCH($F147&amp;"",계정매핑!$A$5:$A$504,0)),"미매핑"))</f>
        <v/>
      </c>
      <c r="X147" s="9">
        <f>IF($A147="","",$F147&amp;"")</f>
        <v/>
      </c>
    </row>
    <row r="148">
      <c r="A148" s="75" t="n">
        <v>2025</v>
      </c>
      <c r="B148" s="75" t="n">
        <v>1</v>
      </c>
      <c r="C148" s="75" t="inlineStr">
        <is>
          <t>5100000144</t>
        </is>
      </c>
      <c r="D148" s="78" t="n">
        <v>45674</v>
      </c>
      <c r="E148" s="75" t="inlineStr">
        <is>
          <t>KR</t>
        </is>
      </c>
      <c r="F148" s="75" t="n">
        <v>62301000</v>
      </c>
      <c r="G148" s="75" t="n">
        <v>1401</v>
      </c>
      <c r="H148" s="76" t="n">
        <v>96000</v>
      </c>
      <c r="I148" s="75" t="inlineStr">
        <is>
          <t>1월 소모품 구입 - R문구</t>
        </is>
      </c>
      <c r="J148" s="75" t="inlineStr">
        <is>
          <t>V10018</t>
        </is>
      </c>
      <c r="K148" s="75" t="inlineStr">
        <is>
          <t>R문구</t>
        </is>
      </c>
      <c r="M148" s="9">
        <f>IF($A148="","",VALUE($A148&amp;"")*12+VALUE($B148&amp;""))</f>
        <v/>
      </c>
      <c r="N148" s="39">
        <f>IF($A148="","",IFERROR(INDEX(부서매핑!$C$5:$C$504,MATCH($G148&amp;"",부서매핑!$A$5:$A$504,0)),"미매핑"))</f>
        <v/>
      </c>
      <c r="O148" s="9">
        <f>IF($A148="","",N148&amp;"|"&amp;$F148)</f>
        <v/>
      </c>
      <c r="P148" s="77">
        <f>IF($A148="",0,$H148*설정!$C$23)</f>
        <v/>
      </c>
      <c r="Q148" s="39">
        <f>IF($A148="","",IF(O148&lt;&gt;원인분석!$C$9,"",IF(AND(M148&gt;=원인분석!$C$10,M148&lt;=원인분석!$C$11),"당기",IF(AND(M148&gt;=원인분석!$C$12,M148&lt;=원인분석!$C$13),"비교",""))))</f>
        <v/>
      </c>
      <c r="R148" s="9">
        <f>IF(Q148="","",$K148&amp;"")</f>
        <v/>
      </c>
      <c r="S148" s="9">
        <f>IF(Q148="","",IF(MATCH(R148,$R$5:$R$100000,0)=ROW()-4,ROW(),""))</f>
        <v/>
      </c>
      <c r="T148" s="9">
        <f>IF(Q148="당기",ABS(P148)+ROW()/1000000000,"")</f>
        <v/>
      </c>
      <c r="U148" s="9">
        <f>IF(Q148="비교",ABS(P148)+ROW()/1000000000,"")</f>
        <v/>
      </c>
      <c r="V148" s="39">
        <f>IF($A148="","",IF(COUNTIF(변동분석!$E$7:$E$506,O148)&gt;0,"Y","N"))</f>
        <v/>
      </c>
      <c r="W148" s="39">
        <f>IF($A148="","",IFERROR(INDEX(계정매핑!$D$5:$D$504,MATCH($F148&amp;"",계정매핑!$A$5:$A$504,0)),"미매핑"))</f>
        <v/>
      </c>
      <c r="X148" s="9">
        <f>IF($A148="","",$F148&amp;"")</f>
        <v/>
      </c>
    </row>
    <row r="149">
      <c r="A149" s="75" t="n">
        <v>2025</v>
      </c>
      <c r="B149" s="75" t="n">
        <v>1</v>
      </c>
      <c r="C149" s="75" t="inlineStr">
        <is>
          <t>5100000145</t>
        </is>
      </c>
      <c r="D149" s="78" t="n">
        <v>45674</v>
      </c>
      <c r="E149" s="75" t="inlineStr">
        <is>
          <t>KR</t>
        </is>
      </c>
      <c r="F149" s="75" t="n">
        <v>62901000</v>
      </c>
      <c r="G149" s="75" t="n">
        <v>1201</v>
      </c>
      <c r="H149" s="76" t="n">
        <v>5700000</v>
      </c>
      <c r="I149" s="75" t="inlineStr">
        <is>
          <t>1월 자문 수수료 - K회계법인</t>
        </is>
      </c>
      <c r="J149" s="75" t="inlineStr">
        <is>
          <t>V10010</t>
        </is>
      </c>
      <c r="K149" s="75" t="inlineStr">
        <is>
          <t>K회계법인</t>
        </is>
      </c>
      <c r="M149" s="9">
        <f>IF($A149="","",VALUE($A149&amp;"")*12+VALUE($B149&amp;""))</f>
        <v/>
      </c>
      <c r="N149" s="39">
        <f>IF($A149="","",IFERROR(INDEX(부서매핑!$C$5:$C$504,MATCH($G149&amp;"",부서매핑!$A$5:$A$504,0)),"미매핑"))</f>
        <v/>
      </c>
      <c r="O149" s="9">
        <f>IF($A149="","",N149&amp;"|"&amp;$F149)</f>
        <v/>
      </c>
      <c r="P149" s="77">
        <f>IF($A149="",0,$H149*설정!$C$23)</f>
        <v/>
      </c>
      <c r="Q149" s="39">
        <f>IF($A149="","",IF(O149&lt;&gt;원인분석!$C$9,"",IF(AND(M149&gt;=원인분석!$C$10,M149&lt;=원인분석!$C$11),"당기",IF(AND(M149&gt;=원인분석!$C$12,M149&lt;=원인분석!$C$13),"비교",""))))</f>
        <v/>
      </c>
      <c r="R149" s="9">
        <f>IF(Q149="","",$K149&amp;"")</f>
        <v/>
      </c>
      <c r="S149" s="9">
        <f>IF(Q149="","",IF(MATCH(R149,$R$5:$R$100000,0)=ROW()-4,ROW(),""))</f>
        <v/>
      </c>
      <c r="T149" s="9">
        <f>IF(Q149="당기",ABS(P149)+ROW()/1000000000,"")</f>
        <v/>
      </c>
      <c r="U149" s="9">
        <f>IF(Q149="비교",ABS(P149)+ROW()/1000000000,"")</f>
        <v/>
      </c>
      <c r="V149" s="39">
        <f>IF($A149="","",IF(COUNTIF(변동분석!$E$7:$E$506,O149)&gt;0,"Y","N"))</f>
        <v/>
      </c>
      <c r="W149" s="39">
        <f>IF($A149="","",IFERROR(INDEX(계정매핑!$D$5:$D$504,MATCH($F149&amp;"",계정매핑!$A$5:$A$504,0)),"미매핑"))</f>
        <v/>
      </c>
      <c r="X149" s="9">
        <f>IF($A149="","",$F149&amp;"")</f>
        <v/>
      </c>
    </row>
    <row r="150">
      <c r="A150" s="75" t="n">
        <v>2025</v>
      </c>
      <c r="B150" s="75" t="n">
        <v>1</v>
      </c>
      <c r="C150" s="75" t="inlineStr">
        <is>
          <t>5100000146</t>
        </is>
      </c>
      <c r="D150" s="78" t="n">
        <v>45674</v>
      </c>
      <c r="E150" s="75" t="inlineStr">
        <is>
          <t>KR</t>
        </is>
      </c>
      <c r="F150" s="75" t="n">
        <v>62902000</v>
      </c>
      <c r="G150" s="75" t="n">
        <v>1801</v>
      </c>
      <c r="H150" s="76" t="n">
        <v>1803000</v>
      </c>
      <c r="I150" s="75" t="inlineStr">
        <is>
          <t>1월 콜 위탁 수수료(건별)</t>
        </is>
      </c>
      <c r="J150" s="75" t="inlineStr">
        <is>
          <t>V10013</t>
        </is>
      </c>
      <c r="K150" s="75" t="inlineStr">
        <is>
          <t>J콜센터</t>
        </is>
      </c>
      <c r="M150" s="9">
        <f>IF($A150="","",VALUE($A150&amp;"")*12+VALUE($B150&amp;""))</f>
        <v/>
      </c>
      <c r="N150" s="39">
        <f>IF($A150="","",IFERROR(INDEX(부서매핑!$C$5:$C$504,MATCH($G150&amp;"",부서매핑!$A$5:$A$504,0)),"미매핑"))</f>
        <v/>
      </c>
      <c r="O150" s="9">
        <f>IF($A150="","",N150&amp;"|"&amp;$F150)</f>
        <v/>
      </c>
      <c r="P150" s="77">
        <f>IF($A150="",0,$H150*설정!$C$23)</f>
        <v/>
      </c>
      <c r="Q150" s="39">
        <f>IF($A150="","",IF(O150&lt;&gt;원인분석!$C$9,"",IF(AND(M150&gt;=원인분석!$C$10,M150&lt;=원인분석!$C$11),"당기",IF(AND(M150&gt;=원인분석!$C$12,M150&lt;=원인분석!$C$13),"비교",""))))</f>
        <v/>
      </c>
      <c r="R150" s="9">
        <f>IF(Q150="","",$K150&amp;"")</f>
        <v/>
      </c>
      <c r="S150" s="9">
        <f>IF(Q150="","",IF(MATCH(R150,$R$5:$R$100000,0)=ROW()-4,ROW(),""))</f>
        <v/>
      </c>
      <c r="T150" s="9">
        <f>IF(Q150="당기",ABS(P150)+ROW()/1000000000,"")</f>
        <v/>
      </c>
      <c r="U150" s="9">
        <f>IF(Q150="비교",ABS(P150)+ROW()/1000000000,"")</f>
        <v/>
      </c>
      <c r="V150" s="39">
        <f>IF($A150="","",IF(COUNTIF(변동분석!$E$7:$E$506,O150)&gt;0,"Y","N"))</f>
        <v/>
      </c>
      <c r="W150" s="39">
        <f>IF($A150="","",IFERROR(INDEX(계정매핑!$D$5:$D$504,MATCH($F150&amp;"",계정매핑!$A$5:$A$504,0)),"미매핑"))</f>
        <v/>
      </c>
      <c r="X150" s="9">
        <f>IF($A150="","",$F150&amp;"")</f>
        <v/>
      </c>
    </row>
    <row r="151">
      <c r="A151" s="75" t="n">
        <v>2025</v>
      </c>
      <c r="B151" s="75" t="n">
        <v>1</v>
      </c>
      <c r="C151" s="75" t="inlineStr">
        <is>
          <t>5100000147</t>
        </is>
      </c>
      <c r="D151" s="78" t="n">
        <v>45675</v>
      </c>
      <c r="E151" s="75" t="inlineStr">
        <is>
          <t>KR</t>
        </is>
      </c>
      <c r="F151" s="75" t="n">
        <v>62101000</v>
      </c>
      <c r="G151" s="75" t="n">
        <v>1501</v>
      </c>
      <c r="H151" s="76" t="n">
        <v>580000</v>
      </c>
      <c r="I151" s="75" t="inlineStr">
        <is>
          <t>1월 국내출장 - (법인카드)</t>
        </is>
      </c>
      <c r="J151" s="75" t="inlineStr">
        <is>
          <t>V10008</t>
        </is>
      </c>
      <c r="K151" s="75" t="inlineStr">
        <is>
          <t>(법인카드)</t>
        </is>
      </c>
      <c r="M151" s="9">
        <f>IF($A151="","",VALUE($A151&amp;"")*12+VALUE($B151&amp;""))</f>
        <v/>
      </c>
      <c r="N151" s="39">
        <f>IF($A151="","",IFERROR(INDEX(부서매핑!$C$5:$C$504,MATCH($G151&amp;"",부서매핑!$A$5:$A$504,0)),"미매핑"))</f>
        <v/>
      </c>
      <c r="O151" s="9">
        <f>IF($A151="","",N151&amp;"|"&amp;$F151)</f>
        <v/>
      </c>
      <c r="P151" s="77">
        <f>IF($A151="",0,$H151*설정!$C$23)</f>
        <v/>
      </c>
      <c r="Q151" s="39">
        <f>IF($A151="","",IF(O151&lt;&gt;원인분석!$C$9,"",IF(AND(M151&gt;=원인분석!$C$10,M151&lt;=원인분석!$C$11),"당기",IF(AND(M151&gt;=원인분석!$C$12,M151&lt;=원인분석!$C$13),"비교",""))))</f>
        <v/>
      </c>
      <c r="R151" s="9">
        <f>IF(Q151="","",$K151&amp;"")</f>
        <v/>
      </c>
      <c r="S151" s="9">
        <f>IF(Q151="","",IF(MATCH(R151,$R$5:$R$100000,0)=ROW()-4,ROW(),""))</f>
        <v/>
      </c>
      <c r="T151" s="9">
        <f>IF(Q151="당기",ABS(P151)+ROW()/1000000000,"")</f>
        <v/>
      </c>
      <c r="U151" s="9">
        <f>IF(Q151="비교",ABS(P151)+ROW()/1000000000,"")</f>
        <v/>
      </c>
      <c r="V151" s="39">
        <f>IF($A151="","",IF(COUNTIF(변동분석!$E$7:$E$506,O151)&gt;0,"Y","N"))</f>
        <v/>
      </c>
      <c r="W151" s="39">
        <f>IF($A151="","",IFERROR(INDEX(계정매핑!$D$5:$D$504,MATCH($F151&amp;"",계정매핑!$A$5:$A$504,0)),"미매핑"))</f>
        <v/>
      </c>
      <c r="X151" s="9">
        <f>IF($A151="","",$F151&amp;"")</f>
        <v/>
      </c>
    </row>
    <row r="152">
      <c r="A152" s="75" t="n">
        <v>2025</v>
      </c>
      <c r="B152" s="75" t="n">
        <v>1</v>
      </c>
      <c r="C152" s="75" t="inlineStr">
        <is>
          <t>5100000148</t>
        </is>
      </c>
      <c r="D152" s="78" t="n">
        <v>45675</v>
      </c>
      <c r="E152" s="75" t="inlineStr">
        <is>
          <t>KR</t>
        </is>
      </c>
      <c r="F152" s="75" t="n">
        <v>62101000</v>
      </c>
      <c r="G152" s="75" t="n">
        <v>1601</v>
      </c>
      <c r="H152" s="76" t="n">
        <v>1122000</v>
      </c>
      <c r="I152" s="75" t="inlineStr">
        <is>
          <t>1월 국내출장 - M항공</t>
        </is>
      </c>
      <c r="J152" s="75" t="inlineStr">
        <is>
          <t>V10001</t>
        </is>
      </c>
      <c r="K152" s="75" t="inlineStr">
        <is>
          <t>M항공</t>
        </is>
      </c>
      <c r="M152" s="9">
        <f>IF($A152="","",VALUE($A152&amp;"")*12+VALUE($B152&amp;""))</f>
        <v/>
      </c>
      <c r="N152" s="39">
        <f>IF($A152="","",IFERROR(INDEX(부서매핑!$C$5:$C$504,MATCH($G152&amp;"",부서매핑!$A$5:$A$504,0)),"미매핑"))</f>
        <v/>
      </c>
      <c r="O152" s="9">
        <f>IF($A152="","",N152&amp;"|"&amp;$F152)</f>
        <v/>
      </c>
      <c r="P152" s="77">
        <f>IF($A152="",0,$H152*설정!$C$23)</f>
        <v/>
      </c>
      <c r="Q152" s="39">
        <f>IF($A152="","",IF(O152&lt;&gt;원인분석!$C$9,"",IF(AND(M152&gt;=원인분석!$C$10,M152&lt;=원인분석!$C$11),"당기",IF(AND(M152&gt;=원인분석!$C$12,M152&lt;=원인분석!$C$13),"비교",""))))</f>
        <v/>
      </c>
      <c r="R152" s="9">
        <f>IF(Q152="","",$K152&amp;"")</f>
        <v/>
      </c>
      <c r="S152" s="9">
        <f>IF(Q152="","",IF(MATCH(R152,$R$5:$R$100000,0)=ROW()-4,ROW(),""))</f>
        <v/>
      </c>
      <c r="T152" s="9">
        <f>IF(Q152="당기",ABS(P152)+ROW()/1000000000,"")</f>
        <v/>
      </c>
      <c r="U152" s="9">
        <f>IF(Q152="비교",ABS(P152)+ROW()/1000000000,"")</f>
        <v/>
      </c>
      <c r="V152" s="39">
        <f>IF($A152="","",IF(COUNTIF(변동분석!$E$7:$E$506,O152)&gt;0,"Y","N"))</f>
        <v/>
      </c>
      <c r="W152" s="39">
        <f>IF($A152="","",IFERROR(INDEX(계정매핑!$D$5:$D$504,MATCH($F152&amp;"",계정매핑!$A$5:$A$504,0)),"미매핑"))</f>
        <v/>
      </c>
      <c r="X152" s="9">
        <f>IF($A152="","",$F152&amp;"")</f>
        <v/>
      </c>
    </row>
    <row r="153">
      <c r="A153" s="75" t="n">
        <v>2025</v>
      </c>
      <c r="B153" s="75" t="n">
        <v>1</v>
      </c>
      <c r="C153" s="75" t="inlineStr">
        <is>
          <t>5100000149</t>
        </is>
      </c>
      <c r="D153" s="78" t="n">
        <v>45675</v>
      </c>
      <c r="E153" s="75" t="inlineStr">
        <is>
          <t>KR</t>
        </is>
      </c>
      <c r="F153" s="75" t="n">
        <v>62102000</v>
      </c>
      <c r="G153" s="75" t="n">
        <v>1601</v>
      </c>
      <c r="H153" s="76" t="n">
        <v>296000</v>
      </c>
      <c r="I153" s="75" t="inlineStr">
        <is>
          <t>1월 해외출장 - M항공</t>
        </is>
      </c>
      <c r="J153" s="75" t="inlineStr">
        <is>
          <t>V10001</t>
        </is>
      </c>
      <c r="K153" s="75" t="inlineStr">
        <is>
          <t>M항공</t>
        </is>
      </c>
      <c r="M153" s="9">
        <f>IF($A153="","",VALUE($A153&amp;"")*12+VALUE($B153&amp;""))</f>
        <v/>
      </c>
      <c r="N153" s="39">
        <f>IF($A153="","",IFERROR(INDEX(부서매핑!$C$5:$C$504,MATCH($G153&amp;"",부서매핑!$A$5:$A$504,0)),"미매핑"))</f>
        <v/>
      </c>
      <c r="O153" s="9">
        <f>IF($A153="","",N153&amp;"|"&amp;$F153)</f>
        <v/>
      </c>
      <c r="P153" s="77">
        <f>IF($A153="",0,$H153*설정!$C$23)</f>
        <v/>
      </c>
      <c r="Q153" s="39">
        <f>IF($A153="","",IF(O153&lt;&gt;원인분석!$C$9,"",IF(AND(M153&gt;=원인분석!$C$10,M153&lt;=원인분석!$C$11),"당기",IF(AND(M153&gt;=원인분석!$C$12,M153&lt;=원인분석!$C$13),"비교",""))))</f>
        <v/>
      </c>
      <c r="R153" s="9">
        <f>IF(Q153="","",$K153&amp;"")</f>
        <v/>
      </c>
      <c r="S153" s="9">
        <f>IF(Q153="","",IF(MATCH(R153,$R$5:$R$100000,0)=ROW()-4,ROW(),""))</f>
        <v/>
      </c>
      <c r="T153" s="9">
        <f>IF(Q153="당기",ABS(P153)+ROW()/1000000000,"")</f>
        <v/>
      </c>
      <c r="U153" s="9">
        <f>IF(Q153="비교",ABS(P153)+ROW()/1000000000,"")</f>
        <v/>
      </c>
      <c r="V153" s="39">
        <f>IF($A153="","",IF(COUNTIF(변동분석!$E$7:$E$506,O153)&gt;0,"Y","N"))</f>
        <v/>
      </c>
      <c r="W153" s="39">
        <f>IF($A153="","",IFERROR(INDEX(계정매핑!$D$5:$D$504,MATCH($F153&amp;"",계정매핑!$A$5:$A$504,0)),"미매핑"))</f>
        <v/>
      </c>
      <c r="X153" s="9">
        <f>IF($A153="","",$F153&amp;"")</f>
        <v/>
      </c>
    </row>
    <row r="154">
      <c r="A154" s="75" t="n">
        <v>2025</v>
      </c>
      <c r="B154" s="75" t="n">
        <v>1</v>
      </c>
      <c r="C154" s="75" t="inlineStr">
        <is>
          <t>5100000150</t>
        </is>
      </c>
      <c r="D154" s="78" t="n">
        <v>45675</v>
      </c>
      <c r="E154" s="75" t="inlineStr">
        <is>
          <t>KR</t>
        </is>
      </c>
      <c r="F154" s="75" t="n">
        <v>62501000</v>
      </c>
      <c r="G154" s="75" t="n">
        <v>1301</v>
      </c>
      <c r="H154" s="76" t="n">
        <v>134000</v>
      </c>
      <c r="I154" s="75" t="inlineStr">
        <is>
          <t>1월 회의 다과 - T케이터링</t>
        </is>
      </c>
      <c r="J154" s="75" t="inlineStr">
        <is>
          <t>V10005</t>
        </is>
      </c>
      <c r="K154" s="75" t="inlineStr">
        <is>
          <t>T케이터링</t>
        </is>
      </c>
      <c r="M154" s="9">
        <f>IF($A154="","",VALUE($A154&amp;"")*12+VALUE($B154&amp;""))</f>
        <v/>
      </c>
      <c r="N154" s="39">
        <f>IF($A154="","",IFERROR(INDEX(부서매핑!$C$5:$C$504,MATCH($G154&amp;"",부서매핑!$A$5:$A$504,0)),"미매핑"))</f>
        <v/>
      </c>
      <c r="O154" s="9">
        <f>IF($A154="","",N154&amp;"|"&amp;$F154)</f>
        <v/>
      </c>
      <c r="P154" s="77">
        <f>IF($A154="",0,$H154*설정!$C$23)</f>
        <v/>
      </c>
      <c r="Q154" s="39">
        <f>IF($A154="","",IF(O154&lt;&gt;원인분석!$C$9,"",IF(AND(M154&gt;=원인분석!$C$10,M154&lt;=원인분석!$C$11),"당기",IF(AND(M154&gt;=원인분석!$C$12,M154&lt;=원인분석!$C$13),"비교",""))))</f>
        <v/>
      </c>
      <c r="R154" s="9">
        <f>IF(Q154="","",$K154&amp;"")</f>
        <v/>
      </c>
      <c r="S154" s="9">
        <f>IF(Q154="","",IF(MATCH(R154,$R$5:$R$100000,0)=ROW()-4,ROW(),""))</f>
        <v/>
      </c>
      <c r="T154" s="9">
        <f>IF(Q154="당기",ABS(P154)+ROW()/1000000000,"")</f>
        <v/>
      </c>
      <c r="U154" s="9">
        <f>IF(Q154="비교",ABS(P154)+ROW()/1000000000,"")</f>
        <v/>
      </c>
      <c r="V154" s="39">
        <f>IF($A154="","",IF(COUNTIF(변동분석!$E$7:$E$506,O154)&gt;0,"Y","N"))</f>
        <v/>
      </c>
      <c r="W154" s="39">
        <f>IF($A154="","",IFERROR(INDEX(계정매핑!$D$5:$D$504,MATCH($F154&amp;"",계정매핑!$A$5:$A$504,0)),"미매핑"))</f>
        <v/>
      </c>
      <c r="X154" s="9">
        <f>IF($A154="","",$F154&amp;"")</f>
        <v/>
      </c>
    </row>
    <row r="155">
      <c r="A155" s="75" t="n">
        <v>2025</v>
      </c>
      <c r="B155" s="75" t="n">
        <v>1</v>
      </c>
      <c r="C155" s="75" t="inlineStr">
        <is>
          <t>5100000151</t>
        </is>
      </c>
      <c r="D155" s="78" t="n">
        <v>45675</v>
      </c>
      <c r="E155" s="75" t="inlineStr">
        <is>
          <t>KR</t>
        </is>
      </c>
      <c r="F155" s="75" t="n">
        <v>62801000</v>
      </c>
      <c r="G155" s="75" t="n">
        <v>1301</v>
      </c>
      <c r="H155" s="76" t="n">
        <v>1759000</v>
      </c>
      <c r="I155" s="75" t="inlineStr">
        <is>
          <t>1월 사내교육 - U에듀</t>
        </is>
      </c>
      <c r="J155" s="75" t="inlineStr">
        <is>
          <t>V10026</t>
        </is>
      </c>
      <c r="K155" s="75" t="inlineStr">
        <is>
          <t>U에듀</t>
        </is>
      </c>
      <c r="M155" s="9">
        <f>IF($A155="","",VALUE($A155&amp;"")*12+VALUE($B155&amp;""))</f>
        <v/>
      </c>
      <c r="N155" s="39">
        <f>IF($A155="","",IFERROR(INDEX(부서매핑!$C$5:$C$504,MATCH($G155&amp;"",부서매핑!$A$5:$A$504,0)),"미매핑"))</f>
        <v/>
      </c>
      <c r="O155" s="9">
        <f>IF($A155="","",N155&amp;"|"&amp;$F155)</f>
        <v/>
      </c>
      <c r="P155" s="77">
        <f>IF($A155="",0,$H155*설정!$C$23)</f>
        <v/>
      </c>
      <c r="Q155" s="39">
        <f>IF($A155="","",IF(O155&lt;&gt;원인분석!$C$9,"",IF(AND(M155&gt;=원인분석!$C$10,M155&lt;=원인분석!$C$11),"당기",IF(AND(M155&gt;=원인분석!$C$12,M155&lt;=원인분석!$C$13),"비교",""))))</f>
        <v/>
      </c>
      <c r="R155" s="9">
        <f>IF(Q155="","",$K155&amp;"")</f>
        <v/>
      </c>
      <c r="S155" s="9">
        <f>IF(Q155="","",IF(MATCH(R155,$R$5:$R$100000,0)=ROW()-4,ROW(),""))</f>
        <v/>
      </c>
      <c r="T155" s="9">
        <f>IF(Q155="당기",ABS(P155)+ROW()/1000000000,"")</f>
        <v/>
      </c>
      <c r="U155" s="9">
        <f>IF(Q155="비교",ABS(P155)+ROW()/1000000000,"")</f>
        <v/>
      </c>
      <c r="V155" s="39">
        <f>IF($A155="","",IF(COUNTIF(변동분석!$E$7:$E$506,O155)&gt;0,"Y","N"))</f>
        <v/>
      </c>
      <c r="W155" s="39">
        <f>IF($A155="","",IFERROR(INDEX(계정매핑!$D$5:$D$504,MATCH($F155&amp;"",계정매핑!$A$5:$A$504,0)),"미매핑"))</f>
        <v/>
      </c>
      <c r="X155" s="9">
        <f>IF($A155="","",$F155&amp;"")</f>
        <v/>
      </c>
    </row>
    <row r="156">
      <c r="A156" s="75" t="n">
        <v>2025</v>
      </c>
      <c r="B156" s="75" t="n">
        <v>1</v>
      </c>
      <c r="C156" s="75" t="inlineStr">
        <is>
          <t>5100000152</t>
        </is>
      </c>
      <c r="D156" s="78" t="n">
        <v>45675</v>
      </c>
      <c r="E156" s="75" t="inlineStr">
        <is>
          <t>KR</t>
        </is>
      </c>
      <c r="F156" s="75" t="n">
        <v>62902000</v>
      </c>
      <c r="G156" s="75" t="n">
        <v>1201</v>
      </c>
      <c r="H156" s="76" t="n">
        <v>2793000</v>
      </c>
      <c r="I156" s="75" t="inlineStr">
        <is>
          <t>1월 업무 위탁 수수료 - X서비스</t>
        </is>
      </c>
      <c r="J156" s="75" t="inlineStr">
        <is>
          <t>V10016</t>
        </is>
      </c>
      <c r="K156" s="75" t="inlineStr">
        <is>
          <t>X서비스</t>
        </is>
      </c>
      <c r="M156" s="9">
        <f>IF($A156="","",VALUE($A156&amp;"")*12+VALUE($B156&amp;""))</f>
        <v/>
      </c>
      <c r="N156" s="39">
        <f>IF($A156="","",IFERROR(INDEX(부서매핑!$C$5:$C$504,MATCH($G156&amp;"",부서매핑!$A$5:$A$504,0)),"미매핑"))</f>
        <v/>
      </c>
      <c r="O156" s="9">
        <f>IF($A156="","",N156&amp;"|"&amp;$F156)</f>
        <v/>
      </c>
      <c r="P156" s="77">
        <f>IF($A156="",0,$H156*설정!$C$23)</f>
        <v/>
      </c>
      <c r="Q156" s="39">
        <f>IF($A156="","",IF(O156&lt;&gt;원인분석!$C$9,"",IF(AND(M156&gt;=원인분석!$C$10,M156&lt;=원인분석!$C$11),"당기",IF(AND(M156&gt;=원인분석!$C$12,M156&lt;=원인분석!$C$13),"비교",""))))</f>
        <v/>
      </c>
      <c r="R156" s="9">
        <f>IF(Q156="","",$K156&amp;"")</f>
        <v/>
      </c>
      <c r="S156" s="9">
        <f>IF(Q156="","",IF(MATCH(R156,$R$5:$R$100000,0)=ROW()-4,ROW(),""))</f>
        <v/>
      </c>
      <c r="T156" s="9">
        <f>IF(Q156="당기",ABS(P156)+ROW()/1000000000,"")</f>
        <v/>
      </c>
      <c r="U156" s="9">
        <f>IF(Q156="비교",ABS(P156)+ROW()/1000000000,"")</f>
        <v/>
      </c>
      <c r="V156" s="39">
        <f>IF($A156="","",IF(COUNTIF(변동분석!$E$7:$E$506,O156)&gt;0,"Y","N"))</f>
        <v/>
      </c>
      <c r="W156" s="39">
        <f>IF($A156="","",IFERROR(INDEX(계정매핑!$D$5:$D$504,MATCH($F156&amp;"",계정매핑!$A$5:$A$504,0)),"미매핑"))</f>
        <v/>
      </c>
      <c r="X156" s="9">
        <f>IF($A156="","",$F156&amp;"")</f>
        <v/>
      </c>
    </row>
    <row r="157">
      <c r="A157" s="75" t="n">
        <v>2025</v>
      </c>
      <c r="B157" s="75" t="n">
        <v>1</v>
      </c>
      <c r="C157" s="75" t="inlineStr">
        <is>
          <t>5100000153</t>
        </is>
      </c>
      <c r="D157" s="78" t="n">
        <v>45675</v>
      </c>
      <c r="E157" s="75" t="inlineStr">
        <is>
          <t>KR</t>
        </is>
      </c>
      <c r="F157" s="75" t="n">
        <v>62902000</v>
      </c>
      <c r="G157" s="75" t="n">
        <v>1401</v>
      </c>
      <c r="H157" s="76" t="n">
        <v>1874000</v>
      </c>
      <c r="I157" s="75" t="inlineStr">
        <is>
          <t>1월 업무 위탁 수수료 - X서비스</t>
        </is>
      </c>
      <c r="J157" s="75" t="inlineStr">
        <is>
          <t>V10016</t>
        </is>
      </c>
      <c r="K157" s="75" t="inlineStr">
        <is>
          <t>X서비스</t>
        </is>
      </c>
      <c r="M157" s="9">
        <f>IF($A157="","",VALUE($A157&amp;"")*12+VALUE($B157&amp;""))</f>
        <v/>
      </c>
      <c r="N157" s="39">
        <f>IF($A157="","",IFERROR(INDEX(부서매핑!$C$5:$C$504,MATCH($G157&amp;"",부서매핑!$A$5:$A$504,0)),"미매핑"))</f>
        <v/>
      </c>
      <c r="O157" s="9">
        <f>IF($A157="","",N157&amp;"|"&amp;$F157)</f>
        <v/>
      </c>
      <c r="P157" s="77">
        <f>IF($A157="",0,$H157*설정!$C$23)</f>
        <v/>
      </c>
      <c r="Q157" s="39">
        <f>IF($A157="","",IF(O157&lt;&gt;원인분석!$C$9,"",IF(AND(M157&gt;=원인분석!$C$10,M157&lt;=원인분석!$C$11),"당기",IF(AND(M157&gt;=원인분석!$C$12,M157&lt;=원인분석!$C$13),"비교",""))))</f>
        <v/>
      </c>
      <c r="R157" s="9">
        <f>IF(Q157="","",$K157&amp;"")</f>
        <v/>
      </c>
      <c r="S157" s="9">
        <f>IF(Q157="","",IF(MATCH(R157,$R$5:$R$100000,0)=ROW()-4,ROW(),""))</f>
        <v/>
      </c>
      <c r="T157" s="9">
        <f>IF(Q157="당기",ABS(P157)+ROW()/1000000000,"")</f>
        <v/>
      </c>
      <c r="U157" s="9">
        <f>IF(Q157="비교",ABS(P157)+ROW()/1000000000,"")</f>
        <v/>
      </c>
      <c r="V157" s="39">
        <f>IF($A157="","",IF(COUNTIF(변동분석!$E$7:$E$506,O157)&gt;0,"Y","N"))</f>
        <v/>
      </c>
      <c r="W157" s="39">
        <f>IF($A157="","",IFERROR(INDEX(계정매핑!$D$5:$D$504,MATCH($F157&amp;"",계정매핑!$A$5:$A$504,0)),"미매핑"))</f>
        <v/>
      </c>
      <c r="X157" s="9">
        <f>IF($A157="","",$F157&amp;"")</f>
        <v/>
      </c>
    </row>
    <row r="158">
      <c r="A158" s="75" t="n">
        <v>2025</v>
      </c>
      <c r="B158" s="75" t="n">
        <v>1</v>
      </c>
      <c r="C158" s="75" t="inlineStr">
        <is>
          <t>5100000154</t>
        </is>
      </c>
      <c r="D158" s="78" t="n">
        <v>45676</v>
      </c>
      <c r="E158" s="75" t="inlineStr">
        <is>
          <t>KR</t>
        </is>
      </c>
      <c r="F158" s="75" t="n">
        <v>62101000</v>
      </c>
      <c r="G158" s="75" t="n">
        <v>1101</v>
      </c>
      <c r="H158" s="76" t="n">
        <v>510000</v>
      </c>
      <c r="I158" s="75" t="inlineStr">
        <is>
          <t>1월 국내출장 - L여행사</t>
        </is>
      </c>
      <c r="J158" s="75" t="inlineStr">
        <is>
          <t>V10014</t>
        </is>
      </c>
      <c r="K158" s="75" t="inlineStr">
        <is>
          <t>L여행사</t>
        </is>
      </c>
      <c r="M158" s="9">
        <f>IF($A158="","",VALUE($A158&amp;"")*12+VALUE($B158&amp;""))</f>
        <v/>
      </c>
      <c r="N158" s="39">
        <f>IF($A158="","",IFERROR(INDEX(부서매핑!$C$5:$C$504,MATCH($G158&amp;"",부서매핑!$A$5:$A$504,0)),"미매핑"))</f>
        <v/>
      </c>
      <c r="O158" s="9">
        <f>IF($A158="","",N158&amp;"|"&amp;$F158)</f>
        <v/>
      </c>
      <c r="P158" s="77">
        <f>IF($A158="",0,$H158*설정!$C$23)</f>
        <v/>
      </c>
      <c r="Q158" s="39">
        <f>IF($A158="","",IF(O158&lt;&gt;원인분석!$C$9,"",IF(AND(M158&gt;=원인분석!$C$10,M158&lt;=원인분석!$C$11),"당기",IF(AND(M158&gt;=원인분석!$C$12,M158&lt;=원인분석!$C$13),"비교",""))))</f>
        <v/>
      </c>
      <c r="R158" s="9">
        <f>IF(Q158="","",$K158&amp;"")</f>
        <v/>
      </c>
      <c r="S158" s="9">
        <f>IF(Q158="","",IF(MATCH(R158,$R$5:$R$100000,0)=ROW()-4,ROW(),""))</f>
        <v/>
      </c>
      <c r="T158" s="9">
        <f>IF(Q158="당기",ABS(P158)+ROW()/1000000000,"")</f>
        <v/>
      </c>
      <c r="U158" s="9">
        <f>IF(Q158="비교",ABS(P158)+ROW()/1000000000,"")</f>
        <v/>
      </c>
      <c r="V158" s="39">
        <f>IF($A158="","",IF(COUNTIF(변동분석!$E$7:$E$506,O158)&gt;0,"Y","N"))</f>
        <v/>
      </c>
      <c r="W158" s="39">
        <f>IF($A158="","",IFERROR(INDEX(계정매핑!$D$5:$D$504,MATCH($F158&amp;"",계정매핑!$A$5:$A$504,0)),"미매핑"))</f>
        <v/>
      </c>
      <c r="X158" s="9">
        <f>IF($A158="","",$F158&amp;"")</f>
        <v/>
      </c>
    </row>
    <row r="159">
      <c r="A159" s="75" t="n">
        <v>2025</v>
      </c>
      <c r="B159" s="75" t="n">
        <v>1</v>
      </c>
      <c r="C159" s="75" t="inlineStr">
        <is>
          <t>5100000155</t>
        </is>
      </c>
      <c r="D159" s="78" t="n">
        <v>45676</v>
      </c>
      <c r="E159" s="75" t="inlineStr">
        <is>
          <t>KR</t>
        </is>
      </c>
      <c r="F159" s="75" t="n">
        <v>62101000</v>
      </c>
      <c r="G159" s="75" t="n">
        <v>1301</v>
      </c>
      <c r="H159" s="76" t="n">
        <v>224000</v>
      </c>
      <c r="I159" s="75" t="inlineStr">
        <is>
          <t>1월 국내출장 - L여행사</t>
        </is>
      </c>
      <c r="J159" s="75" t="inlineStr">
        <is>
          <t>V10014</t>
        </is>
      </c>
      <c r="K159" s="75" t="inlineStr">
        <is>
          <t>L여행사</t>
        </is>
      </c>
      <c r="M159" s="9">
        <f>IF($A159="","",VALUE($A159&amp;"")*12+VALUE($B159&amp;""))</f>
        <v/>
      </c>
      <c r="N159" s="39">
        <f>IF($A159="","",IFERROR(INDEX(부서매핑!$C$5:$C$504,MATCH($G159&amp;"",부서매핑!$A$5:$A$504,0)),"미매핑"))</f>
        <v/>
      </c>
      <c r="O159" s="9">
        <f>IF($A159="","",N159&amp;"|"&amp;$F159)</f>
        <v/>
      </c>
      <c r="P159" s="77">
        <f>IF($A159="",0,$H159*설정!$C$23)</f>
        <v/>
      </c>
      <c r="Q159" s="39">
        <f>IF($A159="","",IF(O159&lt;&gt;원인분석!$C$9,"",IF(AND(M159&gt;=원인분석!$C$10,M159&lt;=원인분석!$C$11),"당기",IF(AND(M159&gt;=원인분석!$C$12,M159&lt;=원인분석!$C$13),"비교",""))))</f>
        <v/>
      </c>
      <c r="R159" s="9">
        <f>IF(Q159="","",$K159&amp;"")</f>
        <v/>
      </c>
      <c r="S159" s="9">
        <f>IF(Q159="","",IF(MATCH(R159,$R$5:$R$100000,0)=ROW()-4,ROW(),""))</f>
        <v/>
      </c>
      <c r="T159" s="9">
        <f>IF(Q159="당기",ABS(P159)+ROW()/1000000000,"")</f>
        <v/>
      </c>
      <c r="U159" s="9">
        <f>IF(Q159="비교",ABS(P159)+ROW()/1000000000,"")</f>
        <v/>
      </c>
      <c r="V159" s="39">
        <f>IF($A159="","",IF(COUNTIF(변동분석!$E$7:$E$506,O159)&gt;0,"Y","N"))</f>
        <v/>
      </c>
      <c r="W159" s="39">
        <f>IF($A159="","",IFERROR(INDEX(계정매핑!$D$5:$D$504,MATCH($F159&amp;"",계정매핑!$A$5:$A$504,0)),"미매핑"))</f>
        <v/>
      </c>
      <c r="X159" s="9">
        <f>IF($A159="","",$F159&amp;"")</f>
        <v/>
      </c>
    </row>
    <row r="160">
      <c r="A160" s="75" t="n">
        <v>2025</v>
      </c>
      <c r="B160" s="75" t="n">
        <v>1</v>
      </c>
      <c r="C160" s="75" t="inlineStr">
        <is>
          <t>5100000156</t>
        </is>
      </c>
      <c r="D160" s="78" t="n">
        <v>45676</v>
      </c>
      <c r="E160" s="75" t="inlineStr">
        <is>
          <t>KR</t>
        </is>
      </c>
      <c r="F160" s="75" t="n">
        <v>62102000</v>
      </c>
      <c r="G160" s="75" t="n">
        <v>1101</v>
      </c>
      <c r="H160" s="76" t="n">
        <v>137000</v>
      </c>
      <c r="I160" s="75" t="inlineStr">
        <is>
          <t>1월 해외출장 - N호텔</t>
        </is>
      </c>
      <c r="J160" s="75" t="inlineStr">
        <is>
          <t>V10007</t>
        </is>
      </c>
      <c r="K160" s="75" t="inlineStr">
        <is>
          <t>N호텔</t>
        </is>
      </c>
      <c r="M160" s="9">
        <f>IF($A160="","",VALUE($A160&amp;"")*12+VALUE($B160&amp;""))</f>
        <v/>
      </c>
      <c r="N160" s="39">
        <f>IF($A160="","",IFERROR(INDEX(부서매핑!$C$5:$C$504,MATCH($G160&amp;"",부서매핑!$A$5:$A$504,0)),"미매핑"))</f>
        <v/>
      </c>
      <c r="O160" s="9">
        <f>IF($A160="","",N160&amp;"|"&amp;$F160)</f>
        <v/>
      </c>
      <c r="P160" s="77">
        <f>IF($A160="",0,$H160*설정!$C$23)</f>
        <v/>
      </c>
      <c r="Q160" s="39">
        <f>IF($A160="","",IF(O160&lt;&gt;원인분석!$C$9,"",IF(AND(M160&gt;=원인분석!$C$10,M160&lt;=원인분석!$C$11),"당기",IF(AND(M160&gt;=원인분석!$C$12,M160&lt;=원인분석!$C$13),"비교",""))))</f>
        <v/>
      </c>
      <c r="R160" s="9">
        <f>IF(Q160="","",$K160&amp;"")</f>
        <v/>
      </c>
      <c r="S160" s="9">
        <f>IF(Q160="","",IF(MATCH(R160,$R$5:$R$100000,0)=ROW()-4,ROW(),""))</f>
        <v/>
      </c>
      <c r="T160" s="9">
        <f>IF(Q160="당기",ABS(P160)+ROW()/1000000000,"")</f>
        <v/>
      </c>
      <c r="U160" s="9">
        <f>IF(Q160="비교",ABS(P160)+ROW()/1000000000,"")</f>
        <v/>
      </c>
      <c r="V160" s="39">
        <f>IF($A160="","",IF(COUNTIF(변동분석!$E$7:$E$506,O160)&gt;0,"Y","N"))</f>
        <v/>
      </c>
      <c r="W160" s="39">
        <f>IF($A160="","",IFERROR(INDEX(계정매핑!$D$5:$D$504,MATCH($F160&amp;"",계정매핑!$A$5:$A$504,0)),"미매핑"))</f>
        <v/>
      </c>
      <c r="X160" s="9">
        <f>IF($A160="","",$F160&amp;"")</f>
        <v/>
      </c>
    </row>
    <row r="161">
      <c r="A161" s="75" t="n">
        <v>2025</v>
      </c>
      <c r="B161" s="75" t="n">
        <v>1</v>
      </c>
      <c r="C161" s="75" t="inlineStr">
        <is>
          <t>5100000157</t>
        </is>
      </c>
      <c r="D161" s="78" t="n">
        <v>45676</v>
      </c>
      <c r="E161" s="75" t="inlineStr">
        <is>
          <t>KR</t>
        </is>
      </c>
      <c r="F161" s="75" t="n">
        <v>62102000</v>
      </c>
      <c r="G161" s="75" t="n">
        <v>1301</v>
      </c>
      <c r="H161" s="76" t="n">
        <v>107000</v>
      </c>
      <c r="I161" s="75" t="inlineStr">
        <is>
          <t>1월 해외출장 - N호텔</t>
        </is>
      </c>
      <c r="J161" s="75" t="inlineStr">
        <is>
          <t>V10007</t>
        </is>
      </c>
      <c r="K161" s="75" t="inlineStr">
        <is>
          <t>N호텔</t>
        </is>
      </c>
      <c r="M161" s="9">
        <f>IF($A161="","",VALUE($A161&amp;"")*12+VALUE($B161&amp;""))</f>
        <v/>
      </c>
      <c r="N161" s="39">
        <f>IF($A161="","",IFERROR(INDEX(부서매핑!$C$5:$C$504,MATCH($G161&amp;"",부서매핑!$A$5:$A$504,0)),"미매핑"))</f>
        <v/>
      </c>
      <c r="O161" s="9">
        <f>IF($A161="","",N161&amp;"|"&amp;$F161)</f>
        <v/>
      </c>
      <c r="P161" s="77">
        <f>IF($A161="",0,$H161*설정!$C$23)</f>
        <v/>
      </c>
      <c r="Q161" s="39">
        <f>IF($A161="","",IF(O161&lt;&gt;원인분석!$C$9,"",IF(AND(M161&gt;=원인분석!$C$10,M161&lt;=원인분석!$C$11),"당기",IF(AND(M161&gt;=원인분석!$C$12,M161&lt;=원인분석!$C$13),"비교",""))))</f>
        <v/>
      </c>
      <c r="R161" s="9">
        <f>IF(Q161="","",$K161&amp;"")</f>
        <v/>
      </c>
      <c r="S161" s="9">
        <f>IF(Q161="","",IF(MATCH(R161,$R$5:$R$100000,0)=ROW()-4,ROW(),""))</f>
        <v/>
      </c>
      <c r="T161" s="9">
        <f>IF(Q161="당기",ABS(P161)+ROW()/1000000000,"")</f>
        <v/>
      </c>
      <c r="U161" s="9">
        <f>IF(Q161="비교",ABS(P161)+ROW()/1000000000,"")</f>
        <v/>
      </c>
      <c r="V161" s="39">
        <f>IF($A161="","",IF(COUNTIF(변동분석!$E$7:$E$506,O161)&gt;0,"Y","N"))</f>
        <v/>
      </c>
      <c r="W161" s="39">
        <f>IF($A161="","",IFERROR(INDEX(계정매핑!$D$5:$D$504,MATCH($F161&amp;"",계정매핑!$A$5:$A$504,0)),"미매핑"))</f>
        <v/>
      </c>
      <c r="X161" s="9">
        <f>IF($A161="","",$F161&amp;"")</f>
        <v/>
      </c>
    </row>
    <row r="162">
      <c r="A162" s="75" t="n">
        <v>2025</v>
      </c>
      <c r="B162" s="75" t="n">
        <v>1</v>
      </c>
      <c r="C162" s="75" t="inlineStr">
        <is>
          <t>5100000158</t>
        </is>
      </c>
      <c r="D162" s="78" t="n">
        <v>45676</v>
      </c>
      <c r="E162" s="75" t="inlineStr">
        <is>
          <t>KR</t>
        </is>
      </c>
      <c r="F162" s="75" t="n">
        <v>62201000</v>
      </c>
      <c r="G162" s="75" t="n">
        <v>1401</v>
      </c>
      <c r="H162" s="76" t="n">
        <v>173000</v>
      </c>
      <c r="I162" s="75" t="inlineStr">
        <is>
          <t>1월 통신요금 - O텔레콤</t>
        </is>
      </c>
      <c r="J162" s="75" t="inlineStr">
        <is>
          <t>V10002</t>
        </is>
      </c>
      <c r="K162" s="75" t="inlineStr">
        <is>
          <t>O텔레콤</t>
        </is>
      </c>
      <c r="M162" s="9">
        <f>IF($A162="","",VALUE($A162&amp;"")*12+VALUE($B162&amp;""))</f>
        <v/>
      </c>
      <c r="N162" s="39">
        <f>IF($A162="","",IFERROR(INDEX(부서매핑!$C$5:$C$504,MATCH($G162&amp;"",부서매핑!$A$5:$A$504,0)),"미매핑"))</f>
        <v/>
      </c>
      <c r="O162" s="9">
        <f>IF($A162="","",N162&amp;"|"&amp;$F162)</f>
        <v/>
      </c>
      <c r="P162" s="77">
        <f>IF($A162="",0,$H162*설정!$C$23)</f>
        <v/>
      </c>
      <c r="Q162" s="39">
        <f>IF($A162="","",IF(O162&lt;&gt;원인분석!$C$9,"",IF(AND(M162&gt;=원인분석!$C$10,M162&lt;=원인분석!$C$11),"당기",IF(AND(M162&gt;=원인분석!$C$12,M162&lt;=원인분석!$C$13),"비교",""))))</f>
        <v/>
      </c>
      <c r="R162" s="9">
        <f>IF(Q162="","",$K162&amp;"")</f>
        <v/>
      </c>
      <c r="S162" s="9">
        <f>IF(Q162="","",IF(MATCH(R162,$R$5:$R$100000,0)=ROW()-4,ROW(),""))</f>
        <v/>
      </c>
      <c r="T162" s="9">
        <f>IF(Q162="당기",ABS(P162)+ROW()/1000000000,"")</f>
        <v/>
      </c>
      <c r="U162" s="9">
        <f>IF(Q162="비교",ABS(P162)+ROW()/1000000000,"")</f>
        <v/>
      </c>
      <c r="V162" s="39">
        <f>IF($A162="","",IF(COUNTIF(변동분석!$E$7:$E$506,O162)&gt;0,"Y","N"))</f>
        <v/>
      </c>
      <c r="W162" s="39">
        <f>IF($A162="","",IFERROR(INDEX(계정매핑!$D$5:$D$504,MATCH($F162&amp;"",계정매핑!$A$5:$A$504,0)),"미매핑"))</f>
        <v/>
      </c>
      <c r="X162" s="9">
        <f>IF($A162="","",$F162&amp;"")</f>
        <v/>
      </c>
    </row>
    <row r="163">
      <c r="A163" s="75" t="n">
        <v>2025</v>
      </c>
      <c r="B163" s="75" t="n">
        <v>1</v>
      </c>
      <c r="C163" s="75" t="inlineStr">
        <is>
          <t>5100000159</t>
        </is>
      </c>
      <c r="D163" s="78" t="n">
        <v>45676</v>
      </c>
      <c r="E163" s="75" t="inlineStr">
        <is>
          <t>KR</t>
        </is>
      </c>
      <c r="F163" s="75" t="n">
        <v>62201000</v>
      </c>
      <c r="G163" s="75" t="n">
        <v>1701</v>
      </c>
      <c r="H163" s="76" t="n">
        <v>7867000</v>
      </c>
      <c r="I163" s="75" t="inlineStr">
        <is>
          <t>1월 통신요금 - P통신</t>
        </is>
      </c>
      <c r="J163" s="75" t="inlineStr">
        <is>
          <t>V10011</t>
        </is>
      </c>
      <c r="K163" s="75" t="inlineStr">
        <is>
          <t>P통신</t>
        </is>
      </c>
      <c r="M163" s="9">
        <f>IF($A163="","",VALUE($A163&amp;"")*12+VALUE($B163&amp;""))</f>
        <v/>
      </c>
      <c r="N163" s="39">
        <f>IF($A163="","",IFERROR(INDEX(부서매핑!$C$5:$C$504,MATCH($G163&amp;"",부서매핑!$A$5:$A$504,0)),"미매핑"))</f>
        <v/>
      </c>
      <c r="O163" s="9">
        <f>IF($A163="","",N163&amp;"|"&amp;$F163)</f>
        <v/>
      </c>
      <c r="P163" s="77">
        <f>IF($A163="",0,$H163*설정!$C$23)</f>
        <v/>
      </c>
      <c r="Q163" s="39">
        <f>IF($A163="","",IF(O163&lt;&gt;원인분석!$C$9,"",IF(AND(M163&gt;=원인분석!$C$10,M163&lt;=원인분석!$C$11),"당기",IF(AND(M163&gt;=원인분석!$C$12,M163&lt;=원인분석!$C$13),"비교",""))))</f>
        <v/>
      </c>
      <c r="R163" s="9">
        <f>IF(Q163="","",$K163&amp;"")</f>
        <v/>
      </c>
      <c r="S163" s="9">
        <f>IF(Q163="","",IF(MATCH(R163,$R$5:$R$100000,0)=ROW()-4,ROW(),""))</f>
        <v/>
      </c>
      <c r="T163" s="9">
        <f>IF(Q163="당기",ABS(P163)+ROW()/1000000000,"")</f>
        <v/>
      </c>
      <c r="U163" s="9">
        <f>IF(Q163="비교",ABS(P163)+ROW()/1000000000,"")</f>
        <v/>
      </c>
      <c r="V163" s="39">
        <f>IF($A163="","",IF(COUNTIF(변동분석!$E$7:$E$506,O163)&gt;0,"Y","N"))</f>
        <v/>
      </c>
      <c r="W163" s="39">
        <f>IF($A163="","",IFERROR(INDEX(계정매핑!$D$5:$D$504,MATCH($F163&amp;"",계정매핑!$A$5:$A$504,0)),"미매핑"))</f>
        <v/>
      </c>
      <c r="X163" s="9">
        <f>IF($A163="","",$F163&amp;"")</f>
        <v/>
      </c>
    </row>
    <row r="164">
      <c r="A164" s="75" t="n">
        <v>2025</v>
      </c>
      <c r="B164" s="75" t="n">
        <v>1</v>
      </c>
      <c r="C164" s="75" t="inlineStr">
        <is>
          <t>5100000160</t>
        </is>
      </c>
      <c r="D164" s="78" t="n">
        <v>45676</v>
      </c>
      <c r="E164" s="75" t="inlineStr">
        <is>
          <t>KR</t>
        </is>
      </c>
      <c r="F164" s="75" t="n">
        <v>62501000</v>
      </c>
      <c r="G164" s="75" t="n">
        <v>1301</v>
      </c>
      <c r="H164" s="76" t="n">
        <v>260000</v>
      </c>
      <c r="I164" s="75" t="inlineStr">
        <is>
          <t>1월 회의 다과 - T케이터링</t>
        </is>
      </c>
      <c r="J164" s="75" t="inlineStr">
        <is>
          <t>V10005</t>
        </is>
      </c>
      <c r="K164" s="75" t="inlineStr">
        <is>
          <t>T케이터링</t>
        </is>
      </c>
      <c r="M164" s="9">
        <f>IF($A164="","",VALUE($A164&amp;"")*12+VALUE($B164&amp;""))</f>
        <v/>
      </c>
      <c r="N164" s="39">
        <f>IF($A164="","",IFERROR(INDEX(부서매핑!$C$5:$C$504,MATCH($G164&amp;"",부서매핑!$A$5:$A$504,0)),"미매핑"))</f>
        <v/>
      </c>
      <c r="O164" s="9">
        <f>IF($A164="","",N164&amp;"|"&amp;$F164)</f>
        <v/>
      </c>
      <c r="P164" s="77">
        <f>IF($A164="",0,$H164*설정!$C$23)</f>
        <v/>
      </c>
      <c r="Q164" s="39">
        <f>IF($A164="","",IF(O164&lt;&gt;원인분석!$C$9,"",IF(AND(M164&gt;=원인분석!$C$10,M164&lt;=원인분석!$C$11),"당기",IF(AND(M164&gt;=원인분석!$C$12,M164&lt;=원인분석!$C$13),"비교",""))))</f>
        <v/>
      </c>
      <c r="R164" s="9">
        <f>IF(Q164="","",$K164&amp;"")</f>
        <v/>
      </c>
      <c r="S164" s="9">
        <f>IF(Q164="","",IF(MATCH(R164,$R$5:$R$100000,0)=ROW()-4,ROW(),""))</f>
        <v/>
      </c>
      <c r="T164" s="9">
        <f>IF(Q164="당기",ABS(P164)+ROW()/1000000000,"")</f>
        <v/>
      </c>
      <c r="U164" s="9">
        <f>IF(Q164="비교",ABS(P164)+ROW()/1000000000,"")</f>
        <v/>
      </c>
      <c r="V164" s="39">
        <f>IF($A164="","",IF(COUNTIF(변동분석!$E$7:$E$506,O164)&gt;0,"Y","N"))</f>
        <v/>
      </c>
      <c r="W164" s="39">
        <f>IF($A164="","",IFERROR(INDEX(계정매핑!$D$5:$D$504,MATCH($F164&amp;"",계정매핑!$A$5:$A$504,0)),"미매핑"))</f>
        <v/>
      </c>
      <c r="X164" s="9">
        <f>IF($A164="","",$F164&amp;"")</f>
        <v/>
      </c>
    </row>
    <row r="165">
      <c r="A165" s="75" t="n">
        <v>2025</v>
      </c>
      <c r="B165" s="75" t="n">
        <v>1</v>
      </c>
      <c r="C165" s="75" t="inlineStr">
        <is>
          <t>5100000161</t>
        </is>
      </c>
      <c r="D165" s="78" t="n">
        <v>45676</v>
      </c>
      <c r="E165" s="75" t="inlineStr">
        <is>
          <t>KR</t>
        </is>
      </c>
      <c r="F165" s="75" t="n">
        <v>62501000</v>
      </c>
      <c r="G165" s="75" t="n">
        <v>1602</v>
      </c>
      <c r="H165" s="76" t="n">
        <v>392000</v>
      </c>
      <c r="I165" s="75" t="inlineStr">
        <is>
          <t>1월 회의 다과 - (법인카드)</t>
        </is>
      </c>
      <c r="J165" s="75" t="inlineStr">
        <is>
          <t>V10008</t>
        </is>
      </c>
      <c r="K165" s="75" t="inlineStr">
        <is>
          <t>(법인카드)</t>
        </is>
      </c>
      <c r="M165" s="9">
        <f>IF($A165="","",VALUE($A165&amp;"")*12+VALUE($B165&amp;""))</f>
        <v/>
      </c>
      <c r="N165" s="39">
        <f>IF($A165="","",IFERROR(INDEX(부서매핑!$C$5:$C$504,MATCH($G165&amp;"",부서매핑!$A$5:$A$504,0)),"미매핑"))</f>
        <v/>
      </c>
      <c r="O165" s="9">
        <f>IF($A165="","",N165&amp;"|"&amp;$F165)</f>
        <v/>
      </c>
      <c r="P165" s="77">
        <f>IF($A165="",0,$H165*설정!$C$23)</f>
        <v/>
      </c>
      <c r="Q165" s="39">
        <f>IF($A165="","",IF(O165&lt;&gt;원인분석!$C$9,"",IF(AND(M165&gt;=원인분석!$C$10,M165&lt;=원인분석!$C$11),"당기",IF(AND(M165&gt;=원인분석!$C$12,M165&lt;=원인분석!$C$13),"비교",""))))</f>
        <v/>
      </c>
      <c r="R165" s="9">
        <f>IF(Q165="","",$K165&amp;"")</f>
        <v/>
      </c>
      <c r="S165" s="9">
        <f>IF(Q165="","",IF(MATCH(R165,$R$5:$R$100000,0)=ROW()-4,ROW(),""))</f>
        <v/>
      </c>
      <c r="T165" s="9">
        <f>IF(Q165="당기",ABS(P165)+ROW()/1000000000,"")</f>
        <v/>
      </c>
      <c r="U165" s="9">
        <f>IF(Q165="비교",ABS(P165)+ROW()/1000000000,"")</f>
        <v/>
      </c>
      <c r="V165" s="39">
        <f>IF($A165="","",IF(COUNTIF(변동분석!$E$7:$E$506,O165)&gt;0,"Y","N"))</f>
        <v/>
      </c>
      <c r="W165" s="39">
        <f>IF($A165="","",IFERROR(INDEX(계정매핑!$D$5:$D$504,MATCH($F165&amp;"",계정매핑!$A$5:$A$504,0)),"미매핑"))</f>
        <v/>
      </c>
      <c r="X165" s="9">
        <f>IF($A165="","",$F165&amp;"")</f>
        <v/>
      </c>
    </row>
    <row r="166">
      <c r="A166" s="75" t="n">
        <v>2025</v>
      </c>
      <c r="B166" s="75" t="n">
        <v>1</v>
      </c>
      <c r="C166" s="75" t="inlineStr">
        <is>
          <t>5100000162</t>
        </is>
      </c>
      <c r="D166" s="78" t="n">
        <v>45676</v>
      </c>
      <c r="E166" s="75" t="inlineStr">
        <is>
          <t>KR</t>
        </is>
      </c>
      <c r="F166" s="75" t="n">
        <v>62601000</v>
      </c>
      <c r="G166" s="75" t="n">
        <v>1101</v>
      </c>
      <c r="H166" s="76" t="n">
        <v>3054000</v>
      </c>
      <c r="I166" s="75" t="inlineStr">
        <is>
          <t>1월 업무추진 - (법인카드)</t>
        </is>
      </c>
      <c r="J166" s="75" t="inlineStr">
        <is>
          <t>V10008</t>
        </is>
      </c>
      <c r="K166" s="75" t="inlineStr">
        <is>
          <t>(법인카드)</t>
        </is>
      </c>
      <c r="M166" s="9">
        <f>IF($A166="","",VALUE($A166&amp;"")*12+VALUE($B166&amp;""))</f>
        <v/>
      </c>
      <c r="N166" s="39">
        <f>IF($A166="","",IFERROR(INDEX(부서매핑!$C$5:$C$504,MATCH($G166&amp;"",부서매핑!$A$5:$A$504,0)),"미매핑"))</f>
        <v/>
      </c>
      <c r="O166" s="9">
        <f>IF($A166="","",N166&amp;"|"&amp;$F166)</f>
        <v/>
      </c>
      <c r="P166" s="77">
        <f>IF($A166="",0,$H166*설정!$C$23)</f>
        <v/>
      </c>
      <c r="Q166" s="39">
        <f>IF($A166="","",IF(O166&lt;&gt;원인분석!$C$9,"",IF(AND(M166&gt;=원인분석!$C$10,M166&lt;=원인분석!$C$11),"당기",IF(AND(M166&gt;=원인분석!$C$12,M166&lt;=원인분석!$C$13),"비교",""))))</f>
        <v/>
      </c>
      <c r="R166" s="9">
        <f>IF(Q166="","",$K166&amp;"")</f>
        <v/>
      </c>
      <c r="S166" s="9">
        <f>IF(Q166="","",IF(MATCH(R166,$R$5:$R$100000,0)=ROW()-4,ROW(),""))</f>
        <v/>
      </c>
      <c r="T166" s="9">
        <f>IF(Q166="당기",ABS(P166)+ROW()/1000000000,"")</f>
        <v/>
      </c>
      <c r="U166" s="9">
        <f>IF(Q166="비교",ABS(P166)+ROW()/1000000000,"")</f>
        <v/>
      </c>
      <c r="V166" s="39">
        <f>IF($A166="","",IF(COUNTIF(변동분석!$E$7:$E$506,O166)&gt;0,"Y","N"))</f>
        <v/>
      </c>
      <c r="W166" s="39">
        <f>IF($A166="","",IFERROR(INDEX(계정매핑!$D$5:$D$504,MATCH($F166&amp;"",계정매핑!$A$5:$A$504,0)),"미매핑"))</f>
        <v/>
      </c>
      <c r="X166" s="9">
        <f>IF($A166="","",$F166&amp;"")</f>
        <v/>
      </c>
    </row>
    <row r="167">
      <c r="A167" s="75" t="n">
        <v>2025</v>
      </c>
      <c r="B167" s="75" t="n">
        <v>1</v>
      </c>
      <c r="C167" s="75" t="inlineStr">
        <is>
          <t>5100000163</t>
        </is>
      </c>
      <c r="D167" s="78" t="n">
        <v>45676</v>
      </c>
      <c r="E167" s="75" t="inlineStr">
        <is>
          <t>KR</t>
        </is>
      </c>
      <c r="F167" s="75" t="n">
        <v>62601000</v>
      </c>
      <c r="G167" s="75" t="n">
        <v>1301</v>
      </c>
      <c r="H167" s="76" t="n">
        <v>1773000</v>
      </c>
      <c r="I167" s="75" t="inlineStr">
        <is>
          <t>1월 업무추진 - (법인카드)</t>
        </is>
      </c>
      <c r="J167" s="75" t="inlineStr">
        <is>
          <t>V10008</t>
        </is>
      </c>
      <c r="K167" s="75" t="inlineStr">
        <is>
          <t>(법인카드)</t>
        </is>
      </c>
      <c r="M167" s="9">
        <f>IF($A167="","",VALUE($A167&amp;"")*12+VALUE($B167&amp;""))</f>
        <v/>
      </c>
      <c r="N167" s="39">
        <f>IF($A167="","",IFERROR(INDEX(부서매핑!$C$5:$C$504,MATCH($G167&amp;"",부서매핑!$A$5:$A$504,0)),"미매핑"))</f>
        <v/>
      </c>
      <c r="O167" s="9">
        <f>IF($A167="","",N167&amp;"|"&amp;$F167)</f>
        <v/>
      </c>
      <c r="P167" s="77">
        <f>IF($A167="",0,$H167*설정!$C$23)</f>
        <v/>
      </c>
      <c r="Q167" s="39">
        <f>IF($A167="","",IF(O167&lt;&gt;원인분석!$C$9,"",IF(AND(M167&gt;=원인분석!$C$10,M167&lt;=원인분석!$C$11),"당기",IF(AND(M167&gt;=원인분석!$C$12,M167&lt;=원인분석!$C$13),"비교",""))))</f>
        <v/>
      </c>
      <c r="R167" s="9">
        <f>IF(Q167="","",$K167&amp;"")</f>
        <v/>
      </c>
      <c r="S167" s="9">
        <f>IF(Q167="","",IF(MATCH(R167,$R$5:$R$100000,0)=ROW()-4,ROW(),""))</f>
        <v/>
      </c>
      <c r="T167" s="9">
        <f>IF(Q167="당기",ABS(P167)+ROW()/1000000000,"")</f>
        <v/>
      </c>
      <c r="U167" s="9">
        <f>IF(Q167="비교",ABS(P167)+ROW()/1000000000,"")</f>
        <v/>
      </c>
      <c r="V167" s="39">
        <f>IF($A167="","",IF(COUNTIF(변동분석!$E$7:$E$506,O167)&gt;0,"Y","N"))</f>
        <v/>
      </c>
      <c r="W167" s="39">
        <f>IF($A167="","",IFERROR(INDEX(계정매핑!$D$5:$D$504,MATCH($F167&amp;"",계정매핑!$A$5:$A$504,0)),"미매핑"))</f>
        <v/>
      </c>
      <c r="X167" s="9">
        <f>IF($A167="","",$F167&amp;"")</f>
        <v/>
      </c>
    </row>
    <row r="168">
      <c r="A168" s="75" t="n">
        <v>2025</v>
      </c>
      <c r="B168" s="75" t="n">
        <v>1</v>
      </c>
      <c r="C168" s="75" t="inlineStr">
        <is>
          <t>5100000164</t>
        </is>
      </c>
      <c r="D168" s="78" t="n">
        <v>45676</v>
      </c>
      <c r="E168" s="75" t="inlineStr">
        <is>
          <t>KR</t>
        </is>
      </c>
      <c r="F168" s="75" t="n">
        <v>62801000</v>
      </c>
      <c r="G168" s="75" t="n">
        <v>1301</v>
      </c>
      <c r="H168" s="76" t="n">
        <v>3687000</v>
      </c>
      <c r="I168" s="75" t="inlineStr">
        <is>
          <t>1월 사내교육 - U에듀</t>
        </is>
      </c>
      <c r="J168" s="75" t="inlineStr">
        <is>
          <t>V10026</t>
        </is>
      </c>
      <c r="K168" s="75" t="inlineStr">
        <is>
          <t>U에듀</t>
        </is>
      </c>
      <c r="M168" s="9">
        <f>IF($A168="","",VALUE($A168&amp;"")*12+VALUE($B168&amp;""))</f>
        <v/>
      </c>
      <c r="N168" s="39">
        <f>IF($A168="","",IFERROR(INDEX(부서매핑!$C$5:$C$504,MATCH($G168&amp;"",부서매핑!$A$5:$A$504,0)),"미매핑"))</f>
        <v/>
      </c>
      <c r="O168" s="9">
        <f>IF($A168="","",N168&amp;"|"&amp;$F168)</f>
        <v/>
      </c>
      <c r="P168" s="77">
        <f>IF($A168="",0,$H168*설정!$C$23)</f>
        <v/>
      </c>
      <c r="Q168" s="39">
        <f>IF($A168="","",IF(O168&lt;&gt;원인분석!$C$9,"",IF(AND(M168&gt;=원인분석!$C$10,M168&lt;=원인분석!$C$11),"당기",IF(AND(M168&gt;=원인분석!$C$12,M168&lt;=원인분석!$C$13),"비교",""))))</f>
        <v/>
      </c>
      <c r="R168" s="9">
        <f>IF(Q168="","",$K168&amp;"")</f>
        <v/>
      </c>
      <c r="S168" s="9">
        <f>IF(Q168="","",IF(MATCH(R168,$R$5:$R$100000,0)=ROW()-4,ROW(),""))</f>
        <v/>
      </c>
      <c r="T168" s="9">
        <f>IF(Q168="당기",ABS(P168)+ROW()/1000000000,"")</f>
        <v/>
      </c>
      <c r="U168" s="9">
        <f>IF(Q168="비교",ABS(P168)+ROW()/1000000000,"")</f>
        <v/>
      </c>
      <c r="V168" s="39">
        <f>IF($A168="","",IF(COUNTIF(변동분석!$E$7:$E$506,O168)&gt;0,"Y","N"))</f>
        <v/>
      </c>
      <c r="W168" s="39">
        <f>IF($A168="","",IFERROR(INDEX(계정매핑!$D$5:$D$504,MATCH($F168&amp;"",계정매핑!$A$5:$A$504,0)),"미매핑"))</f>
        <v/>
      </c>
      <c r="X168" s="9">
        <f>IF($A168="","",$F168&amp;"")</f>
        <v/>
      </c>
    </row>
    <row r="169">
      <c r="A169" s="75" t="n">
        <v>2025</v>
      </c>
      <c r="B169" s="75" t="n">
        <v>1</v>
      </c>
      <c r="C169" s="75" t="inlineStr">
        <is>
          <t>5100000165</t>
        </is>
      </c>
      <c r="D169" s="78" t="n">
        <v>45676</v>
      </c>
      <c r="E169" s="75" t="inlineStr">
        <is>
          <t>KR</t>
        </is>
      </c>
      <c r="F169" s="75" t="n">
        <v>62902000</v>
      </c>
      <c r="G169" s="75" t="n">
        <v>1801</v>
      </c>
      <c r="H169" s="76" t="n">
        <v>1779000</v>
      </c>
      <c r="I169" s="75" t="inlineStr">
        <is>
          <t>1월 콜 위탁 수수료(건별)</t>
        </is>
      </c>
      <c r="J169" s="75" t="inlineStr">
        <is>
          <t>V10013</t>
        </is>
      </c>
      <c r="K169" s="75" t="inlineStr">
        <is>
          <t>J콜센터</t>
        </is>
      </c>
      <c r="M169" s="9">
        <f>IF($A169="","",VALUE($A169&amp;"")*12+VALUE($B169&amp;""))</f>
        <v/>
      </c>
      <c r="N169" s="39">
        <f>IF($A169="","",IFERROR(INDEX(부서매핑!$C$5:$C$504,MATCH($G169&amp;"",부서매핑!$A$5:$A$504,0)),"미매핑"))</f>
        <v/>
      </c>
      <c r="O169" s="9">
        <f>IF($A169="","",N169&amp;"|"&amp;$F169)</f>
        <v/>
      </c>
      <c r="P169" s="77">
        <f>IF($A169="",0,$H169*설정!$C$23)</f>
        <v/>
      </c>
      <c r="Q169" s="39">
        <f>IF($A169="","",IF(O169&lt;&gt;원인분석!$C$9,"",IF(AND(M169&gt;=원인분석!$C$10,M169&lt;=원인분석!$C$11),"당기",IF(AND(M169&gt;=원인분석!$C$12,M169&lt;=원인분석!$C$13),"비교",""))))</f>
        <v/>
      </c>
      <c r="R169" s="9">
        <f>IF(Q169="","",$K169&amp;"")</f>
        <v/>
      </c>
      <c r="S169" s="9">
        <f>IF(Q169="","",IF(MATCH(R169,$R$5:$R$100000,0)=ROW()-4,ROW(),""))</f>
        <v/>
      </c>
      <c r="T169" s="9">
        <f>IF(Q169="당기",ABS(P169)+ROW()/1000000000,"")</f>
        <v/>
      </c>
      <c r="U169" s="9">
        <f>IF(Q169="비교",ABS(P169)+ROW()/1000000000,"")</f>
        <v/>
      </c>
      <c r="V169" s="39">
        <f>IF($A169="","",IF(COUNTIF(변동분석!$E$7:$E$506,O169)&gt;0,"Y","N"))</f>
        <v/>
      </c>
      <c r="W169" s="39">
        <f>IF($A169="","",IFERROR(INDEX(계정매핑!$D$5:$D$504,MATCH($F169&amp;"",계정매핑!$A$5:$A$504,0)),"미매핑"))</f>
        <v/>
      </c>
      <c r="X169" s="9">
        <f>IF($A169="","",$F169&amp;"")</f>
        <v/>
      </c>
    </row>
    <row r="170">
      <c r="A170" s="75" t="n">
        <v>2025</v>
      </c>
      <c r="B170" s="75" t="n">
        <v>1</v>
      </c>
      <c r="C170" s="75" t="inlineStr">
        <is>
          <t>5100000166</t>
        </is>
      </c>
      <c r="D170" s="78" t="n">
        <v>45677</v>
      </c>
      <c r="E170" s="75" t="inlineStr">
        <is>
          <t>KR</t>
        </is>
      </c>
      <c r="F170" s="75" t="n">
        <v>62101000</v>
      </c>
      <c r="G170" s="75" t="n">
        <v>1301</v>
      </c>
      <c r="H170" s="76" t="n">
        <v>243000</v>
      </c>
      <c r="I170" s="75" t="inlineStr">
        <is>
          <t>1월 국내출장 - M항공</t>
        </is>
      </c>
      <c r="J170" s="75" t="inlineStr">
        <is>
          <t>V10001</t>
        </is>
      </c>
      <c r="K170" s="75" t="inlineStr">
        <is>
          <t>M항공</t>
        </is>
      </c>
      <c r="M170" s="9">
        <f>IF($A170="","",VALUE($A170&amp;"")*12+VALUE($B170&amp;""))</f>
        <v/>
      </c>
      <c r="N170" s="39">
        <f>IF($A170="","",IFERROR(INDEX(부서매핑!$C$5:$C$504,MATCH($G170&amp;"",부서매핑!$A$5:$A$504,0)),"미매핑"))</f>
        <v/>
      </c>
      <c r="O170" s="9">
        <f>IF($A170="","",N170&amp;"|"&amp;$F170)</f>
        <v/>
      </c>
      <c r="P170" s="77">
        <f>IF($A170="",0,$H170*설정!$C$23)</f>
        <v/>
      </c>
      <c r="Q170" s="39">
        <f>IF($A170="","",IF(O170&lt;&gt;원인분석!$C$9,"",IF(AND(M170&gt;=원인분석!$C$10,M170&lt;=원인분석!$C$11),"당기",IF(AND(M170&gt;=원인분석!$C$12,M170&lt;=원인분석!$C$13),"비교",""))))</f>
        <v/>
      </c>
      <c r="R170" s="9">
        <f>IF(Q170="","",$K170&amp;"")</f>
        <v/>
      </c>
      <c r="S170" s="9">
        <f>IF(Q170="","",IF(MATCH(R170,$R$5:$R$100000,0)=ROW()-4,ROW(),""))</f>
        <v/>
      </c>
      <c r="T170" s="9">
        <f>IF(Q170="당기",ABS(P170)+ROW()/1000000000,"")</f>
        <v/>
      </c>
      <c r="U170" s="9">
        <f>IF(Q170="비교",ABS(P170)+ROW()/1000000000,"")</f>
        <v/>
      </c>
      <c r="V170" s="39">
        <f>IF($A170="","",IF(COUNTIF(변동분석!$E$7:$E$506,O170)&gt;0,"Y","N"))</f>
        <v/>
      </c>
      <c r="W170" s="39">
        <f>IF($A170="","",IFERROR(INDEX(계정매핑!$D$5:$D$504,MATCH($F170&amp;"",계정매핑!$A$5:$A$504,0)),"미매핑"))</f>
        <v/>
      </c>
      <c r="X170" s="9">
        <f>IF($A170="","",$F170&amp;"")</f>
        <v/>
      </c>
    </row>
    <row r="171">
      <c r="A171" s="75" t="n">
        <v>2025</v>
      </c>
      <c r="B171" s="75" t="n">
        <v>1</v>
      </c>
      <c r="C171" s="75" t="inlineStr">
        <is>
          <t>5100000167</t>
        </is>
      </c>
      <c r="D171" s="78" t="n">
        <v>45677</v>
      </c>
      <c r="E171" s="75" t="inlineStr">
        <is>
          <t>KR</t>
        </is>
      </c>
      <c r="F171" s="75" t="n">
        <v>62301000</v>
      </c>
      <c r="G171" s="75" t="n">
        <v>1101</v>
      </c>
      <c r="H171" s="76" t="n">
        <v>115000</v>
      </c>
      <c r="I171" s="75" t="inlineStr">
        <is>
          <t>1월 소모품 구입 - R문구</t>
        </is>
      </c>
      <c r="J171" s="75" t="inlineStr">
        <is>
          <t>V10018</t>
        </is>
      </c>
      <c r="K171" s="75" t="inlineStr">
        <is>
          <t>R문구</t>
        </is>
      </c>
      <c r="M171" s="9">
        <f>IF($A171="","",VALUE($A171&amp;"")*12+VALUE($B171&amp;""))</f>
        <v/>
      </c>
      <c r="N171" s="39">
        <f>IF($A171="","",IFERROR(INDEX(부서매핑!$C$5:$C$504,MATCH($G171&amp;"",부서매핑!$A$5:$A$504,0)),"미매핑"))</f>
        <v/>
      </c>
      <c r="O171" s="9">
        <f>IF($A171="","",N171&amp;"|"&amp;$F171)</f>
        <v/>
      </c>
      <c r="P171" s="77">
        <f>IF($A171="",0,$H171*설정!$C$23)</f>
        <v/>
      </c>
      <c r="Q171" s="39">
        <f>IF($A171="","",IF(O171&lt;&gt;원인분석!$C$9,"",IF(AND(M171&gt;=원인분석!$C$10,M171&lt;=원인분석!$C$11),"당기",IF(AND(M171&gt;=원인분석!$C$12,M171&lt;=원인분석!$C$13),"비교",""))))</f>
        <v/>
      </c>
      <c r="R171" s="9">
        <f>IF(Q171="","",$K171&amp;"")</f>
        <v/>
      </c>
      <c r="S171" s="9">
        <f>IF(Q171="","",IF(MATCH(R171,$R$5:$R$100000,0)=ROW()-4,ROW(),""))</f>
        <v/>
      </c>
      <c r="T171" s="9">
        <f>IF(Q171="당기",ABS(P171)+ROW()/1000000000,"")</f>
        <v/>
      </c>
      <c r="U171" s="9">
        <f>IF(Q171="비교",ABS(P171)+ROW()/1000000000,"")</f>
        <v/>
      </c>
      <c r="V171" s="39">
        <f>IF($A171="","",IF(COUNTIF(변동분석!$E$7:$E$506,O171)&gt;0,"Y","N"))</f>
        <v/>
      </c>
      <c r="W171" s="39">
        <f>IF($A171="","",IFERROR(INDEX(계정매핑!$D$5:$D$504,MATCH($F171&amp;"",계정매핑!$A$5:$A$504,0)),"미매핑"))</f>
        <v/>
      </c>
      <c r="X171" s="9">
        <f>IF($A171="","",$F171&amp;"")</f>
        <v/>
      </c>
    </row>
    <row r="172">
      <c r="A172" s="75" t="n">
        <v>2025</v>
      </c>
      <c r="B172" s="75" t="n">
        <v>1</v>
      </c>
      <c r="C172" s="75" t="inlineStr">
        <is>
          <t>5100000168</t>
        </is>
      </c>
      <c r="D172" s="78" t="n">
        <v>45677</v>
      </c>
      <c r="E172" s="75" t="inlineStr">
        <is>
          <t>KR</t>
        </is>
      </c>
      <c r="F172" s="75" t="n">
        <v>62401000</v>
      </c>
      <c r="G172" s="75" t="n">
        <v>1801</v>
      </c>
      <c r="H172" s="76" t="n">
        <v>3862000</v>
      </c>
      <c r="I172" s="75" t="inlineStr">
        <is>
          <t>1월 인쇄물 제작 - G인쇄</t>
        </is>
      </c>
      <c r="J172" s="75" t="inlineStr">
        <is>
          <t>V10004</t>
        </is>
      </c>
      <c r="K172" s="75" t="inlineStr">
        <is>
          <t>G인쇄</t>
        </is>
      </c>
      <c r="M172" s="9">
        <f>IF($A172="","",VALUE($A172&amp;"")*12+VALUE($B172&amp;""))</f>
        <v/>
      </c>
      <c r="N172" s="39">
        <f>IF($A172="","",IFERROR(INDEX(부서매핑!$C$5:$C$504,MATCH($G172&amp;"",부서매핑!$A$5:$A$504,0)),"미매핑"))</f>
        <v/>
      </c>
      <c r="O172" s="9">
        <f>IF($A172="","",N172&amp;"|"&amp;$F172)</f>
        <v/>
      </c>
      <c r="P172" s="77">
        <f>IF($A172="",0,$H172*설정!$C$23)</f>
        <v/>
      </c>
      <c r="Q172" s="39">
        <f>IF($A172="","",IF(O172&lt;&gt;원인분석!$C$9,"",IF(AND(M172&gt;=원인분석!$C$10,M172&lt;=원인분석!$C$11),"당기",IF(AND(M172&gt;=원인분석!$C$12,M172&lt;=원인분석!$C$13),"비교",""))))</f>
        <v/>
      </c>
      <c r="R172" s="9">
        <f>IF(Q172="","",$K172&amp;"")</f>
        <v/>
      </c>
      <c r="S172" s="9">
        <f>IF(Q172="","",IF(MATCH(R172,$R$5:$R$100000,0)=ROW()-4,ROW(),""))</f>
        <v/>
      </c>
      <c r="T172" s="9">
        <f>IF(Q172="당기",ABS(P172)+ROW()/1000000000,"")</f>
        <v/>
      </c>
      <c r="U172" s="9">
        <f>IF(Q172="비교",ABS(P172)+ROW()/1000000000,"")</f>
        <v/>
      </c>
      <c r="V172" s="39">
        <f>IF($A172="","",IF(COUNTIF(변동분석!$E$7:$E$506,O172)&gt;0,"Y","N"))</f>
        <v/>
      </c>
      <c r="W172" s="39">
        <f>IF($A172="","",IFERROR(INDEX(계정매핑!$D$5:$D$504,MATCH($F172&amp;"",계정매핑!$A$5:$A$504,0)),"미매핑"))</f>
        <v/>
      </c>
      <c r="X172" s="9">
        <f>IF($A172="","",$F172&amp;"")</f>
        <v/>
      </c>
    </row>
    <row r="173">
      <c r="A173" s="75" t="n">
        <v>2025</v>
      </c>
      <c r="B173" s="75" t="n">
        <v>1</v>
      </c>
      <c r="C173" s="75" t="inlineStr">
        <is>
          <t>5100000169</t>
        </is>
      </c>
      <c r="D173" s="78" t="n">
        <v>45677</v>
      </c>
      <c r="E173" s="75" t="inlineStr">
        <is>
          <t>KR</t>
        </is>
      </c>
      <c r="F173" s="75" t="n">
        <v>62902000</v>
      </c>
      <c r="G173" s="75" t="n">
        <v>1801</v>
      </c>
      <c r="H173" s="76" t="n">
        <v>1819000</v>
      </c>
      <c r="I173" s="75" t="inlineStr">
        <is>
          <t>1월 콜 위탁 수수료(건별)</t>
        </is>
      </c>
      <c r="J173" s="75" t="inlineStr">
        <is>
          <t>V10013</t>
        </is>
      </c>
      <c r="K173" s="75" t="inlineStr">
        <is>
          <t>J콜센터</t>
        </is>
      </c>
      <c r="M173" s="9">
        <f>IF($A173="","",VALUE($A173&amp;"")*12+VALUE($B173&amp;""))</f>
        <v/>
      </c>
      <c r="N173" s="39">
        <f>IF($A173="","",IFERROR(INDEX(부서매핑!$C$5:$C$504,MATCH($G173&amp;"",부서매핑!$A$5:$A$504,0)),"미매핑"))</f>
        <v/>
      </c>
      <c r="O173" s="9">
        <f>IF($A173="","",N173&amp;"|"&amp;$F173)</f>
        <v/>
      </c>
      <c r="P173" s="77">
        <f>IF($A173="",0,$H173*설정!$C$23)</f>
        <v/>
      </c>
      <c r="Q173" s="39">
        <f>IF($A173="","",IF(O173&lt;&gt;원인분석!$C$9,"",IF(AND(M173&gt;=원인분석!$C$10,M173&lt;=원인분석!$C$11),"당기",IF(AND(M173&gt;=원인분석!$C$12,M173&lt;=원인분석!$C$13),"비교",""))))</f>
        <v/>
      </c>
      <c r="R173" s="9">
        <f>IF(Q173="","",$K173&amp;"")</f>
        <v/>
      </c>
      <c r="S173" s="9">
        <f>IF(Q173="","",IF(MATCH(R173,$R$5:$R$100000,0)=ROW()-4,ROW(),""))</f>
        <v/>
      </c>
      <c r="T173" s="9">
        <f>IF(Q173="당기",ABS(P173)+ROW()/1000000000,"")</f>
        <v/>
      </c>
      <c r="U173" s="9">
        <f>IF(Q173="비교",ABS(P173)+ROW()/1000000000,"")</f>
        <v/>
      </c>
      <c r="V173" s="39">
        <f>IF($A173="","",IF(COUNTIF(변동분석!$E$7:$E$506,O173)&gt;0,"Y","N"))</f>
        <v/>
      </c>
      <c r="W173" s="39">
        <f>IF($A173="","",IFERROR(INDEX(계정매핑!$D$5:$D$504,MATCH($F173&amp;"",계정매핑!$A$5:$A$504,0)),"미매핑"))</f>
        <v/>
      </c>
      <c r="X173" s="9">
        <f>IF($A173="","",$F173&amp;"")</f>
        <v/>
      </c>
    </row>
    <row r="174">
      <c r="A174" s="75" t="n">
        <v>2025</v>
      </c>
      <c r="B174" s="75" t="n">
        <v>1</v>
      </c>
      <c r="C174" s="75" t="inlineStr">
        <is>
          <t>5100000170</t>
        </is>
      </c>
      <c r="D174" s="78" t="n">
        <v>45678</v>
      </c>
      <c r="E174" s="75" t="inlineStr">
        <is>
          <t>KR</t>
        </is>
      </c>
      <c r="F174" s="75" t="n">
        <v>62101000</v>
      </c>
      <c r="G174" s="75" t="n">
        <v>1101</v>
      </c>
      <c r="H174" s="76" t="n">
        <v>624000</v>
      </c>
      <c r="I174" s="75" t="inlineStr">
        <is>
          <t>1월 국내출장 - M항공</t>
        </is>
      </c>
      <c r="J174" s="75" t="inlineStr">
        <is>
          <t>V10001</t>
        </is>
      </c>
      <c r="K174" s="75" t="inlineStr">
        <is>
          <t>M항공</t>
        </is>
      </c>
      <c r="M174" s="9">
        <f>IF($A174="","",VALUE($A174&amp;"")*12+VALUE($B174&amp;""))</f>
        <v/>
      </c>
      <c r="N174" s="39">
        <f>IF($A174="","",IFERROR(INDEX(부서매핑!$C$5:$C$504,MATCH($G174&amp;"",부서매핑!$A$5:$A$504,0)),"미매핑"))</f>
        <v/>
      </c>
      <c r="O174" s="9">
        <f>IF($A174="","",N174&amp;"|"&amp;$F174)</f>
        <v/>
      </c>
      <c r="P174" s="77">
        <f>IF($A174="",0,$H174*설정!$C$23)</f>
        <v/>
      </c>
      <c r="Q174" s="39">
        <f>IF($A174="","",IF(O174&lt;&gt;원인분석!$C$9,"",IF(AND(M174&gt;=원인분석!$C$10,M174&lt;=원인분석!$C$11),"당기",IF(AND(M174&gt;=원인분석!$C$12,M174&lt;=원인분석!$C$13),"비교",""))))</f>
        <v/>
      </c>
      <c r="R174" s="9">
        <f>IF(Q174="","",$K174&amp;"")</f>
        <v/>
      </c>
      <c r="S174" s="9">
        <f>IF(Q174="","",IF(MATCH(R174,$R$5:$R$100000,0)=ROW()-4,ROW(),""))</f>
        <v/>
      </c>
      <c r="T174" s="9">
        <f>IF(Q174="당기",ABS(P174)+ROW()/1000000000,"")</f>
        <v/>
      </c>
      <c r="U174" s="9">
        <f>IF(Q174="비교",ABS(P174)+ROW()/1000000000,"")</f>
        <v/>
      </c>
      <c r="V174" s="39">
        <f>IF($A174="","",IF(COUNTIF(변동분석!$E$7:$E$506,O174)&gt;0,"Y","N"))</f>
        <v/>
      </c>
      <c r="W174" s="39">
        <f>IF($A174="","",IFERROR(INDEX(계정매핑!$D$5:$D$504,MATCH($F174&amp;"",계정매핑!$A$5:$A$504,0)),"미매핑"))</f>
        <v/>
      </c>
      <c r="X174" s="9">
        <f>IF($A174="","",$F174&amp;"")</f>
        <v/>
      </c>
    </row>
    <row r="175">
      <c r="A175" s="75" t="n">
        <v>2025</v>
      </c>
      <c r="B175" s="75" t="n">
        <v>1</v>
      </c>
      <c r="C175" s="75" t="inlineStr">
        <is>
          <t>5100000171</t>
        </is>
      </c>
      <c r="D175" s="78" t="n">
        <v>45678</v>
      </c>
      <c r="E175" s="75" t="inlineStr">
        <is>
          <t>KR</t>
        </is>
      </c>
      <c r="F175" s="75" t="n">
        <v>62201000</v>
      </c>
      <c r="G175" s="75" t="n">
        <v>1502</v>
      </c>
      <c r="H175" s="76" t="n">
        <v>344000</v>
      </c>
      <c r="I175" s="75" t="inlineStr">
        <is>
          <t>1월 통신요금 - O텔레콤</t>
        </is>
      </c>
      <c r="J175" s="75" t="inlineStr">
        <is>
          <t>V10002</t>
        </is>
      </c>
      <c r="K175" s="75" t="inlineStr">
        <is>
          <t>O텔레콤</t>
        </is>
      </c>
      <c r="M175" s="9">
        <f>IF($A175="","",VALUE($A175&amp;"")*12+VALUE($B175&amp;""))</f>
        <v/>
      </c>
      <c r="N175" s="39">
        <f>IF($A175="","",IFERROR(INDEX(부서매핑!$C$5:$C$504,MATCH($G175&amp;"",부서매핑!$A$5:$A$504,0)),"미매핑"))</f>
        <v/>
      </c>
      <c r="O175" s="9">
        <f>IF($A175="","",N175&amp;"|"&amp;$F175)</f>
        <v/>
      </c>
      <c r="P175" s="77">
        <f>IF($A175="",0,$H175*설정!$C$23)</f>
        <v/>
      </c>
      <c r="Q175" s="39">
        <f>IF($A175="","",IF(O175&lt;&gt;원인분석!$C$9,"",IF(AND(M175&gt;=원인분석!$C$10,M175&lt;=원인분석!$C$11),"당기",IF(AND(M175&gt;=원인분석!$C$12,M175&lt;=원인분석!$C$13),"비교",""))))</f>
        <v/>
      </c>
      <c r="R175" s="9">
        <f>IF(Q175="","",$K175&amp;"")</f>
        <v/>
      </c>
      <c r="S175" s="9">
        <f>IF(Q175="","",IF(MATCH(R175,$R$5:$R$100000,0)=ROW()-4,ROW(),""))</f>
        <v/>
      </c>
      <c r="T175" s="9">
        <f>IF(Q175="당기",ABS(P175)+ROW()/1000000000,"")</f>
        <v/>
      </c>
      <c r="U175" s="9">
        <f>IF(Q175="비교",ABS(P175)+ROW()/1000000000,"")</f>
        <v/>
      </c>
      <c r="V175" s="39">
        <f>IF($A175="","",IF(COUNTIF(변동분석!$E$7:$E$506,O175)&gt;0,"Y","N"))</f>
        <v/>
      </c>
      <c r="W175" s="39">
        <f>IF($A175="","",IFERROR(INDEX(계정매핑!$D$5:$D$504,MATCH($F175&amp;"",계정매핑!$A$5:$A$504,0)),"미매핑"))</f>
        <v/>
      </c>
      <c r="X175" s="9">
        <f>IF($A175="","",$F175&amp;"")</f>
        <v/>
      </c>
    </row>
    <row r="176">
      <c r="A176" s="75" t="n">
        <v>2025</v>
      </c>
      <c r="B176" s="75" t="n">
        <v>1</v>
      </c>
      <c r="C176" s="75" t="inlineStr">
        <is>
          <t>5100000172</t>
        </is>
      </c>
      <c r="D176" s="78" t="n">
        <v>45678</v>
      </c>
      <c r="E176" s="75" t="inlineStr">
        <is>
          <t>KR</t>
        </is>
      </c>
      <c r="F176" s="75" t="n">
        <v>62401000</v>
      </c>
      <c r="G176" s="75" t="n">
        <v>1501</v>
      </c>
      <c r="H176" s="76" t="n">
        <v>2185000</v>
      </c>
      <c r="I176" s="75" t="inlineStr">
        <is>
          <t>1월 인쇄물 제작 - S출판</t>
        </is>
      </c>
      <c r="J176" s="75" t="inlineStr">
        <is>
          <t>V10012</t>
        </is>
      </c>
      <c r="K176" s="75" t="inlineStr">
        <is>
          <t>S출판</t>
        </is>
      </c>
      <c r="M176" s="9">
        <f>IF($A176="","",VALUE($A176&amp;"")*12+VALUE($B176&amp;""))</f>
        <v/>
      </c>
      <c r="N176" s="39">
        <f>IF($A176="","",IFERROR(INDEX(부서매핑!$C$5:$C$504,MATCH($G176&amp;"",부서매핑!$A$5:$A$504,0)),"미매핑"))</f>
        <v/>
      </c>
      <c r="O176" s="9">
        <f>IF($A176="","",N176&amp;"|"&amp;$F176)</f>
        <v/>
      </c>
      <c r="P176" s="77">
        <f>IF($A176="",0,$H176*설정!$C$23)</f>
        <v/>
      </c>
      <c r="Q176" s="39">
        <f>IF($A176="","",IF(O176&lt;&gt;원인분석!$C$9,"",IF(AND(M176&gt;=원인분석!$C$10,M176&lt;=원인분석!$C$11),"당기",IF(AND(M176&gt;=원인분석!$C$12,M176&lt;=원인분석!$C$13),"비교",""))))</f>
        <v/>
      </c>
      <c r="R176" s="9">
        <f>IF(Q176="","",$K176&amp;"")</f>
        <v/>
      </c>
      <c r="S176" s="9">
        <f>IF(Q176="","",IF(MATCH(R176,$R$5:$R$100000,0)=ROW()-4,ROW(),""))</f>
        <v/>
      </c>
      <c r="T176" s="9">
        <f>IF(Q176="당기",ABS(P176)+ROW()/1000000000,"")</f>
        <v/>
      </c>
      <c r="U176" s="9">
        <f>IF(Q176="비교",ABS(P176)+ROW()/1000000000,"")</f>
        <v/>
      </c>
      <c r="V176" s="39">
        <f>IF($A176="","",IF(COUNTIF(변동분석!$E$7:$E$506,O176)&gt;0,"Y","N"))</f>
        <v/>
      </c>
      <c r="W176" s="39">
        <f>IF($A176="","",IFERROR(INDEX(계정매핑!$D$5:$D$504,MATCH($F176&amp;"",계정매핑!$A$5:$A$504,0)),"미매핑"))</f>
        <v/>
      </c>
      <c r="X176" s="9">
        <f>IF($A176="","",$F176&amp;"")</f>
        <v/>
      </c>
    </row>
    <row r="177">
      <c r="A177" s="75" t="n">
        <v>2025</v>
      </c>
      <c r="B177" s="75" t="n">
        <v>1</v>
      </c>
      <c r="C177" s="75" t="inlineStr">
        <is>
          <t>5100000173</t>
        </is>
      </c>
      <c r="D177" s="78" t="n">
        <v>45679</v>
      </c>
      <c r="E177" s="75" t="inlineStr">
        <is>
          <t>KR</t>
        </is>
      </c>
      <c r="F177" s="75" t="n">
        <v>62101000</v>
      </c>
      <c r="G177" s="75" t="n">
        <v>1201</v>
      </c>
      <c r="H177" s="76" t="n">
        <v>305000</v>
      </c>
      <c r="I177" s="75" t="inlineStr">
        <is>
          <t>1월 국내출장 - L여행사</t>
        </is>
      </c>
      <c r="J177" s="75" t="inlineStr">
        <is>
          <t>V10014</t>
        </is>
      </c>
      <c r="K177" s="75" t="inlineStr">
        <is>
          <t>L여행사</t>
        </is>
      </c>
      <c r="M177" s="9">
        <f>IF($A177="","",VALUE($A177&amp;"")*12+VALUE($B177&amp;""))</f>
        <v/>
      </c>
      <c r="N177" s="39">
        <f>IF($A177="","",IFERROR(INDEX(부서매핑!$C$5:$C$504,MATCH($G177&amp;"",부서매핑!$A$5:$A$504,0)),"미매핑"))</f>
        <v/>
      </c>
      <c r="O177" s="9">
        <f>IF($A177="","",N177&amp;"|"&amp;$F177)</f>
        <v/>
      </c>
      <c r="P177" s="77">
        <f>IF($A177="",0,$H177*설정!$C$23)</f>
        <v/>
      </c>
      <c r="Q177" s="39">
        <f>IF($A177="","",IF(O177&lt;&gt;원인분석!$C$9,"",IF(AND(M177&gt;=원인분석!$C$10,M177&lt;=원인분석!$C$11),"당기",IF(AND(M177&gt;=원인분석!$C$12,M177&lt;=원인분석!$C$13),"비교",""))))</f>
        <v/>
      </c>
      <c r="R177" s="9">
        <f>IF(Q177="","",$K177&amp;"")</f>
        <v/>
      </c>
      <c r="S177" s="9">
        <f>IF(Q177="","",IF(MATCH(R177,$R$5:$R$100000,0)=ROW()-4,ROW(),""))</f>
        <v/>
      </c>
      <c r="T177" s="9">
        <f>IF(Q177="당기",ABS(P177)+ROW()/1000000000,"")</f>
        <v/>
      </c>
      <c r="U177" s="9">
        <f>IF(Q177="비교",ABS(P177)+ROW()/1000000000,"")</f>
        <v/>
      </c>
      <c r="V177" s="39">
        <f>IF($A177="","",IF(COUNTIF(변동분석!$E$7:$E$506,O177)&gt;0,"Y","N"))</f>
        <v/>
      </c>
      <c r="W177" s="39">
        <f>IF($A177="","",IFERROR(INDEX(계정매핑!$D$5:$D$504,MATCH($F177&amp;"",계정매핑!$A$5:$A$504,0)),"미매핑"))</f>
        <v/>
      </c>
      <c r="X177" s="9">
        <f>IF($A177="","",$F177&amp;"")</f>
        <v/>
      </c>
    </row>
    <row r="178">
      <c r="A178" s="75" t="n">
        <v>2025</v>
      </c>
      <c r="B178" s="75" t="n">
        <v>1</v>
      </c>
      <c r="C178" s="75" t="inlineStr">
        <is>
          <t>5100000174</t>
        </is>
      </c>
      <c r="D178" s="78" t="n">
        <v>45679</v>
      </c>
      <c r="E178" s="75" t="inlineStr">
        <is>
          <t>KR</t>
        </is>
      </c>
      <c r="F178" s="75" t="n">
        <v>62101000</v>
      </c>
      <c r="G178" s="75" t="n">
        <v>1701</v>
      </c>
      <c r="H178" s="76" t="n">
        <v>195000</v>
      </c>
      <c r="I178" s="75" t="inlineStr">
        <is>
          <t>1월 국내출장 - M항공</t>
        </is>
      </c>
      <c r="J178" s="75" t="inlineStr">
        <is>
          <t>V10001</t>
        </is>
      </c>
      <c r="K178" s="75" t="inlineStr">
        <is>
          <t>M항공</t>
        </is>
      </c>
      <c r="M178" s="9">
        <f>IF($A178="","",VALUE($A178&amp;"")*12+VALUE($B178&amp;""))</f>
        <v/>
      </c>
      <c r="N178" s="39">
        <f>IF($A178="","",IFERROR(INDEX(부서매핑!$C$5:$C$504,MATCH($G178&amp;"",부서매핑!$A$5:$A$504,0)),"미매핑"))</f>
        <v/>
      </c>
      <c r="O178" s="9">
        <f>IF($A178="","",N178&amp;"|"&amp;$F178)</f>
        <v/>
      </c>
      <c r="P178" s="77">
        <f>IF($A178="",0,$H178*설정!$C$23)</f>
        <v/>
      </c>
      <c r="Q178" s="39">
        <f>IF($A178="","",IF(O178&lt;&gt;원인분석!$C$9,"",IF(AND(M178&gt;=원인분석!$C$10,M178&lt;=원인분석!$C$11),"당기",IF(AND(M178&gt;=원인분석!$C$12,M178&lt;=원인분석!$C$13),"비교",""))))</f>
        <v/>
      </c>
      <c r="R178" s="9">
        <f>IF(Q178="","",$K178&amp;"")</f>
        <v/>
      </c>
      <c r="S178" s="9">
        <f>IF(Q178="","",IF(MATCH(R178,$R$5:$R$100000,0)=ROW()-4,ROW(),""))</f>
        <v/>
      </c>
      <c r="T178" s="9">
        <f>IF(Q178="당기",ABS(P178)+ROW()/1000000000,"")</f>
        <v/>
      </c>
      <c r="U178" s="9">
        <f>IF(Q178="비교",ABS(P178)+ROW()/1000000000,"")</f>
        <v/>
      </c>
      <c r="V178" s="39">
        <f>IF($A178="","",IF(COUNTIF(변동분석!$E$7:$E$506,O178)&gt;0,"Y","N"))</f>
        <v/>
      </c>
      <c r="W178" s="39">
        <f>IF($A178="","",IFERROR(INDEX(계정매핑!$D$5:$D$504,MATCH($F178&amp;"",계정매핑!$A$5:$A$504,0)),"미매핑"))</f>
        <v/>
      </c>
      <c r="X178" s="9">
        <f>IF($A178="","",$F178&amp;"")</f>
        <v/>
      </c>
    </row>
    <row r="179">
      <c r="A179" s="75" t="n">
        <v>2025</v>
      </c>
      <c r="B179" s="75" t="n">
        <v>1</v>
      </c>
      <c r="C179" s="75" t="inlineStr">
        <is>
          <t>5100000175</t>
        </is>
      </c>
      <c r="D179" s="78" t="n">
        <v>45679</v>
      </c>
      <c r="E179" s="75" t="inlineStr">
        <is>
          <t>KR</t>
        </is>
      </c>
      <c r="F179" s="75" t="n">
        <v>62201000</v>
      </c>
      <c r="G179" s="75" t="n">
        <v>1201</v>
      </c>
      <c r="H179" s="76" t="n">
        <v>119000</v>
      </c>
      <c r="I179" s="75" t="inlineStr">
        <is>
          <t>1월 통신요금 - O텔레콤</t>
        </is>
      </c>
      <c r="J179" s="75" t="inlineStr">
        <is>
          <t>V10002</t>
        </is>
      </c>
      <c r="K179" s="75" t="inlineStr">
        <is>
          <t>O텔레콤</t>
        </is>
      </c>
      <c r="M179" s="9">
        <f>IF($A179="","",VALUE($A179&amp;"")*12+VALUE($B179&amp;""))</f>
        <v/>
      </c>
      <c r="N179" s="39">
        <f>IF($A179="","",IFERROR(INDEX(부서매핑!$C$5:$C$504,MATCH($G179&amp;"",부서매핑!$A$5:$A$504,0)),"미매핑"))</f>
        <v/>
      </c>
      <c r="O179" s="9">
        <f>IF($A179="","",N179&amp;"|"&amp;$F179)</f>
        <v/>
      </c>
      <c r="P179" s="77">
        <f>IF($A179="",0,$H179*설정!$C$23)</f>
        <v/>
      </c>
      <c r="Q179" s="39">
        <f>IF($A179="","",IF(O179&lt;&gt;원인분석!$C$9,"",IF(AND(M179&gt;=원인분석!$C$10,M179&lt;=원인분석!$C$11),"당기",IF(AND(M179&gt;=원인분석!$C$12,M179&lt;=원인분석!$C$13),"비교",""))))</f>
        <v/>
      </c>
      <c r="R179" s="9">
        <f>IF(Q179="","",$K179&amp;"")</f>
        <v/>
      </c>
      <c r="S179" s="9">
        <f>IF(Q179="","",IF(MATCH(R179,$R$5:$R$100000,0)=ROW()-4,ROW(),""))</f>
        <v/>
      </c>
      <c r="T179" s="9">
        <f>IF(Q179="당기",ABS(P179)+ROW()/1000000000,"")</f>
        <v/>
      </c>
      <c r="U179" s="9">
        <f>IF(Q179="비교",ABS(P179)+ROW()/1000000000,"")</f>
        <v/>
      </c>
      <c r="V179" s="39">
        <f>IF($A179="","",IF(COUNTIF(변동분석!$E$7:$E$506,O179)&gt;0,"Y","N"))</f>
        <v/>
      </c>
      <c r="W179" s="39">
        <f>IF($A179="","",IFERROR(INDEX(계정매핑!$D$5:$D$504,MATCH($F179&amp;"",계정매핑!$A$5:$A$504,0)),"미매핑"))</f>
        <v/>
      </c>
      <c r="X179" s="9">
        <f>IF($A179="","",$F179&amp;"")</f>
        <v/>
      </c>
    </row>
    <row r="180">
      <c r="A180" s="75" t="n">
        <v>2025</v>
      </c>
      <c r="B180" s="75" t="n">
        <v>1</v>
      </c>
      <c r="C180" s="75" t="inlineStr">
        <is>
          <t>5100000176</t>
        </is>
      </c>
      <c r="D180" s="78" t="n">
        <v>45679</v>
      </c>
      <c r="E180" s="75" t="inlineStr">
        <is>
          <t>KR</t>
        </is>
      </c>
      <c r="F180" s="75" t="n">
        <v>62201000</v>
      </c>
      <c r="G180" s="75" t="n">
        <v>1401</v>
      </c>
      <c r="H180" s="76" t="n">
        <v>177000</v>
      </c>
      <c r="I180" s="75" t="inlineStr">
        <is>
          <t>1월 통신요금 - P통신</t>
        </is>
      </c>
      <c r="J180" s="75" t="inlineStr">
        <is>
          <t>V10011</t>
        </is>
      </c>
      <c r="K180" s="75" t="inlineStr">
        <is>
          <t>P통신</t>
        </is>
      </c>
      <c r="M180" s="9">
        <f>IF($A180="","",VALUE($A180&amp;"")*12+VALUE($B180&amp;""))</f>
        <v/>
      </c>
      <c r="N180" s="39">
        <f>IF($A180="","",IFERROR(INDEX(부서매핑!$C$5:$C$504,MATCH($G180&amp;"",부서매핑!$A$5:$A$504,0)),"미매핑"))</f>
        <v/>
      </c>
      <c r="O180" s="9">
        <f>IF($A180="","",N180&amp;"|"&amp;$F180)</f>
        <v/>
      </c>
      <c r="P180" s="77">
        <f>IF($A180="",0,$H180*설정!$C$23)</f>
        <v/>
      </c>
      <c r="Q180" s="39">
        <f>IF($A180="","",IF(O180&lt;&gt;원인분석!$C$9,"",IF(AND(M180&gt;=원인분석!$C$10,M180&lt;=원인분석!$C$11),"당기",IF(AND(M180&gt;=원인분석!$C$12,M180&lt;=원인분석!$C$13),"비교",""))))</f>
        <v/>
      </c>
      <c r="R180" s="9">
        <f>IF(Q180="","",$K180&amp;"")</f>
        <v/>
      </c>
      <c r="S180" s="9">
        <f>IF(Q180="","",IF(MATCH(R180,$R$5:$R$100000,0)=ROW()-4,ROW(),""))</f>
        <v/>
      </c>
      <c r="T180" s="9">
        <f>IF(Q180="당기",ABS(P180)+ROW()/1000000000,"")</f>
        <v/>
      </c>
      <c r="U180" s="9">
        <f>IF(Q180="비교",ABS(P180)+ROW()/1000000000,"")</f>
        <v/>
      </c>
      <c r="V180" s="39">
        <f>IF($A180="","",IF(COUNTIF(변동분석!$E$7:$E$506,O180)&gt;0,"Y","N"))</f>
        <v/>
      </c>
      <c r="W180" s="39">
        <f>IF($A180="","",IFERROR(INDEX(계정매핑!$D$5:$D$504,MATCH($F180&amp;"",계정매핑!$A$5:$A$504,0)),"미매핑"))</f>
        <v/>
      </c>
      <c r="X180" s="9">
        <f>IF($A180="","",$F180&amp;"")</f>
        <v/>
      </c>
    </row>
    <row r="181">
      <c r="A181" s="75" t="n">
        <v>2025</v>
      </c>
      <c r="B181" s="75" t="n">
        <v>1</v>
      </c>
      <c r="C181" s="75" t="inlineStr">
        <is>
          <t>5100000177</t>
        </is>
      </c>
      <c r="D181" s="78" t="n">
        <v>45679</v>
      </c>
      <c r="E181" s="75" t="inlineStr">
        <is>
          <t>KR</t>
        </is>
      </c>
      <c r="F181" s="75" t="n">
        <v>62201000</v>
      </c>
      <c r="G181" s="75" t="n">
        <v>1801</v>
      </c>
      <c r="H181" s="76" t="n">
        <v>2985000</v>
      </c>
      <c r="I181" s="75" t="inlineStr">
        <is>
          <t>1월 통신요금 - P통신</t>
        </is>
      </c>
      <c r="J181" s="75" t="inlineStr">
        <is>
          <t>V10011</t>
        </is>
      </c>
      <c r="K181" s="75" t="inlineStr">
        <is>
          <t>P통신</t>
        </is>
      </c>
      <c r="M181" s="9">
        <f>IF($A181="","",VALUE($A181&amp;"")*12+VALUE($B181&amp;""))</f>
        <v/>
      </c>
      <c r="N181" s="39">
        <f>IF($A181="","",IFERROR(INDEX(부서매핑!$C$5:$C$504,MATCH($G181&amp;"",부서매핑!$A$5:$A$504,0)),"미매핑"))</f>
        <v/>
      </c>
      <c r="O181" s="9">
        <f>IF($A181="","",N181&amp;"|"&amp;$F181)</f>
        <v/>
      </c>
      <c r="P181" s="77">
        <f>IF($A181="",0,$H181*설정!$C$23)</f>
        <v/>
      </c>
      <c r="Q181" s="39">
        <f>IF($A181="","",IF(O181&lt;&gt;원인분석!$C$9,"",IF(AND(M181&gt;=원인분석!$C$10,M181&lt;=원인분석!$C$11),"당기",IF(AND(M181&gt;=원인분석!$C$12,M181&lt;=원인분석!$C$13),"비교",""))))</f>
        <v/>
      </c>
      <c r="R181" s="9">
        <f>IF(Q181="","",$K181&amp;"")</f>
        <v/>
      </c>
      <c r="S181" s="9">
        <f>IF(Q181="","",IF(MATCH(R181,$R$5:$R$100000,0)=ROW()-4,ROW(),""))</f>
        <v/>
      </c>
      <c r="T181" s="9">
        <f>IF(Q181="당기",ABS(P181)+ROW()/1000000000,"")</f>
        <v/>
      </c>
      <c r="U181" s="9">
        <f>IF(Q181="비교",ABS(P181)+ROW()/1000000000,"")</f>
        <v/>
      </c>
      <c r="V181" s="39">
        <f>IF($A181="","",IF(COUNTIF(변동분석!$E$7:$E$506,O181)&gt;0,"Y","N"))</f>
        <v/>
      </c>
      <c r="W181" s="39">
        <f>IF($A181="","",IFERROR(INDEX(계정매핑!$D$5:$D$504,MATCH($F181&amp;"",계정매핑!$A$5:$A$504,0)),"미매핑"))</f>
        <v/>
      </c>
      <c r="X181" s="9">
        <f>IF($A181="","",$F181&amp;"")</f>
        <v/>
      </c>
    </row>
    <row r="182">
      <c r="A182" s="75" t="n">
        <v>2025</v>
      </c>
      <c r="B182" s="75" t="n">
        <v>1</v>
      </c>
      <c r="C182" s="75" t="inlineStr">
        <is>
          <t>5100000178</t>
        </is>
      </c>
      <c r="D182" s="78" t="n">
        <v>45679</v>
      </c>
      <c r="E182" s="75" t="inlineStr">
        <is>
          <t>KR</t>
        </is>
      </c>
      <c r="F182" s="75" t="n">
        <v>62301000</v>
      </c>
      <c r="G182" s="75" t="n">
        <v>1602</v>
      </c>
      <c r="H182" s="76" t="n">
        <v>454000</v>
      </c>
      <c r="I182" s="75" t="inlineStr">
        <is>
          <t>1월 소모품 구입 - Q오피스</t>
        </is>
      </c>
      <c r="J182" s="75" t="inlineStr">
        <is>
          <t>V10003</t>
        </is>
      </c>
      <c r="K182" s="75" t="inlineStr">
        <is>
          <t>Q오피스</t>
        </is>
      </c>
      <c r="M182" s="9">
        <f>IF($A182="","",VALUE($A182&amp;"")*12+VALUE($B182&amp;""))</f>
        <v/>
      </c>
      <c r="N182" s="39">
        <f>IF($A182="","",IFERROR(INDEX(부서매핑!$C$5:$C$504,MATCH($G182&amp;"",부서매핑!$A$5:$A$504,0)),"미매핑"))</f>
        <v/>
      </c>
      <c r="O182" s="9">
        <f>IF($A182="","",N182&amp;"|"&amp;$F182)</f>
        <v/>
      </c>
      <c r="P182" s="77">
        <f>IF($A182="",0,$H182*설정!$C$23)</f>
        <v/>
      </c>
      <c r="Q182" s="39">
        <f>IF($A182="","",IF(O182&lt;&gt;원인분석!$C$9,"",IF(AND(M182&gt;=원인분석!$C$10,M182&lt;=원인분석!$C$11),"당기",IF(AND(M182&gt;=원인분석!$C$12,M182&lt;=원인분석!$C$13),"비교",""))))</f>
        <v/>
      </c>
      <c r="R182" s="9">
        <f>IF(Q182="","",$K182&amp;"")</f>
        <v/>
      </c>
      <c r="S182" s="9">
        <f>IF(Q182="","",IF(MATCH(R182,$R$5:$R$100000,0)=ROW()-4,ROW(),""))</f>
        <v/>
      </c>
      <c r="T182" s="9">
        <f>IF(Q182="당기",ABS(P182)+ROW()/1000000000,"")</f>
        <v/>
      </c>
      <c r="U182" s="9">
        <f>IF(Q182="비교",ABS(P182)+ROW()/1000000000,"")</f>
        <v/>
      </c>
      <c r="V182" s="39">
        <f>IF($A182="","",IF(COUNTIF(변동분석!$E$7:$E$506,O182)&gt;0,"Y","N"))</f>
        <v/>
      </c>
      <c r="W182" s="39">
        <f>IF($A182="","",IFERROR(INDEX(계정매핑!$D$5:$D$504,MATCH($F182&amp;"",계정매핑!$A$5:$A$504,0)),"미매핑"))</f>
        <v/>
      </c>
      <c r="X182" s="9">
        <f>IF($A182="","",$F182&amp;"")</f>
        <v/>
      </c>
    </row>
    <row r="183">
      <c r="A183" s="75" t="n">
        <v>2025</v>
      </c>
      <c r="B183" s="75" t="n">
        <v>1</v>
      </c>
      <c r="C183" s="75" t="inlineStr">
        <is>
          <t>5100000179</t>
        </is>
      </c>
      <c r="D183" s="78" t="n">
        <v>45679</v>
      </c>
      <c r="E183" s="75" t="inlineStr">
        <is>
          <t>KR</t>
        </is>
      </c>
      <c r="F183" s="75" t="n">
        <v>62701000</v>
      </c>
      <c r="G183" s="75" t="n">
        <v>1501</v>
      </c>
      <c r="H183" s="76" t="n">
        <v>39043000</v>
      </c>
      <c r="I183" s="75" t="inlineStr">
        <is>
          <t>1월 광고 집행 - E미디어</t>
        </is>
      </c>
      <c r="J183" s="75" t="inlineStr">
        <is>
          <t>V10027</t>
        </is>
      </c>
      <c r="K183" s="75" t="inlineStr">
        <is>
          <t>E미디어</t>
        </is>
      </c>
      <c r="M183" s="9">
        <f>IF($A183="","",VALUE($A183&amp;"")*12+VALUE($B183&amp;""))</f>
        <v/>
      </c>
      <c r="N183" s="39">
        <f>IF($A183="","",IFERROR(INDEX(부서매핑!$C$5:$C$504,MATCH($G183&amp;"",부서매핑!$A$5:$A$504,0)),"미매핑"))</f>
        <v/>
      </c>
      <c r="O183" s="9">
        <f>IF($A183="","",N183&amp;"|"&amp;$F183)</f>
        <v/>
      </c>
      <c r="P183" s="77">
        <f>IF($A183="",0,$H183*설정!$C$23)</f>
        <v/>
      </c>
      <c r="Q183" s="39">
        <f>IF($A183="","",IF(O183&lt;&gt;원인분석!$C$9,"",IF(AND(M183&gt;=원인분석!$C$10,M183&lt;=원인분석!$C$11),"당기",IF(AND(M183&gt;=원인분석!$C$12,M183&lt;=원인분석!$C$13),"비교",""))))</f>
        <v/>
      </c>
      <c r="R183" s="9">
        <f>IF(Q183="","",$K183&amp;"")</f>
        <v/>
      </c>
      <c r="S183" s="9">
        <f>IF(Q183="","",IF(MATCH(R183,$R$5:$R$100000,0)=ROW()-4,ROW(),""))</f>
        <v/>
      </c>
      <c r="T183" s="9">
        <f>IF(Q183="당기",ABS(P183)+ROW()/1000000000,"")</f>
        <v/>
      </c>
      <c r="U183" s="9">
        <f>IF(Q183="비교",ABS(P183)+ROW()/1000000000,"")</f>
        <v/>
      </c>
      <c r="V183" s="39">
        <f>IF($A183="","",IF(COUNTIF(변동분석!$E$7:$E$506,O183)&gt;0,"Y","N"))</f>
        <v/>
      </c>
      <c r="W183" s="39">
        <f>IF($A183="","",IFERROR(INDEX(계정매핑!$D$5:$D$504,MATCH($F183&amp;"",계정매핑!$A$5:$A$504,0)),"미매핑"))</f>
        <v/>
      </c>
      <c r="X183" s="9">
        <f>IF($A183="","",$F183&amp;"")</f>
        <v/>
      </c>
    </row>
    <row r="184">
      <c r="A184" s="75" t="n">
        <v>2025</v>
      </c>
      <c r="B184" s="75" t="n">
        <v>1</v>
      </c>
      <c r="C184" s="75" t="inlineStr">
        <is>
          <t>5100000180</t>
        </is>
      </c>
      <c r="D184" s="78" t="n">
        <v>45679</v>
      </c>
      <c r="E184" s="75" t="inlineStr">
        <is>
          <t>KR</t>
        </is>
      </c>
      <c r="F184" s="75" t="n">
        <v>62801000</v>
      </c>
      <c r="G184" s="75" t="n">
        <v>1301</v>
      </c>
      <c r="H184" s="76" t="n">
        <v>3241000</v>
      </c>
      <c r="I184" s="75" t="inlineStr">
        <is>
          <t>1월 사내교육 - (사내강사료)</t>
        </is>
      </c>
      <c r="J184" s="75" t="inlineStr">
        <is>
          <t>V10020</t>
        </is>
      </c>
      <c r="K184" s="75" t="inlineStr">
        <is>
          <t>(사내강사료)</t>
        </is>
      </c>
      <c r="M184" s="9">
        <f>IF($A184="","",VALUE($A184&amp;"")*12+VALUE($B184&amp;""))</f>
        <v/>
      </c>
      <c r="N184" s="39">
        <f>IF($A184="","",IFERROR(INDEX(부서매핑!$C$5:$C$504,MATCH($G184&amp;"",부서매핑!$A$5:$A$504,0)),"미매핑"))</f>
        <v/>
      </c>
      <c r="O184" s="9">
        <f>IF($A184="","",N184&amp;"|"&amp;$F184)</f>
        <v/>
      </c>
      <c r="P184" s="77">
        <f>IF($A184="",0,$H184*설정!$C$23)</f>
        <v/>
      </c>
      <c r="Q184" s="39">
        <f>IF($A184="","",IF(O184&lt;&gt;원인분석!$C$9,"",IF(AND(M184&gt;=원인분석!$C$10,M184&lt;=원인분석!$C$11),"당기",IF(AND(M184&gt;=원인분석!$C$12,M184&lt;=원인분석!$C$13),"비교",""))))</f>
        <v/>
      </c>
      <c r="R184" s="9">
        <f>IF(Q184="","",$K184&amp;"")</f>
        <v/>
      </c>
      <c r="S184" s="9">
        <f>IF(Q184="","",IF(MATCH(R184,$R$5:$R$100000,0)=ROW()-4,ROW(),""))</f>
        <v/>
      </c>
      <c r="T184" s="9">
        <f>IF(Q184="당기",ABS(P184)+ROW()/1000000000,"")</f>
        <v/>
      </c>
      <c r="U184" s="9">
        <f>IF(Q184="비교",ABS(P184)+ROW()/1000000000,"")</f>
        <v/>
      </c>
      <c r="V184" s="39">
        <f>IF($A184="","",IF(COUNTIF(변동분석!$E$7:$E$506,O184)&gt;0,"Y","N"))</f>
        <v/>
      </c>
      <c r="W184" s="39">
        <f>IF($A184="","",IFERROR(INDEX(계정매핑!$D$5:$D$504,MATCH($F184&amp;"",계정매핑!$A$5:$A$504,0)),"미매핑"))</f>
        <v/>
      </c>
      <c r="X184" s="9">
        <f>IF($A184="","",$F184&amp;"")</f>
        <v/>
      </c>
    </row>
    <row r="185">
      <c r="A185" s="75" t="n">
        <v>2025</v>
      </c>
      <c r="B185" s="75" t="n">
        <v>1</v>
      </c>
      <c r="C185" s="75" t="inlineStr">
        <is>
          <t>5100000181</t>
        </is>
      </c>
      <c r="D185" s="78" t="n">
        <v>45679</v>
      </c>
      <c r="E185" s="75" t="inlineStr">
        <is>
          <t>KR</t>
        </is>
      </c>
      <c r="F185" s="75" t="n">
        <v>62901000</v>
      </c>
      <c r="G185" s="75" t="n">
        <v>1801</v>
      </c>
      <c r="H185" s="76" t="n">
        <v>15098000</v>
      </c>
      <c r="I185" s="75" t="inlineStr">
        <is>
          <t>1월 자문 수수료 - K회계법인</t>
        </is>
      </c>
      <c r="J185" s="75" t="inlineStr">
        <is>
          <t>V10010</t>
        </is>
      </c>
      <c r="K185" s="75" t="inlineStr">
        <is>
          <t>K회계법인</t>
        </is>
      </c>
      <c r="M185" s="9">
        <f>IF($A185="","",VALUE($A185&amp;"")*12+VALUE($B185&amp;""))</f>
        <v/>
      </c>
      <c r="N185" s="39">
        <f>IF($A185="","",IFERROR(INDEX(부서매핑!$C$5:$C$504,MATCH($G185&amp;"",부서매핑!$A$5:$A$504,0)),"미매핑"))</f>
        <v/>
      </c>
      <c r="O185" s="9">
        <f>IF($A185="","",N185&amp;"|"&amp;$F185)</f>
        <v/>
      </c>
      <c r="P185" s="77">
        <f>IF($A185="",0,$H185*설정!$C$23)</f>
        <v/>
      </c>
      <c r="Q185" s="39">
        <f>IF($A185="","",IF(O185&lt;&gt;원인분석!$C$9,"",IF(AND(M185&gt;=원인분석!$C$10,M185&lt;=원인분석!$C$11),"당기",IF(AND(M185&gt;=원인분석!$C$12,M185&lt;=원인분석!$C$13),"비교",""))))</f>
        <v/>
      </c>
      <c r="R185" s="9">
        <f>IF(Q185="","",$K185&amp;"")</f>
        <v/>
      </c>
      <c r="S185" s="9">
        <f>IF(Q185="","",IF(MATCH(R185,$R$5:$R$100000,0)=ROW()-4,ROW(),""))</f>
        <v/>
      </c>
      <c r="T185" s="9">
        <f>IF(Q185="당기",ABS(P185)+ROW()/1000000000,"")</f>
        <v/>
      </c>
      <c r="U185" s="9">
        <f>IF(Q185="비교",ABS(P185)+ROW()/1000000000,"")</f>
        <v/>
      </c>
      <c r="V185" s="39">
        <f>IF($A185="","",IF(COUNTIF(변동분석!$E$7:$E$506,O185)&gt;0,"Y","N"))</f>
        <v/>
      </c>
      <c r="W185" s="39">
        <f>IF($A185="","",IFERROR(INDEX(계정매핑!$D$5:$D$504,MATCH($F185&amp;"",계정매핑!$A$5:$A$504,0)),"미매핑"))</f>
        <v/>
      </c>
      <c r="X185" s="9">
        <f>IF($A185="","",$F185&amp;"")</f>
        <v/>
      </c>
    </row>
    <row r="186">
      <c r="A186" s="75" t="n">
        <v>2025</v>
      </c>
      <c r="B186" s="75" t="n">
        <v>1</v>
      </c>
      <c r="C186" s="75" t="inlineStr">
        <is>
          <t>5100000182</t>
        </is>
      </c>
      <c r="D186" s="78" t="n">
        <v>45680</v>
      </c>
      <c r="E186" s="75" t="inlineStr">
        <is>
          <t>KR</t>
        </is>
      </c>
      <c r="F186" s="75" t="n">
        <v>62102000</v>
      </c>
      <c r="G186" s="75" t="n">
        <v>1201</v>
      </c>
      <c r="H186" s="76" t="n">
        <v>51000</v>
      </c>
      <c r="I186" s="75" t="inlineStr">
        <is>
          <t>1월 해외출장 - N호텔</t>
        </is>
      </c>
      <c r="J186" s="75" t="inlineStr">
        <is>
          <t>V10007</t>
        </is>
      </c>
      <c r="K186" s="75" t="inlineStr">
        <is>
          <t>N호텔</t>
        </is>
      </c>
      <c r="M186" s="9">
        <f>IF($A186="","",VALUE($A186&amp;"")*12+VALUE($B186&amp;""))</f>
        <v/>
      </c>
      <c r="N186" s="39">
        <f>IF($A186="","",IFERROR(INDEX(부서매핑!$C$5:$C$504,MATCH($G186&amp;"",부서매핑!$A$5:$A$504,0)),"미매핑"))</f>
        <v/>
      </c>
      <c r="O186" s="9">
        <f>IF($A186="","",N186&amp;"|"&amp;$F186)</f>
        <v/>
      </c>
      <c r="P186" s="77">
        <f>IF($A186="",0,$H186*설정!$C$23)</f>
        <v/>
      </c>
      <c r="Q186" s="39">
        <f>IF($A186="","",IF(O186&lt;&gt;원인분석!$C$9,"",IF(AND(M186&gt;=원인분석!$C$10,M186&lt;=원인분석!$C$11),"당기",IF(AND(M186&gt;=원인분석!$C$12,M186&lt;=원인분석!$C$13),"비교",""))))</f>
        <v/>
      </c>
      <c r="R186" s="9">
        <f>IF(Q186="","",$K186&amp;"")</f>
        <v/>
      </c>
      <c r="S186" s="9">
        <f>IF(Q186="","",IF(MATCH(R186,$R$5:$R$100000,0)=ROW()-4,ROW(),""))</f>
        <v/>
      </c>
      <c r="T186" s="9">
        <f>IF(Q186="당기",ABS(P186)+ROW()/1000000000,"")</f>
        <v/>
      </c>
      <c r="U186" s="9">
        <f>IF(Q186="비교",ABS(P186)+ROW()/1000000000,"")</f>
        <v/>
      </c>
      <c r="V186" s="39">
        <f>IF($A186="","",IF(COUNTIF(변동분석!$E$7:$E$506,O186)&gt;0,"Y","N"))</f>
        <v/>
      </c>
      <c r="W186" s="39">
        <f>IF($A186="","",IFERROR(INDEX(계정매핑!$D$5:$D$504,MATCH($F186&amp;"",계정매핑!$A$5:$A$504,0)),"미매핑"))</f>
        <v/>
      </c>
      <c r="X186" s="9">
        <f>IF($A186="","",$F186&amp;"")</f>
        <v/>
      </c>
    </row>
    <row r="187">
      <c r="A187" s="75" t="n">
        <v>2025</v>
      </c>
      <c r="B187" s="75" t="n">
        <v>1</v>
      </c>
      <c r="C187" s="75" t="inlineStr">
        <is>
          <t>5100000183</t>
        </is>
      </c>
      <c r="D187" s="78" t="n">
        <v>45680</v>
      </c>
      <c r="E187" s="75" t="inlineStr">
        <is>
          <t>KR</t>
        </is>
      </c>
      <c r="F187" s="75" t="n">
        <v>62201000</v>
      </c>
      <c r="G187" s="75" t="n">
        <v>1201</v>
      </c>
      <c r="H187" s="76" t="n">
        <v>105000</v>
      </c>
      <c r="I187" s="75" t="inlineStr">
        <is>
          <t>1월 통신요금 - O텔레콤</t>
        </is>
      </c>
      <c r="J187" s="75" t="inlineStr">
        <is>
          <t>V10002</t>
        </is>
      </c>
      <c r="K187" s="75" t="inlineStr">
        <is>
          <t>O텔레콤</t>
        </is>
      </c>
      <c r="M187" s="9">
        <f>IF($A187="","",VALUE($A187&amp;"")*12+VALUE($B187&amp;""))</f>
        <v/>
      </c>
      <c r="N187" s="39">
        <f>IF($A187="","",IFERROR(INDEX(부서매핑!$C$5:$C$504,MATCH($G187&amp;"",부서매핑!$A$5:$A$504,0)),"미매핑"))</f>
        <v/>
      </c>
      <c r="O187" s="9">
        <f>IF($A187="","",N187&amp;"|"&amp;$F187)</f>
        <v/>
      </c>
      <c r="P187" s="77">
        <f>IF($A187="",0,$H187*설정!$C$23)</f>
        <v/>
      </c>
      <c r="Q187" s="39">
        <f>IF($A187="","",IF(O187&lt;&gt;원인분석!$C$9,"",IF(AND(M187&gt;=원인분석!$C$10,M187&lt;=원인분석!$C$11),"당기",IF(AND(M187&gt;=원인분석!$C$12,M187&lt;=원인분석!$C$13),"비교",""))))</f>
        <v/>
      </c>
      <c r="R187" s="9">
        <f>IF(Q187="","",$K187&amp;"")</f>
        <v/>
      </c>
      <c r="S187" s="9">
        <f>IF(Q187="","",IF(MATCH(R187,$R$5:$R$100000,0)=ROW()-4,ROW(),""))</f>
        <v/>
      </c>
      <c r="T187" s="9">
        <f>IF(Q187="당기",ABS(P187)+ROW()/1000000000,"")</f>
        <v/>
      </c>
      <c r="U187" s="9">
        <f>IF(Q187="비교",ABS(P187)+ROW()/1000000000,"")</f>
        <v/>
      </c>
      <c r="V187" s="39">
        <f>IF($A187="","",IF(COUNTIF(변동분석!$E$7:$E$506,O187)&gt;0,"Y","N"))</f>
        <v/>
      </c>
      <c r="W187" s="39">
        <f>IF($A187="","",IFERROR(INDEX(계정매핑!$D$5:$D$504,MATCH($F187&amp;"",계정매핑!$A$5:$A$504,0)),"미매핑"))</f>
        <v/>
      </c>
      <c r="X187" s="9">
        <f>IF($A187="","",$F187&amp;"")</f>
        <v/>
      </c>
    </row>
    <row r="188">
      <c r="A188" s="75" t="n">
        <v>2025</v>
      </c>
      <c r="B188" s="75" t="n">
        <v>1</v>
      </c>
      <c r="C188" s="75" t="inlineStr">
        <is>
          <t>5100000184</t>
        </is>
      </c>
      <c r="D188" s="78" t="n">
        <v>45680</v>
      </c>
      <c r="E188" s="75" t="inlineStr">
        <is>
          <t>KR</t>
        </is>
      </c>
      <c r="F188" s="75" t="n">
        <v>62301000</v>
      </c>
      <c r="G188" s="75" t="n">
        <v>1502</v>
      </c>
      <c r="H188" s="76" t="n">
        <v>349000</v>
      </c>
      <c r="I188" s="75" t="inlineStr">
        <is>
          <t>1월 소모품 구입 - Q오피스</t>
        </is>
      </c>
      <c r="J188" s="75" t="inlineStr">
        <is>
          <t>V10003</t>
        </is>
      </c>
      <c r="K188" s="75" t="inlineStr">
        <is>
          <t>Q오피스</t>
        </is>
      </c>
      <c r="M188" s="9">
        <f>IF($A188="","",VALUE($A188&amp;"")*12+VALUE($B188&amp;""))</f>
        <v/>
      </c>
      <c r="N188" s="39">
        <f>IF($A188="","",IFERROR(INDEX(부서매핑!$C$5:$C$504,MATCH($G188&amp;"",부서매핑!$A$5:$A$504,0)),"미매핑"))</f>
        <v/>
      </c>
      <c r="O188" s="9">
        <f>IF($A188="","",N188&amp;"|"&amp;$F188)</f>
        <v/>
      </c>
      <c r="P188" s="77">
        <f>IF($A188="",0,$H188*설정!$C$23)</f>
        <v/>
      </c>
      <c r="Q188" s="39">
        <f>IF($A188="","",IF(O188&lt;&gt;원인분석!$C$9,"",IF(AND(M188&gt;=원인분석!$C$10,M188&lt;=원인분석!$C$11),"당기",IF(AND(M188&gt;=원인분석!$C$12,M188&lt;=원인분석!$C$13),"비교",""))))</f>
        <v/>
      </c>
      <c r="R188" s="9">
        <f>IF(Q188="","",$K188&amp;"")</f>
        <v/>
      </c>
      <c r="S188" s="9">
        <f>IF(Q188="","",IF(MATCH(R188,$R$5:$R$100000,0)=ROW()-4,ROW(),""))</f>
        <v/>
      </c>
      <c r="T188" s="9">
        <f>IF(Q188="당기",ABS(P188)+ROW()/1000000000,"")</f>
        <v/>
      </c>
      <c r="U188" s="9">
        <f>IF(Q188="비교",ABS(P188)+ROW()/1000000000,"")</f>
        <v/>
      </c>
      <c r="V188" s="39">
        <f>IF($A188="","",IF(COUNTIF(변동분석!$E$7:$E$506,O188)&gt;0,"Y","N"))</f>
        <v/>
      </c>
      <c r="W188" s="39">
        <f>IF($A188="","",IFERROR(INDEX(계정매핑!$D$5:$D$504,MATCH($F188&amp;"",계정매핑!$A$5:$A$504,0)),"미매핑"))</f>
        <v/>
      </c>
      <c r="X188" s="9">
        <f>IF($A188="","",$F188&amp;"")</f>
        <v/>
      </c>
    </row>
    <row r="189">
      <c r="A189" s="75" t="n">
        <v>2025</v>
      </c>
      <c r="B189" s="75" t="n">
        <v>1</v>
      </c>
      <c r="C189" s="75" t="inlineStr">
        <is>
          <t>5100000185</t>
        </is>
      </c>
      <c r="D189" s="78" t="n">
        <v>45680</v>
      </c>
      <c r="E189" s="75" t="inlineStr">
        <is>
          <t>KR</t>
        </is>
      </c>
      <c r="F189" s="75" t="n">
        <v>62501000</v>
      </c>
      <c r="G189" s="75" t="n">
        <v>1101</v>
      </c>
      <c r="H189" s="76" t="n">
        <v>261000</v>
      </c>
      <c r="I189" s="75" t="inlineStr">
        <is>
          <t>1월 회의 다과 - T케이터링</t>
        </is>
      </c>
      <c r="J189" s="75" t="inlineStr">
        <is>
          <t>V10005</t>
        </is>
      </c>
      <c r="K189" s="75" t="inlineStr">
        <is>
          <t>T케이터링</t>
        </is>
      </c>
      <c r="M189" s="9">
        <f>IF($A189="","",VALUE($A189&amp;"")*12+VALUE($B189&amp;""))</f>
        <v/>
      </c>
      <c r="N189" s="39">
        <f>IF($A189="","",IFERROR(INDEX(부서매핑!$C$5:$C$504,MATCH($G189&amp;"",부서매핑!$A$5:$A$504,0)),"미매핑"))</f>
        <v/>
      </c>
      <c r="O189" s="9">
        <f>IF($A189="","",N189&amp;"|"&amp;$F189)</f>
        <v/>
      </c>
      <c r="P189" s="77">
        <f>IF($A189="",0,$H189*설정!$C$23)</f>
        <v/>
      </c>
      <c r="Q189" s="39">
        <f>IF($A189="","",IF(O189&lt;&gt;원인분석!$C$9,"",IF(AND(M189&gt;=원인분석!$C$10,M189&lt;=원인분석!$C$11),"당기",IF(AND(M189&gt;=원인분석!$C$12,M189&lt;=원인분석!$C$13),"비교",""))))</f>
        <v/>
      </c>
      <c r="R189" s="9">
        <f>IF(Q189="","",$K189&amp;"")</f>
        <v/>
      </c>
      <c r="S189" s="9">
        <f>IF(Q189="","",IF(MATCH(R189,$R$5:$R$100000,0)=ROW()-4,ROW(),""))</f>
        <v/>
      </c>
      <c r="T189" s="9">
        <f>IF(Q189="당기",ABS(P189)+ROW()/1000000000,"")</f>
        <v/>
      </c>
      <c r="U189" s="9">
        <f>IF(Q189="비교",ABS(P189)+ROW()/1000000000,"")</f>
        <v/>
      </c>
      <c r="V189" s="39">
        <f>IF($A189="","",IF(COUNTIF(변동분석!$E$7:$E$506,O189)&gt;0,"Y","N"))</f>
        <v/>
      </c>
      <c r="W189" s="39">
        <f>IF($A189="","",IFERROR(INDEX(계정매핑!$D$5:$D$504,MATCH($F189&amp;"",계정매핑!$A$5:$A$504,0)),"미매핑"))</f>
        <v/>
      </c>
      <c r="X189" s="9">
        <f>IF($A189="","",$F189&amp;"")</f>
        <v/>
      </c>
    </row>
    <row r="190">
      <c r="A190" s="75" t="n">
        <v>2025</v>
      </c>
      <c r="B190" s="75" t="n">
        <v>1</v>
      </c>
      <c r="C190" s="75" t="inlineStr">
        <is>
          <t>5100000186</t>
        </is>
      </c>
      <c r="D190" s="78" t="n">
        <v>45681</v>
      </c>
      <c r="E190" s="75" t="inlineStr">
        <is>
          <t>KR</t>
        </is>
      </c>
      <c r="F190" s="75" t="n">
        <v>62101000</v>
      </c>
      <c r="G190" s="75" t="n">
        <v>1101</v>
      </c>
      <c r="H190" s="76" t="n">
        <v>558000</v>
      </c>
      <c r="I190" s="75" t="inlineStr">
        <is>
          <t>1월 국내출장 - M항공</t>
        </is>
      </c>
      <c r="J190" s="75" t="inlineStr">
        <is>
          <t>V10001</t>
        </is>
      </c>
      <c r="K190" s="75" t="inlineStr">
        <is>
          <t>M항공</t>
        </is>
      </c>
      <c r="M190" s="9">
        <f>IF($A190="","",VALUE($A190&amp;"")*12+VALUE($B190&amp;""))</f>
        <v/>
      </c>
      <c r="N190" s="39">
        <f>IF($A190="","",IFERROR(INDEX(부서매핑!$C$5:$C$504,MATCH($G190&amp;"",부서매핑!$A$5:$A$504,0)),"미매핑"))</f>
        <v/>
      </c>
      <c r="O190" s="9">
        <f>IF($A190="","",N190&amp;"|"&amp;$F190)</f>
        <v/>
      </c>
      <c r="P190" s="77">
        <f>IF($A190="",0,$H190*설정!$C$23)</f>
        <v/>
      </c>
      <c r="Q190" s="39">
        <f>IF($A190="","",IF(O190&lt;&gt;원인분석!$C$9,"",IF(AND(M190&gt;=원인분석!$C$10,M190&lt;=원인분석!$C$11),"당기",IF(AND(M190&gt;=원인분석!$C$12,M190&lt;=원인분석!$C$13),"비교",""))))</f>
        <v/>
      </c>
      <c r="R190" s="9">
        <f>IF(Q190="","",$K190&amp;"")</f>
        <v/>
      </c>
      <c r="S190" s="9">
        <f>IF(Q190="","",IF(MATCH(R190,$R$5:$R$100000,0)=ROW()-4,ROW(),""))</f>
        <v/>
      </c>
      <c r="T190" s="9">
        <f>IF(Q190="당기",ABS(P190)+ROW()/1000000000,"")</f>
        <v/>
      </c>
      <c r="U190" s="9">
        <f>IF(Q190="비교",ABS(P190)+ROW()/1000000000,"")</f>
        <v/>
      </c>
      <c r="V190" s="39">
        <f>IF($A190="","",IF(COUNTIF(변동분석!$E$7:$E$506,O190)&gt;0,"Y","N"))</f>
        <v/>
      </c>
      <c r="W190" s="39">
        <f>IF($A190="","",IFERROR(INDEX(계정매핑!$D$5:$D$504,MATCH($F190&amp;"",계정매핑!$A$5:$A$504,0)),"미매핑"))</f>
        <v/>
      </c>
      <c r="X190" s="9">
        <f>IF($A190="","",$F190&amp;"")</f>
        <v/>
      </c>
    </row>
    <row r="191">
      <c r="A191" s="75" t="n">
        <v>2025</v>
      </c>
      <c r="B191" s="75" t="n">
        <v>1</v>
      </c>
      <c r="C191" s="75" t="inlineStr">
        <is>
          <t>5100000187</t>
        </is>
      </c>
      <c r="D191" s="78" t="n">
        <v>45681</v>
      </c>
      <c r="E191" s="75" t="inlineStr">
        <is>
          <t>KR</t>
        </is>
      </c>
      <c r="F191" s="75" t="n">
        <v>62301000</v>
      </c>
      <c r="G191" s="75" t="n">
        <v>1101</v>
      </c>
      <c r="H191" s="76" t="n">
        <v>125000</v>
      </c>
      <c r="I191" s="75" t="inlineStr">
        <is>
          <t>1월 소모품 구입 - R문구</t>
        </is>
      </c>
      <c r="J191" s="75" t="inlineStr">
        <is>
          <t>V10018</t>
        </is>
      </c>
      <c r="K191" s="75" t="inlineStr">
        <is>
          <t>R문구</t>
        </is>
      </c>
      <c r="M191" s="9">
        <f>IF($A191="","",VALUE($A191&amp;"")*12+VALUE($B191&amp;""))</f>
        <v/>
      </c>
      <c r="N191" s="39">
        <f>IF($A191="","",IFERROR(INDEX(부서매핑!$C$5:$C$504,MATCH($G191&amp;"",부서매핑!$A$5:$A$504,0)),"미매핑"))</f>
        <v/>
      </c>
      <c r="O191" s="9">
        <f>IF($A191="","",N191&amp;"|"&amp;$F191)</f>
        <v/>
      </c>
      <c r="P191" s="77">
        <f>IF($A191="",0,$H191*설정!$C$23)</f>
        <v/>
      </c>
      <c r="Q191" s="39">
        <f>IF($A191="","",IF(O191&lt;&gt;원인분석!$C$9,"",IF(AND(M191&gt;=원인분석!$C$10,M191&lt;=원인분석!$C$11),"당기",IF(AND(M191&gt;=원인분석!$C$12,M191&lt;=원인분석!$C$13),"비교",""))))</f>
        <v/>
      </c>
      <c r="R191" s="9">
        <f>IF(Q191="","",$K191&amp;"")</f>
        <v/>
      </c>
      <c r="S191" s="9">
        <f>IF(Q191="","",IF(MATCH(R191,$R$5:$R$100000,0)=ROW()-4,ROW(),""))</f>
        <v/>
      </c>
      <c r="T191" s="9">
        <f>IF(Q191="당기",ABS(P191)+ROW()/1000000000,"")</f>
        <v/>
      </c>
      <c r="U191" s="9">
        <f>IF(Q191="비교",ABS(P191)+ROW()/1000000000,"")</f>
        <v/>
      </c>
      <c r="V191" s="39">
        <f>IF($A191="","",IF(COUNTIF(변동분석!$E$7:$E$506,O191)&gt;0,"Y","N"))</f>
        <v/>
      </c>
      <c r="W191" s="39">
        <f>IF($A191="","",IFERROR(INDEX(계정매핑!$D$5:$D$504,MATCH($F191&amp;"",계정매핑!$A$5:$A$504,0)),"미매핑"))</f>
        <v/>
      </c>
      <c r="X191" s="9">
        <f>IF($A191="","",$F191&amp;"")</f>
        <v/>
      </c>
    </row>
    <row r="192">
      <c r="A192" s="75" t="n">
        <v>2025</v>
      </c>
      <c r="B192" s="75" t="n">
        <v>1</v>
      </c>
      <c r="C192" s="75" t="inlineStr">
        <is>
          <t>5100000188</t>
        </is>
      </c>
      <c r="D192" s="78" t="n">
        <v>45681</v>
      </c>
      <c r="E192" s="75" t="inlineStr">
        <is>
          <t>KR</t>
        </is>
      </c>
      <c r="F192" s="75" t="n">
        <v>62501000</v>
      </c>
      <c r="G192" s="75" t="n">
        <v>1701</v>
      </c>
      <c r="H192" s="76" t="n">
        <v>111000</v>
      </c>
      <c r="I192" s="75" t="inlineStr">
        <is>
          <t>1월 회의 다과 - (법인카드)</t>
        </is>
      </c>
      <c r="J192" s="75" t="inlineStr">
        <is>
          <t>V10008</t>
        </is>
      </c>
      <c r="K192" s="75" t="inlineStr">
        <is>
          <t>(법인카드)</t>
        </is>
      </c>
      <c r="M192" s="9">
        <f>IF($A192="","",VALUE($A192&amp;"")*12+VALUE($B192&amp;""))</f>
        <v/>
      </c>
      <c r="N192" s="39">
        <f>IF($A192="","",IFERROR(INDEX(부서매핑!$C$5:$C$504,MATCH($G192&amp;"",부서매핑!$A$5:$A$504,0)),"미매핑"))</f>
        <v/>
      </c>
      <c r="O192" s="9">
        <f>IF($A192="","",N192&amp;"|"&amp;$F192)</f>
        <v/>
      </c>
      <c r="P192" s="77">
        <f>IF($A192="",0,$H192*설정!$C$23)</f>
        <v/>
      </c>
      <c r="Q192" s="39">
        <f>IF($A192="","",IF(O192&lt;&gt;원인분석!$C$9,"",IF(AND(M192&gt;=원인분석!$C$10,M192&lt;=원인분석!$C$11),"당기",IF(AND(M192&gt;=원인분석!$C$12,M192&lt;=원인분석!$C$13),"비교",""))))</f>
        <v/>
      </c>
      <c r="R192" s="9">
        <f>IF(Q192="","",$K192&amp;"")</f>
        <v/>
      </c>
      <c r="S192" s="9">
        <f>IF(Q192="","",IF(MATCH(R192,$R$5:$R$100000,0)=ROW()-4,ROW(),""))</f>
        <v/>
      </c>
      <c r="T192" s="9">
        <f>IF(Q192="당기",ABS(P192)+ROW()/1000000000,"")</f>
        <v/>
      </c>
      <c r="U192" s="9">
        <f>IF(Q192="비교",ABS(P192)+ROW()/1000000000,"")</f>
        <v/>
      </c>
      <c r="V192" s="39">
        <f>IF($A192="","",IF(COUNTIF(변동분석!$E$7:$E$506,O192)&gt;0,"Y","N"))</f>
        <v/>
      </c>
      <c r="W192" s="39">
        <f>IF($A192="","",IFERROR(INDEX(계정매핑!$D$5:$D$504,MATCH($F192&amp;"",계정매핑!$A$5:$A$504,0)),"미매핑"))</f>
        <v/>
      </c>
      <c r="X192" s="9">
        <f>IF($A192="","",$F192&amp;"")</f>
        <v/>
      </c>
    </row>
    <row r="193">
      <c r="A193" s="75" t="n">
        <v>2025</v>
      </c>
      <c r="B193" s="75" t="n">
        <v>1</v>
      </c>
      <c r="C193" s="75" t="inlineStr">
        <is>
          <t>5100000189</t>
        </is>
      </c>
      <c r="D193" s="78" t="n">
        <v>45681</v>
      </c>
      <c r="E193" s="75" t="inlineStr">
        <is>
          <t>KR</t>
        </is>
      </c>
      <c r="F193" s="75" t="n">
        <v>62501000</v>
      </c>
      <c r="G193" s="75" t="n">
        <v>1801</v>
      </c>
      <c r="H193" s="76" t="n">
        <v>233000</v>
      </c>
      <c r="I193" s="75" t="inlineStr">
        <is>
          <t>1월 회의 다과 - T케이터링</t>
        </is>
      </c>
      <c r="J193" s="75" t="inlineStr">
        <is>
          <t>V10005</t>
        </is>
      </c>
      <c r="K193" s="75" t="inlineStr">
        <is>
          <t>T케이터링</t>
        </is>
      </c>
      <c r="M193" s="9">
        <f>IF($A193="","",VALUE($A193&amp;"")*12+VALUE($B193&amp;""))</f>
        <v/>
      </c>
      <c r="N193" s="39">
        <f>IF($A193="","",IFERROR(INDEX(부서매핑!$C$5:$C$504,MATCH($G193&amp;"",부서매핑!$A$5:$A$504,0)),"미매핑"))</f>
        <v/>
      </c>
      <c r="O193" s="9">
        <f>IF($A193="","",N193&amp;"|"&amp;$F193)</f>
        <v/>
      </c>
      <c r="P193" s="77">
        <f>IF($A193="",0,$H193*설정!$C$23)</f>
        <v/>
      </c>
      <c r="Q193" s="39">
        <f>IF($A193="","",IF(O193&lt;&gt;원인분석!$C$9,"",IF(AND(M193&gt;=원인분석!$C$10,M193&lt;=원인분석!$C$11),"당기",IF(AND(M193&gt;=원인분석!$C$12,M193&lt;=원인분석!$C$13),"비교",""))))</f>
        <v/>
      </c>
      <c r="R193" s="9">
        <f>IF(Q193="","",$K193&amp;"")</f>
        <v/>
      </c>
      <c r="S193" s="9">
        <f>IF(Q193="","",IF(MATCH(R193,$R$5:$R$100000,0)=ROW()-4,ROW(),""))</f>
        <v/>
      </c>
      <c r="T193" s="9">
        <f>IF(Q193="당기",ABS(P193)+ROW()/1000000000,"")</f>
        <v/>
      </c>
      <c r="U193" s="9">
        <f>IF(Q193="비교",ABS(P193)+ROW()/1000000000,"")</f>
        <v/>
      </c>
      <c r="V193" s="39">
        <f>IF($A193="","",IF(COUNTIF(변동분석!$E$7:$E$506,O193)&gt;0,"Y","N"))</f>
        <v/>
      </c>
      <c r="W193" s="39">
        <f>IF($A193="","",IFERROR(INDEX(계정매핑!$D$5:$D$504,MATCH($F193&amp;"",계정매핑!$A$5:$A$504,0)),"미매핑"))</f>
        <v/>
      </c>
      <c r="X193" s="9">
        <f>IF($A193="","",$F193&amp;"")</f>
        <v/>
      </c>
    </row>
    <row r="194">
      <c r="A194" s="75" t="n">
        <v>2025</v>
      </c>
      <c r="B194" s="75" t="n">
        <v>1</v>
      </c>
      <c r="C194" s="75" t="inlineStr">
        <is>
          <t>5100000190</t>
        </is>
      </c>
      <c r="D194" s="78" t="n">
        <v>45682</v>
      </c>
      <c r="E194" s="75" t="inlineStr">
        <is>
          <t>KR</t>
        </is>
      </c>
      <c r="F194" s="75" t="n">
        <v>62101000</v>
      </c>
      <c r="G194" s="75" t="n">
        <v>1201</v>
      </c>
      <c r="H194" s="76" t="n">
        <v>298000</v>
      </c>
      <c r="I194" s="75" t="inlineStr">
        <is>
          <t>1월 국내출장 - (법인카드)</t>
        </is>
      </c>
      <c r="J194" s="75" t="inlineStr">
        <is>
          <t>V10008</t>
        </is>
      </c>
      <c r="K194" s="75" t="inlineStr">
        <is>
          <t>(법인카드)</t>
        </is>
      </c>
      <c r="M194" s="9">
        <f>IF($A194="","",VALUE($A194&amp;"")*12+VALUE($B194&amp;""))</f>
        <v/>
      </c>
      <c r="N194" s="39">
        <f>IF($A194="","",IFERROR(INDEX(부서매핑!$C$5:$C$504,MATCH($G194&amp;"",부서매핑!$A$5:$A$504,0)),"미매핑"))</f>
        <v/>
      </c>
      <c r="O194" s="9">
        <f>IF($A194="","",N194&amp;"|"&amp;$F194)</f>
        <v/>
      </c>
      <c r="P194" s="77">
        <f>IF($A194="",0,$H194*설정!$C$23)</f>
        <v/>
      </c>
      <c r="Q194" s="39">
        <f>IF($A194="","",IF(O194&lt;&gt;원인분석!$C$9,"",IF(AND(M194&gt;=원인분석!$C$10,M194&lt;=원인분석!$C$11),"당기",IF(AND(M194&gt;=원인분석!$C$12,M194&lt;=원인분석!$C$13),"비교",""))))</f>
        <v/>
      </c>
      <c r="R194" s="9">
        <f>IF(Q194="","",$K194&amp;"")</f>
        <v/>
      </c>
      <c r="S194" s="9">
        <f>IF(Q194="","",IF(MATCH(R194,$R$5:$R$100000,0)=ROW()-4,ROW(),""))</f>
        <v/>
      </c>
      <c r="T194" s="9">
        <f>IF(Q194="당기",ABS(P194)+ROW()/1000000000,"")</f>
        <v/>
      </c>
      <c r="U194" s="9">
        <f>IF(Q194="비교",ABS(P194)+ROW()/1000000000,"")</f>
        <v/>
      </c>
      <c r="V194" s="39">
        <f>IF($A194="","",IF(COUNTIF(변동분석!$E$7:$E$506,O194)&gt;0,"Y","N"))</f>
        <v/>
      </c>
      <c r="W194" s="39">
        <f>IF($A194="","",IFERROR(INDEX(계정매핑!$D$5:$D$504,MATCH($F194&amp;"",계정매핑!$A$5:$A$504,0)),"미매핑"))</f>
        <v/>
      </c>
      <c r="X194" s="9">
        <f>IF($A194="","",$F194&amp;"")</f>
        <v/>
      </c>
    </row>
    <row r="195">
      <c r="A195" s="75" t="n">
        <v>2025</v>
      </c>
      <c r="B195" s="75" t="n">
        <v>1</v>
      </c>
      <c r="C195" s="75" t="inlineStr">
        <is>
          <t>5100000191</t>
        </is>
      </c>
      <c r="D195" s="78" t="n">
        <v>45682</v>
      </c>
      <c r="E195" s="75" t="inlineStr">
        <is>
          <t>KR</t>
        </is>
      </c>
      <c r="F195" s="75" t="n">
        <v>62101000</v>
      </c>
      <c r="G195" s="75" t="n">
        <v>1801</v>
      </c>
      <c r="H195" s="76" t="n">
        <v>200000</v>
      </c>
      <c r="I195" s="75" t="inlineStr">
        <is>
          <t>1월 국내출장 - M항공</t>
        </is>
      </c>
      <c r="J195" s="75" t="inlineStr">
        <is>
          <t>V10001</t>
        </is>
      </c>
      <c r="K195" s="75" t="inlineStr">
        <is>
          <t>M항공</t>
        </is>
      </c>
      <c r="M195" s="9">
        <f>IF($A195="","",VALUE($A195&amp;"")*12+VALUE($B195&amp;""))</f>
        <v/>
      </c>
      <c r="N195" s="39">
        <f>IF($A195="","",IFERROR(INDEX(부서매핑!$C$5:$C$504,MATCH($G195&amp;"",부서매핑!$A$5:$A$504,0)),"미매핑"))</f>
        <v/>
      </c>
      <c r="O195" s="9">
        <f>IF($A195="","",N195&amp;"|"&amp;$F195)</f>
        <v/>
      </c>
      <c r="P195" s="77">
        <f>IF($A195="",0,$H195*설정!$C$23)</f>
        <v/>
      </c>
      <c r="Q195" s="39">
        <f>IF($A195="","",IF(O195&lt;&gt;원인분석!$C$9,"",IF(AND(M195&gt;=원인분석!$C$10,M195&lt;=원인분석!$C$11),"당기",IF(AND(M195&gt;=원인분석!$C$12,M195&lt;=원인분석!$C$13),"비교",""))))</f>
        <v/>
      </c>
      <c r="R195" s="9">
        <f>IF(Q195="","",$K195&amp;"")</f>
        <v/>
      </c>
      <c r="S195" s="9">
        <f>IF(Q195="","",IF(MATCH(R195,$R$5:$R$100000,0)=ROW()-4,ROW(),""))</f>
        <v/>
      </c>
      <c r="T195" s="9">
        <f>IF(Q195="당기",ABS(P195)+ROW()/1000000000,"")</f>
        <v/>
      </c>
      <c r="U195" s="9">
        <f>IF(Q195="비교",ABS(P195)+ROW()/1000000000,"")</f>
        <v/>
      </c>
      <c r="V195" s="39">
        <f>IF($A195="","",IF(COUNTIF(변동분석!$E$7:$E$506,O195)&gt;0,"Y","N"))</f>
        <v/>
      </c>
      <c r="W195" s="39">
        <f>IF($A195="","",IFERROR(INDEX(계정매핑!$D$5:$D$504,MATCH($F195&amp;"",계정매핑!$A$5:$A$504,0)),"미매핑"))</f>
        <v/>
      </c>
      <c r="X195" s="9">
        <f>IF($A195="","",$F195&amp;"")</f>
        <v/>
      </c>
    </row>
    <row r="196">
      <c r="A196" s="75" t="n">
        <v>2025</v>
      </c>
      <c r="B196" s="75" t="n">
        <v>1</v>
      </c>
      <c r="C196" s="75" t="inlineStr">
        <is>
          <t>5100000192</t>
        </is>
      </c>
      <c r="D196" s="78" t="n">
        <v>45682</v>
      </c>
      <c r="E196" s="75" t="inlineStr">
        <is>
          <t>KR</t>
        </is>
      </c>
      <c r="F196" s="75" t="n">
        <v>62501000</v>
      </c>
      <c r="G196" s="75" t="n">
        <v>1501</v>
      </c>
      <c r="H196" s="76" t="n">
        <v>560000</v>
      </c>
      <c r="I196" s="75" t="inlineStr">
        <is>
          <t>1월 회의 다과 - (법인카드)</t>
        </is>
      </c>
      <c r="J196" s="75" t="inlineStr">
        <is>
          <t>V10008</t>
        </is>
      </c>
      <c r="K196" s="75" t="inlineStr">
        <is>
          <t>(법인카드)</t>
        </is>
      </c>
      <c r="M196" s="9">
        <f>IF($A196="","",VALUE($A196&amp;"")*12+VALUE($B196&amp;""))</f>
        <v/>
      </c>
      <c r="N196" s="39">
        <f>IF($A196="","",IFERROR(INDEX(부서매핑!$C$5:$C$504,MATCH($G196&amp;"",부서매핑!$A$5:$A$504,0)),"미매핑"))</f>
        <v/>
      </c>
      <c r="O196" s="9">
        <f>IF($A196="","",N196&amp;"|"&amp;$F196)</f>
        <v/>
      </c>
      <c r="P196" s="77">
        <f>IF($A196="",0,$H196*설정!$C$23)</f>
        <v/>
      </c>
      <c r="Q196" s="39">
        <f>IF($A196="","",IF(O196&lt;&gt;원인분석!$C$9,"",IF(AND(M196&gt;=원인분석!$C$10,M196&lt;=원인분석!$C$11),"당기",IF(AND(M196&gt;=원인분석!$C$12,M196&lt;=원인분석!$C$13),"비교",""))))</f>
        <v/>
      </c>
      <c r="R196" s="9">
        <f>IF(Q196="","",$K196&amp;"")</f>
        <v/>
      </c>
      <c r="S196" s="9">
        <f>IF(Q196="","",IF(MATCH(R196,$R$5:$R$100000,0)=ROW()-4,ROW(),""))</f>
        <v/>
      </c>
      <c r="T196" s="9">
        <f>IF(Q196="당기",ABS(P196)+ROW()/1000000000,"")</f>
        <v/>
      </c>
      <c r="U196" s="9">
        <f>IF(Q196="비교",ABS(P196)+ROW()/1000000000,"")</f>
        <v/>
      </c>
      <c r="V196" s="39">
        <f>IF($A196="","",IF(COUNTIF(변동분석!$E$7:$E$506,O196)&gt;0,"Y","N"))</f>
        <v/>
      </c>
      <c r="W196" s="39">
        <f>IF($A196="","",IFERROR(INDEX(계정매핑!$D$5:$D$504,MATCH($F196&amp;"",계정매핑!$A$5:$A$504,0)),"미매핑"))</f>
        <v/>
      </c>
      <c r="X196" s="9">
        <f>IF($A196="","",$F196&amp;"")</f>
        <v/>
      </c>
    </row>
    <row r="197">
      <c r="A197" s="75" t="n">
        <v>2025</v>
      </c>
      <c r="B197" s="75" t="n">
        <v>1</v>
      </c>
      <c r="C197" s="75" t="inlineStr">
        <is>
          <t>5100000193</t>
        </is>
      </c>
      <c r="D197" s="78" t="n">
        <v>45682</v>
      </c>
      <c r="E197" s="75" t="inlineStr">
        <is>
          <t>KR</t>
        </is>
      </c>
      <c r="F197" s="75" t="n">
        <v>62501000</v>
      </c>
      <c r="G197" s="75" t="n">
        <v>1602</v>
      </c>
      <c r="H197" s="76" t="n">
        <v>375000</v>
      </c>
      <c r="I197" s="75" t="inlineStr">
        <is>
          <t>1월 회의 다과 - T케이터링</t>
        </is>
      </c>
      <c r="J197" s="75" t="inlineStr">
        <is>
          <t>V10005</t>
        </is>
      </c>
      <c r="K197" s="75" t="inlineStr">
        <is>
          <t>T케이터링</t>
        </is>
      </c>
      <c r="M197" s="9">
        <f>IF($A197="","",VALUE($A197&amp;"")*12+VALUE($B197&amp;""))</f>
        <v/>
      </c>
      <c r="N197" s="39">
        <f>IF($A197="","",IFERROR(INDEX(부서매핑!$C$5:$C$504,MATCH($G197&amp;"",부서매핑!$A$5:$A$504,0)),"미매핑"))</f>
        <v/>
      </c>
      <c r="O197" s="9">
        <f>IF($A197="","",N197&amp;"|"&amp;$F197)</f>
        <v/>
      </c>
      <c r="P197" s="77">
        <f>IF($A197="",0,$H197*설정!$C$23)</f>
        <v/>
      </c>
      <c r="Q197" s="39">
        <f>IF($A197="","",IF(O197&lt;&gt;원인분석!$C$9,"",IF(AND(M197&gt;=원인분석!$C$10,M197&lt;=원인분석!$C$11),"당기",IF(AND(M197&gt;=원인분석!$C$12,M197&lt;=원인분석!$C$13),"비교",""))))</f>
        <v/>
      </c>
      <c r="R197" s="9">
        <f>IF(Q197="","",$K197&amp;"")</f>
        <v/>
      </c>
      <c r="S197" s="9">
        <f>IF(Q197="","",IF(MATCH(R197,$R$5:$R$100000,0)=ROW()-4,ROW(),""))</f>
        <v/>
      </c>
      <c r="T197" s="9">
        <f>IF(Q197="당기",ABS(P197)+ROW()/1000000000,"")</f>
        <v/>
      </c>
      <c r="U197" s="9">
        <f>IF(Q197="비교",ABS(P197)+ROW()/1000000000,"")</f>
        <v/>
      </c>
      <c r="V197" s="39">
        <f>IF($A197="","",IF(COUNTIF(변동분석!$E$7:$E$506,O197)&gt;0,"Y","N"))</f>
        <v/>
      </c>
      <c r="W197" s="39">
        <f>IF($A197="","",IFERROR(INDEX(계정매핑!$D$5:$D$504,MATCH($F197&amp;"",계정매핑!$A$5:$A$504,0)),"미매핑"))</f>
        <v/>
      </c>
      <c r="X197" s="9">
        <f>IF($A197="","",$F197&amp;"")</f>
        <v/>
      </c>
    </row>
    <row r="198">
      <c r="A198" s="75" t="n">
        <v>2025</v>
      </c>
      <c r="B198" s="75" t="n">
        <v>1</v>
      </c>
      <c r="C198" s="75" t="inlineStr">
        <is>
          <t>5100000194</t>
        </is>
      </c>
      <c r="D198" s="78" t="n">
        <v>45682</v>
      </c>
      <c r="E198" s="75" t="inlineStr">
        <is>
          <t>KR</t>
        </is>
      </c>
      <c r="F198" s="75" t="n">
        <v>62501000</v>
      </c>
      <c r="G198" s="75" t="n">
        <v>1701</v>
      </c>
      <c r="H198" s="76" t="n">
        <v>157000</v>
      </c>
      <c r="I198" s="75" t="inlineStr">
        <is>
          <t>1월 회의 다과 - (법인카드)</t>
        </is>
      </c>
      <c r="J198" s="75" t="inlineStr">
        <is>
          <t>V10008</t>
        </is>
      </c>
      <c r="K198" s="75" t="inlineStr">
        <is>
          <t>(법인카드)</t>
        </is>
      </c>
      <c r="M198" s="9">
        <f>IF($A198="","",VALUE($A198&amp;"")*12+VALUE($B198&amp;""))</f>
        <v/>
      </c>
      <c r="N198" s="39">
        <f>IF($A198="","",IFERROR(INDEX(부서매핑!$C$5:$C$504,MATCH($G198&amp;"",부서매핑!$A$5:$A$504,0)),"미매핑"))</f>
        <v/>
      </c>
      <c r="O198" s="9">
        <f>IF($A198="","",N198&amp;"|"&amp;$F198)</f>
        <v/>
      </c>
      <c r="P198" s="77">
        <f>IF($A198="",0,$H198*설정!$C$23)</f>
        <v/>
      </c>
      <c r="Q198" s="39">
        <f>IF($A198="","",IF(O198&lt;&gt;원인분석!$C$9,"",IF(AND(M198&gt;=원인분석!$C$10,M198&lt;=원인분석!$C$11),"당기",IF(AND(M198&gt;=원인분석!$C$12,M198&lt;=원인분석!$C$13),"비교",""))))</f>
        <v/>
      </c>
      <c r="R198" s="9">
        <f>IF(Q198="","",$K198&amp;"")</f>
        <v/>
      </c>
      <c r="S198" s="9">
        <f>IF(Q198="","",IF(MATCH(R198,$R$5:$R$100000,0)=ROW()-4,ROW(),""))</f>
        <v/>
      </c>
      <c r="T198" s="9">
        <f>IF(Q198="당기",ABS(P198)+ROW()/1000000000,"")</f>
        <v/>
      </c>
      <c r="U198" s="9">
        <f>IF(Q198="비교",ABS(P198)+ROW()/1000000000,"")</f>
        <v/>
      </c>
      <c r="V198" s="39">
        <f>IF($A198="","",IF(COUNTIF(변동분석!$E$7:$E$506,O198)&gt;0,"Y","N"))</f>
        <v/>
      </c>
      <c r="W198" s="39">
        <f>IF($A198="","",IFERROR(INDEX(계정매핑!$D$5:$D$504,MATCH($F198&amp;"",계정매핑!$A$5:$A$504,0)),"미매핑"))</f>
        <v/>
      </c>
      <c r="X198" s="9">
        <f>IF($A198="","",$F198&amp;"")</f>
        <v/>
      </c>
    </row>
    <row r="199">
      <c r="A199" s="75" t="n">
        <v>2025</v>
      </c>
      <c r="B199" s="75" t="n">
        <v>1</v>
      </c>
      <c r="C199" s="75" t="inlineStr">
        <is>
          <t>5100000195</t>
        </is>
      </c>
      <c r="D199" s="78" t="n">
        <v>45682</v>
      </c>
      <c r="E199" s="75" t="inlineStr">
        <is>
          <t>KR</t>
        </is>
      </c>
      <c r="F199" s="75" t="n">
        <v>62601000</v>
      </c>
      <c r="G199" s="75" t="n">
        <v>1501</v>
      </c>
      <c r="H199" s="76" t="n">
        <v>1017000</v>
      </c>
      <c r="I199" s="75" t="inlineStr">
        <is>
          <t>1월 업무추진 - (법인카드)</t>
        </is>
      </c>
      <c r="J199" s="75" t="inlineStr">
        <is>
          <t>V10008</t>
        </is>
      </c>
      <c r="K199" s="75" t="inlineStr">
        <is>
          <t>(법인카드)</t>
        </is>
      </c>
      <c r="M199" s="9">
        <f>IF($A199="","",VALUE($A199&amp;"")*12+VALUE($B199&amp;""))</f>
        <v/>
      </c>
      <c r="N199" s="39">
        <f>IF($A199="","",IFERROR(INDEX(부서매핑!$C$5:$C$504,MATCH($G199&amp;"",부서매핑!$A$5:$A$504,0)),"미매핑"))</f>
        <v/>
      </c>
      <c r="O199" s="9">
        <f>IF($A199="","",N199&amp;"|"&amp;$F199)</f>
        <v/>
      </c>
      <c r="P199" s="77">
        <f>IF($A199="",0,$H199*설정!$C$23)</f>
        <v/>
      </c>
      <c r="Q199" s="39">
        <f>IF($A199="","",IF(O199&lt;&gt;원인분석!$C$9,"",IF(AND(M199&gt;=원인분석!$C$10,M199&lt;=원인분석!$C$11),"당기",IF(AND(M199&gt;=원인분석!$C$12,M199&lt;=원인분석!$C$13),"비교",""))))</f>
        <v/>
      </c>
      <c r="R199" s="9">
        <f>IF(Q199="","",$K199&amp;"")</f>
        <v/>
      </c>
      <c r="S199" s="9">
        <f>IF(Q199="","",IF(MATCH(R199,$R$5:$R$100000,0)=ROW()-4,ROW(),""))</f>
        <v/>
      </c>
      <c r="T199" s="9">
        <f>IF(Q199="당기",ABS(P199)+ROW()/1000000000,"")</f>
        <v/>
      </c>
      <c r="U199" s="9">
        <f>IF(Q199="비교",ABS(P199)+ROW()/1000000000,"")</f>
        <v/>
      </c>
      <c r="V199" s="39">
        <f>IF($A199="","",IF(COUNTIF(변동분석!$E$7:$E$506,O199)&gt;0,"Y","N"))</f>
        <v/>
      </c>
      <c r="W199" s="39">
        <f>IF($A199="","",IFERROR(INDEX(계정매핑!$D$5:$D$504,MATCH($F199&amp;"",계정매핑!$A$5:$A$504,0)),"미매핑"))</f>
        <v/>
      </c>
      <c r="X199" s="9">
        <f>IF($A199="","",$F199&amp;"")</f>
        <v/>
      </c>
    </row>
    <row r="200">
      <c r="A200" s="75" t="n">
        <v>2025</v>
      </c>
      <c r="B200" s="75" t="n">
        <v>1</v>
      </c>
      <c r="C200" s="75" t="inlineStr">
        <is>
          <t>5100000196</t>
        </is>
      </c>
      <c r="D200" s="78" t="n">
        <v>45682</v>
      </c>
      <c r="E200" s="75" t="inlineStr">
        <is>
          <t>KR</t>
        </is>
      </c>
      <c r="F200" s="75" t="n">
        <v>62901000</v>
      </c>
      <c r="G200" s="75" t="n">
        <v>1101</v>
      </c>
      <c r="H200" s="76" t="n">
        <v>2082000</v>
      </c>
      <c r="I200" s="75" t="inlineStr">
        <is>
          <t>1월 자문 수수료 - W컨설팅</t>
        </is>
      </c>
      <c r="J200" s="75" t="inlineStr">
        <is>
          <t>V10009</t>
        </is>
      </c>
      <c r="K200" s="75" t="inlineStr">
        <is>
          <t>W컨설팅</t>
        </is>
      </c>
      <c r="M200" s="9">
        <f>IF($A200="","",VALUE($A200&amp;"")*12+VALUE($B200&amp;""))</f>
        <v/>
      </c>
      <c r="N200" s="39">
        <f>IF($A200="","",IFERROR(INDEX(부서매핑!$C$5:$C$504,MATCH($G200&amp;"",부서매핑!$A$5:$A$504,0)),"미매핑"))</f>
        <v/>
      </c>
      <c r="O200" s="9">
        <f>IF($A200="","",N200&amp;"|"&amp;$F200)</f>
        <v/>
      </c>
      <c r="P200" s="77">
        <f>IF($A200="",0,$H200*설정!$C$23)</f>
        <v/>
      </c>
      <c r="Q200" s="39">
        <f>IF($A200="","",IF(O200&lt;&gt;원인분석!$C$9,"",IF(AND(M200&gt;=원인분석!$C$10,M200&lt;=원인분석!$C$11),"당기",IF(AND(M200&gt;=원인분석!$C$12,M200&lt;=원인분석!$C$13),"비교",""))))</f>
        <v/>
      </c>
      <c r="R200" s="9">
        <f>IF(Q200="","",$K200&amp;"")</f>
        <v/>
      </c>
      <c r="S200" s="9">
        <f>IF(Q200="","",IF(MATCH(R200,$R$5:$R$100000,0)=ROW()-4,ROW(),""))</f>
        <v/>
      </c>
      <c r="T200" s="9">
        <f>IF(Q200="당기",ABS(P200)+ROW()/1000000000,"")</f>
        <v/>
      </c>
      <c r="U200" s="9">
        <f>IF(Q200="비교",ABS(P200)+ROW()/1000000000,"")</f>
        <v/>
      </c>
      <c r="V200" s="39">
        <f>IF($A200="","",IF(COUNTIF(변동분석!$E$7:$E$506,O200)&gt;0,"Y","N"))</f>
        <v/>
      </c>
      <c r="W200" s="39">
        <f>IF($A200="","",IFERROR(INDEX(계정매핑!$D$5:$D$504,MATCH($F200&amp;"",계정매핑!$A$5:$A$504,0)),"미매핑"))</f>
        <v/>
      </c>
      <c r="X200" s="9">
        <f>IF($A200="","",$F200&amp;"")</f>
        <v/>
      </c>
    </row>
    <row r="201">
      <c r="A201" s="75" t="n">
        <v>2025</v>
      </c>
      <c r="B201" s="75" t="n">
        <v>1</v>
      </c>
      <c r="C201" s="75" t="inlineStr">
        <is>
          <t>5100000197</t>
        </is>
      </c>
      <c r="D201" s="78" t="n">
        <v>45682</v>
      </c>
      <c r="E201" s="75" t="inlineStr">
        <is>
          <t>KR</t>
        </is>
      </c>
      <c r="F201" s="75" t="n">
        <v>63002000</v>
      </c>
      <c r="G201" s="75" t="n">
        <v>1701</v>
      </c>
      <c r="H201" s="76" t="n">
        <v>64000000</v>
      </c>
      <c r="I201" s="75" t="inlineStr">
        <is>
          <t>1월 클라우드 사용료 - C클라우드</t>
        </is>
      </c>
      <c r="J201" s="75" t="inlineStr">
        <is>
          <t>V10028</t>
        </is>
      </c>
      <c r="K201" s="75" t="inlineStr">
        <is>
          <t>C클라우드</t>
        </is>
      </c>
      <c r="M201" s="9">
        <f>IF($A201="","",VALUE($A201&amp;"")*12+VALUE($B201&amp;""))</f>
        <v/>
      </c>
      <c r="N201" s="39">
        <f>IF($A201="","",IFERROR(INDEX(부서매핑!$C$5:$C$504,MATCH($G201&amp;"",부서매핑!$A$5:$A$504,0)),"미매핑"))</f>
        <v/>
      </c>
      <c r="O201" s="9">
        <f>IF($A201="","",N201&amp;"|"&amp;$F201)</f>
        <v/>
      </c>
      <c r="P201" s="77">
        <f>IF($A201="",0,$H201*설정!$C$23)</f>
        <v/>
      </c>
      <c r="Q201" s="39">
        <f>IF($A201="","",IF(O201&lt;&gt;원인분석!$C$9,"",IF(AND(M201&gt;=원인분석!$C$10,M201&lt;=원인분석!$C$11),"당기",IF(AND(M201&gt;=원인분석!$C$12,M201&lt;=원인분석!$C$13),"비교",""))))</f>
        <v/>
      </c>
      <c r="R201" s="9">
        <f>IF(Q201="","",$K201&amp;"")</f>
        <v/>
      </c>
      <c r="S201" s="9">
        <f>IF(Q201="","",IF(MATCH(R201,$R$5:$R$100000,0)=ROW()-4,ROW(),""))</f>
        <v/>
      </c>
      <c r="T201" s="9">
        <f>IF(Q201="당기",ABS(P201)+ROW()/1000000000,"")</f>
        <v/>
      </c>
      <c r="U201" s="9">
        <f>IF(Q201="비교",ABS(P201)+ROW()/1000000000,"")</f>
        <v/>
      </c>
      <c r="V201" s="39">
        <f>IF($A201="","",IF(COUNTIF(변동분석!$E$7:$E$506,O201)&gt;0,"Y","N"))</f>
        <v/>
      </c>
      <c r="W201" s="39">
        <f>IF($A201="","",IFERROR(INDEX(계정매핑!$D$5:$D$504,MATCH($F201&amp;"",계정매핑!$A$5:$A$504,0)),"미매핑"))</f>
        <v/>
      </c>
      <c r="X201" s="9">
        <f>IF($A201="","",$F201&amp;"")</f>
        <v/>
      </c>
    </row>
    <row r="202">
      <c r="A202" s="75" t="n">
        <v>2025</v>
      </c>
      <c r="B202" s="75" t="n">
        <v>1</v>
      </c>
      <c r="C202" s="75" t="inlineStr">
        <is>
          <t>5100000198</t>
        </is>
      </c>
      <c r="D202" s="78" t="n">
        <v>45683</v>
      </c>
      <c r="E202" s="75" t="inlineStr">
        <is>
          <t>KR</t>
        </is>
      </c>
      <c r="F202" s="75" t="n">
        <v>62102000</v>
      </c>
      <c r="G202" s="75" t="n">
        <v>1701</v>
      </c>
      <c r="H202" s="76" t="n">
        <v>33000</v>
      </c>
      <c r="I202" s="75" t="inlineStr">
        <is>
          <t>1월 해외출장 - N호텔</t>
        </is>
      </c>
      <c r="J202" s="75" t="inlineStr">
        <is>
          <t>V10007</t>
        </is>
      </c>
      <c r="K202" s="75" t="inlineStr">
        <is>
          <t>N호텔</t>
        </is>
      </c>
      <c r="M202" s="9">
        <f>IF($A202="","",VALUE($A202&amp;"")*12+VALUE($B202&amp;""))</f>
        <v/>
      </c>
      <c r="N202" s="39">
        <f>IF($A202="","",IFERROR(INDEX(부서매핑!$C$5:$C$504,MATCH($G202&amp;"",부서매핑!$A$5:$A$504,0)),"미매핑"))</f>
        <v/>
      </c>
      <c r="O202" s="9">
        <f>IF($A202="","",N202&amp;"|"&amp;$F202)</f>
        <v/>
      </c>
      <c r="P202" s="77">
        <f>IF($A202="",0,$H202*설정!$C$23)</f>
        <v/>
      </c>
      <c r="Q202" s="39">
        <f>IF($A202="","",IF(O202&lt;&gt;원인분석!$C$9,"",IF(AND(M202&gt;=원인분석!$C$10,M202&lt;=원인분석!$C$11),"당기",IF(AND(M202&gt;=원인분석!$C$12,M202&lt;=원인분석!$C$13),"비교",""))))</f>
        <v/>
      </c>
      <c r="R202" s="9">
        <f>IF(Q202="","",$K202&amp;"")</f>
        <v/>
      </c>
      <c r="S202" s="9">
        <f>IF(Q202="","",IF(MATCH(R202,$R$5:$R$100000,0)=ROW()-4,ROW(),""))</f>
        <v/>
      </c>
      <c r="T202" s="9">
        <f>IF(Q202="당기",ABS(P202)+ROW()/1000000000,"")</f>
        <v/>
      </c>
      <c r="U202" s="9">
        <f>IF(Q202="비교",ABS(P202)+ROW()/1000000000,"")</f>
        <v/>
      </c>
      <c r="V202" s="39">
        <f>IF($A202="","",IF(COUNTIF(변동분석!$E$7:$E$506,O202)&gt;0,"Y","N"))</f>
        <v/>
      </c>
      <c r="W202" s="39">
        <f>IF($A202="","",IFERROR(INDEX(계정매핑!$D$5:$D$504,MATCH($F202&amp;"",계정매핑!$A$5:$A$504,0)),"미매핑"))</f>
        <v/>
      </c>
      <c r="X202" s="9">
        <f>IF($A202="","",$F202&amp;"")</f>
        <v/>
      </c>
    </row>
    <row r="203">
      <c r="A203" s="75" t="n">
        <v>2025</v>
      </c>
      <c r="B203" s="75" t="n">
        <v>1</v>
      </c>
      <c r="C203" s="75" t="inlineStr">
        <is>
          <t>5100000199</t>
        </is>
      </c>
      <c r="D203" s="78" t="n">
        <v>45684</v>
      </c>
      <c r="E203" s="75" t="inlineStr">
        <is>
          <t>KR</t>
        </is>
      </c>
      <c r="F203" s="75" t="n">
        <v>62101000</v>
      </c>
      <c r="G203" s="75" t="n">
        <v>1201</v>
      </c>
      <c r="H203" s="76" t="n">
        <v>244000</v>
      </c>
      <c r="I203" s="75" t="inlineStr">
        <is>
          <t>1월 국내출장 - M항공</t>
        </is>
      </c>
      <c r="J203" s="75" t="inlineStr">
        <is>
          <t>V10001</t>
        </is>
      </c>
      <c r="K203" s="75" t="inlineStr">
        <is>
          <t>M항공</t>
        </is>
      </c>
      <c r="M203" s="9">
        <f>IF($A203="","",VALUE($A203&amp;"")*12+VALUE($B203&amp;""))</f>
        <v/>
      </c>
      <c r="N203" s="39">
        <f>IF($A203="","",IFERROR(INDEX(부서매핑!$C$5:$C$504,MATCH($G203&amp;"",부서매핑!$A$5:$A$504,0)),"미매핑"))</f>
        <v/>
      </c>
      <c r="O203" s="9">
        <f>IF($A203="","",N203&amp;"|"&amp;$F203)</f>
        <v/>
      </c>
      <c r="P203" s="77">
        <f>IF($A203="",0,$H203*설정!$C$23)</f>
        <v/>
      </c>
      <c r="Q203" s="39">
        <f>IF($A203="","",IF(O203&lt;&gt;원인분석!$C$9,"",IF(AND(M203&gt;=원인분석!$C$10,M203&lt;=원인분석!$C$11),"당기",IF(AND(M203&gt;=원인분석!$C$12,M203&lt;=원인분석!$C$13),"비교",""))))</f>
        <v/>
      </c>
      <c r="R203" s="9">
        <f>IF(Q203="","",$K203&amp;"")</f>
        <v/>
      </c>
      <c r="S203" s="9">
        <f>IF(Q203="","",IF(MATCH(R203,$R$5:$R$100000,0)=ROW()-4,ROW(),""))</f>
        <v/>
      </c>
      <c r="T203" s="9">
        <f>IF(Q203="당기",ABS(P203)+ROW()/1000000000,"")</f>
        <v/>
      </c>
      <c r="U203" s="9">
        <f>IF(Q203="비교",ABS(P203)+ROW()/1000000000,"")</f>
        <v/>
      </c>
      <c r="V203" s="39">
        <f>IF($A203="","",IF(COUNTIF(변동분석!$E$7:$E$506,O203)&gt;0,"Y","N"))</f>
        <v/>
      </c>
      <c r="W203" s="39">
        <f>IF($A203="","",IFERROR(INDEX(계정매핑!$D$5:$D$504,MATCH($F203&amp;"",계정매핑!$A$5:$A$504,0)),"미매핑"))</f>
        <v/>
      </c>
      <c r="X203" s="9">
        <f>IF($A203="","",$F203&amp;"")</f>
        <v/>
      </c>
    </row>
    <row r="204">
      <c r="A204" s="75" t="n">
        <v>2025</v>
      </c>
      <c r="B204" s="75" t="n">
        <v>1</v>
      </c>
      <c r="C204" s="75" t="inlineStr">
        <is>
          <t>5100000200</t>
        </is>
      </c>
      <c r="D204" s="78" t="n">
        <v>45684</v>
      </c>
      <c r="E204" s="75" t="inlineStr">
        <is>
          <t>KR</t>
        </is>
      </c>
      <c r="F204" s="75" t="n">
        <v>62102000</v>
      </c>
      <c r="G204" s="75" t="n">
        <v>1101</v>
      </c>
      <c r="H204" s="76" t="n">
        <v>262000</v>
      </c>
      <c r="I204" s="75" t="inlineStr">
        <is>
          <t>1월 해외출장 - M항공</t>
        </is>
      </c>
      <c r="J204" s="75" t="inlineStr">
        <is>
          <t>V10001</t>
        </is>
      </c>
      <c r="K204" s="75" t="inlineStr">
        <is>
          <t>M항공</t>
        </is>
      </c>
      <c r="M204" s="9">
        <f>IF($A204="","",VALUE($A204&amp;"")*12+VALUE($B204&amp;""))</f>
        <v/>
      </c>
      <c r="N204" s="39">
        <f>IF($A204="","",IFERROR(INDEX(부서매핑!$C$5:$C$504,MATCH($G204&amp;"",부서매핑!$A$5:$A$504,0)),"미매핑"))</f>
        <v/>
      </c>
      <c r="O204" s="9">
        <f>IF($A204="","",N204&amp;"|"&amp;$F204)</f>
        <v/>
      </c>
      <c r="P204" s="77">
        <f>IF($A204="",0,$H204*설정!$C$23)</f>
        <v/>
      </c>
      <c r="Q204" s="39">
        <f>IF($A204="","",IF(O204&lt;&gt;원인분석!$C$9,"",IF(AND(M204&gt;=원인분석!$C$10,M204&lt;=원인분석!$C$11),"당기",IF(AND(M204&gt;=원인분석!$C$12,M204&lt;=원인분석!$C$13),"비교",""))))</f>
        <v/>
      </c>
      <c r="R204" s="9">
        <f>IF(Q204="","",$K204&amp;"")</f>
        <v/>
      </c>
      <c r="S204" s="9">
        <f>IF(Q204="","",IF(MATCH(R204,$R$5:$R$100000,0)=ROW()-4,ROW(),""))</f>
        <v/>
      </c>
      <c r="T204" s="9">
        <f>IF(Q204="당기",ABS(P204)+ROW()/1000000000,"")</f>
        <v/>
      </c>
      <c r="U204" s="9">
        <f>IF(Q204="비교",ABS(P204)+ROW()/1000000000,"")</f>
        <v/>
      </c>
      <c r="V204" s="39">
        <f>IF($A204="","",IF(COUNTIF(변동분석!$E$7:$E$506,O204)&gt;0,"Y","N"))</f>
        <v/>
      </c>
      <c r="W204" s="39">
        <f>IF($A204="","",IFERROR(INDEX(계정매핑!$D$5:$D$504,MATCH($F204&amp;"",계정매핑!$A$5:$A$504,0)),"미매핑"))</f>
        <v/>
      </c>
      <c r="X204" s="9">
        <f>IF($A204="","",$F204&amp;"")</f>
        <v/>
      </c>
    </row>
    <row r="205">
      <c r="A205" s="75" t="n">
        <v>2025</v>
      </c>
      <c r="B205" s="75" t="n">
        <v>1</v>
      </c>
      <c r="C205" s="75" t="inlineStr">
        <is>
          <t>5100000201</t>
        </is>
      </c>
      <c r="D205" s="78" t="n">
        <v>45684</v>
      </c>
      <c r="E205" s="75" t="inlineStr">
        <is>
          <t>KR</t>
        </is>
      </c>
      <c r="F205" s="75" t="n">
        <v>62102000</v>
      </c>
      <c r="G205" s="75" t="n">
        <v>1201</v>
      </c>
      <c r="H205" s="76" t="n">
        <v>43000</v>
      </c>
      <c r="I205" s="75" t="inlineStr">
        <is>
          <t>1월 해외출장 - M항공</t>
        </is>
      </c>
      <c r="J205" s="75" t="inlineStr">
        <is>
          <t>V10001</t>
        </is>
      </c>
      <c r="K205" s="75" t="inlineStr">
        <is>
          <t>M항공</t>
        </is>
      </c>
      <c r="M205" s="9">
        <f>IF($A205="","",VALUE($A205&amp;"")*12+VALUE($B205&amp;""))</f>
        <v/>
      </c>
      <c r="N205" s="39">
        <f>IF($A205="","",IFERROR(INDEX(부서매핑!$C$5:$C$504,MATCH($G205&amp;"",부서매핑!$A$5:$A$504,0)),"미매핑"))</f>
        <v/>
      </c>
      <c r="O205" s="9">
        <f>IF($A205="","",N205&amp;"|"&amp;$F205)</f>
        <v/>
      </c>
      <c r="P205" s="77">
        <f>IF($A205="",0,$H205*설정!$C$23)</f>
        <v/>
      </c>
      <c r="Q205" s="39">
        <f>IF($A205="","",IF(O205&lt;&gt;원인분석!$C$9,"",IF(AND(M205&gt;=원인분석!$C$10,M205&lt;=원인분석!$C$11),"당기",IF(AND(M205&gt;=원인분석!$C$12,M205&lt;=원인분석!$C$13),"비교",""))))</f>
        <v/>
      </c>
      <c r="R205" s="9">
        <f>IF(Q205="","",$K205&amp;"")</f>
        <v/>
      </c>
      <c r="S205" s="9">
        <f>IF(Q205="","",IF(MATCH(R205,$R$5:$R$100000,0)=ROW()-4,ROW(),""))</f>
        <v/>
      </c>
      <c r="T205" s="9">
        <f>IF(Q205="당기",ABS(P205)+ROW()/1000000000,"")</f>
        <v/>
      </c>
      <c r="U205" s="9">
        <f>IF(Q205="비교",ABS(P205)+ROW()/1000000000,"")</f>
        <v/>
      </c>
      <c r="V205" s="39">
        <f>IF($A205="","",IF(COUNTIF(변동분석!$E$7:$E$506,O205)&gt;0,"Y","N"))</f>
        <v/>
      </c>
      <c r="W205" s="39">
        <f>IF($A205="","",IFERROR(INDEX(계정매핑!$D$5:$D$504,MATCH($F205&amp;"",계정매핑!$A$5:$A$504,0)),"미매핑"))</f>
        <v/>
      </c>
      <c r="X205" s="9">
        <f>IF($A205="","",$F205&amp;"")</f>
        <v/>
      </c>
    </row>
    <row r="206">
      <c r="A206" s="75" t="n">
        <v>2025</v>
      </c>
      <c r="B206" s="75" t="n">
        <v>1</v>
      </c>
      <c r="C206" s="75" t="inlineStr">
        <is>
          <t>5100000202</t>
        </is>
      </c>
      <c r="D206" s="78" t="n">
        <v>45684</v>
      </c>
      <c r="E206" s="75" t="inlineStr">
        <is>
          <t>KR</t>
        </is>
      </c>
      <c r="F206" s="75" t="n">
        <v>62501000</v>
      </c>
      <c r="G206" s="75" t="n">
        <v>1101</v>
      </c>
      <c r="H206" s="76" t="n">
        <v>232000</v>
      </c>
      <c r="I206" s="75" t="inlineStr">
        <is>
          <t>1월 회의 다과 - (법인카드)</t>
        </is>
      </c>
      <c r="J206" s="75" t="inlineStr">
        <is>
          <t>V10008</t>
        </is>
      </c>
      <c r="K206" s="75" t="inlineStr">
        <is>
          <t>(법인카드)</t>
        </is>
      </c>
      <c r="M206" s="9">
        <f>IF($A206="","",VALUE($A206&amp;"")*12+VALUE($B206&amp;""))</f>
        <v/>
      </c>
      <c r="N206" s="39">
        <f>IF($A206="","",IFERROR(INDEX(부서매핑!$C$5:$C$504,MATCH($G206&amp;"",부서매핑!$A$5:$A$504,0)),"미매핑"))</f>
        <v/>
      </c>
      <c r="O206" s="9">
        <f>IF($A206="","",N206&amp;"|"&amp;$F206)</f>
        <v/>
      </c>
      <c r="P206" s="77">
        <f>IF($A206="",0,$H206*설정!$C$23)</f>
        <v/>
      </c>
      <c r="Q206" s="39">
        <f>IF($A206="","",IF(O206&lt;&gt;원인분석!$C$9,"",IF(AND(M206&gt;=원인분석!$C$10,M206&lt;=원인분석!$C$11),"당기",IF(AND(M206&gt;=원인분석!$C$12,M206&lt;=원인분석!$C$13),"비교",""))))</f>
        <v/>
      </c>
      <c r="R206" s="9">
        <f>IF(Q206="","",$K206&amp;"")</f>
        <v/>
      </c>
      <c r="S206" s="9">
        <f>IF(Q206="","",IF(MATCH(R206,$R$5:$R$100000,0)=ROW()-4,ROW(),""))</f>
        <v/>
      </c>
      <c r="T206" s="9">
        <f>IF(Q206="당기",ABS(P206)+ROW()/1000000000,"")</f>
        <v/>
      </c>
      <c r="U206" s="9">
        <f>IF(Q206="비교",ABS(P206)+ROW()/1000000000,"")</f>
        <v/>
      </c>
      <c r="V206" s="39">
        <f>IF($A206="","",IF(COUNTIF(변동분석!$E$7:$E$506,O206)&gt;0,"Y","N"))</f>
        <v/>
      </c>
      <c r="W206" s="39">
        <f>IF($A206="","",IFERROR(INDEX(계정매핑!$D$5:$D$504,MATCH($F206&amp;"",계정매핑!$A$5:$A$504,0)),"미매핑"))</f>
        <v/>
      </c>
      <c r="X206" s="9">
        <f>IF($A206="","",$F206&amp;"")</f>
        <v/>
      </c>
    </row>
    <row r="207">
      <c r="A207" s="75" t="n">
        <v>2025</v>
      </c>
      <c r="B207" s="75" t="n">
        <v>1</v>
      </c>
      <c r="C207" s="75" t="inlineStr">
        <is>
          <t>5100000203</t>
        </is>
      </c>
      <c r="D207" s="78" t="n">
        <v>45684</v>
      </c>
      <c r="E207" s="75" t="inlineStr">
        <is>
          <t>KR</t>
        </is>
      </c>
      <c r="F207" s="75" t="n">
        <v>62701000</v>
      </c>
      <c r="G207" s="75" t="n">
        <v>1502</v>
      </c>
      <c r="H207" s="76" t="n">
        <v>30536000</v>
      </c>
      <c r="I207" s="75" t="inlineStr">
        <is>
          <t>1월 광고 집행 - E미디어</t>
        </is>
      </c>
      <c r="J207" s="75" t="inlineStr">
        <is>
          <t>V10027</t>
        </is>
      </c>
      <c r="K207" s="75" t="inlineStr">
        <is>
          <t>E미디어</t>
        </is>
      </c>
      <c r="M207" s="9">
        <f>IF($A207="","",VALUE($A207&amp;"")*12+VALUE($B207&amp;""))</f>
        <v/>
      </c>
      <c r="N207" s="39">
        <f>IF($A207="","",IFERROR(INDEX(부서매핑!$C$5:$C$504,MATCH($G207&amp;"",부서매핑!$A$5:$A$504,0)),"미매핑"))</f>
        <v/>
      </c>
      <c r="O207" s="9">
        <f>IF($A207="","",N207&amp;"|"&amp;$F207)</f>
        <v/>
      </c>
      <c r="P207" s="77">
        <f>IF($A207="",0,$H207*설정!$C$23)</f>
        <v/>
      </c>
      <c r="Q207" s="39">
        <f>IF($A207="","",IF(O207&lt;&gt;원인분석!$C$9,"",IF(AND(M207&gt;=원인분석!$C$10,M207&lt;=원인분석!$C$11),"당기",IF(AND(M207&gt;=원인분석!$C$12,M207&lt;=원인분석!$C$13),"비교",""))))</f>
        <v/>
      </c>
      <c r="R207" s="9">
        <f>IF(Q207="","",$K207&amp;"")</f>
        <v/>
      </c>
      <c r="S207" s="9">
        <f>IF(Q207="","",IF(MATCH(R207,$R$5:$R$100000,0)=ROW()-4,ROW(),""))</f>
        <v/>
      </c>
      <c r="T207" s="9">
        <f>IF(Q207="당기",ABS(P207)+ROW()/1000000000,"")</f>
        <v/>
      </c>
      <c r="U207" s="9">
        <f>IF(Q207="비교",ABS(P207)+ROW()/1000000000,"")</f>
        <v/>
      </c>
      <c r="V207" s="39">
        <f>IF($A207="","",IF(COUNTIF(변동분석!$E$7:$E$506,O207)&gt;0,"Y","N"))</f>
        <v/>
      </c>
      <c r="W207" s="39">
        <f>IF($A207="","",IFERROR(INDEX(계정매핑!$D$5:$D$504,MATCH($F207&amp;"",계정매핑!$A$5:$A$504,0)),"미매핑"))</f>
        <v/>
      </c>
      <c r="X207" s="9">
        <f>IF($A207="","",$F207&amp;"")</f>
        <v/>
      </c>
    </row>
    <row r="208">
      <c r="A208" s="75" t="n">
        <v>2025</v>
      </c>
      <c r="B208" s="75" t="n">
        <v>1</v>
      </c>
      <c r="C208" s="75" t="inlineStr">
        <is>
          <t>5100000204</t>
        </is>
      </c>
      <c r="D208" s="78" t="n">
        <v>45684</v>
      </c>
      <c r="E208" s="75" t="inlineStr">
        <is>
          <t>KR</t>
        </is>
      </c>
      <c r="F208" s="75" t="n">
        <v>62901000</v>
      </c>
      <c r="G208" s="75" t="n">
        <v>1201</v>
      </c>
      <c r="H208" s="76" t="n">
        <v>5223000</v>
      </c>
      <c r="I208" s="75" t="inlineStr">
        <is>
          <t>1월 자문 수수료 - K회계법인</t>
        </is>
      </c>
      <c r="J208" s="75" t="inlineStr">
        <is>
          <t>V10010</t>
        </is>
      </c>
      <c r="K208" s="75" t="inlineStr">
        <is>
          <t>K회계법인</t>
        </is>
      </c>
      <c r="M208" s="9">
        <f>IF($A208="","",VALUE($A208&amp;"")*12+VALUE($B208&amp;""))</f>
        <v/>
      </c>
      <c r="N208" s="39">
        <f>IF($A208="","",IFERROR(INDEX(부서매핑!$C$5:$C$504,MATCH($G208&amp;"",부서매핑!$A$5:$A$504,0)),"미매핑"))</f>
        <v/>
      </c>
      <c r="O208" s="9">
        <f>IF($A208="","",N208&amp;"|"&amp;$F208)</f>
        <v/>
      </c>
      <c r="P208" s="77">
        <f>IF($A208="",0,$H208*설정!$C$23)</f>
        <v/>
      </c>
      <c r="Q208" s="39">
        <f>IF($A208="","",IF(O208&lt;&gt;원인분석!$C$9,"",IF(AND(M208&gt;=원인분석!$C$10,M208&lt;=원인분석!$C$11),"당기",IF(AND(M208&gt;=원인분석!$C$12,M208&lt;=원인분석!$C$13),"비교",""))))</f>
        <v/>
      </c>
      <c r="R208" s="9">
        <f>IF(Q208="","",$K208&amp;"")</f>
        <v/>
      </c>
      <c r="S208" s="9">
        <f>IF(Q208="","",IF(MATCH(R208,$R$5:$R$100000,0)=ROW()-4,ROW(),""))</f>
        <v/>
      </c>
      <c r="T208" s="9">
        <f>IF(Q208="당기",ABS(P208)+ROW()/1000000000,"")</f>
        <v/>
      </c>
      <c r="U208" s="9">
        <f>IF(Q208="비교",ABS(P208)+ROW()/1000000000,"")</f>
        <v/>
      </c>
      <c r="V208" s="39">
        <f>IF($A208="","",IF(COUNTIF(변동분석!$E$7:$E$506,O208)&gt;0,"Y","N"))</f>
        <v/>
      </c>
      <c r="W208" s="39">
        <f>IF($A208="","",IFERROR(INDEX(계정매핑!$D$5:$D$504,MATCH($F208&amp;"",계정매핑!$A$5:$A$504,0)),"미매핑"))</f>
        <v/>
      </c>
      <c r="X208" s="9">
        <f>IF($A208="","",$F208&amp;"")</f>
        <v/>
      </c>
    </row>
    <row r="209">
      <c r="A209" s="75" t="n">
        <v>2025</v>
      </c>
      <c r="B209" s="75" t="n">
        <v>1</v>
      </c>
      <c r="C209" s="75" t="inlineStr">
        <is>
          <t>5100000205</t>
        </is>
      </c>
      <c r="D209" s="78" t="n">
        <v>45684</v>
      </c>
      <c r="E209" s="75" t="inlineStr">
        <is>
          <t>KR</t>
        </is>
      </c>
      <c r="F209" s="75" t="n">
        <v>62901000</v>
      </c>
      <c r="G209" s="75" t="n">
        <v>1401</v>
      </c>
      <c r="H209" s="76" t="n">
        <v>7676000</v>
      </c>
      <c r="I209" s="75" t="inlineStr">
        <is>
          <t>1월 자문 수수료 - K회계법인</t>
        </is>
      </c>
      <c r="J209" s="75" t="inlineStr">
        <is>
          <t>V10010</t>
        </is>
      </c>
      <c r="K209" s="75" t="inlineStr">
        <is>
          <t>K회계법인</t>
        </is>
      </c>
      <c r="M209" s="9">
        <f>IF($A209="","",VALUE($A209&amp;"")*12+VALUE($B209&amp;""))</f>
        <v/>
      </c>
      <c r="N209" s="39">
        <f>IF($A209="","",IFERROR(INDEX(부서매핑!$C$5:$C$504,MATCH($G209&amp;"",부서매핑!$A$5:$A$504,0)),"미매핑"))</f>
        <v/>
      </c>
      <c r="O209" s="9">
        <f>IF($A209="","",N209&amp;"|"&amp;$F209)</f>
        <v/>
      </c>
      <c r="P209" s="77">
        <f>IF($A209="",0,$H209*설정!$C$23)</f>
        <v/>
      </c>
      <c r="Q209" s="39">
        <f>IF($A209="","",IF(O209&lt;&gt;원인분석!$C$9,"",IF(AND(M209&gt;=원인분석!$C$10,M209&lt;=원인분석!$C$11),"당기",IF(AND(M209&gt;=원인분석!$C$12,M209&lt;=원인분석!$C$13),"비교",""))))</f>
        <v/>
      </c>
      <c r="R209" s="9">
        <f>IF(Q209="","",$K209&amp;"")</f>
        <v/>
      </c>
      <c r="S209" s="9">
        <f>IF(Q209="","",IF(MATCH(R209,$R$5:$R$100000,0)=ROW()-4,ROW(),""))</f>
        <v/>
      </c>
      <c r="T209" s="9">
        <f>IF(Q209="당기",ABS(P209)+ROW()/1000000000,"")</f>
        <v/>
      </c>
      <c r="U209" s="9">
        <f>IF(Q209="비교",ABS(P209)+ROW()/1000000000,"")</f>
        <v/>
      </c>
      <c r="V209" s="39">
        <f>IF($A209="","",IF(COUNTIF(변동분석!$E$7:$E$506,O209)&gt;0,"Y","N"))</f>
        <v/>
      </c>
      <c r="W209" s="39">
        <f>IF($A209="","",IFERROR(INDEX(계정매핑!$D$5:$D$504,MATCH($F209&amp;"",계정매핑!$A$5:$A$504,0)),"미매핑"))</f>
        <v/>
      </c>
      <c r="X209" s="9">
        <f>IF($A209="","",$F209&amp;"")</f>
        <v/>
      </c>
    </row>
    <row r="210">
      <c r="A210" s="75" t="n">
        <v>2025</v>
      </c>
      <c r="B210" s="75" t="n">
        <v>1</v>
      </c>
      <c r="C210" s="75" t="inlineStr">
        <is>
          <t>5100000206</t>
        </is>
      </c>
      <c r="D210" s="78" t="n">
        <v>45684</v>
      </c>
      <c r="E210" s="75" t="inlineStr">
        <is>
          <t>KR</t>
        </is>
      </c>
      <c r="F210" s="75" t="n">
        <v>62902000</v>
      </c>
      <c r="G210" s="75" t="n">
        <v>1201</v>
      </c>
      <c r="H210" s="76" t="n">
        <v>2000000</v>
      </c>
      <c r="I210" s="75" t="inlineStr">
        <is>
          <t>1월 업무 위탁 수수료 - J콜센터</t>
        </is>
      </c>
      <c r="J210" s="75" t="inlineStr">
        <is>
          <t>V10013</t>
        </is>
      </c>
      <c r="K210" s="75" t="inlineStr">
        <is>
          <t>J콜센터</t>
        </is>
      </c>
      <c r="M210" s="9">
        <f>IF($A210="","",VALUE($A210&amp;"")*12+VALUE($B210&amp;""))</f>
        <v/>
      </c>
      <c r="N210" s="39">
        <f>IF($A210="","",IFERROR(INDEX(부서매핑!$C$5:$C$504,MATCH($G210&amp;"",부서매핑!$A$5:$A$504,0)),"미매핑"))</f>
        <v/>
      </c>
      <c r="O210" s="9">
        <f>IF($A210="","",N210&amp;"|"&amp;$F210)</f>
        <v/>
      </c>
      <c r="P210" s="77">
        <f>IF($A210="",0,$H210*설정!$C$23)</f>
        <v/>
      </c>
      <c r="Q210" s="39">
        <f>IF($A210="","",IF(O210&lt;&gt;원인분석!$C$9,"",IF(AND(M210&gt;=원인분석!$C$10,M210&lt;=원인분석!$C$11),"당기",IF(AND(M210&gt;=원인분석!$C$12,M210&lt;=원인분석!$C$13),"비교",""))))</f>
        <v/>
      </c>
      <c r="R210" s="9">
        <f>IF(Q210="","",$K210&amp;"")</f>
        <v/>
      </c>
      <c r="S210" s="9">
        <f>IF(Q210="","",IF(MATCH(R210,$R$5:$R$100000,0)=ROW()-4,ROW(),""))</f>
        <v/>
      </c>
      <c r="T210" s="9">
        <f>IF(Q210="당기",ABS(P210)+ROW()/1000000000,"")</f>
        <v/>
      </c>
      <c r="U210" s="9">
        <f>IF(Q210="비교",ABS(P210)+ROW()/1000000000,"")</f>
        <v/>
      </c>
      <c r="V210" s="39">
        <f>IF($A210="","",IF(COUNTIF(변동분석!$E$7:$E$506,O210)&gt;0,"Y","N"))</f>
        <v/>
      </c>
      <c r="W210" s="39">
        <f>IF($A210="","",IFERROR(INDEX(계정매핑!$D$5:$D$504,MATCH($F210&amp;"",계정매핑!$A$5:$A$504,0)),"미매핑"))</f>
        <v/>
      </c>
      <c r="X210" s="9">
        <f>IF($A210="","",$F210&amp;"")</f>
        <v/>
      </c>
    </row>
    <row r="211">
      <c r="A211" s="75" t="n">
        <v>2025</v>
      </c>
      <c r="B211" s="75" t="n">
        <v>2</v>
      </c>
      <c r="C211" s="75" t="inlineStr">
        <is>
          <t>5100000207</t>
        </is>
      </c>
      <c r="D211" s="78" t="n">
        <v>45690</v>
      </c>
      <c r="E211" s="75" t="inlineStr">
        <is>
          <t>KR</t>
        </is>
      </c>
      <c r="F211" s="75" t="n">
        <v>62101000</v>
      </c>
      <c r="G211" s="75" t="n">
        <v>1101</v>
      </c>
      <c r="H211" s="76" t="n">
        <v>664000</v>
      </c>
      <c r="I211" s="75" t="inlineStr">
        <is>
          <t>2월 국내출장 - L여행사</t>
        </is>
      </c>
      <c r="J211" s="75" t="inlineStr">
        <is>
          <t>V10014</t>
        </is>
      </c>
      <c r="K211" s="75" t="inlineStr">
        <is>
          <t>L여행사</t>
        </is>
      </c>
      <c r="M211" s="9">
        <f>IF($A211="","",VALUE($A211&amp;"")*12+VALUE($B211&amp;""))</f>
        <v/>
      </c>
      <c r="N211" s="39">
        <f>IF($A211="","",IFERROR(INDEX(부서매핑!$C$5:$C$504,MATCH($G211&amp;"",부서매핑!$A$5:$A$504,0)),"미매핑"))</f>
        <v/>
      </c>
      <c r="O211" s="9">
        <f>IF($A211="","",N211&amp;"|"&amp;$F211)</f>
        <v/>
      </c>
      <c r="P211" s="77">
        <f>IF($A211="",0,$H211*설정!$C$23)</f>
        <v/>
      </c>
      <c r="Q211" s="39">
        <f>IF($A211="","",IF(O211&lt;&gt;원인분석!$C$9,"",IF(AND(M211&gt;=원인분석!$C$10,M211&lt;=원인분석!$C$11),"당기",IF(AND(M211&gt;=원인분석!$C$12,M211&lt;=원인분석!$C$13),"비교",""))))</f>
        <v/>
      </c>
      <c r="R211" s="9">
        <f>IF(Q211="","",$K211&amp;"")</f>
        <v/>
      </c>
      <c r="S211" s="9">
        <f>IF(Q211="","",IF(MATCH(R211,$R$5:$R$100000,0)=ROW()-4,ROW(),""))</f>
        <v/>
      </c>
      <c r="T211" s="9">
        <f>IF(Q211="당기",ABS(P211)+ROW()/1000000000,"")</f>
        <v/>
      </c>
      <c r="U211" s="9">
        <f>IF(Q211="비교",ABS(P211)+ROW()/1000000000,"")</f>
        <v/>
      </c>
      <c r="V211" s="39">
        <f>IF($A211="","",IF(COUNTIF(변동분석!$E$7:$E$506,O211)&gt;0,"Y","N"))</f>
        <v/>
      </c>
      <c r="W211" s="39">
        <f>IF($A211="","",IFERROR(INDEX(계정매핑!$D$5:$D$504,MATCH($F211&amp;"",계정매핑!$A$5:$A$504,0)),"미매핑"))</f>
        <v/>
      </c>
      <c r="X211" s="9">
        <f>IF($A211="","",$F211&amp;"")</f>
        <v/>
      </c>
    </row>
    <row r="212">
      <c r="A212" s="75" t="n">
        <v>2025</v>
      </c>
      <c r="B212" s="75" t="n">
        <v>2</v>
      </c>
      <c r="C212" s="75" t="inlineStr">
        <is>
          <t>5100000208</t>
        </is>
      </c>
      <c r="D212" s="78" t="n">
        <v>45690</v>
      </c>
      <c r="E212" s="75" t="inlineStr">
        <is>
          <t>KR</t>
        </is>
      </c>
      <c r="F212" s="75" t="n">
        <v>62101000</v>
      </c>
      <c r="G212" s="75" t="n">
        <v>1701</v>
      </c>
      <c r="H212" s="76" t="n">
        <v>289000</v>
      </c>
      <c r="I212" s="75" t="inlineStr">
        <is>
          <t>2월 국내출장 - (법인카드)</t>
        </is>
      </c>
      <c r="J212" s="75" t="inlineStr">
        <is>
          <t>V10008</t>
        </is>
      </c>
      <c r="K212" s="75" t="inlineStr">
        <is>
          <t>(법인카드)</t>
        </is>
      </c>
      <c r="M212" s="9">
        <f>IF($A212="","",VALUE($A212&amp;"")*12+VALUE($B212&amp;""))</f>
        <v/>
      </c>
      <c r="N212" s="39">
        <f>IF($A212="","",IFERROR(INDEX(부서매핑!$C$5:$C$504,MATCH($G212&amp;"",부서매핑!$A$5:$A$504,0)),"미매핑"))</f>
        <v/>
      </c>
      <c r="O212" s="9">
        <f>IF($A212="","",N212&amp;"|"&amp;$F212)</f>
        <v/>
      </c>
      <c r="P212" s="77">
        <f>IF($A212="",0,$H212*설정!$C$23)</f>
        <v/>
      </c>
      <c r="Q212" s="39">
        <f>IF($A212="","",IF(O212&lt;&gt;원인분석!$C$9,"",IF(AND(M212&gt;=원인분석!$C$10,M212&lt;=원인분석!$C$11),"당기",IF(AND(M212&gt;=원인분석!$C$12,M212&lt;=원인분석!$C$13),"비교",""))))</f>
        <v/>
      </c>
      <c r="R212" s="9">
        <f>IF(Q212="","",$K212&amp;"")</f>
        <v/>
      </c>
      <c r="S212" s="9">
        <f>IF(Q212="","",IF(MATCH(R212,$R$5:$R$100000,0)=ROW()-4,ROW(),""))</f>
        <v/>
      </c>
      <c r="T212" s="9">
        <f>IF(Q212="당기",ABS(P212)+ROW()/1000000000,"")</f>
        <v/>
      </c>
      <c r="U212" s="9">
        <f>IF(Q212="비교",ABS(P212)+ROW()/1000000000,"")</f>
        <v/>
      </c>
      <c r="V212" s="39">
        <f>IF($A212="","",IF(COUNTIF(변동분석!$E$7:$E$506,O212)&gt;0,"Y","N"))</f>
        <v/>
      </c>
      <c r="W212" s="39">
        <f>IF($A212="","",IFERROR(INDEX(계정매핑!$D$5:$D$504,MATCH($F212&amp;"",계정매핑!$A$5:$A$504,0)),"미매핑"))</f>
        <v/>
      </c>
      <c r="X212" s="9">
        <f>IF($A212="","",$F212&amp;"")</f>
        <v/>
      </c>
    </row>
    <row r="213">
      <c r="A213" s="75" t="n">
        <v>2025</v>
      </c>
      <c r="B213" s="75" t="n">
        <v>2</v>
      </c>
      <c r="C213" s="75" t="inlineStr">
        <is>
          <t>5100000209</t>
        </is>
      </c>
      <c r="D213" s="78" t="n">
        <v>45690</v>
      </c>
      <c r="E213" s="75" t="inlineStr">
        <is>
          <t>KR</t>
        </is>
      </c>
      <c r="F213" s="75" t="n">
        <v>62102000</v>
      </c>
      <c r="G213" s="75" t="n">
        <v>1201</v>
      </c>
      <c r="H213" s="76" t="n">
        <v>95000</v>
      </c>
      <c r="I213" s="75" t="inlineStr">
        <is>
          <t>2월 해외출장 - N호텔</t>
        </is>
      </c>
      <c r="J213" s="75" t="inlineStr">
        <is>
          <t>V10007</t>
        </is>
      </c>
      <c r="K213" s="75" t="inlineStr">
        <is>
          <t>N호텔</t>
        </is>
      </c>
      <c r="M213" s="9">
        <f>IF($A213="","",VALUE($A213&amp;"")*12+VALUE($B213&amp;""))</f>
        <v/>
      </c>
      <c r="N213" s="39">
        <f>IF($A213="","",IFERROR(INDEX(부서매핑!$C$5:$C$504,MATCH($G213&amp;"",부서매핑!$A$5:$A$504,0)),"미매핑"))</f>
        <v/>
      </c>
      <c r="O213" s="9">
        <f>IF($A213="","",N213&amp;"|"&amp;$F213)</f>
        <v/>
      </c>
      <c r="P213" s="77">
        <f>IF($A213="",0,$H213*설정!$C$23)</f>
        <v/>
      </c>
      <c r="Q213" s="39">
        <f>IF($A213="","",IF(O213&lt;&gt;원인분석!$C$9,"",IF(AND(M213&gt;=원인분석!$C$10,M213&lt;=원인분석!$C$11),"당기",IF(AND(M213&gt;=원인분석!$C$12,M213&lt;=원인분석!$C$13),"비교",""))))</f>
        <v/>
      </c>
      <c r="R213" s="9">
        <f>IF(Q213="","",$K213&amp;"")</f>
        <v/>
      </c>
      <c r="S213" s="9">
        <f>IF(Q213="","",IF(MATCH(R213,$R$5:$R$100000,0)=ROW()-4,ROW(),""))</f>
        <v/>
      </c>
      <c r="T213" s="9">
        <f>IF(Q213="당기",ABS(P213)+ROW()/1000000000,"")</f>
        <v/>
      </c>
      <c r="U213" s="9">
        <f>IF(Q213="비교",ABS(P213)+ROW()/1000000000,"")</f>
        <v/>
      </c>
      <c r="V213" s="39">
        <f>IF($A213="","",IF(COUNTIF(변동분석!$E$7:$E$506,O213)&gt;0,"Y","N"))</f>
        <v/>
      </c>
      <c r="W213" s="39">
        <f>IF($A213="","",IFERROR(INDEX(계정매핑!$D$5:$D$504,MATCH($F213&amp;"",계정매핑!$A$5:$A$504,0)),"미매핑"))</f>
        <v/>
      </c>
      <c r="X213" s="9">
        <f>IF($A213="","",$F213&amp;"")</f>
        <v/>
      </c>
    </row>
    <row r="214">
      <c r="A214" s="75" t="n">
        <v>2025</v>
      </c>
      <c r="B214" s="75" t="n">
        <v>2</v>
      </c>
      <c r="C214" s="75" t="inlineStr">
        <is>
          <t>5100000210</t>
        </is>
      </c>
      <c r="D214" s="78" t="n">
        <v>45690</v>
      </c>
      <c r="E214" s="75" t="inlineStr">
        <is>
          <t>KR</t>
        </is>
      </c>
      <c r="F214" s="75" t="n">
        <v>62201000</v>
      </c>
      <c r="G214" s="75" t="n">
        <v>1201</v>
      </c>
      <c r="H214" s="76" t="n">
        <v>146000</v>
      </c>
      <c r="I214" s="75" t="inlineStr">
        <is>
          <t>2월 통신요금 - P통신</t>
        </is>
      </c>
      <c r="J214" s="75" t="inlineStr">
        <is>
          <t>V10011</t>
        </is>
      </c>
      <c r="K214" s="75" t="inlineStr">
        <is>
          <t>P통신</t>
        </is>
      </c>
      <c r="M214" s="9">
        <f>IF($A214="","",VALUE($A214&amp;"")*12+VALUE($B214&amp;""))</f>
        <v/>
      </c>
      <c r="N214" s="39">
        <f>IF($A214="","",IFERROR(INDEX(부서매핑!$C$5:$C$504,MATCH($G214&amp;"",부서매핑!$A$5:$A$504,0)),"미매핑"))</f>
        <v/>
      </c>
      <c r="O214" s="9">
        <f>IF($A214="","",N214&amp;"|"&amp;$F214)</f>
        <v/>
      </c>
      <c r="P214" s="77">
        <f>IF($A214="",0,$H214*설정!$C$23)</f>
        <v/>
      </c>
      <c r="Q214" s="39">
        <f>IF($A214="","",IF(O214&lt;&gt;원인분석!$C$9,"",IF(AND(M214&gt;=원인분석!$C$10,M214&lt;=원인분석!$C$11),"당기",IF(AND(M214&gt;=원인분석!$C$12,M214&lt;=원인분석!$C$13),"비교",""))))</f>
        <v/>
      </c>
      <c r="R214" s="9">
        <f>IF(Q214="","",$K214&amp;"")</f>
        <v/>
      </c>
      <c r="S214" s="9">
        <f>IF(Q214="","",IF(MATCH(R214,$R$5:$R$100000,0)=ROW()-4,ROW(),""))</f>
        <v/>
      </c>
      <c r="T214" s="9">
        <f>IF(Q214="당기",ABS(P214)+ROW()/1000000000,"")</f>
        <v/>
      </c>
      <c r="U214" s="9">
        <f>IF(Q214="비교",ABS(P214)+ROW()/1000000000,"")</f>
        <v/>
      </c>
      <c r="V214" s="39">
        <f>IF($A214="","",IF(COUNTIF(변동분석!$E$7:$E$506,O214)&gt;0,"Y","N"))</f>
        <v/>
      </c>
      <c r="W214" s="39">
        <f>IF($A214="","",IFERROR(INDEX(계정매핑!$D$5:$D$504,MATCH($F214&amp;"",계정매핑!$A$5:$A$504,0)),"미매핑"))</f>
        <v/>
      </c>
      <c r="X214" s="9">
        <f>IF($A214="","",$F214&amp;"")</f>
        <v/>
      </c>
    </row>
    <row r="215">
      <c r="A215" s="75" t="n">
        <v>2025</v>
      </c>
      <c r="B215" s="75" t="n">
        <v>2</v>
      </c>
      <c r="C215" s="75" t="inlineStr">
        <is>
          <t>5100000211</t>
        </is>
      </c>
      <c r="D215" s="78" t="n">
        <v>45690</v>
      </c>
      <c r="E215" s="75" t="inlineStr">
        <is>
          <t>KR</t>
        </is>
      </c>
      <c r="F215" s="75" t="n">
        <v>62201000</v>
      </c>
      <c r="G215" s="75" t="n">
        <v>1301</v>
      </c>
      <c r="H215" s="76" t="n">
        <v>203000</v>
      </c>
      <c r="I215" s="75" t="inlineStr">
        <is>
          <t>2월 통신요금 - P통신</t>
        </is>
      </c>
      <c r="J215" s="75" t="inlineStr">
        <is>
          <t>V10011</t>
        </is>
      </c>
      <c r="K215" s="75" t="inlineStr">
        <is>
          <t>P통신</t>
        </is>
      </c>
      <c r="M215" s="9">
        <f>IF($A215="","",VALUE($A215&amp;"")*12+VALUE($B215&amp;""))</f>
        <v/>
      </c>
      <c r="N215" s="39">
        <f>IF($A215="","",IFERROR(INDEX(부서매핑!$C$5:$C$504,MATCH($G215&amp;"",부서매핑!$A$5:$A$504,0)),"미매핑"))</f>
        <v/>
      </c>
      <c r="O215" s="9">
        <f>IF($A215="","",N215&amp;"|"&amp;$F215)</f>
        <v/>
      </c>
      <c r="P215" s="77">
        <f>IF($A215="",0,$H215*설정!$C$23)</f>
        <v/>
      </c>
      <c r="Q215" s="39">
        <f>IF($A215="","",IF(O215&lt;&gt;원인분석!$C$9,"",IF(AND(M215&gt;=원인분석!$C$10,M215&lt;=원인분석!$C$11),"당기",IF(AND(M215&gt;=원인분석!$C$12,M215&lt;=원인분석!$C$13),"비교",""))))</f>
        <v/>
      </c>
      <c r="R215" s="9">
        <f>IF(Q215="","",$K215&amp;"")</f>
        <v/>
      </c>
      <c r="S215" s="9">
        <f>IF(Q215="","",IF(MATCH(R215,$R$5:$R$100000,0)=ROW()-4,ROW(),""))</f>
        <v/>
      </c>
      <c r="T215" s="9">
        <f>IF(Q215="당기",ABS(P215)+ROW()/1000000000,"")</f>
        <v/>
      </c>
      <c r="U215" s="9">
        <f>IF(Q215="비교",ABS(P215)+ROW()/1000000000,"")</f>
        <v/>
      </c>
      <c r="V215" s="39">
        <f>IF($A215="","",IF(COUNTIF(변동분석!$E$7:$E$506,O215)&gt;0,"Y","N"))</f>
        <v/>
      </c>
      <c r="W215" s="39">
        <f>IF($A215="","",IFERROR(INDEX(계정매핑!$D$5:$D$504,MATCH($F215&amp;"",계정매핑!$A$5:$A$504,0)),"미매핑"))</f>
        <v/>
      </c>
      <c r="X215" s="9">
        <f>IF($A215="","",$F215&amp;"")</f>
        <v/>
      </c>
    </row>
    <row r="216">
      <c r="A216" s="75" t="n">
        <v>2025</v>
      </c>
      <c r="B216" s="75" t="n">
        <v>2</v>
      </c>
      <c r="C216" s="75" t="inlineStr">
        <is>
          <t>5100000212</t>
        </is>
      </c>
      <c r="D216" s="78" t="n">
        <v>45690</v>
      </c>
      <c r="E216" s="75" t="inlineStr">
        <is>
          <t>KR</t>
        </is>
      </c>
      <c r="F216" s="75" t="n">
        <v>62201000</v>
      </c>
      <c r="G216" s="75" t="n">
        <v>1801</v>
      </c>
      <c r="H216" s="76" t="n">
        <v>5216000</v>
      </c>
      <c r="I216" s="75" t="inlineStr">
        <is>
          <t>2월 통신요금 - P통신</t>
        </is>
      </c>
      <c r="J216" s="75" t="inlineStr">
        <is>
          <t>V10011</t>
        </is>
      </c>
      <c r="K216" s="75" t="inlineStr">
        <is>
          <t>P통신</t>
        </is>
      </c>
      <c r="M216" s="9">
        <f>IF($A216="","",VALUE($A216&amp;"")*12+VALUE($B216&amp;""))</f>
        <v/>
      </c>
      <c r="N216" s="39">
        <f>IF($A216="","",IFERROR(INDEX(부서매핑!$C$5:$C$504,MATCH($G216&amp;"",부서매핑!$A$5:$A$504,0)),"미매핑"))</f>
        <v/>
      </c>
      <c r="O216" s="9">
        <f>IF($A216="","",N216&amp;"|"&amp;$F216)</f>
        <v/>
      </c>
      <c r="P216" s="77">
        <f>IF($A216="",0,$H216*설정!$C$23)</f>
        <v/>
      </c>
      <c r="Q216" s="39">
        <f>IF($A216="","",IF(O216&lt;&gt;원인분석!$C$9,"",IF(AND(M216&gt;=원인분석!$C$10,M216&lt;=원인분석!$C$11),"당기",IF(AND(M216&gt;=원인분석!$C$12,M216&lt;=원인분석!$C$13),"비교",""))))</f>
        <v/>
      </c>
      <c r="R216" s="9">
        <f>IF(Q216="","",$K216&amp;"")</f>
        <v/>
      </c>
      <c r="S216" s="9">
        <f>IF(Q216="","",IF(MATCH(R216,$R$5:$R$100000,0)=ROW()-4,ROW(),""))</f>
        <v/>
      </c>
      <c r="T216" s="9">
        <f>IF(Q216="당기",ABS(P216)+ROW()/1000000000,"")</f>
        <v/>
      </c>
      <c r="U216" s="9">
        <f>IF(Q216="비교",ABS(P216)+ROW()/1000000000,"")</f>
        <v/>
      </c>
      <c r="V216" s="39">
        <f>IF($A216="","",IF(COUNTIF(변동분석!$E$7:$E$506,O216)&gt;0,"Y","N"))</f>
        <v/>
      </c>
      <c r="W216" s="39">
        <f>IF($A216="","",IFERROR(INDEX(계정매핑!$D$5:$D$504,MATCH($F216&amp;"",계정매핑!$A$5:$A$504,0)),"미매핑"))</f>
        <v/>
      </c>
      <c r="X216" s="9">
        <f>IF($A216="","",$F216&amp;"")</f>
        <v/>
      </c>
    </row>
    <row r="217">
      <c r="A217" s="75" t="n">
        <v>2025</v>
      </c>
      <c r="B217" s="75" t="n">
        <v>2</v>
      </c>
      <c r="C217" s="75" t="inlineStr">
        <is>
          <t>5100000213</t>
        </is>
      </c>
      <c r="D217" s="78" t="n">
        <v>45690</v>
      </c>
      <c r="E217" s="75" t="inlineStr">
        <is>
          <t>KR</t>
        </is>
      </c>
      <c r="F217" s="75" t="n">
        <v>62301000</v>
      </c>
      <c r="G217" s="75" t="n">
        <v>1801</v>
      </c>
      <c r="H217" s="76" t="n">
        <v>494000</v>
      </c>
      <c r="I217" s="75" t="inlineStr">
        <is>
          <t>2월 소모품 구입 - Q오피스</t>
        </is>
      </c>
      <c r="J217" s="75" t="inlineStr">
        <is>
          <t>V10003</t>
        </is>
      </c>
      <c r="K217" s="75" t="inlineStr">
        <is>
          <t>Q오피스</t>
        </is>
      </c>
      <c r="M217" s="9">
        <f>IF($A217="","",VALUE($A217&amp;"")*12+VALUE($B217&amp;""))</f>
        <v/>
      </c>
      <c r="N217" s="39">
        <f>IF($A217="","",IFERROR(INDEX(부서매핑!$C$5:$C$504,MATCH($G217&amp;"",부서매핑!$A$5:$A$504,0)),"미매핑"))</f>
        <v/>
      </c>
      <c r="O217" s="9">
        <f>IF($A217="","",N217&amp;"|"&amp;$F217)</f>
        <v/>
      </c>
      <c r="P217" s="77">
        <f>IF($A217="",0,$H217*설정!$C$23)</f>
        <v/>
      </c>
      <c r="Q217" s="39">
        <f>IF($A217="","",IF(O217&lt;&gt;원인분석!$C$9,"",IF(AND(M217&gt;=원인분석!$C$10,M217&lt;=원인분석!$C$11),"당기",IF(AND(M217&gt;=원인분석!$C$12,M217&lt;=원인분석!$C$13),"비교",""))))</f>
        <v/>
      </c>
      <c r="R217" s="9">
        <f>IF(Q217="","",$K217&amp;"")</f>
        <v/>
      </c>
      <c r="S217" s="9">
        <f>IF(Q217="","",IF(MATCH(R217,$R$5:$R$100000,0)=ROW()-4,ROW(),""))</f>
        <v/>
      </c>
      <c r="T217" s="9">
        <f>IF(Q217="당기",ABS(P217)+ROW()/1000000000,"")</f>
        <v/>
      </c>
      <c r="U217" s="9">
        <f>IF(Q217="비교",ABS(P217)+ROW()/1000000000,"")</f>
        <v/>
      </c>
      <c r="V217" s="39">
        <f>IF($A217="","",IF(COUNTIF(변동분석!$E$7:$E$506,O217)&gt;0,"Y","N"))</f>
        <v/>
      </c>
      <c r="W217" s="39">
        <f>IF($A217="","",IFERROR(INDEX(계정매핑!$D$5:$D$504,MATCH($F217&amp;"",계정매핑!$A$5:$A$504,0)),"미매핑"))</f>
        <v/>
      </c>
      <c r="X217" s="9">
        <f>IF($A217="","",$F217&amp;"")</f>
        <v/>
      </c>
    </row>
    <row r="218">
      <c r="A218" s="75" t="n">
        <v>2025</v>
      </c>
      <c r="B218" s="75" t="n">
        <v>2</v>
      </c>
      <c r="C218" s="75" t="inlineStr">
        <is>
          <t>5100000214</t>
        </is>
      </c>
      <c r="D218" s="78" t="n">
        <v>45690</v>
      </c>
      <c r="E218" s="75" t="inlineStr">
        <is>
          <t>KR</t>
        </is>
      </c>
      <c r="F218" s="75" t="n">
        <v>62501000</v>
      </c>
      <c r="G218" s="75" t="n">
        <v>1201</v>
      </c>
      <c r="H218" s="76" t="n">
        <v>119000</v>
      </c>
      <c r="I218" s="75" t="inlineStr">
        <is>
          <t>2월 회의 다과 - (법인카드)</t>
        </is>
      </c>
      <c r="J218" s="75" t="inlineStr">
        <is>
          <t>V10008</t>
        </is>
      </c>
      <c r="K218" s="75" t="inlineStr">
        <is>
          <t>(법인카드)</t>
        </is>
      </c>
      <c r="M218" s="9">
        <f>IF($A218="","",VALUE($A218&amp;"")*12+VALUE($B218&amp;""))</f>
        <v/>
      </c>
      <c r="N218" s="39">
        <f>IF($A218="","",IFERROR(INDEX(부서매핑!$C$5:$C$504,MATCH($G218&amp;"",부서매핑!$A$5:$A$504,0)),"미매핑"))</f>
        <v/>
      </c>
      <c r="O218" s="9">
        <f>IF($A218="","",N218&amp;"|"&amp;$F218)</f>
        <v/>
      </c>
      <c r="P218" s="77">
        <f>IF($A218="",0,$H218*설정!$C$23)</f>
        <v/>
      </c>
      <c r="Q218" s="39">
        <f>IF($A218="","",IF(O218&lt;&gt;원인분석!$C$9,"",IF(AND(M218&gt;=원인분석!$C$10,M218&lt;=원인분석!$C$11),"당기",IF(AND(M218&gt;=원인분석!$C$12,M218&lt;=원인분석!$C$13),"비교",""))))</f>
        <v/>
      </c>
      <c r="R218" s="9">
        <f>IF(Q218="","",$K218&amp;"")</f>
        <v/>
      </c>
      <c r="S218" s="9">
        <f>IF(Q218="","",IF(MATCH(R218,$R$5:$R$100000,0)=ROW()-4,ROW(),""))</f>
        <v/>
      </c>
      <c r="T218" s="9">
        <f>IF(Q218="당기",ABS(P218)+ROW()/1000000000,"")</f>
        <v/>
      </c>
      <c r="U218" s="9">
        <f>IF(Q218="비교",ABS(P218)+ROW()/1000000000,"")</f>
        <v/>
      </c>
      <c r="V218" s="39">
        <f>IF($A218="","",IF(COUNTIF(변동분석!$E$7:$E$506,O218)&gt;0,"Y","N"))</f>
        <v/>
      </c>
      <c r="W218" s="39">
        <f>IF($A218="","",IFERROR(INDEX(계정매핑!$D$5:$D$504,MATCH($F218&amp;"",계정매핑!$A$5:$A$504,0)),"미매핑"))</f>
        <v/>
      </c>
      <c r="X218" s="9">
        <f>IF($A218="","",$F218&amp;"")</f>
        <v/>
      </c>
    </row>
    <row r="219">
      <c r="A219" s="75" t="n">
        <v>2025</v>
      </c>
      <c r="B219" s="75" t="n">
        <v>2</v>
      </c>
      <c r="C219" s="75" t="inlineStr">
        <is>
          <t>5100000215</t>
        </is>
      </c>
      <c r="D219" s="78" t="n">
        <v>45690</v>
      </c>
      <c r="E219" s="75" t="inlineStr">
        <is>
          <t>KR</t>
        </is>
      </c>
      <c r="F219" s="75" t="n">
        <v>62501000</v>
      </c>
      <c r="G219" s="75" t="n">
        <v>1401</v>
      </c>
      <c r="H219" s="76" t="n">
        <v>138000</v>
      </c>
      <c r="I219" s="75" t="inlineStr">
        <is>
          <t>2월 회의 다과 - (법인카드)</t>
        </is>
      </c>
      <c r="J219" s="75" t="inlineStr">
        <is>
          <t>V10008</t>
        </is>
      </c>
      <c r="K219" s="75" t="inlineStr">
        <is>
          <t>(법인카드)</t>
        </is>
      </c>
      <c r="M219" s="9">
        <f>IF($A219="","",VALUE($A219&amp;"")*12+VALUE($B219&amp;""))</f>
        <v/>
      </c>
      <c r="N219" s="39">
        <f>IF($A219="","",IFERROR(INDEX(부서매핑!$C$5:$C$504,MATCH($G219&amp;"",부서매핑!$A$5:$A$504,0)),"미매핑"))</f>
        <v/>
      </c>
      <c r="O219" s="9">
        <f>IF($A219="","",N219&amp;"|"&amp;$F219)</f>
        <v/>
      </c>
      <c r="P219" s="77">
        <f>IF($A219="",0,$H219*설정!$C$23)</f>
        <v/>
      </c>
      <c r="Q219" s="39">
        <f>IF($A219="","",IF(O219&lt;&gt;원인분석!$C$9,"",IF(AND(M219&gt;=원인분석!$C$10,M219&lt;=원인분석!$C$11),"당기",IF(AND(M219&gt;=원인분석!$C$12,M219&lt;=원인분석!$C$13),"비교",""))))</f>
        <v/>
      </c>
      <c r="R219" s="9">
        <f>IF(Q219="","",$K219&amp;"")</f>
        <v/>
      </c>
      <c r="S219" s="9">
        <f>IF(Q219="","",IF(MATCH(R219,$R$5:$R$100000,0)=ROW()-4,ROW(),""))</f>
        <v/>
      </c>
      <c r="T219" s="9">
        <f>IF(Q219="당기",ABS(P219)+ROW()/1000000000,"")</f>
        <v/>
      </c>
      <c r="U219" s="9">
        <f>IF(Q219="비교",ABS(P219)+ROW()/1000000000,"")</f>
        <v/>
      </c>
      <c r="V219" s="39">
        <f>IF($A219="","",IF(COUNTIF(변동분석!$E$7:$E$506,O219)&gt;0,"Y","N"))</f>
        <v/>
      </c>
      <c r="W219" s="39">
        <f>IF($A219="","",IFERROR(INDEX(계정매핑!$D$5:$D$504,MATCH($F219&amp;"",계정매핑!$A$5:$A$504,0)),"미매핑"))</f>
        <v/>
      </c>
      <c r="X219" s="9">
        <f>IF($A219="","",$F219&amp;"")</f>
        <v/>
      </c>
    </row>
    <row r="220">
      <c r="A220" s="75" t="n">
        <v>2025</v>
      </c>
      <c r="B220" s="75" t="n">
        <v>2</v>
      </c>
      <c r="C220" s="75" t="inlineStr">
        <is>
          <t>5100000216</t>
        </is>
      </c>
      <c r="D220" s="78" t="n">
        <v>45690</v>
      </c>
      <c r="E220" s="75" t="inlineStr">
        <is>
          <t>KR</t>
        </is>
      </c>
      <c r="F220" s="75" t="n">
        <v>62501000</v>
      </c>
      <c r="G220" s="75" t="n">
        <v>1502</v>
      </c>
      <c r="H220" s="76" t="n">
        <v>174000</v>
      </c>
      <c r="I220" s="75" t="inlineStr">
        <is>
          <t>2월 회의 다과 - (법인카드)</t>
        </is>
      </c>
      <c r="J220" s="75" t="inlineStr">
        <is>
          <t>V10008</t>
        </is>
      </c>
      <c r="K220" s="75" t="inlineStr">
        <is>
          <t>(법인카드)</t>
        </is>
      </c>
      <c r="M220" s="9">
        <f>IF($A220="","",VALUE($A220&amp;"")*12+VALUE($B220&amp;""))</f>
        <v/>
      </c>
      <c r="N220" s="39">
        <f>IF($A220="","",IFERROR(INDEX(부서매핑!$C$5:$C$504,MATCH($G220&amp;"",부서매핑!$A$5:$A$504,0)),"미매핑"))</f>
        <v/>
      </c>
      <c r="O220" s="9">
        <f>IF($A220="","",N220&amp;"|"&amp;$F220)</f>
        <v/>
      </c>
      <c r="P220" s="77">
        <f>IF($A220="",0,$H220*설정!$C$23)</f>
        <v/>
      </c>
      <c r="Q220" s="39">
        <f>IF($A220="","",IF(O220&lt;&gt;원인분석!$C$9,"",IF(AND(M220&gt;=원인분석!$C$10,M220&lt;=원인분석!$C$11),"당기",IF(AND(M220&gt;=원인분석!$C$12,M220&lt;=원인분석!$C$13),"비교",""))))</f>
        <v/>
      </c>
      <c r="R220" s="9">
        <f>IF(Q220="","",$K220&amp;"")</f>
        <v/>
      </c>
      <c r="S220" s="9">
        <f>IF(Q220="","",IF(MATCH(R220,$R$5:$R$100000,0)=ROW()-4,ROW(),""))</f>
        <v/>
      </c>
      <c r="T220" s="9">
        <f>IF(Q220="당기",ABS(P220)+ROW()/1000000000,"")</f>
        <v/>
      </c>
      <c r="U220" s="9">
        <f>IF(Q220="비교",ABS(P220)+ROW()/1000000000,"")</f>
        <v/>
      </c>
      <c r="V220" s="39">
        <f>IF($A220="","",IF(COUNTIF(변동분석!$E$7:$E$506,O220)&gt;0,"Y","N"))</f>
        <v/>
      </c>
      <c r="W220" s="39">
        <f>IF($A220="","",IFERROR(INDEX(계정매핑!$D$5:$D$504,MATCH($F220&amp;"",계정매핑!$A$5:$A$504,0)),"미매핑"))</f>
        <v/>
      </c>
      <c r="X220" s="9">
        <f>IF($A220="","",$F220&amp;"")</f>
        <v/>
      </c>
    </row>
    <row r="221">
      <c r="A221" s="75" t="n">
        <v>2025</v>
      </c>
      <c r="B221" s="75" t="n">
        <v>2</v>
      </c>
      <c r="C221" s="75" t="inlineStr">
        <is>
          <t>5100000217</t>
        </is>
      </c>
      <c r="D221" s="78" t="n">
        <v>45690</v>
      </c>
      <c r="E221" s="75" t="inlineStr">
        <is>
          <t>KR</t>
        </is>
      </c>
      <c r="F221" s="75" t="n">
        <v>62901000</v>
      </c>
      <c r="G221" s="75" t="n">
        <v>1801</v>
      </c>
      <c r="H221" s="76" t="n">
        <v>7097000</v>
      </c>
      <c r="I221" s="75" t="inlineStr">
        <is>
          <t>2월 자문 수수료 - W컨설팅</t>
        </is>
      </c>
      <c r="J221" s="75" t="inlineStr">
        <is>
          <t>V10009</t>
        </is>
      </c>
      <c r="K221" s="75" t="inlineStr">
        <is>
          <t>W컨설팅</t>
        </is>
      </c>
      <c r="M221" s="9">
        <f>IF($A221="","",VALUE($A221&amp;"")*12+VALUE($B221&amp;""))</f>
        <v/>
      </c>
      <c r="N221" s="39">
        <f>IF($A221="","",IFERROR(INDEX(부서매핑!$C$5:$C$504,MATCH($G221&amp;"",부서매핑!$A$5:$A$504,0)),"미매핑"))</f>
        <v/>
      </c>
      <c r="O221" s="9">
        <f>IF($A221="","",N221&amp;"|"&amp;$F221)</f>
        <v/>
      </c>
      <c r="P221" s="77">
        <f>IF($A221="",0,$H221*설정!$C$23)</f>
        <v/>
      </c>
      <c r="Q221" s="39">
        <f>IF($A221="","",IF(O221&lt;&gt;원인분석!$C$9,"",IF(AND(M221&gt;=원인분석!$C$10,M221&lt;=원인분석!$C$11),"당기",IF(AND(M221&gt;=원인분석!$C$12,M221&lt;=원인분석!$C$13),"비교",""))))</f>
        <v/>
      </c>
      <c r="R221" s="9">
        <f>IF(Q221="","",$K221&amp;"")</f>
        <v/>
      </c>
      <c r="S221" s="9">
        <f>IF(Q221="","",IF(MATCH(R221,$R$5:$R$100000,0)=ROW()-4,ROW(),""))</f>
        <v/>
      </c>
      <c r="T221" s="9">
        <f>IF(Q221="당기",ABS(P221)+ROW()/1000000000,"")</f>
        <v/>
      </c>
      <c r="U221" s="9">
        <f>IF(Q221="비교",ABS(P221)+ROW()/1000000000,"")</f>
        <v/>
      </c>
      <c r="V221" s="39">
        <f>IF($A221="","",IF(COUNTIF(변동분석!$E$7:$E$506,O221)&gt;0,"Y","N"))</f>
        <v/>
      </c>
      <c r="W221" s="39">
        <f>IF($A221="","",IFERROR(INDEX(계정매핑!$D$5:$D$504,MATCH($F221&amp;"",계정매핑!$A$5:$A$504,0)),"미매핑"))</f>
        <v/>
      </c>
      <c r="X221" s="9">
        <f>IF($A221="","",$F221&amp;"")</f>
        <v/>
      </c>
    </row>
    <row r="222">
      <c r="A222" s="75" t="n">
        <v>2025</v>
      </c>
      <c r="B222" s="75" t="n">
        <v>2</v>
      </c>
      <c r="C222" s="75" t="inlineStr">
        <is>
          <t>5100000218</t>
        </is>
      </c>
      <c r="D222" s="78" t="n">
        <v>45690</v>
      </c>
      <c r="E222" s="75" t="inlineStr">
        <is>
          <t>KR</t>
        </is>
      </c>
      <c r="F222" s="75" t="n">
        <v>62901000</v>
      </c>
      <c r="G222" s="75" t="n">
        <v>1801</v>
      </c>
      <c r="H222" s="76" t="n">
        <v>8471000</v>
      </c>
      <c r="I222" s="75" t="inlineStr">
        <is>
          <t>2월 자문 수수료 - W컨설팅</t>
        </is>
      </c>
      <c r="J222" s="75" t="inlineStr">
        <is>
          <t>V10009</t>
        </is>
      </c>
      <c r="K222" s="75" t="inlineStr">
        <is>
          <t>W컨설팅</t>
        </is>
      </c>
      <c r="M222" s="9">
        <f>IF($A222="","",VALUE($A222&amp;"")*12+VALUE($B222&amp;""))</f>
        <v/>
      </c>
      <c r="N222" s="39">
        <f>IF($A222="","",IFERROR(INDEX(부서매핑!$C$5:$C$504,MATCH($G222&amp;"",부서매핑!$A$5:$A$504,0)),"미매핑"))</f>
        <v/>
      </c>
      <c r="O222" s="9">
        <f>IF($A222="","",N222&amp;"|"&amp;$F222)</f>
        <v/>
      </c>
      <c r="P222" s="77">
        <f>IF($A222="",0,$H222*설정!$C$23)</f>
        <v/>
      </c>
      <c r="Q222" s="39">
        <f>IF($A222="","",IF(O222&lt;&gt;원인분석!$C$9,"",IF(AND(M222&gt;=원인분석!$C$10,M222&lt;=원인분석!$C$11),"당기",IF(AND(M222&gt;=원인분석!$C$12,M222&lt;=원인분석!$C$13),"비교",""))))</f>
        <v/>
      </c>
      <c r="R222" s="9">
        <f>IF(Q222="","",$K222&amp;"")</f>
        <v/>
      </c>
      <c r="S222" s="9">
        <f>IF(Q222="","",IF(MATCH(R222,$R$5:$R$100000,0)=ROW()-4,ROW(),""))</f>
        <v/>
      </c>
      <c r="T222" s="9">
        <f>IF(Q222="당기",ABS(P222)+ROW()/1000000000,"")</f>
        <v/>
      </c>
      <c r="U222" s="9">
        <f>IF(Q222="비교",ABS(P222)+ROW()/1000000000,"")</f>
        <v/>
      </c>
      <c r="V222" s="39">
        <f>IF($A222="","",IF(COUNTIF(변동분석!$E$7:$E$506,O222)&gt;0,"Y","N"))</f>
        <v/>
      </c>
      <c r="W222" s="39">
        <f>IF($A222="","",IFERROR(INDEX(계정매핑!$D$5:$D$504,MATCH($F222&amp;"",계정매핑!$A$5:$A$504,0)),"미매핑"))</f>
        <v/>
      </c>
      <c r="X222" s="9">
        <f>IF($A222="","",$F222&amp;"")</f>
        <v/>
      </c>
    </row>
    <row r="223">
      <c r="A223" s="75" t="n">
        <v>2025</v>
      </c>
      <c r="B223" s="75" t="n">
        <v>2</v>
      </c>
      <c r="C223" s="75" t="inlineStr">
        <is>
          <t>5100000219</t>
        </is>
      </c>
      <c r="D223" s="78" t="n">
        <v>45690</v>
      </c>
      <c r="E223" s="75" t="inlineStr">
        <is>
          <t>KR</t>
        </is>
      </c>
      <c r="F223" s="75" t="n">
        <v>62902000</v>
      </c>
      <c r="G223" s="75" t="n">
        <v>1801</v>
      </c>
      <c r="H223" s="76" t="n">
        <v>1833000</v>
      </c>
      <c r="I223" s="75" t="inlineStr">
        <is>
          <t>2월 콜 위탁 수수료(건별)</t>
        </is>
      </c>
      <c r="J223" s="75" t="inlineStr">
        <is>
          <t>V10013</t>
        </is>
      </c>
      <c r="K223" s="75" t="inlineStr">
        <is>
          <t>J콜센터</t>
        </is>
      </c>
      <c r="M223" s="9">
        <f>IF($A223="","",VALUE($A223&amp;"")*12+VALUE($B223&amp;""))</f>
        <v/>
      </c>
      <c r="N223" s="39">
        <f>IF($A223="","",IFERROR(INDEX(부서매핑!$C$5:$C$504,MATCH($G223&amp;"",부서매핑!$A$5:$A$504,0)),"미매핑"))</f>
        <v/>
      </c>
      <c r="O223" s="9">
        <f>IF($A223="","",N223&amp;"|"&amp;$F223)</f>
        <v/>
      </c>
      <c r="P223" s="77">
        <f>IF($A223="",0,$H223*설정!$C$23)</f>
        <v/>
      </c>
      <c r="Q223" s="39">
        <f>IF($A223="","",IF(O223&lt;&gt;원인분석!$C$9,"",IF(AND(M223&gt;=원인분석!$C$10,M223&lt;=원인분석!$C$11),"당기",IF(AND(M223&gt;=원인분석!$C$12,M223&lt;=원인분석!$C$13),"비교",""))))</f>
        <v/>
      </c>
      <c r="R223" s="9">
        <f>IF(Q223="","",$K223&amp;"")</f>
        <v/>
      </c>
      <c r="S223" s="9">
        <f>IF(Q223="","",IF(MATCH(R223,$R$5:$R$100000,0)=ROW()-4,ROW(),""))</f>
        <v/>
      </c>
      <c r="T223" s="9">
        <f>IF(Q223="당기",ABS(P223)+ROW()/1000000000,"")</f>
        <v/>
      </c>
      <c r="U223" s="9">
        <f>IF(Q223="비교",ABS(P223)+ROW()/1000000000,"")</f>
        <v/>
      </c>
      <c r="V223" s="39">
        <f>IF($A223="","",IF(COUNTIF(변동분석!$E$7:$E$506,O223)&gt;0,"Y","N"))</f>
        <v/>
      </c>
      <c r="W223" s="39">
        <f>IF($A223="","",IFERROR(INDEX(계정매핑!$D$5:$D$504,MATCH($F223&amp;"",계정매핑!$A$5:$A$504,0)),"미매핑"))</f>
        <v/>
      </c>
      <c r="X223" s="9">
        <f>IF($A223="","",$F223&amp;"")</f>
        <v/>
      </c>
    </row>
    <row r="224">
      <c r="A224" s="75" t="n">
        <v>2025</v>
      </c>
      <c r="B224" s="75" t="n">
        <v>2</v>
      </c>
      <c r="C224" s="75" t="inlineStr">
        <is>
          <t>5100000220</t>
        </is>
      </c>
      <c r="D224" s="78" t="n">
        <v>45690</v>
      </c>
      <c r="E224" s="75" t="inlineStr">
        <is>
          <t>KR</t>
        </is>
      </c>
      <c r="F224" s="75" t="n">
        <v>63001000</v>
      </c>
      <c r="G224" s="75" t="n">
        <v>1701</v>
      </c>
      <c r="H224" s="76" t="n">
        <v>28208000</v>
      </c>
      <c r="I224" s="75" t="inlineStr">
        <is>
          <t>2월 SW 유지보수 - Z시스템</t>
        </is>
      </c>
      <c r="J224" s="75" t="inlineStr">
        <is>
          <t>V10021</t>
        </is>
      </c>
      <c r="K224" s="75" t="inlineStr">
        <is>
          <t>Z시스템</t>
        </is>
      </c>
      <c r="M224" s="9">
        <f>IF($A224="","",VALUE($A224&amp;"")*12+VALUE($B224&amp;""))</f>
        <v/>
      </c>
      <c r="N224" s="39">
        <f>IF($A224="","",IFERROR(INDEX(부서매핑!$C$5:$C$504,MATCH($G224&amp;"",부서매핑!$A$5:$A$504,0)),"미매핑"))</f>
        <v/>
      </c>
      <c r="O224" s="9">
        <f>IF($A224="","",N224&amp;"|"&amp;$F224)</f>
        <v/>
      </c>
      <c r="P224" s="77">
        <f>IF($A224="",0,$H224*설정!$C$23)</f>
        <v/>
      </c>
      <c r="Q224" s="39">
        <f>IF($A224="","",IF(O224&lt;&gt;원인분석!$C$9,"",IF(AND(M224&gt;=원인분석!$C$10,M224&lt;=원인분석!$C$11),"당기",IF(AND(M224&gt;=원인분석!$C$12,M224&lt;=원인분석!$C$13),"비교",""))))</f>
        <v/>
      </c>
      <c r="R224" s="9">
        <f>IF(Q224="","",$K224&amp;"")</f>
        <v/>
      </c>
      <c r="S224" s="9">
        <f>IF(Q224="","",IF(MATCH(R224,$R$5:$R$100000,0)=ROW()-4,ROW(),""))</f>
        <v/>
      </c>
      <c r="T224" s="9">
        <f>IF(Q224="당기",ABS(P224)+ROW()/1000000000,"")</f>
        <v/>
      </c>
      <c r="U224" s="9">
        <f>IF(Q224="비교",ABS(P224)+ROW()/1000000000,"")</f>
        <v/>
      </c>
      <c r="V224" s="39">
        <f>IF($A224="","",IF(COUNTIF(변동분석!$E$7:$E$506,O224)&gt;0,"Y","N"))</f>
        <v/>
      </c>
      <c r="W224" s="39">
        <f>IF($A224="","",IFERROR(INDEX(계정매핑!$D$5:$D$504,MATCH($F224&amp;"",계정매핑!$A$5:$A$504,0)),"미매핑"))</f>
        <v/>
      </c>
      <c r="X224" s="9">
        <f>IF($A224="","",$F224&amp;"")</f>
        <v/>
      </c>
    </row>
    <row r="225">
      <c r="A225" s="75" t="n">
        <v>2025</v>
      </c>
      <c r="B225" s="75" t="n">
        <v>2</v>
      </c>
      <c r="C225" s="75" t="inlineStr">
        <is>
          <t>5100000221</t>
        </is>
      </c>
      <c r="D225" s="78" t="n">
        <v>45691</v>
      </c>
      <c r="E225" s="75" t="inlineStr">
        <is>
          <t>KR</t>
        </is>
      </c>
      <c r="F225" s="75" t="n">
        <v>62102000</v>
      </c>
      <c r="G225" s="75" t="n">
        <v>1201</v>
      </c>
      <c r="H225" s="76" t="n">
        <v>46000</v>
      </c>
      <c r="I225" s="75" t="inlineStr">
        <is>
          <t>2월 해외출장 - M항공</t>
        </is>
      </c>
      <c r="J225" s="75" t="inlineStr">
        <is>
          <t>V10001</t>
        </is>
      </c>
      <c r="K225" s="75" t="inlineStr">
        <is>
          <t>M항공</t>
        </is>
      </c>
      <c r="M225" s="9">
        <f>IF($A225="","",VALUE($A225&amp;"")*12+VALUE($B225&amp;""))</f>
        <v/>
      </c>
      <c r="N225" s="39">
        <f>IF($A225="","",IFERROR(INDEX(부서매핑!$C$5:$C$504,MATCH($G225&amp;"",부서매핑!$A$5:$A$504,0)),"미매핑"))</f>
        <v/>
      </c>
      <c r="O225" s="9">
        <f>IF($A225="","",N225&amp;"|"&amp;$F225)</f>
        <v/>
      </c>
      <c r="P225" s="77">
        <f>IF($A225="",0,$H225*설정!$C$23)</f>
        <v/>
      </c>
      <c r="Q225" s="39">
        <f>IF($A225="","",IF(O225&lt;&gt;원인분석!$C$9,"",IF(AND(M225&gt;=원인분석!$C$10,M225&lt;=원인분석!$C$11),"당기",IF(AND(M225&gt;=원인분석!$C$12,M225&lt;=원인분석!$C$13),"비교",""))))</f>
        <v/>
      </c>
      <c r="R225" s="9">
        <f>IF(Q225="","",$K225&amp;"")</f>
        <v/>
      </c>
      <c r="S225" s="9">
        <f>IF(Q225="","",IF(MATCH(R225,$R$5:$R$100000,0)=ROW()-4,ROW(),""))</f>
        <v/>
      </c>
      <c r="T225" s="9">
        <f>IF(Q225="당기",ABS(P225)+ROW()/1000000000,"")</f>
        <v/>
      </c>
      <c r="U225" s="9">
        <f>IF(Q225="비교",ABS(P225)+ROW()/1000000000,"")</f>
        <v/>
      </c>
      <c r="V225" s="39">
        <f>IF($A225="","",IF(COUNTIF(변동분석!$E$7:$E$506,O225)&gt;0,"Y","N"))</f>
        <v/>
      </c>
      <c r="W225" s="39">
        <f>IF($A225="","",IFERROR(INDEX(계정매핑!$D$5:$D$504,MATCH($F225&amp;"",계정매핑!$A$5:$A$504,0)),"미매핑"))</f>
        <v/>
      </c>
      <c r="X225" s="9">
        <f>IF($A225="","",$F225&amp;"")</f>
        <v/>
      </c>
    </row>
    <row r="226">
      <c r="A226" s="75" t="n">
        <v>2025</v>
      </c>
      <c r="B226" s="75" t="n">
        <v>2</v>
      </c>
      <c r="C226" s="75" t="inlineStr">
        <is>
          <t>5100000222</t>
        </is>
      </c>
      <c r="D226" s="78" t="n">
        <v>45691</v>
      </c>
      <c r="E226" s="75" t="inlineStr">
        <is>
          <t>KR</t>
        </is>
      </c>
      <c r="F226" s="75" t="n">
        <v>62102000</v>
      </c>
      <c r="G226" s="75" t="n">
        <v>1401</v>
      </c>
      <c r="H226" s="76" t="n">
        <v>76000</v>
      </c>
      <c r="I226" s="75" t="inlineStr">
        <is>
          <t>2월 해외출장 - M항공</t>
        </is>
      </c>
      <c r="J226" s="75" t="inlineStr">
        <is>
          <t>V10001</t>
        </is>
      </c>
      <c r="K226" s="75" t="inlineStr">
        <is>
          <t>M항공</t>
        </is>
      </c>
      <c r="M226" s="9">
        <f>IF($A226="","",VALUE($A226&amp;"")*12+VALUE($B226&amp;""))</f>
        <v/>
      </c>
      <c r="N226" s="39">
        <f>IF($A226="","",IFERROR(INDEX(부서매핑!$C$5:$C$504,MATCH($G226&amp;"",부서매핑!$A$5:$A$504,0)),"미매핑"))</f>
        <v/>
      </c>
      <c r="O226" s="9">
        <f>IF($A226="","",N226&amp;"|"&amp;$F226)</f>
        <v/>
      </c>
      <c r="P226" s="77">
        <f>IF($A226="",0,$H226*설정!$C$23)</f>
        <v/>
      </c>
      <c r="Q226" s="39">
        <f>IF($A226="","",IF(O226&lt;&gt;원인분석!$C$9,"",IF(AND(M226&gt;=원인분석!$C$10,M226&lt;=원인분석!$C$11),"당기",IF(AND(M226&gt;=원인분석!$C$12,M226&lt;=원인분석!$C$13),"비교",""))))</f>
        <v/>
      </c>
      <c r="R226" s="9">
        <f>IF(Q226="","",$K226&amp;"")</f>
        <v/>
      </c>
      <c r="S226" s="9">
        <f>IF(Q226="","",IF(MATCH(R226,$R$5:$R$100000,0)=ROW()-4,ROW(),""))</f>
        <v/>
      </c>
      <c r="T226" s="9">
        <f>IF(Q226="당기",ABS(P226)+ROW()/1000000000,"")</f>
        <v/>
      </c>
      <c r="U226" s="9">
        <f>IF(Q226="비교",ABS(P226)+ROW()/1000000000,"")</f>
        <v/>
      </c>
      <c r="V226" s="39">
        <f>IF($A226="","",IF(COUNTIF(변동분석!$E$7:$E$506,O226)&gt;0,"Y","N"))</f>
        <v/>
      </c>
      <c r="W226" s="39">
        <f>IF($A226="","",IFERROR(INDEX(계정매핑!$D$5:$D$504,MATCH($F226&amp;"",계정매핑!$A$5:$A$504,0)),"미매핑"))</f>
        <v/>
      </c>
      <c r="X226" s="9">
        <f>IF($A226="","",$F226&amp;"")</f>
        <v/>
      </c>
    </row>
    <row r="227">
      <c r="A227" s="75" t="n">
        <v>2025</v>
      </c>
      <c r="B227" s="75" t="n">
        <v>2</v>
      </c>
      <c r="C227" s="75" t="inlineStr">
        <is>
          <t>5100000223</t>
        </is>
      </c>
      <c r="D227" s="78" t="n">
        <v>45691</v>
      </c>
      <c r="E227" s="75" t="inlineStr">
        <is>
          <t>KR</t>
        </is>
      </c>
      <c r="F227" s="75" t="n">
        <v>62102000</v>
      </c>
      <c r="G227" s="75" t="n">
        <v>1701</v>
      </c>
      <c r="H227" s="76" t="n">
        <v>62000</v>
      </c>
      <c r="I227" s="75" t="inlineStr">
        <is>
          <t>2월 해외출장 - M항공</t>
        </is>
      </c>
      <c r="J227" s="75" t="inlineStr">
        <is>
          <t>V10001</t>
        </is>
      </c>
      <c r="K227" s="75" t="inlineStr">
        <is>
          <t>M항공</t>
        </is>
      </c>
      <c r="M227" s="9">
        <f>IF($A227="","",VALUE($A227&amp;"")*12+VALUE($B227&amp;""))</f>
        <v/>
      </c>
      <c r="N227" s="39">
        <f>IF($A227="","",IFERROR(INDEX(부서매핑!$C$5:$C$504,MATCH($G227&amp;"",부서매핑!$A$5:$A$504,0)),"미매핑"))</f>
        <v/>
      </c>
      <c r="O227" s="9">
        <f>IF($A227="","",N227&amp;"|"&amp;$F227)</f>
        <v/>
      </c>
      <c r="P227" s="77">
        <f>IF($A227="",0,$H227*설정!$C$23)</f>
        <v/>
      </c>
      <c r="Q227" s="39">
        <f>IF($A227="","",IF(O227&lt;&gt;원인분석!$C$9,"",IF(AND(M227&gt;=원인분석!$C$10,M227&lt;=원인분석!$C$11),"당기",IF(AND(M227&gt;=원인분석!$C$12,M227&lt;=원인분석!$C$13),"비교",""))))</f>
        <v/>
      </c>
      <c r="R227" s="9">
        <f>IF(Q227="","",$K227&amp;"")</f>
        <v/>
      </c>
      <c r="S227" s="9">
        <f>IF(Q227="","",IF(MATCH(R227,$R$5:$R$100000,0)=ROW()-4,ROW(),""))</f>
        <v/>
      </c>
      <c r="T227" s="9">
        <f>IF(Q227="당기",ABS(P227)+ROW()/1000000000,"")</f>
        <v/>
      </c>
      <c r="U227" s="9">
        <f>IF(Q227="비교",ABS(P227)+ROW()/1000000000,"")</f>
        <v/>
      </c>
      <c r="V227" s="39">
        <f>IF($A227="","",IF(COUNTIF(변동분석!$E$7:$E$506,O227)&gt;0,"Y","N"))</f>
        <v/>
      </c>
      <c r="W227" s="39">
        <f>IF($A227="","",IFERROR(INDEX(계정매핑!$D$5:$D$504,MATCH($F227&amp;"",계정매핑!$A$5:$A$504,0)),"미매핑"))</f>
        <v/>
      </c>
      <c r="X227" s="9">
        <f>IF($A227="","",$F227&amp;"")</f>
        <v/>
      </c>
    </row>
    <row r="228">
      <c r="A228" s="75" t="n">
        <v>2025</v>
      </c>
      <c r="B228" s="75" t="n">
        <v>2</v>
      </c>
      <c r="C228" s="75" t="inlineStr">
        <is>
          <t>5100000224</t>
        </is>
      </c>
      <c r="D228" s="78" t="n">
        <v>45691</v>
      </c>
      <c r="E228" s="75" t="inlineStr">
        <is>
          <t>KR</t>
        </is>
      </c>
      <c r="F228" s="75" t="n">
        <v>62301000</v>
      </c>
      <c r="G228" s="75" t="n">
        <v>1501</v>
      </c>
      <c r="H228" s="76" t="n">
        <v>163000</v>
      </c>
      <c r="I228" s="75" t="inlineStr">
        <is>
          <t>2월 소모품 구입 - Q오피스</t>
        </is>
      </c>
      <c r="J228" s="75" t="inlineStr">
        <is>
          <t>V10003</t>
        </is>
      </c>
      <c r="K228" s="75" t="inlineStr">
        <is>
          <t>Q오피스</t>
        </is>
      </c>
      <c r="M228" s="9">
        <f>IF($A228="","",VALUE($A228&amp;"")*12+VALUE($B228&amp;""))</f>
        <v/>
      </c>
      <c r="N228" s="39">
        <f>IF($A228="","",IFERROR(INDEX(부서매핑!$C$5:$C$504,MATCH($G228&amp;"",부서매핑!$A$5:$A$504,0)),"미매핑"))</f>
        <v/>
      </c>
      <c r="O228" s="9">
        <f>IF($A228="","",N228&amp;"|"&amp;$F228)</f>
        <v/>
      </c>
      <c r="P228" s="77">
        <f>IF($A228="",0,$H228*설정!$C$23)</f>
        <v/>
      </c>
      <c r="Q228" s="39">
        <f>IF($A228="","",IF(O228&lt;&gt;원인분석!$C$9,"",IF(AND(M228&gt;=원인분석!$C$10,M228&lt;=원인분석!$C$11),"당기",IF(AND(M228&gt;=원인분석!$C$12,M228&lt;=원인분석!$C$13),"비교",""))))</f>
        <v/>
      </c>
      <c r="R228" s="9">
        <f>IF(Q228="","",$K228&amp;"")</f>
        <v/>
      </c>
      <c r="S228" s="9">
        <f>IF(Q228="","",IF(MATCH(R228,$R$5:$R$100000,0)=ROW()-4,ROW(),""))</f>
        <v/>
      </c>
      <c r="T228" s="9">
        <f>IF(Q228="당기",ABS(P228)+ROW()/1000000000,"")</f>
        <v/>
      </c>
      <c r="U228" s="9">
        <f>IF(Q228="비교",ABS(P228)+ROW()/1000000000,"")</f>
        <v/>
      </c>
      <c r="V228" s="39">
        <f>IF($A228="","",IF(COUNTIF(변동분석!$E$7:$E$506,O228)&gt;0,"Y","N"))</f>
        <v/>
      </c>
      <c r="W228" s="39">
        <f>IF($A228="","",IFERROR(INDEX(계정매핑!$D$5:$D$504,MATCH($F228&amp;"",계정매핑!$A$5:$A$504,0)),"미매핑"))</f>
        <v/>
      </c>
      <c r="X228" s="9">
        <f>IF($A228="","",$F228&amp;"")</f>
        <v/>
      </c>
    </row>
    <row r="229">
      <c r="A229" s="75" t="n">
        <v>2025</v>
      </c>
      <c r="B229" s="75" t="n">
        <v>2</v>
      </c>
      <c r="C229" s="75" t="inlineStr">
        <is>
          <t>5100000225</t>
        </is>
      </c>
      <c r="D229" s="78" t="n">
        <v>45691</v>
      </c>
      <c r="E229" s="75" t="inlineStr">
        <is>
          <t>KR</t>
        </is>
      </c>
      <c r="F229" s="75" t="n">
        <v>62401000</v>
      </c>
      <c r="G229" s="75" t="n">
        <v>1401</v>
      </c>
      <c r="H229" s="76" t="n">
        <v>518000</v>
      </c>
      <c r="I229" s="75" t="inlineStr">
        <is>
          <t>2월 인쇄물 제작 - S출판</t>
        </is>
      </c>
      <c r="J229" s="75" t="inlineStr">
        <is>
          <t>V10012</t>
        </is>
      </c>
      <c r="K229" s="75" t="inlineStr">
        <is>
          <t>S출판</t>
        </is>
      </c>
      <c r="M229" s="9">
        <f>IF($A229="","",VALUE($A229&amp;"")*12+VALUE($B229&amp;""))</f>
        <v/>
      </c>
      <c r="N229" s="39">
        <f>IF($A229="","",IFERROR(INDEX(부서매핑!$C$5:$C$504,MATCH($G229&amp;"",부서매핑!$A$5:$A$504,0)),"미매핑"))</f>
        <v/>
      </c>
      <c r="O229" s="9">
        <f>IF($A229="","",N229&amp;"|"&amp;$F229)</f>
        <v/>
      </c>
      <c r="P229" s="77">
        <f>IF($A229="",0,$H229*설정!$C$23)</f>
        <v/>
      </c>
      <c r="Q229" s="39">
        <f>IF($A229="","",IF(O229&lt;&gt;원인분석!$C$9,"",IF(AND(M229&gt;=원인분석!$C$10,M229&lt;=원인분석!$C$11),"당기",IF(AND(M229&gt;=원인분석!$C$12,M229&lt;=원인분석!$C$13),"비교",""))))</f>
        <v/>
      </c>
      <c r="R229" s="9">
        <f>IF(Q229="","",$K229&amp;"")</f>
        <v/>
      </c>
      <c r="S229" s="9">
        <f>IF(Q229="","",IF(MATCH(R229,$R$5:$R$100000,0)=ROW()-4,ROW(),""))</f>
        <v/>
      </c>
      <c r="T229" s="9">
        <f>IF(Q229="당기",ABS(P229)+ROW()/1000000000,"")</f>
        <v/>
      </c>
      <c r="U229" s="9">
        <f>IF(Q229="비교",ABS(P229)+ROW()/1000000000,"")</f>
        <v/>
      </c>
      <c r="V229" s="39">
        <f>IF($A229="","",IF(COUNTIF(변동분석!$E$7:$E$506,O229)&gt;0,"Y","N"))</f>
        <v/>
      </c>
      <c r="W229" s="39">
        <f>IF($A229="","",IFERROR(INDEX(계정매핑!$D$5:$D$504,MATCH($F229&amp;"",계정매핑!$A$5:$A$504,0)),"미매핑"))</f>
        <v/>
      </c>
      <c r="X229" s="9">
        <f>IF($A229="","",$F229&amp;"")</f>
        <v/>
      </c>
    </row>
    <row r="230">
      <c r="A230" s="75" t="n">
        <v>2025</v>
      </c>
      <c r="B230" s="75" t="n">
        <v>2</v>
      </c>
      <c r="C230" s="75" t="inlineStr">
        <is>
          <t>5100000226</t>
        </is>
      </c>
      <c r="D230" s="78" t="n">
        <v>45691</v>
      </c>
      <c r="E230" s="75" t="inlineStr">
        <is>
          <t>KR</t>
        </is>
      </c>
      <c r="F230" s="75" t="n">
        <v>62901000</v>
      </c>
      <c r="G230" s="75" t="n">
        <v>1401</v>
      </c>
      <c r="H230" s="76" t="n">
        <v>5262000</v>
      </c>
      <c r="I230" s="75" t="inlineStr">
        <is>
          <t>2월 자문 수수료 - W컨설팅</t>
        </is>
      </c>
      <c r="J230" s="75" t="inlineStr">
        <is>
          <t>V10009</t>
        </is>
      </c>
      <c r="K230" s="75" t="inlineStr">
        <is>
          <t>W컨설팅</t>
        </is>
      </c>
      <c r="M230" s="9">
        <f>IF($A230="","",VALUE($A230&amp;"")*12+VALUE($B230&amp;""))</f>
        <v/>
      </c>
      <c r="N230" s="39">
        <f>IF($A230="","",IFERROR(INDEX(부서매핑!$C$5:$C$504,MATCH($G230&amp;"",부서매핑!$A$5:$A$504,0)),"미매핑"))</f>
        <v/>
      </c>
      <c r="O230" s="9">
        <f>IF($A230="","",N230&amp;"|"&amp;$F230)</f>
        <v/>
      </c>
      <c r="P230" s="77">
        <f>IF($A230="",0,$H230*설정!$C$23)</f>
        <v/>
      </c>
      <c r="Q230" s="39">
        <f>IF($A230="","",IF(O230&lt;&gt;원인분석!$C$9,"",IF(AND(M230&gt;=원인분석!$C$10,M230&lt;=원인분석!$C$11),"당기",IF(AND(M230&gt;=원인분석!$C$12,M230&lt;=원인분석!$C$13),"비교",""))))</f>
        <v/>
      </c>
      <c r="R230" s="9">
        <f>IF(Q230="","",$K230&amp;"")</f>
        <v/>
      </c>
      <c r="S230" s="9">
        <f>IF(Q230="","",IF(MATCH(R230,$R$5:$R$100000,0)=ROW()-4,ROW(),""))</f>
        <v/>
      </c>
      <c r="T230" s="9">
        <f>IF(Q230="당기",ABS(P230)+ROW()/1000000000,"")</f>
        <v/>
      </c>
      <c r="U230" s="9">
        <f>IF(Q230="비교",ABS(P230)+ROW()/1000000000,"")</f>
        <v/>
      </c>
      <c r="V230" s="39">
        <f>IF($A230="","",IF(COUNTIF(변동분석!$E$7:$E$506,O230)&gt;0,"Y","N"))</f>
        <v/>
      </c>
      <c r="W230" s="39">
        <f>IF($A230="","",IFERROR(INDEX(계정매핑!$D$5:$D$504,MATCH($F230&amp;"",계정매핑!$A$5:$A$504,0)),"미매핑"))</f>
        <v/>
      </c>
      <c r="X230" s="9">
        <f>IF($A230="","",$F230&amp;"")</f>
        <v/>
      </c>
    </row>
    <row r="231">
      <c r="A231" s="75" t="n">
        <v>2025</v>
      </c>
      <c r="B231" s="75" t="n">
        <v>2</v>
      </c>
      <c r="C231" s="75" t="inlineStr">
        <is>
          <t>5100000227</t>
        </is>
      </c>
      <c r="D231" s="78" t="n">
        <v>45691</v>
      </c>
      <c r="E231" s="75" t="inlineStr">
        <is>
          <t>KR</t>
        </is>
      </c>
      <c r="F231" s="75" t="n">
        <v>62902000</v>
      </c>
      <c r="G231" s="75" t="n">
        <v>1801</v>
      </c>
      <c r="H231" s="76" t="n">
        <v>1771000</v>
      </c>
      <c r="I231" s="75" t="inlineStr">
        <is>
          <t>2월 콜 위탁 수수료(건별)</t>
        </is>
      </c>
      <c r="J231" s="75" t="inlineStr">
        <is>
          <t>V10013</t>
        </is>
      </c>
      <c r="K231" s="75" t="inlineStr">
        <is>
          <t>J콜센터</t>
        </is>
      </c>
      <c r="M231" s="9">
        <f>IF($A231="","",VALUE($A231&amp;"")*12+VALUE($B231&amp;""))</f>
        <v/>
      </c>
      <c r="N231" s="39">
        <f>IF($A231="","",IFERROR(INDEX(부서매핑!$C$5:$C$504,MATCH($G231&amp;"",부서매핑!$A$5:$A$504,0)),"미매핑"))</f>
        <v/>
      </c>
      <c r="O231" s="9">
        <f>IF($A231="","",N231&amp;"|"&amp;$F231)</f>
        <v/>
      </c>
      <c r="P231" s="77">
        <f>IF($A231="",0,$H231*설정!$C$23)</f>
        <v/>
      </c>
      <c r="Q231" s="39">
        <f>IF($A231="","",IF(O231&lt;&gt;원인분석!$C$9,"",IF(AND(M231&gt;=원인분석!$C$10,M231&lt;=원인분석!$C$11),"당기",IF(AND(M231&gt;=원인분석!$C$12,M231&lt;=원인분석!$C$13),"비교",""))))</f>
        <v/>
      </c>
      <c r="R231" s="9">
        <f>IF(Q231="","",$K231&amp;"")</f>
        <v/>
      </c>
      <c r="S231" s="9">
        <f>IF(Q231="","",IF(MATCH(R231,$R$5:$R$100000,0)=ROW()-4,ROW(),""))</f>
        <v/>
      </c>
      <c r="T231" s="9">
        <f>IF(Q231="당기",ABS(P231)+ROW()/1000000000,"")</f>
        <v/>
      </c>
      <c r="U231" s="9">
        <f>IF(Q231="비교",ABS(P231)+ROW()/1000000000,"")</f>
        <v/>
      </c>
      <c r="V231" s="39">
        <f>IF($A231="","",IF(COUNTIF(변동분석!$E$7:$E$506,O231)&gt;0,"Y","N"))</f>
        <v/>
      </c>
      <c r="W231" s="39">
        <f>IF($A231="","",IFERROR(INDEX(계정매핑!$D$5:$D$504,MATCH($F231&amp;"",계정매핑!$A$5:$A$504,0)),"미매핑"))</f>
        <v/>
      </c>
      <c r="X231" s="9">
        <f>IF($A231="","",$F231&amp;"")</f>
        <v/>
      </c>
    </row>
    <row r="232">
      <c r="A232" s="75" t="n">
        <v>2025</v>
      </c>
      <c r="B232" s="75" t="n">
        <v>2</v>
      </c>
      <c r="C232" s="75" t="inlineStr">
        <is>
          <t>5100000228</t>
        </is>
      </c>
      <c r="D232" s="78" t="n">
        <v>45692</v>
      </c>
      <c r="E232" s="75" t="inlineStr">
        <is>
          <t>KR</t>
        </is>
      </c>
      <c r="F232" s="75" t="n">
        <v>62101000</v>
      </c>
      <c r="G232" s="75" t="n">
        <v>1201</v>
      </c>
      <c r="H232" s="76" t="n">
        <v>189000</v>
      </c>
      <c r="I232" s="75" t="inlineStr">
        <is>
          <t>2월 국내출장 - M항공</t>
        </is>
      </c>
      <c r="J232" s="75" t="inlineStr">
        <is>
          <t>V10001</t>
        </is>
      </c>
      <c r="K232" s="75" t="inlineStr">
        <is>
          <t>M항공</t>
        </is>
      </c>
      <c r="M232" s="9">
        <f>IF($A232="","",VALUE($A232&amp;"")*12+VALUE($B232&amp;""))</f>
        <v/>
      </c>
      <c r="N232" s="39">
        <f>IF($A232="","",IFERROR(INDEX(부서매핑!$C$5:$C$504,MATCH($G232&amp;"",부서매핑!$A$5:$A$504,0)),"미매핑"))</f>
        <v/>
      </c>
      <c r="O232" s="9">
        <f>IF($A232="","",N232&amp;"|"&amp;$F232)</f>
        <v/>
      </c>
      <c r="P232" s="77">
        <f>IF($A232="",0,$H232*설정!$C$23)</f>
        <v/>
      </c>
      <c r="Q232" s="39">
        <f>IF($A232="","",IF(O232&lt;&gt;원인분석!$C$9,"",IF(AND(M232&gt;=원인분석!$C$10,M232&lt;=원인분석!$C$11),"당기",IF(AND(M232&gt;=원인분석!$C$12,M232&lt;=원인분석!$C$13),"비교",""))))</f>
        <v/>
      </c>
      <c r="R232" s="9">
        <f>IF(Q232="","",$K232&amp;"")</f>
        <v/>
      </c>
      <c r="S232" s="9">
        <f>IF(Q232="","",IF(MATCH(R232,$R$5:$R$100000,0)=ROW()-4,ROW(),""))</f>
        <v/>
      </c>
      <c r="T232" s="9">
        <f>IF(Q232="당기",ABS(P232)+ROW()/1000000000,"")</f>
        <v/>
      </c>
      <c r="U232" s="9">
        <f>IF(Q232="비교",ABS(P232)+ROW()/1000000000,"")</f>
        <v/>
      </c>
      <c r="V232" s="39">
        <f>IF($A232="","",IF(COUNTIF(변동분석!$E$7:$E$506,O232)&gt;0,"Y","N"))</f>
        <v/>
      </c>
      <c r="W232" s="39">
        <f>IF($A232="","",IFERROR(INDEX(계정매핑!$D$5:$D$504,MATCH($F232&amp;"",계정매핑!$A$5:$A$504,0)),"미매핑"))</f>
        <v/>
      </c>
      <c r="X232" s="9">
        <f>IF($A232="","",$F232&amp;"")</f>
        <v/>
      </c>
    </row>
    <row r="233">
      <c r="A233" s="75" t="n">
        <v>2025</v>
      </c>
      <c r="B233" s="75" t="n">
        <v>2</v>
      </c>
      <c r="C233" s="75" t="inlineStr">
        <is>
          <t>5100000229</t>
        </is>
      </c>
      <c r="D233" s="78" t="n">
        <v>45692</v>
      </c>
      <c r="E233" s="75" t="inlineStr">
        <is>
          <t>KR</t>
        </is>
      </c>
      <c r="F233" s="75" t="n">
        <v>62102000</v>
      </c>
      <c r="G233" s="75" t="n">
        <v>1801</v>
      </c>
      <c r="H233" s="76" t="n">
        <v>45000</v>
      </c>
      <c r="I233" s="75" t="inlineStr">
        <is>
          <t>2월 해외출장 - M항공</t>
        </is>
      </c>
      <c r="J233" s="75" t="inlineStr">
        <is>
          <t>V10001</t>
        </is>
      </c>
      <c r="K233" s="75" t="inlineStr">
        <is>
          <t>M항공</t>
        </is>
      </c>
      <c r="M233" s="9">
        <f>IF($A233="","",VALUE($A233&amp;"")*12+VALUE($B233&amp;""))</f>
        <v/>
      </c>
      <c r="N233" s="39">
        <f>IF($A233="","",IFERROR(INDEX(부서매핑!$C$5:$C$504,MATCH($G233&amp;"",부서매핑!$A$5:$A$504,0)),"미매핑"))</f>
        <v/>
      </c>
      <c r="O233" s="9">
        <f>IF($A233="","",N233&amp;"|"&amp;$F233)</f>
        <v/>
      </c>
      <c r="P233" s="77">
        <f>IF($A233="",0,$H233*설정!$C$23)</f>
        <v/>
      </c>
      <c r="Q233" s="39">
        <f>IF($A233="","",IF(O233&lt;&gt;원인분석!$C$9,"",IF(AND(M233&gt;=원인분석!$C$10,M233&lt;=원인분석!$C$11),"당기",IF(AND(M233&gt;=원인분석!$C$12,M233&lt;=원인분석!$C$13),"비교",""))))</f>
        <v/>
      </c>
      <c r="R233" s="9">
        <f>IF(Q233="","",$K233&amp;"")</f>
        <v/>
      </c>
      <c r="S233" s="9">
        <f>IF(Q233="","",IF(MATCH(R233,$R$5:$R$100000,0)=ROW()-4,ROW(),""))</f>
        <v/>
      </c>
      <c r="T233" s="9">
        <f>IF(Q233="당기",ABS(P233)+ROW()/1000000000,"")</f>
        <v/>
      </c>
      <c r="U233" s="9">
        <f>IF(Q233="비교",ABS(P233)+ROW()/1000000000,"")</f>
        <v/>
      </c>
      <c r="V233" s="39">
        <f>IF($A233="","",IF(COUNTIF(변동분석!$E$7:$E$506,O233)&gt;0,"Y","N"))</f>
        <v/>
      </c>
      <c r="W233" s="39">
        <f>IF($A233="","",IFERROR(INDEX(계정매핑!$D$5:$D$504,MATCH($F233&amp;"",계정매핑!$A$5:$A$504,0)),"미매핑"))</f>
        <v/>
      </c>
      <c r="X233" s="9">
        <f>IF($A233="","",$F233&amp;"")</f>
        <v/>
      </c>
    </row>
    <row r="234">
      <c r="A234" s="75" t="n">
        <v>2025</v>
      </c>
      <c r="B234" s="75" t="n">
        <v>2</v>
      </c>
      <c r="C234" s="75" t="inlineStr">
        <is>
          <t>5100000230</t>
        </is>
      </c>
      <c r="D234" s="78" t="n">
        <v>45692</v>
      </c>
      <c r="E234" s="75" t="inlineStr">
        <is>
          <t>KR</t>
        </is>
      </c>
      <c r="F234" s="75" t="n">
        <v>62301000</v>
      </c>
      <c r="G234" s="75" t="n">
        <v>1602</v>
      </c>
      <c r="H234" s="76" t="n">
        <v>653000</v>
      </c>
      <c r="I234" s="75" t="inlineStr">
        <is>
          <t>2월 소모품 구입 - Q오피스</t>
        </is>
      </c>
      <c r="J234" s="75" t="inlineStr">
        <is>
          <t>V10003</t>
        </is>
      </c>
      <c r="K234" s="75" t="inlineStr">
        <is>
          <t>Q오피스</t>
        </is>
      </c>
      <c r="M234" s="9">
        <f>IF($A234="","",VALUE($A234&amp;"")*12+VALUE($B234&amp;""))</f>
        <v/>
      </c>
      <c r="N234" s="39">
        <f>IF($A234="","",IFERROR(INDEX(부서매핑!$C$5:$C$504,MATCH($G234&amp;"",부서매핑!$A$5:$A$504,0)),"미매핑"))</f>
        <v/>
      </c>
      <c r="O234" s="9">
        <f>IF($A234="","",N234&amp;"|"&amp;$F234)</f>
        <v/>
      </c>
      <c r="P234" s="77">
        <f>IF($A234="",0,$H234*설정!$C$23)</f>
        <v/>
      </c>
      <c r="Q234" s="39">
        <f>IF($A234="","",IF(O234&lt;&gt;원인분석!$C$9,"",IF(AND(M234&gt;=원인분석!$C$10,M234&lt;=원인분석!$C$11),"당기",IF(AND(M234&gt;=원인분석!$C$12,M234&lt;=원인분석!$C$13),"비교",""))))</f>
        <v/>
      </c>
      <c r="R234" s="9">
        <f>IF(Q234="","",$K234&amp;"")</f>
        <v/>
      </c>
      <c r="S234" s="9">
        <f>IF(Q234="","",IF(MATCH(R234,$R$5:$R$100000,0)=ROW()-4,ROW(),""))</f>
        <v/>
      </c>
      <c r="T234" s="9">
        <f>IF(Q234="당기",ABS(P234)+ROW()/1000000000,"")</f>
        <v/>
      </c>
      <c r="U234" s="9">
        <f>IF(Q234="비교",ABS(P234)+ROW()/1000000000,"")</f>
        <v/>
      </c>
      <c r="V234" s="39">
        <f>IF($A234="","",IF(COUNTIF(변동분석!$E$7:$E$506,O234)&gt;0,"Y","N"))</f>
        <v/>
      </c>
      <c r="W234" s="39">
        <f>IF($A234="","",IFERROR(INDEX(계정매핑!$D$5:$D$504,MATCH($F234&amp;"",계정매핑!$A$5:$A$504,0)),"미매핑"))</f>
        <v/>
      </c>
      <c r="X234" s="9">
        <f>IF($A234="","",$F234&amp;"")</f>
        <v/>
      </c>
    </row>
    <row r="235">
      <c r="A235" s="75" t="n">
        <v>2025</v>
      </c>
      <c r="B235" s="75" t="n">
        <v>2</v>
      </c>
      <c r="C235" s="75" t="inlineStr">
        <is>
          <t>5100000231</t>
        </is>
      </c>
      <c r="D235" s="78" t="n">
        <v>45692</v>
      </c>
      <c r="E235" s="75" t="inlineStr">
        <is>
          <t>KR</t>
        </is>
      </c>
      <c r="F235" s="75" t="n">
        <v>62601000</v>
      </c>
      <c r="G235" s="75" t="n">
        <v>1301</v>
      </c>
      <c r="H235" s="76" t="n">
        <v>1258000</v>
      </c>
      <c r="I235" s="75" t="inlineStr">
        <is>
          <t>2월 업무추진 - (법인카드)</t>
        </is>
      </c>
      <c r="J235" s="75" t="inlineStr">
        <is>
          <t>V10008</t>
        </is>
      </c>
      <c r="K235" s="75" t="inlineStr">
        <is>
          <t>(법인카드)</t>
        </is>
      </c>
      <c r="M235" s="9">
        <f>IF($A235="","",VALUE($A235&amp;"")*12+VALUE($B235&amp;""))</f>
        <v/>
      </c>
      <c r="N235" s="39">
        <f>IF($A235="","",IFERROR(INDEX(부서매핑!$C$5:$C$504,MATCH($G235&amp;"",부서매핑!$A$5:$A$504,0)),"미매핑"))</f>
        <v/>
      </c>
      <c r="O235" s="9">
        <f>IF($A235="","",N235&amp;"|"&amp;$F235)</f>
        <v/>
      </c>
      <c r="P235" s="77">
        <f>IF($A235="",0,$H235*설정!$C$23)</f>
        <v/>
      </c>
      <c r="Q235" s="39">
        <f>IF($A235="","",IF(O235&lt;&gt;원인분석!$C$9,"",IF(AND(M235&gt;=원인분석!$C$10,M235&lt;=원인분석!$C$11),"당기",IF(AND(M235&gt;=원인분석!$C$12,M235&lt;=원인분석!$C$13),"비교",""))))</f>
        <v/>
      </c>
      <c r="R235" s="9">
        <f>IF(Q235="","",$K235&amp;"")</f>
        <v/>
      </c>
      <c r="S235" s="9">
        <f>IF(Q235="","",IF(MATCH(R235,$R$5:$R$100000,0)=ROW()-4,ROW(),""))</f>
        <v/>
      </c>
      <c r="T235" s="9">
        <f>IF(Q235="당기",ABS(P235)+ROW()/1000000000,"")</f>
        <v/>
      </c>
      <c r="U235" s="9">
        <f>IF(Q235="비교",ABS(P235)+ROW()/1000000000,"")</f>
        <v/>
      </c>
      <c r="V235" s="39">
        <f>IF($A235="","",IF(COUNTIF(변동분석!$E$7:$E$506,O235)&gt;0,"Y","N"))</f>
        <v/>
      </c>
      <c r="W235" s="39">
        <f>IF($A235="","",IFERROR(INDEX(계정매핑!$D$5:$D$504,MATCH($F235&amp;"",계정매핑!$A$5:$A$504,0)),"미매핑"))</f>
        <v/>
      </c>
      <c r="X235" s="9">
        <f>IF($A235="","",$F235&amp;"")</f>
        <v/>
      </c>
    </row>
    <row r="236">
      <c r="A236" s="75" t="n">
        <v>2025</v>
      </c>
      <c r="B236" s="75" t="n">
        <v>2</v>
      </c>
      <c r="C236" s="75" t="inlineStr">
        <is>
          <t>5100000232</t>
        </is>
      </c>
      <c r="D236" s="78" t="n">
        <v>45692</v>
      </c>
      <c r="E236" s="75" t="inlineStr">
        <is>
          <t>KR</t>
        </is>
      </c>
      <c r="F236" s="75" t="n">
        <v>62901000</v>
      </c>
      <c r="G236" s="75" t="n">
        <v>1101</v>
      </c>
      <c r="H236" s="76" t="n">
        <v>3759000</v>
      </c>
      <c r="I236" s="75" t="inlineStr">
        <is>
          <t>2월 자문 수수료 - K회계법인</t>
        </is>
      </c>
      <c r="J236" s="75" t="inlineStr">
        <is>
          <t>V10010</t>
        </is>
      </c>
      <c r="K236" s="75" t="inlineStr">
        <is>
          <t>K회계법인</t>
        </is>
      </c>
      <c r="M236" s="9">
        <f>IF($A236="","",VALUE($A236&amp;"")*12+VALUE($B236&amp;""))</f>
        <v/>
      </c>
      <c r="N236" s="39">
        <f>IF($A236="","",IFERROR(INDEX(부서매핑!$C$5:$C$504,MATCH($G236&amp;"",부서매핑!$A$5:$A$504,0)),"미매핑"))</f>
        <v/>
      </c>
      <c r="O236" s="9">
        <f>IF($A236="","",N236&amp;"|"&amp;$F236)</f>
        <v/>
      </c>
      <c r="P236" s="77">
        <f>IF($A236="",0,$H236*설정!$C$23)</f>
        <v/>
      </c>
      <c r="Q236" s="39">
        <f>IF($A236="","",IF(O236&lt;&gt;원인분석!$C$9,"",IF(AND(M236&gt;=원인분석!$C$10,M236&lt;=원인분석!$C$11),"당기",IF(AND(M236&gt;=원인분석!$C$12,M236&lt;=원인분석!$C$13),"비교",""))))</f>
        <v/>
      </c>
      <c r="R236" s="9">
        <f>IF(Q236="","",$K236&amp;"")</f>
        <v/>
      </c>
      <c r="S236" s="9">
        <f>IF(Q236="","",IF(MATCH(R236,$R$5:$R$100000,0)=ROW()-4,ROW(),""))</f>
        <v/>
      </c>
      <c r="T236" s="9">
        <f>IF(Q236="당기",ABS(P236)+ROW()/1000000000,"")</f>
        <v/>
      </c>
      <c r="U236" s="9">
        <f>IF(Q236="비교",ABS(P236)+ROW()/1000000000,"")</f>
        <v/>
      </c>
      <c r="V236" s="39">
        <f>IF($A236="","",IF(COUNTIF(변동분석!$E$7:$E$506,O236)&gt;0,"Y","N"))</f>
        <v/>
      </c>
      <c r="W236" s="39">
        <f>IF($A236="","",IFERROR(INDEX(계정매핑!$D$5:$D$504,MATCH($F236&amp;"",계정매핑!$A$5:$A$504,0)),"미매핑"))</f>
        <v/>
      </c>
      <c r="X236" s="9">
        <f>IF($A236="","",$F236&amp;"")</f>
        <v/>
      </c>
    </row>
    <row r="237">
      <c r="A237" s="75" t="n">
        <v>2025</v>
      </c>
      <c r="B237" s="75" t="n">
        <v>2</v>
      </c>
      <c r="C237" s="75" t="inlineStr">
        <is>
          <t>5100000233</t>
        </is>
      </c>
      <c r="D237" s="78" t="n">
        <v>45692</v>
      </c>
      <c r="E237" s="75" t="inlineStr">
        <is>
          <t>KR</t>
        </is>
      </c>
      <c r="F237" s="75" t="n">
        <v>62902000</v>
      </c>
      <c r="G237" s="75" t="n">
        <v>1201</v>
      </c>
      <c r="H237" s="76" t="n">
        <v>3755000</v>
      </c>
      <c r="I237" s="75" t="inlineStr">
        <is>
          <t>2월 업무 위탁 수수료 - J콜센터</t>
        </is>
      </c>
      <c r="J237" s="75" t="inlineStr">
        <is>
          <t>V10013</t>
        </is>
      </c>
      <c r="K237" s="75" t="inlineStr">
        <is>
          <t>J콜센터</t>
        </is>
      </c>
      <c r="M237" s="9">
        <f>IF($A237="","",VALUE($A237&amp;"")*12+VALUE($B237&amp;""))</f>
        <v/>
      </c>
      <c r="N237" s="39">
        <f>IF($A237="","",IFERROR(INDEX(부서매핑!$C$5:$C$504,MATCH($G237&amp;"",부서매핑!$A$5:$A$504,0)),"미매핑"))</f>
        <v/>
      </c>
      <c r="O237" s="9">
        <f>IF($A237="","",N237&amp;"|"&amp;$F237)</f>
        <v/>
      </c>
      <c r="P237" s="77">
        <f>IF($A237="",0,$H237*설정!$C$23)</f>
        <v/>
      </c>
      <c r="Q237" s="39">
        <f>IF($A237="","",IF(O237&lt;&gt;원인분석!$C$9,"",IF(AND(M237&gt;=원인분석!$C$10,M237&lt;=원인분석!$C$11),"당기",IF(AND(M237&gt;=원인분석!$C$12,M237&lt;=원인분석!$C$13),"비교",""))))</f>
        <v/>
      </c>
      <c r="R237" s="9">
        <f>IF(Q237="","",$K237&amp;"")</f>
        <v/>
      </c>
      <c r="S237" s="9">
        <f>IF(Q237="","",IF(MATCH(R237,$R$5:$R$100000,0)=ROW()-4,ROW(),""))</f>
        <v/>
      </c>
      <c r="T237" s="9">
        <f>IF(Q237="당기",ABS(P237)+ROW()/1000000000,"")</f>
        <v/>
      </c>
      <c r="U237" s="9">
        <f>IF(Q237="비교",ABS(P237)+ROW()/1000000000,"")</f>
        <v/>
      </c>
      <c r="V237" s="39">
        <f>IF($A237="","",IF(COUNTIF(변동분석!$E$7:$E$506,O237)&gt;0,"Y","N"))</f>
        <v/>
      </c>
      <c r="W237" s="39">
        <f>IF($A237="","",IFERROR(INDEX(계정매핑!$D$5:$D$504,MATCH($F237&amp;"",계정매핑!$A$5:$A$504,0)),"미매핑"))</f>
        <v/>
      </c>
      <c r="X237" s="9">
        <f>IF($A237="","",$F237&amp;"")</f>
        <v/>
      </c>
    </row>
    <row r="238">
      <c r="A238" s="75" t="n">
        <v>2025</v>
      </c>
      <c r="B238" s="75" t="n">
        <v>2</v>
      </c>
      <c r="C238" s="75" t="inlineStr">
        <is>
          <t>5100000234</t>
        </is>
      </c>
      <c r="D238" s="78" t="n">
        <v>45692</v>
      </c>
      <c r="E238" s="75" t="inlineStr">
        <is>
          <t>KR</t>
        </is>
      </c>
      <c r="F238" s="75" t="n">
        <v>63001000</v>
      </c>
      <c r="G238" s="75" t="n">
        <v>1701</v>
      </c>
      <c r="H238" s="76" t="n">
        <v>26759000</v>
      </c>
      <c r="I238" s="75" t="inlineStr">
        <is>
          <t>2월 SW 유지보수 - Y소프트</t>
        </is>
      </c>
      <c r="J238" s="75" t="inlineStr">
        <is>
          <t>V10017</t>
        </is>
      </c>
      <c r="K238" s="75" t="inlineStr">
        <is>
          <t>Y소프트</t>
        </is>
      </c>
      <c r="M238" s="9">
        <f>IF($A238="","",VALUE($A238&amp;"")*12+VALUE($B238&amp;""))</f>
        <v/>
      </c>
      <c r="N238" s="39">
        <f>IF($A238="","",IFERROR(INDEX(부서매핑!$C$5:$C$504,MATCH($G238&amp;"",부서매핑!$A$5:$A$504,0)),"미매핑"))</f>
        <v/>
      </c>
      <c r="O238" s="9">
        <f>IF($A238="","",N238&amp;"|"&amp;$F238)</f>
        <v/>
      </c>
      <c r="P238" s="77">
        <f>IF($A238="",0,$H238*설정!$C$23)</f>
        <v/>
      </c>
      <c r="Q238" s="39">
        <f>IF($A238="","",IF(O238&lt;&gt;원인분석!$C$9,"",IF(AND(M238&gt;=원인분석!$C$10,M238&lt;=원인분석!$C$11),"당기",IF(AND(M238&gt;=원인분석!$C$12,M238&lt;=원인분석!$C$13),"비교",""))))</f>
        <v/>
      </c>
      <c r="R238" s="9">
        <f>IF(Q238="","",$K238&amp;"")</f>
        <v/>
      </c>
      <c r="S238" s="9">
        <f>IF(Q238="","",IF(MATCH(R238,$R$5:$R$100000,0)=ROW()-4,ROW(),""))</f>
        <v/>
      </c>
      <c r="T238" s="9">
        <f>IF(Q238="당기",ABS(P238)+ROW()/1000000000,"")</f>
        <v/>
      </c>
      <c r="U238" s="9">
        <f>IF(Q238="비교",ABS(P238)+ROW()/1000000000,"")</f>
        <v/>
      </c>
      <c r="V238" s="39">
        <f>IF($A238="","",IF(COUNTIF(변동분석!$E$7:$E$506,O238)&gt;0,"Y","N"))</f>
        <v/>
      </c>
      <c r="W238" s="39">
        <f>IF($A238="","",IFERROR(INDEX(계정매핑!$D$5:$D$504,MATCH($F238&amp;"",계정매핑!$A$5:$A$504,0)),"미매핑"))</f>
        <v/>
      </c>
      <c r="X238" s="9">
        <f>IF($A238="","",$F238&amp;"")</f>
        <v/>
      </c>
    </row>
    <row r="239">
      <c r="A239" s="75" t="n">
        <v>2025</v>
      </c>
      <c r="B239" s="75" t="n">
        <v>2</v>
      </c>
      <c r="C239" s="75" t="inlineStr">
        <is>
          <t>5100000235</t>
        </is>
      </c>
      <c r="D239" s="78" t="n">
        <v>45693</v>
      </c>
      <c r="E239" s="75" t="inlineStr">
        <is>
          <t>KR</t>
        </is>
      </c>
      <c r="F239" s="75" t="n">
        <v>62101000</v>
      </c>
      <c r="G239" s="75" t="n">
        <v>1201</v>
      </c>
      <c r="H239" s="76" t="n">
        <v>124000</v>
      </c>
      <c r="I239" s="75" t="inlineStr">
        <is>
          <t>2월 국내출장 - L여행사</t>
        </is>
      </c>
      <c r="J239" s="75" t="inlineStr">
        <is>
          <t>V10014</t>
        </is>
      </c>
      <c r="K239" s="75" t="inlineStr">
        <is>
          <t>L여행사</t>
        </is>
      </c>
      <c r="M239" s="9">
        <f>IF($A239="","",VALUE($A239&amp;"")*12+VALUE($B239&amp;""))</f>
        <v/>
      </c>
      <c r="N239" s="39">
        <f>IF($A239="","",IFERROR(INDEX(부서매핑!$C$5:$C$504,MATCH($G239&amp;"",부서매핑!$A$5:$A$504,0)),"미매핑"))</f>
        <v/>
      </c>
      <c r="O239" s="9">
        <f>IF($A239="","",N239&amp;"|"&amp;$F239)</f>
        <v/>
      </c>
      <c r="P239" s="77">
        <f>IF($A239="",0,$H239*설정!$C$23)</f>
        <v/>
      </c>
      <c r="Q239" s="39">
        <f>IF($A239="","",IF(O239&lt;&gt;원인분석!$C$9,"",IF(AND(M239&gt;=원인분석!$C$10,M239&lt;=원인분석!$C$11),"당기",IF(AND(M239&gt;=원인분석!$C$12,M239&lt;=원인분석!$C$13),"비교",""))))</f>
        <v/>
      </c>
      <c r="R239" s="9">
        <f>IF(Q239="","",$K239&amp;"")</f>
        <v/>
      </c>
      <c r="S239" s="9">
        <f>IF(Q239="","",IF(MATCH(R239,$R$5:$R$100000,0)=ROW()-4,ROW(),""))</f>
        <v/>
      </c>
      <c r="T239" s="9">
        <f>IF(Q239="당기",ABS(P239)+ROW()/1000000000,"")</f>
        <v/>
      </c>
      <c r="U239" s="9">
        <f>IF(Q239="비교",ABS(P239)+ROW()/1000000000,"")</f>
        <v/>
      </c>
      <c r="V239" s="39">
        <f>IF($A239="","",IF(COUNTIF(변동분석!$E$7:$E$506,O239)&gt;0,"Y","N"))</f>
        <v/>
      </c>
      <c r="W239" s="39">
        <f>IF($A239="","",IFERROR(INDEX(계정매핑!$D$5:$D$504,MATCH($F239&amp;"",계정매핑!$A$5:$A$504,0)),"미매핑"))</f>
        <v/>
      </c>
      <c r="X239" s="9">
        <f>IF($A239="","",$F239&amp;"")</f>
        <v/>
      </c>
    </row>
    <row r="240">
      <c r="A240" s="75" t="n">
        <v>2025</v>
      </c>
      <c r="B240" s="75" t="n">
        <v>2</v>
      </c>
      <c r="C240" s="75" t="inlineStr">
        <is>
          <t>5100000236</t>
        </is>
      </c>
      <c r="D240" s="78" t="n">
        <v>45693</v>
      </c>
      <c r="E240" s="75" t="inlineStr">
        <is>
          <t>KR</t>
        </is>
      </c>
      <c r="F240" s="75" t="n">
        <v>62101000</v>
      </c>
      <c r="G240" s="75" t="n">
        <v>1501</v>
      </c>
      <c r="H240" s="76" t="n">
        <v>403000</v>
      </c>
      <c r="I240" s="75" t="inlineStr">
        <is>
          <t>2월 국내출장 - L여행사</t>
        </is>
      </c>
      <c r="J240" s="75" t="inlineStr">
        <is>
          <t>V10014</t>
        </is>
      </c>
      <c r="K240" s="75" t="inlineStr">
        <is>
          <t>L여행사</t>
        </is>
      </c>
      <c r="M240" s="9">
        <f>IF($A240="","",VALUE($A240&amp;"")*12+VALUE($B240&amp;""))</f>
        <v/>
      </c>
      <c r="N240" s="39">
        <f>IF($A240="","",IFERROR(INDEX(부서매핑!$C$5:$C$504,MATCH($G240&amp;"",부서매핑!$A$5:$A$504,0)),"미매핑"))</f>
        <v/>
      </c>
      <c r="O240" s="9">
        <f>IF($A240="","",N240&amp;"|"&amp;$F240)</f>
        <v/>
      </c>
      <c r="P240" s="77">
        <f>IF($A240="",0,$H240*설정!$C$23)</f>
        <v/>
      </c>
      <c r="Q240" s="39">
        <f>IF($A240="","",IF(O240&lt;&gt;원인분석!$C$9,"",IF(AND(M240&gt;=원인분석!$C$10,M240&lt;=원인분석!$C$11),"당기",IF(AND(M240&gt;=원인분석!$C$12,M240&lt;=원인분석!$C$13),"비교",""))))</f>
        <v/>
      </c>
      <c r="R240" s="9">
        <f>IF(Q240="","",$K240&amp;"")</f>
        <v/>
      </c>
      <c r="S240" s="9">
        <f>IF(Q240="","",IF(MATCH(R240,$R$5:$R$100000,0)=ROW()-4,ROW(),""))</f>
        <v/>
      </c>
      <c r="T240" s="9">
        <f>IF(Q240="당기",ABS(P240)+ROW()/1000000000,"")</f>
        <v/>
      </c>
      <c r="U240" s="9">
        <f>IF(Q240="비교",ABS(P240)+ROW()/1000000000,"")</f>
        <v/>
      </c>
      <c r="V240" s="39">
        <f>IF($A240="","",IF(COUNTIF(변동분석!$E$7:$E$506,O240)&gt;0,"Y","N"))</f>
        <v/>
      </c>
      <c r="W240" s="39">
        <f>IF($A240="","",IFERROR(INDEX(계정매핑!$D$5:$D$504,MATCH($F240&amp;"",계정매핑!$A$5:$A$504,0)),"미매핑"))</f>
        <v/>
      </c>
      <c r="X240" s="9">
        <f>IF($A240="","",$F240&amp;"")</f>
        <v/>
      </c>
    </row>
    <row r="241">
      <c r="A241" s="75" t="n">
        <v>2025</v>
      </c>
      <c r="B241" s="75" t="n">
        <v>2</v>
      </c>
      <c r="C241" s="75" t="inlineStr">
        <is>
          <t>5100000237</t>
        </is>
      </c>
      <c r="D241" s="78" t="n">
        <v>45693</v>
      </c>
      <c r="E241" s="75" t="inlineStr">
        <is>
          <t>KR</t>
        </is>
      </c>
      <c r="F241" s="75" t="n">
        <v>62101000</v>
      </c>
      <c r="G241" s="75" t="n">
        <v>1502</v>
      </c>
      <c r="H241" s="76" t="n">
        <v>526000</v>
      </c>
      <c r="I241" s="75" t="inlineStr">
        <is>
          <t>2월 국내출장 - L여행사</t>
        </is>
      </c>
      <c r="J241" s="75" t="inlineStr">
        <is>
          <t>V10014</t>
        </is>
      </c>
      <c r="K241" s="75" t="inlineStr">
        <is>
          <t>L여행사</t>
        </is>
      </c>
      <c r="M241" s="9">
        <f>IF($A241="","",VALUE($A241&amp;"")*12+VALUE($B241&amp;""))</f>
        <v/>
      </c>
      <c r="N241" s="39">
        <f>IF($A241="","",IFERROR(INDEX(부서매핑!$C$5:$C$504,MATCH($G241&amp;"",부서매핑!$A$5:$A$504,0)),"미매핑"))</f>
        <v/>
      </c>
      <c r="O241" s="9">
        <f>IF($A241="","",N241&amp;"|"&amp;$F241)</f>
        <v/>
      </c>
      <c r="P241" s="77">
        <f>IF($A241="",0,$H241*설정!$C$23)</f>
        <v/>
      </c>
      <c r="Q241" s="39">
        <f>IF($A241="","",IF(O241&lt;&gt;원인분석!$C$9,"",IF(AND(M241&gt;=원인분석!$C$10,M241&lt;=원인분석!$C$11),"당기",IF(AND(M241&gt;=원인분석!$C$12,M241&lt;=원인분석!$C$13),"비교",""))))</f>
        <v/>
      </c>
      <c r="R241" s="9">
        <f>IF(Q241="","",$K241&amp;"")</f>
        <v/>
      </c>
      <c r="S241" s="9">
        <f>IF(Q241="","",IF(MATCH(R241,$R$5:$R$100000,0)=ROW()-4,ROW(),""))</f>
        <v/>
      </c>
      <c r="T241" s="9">
        <f>IF(Q241="당기",ABS(P241)+ROW()/1000000000,"")</f>
        <v/>
      </c>
      <c r="U241" s="9">
        <f>IF(Q241="비교",ABS(P241)+ROW()/1000000000,"")</f>
        <v/>
      </c>
      <c r="V241" s="39">
        <f>IF($A241="","",IF(COUNTIF(변동분석!$E$7:$E$506,O241)&gt;0,"Y","N"))</f>
        <v/>
      </c>
      <c r="W241" s="39">
        <f>IF($A241="","",IFERROR(INDEX(계정매핑!$D$5:$D$504,MATCH($F241&amp;"",계정매핑!$A$5:$A$504,0)),"미매핑"))</f>
        <v/>
      </c>
      <c r="X241" s="9">
        <f>IF($A241="","",$F241&amp;"")</f>
        <v/>
      </c>
    </row>
    <row r="242">
      <c r="A242" s="75" t="n">
        <v>2025</v>
      </c>
      <c r="B242" s="75" t="n">
        <v>2</v>
      </c>
      <c r="C242" s="75" t="inlineStr">
        <is>
          <t>5100000238</t>
        </is>
      </c>
      <c r="D242" s="78" t="n">
        <v>45693</v>
      </c>
      <c r="E242" s="75" t="inlineStr">
        <is>
          <t>KR</t>
        </is>
      </c>
      <c r="F242" s="75" t="n">
        <v>62101000</v>
      </c>
      <c r="G242" s="75" t="n">
        <v>1701</v>
      </c>
      <c r="H242" s="76" t="n">
        <v>202000</v>
      </c>
      <c r="I242" s="75" t="inlineStr">
        <is>
          <t>2월 국내출장 - M항공</t>
        </is>
      </c>
      <c r="J242" s="75" t="inlineStr">
        <is>
          <t>V10001</t>
        </is>
      </c>
      <c r="K242" s="75" t="inlineStr">
        <is>
          <t>M항공</t>
        </is>
      </c>
      <c r="M242" s="9">
        <f>IF($A242="","",VALUE($A242&amp;"")*12+VALUE($B242&amp;""))</f>
        <v/>
      </c>
      <c r="N242" s="39">
        <f>IF($A242="","",IFERROR(INDEX(부서매핑!$C$5:$C$504,MATCH($G242&amp;"",부서매핑!$A$5:$A$504,0)),"미매핑"))</f>
        <v/>
      </c>
      <c r="O242" s="9">
        <f>IF($A242="","",N242&amp;"|"&amp;$F242)</f>
        <v/>
      </c>
      <c r="P242" s="77">
        <f>IF($A242="",0,$H242*설정!$C$23)</f>
        <v/>
      </c>
      <c r="Q242" s="39">
        <f>IF($A242="","",IF(O242&lt;&gt;원인분석!$C$9,"",IF(AND(M242&gt;=원인분석!$C$10,M242&lt;=원인분석!$C$11),"당기",IF(AND(M242&gt;=원인분석!$C$12,M242&lt;=원인분석!$C$13),"비교",""))))</f>
        <v/>
      </c>
      <c r="R242" s="9">
        <f>IF(Q242="","",$K242&amp;"")</f>
        <v/>
      </c>
      <c r="S242" s="9">
        <f>IF(Q242="","",IF(MATCH(R242,$R$5:$R$100000,0)=ROW()-4,ROW(),""))</f>
        <v/>
      </c>
      <c r="T242" s="9">
        <f>IF(Q242="당기",ABS(P242)+ROW()/1000000000,"")</f>
        <v/>
      </c>
      <c r="U242" s="9">
        <f>IF(Q242="비교",ABS(P242)+ROW()/1000000000,"")</f>
        <v/>
      </c>
      <c r="V242" s="39">
        <f>IF($A242="","",IF(COUNTIF(변동분석!$E$7:$E$506,O242)&gt;0,"Y","N"))</f>
        <v/>
      </c>
      <c r="W242" s="39">
        <f>IF($A242="","",IFERROR(INDEX(계정매핑!$D$5:$D$504,MATCH($F242&amp;"",계정매핑!$A$5:$A$504,0)),"미매핑"))</f>
        <v/>
      </c>
      <c r="X242" s="9">
        <f>IF($A242="","",$F242&amp;"")</f>
        <v/>
      </c>
    </row>
    <row r="243">
      <c r="A243" s="75" t="n">
        <v>2025</v>
      </c>
      <c r="B243" s="75" t="n">
        <v>2</v>
      </c>
      <c r="C243" s="75" t="inlineStr">
        <is>
          <t>5100000239</t>
        </is>
      </c>
      <c r="D243" s="78" t="n">
        <v>45693</v>
      </c>
      <c r="E243" s="75" t="inlineStr">
        <is>
          <t>KR</t>
        </is>
      </c>
      <c r="F243" s="75" t="n">
        <v>62102000</v>
      </c>
      <c r="G243" s="75" t="n">
        <v>1602</v>
      </c>
      <c r="H243" s="76" t="n">
        <v>273000</v>
      </c>
      <c r="I243" s="75" t="inlineStr">
        <is>
          <t>2월 해외출장 - N호텔</t>
        </is>
      </c>
      <c r="J243" s="75" t="inlineStr">
        <is>
          <t>V10007</t>
        </is>
      </c>
      <c r="K243" s="75" t="inlineStr">
        <is>
          <t>N호텔</t>
        </is>
      </c>
      <c r="M243" s="9">
        <f>IF($A243="","",VALUE($A243&amp;"")*12+VALUE($B243&amp;""))</f>
        <v/>
      </c>
      <c r="N243" s="39">
        <f>IF($A243="","",IFERROR(INDEX(부서매핑!$C$5:$C$504,MATCH($G243&amp;"",부서매핑!$A$5:$A$504,0)),"미매핑"))</f>
        <v/>
      </c>
      <c r="O243" s="9">
        <f>IF($A243="","",N243&amp;"|"&amp;$F243)</f>
        <v/>
      </c>
      <c r="P243" s="77">
        <f>IF($A243="",0,$H243*설정!$C$23)</f>
        <v/>
      </c>
      <c r="Q243" s="39">
        <f>IF($A243="","",IF(O243&lt;&gt;원인분석!$C$9,"",IF(AND(M243&gt;=원인분석!$C$10,M243&lt;=원인분석!$C$11),"당기",IF(AND(M243&gt;=원인분석!$C$12,M243&lt;=원인분석!$C$13),"비교",""))))</f>
        <v/>
      </c>
      <c r="R243" s="9">
        <f>IF(Q243="","",$K243&amp;"")</f>
        <v/>
      </c>
      <c r="S243" s="9">
        <f>IF(Q243="","",IF(MATCH(R243,$R$5:$R$100000,0)=ROW()-4,ROW(),""))</f>
        <v/>
      </c>
      <c r="T243" s="9">
        <f>IF(Q243="당기",ABS(P243)+ROW()/1000000000,"")</f>
        <v/>
      </c>
      <c r="U243" s="9">
        <f>IF(Q243="비교",ABS(P243)+ROW()/1000000000,"")</f>
        <v/>
      </c>
      <c r="V243" s="39">
        <f>IF($A243="","",IF(COUNTIF(변동분석!$E$7:$E$506,O243)&gt;0,"Y","N"))</f>
        <v/>
      </c>
      <c r="W243" s="39">
        <f>IF($A243="","",IFERROR(INDEX(계정매핑!$D$5:$D$504,MATCH($F243&amp;"",계정매핑!$A$5:$A$504,0)),"미매핑"))</f>
        <v/>
      </c>
      <c r="X243" s="9">
        <f>IF($A243="","",$F243&amp;"")</f>
        <v/>
      </c>
    </row>
    <row r="244">
      <c r="A244" s="75" t="n">
        <v>2025</v>
      </c>
      <c r="B244" s="75" t="n">
        <v>2</v>
      </c>
      <c r="C244" s="75" t="inlineStr">
        <is>
          <t>5100000240</t>
        </is>
      </c>
      <c r="D244" s="78" t="n">
        <v>45693</v>
      </c>
      <c r="E244" s="75" t="inlineStr">
        <is>
          <t>KR</t>
        </is>
      </c>
      <c r="F244" s="75" t="n">
        <v>62501000</v>
      </c>
      <c r="G244" s="75" t="n">
        <v>1602</v>
      </c>
      <c r="H244" s="76" t="n">
        <v>282000</v>
      </c>
      <c r="I244" s="75" t="inlineStr">
        <is>
          <t>2월 회의 다과 - T케이터링</t>
        </is>
      </c>
      <c r="J244" s="75" t="inlineStr">
        <is>
          <t>V10005</t>
        </is>
      </c>
      <c r="K244" s="75" t="inlineStr">
        <is>
          <t>T케이터링</t>
        </is>
      </c>
      <c r="M244" s="9">
        <f>IF($A244="","",VALUE($A244&amp;"")*12+VALUE($B244&amp;""))</f>
        <v/>
      </c>
      <c r="N244" s="39">
        <f>IF($A244="","",IFERROR(INDEX(부서매핑!$C$5:$C$504,MATCH($G244&amp;"",부서매핑!$A$5:$A$504,0)),"미매핑"))</f>
        <v/>
      </c>
      <c r="O244" s="9">
        <f>IF($A244="","",N244&amp;"|"&amp;$F244)</f>
        <v/>
      </c>
      <c r="P244" s="77">
        <f>IF($A244="",0,$H244*설정!$C$23)</f>
        <v/>
      </c>
      <c r="Q244" s="39">
        <f>IF($A244="","",IF(O244&lt;&gt;원인분석!$C$9,"",IF(AND(M244&gt;=원인분석!$C$10,M244&lt;=원인분석!$C$11),"당기",IF(AND(M244&gt;=원인분석!$C$12,M244&lt;=원인분석!$C$13),"비교",""))))</f>
        <v/>
      </c>
      <c r="R244" s="9">
        <f>IF(Q244="","",$K244&amp;"")</f>
        <v/>
      </c>
      <c r="S244" s="9">
        <f>IF(Q244="","",IF(MATCH(R244,$R$5:$R$100000,0)=ROW()-4,ROW(),""))</f>
        <v/>
      </c>
      <c r="T244" s="9">
        <f>IF(Q244="당기",ABS(P244)+ROW()/1000000000,"")</f>
        <v/>
      </c>
      <c r="U244" s="9">
        <f>IF(Q244="비교",ABS(P244)+ROW()/1000000000,"")</f>
        <v/>
      </c>
      <c r="V244" s="39">
        <f>IF($A244="","",IF(COUNTIF(변동분석!$E$7:$E$506,O244)&gt;0,"Y","N"))</f>
        <v/>
      </c>
      <c r="W244" s="39">
        <f>IF($A244="","",IFERROR(INDEX(계정매핑!$D$5:$D$504,MATCH($F244&amp;"",계정매핑!$A$5:$A$504,0)),"미매핑"))</f>
        <v/>
      </c>
      <c r="X244" s="9">
        <f>IF($A244="","",$F244&amp;"")</f>
        <v/>
      </c>
    </row>
    <row r="245">
      <c r="A245" s="75" t="n">
        <v>2025</v>
      </c>
      <c r="B245" s="75" t="n">
        <v>2</v>
      </c>
      <c r="C245" s="75" t="inlineStr">
        <is>
          <t>5100000241</t>
        </is>
      </c>
      <c r="D245" s="78" t="n">
        <v>45693</v>
      </c>
      <c r="E245" s="75" t="inlineStr">
        <is>
          <t>KR</t>
        </is>
      </c>
      <c r="F245" s="75" t="n">
        <v>62901000</v>
      </c>
      <c r="G245" s="75" t="n">
        <v>1801</v>
      </c>
      <c r="H245" s="76" t="n">
        <v>12502000</v>
      </c>
      <c r="I245" s="75" t="inlineStr">
        <is>
          <t>2월 자문 수수료 - K회계법인</t>
        </is>
      </c>
      <c r="J245" s="75" t="inlineStr">
        <is>
          <t>V10010</t>
        </is>
      </c>
      <c r="K245" s="75" t="inlineStr">
        <is>
          <t>K회계법인</t>
        </is>
      </c>
      <c r="M245" s="9">
        <f>IF($A245="","",VALUE($A245&amp;"")*12+VALUE($B245&amp;""))</f>
        <v/>
      </c>
      <c r="N245" s="39">
        <f>IF($A245="","",IFERROR(INDEX(부서매핑!$C$5:$C$504,MATCH($G245&amp;"",부서매핑!$A$5:$A$504,0)),"미매핑"))</f>
        <v/>
      </c>
      <c r="O245" s="9">
        <f>IF($A245="","",N245&amp;"|"&amp;$F245)</f>
        <v/>
      </c>
      <c r="P245" s="77">
        <f>IF($A245="",0,$H245*설정!$C$23)</f>
        <v/>
      </c>
      <c r="Q245" s="39">
        <f>IF($A245="","",IF(O245&lt;&gt;원인분석!$C$9,"",IF(AND(M245&gt;=원인분석!$C$10,M245&lt;=원인분석!$C$11),"당기",IF(AND(M245&gt;=원인분석!$C$12,M245&lt;=원인분석!$C$13),"비교",""))))</f>
        <v/>
      </c>
      <c r="R245" s="9">
        <f>IF(Q245="","",$K245&amp;"")</f>
        <v/>
      </c>
      <c r="S245" s="9">
        <f>IF(Q245="","",IF(MATCH(R245,$R$5:$R$100000,0)=ROW()-4,ROW(),""))</f>
        <v/>
      </c>
      <c r="T245" s="9">
        <f>IF(Q245="당기",ABS(P245)+ROW()/1000000000,"")</f>
        <v/>
      </c>
      <c r="U245" s="9">
        <f>IF(Q245="비교",ABS(P245)+ROW()/1000000000,"")</f>
        <v/>
      </c>
      <c r="V245" s="39">
        <f>IF($A245="","",IF(COUNTIF(변동분석!$E$7:$E$506,O245)&gt;0,"Y","N"))</f>
        <v/>
      </c>
      <c r="W245" s="39">
        <f>IF($A245="","",IFERROR(INDEX(계정매핑!$D$5:$D$504,MATCH($F245&amp;"",계정매핑!$A$5:$A$504,0)),"미매핑"))</f>
        <v/>
      </c>
      <c r="X245" s="9">
        <f>IF($A245="","",$F245&amp;"")</f>
        <v/>
      </c>
    </row>
    <row r="246">
      <c r="A246" s="75" t="n">
        <v>2025</v>
      </c>
      <c r="B246" s="75" t="n">
        <v>2</v>
      </c>
      <c r="C246" s="75" t="inlineStr">
        <is>
          <t>5100000242</t>
        </is>
      </c>
      <c r="D246" s="78" t="n">
        <v>45693</v>
      </c>
      <c r="E246" s="75" t="inlineStr">
        <is>
          <t>KR</t>
        </is>
      </c>
      <c r="F246" s="75" t="n">
        <v>62902000</v>
      </c>
      <c r="G246" s="75" t="n">
        <v>1801</v>
      </c>
      <c r="H246" s="76" t="n">
        <v>1787000</v>
      </c>
      <c r="I246" s="75" t="inlineStr">
        <is>
          <t>2월 콜 위탁 수수료(건별)</t>
        </is>
      </c>
      <c r="J246" s="75" t="inlineStr">
        <is>
          <t>V10013</t>
        </is>
      </c>
      <c r="K246" s="75" t="inlineStr">
        <is>
          <t>J콜센터</t>
        </is>
      </c>
      <c r="M246" s="9">
        <f>IF($A246="","",VALUE($A246&amp;"")*12+VALUE($B246&amp;""))</f>
        <v/>
      </c>
      <c r="N246" s="39">
        <f>IF($A246="","",IFERROR(INDEX(부서매핑!$C$5:$C$504,MATCH($G246&amp;"",부서매핑!$A$5:$A$504,0)),"미매핑"))</f>
        <v/>
      </c>
      <c r="O246" s="9">
        <f>IF($A246="","",N246&amp;"|"&amp;$F246)</f>
        <v/>
      </c>
      <c r="P246" s="77">
        <f>IF($A246="",0,$H246*설정!$C$23)</f>
        <v/>
      </c>
      <c r="Q246" s="39">
        <f>IF($A246="","",IF(O246&lt;&gt;원인분석!$C$9,"",IF(AND(M246&gt;=원인분석!$C$10,M246&lt;=원인분석!$C$11),"당기",IF(AND(M246&gt;=원인분석!$C$12,M246&lt;=원인분석!$C$13),"비교",""))))</f>
        <v/>
      </c>
      <c r="R246" s="9">
        <f>IF(Q246="","",$K246&amp;"")</f>
        <v/>
      </c>
      <c r="S246" s="9">
        <f>IF(Q246="","",IF(MATCH(R246,$R$5:$R$100000,0)=ROW()-4,ROW(),""))</f>
        <v/>
      </c>
      <c r="T246" s="9">
        <f>IF(Q246="당기",ABS(P246)+ROW()/1000000000,"")</f>
        <v/>
      </c>
      <c r="U246" s="9">
        <f>IF(Q246="비교",ABS(P246)+ROW()/1000000000,"")</f>
        <v/>
      </c>
      <c r="V246" s="39">
        <f>IF($A246="","",IF(COUNTIF(변동분석!$E$7:$E$506,O246)&gt;0,"Y","N"))</f>
        <v/>
      </c>
      <c r="W246" s="39">
        <f>IF($A246="","",IFERROR(INDEX(계정매핑!$D$5:$D$504,MATCH($F246&amp;"",계정매핑!$A$5:$A$504,0)),"미매핑"))</f>
        <v/>
      </c>
      <c r="X246" s="9">
        <f>IF($A246="","",$F246&amp;"")</f>
        <v/>
      </c>
    </row>
    <row r="247">
      <c r="A247" s="75" t="n">
        <v>2025</v>
      </c>
      <c r="B247" s="75" t="n">
        <v>2</v>
      </c>
      <c r="C247" s="75" t="inlineStr">
        <is>
          <t>5100000243</t>
        </is>
      </c>
      <c r="D247" s="78" t="n">
        <v>45694</v>
      </c>
      <c r="E247" s="75" t="inlineStr">
        <is>
          <t>KR</t>
        </is>
      </c>
      <c r="F247" s="75" t="n">
        <v>62101000</v>
      </c>
      <c r="G247" s="75" t="n">
        <v>1201</v>
      </c>
      <c r="H247" s="76" t="n">
        <v>248000</v>
      </c>
      <c r="I247" s="75" t="inlineStr">
        <is>
          <t>2월 국내출장 - M항공</t>
        </is>
      </c>
      <c r="J247" s="75" t="inlineStr">
        <is>
          <t>V10001</t>
        </is>
      </c>
      <c r="K247" s="75" t="inlineStr">
        <is>
          <t>M항공</t>
        </is>
      </c>
      <c r="M247" s="9">
        <f>IF($A247="","",VALUE($A247&amp;"")*12+VALUE($B247&amp;""))</f>
        <v/>
      </c>
      <c r="N247" s="39">
        <f>IF($A247="","",IFERROR(INDEX(부서매핑!$C$5:$C$504,MATCH($G247&amp;"",부서매핑!$A$5:$A$504,0)),"미매핑"))</f>
        <v/>
      </c>
      <c r="O247" s="9">
        <f>IF($A247="","",N247&amp;"|"&amp;$F247)</f>
        <v/>
      </c>
      <c r="P247" s="77">
        <f>IF($A247="",0,$H247*설정!$C$23)</f>
        <v/>
      </c>
      <c r="Q247" s="39">
        <f>IF($A247="","",IF(O247&lt;&gt;원인분석!$C$9,"",IF(AND(M247&gt;=원인분석!$C$10,M247&lt;=원인분석!$C$11),"당기",IF(AND(M247&gt;=원인분석!$C$12,M247&lt;=원인분석!$C$13),"비교",""))))</f>
        <v/>
      </c>
      <c r="R247" s="9">
        <f>IF(Q247="","",$K247&amp;"")</f>
        <v/>
      </c>
      <c r="S247" s="9">
        <f>IF(Q247="","",IF(MATCH(R247,$R$5:$R$100000,0)=ROW()-4,ROW(),""))</f>
        <v/>
      </c>
      <c r="T247" s="9">
        <f>IF(Q247="당기",ABS(P247)+ROW()/1000000000,"")</f>
        <v/>
      </c>
      <c r="U247" s="9">
        <f>IF(Q247="비교",ABS(P247)+ROW()/1000000000,"")</f>
        <v/>
      </c>
      <c r="V247" s="39">
        <f>IF($A247="","",IF(COUNTIF(변동분석!$E$7:$E$506,O247)&gt;0,"Y","N"))</f>
        <v/>
      </c>
      <c r="W247" s="39">
        <f>IF($A247="","",IFERROR(INDEX(계정매핑!$D$5:$D$504,MATCH($F247&amp;"",계정매핑!$A$5:$A$504,0)),"미매핑"))</f>
        <v/>
      </c>
      <c r="X247" s="9">
        <f>IF($A247="","",$F247&amp;"")</f>
        <v/>
      </c>
    </row>
    <row r="248">
      <c r="A248" s="75" t="n">
        <v>2025</v>
      </c>
      <c r="B248" s="75" t="n">
        <v>2</v>
      </c>
      <c r="C248" s="75" t="inlineStr">
        <is>
          <t>5100000244</t>
        </is>
      </c>
      <c r="D248" s="78" t="n">
        <v>45694</v>
      </c>
      <c r="E248" s="75" t="inlineStr">
        <is>
          <t>KR</t>
        </is>
      </c>
      <c r="F248" s="75" t="n">
        <v>62102000</v>
      </c>
      <c r="G248" s="75" t="n">
        <v>1401</v>
      </c>
      <c r="H248" s="76" t="n">
        <v>101000</v>
      </c>
      <c r="I248" s="75" t="inlineStr">
        <is>
          <t>2월 해외출장 - N호텔</t>
        </is>
      </c>
      <c r="J248" s="75" t="inlineStr">
        <is>
          <t>V10007</t>
        </is>
      </c>
      <c r="K248" s="75" t="inlineStr">
        <is>
          <t>N호텔</t>
        </is>
      </c>
      <c r="M248" s="9">
        <f>IF($A248="","",VALUE($A248&amp;"")*12+VALUE($B248&amp;""))</f>
        <v/>
      </c>
      <c r="N248" s="39">
        <f>IF($A248="","",IFERROR(INDEX(부서매핑!$C$5:$C$504,MATCH($G248&amp;"",부서매핑!$A$5:$A$504,0)),"미매핑"))</f>
        <v/>
      </c>
      <c r="O248" s="9">
        <f>IF($A248="","",N248&amp;"|"&amp;$F248)</f>
        <v/>
      </c>
      <c r="P248" s="77">
        <f>IF($A248="",0,$H248*설정!$C$23)</f>
        <v/>
      </c>
      <c r="Q248" s="39">
        <f>IF($A248="","",IF(O248&lt;&gt;원인분석!$C$9,"",IF(AND(M248&gt;=원인분석!$C$10,M248&lt;=원인분석!$C$11),"당기",IF(AND(M248&gt;=원인분석!$C$12,M248&lt;=원인분석!$C$13),"비교",""))))</f>
        <v/>
      </c>
      <c r="R248" s="9">
        <f>IF(Q248="","",$K248&amp;"")</f>
        <v/>
      </c>
      <c r="S248" s="9">
        <f>IF(Q248="","",IF(MATCH(R248,$R$5:$R$100000,0)=ROW()-4,ROW(),""))</f>
        <v/>
      </c>
      <c r="T248" s="9">
        <f>IF(Q248="당기",ABS(P248)+ROW()/1000000000,"")</f>
        <v/>
      </c>
      <c r="U248" s="9">
        <f>IF(Q248="비교",ABS(P248)+ROW()/1000000000,"")</f>
        <v/>
      </c>
      <c r="V248" s="39">
        <f>IF($A248="","",IF(COUNTIF(변동분석!$E$7:$E$506,O248)&gt;0,"Y","N"))</f>
        <v/>
      </c>
      <c r="W248" s="39">
        <f>IF($A248="","",IFERROR(INDEX(계정매핑!$D$5:$D$504,MATCH($F248&amp;"",계정매핑!$A$5:$A$504,0)),"미매핑"))</f>
        <v/>
      </c>
      <c r="X248" s="9">
        <f>IF($A248="","",$F248&amp;"")</f>
        <v/>
      </c>
    </row>
    <row r="249">
      <c r="A249" s="75" t="n">
        <v>2025</v>
      </c>
      <c r="B249" s="75" t="n">
        <v>2</v>
      </c>
      <c r="C249" s="75" t="inlineStr">
        <is>
          <t>5100000245</t>
        </is>
      </c>
      <c r="D249" s="78" t="n">
        <v>45694</v>
      </c>
      <c r="E249" s="75" t="inlineStr">
        <is>
          <t>KR</t>
        </is>
      </c>
      <c r="F249" s="75" t="n">
        <v>62301000</v>
      </c>
      <c r="G249" s="75" t="n">
        <v>1701</v>
      </c>
      <c r="H249" s="76" t="n">
        <v>245000</v>
      </c>
      <c r="I249" s="75" t="inlineStr">
        <is>
          <t>2월 소모품 구입 - R문구</t>
        </is>
      </c>
      <c r="J249" s="75" t="inlineStr">
        <is>
          <t>V10018</t>
        </is>
      </c>
      <c r="K249" s="75" t="inlineStr">
        <is>
          <t>R문구</t>
        </is>
      </c>
      <c r="M249" s="9">
        <f>IF($A249="","",VALUE($A249&amp;"")*12+VALUE($B249&amp;""))</f>
        <v/>
      </c>
      <c r="N249" s="39">
        <f>IF($A249="","",IFERROR(INDEX(부서매핑!$C$5:$C$504,MATCH($G249&amp;"",부서매핑!$A$5:$A$504,0)),"미매핑"))</f>
        <v/>
      </c>
      <c r="O249" s="9">
        <f>IF($A249="","",N249&amp;"|"&amp;$F249)</f>
        <v/>
      </c>
      <c r="P249" s="77">
        <f>IF($A249="",0,$H249*설정!$C$23)</f>
        <v/>
      </c>
      <c r="Q249" s="39">
        <f>IF($A249="","",IF(O249&lt;&gt;원인분석!$C$9,"",IF(AND(M249&gt;=원인분석!$C$10,M249&lt;=원인분석!$C$11),"당기",IF(AND(M249&gt;=원인분석!$C$12,M249&lt;=원인분석!$C$13),"비교",""))))</f>
        <v/>
      </c>
      <c r="R249" s="9">
        <f>IF(Q249="","",$K249&amp;"")</f>
        <v/>
      </c>
      <c r="S249" s="9">
        <f>IF(Q249="","",IF(MATCH(R249,$R$5:$R$100000,0)=ROW()-4,ROW(),""))</f>
        <v/>
      </c>
      <c r="T249" s="9">
        <f>IF(Q249="당기",ABS(P249)+ROW()/1000000000,"")</f>
        <v/>
      </c>
      <c r="U249" s="9">
        <f>IF(Q249="비교",ABS(P249)+ROW()/1000000000,"")</f>
        <v/>
      </c>
      <c r="V249" s="39">
        <f>IF($A249="","",IF(COUNTIF(변동분석!$E$7:$E$506,O249)&gt;0,"Y","N"))</f>
        <v/>
      </c>
      <c r="W249" s="39">
        <f>IF($A249="","",IFERROR(INDEX(계정매핑!$D$5:$D$504,MATCH($F249&amp;"",계정매핑!$A$5:$A$504,0)),"미매핑"))</f>
        <v/>
      </c>
      <c r="X249" s="9">
        <f>IF($A249="","",$F249&amp;"")</f>
        <v/>
      </c>
    </row>
    <row r="250">
      <c r="A250" s="75" t="n">
        <v>2025</v>
      </c>
      <c r="B250" s="75" t="n">
        <v>2</v>
      </c>
      <c r="C250" s="75" t="inlineStr">
        <is>
          <t>5100000246</t>
        </is>
      </c>
      <c r="D250" s="78" t="n">
        <v>45696</v>
      </c>
      <c r="E250" s="75" t="inlineStr">
        <is>
          <t>KR</t>
        </is>
      </c>
      <c r="F250" s="75" t="n">
        <v>62101000</v>
      </c>
      <c r="G250" s="75" t="n">
        <v>1101</v>
      </c>
      <c r="H250" s="76" t="n">
        <v>814000</v>
      </c>
      <c r="I250" s="75" t="inlineStr">
        <is>
          <t>2월 국내출장 - (법인카드)</t>
        </is>
      </c>
      <c r="J250" s="75" t="inlineStr">
        <is>
          <t>V10008</t>
        </is>
      </c>
      <c r="K250" s="75" t="inlineStr">
        <is>
          <t>(법인카드)</t>
        </is>
      </c>
      <c r="M250" s="9">
        <f>IF($A250="","",VALUE($A250&amp;"")*12+VALUE($B250&amp;""))</f>
        <v/>
      </c>
      <c r="N250" s="39">
        <f>IF($A250="","",IFERROR(INDEX(부서매핑!$C$5:$C$504,MATCH($G250&amp;"",부서매핑!$A$5:$A$504,0)),"미매핑"))</f>
        <v/>
      </c>
      <c r="O250" s="9">
        <f>IF($A250="","",N250&amp;"|"&amp;$F250)</f>
        <v/>
      </c>
      <c r="P250" s="77">
        <f>IF($A250="",0,$H250*설정!$C$23)</f>
        <v/>
      </c>
      <c r="Q250" s="39">
        <f>IF($A250="","",IF(O250&lt;&gt;원인분석!$C$9,"",IF(AND(M250&gt;=원인분석!$C$10,M250&lt;=원인분석!$C$11),"당기",IF(AND(M250&gt;=원인분석!$C$12,M250&lt;=원인분석!$C$13),"비교",""))))</f>
        <v/>
      </c>
      <c r="R250" s="9">
        <f>IF(Q250="","",$K250&amp;"")</f>
        <v/>
      </c>
      <c r="S250" s="9">
        <f>IF(Q250="","",IF(MATCH(R250,$R$5:$R$100000,0)=ROW()-4,ROW(),""))</f>
        <v/>
      </c>
      <c r="T250" s="9">
        <f>IF(Q250="당기",ABS(P250)+ROW()/1000000000,"")</f>
        <v/>
      </c>
      <c r="U250" s="9">
        <f>IF(Q250="비교",ABS(P250)+ROW()/1000000000,"")</f>
        <v/>
      </c>
      <c r="V250" s="39">
        <f>IF($A250="","",IF(COUNTIF(변동분석!$E$7:$E$506,O250)&gt;0,"Y","N"))</f>
        <v/>
      </c>
      <c r="W250" s="39">
        <f>IF($A250="","",IFERROR(INDEX(계정매핑!$D$5:$D$504,MATCH($F250&amp;"",계정매핑!$A$5:$A$504,0)),"미매핑"))</f>
        <v/>
      </c>
      <c r="X250" s="9">
        <f>IF($A250="","",$F250&amp;"")</f>
        <v/>
      </c>
    </row>
    <row r="251">
      <c r="A251" s="75" t="n">
        <v>2025</v>
      </c>
      <c r="B251" s="75" t="n">
        <v>2</v>
      </c>
      <c r="C251" s="75" t="inlineStr">
        <is>
          <t>5100000247</t>
        </is>
      </c>
      <c r="D251" s="78" t="n">
        <v>45696</v>
      </c>
      <c r="E251" s="75" t="inlineStr">
        <is>
          <t>KR</t>
        </is>
      </c>
      <c r="F251" s="75" t="n">
        <v>62301000</v>
      </c>
      <c r="G251" s="75" t="n">
        <v>1201</v>
      </c>
      <c r="H251" s="76" t="n">
        <v>168000</v>
      </c>
      <c r="I251" s="75" t="inlineStr">
        <is>
          <t>2월 소모품 구입 - R문구</t>
        </is>
      </c>
      <c r="J251" s="75" t="inlineStr">
        <is>
          <t>V10018</t>
        </is>
      </c>
      <c r="K251" s="75" t="inlineStr">
        <is>
          <t>R문구</t>
        </is>
      </c>
      <c r="M251" s="9">
        <f>IF($A251="","",VALUE($A251&amp;"")*12+VALUE($B251&amp;""))</f>
        <v/>
      </c>
      <c r="N251" s="39">
        <f>IF($A251="","",IFERROR(INDEX(부서매핑!$C$5:$C$504,MATCH($G251&amp;"",부서매핑!$A$5:$A$504,0)),"미매핑"))</f>
        <v/>
      </c>
      <c r="O251" s="9">
        <f>IF($A251="","",N251&amp;"|"&amp;$F251)</f>
        <v/>
      </c>
      <c r="P251" s="77">
        <f>IF($A251="",0,$H251*설정!$C$23)</f>
        <v/>
      </c>
      <c r="Q251" s="39">
        <f>IF($A251="","",IF(O251&lt;&gt;원인분석!$C$9,"",IF(AND(M251&gt;=원인분석!$C$10,M251&lt;=원인분석!$C$11),"당기",IF(AND(M251&gt;=원인분석!$C$12,M251&lt;=원인분석!$C$13),"비교",""))))</f>
        <v/>
      </c>
      <c r="R251" s="9">
        <f>IF(Q251="","",$K251&amp;"")</f>
        <v/>
      </c>
      <c r="S251" s="9">
        <f>IF(Q251="","",IF(MATCH(R251,$R$5:$R$100000,0)=ROW()-4,ROW(),""))</f>
        <v/>
      </c>
      <c r="T251" s="9">
        <f>IF(Q251="당기",ABS(P251)+ROW()/1000000000,"")</f>
        <v/>
      </c>
      <c r="U251" s="9">
        <f>IF(Q251="비교",ABS(P251)+ROW()/1000000000,"")</f>
        <v/>
      </c>
      <c r="V251" s="39">
        <f>IF($A251="","",IF(COUNTIF(변동분석!$E$7:$E$506,O251)&gt;0,"Y","N"))</f>
        <v/>
      </c>
      <c r="W251" s="39">
        <f>IF($A251="","",IFERROR(INDEX(계정매핑!$D$5:$D$504,MATCH($F251&amp;"",계정매핑!$A$5:$A$504,0)),"미매핑"))</f>
        <v/>
      </c>
      <c r="X251" s="9">
        <f>IF($A251="","",$F251&amp;"")</f>
        <v/>
      </c>
    </row>
    <row r="252">
      <c r="A252" s="75" t="n">
        <v>2025</v>
      </c>
      <c r="B252" s="75" t="n">
        <v>2</v>
      </c>
      <c r="C252" s="75" t="inlineStr">
        <is>
          <t>5100000248</t>
        </is>
      </c>
      <c r="D252" s="78" t="n">
        <v>45697</v>
      </c>
      <c r="E252" s="75" t="inlineStr">
        <is>
          <t>KR</t>
        </is>
      </c>
      <c r="F252" s="75" t="n">
        <v>62101000</v>
      </c>
      <c r="G252" s="75" t="n">
        <v>1301</v>
      </c>
      <c r="H252" s="76" t="n">
        <v>253000</v>
      </c>
      <c r="I252" s="75" t="inlineStr">
        <is>
          <t>2월 국내출장 - M항공</t>
        </is>
      </c>
      <c r="J252" s="75" t="inlineStr">
        <is>
          <t>V10001</t>
        </is>
      </c>
      <c r="K252" s="75" t="inlineStr">
        <is>
          <t>M항공</t>
        </is>
      </c>
      <c r="M252" s="9">
        <f>IF($A252="","",VALUE($A252&amp;"")*12+VALUE($B252&amp;""))</f>
        <v/>
      </c>
      <c r="N252" s="39">
        <f>IF($A252="","",IFERROR(INDEX(부서매핑!$C$5:$C$504,MATCH($G252&amp;"",부서매핑!$A$5:$A$504,0)),"미매핑"))</f>
        <v/>
      </c>
      <c r="O252" s="9">
        <f>IF($A252="","",N252&amp;"|"&amp;$F252)</f>
        <v/>
      </c>
      <c r="P252" s="77">
        <f>IF($A252="",0,$H252*설정!$C$23)</f>
        <v/>
      </c>
      <c r="Q252" s="39">
        <f>IF($A252="","",IF(O252&lt;&gt;원인분석!$C$9,"",IF(AND(M252&gt;=원인분석!$C$10,M252&lt;=원인분석!$C$11),"당기",IF(AND(M252&gt;=원인분석!$C$12,M252&lt;=원인분석!$C$13),"비교",""))))</f>
        <v/>
      </c>
      <c r="R252" s="9">
        <f>IF(Q252="","",$K252&amp;"")</f>
        <v/>
      </c>
      <c r="S252" s="9">
        <f>IF(Q252="","",IF(MATCH(R252,$R$5:$R$100000,0)=ROW()-4,ROW(),""))</f>
        <v/>
      </c>
      <c r="T252" s="9">
        <f>IF(Q252="당기",ABS(P252)+ROW()/1000000000,"")</f>
        <v/>
      </c>
      <c r="U252" s="9">
        <f>IF(Q252="비교",ABS(P252)+ROW()/1000000000,"")</f>
        <v/>
      </c>
      <c r="V252" s="39">
        <f>IF($A252="","",IF(COUNTIF(변동분석!$E$7:$E$506,O252)&gt;0,"Y","N"))</f>
        <v/>
      </c>
      <c r="W252" s="39">
        <f>IF($A252="","",IFERROR(INDEX(계정매핑!$D$5:$D$504,MATCH($F252&amp;"",계정매핑!$A$5:$A$504,0)),"미매핑"))</f>
        <v/>
      </c>
      <c r="X252" s="9">
        <f>IF($A252="","",$F252&amp;"")</f>
        <v/>
      </c>
    </row>
    <row r="253">
      <c r="A253" s="75" t="n">
        <v>2025</v>
      </c>
      <c r="B253" s="75" t="n">
        <v>2</v>
      </c>
      <c r="C253" s="75" t="inlineStr">
        <is>
          <t>5100000249</t>
        </is>
      </c>
      <c r="D253" s="78" t="n">
        <v>45697</v>
      </c>
      <c r="E253" s="75" t="inlineStr">
        <is>
          <t>KR</t>
        </is>
      </c>
      <c r="F253" s="75" t="n">
        <v>62102000</v>
      </c>
      <c r="G253" s="75" t="n">
        <v>1301</v>
      </c>
      <c r="H253" s="76" t="n">
        <v>137000</v>
      </c>
      <c r="I253" s="75" t="inlineStr">
        <is>
          <t>2월 해외출장 - M항공</t>
        </is>
      </c>
      <c r="J253" s="75" t="inlineStr">
        <is>
          <t>V10001</t>
        </is>
      </c>
      <c r="K253" s="75" t="inlineStr">
        <is>
          <t>M항공</t>
        </is>
      </c>
      <c r="M253" s="9">
        <f>IF($A253="","",VALUE($A253&amp;"")*12+VALUE($B253&amp;""))</f>
        <v/>
      </c>
      <c r="N253" s="39">
        <f>IF($A253="","",IFERROR(INDEX(부서매핑!$C$5:$C$504,MATCH($G253&amp;"",부서매핑!$A$5:$A$504,0)),"미매핑"))</f>
        <v/>
      </c>
      <c r="O253" s="9">
        <f>IF($A253="","",N253&amp;"|"&amp;$F253)</f>
        <v/>
      </c>
      <c r="P253" s="77">
        <f>IF($A253="",0,$H253*설정!$C$23)</f>
        <v/>
      </c>
      <c r="Q253" s="39">
        <f>IF($A253="","",IF(O253&lt;&gt;원인분석!$C$9,"",IF(AND(M253&gt;=원인분석!$C$10,M253&lt;=원인분석!$C$11),"당기",IF(AND(M253&gt;=원인분석!$C$12,M253&lt;=원인분석!$C$13),"비교",""))))</f>
        <v/>
      </c>
      <c r="R253" s="9">
        <f>IF(Q253="","",$K253&amp;"")</f>
        <v/>
      </c>
      <c r="S253" s="9">
        <f>IF(Q253="","",IF(MATCH(R253,$R$5:$R$100000,0)=ROW()-4,ROW(),""))</f>
        <v/>
      </c>
      <c r="T253" s="9">
        <f>IF(Q253="당기",ABS(P253)+ROW()/1000000000,"")</f>
        <v/>
      </c>
      <c r="U253" s="9">
        <f>IF(Q253="비교",ABS(P253)+ROW()/1000000000,"")</f>
        <v/>
      </c>
      <c r="V253" s="39">
        <f>IF($A253="","",IF(COUNTIF(변동분석!$E$7:$E$506,O253)&gt;0,"Y","N"))</f>
        <v/>
      </c>
      <c r="W253" s="39">
        <f>IF($A253="","",IFERROR(INDEX(계정매핑!$D$5:$D$504,MATCH($F253&amp;"",계정매핑!$A$5:$A$504,0)),"미매핑"))</f>
        <v/>
      </c>
      <c r="X253" s="9">
        <f>IF($A253="","",$F253&amp;"")</f>
        <v/>
      </c>
    </row>
    <row r="254">
      <c r="A254" s="75" t="n">
        <v>2025</v>
      </c>
      <c r="B254" s="75" t="n">
        <v>2</v>
      </c>
      <c r="C254" s="75" t="inlineStr">
        <is>
          <t>5100000250</t>
        </is>
      </c>
      <c r="D254" s="78" t="n">
        <v>45697</v>
      </c>
      <c r="E254" s="75" t="inlineStr">
        <is>
          <t>KR</t>
        </is>
      </c>
      <c r="F254" s="75" t="n">
        <v>62201000</v>
      </c>
      <c r="G254" s="75" t="n">
        <v>1701</v>
      </c>
      <c r="H254" s="76" t="n">
        <v>3142000</v>
      </c>
      <c r="I254" s="75" t="inlineStr">
        <is>
          <t>2월 통신요금 - P통신</t>
        </is>
      </c>
      <c r="J254" s="75" t="inlineStr">
        <is>
          <t>V10011</t>
        </is>
      </c>
      <c r="K254" s="75" t="inlineStr">
        <is>
          <t>P통신</t>
        </is>
      </c>
      <c r="M254" s="9">
        <f>IF($A254="","",VALUE($A254&amp;"")*12+VALUE($B254&amp;""))</f>
        <v/>
      </c>
      <c r="N254" s="39">
        <f>IF($A254="","",IFERROR(INDEX(부서매핑!$C$5:$C$504,MATCH($G254&amp;"",부서매핑!$A$5:$A$504,0)),"미매핑"))</f>
        <v/>
      </c>
      <c r="O254" s="9">
        <f>IF($A254="","",N254&amp;"|"&amp;$F254)</f>
        <v/>
      </c>
      <c r="P254" s="77">
        <f>IF($A254="",0,$H254*설정!$C$23)</f>
        <v/>
      </c>
      <c r="Q254" s="39">
        <f>IF($A254="","",IF(O254&lt;&gt;원인분석!$C$9,"",IF(AND(M254&gt;=원인분석!$C$10,M254&lt;=원인분석!$C$11),"당기",IF(AND(M254&gt;=원인분석!$C$12,M254&lt;=원인분석!$C$13),"비교",""))))</f>
        <v/>
      </c>
      <c r="R254" s="9">
        <f>IF(Q254="","",$K254&amp;"")</f>
        <v/>
      </c>
      <c r="S254" s="9">
        <f>IF(Q254="","",IF(MATCH(R254,$R$5:$R$100000,0)=ROW()-4,ROW(),""))</f>
        <v/>
      </c>
      <c r="T254" s="9">
        <f>IF(Q254="당기",ABS(P254)+ROW()/1000000000,"")</f>
        <v/>
      </c>
      <c r="U254" s="9">
        <f>IF(Q254="비교",ABS(P254)+ROW()/1000000000,"")</f>
        <v/>
      </c>
      <c r="V254" s="39">
        <f>IF($A254="","",IF(COUNTIF(변동분석!$E$7:$E$506,O254)&gt;0,"Y","N"))</f>
        <v/>
      </c>
      <c r="W254" s="39">
        <f>IF($A254="","",IFERROR(INDEX(계정매핑!$D$5:$D$504,MATCH($F254&amp;"",계정매핑!$A$5:$A$504,0)),"미매핑"))</f>
        <v/>
      </c>
      <c r="X254" s="9">
        <f>IF($A254="","",$F254&amp;"")</f>
        <v/>
      </c>
    </row>
    <row r="255">
      <c r="A255" s="75" t="n">
        <v>2025</v>
      </c>
      <c r="B255" s="75" t="n">
        <v>2</v>
      </c>
      <c r="C255" s="75" t="inlineStr">
        <is>
          <t>5100000251</t>
        </is>
      </c>
      <c r="D255" s="78" t="n">
        <v>45698</v>
      </c>
      <c r="E255" s="75" t="inlineStr">
        <is>
          <t>KR</t>
        </is>
      </c>
      <c r="F255" s="75" t="n">
        <v>62102000</v>
      </c>
      <c r="G255" s="75" t="n">
        <v>1602</v>
      </c>
      <c r="H255" s="76" t="n">
        <v>264000</v>
      </c>
      <c r="I255" s="75" t="inlineStr">
        <is>
          <t>2월 해외출장 - M항공</t>
        </is>
      </c>
      <c r="J255" s="75" t="inlineStr">
        <is>
          <t>V10001</t>
        </is>
      </c>
      <c r="K255" s="75" t="inlineStr">
        <is>
          <t>M항공</t>
        </is>
      </c>
      <c r="M255" s="9">
        <f>IF($A255="","",VALUE($A255&amp;"")*12+VALUE($B255&amp;""))</f>
        <v/>
      </c>
      <c r="N255" s="39">
        <f>IF($A255="","",IFERROR(INDEX(부서매핑!$C$5:$C$504,MATCH($G255&amp;"",부서매핑!$A$5:$A$504,0)),"미매핑"))</f>
        <v/>
      </c>
      <c r="O255" s="9">
        <f>IF($A255="","",N255&amp;"|"&amp;$F255)</f>
        <v/>
      </c>
      <c r="P255" s="77">
        <f>IF($A255="",0,$H255*설정!$C$23)</f>
        <v/>
      </c>
      <c r="Q255" s="39">
        <f>IF($A255="","",IF(O255&lt;&gt;원인분석!$C$9,"",IF(AND(M255&gt;=원인분석!$C$10,M255&lt;=원인분석!$C$11),"당기",IF(AND(M255&gt;=원인분석!$C$12,M255&lt;=원인분석!$C$13),"비교",""))))</f>
        <v/>
      </c>
      <c r="R255" s="9">
        <f>IF(Q255="","",$K255&amp;"")</f>
        <v/>
      </c>
      <c r="S255" s="9">
        <f>IF(Q255="","",IF(MATCH(R255,$R$5:$R$100000,0)=ROW()-4,ROW(),""))</f>
        <v/>
      </c>
      <c r="T255" s="9">
        <f>IF(Q255="당기",ABS(P255)+ROW()/1000000000,"")</f>
        <v/>
      </c>
      <c r="U255" s="9">
        <f>IF(Q255="비교",ABS(P255)+ROW()/1000000000,"")</f>
        <v/>
      </c>
      <c r="V255" s="39">
        <f>IF($A255="","",IF(COUNTIF(변동분석!$E$7:$E$506,O255)&gt;0,"Y","N"))</f>
        <v/>
      </c>
      <c r="W255" s="39">
        <f>IF($A255="","",IFERROR(INDEX(계정매핑!$D$5:$D$504,MATCH($F255&amp;"",계정매핑!$A$5:$A$504,0)),"미매핑"))</f>
        <v/>
      </c>
      <c r="X255" s="9">
        <f>IF($A255="","",$F255&amp;"")</f>
        <v/>
      </c>
    </row>
    <row r="256">
      <c r="A256" s="75" t="n">
        <v>2025</v>
      </c>
      <c r="B256" s="75" t="n">
        <v>2</v>
      </c>
      <c r="C256" s="75" t="inlineStr">
        <is>
          <t>5100000252</t>
        </is>
      </c>
      <c r="D256" s="78" t="n">
        <v>45698</v>
      </c>
      <c r="E256" s="75" t="inlineStr">
        <is>
          <t>KR</t>
        </is>
      </c>
      <c r="F256" s="75" t="n">
        <v>62201000</v>
      </c>
      <c r="G256" s="75" t="n">
        <v>1301</v>
      </c>
      <c r="H256" s="76" t="n">
        <v>135000</v>
      </c>
      <c r="I256" s="75" t="inlineStr">
        <is>
          <t>2월 통신요금 - O텔레콤</t>
        </is>
      </c>
      <c r="J256" s="75" t="inlineStr">
        <is>
          <t>V10002</t>
        </is>
      </c>
      <c r="K256" s="75" t="inlineStr">
        <is>
          <t>O텔레콤</t>
        </is>
      </c>
      <c r="M256" s="9">
        <f>IF($A256="","",VALUE($A256&amp;"")*12+VALUE($B256&amp;""))</f>
        <v/>
      </c>
      <c r="N256" s="39">
        <f>IF($A256="","",IFERROR(INDEX(부서매핑!$C$5:$C$504,MATCH($G256&amp;"",부서매핑!$A$5:$A$504,0)),"미매핑"))</f>
        <v/>
      </c>
      <c r="O256" s="9">
        <f>IF($A256="","",N256&amp;"|"&amp;$F256)</f>
        <v/>
      </c>
      <c r="P256" s="77">
        <f>IF($A256="",0,$H256*설정!$C$23)</f>
        <v/>
      </c>
      <c r="Q256" s="39">
        <f>IF($A256="","",IF(O256&lt;&gt;원인분석!$C$9,"",IF(AND(M256&gt;=원인분석!$C$10,M256&lt;=원인분석!$C$11),"당기",IF(AND(M256&gt;=원인분석!$C$12,M256&lt;=원인분석!$C$13),"비교",""))))</f>
        <v/>
      </c>
      <c r="R256" s="9">
        <f>IF(Q256="","",$K256&amp;"")</f>
        <v/>
      </c>
      <c r="S256" s="9">
        <f>IF(Q256="","",IF(MATCH(R256,$R$5:$R$100000,0)=ROW()-4,ROW(),""))</f>
        <v/>
      </c>
      <c r="T256" s="9">
        <f>IF(Q256="당기",ABS(P256)+ROW()/1000000000,"")</f>
        <v/>
      </c>
      <c r="U256" s="9">
        <f>IF(Q256="비교",ABS(P256)+ROW()/1000000000,"")</f>
        <v/>
      </c>
      <c r="V256" s="39">
        <f>IF($A256="","",IF(COUNTIF(변동분석!$E$7:$E$506,O256)&gt;0,"Y","N"))</f>
        <v/>
      </c>
      <c r="W256" s="39">
        <f>IF($A256="","",IFERROR(INDEX(계정매핑!$D$5:$D$504,MATCH($F256&amp;"",계정매핑!$A$5:$A$504,0)),"미매핑"))</f>
        <v/>
      </c>
      <c r="X256" s="9">
        <f>IF($A256="","",$F256&amp;"")</f>
        <v/>
      </c>
    </row>
    <row r="257">
      <c r="A257" s="75" t="n">
        <v>2025</v>
      </c>
      <c r="B257" s="75" t="n">
        <v>2</v>
      </c>
      <c r="C257" s="75" t="inlineStr">
        <is>
          <t>5100000253</t>
        </is>
      </c>
      <c r="D257" s="78" t="n">
        <v>45698</v>
      </c>
      <c r="E257" s="75" t="inlineStr">
        <is>
          <t>KR</t>
        </is>
      </c>
      <c r="F257" s="75" t="n">
        <v>62301000</v>
      </c>
      <c r="G257" s="75" t="n">
        <v>1101</v>
      </c>
      <c r="H257" s="76" t="n">
        <v>169000</v>
      </c>
      <c r="I257" s="75" t="inlineStr">
        <is>
          <t>2월 소모품 구입 - R문구</t>
        </is>
      </c>
      <c r="J257" s="75" t="inlineStr">
        <is>
          <t>V10018</t>
        </is>
      </c>
      <c r="K257" s="75" t="inlineStr">
        <is>
          <t>R문구</t>
        </is>
      </c>
      <c r="M257" s="9">
        <f>IF($A257="","",VALUE($A257&amp;"")*12+VALUE($B257&amp;""))</f>
        <v/>
      </c>
      <c r="N257" s="39">
        <f>IF($A257="","",IFERROR(INDEX(부서매핑!$C$5:$C$504,MATCH($G257&amp;"",부서매핑!$A$5:$A$504,0)),"미매핑"))</f>
        <v/>
      </c>
      <c r="O257" s="9">
        <f>IF($A257="","",N257&amp;"|"&amp;$F257)</f>
        <v/>
      </c>
      <c r="P257" s="77">
        <f>IF($A257="",0,$H257*설정!$C$23)</f>
        <v/>
      </c>
      <c r="Q257" s="39">
        <f>IF($A257="","",IF(O257&lt;&gt;원인분석!$C$9,"",IF(AND(M257&gt;=원인분석!$C$10,M257&lt;=원인분석!$C$11),"당기",IF(AND(M257&gt;=원인분석!$C$12,M257&lt;=원인분석!$C$13),"비교",""))))</f>
        <v/>
      </c>
      <c r="R257" s="9">
        <f>IF(Q257="","",$K257&amp;"")</f>
        <v/>
      </c>
      <c r="S257" s="9">
        <f>IF(Q257="","",IF(MATCH(R257,$R$5:$R$100000,0)=ROW()-4,ROW(),""))</f>
        <v/>
      </c>
      <c r="T257" s="9">
        <f>IF(Q257="당기",ABS(P257)+ROW()/1000000000,"")</f>
        <v/>
      </c>
      <c r="U257" s="9">
        <f>IF(Q257="비교",ABS(P257)+ROW()/1000000000,"")</f>
        <v/>
      </c>
      <c r="V257" s="39">
        <f>IF($A257="","",IF(COUNTIF(변동분석!$E$7:$E$506,O257)&gt;0,"Y","N"))</f>
        <v/>
      </c>
      <c r="W257" s="39">
        <f>IF($A257="","",IFERROR(INDEX(계정매핑!$D$5:$D$504,MATCH($F257&amp;"",계정매핑!$A$5:$A$504,0)),"미매핑"))</f>
        <v/>
      </c>
      <c r="X257" s="9">
        <f>IF($A257="","",$F257&amp;"")</f>
        <v/>
      </c>
    </row>
    <row r="258">
      <c r="A258" s="75" t="n">
        <v>2025</v>
      </c>
      <c r="B258" s="75" t="n">
        <v>2</v>
      </c>
      <c r="C258" s="75" t="inlineStr">
        <is>
          <t>5100000254</t>
        </is>
      </c>
      <c r="D258" s="78" t="n">
        <v>45698</v>
      </c>
      <c r="E258" s="75" t="inlineStr">
        <is>
          <t>KR</t>
        </is>
      </c>
      <c r="F258" s="75" t="n">
        <v>62701000</v>
      </c>
      <c r="G258" s="75" t="n">
        <v>1502</v>
      </c>
      <c r="H258" s="76" t="n">
        <v>51420000</v>
      </c>
      <c r="I258" s="75" t="inlineStr">
        <is>
          <t>2월 광고 집행 - F애드</t>
        </is>
      </c>
      <c r="J258" s="75" t="inlineStr">
        <is>
          <t>V10019</t>
        </is>
      </c>
      <c r="K258" s="75" t="inlineStr">
        <is>
          <t>F애드</t>
        </is>
      </c>
      <c r="M258" s="9">
        <f>IF($A258="","",VALUE($A258&amp;"")*12+VALUE($B258&amp;""))</f>
        <v/>
      </c>
      <c r="N258" s="39">
        <f>IF($A258="","",IFERROR(INDEX(부서매핑!$C$5:$C$504,MATCH($G258&amp;"",부서매핑!$A$5:$A$504,0)),"미매핑"))</f>
        <v/>
      </c>
      <c r="O258" s="9">
        <f>IF($A258="","",N258&amp;"|"&amp;$F258)</f>
        <v/>
      </c>
      <c r="P258" s="77">
        <f>IF($A258="",0,$H258*설정!$C$23)</f>
        <v/>
      </c>
      <c r="Q258" s="39">
        <f>IF($A258="","",IF(O258&lt;&gt;원인분석!$C$9,"",IF(AND(M258&gt;=원인분석!$C$10,M258&lt;=원인분석!$C$11),"당기",IF(AND(M258&gt;=원인분석!$C$12,M258&lt;=원인분석!$C$13),"비교",""))))</f>
        <v/>
      </c>
      <c r="R258" s="9">
        <f>IF(Q258="","",$K258&amp;"")</f>
        <v/>
      </c>
      <c r="S258" s="9">
        <f>IF(Q258="","",IF(MATCH(R258,$R$5:$R$100000,0)=ROW()-4,ROW(),""))</f>
        <v/>
      </c>
      <c r="T258" s="9">
        <f>IF(Q258="당기",ABS(P258)+ROW()/1000000000,"")</f>
        <v/>
      </c>
      <c r="U258" s="9">
        <f>IF(Q258="비교",ABS(P258)+ROW()/1000000000,"")</f>
        <v/>
      </c>
      <c r="V258" s="39">
        <f>IF($A258="","",IF(COUNTIF(변동분석!$E$7:$E$506,O258)&gt;0,"Y","N"))</f>
        <v/>
      </c>
      <c r="W258" s="39">
        <f>IF($A258="","",IFERROR(INDEX(계정매핑!$D$5:$D$504,MATCH($F258&amp;"",계정매핑!$A$5:$A$504,0)),"미매핑"))</f>
        <v/>
      </c>
      <c r="X258" s="9">
        <f>IF($A258="","",$F258&amp;"")</f>
        <v/>
      </c>
    </row>
    <row r="259">
      <c r="A259" s="75" t="n">
        <v>2025</v>
      </c>
      <c r="B259" s="75" t="n">
        <v>2</v>
      </c>
      <c r="C259" s="75" t="inlineStr">
        <is>
          <t>5100000255</t>
        </is>
      </c>
      <c r="D259" s="78" t="n">
        <v>45698</v>
      </c>
      <c r="E259" s="75" t="inlineStr">
        <is>
          <t>KR</t>
        </is>
      </c>
      <c r="F259" s="75" t="n">
        <v>62701000</v>
      </c>
      <c r="G259" s="75" t="n">
        <v>1502</v>
      </c>
      <c r="H259" s="76" t="n">
        <v>47597000</v>
      </c>
      <c r="I259" s="75" t="inlineStr">
        <is>
          <t>2월 광고 집행 - F애드</t>
        </is>
      </c>
      <c r="J259" s="75" t="inlineStr">
        <is>
          <t>V10019</t>
        </is>
      </c>
      <c r="K259" s="75" t="inlineStr">
        <is>
          <t>F애드</t>
        </is>
      </c>
      <c r="M259" s="9">
        <f>IF($A259="","",VALUE($A259&amp;"")*12+VALUE($B259&amp;""))</f>
        <v/>
      </c>
      <c r="N259" s="39">
        <f>IF($A259="","",IFERROR(INDEX(부서매핑!$C$5:$C$504,MATCH($G259&amp;"",부서매핑!$A$5:$A$504,0)),"미매핑"))</f>
        <v/>
      </c>
      <c r="O259" s="9">
        <f>IF($A259="","",N259&amp;"|"&amp;$F259)</f>
        <v/>
      </c>
      <c r="P259" s="77">
        <f>IF($A259="",0,$H259*설정!$C$23)</f>
        <v/>
      </c>
      <c r="Q259" s="39">
        <f>IF($A259="","",IF(O259&lt;&gt;원인분석!$C$9,"",IF(AND(M259&gt;=원인분석!$C$10,M259&lt;=원인분석!$C$11),"당기",IF(AND(M259&gt;=원인분석!$C$12,M259&lt;=원인분석!$C$13),"비교",""))))</f>
        <v/>
      </c>
      <c r="R259" s="9">
        <f>IF(Q259="","",$K259&amp;"")</f>
        <v/>
      </c>
      <c r="S259" s="9">
        <f>IF(Q259="","",IF(MATCH(R259,$R$5:$R$100000,0)=ROW()-4,ROW(),""))</f>
        <v/>
      </c>
      <c r="T259" s="9">
        <f>IF(Q259="당기",ABS(P259)+ROW()/1000000000,"")</f>
        <v/>
      </c>
      <c r="U259" s="9">
        <f>IF(Q259="비교",ABS(P259)+ROW()/1000000000,"")</f>
        <v/>
      </c>
      <c r="V259" s="39">
        <f>IF($A259="","",IF(COUNTIF(변동분석!$E$7:$E$506,O259)&gt;0,"Y","N"))</f>
        <v/>
      </c>
      <c r="W259" s="39">
        <f>IF($A259="","",IFERROR(INDEX(계정매핑!$D$5:$D$504,MATCH($F259&amp;"",계정매핑!$A$5:$A$504,0)),"미매핑"))</f>
        <v/>
      </c>
      <c r="X259" s="9">
        <f>IF($A259="","",$F259&amp;"")</f>
        <v/>
      </c>
    </row>
    <row r="260">
      <c r="A260" s="75" t="n">
        <v>2025</v>
      </c>
      <c r="B260" s="75" t="n">
        <v>2</v>
      </c>
      <c r="C260" s="75" t="inlineStr">
        <is>
          <t>5100000256</t>
        </is>
      </c>
      <c r="D260" s="78" t="n">
        <v>45698</v>
      </c>
      <c r="E260" s="75" t="inlineStr">
        <is>
          <t>KR</t>
        </is>
      </c>
      <c r="F260" s="75" t="n">
        <v>62901000</v>
      </c>
      <c r="G260" s="75" t="n">
        <v>1101</v>
      </c>
      <c r="H260" s="76" t="n">
        <v>2004000</v>
      </c>
      <c r="I260" s="75" t="inlineStr">
        <is>
          <t>2월 자문 수수료 - K회계법인</t>
        </is>
      </c>
      <c r="J260" s="75" t="inlineStr">
        <is>
          <t>V10010</t>
        </is>
      </c>
      <c r="K260" s="75" t="inlineStr">
        <is>
          <t>K회계법인</t>
        </is>
      </c>
      <c r="M260" s="9">
        <f>IF($A260="","",VALUE($A260&amp;"")*12+VALUE($B260&amp;""))</f>
        <v/>
      </c>
      <c r="N260" s="39">
        <f>IF($A260="","",IFERROR(INDEX(부서매핑!$C$5:$C$504,MATCH($G260&amp;"",부서매핑!$A$5:$A$504,0)),"미매핑"))</f>
        <v/>
      </c>
      <c r="O260" s="9">
        <f>IF($A260="","",N260&amp;"|"&amp;$F260)</f>
        <v/>
      </c>
      <c r="P260" s="77">
        <f>IF($A260="",0,$H260*설정!$C$23)</f>
        <v/>
      </c>
      <c r="Q260" s="39">
        <f>IF($A260="","",IF(O260&lt;&gt;원인분석!$C$9,"",IF(AND(M260&gt;=원인분석!$C$10,M260&lt;=원인분석!$C$11),"당기",IF(AND(M260&gt;=원인분석!$C$12,M260&lt;=원인분석!$C$13),"비교",""))))</f>
        <v/>
      </c>
      <c r="R260" s="9">
        <f>IF(Q260="","",$K260&amp;"")</f>
        <v/>
      </c>
      <c r="S260" s="9">
        <f>IF(Q260="","",IF(MATCH(R260,$R$5:$R$100000,0)=ROW()-4,ROW(),""))</f>
        <v/>
      </c>
      <c r="T260" s="9">
        <f>IF(Q260="당기",ABS(P260)+ROW()/1000000000,"")</f>
        <v/>
      </c>
      <c r="U260" s="9">
        <f>IF(Q260="비교",ABS(P260)+ROW()/1000000000,"")</f>
        <v/>
      </c>
      <c r="V260" s="39">
        <f>IF($A260="","",IF(COUNTIF(변동분석!$E$7:$E$506,O260)&gt;0,"Y","N"))</f>
        <v/>
      </c>
      <c r="W260" s="39">
        <f>IF($A260="","",IFERROR(INDEX(계정매핑!$D$5:$D$504,MATCH($F260&amp;"",계정매핑!$A$5:$A$504,0)),"미매핑"))</f>
        <v/>
      </c>
      <c r="X260" s="9">
        <f>IF($A260="","",$F260&amp;"")</f>
        <v/>
      </c>
    </row>
    <row r="261">
      <c r="A261" s="75" t="n">
        <v>2025</v>
      </c>
      <c r="B261" s="75" t="n">
        <v>2</v>
      </c>
      <c r="C261" s="75" t="inlineStr">
        <is>
          <t>5100000257</t>
        </is>
      </c>
      <c r="D261" s="78" t="n">
        <v>45698</v>
      </c>
      <c r="E261" s="75" t="inlineStr">
        <is>
          <t>KR</t>
        </is>
      </c>
      <c r="F261" s="75" t="n">
        <v>62902000</v>
      </c>
      <c r="G261" s="75" t="n">
        <v>1401</v>
      </c>
      <c r="H261" s="76" t="n">
        <v>2239000</v>
      </c>
      <c r="I261" s="75" t="inlineStr">
        <is>
          <t>2월 업무 위탁 수수료 - J콜센터</t>
        </is>
      </c>
      <c r="J261" s="75" t="inlineStr">
        <is>
          <t>V10013</t>
        </is>
      </c>
      <c r="K261" s="75" t="inlineStr">
        <is>
          <t>J콜센터</t>
        </is>
      </c>
      <c r="M261" s="9">
        <f>IF($A261="","",VALUE($A261&amp;"")*12+VALUE($B261&amp;""))</f>
        <v/>
      </c>
      <c r="N261" s="39">
        <f>IF($A261="","",IFERROR(INDEX(부서매핑!$C$5:$C$504,MATCH($G261&amp;"",부서매핑!$A$5:$A$504,0)),"미매핑"))</f>
        <v/>
      </c>
      <c r="O261" s="9">
        <f>IF($A261="","",N261&amp;"|"&amp;$F261)</f>
        <v/>
      </c>
      <c r="P261" s="77">
        <f>IF($A261="",0,$H261*설정!$C$23)</f>
        <v/>
      </c>
      <c r="Q261" s="39">
        <f>IF($A261="","",IF(O261&lt;&gt;원인분석!$C$9,"",IF(AND(M261&gt;=원인분석!$C$10,M261&lt;=원인분석!$C$11),"당기",IF(AND(M261&gt;=원인분석!$C$12,M261&lt;=원인분석!$C$13),"비교",""))))</f>
        <v/>
      </c>
      <c r="R261" s="9">
        <f>IF(Q261="","",$K261&amp;"")</f>
        <v/>
      </c>
      <c r="S261" s="9">
        <f>IF(Q261="","",IF(MATCH(R261,$R$5:$R$100000,0)=ROW()-4,ROW(),""))</f>
        <v/>
      </c>
      <c r="T261" s="9">
        <f>IF(Q261="당기",ABS(P261)+ROW()/1000000000,"")</f>
        <v/>
      </c>
      <c r="U261" s="9">
        <f>IF(Q261="비교",ABS(P261)+ROW()/1000000000,"")</f>
        <v/>
      </c>
      <c r="V261" s="39">
        <f>IF($A261="","",IF(COUNTIF(변동분석!$E$7:$E$506,O261)&gt;0,"Y","N"))</f>
        <v/>
      </c>
      <c r="W261" s="39">
        <f>IF($A261="","",IFERROR(INDEX(계정매핑!$D$5:$D$504,MATCH($F261&amp;"",계정매핑!$A$5:$A$504,0)),"미매핑"))</f>
        <v/>
      </c>
      <c r="X261" s="9">
        <f>IF($A261="","",$F261&amp;"")</f>
        <v/>
      </c>
    </row>
    <row r="262">
      <c r="A262" s="75" t="n">
        <v>2025</v>
      </c>
      <c r="B262" s="75" t="n">
        <v>2</v>
      </c>
      <c r="C262" s="75" t="inlineStr">
        <is>
          <t>5100000258</t>
        </is>
      </c>
      <c r="D262" s="78" t="n">
        <v>45699</v>
      </c>
      <c r="E262" s="75" t="inlineStr">
        <is>
          <t>KR</t>
        </is>
      </c>
      <c r="F262" s="75" t="n">
        <v>62101000</v>
      </c>
      <c r="G262" s="75" t="n">
        <v>1401</v>
      </c>
      <c r="H262" s="76" t="n">
        <v>340000</v>
      </c>
      <c r="I262" s="75" t="inlineStr">
        <is>
          <t>2월 국내출장 - L여행사</t>
        </is>
      </c>
      <c r="J262" s="75" t="inlineStr">
        <is>
          <t>V10014</t>
        </is>
      </c>
      <c r="K262" s="75" t="inlineStr">
        <is>
          <t>L여행사</t>
        </is>
      </c>
      <c r="M262" s="9">
        <f>IF($A262="","",VALUE($A262&amp;"")*12+VALUE($B262&amp;""))</f>
        <v/>
      </c>
      <c r="N262" s="39">
        <f>IF($A262="","",IFERROR(INDEX(부서매핑!$C$5:$C$504,MATCH($G262&amp;"",부서매핑!$A$5:$A$504,0)),"미매핑"))</f>
        <v/>
      </c>
      <c r="O262" s="9">
        <f>IF($A262="","",N262&amp;"|"&amp;$F262)</f>
        <v/>
      </c>
      <c r="P262" s="77">
        <f>IF($A262="",0,$H262*설정!$C$23)</f>
        <v/>
      </c>
      <c r="Q262" s="39">
        <f>IF($A262="","",IF(O262&lt;&gt;원인분석!$C$9,"",IF(AND(M262&gt;=원인분석!$C$10,M262&lt;=원인분석!$C$11),"당기",IF(AND(M262&gt;=원인분석!$C$12,M262&lt;=원인분석!$C$13),"비교",""))))</f>
        <v/>
      </c>
      <c r="R262" s="9">
        <f>IF(Q262="","",$K262&amp;"")</f>
        <v/>
      </c>
      <c r="S262" s="9">
        <f>IF(Q262="","",IF(MATCH(R262,$R$5:$R$100000,0)=ROW()-4,ROW(),""))</f>
        <v/>
      </c>
      <c r="T262" s="9">
        <f>IF(Q262="당기",ABS(P262)+ROW()/1000000000,"")</f>
        <v/>
      </c>
      <c r="U262" s="9">
        <f>IF(Q262="비교",ABS(P262)+ROW()/1000000000,"")</f>
        <v/>
      </c>
      <c r="V262" s="39">
        <f>IF($A262="","",IF(COUNTIF(변동분석!$E$7:$E$506,O262)&gt;0,"Y","N"))</f>
        <v/>
      </c>
      <c r="W262" s="39">
        <f>IF($A262="","",IFERROR(INDEX(계정매핑!$D$5:$D$504,MATCH($F262&amp;"",계정매핑!$A$5:$A$504,0)),"미매핑"))</f>
        <v/>
      </c>
      <c r="X262" s="9">
        <f>IF($A262="","",$F262&amp;"")</f>
        <v/>
      </c>
    </row>
    <row r="263">
      <c r="A263" s="75" t="n">
        <v>2025</v>
      </c>
      <c r="B263" s="75" t="n">
        <v>2</v>
      </c>
      <c r="C263" s="75" t="inlineStr">
        <is>
          <t>5100000259</t>
        </is>
      </c>
      <c r="D263" s="78" t="n">
        <v>45699</v>
      </c>
      <c r="E263" s="75" t="inlineStr">
        <is>
          <t>KR</t>
        </is>
      </c>
      <c r="F263" s="75" t="n">
        <v>62101000</v>
      </c>
      <c r="G263" s="75" t="n">
        <v>1601</v>
      </c>
      <c r="H263" s="76" t="n">
        <v>1705000</v>
      </c>
      <c r="I263" s="75" t="inlineStr">
        <is>
          <t>2월 국내출장 - L여행사</t>
        </is>
      </c>
      <c r="J263" s="75" t="inlineStr">
        <is>
          <t>V10014</t>
        </is>
      </c>
      <c r="K263" s="75" t="inlineStr">
        <is>
          <t>L여행사</t>
        </is>
      </c>
      <c r="M263" s="9">
        <f>IF($A263="","",VALUE($A263&amp;"")*12+VALUE($B263&amp;""))</f>
        <v/>
      </c>
      <c r="N263" s="39">
        <f>IF($A263="","",IFERROR(INDEX(부서매핑!$C$5:$C$504,MATCH($G263&amp;"",부서매핑!$A$5:$A$504,0)),"미매핑"))</f>
        <v/>
      </c>
      <c r="O263" s="9">
        <f>IF($A263="","",N263&amp;"|"&amp;$F263)</f>
        <v/>
      </c>
      <c r="P263" s="77">
        <f>IF($A263="",0,$H263*설정!$C$23)</f>
        <v/>
      </c>
      <c r="Q263" s="39">
        <f>IF($A263="","",IF(O263&lt;&gt;원인분석!$C$9,"",IF(AND(M263&gt;=원인분석!$C$10,M263&lt;=원인분석!$C$11),"당기",IF(AND(M263&gt;=원인분석!$C$12,M263&lt;=원인분석!$C$13),"비교",""))))</f>
        <v/>
      </c>
      <c r="R263" s="9">
        <f>IF(Q263="","",$K263&amp;"")</f>
        <v/>
      </c>
      <c r="S263" s="9">
        <f>IF(Q263="","",IF(MATCH(R263,$R$5:$R$100000,0)=ROW()-4,ROW(),""))</f>
        <v/>
      </c>
      <c r="T263" s="9">
        <f>IF(Q263="당기",ABS(P263)+ROW()/1000000000,"")</f>
        <v/>
      </c>
      <c r="U263" s="9">
        <f>IF(Q263="비교",ABS(P263)+ROW()/1000000000,"")</f>
        <v/>
      </c>
      <c r="V263" s="39">
        <f>IF($A263="","",IF(COUNTIF(변동분석!$E$7:$E$506,O263)&gt;0,"Y","N"))</f>
        <v/>
      </c>
      <c r="W263" s="39">
        <f>IF($A263="","",IFERROR(INDEX(계정매핑!$D$5:$D$504,MATCH($F263&amp;"",계정매핑!$A$5:$A$504,0)),"미매핑"))</f>
        <v/>
      </c>
      <c r="X263" s="9">
        <f>IF($A263="","",$F263&amp;"")</f>
        <v/>
      </c>
    </row>
    <row r="264">
      <c r="A264" s="75" t="n">
        <v>2025</v>
      </c>
      <c r="B264" s="75" t="n">
        <v>2</v>
      </c>
      <c r="C264" s="75" t="inlineStr">
        <is>
          <t>5100000260</t>
        </is>
      </c>
      <c r="D264" s="78" t="n">
        <v>45699</v>
      </c>
      <c r="E264" s="75" t="inlineStr">
        <is>
          <t>KR</t>
        </is>
      </c>
      <c r="F264" s="75" t="n">
        <v>62101000</v>
      </c>
      <c r="G264" s="75" t="n">
        <v>1701</v>
      </c>
      <c r="H264" s="76" t="n">
        <v>157000</v>
      </c>
      <c r="I264" s="75" t="inlineStr">
        <is>
          <t>2월 국내출장 - L여행사</t>
        </is>
      </c>
      <c r="J264" s="75" t="inlineStr">
        <is>
          <t>V10014</t>
        </is>
      </c>
      <c r="K264" s="75" t="inlineStr">
        <is>
          <t>L여행사</t>
        </is>
      </c>
      <c r="M264" s="9">
        <f>IF($A264="","",VALUE($A264&amp;"")*12+VALUE($B264&amp;""))</f>
        <v/>
      </c>
      <c r="N264" s="39">
        <f>IF($A264="","",IFERROR(INDEX(부서매핑!$C$5:$C$504,MATCH($G264&amp;"",부서매핑!$A$5:$A$504,0)),"미매핑"))</f>
        <v/>
      </c>
      <c r="O264" s="9">
        <f>IF($A264="","",N264&amp;"|"&amp;$F264)</f>
        <v/>
      </c>
      <c r="P264" s="77">
        <f>IF($A264="",0,$H264*설정!$C$23)</f>
        <v/>
      </c>
      <c r="Q264" s="39">
        <f>IF($A264="","",IF(O264&lt;&gt;원인분석!$C$9,"",IF(AND(M264&gt;=원인분석!$C$10,M264&lt;=원인분석!$C$11),"당기",IF(AND(M264&gt;=원인분석!$C$12,M264&lt;=원인분석!$C$13),"비교",""))))</f>
        <v/>
      </c>
      <c r="R264" s="9">
        <f>IF(Q264="","",$K264&amp;"")</f>
        <v/>
      </c>
      <c r="S264" s="9">
        <f>IF(Q264="","",IF(MATCH(R264,$R$5:$R$100000,0)=ROW()-4,ROW(),""))</f>
        <v/>
      </c>
      <c r="T264" s="9">
        <f>IF(Q264="당기",ABS(P264)+ROW()/1000000000,"")</f>
        <v/>
      </c>
      <c r="U264" s="9">
        <f>IF(Q264="비교",ABS(P264)+ROW()/1000000000,"")</f>
        <v/>
      </c>
      <c r="V264" s="39">
        <f>IF($A264="","",IF(COUNTIF(변동분석!$E$7:$E$506,O264)&gt;0,"Y","N"))</f>
        <v/>
      </c>
      <c r="W264" s="39">
        <f>IF($A264="","",IFERROR(INDEX(계정매핑!$D$5:$D$504,MATCH($F264&amp;"",계정매핑!$A$5:$A$504,0)),"미매핑"))</f>
        <v/>
      </c>
      <c r="X264" s="9">
        <f>IF($A264="","",$F264&amp;"")</f>
        <v/>
      </c>
    </row>
    <row r="265">
      <c r="A265" s="75" t="n">
        <v>2025</v>
      </c>
      <c r="B265" s="75" t="n">
        <v>2</v>
      </c>
      <c r="C265" s="75" t="inlineStr">
        <is>
          <t>5100000261</t>
        </is>
      </c>
      <c r="D265" s="78" t="n">
        <v>45699</v>
      </c>
      <c r="E265" s="75" t="inlineStr">
        <is>
          <t>KR</t>
        </is>
      </c>
      <c r="F265" s="75" t="n">
        <v>62101000</v>
      </c>
      <c r="G265" s="75" t="n">
        <v>1801</v>
      </c>
      <c r="H265" s="76" t="n">
        <v>214000</v>
      </c>
      <c r="I265" s="75" t="inlineStr">
        <is>
          <t>2월 국내출장 - L여행사</t>
        </is>
      </c>
      <c r="J265" s="75" t="inlineStr">
        <is>
          <t>V10014</t>
        </is>
      </c>
      <c r="K265" s="75" t="inlineStr">
        <is>
          <t>L여행사</t>
        </is>
      </c>
      <c r="M265" s="9">
        <f>IF($A265="","",VALUE($A265&amp;"")*12+VALUE($B265&amp;""))</f>
        <v/>
      </c>
      <c r="N265" s="39">
        <f>IF($A265="","",IFERROR(INDEX(부서매핑!$C$5:$C$504,MATCH($G265&amp;"",부서매핑!$A$5:$A$504,0)),"미매핑"))</f>
        <v/>
      </c>
      <c r="O265" s="9">
        <f>IF($A265="","",N265&amp;"|"&amp;$F265)</f>
        <v/>
      </c>
      <c r="P265" s="77">
        <f>IF($A265="",0,$H265*설정!$C$23)</f>
        <v/>
      </c>
      <c r="Q265" s="39">
        <f>IF($A265="","",IF(O265&lt;&gt;원인분석!$C$9,"",IF(AND(M265&gt;=원인분석!$C$10,M265&lt;=원인분석!$C$11),"당기",IF(AND(M265&gt;=원인분석!$C$12,M265&lt;=원인분석!$C$13),"비교",""))))</f>
        <v/>
      </c>
      <c r="R265" s="9">
        <f>IF(Q265="","",$K265&amp;"")</f>
        <v/>
      </c>
      <c r="S265" s="9">
        <f>IF(Q265="","",IF(MATCH(R265,$R$5:$R$100000,0)=ROW()-4,ROW(),""))</f>
        <v/>
      </c>
      <c r="T265" s="9">
        <f>IF(Q265="당기",ABS(P265)+ROW()/1000000000,"")</f>
        <v/>
      </c>
      <c r="U265" s="9">
        <f>IF(Q265="비교",ABS(P265)+ROW()/1000000000,"")</f>
        <v/>
      </c>
      <c r="V265" s="39">
        <f>IF($A265="","",IF(COUNTIF(변동분석!$E$7:$E$506,O265)&gt;0,"Y","N"))</f>
        <v/>
      </c>
      <c r="W265" s="39">
        <f>IF($A265="","",IFERROR(INDEX(계정매핑!$D$5:$D$504,MATCH($F265&amp;"",계정매핑!$A$5:$A$504,0)),"미매핑"))</f>
        <v/>
      </c>
      <c r="X265" s="9">
        <f>IF($A265="","",$F265&amp;"")</f>
        <v/>
      </c>
    </row>
    <row r="266">
      <c r="A266" s="75" t="n">
        <v>2025</v>
      </c>
      <c r="B266" s="75" t="n">
        <v>2</v>
      </c>
      <c r="C266" s="75" t="inlineStr">
        <is>
          <t>5100000262</t>
        </is>
      </c>
      <c r="D266" s="78" t="n">
        <v>45699</v>
      </c>
      <c r="E266" s="75" t="inlineStr">
        <is>
          <t>KR</t>
        </is>
      </c>
      <c r="F266" s="75" t="n">
        <v>62102000</v>
      </c>
      <c r="G266" s="75" t="n">
        <v>1201</v>
      </c>
      <c r="H266" s="76" t="n">
        <v>70000</v>
      </c>
      <c r="I266" s="75" t="inlineStr">
        <is>
          <t>2월 해외출장 - M항공</t>
        </is>
      </c>
      <c r="J266" s="75" t="inlineStr">
        <is>
          <t>V10001</t>
        </is>
      </c>
      <c r="K266" s="75" t="inlineStr">
        <is>
          <t>M항공</t>
        </is>
      </c>
      <c r="M266" s="9">
        <f>IF($A266="","",VALUE($A266&amp;"")*12+VALUE($B266&amp;""))</f>
        <v/>
      </c>
      <c r="N266" s="39">
        <f>IF($A266="","",IFERROR(INDEX(부서매핑!$C$5:$C$504,MATCH($G266&amp;"",부서매핑!$A$5:$A$504,0)),"미매핑"))</f>
        <v/>
      </c>
      <c r="O266" s="9">
        <f>IF($A266="","",N266&amp;"|"&amp;$F266)</f>
        <v/>
      </c>
      <c r="P266" s="77">
        <f>IF($A266="",0,$H266*설정!$C$23)</f>
        <v/>
      </c>
      <c r="Q266" s="39">
        <f>IF($A266="","",IF(O266&lt;&gt;원인분석!$C$9,"",IF(AND(M266&gt;=원인분석!$C$10,M266&lt;=원인분석!$C$11),"당기",IF(AND(M266&gt;=원인분석!$C$12,M266&lt;=원인분석!$C$13),"비교",""))))</f>
        <v/>
      </c>
      <c r="R266" s="9">
        <f>IF(Q266="","",$K266&amp;"")</f>
        <v/>
      </c>
      <c r="S266" s="9">
        <f>IF(Q266="","",IF(MATCH(R266,$R$5:$R$100000,0)=ROW()-4,ROW(),""))</f>
        <v/>
      </c>
      <c r="T266" s="9">
        <f>IF(Q266="당기",ABS(P266)+ROW()/1000000000,"")</f>
        <v/>
      </c>
      <c r="U266" s="9">
        <f>IF(Q266="비교",ABS(P266)+ROW()/1000000000,"")</f>
        <v/>
      </c>
      <c r="V266" s="39">
        <f>IF($A266="","",IF(COUNTIF(변동분석!$E$7:$E$506,O266)&gt;0,"Y","N"))</f>
        <v/>
      </c>
      <c r="W266" s="39">
        <f>IF($A266="","",IFERROR(INDEX(계정매핑!$D$5:$D$504,MATCH($F266&amp;"",계정매핑!$A$5:$A$504,0)),"미매핑"))</f>
        <v/>
      </c>
      <c r="X266" s="9">
        <f>IF($A266="","",$F266&amp;"")</f>
        <v/>
      </c>
    </row>
    <row r="267">
      <c r="A267" s="75" t="n">
        <v>2025</v>
      </c>
      <c r="B267" s="75" t="n">
        <v>2</v>
      </c>
      <c r="C267" s="75" t="inlineStr">
        <is>
          <t>5100000263</t>
        </is>
      </c>
      <c r="D267" s="78" t="n">
        <v>45699</v>
      </c>
      <c r="E267" s="75" t="inlineStr">
        <is>
          <t>KR</t>
        </is>
      </c>
      <c r="F267" s="75" t="n">
        <v>62201000</v>
      </c>
      <c r="G267" s="75" t="n">
        <v>1401</v>
      </c>
      <c r="H267" s="76" t="n">
        <v>174000</v>
      </c>
      <c r="I267" s="75" t="inlineStr">
        <is>
          <t>2월 통신요금 - O텔레콤</t>
        </is>
      </c>
      <c r="J267" s="75" t="inlineStr">
        <is>
          <t>V10002</t>
        </is>
      </c>
      <c r="K267" s="75" t="inlineStr">
        <is>
          <t>O텔레콤</t>
        </is>
      </c>
      <c r="M267" s="9">
        <f>IF($A267="","",VALUE($A267&amp;"")*12+VALUE($B267&amp;""))</f>
        <v/>
      </c>
      <c r="N267" s="39">
        <f>IF($A267="","",IFERROR(INDEX(부서매핑!$C$5:$C$504,MATCH($G267&amp;"",부서매핑!$A$5:$A$504,0)),"미매핑"))</f>
        <v/>
      </c>
      <c r="O267" s="9">
        <f>IF($A267="","",N267&amp;"|"&amp;$F267)</f>
        <v/>
      </c>
      <c r="P267" s="77">
        <f>IF($A267="",0,$H267*설정!$C$23)</f>
        <v/>
      </c>
      <c r="Q267" s="39">
        <f>IF($A267="","",IF(O267&lt;&gt;원인분석!$C$9,"",IF(AND(M267&gt;=원인분석!$C$10,M267&lt;=원인분석!$C$11),"당기",IF(AND(M267&gt;=원인분석!$C$12,M267&lt;=원인분석!$C$13),"비교",""))))</f>
        <v/>
      </c>
      <c r="R267" s="9">
        <f>IF(Q267="","",$K267&amp;"")</f>
        <v/>
      </c>
      <c r="S267" s="9">
        <f>IF(Q267="","",IF(MATCH(R267,$R$5:$R$100000,0)=ROW()-4,ROW(),""))</f>
        <v/>
      </c>
      <c r="T267" s="9">
        <f>IF(Q267="당기",ABS(P267)+ROW()/1000000000,"")</f>
        <v/>
      </c>
      <c r="U267" s="9">
        <f>IF(Q267="비교",ABS(P267)+ROW()/1000000000,"")</f>
        <v/>
      </c>
      <c r="V267" s="39">
        <f>IF($A267="","",IF(COUNTIF(변동분석!$E$7:$E$506,O267)&gt;0,"Y","N"))</f>
        <v/>
      </c>
      <c r="W267" s="39">
        <f>IF($A267="","",IFERROR(INDEX(계정매핑!$D$5:$D$504,MATCH($F267&amp;"",계정매핑!$A$5:$A$504,0)),"미매핑"))</f>
        <v/>
      </c>
      <c r="X267" s="9">
        <f>IF($A267="","",$F267&amp;"")</f>
        <v/>
      </c>
    </row>
    <row r="268">
      <c r="A268" s="75" t="n">
        <v>2025</v>
      </c>
      <c r="B268" s="75" t="n">
        <v>2</v>
      </c>
      <c r="C268" s="75" t="inlineStr">
        <is>
          <t>5100000264</t>
        </is>
      </c>
      <c r="D268" s="78" t="n">
        <v>45699</v>
      </c>
      <c r="E268" s="75" t="inlineStr">
        <is>
          <t>KR</t>
        </is>
      </c>
      <c r="F268" s="75" t="n">
        <v>62301000</v>
      </c>
      <c r="G268" s="75" t="n">
        <v>1101</v>
      </c>
      <c r="H268" s="76" t="n">
        <v>168000</v>
      </c>
      <c r="I268" s="75" t="inlineStr">
        <is>
          <t>2월 소모품 구입 - Q오피스</t>
        </is>
      </c>
      <c r="J268" s="75" t="inlineStr">
        <is>
          <t>V10003</t>
        </is>
      </c>
      <c r="K268" s="75" t="inlineStr">
        <is>
          <t>Q오피스</t>
        </is>
      </c>
      <c r="M268" s="9">
        <f>IF($A268="","",VALUE($A268&amp;"")*12+VALUE($B268&amp;""))</f>
        <v/>
      </c>
      <c r="N268" s="39">
        <f>IF($A268="","",IFERROR(INDEX(부서매핑!$C$5:$C$504,MATCH($G268&amp;"",부서매핑!$A$5:$A$504,0)),"미매핑"))</f>
        <v/>
      </c>
      <c r="O268" s="9">
        <f>IF($A268="","",N268&amp;"|"&amp;$F268)</f>
        <v/>
      </c>
      <c r="P268" s="77">
        <f>IF($A268="",0,$H268*설정!$C$23)</f>
        <v/>
      </c>
      <c r="Q268" s="39">
        <f>IF($A268="","",IF(O268&lt;&gt;원인분석!$C$9,"",IF(AND(M268&gt;=원인분석!$C$10,M268&lt;=원인분석!$C$11),"당기",IF(AND(M268&gt;=원인분석!$C$12,M268&lt;=원인분석!$C$13),"비교",""))))</f>
        <v/>
      </c>
      <c r="R268" s="9">
        <f>IF(Q268="","",$K268&amp;"")</f>
        <v/>
      </c>
      <c r="S268" s="9">
        <f>IF(Q268="","",IF(MATCH(R268,$R$5:$R$100000,0)=ROW()-4,ROW(),""))</f>
        <v/>
      </c>
      <c r="T268" s="9">
        <f>IF(Q268="당기",ABS(P268)+ROW()/1000000000,"")</f>
        <v/>
      </c>
      <c r="U268" s="9">
        <f>IF(Q268="비교",ABS(P268)+ROW()/1000000000,"")</f>
        <v/>
      </c>
      <c r="V268" s="39">
        <f>IF($A268="","",IF(COUNTIF(변동분석!$E$7:$E$506,O268)&gt;0,"Y","N"))</f>
        <v/>
      </c>
      <c r="W268" s="39">
        <f>IF($A268="","",IFERROR(INDEX(계정매핑!$D$5:$D$504,MATCH($F268&amp;"",계정매핑!$A$5:$A$504,0)),"미매핑"))</f>
        <v/>
      </c>
      <c r="X268" s="9">
        <f>IF($A268="","",$F268&amp;"")</f>
        <v/>
      </c>
    </row>
    <row r="269">
      <c r="A269" s="75" t="n">
        <v>2025</v>
      </c>
      <c r="B269" s="75" t="n">
        <v>2</v>
      </c>
      <c r="C269" s="75" t="inlineStr">
        <is>
          <t>5100000265</t>
        </is>
      </c>
      <c r="D269" s="78" t="n">
        <v>45699</v>
      </c>
      <c r="E269" s="75" t="inlineStr">
        <is>
          <t>KR</t>
        </is>
      </c>
      <c r="F269" s="75" t="n">
        <v>62301000</v>
      </c>
      <c r="G269" s="75" t="n">
        <v>1502</v>
      </c>
      <c r="H269" s="76" t="n">
        <v>253000</v>
      </c>
      <c r="I269" s="75" t="inlineStr">
        <is>
          <t>2월 소모품 구입 - R문구</t>
        </is>
      </c>
      <c r="J269" s="75" t="inlineStr">
        <is>
          <t>V10018</t>
        </is>
      </c>
      <c r="K269" s="75" t="inlineStr">
        <is>
          <t>R문구</t>
        </is>
      </c>
      <c r="M269" s="9">
        <f>IF($A269="","",VALUE($A269&amp;"")*12+VALUE($B269&amp;""))</f>
        <v/>
      </c>
      <c r="N269" s="39">
        <f>IF($A269="","",IFERROR(INDEX(부서매핑!$C$5:$C$504,MATCH($G269&amp;"",부서매핑!$A$5:$A$504,0)),"미매핑"))</f>
        <v/>
      </c>
      <c r="O269" s="9">
        <f>IF($A269="","",N269&amp;"|"&amp;$F269)</f>
        <v/>
      </c>
      <c r="P269" s="77">
        <f>IF($A269="",0,$H269*설정!$C$23)</f>
        <v/>
      </c>
      <c r="Q269" s="39">
        <f>IF($A269="","",IF(O269&lt;&gt;원인분석!$C$9,"",IF(AND(M269&gt;=원인분석!$C$10,M269&lt;=원인분석!$C$11),"당기",IF(AND(M269&gt;=원인분석!$C$12,M269&lt;=원인분석!$C$13),"비교",""))))</f>
        <v/>
      </c>
      <c r="R269" s="9">
        <f>IF(Q269="","",$K269&amp;"")</f>
        <v/>
      </c>
      <c r="S269" s="9">
        <f>IF(Q269="","",IF(MATCH(R269,$R$5:$R$100000,0)=ROW()-4,ROW(),""))</f>
        <v/>
      </c>
      <c r="T269" s="9">
        <f>IF(Q269="당기",ABS(P269)+ROW()/1000000000,"")</f>
        <v/>
      </c>
      <c r="U269" s="9">
        <f>IF(Q269="비교",ABS(P269)+ROW()/1000000000,"")</f>
        <v/>
      </c>
      <c r="V269" s="39">
        <f>IF($A269="","",IF(COUNTIF(변동분석!$E$7:$E$506,O269)&gt;0,"Y","N"))</f>
        <v/>
      </c>
      <c r="W269" s="39">
        <f>IF($A269="","",IFERROR(INDEX(계정매핑!$D$5:$D$504,MATCH($F269&amp;"",계정매핑!$A$5:$A$504,0)),"미매핑"))</f>
        <v/>
      </c>
      <c r="X269" s="9">
        <f>IF($A269="","",$F269&amp;"")</f>
        <v/>
      </c>
    </row>
    <row r="270">
      <c r="A270" s="75" t="n">
        <v>2025</v>
      </c>
      <c r="B270" s="75" t="n">
        <v>2</v>
      </c>
      <c r="C270" s="75" t="inlineStr">
        <is>
          <t>5100000266</t>
        </is>
      </c>
      <c r="D270" s="78" t="n">
        <v>45699</v>
      </c>
      <c r="E270" s="75" t="inlineStr">
        <is>
          <t>KR</t>
        </is>
      </c>
      <c r="F270" s="75" t="n">
        <v>62301000</v>
      </c>
      <c r="G270" s="75" t="n">
        <v>1602</v>
      </c>
      <c r="H270" s="76" t="n">
        <v>464000</v>
      </c>
      <c r="I270" s="75" t="inlineStr">
        <is>
          <t>2월 소모품 구입 - R문구</t>
        </is>
      </c>
      <c r="J270" s="75" t="inlineStr">
        <is>
          <t>V10018</t>
        </is>
      </c>
      <c r="K270" s="75" t="inlineStr">
        <is>
          <t>R문구</t>
        </is>
      </c>
      <c r="M270" s="9">
        <f>IF($A270="","",VALUE($A270&amp;"")*12+VALUE($B270&amp;""))</f>
        <v/>
      </c>
      <c r="N270" s="39">
        <f>IF($A270="","",IFERROR(INDEX(부서매핑!$C$5:$C$504,MATCH($G270&amp;"",부서매핑!$A$5:$A$504,0)),"미매핑"))</f>
        <v/>
      </c>
      <c r="O270" s="9">
        <f>IF($A270="","",N270&amp;"|"&amp;$F270)</f>
        <v/>
      </c>
      <c r="P270" s="77">
        <f>IF($A270="",0,$H270*설정!$C$23)</f>
        <v/>
      </c>
      <c r="Q270" s="39">
        <f>IF($A270="","",IF(O270&lt;&gt;원인분석!$C$9,"",IF(AND(M270&gt;=원인분석!$C$10,M270&lt;=원인분석!$C$11),"당기",IF(AND(M270&gt;=원인분석!$C$12,M270&lt;=원인분석!$C$13),"비교",""))))</f>
        <v/>
      </c>
      <c r="R270" s="9">
        <f>IF(Q270="","",$K270&amp;"")</f>
        <v/>
      </c>
      <c r="S270" s="9">
        <f>IF(Q270="","",IF(MATCH(R270,$R$5:$R$100000,0)=ROW()-4,ROW(),""))</f>
        <v/>
      </c>
      <c r="T270" s="9">
        <f>IF(Q270="당기",ABS(P270)+ROW()/1000000000,"")</f>
        <v/>
      </c>
      <c r="U270" s="9">
        <f>IF(Q270="비교",ABS(P270)+ROW()/1000000000,"")</f>
        <v/>
      </c>
      <c r="V270" s="39">
        <f>IF($A270="","",IF(COUNTIF(변동분석!$E$7:$E$506,O270)&gt;0,"Y","N"))</f>
        <v/>
      </c>
      <c r="W270" s="39">
        <f>IF($A270="","",IFERROR(INDEX(계정매핑!$D$5:$D$504,MATCH($F270&amp;"",계정매핑!$A$5:$A$504,0)),"미매핑"))</f>
        <v/>
      </c>
      <c r="X270" s="9">
        <f>IF($A270="","",$F270&amp;"")</f>
        <v/>
      </c>
    </row>
    <row r="271">
      <c r="A271" s="75" t="n">
        <v>2025</v>
      </c>
      <c r="B271" s="75" t="n">
        <v>2</v>
      </c>
      <c r="C271" s="75" t="inlineStr">
        <is>
          <t>5100000267</t>
        </is>
      </c>
      <c r="D271" s="78" t="n">
        <v>45699</v>
      </c>
      <c r="E271" s="75" t="inlineStr">
        <is>
          <t>KR</t>
        </is>
      </c>
      <c r="F271" s="75" t="n">
        <v>62301000</v>
      </c>
      <c r="G271" s="75" t="n">
        <v>1701</v>
      </c>
      <c r="H271" s="76" t="n">
        <v>286000</v>
      </c>
      <c r="I271" s="75" t="inlineStr">
        <is>
          <t>2월 소모품 구입 - Q오피스</t>
        </is>
      </c>
      <c r="J271" s="75" t="inlineStr">
        <is>
          <t>V10003</t>
        </is>
      </c>
      <c r="K271" s="75" t="inlineStr">
        <is>
          <t>Q오피스</t>
        </is>
      </c>
      <c r="M271" s="9">
        <f>IF($A271="","",VALUE($A271&amp;"")*12+VALUE($B271&amp;""))</f>
        <v/>
      </c>
      <c r="N271" s="39">
        <f>IF($A271="","",IFERROR(INDEX(부서매핑!$C$5:$C$504,MATCH($G271&amp;"",부서매핑!$A$5:$A$504,0)),"미매핑"))</f>
        <v/>
      </c>
      <c r="O271" s="9">
        <f>IF($A271="","",N271&amp;"|"&amp;$F271)</f>
        <v/>
      </c>
      <c r="P271" s="77">
        <f>IF($A271="",0,$H271*설정!$C$23)</f>
        <v/>
      </c>
      <c r="Q271" s="39">
        <f>IF($A271="","",IF(O271&lt;&gt;원인분석!$C$9,"",IF(AND(M271&gt;=원인분석!$C$10,M271&lt;=원인분석!$C$11),"당기",IF(AND(M271&gt;=원인분석!$C$12,M271&lt;=원인분석!$C$13),"비교",""))))</f>
        <v/>
      </c>
      <c r="R271" s="9">
        <f>IF(Q271="","",$K271&amp;"")</f>
        <v/>
      </c>
      <c r="S271" s="9">
        <f>IF(Q271="","",IF(MATCH(R271,$R$5:$R$100000,0)=ROW()-4,ROW(),""))</f>
        <v/>
      </c>
      <c r="T271" s="9">
        <f>IF(Q271="당기",ABS(P271)+ROW()/1000000000,"")</f>
        <v/>
      </c>
      <c r="U271" s="9">
        <f>IF(Q271="비교",ABS(P271)+ROW()/1000000000,"")</f>
        <v/>
      </c>
      <c r="V271" s="39">
        <f>IF($A271="","",IF(COUNTIF(변동분석!$E$7:$E$506,O271)&gt;0,"Y","N"))</f>
        <v/>
      </c>
      <c r="W271" s="39">
        <f>IF($A271="","",IFERROR(INDEX(계정매핑!$D$5:$D$504,MATCH($F271&amp;"",계정매핑!$A$5:$A$504,0)),"미매핑"))</f>
        <v/>
      </c>
      <c r="X271" s="9">
        <f>IF($A271="","",$F271&amp;"")</f>
        <v/>
      </c>
    </row>
    <row r="272">
      <c r="A272" s="75" t="n">
        <v>2025</v>
      </c>
      <c r="B272" s="75" t="n">
        <v>2</v>
      </c>
      <c r="C272" s="75" t="inlineStr">
        <is>
          <t>5100000268</t>
        </is>
      </c>
      <c r="D272" s="78" t="n">
        <v>45699</v>
      </c>
      <c r="E272" s="75" t="inlineStr">
        <is>
          <t>KR</t>
        </is>
      </c>
      <c r="F272" s="75" t="n">
        <v>62401000</v>
      </c>
      <c r="G272" s="75" t="n">
        <v>1801</v>
      </c>
      <c r="H272" s="76" t="n">
        <v>3295000</v>
      </c>
      <c r="I272" s="75" t="inlineStr">
        <is>
          <t>2월 인쇄물 제작 - S출판</t>
        </is>
      </c>
      <c r="J272" s="75" t="inlineStr">
        <is>
          <t>V10012</t>
        </is>
      </c>
      <c r="K272" s="75" t="inlineStr">
        <is>
          <t>S출판</t>
        </is>
      </c>
      <c r="M272" s="9">
        <f>IF($A272="","",VALUE($A272&amp;"")*12+VALUE($B272&amp;""))</f>
        <v/>
      </c>
      <c r="N272" s="39">
        <f>IF($A272="","",IFERROR(INDEX(부서매핑!$C$5:$C$504,MATCH($G272&amp;"",부서매핑!$A$5:$A$504,0)),"미매핑"))</f>
        <v/>
      </c>
      <c r="O272" s="9">
        <f>IF($A272="","",N272&amp;"|"&amp;$F272)</f>
        <v/>
      </c>
      <c r="P272" s="77">
        <f>IF($A272="",0,$H272*설정!$C$23)</f>
        <v/>
      </c>
      <c r="Q272" s="39">
        <f>IF($A272="","",IF(O272&lt;&gt;원인분석!$C$9,"",IF(AND(M272&gt;=원인분석!$C$10,M272&lt;=원인분석!$C$11),"당기",IF(AND(M272&gt;=원인분석!$C$12,M272&lt;=원인분석!$C$13),"비교",""))))</f>
        <v/>
      </c>
      <c r="R272" s="9">
        <f>IF(Q272="","",$K272&amp;"")</f>
        <v/>
      </c>
      <c r="S272" s="9">
        <f>IF(Q272="","",IF(MATCH(R272,$R$5:$R$100000,0)=ROW()-4,ROW(),""))</f>
        <v/>
      </c>
      <c r="T272" s="9">
        <f>IF(Q272="당기",ABS(P272)+ROW()/1000000000,"")</f>
        <v/>
      </c>
      <c r="U272" s="9">
        <f>IF(Q272="비교",ABS(P272)+ROW()/1000000000,"")</f>
        <v/>
      </c>
      <c r="V272" s="39">
        <f>IF($A272="","",IF(COUNTIF(변동분석!$E$7:$E$506,O272)&gt;0,"Y","N"))</f>
        <v/>
      </c>
      <c r="W272" s="39">
        <f>IF($A272="","",IFERROR(INDEX(계정매핑!$D$5:$D$504,MATCH($F272&amp;"",계정매핑!$A$5:$A$504,0)),"미매핑"))</f>
        <v/>
      </c>
      <c r="X272" s="9">
        <f>IF($A272="","",$F272&amp;"")</f>
        <v/>
      </c>
    </row>
    <row r="273">
      <c r="A273" s="75" t="n">
        <v>2025</v>
      </c>
      <c r="B273" s="75" t="n">
        <v>2</v>
      </c>
      <c r="C273" s="75" t="inlineStr">
        <is>
          <t>5100000269</t>
        </is>
      </c>
      <c r="D273" s="78" t="n">
        <v>45699</v>
      </c>
      <c r="E273" s="75" t="inlineStr">
        <is>
          <t>KR</t>
        </is>
      </c>
      <c r="F273" s="75" t="n">
        <v>62501000</v>
      </c>
      <c r="G273" s="75" t="n">
        <v>1301</v>
      </c>
      <c r="H273" s="76" t="n">
        <v>239000</v>
      </c>
      <c r="I273" s="75" t="inlineStr">
        <is>
          <t>2월 회의 다과 - (법인카드)</t>
        </is>
      </c>
      <c r="J273" s="75" t="inlineStr">
        <is>
          <t>V10008</t>
        </is>
      </c>
      <c r="K273" s="75" t="inlineStr">
        <is>
          <t>(법인카드)</t>
        </is>
      </c>
      <c r="M273" s="9">
        <f>IF($A273="","",VALUE($A273&amp;"")*12+VALUE($B273&amp;""))</f>
        <v/>
      </c>
      <c r="N273" s="39">
        <f>IF($A273="","",IFERROR(INDEX(부서매핑!$C$5:$C$504,MATCH($G273&amp;"",부서매핑!$A$5:$A$504,0)),"미매핑"))</f>
        <v/>
      </c>
      <c r="O273" s="9">
        <f>IF($A273="","",N273&amp;"|"&amp;$F273)</f>
        <v/>
      </c>
      <c r="P273" s="77">
        <f>IF($A273="",0,$H273*설정!$C$23)</f>
        <v/>
      </c>
      <c r="Q273" s="39">
        <f>IF($A273="","",IF(O273&lt;&gt;원인분석!$C$9,"",IF(AND(M273&gt;=원인분석!$C$10,M273&lt;=원인분석!$C$11),"당기",IF(AND(M273&gt;=원인분석!$C$12,M273&lt;=원인분석!$C$13),"비교",""))))</f>
        <v/>
      </c>
      <c r="R273" s="9">
        <f>IF(Q273="","",$K273&amp;"")</f>
        <v/>
      </c>
      <c r="S273" s="9">
        <f>IF(Q273="","",IF(MATCH(R273,$R$5:$R$100000,0)=ROW()-4,ROW(),""))</f>
        <v/>
      </c>
      <c r="T273" s="9">
        <f>IF(Q273="당기",ABS(P273)+ROW()/1000000000,"")</f>
        <v/>
      </c>
      <c r="U273" s="9">
        <f>IF(Q273="비교",ABS(P273)+ROW()/1000000000,"")</f>
        <v/>
      </c>
      <c r="V273" s="39">
        <f>IF($A273="","",IF(COUNTIF(변동분석!$E$7:$E$506,O273)&gt;0,"Y","N"))</f>
        <v/>
      </c>
      <c r="W273" s="39">
        <f>IF($A273="","",IFERROR(INDEX(계정매핑!$D$5:$D$504,MATCH($F273&amp;"",계정매핑!$A$5:$A$504,0)),"미매핑"))</f>
        <v/>
      </c>
      <c r="X273" s="9">
        <f>IF($A273="","",$F273&amp;"")</f>
        <v/>
      </c>
    </row>
    <row r="274">
      <c r="A274" s="75" t="n">
        <v>2025</v>
      </c>
      <c r="B274" s="75" t="n">
        <v>2</v>
      </c>
      <c r="C274" s="75" t="inlineStr">
        <is>
          <t>5100000270</t>
        </is>
      </c>
      <c r="D274" s="78" t="n">
        <v>45699</v>
      </c>
      <c r="E274" s="75" t="inlineStr">
        <is>
          <t>KR</t>
        </is>
      </c>
      <c r="F274" s="75" t="n">
        <v>62501000</v>
      </c>
      <c r="G274" s="75" t="n">
        <v>1501</v>
      </c>
      <c r="H274" s="76" t="n">
        <v>255000</v>
      </c>
      <c r="I274" s="75" t="inlineStr">
        <is>
          <t>2월 회의 다과 - (법인카드)</t>
        </is>
      </c>
      <c r="J274" s="75" t="inlineStr">
        <is>
          <t>V10008</t>
        </is>
      </c>
      <c r="K274" s="75" t="inlineStr">
        <is>
          <t>(법인카드)</t>
        </is>
      </c>
      <c r="M274" s="9">
        <f>IF($A274="","",VALUE($A274&amp;"")*12+VALUE($B274&amp;""))</f>
        <v/>
      </c>
      <c r="N274" s="39">
        <f>IF($A274="","",IFERROR(INDEX(부서매핑!$C$5:$C$504,MATCH($G274&amp;"",부서매핑!$A$5:$A$504,0)),"미매핑"))</f>
        <v/>
      </c>
      <c r="O274" s="9">
        <f>IF($A274="","",N274&amp;"|"&amp;$F274)</f>
        <v/>
      </c>
      <c r="P274" s="77">
        <f>IF($A274="",0,$H274*설정!$C$23)</f>
        <v/>
      </c>
      <c r="Q274" s="39">
        <f>IF($A274="","",IF(O274&lt;&gt;원인분석!$C$9,"",IF(AND(M274&gt;=원인분석!$C$10,M274&lt;=원인분석!$C$11),"당기",IF(AND(M274&gt;=원인분석!$C$12,M274&lt;=원인분석!$C$13),"비교",""))))</f>
        <v/>
      </c>
      <c r="R274" s="9">
        <f>IF(Q274="","",$K274&amp;"")</f>
        <v/>
      </c>
      <c r="S274" s="9">
        <f>IF(Q274="","",IF(MATCH(R274,$R$5:$R$100000,0)=ROW()-4,ROW(),""))</f>
        <v/>
      </c>
      <c r="T274" s="9">
        <f>IF(Q274="당기",ABS(P274)+ROW()/1000000000,"")</f>
        <v/>
      </c>
      <c r="U274" s="9">
        <f>IF(Q274="비교",ABS(P274)+ROW()/1000000000,"")</f>
        <v/>
      </c>
      <c r="V274" s="39">
        <f>IF($A274="","",IF(COUNTIF(변동분석!$E$7:$E$506,O274)&gt;0,"Y","N"))</f>
        <v/>
      </c>
      <c r="W274" s="39">
        <f>IF($A274="","",IFERROR(INDEX(계정매핑!$D$5:$D$504,MATCH($F274&amp;"",계정매핑!$A$5:$A$504,0)),"미매핑"))</f>
        <v/>
      </c>
      <c r="X274" s="9">
        <f>IF($A274="","",$F274&amp;"")</f>
        <v/>
      </c>
    </row>
    <row r="275">
      <c r="A275" s="75" t="n">
        <v>2025</v>
      </c>
      <c r="B275" s="75" t="n">
        <v>2</v>
      </c>
      <c r="C275" s="75" t="inlineStr">
        <is>
          <t>5100000271</t>
        </is>
      </c>
      <c r="D275" s="78" t="n">
        <v>45699</v>
      </c>
      <c r="E275" s="75" t="inlineStr">
        <is>
          <t>KR</t>
        </is>
      </c>
      <c r="F275" s="75" t="n">
        <v>62801000</v>
      </c>
      <c r="G275" s="75" t="n">
        <v>1301</v>
      </c>
      <c r="H275" s="76" t="n">
        <v>6533000</v>
      </c>
      <c r="I275" s="75" t="inlineStr">
        <is>
          <t>2월 사내교육 - (사내강사료)</t>
        </is>
      </c>
      <c r="J275" s="75" t="inlineStr">
        <is>
          <t>V10020</t>
        </is>
      </c>
      <c r="K275" s="75" t="inlineStr">
        <is>
          <t>(사내강사료)</t>
        </is>
      </c>
      <c r="M275" s="9">
        <f>IF($A275="","",VALUE($A275&amp;"")*12+VALUE($B275&amp;""))</f>
        <v/>
      </c>
      <c r="N275" s="39">
        <f>IF($A275="","",IFERROR(INDEX(부서매핑!$C$5:$C$504,MATCH($G275&amp;"",부서매핑!$A$5:$A$504,0)),"미매핑"))</f>
        <v/>
      </c>
      <c r="O275" s="9">
        <f>IF($A275="","",N275&amp;"|"&amp;$F275)</f>
        <v/>
      </c>
      <c r="P275" s="77">
        <f>IF($A275="",0,$H275*설정!$C$23)</f>
        <v/>
      </c>
      <c r="Q275" s="39">
        <f>IF($A275="","",IF(O275&lt;&gt;원인분석!$C$9,"",IF(AND(M275&gt;=원인분석!$C$10,M275&lt;=원인분석!$C$11),"당기",IF(AND(M275&gt;=원인분석!$C$12,M275&lt;=원인분석!$C$13),"비교",""))))</f>
        <v/>
      </c>
      <c r="R275" s="9">
        <f>IF(Q275="","",$K275&amp;"")</f>
        <v/>
      </c>
      <c r="S275" s="9">
        <f>IF(Q275="","",IF(MATCH(R275,$R$5:$R$100000,0)=ROW()-4,ROW(),""))</f>
        <v/>
      </c>
      <c r="T275" s="9">
        <f>IF(Q275="당기",ABS(P275)+ROW()/1000000000,"")</f>
        <v/>
      </c>
      <c r="U275" s="9">
        <f>IF(Q275="비교",ABS(P275)+ROW()/1000000000,"")</f>
        <v/>
      </c>
      <c r="V275" s="39">
        <f>IF($A275="","",IF(COUNTIF(변동분석!$E$7:$E$506,O275)&gt;0,"Y","N"))</f>
        <v/>
      </c>
      <c r="W275" s="39">
        <f>IF($A275="","",IFERROR(INDEX(계정매핑!$D$5:$D$504,MATCH($F275&amp;"",계정매핑!$A$5:$A$504,0)),"미매핑"))</f>
        <v/>
      </c>
      <c r="X275" s="9">
        <f>IF($A275="","",$F275&amp;"")</f>
        <v/>
      </c>
    </row>
    <row r="276">
      <c r="A276" s="75" t="n">
        <v>2025</v>
      </c>
      <c r="B276" s="75" t="n">
        <v>2</v>
      </c>
      <c r="C276" s="75" t="inlineStr">
        <is>
          <t>5100000272</t>
        </is>
      </c>
      <c r="D276" s="78" t="n">
        <v>45699</v>
      </c>
      <c r="E276" s="75" t="inlineStr">
        <is>
          <t>KR</t>
        </is>
      </c>
      <c r="F276" s="75" t="n">
        <v>62901000</v>
      </c>
      <c r="G276" s="75" t="n">
        <v>1101</v>
      </c>
      <c r="H276" s="76" t="n">
        <v>2889000</v>
      </c>
      <c r="I276" s="75" t="inlineStr">
        <is>
          <t>2월 자문 수수료 - W컨설팅</t>
        </is>
      </c>
      <c r="J276" s="75" t="inlineStr">
        <is>
          <t>V10009</t>
        </is>
      </c>
      <c r="K276" s="75" t="inlineStr">
        <is>
          <t>W컨설팅</t>
        </is>
      </c>
      <c r="M276" s="9">
        <f>IF($A276="","",VALUE($A276&amp;"")*12+VALUE($B276&amp;""))</f>
        <v/>
      </c>
      <c r="N276" s="39">
        <f>IF($A276="","",IFERROR(INDEX(부서매핑!$C$5:$C$504,MATCH($G276&amp;"",부서매핑!$A$5:$A$504,0)),"미매핑"))</f>
        <v/>
      </c>
      <c r="O276" s="9">
        <f>IF($A276="","",N276&amp;"|"&amp;$F276)</f>
        <v/>
      </c>
      <c r="P276" s="77">
        <f>IF($A276="",0,$H276*설정!$C$23)</f>
        <v/>
      </c>
      <c r="Q276" s="39">
        <f>IF($A276="","",IF(O276&lt;&gt;원인분석!$C$9,"",IF(AND(M276&gt;=원인분석!$C$10,M276&lt;=원인분석!$C$11),"당기",IF(AND(M276&gt;=원인분석!$C$12,M276&lt;=원인분석!$C$13),"비교",""))))</f>
        <v/>
      </c>
      <c r="R276" s="9">
        <f>IF(Q276="","",$K276&amp;"")</f>
        <v/>
      </c>
      <c r="S276" s="9">
        <f>IF(Q276="","",IF(MATCH(R276,$R$5:$R$100000,0)=ROW()-4,ROW(),""))</f>
        <v/>
      </c>
      <c r="T276" s="9">
        <f>IF(Q276="당기",ABS(P276)+ROW()/1000000000,"")</f>
        <v/>
      </c>
      <c r="U276" s="9">
        <f>IF(Q276="비교",ABS(P276)+ROW()/1000000000,"")</f>
        <v/>
      </c>
      <c r="V276" s="39">
        <f>IF($A276="","",IF(COUNTIF(변동분석!$E$7:$E$506,O276)&gt;0,"Y","N"))</f>
        <v/>
      </c>
      <c r="W276" s="39">
        <f>IF($A276="","",IFERROR(INDEX(계정매핑!$D$5:$D$504,MATCH($F276&amp;"",계정매핑!$A$5:$A$504,0)),"미매핑"))</f>
        <v/>
      </c>
      <c r="X276" s="9">
        <f>IF($A276="","",$F276&amp;"")</f>
        <v/>
      </c>
    </row>
    <row r="277">
      <c r="A277" s="75" t="n">
        <v>2025</v>
      </c>
      <c r="B277" s="75" t="n">
        <v>2</v>
      </c>
      <c r="C277" s="75" t="inlineStr">
        <is>
          <t>5100000273</t>
        </is>
      </c>
      <c r="D277" s="78" t="n">
        <v>45699</v>
      </c>
      <c r="E277" s="75" t="inlineStr">
        <is>
          <t>KR</t>
        </is>
      </c>
      <c r="F277" s="75" t="n">
        <v>63201000</v>
      </c>
      <c r="G277" s="75" t="n">
        <v>1601</v>
      </c>
      <c r="H277" s="76" t="n">
        <v>5632000</v>
      </c>
      <c r="I277" s="75" t="inlineStr">
        <is>
          <t>2월 차량 유지 - D정비</t>
        </is>
      </c>
      <c r="J277" s="75" t="inlineStr">
        <is>
          <t>V10022</t>
        </is>
      </c>
      <c r="K277" s="75" t="inlineStr">
        <is>
          <t>D정비</t>
        </is>
      </c>
      <c r="M277" s="9">
        <f>IF($A277="","",VALUE($A277&amp;"")*12+VALUE($B277&amp;""))</f>
        <v/>
      </c>
      <c r="N277" s="39">
        <f>IF($A277="","",IFERROR(INDEX(부서매핑!$C$5:$C$504,MATCH($G277&amp;"",부서매핑!$A$5:$A$504,0)),"미매핑"))</f>
        <v/>
      </c>
      <c r="O277" s="9">
        <f>IF($A277="","",N277&amp;"|"&amp;$F277)</f>
        <v/>
      </c>
      <c r="P277" s="77">
        <f>IF($A277="",0,$H277*설정!$C$23)</f>
        <v/>
      </c>
      <c r="Q277" s="39">
        <f>IF($A277="","",IF(O277&lt;&gt;원인분석!$C$9,"",IF(AND(M277&gt;=원인분석!$C$10,M277&lt;=원인분석!$C$11),"당기",IF(AND(M277&gt;=원인분석!$C$12,M277&lt;=원인분석!$C$13),"비교",""))))</f>
        <v/>
      </c>
      <c r="R277" s="9">
        <f>IF(Q277="","",$K277&amp;"")</f>
        <v/>
      </c>
      <c r="S277" s="9">
        <f>IF(Q277="","",IF(MATCH(R277,$R$5:$R$100000,0)=ROW()-4,ROW(),""))</f>
        <v/>
      </c>
      <c r="T277" s="9">
        <f>IF(Q277="당기",ABS(P277)+ROW()/1000000000,"")</f>
        <v/>
      </c>
      <c r="U277" s="9">
        <f>IF(Q277="비교",ABS(P277)+ROW()/1000000000,"")</f>
        <v/>
      </c>
      <c r="V277" s="39">
        <f>IF($A277="","",IF(COUNTIF(변동분석!$E$7:$E$506,O277)&gt;0,"Y","N"))</f>
        <v/>
      </c>
      <c r="W277" s="39">
        <f>IF($A277="","",IFERROR(INDEX(계정매핑!$D$5:$D$504,MATCH($F277&amp;"",계정매핑!$A$5:$A$504,0)),"미매핑"))</f>
        <v/>
      </c>
      <c r="X277" s="9">
        <f>IF($A277="","",$F277&amp;"")</f>
        <v/>
      </c>
    </row>
    <row r="278">
      <c r="A278" s="75" t="n">
        <v>2025</v>
      </c>
      <c r="B278" s="75" t="n">
        <v>2</v>
      </c>
      <c r="C278" s="75" t="inlineStr">
        <is>
          <t>5100000274</t>
        </is>
      </c>
      <c r="D278" s="78" t="n">
        <v>45700</v>
      </c>
      <c r="E278" s="75" t="inlineStr">
        <is>
          <t>KR</t>
        </is>
      </c>
      <c r="F278" s="75" t="n">
        <v>62101000</v>
      </c>
      <c r="G278" s="75" t="n">
        <v>1101</v>
      </c>
      <c r="H278" s="76" t="n">
        <v>771000</v>
      </c>
      <c r="I278" s="75" t="inlineStr">
        <is>
          <t>2월 국내출장 - M항공</t>
        </is>
      </c>
      <c r="J278" s="75" t="inlineStr">
        <is>
          <t>V10001</t>
        </is>
      </c>
      <c r="K278" s="75" t="inlineStr">
        <is>
          <t>M항공</t>
        </is>
      </c>
      <c r="M278" s="9">
        <f>IF($A278="","",VALUE($A278&amp;"")*12+VALUE($B278&amp;""))</f>
        <v/>
      </c>
      <c r="N278" s="39">
        <f>IF($A278="","",IFERROR(INDEX(부서매핑!$C$5:$C$504,MATCH($G278&amp;"",부서매핑!$A$5:$A$504,0)),"미매핑"))</f>
        <v/>
      </c>
      <c r="O278" s="9">
        <f>IF($A278="","",N278&amp;"|"&amp;$F278)</f>
        <v/>
      </c>
      <c r="P278" s="77">
        <f>IF($A278="",0,$H278*설정!$C$23)</f>
        <v/>
      </c>
      <c r="Q278" s="39">
        <f>IF($A278="","",IF(O278&lt;&gt;원인분석!$C$9,"",IF(AND(M278&gt;=원인분석!$C$10,M278&lt;=원인분석!$C$11),"당기",IF(AND(M278&gt;=원인분석!$C$12,M278&lt;=원인분석!$C$13),"비교",""))))</f>
        <v/>
      </c>
      <c r="R278" s="9">
        <f>IF(Q278="","",$K278&amp;"")</f>
        <v/>
      </c>
      <c r="S278" s="9">
        <f>IF(Q278="","",IF(MATCH(R278,$R$5:$R$100000,0)=ROW()-4,ROW(),""))</f>
        <v/>
      </c>
      <c r="T278" s="9">
        <f>IF(Q278="당기",ABS(P278)+ROW()/1000000000,"")</f>
        <v/>
      </c>
      <c r="U278" s="9">
        <f>IF(Q278="비교",ABS(P278)+ROW()/1000000000,"")</f>
        <v/>
      </c>
      <c r="V278" s="39">
        <f>IF($A278="","",IF(COUNTIF(변동분석!$E$7:$E$506,O278)&gt;0,"Y","N"))</f>
        <v/>
      </c>
      <c r="W278" s="39">
        <f>IF($A278="","",IFERROR(INDEX(계정매핑!$D$5:$D$504,MATCH($F278&amp;"",계정매핑!$A$5:$A$504,0)),"미매핑"))</f>
        <v/>
      </c>
      <c r="X278" s="9">
        <f>IF($A278="","",$F278&amp;"")</f>
        <v/>
      </c>
    </row>
    <row r="279">
      <c r="A279" s="75" t="n">
        <v>2025</v>
      </c>
      <c r="B279" s="75" t="n">
        <v>2</v>
      </c>
      <c r="C279" s="75" t="inlineStr">
        <is>
          <t>5100000275</t>
        </is>
      </c>
      <c r="D279" s="78" t="n">
        <v>45700</v>
      </c>
      <c r="E279" s="75" t="inlineStr">
        <is>
          <t>KR</t>
        </is>
      </c>
      <c r="F279" s="75" t="n">
        <v>62101000</v>
      </c>
      <c r="G279" s="75" t="n">
        <v>1801</v>
      </c>
      <c r="H279" s="76" t="n">
        <v>217000</v>
      </c>
      <c r="I279" s="75" t="inlineStr">
        <is>
          <t>2월 국내출장 - (법인카드)</t>
        </is>
      </c>
      <c r="J279" s="75" t="inlineStr">
        <is>
          <t>V10008</t>
        </is>
      </c>
      <c r="K279" s="75" t="inlineStr">
        <is>
          <t>(법인카드)</t>
        </is>
      </c>
      <c r="M279" s="9">
        <f>IF($A279="","",VALUE($A279&amp;"")*12+VALUE($B279&amp;""))</f>
        <v/>
      </c>
      <c r="N279" s="39">
        <f>IF($A279="","",IFERROR(INDEX(부서매핑!$C$5:$C$504,MATCH($G279&amp;"",부서매핑!$A$5:$A$504,0)),"미매핑"))</f>
        <v/>
      </c>
      <c r="O279" s="9">
        <f>IF($A279="","",N279&amp;"|"&amp;$F279)</f>
        <v/>
      </c>
      <c r="P279" s="77">
        <f>IF($A279="",0,$H279*설정!$C$23)</f>
        <v/>
      </c>
      <c r="Q279" s="39">
        <f>IF($A279="","",IF(O279&lt;&gt;원인분석!$C$9,"",IF(AND(M279&gt;=원인분석!$C$10,M279&lt;=원인분석!$C$11),"당기",IF(AND(M279&gt;=원인분석!$C$12,M279&lt;=원인분석!$C$13),"비교",""))))</f>
        <v/>
      </c>
      <c r="R279" s="9">
        <f>IF(Q279="","",$K279&amp;"")</f>
        <v/>
      </c>
      <c r="S279" s="9">
        <f>IF(Q279="","",IF(MATCH(R279,$R$5:$R$100000,0)=ROW()-4,ROW(),""))</f>
        <v/>
      </c>
      <c r="T279" s="9">
        <f>IF(Q279="당기",ABS(P279)+ROW()/1000000000,"")</f>
        <v/>
      </c>
      <c r="U279" s="9">
        <f>IF(Q279="비교",ABS(P279)+ROW()/1000000000,"")</f>
        <v/>
      </c>
      <c r="V279" s="39">
        <f>IF($A279="","",IF(COUNTIF(변동분석!$E$7:$E$506,O279)&gt;0,"Y","N"))</f>
        <v/>
      </c>
      <c r="W279" s="39">
        <f>IF($A279="","",IFERROR(INDEX(계정매핑!$D$5:$D$504,MATCH($F279&amp;"",계정매핑!$A$5:$A$504,0)),"미매핑"))</f>
        <v/>
      </c>
      <c r="X279" s="9">
        <f>IF($A279="","",$F279&amp;"")</f>
        <v/>
      </c>
    </row>
    <row r="280">
      <c r="A280" s="75" t="n">
        <v>2025</v>
      </c>
      <c r="B280" s="75" t="n">
        <v>2</v>
      </c>
      <c r="C280" s="75" t="inlineStr">
        <is>
          <t>5100000276</t>
        </is>
      </c>
      <c r="D280" s="78" t="n">
        <v>45700</v>
      </c>
      <c r="E280" s="75" t="inlineStr">
        <is>
          <t>KR</t>
        </is>
      </c>
      <c r="F280" s="75" t="n">
        <v>62201000</v>
      </c>
      <c r="G280" s="75" t="n">
        <v>1502</v>
      </c>
      <c r="H280" s="76" t="n">
        <v>219000</v>
      </c>
      <c r="I280" s="75" t="inlineStr">
        <is>
          <t>2월 통신요금 - P통신</t>
        </is>
      </c>
      <c r="J280" s="75" t="inlineStr">
        <is>
          <t>V10011</t>
        </is>
      </c>
      <c r="K280" s="75" t="inlineStr">
        <is>
          <t>P통신</t>
        </is>
      </c>
      <c r="M280" s="9">
        <f>IF($A280="","",VALUE($A280&amp;"")*12+VALUE($B280&amp;""))</f>
        <v/>
      </c>
      <c r="N280" s="39">
        <f>IF($A280="","",IFERROR(INDEX(부서매핑!$C$5:$C$504,MATCH($G280&amp;"",부서매핑!$A$5:$A$504,0)),"미매핑"))</f>
        <v/>
      </c>
      <c r="O280" s="9">
        <f>IF($A280="","",N280&amp;"|"&amp;$F280)</f>
        <v/>
      </c>
      <c r="P280" s="77">
        <f>IF($A280="",0,$H280*설정!$C$23)</f>
        <v/>
      </c>
      <c r="Q280" s="39">
        <f>IF($A280="","",IF(O280&lt;&gt;원인분석!$C$9,"",IF(AND(M280&gt;=원인분석!$C$10,M280&lt;=원인분석!$C$11),"당기",IF(AND(M280&gt;=원인분석!$C$12,M280&lt;=원인분석!$C$13),"비교",""))))</f>
        <v/>
      </c>
      <c r="R280" s="9">
        <f>IF(Q280="","",$K280&amp;"")</f>
        <v/>
      </c>
      <c r="S280" s="9">
        <f>IF(Q280="","",IF(MATCH(R280,$R$5:$R$100000,0)=ROW()-4,ROW(),""))</f>
        <v/>
      </c>
      <c r="T280" s="9">
        <f>IF(Q280="당기",ABS(P280)+ROW()/1000000000,"")</f>
        <v/>
      </c>
      <c r="U280" s="9">
        <f>IF(Q280="비교",ABS(P280)+ROW()/1000000000,"")</f>
        <v/>
      </c>
      <c r="V280" s="39">
        <f>IF($A280="","",IF(COUNTIF(변동분석!$E$7:$E$506,O280)&gt;0,"Y","N"))</f>
        <v/>
      </c>
      <c r="W280" s="39">
        <f>IF($A280="","",IFERROR(INDEX(계정매핑!$D$5:$D$504,MATCH($F280&amp;"",계정매핑!$A$5:$A$504,0)),"미매핑"))</f>
        <v/>
      </c>
      <c r="X280" s="9">
        <f>IF($A280="","",$F280&amp;"")</f>
        <v/>
      </c>
    </row>
    <row r="281">
      <c r="A281" s="75" t="n">
        <v>2025</v>
      </c>
      <c r="B281" s="75" t="n">
        <v>2</v>
      </c>
      <c r="C281" s="75" t="inlineStr">
        <is>
          <t>5100000277</t>
        </is>
      </c>
      <c r="D281" s="78" t="n">
        <v>45700</v>
      </c>
      <c r="E281" s="75" t="inlineStr">
        <is>
          <t>KR</t>
        </is>
      </c>
      <c r="F281" s="75" t="n">
        <v>62201000</v>
      </c>
      <c r="G281" s="75" t="n">
        <v>1701</v>
      </c>
      <c r="H281" s="76" t="n">
        <v>2607000</v>
      </c>
      <c r="I281" s="75" t="inlineStr">
        <is>
          <t>2월 통신요금 - O텔레콤</t>
        </is>
      </c>
      <c r="J281" s="75" t="inlineStr">
        <is>
          <t>V10002</t>
        </is>
      </c>
      <c r="K281" s="75" t="inlineStr">
        <is>
          <t>O텔레콤</t>
        </is>
      </c>
      <c r="M281" s="9">
        <f>IF($A281="","",VALUE($A281&amp;"")*12+VALUE($B281&amp;""))</f>
        <v/>
      </c>
      <c r="N281" s="39">
        <f>IF($A281="","",IFERROR(INDEX(부서매핑!$C$5:$C$504,MATCH($G281&amp;"",부서매핑!$A$5:$A$504,0)),"미매핑"))</f>
        <v/>
      </c>
      <c r="O281" s="9">
        <f>IF($A281="","",N281&amp;"|"&amp;$F281)</f>
        <v/>
      </c>
      <c r="P281" s="77">
        <f>IF($A281="",0,$H281*설정!$C$23)</f>
        <v/>
      </c>
      <c r="Q281" s="39">
        <f>IF($A281="","",IF(O281&lt;&gt;원인분석!$C$9,"",IF(AND(M281&gt;=원인분석!$C$10,M281&lt;=원인분석!$C$11),"당기",IF(AND(M281&gt;=원인분석!$C$12,M281&lt;=원인분석!$C$13),"비교",""))))</f>
        <v/>
      </c>
      <c r="R281" s="9">
        <f>IF(Q281="","",$K281&amp;"")</f>
        <v/>
      </c>
      <c r="S281" s="9">
        <f>IF(Q281="","",IF(MATCH(R281,$R$5:$R$100000,0)=ROW()-4,ROW(),""))</f>
        <v/>
      </c>
      <c r="T281" s="9">
        <f>IF(Q281="당기",ABS(P281)+ROW()/1000000000,"")</f>
        <v/>
      </c>
      <c r="U281" s="9">
        <f>IF(Q281="비교",ABS(P281)+ROW()/1000000000,"")</f>
        <v/>
      </c>
      <c r="V281" s="39">
        <f>IF($A281="","",IF(COUNTIF(변동분석!$E$7:$E$506,O281)&gt;0,"Y","N"))</f>
        <v/>
      </c>
      <c r="W281" s="39">
        <f>IF($A281="","",IFERROR(INDEX(계정매핑!$D$5:$D$504,MATCH($F281&amp;"",계정매핑!$A$5:$A$504,0)),"미매핑"))</f>
        <v/>
      </c>
      <c r="X281" s="9">
        <f>IF($A281="","",$F281&amp;"")</f>
        <v/>
      </c>
    </row>
    <row r="282">
      <c r="A282" s="75" t="n">
        <v>2025</v>
      </c>
      <c r="B282" s="75" t="n">
        <v>2</v>
      </c>
      <c r="C282" s="75" t="inlineStr">
        <is>
          <t>5100000278</t>
        </is>
      </c>
      <c r="D282" s="78" t="n">
        <v>45700</v>
      </c>
      <c r="E282" s="75" t="inlineStr">
        <is>
          <t>KR</t>
        </is>
      </c>
      <c r="F282" s="75" t="n">
        <v>62501000</v>
      </c>
      <c r="G282" s="75" t="n">
        <v>1502</v>
      </c>
      <c r="H282" s="76" t="n">
        <v>339000</v>
      </c>
      <c r="I282" s="75" t="inlineStr">
        <is>
          <t>2월 회의 다과 - T케이터링</t>
        </is>
      </c>
      <c r="J282" s="75" t="inlineStr">
        <is>
          <t>V10005</t>
        </is>
      </c>
      <c r="K282" s="75" t="inlineStr">
        <is>
          <t>T케이터링</t>
        </is>
      </c>
      <c r="M282" s="9">
        <f>IF($A282="","",VALUE($A282&amp;"")*12+VALUE($B282&amp;""))</f>
        <v/>
      </c>
      <c r="N282" s="39">
        <f>IF($A282="","",IFERROR(INDEX(부서매핑!$C$5:$C$504,MATCH($G282&amp;"",부서매핑!$A$5:$A$504,0)),"미매핑"))</f>
        <v/>
      </c>
      <c r="O282" s="9">
        <f>IF($A282="","",N282&amp;"|"&amp;$F282)</f>
        <v/>
      </c>
      <c r="P282" s="77">
        <f>IF($A282="",0,$H282*설정!$C$23)</f>
        <v/>
      </c>
      <c r="Q282" s="39">
        <f>IF($A282="","",IF(O282&lt;&gt;원인분석!$C$9,"",IF(AND(M282&gt;=원인분석!$C$10,M282&lt;=원인분석!$C$11),"당기",IF(AND(M282&gt;=원인분석!$C$12,M282&lt;=원인분석!$C$13),"비교",""))))</f>
        <v/>
      </c>
      <c r="R282" s="9">
        <f>IF(Q282="","",$K282&amp;"")</f>
        <v/>
      </c>
      <c r="S282" s="9">
        <f>IF(Q282="","",IF(MATCH(R282,$R$5:$R$100000,0)=ROW()-4,ROW(),""))</f>
        <v/>
      </c>
      <c r="T282" s="9">
        <f>IF(Q282="당기",ABS(P282)+ROW()/1000000000,"")</f>
        <v/>
      </c>
      <c r="U282" s="9">
        <f>IF(Q282="비교",ABS(P282)+ROW()/1000000000,"")</f>
        <v/>
      </c>
      <c r="V282" s="39">
        <f>IF($A282="","",IF(COUNTIF(변동분석!$E$7:$E$506,O282)&gt;0,"Y","N"))</f>
        <v/>
      </c>
      <c r="W282" s="39">
        <f>IF($A282="","",IFERROR(INDEX(계정매핑!$D$5:$D$504,MATCH($F282&amp;"",계정매핑!$A$5:$A$504,0)),"미매핑"))</f>
        <v/>
      </c>
      <c r="X282" s="9">
        <f>IF($A282="","",$F282&amp;"")</f>
        <v/>
      </c>
    </row>
    <row r="283">
      <c r="A283" s="75" t="n">
        <v>2025</v>
      </c>
      <c r="B283" s="75" t="n">
        <v>2</v>
      </c>
      <c r="C283" s="75" t="inlineStr">
        <is>
          <t>5100000279</t>
        </is>
      </c>
      <c r="D283" s="78" t="n">
        <v>45700</v>
      </c>
      <c r="E283" s="75" t="inlineStr">
        <is>
          <t>KR</t>
        </is>
      </c>
      <c r="F283" s="75" t="n">
        <v>62501000</v>
      </c>
      <c r="G283" s="75" t="n">
        <v>1801</v>
      </c>
      <c r="H283" s="76" t="n">
        <v>112000</v>
      </c>
      <c r="I283" s="75" t="inlineStr">
        <is>
          <t>2월 회의 다과 - (법인카드)</t>
        </is>
      </c>
      <c r="J283" s="75" t="inlineStr">
        <is>
          <t>V10008</t>
        </is>
      </c>
      <c r="K283" s="75" t="inlineStr">
        <is>
          <t>(법인카드)</t>
        </is>
      </c>
      <c r="M283" s="9">
        <f>IF($A283="","",VALUE($A283&amp;"")*12+VALUE($B283&amp;""))</f>
        <v/>
      </c>
      <c r="N283" s="39">
        <f>IF($A283="","",IFERROR(INDEX(부서매핑!$C$5:$C$504,MATCH($G283&amp;"",부서매핑!$A$5:$A$504,0)),"미매핑"))</f>
        <v/>
      </c>
      <c r="O283" s="9">
        <f>IF($A283="","",N283&amp;"|"&amp;$F283)</f>
        <v/>
      </c>
      <c r="P283" s="77">
        <f>IF($A283="",0,$H283*설정!$C$23)</f>
        <v/>
      </c>
      <c r="Q283" s="39">
        <f>IF($A283="","",IF(O283&lt;&gt;원인분석!$C$9,"",IF(AND(M283&gt;=원인분석!$C$10,M283&lt;=원인분석!$C$11),"당기",IF(AND(M283&gt;=원인분석!$C$12,M283&lt;=원인분석!$C$13),"비교",""))))</f>
        <v/>
      </c>
      <c r="R283" s="9">
        <f>IF(Q283="","",$K283&amp;"")</f>
        <v/>
      </c>
      <c r="S283" s="9">
        <f>IF(Q283="","",IF(MATCH(R283,$R$5:$R$100000,0)=ROW()-4,ROW(),""))</f>
        <v/>
      </c>
      <c r="T283" s="9">
        <f>IF(Q283="당기",ABS(P283)+ROW()/1000000000,"")</f>
        <v/>
      </c>
      <c r="U283" s="9">
        <f>IF(Q283="비교",ABS(P283)+ROW()/1000000000,"")</f>
        <v/>
      </c>
      <c r="V283" s="39">
        <f>IF($A283="","",IF(COUNTIF(변동분석!$E$7:$E$506,O283)&gt;0,"Y","N"))</f>
        <v/>
      </c>
      <c r="W283" s="39">
        <f>IF($A283="","",IFERROR(INDEX(계정매핑!$D$5:$D$504,MATCH($F283&amp;"",계정매핑!$A$5:$A$504,0)),"미매핑"))</f>
        <v/>
      </c>
      <c r="X283" s="9">
        <f>IF($A283="","",$F283&amp;"")</f>
        <v/>
      </c>
    </row>
    <row r="284">
      <c r="A284" s="75" t="n">
        <v>2025</v>
      </c>
      <c r="B284" s="75" t="n">
        <v>2</v>
      </c>
      <c r="C284" s="75" t="inlineStr">
        <is>
          <t>5100000280</t>
        </is>
      </c>
      <c r="D284" s="78" t="n">
        <v>45700</v>
      </c>
      <c r="E284" s="75" t="inlineStr">
        <is>
          <t>KR</t>
        </is>
      </c>
      <c r="F284" s="75" t="n">
        <v>62601000</v>
      </c>
      <c r="G284" s="75" t="n">
        <v>1602</v>
      </c>
      <c r="H284" s="76" t="n">
        <v>1603000</v>
      </c>
      <c r="I284" s="75" t="inlineStr">
        <is>
          <t>2월 업무추진 - (법인카드)</t>
        </is>
      </c>
      <c r="J284" s="75" t="inlineStr">
        <is>
          <t>V10008</t>
        </is>
      </c>
      <c r="K284" s="75" t="inlineStr">
        <is>
          <t>(법인카드)</t>
        </is>
      </c>
      <c r="M284" s="9">
        <f>IF($A284="","",VALUE($A284&amp;"")*12+VALUE($B284&amp;""))</f>
        <v/>
      </c>
      <c r="N284" s="39">
        <f>IF($A284="","",IFERROR(INDEX(부서매핑!$C$5:$C$504,MATCH($G284&amp;"",부서매핑!$A$5:$A$504,0)),"미매핑"))</f>
        <v/>
      </c>
      <c r="O284" s="9">
        <f>IF($A284="","",N284&amp;"|"&amp;$F284)</f>
        <v/>
      </c>
      <c r="P284" s="77">
        <f>IF($A284="",0,$H284*설정!$C$23)</f>
        <v/>
      </c>
      <c r="Q284" s="39">
        <f>IF($A284="","",IF(O284&lt;&gt;원인분석!$C$9,"",IF(AND(M284&gt;=원인분석!$C$10,M284&lt;=원인분석!$C$11),"당기",IF(AND(M284&gt;=원인분석!$C$12,M284&lt;=원인분석!$C$13),"비교",""))))</f>
        <v/>
      </c>
      <c r="R284" s="9">
        <f>IF(Q284="","",$K284&amp;"")</f>
        <v/>
      </c>
      <c r="S284" s="9">
        <f>IF(Q284="","",IF(MATCH(R284,$R$5:$R$100000,0)=ROW()-4,ROW(),""))</f>
        <v/>
      </c>
      <c r="T284" s="9">
        <f>IF(Q284="당기",ABS(P284)+ROW()/1000000000,"")</f>
        <v/>
      </c>
      <c r="U284" s="9">
        <f>IF(Q284="비교",ABS(P284)+ROW()/1000000000,"")</f>
        <v/>
      </c>
      <c r="V284" s="39">
        <f>IF($A284="","",IF(COUNTIF(변동분석!$E$7:$E$506,O284)&gt;0,"Y","N"))</f>
        <v/>
      </c>
      <c r="W284" s="39">
        <f>IF($A284="","",IFERROR(INDEX(계정매핑!$D$5:$D$504,MATCH($F284&amp;"",계정매핑!$A$5:$A$504,0)),"미매핑"))</f>
        <v/>
      </c>
      <c r="X284" s="9">
        <f>IF($A284="","",$F284&amp;"")</f>
        <v/>
      </c>
    </row>
    <row r="285">
      <c r="A285" s="75" t="n">
        <v>2025</v>
      </c>
      <c r="B285" s="75" t="n">
        <v>2</v>
      </c>
      <c r="C285" s="75" t="inlineStr">
        <is>
          <t>5100000281</t>
        </is>
      </c>
      <c r="D285" s="78" t="n">
        <v>45700</v>
      </c>
      <c r="E285" s="75" t="inlineStr">
        <is>
          <t>KR</t>
        </is>
      </c>
      <c r="F285" s="75" t="n">
        <v>62901000</v>
      </c>
      <c r="G285" s="75" t="n">
        <v>1201</v>
      </c>
      <c r="H285" s="76" t="n">
        <v>4970000</v>
      </c>
      <c r="I285" s="75" t="inlineStr">
        <is>
          <t>2월 자문 수수료 - W컨설팅</t>
        </is>
      </c>
      <c r="J285" s="75" t="inlineStr">
        <is>
          <t>V10009</t>
        </is>
      </c>
      <c r="K285" s="75" t="inlineStr">
        <is>
          <t>W컨설팅</t>
        </is>
      </c>
      <c r="M285" s="9">
        <f>IF($A285="","",VALUE($A285&amp;"")*12+VALUE($B285&amp;""))</f>
        <v/>
      </c>
      <c r="N285" s="39">
        <f>IF($A285="","",IFERROR(INDEX(부서매핑!$C$5:$C$504,MATCH($G285&amp;"",부서매핑!$A$5:$A$504,0)),"미매핑"))</f>
        <v/>
      </c>
      <c r="O285" s="9">
        <f>IF($A285="","",N285&amp;"|"&amp;$F285)</f>
        <v/>
      </c>
      <c r="P285" s="77">
        <f>IF($A285="",0,$H285*설정!$C$23)</f>
        <v/>
      </c>
      <c r="Q285" s="39">
        <f>IF($A285="","",IF(O285&lt;&gt;원인분석!$C$9,"",IF(AND(M285&gt;=원인분석!$C$10,M285&lt;=원인분석!$C$11),"당기",IF(AND(M285&gt;=원인분석!$C$12,M285&lt;=원인분석!$C$13),"비교",""))))</f>
        <v/>
      </c>
      <c r="R285" s="9">
        <f>IF(Q285="","",$K285&amp;"")</f>
        <v/>
      </c>
      <c r="S285" s="9">
        <f>IF(Q285="","",IF(MATCH(R285,$R$5:$R$100000,0)=ROW()-4,ROW(),""))</f>
        <v/>
      </c>
      <c r="T285" s="9">
        <f>IF(Q285="당기",ABS(P285)+ROW()/1000000000,"")</f>
        <v/>
      </c>
      <c r="U285" s="9">
        <f>IF(Q285="비교",ABS(P285)+ROW()/1000000000,"")</f>
        <v/>
      </c>
      <c r="V285" s="39">
        <f>IF($A285="","",IF(COUNTIF(변동분석!$E$7:$E$506,O285)&gt;0,"Y","N"))</f>
        <v/>
      </c>
      <c r="W285" s="39">
        <f>IF($A285="","",IFERROR(INDEX(계정매핑!$D$5:$D$504,MATCH($F285&amp;"",계정매핑!$A$5:$A$504,0)),"미매핑"))</f>
        <v/>
      </c>
      <c r="X285" s="9">
        <f>IF($A285="","",$F285&amp;"")</f>
        <v/>
      </c>
    </row>
    <row r="286">
      <c r="A286" s="75" t="n">
        <v>2025</v>
      </c>
      <c r="B286" s="75" t="n">
        <v>2</v>
      </c>
      <c r="C286" s="75" t="inlineStr">
        <is>
          <t>5100000282</t>
        </is>
      </c>
      <c r="D286" s="78" t="n">
        <v>45700</v>
      </c>
      <c r="E286" s="75" t="inlineStr">
        <is>
          <t>KR</t>
        </is>
      </c>
      <c r="F286" s="75" t="n">
        <v>62902000</v>
      </c>
      <c r="G286" s="75" t="n">
        <v>1401</v>
      </c>
      <c r="H286" s="76" t="n">
        <v>3133000</v>
      </c>
      <c r="I286" s="75" t="inlineStr">
        <is>
          <t>2월 업무 위탁 수수료 - X서비스</t>
        </is>
      </c>
      <c r="J286" s="75" t="inlineStr">
        <is>
          <t>V10016</t>
        </is>
      </c>
      <c r="K286" s="75" t="inlineStr">
        <is>
          <t>X서비스</t>
        </is>
      </c>
      <c r="M286" s="9">
        <f>IF($A286="","",VALUE($A286&amp;"")*12+VALUE($B286&amp;""))</f>
        <v/>
      </c>
      <c r="N286" s="39">
        <f>IF($A286="","",IFERROR(INDEX(부서매핑!$C$5:$C$504,MATCH($G286&amp;"",부서매핑!$A$5:$A$504,0)),"미매핑"))</f>
        <v/>
      </c>
      <c r="O286" s="9">
        <f>IF($A286="","",N286&amp;"|"&amp;$F286)</f>
        <v/>
      </c>
      <c r="P286" s="77">
        <f>IF($A286="",0,$H286*설정!$C$23)</f>
        <v/>
      </c>
      <c r="Q286" s="39">
        <f>IF($A286="","",IF(O286&lt;&gt;원인분석!$C$9,"",IF(AND(M286&gt;=원인분석!$C$10,M286&lt;=원인분석!$C$11),"당기",IF(AND(M286&gt;=원인분석!$C$12,M286&lt;=원인분석!$C$13),"비교",""))))</f>
        <v/>
      </c>
      <c r="R286" s="9">
        <f>IF(Q286="","",$K286&amp;"")</f>
        <v/>
      </c>
      <c r="S286" s="9">
        <f>IF(Q286="","",IF(MATCH(R286,$R$5:$R$100000,0)=ROW()-4,ROW(),""))</f>
        <v/>
      </c>
      <c r="T286" s="9">
        <f>IF(Q286="당기",ABS(P286)+ROW()/1000000000,"")</f>
        <v/>
      </c>
      <c r="U286" s="9">
        <f>IF(Q286="비교",ABS(P286)+ROW()/1000000000,"")</f>
        <v/>
      </c>
      <c r="V286" s="39">
        <f>IF($A286="","",IF(COUNTIF(변동분석!$E$7:$E$506,O286)&gt;0,"Y","N"))</f>
        <v/>
      </c>
      <c r="W286" s="39">
        <f>IF($A286="","",IFERROR(INDEX(계정매핑!$D$5:$D$504,MATCH($F286&amp;"",계정매핑!$A$5:$A$504,0)),"미매핑"))</f>
        <v/>
      </c>
      <c r="X286" s="9">
        <f>IF($A286="","",$F286&amp;"")</f>
        <v/>
      </c>
    </row>
    <row r="287">
      <c r="A287" s="75" t="n">
        <v>2025</v>
      </c>
      <c r="B287" s="75" t="n">
        <v>2</v>
      </c>
      <c r="C287" s="75" t="inlineStr">
        <is>
          <t>5100000283</t>
        </is>
      </c>
      <c r="D287" s="78" t="n">
        <v>45700</v>
      </c>
      <c r="E287" s="75" t="inlineStr">
        <is>
          <t>KR</t>
        </is>
      </c>
      <c r="F287" s="75" t="n">
        <v>62902000</v>
      </c>
      <c r="G287" s="75" t="n">
        <v>1801</v>
      </c>
      <c r="H287" s="76" t="n">
        <v>1836000</v>
      </c>
      <c r="I287" s="75" t="inlineStr">
        <is>
          <t>2월 콜 위탁 수수료(건별)</t>
        </is>
      </c>
      <c r="J287" s="75" t="inlineStr">
        <is>
          <t>V10013</t>
        </is>
      </c>
      <c r="K287" s="75" t="inlineStr">
        <is>
          <t>J콜센터</t>
        </is>
      </c>
      <c r="M287" s="9">
        <f>IF($A287="","",VALUE($A287&amp;"")*12+VALUE($B287&amp;""))</f>
        <v/>
      </c>
      <c r="N287" s="39">
        <f>IF($A287="","",IFERROR(INDEX(부서매핑!$C$5:$C$504,MATCH($G287&amp;"",부서매핑!$A$5:$A$504,0)),"미매핑"))</f>
        <v/>
      </c>
      <c r="O287" s="9">
        <f>IF($A287="","",N287&amp;"|"&amp;$F287)</f>
        <v/>
      </c>
      <c r="P287" s="77">
        <f>IF($A287="",0,$H287*설정!$C$23)</f>
        <v/>
      </c>
      <c r="Q287" s="39">
        <f>IF($A287="","",IF(O287&lt;&gt;원인분석!$C$9,"",IF(AND(M287&gt;=원인분석!$C$10,M287&lt;=원인분석!$C$11),"당기",IF(AND(M287&gt;=원인분석!$C$12,M287&lt;=원인분석!$C$13),"비교",""))))</f>
        <v/>
      </c>
      <c r="R287" s="9">
        <f>IF(Q287="","",$K287&amp;"")</f>
        <v/>
      </c>
      <c r="S287" s="9">
        <f>IF(Q287="","",IF(MATCH(R287,$R$5:$R$100000,0)=ROW()-4,ROW(),""))</f>
        <v/>
      </c>
      <c r="T287" s="9">
        <f>IF(Q287="당기",ABS(P287)+ROW()/1000000000,"")</f>
        <v/>
      </c>
      <c r="U287" s="9">
        <f>IF(Q287="비교",ABS(P287)+ROW()/1000000000,"")</f>
        <v/>
      </c>
      <c r="V287" s="39">
        <f>IF($A287="","",IF(COUNTIF(변동분석!$E$7:$E$506,O287)&gt;0,"Y","N"))</f>
        <v/>
      </c>
      <c r="W287" s="39">
        <f>IF($A287="","",IFERROR(INDEX(계정매핑!$D$5:$D$504,MATCH($F287&amp;"",계정매핑!$A$5:$A$504,0)),"미매핑"))</f>
        <v/>
      </c>
      <c r="X287" s="9">
        <f>IF($A287="","",$F287&amp;"")</f>
        <v/>
      </c>
    </row>
    <row r="288">
      <c r="A288" s="75" t="n">
        <v>2025</v>
      </c>
      <c r="B288" s="75" t="n">
        <v>2</v>
      </c>
      <c r="C288" s="75" t="inlineStr">
        <is>
          <t>5100000284</t>
        </is>
      </c>
      <c r="D288" s="78" t="n">
        <v>45701</v>
      </c>
      <c r="E288" s="75" t="inlineStr">
        <is>
          <t>KR</t>
        </is>
      </c>
      <c r="F288" s="75" t="n">
        <v>62101000</v>
      </c>
      <c r="G288" s="75" t="n">
        <v>1801</v>
      </c>
      <c r="H288" s="76" t="n">
        <v>122000</v>
      </c>
      <c r="I288" s="75" t="inlineStr">
        <is>
          <t>2월 국내출장 - M항공</t>
        </is>
      </c>
      <c r="J288" s="75" t="inlineStr">
        <is>
          <t>V10001</t>
        </is>
      </c>
      <c r="K288" s="75" t="inlineStr">
        <is>
          <t>M항공</t>
        </is>
      </c>
      <c r="M288" s="9">
        <f>IF($A288="","",VALUE($A288&amp;"")*12+VALUE($B288&amp;""))</f>
        <v/>
      </c>
      <c r="N288" s="39">
        <f>IF($A288="","",IFERROR(INDEX(부서매핑!$C$5:$C$504,MATCH($G288&amp;"",부서매핑!$A$5:$A$504,0)),"미매핑"))</f>
        <v/>
      </c>
      <c r="O288" s="9">
        <f>IF($A288="","",N288&amp;"|"&amp;$F288)</f>
        <v/>
      </c>
      <c r="P288" s="77">
        <f>IF($A288="",0,$H288*설정!$C$23)</f>
        <v/>
      </c>
      <c r="Q288" s="39">
        <f>IF($A288="","",IF(O288&lt;&gt;원인분석!$C$9,"",IF(AND(M288&gt;=원인분석!$C$10,M288&lt;=원인분석!$C$11),"당기",IF(AND(M288&gt;=원인분석!$C$12,M288&lt;=원인분석!$C$13),"비교",""))))</f>
        <v/>
      </c>
      <c r="R288" s="9">
        <f>IF(Q288="","",$K288&amp;"")</f>
        <v/>
      </c>
      <c r="S288" s="9">
        <f>IF(Q288="","",IF(MATCH(R288,$R$5:$R$100000,0)=ROW()-4,ROW(),""))</f>
        <v/>
      </c>
      <c r="T288" s="9">
        <f>IF(Q288="당기",ABS(P288)+ROW()/1000000000,"")</f>
        <v/>
      </c>
      <c r="U288" s="9">
        <f>IF(Q288="비교",ABS(P288)+ROW()/1000000000,"")</f>
        <v/>
      </c>
      <c r="V288" s="39">
        <f>IF($A288="","",IF(COUNTIF(변동분석!$E$7:$E$506,O288)&gt;0,"Y","N"))</f>
        <v/>
      </c>
      <c r="W288" s="39">
        <f>IF($A288="","",IFERROR(INDEX(계정매핑!$D$5:$D$504,MATCH($F288&amp;"",계정매핑!$A$5:$A$504,0)),"미매핑"))</f>
        <v/>
      </c>
      <c r="X288" s="9">
        <f>IF($A288="","",$F288&amp;"")</f>
        <v/>
      </c>
    </row>
    <row r="289">
      <c r="A289" s="75" t="n">
        <v>2025</v>
      </c>
      <c r="B289" s="75" t="n">
        <v>2</v>
      </c>
      <c r="C289" s="75" t="inlineStr">
        <is>
          <t>5100000285</t>
        </is>
      </c>
      <c r="D289" s="78" t="n">
        <v>45701</v>
      </c>
      <c r="E289" s="75" t="inlineStr">
        <is>
          <t>KR</t>
        </is>
      </c>
      <c r="F289" s="75" t="n">
        <v>62102000</v>
      </c>
      <c r="G289" s="75" t="n">
        <v>1801</v>
      </c>
      <c r="H289" s="76" t="n">
        <v>26000</v>
      </c>
      <c r="I289" s="75" t="inlineStr">
        <is>
          <t>2월 해외출장 - M항공</t>
        </is>
      </c>
      <c r="J289" s="75" t="inlineStr">
        <is>
          <t>V10001</t>
        </is>
      </c>
      <c r="K289" s="75" t="inlineStr">
        <is>
          <t>M항공</t>
        </is>
      </c>
      <c r="M289" s="9">
        <f>IF($A289="","",VALUE($A289&amp;"")*12+VALUE($B289&amp;""))</f>
        <v/>
      </c>
      <c r="N289" s="39">
        <f>IF($A289="","",IFERROR(INDEX(부서매핑!$C$5:$C$504,MATCH($G289&amp;"",부서매핑!$A$5:$A$504,0)),"미매핑"))</f>
        <v/>
      </c>
      <c r="O289" s="9">
        <f>IF($A289="","",N289&amp;"|"&amp;$F289)</f>
        <v/>
      </c>
      <c r="P289" s="77">
        <f>IF($A289="",0,$H289*설정!$C$23)</f>
        <v/>
      </c>
      <c r="Q289" s="39">
        <f>IF($A289="","",IF(O289&lt;&gt;원인분석!$C$9,"",IF(AND(M289&gt;=원인분석!$C$10,M289&lt;=원인분석!$C$11),"당기",IF(AND(M289&gt;=원인분석!$C$12,M289&lt;=원인분석!$C$13),"비교",""))))</f>
        <v/>
      </c>
      <c r="R289" s="9">
        <f>IF(Q289="","",$K289&amp;"")</f>
        <v/>
      </c>
      <c r="S289" s="9">
        <f>IF(Q289="","",IF(MATCH(R289,$R$5:$R$100000,0)=ROW()-4,ROW(),""))</f>
        <v/>
      </c>
      <c r="T289" s="9">
        <f>IF(Q289="당기",ABS(P289)+ROW()/1000000000,"")</f>
        <v/>
      </c>
      <c r="U289" s="9">
        <f>IF(Q289="비교",ABS(P289)+ROW()/1000000000,"")</f>
        <v/>
      </c>
      <c r="V289" s="39">
        <f>IF($A289="","",IF(COUNTIF(변동분석!$E$7:$E$506,O289)&gt;0,"Y","N"))</f>
        <v/>
      </c>
      <c r="W289" s="39">
        <f>IF($A289="","",IFERROR(INDEX(계정매핑!$D$5:$D$504,MATCH($F289&amp;"",계정매핑!$A$5:$A$504,0)),"미매핑"))</f>
        <v/>
      </c>
      <c r="X289" s="9">
        <f>IF($A289="","",$F289&amp;"")</f>
        <v/>
      </c>
    </row>
    <row r="290">
      <c r="A290" s="75" t="n">
        <v>2025</v>
      </c>
      <c r="B290" s="75" t="n">
        <v>2</v>
      </c>
      <c r="C290" s="75" t="inlineStr">
        <is>
          <t>5100000286</t>
        </is>
      </c>
      <c r="D290" s="78" t="n">
        <v>45701</v>
      </c>
      <c r="E290" s="75" t="inlineStr">
        <is>
          <t>KR</t>
        </is>
      </c>
      <c r="F290" s="75" t="n">
        <v>62301000</v>
      </c>
      <c r="G290" s="75" t="n">
        <v>1502</v>
      </c>
      <c r="H290" s="76" t="n">
        <v>190000</v>
      </c>
      <c r="I290" s="75" t="inlineStr">
        <is>
          <t>2월 소모품 구입 - Q오피스</t>
        </is>
      </c>
      <c r="J290" s="75" t="inlineStr">
        <is>
          <t>V10003</t>
        </is>
      </c>
      <c r="K290" s="75" t="inlineStr">
        <is>
          <t>Q오피스</t>
        </is>
      </c>
      <c r="M290" s="9">
        <f>IF($A290="","",VALUE($A290&amp;"")*12+VALUE($B290&amp;""))</f>
        <v/>
      </c>
      <c r="N290" s="39">
        <f>IF($A290="","",IFERROR(INDEX(부서매핑!$C$5:$C$504,MATCH($G290&amp;"",부서매핑!$A$5:$A$504,0)),"미매핑"))</f>
        <v/>
      </c>
      <c r="O290" s="9">
        <f>IF($A290="","",N290&amp;"|"&amp;$F290)</f>
        <v/>
      </c>
      <c r="P290" s="77">
        <f>IF($A290="",0,$H290*설정!$C$23)</f>
        <v/>
      </c>
      <c r="Q290" s="39">
        <f>IF($A290="","",IF(O290&lt;&gt;원인분석!$C$9,"",IF(AND(M290&gt;=원인분석!$C$10,M290&lt;=원인분석!$C$11),"당기",IF(AND(M290&gt;=원인분석!$C$12,M290&lt;=원인분석!$C$13),"비교",""))))</f>
        <v/>
      </c>
      <c r="R290" s="9">
        <f>IF(Q290="","",$K290&amp;"")</f>
        <v/>
      </c>
      <c r="S290" s="9">
        <f>IF(Q290="","",IF(MATCH(R290,$R$5:$R$100000,0)=ROW()-4,ROW(),""))</f>
        <v/>
      </c>
      <c r="T290" s="9">
        <f>IF(Q290="당기",ABS(P290)+ROW()/1000000000,"")</f>
        <v/>
      </c>
      <c r="U290" s="9">
        <f>IF(Q290="비교",ABS(P290)+ROW()/1000000000,"")</f>
        <v/>
      </c>
      <c r="V290" s="39">
        <f>IF($A290="","",IF(COUNTIF(변동분석!$E$7:$E$506,O290)&gt;0,"Y","N"))</f>
        <v/>
      </c>
      <c r="W290" s="39">
        <f>IF($A290="","",IFERROR(INDEX(계정매핑!$D$5:$D$504,MATCH($F290&amp;"",계정매핑!$A$5:$A$504,0)),"미매핑"))</f>
        <v/>
      </c>
      <c r="X290" s="9">
        <f>IF($A290="","",$F290&amp;"")</f>
        <v/>
      </c>
    </row>
    <row r="291">
      <c r="A291" s="75" t="n">
        <v>2025</v>
      </c>
      <c r="B291" s="75" t="n">
        <v>2</v>
      </c>
      <c r="C291" s="75" t="inlineStr">
        <is>
          <t>5100000287</t>
        </is>
      </c>
      <c r="D291" s="78" t="n">
        <v>45701</v>
      </c>
      <c r="E291" s="75" t="inlineStr">
        <is>
          <t>KR</t>
        </is>
      </c>
      <c r="F291" s="75" t="n">
        <v>62501000</v>
      </c>
      <c r="G291" s="75" t="n">
        <v>1601</v>
      </c>
      <c r="H291" s="76" t="n">
        <v>314000</v>
      </c>
      <c r="I291" s="75" t="inlineStr">
        <is>
          <t>2월 회의 다과 - T케이터링</t>
        </is>
      </c>
      <c r="J291" s="75" t="inlineStr">
        <is>
          <t>V10005</t>
        </is>
      </c>
      <c r="K291" s="75" t="inlineStr">
        <is>
          <t>T케이터링</t>
        </is>
      </c>
      <c r="M291" s="9">
        <f>IF($A291="","",VALUE($A291&amp;"")*12+VALUE($B291&amp;""))</f>
        <v/>
      </c>
      <c r="N291" s="39">
        <f>IF($A291="","",IFERROR(INDEX(부서매핑!$C$5:$C$504,MATCH($G291&amp;"",부서매핑!$A$5:$A$504,0)),"미매핑"))</f>
        <v/>
      </c>
      <c r="O291" s="9">
        <f>IF($A291="","",N291&amp;"|"&amp;$F291)</f>
        <v/>
      </c>
      <c r="P291" s="77">
        <f>IF($A291="",0,$H291*설정!$C$23)</f>
        <v/>
      </c>
      <c r="Q291" s="39">
        <f>IF($A291="","",IF(O291&lt;&gt;원인분석!$C$9,"",IF(AND(M291&gt;=원인분석!$C$10,M291&lt;=원인분석!$C$11),"당기",IF(AND(M291&gt;=원인분석!$C$12,M291&lt;=원인분석!$C$13),"비교",""))))</f>
        <v/>
      </c>
      <c r="R291" s="9">
        <f>IF(Q291="","",$K291&amp;"")</f>
        <v/>
      </c>
      <c r="S291" s="9">
        <f>IF(Q291="","",IF(MATCH(R291,$R$5:$R$100000,0)=ROW()-4,ROW(),""))</f>
        <v/>
      </c>
      <c r="T291" s="9">
        <f>IF(Q291="당기",ABS(P291)+ROW()/1000000000,"")</f>
        <v/>
      </c>
      <c r="U291" s="9">
        <f>IF(Q291="비교",ABS(P291)+ROW()/1000000000,"")</f>
        <v/>
      </c>
      <c r="V291" s="39">
        <f>IF($A291="","",IF(COUNTIF(변동분석!$E$7:$E$506,O291)&gt;0,"Y","N"))</f>
        <v/>
      </c>
      <c r="W291" s="39">
        <f>IF($A291="","",IFERROR(INDEX(계정매핑!$D$5:$D$504,MATCH($F291&amp;"",계정매핑!$A$5:$A$504,0)),"미매핑"))</f>
        <v/>
      </c>
      <c r="X291" s="9">
        <f>IF($A291="","",$F291&amp;"")</f>
        <v/>
      </c>
    </row>
    <row r="292">
      <c r="A292" s="75" t="n">
        <v>2025</v>
      </c>
      <c r="B292" s="75" t="n">
        <v>2</v>
      </c>
      <c r="C292" s="75" t="inlineStr">
        <is>
          <t>5100000288</t>
        </is>
      </c>
      <c r="D292" s="78" t="n">
        <v>45701</v>
      </c>
      <c r="E292" s="75" t="inlineStr">
        <is>
          <t>KR</t>
        </is>
      </c>
      <c r="F292" s="75" t="n">
        <v>62501000</v>
      </c>
      <c r="G292" s="75" t="n">
        <v>1701</v>
      </c>
      <c r="H292" s="76" t="n">
        <v>138000</v>
      </c>
      <c r="I292" s="75" t="inlineStr">
        <is>
          <t>2월 회의 다과 - T케이터링</t>
        </is>
      </c>
      <c r="J292" s="75" t="inlineStr">
        <is>
          <t>V10005</t>
        </is>
      </c>
      <c r="K292" s="75" t="inlineStr">
        <is>
          <t>T케이터링</t>
        </is>
      </c>
      <c r="M292" s="9">
        <f>IF($A292="","",VALUE($A292&amp;"")*12+VALUE($B292&amp;""))</f>
        <v/>
      </c>
      <c r="N292" s="39">
        <f>IF($A292="","",IFERROR(INDEX(부서매핑!$C$5:$C$504,MATCH($G292&amp;"",부서매핑!$A$5:$A$504,0)),"미매핑"))</f>
        <v/>
      </c>
      <c r="O292" s="9">
        <f>IF($A292="","",N292&amp;"|"&amp;$F292)</f>
        <v/>
      </c>
      <c r="P292" s="77">
        <f>IF($A292="",0,$H292*설정!$C$23)</f>
        <v/>
      </c>
      <c r="Q292" s="39">
        <f>IF($A292="","",IF(O292&lt;&gt;원인분석!$C$9,"",IF(AND(M292&gt;=원인분석!$C$10,M292&lt;=원인분석!$C$11),"당기",IF(AND(M292&gt;=원인분석!$C$12,M292&lt;=원인분석!$C$13),"비교",""))))</f>
        <v/>
      </c>
      <c r="R292" s="9">
        <f>IF(Q292="","",$K292&amp;"")</f>
        <v/>
      </c>
      <c r="S292" s="9">
        <f>IF(Q292="","",IF(MATCH(R292,$R$5:$R$100000,0)=ROW()-4,ROW(),""))</f>
        <v/>
      </c>
      <c r="T292" s="9">
        <f>IF(Q292="당기",ABS(P292)+ROW()/1000000000,"")</f>
        <v/>
      </c>
      <c r="U292" s="9">
        <f>IF(Q292="비교",ABS(P292)+ROW()/1000000000,"")</f>
        <v/>
      </c>
      <c r="V292" s="39">
        <f>IF($A292="","",IF(COUNTIF(변동분석!$E$7:$E$506,O292)&gt;0,"Y","N"))</f>
        <v/>
      </c>
      <c r="W292" s="39">
        <f>IF($A292="","",IFERROR(INDEX(계정매핑!$D$5:$D$504,MATCH($F292&amp;"",계정매핑!$A$5:$A$504,0)),"미매핑"))</f>
        <v/>
      </c>
      <c r="X292" s="9">
        <f>IF($A292="","",$F292&amp;"")</f>
        <v/>
      </c>
    </row>
    <row r="293">
      <c r="A293" s="75" t="n">
        <v>2025</v>
      </c>
      <c r="B293" s="75" t="n">
        <v>2</v>
      </c>
      <c r="C293" s="75" t="inlineStr">
        <is>
          <t>5100000289</t>
        </is>
      </c>
      <c r="D293" s="78" t="n">
        <v>45702</v>
      </c>
      <c r="E293" s="75" t="inlineStr">
        <is>
          <t>KR</t>
        </is>
      </c>
      <c r="F293" s="75" t="n">
        <v>62101000</v>
      </c>
      <c r="G293" s="75" t="n">
        <v>1701</v>
      </c>
      <c r="H293" s="76" t="n">
        <v>195000</v>
      </c>
      <c r="I293" s="75" t="inlineStr">
        <is>
          <t>2월 국내출장 - L여행사</t>
        </is>
      </c>
      <c r="J293" s="75" t="inlineStr">
        <is>
          <t>V10014</t>
        </is>
      </c>
      <c r="K293" s="75" t="inlineStr">
        <is>
          <t>L여행사</t>
        </is>
      </c>
      <c r="M293" s="9">
        <f>IF($A293="","",VALUE($A293&amp;"")*12+VALUE($B293&amp;""))</f>
        <v/>
      </c>
      <c r="N293" s="39">
        <f>IF($A293="","",IFERROR(INDEX(부서매핑!$C$5:$C$504,MATCH($G293&amp;"",부서매핑!$A$5:$A$504,0)),"미매핑"))</f>
        <v/>
      </c>
      <c r="O293" s="9">
        <f>IF($A293="","",N293&amp;"|"&amp;$F293)</f>
        <v/>
      </c>
      <c r="P293" s="77">
        <f>IF($A293="",0,$H293*설정!$C$23)</f>
        <v/>
      </c>
      <c r="Q293" s="39">
        <f>IF($A293="","",IF(O293&lt;&gt;원인분석!$C$9,"",IF(AND(M293&gt;=원인분석!$C$10,M293&lt;=원인분석!$C$11),"당기",IF(AND(M293&gt;=원인분석!$C$12,M293&lt;=원인분석!$C$13),"비교",""))))</f>
        <v/>
      </c>
      <c r="R293" s="9">
        <f>IF(Q293="","",$K293&amp;"")</f>
        <v/>
      </c>
      <c r="S293" s="9">
        <f>IF(Q293="","",IF(MATCH(R293,$R$5:$R$100000,0)=ROW()-4,ROW(),""))</f>
        <v/>
      </c>
      <c r="T293" s="9">
        <f>IF(Q293="당기",ABS(P293)+ROW()/1000000000,"")</f>
        <v/>
      </c>
      <c r="U293" s="9">
        <f>IF(Q293="비교",ABS(P293)+ROW()/1000000000,"")</f>
        <v/>
      </c>
      <c r="V293" s="39">
        <f>IF($A293="","",IF(COUNTIF(변동분석!$E$7:$E$506,O293)&gt;0,"Y","N"))</f>
        <v/>
      </c>
      <c r="W293" s="39">
        <f>IF($A293="","",IFERROR(INDEX(계정매핑!$D$5:$D$504,MATCH($F293&amp;"",계정매핑!$A$5:$A$504,0)),"미매핑"))</f>
        <v/>
      </c>
      <c r="X293" s="9">
        <f>IF($A293="","",$F293&amp;"")</f>
        <v/>
      </c>
    </row>
    <row r="294">
      <c r="A294" s="75" t="n">
        <v>2025</v>
      </c>
      <c r="B294" s="75" t="n">
        <v>2</v>
      </c>
      <c r="C294" s="75" t="inlineStr">
        <is>
          <t>5100000290</t>
        </is>
      </c>
      <c r="D294" s="78" t="n">
        <v>45702</v>
      </c>
      <c r="E294" s="75" t="inlineStr">
        <is>
          <t>KR</t>
        </is>
      </c>
      <c r="F294" s="75" t="n">
        <v>62102000</v>
      </c>
      <c r="G294" s="75" t="n">
        <v>1401</v>
      </c>
      <c r="H294" s="76" t="n">
        <v>55000</v>
      </c>
      <c r="I294" s="75" t="inlineStr">
        <is>
          <t>2월 해외출장 - N호텔</t>
        </is>
      </c>
      <c r="J294" s="75" t="inlineStr">
        <is>
          <t>V10007</t>
        </is>
      </c>
      <c r="K294" s="75" t="inlineStr">
        <is>
          <t>N호텔</t>
        </is>
      </c>
      <c r="M294" s="9">
        <f>IF($A294="","",VALUE($A294&amp;"")*12+VALUE($B294&amp;""))</f>
        <v/>
      </c>
      <c r="N294" s="39">
        <f>IF($A294="","",IFERROR(INDEX(부서매핑!$C$5:$C$504,MATCH($G294&amp;"",부서매핑!$A$5:$A$504,0)),"미매핑"))</f>
        <v/>
      </c>
      <c r="O294" s="9">
        <f>IF($A294="","",N294&amp;"|"&amp;$F294)</f>
        <v/>
      </c>
      <c r="P294" s="77">
        <f>IF($A294="",0,$H294*설정!$C$23)</f>
        <v/>
      </c>
      <c r="Q294" s="39">
        <f>IF($A294="","",IF(O294&lt;&gt;원인분석!$C$9,"",IF(AND(M294&gt;=원인분석!$C$10,M294&lt;=원인분석!$C$11),"당기",IF(AND(M294&gt;=원인분석!$C$12,M294&lt;=원인분석!$C$13),"비교",""))))</f>
        <v/>
      </c>
      <c r="R294" s="9">
        <f>IF(Q294="","",$K294&amp;"")</f>
        <v/>
      </c>
      <c r="S294" s="9">
        <f>IF(Q294="","",IF(MATCH(R294,$R$5:$R$100000,0)=ROW()-4,ROW(),""))</f>
        <v/>
      </c>
      <c r="T294" s="9">
        <f>IF(Q294="당기",ABS(P294)+ROW()/1000000000,"")</f>
        <v/>
      </c>
      <c r="U294" s="9">
        <f>IF(Q294="비교",ABS(P294)+ROW()/1000000000,"")</f>
        <v/>
      </c>
      <c r="V294" s="39">
        <f>IF($A294="","",IF(COUNTIF(변동분석!$E$7:$E$506,O294)&gt;0,"Y","N"))</f>
        <v/>
      </c>
      <c r="W294" s="39">
        <f>IF($A294="","",IFERROR(INDEX(계정매핑!$D$5:$D$504,MATCH($F294&amp;"",계정매핑!$A$5:$A$504,0)),"미매핑"))</f>
        <v/>
      </c>
      <c r="X294" s="9">
        <f>IF($A294="","",$F294&amp;"")</f>
        <v/>
      </c>
    </row>
    <row r="295">
      <c r="A295" s="75" t="n">
        <v>2025</v>
      </c>
      <c r="B295" s="75" t="n">
        <v>2</v>
      </c>
      <c r="C295" s="75" t="inlineStr">
        <is>
          <t>5100000291</t>
        </is>
      </c>
      <c r="D295" s="78" t="n">
        <v>45702</v>
      </c>
      <c r="E295" s="75" t="inlineStr">
        <is>
          <t>KR</t>
        </is>
      </c>
      <c r="F295" s="75" t="n">
        <v>62102000</v>
      </c>
      <c r="G295" s="75" t="n">
        <v>1501</v>
      </c>
      <c r="H295" s="76" t="n">
        <v>158000</v>
      </c>
      <c r="I295" s="75" t="inlineStr">
        <is>
          <t>2월 해외출장 - N호텔</t>
        </is>
      </c>
      <c r="J295" s="75" t="inlineStr">
        <is>
          <t>V10007</t>
        </is>
      </c>
      <c r="K295" s="75" t="inlineStr">
        <is>
          <t>N호텔</t>
        </is>
      </c>
      <c r="M295" s="9">
        <f>IF($A295="","",VALUE($A295&amp;"")*12+VALUE($B295&amp;""))</f>
        <v/>
      </c>
      <c r="N295" s="39">
        <f>IF($A295="","",IFERROR(INDEX(부서매핑!$C$5:$C$504,MATCH($G295&amp;"",부서매핑!$A$5:$A$504,0)),"미매핑"))</f>
        <v/>
      </c>
      <c r="O295" s="9">
        <f>IF($A295="","",N295&amp;"|"&amp;$F295)</f>
        <v/>
      </c>
      <c r="P295" s="77">
        <f>IF($A295="",0,$H295*설정!$C$23)</f>
        <v/>
      </c>
      <c r="Q295" s="39">
        <f>IF($A295="","",IF(O295&lt;&gt;원인분석!$C$9,"",IF(AND(M295&gt;=원인분석!$C$10,M295&lt;=원인분석!$C$11),"당기",IF(AND(M295&gt;=원인분석!$C$12,M295&lt;=원인분석!$C$13),"비교",""))))</f>
        <v/>
      </c>
      <c r="R295" s="9">
        <f>IF(Q295="","",$K295&amp;"")</f>
        <v/>
      </c>
      <c r="S295" s="9">
        <f>IF(Q295="","",IF(MATCH(R295,$R$5:$R$100000,0)=ROW()-4,ROW(),""))</f>
        <v/>
      </c>
      <c r="T295" s="9">
        <f>IF(Q295="당기",ABS(P295)+ROW()/1000000000,"")</f>
        <v/>
      </c>
      <c r="U295" s="9">
        <f>IF(Q295="비교",ABS(P295)+ROW()/1000000000,"")</f>
        <v/>
      </c>
      <c r="V295" s="39">
        <f>IF($A295="","",IF(COUNTIF(변동분석!$E$7:$E$506,O295)&gt;0,"Y","N"))</f>
        <v/>
      </c>
      <c r="W295" s="39">
        <f>IF($A295="","",IFERROR(INDEX(계정매핑!$D$5:$D$504,MATCH($F295&amp;"",계정매핑!$A$5:$A$504,0)),"미매핑"))</f>
        <v/>
      </c>
      <c r="X295" s="9">
        <f>IF($A295="","",$F295&amp;"")</f>
        <v/>
      </c>
    </row>
    <row r="296">
      <c r="A296" s="75" t="n">
        <v>2025</v>
      </c>
      <c r="B296" s="75" t="n">
        <v>2</v>
      </c>
      <c r="C296" s="75" t="inlineStr">
        <is>
          <t>5100000292</t>
        </is>
      </c>
      <c r="D296" s="78" t="n">
        <v>45702</v>
      </c>
      <c r="E296" s="75" t="inlineStr">
        <is>
          <t>KR</t>
        </is>
      </c>
      <c r="F296" s="75" t="n">
        <v>62102000</v>
      </c>
      <c r="G296" s="75" t="n">
        <v>1701</v>
      </c>
      <c r="H296" s="76" t="n">
        <v>39000</v>
      </c>
      <c r="I296" s="75" t="inlineStr">
        <is>
          <t>2월 해외출장 - M항공</t>
        </is>
      </c>
      <c r="J296" s="75" t="inlineStr">
        <is>
          <t>V10001</t>
        </is>
      </c>
      <c r="K296" s="75" t="inlineStr">
        <is>
          <t>M항공</t>
        </is>
      </c>
      <c r="M296" s="9">
        <f>IF($A296="","",VALUE($A296&amp;"")*12+VALUE($B296&amp;""))</f>
        <v/>
      </c>
      <c r="N296" s="39">
        <f>IF($A296="","",IFERROR(INDEX(부서매핑!$C$5:$C$504,MATCH($G296&amp;"",부서매핑!$A$5:$A$504,0)),"미매핑"))</f>
        <v/>
      </c>
      <c r="O296" s="9">
        <f>IF($A296="","",N296&amp;"|"&amp;$F296)</f>
        <v/>
      </c>
      <c r="P296" s="77">
        <f>IF($A296="",0,$H296*설정!$C$23)</f>
        <v/>
      </c>
      <c r="Q296" s="39">
        <f>IF($A296="","",IF(O296&lt;&gt;원인분석!$C$9,"",IF(AND(M296&gt;=원인분석!$C$10,M296&lt;=원인분석!$C$11),"당기",IF(AND(M296&gt;=원인분석!$C$12,M296&lt;=원인분석!$C$13),"비교",""))))</f>
        <v/>
      </c>
      <c r="R296" s="9">
        <f>IF(Q296="","",$K296&amp;"")</f>
        <v/>
      </c>
      <c r="S296" s="9">
        <f>IF(Q296="","",IF(MATCH(R296,$R$5:$R$100000,0)=ROW()-4,ROW(),""))</f>
        <v/>
      </c>
      <c r="T296" s="9">
        <f>IF(Q296="당기",ABS(P296)+ROW()/1000000000,"")</f>
        <v/>
      </c>
      <c r="U296" s="9">
        <f>IF(Q296="비교",ABS(P296)+ROW()/1000000000,"")</f>
        <v/>
      </c>
      <c r="V296" s="39">
        <f>IF($A296="","",IF(COUNTIF(변동분석!$E$7:$E$506,O296)&gt;0,"Y","N"))</f>
        <v/>
      </c>
      <c r="W296" s="39">
        <f>IF($A296="","",IFERROR(INDEX(계정매핑!$D$5:$D$504,MATCH($F296&amp;"",계정매핑!$A$5:$A$504,0)),"미매핑"))</f>
        <v/>
      </c>
      <c r="X296" s="9">
        <f>IF($A296="","",$F296&amp;"")</f>
        <v/>
      </c>
    </row>
    <row r="297">
      <c r="A297" s="75" t="n">
        <v>2025</v>
      </c>
      <c r="B297" s="75" t="n">
        <v>2</v>
      </c>
      <c r="C297" s="75" t="inlineStr">
        <is>
          <t>5100000293</t>
        </is>
      </c>
      <c r="D297" s="78" t="n">
        <v>45702</v>
      </c>
      <c r="E297" s="75" t="inlineStr">
        <is>
          <t>KR</t>
        </is>
      </c>
      <c r="F297" s="75" t="n">
        <v>62501000</v>
      </c>
      <c r="G297" s="75" t="n">
        <v>1601</v>
      </c>
      <c r="H297" s="76" t="n">
        <v>392000</v>
      </c>
      <c r="I297" s="75" t="inlineStr">
        <is>
          <t>2월 회의 다과 - (법인카드)</t>
        </is>
      </c>
      <c r="J297" s="75" t="inlineStr">
        <is>
          <t>V10008</t>
        </is>
      </c>
      <c r="K297" s="75" t="inlineStr">
        <is>
          <t>(법인카드)</t>
        </is>
      </c>
      <c r="M297" s="9">
        <f>IF($A297="","",VALUE($A297&amp;"")*12+VALUE($B297&amp;""))</f>
        <v/>
      </c>
      <c r="N297" s="39">
        <f>IF($A297="","",IFERROR(INDEX(부서매핑!$C$5:$C$504,MATCH($G297&amp;"",부서매핑!$A$5:$A$504,0)),"미매핑"))</f>
        <v/>
      </c>
      <c r="O297" s="9">
        <f>IF($A297="","",N297&amp;"|"&amp;$F297)</f>
        <v/>
      </c>
      <c r="P297" s="77">
        <f>IF($A297="",0,$H297*설정!$C$23)</f>
        <v/>
      </c>
      <c r="Q297" s="39">
        <f>IF($A297="","",IF(O297&lt;&gt;원인분석!$C$9,"",IF(AND(M297&gt;=원인분석!$C$10,M297&lt;=원인분석!$C$11),"당기",IF(AND(M297&gt;=원인분석!$C$12,M297&lt;=원인분석!$C$13),"비교",""))))</f>
        <v/>
      </c>
      <c r="R297" s="9">
        <f>IF(Q297="","",$K297&amp;"")</f>
        <v/>
      </c>
      <c r="S297" s="9">
        <f>IF(Q297="","",IF(MATCH(R297,$R$5:$R$100000,0)=ROW()-4,ROW(),""))</f>
        <v/>
      </c>
      <c r="T297" s="9">
        <f>IF(Q297="당기",ABS(P297)+ROW()/1000000000,"")</f>
        <v/>
      </c>
      <c r="U297" s="9">
        <f>IF(Q297="비교",ABS(P297)+ROW()/1000000000,"")</f>
        <v/>
      </c>
      <c r="V297" s="39">
        <f>IF($A297="","",IF(COUNTIF(변동분석!$E$7:$E$506,O297)&gt;0,"Y","N"))</f>
        <v/>
      </c>
      <c r="W297" s="39">
        <f>IF($A297="","",IFERROR(INDEX(계정매핑!$D$5:$D$504,MATCH($F297&amp;"",계정매핑!$A$5:$A$504,0)),"미매핑"))</f>
        <v/>
      </c>
      <c r="X297" s="9">
        <f>IF($A297="","",$F297&amp;"")</f>
        <v/>
      </c>
    </row>
    <row r="298">
      <c r="A298" s="75" t="n">
        <v>2025</v>
      </c>
      <c r="B298" s="75" t="n">
        <v>2</v>
      </c>
      <c r="C298" s="75" t="inlineStr">
        <is>
          <t>5100000294</t>
        </is>
      </c>
      <c r="D298" s="78" t="n">
        <v>45702</v>
      </c>
      <c r="E298" s="75" t="inlineStr">
        <is>
          <t>KR</t>
        </is>
      </c>
      <c r="F298" s="75" t="n">
        <v>62802000</v>
      </c>
      <c r="G298" s="75" t="n">
        <v>1301</v>
      </c>
      <c r="H298" s="76" t="n">
        <v>6462000</v>
      </c>
      <c r="I298" s="75" t="inlineStr">
        <is>
          <t>2월 위탁교육 - I교육원</t>
        </is>
      </c>
      <c r="J298" s="75" t="inlineStr">
        <is>
          <t>V10015</t>
        </is>
      </c>
      <c r="K298" s="75" t="inlineStr">
        <is>
          <t>I교육원</t>
        </is>
      </c>
      <c r="M298" s="9">
        <f>IF($A298="","",VALUE($A298&amp;"")*12+VALUE($B298&amp;""))</f>
        <v/>
      </c>
      <c r="N298" s="39">
        <f>IF($A298="","",IFERROR(INDEX(부서매핑!$C$5:$C$504,MATCH($G298&amp;"",부서매핑!$A$5:$A$504,0)),"미매핑"))</f>
        <v/>
      </c>
      <c r="O298" s="9">
        <f>IF($A298="","",N298&amp;"|"&amp;$F298)</f>
        <v/>
      </c>
      <c r="P298" s="77">
        <f>IF($A298="",0,$H298*설정!$C$23)</f>
        <v/>
      </c>
      <c r="Q298" s="39">
        <f>IF($A298="","",IF(O298&lt;&gt;원인분석!$C$9,"",IF(AND(M298&gt;=원인분석!$C$10,M298&lt;=원인분석!$C$11),"당기",IF(AND(M298&gt;=원인분석!$C$12,M298&lt;=원인분석!$C$13),"비교",""))))</f>
        <v/>
      </c>
      <c r="R298" s="9">
        <f>IF(Q298="","",$K298&amp;"")</f>
        <v/>
      </c>
      <c r="S298" s="9">
        <f>IF(Q298="","",IF(MATCH(R298,$R$5:$R$100000,0)=ROW()-4,ROW(),""))</f>
        <v/>
      </c>
      <c r="T298" s="9">
        <f>IF(Q298="당기",ABS(P298)+ROW()/1000000000,"")</f>
        <v/>
      </c>
      <c r="U298" s="9">
        <f>IF(Q298="비교",ABS(P298)+ROW()/1000000000,"")</f>
        <v/>
      </c>
      <c r="V298" s="39">
        <f>IF($A298="","",IF(COUNTIF(변동분석!$E$7:$E$506,O298)&gt;0,"Y","N"))</f>
        <v/>
      </c>
      <c r="W298" s="39">
        <f>IF($A298="","",IFERROR(INDEX(계정매핑!$D$5:$D$504,MATCH($F298&amp;"",계정매핑!$A$5:$A$504,0)),"미매핑"))</f>
        <v/>
      </c>
      <c r="X298" s="9">
        <f>IF($A298="","",$F298&amp;"")</f>
        <v/>
      </c>
    </row>
    <row r="299">
      <c r="A299" s="75" t="n">
        <v>2025</v>
      </c>
      <c r="B299" s="75" t="n">
        <v>2</v>
      </c>
      <c r="C299" s="75" t="inlineStr">
        <is>
          <t>5100000295</t>
        </is>
      </c>
      <c r="D299" s="78" t="n">
        <v>45702</v>
      </c>
      <c r="E299" s="75" t="inlineStr">
        <is>
          <t>KR</t>
        </is>
      </c>
      <c r="F299" s="75" t="n">
        <v>62902000</v>
      </c>
      <c r="G299" s="75" t="n">
        <v>1101</v>
      </c>
      <c r="H299" s="76" t="n">
        <v>1711000</v>
      </c>
      <c r="I299" s="75" t="inlineStr">
        <is>
          <t>2월 업무 위탁 수수료 - X서비스</t>
        </is>
      </c>
      <c r="J299" s="75" t="inlineStr">
        <is>
          <t>V10016</t>
        </is>
      </c>
      <c r="K299" s="75" t="inlineStr">
        <is>
          <t>X서비스</t>
        </is>
      </c>
      <c r="M299" s="9">
        <f>IF($A299="","",VALUE($A299&amp;"")*12+VALUE($B299&amp;""))</f>
        <v/>
      </c>
      <c r="N299" s="39">
        <f>IF($A299="","",IFERROR(INDEX(부서매핑!$C$5:$C$504,MATCH($G299&amp;"",부서매핑!$A$5:$A$504,0)),"미매핑"))</f>
        <v/>
      </c>
      <c r="O299" s="9">
        <f>IF($A299="","",N299&amp;"|"&amp;$F299)</f>
        <v/>
      </c>
      <c r="P299" s="77">
        <f>IF($A299="",0,$H299*설정!$C$23)</f>
        <v/>
      </c>
      <c r="Q299" s="39">
        <f>IF($A299="","",IF(O299&lt;&gt;원인분석!$C$9,"",IF(AND(M299&gt;=원인분석!$C$10,M299&lt;=원인분석!$C$11),"당기",IF(AND(M299&gt;=원인분석!$C$12,M299&lt;=원인분석!$C$13),"비교",""))))</f>
        <v/>
      </c>
      <c r="R299" s="9">
        <f>IF(Q299="","",$K299&amp;"")</f>
        <v/>
      </c>
      <c r="S299" s="9">
        <f>IF(Q299="","",IF(MATCH(R299,$R$5:$R$100000,0)=ROW()-4,ROW(),""))</f>
        <v/>
      </c>
      <c r="T299" s="9">
        <f>IF(Q299="당기",ABS(P299)+ROW()/1000000000,"")</f>
        <v/>
      </c>
      <c r="U299" s="9">
        <f>IF(Q299="비교",ABS(P299)+ROW()/1000000000,"")</f>
        <v/>
      </c>
      <c r="V299" s="39">
        <f>IF($A299="","",IF(COUNTIF(변동분석!$E$7:$E$506,O299)&gt;0,"Y","N"))</f>
        <v/>
      </c>
      <c r="W299" s="39">
        <f>IF($A299="","",IFERROR(INDEX(계정매핑!$D$5:$D$504,MATCH($F299&amp;"",계정매핑!$A$5:$A$504,0)),"미매핑"))</f>
        <v/>
      </c>
      <c r="X299" s="9">
        <f>IF($A299="","",$F299&amp;"")</f>
        <v/>
      </c>
    </row>
    <row r="300">
      <c r="A300" s="75" t="n">
        <v>2025</v>
      </c>
      <c r="B300" s="75" t="n">
        <v>2</v>
      </c>
      <c r="C300" s="75" t="inlineStr">
        <is>
          <t>5100000296</t>
        </is>
      </c>
      <c r="D300" s="78" t="n">
        <v>45702</v>
      </c>
      <c r="E300" s="75" t="inlineStr">
        <is>
          <t>KR</t>
        </is>
      </c>
      <c r="F300" s="75" t="n">
        <v>62902000</v>
      </c>
      <c r="G300" s="75" t="n">
        <v>1101</v>
      </c>
      <c r="H300" s="76" t="n">
        <v>2108000</v>
      </c>
      <c r="I300" s="75" t="inlineStr">
        <is>
          <t>2월 업무 위탁 수수료 - X서비스</t>
        </is>
      </c>
      <c r="J300" s="75" t="inlineStr">
        <is>
          <t>V10016</t>
        </is>
      </c>
      <c r="K300" s="75" t="inlineStr">
        <is>
          <t>X서비스</t>
        </is>
      </c>
      <c r="M300" s="9">
        <f>IF($A300="","",VALUE($A300&amp;"")*12+VALUE($B300&amp;""))</f>
        <v/>
      </c>
      <c r="N300" s="39">
        <f>IF($A300="","",IFERROR(INDEX(부서매핑!$C$5:$C$504,MATCH($G300&amp;"",부서매핑!$A$5:$A$504,0)),"미매핑"))</f>
        <v/>
      </c>
      <c r="O300" s="9">
        <f>IF($A300="","",N300&amp;"|"&amp;$F300)</f>
        <v/>
      </c>
      <c r="P300" s="77">
        <f>IF($A300="",0,$H300*설정!$C$23)</f>
        <v/>
      </c>
      <c r="Q300" s="39">
        <f>IF($A300="","",IF(O300&lt;&gt;원인분석!$C$9,"",IF(AND(M300&gt;=원인분석!$C$10,M300&lt;=원인분석!$C$11),"당기",IF(AND(M300&gt;=원인분석!$C$12,M300&lt;=원인분석!$C$13),"비교",""))))</f>
        <v/>
      </c>
      <c r="R300" s="9">
        <f>IF(Q300="","",$K300&amp;"")</f>
        <v/>
      </c>
      <c r="S300" s="9">
        <f>IF(Q300="","",IF(MATCH(R300,$R$5:$R$100000,0)=ROW()-4,ROW(),""))</f>
        <v/>
      </c>
      <c r="T300" s="9">
        <f>IF(Q300="당기",ABS(P300)+ROW()/1000000000,"")</f>
        <v/>
      </c>
      <c r="U300" s="9">
        <f>IF(Q300="비교",ABS(P300)+ROW()/1000000000,"")</f>
        <v/>
      </c>
      <c r="V300" s="39">
        <f>IF($A300="","",IF(COUNTIF(변동분석!$E$7:$E$506,O300)&gt;0,"Y","N"))</f>
        <v/>
      </c>
      <c r="W300" s="39">
        <f>IF($A300="","",IFERROR(INDEX(계정매핑!$D$5:$D$504,MATCH($F300&amp;"",계정매핑!$A$5:$A$504,0)),"미매핑"))</f>
        <v/>
      </c>
      <c r="X300" s="9">
        <f>IF($A300="","",$F300&amp;"")</f>
        <v/>
      </c>
    </row>
    <row r="301">
      <c r="A301" s="75" t="n">
        <v>2025</v>
      </c>
      <c r="B301" s="75" t="n">
        <v>2</v>
      </c>
      <c r="C301" s="75" t="inlineStr">
        <is>
          <t>5100000297</t>
        </is>
      </c>
      <c r="D301" s="78" t="n">
        <v>45702</v>
      </c>
      <c r="E301" s="75" t="inlineStr">
        <is>
          <t>KR</t>
        </is>
      </c>
      <c r="F301" s="75" t="n">
        <v>63001000</v>
      </c>
      <c r="G301" s="75" t="n">
        <v>1701</v>
      </c>
      <c r="H301" s="76" t="n">
        <v>35275000</v>
      </c>
      <c r="I301" s="75" t="inlineStr">
        <is>
          <t>2월 SW 유지보수 - Y소프트</t>
        </is>
      </c>
      <c r="J301" s="75" t="inlineStr">
        <is>
          <t>V10017</t>
        </is>
      </c>
      <c r="K301" s="75" t="inlineStr">
        <is>
          <t>Y소프트</t>
        </is>
      </c>
      <c r="M301" s="9">
        <f>IF($A301="","",VALUE($A301&amp;"")*12+VALUE($B301&amp;""))</f>
        <v/>
      </c>
      <c r="N301" s="39">
        <f>IF($A301="","",IFERROR(INDEX(부서매핑!$C$5:$C$504,MATCH($G301&amp;"",부서매핑!$A$5:$A$504,0)),"미매핑"))</f>
        <v/>
      </c>
      <c r="O301" s="9">
        <f>IF($A301="","",N301&amp;"|"&amp;$F301)</f>
        <v/>
      </c>
      <c r="P301" s="77">
        <f>IF($A301="",0,$H301*설정!$C$23)</f>
        <v/>
      </c>
      <c r="Q301" s="39">
        <f>IF($A301="","",IF(O301&lt;&gt;원인분석!$C$9,"",IF(AND(M301&gt;=원인분석!$C$10,M301&lt;=원인분석!$C$11),"당기",IF(AND(M301&gt;=원인분석!$C$12,M301&lt;=원인분석!$C$13),"비교",""))))</f>
        <v/>
      </c>
      <c r="R301" s="9">
        <f>IF(Q301="","",$K301&amp;"")</f>
        <v/>
      </c>
      <c r="S301" s="9">
        <f>IF(Q301="","",IF(MATCH(R301,$R$5:$R$100000,0)=ROW()-4,ROW(),""))</f>
        <v/>
      </c>
      <c r="T301" s="9">
        <f>IF(Q301="당기",ABS(P301)+ROW()/1000000000,"")</f>
        <v/>
      </c>
      <c r="U301" s="9">
        <f>IF(Q301="비교",ABS(P301)+ROW()/1000000000,"")</f>
        <v/>
      </c>
      <c r="V301" s="39">
        <f>IF($A301="","",IF(COUNTIF(변동분석!$E$7:$E$506,O301)&gt;0,"Y","N"))</f>
        <v/>
      </c>
      <c r="W301" s="39">
        <f>IF($A301="","",IFERROR(INDEX(계정매핑!$D$5:$D$504,MATCH($F301&amp;"",계정매핑!$A$5:$A$504,0)),"미매핑"))</f>
        <v/>
      </c>
      <c r="X301" s="9">
        <f>IF($A301="","",$F301&amp;"")</f>
        <v/>
      </c>
    </row>
    <row r="302">
      <c r="A302" s="75" t="n">
        <v>2025</v>
      </c>
      <c r="B302" s="75" t="n">
        <v>2</v>
      </c>
      <c r="C302" s="75" t="inlineStr">
        <is>
          <t>5100000298</t>
        </is>
      </c>
      <c r="D302" s="78" t="n">
        <v>45703</v>
      </c>
      <c r="E302" s="75" t="inlineStr">
        <is>
          <t>KR</t>
        </is>
      </c>
      <c r="F302" s="75" t="n">
        <v>62201000</v>
      </c>
      <c r="G302" s="75" t="n">
        <v>1201</v>
      </c>
      <c r="H302" s="76" t="n">
        <v>184000</v>
      </c>
      <c r="I302" s="75" t="inlineStr">
        <is>
          <t>2월 통신요금 - O텔레콤</t>
        </is>
      </c>
      <c r="J302" s="75" t="inlineStr">
        <is>
          <t>V10002</t>
        </is>
      </c>
      <c r="K302" s="75" t="inlineStr">
        <is>
          <t>O텔레콤</t>
        </is>
      </c>
      <c r="M302" s="9">
        <f>IF($A302="","",VALUE($A302&amp;"")*12+VALUE($B302&amp;""))</f>
        <v/>
      </c>
      <c r="N302" s="39">
        <f>IF($A302="","",IFERROR(INDEX(부서매핑!$C$5:$C$504,MATCH($G302&amp;"",부서매핑!$A$5:$A$504,0)),"미매핑"))</f>
        <v/>
      </c>
      <c r="O302" s="9">
        <f>IF($A302="","",N302&amp;"|"&amp;$F302)</f>
        <v/>
      </c>
      <c r="P302" s="77">
        <f>IF($A302="",0,$H302*설정!$C$23)</f>
        <v/>
      </c>
      <c r="Q302" s="39">
        <f>IF($A302="","",IF(O302&lt;&gt;원인분석!$C$9,"",IF(AND(M302&gt;=원인분석!$C$10,M302&lt;=원인분석!$C$11),"당기",IF(AND(M302&gt;=원인분석!$C$12,M302&lt;=원인분석!$C$13),"비교",""))))</f>
        <v/>
      </c>
      <c r="R302" s="9">
        <f>IF(Q302="","",$K302&amp;"")</f>
        <v/>
      </c>
      <c r="S302" s="9">
        <f>IF(Q302="","",IF(MATCH(R302,$R$5:$R$100000,0)=ROW()-4,ROW(),""))</f>
        <v/>
      </c>
      <c r="T302" s="9">
        <f>IF(Q302="당기",ABS(P302)+ROW()/1000000000,"")</f>
        <v/>
      </c>
      <c r="U302" s="9">
        <f>IF(Q302="비교",ABS(P302)+ROW()/1000000000,"")</f>
        <v/>
      </c>
      <c r="V302" s="39">
        <f>IF($A302="","",IF(COUNTIF(변동분석!$E$7:$E$506,O302)&gt;0,"Y","N"))</f>
        <v/>
      </c>
      <c r="W302" s="39">
        <f>IF($A302="","",IFERROR(INDEX(계정매핑!$D$5:$D$504,MATCH($F302&amp;"",계정매핑!$A$5:$A$504,0)),"미매핑"))</f>
        <v/>
      </c>
      <c r="X302" s="9">
        <f>IF($A302="","",$F302&amp;"")</f>
        <v/>
      </c>
    </row>
    <row r="303">
      <c r="A303" s="75" t="n">
        <v>2025</v>
      </c>
      <c r="B303" s="75" t="n">
        <v>2</v>
      </c>
      <c r="C303" s="75" t="inlineStr">
        <is>
          <t>5100000299</t>
        </is>
      </c>
      <c r="D303" s="78" t="n">
        <v>45703</v>
      </c>
      <c r="E303" s="75" t="inlineStr">
        <is>
          <t>KR</t>
        </is>
      </c>
      <c r="F303" s="75" t="n">
        <v>62401000</v>
      </c>
      <c r="G303" s="75" t="n">
        <v>1501</v>
      </c>
      <c r="H303" s="76" t="n">
        <v>1943000</v>
      </c>
      <c r="I303" s="75" t="inlineStr">
        <is>
          <t>2월 인쇄물 제작 - S출판</t>
        </is>
      </c>
      <c r="J303" s="75" t="inlineStr">
        <is>
          <t>V10012</t>
        </is>
      </c>
      <c r="K303" s="75" t="inlineStr">
        <is>
          <t>S출판</t>
        </is>
      </c>
      <c r="M303" s="9">
        <f>IF($A303="","",VALUE($A303&amp;"")*12+VALUE($B303&amp;""))</f>
        <v/>
      </c>
      <c r="N303" s="39">
        <f>IF($A303="","",IFERROR(INDEX(부서매핑!$C$5:$C$504,MATCH($G303&amp;"",부서매핑!$A$5:$A$504,0)),"미매핑"))</f>
        <v/>
      </c>
      <c r="O303" s="9">
        <f>IF($A303="","",N303&amp;"|"&amp;$F303)</f>
        <v/>
      </c>
      <c r="P303" s="77">
        <f>IF($A303="",0,$H303*설정!$C$23)</f>
        <v/>
      </c>
      <c r="Q303" s="39">
        <f>IF($A303="","",IF(O303&lt;&gt;원인분석!$C$9,"",IF(AND(M303&gt;=원인분석!$C$10,M303&lt;=원인분석!$C$11),"당기",IF(AND(M303&gt;=원인분석!$C$12,M303&lt;=원인분석!$C$13),"비교",""))))</f>
        <v/>
      </c>
      <c r="R303" s="9">
        <f>IF(Q303="","",$K303&amp;"")</f>
        <v/>
      </c>
      <c r="S303" s="9">
        <f>IF(Q303="","",IF(MATCH(R303,$R$5:$R$100000,0)=ROW()-4,ROW(),""))</f>
        <v/>
      </c>
      <c r="T303" s="9">
        <f>IF(Q303="당기",ABS(P303)+ROW()/1000000000,"")</f>
        <v/>
      </c>
      <c r="U303" s="9">
        <f>IF(Q303="비교",ABS(P303)+ROW()/1000000000,"")</f>
        <v/>
      </c>
      <c r="V303" s="39">
        <f>IF($A303="","",IF(COUNTIF(변동분석!$E$7:$E$506,O303)&gt;0,"Y","N"))</f>
        <v/>
      </c>
      <c r="W303" s="39">
        <f>IF($A303="","",IFERROR(INDEX(계정매핑!$D$5:$D$504,MATCH($F303&amp;"",계정매핑!$A$5:$A$504,0)),"미매핑"))</f>
        <v/>
      </c>
      <c r="X303" s="9">
        <f>IF($A303="","",$F303&amp;"")</f>
        <v/>
      </c>
    </row>
    <row r="304">
      <c r="A304" s="75" t="n">
        <v>2025</v>
      </c>
      <c r="B304" s="75" t="n">
        <v>2</v>
      </c>
      <c r="C304" s="75" t="inlineStr">
        <is>
          <t>5100000300</t>
        </is>
      </c>
      <c r="D304" s="78" t="n">
        <v>45703</v>
      </c>
      <c r="E304" s="75" t="inlineStr">
        <is>
          <t>KR</t>
        </is>
      </c>
      <c r="F304" s="75" t="n">
        <v>62501000</v>
      </c>
      <c r="G304" s="75" t="n">
        <v>1101</v>
      </c>
      <c r="H304" s="76" t="n">
        <v>242000</v>
      </c>
      <c r="I304" s="75" t="inlineStr">
        <is>
          <t>2월 회의 다과 - (법인카드)</t>
        </is>
      </c>
      <c r="J304" s="75" t="inlineStr">
        <is>
          <t>V10008</t>
        </is>
      </c>
      <c r="K304" s="75" t="inlineStr">
        <is>
          <t>(법인카드)</t>
        </is>
      </c>
      <c r="M304" s="9">
        <f>IF($A304="","",VALUE($A304&amp;"")*12+VALUE($B304&amp;""))</f>
        <v/>
      </c>
      <c r="N304" s="39">
        <f>IF($A304="","",IFERROR(INDEX(부서매핑!$C$5:$C$504,MATCH($G304&amp;"",부서매핑!$A$5:$A$504,0)),"미매핑"))</f>
        <v/>
      </c>
      <c r="O304" s="9">
        <f>IF($A304="","",N304&amp;"|"&amp;$F304)</f>
        <v/>
      </c>
      <c r="P304" s="77">
        <f>IF($A304="",0,$H304*설정!$C$23)</f>
        <v/>
      </c>
      <c r="Q304" s="39">
        <f>IF($A304="","",IF(O304&lt;&gt;원인분석!$C$9,"",IF(AND(M304&gt;=원인분석!$C$10,M304&lt;=원인분석!$C$11),"당기",IF(AND(M304&gt;=원인분석!$C$12,M304&lt;=원인분석!$C$13),"비교",""))))</f>
        <v/>
      </c>
      <c r="R304" s="9">
        <f>IF(Q304="","",$K304&amp;"")</f>
        <v/>
      </c>
      <c r="S304" s="9">
        <f>IF(Q304="","",IF(MATCH(R304,$R$5:$R$100000,0)=ROW()-4,ROW(),""))</f>
        <v/>
      </c>
      <c r="T304" s="9">
        <f>IF(Q304="당기",ABS(P304)+ROW()/1000000000,"")</f>
        <v/>
      </c>
      <c r="U304" s="9">
        <f>IF(Q304="비교",ABS(P304)+ROW()/1000000000,"")</f>
        <v/>
      </c>
      <c r="V304" s="39">
        <f>IF($A304="","",IF(COUNTIF(변동분석!$E$7:$E$506,O304)&gt;0,"Y","N"))</f>
        <v/>
      </c>
      <c r="W304" s="39">
        <f>IF($A304="","",IFERROR(INDEX(계정매핑!$D$5:$D$504,MATCH($F304&amp;"",계정매핑!$A$5:$A$504,0)),"미매핑"))</f>
        <v/>
      </c>
      <c r="X304" s="9">
        <f>IF($A304="","",$F304&amp;"")</f>
        <v/>
      </c>
    </row>
    <row r="305">
      <c r="A305" s="75" t="n">
        <v>2025</v>
      </c>
      <c r="B305" s="75" t="n">
        <v>2</v>
      </c>
      <c r="C305" s="75" t="inlineStr">
        <is>
          <t>5100000301</t>
        </is>
      </c>
      <c r="D305" s="78" t="n">
        <v>45703</v>
      </c>
      <c r="E305" s="75" t="inlineStr">
        <is>
          <t>KR</t>
        </is>
      </c>
      <c r="F305" s="75" t="n">
        <v>62501000</v>
      </c>
      <c r="G305" s="75" t="n">
        <v>1301</v>
      </c>
      <c r="H305" s="76" t="n">
        <v>450000</v>
      </c>
      <c r="I305" s="75" t="inlineStr">
        <is>
          <t>2월 회의 다과 - T케이터링</t>
        </is>
      </c>
      <c r="J305" s="75" t="inlineStr">
        <is>
          <t>V10005</t>
        </is>
      </c>
      <c r="K305" s="75" t="inlineStr">
        <is>
          <t>T케이터링</t>
        </is>
      </c>
      <c r="M305" s="9">
        <f>IF($A305="","",VALUE($A305&amp;"")*12+VALUE($B305&amp;""))</f>
        <v/>
      </c>
      <c r="N305" s="39">
        <f>IF($A305="","",IFERROR(INDEX(부서매핑!$C$5:$C$504,MATCH($G305&amp;"",부서매핑!$A$5:$A$504,0)),"미매핑"))</f>
        <v/>
      </c>
      <c r="O305" s="9">
        <f>IF($A305="","",N305&amp;"|"&amp;$F305)</f>
        <v/>
      </c>
      <c r="P305" s="77">
        <f>IF($A305="",0,$H305*설정!$C$23)</f>
        <v/>
      </c>
      <c r="Q305" s="39">
        <f>IF($A305="","",IF(O305&lt;&gt;원인분석!$C$9,"",IF(AND(M305&gt;=원인분석!$C$10,M305&lt;=원인분석!$C$11),"당기",IF(AND(M305&gt;=원인분석!$C$12,M305&lt;=원인분석!$C$13),"비교",""))))</f>
        <v/>
      </c>
      <c r="R305" s="9">
        <f>IF(Q305="","",$K305&amp;"")</f>
        <v/>
      </c>
      <c r="S305" s="9">
        <f>IF(Q305="","",IF(MATCH(R305,$R$5:$R$100000,0)=ROW()-4,ROW(),""))</f>
        <v/>
      </c>
      <c r="T305" s="9">
        <f>IF(Q305="당기",ABS(P305)+ROW()/1000000000,"")</f>
        <v/>
      </c>
      <c r="U305" s="9">
        <f>IF(Q305="비교",ABS(P305)+ROW()/1000000000,"")</f>
        <v/>
      </c>
      <c r="V305" s="39">
        <f>IF($A305="","",IF(COUNTIF(변동분석!$E$7:$E$506,O305)&gt;0,"Y","N"))</f>
        <v/>
      </c>
      <c r="W305" s="39">
        <f>IF($A305="","",IFERROR(INDEX(계정매핑!$D$5:$D$504,MATCH($F305&amp;"",계정매핑!$A$5:$A$504,0)),"미매핑"))</f>
        <v/>
      </c>
      <c r="X305" s="9">
        <f>IF($A305="","",$F305&amp;"")</f>
        <v/>
      </c>
    </row>
    <row r="306">
      <c r="A306" s="75" t="n">
        <v>2025</v>
      </c>
      <c r="B306" s="75" t="n">
        <v>2</v>
      </c>
      <c r="C306" s="75" t="inlineStr">
        <is>
          <t>5100000302</t>
        </is>
      </c>
      <c r="D306" s="78" t="n">
        <v>45703</v>
      </c>
      <c r="E306" s="75" t="inlineStr">
        <is>
          <t>KR</t>
        </is>
      </c>
      <c r="F306" s="75" t="n">
        <v>62901000</v>
      </c>
      <c r="G306" s="75" t="n">
        <v>1201</v>
      </c>
      <c r="H306" s="76" t="n">
        <v>3445000</v>
      </c>
      <c r="I306" s="75" t="inlineStr">
        <is>
          <t>2월 자문 수수료 - K회계법인</t>
        </is>
      </c>
      <c r="J306" s="75" t="inlineStr">
        <is>
          <t>V10010</t>
        </is>
      </c>
      <c r="K306" s="75" t="inlineStr">
        <is>
          <t>K회계법인</t>
        </is>
      </c>
      <c r="M306" s="9">
        <f>IF($A306="","",VALUE($A306&amp;"")*12+VALUE($B306&amp;""))</f>
        <v/>
      </c>
      <c r="N306" s="39">
        <f>IF($A306="","",IFERROR(INDEX(부서매핑!$C$5:$C$504,MATCH($G306&amp;"",부서매핑!$A$5:$A$504,0)),"미매핑"))</f>
        <v/>
      </c>
      <c r="O306" s="9">
        <f>IF($A306="","",N306&amp;"|"&amp;$F306)</f>
        <v/>
      </c>
      <c r="P306" s="77">
        <f>IF($A306="",0,$H306*설정!$C$23)</f>
        <v/>
      </c>
      <c r="Q306" s="39">
        <f>IF($A306="","",IF(O306&lt;&gt;원인분석!$C$9,"",IF(AND(M306&gt;=원인분석!$C$10,M306&lt;=원인분석!$C$11),"당기",IF(AND(M306&gt;=원인분석!$C$12,M306&lt;=원인분석!$C$13),"비교",""))))</f>
        <v/>
      </c>
      <c r="R306" s="9">
        <f>IF(Q306="","",$K306&amp;"")</f>
        <v/>
      </c>
      <c r="S306" s="9">
        <f>IF(Q306="","",IF(MATCH(R306,$R$5:$R$100000,0)=ROW()-4,ROW(),""))</f>
        <v/>
      </c>
      <c r="T306" s="9">
        <f>IF(Q306="당기",ABS(P306)+ROW()/1000000000,"")</f>
        <v/>
      </c>
      <c r="U306" s="9">
        <f>IF(Q306="비교",ABS(P306)+ROW()/1000000000,"")</f>
        <v/>
      </c>
      <c r="V306" s="39">
        <f>IF($A306="","",IF(COUNTIF(변동분석!$E$7:$E$506,O306)&gt;0,"Y","N"))</f>
        <v/>
      </c>
      <c r="W306" s="39">
        <f>IF($A306="","",IFERROR(INDEX(계정매핑!$D$5:$D$504,MATCH($F306&amp;"",계정매핑!$A$5:$A$504,0)),"미매핑"))</f>
        <v/>
      </c>
      <c r="X306" s="9">
        <f>IF($A306="","",$F306&amp;"")</f>
        <v/>
      </c>
    </row>
    <row r="307">
      <c r="A307" s="75" t="n">
        <v>2025</v>
      </c>
      <c r="B307" s="75" t="n">
        <v>2</v>
      </c>
      <c r="C307" s="75" t="inlineStr">
        <is>
          <t>5100000303</t>
        </is>
      </c>
      <c r="D307" s="78" t="n">
        <v>45703</v>
      </c>
      <c r="E307" s="75" t="inlineStr">
        <is>
          <t>KR</t>
        </is>
      </c>
      <c r="F307" s="75" t="n">
        <v>62901000</v>
      </c>
      <c r="G307" s="75" t="n">
        <v>1201</v>
      </c>
      <c r="H307" s="76" t="n">
        <v>5567000</v>
      </c>
      <c r="I307" s="75" t="inlineStr">
        <is>
          <t>2월 자문 수수료 - W컨설팅</t>
        </is>
      </c>
      <c r="J307" s="75" t="inlineStr">
        <is>
          <t>V10009</t>
        </is>
      </c>
      <c r="K307" s="75" t="inlineStr">
        <is>
          <t>W컨설팅</t>
        </is>
      </c>
      <c r="M307" s="9">
        <f>IF($A307="","",VALUE($A307&amp;"")*12+VALUE($B307&amp;""))</f>
        <v/>
      </c>
      <c r="N307" s="39">
        <f>IF($A307="","",IFERROR(INDEX(부서매핑!$C$5:$C$504,MATCH($G307&amp;"",부서매핑!$A$5:$A$504,0)),"미매핑"))</f>
        <v/>
      </c>
      <c r="O307" s="9">
        <f>IF($A307="","",N307&amp;"|"&amp;$F307)</f>
        <v/>
      </c>
      <c r="P307" s="77">
        <f>IF($A307="",0,$H307*설정!$C$23)</f>
        <v/>
      </c>
      <c r="Q307" s="39">
        <f>IF($A307="","",IF(O307&lt;&gt;원인분석!$C$9,"",IF(AND(M307&gt;=원인분석!$C$10,M307&lt;=원인분석!$C$11),"당기",IF(AND(M307&gt;=원인분석!$C$12,M307&lt;=원인분석!$C$13),"비교",""))))</f>
        <v/>
      </c>
      <c r="R307" s="9">
        <f>IF(Q307="","",$K307&amp;"")</f>
        <v/>
      </c>
      <c r="S307" s="9">
        <f>IF(Q307="","",IF(MATCH(R307,$R$5:$R$100000,0)=ROW()-4,ROW(),""))</f>
        <v/>
      </c>
      <c r="T307" s="9">
        <f>IF(Q307="당기",ABS(P307)+ROW()/1000000000,"")</f>
        <v/>
      </c>
      <c r="U307" s="9">
        <f>IF(Q307="비교",ABS(P307)+ROW()/1000000000,"")</f>
        <v/>
      </c>
      <c r="V307" s="39">
        <f>IF($A307="","",IF(COUNTIF(변동분석!$E$7:$E$506,O307)&gt;0,"Y","N"))</f>
        <v/>
      </c>
      <c r="W307" s="39">
        <f>IF($A307="","",IFERROR(INDEX(계정매핑!$D$5:$D$504,MATCH($F307&amp;"",계정매핑!$A$5:$A$504,0)),"미매핑"))</f>
        <v/>
      </c>
      <c r="X307" s="9">
        <f>IF($A307="","",$F307&amp;"")</f>
        <v/>
      </c>
    </row>
    <row r="308">
      <c r="A308" s="75" t="n">
        <v>2025</v>
      </c>
      <c r="B308" s="75" t="n">
        <v>2</v>
      </c>
      <c r="C308" s="75" t="inlineStr">
        <is>
          <t>5100000304</t>
        </is>
      </c>
      <c r="D308" s="78" t="n">
        <v>45703</v>
      </c>
      <c r="E308" s="75" t="inlineStr">
        <is>
          <t>KR</t>
        </is>
      </c>
      <c r="F308" s="75" t="n">
        <v>62901000</v>
      </c>
      <c r="G308" s="75" t="n">
        <v>1401</v>
      </c>
      <c r="H308" s="76" t="n">
        <v>4452000</v>
      </c>
      <c r="I308" s="75" t="inlineStr">
        <is>
          <t>2월 자문 수수료 - K회계법인</t>
        </is>
      </c>
      <c r="J308" s="75" t="inlineStr">
        <is>
          <t>V10010</t>
        </is>
      </c>
      <c r="K308" s="75" t="inlineStr">
        <is>
          <t>K회계법인</t>
        </is>
      </c>
      <c r="M308" s="9">
        <f>IF($A308="","",VALUE($A308&amp;"")*12+VALUE($B308&amp;""))</f>
        <v/>
      </c>
      <c r="N308" s="39">
        <f>IF($A308="","",IFERROR(INDEX(부서매핑!$C$5:$C$504,MATCH($G308&amp;"",부서매핑!$A$5:$A$504,0)),"미매핑"))</f>
        <v/>
      </c>
      <c r="O308" s="9">
        <f>IF($A308="","",N308&amp;"|"&amp;$F308)</f>
        <v/>
      </c>
      <c r="P308" s="77">
        <f>IF($A308="",0,$H308*설정!$C$23)</f>
        <v/>
      </c>
      <c r="Q308" s="39">
        <f>IF($A308="","",IF(O308&lt;&gt;원인분석!$C$9,"",IF(AND(M308&gt;=원인분석!$C$10,M308&lt;=원인분석!$C$11),"당기",IF(AND(M308&gt;=원인분석!$C$12,M308&lt;=원인분석!$C$13),"비교",""))))</f>
        <v/>
      </c>
      <c r="R308" s="9">
        <f>IF(Q308="","",$K308&amp;"")</f>
        <v/>
      </c>
      <c r="S308" s="9">
        <f>IF(Q308="","",IF(MATCH(R308,$R$5:$R$100000,0)=ROW()-4,ROW(),""))</f>
        <v/>
      </c>
      <c r="T308" s="9">
        <f>IF(Q308="당기",ABS(P308)+ROW()/1000000000,"")</f>
        <v/>
      </c>
      <c r="U308" s="9">
        <f>IF(Q308="비교",ABS(P308)+ROW()/1000000000,"")</f>
        <v/>
      </c>
      <c r="V308" s="39">
        <f>IF($A308="","",IF(COUNTIF(변동분석!$E$7:$E$506,O308)&gt;0,"Y","N"))</f>
        <v/>
      </c>
      <c r="W308" s="39">
        <f>IF($A308="","",IFERROR(INDEX(계정매핑!$D$5:$D$504,MATCH($F308&amp;"",계정매핑!$A$5:$A$504,0)),"미매핑"))</f>
        <v/>
      </c>
      <c r="X308" s="9">
        <f>IF($A308="","",$F308&amp;"")</f>
        <v/>
      </c>
    </row>
    <row r="309">
      <c r="A309" s="75" t="n">
        <v>2025</v>
      </c>
      <c r="B309" s="75" t="n">
        <v>2</v>
      </c>
      <c r="C309" s="75" t="inlineStr">
        <is>
          <t>5100000305</t>
        </is>
      </c>
      <c r="D309" s="78" t="n">
        <v>45703</v>
      </c>
      <c r="E309" s="75" t="inlineStr">
        <is>
          <t>KR</t>
        </is>
      </c>
      <c r="F309" s="75" t="n">
        <v>62902000</v>
      </c>
      <c r="G309" s="75" t="n">
        <v>1101</v>
      </c>
      <c r="H309" s="76" t="n">
        <v>1640000</v>
      </c>
      <c r="I309" s="75" t="inlineStr">
        <is>
          <t>2월 업무 위탁 수수료 - J콜센터</t>
        </is>
      </c>
      <c r="J309" s="75" t="inlineStr">
        <is>
          <t>V10013</t>
        </is>
      </c>
      <c r="K309" s="75" t="inlineStr">
        <is>
          <t>J콜센터</t>
        </is>
      </c>
      <c r="M309" s="9">
        <f>IF($A309="","",VALUE($A309&amp;"")*12+VALUE($B309&amp;""))</f>
        <v/>
      </c>
      <c r="N309" s="39">
        <f>IF($A309="","",IFERROR(INDEX(부서매핑!$C$5:$C$504,MATCH($G309&amp;"",부서매핑!$A$5:$A$504,0)),"미매핑"))</f>
        <v/>
      </c>
      <c r="O309" s="9">
        <f>IF($A309="","",N309&amp;"|"&amp;$F309)</f>
        <v/>
      </c>
      <c r="P309" s="77">
        <f>IF($A309="",0,$H309*설정!$C$23)</f>
        <v/>
      </c>
      <c r="Q309" s="39">
        <f>IF($A309="","",IF(O309&lt;&gt;원인분석!$C$9,"",IF(AND(M309&gt;=원인분석!$C$10,M309&lt;=원인분석!$C$11),"당기",IF(AND(M309&gt;=원인분석!$C$12,M309&lt;=원인분석!$C$13),"비교",""))))</f>
        <v/>
      </c>
      <c r="R309" s="9">
        <f>IF(Q309="","",$K309&amp;"")</f>
        <v/>
      </c>
      <c r="S309" s="9">
        <f>IF(Q309="","",IF(MATCH(R309,$R$5:$R$100000,0)=ROW()-4,ROW(),""))</f>
        <v/>
      </c>
      <c r="T309" s="9">
        <f>IF(Q309="당기",ABS(P309)+ROW()/1000000000,"")</f>
        <v/>
      </c>
      <c r="U309" s="9">
        <f>IF(Q309="비교",ABS(P309)+ROW()/1000000000,"")</f>
        <v/>
      </c>
      <c r="V309" s="39">
        <f>IF($A309="","",IF(COUNTIF(변동분석!$E$7:$E$506,O309)&gt;0,"Y","N"))</f>
        <v/>
      </c>
      <c r="W309" s="39">
        <f>IF($A309="","",IFERROR(INDEX(계정매핑!$D$5:$D$504,MATCH($F309&amp;"",계정매핑!$A$5:$A$504,0)),"미매핑"))</f>
        <v/>
      </c>
      <c r="X309" s="9">
        <f>IF($A309="","",$F309&amp;"")</f>
        <v/>
      </c>
    </row>
    <row r="310">
      <c r="A310" s="75" t="n">
        <v>2025</v>
      </c>
      <c r="B310" s="75" t="n">
        <v>2</v>
      </c>
      <c r="C310" s="75" t="inlineStr">
        <is>
          <t>5100000306</t>
        </is>
      </c>
      <c r="D310" s="78" t="n">
        <v>45703</v>
      </c>
      <c r="E310" s="75" t="inlineStr">
        <is>
          <t>KR</t>
        </is>
      </c>
      <c r="F310" s="75" t="n">
        <v>62902000</v>
      </c>
      <c r="G310" s="75" t="n">
        <v>1801</v>
      </c>
      <c r="H310" s="76" t="n">
        <v>1801000</v>
      </c>
      <c r="I310" s="75" t="inlineStr">
        <is>
          <t>2월 콜 위탁 수수료(건별)</t>
        </is>
      </c>
      <c r="J310" s="75" t="inlineStr">
        <is>
          <t>V10013</t>
        </is>
      </c>
      <c r="K310" s="75" t="inlineStr">
        <is>
          <t>J콜센터</t>
        </is>
      </c>
      <c r="M310" s="9">
        <f>IF($A310="","",VALUE($A310&amp;"")*12+VALUE($B310&amp;""))</f>
        <v/>
      </c>
      <c r="N310" s="39">
        <f>IF($A310="","",IFERROR(INDEX(부서매핑!$C$5:$C$504,MATCH($G310&amp;"",부서매핑!$A$5:$A$504,0)),"미매핑"))</f>
        <v/>
      </c>
      <c r="O310" s="9">
        <f>IF($A310="","",N310&amp;"|"&amp;$F310)</f>
        <v/>
      </c>
      <c r="P310" s="77">
        <f>IF($A310="",0,$H310*설정!$C$23)</f>
        <v/>
      </c>
      <c r="Q310" s="39">
        <f>IF($A310="","",IF(O310&lt;&gt;원인분석!$C$9,"",IF(AND(M310&gt;=원인분석!$C$10,M310&lt;=원인분석!$C$11),"당기",IF(AND(M310&gt;=원인분석!$C$12,M310&lt;=원인분석!$C$13),"비교",""))))</f>
        <v/>
      </c>
      <c r="R310" s="9">
        <f>IF(Q310="","",$K310&amp;"")</f>
        <v/>
      </c>
      <c r="S310" s="9">
        <f>IF(Q310="","",IF(MATCH(R310,$R$5:$R$100000,0)=ROW()-4,ROW(),""))</f>
        <v/>
      </c>
      <c r="T310" s="9">
        <f>IF(Q310="당기",ABS(P310)+ROW()/1000000000,"")</f>
        <v/>
      </c>
      <c r="U310" s="9">
        <f>IF(Q310="비교",ABS(P310)+ROW()/1000000000,"")</f>
        <v/>
      </c>
      <c r="V310" s="39">
        <f>IF($A310="","",IF(COUNTIF(변동분석!$E$7:$E$506,O310)&gt;0,"Y","N"))</f>
        <v/>
      </c>
      <c r="W310" s="39">
        <f>IF($A310="","",IFERROR(INDEX(계정매핑!$D$5:$D$504,MATCH($F310&amp;"",계정매핑!$A$5:$A$504,0)),"미매핑"))</f>
        <v/>
      </c>
      <c r="X310" s="9">
        <f>IF($A310="","",$F310&amp;"")</f>
        <v/>
      </c>
    </row>
    <row r="311">
      <c r="A311" s="75" t="n">
        <v>2025</v>
      </c>
      <c r="B311" s="75" t="n">
        <v>2</v>
      </c>
      <c r="C311" s="75" t="inlineStr">
        <is>
          <t>5100000307</t>
        </is>
      </c>
      <c r="D311" s="78" t="n">
        <v>45704</v>
      </c>
      <c r="E311" s="75" t="inlineStr">
        <is>
          <t>KR</t>
        </is>
      </c>
      <c r="F311" s="75" t="n">
        <v>62101000</v>
      </c>
      <c r="G311" s="75" t="n">
        <v>1501</v>
      </c>
      <c r="H311" s="76" t="n">
        <v>575000</v>
      </c>
      <c r="I311" s="75" t="inlineStr">
        <is>
          <t>2월 국내출장 - M항공</t>
        </is>
      </c>
      <c r="J311" s="75" t="inlineStr">
        <is>
          <t>V10001</t>
        </is>
      </c>
      <c r="K311" s="75" t="inlineStr">
        <is>
          <t>M항공</t>
        </is>
      </c>
      <c r="M311" s="9">
        <f>IF($A311="","",VALUE($A311&amp;"")*12+VALUE($B311&amp;""))</f>
        <v/>
      </c>
      <c r="N311" s="39">
        <f>IF($A311="","",IFERROR(INDEX(부서매핑!$C$5:$C$504,MATCH($G311&amp;"",부서매핑!$A$5:$A$504,0)),"미매핑"))</f>
        <v/>
      </c>
      <c r="O311" s="9">
        <f>IF($A311="","",N311&amp;"|"&amp;$F311)</f>
        <v/>
      </c>
      <c r="P311" s="77">
        <f>IF($A311="",0,$H311*설정!$C$23)</f>
        <v/>
      </c>
      <c r="Q311" s="39">
        <f>IF($A311="","",IF(O311&lt;&gt;원인분석!$C$9,"",IF(AND(M311&gt;=원인분석!$C$10,M311&lt;=원인분석!$C$11),"당기",IF(AND(M311&gt;=원인분석!$C$12,M311&lt;=원인분석!$C$13),"비교",""))))</f>
        <v/>
      </c>
      <c r="R311" s="9">
        <f>IF(Q311="","",$K311&amp;"")</f>
        <v/>
      </c>
      <c r="S311" s="9">
        <f>IF(Q311="","",IF(MATCH(R311,$R$5:$R$100000,0)=ROW()-4,ROW(),""))</f>
        <v/>
      </c>
      <c r="T311" s="9">
        <f>IF(Q311="당기",ABS(P311)+ROW()/1000000000,"")</f>
        <v/>
      </c>
      <c r="U311" s="9">
        <f>IF(Q311="비교",ABS(P311)+ROW()/1000000000,"")</f>
        <v/>
      </c>
      <c r="V311" s="39">
        <f>IF($A311="","",IF(COUNTIF(변동분석!$E$7:$E$506,O311)&gt;0,"Y","N"))</f>
        <v/>
      </c>
      <c r="W311" s="39">
        <f>IF($A311="","",IFERROR(INDEX(계정매핑!$D$5:$D$504,MATCH($F311&amp;"",계정매핑!$A$5:$A$504,0)),"미매핑"))</f>
        <v/>
      </c>
      <c r="X311" s="9">
        <f>IF($A311="","",$F311&amp;"")</f>
        <v/>
      </c>
    </row>
    <row r="312">
      <c r="A312" s="75" t="n">
        <v>2025</v>
      </c>
      <c r="B312" s="75" t="n">
        <v>2</v>
      </c>
      <c r="C312" s="75" t="inlineStr">
        <is>
          <t>5100000308</t>
        </is>
      </c>
      <c r="D312" s="78" t="n">
        <v>45704</v>
      </c>
      <c r="E312" s="75" t="inlineStr">
        <is>
          <t>KR</t>
        </is>
      </c>
      <c r="F312" s="75" t="n">
        <v>62102000</v>
      </c>
      <c r="G312" s="75" t="n">
        <v>1401</v>
      </c>
      <c r="H312" s="76" t="n">
        <v>93000</v>
      </c>
      <c r="I312" s="75" t="inlineStr">
        <is>
          <t>2월 해외출장 - M항공</t>
        </is>
      </c>
      <c r="J312" s="75" t="inlineStr">
        <is>
          <t>V10001</t>
        </is>
      </c>
      <c r="K312" s="75" t="inlineStr">
        <is>
          <t>M항공</t>
        </is>
      </c>
      <c r="M312" s="9">
        <f>IF($A312="","",VALUE($A312&amp;"")*12+VALUE($B312&amp;""))</f>
        <v/>
      </c>
      <c r="N312" s="39">
        <f>IF($A312="","",IFERROR(INDEX(부서매핑!$C$5:$C$504,MATCH($G312&amp;"",부서매핑!$A$5:$A$504,0)),"미매핑"))</f>
        <v/>
      </c>
      <c r="O312" s="9">
        <f>IF($A312="","",N312&amp;"|"&amp;$F312)</f>
        <v/>
      </c>
      <c r="P312" s="77">
        <f>IF($A312="",0,$H312*설정!$C$23)</f>
        <v/>
      </c>
      <c r="Q312" s="39">
        <f>IF($A312="","",IF(O312&lt;&gt;원인분석!$C$9,"",IF(AND(M312&gt;=원인분석!$C$10,M312&lt;=원인분석!$C$11),"당기",IF(AND(M312&gt;=원인분석!$C$12,M312&lt;=원인분석!$C$13),"비교",""))))</f>
        <v/>
      </c>
      <c r="R312" s="9">
        <f>IF(Q312="","",$K312&amp;"")</f>
        <v/>
      </c>
      <c r="S312" s="9">
        <f>IF(Q312="","",IF(MATCH(R312,$R$5:$R$100000,0)=ROW()-4,ROW(),""))</f>
        <v/>
      </c>
      <c r="T312" s="9">
        <f>IF(Q312="당기",ABS(P312)+ROW()/1000000000,"")</f>
        <v/>
      </c>
      <c r="U312" s="9">
        <f>IF(Q312="비교",ABS(P312)+ROW()/1000000000,"")</f>
        <v/>
      </c>
      <c r="V312" s="39">
        <f>IF($A312="","",IF(COUNTIF(변동분석!$E$7:$E$506,O312)&gt;0,"Y","N"))</f>
        <v/>
      </c>
      <c r="W312" s="39">
        <f>IF($A312="","",IFERROR(INDEX(계정매핑!$D$5:$D$504,MATCH($F312&amp;"",계정매핑!$A$5:$A$504,0)),"미매핑"))</f>
        <v/>
      </c>
      <c r="X312" s="9">
        <f>IF($A312="","",$F312&amp;"")</f>
        <v/>
      </c>
    </row>
    <row r="313">
      <c r="A313" s="75" t="n">
        <v>2025</v>
      </c>
      <c r="B313" s="75" t="n">
        <v>2</v>
      </c>
      <c r="C313" s="75" t="inlineStr">
        <is>
          <t>5100000309</t>
        </is>
      </c>
      <c r="D313" s="78" t="n">
        <v>45704</v>
      </c>
      <c r="E313" s="75" t="inlineStr">
        <is>
          <t>KR</t>
        </is>
      </c>
      <c r="F313" s="75" t="n">
        <v>62102000</v>
      </c>
      <c r="G313" s="75" t="n">
        <v>1601</v>
      </c>
      <c r="H313" s="76" t="n">
        <v>314000</v>
      </c>
      <c r="I313" s="75" t="inlineStr">
        <is>
          <t>2월 해외출장 - N호텔</t>
        </is>
      </c>
      <c r="J313" s="75" t="inlineStr">
        <is>
          <t>V10007</t>
        </is>
      </c>
      <c r="K313" s="75" t="inlineStr">
        <is>
          <t>N호텔</t>
        </is>
      </c>
      <c r="M313" s="9">
        <f>IF($A313="","",VALUE($A313&amp;"")*12+VALUE($B313&amp;""))</f>
        <v/>
      </c>
      <c r="N313" s="39">
        <f>IF($A313="","",IFERROR(INDEX(부서매핑!$C$5:$C$504,MATCH($G313&amp;"",부서매핑!$A$5:$A$504,0)),"미매핑"))</f>
        <v/>
      </c>
      <c r="O313" s="9">
        <f>IF($A313="","",N313&amp;"|"&amp;$F313)</f>
        <v/>
      </c>
      <c r="P313" s="77">
        <f>IF($A313="",0,$H313*설정!$C$23)</f>
        <v/>
      </c>
      <c r="Q313" s="39">
        <f>IF($A313="","",IF(O313&lt;&gt;원인분석!$C$9,"",IF(AND(M313&gt;=원인분석!$C$10,M313&lt;=원인분석!$C$11),"당기",IF(AND(M313&gt;=원인분석!$C$12,M313&lt;=원인분석!$C$13),"비교",""))))</f>
        <v/>
      </c>
      <c r="R313" s="9">
        <f>IF(Q313="","",$K313&amp;"")</f>
        <v/>
      </c>
      <c r="S313" s="9">
        <f>IF(Q313="","",IF(MATCH(R313,$R$5:$R$100000,0)=ROW()-4,ROW(),""))</f>
        <v/>
      </c>
      <c r="T313" s="9">
        <f>IF(Q313="당기",ABS(P313)+ROW()/1000000000,"")</f>
        <v/>
      </c>
      <c r="U313" s="9">
        <f>IF(Q313="비교",ABS(P313)+ROW()/1000000000,"")</f>
        <v/>
      </c>
      <c r="V313" s="39">
        <f>IF($A313="","",IF(COUNTIF(변동분석!$E$7:$E$506,O313)&gt;0,"Y","N"))</f>
        <v/>
      </c>
      <c r="W313" s="39">
        <f>IF($A313="","",IFERROR(INDEX(계정매핑!$D$5:$D$504,MATCH($F313&amp;"",계정매핑!$A$5:$A$504,0)),"미매핑"))</f>
        <v/>
      </c>
      <c r="X313" s="9">
        <f>IF($A313="","",$F313&amp;"")</f>
        <v/>
      </c>
    </row>
    <row r="314">
      <c r="A314" s="75" t="n">
        <v>2025</v>
      </c>
      <c r="B314" s="75" t="n">
        <v>2</v>
      </c>
      <c r="C314" s="75" t="inlineStr">
        <is>
          <t>5100000310</t>
        </is>
      </c>
      <c r="D314" s="78" t="n">
        <v>45704</v>
      </c>
      <c r="E314" s="75" t="inlineStr">
        <is>
          <t>KR</t>
        </is>
      </c>
      <c r="F314" s="75" t="n">
        <v>62201000</v>
      </c>
      <c r="G314" s="75" t="n">
        <v>1301</v>
      </c>
      <c r="H314" s="76" t="n">
        <v>198000</v>
      </c>
      <c r="I314" s="75" t="inlineStr">
        <is>
          <t>2월 통신요금 - O텔레콤</t>
        </is>
      </c>
      <c r="J314" s="75" t="inlineStr">
        <is>
          <t>V10002</t>
        </is>
      </c>
      <c r="K314" s="75" t="inlineStr">
        <is>
          <t>O텔레콤</t>
        </is>
      </c>
      <c r="M314" s="9">
        <f>IF($A314="","",VALUE($A314&amp;"")*12+VALUE($B314&amp;""))</f>
        <v/>
      </c>
      <c r="N314" s="39">
        <f>IF($A314="","",IFERROR(INDEX(부서매핑!$C$5:$C$504,MATCH($G314&amp;"",부서매핑!$A$5:$A$504,0)),"미매핑"))</f>
        <v/>
      </c>
      <c r="O314" s="9">
        <f>IF($A314="","",N314&amp;"|"&amp;$F314)</f>
        <v/>
      </c>
      <c r="P314" s="77">
        <f>IF($A314="",0,$H314*설정!$C$23)</f>
        <v/>
      </c>
      <c r="Q314" s="39">
        <f>IF($A314="","",IF(O314&lt;&gt;원인분석!$C$9,"",IF(AND(M314&gt;=원인분석!$C$10,M314&lt;=원인분석!$C$11),"당기",IF(AND(M314&gt;=원인분석!$C$12,M314&lt;=원인분석!$C$13),"비교",""))))</f>
        <v/>
      </c>
      <c r="R314" s="9">
        <f>IF(Q314="","",$K314&amp;"")</f>
        <v/>
      </c>
      <c r="S314" s="9">
        <f>IF(Q314="","",IF(MATCH(R314,$R$5:$R$100000,0)=ROW()-4,ROW(),""))</f>
        <v/>
      </c>
      <c r="T314" s="9">
        <f>IF(Q314="당기",ABS(P314)+ROW()/1000000000,"")</f>
        <v/>
      </c>
      <c r="U314" s="9">
        <f>IF(Q314="비교",ABS(P314)+ROW()/1000000000,"")</f>
        <v/>
      </c>
      <c r="V314" s="39">
        <f>IF($A314="","",IF(COUNTIF(변동분석!$E$7:$E$506,O314)&gt;0,"Y","N"))</f>
        <v/>
      </c>
      <c r="W314" s="39">
        <f>IF($A314="","",IFERROR(INDEX(계정매핑!$D$5:$D$504,MATCH($F314&amp;"",계정매핑!$A$5:$A$504,0)),"미매핑"))</f>
        <v/>
      </c>
      <c r="X314" s="9">
        <f>IF($A314="","",$F314&amp;"")</f>
        <v/>
      </c>
    </row>
    <row r="315">
      <c r="A315" s="75" t="n">
        <v>2025</v>
      </c>
      <c r="B315" s="75" t="n">
        <v>2</v>
      </c>
      <c r="C315" s="75" t="inlineStr">
        <is>
          <t>5100000311</t>
        </is>
      </c>
      <c r="D315" s="78" t="n">
        <v>45704</v>
      </c>
      <c r="E315" s="75" t="inlineStr">
        <is>
          <t>KR</t>
        </is>
      </c>
      <c r="F315" s="75" t="n">
        <v>62501000</v>
      </c>
      <c r="G315" s="75" t="n">
        <v>1501</v>
      </c>
      <c r="H315" s="76" t="n">
        <v>259000</v>
      </c>
      <c r="I315" s="75" t="inlineStr">
        <is>
          <t>2월 회의 다과 - T케이터링</t>
        </is>
      </c>
      <c r="J315" s="75" t="inlineStr">
        <is>
          <t>V10005</t>
        </is>
      </c>
      <c r="K315" s="75" t="inlineStr">
        <is>
          <t>T케이터링</t>
        </is>
      </c>
      <c r="M315" s="9">
        <f>IF($A315="","",VALUE($A315&amp;"")*12+VALUE($B315&amp;""))</f>
        <v/>
      </c>
      <c r="N315" s="39">
        <f>IF($A315="","",IFERROR(INDEX(부서매핑!$C$5:$C$504,MATCH($G315&amp;"",부서매핑!$A$5:$A$504,0)),"미매핑"))</f>
        <v/>
      </c>
      <c r="O315" s="9">
        <f>IF($A315="","",N315&amp;"|"&amp;$F315)</f>
        <v/>
      </c>
      <c r="P315" s="77">
        <f>IF($A315="",0,$H315*설정!$C$23)</f>
        <v/>
      </c>
      <c r="Q315" s="39">
        <f>IF($A315="","",IF(O315&lt;&gt;원인분석!$C$9,"",IF(AND(M315&gt;=원인분석!$C$10,M315&lt;=원인분석!$C$11),"당기",IF(AND(M315&gt;=원인분석!$C$12,M315&lt;=원인분석!$C$13),"비교",""))))</f>
        <v/>
      </c>
      <c r="R315" s="9">
        <f>IF(Q315="","",$K315&amp;"")</f>
        <v/>
      </c>
      <c r="S315" s="9">
        <f>IF(Q315="","",IF(MATCH(R315,$R$5:$R$100000,0)=ROW()-4,ROW(),""))</f>
        <v/>
      </c>
      <c r="T315" s="9">
        <f>IF(Q315="당기",ABS(P315)+ROW()/1000000000,"")</f>
        <v/>
      </c>
      <c r="U315" s="9">
        <f>IF(Q315="비교",ABS(P315)+ROW()/1000000000,"")</f>
        <v/>
      </c>
      <c r="V315" s="39">
        <f>IF($A315="","",IF(COUNTIF(변동분석!$E$7:$E$506,O315)&gt;0,"Y","N"))</f>
        <v/>
      </c>
      <c r="W315" s="39">
        <f>IF($A315="","",IFERROR(INDEX(계정매핑!$D$5:$D$504,MATCH($F315&amp;"",계정매핑!$A$5:$A$504,0)),"미매핑"))</f>
        <v/>
      </c>
      <c r="X315" s="9">
        <f>IF($A315="","",$F315&amp;"")</f>
        <v/>
      </c>
    </row>
    <row r="316">
      <c r="A316" s="75" t="n">
        <v>2025</v>
      </c>
      <c r="B316" s="75" t="n">
        <v>2</v>
      </c>
      <c r="C316" s="75" t="inlineStr">
        <is>
          <t>5100000312</t>
        </is>
      </c>
      <c r="D316" s="78" t="n">
        <v>45704</v>
      </c>
      <c r="E316" s="75" t="inlineStr">
        <is>
          <t>KR</t>
        </is>
      </c>
      <c r="F316" s="75" t="n">
        <v>62501000</v>
      </c>
      <c r="G316" s="75" t="n">
        <v>1801</v>
      </c>
      <c r="H316" s="76" t="n">
        <v>188000</v>
      </c>
      <c r="I316" s="75" t="inlineStr">
        <is>
          <t>2월 회의 다과 - T케이터링</t>
        </is>
      </c>
      <c r="J316" s="75" t="inlineStr">
        <is>
          <t>V10005</t>
        </is>
      </c>
      <c r="K316" s="75" t="inlineStr">
        <is>
          <t>T케이터링</t>
        </is>
      </c>
      <c r="M316" s="9">
        <f>IF($A316="","",VALUE($A316&amp;"")*12+VALUE($B316&amp;""))</f>
        <v/>
      </c>
      <c r="N316" s="39">
        <f>IF($A316="","",IFERROR(INDEX(부서매핑!$C$5:$C$504,MATCH($G316&amp;"",부서매핑!$A$5:$A$504,0)),"미매핑"))</f>
        <v/>
      </c>
      <c r="O316" s="9">
        <f>IF($A316="","",N316&amp;"|"&amp;$F316)</f>
        <v/>
      </c>
      <c r="P316" s="77">
        <f>IF($A316="",0,$H316*설정!$C$23)</f>
        <v/>
      </c>
      <c r="Q316" s="39">
        <f>IF($A316="","",IF(O316&lt;&gt;원인분석!$C$9,"",IF(AND(M316&gt;=원인분석!$C$10,M316&lt;=원인분석!$C$11),"당기",IF(AND(M316&gt;=원인분석!$C$12,M316&lt;=원인분석!$C$13),"비교",""))))</f>
        <v/>
      </c>
      <c r="R316" s="9">
        <f>IF(Q316="","",$K316&amp;"")</f>
        <v/>
      </c>
      <c r="S316" s="9">
        <f>IF(Q316="","",IF(MATCH(R316,$R$5:$R$100000,0)=ROW()-4,ROW(),""))</f>
        <v/>
      </c>
      <c r="T316" s="9">
        <f>IF(Q316="당기",ABS(P316)+ROW()/1000000000,"")</f>
        <v/>
      </c>
      <c r="U316" s="9">
        <f>IF(Q316="비교",ABS(P316)+ROW()/1000000000,"")</f>
        <v/>
      </c>
      <c r="V316" s="39">
        <f>IF($A316="","",IF(COUNTIF(변동분석!$E$7:$E$506,O316)&gt;0,"Y","N"))</f>
        <v/>
      </c>
      <c r="W316" s="39">
        <f>IF($A316="","",IFERROR(INDEX(계정매핑!$D$5:$D$504,MATCH($F316&amp;"",계정매핑!$A$5:$A$504,0)),"미매핑"))</f>
        <v/>
      </c>
      <c r="X316" s="9">
        <f>IF($A316="","",$F316&amp;"")</f>
        <v/>
      </c>
    </row>
    <row r="317">
      <c r="A317" s="75" t="n">
        <v>2025</v>
      </c>
      <c r="B317" s="75" t="n">
        <v>2</v>
      </c>
      <c r="C317" s="75" t="inlineStr">
        <is>
          <t>5100000313</t>
        </is>
      </c>
      <c r="D317" s="78" t="n">
        <v>45704</v>
      </c>
      <c r="E317" s="75" t="inlineStr">
        <is>
          <t>KR</t>
        </is>
      </c>
      <c r="F317" s="75" t="n">
        <v>62802000</v>
      </c>
      <c r="G317" s="75" t="n">
        <v>1301</v>
      </c>
      <c r="H317" s="76" t="n">
        <v>7861000</v>
      </c>
      <c r="I317" s="75" t="inlineStr">
        <is>
          <t>2월 위탁교육 - V아카데미</t>
        </is>
      </c>
      <c r="J317" s="75" t="inlineStr">
        <is>
          <t>V10023</t>
        </is>
      </c>
      <c r="K317" s="75" t="inlineStr">
        <is>
          <t>V아카데미</t>
        </is>
      </c>
      <c r="M317" s="9">
        <f>IF($A317="","",VALUE($A317&amp;"")*12+VALUE($B317&amp;""))</f>
        <v/>
      </c>
      <c r="N317" s="39">
        <f>IF($A317="","",IFERROR(INDEX(부서매핑!$C$5:$C$504,MATCH($G317&amp;"",부서매핑!$A$5:$A$504,0)),"미매핑"))</f>
        <v/>
      </c>
      <c r="O317" s="9">
        <f>IF($A317="","",N317&amp;"|"&amp;$F317)</f>
        <v/>
      </c>
      <c r="P317" s="77">
        <f>IF($A317="",0,$H317*설정!$C$23)</f>
        <v/>
      </c>
      <c r="Q317" s="39">
        <f>IF($A317="","",IF(O317&lt;&gt;원인분석!$C$9,"",IF(AND(M317&gt;=원인분석!$C$10,M317&lt;=원인분석!$C$11),"당기",IF(AND(M317&gt;=원인분석!$C$12,M317&lt;=원인분석!$C$13),"비교",""))))</f>
        <v/>
      </c>
      <c r="R317" s="9">
        <f>IF(Q317="","",$K317&amp;"")</f>
        <v/>
      </c>
      <c r="S317" s="9">
        <f>IF(Q317="","",IF(MATCH(R317,$R$5:$R$100000,0)=ROW()-4,ROW(),""))</f>
        <v/>
      </c>
      <c r="T317" s="9">
        <f>IF(Q317="당기",ABS(P317)+ROW()/1000000000,"")</f>
        <v/>
      </c>
      <c r="U317" s="9">
        <f>IF(Q317="비교",ABS(P317)+ROW()/1000000000,"")</f>
        <v/>
      </c>
      <c r="V317" s="39">
        <f>IF($A317="","",IF(COUNTIF(변동분석!$E$7:$E$506,O317)&gt;0,"Y","N"))</f>
        <v/>
      </c>
      <c r="W317" s="39">
        <f>IF($A317="","",IFERROR(INDEX(계정매핑!$D$5:$D$504,MATCH($F317&amp;"",계정매핑!$A$5:$A$504,0)),"미매핑"))</f>
        <v/>
      </c>
      <c r="X317" s="9">
        <f>IF($A317="","",$F317&amp;"")</f>
        <v/>
      </c>
    </row>
    <row r="318">
      <c r="A318" s="75" t="n">
        <v>2025</v>
      </c>
      <c r="B318" s="75" t="n">
        <v>2</v>
      </c>
      <c r="C318" s="75" t="inlineStr">
        <is>
          <t>5100000314</t>
        </is>
      </c>
      <c r="D318" s="78" t="n">
        <v>45704</v>
      </c>
      <c r="E318" s="75" t="inlineStr">
        <is>
          <t>KR</t>
        </is>
      </c>
      <c r="F318" s="75" t="n">
        <v>62901000</v>
      </c>
      <c r="G318" s="75" t="n">
        <v>1201</v>
      </c>
      <c r="H318" s="76" t="n">
        <v>3807000</v>
      </c>
      <c r="I318" s="75" t="inlineStr">
        <is>
          <t>2월 자문 수수료 - K회계법인</t>
        </is>
      </c>
      <c r="J318" s="75" t="inlineStr">
        <is>
          <t>V10010</t>
        </is>
      </c>
      <c r="K318" s="75" t="inlineStr">
        <is>
          <t>K회계법인</t>
        </is>
      </c>
      <c r="M318" s="9">
        <f>IF($A318="","",VALUE($A318&amp;"")*12+VALUE($B318&amp;""))</f>
        <v/>
      </c>
      <c r="N318" s="39">
        <f>IF($A318="","",IFERROR(INDEX(부서매핑!$C$5:$C$504,MATCH($G318&amp;"",부서매핑!$A$5:$A$504,0)),"미매핑"))</f>
        <v/>
      </c>
      <c r="O318" s="9">
        <f>IF($A318="","",N318&amp;"|"&amp;$F318)</f>
        <v/>
      </c>
      <c r="P318" s="77">
        <f>IF($A318="",0,$H318*설정!$C$23)</f>
        <v/>
      </c>
      <c r="Q318" s="39">
        <f>IF($A318="","",IF(O318&lt;&gt;원인분석!$C$9,"",IF(AND(M318&gt;=원인분석!$C$10,M318&lt;=원인분석!$C$11),"당기",IF(AND(M318&gt;=원인분석!$C$12,M318&lt;=원인분석!$C$13),"비교",""))))</f>
        <v/>
      </c>
      <c r="R318" s="9">
        <f>IF(Q318="","",$K318&amp;"")</f>
        <v/>
      </c>
      <c r="S318" s="9">
        <f>IF(Q318="","",IF(MATCH(R318,$R$5:$R$100000,0)=ROW()-4,ROW(),""))</f>
        <v/>
      </c>
      <c r="T318" s="9">
        <f>IF(Q318="당기",ABS(P318)+ROW()/1000000000,"")</f>
        <v/>
      </c>
      <c r="U318" s="9">
        <f>IF(Q318="비교",ABS(P318)+ROW()/1000000000,"")</f>
        <v/>
      </c>
      <c r="V318" s="39">
        <f>IF($A318="","",IF(COUNTIF(변동분석!$E$7:$E$506,O318)&gt;0,"Y","N"))</f>
        <v/>
      </c>
      <c r="W318" s="39">
        <f>IF($A318="","",IFERROR(INDEX(계정매핑!$D$5:$D$504,MATCH($F318&amp;"",계정매핑!$A$5:$A$504,0)),"미매핑"))</f>
        <v/>
      </c>
      <c r="X318" s="9">
        <f>IF($A318="","",$F318&amp;"")</f>
        <v/>
      </c>
    </row>
    <row r="319">
      <c r="A319" s="75" t="n">
        <v>2025</v>
      </c>
      <c r="B319" s="75" t="n">
        <v>2</v>
      </c>
      <c r="C319" s="75" t="inlineStr">
        <is>
          <t>5100000315</t>
        </is>
      </c>
      <c r="D319" s="78" t="n">
        <v>45704</v>
      </c>
      <c r="E319" s="75" t="inlineStr">
        <is>
          <t>KR</t>
        </is>
      </c>
      <c r="F319" s="75" t="n">
        <v>62901000</v>
      </c>
      <c r="G319" s="75" t="n">
        <v>1401</v>
      </c>
      <c r="H319" s="76" t="n">
        <v>5173000</v>
      </c>
      <c r="I319" s="75" t="inlineStr">
        <is>
          <t>2월 자문 수수료 - K회계법인</t>
        </is>
      </c>
      <c r="J319" s="75" t="inlineStr">
        <is>
          <t>V10010</t>
        </is>
      </c>
      <c r="K319" s="75" t="inlineStr">
        <is>
          <t>K회계법인</t>
        </is>
      </c>
      <c r="M319" s="9">
        <f>IF($A319="","",VALUE($A319&amp;"")*12+VALUE($B319&amp;""))</f>
        <v/>
      </c>
      <c r="N319" s="39">
        <f>IF($A319="","",IFERROR(INDEX(부서매핑!$C$5:$C$504,MATCH($G319&amp;"",부서매핑!$A$5:$A$504,0)),"미매핑"))</f>
        <v/>
      </c>
      <c r="O319" s="9">
        <f>IF($A319="","",N319&amp;"|"&amp;$F319)</f>
        <v/>
      </c>
      <c r="P319" s="77">
        <f>IF($A319="",0,$H319*설정!$C$23)</f>
        <v/>
      </c>
      <c r="Q319" s="39">
        <f>IF($A319="","",IF(O319&lt;&gt;원인분석!$C$9,"",IF(AND(M319&gt;=원인분석!$C$10,M319&lt;=원인분석!$C$11),"당기",IF(AND(M319&gt;=원인분석!$C$12,M319&lt;=원인분석!$C$13),"비교",""))))</f>
        <v/>
      </c>
      <c r="R319" s="9">
        <f>IF(Q319="","",$K319&amp;"")</f>
        <v/>
      </c>
      <c r="S319" s="9">
        <f>IF(Q319="","",IF(MATCH(R319,$R$5:$R$100000,0)=ROW()-4,ROW(),""))</f>
        <v/>
      </c>
      <c r="T319" s="9">
        <f>IF(Q319="당기",ABS(P319)+ROW()/1000000000,"")</f>
        <v/>
      </c>
      <c r="U319" s="9">
        <f>IF(Q319="비교",ABS(P319)+ROW()/1000000000,"")</f>
        <v/>
      </c>
      <c r="V319" s="39">
        <f>IF($A319="","",IF(COUNTIF(변동분석!$E$7:$E$506,O319)&gt;0,"Y","N"))</f>
        <v/>
      </c>
      <c r="W319" s="39">
        <f>IF($A319="","",IFERROR(INDEX(계정매핑!$D$5:$D$504,MATCH($F319&amp;"",계정매핑!$A$5:$A$504,0)),"미매핑"))</f>
        <v/>
      </c>
      <c r="X319" s="9">
        <f>IF($A319="","",$F319&amp;"")</f>
        <v/>
      </c>
    </row>
    <row r="320">
      <c r="A320" s="75" t="n">
        <v>2025</v>
      </c>
      <c r="B320" s="75" t="n">
        <v>2</v>
      </c>
      <c r="C320" s="75" t="inlineStr">
        <is>
          <t>5100000316</t>
        </is>
      </c>
      <c r="D320" s="78" t="n">
        <v>45705</v>
      </c>
      <c r="E320" s="75" t="inlineStr">
        <is>
          <t>KR</t>
        </is>
      </c>
      <c r="F320" s="75" t="n">
        <v>62101000</v>
      </c>
      <c r="G320" s="75" t="n">
        <v>1601</v>
      </c>
      <c r="H320" s="76" t="n">
        <v>1852000</v>
      </c>
      <c r="I320" s="75" t="inlineStr">
        <is>
          <t>2월 국내출장 - (법인카드)</t>
        </is>
      </c>
      <c r="J320" s="75" t="inlineStr">
        <is>
          <t>V10008</t>
        </is>
      </c>
      <c r="K320" s="75" t="inlineStr">
        <is>
          <t>(법인카드)</t>
        </is>
      </c>
      <c r="M320" s="9">
        <f>IF($A320="","",VALUE($A320&amp;"")*12+VALUE($B320&amp;""))</f>
        <v/>
      </c>
      <c r="N320" s="39">
        <f>IF($A320="","",IFERROR(INDEX(부서매핑!$C$5:$C$504,MATCH($G320&amp;"",부서매핑!$A$5:$A$504,0)),"미매핑"))</f>
        <v/>
      </c>
      <c r="O320" s="9">
        <f>IF($A320="","",N320&amp;"|"&amp;$F320)</f>
        <v/>
      </c>
      <c r="P320" s="77">
        <f>IF($A320="",0,$H320*설정!$C$23)</f>
        <v/>
      </c>
      <c r="Q320" s="39">
        <f>IF($A320="","",IF(O320&lt;&gt;원인분석!$C$9,"",IF(AND(M320&gt;=원인분석!$C$10,M320&lt;=원인분석!$C$11),"당기",IF(AND(M320&gt;=원인분석!$C$12,M320&lt;=원인분석!$C$13),"비교",""))))</f>
        <v/>
      </c>
      <c r="R320" s="9">
        <f>IF(Q320="","",$K320&amp;"")</f>
        <v/>
      </c>
      <c r="S320" s="9">
        <f>IF(Q320="","",IF(MATCH(R320,$R$5:$R$100000,0)=ROW()-4,ROW(),""))</f>
        <v/>
      </c>
      <c r="T320" s="9">
        <f>IF(Q320="당기",ABS(P320)+ROW()/1000000000,"")</f>
        <v/>
      </c>
      <c r="U320" s="9">
        <f>IF(Q320="비교",ABS(P320)+ROW()/1000000000,"")</f>
        <v/>
      </c>
      <c r="V320" s="39">
        <f>IF($A320="","",IF(COUNTIF(변동분석!$E$7:$E$506,O320)&gt;0,"Y","N"))</f>
        <v/>
      </c>
      <c r="W320" s="39">
        <f>IF($A320="","",IFERROR(INDEX(계정매핑!$D$5:$D$504,MATCH($F320&amp;"",계정매핑!$A$5:$A$504,0)),"미매핑"))</f>
        <v/>
      </c>
      <c r="X320" s="9">
        <f>IF($A320="","",$F320&amp;"")</f>
        <v/>
      </c>
    </row>
    <row r="321">
      <c r="A321" s="75" t="n">
        <v>2025</v>
      </c>
      <c r="B321" s="75" t="n">
        <v>2</v>
      </c>
      <c r="C321" s="75" t="inlineStr">
        <is>
          <t>5100000317</t>
        </is>
      </c>
      <c r="D321" s="78" t="n">
        <v>45705</v>
      </c>
      <c r="E321" s="75" t="inlineStr">
        <is>
          <t>KR</t>
        </is>
      </c>
      <c r="F321" s="75" t="n">
        <v>62102000</v>
      </c>
      <c r="G321" s="75" t="n">
        <v>1101</v>
      </c>
      <c r="H321" s="76" t="n">
        <v>149000</v>
      </c>
      <c r="I321" s="75" t="inlineStr">
        <is>
          <t>2월 해외출장 - N호텔</t>
        </is>
      </c>
      <c r="J321" s="75" t="inlineStr">
        <is>
          <t>V10007</t>
        </is>
      </c>
      <c r="K321" s="75" t="inlineStr">
        <is>
          <t>N호텔</t>
        </is>
      </c>
      <c r="M321" s="9">
        <f>IF($A321="","",VALUE($A321&amp;"")*12+VALUE($B321&amp;""))</f>
        <v/>
      </c>
      <c r="N321" s="39">
        <f>IF($A321="","",IFERROR(INDEX(부서매핑!$C$5:$C$504,MATCH($G321&amp;"",부서매핑!$A$5:$A$504,0)),"미매핑"))</f>
        <v/>
      </c>
      <c r="O321" s="9">
        <f>IF($A321="","",N321&amp;"|"&amp;$F321)</f>
        <v/>
      </c>
      <c r="P321" s="77">
        <f>IF($A321="",0,$H321*설정!$C$23)</f>
        <v/>
      </c>
      <c r="Q321" s="39">
        <f>IF($A321="","",IF(O321&lt;&gt;원인분석!$C$9,"",IF(AND(M321&gt;=원인분석!$C$10,M321&lt;=원인분석!$C$11),"당기",IF(AND(M321&gt;=원인분석!$C$12,M321&lt;=원인분석!$C$13),"비교",""))))</f>
        <v/>
      </c>
      <c r="R321" s="9">
        <f>IF(Q321="","",$K321&amp;"")</f>
        <v/>
      </c>
      <c r="S321" s="9">
        <f>IF(Q321="","",IF(MATCH(R321,$R$5:$R$100000,0)=ROW()-4,ROW(),""))</f>
        <v/>
      </c>
      <c r="T321" s="9">
        <f>IF(Q321="당기",ABS(P321)+ROW()/1000000000,"")</f>
        <v/>
      </c>
      <c r="U321" s="9">
        <f>IF(Q321="비교",ABS(P321)+ROW()/1000000000,"")</f>
        <v/>
      </c>
      <c r="V321" s="39">
        <f>IF($A321="","",IF(COUNTIF(변동분석!$E$7:$E$506,O321)&gt;0,"Y","N"))</f>
        <v/>
      </c>
      <c r="W321" s="39">
        <f>IF($A321="","",IFERROR(INDEX(계정매핑!$D$5:$D$504,MATCH($F321&amp;"",계정매핑!$A$5:$A$504,0)),"미매핑"))</f>
        <v/>
      </c>
      <c r="X321" s="9">
        <f>IF($A321="","",$F321&amp;"")</f>
        <v/>
      </c>
    </row>
    <row r="322">
      <c r="A322" s="75" t="n">
        <v>2025</v>
      </c>
      <c r="B322" s="75" t="n">
        <v>2</v>
      </c>
      <c r="C322" s="75" t="inlineStr">
        <is>
          <t>5100000318</t>
        </is>
      </c>
      <c r="D322" s="78" t="n">
        <v>45705</v>
      </c>
      <c r="E322" s="75" t="inlineStr">
        <is>
          <t>KR</t>
        </is>
      </c>
      <c r="F322" s="75" t="n">
        <v>62102000</v>
      </c>
      <c r="G322" s="75" t="n">
        <v>1801</v>
      </c>
      <c r="H322" s="76" t="n">
        <v>52000</v>
      </c>
      <c r="I322" s="75" t="inlineStr">
        <is>
          <t>2월 해외출장 - N호텔</t>
        </is>
      </c>
      <c r="J322" s="75" t="inlineStr">
        <is>
          <t>V10007</t>
        </is>
      </c>
      <c r="K322" s="75" t="inlineStr">
        <is>
          <t>N호텔</t>
        </is>
      </c>
      <c r="M322" s="9">
        <f>IF($A322="","",VALUE($A322&amp;"")*12+VALUE($B322&amp;""))</f>
        <v/>
      </c>
      <c r="N322" s="39">
        <f>IF($A322="","",IFERROR(INDEX(부서매핑!$C$5:$C$504,MATCH($G322&amp;"",부서매핑!$A$5:$A$504,0)),"미매핑"))</f>
        <v/>
      </c>
      <c r="O322" s="9">
        <f>IF($A322="","",N322&amp;"|"&amp;$F322)</f>
        <v/>
      </c>
      <c r="P322" s="77">
        <f>IF($A322="",0,$H322*설정!$C$23)</f>
        <v/>
      </c>
      <c r="Q322" s="39">
        <f>IF($A322="","",IF(O322&lt;&gt;원인분석!$C$9,"",IF(AND(M322&gt;=원인분석!$C$10,M322&lt;=원인분석!$C$11),"당기",IF(AND(M322&gt;=원인분석!$C$12,M322&lt;=원인분석!$C$13),"비교",""))))</f>
        <v/>
      </c>
      <c r="R322" s="9">
        <f>IF(Q322="","",$K322&amp;"")</f>
        <v/>
      </c>
      <c r="S322" s="9">
        <f>IF(Q322="","",IF(MATCH(R322,$R$5:$R$100000,0)=ROW()-4,ROW(),""))</f>
        <v/>
      </c>
      <c r="T322" s="9">
        <f>IF(Q322="당기",ABS(P322)+ROW()/1000000000,"")</f>
        <v/>
      </c>
      <c r="U322" s="9">
        <f>IF(Q322="비교",ABS(P322)+ROW()/1000000000,"")</f>
        <v/>
      </c>
      <c r="V322" s="39">
        <f>IF($A322="","",IF(COUNTIF(변동분석!$E$7:$E$506,O322)&gt;0,"Y","N"))</f>
        <v/>
      </c>
      <c r="W322" s="39">
        <f>IF($A322="","",IFERROR(INDEX(계정매핑!$D$5:$D$504,MATCH($F322&amp;"",계정매핑!$A$5:$A$504,0)),"미매핑"))</f>
        <v/>
      </c>
      <c r="X322" s="9">
        <f>IF($A322="","",$F322&amp;"")</f>
        <v/>
      </c>
    </row>
    <row r="323">
      <c r="A323" s="75" t="n">
        <v>2025</v>
      </c>
      <c r="B323" s="75" t="n">
        <v>2</v>
      </c>
      <c r="C323" s="75" t="inlineStr">
        <is>
          <t>5100000319</t>
        </is>
      </c>
      <c r="D323" s="78" t="n">
        <v>45705</v>
      </c>
      <c r="E323" s="75" t="inlineStr">
        <is>
          <t>KR</t>
        </is>
      </c>
      <c r="F323" s="75" t="n">
        <v>62301000</v>
      </c>
      <c r="G323" s="75" t="n">
        <v>1301</v>
      </c>
      <c r="H323" s="76" t="n">
        <v>306000</v>
      </c>
      <c r="I323" s="75" t="inlineStr">
        <is>
          <t>2월 소모품 구입 - R문구</t>
        </is>
      </c>
      <c r="J323" s="75" t="inlineStr">
        <is>
          <t>V10018</t>
        </is>
      </c>
      <c r="K323" s="75" t="inlineStr">
        <is>
          <t>R문구</t>
        </is>
      </c>
      <c r="M323" s="9">
        <f>IF($A323="","",VALUE($A323&amp;"")*12+VALUE($B323&amp;""))</f>
        <v/>
      </c>
      <c r="N323" s="39">
        <f>IF($A323="","",IFERROR(INDEX(부서매핑!$C$5:$C$504,MATCH($G323&amp;"",부서매핑!$A$5:$A$504,0)),"미매핑"))</f>
        <v/>
      </c>
      <c r="O323" s="9">
        <f>IF($A323="","",N323&amp;"|"&amp;$F323)</f>
        <v/>
      </c>
      <c r="P323" s="77">
        <f>IF($A323="",0,$H323*설정!$C$23)</f>
        <v/>
      </c>
      <c r="Q323" s="39">
        <f>IF($A323="","",IF(O323&lt;&gt;원인분석!$C$9,"",IF(AND(M323&gt;=원인분석!$C$10,M323&lt;=원인분석!$C$11),"당기",IF(AND(M323&gt;=원인분석!$C$12,M323&lt;=원인분석!$C$13),"비교",""))))</f>
        <v/>
      </c>
      <c r="R323" s="9">
        <f>IF(Q323="","",$K323&amp;"")</f>
        <v/>
      </c>
      <c r="S323" s="9">
        <f>IF(Q323="","",IF(MATCH(R323,$R$5:$R$100000,0)=ROW()-4,ROW(),""))</f>
        <v/>
      </c>
      <c r="T323" s="9">
        <f>IF(Q323="당기",ABS(P323)+ROW()/1000000000,"")</f>
        <v/>
      </c>
      <c r="U323" s="9">
        <f>IF(Q323="비교",ABS(P323)+ROW()/1000000000,"")</f>
        <v/>
      </c>
      <c r="V323" s="39">
        <f>IF($A323="","",IF(COUNTIF(변동분석!$E$7:$E$506,O323)&gt;0,"Y","N"))</f>
        <v/>
      </c>
      <c r="W323" s="39">
        <f>IF($A323="","",IFERROR(INDEX(계정매핑!$D$5:$D$504,MATCH($F323&amp;"",계정매핑!$A$5:$A$504,0)),"미매핑"))</f>
        <v/>
      </c>
      <c r="X323" s="9">
        <f>IF($A323="","",$F323&amp;"")</f>
        <v/>
      </c>
    </row>
    <row r="324">
      <c r="A324" s="75" t="n">
        <v>2025</v>
      </c>
      <c r="B324" s="75" t="n">
        <v>2</v>
      </c>
      <c r="C324" s="75" t="inlineStr">
        <is>
          <t>5100000320</t>
        </is>
      </c>
      <c r="D324" s="78" t="n">
        <v>45705</v>
      </c>
      <c r="E324" s="75" t="inlineStr">
        <is>
          <t>KR</t>
        </is>
      </c>
      <c r="F324" s="75" t="n">
        <v>62301000</v>
      </c>
      <c r="G324" s="75" t="n">
        <v>1701</v>
      </c>
      <c r="H324" s="76" t="n">
        <v>340000</v>
      </c>
      <c r="I324" s="75" t="inlineStr">
        <is>
          <t>2월 소모품 구입 - Q오피스</t>
        </is>
      </c>
      <c r="J324" s="75" t="inlineStr">
        <is>
          <t>V10003</t>
        </is>
      </c>
      <c r="K324" s="75" t="inlineStr">
        <is>
          <t>Q오피스</t>
        </is>
      </c>
      <c r="M324" s="9">
        <f>IF($A324="","",VALUE($A324&amp;"")*12+VALUE($B324&amp;""))</f>
        <v/>
      </c>
      <c r="N324" s="39">
        <f>IF($A324="","",IFERROR(INDEX(부서매핑!$C$5:$C$504,MATCH($G324&amp;"",부서매핑!$A$5:$A$504,0)),"미매핑"))</f>
        <v/>
      </c>
      <c r="O324" s="9">
        <f>IF($A324="","",N324&amp;"|"&amp;$F324)</f>
        <v/>
      </c>
      <c r="P324" s="77">
        <f>IF($A324="",0,$H324*설정!$C$23)</f>
        <v/>
      </c>
      <c r="Q324" s="39">
        <f>IF($A324="","",IF(O324&lt;&gt;원인분석!$C$9,"",IF(AND(M324&gt;=원인분석!$C$10,M324&lt;=원인분석!$C$11),"당기",IF(AND(M324&gt;=원인분석!$C$12,M324&lt;=원인분석!$C$13),"비교",""))))</f>
        <v/>
      </c>
      <c r="R324" s="9">
        <f>IF(Q324="","",$K324&amp;"")</f>
        <v/>
      </c>
      <c r="S324" s="9">
        <f>IF(Q324="","",IF(MATCH(R324,$R$5:$R$100000,0)=ROW()-4,ROW(),""))</f>
        <v/>
      </c>
      <c r="T324" s="9">
        <f>IF(Q324="당기",ABS(P324)+ROW()/1000000000,"")</f>
        <v/>
      </c>
      <c r="U324" s="9">
        <f>IF(Q324="비교",ABS(P324)+ROW()/1000000000,"")</f>
        <v/>
      </c>
      <c r="V324" s="39">
        <f>IF($A324="","",IF(COUNTIF(변동분석!$E$7:$E$506,O324)&gt;0,"Y","N"))</f>
        <v/>
      </c>
      <c r="W324" s="39">
        <f>IF($A324="","",IFERROR(INDEX(계정매핑!$D$5:$D$504,MATCH($F324&amp;"",계정매핑!$A$5:$A$504,0)),"미매핑"))</f>
        <v/>
      </c>
      <c r="X324" s="9">
        <f>IF($A324="","",$F324&amp;"")</f>
        <v/>
      </c>
    </row>
    <row r="325">
      <c r="A325" s="75" t="n">
        <v>2025</v>
      </c>
      <c r="B325" s="75" t="n">
        <v>2</v>
      </c>
      <c r="C325" s="75" t="inlineStr">
        <is>
          <t>5100000321</t>
        </is>
      </c>
      <c r="D325" s="78" t="n">
        <v>45705</v>
      </c>
      <c r="E325" s="75" t="inlineStr">
        <is>
          <t>KR</t>
        </is>
      </c>
      <c r="F325" s="75" t="n">
        <v>62401000</v>
      </c>
      <c r="G325" s="75" t="n">
        <v>1502</v>
      </c>
      <c r="H325" s="76" t="n">
        <v>1510000</v>
      </c>
      <c r="I325" s="75" t="inlineStr">
        <is>
          <t>2월 인쇄물 제작 - S출판</t>
        </is>
      </c>
      <c r="J325" s="75" t="inlineStr">
        <is>
          <t>V10012</t>
        </is>
      </c>
      <c r="K325" s="75" t="inlineStr">
        <is>
          <t>S출판</t>
        </is>
      </c>
      <c r="M325" s="9">
        <f>IF($A325="","",VALUE($A325&amp;"")*12+VALUE($B325&amp;""))</f>
        <v/>
      </c>
      <c r="N325" s="39">
        <f>IF($A325="","",IFERROR(INDEX(부서매핑!$C$5:$C$504,MATCH($G325&amp;"",부서매핑!$A$5:$A$504,0)),"미매핑"))</f>
        <v/>
      </c>
      <c r="O325" s="9">
        <f>IF($A325="","",N325&amp;"|"&amp;$F325)</f>
        <v/>
      </c>
      <c r="P325" s="77">
        <f>IF($A325="",0,$H325*설정!$C$23)</f>
        <v/>
      </c>
      <c r="Q325" s="39">
        <f>IF($A325="","",IF(O325&lt;&gt;원인분석!$C$9,"",IF(AND(M325&gt;=원인분석!$C$10,M325&lt;=원인분석!$C$11),"당기",IF(AND(M325&gt;=원인분석!$C$12,M325&lt;=원인분석!$C$13),"비교",""))))</f>
        <v/>
      </c>
      <c r="R325" s="9">
        <f>IF(Q325="","",$K325&amp;"")</f>
        <v/>
      </c>
      <c r="S325" s="9">
        <f>IF(Q325="","",IF(MATCH(R325,$R$5:$R$100000,0)=ROW()-4,ROW(),""))</f>
        <v/>
      </c>
      <c r="T325" s="9">
        <f>IF(Q325="당기",ABS(P325)+ROW()/1000000000,"")</f>
        <v/>
      </c>
      <c r="U325" s="9">
        <f>IF(Q325="비교",ABS(P325)+ROW()/1000000000,"")</f>
        <v/>
      </c>
      <c r="V325" s="39">
        <f>IF($A325="","",IF(COUNTIF(변동분석!$E$7:$E$506,O325)&gt;0,"Y","N"))</f>
        <v/>
      </c>
      <c r="W325" s="39">
        <f>IF($A325="","",IFERROR(INDEX(계정매핑!$D$5:$D$504,MATCH($F325&amp;"",계정매핑!$A$5:$A$504,0)),"미매핑"))</f>
        <v/>
      </c>
      <c r="X325" s="9">
        <f>IF($A325="","",$F325&amp;"")</f>
        <v/>
      </c>
    </row>
    <row r="326">
      <c r="A326" s="75" t="n">
        <v>2025</v>
      </c>
      <c r="B326" s="75" t="n">
        <v>2</v>
      </c>
      <c r="C326" s="75" t="inlineStr">
        <is>
          <t>5100000322</t>
        </is>
      </c>
      <c r="D326" s="78" t="n">
        <v>45705</v>
      </c>
      <c r="E326" s="75" t="inlineStr">
        <is>
          <t>KR</t>
        </is>
      </c>
      <c r="F326" s="75" t="n">
        <v>62501000</v>
      </c>
      <c r="G326" s="75" t="n">
        <v>1101</v>
      </c>
      <c r="H326" s="76" t="n">
        <v>286000</v>
      </c>
      <c r="I326" s="75" t="inlineStr">
        <is>
          <t>2월 회의 다과 - T케이터링</t>
        </is>
      </c>
      <c r="J326" s="75" t="inlineStr">
        <is>
          <t>V10005</t>
        </is>
      </c>
      <c r="K326" s="75" t="inlineStr">
        <is>
          <t>T케이터링</t>
        </is>
      </c>
      <c r="M326" s="9">
        <f>IF($A326="","",VALUE($A326&amp;"")*12+VALUE($B326&amp;""))</f>
        <v/>
      </c>
      <c r="N326" s="39">
        <f>IF($A326="","",IFERROR(INDEX(부서매핑!$C$5:$C$504,MATCH($G326&amp;"",부서매핑!$A$5:$A$504,0)),"미매핑"))</f>
        <v/>
      </c>
      <c r="O326" s="9">
        <f>IF($A326="","",N326&amp;"|"&amp;$F326)</f>
        <v/>
      </c>
      <c r="P326" s="77">
        <f>IF($A326="",0,$H326*설정!$C$23)</f>
        <v/>
      </c>
      <c r="Q326" s="39">
        <f>IF($A326="","",IF(O326&lt;&gt;원인분석!$C$9,"",IF(AND(M326&gt;=원인분석!$C$10,M326&lt;=원인분석!$C$11),"당기",IF(AND(M326&gt;=원인분석!$C$12,M326&lt;=원인분석!$C$13),"비교",""))))</f>
        <v/>
      </c>
      <c r="R326" s="9">
        <f>IF(Q326="","",$K326&amp;"")</f>
        <v/>
      </c>
      <c r="S326" s="9">
        <f>IF(Q326="","",IF(MATCH(R326,$R$5:$R$100000,0)=ROW()-4,ROW(),""))</f>
        <v/>
      </c>
      <c r="T326" s="9">
        <f>IF(Q326="당기",ABS(P326)+ROW()/1000000000,"")</f>
        <v/>
      </c>
      <c r="U326" s="9">
        <f>IF(Q326="비교",ABS(P326)+ROW()/1000000000,"")</f>
        <v/>
      </c>
      <c r="V326" s="39">
        <f>IF($A326="","",IF(COUNTIF(변동분석!$E$7:$E$506,O326)&gt;0,"Y","N"))</f>
        <v/>
      </c>
      <c r="W326" s="39">
        <f>IF($A326="","",IFERROR(INDEX(계정매핑!$D$5:$D$504,MATCH($F326&amp;"",계정매핑!$A$5:$A$504,0)),"미매핑"))</f>
        <v/>
      </c>
      <c r="X326" s="9">
        <f>IF($A326="","",$F326&amp;"")</f>
        <v/>
      </c>
    </row>
    <row r="327">
      <c r="A327" s="75" t="n">
        <v>2025</v>
      </c>
      <c r="B327" s="75" t="n">
        <v>2</v>
      </c>
      <c r="C327" s="75" t="inlineStr">
        <is>
          <t>5100000323</t>
        </is>
      </c>
      <c r="D327" s="78" t="n">
        <v>45705</v>
      </c>
      <c r="E327" s="75" t="inlineStr">
        <is>
          <t>KR</t>
        </is>
      </c>
      <c r="F327" s="75" t="n">
        <v>62901000</v>
      </c>
      <c r="G327" s="75" t="n">
        <v>1101</v>
      </c>
      <c r="H327" s="76" t="n">
        <v>2959000</v>
      </c>
      <c r="I327" s="75" t="inlineStr">
        <is>
          <t>2월 자문 수수료 - W컨설팅</t>
        </is>
      </c>
      <c r="J327" s="75" t="inlineStr">
        <is>
          <t>V10009</t>
        </is>
      </c>
      <c r="K327" s="75" t="inlineStr">
        <is>
          <t>W컨설팅</t>
        </is>
      </c>
      <c r="M327" s="9">
        <f>IF($A327="","",VALUE($A327&amp;"")*12+VALUE($B327&amp;""))</f>
        <v/>
      </c>
      <c r="N327" s="39">
        <f>IF($A327="","",IFERROR(INDEX(부서매핑!$C$5:$C$504,MATCH($G327&amp;"",부서매핑!$A$5:$A$504,0)),"미매핑"))</f>
        <v/>
      </c>
      <c r="O327" s="9">
        <f>IF($A327="","",N327&amp;"|"&amp;$F327)</f>
        <v/>
      </c>
      <c r="P327" s="77">
        <f>IF($A327="",0,$H327*설정!$C$23)</f>
        <v/>
      </c>
      <c r="Q327" s="39">
        <f>IF($A327="","",IF(O327&lt;&gt;원인분석!$C$9,"",IF(AND(M327&gt;=원인분석!$C$10,M327&lt;=원인분석!$C$11),"당기",IF(AND(M327&gt;=원인분석!$C$12,M327&lt;=원인분석!$C$13),"비교",""))))</f>
        <v/>
      </c>
      <c r="R327" s="9">
        <f>IF(Q327="","",$K327&amp;"")</f>
        <v/>
      </c>
      <c r="S327" s="9">
        <f>IF(Q327="","",IF(MATCH(R327,$R$5:$R$100000,0)=ROW()-4,ROW(),""))</f>
        <v/>
      </c>
      <c r="T327" s="9">
        <f>IF(Q327="당기",ABS(P327)+ROW()/1000000000,"")</f>
        <v/>
      </c>
      <c r="U327" s="9">
        <f>IF(Q327="비교",ABS(P327)+ROW()/1000000000,"")</f>
        <v/>
      </c>
      <c r="V327" s="39">
        <f>IF($A327="","",IF(COUNTIF(변동분석!$E$7:$E$506,O327)&gt;0,"Y","N"))</f>
        <v/>
      </c>
      <c r="W327" s="39">
        <f>IF($A327="","",IFERROR(INDEX(계정매핑!$D$5:$D$504,MATCH($F327&amp;"",계정매핑!$A$5:$A$504,0)),"미매핑"))</f>
        <v/>
      </c>
      <c r="X327" s="9">
        <f>IF($A327="","",$F327&amp;"")</f>
        <v/>
      </c>
    </row>
    <row r="328">
      <c r="A328" s="75" t="n">
        <v>2025</v>
      </c>
      <c r="B328" s="75" t="n">
        <v>2</v>
      </c>
      <c r="C328" s="75" t="inlineStr">
        <is>
          <t>5100000324</t>
        </is>
      </c>
      <c r="D328" s="78" t="n">
        <v>45705</v>
      </c>
      <c r="E328" s="75" t="inlineStr">
        <is>
          <t>KR</t>
        </is>
      </c>
      <c r="F328" s="75" t="n">
        <v>62902000</v>
      </c>
      <c r="G328" s="75" t="n">
        <v>1801</v>
      </c>
      <c r="H328" s="76" t="n">
        <v>3000000</v>
      </c>
      <c r="I328" s="75" t="inlineStr">
        <is>
          <t>2월 업무 위탁 수수료 - X서비스</t>
        </is>
      </c>
      <c r="J328" s="75" t="inlineStr">
        <is>
          <t>V10016</t>
        </is>
      </c>
      <c r="K328" s="75" t="inlineStr">
        <is>
          <t>X서비스</t>
        </is>
      </c>
      <c r="M328" s="9">
        <f>IF($A328="","",VALUE($A328&amp;"")*12+VALUE($B328&amp;""))</f>
        <v/>
      </c>
      <c r="N328" s="39">
        <f>IF($A328="","",IFERROR(INDEX(부서매핑!$C$5:$C$504,MATCH($G328&amp;"",부서매핑!$A$5:$A$504,0)),"미매핑"))</f>
        <v/>
      </c>
      <c r="O328" s="9">
        <f>IF($A328="","",N328&amp;"|"&amp;$F328)</f>
        <v/>
      </c>
      <c r="P328" s="77">
        <f>IF($A328="",0,$H328*설정!$C$23)</f>
        <v/>
      </c>
      <c r="Q328" s="39">
        <f>IF($A328="","",IF(O328&lt;&gt;원인분석!$C$9,"",IF(AND(M328&gt;=원인분석!$C$10,M328&lt;=원인분석!$C$11),"당기",IF(AND(M328&gt;=원인분석!$C$12,M328&lt;=원인분석!$C$13),"비교",""))))</f>
        <v/>
      </c>
      <c r="R328" s="9">
        <f>IF(Q328="","",$K328&amp;"")</f>
        <v/>
      </c>
      <c r="S328" s="9">
        <f>IF(Q328="","",IF(MATCH(R328,$R$5:$R$100000,0)=ROW()-4,ROW(),""))</f>
        <v/>
      </c>
      <c r="T328" s="9">
        <f>IF(Q328="당기",ABS(P328)+ROW()/1000000000,"")</f>
        <v/>
      </c>
      <c r="U328" s="9">
        <f>IF(Q328="비교",ABS(P328)+ROW()/1000000000,"")</f>
        <v/>
      </c>
      <c r="V328" s="39">
        <f>IF($A328="","",IF(COUNTIF(변동분석!$E$7:$E$506,O328)&gt;0,"Y","N"))</f>
        <v/>
      </c>
      <c r="W328" s="39">
        <f>IF($A328="","",IFERROR(INDEX(계정매핑!$D$5:$D$504,MATCH($F328&amp;"",계정매핑!$A$5:$A$504,0)),"미매핑"))</f>
        <v/>
      </c>
      <c r="X328" s="9">
        <f>IF($A328="","",$F328&amp;"")</f>
        <v/>
      </c>
    </row>
    <row r="329">
      <c r="A329" s="75" t="n">
        <v>2025</v>
      </c>
      <c r="B329" s="75" t="n">
        <v>2</v>
      </c>
      <c r="C329" s="75" t="inlineStr">
        <is>
          <t>5100000325</t>
        </is>
      </c>
      <c r="D329" s="78" t="n">
        <v>45706</v>
      </c>
      <c r="E329" s="75" t="inlineStr">
        <is>
          <t>KR</t>
        </is>
      </c>
      <c r="F329" s="75" t="n">
        <v>62101000</v>
      </c>
      <c r="G329" s="75" t="n">
        <v>1201</v>
      </c>
      <c r="H329" s="76" t="n">
        <v>167000</v>
      </c>
      <c r="I329" s="75" t="inlineStr">
        <is>
          <t>2월 국내출장 - L여행사</t>
        </is>
      </c>
      <c r="J329" s="75" t="inlineStr">
        <is>
          <t>V10014</t>
        </is>
      </c>
      <c r="K329" s="75" t="inlineStr">
        <is>
          <t>L여행사</t>
        </is>
      </c>
      <c r="M329" s="9">
        <f>IF($A329="","",VALUE($A329&amp;"")*12+VALUE($B329&amp;""))</f>
        <v/>
      </c>
      <c r="N329" s="39">
        <f>IF($A329="","",IFERROR(INDEX(부서매핑!$C$5:$C$504,MATCH($G329&amp;"",부서매핑!$A$5:$A$504,0)),"미매핑"))</f>
        <v/>
      </c>
      <c r="O329" s="9">
        <f>IF($A329="","",N329&amp;"|"&amp;$F329)</f>
        <v/>
      </c>
      <c r="P329" s="77">
        <f>IF($A329="",0,$H329*설정!$C$23)</f>
        <v/>
      </c>
      <c r="Q329" s="39">
        <f>IF($A329="","",IF(O329&lt;&gt;원인분석!$C$9,"",IF(AND(M329&gt;=원인분석!$C$10,M329&lt;=원인분석!$C$11),"당기",IF(AND(M329&gt;=원인분석!$C$12,M329&lt;=원인분석!$C$13),"비교",""))))</f>
        <v/>
      </c>
      <c r="R329" s="9">
        <f>IF(Q329="","",$K329&amp;"")</f>
        <v/>
      </c>
      <c r="S329" s="9">
        <f>IF(Q329="","",IF(MATCH(R329,$R$5:$R$100000,0)=ROW()-4,ROW(),""))</f>
        <v/>
      </c>
      <c r="T329" s="9">
        <f>IF(Q329="당기",ABS(P329)+ROW()/1000000000,"")</f>
        <v/>
      </c>
      <c r="U329" s="9">
        <f>IF(Q329="비교",ABS(P329)+ROW()/1000000000,"")</f>
        <v/>
      </c>
      <c r="V329" s="39">
        <f>IF($A329="","",IF(COUNTIF(변동분석!$E$7:$E$506,O329)&gt;0,"Y","N"))</f>
        <v/>
      </c>
      <c r="W329" s="39">
        <f>IF($A329="","",IFERROR(INDEX(계정매핑!$D$5:$D$504,MATCH($F329&amp;"",계정매핑!$A$5:$A$504,0)),"미매핑"))</f>
        <v/>
      </c>
      <c r="X329" s="9">
        <f>IF($A329="","",$F329&amp;"")</f>
        <v/>
      </c>
    </row>
    <row r="330">
      <c r="A330" s="75" t="n">
        <v>2025</v>
      </c>
      <c r="B330" s="75" t="n">
        <v>2</v>
      </c>
      <c r="C330" s="75" t="inlineStr">
        <is>
          <t>5100000326</t>
        </is>
      </c>
      <c r="D330" s="78" t="n">
        <v>45706</v>
      </c>
      <c r="E330" s="75" t="inlineStr">
        <is>
          <t>KR</t>
        </is>
      </c>
      <c r="F330" s="75" t="n">
        <v>62101000</v>
      </c>
      <c r="G330" s="75" t="n">
        <v>1201</v>
      </c>
      <c r="H330" s="76" t="n">
        <v>220000</v>
      </c>
      <c r="I330" s="75" t="inlineStr">
        <is>
          <t>2월 국내출장 - (법인카드)</t>
        </is>
      </c>
      <c r="J330" s="75" t="inlineStr">
        <is>
          <t>V10008</t>
        </is>
      </c>
      <c r="K330" s="75" t="inlineStr">
        <is>
          <t>(법인카드)</t>
        </is>
      </c>
      <c r="M330" s="9">
        <f>IF($A330="","",VALUE($A330&amp;"")*12+VALUE($B330&amp;""))</f>
        <v/>
      </c>
      <c r="N330" s="39">
        <f>IF($A330="","",IFERROR(INDEX(부서매핑!$C$5:$C$504,MATCH($G330&amp;"",부서매핑!$A$5:$A$504,0)),"미매핑"))</f>
        <v/>
      </c>
      <c r="O330" s="9">
        <f>IF($A330="","",N330&amp;"|"&amp;$F330)</f>
        <v/>
      </c>
      <c r="P330" s="77">
        <f>IF($A330="",0,$H330*설정!$C$23)</f>
        <v/>
      </c>
      <c r="Q330" s="39">
        <f>IF($A330="","",IF(O330&lt;&gt;원인분석!$C$9,"",IF(AND(M330&gt;=원인분석!$C$10,M330&lt;=원인분석!$C$11),"당기",IF(AND(M330&gt;=원인분석!$C$12,M330&lt;=원인분석!$C$13),"비교",""))))</f>
        <v/>
      </c>
      <c r="R330" s="9">
        <f>IF(Q330="","",$K330&amp;"")</f>
        <v/>
      </c>
      <c r="S330" s="9">
        <f>IF(Q330="","",IF(MATCH(R330,$R$5:$R$100000,0)=ROW()-4,ROW(),""))</f>
        <v/>
      </c>
      <c r="T330" s="9">
        <f>IF(Q330="당기",ABS(P330)+ROW()/1000000000,"")</f>
        <v/>
      </c>
      <c r="U330" s="9">
        <f>IF(Q330="비교",ABS(P330)+ROW()/1000000000,"")</f>
        <v/>
      </c>
      <c r="V330" s="39">
        <f>IF($A330="","",IF(COUNTIF(변동분석!$E$7:$E$506,O330)&gt;0,"Y","N"))</f>
        <v/>
      </c>
      <c r="W330" s="39">
        <f>IF($A330="","",IFERROR(INDEX(계정매핑!$D$5:$D$504,MATCH($F330&amp;"",계정매핑!$A$5:$A$504,0)),"미매핑"))</f>
        <v/>
      </c>
      <c r="X330" s="9">
        <f>IF($A330="","",$F330&amp;"")</f>
        <v/>
      </c>
    </row>
    <row r="331">
      <c r="A331" s="75" t="n">
        <v>2025</v>
      </c>
      <c r="B331" s="75" t="n">
        <v>2</v>
      </c>
      <c r="C331" s="75" t="inlineStr">
        <is>
          <t>5100000327</t>
        </is>
      </c>
      <c r="D331" s="78" t="n">
        <v>45706</v>
      </c>
      <c r="E331" s="75" t="inlineStr">
        <is>
          <t>KR</t>
        </is>
      </c>
      <c r="F331" s="75" t="n">
        <v>62101000</v>
      </c>
      <c r="G331" s="75" t="n">
        <v>1301</v>
      </c>
      <c r="H331" s="76" t="n">
        <v>436000</v>
      </c>
      <c r="I331" s="75" t="inlineStr">
        <is>
          <t>2월 국내출장 - (법인카드)</t>
        </is>
      </c>
      <c r="J331" s="75" t="inlineStr">
        <is>
          <t>V10008</t>
        </is>
      </c>
      <c r="K331" s="75" t="inlineStr">
        <is>
          <t>(법인카드)</t>
        </is>
      </c>
      <c r="M331" s="9">
        <f>IF($A331="","",VALUE($A331&amp;"")*12+VALUE($B331&amp;""))</f>
        <v/>
      </c>
      <c r="N331" s="39">
        <f>IF($A331="","",IFERROR(INDEX(부서매핑!$C$5:$C$504,MATCH($G331&amp;"",부서매핑!$A$5:$A$504,0)),"미매핑"))</f>
        <v/>
      </c>
      <c r="O331" s="9">
        <f>IF($A331="","",N331&amp;"|"&amp;$F331)</f>
        <v/>
      </c>
      <c r="P331" s="77">
        <f>IF($A331="",0,$H331*설정!$C$23)</f>
        <v/>
      </c>
      <c r="Q331" s="39">
        <f>IF($A331="","",IF(O331&lt;&gt;원인분석!$C$9,"",IF(AND(M331&gt;=원인분석!$C$10,M331&lt;=원인분석!$C$11),"당기",IF(AND(M331&gt;=원인분석!$C$12,M331&lt;=원인분석!$C$13),"비교",""))))</f>
        <v/>
      </c>
      <c r="R331" s="9">
        <f>IF(Q331="","",$K331&amp;"")</f>
        <v/>
      </c>
      <c r="S331" s="9">
        <f>IF(Q331="","",IF(MATCH(R331,$R$5:$R$100000,0)=ROW()-4,ROW(),""))</f>
        <v/>
      </c>
      <c r="T331" s="9">
        <f>IF(Q331="당기",ABS(P331)+ROW()/1000000000,"")</f>
        <v/>
      </c>
      <c r="U331" s="9">
        <f>IF(Q331="비교",ABS(P331)+ROW()/1000000000,"")</f>
        <v/>
      </c>
      <c r="V331" s="39">
        <f>IF($A331="","",IF(COUNTIF(변동분석!$E$7:$E$506,O331)&gt;0,"Y","N"))</f>
        <v/>
      </c>
      <c r="W331" s="39">
        <f>IF($A331="","",IFERROR(INDEX(계정매핑!$D$5:$D$504,MATCH($F331&amp;"",계정매핑!$A$5:$A$504,0)),"미매핑"))</f>
        <v/>
      </c>
      <c r="X331" s="9">
        <f>IF($A331="","",$F331&amp;"")</f>
        <v/>
      </c>
    </row>
    <row r="332">
      <c r="A332" s="75" t="n">
        <v>2025</v>
      </c>
      <c r="B332" s="75" t="n">
        <v>2</v>
      </c>
      <c r="C332" s="75" t="inlineStr">
        <is>
          <t>5100000328</t>
        </is>
      </c>
      <c r="D332" s="78" t="n">
        <v>45706</v>
      </c>
      <c r="E332" s="75" t="inlineStr">
        <is>
          <t>KR</t>
        </is>
      </c>
      <c r="F332" s="75" t="n">
        <v>62101000</v>
      </c>
      <c r="G332" s="75" t="n">
        <v>1501</v>
      </c>
      <c r="H332" s="76" t="n">
        <v>565000</v>
      </c>
      <c r="I332" s="75" t="inlineStr">
        <is>
          <t>2월 국내출장 - (법인카드)</t>
        </is>
      </c>
      <c r="J332" s="75" t="inlineStr">
        <is>
          <t>V10008</t>
        </is>
      </c>
      <c r="K332" s="75" t="inlineStr">
        <is>
          <t>(법인카드)</t>
        </is>
      </c>
      <c r="M332" s="9">
        <f>IF($A332="","",VALUE($A332&amp;"")*12+VALUE($B332&amp;""))</f>
        <v/>
      </c>
      <c r="N332" s="39">
        <f>IF($A332="","",IFERROR(INDEX(부서매핑!$C$5:$C$504,MATCH($G332&amp;"",부서매핑!$A$5:$A$504,0)),"미매핑"))</f>
        <v/>
      </c>
      <c r="O332" s="9">
        <f>IF($A332="","",N332&amp;"|"&amp;$F332)</f>
        <v/>
      </c>
      <c r="P332" s="77">
        <f>IF($A332="",0,$H332*설정!$C$23)</f>
        <v/>
      </c>
      <c r="Q332" s="39">
        <f>IF($A332="","",IF(O332&lt;&gt;원인분석!$C$9,"",IF(AND(M332&gt;=원인분석!$C$10,M332&lt;=원인분석!$C$11),"당기",IF(AND(M332&gt;=원인분석!$C$12,M332&lt;=원인분석!$C$13),"비교",""))))</f>
        <v/>
      </c>
      <c r="R332" s="9">
        <f>IF(Q332="","",$K332&amp;"")</f>
        <v/>
      </c>
      <c r="S332" s="9">
        <f>IF(Q332="","",IF(MATCH(R332,$R$5:$R$100000,0)=ROW()-4,ROW(),""))</f>
        <v/>
      </c>
      <c r="T332" s="9">
        <f>IF(Q332="당기",ABS(P332)+ROW()/1000000000,"")</f>
        <v/>
      </c>
      <c r="U332" s="9">
        <f>IF(Q332="비교",ABS(P332)+ROW()/1000000000,"")</f>
        <v/>
      </c>
      <c r="V332" s="39">
        <f>IF($A332="","",IF(COUNTIF(변동분석!$E$7:$E$506,O332)&gt;0,"Y","N"))</f>
        <v/>
      </c>
      <c r="W332" s="39">
        <f>IF($A332="","",IFERROR(INDEX(계정매핑!$D$5:$D$504,MATCH($F332&amp;"",계정매핑!$A$5:$A$504,0)),"미매핑"))</f>
        <v/>
      </c>
      <c r="X332" s="9">
        <f>IF($A332="","",$F332&amp;"")</f>
        <v/>
      </c>
    </row>
    <row r="333">
      <c r="A333" s="75" t="n">
        <v>2025</v>
      </c>
      <c r="B333" s="75" t="n">
        <v>2</v>
      </c>
      <c r="C333" s="75" t="inlineStr">
        <is>
          <t>5100000329</t>
        </is>
      </c>
      <c r="D333" s="78" t="n">
        <v>45706</v>
      </c>
      <c r="E333" s="75" t="inlineStr">
        <is>
          <t>KR</t>
        </is>
      </c>
      <c r="F333" s="75" t="n">
        <v>62201000</v>
      </c>
      <c r="G333" s="75" t="n">
        <v>1101</v>
      </c>
      <c r="H333" s="76" t="n">
        <v>199000</v>
      </c>
      <c r="I333" s="75" t="inlineStr">
        <is>
          <t>2월 통신요금 - P통신</t>
        </is>
      </c>
      <c r="J333" s="75" t="inlineStr">
        <is>
          <t>V10011</t>
        </is>
      </c>
      <c r="K333" s="75" t="inlineStr">
        <is>
          <t>P통신</t>
        </is>
      </c>
      <c r="M333" s="9">
        <f>IF($A333="","",VALUE($A333&amp;"")*12+VALUE($B333&amp;""))</f>
        <v/>
      </c>
      <c r="N333" s="39">
        <f>IF($A333="","",IFERROR(INDEX(부서매핑!$C$5:$C$504,MATCH($G333&amp;"",부서매핑!$A$5:$A$504,0)),"미매핑"))</f>
        <v/>
      </c>
      <c r="O333" s="9">
        <f>IF($A333="","",N333&amp;"|"&amp;$F333)</f>
        <v/>
      </c>
      <c r="P333" s="77">
        <f>IF($A333="",0,$H333*설정!$C$23)</f>
        <v/>
      </c>
      <c r="Q333" s="39">
        <f>IF($A333="","",IF(O333&lt;&gt;원인분석!$C$9,"",IF(AND(M333&gt;=원인분석!$C$10,M333&lt;=원인분석!$C$11),"당기",IF(AND(M333&gt;=원인분석!$C$12,M333&lt;=원인분석!$C$13),"비교",""))))</f>
        <v/>
      </c>
      <c r="R333" s="9">
        <f>IF(Q333="","",$K333&amp;"")</f>
        <v/>
      </c>
      <c r="S333" s="9">
        <f>IF(Q333="","",IF(MATCH(R333,$R$5:$R$100000,0)=ROW()-4,ROW(),""))</f>
        <v/>
      </c>
      <c r="T333" s="9">
        <f>IF(Q333="당기",ABS(P333)+ROW()/1000000000,"")</f>
        <v/>
      </c>
      <c r="U333" s="9">
        <f>IF(Q333="비교",ABS(P333)+ROW()/1000000000,"")</f>
        <v/>
      </c>
      <c r="V333" s="39">
        <f>IF($A333="","",IF(COUNTIF(변동분석!$E$7:$E$506,O333)&gt;0,"Y","N"))</f>
        <v/>
      </c>
      <c r="W333" s="39">
        <f>IF($A333="","",IFERROR(INDEX(계정매핑!$D$5:$D$504,MATCH($F333&amp;"",계정매핑!$A$5:$A$504,0)),"미매핑"))</f>
        <v/>
      </c>
      <c r="X333" s="9">
        <f>IF($A333="","",$F333&amp;"")</f>
        <v/>
      </c>
    </row>
    <row r="334">
      <c r="A334" s="75" t="n">
        <v>2025</v>
      </c>
      <c r="B334" s="75" t="n">
        <v>2</v>
      </c>
      <c r="C334" s="75" t="inlineStr">
        <is>
          <t>5100000330</t>
        </is>
      </c>
      <c r="D334" s="78" t="n">
        <v>45706</v>
      </c>
      <c r="E334" s="75" t="inlineStr">
        <is>
          <t>KR</t>
        </is>
      </c>
      <c r="F334" s="75" t="n">
        <v>62201000</v>
      </c>
      <c r="G334" s="75" t="n">
        <v>1501</v>
      </c>
      <c r="H334" s="76" t="n">
        <v>293000</v>
      </c>
      <c r="I334" s="75" t="inlineStr">
        <is>
          <t>2월 통신요금 - O텔레콤</t>
        </is>
      </c>
      <c r="J334" s="75" t="inlineStr">
        <is>
          <t>V10002</t>
        </is>
      </c>
      <c r="K334" s="75" t="inlineStr">
        <is>
          <t>O텔레콤</t>
        </is>
      </c>
      <c r="M334" s="9">
        <f>IF($A334="","",VALUE($A334&amp;"")*12+VALUE($B334&amp;""))</f>
        <v/>
      </c>
      <c r="N334" s="39">
        <f>IF($A334="","",IFERROR(INDEX(부서매핑!$C$5:$C$504,MATCH($G334&amp;"",부서매핑!$A$5:$A$504,0)),"미매핑"))</f>
        <v/>
      </c>
      <c r="O334" s="9">
        <f>IF($A334="","",N334&amp;"|"&amp;$F334)</f>
        <v/>
      </c>
      <c r="P334" s="77">
        <f>IF($A334="",0,$H334*설정!$C$23)</f>
        <v/>
      </c>
      <c r="Q334" s="39">
        <f>IF($A334="","",IF(O334&lt;&gt;원인분석!$C$9,"",IF(AND(M334&gt;=원인분석!$C$10,M334&lt;=원인분석!$C$11),"당기",IF(AND(M334&gt;=원인분석!$C$12,M334&lt;=원인분석!$C$13),"비교",""))))</f>
        <v/>
      </c>
      <c r="R334" s="9">
        <f>IF(Q334="","",$K334&amp;"")</f>
        <v/>
      </c>
      <c r="S334" s="9">
        <f>IF(Q334="","",IF(MATCH(R334,$R$5:$R$100000,0)=ROW()-4,ROW(),""))</f>
        <v/>
      </c>
      <c r="T334" s="9">
        <f>IF(Q334="당기",ABS(P334)+ROW()/1000000000,"")</f>
        <v/>
      </c>
      <c r="U334" s="9">
        <f>IF(Q334="비교",ABS(P334)+ROW()/1000000000,"")</f>
        <v/>
      </c>
      <c r="V334" s="39">
        <f>IF($A334="","",IF(COUNTIF(변동분석!$E$7:$E$506,O334)&gt;0,"Y","N"))</f>
        <v/>
      </c>
      <c r="W334" s="39">
        <f>IF($A334="","",IFERROR(INDEX(계정매핑!$D$5:$D$504,MATCH($F334&amp;"",계정매핑!$A$5:$A$504,0)),"미매핑"))</f>
        <v/>
      </c>
      <c r="X334" s="9">
        <f>IF($A334="","",$F334&amp;"")</f>
        <v/>
      </c>
    </row>
    <row r="335">
      <c r="A335" s="75" t="n">
        <v>2025</v>
      </c>
      <c r="B335" s="75" t="n">
        <v>2</v>
      </c>
      <c r="C335" s="75" t="inlineStr">
        <is>
          <t>5100000331</t>
        </is>
      </c>
      <c r="D335" s="78" t="n">
        <v>45706</v>
      </c>
      <c r="E335" s="75" t="inlineStr">
        <is>
          <t>KR</t>
        </is>
      </c>
      <c r="F335" s="75" t="n">
        <v>62201000</v>
      </c>
      <c r="G335" s="75" t="n">
        <v>1601</v>
      </c>
      <c r="H335" s="76" t="n">
        <v>904000</v>
      </c>
      <c r="I335" s="75" t="inlineStr">
        <is>
          <t>2월 통신요금 - O텔레콤</t>
        </is>
      </c>
      <c r="J335" s="75" t="inlineStr">
        <is>
          <t>V10002</t>
        </is>
      </c>
      <c r="K335" s="75" t="inlineStr">
        <is>
          <t>O텔레콤</t>
        </is>
      </c>
      <c r="M335" s="9">
        <f>IF($A335="","",VALUE($A335&amp;"")*12+VALUE($B335&amp;""))</f>
        <v/>
      </c>
      <c r="N335" s="39">
        <f>IF($A335="","",IFERROR(INDEX(부서매핑!$C$5:$C$504,MATCH($G335&amp;"",부서매핑!$A$5:$A$504,0)),"미매핑"))</f>
        <v/>
      </c>
      <c r="O335" s="9">
        <f>IF($A335="","",N335&amp;"|"&amp;$F335)</f>
        <v/>
      </c>
      <c r="P335" s="77">
        <f>IF($A335="",0,$H335*설정!$C$23)</f>
        <v/>
      </c>
      <c r="Q335" s="39">
        <f>IF($A335="","",IF(O335&lt;&gt;원인분석!$C$9,"",IF(AND(M335&gt;=원인분석!$C$10,M335&lt;=원인분석!$C$11),"당기",IF(AND(M335&gt;=원인분석!$C$12,M335&lt;=원인분석!$C$13),"비교",""))))</f>
        <v/>
      </c>
      <c r="R335" s="9">
        <f>IF(Q335="","",$K335&amp;"")</f>
        <v/>
      </c>
      <c r="S335" s="9">
        <f>IF(Q335="","",IF(MATCH(R335,$R$5:$R$100000,0)=ROW()-4,ROW(),""))</f>
        <v/>
      </c>
      <c r="T335" s="9">
        <f>IF(Q335="당기",ABS(P335)+ROW()/1000000000,"")</f>
        <v/>
      </c>
      <c r="U335" s="9">
        <f>IF(Q335="비교",ABS(P335)+ROW()/1000000000,"")</f>
        <v/>
      </c>
      <c r="V335" s="39">
        <f>IF($A335="","",IF(COUNTIF(변동분석!$E$7:$E$506,O335)&gt;0,"Y","N"))</f>
        <v/>
      </c>
      <c r="W335" s="39">
        <f>IF($A335="","",IFERROR(INDEX(계정매핑!$D$5:$D$504,MATCH($F335&amp;"",계정매핑!$A$5:$A$504,0)),"미매핑"))</f>
        <v/>
      </c>
      <c r="X335" s="9">
        <f>IF($A335="","",$F335&amp;"")</f>
        <v/>
      </c>
    </row>
    <row r="336">
      <c r="A336" s="75" t="n">
        <v>2025</v>
      </c>
      <c r="B336" s="75" t="n">
        <v>2</v>
      </c>
      <c r="C336" s="75" t="inlineStr">
        <is>
          <t>5100000332</t>
        </is>
      </c>
      <c r="D336" s="78" t="n">
        <v>45706</v>
      </c>
      <c r="E336" s="75" t="inlineStr">
        <is>
          <t>KR</t>
        </is>
      </c>
      <c r="F336" s="75" t="n">
        <v>62301000</v>
      </c>
      <c r="G336" s="75" t="n">
        <v>1401</v>
      </c>
      <c r="H336" s="76" t="n">
        <v>87000</v>
      </c>
      <c r="I336" s="75" t="inlineStr">
        <is>
          <t>2월 소모품 구입 - R문구</t>
        </is>
      </c>
      <c r="J336" s="75" t="inlineStr">
        <is>
          <t>V10018</t>
        </is>
      </c>
      <c r="K336" s="75" t="inlineStr">
        <is>
          <t>R문구</t>
        </is>
      </c>
      <c r="M336" s="9">
        <f>IF($A336="","",VALUE($A336&amp;"")*12+VALUE($B336&amp;""))</f>
        <v/>
      </c>
      <c r="N336" s="39">
        <f>IF($A336="","",IFERROR(INDEX(부서매핑!$C$5:$C$504,MATCH($G336&amp;"",부서매핑!$A$5:$A$504,0)),"미매핑"))</f>
        <v/>
      </c>
      <c r="O336" s="9">
        <f>IF($A336="","",N336&amp;"|"&amp;$F336)</f>
        <v/>
      </c>
      <c r="P336" s="77">
        <f>IF($A336="",0,$H336*설정!$C$23)</f>
        <v/>
      </c>
      <c r="Q336" s="39">
        <f>IF($A336="","",IF(O336&lt;&gt;원인분석!$C$9,"",IF(AND(M336&gt;=원인분석!$C$10,M336&lt;=원인분석!$C$11),"당기",IF(AND(M336&gt;=원인분석!$C$12,M336&lt;=원인분석!$C$13),"비교",""))))</f>
        <v/>
      </c>
      <c r="R336" s="9">
        <f>IF(Q336="","",$K336&amp;"")</f>
        <v/>
      </c>
      <c r="S336" s="9">
        <f>IF(Q336="","",IF(MATCH(R336,$R$5:$R$100000,0)=ROW()-4,ROW(),""))</f>
        <v/>
      </c>
      <c r="T336" s="9">
        <f>IF(Q336="당기",ABS(P336)+ROW()/1000000000,"")</f>
        <v/>
      </c>
      <c r="U336" s="9">
        <f>IF(Q336="비교",ABS(P336)+ROW()/1000000000,"")</f>
        <v/>
      </c>
      <c r="V336" s="39">
        <f>IF($A336="","",IF(COUNTIF(변동분석!$E$7:$E$506,O336)&gt;0,"Y","N"))</f>
        <v/>
      </c>
      <c r="W336" s="39">
        <f>IF($A336="","",IFERROR(INDEX(계정매핑!$D$5:$D$504,MATCH($F336&amp;"",계정매핑!$A$5:$A$504,0)),"미매핑"))</f>
        <v/>
      </c>
      <c r="X336" s="9">
        <f>IF($A336="","",$F336&amp;"")</f>
        <v/>
      </c>
    </row>
    <row r="337">
      <c r="A337" s="75" t="n">
        <v>2025</v>
      </c>
      <c r="B337" s="75" t="n">
        <v>2</v>
      </c>
      <c r="C337" s="75" t="inlineStr">
        <is>
          <t>5100000333</t>
        </is>
      </c>
      <c r="D337" s="78" t="n">
        <v>45706</v>
      </c>
      <c r="E337" s="75" t="inlineStr">
        <is>
          <t>KR</t>
        </is>
      </c>
      <c r="F337" s="75" t="n">
        <v>62401000</v>
      </c>
      <c r="G337" s="75" t="n">
        <v>1401</v>
      </c>
      <c r="H337" s="76" t="n">
        <v>391000</v>
      </c>
      <c r="I337" s="75" t="inlineStr">
        <is>
          <t>2월 인쇄물 제작 - G인쇄</t>
        </is>
      </c>
      <c r="J337" s="75" t="inlineStr">
        <is>
          <t>V10004</t>
        </is>
      </c>
      <c r="K337" s="75" t="inlineStr">
        <is>
          <t>G인쇄</t>
        </is>
      </c>
      <c r="M337" s="9">
        <f>IF($A337="","",VALUE($A337&amp;"")*12+VALUE($B337&amp;""))</f>
        <v/>
      </c>
      <c r="N337" s="39">
        <f>IF($A337="","",IFERROR(INDEX(부서매핑!$C$5:$C$504,MATCH($G337&amp;"",부서매핑!$A$5:$A$504,0)),"미매핑"))</f>
        <v/>
      </c>
      <c r="O337" s="9">
        <f>IF($A337="","",N337&amp;"|"&amp;$F337)</f>
        <v/>
      </c>
      <c r="P337" s="77">
        <f>IF($A337="",0,$H337*설정!$C$23)</f>
        <v/>
      </c>
      <c r="Q337" s="39">
        <f>IF($A337="","",IF(O337&lt;&gt;원인분석!$C$9,"",IF(AND(M337&gt;=원인분석!$C$10,M337&lt;=원인분석!$C$11),"당기",IF(AND(M337&gt;=원인분석!$C$12,M337&lt;=원인분석!$C$13),"비교",""))))</f>
        <v/>
      </c>
      <c r="R337" s="9">
        <f>IF(Q337="","",$K337&amp;"")</f>
        <v/>
      </c>
      <c r="S337" s="9">
        <f>IF(Q337="","",IF(MATCH(R337,$R$5:$R$100000,0)=ROW()-4,ROW(),""))</f>
        <v/>
      </c>
      <c r="T337" s="9">
        <f>IF(Q337="당기",ABS(P337)+ROW()/1000000000,"")</f>
        <v/>
      </c>
      <c r="U337" s="9">
        <f>IF(Q337="비교",ABS(P337)+ROW()/1000000000,"")</f>
        <v/>
      </c>
      <c r="V337" s="39">
        <f>IF($A337="","",IF(COUNTIF(변동분석!$E$7:$E$506,O337)&gt;0,"Y","N"))</f>
        <v/>
      </c>
      <c r="W337" s="39">
        <f>IF($A337="","",IFERROR(INDEX(계정매핑!$D$5:$D$504,MATCH($F337&amp;"",계정매핑!$A$5:$A$504,0)),"미매핑"))</f>
        <v/>
      </c>
      <c r="X337" s="9">
        <f>IF($A337="","",$F337&amp;"")</f>
        <v/>
      </c>
    </row>
    <row r="338">
      <c r="A338" s="75" t="n">
        <v>2025</v>
      </c>
      <c r="B338" s="75" t="n">
        <v>2</v>
      </c>
      <c r="C338" s="75" t="inlineStr">
        <is>
          <t>5100000334</t>
        </is>
      </c>
      <c r="D338" s="78" t="n">
        <v>45706</v>
      </c>
      <c r="E338" s="75" t="inlineStr">
        <is>
          <t>KR</t>
        </is>
      </c>
      <c r="F338" s="75" t="n">
        <v>62401000</v>
      </c>
      <c r="G338" s="75" t="n">
        <v>1801</v>
      </c>
      <c r="H338" s="76" t="n">
        <v>4267000</v>
      </c>
      <c r="I338" s="75" t="inlineStr">
        <is>
          <t>2월 인쇄물 제작 - G인쇄</t>
        </is>
      </c>
      <c r="J338" s="75" t="inlineStr">
        <is>
          <t>V10004</t>
        </is>
      </c>
      <c r="K338" s="75" t="inlineStr">
        <is>
          <t>G인쇄</t>
        </is>
      </c>
      <c r="M338" s="9">
        <f>IF($A338="","",VALUE($A338&amp;"")*12+VALUE($B338&amp;""))</f>
        <v/>
      </c>
      <c r="N338" s="39">
        <f>IF($A338="","",IFERROR(INDEX(부서매핑!$C$5:$C$504,MATCH($G338&amp;"",부서매핑!$A$5:$A$504,0)),"미매핑"))</f>
        <v/>
      </c>
      <c r="O338" s="9">
        <f>IF($A338="","",N338&amp;"|"&amp;$F338)</f>
        <v/>
      </c>
      <c r="P338" s="77">
        <f>IF($A338="",0,$H338*설정!$C$23)</f>
        <v/>
      </c>
      <c r="Q338" s="39">
        <f>IF($A338="","",IF(O338&lt;&gt;원인분석!$C$9,"",IF(AND(M338&gt;=원인분석!$C$10,M338&lt;=원인분석!$C$11),"당기",IF(AND(M338&gt;=원인분석!$C$12,M338&lt;=원인분석!$C$13),"비교",""))))</f>
        <v/>
      </c>
      <c r="R338" s="9">
        <f>IF(Q338="","",$K338&amp;"")</f>
        <v/>
      </c>
      <c r="S338" s="9">
        <f>IF(Q338="","",IF(MATCH(R338,$R$5:$R$100000,0)=ROW()-4,ROW(),""))</f>
        <v/>
      </c>
      <c r="T338" s="9">
        <f>IF(Q338="당기",ABS(P338)+ROW()/1000000000,"")</f>
        <v/>
      </c>
      <c r="U338" s="9">
        <f>IF(Q338="비교",ABS(P338)+ROW()/1000000000,"")</f>
        <v/>
      </c>
      <c r="V338" s="39">
        <f>IF($A338="","",IF(COUNTIF(변동분석!$E$7:$E$506,O338)&gt;0,"Y","N"))</f>
        <v/>
      </c>
      <c r="W338" s="39">
        <f>IF($A338="","",IFERROR(INDEX(계정매핑!$D$5:$D$504,MATCH($F338&amp;"",계정매핑!$A$5:$A$504,0)),"미매핑"))</f>
        <v/>
      </c>
      <c r="X338" s="9">
        <f>IF($A338="","",$F338&amp;"")</f>
        <v/>
      </c>
    </row>
    <row r="339">
      <c r="A339" s="75" t="n">
        <v>2025</v>
      </c>
      <c r="B339" s="75" t="n">
        <v>2</v>
      </c>
      <c r="C339" s="75" t="inlineStr">
        <is>
          <t>5100000335</t>
        </is>
      </c>
      <c r="D339" s="78" t="n">
        <v>45706</v>
      </c>
      <c r="E339" s="75" t="inlineStr">
        <is>
          <t>KR</t>
        </is>
      </c>
      <c r="F339" s="75" t="n">
        <v>62601000</v>
      </c>
      <c r="G339" s="75" t="n">
        <v>1301</v>
      </c>
      <c r="H339" s="76" t="n">
        <v>681000</v>
      </c>
      <c r="I339" s="75" t="inlineStr">
        <is>
          <t>2월 업무추진 - (법인카드)</t>
        </is>
      </c>
      <c r="J339" s="75" t="inlineStr">
        <is>
          <t>V10008</t>
        </is>
      </c>
      <c r="K339" s="75" t="inlineStr">
        <is>
          <t>(법인카드)</t>
        </is>
      </c>
      <c r="M339" s="9">
        <f>IF($A339="","",VALUE($A339&amp;"")*12+VALUE($B339&amp;""))</f>
        <v/>
      </c>
      <c r="N339" s="39">
        <f>IF($A339="","",IFERROR(INDEX(부서매핑!$C$5:$C$504,MATCH($G339&amp;"",부서매핑!$A$5:$A$504,0)),"미매핑"))</f>
        <v/>
      </c>
      <c r="O339" s="9">
        <f>IF($A339="","",N339&amp;"|"&amp;$F339)</f>
        <v/>
      </c>
      <c r="P339" s="77">
        <f>IF($A339="",0,$H339*설정!$C$23)</f>
        <v/>
      </c>
      <c r="Q339" s="39">
        <f>IF($A339="","",IF(O339&lt;&gt;원인분석!$C$9,"",IF(AND(M339&gt;=원인분석!$C$10,M339&lt;=원인분석!$C$11),"당기",IF(AND(M339&gt;=원인분석!$C$12,M339&lt;=원인분석!$C$13),"비교",""))))</f>
        <v/>
      </c>
      <c r="R339" s="9">
        <f>IF(Q339="","",$K339&amp;"")</f>
        <v/>
      </c>
      <c r="S339" s="9">
        <f>IF(Q339="","",IF(MATCH(R339,$R$5:$R$100000,0)=ROW()-4,ROW(),""))</f>
        <v/>
      </c>
      <c r="T339" s="9">
        <f>IF(Q339="당기",ABS(P339)+ROW()/1000000000,"")</f>
        <v/>
      </c>
      <c r="U339" s="9">
        <f>IF(Q339="비교",ABS(P339)+ROW()/1000000000,"")</f>
        <v/>
      </c>
      <c r="V339" s="39">
        <f>IF($A339="","",IF(COUNTIF(변동분석!$E$7:$E$506,O339)&gt;0,"Y","N"))</f>
        <v/>
      </c>
      <c r="W339" s="39">
        <f>IF($A339="","",IFERROR(INDEX(계정매핑!$D$5:$D$504,MATCH($F339&amp;"",계정매핑!$A$5:$A$504,0)),"미매핑"))</f>
        <v/>
      </c>
      <c r="X339" s="9">
        <f>IF($A339="","",$F339&amp;"")</f>
        <v/>
      </c>
    </row>
    <row r="340">
      <c r="A340" s="75" t="n">
        <v>2025</v>
      </c>
      <c r="B340" s="75" t="n">
        <v>2</v>
      </c>
      <c r="C340" s="75" t="inlineStr">
        <is>
          <t>5100000336</t>
        </is>
      </c>
      <c r="D340" s="78" t="n">
        <v>45707</v>
      </c>
      <c r="E340" s="75" t="inlineStr">
        <is>
          <t>KR</t>
        </is>
      </c>
      <c r="F340" s="75" t="n">
        <v>62101000</v>
      </c>
      <c r="G340" s="75" t="n">
        <v>1401</v>
      </c>
      <c r="H340" s="76" t="n">
        <v>626000</v>
      </c>
      <c r="I340" s="75" t="inlineStr">
        <is>
          <t>2월 국내출장 - M항공</t>
        </is>
      </c>
      <c r="J340" s="75" t="inlineStr">
        <is>
          <t>V10001</t>
        </is>
      </c>
      <c r="K340" s="75" t="inlineStr">
        <is>
          <t>M항공</t>
        </is>
      </c>
      <c r="M340" s="9">
        <f>IF($A340="","",VALUE($A340&amp;"")*12+VALUE($B340&amp;""))</f>
        <v/>
      </c>
      <c r="N340" s="39">
        <f>IF($A340="","",IFERROR(INDEX(부서매핑!$C$5:$C$504,MATCH($G340&amp;"",부서매핑!$A$5:$A$504,0)),"미매핑"))</f>
        <v/>
      </c>
      <c r="O340" s="9">
        <f>IF($A340="","",N340&amp;"|"&amp;$F340)</f>
        <v/>
      </c>
      <c r="P340" s="77">
        <f>IF($A340="",0,$H340*설정!$C$23)</f>
        <v/>
      </c>
      <c r="Q340" s="39">
        <f>IF($A340="","",IF(O340&lt;&gt;원인분석!$C$9,"",IF(AND(M340&gt;=원인분석!$C$10,M340&lt;=원인분석!$C$11),"당기",IF(AND(M340&gt;=원인분석!$C$12,M340&lt;=원인분석!$C$13),"비교",""))))</f>
        <v/>
      </c>
      <c r="R340" s="9">
        <f>IF(Q340="","",$K340&amp;"")</f>
        <v/>
      </c>
      <c r="S340" s="9">
        <f>IF(Q340="","",IF(MATCH(R340,$R$5:$R$100000,0)=ROW()-4,ROW(),""))</f>
        <v/>
      </c>
      <c r="T340" s="9">
        <f>IF(Q340="당기",ABS(P340)+ROW()/1000000000,"")</f>
        <v/>
      </c>
      <c r="U340" s="9">
        <f>IF(Q340="비교",ABS(P340)+ROW()/1000000000,"")</f>
        <v/>
      </c>
      <c r="V340" s="39">
        <f>IF($A340="","",IF(COUNTIF(변동분석!$E$7:$E$506,O340)&gt;0,"Y","N"))</f>
        <v/>
      </c>
      <c r="W340" s="39">
        <f>IF($A340="","",IFERROR(INDEX(계정매핑!$D$5:$D$504,MATCH($F340&amp;"",계정매핑!$A$5:$A$504,0)),"미매핑"))</f>
        <v/>
      </c>
      <c r="X340" s="9">
        <f>IF($A340="","",$F340&amp;"")</f>
        <v/>
      </c>
    </row>
    <row r="341">
      <c r="A341" s="75" t="n">
        <v>2025</v>
      </c>
      <c r="B341" s="75" t="n">
        <v>2</v>
      </c>
      <c r="C341" s="75" t="inlineStr">
        <is>
          <t>5100000337</t>
        </is>
      </c>
      <c r="D341" s="78" t="n">
        <v>45707</v>
      </c>
      <c r="E341" s="75" t="inlineStr">
        <is>
          <t>KR</t>
        </is>
      </c>
      <c r="F341" s="75" t="n">
        <v>62101000</v>
      </c>
      <c r="G341" s="75" t="n">
        <v>1601</v>
      </c>
      <c r="H341" s="76" t="n">
        <v>859000</v>
      </c>
      <c r="I341" s="75" t="inlineStr">
        <is>
          <t>2월 국내출장 - (법인카드)</t>
        </is>
      </c>
      <c r="J341" s="75" t="inlineStr">
        <is>
          <t>V10008</t>
        </is>
      </c>
      <c r="K341" s="75" t="inlineStr">
        <is>
          <t>(법인카드)</t>
        </is>
      </c>
      <c r="M341" s="9">
        <f>IF($A341="","",VALUE($A341&amp;"")*12+VALUE($B341&amp;""))</f>
        <v/>
      </c>
      <c r="N341" s="39">
        <f>IF($A341="","",IFERROR(INDEX(부서매핑!$C$5:$C$504,MATCH($G341&amp;"",부서매핑!$A$5:$A$504,0)),"미매핑"))</f>
        <v/>
      </c>
      <c r="O341" s="9">
        <f>IF($A341="","",N341&amp;"|"&amp;$F341)</f>
        <v/>
      </c>
      <c r="P341" s="77">
        <f>IF($A341="",0,$H341*설정!$C$23)</f>
        <v/>
      </c>
      <c r="Q341" s="39">
        <f>IF($A341="","",IF(O341&lt;&gt;원인분석!$C$9,"",IF(AND(M341&gt;=원인분석!$C$10,M341&lt;=원인분석!$C$11),"당기",IF(AND(M341&gt;=원인분석!$C$12,M341&lt;=원인분석!$C$13),"비교",""))))</f>
        <v/>
      </c>
      <c r="R341" s="9">
        <f>IF(Q341="","",$K341&amp;"")</f>
        <v/>
      </c>
      <c r="S341" s="9">
        <f>IF(Q341="","",IF(MATCH(R341,$R$5:$R$100000,0)=ROW()-4,ROW(),""))</f>
        <v/>
      </c>
      <c r="T341" s="9">
        <f>IF(Q341="당기",ABS(P341)+ROW()/1000000000,"")</f>
        <v/>
      </c>
      <c r="U341" s="9">
        <f>IF(Q341="비교",ABS(P341)+ROW()/1000000000,"")</f>
        <v/>
      </c>
      <c r="V341" s="39">
        <f>IF($A341="","",IF(COUNTIF(변동분석!$E$7:$E$506,O341)&gt;0,"Y","N"))</f>
        <v/>
      </c>
      <c r="W341" s="39">
        <f>IF($A341="","",IFERROR(INDEX(계정매핑!$D$5:$D$504,MATCH($F341&amp;"",계정매핑!$A$5:$A$504,0)),"미매핑"))</f>
        <v/>
      </c>
      <c r="X341" s="9">
        <f>IF($A341="","",$F341&amp;"")</f>
        <v/>
      </c>
    </row>
    <row r="342">
      <c r="A342" s="75" t="n">
        <v>2025</v>
      </c>
      <c r="B342" s="75" t="n">
        <v>2</v>
      </c>
      <c r="C342" s="75" t="inlineStr">
        <is>
          <t>5100000338</t>
        </is>
      </c>
      <c r="D342" s="78" t="n">
        <v>45707</v>
      </c>
      <c r="E342" s="75" t="inlineStr">
        <is>
          <t>KR</t>
        </is>
      </c>
      <c r="F342" s="75" t="n">
        <v>62301000</v>
      </c>
      <c r="G342" s="75" t="n">
        <v>1101</v>
      </c>
      <c r="H342" s="76" t="n">
        <v>118000</v>
      </c>
      <c r="I342" s="75" t="inlineStr">
        <is>
          <t>2월 소모품 구입 - Q오피스</t>
        </is>
      </c>
      <c r="J342" s="75" t="inlineStr">
        <is>
          <t>V10003</t>
        </is>
      </c>
      <c r="K342" s="75" t="inlineStr">
        <is>
          <t>Q오피스</t>
        </is>
      </c>
      <c r="M342" s="9">
        <f>IF($A342="","",VALUE($A342&amp;"")*12+VALUE($B342&amp;""))</f>
        <v/>
      </c>
      <c r="N342" s="39">
        <f>IF($A342="","",IFERROR(INDEX(부서매핑!$C$5:$C$504,MATCH($G342&amp;"",부서매핑!$A$5:$A$504,0)),"미매핑"))</f>
        <v/>
      </c>
      <c r="O342" s="9">
        <f>IF($A342="","",N342&amp;"|"&amp;$F342)</f>
        <v/>
      </c>
      <c r="P342" s="77">
        <f>IF($A342="",0,$H342*설정!$C$23)</f>
        <v/>
      </c>
      <c r="Q342" s="39">
        <f>IF($A342="","",IF(O342&lt;&gt;원인분석!$C$9,"",IF(AND(M342&gt;=원인분석!$C$10,M342&lt;=원인분석!$C$11),"당기",IF(AND(M342&gt;=원인분석!$C$12,M342&lt;=원인분석!$C$13),"비교",""))))</f>
        <v/>
      </c>
      <c r="R342" s="9">
        <f>IF(Q342="","",$K342&amp;"")</f>
        <v/>
      </c>
      <c r="S342" s="9">
        <f>IF(Q342="","",IF(MATCH(R342,$R$5:$R$100000,0)=ROW()-4,ROW(),""))</f>
        <v/>
      </c>
      <c r="T342" s="9">
        <f>IF(Q342="당기",ABS(P342)+ROW()/1000000000,"")</f>
        <v/>
      </c>
      <c r="U342" s="9">
        <f>IF(Q342="비교",ABS(P342)+ROW()/1000000000,"")</f>
        <v/>
      </c>
      <c r="V342" s="39">
        <f>IF($A342="","",IF(COUNTIF(변동분석!$E$7:$E$506,O342)&gt;0,"Y","N"))</f>
        <v/>
      </c>
      <c r="W342" s="39">
        <f>IF($A342="","",IFERROR(INDEX(계정매핑!$D$5:$D$504,MATCH($F342&amp;"",계정매핑!$A$5:$A$504,0)),"미매핑"))</f>
        <v/>
      </c>
      <c r="X342" s="9">
        <f>IF($A342="","",$F342&amp;"")</f>
        <v/>
      </c>
    </row>
    <row r="343">
      <c r="A343" s="75" t="n">
        <v>2025</v>
      </c>
      <c r="B343" s="75" t="n">
        <v>2</v>
      </c>
      <c r="C343" s="75" t="inlineStr">
        <is>
          <t>5100000339</t>
        </is>
      </c>
      <c r="D343" s="78" t="n">
        <v>45707</v>
      </c>
      <c r="E343" s="75" t="inlineStr">
        <is>
          <t>KR</t>
        </is>
      </c>
      <c r="F343" s="75" t="n">
        <v>62301000</v>
      </c>
      <c r="G343" s="75" t="n">
        <v>1301</v>
      </c>
      <c r="H343" s="76" t="n">
        <v>414000</v>
      </c>
      <c r="I343" s="75" t="inlineStr">
        <is>
          <t>2월 소모품 구입 - Q오피스</t>
        </is>
      </c>
      <c r="J343" s="75" t="inlineStr">
        <is>
          <t>V10003</t>
        </is>
      </c>
      <c r="K343" s="75" t="inlineStr">
        <is>
          <t>Q오피스</t>
        </is>
      </c>
      <c r="M343" s="9">
        <f>IF($A343="","",VALUE($A343&amp;"")*12+VALUE($B343&amp;""))</f>
        <v/>
      </c>
      <c r="N343" s="39">
        <f>IF($A343="","",IFERROR(INDEX(부서매핑!$C$5:$C$504,MATCH($G343&amp;"",부서매핑!$A$5:$A$504,0)),"미매핑"))</f>
        <v/>
      </c>
      <c r="O343" s="9">
        <f>IF($A343="","",N343&amp;"|"&amp;$F343)</f>
        <v/>
      </c>
      <c r="P343" s="77">
        <f>IF($A343="",0,$H343*설정!$C$23)</f>
        <v/>
      </c>
      <c r="Q343" s="39">
        <f>IF($A343="","",IF(O343&lt;&gt;원인분석!$C$9,"",IF(AND(M343&gt;=원인분석!$C$10,M343&lt;=원인분석!$C$11),"당기",IF(AND(M343&gt;=원인분석!$C$12,M343&lt;=원인분석!$C$13),"비교",""))))</f>
        <v/>
      </c>
      <c r="R343" s="9">
        <f>IF(Q343="","",$K343&amp;"")</f>
        <v/>
      </c>
      <c r="S343" s="9">
        <f>IF(Q343="","",IF(MATCH(R343,$R$5:$R$100000,0)=ROW()-4,ROW(),""))</f>
        <v/>
      </c>
      <c r="T343" s="9">
        <f>IF(Q343="당기",ABS(P343)+ROW()/1000000000,"")</f>
        <v/>
      </c>
      <c r="U343" s="9">
        <f>IF(Q343="비교",ABS(P343)+ROW()/1000000000,"")</f>
        <v/>
      </c>
      <c r="V343" s="39">
        <f>IF($A343="","",IF(COUNTIF(변동분석!$E$7:$E$506,O343)&gt;0,"Y","N"))</f>
        <v/>
      </c>
      <c r="W343" s="39">
        <f>IF($A343="","",IFERROR(INDEX(계정매핑!$D$5:$D$504,MATCH($F343&amp;"",계정매핑!$A$5:$A$504,0)),"미매핑"))</f>
        <v/>
      </c>
      <c r="X343" s="9">
        <f>IF($A343="","",$F343&amp;"")</f>
        <v/>
      </c>
    </row>
    <row r="344">
      <c r="A344" s="75" t="n">
        <v>2025</v>
      </c>
      <c r="B344" s="75" t="n">
        <v>2</v>
      </c>
      <c r="C344" s="75" t="inlineStr">
        <is>
          <t>5100000340</t>
        </is>
      </c>
      <c r="D344" s="78" t="n">
        <v>45707</v>
      </c>
      <c r="E344" s="75" t="inlineStr">
        <is>
          <t>KR</t>
        </is>
      </c>
      <c r="F344" s="75" t="n">
        <v>62501000</v>
      </c>
      <c r="G344" s="75" t="n">
        <v>1401</v>
      </c>
      <c r="H344" s="76" t="n">
        <v>199000</v>
      </c>
      <c r="I344" s="75" t="inlineStr">
        <is>
          <t>2월 회의 다과 - (법인카드)</t>
        </is>
      </c>
      <c r="J344" s="75" t="inlineStr">
        <is>
          <t>V10008</t>
        </is>
      </c>
      <c r="K344" s="75" t="inlineStr">
        <is>
          <t>(법인카드)</t>
        </is>
      </c>
      <c r="M344" s="9">
        <f>IF($A344="","",VALUE($A344&amp;"")*12+VALUE($B344&amp;""))</f>
        <v/>
      </c>
      <c r="N344" s="39">
        <f>IF($A344="","",IFERROR(INDEX(부서매핑!$C$5:$C$504,MATCH($G344&amp;"",부서매핑!$A$5:$A$504,0)),"미매핑"))</f>
        <v/>
      </c>
      <c r="O344" s="9">
        <f>IF($A344="","",N344&amp;"|"&amp;$F344)</f>
        <v/>
      </c>
      <c r="P344" s="77">
        <f>IF($A344="",0,$H344*설정!$C$23)</f>
        <v/>
      </c>
      <c r="Q344" s="39">
        <f>IF($A344="","",IF(O344&lt;&gt;원인분석!$C$9,"",IF(AND(M344&gt;=원인분석!$C$10,M344&lt;=원인분석!$C$11),"당기",IF(AND(M344&gt;=원인분석!$C$12,M344&lt;=원인분석!$C$13),"비교",""))))</f>
        <v/>
      </c>
      <c r="R344" s="9">
        <f>IF(Q344="","",$K344&amp;"")</f>
        <v/>
      </c>
      <c r="S344" s="9">
        <f>IF(Q344="","",IF(MATCH(R344,$R$5:$R$100000,0)=ROW()-4,ROW(),""))</f>
        <v/>
      </c>
      <c r="T344" s="9">
        <f>IF(Q344="당기",ABS(P344)+ROW()/1000000000,"")</f>
        <v/>
      </c>
      <c r="U344" s="9">
        <f>IF(Q344="비교",ABS(P344)+ROW()/1000000000,"")</f>
        <v/>
      </c>
      <c r="V344" s="39">
        <f>IF($A344="","",IF(COUNTIF(변동분석!$E$7:$E$506,O344)&gt;0,"Y","N"))</f>
        <v/>
      </c>
      <c r="W344" s="39">
        <f>IF($A344="","",IFERROR(INDEX(계정매핑!$D$5:$D$504,MATCH($F344&amp;"",계정매핑!$A$5:$A$504,0)),"미매핑"))</f>
        <v/>
      </c>
      <c r="X344" s="9">
        <f>IF($A344="","",$F344&amp;"")</f>
        <v/>
      </c>
    </row>
    <row r="345">
      <c r="A345" s="75" t="n">
        <v>2025</v>
      </c>
      <c r="B345" s="75" t="n">
        <v>2</v>
      </c>
      <c r="C345" s="75" t="inlineStr">
        <is>
          <t>5100000341</t>
        </is>
      </c>
      <c r="D345" s="78" t="n">
        <v>45707</v>
      </c>
      <c r="E345" s="75" t="inlineStr">
        <is>
          <t>KR</t>
        </is>
      </c>
      <c r="F345" s="75" t="n">
        <v>62601000</v>
      </c>
      <c r="G345" s="75" t="n">
        <v>1501</v>
      </c>
      <c r="H345" s="76" t="n">
        <v>1745000</v>
      </c>
      <c r="I345" s="75" t="inlineStr">
        <is>
          <t>2월 업무추진 - (법인카드)</t>
        </is>
      </c>
      <c r="J345" s="75" t="inlineStr">
        <is>
          <t>V10008</t>
        </is>
      </c>
      <c r="K345" s="75" t="inlineStr">
        <is>
          <t>(법인카드)</t>
        </is>
      </c>
      <c r="M345" s="9">
        <f>IF($A345="","",VALUE($A345&amp;"")*12+VALUE($B345&amp;""))</f>
        <v/>
      </c>
      <c r="N345" s="39">
        <f>IF($A345="","",IFERROR(INDEX(부서매핑!$C$5:$C$504,MATCH($G345&amp;"",부서매핑!$A$5:$A$504,0)),"미매핑"))</f>
        <v/>
      </c>
      <c r="O345" s="9">
        <f>IF($A345="","",N345&amp;"|"&amp;$F345)</f>
        <v/>
      </c>
      <c r="P345" s="77">
        <f>IF($A345="",0,$H345*설정!$C$23)</f>
        <v/>
      </c>
      <c r="Q345" s="39">
        <f>IF($A345="","",IF(O345&lt;&gt;원인분석!$C$9,"",IF(AND(M345&gt;=원인분석!$C$10,M345&lt;=원인분석!$C$11),"당기",IF(AND(M345&gt;=원인분석!$C$12,M345&lt;=원인분석!$C$13),"비교",""))))</f>
        <v/>
      </c>
      <c r="R345" s="9">
        <f>IF(Q345="","",$K345&amp;"")</f>
        <v/>
      </c>
      <c r="S345" s="9">
        <f>IF(Q345="","",IF(MATCH(R345,$R$5:$R$100000,0)=ROW()-4,ROW(),""))</f>
        <v/>
      </c>
      <c r="T345" s="9">
        <f>IF(Q345="당기",ABS(P345)+ROW()/1000000000,"")</f>
        <v/>
      </c>
      <c r="U345" s="9">
        <f>IF(Q345="비교",ABS(P345)+ROW()/1000000000,"")</f>
        <v/>
      </c>
      <c r="V345" s="39">
        <f>IF($A345="","",IF(COUNTIF(변동분석!$E$7:$E$506,O345)&gt;0,"Y","N"))</f>
        <v/>
      </c>
      <c r="W345" s="39">
        <f>IF($A345="","",IFERROR(INDEX(계정매핑!$D$5:$D$504,MATCH($F345&amp;"",계정매핑!$A$5:$A$504,0)),"미매핑"))</f>
        <v/>
      </c>
      <c r="X345" s="9">
        <f>IF($A345="","",$F345&amp;"")</f>
        <v/>
      </c>
    </row>
    <row r="346">
      <c r="A346" s="75" t="n">
        <v>2025</v>
      </c>
      <c r="B346" s="75" t="n">
        <v>2</v>
      </c>
      <c r="C346" s="75" t="inlineStr">
        <is>
          <t>5100000342</t>
        </is>
      </c>
      <c r="D346" s="78" t="n">
        <v>45707</v>
      </c>
      <c r="E346" s="75" t="inlineStr">
        <is>
          <t>KR</t>
        </is>
      </c>
      <c r="F346" s="75" t="n">
        <v>62901000</v>
      </c>
      <c r="G346" s="75" t="n">
        <v>1401</v>
      </c>
      <c r="H346" s="76" t="n">
        <v>5035000</v>
      </c>
      <c r="I346" s="75" t="inlineStr">
        <is>
          <t>2월 자문 수수료 - W컨설팅</t>
        </is>
      </c>
      <c r="J346" s="75" t="inlineStr">
        <is>
          <t>V10009</t>
        </is>
      </c>
      <c r="K346" s="75" t="inlineStr">
        <is>
          <t>W컨설팅</t>
        </is>
      </c>
      <c r="M346" s="9">
        <f>IF($A346="","",VALUE($A346&amp;"")*12+VALUE($B346&amp;""))</f>
        <v/>
      </c>
      <c r="N346" s="39">
        <f>IF($A346="","",IFERROR(INDEX(부서매핑!$C$5:$C$504,MATCH($G346&amp;"",부서매핑!$A$5:$A$504,0)),"미매핑"))</f>
        <v/>
      </c>
      <c r="O346" s="9">
        <f>IF($A346="","",N346&amp;"|"&amp;$F346)</f>
        <v/>
      </c>
      <c r="P346" s="77">
        <f>IF($A346="",0,$H346*설정!$C$23)</f>
        <v/>
      </c>
      <c r="Q346" s="39">
        <f>IF($A346="","",IF(O346&lt;&gt;원인분석!$C$9,"",IF(AND(M346&gt;=원인분석!$C$10,M346&lt;=원인분석!$C$11),"당기",IF(AND(M346&gt;=원인분석!$C$12,M346&lt;=원인분석!$C$13),"비교",""))))</f>
        <v/>
      </c>
      <c r="R346" s="9">
        <f>IF(Q346="","",$K346&amp;"")</f>
        <v/>
      </c>
      <c r="S346" s="9">
        <f>IF(Q346="","",IF(MATCH(R346,$R$5:$R$100000,0)=ROW()-4,ROW(),""))</f>
        <v/>
      </c>
      <c r="T346" s="9">
        <f>IF(Q346="당기",ABS(P346)+ROW()/1000000000,"")</f>
        <v/>
      </c>
      <c r="U346" s="9">
        <f>IF(Q346="비교",ABS(P346)+ROW()/1000000000,"")</f>
        <v/>
      </c>
      <c r="V346" s="39">
        <f>IF($A346="","",IF(COUNTIF(변동분석!$E$7:$E$506,O346)&gt;0,"Y","N"))</f>
        <v/>
      </c>
      <c r="W346" s="39">
        <f>IF($A346="","",IFERROR(INDEX(계정매핑!$D$5:$D$504,MATCH($F346&amp;"",계정매핑!$A$5:$A$504,0)),"미매핑"))</f>
        <v/>
      </c>
      <c r="X346" s="9">
        <f>IF($A346="","",$F346&amp;"")</f>
        <v/>
      </c>
    </row>
    <row r="347">
      <c r="A347" s="75" t="n">
        <v>2025</v>
      </c>
      <c r="B347" s="75" t="n">
        <v>2</v>
      </c>
      <c r="C347" s="75" t="inlineStr">
        <is>
          <t>5100000343</t>
        </is>
      </c>
      <c r="D347" s="78" t="n">
        <v>45708</v>
      </c>
      <c r="E347" s="75" t="inlineStr">
        <is>
          <t>KR</t>
        </is>
      </c>
      <c r="F347" s="75" t="n">
        <v>62101000</v>
      </c>
      <c r="G347" s="75" t="n">
        <v>1301</v>
      </c>
      <c r="H347" s="76" t="n">
        <v>352000</v>
      </c>
      <c r="I347" s="75" t="inlineStr">
        <is>
          <t>2월 국내출장 - L여행사</t>
        </is>
      </c>
      <c r="J347" s="75" t="inlineStr">
        <is>
          <t>V10014</t>
        </is>
      </c>
      <c r="K347" s="75" t="inlineStr">
        <is>
          <t>L여행사</t>
        </is>
      </c>
      <c r="M347" s="9">
        <f>IF($A347="","",VALUE($A347&amp;"")*12+VALUE($B347&amp;""))</f>
        <v/>
      </c>
      <c r="N347" s="39">
        <f>IF($A347="","",IFERROR(INDEX(부서매핑!$C$5:$C$504,MATCH($G347&amp;"",부서매핑!$A$5:$A$504,0)),"미매핑"))</f>
        <v/>
      </c>
      <c r="O347" s="9">
        <f>IF($A347="","",N347&amp;"|"&amp;$F347)</f>
        <v/>
      </c>
      <c r="P347" s="77">
        <f>IF($A347="",0,$H347*설정!$C$23)</f>
        <v/>
      </c>
      <c r="Q347" s="39">
        <f>IF($A347="","",IF(O347&lt;&gt;원인분석!$C$9,"",IF(AND(M347&gt;=원인분석!$C$10,M347&lt;=원인분석!$C$11),"당기",IF(AND(M347&gt;=원인분석!$C$12,M347&lt;=원인분석!$C$13),"비교",""))))</f>
        <v/>
      </c>
      <c r="R347" s="9">
        <f>IF(Q347="","",$K347&amp;"")</f>
        <v/>
      </c>
      <c r="S347" s="9">
        <f>IF(Q347="","",IF(MATCH(R347,$R$5:$R$100000,0)=ROW()-4,ROW(),""))</f>
        <v/>
      </c>
      <c r="T347" s="9">
        <f>IF(Q347="당기",ABS(P347)+ROW()/1000000000,"")</f>
        <v/>
      </c>
      <c r="U347" s="9">
        <f>IF(Q347="비교",ABS(P347)+ROW()/1000000000,"")</f>
        <v/>
      </c>
      <c r="V347" s="39">
        <f>IF($A347="","",IF(COUNTIF(변동분석!$E$7:$E$506,O347)&gt;0,"Y","N"))</f>
        <v/>
      </c>
      <c r="W347" s="39">
        <f>IF($A347="","",IFERROR(INDEX(계정매핑!$D$5:$D$504,MATCH($F347&amp;"",계정매핑!$A$5:$A$504,0)),"미매핑"))</f>
        <v/>
      </c>
      <c r="X347" s="9">
        <f>IF($A347="","",$F347&amp;"")</f>
        <v/>
      </c>
    </row>
    <row r="348">
      <c r="A348" s="75" t="n">
        <v>2025</v>
      </c>
      <c r="B348" s="75" t="n">
        <v>2</v>
      </c>
      <c r="C348" s="75" t="inlineStr">
        <is>
          <t>5100000344</t>
        </is>
      </c>
      <c r="D348" s="78" t="n">
        <v>45708</v>
      </c>
      <c r="E348" s="75" t="inlineStr">
        <is>
          <t>KR</t>
        </is>
      </c>
      <c r="F348" s="75" t="n">
        <v>62102000</v>
      </c>
      <c r="G348" s="75" t="n">
        <v>1301</v>
      </c>
      <c r="H348" s="76" t="n">
        <v>137000</v>
      </c>
      <c r="I348" s="75" t="inlineStr">
        <is>
          <t>2월 해외출장 - N호텔</t>
        </is>
      </c>
      <c r="J348" s="75" t="inlineStr">
        <is>
          <t>V10007</t>
        </is>
      </c>
      <c r="K348" s="75" t="inlineStr">
        <is>
          <t>N호텔</t>
        </is>
      </c>
      <c r="M348" s="9">
        <f>IF($A348="","",VALUE($A348&amp;"")*12+VALUE($B348&amp;""))</f>
        <v/>
      </c>
      <c r="N348" s="39">
        <f>IF($A348="","",IFERROR(INDEX(부서매핑!$C$5:$C$504,MATCH($G348&amp;"",부서매핑!$A$5:$A$504,0)),"미매핑"))</f>
        <v/>
      </c>
      <c r="O348" s="9">
        <f>IF($A348="","",N348&amp;"|"&amp;$F348)</f>
        <v/>
      </c>
      <c r="P348" s="77">
        <f>IF($A348="",0,$H348*설정!$C$23)</f>
        <v/>
      </c>
      <c r="Q348" s="39">
        <f>IF($A348="","",IF(O348&lt;&gt;원인분석!$C$9,"",IF(AND(M348&gt;=원인분석!$C$10,M348&lt;=원인분석!$C$11),"당기",IF(AND(M348&gt;=원인분석!$C$12,M348&lt;=원인분석!$C$13),"비교",""))))</f>
        <v/>
      </c>
      <c r="R348" s="9">
        <f>IF(Q348="","",$K348&amp;"")</f>
        <v/>
      </c>
      <c r="S348" s="9">
        <f>IF(Q348="","",IF(MATCH(R348,$R$5:$R$100000,0)=ROW()-4,ROW(),""))</f>
        <v/>
      </c>
      <c r="T348" s="9">
        <f>IF(Q348="당기",ABS(P348)+ROW()/1000000000,"")</f>
        <v/>
      </c>
      <c r="U348" s="9">
        <f>IF(Q348="비교",ABS(P348)+ROW()/1000000000,"")</f>
        <v/>
      </c>
      <c r="V348" s="39">
        <f>IF($A348="","",IF(COUNTIF(변동분석!$E$7:$E$506,O348)&gt;0,"Y","N"))</f>
        <v/>
      </c>
      <c r="W348" s="39">
        <f>IF($A348="","",IFERROR(INDEX(계정매핑!$D$5:$D$504,MATCH($F348&amp;"",계정매핑!$A$5:$A$504,0)),"미매핑"))</f>
        <v/>
      </c>
      <c r="X348" s="9">
        <f>IF($A348="","",$F348&amp;"")</f>
        <v/>
      </c>
    </row>
    <row r="349">
      <c r="A349" s="75" t="n">
        <v>2025</v>
      </c>
      <c r="B349" s="75" t="n">
        <v>2</v>
      </c>
      <c r="C349" s="75" t="inlineStr">
        <is>
          <t>5100000345</t>
        </is>
      </c>
      <c r="D349" s="78" t="n">
        <v>45708</v>
      </c>
      <c r="E349" s="75" t="inlineStr">
        <is>
          <t>KR</t>
        </is>
      </c>
      <c r="F349" s="75" t="n">
        <v>62102000</v>
      </c>
      <c r="G349" s="75" t="n">
        <v>1602</v>
      </c>
      <c r="H349" s="76" t="n">
        <v>294000</v>
      </c>
      <c r="I349" s="75" t="inlineStr">
        <is>
          <t>2월 해외출장 - M항공</t>
        </is>
      </c>
      <c r="J349" s="75" t="inlineStr">
        <is>
          <t>V10001</t>
        </is>
      </c>
      <c r="K349" s="75" t="inlineStr">
        <is>
          <t>M항공</t>
        </is>
      </c>
      <c r="M349" s="9">
        <f>IF($A349="","",VALUE($A349&amp;"")*12+VALUE($B349&amp;""))</f>
        <v/>
      </c>
      <c r="N349" s="39">
        <f>IF($A349="","",IFERROR(INDEX(부서매핑!$C$5:$C$504,MATCH($G349&amp;"",부서매핑!$A$5:$A$504,0)),"미매핑"))</f>
        <v/>
      </c>
      <c r="O349" s="9">
        <f>IF($A349="","",N349&amp;"|"&amp;$F349)</f>
        <v/>
      </c>
      <c r="P349" s="77">
        <f>IF($A349="",0,$H349*설정!$C$23)</f>
        <v/>
      </c>
      <c r="Q349" s="39">
        <f>IF($A349="","",IF(O349&lt;&gt;원인분석!$C$9,"",IF(AND(M349&gt;=원인분석!$C$10,M349&lt;=원인분석!$C$11),"당기",IF(AND(M349&gt;=원인분석!$C$12,M349&lt;=원인분석!$C$13),"비교",""))))</f>
        <v/>
      </c>
      <c r="R349" s="9">
        <f>IF(Q349="","",$K349&amp;"")</f>
        <v/>
      </c>
      <c r="S349" s="9">
        <f>IF(Q349="","",IF(MATCH(R349,$R$5:$R$100000,0)=ROW()-4,ROW(),""))</f>
        <v/>
      </c>
      <c r="T349" s="9">
        <f>IF(Q349="당기",ABS(P349)+ROW()/1000000000,"")</f>
        <v/>
      </c>
      <c r="U349" s="9">
        <f>IF(Q349="비교",ABS(P349)+ROW()/1000000000,"")</f>
        <v/>
      </c>
      <c r="V349" s="39">
        <f>IF($A349="","",IF(COUNTIF(변동분석!$E$7:$E$506,O349)&gt;0,"Y","N"))</f>
        <v/>
      </c>
      <c r="W349" s="39">
        <f>IF($A349="","",IFERROR(INDEX(계정매핑!$D$5:$D$504,MATCH($F349&amp;"",계정매핑!$A$5:$A$504,0)),"미매핑"))</f>
        <v/>
      </c>
      <c r="X349" s="9">
        <f>IF($A349="","",$F349&amp;"")</f>
        <v/>
      </c>
    </row>
    <row r="350">
      <c r="A350" s="75" t="n">
        <v>2025</v>
      </c>
      <c r="B350" s="75" t="n">
        <v>2</v>
      </c>
      <c r="C350" s="75" t="inlineStr">
        <is>
          <t>5100000346</t>
        </is>
      </c>
      <c r="D350" s="78" t="n">
        <v>45708</v>
      </c>
      <c r="E350" s="75" t="inlineStr">
        <is>
          <t>KR</t>
        </is>
      </c>
      <c r="F350" s="75" t="n">
        <v>62102000</v>
      </c>
      <c r="G350" s="75" t="n">
        <v>1701</v>
      </c>
      <c r="H350" s="76" t="n">
        <v>56000</v>
      </c>
      <c r="I350" s="75" t="inlineStr">
        <is>
          <t>2월 해외출장 - N호텔</t>
        </is>
      </c>
      <c r="J350" s="75" t="inlineStr">
        <is>
          <t>V10007</t>
        </is>
      </c>
      <c r="K350" s="75" t="inlineStr">
        <is>
          <t>N호텔</t>
        </is>
      </c>
      <c r="M350" s="9">
        <f>IF($A350="","",VALUE($A350&amp;"")*12+VALUE($B350&amp;""))</f>
        <v/>
      </c>
      <c r="N350" s="39">
        <f>IF($A350="","",IFERROR(INDEX(부서매핑!$C$5:$C$504,MATCH($G350&amp;"",부서매핑!$A$5:$A$504,0)),"미매핑"))</f>
        <v/>
      </c>
      <c r="O350" s="9">
        <f>IF($A350="","",N350&amp;"|"&amp;$F350)</f>
        <v/>
      </c>
      <c r="P350" s="77">
        <f>IF($A350="",0,$H350*설정!$C$23)</f>
        <v/>
      </c>
      <c r="Q350" s="39">
        <f>IF($A350="","",IF(O350&lt;&gt;원인분석!$C$9,"",IF(AND(M350&gt;=원인분석!$C$10,M350&lt;=원인분석!$C$11),"당기",IF(AND(M350&gt;=원인분석!$C$12,M350&lt;=원인분석!$C$13),"비교",""))))</f>
        <v/>
      </c>
      <c r="R350" s="9">
        <f>IF(Q350="","",$K350&amp;"")</f>
        <v/>
      </c>
      <c r="S350" s="9">
        <f>IF(Q350="","",IF(MATCH(R350,$R$5:$R$100000,0)=ROW()-4,ROW(),""))</f>
        <v/>
      </c>
      <c r="T350" s="9">
        <f>IF(Q350="당기",ABS(P350)+ROW()/1000000000,"")</f>
        <v/>
      </c>
      <c r="U350" s="9">
        <f>IF(Q350="비교",ABS(P350)+ROW()/1000000000,"")</f>
        <v/>
      </c>
      <c r="V350" s="39">
        <f>IF($A350="","",IF(COUNTIF(변동분석!$E$7:$E$506,O350)&gt;0,"Y","N"))</f>
        <v/>
      </c>
      <c r="W350" s="39">
        <f>IF($A350="","",IFERROR(INDEX(계정매핑!$D$5:$D$504,MATCH($F350&amp;"",계정매핑!$A$5:$A$504,0)),"미매핑"))</f>
        <v/>
      </c>
      <c r="X350" s="9">
        <f>IF($A350="","",$F350&amp;"")</f>
        <v/>
      </c>
    </row>
    <row r="351">
      <c r="A351" s="75" t="n">
        <v>2025</v>
      </c>
      <c r="B351" s="75" t="n">
        <v>2</v>
      </c>
      <c r="C351" s="75" t="inlineStr">
        <is>
          <t>5100000347</t>
        </is>
      </c>
      <c r="D351" s="78" t="n">
        <v>45708</v>
      </c>
      <c r="E351" s="75" t="inlineStr">
        <is>
          <t>KR</t>
        </is>
      </c>
      <c r="F351" s="75" t="n">
        <v>62902000</v>
      </c>
      <c r="G351" s="75" t="n">
        <v>1801</v>
      </c>
      <c r="H351" s="76" t="n">
        <v>1834000</v>
      </c>
      <c r="I351" s="75" t="inlineStr">
        <is>
          <t>2월 콜 위탁 수수료(건별)</t>
        </is>
      </c>
      <c r="J351" s="75" t="inlineStr">
        <is>
          <t>V10013</t>
        </is>
      </c>
      <c r="K351" s="75" t="inlineStr">
        <is>
          <t>J콜센터</t>
        </is>
      </c>
      <c r="M351" s="9">
        <f>IF($A351="","",VALUE($A351&amp;"")*12+VALUE($B351&amp;""))</f>
        <v/>
      </c>
      <c r="N351" s="39">
        <f>IF($A351="","",IFERROR(INDEX(부서매핑!$C$5:$C$504,MATCH($G351&amp;"",부서매핑!$A$5:$A$504,0)),"미매핑"))</f>
        <v/>
      </c>
      <c r="O351" s="9">
        <f>IF($A351="","",N351&amp;"|"&amp;$F351)</f>
        <v/>
      </c>
      <c r="P351" s="77">
        <f>IF($A351="",0,$H351*설정!$C$23)</f>
        <v/>
      </c>
      <c r="Q351" s="39">
        <f>IF($A351="","",IF(O351&lt;&gt;원인분석!$C$9,"",IF(AND(M351&gt;=원인분석!$C$10,M351&lt;=원인분석!$C$11),"당기",IF(AND(M351&gt;=원인분석!$C$12,M351&lt;=원인분석!$C$13),"비교",""))))</f>
        <v/>
      </c>
      <c r="R351" s="9">
        <f>IF(Q351="","",$K351&amp;"")</f>
        <v/>
      </c>
      <c r="S351" s="9">
        <f>IF(Q351="","",IF(MATCH(R351,$R$5:$R$100000,0)=ROW()-4,ROW(),""))</f>
        <v/>
      </c>
      <c r="T351" s="9">
        <f>IF(Q351="당기",ABS(P351)+ROW()/1000000000,"")</f>
        <v/>
      </c>
      <c r="U351" s="9">
        <f>IF(Q351="비교",ABS(P351)+ROW()/1000000000,"")</f>
        <v/>
      </c>
      <c r="V351" s="39">
        <f>IF($A351="","",IF(COUNTIF(변동분석!$E$7:$E$506,O351)&gt;0,"Y","N"))</f>
        <v/>
      </c>
      <c r="W351" s="39">
        <f>IF($A351="","",IFERROR(INDEX(계정매핑!$D$5:$D$504,MATCH($F351&amp;"",계정매핑!$A$5:$A$504,0)),"미매핑"))</f>
        <v/>
      </c>
      <c r="X351" s="9">
        <f>IF($A351="","",$F351&amp;"")</f>
        <v/>
      </c>
    </row>
    <row r="352">
      <c r="A352" s="75" t="n">
        <v>2025</v>
      </c>
      <c r="B352" s="75" t="n">
        <v>2</v>
      </c>
      <c r="C352" s="75" t="inlineStr">
        <is>
          <t>5100000348</t>
        </is>
      </c>
      <c r="D352" s="78" t="n">
        <v>45709</v>
      </c>
      <c r="E352" s="75" t="inlineStr">
        <is>
          <t>KR</t>
        </is>
      </c>
      <c r="F352" s="75" t="n">
        <v>62201000</v>
      </c>
      <c r="G352" s="75" t="n">
        <v>1101</v>
      </c>
      <c r="H352" s="76" t="n">
        <v>287000</v>
      </c>
      <c r="I352" s="75" t="inlineStr">
        <is>
          <t>2월 통신요금 - O텔레콤</t>
        </is>
      </c>
      <c r="J352" s="75" t="inlineStr">
        <is>
          <t>V10002</t>
        </is>
      </c>
      <c r="K352" s="75" t="inlineStr">
        <is>
          <t>O텔레콤</t>
        </is>
      </c>
      <c r="M352" s="9">
        <f>IF($A352="","",VALUE($A352&amp;"")*12+VALUE($B352&amp;""))</f>
        <v/>
      </c>
      <c r="N352" s="39">
        <f>IF($A352="","",IFERROR(INDEX(부서매핑!$C$5:$C$504,MATCH($G352&amp;"",부서매핑!$A$5:$A$504,0)),"미매핑"))</f>
        <v/>
      </c>
      <c r="O352" s="9">
        <f>IF($A352="","",N352&amp;"|"&amp;$F352)</f>
        <v/>
      </c>
      <c r="P352" s="77">
        <f>IF($A352="",0,$H352*설정!$C$23)</f>
        <v/>
      </c>
      <c r="Q352" s="39">
        <f>IF($A352="","",IF(O352&lt;&gt;원인분석!$C$9,"",IF(AND(M352&gt;=원인분석!$C$10,M352&lt;=원인분석!$C$11),"당기",IF(AND(M352&gt;=원인분석!$C$12,M352&lt;=원인분석!$C$13),"비교",""))))</f>
        <v/>
      </c>
      <c r="R352" s="9">
        <f>IF(Q352="","",$K352&amp;"")</f>
        <v/>
      </c>
      <c r="S352" s="9">
        <f>IF(Q352="","",IF(MATCH(R352,$R$5:$R$100000,0)=ROW()-4,ROW(),""))</f>
        <v/>
      </c>
      <c r="T352" s="9">
        <f>IF(Q352="당기",ABS(P352)+ROW()/1000000000,"")</f>
        <v/>
      </c>
      <c r="U352" s="9">
        <f>IF(Q352="비교",ABS(P352)+ROW()/1000000000,"")</f>
        <v/>
      </c>
      <c r="V352" s="39">
        <f>IF($A352="","",IF(COUNTIF(변동분석!$E$7:$E$506,O352)&gt;0,"Y","N"))</f>
        <v/>
      </c>
      <c r="W352" s="39">
        <f>IF($A352="","",IFERROR(INDEX(계정매핑!$D$5:$D$504,MATCH($F352&amp;"",계정매핑!$A$5:$A$504,0)),"미매핑"))</f>
        <v/>
      </c>
      <c r="X352" s="9">
        <f>IF($A352="","",$F352&amp;"")</f>
        <v/>
      </c>
    </row>
    <row r="353">
      <c r="A353" s="75" t="n">
        <v>2025</v>
      </c>
      <c r="B353" s="75" t="n">
        <v>2</v>
      </c>
      <c r="C353" s="75" t="inlineStr">
        <is>
          <t>5100000349</t>
        </is>
      </c>
      <c r="D353" s="78" t="n">
        <v>45709</v>
      </c>
      <c r="E353" s="75" t="inlineStr">
        <is>
          <t>KR</t>
        </is>
      </c>
      <c r="F353" s="75" t="n">
        <v>62301000</v>
      </c>
      <c r="G353" s="75" t="n">
        <v>1401</v>
      </c>
      <c r="H353" s="76" t="n">
        <v>104000</v>
      </c>
      <c r="I353" s="75" t="inlineStr">
        <is>
          <t>2월 소모품 구입 - R문구</t>
        </is>
      </c>
      <c r="J353" s="75" t="inlineStr">
        <is>
          <t>V10018</t>
        </is>
      </c>
      <c r="K353" s="75" t="inlineStr">
        <is>
          <t>R문구</t>
        </is>
      </c>
      <c r="M353" s="9">
        <f>IF($A353="","",VALUE($A353&amp;"")*12+VALUE($B353&amp;""))</f>
        <v/>
      </c>
      <c r="N353" s="39">
        <f>IF($A353="","",IFERROR(INDEX(부서매핑!$C$5:$C$504,MATCH($G353&amp;"",부서매핑!$A$5:$A$504,0)),"미매핑"))</f>
        <v/>
      </c>
      <c r="O353" s="9">
        <f>IF($A353="","",N353&amp;"|"&amp;$F353)</f>
        <v/>
      </c>
      <c r="P353" s="77">
        <f>IF($A353="",0,$H353*설정!$C$23)</f>
        <v/>
      </c>
      <c r="Q353" s="39">
        <f>IF($A353="","",IF(O353&lt;&gt;원인분석!$C$9,"",IF(AND(M353&gt;=원인분석!$C$10,M353&lt;=원인분석!$C$11),"당기",IF(AND(M353&gt;=원인분석!$C$12,M353&lt;=원인분석!$C$13),"비교",""))))</f>
        <v/>
      </c>
      <c r="R353" s="9">
        <f>IF(Q353="","",$K353&amp;"")</f>
        <v/>
      </c>
      <c r="S353" s="9">
        <f>IF(Q353="","",IF(MATCH(R353,$R$5:$R$100000,0)=ROW()-4,ROW(),""))</f>
        <v/>
      </c>
      <c r="T353" s="9">
        <f>IF(Q353="당기",ABS(P353)+ROW()/1000000000,"")</f>
        <v/>
      </c>
      <c r="U353" s="9">
        <f>IF(Q353="비교",ABS(P353)+ROW()/1000000000,"")</f>
        <v/>
      </c>
      <c r="V353" s="39">
        <f>IF($A353="","",IF(COUNTIF(변동분석!$E$7:$E$506,O353)&gt;0,"Y","N"))</f>
        <v/>
      </c>
      <c r="W353" s="39">
        <f>IF($A353="","",IFERROR(INDEX(계정매핑!$D$5:$D$504,MATCH($F353&amp;"",계정매핑!$A$5:$A$504,0)),"미매핑"))</f>
        <v/>
      </c>
      <c r="X353" s="9">
        <f>IF($A353="","",$F353&amp;"")</f>
        <v/>
      </c>
    </row>
    <row r="354">
      <c r="A354" s="75" t="n">
        <v>2025</v>
      </c>
      <c r="B354" s="75" t="n">
        <v>2</v>
      </c>
      <c r="C354" s="75" t="inlineStr">
        <is>
          <t>5100000350</t>
        </is>
      </c>
      <c r="D354" s="78" t="n">
        <v>45709</v>
      </c>
      <c r="E354" s="75" t="inlineStr">
        <is>
          <t>KR</t>
        </is>
      </c>
      <c r="F354" s="75" t="n">
        <v>62501000</v>
      </c>
      <c r="G354" s="75" t="n">
        <v>1201</v>
      </c>
      <c r="H354" s="76" t="n">
        <v>160000</v>
      </c>
      <c r="I354" s="75" t="inlineStr">
        <is>
          <t>2월 회의 다과 - (법인카드)</t>
        </is>
      </c>
      <c r="J354" s="75" t="inlineStr">
        <is>
          <t>V10008</t>
        </is>
      </c>
      <c r="K354" s="75" t="inlineStr">
        <is>
          <t>(법인카드)</t>
        </is>
      </c>
      <c r="M354" s="9">
        <f>IF($A354="","",VALUE($A354&amp;"")*12+VALUE($B354&amp;""))</f>
        <v/>
      </c>
      <c r="N354" s="39">
        <f>IF($A354="","",IFERROR(INDEX(부서매핑!$C$5:$C$504,MATCH($G354&amp;"",부서매핑!$A$5:$A$504,0)),"미매핑"))</f>
        <v/>
      </c>
      <c r="O354" s="9">
        <f>IF($A354="","",N354&amp;"|"&amp;$F354)</f>
        <v/>
      </c>
      <c r="P354" s="77">
        <f>IF($A354="",0,$H354*설정!$C$23)</f>
        <v/>
      </c>
      <c r="Q354" s="39">
        <f>IF($A354="","",IF(O354&lt;&gt;원인분석!$C$9,"",IF(AND(M354&gt;=원인분석!$C$10,M354&lt;=원인분석!$C$11),"당기",IF(AND(M354&gt;=원인분석!$C$12,M354&lt;=원인분석!$C$13),"비교",""))))</f>
        <v/>
      </c>
      <c r="R354" s="9">
        <f>IF(Q354="","",$K354&amp;"")</f>
        <v/>
      </c>
      <c r="S354" s="9">
        <f>IF(Q354="","",IF(MATCH(R354,$R$5:$R$100000,0)=ROW()-4,ROW(),""))</f>
        <v/>
      </c>
      <c r="T354" s="9">
        <f>IF(Q354="당기",ABS(P354)+ROW()/1000000000,"")</f>
        <v/>
      </c>
      <c r="U354" s="9">
        <f>IF(Q354="비교",ABS(P354)+ROW()/1000000000,"")</f>
        <v/>
      </c>
      <c r="V354" s="39">
        <f>IF($A354="","",IF(COUNTIF(변동분석!$E$7:$E$506,O354)&gt;0,"Y","N"))</f>
        <v/>
      </c>
      <c r="W354" s="39">
        <f>IF($A354="","",IFERROR(INDEX(계정매핑!$D$5:$D$504,MATCH($F354&amp;"",계정매핑!$A$5:$A$504,0)),"미매핑"))</f>
        <v/>
      </c>
      <c r="X354" s="9">
        <f>IF($A354="","",$F354&amp;"")</f>
        <v/>
      </c>
    </row>
    <row r="355">
      <c r="A355" s="75" t="n">
        <v>2025</v>
      </c>
      <c r="B355" s="75" t="n">
        <v>2</v>
      </c>
      <c r="C355" s="75" t="inlineStr">
        <is>
          <t>5100000351</t>
        </is>
      </c>
      <c r="D355" s="78" t="n">
        <v>45709</v>
      </c>
      <c r="E355" s="75" t="inlineStr">
        <is>
          <t>KR</t>
        </is>
      </c>
      <c r="F355" s="75" t="n">
        <v>62701000</v>
      </c>
      <c r="G355" s="75" t="n">
        <v>1502</v>
      </c>
      <c r="H355" s="76" t="n">
        <v>40983000</v>
      </c>
      <c r="I355" s="75" t="inlineStr">
        <is>
          <t>2월 광고 집행 - E미디어</t>
        </is>
      </c>
      <c r="J355" s="75" t="inlineStr">
        <is>
          <t>V10027</t>
        </is>
      </c>
      <c r="K355" s="75" t="inlineStr">
        <is>
          <t>E미디어</t>
        </is>
      </c>
      <c r="M355" s="9">
        <f>IF($A355="","",VALUE($A355&amp;"")*12+VALUE($B355&amp;""))</f>
        <v/>
      </c>
      <c r="N355" s="39">
        <f>IF($A355="","",IFERROR(INDEX(부서매핑!$C$5:$C$504,MATCH($G355&amp;"",부서매핑!$A$5:$A$504,0)),"미매핑"))</f>
        <v/>
      </c>
      <c r="O355" s="9">
        <f>IF($A355="","",N355&amp;"|"&amp;$F355)</f>
        <v/>
      </c>
      <c r="P355" s="77">
        <f>IF($A355="",0,$H355*설정!$C$23)</f>
        <v/>
      </c>
      <c r="Q355" s="39">
        <f>IF($A355="","",IF(O355&lt;&gt;원인분석!$C$9,"",IF(AND(M355&gt;=원인분석!$C$10,M355&lt;=원인분석!$C$11),"당기",IF(AND(M355&gt;=원인분석!$C$12,M355&lt;=원인분석!$C$13),"비교",""))))</f>
        <v/>
      </c>
      <c r="R355" s="9">
        <f>IF(Q355="","",$K355&amp;"")</f>
        <v/>
      </c>
      <c r="S355" s="9">
        <f>IF(Q355="","",IF(MATCH(R355,$R$5:$R$100000,0)=ROW()-4,ROW(),""))</f>
        <v/>
      </c>
      <c r="T355" s="9">
        <f>IF(Q355="당기",ABS(P355)+ROW()/1000000000,"")</f>
        <v/>
      </c>
      <c r="U355" s="9">
        <f>IF(Q355="비교",ABS(P355)+ROW()/1000000000,"")</f>
        <v/>
      </c>
      <c r="V355" s="39">
        <f>IF($A355="","",IF(COUNTIF(변동분석!$E$7:$E$506,O355)&gt;0,"Y","N"))</f>
        <v/>
      </c>
      <c r="W355" s="39">
        <f>IF($A355="","",IFERROR(INDEX(계정매핑!$D$5:$D$504,MATCH($F355&amp;"",계정매핑!$A$5:$A$504,0)),"미매핑"))</f>
        <v/>
      </c>
      <c r="X355" s="9">
        <f>IF($A355="","",$F355&amp;"")</f>
        <v/>
      </c>
    </row>
    <row r="356">
      <c r="A356" s="75" t="n">
        <v>2025</v>
      </c>
      <c r="B356" s="75" t="n">
        <v>2</v>
      </c>
      <c r="C356" s="75" t="inlineStr">
        <is>
          <t>5100000352</t>
        </is>
      </c>
      <c r="D356" s="78" t="n">
        <v>45709</v>
      </c>
      <c r="E356" s="75" t="inlineStr">
        <is>
          <t>KR</t>
        </is>
      </c>
      <c r="F356" s="75" t="n">
        <v>62902000</v>
      </c>
      <c r="G356" s="75" t="n">
        <v>1401</v>
      </c>
      <c r="H356" s="76" t="n">
        <v>2488000</v>
      </c>
      <c r="I356" s="75" t="inlineStr">
        <is>
          <t>2월 업무 위탁 수수료 - J콜센터</t>
        </is>
      </c>
      <c r="J356" s="75" t="inlineStr">
        <is>
          <t>V10013</t>
        </is>
      </c>
      <c r="K356" s="75" t="inlineStr">
        <is>
          <t>J콜센터</t>
        </is>
      </c>
      <c r="M356" s="9">
        <f>IF($A356="","",VALUE($A356&amp;"")*12+VALUE($B356&amp;""))</f>
        <v/>
      </c>
      <c r="N356" s="39">
        <f>IF($A356="","",IFERROR(INDEX(부서매핑!$C$5:$C$504,MATCH($G356&amp;"",부서매핑!$A$5:$A$504,0)),"미매핑"))</f>
        <v/>
      </c>
      <c r="O356" s="9">
        <f>IF($A356="","",N356&amp;"|"&amp;$F356)</f>
        <v/>
      </c>
      <c r="P356" s="77">
        <f>IF($A356="",0,$H356*설정!$C$23)</f>
        <v/>
      </c>
      <c r="Q356" s="39">
        <f>IF($A356="","",IF(O356&lt;&gt;원인분석!$C$9,"",IF(AND(M356&gt;=원인분석!$C$10,M356&lt;=원인분석!$C$11),"당기",IF(AND(M356&gt;=원인분석!$C$12,M356&lt;=원인분석!$C$13),"비교",""))))</f>
        <v/>
      </c>
      <c r="R356" s="9">
        <f>IF(Q356="","",$K356&amp;"")</f>
        <v/>
      </c>
      <c r="S356" s="9">
        <f>IF(Q356="","",IF(MATCH(R356,$R$5:$R$100000,0)=ROW()-4,ROW(),""))</f>
        <v/>
      </c>
      <c r="T356" s="9">
        <f>IF(Q356="당기",ABS(P356)+ROW()/1000000000,"")</f>
        <v/>
      </c>
      <c r="U356" s="9">
        <f>IF(Q356="비교",ABS(P356)+ROW()/1000000000,"")</f>
        <v/>
      </c>
      <c r="V356" s="39">
        <f>IF($A356="","",IF(COUNTIF(변동분석!$E$7:$E$506,O356)&gt;0,"Y","N"))</f>
        <v/>
      </c>
      <c r="W356" s="39">
        <f>IF($A356="","",IFERROR(INDEX(계정매핑!$D$5:$D$504,MATCH($F356&amp;"",계정매핑!$A$5:$A$504,0)),"미매핑"))</f>
        <v/>
      </c>
      <c r="X356" s="9">
        <f>IF($A356="","",$F356&amp;"")</f>
        <v/>
      </c>
    </row>
    <row r="357">
      <c r="A357" s="75" t="n">
        <v>2025</v>
      </c>
      <c r="B357" s="75" t="n">
        <v>2</v>
      </c>
      <c r="C357" s="75" t="inlineStr">
        <is>
          <t>5100000353</t>
        </is>
      </c>
      <c r="D357" s="78" t="n">
        <v>45710</v>
      </c>
      <c r="E357" s="75" t="inlineStr">
        <is>
          <t>KR</t>
        </is>
      </c>
      <c r="F357" s="75" t="n">
        <v>62101000</v>
      </c>
      <c r="G357" s="75" t="n">
        <v>1501</v>
      </c>
      <c r="H357" s="76" t="n">
        <v>573000</v>
      </c>
      <c r="I357" s="75" t="inlineStr">
        <is>
          <t>2월 국내출장 - M항공</t>
        </is>
      </c>
      <c r="J357" s="75" t="inlineStr">
        <is>
          <t>V10001</t>
        </is>
      </c>
      <c r="K357" s="75" t="inlineStr">
        <is>
          <t>M항공</t>
        </is>
      </c>
      <c r="M357" s="9">
        <f>IF($A357="","",VALUE($A357&amp;"")*12+VALUE($B357&amp;""))</f>
        <v/>
      </c>
      <c r="N357" s="39">
        <f>IF($A357="","",IFERROR(INDEX(부서매핑!$C$5:$C$504,MATCH($G357&amp;"",부서매핑!$A$5:$A$504,0)),"미매핑"))</f>
        <v/>
      </c>
      <c r="O357" s="9">
        <f>IF($A357="","",N357&amp;"|"&amp;$F357)</f>
        <v/>
      </c>
      <c r="P357" s="77">
        <f>IF($A357="",0,$H357*설정!$C$23)</f>
        <v/>
      </c>
      <c r="Q357" s="39">
        <f>IF($A357="","",IF(O357&lt;&gt;원인분석!$C$9,"",IF(AND(M357&gt;=원인분석!$C$10,M357&lt;=원인분석!$C$11),"당기",IF(AND(M357&gt;=원인분석!$C$12,M357&lt;=원인분석!$C$13),"비교",""))))</f>
        <v/>
      </c>
      <c r="R357" s="9">
        <f>IF(Q357="","",$K357&amp;"")</f>
        <v/>
      </c>
      <c r="S357" s="9">
        <f>IF(Q357="","",IF(MATCH(R357,$R$5:$R$100000,0)=ROW()-4,ROW(),""))</f>
        <v/>
      </c>
      <c r="T357" s="9">
        <f>IF(Q357="당기",ABS(P357)+ROW()/1000000000,"")</f>
        <v/>
      </c>
      <c r="U357" s="9">
        <f>IF(Q357="비교",ABS(P357)+ROW()/1000000000,"")</f>
        <v/>
      </c>
      <c r="V357" s="39">
        <f>IF($A357="","",IF(COUNTIF(변동분석!$E$7:$E$506,O357)&gt;0,"Y","N"))</f>
        <v/>
      </c>
      <c r="W357" s="39">
        <f>IF($A357="","",IFERROR(INDEX(계정매핑!$D$5:$D$504,MATCH($F357&amp;"",계정매핑!$A$5:$A$504,0)),"미매핑"))</f>
        <v/>
      </c>
      <c r="X357" s="9">
        <f>IF($A357="","",$F357&amp;"")</f>
        <v/>
      </c>
    </row>
    <row r="358">
      <c r="A358" s="75" t="n">
        <v>2025</v>
      </c>
      <c r="B358" s="75" t="n">
        <v>2</v>
      </c>
      <c r="C358" s="75" t="inlineStr">
        <is>
          <t>5100000354</t>
        </is>
      </c>
      <c r="D358" s="78" t="n">
        <v>45710</v>
      </c>
      <c r="E358" s="75" t="inlineStr">
        <is>
          <t>KR</t>
        </is>
      </c>
      <c r="F358" s="75" t="n">
        <v>62201000</v>
      </c>
      <c r="G358" s="75" t="n">
        <v>1101</v>
      </c>
      <c r="H358" s="76" t="n">
        <v>216000</v>
      </c>
      <c r="I358" s="75" t="inlineStr">
        <is>
          <t>2월 통신요금 - P통신</t>
        </is>
      </c>
      <c r="J358" s="75" t="inlineStr">
        <is>
          <t>V10011</t>
        </is>
      </c>
      <c r="K358" s="75" t="inlineStr">
        <is>
          <t>P통신</t>
        </is>
      </c>
      <c r="M358" s="9">
        <f>IF($A358="","",VALUE($A358&amp;"")*12+VALUE($B358&amp;""))</f>
        <v/>
      </c>
      <c r="N358" s="39">
        <f>IF($A358="","",IFERROR(INDEX(부서매핑!$C$5:$C$504,MATCH($G358&amp;"",부서매핑!$A$5:$A$504,0)),"미매핑"))</f>
        <v/>
      </c>
      <c r="O358" s="9">
        <f>IF($A358="","",N358&amp;"|"&amp;$F358)</f>
        <v/>
      </c>
      <c r="P358" s="77">
        <f>IF($A358="",0,$H358*설정!$C$23)</f>
        <v/>
      </c>
      <c r="Q358" s="39">
        <f>IF($A358="","",IF(O358&lt;&gt;원인분석!$C$9,"",IF(AND(M358&gt;=원인분석!$C$10,M358&lt;=원인분석!$C$11),"당기",IF(AND(M358&gt;=원인분석!$C$12,M358&lt;=원인분석!$C$13),"비교",""))))</f>
        <v/>
      </c>
      <c r="R358" s="9">
        <f>IF(Q358="","",$K358&amp;"")</f>
        <v/>
      </c>
      <c r="S358" s="9">
        <f>IF(Q358="","",IF(MATCH(R358,$R$5:$R$100000,0)=ROW()-4,ROW(),""))</f>
        <v/>
      </c>
      <c r="T358" s="9">
        <f>IF(Q358="당기",ABS(P358)+ROW()/1000000000,"")</f>
        <v/>
      </c>
      <c r="U358" s="9">
        <f>IF(Q358="비교",ABS(P358)+ROW()/1000000000,"")</f>
        <v/>
      </c>
      <c r="V358" s="39">
        <f>IF($A358="","",IF(COUNTIF(변동분석!$E$7:$E$506,O358)&gt;0,"Y","N"))</f>
        <v/>
      </c>
      <c r="W358" s="39">
        <f>IF($A358="","",IFERROR(INDEX(계정매핑!$D$5:$D$504,MATCH($F358&amp;"",계정매핑!$A$5:$A$504,0)),"미매핑"))</f>
        <v/>
      </c>
      <c r="X358" s="9">
        <f>IF($A358="","",$F358&amp;"")</f>
        <v/>
      </c>
    </row>
    <row r="359">
      <c r="A359" s="75" t="n">
        <v>2025</v>
      </c>
      <c r="B359" s="75" t="n">
        <v>2</v>
      </c>
      <c r="C359" s="75" t="inlineStr">
        <is>
          <t>5100000355</t>
        </is>
      </c>
      <c r="D359" s="78" t="n">
        <v>45710</v>
      </c>
      <c r="E359" s="75" t="inlineStr">
        <is>
          <t>KR</t>
        </is>
      </c>
      <c r="F359" s="75" t="n">
        <v>62501000</v>
      </c>
      <c r="G359" s="75" t="n">
        <v>1201</v>
      </c>
      <c r="H359" s="76" t="n">
        <v>149000</v>
      </c>
      <c r="I359" s="75" t="inlineStr">
        <is>
          <t>2월 회의 다과 - T케이터링</t>
        </is>
      </c>
      <c r="J359" s="75" t="inlineStr">
        <is>
          <t>V10005</t>
        </is>
      </c>
      <c r="K359" s="75" t="inlineStr">
        <is>
          <t>T케이터링</t>
        </is>
      </c>
      <c r="M359" s="9">
        <f>IF($A359="","",VALUE($A359&amp;"")*12+VALUE($B359&amp;""))</f>
        <v/>
      </c>
      <c r="N359" s="39">
        <f>IF($A359="","",IFERROR(INDEX(부서매핑!$C$5:$C$504,MATCH($G359&amp;"",부서매핑!$A$5:$A$504,0)),"미매핑"))</f>
        <v/>
      </c>
      <c r="O359" s="9">
        <f>IF($A359="","",N359&amp;"|"&amp;$F359)</f>
        <v/>
      </c>
      <c r="P359" s="77">
        <f>IF($A359="",0,$H359*설정!$C$23)</f>
        <v/>
      </c>
      <c r="Q359" s="39">
        <f>IF($A359="","",IF(O359&lt;&gt;원인분석!$C$9,"",IF(AND(M359&gt;=원인분석!$C$10,M359&lt;=원인분석!$C$11),"당기",IF(AND(M359&gt;=원인분석!$C$12,M359&lt;=원인분석!$C$13),"비교",""))))</f>
        <v/>
      </c>
      <c r="R359" s="9">
        <f>IF(Q359="","",$K359&amp;"")</f>
        <v/>
      </c>
      <c r="S359" s="9">
        <f>IF(Q359="","",IF(MATCH(R359,$R$5:$R$100000,0)=ROW()-4,ROW(),""))</f>
        <v/>
      </c>
      <c r="T359" s="9">
        <f>IF(Q359="당기",ABS(P359)+ROW()/1000000000,"")</f>
        <v/>
      </c>
      <c r="U359" s="9">
        <f>IF(Q359="비교",ABS(P359)+ROW()/1000000000,"")</f>
        <v/>
      </c>
      <c r="V359" s="39">
        <f>IF($A359="","",IF(COUNTIF(변동분석!$E$7:$E$506,O359)&gt;0,"Y","N"))</f>
        <v/>
      </c>
      <c r="W359" s="39">
        <f>IF($A359="","",IFERROR(INDEX(계정매핑!$D$5:$D$504,MATCH($F359&amp;"",계정매핑!$A$5:$A$504,0)),"미매핑"))</f>
        <v/>
      </c>
      <c r="X359" s="9">
        <f>IF($A359="","",$F359&amp;"")</f>
        <v/>
      </c>
    </row>
    <row r="360">
      <c r="A360" s="75" t="n">
        <v>2025</v>
      </c>
      <c r="B360" s="75" t="n">
        <v>2</v>
      </c>
      <c r="C360" s="75" t="inlineStr">
        <is>
          <t>5100000356</t>
        </is>
      </c>
      <c r="D360" s="78" t="n">
        <v>45710</v>
      </c>
      <c r="E360" s="75" t="inlineStr">
        <is>
          <t>KR</t>
        </is>
      </c>
      <c r="F360" s="75" t="n">
        <v>62501000</v>
      </c>
      <c r="G360" s="75" t="n">
        <v>1701</v>
      </c>
      <c r="H360" s="76" t="n">
        <v>179000</v>
      </c>
      <c r="I360" s="75" t="inlineStr">
        <is>
          <t>2월 회의 다과 - (법인카드)</t>
        </is>
      </c>
      <c r="J360" s="75" t="inlineStr">
        <is>
          <t>V10008</t>
        </is>
      </c>
      <c r="K360" s="75" t="inlineStr">
        <is>
          <t>(법인카드)</t>
        </is>
      </c>
      <c r="M360" s="9">
        <f>IF($A360="","",VALUE($A360&amp;"")*12+VALUE($B360&amp;""))</f>
        <v/>
      </c>
      <c r="N360" s="39">
        <f>IF($A360="","",IFERROR(INDEX(부서매핑!$C$5:$C$504,MATCH($G360&amp;"",부서매핑!$A$5:$A$504,0)),"미매핑"))</f>
        <v/>
      </c>
      <c r="O360" s="9">
        <f>IF($A360="","",N360&amp;"|"&amp;$F360)</f>
        <v/>
      </c>
      <c r="P360" s="77">
        <f>IF($A360="",0,$H360*설정!$C$23)</f>
        <v/>
      </c>
      <c r="Q360" s="39">
        <f>IF($A360="","",IF(O360&lt;&gt;원인분석!$C$9,"",IF(AND(M360&gt;=원인분석!$C$10,M360&lt;=원인분석!$C$11),"당기",IF(AND(M360&gt;=원인분석!$C$12,M360&lt;=원인분석!$C$13),"비교",""))))</f>
        <v/>
      </c>
      <c r="R360" s="9">
        <f>IF(Q360="","",$K360&amp;"")</f>
        <v/>
      </c>
      <c r="S360" s="9">
        <f>IF(Q360="","",IF(MATCH(R360,$R$5:$R$100000,0)=ROW()-4,ROW(),""))</f>
        <v/>
      </c>
      <c r="T360" s="9">
        <f>IF(Q360="당기",ABS(P360)+ROW()/1000000000,"")</f>
        <v/>
      </c>
      <c r="U360" s="9">
        <f>IF(Q360="비교",ABS(P360)+ROW()/1000000000,"")</f>
        <v/>
      </c>
      <c r="V360" s="39">
        <f>IF($A360="","",IF(COUNTIF(변동분석!$E$7:$E$506,O360)&gt;0,"Y","N"))</f>
        <v/>
      </c>
      <c r="W360" s="39">
        <f>IF($A360="","",IFERROR(INDEX(계정매핑!$D$5:$D$504,MATCH($F360&amp;"",계정매핑!$A$5:$A$504,0)),"미매핑"))</f>
        <v/>
      </c>
      <c r="X360" s="9">
        <f>IF($A360="","",$F360&amp;"")</f>
        <v/>
      </c>
    </row>
    <row r="361">
      <c r="A361" s="75" t="n">
        <v>2025</v>
      </c>
      <c r="B361" s="75" t="n">
        <v>2</v>
      </c>
      <c r="C361" s="75" t="inlineStr">
        <is>
          <t>5100000357</t>
        </is>
      </c>
      <c r="D361" s="78" t="n">
        <v>45710</v>
      </c>
      <c r="E361" s="75" t="inlineStr">
        <is>
          <t>KR</t>
        </is>
      </c>
      <c r="F361" s="75" t="n">
        <v>63101000</v>
      </c>
      <c r="G361" s="75" t="n">
        <v>1601</v>
      </c>
      <c r="H361" s="76" t="n">
        <v>4873000</v>
      </c>
      <c r="I361" s="75" t="inlineStr">
        <is>
          <t>2월 사무실 임차료 - BB부동산</t>
        </is>
      </c>
      <c r="J361" s="75" t="inlineStr">
        <is>
          <t>V10024</t>
        </is>
      </c>
      <c r="K361" s="75" t="inlineStr">
        <is>
          <t>BB부동산</t>
        </is>
      </c>
      <c r="M361" s="9">
        <f>IF($A361="","",VALUE($A361&amp;"")*12+VALUE($B361&amp;""))</f>
        <v/>
      </c>
      <c r="N361" s="39">
        <f>IF($A361="","",IFERROR(INDEX(부서매핑!$C$5:$C$504,MATCH($G361&amp;"",부서매핑!$A$5:$A$504,0)),"미매핑"))</f>
        <v/>
      </c>
      <c r="O361" s="9">
        <f>IF($A361="","",N361&amp;"|"&amp;$F361)</f>
        <v/>
      </c>
      <c r="P361" s="77">
        <f>IF($A361="",0,$H361*설정!$C$23)</f>
        <v/>
      </c>
      <c r="Q361" s="39">
        <f>IF($A361="","",IF(O361&lt;&gt;원인분석!$C$9,"",IF(AND(M361&gt;=원인분석!$C$10,M361&lt;=원인분석!$C$11),"당기",IF(AND(M361&gt;=원인분석!$C$12,M361&lt;=원인분석!$C$13),"비교",""))))</f>
        <v/>
      </c>
      <c r="R361" s="9">
        <f>IF(Q361="","",$K361&amp;"")</f>
        <v/>
      </c>
      <c r="S361" s="9">
        <f>IF(Q361="","",IF(MATCH(R361,$R$5:$R$100000,0)=ROW()-4,ROW(),""))</f>
        <v/>
      </c>
      <c r="T361" s="9">
        <f>IF(Q361="당기",ABS(P361)+ROW()/1000000000,"")</f>
        <v/>
      </c>
      <c r="U361" s="9">
        <f>IF(Q361="비교",ABS(P361)+ROW()/1000000000,"")</f>
        <v/>
      </c>
      <c r="V361" s="39">
        <f>IF($A361="","",IF(COUNTIF(변동분석!$E$7:$E$506,O361)&gt;0,"Y","N"))</f>
        <v/>
      </c>
      <c r="W361" s="39">
        <f>IF($A361="","",IFERROR(INDEX(계정매핑!$D$5:$D$504,MATCH($F361&amp;"",계정매핑!$A$5:$A$504,0)),"미매핑"))</f>
        <v/>
      </c>
      <c r="X361" s="9">
        <f>IF($A361="","",$F361&amp;"")</f>
        <v/>
      </c>
    </row>
    <row r="362">
      <c r="A362" s="75" t="n">
        <v>2025</v>
      </c>
      <c r="B362" s="75" t="n">
        <v>2</v>
      </c>
      <c r="C362" s="75" t="inlineStr">
        <is>
          <t>5100000358</t>
        </is>
      </c>
      <c r="D362" s="78" t="n">
        <v>45711</v>
      </c>
      <c r="E362" s="75" t="inlineStr">
        <is>
          <t>KR</t>
        </is>
      </c>
      <c r="F362" s="75" t="n">
        <v>62101000</v>
      </c>
      <c r="G362" s="75" t="n">
        <v>1801</v>
      </c>
      <c r="H362" s="76" t="n">
        <v>196000</v>
      </c>
      <c r="I362" s="75" t="inlineStr">
        <is>
          <t>2월 국내출장 - (법인카드)</t>
        </is>
      </c>
      <c r="J362" s="75" t="inlineStr">
        <is>
          <t>V10008</t>
        </is>
      </c>
      <c r="K362" s="75" t="inlineStr">
        <is>
          <t>(법인카드)</t>
        </is>
      </c>
      <c r="M362" s="9">
        <f>IF($A362="","",VALUE($A362&amp;"")*12+VALUE($B362&amp;""))</f>
        <v/>
      </c>
      <c r="N362" s="39">
        <f>IF($A362="","",IFERROR(INDEX(부서매핑!$C$5:$C$504,MATCH($G362&amp;"",부서매핑!$A$5:$A$504,0)),"미매핑"))</f>
        <v/>
      </c>
      <c r="O362" s="9">
        <f>IF($A362="","",N362&amp;"|"&amp;$F362)</f>
        <v/>
      </c>
      <c r="P362" s="77">
        <f>IF($A362="",0,$H362*설정!$C$23)</f>
        <v/>
      </c>
      <c r="Q362" s="39">
        <f>IF($A362="","",IF(O362&lt;&gt;원인분석!$C$9,"",IF(AND(M362&gt;=원인분석!$C$10,M362&lt;=원인분석!$C$11),"당기",IF(AND(M362&gt;=원인분석!$C$12,M362&lt;=원인분석!$C$13),"비교",""))))</f>
        <v/>
      </c>
      <c r="R362" s="9">
        <f>IF(Q362="","",$K362&amp;"")</f>
        <v/>
      </c>
      <c r="S362" s="9">
        <f>IF(Q362="","",IF(MATCH(R362,$R$5:$R$100000,0)=ROW()-4,ROW(),""))</f>
        <v/>
      </c>
      <c r="T362" s="9">
        <f>IF(Q362="당기",ABS(P362)+ROW()/1000000000,"")</f>
        <v/>
      </c>
      <c r="U362" s="9">
        <f>IF(Q362="비교",ABS(P362)+ROW()/1000000000,"")</f>
        <v/>
      </c>
      <c r="V362" s="39">
        <f>IF($A362="","",IF(COUNTIF(변동분석!$E$7:$E$506,O362)&gt;0,"Y","N"))</f>
        <v/>
      </c>
      <c r="W362" s="39">
        <f>IF($A362="","",IFERROR(INDEX(계정매핑!$D$5:$D$504,MATCH($F362&amp;"",계정매핑!$A$5:$A$504,0)),"미매핑"))</f>
        <v/>
      </c>
      <c r="X362" s="9">
        <f>IF($A362="","",$F362&amp;"")</f>
        <v/>
      </c>
    </row>
    <row r="363">
      <c r="A363" s="75" t="n">
        <v>2025</v>
      </c>
      <c r="B363" s="75" t="n">
        <v>2</v>
      </c>
      <c r="C363" s="75" t="inlineStr">
        <is>
          <t>5100000359</t>
        </is>
      </c>
      <c r="D363" s="78" t="n">
        <v>45711</v>
      </c>
      <c r="E363" s="75" t="inlineStr">
        <is>
          <t>KR</t>
        </is>
      </c>
      <c r="F363" s="75" t="n">
        <v>62102000</v>
      </c>
      <c r="G363" s="75" t="n">
        <v>1101</v>
      </c>
      <c r="H363" s="76" t="n">
        <v>105000</v>
      </c>
      <c r="I363" s="75" t="inlineStr">
        <is>
          <t>2월 해외출장 - M항공</t>
        </is>
      </c>
      <c r="J363" s="75" t="inlineStr">
        <is>
          <t>V10001</t>
        </is>
      </c>
      <c r="K363" s="75" t="inlineStr">
        <is>
          <t>M항공</t>
        </is>
      </c>
      <c r="M363" s="9">
        <f>IF($A363="","",VALUE($A363&amp;"")*12+VALUE($B363&amp;""))</f>
        <v/>
      </c>
      <c r="N363" s="39">
        <f>IF($A363="","",IFERROR(INDEX(부서매핑!$C$5:$C$504,MATCH($G363&amp;"",부서매핑!$A$5:$A$504,0)),"미매핑"))</f>
        <v/>
      </c>
      <c r="O363" s="9">
        <f>IF($A363="","",N363&amp;"|"&amp;$F363)</f>
        <v/>
      </c>
      <c r="P363" s="77">
        <f>IF($A363="",0,$H363*설정!$C$23)</f>
        <v/>
      </c>
      <c r="Q363" s="39">
        <f>IF($A363="","",IF(O363&lt;&gt;원인분석!$C$9,"",IF(AND(M363&gt;=원인분석!$C$10,M363&lt;=원인분석!$C$11),"당기",IF(AND(M363&gt;=원인분석!$C$12,M363&lt;=원인분석!$C$13),"비교",""))))</f>
        <v/>
      </c>
      <c r="R363" s="9">
        <f>IF(Q363="","",$K363&amp;"")</f>
        <v/>
      </c>
      <c r="S363" s="9">
        <f>IF(Q363="","",IF(MATCH(R363,$R$5:$R$100000,0)=ROW()-4,ROW(),""))</f>
        <v/>
      </c>
      <c r="T363" s="9">
        <f>IF(Q363="당기",ABS(P363)+ROW()/1000000000,"")</f>
        <v/>
      </c>
      <c r="U363" s="9">
        <f>IF(Q363="비교",ABS(P363)+ROW()/1000000000,"")</f>
        <v/>
      </c>
      <c r="V363" s="39">
        <f>IF($A363="","",IF(COUNTIF(변동분석!$E$7:$E$506,O363)&gt;0,"Y","N"))</f>
        <v/>
      </c>
      <c r="W363" s="39">
        <f>IF($A363="","",IFERROR(INDEX(계정매핑!$D$5:$D$504,MATCH($F363&amp;"",계정매핑!$A$5:$A$504,0)),"미매핑"))</f>
        <v/>
      </c>
      <c r="X363" s="9">
        <f>IF($A363="","",$F363&amp;"")</f>
        <v/>
      </c>
    </row>
    <row r="364">
      <c r="A364" s="75" t="n">
        <v>2025</v>
      </c>
      <c r="B364" s="75" t="n">
        <v>2</v>
      </c>
      <c r="C364" s="75" t="inlineStr">
        <is>
          <t>5100000360</t>
        </is>
      </c>
      <c r="D364" s="78" t="n">
        <v>45711</v>
      </c>
      <c r="E364" s="75" t="inlineStr">
        <is>
          <t>KR</t>
        </is>
      </c>
      <c r="F364" s="75" t="n">
        <v>62201000</v>
      </c>
      <c r="G364" s="75" t="n">
        <v>1701</v>
      </c>
      <c r="H364" s="76" t="n">
        <v>3836000</v>
      </c>
      <c r="I364" s="75" t="inlineStr">
        <is>
          <t>2월 통신요금 - O텔레콤</t>
        </is>
      </c>
      <c r="J364" s="75" t="inlineStr">
        <is>
          <t>V10002</t>
        </is>
      </c>
      <c r="K364" s="75" t="inlineStr">
        <is>
          <t>O텔레콤</t>
        </is>
      </c>
      <c r="M364" s="9">
        <f>IF($A364="","",VALUE($A364&amp;"")*12+VALUE($B364&amp;""))</f>
        <v/>
      </c>
      <c r="N364" s="39">
        <f>IF($A364="","",IFERROR(INDEX(부서매핑!$C$5:$C$504,MATCH($G364&amp;"",부서매핑!$A$5:$A$504,0)),"미매핑"))</f>
        <v/>
      </c>
      <c r="O364" s="9">
        <f>IF($A364="","",N364&amp;"|"&amp;$F364)</f>
        <v/>
      </c>
      <c r="P364" s="77">
        <f>IF($A364="",0,$H364*설정!$C$23)</f>
        <v/>
      </c>
      <c r="Q364" s="39">
        <f>IF($A364="","",IF(O364&lt;&gt;원인분석!$C$9,"",IF(AND(M364&gt;=원인분석!$C$10,M364&lt;=원인분석!$C$11),"당기",IF(AND(M364&gt;=원인분석!$C$12,M364&lt;=원인분석!$C$13),"비교",""))))</f>
        <v/>
      </c>
      <c r="R364" s="9">
        <f>IF(Q364="","",$K364&amp;"")</f>
        <v/>
      </c>
      <c r="S364" s="9">
        <f>IF(Q364="","",IF(MATCH(R364,$R$5:$R$100000,0)=ROW()-4,ROW(),""))</f>
        <v/>
      </c>
      <c r="T364" s="9">
        <f>IF(Q364="당기",ABS(P364)+ROW()/1000000000,"")</f>
        <v/>
      </c>
      <c r="U364" s="9">
        <f>IF(Q364="비교",ABS(P364)+ROW()/1000000000,"")</f>
        <v/>
      </c>
      <c r="V364" s="39">
        <f>IF($A364="","",IF(COUNTIF(변동분석!$E$7:$E$506,O364)&gt;0,"Y","N"))</f>
        <v/>
      </c>
      <c r="W364" s="39">
        <f>IF($A364="","",IFERROR(INDEX(계정매핑!$D$5:$D$504,MATCH($F364&amp;"",계정매핑!$A$5:$A$504,0)),"미매핑"))</f>
        <v/>
      </c>
      <c r="X364" s="9">
        <f>IF($A364="","",$F364&amp;"")</f>
        <v/>
      </c>
    </row>
    <row r="365">
      <c r="A365" s="75" t="n">
        <v>2025</v>
      </c>
      <c r="B365" s="75" t="n">
        <v>2</v>
      </c>
      <c r="C365" s="75" t="inlineStr">
        <is>
          <t>5100000361</t>
        </is>
      </c>
      <c r="D365" s="78" t="n">
        <v>45711</v>
      </c>
      <c r="E365" s="75" t="inlineStr">
        <is>
          <t>KR</t>
        </is>
      </c>
      <c r="F365" s="75" t="n">
        <v>62201000</v>
      </c>
      <c r="G365" s="75" t="n">
        <v>1701</v>
      </c>
      <c r="H365" s="76" t="n">
        <v>2526000</v>
      </c>
      <c r="I365" s="75" t="inlineStr">
        <is>
          <t>2월 통신요금 - P통신</t>
        </is>
      </c>
      <c r="J365" s="75" t="inlineStr">
        <is>
          <t>V10011</t>
        </is>
      </c>
      <c r="K365" s="75" t="inlineStr">
        <is>
          <t>P통신</t>
        </is>
      </c>
      <c r="M365" s="9">
        <f>IF($A365="","",VALUE($A365&amp;"")*12+VALUE($B365&amp;""))</f>
        <v/>
      </c>
      <c r="N365" s="39">
        <f>IF($A365="","",IFERROR(INDEX(부서매핑!$C$5:$C$504,MATCH($G365&amp;"",부서매핑!$A$5:$A$504,0)),"미매핑"))</f>
        <v/>
      </c>
      <c r="O365" s="9">
        <f>IF($A365="","",N365&amp;"|"&amp;$F365)</f>
        <v/>
      </c>
      <c r="P365" s="77">
        <f>IF($A365="",0,$H365*설정!$C$23)</f>
        <v/>
      </c>
      <c r="Q365" s="39">
        <f>IF($A365="","",IF(O365&lt;&gt;원인분석!$C$9,"",IF(AND(M365&gt;=원인분석!$C$10,M365&lt;=원인분석!$C$11),"당기",IF(AND(M365&gt;=원인분석!$C$12,M365&lt;=원인분석!$C$13),"비교",""))))</f>
        <v/>
      </c>
      <c r="R365" s="9">
        <f>IF(Q365="","",$K365&amp;"")</f>
        <v/>
      </c>
      <c r="S365" s="9">
        <f>IF(Q365="","",IF(MATCH(R365,$R$5:$R$100000,0)=ROW()-4,ROW(),""))</f>
        <v/>
      </c>
      <c r="T365" s="9">
        <f>IF(Q365="당기",ABS(P365)+ROW()/1000000000,"")</f>
        <v/>
      </c>
      <c r="U365" s="9">
        <f>IF(Q365="비교",ABS(P365)+ROW()/1000000000,"")</f>
        <v/>
      </c>
      <c r="V365" s="39">
        <f>IF($A365="","",IF(COUNTIF(변동분석!$E$7:$E$506,O365)&gt;0,"Y","N"))</f>
        <v/>
      </c>
      <c r="W365" s="39">
        <f>IF($A365="","",IFERROR(INDEX(계정매핑!$D$5:$D$504,MATCH($F365&amp;"",계정매핑!$A$5:$A$504,0)),"미매핑"))</f>
        <v/>
      </c>
      <c r="X365" s="9">
        <f>IF($A365="","",$F365&amp;"")</f>
        <v/>
      </c>
    </row>
    <row r="366">
      <c r="A366" s="75" t="n">
        <v>2025</v>
      </c>
      <c r="B366" s="75" t="n">
        <v>2</v>
      </c>
      <c r="C366" s="75" t="inlineStr">
        <is>
          <t>5100000362</t>
        </is>
      </c>
      <c r="D366" s="78" t="n">
        <v>45711</v>
      </c>
      <c r="E366" s="75" t="inlineStr">
        <is>
          <t>KR</t>
        </is>
      </c>
      <c r="F366" s="75" t="n">
        <v>62301000</v>
      </c>
      <c r="G366" s="75" t="n">
        <v>1401</v>
      </c>
      <c r="H366" s="76" t="n">
        <v>125000</v>
      </c>
      <c r="I366" s="75" t="inlineStr">
        <is>
          <t>2월 소모품 구입 - Q오피스</t>
        </is>
      </c>
      <c r="J366" s="75" t="inlineStr">
        <is>
          <t>V10003</t>
        </is>
      </c>
      <c r="K366" s="75" t="inlineStr">
        <is>
          <t>Q오피스</t>
        </is>
      </c>
      <c r="M366" s="9">
        <f>IF($A366="","",VALUE($A366&amp;"")*12+VALUE($B366&amp;""))</f>
        <v/>
      </c>
      <c r="N366" s="39">
        <f>IF($A366="","",IFERROR(INDEX(부서매핑!$C$5:$C$504,MATCH($G366&amp;"",부서매핑!$A$5:$A$504,0)),"미매핑"))</f>
        <v/>
      </c>
      <c r="O366" s="9">
        <f>IF($A366="","",N366&amp;"|"&amp;$F366)</f>
        <v/>
      </c>
      <c r="P366" s="77">
        <f>IF($A366="",0,$H366*설정!$C$23)</f>
        <v/>
      </c>
      <c r="Q366" s="39">
        <f>IF($A366="","",IF(O366&lt;&gt;원인분석!$C$9,"",IF(AND(M366&gt;=원인분석!$C$10,M366&lt;=원인분석!$C$11),"당기",IF(AND(M366&gt;=원인분석!$C$12,M366&lt;=원인분석!$C$13),"비교",""))))</f>
        <v/>
      </c>
      <c r="R366" s="9">
        <f>IF(Q366="","",$K366&amp;"")</f>
        <v/>
      </c>
      <c r="S366" s="9">
        <f>IF(Q366="","",IF(MATCH(R366,$R$5:$R$100000,0)=ROW()-4,ROW(),""))</f>
        <v/>
      </c>
      <c r="T366" s="9">
        <f>IF(Q366="당기",ABS(P366)+ROW()/1000000000,"")</f>
        <v/>
      </c>
      <c r="U366" s="9">
        <f>IF(Q366="비교",ABS(P366)+ROW()/1000000000,"")</f>
        <v/>
      </c>
      <c r="V366" s="39">
        <f>IF($A366="","",IF(COUNTIF(변동분석!$E$7:$E$506,O366)&gt;0,"Y","N"))</f>
        <v/>
      </c>
      <c r="W366" s="39">
        <f>IF($A366="","",IFERROR(INDEX(계정매핑!$D$5:$D$504,MATCH($F366&amp;"",계정매핑!$A$5:$A$504,0)),"미매핑"))</f>
        <v/>
      </c>
      <c r="X366" s="9">
        <f>IF($A366="","",$F366&amp;"")</f>
        <v/>
      </c>
    </row>
    <row r="367">
      <c r="A367" s="75" t="n">
        <v>2025</v>
      </c>
      <c r="B367" s="75" t="n">
        <v>2</v>
      </c>
      <c r="C367" s="75" t="inlineStr">
        <is>
          <t>5100000363</t>
        </is>
      </c>
      <c r="D367" s="78" t="n">
        <v>45711</v>
      </c>
      <c r="E367" s="75" t="inlineStr">
        <is>
          <t>KR</t>
        </is>
      </c>
      <c r="F367" s="75" t="n">
        <v>62601000</v>
      </c>
      <c r="G367" s="75" t="n">
        <v>1101</v>
      </c>
      <c r="H367" s="76" t="n">
        <v>3065000</v>
      </c>
      <c r="I367" s="75" t="inlineStr">
        <is>
          <t>2월 업무추진 - (법인카드)</t>
        </is>
      </c>
      <c r="J367" s="75" t="inlineStr">
        <is>
          <t>V10008</t>
        </is>
      </c>
      <c r="K367" s="75" t="inlineStr">
        <is>
          <t>(법인카드)</t>
        </is>
      </c>
      <c r="M367" s="9">
        <f>IF($A367="","",VALUE($A367&amp;"")*12+VALUE($B367&amp;""))</f>
        <v/>
      </c>
      <c r="N367" s="39">
        <f>IF($A367="","",IFERROR(INDEX(부서매핑!$C$5:$C$504,MATCH($G367&amp;"",부서매핑!$A$5:$A$504,0)),"미매핑"))</f>
        <v/>
      </c>
      <c r="O367" s="9">
        <f>IF($A367="","",N367&amp;"|"&amp;$F367)</f>
        <v/>
      </c>
      <c r="P367" s="77">
        <f>IF($A367="",0,$H367*설정!$C$23)</f>
        <v/>
      </c>
      <c r="Q367" s="39">
        <f>IF($A367="","",IF(O367&lt;&gt;원인분석!$C$9,"",IF(AND(M367&gt;=원인분석!$C$10,M367&lt;=원인분석!$C$11),"당기",IF(AND(M367&gt;=원인분석!$C$12,M367&lt;=원인분석!$C$13),"비교",""))))</f>
        <v/>
      </c>
      <c r="R367" s="9">
        <f>IF(Q367="","",$K367&amp;"")</f>
        <v/>
      </c>
      <c r="S367" s="9">
        <f>IF(Q367="","",IF(MATCH(R367,$R$5:$R$100000,0)=ROW()-4,ROW(),""))</f>
        <v/>
      </c>
      <c r="T367" s="9">
        <f>IF(Q367="당기",ABS(P367)+ROW()/1000000000,"")</f>
        <v/>
      </c>
      <c r="U367" s="9">
        <f>IF(Q367="비교",ABS(P367)+ROW()/1000000000,"")</f>
        <v/>
      </c>
      <c r="V367" s="39">
        <f>IF($A367="","",IF(COUNTIF(변동분석!$E$7:$E$506,O367)&gt;0,"Y","N"))</f>
        <v/>
      </c>
      <c r="W367" s="39">
        <f>IF($A367="","",IFERROR(INDEX(계정매핑!$D$5:$D$504,MATCH($F367&amp;"",계정매핑!$A$5:$A$504,0)),"미매핑"))</f>
        <v/>
      </c>
      <c r="X367" s="9">
        <f>IF($A367="","",$F367&amp;"")</f>
        <v/>
      </c>
    </row>
    <row r="368">
      <c r="A368" s="75" t="n">
        <v>2025</v>
      </c>
      <c r="B368" s="75" t="n">
        <v>2</v>
      </c>
      <c r="C368" s="75" t="inlineStr">
        <is>
          <t>5100000364</t>
        </is>
      </c>
      <c r="D368" s="78" t="n">
        <v>45711</v>
      </c>
      <c r="E368" s="75" t="inlineStr">
        <is>
          <t>KR</t>
        </is>
      </c>
      <c r="F368" s="75" t="n">
        <v>62902000</v>
      </c>
      <c r="G368" s="75" t="n">
        <v>1201</v>
      </c>
      <c r="H368" s="76" t="n">
        <v>5137000</v>
      </c>
      <c r="I368" s="75" t="inlineStr">
        <is>
          <t>2월 업무 위탁 수수료 - X서비스</t>
        </is>
      </c>
      <c r="J368" s="75" t="inlineStr">
        <is>
          <t>V10016</t>
        </is>
      </c>
      <c r="K368" s="75" t="inlineStr">
        <is>
          <t>X서비스</t>
        </is>
      </c>
      <c r="M368" s="9">
        <f>IF($A368="","",VALUE($A368&amp;"")*12+VALUE($B368&amp;""))</f>
        <v/>
      </c>
      <c r="N368" s="39">
        <f>IF($A368="","",IFERROR(INDEX(부서매핑!$C$5:$C$504,MATCH($G368&amp;"",부서매핑!$A$5:$A$504,0)),"미매핑"))</f>
        <v/>
      </c>
      <c r="O368" s="9">
        <f>IF($A368="","",N368&amp;"|"&amp;$F368)</f>
        <v/>
      </c>
      <c r="P368" s="77">
        <f>IF($A368="",0,$H368*설정!$C$23)</f>
        <v/>
      </c>
      <c r="Q368" s="39">
        <f>IF($A368="","",IF(O368&lt;&gt;원인분석!$C$9,"",IF(AND(M368&gt;=원인분석!$C$10,M368&lt;=원인분석!$C$11),"당기",IF(AND(M368&gt;=원인분석!$C$12,M368&lt;=원인분석!$C$13),"비교",""))))</f>
        <v/>
      </c>
      <c r="R368" s="9">
        <f>IF(Q368="","",$K368&amp;"")</f>
        <v/>
      </c>
      <c r="S368" s="9">
        <f>IF(Q368="","",IF(MATCH(R368,$R$5:$R$100000,0)=ROW()-4,ROW(),""))</f>
        <v/>
      </c>
      <c r="T368" s="9">
        <f>IF(Q368="당기",ABS(P368)+ROW()/1000000000,"")</f>
        <v/>
      </c>
      <c r="U368" s="9">
        <f>IF(Q368="비교",ABS(P368)+ROW()/1000000000,"")</f>
        <v/>
      </c>
      <c r="V368" s="39">
        <f>IF($A368="","",IF(COUNTIF(변동분석!$E$7:$E$506,O368)&gt;0,"Y","N"))</f>
        <v/>
      </c>
      <c r="W368" s="39">
        <f>IF($A368="","",IFERROR(INDEX(계정매핑!$D$5:$D$504,MATCH($F368&amp;"",계정매핑!$A$5:$A$504,0)),"미매핑"))</f>
        <v/>
      </c>
      <c r="X368" s="9">
        <f>IF($A368="","",$F368&amp;"")</f>
        <v/>
      </c>
    </row>
    <row r="369">
      <c r="A369" s="75" t="n">
        <v>2025</v>
      </c>
      <c r="B369" s="75" t="n">
        <v>2</v>
      </c>
      <c r="C369" s="75" t="inlineStr">
        <is>
          <t>5100000365</t>
        </is>
      </c>
      <c r="D369" s="78" t="n">
        <v>45711</v>
      </c>
      <c r="E369" s="75" t="inlineStr">
        <is>
          <t>KR</t>
        </is>
      </c>
      <c r="F369" s="75" t="n">
        <v>62902000</v>
      </c>
      <c r="G369" s="75" t="n">
        <v>1801</v>
      </c>
      <c r="H369" s="76" t="n">
        <v>1766000</v>
      </c>
      <c r="I369" s="75" t="inlineStr">
        <is>
          <t>2월 콜 위탁 수수료(건별)</t>
        </is>
      </c>
      <c r="J369" s="75" t="inlineStr">
        <is>
          <t>V10013</t>
        </is>
      </c>
      <c r="K369" s="75" t="inlineStr">
        <is>
          <t>J콜센터</t>
        </is>
      </c>
      <c r="M369" s="9">
        <f>IF($A369="","",VALUE($A369&amp;"")*12+VALUE($B369&amp;""))</f>
        <v/>
      </c>
      <c r="N369" s="39">
        <f>IF($A369="","",IFERROR(INDEX(부서매핑!$C$5:$C$504,MATCH($G369&amp;"",부서매핑!$A$5:$A$504,0)),"미매핑"))</f>
        <v/>
      </c>
      <c r="O369" s="9">
        <f>IF($A369="","",N369&amp;"|"&amp;$F369)</f>
        <v/>
      </c>
      <c r="P369" s="77">
        <f>IF($A369="",0,$H369*설정!$C$23)</f>
        <v/>
      </c>
      <c r="Q369" s="39">
        <f>IF($A369="","",IF(O369&lt;&gt;원인분석!$C$9,"",IF(AND(M369&gt;=원인분석!$C$10,M369&lt;=원인분석!$C$11),"당기",IF(AND(M369&gt;=원인분석!$C$12,M369&lt;=원인분석!$C$13),"비교",""))))</f>
        <v/>
      </c>
      <c r="R369" s="9">
        <f>IF(Q369="","",$K369&amp;"")</f>
        <v/>
      </c>
      <c r="S369" s="9">
        <f>IF(Q369="","",IF(MATCH(R369,$R$5:$R$100000,0)=ROW()-4,ROW(),""))</f>
        <v/>
      </c>
      <c r="T369" s="9">
        <f>IF(Q369="당기",ABS(P369)+ROW()/1000000000,"")</f>
        <v/>
      </c>
      <c r="U369" s="9">
        <f>IF(Q369="비교",ABS(P369)+ROW()/1000000000,"")</f>
        <v/>
      </c>
      <c r="V369" s="39">
        <f>IF($A369="","",IF(COUNTIF(변동분석!$E$7:$E$506,O369)&gt;0,"Y","N"))</f>
        <v/>
      </c>
      <c r="W369" s="39">
        <f>IF($A369="","",IFERROR(INDEX(계정매핑!$D$5:$D$504,MATCH($F369&amp;"",계정매핑!$A$5:$A$504,0)),"미매핑"))</f>
        <v/>
      </c>
      <c r="X369" s="9">
        <f>IF($A369="","",$F369&amp;"")</f>
        <v/>
      </c>
    </row>
    <row r="370">
      <c r="A370" s="75" t="n">
        <v>2025</v>
      </c>
      <c r="B370" s="75" t="n">
        <v>2</v>
      </c>
      <c r="C370" s="75" t="inlineStr">
        <is>
          <t>5100000366</t>
        </is>
      </c>
      <c r="D370" s="78" t="n">
        <v>45712</v>
      </c>
      <c r="E370" s="75" t="inlineStr">
        <is>
          <t>KR</t>
        </is>
      </c>
      <c r="F370" s="75" t="n">
        <v>62101000</v>
      </c>
      <c r="G370" s="75" t="n">
        <v>1301</v>
      </c>
      <c r="H370" s="76" t="n">
        <v>456000</v>
      </c>
      <c r="I370" s="75" t="inlineStr">
        <is>
          <t>2월 국내출장 - (법인카드)</t>
        </is>
      </c>
      <c r="J370" s="75" t="inlineStr">
        <is>
          <t>V10008</t>
        </is>
      </c>
      <c r="K370" s="75" t="inlineStr">
        <is>
          <t>(법인카드)</t>
        </is>
      </c>
      <c r="M370" s="9">
        <f>IF($A370="","",VALUE($A370&amp;"")*12+VALUE($B370&amp;""))</f>
        <v/>
      </c>
      <c r="N370" s="39">
        <f>IF($A370="","",IFERROR(INDEX(부서매핑!$C$5:$C$504,MATCH($G370&amp;"",부서매핑!$A$5:$A$504,0)),"미매핑"))</f>
        <v/>
      </c>
      <c r="O370" s="9">
        <f>IF($A370="","",N370&amp;"|"&amp;$F370)</f>
        <v/>
      </c>
      <c r="P370" s="77">
        <f>IF($A370="",0,$H370*설정!$C$23)</f>
        <v/>
      </c>
      <c r="Q370" s="39">
        <f>IF($A370="","",IF(O370&lt;&gt;원인분석!$C$9,"",IF(AND(M370&gt;=원인분석!$C$10,M370&lt;=원인분석!$C$11),"당기",IF(AND(M370&gt;=원인분석!$C$12,M370&lt;=원인분석!$C$13),"비교",""))))</f>
        <v/>
      </c>
      <c r="R370" s="9">
        <f>IF(Q370="","",$K370&amp;"")</f>
        <v/>
      </c>
      <c r="S370" s="9">
        <f>IF(Q370="","",IF(MATCH(R370,$R$5:$R$100000,0)=ROW()-4,ROW(),""))</f>
        <v/>
      </c>
      <c r="T370" s="9">
        <f>IF(Q370="당기",ABS(P370)+ROW()/1000000000,"")</f>
        <v/>
      </c>
      <c r="U370" s="9">
        <f>IF(Q370="비교",ABS(P370)+ROW()/1000000000,"")</f>
        <v/>
      </c>
      <c r="V370" s="39">
        <f>IF($A370="","",IF(COUNTIF(변동분석!$E$7:$E$506,O370)&gt;0,"Y","N"))</f>
        <v/>
      </c>
      <c r="W370" s="39">
        <f>IF($A370="","",IFERROR(INDEX(계정매핑!$D$5:$D$504,MATCH($F370&amp;"",계정매핑!$A$5:$A$504,0)),"미매핑"))</f>
        <v/>
      </c>
      <c r="X370" s="9">
        <f>IF($A370="","",$F370&amp;"")</f>
        <v/>
      </c>
    </row>
    <row r="371">
      <c r="A371" s="75" t="n">
        <v>2025</v>
      </c>
      <c r="B371" s="75" t="n">
        <v>2</v>
      </c>
      <c r="C371" s="75" t="inlineStr">
        <is>
          <t>5100000367</t>
        </is>
      </c>
      <c r="D371" s="78" t="n">
        <v>45712</v>
      </c>
      <c r="E371" s="75" t="inlineStr">
        <is>
          <t>KR</t>
        </is>
      </c>
      <c r="F371" s="75" t="n">
        <v>62101000</v>
      </c>
      <c r="G371" s="75" t="n">
        <v>1401</v>
      </c>
      <c r="H371" s="76" t="n">
        <v>536000</v>
      </c>
      <c r="I371" s="75" t="inlineStr">
        <is>
          <t>2월 국내출장 - L여행사</t>
        </is>
      </c>
      <c r="J371" s="75" t="inlineStr">
        <is>
          <t>V10014</t>
        </is>
      </c>
      <c r="K371" s="75" t="inlineStr">
        <is>
          <t>L여행사</t>
        </is>
      </c>
      <c r="M371" s="9">
        <f>IF($A371="","",VALUE($A371&amp;"")*12+VALUE($B371&amp;""))</f>
        <v/>
      </c>
      <c r="N371" s="39">
        <f>IF($A371="","",IFERROR(INDEX(부서매핑!$C$5:$C$504,MATCH($G371&amp;"",부서매핑!$A$5:$A$504,0)),"미매핑"))</f>
        <v/>
      </c>
      <c r="O371" s="9">
        <f>IF($A371="","",N371&amp;"|"&amp;$F371)</f>
        <v/>
      </c>
      <c r="P371" s="77">
        <f>IF($A371="",0,$H371*설정!$C$23)</f>
        <v/>
      </c>
      <c r="Q371" s="39">
        <f>IF($A371="","",IF(O371&lt;&gt;원인분석!$C$9,"",IF(AND(M371&gt;=원인분석!$C$10,M371&lt;=원인분석!$C$11),"당기",IF(AND(M371&gt;=원인분석!$C$12,M371&lt;=원인분석!$C$13),"비교",""))))</f>
        <v/>
      </c>
      <c r="R371" s="9">
        <f>IF(Q371="","",$K371&amp;"")</f>
        <v/>
      </c>
      <c r="S371" s="9">
        <f>IF(Q371="","",IF(MATCH(R371,$R$5:$R$100000,0)=ROW()-4,ROW(),""))</f>
        <v/>
      </c>
      <c r="T371" s="9">
        <f>IF(Q371="당기",ABS(P371)+ROW()/1000000000,"")</f>
        <v/>
      </c>
      <c r="U371" s="9">
        <f>IF(Q371="비교",ABS(P371)+ROW()/1000000000,"")</f>
        <v/>
      </c>
      <c r="V371" s="39">
        <f>IF($A371="","",IF(COUNTIF(변동분석!$E$7:$E$506,O371)&gt;0,"Y","N"))</f>
        <v/>
      </c>
      <c r="W371" s="39">
        <f>IF($A371="","",IFERROR(INDEX(계정매핑!$D$5:$D$504,MATCH($F371&amp;"",계정매핑!$A$5:$A$504,0)),"미매핑"))</f>
        <v/>
      </c>
      <c r="X371" s="9">
        <f>IF($A371="","",$F371&amp;"")</f>
        <v/>
      </c>
    </row>
    <row r="372">
      <c r="A372" s="75" t="n">
        <v>2025</v>
      </c>
      <c r="B372" s="75" t="n">
        <v>2</v>
      </c>
      <c r="C372" s="75" t="inlineStr">
        <is>
          <t>5100000368</t>
        </is>
      </c>
      <c r="D372" s="78" t="n">
        <v>45712</v>
      </c>
      <c r="E372" s="75" t="inlineStr">
        <is>
          <t>KR</t>
        </is>
      </c>
      <c r="F372" s="75" t="n">
        <v>62102000</v>
      </c>
      <c r="G372" s="75" t="n">
        <v>1101</v>
      </c>
      <c r="H372" s="76" t="n">
        <v>173000</v>
      </c>
      <c r="I372" s="75" t="inlineStr">
        <is>
          <t>2월 해외출장 - N호텔</t>
        </is>
      </c>
      <c r="J372" s="75" t="inlineStr">
        <is>
          <t>V10007</t>
        </is>
      </c>
      <c r="K372" s="75" t="inlineStr">
        <is>
          <t>N호텔</t>
        </is>
      </c>
      <c r="M372" s="9">
        <f>IF($A372="","",VALUE($A372&amp;"")*12+VALUE($B372&amp;""))</f>
        <v/>
      </c>
      <c r="N372" s="39">
        <f>IF($A372="","",IFERROR(INDEX(부서매핑!$C$5:$C$504,MATCH($G372&amp;"",부서매핑!$A$5:$A$504,0)),"미매핑"))</f>
        <v/>
      </c>
      <c r="O372" s="9">
        <f>IF($A372="","",N372&amp;"|"&amp;$F372)</f>
        <v/>
      </c>
      <c r="P372" s="77">
        <f>IF($A372="",0,$H372*설정!$C$23)</f>
        <v/>
      </c>
      <c r="Q372" s="39">
        <f>IF($A372="","",IF(O372&lt;&gt;원인분석!$C$9,"",IF(AND(M372&gt;=원인분석!$C$10,M372&lt;=원인분석!$C$11),"당기",IF(AND(M372&gt;=원인분석!$C$12,M372&lt;=원인분석!$C$13),"비교",""))))</f>
        <v/>
      </c>
      <c r="R372" s="9">
        <f>IF(Q372="","",$K372&amp;"")</f>
        <v/>
      </c>
      <c r="S372" s="9">
        <f>IF(Q372="","",IF(MATCH(R372,$R$5:$R$100000,0)=ROW()-4,ROW(),""))</f>
        <v/>
      </c>
      <c r="T372" s="9">
        <f>IF(Q372="당기",ABS(P372)+ROW()/1000000000,"")</f>
        <v/>
      </c>
      <c r="U372" s="9">
        <f>IF(Q372="비교",ABS(P372)+ROW()/1000000000,"")</f>
        <v/>
      </c>
      <c r="V372" s="39">
        <f>IF($A372="","",IF(COUNTIF(변동분석!$E$7:$E$506,O372)&gt;0,"Y","N"))</f>
        <v/>
      </c>
      <c r="W372" s="39">
        <f>IF($A372="","",IFERROR(INDEX(계정매핑!$D$5:$D$504,MATCH($F372&amp;"",계정매핑!$A$5:$A$504,0)),"미매핑"))</f>
        <v/>
      </c>
      <c r="X372" s="9">
        <f>IF($A372="","",$F372&amp;"")</f>
        <v/>
      </c>
    </row>
    <row r="373">
      <c r="A373" s="75" t="n">
        <v>2025</v>
      </c>
      <c r="B373" s="75" t="n">
        <v>2</v>
      </c>
      <c r="C373" s="75" t="inlineStr">
        <is>
          <t>5100000369</t>
        </is>
      </c>
      <c r="D373" s="78" t="n">
        <v>45712</v>
      </c>
      <c r="E373" s="75" t="inlineStr">
        <is>
          <t>KR</t>
        </is>
      </c>
      <c r="F373" s="75" t="n">
        <v>62301000</v>
      </c>
      <c r="G373" s="75" t="n">
        <v>1201</v>
      </c>
      <c r="H373" s="76" t="n">
        <v>186000</v>
      </c>
      <c r="I373" s="75" t="inlineStr">
        <is>
          <t>2월 소모품 구입 - Q오피스</t>
        </is>
      </c>
      <c r="J373" s="75" t="inlineStr">
        <is>
          <t>V10003</t>
        </is>
      </c>
      <c r="K373" s="75" t="inlineStr">
        <is>
          <t>Q오피스</t>
        </is>
      </c>
      <c r="M373" s="9">
        <f>IF($A373="","",VALUE($A373&amp;"")*12+VALUE($B373&amp;""))</f>
        <v/>
      </c>
      <c r="N373" s="39">
        <f>IF($A373="","",IFERROR(INDEX(부서매핑!$C$5:$C$504,MATCH($G373&amp;"",부서매핑!$A$5:$A$504,0)),"미매핑"))</f>
        <v/>
      </c>
      <c r="O373" s="9">
        <f>IF($A373="","",N373&amp;"|"&amp;$F373)</f>
        <v/>
      </c>
      <c r="P373" s="77">
        <f>IF($A373="",0,$H373*설정!$C$23)</f>
        <v/>
      </c>
      <c r="Q373" s="39">
        <f>IF($A373="","",IF(O373&lt;&gt;원인분석!$C$9,"",IF(AND(M373&gt;=원인분석!$C$10,M373&lt;=원인분석!$C$11),"당기",IF(AND(M373&gt;=원인분석!$C$12,M373&lt;=원인분석!$C$13),"비교",""))))</f>
        <v/>
      </c>
      <c r="R373" s="9">
        <f>IF(Q373="","",$K373&amp;"")</f>
        <v/>
      </c>
      <c r="S373" s="9">
        <f>IF(Q373="","",IF(MATCH(R373,$R$5:$R$100000,0)=ROW()-4,ROW(),""))</f>
        <v/>
      </c>
      <c r="T373" s="9">
        <f>IF(Q373="당기",ABS(P373)+ROW()/1000000000,"")</f>
        <v/>
      </c>
      <c r="U373" s="9">
        <f>IF(Q373="비교",ABS(P373)+ROW()/1000000000,"")</f>
        <v/>
      </c>
      <c r="V373" s="39">
        <f>IF($A373="","",IF(COUNTIF(변동분석!$E$7:$E$506,O373)&gt;0,"Y","N"))</f>
        <v/>
      </c>
      <c r="W373" s="39">
        <f>IF($A373="","",IFERROR(INDEX(계정매핑!$D$5:$D$504,MATCH($F373&amp;"",계정매핑!$A$5:$A$504,0)),"미매핑"))</f>
        <v/>
      </c>
      <c r="X373" s="9">
        <f>IF($A373="","",$F373&amp;"")</f>
        <v/>
      </c>
    </row>
    <row r="374">
      <c r="A374" s="75" t="n">
        <v>2025</v>
      </c>
      <c r="B374" s="75" t="n">
        <v>2</v>
      </c>
      <c r="C374" s="75" t="inlineStr">
        <is>
          <t>5100000370</t>
        </is>
      </c>
      <c r="D374" s="78" t="n">
        <v>45712</v>
      </c>
      <c r="E374" s="75" t="inlineStr">
        <is>
          <t>KR</t>
        </is>
      </c>
      <c r="F374" s="75" t="n">
        <v>62501000</v>
      </c>
      <c r="G374" s="75" t="n">
        <v>1101</v>
      </c>
      <c r="H374" s="76" t="n">
        <v>254000</v>
      </c>
      <c r="I374" s="75" t="inlineStr">
        <is>
          <t>2월 회의 다과 - (법인카드)</t>
        </is>
      </c>
      <c r="J374" s="75" t="inlineStr">
        <is>
          <t>V10008</t>
        </is>
      </c>
      <c r="K374" s="75" t="inlineStr">
        <is>
          <t>(법인카드)</t>
        </is>
      </c>
      <c r="M374" s="9">
        <f>IF($A374="","",VALUE($A374&amp;"")*12+VALUE($B374&amp;""))</f>
        <v/>
      </c>
      <c r="N374" s="39">
        <f>IF($A374="","",IFERROR(INDEX(부서매핑!$C$5:$C$504,MATCH($G374&amp;"",부서매핑!$A$5:$A$504,0)),"미매핑"))</f>
        <v/>
      </c>
      <c r="O374" s="9">
        <f>IF($A374="","",N374&amp;"|"&amp;$F374)</f>
        <v/>
      </c>
      <c r="P374" s="77">
        <f>IF($A374="",0,$H374*설정!$C$23)</f>
        <v/>
      </c>
      <c r="Q374" s="39">
        <f>IF($A374="","",IF(O374&lt;&gt;원인분석!$C$9,"",IF(AND(M374&gt;=원인분석!$C$10,M374&lt;=원인분석!$C$11),"당기",IF(AND(M374&gt;=원인분석!$C$12,M374&lt;=원인분석!$C$13),"비교",""))))</f>
        <v/>
      </c>
      <c r="R374" s="9">
        <f>IF(Q374="","",$K374&amp;"")</f>
        <v/>
      </c>
      <c r="S374" s="9">
        <f>IF(Q374="","",IF(MATCH(R374,$R$5:$R$100000,0)=ROW()-4,ROW(),""))</f>
        <v/>
      </c>
      <c r="T374" s="9">
        <f>IF(Q374="당기",ABS(P374)+ROW()/1000000000,"")</f>
        <v/>
      </c>
      <c r="U374" s="9">
        <f>IF(Q374="비교",ABS(P374)+ROW()/1000000000,"")</f>
        <v/>
      </c>
      <c r="V374" s="39">
        <f>IF($A374="","",IF(COUNTIF(변동분석!$E$7:$E$506,O374)&gt;0,"Y","N"))</f>
        <v/>
      </c>
      <c r="W374" s="39">
        <f>IF($A374="","",IFERROR(INDEX(계정매핑!$D$5:$D$504,MATCH($F374&amp;"",계정매핑!$A$5:$A$504,0)),"미매핑"))</f>
        <v/>
      </c>
      <c r="X374" s="9">
        <f>IF($A374="","",$F374&amp;"")</f>
        <v/>
      </c>
    </row>
    <row r="375">
      <c r="A375" s="75" t="n">
        <v>2025</v>
      </c>
      <c r="B375" s="75" t="n">
        <v>2</v>
      </c>
      <c r="C375" s="75" t="inlineStr">
        <is>
          <t>5100000371</t>
        </is>
      </c>
      <c r="D375" s="78" t="n">
        <v>45712</v>
      </c>
      <c r="E375" s="75" t="inlineStr">
        <is>
          <t>KR</t>
        </is>
      </c>
      <c r="F375" s="75" t="n">
        <v>62501000</v>
      </c>
      <c r="G375" s="75" t="n">
        <v>1801</v>
      </c>
      <c r="H375" s="76" t="n">
        <v>143000</v>
      </c>
      <c r="I375" s="75" t="inlineStr">
        <is>
          <t>2월 회의 다과 - (법인카드)</t>
        </is>
      </c>
      <c r="J375" s="75" t="inlineStr">
        <is>
          <t>V10008</t>
        </is>
      </c>
      <c r="K375" s="75" t="inlineStr">
        <is>
          <t>(법인카드)</t>
        </is>
      </c>
      <c r="M375" s="9">
        <f>IF($A375="","",VALUE($A375&amp;"")*12+VALUE($B375&amp;""))</f>
        <v/>
      </c>
      <c r="N375" s="39">
        <f>IF($A375="","",IFERROR(INDEX(부서매핑!$C$5:$C$504,MATCH($G375&amp;"",부서매핑!$A$5:$A$504,0)),"미매핑"))</f>
        <v/>
      </c>
      <c r="O375" s="9">
        <f>IF($A375="","",N375&amp;"|"&amp;$F375)</f>
        <v/>
      </c>
      <c r="P375" s="77">
        <f>IF($A375="",0,$H375*설정!$C$23)</f>
        <v/>
      </c>
      <c r="Q375" s="39">
        <f>IF($A375="","",IF(O375&lt;&gt;원인분석!$C$9,"",IF(AND(M375&gt;=원인분석!$C$10,M375&lt;=원인분석!$C$11),"당기",IF(AND(M375&gt;=원인분석!$C$12,M375&lt;=원인분석!$C$13),"비교",""))))</f>
        <v/>
      </c>
      <c r="R375" s="9">
        <f>IF(Q375="","",$K375&amp;"")</f>
        <v/>
      </c>
      <c r="S375" s="9">
        <f>IF(Q375="","",IF(MATCH(R375,$R$5:$R$100000,0)=ROW()-4,ROW(),""))</f>
        <v/>
      </c>
      <c r="T375" s="9">
        <f>IF(Q375="당기",ABS(P375)+ROW()/1000000000,"")</f>
        <v/>
      </c>
      <c r="U375" s="9">
        <f>IF(Q375="비교",ABS(P375)+ROW()/1000000000,"")</f>
        <v/>
      </c>
      <c r="V375" s="39">
        <f>IF($A375="","",IF(COUNTIF(변동분석!$E$7:$E$506,O375)&gt;0,"Y","N"))</f>
        <v/>
      </c>
      <c r="W375" s="39">
        <f>IF($A375="","",IFERROR(INDEX(계정매핑!$D$5:$D$504,MATCH($F375&amp;"",계정매핑!$A$5:$A$504,0)),"미매핑"))</f>
        <v/>
      </c>
      <c r="X375" s="9">
        <f>IF($A375="","",$F375&amp;"")</f>
        <v/>
      </c>
    </row>
    <row r="376">
      <c r="A376" s="75" t="n">
        <v>2025</v>
      </c>
      <c r="B376" s="75" t="n">
        <v>2</v>
      </c>
      <c r="C376" s="75" t="inlineStr">
        <is>
          <t>5100000372</t>
        </is>
      </c>
      <c r="D376" s="78" t="n">
        <v>45712</v>
      </c>
      <c r="E376" s="75" t="inlineStr">
        <is>
          <t>KR</t>
        </is>
      </c>
      <c r="F376" s="75" t="n">
        <v>62902000</v>
      </c>
      <c r="G376" s="75" t="n">
        <v>1801</v>
      </c>
      <c r="H376" s="76" t="n">
        <v>1842000</v>
      </c>
      <c r="I376" s="75" t="inlineStr">
        <is>
          <t>2월 콜 위탁 수수료(건별)</t>
        </is>
      </c>
      <c r="J376" s="75" t="inlineStr">
        <is>
          <t>V10013</t>
        </is>
      </c>
      <c r="K376" s="75" t="inlineStr">
        <is>
          <t>J콜센터</t>
        </is>
      </c>
      <c r="M376" s="9">
        <f>IF($A376="","",VALUE($A376&amp;"")*12+VALUE($B376&amp;""))</f>
        <v/>
      </c>
      <c r="N376" s="39">
        <f>IF($A376="","",IFERROR(INDEX(부서매핑!$C$5:$C$504,MATCH($G376&amp;"",부서매핑!$A$5:$A$504,0)),"미매핑"))</f>
        <v/>
      </c>
      <c r="O376" s="9">
        <f>IF($A376="","",N376&amp;"|"&amp;$F376)</f>
        <v/>
      </c>
      <c r="P376" s="77">
        <f>IF($A376="",0,$H376*설정!$C$23)</f>
        <v/>
      </c>
      <c r="Q376" s="39">
        <f>IF($A376="","",IF(O376&lt;&gt;원인분석!$C$9,"",IF(AND(M376&gt;=원인분석!$C$10,M376&lt;=원인분석!$C$11),"당기",IF(AND(M376&gt;=원인분석!$C$12,M376&lt;=원인분석!$C$13),"비교",""))))</f>
        <v/>
      </c>
      <c r="R376" s="9">
        <f>IF(Q376="","",$K376&amp;"")</f>
        <v/>
      </c>
      <c r="S376" s="9">
        <f>IF(Q376="","",IF(MATCH(R376,$R$5:$R$100000,0)=ROW()-4,ROW(),""))</f>
        <v/>
      </c>
      <c r="T376" s="9">
        <f>IF(Q376="당기",ABS(P376)+ROW()/1000000000,"")</f>
        <v/>
      </c>
      <c r="U376" s="9">
        <f>IF(Q376="비교",ABS(P376)+ROW()/1000000000,"")</f>
        <v/>
      </c>
      <c r="V376" s="39">
        <f>IF($A376="","",IF(COUNTIF(변동분석!$E$7:$E$506,O376)&gt;0,"Y","N"))</f>
        <v/>
      </c>
      <c r="W376" s="39">
        <f>IF($A376="","",IFERROR(INDEX(계정매핑!$D$5:$D$504,MATCH($F376&amp;"",계정매핑!$A$5:$A$504,0)),"미매핑"))</f>
        <v/>
      </c>
      <c r="X376" s="9">
        <f>IF($A376="","",$F376&amp;"")</f>
        <v/>
      </c>
    </row>
    <row r="377">
      <c r="A377" s="75" t="n">
        <v>2025</v>
      </c>
      <c r="B377" s="75" t="n">
        <v>2</v>
      </c>
      <c r="C377" s="75" t="inlineStr">
        <is>
          <t>5100000373</t>
        </is>
      </c>
      <c r="D377" s="78" t="n">
        <v>45713</v>
      </c>
      <c r="E377" s="75" t="inlineStr">
        <is>
          <t>KR</t>
        </is>
      </c>
      <c r="F377" s="75" t="n">
        <v>62101000</v>
      </c>
      <c r="G377" s="75" t="n">
        <v>1401</v>
      </c>
      <c r="H377" s="76" t="n">
        <v>308000</v>
      </c>
      <c r="I377" s="75" t="inlineStr">
        <is>
          <t>2월 국내출장 - (법인카드)</t>
        </is>
      </c>
      <c r="J377" s="75" t="inlineStr">
        <is>
          <t>V10008</t>
        </is>
      </c>
      <c r="K377" s="75" t="inlineStr">
        <is>
          <t>(법인카드)</t>
        </is>
      </c>
      <c r="M377" s="9">
        <f>IF($A377="","",VALUE($A377&amp;"")*12+VALUE($B377&amp;""))</f>
        <v/>
      </c>
      <c r="N377" s="39">
        <f>IF($A377="","",IFERROR(INDEX(부서매핑!$C$5:$C$504,MATCH($G377&amp;"",부서매핑!$A$5:$A$504,0)),"미매핑"))</f>
        <v/>
      </c>
      <c r="O377" s="9">
        <f>IF($A377="","",N377&amp;"|"&amp;$F377)</f>
        <v/>
      </c>
      <c r="P377" s="77">
        <f>IF($A377="",0,$H377*설정!$C$23)</f>
        <v/>
      </c>
      <c r="Q377" s="39">
        <f>IF($A377="","",IF(O377&lt;&gt;원인분석!$C$9,"",IF(AND(M377&gt;=원인분석!$C$10,M377&lt;=원인분석!$C$11),"당기",IF(AND(M377&gt;=원인분석!$C$12,M377&lt;=원인분석!$C$13),"비교",""))))</f>
        <v/>
      </c>
      <c r="R377" s="9">
        <f>IF(Q377="","",$K377&amp;"")</f>
        <v/>
      </c>
      <c r="S377" s="9">
        <f>IF(Q377="","",IF(MATCH(R377,$R$5:$R$100000,0)=ROW()-4,ROW(),""))</f>
        <v/>
      </c>
      <c r="T377" s="9">
        <f>IF(Q377="당기",ABS(P377)+ROW()/1000000000,"")</f>
        <v/>
      </c>
      <c r="U377" s="9">
        <f>IF(Q377="비교",ABS(P377)+ROW()/1000000000,"")</f>
        <v/>
      </c>
      <c r="V377" s="39">
        <f>IF($A377="","",IF(COUNTIF(변동분석!$E$7:$E$506,O377)&gt;0,"Y","N"))</f>
        <v/>
      </c>
      <c r="W377" s="39">
        <f>IF($A377="","",IFERROR(INDEX(계정매핑!$D$5:$D$504,MATCH($F377&amp;"",계정매핑!$A$5:$A$504,0)),"미매핑"))</f>
        <v/>
      </c>
      <c r="X377" s="9">
        <f>IF($A377="","",$F377&amp;"")</f>
        <v/>
      </c>
    </row>
    <row r="378">
      <c r="A378" s="75" t="n">
        <v>2025</v>
      </c>
      <c r="B378" s="75" t="n">
        <v>2</v>
      </c>
      <c r="C378" s="75" t="inlineStr">
        <is>
          <t>5100000374</t>
        </is>
      </c>
      <c r="D378" s="78" t="n">
        <v>45713</v>
      </c>
      <c r="E378" s="75" t="inlineStr">
        <is>
          <t>KR</t>
        </is>
      </c>
      <c r="F378" s="75" t="n">
        <v>62102000</v>
      </c>
      <c r="G378" s="75" t="n">
        <v>1502</v>
      </c>
      <c r="H378" s="76" t="n">
        <v>340000</v>
      </c>
      <c r="I378" s="75" t="inlineStr">
        <is>
          <t>2월 해외출장 - M항공</t>
        </is>
      </c>
      <c r="J378" s="75" t="inlineStr">
        <is>
          <t>V10001</t>
        </is>
      </c>
      <c r="K378" s="75" t="inlineStr">
        <is>
          <t>M항공</t>
        </is>
      </c>
      <c r="M378" s="9">
        <f>IF($A378="","",VALUE($A378&amp;"")*12+VALUE($B378&amp;""))</f>
        <v/>
      </c>
      <c r="N378" s="39">
        <f>IF($A378="","",IFERROR(INDEX(부서매핑!$C$5:$C$504,MATCH($G378&amp;"",부서매핑!$A$5:$A$504,0)),"미매핑"))</f>
        <v/>
      </c>
      <c r="O378" s="9">
        <f>IF($A378="","",N378&amp;"|"&amp;$F378)</f>
        <v/>
      </c>
      <c r="P378" s="77">
        <f>IF($A378="",0,$H378*설정!$C$23)</f>
        <v/>
      </c>
      <c r="Q378" s="39">
        <f>IF($A378="","",IF(O378&lt;&gt;원인분석!$C$9,"",IF(AND(M378&gt;=원인분석!$C$10,M378&lt;=원인분석!$C$11),"당기",IF(AND(M378&gt;=원인분석!$C$12,M378&lt;=원인분석!$C$13),"비교",""))))</f>
        <v/>
      </c>
      <c r="R378" s="9">
        <f>IF(Q378="","",$K378&amp;"")</f>
        <v/>
      </c>
      <c r="S378" s="9">
        <f>IF(Q378="","",IF(MATCH(R378,$R$5:$R$100000,0)=ROW()-4,ROW(),""))</f>
        <v/>
      </c>
      <c r="T378" s="9">
        <f>IF(Q378="당기",ABS(P378)+ROW()/1000000000,"")</f>
        <v/>
      </c>
      <c r="U378" s="9">
        <f>IF(Q378="비교",ABS(P378)+ROW()/1000000000,"")</f>
        <v/>
      </c>
      <c r="V378" s="39">
        <f>IF($A378="","",IF(COUNTIF(변동분석!$E$7:$E$506,O378)&gt;0,"Y","N"))</f>
        <v/>
      </c>
      <c r="W378" s="39">
        <f>IF($A378="","",IFERROR(INDEX(계정매핑!$D$5:$D$504,MATCH($F378&amp;"",계정매핑!$A$5:$A$504,0)),"미매핑"))</f>
        <v/>
      </c>
      <c r="X378" s="9">
        <f>IF($A378="","",$F378&amp;"")</f>
        <v/>
      </c>
    </row>
    <row r="379">
      <c r="A379" s="75" t="n">
        <v>2025</v>
      </c>
      <c r="B379" s="75" t="n">
        <v>2</v>
      </c>
      <c r="C379" s="75" t="inlineStr">
        <is>
          <t>5100000375</t>
        </is>
      </c>
      <c r="D379" s="78" t="n">
        <v>45713</v>
      </c>
      <c r="E379" s="75" t="inlineStr">
        <is>
          <t>KR</t>
        </is>
      </c>
      <c r="F379" s="75" t="n">
        <v>62201000</v>
      </c>
      <c r="G379" s="75" t="n">
        <v>1401</v>
      </c>
      <c r="H379" s="76" t="n">
        <v>139000</v>
      </c>
      <c r="I379" s="75" t="inlineStr">
        <is>
          <t>2월 통신요금 - O텔레콤</t>
        </is>
      </c>
      <c r="J379" s="75" t="inlineStr">
        <is>
          <t>V10002</t>
        </is>
      </c>
      <c r="K379" s="75" t="inlineStr">
        <is>
          <t>O텔레콤</t>
        </is>
      </c>
      <c r="M379" s="9">
        <f>IF($A379="","",VALUE($A379&amp;"")*12+VALUE($B379&amp;""))</f>
        <v/>
      </c>
      <c r="N379" s="39">
        <f>IF($A379="","",IFERROR(INDEX(부서매핑!$C$5:$C$504,MATCH($G379&amp;"",부서매핑!$A$5:$A$504,0)),"미매핑"))</f>
        <v/>
      </c>
      <c r="O379" s="9">
        <f>IF($A379="","",N379&amp;"|"&amp;$F379)</f>
        <v/>
      </c>
      <c r="P379" s="77">
        <f>IF($A379="",0,$H379*설정!$C$23)</f>
        <v/>
      </c>
      <c r="Q379" s="39">
        <f>IF($A379="","",IF(O379&lt;&gt;원인분석!$C$9,"",IF(AND(M379&gt;=원인분석!$C$10,M379&lt;=원인분석!$C$11),"당기",IF(AND(M379&gt;=원인분석!$C$12,M379&lt;=원인분석!$C$13),"비교",""))))</f>
        <v/>
      </c>
      <c r="R379" s="9">
        <f>IF(Q379="","",$K379&amp;"")</f>
        <v/>
      </c>
      <c r="S379" s="9">
        <f>IF(Q379="","",IF(MATCH(R379,$R$5:$R$100000,0)=ROW()-4,ROW(),""))</f>
        <v/>
      </c>
      <c r="T379" s="9">
        <f>IF(Q379="당기",ABS(P379)+ROW()/1000000000,"")</f>
        <v/>
      </c>
      <c r="U379" s="9">
        <f>IF(Q379="비교",ABS(P379)+ROW()/1000000000,"")</f>
        <v/>
      </c>
      <c r="V379" s="39">
        <f>IF($A379="","",IF(COUNTIF(변동분석!$E$7:$E$506,O379)&gt;0,"Y","N"))</f>
        <v/>
      </c>
      <c r="W379" s="39">
        <f>IF($A379="","",IFERROR(INDEX(계정매핑!$D$5:$D$504,MATCH($F379&amp;"",계정매핑!$A$5:$A$504,0)),"미매핑"))</f>
        <v/>
      </c>
      <c r="X379" s="9">
        <f>IF($A379="","",$F379&amp;"")</f>
        <v/>
      </c>
    </row>
    <row r="380">
      <c r="A380" s="75" t="n">
        <v>2025</v>
      </c>
      <c r="B380" s="75" t="n">
        <v>2</v>
      </c>
      <c r="C380" s="75" t="inlineStr">
        <is>
          <t>5100000376</t>
        </is>
      </c>
      <c r="D380" s="78" t="n">
        <v>45713</v>
      </c>
      <c r="E380" s="75" t="inlineStr">
        <is>
          <t>KR</t>
        </is>
      </c>
      <c r="F380" s="75" t="n">
        <v>62201000</v>
      </c>
      <c r="G380" s="75" t="n">
        <v>1502</v>
      </c>
      <c r="H380" s="76" t="n">
        <v>275000</v>
      </c>
      <c r="I380" s="75" t="inlineStr">
        <is>
          <t>2월 통신요금 - P통신</t>
        </is>
      </c>
      <c r="J380" s="75" t="inlineStr">
        <is>
          <t>V10011</t>
        </is>
      </c>
      <c r="K380" s="75" t="inlineStr">
        <is>
          <t>P통신</t>
        </is>
      </c>
      <c r="M380" s="9">
        <f>IF($A380="","",VALUE($A380&amp;"")*12+VALUE($B380&amp;""))</f>
        <v/>
      </c>
      <c r="N380" s="39">
        <f>IF($A380="","",IFERROR(INDEX(부서매핑!$C$5:$C$504,MATCH($G380&amp;"",부서매핑!$A$5:$A$504,0)),"미매핑"))</f>
        <v/>
      </c>
      <c r="O380" s="9">
        <f>IF($A380="","",N380&amp;"|"&amp;$F380)</f>
        <v/>
      </c>
      <c r="P380" s="77">
        <f>IF($A380="",0,$H380*설정!$C$23)</f>
        <v/>
      </c>
      <c r="Q380" s="39">
        <f>IF($A380="","",IF(O380&lt;&gt;원인분석!$C$9,"",IF(AND(M380&gt;=원인분석!$C$10,M380&lt;=원인분석!$C$11),"당기",IF(AND(M380&gt;=원인분석!$C$12,M380&lt;=원인분석!$C$13),"비교",""))))</f>
        <v/>
      </c>
      <c r="R380" s="9">
        <f>IF(Q380="","",$K380&amp;"")</f>
        <v/>
      </c>
      <c r="S380" s="9">
        <f>IF(Q380="","",IF(MATCH(R380,$R$5:$R$100000,0)=ROW()-4,ROW(),""))</f>
        <v/>
      </c>
      <c r="T380" s="9">
        <f>IF(Q380="당기",ABS(P380)+ROW()/1000000000,"")</f>
        <v/>
      </c>
      <c r="U380" s="9">
        <f>IF(Q380="비교",ABS(P380)+ROW()/1000000000,"")</f>
        <v/>
      </c>
      <c r="V380" s="39">
        <f>IF($A380="","",IF(COUNTIF(변동분석!$E$7:$E$506,O380)&gt;0,"Y","N"))</f>
        <v/>
      </c>
      <c r="W380" s="39">
        <f>IF($A380="","",IFERROR(INDEX(계정매핑!$D$5:$D$504,MATCH($F380&amp;"",계정매핑!$A$5:$A$504,0)),"미매핑"))</f>
        <v/>
      </c>
      <c r="X380" s="9">
        <f>IF($A380="","",$F380&amp;"")</f>
        <v/>
      </c>
    </row>
    <row r="381">
      <c r="A381" s="75" t="n">
        <v>2025</v>
      </c>
      <c r="B381" s="75" t="n">
        <v>2</v>
      </c>
      <c r="C381" s="75" t="inlineStr">
        <is>
          <t>5100000377</t>
        </is>
      </c>
      <c r="D381" s="78" t="n">
        <v>45713</v>
      </c>
      <c r="E381" s="75" t="inlineStr">
        <is>
          <t>KR</t>
        </is>
      </c>
      <c r="F381" s="75" t="n">
        <v>62201000</v>
      </c>
      <c r="G381" s="75" t="n">
        <v>1801</v>
      </c>
      <c r="H381" s="76" t="n">
        <v>4710000</v>
      </c>
      <c r="I381" s="75" t="inlineStr">
        <is>
          <t>2월 통신요금 - O텔레콤</t>
        </is>
      </c>
      <c r="J381" s="75" t="inlineStr">
        <is>
          <t>V10002</t>
        </is>
      </c>
      <c r="K381" s="75" t="inlineStr">
        <is>
          <t>O텔레콤</t>
        </is>
      </c>
      <c r="M381" s="9">
        <f>IF($A381="","",VALUE($A381&amp;"")*12+VALUE($B381&amp;""))</f>
        <v/>
      </c>
      <c r="N381" s="39">
        <f>IF($A381="","",IFERROR(INDEX(부서매핑!$C$5:$C$504,MATCH($G381&amp;"",부서매핑!$A$5:$A$504,0)),"미매핑"))</f>
        <v/>
      </c>
      <c r="O381" s="9">
        <f>IF($A381="","",N381&amp;"|"&amp;$F381)</f>
        <v/>
      </c>
      <c r="P381" s="77">
        <f>IF($A381="",0,$H381*설정!$C$23)</f>
        <v/>
      </c>
      <c r="Q381" s="39">
        <f>IF($A381="","",IF(O381&lt;&gt;원인분석!$C$9,"",IF(AND(M381&gt;=원인분석!$C$10,M381&lt;=원인분석!$C$11),"당기",IF(AND(M381&gt;=원인분석!$C$12,M381&lt;=원인분석!$C$13),"비교",""))))</f>
        <v/>
      </c>
      <c r="R381" s="9">
        <f>IF(Q381="","",$K381&amp;"")</f>
        <v/>
      </c>
      <c r="S381" s="9">
        <f>IF(Q381="","",IF(MATCH(R381,$R$5:$R$100000,0)=ROW()-4,ROW(),""))</f>
        <v/>
      </c>
      <c r="T381" s="9">
        <f>IF(Q381="당기",ABS(P381)+ROW()/1000000000,"")</f>
        <v/>
      </c>
      <c r="U381" s="9">
        <f>IF(Q381="비교",ABS(P381)+ROW()/1000000000,"")</f>
        <v/>
      </c>
      <c r="V381" s="39">
        <f>IF($A381="","",IF(COUNTIF(변동분석!$E$7:$E$506,O381)&gt;0,"Y","N"))</f>
        <v/>
      </c>
      <c r="W381" s="39">
        <f>IF($A381="","",IFERROR(INDEX(계정매핑!$D$5:$D$504,MATCH($F381&amp;"",계정매핑!$A$5:$A$504,0)),"미매핑"))</f>
        <v/>
      </c>
      <c r="X381" s="9">
        <f>IF($A381="","",$F381&amp;"")</f>
        <v/>
      </c>
    </row>
    <row r="382">
      <c r="A382" s="75" t="n">
        <v>2025</v>
      </c>
      <c r="B382" s="75" t="n">
        <v>2</v>
      </c>
      <c r="C382" s="75" t="inlineStr">
        <is>
          <t>5100000378</t>
        </is>
      </c>
      <c r="D382" s="78" t="n">
        <v>45713</v>
      </c>
      <c r="E382" s="75" t="inlineStr">
        <is>
          <t>KR</t>
        </is>
      </c>
      <c r="F382" s="75" t="n">
        <v>62902000</v>
      </c>
      <c r="G382" s="75" t="n">
        <v>1801</v>
      </c>
      <c r="H382" s="76" t="n">
        <v>1840000</v>
      </c>
      <c r="I382" s="75" t="inlineStr">
        <is>
          <t>2월 콜 위탁 수수료(건별)</t>
        </is>
      </c>
      <c r="J382" s="75" t="inlineStr">
        <is>
          <t>V10013</t>
        </is>
      </c>
      <c r="K382" s="75" t="inlineStr">
        <is>
          <t>J콜센터</t>
        </is>
      </c>
      <c r="M382" s="9">
        <f>IF($A382="","",VALUE($A382&amp;"")*12+VALUE($B382&amp;""))</f>
        <v/>
      </c>
      <c r="N382" s="39">
        <f>IF($A382="","",IFERROR(INDEX(부서매핑!$C$5:$C$504,MATCH($G382&amp;"",부서매핑!$A$5:$A$504,0)),"미매핑"))</f>
        <v/>
      </c>
      <c r="O382" s="9">
        <f>IF($A382="","",N382&amp;"|"&amp;$F382)</f>
        <v/>
      </c>
      <c r="P382" s="77">
        <f>IF($A382="",0,$H382*설정!$C$23)</f>
        <v/>
      </c>
      <c r="Q382" s="39">
        <f>IF($A382="","",IF(O382&lt;&gt;원인분석!$C$9,"",IF(AND(M382&gt;=원인분석!$C$10,M382&lt;=원인분석!$C$11),"당기",IF(AND(M382&gt;=원인분석!$C$12,M382&lt;=원인분석!$C$13),"비교",""))))</f>
        <v/>
      </c>
      <c r="R382" s="9">
        <f>IF(Q382="","",$K382&amp;"")</f>
        <v/>
      </c>
      <c r="S382" s="9">
        <f>IF(Q382="","",IF(MATCH(R382,$R$5:$R$100000,0)=ROW()-4,ROW(),""))</f>
        <v/>
      </c>
      <c r="T382" s="9">
        <f>IF(Q382="당기",ABS(P382)+ROW()/1000000000,"")</f>
        <v/>
      </c>
      <c r="U382" s="9">
        <f>IF(Q382="비교",ABS(P382)+ROW()/1000000000,"")</f>
        <v/>
      </c>
      <c r="V382" s="39">
        <f>IF($A382="","",IF(COUNTIF(변동분석!$E$7:$E$506,O382)&gt;0,"Y","N"))</f>
        <v/>
      </c>
      <c r="W382" s="39">
        <f>IF($A382="","",IFERROR(INDEX(계정매핑!$D$5:$D$504,MATCH($F382&amp;"",계정매핑!$A$5:$A$504,0)),"미매핑"))</f>
        <v/>
      </c>
      <c r="X382" s="9">
        <f>IF($A382="","",$F382&amp;"")</f>
        <v/>
      </c>
    </row>
    <row r="383">
      <c r="A383" s="75" t="n">
        <v>2025</v>
      </c>
      <c r="B383" s="75" t="n">
        <v>2</v>
      </c>
      <c r="C383" s="75" t="inlineStr">
        <is>
          <t>5100000379</t>
        </is>
      </c>
      <c r="D383" s="78" t="n">
        <v>45713</v>
      </c>
      <c r="E383" s="75" t="inlineStr">
        <is>
          <t>KR</t>
        </is>
      </c>
      <c r="F383" s="75" t="n">
        <v>63002000</v>
      </c>
      <c r="G383" s="75" t="n">
        <v>1701</v>
      </c>
      <c r="H383" s="76" t="n">
        <v>65000000</v>
      </c>
      <c r="I383" s="75" t="inlineStr">
        <is>
          <t>2월 클라우드 사용료 - C클라우드</t>
        </is>
      </c>
      <c r="J383" s="75" t="inlineStr">
        <is>
          <t>V10028</t>
        </is>
      </c>
      <c r="K383" s="75" t="inlineStr">
        <is>
          <t>C클라우드</t>
        </is>
      </c>
      <c r="M383" s="9">
        <f>IF($A383="","",VALUE($A383&amp;"")*12+VALUE($B383&amp;""))</f>
        <v/>
      </c>
      <c r="N383" s="39">
        <f>IF($A383="","",IFERROR(INDEX(부서매핑!$C$5:$C$504,MATCH($G383&amp;"",부서매핑!$A$5:$A$504,0)),"미매핑"))</f>
        <v/>
      </c>
      <c r="O383" s="9">
        <f>IF($A383="","",N383&amp;"|"&amp;$F383)</f>
        <v/>
      </c>
      <c r="P383" s="77">
        <f>IF($A383="",0,$H383*설정!$C$23)</f>
        <v/>
      </c>
      <c r="Q383" s="39">
        <f>IF($A383="","",IF(O383&lt;&gt;원인분석!$C$9,"",IF(AND(M383&gt;=원인분석!$C$10,M383&lt;=원인분석!$C$11),"당기",IF(AND(M383&gt;=원인분석!$C$12,M383&lt;=원인분석!$C$13),"비교",""))))</f>
        <v/>
      </c>
      <c r="R383" s="9">
        <f>IF(Q383="","",$K383&amp;"")</f>
        <v/>
      </c>
      <c r="S383" s="9">
        <f>IF(Q383="","",IF(MATCH(R383,$R$5:$R$100000,0)=ROW()-4,ROW(),""))</f>
        <v/>
      </c>
      <c r="T383" s="9">
        <f>IF(Q383="당기",ABS(P383)+ROW()/1000000000,"")</f>
        <v/>
      </c>
      <c r="U383" s="9">
        <f>IF(Q383="비교",ABS(P383)+ROW()/1000000000,"")</f>
        <v/>
      </c>
      <c r="V383" s="39">
        <f>IF($A383="","",IF(COUNTIF(변동분석!$E$7:$E$506,O383)&gt;0,"Y","N"))</f>
        <v/>
      </c>
      <c r="W383" s="39">
        <f>IF($A383="","",IFERROR(INDEX(계정매핑!$D$5:$D$504,MATCH($F383&amp;"",계정매핑!$A$5:$A$504,0)),"미매핑"))</f>
        <v/>
      </c>
      <c r="X383" s="9">
        <f>IF($A383="","",$F383&amp;"")</f>
        <v/>
      </c>
    </row>
    <row r="384">
      <c r="A384" s="75" t="n">
        <v>2025</v>
      </c>
      <c r="B384" s="75" t="n">
        <v>2</v>
      </c>
      <c r="C384" s="75" t="inlineStr">
        <is>
          <t>5100000380</t>
        </is>
      </c>
      <c r="D384" s="78" t="n">
        <v>45714</v>
      </c>
      <c r="E384" s="75" t="inlineStr">
        <is>
          <t>KR</t>
        </is>
      </c>
      <c r="F384" s="75" t="n">
        <v>62301000</v>
      </c>
      <c r="G384" s="75" t="n">
        <v>1801</v>
      </c>
      <c r="H384" s="76" t="n">
        <v>741000</v>
      </c>
      <c r="I384" s="75" t="inlineStr">
        <is>
          <t>2월 소모품 구입 - R문구</t>
        </is>
      </c>
      <c r="J384" s="75" t="inlineStr">
        <is>
          <t>V10018</t>
        </is>
      </c>
      <c r="K384" s="75" t="inlineStr">
        <is>
          <t>R문구</t>
        </is>
      </c>
      <c r="M384" s="9">
        <f>IF($A384="","",VALUE($A384&amp;"")*12+VALUE($B384&amp;""))</f>
        <v/>
      </c>
      <c r="N384" s="39">
        <f>IF($A384="","",IFERROR(INDEX(부서매핑!$C$5:$C$504,MATCH($G384&amp;"",부서매핑!$A$5:$A$504,0)),"미매핑"))</f>
        <v/>
      </c>
      <c r="O384" s="9">
        <f>IF($A384="","",N384&amp;"|"&amp;$F384)</f>
        <v/>
      </c>
      <c r="P384" s="77">
        <f>IF($A384="",0,$H384*설정!$C$23)</f>
        <v/>
      </c>
      <c r="Q384" s="39">
        <f>IF($A384="","",IF(O384&lt;&gt;원인분석!$C$9,"",IF(AND(M384&gt;=원인분석!$C$10,M384&lt;=원인분석!$C$11),"당기",IF(AND(M384&gt;=원인분석!$C$12,M384&lt;=원인분석!$C$13),"비교",""))))</f>
        <v/>
      </c>
      <c r="R384" s="9">
        <f>IF(Q384="","",$K384&amp;"")</f>
        <v/>
      </c>
      <c r="S384" s="9">
        <f>IF(Q384="","",IF(MATCH(R384,$R$5:$R$100000,0)=ROW()-4,ROW(),""))</f>
        <v/>
      </c>
      <c r="T384" s="9">
        <f>IF(Q384="당기",ABS(P384)+ROW()/1000000000,"")</f>
        <v/>
      </c>
      <c r="U384" s="9">
        <f>IF(Q384="비교",ABS(P384)+ROW()/1000000000,"")</f>
        <v/>
      </c>
      <c r="V384" s="39">
        <f>IF($A384="","",IF(COUNTIF(변동분석!$E$7:$E$506,O384)&gt;0,"Y","N"))</f>
        <v/>
      </c>
      <c r="W384" s="39">
        <f>IF($A384="","",IFERROR(INDEX(계정매핑!$D$5:$D$504,MATCH($F384&amp;"",계정매핑!$A$5:$A$504,0)),"미매핑"))</f>
        <v/>
      </c>
      <c r="X384" s="9">
        <f>IF($A384="","",$F384&amp;"")</f>
        <v/>
      </c>
    </row>
    <row r="385">
      <c r="A385" s="75" t="n">
        <v>2025</v>
      </c>
      <c r="B385" s="75" t="n">
        <v>2</v>
      </c>
      <c r="C385" s="75" t="inlineStr">
        <is>
          <t>5100000381</t>
        </is>
      </c>
      <c r="D385" s="78" t="n">
        <v>45714</v>
      </c>
      <c r="E385" s="75" t="inlineStr">
        <is>
          <t>KR</t>
        </is>
      </c>
      <c r="F385" s="75" t="n">
        <v>62401000</v>
      </c>
      <c r="G385" s="75" t="n">
        <v>1502</v>
      </c>
      <c r="H385" s="76" t="n">
        <v>2041000</v>
      </c>
      <c r="I385" s="75" t="inlineStr">
        <is>
          <t>2월 인쇄물 제작 - G인쇄</t>
        </is>
      </c>
      <c r="J385" s="75" t="inlineStr">
        <is>
          <t>V10004</t>
        </is>
      </c>
      <c r="K385" s="75" t="inlineStr">
        <is>
          <t>G인쇄</t>
        </is>
      </c>
      <c r="M385" s="9">
        <f>IF($A385="","",VALUE($A385&amp;"")*12+VALUE($B385&amp;""))</f>
        <v/>
      </c>
      <c r="N385" s="39">
        <f>IF($A385="","",IFERROR(INDEX(부서매핑!$C$5:$C$504,MATCH($G385&amp;"",부서매핑!$A$5:$A$504,0)),"미매핑"))</f>
        <v/>
      </c>
      <c r="O385" s="9">
        <f>IF($A385="","",N385&amp;"|"&amp;$F385)</f>
        <v/>
      </c>
      <c r="P385" s="77">
        <f>IF($A385="",0,$H385*설정!$C$23)</f>
        <v/>
      </c>
      <c r="Q385" s="39">
        <f>IF($A385="","",IF(O385&lt;&gt;원인분석!$C$9,"",IF(AND(M385&gt;=원인분석!$C$10,M385&lt;=원인분석!$C$11),"당기",IF(AND(M385&gt;=원인분석!$C$12,M385&lt;=원인분석!$C$13),"비교",""))))</f>
        <v/>
      </c>
      <c r="R385" s="9">
        <f>IF(Q385="","",$K385&amp;"")</f>
        <v/>
      </c>
      <c r="S385" s="9">
        <f>IF(Q385="","",IF(MATCH(R385,$R$5:$R$100000,0)=ROW()-4,ROW(),""))</f>
        <v/>
      </c>
      <c r="T385" s="9">
        <f>IF(Q385="당기",ABS(P385)+ROW()/1000000000,"")</f>
        <v/>
      </c>
      <c r="U385" s="9">
        <f>IF(Q385="비교",ABS(P385)+ROW()/1000000000,"")</f>
        <v/>
      </c>
      <c r="V385" s="39">
        <f>IF($A385="","",IF(COUNTIF(변동분석!$E$7:$E$506,O385)&gt;0,"Y","N"))</f>
        <v/>
      </c>
      <c r="W385" s="39">
        <f>IF($A385="","",IFERROR(INDEX(계정매핑!$D$5:$D$504,MATCH($F385&amp;"",계정매핑!$A$5:$A$504,0)),"미매핑"))</f>
        <v/>
      </c>
      <c r="X385" s="9">
        <f>IF($A385="","",$F385&amp;"")</f>
        <v/>
      </c>
    </row>
    <row r="386">
      <c r="A386" s="75" t="n">
        <v>2025</v>
      </c>
      <c r="B386" s="75" t="n">
        <v>2</v>
      </c>
      <c r="C386" s="75" t="inlineStr">
        <is>
          <t>5100000382</t>
        </is>
      </c>
      <c r="D386" s="78" t="n">
        <v>45714</v>
      </c>
      <c r="E386" s="75" t="inlineStr">
        <is>
          <t>KR</t>
        </is>
      </c>
      <c r="F386" s="75" t="n">
        <v>62601000</v>
      </c>
      <c r="G386" s="75" t="n">
        <v>1501</v>
      </c>
      <c r="H386" s="76" t="n">
        <v>880000</v>
      </c>
      <c r="I386" s="75" t="inlineStr">
        <is>
          <t>2월 업무추진 - (법인카드)</t>
        </is>
      </c>
      <c r="J386" s="75" t="inlineStr">
        <is>
          <t>V10008</t>
        </is>
      </c>
      <c r="K386" s="75" t="inlineStr">
        <is>
          <t>(법인카드)</t>
        </is>
      </c>
      <c r="M386" s="9">
        <f>IF($A386="","",VALUE($A386&amp;"")*12+VALUE($B386&amp;""))</f>
        <v/>
      </c>
      <c r="N386" s="39">
        <f>IF($A386="","",IFERROR(INDEX(부서매핑!$C$5:$C$504,MATCH($G386&amp;"",부서매핑!$A$5:$A$504,0)),"미매핑"))</f>
        <v/>
      </c>
      <c r="O386" s="9">
        <f>IF($A386="","",N386&amp;"|"&amp;$F386)</f>
        <v/>
      </c>
      <c r="P386" s="77">
        <f>IF($A386="",0,$H386*설정!$C$23)</f>
        <v/>
      </c>
      <c r="Q386" s="39">
        <f>IF($A386="","",IF(O386&lt;&gt;원인분석!$C$9,"",IF(AND(M386&gt;=원인분석!$C$10,M386&lt;=원인분석!$C$11),"당기",IF(AND(M386&gt;=원인분석!$C$12,M386&lt;=원인분석!$C$13),"비교",""))))</f>
        <v/>
      </c>
      <c r="R386" s="9">
        <f>IF(Q386="","",$K386&amp;"")</f>
        <v/>
      </c>
      <c r="S386" s="9">
        <f>IF(Q386="","",IF(MATCH(R386,$R$5:$R$100000,0)=ROW()-4,ROW(),""))</f>
        <v/>
      </c>
      <c r="T386" s="9">
        <f>IF(Q386="당기",ABS(P386)+ROW()/1000000000,"")</f>
        <v/>
      </c>
      <c r="U386" s="9">
        <f>IF(Q386="비교",ABS(P386)+ROW()/1000000000,"")</f>
        <v/>
      </c>
      <c r="V386" s="39">
        <f>IF($A386="","",IF(COUNTIF(변동분석!$E$7:$E$506,O386)&gt;0,"Y","N"))</f>
        <v/>
      </c>
      <c r="W386" s="39">
        <f>IF($A386="","",IFERROR(INDEX(계정매핑!$D$5:$D$504,MATCH($F386&amp;"",계정매핑!$A$5:$A$504,0)),"미매핑"))</f>
        <v/>
      </c>
      <c r="X386" s="9">
        <f>IF($A386="","",$F386&amp;"")</f>
        <v/>
      </c>
    </row>
    <row r="387">
      <c r="A387" s="75" t="n">
        <v>2025</v>
      </c>
      <c r="B387" s="75" t="n">
        <v>2</v>
      </c>
      <c r="C387" s="75" t="inlineStr">
        <is>
          <t>5100000383</t>
        </is>
      </c>
      <c r="D387" s="78" t="n">
        <v>45714</v>
      </c>
      <c r="E387" s="75" t="inlineStr">
        <is>
          <t>KR</t>
        </is>
      </c>
      <c r="F387" s="75" t="n">
        <v>63101000</v>
      </c>
      <c r="G387" s="75" t="n">
        <v>1601</v>
      </c>
      <c r="H387" s="76" t="n">
        <v>6231000</v>
      </c>
      <c r="I387" s="75" t="inlineStr">
        <is>
          <t>2월 사무실 임차료 - AA빌딩</t>
        </is>
      </c>
      <c r="J387" s="75" t="inlineStr">
        <is>
          <t>V10006</t>
        </is>
      </c>
      <c r="K387" s="75" t="inlineStr">
        <is>
          <t>AA빌딩</t>
        </is>
      </c>
      <c r="M387" s="9">
        <f>IF($A387="","",VALUE($A387&amp;"")*12+VALUE($B387&amp;""))</f>
        <v/>
      </c>
      <c r="N387" s="39">
        <f>IF($A387="","",IFERROR(INDEX(부서매핑!$C$5:$C$504,MATCH($G387&amp;"",부서매핑!$A$5:$A$504,0)),"미매핑"))</f>
        <v/>
      </c>
      <c r="O387" s="9">
        <f>IF($A387="","",N387&amp;"|"&amp;$F387)</f>
        <v/>
      </c>
      <c r="P387" s="77">
        <f>IF($A387="",0,$H387*설정!$C$23)</f>
        <v/>
      </c>
      <c r="Q387" s="39">
        <f>IF($A387="","",IF(O387&lt;&gt;원인분석!$C$9,"",IF(AND(M387&gt;=원인분석!$C$10,M387&lt;=원인분석!$C$11),"당기",IF(AND(M387&gt;=원인분석!$C$12,M387&lt;=원인분석!$C$13),"비교",""))))</f>
        <v/>
      </c>
      <c r="R387" s="9">
        <f>IF(Q387="","",$K387&amp;"")</f>
        <v/>
      </c>
      <c r="S387" s="9">
        <f>IF(Q387="","",IF(MATCH(R387,$R$5:$R$100000,0)=ROW()-4,ROW(),""))</f>
        <v/>
      </c>
      <c r="T387" s="9">
        <f>IF(Q387="당기",ABS(P387)+ROW()/1000000000,"")</f>
        <v/>
      </c>
      <c r="U387" s="9">
        <f>IF(Q387="비교",ABS(P387)+ROW()/1000000000,"")</f>
        <v/>
      </c>
      <c r="V387" s="39">
        <f>IF($A387="","",IF(COUNTIF(변동분석!$E$7:$E$506,O387)&gt;0,"Y","N"))</f>
        <v/>
      </c>
      <c r="W387" s="39">
        <f>IF($A387="","",IFERROR(INDEX(계정매핑!$D$5:$D$504,MATCH($F387&amp;"",계정매핑!$A$5:$A$504,0)),"미매핑"))</f>
        <v/>
      </c>
      <c r="X387" s="9">
        <f>IF($A387="","",$F387&amp;"")</f>
        <v/>
      </c>
    </row>
    <row r="388">
      <c r="A388" s="75" t="n">
        <v>2025</v>
      </c>
      <c r="B388" s="75" t="n">
        <v>2</v>
      </c>
      <c r="C388" s="75" t="inlineStr">
        <is>
          <t>5100000384</t>
        </is>
      </c>
      <c r="D388" s="78" t="n">
        <v>45714</v>
      </c>
      <c r="E388" s="75" t="inlineStr">
        <is>
          <t>KR</t>
        </is>
      </c>
      <c r="F388" s="75" t="n">
        <v>63101000</v>
      </c>
      <c r="G388" s="75" t="n">
        <v>1602</v>
      </c>
      <c r="H388" s="76" t="n">
        <v>5828000</v>
      </c>
      <c r="I388" s="75" t="inlineStr">
        <is>
          <t>2월 사무실 임차료 - BB부동산</t>
        </is>
      </c>
      <c r="J388" s="75" t="inlineStr">
        <is>
          <t>V10024</t>
        </is>
      </c>
      <c r="K388" s="75" t="inlineStr">
        <is>
          <t>BB부동산</t>
        </is>
      </c>
      <c r="M388" s="9">
        <f>IF($A388="","",VALUE($A388&amp;"")*12+VALUE($B388&amp;""))</f>
        <v/>
      </c>
      <c r="N388" s="39">
        <f>IF($A388="","",IFERROR(INDEX(부서매핑!$C$5:$C$504,MATCH($G388&amp;"",부서매핑!$A$5:$A$504,0)),"미매핑"))</f>
        <v/>
      </c>
      <c r="O388" s="9">
        <f>IF($A388="","",N388&amp;"|"&amp;$F388)</f>
        <v/>
      </c>
      <c r="P388" s="77">
        <f>IF($A388="",0,$H388*설정!$C$23)</f>
        <v/>
      </c>
      <c r="Q388" s="39">
        <f>IF($A388="","",IF(O388&lt;&gt;원인분석!$C$9,"",IF(AND(M388&gt;=원인분석!$C$10,M388&lt;=원인분석!$C$11),"당기",IF(AND(M388&gt;=원인분석!$C$12,M388&lt;=원인분석!$C$13),"비교",""))))</f>
        <v/>
      </c>
      <c r="R388" s="9">
        <f>IF(Q388="","",$K388&amp;"")</f>
        <v/>
      </c>
      <c r="S388" s="9">
        <f>IF(Q388="","",IF(MATCH(R388,$R$5:$R$100000,0)=ROW()-4,ROW(),""))</f>
        <v/>
      </c>
      <c r="T388" s="9">
        <f>IF(Q388="당기",ABS(P388)+ROW()/1000000000,"")</f>
        <v/>
      </c>
      <c r="U388" s="9">
        <f>IF(Q388="비교",ABS(P388)+ROW()/1000000000,"")</f>
        <v/>
      </c>
      <c r="V388" s="39">
        <f>IF($A388="","",IF(COUNTIF(변동분석!$E$7:$E$506,O388)&gt;0,"Y","N"))</f>
        <v/>
      </c>
      <c r="W388" s="39">
        <f>IF($A388="","",IFERROR(INDEX(계정매핑!$D$5:$D$504,MATCH($F388&amp;"",계정매핑!$A$5:$A$504,0)),"미매핑"))</f>
        <v/>
      </c>
      <c r="X388" s="9">
        <f>IF($A388="","",$F388&amp;"")</f>
        <v/>
      </c>
    </row>
    <row r="389">
      <c r="A389" s="75" t="n">
        <v>2025</v>
      </c>
      <c r="B389" s="75" t="n">
        <v>2</v>
      </c>
      <c r="C389" s="75" t="inlineStr">
        <is>
          <t>5100000385</t>
        </is>
      </c>
      <c r="D389" s="78" t="n">
        <v>45715</v>
      </c>
      <c r="E389" s="75" t="inlineStr">
        <is>
          <t>KR</t>
        </is>
      </c>
      <c r="F389" s="75" t="n">
        <v>62101000</v>
      </c>
      <c r="G389" s="75" t="n">
        <v>1602</v>
      </c>
      <c r="H389" s="76" t="n">
        <v>1234000</v>
      </c>
      <c r="I389" s="75" t="inlineStr">
        <is>
          <t>2월 국내출장 - M항공</t>
        </is>
      </c>
      <c r="J389" s="75" t="inlineStr">
        <is>
          <t>V10001</t>
        </is>
      </c>
      <c r="K389" s="75" t="inlineStr">
        <is>
          <t>M항공</t>
        </is>
      </c>
      <c r="M389" s="9">
        <f>IF($A389="","",VALUE($A389&amp;"")*12+VALUE($B389&amp;""))</f>
        <v/>
      </c>
      <c r="N389" s="39">
        <f>IF($A389="","",IFERROR(INDEX(부서매핑!$C$5:$C$504,MATCH($G389&amp;"",부서매핑!$A$5:$A$504,0)),"미매핑"))</f>
        <v/>
      </c>
      <c r="O389" s="9">
        <f>IF($A389="","",N389&amp;"|"&amp;$F389)</f>
        <v/>
      </c>
      <c r="P389" s="77">
        <f>IF($A389="",0,$H389*설정!$C$23)</f>
        <v/>
      </c>
      <c r="Q389" s="39">
        <f>IF($A389="","",IF(O389&lt;&gt;원인분석!$C$9,"",IF(AND(M389&gt;=원인분석!$C$10,M389&lt;=원인분석!$C$11),"당기",IF(AND(M389&gt;=원인분석!$C$12,M389&lt;=원인분석!$C$13),"비교",""))))</f>
        <v/>
      </c>
      <c r="R389" s="9">
        <f>IF(Q389="","",$K389&amp;"")</f>
        <v/>
      </c>
      <c r="S389" s="9">
        <f>IF(Q389="","",IF(MATCH(R389,$R$5:$R$100000,0)=ROW()-4,ROW(),""))</f>
        <v/>
      </c>
      <c r="T389" s="9">
        <f>IF(Q389="당기",ABS(P389)+ROW()/1000000000,"")</f>
        <v/>
      </c>
      <c r="U389" s="9">
        <f>IF(Q389="비교",ABS(P389)+ROW()/1000000000,"")</f>
        <v/>
      </c>
      <c r="V389" s="39">
        <f>IF($A389="","",IF(COUNTIF(변동분석!$E$7:$E$506,O389)&gt;0,"Y","N"))</f>
        <v/>
      </c>
      <c r="W389" s="39">
        <f>IF($A389="","",IFERROR(INDEX(계정매핑!$D$5:$D$504,MATCH($F389&amp;"",계정매핑!$A$5:$A$504,0)),"미매핑"))</f>
        <v/>
      </c>
      <c r="X389" s="9">
        <f>IF($A389="","",$F389&amp;"")</f>
        <v/>
      </c>
    </row>
    <row r="390">
      <c r="A390" s="75" t="n">
        <v>2025</v>
      </c>
      <c r="B390" s="75" t="n">
        <v>2</v>
      </c>
      <c r="C390" s="75" t="inlineStr">
        <is>
          <t>5100000386</t>
        </is>
      </c>
      <c r="D390" s="78" t="n">
        <v>45715</v>
      </c>
      <c r="E390" s="75" t="inlineStr">
        <is>
          <t>KR</t>
        </is>
      </c>
      <c r="F390" s="75" t="n">
        <v>62201000</v>
      </c>
      <c r="G390" s="75" t="n">
        <v>1201</v>
      </c>
      <c r="H390" s="76" t="n">
        <v>174000</v>
      </c>
      <c r="I390" s="75" t="inlineStr">
        <is>
          <t>2월 통신요금 - O텔레콤</t>
        </is>
      </c>
      <c r="J390" s="75" t="inlineStr">
        <is>
          <t>V10002</t>
        </is>
      </c>
      <c r="K390" s="75" t="inlineStr">
        <is>
          <t>O텔레콤</t>
        </is>
      </c>
      <c r="M390" s="9">
        <f>IF($A390="","",VALUE($A390&amp;"")*12+VALUE($B390&amp;""))</f>
        <v/>
      </c>
      <c r="N390" s="39">
        <f>IF($A390="","",IFERROR(INDEX(부서매핑!$C$5:$C$504,MATCH($G390&amp;"",부서매핑!$A$5:$A$504,0)),"미매핑"))</f>
        <v/>
      </c>
      <c r="O390" s="9">
        <f>IF($A390="","",N390&amp;"|"&amp;$F390)</f>
        <v/>
      </c>
      <c r="P390" s="77">
        <f>IF($A390="",0,$H390*설정!$C$23)</f>
        <v/>
      </c>
      <c r="Q390" s="39">
        <f>IF($A390="","",IF(O390&lt;&gt;원인분석!$C$9,"",IF(AND(M390&gt;=원인분석!$C$10,M390&lt;=원인분석!$C$11),"당기",IF(AND(M390&gt;=원인분석!$C$12,M390&lt;=원인분석!$C$13),"비교",""))))</f>
        <v/>
      </c>
      <c r="R390" s="9">
        <f>IF(Q390="","",$K390&amp;"")</f>
        <v/>
      </c>
      <c r="S390" s="9">
        <f>IF(Q390="","",IF(MATCH(R390,$R$5:$R$100000,0)=ROW()-4,ROW(),""))</f>
        <v/>
      </c>
      <c r="T390" s="9">
        <f>IF(Q390="당기",ABS(P390)+ROW()/1000000000,"")</f>
        <v/>
      </c>
      <c r="U390" s="9">
        <f>IF(Q390="비교",ABS(P390)+ROW()/1000000000,"")</f>
        <v/>
      </c>
      <c r="V390" s="39">
        <f>IF($A390="","",IF(COUNTIF(변동분석!$E$7:$E$506,O390)&gt;0,"Y","N"))</f>
        <v/>
      </c>
      <c r="W390" s="39">
        <f>IF($A390="","",IFERROR(INDEX(계정매핑!$D$5:$D$504,MATCH($F390&amp;"",계정매핑!$A$5:$A$504,0)),"미매핑"))</f>
        <v/>
      </c>
      <c r="X390" s="9">
        <f>IF($A390="","",$F390&amp;"")</f>
        <v/>
      </c>
    </row>
    <row r="391">
      <c r="A391" s="75" t="n">
        <v>2025</v>
      </c>
      <c r="B391" s="75" t="n">
        <v>2</v>
      </c>
      <c r="C391" s="75" t="inlineStr">
        <is>
          <t>5100000387</t>
        </is>
      </c>
      <c r="D391" s="78" t="n">
        <v>45715</v>
      </c>
      <c r="E391" s="75" t="inlineStr">
        <is>
          <t>KR</t>
        </is>
      </c>
      <c r="F391" s="75" t="n">
        <v>62201000</v>
      </c>
      <c r="G391" s="75" t="n">
        <v>1401</v>
      </c>
      <c r="H391" s="76" t="n">
        <v>178000</v>
      </c>
      <c r="I391" s="75" t="inlineStr">
        <is>
          <t>2월 통신요금 - P통신</t>
        </is>
      </c>
      <c r="J391" s="75" t="inlineStr">
        <is>
          <t>V10011</t>
        </is>
      </c>
      <c r="K391" s="75" t="inlineStr">
        <is>
          <t>P통신</t>
        </is>
      </c>
      <c r="M391" s="9">
        <f>IF($A391="","",VALUE($A391&amp;"")*12+VALUE($B391&amp;""))</f>
        <v/>
      </c>
      <c r="N391" s="39">
        <f>IF($A391="","",IFERROR(INDEX(부서매핑!$C$5:$C$504,MATCH($G391&amp;"",부서매핑!$A$5:$A$504,0)),"미매핑"))</f>
        <v/>
      </c>
      <c r="O391" s="9">
        <f>IF($A391="","",N391&amp;"|"&amp;$F391)</f>
        <v/>
      </c>
      <c r="P391" s="77">
        <f>IF($A391="",0,$H391*설정!$C$23)</f>
        <v/>
      </c>
      <c r="Q391" s="39">
        <f>IF($A391="","",IF(O391&lt;&gt;원인분석!$C$9,"",IF(AND(M391&gt;=원인분석!$C$10,M391&lt;=원인분석!$C$11),"당기",IF(AND(M391&gt;=원인분석!$C$12,M391&lt;=원인분석!$C$13),"비교",""))))</f>
        <v/>
      </c>
      <c r="R391" s="9">
        <f>IF(Q391="","",$K391&amp;"")</f>
        <v/>
      </c>
      <c r="S391" s="9">
        <f>IF(Q391="","",IF(MATCH(R391,$R$5:$R$100000,0)=ROW()-4,ROW(),""))</f>
        <v/>
      </c>
      <c r="T391" s="9">
        <f>IF(Q391="당기",ABS(P391)+ROW()/1000000000,"")</f>
        <v/>
      </c>
      <c r="U391" s="9">
        <f>IF(Q391="비교",ABS(P391)+ROW()/1000000000,"")</f>
        <v/>
      </c>
      <c r="V391" s="39">
        <f>IF($A391="","",IF(COUNTIF(변동분석!$E$7:$E$506,O391)&gt;0,"Y","N"))</f>
        <v/>
      </c>
      <c r="W391" s="39">
        <f>IF($A391="","",IFERROR(INDEX(계정매핑!$D$5:$D$504,MATCH($F391&amp;"",계정매핑!$A$5:$A$504,0)),"미매핑"))</f>
        <v/>
      </c>
      <c r="X391" s="9">
        <f>IF($A391="","",$F391&amp;"")</f>
        <v/>
      </c>
    </row>
    <row r="392">
      <c r="A392" s="75" t="n">
        <v>2025</v>
      </c>
      <c r="B392" s="75" t="n">
        <v>2</v>
      </c>
      <c r="C392" s="75" t="inlineStr">
        <is>
          <t>5100000388</t>
        </is>
      </c>
      <c r="D392" s="78" t="n">
        <v>45715</v>
      </c>
      <c r="E392" s="75" t="inlineStr">
        <is>
          <t>KR</t>
        </is>
      </c>
      <c r="F392" s="75" t="n">
        <v>62201000</v>
      </c>
      <c r="G392" s="75" t="n">
        <v>1602</v>
      </c>
      <c r="H392" s="76" t="n">
        <v>728000</v>
      </c>
      <c r="I392" s="75" t="inlineStr">
        <is>
          <t>2월 통신요금 - P통신</t>
        </is>
      </c>
      <c r="J392" s="75" t="inlineStr">
        <is>
          <t>V10011</t>
        </is>
      </c>
      <c r="K392" s="75" t="inlineStr">
        <is>
          <t>P통신</t>
        </is>
      </c>
      <c r="M392" s="9">
        <f>IF($A392="","",VALUE($A392&amp;"")*12+VALUE($B392&amp;""))</f>
        <v/>
      </c>
      <c r="N392" s="39">
        <f>IF($A392="","",IFERROR(INDEX(부서매핑!$C$5:$C$504,MATCH($G392&amp;"",부서매핑!$A$5:$A$504,0)),"미매핑"))</f>
        <v/>
      </c>
      <c r="O392" s="9">
        <f>IF($A392="","",N392&amp;"|"&amp;$F392)</f>
        <v/>
      </c>
      <c r="P392" s="77">
        <f>IF($A392="",0,$H392*설정!$C$23)</f>
        <v/>
      </c>
      <c r="Q392" s="39">
        <f>IF($A392="","",IF(O392&lt;&gt;원인분석!$C$9,"",IF(AND(M392&gt;=원인분석!$C$10,M392&lt;=원인분석!$C$11),"당기",IF(AND(M392&gt;=원인분석!$C$12,M392&lt;=원인분석!$C$13),"비교",""))))</f>
        <v/>
      </c>
      <c r="R392" s="9">
        <f>IF(Q392="","",$K392&amp;"")</f>
        <v/>
      </c>
      <c r="S392" s="9">
        <f>IF(Q392="","",IF(MATCH(R392,$R$5:$R$100000,0)=ROW()-4,ROW(),""))</f>
        <v/>
      </c>
      <c r="T392" s="9">
        <f>IF(Q392="당기",ABS(P392)+ROW()/1000000000,"")</f>
        <v/>
      </c>
      <c r="U392" s="9">
        <f>IF(Q392="비교",ABS(P392)+ROW()/1000000000,"")</f>
        <v/>
      </c>
      <c r="V392" s="39">
        <f>IF($A392="","",IF(COUNTIF(변동분석!$E$7:$E$506,O392)&gt;0,"Y","N"))</f>
        <v/>
      </c>
      <c r="W392" s="39">
        <f>IF($A392="","",IFERROR(INDEX(계정매핑!$D$5:$D$504,MATCH($F392&amp;"",계정매핑!$A$5:$A$504,0)),"미매핑"))</f>
        <v/>
      </c>
      <c r="X392" s="9">
        <f>IF($A392="","",$F392&amp;"")</f>
        <v/>
      </c>
    </row>
    <row r="393">
      <c r="A393" s="75" t="n">
        <v>2025</v>
      </c>
      <c r="B393" s="75" t="n">
        <v>2</v>
      </c>
      <c r="C393" s="75" t="inlineStr">
        <is>
          <t>5100000389</t>
        </is>
      </c>
      <c r="D393" s="78" t="n">
        <v>45715</v>
      </c>
      <c r="E393" s="75" t="inlineStr">
        <is>
          <t>KR</t>
        </is>
      </c>
      <c r="F393" s="75" t="n">
        <v>62201000</v>
      </c>
      <c r="G393" s="75" t="n">
        <v>1801</v>
      </c>
      <c r="H393" s="76" t="n">
        <v>5020000</v>
      </c>
      <c r="I393" s="75" t="inlineStr">
        <is>
          <t>2월 통신요금 - P통신</t>
        </is>
      </c>
      <c r="J393" s="75" t="inlineStr">
        <is>
          <t>V10011</t>
        </is>
      </c>
      <c r="K393" s="75" t="inlineStr">
        <is>
          <t>P통신</t>
        </is>
      </c>
      <c r="M393" s="9">
        <f>IF($A393="","",VALUE($A393&amp;"")*12+VALUE($B393&amp;""))</f>
        <v/>
      </c>
      <c r="N393" s="39">
        <f>IF($A393="","",IFERROR(INDEX(부서매핑!$C$5:$C$504,MATCH($G393&amp;"",부서매핑!$A$5:$A$504,0)),"미매핑"))</f>
        <v/>
      </c>
      <c r="O393" s="9">
        <f>IF($A393="","",N393&amp;"|"&amp;$F393)</f>
        <v/>
      </c>
      <c r="P393" s="77">
        <f>IF($A393="",0,$H393*설정!$C$23)</f>
        <v/>
      </c>
      <c r="Q393" s="39">
        <f>IF($A393="","",IF(O393&lt;&gt;원인분석!$C$9,"",IF(AND(M393&gt;=원인분석!$C$10,M393&lt;=원인분석!$C$11),"당기",IF(AND(M393&gt;=원인분석!$C$12,M393&lt;=원인분석!$C$13),"비교",""))))</f>
        <v/>
      </c>
      <c r="R393" s="9">
        <f>IF(Q393="","",$K393&amp;"")</f>
        <v/>
      </c>
      <c r="S393" s="9">
        <f>IF(Q393="","",IF(MATCH(R393,$R$5:$R$100000,0)=ROW()-4,ROW(),""))</f>
        <v/>
      </c>
      <c r="T393" s="9">
        <f>IF(Q393="당기",ABS(P393)+ROW()/1000000000,"")</f>
        <v/>
      </c>
      <c r="U393" s="9">
        <f>IF(Q393="비교",ABS(P393)+ROW()/1000000000,"")</f>
        <v/>
      </c>
      <c r="V393" s="39">
        <f>IF($A393="","",IF(COUNTIF(변동분석!$E$7:$E$506,O393)&gt;0,"Y","N"))</f>
        <v/>
      </c>
      <c r="W393" s="39">
        <f>IF($A393="","",IFERROR(INDEX(계정매핑!$D$5:$D$504,MATCH($F393&amp;"",계정매핑!$A$5:$A$504,0)),"미매핑"))</f>
        <v/>
      </c>
      <c r="X393" s="9">
        <f>IF($A393="","",$F393&amp;"")</f>
        <v/>
      </c>
    </row>
    <row r="394">
      <c r="A394" s="75" t="n">
        <v>2025</v>
      </c>
      <c r="B394" s="75" t="n">
        <v>2</v>
      </c>
      <c r="C394" s="75" t="inlineStr">
        <is>
          <t>5100000390</t>
        </is>
      </c>
      <c r="D394" s="78" t="n">
        <v>45715</v>
      </c>
      <c r="E394" s="75" t="inlineStr">
        <is>
          <t>KR</t>
        </is>
      </c>
      <c r="F394" s="75" t="n">
        <v>62301000</v>
      </c>
      <c r="G394" s="75" t="n">
        <v>1201</v>
      </c>
      <c r="H394" s="76" t="n">
        <v>111000</v>
      </c>
      <c r="I394" s="75" t="inlineStr">
        <is>
          <t>2월 소모품 구입 - R문구</t>
        </is>
      </c>
      <c r="J394" s="75" t="inlineStr">
        <is>
          <t>V10018</t>
        </is>
      </c>
      <c r="K394" s="75" t="inlineStr">
        <is>
          <t>R문구</t>
        </is>
      </c>
      <c r="M394" s="9">
        <f>IF($A394="","",VALUE($A394&amp;"")*12+VALUE($B394&amp;""))</f>
        <v/>
      </c>
      <c r="N394" s="39">
        <f>IF($A394="","",IFERROR(INDEX(부서매핑!$C$5:$C$504,MATCH($G394&amp;"",부서매핑!$A$5:$A$504,0)),"미매핑"))</f>
        <v/>
      </c>
      <c r="O394" s="9">
        <f>IF($A394="","",N394&amp;"|"&amp;$F394)</f>
        <v/>
      </c>
      <c r="P394" s="77">
        <f>IF($A394="",0,$H394*설정!$C$23)</f>
        <v/>
      </c>
      <c r="Q394" s="39">
        <f>IF($A394="","",IF(O394&lt;&gt;원인분석!$C$9,"",IF(AND(M394&gt;=원인분석!$C$10,M394&lt;=원인분석!$C$11),"당기",IF(AND(M394&gt;=원인분석!$C$12,M394&lt;=원인분석!$C$13),"비교",""))))</f>
        <v/>
      </c>
      <c r="R394" s="9">
        <f>IF(Q394="","",$K394&amp;"")</f>
        <v/>
      </c>
      <c r="S394" s="9">
        <f>IF(Q394="","",IF(MATCH(R394,$R$5:$R$100000,0)=ROW()-4,ROW(),""))</f>
        <v/>
      </c>
      <c r="T394" s="9">
        <f>IF(Q394="당기",ABS(P394)+ROW()/1000000000,"")</f>
        <v/>
      </c>
      <c r="U394" s="9">
        <f>IF(Q394="비교",ABS(P394)+ROW()/1000000000,"")</f>
        <v/>
      </c>
      <c r="V394" s="39">
        <f>IF($A394="","",IF(COUNTIF(변동분석!$E$7:$E$506,O394)&gt;0,"Y","N"))</f>
        <v/>
      </c>
      <c r="W394" s="39">
        <f>IF($A394="","",IFERROR(INDEX(계정매핑!$D$5:$D$504,MATCH($F394&amp;"",계정매핑!$A$5:$A$504,0)),"미매핑"))</f>
        <v/>
      </c>
      <c r="X394" s="9">
        <f>IF($A394="","",$F394&amp;"")</f>
        <v/>
      </c>
    </row>
    <row r="395">
      <c r="A395" s="75" t="n">
        <v>2025</v>
      </c>
      <c r="B395" s="75" t="n">
        <v>2</v>
      </c>
      <c r="C395" s="75" t="inlineStr">
        <is>
          <t>5100000391</t>
        </is>
      </c>
      <c r="D395" s="78" t="n">
        <v>45715</v>
      </c>
      <c r="E395" s="75" t="inlineStr">
        <is>
          <t>KR</t>
        </is>
      </c>
      <c r="F395" s="75" t="n">
        <v>62501000</v>
      </c>
      <c r="G395" s="75" t="n">
        <v>1401</v>
      </c>
      <c r="H395" s="76" t="n">
        <v>144000</v>
      </c>
      <c r="I395" s="75" t="inlineStr">
        <is>
          <t>2월 회의 다과 - T케이터링</t>
        </is>
      </c>
      <c r="J395" s="75" t="inlineStr">
        <is>
          <t>V10005</t>
        </is>
      </c>
      <c r="K395" s="75" t="inlineStr">
        <is>
          <t>T케이터링</t>
        </is>
      </c>
      <c r="M395" s="9">
        <f>IF($A395="","",VALUE($A395&amp;"")*12+VALUE($B395&amp;""))</f>
        <v/>
      </c>
      <c r="N395" s="39">
        <f>IF($A395="","",IFERROR(INDEX(부서매핑!$C$5:$C$504,MATCH($G395&amp;"",부서매핑!$A$5:$A$504,0)),"미매핑"))</f>
        <v/>
      </c>
      <c r="O395" s="9">
        <f>IF($A395="","",N395&amp;"|"&amp;$F395)</f>
        <v/>
      </c>
      <c r="P395" s="77">
        <f>IF($A395="",0,$H395*설정!$C$23)</f>
        <v/>
      </c>
      <c r="Q395" s="39">
        <f>IF($A395="","",IF(O395&lt;&gt;원인분석!$C$9,"",IF(AND(M395&gt;=원인분석!$C$10,M395&lt;=원인분석!$C$11),"당기",IF(AND(M395&gt;=원인분석!$C$12,M395&lt;=원인분석!$C$13),"비교",""))))</f>
        <v/>
      </c>
      <c r="R395" s="9">
        <f>IF(Q395="","",$K395&amp;"")</f>
        <v/>
      </c>
      <c r="S395" s="9">
        <f>IF(Q395="","",IF(MATCH(R395,$R$5:$R$100000,0)=ROW()-4,ROW(),""))</f>
        <v/>
      </c>
      <c r="T395" s="9">
        <f>IF(Q395="당기",ABS(P395)+ROW()/1000000000,"")</f>
        <v/>
      </c>
      <c r="U395" s="9">
        <f>IF(Q395="비교",ABS(P395)+ROW()/1000000000,"")</f>
        <v/>
      </c>
      <c r="V395" s="39">
        <f>IF($A395="","",IF(COUNTIF(변동분석!$E$7:$E$506,O395)&gt;0,"Y","N"))</f>
        <v/>
      </c>
      <c r="W395" s="39">
        <f>IF($A395="","",IFERROR(INDEX(계정매핑!$D$5:$D$504,MATCH($F395&amp;"",계정매핑!$A$5:$A$504,0)),"미매핑"))</f>
        <v/>
      </c>
      <c r="X395" s="9">
        <f>IF($A395="","",$F395&amp;"")</f>
        <v/>
      </c>
    </row>
    <row r="396">
      <c r="A396" s="75" t="n">
        <v>2025</v>
      </c>
      <c r="B396" s="75" t="n">
        <v>2</v>
      </c>
      <c r="C396" s="75" t="inlineStr">
        <is>
          <t>5100000392</t>
        </is>
      </c>
      <c r="D396" s="78" t="n">
        <v>45715</v>
      </c>
      <c r="E396" s="75" t="inlineStr">
        <is>
          <t>KR</t>
        </is>
      </c>
      <c r="F396" s="75" t="n">
        <v>62501000</v>
      </c>
      <c r="G396" s="75" t="n">
        <v>1602</v>
      </c>
      <c r="H396" s="76" t="n">
        <v>415000</v>
      </c>
      <c r="I396" s="75" t="inlineStr">
        <is>
          <t>2월 회의 다과 - (법인카드)</t>
        </is>
      </c>
      <c r="J396" s="75" t="inlineStr">
        <is>
          <t>V10008</t>
        </is>
      </c>
      <c r="K396" s="75" t="inlineStr">
        <is>
          <t>(법인카드)</t>
        </is>
      </c>
      <c r="M396" s="9">
        <f>IF($A396="","",VALUE($A396&amp;"")*12+VALUE($B396&amp;""))</f>
        <v/>
      </c>
      <c r="N396" s="39">
        <f>IF($A396="","",IFERROR(INDEX(부서매핑!$C$5:$C$504,MATCH($G396&amp;"",부서매핑!$A$5:$A$504,0)),"미매핑"))</f>
        <v/>
      </c>
      <c r="O396" s="9">
        <f>IF($A396="","",N396&amp;"|"&amp;$F396)</f>
        <v/>
      </c>
      <c r="P396" s="77">
        <f>IF($A396="",0,$H396*설정!$C$23)</f>
        <v/>
      </c>
      <c r="Q396" s="39">
        <f>IF($A396="","",IF(O396&lt;&gt;원인분석!$C$9,"",IF(AND(M396&gt;=원인분석!$C$10,M396&lt;=원인분석!$C$11),"당기",IF(AND(M396&gt;=원인분석!$C$12,M396&lt;=원인분석!$C$13),"비교",""))))</f>
        <v/>
      </c>
      <c r="R396" s="9">
        <f>IF(Q396="","",$K396&amp;"")</f>
        <v/>
      </c>
      <c r="S396" s="9">
        <f>IF(Q396="","",IF(MATCH(R396,$R$5:$R$100000,0)=ROW()-4,ROW(),""))</f>
        <v/>
      </c>
      <c r="T396" s="9">
        <f>IF(Q396="당기",ABS(P396)+ROW()/1000000000,"")</f>
        <v/>
      </c>
      <c r="U396" s="9">
        <f>IF(Q396="비교",ABS(P396)+ROW()/1000000000,"")</f>
        <v/>
      </c>
      <c r="V396" s="39">
        <f>IF($A396="","",IF(COUNTIF(변동분석!$E$7:$E$506,O396)&gt;0,"Y","N"))</f>
        <v/>
      </c>
      <c r="W396" s="39">
        <f>IF($A396="","",IFERROR(INDEX(계정매핑!$D$5:$D$504,MATCH($F396&amp;"",계정매핑!$A$5:$A$504,0)),"미매핑"))</f>
        <v/>
      </c>
      <c r="X396" s="9">
        <f>IF($A396="","",$F396&amp;"")</f>
        <v/>
      </c>
    </row>
    <row r="397">
      <c r="A397" s="75" t="n">
        <v>2025</v>
      </c>
      <c r="B397" s="75" t="n">
        <v>2</v>
      </c>
      <c r="C397" s="75" t="inlineStr">
        <is>
          <t>5100000393</t>
        </is>
      </c>
      <c r="D397" s="78" t="n">
        <v>45715</v>
      </c>
      <c r="E397" s="75" t="inlineStr">
        <is>
          <t>KR</t>
        </is>
      </c>
      <c r="F397" s="75" t="n">
        <v>62601000</v>
      </c>
      <c r="G397" s="75" t="n">
        <v>1601</v>
      </c>
      <c r="H397" s="76" t="n">
        <v>1638000</v>
      </c>
      <c r="I397" s="75" t="inlineStr">
        <is>
          <t>2월 업무추진 - (법인카드)</t>
        </is>
      </c>
      <c r="J397" s="75" t="inlineStr">
        <is>
          <t>V10008</t>
        </is>
      </c>
      <c r="K397" s="75" t="inlineStr">
        <is>
          <t>(법인카드)</t>
        </is>
      </c>
      <c r="M397" s="9">
        <f>IF($A397="","",VALUE($A397&amp;"")*12+VALUE($B397&amp;""))</f>
        <v/>
      </c>
      <c r="N397" s="39">
        <f>IF($A397="","",IFERROR(INDEX(부서매핑!$C$5:$C$504,MATCH($G397&amp;"",부서매핑!$A$5:$A$504,0)),"미매핑"))</f>
        <v/>
      </c>
      <c r="O397" s="9">
        <f>IF($A397="","",N397&amp;"|"&amp;$F397)</f>
        <v/>
      </c>
      <c r="P397" s="77">
        <f>IF($A397="",0,$H397*설정!$C$23)</f>
        <v/>
      </c>
      <c r="Q397" s="39">
        <f>IF($A397="","",IF(O397&lt;&gt;원인분석!$C$9,"",IF(AND(M397&gt;=원인분석!$C$10,M397&lt;=원인분석!$C$11),"당기",IF(AND(M397&gt;=원인분석!$C$12,M397&lt;=원인분석!$C$13),"비교",""))))</f>
        <v/>
      </c>
      <c r="R397" s="9">
        <f>IF(Q397="","",$K397&amp;"")</f>
        <v/>
      </c>
      <c r="S397" s="9">
        <f>IF(Q397="","",IF(MATCH(R397,$R$5:$R$100000,0)=ROW()-4,ROW(),""))</f>
        <v/>
      </c>
      <c r="T397" s="9">
        <f>IF(Q397="당기",ABS(P397)+ROW()/1000000000,"")</f>
        <v/>
      </c>
      <c r="U397" s="9">
        <f>IF(Q397="비교",ABS(P397)+ROW()/1000000000,"")</f>
        <v/>
      </c>
      <c r="V397" s="39">
        <f>IF($A397="","",IF(COUNTIF(변동분석!$E$7:$E$506,O397)&gt;0,"Y","N"))</f>
        <v/>
      </c>
      <c r="W397" s="39">
        <f>IF($A397="","",IFERROR(INDEX(계정매핑!$D$5:$D$504,MATCH($F397&amp;"",계정매핑!$A$5:$A$504,0)),"미매핑"))</f>
        <v/>
      </c>
      <c r="X397" s="9">
        <f>IF($A397="","",$F397&amp;"")</f>
        <v/>
      </c>
    </row>
    <row r="398">
      <c r="A398" s="75" t="n">
        <v>2025</v>
      </c>
      <c r="B398" s="75" t="n">
        <v>2</v>
      </c>
      <c r="C398" s="75" t="inlineStr">
        <is>
          <t>5100000394</t>
        </is>
      </c>
      <c r="D398" s="78" t="n">
        <v>45715</v>
      </c>
      <c r="E398" s="75" t="inlineStr">
        <is>
          <t>KR</t>
        </is>
      </c>
      <c r="F398" s="75" t="n">
        <v>62801000</v>
      </c>
      <c r="G398" s="75" t="n">
        <v>1301</v>
      </c>
      <c r="H398" s="76" t="n">
        <v>5375000</v>
      </c>
      <c r="I398" s="75" t="inlineStr">
        <is>
          <t>2월 사내교육 - U에듀</t>
        </is>
      </c>
      <c r="J398" s="75" t="inlineStr">
        <is>
          <t>V10026</t>
        </is>
      </c>
      <c r="K398" s="75" t="inlineStr">
        <is>
          <t>U에듀</t>
        </is>
      </c>
      <c r="M398" s="9">
        <f>IF($A398="","",VALUE($A398&amp;"")*12+VALUE($B398&amp;""))</f>
        <v/>
      </c>
      <c r="N398" s="39">
        <f>IF($A398="","",IFERROR(INDEX(부서매핑!$C$5:$C$504,MATCH($G398&amp;"",부서매핑!$A$5:$A$504,0)),"미매핑"))</f>
        <v/>
      </c>
      <c r="O398" s="9">
        <f>IF($A398="","",N398&amp;"|"&amp;$F398)</f>
        <v/>
      </c>
      <c r="P398" s="77">
        <f>IF($A398="",0,$H398*설정!$C$23)</f>
        <v/>
      </c>
      <c r="Q398" s="39">
        <f>IF($A398="","",IF(O398&lt;&gt;원인분석!$C$9,"",IF(AND(M398&gt;=원인분석!$C$10,M398&lt;=원인분석!$C$11),"당기",IF(AND(M398&gt;=원인분석!$C$12,M398&lt;=원인분석!$C$13),"비교",""))))</f>
        <v/>
      </c>
      <c r="R398" s="9">
        <f>IF(Q398="","",$K398&amp;"")</f>
        <v/>
      </c>
      <c r="S398" s="9">
        <f>IF(Q398="","",IF(MATCH(R398,$R$5:$R$100000,0)=ROW()-4,ROW(),""))</f>
        <v/>
      </c>
      <c r="T398" s="9">
        <f>IF(Q398="당기",ABS(P398)+ROW()/1000000000,"")</f>
        <v/>
      </c>
      <c r="U398" s="9">
        <f>IF(Q398="비교",ABS(P398)+ROW()/1000000000,"")</f>
        <v/>
      </c>
      <c r="V398" s="39">
        <f>IF($A398="","",IF(COUNTIF(변동분석!$E$7:$E$506,O398)&gt;0,"Y","N"))</f>
        <v/>
      </c>
      <c r="W398" s="39">
        <f>IF($A398="","",IFERROR(INDEX(계정매핑!$D$5:$D$504,MATCH($F398&amp;"",계정매핑!$A$5:$A$504,0)),"미매핑"))</f>
        <v/>
      </c>
      <c r="X398" s="9">
        <f>IF($A398="","",$F398&amp;"")</f>
        <v/>
      </c>
    </row>
    <row r="399">
      <c r="A399" s="75" t="n">
        <v>2025</v>
      </c>
      <c r="B399" s="75" t="n">
        <v>2</v>
      </c>
      <c r="C399" s="75" t="inlineStr">
        <is>
          <t>5100000395</t>
        </is>
      </c>
      <c r="D399" s="78" t="n">
        <v>45715</v>
      </c>
      <c r="E399" s="75" t="inlineStr">
        <is>
          <t>KR</t>
        </is>
      </c>
      <c r="F399" s="75" t="n">
        <v>63201000</v>
      </c>
      <c r="G399" s="75" t="n">
        <v>1601</v>
      </c>
      <c r="H399" s="76" t="n">
        <v>1738000</v>
      </c>
      <c r="I399" s="75" t="inlineStr">
        <is>
          <t>2월 차량 유지 - H에너지</t>
        </is>
      </c>
      <c r="J399" s="75" t="inlineStr">
        <is>
          <t>V10025</t>
        </is>
      </c>
      <c r="K399" s="75" t="inlineStr">
        <is>
          <t>H에너지</t>
        </is>
      </c>
      <c r="M399" s="9">
        <f>IF($A399="","",VALUE($A399&amp;"")*12+VALUE($B399&amp;""))</f>
        <v/>
      </c>
      <c r="N399" s="39">
        <f>IF($A399="","",IFERROR(INDEX(부서매핑!$C$5:$C$504,MATCH($G399&amp;"",부서매핑!$A$5:$A$504,0)),"미매핑"))</f>
        <v/>
      </c>
      <c r="O399" s="9">
        <f>IF($A399="","",N399&amp;"|"&amp;$F399)</f>
        <v/>
      </c>
      <c r="P399" s="77">
        <f>IF($A399="",0,$H399*설정!$C$23)</f>
        <v/>
      </c>
      <c r="Q399" s="39">
        <f>IF($A399="","",IF(O399&lt;&gt;원인분석!$C$9,"",IF(AND(M399&gt;=원인분석!$C$10,M399&lt;=원인분석!$C$11),"당기",IF(AND(M399&gt;=원인분석!$C$12,M399&lt;=원인분석!$C$13),"비교",""))))</f>
        <v/>
      </c>
      <c r="R399" s="9">
        <f>IF(Q399="","",$K399&amp;"")</f>
        <v/>
      </c>
      <c r="S399" s="9">
        <f>IF(Q399="","",IF(MATCH(R399,$R$5:$R$100000,0)=ROW()-4,ROW(),""))</f>
        <v/>
      </c>
      <c r="T399" s="9">
        <f>IF(Q399="당기",ABS(P399)+ROW()/1000000000,"")</f>
        <v/>
      </c>
      <c r="U399" s="9">
        <f>IF(Q399="비교",ABS(P399)+ROW()/1000000000,"")</f>
        <v/>
      </c>
      <c r="V399" s="39">
        <f>IF($A399="","",IF(COUNTIF(변동분석!$E$7:$E$506,O399)&gt;0,"Y","N"))</f>
        <v/>
      </c>
      <c r="W399" s="39">
        <f>IF($A399="","",IFERROR(INDEX(계정매핑!$D$5:$D$504,MATCH($F399&amp;"",계정매핑!$A$5:$A$504,0)),"미매핑"))</f>
        <v/>
      </c>
      <c r="X399" s="9">
        <f>IF($A399="","",$F399&amp;"")</f>
        <v/>
      </c>
    </row>
    <row r="400">
      <c r="A400" s="75" t="n">
        <v>2025</v>
      </c>
      <c r="B400" s="75" t="n">
        <v>3</v>
      </c>
      <c r="C400" s="75" t="inlineStr">
        <is>
          <t>5100000396</t>
        </is>
      </c>
      <c r="D400" s="78" t="n">
        <v>45718</v>
      </c>
      <c r="E400" s="75" t="inlineStr">
        <is>
          <t>KR</t>
        </is>
      </c>
      <c r="F400" s="75" t="n">
        <v>62101000</v>
      </c>
      <c r="G400" s="75" t="n">
        <v>1701</v>
      </c>
      <c r="H400" s="76" t="n">
        <v>261000</v>
      </c>
      <c r="I400" s="75" t="inlineStr">
        <is>
          <t>3월 국내출장 - M항공</t>
        </is>
      </c>
      <c r="J400" s="75" t="inlineStr">
        <is>
          <t>V10001</t>
        </is>
      </c>
      <c r="K400" s="75" t="inlineStr">
        <is>
          <t>M항공</t>
        </is>
      </c>
      <c r="M400" s="9">
        <f>IF($A400="","",VALUE($A400&amp;"")*12+VALUE($B400&amp;""))</f>
        <v/>
      </c>
      <c r="N400" s="39">
        <f>IF($A400="","",IFERROR(INDEX(부서매핑!$C$5:$C$504,MATCH($G400&amp;"",부서매핑!$A$5:$A$504,0)),"미매핑"))</f>
        <v/>
      </c>
      <c r="O400" s="9">
        <f>IF($A400="","",N400&amp;"|"&amp;$F400)</f>
        <v/>
      </c>
      <c r="P400" s="77">
        <f>IF($A400="",0,$H400*설정!$C$23)</f>
        <v/>
      </c>
      <c r="Q400" s="39">
        <f>IF($A400="","",IF(O400&lt;&gt;원인분석!$C$9,"",IF(AND(M400&gt;=원인분석!$C$10,M400&lt;=원인분석!$C$11),"당기",IF(AND(M400&gt;=원인분석!$C$12,M400&lt;=원인분석!$C$13),"비교",""))))</f>
        <v/>
      </c>
      <c r="R400" s="9">
        <f>IF(Q400="","",$K400&amp;"")</f>
        <v/>
      </c>
      <c r="S400" s="9">
        <f>IF(Q400="","",IF(MATCH(R400,$R$5:$R$100000,0)=ROW()-4,ROW(),""))</f>
        <v/>
      </c>
      <c r="T400" s="9">
        <f>IF(Q400="당기",ABS(P400)+ROW()/1000000000,"")</f>
        <v/>
      </c>
      <c r="U400" s="9">
        <f>IF(Q400="비교",ABS(P400)+ROW()/1000000000,"")</f>
        <v/>
      </c>
      <c r="V400" s="39">
        <f>IF($A400="","",IF(COUNTIF(변동분석!$E$7:$E$506,O400)&gt;0,"Y","N"))</f>
        <v/>
      </c>
      <c r="W400" s="39">
        <f>IF($A400="","",IFERROR(INDEX(계정매핑!$D$5:$D$504,MATCH($F400&amp;"",계정매핑!$A$5:$A$504,0)),"미매핑"))</f>
        <v/>
      </c>
      <c r="X400" s="9">
        <f>IF($A400="","",$F400&amp;"")</f>
        <v/>
      </c>
    </row>
    <row r="401">
      <c r="A401" s="75" t="n">
        <v>2025</v>
      </c>
      <c r="B401" s="75" t="n">
        <v>3</v>
      </c>
      <c r="C401" s="75" t="inlineStr">
        <is>
          <t>5100000397</t>
        </is>
      </c>
      <c r="D401" s="78" t="n">
        <v>45718</v>
      </c>
      <c r="E401" s="75" t="inlineStr">
        <is>
          <t>KR</t>
        </is>
      </c>
      <c r="F401" s="75" t="n">
        <v>62301000</v>
      </c>
      <c r="G401" s="75" t="n">
        <v>1701</v>
      </c>
      <c r="H401" s="76" t="n">
        <v>218000</v>
      </c>
      <c r="I401" s="75" t="inlineStr">
        <is>
          <t>3월 소모품 구입 - Q오피스</t>
        </is>
      </c>
      <c r="J401" s="75" t="inlineStr">
        <is>
          <t>V10003</t>
        </is>
      </c>
      <c r="K401" s="75" t="inlineStr">
        <is>
          <t>Q오피스</t>
        </is>
      </c>
      <c r="M401" s="9">
        <f>IF($A401="","",VALUE($A401&amp;"")*12+VALUE($B401&amp;""))</f>
        <v/>
      </c>
      <c r="N401" s="39">
        <f>IF($A401="","",IFERROR(INDEX(부서매핑!$C$5:$C$504,MATCH($G401&amp;"",부서매핑!$A$5:$A$504,0)),"미매핑"))</f>
        <v/>
      </c>
      <c r="O401" s="9">
        <f>IF($A401="","",N401&amp;"|"&amp;$F401)</f>
        <v/>
      </c>
      <c r="P401" s="77">
        <f>IF($A401="",0,$H401*설정!$C$23)</f>
        <v/>
      </c>
      <c r="Q401" s="39">
        <f>IF($A401="","",IF(O401&lt;&gt;원인분석!$C$9,"",IF(AND(M401&gt;=원인분석!$C$10,M401&lt;=원인분석!$C$11),"당기",IF(AND(M401&gt;=원인분석!$C$12,M401&lt;=원인분석!$C$13),"비교",""))))</f>
        <v/>
      </c>
      <c r="R401" s="9">
        <f>IF(Q401="","",$K401&amp;"")</f>
        <v/>
      </c>
      <c r="S401" s="9">
        <f>IF(Q401="","",IF(MATCH(R401,$R$5:$R$100000,0)=ROW()-4,ROW(),""))</f>
        <v/>
      </c>
      <c r="T401" s="9">
        <f>IF(Q401="당기",ABS(P401)+ROW()/1000000000,"")</f>
        <v/>
      </c>
      <c r="U401" s="9">
        <f>IF(Q401="비교",ABS(P401)+ROW()/1000000000,"")</f>
        <v/>
      </c>
      <c r="V401" s="39">
        <f>IF($A401="","",IF(COUNTIF(변동분석!$E$7:$E$506,O401)&gt;0,"Y","N"))</f>
        <v/>
      </c>
      <c r="W401" s="39">
        <f>IF($A401="","",IFERROR(INDEX(계정매핑!$D$5:$D$504,MATCH($F401&amp;"",계정매핑!$A$5:$A$504,0)),"미매핑"))</f>
        <v/>
      </c>
      <c r="X401" s="9">
        <f>IF($A401="","",$F401&amp;"")</f>
        <v/>
      </c>
    </row>
    <row r="402">
      <c r="A402" s="75" t="n">
        <v>2025</v>
      </c>
      <c r="B402" s="75" t="n">
        <v>3</v>
      </c>
      <c r="C402" s="75" t="inlineStr">
        <is>
          <t>5100000398</t>
        </is>
      </c>
      <c r="D402" s="78" t="n">
        <v>45718</v>
      </c>
      <c r="E402" s="75" t="inlineStr">
        <is>
          <t>KR</t>
        </is>
      </c>
      <c r="F402" s="75" t="n">
        <v>62501000</v>
      </c>
      <c r="G402" s="75" t="n">
        <v>1101</v>
      </c>
      <c r="H402" s="76" t="n">
        <v>152000</v>
      </c>
      <c r="I402" s="75" t="inlineStr">
        <is>
          <t>3월 회의 다과 - (법인카드)</t>
        </is>
      </c>
      <c r="J402" s="75" t="inlineStr">
        <is>
          <t>V10008</t>
        </is>
      </c>
      <c r="K402" s="75" t="inlineStr">
        <is>
          <t>(법인카드)</t>
        </is>
      </c>
      <c r="M402" s="9">
        <f>IF($A402="","",VALUE($A402&amp;"")*12+VALUE($B402&amp;""))</f>
        <v/>
      </c>
      <c r="N402" s="39">
        <f>IF($A402="","",IFERROR(INDEX(부서매핑!$C$5:$C$504,MATCH($G402&amp;"",부서매핑!$A$5:$A$504,0)),"미매핑"))</f>
        <v/>
      </c>
      <c r="O402" s="9">
        <f>IF($A402="","",N402&amp;"|"&amp;$F402)</f>
        <v/>
      </c>
      <c r="P402" s="77">
        <f>IF($A402="",0,$H402*설정!$C$23)</f>
        <v/>
      </c>
      <c r="Q402" s="39">
        <f>IF($A402="","",IF(O402&lt;&gt;원인분석!$C$9,"",IF(AND(M402&gt;=원인분석!$C$10,M402&lt;=원인분석!$C$11),"당기",IF(AND(M402&gt;=원인분석!$C$12,M402&lt;=원인분석!$C$13),"비교",""))))</f>
        <v/>
      </c>
      <c r="R402" s="9">
        <f>IF(Q402="","",$K402&amp;"")</f>
        <v/>
      </c>
      <c r="S402" s="9">
        <f>IF(Q402="","",IF(MATCH(R402,$R$5:$R$100000,0)=ROW()-4,ROW(),""))</f>
        <v/>
      </c>
      <c r="T402" s="9">
        <f>IF(Q402="당기",ABS(P402)+ROW()/1000000000,"")</f>
        <v/>
      </c>
      <c r="U402" s="9">
        <f>IF(Q402="비교",ABS(P402)+ROW()/1000000000,"")</f>
        <v/>
      </c>
      <c r="V402" s="39">
        <f>IF($A402="","",IF(COUNTIF(변동분석!$E$7:$E$506,O402)&gt;0,"Y","N"))</f>
        <v/>
      </c>
      <c r="W402" s="39">
        <f>IF($A402="","",IFERROR(INDEX(계정매핑!$D$5:$D$504,MATCH($F402&amp;"",계정매핑!$A$5:$A$504,0)),"미매핑"))</f>
        <v/>
      </c>
      <c r="X402" s="9">
        <f>IF($A402="","",$F402&amp;"")</f>
        <v/>
      </c>
    </row>
    <row r="403">
      <c r="A403" s="75" t="n">
        <v>2025</v>
      </c>
      <c r="B403" s="75" t="n">
        <v>3</v>
      </c>
      <c r="C403" s="75" t="inlineStr">
        <is>
          <t>5100000399</t>
        </is>
      </c>
      <c r="D403" s="78" t="n">
        <v>45718</v>
      </c>
      <c r="E403" s="75" t="inlineStr">
        <is>
          <t>KR</t>
        </is>
      </c>
      <c r="F403" s="75" t="n">
        <v>62501000</v>
      </c>
      <c r="G403" s="75" t="n">
        <v>1301</v>
      </c>
      <c r="H403" s="76" t="n">
        <v>265000</v>
      </c>
      <c r="I403" s="75" t="inlineStr">
        <is>
          <t>3월 회의 다과 - T케이터링</t>
        </is>
      </c>
      <c r="J403" s="75" t="inlineStr">
        <is>
          <t>V10005</t>
        </is>
      </c>
      <c r="K403" s="75" t="inlineStr">
        <is>
          <t>T케이터링</t>
        </is>
      </c>
      <c r="M403" s="9">
        <f>IF($A403="","",VALUE($A403&amp;"")*12+VALUE($B403&amp;""))</f>
        <v/>
      </c>
      <c r="N403" s="39">
        <f>IF($A403="","",IFERROR(INDEX(부서매핑!$C$5:$C$504,MATCH($G403&amp;"",부서매핑!$A$5:$A$504,0)),"미매핑"))</f>
        <v/>
      </c>
      <c r="O403" s="9">
        <f>IF($A403="","",N403&amp;"|"&amp;$F403)</f>
        <v/>
      </c>
      <c r="P403" s="77">
        <f>IF($A403="",0,$H403*설정!$C$23)</f>
        <v/>
      </c>
      <c r="Q403" s="39">
        <f>IF($A403="","",IF(O403&lt;&gt;원인분석!$C$9,"",IF(AND(M403&gt;=원인분석!$C$10,M403&lt;=원인분석!$C$11),"당기",IF(AND(M403&gt;=원인분석!$C$12,M403&lt;=원인분석!$C$13),"비교",""))))</f>
        <v/>
      </c>
      <c r="R403" s="9">
        <f>IF(Q403="","",$K403&amp;"")</f>
        <v/>
      </c>
      <c r="S403" s="9">
        <f>IF(Q403="","",IF(MATCH(R403,$R$5:$R$100000,0)=ROW()-4,ROW(),""))</f>
        <v/>
      </c>
      <c r="T403" s="9">
        <f>IF(Q403="당기",ABS(P403)+ROW()/1000000000,"")</f>
        <v/>
      </c>
      <c r="U403" s="9">
        <f>IF(Q403="비교",ABS(P403)+ROW()/1000000000,"")</f>
        <v/>
      </c>
      <c r="V403" s="39">
        <f>IF($A403="","",IF(COUNTIF(변동분석!$E$7:$E$506,O403)&gt;0,"Y","N"))</f>
        <v/>
      </c>
      <c r="W403" s="39">
        <f>IF($A403="","",IFERROR(INDEX(계정매핑!$D$5:$D$504,MATCH($F403&amp;"",계정매핑!$A$5:$A$504,0)),"미매핑"))</f>
        <v/>
      </c>
      <c r="X403" s="9">
        <f>IF($A403="","",$F403&amp;"")</f>
        <v/>
      </c>
    </row>
    <row r="404">
      <c r="A404" s="75" t="n">
        <v>2025</v>
      </c>
      <c r="B404" s="75" t="n">
        <v>3</v>
      </c>
      <c r="C404" s="75" t="inlineStr">
        <is>
          <t>5100000400</t>
        </is>
      </c>
      <c r="D404" s="78" t="n">
        <v>45718</v>
      </c>
      <c r="E404" s="75" t="inlineStr">
        <is>
          <t>KR</t>
        </is>
      </c>
      <c r="F404" s="75" t="n">
        <v>62501000</v>
      </c>
      <c r="G404" s="75" t="n">
        <v>1401</v>
      </c>
      <c r="H404" s="76" t="n">
        <v>193000</v>
      </c>
      <c r="I404" s="75" t="inlineStr">
        <is>
          <t>3월 회의 다과 - (법인카드)</t>
        </is>
      </c>
      <c r="J404" s="75" t="inlineStr">
        <is>
          <t>V10008</t>
        </is>
      </c>
      <c r="K404" s="75" t="inlineStr">
        <is>
          <t>(법인카드)</t>
        </is>
      </c>
      <c r="M404" s="9">
        <f>IF($A404="","",VALUE($A404&amp;"")*12+VALUE($B404&amp;""))</f>
        <v/>
      </c>
      <c r="N404" s="39">
        <f>IF($A404="","",IFERROR(INDEX(부서매핑!$C$5:$C$504,MATCH($G404&amp;"",부서매핑!$A$5:$A$504,0)),"미매핑"))</f>
        <v/>
      </c>
      <c r="O404" s="9">
        <f>IF($A404="","",N404&amp;"|"&amp;$F404)</f>
        <v/>
      </c>
      <c r="P404" s="77">
        <f>IF($A404="",0,$H404*설정!$C$23)</f>
        <v/>
      </c>
      <c r="Q404" s="39">
        <f>IF($A404="","",IF(O404&lt;&gt;원인분석!$C$9,"",IF(AND(M404&gt;=원인분석!$C$10,M404&lt;=원인분석!$C$11),"당기",IF(AND(M404&gt;=원인분석!$C$12,M404&lt;=원인분석!$C$13),"비교",""))))</f>
        <v/>
      </c>
      <c r="R404" s="9">
        <f>IF(Q404="","",$K404&amp;"")</f>
        <v/>
      </c>
      <c r="S404" s="9">
        <f>IF(Q404="","",IF(MATCH(R404,$R$5:$R$100000,0)=ROW()-4,ROW(),""))</f>
        <v/>
      </c>
      <c r="T404" s="9">
        <f>IF(Q404="당기",ABS(P404)+ROW()/1000000000,"")</f>
        <v/>
      </c>
      <c r="U404" s="9">
        <f>IF(Q404="비교",ABS(P404)+ROW()/1000000000,"")</f>
        <v/>
      </c>
      <c r="V404" s="39">
        <f>IF($A404="","",IF(COUNTIF(변동분석!$E$7:$E$506,O404)&gt;0,"Y","N"))</f>
        <v/>
      </c>
      <c r="W404" s="39">
        <f>IF($A404="","",IFERROR(INDEX(계정매핑!$D$5:$D$504,MATCH($F404&amp;"",계정매핑!$A$5:$A$504,0)),"미매핑"))</f>
        <v/>
      </c>
      <c r="X404" s="9">
        <f>IF($A404="","",$F404&amp;"")</f>
        <v/>
      </c>
    </row>
    <row r="405">
      <c r="A405" s="75" t="n">
        <v>2025</v>
      </c>
      <c r="B405" s="75" t="n">
        <v>3</v>
      </c>
      <c r="C405" s="75" t="inlineStr">
        <is>
          <t>5100000401</t>
        </is>
      </c>
      <c r="D405" s="78" t="n">
        <v>45718</v>
      </c>
      <c r="E405" s="75" t="inlineStr">
        <is>
          <t>KR</t>
        </is>
      </c>
      <c r="F405" s="75" t="n">
        <v>62601000</v>
      </c>
      <c r="G405" s="75" t="n">
        <v>1501</v>
      </c>
      <c r="H405" s="76" t="n">
        <v>1101000</v>
      </c>
      <c r="I405" s="75" t="inlineStr">
        <is>
          <t>3월 업무추진 - (법인카드)</t>
        </is>
      </c>
      <c r="J405" s="75" t="inlineStr">
        <is>
          <t>V10008</t>
        </is>
      </c>
      <c r="K405" s="75" t="inlineStr">
        <is>
          <t>(법인카드)</t>
        </is>
      </c>
      <c r="M405" s="9">
        <f>IF($A405="","",VALUE($A405&amp;"")*12+VALUE($B405&amp;""))</f>
        <v/>
      </c>
      <c r="N405" s="39">
        <f>IF($A405="","",IFERROR(INDEX(부서매핑!$C$5:$C$504,MATCH($G405&amp;"",부서매핑!$A$5:$A$504,0)),"미매핑"))</f>
        <v/>
      </c>
      <c r="O405" s="9">
        <f>IF($A405="","",N405&amp;"|"&amp;$F405)</f>
        <v/>
      </c>
      <c r="P405" s="77">
        <f>IF($A405="",0,$H405*설정!$C$23)</f>
        <v/>
      </c>
      <c r="Q405" s="39">
        <f>IF($A405="","",IF(O405&lt;&gt;원인분석!$C$9,"",IF(AND(M405&gt;=원인분석!$C$10,M405&lt;=원인분석!$C$11),"당기",IF(AND(M405&gt;=원인분석!$C$12,M405&lt;=원인분석!$C$13),"비교",""))))</f>
        <v/>
      </c>
      <c r="R405" s="9">
        <f>IF(Q405="","",$K405&amp;"")</f>
        <v/>
      </c>
      <c r="S405" s="9">
        <f>IF(Q405="","",IF(MATCH(R405,$R$5:$R$100000,0)=ROW()-4,ROW(),""))</f>
        <v/>
      </c>
      <c r="T405" s="9">
        <f>IF(Q405="당기",ABS(P405)+ROW()/1000000000,"")</f>
        <v/>
      </c>
      <c r="U405" s="9">
        <f>IF(Q405="비교",ABS(P405)+ROW()/1000000000,"")</f>
        <v/>
      </c>
      <c r="V405" s="39">
        <f>IF($A405="","",IF(COUNTIF(변동분석!$E$7:$E$506,O405)&gt;0,"Y","N"))</f>
        <v/>
      </c>
      <c r="W405" s="39">
        <f>IF($A405="","",IFERROR(INDEX(계정매핑!$D$5:$D$504,MATCH($F405&amp;"",계정매핑!$A$5:$A$504,0)),"미매핑"))</f>
        <v/>
      </c>
      <c r="X405" s="9">
        <f>IF($A405="","",$F405&amp;"")</f>
        <v/>
      </c>
    </row>
    <row r="406">
      <c r="A406" s="75" t="n">
        <v>2025</v>
      </c>
      <c r="B406" s="75" t="n">
        <v>3</v>
      </c>
      <c r="C406" s="75" t="inlineStr">
        <is>
          <t>5100000402</t>
        </is>
      </c>
      <c r="D406" s="78" t="n">
        <v>45718</v>
      </c>
      <c r="E406" s="75" t="inlineStr">
        <is>
          <t>KR</t>
        </is>
      </c>
      <c r="F406" s="75" t="n">
        <v>62601000</v>
      </c>
      <c r="G406" s="75" t="n">
        <v>1602</v>
      </c>
      <c r="H406" s="76" t="n">
        <v>1583000</v>
      </c>
      <c r="I406" s="75" t="inlineStr">
        <is>
          <t>3월 업무추진 - (법인카드)</t>
        </is>
      </c>
      <c r="J406" s="75" t="inlineStr">
        <is>
          <t>V10008</t>
        </is>
      </c>
      <c r="K406" s="75" t="inlineStr">
        <is>
          <t>(법인카드)</t>
        </is>
      </c>
      <c r="M406" s="9">
        <f>IF($A406="","",VALUE($A406&amp;"")*12+VALUE($B406&amp;""))</f>
        <v/>
      </c>
      <c r="N406" s="39">
        <f>IF($A406="","",IFERROR(INDEX(부서매핑!$C$5:$C$504,MATCH($G406&amp;"",부서매핑!$A$5:$A$504,0)),"미매핑"))</f>
        <v/>
      </c>
      <c r="O406" s="9">
        <f>IF($A406="","",N406&amp;"|"&amp;$F406)</f>
        <v/>
      </c>
      <c r="P406" s="77">
        <f>IF($A406="",0,$H406*설정!$C$23)</f>
        <v/>
      </c>
      <c r="Q406" s="39">
        <f>IF($A406="","",IF(O406&lt;&gt;원인분석!$C$9,"",IF(AND(M406&gt;=원인분석!$C$10,M406&lt;=원인분석!$C$11),"당기",IF(AND(M406&gt;=원인분석!$C$12,M406&lt;=원인분석!$C$13),"비교",""))))</f>
        <v/>
      </c>
      <c r="R406" s="9">
        <f>IF(Q406="","",$K406&amp;"")</f>
        <v/>
      </c>
      <c r="S406" s="9">
        <f>IF(Q406="","",IF(MATCH(R406,$R$5:$R$100000,0)=ROW()-4,ROW(),""))</f>
        <v/>
      </c>
      <c r="T406" s="9">
        <f>IF(Q406="당기",ABS(P406)+ROW()/1000000000,"")</f>
        <v/>
      </c>
      <c r="U406" s="9">
        <f>IF(Q406="비교",ABS(P406)+ROW()/1000000000,"")</f>
        <v/>
      </c>
      <c r="V406" s="39">
        <f>IF($A406="","",IF(COUNTIF(변동분석!$E$7:$E$506,O406)&gt;0,"Y","N"))</f>
        <v/>
      </c>
      <c r="W406" s="39">
        <f>IF($A406="","",IFERROR(INDEX(계정매핑!$D$5:$D$504,MATCH($F406&amp;"",계정매핑!$A$5:$A$504,0)),"미매핑"))</f>
        <v/>
      </c>
      <c r="X406" s="9">
        <f>IF($A406="","",$F406&amp;"")</f>
        <v/>
      </c>
    </row>
    <row r="407">
      <c r="A407" s="75" t="n">
        <v>2025</v>
      </c>
      <c r="B407" s="75" t="n">
        <v>3</v>
      </c>
      <c r="C407" s="75" t="inlineStr">
        <is>
          <t>5100000403</t>
        </is>
      </c>
      <c r="D407" s="78" t="n">
        <v>45718</v>
      </c>
      <c r="E407" s="75" t="inlineStr">
        <is>
          <t>KR</t>
        </is>
      </c>
      <c r="F407" s="75" t="n">
        <v>62901000</v>
      </c>
      <c r="G407" s="75" t="n">
        <v>1801</v>
      </c>
      <c r="H407" s="76" t="n">
        <v>13399000</v>
      </c>
      <c r="I407" s="75" t="inlineStr">
        <is>
          <t>3월 자문 수수료 - K회계법인</t>
        </is>
      </c>
      <c r="J407" s="75" t="inlineStr">
        <is>
          <t>V10010</t>
        </is>
      </c>
      <c r="K407" s="75" t="inlineStr">
        <is>
          <t>K회계법인</t>
        </is>
      </c>
      <c r="M407" s="9">
        <f>IF($A407="","",VALUE($A407&amp;"")*12+VALUE($B407&amp;""))</f>
        <v/>
      </c>
      <c r="N407" s="39">
        <f>IF($A407="","",IFERROR(INDEX(부서매핑!$C$5:$C$504,MATCH($G407&amp;"",부서매핑!$A$5:$A$504,0)),"미매핑"))</f>
        <v/>
      </c>
      <c r="O407" s="9">
        <f>IF($A407="","",N407&amp;"|"&amp;$F407)</f>
        <v/>
      </c>
      <c r="P407" s="77">
        <f>IF($A407="",0,$H407*설정!$C$23)</f>
        <v/>
      </c>
      <c r="Q407" s="39">
        <f>IF($A407="","",IF(O407&lt;&gt;원인분석!$C$9,"",IF(AND(M407&gt;=원인분석!$C$10,M407&lt;=원인분석!$C$11),"당기",IF(AND(M407&gt;=원인분석!$C$12,M407&lt;=원인분석!$C$13),"비교",""))))</f>
        <v/>
      </c>
      <c r="R407" s="9">
        <f>IF(Q407="","",$K407&amp;"")</f>
        <v/>
      </c>
      <c r="S407" s="9">
        <f>IF(Q407="","",IF(MATCH(R407,$R$5:$R$100000,0)=ROW()-4,ROW(),""))</f>
        <v/>
      </c>
      <c r="T407" s="9">
        <f>IF(Q407="당기",ABS(P407)+ROW()/1000000000,"")</f>
        <v/>
      </c>
      <c r="U407" s="9">
        <f>IF(Q407="비교",ABS(P407)+ROW()/1000000000,"")</f>
        <v/>
      </c>
      <c r="V407" s="39">
        <f>IF($A407="","",IF(COUNTIF(변동분석!$E$7:$E$506,O407)&gt;0,"Y","N"))</f>
        <v/>
      </c>
      <c r="W407" s="39">
        <f>IF($A407="","",IFERROR(INDEX(계정매핑!$D$5:$D$504,MATCH($F407&amp;"",계정매핑!$A$5:$A$504,0)),"미매핑"))</f>
        <v/>
      </c>
      <c r="X407" s="9">
        <f>IF($A407="","",$F407&amp;"")</f>
        <v/>
      </c>
    </row>
    <row r="408">
      <c r="A408" s="75" t="n">
        <v>2025</v>
      </c>
      <c r="B408" s="75" t="n">
        <v>3</v>
      </c>
      <c r="C408" s="75" t="inlineStr">
        <is>
          <t>5100000404</t>
        </is>
      </c>
      <c r="D408" s="78" t="n">
        <v>45718</v>
      </c>
      <c r="E408" s="75" t="inlineStr">
        <is>
          <t>KR</t>
        </is>
      </c>
      <c r="F408" s="75" t="n">
        <v>63201000</v>
      </c>
      <c r="G408" s="75" t="n">
        <v>1602</v>
      </c>
      <c r="H408" s="76" t="n">
        <v>5247000</v>
      </c>
      <c r="I408" s="75" t="inlineStr">
        <is>
          <t>3월 차량 유지 - D정비</t>
        </is>
      </c>
      <c r="J408" s="75" t="inlineStr">
        <is>
          <t>V10022</t>
        </is>
      </c>
      <c r="K408" s="75" t="inlineStr">
        <is>
          <t>D정비</t>
        </is>
      </c>
      <c r="M408" s="9">
        <f>IF($A408="","",VALUE($A408&amp;"")*12+VALUE($B408&amp;""))</f>
        <v/>
      </c>
      <c r="N408" s="39">
        <f>IF($A408="","",IFERROR(INDEX(부서매핑!$C$5:$C$504,MATCH($G408&amp;"",부서매핑!$A$5:$A$504,0)),"미매핑"))</f>
        <v/>
      </c>
      <c r="O408" s="9">
        <f>IF($A408="","",N408&amp;"|"&amp;$F408)</f>
        <v/>
      </c>
      <c r="P408" s="77">
        <f>IF($A408="",0,$H408*설정!$C$23)</f>
        <v/>
      </c>
      <c r="Q408" s="39">
        <f>IF($A408="","",IF(O408&lt;&gt;원인분석!$C$9,"",IF(AND(M408&gt;=원인분석!$C$10,M408&lt;=원인분석!$C$11),"당기",IF(AND(M408&gt;=원인분석!$C$12,M408&lt;=원인분석!$C$13),"비교",""))))</f>
        <v/>
      </c>
      <c r="R408" s="9">
        <f>IF(Q408="","",$K408&amp;"")</f>
        <v/>
      </c>
      <c r="S408" s="9">
        <f>IF(Q408="","",IF(MATCH(R408,$R$5:$R$100000,0)=ROW()-4,ROW(),""))</f>
        <v/>
      </c>
      <c r="T408" s="9">
        <f>IF(Q408="당기",ABS(P408)+ROW()/1000000000,"")</f>
        <v/>
      </c>
      <c r="U408" s="9">
        <f>IF(Q408="비교",ABS(P408)+ROW()/1000000000,"")</f>
        <v/>
      </c>
      <c r="V408" s="39">
        <f>IF($A408="","",IF(COUNTIF(변동분석!$E$7:$E$506,O408)&gt;0,"Y","N"))</f>
        <v/>
      </c>
      <c r="W408" s="39">
        <f>IF($A408="","",IFERROR(INDEX(계정매핑!$D$5:$D$504,MATCH($F408&amp;"",계정매핑!$A$5:$A$504,0)),"미매핑"))</f>
        <v/>
      </c>
      <c r="X408" s="9">
        <f>IF($A408="","",$F408&amp;"")</f>
        <v/>
      </c>
    </row>
    <row r="409">
      <c r="A409" s="75" t="n">
        <v>2025</v>
      </c>
      <c r="B409" s="75" t="n">
        <v>3</v>
      </c>
      <c r="C409" s="75" t="inlineStr">
        <is>
          <t>5100000405</t>
        </is>
      </c>
      <c r="D409" s="78" t="n">
        <v>45719</v>
      </c>
      <c r="E409" s="75" t="inlineStr">
        <is>
          <t>KR</t>
        </is>
      </c>
      <c r="F409" s="75" t="n">
        <v>62101000</v>
      </c>
      <c r="G409" s="75" t="n">
        <v>1301</v>
      </c>
      <c r="H409" s="76" t="n">
        <v>316000</v>
      </c>
      <c r="I409" s="75" t="inlineStr">
        <is>
          <t>3월 국내출장 - M항공</t>
        </is>
      </c>
      <c r="J409" s="75" t="inlineStr">
        <is>
          <t>V10001</t>
        </is>
      </c>
      <c r="K409" s="75" t="inlineStr">
        <is>
          <t>M항공</t>
        </is>
      </c>
      <c r="M409" s="9">
        <f>IF($A409="","",VALUE($A409&amp;"")*12+VALUE($B409&amp;""))</f>
        <v/>
      </c>
      <c r="N409" s="39">
        <f>IF($A409="","",IFERROR(INDEX(부서매핑!$C$5:$C$504,MATCH($G409&amp;"",부서매핑!$A$5:$A$504,0)),"미매핑"))</f>
        <v/>
      </c>
      <c r="O409" s="9">
        <f>IF($A409="","",N409&amp;"|"&amp;$F409)</f>
        <v/>
      </c>
      <c r="P409" s="77">
        <f>IF($A409="",0,$H409*설정!$C$23)</f>
        <v/>
      </c>
      <c r="Q409" s="39">
        <f>IF($A409="","",IF(O409&lt;&gt;원인분석!$C$9,"",IF(AND(M409&gt;=원인분석!$C$10,M409&lt;=원인분석!$C$11),"당기",IF(AND(M409&gt;=원인분석!$C$12,M409&lt;=원인분석!$C$13),"비교",""))))</f>
        <v/>
      </c>
      <c r="R409" s="9">
        <f>IF(Q409="","",$K409&amp;"")</f>
        <v/>
      </c>
      <c r="S409" s="9">
        <f>IF(Q409="","",IF(MATCH(R409,$R$5:$R$100000,0)=ROW()-4,ROW(),""))</f>
        <v/>
      </c>
      <c r="T409" s="9">
        <f>IF(Q409="당기",ABS(P409)+ROW()/1000000000,"")</f>
        <v/>
      </c>
      <c r="U409" s="9">
        <f>IF(Q409="비교",ABS(P409)+ROW()/1000000000,"")</f>
        <v/>
      </c>
      <c r="V409" s="39">
        <f>IF($A409="","",IF(COUNTIF(변동분석!$E$7:$E$506,O409)&gt;0,"Y","N"))</f>
        <v/>
      </c>
      <c r="W409" s="39">
        <f>IF($A409="","",IFERROR(INDEX(계정매핑!$D$5:$D$504,MATCH($F409&amp;"",계정매핑!$A$5:$A$504,0)),"미매핑"))</f>
        <v/>
      </c>
      <c r="X409" s="9">
        <f>IF($A409="","",$F409&amp;"")</f>
        <v/>
      </c>
    </row>
    <row r="410">
      <c r="A410" s="75" t="n">
        <v>2025</v>
      </c>
      <c r="B410" s="75" t="n">
        <v>3</v>
      </c>
      <c r="C410" s="75" t="inlineStr">
        <is>
          <t>5100000406</t>
        </is>
      </c>
      <c r="D410" s="78" t="n">
        <v>45719</v>
      </c>
      <c r="E410" s="75" t="inlineStr">
        <is>
          <t>KR</t>
        </is>
      </c>
      <c r="F410" s="75" t="n">
        <v>62101000</v>
      </c>
      <c r="G410" s="75" t="n">
        <v>1501</v>
      </c>
      <c r="H410" s="76" t="n">
        <v>355000</v>
      </c>
      <c r="I410" s="75" t="inlineStr">
        <is>
          <t>3월 국내출장 - (법인카드)</t>
        </is>
      </c>
      <c r="J410" s="75" t="inlineStr">
        <is>
          <t>V10008</t>
        </is>
      </c>
      <c r="K410" s="75" t="inlineStr">
        <is>
          <t>(법인카드)</t>
        </is>
      </c>
      <c r="M410" s="9">
        <f>IF($A410="","",VALUE($A410&amp;"")*12+VALUE($B410&amp;""))</f>
        <v/>
      </c>
      <c r="N410" s="39">
        <f>IF($A410="","",IFERROR(INDEX(부서매핑!$C$5:$C$504,MATCH($G410&amp;"",부서매핑!$A$5:$A$504,0)),"미매핑"))</f>
        <v/>
      </c>
      <c r="O410" s="9">
        <f>IF($A410="","",N410&amp;"|"&amp;$F410)</f>
        <v/>
      </c>
      <c r="P410" s="77">
        <f>IF($A410="",0,$H410*설정!$C$23)</f>
        <v/>
      </c>
      <c r="Q410" s="39">
        <f>IF($A410="","",IF(O410&lt;&gt;원인분석!$C$9,"",IF(AND(M410&gt;=원인분석!$C$10,M410&lt;=원인분석!$C$11),"당기",IF(AND(M410&gt;=원인분석!$C$12,M410&lt;=원인분석!$C$13),"비교",""))))</f>
        <v/>
      </c>
      <c r="R410" s="9">
        <f>IF(Q410="","",$K410&amp;"")</f>
        <v/>
      </c>
      <c r="S410" s="9">
        <f>IF(Q410="","",IF(MATCH(R410,$R$5:$R$100000,0)=ROW()-4,ROW(),""))</f>
        <v/>
      </c>
      <c r="T410" s="9">
        <f>IF(Q410="당기",ABS(P410)+ROW()/1000000000,"")</f>
        <v/>
      </c>
      <c r="U410" s="9">
        <f>IF(Q410="비교",ABS(P410)+ROW()/1000000000,"")</f>
        <v/>
      </c>
      <c r="V410" s="39">
        <f>IF($A410="","",IF(COUNTIF(변동분석!$E$7:$E$506,O410)&gt;0,"Y","N"))</f>
        <v/>
      </c>
      <c r="W410" s="39">
        <f>IF($A410="","",IFERROR(INDEX(계정매핑!$D$5:$D$504,MATCH($F410&amp;"",계정매핑!$A$5:$A$504,0)),"미매핑"))</f>
        <v/>
      </c>
      <c r="X410" s="9">
        <f>IF($A410="","",$F410&amp;"")</f>
        <v/>
      </c>
    </row>
    <row r="411">
      <c r="A411" s="75" t="n">
        <v>2025</v>
      </c>
      <c r="B411" s="75" t="n">
        <v>3</v>
      </c>
      <c r="C411" s="75" t="inlineStr">
        <is>
          <t>5100000407</t>
        </is>
      </c>
      <c r="D411" s="78" t="n">
        <v>45719</v>
      </c>
      <c r="E411" s="75" t="inlineStr">
        <is>
          <t>KR</t>
        </is>
      </c>
      <c r="F411" s="75" t="n">
        <v>62102000</v>
      </c>
      <c r="G411" s="75" t="n">
        <v>1502</v>
      </c>
      <c r="H411" s="76" t="n">
        <v>113000</v>
      </c>
      <c r="I411" s="75" t="inlineStr">
        <is>
          <t>3월 해외출장 - M항공</t>
        </is>
      </c>
      <c r="J411" s="75" t="inlineStr">
        <is>
          <t>V10001</t>
        </is>
      </c>
      <c r="K411" s="75" t="inlineStr">
        <is>
          <t>M항공</t>
        </is>
      </c>
      <c r="M411" s="9">
        <f>IF($A411="","",VALUE($A411&amp;"")*12+VALUE($B411&amp;""))</f>
        <v/>
      </c>
      <c r="N411" s="39">
        <f>IF($A411="","",IFERROR(INDEX(부서매핑!$C$5:$C$504,MATCH($G411&amp;"",부서매핑!$A$5:$A$504,0)),"미매핑"))</f>
        <v/>
      </c>
      <c r="O411" s="9">
        <f>IF($A411="","",N411&amp;"|"&amp;$F411)</f>
        <v/>
      </c>
      <c r="P411" s="77">
        <f>IF($A411="",0,$H411*설정!$C$23)</f>
        <v/>
      </c>
      <c r="Q411" s="39">
        <f>IF($A411="","",IF(O411&lt;&gt;원인분석!$C$9,"",IF(AND(M411&gt;=원인분석!$C$10,M411&lt;=원인분석!$C$11),"당기",IF(AND(M411&gt;=원인분석!$C$12,M411&lt;=원인분석!$C$13),"비교",""))))</f>
        <v/>
      </c>
      <c r="R411" s="9">
        <f>IF(Q411="","",$K411&amp;"")</f>
        <v/>
      </c>
      <c r="S411" s="9">
        <f>IF(Q411="","",IF(MATCH(R411,$R$5:$R$100000,0)=ROW()-4,ROW(),""))</f>
        <v/>
      </c>
      <c r="T411" s="9">
        <f>IF(Q411="당기",ABS(P411)+ROW()/1000000000,"")</f>
        <v/>
      </c>
      <c r="U411" s="9">
        <f>IF(Q411="비교",ABS(P411)+ROW()/1000000000,"")</f>
        <v/>
      </c>
      <c r="V411" s="39">
        <f>IF($A411="","",IF(COUNTIF(변동분석!$E$7:$E$506,O411)&gt;0,"Y","N"))</f>
        <v/>
      </c>
      <c r="W411" s="39">
        <f>IF($A411="","",IFERROR(INDEX(계정매핑!$D$5:$D$504,MATCH($F411&amp;"",계정매핑!$A$5:$A$504,0)),"미매핑"))</f>
        <v/>
      </c>
      <c r="X411" s="9">
        <f>IF($A411="","",$F411&amp;"")</f>
        <v/>
      </c>
    </row>
    <row r="412">
      <c r="A412" s="75" t="n">
        <v>2025</v>
      </c>
      <c r="B412" s="75" t="n">
        <v>3</v>
      </c>
      <c r="C412" s="75" t="inlineStr">
        <is>
          <t>5100000408</t>
        </is>
      </c>
      <c r="D412" s="78" t="n">
        <v>45719</v>
      </c>
      <c r="E412" s="75" t="inlineStr">
        <is>
          <t>KR</t>
        </is>
      </c>
      <c r="F412" s="75" t="n">
        <v>62301000</v>
      </c>
      <c r="G412" s="75" t="n">
        <v>1601</v>
      </c>
      <c r="H412" s="76" t="n">
        <v>317000</v>
      </c>
      <c r="I412" s="75" t="inlineStr">
        <is>
          <t>3월 소모품 구입 - R문구</t>
        </is>
      </c>
      <c r="J412" s="75" t="inlineStr">
        <is>
          <t>V10018</t>
        </is>
      </c>
      <c r="K412" s="75" t="inlineStr">
        <is>
          <t>R문구</t>
        </is>
      </c>
      <c r="M412" s="9">
        <f>IF($A412="","",VALUE($A412&amp;"")*12+VALUE($B412&amp;""))</f>
        <v/>
      </c>
      <c r="N412" s="39">
        <f>IF($A412="","",IFERROR(INDEX(부서매핑!$C$5:$C$504,MATCH($G412&amp;"",부서매핑!$A$5:$A$504,0)),"미매핑"))</f>
        <v/>
      </c>
      <c r="O412" s="9">
        <f>IF($A412="","",N412&amp;"|"&amp;$F412)</f>
        <v/>
      </c>
      <c r="P412" s="77">
        <f>IF($A412="",0,$H412*설정!$C$23)</f>
        <v/>
      </c>
      <c r="Q412" s="39">
        <f>IF($A412="","",IF(O412&lt;&gt;원인분석!$C$9,"",IF(AND(M412&gt;=원인분석!$C$10,M412&lt;=원인분석!$C$11),"당기",IF(AND(M412&gt;=원인분석!$C$12,M412&lt;=원인분석!$C$13),"비교",""))))</f>
        <v/>
      </c>
      <c r="R412" s="9">
        <f>IF(Q412="","",$K412&amp;"")</f>
        <v/>
      </c>
      <c r="S412" s="9">
        <f>IF(Q412="","",IF(MATCH(R412,$R$5:$R$100000,0)=ROW()-4,ROW(),""))</f>
        <v/>
      </c>
      <c r="T412" s="9">
        <f>IF(Q412="당기",ABS(P412)+ROW()/1000000000,"")</f>
        <v/>
      </c>
      <c r="U412" s="9">
        <f>IF(Q412="비교",ABS(P412)+ROW()/1000000000,"")</f>
        <v/>
      </c>
      <c r="V412" s="39">
        <f>IF($A412="","",IF(COUNTIF(변동분석!$E$7:$E$506,O412)&gt;0,"Y","N"))</f>
        <v/>
      </c>
      <c r="W412" s="39">
        <f>IF($A412="","",IFERROR(INDEX(계정매핑!$D$5:$D$504,MATCH($F412&amp;"",계정매핑!$A$5:$A$504,0)),"미매핑"))</f>
        <v/>
      </c>
      <c r="X412" s="9">
        <f>IF($A412="","",$F412&amp;"")</f>
        <v/>
      </c>
    </row>
    <row r="413">
      <c r="A413" s="75" t="n">
        <v>2025</v>
      </c>
      <c r="B413" s="75" t="n">
        <v>3</v>
      </c>
      <c r="C413" s="75" t="inlineStr">
        <is>
          <t>5100000409</t>
        </is>
      </c>
      <c r="D413" s="78" t="n">
        <v>45719</v>
      </c>
      <c r="E413" s="75" t="inlineStr">
        <is>
          <t>KR</t>
        </is>
      </c>
      <c r="F413" s="75" t="n">
        <v>62501000</v>
      </c>
      <c r="G413" s="75" t="n">
        <v>1101</v>
      </c>
      <c r="H413" s="76" t="n">
        <v>298000</v>
      </c>
      <c r="I413" s="75" t="inlineStr">
        <is>
          <t>3월 회의 다과 - T케이터링</t>
        </is>
      </c>
      <c r="J413" s="75" t="inlineStr">
        <is>
          <t>V10005</t>
        </is>
      </c>
      <c r="K413" s="75" t="inlineStr">
        <is>
          <t>T케이터링</t>
        </is>
      </c>
      <c r="M413" s="9">
        <f>IF($A413="","",VALUE($A413&amp;"")*12+VALUE($B413&amp;""))</f>
        <v/>
      </c>
      <c r="N413" s="39">
        <f>IF($A413="","",IFERROR(INDEX(부서매핑!$C$5:$C$504,MATCH($G413&amp;"",부서매핑!$A$5:$A$504,0)),"미매핑"))</f>
        <v/>
      </c>
      <c r="O413" s="9">
        <f>IF($A413="","",N413&amp;"|"&amp;$F413)</f>
        <v/>
      </c>
      <c r="P413" s="77">
        <f>IF($A413="",0,$H413*설정!$C$23)</f>
        <v/>
      </c>
      <c r="Q413" s="39">
        <f>IF($A413="","",IF(O413&lt;&gt;원인분석!$C$9,"",IF(AND(M413&gt;=원인분석!$C$10,M413&lt;=원인분석!$C$11),"당기",IF(AND(M413&gt;=원인분석!$C$12,M413&lt;=원인분석!$C$13),"비교",""))))</f>
        <v/>
      </c>
      <c r="R413" s="9">
        <f>IF(Q413="","",$K413&amp;"")</f>
        <v/>
      </c>
      <c r="S413" s="9">
        <f>IF(Q413="","",IF(MATCH(R413,$R$5:$R$100000,0)=ROW()-4,ROW(),""))</f>
        <v/>
      </c>
      <c r="T413" s="9">
        <f>IF(Q413="당기",ABS(P413)+ROW()/1000000000,"")</f>
        <v/>
      </c>
      <c r="U413" s="9">
        <f>IF(Q413="비교",ABS(P413)+ROW()/1000000000,"")</f>
        <v/>
      </c>
      <c r="V413" s="39">
        <f>IF($A413="","",IF(COUNTIF(변동분석!$E$7:$E$506,O413)&gt;0,"Y","N"))</f>
        <v/>
      </c>
      <c r="W413" s="39">
        <f>IF($A413="","",IFERROR(INDEX(계정매핑!$D$5:$D$504,MATCH($F413&amp;"",계정매핑!$A$5:$A$504,0)),"미매핑"))</f>
        <v/>
      </c>
      <c r="X413" s="9">
        <f>IF($A413="","",$F413&amp;"")</f>
        <v/>
      </c>
    </row>
    <row r="414">
      <c r="A414" s="75" t="n">
        <v>2025</v>
      </c>
      <c r="B414" s="75" t="n">
        <v>3</v>
      </c>
      <c r="C414" s="75" t="inlineStr">
        <is>
          <t>5100000410</t>
        </is>
      </c>
      <c r="D414" s="78" t="n">
        <v>45719</v>
      </c>
      <c r="E414" s="75" t="inlineStr">
        <is>
          <t>KR</t>
        </is>
      </c>
      <c r="F414" s="75" t="n">
        <v>62501000</v>
      </c>
      <c r="G414" s="75" t="n">
        <v>1301</v>
      </c>
      <c r="H414" s="76" t="n">
        <v>256000</v>
      </c>
      <c r="I414" s="75" t="inlineStr">
        <is>
          <t>3월 회의 다과 - (법인카드)</t>
        </is>
      </c>
      <c r="J414" s="75" t="inlineStr">
        <is>
          <t>V10008</t>
        </is>
      </c>
      <c r="K414" s="75" t="inlineStr">
        <is>
          <t>(법인카드)</t>
        </is>
      </c>
      <c r="M414" s="9">
        <f>IF($A414="","",VALUE($A414&amp;"")*12+VALUE($B414&amp;""))</f>
        <v/>
      </c>
      <c r="N414" s="39">
        <f>IF($A414="","",IFERROR(INDEX(부서매핑!$C$5:$C$504,MATCH($G414&amp;"",부서매핑!$A$5:$A$504,0)),"미매핑"))</f>
        <v/>
      </c>
      <c r="O414" s="9">
        <f>IF($A414="","",N414&amp;"|"&amp;$F414)</f>
        <v/>
      </c>
      <c r="P414" s="77">
        <f>IF($A414="",0,$H414*설정!$C$23)</f>
        <v/>
      </c>
      <c r="Q414" s="39">
        <f>IF($A414="","",IF(O414&lt;&gt;원인분석!$C$9,"",IF(AND(M414&gt;=원인분석!$C$10,M414&lt;=원인분석!$C$11),"당기",IF(AND(M414&gt;=원인분석!$C$12,M414&lt;=원인분석!$C$13),"비교",""))))</f>
        <v/>
      </c>
      <c r="R414" s="9">
        <f>IF(Q414="","",$K414&amp;"")</f>
        <v/>
      </c>
      <c r="S414" s="9">
        <f>IF(Q414="","",IF(MATCH(R414,$R$5:$R$100000,0)=ROW()-4,ROW(),""))</f>
        <v/>
      </c>
      <c r="T414" s="9">
        <f>IF(Q414="당기",ABS(P414)+ROW()/1000000000,"")</f>
        <v/>
      </c>
      <c r="U414" s="9">
        <f>IF(Q414="비교",ABS(P414)+ROW()/1000000000,"")</f>
        <v/>
      </c>
      <c r="V414" s="39">
        <f>IF($A414="","",IF(COUNTIF(변동분석!$E$7:$E$506,O414)&gt;0,"Y","N"))</f>
        <v/>
      </c>
      <c r="W414" s="39">
        <f>IF($A414="","",IFERROR(INDEX(계정매핑!$D$5:$D$504,MATCH($F414&amp;"",계정매핑!$A$5:$A$504,0)),"미매핑"))</f>
        <v/>
      </c>
      <c r="X414" s="9">
        <f>IF($A414="","",$F414&amp;"")</f>
        <v/>
      </c>
    </row>
    <row r="415">
      <c r="A415" s="75" t="n">
        <v>2025</v>
      </c>
      <c r="B415" s="75" t="n">
        <v>3</v>
      </c>
      <c r="C415" s="75" t="inlineStr">
        <is>
          <t>5100000411</t>
        </is>
      </c>
      <c r="D415" s="78" t="n">
        <v>45719</v>
      </c>
      <c r="E415" s="75" t="inlineStr">
        <is>
          <t>KR</t>
        </is>
      </c>
      <c r="F415" s="75" t="n">
        <v>62501000</v>
      </c>
      <c r="G415" s="75" t="n">
        <v>1801</v>
      </c>
      <c r="H415" s="76" t="n">
        <v>127000</v>
      </c>
      <c r="I415" s="75" t="inlineStr">
        <is>
          <t>3월 회의 다과 - T케이터링</t>
        </is>
      </c>
      <c r="J415" s="75" t="inlineStr">
        <is>
          <t>V10005</t>
        </is>
      </c>
      <c r="K415" s="75" t="inlineStr">
        <is>
          <t>T케이터링</t>
        </is>
      </c>
      <c r="M415" s="9">
        <f>IF($A415="","",VALUE($A415&amp;"")*12+VALUE($B415&amp;""))</f>
        <v/>
      </c>
      <c r="N415" s="39">
        <f>IF($A415="","",IFERROR(INDEX(부서매핑!$C$5:$C$504,MATCH($G415&amp;"",부서매핑!$A$5:$A$504,0)),"미매핑"))</f>
        <v/>
      </c>
      <c r="O415" s="9">
        <f>IF($A415="","",N415&amp;"|"&amp;$F415)</f>
        <v/>
      </c>
      <c r="P415" s="77">
        <f>IF($A415="",0,$H415*설정!$C$23)</f>
        <v/>
      </c>
      <c r="Q415" s="39">
        <f>IF($A415="","",IF(O415&lt;&gt;원인분석!$C$9,"",IF(AND(M415&gt;=원인분석!$C$10,M415&lt;=원인분석!$C$11),"당기",IF(AND(M415&gt;=원인분석!$C$12,M415&lt;=원인분석!$C$13),"비교",""))))</f>
        <v/>
      </c>
      <c r="R415" s="9">
        <f>IF(Q415="","",$K415&amp;"")</f>
        <v/>
      </c>
      <c r="S415" s="9">
        <f>IF(Q415="","",IF(MATCH(R415,$R$5:$R$100000,0)=ROW()-4,ROW(),""))</f>
        <v/>
      </c>
      <c r="T415" s="9">
        <f>IF(Q415="당기",ABS(P415)+ROW()/1000000000,"")</f>
        <v/>
      </c>
      <c r="U415" s="9">
        <f>IF(Q415="비교",ABS(P415)+ROW()/1000000000,"")</f>
        <v/>
      </c>
      <c r="V415" s="39">
        <f>IF($A415="","",IF(COUNTIF(변동분석!$E$7:$E$506,O415)&gt;0,"Y","N"))</f>
        <v/>
      </c>
      <c r="W415" s="39">
        <f>IF($A415="","",IFERROR(INDEX(계정매핑!$D$5:$D$504,MATCH($F415&amp;"",계정매핑!$A$5:$A$504,0)),"미매핑"))</f>
        <v/>
      </c>
      <c r="X415" s="9">
        <f>IF($A415="","",$F415&amp;"")</f>
        <v/>
      </c>
    </row>
    <row r="416">
      <c r="A416" s="75" t="n">
        <v>2025</v>
      </c>
      <c r="B416" s="75" t="n">
        <v>3</v>
      </c>
      <c r="C416" s="75" t="inlineStr">
        <is>
          <t>5100000412</t>
        </is>
      </c>
      <c r="D416" s="78" t="n">
        <v>45720</v>
      </c>
      <c r="E416" s="75" t="inlineStr">
        <is>
          <t>KR</t>
        </is>
      </c>
      <c r="F416" s="75" t="n">
        <v>62101000</v>
      </c>
      <c r="G416" s="75" t="n">
        <v>1101</v>
      </c>
      <c r="H416" s="76" t="n">
        <v>477000</v>
      </c>
      <c r="I416" s="75" t="inlineStr">
        <is>
          <t>3월 국내출장 - L여행사</t>
        </is>
      </c>
      <c r="J416" s="75" t="inlineStr">
        <is>
          <t>V10014</t>
        </is>
      </c>
      <c r="K416" s="75" t="inlineStr">
        <is>
          <t>L여행사</t>
        </is>
      </c>
      <c r="M416" s="9">
        <f>IF($A416="","",VALUE($A416&amp;"")*12+VALUE($B416&amp;""))</f>
        <v/>
      </c>
      <c r="N416" s="39">
        <f>IF($A416="","",IFERROR(INDEX(부서매핑!$C$5:$C$504,MATCH($G416&amp;"",부서매핑!$A$5:$A$504,0)),"미매핑"))</f>
        <v/>
      </c>
      <c r="O416" s="9">
        <f>IF($A416="","",N416&amp;"|"&amp;$F416)</f>
        <v/>
      </c>
      <c r="P416" s="77">
        <f>IF($A416="",0,$H416*설정!$C$23)</f>
        <v/>
      </c>
      <c r="Q416" s="39">
        <f>IF($A416="","",IF(O416&lt;&gt;원인분석!$C$9,"",IF(AND(M416&gt;=원인분석!$C$10,M416&lt;=원인분석!$C$11),"당기",IF(AND(M416&gt;=원인분석!$C$12,M416&lt;=원인분석!$C$13),"비교",""))))</f>
        <v/>
      </c>
      <c r="R416" s="9">
        <f>IF(Q416="","",$K416&amp;"")</f>
        <v/>
      </c>
      <c r="S416" s="9">
        <f>IF(Q416="","",IF(MATCH(R416,$R$5:$R$100000,0)=ROW()-4,ROW(),""))</f>
        <v/>
      </c>
      <c r="T416" s="9">
        <f>IF(Q416="당기",ABS(P416)+ROW()/1000000000,"")</f>
        <v/>
      </c>
      <c r="U416" s="9">
        <f>IF(Q416="비교",ABS(P416)+ROW()/1000000000,"")</f>
        <v/>
      </c>
      <c r="V416" s="39">
        <f>IF($A416="","",IF(COUNTIF(변동분석!$E$7:$E$506,O416)&gt;0,"Y","N"))</f>
        <v/>
      </c>
      <c r="W416" s="39">
        <f>IF($A416="","",IFERROR(INDEX(계정매핑!$D$5:$D$504,MATCH($F416&amp;"",계정매핑!$A$5:$A$504,0)),"미매핑"))</f>
        <v/>
      </c>
      <c r="X416" s="9">
        <f>IF($A416="","",$F416&amp;"")</f>
        <v/>
      </c>
    </row>
    <row r="417">
      <c r="A417" s="75" t="n">
        <v>2025</v>
      </c>
      <c r="B417" s="75" t="n">
        <v>3</v>
      </c>
      <c r="C417" s="75" t="inlineStr">
        <is>
          <t>5100000413</t>
        </is>
      </c>
      <c r="D417" s="78" t="n">
        <v>45720</v>
      </c>
      <c r="E417" s="75" t="inlineStr">
        <is>
          <t>KR</t>
        </is>
      </c>
      <c r="F417" s="75" t="n">
        <v>62101000</v>
      </c>
      <c r="G417" s="75" t="n">
        <v>1101</v>
      </c>
      <c r="H417" s="76" t="n">
        <v>689000</v>
      </c>
      <c r="I417" s="75" t="inlineStr">
        <is>
          <t>3월 국내출장 - (법인카드)</t>
        </is>
      </c>
      <c r="J417" s="75" t="inlineStr">
        <is>
          <t>V10008</t>
        </is>
      </c>
      <c r="K417" s="75" t="inlineStr">
        <is>
          <t>(법인카드)</t>
        </is>
      </c>
      <c r="M417" s="9">
        <f>IF($A417="","",VALUE($A417&amp;"")*12+VALUE($B417&amp;""))</f>
        <v/>
      </c>
      <c r="N417" s="39">
        <f>IF($A417="","",IFERROR(INDEX(부서매핑!$C$5:$C$504,MATCH($G417&amp;"",부서매핑!$A$5:$A$504,0)),"미매핑"))</f>
        <v/>
      </c>
      <c r="O417" s="9">
        <f>IF($A417="","",N417&amp;"|"&amp;$F417)</f>
        <v/>
      </c>
      <c r="P417" s="77">
        <f>IF($A417="",0,$H417*설정!$C$23)</f>
        <v/>
      </c>
      <c r="Q417" s="39">
        <f>IF($A417="","",IF(O417&lt;&gt;원인분석!$C$9,"",IF(AND(M417&gt;=원인분석!$C$10,M417&lt;=원인분석!$C$11),"당기",IF(AND(M417&gt;=원인분석!$C$12,M417&lt;=원인분석!$C$13),"비교",""))))</f>
        <v/>
      </c>
      <c r="R417" s="9">
        <f>IF(Q417="","",$K417&amp;"")</f>
        <v/>
      </c>
      <c r="S417" s="9">
        <f>IF(Q417="","",IF(MATCH(R417,$R$5:$R$100000,0)=ROW()-4,ROW(),""))</f>
        <v/>
      </c>
      <c r="T417" s="9">
        <f>IF(Q417="당기",ABS(P417)+ROW()/1000000000,"")</f>
        <v/>
      </c>
      <c r="U417" s="9">
        <f>IF(Q417="비교",ABS(P417)+ROW()/1000000000,"")</f>
        <v/>
      </c>
      <c r="V417" s="39">
        <f>IF($A417="","",IF(COUNTIF(변동분석!$E$7:$E$506,O417)&gt;0,"Y","N"))</f>
        <v/>
      </c>
      <c r="W417" s="39">
        <f>IF($A417="","",IFERROR(INDEX(계정매핑!$D$5:$D$504,MATCH($F417&amp;"",계정매핑!$A$5:$A$504,0)),"미매핑"))</f>
        <v/>
      </c>
      <c r="X417" s="9">
        <f>IF($A417="","",$F417&amp;"")</f>
        <v/>
      </c>
    </row>
    <row r="418">
      <c r="A418" s="75" t="n">
        <v>2025</v>
      </c>
      <c r="B418" s="75" t="n">
        <v>3</v>
      </c>
      <c r="C418" s="75" t="inlineStr">
        <is>
          <t>5100000414</t>
        </is>
      </c>
      <c r="D418" s="78" t="n">
        <v>45720</v>
      </c>
      <c r="E418" s="75" t="inlineStr">
        <is>
          <t>KR</t>
        </is>
      </c>
      <c r="F418" s="75" t="n">
        <v>62101000</v>
      </c>
      <c r="G418" s="75" t="n">
        <v>1801</v>
      </c>
      <c r="H418" s="76" t="n">
        <v>231000</v>
      </c>
      <c r="I418" s="75" t="inlineStr">
        <is>
          <t>3월 국내출장 - L여행사</t>
        </is>
      </c>
      <c r="J418" s="75" t="inlineStr">
        <is>
          <t>V10014</t>
        </is>
      </c>
      <c r="K418" s="75" t="inlineStr">
        <is>
          <t>L여행사</t>
        </is>
      </c>
      <c r="M418" s="9">
        <f>IF($A418="","",VALUE($A418&amp;"")*12+VALUE($B418&amp;""))</f>
        <v/>
      </c>
      <c r="N418" s="39">
        <f>IF($A418="","",IFERROR(INDEX(부서매핑!$C$5:$C$504,MATCH($G418&amp;"",부서매핑!$A$5:$A$504,0)),"미매핑"))</f>
        <v/>
      </c>
      <c r="O418" s="9">
        <f>IF($A418="","",N418&amp;"|"&amp;$F418)</f>
        <v/>
      </c>
      <c r="P418" s="77">
        <f>IF($A418="",0,$H418*설정!$C$23)</f>
        <v/>
      </c>
      <c r="Q418" s="39">
        <f>IF($A418="","",IF(O418&lt;&gt;원인분석!$C$9,"",IF(AND(M418&gt;=원인분석!$C$10,M418&lt;=원인분석!$C$11),"당기",IF(AND(M418&gt;=원인분석!$C$12,M418&lt;=원인분석!$C$13),"비교",""))))</f>
        <v/>
      </c>
      <c r="R418" s="9">
        <f>IF(Q418="","",$K418&amp;"")</f>
        <v/>
      </c>
      <c r="S418" s="9">
        <f>IF(Q418="","",IF(MATCH(R418,$R$5:$R$100000,0)=ROW()-4,ROW(),""))</f>
        <v/>
      </c>
      <c r="T418" s="9">
        <f>IF(Q418="당기",ABS(P418)+ROW()/1000000000,"")</f>
        <v/>
      </c>
      <c r="U418" s="9">
        <f>IF(Q418="비교",ABS(P418)+ROW()/1000000000,"")</f>
        <v/>
      </c>
      <c r="V418" s="39">
        <f>IF($A418="","",IF(COUNTIF(변동분석!$E$7:$E$506,O418)&gt;0,"Y","N"))</f>
        <v/>
      </c>
      <c r="W418" s="39">
        <f>IF($A418="","",IFERROR(INDEX(계정매핑!$D$5:$D$504,MATCH($F418&amp;"",계정매핑!$A$5:$A$504,0)),"미매핑"))</f>
        <v/>
      </c>
      <c r="X418" s="9">
        <f>IF($A418="","",$F418&amp;"")</f>
        <v/>
      </c>
    </row>
    <row r="419">
      <c r="A419" s="75" t="n">
        <v>2025</v>
      </c>
      <c r="B419" s="75" t="n">
        <v>3</v>
      </c>
      <c r="C419" s="75" t="inlineStr">
        <is>
          <t>5100000415</t>
        </is>
      </c>
      <c r="D419" s="78" t="n">
        <v>45720</v>
      </c>
      <c r="E419" s="75" t="inlineStr">
        <is>
          <t>KR</t>
        </is>
      </c>
      <c r="F419" s="75" t="n">
        <v>62102000</v>
      </c>
      <c r="G419" s="75" t="n">
        <v>1801</v>
      </c>
      <c r="H419" s="76" t="n">
        <v>37000</v>
      </c>
      <c r="I419" s="75" t="inlineStr">
        <is>
          <t>3월 해외출장 - N호텔</t>
        </is>
      </c>
      <c r="J419" s="75" t="inlineStr">
        <is>
          <t>V10007</t>
        </is>
      </c>
      <c r="K419" s="75" t="inlineStr">
        <is>
          <t>N호텔</t>
        </is>
      </c>
      <c r="M419" s="9">
        <f>IF($A419="","",VALUE($A419&amp;"")*12+VALUE($B419&amp;""))</f>
        <v/>
      </c>
      <c r="N419" s="39">
        <f>IF($A419="","",IFERROR(INDEX(부서매핑!$C$5:$C$504,MATCH($G419&amp;"",부서매핑!$A$5:$A$504,0)),"미매핑"))</f>
        <v/>
      </c>
      <c r="O419" s="9">
        <f>IF($A419="","",N419&amp;"|"&amp;$F419)</f>
        <v/>
      </c>
      <c r="P419" s="77">
        <f>IF($A419="",0,$H419*설정!$C$23)</f>
        <v/>
      </c>
      <c r="Q419" s="39">
        <f>IF($A419="","",IF(O419&lt;&gt;원인분석!$C$9,"",IF(AND(M419&gt;=원인분석!$C$10,M419&lt;=원인분석!$C$11),"당기",IF(AND(M419&gt;=원인분석!$C$12,M419&lt;=원인분석!$C$13),"비교",""))))</f>
        <v/>
      </c>
      <c r="R419" s="9">
        <f>IF(Q419="","",$K419&amp;"")</f>
        <v/>
      </c>
      <c r="S419" s="9">
        <f>IF(Q419="","",IF(MATCH(R419,$R$5:$R$100000,0)=ROW()-4,ROW(),""))</f>
        <v/>
      </c>
      <c r="T419" s="9">
        <f>IF(Q419="당기",ABS(P419)+ROW()/1000000000,"")</f>
        <v/>
      </c>
      <c r="U419" s="9">
        <f>IF(Q419="비교",ABS(P419)+ROW()/1000000000,"")</f>
        <v/>
      </c>
      <c r="V419" s="39">
        <f>IF($A419="","",IF(COUNTIF(변동분석!$E$7:$E$506,O419)&gt;0,"Y","N"))</f>
        <v/>
      </c>
      <c r="W419" s="39">
        <f>IF($A419="","",IFERROR(INDEX(계정매핑!$D$5:$D$504,MATCH($F419&amp;"",계정매핑!$A$5:$A$504,0)),"미매핑"))</f>
        <v/>
      </c>
      <c r="X419" s="9">
        <f>IF($A419="","",$F419&amp;"")</f>
        <v/>
      </c>
    </row>
    <row r="420">
      <c r="A420" s="75" t="n">
        <v>2025</v>
      </c>
      <c r="B420" s="75" t="n">
        <v>3</v>
      </c>
      <c r="C420" s="75" t="inlineStr">
        <is>
          <t>5100000416</t>
        </is>
      </c>
      <c r="D420" s="78" t="n">
        <v>45720</v>
      </c>
      <c r="E420" s="75" t="inlineStr">
        <is>
          <t>KR</t>
        </is>
      </c>
      <c r="F420" s="75" t="n">
        <v>62401000</v>
      </c>
      <c r="G420" s="75" t="n">
        <v>1801</v>
      </c>
      <c r="H420" s="76" t="n">
        <v>1662000</v>
      </c>
      <c r="I420" s="75" t="inlineStr">
        <is>
          <t>3월 인쇄물 제작 - G인쇄</t>
        </is>
      </c>
      <c r="J420" s="75" t="inlineStr">
        <is>
          <t>V10004</t>
        </is>
      </c>
      <c r="K420" s="75" t="inlineStr">
        <is>
          <t>G인쇄</t>
        </is>
      </c>
      <c r="M420" s="9">
        <f>IF($A420="","",VALUE($A420&amp;"")*12+VALUE($B420&amp;""))</f>
        <v/>
      </c>
      <c r="N420" s="39">
        <f>IF($A420="","",IFERROR(INDEX(부서매핑!$C$5:$C$504,MATCH($G420&amp;"",부서매핑!$A$5:$A$504,0)),"미매핑"))</f>
        <v/>
      </c>
      <c r="O420" s="9">
        <f>IF($A420="","",N420&amp;"|"&amp;$F420)</f>
        <v/>
      </c>
      <c r="P420" s="77">
        <f>IF($A420="",0,$H420*설정!$C$23)</f>
        <v/>
      </c>
      <c r="Q420" s="39">
        <f>IF($A420="","",IF(O420&lt;&gt;원인분석!$C$9,"",IF(AND(M420&gt;=원인분석!$C$10,M420&lt;=원인분석!$C$11),"당기",IF(AND(M420&gt;=원인분석!$C$12,M420&lt;=원인분석!$C$13),"비교",""))))</f>
        <v/>
      </c>
      <c r="R420" s="9">
        <f>IF(Q420="","",$K420&amp;"")</f>
        <v/>
      </c>
      <c r="S420" s="9">
        <f>IF(Q420="","",IF(MATCH(R420,$R$5:$R$100000,0)=ROW()-4,ROW(),""))</f>
        <v/>
      </c>
      <c r="T420" s="9">
        <f>IF(Q420="당기",ABS(P420)+ROW()/1000000000,"")</f>
        <v/>
      </c>
      <c r="U420" s="9">
        <f>IF(Q420="비교",ABS(P420)+ROW()/1000000000,"")</f>
        <v/>
      </c>
      <c r="V420" s="39">
        <f>IF($A420="","",IF(COUNTIF(변동분석!$E$7:$E$506,O420)&gt;0,"Y","N"))</f>
        <v/>
      </c>
      <c r="W420" s="39">
        <f>IF($A420="","",IFERROR(INDEX(계정매핑!$D$5:$D$504,MATCH($F420&amp;"",계정매핑!$A$5:$A$504,0)),"미매핑"))</f>
        <v/>
      </c>
      <c r="X420" s="9">
        <f>IF($A420="","",$F420&amp;"")</f>
        <v/>
      </c>
    </row>
    <row r="421">
      <c r="A421" s="75" t="n">
        <v>2025</v>
      </c>
      <c r="B421" s="75" t="n">
        <v>3</v>
      </c>
      <c r="C421" s="75" t="inlineStr">
        <is>
          <t>5100000417</t>
        </is>
      </c>
      <c r="D421" s="78" t="n">
        <v>45720</v>
      </c>
      <c r="E421" s="75" t="inlineStr">
        <is>
          <t>KR</t>
        </is>
      </c>
      <c r="F421" s="75" t="n">
        <v>62902000</v>
      </c>
      <c r="G421" s="75" t="n">
        <v>1201</v>
      </c>
      <c r="H421" s="76" t="n">
        <v>3006000</v>
      </c>
      <c r="I421" s="75" t="inlineStr">
        <is>
          <t>3월 업무 위탁 수수료 - J콜센터</t>
        </is>
      </c>
      <c r="J421" s="75" t="inlineStr">
        <is>
          <t>V10013</t>
        </is>
      </c>
      <c r="K421" s="75" t="inlineStr">
        <is>
          <t>J콜센터</t>
        </is>
      </c>
      <c r="M421" s="9">
        <f>IF($A421="","",VALUE($A421&amp;"")*12+VALUE($B421&amp;""))</f>
        <v/>
      </c>
      <c r="N421" s="39">
        <f>IF($A421="","",IFERROR(INDEX(부서매핑!$C$5:$C$504,MATCH($G421&amp;"",부서매핑!$A$5:$A$504,0)),"미매핑"))</f>
        <v/>
      </c>
      <c r="O421" s="9">
        <f>IF($A421="","",N421&amp;"|"&amp;$F421)</f>
        <v/>
      </c>
      <c r="P421" s="77">
        <f>IF($A421="",0,$H421*설정!$C$23)</f>
        <v/>
      </c>
      <c r="Q421" s="39">
        <f>IF($A421="","",IF(O421&lt;&gt;원인분석!$C$9,"",IF(AND(M421&gt;=원인분석!$C$10,M421&lt;=원인분석!$C$11),"당기",IF(AND(M421&gt;=원인분석!$C$12,M421&lt;=원인분석!$C$13),"비교",""))))</f>
        <v/>
      </c>
      <c r="R421" s="9">
        <f>IF(Q421="","",$K421&amp;"")</f>
        <v/>
      </c>
      <c r="S421" s="9">
        <f>IF(Q421="","",IF(MATCH(R421,$R$5:$R$100000,0)=ROW()-4,ROW(),""))</f>
        <v/>
      </c>
      <c r="T421" s="9">
        <f>IF(Q421="당기",ABS(P421)+ROW()/1000000000,"")</f>
        <v/>
      </c>
      <c r="U421" s="9">
        <f>IF(Q421="비교",ABS(P421)+ROW()/1000000000,"")</f>
        <v/>
      </c>
      <c r="V421" s="39">
        <f>IF($A421="","",IF(COUNTIF(변동분석!$E$7:$E$506,O421)&gt;0,"Y","N"))</f>
        <v/>
      </c>
      <c r="W421" s="39">
        <f>IF($A421="","",IFERROR(INDEX(계정매핑!$D$5:$D$504,MATCH($F421&amp;"",계정매핑!$A$5:$A$504,0)),"미매핑"))</f>
        <v/>
      </c>
      <c r="X421" s="9">
        <f>IF($A421="","",$F421&amp;"")</f>
        <v/>
      </c>
    </row>
    <row r="422">
      <c r="A422" s="75" t="n">
        <v>2025</v>
      </c>
      <c r="B422" s="75" t="n">
        <v>3</v>
      </c>
      <c r="C422" s="75" t="inlineStr">
        <is>
          <t>5100000418</t>
        </is>
      </c>
      <c r="D422" s="78" t="n">
        <v>45721</v>
      </c>
      <c r="E422" s="75" t="inlineStr">
        <is>
          <t>KR</t>
        </is>
      </c>
      <c r="F422" s="75" t="n">
        <v>62101000</v>
      </c>
      <c r="G422" s="75" t="n">
        <v>1201</v>
      </c>
      <c r="H422" s="76" t="n">
        <v>229000</v>
      </c>
      <c r="I422" s="75" t="inlineStr">
        <is>
          <t>3월 국내출장 - L여행사</t>
        </is>
      </c>
      <c r="J422" s="75" t="inlineStr">
        <is>
          <t>V10014</t>
        </is>
      </c>
      <c r="K422" s="75" t="inlineStr">
        <is>
          <t>L여행사</t>
        </is>
      </c>
      <c r="M422" s="9">
        <f>IF($A422="","",VALUE($A422&amp;"")*12+VALUE($B422&amp;""))</f>
        <v/>
      </c>
      <c r="N422" s="39">
        <f>IF($A422="","",IFERROR(INDEX(부서매핑!$C$5:$C$504,MATCH($G422&amp;"",부서매핑!$A$5:$A$504,0)),"미매핑"))</f>
        <v/>
      </c>
      <c r="O422" s="9">
        <f>IF($A422="","",N422&amp;"|"&amp;$F422)</f>
        <v/>
      </c>
      <c r="P422" s="77">
        <f>IF($A422="",0,$H422*설정!$C$23)</f>
        <v/>
      </c>
      <c r="Q422" s="39">
        <f>IF($A422="","",IF(O422&lt;&gt;원인분석!$C$9,"",IF(AND(M422&gt;=원인분석!$C$10,M422&lt;=원인분석!$C$11),"당기",IF(AND(M422&gt;=원인분석!$C$12,M422&lt;=원인분석!$C$13),"비교",""))))</f>
        <v/>
      </c>
      <c r="R422" s="9">
        <f>IF(Q422="","",$K422&amp;"")</f>
        <v/>
      </c>
      <c r="S422" s="9">
        <f>IF(Q422="","",IF(MATCH(R422,$R$5:$R$100000,0)=ROW()-4,ROW(),""))</f>
        <v/>
      </c>
      <c r="T422" s="9">
        <f>IF(Q422="당기",ABS(P422)+ROW()/1000000000,"")</f>
        <v/>
      </c>
      <c r="U422" s="9">
        <f>IF(Q422="비교",ABS(P422)+ROW()/1000000000,"")</f>
        <v/>
      </c>
      <c r="V422" s="39">
        <f>IF($A422="","",IF(COUNTIF(변동분석!$E$7:$E$506,O422)&gt;0,"Y","N"))</f>
        <v/>
      </c>
      <c r="W422" s="39">
        <f>IF($A422="","",IFERROR(INDEX(계정매핑!$D$5:$D$504,MATCH($F422&amp;"",계정매핑!$A$5:$A$504,0)),"미매핑"))</f>
        <v/>
      </c>
      <c r="X422" s="9">
        <f>IF($A422="","",$F422&amp;"")</f>
        <v/>
      </c>
    </row>
    <row r="423">
      <c r="A423" s="75" t="n">
        <v>2025</v>
      </c>
      <c r="B423" s="75" t="n">
        <v>3</v>
      </c>
      <c r="C423" s="75" t="inlineStr">
        <is>
          <t>5100000419</t>
        </is>
      </c>
      <c r="D423" s="78" t="n">
        <v>45721</v>
      </c>
      <c r="E423" s="75" t="inlineStr">
        <is>
          <t>KR</t>
        </is>
      </c>
      <c r="F423" s="75" t="n">
        <v>62101000</v>
      </c>
      <c r="G423" s="75" t="n">
        <v>1201</v>
      </c>
      <c r="H423" s="76" t="n">
        <v>328000</v>
      </c>
      <c r="I423" s="75" t="inlineStr">
        <is>
          <t>3월 국내출장 - M항공</t>
        </is>
      </c>
      <c r="J423" s="75" t="inlineStr">
        <is>
          <t>V10001</t>
        </is>
      </c>
      <c r="K423" s="75" t="inlineStr">
        <is>
          <t>M항공</t>
        </is>
      </c>
      <c r="M423" s="9">
        <f>IF($A423="","",VALUE($A423&amp;"")*12+VALUE($B423&amp;""))</f>
        <v/>
      </c>
      <c r="N423" s="39">
        <f>IF($A423="","",IFERROR(INDEX(부서매핑!$C$5:$C$504,MATCH($G423&amp;"",부서매핑!$A$5:$A$504,0)),"미매핑"))</f>
        <v/>
      </c>
      <c r="O423" s="9">
        <f>IF($A423="","",N423&amp;"|"&amp;$F423)</f>
        <v/>
      </c>
      <c r="P423" s="77">
        <f>IF($A423="",0,$H423*설정!$C$23)</f>
        <v/>
      </c>
      <c r="Q423" s="39">
        <f>IF($A423="","",IF(O423&lt;&gt;원인분석!$C$9,"",IF(AND(M423&gt;=원인분석!$C$10,M423&lt;=원인분석!$C$11),"당기",IF(AND(M423&gt;=원인분석!$C$12,M423&lt;=원인분석!$C$13),"비교",""))))</f>
        <v/>
      </c>
      <c r="R423" s="9">
        <f>IF(Q423="","",$K423&amp;"")</f>
        <v/>
      </c>
      <c r="S423" s="9">
        <f>IF(Q423="","",IF(MATCH(R423,$R$5:$R$100000,0)=ROW()-4,ROW(),""))</f>
        <v/>
      </c>
      <c r="T423" s="9">
        <f>IF(Q423="당기",ABS(P423)+ROW()/1000000000,"")</f>
        <v/>
      </c>
      <c r="U423" s="9">
        <f>IF(Q423="비교",ABS(P423)+ROW()/1000000000,"")</f>
        <v/>
      </c>
      <c r="V423" s="39">
        <f>IF($A423="","",IF(COUNTIF(변동분석!$E$7:$E$506,O423)&gt;0,"Y","N"))</f>
        <v/>
      </c>
      <c r="W423" s="39">
        <f>IF($A423="","",IFERROR(INDEX(계정매핑!$D$5:$D$504,MATCH($F423&amp;"",계정매핑!$A$5:$A$504,0)),"미매핑"))</f>
        <v/>
      </c>
      <c r="X423" s="9">
        <f>IF($A423="","",$F423&amp;"")</f>
        <v/>
      </c>
    </row>
    <row r="424">
      <c r="A424" s="75" t="n">
        <v>2025</v>
      </c>
      <c r="B424" s="75" t="n">
        <v>3</v>
      </c>
      <c r="C424" s="75" t="inlineStr">
        <is>
          <t>5100000420</t>
        </is>
      </c>
      <c r="D424" s="78" t="n">
        <v>45721</v>
      </c>
      <c r="E424" s="75" t="inlineStr">
        <is>
          <t>KR</t>
        </is>
      </c>
      <c r="F424" s="75" t="n">
        <v>62201000</v>
      </c>
      <c r="G424" s="75" t="n">
        <v>1401</v>
      </c>
      <c r="H424" s="76" t="n">
        <v>181000</v>
      </c>
      <c r="I424" s="75" t="inlineStr">
        <is>
          <t>3월 통신요금 - O텔레콤</t>
        </is>
      </c>
      <c r="J424" s="75" t="inlineStr">
        <is>
          <t>V10002</t>
        </is>
      </c>
      <c r="K424" s="75" t="inlineStr">
        <is>
          <t>O텔레콤</t>
        </is>
      </c>
      <c r="M424" s="9">
        <f>IF($A424="","",VALUE($A424&amp;"")*12+VALUE($B424&amp;""))</f>
        <v/>
      </c>
      <c r="N424" s="39">
        <f>IF($A424="","",IFERROR(INDEX(부서매핑!$C$5:$C$504,MATCH($G424&amp;"",부서매핑!$A$5:$A$504,0)),"미매핑"))</f>
        <v/>
      </c>
      <c r="O424" s="9">
        <f>IF($A424="","",N424&amp;"|"&amp;$F424)</f>
        <v/>
      </c>
      <c r="P424" s="77">
        <f>IF($A424="",0,$H424*설정!$C$23)</f>
        <v/>
      </c>
      <c r="Q424" s="39">
        <f>IF($A424="","",IF(O424&lt;&gt;원인분석!$C$9,"",IF(AND(M424&gt;=원인분석!$C$10,M424&lt;=원인분석!$C$11),"당기",IF(AND(M424&gt;=원인분석!$C$12,M424&lt;=원인분석!$C$13),"비교",""))))</f>
        <v/>
      </c>
      <c r="R424" s="9">
        <f>IF(Q424="","",$K424&amp;"")</f>
        <v/>
      </c>
      <c r="S424" s="9">
        <f>IF(Q424="","",IF(MATCH(R424,$R$5:$R$100000,0)=ROW()-4,ROW(),""))</f>
        <v/>
      </c>
      <c r="T424" s="9">
        <f>IF(Q424="당기",ABS(P424)+ROW()/1000000000,"")</f>
        <v/>
      </c>
      <c r="U424" s="9">
        <f>IF(Q424="비교",ABS(P424)+ROW()/1000000000,"")</f>
        <v/>
      </c>
      <c r="V424" s="39">
        <f>IF($A424="","",IF(COUNTIF(변동분석!$E$7:$E$506,O424)&gt;0,"Y","N"))</f>
        <v/>
      </c>
      <c r="W424" s="39">
        <f>IF($A424="","",IFERROR(INDEX(계정매핑!$D$5:$D$504,MATCH($F424&amp;"",계정매핑!$A$5:$A$504,0)),"미매핑"))</f>
        <v/>
      </c>
      <c r="X424" s="9">
        <f>IF($A424="","",$F424&amp;"")</f>
        <v/>
      </c>
    </row>
    <row r="425">
      <c r="A425" s="75" t="n">
        <v>2025</v>
      </c>
      <c r="B425" s="75" t="n">
        <v>3</v>
      </c>
      <c r="C425" s="75" t="inlineStr">
        <is>
          <t>5100000421</t>
        </is>
      </c>
      <c r="D425" s="78" t="n">
        <v>45721</v>
      </c>
      <c r="E425" s="75" t="inlineStr">
        <is>
          <t>KR</t>
        </is>
      </c>
      <c r="F425" s="75" t="n">
        <v>62301000</v>
      </c>
      <c r="G425" s="75" t="n">
        <v>1301</v>
      </c>
      <c r="H425" s="76" t="n">
        <v>173000</v>
      </c>
      <c r="I425" s="75" t="inlineStr">
        <is>
          <t>3월 소모품 구입 - Q오피스</t>
        </is>
      </c>
      <c r="J425" s="75" t="inlineStr">
        <is>
          <t>V10003</t>
        </is>
      </c>
      <c r="K425" s="75" t="inlineStr">
        <is>
          <t>Q오피스</t>
        </is>
      </c>
      <c r="M425" s="9">
        <f>IF($A425="","",VALUE($A425&amp;"")*12+VALUE($B425&amp;""))</f>
        <v/>
      </c>
      <c r="N425" s="39">
        <f>IF($A425="","",IFERROR(INDEX(부서매핑!$C$5:$C$504,MATCH($G425&amp;"",부서매핑!$A$5:$A$504,0)),"미매핑"))</f>
        <v/>
      </c>
      <c r="O425" s="9">
        <f>IF($A425="","",N425&amp;"|"&amp;$F425)</f>
        <v/>
      </c>
      <c r="P425" s="77">
        <f>IF($A425="",0,$H425*설정!$C$23)</f>
        <v/>
      </c>
      <c r="Q425" s="39">
        <f>IF($A425="","",IF(O425&lt;&gt;원인분석!$C$9,"",IF(AND(M425&gt;=원인분석!$C$10,M425&lt;=원인분석!$C$11),"당기",IF(AND(M425&gt;=원인분석!$C$12,M425&lt;=원인분석!$C$13),"비교",""))))</f>
        <v/>
      </c>
      <c r="R425" s="9">
        <f>IF(Q425="","",$K425&amp;"")</f>
        <v/>
      </c>
      <c r="S425" s="9">
        <f>IF(Q425="","",IF(MATCH(R425,$R$5:$R$100000,0)=ROW()-4,ROW(),""))</f>
        <v/>
      </c>
      <c r="T425" s="9">
        <f>IF(Q425="당기",ABS(P425)+ROW()/1000000000,"")</f>
        <v/>
      </c>
      <c r="U425" s="9">
        <f>IF(Q425="비교",ABS(P425)+ROW()/1000000000,"")</f>
        <v/>
      </c>
      <c r="V425" s="39">
        <f>IF($A425="","",IF(COUNTIF(변동분석!$E$7:$E$506,O425)&gt;0,"Y","N"))</f>
        <v/>
      </c>
      <c r="W425" s="39">
        <f>IF($A425="","",IFERROR(INDEX(계정매핑!$D$5:$D$504,MATCH($F425&amp;"",계정매핑!$A$5:$A$504,0)),"미매핑"))</f>
        <v/>
      </c>
      <c r="X425" s="9">
        <f>IF($A425="","",$F425&amp;"")</f>
        <v/>
      </c>
    </row>
    <row r="426">
      <c r="A426" s="75" t="n">
        <v>2025</v>
      </c>
      <c r="B426" s="75" t="n">
        <v>3</v>
      </c>
      <c r="C426" s="75" t="inlineStr">
        <is>
          <t>5100000422</t>
        </is>
      </c>
      <c r="D426" s="78" t="n">
        <v>45721</v>
      </c>
      <c r="E426" s="75" t="inlineStr">
        <is>
          <t>KR</t>
        </is>
      </c>
      <c r="F426" s="75" t="n">
        <v>62301000</v>
      </c>
      <c r="G426" s="75" t="n">
        <v>1801</v>
      </c>
      <c r="H426" s="76" t="n">
        <v>378000</v>
      </c>
      <c r="I426" s="75" t="inlineStr">
        <is>
          <t>3월 소모품 구입 - R문구</t>
        </is>
      </c>
      <c r="J426" s="75" t="inlineStr">
        <is>
          <t>V10018</t>
        </is>
      </c>
      <c r="K426" s="75" t="inlineStr">
        <is>
          <t>R문구</t>
        </is>
      </c>
      <c r="M426" s="9">
        <f>IF($A426="","",VALUE($A426&amp;"")*12+VALUE($B426&amp;""))</f>
        <v/>
      </c>
      <c r="N426" s="39">
        <f>IF($A426="","",IFERROR(INDEX(부서매핑!$C$5:$C$504,MATCH($G426&amp;"",부서매핑!$A$5:$A$504,0)),"미매핑"))</f>
        <v/>
      </c>
      <c r="O426" s="9">
        <f>IF($A426="","",N426&amp;"|"&amp;$F426)</f>
        <v/>
      </c>
      <c r="P426" s="77">
        <f>IF($A426="",0,$H426*설정!$C$23)</f>
        <v/>
      </c>
      <c r="Q426" s="39">
        <f>IF($A426="","",IF(O426&lt;&gt;원인분석!$C$9,"",IF(AND(M426&gt;=원인분석!$C$10,M426&lt;=원인분석!$C$11),"당기",IF(AND(M426&gt;=원인분석!$C$12,M426&lt;=원인분석!$C$13),"비교",""))))</f>
        <v/>
      </c>
      <c r="R426" s="9">
        <f>IF(Q426="","",$K426&amp;"")</f>
        <v/>
      </c>
      <c r="S426" s="9">
        <f>IF(Q426="","",IF(MATCH(R426,$R$5:$R$100000,0)=ROW()-4,ROW(),""))</f>
        <v/>
      </c>
      <c r="T426" s="9">
        <f>IF(Q426="당기",ABS(P426)+ROW()/1000000000,"")</f>
        <v/>
      </c>
      <c r="U426" s="9">
        <f>IF(Q426="비교",ABS(P426)+ROW()/1000000000,"")</f>
        <v/>
      </c>
      <c r="V426" s="39">
        <f>IF($A426="","",IF(COUNTIF(변동분석!$E$7:$E$506,O426)&gt;0,"Y","N"))</f>
        <v/>
      </c>
      <c r="W426" s="39">
        <f>IF($A426="","",IFERROR(INDEX(계정매핑!$D$5:$D$504,MATCH($F426&amp;"",계정매핑!$A$5:$A$504,0)),"미매핑"))</f>
        <v/>
      </c>
      <c r="X426" s="9">
        <f>IF($A426="","",$F426&amp;"")</f>
        <v/>
      </c>
    </row>
    <row r="427">
      <c r="A427" s="75" t="n">
        <v>2025</v>
      </c>
      <c r="B427" s="75" t="n">
        <v>3</v>
      </c>
      <c r="C427" s="75" t="inlineStr">
        <is>
          <t>5100000423</t>
        </is>
      </c>
      <c r="D427" s="78" t="n">
        <v>45721</v>
      </c>
      <c r="E427" s="75" t="inlineStr">
        <is>
          <t>KR</t>
        </is>
      </c>
      <c r="F427" s="75" t="n">
        <v>62501000</v>
      </c>
      <c r="G427" s="75" t="n">
        <v>1201</v>
      </c>
      <c r="H427" s="76" t="n">
        <v>167000</v>
      </c>
      <c r="I427" s="75" t="inlineStr">
        <is>
          <t>3월 회의 다과 - T케이터링</t>
        </is>
      </c>
      <c r="J427" s="75" t="inlineStr">
        <is>
          <t>V10005</t>
        </is>
      </c>
      <c r="K427" s="75" t="inlineStr">
        <is>
          <t>T케이터링</t>
        </is>
      </c>
      <c r="M427" s="9">
        <f>IF($A427="","",VALUE($A427&amp;"")*12+VALUE($B427&amp;""))</f>
        <v/>
      </c>
      <c r="N427" s="39">
        <f>IF($A427="","",IFERROR(INDEX(부서매핑!$C$5:$C$504,MATCH($G427&amp;"",부서매핑!$A$5:$A$504,0)),"미매핑"))</f>
        <v/>
      </c>
      <c r="O427" s="9">
        <f>IF($A427="","",N427&amp;"|"&amp;$F427)</f>
        <v/>
      </c>
      <c r="P427" s="77">
        <f>IF($A427="",0,$H427*설정!$C$23)</f>
        <v/>
      </c>
      <c r="Q427" s="39">
        <f>IF($A427="","",IF(O427&lt;&gt;원인분석!$C$9,"",IF(AND(M427&gt;=원인분석!$C$10,M427&lt;=원인분석!$C$11),"당기",IF(AND(M427&gt;=원인분석!$C$12,M427&lt;=원인분석!$C$13),"비교",""))))</f>
        <v/>
      </c>
      <c r="R427" s="9">
        <f>IF(Q427="","",$K427&amp;"")</f>
        <v/>
      </c>
      <c r="S427" s="9">
        <f>IF(Q427="","",IF(MATCH(R427,$R$5:$R$100000,0)=ROW()-4,ROW(),""))</f>
        <v/>
      </c>
      <c r="T427" s="9">
        <f>IF(Q427="당기",ABS(P427)+ROW()/1000000000,"")</f>
        <v/>
      </c>
      <c r="U427" s="9">
        <f>IF(Q427="비교",ABS(P427)+ROW()/1000000000,"")</f>
        <v/>
      </c>
      <c r="V427" s="39">
        <f>IF($A427="","",IF(COUNTIF(변동분석!$E$7:$E$506,O427)&gt;0,"Y","N"))</f>
        <v/>
      </c>
      <c r="W427" s="39">
        <f>IF($A427="","",IFERROR(INDEX(계정매핑!$D$5:$D$504,MATCH($F427&amp;"",계정매핑!$A$5:$A$504,0)),"미매핑"))</f>
        <v/>
      </c>
      <c r="X427" s="9">
        <f>IF($A427="","",$F427&amp;"")</f>
        <v/>
      </c>
    </row>
    <row r="428">
      <c r="A428" s="75" t="n">
        <v>2025</v>
      </c>
      <c r="B428" s="75" t="n">
        <v>3</v>
      </c>
      <c r="C428" s="75" t="inlineStr">
        <is>
          <t>5100000424</t>
        </is>
      </c>
      <c r="D428" s="78" t="n">
        <v>45721</v>
      </c>
      <c r="E428" s="75" t="inlineStr">
        <is>
          <t>KR</t>
        </is>
      </c>
      <c r="F428" s="75" t="n">
        <v>62501000</v>
      </c>
      <c r="G428" s="75" t="n">
        <v>1501</v>
      </c>
      <c r="H428" s="76" t="n">
        <v>321000</v>
      </c>
      <c r="I428" s="75" t="inlineStr">
        <is>
          <t>3월 회의 다과 - (법인카드)</t>
        </is>
      </c>
      <c r="J428" s="75" t="inlineStr">
        <is>
          <t>V10008</t>
        </is>
      </c>
      <c r="K428" s="75" t="inlineStr">
        <is>
          <t>(법인카드)</t>
        </is>
      </c>
      <c r="M428" s="9">
        <f>IF($A428="","",VALUE($A428&amp;"")*12+VALUE($B428&amp;""))</f>
        <v/>
      </c>
      <c r="N428" s="39">
        <f>IF($A428="","",IFERROR(INDEX(부서매핑!$C$5:$C$504,MATCH($G428&amp;"",부서매핑!$A$5:$A$504,0)),"미매핑"))</f>
        <v/>
      </c>
      <c r="O428" s="9">
        <f>IF($A428="","",N428&amp;"|"&amp;$F428)</f>
        <v/>
      </c>
      <c r="P428" s="77">
        <f>IF($A428="",0,$H428*설정!$C$23)</f>
        <v/>
      </c>
      <c r="Q428" s="39">
        <f>IF($A428="","",IF(O428&lt;&gt;원인분석!$C$9,"",IF(AND(M428&gt;=원인분석!$C$10,M428&lt;=원인분석!$C$11),"당기",IF(AND(M428&gt;=원인분석!$C$12,M428&lt;=원인분석!$C$13),"비교",""))))</f>
        <v/>
      </c>
      <c r="R428" s="9">
        <f>IF(Q428="","",$K428&amp;"")</f>
        <v/>
      </c>
      <c r="S428" s="9">
        <f>IF(Q428="","",IF(MATCH(R428,$R$5:$R$100000,0)=ROW()-4,ROW(),""))</f>
        <v/>
      </c>
      <c r="T428" s="9">
        <f>IF(Q428="당기",ABS(P428)+ROW()/1000000000,"")</f>
        <v/>
      </c>
      <c r="U428" s="9">
        <f>IF(Q428="비교",ABS(P428)+ROW()/1000000000,"")</f>
        <v/>
      </c>
      <c r="V428" s="39">
        <f>IF($A428="","",IF(COUNTIF(변동분석!$E$7:$E$506,O428)&gt;0,"Y","N"))</f>
        <v/>
      </c>
      <c r="W428" s="39">
        <f>IF($A428="","",IFERROR(INDEX(계정매핑!$D$5:$D$504,MATCH($F428&amp;"",계정매핑!$A$5:$A$504,0)),"미매핑"))</f>
        <v/>
      </c>
      <c r="X428" s="9">
        <f>IF($A428="","",$F428&amp;"")</f>
        <v/>
      </c>
    </row>
    <row r="429">
      <c r="A429" s="75" t="n">
        <v>2025</v>
      </c>
      <c r="B429" s="75" t="n">
        <v>3</v>
      </c>
      <c r="C429" s="75" t="inlineStr">
        <is>
          <t>5100000425</t>
        </is>
      </c>
      <c r="D429" s="78" t="n">
        <v>45721</v>
      </c>
      <c r="E429" s="75" t="inlineStr">
        <is>
          <t>KR</t>
        </is>
      </c>
      <c r="F429" s="75" t="n">
        <v>62601000</v>
      </c>
      <c r="G429" s="75" t="n">
        <v>1101</v>
      </c>
      <c r="H429" s="76" t="n">
        <v>3319000</v>
      </c>
      <c r="I429" s="75" t="inlineStr">
        <is>
          <t>3월 업무추진 - (법인카드)</t>
        </is>
      </c>
      <c r="J429" s="75" t="inlineStr">
        <is>
          <t>V10008</t>
        </is>
      </c>
      <c r="K429" s="75" t="inlineStr">
        <is>
          <t>(법인카드)</t>
        </is>
      </c>
      <c r="M429" s="9">
        <f>IF($A429="","",VALUE($A429&amp;"")*12+VALUE($B429&amp;""))</f>
        <v/>
      </c>
      <c r="N429" s="39">
        <f>IF($A429="","",IFERROR(INDEX(부서매핑!$C$5:$C$504,MATCH($G429&amp;"",부서매핑!$A$5:$A$504,0)),"미매핑"))</f>
        <v/>
      </c>
      <c r="O429" s="9">
        <f>IF($A429="","",N429&amp;"|"&amp;$F429)</f>
        <v/>
      </c>
      <c r="P429" s="77">
        <f>IF($A429="",0,$H429*설정!$C$23)</f>
        <v/>
      </c>
      <c r="Q429" s="39">
        <f>IF($A429="","",IF(O429&lt;&gt;원인분석!$C$9,"",IF(AND(M429&gt;=원인분석!$C$10,M429&lt;=원인분석!$C$11),"당기",IF(AND(M429&gt;=원인분석!$C$12,M429&lt;=원인분석!$C$13),"비교",""))))</f>
        <v/>
      </c>
      <c r="R429" s="9">
        <f>IF(Q429="","",$K429&amp;"")</f>
        <v/>
      </c>
      <c r="S429" s="9">
        <f>IF(Q429="","",IF(MATCH(R429,$R$5:$R$100000,0)=ROW()-4,ROW(),""))</f>
        <v/>
      </c>
      <c r="T429" s="9">
        <f>IF(Q429="당기",ABS(P429)+ROW()/1000000000,"")</f>
        <v/>
      </c>
      <c r="U429" s="9">
        <f>IF(Q429="비교",ABS(P429)+ROW()/1000000000,"")</f>
        <v/>
      </c>
      <c r="V429" s="39">
        <f>IF($A429="","",IF(COUNTIF(변동분석!$E$7:$E$506,O429)&gt;0,"Y","N"))</f>
        <v/>
      </c>
      <c r="W429" s="39">
        <f>IF($A429="","",IFERROR(INDEX(계정매핑!$D$5:$D$504,MATCH($F429&amp;"",계정매핑!$A$5:$A$504,0)),"미매핑"))</f>
        <v/>
      </c>
      <c r="X429" s="9">
        <f>IF($A429="","",$F429&amp;"")</f>
        <v/>
      </c>
    </row>
    <row r="430">
      <c r="A430" s="75" t="n">
        <v>2025</v>
      </c>
      <c r="B430" s="75" t="n">
        <v>3</v>
      </c>
      <c r="C430" s="75" t="inlineStr">
        <is>
          <t>5100000426</t>
        </is>
      </c>
      <c r="D430" s="78" t="n">
        <v>45721</v>
      </c>
      <c r="E430" s="75" t="inlineStr">
        <is>
          <t>KR</t>
        </is>
      </c>
      <c r="F430" s="75" t="n">
        <v>62902000</v>
      </c>
      <c r="G430" s="75" t="n">
        <v>1801</v>
      </c>
      <c r="H430" s="76" t="n">
        <v>1852000</v>
      </c>
      <c r="I430" s="75" t="inlineStr">
        <is>
          <t>3월 콜 위탁 수수료(건별)</t>
        </is>
      </c>
      <c r="J430" s="75" t="inlineStr">
        <is>
          <t>V10013</t>
        </is>
      </c>
      <c r="K430" s="75" t="inlineStr">
        <is>
          <t>J콜센터</t>
        </is>
      </c>
      <c r="M430" s="9">
        <f>IF($A430="","",VALUE($A430&amp;"")*12+VALUE($B430&amp;""))</f>
        <v/>
      </c>
      <c r="N430" s="39">
        <f>IF($A430="","",IFERROR(INDEX(부서매핑!$C$5:$C$504,MATCH($G430&amp;"",부서매핑!$A$5:$A$504,0)),"미매핑"))</f>
        <v/>
      </c>
      <c r="O430" s="9">
        <f>IF($A430="","",N430&amp;"|"&amp;$F430)</f>
        <v/>
      </c>
      <c r="P430" s="77">
        <f>IF($A430="",0,$H430*설정!$C$23)</f>
        <v/>
      </c>
      <c r="Q430" s="39">
        <f>IF($A430="","",IF(O430&lt;&gt;원인분석!$C$9,"",IF(AND(M430&gt;=원인분석!$C$10,M430&lt;=원인분석!$C$11),"당기",IF(AND(M430&gt;=원인분석!$C$12,M430&lt;=원인분석!$C$13),"비교",""))))</f>
        <v/>
      </c>
      <c r="R430" s="9">
        <f>IF(Q430="","",$K430&amp;"")</f>
        <v/>
      </c>
      <c r="S430" s="9">
        <f>IF(Q430="","",IF(MATCH(R430,$R$5:$R$100000,0)=ROW()-4,ROW(),""))</f>
        <v/>
      </c>
      <c r="T430" s="9">
        <f>IF(Q430="당기",ABS(P430)+ROW()/1000000000,"")</f>
        <v/>
      </c>
      <c r="U430" s="9">
        <f>IF(Q430="비교",ABS(P430)+ROW()/1000000000,"")</f>
        <v/>
      </c>
      <c r="V430" s="39">
        <f>IF($A430="","",IF(COUNTIF(변동분석!$E$7:$E$506,O430)&gt;0,"Y","N"))</f>
        <v/>
      </c>
      <c r="W430" s="39">
        <f>IF($A430="","",IFERROR(INDEX(계정매핑!$D$5:$D$504,MATCH($F430&amp;"",계정매핑!$A$5:$A$504,0)),"미매핑"))</f>
        <v/>
      </c>
      <c r="X430" s="9">
        <f>IF($A430="","",$F430&amp;"")</f>
        <v/>
      </c>
    </row>
    <row r="431">
      <c r="A431" s="75" t="n">
        <v>2025</v>
      </c>
      <c r="B431" s="75" t="n">
        <v>3</v>
      </c>
      <c r="C431" s="75" t="inlineStr">
        <is>
          <t>5100000427</t>
        </is>
      </c>
      <c r="D431" s="78" t="n">
        <v>45721</v>
      </c>
      <c r="E431" s="75" t="inlineStr">
        <is>
          <t>KR</t>
        </is>
      </c>
      <c r="F431" s="75" t="n">
        <v>63101000</v>
      </c>
      <c r="G431" s="75" t="n">
        <v>1602</v>
      </c>
      <c r="H431" s="76" t="n">
        <v>2900000</v>
      </c>
      <c r="I431" s="75" t="inlineStr">
        <is>
          <t>3월 사무실 임차료 - BB부동산</t>
        </is>
      </c>
      <c r="J431" s="75" t="inlineStr">
        <is>
          <t>V10024</t>
        </is>
      </c>
      <c r="K431" s="75" t="inlineStr">
        <is>
          <t>BB부동산</t>
        </is>
      </c>
      <c r="M431" s="9">
        <f>IF($A431="","",VALUE($A431&amp;"")*12+VALUE($B431&amp;""))</f>
        <v/>
      </c>
      <c r="N431" s="39">
        <f>IF($A431="","",IFERROR(INDEX(부서매핑!$C$5:$C$504,MATCH($G431&amp;"",부서매핑!$A$5:$A$504,0)),"미매핑"))</f>
        <v/>
      </c>
      <c r="O431" s="9">
        <f>IF($A431="","",N431&amp;"|"&amp;$F431)</f>
        <v/>
      </c>
      <c r="P431" s="77">
        <f>IF($A431="",0,$H431*설정!$C$23)</f>
        <v/>
      </c>
      <c r="Q431" s="39">
        <f>IF($A431="","",IF(O431&lt;&gt;원인분석!$C$9,"",IF(AND(M431&gt;=원인분석!$C$10,M431&lt;=원인분석!$C$11),"당기",IF(AND(M431&gt;=원인분석!$C$12,M431&lt;=원인분석!$C$13),"비교",""))))</f>
        <v/>
      </c>
      <c r="R431" s="9">
        <f>IF(Q431="","",$K431&amp;"")</f>
        <v/>
      </c>
      <c r="S431" s="9">
        <f>IF(Q431="","",IF(MATCH(R431,$R$5:$R$100000,0)=ROW()-4,ROW(),""))</f>
        <v/>
      </c>
      <c r="T431" s="9">
        <f>IF(Q431="당기",ABS(P431)+ROW()/1000000000,"")</f>
        <v/>
      </c>
      <c r="U431" s="9">
        <f>IF(Q431="비교",ABS(P431)+ROW()/1000000000,"")</f>
        <v/>
      </c>
      <c r="V431" s="39">
        <f>IF($A431="","",IF(COUNTIF(변동분석!$E$7:$E$506,O431)&gt;0,"Y","N"))</f>
        <v/>
      </c>
      <c r="W431" s="39">
        <f>IF($A431="","",IFERROR(INDEX(계정매핑!$D$5:$D$504,MATCH($F431&amp;"",계정매핑!$A$5:$A$504,0)),"미매핑"))</f>
        <v/>
      </c>
      <c r="X431" s="9">
        <f>IF($A431="","",$F431&amp;"")</f>
        <v/>
      </c>
    </row>
    <row r="432">
      <c r="A432" s="75" t="n">
        <v>2025</v>
      </c>
      <c r="B432" s="75" t="n">
        <v>3</v>
      </c>
      <c r="C432" s="75" t="inlineStr">
        <is>
          <t>5100000428</t>
        </is>
      </c>
      <c r="D432" s="78" t="n">
        <v>45722</v>
      </c>
      <c r="E432" s="75" t="inlineStr">
        <is>
          <t>KR</t>
        </is>
      </c>
      <c r="F432" s="75" t="n">
        <v>62101000</v>
      </c>
      <c r="G432" s="75" t="n">
        <v>1501</v>
      </c>
      <c r="H432" s="76" t="n">
        <v>482000</v>
      </c>
      <c r="I432" s="75" t="inlineStr">
        <is>
          <t>3월 국내출장 - L여행사</t>
        </is>
      </c>
      <c r="J432" s="75" t="inlineStr">
        <is>
          <t>V10014</t>
        </is>
      </c>
      <c r="K432" s="75" t="inlineStr">
        <is>
          <t>L여행사</t>
        </is>
      </c>
      <c r="M432" s="9">
        <f>IF($A432="","",VALUE($A432&amp;"")*12+VALUE($B432&amp;""))</f>
        <v/>
      </c>
      <c r="N432" s="39">
        <f>IF($A432="","",IFERROR(INDEX(부서매핑!$C$5:$C$504,MATCH($G432&amp;"",부서매핑!$A$5:$A$504,0)),"미매핑"))</f>
        <v/>
      </c>
      <c r="O432" s="9">
        <f>IF($A432="","",N432&amp;"|"&amp;$F432)</f>
        <v/>
      </c>
      <c r="P432" s="77">
        <f>IF($A432="",0,$H432*설정!$C$23)</f>
        <v/>
      </c>
      <c r="Q432" s="39">
        <f>IF($A432="","",IF(O432&lt;&gt;원인분석!$C$9,"",IF(AND(M432&gt;=원인분석!$C$10,M432&lt;=원인분석!$C$11),"당기",IF(AND(M432&gt;=원인분석!$C$12,M432&lt;=원인분석!$C$13),"비교",""))))</f>
        <v/>
      </c>
      <c r="R432" s="9">
        <f>IF(Q432="","",$K432&amp;"")</f>
        <v/>
      </c>
      <c r="S432" s="9">
        <f>IF(Q432="","",IF(MATCH(R432,$R$5:$R$100000,0)=ROW()-4,ROW(),""))</f>
        <v/>
      </c>
      <c r="T432" s="9">
        <f>IF(Q432="당기",ABS(P432)+ROW()/1000000000,"")</f>
        <v/>
      </c>
      <c r="U432" s="9">
        <f>IF(Q432="비교",ABS(P432)+ROW()/1000000000,"")</f>
        <v/>
      </c>
      <c r="V432" s="39">
        <f>IF($A432="","",IF(COUNTIF(변동분석!$E$7:$E$506,O432)&gt;0,"Y","N"))</f>
        <v/>
      </c>
      <c r="W432" s="39">
        <f>IF($A432="","",IFERROR(INDEX(계정매핑!$D$5:$D$504,MATCH($F432&amp;"",계정매핑!$A$5:$A$504,0)),"미매핑"))</f>
        <v/>
      </c>
      <c r="X432" s="9">
        <f>IF($A432="","",$F432&amp;"")</f>
        <v/>
      </c>
    </row>
    <row r="433">
      <c r="A433" s="75" t="n">
        <v>2025</v>
      </c>
      <c r="B433" s="75" t="n">
        <v>3</v>
      </c>
      <c r="C433" s="75" t="inlineStr">
        <is>
          <t>5100000429</t>
        </is>
      </c>
      <c r="D433" s="78" t="n">
        <v>45722</v>
      </c>
      <c r="E433" s="75" t="inlineStr">
        <is>
          <t>KR</t>
        </is>
      </c>
      <c r="F433" s="75" t="n">
        <v>62102000</v>
      </c>
      <c r="G433" s="75" t="n">
        <v>1101</v>
      </c>
      <c r="H433" s="76" t="n">
        <v>117000</v>
      </c>
      <c r="I433" s="75" t="inlineStr">
        <is>
          <t>3월 해외출장 - N호텔</t>
        </is>
      </c>
      <c r="J433" s="75" t="inlineStr">
        <is>
          <t>V10007</t>
        </is>
      </c>
      <c r="K433" s="75" t="inlineStr">
        <is>
          <t>N호텔</t>
        </is>
      </c>
      <c r="M433" s="9">
        <f>IF($A433="","",VALUE($A433&amp;"")*12+VALUE($B433&amp;""))</f>
        <v/>
      </c>
      <c r="N433" s="39">
        <f>IF($A433="","",IFERROR(INDEX(부서매핑!$C$5:$C$504,MATCH($G433&amp;"",부서매핑!$A$5:$A$504,0)),"미매핑"))</f>
        <v/>
      </c>
      <c r="O433" s="9">
        <f>IF($A433="","",N433&amp;"|"&amp;$F433)</f>
        <v/>
      </c>
      <c r="P433" s="77">
        <f>IF($A433="",0,$H433*설정!$C$23)</f>
        <v/>
      </c>
      <c r="Q433" s="39">
        <f>IF($A433="","",IF(O433&lt;&gt;원인분석!$C$9,"",IF(AND(M433&gt;=원인분석!$C$10,M433&lt;=원인분석!$C$11),"당기",IF(AND(M433&gt;=원인분석!$C$12,M433&lt;=원인분석!$C$13),"비교",""))))</f>
        <v/>
      </c>
      <c r="R433" s="9">
        <f>IF(Q433="","",$K433&amp;"")</f>
        <v/>
      </c>
      <c r="S433" s="9">
        <f>IF(Q433="","",IF(MATCH(R433,$R$5:$R$100000,0)=ROW()-4,ROW(),""))</f>
        <v/>
      </c>
      <c r="T433" s="9">
        <f>IF(Q433="당기",ABS(P433)+ROW()/1000000000,"")</f>
        <v/>
      </c>
      <c r="U433" s="9">
        <f>IF(Q433="비교",ABS(P433)+ROW()/1000000000,"")</f>
        <v/>
      </c>
      <c r="V433" s="39">
        <f>IF($A433="","",IF(COUNTIF(변동분석!$E$7:$E$506,O433)&gt;0,"Y","N"))</f>
        <v/>
      </c>
      <c r="W433" s="39">
        <f>IF($A433="","",IFERROR(INDEX(계정매핑!$D$5:$D$504,MATCH($F433&amp;"",계정매핑!$A$5:$A$504,0)),"미매핑"))</f>
        <v/>
      </c>
      <c r="X433" s="9">
        <f>IF($A433="","",$F433&amp;"")</f>
        <v/>
      </c>
    </row>
    <row r="434">
      <c r="A434" s="75" t="n">
        <v>2025</v>
      </c>
      <c r="B434" s="75" t="n">
        <v>3</v>
      </c>
      <c r="C434" s="75" t="inlineStr">
        <is>
          <t>5100000430</t>
        </is>
      </c>
      <c r="D434" s="78" t="n">
        <v>45722</v>
      </c>
      <c r="E434" s="75" t="inlineStr">
        <is>
          <t>KR</t>
        </is>
      </c>
      <c r="F434" s="75" t="n">
        <v>62301000</v>
      </c>
      <c r="G434" s="75" t="n">
        <v>1101</v>
      </c>
      <c r="H434" s="76" t="n">
        <v>182000</v>
      </c>
      <c r="I434" s="75" t="inlineStr">
        <is>
          <t>3월 소모품 구입 - Q오피스</t>
        </is>
      </c>
      <c r="J434" s="75" t="inlineStr">
        <is>
          <t>V10003</t>
        </is>
      </c>
      <c r="K434" s="75" t="inlineStr">
        <is>
          <t>Q오피스</t>
        </is>
      </c>
      <c r="M434" s="9">
        <f>IF($A434="","",VALUE($A434&amp;"")*12+VALUE($B434&amp;""))</f>
        <v/>
      </c>
      <c r="N434" s="39">
        <f>IF($A434="","",IFERROR(INDEX(부서매핑!$C$5:$C$504,MATCH($G434&amp;"",부서매핑!$A$5:$A$504,0)),"미매핑"))</f>
        <v/>
      </c>
      <c r="O434" s="9">
        <f>IF($A434="","",N434&amp;"|"&amp;$F434)</f>
        <v/>
      </c>
      <c r="P434" s="77">
        <f>IF($A434="",0,$H434*설정!$C$23)</f>
        <v/>
      </c>
      <c r="Q434" s="39">
        <f>IF($A434="","",IF(O434&lt;&gt;원인분석!$C$9,"",IF(AND(M434&gt;=원인분석!$C$10,M434&lt;=원인분석!$C$11),"당기",IF(AND(M434&gt;=원인분석!$C$12,M434&lt;=원인분석!$C$13),"비교",""))))</f>
        <v/>
      </c>
      <c r="R434" s="9">
        <f>IF(Q434="","",$K434&amp;"")</f>
        <v/>
      </c>
      <c r="S434" s="9">
        <f>IF(Q434="","",IF(MATCH(R434,$R$5:$R$100000,0)=ROW()-4,ROW(),""))</f>
        <v/>
      </c>
      <c r="T434" s="9">
        <f>IF(Q434="당기",ABS(P434)+ROW()/1000000000,"")</f>
        <v/>
      </c>
      <c r="U434" s="9">
        <f>IF(Q434="비교",ABS(P434)+ROW()/1000000000,"")</f>
        <v/>
      </c>
      <c r="V434" s="39">
        <f>IF($A434="","",IF(COUNTIF(변동분석!$E$7:$E$506,O434)&gt;0,"Y","N"))</f>
        <v/>
      </c>
      <c r="W434" s="39">
        <f>IF($A434="","",IFERROR(INDEX(계정매핑!$D$5:$D$504,MATCH($F434&amp;"",계정매핑!$A$5:$A$504,0)),"미매핑"))</f>
        <v/>
      </c>
      <c r="X434" s="9">
        <f>IF($A434="","",$F434&amp;"")</f>
        <v/>
      </c>
    </row>
    <row r="435">
      <c r="A435" s="75" t="n">
        <v>2025</v>
      </c>
      <c r="B435" s="75" t="n">
        <v>3</v>
      </c>
      <c r="C435" s="75" t="inlineStr">
        <is>
          <t>5100000431</t>
        </is>
      </c>
      <c r="D435" s="78" t="n">
        <v>45722</v>
      </c>
      <c r="E435" s="75" t="inlineStr">
        <is>
          <t>KR</t>
        </is>
      </c>
      <c r="F435" s="75" t="n">
        <v>62301000</v>
      </c>
      <c r="G435" s="75" t="n">
        <v>1301</v>
      </c>
      <c r="H435" s="76" t="n">
        <v>132000</v>
      </c>
      <c r="I435" s="75" t="inlineStr">
        <is>
          <t>3월 소모품 구입 - R문구</t>
        </is>
      </c>
      <c r="J435" s="75" t="inlineStr">
        <is>
          <t>V10018</t>
        </is>
      </c>
      <c r="K435" s="75" t="inlineStr">
        <is>
          <t>R문구</t>
        </is>
      </c>
      <c r="M435" s="9">
        <f>IF($A435="","",VALUE($A435&amp;"")*12+VALUE($B435&amp;""))</f>
        <v/>
      </c>
      <c r="N435" s="39">
        <f>IF($A435="","",IFERROR(INDEX(부서매핑!$C$5:$C$504,MATCH($G435&amp;"",부서매핑!$A$5:$A$504,0)),"미매핑"))</f>
        <v/>
      </c>
      <c r="O435" s="9">
        <f>IF($A435="","",N435&amp;"|"&amp;$F435)</f>
        <v/>
      </c>
      <c r="P435" s="77">
        <f>IF($A435="",0,$H435*설정!$C$23)</f>
        <v/>
      </c>
      <c r="Q435" s="39">
        <f>IF($A435="","",IF(O435&lt;&gt;원인분석!$C$9,"",IF(AND(M435&gt;=원인분석!$C$10,M435&lt;=원인분석!$C$11),"당기",IF(AND(M435&gt;=원인분석!$C$12,M435&lt;=원인분석!$C$13),"비교",""))))</f>
        <v/>
      </c>
      <c r="R435" s="9">
        <f>IF(Q435="","",$K435&amp;"")</f>
        <v/>
      </c>
      <c r="S435" s="9">
        <f>IF(Q435="","",IF(MATCH(R435,$R$5:$R$100000,0)=ROW()-4,ROW(),""))</f>
        <v/>
      </c>
      <c r="T435" s="9">
        <f>IF(Q435="당기",ABS(P435)+ROW()/1000000000,"")</f>
        <v/>
      </c>
      <c r="U435" s="9">
        <f>IF(Q435="비교",ABS(P435)+ROW()/1000000000,"")</f>
        <v/>
      </c>
      <c r="V435" s="39">
        <f>IF($A435="","",IF(COUNTIF(변동분석!$E$7:$E$506,O435)&gt;0,"Y","N"))</f>
        <v/>
      </c>
      <c r="W435" s="39">
        <f>IF($A435="","",IFERROR(INDEX(계정매핑!$D$5:$D$504,MATCH($F435&amp;"",계정매핑!$A$5:$A$504,0)),"미매핑"))</f>
        <v/>
      </c>
      <c r="X435" s="9">
        <f>IF($A435="","",$F435&amp;"")</f>
        <v/>
      </c>
    </row>
    <row r="436">
      <c r="A436" s="75" t="n">
        <v>2025</v>
      </c>
      <c r="B436" s="75" t="n">
        <v>3</v>
      </c>
      <c r="C436" s="75" t="inlineStr">
        <is>
          <t>5100000432</t>
        </is>
      </c>
      <c r="D436" s="78" t="n">
        <v>45722</v>
      </c>
      <c r="E436" s="75" t="inlineStr">
        <is>
          <t>KR</t>
        </is>
      </c>
      <c r="F436" s="75" t="n">
        <v>62501000</v>
      </c>
      <c r="G436" s="75" t="n">
        <v>1401</v>
      </c>
      <c r="H436" s="76" t="n">
        <v>167000</v>
      </c>
      <c r="I436" s="75" t="inlineStr">
        <is>
          <t>3월 회의 다과 - T케이터링</t>
        </is>
      </c>
      <c r="J436" s="75" t="inlineStr">
        <is>
          <t>V10005</t>
        </is>
      </c>
      <c r="K436" s="75" t="inlineStr">
        <is>
          <t>T케이터링</t>
        </is>
      </c>
      <c r="M436" s="9">
        <f>IF($A436="","",VALUE($A436&amp;"")*12+VALUE($B436&amp;""))</f>
        <v/>
      </c>
      <c r="N436" s="39">
        <f>IF($A436="","",IFERROR(INDEX(부서매핑!$C$5:$C$504,MATCH($G436&amp;"",부서매핑!$A$5:$A$504,0)),"미매핑"))</f>
        <v/>
      </c>
      <c r="O436" s="9">
        <f>IF($A436="","",N436&amp;"|"&amp;$F436)</f>
        <v/>
      </c>
      <c r="P436" s="77">
        <f>IF($A436="",0,$H436*설정!$C$23)</f>
        <v/>
      </c>
      <c r="Q436" s="39">
        <f>IF($A436="","",IF(O436&lt;&gt;원인분석!$C$9,"",IF(AND(M436&gt;=원인분석!$C$10,M436&lt;=원인분석!$C$11),"당기",IF(AND(M436&gt;=원인분석!$C$12,M436&lt;=원인분석!$C$13),"비교",""))))</f>
        <v/>
      </c>
      <c r="R436" s="9">
        <f>IF(Q436="","",$K436&amp;"")</f>
        <v/>
      </c>
      <c r="S436" s="9">
        <f>IF(Q436="","",IF(MATCH(R436,$R$5:$R$100000,0)=ROW()-4,ROW(),""))</f>
        <v/>
      </c>
      <c r="T436" s="9">
        <f>IF(Q436="당기",ABS(P436)+ROW()/1000000000,"")</f>
        <v/>
      </c>
      <c r="U436" s="9">
        <f>IF(Q436="비교",ABS(P436)+ROW()/1000000000,"")</f>
        <v/>
      </c>
      <c r="V436" s="39">
        <f>IF($A436="","",IF(COUNTIF(변동분석!$E$7:$E$506,O436)&gt;0,"Y","N"))</f>
        <v/>
      </c>
      <c r="W436" s="39">
        <f>IF($A436="","",IFERROR(INDEX(계정매핑!$D$5:$D$504,MATCH($F436&amp;"",계정매핑!$A$5:$A$504,0)),"미매핑"))</f>
        <v/>
      </c>
      <c r="X436" s="9">
        <f>IF($A436="","",$F436&amp;"")</f>
        <v/>
      </c>
    </row>
    <row r="437">
      <c r="A437" s="75" t="n">
        <v>2025</v>
      </c>
      <c r="B437" s="75" t="n">
        <v>3</v>
      </c>
      <c r="C437" s="75" t="inlineStr">
        <is>
          <t>5100000433</t>
        </is>
      </c>
      <c r="D437" s="78" t="n">
        <v>45722</v>
      </c>
      <c r="E437" s="75" t="inlineStr">
        <is>
          <t>KR</t>
        </is>
      </c>
      <c r="F437" s="75" t="n">
        <v>62501000</v>
      </c>
      <c r="G437" s="75" t="n">
        <v>1601</v>
      </c>
      <c r="H437" s="76" t="n">
        <v>339000</v>
      </c>
      <c r="I437" s="75" t="inlineStr">
        <is>
          <t>3월 회의 다과 - T케이터링</t>
        </is>
      </c>
      <c r="J437" s="75" t="inlineStr">
        <is>
          <t>V10005</t>
        </is>
      </c>
      <c r="K437" s="75" t="inlineStr">
        <is>
          <t>T케이터링</t>
        </is>
      </c>
      <c r="M437" s="9">
        <f>IF($A437="","",VALUE($A437&amp;"")*12+VALUE($B437&amp;""))</f>
        <v/>
      </c>
      <c r="N437" s="39">
        <f>IF($A437="","",IFERROR(INDEX(부서매핑!$C$5:$C$504,MATCH($G437&amp;"",부서매핑!$A$5:$A$504,0)),"미매핑"))</f>
        <v/>
      </c>
      <c r="O437" s="9">
        <f>IF($A437="","",N437&amp;"|"&amp;$F437)</f>
        <v/>
      </c>
      <c r="P437" s="77">
        <f>IF($A437="",0,$H437*설정!$C$23)</f>
        <v/>
      </c>
      <c r="Q437" s="39">
        <f>IF($A437="","",IF(O437&lt;&gt;원인분석!$C$9,"",IF(AND(M437&gt;=원인분석!$C$10,M437&lt;=원인분석!$C$11),"당기",IF(AND(M437&gt;=원인분석!$C$12,M437&lt;=원인분석!$C$13),"비교",""))))</f>
        <v/>
      </c>
      <c r="R437" s="9">
        <f>IF(Q437="","",$K437&amp;"")</f>
        <v/>
      </c>
      <c r="S437" s="9">
        <f>IF(Q437="","",IF(MATCH(R437,$R$5:$R$100000,0)=ROW()-4,ROW(),""))</f>
        <v/>
      </c>
      <c r="T437" s="9">
        <f>IF(Q437="당기",ABS(P437)+ROW()/1000000000,"")</f>
        <v/>
      </c>
      <c r="U437" s="9">
        <f>IF(Q437="비교",ABS(P437)+ROW()/1000000000,"")</f>
        <v/>
      </c>
      <c r="V437" s="39">
        <f>IF($A437="","",IF(COUNTIF(변동분석!$E$7:$E$506,O437)&gt;0,"Y","N"))</f>
        <v/>
      </c>
      <c r="W437" s="39">
        <f>IF($A437="","",IFERROR(INDEX(계정매핑!$D$5:$D$504,MATCH($F437&amp;"",계정매핑!$A$5:$A$504,0)),"미매핑"))</f>
        <v/>
      </c>
      <c r="X437" s="9">
        <f>IF($A437="","",$F437&amp;"")</f>
        <v/>
      </c>
    </row>
    <row r="438">
      <c r="A438" s="75" t="n">
        <v>2025</v>
      </c>
      <c r="B438" s="75" t="n">
        <v>3</v>
      </c>
      <c r="C438" s="75" t="inlineStr">
        <is>
          <t>5100000434</t>
        </is>
      </c>
      <c r="D438" s="78" t="n">
        <v>45722</v>
      </c>
      <c r="E438" s="75" t="inlineStr">
        <is>
          <t>KR</t>
        </is>
      </c>
      <c r="F438" s="75" t="n">
        <v>62501000</v>
      </c>
      <c r="G438" s="75" t="n">
        <v>1701</v>
      </c>
      <c r="H438" s="76" t="n">
        <v>216000</v>
      </c>
      <c r="I438" s="75" t="inlineStr">
        <is>
          <t>3월 회의 다과 - (법인카드)</t>
        </is>
      </c>
      <c r="J438" s="75" t="inlineStr">
        <is>
          <t>V10008</t>
        </is>
      </c>
      <c r="K438" s="75" t="inlineStr">
        <is>
          <t>(법인카드)</t>
        </is>
      </c>
      <c r="M438" s="9">
        <f>IF($A438="","",VALUE($A438&amp;"")*12+VALUE($B438&amp;""))</f>
        <v/>
      </c>
      <c r="N438" s="39">
        <f>IF($A438="","",IFERROR(INDEX(부서매핑!$C$5:$C$504,MATCH($G438&amp;"",부서매핑!$A$5:$A$504,0)),"미매핑"))</f>
        <v/>
      </c>
      <c r="O438" s="9">
        <f>IF($A438="","",N438&amp;"|"&amp;$F438)</f>
        <v/>
      </c>
      <c r="P438" s="77">
        <f>IF($A438="",0,$H438*설정!$C$23)</f>
        <v/>
      </c>
      <c r="Q438" s="39">
        <f>IF($A438="","",IF(O438&lt;&gt;원인분석!$C$9,"",IF(AND(M438&gt;=원인분석!$C$10,M438&lt;=원인분석!$C$11),"당기",IF(AND(M438&gt;=원인분석!$C$12,M438&lt;=원인분석!$C$13),"비교",""))))</f>
        <v/>
      </c>
      <c r="R438" s="9">
        <f>IF(Q438="","",$K438&amp;"")</f>
        <v/>
      </c>
      <c r="S438" s="9">
        <f>IF(Q438="","",IF(MATCH(R438,$R$5:$R$100000,0)=ROW()-4,ROW(),""))</f>
        <v/>
      </c>
      <c r="T438" s="9">
        <f>IF(Q438="당기",ABS(P438)+ROW()/1000000000,"")</f>
        <v/>
      </c>
      <c r="U438" s="9">
        <f>IF(Q438="비교",ABS(P438)+ROW()/1000000000,"")</f>
        <v/>
      </c>
      <c r="V438" s="39">
        <f>IF($A438="","",IF(COUNTIF(변동분석!$E$7:$E$506,O438)&gt;0,"Y","N"))</f>
        <v/>
      </c>
      <c r="W438" s="39">
        <f>IF($A438="","",IFERROR(INDEX(계정매핑!$D$5:$D$504,MATCH($F438&amp;"",계정매핑!$A$5:$A$504,0)),"미매핑"))</f>
        <v/>
      </c>
      <c r="X438" s="9">
        <f>IF($A438="","",$F438&amp;"")</f>
        <v/>
      </c>
    </row>
    <row r="439">
      <c r="A439" s="75" t="n">
        <v>2025</v>
      </c>
      <c r="B439" s="75" t="n">
        <v>3</v>
      </c>
      <c r="C439" s="75" t="inlineStr">
        <is>
          <t>5100000435</t>
        </is>
      </c>
      <c r="D439" s="78" t="n">
        <v>45722</v>
      </c>
      <c r="E439" s="75" t="inlineStr">
        <is>
          <t>KR</t>
        </is>
      </c>
      <c r="F439" s="75" t="n">
        <v>62501000</v>
      </c>
      <c r="G439" s="75" t="n">
        <v>1801</v>
      </c>
      <c r="H439" s="76" t="n">
        <v>129000</v>
      </c>
      <c r="I439" s="75" t="inlineStr">
        <is>
          <t>3월 회의 다과 - T케이터링</t>
        </is>
      </c>
      <c r="J439" s="75" t="inlineStr">
        <is>
          <t>V10005</t>
        </is>
      </c>
      <c r="K439" s="75" t="inlineStr">
        <is>
          <t>T케이터링</t>
        </is>
      </c>
      <c r="M439" s="9">
        <f>IF($A439="","",VALUE($A439&amp;"")*12+VALUE($B439&amp;""))</f>
        <v/>
      </c>
      <c r="N439" s="39">
        <f>IF($A439="","",IFERROR(INDEX(부서매핑!$C$5:$C$504,MATCH($G439&amp;"",부서매핑!$A$5:$A$504,0)),"미매핑"))</f>
        <v/>
      </c>
      <c r="O439" s="9">
        <f>IF($A439="","",N439&amp;"|"&amp;$F439)</f>
        <v/>
      </c>
      <c r="P439" s="77">
        <f>IF($A439="",0,$H439*설정!$C$23)</f>
        <v/>
      </c>
      <c r="Q439" s="39">
        <f>IF($A439="","",IF(O439&lt;&gt;원인분석!$C$9,"",IF(AND(M439&gt;=원인분석!$C$10,M439&lt;=원인분석!$C$11),"당기",IF(AND(M439&gt;=원인분석!$C$12,M439&lt;=원인분석!$C$13),"비교",""))))</f>
        <v/>
      </c>
      <c r="R439" s="9">
        <f>IF(Q439="","",$K439&amp;"")</f>
        <v/>
      </c>
      <c r="S439" s="9">
        <f>IF(Q439="","",IF(MATCH(R439,$R$5:$R$100000,0)=ROW()-4,ROW(),""))</f>
        <v/>
      </c>
      <c r="T439" s="9">
        <f>IF(Q439="당기",ABS(P439)+ROW()/1000000000,"")</f>
        <v/>
      </c>
      <c r="U439" s="9">
        <f>IF(Q439="비교",ABS(P439)+ROW()/1000000000,"")</f>
        <v/>
      </c>
      <c r="V439" s="39">
        <f>IF($A439="","",IF(COUNTIF(변동분석!$E$7:$E$506,O439)&gt;0,"Y","N"))</f>
        <v/>
      </c>
      <c r="W439" s="39">
        <f>IF($A439="","",IFERROR(INDEX(계정매핑!$D$5:$D$504,MATCH($F439&amp;"",계정매핑!$A$5:$A$504,0)),"미매핑"))</f>
        <v/>
      </c>
      <c r="X439" s="9">
        <f>IF($A439="","",$F439&amp;"")</f>
        <v/>
      </c>
    </row>
    <row r="440">
      <c r="A440" s="75" t="n">
        <v>2025</v>
      </c>
      <c r="B440" s="75" t="n">
        <v>3</v>
      </c>
      <c r="C440" s="75" t="inlineStr">
        <is>
          <t>5100000436</t>
        </is>
      </c>
      <c r="D440" s="78" t="n">
        <v>45722</v>
      </c>
      <c r="E440" s="75" t="inlineStr">
        <is>
          <t>KR</t>
        </is>
      </c>
      <c r="F440" s="75" t="n">
        <v>62601000</v>
      </c>
      <c r="G440" s="75" t="n">
        <v>1602</v>
      </c>
      <c r="H440" s="76" t="n">
        <v>1663000</v>
      </c>
      <c r="I440" s="75" t="inlineStr">
        <is>
          <t>3월 업무추진 - (법인카드)</t>
        </is>
      </c>
      <c r="J440" s="75" t="inlineStr">
        <is>
          <t>V10008</t>
        </is>
      </c>
      <c r="K440" s="75" t="inlineStr">
        <is>
          <t>(법인카드)</t>
        </is>
      </c>
      <c r="M440" s="9">
        <f>IF($A440="","",VALUE($A440&amp;"")*12+VALUE($B440&amp;""))</f>
        <v/>
      </c>
      <c r="N440" s="39">
        <f>IF($A440="","",IFERROR(INDEX(부서매핑!$C$5:$C$504,MATCH($G440&amp;"",부서매핑!$A$5:$A$504,0)),"미매핑"))</f>
        <v/>
      </c>
      <c r="O440" s="9">
        <f>IF($A440="","",N440&amp;"|"&amp;$F440)</f>
        <v/>
      </c>
      <c r="P440" s="77">
        <f>IF($A440="",0,$H440*설정!$C$23)</f>
        <v/>
      </c>
      <c r="Q440" s="39">
        <f>IF($A440="","",IF(O440&lt;&gt;원인분석!$C$9,"",IF(AND(M440&gt;=원인분석!$C$10,M440&lt;=원인분석!$C$11),"당기",IF(AND(M440&gt;=원인분석!$C$12,M440&lt;=원인분석!$C$13),"비교",""))))</f>
        <v/>
      </c>
      <c r="R440" s="9">
        <f>IF(Q440="","",$K440&amp;"")</f>
        <v/>
      </c>
      <c r="S440" s="9">
        <f>IF(Q440="","",IF(MATCH(R440,$R$5:$R$100000,0)=ROW()-4,ROW(),""))</f>
        <v/>
      </c>
      <c r="T440" s="9">
        <f>IF(Q440="당기",ABS(P440)+ROW()/1000000000,"")</f>
        <v/>
      </c>
      <c r="U440" s="9">
        <f>IF(Q440="비교",ABS(P440)+ROW()/1000000000,"")</f>
        <v/>
      </c>
      <c r="V440" s="39">
        <f>IF($A440="","",IF(COUNTIF(변동분석!$E$7:$E$506,O440)&gt;0,"Y","N"))</f>
        <v/>
      </c>
      <c r="W440" s="39">
        <f>IF($A440="","",IFERROR(INDEX(계정매핑!$D$5:$D$504,MATCH($F440&amp;"",계정매핑!$A$5:$A$504,0)),"미매핑"))</f>
        <v/>
      </c>
      <c r="X440" s="9">
        <f>IF($A440="","",$F440&amp;"")</f>
        <v/>
      </c>
    </row>
    <row r="441">
      <c r="A441" s="75" t="n">
        <v>2025</v>
      </c>
      <c r="B441" s="75" t="n">
        <v>3</v>
      </c>
      <c r="C441" s="75" t="inlineStr">
        <is>
          <t>5100000437</t>
        </is>
      </c>
      <c r="D441" s="78" t="n">
        <v>45722</v>
      </c>
      <c r="E441" s="75" t="inlineStr">
        <is>
          <t>KR</t>
        </is>
      </c>
      <c r="F441" s="75" t="n">
        <v>62902000</v>
      </c>
      <c r="G441" s="75" t="n">
        <v>1401</v>
      </c>
      <c r="H441" s="76" t="n">
        <v>1655000</v>
      </c>
      <c r="I441" s="75" t="inlineStr">
        <is>
          <t>3월 업무 위탁 수수료 - J콜센터</t>
        </is>
      </c>
      <c r="J441" s="75" t="inlineStr">
        <is>
          <t>V10013</t>
        </is>
      </c>
      <c r="K441" s="75" t="inlineStr">
        <is>
          <t>J콜센터</t>
        </is>
      </c>
      <c r="M441" s="9">
        <f>IF($A441="","",VALUE($A441&amp;"")*12+VALUE($B441&amp;""))</f>
        <v/>
      </c>
      <c r="N441" s="39">
        <f>IF($A441="","",IFERROR(INDEX(부서매핑!$C$5:$C$504,MATCH($G441&amp;"",부서매핑!$A$5:$A$504,0)),"미매핑"))</f>
        <v/>
      </c>
      <c r="O441" s="9">
        <f>IF($A441="","",N441&amp;"|"&amp;$F441)</f>
        <v/>
      </c>
      <c r="P441" s="77">
        <f>IF($A441="",0,$H441*설정!$C$23)</f>
        <v/>
      </c>
      <c r="Q441" s="39">
        <f>IF($A441="","",IF(O441&lt;&gt;원인분석!$C$9,"",IF(AND(M441&gt;=원인분석!$C$10,M441&lt;=원인분석!$C$11),"당기",IF(AND(M441&gt;=원인분석!$C$12,M441&lt;=원인분석!$C$13),"비교",""))))</f>
        <v/>
      </c>
      <c r="R441" s="9">
        <f>IF(Q441="","",$K441&amp;"")</f>
        <v/>
      </c>
      <c r="S441" s="9">
        <f>IF(Q441="","",IF(MATCH(R441,$R$5:$R$100000,0)=ROW()-4,ROW(),""))</f>
        <v/>
      </c>
      <c r="T441" s="9">
        <f>IF(Q441="당기",ABS(P441)+ROW()/1000000000,"")</f>
        <v/>
      </c>
      <c r="U441" s="9">
        <f>IF(Q441="비교",ABS(P441)+ROW()/1000000000,"")</f>
        <v/>
      </c>
      <c r="V441" s="39">
        <f>IF($A441="","",IF(COUNTIF(변동분석!$E$7:$E$506,O441)&gt;0,"Y","N"))</f>
        <v/>
      </c>
      <c r="W441" s="39">
        <f>IF($A441="","",IFERROR(INDEX(계정매핑!$D$5:$D$504,MATCH($F441&amp;"",계정매핑!$A$5:$A$504,0)),"미매핑"))</f>
        <v/>
      </c>
      <c r="X441" s="9">
        <f>IF($A441="","",$F441&amp;"")</f>
        <v/>
      </c>
    </row>
    <row r="442">
      <c r="A442" s="75" t="n">
        <v>2025</v>
      </c>
      <c r="B442" s="75" t="n">
        <v>3</v>
      </c>
      <c r="C442" s="75" t="inlineStr">
        <is>
          <t>5100000438</t>
        </is>
      </c>
      <c r="D442" s="78" t="n">
        <v>45722</v>
      </c>
      <c r="E442" s="75" t="inlineStr">
        <is>
          <t>KR</t>
        </is>
      </c>
      <c r="F442" s="75" t="n">
        <v>62902000</v>
      </c>
      <c r="G442" s="75" t="n">
        <v>1801</v>
      </c>
      <c r="H442" s="76" t="n">
        <v>1802000</v>
      </c>
      <c r="I442" s="75" t="inlineStr">
        <is>
          <t>3월 콜 위탁 수수료(건별)</t>
        </is>
      </c>
      <c r="J442" s="75" t="inlineStr">
        <is>
          <t>V10013</t>
        </is>
      </c>
      <c r="K442" s="75" t="inlineStr">
        <is>
          <t>J콜센터</t>
        </is>
      </c>
      <c r="M442" s="9">
        <f>IF($A442="","",VALUE($A442&amp;"")*12+VALUE($B442&amp;""))</f>
        <v/>
      </c>
      <c r="N442" s="39">
        <f>IF($A442="","",IFERROR(INDEX(부서매핑!$C$5:$C$504,MATCH($G442&amp;"",부서매핑!$A$5:$A$504,0)),"미매핑"))</f>
        <v/>
      </c>
      <c r="O442" s="9">
        <f>IF($A442="","",N442&amp;"|"&amp;$F442)</f>
        <v/>
      </c>
      <c r="P442" s="77">
        <f>IF($A442="",0,$H442*설정!$C$23)</f>
        <v/>
      </c>
      <c r="Q442" s="39">
        <f>IF($A442="","",IF(O442&lt;&gt;원인분석!$C$9,"",IF(AND(M442&gt;=원인분석!$C$10,M442&lt;=원인분석!$C$11),"당기",IF(AND(M442&gt;=원인분석!$C$12,M442&lt;=원인분석!$C$13),"비교",""))))</f>
        <v/>
      </c>
      <c r="R442" s="9">
        <f>IF(Q442="","",$K442&amp;"")</f>
        <v/>
      </c>
      <c r="S442" s="9">
        <f>IF(Q442="","",IF(MATCH(R442,$R$5:$R$100000,0)=ROW()-4,ROW(),""))</f>
        <v/>
      </c>
      <c r="T442" s="9">
        <f>IF(Q442="당기",ABS(P442)+ROW()/1000000000,"")</f>
        <v/>
      </c>
      <c r="U442" s="9">
        <f>IF(Q442="비교",ABS(P442)+ROW()/1000000000,"")</f>
        <v/>
      </c>
      <c r="V442" s="39">
        <f>IF($A442="","",IF(COUNTIF(변동분석!$E$7:$E$506,O442)&gt;0,"Y","N"))</f>
        <v/>
      </c>
      <c r="W442" s="39">
        <f>IF($A442="","",IFERROR(INDEX(계정매핑!$D$5:$D$504,MATCH($F442&amp;"",계정매핑!$A$5:$A$504,0)),"미매핑"))</f>
        <v/>
      </c>
      <c r="X442" s="9">
        <f>IF($A442="","",$F442&amp;"")</f>
        <v/>
      </c>
    </row>
    <row r="443">
      <c r="A443" s="75" t="n">
        <v>2025</v>
      </c>
      <c r="B443" s="75" t="n">
        <v>3</v>
      </c>
      <c r="C443" s="75" t="inlineStr">
        <is>
          <t>5100000439</t>
        </is>
      </c>
      <c r="D443" s="78" t="n">
        <v>45723</v>
      </c>
      <c r="E443" s="75" t="inlineStr">
        <is>
          <t>KR</t>
        </is>
      </c>
      <c r="F443" s="75" t="n">
        <v>62101000</v>
      </c>
      <c r="G443" s="75" t="n">
        <v>1401</v>
      </c>
      <c r="H443" s="76" t="n">
        <v>471000</v>
      </c>
      <c r="I443" s="75" t="inlineStr">
        <is>
          <t>3월 국내출장 - (법인카드)</t>
        </is>
      </c>
      <c r="J443" s="75" t="inlineStr">
        <is>
          <t>V10008</t>
        </is>
      </c>
      <c r="K443" s="75" t="inlineStr">
        <is>
          <t>(법인카드)</t>
        </is>
      </c>
      <c r="M443" s="9">
        <f>IF($A443="","",VALUE($A443&amp;"")*12+VALUE($B443&amp;""))</f>
        <v/>
      </c>
      <c r="N443" s="39">
        <f>IF($A443="","",IFERROR(INDEX(부서매핑!$C$5:$C$504,MATCH($G443&amp;"",부서매핑!$A$5:$A$504,0)),"미매핑"))</f>
        <v/>
      </c>
      <c r="O443" s="9">
        <f>IF($A443="","",N443&amp;"|"&amp;$F443)</f>
        <v/>
      </c>
      <c r="P443" s="77">
        <f>IF($A443="",0,$H443*설정!$C$23)</f>
        <v/>
      </c>
      <c r="Q443" s="39">
        <f>IF($A443="","",IF(O443&lt;&gt;원인분석!$C$9,"",IF(AND(M443&gt;=원인분석!$C$10,M443&lt;=원인분석!$C$11),"당기",IF(AND(M443&gt;=원인분석!$C$12,M443&lt;=원인분석!$C$13),"비교",""))))</f>
        <v/>
      </c>
      <c r="R443" s="9">
        <f>IF(Q443="","",$K443&amp;"")</f>
        <v/>
      </c>
      <c r="S443" s="9">
        <f>IF(Q443="","",IF(MATCH(R443,$R$5:$R$100000,0)=ROW()-4,ROW(),""))</f>
        <v/>
      </c>
      <c r="T443" s="9">
        <f>IF(Q443="당기",ABS(P443)+ROW()/1000000000,"")</f>
        <v/>
      </c>
      <c r="U443" s="9">
        <f>IF(Q443="비교",ABS(P443)+ROW()/1000000000,"")</f>
        <v/>
      </c>
      <c r="V443" s="39">
        <f>IF($A443="","",IF(COUNTIF(변동분석!$E$7:$E$506,O443)&gt;0,"Y","N"))</f>
        <v/>
      </c>
      <c r="W443" s="39">
        <f>IF($A443="","",IFERROR(INDEX(계정매핑!$D$5:$D$504,MATCH($F443&amp;"",계정매핑!$A$5:$A$504,0)),"미매핑"))</f>
        <v/>
      </c>
      <c r="X443" s="9">
        <f>IF($A443="","",$F443&amp;"")</f>
        <v/>
      </c>
    </row>
    <row r="444">
      <c r="A444" s="75" t="n">
        <v>2025</v>
      </c>
      <c r="B444" s="75" t="n">
        <v>3</v>
      </c>
      <c r="C444" s="75" t="inlineStr">
        <is>
          <t>5100000440</t>
        </is>
      </c>
      <c r="D444" s="78" t="n">
        <v>45723</v>
      </c>
      <c r="E444" s="75" t="inlineStr">
        <is>
          <t>KR</t>
        </is>
      </c>
      <c r="F444" s="75" t="n">
        <v>62102000</v>
      </c>
      <c r="G444" s="75" t="n">
        <v>1301</v>
      </c>
      <c r="H444" s="76" t="n">
        <v>95000</v>
      </c>
      <c r="I444" s="75" t="inlineStr">
        <is>
          <t>3월 해외출장 - M항공</t>
        </is>
      </c>
      <c r="J444" s="75" t="inlineStr">
        <is>
          <t>V10001</t>
        </is>
      </c>
      <c r="K444" s="75" t="inlineStr">
        <is>
          <t>M항공</t>
        </is>
      </c>
      <c r="M444" s="9">
        <f>IF($A444="","",VALUE($A444&amp;"")*12+VALUE($B444&amp;""))</f>
        <v/>
      </c>
      <c r="N444" s="39">
        <f>IF($A444="","",IFERROR(INDEX(부서매핑!$C$5:$C$504,MATCH($G444&amp;"",부서매핑!$A$5:$A$504,0)),"미매핑"))</f>
        <v/>
      </c>
      <c r="O444" s="9">
        <f>IF($A444="","",N444&amp;"|"&amp;$F444)</f>
        <v/>
      </c>
      <c r="P444" s="77">
        <f>IF($A444="",0,$H444*설정!$C$23)</f>
        <v/>
      </c>
      <c r="Q444" s="39">
        <f>IF($A444="","",IF(O444&lt;&gt;원인분석!$C$9,"",IF(AND(M444&gt;=원인분석!$C$10,M444&lt;=원인분석!$C$11),"당기",IF(AND(M444&gt;=원인분석!$C$12,M444&lt;=원인분석!$C$13),"비교",""))))</f>
        <v/>
      </c>
      <c r="R444" s="9">
        <f>IF(Q444="","",$K444&amp;"")</f>
        <v/>
      </c>
      <c r="S444" s="9">
        <f>IF(Q444="","",IF(MATCH(R444,$R$5:$R$100000,0)=ROW()-4,ROW(),""))</f>
        <v/>
      </c>
      <c r="T444" s="9">
        <f>IF(Q444="당기",ABS(P444)+ROW()/1000000000,"")</f>
        <v/>
      </c>
      <c r="U444" s="9">
        <f>IF(Q444="비교",ABS(P444)+ROW()/1000000000,"")</f>
        <v/>
      </c>
      <c r="V444" s="39">
        <f>IF($A444="","",IF(COUNTIF(변동분석!$E$7:$E$506,O444)&gt;0,"Y","N"))</f>
        <v/>
      </c>
      <c r="W444" s="39">
        <f>IF($A444="","",IFERROR(INDEX(계정매핑!$D$5:$D$504,MATCH($F444&amp;"",계정매핑!$A$5:$A$504,0)),"미매핑"))</f>
        <v/>
      </c>
      <c r="X444" s="9">
        <f>IF($A444="","",$F444&amp;"")</f>
        <v/>
      </c>
    </row>
    <row r="445">
      <c r="A445" s="75" t="n">
        <v>2025</v>
      </c>
      <c r="B445" s="75" t="n">
        <v>3</v>
      </c>
      <c r="C445" s="75" t="inlineStr">
        <is>
          <t>5100000441</t>
        </is>
      </c>
      <c r="D445" s="78" t="n">
        <v>45723</v>
      </c>
      <c r="E445" s="75" t="inlineStr">
        <is>
          <t>KR</t>
        </is>
      </c>
      <c r="F445" s="75" t="n">
        <v>62201000</v>
      </c>
      <c r="G445" s="75" t="n">
        <v>1101</v>
      </c>
      <c r="H445" s="76" t="n">
        <v>230000</v>
      </c>
      <c r="I445" s="75" t="inlineStr">
        <is>
          <t>3월 통신요금 - O텔레콤</t>
        </is>
      </c>
      <c r="J445" s="75" t="inlineStr">
        <is>
          <t>V10002</t>
        </is>
      </c>
      <c r="K445" s="75" t="inlineStr">
        <is>
          <t>O텔레콤</t>
        </is>
      </c>
      <c r="M445" s="9">
        <f>IF($A445="","",VALUE($A445&amp;"")*12+VALUE($B445&amp;""))</f>
        <v/>
      </c>
      <c r="N445" s="39">
        <f>IF($A445="","",IFERROR(INDEX(부서매핑!$C$5:$C$504,MATCH($G445&amp;"",부서매핑!$A$5:$A$504,0)),"미매핑"))</f>
        <v/>
      </c>
      <c r="O445" s="9">
        <f>IF($A445="","",N445&amp;"|"&amp;$F445)</f>
        <v/>
      </c>
      <c r="P445" s="77">
        <f>IF($A445="",0,$H445*설정!$C$23)</f>
        <v/>
      </c>
      <c r="Q445" s="39">
        <f>IF($A445="","",IF(O445&lt;&gt;원인분석!$C$9,"",IF(AND(M445&gt;=원인분석!$C$10,M445&lt;=원인분석!$C$11),"당기",IF(AND(M445&gt;=원인분석!$C$12,M445&lt;=원인분석!$C$13),"비교",""))))</f>
        <v/>
      </c>
      <c r="R445" s="9">
        <f>IF(Q445="","",$K445&amp;"")</f>
        <v/>
      </c>
      <c r="S445" s="9">
        <f>IF(Q445="","",IF(MATCH(R445,$R$5:$R$100000,0)=ROW()-4,ROW(),""))</f>
        <v/>
      </c>
      <c r="T445" s="9">
        <f>IF(Q445="당기",ABS(P445)+ROW()/1000000000,"")</f>
        <v/>
      </c>
      <c r="U445" s="9">
        <f>IF(Q445="비교",ABS(P445)+ROW()/1000000000,"")</f>
        <v/>
      </c>
      <c r="V445" s="39">
        <f>IF($A445="","",IF(COUNTIF(변동분석!$E$7:$E$506,O445)&gt;0,"Y","N"))</f>
        <v/>
      </c>
      <c r="W445" s="39">
        <f>IF($A445="","",IFERROR(INDEX(계정매핑!$D$5:$D$504,MATCH($F445&amp;"",계정매핑!$A$5:$A$504,0)),"미매핑"))</f>
        <v/>
      </c>
      <c r="X445" s="9">
        <f>IF($A445="","",$F445&amp;"")</f>
        <v/>
      </c>
    </row>
    <row r="446">
      <c r="A446" s="75" t="n">
        <v>2025</v>
      </c>
      <c r="B446" s="75" t="n">
        <v>3</v>
      </c>
      <c r="C446" s="75" t="inlineStr">
        <is>
          <t>5100000442</t>
        </is>
      </c>
      <c r="D446" s="78" t="n">
        <v>45723</v>
      </c>
      <c r="E446" s="75" t="inlineStr">
        <is>
          <t>KR</t>
        </is>
      </c>
      <c r="F446" s="75" t="n">
        <v>62201000</v>
      </c>
      <c r="G446" s="75" t="n">
        <v>1201</v>
      </c>
      <c r="H446" s="76" t="n">
        <v>227000</v>
      </c>
      <c r="I446" s="75" t="inlineStr">
        <is>
          <t>3월 통신요금 - O텔레콤</t>
        </is>
      </c>
      <c r="J446" s="75" t="inlineStr">
        <is>
          <t>V10002</t>
        </is>
      </c>
      <c r="K446" s="75" t="inlineStr">
        <is>
          <t>O텔레콤</t>
        </is>
      </c>
      <c r="M446" s="9">
        <f>IF($A446="","",VALUE($A446&amp;"")*12+VALUE($B446&amp;""))</f>
        <v/>
      </c>
      <c r="N446" s="39">
        <f>IF($A446="","",IFERROR(INDEX(부서매핑!$C$5:$C$504,MATCH($G446&amp;"",부서매핑!$A$5:$A$504,0)),"미매핑"))</f>
        <v/>
      </c>
      <c r="O446" s="9">
        <f>IF($A446="","",N446&amp;"|"&amp;$F446)</f>
        <v/>
      </c>
      <c r="P446" s="77">
        <f>IF($A446="",0,$H446*설정!$C$23)</f>
        <v/>
      </c>
      <c r="Q446" s="39">
        <f>IF($A446="","",IF(O446&lt;&gt;원인분석!$C$9,"",IF(AND(M446&gt;=원인분석!$C$10,M446&lt;=원인분석!$C$11),"당기",IF(AND(M446&gt;=원인분석!$C$12,M446&lt;=원인분석!$C$13),"비교",""))))</f>
        <v/>
      </c>
      <c r="R446" s="9">
        <f>IF(Q446="","",$K446&amp;"")</f>
        <v/>
      </c>
      <c r="S446" s="9">
        <f>IF(Q446="","",IF(MATCH(R446,$R$5:$R$100000,0)=ROW()-4,ROW(),""))</f>
        <v/>
      </c>
      <c r="T446" s="9">
        <f>IF(Q446="당기",ABS(P446)+ROW()/1000000000,"")</f>
        <v/>
      </c>
      <c r="U446" s="9">
        <f>IF(Q446="비교",ABS(P446)+ROW()/1000000000,"")</f>
        <v/>
      </c>
      <c r="V446" s="39">
        <f>IF($A446="","",IF(COUNTIF(변동분석!$E$7:$E$506,O446)&gt;0,"Y","N"))</f>
        <v/>
      </c>
      <c r="W446" s="39">
        <f>IF($A446="","",IFERROR(INDEX(계정매핑!$D$5:$D$504,MATCH($F446&amp;"",계정매핑!$A$5:$A$504,0)),"미매핑"))</f>
        <v/>
      </c>
      <c r="X446" s="9">
        <f>IF($A446="","",$F446&amp;"")</f>
        <v/>
      </c>
    </row>
    <row r="447">
      <c r="A447" s="75" t="n">
        <v>2025</v>
      </c>
      <c r="B447" s="75" t="n">
        <v>3</v>
      </c>
      <c r="C447" s="75" t="inlineStr">
        <is>
          <t>5100000443</t>
        </is>
      </c>
      <c r="D447" s="78" t="n">
        <v>45723</v>
      </c>
      <c r="E447" s="75" t="inlineStr">
        <is>
          <t>KR</t>
        </is>
      </c>
      <c r="F447" s="75" t="n">
        <v>62201000</v>
      </c>
      <c r="G447" s="75" t="n">
        <v>1401</v>
      </c>
      <c r="H447" s="76" t="n">
        <v>179000</v>
      </c>
      <c r="I447" s="75" t="inlineStr">
        <is>
          <t>3월 통신요금 - P통신</t>
        </is>
      </c>
      <c r="J447" s="75" t="inlineStr">
        <is>
          <t>V10011</t>
        </is>
      </c>
      <c r="K447" s="75" t="inlineStr">
        <is>
          <t>P통신</t>
        </is>
      </c>
      <c r="M447" s="9">
        <f>IF($A447="","",VALUE($A447&amp;"")*12+VALUE($B447&amp;""))</f>
        <v/>
      </c>
      <c r="N447" s="39">
        <f>IF($A447="","",IFERROR(INDEX(부서매핑!$C$5:$C$504,MATCH($G447&amp;"",부서매핑!$A$5:$A$504,0)),"미매핑"))</f>
        <v/>
      </c>
      <c r="O447" s="9">
        <f>IF($A447="","",N447&amp;"|"&amp;$F447)</f>
        <v/>
      </c>
      <c r="P447" s="77">
        <f>IF($A447="",0,$H447*설정!$C$23)</f>
        <v/>
      </c>
      <c r="Q447" s="39">
        <f>IF($A447="","",IF(O447&lt;&gt;원인분석!$C$9,"",IF(AND(M447&gt;=원인분석!$C$10,M447&lt;=원인분석!$C$11),"당기",IF(AND(M447&gt;=원인분석!$C$12,M447&lt;=원인분석!$C$13),"비교",""))))</f>
        <v/>
      </c>
      <c r="R447" s="9">
        <f>IF(Q447="","",$K447&amp;"")</f>
        <v/>
      </c>
      <c r="S447" s="9">
        <f>IF(Q447="","",IF(MATCH(R447,$R$5:$R$100000,0)=ROW()-4,ROW(),""))</f>
        <v/>
      </c>
      <c r="T447" s="9">
        <f>IF(Q447="당기",ABS(P447)+ROW()/1000000000,"")</f>
        <v/>
      </c>
      <c r="U447" s="9">
        <f>IF(Q447="비교",ABS(P447)+ROW()/1000000000,"")</f>
        <v/>
      </c>
      <c r="V447" s="39">
        <f>IF($A447="","",IF(COUNTIF(변동분석!$E$7:$E$506,O447)&gt;0,"Y","N"))</f>
        <v/>
      </c>
      <c r="W447" s="39">
        <f>IF($A447="","",IFERROR(INDEX(계정매핑!$D$5:$D$504,MATCH($F447&amp;"",계정매핑!$A$5:$A$504,0)),"미매핑"))</f>
        <v/>
      </c>
      <c r="X447" s="9">
        <f>IF($A447="","",$F447&amp;"")</f>
        <v/>
      </c>
    </row>
    <row r="448">
      <c r="A448" s="75" t="n">
        <v>2025</v>
      </c>
      <c r="B448" s="75" t="n">
        <v>3</v>
      </c>
      <c r="C448" s="75" t="inlineStr">
        <is>
          <t>5100000444</t>
        </is>
      </c>
      <c r="D448" s="78" t="n">
        <v>45723</v>
      </c>
      <c r="E448" s="75" t="inlineStr">
        <is>
          <t>KR</t>
        </is>
      </c>
      <c r="F448" s="75" t="n">
        <v>62701000</v>
      </c>
      <c r="G448" s="75" t="n">
        <v>1501</v>
      </c>
      <c r="H448" s="76" t="n">
        <v>55407000</v>
      </c>
      <c r="I448" s="75" t="inlineStr">
        <is>
          <t>3월 광고 집행 - F애드</t>
        </is>
      </c>
      <c r="J448" s="75" t="inlineStr">
        <is>
          <t>V10019</t>
        </is>
      </c>
      <c r="K448" s="75" t="inlineStr">
        <is>
          <t>F애드</t>
        </is>
      </c>
      <c r="M448" s="9">
        <f>IF($A448="","",VALUE($A448&amp;"")*12+VALUE($B448&amp;""))</f>
        <v/>
      </c>
      <c r="N448" s="39">
        <f>IF($A448="","",IFERROR(INDEX(부서매핑!$C$5:$C$504,MATCH($G448&amp;"",부서매핑!$A$5:$A$504,0)),"미매핑"))</f>
        <v/>
      </c>
      <c r="O448" s="9">
        <f>IF($A448="","",N448&amp;"|"&amp;$F448)</f>
        <v/>
      </c>
      <c r="P448" s="77">
        <f>IF($A448="",0,$H448*설정!$C$23)</f>
        <v/>
      </c>
      <c r="Q448" s="39">
        <f>IF($A448="","",IF(O448&lt;&gt;원인분석!$C$9,"",IF(AND(M448&gt;=원인분석!$C$10,M448&lt;=원인분석!$C$11),"당기",IF(AND(M448&gt;=원인분석!$C$12,M448&lt;=원인분석!$C$13),"비교",""))))</f>
        <v/>
      </c>
      <c r="R448" s="9">
        <f>IF(Q448="","",$K448&amp;"")</f>
        <v/>
      </c>
      <c r="S448" s="9">
        <f>IF(Q448="","",IF(MATCH(R448,$R$5:$R$100000,0)=ROW()-4,ROW(),""))</f>
        <v/>
      </c>
      <c r="T448" s="9">
        <f>IF(Q448="당기",ABS(P448)+ROW()/1000000000,"")</f>
        <v/>
      </c>
      <c r="U448" s="9">
        <f>IF(Q448="비교",ABS(P448)+ROW()/1000000000,"")</f>
        <v/>
      </c>
      <c r="V448" s="39">
        <f>IF($A448="","",IF(COUNTIF(변동분석!$E$7:$E$506,O448)&gt;0,"Y","N"))</f>
        <v/>
      </c>
      <c r="W448" s="39">
        <f>IF($A448="","",IFERROR(INDEX(계정매핑!$D$5:$D$504,MATCH($F448&amp;"",계정매핑!$A$5:$A$504,0)),"미매핑"))</f>
        <v/>
      </c>
      <c r="X448" s="9">
        <f>IF($A448="","",$F448&amp;"")</f>
        <v/>
      </c>
    </row>
    <row r="449">
      <c r="A449" s="75" t="n">
        <v>2025</v>
      </c>
      <c r="B449" s="75" t="n">
        <v>3</v>
      </c>
      <c r="C449" s="75" t="inlineStr">
        <is>
          <t>5100000445</t>
        </is>
      </c>
      <c r="D449" s="78" t="n">
        <v>45724</v>
      </c>
      <c r="E449" s="75" t="inlineStr">
        <is>
          <t>KR</t>
        </is>
      </c>
      <c r="F449" s="75" t="n">
        <v>62101000</v>
      </c>
      <c r="G449" s="75" t="n">
        <v>1401</v>
      </c>
      <c r="H449" s="76" t="n">
        <v>283000</v>
      </c>
      <c r="I449" s="75" t="inlineStr">
        <is>
          <t>3월 국내출장 - (법인카드)</t>
        </is>
      </c>
      <c r="J449" s="75" t="inlineStr">
        <is>
          <t>V10008</t>
        </is>
      </c>
      <c r="K449" s="75" t="inlineStr">
        <is>
          <t>(법인카드)</t>
        </is>
      </c>
      <c r="M449" s="9">
        <f>IF($A449="","",VALUE($A449&amp;"")*12+VALUE($B449&amp;""))</f>
        <v/>
      </c>
      <c r="N449" s="39">
        <f>IF($A449="","",IFERROR(INDEX(부서매핑!$C$5:$C$504,MATCH($G449&amp;"",부서매핑!$A$5:$A$504,0)),"미매핑"))</f>
        <v/>
      </c>
      <c r="O449" s="9">
        <f>IF($A449="","",N449&amp;"|"&amp;$F449)</f>
        <v/>
      </c>
      <c r="P449" s="77">
        <f>IF($A449="",0,$H449*설정!$C$23)</f>
        <v/>
      </c>
      <c r="Q449" s="39">
        <f>IF($A449="","",IF(O449&lt;&gt;원인분석!$C$9,"",IF(AND(M449&gt;=원인분석!$C$10,M449&lt;=원인분석!$C$11),"당기",IF(AND(M449&gt;=원인분석!$C$12,M449&lt;=원인분석!$C$13),"비교",""))))</f>
        <v/>
      </c>
      <c r="R449" s="9">
        <f>IF(Q449="","",$K449&amp;"")</f>
        <v/>
      </c>
      <c r="S449" s="9">
        <f>IF(Q449="","",IF(MATCH(R449,$R$5:$R$100000,0)=ROW()-4,ROW(),""))</f>
        <v/>
      </c>
      <c r="T449" s="9">
        <f>IF(Q449="당기",ABS(P449)+ROW()/1000000000,"")</f>
        <v/>
      </c>
      <c r="U449" s="9">
        <f>IF(Q449="비교",ABS(P449)+ROW()/1000000000,"")</f>
        <v/>
      </c>
      <c r="V449" s="39">
        <f>IF($A449="","",IF(COUNTIF(변동분석!$E$7:$E$506,O449)&gt;0,"Y","N"))</f>
        <v/>
      </c>
      <c r="W449" s="39">
        <f>IF($A449="","",IFERROR(INDEX(계정매핑!$D$5:$D$504,MATCH($F449&amp;"",계정매핑!$A$5:$A$504,0)),"미매핑"))</f>
        <v/>
      </c>
      <c r="X449" s="9">
        <f>IF($A449="","",$F449&amp;"")</f>
        <v/>
      </c>
    </row>
    <row r="450">
      <c r="A450" s="75" t="n">
        <v>2025</v>
      </c>
      <c r="B450" s="75" t="n">
        <v>3</v>
      </c>
      <c r="C450" s="75" t="inlineStr">
        <is>
          <t>5100000446</t>
        </is>
      </c>
      <c r="D450" s="78" t="n">
        <v>45724</v>
      </c>
      <c r="E450" s="75" t="inlineStr">
        <is>
          <t>KR</t>
        </is>
      </c>
      <c r="F450" s="75" t="n">
        <v>62101000</v>
      </c>
      <c r="G450" s="75" t="n">
        <v>1801</v>
      </c>
      <c r="H450" s="76" t="n">
        <v>128000</v>
      </c>
      <c r="I450" s="75" t="inlineStr">
        <is>
          <t>3월 국내출장 - (법인카드)</t>
        </is>
      </c>
      <c r="J450" s="75" t="inlineStr">
        <is>
          <t>V10008</t>
        </is>
      </c>
      <c r="K450" s="75" t="inlineStr">
        <is>
          <t>(법인카드)</t>
        </is>
      </c>
      <c r="M450" s="9">
        <f>IF($A450="","",VALUE($A450&amp;"")*12+VALUE($B450&amp;""))</f>
        <v/>
      </c>
      <c r="N450" s="39">
        <f>IF($A450="","",IFERROR(INDEX(부서매핑!$C$5:$C$504,MATCH($G450&amp;"",부서매핑!$A$5:$A$504,0)),"미매핑"))</f>
        <v/>
      </c>
      <c r="O450" s="9">
        <f>IF($A450="","",N450&amp;"|"&amp;$F450)</f>
        <v/>
      </c>
      <c r="P450" s="77">
        <f>IF($A450="",0,$H450*설정!$C$23)</f>
        <v/>
      </c>
      <c r="Q450" s="39">
        <f>IF($A450="","",IF(O450&lt;&gt;원인분석!$C$9,"",IF(AND(M450&gt;=원인분석!$C$10,M450&lt;=원인분석!$C$11),"당기",IF(AND(M450&gt;=원인분석!$C$12,M450&lt;=원인분석!$C$13),"비교",""))))</f>
        <v/>
      </c>
      <c r="R450" s="9">
        <f>IF(Q450="","",$K450&amp;"")</f>
        <v/>
      </c>
      <c r="S450" s="9">
        <f>IF(Q450="","",IF(MATCH(R450,$R$5:$R$100000,0)=ROW()-4,ROW(),""))</f>
        <v/>
      </c>
      <c r="T450" s="9">
        <f>IF(Q450="당기",ABS(P450)+ROW()/1000000000,"")</f>
        <v/>
      </c>
      <c r="U450" s="9">
        <f>IF(Q450="비교",ABS(P450)+ROW()/1000000000,"")</f>
        <v/>
      </c>
      <c r="V450" s="39">
        <f>IF($A450="","",IF(COUNTIF(변동분석!$E$7:$E$506,O450)&gt;0,"Y","N"))</f>
        <v/>
      </c>
      <c r="W450" s="39">
        <f>IF($A450="","",IFERROR(INDEX(계정매핑!$D$5:$D$504,MATCH($F450&amp;"",계정매핑!$A$5:$A$504,0)),"미매핑"))</f>
        <v/>
      </c>
      <c r="X450" s="9">
        <f>IF($A450="","",$F450&amp;"")</f>
        <v/>
      </c>
    </row>
    <row r="451">
      <c r="A451" s="75" t="n">
        <v>2025</v>
      </c>
      <c r="B451" s="75" t="n">
        <v>3</v>
      </c>
      <c r="C451" s="75" t="inlineStr">
        <is>
          <t>5100000447</t>
        </is>
      </c>
      <c r="D451" s="78" t="n">
        <v>45724</v>
      </c>
      <c r="E451" s="75" t="inlineStr">
        <is>
          <t>KR</t>
        </is>
      </c>
      <c r="F451" s="75" t="n">
        <v>62102000</v>
      </c>
      <c r="G451" s="75" t="n">
        <v>1801</v>
      </c>
      <c r="H451" s="76" t="n">
        <v>45000</v>
      </c>
      <c r="I451" s="75" t="inlineStr">
        <is>
          <t>3월 해외출장 - N호텔</t>
        </is>
      </c>
      <c r="J451" s="75" t="inlineStr">
        <is>
          <t>V10007</t>
        </is>
      </c>
      <c r="K451" s="75" t="inlineStr">
        <is>
          <t>N호텔</t>
        </is>
      </c>
      <c r="M451" s="9">
        <f>IF($A451="","",VALUE($A451&amp;"")*12+VALUE($B451&amp;""))</f>
        <v/>
      </c>
      <c r="N451" s="39">
        <f>IF($A451="","",IFERROR(INDEX(부서매핑!$C$5:$C$504,MATCH($G451&amp;"",부서매핑!$A$5:$A$504,0)),"미매핑"))</f>
        <v/>
      </c>
      <c r="O451" s="9">
        <f>IF($A451="","",N451&amp;"|"&amp;$F451)</f>
        <v/>
      </c>
      <c r="P451" s="77">
        <f>IF($A451="",0,$H451*설정!$C$23)</f>
        <v/>
      </c>
      <c r="Q451" s="39">
        <f>IF($A451="","",IF(O451&lt;&gt;원인분석!$C$9,"",IF(AND(M451&gt;=원인분석!$C$10,M451&lt;=원인분석!$C$11),"당기",IF(AND(M451&gt;=원인분석!$C$12,M451&lt;=원인분석!$C$13),"비교",""))))</f>
        <v/>
      </c>
      <c r="R451" s="9">
        <f>IF(Q451="","",$K451&amp;"")</f>
        <v/>
      </c>
      <c r="S451" s="9">
        <f>IF(Q451="","",IF(MATCH(R451,$R$5:$R$100000,0)=ROW()-4,ROW(),""))</f>
        <v/>
      </c>
      <c r="T451" s="9">
        <f>IF(Q451="당기",ABS(P451)+ROW()/1000000000,"")</f>
        <v/>
      </c>
      <c r="U451" s="9">
        <f>IF(Q451="비교",ABS(P451)+ROW()/1000000000,"")</f>
        <v/>
      </c>
      <c r="V451" s="39">
        <f>IF($A451="","",IF(COUNTIF(변동분석!$E$7:$E$506,O451)&gt;0,"Y","N"))</f>
        <v/>
      </c>
      <c r="W451" s="39">
        <f>IF($A451="","",IFERROR(INDEX(계정매핑!$D$5:$D$504,MATCH($F451&amp;"",계정매핑!$A$5:$A$504,0)),"미매핑"))</f>
        <v/>
      </c>
      <c r="X451" s="9">
        <f>IF($A451="","",$F451&amp;"")</f>
        <v/>
      </c>
    </row>
    <row r="452">
      <c r="A452" s="75" t="n">
        <v>2025</v>
      </c>
      <c r="B452" s="75" t="n">
        <v>3</v>
      </c>
      <c r="C452" s="75" t="inlineStr">
        <is>
          <t>5100000448</t>
        </is>
      </c>
      <c r="D452" s="78" t="n">
        <v>45724</v>
      </c>
      <c r="E452" s="75" t="inlineStr">
        <is>
          <t>KR</t>
        </is>
      </c>
      <c r="F452" s="75" t="n">
        <v>62201000</v>
      </c>
      <c r="G452" s="75" t="n">
        <v>1801</v>
      </c>
      <c r="H452" s="76" t="n">
        <v>7797000</v>
      </c>
      <c r="I452" s="75" t="inlineStr">
        <is>
          <t>3월 통신요금 - P통신</t>
        </is>
      </c>
      <c r="J452" s="75" t="inlineStr">
        <is>
          <t>V10011</t>
        </is>
      </c>
      <c r="K452" s="75" t="inlineStr">
        <is>
          <t>P통신</t>
        </is>
      </c>
      <c r="M452" s="9">
        <f>IF($A452="","",VALUE($A452&amp;"")*12+VALUE($B452&amp;""))</f>
        <v/>
      </c>
      <c r="N452" s="39">
        <f>IF($A452="","",IFERROR(INDEX(부서매핑!$C$5:$C$504,MATCH($G452&amp;"",부서매핑!$A$5:$A$504,0)),"미매핑"))</f>
        <v/>
      </c>
      <c r="O452" s="9">
        <f>IF($A452="","",N452&amp;"|"&amp;$F452)</f>
        <v/>
      </c>
      <c r="P452" s="77">
        <f>IF($A452="",0,$H452*설정!$C$23)</f>
        <v/>
      </c>
      <c r="Q452" s="39">
        <f>IF($A452="","",IF(O452&lt;&gt;원인분석!$C$9,"",IF(AND(M452&gt;=원인분석!$C$10,M452&lt;=원인분석!$C$11),"당기",IF(AND(M452&gt;=원인분석!$C$12,M452&lt;=원인분석!$C$13),"비교",""))))</f>
        <v/>
      </c>
      <c r="R452" s="9">
        <f>IF(Q452="","",$K452&amp;"")</f>
        <v/>
      </c>
      <c r="S452" s="9">
        <f>IF(Q452="","",IF(MATCH(R452,$R$5:$R$100000,0)=ROW()-4,ROW(),""))</f>
        <v/>
      </c>
      <c r="T452" s="9">
        <f>IF(Q452="당기",ABS(P452)+ROW()/1000000000,"")</f>
        <v/>
      </c>
      <c r="U452" s="9">
        <f>IF(Q452="비교",ABS(P452)+ROW()/1000000000,"")</f>
        <v/>
      </c>
      <c r="V452" s="39">
        <f>IF($A452="","",IF(COUNTIF(변동분석!$E$7:$E$506,O452)&gt;0,"Y","N"))</f>
        <v/>
      </c>
      <c r="W452" s="39">
        <f>IF($A452="","",IFERROR(INDEX(계정매핑!$D$5:$D$504,MATCH($F452&amp;"",계정매핑!$A$5:$A$504,0)),"미매핑"))</f>
        <v/>
      </c>
      <c r="X452" s="9">
        <f>IF($A452="","",$F452&amp;"")</f>
        <v/>
      </c>
    </row>
    <row r="453">
      <c r="A453" s="75" t="n">
        <v>2025</v>
      </c>
      <c r="B453" s="75" t="n">
        <v>3</v>
      </c>
      <c r="C453" s="75" t="inlineStr">
        <is>
          <t>5100000449</t>
        </is>
      </c>
      <c r="D453" s="78" t="n">
        <v>45724</v>
      </c>
      <c r="E453" s="75" t="inlineStr">
        <is>
          <t>KR</t>
        </is>
      </c>
      <c r="F453" s="75" t="n">
        <v>62701000</v>
      </c>
      <c r="G453" s="75" t="n">
        <v>1502</v>
      </c>
      <c r="H453" s="76" t="n">
        <v>53376000</v>
      </c>
      <c r="I453" s="75" t="inlineStr">
        <is>
          <t>3월 광고 집행 - E미디어</t>
        </is>
      </c>
      <c r="J453" s="75" t="inlineStr">
        <is>
          <t>V10027</t>
        </is>
      </c>
      <c r="K453" s="75" t="inlineStr">
        <is>
          <t>E미디어</t>
        </is>
      </c>
      <c r="M453" s="9">
        <f>IF($A453="","",VALUE($A453&amp;"")*12+VALUE($B453&amp;""))</f>
        <v/>
      </c>
      <c r="N453" s="39">
        <f>IF($A453="","",IFERROR(INDEX(부서매핑!$C$5:$C$504,MATCH($G453&amp;"",부서매핑!$A$5:$A$504,0)),"미매핑"))</f>
        <v/>
      </c>
      <c r="O453" s="9">
        <f>IF($A453="","",N453&amp;"|"&amp;$F453)</f>
        <v/>
      </c>
      <c r="P453" s="77">
        <f>IF($A453="",0,$H453*설정!$C$23)</f>
        <v/>
      </c>
      <c r="Q453" s="39">
        <f>IF($A453="","",IF(O453&lt;&gt;원인분석!$C$9,"",IF(AND(M453&gt;=원인분석!$C$10,M453&lt;=원인분석!$C$11),"당기",IF(AND(M453&gt;=원인분석!$C$12,M453&lt;=원인분석!$C$13),"비교",""))))</f>
        <v/>
      </c>
      <c r="R453" s="9">
        <f>IF(Q453="","",$K453&amp;"")</f>
        <v/>
      </c>
      <c r="S453" s="9">
        <f>IF(Q453="","",IF(MATCH(R453,$R$5:$R$100000,0)=ROW()-4,ROW(),""))</f>
        <v/>
      </c>
      <c r="T453" s="9">
        <f>IF(Q453="당기",ABS(P453)+ROW()/1000000000,"")</f>
        <v/>
      </c>
      <c r="U453" s="9">
        <f>IF(Q453="비교",ABS(P453)+ROW()/1000000000,"")</f>
        <v/>
      </c>
      <c r="V453" s="39">
        <f>IF($A453="","",IF(COUNTIF(변동분석!$E$7:$E$506,O453)&gt;0,"Y","N"))</f>
        <v/>
      </c>
      <c r="W453" s="39">
        <f>IF($A453="","",IFERROR(INDEX(계정매핑!$D$5:$D$504,MATCH($F453&amp;"",계정매핑!$A$5:$A$504,0)),"미매핑"))</f>
        <v/>
      </c>
      <c r="X453" s="9">
        <f>IF($A453="","",$F453&amp;"")</f>
        <v/>
      </c>
    </row>
    <row r="454">
      <c r="A454" s="75" t="n">
        <v>2025</v>
      </c>
      <c r="B454" s="75" t="n">
        <v>3</v>
      </c>
      <c r="C454" s="75" t="inlineStr">
        <is>
          <t>5100000450</t>
        </is>
      </c>
      <c r="D454" s="78" t="n">
        <v>45724</v>
      </c>
      <c r="E454" s="75" t="inlineStr">
        <is>
          <t>KR</t>
        </is>
      </c>
      <c r="F454" s="75" t="n">
        <v>62902000</v>
      </c>
      <c r="G454" s="75" t="n">
        <v>1401</v>
      </c>
      <c r="H454" s="76" t="n">
        <v>2485000</v>
      </c>
      <c r="I454" s="75" t="inlineStr">
        <is>
          <t>3월 업무 위탁 수수료 - J콜센터</t>
        </is>
      </c>
      <c r="J454" s="75" t="inlineStr">
        <is>
          <t>V10013</t>
        </is>
      </c>
      <c r="K454" s="75" t="inlineStr">
        <is>
          <t>J콜센터</t>
        </is>
      </c>
      <c r="M454" s="9">
        <f>IF($A454="","",VALUE($A454&amp;"")*12+VALUE($B454&amp;""))</f>
        <v/>
      </c>
      <c r="N454" s="39">
        <f>IF($A454="","",IFERROR(INDEX(부서매핑!$C$5:$C$504,MATCH($G454&amp;"",부서매핑!$A$5:$A$504,0)),"미매핑"))</f>
        <v/>
      </c>
      <c r="O454" s="9">
        <f>IF($A454="","",N454&amp;"|"&amp;$F454)</f>
        <v/>
      </c>
      <c r="P454" s="77">
        <f>IF($A454="",0,$H454*설정!$C$23)</f>
        <v/>
      </c>
      <c r="Q454" s="39">
        <f>IF($A454="","",IF(O454&lt;&gt;원인분석!$C$9,"",IF(AND(M454&gt;=원인분석!$C$10,M454&lt;=원인분석!$C$11),"당기",IF(AND(M454&gt;=원인분석!$C$12,M454&lt;=원인분석!$C$13),"비교",""))))</f>
        <v/>
      </c>
      <c r="R454" s="9">
        <f>IF(Q454="","",$K454&amp;"")</f>
        <v/>
      </c>
      <c r="S454" s="9">
        <f>IF(Q454="","",IF(MATCH(R454,$R$5:$R$100000,0)=ROW()-4,ROW(),""))</f>
        <v/>
      </c>
      <c r="T454" s="9">
        <f>IF(Q454="당기",ABS(P454)+ROW()/1000000000,"")</f>
        <v/>
      </c>
      <c r="U454" s="9">
        <f>IF(Q454="비교",ABS(P454)+ROW()/1000000000,"")</f>
        <v/>
      </c>
      <c r="V454" s="39">
        <f>IF($A454="","",IF(COUNTIF(변동분석!$E$7:$E$506,O454)&gt;0,"Y","N"))</f>
        <v/>
      </c>
      <c r="W454" s="39">
        <f>IF($A454="","",IFERROR(INDEX(계정매핑!$D$5:$D$504,MATCH($F454&amp;"",계정매핑!$A$5:$A$504,0)),"미매핑"))</f>
        <v/>
      </c>
      <c r="X454" s="9">
        <f>IF($A454="","",$F454&amp;"")</f>
        <v/>
      </c>
    </row>
    <row r="455">
      <c r="A455" s="75" t="n">
        <v>2025</v>
      </c>
      <c r="B455" s="75" t="n">
        <v>3</v>
      </c>
      <c r="C455" s="75" t="inlineStr">
        <is>
          <t>5100000451</t>
        </is>
      </c>
      <c r="D455" s="78" t="n">
        <v>45724</v>
      </c>
      <c r="E455" s="75" t="inlineStr">
        <is>
          <t>KR</t>
        </is>
      </c>
      <c r="F455" s="75" t="n">
        <v>62902000</v>
      </c>
      <c r="G455" s="75" t="n">
        <v>1401</v>
      </c>
      <c r="H455" s="76" t="n">
        <v>1730000</v>
      </c>
      <c r="I455" s="75" t="inlineStr">
        <is>
          <t>3월 업무 위탁 수수료 - X서비스</t>
        </is>
      </c>
      <c r="J455" s="75" t="inlineStr">
        <is>
          <t>V10016</t>
        </is>
      </c>
      <c r="K455" s="75" t="inlineStr">
        <is>
          <t>X서비스</t>
        </is>
      </c>
      <c r="M455" s="9">
        <f>IF($A455="","",VALUE($A455&amp;"")*12+VALUE($B455&amp;""))</f>
        <v/>
      </c>
      <c r="N455" s="39">
        <f>IF($A455="","",IFERROR(INDEX(부서매핑!$C$5:$C$504,MATCH($G455&amp;"",부서매핑!$A$5:$A$504,0)),"미매핑"))</f>
        <v/>
      </c>
      <c r="O455" s="9">
        <f>IF($A455="","",N455&amp;"|"&amp;$F455)</f>
        <v/>
      </c>
      <c r="P455" s="77">
        <f>IF($A455="",0,$H455*설정!$C$23)</f>
        <v/>
      </c>
      <c r="Q455" s="39">
        <f>IF($A455="","",IF(O455&lt;&gt;원인분석!$C$9,"",IF(AND(M455&gt;=원인분석!$C$10,M455&lt;=원인분석!$C$11),"당기",IF(AND(M455&gt;=원인분석!$C$12,M455&lt;=원인분석!$C$13),"비교",""))))</f>
        <v/>
      </c>
      <c r="R455" s="9">
        <f>IF(Q455="","",$K455&amp;"")</f>
        <v/>
      </c>
      <c r="S455" s="9">
        <f>IF(Q455="","",IF(MATCH(R455,$R$5:$R$100000,0)=ROW()-4,ROW(),""))</f>
        <v/>
      </c>
      <c r="T455" s="9">
        <f>IF(Q455="당기",ABS(P455)+ROW()/1000000000,"")</f>
        <v/>
      </c>
      <c r="U455" s="9">
        <f>IF(Q455="비교",ABS(P455)+ROW()/1000000000,"")</f>
        <v/>
      </c>
      <c r="V455" s="39">
        <f>IF($A455="","",IF(COUNTIF(변동분석!$E$7:$E$506,O455)&gt;0,"Y","N"))</f>
        <v/>
      </c>
      <c r="W455" s="39">
        <f>IF($A455="","",IFERROR(INDEX(계정매핑!$D$5:$D$504,MATCH($F455&amp;"",계정매핑!$A$5:$A$504,0)),"미매핑"))</f>
        <v/>
      </c>
      <c r="X455" s="9">
        <f>IF($A455="","",$F455&amp;"")</f>
        <v/>
      </c>
    </row>
    <row r="456">
      <c r="A456" s="75" t="n">
        <v>2025</v>
      </c>
      <c r="B456" s="75" t="n">
        <v>3</v>
      </c>
      <c r="C456" s="75" t="inlineStr">
        <is>
          <t>5100000452</t>
        </is>
      </c>
      <c r="D456" s="78" t="n">
        <v>45724</v>
      </c>
      <c r="E456" s="75" t="inlineStr">
        <is>
          <t>KR</t>
        </is>
      </c>
      <c r="F456" s="75" t="n">
        <v>62902000</v>
      </c>
      <c r="G456" s="75" t="n">
        <v>1801</v>
      </c>
      <c r="H456" s="76" t="n">
        <v>1849000</v>
      </c>
      <c r="I456" s="75" t="inlineStr">
        <is>
          <t>3월 콜 위탁 수수료(건별)</t>
        </is>
      </c>
      <c r="J456" s="75" t="inlineStr">
        <is>
          <t>V10013</t>
        </is>
      </c>
      <c r="K456" s="75" t="inlineStr">
        <is>
          <t>J콜센터</t>
        </is>
      </c>
      <c r="M456" s="9">
        <f>IF($A456="","",VALUE($A456&amp;"")*12+VALUE($B456&amp;""))</f>
        <v/>
      </c>
      <c r="N456" s="39">
        <f>IF($A456="","",IFERROR(INDEX(부서매핑!$C$5:$C$504,MATCH($G456&amp;"",부서매핑!$A$5:$A$504,0)),"미매핑"))</f>
        <v/>
      </c>
      <c r="O456" s="9">
        <f>IF($A456="","",N456&amp;"|"&amp;$F456)</f>
        <v/>
      </c>
      <c r="P456" s="77">
        <f>IF($A456="",0,$H456*설정!$C$23)</f>
        <v/>
      </c>
      <c r="Q456" s="39">
        <f>IF($A456="","",IF(O456&lt;&gt;원인분석!$C$9,"",IF(AND(M456&gt;=원인분석!$C$10,M456&lt;=원인분석!$C$11),"당기",IF(AND(M456&gt;=원인분석!$C$12,M456&lt;=원인분석!$C$13),"비교",""))))</f>
        <v/>
      </c>
      <c r="R456" s="9">
        <f>IF(Q456="","",$K456&amp;"")</f>
        <v/>
      </c>
      <c r="S456" s="9">
        <f>IF(Q456="","",IF(MATCH(R456,$R$5:$R$100000,0)=ROW()-4,ROW(),""))</f>
        <v/>
      </c>
      <c r="T456" s="9">
        <f>IF(Q456="당기",ABS(P456)+ROW()/1000000000,"")</f>
        <v/>
      </c>
      <c r="U456" s="9">
        <f>IF(Q456="비교",ABS(P456)+ROW()/1000000000,"")</f>
        <v/>
      </c>
      <c r="V456" s="39">
        <f>IF($A456="","",IF(COUNTIF(변동분석!$E$7:$E$506,O456)&gt;0,"Y","N"))</f>
        <v/>
      </c>
      <c r="W456" s="39">
        <f>IF($A456="","",IFERROR(INDEX(계정매핑!$D$5:$D$504,MATCH($F456&amp;"",계정매핑!$A$5:$A$504,0)),"미매핑"))</f>
        <v/>
      </c>
      <c r="X456" s="9">
        <f>IF($A456="","",$F456&amp;"")</f>
        <v/>
      </c>
    </row>
    <row r="457">
      <c r="A457" s="75" t="n">
        <v>2025</v>
      </c>
      <c r="B457" s="75" t="n">
        <v>3</v>
      </c>
      <c r="C457" s="75" t="inlineStr">
        <is>
          <t>5100000453</t>
        </is>
      </c>
      <c r="D457" s="78" t="n">
        <v>45724</v>
      </c>
      <c r="E457" s="75" t="inlineStr">
        <is>
          <t>KR</t>
        </is>
      </c>
      <c r="F457" s="75" t="n">
        <v>63001000</v>
      </c>
      <c r="G457" s="75" t="n">
        <v>1701</v>
      </c>
      <c r="H457" s="76" t="n">
        <v>49491000</v>
      </c>
      <c r="I457" s="75" t="inlineStr">
        <is>
          <t>3월 SW 유지보수 - Y소프트</t>
        </is>
      </c>
      <c r="J457" s="75" t="inlineStr">
        <is>
          <t>V10017</t>
        </is>
      </c>
      <c r="K457" s="75" t="inlineStr">
        <is>
          <t>Y소프트</t>
        </is>
      </c>
      <c r="M457" s="9">
        <f>IF($A457="","",VALUE($A457&amp;"")*12+VALUE($B457&amp;""))</f>
        <v/>
      </c>
      <c r="N457" s="39">
        <f>IF($A457="","",IFERROR(INDEX(부서매핑!$C$5:$C$504,MATCH($G457&amp;"",부서매핑!$A$5:$A$504,0)),"미매핑"))</f>
        <v/>
      </c>
      <c r="O457" s="9">
        <f>IF($A457="","",N457&amp;"|"&amp;$F457)</f>
        <v/>
      </c>
      <c r="P457" s="77">
        <f>IF($A457="",0,$H457*설정!$C$23)</f>
        <v/>
      </c>
      <c r="Q457" s="39">
        <f>IF($A457="","",IF(O457&lt;&gt;원인분석!$C$9,"",IF(AND(M457&gt;=원인분석!$C$10,M457&lt;=원인분석!$C$11),"당기",IF(AND(M457&gt;=원인분석!$C$12,M457&lt;=원인분석!$C$13),"비교",""))))</f>
        <v/>
      </c>
      <c r="R457" s="9">
        <f>IF(Q457="","",$K457&amp;"")</f>
        <v/>
      </c>
      <c r="S457" s="9">
        <f>IF(Q457="","",IF(MATCH(R457,$R$5:$R$100000,0)=ROW()-4,ROW(),""))</f>
        <v/>
      </c>
      <c r="T457" s="9">
        <f>IF(Q457="당기",ABS(P457)+ROW()/1000000000,"")</f>
        <v/>
      </c>
      <c r="U457" s="9">
        <f>IF(Q457="비교",ABS(P457)+ROW()/1000000000,"")</f>
        <v/>
      </c>
      <c r="V457" s="39">
        <f>IF($A457="","",IF(COUNTIF(변동분석!$E$7:$E$506,O457)&gt;0,"Y","N"))</f>
        <v/>
      </c>
      <c r="W457" s="39">
        <f>IF($A457="","",IFERROR(INDEX(계정매핑!$D$5:$D$504,MATCH($F457&amp;"",계정매핑!$A$5:$A$504,0)),"미매핑"))</f>
        <v/>
      </c>
      <c r="X457" s="9">
        <f>IF($A457="","",$F457&amp;"")</f>
        <v/>
      </c>
    </row>
    <row r="458">
      <c r="A458" s="75" t="n">
        <v>2025</v>
      </c>
      <c r="B458" s="75" t="n">
        <v>3</v>
      </c>
      <c r="C458" s="75" t="inlineStr">
        <is>
          <t>5100000454</t>
        </is>
      </c>
      <c r="D458" s="78" t="n">
        <v>45725</v>
      </c>
      <c r="E458" s="75" t="inlineStr">
        <is>
          <t>KR</t>
        </is>
      </c>
      <c r="F458" s="75" t="n">
        <v>62101000</v>
      </c>
      <c r="G458" s="75" t="n">
        <v>1301</v>
      </c>
      <c r="H458" s="76" t="n">
        <v>284000</v>
      </c>
      <c r="I458" s="75" t="inlineStr">
        <is>
          <t>3월 국내출장 - M항공</t>
        </is>
      </c>
      <c r="J458" s="75" t="inlineStr">
        <is>
          <t>V10001</t>
        </is>
      </c>
      <c r="K458" s="75" t="inlineStr">
        <is>
          <t>M항공</t>
        </is>
      </c>
      <c r="M458" s="9">
        <f>IF($A458="","",VALUE($A458&amp;"")*12+VALUE($B458&amp;""))</f>
        <v/>
      </c>
      <c r="N458" s="39">
        <f>IF($A458="","",IFERROR(INDEX(부서매핑!$C$5:$C$504,MATCH($G458&amp;"",부서매핑!$A$5:$A$504,0)),"미매핑"))</f>
        <v/>
      </c>
      <c r="O458" s="9">
        <f>IF($A458="","",N458&amp;"|"&amp;$F458)</f>
        <v/>
      </c>
      <c r="P458" s="77">
        <f>IF($A458="",0,$H458*설정!$C$23)</f>
        <v/>
      </c>
      <c r="Q458" s="39">
        <f>IF($A458="","",IF(O458&lt;&gt;원인분석!$C$9,"",IF(AND(M458&gt;=원인분석!$C$10,M458&lt;=원인분석!$C$11),"당기",IF(AND(M458&gt;=원인분석!$C$12,M458&lt;=원인분석!$C$13),"비교",""))))</f>
        <v/>
      </c>
      <c r="R458" s="9">
        <f>IF(Q458="","",$K458&amp;"")</f>
        <v/>
      </c>
      <c r="S458" s="9">
        <f>IF(Q458="","",IF(MATCH(R458,$R$5:$R$100000,0)=ROW()-4,ROW(),""))</f>
        <v/>
      </c>
      <c r="T458" s="9">
        <f>IF(Q458="당기",ABS(P458)+ROW()/1000000000,"")</f>
        <v/>
      </c>
      <c r="U458" s="9">
        <f>IF(Q458="비교",ABS(P458)+ROW()/1000000000,"")</f>
        <v/>
      </c>
      <c r="V458" s="39">
        <f>IF($A458="","",IF(COUNTIF(변동분석!$E$7:$E$506,O458)&gt;0,"Y","N"))</f>
        <v/>
      </c>
      <c r="W458" s="39">
        <f>IF($A458="","",IFERROR(INDEX(계정매핑!$D$5:$D$504,MATCH($F458&amp;"",계정매핑!$A$5:$A$504,0)),"미매핑"))</f>
        <v/>
      </c>
      <c r="X458" s="9">
        <f>IF($A458="","",$F458&amp;"")</f>
        <v/>
      </c>
    </row>
    <row r="459">
      <c r="A459" s="75" t="n">
        <v>2025</v>
      </c>
      <c r="B459" s="75" t="n">
        <v>3</v>
      </c>
      <c r="C459" s="75" t="inlineStr">
        <is>
          <t>5100000455</t>
        </is>
      </c>
      <c r="D459" s="78" t="n">
        <v>45725</v>
      </c>
      <c r="E459" s="75" t="inlineStr">
        <is>
          <t>KR</t>
        </is>
      </c>
      <c r="F459" s="75" t="n">
        <v>62101000</v>
      </c>
      <c r="G459" s="75" t="n">
        <v>1601</v>
      </c>
      <c r="H459" s="76" t="n">
        <v>1551000</v>
      </c>
      <c r="I459" s="75" t="inlineStr">
        <is>
          <t>3월 국내출장 - (법인카드)</t>
        </is>
      </c>
      <c r="J459" s="75" t="inlineStr">
        <is>
          <t>V10008</t>
        </is>
      </c>
      <c r="K459" s="75" t="inlineStr">
        <is>
          <t>(법인카드)</t>
        </is>
      </c>
      <c r="M459" s="9">
        <f>IF($A459="","",VALUE($A459&amp;"")*12+VALUE($B459&amp;""))</f>
        <v/>
      </c>
      <c r="N459" s="39">
        <f>IF($A459="","",IFERROR(INDEX(부서매핑!$C$5:$C$504,MATCH($G459&amp;"",부서매핑!$A$5:$A$504,0)),"미매핑"))</f>
        <v/>
      </c>
      <c r="O459" s="9">
        <f>IF($A459="","",N459&amp;"|"&amp;$F459)</f>
        <v/>
      </c>
      <c r="P459" s="77">
        <f>IF($A459="",0,$H459*설정!$C$23)</f>
        <v/>
      </c>
      <c r="Q459" s="39">
        <f>IF($A459="","",IF(O459&lt;&gt;원인분석!$C$9,"",IF(AND(M459&gt;=원인분석!$C$10,M459&lt;=원인분석!$C$11),"당기",IF(AND(M459&gt;=원인분석!$C$12,M459&lt;=원인분석!$C$13),"비교",""))))</f>
        <v/>
      </c>
      <c r="R459" s="9">
        <f>IF(Q459="","",$K459&amp;"")</f>
        <v/>
      </c>
      <c r="S459" s="9">
        <f>IF(Q459="","",IF(MATCH(R459,$R$5:$R$100000,0)=ROW()-4,ROW(),""))</f>
        <v/>
      </c>
      <c r="T459" s="9">
        <f>IF(Q459="당기",ABS(P459)+ROW()/1000000000,"")</f>
        <v/>
      </c>
      <c r="U459" s="9">
        <f>IF(Q459="비교",ABS(P459)+ROW()/1000000000,"")</f>
        <v/>
      </c>
      <c r="V459" s="39">
        <f>IF($A459="","",IF(COUNTIF(변동분석!$E$7:$E$506,O459)&gt;0,"Y","N"))</f>
        <v/>
      </c>
      <c r="W459" s="39">
        <f>IF($A459="","",IFERROR(INDEX(계정매핑!$D$5:$D$504,MATCH($F459&amp;"",계정매핑!$A$5:$A$504,0)),"미매핑"))</f>
        <v/>
      </c>
      <c r="X459" s="9">
        <f>IF($A459="","",$F459&amp;"")</f>
        <v/>
      </c>
    </row>
    <row r="460">
      <c r="A460" s="75" t="n">
        <v>2025</v>
      </c>
      <c r="B460" s="75" t="n">
        <v>3</v>
      </c>
      <c r="C460" s="75" t="inlineStr">
        <is>
          <t>5100000456</t>
        </is>
      </c>
      <c r="D460" s="78" t="n">
        <v>45725</v>
      </c>
      <c r="E460" s="75" t="inlineStr">
        <is>
          <t>KR</t>
        </is>
      </c>
      <c r="F460" s="75" t="n">
        <v>62102000</v>
      </c>
      <c r="G460" s="75" t="n">
        <v>1301</v>
      </c>
      <c r="H460" s="76" t="n">
        <v>87000</v>
      </c>
      <c r="I460" s="75" t="inlineStr">
        <is>
          <t>3월 해외출장 - N호텔</t>
        </is>
      </c>
      <c r="J460" s="75" t="inlineStr">
        <is>
          <t>V10007</t>
        </is>
      </c>
      <c r="K460" s="75" t="inlineStr">
        <is>
          <t>N호텔</t>
        </is>
      </c>
      <c r="M460" s="9">
        <f>IF($A460="","",VALUE($A460&amp;"")*12+VALUE($B460&amp;""))</f>
        <v/>
      </c>
      <c r="N460" s="39">
        <f>IF($A460="","",IFERROR(INDEX(부서매핑!$C$5:$C$504,MATCH($G460&amp;"",부서매핑!$A$5:$A$504,0)),"미매핑"))</f>
        <v/>
      </c>
      <c r="O460" s="9">
        <f>IF($A460="","",N460&amp;"|"&amp;$F460)</f>
        <v/>
      </c>
      <c r="P460" s="77">
        <f>IF($A460="",0,$H460*설정!$C$23)</f>
        <v/>
      </c>
      <c r="Q460" s="39">
        <f>IF($A460="","",IF(O460&lt;&gt;원인분석!$C$9,"",IF(AND(M460&gt;=원인분석!$C$10,M460&lt;=원인분석!$C$11),"당기",IF(AND(M460&gt;=원인분석!$C$12,M460&lt;=원인분석!$C$13),"비교",""))))</f>
        <v/>
      </c>
      <c r="R460" s="9">
        <f>IF(Q460="","",$K460&amp;"")</f>
        <v/>
      </c>
      <c r="S460" s="9">
        <f>IF(Q460="","",IF(MATCH(R460,$R$5:$R$100000,0)=ROW()-4,ROW(),""))</f>
        <v/>
      </c>
      <c r="T460" s="9">
        <f>IF(Q460="당기",ABS(P460)+ROW()/1000000000,"")</f>
        <v/>
      </c>
      <c r="U460" s="9">
        <f>IF(Q460="비교",ABS(P460)+ROW()/1000000000,"")</f>
        <v/>
      </c>
      <c r="V460" s="39">
        <f>IF($A460="","",IF(COUNTIF(변동분석!$E$7:$E$506,O460)&gt;0,"Y","N"))</f>
        <v/>
      </c>
      <c r="W460" s="39">
        <f>IF($A460="","",IFERROR(INDEX(계정매핑!$D$5:$D$504,MATCH($F460&amp;"",계정매핑!$A$5:$A$504,0)),"미매핑"))</f>
        <v/>
      </c>
      <c r="X460" s="9">
        <f>IF($A460="","",$F460&amp;"")</f>
        <v/>
      </c>
    </row>
    <row r="461">
      <c r="A461" s="75" t="n">
        <v>2025</v>
      </c>
      <c r="B461" s="75" t="n">
        <v>3</v>
      </c>
      <c r="C461" s="75" t="inlineStr">
        <is>
          <t>5100000457</t>
        </is>
      </c>
      <c r="D461" s="78" t="n">
        <v>45725</v>
      </c>
      <c r="E461" s="75" t="inlineStr">
        <is>
          <t>KR</t>
        </is>
      </c>
      <c r="F461" s="75" t="n">
        <v>62201000</v>
      </c>
      <c r="G461" s="75" t="n">
        <v>1201</v>
      </c>
      <c r="H461" s="76" t="n">
        <v>221000</v>
      </c>
      <c r="I461" s="75" t="inlineStr">
        <is>
          <t>3월 통신요금 - O텔레콤</t>
        </is>
      </c>
      <c r="J461" s="75" t="inlineStr">
        <is>
          <t>V10002</t>
        </is>
      </c>
      <c r="K461" s="75" t="inlineStr">
        <is>
          <t>O텔레콤</t>
        </is>
      </c>
      <c r="M461" s="9">
        <f>IF($A461="","",VALUE($A461&amp;"")*12+VALUE($B461&amp;""))</f>
        <v/>
      </c>
      <c r="N461" s="39">
        <f>IF($A461="","",IFERROR(INDEX(부서매핑!$C$5:$C$504,MATCH($G461&amp;"",부서매핑!$A$5:$A$504,0)),"미매핑"))</f>
        <v/>
      </c>
      <c r="O461" s="9">
        <f>IF($A461="","",N461&amp;"|"&amp;$F461)</f>
        <v/>
      </c>
      <c r="P461" s="77">
        <f>IF($A461="",0,$H461*설정!$C$23)</f>
        <v/>
      </c>
      <c r="Q461" s="39">
        <f>IF($A461="","",IF(O461&lt;&gt;원인분석!$C$9,"",IF(AND(M461&gt;=원인분석!$C$10,M461&lt;=원인분석!$C$11),"당기",IF(AND(M461&gt;=원인분석!$C$12,M461&lt;=원인분석!$C$13),"비교",""))))</f>
        <v/>
      </c>
      <c r="R461" s="9">
        <f>IF(Q461="","",$K461&amp;"")</f>
        <v/>
      </c>
      <c r="S461" s="9">
        <f>IF(Q461="","",IF(MATCH(R461,$R$5:$R$100000,0)=ROW()-4,ROW(),""))</f>
        <v/>
      </c>
      <c r="T461" s="9">
        <f>IF(Q461="당기",ABS(P461)+ROW()/1000000000,"")</f>
        <v/>
      </c>
      <c r="U461" s="9">
        <f>IF(Q461="비교",ABS(P461)+ROW()/1000000000,"")</f>
        <v/>
      </c>
      <c r="V461" s="39">
        <f>IF($A461="","",IF(COUNTIF(변동분석!$E$7:$E$506,O461)&gt;0,"Y","N"))</f>
        <v/>
      </c>
      <c r="W461" s="39">
        <f>IF($A461="","",IFERROR(INDEX(계정매핑!$D$5:$D$504,MATCH($F461&amp;"",계정매핑!$A$5:$A$504,0)),"미매핑"))</f>
        <v/>
      </c>
      <c r="X461" s="9">
        <f>IF($A461="","",$F461&amp;"")</f>
        <v/>
      </c>
    </row>
    <row r="462">
      <c r="A462" s="75" t="n">
        <v>2025</v>
      </c>
      <c r="B462" s="75" t="n">
        <v>3</v>
      </c>
      <c r="C462" s="75" t="inlineStr">
        <is>
          <t>5100000458</t>
        </is>
      </c>
      <c r="D462" s="78" t="n">
        <v>45725</v>
      </c>
      <c r="E462" s="75" t="inlineStr">
        <is>
          <t>KR</t>
        </is>
      </c>
      <c r="F462" s="75" t="n">
        <v>62301000</v>
      </c>
      <c r="G462" s="75" t="n">
        <v>1201</v>
      </c>
      <c r="H462" s="76" t="n">
        <v>198000</v>
      </c>
      <c r="I462" s="75" t="inlineStr">
        <is>
          <t>3월 소모품 구입 - R문구</t>
        </is>
      </c>
      <c r="J462" s="75" t="inlineStr">
        <is>
          <t>V10018</t>
        </is>
      </c>
      <c r="K462" s="75" t="inlineStr">
        <is>
          <t>R문구</t>
        </is>
      </c>
      <c r="M462" s="9">
        <f>IF($A462="","",VALUE($A462&amp;"")*12+VALUE($B462&amp;""))</f>
        <v/>
      </c>
      <c r="N462" s="39">
        <f>IF($A462="","",IFERROR(INDEX(부서매핑!$C$5:$C$504,MATCH($G462&amp;"",부서매핑!$A$5:$A$504,0)),"미매핑"))</f>
        <v/>
      </c>
      <c r="O462" s="9">
        <f>IF($A462="","",N462&amp;"|"&amp;$F462)</f>
        <v/>
      </c>
      <c r="P462" s="77">
        <f>IF($A462="",0,$H462*설정!$C$23)</f>
        <v/>
      </c>
      <c r="Q462" s="39">
        <f>IF($A462="","",IF(O462&lt;&gt;원인분석!$C$9,"",IF(AND(M462&gt;=원인분석!$C$10,M462&lt;=원인분석!$C$11),"당기",IF(AND(M462&gt;=원인분석!$C$12,M462&lt;=원인분석!$C$13),"비교",""))))</f>
        <v/>
      </c>
      <c r="R462" s="9">
        <f>IF(Q462="","",$K462&amp;"")</f>
        <v/>
      </c>
      <c r="S462" s="9">
        <f>IF(Q462="","",IF(MATCH(R462,$R$5:$R$100000,0)=ROW()-4,ROW(),""))</f>
        <v/>
      </c>
      <c r="T462" s="9">
        <f>IF(Q462="당기",ABS(P462)+ROW()/1000000000,"")</f>
        <v/>
      </c>
      <c r="U462" s="9">
        <f>IF(Q462="비교",ABS(P462)+ROW()/1000000000,"")</f>
        <v/>
      </c>
      <c r="V462" s="39">
        <f>IF($A462="","",IF(COUNTIF(변동분석!$E$7:$E$506,O462)&gt;0,"Y","N"))</f>
        <v/>
      </c>
      <c r="W462" s="39">
        <f>IF($A462="","",IFERROR(INDEX(계정매핑!$D$5:$D$504,MATCH($F462&amp;"",계정매핑!$A$5:$A$504,0)),"미매핑"))</f>
        <v/>
      </c>
      <c r="X462" s="9">
        <f>IF($A462="","",$F462&amp;"")</f>
        <v/>
      </c>
    </row>
    <row r="463">
      <c r="A463" s="75" t="n">
        <v>2025</v>
      </c>
      <c r="B463" s="75" t="n">
        <v>3</v>
      </c>
      <c r="C463" s="75" t="inlineStr">
        <is>
          <t>5100000459</t>
        </is>
      </c>
      <c r="D463" s="78" t="n">
        <v>45725</v>
      </c>
      <c r="E463" s="75" t="inlineStr">
        <is>
          <t>KR</t>
        </is>
      </c>
      <c r="F463" s="75" t="n">
        <v>62801000</v>
      </c>
      <c r="G463" s="75" t="n">
        <v>1301</v>
      </c>
      <c r="H463" s="76" t="n">
        <v>2614000</v>
      </c>
      <c r="I463" s="75" t="inlineStr">
        <is>
          <t>3월 사내교육 - (사내강사료)</t>
        </is>
      </c>
      <c r="J463" s="75" t="inlineStr">
        <is>
          <t>V10020</t>
        </is>
      </c>
      <c r="K463" s="75" t="inlineStr">
        <is>
          <t>(사내강사료)</t>
        </is>
      </c>
      <c r="M463" s="9">
        <f>IF($A463="","",VALUE($A463&amp;"")*12+VALUE($B463&amp;""))</f>
        <v/>
      </c>
      <c r="N463" s="39">
        <f>IF($A463="","",IFERROR(INDEX(부서매핑!$C$5:$C$504,MATCH($G463&amp;"",부서매핑!$A$5:$A$504,0)),"미매핑"))</f>
        <v/>
      </c>
      <c r="O463" s="9">
        <f>IF($A463="","",N463&amp;"|"&amp;$F463)</f>
        <v/>
      </c>
      <c r="P463" s="77">
        <f>IF($A463="",0,$H463*설정!$C$23)</f>
        <v/>
      </c>
      <c r="Q463" s="39">
        <f>IF($A463="","",IF(O463&lt;&gt;원인분석!$C$9,"",IF(AND(M463&gt;=원인분석!$C$10,M463&lt;=원인분석!$C$11),"당기",IF(AND(M463&gt;=원인분석!$C$12,M463&lt;=원인분석!$C$13),"비교",""))))</f>
        <v/>
      </c>
      <c r="R463" s="9">
        <f>IF(Q463="","",$K463&amp;"")</f>
        <v/>
      </c>
      <c r="S463" s="9">
        <f>IF(Q463="","",IF(MATCH(R463,$R$5:$R$100000,0)=ROW()-4,ROW(),""))</f>
        <v/>
      </c>
      <c r="T463" s="9">
        <f>IF(Q463="당기",ABS(P463)+ROW()/1000000000,"")</f>
        <v/>
      </c>
      <c r="U463" s="9">
        <f>IF(Q463="비교",ABS(P463)+ROW()/1000000000,"")</f>
        <v/>
      </c>
      <c r="V463" s="39">
        <f>IF($A463="","",IF(COUNTIF(변동분석!$E$7:$E$506,O463)&gt;0,"Y","N"))</f>
        <v/>
      </c>
      <c r="W463" s="39">
        <f>IF($A463="","",IFERROR(INDEX(계정매핑!$D$5:$D$504,MATCH($F463&amp;"",계정매핑!$A$5:$A$504,0)),"미매핑"))</f>
        <v/>
      </c>
      <c r="X463" s="9">
        <f>IF($A463="","",$F463&amp;"")</f>
        <v/>
      </c>
    </row>
    <row r="464">
      <c r="A464" s="75" t="n">
        <v>2025</v>
      </c>
      <c r="B464" s="75" t="n">
        <v>3</v>
      </c>
      <c r="C464" s="75" t="inlineStr">
        <is>
          <t>5100000460</t>
        </is>
      </c>
      <c r="D464" s="78" t="n">
        <v>45725</v>
      </c>
      <c r="E464" s="75" t="inlineStr">
        <is>
          <t>KR</t>
        </is>
      </c>
      <c r="F464" s="75" t="n">
        <v>62901000</v>
      </c>
      <c r="G464" s="75" t="n">
        <v>1201</v>
      </c>
      <c r="H464" s="76" t="n">
        <v>12239000</v>
      </c>
      <c r="I464" s="75" t="inlineStr">
        <is>
          <t>3월 자문 수수료 - W컨설팅</t>
        </is>
      </c>
      <c r="J464" s="75" t="inlineStr">
        <is>
          <t>V10009</t>
        </is>
      </c>
      <c r="K464" s="75" t="inlineStr">
        <is>
          <t>W컨설팅</t>
        </is>
      </c>
      <c r="M464" s="9">
        <f>IF($A464="","",VALUE($A464&amp;"")*12+VALUE($B464&amp;""))</f>
        <v/>
      </c>
      <c r="N464" s="39">
        <f>IF($A464="","",IFERROR(INDEX(부서매핑!$C$5:$C$504,MATCH($G464&amp;"",부서매핑!$A$5:$A$504,0)),"미매핑"))</f>
        <v/>
      </c>
      <c r="O464" s="9">
        <f>IF($A464="","",N464&amp;"|"&amp;$F464)</f>
        <v/>
      </c>
      <c r="P464" s="77">
        <f>IF($A464="",0,$H464*설정!$C$23)</f>
        <v/>
      </c>
      <c r="Q464" s="39">
        <f>IF($A464="","",IF(O464&lt;&gt;원인분석!$C$9,"",IF(AND(M464&gt;=원인분석!$C$10,M464&lt;=원인분석!$C$11),"당기",IF(AND(M464&gt;=원인분석!$C$12,M464&lt;=원인분석!$C$13),"비교",""))))</f>
        <v/>
      </c>
      <c r="R464" s="9">
        <f>IF(Q464="","",$K464&amp;"")</f>
        <v/>
      </c>
      <c r="S464" s="9">
        <f>IF(Q464="","",IF(MATCH(R464,$R$5:$R$100000,0)=ROW()-4,ROW(),""))</f>
        <v/>
      </c>
      <c r="T464" s="9">
        <f>IF(Q464="당기",ABS(P464)+ROW()/1000000000,"")</f>
        <v/>
      </c>
      <c r="U464" s="9">
        <f>IF(Q464="비교",ABS(P464)+ROW()/1000000000,"")</f>
        <v/>
      </c>
      <c r="V464" s="39">
        <f>IF($A464="","",IF(COUNTIF(변동분석!$E$7:$E$506,O464)&gt;0,"Y","N"))</f>
        <v/>
      </c>
      <c r="W464" s="39">
        <f>IF($A464="","",IFERROR(INDEX(계정매핑!$D$5:$D$504,MATCH($F464&amp;"",계정매핑!$A$5:$A$504,0)),"미매핑"))</f>
        <v/>
      </c>
      <c r="X464" s="9">
        <f>IF($A464="","",$F464&amp;"")</f>
        <v/>
      </c>
    </row>
    <row r="465">
      <c r="A465" s="75" t="n">
        <v>2025</v>
      </c>
      <c r="B465" s="75" t="n">
        <v>3</v>
      </c>
      <c r="C465" s="75" t="inlineStr">
        <is>
          <t>5100000461</t>
        </is>
      </c>
      <c r="D465" s="78" t="n">
        <v>45726</v>
      </c>
      <c r="E465" s="75" t="inlineStr">
        <is>
          <t>KR</t>
        </is>
      </c>
      <c r="F465" s="75" t="n">
        <v>62201000</v>
      </c>
      <c r="G465" s="75" t="n">
        <v>1501</v>
      </c>
      <c r="H465" s="76" t="n">
        <v>248000</v>
      </c>
      <c r="I465" s="75" t="inlineStr">
        <is>
          <t>3월 통신요금 - O텔레콤</t>
        </is>
      </c>
      <c r="J465" s="75" t="inlineStr">
        <is>
          <t>V10002</t>
        </is>
      </c>
      <c r="K465" s="75" t="inlineStr">
        <is>
          <t>O텔레콤</t>
        </is>
      </c>
      <c r="M465" s="9">
        <f>IF($A465="","",VALUE($A465&amp;"")*12+VALUE($B465&amp;""))</f>
        <v/>
      </c>
      <c r="N465" s="39">
        <f>IF($A465="","",IFERROR(INDEX(부서매핑!$C$5:$C$504,MATCH($G465&amp;"",부서매핑!$A$5:$A$504,0)),"미매핑"))</f>
        <v/>
      </c>
      <c r="O465" s="9">
        <f>IF($A465="","",N465&amp;"|"&amp;$F465)</f>
        <v/>
      </c>
      <c r="P465" s="77">
        <f>IF($A465="",0,$H465*설정!$C$23)</f>
        <v/>
      </c>
      <c r="Q465" s="39">
        <f>IF($A465="","",IF(O465&lt;&gt;원인분석!$C$9,"",IF(AND(M465&gt;=원인분석!$C$10,M465&lt;=원인분석!$C$11),"당기",IF(AND(M465&gt;=원인분석!$C$12,M465&lt;=원인분석!$C$13),"비교",""))))</f>
        <v/>
      </c>
      <c r="R465" s="9">
        <f>IF(Q465="","",$K465&amp;"")</f>
        <v/>
      </c>
      <c r="S465" s="9">
        <f>IF(Q465="","",IF(MATCH(R465,$R$5:$R$100000,0)=ROW()-4,ROW(),""))</f>
        <v/>
      </c>
      <c r="T465" s="9">
        <f>IF(Q465="당기",ABS(P465)+ROW()/1000000000,"")</f>
        <v/>
      </c>
      <c r="U465" s="9">
        <f>IF(Q465="비교",ABS(P465)+ROW()/1000000000,"")</f>
        <v/>
      </c>
      <c r="V465" s="39">
        <f>IF($A465="","",IF(COUNTIF(변동분석!$E$7:$E$506,O465)&gt;0,"Y","N"))</f>
        <v/>
      </c>
      <c r="W465" s="39">
        <f>IF($A465="","",IFERROR(INDEX(계정매핑!$D$5:$D$504,MATCH($F465&amp;"",계정매핑!$A$5:$A$504,0)),"미매핑"))</f>
        <v/>
      </c>
      <c r="X465" s="9">
        <f>IF($A465="","",$F465&amp;"")</f>
        <v/>
      </c>
    </row>
    <row r="466">
      <c r="A466" s="75" t="n">
        <v>2025</v>
      </c>
      <c r="B466" s="75" t="n">
        <v>3</v>
      </c>
      <c r="C466" s="75" t="inlineStr">
        <is>
          <t>5100000462</t>
        </is>
      </c>
      <c r="D466" s="78" t="n">
        <v>45726</v>
      </c>
      <c r="E466" s="75" t="inlineStr">
        <is>
          <t>KR</t>
        </is>
      </c>
      <c r="F466" s="75" t="n">
        <v>62201000</v>
      </c>
      <c r="G466" s="75" t="n">
        <v>1701</v>
      </c>
      <c r="H466" s="76" t="n">
        <v>5509000</v>
      </c>
      <c r="I466" s="75" t="inlineStr">
        <is>
          <t>3월 통신요금 - O텔레콤</t>
        </is>
      </c>
      <c r="J466" s="75" t="inlineStr">
        <is>
          <t>V10002</t>
        </is>
      </c>
      <c r="K466" s="75" t="inlineStr">
        <is>
          <t>O텔레콤</t>
        </is>
      </c>
      <c r="M466" s="9">
        <f>IF($A466="","",VALUE($A466&amp;"")*12+VALUE($B466&amp;""))</f>
        <v/>
      </c>
      <c r="N466" s="39">
        <f>IF($A466="","",IFERROR(INDEX(부서매핑!$C$5:$C$504,MATCH($G466&amp;"",부서매핑!$A$5:$A$504,0)),"미매핑"))</f>
        <v/>
      </c>
      <c r="O466" s="9">
        <f>IF($A466="","",N466&amp;"|"&amp;$F466)</f>
        <v/>
      </c>
      <c r="P466" s="77">
        <f>IF($A466="",0,$H466*설정!$C$23)</f>
        <v/>
      </c>
      <c r="Q466" s="39">
        <f>IF($A466="","",IF(O466&lt;&gt;원인분석!$C$9,"",IF(AND(M466&gt;=원인분석!$C$10,M466&lt;=원인분석!$C$11),"당기",IF(AND(M466&gt;=원인분석!$C$12,M466&lt;=원인분석!$C$13),"비교",""))))</f>
        <v/>
      </c>
      <c r="R466" s="9">
        <f>IF(Q466="","",$K466&amp;"")</f>
        <v/>
      </c>
      <c r="S466" s="9">
        <f>IF(Q466="","",IF(MATCH(R466,$R$5:$R$100000,0)=ROW()-4,ROW(),""))</f>
        <v/>
      </c>
      <c r="T466" s="9">
        <f>IF(Q466="당기",ABS(P466)+ROW()/1000000000,"")</f>
        <v/>
      </c>
      <c r="U466" s="9">
        <f>IF(Q466="비교",ABS(P466)+ROW()/1000000000,"")</f>
        <v/>
      </c>
      <c r="V466" s="39">
        <f>IF($A466="","",IF(COUNTIF(변동분석!$E$7:$E$506,O466)&gt;0,"Y","N"))</f>
        <v/>
      </c>
      <c r="W466" s="39">
        <f>IF($A466="","",IFERROR(INDEX(계정매핑!$D$5:$D$504,MATCH($F466&amp;"",계정매핑!$A$5:$A$504,0)),"미매핑"))</f>
        <v/>
      </c>
      <c r="X466" s="9">
        <f>IF($A466="","",$F466&amp;"")</f>
        <v/>
      </c>
    </row>
    <row r="467">
      <c r="A467" s="75" t="n">
        <v>2025</v>
      </c>
      <c r="B467" s="75" t="n">
        <v>3</v>
      </c>
      <c r="C467" s="75" t="inlineStr">
        <is>
          <t>5100000463</t>
        </is>
      </c>
      <c r="D467" s="78" t="n">
        <v>45726</v>
      </c>
      <c r="E467" s="75" t="inlineStr">
        <is>
          <t>KR</t>
        </is>
      </c>
      <c r="F467" s="75" t="n">
        <v>62301000</v>
      </c>
      <c r="G467" s="75" t="n">
        <v>1501</v>
      </c>
      <c r="H467" s="76" t="n">
        <v>158000</v>
      </c>
      <c r="I467" s="75" t="inlineStr">
        <is>
          <t>3월 소모품 구입 - R문구</t>
        </is>
      </c>
      <c r="J467" s="75" t="inlineStr">
        <is>
          <t>V10018</t>
        </is>
      </c>
      <c r="K467" s="75" t="inlineStr">
        <is>
          <t>R문구</t>
        </is>
      </c>
      <c r="M467" s="9">
        <f>IF($A467="","",VALUE($A467&amp;"")*12+VALUE($B467&amp;""))</f>
        <v/>
      </c>
      <c r="N467" s="39">
        <f>IF($A467="","",IFERROR(INDEX(부서매핑!$C$5:$C$504,MATCH($G467&amp;"",부서매핑!$A$5:$A$504,0)),"미매핑"))</f>
        <v/>
      </c>
      <c r="O467" s="9">
        <f>IF($A467="","",N467&amp;"|"&amp;$F467)</f>
        <v/>
      </c>
      <c r="P467" s="77">
        <f>IF($A467="",0,$H467*설정!$C$23)</f>
        <v/>
      </c>
      <c r="Q467" s="39">
        <f>IF($A467="","",IF(O467&lt;&gt;원인분석!$C$9,"",IF(AND(M467&gt;=원인분석!$C$10,M467&lt;=원인분석!$C$11),"당기",IF(AND(M467&gt;=원인분석!$C$12,M467&lt;=원인분석!$C$13),"비교",""))))</f>
        <v/>
      </c>
      <c r="R467" s="9">
        <f>IF(Q467="","",$K467&amp;"")</f>
        <v/>
      </c>
      <c r="S467" s="9">
        <f>IF(Q467="","",IF(MATCH(R467,$R$5:$R$100000,0)=ROW()-4,ROW(),""))</f>
        <v/>
      </c>
      <c r="T467" s="9">
        <f>IF(Q467="당기",ABS(P467)+ROW()/1000000000,"")</f>
        <v/>
      </c>
      <c r="U467" s="9">
        <f>IF(Q467="비교",ABS(P467)+ROW()/1000000000,"")</f>
        <v/>
      </c>
      <c r="V467" s="39">
        <f>IF($A467="","",IF(COUNTIF(변동분석!$E$7:$E$506,O467)&gt;0,"Y","N"))</f>
        <v/>
      </c>
      <c r="W467" s="39">
        <f>IF($A467="","",IFERROR(INDEX(계정매핑!$D$5:$D$504,MATCH($F467&amp;"",계정매핑!$A$5:$A$504,0)),"미매핑"))</f>
        <v/>
      </c>
      <c r="X467" s="9">
        <f>IF($A467="","",$F467&amp;"")</f>
        <v/>
      </c>
    </row>
    <row r="468">
      <c r="A468" s="75" t="n">
        <v>2025</v>
      </c>
      <c r="B468" s="75" t="n">
        <v>3</v>
      </c>
      <c r="C468" s="75" t="inlineStr">
        <is>
          <t>5100000464</t>
        </is>
      </c>
      <c r="D468" s="78" t="n">
        <v>45726</v>
      </c>
      <c r="E468" s="75" t="inlineStr">
        <is>
          <t>KR</t>
        </is>
      </c>
      <c r="F468" s="75" t="n">
        <v>62901000</v>
      </c>
      <c r="G468" s="75" t="n">
        <v>1401</v>
      </c>
      <c r="H468" s="76" t="n">
        <v>2585000</v>
      </c>
      <c r="I468" s="75" t="inlineStr">
        <is>
          <t>3월 자문 수수료 - K회계법인</t>
        </is>
      </c>
      <c r="J468" s="75" t="inlineStr">
        <is>
          <t>V10010</t>
        </is>
      </c>
      <c r="K468" s="75" t="inlineStr">
        <is>
          <t>K회계법인</t>
        </is>
      </c>
      <c r="M468" s="9">
        <f>IF($A468="","",VALUE($A468&amp;"")*12+VALUE($B468&amp;""))</f>
        <v/>
      </c>
      <c r="N468" s="39">
        <f>IF($A468="","",IFERROR(INDEX(부서매핑!$C$5:$C$504,MATCH($G468&amp;"",부서매핑!$A$5:$A$504,0)),"미매핑"))</f>
        <v/>
      </c>
      <c r="O468" s="9">
        <f>IF($A468="","",N468&amp;"|"&amp;$F468)</f>
        <v/>
      </c>
      <c r="P468" s="77">
        <f>IF($A468="",0,$H468*설정!$C$23)</f>
        <v/>
      </c>
      <c r="Q468" s="39">
        <f>IF($A468="","",IF(O468&lt;&gt;원인분석!$C$9,"",IF(AND(M468&gt;=원인분석!$C$10,M468&lt;=원인분석!$C$11),"당기",IF(AND(M468&gt;=원인분석!$C$12,M468&lt;=원인분석!$C$13),"비교",""))))</f>
        <v/>
      </c>
      <c r="R468" s="9">
        <f>IF(Q468="","",$K468&amp;"")</f>
        <v/>
      </c>
      <c r="S468" s="9">
        <f>IF(Q468="","",IF(MATCH(R468,$R$5:$R$100000,0)=ROW()-4,ROW(),""))</f>
        <v/>
      </c>
      <c r="T468" s="9">
        <f>IF(Q468="당기",ABS(P468)+ROW()/1000000000,"")</f>
        <v/>
      </c>
      <c r="U468" s="9">
        <f>IF(Q468="비교",ABS(P468)+ROW()/1000000000,"")</f>
        <v/>
      </c>
      <c r="V468" s="39">
        <f>IF($A468="","",IF(COUNTIF(변동분석!$E$7:$E$506,O468)&gt;0,"Y","N"))</f>
        <v/>
      </c>
      <c r="W468" s="39">
        <f>IF($A468="","",IFERROR(INDEX(계정매핑!$D$5:$D$504,MATCH($F468&amp;"",계정매핑!$A$5:$A$504,0)),"미매핑"))</f>
        <v/>
      </c>
      <c r="X468" s="9">
        <f>IF($A468="","",$F468&amp;"")</f>
        <v/>
      </c>
    </row>
    <row r="469">
      <c r="A469" s="75" t="n">
        <v>2025</v>
      </c>
      <c r="B469" s="75" t="n">
        <v>3</v>
      </c>
      <c r="C469" s="75" t="inlineStr">
        <is>
          <t>5100000465</t>
        </is>
      </c>
      <c r="D469" s="78" t="n">
        <v>45727</v>
      </c>
      <c r="E469" s="75" t="inlineStr">
        <is>
          <t>KR</t>
        </is>
      </c>
      <c r="F469" s="75" t="n">
        <v>62101000</v>
      </c>
      <c r="G469" s="75" t="n">
        <v>1301</v>
      </c>
      <c r="H469" s="76" t="n">
        <v>305000</v>
      </c>
      <c r="I469" s="75" t="inlineStr">
        <is>
          <t>3월 국내출장 - L여행사</t>
        </is>
      </c>
      <c r="J469" s="75" t="inlineStr">
        <is>
          <t>V10014</t>
        </is>
      </c>
      <c r="K469" s="75" t="inlineStr">
        <is>
          <t>L여행사</t>
        </is>
      </c>
      <c r="M469" s="9">
        <f>IF($A469="","",VALUE($A469&amp;"")*12+VALUE($B469&amp;""))</f>
        <v/>
      </c>
      <c r="N469" s="39">
        <f>IF($A469="","",IFERROR(INDEX(부서매핑!$C$5:$C$504,MATCH($G469&amp;"",부서매핑!$A$5:$A$504,0)),"미매핑"))</f>
        <v/>
      </c>
      <c r="O469" s="9">
        <f>IF($A469="","",N469&amp;"|"&amp;$F469)</f>
        <v/>
      </c>
      <c r="P469" s="77">
        <f>IF($A469="",0,$H469*설정!$C$23)</f>
        <v/>
      </c>
      <c r="Q469" s="39">
        <f>IF($A469="","",IF(O469&lt;&gt;원인분석!$C$9,"",IF(AND(M469&gt;=원인분석!$C$10,M469&lt;=원인분석!$C$11),"당기",IF(AND(M469&gt;=원인분석!$C$12,M469&lt;=원인분석!$C$13),"비교",""))))</f>
        <v/>
      </c>
      <c r="R469" s="9">
        <f>IF(Q469="","",$K469&amp;"")</f>
        <v/>
      </c>
      <c r="S469" s="9">
        <f>IF(Q469="","",IF(MATCH(R469,$R$5:$R$100000,0)=ROW()-4,ROW(),""))</f>
        <v/>
      </c>
      <c r="T469" s="9">
        <f>IF(Q469="당기",ABS(P469)+ROW()/1000000000,"")</f>
        <v/>
      </c>
      <c r="U469" s="9">
        <f>IF(Q469="비교",ABS(P469)+ROW()/1000000000,"")</f>
        <v/>
      </c>
      <c r="V469" s="39">
        <f>IF($A469="","",IF(COUNTIF(변동분석!$E$7:$E$506,O469)&gt;0,"Y","N"))</f>
        <v/>
      </c>
      <c r="W469" s="39">
        <f>IF($A469="","",IFERROR(INDEX(계정매핑!$D$5:$D$504,MATCH($F469&amp;"",계정매핑!$A$5:$A$504,0)),"미매핑"))</f>
        <v/>
      </c>
      <c r="X469" s="9">
        <f>IF($A469="","",$F469&amp;"")</f>
        <v/>
      </c>
    </row>
    <row r="470">
      <c r="A470" s="75" t="n">
        <v>2025</v>
      </c>
      <c r="B470" s="75" t="n">
        <v>3</v>
      </c>
      <c r="C470" s="75" t="inlineStr">
        <is>
          <t>5100000466</t>
        </is>
      </c>
      <c r="D470" s="78" t="n">
        <v>45727</v>
      </c>
      <c r="E470" s="75" t="inlineStr">
        <is>
          <t>KR</t>
        </is>
      </c>
      <c r="F470" s="75" t="n">
        <v>62101000</v>
      </c>
      <c r="G470" s="75" t="n">
        <v>1601</v>
      </c>
      <c r="H470" s="76" t="n">
        <v>1128000</v>
      </c>
      <c r="I470" s="75" t="inlineStr">
        <is>
          <t>3월 국내출장 - L여행사</t>
        </is>
      </c>
      <c r="J470" s="75" t="inlineStr">
        <is>
          <t>V10014</t>
        </is>
      </c>
      <c r="K470" s="75" t="inlineStr">
        <is>
          <t>L여행사</t>
        </is>
      </c>
      <c r="M470" s="9">
        <f>IF($A470="","",VALUE($A470&amp;"")*12+VALUE($B470&amp;""))</f>
        <v/>
      </c>
      <c r="N470" s="39">
        <f>IF($A470="","",IFERROR(INDEX(부서매핑!$C$5:$C$504,MATCH($G470&amp;"",부서매핑!$A$5:$A$504,0)),"미매핑"))</f>
        <v/>
      </c>
      <c r="O470" s="9">
        <f>IF($A470="","",N470&amp;"|"&amp;$F470)</f>
        <v/>
      </c>
      <c r="P470" s="77">
        <f>IF($A470="",0,$H470*설정!$C$23)</f>
        <v/>
      </c>
      <c r="Q470" s="39">
        <f>IF($A470="","",IF(O470&lt;&gt;원인분석!$C$9,"",IF(AND(M470&gt;=원인분석!$C$10,M470&lt;=원인분석!$C$11),"당기",IF(AND(M470&gt;=원인분석!$C$12,M470&lt;=원인분석!$C$13),"비교",""))))</f>
        <v/>
      </c>
      <c r="R470" s="9">
        <f>IF(Q470="","",$K470&amp;"")</f>
        <v/>
      </c>
      <c r="S470" s="9">
        <f>IF(Q470="","",IF(MATCH(R470,$R$5:$R$100000,0)=ROW()-4,ROW(),""))</f>
        <v/>
      </c>
      <c r="T470" s="9">
        <f>IF(Q470="당기",ABS(P470)+ROW()/1000000000,"")</f>
        <v/>
      </c>
      <c r="U470" s="9">
        <f>IF(Q470="비교",ABS(P470)+ROW()/1000000000,"")</f>
        <v/>
      </c>
      <c r="V470" s="39">
        <f>IF($A470="","",IF(COUNTIF(변동분석!$E$7:$E$506,O470)&gt;0,"Y","N"))</f>
        <v/>
      </c>
      <c r="W470" s="39">
        <f>IF($A470="","",IFERROR(INDEX(계정매핑!$D$5:$D$504,MATCH($F470&amp;"",계정매핑!$A$5:$A$504,0)),"미매핑"))</f>
        <v/>
      </c>
      <c r="X470" s="9">
        <f>IF($A470="","",$F470&amp;"")</f>
        <v/>
      </c>
    </row>
    <row r="471">
      <c r="A471" s="75" t="n">
        <v>2025</v>
      </c>
      <c r="B471" s="75" t="n">
        <v>3</v>
      </c>
      <c r="C471" s="75" t="inlineStr">
        <is>
          <t>5100000467</t>
        </is>
      </c>
      <c r="D471" s="78" t="n">
        <v>45727</v>
      </c>
      <c r="E471" s="75" t="inlineStr">
        <is>
          <t>KR</t>
        </is>
      </c>
      <c r="F471" s="75" t="n">
        <v>62102000</v>
      </c>
      <c r="G471" s="75" t="n">
        <v>1101</v>
      </c>
      <c r="H471" s="76" t="n">
        <v>114000</v>
      </c>
      <c r="I471" s="75" t="inlineStr">
        <is>
          <t>3월 해외출장 - M항공</t>
        </is>
      </c>
      <c r="J471" s="75" t="inlineStr">
        <is>
          <t>V10001</t>
        </is>
      </c>
      <c r="K471" s="75" t="inlineStr">
        <is>
          <t>M항공</t>
        </is>
      </c>
      <c r="M471" s="9">
        <f>IF($A471="","",VALUE($A471&amp;"")*12+VALUE($B471&amp;""))</f>
        <v/>
      </c>
      <c r="N471" s="39">
        <f>IF($A471="","",IFERROR(INDEX(부서매핑!$C$5:$C$504,MATCH($G471&amp;"",부서매핑!$A$5:$A$504,0)),"미매핑"))</f>
        <v/>
      </c>
      <c r="O471" s="9">
        <f>IF($A471="","",N471&amp;"|"&amp;$F471)</f>
        <v/>
      </c>
      <c r="P471" s="77">
        <f>IF($A471="",0,$H471*설정!$C$23)</f>
        <v/>
      </c>
      <c r="Q471" s="39">
        <f>IF($A471="","",IF(O471&lt;&gt;원인분석!$C$9,"",IF(AND(M471&gt;=원인분석!$C$10,M471&lt;=원인분석!$C$11),"당기",IF(AND(M471&gt;=원인분석!$C$12,M471&lt;=원인분석!$C$13),"비교",""))))</f>
        <v/>
      </c>
      <c r="R471" s="9">
        <f>IF(Q471="","",$K471&amp;"")</f>
        <v/>
      </c>
      <c r="S471" s="9">
        <f>IF(Q471="","",IF(MATCH(R471,$R$5:$R$100000,0)=ROW()-4,ROW(),""))</f>
        <v/>
      </c>
      <c r="T471" s="9">
        <f>IF(Q471="당기",ABS(P471)+ROW()/1000000000,"")</f>
        <v/>
      </c>
      <c r="U471" s="9">
        <f>IF(Q471="비교",ABS(P471)+ROW()/1000000000,"")</f>
        <v/>
      </c>
      <c r="V471" s="39">
        <f>IF($A471="","",IF(COUNTIF(변동분석!$E$7:$E$506,O471)&gt;0,"Y","N"))</f>
        <v/>
      </c>
      <c r="W471" s="39">
        <f>IF($A471="","",IFERROR(INDEX(계정매핑!$D$5:$D$504,MATCH($F471&amp;"",계정매핑!$A$5:$A$504,0)),"미매핑"))</f>
        <v/>
      </c>
      <c r="X471" s="9">
        <f>IF($A471="","",$F471&amp;"")</f>
        <v/>
      </c>
    </row>
    <row r="472">
      <c r="A472" s="75" t="n">
        <v>2025</v>
      </c>
      <c r="B472" s="75" t="n">
        <v>3</v>
      </c>
      <c r="C472" s="75" t="inlineStr">
        <is>
          <t>5100000468</t>
        </is>
      </c>
      <c r="D472" s="78" t="n">
        <v>45727</v>
      </c>
      <c r="E472" s="75" t="inlineStr">
        <is>
          <t>KR</t>
        </is>
      </c>
      <c r="F472" s="75" t="n">
        <v>62102000</v>
      </c>
      <c r="G472" s="75" t="n">
        <v>1801</v>
      </c>
      <c r="H472" s="76" t="n">
        <v>36000</v>
      </c>
      <c r="I472" s="75" t="inlineStr">
        <is>
          <t>3월 해외출장 - M항공</t>
        </is>
      </c>
      <c r="J472" s="75" t="inlineStr">
        <is>
          <t>V10001</t>
        </is>
      </c>
      <c r="K472" s="75" t="inlineStr">
        <is>
          <t>M항공</t>
        </is>
      </c>
      <c r="M472" s="9">
        <f>IF($A472="","",VALUE($A472&amp;"")*12+VALUE($B472&amp;""))</f>
        <v/>
      </c>
      <c r="N472" s="39">
        <f>IF($A472="","",IFERROR(INDEX(부서매핑!$C$5:$C$504,MATCH($G472&amp;"",부서매핑!$A$5:$A$504,0)),"미매핑"))</f>
        <v/>
      </c>
      <c r="O472" s="9">
        <f>IF($A472="","",N472&amp;"|"&amp;$F472)</f>
        <v/>
      </c>
      <c r="P472" s="77">
        <f>IF($A472="",0,$H472*설정!$C$23)</f>
        <v/>
      </c>
      <c r="Q472" s="39">
        <f>IF($A472="","",IF(O472&lt;&gt;원인분석!$C$9,"",IF(AND(M472&gt;=원인분석!$C$10,M472&lt;=원인분석!$C$11),"당기",IF(AND(M472&gt;=원인분석!$C$12,M472&lt;=원인분석!$C$13),"비교",""))))</f>
        <v/>
      </c>
      <c r="R472" s="9">
        <f>IF(Q472="","",$K472&amp;"")</f>
        <v/>
      </c>
      <c r="S472" s="9">
        <f>IF(Q472="","",IF(MATCH(R472,$R$5:$R$100000,0)=ROW()-4,ROW(),""))</f>
        <v/>
      </c>
      <c r="T472" s="9">
        <f>IF(Q472="당기",ABS(P472)+ROW()/1000000000,"")</f>
        <v/>
      </c>
      <c r="U472" s="9">
        <f>IF(Q472="비교",ABS(P472)+ROW()/1000000000,"")</f>
        <v/>
      </c>
      <c r="V472" s="39">
        <f>IF($A472="","",IF(COUNTIF(변동분석!$E$7:$E$506,O472)&gt;0,"Y","N"))</f>
        <v/>
      </c>
      <c r="W472" s="39">
        <f>IF($A472="","",IFERROR(INDEX(계정매핑!$D$5:$D$504,MATCH($F472&amp;"",계정매핑!$A$5:$A$504,0)),"미매핑"))</f>
        <v/>
      </c>
      <c r="X472" s="9">
        <f>IF($A472="","",$F472&amp;"")</f>
        <v/>
      </c>
    </row>
    <row r="473">
      <c r="A473" s="75" t="n">
        <v>2025</v>
      </c>
      <c r="B473" s="75" t="n">
        <v>3</v>
      </c>
      <c r="C473" s="75" t="inlineStr">
        <is>
          <t>5100000469</t>
        </is>
      </c>
      <c r="D473" s="78" t="n">
        <v>45727</v>
      </c>
      <c r="E473" s="75" t="inlineStr">
        <is>
          <t>KR</t>
        </is>
      </c>
      <c r="F473" s="75" t="n">
        <v>62201000</v>
      </c>
      <c r="G473" s="75" t="n">
        <v>1301</v>
      </c>
      <c r="H473" s="76" t="n">
        <v>129000</v>
      </c>
      <c r="I473" s="75" t="inlineStr">
        <is>
          <t>3월 통신요금 - O텔레콤</t>
        </is>
      </c>
      <c r="J473" s="75" t="inlineStr">
        <is>
          <t>V10002</t>
        </is>
      </c>
      <c r="K473" s="75" t="inlineStr">
        <is>
          <t>O텔레콤</t>
        </is>
      </c>
      <c r="M473" s="9">
        <f>IF($A473="","",VALUE($A473&amp;"")*12+VALUE($B473&amp;""))</f>
        <v/>
      </c>
      <c r="N473" s="39">
        <f>IF($A473="","",IFERROR(INDEX(부서매핑!$C$5:$C$504,MATCH($G473&amp;"",부서매핑!$A$5:$A$504,0)),"미매핑"))</f>
        <v/>
      </c>
      <c r="O473" s="9">
        <f>IF($A473="","",N473&amp;"|"&amp;$F473)</f>
        <v/>
      </c>
      <c r="P473" s="77">
        <f>IF($A473="",0,$H473*설정!$C$23)</f>
        <v/>
      </c>
      <c r="Q473" s="39">
        <f>IF($A473="","",IF(O473&lt;&gt;원인분석!$C$9,"",IF(AND(M473&gt;=원인분석!$C$10,M473&lt;=원인분석!$C$11),"당기",IF(AND(M473&gt;=원인분석!$C$12,M473&lt;=원인분석!$C$13),"비교",""))))</f>
        <v/>
      </c>
      <c r="R473" s="9">
        <f>IF(Q473="","",$K473&amp;"")</f>
        <v/>
      </c>
      <c r="S473" s="9">
        <f>IF(Q473="","",IF(MATCH(R473,$R$5:$R$100000,0)=ROW()-4,ROW(),""))</f>
        <v/>
      </c>
      <c r="T473" s="9">
        <f>IF(Q473="당기",ABS(P473)+ROW()/1000000000,"")</f>
        <v/>
      </c>
      <c r="U473" s="9">
        <f>IF(Q473="비교",ABS(P473)+ROW()/1000000000,"")</f>
        <v/>
      </c>
      <c r="V473" s="39">
        <f>IF($A473="","",IF(COUNTIF(변동분석!$E$7:$E$506,O473)&gt;0,"Y","N"))</f>
        <v/>
      </c>
      <c r="W473" s="39">
        <f>IF($A473="","",IFERROR(INDEX(계정매핑!$D$5:$D$504,MATCH($F473&amp;"",계정매핑!$A$5:$A$504,0)),"미매핑"))</f>
        <v/>
      </c>
      <c r="X473" s="9">
        <f>IF($A473="","",$F473&amp;"")</f>
        <v/>
      </c>
    </row>
    <row r="474">
      <c r="A474" s="75" t="n">
        <v>2025</v>
      </c>
      <c r="B474" s="75" t="n">
        <v>3</v>
      </c>
      <c r="C474" s="75" t="inlineStr">
        <is>
          <t>5100000470</t>
        </is>
      </c>
      <c r="D474" s="78" t="n">
        <v>45727</v>
      </c>
      <c r="E474" s="75" t="inlineStr">
        <is>
          <t>KR</t>
        </is>
      </c>
      <c r="F474" s="75" t="n">
        <v>62301000</v>
      </c>
      <c r="G474" s="75" t="n">
        <v>1601</v>
      </c>
      <c r="H474" s="76" t="n">
        <v>444000</v>
      </c>
      <c r="I474" s="75" t="inlineStr">
        <is>
          <t>3월 소모품 구입 - Q오피스</t>
        </is>
      </c>
      <c r="J474" s="75" t="inlineStr">
        <is>
          <t>V10003</t>
        </is>
      </c>
      <c r="K474" s="75" t="inlineStr">
        <is>
          <t>Q오피스</t>
        </is>
      </c>
      <c r="M474" s="9">
        <f>IF($A474="","",VALUE($A474&amp;"")*12+VALUE($B474&amp;""))</f>
        <v/>
      </c>
      <c r="N474" s="39">
        <f>IF($A474="","",IFERROR(INDEX(부서매핑!$C$5:$C$504,MATCH($G474&amp;"",부서매핑!$A$5:$A$504,0)),"미매핑"))</f>
        <v/>
      </c>
      <c r="O474" s="9">
        <f>IF($A474="","",N474&amp;"|"&amp;$F474)</f>
        <v/>
      </c>
      <c r="P474" s="77">
        <f>IF($A474="",0,$H474*설정!$C$23)</f>
        <v/>
      </c>
      <c r="Q474" s="39">
        <f>IF($A474="","",IF(O474&lt;&gt;원인분석!$C$9,"",IF(AND(M474&gt;=원인분석!$C$10,M474&lt;=원인분석!$C$11),"당기",IF(AND(M474&gt;=원인분석!$C$12,M474&lt;=원인분석!$C$13),"비교",""))))</f>
        <v/>
      </c>
      <c r="R474" s="9">
        <f>IF(Q474="","",$K474&amp;"")</f>
        <v/>
      </c>
      <c r="S474" s="9">
        <f>IF(Q474="","",IF(MATCH(R474,$R$5:$R$100000,0)=ROW()-4,ROW(),""))</f>
        <v/>
      </c>
      <c r="T474" s="9">
        <f>IF(Q474="당기",ABS(P474)+ROW()/1000000000,"")</f>
        <v/>
      </c>
      <c r="U474" s="9">
        <f>IF(Q474="비교",ABS(P474)+ROW()/1000000000,"")</f>
        <v/>
      </c>
      <c r="V474" s="39">
        <f>IF($A474="","",IF(COUNTIF(변동분석!$E$7:$E$506,O474)&gt;0,"Y","N"))</f>
        <v/>
      </c>
      <c r="W474" s="39">
        <f>IF($A474="","",IFERROR(INDEX(계정매핑!$D$5:$D$504,MATCH($F474&amp;"",계정매핑!$A$5:$A$504,0)),"미매핑"))</f>
        <v/>
      </c>
      <c r="X474" s="9">
        <f>IF($A474="","",$F474&amp;"")</f>
        <v/>
      </c>
    </row>
    <row r="475">
      <c r="A475" s="75" t="n">
        <v>2025</v>
      </c>
      <c r="B475" s="75" t="n">
        <v>3</v>
      </c>
      <c r="C475" s="75" t="inlineStr">
        <is>
          <t>5100000471</t>
        </is>
      </c>
      <c r="D475" s="78" t="n">
        <v>45727</v>
      </c>
      <c r="E475" s="75" t="inlineStr">
        <is>
          <t>KR</t>
        </is>
      </c>
      <c r="F475" s="75" t="n">
        <v>62301000</v>
      </c>
      <c r="G475" s="75" t="n">
        <v>1701</v>
      </c>
      <c r="H475" s="76" t="n">
        <v>124000</v>
      </c>
      <c r="I475" s="75" t="inlineStr">
        <is>
          <t>3월 소모품 구입 - R문구</t>
        </is>
      </c>
      <c r="J475" s="75" t="inlineStr">
        <is>
          <t>V10018</t>
        </is>
      </c>
      <c r="K475" s="75" t="inlineStr">
        <is>
          <t>R문구</t>
        </is>
      </c>
      <c r="M475" s="9">
        <f>IF($A475="","",VALUE($A475&amp;"")*12+VALUE($B475&amp;""))</f>
        <v/>
      </c>
      <c r="N475" s="39">
        <f>IF($A475="","",IFERROR(INDEX(부서매핑!$C$5:$C$504,MATCH($G475&amp;"",부서매핑!$A$5:$A$504,0)),"미매핑"))</f>
        <v/>
      </c>
      <c r="O475" s="9">
        <f>IF($A475="","",N475&amp;"|"&amp;$F475)</f>
        <v/>
      </c>
      <c r="P475" s="77">
        <f>IF($A475="",0,$H475*설정!$C$23)</f>
        <v/>
      </c>
      <c r="Q475" s="39">
        <f>IF($A475="","",IF(O475&lt;&gt;원인분석!$C$9,"",IF(AND(M475&gt;=원인분석!$C$10,M475&lt;=원인분석!$C$11),"당기",IF(AND(M475&gt;=원인분석!$C$12,M475&lt;=원인분석!$C$13),"비교",""))))</f>
        <v/>
      </c>
      <c r="R475" s="9">
        <f>IF(Q475="","",$K475&amp;"")</f>
        <v/>
      </c>
      <c r="S475" s="9">
        <f>IF(Q475="","",IF(MATCH(R475,$R$5:$R$100000,0)=ROW()-4,ROW(),""))</f>
        <v/>
      </c>
      <c r="T475" s="9">
        <f>IF(Q475="당기",ABS(P475)+ROW()/1000000000,"")</f>
        <v/>
      </c>
      <c r="U475" s="9">
        <f>IF(Q475="비교",ABS(P475)+ROW()/1000000000,"")</f>
        <v/>
      </c>
      <c r="V475" s="39">
        <f>IF($A475="","",IF(COUNTIF(변동분석!$E$7:$E$506,O475)&gt;0,"Y","N"))</f>
        <v/>
      </c>
      <c r="W475" s="39">
        <f>IF($A475="","",IFERROR(INDEX(계정매핑!$D$5:$D$504,MATCH($F475&amp;"",계정매핑!$A$5:$A$504,0)),"미매핑"))</f>
        <v/>
      </c>
      <c r="X475" s="9">
        <f>IF($A475="","",$F475&amp;"")</f>
        <v/>
      </c>
    </row>
    <row r="476">
      <c r="A476" s="75" t="n">
        <v>2025</v>
      </c>
      <c r="B476" s="75" t="n">
        <v>3</v>
      </c>
      <c r="C476" s="75" t="inlineStr">
        <is>
          <t>5100000472</t>
        </is>
      </c>
      <c r="D476" s="78" t="n">
        <v>45727</v>
      </c>
      <c r="E476" s="75" t="inlineStr">
        <is>
          <t>KR</t>
        </is>
      </c>
      <c r="F476" s="75" t="n">
        <v>62501000</v>
      </c>
      <c r="G476" s="75" t="n">
        <v>1501</v>
      </c>
      <c r="H476" s="76" t="n">
        <v>305000</v>
      </c>
      <c r="I476" s="75" t="inlineStr">
        <is>
          <t>3월 회의 다과 - T케이터링</t>
        </is>
      </c>
      <c r="J476" s="75" t="inlineStr">
        <is>
          <t>V10005</t>
        </is>
      </c>
      <c r="K476" s="75" t="inlineStr">
        <is>
          <t>T케이터링</t>
        </is>
      </c>
      <c r="M476" s="9">
        <f>IF($A476="","",VALUE($A476&amp;"")*12+VALUE($B476&amp;""))</f>
        <v/>
      </c>
      <c r="N476" s="39">
        <f>IF($A476="","",IFERROR(INDEX(부서매핑!$C$5:$C$504,MATCH($G476&amp;"",부서매핑!$A$5:$A$504,0)),"미매핑"))</f>
        <v/>
      </c>
      <c r="O476" s="9">
        <f>IF($A476="","",N476&amp;"|"&amp;$F476)</f>
        <v/>
      </c>
      <c r="P476" s="77">
        <f>IF($A476="",0,$H476*설정!$C$23)</f>
        <v/>
      </c>
      <c r="Q476" s="39">
        <f>IF($A476="","",IF(O476&lt;&gt;원인분석!$C$9,"",IF(AND(M476&gt;=원인분석!$C$10,M476&lt;=원인분석!$C$11),"당기",IF(AND(M476&gt;=원인분석!$C$12,M476&lt;=원인분석!$C$13),"비교",""))))</f>
        <v/>
      </c>
      <c r="R476" s="9">
        <f>IF(Q476="","",$K476&amp;"")</f>
        <v/>
      </c>
      <c r="S476" s="9">
        <f>IF(Q476="","",IF(MATCH(R476,$R$5:$R$100000,0)=ROW()-4,ROW(),""))</f>
        <v/>
      </c>
      <c r="T476" s="9">
        <f>IF(Q476="당기",ABS(P476)+ROW()/1000000000,"")</f>
        <v/>
      </c>
      <c r="U476" s="9">
        <f>IF(Q476="비교",ABS(P476)+ROW()/1000000000,"")</f>
        <v/>
      </c>
      <c r="V476" s="39">
        <f>IF($A476="","",IF(COUNTIF(변동분석!$E$7:$E$506,O476)&gt;0,"Y","N"))</f>
        <v/>
      </c>
      <c r="W476" s="39">
        <f>IF($A476="","",IFERROR(INDEX(계정매핑!$D$5:$D$504,MATCH($F476&amp;"",계정매핑!$A$5:$A$504,0)),"미매핑"))</f>
        <v/>
      </c>
      <c r="X476" s="9">
        <f>IF($A476="","",$F476&amp;"")</f>
        <v/>
      </c>
    </row>
    <row r="477">
      <c r="A477" s="75" t="n">
        <v>2025</v>
      </c>
      <c r="B477" s="75" t="n">
        <v>3</v>
      </c>
      <c r="C477" s="75" t="inlineStr">
        <is>
          <t>5100000473</t>
        </is>
      </c>
      <c r="D477" s="78" t="n">
        <v>45727</v>
      </c>
      <c r="E477" s="75" t="inlineStr">
        <is>
          <t>KR</t>
        </is>
      </c>
      <c r="F477" s="75" t="n">
        <v>62601000</v>
      </c>
      <c r="G477" s="75" t="n">
        <v>1501</v>
      </c>
      <c r="H477" s="76" t="n">
        <v>1414000</v>
      </c>
      <c r="I477" s="75" t="inlineStr">
        <is>
          <t>3월 업무추진 - (법인카드)</t>
        </is>
      </c>
      <c r="J477" s="75" t="inlineStr">
        <is>
          <t>V10008</t>
        </is>
      </c>
      <c r="K477" s="75" t="inlineStr">
        <is>
          <t>(법인카드)</t>
        </is>
      </c>
      <c r="M477" s="9">
        <f>IF($A477="","",VALUE($A477&amp;"")*12+VALUE($B477&amp;""))</f>
        <v/>
      </c>
      <c r="N477" s="39">
        <f>IF($A477="","",IFERROR(INDEX(부서매핑!$C$5:$C$504,MATCH($G477&amp;"",부서매핑!$A$5:$A$504,0)),"미매핑"))</f>
        <v/>
      </c>
      <c r="O477" s="9">
        <f>IF($A477="","",N477&amp;"|"&amp;$F477)</f>
        <v/>
      </c>
      <c r="P477" s="77">
        <f>IF($A477="",0,$H477*설정!$C$23)</f>
        <v/>
      </c>
      <c r="Q477" s="39">
        <f>IF($A477="","",IF(O477&lt;&gt;원인분석!$C$9,"",IF(AND(M477&gt;=원인분석!$C$10,M477&lt;=원인분석!$C$11),"당기",IF(AND(M477&gt;=원인분석!$C$12,M477&lt;=원인분석!$C$13),"비교",""))))</f>
        <v/>
      </c>
      <c r="R477" s="9">
        <f>IF(Q477="","",$K477&amp;"")</f>
        <v/>
      </c>
      <c r="S477" s="9">
        <f>IF(Q477="","",IF(MATCH(R477,$R$5:$R$100000,0)=ROW()-4,ROW(),""))</f>
        <v/>
      </c>
      <c r="T477" s="9">
        <f>IF(Q477="당기",ABS(P477)+ROW()/1000000000,"")</f>
        <v/>
      </c>
      <c r="U477" s="9">
        <f>IF(Q477="비교",ABS(P477)+ROW()/1000000000,"")</f>
        <v/>
      </c>
      <c r="V477" s="39">
        <f>IF($A477="","",IF(COUNTIF(변동분석!$E$7:$E$506,O477)&gt;0,"Y","N"))</f>
        <v/>
      </c>
      <c r="W477" s="39">
        <f>IF($A477="","",IFERROR(INDEX(계정매핑!$D$5:$D$504,MATCH($F477&amp;"",계정매핑!$A$5:$A$504,0)),"미매핑"))</f>
        <v/>
      </c>
      <c r="X477" s="9">
        <f>IF($A477="","",$F477&amp;"")</f>
        <v/>
      </c>
    </row>
    <row r="478">
      <c r="A478" s="75" t="n">
        <v>2025</v>
      </c>
      <c r="B478" s="75" t="n">
        <v>3</v>
      </c>
      <c r="C478" s="75" t="inlineStr">
        <is>
          <t>5100000474</t>
        </is>
      </c>
      <c r="D478" s="78" t="n">
        <v>45727</v>
      </c>
      <c r="E478" s="75" t="inlineStr">
        <is>
          <t>KR</t>
        </is>
      </c>
      <c r="F478" s="75" t="n">
        <v>62901000</v>
      </c>
      <c r="G478" s="75" t="n">
        <v>1401</v>
      </c>
      <c r="H478" s="76" t="n">
        <v>4839000</v>
      </c>
      <c r="I478" s="75" t="inlineStr">
        <is>
          <t>3월 자문 수수료 - W컨설팅</t>
        </is>
      </c>
      <c r="J478" s="75" t="inlineStr">
        <is>
          <t>V10009</t>
        </is>
      </c>
      <c r="K478" s="75" t="inlineStr">
        <is>
          <t>W컨설팅</t>
        </is>
      </c>
      <c r="M478" s="9">
        <f>IF($A478="","",VALUE($A478&amp;"")*12+VALUE($B478&amp;""))</f>
        <v/>
      </c>
      <c r="N478" s="39">
        <f>IF($A478="","",IFERROR(INDEX(부서매핑!$C$5:$C$504,MATCH($G478&amp;"",부서매핑!$A$5:$A$504,0)),"미매핑"))</f>
        <v/>
      </c>
      <c r="O478" s="9">
        <f>IF($A478="","",N478&amp;"|"&amp;$F478)</f>
        <v/>
      </c>
      <c r="P478" s="77">
        <f>IF($A478="",0,$H478*설정!$C$23)</f>
        <v/>
      </c>
      <c r="Q478" s="39">
        <f>IF($A478="","",IF(O478&lt;&gt;원인분석!$C$9,"",IF(AND(M478&gt;=원인분석!$C$10,M478&lt;=원인분석!$C$11),"당기",IF(AND(M478&gt;=원인분석!$C$12,M478&lt;=원인분석!$C$13),"비교",""))))</f>
        <v/>
      </c>
      <c r="R478" s="9">
        <f>IF(Q478="","",$K478&amp;"")</f>
        <v/>
      </c>
      <c r="S478" s="9">
        <f>IF(Q478="","",IF(MATCH(R478,$R$5:$R$100000,0)=ROW()-4,ROW(),""))</f>
        <v/>
      </c>
      <c r="T478" s="9">
        <f>IF(Q478="당기",ABS(P478)+ROW()/1000000000,"")</f>
        <v/>
      </c>
      <c r="U478" s="9">
        <f>IF(Q478="비교",ABS(P478)+ROW()/1000000000,"")</f>
        <v/>
      </c>
      <c r="V478" s="39">
        <f>IF($A478="","",IF(COUNTIF(변동분석!$E$7:$E$506,O478)&gt;0,"Y","N"))</f>
        <v/>
      </c>
      <c r="W478" s="39">
        <f>IF($A478="","",IFERROR(INDEX(계정매핑!$D$5:$D$504,MATCH($F478&amp;"",계정매핑!$A$5:$A$504,0)),"미매핑"))</f>
        <v/>
      </c>
      <c r="X478" s="9">
        <f>IF($A478="","",$F478&amp;"")</f>
        <v/>
      </c>
    </row>
    <row r="479">
      <c r="A479" s="75" t="n">
        <v>2025</v>
      </c>
      <c r="B479" s="75" t="n">
        <v>3</v>
      </c>
      <c r="C479" s="75" t="inlineStr">
        <is>
          <t>5100000475</t>
        </is>
      </c>
      <c r="D479" s="78" t="n">
        <v>45728</v>
      </c>
      <c r="E479" s="75" t="inlineStr">
        <is>
          <t>KR</t>
        </is>
      </c>
      <c r="F479" s="75" t="n">
        <v>62101000</v>
      </c>
      <c r="G479" s="75" t="n">
        <v>1101</v>
      </c>
      <c r="H479" s="76" t="n">
        <v>406000</v>
      </c>
      <c r="I479" s="75" t="inlineStr">
        <is>
          <t>3월 국내출장 - L여행사</t>
        </is>
      </c>
      <c r="J479" s="75" t="inlineStr">
        <is>
          <t>V10014</t>
        </is>
      </c>
      <c r="K479" s="75" t="inlineStr">
        <is>
          <t>L여행사</t>
        </is>
      </c>
      <c r="M479" s="9">
        <f>IF($A479="","",VALUE($A479&amp;"")*12+VALUE($B479&amp;""))</f>
        <v/>
      </c>
      <c r="N479" s="39">
        <f>IF($A479="","",IFERROR(INDEX(부서매핑!$C$5:$C$504,MATCH($G479&amp;"",부서매핑!$A$5:$A$504,0)),"미매핑"))</f>
        <v/>
      </c>
      <c r="O479" s="9">
        <f>IF($A479="","",N479&amp;"|"&amp;$F479)</f>
        <v/>
      </c>
      <c r="P479" s="77">
        <f>IF($A479="",0,$H479*설정!$C$23)</f>
        <v/>
      </c>
      <c r="Q479" s="39">
        <f>IF($A479="","",IF(O479&lt;&gt;원인분석!$C$9,"",IF(AND(M479&gt;=원인분석!$C$10,M479&lt;=원인분석!$C$11),"당기",IF(AND(M479&gt;=원인분석!$C$12,M479&lt;=원인분석!$C$13),"비교",""))))</f>
        <v/>
      </c>
      <c r="R479" s="9">
        <f>IF(Q479="","",$K479&amp;"")</f>
        <v/>
      </c>
      <c r="S479" s="9">
        <f>IF(Q479="","",IF(MATCH(R479,$R$5:$R$100000,0)=ROW()-4,ROW(),""))</f>
        <v/>
      </c>
      <c r="T479" s="9">
        <f>IF(Q479="당기",ABS(P479)+ROW()/1000000000,"")</f>
        <v/>
      </c>
      <c r="U479" s="9">
        <f>IF(Q479="비교",ABS(P479)+ROW()/1000000000,"")</f>
        <v/>
      </c>
      <c r="V479" s="39">
        <f>IF($A479="","",IF(COUNTIF(변동분석!$E$7:$E$506,O479)&gt;0,"Y","N"))</f>
        <v/>
      </c>
      <c r="W479" s="39">
        <f>IF($A479="","",IFERROR(INDEX(계정매핑!$D$5:$D$504,MATCH($F479&amp;"",계정매핑!$A$5:$A$504,0)),"미매핑"))</f>
        <v/>
      </c>
      <c r="X479" s="9">
        <f>IF($A479="","",$F479&amp;"")</f>
        <v/>
      </c>
    </row>
    <row r="480">
      <c r="A480" s="75" t="n">
        <v>2025</v>
      </c>
      <c r="B480" s="75" t="n">
        <v>3</v>
      </c>
      <c r="C480" s="75" t="inlineStr">
        <is>
          <t>5100000476</t>
        </is>
      </c>
      <c r="D480" s="78" t="n">
        <v>45728</v>
      </c>
      <c r="E480" s="75" t="inlineStr">
        <is>
          <t>KR</t>
        </is>
      </c>
      <c r="F480" s="75" t="n">
        <v>62201000</v>
      </c>
      <c r="G480" s="75" t="n">
        <v>1101</v>
      </c>
      <c r="H480" s="76" t="n">
        <v>238000</v>
      </c>
      <c r="I480" s="75" t="inlineStr">
        <is>
          <t>3월 통신요금 - P통신</t>
        </is>
      </c>
      <c r="J480" s="75" t="inlineStr">
        <is>
          <t>V10011</t>
        </is>
      </c>
      <c r="K480" s="75" t="inlineStr">
        <is>
          <t>P통신</t>
        </is>
      </c>
      <c r="M480" s="9">
        <f>IF($A480="","",VALUE($A480&amp;"")*12+VALUE($B480&amp;""))</f>
        <v/>
      </c>
      <c r="N480" s="39">
        <f>IF($A480="","",IFERROR(INDEX(부서매핑!$C$5:$C$504,MATCH($G480&amp;"",부서매핑!$A$5:$A$504,0)),"미매핑"))</f>
        <v/>
      </c>
      <c r="O480" s="9">
        <f>IF($A480="","",N480&amp;"|"&amp;$F480)</f>
        <v/>
      </c>
      <c r="P480" s="77">
        <f>IF($A480="",0,$H480*설정!$C$23)</f>
        <v/>
      </c>
      <c r="Q480" s="39">
        <f>IF($A480="","",IF(O480&lt;&gt;원인분석!$C$9,"",IF(AND(M480&gt;=원인분석!$C$10,M480&lt;=원인분석!$C$11),"당기",IF(AND(M480&gt;=원인분석!$C$12,M480&lt;=원인분석!$C$13),"비교",""))))</f>
        <v/>
      </c>
      <c r="R480" s="9">
        <f>IF(Q480="","",$K480&amp;"")</f>
        <v/>
      </c>
      <c r="S480" s="9">
        <f>IF(Q480="","",IF(MATCH(R480,$R$5:$R$100000,0)=ROW()-4,ROW(),""))</f>
        <v/>
      </c>
      <c r="T480" s="9">
        <f>IF(Q480="당기",ABS(P480)+ROW()/1000000000,"")</f>
        <v/>
      </c>
      <c r="U480" s="9">
        <f>IF(Q480="비교",ABS(P480)+ROW()/1000000000,"")</f>
        <v/>
      </c>
      <c r="V480" s="39">
        <f>IF($A480="","",IF(COUNTIF(변동분석!$E$7:$E$506,O480)&gt;0,"Y","N"))</f>
        <v/>
      </c>
      <c r="W480" s="39">
        <f>IF($A480="","",IFERROR(INDEX(계정매핑!$D$5:$D$504,MATCH($F480&amp;"",계정매핑!$A$5:$A$504,0)),"미매핑"))</f>
        <v/>
      </c>
      <c r="X480" s="9">
        <f>IF($A480="","",$F480&amp;"")</f>
        <v/>
      </c>
    </row>
    <row r="481">
      <c r="A481" s="75" t="n">
        <v>2025</v>
      </c>
      <c r="B481" s="75" t="n">
        <v>3</v>
      </c>
      <c r="C481" s="75" t="inlineStr">
        <is>
          <t>5100000477</t>
        </is>
      </c>
      <c r="D481" s="78" t="n">
        <v>45728</v>
      </c>
      <c r="E481" s="75" t="inlineStr">
        <is>
          <t>KR</t>
        </is>
      </c>
      <c r="F481" s="75" t="n">
        <v>62401000</v>
      </c>
      <c r="G481" s="75" t="n">
        <v>1401</v>
      </c>
      <c r="H481" s="76" t="n">
        <v>271000</v>
      </c>
      <c r="I481" s="75" t="inlineStr">
        <is>
          <t>3월 인쇄물 제작 - S출판</t>
        </is>
      </c>
      <c r="J481" s="75" t="inlineStr">
        <is>
          <t>V10012</t>
        </is>
      </c>
      <c r="K481" s="75" t="inlineStr">
        <is>
          <t>S출판</t>
        </is>
      </c>
      <c r="M481" s="9">
        <f>IF($A481="","",VALUE($A481&amp;"")*12+VALUE($B481&amp;""))</f>
        <v/>
      </c>
      <c r="N481" s="39">
        <f>IF($A481="","",IFERROR(INDEX(부서매핑!$C$5:$C$504,MATCH($G481&amp;"",부서매핑!$A$5:$A$504,0)),"미매핑"))</f>
        <v/>
      </c>
      <c r="O481" s="9">
        <f>IF($A481="","",N481&amp;"|"&amp;$F481)</f>
        <v/>
      </c>
      <c r="P481" s="77">
        <f>IF($A481="",0,$H481*설정!$C$23)</f>
        <v/>
      </c>
      <c r="Q481" s="39">
        <f>IF($A481="","",IF(O481&lt;&gt;원인분석!$C$9,"",IF(AND(M481&gt;=원인분석!$C$10,M481&lt;=원인분석!$C$11),"당기",IF(AND(M481&gt;=원인분석!$C$12,M481&lt;=원인분석!$C$13),"비교",""))))</f>
        <v/>
      </c>
      <c r="R481" s="9">
        <f>IF(Q481="","",$K481&amp;"")</f>
        <v/>
      </c>
      <c r="S481" s="9">
        <f>IF(Q481="","",IF(MATCH(R481,$R$5:$R$100000,0)=ROW()-4,ROW(),""))</f>
        <v/>
      </c>
      <c r="T481" s="9">
        <f>IF(Q481="당기",ABS(P481)+ROW()/1000000000,"")</f>
        <v/>
      </c>
      <c r="U481" s="9">
        <f>IF(Q481="비교",ABS(P481)+ROW()/1000000000,"")</f>
        <v/>
      </c>
      <c r="V481" s="39">
        <f>IF($A481="","",IF(COUNTIF(변동분석!$E$7:$E$506,O481)&gt;0,"Y","N"))</f>
        <v/>
      </c>
      <c r="W481" s="39">
        <f>IF($A481="","",IFERROR(INDEX(계정매핑!$D$5:$D$504,MATCH($F481&amp;"",계정매핑!$A$5:$A$504,0)),"미매핑"))</f>
        <v/>
      </c>
      <c r="X481" s="9">
        <f>IF($A481="","",$F481&amp;"")</f>
        <v/>
      </c>
    </row>
    <row r="482">
      <c r="A482" s="75" t="n">
        <v>2025</v>
      </c>
      <c r="B482" s="75" t="n">
        <v>3</v>
      </c>
      <c r="C482" s="75" t="inlineStr">
        <is>
          <t>5100000478</t>
        </is>
      </c>
      <c r="D482" s="78" t="n">
        <v>45728</v>
      </c>
      <c r="E482" s="75" t="inlineStr">
        <is>
          <t>KR</t>
        </is>
      </c>
      <c r="F482" s="75" t="n">
        <v>62501000</v>
      </c>
      <c r="G482" s="75" t="n">
        <v>1301</v>
      </c>
      <c r="H482" s="76" t="n">
        <v>168000</v>
      </c>
      <c r="I482" s="75" t="inlineStr">
        <is>
          <t>3월 회의 다과 - T케이터링</t>
        </is>
      </c>
      <c r="J482" s="75" t="inlineStr">
        <is>
          <t>V10005</t>
        </is>
      </c>
      <c r="K482" s="75" t="inlineStr">
        <is>
          <t>T케이터링</t>
        </is>
      </c>
      <c r="M482" s="9">
        <f>IF($A482="","",VALUE($A482&amp;"")*12+VALUE($B482&amp;""))</f>
        <v/>
      </c>
      <c r="N482" s="39">
        <f>IF($A482="","",IFERROR(INDEX(부서매핑!$C$5:$C$504,MATCH($G482&amp;"",부서매핑!$A$5:$A$504,0)),"미매핑"))</f>
        <v/>
      </c>
      <c r="O482" s="9">
        <f>IF($A482="","",N482&amp;"|"&amp;$F482)</f>
        <v/>
      </c>
      <c r="P482" s="77">
        <f>IF($A482="",0,$H482*설정!$C$23)</f>
        <v/>
      </c>
      <c r="Q482" s="39">
        <f>IF($A482="","",IF(O482&lt;&gt;원인분석!$C$9,"",IF(AND(M482&gt;=원인분석!$C$10,M482&lt;=원인분석!$C$11),"당기",IF(AND(M482&gt;=원인분석!$C$12,M482&lt;=원인분석!$C$13),"비교",""))))</f>
        <v/>
      </c>
      <c r="R482" s="9">
        <f>IF(Q482="","",$K482&amp;"")</f>
        <v/>
      </c>
      <c r="S482" s="9">
        <f>IF(Q482="","",IF(MATCH(R482,$R$5:$R$100000,0)=ROW()-4,ROW(),""))</f>
        <v/>
      </c>
      <c r="T482" s="9">
        <f>IF(Q482="당기",ABS(P482)+ROW()/1000000000,"")</f>
        <v/>
      </c>
      <c r="U482" s="9">
        <f>IF(Q482="비교",ABS(P482)+ROW()/1000000000,"")</f>
        <v/>
      </c>
      <c r="V482" s="39">
        <f>IF($A482="","",IF(COUNTIF(변동분석!$E$7:$E$506,O482)&gt;0,"Y","N"))</f>
        <v/>
      </c>
      <c r="W482" s="39">
        <f>IF($A482="","",IFERROR(INDEX(계정매핑!$D$5:$D$504,MATCH($F482&amp;"",계정매핑!$A$5:$A$504,0)),"미매핑"))</f>
        <v/>
      </c>
      <c r="X482" s="9">
        <f>IF($A482="","",$F482&amp;"")</f>
        <v/>
      </c>
    </row>
    <row r="483">
      <c r="A483" s="75" t="n">
        <v>2025</v>
      </c>
      <c r="B483" s="75" t="n">
        <v>3</v>
      </c>
      <c r="C483" s="75" t="inlineStr">
        <is>
          <t>5100000479</t>
        </is>
      </c>
      <c r="D483" s="78" t="n">
        <v>45728</v>
      </c>
      <c r="E483" s="75" t="inlineStr">
        <is>
          <t>KR</t>
        </is>
      </c>
      <c r="F483" s="75" t="n">
        <v>62902000</v>
      </c>
      <c r="G483" s="75" t="n">
        <v>1801</v>
      </c>
      <c r="H483" s="76" t="n">
        <v>1789000</v>
      </c>
      <c r="I483" s="75" t="inlineStr">
        <is>
          <t>3월 콜 위탁 수수료(건별)</t>
        </is>
      </c>
      <c r="J483" s="75" t="inlineStr">
        <is>
          <t>V10013</t>
        </is>
      </c>
      <c r="K483" s="75" t="inlineStr">
        <is>
          <t>J콜센터</t>
        </is>
      </c>
      <c r="M483" s="9">
        <f>IF($A483="","",VALUE($A483&amp;"")*12+VALUE($B483&amp;""))</f>
        <v/>
      </c>
      <c r="N483" s="39">
        <f>IF($A483="","",IFERROR(INDEX(부서매핑!$C$5:$C$504,MATCH($G483&amp;"",부서매핑!$A$5:$A$504,0)),"미매핑"))</f>
        <v/>
      </c>
      <c r="O483" s="9">
        <f>IF($A483="","",N483&amp;"|"&amp;$F483)</f>
        <v/>
      </c>
      <c r="P483" s="77">
        <f>IF($A483="",0,$H483*설정!$C$23)</f>
        <v/>
      </c>
      <c r="Q483" s="39">
        <f>IF($A483="","",IF(O483&lt;&gt;원인분석!$C$9,"",IF(AND(M483&gt;=원인분석!$C$10,M483&lt;=원인분석!$C$11),"당기",IF(AND(M483&gt;=원인분석!$C$12,M483&lt;=원인분석!$C$13),"비교",""))))</f>
        <v/>
      </c>
      <c r="R483" s="9">
        <f>IF(Q483="","",$K483&amp;"")</f>
        <v/>
      </c>
      <c r="S483" s="9">
        <f>IF(Q483="","",IF(MATCH(R483,$R$5:$R$100000,0)=ROW()-4,ROW(),""))</f>
        <v/>
      </c>
      <c r="T483" s="9">
        <f>IF(Q483="당기",ABS(P483)+ROW()/1000000000,"")</f>
        <v/>
      </c>
      <c r="U483" s="9">
        <f>IF(Q483="비교",ABS(P483)+ROW()/1000000000,"")</f>
        <v/>
      </c>
      <c r="V483" s="39">
        <f>IF($A483="","",IF(COUNTIF(변동분석!$E$7:$E$506,O483)&gt;0,"Y","N"))</f>
        <v/>
      </c>
      <c r="W483" s="39">
        <f>IF($A483="","",IFERROR(INDEX(계정매핑!$D$5:$D$504,MATCH($F483&amp;"",계정매핑!$A$5:$A$504,0)),"미매핑"))</f>
        <v/>
      </c>
      <c r="X483" s="9">
        <f>IF($A483="","",$F483&amp;"")</f>
        <v/>
      </c>
    </row>
    <row r="484">
      <c r="A484" s="75" t="n">
        <v>2025</v>
      </c>
      <c r="B484" s="75" t="n">
        <v>3</v>
      </c>
      <c r="C484" s="75" t="inlineStr">
        <is>
          <t>5100000480</t>
        </is>
      </c>
      <c r="D484" s="78" t="n">
        <v>45728</v>
      </c>
      <c r="E484" s="75" t="inlineStr">
        <is>
          <t>KR</t>
        </is>
      </c>
      <c r="F484" s="75" t="n">
        <v>62902000</v>
      </c>
      <c r="G484" s="75" t="n">
        <v>1801</v>
      </c>
      <c r="H484" s="76" t="n">
        <v>1823000</v>
      </c>
      <c r="I484" s="75" t="inlineStr">
        <is>
          <t>3월 콜 위탁 수수료(건별)</t>
        </is>
      </c>
      <c r="J484" s="75" t="inlineStr">
        <is>
          <t>V10013</t>
        </is>
      </c>
      <c r="K484" s="75" t="inlineStr">
        <is>
          <t>J콜센터</t>
        </is>
      </c>
      <c r="M484" s="9">
        <f>IF($A484="","",VALUE($A484&amp;"")*12+VALUE($B484&amp;""))</f>
        <v/>
      </c>
      <c r="N484" s="39">
        <f>IF($A484="","",IFERROR(INDEX(부서매핑!$C$5:$C$504,MATCH($G484&amp;"",부서매핑!$A$5:$A$504,0)),"미매핑"))</f>
        <v/>
      </c>
      <c r="O484" s="9">
        <f>IF($A484="","",N484&amp;"|"&amp;$F484)</f>
        <v/>
      </c>
      <c r="P484" s="77">
        <f>IF($A484="",0,$H484*설정!$C$23)</f>
        <v/>
      </c>
      <c r="Q484" s="39">
        <f>IF($A484="","",IF(O484&lt;&gt;원인분석!$C$9,"",IF(AND(M484&gt;=원인분석!$C$10,M484&lt;=원인분석!$C$11),"당기",IF(AND(M484&gt;=원인분석!$C$12,M484&lt;=원인분석!$C$13),"비교",""))))</f>
        <v/>
      </c>
      <c r="R484" s="9">
        <f>IF(Q484="","",$K484&amp;"")</f>
        <v/>
      </c>
      <c r="S484" s="9">
        <f>IF(Q484="","",IF(MATCH(R484,$R$5:$R$100000,0)=ROW()-4,ROW(),""))</f>
        <v/>
      </c>
      <c r="T484" s="9">
        <f>IF(Q484="당기",ABS(P484)+ROW()/1000000000,"")</f>
        <v/>
      </c>
      <c r="U484" s="9">
        <f>IF(Q484="비교",ABS(P484)+ROW()/1000000000,"")</f>
        <v/>
      </c>
      <c r="V484" s="39">
        <f>IF($A484="","",IF(COUNTIF(변동분석!$E$7:$E$506,O484)&gt;0,"Y","N"))</f>
        <v/>
      </c>
      <c r="W484" s="39">
        <f>IF($A484="","",IFERROR(INDEX(계정매핑!$D$5:$D$504,MATCH($F484&amp;"",계정매핑!$A$5:$A$504,0)),"미매핑"))</f>
        <v/>
      </c>
      <c r="X484" s="9">
        <f>IF($A484="","",$F484&amp;"")</f>
        <v/>
      </c>
    </row>
    <row r="485">
      <c r="A485" s="75" t="n">
        <v>2025</v>
      </c>
      <c r="B485" s="75" t="n">
        <v>3</v>
      </c>
      <c r="C485" s="75" t="inlineStr">
        <is>
          <t>5100000481</t>
        </is>
      </c>
      <c r="D485" s="78" t="n">
        <v>45728</v>
      </c>
      <c r="E485" s="75" t="inlineStr">
        <is>
          <t>KR</t>
        </is>
      </c>
      <c r="F485" s="75" t="n">
        <v>63101000</v>
      </c>
      <c r="G485" s="75" t="n">
        <v>1602</v>
      </c>
      <c r="H485" s="76" t="n">
        <v>2843000</v>
      </c>
      <c r="I485" s="75" t="inlineStr">
        <is>
          <t>3월 사무실 임차료 - BB부동산</t>
        </is>
      </c>
      <c r="J485" s="75" t="inlineStr">
        <is>
          <t>V10024</t>
        </is>
      </c>
      <c r="K485" s="75" t="inlineStr">
        <is>
          <t>BB부동산</t>
        </is>
      </c>
      <c r="M485" s="9">
        <f>IF($A485="","",VALUE($A485&amp;"")*12+VALUE($B485&amp;""))</f>
        <v/>
      </c>
      <c r="N485" s="39">
        <f>IF($A485="","",IFERROR(INDEX(부서매핑!$C$5:$C$504,MATCH($G485&amp;"",부서매핑!$A$5:$A$504,0)),"미매핑"))</f>
        <v/>
      </c>
      <c r="O485" s="9">
        <f>IF($A485="","",N485&amp;"|"&amp;$F485)</f>
        <v/>
      </c>
      <c r="P485" s="77">
        <f>IF($A485="",0,$H485*설정!$C$23)</f>
        <v/>
      </c>
      <c r="Q485" s="39">
        <f>IF($A485="","",IF(O485&lt;&gt;원인분석!$C$9,"",IF(AND(M485&gt;=원인분석!$C$10,M485&lt;=원인분석!$C$11),"당기",IF(AND(M485&gt;=원인분석!$C$12,M485&lt;=원인분석!$C$13),"비교",""))))</f>
        <v/>
      </c>
      <c r="R485" s="9">
        <f>IF(Q485="","",$K485&amp;"")</f>
        <v/>
      </c>
      <c r="S485" s="9">
        <f>IF(Q485="","",IF(MATCH(R485,$R$5:$R$100000,0)=ROW()-4,ROW(),""))</f>
        <v/>
      </c>
      <c r="T485" s="9">
        <f>IF(Q485="당기",ABS(P485)+ROW()/1000000000,"")</f>
        <v/>
      </c>
      <c r="U485" s="9">
        <f>IF(Q485="비교",ABS(P485)+ROW()/1000000000,"")</f>
        <v/>
      </c>
      <c r="V485" s="39">
        <f>IF($A485="","",IF(COUNTIF(변동분석!$E$7:$E$506,O485)&gt;0,"Y","N"))</f>
        <v/>
      </c>
      <c r="W485" s="39">
        <f>IF($A485="","",IFERROR(INDEX(계정매핑!$D$5:$D$504,MATCH($F485&amp;"",계정매핑!$A$5:$A$504,0)),"미매핑"))</f>
        <v/>
      </c>
      <c r="X485" s="9">
        <f>IF($A485="","",$F485&amp;"")</f>
        <v/>
      </c>
    </row>
    <row r="486">
      <c r="A486" s="75" t="n">
        <v>2025</v>
      </c>
      <c r="B486" s="75" t="n">
        <v>3</v>
      </c>
      <c r="C486" s="75" t="inlineStr">
        <is>
          <t>5100000482</t>
        </is>
      </c>
      <c r="D486" s="78" t="n">
        <v>45729</v>
      </c>
      <c r="E486" s="75" t="inlineStr">
        <is>
          <t>KR</t>
        </is>
      </c>
      <c r="F486" s="75" t="n">
        <v>62101000</v>
      </c>
      <c r="G486" s="75" t="n">
        <v>1602</v>
      </c>
      <c r="H486" s="76" t="n">
        <v>1124000</v>
      </c>
      <c r="I486" s="75" t="inlineStr">
        <is>
          <t>3월 국내출장 - M항공</t>
        </is>
      </c>
      <c r="J486" s="75" t="inlineStr">
        <is>
          <t>V10001</t>
        </is>
      </c>
      <c r="K486" s="75" t="inlineStr">
        <is>
          <t>M항공</t>
        </is>
      </c>
      <c r="M486" s="9">
        <f>IF($A486="","",VALUE($A486&amp;"")*12+VALUE($B486&amp;""))</f>
        <v/>
      </c>
      <c r="N486" s="39">
        <f>IF($A486="","",IFERROR(INDEX(부서매핑!$C$5:$C$504,MATCH($G486&amp;"",부서매핑!$A$5:$A$504,0)),"미매핑"))</f>
        <v/>
      </c>
      <c r="O486" s="9">
        <f>IF($A486="","",N486&amp;"|"&amp;$F486)</f>
        <v/>
      </c>
      <c r="P486" s="77">
        <f>IF($A486="",0,$H486*설정!$C$23)</f>
        <v/>
      </c>
      <c r="Q486" s="39">
        <f>IF($A486="","",IF(O486&lt;&gt;원인분석!$C$9,"",IF(AND(M486&gt;=원인분석!$C$10,M486&lt;=원인분석!$C$11),"당기",IF(AND(M486&gt;=원인분석!$C$12,M486&lt;=원인분석!$C$13),"비교",""))))</f>
        <v/>
      </c>
      <c r="R486" s="9">
        <f>IF(Q486="","",$K486&amp;"")</f>
        <v/>
      </c>
      <c r="S486" s="9">
        <f>IF(Q486="","",IF(MATCH(R486,$R$5:$R$100000,0)=ROW()-4,ROW(),""))</f>
        <v/>
      </c>
      <c r="T486" s="9">
        <f>IF(Q486="당기",ABS(P486)+ROW()/1000000000,"")</f>
        <v/>
      </c>
      <c r="U486" s="9">
        <f>IF(Q486="비교",ABS(P486)+ROW()/1000000000,"")</f>
        <v/>
      </c>
      <c r="V486" s="39">
        <f>IF($A486="","",IF(COUNTIF(변동분석!$E$7:$E$506,O486)&gt;0,"Y","N"))</f>
        <v/>
      </c>
      <c r="W486" s="39">
        <f>IF($A486="","",IFERROR(INDEX(계정매핑!$D$5:$D$504,MATCH($F486&amp;"",계정매핑!$A$5:$A$504,0)),"미매핑"))</f>
        <v/>
      </c>
      <c r="X486" s="9">
        <f>IF($A486="","",$F486&amp;"")</f>
        <v/>
      </c>
    </row>
    <row r="487">
      <c r="A487" s="75" t="n">
        <v>2025</v>
      </c>
      <c r="B487" s="75" t="n">
        <v>3</v>
      </c>
      <c r="C487" s="75" t="inlineStr">
        <is>
          <t>5100000483</t>
        </is>
      </c>
      <c r="D487" s="78" t="n">
        <v>45729</v>
      </c>
      <c r="E487" s="75" t="inlineStr">
        <is>
          <t>KR</t>
        </is>
      </c>
      <c r="F487" s="75" t="n">
        <v>62102000</v>
      </c>
      <c r="G487" s="75" t="n">
        <v>1602</v>
      </c>
      <c r="H487" s="76" t="n">
        <v>299000</v>
      </c>
      <c r="I487" s="75" t="inlineStr">
        <is>
          <t>3월 해외출장 - N호텔</t>
        </is>
      </c>
      <c r="J487" s="75" t="inlineStr">
        <is>
          <t>V10007</t>
        </is>
      </c>
      <c r="K487" s="75" t="inlineStr">
        <is>
          <t>N호텔</t>
        </is>
      </c>
      <c r="M487" s="9">
        <f>IF($A487="","",VALUE($A487&amp;"")*12+VALUE($B487&amp;""))</f>
        <v/>
      </c>
      <c r="N487" s="39">
        <f>IF($A487="","",IFERROR(INDEX(부서매핑!$C$5:$C$504,MATCH($G487&amp;"",부서매핑!$A$5:$A$504,0)),"미매핑"))</f>
        <v/>
      </c>
      <c r="O487" s="9">
        <f>IF($A487="","",N487&amp;"|"&amp;$F487)</f>
        <v/>
      </c>
      <c r="P487" s="77">
        <f>IF($A487="",0,$H487*설정!$C$23)</f>
        <v/>
      </c>
      <c r="Q487" s="39">
        <f>IF($A487="","",IF(O487&lt;&gt;원인분석!$C$9,"",IF(AND(M487&gt;=원인분석!$C$10,M487&lt;=원인분석!$C$11),"당기",IF(AND(M487&gt;=원인분석!$C$12,M487&lt;=원인분석!$C$13),"비교",""))))</f>
        <v/>
      </c>
      <c r="R487" s="9">
        <f>IF(Q487="","",$K487&amp;"")</f>
        <v/>
      </c>
      <c r="S487" s="9">
        <f>IF(Q487="","",IF(MATCH(R487,$R$5:$R$100000,0)=ROW()-4,ROW(),""))</f>
        <v/>
      </c>
      <c r="T487" s="9">
        <f>IF(Q487="당기",ABS(P487)+ROW()/1000000000,"")</f>
        <v/>
      </c>
      <c r="U487" s="9">
        <f>IF(Q487="비교",ABS(P487)+ROW()/1000000000,"")</f>
        <v/>
      </c>
      <c r="V487" s="39">
        <f>IF($A487="","",IF(COUNTIF(변동분석!$E$7:$E$506,O487)&gt;0,"Y","N"))</f>
        <v/>
      </c>
      <c r="W487" s="39">
        <f>IF($A487="","",IFERROR(INDEX(계정매핑!$D$5:$D$504,MATCH($F487&amp;"",계정매핑!$A$5:$A$504,0)),"미매핑"))</f>
        <v/>
      </c>
      <c r="X487" s="9">
        <f>IF($A487="","",$F487&amp;"")</f>
        <v/>
      </c>
    </row>
    <row r="488">
      <c r="A488" s="75" t="n">
        <v>2025</v>
      </c>
      <c r="B488" s="75" t="n">
        <v>3</v>
      </c>
      <c r="C488" s="75" t="inlineStr">
        <is>
          <t>5100000484</t>
        </is>
      </c>
      <c r="D488" s="78" t="n">
        <v>45729</v>
      </c>
      <c r="E488" s="75" t="inlineStr">
        <is>
          <t>KR</t>
        </is>
      </c>
      <c r="F488" s="75" t="n">
        <v>62102000</v>
      </c>
      <c r="G488" s="75" t="n">
        <v>1701</v>
      </c>
      <c r="H488" s="76" t="n">
        <v>44000</v>
      </c>
      <c r="I488" s="75" t="inlineStr">
        <is>
          <t>3월 해외출장 - M항공</t>
        </is>
      </c>
      <c r="J488" s="75" t="inlineStr">
        <is>
          <t>V10001</t>
        </is>
      </c>
      <c r="K488" s="75" t="inlineStr">
        <is>
          <t>M항공</t>
        </is>
      </c>
      <c r="M488" s="9">
        <f>IF($A488="","",VALUE($A488&amp;"")*12+VALUE($B488&amp;""))</f>
        <v/>
      </c>
      <c r="N488" s="39">
        <f>IF($A488="","",IFERROR(INDEX(부서매핑!$C$5:$C$504,MATCH($G488&amp;"",부서매핑!$A$5:$A$504,0)),"미매핑"))</f>
        <v/>
      </c>
      <c r="O488" s="9">
        <f>IF($A488="","",N488&amp;"|"&amp;$F488)</f>
        <v/>
      </c>
      <c r="P488" s="77">
        <f>IF($A488="",0,$H488*설정!$C$23)</f>
        <v/>
      </c>
      <c r="Q488" s="39">
        <f>IF($A488="","",IF(O488&lt;&gt;원인분석!$C$9,"",IF(AND(M488&gt;=원인분석!$C$10,M488&lt;=원인분석!$C$11),"당기",IF(AND(M488&gt;=원인분석!$C$12,M488&lt;=원인분석!$C$13),"비교",""))))</f>
        <v/>
      </c>
      <c r="R488" s="9">
        <f>IF(Q488="","",$K488&amp;"")</f>
        <v/>
      </c>
      <c r="S488" s="9">
        <f>IF(Q488="","",IF(MATCH(R488,$R$5:$R$100000,0)=ROW()-4,ROW(),""))</f>
        <v/>
      </c>
      <c r="T488" s="9">
        <f>IF(Q488="당기",ABS(P488)+ROW()/1000000000,"")</f>
        <v/>
      </c>
      <c r="U488" s="9">
        <f>IF(Q488="비교",ABS(P488)+ROW()/1000000000,"")</f>
        <v/>
      </c>
      <c r="V488" s="39">
        <f>IF($A488="","",IF(COUNTIF(변동분석!$E$7:$E$506,O488)&gt;0,"Y","N"))</f>
        <v/>
      </c>
      <c r="W488" s="39">
        <f>IF($A488="","",IFERROR(INDEX(계정매핑!$D$5:$D$504,MATCH($F488&amp;"",계정매핑!$A$5:$A$504,0)),"미매핑"))</f>
        <v/>
      </c>
      <c r="X488" s="9">
        <f>IF($A488="","",$F488&amp;"")</f>
        <v/>
      </c>
    </row>
    <row r="489">
      <c r="A489" s="75" t="n">
        <v>2025</v>
      </c>
      <c r="B489" s="75" t="n">
        <v>3</v>
      </c>
      <c r="C489" s="75" t="inlineStr">
        <is>
          <t>5100000485</t>
        </is>
      </c>
      <c r="D489" s="78" t="n">
        <v>45729</v>
      </c>
      <c r="E489" s="75" t="inlineStr">
        <is>
          <t>KR</t>
        </is>
      </c>
      <c r="F489" s="75" t="n">
        <v>62701000</v>
      </c>
      <c r="G489" s="75" t="n">
        <v>1502</v>
      </c>
      <c r="H489" s="76" t="n">
        <v>51217000</v>
      </c>
      <c r="I489" s="75" t="inlineStr">
        <is>
          <t>3월 광고 집행 - F애드</t>
        </is>
      </c>
      <c r="J489" s="75" t="inlineStr">
        <is>
          <t>V10019</t>
        </is>
      </c>
      <c r="K489" s="75" t="inlineStr">
        <is>
          <t>F애드</t>
        </is>
      </c>
      <c r="M489" s="9">
        <f>IF($A489="","",VALUE($A489&amp;"")*12+VALUE($B489&amp;""))</f>
        <v/>
      </c>
      <c r="N489" s="39">
        <f>IF($A489="","",IFERROR(INDEX(부서매핑!$C$5:$C$504,MATCH($G489&amp;"",부서매핑!$A$5:$A$504,0)),"미매핑"))</f>
        <v/>
      </c>
      <c r="O489" s="9">
        <f>IF($A489="","",N489&amp;"|"&amp;$F489)</f>
        <v/>
      </c>
      <c r="P489" s="77">
        <f>IF($A489="",0,$H489*설정!$C$23)</f>
        <v/>
      </c>
      <c r="Q489" s="39">
        <f>IF($A489="","",IF(O489&lt;&gt;원인분석!$C$9,"",IF(AND(M489&gt;=원인분석!$C$10,M489&lt;=원인분석!$C$11),"당기",IF(AND(M489&gt;=원인분석!$C$12,M489&lt;=원인분석!$C$13),"비교",""))))</f>
        <v/>
      </c>
      <c r="R489" s="9">
        <f>IF(Q489="","",$K489&amp;"")</f>
        <v/>
      </c>
      <c r="S489" s="9">
        <f>IF(Q489="","",IF(MATCH(R489,$R$5:$R$100000,0)=ROW()-4,ROW(),""))</f>
        <v/>
      </c>
      <c r="T489" s="9">
        <f>IF(Q489="당기",ABS(P489)+ROW()/1000000000,"")</f>
        <v/>
      </c>
      <c r="U489" s="9">
        <f>IF(Q489="비교",ABS(P489)+ROW()/1000000000,"")</f>
        <v/>
      </c>
      <c r="V489" s="39">
        <f>IF($A489="","",IF(COUNTIF(변동분석!$E$7:$E$506,O489)&gt;0,"Y","N"))</f>
        <v/>
      </c>
      <c r="W489" s="39">
        <f>IF($A489="","",IFERROR(INDEX(계정매핑!$D$5:$D$504,MATCH($F489&amp;"",계정매핑!$A$5:$A$504,0)),"미매핑"))</f>
        <v/>
      </c>
      <c r="X489" s="9">
        <f>IF($A489="","",$F489&amp;"")</f>
        <v/>
      </c>
    </row>
    <row r="490">
      <c r="A490" s="75" t="n">
        <v>2025</v>
      </c>
      <c r="B490" s="75" t="n">
        <v>3</v>
      </c>
      <c r="C490" s="75" t="inlineStr">
        <is>
          <t>5100000486</t>
        </is>
      </c>
      <c r="D490" s="78" t="n">
        <v>45729</v>
      </c>
      <c r="E490" s="75" t="inlineStr">
        <is>
          <t>KR</t>
        </is>
      </c>
      <c r="F490" s="75" t="n">
        <v>62801000</v>
      </c>
      <c r="G490" s="75" t="n">
        <v>1301</v>
      </c>
      <c r="H490" s="76" t="n">
        <v>2694000</v>
      </c>
      <c r="I490" s="75" t="inlineStr">
        <is>
          <t>3월 사내교육 - (사내강사료)</t>
        </is>
      </c>
      <c r="J490" s="75" t="inlineStr">
        <is>
          <t>V10020</t>
        </is>
      </c>
      <c r="K490" s="75" t="inlineStr">
        <is>
          <t>(사내강사료)</t>
        </is>
      </c>
      <c r="M490" s="9">
        <f>IF($A490="","",VALUE($A490&amp;"")*12+VALUE($B490&amp;""))</f>
        <v/>
      </c>
      <c r="N490" s="39">
        <f>IF($A490="","",IFERROR(INDEX(부서매핑!$C$5:$C$504,MATCH($G490&amp;"",부서매핑!$A$5:$A$504,0)),"미매핑"))</f>
        <v/>
      </c>
      <c r="O490" s="9">
        <f>IF($A490="","",N490&amp;"|"&amp;$F490)</f>
        <v/>
      </c>
      <c r="P490" s="77">
        <f>IF($A490="",0,$H490*설정!$C$23)</f>
        <v/>
      </c>
      <c r="Q490" s="39">
        <f>IF($A490="","",IF(O490&lt;&gt;원인분석!$C$9,"",IF(AND(M490&gt;=원인분석!$C$10,M490&lt;=원인분석!$C$11),"당기",IF(AND(M490&gt;=원인분석!$C$12,M490&lt;=원인분석!$C$13),"비교",""))))</f>
        <v/>
      </c>
      <c r="R490" s="9">
        <f>IF(Q490="","",$K490&amp;"")</f>
        <v/>
      </c>
      <c r="S490" s="9">
        <f>IF(Q490="","",IF(MATCH(R490,$R$5:$R$100000,0)=ROW()-4,ROW(),""))</f>
        <v/>
      </c>
      <c r="T490" s="9">
        <f>IF(Q490="당기",ABS(P490)+ROW()/1000000000,"")</f>
        <v/>
      </c>
      <c r="U490" s="9">
        <f>IF(Q490="비교",ABS(P490)+ROW()/1000000000,"")</f>
        <v/>
      </c>
      <c r="V490" s="39">
        <f>IF($A490="","",IF(COUNTIF(변동분석!$E$7:$E$506,O490)&gt;0,"Y","N"))</f>
        <v/>
      </c>
      <c r="W490" s="39">
        <f>IF($A490="","",IFERROR(INDEX(계정매핑!$D$5:$D$504,MATCH($F490&amp;"",계정매핑!$A$5:$A$504,0)),"미매핑"))</f>
        <v/>
      </c>
      <c r="X490" s="9">
        <f>IF($A490="","",$F490&amp;"")</f>
        <v/>
      </c>
    </row>
    <row r="491">
      <c r="A491" s="75" t="n">
        <v>2025</v>
      </c>
      <c r="B491" s="75" t="n">
        <v>3</v>
      </c>
      <c r="C491" s="75" t="inlineStr">
        <is>
          <t>5100000487</t>
        </is>
      </c>
      <c r="D491" s="78" t="n">
        <v>45729</v>
      </c>
      <c r="E491" s="75" t="inlineStr">
        <is>
          <t>KR</t>
        </is>
      </c>
      <c r="F491" s="75" t="n">
        <v>62802000</v>
      </c>
      <c r="G491" s="75" t="n">
        <v>1301</v>
      </c>
      <c r="H491" s="76" t="n">
        <v>3415000</v>
      </c>
      <c r="I491" s="75" t="inlineStr">
        <is>
          <t>3월 위탁교육 - V아카데미</t>
        </is>
      </c>
      <c r="J491" s="75" t="inlineStr">
        <is>
          <t>V10023</t>
        </is>
      </c>
      <c r="K491" s="75" t="inlineStr">
        <is>
          <t>V아카데미</t>
        </is>
      </c>
      <c r="M491" s="9">
        <f>IF($A491="","",VALUE($A491&amp;"")*12+VALUE($B491&amp;""))</f>
        <v/>
      </c>
      <c r="N491" s="39">
        <f>IF($A491="","",IFERROR(INDEX(부서매핑!$C$5:$C$504,MATCH($G491&amp;"",부서매핑!$A$5:$A$504,0)),"미매핑"))</f>
        <v/>
      </c>
      <c r="O491" s="9">
        <f>IF($A491="","",N491&amp;"|"&amp;$F491)</f>
        <v/>
      </c>
      <c r="P491" s="77">
        <f>IF($A491="",0,$H491*설정!$C$23)</f>
        <v/>
      </c>
      <c r="Q491" s="39">
        <f>IF($A491="","",IF(O491&lt;&gt;원인분석!$C$9,"",IF(AND(M491&gt;=원인분석!$C$10,M491&lt;=원인분석!$C$11),"당기",IF(AND(M491&gt;=원인분석!$C$12,M491&lt;=원인분석!$C$13),"비교",""))))</f>
        <v/>
      </c>
      <c r="R491" s="9">
        <f>IF(Q491="","",$K491&amp;"")</f>
        <v/>
      </c>
      <c r="S491" s="9">
        <f>IF(Q491="","",IF(MATCH(R491,$R$5:$R$100000,0)=ROW()-4,ROW(),""))</f>
        <v/>
      </c>
      <c r="T491" s="9">
        <f>IF(Q491="당기",ABS(P491)+ROW()/1000000000,"")</f>
        <v/>
      </c>
      <c r="U491" s="9">
        <f>IF(Q491="비교",ABS(P491)+ROW()/1000000000,"")</f>
        <v/>
      </c>
      <c r="V491" s="39">
        <f>IF($A491="","",IF(COUNTIF(변동분석!$E$7:$E$506,O491)&gt;0,"Y","N"))</f>
        <v/>
      </c>
      <c r="W491" s="39">
        <f>IF($A491="","",IFERROR(INDEX(계정매핑!$D$5:$D$504,MATCH($F491&amp;"",계정매핑!$A$5:$A$504,0)),"미매핑"))</f>
        <v/>
      </c>
      <c r="X491" s="9">
        <f>IF($A491="","",$F491&amp;"")</f>
        <v/>
      </c>
    </row>
    <row r="492">
      <c r="A492" s="75" t="n">
        <v>2025</v>
      </c>
      <c r="B492" s="75" t="n">
        <v>3</v>
      </c>
      <c r="C492" s="75" t="inlineStr">
        <is>
          <t>5100000488</t>
        </is>
      </c>
      <c r="D492" s="78" t="n">
        <v>45730</v>
      </c>
      <c r="E492" s="75" t="inlineStr">
        <is>
          <t>KR</t>
        </is>
      </c>
      <c r="F492" s="75" t="n">
        <v>62102000</v>
      </c>
      <c r="G492" s="75" t="n">
        <v>1201</v>
      </c>
      <c r="H492" s="76" t="n">
        <v>92000</v>
      </c>
      <c r="I492" s="75" t="inlineStr">
        <is>
          <t>3월 해외출장 - N호텔</t>
        </is>
      </c>
      <c r="J492" s="75" t="inlineStr">
        <is>
          <t>V10007</t>
        </is>
      </c>
      <c r="K492" s="75" t="inlineStr">
        <is>
          <t>N호텔</t>
        </is>
      </c>
      <c r="M492" s="9">
        <f>IF($A492="","",VALUE($A492&amp;"")*12+VALUE($B492&amp;""))</f>
        <v/>
      </c>
      <c r="N492" s="39">
        <f>IF($A492="","",IFERROR(INDEX(부서매핑!$C$5:$C$504,MATCH($G492&amp;"",부서매핑!$A$5:$A$504,0)),"미매핑"))</f>
        <v/>
      </c>
      <c r="O492" s="9">
        <f>IF($A492="","",N492&amp;"|"&amp;$F492)</f>
        <v/>
      </c>
      <c r="P492" s="77">
        <f>IF($A492="",0,$H492*설정!$C$23)</f>
        <v/>
      </c>
      <c r="Q492" s="39">
        <f>IF($A492="","",IF(O492&lt;&gt;원인분석!$C$9,"",IF(AND(M492&gt;=원인분석!$C$10,M492&lt;=원인분석!$C$11),"당기",IF(AND(M492&gt;=원인분석!$C$12,M492&lt;=원인분석!$C$13),"비교",""))))</f>
        <v/>
      </c>
      <c r="R492" s="9">
        <f>IF(Q492="","",$K492&amp;"")</f>
        <v/>
      </c>
      <c r="S492" s="9">
        <f>IF(Q492="","",IF(MATCH(R492,$R$5:$R$100000,0)=ROW()-4,ROW(),""))</f>
        <v/>
      </c>
      <c r="T492" s="9">
        <f>IF(Q492="당기",ABS(P492)+ROW()/1000000000,"")</f>
        <v/>
      </c>
      <c r="U492" s="9">
        <f>IF(Q492="비교",ABS(P492)+ROW()/1000000000,"")</f>
        <v/>
      </c>
      <c r="V492" s="39">
        <f>IF($A492="","",IF(COUNTIF(변동분석!$E$7:$E$506,O492)&gt;0,"Y","N"))</f>
        <v/>
      </c>
      <c r="W492" s="39">
        <f>IF($A492="","",IFERROR(INDEX(계정매핑!$D$5:$D$504,MATCH($F492&amp;"",계정매핑!$A$5:$A$504,0)),"미매핑"))</f>
        <v/>
      </c>
      <c r="X492" s="9">
        <f>IF($A492="","",$F492&amp;"")</f>
        <v/>
      </c>
    </row>
    <row r="493">
      <c r="A493" s="75" t="n">
        <v>2025</v>
      </c>
      <c r="B493" s="75" t="n">
        <v>3</v>
      </c>
      <c r="C493" s="75" t="inlineStr">
        <is>
          <t>5100000489</t>
        </is>
      </c>
      <c r="D493" s="78" t="n">
        <v>45730</v>
      </c>
      <c r="E493" s="75" t="inlineStr">
        <is>
          <t>KR</t>
        </is>
      </c>
      <c r="F493" s="75" t="n">
        <v>62301000</v>
      </c>
      <c r="G493" s="75" t="n">
        <v>1101</v>
      </c>
      <c r="H493" s="76" t="n">
        <v>143000</v>
      </c>
      <c r="I493" s="75" t="inlineStr">
        <is>
          <t>3월 소모품 구입 - Q오피스</t>
        </is>
      </c>
      <c r="J493" s="75" t="inlineStr">
        <is>
          <t>V10003</t>
        </is>
      </c>
      <c r="K493" s="75" t="inlineStr">
        <is>
          <t>Q오피스</t>
        </is>
      </c>
      <c r="M493" s="9">
        <f>IF($A493="","",VALUE($A493&amp;"")*12+VALUE($B493&amp;""))</f>
        <v/>
      </c>
      <c r="N493" s="39">
        <f>IF($A493="","",IFERROR(INDEX(부서매핑!$C$5:$C$504,MATCH($G493&amp;"",부서매핑!$A$5:$A$504,0)),"미매핑"))</f>
        <v/>
      </c>
      <c r="O493" s="9">
        <f>IF($A493="","",N493&amp;"|"&amp;$F493)</f>
        <v/>
      </c>
      <c r="P493" s="77">
        <f>IF($A493="",0,$H493*설정!$C$23)</f>
        <v/>
      </c>
      <c r="Q493" s="39">
        <f>IF($A493="","",IF(O493&lt;&gt;원인분석!$C$9,"",IF(AND(M493&gt;=원인분석!$C$10,M493&lt;=원인분석!$C$11),"당기",IF(AND(M493&gt;=원인분석!$C$12,M493&lt;=원인분석!$C$13),"비교",""))))</f>
        <v/>
      </c>
      <c r="R493" s="9">
        <f>IF(Q493="","",$K493&amp;"")</f>
        <v/>
      </c>
      <c r="S493" s="9">
        <f>IF(Q493="","",IF(MATCH(R493,$R$5:$R$100000,0)=ROW()-4,ROW(),""))</f>
        <v/>
      </c>
      <c r="T493" s="9">
        <f>IF(Q493="당기",ABS(P493)+ROW()/1000000000,"")</f>
        <v/>
      </c>
      <c r="U493" s="9">
        <f>IF(Q493="비교",ABS(P493)+ROW()/1000000000,"")</f>
        <v/>
      </c>
      <c r="V493" s="39">
        <f>IF($A493="","",IF(COUNTIF(변동분석!$E$7:$E$506,O493)&gt;0,"Y","N"))</f>
        <v/>
      </c>
      <c r="W493" s="39">
        <f>IF($A493="","",IFERROR(INDEX(계정매핑!$D$5:$D$504,MATCH($F493&amp;"",계정매핑!$A$5:$A$504,0)),"미매핑"))</f>
        <v/>
      </c>
      <c r="X493" s="9">
        <f>IF($A493="","",$F493&amp;"")</f>
        <v/>
      </c>
    </row>
    <row r="494">
      <c r="A494" s="75" t="n">
        <v>2025</v>
      </c>
      <c r="B494" s="75" t="n">
        <v>3</v>
      </c>
      <c r="C494" s="75" t="inlineStr">
        <is>
          <t>5100000490</t>
        </is>
      </c>
      <c r="D494" s="78" t="n">
        <v>45730</v>
      </c>
      <c r="E494" s="75" t="inlineStr">
        <is>
          <t>KR</t>
        </is>
      </c>
      <c r="F494" s="75" t="n">
        <v>62401000</v>
      </c>
      <c r="G494" s="75" t="n">
        <v>1801</v>
      </c>
      <c r="H494" s="76" t="n">
        <v>1343000</v>
      </c>
      <c r="I494" s="75" t="inlineStr">
        <is>
          <t>3월 인쇄물 제작 - S출판</t>
        </is>
      </c>
      <c r="J494" s="75" t="inlineStr">
        <is>
          <t>V10012</t>
        </is>
      </c>
      <c r="K494" s="75" t="inlineStr">
        <is>
          <t>S출판</t>
        </is>
      </c>
      <c r="M494" s="9">
        <f>IF($A494="","",VALUE($A494&amp;"")*12+VALUE($B494&amp;""))</f>
        <v/>
      </c>
      <c r="N494" s="39">
        <f>IF($A494="","",IFERROR(INDEX(부서매핑!$C$5:$C$504,MATCH($G494&amp;"",부서매핑!$A$5:$A$504,0)),"미매핑"))</f>
        <v/>
      </c>
      <c r="O494" s="9">
        <f>IF($A494="","",N494&amp;"|"&amp;$F494)</f>
        <v/>
      </c>
      <c r="P494" s="77">
        <f>IF($A494="",0,$H494*설정!$C$23)</f>
        <v/>
      </c>
      <c r="Q494" s="39">
        <f>IF($A494="","",IF(O494&lt;&gt;원인분석!$C$9,"",IF(AND(M494&gt;=원인분석!$C$10,M494&lt;=원인분석!$C$11),"당기",IF(AND(M494&gt;=원인분석!$C$12,M494&lt;=원인분석!$C$13),"비교",""))))</f>
        <v/>
      </c>
      <c r="R494" s="9">
        <f>IF(Q494="","",$K494&amp;"")</f>
        <v/>
      </c>
      <c r="S494" s="9">
        <f>IF(Q494="","",IF(MATCH(R494,$R$5:$R$100000,0)=ROW()-4,ROW(),""))</f>
        <v/>
      </c>
      <c r="T494" s="9">
        <f>IF(Q494="당기",ABS(P494)+ROW()/1000000000,"")</f>
        <v/>
      </c>
      <c r="U494" s="9">
        <f>IF(Q494="비교",ABS(P494)+ROW()/1000000000,"")</f>
        <v/>
      </c>
      <c r="V494" s="39">
        <f>IF($A494="","",IF(COUNTIF(변동분석!$E$7:$E$506,O494)&gt;0,"Y","N"))</f>
        <v/>
      </c>
      <c r="W494" s="39">
        <f>IF($A494="","",IFERROR(INDEX(계정매핑!$D$5:$D$504,MATCH($F494&amp;"",계정매핑!$A$5:$A$504,0)),"미매핑"))</f>
        <v/>
      </c>
      <c r="X494" s="9">
        <f>IF($A494="","",$F494&amp;"")</f>
        <v/>
      </c>
    </row>
    <row r="495">
      <c r="A495" s="75" t="n">
        <v>2025</v>
      </c>
      <c r="B495" s="75" t="n">
        <v>3</v>
      </c>
      <c r="C495" s="75" t="inlineStr">
        <is>
          <t>5100000491</t>
        </is>
      </c>
      <c r="D495" s="78" t="n">
        <v>45730</v>
      </c>
      <c r="E495" s="75" t="inlineStr">
        <is>
          <t>KR</t>
        </is>
      </c>
      <c r="F495" s="75" t="n">
        <v>62801000</v>
      </c>
      <c r="G495" s="75" t="n">
        <v>1301</v>
      </c>
      <c r="H495" s="76" t="n">
        <v>2722000</v>
      </c>
      <c r="I495" s="75" t="inlineStr">
        <is>
          <t>3월 사내교육 - U에듀</t>
        </is>
      </c>
      <c r="J495" s="75" t="inlineStr">
        <is>
          <t>V10026</t>
        </is>
      </c>
      <c r="K495" s="75" t="inlineStr">
        <is>
          <t>U에듀</t>
        </is>
      </c>
      <c r="M495" s="9">
        <f>IF($A495="","",VALUE($A495&amp;"")*12+VALUE($B495&amp;""))</f>
        <v/>
      </c>
      <c r="N495" s="39">
        <f>IF($A495="","",IFERROR(INDEX(부서매핑!$C$5:$C$504,MATCH($G495&amp;"",부서매핑!$A$5:$A$504,0)),"미매핑"))</f>
        <v/>
      </c>
      <c r="O495" s="9">
        <f>IF($A495="","",N495&amp;"|"&amp;$F495)</f>
        <v/>
      </c>
      <c r="P495" s="77">
        <f>IF($A495="",0,$H495*설정!$C$23)</f>
        <v/>
      </c>
      <c r="Q495" s="39">
        <f>IF($A495="","",IF(O495&lt;&gt;원인분석!$C$9,"",IF(AND(M495&gt;=원인분석!$C$10,M495&lt;=원인분석!$C$11),"당기",IF(AND(M495&gt;=원인분석!$C$12,M495&lt;=원인분석!$C$13),"비교",""))))</f>
        <v/>
      </c>
      <c r="R495" s="9">
        <f>IF(Q495="","",$K495&amp;"")</f>
        <v/>
      </c>
      <c r="S495" s="9">
        <f>IF(Q495="","",IF(MATCH(R495,$R$5:$R$100000,0)=ROW()-4,ROW(),""))</f>
        <v/>
      </c>
      <c r="T495" s="9">
        <f>IF(Q495="당기",ABS(P495)+ROW()/1000000000,"")</f>
        <v/>
      </c>
      <c r="U495" s="9">
        <f>IF(Q495="비교",ABS(P495)+ROW()/1000000000,"")</f>
        <v/>
      </c>
      <c r="V495" s="39">
        <f>IF($A495="","",IF(COUNTIF(변동분석!$E$7:$E$506,O495)&gt;0,"Y","N"))</f>
        <v/>
      </c>
      <c r="W495" s="39">
        <f>IF($A495="","",IFERROR(INDEX(계정매핑!$D$5:$D$504,MATCH($F495&amp;"",계정매핑!$A$5:$A$504,0)),"미매핑"))</f>
        <v/>
      </c>
      <c r="X495" s="9">
        <f>IF($A495="","",$F495&amp;"")</f>
        <v/>
      </c>
    </row>
    <row r="496">
      <c r="A496" s="75" t="n">
        <v>2025</v>
      </c>
      <c r="B496" s="75" t="n">
        <v>3</v>
      </c>
      <c r="C496" s="75" t="inlineStr">
        <is>
          <t>5100000492</t>
        </is>
      </c>
      <c r="D496" s="78" t="n">
        <v>45730</v>
      </c>
      <c r="E496" s="75" t="inlineStr">
        <is>
          <t>KR</t>
        </is>
      </c>
      <c r="F496" s="75" t="n">
        <v>62901000</v>
      </c>
      <c r="G496" s="75" t="n">
        <v>1801</v>
      </c>
      <c r="H496" s="76" t="n">
        <v>10078000</v>
      </c>
      <c r="I496" s="75" t="inlineStr">
        <is>
          <t>3월 자문 수수료 - W컨설팅</t>
        </is>
      </c>
      <c r="J496" s="75" t="inlineStr">
        <is>
          <t>V10009</t>
        </is>
      </c>
      <c r="K496" s="75" t="inlineStr">
        <is>
          <t>W컨설팅</t>
        </is>
      </c>
      <c r="M496" s="9">
        <f>IF($A496="","",VALUE($A496&amp;"")*12+VALUE($B496&amp;""))</f>
        <v/>
      </c>
      <c r="N496" s="39">
        <f>IF($A496="","",IFERROR(INDEX(부서매핑!$C$5:$C$504,MATCH($G496&amp;"",부서매핑!$A$5:$A$504,0)),"미매핑"))</f>
        <v/>
      </c>
      <c r="O496" s="9">
        <f>IF($A496="","",N496&amp;"|"&amp;$F496)</f>
        <v/>
      </c>
      <c r="P496" s="77">
        <f>IF($A496="",0,$H496*설정!$C$23)</f>
        <v/>
      </c>
      <c r="Q496" s="39">
        <f>IF($A496="","",IF(O496&lt;&gt;원인분석!$C$9,"",IF(AND(M496&gt;=원인분석!$C$10,M496&lt;=원인분석!$C$11),"당기",IF(AND(M496&gt;=원인분석!$C$12,M496&lt;=원인분석!$C$13),"비교",""))))</f>
        <v/>
      </c>
      <c r="R496" s="9">
        <f>IF(Q496="","",$K496&amp;"")</f>
        <v/>
      </c>
      <c r="S496" s="9">
        <f>IF(Q496="","",IF(MATCH(R496,$R$5:$R$100000,0)=ROW()-4,ROW(),""))</f>
        <v/>
      </c>
      <c r="T496" s="9">
        <f>IF(Q496="당기",ABS(P496)+ROW()/1000000000,"")</f>
        <v/>
      </c>
      <c r="U496" s="9">
        <f>IF(Q496="비교",ABS(P496)+ROW()/1000000000,"")</f>
        <v/>
      </c>
      <c r="V496" s="39">
        <f>IF($A496="","",IF(COUNTIF(변동분석!$E$7:$E$506,O496)&gt;0,"Y","N"))</f>
        <v/>
      </c>
      <c r="W496" s="39">
        <f>IF($A496="","",IFERROR(INDEX(계정매핑!$D$5:$D$504,MATCH($F496&amp;"",계정매핑!$A$5:$A$504,0)),"미매핑"))</f>
        <v/>
      </c>
      <c r="X496" s="9">
        <f>IF($A496="","",$F496&amp;"")</f>
        <v/>
      </c>
    </row>
    <row r="497">
      <c r="A497" s="75" t="n">
        <v>2025</v>
      </c>
      <c r="B497" s="75" t="n">
        <v>3</v>
      </c>
      <c r="C497" s="75" t="inlineStr">
        <is>
          <t>5100000493</t>
        </is>
      </c>
      <c r="D497" s="78" t="n">
        <v>45731</v>
      </c>
      <c r="E497" s="75" t="inlineStr">
        <is>
          <t>KR</t>
        </is>
      </c>
      <c r="F497" s="75" t="n">
        <v>62101000</v>
      </c>
      <c r="G497" s="75" t="n">
        <v>1501</v>
      </c>
      <c r="H497" s="76" t="n">
        <v>540000</v>
      </c>
      <c r="I497" s="75" t="inlineStr">
        <is>
          <t>3월 국내출장 - M항공</t>
        </is>
      </c>
      <c r="J497" s="75" t="inlineStr">
        <is>
          <t>V10001</t>
        </is>
      </c>
      <c r="K497" s="75" t="inlineStr">
        <is>
          <t>M항공</t>
        </is>
      </c>
      <c r="M497" s="9">
        <f>IF($A497="","",VALUE($A497&amp;"")*12+VALUE($B497&amp;""))</f>
        <v/>
      </c>
      <c r="N497" s="39">
        <f>IF($A497="","",IFERROR(INDEX(부서매핑!$C$5:$C$504,MATCH($G497&amp;"",부서매핑!$A$5:$A$504,0)),"미매핑"))</f>
        <v/>
      </c>
      <c r="O497" s="9">
        <f>IF($A497="","",N497&amp;"|"&amp;$F497)</f>
        <v/>
      </c>
      <c r="P497" s="77">
        <f>IF($A497="",0,$H497*설정!$C$23)</f>
        <v/>
      </c>
      <c r="Q497" s="39">
        <f>IF($A497="","",IF(O497&lt;&gt;원인분석!$C$9,"",IF(AND(M497&gt;=원인분석!$C$10,M497&lt;=원인분석!$C$11),"당기",IF(AND(M497&gt;=원인분석!$C$12,M497&lt;=원인분석!$C$13),"비교",""))))</f>
        <v/>
      </c>
      <c r="R497" s="9">
        <f>IF(Q497="","",$K497&amp;"")</f>
        <v/>
      </c>
      <c r="S497" s="9">
        <f>IF(Q497="","",IF(MATCH(R497,$R$5:$R$100000,0)=ROW()-4,ROW(),""))</f>
        <v/>
      </c>
      <c r="T497" s="9">
        <f>IF(Q497="당기",ABS(P497)+ROW()/1000000000,"")</f>
        <v/>
      </c>
      <c r="U497" s="9">
        <f>IF(Q497="비교",ABS(P497)+ROW()/1000000000,"")</f>
        <v/>
      </c>
      <c r="V497" s="39">
        <f>IF($A497="","",IF(COUNTIF(변동분석!$E$7:$E$506,O497)&gt;0,"Y","N"))</f>
        <v/>
      </c>
      <c r="W497" s="39">
        <f>IF($A497="","",IFERROR(INDEX(계정매핑!$D$5:$D$504,MATCH($F497&amp;"",계정매핑!$A$5:$A$504,0)),"미매핑"))</f>
        <v/>
      </c>
      <c r="X497" s="9">
        <f>IF($A497="","",$F497&amp;"")</f>
        <v/>
      </c>
    </row>
    <row r="498">
      <c r="A498" s="75" t="n">
        <v>2025</v>
      </c>
      <c r="B498" s="75" t="n">
        <v>3</v>
      </c>
      <c r="C498" s="75" t="inlineStr">
        <is>
          <t>5100000494</t>
        </is>
      </c>
      <c r="D498" s="78" t="n">
        <v>45731</v>
      </c>
      <c r="E498" s="75" t="inlineStr">
        <is>
          <t>KR</t>
        </is>
      </c>
      <c r="F498" s="75" t="n">
        <v>62201000</v>
      </c>
      <c r="G498" s="75" t="n">
        <v>1401</v>
      </c>
      <c r="H498" s="76" t="n">
        <v>220000</v>
      </c>
      <c r="I498" s="75" t="inlineStr">
        <is>
          <t>3월 통신요금 - O텔레콤</t>
        </is>
      </c>
      <c r="J498" s="75" t="inlineStr">
        <is>
          <t>V10002</t>
        </is>
      </c>
      <c r="K498" s="75" t="inlineStr">
        <is>
          <t>O텔레콤</t>
        </is>
      </c>
      <c r="M498" s="9">
        <f>IF($A498="","",VALUE($A498&amp;"")*12+VALUE($B498&amp;""))</f>
        <v/>
      </c>
      <c r="N498" s="39">
        <f>IF($A498="","",IFERROR(INDEX(부서매핑!$C$5:$C$504,MATCH($G498&amp;"",부서매핑!$A$5:$A$504,0)),"미매핑"))</f>
        <v/>
      </c>
      <c r="O498" s="9">
        <f>IF($A498="","",N498&amp;"|"&amp;$F498)</f>
        <v/>
      </c>
      <c r="P498" s="77">
        <f>IF($A498="",0,$H498*설정!$C$23)</f>
        <v/>
      </c>
      <c r="Q498" s="39">
        <f>IF($A498="","",IF(O498&lt;&gt;원인분석!$C$9,"",IF(AND(M498&gt;=원인분석!$C$10,M498&lt;=원인분석!$C$11),"당기",IF(AND(M498&gt;=원인분석!$C$12,M498&lt;=원인분석!$C$13),"비교",""))))</f>
        <v/>
      </c>
      <c r="R498" s="9">
        <f>IF(Q498="","",$K498&amp;"")</f>
        <v/>
      </c>
      <c r="S498" s="9">
        <f>IF(Q498="","",IF(MATCH(R498,$R$5:$R$100000,0)=ROW()-4,ROW(),""))</f>
        <v/>
      </c>
      <c r="T498" s="9">
        <f>IF(Q498="당기",ABS(P498)+ROW()/1000000000,"")</f>
        <v/>
      </c>
      <c r="U498" s="9">
        <f>IF(Q498="비교",ABS(P498)+ROW()/1000000000,"")</f>
        <v/>
      </c>
      <c r="V498" s="39">
        <f>IF($A498="","",IF(COUNTIF(변동분석!$E$7:$E$506,O498)&gt;0,"Y","N"))</f>
        <v/>
      </c>
      <c r="W498" s="39">
        <f>IF($A498="","",IFERROR(INDEX(계정매핑!$D$5:$D$504,MATCH($F498&amp;"",계정매핑!$A$5:$A$504,0)),"미매핑"))</f>
        <v/>
      </c>
      <c r="X498" s="9">
        <f>IF($A498="","",$F498&amp;"")</f>
        <v/>
      </c>
    </row>
    <row r="499">
      <c r="A499" s="75" t="n">
        <v>2025</v>
      </c>
      <c r="B499" s="75" t="n">
        <v>3</v>
      </c>
      <c r="C499" s="75" t="inlineStr">
        <is>
          <t>5100000495</t>
        </is>
      </c>
      <c r="D499" s="78" t="n">
        <v>45731</v>
      </c>
      <c r="E499" s="75" t="inlineStr">
        <is>
          <t>KR</t>
        </is>
      </c>
      <c r="F499" s="75" t="n">
        <v>62902000</v>
      </c>
      <c r="G499" s="75" t="n">
        <v>1201</v>
      </c>
      <c r="H499" s="76" t="n">
        <v>2324000</v>
      </c>
      <c r="I499" s="75" t="inlineStr">
        <is>
          <t>3월 업무 위탁 수수료 - J콜센터</t>
        </is>
      </c>
      <c r="J499" s="75" t="inlineStr">
        <is>
          <t>V10013</t>
        </is>
      </c>
      <c r="K499" s="75" t="inlineStr">
        <is>
          <t>J콜센터</t>
        </is>
      </c>
      <c r="M499" s="9">
        <f>IF($A499="","",VALUE($A499&amp;"")*12+VALUE($B499&amp;""))</f>
        <v/>
      </c>
      <c r="N499" s="39">
        <f>IF($A499="","",IFERROR(INDEX(부서매핑!$C$5:$C$504,MATCH($G499&amp;"",부서매핑!$A$5:$A$504,0)),"미매핑"))</f>
        <v/>
      </c>
      <c r="O499" s="9">
        <f>IF($A499="","",N499&amp;"|"&amp;$F499)</f>
        <v/>
      </c>
      <c r="P499" s="77">
        <f>IF($A499="",0,$H499*설정!$C$23)</f>
        <v/>
      </c>
      <c r="Q499" s="39">
        <f>IF($A499="","",IF(O499&lt;&gt;원인분석!$C$9,"",IF(AND(M499&gt;=원인분석!$C$10,M499&lt;=원인분석!$C$11),"당기",IF(AND(M499&gt;=원인분석!$C$12,M499&lt;=원인분석!$C$13),"비교",""))))</f>
        <v/>
      </c>
      <c r="R499" s="9">
        <f>IF(Q499="","",$K499&amp;"")</f>
        <v/>
      </c>
      <c r="S499" s="9">
        <f>IF(Q499="","",IF(MATCH(R499,$R$5:$R$100000,0)=ROW()-4,ROW(),""))</f>
        <v/>
      </c>
      <c r="T499" s="9">
        <f>IF(Q499="당기",ABS(P499)+ROW()/1000000000,"")</f>
        <v/>
      </c>
      <c r="U499" s="9">
        <f>IF(Q499="비교",ABS(P499)+ROW()/1000000000,"")</f>
        <v/>
      </c>
      <c r="V499" s="39">
        <f>IF($A499="","",IF(COUNTIF(변동분석!$E$7:$E$506,O499)&gt;0,"Y","N"))</f>
        <v/>
      </c>
      <c r="W499" s="39">
        <f>IF($A499="","",IFERROR(INDEX(계정매핑!$D$5:$D$504,MATCH($F499&amp;"",계정매핑!$A$5:$A$504,0)),"미매핑"))</f>
        <v/>
      </c>
      <c r="X499" s="9">
        <f>IF($A499="","",$F499&amp;"")</f>
        <v/>
      </c>
    </row>
    <row r="500">
      <c r="A500" s="75" t="n">
        <v>2025</v>
      </c>
      <c r="B500" s="75" t="n">
        <v>3</v>
      </c>
      <c r="C500" s="75" t="inlineStr">
        <is>
          <t>5100000496</t>
        </is>
      </c>
      <c r="D500" s="78" t="n">
        <v>45731</v>
      </c>
      <c r="E500" s="75" t="inlineStr">
        <is>
          <t>KR</t>
        </is>
      </c>
      <c r="F500" s="75" t="n">
        <v>62902000</v>
      </c>
      <c r="G500" s="75" t="n">
        <v>1201</v>
      </c>
      <c r="H500" s="76" t="n">
        <v>3026000</v>
      </c>
      <c r="I500" s="75" t="inlineStr">
        <is>
          <t>3월 업무 위탁 수수료 - X서비스</t>
        </is>
      </c>
      <c r="J500" s="75" t="inlineStr">
        <is>
          <t>V10016</t>
        </is>
      </c>
      <c r="K500" s="75" t="inlineStr">
        <is>
          <t>X서비스</t>
        </is>
      </c>
      <c r="M500" s="9">
        <f>IF($A500="","",VALUE($A500&amp;"")*12+VALUE($B500&amp;""))</f>
        <v/>
      </c>
      <c r="N500" s="39">
        <f>IF($A500="","",IFERROR(INDEX(부서매핑!$C$5:$C$504,MATCH($G500&amp;"",부서매핑!$A$5:$A$504,0)),"미매핑"))</f>
        <v/>
      </c>
      <c r="O500" s="9">
        <f>IF($A500="","",N500&amp;"|"&amp;$F500)</f>
        <v/>
      </c>
      <c r="P500" s="77">
        <f>IF($A500="",0,$H500*설정!$C$23)</f>
        <v/>
      </c>
      <c r="Q500" s="39">
        <f>IF($A500="","",IF(O500&lt;&gt;원인분석!$C$9,"",IF(AND(M500&gt;=원인분석!$C$10,M500&lt;=원인분석!$C$11),"당기",IF(AND(M500&gt;=원인분석!$C$12,M500&lt;=원인분석!$C$13),"비교",""))))</f>
        <v/>
      </c>
      <c r="R500" s="9">
        <f>IF(Q500="","",$K500&amp;"")</f>
        <v/>
      </c>
      <c r="S500" s="9">
        <f>IF(Q500="","",IF(MATCH(R500,$R$5:$R$100000,0)=ROW()-4,ROW(),""))</f>
        <v/>
      </c>
      <c r="T500" s="9">
        <f>IF(Q500="당기",ABS(P500)+ROW()/1000000000,"")</f>
        <v/>
      </c>
      <c r="U500" s="9">
        <f>IF(Q500="비교",ABS(P500)+ROW()/1000000000,"")</f>
        <v/>
      </c>
      <c r="V500" s="39">
        <f>IF($A500="","",IF(COUNTIF(변동분석!$E$7:$E$506,O500)&gt;0,"Y","N"))</f>
        <v/>
      </c>
      <c r="W500" s="39">
        <f>IF($A500="","",IFERROR(INDEX(계정매핑!$D$5:$D$504,MATCH($F500&amp;"",계정매핑!$A$5:$A$504,0)),"미매핑"))</f>
        <v/>
      </c>
      <c r="X500" s="9">
        <f>IF($A500="","",$F500&amp;"")</f>
        <v/>
      </c>
    </row>
    <row r="501">
      <c r="A501" s="75" t="n">
        <v>2025</v>
      </c>
      <c r="B501" s="75" t="n">
        <v>3</v>
      </c>
      <c r="C501" s="75" t="inlineStr">
        <is>
          <t>5100000497</t>
        </is>
      </c>
      <c r="D501" s="78" t="n">
        <v>45731</v>
      </c>
      <c r="E501" s="75" t="inlineStr">
        <is>
          <t>KR</t>
        </is>
      </c>
      <c r="F501" s="75" t="n">
        <v>63001000</v>
      </c>
      <c r="G501" s="75" t="n">
        <v>1701</v>
      </c>
      <c r="H501" s="76" t="n">
        <v>41907000</v>
      </c>
      <c r="I501" s="75" t="inlineStr">
        <is>
          <t>3월 SW 유지보수 - Z시스템</t>
        </is>
      </c>
      <c r="J501" s="75" t="inlineStr">
        <is>
          <t>V10021</t>
        </is>
      </c>
      <c r="K501" s="75" t="inlineStr">
        <is>
          <t>Z시스템</t>
        </is>
      </c>
      <c r="M501" s="9">
        <f>IF($A501="","",VALUE($A501&amp;"")*12+VALUE($B501&amp;""))</f>
        <v/>
      </c>
      <c r="N501" s="39">
        <f>IF($A501="","",IFERROR(INDEX(부서매핑!$C$5:$C$504,MATCH($G501&amp;"",부서매핑!$A$5:$A$504,0)),"미매핑"))</f>
        <v/>
      </c>
      <c r="O501" s="9">
        <f>IF($A501="","",N501&amp;"|"&amp;$F501)</f>
        <v/>
      </c>
      <c r="P501" s="77">
        <f>IF($A501="",0,$H501*설정!$C$23)</f>
        <v/>
      </c>
      <c r="Q501" s="39">
        <f>IF($A501="","",IF(O501&lt;&gt;원인분석!$C$9,"",IF(AND(M501&gt;=원인분석!$C$10,M501&lt;=원인분석!$C$11),"당기",IF(AND(M501&gt;=원인분석!$C$12,M501&lt;=원인분석!$C$13),"비교",""))))</f>
        <v/>
      </c>
      <c r="R501" s="9">
        <f>IF(Q501="","",$K501&amp;"")</f>
        <v/>
      </c>
      <c r="S501" s="9">
        <f>IF(Q501="","",IF(MATCH(R501,$R$5:$R$100000,0)=ROW()-4,ROW(),""))</f>
        <v/>
      </c>
      <c r="T501" s="9">
        <f>IF(Q501="당기",ABS(P501)+ROW()/1000000000,"")</f>
        <v/>
      </c>
      <c r="U501" s="9">
        <f>IF(Q501="비교",ABS(P501)+ROW()/1000000000,"")</f>
        <v/>
      </c>
      <c r="V501" s="39">
        <f>IF($A501="","",IF(COUNTIF(변동분석!$E$7:$E$506,O501)&gt;0,"Y","N"))</f>
        <v/>
      </c>
      <c r="W501" s="39">
        <f>IF($A501="","",IFERROR(INDEX(계정매핑!$D$5:$D$504,MATCH($F501&amp;"",계정매핑!$A$5:$A$504,0)),"미매핑"))</f>
        <v/>
      </c>
      <c r="X501" s="9">
        <f>IF($A501="","",$F501&amp;"")</f>
        <v/>
      </c>
    </row>
    <row r="502">
      <c r="A502" s="75" t="n">
        <v>2025</v>
      </c>
      <c r="B502" s="75" t="n">
        <v>3</v>
      </c>
      <c r="C502" s="75" t="inlineStr">
        <is>
          <t>5100000498</t>
        </is>
      </c>
      <c r="D502" s="78" t="n">
        <v>45732</v>
      </c>
      <c r="E502" s="75" t="inlineStr">
        <is>
          <t>KR</t>
        </is>
      </c>
      <c r="F502" s="75" t="n">
        <v>62301000</v>
      </c>
      <c r="G502" s="75" t="n">
        <v>1301</v>
      </c>
      <c r="H502" s="76" t="n">
        <v>158000</v>
      </c>
      <c r="I502" s="75" t="inlineStr">
        <is>
          <t>3월 소모품 구입 - R문구</t>
        </is>
      </c>
      <c r="J502" s="75" t="inlineStr">
        <is>
          <t>V10018</t>
        </is>
      </c>
      <c r="K502" s="75" t="inlineStr">
        <is>
          <t>R문구</t>
        </is>
      </c>
      <c r="M502" s="9">
        <f>IF($A502="","",VALUE($A502&amp;"")*12+VALUE($B502&amp;""))</f>
        <v/>
      </c>
      <c r="N502" s="39">
        <f>IF($A502="","",IFERROR(INDEX(부서매핑!$C$5:$C$504,MATCH($G502&amp;"",부서매핑!$A$5:$A$504,0)),"미매핑"))</f>
        <v/>
      </c>
      <c r="O502" s="9">
        <f>IF($A502="","",N502&amp;"|"&amp;$F502)</f>
        <v/>
      </c>
      <c r="P502" s="77">
        <f>IF($A502="",0,$H502*설정!$C$23)</f>
        <v/>
      </c>
      <c r="Q502" s="39">
        <f>IF($A502="","",IF(O502&lt;&gt;원인분석!$C$9,"",IF(AND(M502&gt;=원인분석!$C$10,M502&lt;=원인분석!$C$11),"당기",IF(AND(M502&gt;=원인분석!$C$12,M502&lt;=원인분석!$C$13),"비교",""))))</f>
        <v/>
      </c>
      <c r="R502" s="9">
        <f>IF(Q502="","",$K502&amp;"")</f>
        <v/>
      </c>
      <c r="S502" s="9">
        <f>IF(Q502="","",IF(MATCH(R502,$R$5:$R$100000,0)=ROW()-4,ROW(),""))</f>
        <v/>
      </c>
      <c r="T502" s="9">
        <f>IF(Q502="당기",ABS(P502)+ROW()/1000000000,"")</f>
        <v/>
      </c>
      <c r="U502" s="9">
        <f>IF(Q502="비교",ABS(P502)+ROW()/1000000000,"")</f>
        <v/>
      </c>
      <c r="V502" s="39">
        <f>IF($A502="","",IF(COUNTIF(변동분석!$E$7:$E$506,O502)&gt;0,"Y","N"))</f>
        <v/>
      </c>
      <c r="W502" s="39">
        <f>IF($A502="","",IFERROR(INDEX(계정매핑!$D$5:$D$504,MATCH($F502&amp;"",계정매핑!$A$5:$A$504,0)),"미매핑"))</f>
        <v/>
      </c>
      <c r="X502" s="9">
        <f>IF($A502="","",$F502&amp;"")</f>
        <v/>
      </c>
    </row>
    <row r="503">
      <c r="A503" s="75" t="n">
        <v>2025</v>
      </c>
      <c r="B503" s="75" t="n">
        <v>3</v>
      </c>
      <c r="C503" s="75" t="inlineStr">
        <is>
          <t>5100000499</t>
        </is>
      </c>
      <c r="D503" s="78" t="n">
        <v>45732</v>
      </c>
      <c r="E503" s="75" t="inlineStr">
        <is>
          <t>KR</t>
        </is>
      </c>
      <c r="F503" s="75" t="n">
        <v>62401000</v>
      </c>
      <c r="G503" s="75" t="n">
        <v>1801</v>
      </c>
      <c r="H503" s="76" t="n">
        <v>2333000</v>
      </c>
      <c r="I503" s="75" t="inlineStr">
        <is>
          <t>3월 인쇄물 제작 - S출판</t>
        </is>
      </c>
      <c r="J503" s="75" t="inlineStr">
        <is>
          <t>V10012</t>
        </is>
      </c>
      <c r="K503" s="75" t="inlineStr">
        <is>
          <t>S출판</t>
        </is>
      </c>
      <c r="M503" s="9">
        <f>IF($A503="","",VALUE($A503&amp;"")*12+VALUE($B503&amp;""))</f>
        <v/>
      </c>
      <c r="N503" s="39">
        <f>IF($A503="","",IFERROR(INDEX(부서매핑!$C$5:$C$504,MATCH($G503&amp;"",부서매핑!$A$5:$A$504,0)),"미매핑"))</f>
        <v/>
      </c>
      <c r="O503" s="9">
        <f>IF($A503="","",N503&amp;"|"&amp;$F503)</f>
        <v/>
      </c>
      <c r="P503" s="77">
        <f>IF($A503="",0,$H503*설정!$C$23)</f>
        <v/>
      </c>
      <c r="Q503" s="39">
        <f>IF($A503="","",IF(O503&lt;&gt;원인분석!$C$9,"",IF(AND(M503&gt;=원인분석!$C$10,M503&lt;=원인분석!$C$11),"당기",IF(AND(M503&gt;=원인분석!$C$12,M503&lt;=원인분석!$C$13),"비교",""))))</f>
        <v/>
      </c>
      <c r="R503" s="9">
        <f>IF(Q503="","",$K503&amp;"")</f>
        <v/>
      </c>
      <c r="S503" s="9">
        <f>IF(Q503="","",IF(MATCH(R503,$R$5:$R$100000,0)=ROW()-4,ROW(),""))</f>
        <v/>
      </c>
      <c r="T503" s="9">
        <f>IF(Q503="당기",ABS(P503)+ROW()/1000000000,"")</f>
        <v/>
      </c>
      <c r="U503" s="9">
        <f>IF(Q503="비교",ABS(P503)+ROW()/1000000000,"")</f>
        <v/>
      </c>
      <c r="V503" s="39">
        <f>IF($A503="","",IF(COUNTIF(변동분석!$E$7:$E$506,O503)&gt;0,"Y","N"))</f>
        <v/>
      </c>
      <c r="W503" s="39">
        <f>IF($A503="","",IFERROR(INDEX(계정매핑!$D$5:$D$504,MATCH($F503&amp;"",계정매핑!$A$5:$A$504,0)),"미매핑"))</f>
        <v/>
      </c>
      <c r="X503" s="9">
        <f>IF($A503="","",$F503&amp;"")</f>
        <v/>
      </c>
    </row>
    <row r="504">
      <c r="A504" s="75" t="n">
        <v>2025</v>
      </c>
      <c r="B504" s="75" t="n">
        <v>3</v>
      </c>
      <c r="C504" s="75" t="inlineStr">
        <is>
          <t>5100000500</t>
        </is>
      </c>
      <c r="D504" s="78" t="n">
        <v>45732</v>
      </c>
      <c r="E504" s="75" t="inlineStr">
        <is>
          <t>KR</t>
        </is>
      </c>
      <c r="F504" s="75" t="n">
        <v>62501000</v>
      </c>
      <c r="G504" s="75" t="n">
        <v>1601</v>
      </c>
      <c r="H504" s="76" t="n">
        <v>637000</v>
      </c>
      <c r="I504" s="75" t="inlineStr">
        <is>
          <t>3월 회의 다과 - (법인카드)</t>
        </is>
      </c>
      <c r="J504" s="75" t="inlineStr">
        <is>
          <t>V10008</t>
        </is>
      </c>
      <c r="K504" s="75" t="inlineStr">
        <is>
          <t>(법인카드)</t>
        </is>
      </c>
      <c r="M504" s="9">
        <f>IF($A504="","",VALUE($A504&amp;"")*12+VALUE($B504&amp;""))</f>
        <v/>
      </c>
      <c r="N504" s="39">
        <f>IF($A504="","",IFERROR(INDEX(부서매핑!$C$5:$C$504,MATCH($G504&amp;"",부서매핑!$A$5:$A$504,0)),"미매핑"))</f>
        <v/>
      </c>
      <c r="O504" s="9">
        <f>IF($A504="","",N504&amp;"|"&amp;$F504)</f>
        <v/>
      </c>
      <c r="P504" s="77">
        <f>IF($A504="",0,$H504*설정!$C$23)</f>
        <v/>
      </c>
      <c r="Q504" s="39">
        <f>IF($A504="","",IF(O504&lt;&gt;원인분석!$C$9,"",IF(AND(M504&gt;=원인분석!$C$10,M504&lt;=원인분석!$C$11),"당기",IF(AND(M504&gt;=원인분석!$C$12,M504&lt;=원인분석!$C$13),"비교",""))))</f>
        <v/>
      </c>
      <c r="R504" s="9">
        <f>IF(Q504="","",$K504&amp;"")</f>
        <v/>
      </c>
      <c r="S504" s="9">
        <f>IF(Q504="","",IF(MATCH(R504,$R$5:$R$100000,0)=ROW()-4,ROW(),""))</f>
        <v/>
      </c>
      <c r="T504" s="9">
        <f>IF(Q504="당기",ABS(P504)+ROW()/1000000000,"")</f>
        <v/>
      </c>
      <c r="U504" s="9">
        <f>IF(Q504="비교",ABS(P504)+ROW()/1000000000,"")</f>
        <v/>
      </c>
      <c r="V504" s="39">
        <f>IF($A504="","",IF(COUNTIF(변동분석!$E$7:$E$506,O504)&gt;0,"Y","N"))</f>
        <v/>
      </c>
      <c r="W504" s="39">
        <f>IF($A504="","",IFERROR(INDEX(계정매핑!$D$5:$D$504,MATCH($F504&amp;"",계정매핑!$A$5:$A$504,0)),"미매핑"))</f>
        <v/>
      </c>
      <c r="X504" s="9">
        <f>IF($A504="","",$F504&amp;"")</f>
        <v/>
      </c>
    </row>
    <row r="505">
      <c r="A505" s="75" t="n">
        <v>2025</v>
      </c>
      <c r="B505" s="75" t="n">
        <v>3</v>
      </c>
      <c r="C505" s="75" t="inlineStr">
        <is>
          <t>5100000501</t>
        </is>
      </c>
      <c r="D505" s="78" t="n">
        <v>45732</v>
      </c>
      <c r="E505" s="75" t="inlineStr">
        <is>
          <t>KR</t>
        </is>
      </c>
      <c r="F505" s="75" t="n">
        <v>62601000</v>
      </c>
      <c r="G505" s="75" t="n">
        <v>1301</v>
      </c>
      <c r="H505" s="76" t="n">
        <v>2027000</v>
      </c>
      <c r="I505" s="75" t="inlineStr">
        <is>
          <t>3월 업무추진 - (법인카드)</t>
        </is>
      </c>
      <c r="J505" s="75" t="inlineStr">
        <is>
          <t>V10008</t>
        </is>
      </c>
      <c r="K505" s="75" t="inlineStr">
        <is>
          <t>(법인카드)</t>
        </is>
      </c>
      <c r="M505" s="9">
        <f>IF($A505="","",VALUE($A505&amp;"")*12+VALUE($B505&amp;""))</f>
        <v/>
      </c>
      <c r="N505" s="39">
        <f>IF($A505="","",IFERROR(INDEX(부서매핑!$C$5:$C$504,MATCH($G505&amp;"",부서매핑!$A$5:$A$504,0)),"미매핑"))</f>
        <v/>
      </c>
      <c r="O505" s="9">
        <f>IF($A505="","",N505&amp;"|"&amp;$F505)</f>
        <v/>
      </c>
      <c r="P505" s="77">
        <f>IF($A505="",0,$H505*설정!$C$23)</f>
        <v/>
      </c>
      <c r="Q505" s="39">
        <f>IF($A505="","",IF(O505&lt;&gt;원인분석!$C$9,"",IF(AND(M505&gt;=원인분석!$C$10,M505&lt;=원인분석!$C$11),"당기",IF(AND(M505&gt;=원인분석!$C$12,M505&lt;=원인분석!$C$13),"비교",""))))</f>
        <v/>
      </c>
      <c r="R505" s="9">
        <f>IF(Q505="","",$K505&amp;"")</f>
        <v/>
      </c>
      <c r="S505" s="9">
        <f>IF(Q505="","",IF(MATCH(R505,$R$5:$R$100000,0)=ROW()-4,ROW(),""))</f>
        <v/>
      </c>
      <c r="T505" s="9">
        <f>IF(Q505="당기",ABS(P505)+ROW()/1000000000,"")</f>
        <v/>
      </c>
      <c r="U505" s="9">
        <f>IF(Q505="비교",ABS(P505)+ROW()/1000000000,"")</f>
        <v/>
      </c>
      <c r="V505" s="39">
        <f>IF($A505="","",IF(COUNTIF(변동분석!$E$7:$E$506,O505)&gt;0,"Y","N"))</f>
        <v/>
      </c>
      <c r="W505" s="39">
        <f>IF($A505="","",IFERROR(INDEX(계정매핑!$D$5:$D$504,MATCH($F505&amp;"",계정매핑!$A$5:$A$504,0)),"미매핑"))</f>
        <v/>
      </c>
      <c r="X505" s="9">
        <f>IF($A505="","",$F505&amp;"")</f>
        <v/>
      </c>
    </row>
    <row r="506">
      <c r="A506" s="75" t="n">
        <v>2025</v>
      </c>
      <c r="B506" s="75" t="n">
        <v>3</v>
      </c>
      <c r="C506" s="75" t="inlineStr">
        <is>
          <t>5100000502</t>
        </is>
      </c>
      <c r="D506" s="78" t="n">
        <v>45732</v>
      </c>
      <c r="E506" s="75" t="inlineStr">
        <is>
          <t>KR</t>
        </is>
      </c>
      <c r="F506" s="75" t="n">
        <v>62802000</v>
      </c>
      <c r="G506" s="75" t="n">
        <v>1301</v>
      </c>
      <c r="H506" s="76" t="n">
        <v>4666000</v>
      </c>
      <c r="I506" s="75" t="inlineStr">
        <is>
          <t>3월 위탁교육 - I교육원</t>
        </is>
      </c>
      <c r="J506" s="75" t="inlineStr">
        <is>
          <t>V10015</t>
        </is>
      </c>
      <c r="K506" s="75" t="inlineStr">
        <is>
          <t>I교육원</t>
        </is>
      </c>
      <c r="M506" s="9">
        <f>IF($A506="","",VALUE($A506&amp;"")*12+VALUE($B506&amp;""))</f>
        <v/>
      </c>
      <c r="N506" s="39">
        <f>IF($A506="","",IFERROR(INDEX(부서매핑!$C$5:$C$504,MATCH($G506&amp;"",부서매핑!$A$5:$A$504,0)),"미매핑"))</f>
        <v/>
      </c>
      <c r="O506" s="9">
        <f>IF($A506="","",N506&amp;"|"&amp;$F506)</f>
        <v/>
      </c>
      <c r="P506" s="77">
        <f>IF($A506="",0,$H506*설정!$C$23)</f>
        <v/>
      </c>
      <c r="Q506" s="39">
        <f>IF($A506="","",IF(O506&lt;&gt;원인분석!$C$9,"",IF(AND(M506&gt;=원인분석!$C$10,M506&lt;=원인분석!$C$11),"당기",IF(AND(M506&gt;=원인분석!$C$12,M506&lt;=원인분석!$C$13),"비교",""))))</f>
        <v/>
      </c>
      <c r="R506" s="9">
        <f>IF(Q506="","",$K506&amp;"")</f>
        <v/>
      </c>
      <c r="S506" s="9">
        <f>IF(Q506="","",IF(MATCH(R506,$R$5:$R$100000,0)=ROW()-4,ROW(),""))</f>
        <v/>
      </c>
      <c r="T506" s="9">
        <f>IF(Q506="당기",ABS(P506)+ROW()/1000000000,"")</f>
        <v/>
      </c>
      <c r="U506" s="9">
        <f>IF(Q506="비교",ABS(P506)+ROW()/1000000000,"")</f>
        <v/>
      </c>
      <c r="V506" s="39">
        <f>IF($A506="","",IF(COUNTIF(변동분석!$E$7:$E$506,O506)&gt;0,"Y","N"))</f>
        <v/>
      </c>
      <c r="W506" s="39">
        <f>IF($A506="","",IFERROR(INDEX(계정매핑!$D$5:$D$504,MATCH($F506&amp;"",계정매핑!$A$5:$A$504,0)),"미매핑"))</f>
        <v/>
      </c>
      <c r="X506" s="9">
        <f>IF($A506="","",$F506&amp;"")</f>
        <v/>
      </c>
    </row>
    <row r="507">
      <c r="A507" s="75" t="n">
        <v>2025</v>
      </c>
      <c r="B507" s="75" t="n">
        <v>3</v>
      </c>
      <c r="C507" s="75" t="inlineStr">
        <is>
          <t>5100000503</t>
        </is>
      </c>
      <c r="D507" s="78" t="n">
        <v>45733</v>
      </c>
      <c r="E507" s="75" t="inlineStr">
        <is>
          <t>KR</t>
        </is>
      </c>
      <c r="F507" s="75" t="n">
        <v>62101000</v>
      </c>
      <c r="G507" s="75" t="n">
        <v>1701</v>
      </c>
      <c r="H507" s="76" t="n">
        <v>362000</v>
      </c>
      <c r="I507" s="75" t="inlineStr">
        <is>
          <t>3월 국내출장 - (법인카드)</t>
        </is>
      </c>
      <c r="J507" s="75" t="inlineStr">
        <is>
          <t>V10008</t>
        </is>
      </c>
      <c r="K507" s="75" t="inlineStr">
        <is>
          <t>(법인카드)</t>
        </is>
      </c>
      <c r="M507" s="9">
        <f>IF($A507="","",VALUE($A507&amp;"")*12+VALUE($B507&amp;""))</f>
        <v/>
      </c>
      <c r="N507" s="39">
        <f>IF($A507="","",IFERROR(INDEX(부서매핑!$C$5:$C$504,MATCH($G507&amp;"",부서매핑!$A$5:$A$504,0)),"미매핑"))</f>
        <v/>
      </c>
      <c r="O507" s="9">
        <f>IF($A507="","",N507&amp;"|"&amp;$F507)</f>
        <v/>
      </c>
      <c r="P507" s="77">
        <f>IF($A507="",0,$H507*설정!$C$23)</f>
        <v/>
      </c>
      <c r="Q507" s="39">
        <f>IF($A507="","",IF(O507&lt;&gt;원인분석!$C$9,"",IF(AND(M507&gt;=원인분석!$C$10,M507&lt;=원인분석!$C$11),"당기",IF(AND(M507&gt;=원인분석!$C$12,M507&lt;=원인분석!$C$13),"비교",""))))</f>
        <v/>
      </c>
      <c r="R507" s="9">
        <f>IF(Q507="","",$K507&amp;"")</f>
        <v/>
      </c>
      <c r="S507" s="9">
        <f>IF(Q507="","",IF(MATCH(R507,$R$5:$R$100000,0)=ROW()-4,ROW(),""))</f>
        <v/>
      </c>
      <c r="T507" s="9">
        <f>IF(Q507="당기",ABS(P507)+ROW()/1000000000,"")</f>
        <v/>
      </c>
      <c r="U507" s="9">
        <f>IF(Q507="비교",ABS(P507)+ROW()/1000000000,"")</f>
        <v/>
      </c>
      <c r="V507" s="39">
        <f>IF($A507="","",IF(COUNTIF(변동분석!$E$7:$E$506,O507)&gt;0,"Y","N"))</f>
        <v/>
      </c>
      <c r="W507" s="39">
        <f>IF($A507="","",IFERROR(INDEX(계정매핑!$D$5:$D$504,MATCH($F507&amp;"",계정매핑!$A$5:$A$504,0)),"미매핑"))</f>
        <v/>
      </c>
      <c r="X507" s="9">
        <f>IF($A507="","",$F507&amp;"")</f>
        <v/>
      </c>
    </row>
    <row r="508">
      <c r="A508" s="75" t="n">
        <v>2025</v>
      </c>
      <c r="B508" s="75" t="n">
        <v>3</v>
      </c>
      <c r="C508" s="75" t="inlineStr">
        <is>
          <t>5100000504</t>
        </is>
      </c>
      <c r="D508" s="78" t="n">
        <v>45733</v>
      </c>
      <c r="E508" s="75" t="inlineStr">
        <is>
          <t>KR</t>
        </is>
      </c>
      <c r="F508" s="75" t="n">
        <v>62501000</v>
      </c>
      <c r="G508" s="75" t="n">
        <v>1601</v>
      </c>
      <c r="H508" s="76" t="n">
        <v>341000</v>
      </c>
      <c r="I508" s="75" t="inlineStr">
        <is>
          <t>3월 회의 다과 - (법인카드)</t>
        </is>
      </c>
      <c r="J508" s="75" t="inlineStr">
        <is>
          <t>V10008</t>
        </is>
      </c>
      <c r="K508" s="75" t="inlineStr">
        <is>
          <t>(법인카드)</t>
        </is>
      </c>
      <c r="M508" s="9">
        <f>IF($A508="","",VALUE($A508&amp;"")*12+VALUE($B508&amp;""))</f>
        <v/>
      </c>
      <c r="N508" s="39">
        <f>IF($A508="","",IFERROR(INDEX(부서매핑!$C$5:$C$504,MATCH($G508&amp;"",부서매핑!$A$5:$A$504,0)),"미매핑"))</f>
        <v/>
      </c>
      <c r="O508" s="9">
        <f>IF($A508="","",N508&amp;"|"&amp;$F508)</f>
        <v/>
      </c>
      <c r="P508" s="77">
        <f>IF($A508="",0,$H508*설정!$C$23)</f>
        <v/>
      </c>
      <c r="Q508" s="39">
        <f>IF($A508="","",IF(O508&lt;&gt;원인분석!$C$9,"",IF(AND(M508&gt;=원인분석!$C$10,M508&lt;=원인분석!$C$11),"당기",IF(AND(M508&gt;=원인분석!$C$12,M508&lt;=원인분석!$C$13),"비교",""))))</f>
        <v/>
      </c>
      <c r="R508" s="9">
        <f>IF(Q508="","",$K508&amp;"")</f>
        <v/>
      </c>
      <c r="S508" s="9">
        <f>IF(Q508="","",IF(MATCH(R508,$R$5:$R$100000,0)=ROW()-4,ROW(),""))</f>
        <v/>
      </c>
      <c r="T508" s="9">
        <f>IF(Q508="당기",ABS(P508)+ROW()/1000000000,"")</f>
        <v/>
      </c>
      <c r="U508" s="9">
        <f>IF(Q508="비교",ABS(P508)+ROW()/1000000000,"")</f>
        <v/>
      </c>
      <c r="V508" s="39">
        <f>IF($A508="","",IF(COUNTIF(변동분석!$E$7:$E$506,O508)&gt;0,"Y","N"))</f>
        <v/>
      </c>
      <c r="W508" s="39">
        <f>IF($A508="","",IFERROR(INDEX(계정매핑!$D$5:$D$504,MATCH($F508&amp;"",계정매핑!$A$5:$A$504,0)),"미매핑"))</f>
        <v/>
      </c>
      <c r="X508" s="9">
        <f>IF($A508="","",$F508&amp;"")</f>
        <v/>
      </c>
    </row>
    <row r="509">
      <c r="A509" s="75" t="n">
        <v>2025</v>
      </c>
      <c r="B509" s="75" t="n">
        <v>3</v>
      </c>
      <c r="C509" s="75" t="inlineStr">
        <is>
          <t>5100000505</t>
        </is>
      </c>
      <c r="D509" s="78" t="n">
        <v>45733</v>
      </c>
      <c r="E509" s="75" t="inlineStr">
        <is>
          <t>KR</t>
        </is>
      </c>
      <c r="F509" s="75" t="n">
        <v>62501000</v>
      </c>
      <c r="G509" s="75" t="n">
        <v>1801</v>
      </c>
      <c r="H509" s="76" t="n">
        <v>99000</v>
      </c>
      <c r="I509" s="75" t="inlineStr">
        <is>
          <t>3월 회의 다과 - (법인카드)</t>
        </is>
      </c>
      <c r="J509" s="75" t="inlineStr">
        <is>
          <t>V10008</t>
        </is>
      </c>
      <c r="K509" s="75" t="inlineStr">
        <is>
          <t>(법인카드)</t>
        </is>
      </c>
      <c r="M509" s="9">
        <f>IF($A509="","",VALUE($A509&amp;"")*12+VALUE($B509&amp;""))</f>
        <v/>
      </c>
      <c r="N509" s="39">
        <f>IF($A509="","",IFERROR(INDEX(부서매핑!$C$5:$C$504,MATCH($G509&amp;"",부서매핑!$A$5:$A$504,0)),"미매핑"))</f>
        <v/>
      </c>
      <c r="O509" s="9">
        <f>IF($A509="","",N509&amp;"|"&amp;$F509)</f>
        <v/>
      </c>
      <c r="P509" s="77">
        <f>IF($A509="",0,$H509*설정!$C$23)</f>
        <v/>
      </c>
      <c r="Q509" s="39">
        <f>IF($A509="","",IF(O509&lt;&gt;원인분석!$C$9,"",IF(AND(M509&gt;=원인분석!$C$10,M509&lt;=원인분석!$C$11),"당기",IF(AND(M509&gt;=원인분석!$C$12,M509&lt;=원인분석!$C$13),"비교",""))))</f>
        <v/>
      </c>
      <c r="R509" s="9">
        <f>IF(Q509="","",$K509&amp;"")</f>
        <v/>
      </c>
      <c r="S509" s="9">
        <f>IF(Q509="","",IF(MATCH(R509,$R$5:$R$100000,0)=ROW()-4,ROW(),""))</f>
        <v/>
      </c>
      <c r="T509" s="9">
        <f>IF(Q509="당기",ABS(P509)+ROW()/1000000000,"")</f>
        <v/>
      </c>
      <c r="U509" s="9">
        <f>IF(Q509="비교",ABS(P509)+ROW()/1000000000,"")</f>
        <v/>
      </c>
      <c r="V509" s="39">
        <f>IF($A509="","",IF(COUNTIF(변동분석!$E$7:$E$506,O509)&gt;0,"Y","N"))</f>
        <v/>
      </c>
      <c r="W509" s="39">
        <f>IF($A509="","",IFERROR(INDEX(계정매핑!$D$5:$D$504,MATCH($F509&amp;"",계정매핑!$A$5:$A$504,0)),"미매핑"))</f>
        <v/>
      </c>
      <c r="X509" s="9">
        <f>IF($A509="","",$F509&amp;"")</f>
        <v/>
      </c>
    </row>
    <row r="510">
      <c r="A510" s="75" t="n">
        <v>2025</v>
      </c>
      <c r="B510" s="75" t="n">
        <v>3</v>
      </c>
      <c r="C510" s="75" t="inlineStr">
        <is>
          <t>5100000506</t>
        </is>
      </c>
      <c r="D510" s="78" t="n">
        <v>45733</v>
      </c>
      <c r="E510" s="75" t="inlineStr">
        <is>
          <t>KR</t>
        </is>
      </c>
      <c r="F510" s="75" t="n">
        <v>62902000</v>
      </c>
      <c r="G510" s="75" t="n">
        <v>1401</v>
      </c>
      <c r="H510" s="76" t="n">
        <v>2049000</v>
      </c>
      <c r="I510" s="75" t="inlineStr">
        <is>
          <t>3월 업무 위탁 수수료 - X서비스</t>
        </is>
      </c>
      <c r="J510" s="75" t="inlineStr">
        <is>
          <t>V10016</t>
        </is>
      </c>
      <c r="K510" s="75" t="inlineStr">
        <is>
          <t>X서비스</t>
        </is>
      </c>
      <c r="M510" s="9">
        <f>IF($A510="","",VALUE($A510&amp;"")*12+VALUE($B510&amp;""))</f>
        <v/>
      </c>
      <c r="N510" s="39">
        <f>IF($A510="","",IFERROR(INDEX(부서매핑!$C$5:$C$504,MATCH($G510&amp;"",부서매핑!$A$5:$A$504,0)),"미매핑"))</f>
        <v/>
      </c>
      <c r="O510" s="9">
        <f>IF($A510="","",N510&amp;"|"&amp;$F510)</f>
        <v/>
      </c>
      <c r="P510" s="77">
        <f>IF($A510="",0,$H510*설정!$C$23)</f>
        <v/>
      </c>
      <c r="Q510" s="39">
        <f>IF($A510="","",IF(O510&lt;&gt;원인분석!$C$9,"",IF(AND(M510&gt;=원인분석!$C$10,M510&lt;=원인분석!$C$11),"당기",IF(AND(M510&gt;=원인분석!$C$12,M510&lt;=원인분석!$C$13),"비교",""))))</f>
        <v/>
      </c>
      <c r="R510" s="9">
        <f>IF(Q510="","",$K510&amp;"")</f>
        <v/>
      </c>
      <c r="S510" s="9">
        <f>IF(Q510="","",IF(MATCH(R510,$R$5:$R$100000,0)=ROW()-4,ROW(),""))</f>
        <v/>
      </c>
      <c r="T510" s="9">
        <f>IF(Q510="당기",ABS(P510)+ROW()/1000000000,"")</f>
        <v/>
      </c>
      <c r="U510" s="9">
        <f>IF(Q510="비교",ABS(P510)+ROW()/1000000000,"")</f>
        <v/>
      </c>
      <c r="V510" s="39">
        <f>IF($A510="","",IF(COUNTIF(변동분석!$E$7:$E$506,O510)&gt;0,"Y","N"))</f>
        <v/>
      </c>
      <c r="W510" s="39">
        <f>IF($A510="","",IFERROR(INDEX(계정매핑!$D$5:$D$504,MATCH($F510&amp;"",계정매핑!$A$5:$A$504,0)),"미매핑"))</f>
        <v/>
      </c>
      <c r="X510" s="9">
        <f>IF($A510="","",$F510&amp;"")</f>
        <v/>
      </c>
    </row>
    <row r="511">
      <c r="A511" s="75" t="n">
        <v>2025</v>
      </c>
      <c r="B511" s="75" t="n">
        <v>3</v>
      </c>
      <c r="C511" s="75" t="inlineStr">
        <is>
          <t>5100000507</t>
        </is>
      </c>
      <c r="D511" s="78" t="n">
        <v>45734</v>
      </c>
      <c r="E511" s="75" t="inlineStr">
        <is>
          <t>KR</t>
        </is>
      </c>
      <c r="F511" s="75" t="n">
        <v>62101000</v>
      </c>
      <c r="G511" s="75" t="n">
        <v>1101</v>
      </c>
      <c r="H511" s="76" t="n">
        <v>690000</v>
      </c>
      <c r="I511" s="75" t="inlineStr">
        <is>
          <t>3월 국내출장 - M항공</t>
        </is>
      </c>
      <c r="J511" s="75" t="inlineStr">
        <is>
          <t>V10001</t>
        </is>
      </c>
      <c r="K511" s="75" t="inlineStr">
        <is>
          <t>M항공</t>
        </is>
      </c>
      <c r="M511" s="9">
        <f>IF($A511="","",VALUE($A511&amp;"")*12+VALUE($B511&amp;""))</f>
        <v/>
      </c>
      <c r="N511" s="39">
        <f>IF($A511="","",IFERROR(INDEX(부서매핑!$C$5:$C$504,MATCH($G511&amp;"",부서매핑!$A$5:$A$504,0)),"미매핑"))</f>
        <v/>
      </c>
      <c r="O511" s="9">
        <f>IF($A511="","",N511&amp;"|"&amp;$F511)</f>
        <v/>
      </c>
      <c r="P511" s="77">
        <f>IF($A511="",0,$H511*설정!$C$23)</f>
        <v/>
      </c>
      <c r="Q511" s="39">
        <f>IF($A511="","",IF(O511&lt;&gt;원인분석!$C$9,"",IF(AND(M511&gt;=원인분석!$C$10,M511&lt;=원인분석!$C$11),"당기",IF(AND(M511&gt;=원인분석!$C$12,M511&lt;=원인분석!$C$13),"비교",""))))</f>
        <v/>
      </c>
      <c r="R511" s="9">
        <f>IF(Q511="","",$K511&amp;"")</f>
        <v/>
      </c>
      <c r="S511" s="9">
        <f>IF(Q511="","",IF(MATCH(R511,$R$5:$R$100000,0)=ROW()-4,ROW(),""))</f>
        <v/>
      </c>
      <c r="T511" s="9">
        <f>IF(Q511="당기",ABS(P511)+ROW()/1000000000,"")</f>
        <v/>
      </c>
      <c r="U511" s="9">
        <f>IF(Q511="비교",ABS(P511)+ROW()/1000000000,"")</f>
        <v/>
      </c>
      <c r="V511" s="39">
        <f>IF($A511="","",IF(COUNTIF(변동분석!$E$7:$E$506,O511)&gt;0,"Y","N"))</f>
        <v/>
      </c>
      <c r="W511" s="39">
        <f>IF($A511="","",IFERROR(INDEX(계정매핑!$D$5:$D$504,MATCH($F511&amp;"",계정매핑!$A$5:$A$504,0)),"미매핑"))</f>
        <v/>
      </c>
      <c r="X511" s="9">
        <f>IF($A511="","",$F511&amp;"")</f>
        <v/>
      </c>
    </row>
    <row r="512">
      <c r="A512" s="75" t="n">
        <v>2025</v>
      </c>
      <c r="B512" s="75" t="n">
        <v>3</v>
      </c>
      <c r="C512" s="75" t="inlineStr">
        <is>
          <t>5100000508</t>
        </is>
      </c>
      <c r="D512" s="78" t="n">
        <v>45734</v>
      </c>
      <c r="E512" s="75" t="inlineStr">
        <is>
          <t>KR</t>
        </is>
      </c>
      <c r="F512" s="75" t="n">
        <v>62101000</v>
      </c>
      <c r="G512" s="75" t="n">
        <v>1201</v>
      </c>
      <c r="H512" s="76" t="n">
        <v>252000</v>
      </c>
      <c r="I512" s="75" t="inlineStr">
        <is>
          <t>3월 국내출장 - (법인카드)</t>
        </is>
      </c>
      <c r="J512" s="75" t="inlineStr">
        <is>
          <t>V10008</t>
        </is>
      </c>
      <c r="K512" s="75" t="inlineStr">
        <is>
          <t>(법인카드)</t>
        </is>
      </c>
      <c r="M512" s="9">
        <f>IF($A512="","",VALUE($A512&amp;"")*12+VALUE($B512&amp;""))</f>
        <v/>
      </c>
      <c r="N512" s="39">
        <f>IF($A512="","",IFERROR(INDEX(부서매핑!$C$5:$C$504,MATCH($G512&amp;"",부서매핑!$A$5:$A$504,0)),"미매핑"))</f>
        <v/>
      </c>
      <c r="O512" s="9">
        <f>IF($A512="","",N512&amp;"|"&amp;$F512)</f>
        <v/>
      </c>
      <c r="P512" s="77">
        <f>IF($A512="",0,$H512*설정!$C$23)</f>
        <v/>
      </c>
      <c r="Q512" s="39">
        <f>IF($A512="","",IF(O512&lt;&gt;원인분석!$C$9,"",IF(AND(M512&gt;=원인분석!$C$10,M512&lt;=원인분석!$C$11),"당기",IF(AND(M512&gt;=원인분석!$C$12,M512&lt;=원인분석!$C$13),"비교",""))))</f>
        <v/>
      </c>
      <c r="R512" s="9">
        <f>IF(Q512="","",$K512&amp;"")</f>
        <v/>
      </c>
      <c r="S512" s="9">
        <f>IF(Q512="","",IF(MATCH(R512,$R$5:$R$100000,0)=ROW()-4,ROW(),""))</f>
        <v/>
      </c>
      <c r="T512" s="9">
        <f>IF(Q512="당기",ABS(P512)+ROW()/1000000000,"")</f>
        <v/>
      </c>
      <c r="U512" s="9">
        <f>IF(Q512="비교",ABS(P512)+ROW()/1000000000,"")</f>
        <v/>
      </c>
      <c r="V512" s="39">
        <f>IF($A512="","",IF(COUNTIF(변동분석!$E$7:$E$506,O512)&gt;0,"Y","N"))</f>
        <v/>
      </c>
      <c r="W512" s="39">
        <f>IF($A512="","",IFERROR(INDEX(계정매핑!$D$5:$D$504,MATCH($F512&amp;"",계정매핑!$A$5:$A$504,0)),"미매핑"))</f>
        <v/>
      </c>
      <c r="X512" s="9">
        <f>IF($A512="","",$F512&amp;"")</f>
        <v/>
      </c>
    </row>
    <row r="513">
      <c r="A513" s="75" t="n">
        <v>2025</v>
      </c>
      <c r="B513" s="75" t="n">
        <v>3</v>
      </c>
      <c r="C513" s="75" t="inlineStr">
        <is>
          <t>5100000509</t>
        </is>
      </c>
      <c r="D513" s="78" t="n">
        <v>45734</v>
      </c>
      <c r="E513" s="75" t="inlineStr">
        <is>
          <t>KR</t>
        </is>
      </c>
      <c r="F513" s="75" t="n">
        <v>62101000</v>
      </c>
      <c r="G513" s="75" t="n">
        <v>1701</v>
      </c>
      <c r="H513" s="76" t="n">
        <v>386000</v>
      </c>
      <c r="I513" s="75" t="inlineStr">
        <is>
          <t>3월 국내출장 - L여행사</t>
        </is>
      </c>
      <c r="J513" s="75" t="inlineStr">
        <is>
          <t>V10014</t>
        </is>
      </c>
      <c r="K513" s="75" t="inlineStr">
        <is>
          <t>L여행사</t>
        </is>
      </c>
      <c r="M513" s="9">
        <f>IF($A513="","",VALUE($A513&amp;"")*12+VALUE($B513&amp;""))</f>
        <v/>
      </c>
      <c r="N513" s="39">
        <f>IF($A513="","",IFERROR(INDEX(부서매핑!$C$5:$C$504,MATCH($G513&amp;"",부서매핑!$A$5:$A$504,0)),"미매핑"))</f>
        <v/>
      </c>
      <c r="O513" s="9">
        <f>IF($A513="","",N513&amp;"|"&amp;$F513)</f>
        <v/>
      </c>
      <c r="P513" s="77">
        <f>IF($A513="",0,$H513*설정!$C$23)</f>
        <v/>
      </c>
      <c r="Q513" s="39">
        <f>IF($A513="","",IF(O513&lt;&gt;원인분석!$C$9,"",IF(AND(M513&gt;=원인분석!$C$10,M513&lt;=원인분석!$C$11),"당기",IF(AND(M513&gt;=원인분석!$C$12,M513&lt;=원인분석!$C$13),"비교",""))))</f>
        <v/>
      </c>
      <c r="R513" s="9">
        <f>IF(Q513="","",$K513&amp;"")</f>
        <v/>
      </c>
      <c r="S513" s="9">
        <f>IF(Q513="","",IF(MATCH(R513,$R$5:$R$100000,0)=ROW()-4,ROW(),""))</f>
        <v/>
      </c>
      <c r="T513" s="9">
        <f>IF(Q513="당기",ABS(P513)+ROW()/1000000000,"")</f>
        <v/>
      </c>
      <c r="U513" s="9">
        <f>IF(Q513="비교",ABS(P513)+ROW()/1000000000,"")</f>
        <v/>
      </c>
      <c r="V513" s="39">
        <f>IF($A513="","",IF(COUNTIF(변동분석!$E$7:$E$506,O513)&gt;0,"Y","N"))</f>
        <v/>
      </c>
      <c r="W513" s="39">
        <f>IF($A513="","",IFERROR(INDEX(계정매핑!$D$5:$D$504,MATCH($F513&amp;"",계정매핑!$A$5:$A$504,0)),"미매핑"))</f>
        <v/>
      </c>
      <c r="X513" s="9">
        <f>IF($A513="","",$F513&amp;"")</f>
        <v/>
      </c>
    </row>
    <row r="514">
      <c r="A514" s="75" t="n">
        <v>2025</v>
      </c>
      <c r="B514" s="75" t="n">
        <v>3</v>
      </c>
      <c r="C514" s="75" t="inlineStr">
        <is>
          <t>5100000510</t>
        </is>
      </c>
      <c r="D514" s="78" t="n">
        <v>45734</v>
      </c>
      <c r="E514" s="75" t="inlineStr">
        <is>
          <t>KR</t>
        </is>
      </c>
      <c r="F514" s="75" t="n">
        <v>62102000</v>
      </c>
      <c r="G514" s="75" t="n">
        <v>1701</v>
      </c>
      <c r="H514" s="76" t="n">
        <v>40000</v>
      </c>
      <c r="I514" s="75" t="inlineStr">
        <is>
          <t>3월 해외출장 - N호텔</t>
        </is>
      </c>
      <c r="J514" s="75" t="inlineStr">
        <is>
          <t>V10007</t>
        </is>
      </c>
      <c r="K514" s="75" t="inlineStr">
        <is>
          <t>N호텔</t>
        </is>
      </c>
      <c r="M514" s="9">
        <f>IF($A514="","",VALUE($A514&amp;"")*12+VALUE($B514&amp;""))</f>
        <v/>
      </c>
      <c r="N514" s="39">
        <f>IF($A514="","",IFERROR(INDEX(부서매핑!$C$5:$C$504,MATCH($G514&amp;"",부서매핑!$A$5:$A$504,0)),"미매핑"))</f>
        <v/>
      </c>
      <c r="O514" s="9">
        <f>IF($A514="","",N514&amp;"|"&amp;$F514)</f>
        <v/>
      </c>
      <c r="P514" s="77">
        <f>IF($A514="",0,$H514*설정!$C$23)</f>
        <v/>
      </c>
      <c r="Q514" s="39">
        <f>IF($A514="","",IF(O514&lt;&gt;원인분석!$C$9,"",IF(AND(M514&gt;=원인분석!$C$10,M514&lt;=원인분석!$C$11),"당기",IF(AND(M514&gt;=원인분석!$C$12,M514&lt;=원인분석!$C$13),"비교",""))))</f>
        <v/>
      </c>
      <c r="R514" s="9">
        <f>IF(Q514="","",$K514&amp;"")</f>
        <v/>
      </c>
      <c r="S514" s="9">
        <f>IF(Q514="","",IF(MATCH(R514,$R$5:$R$100000,0)=ROW()-4,ROW(),""))</f>
        <v/>
      </c>
      <c r="T514" s="9">
        <f>IF(Q514="당기",ABS(P514)+ROW()/1000000000,"")</f>
        <v/>
      </c>
      <c r="U514" s="9">
        <f>IF(Q514="비교",ABS(P514)+ROW()/1000000000,"")</f>
        <v/>
      </c>
      <c r="V514" s="39">
        <f>IF($A514="","",IF(COUNTIF(변동분석!$E$7:$E$506,O514)&gt;0,"Y","N"))</f>
        <v/>
      </c>
      <c r="W514" s="39">
        <f>IF($A514="","",IFERROR(INDEX(계정매핑!$D$5:$D$504,MATCH($F514&amp;"",계정매핑!$A$5:$A$504,0)),"미매핑"))</f>
        <v/>
      </c>
      <c r="X514" s="9">
        <f>IF($A514="","",$F514&amp;"")</f>
        <v/>
      </c>
    </row>
    <row r="515">
      <c r="A515" s="75" t="n">
        <v>2025</v>
      </c>
      <c r="B515" s="75" t="n">
        <v>3</v>
      </c>
      <c r="C515" s="75" t="inlineStr">
        <is>
          <t>5100000511</t>
        </is>
      </c>
      <c r="D515" s="78" t="n">
        <v>45734</v>
      </c>
      <c r="E515" s="75" t="inlineStr">
        <is>
          <t>KR</t>
        </is>
      </c>
      <c r="F515" s="75" t="n">
        <v>62201000</v>
      </c>
      <c r="G515" s="75" t="n">
        <v>1501</v>
      </c>
      <c r="H515" s="76" t="n">
        <v>315000</v>
      </c>
      <c r="I515" s="75" t="inlineStr">
        <is>
          <t>3월 통신요금 - P통신</t>
        </is>
      </c>
      <c r="J515" s="75" t="inlineStr">
        <is>
          <t>V10011</t>
        </is>
      </c>
      <c r="K515" s="75" t="inlineStr">
        <is>
          <t>P통신</t>
        </is>
      </c>
      <c r="M515" s="9">
        <f>IF($A515="","",VALUE($A515&amp;"")*12+VALUE($B515&amp;""))</f>
        <v/>
      </c>
      <c r="N515" s="39">
        <f>IF($A515="","",IFERROR(INDEX(부서매핑!$C$5:$C$504,MATCH($G515&amp;"",부서매핑!$A$5:$A$504,0)),"미매핑"))</f>
        <v/>
      </c>
      <c r="O515" s="9">
        <f>IF($A515="","",N515&amp;"|"&amp;$F515)</f>
        <v/>
      </c>
      <c r="P515" s="77">
        <f>IF($A515="",0,$H515*설정!$C$23)</f>
        <v/>
      </c>
      <c r="Q515" s="39">
        <f>IF($A515="","",IF(O515&lt;&gt;원인분석!$C$9,"",IF(AND(M515&gt;=원인분석!$C$10,M515&lt;=원인분석!$C$11),"당기",IF(AND(M515&gt;=원인분석!$C$12,M515&lt;=원인분석!$C$13),"비교",""))))</f>
        <v/>
      </c>
      <c r="R515" s="9">
        <f>IF(Q515="","",$K515&amp;"")</f>
        <v/>
      </c>
      <c r="S515" s="9">
        <f>IF(Q515="","",IF(MATCH(R515,$R$5:$R$100000,0)=ROW()-4,ROW(),""))</f>
        <v/>
      </c>
      <c r="T515" s="9">
        <f>IF(Q515="당기",ABS(P515)+ROW()/1000000000,"")</f>
        <v/>
      </c>
      <c r="U515" s="9">
        <f>IF(Q515="비교",ABS(P515)+ROW()/1000000000,"")</f>
        <v/>
      </c>
      <c r="V515" s="39">
        <f>IF($A515="","",IF(COUNTIF(변동분석!$E$7:$E$506,O515)&gt;0,"Y","N"))</f>
        <v/>
      </c>
      <c r="W515" s="39">
        <f>IF($A515="","",IFERROR(INDEX(계정매핑!$D$5:$D$504,MATCH($F515&amp;"",계정매핑!$A$5:$A$504,0)),"미매핑"))</f>
        <v/>
      </c>
      <c r="X515" s="9">
        <f>IF($A515="","",$F515&amp;"")</f>
        <v/>
      </c>
    </row>
    <row r="516">
      <c r="A516" s="75" t="n">
        <v>2025</v>
      </c>
      <c r="B516" s="75" t="n">
        <v>3</v>
      </c>
      <c r="C516" s="75" t="inlineStr">
        <is>
          <t>5100000512</t>
        </is>
      </c>
      <c r="D516" s="78" t="n">
        <v>45734</v>
      </c>
      <c r="E516" s="75" t="inlineStr">
        <is>
          <t>KR</t>
        </is>
      </c>
      <c r="F516" s="75" t="n">
        <v>62301000</v>
      </c>
      <c r="G516" s="75" t="n">
        <v>1201</v>
      </c>
      <c r="H516" s="76" t="n">
        <v>214000</v>
      </c>
      <c r="I516" s="75" t="inlineStr">
        <is>
          <t>3월 소모품 구입 - Q오피스</t>
        </is>
      </c>
      <c r="J516" s="75" t="inlineStr">
        <is>
          <t>V10003</t>
        </is>
      </c>
      <c r="K516" s="75" t="inlineStr">
        <is>
          <t>Q오피스</t>
        </is>
      </c>
      <c r="M516" s="9">
        <f>IF($A516="","",VALUE($A516&amp;"")*12+VALUE($B516&amp;""))</f>
        <v/>
      </c>
      <c r="N516" s="39">
        <f>IF($A516="","",IFERROR(INDEX(부서매핑!$C$5:$C$504,MATCH($G516&amp;"",부서매핑!$A$5:$A$504,0)),"미매핑"))</f>
        <v/>
      </c>
      <c r="O516" s="9">
        <f>IF($A516="","",N516&amp;"|"&amp;$F516)</f>
        <v/>
      </c>
      <c r="P516" s="77">
        <f>IF($A516="",0,$H516*설정!$C$23)</f>
        <v/>
      </c>
      <c r="Q516" s="39">
        <f>IF($A516="","",IF(O516&lt;&gt;원인분석!$C$9,"",IF(AND(M516&gt;=원인분석!$C$10,M516&lt;=원인분석!$C$11),"당기",IF(AND(M516&gt;=원인분석!$C$12,M516&lt;=원인분석!$C$13),"비교",""))))</f>
        <v/>
      </c>
      <c r="R516" s="9">
        <f>IF(Q516="","",$K516&amp;"")</f>
        <v/>
      </c>
      <c r="S516" s="9">
        <f>IF(Q516="","",IF(MATCH(R516,$R$5:$R$100000,0)=ROW()-4,ROW(),""))</f>
        <v/>
      </c>
      <c r="T516" s="9">
        <f>IF(Q516="당기",ABS(P516)+ROW()/1000000000,"")</f>
        <v/>
      </c>
      <c r="U516" s="9">
        <f>IF(Q516="비교",ABS(P516)+ROW()/1000000000,"")</f>
        <v/>
      </c>
      <c r="V516" s="39">
        <f>IF($A516="","",IF(COUNTIF(변동분석!$E$7:$E$506,O516)&gt;0,"Y","N"))</f>
        <v/>
      </c>
      <c r="W516" s="39">
        <f>IF($A516="","",IFERROR(INDEX(계정매핑!$D$5:$D$504,MATCH($F516&amp;"",계정매핑!$A$5:$A$504,0)),"미매핑"))</f>
        <v/>
      </c>
      <c r="X516" s="9">
        <f>IF($A516="","",$F516&amp;"")</f>
        <v/>
      </c>
    </row>
    <row r="517">
      <c r="A517" s="75" t="n">
        <v>2025</v>
      </c>
      <c r="B517" s="75" t="n">
        <v>3</v>
      </c>
      <c r="C517" s="75" t="inlineStr">
        <is>
          <t>5100000513</t>
        </is>
      </c>
      <c r="D517" s="78" t="n">
        <v>45734</v>
      </c>
      <c r="E517" s="75" t="inlineStr">
        <is>
          <t>KR</t>
        </is>
      </c>
      <c r="F517" s="75" t="n">
        <v>62301000</v>
      </c>
      <c r="G517" s="75" t="n">
        <v>1301</v>
      </c>
      <c r="H517" s="76" t="n">
        <v>242000</v>
      </c>
      <c r="I517" s="75" t="inlineStr">
        <is>
          <t>3월 소모품 구입 - Q오피스</t>
        </is>
      </c>
      <c r="J517" s="75" t="inlineStr">
        <is>
          <t>V10003</t>
        </is>
      </c>
      <c r="K517" s="75" t="inlineStr">
        <is>
          <t>Q오피스</t>
        </is>
      </c>
      <c r="M517" s="9">
        <f>IF($A517="","",VALUE($A517&amp;"")*12+VALUE($B517&amp;""))</f>
        <v/>
      </c>
      <c r="N517" s="39">
        <f>IF($A517="","",IFERROR(INDEX(부서매핑!$C$5:$C$504,MATCH($G517&amp;"",부서매핑!$A$5:$A$504,0)),"미매핑"))</f>
        <v/>
      </c>
      <c r="O517" s="9">
        <f>IF($A517="","",N517&amp;"|"&amp;$F517)</f>
        <v/>
      </c>
      <c r="P517" s="77">
        <f>IF($A517="",0,$H517*설정!$C$23)</f>
        <v/>
      </c>
      <c r="Q517" s="39">
        <f>IF($A517="","",IF(O517&lt;&gt;원인분석!$C$9,"",IF(AND(M517&gt;=원인분석!$C$10,M517&lt;=원인분석!$C$11),"당기",IF(AND(M517&gt;=원인분석!$C$12,M517&lt;=원인분석!$C$13),"비교",""))))</f>
        <v/>
      </c>
      <c r="R517" s="9">
        <f>IF(Q517="","",$K517&amp;"")</f>
        <v/>
      </c>
      <c r="S517" s="9">
        <f>IF(Q517="","",IF(MATCH(R517,$R$5:$R$100000,0)=ROW()-4,ROW(),""))</f>
        <v/>
      </c>
      <c r="T517" s="9">
        <f>IF(Q517="당기",ABS(P517)+ROW()/1000000000,"")</f>
        <v/>
      </c>
      <c r="U517" s="9">
        <f>IF(Q517="비교",ABS(P517)+ROW()/1000000000,"")</f>
        <v/>
      </c>
      <c r="V517" s="39">
        <f>IF($A517="","",IF(COUNTIF(변동분석!$E$7:$E$506,O517)&gt;0,"Y","N"))</f>
        <v/>
      </c>
      <c r="W517" s="39">
        <f>IF($A517="","",IFERROR(INDEX(계정매핑!$D$5:$D$504,MATCH($F517&amp;"",계정매핑!$A$5:$A$504,0)),"미매핑"))</f>
        <v/>
      </c>
      <c r="X517" s="9">
        <f>IF($A517="","",$F517&amp;"")</f>
        <v/>
      </c>
    </row>
    <row r="518">
      <c r="A518" s="75" t="n">
        <v>2025</v>
      </c>
      <c r="B518" s="75" t="n">
        <v>3</v>
      </c>
      <c r="C518" s="75" t="inlineStr">
        <is>
          <t>5100000514</t>
        </is>
      </c>
      <c r="D518" s="78" t="n">
        <v>45734</v>
      </c>
      <c r="E518" s="75" t="inlineStr">
        <is>
          <t>KR</t>
        </is>
      </c>
      <c r="F518" s="75" t="n">
        <v>62301000</v>
      </c>
      <c r="G518" s="75" t="n">
        <v>1801</v>
      </c>
      <c r="H518" s="76" t="n">
        <v>344000</v>
      </c>
      <c r="I518" s="75" t="inlineStr">
        <is>
          <t>3월 소모품 구입 - R문구</t>
        </is>
      </c>
      <c r="J518" s="75" t="inlineStr">
        <is>
          <t>V10018</t>
        </is>
      </c>
      <c r="K518" s="75" t="inlineStr">
        <is>
          <t>R문구</t>
        </is>
      </c>
      <c r="M518" s="9">
        <f>IF($A518="","",VALUE($A518&amp;"")*12+VALUE($B518&amp;""))</f>
        <v/>
      </c>
      <c r="N518" s="39">
        <f>IF($A518="","",IFERROR(INDEX(부서매핑!$C$5:$C$504,MATCH($G518&amp;"",부서매핑!$A$5:$A$504,0)),"미매핑"))</f>
        <v/>
      </c>
      <c r="O518" s="9">
        <f>IF($A518="","",N518&amp;"|"&amp;$F518)</f>
        <v/>
      </c>
      <c r="P518" s="77">
        <f>IF($A518="",0,$H518*설정!$C$23)</f>
        <v/>
      </c>
      <c r="Q518" s="39">
        <f>IF($A518="","",IF(O518&lt;&gt;원인분석!$C$9,"",IF(AND(M518&gt;=원인분석!$C$10,M518&lt;=원인분석!$C$11),"당기",IF(AND(M518&gt;=원인분석!$C$12,M518&lt;=원인분석!$C$13),"비교",""))))</f>
        <v/>
      </c>
      <c r="R518" s="9">
        <f>IF(Q518="","",$K518&amp;"")</f>
        <v/>
      </c>
      <c r="S518" s="9">
        <f>IF(Q518="","",IF(MATCH(R518,$R$5:$R$100000,0)=ROW()-4,ROW(),""))</f>
        <v/>
      </c>
      <c r="T518" s="9">
        <f>IF(Q518="당기",ABS(P518)+ROW()/1000000000,"")</f>
        <v/>
      </c>
      <c r="U518" s="9">
        <f>IF(Q518="비교",ABS(P518)+ROW()/1000000000,"")</f>
        <v/>
      </c>
      <c r="V518" s="39">
        <f>IF($A518="","",IF(COUNTIF(변동분석!$E$7:$E$506,O518)&gt;0,"Y","N"))</f>
        <v/>
      </c>
      <c r="W518" s="39">
        <f>IF($A518="","",IFERROR(INDEX(계정매핑!$D$5:$D$504,MATCH($F518&amp;"",계정매핑!$A$5:$A$504,0)),"미매핑"))</f>
        <v/>
      </c>
      <c r="X518" s="9">
        <f>IF($A518="","",$F518&amp;"")</f>
        <v/>
      </c>
    </row>
    <row r="519">
      <c r="A519" s="75" t="n">
        <v>2025</v>
      </c>
      <c r="B519" s="75" t="n">
        <v>3</v>
      </c>
      <c r="C519" s="75" t="inlineStr">
        <is>
          <t>5100000515</t>
        </is>
      </c>
      <c r="D519" s="78" t="n">
        <v>45734</v>
      </c>
      <c r="E519" s="75" t="inlineStr">
        <is>
          <t>KR</t>
        </is>
      </c>
      <c r="F519" s="75" t="n">
        <v>62501000</v>
      </c>
      <c r="G519" s="75" t="n">
        <v>1101</v>
      </c>
      <c r="H519" s="76" t="n">
        <v>153000</v>
      </c>
      <c r="I519" s="75" t="inlineStr">
        <is>
          <t>3월 회의 다과 - (법인카드)</t>
        </is>
      </c>
      <c r="J519" s="75" t="inlineStr">
        <is>
          <t>V10008</t>
        </is>
      </c>
      <c r="K519" s="75" t="inlineStr">
        <is>
          <t>(법인카드)</t>
        </is>
      </c>
      <c r="M519" s="9">
        <f>IF($A519="","",VALUE($A519&amp;"")*12+VALUE($B519&amp;""))</f>
        <v/>
      </c>
      <c r="N519" s="39">
        <f>IF($A519="","",IFERROR(INDEX(부서매핑!$C$5:$C$504,MATCH($G519&amp;"",부서매핑!$A$5:$A$504,0)),"미매핑"))</f>
        <v/>
      </c>
      <c r="O519" s="9">
        <f>IF($A519="","",N519&amp;"|"&amp;$F519)</f>
        <v/>
      </c>
      <c r="P519" s="77">
        <f>IF($A519="",0,$H519*설정!$C$23)</f>
        <v/>
      </c>
      <c r="Q519" s="39">
        <f>IF($A519="","",IF(O519&lt;&gt;원인분석!$C$9,"",IF(AND(M519&gt;=원인분석!$C$10,M519&lt;=원인분석!$C$11),"당기",IF(AND(M519&gt;=원인분석!$C$12,M519&lt;=원인분석!$C$13),"비교",""))))</f>
        <v/>
      </c>
      <c r="R519" s="9">
        <f>IF(Q519="","",$K519&amp;"")</f>
        <v/>
      </c>
      <c r="S519" s="9">
        <f>IF(Q519="","",IF(MATCH(R519,$R$5:$R$100000,0)=ROW()-4,ROW(),""))</f>
        <v/>
      </c>
      <c r="T519" s="9">
        <f>IF(Q519="당기",ABS(P519)+ROW()/1000000000,"")</f>
        <v/>
      </c>
      <c r="U519" s="9">
        <f>IF(Q519="비교",ABS(P519)+ROW()/1000000000,"")</f>
        <v/>
      </c>
      <c r="V519" s="39">
        <f>IF($A519="","",IF(COUNTIF(변동분석!$E$7:$E$506,O519)&gt;0,"Y","N"))</f>
        <v/>
      </c>
      <c r="W519" s="39">
        <f>IF($A519="","",IFERROR(INDEX(계정매핑!$D$5:$D$504,MATCH($F519&amp;"",계정매핑!$A$5:$A$504,0)),"미매핑"))</f>
        <v/>
      </c>
      <c r="X519" s="9">
        <f>IF($A519="","",$F519&amp;"")</f>
        <v/>
      </c>
    </row>
    <row r="520">
      <c r="A520" s="75" t="n">
        <v>2025</v>
      </c>
      <c r="B520" s="75" t="n">
        <v>3</v>
      </c>
      <c r="C520" s="75" t="inlineStr">
        <is>
          <t>5100000516</t>
        </is>
      </c>
      <c r="D520" s="78" t="n">
        <v>45734</v>
      </c>
      <c r="E520" s="75" t="inlineStr">
        <is>
          <t>KR</t>
        </is>
      </c>
      <c r="F520" s="75" t="n">
        <v>62902000</v>
      </c>
      <c r="G520" s="75" t="n">
        <v>1801</v>
      </c>
      <c r="H520" s="76" t="n">
        <v>1799000</v>
      </c>
      <c r="I520" s="75" t="inlineStr">
        <is>
          <t>3월 콜 위탁 수수료(건별)</t>
        </is>
      </c>
      <c r="J520" s="75" t="inlineStr">
        <is>
          <t>V10013</t>
        </is>
      </c>
      <c r="K520" s="75" t="inlineStr">
        <is>
          <t>J콜센터</t>
        </is>
      </c>
      <c r="M520" s="9">
        <f>IF($A520="","",VALUE($A520&amp;"")*12+VALUE($B520&amp;""))</f>
        <v/>
      </c>
      <c r="N520" s="39">
        <f>IF($A520="","",IFERROR(INDEX(부서매핑!$C$5:$C$504,MATCH($G520&amp;"",부서매핑!$A$5:$A$504,0)),"미매핑"))</f>
        <v/>
      </c>
      <c r="O520" s="9">
        <f>IF($A520="","",N520&amp;"|"&amp;$F520)</f>
        <v/>
      </c>
      <c r="P520" s="77">
        <f>IF($A520="",0,$H520*설정!$C$23)</f>
        <v/>
      </c>
      <c r="Q520" s="39">
        <f>IF($A520="","",IF(O520&lt;&gt;원인분석!$C$9,"",IF(AND(M520&gt;=원인분석!$C$10,M520&lt;=원인분석!$C$11),"당기",IF(AND(M520&gt;=원인분석!$C$12,M520&lt;=원인분석!$C$13),"비교",""))))</f>
        <v/>
      </c>
      <c r="R520" s="9">
        <f>IF(Q520="","",$K520&amp;"")</f>
        <v/>
      </c>
      <c r="S520" s="9">
        <f>IF(Q520="","",IF(MATCH(R520,$R$5:$R$100000,0)=ROW()-4,ROW(),""))</f>
        <v/>
      </c>
      <c r="T520" s="9">
        <f>IF(Q520="당기",ABS(P520)+ROW()/1000000000,"")</f>
        <v/>
      </c>
      <c r="U520" s="9">
        <f>IF(Q520="비교",ABS(P520)+ROW()/1000000000,"")</f>
        <v/>
      </c>
      <c r="V520" s="39">
        <f>IF($A520="","",IF(COUNTIF(변동분석!$E$7:$E$506,O520)&gt;0,"Y","N"))</f>
        <v/>
      </c>
      <c r="W520" s="39">
        <f>IF($A520="","",IFERROR(INDEX(계정매핑!$D$5:$D$504,MATCH($F520&amp;"",계정매핑!$A$5:$A$504,0)),"미매핑"))</f>
        <v/>
      </c>
      <c r="X520" s="9">
        <f>IF($A520="","",$F520&amp;"")</f>
        <v/>
      </c>
    </row>
    <row r="521">
      <c r="A521" s="75" t="n">
        <v>2025</v>
      </c>
      <c r="B521" s="75" t="n">
        <v>3</v>
      </c>
      <c r="C521" s="75" t="inlineStr">
        <is>
          <t>5100000517</t>
        </is>
      </c>
      <c r="D521" s="78" t="n">
        <v>45734</v>
      </c>
      <c r="E521" s="75" t="inlineStr">
        <is>
          <t>KR</t>
        </is>
      </c>
      <c r="F521" s="75" t="n">
        <v>62902000</v>
      </c>
      <c r="G521" s="75" t="n">
        <v>1801</v>
      </c>
      <c r="H521" s="76" t="n">
        <v>3000000</v>
      </c>
      <c r="I521" s="75" t="inlineStr">
        <is>
          <t>3월 업무 위탁 수수료 - X서비스</t>
        </is>
      </c>
      <c r="J521" s="75" t="inlineStr">
        <is>
          <t>V10016</t>
        </is>
      </c>
      <c r="K521" s="75" t="inlineStr">
        <is>
          <t>X서비스</t>
        </is>
      </c>
      <c r="M521" s="9">
        <f>IF($A521="","",VALUE($A521&amp;"")*12+VALUE($B521&amp;""))</f>
        <v/>
      </c>
      <c r="N521" s="39">
        <f>IF($A521="","",IFERROR(INDEX(부서매핑!$C$5:$C$504,MATCH($G521&amp;"",부서매핑!$A$5:$A$504,0)),"미매핑"))</f>
        <v/>
      </c>
      <c r="O521" s="9">
        <f>IF($A521="","",N521&amp;"|"&amp;$F521)</f>
        <v/>
      </c>
      <c r="P521" s="77">
        <f>IF($A521="",0,$H521*설정!$C$23)</f>
        <v/>
      </c>
      <c r="Q521" s="39">
        <f>IF($A521="","",IF(O521&lt;&gt;원인분석!$C$9,"",IF(AND(M521&gt;=원인분석!$C$10,M521&lt;=원인분석!$C$11),"당기",IF(AND(M521&gt;=원인분석!$C$12,M521&lt;=원인분석!$C$13),"비교",""))))</f>
        <v/>
      </c>
      <c r="R521" s="9">
        <f>IF(Q521="","",$K521&amp;"")</f>
        <v/>
      </c>
      <c r="S521" s="9">
        <f>IF(Q521="","",IF(MATCH(R521,$R$5:$R$100000,0)=ROW()-4,ROW(),""))</f>
        <v/>
      </c>
      <c r="T521" s="9">
        <f>IF(Q521="당기",ABS(P521)+ROW()/1000000000,"")</f>
        <v/>
      </c>
      <c r="U521" s="9">
        <f>IF(Q521="비교",ABS(P521)+ROW()/1000000000,"")</f>
        <v/>
      </c>
      <c r="V521" s="39">
        <f>IF($A521="","",IF(COUNTIF(변동분석!$E$7:$E$506,O521)&gt;0,"Y","N"))</f>
        <v/>
      </c>
      <c r="W521" s="39">
        <f>IF($A521="","",IFERROR(INDEX(계정매핑!$D$5:$D$504,MATCH($F521&amp;"",계정매핑!$A$5:$A$504,0)),"미매핑"))</f>
        <v/>
      </c>
      <c r="X521" s="9">
        <f>IF($A521="","",$F521&amp;"")</f>
        <v/>
      </c>
    </row>
    <row r="522">
      <c r="A522" s="75" t="n">
        <v>2025</v>
      </c>
      <c r="B522" s="75" t="n">
        <v>3</v>
      </c>
      <c r="C522" s="75" t="inlineStr">
        <is>
          <t>5100000518</t>
        </is>
      </c>
      <c r="D522" s="78" t="n">
        <v>45735</v>
      </c>
      <c r="E522" s="75" t="inlineStr">
        <is>
          <t>KR</t>
        </is>
      </c>
      <c r="F522" s="75" t="n">
        <v>62101000</v>
      </c>
      <c r="G522" s="75" t="n">
        <v>1301</v>
      </c>
      <c r="H522" s="76" t="n">
        <v>289000</v>
      </c>
      <c r="I522" s="75" t="inlineStr">
        <is>
          <t>3월 국내출장 - (법인카드)</t>
        </is>
      </c>
      <c r="J522" s="75" t="inlineStr">
        <is>
          <t>V10008</t>
        </is>
      </c>
      <c r="K522" s="75" t="inlineStr">
        <is>
          <t>(법인카드)</t>
        </is>
      </c>
      <c r="M522" s="9">
        <f>IF($A522="","",VALUE($A522&amp;"")*12+VALUE($B522&amp;""))</f>
        <v/>
      </c>
      <c r="N522" s="39">
        <f>IF($A522="","",IFERROR(INDEX(부서매핑!$C$5:$C$504,MATCH($G522&amp;"",부서매핑!$A$5:$A$504,0)),"미매핑"))</f>
        <v/>
      </c>
      <c r="O522" s="9">
        <f>IF($A522="","",N522&amp;"|"&amp;$F522)</f>
        <v/>
      </c>
      <c r="P522" s="77">
        <f>IF($A522="",0,$H522*설정!$C$23)</f>
        <v/>
      </c>
      <c r="Q522" s="39">
        <f>IF($A522="","",IF(O522&lt;&gt;원인분석!$C$9,"",IF(AND(M522&gt;=원인분석!$C$10,M522&lt;=원인분석!$C$11),"당기",IF(AND(M522&gt;=원인분석!$C$12,M522&lt;=원인분석!$C$13),"비교",""))))</f>
        <v/>
      </c>
      <c r="R522" s="9">
        <f>IF(Q522="","",$K522&amp;"")</f>
        <v/>
      </c>
      <c r="S522" s="9">
        <f>IF(Q522="","",IF(MATCH(R522,$R$5:$R$100000,0)=ROW()-4,ROW(),""))</f>
        <v/>
      </c>
      <c r="T522" s="9">
        <f>IF(Q522="당기",ABS(P522)+ROW()/1000000000,"")</f>
        <v/>
      </c>
      <c r="U522" s="9">
        <f>IF(Q522="비교",ABS(P522)+ROW()/1000000000,"")</f>
        <v/>
      </c>
      <c r="V522" s="39">
        <f>IF($A522="","",IF(COUNTIF(변동분석!$E$7:$E$506,O522)&gt;0,"Y","N"))</f>
        <v/>
      </c>
      <c r="W522" s="39">
        <f>IF($A522="","",IFERROR(INDEX(계정매핑!$D$5:$D$504,MATCH($F522&amp;"",계정매핑!$A$5:$A$504,0)),"미매핑"))</f>
        <v/>
      </c>
      <c r="X522" s="9">
        <f>IF($A522="","",$F522&amp;"")</f>
        <v/>
      </c>
    </row>
    <row r="523">
      <c r="A523" s="75" t="n">
        <v>2025</v>
      </c>
      <c r="B523" s="75" t="n">
        <v>3</v>
      </c>
      <c r="C523" s="75" t="inlineStr">
        <is>
          <t>5100000519</t>
        </is>
      </c>
      <c r="D523" s="78" t="n">
        <v>45735</v>
      </c>
      <c r="E523" s="75" t="inlineStr">
        <is>
          <t>KR</t>
        </is>
      </c>
      <c r="F523" s="75" t="n">
        <v>62201000</v>
      </c>
      <c r="G523" s="75" t="n">
        <v>1602</v>
      </c>
      <c r="H523" s="76" t="n">
        <v>1141000</v>
      </c>
      <c r="I523" s="75" t="inlineStr">
        <is>
          <t>3월 통신요금 - O텔레콤</t>
        </is>
      </c>
      <c r="J523" s="75" t="inlineStr">
        <is>
          <t>V10002</t>
        </is>
      </c>
      <c r="K523" s="75" t="inlineStr">
        <is>
          <t>O텔레콤</t>
        </is>
      </c>
      <c r="M523" s="9">
        <f>IF($A523="","",VALUE($A523&amp;"")*12+VALUE($B523&amp;""))</f>
        <v/>
      </c>
      <c r="N523" s="39">
        <f>IF($A523="","",IFERROR(INDEX(부서매핑!$C$5:$C$504,MATCH($G523&amp;"",부서매핑!$A$5:$A$504,0)),"미매핑"))</f>
        <v/>
      </c>
      <c r="O523" s="9">
        <f>IF($A523="","",N523&amp;"|"&amp;$F523)</f>
        <v/>
      </c>
      <c r="P523" s="77">
        <f>IF($A523="",0,$H523*설정!$C$23)</f>
        <v/>
      </c>
      <c r="Q523" s="39">
        <f>IF($A523="","",IF(O523&lt;&gt;원인분석!$C$9,"",IF(AND(M523&gt;=원인분석!$C$10,M523&lt;=원인분석!$C$11),"당기",IF(AND(M523&gt;=원인분석!$C$12,M523&lt;=원인분석!$C$13),"비교",""))))</f>
        <v/>
      </c>
      <c r="R523" s="9">
        <f>IF(Q523="","",$K523&amp;"")</f>
        <v/>
      </c>
      <c r="S523" s="9">
        <f>IF(Q523="","",IF(MATCH(R523,$R$5:$R$100000,0)=ROW()-4,ROW(),""))</f>
        <v/>
      </c>
      <c r="T523" s="9">
        <f>IF(Q523="당기",ABS(P523)+ROW()/1000000000,"")</f>
        <v/>
      </c>
      <c r="U523" s="9">
        <f>IF(Q523="비교",ABS(P523)+ROW()/1000000000,"")</f>
        <v/>
      </c>
      <c r="V523" s="39">
        <f>IF($A523="","",IF(COUNTIF(변동분석!$E$7:$E$506,O523)&gt;0,"Y","N"))</f>
        <v/>
      </c>
      <c r="W523" s="39">
        <f>IF($A523="","",IFERROR(INDEX(계정매핑!$D$5:$D$504,MATCH($F523&amp;"",계정매핑!$A$5:$A$504,0)),"미매핑"))</f>
        <v/>
      </c>
      <c r="X523" s="9">
        <f>IF($A523="","",$F523&amp;"")</f>
        <v/>
      </c>
    </row>
    <row r="524">
      <c r="A524" s="75" t="n">
        <v>2025</v>
      </c>
      <c r="B524" s="75" t="n">
        <v>3</v>
      </c>
      <c r="C524" s="75" t="inlineStr">
        <is>
          <t>5100000520</t>
        </is>
      </c>
      <c r="D524" s="78" t="n">
        <v>45735</v>
      </c>
      <c r="E524" s="75" t="inlineStr">
        <is>
          <t>KR</t>
        </is>
      </c>
      <c r="F524" s="75" t="n">
        <v>62201000</v>
      </c>
      <c r="G524" s="75" t="n">
        <v>1701</v>
      </c>
      <c r="H524" s="76" t="n">
        <v>3819000</v>
      </c>
      <c r="I524" s="75" t="inlineStr">
        <is>
          <t>3월 통신요금 - P통신</t>
        </is>
      </c>
      <c r="J524" s="75" t="inlineStr">
        <is>
          <t>V10011</t>
        </is>
      </c>
      <c r="K524" s="75" t="inlineStr">
        <is>
          <t>P통신</t>
        </is>
      </c>
      <c r="M524" s="9">
        <f>IF($A524="","",VALUE($A524&amp;"")*12+VALUE($B524&amp;""))</f>
        <v/>
      </c>
      <c r="N524" s="39">
        <f>IF($A524="","",IFERROR(INDEX(부서매핑!$C$5:$C$504,MATCH($G524&amp;"",부서매핑!$A$5:$A$504,0)),"미매핑"))</f>
        <v/>
      </c>
      <c r="O524" s="9">
        <f>IF($A524="","",N524&amp;"|"&amp;$F524)</f>
        <v/>
      </c>
      <c r="P524" s="77">
        <f>IF($A524="",0,$H524*설정!$C$23)</f>
        <v/>
      </c>
      <c r="Q524" s="39">
        <f>IF($A524="","",IF(O524&lt;&gt;원인분석!$C$9,"",IF(AND(M524&gt;=원인분석!$C$10,M524&lt;=원인분석!$C$11),"당기",IF(AND(M524&gt;=원인분석!$C$12,M524&lt;=원인분석!$C$13),"비교",""))))</f>
        <v/>
      </c>
      <c r="R524" s="9">
        <f>IF(Q524="","",$K524&amp;"")</f>
        <v/>
      </c>
      <c r="S524" s="9">
        <f>IF(Q524="","",IF(MATCH(R524,$R$5:$R$100000,0)=ROW()-4,ROW(),""))</f>
        <v/>
      </c>
      <c r="T524" s="9">
        <f>IF(Q524="당기",ABS(P524)+ROW()/1000000000,"")</f>
        <v/>
      </c>
      <c r="U524" s="9">
        <f>IF(Q524="비교",ABS(P524)+ROW()/1000000000,"")</f>
        <v/>
      </c>
      <c r="V524" s="39">
        <f>IF($A524="","",IF(COUNTIF(변동분석!$E$7:$E$506,O524)&gt;0,"Y","N"))</f>
        <v/>
      </c>
      <c r="W524" s="39">
        <f>IF($A524="","",IFERROR(INDEX(계정매핑!$D$5:$D$504,MATCH($F524&amp;"",계정매핑!$A$5:$A$504,0)),"미매핑"))</f>
        <v/>
      </c>
      <c r="X524" s="9">
        <f>IF($A524="","",$F524&amp;"")</f>
        <v/>
      </c>
    </row>
    <row r="525">
      <c r="A525" s="75" t="n">
        <v>2025</v>
      </c>
      <c r="B525" s="75" t="n">
        <v>3</v>
      </c>
      <c r="C525" s="75" t="inlineStr">
        <is>
          <t>5100000521</t>
        </is>
      </c>
      <c r="D525" s="78" t="n">
        <v>45735</v>
      </c>
      <c r="E525" s="75" t="inlineStr">
        <is>
          <t>KR</t>
        </is>
      </c>
      <c r="F525" s="75" t="n">
        <v>62201000</v>
      </c>
      <c r="G525" s="75" t="n">
        <v>1801</v>
      </c>
      <c r="H525" s="76" t="n">
        <v>9259000</v>
      </c>
      <c r="I525" s="75" t="inlineStr">
        <is>
          <t>3월 통신요금 - O텔레콤</t>
        </is>
      </c>
      <c r="J525" s="75" t="inlineStr">
        <is>
          <t>V10002</t>
        </is>
      </c>
      <c r="K525" s="75" t="inlineStr">
        <is>
          <t>O텔레콤</t>
        </is>
      </c>
      <c r="M525" s="9">
        <f>IF($A525="","",VALUE($A525&amp;"")*12+VALUE($B525&amp;""))</f>
        <v/>
      </c>
      <c r="N525" s="39">
        <f>IF($A525="","",IFERROR(INDEX(부서매핑!$C$5:$C$504,MATCH($G525&amp;"",부서매핑!$A$5:$A$504,0)),"미매핑"))</f>
        <v/>
      </c>
      <c r="O525" s="9">
        <f>IF($A525="","",N525&amp;"|"&amp;$F525)</f>
        <v/>
      </c>
      <c r="P525" s="77">
        <f>IF($A525="",0,$H525*설정!$C$23)</f>
        <v/>
      </c>
      <c r="Q525" s="39">
        <f>IF($A525="","",IF(O525&lt;&gt;원인분석!$C$9,"",IF(AND(M525&gt;=원인분석!$C$10,M525&lt;=원인분석!$C$11),"당기",IF(AND(M525&gt;=원인분석!$C$12,M525&lt;=원인분석!$C$13),"비교",""))))</f>
        <v/>
      </c>
      <c r="R525" s="9">
        <f>IF(Q525="","",$K525&amp;"")</f>
        <v/>
      </c>
      <c r="S525" s="9">
        <f>IF(Q525="","",IF(MATCH(R525,$R$5:$R$100000,0)=ROW()-4,ROW(),""))</f>
        <v/>
      </c>
      <c r="T525" s="9">
        <f>IF(Q525="당기",ABS(P525)+ROW()/1000000000,"")</f>
        <v/>
      </c>
      <c r="U525" s="9">
        <f>IF(Q525="비교",ABS(P525)+ROW()/1000000000,"")</f>
        <v/>
      </c>
      <c r="V525" s="39">
        <f>IF($A525="","",IF(COUNTIF(변동분석!$E$7:$E$506,O525)&gt;0,"Y","N"))</f>
        <v/>
      </c>
      <c r="W525" s="39">
        <f>IF($A525="","",IFERROR(INDEX(계정매핑!$D$5:$D$504,MATCH($F525&amp;"",계정매핑!$A$5:$A$504,0)),"미매핑"))</f>
        <v/>
      </c>
      <c r="X525" s="9">
        <f>IF($A525="","",$F525&amp;"")</f>
        <v/>
      </c>
    </row>
    <row r="526">
      <c r="A526" s="75" t="n">
        <v>2025</v>
      </c>
      <c r="B526" s="75" t="n">
        <v>3</v>
      </c>
      <c r="C526" s="75" t="inlineStr">
        <is>
          <t>5100000522</t>
        </is>
      </c>
      <c r="D526" s="78" t="n">
        <v>45735</v>
      </c>
      <c r="E526" s="75" t="inlineStr">
        <is>
          <t>KR</t>
        </is>
      </c>
      <c r="F526" s="75" t="n">
        <v>62301000</v>
      </c>
      <c r="G526" s="75" t="n">
        <v>1502</v>
      </c>
      <c r="H526" s="76" t="n">
        <v>138000</v>
      </c>
      <c r="I526" s="75" t="inlineStr">
        <is>
          <t>3월 소모품 구입 - R문구</t>
        </is>
      </c>
      <c r="J526" s="75" t="inlineStr">
        <is>
          <t>V10018</t>
        </is>
      </c>
      <c r="K526" s="75" t="inlineStr">
        <is>
          <t>R문구</t>
        </is>
      </c>
      <c r="M526" s="9">
        <f>IF($A526="","",VALUE($A526&amp;"")*12+VALUE($B526&amp;""))</f>
        <v/>
      </c>
      <c r="N526" s="39">
        <f>IF($A526="","",IFERROR(INDEX(부서매핑!$C$5:$C$504,MATCH($G526&amp;"",부서매핑!$A$5:$A$504,0)),"미매핑"))</f>
        <v/>
      </c>
      <c r="O526" s="9">
        <f>IF($A526="","",N526&amp;"|"&amp;$F526)</f>
        <v/>
      </c>
      <c r="P526" s="77">
        <f>IF($A526="",0,$H526*설정!$C$23)</f>
        <v/>
      </c>
      <c r="Q526" s="39">
        <f>IF($A526="","",IF(O526&lt;&gt;원인분석!$C$9,"",IF(AND(M526&gt;=원인분석!$C$10,M526&lt;=원인분석!$C$11),"당기",IF(AND(M526&gt;=원인분석!$C$12,M526&lt;=원인분석!$C$13),"비교",""))))</f>
        <v/>
      </c>
      <c r="R526" s="9">
        <f>IF(Q526="","",$K526&amp;"")</f>
        <v/>
      </c>
      <c r="S526" s="9">
        <f>IF(Q526="","",IF(MATCH(R526,$R$5:$R$100000,0)=ROW()-4,ROW(),""))</f>
        <v/>
      </c>
      <c r="T526" s="9">
        <f>IF(Q526="당기",ABS(P526)+ROW()/1000000000,"")</f>
        <v/>
      </c>
      <c r="U526" s="9">
        <f>IF(Q526="비교",ABS(P526)+ROW()/1000000000,"")</f>
        <v/>
      </c>
      <c r="V526" s="39">
        <f>IF($A526="","",IF(COUNTIF(변동분석!$E$7:$E$506,O526)&gt;0,"Y","N"))</f>
        <v/>
      </c>
      <c r="W526" s="39">
        <f>IF($A526="","",IFERROR(INDEX(계정매핑!$D$5:$D$504,MATCH($F526&amp;"",계정매핑!$A$5:$A$504,0)),"미매핑"))</f>
        <v/>
      </c>
      <c r="X526" s="9">
        <f>IF($A526="","",$F526&amp;"")</f>
        <v/>
      </c>
    </row>
    <row r="527">
      <c r="A527" s="75" t="n">
        <v>2025</v>
      </c>
      <c r="B527" s="75" t="n">
        <v>3</v>
      </c>
      <c r="C527" s="75" t="inlineStr">
        <is>
          <t>5100000523</t>
        </is>
      </c>
      <c r="D527" s="78" t="n">
        <v>45735</v>
      </c>
      <c r="E527" s="75" t="inlineStr">
        <is>
          <t>KR</t>
        </is>
      </c>
      <c r="F527" s="75" t="n">
        <v>62301000</v>
      </c>
      <c r="G527" s="75" t="n">
        <v>1601</v>
      </c>
      <c r="H527" s="76" t="n">
        <v>422000</v>
      </c>
      <c r="I527" s="75" t="inlineStr">
        <is>
          <t>3월 소모품 구입 - Q오피스</t>
        </is>
      </c>
      <c r="J527" s="75" t="inlineStr">
        <is>
          <t>V10003</t>
        </is>
      </c>
      <c r="K527" s="75" t="inlineStr">
        <is>
          <t>Q오피스</t>
        </is>
      </c>
      <c r="M527" s="9">
        <f>IF($A527="","",VALUE($A527&amp;"")*12+VALUE($B527&amp;""))</f>
        <v/>
      </c>
      <c r="N527" s="39">
        <f>IF($A527="","",IFERROR(INDEX(부서매핑!$C$5:$C$504,MATCH($G527&amp;"",부서매핑!$A$5:$A$504,0)),"미매핑"))</f>
        <v/>
      </c>
      <c r="O527" s="9">
        <f>IF($A527="","",N527&amp;"|"&amp;$F527)</f>
        <v/>
      </c>
      <c r="P527" s="77">
        <f>IF($A527="",0,$H527*설정!$C$23)</f>
        <v/>
      </c>
      <c r="Q527" s="39">
        <f>IF($A527="","",IF(O527&lt;&gt;원인분석!$C$9,"",IF(AND(M527&gt;=원인분석!$C$10,M527&lt;=원인분석!$C$11),"당기",IF(AND(M527&gt;=원인분석!$C$12,M527&lt;=원인분석!$C$13),"비교",""))))</f>
        <v/>
      </c>
      <c r="R527" s="9">
        <f>IF(Q527="","",$K527&amp;"")</f>
        <v/>
      </c>
      <c r="S527" s="9">
        <f>IF(Q527="","",IF(MATCH(R527,$R$5:$R$100000,0)=ROW()-4,ROW(),""))</f>
        <v/>
      </c>
      <c r="T527" s="9">
        <f>IF(Q527="당기",ABS(P527)+ROW()/1000000000,"")</f>
        <v/>
      </c>
      <c r="U527" s="9">
        <f>IF(Q527="비교",ABS(P527)+ROW()/1000000000,"")</f>
        <v/>
      </c>
      <c r="V527" s="39">
        <f>IF($A527="","",IF(COUNTIF(변동분석!$E$7:$E$506,O527)&gt;0,"Y","N"))</f>
        <v/>
      </c>
      <c r="W527" s="39">
        <f>IF($A527="","",IFERROR(INDEX(계정매핑!$D$5:$D$504,MATCH($F527&amp;"",계정매핑!$A$5:$A$504,0)),"미매핑"))</f>
        <v/>
      </c>
      <c r="X527" s="9">
        <f>IF($A527="","",$F527&amp;"")</f>
        <v/>
      </c>
    </row>
    <row r="528">
      <c r="A528" s="75" t="n">
        <v>2025</v>
      </c>
      <c r="B528" s="75" t="n">
        <v>3</v>
      </c>
      <c r="C528" s="75" t="inlineStr">
        <is>
          <t>5100000524</t>
        </is>
      </c>
      <c r="D528" s="78" t="n">
        <v>45735</v>
      </c>
      <c r="E528" s="75" t="inlineStr">
        <is>
          <t>KR</t>
        </is>
      </c>
      <c r="F528" s="75" t="n">
        <v>62901000</v>
      </c>
      <c r="G528" s="75" t="n">
        <v>1201</v>
      </c>
      <c r="H528" s="76" t="n">
        <v>8402000</v>
      </c>
      <c r="I528" s="75" t="inlineStr">
        <is>
          <t>3월 자문 수수료 - K회계법인</t>
        </is>
      </c>
      <c r="J528" s="75" t="inlineStr">
        <is>
          <t>V10010</t>
        </is>
      </c>
      <c r="K528" s="75" t="inlineStr">
        <is>
          <t>K회계법인</t>
        </is>
      </c>
      <c r="M528" s="9">
        <f>IF($A528="","",VALUE($A528&amp;"")*12+VALUE($B528&amp;""))</f>
        <v/>
      </c>
      <c r="N528" s="39">
        <f>IF($A528="","",IFERROR(INDEX(부서매핑!$C$5:$C$504,MATCH($G528&amp;"",부서매핑!$A$5:$A$504,0)),"미매핑"))</f>
        <v/>
      </c>
      <c r="O528" s="9">
        <f>IF($A528="","",N528&amp;"|"&amp;$F528)</f>
        <v/>
      </c>
      <c r="P528" s="77">
        <f>IF($A528="",0,$H528*설정!$C$23)</f>
        <v/>
      </c>
      <c r="Q528" s="39">
        <f>IF($A528="","",IF(O528&lt;&gt;원인분석!$C$9,"",IF(AND(M528&gt;=원인분석!$C$10,M528&lt;=원인분석!$C$11),"당기",IF(AND(M528&gt;=원인분석!$C$12,M528&lt;=원인분석!$C$13),"비교",""))))</f>
        <v/>
      </c>
      <c r="R528" s="9">
        <f>IF(Q528="","",$K528&amp;"")</f>
        <v/>
      </c>
      <c r="S528" s="9">
        <f>IF(Q528="","",IF(MATCH(R528,$R$5:$R$100000,0)=ROW()-4,ROW(),""))</f>
        <v/>
      </c>
      <c r="T528" s="9">
        <f>IF(Q528="당기",ABS(P528)+ROW()/1000000000,"")</f>
        <v/>
      </c>
      <c r="U528" s="9">
        <f>IF(Q528="비교",ABS(P528)+ROW()/1000000000,"")</f>
        <v/>
      </c>
      <c r="V528" s="39">
        <f>IF($A528="","",IF(COUNTIF(변동분석!$E$7:$E$506,O528)&gt;0,"Y","N"))</f>
        <v/>
      </c>
      <c r="W528" s="39">
        <f>IF($A528="","",IFERROR(INDEX(계정매핑!$D$5:$D$504,MATCH($F528&amp;"",계정매핑!$A$5:$A$504,0)),"미매핑"))</f>
        <v/>
      </c>
      <c r="X528" s="9">
        <f>IF($A528="","",$F528&amp;"")</f>
        <v/>
      </c>
    </row>
    <row r="529">
      <c r="A529" s="75" t="n">
        <v>2025</v>
      </c>
      <c r="B529" s="75" t="n">
        <v>3</v>
      </c>
      <c r="C529" s="75" t="inlineStr">
        <is>
          <t>5100000525</t>
        </is>
      </c>
      <c r="D529" s="78" t="n">
        <v>45735</v>
      </c>
      <c r="E529" s="75" t="inlineStr">
        <is>
          <t>KR</t>
        </is>
      </c>
      <c r="F529" s="75" t="n">
        <v>63201000</v>
      </c>
      <c r="G529" s="75" t="n">
        <v>1602</v>
      </c>
      <c r="H529" s="76" t="n">
        <v>1820000</v>
      </c>
      <c r="I529" s="75" t="inlineStr">
        <is>
          <t>3월 차량 유지 - H에너지</t>
        </is>
      </c>
      <c r="J529" s="75" t="inlineStr">
        <is>
          <t>V10025</t>
        </is>
      </c>
      <c r="K529" s="75" t="inlineStr">
        <is>
          <t>H에너지</t>
        </is>
      </c>
      <c r="M529" s="9">
        <f>IF($A529="","",VALUE($A529&amp;"")*12+VALUE($B529&amp;""))</f>
        <v/>
      </c>
      <c r="N529" s="39">
        <f>IF($A529="","",IFERROR(INDEX(부서매핑!$C$5:$C$504,MATCH($G529&amp;"",부서매핑!$A$5:$A$504,0)),"미매핑"))</f>
        <v/>
      </c>
      <c r="O529" s="9">
        <f>IF($A529="","",N529&amp;"|"&amp;$F529)</f>
        <v/>
      </c>
      <c r="P529" s="77">
        <f>IF($A529="",0,$H529*설정!$C$23)</f>
        <v/>
      </c>
      <c r="Q529" s="39">
        <f>IF($A529="","",IF(O529&lt;&gt;원인분석!$C$9,"",IF(AND(M529&gt;=원인분석!$C$10,M529&lt;=원인분석!$C$11),"당기",IF(AND(M529&gt;=원인분석!$C$12,M529&lt;=원인분석!$C$13),"비교",""))))</f>
        <v/>
      </c>
      <c r="R529" s="9">
        <f>IF(Q529="","",$K529&amp;"")</f>
        <v/>
      </c>
      <c r="S529" s="9">
        <f>IF(Q529="","",IF(MATCH(R529,$R$5:$R$100000,0)=ROW()-4,ROW(),""))</f>
        <v/>
      </c>
      <c r="T529" s="9">
        <f>IF(Q529="당기",ABS(P529)+ROW()/1000000000,"")</f>
        <v/>
      </c>
      <c r="U529" s="9">
        <f>IF(Q529="비교",ABS(P529)+ROW()/1000000000,"")</f>
        <v/>
      </c>
      <c r="V529" s="39">
        <f>IF($A529="","",IF(COUNTIF(변동분석!$E$7:$E$506,O529)&gt;0,"Y","N"))</f>
        <v/>
      </c>
      <c r="W529" s="39">
        <f>IF($A529="","",IFERROR(INDEX(계정매핑!$D$5:$D$504,MATCH($F529&amp;"",계정매핑!$A$5:$A$504,0)),"미매핑"))</f>
        <v/>
      </c>
      <c r="X529" s="9">
        <f>IF($A529="","",$F529&amp;"")</f>
        <v/>
      </c>
    </row>
    <row r="530">
      <c r="A530" s="75" t="n">
        <v>2025</v>
      </c>
      <c r="B530" s="75" t="n">
        <v>3</v>
      </c>
      <c r="C530" s="75" t="inlineStr">
        <is>
          <t>5100000526</t>
        </is>
      </c>
      <c r="D530" s="78" t="n">
        <v>45736</v>
      </c>
      <c r="E530" s="75" t="inlineStr">
        <is>
          <t>KR</t>
        </is>
      </c>
      <c r="F530" s="75" t="n">
        <v>62101000</v>
      </c>
      <c r="G530" s="75" t="n">
        <v>1201</v>
      </c>
      <c r="H530" s="76" t="n">
        <v>173000</v>
      </c>
      <c r="I530" s="75" t="inlineStr">
        <is>
          <t>3월 국내출장 - (법인카드)</t>
        </is>
      </c>
      <c r="J530" s="75" t="inlineStr">
        <is>
          <t>V10008</t>
        </is>
      </c>
      <c r="K530" s="75" t="inlineStr">
        <is>
          <t>(법인카드)</t>
        </is>
      </c>
      <c r="M530" s="9">
        <f>IF($A530="","",VALUE($A530&amp;"")*12+VALUE($B530&amp;""))</f>
        <v/>
      </c>
      <c r="N530" s="39">
        <f>IF($A530="","",IFERROR(INDEX(부서매핑!$C$5:$C$504,MATCH($G530&amp;"",부서매핑!$A$5:$A$504,0)),"미매핑"))</f>
        <v/>
      </c>
      <c r="O530" s="9">
        <f>IF($A530="","",N530&amp;"|"&amp;$F530)</f>
        <v/>
      </c>
      <c r="P530" s="77">
        <f>IF($A530="",0,$H530*설정!$C$23)</f>
        <v/>
      </c>
      <c r="Q530" s="39">
        <f>IF($A530="","",IF(O530&lt;&gt;원인분석!$C$9,"",IF(AND(M530&gt;=원인분석!$C$10,M530&lt;=원인분석!$C$11),"당기",IF(AND(M530&gt;=원인분석!$C$12,M530&lt;=원인분석!$C$13),"비교",""))))</f>
        <v/>
      </c>
      <c r="R530" s="9">
        <f>IF(Q530="","",$K530&amp;"")</f>
        <v/>
      </c>
      <c r="S530" s="9">
        <f>IF(Q530="","",IF(MATCH(R530,$R$5:$R$100000,0)=ROW()-4,ROW(),""))</f>
        <v/>
      </c>
      <c r="T530" s="9">
        <f>IF(Q530="당기",ABS(P530)+ROW()/1000000000,"")</f>
        <v/>
      </c>
      <c r="U530" s="9">
        <f>IF(Q530="비교",ABS(P530)+ROW()/1000000000,"")</f>
        <v/>
      </c>
      <c r="V530" s="39">
        <f>IF($A530="","",IF(COUNTIF(변동분석!$E$7:$E$506,O530)&gt;0,"Y","N"))</f>
        <v/>
      </c>
      <c r="W530" s="39">
        <f>IF($A530="","",IFERROR(INDEX(계정매핑!$D$5:$D$504,MATCH($F530&amp;"",계정매핑!$A$5:$A$504,0)),"미매핑"))</f>
        <v/>
      </c>
      <c r="X530" s="9">
        <f>IF($A530="","",$F530&amp;"")</f>
        <v/>
      </c>
    </row>
    <row r="531">
      <c r="A531" s="75" t="n">
        <v>2025</v>
      </c>
      <c r="B531" s="75" t="n">
        <v>3</v>
      </c>
      <c r="C531" s="75" t="inlineStr">
        <is>
          <t>5100000527</t>
        </is>
      </c>
      <c r="D531" s="78" t="n">
        <v>45736</v>
      </c>
      <c r="E531" s="75" t="inlineStr">
        <is>
          <t>KR</t>
        </is>
      </c>
      <c r="F531" s="75" t="n">
        <v>62102000</v>
      </c>
      <c r="G531" s="75" t="n">
        <v>1701</v>
      </c>
      <c r="H531" s="76" t="n">
        <v>51000</v>
      </c>
      <c r="I531" s="75" t="inlineStr">
        <is>
          <t>3월 해외출장 - N호텔</t>
        </is>
      </c>
      <c r="J531" s="75" t="inlineStr">
        <is>
          <t>V10007</t>
        </is>
      </c>
      <c r="K531" s="75" t="inlineStr">
        <is>
          <t>N호텔</t>
        </is>
      </c>
      <c r="M531" s="9">
        <f>IF($A531="","",VALUE($A531&amp;"")*12+VALUE($B531&amp;""))</f>
        <v/>
      </c>
      <c r="N531" s="39">
        <f>IF($A531="","",IFERROR(INDEX(부서매핑!$C$5:$C$504,MATCH($G531&amp;"",부서매핑!$A$5:$A$504,0)),"미매핑"))</f>
        <v/>
      </c>
      <c r="O531" s="9">
        <f>IF($A531="","",N531&amp;"|"&amp;$F531)</f>
        <v/>
      </c>
      <c r="P531" s="77">
        <f>IF($A531="",0,$H531*설정!$C$23)</f>
        <v/>
      </c>
      <c r="Q531" s="39">
        <f>IF($A531="","",IF(O531&lt;&gt;원인분석!$C$9,"",IF(AND(M531&gt;=원인분석!$C$10,M531&lt;=원인분석!$C$11),"당기",IF(AND(M531&gt;=원인분석!$C$12,M531&lt;=원인분석!$C$13),"비교",""))))</f>
        <v/>
      </c>
      <c r="R531" s="9">
        <f>IF(Q531="","",$K531&amp;"")</f>
        <v/>
      </c>
      <c r="S531" s="9">
        <f>IF(Q531="","",IF(MATCH(R531,$R$5:$R$100000,0)=ROW()-4,ROW(),""))</f>
        <v/>
      </c>
      <c r="T531" s="9">
        <f>IF(Q531="당기",ABS(P531)+ROW()/1000000000,"")</f>
        <v/>
      </c>
      <c r="U531" s="9">
        <f>IF(Q531="비교",ABS(P531)+ROW()/1000000000,"")</f>
        <v/>
      </c>
      <c r="V531" s="39">
        <f>IF($A531="","",IF(COUNTIF(변동분석!$E$7:$E$506,O531)&gt;0,"Y","N"))</f>
        <v/>
      </c>
      <c r="W531" s="39">
        <f>IF($A531="","",IFERROR(INDEX(계정매핑!$D$5:$D$504,MATCH($F531&amp;"",계정매핑!$A$5:$A$504,0)),"미매핑"))</f>
        <v/>
      </c>
      <c r="X531" s="9">
        <f>IF($A531="","",$F531&amp;"")</f>
        <v/>
      </c>
    </row>
    <row r="532">
      <c r="A532" s="75" t="n">
        <v>2025</v>
      </c>
      <c r="B532" s="75" t="n">
        <v>3</v>
      </c>
      <c r="C532" s="75" t="inlineStr">
        <is>
          <t>5100000528</t>
        </is>
      </c>
      <c r="D532" s="78" t="n">
        <v>45736</v>
      </c>
      <c r="E532" s="75" t="inlineStr">
        <is>
          <t>KR</t>
        </is>
      </c>
      <c r="F532" s="75" t="n">
        <v>62901000</v>
      </c>
      <c r="G532" s="75" t="n">
        <v>1101</v>
      </c>
      <c r="H532" s="76" t="n">
        <v>2463000</v>
      </c>
      <c r="I532" s="75" t="inlineStr">
        <is>
          <t>3월 자문 수수료 - K회계법인</t>
        </is>
      </c>
      <c r="J532" s="75" t="inlineStr">
        <is>
          <t>V10010</t>
        </is>
      </c>
      <c r="K532" s="75" t="inlineStr">
        <is>
          <t>K회계법인</t>
        </is>
      </c>
      <c r="M532" s="9">
        <f>IF($A532="","",VALUE($A532&amp;"")*12+VALUE($B532&amp;""))</f>
        <v/>
      </c>
      <c r="N532" s="39">
        <f>IF($A532="","",IFERROR(INDEX(부서매핑!$C$5:$C$504,MATCH($G532&amp;"",부서매핑!$A$5:$A$504,0)),"미매핑"))</f>
        <v/>
      </c>
      <c r="O532" s="9">
        <f>IF($A532="","",N532&amp;"|"&amp;$F532)</f>
        <v/>
      </c>
      <c r="P532" s="77">
        <f>IF($A532="",0,$H532*설정!$C$23)</f>
        <v/>
      </c>
      <c r="Q532" s="39">
        <f>IF($A532="","",IF(O532&lt;&gt;원인분석!$C$9,"",IF(AND(M532&gt;=원인분석!$C$10,M532&lt;=원인분석!$C$11),"당기",IF(AND(M532&gt;=원인분석!$C$12,M532&lt;=원인분석!$C$13),"비교",""))))</f>
        <v/>
      </c>
      <c r="R532" s="9">
        <f>IF(Q532="","",$K532&amp;"")</f>
        <v/>
      </c>
      <c r="S532" s="9">
        <f>IF(Q532="","",IF(MATCH(R532,$R$5:$R$100000,0)=ROW()-4,ROW(),""))</f>
        <v/>
      </c>
      <c r="T532" s="9">
        <f>IF(Q532="당기",ABS(P532)+ROW()/1000000000,"")</f>
        <v/>
      </c>
      <c r="U532" s="9">
        <f>IF(Q532="비교",ABS(P532)+ROW()/1000000000,"")</f>
        <v/>
      </c>
      <c r="V532" s="39">
        <f>IF($A532="","",IF(COUNTIF(변동분석!$E$7:$E$506,O532)&gt;0,"Y","N"))</f>
        <v/>
      </c>
      <c r="W532" s="39">
        <f>IF($A532="","",IFERROR(INDEX(계정매핑!$D$5:$D$504,MATCH($F532&amp;"",계정매핑!$A$5:$A$504,0)),"미매핑"))</f>
        <v/>
      </c>
      <c r="X532" s="9">
        <f>IF($A532="","",$F532&amp;"")</f>
        <v/>
      </c>
    </row>
    <row r="533">
      <c r="A533" s="75" t="n">
        <v>2025</v>
      </c>
      <c r="B533" s="75" t="n">
        <v>3</v>
      </c>
      <c r="C533" s="75" t="inlineStr">
        <is>
          <t>5100000529</t>
        </is>
      </c>
      <c r="D533" s="78" t="n">
        <v>45736</v>
      </c>
      <c r="E533" s="75" t="inlineStr">
        <is>
          <t>KR</t>
        </is>
      </c>
      <c r="F533" s="75" t="n">
        <v>62901000</v>
      </c>
      <c r="G533" s="75" t="n">
        <v>1801</v>
      </c>
      <c r="H533" s="76" t="n">
        <v>10205000</v>
      </c>
      <c r="I533" s="75" t="inlineStr">
        <is>
          <t>3월 자문 수수료 - K회계법인</t>
        </is>
      </c>
      <c r="J533" s="75" t="inlineStr">
        <is>
          <t>V10010</t>
        </is>
      </c>
      <c r="K533" s="75" t="inlineStr">
        <is>
          <t>K회계법인</t>
        </is>
      </c>
      <c r="M533" s="9">
        <f>IF($A533="","",VALUE($A533&amp;"")*12+VALUE($B533&amp;""))</f>
        <v/>
      </c>
      <c r="N533" s="39">
        <f>IF($A533="","",IFERROR(INDEX(부서매핑!$C$5:$C$504,MATCH($G533&amp;"",부서매핑!$A$5:$A$504,0)),"미매핑"))</f>
        <v/>
      </c>
      <c r="O533" s="9">
        <f>IF($A533="","",N533&amp;"|"&amp;$F533)</f>
        <v/>
      </c>
      <c r="P533" s="77">
        <f>IF($A533="",0,$H533*설정!$C$23)</f>
        <v/>
      </c>
      <c r="Q533" s="39">
        <f>IF($A533="","",IF(O533&lt;&gt;원인분석!$C$9,"",IF(AND(M533&gt;=원인분석!$C$10,M533&lt;=원인분석!$C$11),"당기",IF(AND(M533&gt;=원인분석!$C$12,M533&lt;=원인분석!$C$13),"비교",""))))</f>
        <v/>
      </c>
      <c r="R533" s="9">
        <f>IF(Q533="","",$K533&amp;"")</f>
        <v/>
      </c>
      <c r="S533" s="9">
        <f>IF(Q533="","",IF(MATCH(R533,$R$5:$R$100000,0)=ROW()-4,ROW(),""))</f>
        <v/>
      </c>
      <c r="T533" s="9">
        <f>IF(Q533="당기",ABS(P533)+ROW()/1000000000,"")</f>
        <v/>
      </c>
      <c r="U533" s="9">
        <f>IF(Q533="비교",ABS(P533)+ROW()/1000000000,"")</f>
        <v/>
      </c>
      <c r="V533" s="39">
        <f>IF($A533="","",IF(COUNTIF(변동분석!$E$7:$E$506,O533)&gt;0,"Y","N"))</f>
        <v/>
      </c>
      <c r="W533" s="39">
        <f>IF($A533="","",IFERROR(INDEX(계정매핑!$D$5:$D$504,MATCH($F533&amp;"",계정매핑!$A$5:$A$504,0)),"미매핑"))</f>
        <v/>
      </c>
      <c r="X533" s="9">
        <f>IF($A533="","",$F533&amp;"")</f>
        <v/>
      </c>
    </row>
    <row r="534">
      <c r="A534" s="75" t="n">
        <v>2025</v>
      </c>
      <c r="B534" s="75" t="n">
        <v>3</v>
      </c>
      <c r="C534" s="75" t="inlineStr">
        <is>
          <t>5100000530</t>
        </is>
      </c>
      <c r="D534" s="78" t="n">
        <v>45736</v>
      </c>
      <c r="E534" s="75" t="inlineStr">
        <is>
          <t>KR</t>
        </is>
      </c>
      <c r="F534" s="75" t="n">
        <v>62902000</v>
      </c>
      <c r="G534" s="75" t="n">
        <v>1101</v>
      </c>
      <c r="H534" s="76" t="n">
        <v>2298000</v>
      </c>
      <c r="I534" s="75" t="inlineStr">
        <is>
          <t>3월 업무 위탁 수수료 - X서비스</t>
        </is>
      </c>
      <c r="J534" s="75" t="inlineStr">
        <is>
          <t>V10016</t>
        </is>
      </c>
      <c r="K534" s="75" t="inlineStr">
        <is>
          <t>X서비스</t>
        </is>
      </c>
      <c r="M534" s="9">
        <f>IF($A534="","",VALUE($A534&amp;"")*12+VALUE($B534&amp;""))</f>
        <v/>
      </c>
      <c r="N534" s="39">
        <f>IF($A534="","",IFERROR(INDEX(부서매핑!$C$5:$C$504,MATCH($G534&amp;"",부서매핑!$A$5:$A$504,0)),"미매핑"))</f>
        <v/>
      </c>
      <c r="O534" s="9">
        <f>IF($A534="","",N534&amp;"|"&amp;$F534)</f>
        <v/>
      </c>
      <c r="P534" s="77">
        <f>IF($A534="",0,$H534*설정!$C$23)</f>
        <v/>
      </c>
      <c r="Q534" s="39">
        <f>IF($A534="","",IF(O534&lt;&gt;원인분석!$C$9,"",IF(AND(M534&gt;=원인분석!$C$10,M534&lt;=원인분석!$C$11),"당기",IF(AND(M534&gt;=원인분석!$C$12,M534&lt;=원인분석!$C$13),"비교",""))))</f>
        <v/>
      </c>
      <c r="R534" s="9">
        <f>IF(Q534="","",$K534&amp;"")</f>
        <v/>
      </c>
      <c r="S534" s="9">
        <f>IF(Q534="","",IF(MATCH(R534,$R$5:$R$100000,0)=ROW()-4,ROW(),""))</f>
        <v/>
      </c>
      <c r="T534" s="9">
        <f>IF(Q534="당기",ABS(P534)+ROW()/1000000000,"")</f>
        <v/>
      </c>
      <c r="U534" s="9">
        <f>IF(Q534="비교",ABS(P534)+ROW()/1000000000,"")</f>
        <v/>
      </c>
      <c r="V534" s="39">
        <f>IF($A534="","",IF(COUNTIF(변동분석!$E$7:$E$506,O534)&gt;0,"Y","N"))</f>
        <v/>
      </c>
      <c r="W534" s="39">
        <f>IF($A534="","",IFERROR(INDEX(계정매핑!$D$5:$D$504,MATCH($F534&amp;"",계정매핑!$A$5:$A$504,0)),"미매핑"))</f>
        <v/>
      </c>
      <c r="X534" s="9">
        <f>IF($A534="","",$F534&amp;"")</f>
        <v/>
      </c>
    </row>
    <row r="535">
      <c r="A535" s="75" t="n">
        <v>2025</v>
      </c>
      <c r="B535" s="75" t="n">
        <v>3</v>
      </c>
      <c r="C535" s="75" t="inlineStr">
        <is>
          <t>5100000531</t>
        </is>
      </c>
      <c r="D535" s="78" t="n">
        <v>45736</v>
      </c>
      <c r="E535" s="75" t="inlineStr">
        <is>
          <t>KR</t>
        </is>
      </c>
      <c r="F535" s="75" t="n">
        <v>62902000</v>
      </c>
      <c r="G535" s="75" t="n">
        <v>1801</v>
      </c>
      <c r="H535" s="76" t="n">
        <v>1854000</v>
      </c>
      <c r="I535" s="75" t="inlineStr">
        <is>
          <t>3월 콜 위탁 수수료(건별)</t>
        </is>
      </c>
      <c r="J535" s="75" t="inlineStr">
        <is>
          <t>V10013</t>
        </is>
      </c>
      <c r="K535" s="75" t="inlineStr">
        <is>
          <t>J콜센터</t>
        </is>
      </c>
      <c r="M535" s="9">
        <f>IF($A535="","",VALUE($A535&amp;"")*12+VALUE($B535&amp;""))</f>
        <v/>
      </c>
      <c r="N535" s="39">
        <f>IF($A535="","",IFERROR(INDEX(부서매핑!$C$5:$C$504,MATCH($G535&amp;"",부서매핑!$A$5:$A$504,0)),"미매핑"))</f>
        <v/>
      </c>
      <c r="O535" s="9">
        <f>IF($A535="","",N535&amp;"|"&amp;$F535)</f>
        <v/>
      </c>
      <c r="P535" s="77">
        <f>IF($A535="",0,$H535*설정!$C$23)</f>
        <v/>
      </c>
      <c r="Q535" s="39">
        <f>IF($A535="","",IF(O535&lt;&gt;원인분석!$C$9,"",IF(AND(M535&gt;=원인분석!$C$10,M535&lt;=원인분석!$C$11),"당기",IF(AND(M535&gt;=원인분석!$C$12,M535&lt;=원인분석!$C$13),"비교",""))))</f>
        <v/>
      </c>
      <c r="R535" s="9">
        <f>IF(Q535="","",$K535&amp;"")</f>
        <v/>
      </c>
      <c r="S535" s="9">
        <f>IF(Q535="","",IF(MATCH(R535,$R$5:$R$100000,0)=ROW()-4,ROW(),""))</f>
        <v/>
      </c>
      <c r="T535" s="9">
        <f>IF(Q535="당기",ABS(P535)+ROW()/1000000000,"")</f>
        <v/>
      </c>
      <c r="U535" s="9">
        <f>IF(Q535="비교",ABS(P535)+ROW()/1000000000,"")</f>
        <v/>
      </c>
      <c r="V535" s="39">
        <f>IF($A535="","",IF(COUNTIF(변동분석!$E$7:$E$506,O535)&gt;0,"Y","N"))</f>
        <v/>
      </c>
      <c r="W535" s="39">
        <f>IF($A535="","",IFERROR(INDEX(계정매핑!$D$5:$D$504,MATCH($F535&amp;"",계정매핑!$A$5:$A$504,0)),"미매핑"))</f>
        <v/>
      </c>
      <c r="X535" s="9">
        <f>IF($A535="","",$F535&amp;"")</f>
        <v/>
      </c>
    </row>
    <row r="536">
      <c r="A536" s="75" t="n">
        <v>2025</v>
      </c>
      <c r="B536" s="75" t="n">
        <v>3</v>
      </c>
      <c r="C536" s="75" t="inlineStr">
        <is>
          <t>5100000532</t>
        </is>
      </c>
      <c r="D536" s="78" t="n">
        <v>45736</v>
      </c>
      <c r="E536" s="75" t="inlineStr">
        <is>
          <t>KR</t>
        </is>
      </c>
      <c r="F536" s="75" t="n">
        <v>63101000</v>
      </c>
      <c r="G536" s="75" t="n">
        <v>1602</v>
      </c>
      <c r="H536" s="76" t="n">
        <v>5958000</v>
      </c>
      <c r="I536" s="75" t="inlineStr">
        <is>
          <t>3월 사무실 임차료 - AA빌딩</t>
        </is>
      </c>
      <c r="J536" s="75" t="inlineStr">
        <is>
          <t>V10006</t>
        </is>
      </c>
      <c r="K536" s="75" t="inlineStr">
        <is>
          <t>AA빌딩</t>
        </is>
      </c>
      <c r="M536" s="9">
        <f>IF($A536="","",VALUE($A536&amp;"")*12+VALUE($B536&amp;""))</f>
        <v/>
      </c>
      <c r="N536" s="39">
        <f>IF($A536="","",IFERROR(INDEX(부서매핑!$C$5:$C$504,MATCH($G536&amp;"",부서매핑!$A$5:$A$504,0)),"미매핑"))</f>
        <v/>
      </c>
      <c r="O536" s="9">
        <f>IF($A536="","",N536&amp;"|"&amp;$F536)</f>
        <v/>
      </c>
      <c r="P536" s="77">
        <f>IF($A536="",0,$H536*설정!$C$23)</f>
        <v/>
      </c>
      <c r="Q536" s="39">
        <f>IF($A536="","",IF(O536&lt;&gt;원인분석!$C$9,"",IF(AND(M536&gt;=원인분석!$C$10,M536&lt;=원인분석!$C$11),"당기",IF(AND(M536&gt;=원인분석!$C$12,M536&lt;=원인분석!$C$13),"비교",""))))</f>
        <v/>
      </c>
      <c r="R536" s="9">
        <f>IF(Q536="","",$K536&amp;"")</f>
        <v/>
      </c>
      <c r="S536" s="9">
        <f>IF(Q536="","",IF(MATCH(R536,$R$5:$R$100000,0)=ROW()-4,ROW(),""))</f>
        <v/>
      </c>
      <c r="T536" s="9">
        <f>IF(Q536="당기",ABS(P536)+ROW()/1000000000,"")</f>
        <v/>
      </c>
      <c r="U536" s="9">
        <f>IF(Q536="비교",ABS(P536)+ROW()/1000000000,"")</f>
        <v/>
      </c>
      <c r="V536" s="39">
        <f>IF($A536="","",IF(COUNTIF(변동분석!$E$7:$E$506,O536)&gt;0,"Y","N"))</f>
        <v/>
      </c>
      <c r="W536" s="39">
        <f>IF($A536="","",IFERROR(INDEX(계정매핑!$D$5:$D$504,MATCH($F536&amp;"",계정매핑!$A$5:$A$504,0)),"미매핑"))</f>
        <v/>
      </c>
      <c r="X536" s="9">
        <f>IF($A536="","",$F536&amp;"")</f>
        <v/>
      </c>
    </row>
    <row r="537">
      <c r="A537" s="75" t="n">
        <v>2025</v>
      </c>
      <c r="B537" s="75" t="n">
        <v>3</v>
      </c>
      <c r="C537" s="75" t="inlineStr">
        <is>
          <t>5100000533</t>
        </is>
      </c>
      <c r="D537" s="78" t="n">
        <v>45737</v>
      </c>
      <c r="E537" s="75" t="inlineStr">
        <is>
          <t>KR</t>
        </is>
      </c>
      <c r="F537" s="75" t="n">
        <v>62101000</v>
      </c>
      <c r="G537" s="75" t="n">
        <v>1301</v>
      </c>
      <c r="H537" s="76" t="n">
        <v>215000</v>
      </c>
      <c r="I537" s="75" t="inlineStr">
        <is>
          <t>3월 국내출장 - L여행사</t>
        </is>
      </c>
      <c r="J537" s="75" t="inlineStr">
        <is>
          <t>V10014</t>
        </is>
      </c>
      <c r="K537" s="75" t="inlineStr">
        <is>
          <t>L여행사</t>
        </is>
      </c>
      <c r="M537" s="9">
        <f>IF($A537="","",VALUE($A537&amp;"")*12+VALUE($B537&amp;""))</f>
        <v/>
      </c>
      <c r="N537" s="39">
        <f>IF($A537="","",IFERROR(INDEX(부서매핑!$C$5:$C$504,MATCH($G537&amp;"",부서매핑!$A$5:$A$504,0)),"미매핑"))</f>
        <v/>
      </c>
      <c r="O537" s="9">
        <f>IF($A537="","",N537&amp;"|"&amp;$F537)</f>
        <v/>
      </c>
      <c r="P537" s="77">
        <f>IF($A537="",0,$H537*설정!$C$23)</f>
        <v/>
      </c>
      <c r="Q537" s="39">
        <f>IF($A537="","",IF(O537&lt;&gt;원인분석!$C$9,"",IF(AND(M537&gt;=원인분석!$C$10,M537&lt;=원인분석!$C$11),"당기",IF(AND(M537&gt;=원인분석!$C$12,M537&lt;=원인분석!$C$13),"비교",""))))</f>
        <v/>
      </c>
      <c r="R537" s="9">
        <f>IF(Q537="","",$K537&amp;"")</f>
        <v/>
      </c>
      <c r="S537" s="9">
        <f>IF(Q537="","",IF(MATCH(R537,$R$5:$R$100000,0)=ROW()-4,ROW(),""))</f>
        <v/>
      </c>
      <c r="T537" s="9">
        <f>IF(Q537="당기",ABS(P537)+ROW()/1000000000,"")</f>
        <v/>
      </c>
      <c r="U537" s="9">
        <f>IF(Q537="비교",ABS(P537)+ROW()/1000000000,"")</f>
        <v/>
      </c>
      <c r="V537" s="39">
        <f>IF($A537="","",IF(COUNTIF(변동분석!$E$7:$E$506,O537)&gt;0,"Y","N"))</f>
        <v/>
      </c>
      <c r="W537" s="39">
        <f>IF($A537="","",IFERROR(INDEX(계정매핑!$D$5:$D$504,MATCH($F537&amp;"",계정매핑!$A$5:$A$504,0)),"미매핑"))</f>
        <v/>
      </c>
      <c r="X537" s="9">
        <f>IF($A537="","",$F537&amp;"")</f>
        <v/>
      </c>
    </row>
    <row r="538">
      <c r="A538" s="75" t="n">
        <v>2025</v>
      </c>
      <c r="B538" s="75" t="n">
        <v>3</v>
      </c>
      <c r="C538" s="75" t="inlineStr">
        <is>
          <t>5100000534</t>
        </is>
      </c>
      <c r="D538" s="78" t="n">
        <v>45737</v>
      </c>
      <c r="E538" s="75" t="inlineStr">
        <is>
          <t>KR</t>
        </is>
      </c>
      <c r="F538" s="75" t="n">
        <v>62102000</v>
      </c>
      <c r="G538" s="75" t="n">
        <v>1101</v>
      </c>
      <c r="H538" s="76" t="n">
        <v>142000</v>
      </c>
      <c r="I538" s="75" t="inlineStr">
        <is>
          <t>3월 해외출장 - M항공</t>
        </is>
      </c>
      <c r="J538" s="75" t="inlineStr">
        <is>
          <t>V10001</t>
        </is>
      </c>
      <c r="K538" s="75" t="inlineStr">
        <is>
          <t>M항공</t>
        </is>
      </c>
      <c r="M538" s="9">
        <f>IF($A538="","",VALUE($A538&amp;"")*12+VALUE($B538&amp;""))</f>
        <v/>
      </c>
      <c r="N538" s="39">
        <f>IF($A538="","",IFERROR(INDEX(부서매핑!$C$5:$C$504,MATCH($G538&amp;"",부서매핑!$A$5:$A$504,0)),"미매핑"))</f>
        <v/>
      </c>
      <c r="O538" s="9">
        <f>IF($A538="","",N538&amp;"|"&amp;$F538)</f>
        <v/>
      </c>
      <c r="P538" s="77">
        <f>IF($A538="",0,$H538*설정!$C$23)</f>
        <v/>
      </c>
      <c r="Q538" s="39">
        <f>IF($A538="","",IF(O538&lt;&gt;원인분석!$C$9,"",IF(AND(M538&gt;=원인분석!$C$10,M538&lt;=원인분석!$C$11),"당기",IF(AND(M538&gt;=원인분석!$C$12,M538&lt;=원인분석!$C$13),"비교",""))))</f>
        <v/>
      </c>
      <c r="R538" s="9">
        <f>IF(Q538="","",$K538&amp;"")</f>
        <v/>
      </c>
      <c r="S538" s="9">
        <f>IF(Q538="","",IF(MATCH(R538,$R$5:$R$100000,0)=ROW()-4,ROW(),""))</f>
        <v/>
      </c>
      <c r="T538" s="9">
        <f>IF(Q538="당기",ABS(P538)+ROW()/1000000000,"")</f>
        <v/>
      </c>
      <c r="U538" s="9">
        <f>IF(Q538="비교",ABS(P538)+ROW()/1000000000,"")</f>
        <v/>
      </c>
      <c r="V538" s="39">
        <f>IF($A538="","",IF(COUNTIF(변동분석!$E$7:$E$506,O538)&gt;0,"Y","N"))</f>
        <v/>
      </c>
      <c r="W538" s="39">
        <f>IF($A538="","",IFERROR(INDEX(계정매핑!$D$5:$D$504,MATCH($F538&amp;"",계정매핑!$A$5:$A$504,0)),"미매핑"))</f>
        <v/>
      </c>
      <c r="X538" s="9">
        <f>IF($A538="","",$F538&amp;"")</f>
        <v/>
      </c>
    </row>
    <row r="539">
      <c r="A539" s="75" t="n">
        <v>2025</v>
      </c>
      <c r="B539" s="75" t="n">
        <v>3</v>
      </c>
      <c r="C539" s="75" t="inlineStr">
        <is>
          <t>5100000535</t>
        </is>
      </c>
      <c r="D539" s="78" t="n">
        <v>45737</v>
      </c>
      <c r="E539" s="75" t="inlineStr">
        <is>
          <t>KR</t>
        </is>
      </c>
      <c r="F539" s="75" t="n">
        <v>62102000</v>
      </c>
      <c r="G539" s="75" t="n">
        <v>1301</v>
      </c>
      <c r="H539" s="76" t="n">
        <v>91000</v>
      </c>
      <c r="I539" s="75" t="inlineStr">
        <is>
          <t>3월 해외출장 - M항공</t>
        </is>
      </c>
      <c r="J539" s="75" t="inlineStr">
        <is>
          <t>V10001</t>
        </is>
      </c>
      <c r="K539" s="75" t="inlineStr">
        <is>
          <t>M항공</t>
        </is>
      </c>
      <c r="M539" s="9">
        <f>IF($A539="","",VALUE($A539&amp;"")*12+VALUE($B539&amp;""))</f>
        <v/>
      </c>
      <c r="N539" s="39">
        <f>IF($A539="","",IFERROR(INDEX(부서매핑!$C$5:$C$504,MATCH($G539&amp;"",부서매핑!$A$5:$A$504,0)),"미매핑"))</f>
        <v/>
      </c>
      <c r="O539" s="9">
        <f>IF($A539="","",N539&amp;"|"&amp;$F539)</f>
        <v/>
      </c>
      <c r="P539" s="77">
        <f>IF($A539="",0,$H539*설정!$C$23)</f>
        <v/>
      </c>
      <c r="Q539" s="39">
        <f>IF($A539="","",IF(O539&lt;&gt;원인분석!$C$9,"",IF(AND(M539&gt;=원인분석!$C$10,M539&lt;=원인분석!$C$11),"당기",IF(AND(M539&gt;=원인분석!$C$12,M539&lt;=원인분석!$C$13),"비교",""))))</f>
        <v/>
      </c>
      <c r="R539" s="9">
        <f>IF(Q539="","",$K539&amp;"")</f>
        <v/>
      </c>
      <c r="S539" s="9">
        <f>IF(Q539="","",IF(MATCH(R539,$R$5:$R$100000,0)=ROW()-4,ROW(),""))</f>
        <v/>
      </c>
      <c r="T539" s="9">
        <f>IF(Q539="당기",ABS(P539)+ROW()/1000000000,"")</f>
        <v/>
      </c>
      <c r="U539" s="9">
        <f>IF(Q539="비교",ABS(P539)+ROW()/1000000000,"")</f>
        <v/>
      </c>
      <c r="V539" s="39">
        <f>IF($A539="","",IF(COUNTIF(변동분석!$E$7:$E$506,O539)&gt;0,"Y","N"))</f>
        <v/>
      </c>
      <c r="W539" s="39">
        <f>IF($A539="","",IFERROR(INDEX(계정매핑!$D$5:$D$504,MATCH($F539&amp;"",계정매핑!$A$5:$A$504,0)),"미매핑"))</f>
        <v/>
      </c>
      <c r="X539" s="9">
        <f>IF($A539="","",$F539&amp;"")</f>
        <v/>
      </c>
    </row>
    <row r="540">
      <c r="A540" s="75" t="n">
        <v>2025</v>
      </c>
      <c r="B540" s="75" t="n">
        <v>3</v>
      </c>
      <c r="C540" s="75" t="inlineStr">
        <is>
          <t>5100000536</t>
        </is>
      </c>
      <c r="D540" s="78" t="n">
        <v>45737</v>
      </c>
      <c r="E540" s="75" t="inlineStr">
        <is>
          <t>KR</t>
        </is>
      </c>
      <c r="F540" s="75" t="n">
        <v>62102000</v>
      </c>
      <c r="G540" s="75" t="n">
        <v>1401</v>
      </c>
      <c r="H540" s="76" t="n">
        <v>163000</v>
      </c>
      <c r="I540" s="75" t="inlineStr">
        <is>
          <t>3월 해외출장 - N호텔</t>
        </is>
      </c>
      <c r="J540" s="75" t="inlineStr">
        <is>
          <t>V10007</t>
        </is>
      </c>
      <c r="K540" s="75" t="inlineStr">
        <is>
          <t>N호텔</t>
        </is>
      </c>
      <c r="M540" s="9">
        <f>IF($A540="","",VALUE($A540&amp;"")*12+VALUE($B540&amp;""))</f>
        <v/>
      </c>
      <c r="N540" s="39">
        <f>IF($A540="","",IFERROR(INDEX(부서매핑!$C$5:$C$504,MATCH($G540&amp;"",부서매핑!$A$5:$A$504,0)),"미매핑"))</f>
        <v/>
      </c>
      <c r="O540" s="9">
        <f>IF($A540="","",N540&amp;"|"&amp;$F540)</f>
        <v/>
      </c>
      <c r="P540" s="77">
        <f>IF($A540="",0,$H540*설정!$C$23)</f>
        <v/>
      </c>
      <c r="Q540" s="39">
        <f>IF($A540="","",IF(O540&lt;&gt;원인분석!$C$9,"",IF(AND(M540&gt;=원인분석!$C$10,M540&lt;=원인분석!$C$11),"당기",IF(AND(M540&gt;=원인분석!$C$12,M540&lt;=원인분석!$C$13),"비교",""))))</f>
        <v/>
      </c>
      <c r="R540" s="9">
        <f>IF(Q540="","",$K540&amp;"")</f>
        <v/>
      </c>
      <c r="S540" s="9">
        <f>IF(Q540="","",IF(MATCH(R540,$R$5:$R$100000,0)=ROW()-4,ROW(),""))</f>
        <v/>
      </c>
      <c r="T540" s="9">
        <f>IF(Q540="당기",ABS(P540)+ROW()/1000000000,"")</f>
        <v/>
      </c>
      <c r="U540" s="9">
        <f>IF(Q540="비교",ABS(P540)+ROW()/1000000000,"")</f>
        <v/>
      </c>
      <c r="V540" s="39">
        <f>IF($A540="","",IF(COUNTIF(변동분석!$E$7:$E$506,O540)&gt;0,"Y","N"))</f>
        <v/>
      </c>
      <c r="W540" s="39">
        <f>IF($A540="","",IFERROR(INDEX(계정매핑!$D$5:$D$504,MATCH($F540&amp;"",계정매핑!$A$5:$A$504,0)),"미매핑"))</f>
        <v/>
      </c>
      <c r="X540" s="9">
        <f>IF($A540="","",$F540&amp;"")</f>
        <v/>
      </c>
    </row>
    <row r="541">
      <c r="A541" s="75" t="n">
        <v>2025</v>
      </c>
      <c r="B541" s="75" t="n">
        <v>3</v>
      </c>
      <c r="C541" s="75" t="inlineStr">
        <is>
          <t>5100000537</t>
        </is>
      </c>
      <c r="D541" s="78" t="n">
        <v>45737</v>
      </c>
      <c r="E541" s="75" t="inlineStr">
        <is>
          <t>KR</t>
        </is>
      </c>
      <c r="F541" s="75" t="n">
        <v>62102000</v>
      </c>
      <c r="G541" s="75" t="n">
        <v>1501</v>
      </c>
      <c r="H541" s="76" t="n">
        <v>97000</v>
      </c>
      <c r="I541" s="75" t="inlineStr">
        <is>
          <t>3월 해외출장 - N호텔</t>
        </is>
      </c>
      <c r="J541" s="75" t="inlineStr">
        <is>
          <t>V10007</t>
        </is>
      </c>
      <c r="K541" s="75" t="inlineStr">
        <is>
          <t>N호텔</t>
        </is>
      </c>
      <c r="M541" s="9">
        <f>IF($A541="","",VALUE($A541&amp;"")*12+VALUE($B541&amp;""))</f>
        <v/>
      </c>
      <c r="N541" s="39">
        <f>IF($A541="","",IFERROR(INDEX(부서매핑!$C$5:$C$504,MATCH($G541&amp;"",부서매핑!$A$5:$A$504,0)),"미매핑"))</f>
        <v/>
      </c>
      <c r="O541" s="9">
        <f>IF($A541="","",N541&amp;"|"&amp;$F541)</f>
        <v/>
      </c>
      <c r="P541" s="77">
        <f>IF($A541="",0,$H541*설정!$C$23)</f>
        <v/>
      </c>
      <c r="Q541" s="39">
        <f>IF($A541="","",IF(O541&lt;&gt;원인분석!$C$9,"",IF(AND(M541&gt;=원인분석!$C$10,M541&lt;=원인분석!$C$11),"당기",IF(AND(M541&gt;=원인분석!$C$12,M541&lt;=원인분석!$C$13),"비교",""))))</f>
        <v/>
      </c>
      <c r="R541" s="9">
        <f>IF(Q541="","",$K541&amp;"")</f>
        <v/>
      </c>
      <c r="S541" s="9">
        <f>IF(Q541="","",IF(MATCH(R541,$R$5:$R$100000,0)=ROW()-4,ROW(),""))</f>
        <v/>
      </c>
      <c r="T541" s="9">
        <f>IF(Q541="당기",ABS(P541)+ROW()/1000000000,"")</f>
        <v/>
      </c>
      <c r="U541" s="9">
        <f>IF(Q541="비교",ABS(P541)+ROW()/1000000000,"")</f>
        <v/>
      </c>
      <c r="V541" s="39">
        <f>IF($A541="","",IF(COUNTIF(변동분석!$E$7:$E$506,O541)&gt;0,"Y","N"))</f>
        <v/>
      </c>
      <c r="W541" s="39">
        <f>IF($A541="","",IFERROR(INDEX(계정매핑!$D$5:$D$504,MATCH($F541&amp;"",계정매핑!$A$5:$A$504,0)),"미매핑"))</f>
        <v/>
      </c>
      <c r="X541" s="9">
        <f>IF($A541="","",$F541&amp;"")</f>
        <v/>
      </c>
    </row>
    <row r="542">
      <c r="A542" s="75" t="n">
        <v>2025</v>
      </c>
      <c r="B542" s="75" t="n">
        <v>3</v>
      </c>
      <c r="C542" s="75" t="inlineStr">
        <is>
          <t>5100000538</t>
        </is>
      </c>
      <c r="D542" s="78" t="n">
        <v>45737</v>
      </c>
      <c r="E542" s="75" t="inlineStr">
        <is>
          <t>KR</t>
        </is>
      </c>
      <c r="F542" s="75" t="n">
        <v>62201000</v>
      </c>
      <c r="G542" s="75" t="n">
        <v>1201</v>
      </c>
      <c r="H542" s="76" t="n">
        <v>155000</v>
      </c>
      <c r="I542" s="75" t="inlineStr">
        <is>
          <t>3월 통신요금 - P통신</t>
        </is>
      </c>
      <c r="J542" s="75" t="inlineStr">
        <is>
          <t>V10011</t>
        </is>
      </c>
      <c r="K542" s="75" t="inlineStr">
        <is>
          <t>P통신</t>
        </is>
      </c>
      <c r="M542" s="9">
        <f>IF($A542="","",VALUE($A542&amp;"")*12+VALUE($B542&amp;""))</f>
        <v/>
      </c>
      <c r="N542" s="39">
        <f>IF($A542="","",IFERROR(INDEX(부서매핑!$C$5:$C$504,MATCH($G542&amp;"",부서매핑!$A$5:$A$504,0)),"미매핑"))</f>
        <v/>
      </c>
      <c r="O542" s="9">
        <f>IF($A542="","",N542&amp;"|"&amp;$F542)</f>
        <v/>
      </c>
      <c r="P542" s="77">
        <f>IF($A542="",0,$H542*설정!$C$23)</f>
        <v/>
      </c>
      <c r="Q542" s="39">
        <f>IF($A542="","",IF(O542&lt;&gt;원인분석!$C$9,"",IF(AND(M542&gt;=원인분석!$C$10,M542&lt;=원인분석!$C$11),"당기",IF(AND(M542&gt;=원인분석!$C$12,M542&lt;=원인분석!$C$13),"비교",""))))</f>
        <v/>
      </c>
      <c r="R542" s="9">
        <f>IF(Q542="","",$K542&amp;"")</f>
        <v/>
      </c>
      <c r="S542" s="9">
        <f>IF(Q542="","",IF(MATCH(R542,$R$5:$R$100000,0)=ROW()-4,ROW(),""))</f>
        <v/>
      </c>
      <c r="T542" s="9">
        <f>IF(Q542="당기",ABS(P542)+ROW()/1000000000,"")</f>
        <v/>
      </c>
      <c r="U542" s="9">
        <f>IF(Q542="비교",ABS(P542)+ROW()/1000000000,"")</f>
        <v/>
      </c>
      <c r="V542" s="39">
        <f>IF($A542="","",IF(COUNTIF(변동분석!$E$7:$E$506,O542)&gt;0,"Y","N"))</f>
        <v/>
      </c>
      <c r="W542" s="39">
        <f>IF($A542="","",IFERROR(INDEX(계정매핑!$D$5:$D$504,MATCH($F542&amp;"",계정매핑!$A$5:$A$504,0)),"미매핑"))</f>
        <v/>
      </c>
      <c r="X542" s="9">
        <f>IF($A542="","",$F542&amp;"")</f>
        <v/>
      </c>
    </row>
    <row r="543">
      <c r="A543" s="75" t="n">
        <v>2025</v>
      </c>
      <c r="B543" s="75" t="n">
        <v>3</v>
      </c>
      <c r="C543" s="75" t="inlineStr">
        <is>
          <t>5100000539</t>
        </is>
      </c>
      <c r="D543" s="78" t="n">
        <v>45737</v>
      </c>
      <c r="E543" s="75" t="inlineStr">
        <is>
          <t>KR</t>
        </is>
      </c>
      <c r="F543" s="75" t="n">
        <v>62201000</v>
      </c>
      <c r="G543" s="75" t="n">
        <v>1301</v>
      </c>
      <c r="H543" s="76" t="n">
        <v>146000</v>
      </c>
      <c r="I543" s="75" t="inlineStr">
        <is>
          <t>3월 통신요금 - O텔레콤</t>
        </is>
      </c>
      <c r="J543" s="75" t="inlineStr">
        <is>
          <t>V10002</t>
        </is>
      </c>
      <c r="K543" s="75" t="inlineStr">
        <is>
          <t>O텔레콤</t>
        </is>
      </c>
      <c r="M543" s="9">
        <f>IF($A543="","",VALUE($A543&amp;"")*12+VALUE($B543&amp;""))</f>
        <v/>
      </c>
      <c r="N543" s="39">
        <f>IF($A543="","",IFERROR(INDEX(부서매핑!$C$5:$C$504,MATCH($G543&amp;"",부서매핑!$A$5:$A$504,0)),"미매핑"))</f>
        <v/>
      </c>
      <c r="O543" s="9">
        <f>IF($A543="","",N543&amp;"|"&amp;$F543)</f>
        <v/>
      </c>
      <c r="P543" s="77">
        <f>IF($A543="",0,$H543*설정!$C$23)</f>
        <v/>
      </c>
      <c r="Q543" s="39">
        <f>IF($A543="","",IF(O543&lt;&gt;원인분석!$C$9,"",IF(AND(M543&gt;=원인분석!$C$10,M543&lt;=원인분석!$C$11),"당기",IF(AND(M543&gt;=원인분석!$C$12,M543&lt;=원인분석!$C$13),"비교",""))))</f>
        <v/>
      </c>
      <c r="R543" s="9">
        <f>IF(Q543="","",$K543&amp;"")</f>
        <v/>
      </c>
      <c r="S543" s="9">
        <f>IF(Q543="","",IF(MATCH(R543,$R$5:$R$100000,0)=ROW()-4,ROW(),""))</f>
        <v/>
      </c>
      <c r="T543" s="9">
        <f>IF(Q543="당기",ABS(P543)+ROW()/1000000000,"")</f>
        <v/>
      </c>
      <c r="U543" s="9">
        <f>IF(Q543="비교",ABS(P543)+ROW()/1000000000,"")</f>
        <v/>
      </c>
      <c r="V543" s="39">
        <f>IF($A543="","",IF(COUNTIF(변동분석!$E$7:$E$506,O543)&gt;0,"Y","N"))</f>
        <v/>
      </c>
      <c r="W543" s="39">
        <f>IF($A543="","",IFERROR(INDEX(계정매핑!$D$5:$D$504,MATCH($F543&amp;"",계정매핑!$A$5:$A$504,0)),"미매핑"))</f>
        <v/>
      </c>
      <c r="X543" s="9">
        <f>IF($A543="","",$F543&amp;"")</f>
        <v/>
      </c>
    </row>
    <row r="544">
      <c r="A544" s="75" t="n">
        <v>2025</v>
      </c>
      <c r="B544" s="75" t="n">
        <v>3</v>
      </c>
      <c r="C544" s="75" t="inlineStr">
        <is>
          <t>5100000540</t>
        </is>
      </c>
      <c r="D544" s="78" t="n">
        <v>45737</v>
      </c>
      <c r="E544" s="75" t="inlineStr">
        <is>
          <t>KR</t>
        </is>
      </c>
      <c r="F544" s="75" t="n">
        <v>62201000</v>
      </c>
      <c r="G544" s="75" t="n">
        <v>1301</v>
      </c>
      <c r="H544" s="76" t="n">
        <v>169000</v>
      </c>
      <c r="I544" s="75" t="inlineStr">
        <is>
          <t>3월 통신요금 - P통신</t>
        </is>
      </c>
      <c r="J544" s="75" t="inlineStr">
        <is>
          <t>V10011</t>
        </is>
      </c>
      <c r="K544" s="75" t="inlineStr">
        <is>
          <t>P통신</t>
        </is>
      </c>
      <c r="M544" s="9">
        <f>IF($A544="","",VALUE($A544&amp;"")*12+VALUE($B544&amp;""))</f>
        <v/>
      </c>
      <c r="N544" s="39">
        <f>IF($A544="","",IFERROR(INDEX(부서매핑!$C$5:$C$504,MATCH($G544&amp;"",부서매핑!$A$5:$A$504,0)),"미매핑"))</f>
        <v/>
      </c>
      <c r="O544" s="9">
        <f>IF($A544="","",N544&amp;"|"&amp;$F544)</f>
        <v/>
      </c>
      <c r="P544" s="77">
        <f>IF($A544="",0,$H544*설정!$C$23)</f>
        <v/>
      </c>
      <c r="Q544" s="39">
        <f>IF($A544="","",IF(O544&lt;&gt;원인분석!$C$9,"",IF(AND(M544&gt;=원인분석!$C$10,M544&lt;=원인분석!$C$11),"당기",IF(AND(M544&gt;=원인분석!$C$12,M544&lt;=원인분석!$C$13),"비교",""))))</f>
        <v/>
      </c>
      <c r="R544" s="9">
        <f>IF(Q544="","",$K544&amp;"")</f>
        <v/>
      </c>
      <c r="S544" s="9">
        <f>IF(Q544="","",IF(MATCH(R544,$R$5:$R$100000,0)=ROW()-4,ROW(),""))</f>
        <v/>
      </c>
      <c r="T544" s="9">
        <f>IF(Q544="당기",ABS(P544)+ROW()/1000000000,"")</f>
        <v/>
      </c>
      <c r="U544" s="9">
        <f>IF(Q544="비교",ABS(P544)+ROW()/1000000000,"")</f>
        <v/>
      </c>
      <c r="V544" s="39">
        <f>IF($A544="","",IF(COUNTIF(변동분석!$E$7:$E$506,O544)&gt;0,"Y","N"))</f>
        <v/>
      </c>
      <c r="W544" s="39">
        <f>IF($A544="","",IFERROR(INDEX(계정매핑!$D$5:$D$504,MATCH($F544&amp;"",계정매핑!$A$5:$A$504,0)),"미매핑"))</f>
        <v/>
      </c>
      <c r="X544" s="9">
        <f>IF($A544="","",$F544&amp;"")</f>
        <v/>
      </c>
    </row>
    <row r="545">
      <c r="A545" s="75" t="n">
        <v>2025</v>
      </c>
      <c r="B545" s="75" t="n">
        <v>3</v>
      </c>
      <c r="C545" s="75" t="inlineStr">
        <is>
          <t>5100000541</t>
        </is>
      </c>
      <c r="D545" s="78" t="n">
        <v>45737</v>
      </c>
      <c r="E545" s="75" t="inlineStr">
        <is>
          <t>KR</t>
        </is>
      </c>
      <c r="F545" s="75" t="n">
        <v>62301000</v>
      </c>
      <c r="G545" s="75" t="n">
        <v>1201</v>
      </c>
      <c r="H545" s="76" t="n">
        <v>133000</v>
      </c>
      <c r="I545" s="75" t="inlineStr">
        <is>
          <t>3월 소모품 구입 - R문구</t>
        </is>
      </c>
      <c r="J545" s="75" t="inlineStr">
        <is>
          <t>V10018</t>
        </is>
      </c>
      <c r="K545" s="75" t="inlineStr">
        <is>
          <t>R문구</t>
        </is>
      </c>
      <c r="M545" s="9">
        <f>IF($A545="","",VALUE($A545&amp;"")*12+VALUE($B545&amp;""))</f>
        <v/>
      </c>
      <c r="N545" s="39">
        <f>IF($A545="","",IFERROR(INDEX(부서매핑!$C$5:$C$504,MATCH($G545&amp;"",부서매핑!$A$5:$A$504,0)),"미매핑"))</f>
        <v/>
      </c>
      <c r="O545" s="9">
        <f>IF($A545="","",N545&amp;"|"&amp;$F545)</f>
        <v/>
      </c>
      <c r="P545" s="77">
        <f>IF($A545="",0,$H545*설정!$C$23)</f>
        <v/>
      </c>
      <c r="Q545" s="39">
        <f>IF($A545="","",IF(O545&lt;&gt;원인분석!$C$9,"",IF(AND(M545&gt;=원인분석!$C$10,M545&lt;=원인분석!$C$11),"당기",IF(AND(M545&gt;=원인분석!$C$12,M545&lt;=원인분석!$C$13),"비교",""))))</f>
        <v/>
      </c>
      <c r="R545" s="9">
        <f>IF(Q545="","",$K545&amp;"")</f>
        <v/>
      </c>
      <c r="S545" s="9">
        <f>IF(Q545="","",IF(MATCH(R545,$R$5:$R$100000,0)=ROW()-4,ROW(),""))</f>
        <v/>
      </c>
      <c r="T545" s="9">
        <f>IF(Q545="당기",ABS(P545)+ROW()/1000000000,"")</f>
        <v/>
      </c>
      <c r="U545" s="9">
        <f>IF(Q545="비교",ABS(P545)+ROW()/1000000000,"")</f>
        <v/>
      </c>
      <c r="V545" s="39">
        <f>IF($A545="","",IF(COUNTIF(변동분석!$E$7:$E$506,O545)&gt;0,"Y","N"))</f>
        <v/>
      </c>
      <c r="W545" s="39">
        <f>IF($A545="","",IFERROR(INDEX(계정매핑!$D$5:$D$504,MATCH($F545&amp;"",계정매핑!$A$5:$A$504,0)),"미매핑"))</f>
        <v/>
      </c>
      <c r="X545" s="9">
        <f>IF($A545="","",$F545&amp;"")</f>
        <v/>
      </c>
    </row>
    <row r="546">
      <c r="A546" s="75" t="n">
        <v>2025</v>
      </c>
      <c r="B546" s="75" t="n">
        <v>3</v>
      </c>
      <c r="C546" s="75" t="inlineStr">
        <is>
          <t>5100000542</t>
        </is>
      </c>
      <c r="D546" s="78" t="n">
        <v>45737</v>
      </c>
      <c r="E546" s="75" t="inlineStr">
        <is>
          <t>KR</t>
        </is>
      </c>
      <c r="F546" s="75" t="n">
        <v>62301000</v>
      </c>
      <c r="G546" s="75" t="n">
        <v>1701</v>
      </c>
      <c r="H546" s="76" t="n">
        <v>242000</v>
      </c>
      <c r="I546" s="75" t="inlineStr">
        <is>
          <t>3월 소모품 구입 - R문구</t>
        </is>
      </c>
      <c r="J546" s="75" t="inlineStr">
        <is>
          <t>V10018</t>
        </is>
      </c>
      <c r="K546" s="75" t="inlineStr">
        <is>
          <t>R문구</t>
        </is>
      </c>
      <c r="M546" s="9">
        <f>IF($A546="","",VALUE($A546&amp;"")*12+VALUE($B546&amp;""))</f>
        <v/>
      </c>
      <c r="N546" s="39">
        <f>IF($A546="","",IFERROR(INDEX(부서매핑!$C$5:$C$504,MATCH($G546&amp;"",부서매핑!$A$5:$A$504,0)),"미매핑"))</f>
        <v/>
      </c>
      <c r="O546" s="9">
        <f>IF($A546="","",N546&amp;"|"&amp;$F546)</f>
        <v/>
      </c>
      <c r="P546" s="77">
        <f>IF($A546="",0,$H546*설정!$C$23)</f>
        <v/>
      </c>
      <c r="Q546" s="39">
        <f>IF($A546="","",IF(O546&lt;&gt;원인분석!$C$9,"",IF(AND(M546&gt;=원인분석!$C$10,M546&lt;=원인분석!$C$11),"당기",IF(AND(M546&gt;=원인분석!$C$12,M546&lt;=원인분석!$C$13),"비교",""))))</f>
        <v/>
      </c>
      <c r="R546" s="9">
        <f>IF(Q546="","",$K546&amp;"")</f>
        <v/>
      </c>
      <c r="S546" s="9">
        <f>IF(Q546="","",IF(MATCH(R546,$R$5:$R$100000,0)=ROW()-4,ROW(),""))</f>
        <v/>
      </c>
      <c r="T546" s="9">
        <f>IF(Q546="당기",ABS(P546)+ROW()/1000000000,"")</f>
        <v/>
      </c>
      <c r="U546" s="9">
        <f>IF(Q546="비교",ABS(P546)+ROW()/1000000000,"")</f>
        <v/>
      </c>
      <c r="V546" s="39">
        <f>IF($A546="","",IF(COUNTIF(변동분석!$E$7:$E$506,O546)&gt;0,"Y","N"))</f>
        <v/>
      </c>
      <c r="W546" s="39">
        <f>IF($A546="","",IFERROR(INDEX(계정매핑!$D$5:$D$504,MATCH($F546&amp;"",계정매핑!$A$5:$A$504,0)),"미매핑"))</f>
        <v/>
      </c>
      <c r="X546" s="9">
        <f>IF($A546="","",$F546&amp;"")</f>
        <v/>
      </c>
    </row>
    <row r="547">
      <c r="A547" s="75" t="n">
        <v>2025</v>
      </c>
      <c r="B547" s="75" t="n">
        <v>3</v>
      </c>
      <c r="C547" s="75" t="inlineStr">
        <is>
          <t>5100000543</t>
        </is>
      </c>
      <c r="D547" s="78" t="n">
        <v>45737</v>
      </c>
      <c r="E547" s="75" t="inlineStr">
        <is>
          <t>KR</t>
        </is>
      </c>
      <c r="F547" s="75" t="n">
        <v>62301000</v>
      </c>
      <c r="G547" s="75" t="n">
        <v>1801</v>
      </c>
      <c r="H547" s="76" t="n">
        <v>497000</v>
      </c>
      <c r="I547" s="75" t="inlineStr">
        <is>
          <t>3월 소모품 구입 - Q오피스</t>
        </is>
      </c>
      <c r="J547" s="75" t="inlineStr">
        <is>
          <t>V10003</t>
        </is>
      </c>
      <c r="K547" s="75" t="inlineStr">
        <is>
          <t>Q오피스</t>
        </is>
      </c>
      <c r="M547" s="9">
        <f>IF($A547="","",VALUE($A547&amp;"")*12+VALUE($B547&amp;""))</f>
        <v/>
      </c>
      <c r="N547" s="39">
        <f>IF($A547="","",IFERROR(INDEX(부서매핑!$C$5:$C$504,MATCH($G547&amp;"",부서매핑!$A$5:$A$504,0)),"미매핑"))</f>
        <v/>
      </c>
      <c r="O547" s="9">
        <f>IF($A547="","",N547&amp;"|"&amp;$F547)</f>
        <v/>
      </c>
      <c r="P547" s="77">
        <f>IF($A547="",0,$H547*설정!$C$23)</f>
        <v/>
      </c>
      <c r="Q547" s="39">
        <f>IF($A547="","",IF(O547&lt;&gt;원인분석!$C$9,"",IF(AND(M547&gt;=원인분석!$C$10,M547&lt;=원인분석!$C$11),"당기",IF(AND(M547&gt;=원인분석!$C$12,M547&lt;=원인분석!$C$13),"비교",""))))</f>
        <v/>
      </c>
      <c r="R547" s="9">
        <f>IF(Q547="","",$K547&amp;"")</f>
        <v/>
      </c>
      <c r="S547" s="9">
        <f>IF(Q547="","",IF(MATCH(R547,$R$5:$R$100000,0)=ROW()-4,ROW(),""))</f>
        <v/>
      </c>
      <c r="T547" s="9">
        <f>IF(Q547="당기",ABS(P547)+ROW()/1000000000,"")</f>
        <v/>
      </c>
      <c r="U547" s="9">
        <f>IF(Q547="비교",ABS(P547)+ROW()/1000000000,"")</f>
        <v/>
      </c>
      <c r="V547" s="39">
        <f>IF($A547="","",IF(COUNTIF(변동분석!$E$7:$E$506,O547)&gt;0,"Y","N"))</f>
        <v/>
      </c>
      <c r="W547" s="39">
        <f>IF($A547="","",IFERROR(INDEX(계정매핑!$D$5:$D$504,MATCH($F547&amp;"",계정매핑!$A$5:$A$504,0)),"미매핑"))</f>
        <v/>
      </c>
      <c r="X547" s="9">
        <f>IF($A547="","",$F547&amp;"")</f>
        <v/>
      </c>
    </row>
    <row r="548">
      <c r="A548" s="75" t="n">
        <v>2025</v>
      </c>
      <c r="B548" s="75" t="n">
        <v>3</v>
      </c>
      <c r="C548" s="75" t="inlineStr">
        <is>
          <t>5100000544</t>
        </is>
      </c>
      <c r="D548" s="78" t="n">
        <v>45737</v>
      </c>
      <c r="E548" s="75" t="inlineStr">
        <is>
          <t>KR</t>
        </is>
      </c>
      <c r="F548" s="75" t="n">
        <v>62401000</v>
      </c>
      <c r="G548" s="75" t="n">
        <v>1801</v>
      </c>
      <c r="H548" s="76" t="n">
        <v>1556000</v>
      </c>
      <c r="I548" s="75" t="inlineStr">
        <is>
          <t>3월 인쇄물 제작 - G인쇄</t>
        </is>
      </c>
      <c r="J548" s="75" t="inlineStr">
        <is>
          <t>V10004</t>
        </is>
      </c>
      <c r="K548" s="75" t="inlineStr">
        <is>
          <t>G인쇄</t>
        </is>
      </c>
      <c r="M548" s="9">
        <f>IF($A548="","",VALUE($A548&amp;"")*12+VALUE($B548&amp;""))</f>
        <v/>
      </c>
      <c r="N548" s="39">
        <f>IF($A548="","",IFERROR(INDEX(부서매핑!$C$5:$C$504,MATCH($G548&amp;"",부서매핑!$A$5:$A$504,0)),"미매핑"))</f>
        <v/>
      </c>
      <c r="O548" s="9">
        <f>IF($A548="","",N548&amp;"|"&amp;$F548)</f>
        <v/>
      </c>
      <c r="P548" s="77">
        <f>IF($A548="",0,$H548*설정!$C$23)</f>
        <v/>
      </c>
      <c r="Q548" s="39">
        <f>IF($A548="","",IF(O548&lt;&gt;원인분석!$C$9,"",IF(AND(M548&gt;=원인분석!$C$10,M548&lt;=원인분석!$C$11),"당기",IF(AND(M548&gt;=원인분석!$C$12,M548&lt;=원인분석!$C$13),"비교",""))))</f>
        <v/>
      </c>
      <c r="R548" s="9">
        <f>IF(Q548="","",$K548&amp;"")</f>
        <v/>
      </c>
      <c r="S548" s="9">
        <f>IF(Q548="","",IF(MATCH(R548,$R$5:$R$100000,0)=ROW()-4,ROW(),""))</f>
        <v/>
      </c>
      <c r="T548" s="9">
        <f>IF(Q548="당기",ABS(P548)+ROW()/1000000000,"")</f>
        <v/>
      </c>
      <c r="U548" s="9">
        <f>IF(Q548="비교",ABS(P548)+ROW()/1000000000,"")</f>
        <v/>
      </c>
      <c r="V548" s="39">
        <f>IF($A548="","",IF(COUNTIF(변동분석!$E$7:$E$506,O548)&gt;0,"Y","N"))</f>
        <v/>
      </c>
      <c r="W548" s="39">
        <f>IF($A548="","",IFERROR(INDEX(계정매핑!$D$5:$D$504,MATCH($F548&amp;"",계정매핑!$A$5:$A$504,0)),"미매핑"))</f>
        <v/>
      </c>
      <c r="X548" s="9">
        <f>IF($A548="","",$F548&amp;"")</f>
        <v/>
      </c>
    </row>
    <row r="549">
      <c r="A549" s="75" t="n">
        <v>2025</v>
      </c>
      <c r="B549" s="75" t="n">
        <v>3</v>
      </c>
      <c r="C549" s="75" t="inlineStr">
        <is>
          <t>5100000545</t>
        </is>
      </c>
      <c r="D549" s="78" t="n">
        <v>45737</v>
      </c>
      <c r="E549" s="75" t="inlineStr">
        <is>
          <t>KR</t>
        </is>
      </c>
      <c r="F549" s="75" t="n">
        <v>62501000</v>
      </c>
      <c r="G549" s="75" t="n">
        <v>1101</v>
      </c>
      <c r="H549" s="76" t="n">
        <v>190000</v>
      </c>
      <c r="I549" s="75" t="inlineStr">
        <is>
          <t>3월 회의 다과 - T케이터링</t>
        </is>
      </c>
      <c r="J549" s="75" t="inlineStr">
        <is>
          <t>V10005</t>
        </is>
      </c>
      <c r="K549" s="75" t="inlineStr">
        <is>
          <t>T케이터링</t>
        </is>
      </c>
      <c r="M549" s="9">
        <f>IF($A549="","",VALUE($A549&amp;"")*12+VALUE($B549&amp;""))</f>
        <v/>
      </c>
      <c r="N549" s="39">
        <f>IF($A549="","",IFERROR(INDEX(부서매핑!$C$5:$C$504,MATCH($G549&amp;"",부서매핑!$A$5:$A$504,0)),"미매핑"))</f>
        <v/>
      </c>
      <c r="O549" s="9">
        <f>IF($A549="","",N549&amp;"|"&amp;$F549)</f>
        <v/>
      </c>
      <c r="P549" s="77">
        <f>IF($A549="",0,$H549*설정!$C$23)</f>
        <v/>
      </c>
      <c r="Q549" s="39">
        <f>IF($A549="","",IF(O549&lt;&gt;원인분석!$C$9,"",IF(AND(M549&gt;=원인분석!$C$10,M549&lt;=원인분석!$C$11),"당기",IF(AND(M549&gt;=원인분석!$C$12,M549&lt;=원인분석!$C$13),"비교",""))))</f>
        <v/>
      </c>
      <c r="R549" s="9">
        <f>IF(Q549="","",$K549&amp;"")</f>
        <v/>
      </c>
      <c r="S549" s="9">
        <f>IF(Q549="","",IF(MATCH(R549,$R$5:$R$100000,0)=ROW()-4,ROW(),""))</f>
        <v/>
      </c>
      <c r="T549" s="9">
        <f>IF(Q549="당기",ABS(P549)+ROW()/1000000000,"")</f>
        <v/>
      </c>
      <c r="U549" s="9">
        <f>IF(Q549="비교",ABS(P549)+ROW()/1000000000,"")</f>
        <v/>
      </c>
      <c r="V549" s="39">
        <f>IF($A549="","",IF(COUNTIF(변동분석!$E$7:$E$506,O549)&gt;0,"Y","N"))</f>
        <v/>
      </c>
      <c r="W549" s="39">
        <f>IF($A549="","",IFERROR(INDEX(계정매핑!$D$5:$D$504,MATCH($F549&amp;"",계정매핑!$A$5:$A$504,0)),"미매핑"))</f>
        <v/>
      </c>
      <c r="X549" s="9">
        <f>IF($A549="","",$F549&amp;"")</f>
        <v/>
      </c>
    </row>
    <row r="550">
      <c r="A550" s="75" t="n">
        <v>2025</v>
      </c>
      <c r="B550" s="75" t="n">
        <v>3</v>
      </c>
      <c r="C550" s="75" t="inlineStr">
        <is>
          <t>5100000546</t>
        </is>
      </c>
      <c r="D550" s="78" t="n">
        <v>45738</v>
      </c>
      <c r="E550" s="75" t="inlineStr">
        <is>
          <t>KR</t>
        </is>
      </c>
      <c r="F550" s="75" t="n">
        <v>62101000</v>
      </c>
      <c r="G550" s="75" t="n">
        <v>1501</v>
      </c>
      <c r="H550" s="76" t="n">
        <v>297000</v>
      </c>
      <c r="I550" s="75" t="inlineStr">
        <is>
          <t>3월 국내출장 - L여행사</t>
        </is>
      </c>
      <c r="J550" s="75" t="inlineStr">
        <is>
          <t>V10014</t>
        </is>
      </c>
      <c r="K550" s="75" t="inlineStr">
        <is>
          <t>L여행사</t>
        </is>
      </c>
      <c r="M550" s="9">
        <f>IF($A550="","",VALUE($A550&amp;"")*12+VALUE($B550&amp;""))</f>
        <v/>
      </c>
      <c r="N550" s="39">
        <f>IF($A550="","",IFERROR(INDEX(부서매핑!$C$5:$C$504,MATCH($G550&amp;"",부서매핑!$A$5:$A$504,0)),"미매핑"))</f>
        <v/>
      </c>
      <c r="O550" s="9">
        <f>IF($A550="","",N550&amp;"|"&amp;$F550)</f>
        <v/>
      </c>
      <c r="P550" s="77">
        <f>IF($A550="",0,$H550*설정!$C$23)</f>
        <v/>
      </c>
      <c r="Q550" s="39">
        <f>IF($A550="","",IF(O550&lt;&gt;원인분석!$C$9,"",IF(AND(M550&gt;=원인분석!$C$10,M550&lt;=원인분석!$C$11),"당기",IF(AND(M550&gt;=원인분석!$C$12,M550&lt;=원인분석!$C$13),"비교",""))))</f>
        <v/>
      </c>
      <c r="R550" s="9">
        <f>IF(Q550="","",$K550&amp;"")</f>
        <v/>
      </c>
      <c r="S550" s="9">
        <f>IF(Q550="","",IF(MATCH(R550,$R$5:$R$100000,0)=ROW()-4,ROW(),""))</f>
        <v/>
      </c>
      <c r="T550" s="9">
        <f>IF(Q550="당기",ABS(P550)+ROW()/1000000000,"")</f>
        <v/>
      </c>
      <c r="U550" s="9">
        <f>IF(Q550="비교",ABS(P550)+ROW()/1000000000,"")</f>
        <v/>
      </c>
      <c r="V550" s="39">
        <f>IF($A550="","",IF(COUNTIF(변동분석!$E$7:$E$506,O550)&gt;0,"Y","N"))</f>
        <v/>
      </c>
      <c r="W550" s="39">
        <f>IF($A550="","",IFERROR(INDEX(계정매핑!$D$5:$D$504,MATCH($F550&amp;"",계정매핑!$A$5:$A$504,0)),"미매핑"))</f>
        <v/>
      </c>
      <c r="X550" s="9">
        <f>IF($A550="","",$F550&amp;"")</f>
        <v/>
      </c>
    </row>
    <row r="551">
      <c r="A551" s="75" t="n">
        <v>2025</v>
      </c>
      <c r="B551" s="75" t="n">
        <v>3</v>
      </c>
      <c r="C551" s="75" t="inlineStr">
        <is>
          <t>5100000547</t>
        </is>
      </c>
      <c r="D551" s="78" t="n">
        <v>45738</v>
      </c>
      <c r="E551" s="75" t="inlineStr">
        <is>
          <t>KR</t>
        </is>
      </c>
      <c r="F551" s="75" t="n">
        <v>62101000</v>
      </c>
      <c r="G551" s="75" t="n">
        <v>1801</v>
      </c>
      <c r="H551" s="76" t="n">
        <v>246000</v>
      </c>
      <c r="I551" s="75" t="inlineStr">
        <is>
          <t>3월 국내출장 - M항공</t>
        </is>
      </c>
      <c r="J551" s="75" t="inlineStr">
        <is>
          <t>V10001</t>
        </is>
      </c>
      <c r="K551" s="75" t="inlineStr">
        <is>
          <t>M항공</t>
        </is>
      </c>
      <c r="M551" s="9">
        <f>IF($A551="","",VALUE($A551&amp;"")*12+VALUE($B551&amp;""))</f>
        <v/>
      </c>
      <c r="N551" s="39">
        <f>IF($A551="","",IFERROR(INDEX(부서매핑!$C$5:$C$504,MATCH($G551&amp;"",부서매핑!$A$5:$A$504,0)),"미매핑"))</f>
        <v/>
      </c>
      <c r="O551" s="9">
        <f>IF($A551="","",N551&amp;"|"&amp;$F551)</f>
        <v/>
      </c>
      <c r="P551" s="77">
        <f>IF($A551="",0,$H551*설정!$C$23)</f>
        <v/>
      </c>
      <c r="Q551" s="39">
        <f>IF($A551="","",IF(O551&lt;&gt;원인분석!$C$9,"",IF(AND(M551&gt;=원인분석!$C$10,M551&lt;=원인분석!$C$11),"당기",IF(AND(M551&gt;=원인분석!$C$12,M551&lt;=원인분석!$C$13),"비교",""))))</f>
        <v/>
      </c>
      <c r="R551" s="9">
        <f>IF(Q551="","",$K551&amp;"")</f>
        <v/>
      </c>
      <c r="S551" s="9">
        <f>IF(Q551="","",IF(MATCH(R551,$R$5:$R$100000,0)=ROW()-4,ROW(),""))</f>
        <v/>
      </c>
      <c r="T551" s="9">
        <f>IF(Q551="당기",ABS(P551)+ROW()/1000000000,"")</f>
        <v/>
      </c>
      <c r="U551" s="9">
        <f>IF(Q551="비교",ABS(P551)+ROW()/1000000000,"")</f>
        <v/>
      </c>
      <c r="V551" s="39">
        <f>IF($A551="","",IF(COUNTIF(변동분석!$E$7:$E$506,O551)&gt;0,"Y","N"))</f>
        <v/>
      </c>
      <c r="W551" s="39">
        <f>IF($A551="","",IFERROR(INDEX(계정매핑!$D$5:$D$504,MATCH($F551&amp;"",계정매핑!$A$5:$A$504,0)),"미매핑"))</f>
        <v/>
      </c>
      <c r="X551" s="9">
        <f>IF($A551="","",$F551&amp;"")</f>
        <v/>
      </c>
    </row>
    <row r="552">
      <c r="A552" s="75" t="n">
        <v>2025</v>
      </c>
      <c r="B552" s="75" t="n">
        <v>3</v>
      </c>
      <c r="C552" s="75" t="inlineStr">
        <is>
          <t>5100000548</t>
        </is>
      </c>
      <c r="D552" s="78" t="n">
        <v>45738</v>
      </c>
      <c r="E552" s="75" t="inlineStr">
        <is>
          <t>KR</t>
        </is>
      </c>
      <c r="F552" s="75" t="n">
        <v>62901000</v>
      </c>
      <c r="G552" s="75" t="n">
        <v>1101</v>
      </c>
      <c r="H552" s="76" t="n">
        <v>5227000</v>
      </c>
      <c r="I552" s="75" t="inlineStr">
        <is>
          <t>3월 자문 수수료 - W컨설팅</t>
        </is>
      </c>
      <c r="J552" s="75" t="inlineStr">
        <is>
          <t>V10009</t>
        </is>
      </c>
      <c r="K552" s="75" t="inlineStr">
        <is>
          <t>W컨설팅</t>
        </is>
      </c>
      <c r="M552" s="9">
        <f>IF($A552="","",VALUE($A552&amp;"")*12+VALUE($B552&amp;""))</f>
        <v/>
      </c>
      <c r="N552" s="39">
        <f>IF($A552="","",IFERROR(INDEX(부서매핑!$C$5:$C$504,MATCH($G552&amp;"",부서매핑!$A$5:$A$504,0)),"미매핑"))</f>
        <v/>
      </c>
      <c r="O552" s="9">
        <f>IF($A552="","",N552&amp;"|"&amp;$F552)</f>
        <v/>
      </c>
      <c r="P552" s="77">
        <f>IF($A552="",0,$H552*설정!$C$23)</f>
        <v/>
      </c>
      <c r="Q552" s="39">
        <f>IF($A552="","",IF(O552&lt;&gt;원인분석!$C$9,"",IF(AND(M552&gt;=원인분석!$C$10,M552&lt;=원인분석!$C$11),"당기",IF(AND(M552&gt;=원인분석!$C$12,M552&lt;=원인분석!$C$13),"비교",""))))</f>
        <v/>
      </c>
      <c r="R552" s="9">
        <f>IF(Q552="","",$K552&amp;"")</f>
        <v/>
      </c>
      <c r="S552" s="9">
        <f>IF(Q552="","",IF(MATCH(R552,$R$5:$R$100000,0)=ROW()-4,ROW(),""))</f>
        <v/>
      </c>
      <c r="T552" s="9">
        <f>IF(Q552="당기",ABS(P552)+ROW()/1000000000,"")</f>
        <v/>
      </c>
      <c r="U552" s="9">
        <f>IF(Q552="비교",ABS(P552)+ROW()/1000000000,"")</f>
        <v/>
      </c>
      <c r="V552" s="39">
        <f>IF($A552="","",IF(COUNTIF(변동분석!$E$7:$E$506,O552)&gt;0,"Y","N"))</f>
        <v/>
      </c>
      <c r="W552" s="39">
        <f>IF($A552="","",IFERROR(INDEX(계정매핑!$D$5:$D$504,MATCH($F552&amp;"",계정매핑!$A$5:$A$504,0)),"미매핑"))</f>
        <v/>
      </c>
      <c r="X552" s="9">
        <f>IF($A552="","",$F552&amp;"")</f>
        <v/>
      </c>
    </row>
    <row r="553">
      <c r="A553" s="75" t="n">
        <v>2025</v>
      </c>
      <c r="B553" s="75" t="n">
        <v>3</v>
      </c>
      <c r="C553" s="75" t="inlineStr">
        <is>
          <t>5100000549</t>
        </is>
      </c>
      <c r="D553" s="78" t="n">
        <v>45738</v>
      </c>
      <c r="E553" s="75" t="inlineStr">
        <is>
          <t>KR</t>
        </is>
      </c>
      <c r="F553" s="75" t="n">
        <v>62902000</v>
      </c>
      <c r="G553" s="75" t="n">
        <v>1801</v>
      </c>
      <c r="H553" s="76" t="n">
        <v>1775000</v>
      </c>
      <c r="I553" s="75" t="inlineStr">
        <is>
          <t>3월 콜 위탁 수수료(건별)</t>
        </is>
      </c>
      <c r="J553" s="75" t="inlineStr">
        <is>
          <t>V10013</t>
        </is>
      </c>
      <c r="K553" s="75" t="inlineStr">
        <is>
          <t>J콜센터</t>
        </is>
      </c>
      <c r="M553" s="9">
        <f>IF($A553="","",VALUE($A553&amp;"")*12+VALUE($B553&amp;""))</f>
        <v/>
      </c>
      <c r="N553" s="39">
        <f>IF($A553="","",IFERROR(INDEX(부서매핑!$C$5:$C$504,MATCH($G553&amp;"",부서매핑!$A$5:$A$504,0)),"미매핑"))</f>
        <v/>
      </c>
      <c r="O553" s="9">
        <f>IF($A553="","",N553&amp;"|"&amp;$F553)</f>
        <v/>
      </c>
      <c r="P553" s="77">
        <f>IF($A553="",0,$H553*설정!$C$23)</f>
        <v/>
      </c>
      <c r="Q553" s="39">
        <f>IF($A553="","",IF(O553&lt;&gt;원인분석!$C$9,"",IF(AND(M553&gt;=원인분석!$C$10,M553&lt;=원인분석!$C$11),"당기",IF(AND(M553&gt;=원인분석!$C$12,M553&lt;=원인분석!$C$13),"비교",""))))</f>
        <v/>
      </c>
      <c r="R553" s="9">
        <f>IF(Q553="","",$K553&amp;"")</f>
        <v/>
      </c>
      <c r="S553" s="9">
        <f>IF(Q553="","",IF(MATCH(R553,$R$5:$R$100000,0)=ROW()-4,ROW(),""))</f>
        <v/>
      </c>
      <c r="T553" s="9">
        <f>IF(Q553="당기",ABS(P553)+ROW()/1000000000,"")</f>
        <v/>
      </c>
      <c r="U553" s="9">
        <f>IF(Q553="비교",ABS(P553)+ROW()/1000000000,"")</f>
        <v/>
      </c>
      <c r="V553" s="39">
        <f>IF($A553="","",IF(COUNTIF(변동분석!$E$7:$E$506,O553)&gt;0,"Y","N"))</f>
        <v/>
      </c>
      <c r="W553" s="39">
        <f>IF($A553="","",IFERROR(INDEX(계정매핑!$D$5:$D$504,MATCH($F553&amp;"",계정매핑!$A$5:$A$504,0)),"미매핑"))</f>
        <v/>
      </c>
      <c r="X553" s="9">
        <f>IF($A553="","",$F553&amp;"")</f>
        <v/>
      </c>
    </row>
    <row r="554">
      <c r="A554" s="75" t="n">
        <v>2025</v>
      </c>
      <c r="B554" s="75" t="n">
        <v>3</v>
      </c>
      <c r="C554" s="75" t="inlineStr">
        <is>
          <t>5100000550</t>
        </is>
      </c>
      <c r="D554" s="78" t="n">
        <v>45738</v>
      </c>
      <c r="E554" s="75" t="inlineStr">
        <is>
          <t>KR</t>
        </is>
      </c>
      <c r="F554" s="75" t="n">
        <v>63101000</v>
      </c>
      <c r="G554" s="75" t="n">
        <v>1602</v>
      </c>
      <c r="H554" s="76" t="n">
        <v>3883000</v>
      </c>
      <c r="I554" s="75" t="inlineStr">
        <is>
          <t>3월 사무실 임차료 - AA빌딩</t>
        </is>
      </c>
      <c r="J554" s="75" t="inlineStr">
        <is>
          <t>V10006</t>
        </is>
      </c>
      <c r="K554" s="75" t="inlineStr">
        <is>
          <t>AA빌딩</t>
        </is>
      </c>
      <c r="M554" s="9">
        <f>IF($A554="","",VALUE($A554&amp;"")*12+VALUE($B554&amp;""))</f>
        <v/>
      </c>
      <c r="N554" s="39">
        <f>IF($A554="","",IFERROR(INDEX(부서매핑!$C$5:$C$504,MATCH($G554&amp;"",부서매핑!$A$5:$A$504,0)),"미매핑"))</f>
        <v/>
      </c>
      <c r="O554" s="9">
        <f>IF($A554="","",N554&amp;"|"&amp;$F554)</f>
        <v/>
      </c>
      <c r="P554" s="77">
        <f>IF($A554="",0,$H554*설정!$C$23)</f>
        <v/>
      </c>
      <c r="Q554" s="39">
        <f>IF($A554="","",IF(O554&lt;&gt;원인분석!$C$9,"",IF(AND(M554&gt;=원인분석!$C$10,M554&lt;=원인분석!$C$11),"당기",IF(AND(M554&gt;=원인분석!$C$12,M554&lt;=원인분석!$C$13),"비교",""))))</f>
        <v/>
      </c>
      <c r="R554" s="9">
        <f>IF(Q554="","",$K554&amp;"")</f>
        <v/>
      </c>
      <c r="S554" s="9">
        <f>IF(Q554="","",IF(MATCH(R554,$R$5:$R$100000,0)=ROW()-4,ROW(),""))</f>
        <v/>
      </c>
      <c r="T554" s="9">
        <f>IF(Q554="당기",ABS(P554)+ROW()/1000000000,"")</f>
        <v/>
      </c>
      <c r="U554" s="9">
        <f>IF(Q554="비교",ABS(P554)+ROW()/1000000000,"")</f>
        <v/>
      </c>
      <c r="V554" s="39">
        <f>IF($A554="","",IF(COUNTIF(변동분석!$E$7:$E$506,O554)&gt;0,"Y","N"))</f>
        <v/>
      </c>
      <c r="W554" s="39">
        <f>IF($A554="","",IFERROR(INDEX(계정매핑!$D$5:$D$504,MATCH($F554&amp;"",계정매핑!$A$5:$A$504,0)),"미매핑"))</f>
        <v/>
      </c>
      <c r="X554" s="9">
        <f>IF($A554="","",$F554&amp;"")</f>
        <v/>
      </c>
    </row>
    <row r="555">
      <c r="A555" s="75" t="n">
        <v>2025</v>
      </c>
      <c r="B555" s="75" t="n">
        <v>3</v>
      </c>
      <c r="C555" s="75" t="inlineStr">
        <is>
          <t>5100000551</t>
        </is>
      </c>
      <c r="D555" s="78" t="n">
        <v>45739</v>
      </c>
      <c r="E555" s="75" t="inlineStr">
        <is>
          <t>KR</t>
        </is>
      </c>
      <c r="F555" s="75" t="n">
        <v>62101000</v>
      </c>
      <c r="G555" s="75" t="n">
        <v>1401</v>
      </c>
      <c r="H555" s="76" t="n">
        <v>438000</v>
      </c>
      <c r="I555" s="75" t="inlineStr">
        <is>
          <t>3월 국내출장 - M항공</t>
        </is>
      </c>
      <c r="J555" s="75" t="inlineStr">
        <is>
          <t>V10001</t>
        </is>
      </c>
      <c r="K555" s="75" t="inlineStr">
        <is>
          <t>M항공</t>
        </is>
      </c>
      <c r="M555" s="9">
        <f>IF($A555="","",VALUE($A555&amp;"")*12+VALUE($B555&amp;""))</f>
        <v/>
      </c>
      <c r="N555" s="39">
        <f>IF($A555="","",IFERROR(INDEX(부서매핑!$C$5:$C$504,MATCH($G555&amp;"",부서매핑!$A$5:$A$504,0)),"미매핑"))</f>
        <v/>
      </c>
      <c r="O555" s="9">
        <f>IF($A555="","",N555&amp;"|"&amp;$F555)</f>
        <v/>
      </c>
      <c r="P555" s="77">
        <f>IF($A555="",0,$H555*설정!$C$23)</f>
        <v/>
      </c>
      <c r="Q555" s="39">
        <f>IF($A555="","",IF(O555&lt;&gt;원인분석!$C$9,"",IF(AND(M555&gt;=원인분석!$C$10,M555&lt;=원인분석!$C$11),"당기",IF(AND(M555&gt;=원인분석!$C$12,M555&lt;=원인분석!$C$13),"비교",""))))</f>
        <v/>
      </c>
      <c r="R555" s="9">
        <f>IF(Q555="","",$K555&amp;"")</f>
        <v/>
      </c>
      <c r="S555" s="9">
        <f>IF(Q555="","",IF(MATCH(R555,$R$5:$R$100000,0)=ROW()-4,ROW(),""))</f>
        <v/>
      </c>
      <c r="T555" s="9">
        <f>IF(Q555="당기",ABS(P555)+ROW()/1000000000,"")</f>
        <v/>
      </c>
      <c r="U555" s="9">
        <f>IF(Q555="비교",ABS(P555)+ROW()/1000000000,"")</f>
        <v/>
      </c>
      <c r="V555" s="39">
        <f>IF($A555="","",IF(COUNTIF(변동분석!$E$7:$E$506,O555)&gt;0,"Y","N"))</f>
        <v/>
      </c>
      <c r="W555" s="39">
        <f>IF($A555="","",IFERROR(INDEX(계정매핑!$D$5:$D$504,MATCH($F555&amp;"",계정매핑!$A$5:$A$504,0)),"미매핑"))</f>
        <v/>
      </c>
      <c r="X555" s="9">
        <f>IF($A555="","",$F555&amp;"")</f>
        <v/>
      </c>
    </row>
    <row r="556">
      <c r="A556" s="75" t="n">
        <v>2025</v>
      </c>
      <c r="B556" s="75" t="n">
        <v>3</v>
      </c>
      <c r="C556" s="75" t="inlineStr">
        <is>
          <t>5100000552</t>
        </is>
      </c>
      <c r="D556" s="78" t="n">
        <v>45739</v>
      </c>
      <c r="E556" s="75" t="inlineStr">
        <is>
          <t>KR</t>
        </is>
      </c>
      <c r="F556" s="75" t="n">
        <v>62201000</v>
      </c>
      <c r="G556" s="75" t="n">
        <v>1101</v>
      </c>
      <c r="H556" s="76" t="n">
        <v>299000</v>
      </c>
      <c r="I556" s="75" t="inlineStr">
        <is>
          <t>3월 통신요금 - O텔레콤</t>
        </is>
      </c>
      <c r="J556" s="75" t="inlineStr">
        <is>
          <t>V10002</t>
        </is>
      </c>
      <c r="K556" s="75" t="inlineStr">
        <is>
          <t>O텔레콤</t>
        </is>
      </c>
      <c r="M556" s="9">
        <f>IF($A556="","",VALUE($A556&amp;"")*12+VALUE($B556&amp;""))</f>
        <v/>
      </c>
      <c r="N556" s="39">
        <f>IF($A556="","",IFERROR(INDEX(부서매핑!$C$5:$C$504,MATCH($G556&amp;"",부서매핑!$A$5:$A$504,0)),"미매핑"))</f>
        <v/>
      </c>
      <c r="O556" s="9">
        <f>IF($A556="","",N556&amp;"|"&amp;$F556)</f>
        <v/>
      </c>
      <c r="P556" s="77">
        <f>IF($A556="",0,$H556*설정!$C$23)</f>
        <v/>
      </c>
      <c r="Q556" s="39">
        <f>IF($A556="","",IF(O556&lt;&gt;원인분석!$C$9,"",IF(AND(M556&gt;=원인분석!$C$10,M556&lt;=원인분석!$C$11),"당기",IF(AND(M556&gt;=원인분석!$C$12,M556&lt;=원인분석!$C$13),"비교",""))))</f>
        <v/>
      </c>
      <c r="R556" s="9">
        <f>IF(Q556="","",$K556&amp;"")</f>
        <v/>
      </c>
      <c r="S556" s="9">
        <f>IF(Q556="","",IF(MATCH(R556,$R$5:$R$100000,0)=ROW()-4,ROW(),""))</f>
        <v/>
      </c>
      <c r="T556" s="9">
        <f>IF(Q556="당기",ABS(P556)+ROW()/1000000000,"")</f>
        <v/>
      </c>
      <c r="U556" s="9">
        <f>IF(Q556="비교",ABS(P556)+ROW()/1000000000,"")</f>
        <v/>
      </c>
      <c r="V556" s="39">
        <f>IF($A556="","",IF(COUNTIF(변동분석!$E$7:$E$506,O556)&gt;0,"Y","N"))</f>
        <v/>
      </c>
      <c r="W556" s="39">
        <f>IF($A556="","",IFERROR(INDEX(계정매핑!$D$5:$D$504,MATCH($F556&amp;"",계정매핑!$A$5:$A$504,0)),"미매핑"))</f>
        <v/>
      </c>
      <c r="X556" s="9">
        <f>IF($A556="","",$F556&amp;"")</f>
        <v/>
      </c>
    </row>
    <row r="557">
      <c r="A557" s="75" t="n">
        <v>2025</v>
      </c>
      <c r="B557" s="75" t="n">
        <v>3</v>
      </c>
      <c r="C557" s="75" t="inlineStr">
        <is>
          <t>5100000553</t>
        </is>
      </c>
      <c r="D557" s="78" t="n">
        <v>45739</v>
      </c>
      <c r="E557" s="75" t="inlineStr">
        <is>
          <t>KR</t>
        </is>
      </c>
      <c r="F557" s="75" t="n">
        <v>62201000</v>
      </c>
      <c r="G557" s="75" t="n">
        <v>1602</v>
      </c>
      <c r="H557" s="76" t="n">
        <v>740000</v>
      </c>
      <c r="I557" s="75" t="inlineStr">
        <is>
          <t>3월 통신요금 - P통신</t>
        </is>
      </c>
      <c r="J557" s="75" t="inlineStr">
        <is>
          <t>V10011</t>
        </is>
      </c>
      <c r="K557" s="75" t="inlineStr">
        <is>
          <t>P통신</t>
        </is>
      </c>
      <c r="M557" s="9">
        <f>IF($A557="","",VALUE($A557&amp;"")*12+VALUE($B557&amp;""))</f>
        <v/>
      </c>
      <c r="N557" s="39">
        <f>IF($A557="","",IFERROR(INDEX(부서매핑!$C$5:$C$504,MATCH($G557&amp;"",부서매핑!$A$5:$A$504,0)),"미매핑"))</f>
        <v/>
      </c>
      <c r="O557" s="9">
        <f>IF($A557="","",N557&amp;"|"&amp;$F557)</f>
        <v/>
      </c>
      <c r="P557" s="77">
        <f>IF($A557="",0,$H557*설정!$C$23)</f>
        <v/>
      </c>
      <c r="Q557" s="39">
        <f>IF($A557="","",IF(O557&lt;&gt;원인분석!$C$9,"",IF(AND(M557&gt;=원인분석!$C$10,M557&lt;=원인분석!$C$11),"당기",IF(AND(M557&gt;=원인분석!$C$12,M557&lt;=원인분석!$C$13),"비교",""))))</f>
        <v/>
      </c>
      <c r="R557" s="9">
        <f>IF(Q557="","",$K557&amp;"")</f>
        <v/>
      </c>
      <c r="S557" s="9">
        <f>IF(Q557="","",IF(MATCH(R557,$R$5:$R$100000,0)=ROW()-4,ROW(),""))</f>
        <v/>
      </c>
      <c r="T557" s="9">
        <f>IF(Q557="당기",ABS(P557)+ROW()/1000000000,"")</f>
        <v/>
      </c>
      <c r="U557" s="9">
        <f>IF(Q557="비교",ABS(P557)+ROW()/1000000000,"")</f>
        <v/>
      </c>
      <c r="V557" s="39">
        <f>IF($A557="","",IF(COUNTIF(변동분석!$E$7:$E$506,O557)&gt;0,"Y","N"))</f>
        <v/>
      </c>
      <c r="W557" s="39">
        <f>IF($A557="","",IFERROR(INDEX(계정매핑!$D$5:$D$504,MATCH($F557&amp;"",계정매핑!$A$5:$A$504,0)),"미매핑"))</f>
        <v/>
      </c>
      <c r="X557" s="9">
        <f>IF($A557="","",$F557&amp;"")</f>
        <v/>
      </c>
    </row>
    <row r="558">
      <c r="A558" s="75" t="n">
        <v>2025</v>
      </c>
      <c r="B558" s="75" t="n">
        <v>3</v>
      </c>
      <c r="C558" s="75" t="inlineStr">
        <is>
          <t>5100000554</t>
        </is>
      </c>
      <c r="D558" s="78" t="n">
        <v>45739</v>
      </c>
      <c r="E558" s="75" t="inlineStr">
        <is>
          <t>KR</t>
        </is>
      </c>
      <c r="F558" s="75" t="n">
        <v>62401000</v>
      </c>
      <c r="G558" s="75" t="n">
        <v>1401</v>
      </c>
      <c r="H558" s="76" t="n">
        <v>165000</v>
      </c>
      <c r="I558" s="75" t="inlineStr">
        <is>
          <t>3월 인쇄물 제작 - G인쇄</t>
        </is>
      </c>
      <c r="J558" s="75" t="inlineStr">
        <is>
          <t>V10004</t>
        </is>
      </c>
      <c r="K558" s="75" t="inlineStr">
        <is>
          <t>G인쇄</t>
        </is>
      </c>
      <c r="M558" s="9">
        <f>IF($A558="","",VALUE($A558&amp;"")*12+VALUE($B558&amp;""))</f>
        <v/>
      </c>
      <c r="N558" s="39">
        <f>IF($A558="","",IFERROR(INDEX(부서매핑!$C$5:$C$504,MATCH($G558&amp;"",부서매핑!$A$5:$A$504,0)),"미매핑"))</f>
        <v/>
      </c>
      <c r="O558" s="9">
        <f>IF($A558="","",N558&amp;"|"&amp;$F558)</f>
        <v/>
      </c>
      <c r="P558" s="77">
        <f>IF($A558="",0,$H558*설정!$C$23)</f>
        <v/>
      </c>
      <c r="Q558" s="39">
        <f>IF($A558="","",IF(O558&lt;&gt;원인분석!$C$9,"",IF(AND(M558&gt;=원인분석!$C$10,M558&lt;=원인분석!$C$11),"당기",IF(AND(M558&gt;=원인분석!$C$12,M558&lt;=원인분석!$C$13),"비교",""))))</f>
        <v/>
      </c>
      <c r="R558" s="9">
        <f>IF(Q558="","",$K558&amp;"")</f>
        <v/>
      </c>
      <c r="S558" s="9">
        <f>IF(Q558="","",IF(MATCH(R558,$R$5:$R$100000,0)=ROW()-4,ROW(),""))</f>
        <v/>
      </c>
      <c r="T558" s="9">
        <f>IF(Q558="당기",ABS(P558)+ROW()/1000000000,"")</f>
        <v/>
      </c>
      <c r="U558" s="9">
        <f>IF(Q558="비교",ABS(P558)+ROW()/1000000000,"")</f>
        <v/>
      </c>
      <c r="V558" s="39">
        <f>IF($A558="","",IF(COUNTIF(변동분석!$E$7:$E$506,O558)&gt;0,"Y","N"))</f>
        <v/>
      </c>
      <c r="W558" s="39">
        <f>IF($A558="","",IFERROR(INDEX(계정매핑!$D$5:$D$504,MATCH($F558&amp;"",계정매핑!$A$5:$A$504,0)),"미매핑"))</f>
        <v/>
      </c>
      <c r="X558" s="9">
        <f>IF($A558="","",$F558&amp;"")</f>
        <v/>
      </c>
    </row>
    <row r="559">
      <c r="A559" s="75" t="n">
        <v>2025</v>
      </c>
      <c r="B559" s="75" t="n">
        <v>3</v>
      </c>
      <c r="C559" s="75" t="inlineStr">
        <is>
          <t>5100000555</t>
        </is>
      </c>
      <c r="D559" s="78" t="n">
        <v>45739</v>
      </c>
      <c r="E559" s="75" t="inlineStr">
        <is>
          <t>KR</t>
        </is>
      </c>
      <c r="F559" s="75" t="n">
        <v>62901000</v>
      </c>
      <c r="G559" s="75" t="n">
        <v>1101</v>
      </c>
      <c r="H559" s="76" t="n">
        <v>3493000</v>
      </c>
      <c r="I559" s="75" t="inlineStr">
        <is>
          <t>3월 자문 수수료 - K회계법인</t>
        </is>
      </c>
      <c r="J559" s="75" t="inlineStr">
        <is>
          <t>V10010</t>
        </is>
      </c>
      <c r="K559" s="75" t="inlineStr">
        <is>
          <t>K회계법인</t>
        </is>
      </c>
      <c r="M559" s="9">
        <f>IF($A559="","",VALUE($A559&amp;"")*12+VALUE($B559&amp;""))</f>
        <v/>
      </c>
      <c r="N559" s="39">
        <f>IF($A559="","",IFERROR(INDEX(부서매핑!$C$5:$C$504,MATCH($G559&amp;"",부서매핑!$A$5:$A$504,0)),"미매핑"))</f>
        <v/>
      </c>
      <c r="O559" s="9">
        <f>IF($A559="","",N559&amp;"|"&amp;$F559)</f>
        <v/>
      </c>
      <c r="P559" s="77">
        <f>IF($A559="",0,$H559*설정!$C$23)</f>
        <v/>
      </c>
      <c r="Q559" s="39">
        <f>IF($A559="","",IF(O559&lt;&gt;원인분석!$C$9,"",IF(AND(M559&gt;=원인분석!$C$10,M559&lt;=원인분석!$C$11),"당기",IF(AND(M559&gt;=원인분석!$C$12,M559&lt;=원인분석!$C$13),"비교",""))))</f>
        <v/>
      </c>
      <c r="R559" s="9">
        <f>IF(Q559="","",$K559&amp;"")</f>
        <v/>
      </c>
      <c r="S559" s="9">
        <f>IF(Q559="","",IF(MATCH(R559,$R$5:$R$100000,0)=ROW()-4,ROW(),""))</f>
        <v/>
      </c>
      <c r="T559" s="9">
        <f>IF(Q559="당기",ABS(P559)+ROW()/1000000000,"")</f>
        <v/>
      </c>
      <c r="U559" s="9">
        <f>IF(Q559="비교",ABS(P559)+ROW()/1000000000,"")</f>
        <v/>
      </c>
      <c r="V559" s="39">
        <f>IF($A559="","",IF(COUNTIF(변동분석!$E$7:$E$506,O559)&gt;0,"Y","N"))</f>
        <v/>
      </c>
      <c r="W559" s="39">
        <f>IF($A559="","",IFERROR(INDEX(계정매핑!$D$5:$D$504,MATCH($F559&amp;"",계정매핑!$A$5:$A$504,0)),"미매핑"))</f>
        <v/>
      </c>
      <c r="X559" s="9">
        <f>IF($A559="","",$F559&amp;"")</f>
        <v/>
      </c>
    </row>
    <row r="560">
      <c r="A560" s="75" t="n">
        <v>2025</v>
      </c>
      <c r="B560" s="75" t="n">
        <v>3</v>
      </c>
      <c r="C560" s="75" t="inlineStr">
        <is>
          <t>5100000556</t>
        </is>
      </c>
      <c r="D560" s="78" t="n">
        <v>45739</v>
      </c>
      <c r="E560" s="75" t="inlineStr">
        <is>
          <t>KR</t>
        </is>
      </c>
      <c r="F560" s="75" t="n">
        <v>62901000</v>
      </c>
      <c r="G560" s="75" t="n">
        <v>1401</v>
      </c>
      <c r="H560" s="76" t="n">
        <v>4803000</v>
      </c>
      <c r="I560" s="75" t="inlineStr">
        <is>
          <t>3월 자문 수수료 - K회계법인</t>
        </is>
      </c>
      <c r="J560" s="75" t="inlineStr">
        <is>
          <t>V10010</t>
        </is>
      </c>
      <c r="K560" s="75" t="inlineStr">
        <is>
          <t>K회계법인</t>
        </is>
      </c>
      <c r="M560" s="9">
        <f>IF($A560="","",VALUE($A560&amp;"")*12+VALUE($B560&amp;""))</f>
        <v/>
      </c>
      <c r="N560" s="39">
        <f>IF($A560="","",IFERROR(INDEX(부서매핑!$C$5:$C$504,MATCH($G560&amp;"",부서매핑!$A$5:$A$504,0)),"미매핑"))</f>
        <v/>
      </c>
      <c r="O560" s="9">
        <f>IF($A560="","",N560&amp;"|"&amp;$F560)</f>
        <v/>
      </c>
      <c r="P560" s="77">
        <f>IF($A560="",0,$H560*설정!$C$23)</f>
        <v/>
      </c>
      <c r="Q560" s="39">
        <f>IF($A560="","",IF(O560&lt;&gt;원인분석!$C$9,"",IF(AND(M560&gt;=원인분석!$C$10,M560&lt;=원인분석!$C$11),"당기",IF(AND(M560&gt;=원인분석!$C$12,M560&lt;=원인분석!$C$13),"비교",""))))</f>
        <v/>
      </c>
      <c r="R560" s="9">
        <f>IF(Q560="","",$K560&amp;"")</f>
        <v/>
      </c>
      <c r="S560" s="9">
        <f>IF(Q560="","",IF(MATCH(R560,$R$5:$R$100000,0)=ROW()-4,ROW(),""))</f>
        <v/>
      </c>
      <c r="T560" s="9">
        <f>IF(Q560="당기",ABS(P560)+ROW()/1000000000,"")</f>
        <v/>
      </c>
      <c r="U560" s="9">
        <f>IF(Q560="비교",ABS(P560)+ROW()/1000000000,"")</f>
        <v/>
      </c>
      <c r="V560" s="39">
        <f>IF($A560="","",IF(COUNTIF(변동분석!$E$7:$E$506,O560)&gt;0,"Y","N"))</f>
        <v/>
      </c>
      <c r="W560" s="39">
        <f>IF($A560="","",IFERROR(INDEX(계정매핑!$D$5:$D$504,MATCH($F560&amp;"",계정매핑!$A$5:$A$504,0)),"미매핑"))</f>
        <v/>
      </c>
      <c r="X560" s="9">
        <f>IF($A560="","",$F560&amp;"")</f>
        <v/>
      </c>
    </row>
    <row r="561">
      <c r="A561" s="75" t="n">
        <v>2025</v>
      </c>
      <c r="B561" s="75" t="n">
        <v>3</v>
      </c>
      <c r="C561" s="75" t="inlineStr">
        <is>
          <t>5100000557</t>
        </is>
      </c>
      <c r="D561" s="78" t="n">
        <v>45739</v>
      </c>
      <c r="E561" s="75" t="inlineStr">
        <is>
          <t>KR</t>
        </is>
      </c>
      <c r="F561" s="75" t="n">
        <v>62901000</v>
      </c>
      <c r="G561" s="75" t="n">
        <v>1401</v>
      </c>
      <c r="H561" s="76" t="n">
        <v>5324000</v>
      </c>
      <c r="I561" s="75" t="inlineStr">
        <is>
          <t>3월 자문 수수료 - W컨설팅</t>
        </is>
      </c>
      <c r="J561" s="75" t="inlineStr">
        <is>
          <t>V10009</t>
        </is>
      </c>
      <c r="K561" s="75" t="inlineStr">
        <is>
          <t>W컨설팅</t>
        </is>
      </c>
      <c r="M561" s="9">
        <f>IF($A561="","",VALUE($A561&amp;"")*12+VALUE($B561&amp;""))</f>
        <v/>
      </c>
      <c r="N561" s="39">
        <f>IF($A561="","",IFERROR(INDEX(부서매핑!$C$5:$C$504,MATCH($G561&amp;"",부서매핑!$A$5:$A$504,0)),"미매핑"))</f>
        <v/>
      </c>
      <c r="O561" s="9">
        <f>IF($A561="","",N561&amp;"|"&amp;$F561)</f>
        <v/>
      </c>
      <c r="P561" s="77">
        <f>IF($A561="",0,$H561*설정!$C$23)</f>
        <v/>
      </c>
      <c r="Q561" s="39">
        <f>IF($A561="","",IF(O561&lt;&gt;원인분석!$C$9,"",IF(AND(M561&gt;=원인분석!$C$10,M561&lt;=원인분석!$C$11),"당기",IF(AND(M561&gt;=원인분석!$C$12,M561&lt;=원인분석!$C$13),"비교",""))))</f>
        <v/>
      </c>
      <c r="R561" s="9">
        <f>IF(Q561="","",$K561&amp;"")</f>
        <v/>
      </c>
      <c r="S561" s="9">
        <f>IF(Q561="","",IF(MATCH(R561,$R$5:$R$100000,0)=ROW()-4,ROW(),""))</f>
        <v/>
      </c>
      <c r="T561" s="9">
        <f>IF(Q561="당기",ABS(P561)+ROW()/1000000000,"")</f>
        <v/>
      </c>
      <c r="U561" s="9">
        <f>IF(Q561="비교",ABS(P561)+ROW()/1000000000,"")</f>
        <v/>
      </c>
      <c r="V561" s="39">
        <f>IF($A561="","",IF(COUNTIF(변동분석!$E$7:$E$506,O561)&gt;0,"Y","N"))</f>
        <v/>
      </c>
      <c r="W561" s="39">
        <f>IF($A561="","",IFERROR(INDEX(계정매핑!$D$5:$D$504,MATCH($F561&amp;"",계정매핑!$A$5:$A$504,0)),"미매핑"))</f>
        <v/>
      </c>
      <c r="X561" s="9">
        <f>IF($A561="","",$F561&amp;"")</f>
        <v/>
      </c>
    </row>
    <row r="562">
      <c r="A562" s="75" t="n">
        <v>2025</v>
      </c>
      <c r="B562" s="75" t="n">
        <v>3</v>
      </c>
      <c r="C562" s="75" t="inlineStr">
        <is>
          <t>5100000558</t>
        </is>
      </c>
      <c r="D562" s="78" t="n">
        <v>45740</v>
      </c>
      <c r="E562" s="75" t="inlineStr">
        <is>
          <t>KR</t>
        </is>
      </c>
      <c r="F562" s="75" t="n">
        <v>62801000</v>
      </c>
      <c r="G562" s="75" t="n">
        <v>1301</v>
      </c>
      <c r="H562" s="76" t="n">
        <v>3212000</v>
      </c>
      <c r="I562" s="75" t="inlineStr">
        <is>
          <t>3월 사내교육 - U에듀</t>
        </is>
      </c>
      <c r="J562" s="75" t="inlineStr">
        <is>
          <t>V10026</t>
        </is>
      </c>
      <c r="K562" s="75" t="inlineStr">
        <is>
          <t>U에듀</t>
        </is>
      </c>
      <c r="M562" s="9">
        <f>IF($A562="","",VALUE($A562&amp;"")*12+VALUE($B562&amp;""))</f>
        <v/>
      </c>
      <c r="N562" s="39">
        <f>IF($A562="","",IFERROR(INDEX(부서매핑!$C$5:$C$504,MATCH($G562&amp;"",부서매핑!$A$5:$A$504,0)),"미매핑"))</f>
        <v/>
      </c>
      <c r="O562" s="9">
        <f>IF($A562="","",N562&amp;"|"&amp;$F562)</f>
        <v/>
      </c>
      <c r="P562" s="77">
        <f>IF($A562="",0,$H562*설정!$C$23)</f>
        <v/>
      </c>
      <c r="Q562" s="39">
        <f>IF($A562="","",IF(O562&lt;&gt;원인분석!$C$9,"",IF(AND(M562&gt;=원인분석!$C$10,M562&lt;=원인분석!$C$11),"당기",IF(AND(M562&gt;=원인분석!$C$12,M562&lt;=원인분석!$C$13),"비교",""))))</f>
        <v/>
      </c>
      <c r="R562" s="9">
        <f>IF(Q562="","",$K562&amp;"")</f>
        <v/>
      </c>
      <c r="S562" s="9">
        <f>IF(Q562="","",IF(MATCH(R562,$R$5:$R$100000,0)=ROW()-4,ROW(),""))</f>
        <v/>
      </c>
      <c r="T562" s="9">
        <f>IF(Q562="당기",ABS(P562)+ROW()/1000000000,"")</f>
        <v/>
      </c>
      <c r="U562" s="9">
        <f>IF(Q562="비교",ABS(P562)+ROW()/1000000000,"")</f>
        <v/>
      </c>
      <c r="V562" s="39">
        <f>IF($A562="","",IF(COUNTIF(변동분석!$E$7:$E$506,O562)&gt;0,"Y","N"))</f>
        <v/>
      </c>
      <c r="W562" s="39">
        <f>IF($A562="","",IFERROR(INDEX(계정매핑!$D$5:$D$504,MATCH($F562&amp;"",계정매핑!$A$5:$A$504,0)),"미매핑"))</f>
        <v/>
      </c>
      <c r="X562" s="9">
        <f>IF($A562="","",$F562&amp;"")</f>
        <v/>
      </c>
    </row>
    <row r="563">
      <c r="A563" s="75" t="n">
        <v>2025</v>
      </c>
      <c r="B563" s="75" t="n">
        <v>3</v>
      </c>
      <c r="C563" s="75" t="inlineStr">
        <is>
          <t>5100000559</t>
        </is>
      </c>
      <c r="D563" s="78" t="n">
        <v>45740</v>
      </c>
      <c r="E563" s="75" t="inlineStr">
        <is>
          <t>KR</t>
        </is>
      </c>
      <c r="F563" s="75" t="n">
        <v>62802000</v>
      </c>
      <c r="G563" s="75" t="n">
        <v>1301</v>
      </c>
      <c r="H563" s="76" t="n">
        <v>6005000</v>
      </c>
      <c r="I563" s="75" t="inlineStr">
        <is>
          <t>3월 위탁교육 - I교육원</t>
        </is>
      </c>
      <c r="J563" s="75" t="inlineStr">
        <is>
          <t>V10015</t>
        </is>
      </c>
      <c r="K563" s="75" t="inlineStr">
        <is>
          <t>I교육원</t>
        </is>
      </c>
      <c r="M563" s="9">
        <f>IF($A563="","",VALUE($A563&amp;"")*12+VALUE($B563&amp;""))</f>
        <v/>
      </c>
      <c r="N563" s="39">
        <f>IF($A563="","",IFERROR(INDEX(부서매핑!$C$5:$C$504,MATCH($G563&amp;"",부서매핑!$A$5:$A$504,0)),"미매핑"))</f>
        <v/>
      </c>
      <c r="O563" s="9">
        <f>IF($A563="","",N563&amp;"|"&amp;$F563)</f>
        <v/>
      </c>
      <c r="P563" s="77">
        <f>IF($A563="",0,$H563*설정!$C$23)</f>
        <v/>
      </c>
      <c r="Q563" s="39">
        <f>IF($A563="","",IF(O563&lt;&gt;원인분석!$C$9,"",IF(AND(M563&gt;=원인분석!$C$10,M563&lt;=원인분석!$C$11),"당기",IF(AND(M563&gt;=원인분석!$C$12,M563&lt;=원인분석!$C$13),"비교",""))))</f>
        <v/>
      </c>
      <c r="R563" s="9">
        <f>IF(Q563="","",$K563&amp;"")</f>
        <v/>
      </c>
      <c r="S563" s="9">
        <f>IF(Q563="","",IF(MATCH(R563,$R$5:$R$100000,0)=ROW()-4,ROW(),""))</f>
        <v/>
      </c>
      <c r="T563" s="9">
        <f>IF(Q563="당기",ABS(P563)+ROW()/1000000000,"")</f>
        <v/>
      </c>
      <c r="U563" s="9">
        <f>IF(Q563="비교",ABS(P563)+ROW()/1000000000,"")</f>
        <v/>
      </c>
      <c r="V563" s="39">
        <f>IF($A563="","",IF(COUNTIF(변동분석!$E$7:$E$506,O563)&gt;0,"Y","N"))</f>
        <v/>
      </c>
      <c r="W563" s="39">
        <f>IF($A563="","",IFERROR(INDEX(계정매핑!$D$5:$D$504,MATCH($F563&amp;"",계정매핑!$A$5:$A$504,0)),"미매핑"))</f>
        <v/>
      </c>
      <c r="X563" s="9">
        <f>IF($A563="","",$F563&amp;"")</f>
        <v/>
      </c>
    </row>
    <row r="564">
      <c r="A564" s="75" t="n">
        <v>2025</v>
      </c>
      <c r="B564" s="75" t="n">
        <v>3</v>
      </c>
      <c r="C564" s="75" t="inlineStr">
        <is>
          <t>5100000560</t>
        </is>
      </c>
      <c r="D564" s="78" t="n">
        <v>45741</v>
      </c>
      <c r="E564" s="75" t="inlineStr">
        <is>
          <t>KR</t>
        </is>
      </c>
      <c r="F564" s="75" t="n">
        <v>62101000</v>
      </c>
      <c r="G564" s="75" t="n">
        <v>1401</v>
      </c>
      <c r="H564" s="76" t="n">
        <v>235000</v>
      </c>
      <c r="I564" s="75" t="inlineStr">
        <is>
          <t>3월 국내출장 - L여행사</t>
        </is>
      </c>
      <c r="J564" s="75" t="inlineStr">
        <is>
          <t>V10014</t>
        </is>
      </c>
      <c r="K564" s="75" t="inlineStr">
        <is>
          <t>L여행사</t>
        </is>
      </c>
      <c r="M564" s="9">
        <f>IF($A564="","",VALUE($A564&amp;"")*12+VALUE($B564&amp;""))</f>
        <v/>
      </c>
      <c r="N564" s="39">
        <f>IF($A564="","",IFERROR(INDEX(부서매핑!$C$5:$C$504,MATCH($G564&amp;"",부서매핑!$A$5:$A$504,0)),"미매핑"))</f>
        <v/>
      </c>
      <c r="O564" s="9">
        <f>IF($A564="","",N564&amp;"|"&amp;$F564)</f>
        <v/>
      </c>
      <c r="P564" s="77">
        <f>IF($A564="",0,$H564*설정!$C$23)</f>
        <v/>
      </c>
      <c r="Q564" s="39">
        <f>IF($A564="","",IF(O564&lt;&gt;원인분석!$C$9,"",IF(AND(M564&gt;=원인분석!$C$10,M564&lt;=원인분석!$C$11),"당기",IF(AND(M564&gt;=원인분석!$C$12,M564&lt;=원인분석!$C$13),"비교",""))))</f>
        <v/>
      </c>
      <c r="R564" s="9">
        <f>IF(Q564="","",$K564&amp;"")</f>
        <v/>
      </c>
      <c r="S564" s="9">
        <f>IF(Q564="","",IF(MATCH(R564,$R$5:$R$100000,0)=ROW()-4,ROW(),""))</f>
        <v/>
      </c>
      <c r="T564" s="9">
        <f>IF(Q564="당기",ABS(P564)+ROW()/1000000000,"")</f>
        <v/>
      </c>
      <c r="U564" s="9">
        <f>IF(Q564="비교",ABS(P564)+ROW()/1000000000,"")</f>
        <v/>
      </c>
      <c r="V564" s="39">
        <f>IF($A564="","",IF(COUNTIF(변동분석!$E$7:$E$506,O564)&gt;0,"Y","N"))</f>
        <v/>
      </c>
      <c r="W564" s="39">
        <f>IF($A564="","",IFERROR(INDEX(계정매핑!$D$5:$D$504,MATCH($F564&amp;"",계정매핑!$A$5:$A$504,0)),"미매핑"))</f>
        <v/>
      </c>
      <c r="X564" s="9">
        <f>IF($A564="","",$F564&amp;"")</f>
        <v/>
      </c>
    </row>
    <row r="565">
      <c r="A565" s="75" t="n">
        <v>2025</v>
      </c>
      <c r="B565" s="75" t="n">
        <v>3</v>
      </c>
      <c r="C565" s="75" t="inlineStr">
        <is>
          <t>5100000561</t>
        </is>
      </c>
      <c r="D565" s="78" t="n">
        <v>45741</v>
      </c>
      <c r="E565" s="75" t="inlineStr">
        <is>
          <t>KR</t>
        </is>
      </c>
      <c r="F565" s="75" t="n">
        <v>62101000</v>
      </c>
      <c r="G565" s="75" t="n">
        <v>1502</v>
      </c>
      <c r="H565" s="76" t="n">
        <v>646000</v>
      </c>
      <c r="I565" s="75" t="inlineStr">
        <is>
          <t>3월 국내출장 - M항공</t>
        </is>
      </c>
      <c r="J565" s="75" t="inlineStr">
        <is>
          <t>V10001</t>
        </is>
      </c>
      <c r="K565" s="75" t="inlineStr">
        <is>
          <t>M항공</t>
        </is>
      </c>
      <c r="M565" s="9">
        <f>IF($A565="","",VALUE($A565&amp;"")*12+VALUE($B565&amp;""))</f>
        <v/>
      </c>
      <c r="N565" s="39">
        <f>IF($A565="","",IFERROR(INDEX(부서매핑!$C$5:$C$504,MATCH($G565&amp;"",부서매핑!$A$5:$A$504,0)),"미매핑"))</f>
        <v/>
      </c>
      <c r="O565" s="9">
        <f>IF($A565="","",N565&amp;"|"&amp;$F565)</f>
        <v/>
      </c>
      <c r="P565" s="77">
        <f>IF($A565="",0,$H565*설정!$C$23)</f>
        <v/>
      </c>
      <c r="Q565" s="39">
        <f>IF($A565="","",IF(O565&lt;&gt;원인분석!$C$9,"",IF(AND(M565&gt;=원인분석!$C$10,M565&lt;=원인분석!$C$11),"당기",IF(AND(M565&gt;=원인분석!$C$12,M565&lt;=원인분석!$C$13),"비교",""))))</f>
        <v/>
      </c>
      <c r="R565" s="9">
        <f>IF(Q565="","",$K565&amp;"")</f>
        <v/>
      </c>
      <c r="S565" s="9">
        <f>IF(Q565="","",IF(MATCH(R565,$R$5:$R$100000,0)=ROW()-4,ROW(),""))</f>
        <v/>
      </c>
      <c r="T565" s="9">
        <f>IF(Q565="당기",ABS(P565)+ROW()/1000000000,"")</f>
        <v/>
      </c>
      <c r="U565" s="9">
        <f>IF(Q565="비교",ABS(P565)+ROW()/1000000000,"")</f>
        <v/>
      </c>
      <c r="V565" s="39">
        <f>IF($A565="","",IF(COUNTIF(변동분석!$E$7:$E$506,O565)&gt;0,"Y","N"))</f>
        <v/>
      </c>
      <c r="W565" s="39">
        <f>IF($A565="","",IFERROR(INDEX(계정매핑!$D$5:$D$504,MATCH($F565&amp;"",계정매핑!$A$5:$A$504,0)),"미매핑"))</f>
        <v/>
      </c>
      <c r="X565" s="9">
        <f>IF($A565="","",$F565&amp;"")</f>
        <v/>
      </c>
    </row>
    <row r="566">
      <c r="A566" s="75" t="n">
        <v>2025</v>
      </c>
      <c r="B566" s="75" t="n">
        <v>3</v>
      </c>
      <c r="C566" s="75" t="inlineStr">
        <is>
          <t>5100000562</t>
        </is>
      </c>
      <c r="D566" s="78" t="n">
        <v>45741</v>
      </c>
      <c r="E566" s="75" t="inlineStr">
        <is>
          <t>KR</t>
        </is>
      </c>
      <c r="F566" s="75" t="n">
        <v>62101000</v>
      </c>
      <c r="G566" s="75" t="n">
        <v>1602</v>
      </c>
      <c r="H566" s="76" t="n">
        <v>1284000</v>
      </c>
      <c r="I566" s="75" t="inlineStr">
        <is>
          <t>3월 국내출장 - L여행사</t>
        </is>
      </c>
      <c r="J566" s="75" t="inlineStr">
        <is>
          <t>V10014</t>
        </is>
      </c>
      <c r="K566" s="75" t="inlineStr">
        <is>
          <t>L여행사</t>
        </is>
      </c>
      <c r="M566" s="9">
        <f>IF($A566="","",VALUE($A566&amp;"")*12+VALUE($B566&amp;""))</f>
        <v/>
      </c>
      <c r="N566" s="39">
        <f>IF($A566="","",IFERROR(INDEX(부서매핑!$C$5:$C$504,MATCH($G566&amp;"",부서매핑!$A$5:$A$504,0)),"미매핑"))</f>
        <v/>
      </c>
      <c r="O566" s="9">
        <f>IF($A566="","",N566&amp;"|"&amp;$F566)</f>
        <v/>
      </c>
      <c r="P566" s="77">
        <f>IF($A566="",0,$H566*설정!$C$23)</f>
        <v/>
      </c>
      <c r="Q566" s="39">
        <f>IF($A566="","",IF(O566&lt;&gt;원인분석!$C$9,"",IF(AND(M566&gt;=원인분석!$C$10,M566&lt;=원인분석!$C$11),"당기",IF(AND(M566&gt;=원인분석!$C$12,M566&lt;=원인분석!$C$13),"비교",""))))</f>
        <v/>
      </c>
      <c r="R566" s="9">
        <f>IF(Q566="","",$K566&amp;"")</f>
        <v/>
      </c>
      <c r="S566" s="9">
        <f>IF(Q566="","",IF(MATCH(R566,$R$5:$R$100000,0)=ROW()-4,ROW(),""))</f>
        <v/>
      </c>
      <c r="T566" s="9">
        <f>IF(Q566="당기",ABS(P566)+ROW()/1000000000,"")</f>
        <v/>
      </c>
      <c r="U566" s="9">
        <f>IF(Q566="비교",ABS(P566)+ROW()/1000000000,"")</f>
        <v/>
      </c>
      <c r="V566" s="39">
        <f>IF($A566="","",IF(COUNTIF(변동분석!$E$7:$E$506,O566)&gt;0,"Y","N"))</f>
        <v/>
      </c>
      <c r="W566" s="39">
        <f>IF($A566="","",IFERROR(INDEX(계정매핑!$D$5:$D$504,MATCH($F566&amp;"",계정매핑!$A$5:$A$504,0)),"미매핑"))</f>
        <v/>
      </c>
      <c r="X566" s="9">
        <f>IF($A566="","",$F566&amp;"")</f>
        <v/>
      </c>
    </row>
    <row r="567">
      <c r="A567" s="75" t="n">
        <v>2025</v>
      </c>
      <c r="B567" s="75" t="n">
        <v>3</v>
      </c>
      <c r="C567" s="75" t="inlineStr">
        <is>
          <t>5100000563</t>
        </is>
      </c>
      <c r="D567" s="78" t="n">
        <v>45741</v>
      </c>
      <c r="E567" s="75" t="inlineStr">
        <is>
          <t>KR</t>
        </is>
      </c>
      <c r="F567" s="75" t="n">
        <v>62101000</v>
      </c>
      <c r="G567" s="75" t="n">
        <v>1801</v>
      </c>
      <c r="H567" s="76" t="n">
        <v>174000</v>
      </c>
      <c r="I567" s="75" t="inlineStr">
        <is>
          <t>3월 국내출장 - (법인카드)</t>
        </is>
      </c>
      <c r="J567" s="75" t="inlineStr">
        <is>
          <t>V10008</t>
        </is>
      </c>
      <c r="K567" s="75" t="inlineStr">
        <is>
          <t>(법인카드)</t>
        </is>
      </c>
      <c r="M567" s="9">
        <f>IF($A567="","",VALUE($A567&amp;"")*12+VALUE($B567&amp;""))</f>
        <v/>
      </c>
      <c r="N567" s="39">
        <f>IF($A567="","",IFERROR(INDEX(부서매핑!$C$5:$C$504,MATCH($G567&amp;"",부서매핑!$A$5:$A$504,0)),"미매핑"))</f>
        <v/>
      </c>
      <c r="O567" s="9">
        <f>IF($A567="","",N567&amp;"|"&amp;$F567)</f>
        <v/>
      </c>
      <c r="P567" s="77">
        <f>IF($A567="",0,$H567*설정!$C$23)</f>
        <v/>
      </c>
      <c r="Q567" s="39">
        <f>IF($A567="","",IF(O567&lt;&gt;원인분석!$C$9,"",IF(AND(M567&gt;=원인분석!$C$10,M567&lt;=원인분석!$C$11),"당기",IF(AND(M567&gt;=원인분석!$C$12,M567&lt;=원인분석!$C$13),"비교",""))))</f>
        <v/>
      </c>
      <c r="R567" s="9">
        <f>IF(Q567="","",$K567&amp;"")</f>
        <v/>
      </c>
      <c r="S567" s="9">
        <f>IF(Q567="","",IF(MATCH(R567,$R$5:$R$100000,0)=ROW()-4,ROW(),""))</f>
        <v/>
      </c>
      <c r="T567" s="9">
        <f>IF(Q567="당기",ABS(P567)+ROW()/1000000000,"")</f>
        <v/>
      </c>
      <c r="U567" s="9">
        <f>IF(Q567="비교",ABS(P567)+ROW()/1000000000,"")</f>
        <v/>
      </c>
      <c r="V567" s="39">
        <f>IF($A567="","",IF(COUNTIF(변동분석!$E$7:$E$506,O567)&gt;0,"Y","N"))</f>
        <v/>
      </c>
      <c r="W567" s="39">
        <f>IF($A567="","",IFERROR(INDEX(계정매핑!$D$5:$D$504,MATCH($F567&amp;"",계정매핑!$A$5:$A$504,0)),"미매핑"))</f>
        <v/>
      </c>
      <c r="X567" s="9">
        <f>IF($A567="","",$F567&amp;"")</f>
        <v/>
      </c>
    </row>
    <row r="568">
      <c r="A568" s="75" t="n">
        <v>2025</v>
      </c>
      <c r="B568" s="75" t="n">
        <v>3</v>
      </c>
      <c r="C568" s="75" t="inlineStr">
        <is>
          <t>5100000564</t>
        </is>
      </c>
      <c r="D568" s="78" t="n">
        <v>45741</v>
      </c>
      <c r="E568" s="75" t="inlineStr">
        <is>
          <t>KR</t>
        </is>
      </c>
      <c r="F568" s="75" t="n">
        <v>62102000</v>
      </c>
      <c r="G568" s="75" t="n">
        <v>1401</v>
      </c>
      <c r="H568" s="76" t="n">
        <v>108000</v>
      </c>
      <c r="I568" s="75" t="inlineStr">
        <is>
          <t>3월 해외출장 - M항공</t>
        </is>
      </c>
      <c r="J568" s="75" t="inlineStr">
        <is>
          <t>V10001</t>
        </is>
      </c>
      <c r="K568" s="75" t="inlineStr">
        <is>
          <t>M항공</t>
        </is>
      </c>
      <c r="M568" s="9">
        <f>IF($A568="","",VALUE($A568&amp;"")*12+VALUE($B568&amp;""))</f>
        <v/>
      </c>
      <c r="N568" s="39">
        <f>IF($A568="","",IFERROR(INDEX(부서매핑!$C$5:$C$504,MATCH($G568&amp;"",부서매핑!$A$5:$A$504,0)),"미매핑"))</f>
        <v/>
      </c>
      <c r="O568" s="9">
        <f>IF($A568="","",N568&amp;"|"&amp;$F568)</f>
        <v/>
      </c>
      <c r="P568" s="77">
        <f>IF($A568="",0,$H568*설정!$C$23)</f>
        <v/>
      </c>
      <c r="Q568" s="39">
        <f>IF($A568="","",IF(O568&lt;&gt;원인분석!$C$9,"",IF(AND(M568&gt;=원인분석!$C$10,M568&lt;=원인분석!$C$11),"당기",IF(AND(M568&gt;=원인분석!$C$12,M568&lt;=원인분석!$C$13),"비교",""))))</f>
        <v/>
      </c>
      <c r="R568" s="9">
        <f>IF(Q568="","",$K568&amp;"")</f>
        <v/>
      </c>
      <c r="S568" s="9">
        <f>IF(Q568="","",IF(MATCH(R568,$R$5:$R$100000,0)=ROW()-4,ROW(),""))</f>
        <v/>
      </c>
      <c r="T568" s="9">
        <f>IF(Q568="당기",ABS(P568)+ROW()/1000000000,"")</f>
        <v/>
      </c>
      <c r="U568" s="9">
        <f>IF(Q568="비교",ABS(P568)+ROW()/1000000000,"")</f>
        <v/>
      </c>
      <c r="V568" s="39">
        <f>IF($A568="","",IF(COUNTIF(변동분석!$E$7:$E$506,O568)&gt;0,"Y","N"))</f>
        <v/>
      </c>
      <c r="W568" s="39">
        <f>IF($A568="","",IFERROR(INDEX(계정매핑!$D$5:$D$504,MATCH($F568&amp;"",계정매핑!$A$5:$A$504,0)),"미매핑"))</f>
        <v/>
      </c>
      <c r="X568" s="9">
        <f>IF($A568="","",$F568&amp;"")</f>
        <v/>
      </c>
    </row>
    <row r="569">
      <c r="A569" s="75" t="n">
        <v>2025</v>
      </c>
      <c r="B569" s="75" t="n">
        <v>3</v>
      </c>
      <c r="C569" s="75" t="inlineStr">
        <is>
          <t>5100000565</t>
        </is>
      </c>
      <c r="D569" s="78" t="n">
        <v>45741</v>
      </c>
      <c r="E569" s="75" t="inlineStr">
        <is>
          <t>KR</t>
        </is>
      </c>
      <c r="F569" s="75" t="n">
        <v>62102000</v>
      </c>
      <c r="G569" s="75" t="n">
        <v>1602</v>
      </c>
      <c r="H569" s="76" t="n">
        <v>284000</v>
      </c>
      <c r="I569" s="75" t="inlineStr">
        <is>
          <t>3월 해외출장 - N호텔</t>
        </is>
      </c>
      <c r="J569" s="75" t="inlineStr">
        <is>
          <t>V10007</t>
        </is>
      </c>
      <c r="K569" s="75" t="inlineStr">
        <is>
          <t>N호텔</t>
        </is>
      </c>
      <c r="M569" s="9">
        <f>IF($A569="","",VALUE($A569&amp;"")*12+VALUE($B569&amp;""))</f>
        <v/>
      </c>
      <c r="N569" s="39">
        <f>IF($A569="","",IFERROR(INDEX(부서매핑!$C$5:$C$504,MATCH($G569&amp;"",부서매핑!$A$5:$A$504,0)),"미매핑"))</f>
        <v/>
      </c>
      <c r="O569" s="9">
        <f>IF($A569="","",N569&amp;"|"&amp;$F569)</f>
        <v/>
      </c>
      <c r="P569" s="77">
        <f>IF($A569="",0,$H569*설정!$C$23)</f>
        <v/>
      </c>
      <c r="Q569" s="39">
        <f>IF($A569="","",IF(O569&lt;&gt;원인분석!$C$9,"",IF(AND(M569&gt;=원인분석!$C$10,M569&lt;=원인분석!$C$11),"당기",IF(AND(M569&gt;=원인분석!$C$12,M569&lt;=원인분석!$C$13),"비교",""))))</f>
        <v/>
      </c>
      <c r="R569" s="9">
        <f>IF(Q569="","",$K569&amp;"")</f>
        <v/>
      </c>
      <c r="S569" s="9">
        <f>IF(Q569="","",IF(MATCH(R569,$R$5:$R$100000,0)=ROW()-4,ROW(),""))</f>
        <v/>
      </c>
      <c r="T569" s="9">
        <f>IF(Q569="당기",ABS(P569)+ROW()/1000000000,"")</f>
        <v/>
      </c>
      <c r="U569" s="9">
        <f>IF(Q569="비교",ABS(P569)+ROW()/1000000000,"")</f>
        <v/>
      </c>
      <c r="V569" s="39">
        <f>IF($A569="","",IF(COUNTIF(변동분석!$E$7:$E$506,O569)&gt;0,"Y","N"))</f>
        <v/>
      </c>
      <c r="W569" s="39">
        <f>IF($A569="","",IFERROR(INDEX(계정매핑!$D$5:$D$504,MATCH($F569&amp;"",계정매핑!$A$5:$A$504,0)),"미매핑"))</f>
        <v/>
      </c>
      <c r="X569" s="9">
        <f>IF($A569="","",$F569&amp;"")</f>
        <v/>
      </c>
    </row>
    <row r="570">
      <c r="A570" s="75" t="n">
        <v>2025</v>
      </c>
      <c r="B570" s="75" t="n">
        <v>3</v>
      </c>
      <c r="C570" s="75" t="inlineStr">
        <is>
          <t>5100000566</t>
        </is>
      </c>
      <c r="D570" s="78" t="n">
        <v>45741</v>
      </c>
      <c r="E570" s="75" t="inlineStr">
        <is>
          <t>KR</t>
        </is>
      </c>
      <c r="F570" s="75" t="n">
        <v>62201000</v>
      </c>
      <c r="G570" s="75" t="n">
        <v>1301</v>
      </c>
      <c r="H570" s="76" t="n">
        <v>143000</v>
      </c>
      <c r="I570" s="75" t="inlineStr">
        <is>
          <t>3월 통신요금 - P통신</t>
        </is>
      </c>
      <c r="J570" s="75" t="inlineStr">
        <is>
          <t>V10011</t>
        </is>
      </c>
      <c r="K570" s="75" t="inlineStr">
        <is>
          <t>P통신</t>
        </is>
      </c>
      <c r="M570" s="9">
        <f>IF($A570="","",VALUE($A570&amp;"")*12+VALUE($B570&amp;""))</f>
        <v/>
      </c>
      <c r="N570" s="39">
        <f>IF($A570="","",IFERROR(INDEX(부서매핑!$C$5:$C$504,MATCH($G570&amp;"",부서매핑!$A$5:$A$504,0)),"미매핑"))</f>
        <v/>
      </c>
      <c r="O570" s="9">
        <f>IF($A570="","",N570&amp;"|"&amp;$F570)</f>
        <v/>
      </c>
      <c r="P570" s="77">
        <f>IF($A570="",0,$H570*설정!$C$23)</f>
        <v/>
      </c>
      <c r="Q570" s="39">
        <f>IF($A570="","",IF(O570&lt;&gt;원인분석!$C$9,"",IF(AND(M570&gt;=원인분석!$C$10,M570&lt;=원인분석!$C$11),"당기",IF(AND(M570&gt;=원인분석!$C$12,M570&lt;=원인분석!$C$13),"비교",""))))</f>
        <v/>
      </c>
      <c r="R570" s="9">
        <f>IF(Q570="","",$K570&amp;"")</f>
        <v/>
      </c>
      <c r="S570" s="9">
        <f>IF(Q570="","",IF(MATCH(R570,$R$5:$R$100000,0)=ROW()-4,ROW(),""))</f>
        <v/>
      </c>
      <c r="T570" s="9">
        <f>IF(Q570="당기",ABS(P570)+ROW()/1000000000,"")</f>
        <v/>
      </c>
      <c r="U570" s="9">
        <f>IF(Q570="비교",ABS(P570)+ROW()/1000000000,"")</f>
        <v/>
      </c>
      <c r="V570" s="39">
        <f>IF($A570="","",IF(COUNTIF(변동분석!$E$7:$E$506,O570)&gt;0,"Y","N"))</f>
        <v/>
      </c>
      <c r="W570" s="39">
        <f>IF($A570="","",IFERROR(INDEX(계정매핑!$D$5:$D$504,MATCH($F570&amp;"",계정매핑!$A$5:$A$504,0)),"미매핑"))</f>
        <v/>
      </c>
      <c r="X570" s="9">
        <f>IF($A570="","",$F570&amp;"")</f>
        <v/>
      </c>
    </row>
    <row r="571">
      <c r="A571" s="75" t="n">
        <v>2025</v>
      </c>
      <c r="B571" s="75" t="n">
        <v>3</v>
      </c>
      <c r="C571" s="75" t="inlineStr">
        <is>
          <t>5100000567</t>
        </is>
      </c>
      <c r="D571" s="78" t="n">
        <v>45741</v>
      </c>
      <c r="E571" s="75" t="inlineStr">
        <is>
          <t>KR</t>
        </is>
      </c>
      <c r="F571" s="75" t="n">
        <v>62201000</v>
      </c>
      <c r="G571" s="75" t="n">
        <v>1701</v>
      </c>
      <c r="H571" s="76" t="n">
        <v>4635000</v>
      </c>
      <c r="I571" s="75" t="inlineStr">
        <is>
          <t>3월 통신요금 - O텔레콤</t>
        </is>
      </c>
      <c r="J571" s="75" t="inlineStr">
        <is>
          <t>V10002</t>
        </is>
      </c>
      <c r="K571" s="75" t="inlineStr">
        <is>
          <t>O텔레콤</t>
        </is>
      </c>
      <c r="M571" s="9">
        <f>IF($A571="","",VALUE($A571&amp;"")*12+VALUE($B571&amp;""))</f>
        <v/>
      </c>
      <c r="N571" s="39">
        <f>IF($A571="","",IFERROR(INDEX(부서매핑!$C$5:$C$504,MATCH($G571&amp;"",부서매핑!$A$5:$A$504,0)),"미매핑"))</f>
        <v/>
      </c>
      <c r="O571" s="9">
        <f>IF($A571="","",N571&amp;"|"&amp;$F571)</f>
        <v/>
      </c>
      <c r="P571" s="77">
        <f>IF($A571="",0,$H571*설정!$C$23)</f>
        <v/>
      </c>
      <c r="Q571" s="39">
        <f>IF($A571="","",IF(O571&lt;&gt;원인분석!$C$9,"",IF(AND(M571&gt;=원인분석!$C$10,M571&lt;=원인분석!$C$11),"당기",IF(AND(M571&gt;=원인분석!$C$12,M571&lt;=원인분석!$C$13),"비교",""))))</f>
        <v/>
      </c>
      <c r="R571" s="9">
        <f>IF(Q571="","",$K571&amp;"")</f>
        <v/>
      </c>
      <c r="S571" s="9">
        <f>IF(Q571="","",IF(MATCH(R571,$R$5:$R$100000,0)=ROW()-4,ROW(),""))</f>
        <v/>
      </c>
      <c r="T571" s="9">
        <f>IF(Q571="당기",ABS(P571)+ROW()/1000000000,"")</f>
        <v/>
      </c>
      <c r="U571" s="9">
        <f>IF(Q571="비교",ABS(P571)+ROW()/1000000000,"")</f>
        <v/>
      </c>
      <c r="V571" s="39">
        <f>IF($A571="","",IF(COUNTIF(변동분석!$E$7:$E$506,O571)&gt;0,"Y","N"))</f>
        <v/>
      </c>
      <c r="W571" s="39">
        <f>IF($A571="","",IFERROR(INDEX(계정매핑!$D$5:$D$504,MATCH($F571&amp;"",계정매핑!$A$5:$A$504,0)),"미매핑"))</f>
        <v/>
      </c>
      <c r="X571" s="9">
        <f>IF($A571="","",$F571&amp;"")</f>
        <v/>
      </c>
    </row>
    <row r="572">
      <c r="A572" s="75" t="n">
        <v>2025</v>
      </c>
      <c r="B572" s="75" t="n">
        <v>3</v>
      </c>
      <c r="C572" s="75" t="inlineStr">
        <is>
          <t>5100000568</t>
        </is>
      </c>
      <c r="D572" s="78" t="n">
        <v>45741</v>
      </c>
      <c r="E572" s="75" t="inlineStr">
        <is>
          <t>KR</t>
        </is>
      </c>
      <c r="F572" s="75" t="n">
        <v>62301000</v>
      </c>
      <c r="G572" s="75" t="n">
        <v>1401</v>
      </c>
      <c r="H572" s="76" t="n">
        <v>149000</v>
      </c>
      <c r="I572" s="75" t="inlineStr">
        <is>
          <t>3월 소모품 구입 - Q오피스</t>
        </is>
      </c>
      <c r="J572" s="75" t="inlineStr">
        <is>
          <t>V10003</t>
        </is>
      </c>
      <c r="K572" s="75" t="inlineStr">
        <is>
          <t>Q오피스</t>
        </is>
      </c>
      <c r="M572" s="9">
        <f>IF($A572="","",VALUE($A572&amp;"")*12+VALUE($B572&amp;""))</f>
        <v/>
      </c>
      <c r="N572" s="39">
        <f>IF($A572="","",IFERROR(INDEX(부서매핑!$C$5:$C$504,MATCH($G572&amp;"",부서매핑!$A$5:$A$504,0)),"미매핑"))</f>
        <v/>
      </c>
      <c r="O572" s="9">
        <f>IF($A572="","",N572&amp;"|"&amp;$F572)</f>
        <v/>
      </c>
      <c r="P572" s="77">
        <f>IF($A572="",0,$H572*설정!$C$23)</f>
        <v/>
      </c>
      <c r="Q572" s="39">
        <f>IF($A572="","",IF(O572&lt;&gt;원인분석!$C$9,"",IF(AND(M572&gt;=원인분석!$C$10,M572&lt;=원인분석!$C$11),"당기",IF(AND(M572&gt;=원인분석!$C$12,M572&lt;=원인분석!$C$13),"비교",""))))</f>
        <v/>
      </c>
      <c r="R572" s="9">
        <f>IF(Q572="","",$K572&amp;"")</f>
        <v/>
      </c>
      <c r="S572" s="9">
        <f>IF(Q572="","",IF(MATCH(R572,$R$5:$R$100000,0)=ROW()-4,ROW(),""))</f>
        <v/>
      </c>
      <c r="T572" s="9">
        <f>IF(Q572="당기",ABS(P572)+ROW()/1000000000,"")</f>
        <v/>
      </c>
      <c r="U572" s="9">
        <f>IF(Q572="비교",ABS(P572)+ROW()/1000000000,"")</f>
        <v/>
      </c>
      <c r="V572" s="39">
        <f>IF($A572="","",IF(COUNTIF(변동분석!$E$7:$E$506,O572)&gt;0,"Y","N"))</f>
        <v/>
      </c>
      <c r="W572" s="39">
        <f>IF($A572="","",IFERROR(INDEX(계정매핑!$D$5:$D$504,MATCH($F572&amp;"",계정매핑!$A$5:$A$504,0)),"미매핑"))</f>
        <v/>
      </c>
      <c r="X572" s="9">
        <f>IF($A572="","",$F572&amp;"")</f>
        <v/>
      </c>
    </row>
    <row r="573">
      <c r="A573" s="75" t="n">
        <v>2025</v>
      </c>
      <c r="B573" s="75" t="n">
        <v>3</v>
      </c>
      <c r="C573" s="75" t="inlineStr">
        <is>
          <t>5100000569</t>
        </is>
      </c>
      <c r="D573" s="78" t="n">
        <v>45741</v>
      </c>
      <c r="E573" s="75" t="inlineStr">
        <is>
          <t>KR</t>
        </is>
      </c>
      <c r="F573" s="75" t="n">
        <v>62301000</v>
      </c>
      <c r="G573" s="75" t="n">
        <v>1701</v>
      </c>
      <c r="H573" s="76" t="n">
        <v>236000</v>
      </c>
      <c r="I573" s="75" t="inlineStr">
        <is>
          <t>3월 소모품 구입 - Q오피스</t>
        </is>
      </c>
      <c r="J573" s="75" t="inlineStr">
        <is>
          <t>V10003</t>
        </is>
      </c>
      <c r="K573" s="75" t="inlineStr">
        <is>
          <t>Q오피스</t>
        </is>
      </c>
      <c r="M573" s="9">
        <f>IF($A573="","",VALUE($A573&amp;"")*12+VALUE($B573&amp;""))</f>
        <v/>
      </c>
      <c r="N573" s="39">
        <f>IF($A573="","",IFERROR(INDEX(부서매핑!$C$5:$C$504,MATCH($G573&amp;"",부서매핑!$A$5:$A$504,0)),"미매핑"))</f>
        <v/>
      </c>
      <c r="O573" s="9">
        <f>IF($A573="","",N573&amp;"|"&amp;$F573)</f>
        <v/>
      </c>
      <c r="P573" s="77">
        <f>IF($A573="",0,$H573*설정!$C$23)</f>
        <v/>
      </c>
      <c r="Q573" s="39">
        <f>IF($A573="","",IF(O573&lt;&gt;원인분석!$C$9,"",IF(AND(M573&gt;=원인분석!$C$10,M573&lt;=원인분석!$C$11),"당기",IF(AND(M573&gt;=원인분석!$C$12,M573&lt;=원인분석!$C$13),"비교",""))))</f>
        <v/>
      </c>
      <c r="R573" s="9">
        <f>IF(Q573="","",$K573&amp;"")</f>
        <v/>
      </c>
      <c r="S573" s="9">
        <f>IF(Q573="","",IF(MATCH(R573,$R$5:$R$100000,0)=ROW()-4,ROW(),""))</f>
        <v/>
      </c>
      <c r="T573" s="9">
        <f>IF(Q573="당기",ABS(P573)+ROW()/1000000000,"")</f>
        <v/>
      </c>
      <c r="U573" s="9">
        <f>IF(Q573="비교",ABS(P573)+ROW()/1000000000,"")</f>
        <v/>
      </c>
      <c r="V573" s="39">
        <f>IF($A573="","",IF(COUNTIF(변동분석!$E$7:$E$506,O573)&gt;0,"Y","N"))</f>
        <v/>
      </c>
      <c r="W573" s="39">
        <f>IF($A573="","",IFERROR(INDEX(계정매핑!$D$5:$D$504,MATCH($F573&amp;"",계정매핑!$A$5:$A$504,0)),"미매핑"))</f>
        <v/>
      </c>
      <c r="X573" s="9">
        <f>IF($A573="","",$F573&amp;"")</f>
        <v/>
      </c>
    </row>
    <row r="574">
      <c r="A574" s="75" t="n">
        <v>2025</v>
      </c>
      <c r="B574" s="75" t="n">
        <v>3</v>
      </c>
      <c r="C574" s="75" t="inlineStr">
        <is>
          <t>5100000570</t>
        </is>
      </c>
      <c r="D574" s="78" t="n">
        <v>45741</v>
      </c>
      <c r="E574" s="75" t="inlineStr">
        <is>
          <t>KR</t>
        </is>
      </c>
      <c r="F574" s="75" t="n">
        <v>62401000</v>
      </c>
      <c r="G574" s="75" t="n">
        <v>1501</v>
      </c>
      <c r="H574" s="76" t="n">
        <v>3623000</v>
      </c>
      <c r="I574" s="75" t="inlineStr">
        <is>
          <t>3월 인쇄물 제작 - S출판</t>
        </is>
      </c>
      <c r="J574" s="75" t="inlineStr">
        <is>
          <t>V10012</t>
        </is>
      </c>
      <c r="K574" s="75" t="inlineStr">
        <is>
          <t>S출판</t>
        </is>
      </c>
      <c r="M574" s="9">
        <f>IF($A574="","",VALUE($A574&amp;"")*12+VALUE($B574&amp;""))</f>
        <v/>
      </c>
      <c r="N574" s="39">
        <f>IF($A574="","",IFERROR(INDEX(부서매핑!$C$5:$C$504,MATCH($G574&amp;"",부서매핑!$A$5:$A$504,0)),"미매핑"))</f>
        <v/>
      </c>
      <c r="O574" s="9">
        <f>IF($A574="","",N574&amp;"|"&amp;$F574)</f>
        <v/>
      </c>
      <c r="P574" s="77">
        <f>IF($A574="",0,$H574*설정!$C$23)</f>
        <v/>
      </c>
      <c r="Q574" s="39">
        <f>IF($A574="","",IF(O574&lt;&gt;원인분석!$C$9,"",IF(AND(M574&gt;=원인분석!$C$10,M574&lt;=원인분석!$C$11),"당기",IF(AND(M574&gt;=원인분석!$C$12,M574&lt;=원인분석!$C$13),"비교",""))))</f>
        <v/>
      </c>
      <c r="R574" s="9">
        <f>IF(Q574="","",$K574&amp;"")</f>
        <v/>
      </c>
      <c r="S574" s="9">
        <f>IF(Q574="","",IF(MATCH(R574,$R$5:$R$100000,0)=ROW()-4,ROW(),""))</f>
        <v/>
      </c>
      <c r="T574" s="9">
        <f>IF(Q574="당기",ABS(P574)+ROW()/1000000000,"")</f>
        <v/>
      </c>
      <c r="U574" s="9">
        <f>IF(Q574="비교",ABS(P574)+ROW()/1000000000,"")</f>
        <v/>
      </c>
      <c r="V574" s="39">
        <f>IF($A574="","",IF(COUNTIF(변동분석!$E$7:$E$506,O574)&gt;0,"Y","N"))</f>
        <v/>
      </c>
      <c r="W574" s="39">
        <f>IF($A574="","",IFERROR(INDEX(계정매핑!$D$5:$D$504,MATCH($F574&amp;"",계정매핑!$A$5:$A$504,0)),"미매핑"))</f>
        <v/>
      </c>
      <c r="X574" s="9">
        <f>IF($A574="","",$F574&amp;"")</f>
        <v/>
      </c>
    </row>
    <row r="575">
      <c r="A575" s="75" t="n">
        <v>2025</v>
      </c>
      <c r="B575" s="75" t="n">
        <v>3</v>
      </c>
      <c r="C575" s="75" t="inlineStr">
        <is>
          <t>5100000571</t>
        </is>
      </c>
      <c r="D575" s="78" t="n">
        <v>45741</v>
      </c>
      <c r="E575" s="75" t="inlineStr">
        <is>
          <t>KR</t>
        </is>
      </c>
      <c r="F575" s="75" t="n">
        <v>62501000</v>
      </c>
      <c r="G575" s="75" t="n">
        <v>1501</v>
      </c>
      <c r="H575" s="76" t="n">
        <v>266000</v>
      </c>
      <c r="I575" s="75" t="inlineStr">
        <is>
          <t>3월 회의 다과 - (법인카드)</t>
        </is>
      </c>
      <c r="J575" s="75" t="inlineStr">
        <is>
          <t>V10008</t>
        </is>
      </c>
      <c r="K575" s="75" t="inlineStr">
        <is>
          <t>(법인카드)</t>
        </is>
      </c>
      <c r="M575" s="9">
        <f>IF($A575="","",VALUE($A575&amp;"")*12+VALUE($B575&amp;""))</f>
        <v/>
      </c>
      <c r="N575" s="39">
        <f>IF($A575="","",IFERROR(INDEX(부서매핑!$C$5:$C$504,MATCH($G575&amp;"",부서매핑!$A$5:$A$504,0)),"미매핑"))</f>
        <v/>
      </c>
      <c r="O575" s="9">
        <f>IF($A575="","",N575&amp;"|"&amp;$F575)</f>
        <v/>
      </c>
      <c r="P575" s="77">
        <f>IF($A575="",0,$H575*설정!$C$23)</f>
        <v/>
      </c>
      <c r="Q575" s="39">
        <f>IF($A575="","",IF(O575&lt;&gt;원인분석!$C$9,"",IF(AND(M575&gt;=원인분석!$C$10,M575&lt;=원인분석!$C$11),"당기",IF(AND(M575&gt;=원인분석!$C$12,M575&lt;=원인분석!$C$13),"비교",""))))</f>
        <v/>
      </c>
      <c r="R575" s="9">
        <f>IF(Q575="","",$K575&amp;"")</f>
        <v/>
      </c>
      <c r="S575" s="9">
        <f>IF(Q575="","",IF(MATCH(R575,$R$5:$R$100000,0)=ROW()-4,ROW(),""))</f>
        <v/>
      </c>
      <c r="T575" s="9">
        <f>IF(Q575="당기",ABS(P575)+ROW()/1000000000,"")</f>
        <v/>
      </c>
      <c r="U575" s="9">
        <f>IF(Q575="비교",ABS(P575)+ROW()/1000000000,"")</f>
        <v/>
      </c>
      <c r="V575" s="39">
        <f>IF($A575="","",IF(COUNTIF(변동분석!$E$7:$E$506,O575)&gt;0,"Y","N"))</f>
        <v/>
      </c>
      <c r="W575" s="39">
        <f>IF($A575="","",IFERROR(INDEX(계정매핑!$D$5:$D$504,MATCH($F575&amp;"",계정매핑!$A$5:$A$504,0)),"미매핑"))</f>
        <v/>
      </c>
      <c r="X575" s="9">
        <f>IF($A575="","",$F575&amp;"")</f>
        <v/>
      </c>
    </row>
    <row r="576">
      <c r="A576" s="75" t="n">
        <v>2025</v>
      </c>
      <c r="B576" s="75" t="n">
        <v>3</v>
      </c>
      <c r="C576" s="75" t="inlineStr">
        <is>
          <t>5100000572</t>
        </is>
      </c>
      <c r="D576" s="78" t="n">
        <v>45741</v>
      </c>
      <c r="E576" s="75" t="inlineStr">
        <is>
          <t>KR</t>
        </is>
      </c>
      <c r="F576" s="75" t="n">
        <v>62902000</v>
      </c>
      <c r="G576" s="75" t="n">
        <v>1801</v>
      </c>
      <c r="H576" s="76" t="n">
        <v>1845000</v>
      </c>
      <c r="I576" s="75" t="inlineStr">
        <is>
          <t>3월 콜 위탁 수수료(건별)</t>
        </is>
      </c>
      <c r="J576" s="75" t="inlineStr">
        <is>
          <t>V10013</t>
        </is>
      </c>
      <c r="K576" s="75" t="inlineStr">
        <is>
          <t>J콜센터</t>
        </is>
      </c>
      <c r="M576" s="9">
        <f>IF($A576="","",VALUE($A576&amp;"")*12+VALUE($B576&amp;""))</f>
        <v/>
      </c>
      <c r="N576" s="39">
        <f>IF($A576="","",IFERROR(INDEX(부서매핑!$C$5:$C$504,MATCH($G576&amp;"",부서매핑!$A$5:$A$504,0)),"미매핑"))</f>
        <v/>
      </c>
      <c r="O576" s="9">
        <f>IF($A576="","",N576&amp;"|"&amp;$F576)</f>
        <v/>
      </c>
      <c r="P576" s="77">
        <f>IF($A576="",0,$H576*설정!$C$23)</f>
        <v/>
      </c>
      <c r="Q576" s="39">
        <f>IF($A576="","",IF(O576&lt;&gt;원인분석!$C$9,"",IF(AND(M576&gt;=원인분석!$C$10,M576&lt;=원인분석!$C$11),"당기",IF(AND(M576&gt;=원인분석!$C$12,M576&lt;=원인분석!$C$13),"비교",""))))</f>
        <v/>
      </c>
      <c r="R576" s="9">
        <f>IF(Q576="","",$K576&amp;"")</f>
        <v/>
      </c>
      <c r="S576" s="9">
        <f>IF(Q576="","",IF(MATCH(R576,$R$5:$R$100000,0)=ROW()-4,ROW(),""))</f>
        <v/>
      </c>
      <c r="T576" s="9">
        <f>IF(Q576="당기",ABS(P576)+ROW()/1000000000,"")</f>
        <v/>
      </c>
      <c r="U576" s="9">
        <f>IF(Q576="비교",ABS(P576)+ROW()/1000000000,"")</f>
        <v/>
      </c>
      <c r="V576" s="39">
        <f>IF($A576="","",IF(COUNTIF(변동분석!$E$7:$E$506,O576)&gt;0,"Y","N"))</f>
        <v/>
      </c>
      <c r="W576" s="39">
        <f>IF($A576="","",IFERROR(INDEX(계정매핑!$D$5:$D$504,MATCH($F576&amp;"",계정매핑!$A$5:$A$504,0)),"미매핑"))</f>
        <v/>
      </c>
      <c r="X576" s="9">
        <f>IF($A576="","",$F576&amp;"")</f>
        <v/>
      </c>
    </row>
    <row r="577">
      <c r="A577" s="75" t="n">
        <v>2025</v>
      </c>
      <c r="B577" s="75" t="n">
        <v>3</v>
      </c>
      <c r="C577" s="75" t="inlineStr">
        <is>
          <t>5100000573</t>
        </is>
      </c>
      <c r="D577" s="78" t="n">
        <v>45741</v>
      </c>
      <c r="E577" s="75" t="inlineStr">
        <is>
          <t>KR</t>
        </is>
      </c>
      <c r="F577" s="75" t="n">
        <v>63002000</v>
      </c>
      <c r="G577" s="75" t="n">
        <v>1701</v>
      </c>
      <c r="H577" s="76" t="n">
        <v>66000000</v>
      </c>
      <c r="I577" s="75" t="inlineStr">
        <is>
          <t>3월 클라우드 사용료 - C클라우드</t>
        </is>
      </c>
      <c r="J577" s="75" t="inlineStr">
        <is>
          <t>V10028</t>
        </is>
      </c>
      <c r="K577" s="75" t="inlineStr">
        <is>
          <t>C클라우드</t>
        </is>
      </c>
      <c r="M577" s="9">
        <f>IF($A577="","",VALUE($A577&amp;"")*12+VALUE($B577&amp;""))</f>
        <v/>
      </c>
      <c r="N577" s="39">
        <f>IF($A577="","",IFERROR(INDEX(부서매핑!$C$5:$C$504,MATCH($G577&amp;"",부서매핑!$A$5:$A$504,0)),"미매핑"))</f>
        <v/>
      </c>
      <c r="O577" s="9">
        <f>IF($A577="","",N577&amp;"|"&amp;$F577)</f>
        <v/>
      </c>
      <c r="P577" s="77">
        <f>IF($A577="",0,$H577*설정!$C$23)</f>
        <v/>
      </c>
      <c r="Q577" s="39">
        <f>IF($A577="","",IF(O577&lt;&gt;원인분석!$C$9,"",IF(AND(M577&gt;=원인분석!$C$10,M577&lt;=원인분석!$C$11),"당기",IF(AND(M577&gt;=원인분석!$C$12,M577&lt;=원인분석!$C$13),"비교",""))))</f>
        <v/>
      </c>
      <c r="R577" s="9">
        <f>IF(Q577="","",$K577&amp;"")</f>
        <v/>
      </c>
      <c r="S577" s="9">
        <f>IF(Q577="","",IF(MATCH(R577,$R$5:$R$100000,0)=ROW()-4,ROW(),""))</f>
        <v/>
      </c>
      <c r="T577" s="9">
        <f>IF(Q577="당기",ABS(P577)+ROW()/1000000000,"")</f>
        <v/>
      </c>
      <c r="U577" s="9">
        <f>IF(Q577="비교",ABS(P577)+ROW()/1000000000,"")</f>
        <v/>
      </c>
      <c r="V577" s="39">
        <f>IF($A577="","",IF(COUNTIF(변동분석!$E$7:$E$506,O577)&gt;0,"Y","N"))</f>
        <v/>
      </c>
      <c r="W577" s="39">
        <f>IF($A577="","",IFERROR(INDEX(계정매핑!$D$5:$D$504,MATCH($F577&amp;"",계정매핑!$A$5:$A$504,0)),"미매핑"))</f>
        <v/>
      </c>
      <c r="X577" s="9">
        <f>IF($A577="","",$F577&amp;"")</f>
        <v/>
      </c>
    </row>
    <row r="578">
      <c r="A578" s="75" t="n">
        <v>2025</v>
      </c>
      <c r="B578" s="75" t="n">
        <v>3</v>
      </c>
      <c r="C578" s="75" t="inlineStr">
        <is>
          <t>5100000574</t>
        </is>
      </c>
      <c r="D578" s="78" t="n">
        <v>45742</v>
      </c>
      <c r="E578" s="75" t="inlineStr">
        <is>
          <t>KR</t>
        </is>
      </c>
      <c r="F578" s="75" t="n">
        <v>62101000</v>
      </c>
      <c r="G578" s="75" t="n">
        <v>1401</v>
      </c>
      <c r="H578" s="76" t="n">
        <v>273000</v>
      </c>
      <c r="I578" s="75" t="inlineStr">
        <is>
          <t>3월 국내출장 - L여행사</t>
        </is>
      </c>
      <c r="J578" s="75" t="inlineStr">
        <is>
          <t>V10014</t>
        </is>
      </c>
      <c r="K578" s="75" t="inlineStr">
        <is>
          <t>L여행사</t>
        </is>
      </c>
      <c r="M578" s="9">
        <f>IF($A578="","",VALUE($A578&amp;"")*12+VALUE($B578&amp;""))</f>
        <v/>
      </c>
      <c r="N578" s="39">
        <f>IF($A578="","",IFERROR(INDEX(부서매핑!$C$5:$C$504,MATCH($G578&amp;"",부서매핑!$A$5:$A$504,0)),"미매핑"))</f>
        <v/>
      </c>
      <c r="O578" s="9">
        <f>IF($A578="","",N578&amp;"|"&amp;$F578)</f>
        <v/>
      </c>
      <c r="P578" s="77">
        <f>IF($A578="",0,$H578*설정!$C$23)</f>
        <v/>
      </c>
      <c r="Q578" s="39">
        <f>IF($A578="","",IF(O578&lt;&gt;원인분석!$C$9,"",IF(AND(M578&gt;=원인분석!$C$10,M578&lt;=원인분석!$C$11),"당기",IF(AND(M578&gt;=원인분석!$C$12,M578&lt;=원인분석!$C$13),"비교",""))))</f>
        <v/>
      </c>
      <c r="R578" s="9">
        <f>IF(Q578="","",$K578&amp;"")</f>
        <v/>
      </c>
      <c r="S578" s="9">
        <f>IF(Q578="","",IF(MATCH(R578,$R$5:$R$100000,0)=ROW()-4,ROW(),""))</f>
        <v/>
      </c>
      <c r="T578" s="9">
        <f>IF(Q578="당기",ABS(P578)+ROW()/1000000000,"")</f>
        <v/>
      </c>
      <c r="U578" s="9">
        <f>IF(Q578="비교",ABS(P578)+ROW()/1000000000,"")</f>
        <v/>
      </c>
      <c r="V578" s="39">
        <f>IF($A578="","",IF(COUNTIF(변동분석!$E$7:$E$506,O578)&gt;0,"Y","N"))</f>
        <v/>
      </c>
      <c r="W578" s="39">
        <f>IF($A578="","",IFERROR(INDEX(계정매핑!$D$5:$D$504,MATCH($F578&amp;"",계정매핑!$A$5:$A$504,0)),"미매핑"))</f>
        <v/>
      </c>
      <c r="X578" s="9">
        <f>IF($A578="","",$F578&amp;"")</f>
        <v/>
      </c>
    </row>
    <row r="579">
      <c r="A579" s="75" t="n">
        <v>2025</v>
      </c>
      <c r="B579" s="75" t="n">
        <v>3</v>
      </c>
      <c r="C579" s="75" t="inlineStr">
        <is>
          <t>5100000575</t>
        </is>
      </c>
      <c r="D579" s="78" t="n">
        <v>45742</v>
      </c>
      <c r="E579" s="75" t="inlineStr">
        <is>
          <t>KR</t>
        </is>
      </c>
      <c r="F579" s="75" t="n">
        <v>62102000</v>
      </c>
      <c r="G579" s="75" t="n">
        <v>1501</v>
      </c>
      <c r="H579" s="76" t="n">
        <v>139000</v>
      </c>
      <c r="I579" s="75" t="inlineStr">
        <is>
          <t>3월 해외출장 - N호텔</t>
        </is>
      </c>
      <c r="J579" s="75" t="inlineStr">
        <is>
          <t>V10007</t>
        </is>
      </c>
      <c r="K579" s="75" t="inlineStr">
        <is>
          <t>N호텔</t>
        </is>
      </c>
      <c r="M579" s="9">
        <f>IF($A579="","",VALUE($A579&amp;"")*12+VALUE($B579&amp;""))</f>
        <v/>
      </c>
      <c r="N579" s="39">
        <f>IF($A579="","",IFERROR(INDEX(부서매핑!$C$5:$C$504,MATCH($G579&amp;"",부서매핑!$A$5:$A$504,0)),"미매핑"))</f>
        <v/>
      </c>
      <c r="O579" s="9">
        <f>IF($A579="","",N579&amp;"|"&amp;$F579)</f>
        <v/>
      </c>
      <c r="P579" s="77">
        <f>IF($A579="",0,$H579*설정!$C$23)</f>
        <v/>
      </c>
      <c r="Q579" s="39">
        <f>IF($A579="","",IF(O579&lt;&gt;원인분석!$C$9,"",IF(AND(M579&gt;=원인분석!$C$10,M579&lt;=원인분석!$C$11),"당기",IF(AND(M579&gt;=원인분석!$C$12,M579&lt;=원인분석!$C$13),"비교",""))))</f>
        <v/>
      </c>
      <c r="R579" s="9">
        <f>IF(Q579="","",$K579&amp;"")</f>
        <v/>
      </c>
      <c r="S579" s="9">
        <f>IF(Q579="","",IF(MATCH(R579,$R$5:$R$100000,0)=ROW()-4,ROW(),""))</f>
        <v/>
      </c>
      <c r="T579" s="9">
        <f>IF(Q579="당기",ABS(P579)+ROW()/1000000000,"")</f>
        <v/>
      </c>
      <c r="U579" s="9">
        <f>IF(Q579="비교",ABS(P579)+ROW()/1000000000,"")</f>
        <v/>
      </c>
      <c r="V579" s="39">
        <f>IF($A579="","",IF(COUNTIF(변동분석!$E$7:$E$506,O579)&gt;0,"Y","N"))</f>
        <v/>
      </c>
      <c r="W579" s="39">
        <f>IF($A579="","",IFERROR(INDEX(계정매핑!$D$5:$D$504,MATCH($F579&amp;"",계정매핑!$A$5:$A$504,0)),"미매핑"))</f>
        <v/>
      </c>
      <c r="X579" s="9">
        <f>IF($A579="","",$F579&amp;"")</f>
        <v/>
      </c>
    </row>
    <row r="580">
      <c r="A580" s="75" t="n">
        <v>2025</v>
      </c>
      <c r="B580" s="75" t="n">
        <v>3</v>
      </c>
      <c r="C580" s="75" t="inlineStr">
        <is>
          <t>5100000576</t>
        </is>
      </c>
      <c r="D580" s="78" t="n">
        <v>45742</v>
      </c>
      <c r="E580" s="75" t="inlineStr">
        <is>
          <t>KR</t>
        </is>
      </c>
      <c r="F580" s="75" t="n">
        <v>62102000</v>
      </c>
      <c r="G580" s="75" t="n">
        <v>1602</v>
      </c>
      <c r="H580" s="76" t="n">
        <v>278000</v>
      </c>
      <c r="I580" s="75" t="inlineStr">
        <is>
          <t>3월 해외출장 - M항공</t>
        </is>
      </c>
      <c r="J580" s="75" t="inlineStr">
        <is>
          <t>V10001</t>
        </is>
      </c>
      <c r="K580" s="75" t="inlineStr">
        <is>
          <t>M항공</t>
        </is>
      </c>
      <c r="M580" s="9">
        <f>IF($A580="","",VALUE($A580&amp;"")*12+VALUE($B580&amp;""))</f>
        <v/>
      </c>
      <c r="N580" s="39">
        <f>IF($A580="","",IFERROR(INDEX(부서매핑!$C$5:$C$504,MATCH($G580&amp;"",부서매핑!$A$5:$A$504,0)),"미매핑"))</f>
        <v/>
      </c>
      <c r="O580" s="9">
        <f>IF($A580="","",N580&amp;"|"&amp;$F580)</f>
        <v/>
      </c>
      <c r="P580" s="77">
        <f>IF($A580="",0,$H580*설정!$C$23)</f>
        <v/>
      </c>
      <c r="Q580" s="39">
        <f>IF($A580="","",IF(O580&lt;&gt;원인분석!$C$9,"",IF(AND(M580&gt;=원인분석!$C$10,M580&lt;=원인분석!$C$11),"당기",IF(AND(M580&gt;=원인분석!$C$12,M580&lt;=원인분석!$C$13),"비교",""))))</f>
        <v/>
      </c>
      <c r="R580" s="9">
        <f>IF(Q580="","",$K580&amp;"")</f>
        <v/>
      </c>
      <c r="S580" s="9">
        <f>IF(Q580="","",IF(MATCH(R580,$R$5:$R$100000,0)=ROW()-4,ROW(),""))</f>
        <v/>
      </c>
      <c r="T580" s="9">
        <f>IF(Q580="당기",ABS(P580)+ROW()/1000000000,"")</f>
        <v/>
      </c>
      <c r="U580" s="9">
        <f>IF(Q580="비교",ABS(P580)+ROW()/1000000000,"")</f>
        <v/>
      </c>
      <c r="V580" s="39">
        <f>IF($A580="","",IF(COUNTIF(변동분석!$E$7:$E$506,O580)&gt;0,"Y","N"))</f>
        <v/>
      </c>
      <c r="W580" s="39">
        <f>IF($A580="","",IFERROR(INDEX(계정매핑!$D$5:$D$504,MATCH($F580&amp;"",계정매핑!$A$5:$A$504,0)),"미매핑"))</f>
        <v/>
      </c>
      <c r="X580" s="9">
        <f>IF($A580="","",$F580&amp;"")</f>
        <v/>
      </c>
    </row>
    <row r="581">
      <c r="A581" s="75" t="n">
        <v>2025</v>
      </c>
      <c r="B581" s="75" t="n">
        <v>3</v>
      </c>
      <c r="C581" s="75" t="inlineStr">
        <is>
          <t>5100000577</t>
        </is>
      </c>
      <c r="D581" s="78" t="n">
        <v>45742</v>
      </c>
      <c r="E581" s="75" t="inlineStr">
        <is>
          <t>KR</t>
        </is>
      </c>
      <c r="F581" s="75" t="n">
        <v>62301000</v>
      </c>
      <c r="G581" s="75" t="n">
        <v>1501</v>
      </c>
      <c r="H581" s="76" t="n">
        <v>214000</v>
      </c>
      <c r="I581" s="75" t="inlineStr">
        <is>
          <t>3월 소모품 구입 - Q오피스</t>
        </is>
      </c>
      <c r="J581" s="75" t="inlineStr">
        <is>
          <t>V10003</t>
        </is>
      </c>
      <c r="K581" s="75" t="inlineStr">
        <is>
          <t>Q오피스</t>
        </is>
      </c>
      <c r="M581" s="9">
        <f>IF($A581="","",VALUE($A581&amp;"")*12+VALUE($B581&amp;""))</f>
        <v/>
      </c>
      <c r="N581" s="39">
        <f>IF($A581="","",IFERROR(INDEX(부서매핑!$C$5:$C$504,MATCH($G581&amp;"",부서매핑!$A$5:$A$504,0)),"미매핑"))</f>
        <v/>
      </c>
      <c r="O581" s="9">
        <f>IF($A581="","",N581&amp;"|"&amp;$F581)</f>
        <v/>
      </c>
      <c r="P581" s="77">
        <f>IF($A581="",0,$H581*설정!$C$23)</f>
        <v/>
      </c>
      <c r="Q581" s="39">
        <f>IF($A581="","",IF(O581&lt;&gt;원인분석!$C$9,"",IF(AND(M581&gt;=원인분석!$C$10,M581&lt;=원인분석!$C$11),"당기",IF(AND(M581&gt;=원인분석!$C$12,M581&lt;=원인분석!$C$13),"비교",""))))</f>
        <v/>
      </c>
      <c r="R581" s="9">
        <f>IF(Q581="","",$K581&amp;"")</f>
        <v/>
      </c>
      <c r="S581" s="9">
        <f>IF(Q581="","",IF(MATCH(R581,$R$5:$R$100000,0)=ROW()-4,ROW(),""))</f>
        <v/>
      </c>
      <c r="T581" s="9">
        <f>IF(Q581="당기",ABS(P581)+ROW()/1000000000,"")</f>
        <v/>
      </c>
      <c r="U581" s="9">
        <f>IF(Q581="비교",ABS(P581)+ROW()/1000000000,"")</f>
        <v/>
      </c>
      <c r="V581" s="39">
        <f>IF($A581="","",IF(COUNTIF(변동분석!$E$7:$E$506,O581)&gt;0,"Y","N"))</f>
        <v/>
      </c>
      <c r="W581" s="39">
        <f>IF($A581="","",IFERROR(INDEX(계정매핑!$D$5:$D$504,MATCH($F581&amp;"",계정매핑!$A$5:$A$504,0)),"미매핑"))</f>
        <v/>
      </c>
      <c r="X581" s="9">
        <f>IF($A581="","",$F581&amp;"")</f>
        <v/>
      </c>
    </row>
    <row r="582">
      <c r="A582" s="75" t="n">
        <v>2025</v>
      </c>
      <c r="B582" s="75" t="n">
        <v>3</v>
      </c>
      <c r="C582" s="75" t="inlineStr">
        <is>
          <t>5100000578</t>
        </is>
      </c>
      <c r="D582" s="78" t="n">
        <v>45742</v>
      </c>
      <c r="E582" s="75" t="inlineStr">
        <is>
          <t>KR</t>
        </is>
      </c>
      <c r="F582" s="75" t="n">
        <v>62301000</v>
      </c>
      <c r="G582" s="75" t="n">
        <v>1501</v>
      </c>
      <c r="H582" s="76" t="n">
        <v>124000</v>
      </c>
      <c r="I582" s="75" t="inlineStr">
        <is>
          <t>3월 소모품 구입 - Q오피스</t>
        </is>
      </c>
      <c r="J582" s="75" t="inlineStr">
        <is>
          <t>V10003</t>
        </is>
      </c>
      <c r="K582" s="75" t="inlineStr">
        <is>
          <t>Q오피스</t>
        </is>
      </c>
      <c r="M582" s="9">
        <f>IF($A582="","",VALUE($A582&amp;"")*12+VALUE($B582&amp;""))</f>
        <v/>
      </c>
      <c r="N582" s="39">
        <f>IF($A582="","",IFERROR(INDEX(부서매핑!$C$5:$C$504,MATCH($G582&amp;"",부서매핑!$A$5:$A$504,0)),"미매핑"))</f>
        <v/>
      </c>
      <c r="O582" s="9">
        <f>IF($A582="","",N582&amp;"|"&amp;$F582)</f>
        <v/>
      </c>
      <c r="P582" s="77">
        <f>IF($A582="",0,$H582*설정!$C$23)</f>
        <v/>
      </c>
      <c r="Q582" s="39">
        <f>IF($A582="","",IF(O582&lt;&gt;원인분석!$C$9,"",IF(AND(M582&gt;=원인분석!$C$10,M582&lt;=원인분석!$C$11),"당기",IF(AND(M582&gt;=원인분석!$C$12,M582&lt;=원인분석!$C$13),"비교",""))))</f>
        <v/>
      </c>
      <c r="R582" s="9">
        <f>IF(Q582="","",$K582&amp;"")</f>
        <v/>
      </c>
      <c r="S582" s="9">
        <f>IF(Q582="","",IF(MATCH(R582,$R$5:$R$100000,0)=ROW()-4,ROW(),""))</f>
        <v/>
      </c>
      <c r="T582" s="9">
        <f>IF(Q582="당기",ABS(P582)+ROW()/1000000000,"")</f>
        <v/>
      </c>
      <c r="U582" s="9">
        <f>IF(Q582="비교",ABS(P582)+ROW()/1000000000,"")</f>
        <v/>
      </c>
      <c r="V582" s="39">
        <f>IF($A582="","",IF(COUNTIF(변동분석!$E$7:$E$506,O582)&gt;0,"Y","N"))</f>
        <v/>
      </c>
      <c r="W582" s="39">
        <f>IF($A582="","",IFERROR(INDEX(계정매핑!$D$5:$D$504,MATCH($F582&amp;"",계정매핑!$A$5:$A$504,0)),"미매핑"))</f>
        <v/>
      </c>
      <c r="X582" s="9">
        <f>IF($A582="","",$F582&amp;"")</f>
        <v/>
      </c>
    </row>
    <row r="583">
      <c r="A583" s="75" t="n">
        <v>2025</v>
      </c>
      <c r="B583" s="75" t="n">
        <v>3</v>
      </c>
      <c r="C583" s="75" t="inlineStr">
        <is>
          <t>5100000579</t>
        </is>
      </c>
      <c r="D583" s="78" t="n">
        <v>45742</v>
      </c>
      <c r="E583" s="75" t="inlineStr">
        <is>
          <t>KR</t>
        </is>
      </c>
      <c r="F583" s="75" t="n">
        <v>62401000</v>
      </c>
      <c r="G583" s="75" t="n">
        <v>1401</v>
      </c>
      <c r="H583" s="76" t="n">
        <v>352000</v>
      </c>
      <c r="I583" s="75" t="inlineStr">
        <is>
          <t>3월 인쇄물 제작 - G인쇄</t>
        </is>
      </c>
      <c r="J583" s="75" t="inlineStr">
        <is>
          <t>V10004</t>
        </is>
      </c>
      <c r="K583" s="75" t="inlineStr">
        <is>
          <t>G인쇄</t>
        </is>
      </c>
      <c r="M583" s="9">
        <f>IF($A583="","",VALUE($A583&amp;"")*12+VALUE($B583&amp;""))</f>
        <v/>
      </c>
      <c r="N583" s="39">
        <f>IF($A583="","",IFERROR(INDEX(부서매핑!$C$5:$C$504,MATCH($G583&amp;"",부서매핑!$A$5:$A$504,0)),"미매핑"))</f>
        <v/>
      </c>
      <c r="O583" s="9">
        <f>IF($A583="","",N583&amp;"|"&amp;$F583)</f>
        <v/>
      </c>
      <c r="P583" s="77">
        <f>IF($A583="",0,$H583*설정!$C$23)</f>
        <v/>
      </c>
      <c r="Q583" s="39">
        <f>IF($A583="","",IF(O583&lt;&gt;원인분석!$C$9,"",IF(AND(M583&gt;=원인분석!$C$10,M583&lt;=원인분석!$C$11),"당기",IF(AND(M583&gt;=원인분석!$C$12,M583&lt;=원인분석!$C$13),"비교",""))))</f>
        <v/>
      </c>
      <c r="R583" s="9">
        <f>IF(Q583="","",$K583&amp;"")</f>
        <v/>
      </c>
      <c r="S583" s="9">
        <f>IF(Q583="","",IF(MATCH(R583,$R$5:$R$100000,0)=ROW()-4,ROW(),""))</f>
        <v/>
      </c>
      <c r="T583" s="9">
        <f>IF(Q583="당기",ABS(P583)+ROW()/1000000000,"")</f>
        <v/>
      </c>
      <c r="U583" s="9">
        <f>IF(Q583="비교",ABS(P583)+ROW()/1000000000,"")</f>
        <v/>
      </c>
      <c r="V583" s="39">
        <f>IF($A583="","",IF(COUNTIF(변동분석!$E$7:$E$506,O583)&gt;0,"Y","N"))</f>
        <v/>
      </c>
      <c r="W583" s="39">
        <f>IF($A583="","",IFERROR(INDEX(계정매핑!$D$5:$D$504,MATCH($F583&amp;"",계정매핑!$A$5:$A$504,0)),"미매핑"))</f>
        <v/>
      </c>
      <c r="X583" s="9">
        <f>IF($A583="","",$F583&amp;"")</f>
        <v/>
      </c>
    </row>
    <row r="584">
      <c r="A584" s="75" t="n">
        <v>2025</v>
      </c>
      <c r="B584" s="75" t="n">
        <v>3</v>
      </c>
      <c r="C584" s="75" t="inlineStr">
        <is>
          <t>5100000580</t>
        </is>
      </c>
      <c r="D584" s="78" t="n">
        <v>45742</v>
      </c>
      <c r="E584" s="75" t="inlineStr">
        <is>
          <t>KR</t>
        </is>
      </c>
      <c r="F584" s="75" t="n">
        <v>62401000</v>
      </c>
      <c r="G584" s="75" t="n">
        <v>1502</v>
      </c>
      <c r="H584" s="76" t="n">
        <v>2522000</v>
      </c>
      <c r="I584" s="75" t="inlineStr">
        <is>
          <t>3월 인쇄물 제작 - G인쇄</t>
        </is>
      </c>
      <c r="J584" s="75" t="inlineStr">
        <is>
          <t>V10004</t>
        </is>
      </c>
      <c r="K584" s="75" t="inlineStr">
        <is>
          <t>G인쇄</t>
        </is>
      </c>
      <c r="M584" s="9">
        <f>IF($A584="","",VALUE($A584&amp;"")*12+VALUE($B584&amp;""))</f>
        <v/>
      </c>
      <c r="N584" s="39">
        <f>IF($A584="","",IFERROR(INDEX(부서매핑!$C$5:$C$504,MATCH($G584&amp;"",부서매핑!$A$5:$A$504,0)),"미매핑"))</f>
        <v/>
      </c>
      <c r="O584" s="9">
        <f>IF($A584="","",N584&amp;"|"&amp;$F584)</f>
        <v/>
      </c>
      <c r="P584" s="77">
        <f>IF($A584="",0,$H584*설정!$C$23)</f>
        <v/>
      </c>
      <c r="Q584" s="39">
        <f>IF($A584="","",IF(O584&lt;&gt;원인분석!$C$9,"",IF(AND(M584&gt;=원인분석!$C$10,M584&lt;=원인분석!$C$11),"당기",IF(AND(M584&gt;=원인분석!$C$12,M584&lt;=원인분석!$C$13),"비교",""))))</f>
        <v/>
      </c>
      <c r="R584" s="9">
        <f>IF(Q584="","",$K584&amp;"")</f>
        <v/>
      </c>
      <c r="S584" s="9">
        <f>IF(Q584="","",IF(MATCH(R584,$R$5:$R$100000,0)=ROW()-4,ROW(),""))</f>
        <v/>
      </c>
      <c r="T584" s="9">
        <f>IF(Q584="당기",ABS(P584)+ROW()/1000000000,"")</f>
        <v/>
      </c>
      <c r="U584" s="9">
        <f>IF(Q584="비교",ABS(P584)+ROW()/1000000000,"")</f>
        <v/>
      </c>
      <c r="V584" s="39">
        <f>IF($A584="","",IF(COUNTIF(변동분석!$E$7:$E$506,O584)&gt;0,"Y","N"))</f>
        <v/>
      </c>
      <c r="W584" s="39">
        <f>IF($A584="","",IFERROR(INDEX(계정매핑!$D$5:$D$504,MATCH($F584&amp;"",계정매핑!$A$5:$A$504,0)),"미매핑"))</f>
        <v/>
      </c>
      <c r="X584" s="9">
        <f>IF($A584="","",$F584&amp;"")</f>
        <v/>
      </c>
    </row>
    <row r="585">
      <c r="A585" s="75" t="n">
        <v>2025</v>
      </c>
      <c r="B585" s="75" t="n">
        <v>3</v>
      </c>
      <c r="C585" s="75" t="inlineStr">
        <is>
          <t>5100000581</t>
        </is>
      </c>
      <c r="D585" s="78" t="n">
        <v>45742</v>
      </c>
      <c r="E585" s="75" t="inlineStr">
        <is>
          <t>KR</t>
        </is>
      </c>
      <c r="F585" s="75" t="n">
        <v>62501000</v>
      </c>
      <c r="G585" s="75" t="n">
        <v>1401</v>
      </c>
      <c r="H585" s="76" t="n">
        <v>97000</v>
      </c>
      <c r="I585" s="75" t="inlineStr">
        <is>
          <t>3월 회의 다과 - T케이터링</t>
        </is>
      </c>
      <c r="J585" s="75" t="inlineStr">
        <is>
          <t>V10005</t>
        </is>
      </c>
      <c r="K585" s="75" t="inlineStr">
        <is>
          <t>T케이터링</t>
        </is>
      </c>
      <c r="M585" s="9">
        <f>IF($A585="","",VALUE($A585&amp;"")*12+VALUE($B585&amp;""))</f>
        <v/>
      </c>
      <c r="N585" s="39">
        <f>IF($A585="","",IFERROR(INDEX(부서매핑!$C$5:$C$504,MATCH($G585&amp;"",부서매핑!$A$5:$A$504,0)),"미매핑"))</f>
        <v/>
      </c>
      <c r="O585" s="9">
        <f>IF($A585="","",N585&amp;"|"&amp;$F585)</f>
        <v/>
      </c>
      <c r="P585" s="77">
        <f>IF($A585="",0,$H585*설정!$C$23)</f>
        <v/>
      </c>
      <c r="Q585" s="39">
        <f>IF($A585="","",IF(O585&lt;&gt;원인분석!$C$9,"",IF(AND(M585&gt;=원인분석!$C$10,M585&lt;=원인분석!$C$11),"당기",IF(AND(M585&gt;=원인분석!$C$12,M585&lt;=원인분석!$C$13),"비교",""))))</f>
        <v/>
      </c>
      <c r="R585" s="9">
        <f>IF(Q585="","",$K585&amp;"")</f>
        <v/>
      </c>
      <c r="S585" s="9">
        <f>IF(Q585="","",IF(MATCH(R585,$R$5:$R$100000,0)=ROW()-4,ROW(),""))</f>
        <v/>
      </c>
      <c r="T585" s="9">
        <f>IF(Q585="당기",ABS(P585)+ROW()/1000000000,"")</f>
        <v/>
      </c>
      <c r="U585" s="9">
        <f>IF(Q585="비교",ABS(P585)+ROW()/1000000000,"")</f>
        <v/>
      </c>
      <c r="V585" s="39">
        <f>IF($A585="","",IF(COUNTIF(변동분석!$E$7:$E$506,O585)&gt;0,"Y","N"))</f>
        <v/>
      </c>
      <c r="W585" s="39">
        <f>IF($A585="","",IFERROR(INDEX(계정매핑!$D$5:$D$504,MATCH($F585&amp;"",계정매핑!$A$5:$A$504,0)),"미매핑"))</f>
        <v/>
      </c>
      <c r="X585" s="9">
        <f>IF($A585="","",$F585&amp;"")</f>
        <v/>
      </c>
    </row>
    <row r="586">
      <c r="A586" s="75" t="n">
        <v>2025</v>
      </c>
      <c r="B586" s="75" t="n">
        <v>3</v>
      </c>
      <c r="C586" s="75" t="inlineStr">
        <is>
          <t>5100000582</t>
        </is>
      </c>
      <c r="D586" s="78" t="n">
        <v>45742</v>
      </c>
      <c r="E586" s="75" t="inlineStr">
        <is>
          <t>KR</t>
        </is>
      </c>
      <c r="F586" s="75" t="n">
        <v>62501000</v>
      </c>
      <c r="G586" s="75" t="n">
        <v>1701</v>
      </c>
      <c r="H586" s="76" t="n">
        <v>121000</v>
      </c>
      <c r="I586" s="75" t="inlineStr">
        <is>
          <t>3월 회의 다과 - T케이터링</t>
        </is>
      </c>
      <c r="J586" s="75" t="inlineStr">
        <is>
          <t>V10005</t>
        </is>
      </c>
      <c r="K586" s="75" t="inlineStr">
        <is>
          <t>T케이터링</t>
        </is>
      </c>
      <c r="M586" s="9">
        <f>IF($A586="","",VALUE($A586&amp;"")*12+VALUE($B586&amp;""))</f>
        <v/>
      </c>
      <c r="N586" s="39">
        <f>IF($A586="","",IFERROR(INDEX(부서매핑!$C$5:$C$504,MATCH($G586&amp;"",부서매핑!$A$5:$A$504,0)),"미매핑"))</f>
        <v/>
      </c>
      <c r="O586" s="9">
        <f>IF($A586="","",N586&amp;"|"&amp;$F586)</f>
        <v/>
      </c>
      <c r="P586" s="77">
        <f>IF($A586="",0,$H586*설정!$C$23)</f>
        <v/>
      </c>
      <c r="Q586" s="39">
        <f>IF($A586="","",IF(O586&lt;&gt;원인분석!$C$9,"",IF(AND(M586&gt;=원인분석!$C$10,M586&lt;=원인분석!$C$11),"당기",IF(AND(M586&gt;=원인분석!$C$12,M586&lt;=원인분석!$C$13),"비교",""))))</f>
        <v/>
      </c>
      <c r="R586" s="9">
        <f>IF(Q586="","",$K586&amp;"")</f>
        <v/>
      </c>
      <c r="S586" s="9">
        <f>IF(Q586="","",IF(MATCH(R586,$R$5:$R$100000,0)=ROW()-4,ROW(),""))</f>
        <v/>
      </c>
      <c r="T586" s="9">
        <f>IF(Q586="당기",ABS(P586)+ROW()/1000000000,"")</f>
        <v/>
      </c>
      <c r="U586" s="9">
        <f>IF(Q586="비교",ABS(P586)+ROW()/1000000000,"")</f>
        <v/>
      </c>
      <c r="V586" s="39">
        <f>IF($A586="","",IF(COUNTIF(변동분석!$E$7:$E$506,O586)&gt;0,"Y","N"))</f>
        <v/>
      </c>
      <c r="W586" s="39">
        <f>IF($A586="","",IFERROR(INDEX(계정매핑!$D$5:$D$504,MATCH($F586&amp;"",계정매핑!$A$5:$A$504,0)),"미매핑"))</f>
        <v/>
      </c>
      <c r="X586" s="9">
        <f>IF($A586="","",$F586&amp;"")</f>
        <v/>
      </c>
    </row>
    <row r="587">
      <c r="A587" s="75" t="n">
        <v>2025</v>
      </c>
      <c r="B587" s="75" t="n">
        <v>3</v>
      </c>
      <c r="C587" s="75" t="inlineStr">
        <is>
          <t>5100000583</t>
        </is>
      </c>
      <c r="D587" s="78" t="n">
        <v>45742</v>
      </c>
      <c r="E587" s="75" t="inlineStr">
        <is>
          <t>KR</t>
        </is>
      </c>
      <c r="F587" s="75" t="n">
        <v>62902000</v>
      </c>
      <c r="G587" s="75" t="n">
        <v>1101</v>
      </c>
      <c r="H587" s="76" t="n">
        <v>3499000</v>
      </c>
      <c r="I587" s="75" t="inlineStr">
        <is>
          <t>3월 업무 위탁 수수료 - J콜센터</t>
        </is>
      </c>
      <c r="J587" s="75" t="inlineStr">
        <is>
          <t>V10013</t>
        </is>
      </c>
      <c r="K587" s="75" t="inlineStr">
        <is>
          <t>J콜센터</t>
        </is>
      </c>
      <c r="M587" s="9">
        <f>IF($A587="","",VALUE($A587&amp;"")*12+VALUE($B587&amp;""))</f>
        <v/>
      </c>
      <c r="N587" s="39">
        <f>IF($A587="","",IFERROR(INDEX(부서매핑!$C$5:$C$504,MATCH($G587&amp;"",부서매핑!$A$5:$A$504,0)),"미매핑"))</f>
        <v/>
      </c>
      <c r="O587" s="9">
        <f>IF($A587="","",N587&amp;"|"&amp;$F587)</f>
        <v/>
      </c>
      <c r="P587" s="77">
        <f>IF($A587="",0,$H587*설정!$C$23)</f>
        <v/>
      </c>
      <c r="Q587" s="39">
        <f>IF($A587="","",IF(O587&lt;&gt;원인분석!$C$9,"",IF(AND(M587&gt;=원인분석!$C$10,M587&lt;=원인분석!$C$11),"당기",IF(AND(M587&gt;=원인분석!$C$12,M587&lt;=원인분석!$C$13),"비교",""))))</f>
        <v/>
      </c>
      <c r="R587" s="9">
        <f>IF(Q587="","",$K587&amp;"")</f>
        <v/>
      </c>
      <c r="S587" s="9">
        <f>IF(Q587="","",IF(MATCH(R587,$R$5:$R$100000,0)=ROW()-4,ROW(),""))</f>
        <v/>
      </c>
      <c r="T587" s="9">
        <f>IF(Q587="당기",ABS(P587)+ROW()/1000000000,"")</f>
        <v/>
      </c>
      <c r="U587" s="9">
        <f>IF(Q587="비교",ABS(P587)+ROW()/1000000000,"")</f>
        <v/>
      </c>
      <c r="V587" s="39">
        <f>IF($A587="","",IF(COUNTIF(변동분석!$E$7:$E$506,O587)&gt;0,"Y","N"))</f>
        <v/>
      </c>
      <c r="W587" s="39">
        <f>IF($A587="","",IFERROR(INDEX(계정매핑!$D$5:$D$504,MATCH($F587&amp;"",계정매핑!$A$5:$A$504,0)),"미매핑"))</f>
        <v/>
      </c>
      <c r="X587" s="9">
        <f>IF($A587="","",$F587&amp;"")</f>
        <v/>
      </c>
    </row>
    <row r="588">
      <c r="A588" s="75" t="n">
        <v>2025</v>
      </c>
      <c r="B588" s="75" t="n">
        <v>3</v>
      </c>
      <c r="C588" s="75" t="inlineStr">
        <is>
          <t>5100000584</t>
        </is>
      </c>
      <c r="D588" s="78" t="n">
        <v>45743</v>
      </c>
      <c r="E588" s="75" t="inlineStr">
        <is>
          <t>KR</t>
        </is>
      </c>
      <c r="F588" s="75" t="n">
        <v>62102000</v>
      </c>
      <c r="G588" s="75" t="n">
        <v>1201</v>
      </c>
      <c r="H588" s="76" t="n">
        <v>85000</v>
      </c>
      <c r="I588" s="75" t="inlineStr">
        <is>
          <t>3월 해외출장 - M항공</t>
        </is>
      </c>
      <c r="J588" s="75" t="inlineStr">
        <is>
          <t>V10001</t>
        </is>
      </c>
      <c r="K588" s="75" t="inlineStr">
        <is>
          <t>M항공</t>
        </is>
      </c>
      <c r="M588" s="9">
        <f>IF($A588="","",VALUE($A588&amp;"")*12+VALUE($B588&amp;""))</f>
        <v/>
      </c>
      <c r="N588" s="39">
        <f>IF($A588="","",IFERROR(INDEX(부서매핑!$C$5:$C$504,MATCH($G588&amp;"",부서매핑!$A$5:$A$504,0)),"미매핑"))</f>
        <v/>
      </c>
      <c r="O588" s="9">
        <f>IF($A588="","",N588&amp;"|"&amp;$F588)</f>
        <v/>
      </c>
      <c r="P588" s="77">
        <f>IF($A588="",0,$H588*설정!$C$23)</f>
        <v/>
      </c>
      <c r="Q588" s="39">
        <f>IF($A588="","",IF(O588&lt;&gt;원인분석!$C$9,"",IF(AND(M588&gt;=원인분석!$C$10,M588&lt;=원인분석!$C$11),"당기",IF(AND(M588&gt;=원인분석!$C$12,M588&lt;=원인분석!$C$13),"비교",""))))</f>
        <v/>
      </c>
      <c r="R588" s="9">
        <f>IF(Q588="","",$K588&amp;"")</f>
        <v/>
      </c>
      <c r="S588" s="9">
        <f>IF(Q588="","",IF(MATCH(R588,$R$5:$R$100000,0)=ROW()-4,ROW(),""))</f>
        <v/>
      </c>
      <c r="T588" s="9">
        <f>IF(Q588="당기",ABS(P588)+ROW()/1000000000,"")</f>
        <v/>
      </c>
      <c r="U588" s="9">
        <f>IF(Q588="비교",ABS(P588)+ROW()/1000000000,"")</f>
        <v/>
      </c>
      <c r="V588" s="39">
        <f>IF($A588="","",IF(COUNTIF(변동분석!$E$7:$E$506,O588)&gt;0,"Y","N"))</f>
        <v/>
      </c>
      <c r="W588" s="39">
        <f>IF($A588="","",IFERROR(INDEX(계정매핑!$D$5:$D$504,MATCH($F588&amp;"",계정매핑!$A$5:$A$504,0)),"미매핑"))</f>
        <v/>
      </c>
      <c r="X588" s="9">
        <f>IF($A588="","",$F588&amp;"")</f>
        <v/>
      </c>
    </row>
    <row r="589">
      <c r="A589" s="75" t="n">
        <v>2025</v>
      </c>
      <c r="B589" s="75" t="n">
        <v>3</v>
      </c>
      <c r="C589" s="75" t="inlineStr">
        <is>
          <t>5100000585</t>
        </is>
      </c>
      <c r="D589" s="78" t="n">
        <v>45743</v>
      </c>
      <c r="E589" s="75" t="inlineStr">
        <is>
          <t>KR</t>
        </is>
      </c>
      <c r="F589" s="75" t="n">
        <v>62102000</v>
      </c>
      <c r="G589" s="75" t="n">
        <v>1502</v>
      </c>
      <c r="H589" s="76" t="n">
        <v>135000</v>
      </c>
      <c r="I589" s="75" t="inlineStr">
        <is>
          <t>3월 해외출장 - M항공</t>
        </is>
      </c>
      <c r="J589" s="75" t="inlineStr">
        <is>
          <t>V10001</t>
        </is>
      </c>
      <c r="K589" s="75" t="inlineStr">
        <is>
          <t>M항공</t>
        </is>
      </c>
      <c r="M589" s="9">
        <f>IF($A589="","",VALUE($A589&amp;"")*12+VALUE($B589&amp;""))</f>
        <v/>
      </c>
      <c r="N589" s="39">
        <f>IF($A589="","",IFERROR(INDEX(부서매핑!$C$5:$C$504,MATCH($G589&amp;"",부서매핑!$A$5:$A$504,0)),"미매핑"))</f>
        <v/>
      </c>
      <c r="O589" s="9">
        <f>IF($A589="","",N589&amp;"|"&amp;$F589)</f>
        <v/>
      </c>
      <c r="P589" s="77">
        <f>IF($A589="",0,$H589*설정!$C$23)</f>
        <v/>
      </c>
      <c r="Q589" s="39">
        <f>IF($A589="","",IF(O589&lt;&gt;원인분석!$C$9,"",IF(AND(M589&gt;=원인분석!$C$10,M589&lt;=원인분석!$C$11),"당기",IF(AND(M589&gt;=원인분석!$C$12,M589&lt;=원인분석!$C$13),"비교",""))))</f>
        <v/>
      </c>
      <c r="R589" s="9">
        <f>IF(Q589="","",$K589&amp;"")</f>
        <v/>
      </c>
      <c r="S589" s="9">
        <f>IF(Q589="","",IF(MATCH(R589,$R$5:$R$100000,0)=ROW()-4,ROW(),""))</f>
        <v/>
      </c>
      <c r="T589" s="9">
        <f>IF(Q589="당기",ABS(P589)+ROW()/1000000000,"")</f>
        <v/>
      </c>
      <c r="U589" s="9">
        <f>IF(Q589="비교",ABS(P589)+ROW()/1000000000,"")</f>
        <v/>
      </c>
      <c r="V589" s="39">
        <f>IF($A589="","",IF(COUNTIF(변동분석!$E$7:$E$506,O589)&gt;0,"Y","N"))</f>
        <v/>
      </c>
      <c r="W589" s="39">
        <f>IF($A589="","",IFERROR(INDEX(계정매핑!$D$5:$D$504,MATCH($F589&amp;"",계정매핑!$A$5:$A$504,0)),"미매핑"))</f>
        <v/>
      </c>
      <c r="X589" s="9">
        <f>IF($A589="","",$F589&amp;"")</f>
        <v/>
      </c>
    </row>
    <row r="590">
      <c r="A590" s="75" t="n">
        <v>2025</v>
      </c>
      <c r="B590" s="75" t="n">
        <v>3</v>
      </c>
      <c r="C590" s="75" t="inlineStr">
        <is>
          <t>5100000586</t>
        </is>
      </c>
      <c r="D590" s="78" t="n">
        <v>45743</v>
      </c>
      <c r="E590" s="75" t="inlineStr">
        <is>
          <t>KR</t>
        </is>
      </c>
      <c r="F590" s="75" t="n">
        <v>62102000</v>
      </c>
      <c r="G590" s="75" t="n">
        <v>1601</v>
      </c>
      <c r="H590" s="76" t="n">
        <v>217000</v>
      </c>
      <c r="I590" s="75" t="inlineStr">
        <is>
          <t>3월 해외출장 - M항공</t>
        </is>
      </c>
      <c r="J590" s="75" t="inlineStr">
        <is>
          <t>V10001</t>
        </is>
      </c>
      <c r="K590" s="75" t="inlineStr">
        <is>
          <t>M항공</t>
        </is>
      </c>
      <c r="M590" s="9">
        <f>IF($A590="","",VALUE($A590&amp;"")*12+VALUE($B590&amp;""))</f>
        <v/>
      </c>
      <c r="N590" s="39">
        <f>IF($A590="","",IFERROR(INDEX(부서매핑!$C$5:$C$504,MATCH($G590&amp;"",부서매핑!$A$5:$A$504,0)),"미매핑"))</f>
        <v/>
      </c>
      <c r="O590" s="9">
        <f>IF($A590="","",N590&amp;"|"&amp;$F590)</f>
        <v/>
      </c>
      <c r="P590" s="77">
        <f>IF($A590="",0,$H590*설정!$C$23)</f>
        <v/>
      </c>
      <c r="Q590" s="39">
        <f>IF($A590="","",IF(O590&lt;&gt;원인분석!$C$9,"",IF(AND(M590&gt;=원인분석!$C$10,M590&lt;=원인분석!$C$11),"당기",IF(AND(M590&gt;=원인분석!$C$12,M590&lt;=원인분석!$C$13),"비교",""))))</f>
        <v/>
      </c>
      <c r="R590" s="9">
        <f>IF(Q590="","",$K590&amp;"")</f>
        <v/>
      </c>
      <c r="S590" s="9">
        <f>IF(Q590="","",IF(MATCH(R590,$R$5:$R$100000,0)=ROW()-4,ROW(),""))</f>
        <v/>
      </c>
      <c r="T590" s="9">
        <f>IF(Q590="당기",ABS(P590)+ROW()/1000000000,"")</f>
        <v/>
      </c>
      <c r="U590" s="9">
        <f>IF(Q590="비교",ABS(P590)+ROW()/1000000000,"")</f>
        <v/>
      </c>
      <c r="V590" s="39">
        <f>IF($A590="","",IF(COUNTIF(변동분석!$E$7:$E$506,O590)&gt;0,"Y","N"))</f>
        <v/>
      </c>
      <c r="W590" s="39">
        <f>IF($A590="","",IFERROR(INDEX(계정매핑!$D$5:$D$504,MATCH($F590&amp;"",계정매핑!$A$5:$A$504,0)),"미매핑"))</f>
        <v/>
      </c>
      <c r="X590" s="9">
        <f>IF($A590="","",$F590&amp;"")</f>
        <v/>
      </c>
    </row>
    <row r="591">
      <c r="A591" s="75" t="n">
        <v>2025</v>
      </c>
      <c r="B591" s="75" t="n">
        <v>3</v>
      </c>
      <c r="C591" s="75" t="inlineStr">
        <is>
          <t>5100000587</t>
        </is>
      </c>
      <c r="D591" s="78" t="n">
        <v>45743</v>
      </c>
      <c r="E591" s="75" t="inlineStr">
        <is>
          <t>KR</t>
        </is>
      </c>
      <c r="F591" s="75" t="n">
        <v>62201000</v>
      </c>
      <c r="G591" s="75" t="n">
        <v>1501</v>
      </c>
      <c r="H591" s="76" t="n">
        <v>264000</v>
      </c>
      <c r="I591" s="75" t="inlineStr">
        <is>
          <t>3월 통신요금 - O텔레콤</t>
        </is>
      </c>
      <c r="J591" s="75" t="inlineStr">
        <is>
          <t>V10002</t>
        </is>
      </c>
      <c r="K591" s="75" t="inlineStr">
        <is>
          <t>O텔레콤</t>
        </is>
      </c>
      <c r="M591" s="9">
        <f>IF($A591="","",VALUE($A591&amp;"")*12+VALUE($B591&amp;""))</f>
        <v/>
      </c>
      <c r="N591" s="39">
        <f>IF($A591="","",IFERROR(INDEX(부서매핑!$C$5:$C$504,MATCH($G591&amp;"",부서매핑!$A$5:$A$504,0)),"미매핑"))</f>
        <v/>
      </c>
      <c r="O591" s="9">
        <f>IF($A591="","",N591&amp;"|"&amp;$F591)</f>
        <v/>
      </c>
      <c r="P591" s="77">
        <f>IF($A591="",0,$H591*설정!$C$23)</f>
        <v/>
      </c>
      <c r="Q591" s="39">
        <f>IF($A591="","",IF(O591&lt;&gt;원인분석!$C$9,"",IF(AND(M591&gt;=원인분석!$C$10,M591&lt;=원인분석!$C$11),"당기",IF(AND(M591&gt;=원인분석!$C$12,M591&lt;=원인분석!$C$13),"비교",""))))</f>
        <v/>
      </c>
      <c r="R591" s="9">
        <f>IF(Q591="","",$K591&amp;"")</f>
        <v/>
      </c>
      <c r="S591" s="9">
        <f>IF(Q591="","",IF(MATCH(R591,$R$5:$R$100000,0)=ROW()-4,ROW(),""))</f>
        <v/>
      </c>
      <c r="T591" s="9">
        <f>IF(Q591="당기",ABS(P591)+ROW()/1000000000,"")</f>
        <v/>
      </c>
      <c r="U591" s="9">
        <f>IF(Q591="비교",ABS(P591)+ROW()/1000000000,"")</f>
        <v/>
      </c>
      <c r="V591" s="39">
        <f>IF($A591="","",IF(COUNTIF(변동분석!$E$7:$E$506,O591)&gt;0,"Y","N"))</f>
        <v/>
      </c>
      <c r="W591" s="39">
        <f>IF($A591="","",IFERROR(INDEX(계정매핑!$D$5:$D$504,MATCH($F591&amp;"",계정매핑!$A$5:$A$504,0)),"미매핑"))</f>
        <v/>
      </c>
      <c r="X591" s="9">
        <f>IF($A591="","",$F591&amp;"")</f>
        <v/>
      </c>
    </row>
    <row r="592">
      <c r="A592" s="75" t="n">
        <v>2025</v>
      </c>
      <c r="B592" s="75" t="n">
        <v>3</v>
      </c>
      <c r="C592" s="75" t="inlineStr">
        <is>
          <t>5100000588</t>
        </is>
      </c>
      <c r="D592" s="78" t="n">
        <v>45743</v>
      </c>
      <c r="E592" s="75" t="inlineStr">
        <is>
          <t>KR</t>
        </is>
      </c>
      <c r="F592" s="75" t="n">
        <v>62301000</v>
      </c>
      <c r="G592" s="75" t="n">
        <v>1101</v>
      </c>
      <c r="H592" s="76" t="n">
        <v>118000</v>
      </c>
      <c r="I592" s="75" t="inlineStr">
        <is>
          <t>3월 소모품 구입 - R문구</t>
        </is>
      </c>
      <c r="J592" s="75" t="inlineStr">
        <is>
          <t>V10018</t>
        </is>
      </c>
      <c r="K592" s="75" t="inlineStr">
        <is>
          <t>R문구</t>
        </is>
      </c>
      <c r="M592" s="9">
        <f>IF($A592="","",VALUE($A592&amp;"")*12+VALUE($B592&amp;""))</f>
        <v/>
      </c>
      <c r="N592" s="39">
        <f>IF($A592="","",IFERROR(INDEX(부서매핑!$C$5:$C$504,MATCH($G592&amp;"",부서매핑!$A$5:$A$504,0)),"미매핑"))</f>
        <v/>
      </c>
      <c r="O592" s="9">
        <f>IF($A592="","",N592&amp;"|"&amp;$F592)</f>
        <v/>
      </c>
      <c r="P592" s="77">
        <f>IF($A592="",0,$H592*설정!$C$23)</f>
        <v/>
      </c>
      <c r="Q592" s="39">
        <f>IF($A592="","",IF(O592&lt;&gt;원인분석!$C$9,"",IF(AND(M592&gt;=원인분석!$C$10,M592&lt;=원인분석!$C$11),"당기",IF(AND(M592&gt;=원인분석!$C$12,M592&lt;=원인분석!$C$13),"비교",""))))</f>
        <v/>
      </c>
      <c r="R592" s="9">
        <f>IF(Q592="","",$K592&amp;"")</f>
        <v/>
      </c>
      <c r="S592" s="9">
        <f>IF(Q592="","",IF(MATCH(R592,$R$5:$R$100000,0)=ROW()-4,ROW(),""))</f>
        <v/>
      </c>
      <c r="T592" s="9">
        <f>IF(Q592="당기",ABS(P592)+ROW()/1000000000,"")</f>
        <v/>
      </c>
      <c r="U592" s="9">
        <f>IF(Q592="비교",ABS(P592)+ROW()/1000000000,"")</f>
        <v/>
      </c>
      <c r="V592" s="39">
        <f>IF($A592="","",IF(COUNTIF(변동분석!$E$7:$E$506,O592)&gt;0,"Y","N"))</f>
        <v/>
      </c>
      <c r="W592" s="39">
        <f>IF($A592="","",IFERROR(INDEX(계정매핑!$D$5:$D$504,MATCH($F592&amp;"",계정매핑!$A$5:$A$504,0)),"미매핑"))</f>
        <v/>
      </c>
      <c r="X592" s="9">
        <f>IF($A592="","",$F592&amp;"")</f>
        <v/>
      </c>
    </row>
    <row r="593">
      <c r="A593" s="75" t="n">
        <v>2025</v>
      </c>
      <c r="B593" s="75" t="n">
        <v>3</v>
      </c>
      <c r="C593" s="75" t="inlineStr">
        <is>
          <t>5100000589</t>
        </is>
      </c>
      <c r="D593" s="78" t="n">
        <v>45743</v>
      </c>
      <c r="E593" s="75" t="inlineStr">
        <is>
          <t>KR</t>
        </is>
      </c>
      <c r="F593" s="75" t="n">
        <v>62301000</v>
      </c>
      <c r="G593" s="75" t="n">
        <v>1401</v>
      </c>
      <c r="H593" s="76" t="n">
        <v>143000</v>
      </c>
      <c r="I593" s="75" t="inlineStr">
        <is>
          <t>3월 소모품 구입 - R문구</t>
        </is>
      </c>
      <c r="J593" s="75" t="inlineStr">
        <is>
          <t>V10018</t>
        </is>
      </c>
      <c r="K593" s="75" t="inlineStr">
        <is>
          <t>R문구</t>
        </is>
      </c>
      <c r="M593" s="9">
        <f>IF($A593="","",VALUE($A593&amp;"")*12+VALUE($B593&amp;""))</f>
        <v/>
      </c>
      <c r="N593" s="39">
        <f>IF($A593="","",IFERROR(INDEX(부서매핑!$C$5:$C$504,MATCH($G593&amp;"",부서매핑!$A$5:$A$504,0)),"미매핑"))</f>
        <v/>
      </c>
      <c r="O593" s="9">
        <f>IF($A593="","",N593&amp;"|"&amp;$F593)</f>
        <v/>
      </c>
      <c r="P593" s="77">
        <f>IF($A593="",0,$H593*설정!$C$23)</f>
        <v/>
      </c>
      <c r="Q593" s="39">
        <f>IF($A593="","",IF(O593&lt;&gt;원인분석!$C$9,"",IF(AND(M593&gt;=원인분석!$C$10,M593&lt;=원인분석!$C$11),"당기",IF(AND(M593&gt;=원인분석!$C$12,M593&lt;=원인분석!$C$13),"비교",""))))</f>
        <v/>
      </c>
      <c r="R593" s="9">
        <f>IF(Q593="","",$K593&amp;"")</f>
        <v/>
      </c>
      <c r="S593" s="9">
        <f>IF(Q593="","",IF(MATCH(R593,$R$5:$R$100000,0)=ROW()-4,ROW(),""))</f>
        <v/>
      </c>
      <c r="T593" s="9">
        <f>IF(Q593="당기",ABS(P593)+ROW()/1000000000,"")</f>
        <v/>
      </c>
      <c r="U593" s="9">
        <f>IF(Q593="비교",ABS(P593)+ROW()/1000000000,"")</f>
        <v/>
      </c>
      <c r="V593" s="39">
        <f>IF($A593="","",IF(COUNTIF(변동분석!$E$7:$E$506,O593)&gt;0,"Y","N"))</f>
        <v/>
      </c>
      <c r="W593" s="39">
        <f>IF($A593="","",IFERROR(INDEX(계정매핑!$D$5:$D$504,MATCH($F593&amp;"",계정매핑!$A$5:$A$504,0)),"미매핑"))</f>
        <v/>
      </c>
      <c r="X593" s="9">
        <f>IF($A593="","",$F593&amp;"")</f>
        <v/>
      </c>
    </row>
    <row r="594">
      <c r="A594" s="75" t="n">
        <v>2025</v>
      </c>
      <c r="B594" s="75" t="n">
        <v>3</v>
      </c>
      <c r="C594" s="75" t="inlineStr">
        <is>
          <t>5100000590</t>
        </is>
      </c>
      <c r="D594" s="78" t="n">
        <v>45743</v>
      </c>
      <c r="E594" s="75" t="inlineStr">
        <is>
          <t>KR</t>
        </is>
      </c>
      <c r="F594" s="75" t="n">
        <v>62501000</v>
      </c>
      <c r="G594" s="75" t="n">
        <v>1201</v>
      </c>
      <c r="H594" s="76" t="n">
        <v>197000</v>
      </c>
      <c r="I594" s="75" t="inlineStr">
        <is>
          <t>3월 회의 다과 - (법인카드)</t>
        </is>
      </c>
      <c r="J594" s="75" t="inlineStr">
        <is>
          <t>V10008</t>
        </is>
      </c>
      <c r="K594" s="75" t="inlineStr">
        <is>
          <t>(법인카드)</t>
        </is>
      </c>
      <c r="M594" s="9">
        <f>IF($A594="","",VALUE($A594&amp;"")*12+VALUE($B594&amp;""))</f>
        <v/>
      </c>
      <c r="N594" s="39">
        <f>IF($A594="","",IFERROR(INDEX(부서매핑!$C$5:$C$504,MATCH($G594&amp;"",부서매핑!$A$5:$A$504,0)),"미매핑"))</f>
        <v/>
      </c>
      <c r="O594" s="9">
        <f>IF($A594="","",N594&amp;"|"&amp;$F594)</f>
        <v/>
      </c>
      <c r="P594" s="77">
        <f>IF($A594="",0,$H594*설정!$C$23)</f>
        <v/>
      </c>
      <c r="Q594" s="39">
        <f>IF($A594="","",IF(O594&lt;&gt;원인분석!$C$9,"",IF(AND(M594&gt;=원인분석!$C$10,M594&lt;=원인분석!$C$11),"당기",IF(AND(M594&gt;=원인분석!$C$12,M594&lt;=원인분석!$C$13),"비교",""))))</f>
        <v/>
      </c>
      <c r="R594" s="9">
        <f>IF(Q594="","",$K594&amp;"")</f>
        <v/>
      </c>
      <c r="S594" s="9">
        <f>IF(Q594="","",IF(MATCH(R594,$R$5:$R$100000,0)=ROW()-4,ROW(),""))</f>
        <v/>
      </c>
      <c r="T594" s="9">
        <f>IF(Q594="당기",ABS(P594)+ROW()/1000000000,"")</f>
        <v/>
      </c>
      <c r="U594" s="9">
        <f>IF(Q594="비교",ABS(P594)+ROW()/1000000000,"")</f>
        <v/>
      </c>
      <c r="V594" s="39">
        <f>IF($A594="","",IF(COUNTIF(변동분석!$E$7:$E$506,O594)&gt;0,"Y","N"))</f>
        <v/>
      </c>
      <c r="W594" s="39">
        <f>IF($A594="","",IFERROR(INDEX(계정매핑!$D$5:$D$504,MATCH($F594&amp;"",계정매핑!$A$5:$A$504,0)),"미매핑"))</f>
        <v/>
      </c>
      <c r="X594" s="9">
        <f>IF($A594="","",$F594&amp;"")</f>
        <v/>
      </c>
    </row>
    <row r="595">
      <c r="A595" s="75" t="n">
        <v>2025</v>
      </c>
      <c r="B595" s="75" t="n">
        <v>4</v>
      </c>
      <c r="C595" s="75" t="inlineStr">
        <is>
          <t>5100000591</t>
        </is>
      </c>
      <c r="D595" s="78" t="n">
        <v>45749</v>
      </c>
      <c r="E595" s="75" t="inlineStr">
        <is>
          <t>KR</t>
        </is>
      </c>
      <c r="F595" s="75" t="n">
        <v>62501000</v>
      </c>
      <c r="G595" s="75" t="n">
        <v>1801</v>
      </c>
      <c r="H595" s="76" t="n">
        <v>164000</v>
      </c>
      <c r="I595" s="75" t="inlineStr">
        <is>
          <t>4월 회의 다과 - T케이터링</t>
        </is>
      </c>
      <c r="J595" s="75" t="inlineStr">
        <is>
          <t>V10005</t>
        </is>
      </c>
      <c r="K595" s="75" t="inlineStr">
        <is>
          <t>T케이터링</t>
        </is>
      </c>
      <c r="M595" s="9">
        <f>IF($A595="","",VALUE($A595&amp;"")*12+VALUE($B595&amp;""))</f>
        <v/>
      </c>
      <c r="N595" s="39">
        <f>IF($A595="","",IFERROR(INDEX(부서매핑!$C$5:$C$504,MATCH($G595&amp;"",부서매핑!$A$5:$A$504,0)),"미매핑"))</f>
        <v/>
      </c>
      <c r="O595" s="9">
        <f>IF($A595="","",N595&amp;"|"&amp;$F595)</f>
        <v/>
      </c>
      <c r="P595" s="77">
        <f>IF($A595="",0,$H595*설정!$C$23)</f>
        <v/>
      </c>
      <c r="Q595" s="39">
        <f>IF($A595="","",IF(O595&lt;&gt;원인분석!$C$9,"",IF(AND(M595&gt;=원인분석!$C$10,M595&lt;=원인분석!$C$11),"당기",IF(AND(M595&gt;=원인분석!$C$12,M595&lt;=원인분석!$C$13),"비교",""))))</f>
        <v/>
      </c>
      <c r="R595" s="9">
        <f>IF(Q595="","",$K595&amp;"")</f>
        <v/>
      </c>
      <c r="S595" s="9">
        <f>IF(Q595="","",IF(MATCH(R595,$R$5:$R$100000,0)=ROW()-4,ROW(),""))</f>
        <v/>
      </c>
      <c r="T595" s="9">
        <f>IF(Q595="당기",ABS(P595)+ROW()/1000000000,"")</f>
        <v/>
      </c>
      <c r="U595" s="9">
        <f>IF(Q595="비교",ABS(P595)+ROW()/1000000000,"")</f>
        <v/>
      </c>
      <c r="V595" s="39">
        <f>IF($A595="","",IF(COUNTIF(변동분석!$E$7:$E$506,O595)&gt;0,"Y","N"))</f>
        <v/>
      </c>
      <c r="W595" s="39">
        <f>IF($A595="","",IFERROR(INDEX(계정매핑!$D$5:$D$504,MATCH($F595&amp;"",계정매핑!$A$5:$A$504,0)),"미매핑"))</f>
        <v/>
      </c>
      <c r="X595" s="9">
        <f>IF($A595="","",$F595&amp;"")</f>
        <v/>
      </c>
    </row>
    <row r="596">
      <c r="A596" s="75" t="n">
        <v>2025</v>
      </c>
      <c r="B596" s="75" t="n">
        <v>4</v>
      </c>
      <c r="C596" s="75" t="inlineStr">
        <is>
          <t>5100000592</t>
        </is>
      </c>
      <c r="D596" s="78" t="n">
        <v>45749</v>
      </c>
      <c r="E596" s="75" t="inlineStr">
        <is>
          <t>KR</t>
        </is>
      </c>
      <c r="F596" s="75" t="n">
        <v>62901000</v>
      </c>
      <c r="G596" s="75" t="n">
        <v>1801</v>
      </c>
      <c r="H596" s="76" t="n">
        <v>8751000</v>
      </c>
      <c r="I596" s="75" t="inlineStr">
        <is>
          <t>4월 자문 수수료 - K회계법인</t>
        </is>
      </c>
      <c r="J596" s="75" t="inlineStr">
        <is>
          <t>V10010</t>
        </is>
      </c>
      <c r="K596" s="75" t="inlineStr">
        <is>
          <t>K회계법인</t>
        </is>
      </c>
      <c r="M596" s="9">
        <f>IF($A596="","",VALUE($A596&amp;"")*12+VALUE($B596&amp;""))</f>
        <v/>
      </c>
      <c r="N596" s="39">
        <f>IF($A596="","",IFERROR(INDEX(부서매핑!$C$5:$C$504,MATCH($G596&amp;"",부서매핑!$A$5:$A$504,0)),"미매핑"))</f>
        <v/>
      </c>
      <c r="O596" s="9">
        <f>IF($A596="","",N596&amp;"|"&amp;$F596)</f>
        <v/>
      </c>
      <c r="P596" s="77">
        <f>IF($A596="",0,$H596*설정!$C$23)</f>
        <v/>
      </c>
      <c r="Q596" s="39">
        <f>IF($A596="","",IF(O596&lt;&gt;원인분석!$C$9,"",IF(AND(M596&gt;=원인분석!$C$10,M596&lt;=원인분석!$C$11),"당기",IF(AND(M596&gt;=원인분석!$C$12,M596&lt;=원인분석!$C$13),"비교",""))))</f>
        <v/>
      </c>
      <c r="R596" s="9">
        <f>IF(Q596="","",$K596&amp;"")</f>
        <v/>
      </c>
      <c r="S596" s="9">
        <f>IF(Q596="","",IF(MATCH(R596,$R$5:$R$100000,0)=ROW()-4,ROW(),""))</f>
        <v/>
      </c>
      <c r="T596" s="9">
        <f>IF(Q596="당기",ABS(P596)+ROW()/1000000000,"")</f>
        <v/>
      </c>
      <c r="U596" s="9">
        <f>IF(Q596="비교",ABS(P596)+ROW()/1000000000,"")</f>
        <v/>
      </c>
      <c r="V596" s="39">
        <f>IF($A596="","",IF(COUNTIF(변동분석!$E$7:$E$506,O596)&gt;0,"Y","N"))</f>
        <v/>
      </c>
      <c r="W596" s="39">
        <f>IF($A596="","",IFERROR(INDEX(계정매핑!$D$5:$D$504,MATCH($F596&amp;"",계정매핑!$A$5:$A$504,0)),"미매핑"))</f>
        <v/>
      </c>
      <c r="X596" s="9">
        <f>IF($A596="","",$F596&amp;"")</f>
        <v/>
      </c>
    </row>
    <row r="597">
      <c r="A597" s="75" t="n">
        <v>2025</v>
      </c>
      <c r="B597" s="75" t="n">
        <v>4</v>
      </c>
      <c r="C597" s="75" t="inlineStr">
        <is>
          <t>5100000593</t>
        </is>
      </c>
      <c r="D597" s="78" t="n">
        <v>45749</v>
      </c>
      <c r="E597" s="75" t="inlineStr">
        <is>
          <t>KR</t>
        </is>
      </c>
      <c r="F597" s="75" t="n">
        <v>62901000</v>
      </c>
      <c r="G597" s="75" t="n">
        <v>1801</v>
      </c>
      <c r="H597" s="76" t="n">
        <v>8376000</v>
      </c>
      <c r="I597" s="75" t="inlineStr">
        <is>
          <t>4월 자문 수수료 - W컨설팅</t>
        </is>
      </c>
      <c r="J597" s="75" t="inlineStr">
        <is>
          <t>V10009</t>
        </is>
      </c>
      <c r="K597" s="75" t="inlineStr">
        <is>
          <t>W컨설팅</t>
        </is>
      </c>
      <c r="M597" s="9">
        <f>IF($A597="","",VALUE($A597&amp;"")*12+VALUE($B597&amp;""))</f>
        <v/>
      </c>
      <c r="N597" s="39">
        <f>IF($A597="","",IFERROR(INDEX(부서매핑!$C$5:$C$504,MATCH($G597&amp;"",부서매핑!$A$5:$A$504,0)),"미매핑"))</f>
        <v/>
      </c>
      <c r="O597" s="9">
        <f>IF($A597="","",N597&amp;"|"&amp;$F597)</f>
        <v/>
      </c>
      <c r="P597" s="77">
        <f>IF($A597="",0,$H597*설정!$C$23)</f>
        <v/>
      </c>
      <c r="Q597" s="39">
        <f>IF($A597="","",IF(O597&lt;&gt;원인분석!$C$9,"",IF(AND(M597&gt;=원인분석!$C$10,M597&lt;=원인분석!$C$11),"당기",IF(AND(M597&gt;=원인분석!$C$12,M597&lt;=원인분석!$C$13),"비교",""))))</f>
        <v/>
      </c>
      <c r="R597" s="9">
        <f>IF(Q597="","",$K597&amp;"")</f>
        <v/>
      </c>
      <c r="S597" s="9">
        <f>IF(Q597="","",IF(MATCH(R597,$R$5:$R$100000,0)=ROW()-4,ROW(),""))</f>
        <v/>
      </c>
      <c r="T597" s="9">
        <f>IF(Q597="당기",ABS(P597)+ROW()/1000000000,"")</f>
        <v/>
      </c>
      <c r="U597" s="9">
        <f>IF(Q597="비교",ABS(P597)+ROW()/1000000000,"")</f>
        <v/>
      </c>
      <c r="V597" s="39">
        <f>IF($A597="","",IF(COUNTIF(변동분석!$E$7:$E$506,O597)&gt;0,"Y","N"))</f>
        <v/>
      </c>
      <c r="W597" s="39">
        <f>IF($A597="","",IFERROR(INDEX(계정매핑!$D$5:$D$504,MATCH($F597&amp;"",계정매핑!$A$5:$A$504,0)),"미매핑"))</f>
        <v/>
      </c>
      <c r="X597" s="9">
        <f>IF($A597="","",$F597&amp;"")</f>
        <v/>
      </c>
    </row>
    <row r="598">
      <c r="A598" s="75" t="n">
        <v>2025</v>
      </c>
      <c r="B598" s="75" t="n">
        <v>4</v>
      </c>
      <c r="C598" s="75" t="inlineStr">
        <is>
          <t>5100000594</t>
        </is>
      </c>
      <c r="D598" s="78" t="n">
        <v>45749</v>
      </c>
      <c r="E598" s="75" t="inlineStr">
        <is>
          <t>KR</t>
        </is>
      </c>
      <c r="F598" s="75" t="n">
        <v>62902000</v>
      </c>
      <c r="G598" s="75" t="n">
        <v>1801</v>
      </c>
      <c r="H598" s="76" t="n">
        <v>1849000</v>
      </c>
      <c r="I598" s="75" t="inlineStr">
        <is>
          <t>4월 콜 위탁 수수료(건별)</t>
        </is>
      </c>
      <c r="J598" s="75" t="inlineStr">
        <is>
          <t>V10013</t>
        </is>
      </c>
      <c r="K598" s="75" t="inlineStr">
        <is>
          <t>J콜센터</t>
        </is>
      </c>
      <c r="M598" s="9">
        <f>IF($A598="","",VALUE($A598&amp;"")*12+VALUE($B598&amp;""))</f>
        <v/>
      </c>
      <c r="N598" s="39">
        <f>IF($A598="","",IFERROR(INDEX(부서매핑!$C$5:$C$504,MATCH($G598&amp;"",부서매핑!$A$5:$A$504,0)),"미매핑"))</f>
        <v/>
      </c>
      <c r="O598" s="9">
        <f>IF($A598="","",N598&amp;"|"&amp;$F598)</f>
        <v/>
      </c>
      <c r="P598" s="77">
        <f>IF($A598="",0,$H598*설정!$C$23)</f>
        <v/>
      </c>
      <c r="Q598" s="39">
        <f>IF($A598="","",IF(O598&lt;&gt;원인분석!$C$9,"",IF(AND(M598&gt;=원인분석!$C$10,M598&lt;=원인분석!$C$11),"당기",IF(AND(M598&gt;=원인분석!$C$12,M598&lt;=원인분석!$C$13),"비교",""))))</f>
        <v/>
      </c>
      <c r="R598" s="9">
        <f>IF(Q598="","",$K598&amp;"")</f>
        <v/>
      </c>
      <c r="S598" s="9">
        <f>IF(Q598="","",IF(MATCH(R598,$R$5:$R$100000,0)=ROW()-4,ROW(),""))</f>
        <v/>
      </c>
      <c r="T598" s="9">
        <f>IF(Q598="당기",ABS(P598)+ROW()/1000000000,"")</f>
        <v/>
      </c>
      <c r="U598" s="9">
        <f>IF(Q598="비교",ABS(P598)+ROW()/1000000000,"")</f>
        <v/>
      </c>
      <c r="V598" s="39">
        <f>IF($A598="","",IF(COUNTIF(변동분석!$E$7:$E$506,O598)&gt;0,"Y","N"))</f>
        <v/>
      </c>
      <c r="W598" s="39">
        <f>IF($A598="","",IFERROR(INDEX(계정매핑!$D$5:$D$504,MATCH($F598&amp;"",계정매핑!$A$5:$A$504,0)),"미매핑"))</f>
        <v/>
      </c>
      <c r="X598" s="9">
        <f>IF($A598="","",$F598&amp;"")</f>
        <v/>
      </c>
    </row>
    <row r="599">
      <c r="A599" s="75" t="n">
        <v>2025</v>
      </c>
      <c r="B599" s="75" t="n">
        <v>4</v>
      </c>
      <c r="C599" s="75" t="inlineStr">
        <is>
          <t>5100000595</t>
        </is>
      </c>
      <c r="D599" s="78" t="n">
        <v>45750</v>
      </c>
      <c r="E599" s="75" t="inlineStr">
        <is>
          <t>KR</t>
        </is>
      </c>
      <c r="F599" s="75" t="n">
        <v>62101000</v>
      </c>
      <c r="G599" s="75" t="n">
        <v>1101</v>
      </c>
      <c r="H599" s="76" t="n">
        <v>286000</v>
      </c>
      <c r="I599" s="75" t="inlineStr">
        <is>
          <t>4월 국내출장 - L여행사</t>
        </is>
      </c>
      <c r="J599" s="75" t="inlineStr">
        <is>
          <t>V10014</t>
        </is>
      </c>
      <c r="K599" s="75" t="inlineStr">
        <is>
          <t>L여행사</t>
        </is>
      </c>
      <c r="M599" s="9">
        <f>IF($A599="","",VALUE($A599&amp;"")*12+VALUE($B599&amp;""))</f>
        <v/>
      </c>
      <c r="N599" s="39">
        <f>IF($A599="","",IFERROR(INDEX(부서매핑!$C$5:$C$504,MATCH($G599&amp;"",부서매핑!$A$5:$A$504,0)),"미매핑"))</f>
        <v/>
      </c>
      <c r="O599" s="9">
        <f>IF($A599="","",N599&amp;"|"&amp;$F599)</f>
        <v/>
      </c>
      <c r="P599" s="77">
        <f>IF($A599="",0,$H599*설정!$C$23)</f>
        <v/>
      </c>
      <c r="Q599" s="39">
        <f>IF($A599="","",IF(O599&lt;&gt;원인분석!$C$9,"",IF(AND(M599&gt;=원인분석!$C$10,M599&lt;=원인분석!$C$11),"당기",IF(AND(M599&gt;=원인분석!$C$12,M599&lt;=원인분석!$C$13),"비교",""))))</f>
        <v/>
      </c>
      <c r="R599" s="9">
        <f>IF(Q599="","",$K599&amp;"")</f>
        <v/>
      </c>
      <c r="S599" s="9">
        <f>IF(Q599="","",IF(MATCH(R599,$R$5:$R$100000,0)=ROW()-4,ROW(),""))</f>
        <v/>
      </c>
      <c r="T599" s="9">
        <f>IF(Q599="당기",ABS(P599)+ROW()/1000000000,"")</f>
        <v/>
      </c>
      <c r="U599" s="9">
        <f>IF(Q599="비교",ABS(P599)+ROW()/1000000000,"")</f>
        <v/>
      </c>
      <c r="V599" s="39">
        <f>IF($A599="","",IF(COUNTIF(변동분석!$E$7:$E$506,O599)&gt;0,"Y","N"))</f>
        <v/>
      </c>
      <c r="W599" s="39">
        <f>IF($A599="","",IFERROR(INDEX(계정매핑!$D$5:$D$504,MATCH($F599&amp;"",계정매핑!$A$5:$A$504,0)),"미매핑"))</f>
        <v/>
      </c>
      <c r="X599" s="9">
        <f>IF($A599="","",$F599&amp;"")</f>
        <v/>
      </c>
    </row>
    <row r="600">
      <c r="A600" s="75" t="n">
        <v>2025</v>
      </c>
      <c r="B600" s="75" t="n">
        <v>4</v>
      </c>
      <c r="C600" s="75" t="inlineStr">
        <is>
          <t>5100000596</t>
        </is>
      </c>
      <c r="D600" s="78" t="n">
        <v>45750</v>
      </c>
      <c r="E600" s="75" t="inlineStr">
        <is>
          <t>KR</t>
        </is>
      </c>
      <c r="F600" s="75" t="n">
        <v>62101000</v>
      </c>
      <c r="G600" s="75" t="n">
        <v>1401</v>
      </c>
      <c r="H600" s="76" t="n">
        <v>417000</v>
      </c>
      <c r="I600" s="75" t="inlineStr">
        <is>
          <t>4월 국내출장 - (법인카드)</t>
        </is>
      </c>
      <c r="J600" s="75" t="inlineStr">
        <is>
          <t>V10008</t>
        </is>
      </c>
      <c r="K600" s="75" t="inlineStr">
        <is>
          <t>(법인카드)</t>
        </is>
      </c>
      <c r="M600" s="9">
        <f>IF($A600="","",VALUE($A600&amp;"")*12+VALUE($B600&amp;""))</f>
        <v/>
      </c>
      <c r="N600" s="39">
        <f>IF($A600="","",IFERROR(INDEX(부서매핑!$C$5:$C$504,MATCH($G600&amp;"",부서매핑!$A$5:$A$504,0)),"미매핑"))</f>
        <v/>
      </c>
      <c r="O600" s="9">
        <f>IF($A600="","",N600&amp;"|"&amp;$F600)</f>
        <v/>
      </c>
      <c r="P600" s="77">
        <f>IF($A600="",0,$H600*설정!$C$23)</f>
        <v/>
      </c>
      <c r="Q600" s="39">
        <f>IF($A600="","",IF(O600&lt;&gt;원인분석!$C$9,"",IF(AND(M600&gt;=원인분석!$C$10,M600&lt;=원인분석!$C$11),"당기",IF(AND(M600&gt;=원인분석!$C$12,M600&lt;=원인분석!$C$13),"비교",""))))</f>
        <v/>
      </c>
      <c r="R600" s="9">
        <f>IF(Q600="","",$K600&amp;"")</f>
        <v/>
      </c>
      <c r="S600" s="9">
        <f>IF(Q600="","",IF(MATCH(R600,$R$5:$R$100000,0)=ROW()-4,ROW(),""))</f>
        <v/>
      </c>
      <c r="T600" s="9">
        <f>IF(Q600="당기",ABS(P600)+ROW()/1000000000,"")</f>
        <v/>
      </c>
      <c r="U600" s="9">
        <f>IF(Q600="비교",ABS(P600)+ROW()/1000000000,"")</f>
        <v/>
      </c>
      <c r="V600" s="39">
        <f>IF($A600="","",IF(COUNTIF(변동분석!$E$7:$E$506,O600)&gt;0,"Y","N"))</f>
        <v/>
      </c>
      <c r="W600" s="39">
        <f>IF($A600="","",IFERROR(INDEX(계정매핑!$D$5:$D$504,MATCH($F600&amp;"",계정매핑!$A$5:$A$504,0)),"미매핑"))</f>
        <v/>
      </c>
      <c r="X600" s="9">
        <f>IF($A600="","",$F600&amp;"")</f>
        <v/>
      </c>
    </row>
    <row r="601">
      <c r="A601" s="75" t="n">
        <v>2025</v>
      </c>
      <c r="B601" s="75" t="n">
        <v>4</v>
      </c>
      <c r="C601" s="75" t="inlineStr">
        <is>
          <t>5100000597</t>
        </is>
      </c>
      <c r="D601" s="78" t="n">
        <v>45750</v>
      </c>
      <c r="E601" s="75" t="inlineStr">
        <is>
          <t>KR</t>
        </is>
      </c>
      <c r="F601" s="75" t="n">
        <v>62101000</v>
      </c>
      <c r="G601" s="75" t="n">
        <v>1601</v>
      </c>
      <c r="H601" s="76" t="n">
        <v>1783000</v>
      </c>
      <c r="I601" s="75" t="inlineStr">
        <is>
          <t>4월 국내출장 - L여행사</t>
        </is>
      </c>
      <c r="J601" s="75" t="inlineStr">
        <is>
          <t>V10014</t>
        </is>
      </c>
      <c r="K601" s="75" t="inlineStr">
        <is>
          <t>L여행사</t>
        </is>
      </c>
      <c r="M601" s="9">
        <f>IF($A601="","",VALUE($A601&amp;"")*12+VALUE($B601&amp;""))</f>
        <v/>
      </c>
      <c r="N601" s="39">
        <f>IF($A601="","",IFERROR(INDEX(부서매핑!$C$5:$C$504,MATCH($G601&amp;"",부서매핑!$A$5:$A$504,0)),"미매핑"))</f>
        <v/>
      </c>
      <c r="O601" s="9">
        <f>IF($A601="","",N601&amp;"|"&amp;$F601)</f>
        <v/>
      </c>
      <c r="P601" s="77">
        <f>IF($A601="",0,$H601*설정!$C$23)</f>
        <v/>
      </c>
      <c r="Q601" s="39">
        <f>IF($A601="","",IF(O601&lt;&gt;원인분석!$C$9,"",IF(AND(M601&gt;=원인분석!$C$10,M601&lt;=원인분석!$C$11),"당기",IF(AND(M601&gt;=원인분석!$C$12,M601&lt;=원인분석!$C$13),"비교",""))))</f>
        <v/>
      </c>
      <c r="R601" s="9">
        <f>IF(Q601="","",$K601&amp;"")</f>
        <v/>
      </c>
      <c r="S601" s="9">
        <f>IF(Q601="","",IF(MATCH(R601,$R$5:$R$100000,0)=ROW()-4,ROW(),""))</f>
        <v/>
      </c>
      <c r="T601" s="9">
        <f>IF(Q601="당기",ABS(P601)+ROW()/1000000000,"")</f>
        <v/>
      </c>
      <c r="U601" s="9">
        <f>IF(Q601="비교",ABS(P601)+ROW()/1000000000,"")</f>
        <v/>
      </c>
      <c r="V601" s="39">
        <f>IF($A601="","",IF(COUNTIF(변동분석!$E$7:$E$506,O601)&gt;0,"Y","N"))</f>
        <v/>
      </c>
      <c r="W601" s="39">
        <f>IF($A601="","",IFERROR(INDEX(계정매핑!$D$5:$D$504,MATCH($F601&amp;"",계정매핑!$A$5:$A$504,0)),"미매핑"))</f>
        <v/>
      </c>
      <c r="X601" s="9">
        <f>IF($A601="","",$F601&amp;"")</f>
        <v/>
      </c>
    </row>
    <row r="602">
      <c r="A602" s="75" t="n">
        <v>2025</v>
      </c>
      <c r="B602" s="75" t="n">
        <v>4</v>
      </c>
      <c r="C602" s="75" t="inlineStr">
        <is>
          <t>5100000598</t>
        </is>
      </c>
      <c r="D602" s="78" t="n">
        <v>45750</v>
      </c>
      <c r="E602" s="75" t="inlineStr">
        <is>
          <t>KR</t>
        </is>
      </c>
      <c r="F602" s="75" t="n">
        <v>62102000</v>
      </c>
      <c r="G602" s="75" t="n">
        <v>1101</v>
      </c>
      <c r="H602" s="76" t="n">
        <v>125000</v>
      </c>
      <c r="I602" s="75" t="inlineStr">
        <is>
          <t>4월 해외출장 - M항공</t>
        </is>
      </c>
      <c r="J602" s="75" t="inlineStr">
        <is>
          <t>V10001</t>
        </is>
      </c>
      <c r="K602" s="75" t="inlineStr">
        <is>
          <t>M항공</t>
        </is>
      </c>
      <c r="M602" s="9">
        <f>IF($A602="","",VALUE($A602&amp;"")*12+VALUE($B602&amp;""))</f>
        <v/>
      </c>
      <c r="N602" s="39">
        <f>IF($A602="","",IFERROR(INDEX(부서매핑!$C$5:$C$504,MATCH($G602&amp;"",부서매핑!$A$5:$A$504,0)),"미매핑"))</f>
        <v/>
      </c>
      <c r="O602" s="9">
        <f>IF($A602="","",N602&amp;"|"&amp;$F602)</f>
        <v/>
      </c>
      <c r="P602" s="77">
        <f>IF($A602="",0,$H602*설정!$C$23)</f>
        <v/>
      </c>
      <c r="Q602" s="39">
        <f>IF($A602="","",IF(O602&lt;&gt;원인분석!$C$9,"",IF(AND(M602&gt;=원인분석!$C$10,M602&lt;=원인분석!$C$11),"당기",IF(AND(M602&gt;=원인분석!$C$12,M602&lt;=원인분석!$C$13),"비교",""))))</f>
        <v/>
      </c>
      <c r="R602" s="9">
        <f>IF(Q602="","",$K602&amp;"")</f>
        <v/>
      </c>
      <c r="S602" s="9">
        <f>IF(Q602="","",IF(MATCH(R602,$R$5:$R$100000,0)=ROW()-4,ROW(),""))</f>
        <v/>
      </c>
      <c r="T602" s="9">
        <f>IF(Q602="당기",ABS(P602)+ROW()/1000000000,"")</f>
        <v/>
      </c>
      <c r="U602" s="9">
        <f>IF(Q602="비교",ABS(P602)+ROW()/1000000000,"")</f>
        <v/>
      </c>
      <c r="V602" s="39">
        <f>IF($A602="","",IF(COUNTIF(변동분석!$E$7:$E$506,O602)&gt;0,"Y","N"))</f>
        <v/>
      </c>
      <c r="W602" s="39">
        <f>IF($A602="","",IFERROR(INDEX(계정매핑!$D$5:$D$504,MATCH($F602&amp;"",계정매핑!$A$5:$A$504,0)),"미매핑"))</f>
        <v/>
      </c>
      <c r="X602" s="9">
        <f>IF($A602="","",$F602&amp;"")</f>
        <v/>
      </c>
    </row>
    <row r="603">
      <c r="A603" s="75" t="n">
        <v>2025</v>
      </c>
      <c r="B603" s="75" t="n">
        <v>4</v>
      </c>
      <c r="C603" s="75" t="inlineStr">
        <is>
          <t>5100000599</t>
        </is>
      </c>
      <c r="D603" s="78" t="n">
        <v>45750</v>
      </c>
      <c r="E603" s="75" t="inlineStr">
        <is>
          <t>KR</t>
        </is>
      </c>
      <c r="F603" s="75" t="n">
        <v>62102000</v>
      </c>
      <c r="G603" s="75" t="n">
        <v>1502</v>
      </c>
      <c r="H603" s="76" t="n">
        <v>108000</v>
      </c>
      <c r="I603" s="75" t="inlineStr">
        <is>
          <t>4월 해외출장 - M항공</t>
        </is>
      </c>
      <c r="J603" s="75" t="inlineStr">
        <is>
          <t>V10001</t>
        </is>
      </c>
      <c r="K603" s="75" t="inlineStr">
        <is>
          <t>M항공</t>
        </is>
      </c>
      <c r="M603" s="9">
        <f>IF($A603="","",VALUE($A603&amp;"")*12+VALUE($B603&amp;""))</f>
        <v/>
      </c>
      <c r="N603" s="39">
        <f>IF($A603="","",IFERROR(INDEX(부서매핑!$C$5:$C$504,MATCH($G603&amp;"",부서매핑!$A$5:$A$504,0)),"미매핑"))</f>
        <v/>
      </c>
      <c r="O603" s="9">
        <f>IF($A603="","",N603&amp;"|"&amp;$F603)</f>
        <v/>
      </c>
      <c r="P603" s="77">
        <f>IF($A603="",0,$H603*설정!$C$23)</f>
        <v/>
      </c>
      <c r="Q603" s="39">
        <f>IF($A603="","",IF(O603&lt;&gt;원인분석!$C$9,"",IF(AND(M603&gt;=원인분석!$C$10,M603&lt;=원인분석!$C$11),"당기",IF(AND(M603&gt;=원인분석!$C$12,M603&lt;=원인분석!$C$13),"비교",""))))</f>
        <v/>
      </c>
      <c r="R603" s="9">
        <f>IF(Q603="","",$K603&amp;"")</f>
        <v/>
      </c>
      <c r="S603" s="9">
        <f>IF(Q603="","",IF(MATCH(R603,$R$5:$R$100000,0)=ROW()-4,ROW(),""))</f>
        <v/>
      </c>
      <c r="T603" s="9">
        <f>IF(Q603="당기",ABS(P603)+ROW()/1000000000,"")</f>
        <v/>
      </c>
      <c r="U603" s="9">
        <f>IF(Q603="비교",ABS(P603)+ROW()/1000000000,"")</f>
        <v/>
      </c>
      <c r="V603" s="39">
        <f>IF($A603="","",IF(COUNTIF(변동분석!$E$7:$E$506,O603)&gt;0,"Y","N"))</f>
        <v/>
      </c>
      <c r="W603" s="39">
        <f>IF($A603="","",IFERROR(INDEX(계정매핑!$D$5:$D$504,MATCH($F603&amp;"",계정매핑!$A$5:$A$504,0)),"미매핑"))</f>
        <v/>
      </c>
      <c r="X603" s="9">
        <f>IF($A603="","",$F603&amp;"")</f>
        <v/>
      </c>
    </row>
    <row r="604">
      <c r="A604" s="75" t="n">
        <v>2025</v>
      </c>
      <c r="B604" s="75" t="n">
        <v>4</v>
      </c>
      <c r="C604" s="75" t="inlineStr">
        <is>
          <t>5100000600</t>
        </is>
      </c>
      <c r="D604" s="78" t="n">
        <v>45750</v>
      </c>
      <c r="E604" s="75" t="inlineStr">
        <is>
          <t>KR</t>
        </is>
      </c>
      <c r="F604" s="75" t="n">
        <v>62201000</v>
      </c>
      <c r="G604" s="75" t="n">
        <v>1201</v>
      </c>
      <c r="H604" s="76" t="n">
        <v>100000</v>
      </c>
      <c r="I604" s="75" t="inlineStr">
        <is>
          <t>4월 통신요금 - P통신</t>
        </is>
      </c>
      <c r="J604" s="75" t="inlineStr">
        <is>
          <t>V10011</t>
        </is>
      </c>
      <c r="K604" s="75" t="inlineStr">
        <is>
          <t>P통신</t>
        </is>
      </c>
      <c r="M604" s="9">
        <f>IF($A604="","",VALUE($A604&amp;"")*12+VALUE($B604&amp;""))</f>
        <v/>
      </c>
      <c r="N604" s="39">
        <f>IF($A604="","",IFERROR(INDEX(부서매핑!$C$5:$C$504,MATCH($G604&amp;"",부서매핑!$A$5:$A$504,0)),"미매핑"))</f>
        <v/>
      </c>
      <c r="O604" s="9">
        <f>IF($A604="","",N604&amp;"|"&amp;$F604)</f>
        <v/>
      </c>
      <c r="P604" s="77">
        <f>IF($A604="",0,$H604*설정!$C$23)</f>
        <v/>
      </c>
      <c r="Q604" s="39">
        <f>IF($A604="","",IF(O604&lt;&gt;원인분석!$C$9,"",IF(AND(M604&gt;=원인분석!$C$10,M604&lt;=원인분석!$C$11),"당기",IF(AND(M604&gt;=원인분석!$C$12,M604&lt;=원인분석!$C$13),"비교",""))))</f>
        <v/>
      </c>
      <c r="R604" s="9">
        <f>IF(Q604="","",$K604&amp;"")</f>
        <v/>
      </c>
      <c r="S604" s="9">
        <f>IF(Q604="","",IF(MATCH(R604,$R$5:$R$100000,0)=ROW()-4,ROW(),""))</f>
        <v/>
      </c>
      <c r="T604" s="9">
        <f>IF(Q604="당기",ABS(P604)+ROW()/1000000000,"")</f>
        <v/>
      </c>
      <c r="U604" s="9">
        <f>IF(Q604="비교",ABS(P604)+ROW()/1000000000,"")</f>
        <v/>
      </c>
      <c r="V604" s="39">
        <f>IF($A604="","",IF(COUNTIF(변동분석!$E$7:$E$506,O604)&gt;0,"Y","N"))</f>
        <v/>
      </c>
      <c r="W604" s="39">
        <f>IF($A604="","",IFERROR(INDEX(계정매핑!$D$5:$D$504,MATCH($F604&amp;"",계정매핑!$A$5:$A$504,0)),"미매핑"))</f>
        <v/>
      </c>
      <c r="X604" s="9">
        <f>IF($A604="","",$F604&amp;"")</f>
        <v/>
      </c>
    </row>
    <row r="605">
      <c r="A605" s="75" t="n">
        <v>2025</v>
      </c>
      <c r="B605" s="75" t="n">
        <v>4</v>
      </c>
      <c r="C605" s="75" t="inlineStr">
        <is>
          <t>5100000601</t>
        </is>
      </c>
      <c r="D605" s="78" t="n">
        <v>45750</v>
      </c>
      <c r="E605" s="75" t="inlineStr">
        <is>
          <t>KR</t>
        </is>
      </c>
      <c r="F605" s="75" t="n">
        <v>62301000</v>
      </c>
      <c r="G605" s="75" t="n">
        <v>1502</v>
      </c>
      <c r="H605" s="76" t="n">
        <v>133000</v>
      </c>
      <c r="I605" s="75" t="inlineStr">
        <is>
          <t>4월 소모품 구입 - R문구</t>
        </is>
      </c>
      <c r="J605" s="75" t="inlineStr">
        <is>
          <t>V10018</t>
        </is>
      </c>
      <c r="K605" s="75" t="inlineStr">
        <is>
          <t>R문구</t>
        </is>
      </c>
      <c r="M605" s="9">
        <f>IF($A605="","",VALUE($A605&amp;"")*12+VALUE($B605&amp;""))</f>
        <v/>
      </c>
      <c r="N605" s="39">
        <f>IF($A605="","",IFERROR(INDEX(부서매핑!$C$5:$C$504,MATCH($G605&amp;"",부서매핑!$A$5:$A$504,0)),"미매핑"))</f>
        <v/>
      </c>
      <c r="O605" s="9">
        <f>IF($A605="","",N605&amp;"|"&amp;$F605)</f>
        <v/>
      </c>
      <c r="P605" s="77">
        <f>IF($A605="",0,$H605*설정!$C$23)</f>
        <v/>
      </c>
      <c r="Q605" s="39">
        <f>IF($A605="","",IF(O605&lt;&gt;원인분석!$C$9,"",IF(AND(M605&gt;=원인분석!$C$10,M605&lt;=원인분석!$C$11),"당기",IF(AND(M605&gt;=원인분석!$C$12,M605&lt;=원인분석!$C$13),"비교",""))))</f>
        <v/>
      </c>
      <c r="R605" s="9">
        <f>IF(Q605="","",$K605&amp;"")</f>
        <v/>
      </c>
      <c r="S605" s="9">
        <f>IF(Q605="","",IF(MATCH(R605,$R$5:$R$100000,0)=ROW()-4,ROW(),""))</f>
        <v/>
      </c>
      <c r="T605" s="9">
        <f>IF(Q605="당기",ABS(P605)+ROW()/1000000000,"")</f>
        <v/>
      </c>
      <c r="U605" s="9">
        <f>IF(Q605="비교",ABS(P605)+ROW()/1000000000,"")</f>
        <v/>
      </c>
      <c r="V605" s="39">
        <f>IF($A605="","",IF(COUNTIF(변동분석!$E$7:$E$506,O605)&gt;0,"Y","N"))</f>
        <v/>
      </c>
      <c r="W605" s="39">
        <f>IF($A605="","",IFERROR(INDEX(계정매핑!$D$5:$D$504,MATCH($F605&amp;"",계정매핑!$A$5:$A$504,0)),"미매핑"))</f>
        <v/>
      </c>
      <c r="X605" s="9">
        <f>IF($A605="","",$F605&amp;"")</f>
        <v/>
      </c>
    </row>
    <row r="606">
      <c r="A606" s="75" t="n">
        <v>2025</v>
      </c>
      <c r="B606" s="75" t="n">
        <v>4</v>
      </c>
      <c r="C606" s="75" t="inlineStr">
        <is>
          <t>5100000602</t>
        </is>
      </c>
      <c r="D606" s="78" t="n">
        <v>45750</v>
      </c>
      <c r="E606" s="75" t="inlineStr">
        <is>
          <t>KR</t>
        </is>
      </c>
      <c r="F606" s="75" t="n">
        <v>62501000</v>
      </c>
      <c r="G606" s="75" t="n">
        <v>1501</v>
      </c>
      <c r="H606" s="76" t="n">
        <v>229000</v>
      </c>
      <c r="I606" s="75" t="inlineStr">
        <is>
          <t>4월 회의 다과 - T케이터링</t>
        </is>
      </c>
      <c r="J606" s="75" t="inlineStr">
        <is>
          <t>V10005</t>
        </is>
      </c>
      <c r="K606" s="75" t="inlineStr">
        <is>
          <t>T케이터링</t>
        </is>
      </c>
      <c r="M606" s="9">
        <f>IF($A606="","",VALUE($A606&amp;"")*12+VALUE($B606&amp;""))</f>
        <v/>
      </c>
      <c r="N606" s="39">
        <f>IF($A606="","",IFERROR(INDEX(부서매핑!$C$5:$C$504,MATCH($G606&amp;"",부서매핑!$A$5:$A$504,0)),"미매핑"))</f>
        <v/>
      </c>
      <c r="O606" s="9">
        <f>IF($A606="","",N606&amp;"|"&amp;$F606)</f>
        <v/>
      </c>
      <c r="P606" s="77">
        <f>IF($A606="",0,$H606*설정!$C$23)</f>
        <v/>
      </c>
      <c r="Q606" s="39">
        <f>IF($A606="","",IF(O606&lt;&gt;원인분석!$C$9,"",IF(AND(M606&gt;=원인분석!$C$10,M606&lt;=원인분석!$C$11),"당기",IF(AND(M606&gt;=원인분석!$C$12,M606&lt;=원인분석!$C$13),"비교",""))))</f>
        <v/>
      </c>
      <c r="R606" s="9">
        <f>IF(Q606="","",$K606&amp;"")</f>
        <v/>
      </c>
      <c r="S606" s="9">
        <f>IF(Q606="","",IF(MATCH(R606,$R$5:$R$100000,0)=ROW()-4,ROW(),""))</f>
        <v/>
      </c>
      <c r="T606" s="9">
        <f>IF(Q606="당기",ABS(P606)+ROW()/1000000000,"")</f>
        <v/>
      </c>
      <c r="U606" s="9">
        <f>IF(Q606="비교",ABS(P606)+ROW()/1000000000,"")</f>
        <v/>
      </c>
      <c r="V606" s="39">
        <f>IF($A606="","",IF(COUNTIF(변동분석!$E$7:$E$506,O606)&gt;0,"Y","N"))</f>
        <v/>
      </c>
      <c r="W606" s="39">
        <f>IF($A606="","",IFERROR(INDEX(계정매핑!$D$5:$D$504,MATCH($F606&amp;"",계정매핑!$A$5:$A$504,0)),"미매핑"))</f>
        <v/>
      </c>
      <c r="X606" s="9">
        <f>IF($A606="","",$F606&amp;"")</f>
        <v/>
      </c>
    </row>
    <row r="607">
      <c r="A607" s="75" t="n">
        <v>2025</v>
      </c>
      <c r="B607" s="75" t="n">
        <v>4</v>
      </c>
      <c r="C607" s="75" t="inlineStr">
        <is>
          <t>5100000603</t>
        </is>
      </c>
      <c r="D607" s="78" t="n">
        <v>45750</v>
      </c>
      <c r="E607" s="75" t="inlineStr">
        <is>
          <t>KR</t>
        </is>
      </c>
      <c r="F607" s="75" t="n">
        <v>62501000</v>
      </c>
      <c r="G607" s="75" t="n">
        <v>1502</v>
      </c>
      <c r="H607" s="76" t="n">
        <v>222000</v>
      </c>
      <c r="I607" s="75" t="inlineStr">
        <is>
          <t>4월 회의 다과 - T케이터링</t>
        </is>
      </c>
      <c r="J607" s="75" t="inlineStr">
        <is>
          <t>V10005</t>
        </is>
      </c>
      <c r="K607" s="75" t="inlineStr">
        <is>
          <t>T케이터링</t>
        </is>
      </c>
      <c r="M607" s="9">
        <f>IF($A607="","",VALUE($A607&amp;"")*12+VALUE($B607&amp;""))</f>
        <v/>
      </c>
      <c r="N607" s="39">
        <f>IF($A607="","",IFERROR(INDEX(부서매핑!$C$5:$C$504,MATCH($G607&amp;"",부서매핑!$A$5:$A$504,0)),"미매핑"))</f>
        <v/>
      </c>
      <c r="O607" s="9">
        <f>IF($A607="","",N607&amp;"|"&amp;$F607)</f>
        <v/>
      </c>
      <c r="P607" s="77">
        <f>IF($A607="",0,$H607*설정!$C$23)</f>
        <v/>
      </c>
      <c r="Q607" s="39">
        <f>IF($A607="","",IF(O607&lt;&gt;원인분석!$C$9,"",IF(AND(M607&gt;=원인분석!$C$10,M607&lt;=원인분석!$C$11),"당기",IF(AND(M607&gt;=원인분석!$C$12,M607&lt;=원인분석!$C$13),"비교",""))))</f>
        <v/>
      </c>
      <c r="R607" s="9">
        <f>IF(Q607="","",$K607&amp;"")</f>
        <v/>
      </c>
      <c r="S607" s="9">
        <f>IF(Q607="","",IF(MATCH(R607,$R$5:$R$100000,0)=ROW()-4,ROW(),""))</f>
        <v/>
      </c>
      <c r="T607" s="9">
        <f>IF(Q607="당기",ABS(P607)+ROW()/1000000000,"")</f>
        <v/>
      </c>
      <c r="U607" s="9">
        <f>IF(Q607="비교",ABS(P607)+ROW()/1000000000,"")</f>
        <v/>
      </c>
      <c r="V607" s="39">
        <f>IF($A607="","",IF(COUNTIF(변동분석!$E$7:$E$506,O607)&gt;0,"Y","N"))</f>
        <v/>
      </c>
      <c r="W607" s="39">
        <f>IF($A607="","",IFERROR(INDEX(계정매핑!$D$5:$D$504,MATCH($F607&amp;"",계정매핑!$A$5:$A$504,0)),"미매핑"))</f>
        <v/>
      </c>
      <c r="X607" s="9">
        <f>IF($A607="","",$F607&amp;"")</f>
        <v/>
      </c>
    </row>
    <row r="608">
      <c r="A608" s="75" t="n">
        <v>2025</v>
      </c>
      <c r="B608" s="75" t="n">
        <v>4</v>
      </c>
      <c r="C608" s="75" t="inlineStr">
        <is>
          <t>5100000604</t>
        </is>
      </c>
      <c r="D608" s="78" t="n">
        <v>45750</v>
      </c>
      <c r="E608" s="75" t="inlineStr">
        <is>
          <t>KR</t>
        </is>
      </c>
      <c r="F608" s="75" t="n">
        <v>63101000</v>
      </c>
      <c r="G608" s="75" t="n">
        <v>1601</v>
      </c>
      <c r="H608" s="76" t="n">
        <v>2689000</v>
      </c>
      <c r="I608" s="75" t="inlineStr">
        <is>
          <t>4월 사무실 임차료 - AA빌딩</t>
        </is>
      </c>
      <c r="J608" s="75" t="inlineStr">
        <is>
          <t>V10006</t>
        </is>
      </c>
      <c r="K608" s="75" t="inlineStr">
        <is>
          <t>AA빌딩</t>
        </is>
      </c>
      <c r="M608" s="9">
        <f>IF($A608="","",VALUE($A608&amp;"")*12+VALUE($B608&amp;""))</f>
        <v/>
      </c>
      <c r="N608" s="39">
        <f>IF($A608="","",IFERROR(INDEX(부서매핑!$C$5:$C$504,MATCH($G608&amp;"",부서매핑!$A$5:$A$504,0)),"미매핑"))</f>
        <v/>
      </c>
      <c r="O608" s="9">
        <f>IF($A608="","",N608&amp;"|"&amp;$F608)</f>
        <v/>
      </c>
      <c r="P608" s="77">
        <f>IF($A608="",0,$H608*설정!$C$23)</f>
        <v/>
      </c>
      <c r="Q608" s="39">
        <f>IF($A608="","",IF(O608&lt;&gt;원인분석!$C$9,"",IF(AND(M608&gt;=원인분석!$C$10,M608&lt;=원인분석!$C$11),"당기",IF(AND(M608&gt;=원인분석!$C$12,M608&lt;=원인분석!$C$13),"비교",""))))</f>
        <v/>
      </c>
      <c r="R608" s="9">
        <f>IF(Q608="","",$K608&amp;"")</f>
        <v/>
      </c>
      <c r="S608" s="9">
        <f>IF(Q608="","",IF(MATCH(R608,$R$5:$R$100000,0)=ROW()-4,ROW(),""))</f>
        <v/>
      </c>
      <c r="T608" s="9">
        <f>IF(Q608="당기",ABS(P608)+ROW()/1000000000,"")</f>
        <v/>
      </c>
      <c r="U608" s="9">
        <f>IF(Q608="비교",ABS(P608)+ROW()/1000000000,"")</f>
        <v/>
      </c>
      <c r="V608" s="39">
        <f>IF($A608="","",IF(COUNTIF(변동분석!$E$7:$E$506,O608)&gt;0,"Y","N"))</f>
        <v/>
      </c>
      <c r="W608" s="39">
        <f>IF($A608="","",IFERROR(INDEX(계정매핑!$D$5:$D$504,MATCH($F608&amp;"",계정매핑!$A$5:$A$504,0)),"미매핑"))</f>
        <v/>
      </c>
      <c r="X608" s="9">
        <f>IF($A608="","",$F608&amp;"")</f>
        <v/>
      </c>
    </row>
    <row r="609">
      <c r="A609" s="75" t="n">
        <v>2025</v>
      </c>
      <c r="B609" s="75" t="n">
        <v>4</v>
      </c>
      <c r="C609" s="75" t="inlineStr">
        <is>
          <t>5100000605</t>
        </is>
      </c>
      <c r="D609" s="78" t="n">
        <v>45751</v>
      </c>
      <c r="E609" s="75" t="inlineStr">
        <is>
          <t>KR</t>
        </is>
      </c>
      <c r="F609" s="75" t="n">
        <v>62101000</v>
      </c>
      <c r="G609" s="75" t="n">
        <v>1101</v>
      </c>
      <c r="H609" s="76" t="n">
        <v>503000</v>
      </c>
      <c r="I609" s="75" t="inlineStr">
        <is>
          <t>4월 국내출장 - M항공</t>
        </is>
      </c>
      <c r="J609" s="75" t="inlineStr">
        <is>
          <t>V10001</t>
        </is>
      </c>
      <c r="K609" s="75" t="inlineStr">
        <is>
          <t>M항공</t>
        </is>
      </c>
      <c r="M609" s="9">
        <f>IF($A609="","",VALUE($A609&amp;"")*12+VALUE($B609&amp;""))</f>
        <v/>
      </c>
      <c r="N609" s="39">
        <f>IF($A609="","",IFERROR(INDEX(부서매핑!$C$5:$C$504,MATCH($G609&amp;"",부서매핑!$A$5:$A$504,0)),"미매핑"))</f>
        <v/>
      </c>
      <c r="O609" s="9">
        <f>IF($A609="","",N609&amp;"|"&amp;$F609)</f>
        <v/>
      </c>
      <c r="P609" s="77">
        <f>IF($A609="",0,$H609*설정!$C$23)</f>
        <v/>
      </c>
      <c r="Q609" s="39">
        <f>IF($A609="","",IF(O609&lt;&gt;원인분석!$C$9,"",IF(AND(M609&gt;=원인분석!$C$10,M609&lt;=원인분석!$C$11),"당기",IF(AND(M609&gt;=원인분석!$C$12,M609&lt;=원인분석!$C$13),"비교",""))))</f>
        <v/>
      </c>
      <c r="R609" s="9">
        <f>IF(Q609="","",$K609&amp;"")</f>
        <v/>
      </c>
      <c r="S609" s="9">
        <f>IF(Q609="","",IF(MATCH(R609,$R$5:$R$100000,0)=ROW()-4,ROW(),""))</f>
        <v/>
      </c>
      <c r="T609" s="9">
        <f>IF(Q609="당기",ABS(P609)+ROW()/1000000000,"")</f>
        <v/>
      </c>
      <c r="U609" s="9">
        <f>IF(Q609="비교",ABS(P609)+ROW()/1000000000,"")</f>
        <v/>
      </c>
      <c r="V609" s="39">
        <f>IF($A609="","",IF(COUNTIF(변동분석!$E$7:$E$506,O609)&gt;0,"Y","N"))</f>
        <v/>
      </c>
      <c r="W609" s="39">
        <f>IF($A609="","",IFERROR(INDEX(계정매핑!$D$5:$D$504,MATCH($F609&amp;"",계정매핑!$A$5:$A$504,0)),"미매핑"))</f>
        <v/>
      </c>
      <c r="X609" s="9">
        <f>IF($A609="","",$F609&amp;"")</f>
        <v/>
      </c>
    </row>
    <row r="610">
      <c r="A610" s="75" t="n">
        <v>2025</v>
      </c>
      <c r="B610" s="75" t="n">
        <v>4</v>
      </c>
      <c r="C610" s="75" t="inlineStr">
        <is>
          <t>5100000606</t>
        </is>
      </c>
      <c r="D610" s="78" t="n">
        <v>45751</v>
      </c>
      <c r="E610" s="75" t="inlineStr">
        <is>
          <t>KR</t>
        </is>
      </c>
      <c r="F610" s="75" t="n">
        <v>62401000</v>
      </c>
      <c r="G610" s="75" t="n">
        <v>1502</v>
      </c>
      <c r="H610" s="76" t="n">
        <v>2509000</v>
      </c>
      <c r="I610" s="75" t="inlineStr">
        <is>
          <t>4월 인쇄물 제작 - G인쇄</t>
        </is>
      </c>
      <c r="J610" s="75" t="inlineStr">
        <is>
          <t>V10004</t>
        </is>
      </c>
      <c r="K610" s="75" t="inlineStr">
        <is>
          <t>G인쇄</t>
        </is>
      </c>
      <c r="M610" s="9">
        <f>IF($A610="","",VALUE($A610&amp;"")*12+VALUE($B610&amp;""))</f>
        <v/>
      </c>
      <c r="N610" s="39">
        <f>IF($A610="","",IFERROR(INDEX(부서매핑!$C$5:$C$504,MATCH($G610&amp;"",부서매핑!$A$5:$A$504,0)),"미매핑"))</f>
        <v/>
      </c>
      <c r="O610" s="9">
        <f>IF($A610="","",N610&amp;"|"&amp;$F610)</f>
        <v/>
      </c>
      <c r="P610" s="77">
        <f>IF($A610="",0,$H610*설정!$C$23)</f>
        <v/>
      </c>
      <c r="Q610" s="39">
        <f>IF($A610="","",IF(O610&lt;&gt;원인분석!$C$9,"",IF(AND(M610&gt;=원인분석!$C$10,M610&lt;=원인분석!$C$11),"당기",IF(AND(M610&gt;=원인분석!$C$12,M610&lt;=원인분석!$C$13),"비교",""))))</f>
        <v/>
      </c>
      <c r="R610" s="9">
        <f>IF(Q610="","",$K610&amp;"")</f>
        <v/>
      </c>
      <c r="S610" s="9">
        <f>IF(Q610="","",IF(MATCH(R610,$R$5:$R$100000,0)=ROW()-4,ROW(),""))</f>
        <v/>
      </c>
      <c r="T610" s="9">
        <f>IF(Q610="당기",ABS(P610)+ROW()/1000000000,"")</f>
        <v/>
      </c>
      <c r="U610" s="9">
        <f>IF(Q610="비교",ABS(P610)+ROW()/1000000000,"")</f>
        <v/>
      </c>
      <c r="V610" s="39">
        <f>IF($A610="","",IF(COUNTIF(변동분석!$E$7:$E$506,O610)&gt;0,"Y","N"))</f>
        <v/>
      </c>
      <c r="W610" s="39">
        <f>IF($A610="","",IFERROR(INDEX(계정매핑!$D$5:$D$504,MATCH($F610&amp;"",계정매핑!$A$5:$A$504,0)),"미매핑"))</f>
        <v/>
      </c>
      <c r="X610" s="9">
        <f>IF($A610="","",$F610&amp;"")</f>
        <v/>
      </c>
    </row>
    <row r="611">
      <c r="A611" s="75" t="n">
        <v>2025</v>
      </c>
      <c r="B611" s="75" t="n">
        <v>4</v>
      </c>
      <c r="C611" s="75" t="inlineStr">
        <is>
          <t>5100000607</t>
        </is>
      </c>
      <c r="D611" s="78" t="n">
        <v>45751</v>
      </c>
      <c r="E611" s="75" t="inlineStr">
        <is>
          <t>KR</t>
        </is>
      </c>
      <c r="F611" s="75" t="n">
        <v>62501000</v>
      </c>
      <c r="G611" s="75" t="n">
        <v>1201</v>
      </c>
      <c r="H611" s="76" t="n">
        <v>135000</v>
      </c>
      <c r="I611" s="75" t="inlineStr">
        <is>
          <t>4월 회의 다과 - (법인카드)</t>
        </is>
      </c>
      <c r="J611" s="75" t="inlineStr">
        <is>
          <t>V10008</t>
        </is>
      </c>
      <c r="K611" s="75" t="inlineStr">
        <is>
          <t>(법인카드)</t>
        </is>
      </c>
      <c r="M611" s="9">
        <f>IF($A611="","",VALUE($A611&amp;"")*12+VALUE($B611&amp;""))</f>
        <v/>
      </c>
      <c r="N611" s="39">
        <f>IF($A611="","",IFERROR(INDEX(부서매핑!$C$5:$C$504,MATCH($G611&amp;"",부서매핑!$A$5:$A$504,0)),"미매핑"))</f>
        <v/>
      </c>
      <c r="O611" s="9">
        <f>IF($A611="","",N611&amp;"|"&amp;$F611)</f>
        <v/>
      </c>
      <c r="P611" s="77">
        <f>IF($A611="",0,$H611*설정!$C$23)</f>
        <v/>
      </c>
      <c r="Q611" s="39">
        <f>IF($A611="","",IF(O611&lt;&gt;원인분석!$C$9,"",IF(AND(M611&gt;=원인분석!$C$10,M611&lt;=원인분석!$C$11),"당기",IF(AND(M611&gt;=원인분석!$C$12,M611&lt;=원인분석!$C$13),"비교",""))))</f>
        <v/>
      </c>
      <c r="R611" s="9">
        <f>IF(Q611="","",$K611&amp;"")</f>
        <v/>
      </c>
      <c r="S611" s="9">
        <f>IF(Q611="","",IF(MATCH(R611,$R$5:$R$100000,0)=ROW()-4,ROW(),""))</f>
        <v/>
      </c>
      <c r="T611" s="9">
        <f>IF(Q611="당기",ABS(P611)+ROW()/1000000000,"")</f>
        <v/>
      </c>
      <c r="U611" s="9">
        <f>IF(Q611="비교",ABS(P611)+ROW()/1000000000,"")</f>
        <v/>
      </c>
      <c r="V611" s="39">
        <f>IF($A611="","",IF(COUNTIF(변동분석!$E$7:$E$506,O611)&gt;0,"Y","N"))</f>
        <v/>
      </c>
      <c r="W611" s="39">
        <f>IF($A611="","",IFERROR(INDEX(계정매핑!$D$5:$D$504,MATCH($F611&amp;"",계정매핑!$A$5:$A$504,0)),"미매핑"))</f>
        <v/>
      </c>
      <c r="X611" s="9">
        <f>IF($A611="","",$F611&amp;"")</f>
        <v/>
      </c>
    </row>
    <row r="612">
      <c r="A612" s="75" t="n">
        <v>2025</v>
      </c>
      <c r="B612" s="75" t="n">
        <v>4</v>
      </c>
      <c r="C612" s="75" t="inlineStr">
        <is>
          <t>5100000608</t>
        </is>
      </c>
      <c r="D612" s="78" t="n">
        <v>45751</v>
      </c>
      <c r="E612" s="75" t="inlineStr">
        <is>
          <t>KR</t>
        </is>
      </c>
      <c r="F612" s="75" t="n">
        <v>62501000</v>
      </c>
      <c r="G612" s="75" t="n">
        <v>1501</v>
      </c>
      <c r="H612" s="76" t="n">
        <v>323000</v>
      </c>
      <c r="I612" s="75" t="inlineStr">
        <is>
          <t>4월 회의 다과 - (법인카드)</t>
        </is>
      </c>
      <c r="J612" s="75" t="inlineStr">
        <is>
          <t>V10008</t>
        </is>
      </c>
      <c r="K612" s="75" t="inlineStr">
        <is>
          <t>(법인카드)</t>
        </is>
      </c>
      <c r="M612" s="9">
        <f>IF($A612="","",VALUE($A612&amp;"")*12+VALUE($B612&amp;""))</f>
        <v/>
      </c>
      <c r="N612" s="39">
        <f>IF($A612="","",IFERROR(INDEX(부서매핑!$C$5:$C$504,MATCH($G612&amp;"",부서매핑!$A$5:$A$504,0)),"미매핑"))</f>
        <v/>
      </c>
      <c r="O612" s="9">
        <f>IF($A612="","",N612&amp;"|"&amp;$F612)</f>
        <v/>
      </c>
      <c r="P612" s="77">
        <f>IF($A612="",0,$H612*설정!$C$23)</f>
        <v/>
      </c>
      <c r="Q612" s="39">
        <f>IF($A612="","",IF(O612&lt;&gt;원인분석!$C$9,"",IF(AND(M612&gt;=원인분석!$C$10,M612&lt;=원인분석!$C$11),"당기",IF(AND(M612&gt;=원인분석!$C$12,M612&lt;=원인분석!$C$13),"비교",""))))</f>
        <v/>
      </c>
      <c r="R612" s="9">
        <f>IF(Q612="","",$K612&amp;"")</f>
        <v/>
      </c>
      <c r="S612" s="9">
        <f>IF(Q612="","",IF(MATCH(R612,$R$5:$R$100000,0)=ROW()-4,ROW(),""))</f>
        <v/>
      </c>
      <c r="T612" s="9">
        <f>IF(Q612="당기",ABS(P612)+ROW()/1000000000,"")</f>
        <v/>
      </c>
      <c r="U612" s="9">
        <f>IF(Q612="비교",ABS(P612)+ROW()/1000000000,"")</f>
        <v/>
      </c>
      <c r="V612" s="39">
        <f>IF($A612="","",IF(COUNTIF(변동분석!$E$7:$E$506,O612)&gt;0,"Y","N"))</f>
        <v/>
      </c>
      <c r="W612" s="39">
        <f>IF($A612="","",IFERROR(INDEX(계정매핑!$D$5:$D$504,MATCH($F612&amp;"",계정매핑!$A$5:$A$504,0)),"미매핑"))</f>
        <v/>
      </c>
      <c r="X612" s="9">
        <f>IF($A612="","",$F612&amp;"")</f>
        <v/>
      </c>
    </row>
    <row r="613">
      <c r="A613" s="75" t="n">
        <v>2025</v>
      </c>
      <c r="B613" s="75" t="n">
        <v>4</v>
      </c>
      <c r="C613" s="75" t="inlineStr">
        <is>
          <t>5100000609</t>
        </is>
      </c>
      <c r="D613" s="78" t="n">
        <v>45751</v>
      </c>
      <c r="E613" s="75" t="inlineStr">
        <is>
          <t>KR</t>
        </is>
      </c>
      <c r="F613" s="75" t="n">
        <v>62501000</v>
      </c>
      <c r="G613" s="75" t="n">
        <v>1601</v>
      </c>
      <c r="H613" s="76" t="n">
        <v>422000</v>
      </c>
      <c r="I613" s="75" t="inlineStr">
        <is>
          <t>4월 회의 다과 - T케이터링</t>
        </is>
      </c>
      <c r="J613" s="75" t="inlineStr">
        <is>
          <t>V10005</t>
        </is>
      </c>
      <c r="K613" s="75" t="inlineStr">
        <is>
          <t>T케이터링</t>
        </is>
      </c>
      <c r="M613" s="9">
        <f>IF($A613="","",VALUE($A613&amp;"")*12+VALUE($B613&amp;""))</f>
        <v/>
      </c>
      <c r="N613" s="39">
        <f>IF($A613="","",IFERROR(INDEX(부서매핑!$C$5:$C$504,MATCH($G613&amp;"",부서매핑!$A$5:$A$504,0)),"미매핑"))</f>
        <v/>
      </c>
      <c r="O613" s="9">
        <f>IF($A613="","",N613&amp;"|"&amp;$F613)</f>
        <v/>
      </c>
      <c r="P613" s="77">
        <f>IF($A613="",0,$H613*설정!$C$23)</f>
        <v/>
      </c>
      <c r="Q613" s="39">
        <f>IF($A613="","",IF(O613&lt;&gt;원인분석!$C$9,"",IF(AND(M613&gt;=원인분석!$C$10,M613&lt;=원인분석!$C$11),"당기",IF(AND(M613&gt;=원인분석!$C$12,M613&lt;=원인분석!$C$13),"비교",""))))</f>
        <v/>
      </c>
      <c r="R613" s="9">
        <f>IF(Q613="","",$K613&amp;"")</f>
        <v/>
      </c>
      <c r="S613" s="9">
        <f>IF(Q613="","",IF(MATCH(R613,$R$5:$R$100000,0)=ROW()-4,ROW(),""))</f>
        <v/>
      </c>
      <c r="T613" s="9">
        <f>IF(Q613="당기",ABS(P613)+ROW()/1000000000,"")</f>
        <v/>
      </c>
      <c r="U613" s="9">
        <f>IF(Q613="비교",ABS(P613)+ROW()/1000000000,"")</f>
        <v/>
      </c>
      <c r="V613" s="39">
        <f>IF($A613="","",IF(COUNTIF(변동분석!$E$7:$E$506,O613)&gt;0,"Y","N"))</f>
        <v/>
      </c>
      <c r="W613" s="39">
        <f>IF($A613="","",IFERROR(INDEX(계정매핑!$D$5:$D$504,MATCH($F613&amp;"",계정매핑!$A$5:$A$504,0)),"미매핑"))</f>
        <v/>
      </c>
      <c r="X613" s="9">
        <f>IF($A613="","",$F613&amp;"")</f>
        <v/>
      </c>
    </row>
    <row r="614">
      <c r="A614" s="75" t="n">
        <v>2025</v>
      </c>
      <c r="B614" s="75" t="n">
        <v>4</v>
      </c>
      <c r="C614" s="75" t="inlineStr">
        <is>
          <t>5100000610</t>
        </is>
      </c>
      <c r="D614" s="78" t="n">
        <v>45751</v>
      </c>
      <c r="E614" s="75" t="inlineStr">
        <is>
          <t>KR</t>
        </is>
      </c>
      <c r="F614" s="75" t="n">
        <v>62901000</v>
      </c>
      <c r="G614" s="75" t="n">
        <v>1801</v>
      </c>
      <c r="H614" s="76" t="n">
        <v>6277000</v>
      </c>
      <c r="I614" s="75" t="inlineStr">
        <is>
          <t>4월 자문 수수료 - K회계법인</t>
        </is>
      </c>
      <c r="J614" s="75" t="inlineStr">
        <is>
          <t>V10010</t>
        </is>
      </c>
      <c r="K614" s="75" t="inlineStr">
        <is>
          <t>K회계법인</t>
        </is>
      </c>
      <c r="M614" s="9">
        <f>IF($A614="","",VALUE($A614&amp;"")*12+VALUE($B614&amp;""))</f>
        <v/>
      </c>
      <c r="N614" s="39">
        <f>IF($A614="","",IFERROR(INDEX(부서매핑!$C$5:$C$504,MATCH($G614&amp;"",부서매핑!$A$5:$A$504,0)),"미매핑"))</f>
        <v/>
      </c>
      <c r="O614" s="9">
        <f>IF($A614="","",N614&amp;"|"&amp;$F614)</f>
        <v/>
      </c>
      <c r="P614" s="77">
        <f>IF($A614="",0,$H614*설정!$C$23)</f>
        <v/>
      </c>
      <c r="Q614" s="39">
        <f>IF($A614="","",IF(O614&lt;&gt;원인분석!$C$9,"",IF(AND(M614&gt;=원인분석!$C$10,M614&lt;=원인분석!$C$11),"당기",IF(AND(M614&gt;=원인분석!$C$12,M614&lt;=원인분석!$C$13),"비교",""))))</f>
        <v/>
      </c>
      <c r="R614" s="9">
        <f>IF(Q614="","",$K614&amp;"")</f>
        <v/>
      </c>
      <c r="S614" s="9">
        <f>IF(Q614="","",IF(MATCH(R614,$R$5:$R$100000,0)=ROW()-4,ROW(),""))</f>
        <v/>
      </c>
      <c r="T614" s="9">
        <f>IF(Q614="당기",ABS(P614)+ROW()/1000000000,"")</f>
        <v/>
      </c>
      <c r="U614" s="9">
        <f>IF(Q614="비교",ABS(P614)+ROW()/1000000000,"")</f>
        <v/>
      </c>
      <c r="V614" s="39">
        <f>IF($A614="","",IF(COUNTIF(변동분석!$E$7:$E$506,O614)&gt;0,"Y","N"))</f>
        <v/>
      </c>
      <c r="W614" s="39">
        <f>IF($A614="","",IFERROR(INDEX(계정매핑!$D$5:$D$504,MATCH($F614&amp;"",계정매핑!$A$5:$A$504,0)),"미매핑"))</f>
        <v/>
      </c>
      <c r="X614" s="9">
        <f>IF($A614="","",$F614&amp;"")</f>
        <v/>
      </c>
    </row>
    <row r="615">
      <c r="A615" s="75" t="n">
        <v>2025</v>
      </c>
      <c r="B615" s="75" t="n">
        <v>4</v>
      </c>
      <c r="C615" s="75" t="inlineStr">
        <is>
          <t>5100000611</t>
        </is>
      </c>
      <c r="D615" s="78" t="n">
        <v>45752</v>
      </c>
      <c r="E615" s="75" t="inlineStr">
        <is>
          <t>KR</t>
        </is>
      </c>
      <c r="F615" s="75" t="n">
        <v>62101000</v>
      </c>
      <c r="G615" s="75" t="n">
        <v>1401</v>
      </c>
      <c r="H615" s="76" t="n">
        <v>454000</v>
      </c>
      <c r="I615" s="75" t="inlineStr">
        <is>
          <t>4월 국내출장 - M항공</t>
        </is>
      </c>
      <c r="J615" s="75" t="inlineStr">
        <is>
          <t>V10001</t>
        </is>
      </c>
      <c r="K615" s="75" t="inlineStr">
        <is>
          <t>M항공</t>
        </is>
      </c>
      <c r="M615" s="9">
        <f>IF($A615="","",VALUE($A615&amp;"")*12+VALUE($B615&amp;""))</f>
        <v/>
      </c>
      <c r="N615" s="39">
        <f>IF($A615="","",IFERROR(INDEX(부서매핑!$C$5:$C$504,MATCH($G615&amp;"",부서매핑!$A$5:$A$504,0)),"미매핑"))</f>
        <v/>
      </c>
      <c r="O615" s="9">
        <f>IF($A615="","",N615&amp;"|"&amp;$F615)</f>
        <v/>
      </c>
      <c r="P615" s="77">
        <f>IF($A615="",0,$H615*설정!$C$23)</f>
        <v/>
      </c>
      <c r="Q615" s="39">
        <f>IF($A615="","",IF(O615&lt;&gt;원인분석!$C$9,"",IF(AND(M615&gt;=원인분석!$C$10,M615&lt;=원인분석!$C$11),"당기",IF(AND(M615&gt;=원인분석!$C$12,M615&lt;=원인분석!$C$13),"비교",""))))</f>
        <v/>
      </c>
      <c r="R615" s="9">
        <f>IF(Q615="","",$K615&amp;"")</f>
        <v/>
      </c>
      <c r="S615" s="9">
        <f>IF(Q615="","",IF(MATCH(R615,$R$5:$R$100000,0)=ROW()-4,ROW(),""))</f>
        <v/>
      </c>
      <c r="T615" s="9">
        <f>IF(Q615="당기",ABS(P615)+ROW()/1000000000,"")</f>
        <v/>
      </c>
      <c r="U615" s="9">
        <f>IF(Q615="비교",ABS(P615)+ROW()/1000000000,"")</f>
        <v/>
      </c>
      <c r="V615" s="39">
        <f>IF($A615="","",IF(COUNTIF(변동분석!$E$7:$E$506,O615)&gt;0,"Y","N"))</f>
        <v/>
      </c>
      <c r="W615" s="39">
        <f>IF($A615="","",IFERROR(INDEX(계정매핑!$D$5:$D$504,MATCH($F615&amp;"",계정매핑!$A$5:$A$504,0)),"미매핑"))</f>
        <v/>
      </c>
      <c r="X615" s="9">
        <f>IF($A615="","",$F615&amp;"")</f>
        <v/>
      </c>
    </row>
    <row r="616">
      <c r="A616" s="75" t="n">
        <v>2025</v>
      </c>
      <c r="B616" s="75" t="n">
        <v>4</v>
      </c>
      <c r="C616" s="75" t="inlineStr">
        <is>
          <t>5100000612</t>
        </is>
      </c>
      <c r="D616" s="78" t="n">
        <v>45752</v>
      </c>
      <c r="E616" s="75" t="inlineStr">
        <is>
          <t>KR</t>
        </is>
      </c>
      <c r="F616" s="75" t="n">
        <v>62101000</v>
      </c>
      <c r="G616" s="75" t="n">
        <v>1701</v>
      </c>
      <c r="H616" s="76" t="n">
        <v>336000</v>
      </c>
      <c r="I616" s="75" t="inlineStr">
        <is>
          <t>4월 국내출장 - M항공</t>
        </is>
      </c>
      <c r="J616" s="75" t="inlineStr">
        <is>
          <t>V10001</t>
        </is>
      </c>
      <c r="K616" s="75" t="inlineStr">
        <is>
          <t>M항공</t>
        </is>
      </c>
      <c r="M616" s="9">
        <f>IF($A616="","",VALUE($A616&amp;"")*12+VALUE($B616&amp;""))</f>
        <v/>
      </c>
      <c r="N616" s="39">
        <f>IF($A616="","",IFERROR(INDEX(부서매핑!$C$5:$C$504,MATCH($G616&amp;"",부서매핑!$A$5:$A$504,0)),"미매핑"))</f>
        <v/>
      </c>
      <c r="O616" s="9">
        <f>IF($A616="","",N616&amp;"|"&amp;$F616)</f>
        <v/>
      </c>
      <c r="P616" s="77">
        <f>IF($A616="",0,$H616*설정!$C$23)</f>
        <v/>
      </c>
      <c r="Q616" s="39">
        <f>IF($A616="","",IF(O616&lt;&gt;원인분석!$C$9,"",IF(AND(M616&gt;=원인분석!$C$10,M616&lt;=원인분석!$C$11),"당기",IF(AND(M616&gt;=원인분석!$C$12,M616&lt;=원인분석!$C$13),"비교",""))))</f>
        <v/>
      </c>
      <c r="R616" s="9">
        <f>IF(Q616="","",$K616&amp;"")</f>
        <v/>
      </c>
      <c r="S616" s="9">
        <f>IF(Q616="","",IF(MATCH(R616,$R$5:$R$100000,0)=ROW()-4,ROW(),""))</f>
        <v/>
      </c>
      <c r="T616" s="9">
        <f>IF(Q616="당기",ABS(P616)+ROW()/1000000000,"")</f>
        <v/>
      </c>
      <c r="U616" s="9">
        <f>IF(Q616="비교",ABS(P616)+ROW()/1000000000,"")</f>
        <v/>
      </c>
      <c r="V616" s="39">
        <f>IF($A616="","",IF(COUNTIF(변동분석!$E$7:$E$506,O616)&gt;0,"Y","N"))</f>
        <v/>
      </c>
      <c r="W616" s="39">
        <f>IF($A616="","",IFERROR(INDEX(계정매핑!$D$5:$D$504,MATCH($F616&amp;"",계정매핑!$A$5:$A$504,0)),"미매핑"))</f>
        <v/>
      </c>
      <c r="X616" s="9">
        <f>IF($A616="","",$F616&amp;"")</f>
        <v/>
      </c>
    </row>
    <row r="617">
      <c r="A617" s="75" t="n">
        <v>2025</v>
      </c>
      <c r="B617" s="75" t="n">
        <v>4</v>
      </c>
      <c r="C617" s="75" t="inlineStr">
        <is>
          <t>5100000613</t>
        </is>
      </c>
      <c r="D617" s="78" t="n">
        <v>45752</v>
      </c>
      <c r="E617" s="75" t="inlineStr">
        <is>
          <t>KR</t>
        </is>
      </c>
      <c r="F617" s="75" t="n">
        <v>62201000</v>
      </c>
      <c r="G617" s="75" t="n">
        <v>1101</v>
      </c>
      <c r="H617" s="76" t="n">
        <v>228000</v>
      </c>
      <c r="I617" s="75" t="inlineStr">
        <is>
          <t>4월 통신요금 - P통신</t>
        </is>
      </c>
      <c r="J617" s="75" t="inlineStr">
        <is>
          <t>V10011</t>
        </is>
      </c>
      <c r="K617" s="75" t="inlineStr">
        <is>
          <t>P통신</t>
        </is>
      </c>
      <c r="M617" s="9">
        <f>IF($A617="","",VALUE($A617&amp;"")*12+VALUE($B617&amp;""))</f>
        <v/>
      </c>
      <c r="N617" s="39">
        <f>IF($A617="","",IFERROR(INDEX(부서매핑!$C$5:$C$504,MATCH($G617&amp;"",부서매핑!$A$5:$A$504,0)),"미매핑"))</f>
        <v/>
      </c>
      <c r="O617" s="9">
        <f>IF($A617="","",N617&amp;"|"&amp;$F617)</f>
        <v/>
      </c>
      <c r="P617" s="77">
        <f>IF($A617="",0,$H617*설정!$C$23)</f>
        <v/>
      </c>
      <c r="Q617" s="39">
        <f>IF($A617="","",IF(O617&lt;&gt;원인분석!$C$9,"",IF(AND(M617&gt;=원인분석!$C$10,M617&lt;=원인분석!$C$11),"당기",IF(AND(M617&gt;=원인분석!$C$12,M617&lt;=원인분석!$C$13),"비교",""))))</f>
        <v/>
      </c>
      <c r="R617" s="9">
        <f>IF(Q617="","",$K617&amp;"")</f>
        <v/>
      </c>
      <c r="S617" s="9">
        <f>IF(Q617="","",IF(MATCH(R617,$R$5:$R$100000,0)=ROW()-4,ROW(),""))</f>
        <v/>
      </c>
      <c r="T617" s="9">
        <f>IF(Q617="당기",ABS(P617)+ROW()/1000000000,"")</f>
        <v/>
      </c>
      <c r="U617" s="9">
        <f>IF(Q617="비교",ABS(P617)+ROW()/1000000000,"")</f>
        <v/>
      </c>
      <c r="V617" s="39">
        <f>IF($A617="","",IF(COUNTIF(변동분석!$E$7:$E$506,O617)&gt;0,"Y","N"))</f>
        <v/>
      </c>
      <c r="W617" s="39">
        <f>IF($A617="","",IFERROR(INDEX(계정매핑!$D$5:$D$504,MATCH($F617&amp;"",계정매핑!$A$5:$A$504,0)),"미매핑"))</f>
        <v/>
      </c>
      <c r="X617" s="9">
        <f>IF($A617="","",$F617&amp;"")</f>
        <v/>
      </c>
    </row>
    <row r="618">
      <c r="A618" s="75" t="n">
        <v>2025</v>
      </c>
      <c r="B618" s="75" t="n">
        <v>4</v>
      </c>
      <c r="C618" s="75" t="inlineStr">
        <is>
          <t>5100000614</t>
        </is>
      </c>
      <c r="D618" s="78" t="n">
        <v>45752</v>
      </c>
      <c r="E618" s="75" t="inlineStr">
        <is>
          <t>KR</t>
        </is>
      </c>
      <c r="F618" s="75" t="n">
        <v>62201000</v>
      </c>
      <c r="G618" s="75" t="n">
        <v>1502</v>
      </c>
      <c r="H618" s="76" t="n">
        <v>390000</v>
      </c>
      <c r="I618" s="75" t="inlineStr">
        <is>
          <t>4월 통신요금 - O텔레콤</t>
        </is>
      </c>
      <c r="J618" s="75" t="inlineStr">
        <is>
          <t>V10002</t>
        </is>
      </c>
      <c r="K618" s="75" t="inlineStr">
        <is>
          <t>O텔레콤</t>
        </is>
      </c>
      <c r="M618" s="9">
        <f>IF($A618="","",VALUE($A618&amp;"")*12+VALUE($B618&amp;""))</f>
        <v/>
      </c>
      <c r="N618" s="39">
        <f>IF($A618="","",IFERROR(INDEX(부서매핑!$C$5:$C$504,MATCH($G618&amp;"",부서매핑!$A$5:$A$504,0)),"미매핑"))</f>
        <v/>
      </c>
      <c r="O618" s="9">
        <f>IF($A618="","",N618&amp;"|"&amp;$F618)</f>
        <v/>
      </c>
      <c r="P618" s="77">
        <f>IF($A618="",0,$H618*설정!$C$23)</f>
        <v/>
      </c>
      <c r="Q618" s="39">
        <f>IF($A618="","",IF(O618&lt;&gt;원인분석!$C$9,"",IF(AND(M618&gt;=원인분석!$C$10,M618&lt;=원인분석!$C$11),"당기",IF(AND(M618&gt;=원인분석!$C$12,M618&lt;=원인분석!$C$13),"비교",""))))</f>
        <v/>
      </c>
      <c r="R618" s="9">
        <f>IF(Q618="","",$K618&amp;"")</f>
        <v/>
      </c>
      <c r="S618" s="9">
        <f>IF(Q618="","",IF(MATCH(R618,$R$5:$R$100000,0)=ROW()-4,ROW(),""))</f>
        <v/>
      </c>
      <c r="T618" s="9">
        <f>IF(Q618="당기",ABS(P618)+ROW()/1000000000,"")</f>
        <v/>
      </c>
      <c r="U618" s="9">
        <f>IF(Q618="비교",ABS(P618)+ROW()/1000000000,"")</f>
        <v/>
      </c>
      <c r="V618" s="39">
        <f>IF($A618="","",IF(COUNTIF(변동분석!$E$7:$E$506,O618)&gt;0,"Y","N"))</f>
        <v/>
      </c>
      <c r="W618" s="39">
        <f>IF($A618="","",IFERROR(INDEX(계정매핑!$D$5:$D$504,MATCH($F618&amp;"",계정매핑!$A$5:$A$504,0)),"미매핑"))</f>
        <v/>
      </c>
      <c r="X618" s="9">
        <f>IF($A618="","",$F618&amp;"")</f>
        <v/>
      </c>
    </row>
    <row r="619">
      <c r="A619" s="75" t="n">
        <v>2025</v>
      </c>
      <c r="B619" s="75" t="n">
        <v>4</v>
      </c>
      <c r="C619" s="75" t="inlineStr">
        <is>
          <t>5100000615</t>
        </is>
      </c>
      <c r="D619" s="78" t="n">
        <v>45752</v>
      </c>
      <c r="E619" s="75" t="inlineStr">
        <is>
          <t>KR</t>
        </is>
      </c>
      <c r="F619" s="75" t="n">
        <v>62901000</v>
      </c>
      <c r="G619" s="75" t="n">
        <v>1201</v>
      </c>
      <c r="H619" s="76" t="n">
        <v>6014000</v>
      </c>
      <c r="I619" s="75" t="inlineStr">
        <is>
          <t>4월 자문 수수료 - W컨설팅</t>
        </is>
      </c>
      <c r="J619" s="75" t="inlineStr">
        <is>
          <t>V10009</t>
        </is>
      </c>
      <c r="K619" s="75" t="inlineStr">
        <is>
          <t>W컨설팅</t>
        </is>
      </c>
      <c r="M619" s="9">
        <f>IF($A619="","",VALUE($A619&amp;"")*12+VALUE($B619&amp;""))</f>
        <v/>
      </c>
      <c r="N619" s="39">
        <f>IF($A619="","",IFERROR(INDEX(부서매핑!$C$5:$C$504,MATCH($G619&amp;"",부서매핑!$A$5:$A$504,0)),"미매핑"))</f>
        <v/>
      </c>
      <c r="O619" s="9">
        <f>IF($A619="","",N619&amp;"|"&amp;$F619)</f>
        <v/>
      </c>
      <c r="P619" s="77">
        <f>IF($A619="",0,$H619*설정!$C$23)</f>
        <v/>
      </c>
      <c r="Q619" s="39">
        <f>IF($A619="","",IF(O619&lt;&gt;원인분석!$C$9,"",IF(AND(M619&gt;=원인분석!$C$10,M619&lt;=원인분석!$C$11),"당기",IF(AND(M619&gt;=원인분석!$C$12,M619&lt;=원인분석!$C$13),"비교",""))))</f>
        <v/>
      </c>
      <c r="R619" s="9">
        <f>IF(Q619="","",$K619&amp;"")</f>
        <v/>
      </c>
      <c r="S619" s="9">
        <f>IF(Q619="","",IF(MATCH(R619,$R$5:$R$100000,0)=ROW()-4,ROW(),""))</f>
        <v/>
      </c>
      <c r="T619" s="9">
        <f>IF(Q619="당기",ABS(P619)+ROW()/1000000000,"")</f>
        <v/>
      </c>
      <c r="U619" s="9">
        <f>IF(Q619="비교",ABS(P619)+ROW()/1000000000,"")</f>
        <v/>
      </c>
      <c r="V619" s="39">
        <f>IF($A619="","",IF(COUNTIF(변동분석!$E$7:$E$506,O619)&gt;0,"Y","N"))</f>
        <v/>
      </c>
      <c r="W619" s="39">
        <f>IF($A619="","",IFERROR(INDEX(계정매핑!$D$5:$D$504,MATCH($F619&amp;"",계정매핑!$A$5:$A$504,0)),"미매핑"))</f>
        <v/>
      </c>
      <c r="X619" s="9">
        <f>IF($A619="","",$F619&amp;"")</f>
        <v/>
      </c>
    </row>
    <row r="620">
      <c r="A620" s="75" t="n">
        <v>2025</v>
      </c>
      <c r="B620" s="75" t="n">
        <v>4</v>
      </c>
      <c r="C620" s="75" t="inlineStr">
        <is>
          <t>5100000616</t>
        </is>
      </c>
      <c r="D620" s="78" t="n">
        <v>45753</v>
      </c>
      <c r="E620" s="75" t="inlineStr">
        <is>
          <t>KR</t>
        </is>
      </c>
      <c r="F620" s="75" t="n">
        <v>62201000</v>
      </c>
      <c r="G620" s="75" t="n">
        <v>1401</v>
      </c>
      <c r="H620" s="76" t="n">
        <v>140000</v>
      </c>
      <c r="I620" s="75" t="inlineStr">
        <is>
          <t>4월 통신요금 - P통신</t>
        </is>
      </c>
      <c r="J620" s="75" t="inlineStr">
        <is>
          <t>V10011</t>
        </is>
      </c>
      <c r="K620" s="75" t="inlineStr">
        <is>
          <t>P통신</t>
        </is>
      </c>
      <c r="M620" s="9">
        <f>IF($A620="","",VALUE($A620&amp;"")*12+VALUE($B620&amp;""))</f>
        <v/>
      </c>
      <c r="N620" s="39">
        <f>IF($A620="","",IFERROR(INDEX(부서매핑!$C$5:$C$504,MATCH($G620&amp;"",부서매핑!$A$5:$A$504,0)),"미매핑"))</f>
        <v/>
      </c>
      <c r="O620" s="9">
        <f>IF($A620="","",N620&amp;"|"&amp;$F620)</f>
        <v/>
      </c>
      <c r="P620" s="77">
        <f>IF($A620="",0,$H620*설정!$C$23)</f>
        <v/>
      </c>
      <c r="Q620" s="39">
        <f>IF($A620="","",IF(O620&lt;&gt;원인분석!$C$9,"",IF(AND(M620&gt;=원인분석!$C$10,M620&lt;=원인분석!$C$11),"당기",IF(AND(M620&gt;=원인분석!$C$12,M620&lt;=원인분석!$C$13),"비교",""))))</f>
        <v/>
      </c>
      <c r="R620" s="9">
        <f>IF(Q620="","",$K620&amp;"")</f>
        <v/>
      </c>
      <c r="S620" s="9">
        <f>IF(Q620="","",IF(MATCH(R620,$R$5:$R$100000,0)=ROW()-4,ROW(),""))</f>
        <v/>
      </c>
      <c r="T620" s="9">
        <f>IF(Q620="당기",ABS(P620)+ROW()/1000000000,"")</f>
        <v/>
      </c>
      <c r="U620" s="9">
        <f>IF(Q620="비교",ABS(P620)+ROW()/1000000000,"")</f>
        <v/>
      </c>
      <c r="V620" s="39">
        <f>IF($A620="","",IF(COUNTIF(변동분석!$E$7:$E$506,O620)&gt;0,"Y","N"))</f>
        <v/>
      </c>
      <c r="W620" s="39">
        <f>IF($A620="","",IFERROR(INDEX(계정매핑!$D$5:$D$504,MATCH($F620&amp;"",계정매핑!$A$5:$A$504,0)),"미매핑"))</f>
        <v/>
      </c>
      <c r="X620" s="9">
        <f>IF($A620="","",$F620&amp;"")</f>
        <v/>
      </c>
    </row>
    <row r="621">
      <c r="A621" s="75" t="n">
        <v>2025</v>
      </c>
      <c r="B621" s="75" t="n">
        <v>4</v>
      </c>
      <c r="C621" s="75" t="inlineStr">
        <is>
          <t>5100000617</t>
        </is>
      </c>
      <c r="D621" s="78" t="n">
        <v>45753</v>
      </c>
      <c r="E621" s="75" t="inlineStr">
        <is>
          <t>KR</t>
        </is>
      </c>
      <c r="F621" s="75" t="n">
        <v>62201000</v>
      </c>
      <c r="G621" s="75" t="n">
        <v>1601</v>
      </c>
      <c r="H621" s="76" t="n">
        <v>694000</v>
      </c>
      <c r="I621" s="75" t="inlineStr">
        <is>
          <t>4월 통신요금 - O텔레콤</t>
        </is>
      </c>
      <c r="J621" s="75" t="inlineStr">
        <is>
          <t>V10002</t>
        </is>
      </c>
      <c r="K621" s="75" t="inlineStr">
        <is>
          <t>O텔레콤</t>
        </is>
      </c>
      <c r="M621" s="9">
        <f>IF($A621="","",VALUE($A621&amp;"")*12+VALUE($B621&amp;""))</f>
        <v/>
      </c>
      <c r="N621" s="39">
        <f>IF($A621="","",IFERROR(INDEX(부서매핑!$C$5:$C$504,MATCH($G621&amp;"",부서매핑!$A$5:$A$504,0)),"미매핑"))</f>
        <v/>
      </c>
      <c r="O621" s="9">
        <f>IF($A621="","",N621&amp;"|"&amp;$F621)</f>
        <v/>
      </c>
      <c r="P621" s="77">
        <f>IF($A621="",0,$H621*설정!$C$23)</f>
        <v/>
      </c>
      <c r="Q621" s="39">
        <f>IF($A621="","",IF(O621&lt;&gt;원인분석!$C$9,"",IF(AND(M621&gt;=원인분석!$C$10,M621&lt;=원인분석!$C$11),"당기",IF(AND(M621&gt;=원인분석!$C$12,M621&lt;=원인분석!$C$13),"비교",""))))</f>
        <v/>
      </c>
      <c r="R621" s="9">
        <f>IF(Q621="","",$K621&amp;"")</f>
        <v/>
      </c>
      <c r="S621" s="9">
        <f>IF(Q621="","",IF(MATCH(R621,$R$5:$R$100000,0)=ROW()-4,ROW(),""))</f>
        <v/>
      </c>
      <c r="T621" s="9">
        <f>IF(Q621="당기",ABS(P621)+ROW()/1000000000,"")</f>
        <v/>
      </c>
      <c r="U621" s="9">
        <f>IF(Q621="비교",ABS(P621)+ROW()/1000000000,"")</f>
        <v/>
      </c>
      <c r="V621" s="39">
        <f>IF($A621="","",IF(COUNTIF(변동분석!$E$7:$E$506,O621)&gt;0,"Y","N"))</f>
        <v/>
      </c>
      <c r="W621" s="39">
        <f>IF($A621="","",IFERROR(INDEX(계정매핑!$D$5:$D$504,MATCH($F621&amp;"",계정매핑!$A$5:$A$504,0)),"미매핑"))</f>
        <v/>
      </c>
      <c r="X621" s="9">
        <f>IF($A621="","",$F621&amp;"")</f>
        <v/>
      </c>
    </row>
    <row r="622">
      <c r="A622" s="75" t="n">
        <v>2025</v>
      </c>
      <c r="B622" s="75" t="n">
        <v>4</v>
      </c>
      <c r="C622" s="75" t="inlineStr">
        <is>
          <t>5100000618</t>
        </is>
      </c>
      <c r="D622" s="78" t="n">
        <v>45753</v>
      </c>
      <c r="E622" s="75" t="inlineStr">
        <is>
          <t>KR</t>
        </is>
      </c>
      <c r="F622" s="75" t="n">
        <v>62501000</v>
      </c>
      <c r="G622" s="75" t="n">
        <v>1601</v>
      </c>
      <c r="H622" s="76" t="n">
        <v>451000</v>
      </c>
      <c r="I622" s="75" t="inlineStr">
        <is>
          <t>4월 회의 다과 - T케이터링</t>
        </is>
      </c>
      <c r="J622" s="75" t="inlineStr">
        <is>
          <t>V10005</t>
        </is>
      </c>
      <c r="K622" s="75" t="inlineStr">
        <is>
          <t>T케이터링</t>
        </is>
      </c>
      <c r="M622" s="9">
        <f>IF($A622="","",VALUE($A622&amp;"")*12+VALUE($B622&amp;""))</f>
        <v/>
      </c>
      <c r="N622" s="39">
        <f>IF($A622="","",IFERROR(INDEX(부서매핑!$C$5:$C$504,MATCH($G622&amp;"",부서매핑!$A$5:$A$504,0)),"미매핑"))</f>
        <v/>
      </c>
      <c r="O622" s="9">
        <f>IF($A622="","",N622&amp;"|"&amp;$F622)</f>
        <v/>
      </c>
      <c r="P622" s="77">
        <f>IF($A622="",0,$H622*설정!$C$23)</f>
        <v/>
      </c>
      <c r="Q622" s="39">
        <f>IF($A622="","",IF(O622&lt;&gt;원인분석!$C$9,"",IF(AND(M622&gt;=원인분석!$C$10,M622&lt;=원인분석!$C$11),"당기",IF(AND(M622&gt;=원인분석!$C$12,M622&lt;=원인분석!$C$13),"비교",""))))</f>
        <v/>
      </c>
      <c r="R622" s="9">
        <f>IF(Q622="","",$K622&amp;"")</f>
        <v/>
      </c>
      <c r="S622" s="9">
        <f>IF(Q622="","",IF(MATCH(R622,$R$5:$R$100000,0)=ROW()-4,ROW(),""))</f>
        <v/>
      </c>
      <c r="T622" s="9">
        <f>IF(Q622="당기",ABS(P622)+ROW()/1000000000,"")</f>
        <v/>
      </c>
      <c r="U622" s="9">
        <f>IF(Q622="비교",ABS(P622)+ROW()/1000000000,"")</f>
        <v/>
      </c>
      <c r="V622" s="39">
        <f>IF($A622="","",IF(COUNTIF(변동분석!$E$7:$E$506,O622)&gt;0,"Y","N"))</f>
        <v/>
      </c>
      <c r="W622" s="39">
        <f>IF($A622="","",IFERROR(INDEX(계정매핑!$D$5:$D$504,MATCH($F622&amp;"",계정매핑!$A$5:$A$504,0)),"미매핑"))</f>
        <v/>
      </c>
      <c r="X622" s="9">
        <f>IF($A622="","",$F622&amp;"")</f>
        <v/>
      </c>
    </row>
    <row r="623">
      <c r="A623" s="75" t="n">
        <v>2025</v>
      </c>
      <c r="B623" s="75" t="n">
        <v>4</v>
      </c>
      <c r="C623" s="75" t="inlineStr">
        <is>
          <t>5100000619</t>
        </is>
      </c>
      <c r="D623" s="78" t="n">
        <v>45753</v>
      </c>
      <c r="E623" s="75" t="inlineStr">
        <is>
          <t>KR</t>
        </is>
      </c>
      <c r="F623" s="75" t="n">
        <v>62801000</v>
      </c>
      <c r="G623" s="75" t="n">
        <v>1301</v>
      </c>
      <c r="H623" s="76" t="n">
        <v>4701000</v>
      </c>
      <c r="I623" s="75" t="inlineStr">
        <is>
          <t>4월 사내교육 - U에듀</t>
        </is>
      </c>
      <c r="J623" s="75" t="inlineStr">
        <is>
          <t>V10026</t>
        </is>
      </c>
      <c r="K623" s="75" t="inlineStr">
        <is>
          <t>U에듀</t>
        </is>
      </c>
      <c r="M623" s="9">
        <f>IF($A623="","",VALUE($A623&amp;"")*12+VALUE($B623&amp;""))</f>
        <v/>
      </c>
      <c r="N623" s="39">
        <f>IF($A623="","",IFERROR(INDEX(부서매핑!$C$5:$C$504,MATCH($G623&amp;"",부서매핑!$A$5:$A$504,0)),"미매핑"))</f>
        <v/>
      </c>
      <c r="O623" s="9">
        <f>IF($A623="","",N623&amp;"|"&amp;$F623)</f>
        <v/>
      </c>
      <c r="P623" s="77">
        <f>IF($A623="",0,$H623*설정!$C$23)</f>
        <v/>
      </c>
      <c r="Q623" s="39">
        <f>IF($A623="","",IF(O623&lt;&gt;원인분석!$C$9,"",IF(AND(M623&gt;=원인분석!$C$10,M623&lt;=원인분석!$C$11),"당기",IF(AND(M623&gt;=원인분석!$C$12,M623&lt;=원인분석!$C$13),"비교",""))))</f>
        <v/>
      </c>
      <c r="R623" s="9">
        <f>IF(Q623="","",$K623&amp;"")</f>
        <v/>
      </c>
      <c r="S623" s="9">
        <f>IF(Q623="","",IF(MATCH(R623,$R$5:$R$100000,0)=ROW()-4,ROW(),""))</f>
        <v/>
      </c>
      <c r="T623" s="9">
        <f>IF(Q623="당기",ABS(P623)+ROW()/1000000000,"")</f>
        <v/>
      </c>
      <c r="U623" s="9">
        <f>IF(Q623="비교",ABS(P623)+ROW()/1000000000,"")</f>
        <v/>
      </c>
      <c r="V623" s="39">
        <f>IF($A623="","",IF(COUNTIF(변동분석!$E$7:$E$506,O623)&gt;0,"Y","N"))</f>
        <v/>
      </c>
      <c r="W623" s="39">
        <f>IF($A623="","",IFERROR(INDEX(계정매핑!$D$5:$D$504,MATCH($F623&amp;"",계정매핑!$A$5:$A$504,0)),"미매핑"))</f>
        <v/>
      </c>
      <c r="X623" s="9">
        <f>IF($A623="","",$F623&amp;"")</f>
        <v/>
      </c>
    </row>
    <row r="624">
      <c r="A624" s="75" t="n">
        <v>2025</v>
      </c>
      <c r="B624" s="75" t="n">
        <v>4</v>
      </c>
      <c r="C624" s="75" t="inlineStr">
        <is>
          <t>5100000620</t>
        </is>
      </c>
      <c r="D624" s="78" t="n">
        <v>45753</v>
      </c>
      <c r="E624" s="75" t="inlineStr">
        <is>
          <t>KR</t>
        </is>
      </c>
      <c r="F624" s="75" t="n">
        <v>63201000</v>
      </c>
      <c r="G624" s="75" t="n">
        <v>1601</v>
      </c>
      <c r="H624" s="76" t="n">
        <v>5334000</v>
      </c>
      <c r="I624" s="75" t="inlineStr">
        <is>
          <t>4월 차량 유지 - D정비</t>
        </is>
      </c>
      <c r="J624" s="75" t="inlineStr">
        <is>
          <t>V10022</t>
        </is>
      </c>
      <c r="K624" s="75" t="inlineStr">
        <is>
          <t>D정비</t>
        </is>
      </c>
      <c r="M624" s="9">
        <f>IF($A624="","",VALUE($A624&amp;"")*12+VALUE($B624&amp;""))</f>
        <v/>
      </c>
      <c r="N624" s="39">
        <f>IF($A624="","",IFERROR(INDEX(부서매핑!$C$5:$C$504,MATCH($G624&amp;"",부서매핑!$A$5:$A$504,0)),"미매핑"))</f>
        <v/>
      </c>
      <c r="O624" s="9">
        <f>IF($A624="","",N624&amp;"|"&amp;$F624)</f>
        <v/>
      </c>
      <c r="P624" s="77">
        <f>IF($A624="",0,$H624*설정!$C$23)</f>
        <v/>
      </c>
      <c r="Q624" s="39">
        <f>IF($A624="","",IF(O624&lt;&gt;원인분석!$C$9,"",IF(AND(M624&gt;=원인분석!$C$10,M624&lt;=원인분석!$C$11),"당기",IF(AND(M624&gt;=원인분석!$C$12,M624&lt;=원인분석!$C$13),"비교",""))))</f>
        <v/>
      </c>
      <c r="R624" s="9">
        <f>IF(Q624="","",$K624&amp;"")</f>
        <v/>
      </c>
      <c r="S624" s="9">
        <f>IF(Q624="","",IF(MATCH(R624,$R$5:$R$100000,0)=ROW()-4,ROW(),""))</f>
        <v/>
      </c>
      <c r="T624" s="9">
        <f>IF(Q624="당기",ABS(P624)+ROW()/1000000000,"")</f>
        <v/>
      </c>
      <c r="U624" s="9">
        <f>IF(Q624="비교",ABS(P624)+ROW()/1000000000,"")</f>
        <v/>
      </c>
      <c r="V624" s="39">
        <f>IF($A624="","",IF(COUNTIF(변동분석!$E$7:$E$506,O624)&gt;0,"Y","N"))</f>
        <v/>
      </c>
      <c r="W624" s="39">
        <f>IF($A624="","",IFERROR(INDEX(계정매핑!$D$5:$D$504,MATCH($F624&amp;"",계정매핑!$A$5:$A$504,0)),"미매핑"))</f>
        <v/>
      </c>
      <c r="X624" s="9">
        <f>IF($A624="","",$F624&amp;"")</f>
        <v/>
      </c>
    </row>
    <row r="625">
      <c r="A625" s="75" t="n">
        <v>2025</v>
      </c>
      <c r="B625" s="75" t="n">
        <v>4</v>
      </c>
      <c r="C625" s="75" t="inlineStr">
        <is>
          <t>5100000621</t>
        </is>
      </c>
      <c r="D625" s="78" t="n">
        <v>45754</v>
      </c>
      <c r="E625" s="75" t="inlineStr">
        <is>
          <t>KR</t>
        </is>
      </c>
      <c r="F625" s="75" t="n">
        <v>62101000</v>
      </c>
      <c r="G625" s="75" t="n">
        <v>1301</v>
      </c>
      <c r="H625" s="76" t="n">
        <v>200000</v>
      </c>
      <c r="I625" s="75" t="inlineStr">
        <is>
          <t>4월 국내출장 - (법인카드)</t>
        </is>
      </c>
      <c r="J625" s="75" t="inlineStr">
        <is>
          <t>V10008</t>
        </is>
      </c>
      <c r="K625" s="75" t="inlineStr">
        <is>
          <t>(법인카드)</t>
        </is>
      </c>
      <c r="M625" s="9">
        <f>IF($A625="","",VALUE($A625&amp;"")*12+VALUE($B625&amp;""))</f>
        <v/>
      </c>
      <c r="N625" s="39">
        <f>IF($A625="","",IFERROR(INDEX(부서매핑!$C$5:$C$504,MATCH($G625&amp;"",부서매핑!$A$5:$A$504,0)),"미매핑"))</f>
        <v/>
      </c>
      <c r="O625" s="9">
        <f>IF($A625="","",N625&amp;"|"&amp;$F625)</f>
        <v/>
      </c>
      <c r="P625" s="77">
        <f>IF($A625="",0,$H625*설정!$C$23)</f>
        <v/>
      </c>
      <c r="Q625" s="39">
        <f>IF($A625="","",IF(O625&lt;&gt;원인분석!$C$9,"",IF(AND(M625&gt;=원인분석!$C$10,M625&lt;=원인분석!$C$11),"당기",IF(AND(M625&gt;=원인분석!$C$12,M625&lt;=원인분석!$C$13),"비교",""))))</f>
        <v/>
      </c>
      <c r="R625" s="9">
        <f>IF(Q625="","",$K625&amp;"")</f>
        <v/>
      </c>
      <c r="S625" s="9">
        <f>IF(Q625="","",IF(MATCH(R625,$R$5:$R$100000,0)=ROW()-4,ROW(),""))</f>
        <v/>
      </c>
      <c r="T625" s="9">
        <f>IF(Q625="당기",ABS(P625)+ROW()/1000000000,"")</f>
        <v/>
      </c>
      <c r="U625" s="9">
        <f>IF(Q625="비교",ABS(P625)+ROW()/1000000000,"")</f>
        <v/>
      </c>
      <c r="V625" s="39">
        <f>IF($A625="","",IF(COUNTIF(변동분석!$E$7:$E$506,O625)&gt;0,"Y","N"))</f>
        <v/>
      </c>
      <c r="W625" s="39">
        <f>IF($A625="","",IFERROR(INDEX(계정매핑!$D$5:$D$504,MATCH($F625&amp;"",계정매핑!$A$5:$A$504,0)),"미매핑"))</f>
        <v/>
      </c>
      <c r="X625" s="9">
        <f>IF($A625="","",$F625&amp;"")</f>
        <v/>
      </c>
    </row>
    <row r="626">
      <c r="A626" s="75" t="n">
        <v>2025</v>
      </c>
      <c r="B626" s="75" t="n">
        <v>4</v>
      </c>
      <c r="C626" s="75" t="inlineStr">
        <is>
          <t>5100000622</t>
        </is>
      </c>
      <c r="D626" s="78" t="n">
        <v>45754</v>
      </c>
      <c r="E626" s="75" t="inlineStr">
        <is>
          <t>KR</t>
        </is>
      </c>
      <c r="F626" s="75" t="n">
        <v>62301000</v>
      </c>
      <c r="G626" s="75" t="n">
        <v>1301</v>
      </c>
      <c r="H626" s="76" t="n">
        <v>289000</v>
      </c>
      <c r="I626" s="75" t="inlineStr">
        <is>
          <t>4월 소모품 구입 - Q오피스</t>
        </is>
      </c>
      <c r="J626" s="75" t="inlineStr">
        <is>
          <t>V10003</t>
        </is>
      </c>
      <c r="K626" s="75" t="inlineStr">
        <is>
          <t>Q오피스</t>
        </is>
      </c>
      <c r="M626" s="9">
        <f>IF($A626="","",VALUE($A626&amp;"")*12+VALUE($B626&amp;""))</f>
        <v/>
      </c>
      <c r="N626" s="39">
        <f>IF($A626="","",IFERROR(INDEX(부서매핑!$C$5:$C$504,MATCH($G626&amp;"",부서매핑!$A$5:$A$504,0)),"미매핑"))</f>
        <v/>
      </c>
      <c r="O626" s="9">
        <f>IF($A626="","",N626&amp;"|"&amp;$F626)</f>
        <v/>
      </c>
      <c r="P626" s="77">
        <f>IF($A626="",0,$H626*설정!$C$23)</f>
        <v/>
      </c>
      <c r="Q626" s="39">
        <f>IF($A626="","",IF(O626&lt;&gt;원인분석!$C$9,"",IF(AND(M626&gt;=원인분석!$C$10,M626&lt;=원인분석!$C$11),"당기",IF(AND(M626&gt;=원인분석!$C$12,M626&lt;=원인분석!$C$13),"비교",""))))</f>
        <v/>
      </c>
      <c r="R626" s="9">
        <f>IF(Q626="","",$K626&amp;"")</f>
        <v/>
      </c>
      <c r="S626" s="9">
        <f>IF(Q626="","",IF(MATCH(R626,$R$5:$R$100000,0)=ROW()-4,ROW(),""))</f>
        <v/>
      </c>
      <c r="T626" s="9">
        <f>IF(Q626="당기",ABS(P626)+ROW()/1000000000,"")</f>
        <v/>
      </c>
      <c r="U626" s="9">
        <f>IF(Q626="비교",ABS(P626)+ROW()/1000000000,"")</f>
        <v/>
      </c>
      <c r="V626" s="39">
        <f>IF($A626="","",IF(COUNTIF(변동분석!$E$7:$E$506,O626)&gt;0,"Y","N"))</f>
        <v/>
      </c>
      <c r="W626" s="39">
        <f>IF($A626="","",IFERROR(INDEX(계정매핑!$D$5:$D$504,MATCH($F626&amp;"",계정매핑!$A$5:$A$504,0)),"미매핑"))</f>
        <v/>
      </c>
      <c r="X626" s="9">
        <f>IF($A626="","",$F626&amp;"")</f>
        <v/>
      </c>
    </row>
    <row r="627">
      <c r="A627" s="75" t="n">
        <v>2025</v>
      </c>
      <c r="B627" s="75" t="n">
        <v>4</v>
      </c>
      <c r="C627" s="75" t="inlineStr">
        <is>
          <t>5100000623</t>
        </is>
      </c>
      <c r="D627" s="78" t="n">
        <v>45754</v>
      </c>
      <c r="E627" s="75" t="inlineStr">
        <is>
          <t>KR</t>
        </is>
      </c>
      <c r="F627" s="75" t="n">
        <v>62301000</v>
      </c>
      <c r="G627" s="75" t="n">
        <v>1401</v>
      </c>
      <c r="H627" s="76" t="n">
        <v>62000</v>
      </c>
      <c r="I627" s="75" t="inlineStr">
        <is>
          <t>4월 소모품 구입 - R문구</t>
        </is>
      </c>
      <c r="J627" s="75" t="inlineStr">
        <is>
          <t>V10018</t>
        </is>
      </c>
      <c r="K627" s="75" t="inlineStr">
        <is>
          <t>R문구</t>
        </is>
      </c>
      <c r="M627" s="9">
        <f>IF($A627="","",VALUE($A627&amp;"")*12+VALUE($B627&amp;""))</f>
        <v/>
      </c>
      <c r="N627" s="39">
        <f>IF($A627="","",IFERROR(INDEX(부서매핑!$C$5:$C$504,MATCH($G627&amp;"",부서매핑!$A$5:$A$504,0)),"미매핑"))</f>
        <v/>
      </c>
      <c r="O627" s="9">
        <f>IF($A627="","",N627&amp;"|"&amp;$F627)</f>
        <v/>
      </c>
      <c r="P627" s="77">
        <f>IF($A627="",0,$H627*설정!$C$23)</f>
        <v/>
      </c>
      <c r="Q627" s="39">
        <f>IF($A627="","",IF(O627&lt;&gt;원인분석!$C$9,"",IF(AND(M627&gt;=원인분석!$C$10,M627&lt;=원인분석!$C$11),"당기",IF(AND(M627&gt;=원인분석!$C$12,M627&lt;=원인분석!$C$13),"비교",""))))</f>
        <v/>
      </c>
      <c r="R627" s="9">
        <f>IF(Q627="","",$K627&amp;"")</f>
        <v/>
      </c>
      <c r="S627" s="9">
        <f>IF(Q627="","",IF(MATCH(R627,$R$5:$R$100000,0)=ROW()-4,ROW(),""))</f>
        <v/>
      </c>
      <c r="T627" s="9">
        <f>IF(Q627="당기",ABS(P627)+ROW()/1000000000,"")</f>
        <v/>
      </c>
      <c r="U627" s="9">
        <f>IF(Q627="비교",ABS(P627)+ROW()/1000000000,"")</f>
        <v/>
      </c>
      <c r="V627" s="39">
        <f>IF($A627="","",IF(COUNTIF(변동분석!$E$7:$E$506,O627)&gt;0,"Y","N"))</f>
        <v/>
      </c>
      <c r="W627" s="39">
        <f>IF($A627="","",IFERROR(INDEX(계정매핑!$D$5:$D$504,MATCH($F627&amp;"",계정매핑!$A$5:$A$504,0)),"미매핑"))</f>
        <v/>
      </c>
      <c r="X627" s="9">
        <f>IF($A627="","",$F627&amp;"")</f>
        <v/>
      </c>
    </row>
    <row r="628">
      <c r="A628" s="75" t="n">
        <v>2025</v>
      </c>
      <c r="B628" s="75" t="n">
        <v>4</v>
      </c>
      <c r="C628" s="75" t="inlineStr">
        <is>
          <t>5100000624</t>
        </is>
      </c>
      <c r="D628" s="78" t="n">
        <v>45754</v>
      </c>
      <c r="E628" s="75" t="inlineStr">
        <is>
          <t>KR</t>
        </is>
      </c>
      <c r="F628" s="75" t="n">
        <v>62501000</v>
      </c>
      <c r="G628" s="75" t="n">
        <v>1502</v>
      </c>
      <c r="H628" s="76" t="n">
        <v>264000</v>
      </c>
      <c r="I628" s="75" t="inlineStr">
        <is>
          <t>4월 회의 다과 - (법인카드)</t>
        </is>
      </c>
      <c r="J628" s="75" t="inlineStr">
        <is>
          <t>V10008</t>
        </is>
      </c>
      <c r="K628" s="75" t="inlineStr">
        <is>
          <t>(법인카드)</t>
        </is>
      </c>
      <c r="M628" s="9">
        <f>IF($A628="","",VALUE($A628&amp;"")*12+VALUE($B628&amp;""))</f>
        <v/>
      </c>
      <c r="N628" s="39">
        <f>IF($A628="","",IFERROR(INDEX(부서매핑!$C$5:$C$504,MATCH($G628&amp;"",부서매핑!$A$5:$A$504,0)),"미매핑"))</f>
        <v/>
      </c>
      <c r="O628" s="9">
        <f>IF($A628="","",N628&amp;"|"&amp;$F628)</f>
        <v/>
      </c>
      <c r="P628" s="77">
        <f>IF($A628="",0,$H628*설정!$C$23)</f>
        <v/>
      </c>
      <c r="Q628" s="39">
        <f>IF($A628="","",IF(O628&lt;&gt;원인분석!$C$9,"",IF(AND(M628&gt;=원인분석!$C$10,M628&lt;=원인분석!$C$11),"당기",IF(AND(M628&gt;=원인분석!$C$12,M628&lt;=원인분석!$C$13),"비교",""))))</f>
        <v/>
      </c>
      <c r="R628" s="9">
        <f>IF(Q628="","",$K628&amp;"")</f>
        <v/>
      </c>
      <c r="S628" s="9">
        <f>IF(Q628="","",IF(MATCH(R628,$R$5:$R$100000,0)=ROW()-4,ROW(),""))</f>
        <v/>
      </c>
      <c r="T628" s="9">
        <f>IF(Q628="당기",ABS(P628)+ROW()/1000000000,"")</f>
        <v/>
      </c>
      <c r="U628" s="9">
        <f>IF(Q628="비교",ABS(P628)+ROW()/1000000000,"")</f>
        <v/>
      </c>
      <c r="V628" s="39">
        <f>IF($A628="","",IF(COUNTIF(변동분석!$E$7:$E$506,O628)&gt;0,"Y","N"))</f>
        <v/>
      </c>
      <c r="W628" s="39">
        <f>IF($A628="","",IFERROR(INDEX(계정매핑!$D$5:$D$504,MATCH($F628&amp;"",계정매핑!$A$5:$A$504,0)),"미매핑"))</f>
        <v/>
      </c>
      <c r="X628" s="9">
        <f>IF($A628="","",$F628&amp;"")</f>
        <v/>
      </c>
    </row>
    <row r="629">
      <c r="A629" s="75" t="n">
        <v>2025</v>
      </c>
      <c r="B629" s="75" t="n">
        <v>4</v>
      </c>
      <c r="C629" s="75" t="inlineStr">
        <is>
          <t>5100000625</t>
        </is>
      </c>
      <c r="D629" s="78" t="n">
        <v>45754</v>
      </c>
      <c r="E629" s="75" t="inlineStr">
        <is>
          <t>KR</t>
        </is>
      </c>
      <c r="F629" s="75" t="n">
        <v>62902000</v>
      </c>
      <c r="G629" s="75" t="n">
        <v>1801</v>
      </c>
      <c r="H629" s="76" t="n">
        <v>1770000</v>
      </c>
      <c r="I629" s="75" t="inlineStr">
        <is>
          <t>4월 콜 위탁 수수료(건별)</t>
        </is>
      </c>
      <c r="J629" s="75" t="inlineStr">
        <is>
          <t>V10013</t>
        </is>
      </c>
      <c r="K629" s="75" t="inlineStr">
        <is>
          <t>J콜센터</t>
        </is>
      </c>
      <c r="M629" s="9">
        <f>IF($A629="","",VALUE($A629&amp;"")*12+VALUE($B629&amp;""))</f>
        <v/>
      </c>
      <c r="N629" s="39">
        <f>IF($A629="","",IFERROR(INDEX(부서매핑!$C$5:$C$504,MATCH($G629&amp;"",부서매핑!$A$5:$A$504,0)),"미매핑"))</f>
        <v/>
      </c>
      <c r="O629" s="9">
        <f>IF($A629="","",N629&amp;"|"&amp;$F629)</f>
        <v/>
      </c>
      <c r="P629" s="77">
        <f>IF($A629="",0,$H629*설정!$C$23)</f>
        <v/>
      </c>
      <c r="Q629" s="39">
        <f>IF($A629="","",IF(O629&lt;&gt;원인분석!$C$9,"",IF(AND(M629&gt;=원인분석!$C$10,M629&lt;=원인분석!$C$11),"당기",IF(AND(M629&gt;=원인분석!$C$12,M629&lt;=원인분석!$C$13),"비교",""))))</f>
        <v/>
      </c>
      <c r="R629" s="9">
        <f>IF(Q629="","",$K629&amp;"")</f>
        <v/>
      </c>
      <c r="S629" s="9">
        <f>IF(Q629="","",IF(MATCH(R629,$R$5:$R$100000,0)=ROW()-4,ROW(),""))</f>
        <v/>
      </c>
      <c r="T629" s="9">
        <f>IF(Q629="당기",ABS(P629)+ROW()/1000000000,"")</f>
        <v/>
      </c>
      <c r="U629" s="9">
        <f>IF(Q629="비교",ABS(P629)+ROW()/1000000000,"")</f>
        <v/>
      </c>
      <c r="V629" s="39">
        <f>IF($A629="","",IF(COUNTIF(변동분석!$E$7:$E$506,O629)&gt;0,"Y","N"))</f>
        <v/>
      </c>
      <c r="W629" s="39">
        <f>IF($A629="","",IFERROR(INDEX(계정매핑!$D$5:$D$504,MATCH($F629&amp;"",계정매핑!$A$5:$A$504,0)),"미매핑"))</f>
        <v/>
      </c>
      <c r="X629" s="9">
        <f>IF($A629="","",$F629&amp;"")</f>
        <v/>
      </c>
    </row>
    <row r="630">
      <c r="A630" s="75" t="n">
        <v>2025</v>
      </c>
      <c r="B630" s="75" t="n">
        <v>4</v>
      </c>
      <c r="C630" s="75" t="inlineStr">
        <is>
          <t>5100000626</t>
        </is>
      </c>
      <c r="D630" s="78" t="n">
        <v>45755</v>
      </c>
      <c r="E630" s="75" t="inlineStr">
        <is>
          <t>KR</t>
        </is>
      </c>
      <c r="F630" s="75" t="n">
        <v>62101000</v>
      </c>
      <c r="G630" s="75" t="n">
        <v>1101</v>
      </c>
      <c r="H630" s="76" t="n">
        <v>338000</v>
      </c>
      <c r="I630" s="75" t="inlineStr">
        <is>
          <t>4월 국내출장 - (법인카드)</t>
        </is>
      </c>
      <c r="J630" s="75" t="inlineStr">
        <is>
          <t>V10008</t>
        </is>
      </c>
      <c r="K630" s="75" t="inlineStr">
        <is>
          <t>(법인카드)</t>
        </is>
      </c>
      <c r="M630" s="9">
        <f>IF($A630="","",VALUE($A630&amp;"")*12+VALUE($B630&amp;""))</f>
        <v/>
      </c>
      <c r="N630" s="39">
        <f>IF($A630="","",IFERROR(INDEX(부서매핑!$C$5:$C$504,MATCH($G630&amp;"",부서매핑!$A$5:$A$504,0)),"미매핑"))</f>
        <v/>
      </c>
      <c r="O630" s="9">
        <f>IF($A630="","",N630&amp;"|"&amp;$F630)</f>
        <v/>
      </c>
      <c r="P630" s="77">
        <f>IF($A630="",0,$H630*설정!$C$23)</f>
        <v/>
      </c>
      <c r="Q630" s="39">
        <f>IF($A630="","",IF(O630&lt;&gt;원인분석!$C$9,"",IF(AND(M630&gt;=원인분석!$C$10,M630&lt;=원인분석!$C$11),"당기",IF(AND(M630&gt;=원인분석!$C$12,M630&lt;=원인분석!$C$13),"비교",""))))</f>
        <v/>
      </c>
      <c r="R630" s="9">
        <f>IF(Q630="","",$K630&amp;"")</f>
        <v/>
      </c>
      <c r="S630" s="9">
        <f>IF(Q630="","",IF(MATCH(R630,$R$5:$R$100000,0)=ROW()-4,ROW(),""))</f>
        <v/>
      </c>
      <c r="T630" s="9">
        <f>IF(Q630="당기",ABS(P630)+ROW()/1000000000,"")</f>
        <v/>
      </c>
      <c r="U630" s="9">
        <f>IF(Q630="비교",ABS(P630)+ROW()/1000000000,"")</f>
        <v/>
      </c>
      <c r="V630" s="39">
        <f>IF($A630="","",IF(COUNTIF(변동분석!$E$7:$E$506,O630)&gt;0,"Y","N"))</f>
        <v/>
      </c>
      <c r="W630" s="39">
        <f>IF($A630="","",IFERROR(INDEX(계정매핑!$D$5:$D$504,MATCH($F630&amp;"",계정매핑!$A$5:$A$504,0)),"미매핑"))</f>
        <v/>
      </c>
      <c r="X630" s="9">
        <f>IF($A630="","",$F630&amp;"")</f>
        <v/>
      </c>
    </row>
    <row r="631">
      <c r="A631" s="75" t="n">
        <v>2025</v>
      </c>
      <c r="B631" s="75" t="n">
        <v>4</v>
      </c>
      <c r="C631" s="75" t="inlineStr">
        <is>
          <t>5100000627</t>
        </is>
      </c>
      <c r="D631" s="78" t="n">
        <v>45755</v>
      </c>
      <c r="E631" s="75" t="inlineStr">
        <is>
          <t>KR</t>
        </is>
      </c>
      <c r="F631" s="75" t="n">
        <v>62101000</v>
      </c>
      <c r="G631" s="75" t="n">
        <v>1502</v>
      </c>
      <c r="H631" s="76" t="n">
        <v>368000</v>
      </c>
      <c r="I631" s="75" t="inlineStr">
        <is>
          <t>4월 국내출장 - (법인카드)</t>
        </is>
      </c>
      <c r="J631" s="75" t="inlineStr">
        <is>
          <t>V10008</t>
        </is>
      </c>
      <c r="K631" s="75" t="inlineStr">
        <is>
          <t>(법인카드)</t>
        </is>
      </c>
      <c r="M631" s="9">
        <f>IF($A631="","",VALUE($A631&amp;"")*12+VALUE($B631&amp;""))</f>
        <v/>
      </c>
      <c r="N631" s="39">
        <f>IF($A631="","",IFERROR(INDEX(부서매핑!$C$5:$C$504,MATCH($G631&amp;"",부서매핑!$A$5:$A$504,0)),"미매핑"))</f>
        <v/>
      </c>
      <c r="O631" s="9">
        <f>IF($A631="","",N631&amp;"|"&amp;$F631)</f>
        <v/>
      </c>
      <c r="P631" s="77">
        <f>IF($A631="",0,$H631*설정!$C$23)</f>
        <v/>
      </c>
      <c r="Q631" s="39">
        <f>IF($A631="","",IF(O631&lt;&gt;원인분석!$C$9,"",IF(AND(M631&gt;=원인분석!$C$10,M631&lt;=원인분석!$C$11),"당기",IF(AND(M631&gt;=원인분석!$C$12,M631&lt;=원인분석!$C$13),"비교",""))))</f>
        <v/>
      </c>
      <c r="R631" s="9">
        <f>IF(Q631="","",$K631&amp;"")</f>
        <v/>
      </c>
      <c r="S631" s="9">
        <f>IF(Q631="","",IF(MATCH(R631,$R$5:$R$100000,0)=ROW()-4,ROW(),""))</f>
        <v/>
      </c>
      <c r="T631" s="9">
        <f>IF(Q631="당기",ABS(P631)+ROW()/1000000000,"")</f>
        <v/>
      </c>
      <c r="U631" s="9">
        <f>IF(Q631="비교",ABS(P631)+ROW()/1000000000,"")</f>
        <v/>
      </c>
      <c r="V631" s="39">
        <f>IF($A631="","",IF(COUNTIF(변동분석!$E$7:$E$506,O631)&gt;0,"Y","N"))</f>
        <v/>
      </c>
      <c r="W631" s="39">
        <f>IF($A631="","",IFERROR(INDEX(계정매핑!$D$5:$D$504,MATCH($F631&amp;"",계정매핑!$A$5:$A$504,0)),"미매핑"))</f>
        <v/>
      </c>
      <c r="X631" s="9">
        <f>IF($A631="","",$F631&amp;"")</f>
        <v/>
      </c>
    </row>
    <row r="632">
      <c r="A632" s="75" t="n">
        <v>2025</v>
      </c>
      <c r="B632" s="75" t="n">
        <v>4</v>
      </c>
      <c r="C632" s="75" t="inlineStr">
        <is>
          <t>5100000628</t>
        </is>
      </c>
      <c r="D632" s="78" t="n">
        <v>45755</v>
      </c>
      <c r="E632" s="75" t="inlineStr">
        <is>
          <t>KR</t>
        </is>
      </c>
      <c r="F632" s="75" t="n">
        <v>62101000</v>
      </c>
      <c r="G632" s="75" t="n">
        <v>1701</v>
      </c>
      <c r="H632" s="76" t="n">
        <v>311000</v>
      </c>
      <c r="I632" s="75" t="inlineStr">
        <is>
          <t>4월 국내출장 - (법인카드)</t>
        </is>
      </c>
      <c r="J632" s="75" t="inlineStr">
        <is>
          <t>V10008</t>
        </is>
      </c>
      <c r="K632" s="75" t="inlineStr">
        <is>
          <t>(법인카드)</t>
        </is>
      </c>
      <c r="M632" s="9">
        <f>IF($A632="","",VALUE($A632&amp;"")*12+VALUE($B632&amp;""))</f>
        <v/>
      </c>
      <c r="N632" s="39">
        <f>IF($A632="","",IFERROR(INDEX(부서매핑!$C$5:$C$504,MATCH($G632&amp;"",부서매핑!$A$5:$A$504,0)),"미매핑"))</f>
        <v/>
      </c>
      <c r="O632" s="9">
        <f>IF($A632="","",N632&amp;"|"&amp;$F632)</f>
        <v/>
      </c>
      <c r="P632" s="77">
        <f>IF($A632="",0,$H632*설정!$C$23)</f>
        <v/>
      </c>
      <c r="Q632" s="39">
        <f>IF($A632="","",IF(O632&lt;&gt;원인분석!$C$9,"",IF(AND(M632&gt;=원인분석!$C$10,M632&lt;=원인분석!$C$11),"당기",IF(AND(M632&gt;=원인분석!$C$12,M632&lt;=원인분석!$C$13),"비교",""))))</f>
        <v/>
      </c>
      <c r="R632" s="9">
        <f>IF(Q632="","",$K632&amp;"")</f>
        <v/>
      </c>
      <c r="S632" s="9">
        <f>IF(Q632="","",IF(MATCH(R632,$R$5:$R$100000,0)=ROW()-4,ROW(),""))</f>
        <v/>
      </c>
      <c r="T632" s="9">
        <f>IF(Q632="당기",ABS(P632)+ROW()/1000000000,"")</f>
        <v/>
      </c>
      <c r="U632" s="9">
        <f>IF(Q632="비교",ABS(P632)+ROW()/1000000000,"")</f>
        <v/>
      </c>
      <c r="V632" s="39">
        <f>IF($A632="","",IF(COUNTIF(변동분석!$E$7:$E$506,O632)&gt;0,"Y","N"))</f>
        <v/>
      </c>
      <c r="W632" s="39">
        <f>IF($A632="","",IFERROR(INDEX(계정매핑!$D$5:$D$504,MATCH($F632&amp;"",계정매핑!$A$5:$A$504,0)),"미매핑"))</f>
        <v/>
      </c>
      <c r="X632" s="9">
        <f>IF($A632="","",$F632&amp;"")</f>
        <v/>
      </c>
    </row>
    <row r="633">
      <c r="A633" s="75" t="n">
        <v>2025</v>
      </c>
      <c r="B633" s="75" t="n">
        <v>4</v>
      </c>
      <c r="C633" s="75" t="inlineStr">
        <is>
          <t>5100000629</t>
        </is>
      </c>
      <c r="D633" s="78" t="n">
        <v>45755</v>
      </c>
      <c r="E633" s="75" t="inlineStr">
        <is>
          <t>KR</t>
        </is>
      </c>
      <c r="F633" s="75" t="n">
        <v>62102000</v>
      </c>
      <c r="G633" s="75" t="n">
        <v>1401</v>
      </c>
      <c r="H633" s="76" t="n">
        <v>110000</v>
      </c>
      <c r="I633" s="75" t="inlineStr">
        <is>
          <t>4월 해외출장 - N호텔</t>
        </is>
      </c>
      <c r="J633" s="75" t="inlineStr">
        <is>
          <t>V10007</t>
        </is>
      </c>
      <c r="K633" s="75" t="inlineStr">
        <is>
          <t>N호텔</t>
        </is>
      </c>
      <c r="M633" s="9">
        <f>IF($A633="","",VALUE($A633&amp;"")*12+VALUE($B633&amp;""))</f>
        <v/>
      </c>
      <c r="N633" s="39">
        <f>IF($A633="","",IFERROR(INDEX(부서매핑!$C$5:$C$504,MATCH($G633&amp;"",부서매핑!$A$5:$A$504,0)),"미매핑"))</f>
        <v/>
      </c>
      <c r="O633" s="9">
        <f>IF($A633="","",N633&amp;"|"&amp;$F633)</f>
        <v/>
      </c>
      <c r="P633" s="77">
        <f>IF($A633="",0,$H633*설정!$C$23)</f>
        <v/>
      </c>
      <c r="Q633" s="39">
        <f>IF($A633="","",IF(O633&lt;&gt;원인분석!$C$9,"",IF(AND(M633&gt;=원인분석!$C$10,M633&lt;=원인분석!$C$11),"당기",IF(AND(M633&gt;=원인분석!$C$12,M633&lt;=원인분석!$C$13),"비교",""))))</f>
        <v/>
      </c>
      <c r="R633" s="9">
        <f>IF(Q633="","",$K633&amp;"")</f>
        <v/>
      </c>
      <c r="S633" s="9">
        <f>IF(Q633="","",IF(MATCH(R633,$R$5:$R$100000,0)=ROW()-4,ROW(),""))</f>
        <v/>
      </c>
      <c r="T633" s="9">
        <f>IF(Q633="당기",ABS(P633)+ROW()/1000000000,"")</f>
        <v/>
      </c>
      <c r="U633" s="9">
        <f>IF(Q633="비교",ABS(P633)+ROW()/1000000000,"")</f>
        <v/>
      </c>
      <c r="V633" s="39">
        <f>IF($A633="","",IF(COUNTIF(변동분석!$E$7:$E$506,O633)&gt;0,"Y","N"))</f>
        <v/>
      </c>
      <c r="W633" s="39">
        <f>IF($A633="","",IFERROR(INDEX(계정매핑!$D$5:$D$504,MATCH($F633&amp;"",계정매핑!$A$5:$A$504,0)),"미매핑"))</f>
        <v/>
      </c>
      <c r="X633" s="9">
        <f>IF($A633="","",$F633&amp;"")</f>
        <v/>
      </c>
    </row>
    <row r="634">
      <c r="A634" s="75" t="n">
        <v>2025</v>
      </c>
      <c r="B634" s="75" t="n">
        <v>4</v>
      </c>
      <c r="C634" s="75" t="inlineStr">
        <is>
          <t>5100000630</t>
        </is>
      </c>
      <c r="D634" s="78" t="n">
        <v>45755</v>
      </c>
      <c r="E634" s="75" t="inlineStr">
        <is>
          <t>KR</t>
        </is>
      </c>
      <c r="F634" s="75" t="n">
        <v>62102000</v>
      </c>
      <c r="G634" s="75" t="n">
        <v>1501</v>
      </c>
      <c r="H634" s="76" t="n">
        <v>90000</v>
      </c>
      <c r="I634" s="75" t="inlineStr">
        <is>
          <t>4월 해외출장 - N호텔</t>
        </is>
      </c>
      <c r="J634" s="75" t="inlineStr">
        <is>
          <t>V10007</t>
        </is>
      </c>
      <c r="K634" s="75" t="inlineStr">
        <is>
          <t>N호텔</t>
        </is>
      </c>
      <c r="M634" s="9">
        <f>IF($A634="","",VALUE($A634&amp;"")*12+VALUE($B634&amp;""))</f>
        <v/>
      </c>
      <c r="N634" s="39">
        <f>IF($A634="","",IFERROR(INDEX(부서매핑!$C$5:$C$504,MATCH($G634&amp;"",부서매핑!$A$5:$A$504,0)),"미매핑"))</f>
        <v/>
      </c>
      <c r="O634" s="9">
        <f>IF($A634="","",N634&amp;"|"&amp;$F634)</f>
        <v/>
      </c>
      <c r="P634" s="77">
        <f>IF($A634="",0,$H634*설정!$C$23)</f>
        <v/>
      </c>
      <c r="Q634" s="39">
        <f>IF($A634="","",IF(O634&lt;&gt;원인분석!$C$9,"",IF(AND(M634&gt;=원인분석!$C$10,M634&lt;=원인분석!$C$11),"당기",IF(AND(M634&gt;=원인분석!$C$12,M634&lt;=원인분석!$C$13),"비교",""))))</f>
        <v/>
      </c>
      <c r="R634" s="9">
        <f>IF(Q634="","",$K634&amp;"")</f>
        <v/>
      </c>
      <c r="S634" s="9">
        <f>IF(Q634="","",IF(MATCH(R634,$R$5:$R$100000,0)=ROW()-4,ROW(),""))</f>
        <v/>
      </c>
      <c r="T634" s="9">
        <f>IF(Q634="당기",ABS(P634)+ROW()/1000000000,"")</f>
        <v/>
      </c>
      <c r="U634" s="9">
        <f>IF(Q634="비교",ABS(P634)+ROW()/1000000000,"")</f>
        <v/>
      </c>
      <c r="V634" s="39">
        <f>IF($A634="","",IF(COUNTIF(변동분석!$E$7:$E$506,O634)&gt;0,"Y","N"))</f>
        <v/>
      </c>
      <c r="W634" s="39">
        <f>IF($A634="","",IFERROR(INDEX(계정매핑!$D$5:$D$504,MATCH($F634&amp;"",계정매핑!$A$5:$A$504,0)),"미매핑"))</f>
        <v/>
      </c>
      <c r="X634" s="9">
        <f>IF($A634="","",$F634&amp;"")</f>
        <v/>
      </c>
    </row>
    <row r="635">
      <c r="A635" s="75" t="n">
        <v>2025</v>
      </c>
      <c r="B635" s="75" t="n">
        <v>4</v>
      </c>
      <c r="C635" s="75" t="inlineStr">
        <is>
          <t>5100000631</t>
        </is>
      </c>
      <c r="D635" s="78" t="n">
        <v>45755</v>
      </c>
      <c r="E635" s="75" t="inlineStr">
        <is>
          <t>KR</t>
        </is>
      </c>
      <c r="F635" s="75" t="n">
        <v>62102000</v>
      </c>
      <c r="G635" s="75" t="n">
        <v>1701</v>
      </c>
      <c r="H635" s="76" t="n">
        <v>63000</v>
      </c>
      <c r="I635" s="75" t="inlineStr">
        <is>
          <t>4월 해외출장 - N호텔</t>
        </is>
      </c>
      <c r="J635" s="75" t="inlineStr">
        <is>
          <t>V10007</t>
        </is>
      </c>
      <c r="K635" s="75" t="inlineStr">
        <is>
          <t>N호텔</t>
        </is>
      </c>
      <c r="M635" s="9">
        <f>IF($A635="","",VALUE($A635&amp;"")*12+VALUE($B635&amp;""))</f>
        <v/>
      </c>
      <c r="N635" s="39">
        <f>IF($A635="","",IFERROR(INDEX(부서매핑!$C$5:$C$504,MATCH($G635&amp;"",부서매핑!$A$5:$A$504,0)),"미매핑"))</f>
        <v/>
      </c>
      <c r="O635" s="9">
        <f>IF($A635="","",N635&amp;"|"&amp;$F635)</f>
        <v/>
      </c>
      <c r="P635" s="77">
        <f>IF($A635="",0,$H635*설정!$C$23)</f>
        <v/>
      </c>
      <c r="Q635" s="39">
        <f>IF($A635="","",IF(O635&lt;&gt;원인분석!$C$9,"",IF(AND(M635&gt;=원인분석!$C$10,M635&lt;=원인분석!$C$11),"당기",IF(AND(M635&gt;=원인분석!$C$12,M635&lt;=원인분석!$C$13),"비교",""))))</f>
        <v/>
      </c>
      <c r="R635" s="9">
        <f>IF(Q635="","",$K635&amp;"")</f>
        <v/>
      </c>
      <c r="S635" s="9">
        <f>IF(Q635="","",IF(MATCH(R635,$R$5:$R$100000,0)=ROW()-4,ROW(),""))</f>
        <v/>
      </c>
      <c r="T635" s="9">
        <f>IF(Q635="당기",ABS(P635)+ROW()/1000000000,"")</f>
        <v/>
      </c>
      <c r="U635" s="9">
        <f>IF(Q635="비교",ABS(P635)+ROW()/1000000000,"")</f>
        <v/>
      </c>
      <c r="V635" s="39">
        <f>IF($A635="","",IF(COUNTIF(변동분석!$E$7:$E$506,O635)&gt;0,"Y","N"))</f>
        <v/>
      </c>
      <c r="W635" s="39">
        <f>IF($A635="","",IFERROR(INDEX(계정매핑!$D$5:$D$504,MATCH($F635&amp;"",계정매핑!$A$5:$A$504,0)),"미매핑"))</f>
        <v/>
      </c>
      <c r="X635" s="9">
        <f>IF($A635="","",$F635&amp;"")</f>
        <v/>
      </c>
    </row>
    <row r="636">
      <c r="A636" s="75" t="n">
        <v>2025</v>
      </c>
      <c r="B636" s="75" t="n">
        <v>4</v>
      </c>
      <c r="C636" s="75" t="inlineStr">
        <is>
          <t>5100000632</t>
        </is>
      </c>
      <c r="D636" s="78" t="n">
        <v>45755</v>
      </c>
      <c r="E636" s="75" t="inlineStr">
        <is>
          <t>KR</t>
        </is>
      </c>
      <c r="F636" s="75" t="n">
        <v>62301000</v>
      </c>
      <c r="G636" s="75" t="n">
        <v>1701</v>
      </c>
      <c r="H636" s="76" t="n">
        <v>209000</v>
      </c>
      <c r="I636" s="75" t="inlineStr">
        <is>
          <t>4월 소모품 구입 - R문구</t>
        </is>
      </c>
      <c r="J636" s="75" t="inlineStr">
        <is>
          <t>V10018</t>
        </is>
      </c>
      <c r="K636" s="75" t="inlineStr">
        <is>
          <t>R문구</t>
        </is>
      </c>
      <c r="M636" s="9">
        <f>IF($A636="","",VALUE($A636&amp;"")*12+VALUE($B636&amp;""))</f>
        <v/>
      </c>
      <c r="N636" s="39">
        <f>IF($A636="","",IFERROR(INDEX(부서매핑!$C$5:$C$504,MATCH($G636&amp;"",부서매핑!$A$5:$A$504,0)),"미매핑"))</f>
        <v/>
      </c>
      <c r="O636" s="9">
        <f>IF($A636="","",N636&amp;"|"&amp;$F636)</f>
        <v/>
      </c>
      <c r="P636" s="77">
        <f>IF($A636="",0,$H636*설정!$C$23)</f>
        <v/>
      </c>
      <c r="Q636" s="39">
        <f>IF($A636="","",IF(O636&lt;&gt;원인분석!$C$9,"",IF(AND(M636&gt;=원인분석!$C$10,M636&lt;=원인분석!$C$11),"당기",IF(AND(M636&gt;=원인분석!$C$12,M636&lt;=원인분석!$C$13),"비교",""))))</f>
        <v/>
      </c>
      <c r="R636" s="9">
        <f>IF(Q636="","",$K636&amp;"")</f>
        <v/>
      </c>
      <c r="S636" s="9">
        <f>IF(Q636="","",IF(MATCH(R636,$R$5:$R$100000,0)=ROW()-4,ROW(),""))</f>
        <v/>
      </c>
      <c r="T636" s="9">
        <f>IF(Q636="당기",ABS(P636)+ROW()/1000000000,"")</f>
        <v/>
      </c>
      <c r="U636" s="9">
        <f>IF(Q636="비교",ABS(P636)+ROW()/1000000000,"")</f>
        <v/>
      </c>
      <c r="V636" s="39">
        <f>IF($A636="","",IF(COUNTIF(변동분석!$E$7:$E$506,O636)&gt;0,"Y","N"))</f>
        <v/>
      </c>
      <c r="W636" s="39">
        <f>IF($A636="","",IFERROR(INDEX(계정매핑!$D$5:$D$504,MATCH($F636&amp;"",계정매핑!$A$5:$A$504,0)),"미매핑"))</f>
        <v/>
      </c>
      <c r="X636" s="9">
        <f>IF($A636="","",$F636&amp;"")</f>
        <v/>
      </c>
    </row>
    <row r="637">
      <c r="A637" s="75" t="n">
        <v>2025</v>
      </c>
      <c r="B637" s="75" t="n">
        <v>4</v>
      </c>
      <c r="C637" s="75" t="inlineStr">
        <is>
          <t>5100000633</t>
        </is>
      </c>
      <c r="D637" s="78" t="n">
        <v>45755</v>
      </c>
      <c r="E637" s="75" t="inlineStr">
        <is>
          <t>KR</t>
        </is>
      </c>
      <c r="F637" s="75" t="n">
        <v>62601000</v>
      </c>
      <c r="G637" s="75" t="n">
        <v>1301</v>
      </c>
      <c r="H637" s="76" t="n">
        <v>1096000</v>
      </c>
      <c r="I637" s="75" t="inlineStr">
        <is>
          <t>4월 업무추진 - (법인카드)</t>
        </is>
      </c>
      <c r="J637" s="75" t="inlineStr">
        <is>
          <t>V10008</t>
        </is>
      </c>
      <c r="K637" s="75" t="inlineStr">
        <is>
          <t>(법인카드)</t>
        </is>
      </c>
      <c r="M637" s="9">
        <f>IF($A637="","",VALUE($A637&amp;"")*12+VALUE($B637&amp;""))</f>
        <v/>
      </c>
      <c r="N637" s="39">
        <f>IF($A637="","",IFERROR(INDEX(부서매핑!$C$5:$C$504,MATCH($G637&amp;"",부서매핑!$A$5:$A$504,0)),"미매핑"))</f>
        <v/>
      </c>
      <c r="O637" s="9">
        <f>IF($A637="","",N637&amp;"|"&amp;$F637)</f>
        <v/>
      </c>
      <c r="P637" s="77">
        <f>IF($A637="",0,$H637*설정!$C$23)</f>
        <v/>
      </c>
      <c r="Q637" s="39">
        <f>IF($A637="","",IF(O637&lt;&gt;원인분석!$C$9,"",IF(AND(M637&gt;=원인분석!$C$10,M637&lt;=원인분석!$C$11),"당기",IF(AND(M637&gt;=원인분석!$C$12,M637&lt;=원인분석!$C$13),"비교",""))))</f>
        <v/>
      </c>
      <c r="R637" s="9">
        <f>IF(Q637="","",$K637&amp;"")</f>
        <v/>
      </c>
      <c r="S637" s="9">
        <f>IF(Q637="","",IF(MATCH(R637,$R$5:$R$100000,0)=ROW()-4,ROW(),""))</f>
        <v/>
      </c>
      <c r="T637" s="9">
        <f>IF(Q637="당기",ABS(P637)+ROW()/1000000000,"")</f>
        <v/>
      </c>
      <c r="U637" s="9">
        <f>IF(Q637="비교",ABS(P637)+ROW()/1000000000,"")</f>
        <v/>
      </c>
      <c r="V637" s="39">
        <f>IF($A637="","",IF(COUNTIF(변동분석!$E$7:$E$506,O637)&gt;0,"Y","N"))</f>
        <v/>
      </c>
      <c r="W637" s="39">
        <f>IF($A637="","",IFERROR(INDEX(계정매핑!$D$5:$D$504,MATCH($F637&amp;"",계정매핑!$A$5:$A$504,0)),"미매핑"))</f>
        <v/>
      </c>
      <c r="X637" s="9">
        <f>IF($A637="","",$F637&amp;"")</f>
        <v/>
      </c>
    </row>
    <row r="638">
      <c r="A638" s="75" t="n">
        <v>2025</v>
      </c>
      <c r="B638" s="75" t="n">
        <v>4</v>
      </c>
      <c r="C638" s="75" t="inlineStr">
        <is>
          <t>5100000634</t>
        </is>
      </c>
      <c r="D638" s="78" t="n">
        <v>45755</v>
      </c>
      <c r="E638" s="75" t="inlineStr">
        <is>
          <t>KR</t>
        </is>
      </c>
      <c r="F638" s="75" t="n">
        <v>62802000</v>
      </c>
      <c r="G638" s="75" t="n">
        <v>1301</v>
      </c>
      <c r="H638" s="76" t="n">
        <v>3221000</v>
      </c>
      <c r="I638" s="75" t="inlineStr">
        <is>
          <t>4월 위탁교육 - I교육원</t>
        </is>
      </c>
      <c r="J638" s="75" t="inlineStr">
        <is>
          <t>V10015</t>
        </is>
      </c>
      <c r="K638" s="75" t="inlineStr">
        <is>
          <t>I교육원</t>
        </is>
      </c>
      <c r="M638" s="9">
        <f>IF($A638="","",VALUE($A638&amp;"")*12+VALUE($B638&amp;""))</f>
        <v/>
      </c>
      <c r="N638" s="39">
        <f>IF($A638="","",IFERROR(INDEX(부서매핑!$C$5:$C$504,MATCH($G638&amp;"",부서매핑!$A$5:$A$504,0)),"미매핑"))</f>
        <v/>
      </c>
      <c r="O638" s="9">
        <f>IF($A638="","",N638&amp;"|"&amp;$F638)</f>
        <v/>
      </c>
      <c r="P638" s="77">
        <f>IF($A638="",0,$H638*설정!$C$23)</f>
        <v/>
      </c>
      <c r="Q638" s="39">
        <f>IF($A638="","",IF(O638&lt;&gt;원인분석!$C$9,"",IF(AND(M638&gt;=원인분석!$C$10,M638&lt;=원인분석!$C$11),"당기",IF(AND(M638&gt;=원인분석!$C$12,M638&lt;=원인분석!$C$13),"비교",""))))</f>
        <v/>
      </c>
      <c r="R638" s="9">
        <f>IF(Q638="","",$K638&amp;"")</f>
        <v/>
      </c>
      <c r="S638" s="9">
        <f>IF(Q638="","",IF(MATCH(R638,$R$5:$R$100000,0)=ROW()-4,ROW(),""))</f>
        <v/>
      </c>
      <c r="T638" s="9">
        <f>IF(Q638="당기",ABS(P638)+ROW()/1000000000,"")</f>
        <v/>
      </c>
      <c r="U638" s="9">
        <f>IF(Q638="비교",ABS(P638)+ROW()/1000000000,"")</f>
        <v/>
      </c>
      <c r="V638" s="39">
        <f>IF($A638="","",IF(COUNTIF(변동분석!$E$7:$E$506,O638)&gt;0,"Y","N"))</f>
        <v/>
      </c>
      <c r="W638" s="39">
        <f>IF($A638="","",IFERROR(INDEX(계정매핑!$D$5:$D$504,MATCH($F638&amp;"",계정매핑!$A$5:$A$504,0)),"미매핑"))</f>
        <v/>
      </c>
      <c r="X638" s="9">
        <f>IF($A638="","",$F638&amp;"")</f>
        <v/>
      </c>
    </row>
    <row r="639">
      <c r="A639" s="75" t="n">
        <v>2025</v>
      </c>
      <c r="B639" s="75" t="n">
        <v>4</v>
      </c>
      <c r="C639" s="75" t="inlineStr">
        <is>
          <t>5100000635</t>
        </is>
      </c>
      <c r="D639" s="78" t="n">
        <v>45755</v>
      </c>
      <c r="E639" s="75" t="inlineStr">
        <is>
          <t>KR</t>
        </is>
      </c>
      <c r="F639" s="75" t="n">
        <v>62902000</v>
      </c>
      <c r="G639" s="75" t="n">
        <v>1801</v>
      </c>
      <c r="H639" s="76" t="n">
        <v>1798000</v>
      </c>
      <c r="I639" s="75" t="inlineStr">
        <is>
          <t>4월 콜 위탁 수수료(건별)</t>
        </is>
      </c>
      <c r="J639" s="75" t="inlineStr">
        <is>
          <t>V10013</t>
        </is>
      </c>
      <c r="K639" s="75" t="inlineStr">
        <is>
          <t>J콜센터</t>
        </is>
      </c>
      <c r="M639" s="9">
        <f>IF($A639="","",VALUE($A639&amp;"")*12+VALUE($B639&amp;""))</f>
        <v/>
      </c>
      <c r="N639" s="39">
        <f>IF($A639="","",IFERROR(INDEX(부서매핑!$C$5:$C$504,MATCH($G639&amp;"",부서매핑!$A$5:$A$504,0)),"미매핑"))</f>
        <v/>
      </c>
      <c r="O639" s="9">
        <f>IF($A639="","",N639&amp;"|"&amp;$F639)</f>
        <v/>
      </c>
      <c r="P639" s="77">
        <f>IF($A639="",0,$H639*설정!$C$23)</f>
        <v/>
      </c>
      <c r="Q639" s="39">
        <f>IF($A639="","",IF(O639&lt;&gt;원인분석!$C$9,"",IF(AND(M639&gt;=원인분석!$C$10,M639&lt;=원인분석!$C$11),"당기",IF(AND(M639&gt;=원인분석!$C$12,M639&lt;=원인분석!$C$13),"비교",""))))</f>
        <v/>
      </c>
      <c r="R639" s="9">
        <f>IF(Q639="","",$K639&amp;"")</f>
        <v/>
      </c>
      <c r="S639" s="9">
        <f>IF(Q639="","",IF(MATCH(R639,$R$5:$R$100000,0)=ROW()-4,ROW(),""))</f>
        <v/>
      </c>
      <c r="T639" s="9">
        <f>IF(Q639="당기",ABS(P639)+ROW()/1000000000,"")</f>
        <v/>
      </c>
      <c r="U639" s="9">
        <f>IF(Q639="비교",ABS(P639)+ROW()/1000000000,"")</f>
        <v/>
      </c>
      <c r="V639" s="39">
        <f>IF($A639="","",IF(COUNTIF(변동분석!$E$7:$E$506,O639)&gt;0,"Y","N"))</f>
        <v/>
      </c>
      <c r="W639" s="39">
        <f>IF($A639="","",IFERROR(INDEX(계정매핑!$D$5:$D$504,MATCH($F639&amp;"",계정매핑!$A$5:$A$504,0)),"미매핑"))</f>
        <v/>
      </c>
      <c r="X639" s="9">
        <f>IF($A639="","",$F639&amp;"")</f>
        <v/>
      </c>
    </row>
    <row r="640">
      <c r="A640" s="75" t="n">
        <v>2025</v>
      </c>
      <c r="B640" s="75" t="n">
        <v>4</v>
      </c>
      <c r="C640" s="75" t="inlineStr">
        <is>
          <t>5100000636</t>
        </is>
      </c>
      <c r="D640" s="78" t="n">
        <v>45756</v>
      </c>
      <c r="E640" s="75" t="inlineStr">
        <is>
          <t>KR</t>
        </is>
      </c>
      <c r="F640" s="75" t="n">
        <v>62101000</v>
      </c>
      <c r="G640" s="75" t="n">
        <v>1602</v>
      </c>
      <c r="H640" s="76" t="n">
        <v>1388000</v>
      </c>
      <c r="I640" s="75" t="inlineStr">
        <is>
          <t>4월 국내출장 - M항공</t>
        </is>
      </c>
      <c r="J640" s="75" t="inlineStr">
        <is>
          <t>V10001</t>
        </is>
      </c>
      <c r="K640" s="75" t="inlineStr">
        <is>
          <t>M항공</t>
        </is>
      </c>
      <c r="M640" s="9">
        <f>IF($A640="","",VALUE($A640&amp;"")*12+VALUE($B640&amp;""))</f>
        <v/>
      </c>
      <c r="N640" s="39">
        <f>IF($A640="","",IFERROR(INDEX(부서매핑!$C$5:$C$504,MATCH($G640&amp;"",부서매핑!$A$5:$A$504,0)),"미매핑"))</f>
        <v/>
      </c>
      <c r="O640" s="9">
        <f>IF($A640="","",N640&amp;"|"&amp;$F640)</f>
        <v/>
      </c>
      <c r="P640" s="77">
        <f>IF($A640="",0,$H640*설정!$C$23)</f>
        <v/>
      </c>
      <c r="Q640" s="39">
        <f>IF($A640="","",IF(O640&lt;&gt;원인분석!$C$9,"",IF(AND(M640&gt;=원인분석!$C$10,M640&lt;=원인분석!$C$11),"당기",IF(AND(M640&gt;=원인분석!$C$12,M640&lt;=원인분석!$C$13),"비교",""))))</f>
        <v/>
      </c>
      <c r="R640" s="9">
        <f>IF(Q640="","",$K640&amp;"")</f>
        <v/>
      </c>
      <c r="S640" s="9">
        <f>IF(Q640="","",IF(MATCH(R640,$R$5:$R$100000,0)=ROW()-4,ROW(),""))</f>
        <v/>
      </c>
      <c r="T640" s="9">
        <f>IF(Q640="당기",ABS(P640)+ROW()/1000000000,"")</f>
        <v/>
      </c>
      <c r="U640" s="9">
        <f>IF(Q640="비교",ABS(P640)+ROW()/1000000000,"")</f>
        <v/>
      </c>
      <c r="V640" s="39">
        <f>IF($A640="","",IF(COUNTIF(변동분석!$E$7:$E$506,O640)&gt;0,"Y","N"))</f>
        <v/>
      </c>
      <c r="W640" s="39">
        <f>IF($A640="","",IFERROR(INDEX(계정매핑!$D$5:$D$504,MATCH($F640&amp;"",계정매핑!$A$5:$A$504,0)),"미매핑"))</f>
        <v/>
      </c>
      <c r="X640" s="9">
        <f>IF($A640="","",$F640&amp;"")</f>
        <v/>
      </c>
    </row>
    <row r="641">
      <c r="A641" s="75" t="n">
        <v>2025</v>
      </c>
      <c r="B641" s="75" t="n">
        <v>4</v>
      </c>
      <c r="C641" s="75" t="inlineStr">
        <is>
          <t>5100000637</t>
        </is>
      </c>
      <c r="D641" s="78" t="n">
        <v>45756</v>
      </c>
      <c r="E641" s="75" t="inlineStr">
        <is>
          <t>KR</t>
        </is>
      </c>
      <c r="F641" s="75" t="n">
        <v>62201000</v>
      </c>
      <c r="G641" s="75" t="n">
        <v>1101</v>
      </c>
      <c r="H641" s="76" t="n">
        <v>151000</v>
      </c>
      <c r="I641" s="75" t="inlineStr">
        <is>
          <t>4월 통신요금 - O텔레콤</t>
        </is>
      </c>
      <c r="J641" s="75" t="inlineStr">
        <is>
          <t>V10002</t>
        </is>
      </c>
      <c r="K641" s="75" t="inlineStr">
        <is>
          <t>O텔레콤</t>
        </is>
      </c>
      <c r="M641" s="9">
        <f>IF($A641="","",VALUE($A641&amp;"")*12+VALUE($B641&amp;""))</f>
        <v/>
      </c>
      <c r="N641" s="39">
        <f>IF($A641="","",IFERROR(INDEX(부서매핑!$C$5:$C$504,MATCH($G641&amp;"",부서매핑!$A$5:$A$504,0)),"미매핑"))</f>
        <v/>
      </c>
      <c r="O641" s="9">
        <f>IF($A641="","",N641&amp;"|"&amp;$F641)</f>
        <v/>
      </c>
      <c r="P641" s="77">
        <f>IF($A641="",0,$H641*설정!$C$23)</f>
        <v/>
      </c>
      <c r="Q641" s="39">
        <f>IF($A641="","",IF(O641&lt;&gt;원인분석!$C$9,"",IF(AND(M641&gt;=원인분석!$C$10,M641&lt;=원인분석!$C$11),"당기",IF(AND(M641&gt;=원인분석!$C$12,M641&lt;=원인분석!$C$13),"비교",""))))</f>
        <v/>
      </c>
      <c r="R641" s="9">
        <f>IF(Q641="","",$K641&amp;"")</f>
        <v/>
      </c>
      <c r="S641" s="9">
        <f>IF(Q641="","",IF(MATCH(R641,$R$5:$R$100000,0)=ROW()-4,ROW(),""))</f>
        <v/>
      </c>
      <c r="T641" s="9">
        <f>IF(Q641="당기",ABS(P641)+ROW()/1000000000,"")</f>
        <v/>
      </c>
      <c r="U641" s="9">
        <f>IF(Q641="비교",ABS(P641)+ROW()/1000000000,"")</f>
        <v/>
      </c>
      <c r="V641" s="39">
        <f>IF($A641="","",IF(COUNTIF(변동분석!$E$7:$E$506,O641)&gt;0,"Y","N"))</f>
        <v/>
      </c>
      <c r="W641" s="39">
        <f>IF($A641="","",IFERROR(INDEX(계정매핑!$D$5:$D$504,MATCH($F641&amp;"",계정매핑!$A$5:$A$504,0)),"미매핑"))</f>
        <v/>
      </c>
      <c r="X641" s="9">
        <f>IF($A641="","",$F641&amp;"")</f>
        <v/>
      </c>
    </row>
    <row r="642">
      <c r="A642" s="75" t="n">
        <v>2025</v>
      </c>
      <c r="B642" s="75" t="n">
        <v>4</v>
      </c>
      <c r="C642" s="75" t="inlineStr">
        <is>
          <t>5100000638</t>
        </is>
      </c>
      <c r="D642" s="78" t="n">
        <v>45756</v>
      </c>
      <c r="E642" s="75" t="inlineStr">
        <is>
          <t>KR</t>
        </is>
      </c>
      <c r="F642" s="75" t="n">
        <v>62301000</v>
      </c>
      <c r="G642" s="75" t="n">
        <v>1101</v>
      </c>
      <c r="H642" s="76" t="n">
        <v>213000</v>
      </c>
      <c r="I642" s="75" t="inlineStr">
        <is>
          <t>4월 소모품 구입 - R문구</t>
        </is>
      </c>
      <c r="J642" s="75" t="inlineStr">
        <is>
          <t>V10018</t>
        </is>
      </c>
      <c r="K642" s="75" t="inlineStr">
        <is>
          <t>R문구</t>
        </is>
      </c>
      <c r="M642" s="9">
        <f>IF($A642="","",VALUE($A642&amp;"")*12+VALUE($B642&amp;""))</f>
        <v/>
      </c>
      <c r="N642" s="39">
        <f>IF($A642="","",IFERROR(INDEX(부서매핑!$C$5:$C$504,MATCH($G642&amp;"",부서매핑!$A$5:$A$504,0)),"미매핑"))</f>
        <v/>
      </c>
      <c r="O642" s="9">
        <f>IF($A642="","",N642&amp;"|"&amp;$F642)</f>
        <v/>
      </c>
      <c r="P642" s="77">
        <f>IF($A642="",0,$H642*설정!$C$23)</f>
        <v/>
      </c>
      <c r="Q642" s="39">
        <f>IF($A642="","",IF(O642&lt;&gt;원인분석!$C$9,"",IF(AND(M642&gt;=원인분석!$C$10,M642&lt;=원인분석!$C$11),"당기",IF(AND(M642&gt;=원인분석!$C$12,M642&lt;=원인분석!$C$13),"비교",""))))</f>
        <v/>
      </c>
      <c r="R642" s="9">
        <f>IF(Q642="","",$K642&amp;"")</f>
        <v/>
      </c>
      <c r="S642" s="9">
        <f>IF(Q642="","",IF(MATCH(R642,$R$5:$R$100000,0)=ROW()-4,ROW(),""))</f>
        <v/>
      </c>
      <c r="T642" s="9">
        <f>IF(Q642="당기",ABS(P642)+ROW()/1000000000,"")</f>
        <v/>
      </c>
      <c r="U642" s="9">
        <f>IF(Q642="비교",ABS(P642)+ROW()/1000000000,"")</f>
        <v/>
      </c>
      <c r="V642" s="39">
        <f>IF($A642="","",IF(COUNTIF(변동분석!$E$7:$E$506,O642)&gt;0,"Y","N"))</f>
        <v/>
      </c>
      <c r="W642" s="39">
        <f>IF($A642="","",IFERROR(INDEX(계정매핑!$D$5:$D$504,MATCH($F642&amp;"",계정매핑!$A$5:$A$504,0)),"미매핑"))</f>
        <v/>
      </c>
      <c r="X642" s="9">
        <f>IF($A642="","",$F642&amp;"")</f>
        <v/>
      </c>
    </row>
    <row r="643">
      <c r="A643" s="75" t="n">
        <v>2025</v>
      </c>
      <c r="B643" s="75" t="n">
        <v>4</v>
      </c>
      <c r="C643" s="75" t="inlineStr">
        <is>
          <t>5100000639</t>
        </is>
      </c>
      <c r="D643" s="78" t="n">
        <v>45756</v>
      </c>
      <c r="E643" s="75" t="inlineStr">
        <is>
          <t>KR</t>
        </is>
      </c>
      <c r="F643" s="75" t="n">
        <v>62501000</v>
      </c>
      <c r="G643" s="75" t="n">
        <v>1101</v>
      </c>
      <c r="H643" s="76" t="n">
        <v>236000</v>
      </c>
      <c r="I643" s="75" t="inlineStr">
        <is>
          <t>4월 회의 다과 - (법인카드)</t>
        </is>
      </c>
      <c r="J643" s="75" t="inlineStr">
        <is>
          <t>V10008</t>
        </is>
      </c>
      <c r="K643" s="75" t="inlineStr">
        <is>
          <t>(법인카드)</t>
        </is>
      </c>
      <c r="M643" s="9">
        <f>IF($A643="","",VALUE($A643&amp;"")*12+VALUE($B643&amp;""))</f>
        <v/>
      </c>
      <c r="N643" s="39">
        <f>IF($A643="","",IFERROR(INDEX(부서매핑!$C$5:$C$504,MATCH($G643&amp;"",부서매핑!$A$5:$A$504,0)),"미매핑"))</f>
        <v/>
      </c>
      <c r="O643" s="9">
        <f>IF($A643="","",N643&amp;"|"&amp;$F643)</f>
        <v/>
      </c>
      <c r="P643" s="77">
        <f>IF($A643="",0,$H643*설정!$C$23)</f>
        <v/>
      </c>
      <c r="Q643" s="39">
        <f>IF($A643="","",IF(O643&lt;&gt;원인분석!$C$9,"",IF(AND(M643&gt;=원인분석!$C$10,M643&lt;=원인분석!$C$11),"당기",IF(AND(M643&gt;=원인분석!$C$12,M643&lt;=원인분석!$C$13),"비교",""))))</f>
        <v/>
      </c>
      <c r="R643" s="9">
        <f>IF(Q643="","",$K643&amp;"")</f>
        <v/>
      </c>
      <c r="S643" s="9">
        <f>IF(Q643="","",IF(MATCH(R643,$R$5:$R$100000,0)=ROW()-4,ROW(),""))</f>
        <v/>
      </c>
      <c r="T643" s="9">
        <f>IF(Q643="당기",ABS(P643)+ROW()/1000000000,"")</f>
        <v/>
      </c>
      <c r="U643" s="9">
        <f>IF(Q643="비교",ABS(P643)+ROW()/1000000000,"")</f>
        <v/>
      </c>
      <c r="V643" s="39">
        <f>IF($A643="","",IF(COUNTIF(변동분석!$E$7:$E$506,O643)&gt;0,"Y","N"))</f>
        <v/>
      </c>
      <c r="W643" s="39">
        <f>IF($A643="","",IFERROR(INDEX(계정매핑!$D$5:$D$504,MATCH($F643&amp;"",계정매핑!$A$5:$A$504,0)),"미매핑"))</f>
        <v/>
      </c>
      <c r="X643" s="9">
        <f>IF($A643="","",$F643&amp;"")</f>
        <v/>
      </c>
    </row>
    <row r="644">
      <c r="A644" s="75" t="n">
        <v>2025</v>
      </c>
      <c r="B644" s="75" t="n">
        <v>4</v>
      </c>
      <c r="C644" s="75" t="inlineStr">
        <is>
          <t>5100000640</t>
        </is>
      </c>
      <c r="D644" s="78" t="n">
        <v>45756</v>
      </c>
      <c r="E644" s="75" t="inlineStr">
        <is>
          <t>KR</t>
        </is>
      </c>
      <c r="F644" s="75" t="n">
        <v>62901000</v>
      </c>
      <c r="G644" s="75" t="n">
        <v>1201</v>
      </c>
      <c r="H644" s="76" t="n">
        <v>5585000</v>
      </c>
      <c r="I644" s="75" t="inlineStr">
        <is>
          <t>4월 자문 수수료 - W컨설팅</t>
        </is>
      </c>
      <c r="J644" s="75" t="inlineStr">
        <is>
          <t>V10009</t>
        </is>
      </c>
      <c r="K644" s="75" t="inlineStr">
        <is>
          <t>W컨설팅</t>
        </is>
      </c>
      <c r="M644" s="9">
        <f>IF($A644="","",VALUE($A644&amp;"")*12+VALUE($B644&amp;""))</f>
        <v/>
      </c>
      <c r="N644" s="39">
        <f>IF($A644="","",IFERROR(INDEX(부서매핑!$C$5:$C$504,MATCH($G644&amp;"",부서매핑!$A$5:$A$504,0)),"미매핑"))</f>
        <v/>
      </c>
      <c r="O644" s="9">
        <f>IF($A644="","",N644&amp;"|"&amp;$F644)</f>
        <v/>
      </c>
      <c r="P644" s="77">
        <f>IF($A644="",0,$H644*설정!$C$23)</f>
        <v/>
      </c>
      <c r="Q644" s="39">
        <f>IF($A644="","",IF(O644&lt;&gt;원인분석!$C$9,"",IF(AND(M644&gt;=원인분석!$C$10,M644&lt;=원인분석!$C$11),"당기",IF(AND(M644&gt;=원인분석!$C$12,M644&lt;=원인분석!$C$13),"비교",""))))</f>
        <v/>
      </c>
      <c r="R644" s="9">
        <f>IF(Q644="","",$K644&amp;"")</f>
        <v/>
      </c>
      <c r="S644" s="9">
        <f>IF(Q644="","",IF(MATCH(R644,$R$5:$R$100000,0)=ROW()-4,ROW(),""))</f>
        <v/>
      </c>
      <c r="T644" s="9">
        <f>IF(Q644="당기",ABS(P644)+ROW()/1000000000,"")</f>
        <v/>
      </c>
      <c r="U644" s="9">
        <f>IF(Q644="비교",ABS(P644)+ROW()/1000000000,"")</f>
        <v/>
      </c>
      <c r="V644" s="39">
        <f>IF($A644="","",IF(COUNTIF(변동분석!$E$7:$E$506,O644)&gt;0,"Y","N"))</f>
        <v/>
      </c>
      <c r="W644" s="39">
        <f>IF($A644="","",IFERROR(INDEX(계정매핑!$D$5:$D$504,MATCH($F644&amp;"",계정매핑!$A$5:$A$504,0)),"미매핑"))</f>
        <v/>
      </c>
      <c r="X644" s="9">
        <f>IF($A644="","",$F644&amp;"")</f>
        <v/>
      </c>
    </row>
    <row r="645">
      <c r="A645" s="75" t="n">
        <v>2025</v>
      </c>
      <c r="B645" s="75" t="n">
        <v>4</v>
      </c>
      <c r="C645" s="75" t="inlineStr">
        <is>
          <t>5100000641</t>
        </is>
      </c>
      <c r="D645" s="78" t="n">
        <v>45756</v>
      </c>
      <c r="E645" s="75" t="inlineStr">
        <is>
          <t>KR</t>
        </is>
      </c>
      <c r="F645" s="75" t="n">
        <v>63101000</v>
      </c>
      <c r="G645" s="75" t="n">
        <v>1601</v>
      </c>
      <c r="H645" s="76" t="n">
        <v>4849000</v>
      </c>
      <c r="I645" s="75" t="inlineStr">
        <is>
          <t>4월 사무실 임차료 - BB부동산</t>
        </is>
      </c>
      <c r="J645" s="75" t="inlineStr">
        <is>
          <t>V10024</t>
        </is>
      </c>
      <c r="K645" s="75" t="inlineStr">
        <is>
          <t>BB부동산</t>
        </is>
      </c>
      <c r="M645" s="9">
        <f>IF($A645="","",VALUE($A645&amp;"")*12+VALUE($B645&amp;""))</f>
        <v/>
      </c>
      <c r="N645" s="39">
        <f>IF($A645="","",IFERROR(INDEX(부서매핑!$C$5:$C$504,MATCH($G645&amp;"",부서매핑!$A$5:$A$504,0)),"미매핑"))</f>
        <v/>
      </c>
      <c r="O645" s="9">
        <f>IF($A645="","",N645&amp;"|"&amp;$F645)</f>
        <v/>
      </c>
      <c r="P645" s="77">
        <f>IF($A645="",0,$H645*설정!$C$23)</f>
        <v/>
      </c>
      <c r="Q645" s="39">
        <f>IF($A645="","",IF(O645&lt;&gt;원인분석!$C$9,"",IF(AND(M645&gt;=원인분석!$C$10,M645&lt;=원인분석!$C$11),"당기",IF(AND(M645&gt;=원인분석!$C$12,M645&lt;=원인분석!$C$13),"비교",""))))</f>
        <v/>
      </c>
      <c r="R645" s="9">
        <f>IF(Q645="","",$K645&amp;"")</f>
        <v/>
      </c>
      <c r="S645" s="9">
        <f>IF(Q645="","",IF(MATCH(R645,$R$5:$R$100000,0)=ROW()-4,ROW(),""))</f>
        <v/>
      </c>
      <c r="T645" s="9">
        <f>IF(Q645="당기",ABS(P645)+ROW()/1000000000,"")</f>
        <v/>
      </c>
      <c r="U645" s="9">
        <f>IF(Q645="비교",ABS(P645)+ROW()/1000000000,"")</f>
        <v/>
      </c>
      <c r="V645" s="39">
        <f>IF($A645="","",IF(COUNTIF(변동분석!$E$7:$E$506,O645)&gt;0,"Y","N"))</f>
        <v/>
      </c>
      <c r="W645" s="39">
        <f>IF($A645="","",IFERROR(INDEX(계정매핑!$D$5:$D$504,MATCH($F645&amp;"",계정매핑!$A$5:$A$504,0)),"미매핑"))</f>
        <v/>
      </c>
      <c r="X645" s="9">
        <f>IF($A645="","",$F645&amp;"")</f>
        <v/>
      </c>
    </row>
    <row r="646">
      <c r="A646" s="75" t="n">
        <v>2025</v>
      </c>
      <c r="B646" s="75" t="n">
        <v>4</v>
      </c>
      <c r="C646" s="75" t="inlineStr">
        <is>
          <t>5100000642</t>
        </is>
      </c>
      <c r="D646" s="78" t="n">
        <v>45756</v>
      </c>
      <c r="E646" s="75" t="inlineStr">
        <is>
          <t>KR</t>
        </is>
      </c>
      <c r="F646" s="75" t="n">
        <v>63201000</v>
      </c>
      <c r="G646" s="75" t="n">
        <v>1602</v>
      </c>
      <c r="H646" s="76" t="n">
        <v>1890000</v>
      </c>
      <c r="I646" s="75" t="inlineStr">
        <is>
          <t>4월 차량 유지 - H에너지</t>
        </is>
      </c>
      <c r="J646" s="75" t="inlineStr">
        <is>
          <t>V10025</t>
        </is>
      </c>
      <c r="K646" s="75" t="inlineStr">
        <is>
          <t>H에너지</t>
        </is>
      </c>
      <c r="M646" s="9">
        <f>IF($A646="","",VALUE($A646&amp;"")*12+VALUE($B646&amp;""))</f>
        <v/>
      </c>
      <c r="N646" s="39">
        <f>IF($A646="","",IFERROR(INDEX(부서매핑!$C$5:$C$504,MATCH($G646&amp;"",부서매핑!$A$5:$A$504,0)),"미매핑"))</f>
        <v/>
      </c>
      <c r="O646" s="9">
        <f>IF($A646="","",N646&amp;"|"&amp;$F646)</f>
        <v/>
      </c>
      <c r="P646" s="77">
        <f>IF($A646="",0,$H646*설정!$C$23)</f>
        <v/>
      </c>
      <c r="Q646" s="39">
        <f>IF($A646="","",IF(O646&lt;&gt;원인분석!$C$9,"",IF(AND(M646&gt;=원인분석!$C$10,M646&lt;=원인분석!$C$11),"당기",IF(AND(M646&gt;=원인분석!$C$12,M646&lt;=원인분석!$C$13),"비교",""))))</f>
        <v/>
      </c>
      <c r="R646" s="9">
        <f>IF(Q646="","",$K646&amp;"")</f>
        <v/>
      </c>
      <c r="S646" s="9">
        <f>IF(Q646="","",IF(MATCH(R646,$R$5:$R$100000,0)=ROW()-4,ROW(),""))</f>
        <v/>
      </c>
      <c r="T646" s="9">
        <f>IF(Q646="당기",ABS(P646)+ROW()/1000000000,"")</f>
        <v/>
      </c>
      <c r="U646" s="9">
        <f>IF(Q646="비교",ABS(P646)+ROW()/1000000000,"")</f>
        <v/>
      </c>
      <c r="V646" s="39">
        <f>IF($A646="","",IF(COUNTIF(변동분석!$E$7:$E$506,O646)&gt;0,"Y","N"))</f>
        <v/>
      </c>
      <c r="W646" s="39">
        <f>IF($A646="","",IFERROR(INDEX(계정매핑!$D$5:$D$504,MATCH($F646&amp;"",계정매핑!$A$5:$A$504,0)),"미매핑"))</f>
        <v/>
      </c>
      <c r="X646" s="9">
        <f>IF($A646="","",$F646&amp;"")</f>
        <v/>
      </c>
    </row>
    <row r="647">
      <c r="A647" s="75" t="n">
        <v>2025</v>
      </c>
      <c r="B647" s="75" t="n">
        <v>4</v>
      </c>
      <c r="C647" s="75" t="inlineStr">
        <is>
          <t>5100000643</t>
        </is>
      </c>
      <c r="D647" s="78" t="n">
        <v>45757</v>
      </c>
      <c r="E647" s="75" t="inlineStr">
        <is>
          <t>KR</t>
        </is>
      </c>
      <c r="F647" s="75" t="n">
        <v>62101000</v>
      </c>
      <c r="G647" s="75" t="n">
        <v>1101</v>
      </c>
      <c r="H647" s="76" t="n">
        <v>588000</v>
      </c>
      <c r="I647" s="75" t="inlineStr">
        <is>
          <t>4월 국내출장 - (법인카드)</t>
        </is>
      </c>
      <c r="J647" s="75" t="inlineStr">
        <is>
          <t>V10008</t>
        </is>
      </c>
      <c r="K647" s="75" t="inlineStr">
        <is>
          <t>(법인카드)</t>
        </is>
      </c>
      <c r="M647" s="9">
        <f>IF($A647="","",VALUE($A647&amp;"")*12+VALUE($B647&amp;""))</f>
        <v/>
      </c>
      <c r="N647" s="39">
        <f>IF($A647="","",IFERROR(INDEX(부서매핑!$C$5:$C$504,MATCH($G647&amp;"",부서매핑!$A$5:$A$504,0)),"미매핑"))</f>
        <v/>
      </c>
      <c r="O647" s="9">
        <f>IF($A647="","",N647&amp;"|"&amp;$F647)</f>
        <v/>
      </c>
      <c r="P647" s="77">
        <f>IF($A647="",0,$H647*설정!$C$23)</f>
        <v/>
      </c>
      <c r="Q647" s="39">
        <f>IF($A647="","",IF(O647&lt;&gt;원인분석!$C$9,"",IF(AND(M647&gt;=원인분석!$C$10,M647&lt;=원인분석!$C$11),"당기",IF(AND(M647&gt;=원인분석!$C$12,M647&lt;=원인분석!$C$13),"비교",""))))</f>
        <v/>
      </c>
      <c r="R647" s="9">
        <f>IF(Q647="","",$K647&amp;"")</f>
        <v/>
      </c>
      <c r="S647" s="9">
        <f>IF(Q647="","",IF(MATCH(R647,$R$5:$R$100000,0)=ROW()-4,ROW(),""))</f>
        <v/>
      </c>
      <c r="T647" s="9">
        <f>IF(Q647="당기",ABS(P647)+ROW()/1000000000,"")</f>
        <v/>
      </c>
      <c r="U647" s="9">
        <f>IF(Q647="비교",ABS(P647)+ROW()/1000000000,"")</f>
        <v/>
      </c>
      <c r="V647" s="39">
        <f>IF($A647="","",IF(COUNTIF(변동분석!$E$7:$E$506,O647)&gt;0,"Y","N"))</f>
        <v/>
      </c>
      <c r="W647" s="39">
        <f>IF($A647="","",IFERROR(INDEX(계정매핑!$D$5:$D$504,MATCH($F647&amp;"",계정매핑!$A$5:$A$504,0)),"미매핑"))</f>
        <v/>
      </c>
      <c r="X647" s="9">
        <f>IF($A647="","",$F647&amp;"")</f>
        <v/>
      </c>
    </row>
    <row r="648">
      <c r="A648" s="75" t="n">
        <v>2025</v>
      </c>
      <c r="B648" s="75" t="n">
        <v>4</v>
      </c>
      <c r="C648" s="75" t="inlineStr">
        <is>
          <t>5100000644</t>
        </is>
      </c>
      <c r="D648" s="78" t="n">
        <v>45757</v>
      </c>
      <c r="E648" s="75" t="inlineStr">
        <is>
          <t>KR</t>
        </is>
      </c>
      <c r="F648" s="75" t="n">
        <v>62101000</v>
      </c>
      <c r="G648" s="75" t="n">
        <v>1301</v>
      </c>
      <c r="H648" s="76" t="n">
        <v>247000</v>
      </c>
      <c r="I648" s="75" t="inlineStr">
        <is>
          <t>4월 국내출장 - M항공</t>
        </is>
      </c>
      <c r="J648" s="75" t="inlineStr">
        <is>
          <t>V10001</t>
        </is>
      </c>
      <c r="K648" s="75" t="inlineStr">
        <is>
          <t>M항공</t>
        </is>
      </c>
      <c r="M648" s="9">
        <f>IF($A648="","",VALUE($A648&amp;"")*12+VALUE($B648&amp;""))</f>
        <v/>
      </c>
      <c r="N648" s="39">
        <f>IF($A648="","",IFERROR(INDEX(부서매핑!$C$5:$C$504,MATCH($G648&amp;"",부서매핑!$A$5:$A$504,0)),"미매핑"))</f>
        <v/>
      </c>
      <c r="O648" s="9">
        <f>IF($A648="","",N648&amp;"|"&amp;$F648)</f>
        <v/>
      </c>
      <c r="P648" s="77">
        <f>IF($A648="",0,$H648*설정!$C$23)</f>
        <v/>
      </c>
      <c r="Q648" s="39">
        <f>IF($A648="","",IF(O648&lt;&gt;원인분석!$C$9,"",IF(AND(M648&gt;=원인분석!$C$10,M648&lt;=원인분석!$C$11),"당기",IF(AND(M648&gt;=원인분석!$C$12,M648&lt;=원인분석!$C$13),"비교",""))))</f>
        <v/>
      </c>
      <c r="R648" s="9">
        <f>IF(Q648="","",$K648&amp;"")</f>
        <v/>
      </c>
      <c r="S648" s="9">
        <f>IF(Q648="","",IF(MATCH(R648,$R$5:$R$100000,0)=ROW()-4,ROW(),""))</f>
        <v/>
      </c>
      <c r="T648" s="9">
        <f>IF(Q648="당기",ABS(P648)+ROW()/1000000000,"")</f>
        <v/>
      </c>
      <c r="U648" s="9">
        <f>IF(Q648="비교",ABS(P648)+ROW()/1000000000,"")</f>
        <v/>
      </c>
      <c r="V648" s="39">
        <f>IF($A648="","",IF(COUNTIF(변동분석!$E$7:$E$506,O648)&gt;0,"Y","N"))</f>
        <v/>
      </c>
      <c r="W648" s="39">
        <f>IF($A648="","",IFERROR(INDEX(계정매핑!$D$5:$D$504,MATCH($F648&amp;"",계정매핑!$A$5:$A$504,0)),"미매핑"))</f>
        <v/>
      </c>
      <c r="X648" s="9">
        <f>IF($A648="","",$F648&amp;"")</f>
        <v/>
      </c>
    </row>
    <row r="649">
      <c r="A649" s="75" t="n">
        <v>2025</v>
      </c>
      <c r="B649" s="75" t="n">
        <v>4</v>
      </c>
      <c r="C649" s="75" t="inlineStr">
        <is>
          <t>5100000645</t>
        </is>
      </c>
      <c r="D649" s="78" t="n">
        <v>45757</v>
      </c>
      <c r="E649" s="75" t="inlineStr">
        <is>
          <t>KR</t>
        </is>
      </c>
      <c r="F649" s="75" t="n">
        <v>62101000</v>
      </c>
      <c r="G649" s="75" t="n">
        <v>1701</v>
      </c>
      <c r="H649" s="76" t="n">
        <v>174000</v>
      </c>
      <c r="I649" s="75" t="inlineStr">
        <is>
          <t>4월 국내출장 - L여행사</t>
        </is>
      </c>
      <c r="J649" s="75" t="inlineStr">
        <is>
          <t>V10014</t>
        </is>
      </c>
      <c r="K649" s="75" t="inlineStr">
        <is>
          <t>L여행사</t>
        </is>
      </c>
      <c r="M649" s="9">
        <f>IF($A649="","",VALUE($A649&amp;"")*12+VALUE($B649&amp;""))</f>
        <v/>
      </c>
      <c r="N649" s="39">
        <f>IF($A649="","",IFERROR(INDEX(부서매핑!$C$5:$C$504,MATCH($G649&amp;"",부서매핑!$A$5:$A$504,0)),"미매핑"))</f>
        <v/>
      </c>
      <c r="O649" s="9">
        <f>IF($A649="","",N649&amp;"|"&amp;$F649)</f>
        <v/>
      </c>
      <c r="P649" s="77">
        <f>IF($A649="",0,$H649*설정!$C$23)</f>
        <v/>
      </c>
      <c r="Q649" s="39">
        <f>IF($A649="","",IF(O649&lt;&gt;원인분석!$C$9,"",IF(AND(M649&gt;=원인분석!$C$10,M649&lt;=원인분석!$C$11),"당기",IF(AND(M649&gt;=원인분석!$C$12,M649&lt;=원인분석!$C$13),"비교",""))))</f>
        <v/>
      </c>
      <c r="R649" s="9">
        <f>IF(Q649="","",$K649&amp;"")</f>
        <v/>
      </c>
      <c r="S649" s="9">
        <f>IF(Q649="","",IF(MATCH(R649,$R$5:$R$100000,0)=ROW()-4,ROW(),""))</f>
        <v/>
      </c>
      <c r="T649" s="9">
        <f>IF(Q649="당기",ABS(P649)+ROW()/1000000000,"")</f>
        <v/>
      </c>
      <c r="U649" s="9">
        <f>IF(Q649="비교",ABS(P649)+ROW()/1000000000,"")</f>
        <v/>
      </c>
      <c r="V649" s="39">
        <f>IF($A649="","",IF(COUNTIF(변동분석!$E$7:$E$506,O649)&gt;0,"Y","N"))</f>
        <v/>
      </c>
      <c r="W649" s="39">
        <f>IF($A649="","",IFERROR(INDEX(계정매핑!$D$5:$D$504,MATCH($F649&amp;"",계정매핑!$A$5:$A$504,0)),"미매핑"))</f>
        <v/>
      </c>
      <c r="X649" s="9">
        <f>IF($A649="","",$F649&amp;"")</f>
        <v/>
      </c>
    </row>
    <row r="650">
      <c r="A650" s="75" t="n">
        <v>2025</v>
      </c>
      <c r="B650" s="75" t="n">
        <v>4</v>
      </c>
      <c r="C650" s="75" t="inlineStr">
        <is>
          <t>5100000646</t>
        </is>
      </c>
      <c r="D650" s="78" t="n">
        <v>45757</v>
      </c>
      <c r="E650" s="75" t="inlineStr">
        <is>
          <t>KR</t>
        </is>
      </c>
      <c r="F650" s="75" t="n">
        <v>62102000</v>
      </c>
      <c r="G650" s="75" t="n">
        <v>1201</v>
      </c>
      <c r="H650" s="76" t="n">
        <v>61000</v>
      </c>
      <c r="I650" s="75" t="inlineStr">
        <is>
          <t>4월 해외출장 - M항공</t>
        </is>
      </c>
      <c r="J650" s="75" t="inlineStr">
        <is>
          <t>V10001</t>
        </is>
      </c>
      <c r="K650" s="75" t="inlineStr">
        <is>
          <t>M항공</t>
        </is>
      </c>
      <c r="M650" s="9">
        <f>IF($A650="","",VALUE($A650&amp;"")*12+VALUE($B650&amp;""))</f>
        <v/>
      </c>
      <c r="N650" s="39">
        <f>IF($A650="","",IFERROR(INDEX(부서매핑!$C$5:$C$504,MATCH($G650&amp;"",부서매핑!$A$5:$A$504,0)),"미매핑"))</f>
        <v/>
      </c>
      <c r="O650" s="9">
        <f>IF($A650="","",N650&amp;"|"&amp;$F650)</f>
        <v/>
      </c>
      <c r="P650" s="77">
        <f>IF($A650="",0,$H650*설정!$C$23)</f>
        <v/>
      </c>
      <c r="Q650" s="39">
        <f>IF($A650="","",IF(O650&lt;&gt;원인분석!$C$9,"",IF(AND(M650&gt;=원인분석!$C$10,M650&lt;=원인분석!$C$11),"당기",IF(AND(M650&gt;=원인분석!$C$12,M650&lt;=원인분석!$C$13),"비교",""))))</f>
        <v/>
      </c>
      <c r="R650" s="9">
        <f>IF(Q650="","",$K650&amp;"")</f>
        <v/>
      </c>
      <c r="S650" s="9">
        <f>IF(Q650="","",IF(MATCH(R650,$R$5:$R$100000,0)=ROW()-4,ROW(),""))</f>
        <v/>
      </c>
      <c r="T650" s="9">
        <f>IF(Q650="당기",ABS(P650)+ROW()/1000000000,"")</f>
        <v/>
      </c>
      <c r="U650" s="9">
        <f>IF(Q650="비교",ABS(P650)+ROW()/1000000000,"")</f>
        <v/>
      </c>
      <c r="V650" s="39">
        <f>IF($A650="","",IF(COUNTIF(변동분석!$E$7:$E$506,O650)&gt;0,"Y","N"))</f>
        <v/>
      </c>
      <c r="W650" s="39">
        <f>IF($A650="","",IFERROR(INDEX(계정매핑!$D$5:$D$504,MATCH($F650&amp;"",계정매핑!$A$5:$A$504,0)),"미매핑"))</f>
        <v/>
      </c>
      <c r="X650" s="9">
        <f>IF($A650="","",$F650&amp;"")</f>
        <v/>
      </c>
    </row>
    <row r="651">
      <c r="A651" s="75" t="n">
        <v>2025</v>
      </c>
      <c r="B651" s="75" t="n">
        <v>4</v>
      </c>
      <c r="C651" s="75" t="inlineStr">
        <is>
          <t>5100000647</t>
        </is>
      </c>
      <c r="D651" s="78" t="n">
        <v>45757</v>
      </c>
      <c r="E651" s="75" t="inlineStr">
        <is>
          <t>KR</t>
        </is>
      </c>
      <c r="F651" s="75" t="n">
        <v>62201000</v>
      </c>
      <c r="G651" s="75" t="n">
        <v>1101</v>
      </c>
      <c r="H651" s="76" t="n">
        <v>241000</v>
      </c>
      <c r="I651" s="75" t="inlineStr">
        <is>
          <t>4월 통신요금 - O텔레콤</t>
        </is>
      </c>
      <c r="J651" s="75" t="inlineStr">
        <is>
          <t>V10002</t>
        </is>
      </c>
      <c r="K651" s="75" t="inlineStr">
        <is>
          <t>O텔레콤</t>
        </is>
      </c>
      <c r="M651" s="9">
        <f>IF($A651="","",VALUE($A651&amp;"")*12+VALUE($B651&amp;""))</f>
        <v/>
      </c>
      <c r="N651" s="39">
        <f>IF($A651="","",IFERROR(INDEX(부서매핑!$C$5:$C$504,MATCH($G651&amp;"",부서매핑!$A$5:$A$504,0)),"미매핑"))</f>
        <v/>
      </c>
      <c r="O651" s="9">
        <f>IF($A651="","",N651&amp;"|"&amp;$F651)</f>
        <v/>
      </c>
      <c r="P651" s="77">
        <f>IF($A651="",0,$H651*설정!$C$23)</f>
        <v/>
      </c>
      <c r="Q651" s="39">
        <f>IF($A651="","",IF(O651&lt;&gt;원인분석!$C$9,"",IF(AND(M651&gt;=원인분석!$C$10,M651&lt;=원인분석!$C$11),"당기",IF(AND(M651&gt;=원인분석!$C$12,M651&lt;=원인분석!$C$13),"비교",""))))</f>
        <v/>
      </c>
      <c r="R651" s="9">
        <f>IF(Q651="","",$K651&amp;"")</f>
        <v/>
      </c>
      <c r="S651" s="9">
        <f>IF(Q651="","",IF(MATCH(R651,$R$5:$R$100000,0)=ROW()-4,ROW(),""))</f>
        <v/>
      </c>
      <c r="T651" s="9">
        <f>IF(Q651="당기",ABS(P651)+ROW()/1000000000,"")</f>
        <v/>
      </c>
      <c r="U651" s="9">
        <f>IF(Q651="비교",ABS(P651)+ROW()/1000000000,"")</f>
        <v/>
      </c>
      <c r="V651" s="39">
        <f>IF($A651="","",IF(COUNTIF(변동분석!$E$7:$E$506,O651)&gt;0,"Y","N"))</f>
        <v/>
      </c>
      <c r="W651" s="39">
        <f>IF($A651="","",IFERROR(INDEX(계정매핑!$D$5:$D$504,MATCH($F651&amp;"",계정매핑!$A$5:$A$504,0)),"미매핑"))</f>
        <v/>
      </c>
      <c r="X651" s="9">
        <f>IF($A651="","",$F651&amp;"")</f>
        <v/>
      </c>
    </row>
    <row r="652">
      <c r="A652" s="75" t="n">
        <v>2025</v>
      </c>
      <c r="B652" s="75" t="n">
        <v>4</v>
      </c>
      <c r="C652" s="75" t="inlineStr">
        <is>
          <t>5100000648</t>
        </is>
      </c>
      <c r="D652" s="78" t="n">
        <v>45757</v>
      </c>
      <c r="E652" s="75" t="inlineStr">
        <is>
          <t>KR</t>
        </is>
      </c>
      <c r="F652" s="75" t="n">
        <v>62301000</v>
      </c>
      <c r="G652" s="75" t="n">
        <v>1401</v>
      </c>
      <c r="H652" s="76" t="n">
        <v>92000</v>
      </c>
      <c r="I652" s="75" t="inlineStr">
        <is>
          <t>4월 소모품 구입 - Q오피스</t>
        </is>
      </c>
      <c r="J652" s="75" t="inlineStr">
        <is>
          <t>V10003</t>
        </is>
      </c>
      <c r="K652" s="75" t="inlineStr">
        <is>
          <t>Q오피스</t>
        </is>
      </c>
      <c r="M652" s="9">
        <f>IF($A652="","",VALUE($A652&amp;"")*12+VALUE($B652&amp;""))</f>
        <v/>
      </c>
      <c r="N652" s="39">
        <f>IF($A652="","",IFERROR(INDEX(부서매핑!$C$5:$C$504,MATCH($G652&amp;"",부서매핑!$A$5:$A$504,0)),"미매핑"))</f>
        <v/>
      </c>
      <c r="O652" s="9">
        <f>IF($A652="","",N652&amp;"|"&amp;$F652)</f>
        <v/>
      </c>
      <c r="P652" s="77">
        <f>IF($A652="",0,$H652*설정!$C$23)</f>
        <v/>
      </c>
      <c r="Q652" s="39">
        <f>IF($A652="","",IF(O652&lt;&gt;원인분석!$C$9,"",IF(AND(M652&gt;=원인분석!$C$10,M652&lt;=원인분석!$C$11),"당기",IF(AND(M652&gt;=원인분석!$C$12,M652&lt;=원인분석!$C$13),"비교",""))))</f>
        <v/>
      </c>
      <c r="R652" s="9">
        <f>IF(Q652="","",$K652&amp;"")</f>
        <v/>
      </c>
      <c r="S652" s="9">
        <f>IF(Q652="","",IF(MATCH(R652,$R$5:$R$100000,0)=ROW()-4,ROW(),""))</f>
        <v/>
      </c>
      <c r="T652" s="9">
        <f>IF(Q652="당기",ABS(P652)+ROW()/1000000000,"")</f>
        <v/>
      </c>
      <c r="U652" s="9">
        <f>IF(Q652="비교",ABS(P652)+ROW()/1000000000,"")</f>
        <v/>
      </c>
      <c r="V652" s="39">
        <f>IF($A652="","",IF(COUNTIF(변동분석!$E$7:$E$506,O652)&gt;0,"Y","N"))</f>
        <v/>
      </c>
      <c r="W652" s="39">
        <f>IF($A652="","",IFERROR(INDEX(계정매핑!$D$5:$D$504,MATCH($F652&amp;"",계정매핑!$A$5:$A$504,0)),"미매핑"))</f>
        <v/>
      </c>
      <c r="X652" s="9">
        <f>IF($A652="","",$F652&amp;"")</f>
        <v/>
      </c>
    </row>
    <row r="653">
      <c r="A653" s="75" t="n">
        <v>2025</v>
      </c>
      <c r="B653" s="75" t="n">
        <v>4</v>
      </c>
      <c r="C653" s="75" t="inlineStr">
        <is>
          <t>5100000649</t>
        </is>
      </c>
      <c r="D653" s="78" t="n">
        <v>45757</v>
      </c>
      <c r="E653" s="75" t="inlineStr">
        <is>
          <t>KR</t>
        </is>
      </c>
      <c r="F653" s="75" t="n">
        <v>62401000</v>
      </c>
      <c r="G653" s="75" t="n">
        <v>1401</v>
      </c>
      <c r="H653" s="76" t="n">
        <v>254000</v>
      </c>
      <c r="I653" s="75" t="inlineStr">
        <is>
          <t>4월 인쇄물 제작 - S출판</t>
        </is>
      </c>
      <c r="J653" s="75" t="inlineStr">
        <is>
          <t>V10012</t>
        </is>
      </c>
      <c r="K653" s="75" t="inlineStr">
        <is>
          <t>S출판</t>
        </is>
      </c>
      <c r="M653" s="9">
        <f>IF($A653="","",VALUE($A653&amp;"")*12+VALUE($B653&amp;""))</f>
        <v/>
      </c>
      <c r="N653" s="39">
        <f>IF($A653="","",IFERROR(INDEX(부서매핑!$C$5:$C$504,MATCH($G653&amp;"",부서매핑!$A$5:$A$504,0)),"미매핑"))</f>
        <v/>
      </c>
      <c r="O653" s="9">
        <f>IF($A653="","",N653&amp;"|"&amp;$F653)</f>
        <v/>
      </c>
      <c r="P653" s="77">
        <f>IF($A653="",0,$H653*설정!$C$23)</f>
        <v/>
      </c>
      <c r="Q653" s="39">
        <f>IF($A653="","",IF(O653&lt;&gt;원인분석!$C$9,"",IF(AND(M653&gt;=원인분석!$C$10,M653&lt;=원인분석!$C$11),"당기",IF(AND(M653&gt;=원인분석!$C$12,M653&lt;=원인분석!$C$13),"비교",""))))</f>
        <v/>
      </c>
      <c r="R653" s="9">
        <f>IF(Q653="","",$K653&amp;"")</f>
        <v/>
      </c>
      <c r="S653" s="9">
        <f>IF(Q653="","",IF(MATCH(R653,$R$5:$R$100000,0)=ROW()-4,ROW(),""))</f>
        <v/>
      </c>
      <c r="T653" s="9">
        <f>IF(Q653="당기",ABS(P653)+ROW()/1000000000,"")</f>
        <v/>
      </c>
      <c r="U653" s="9">
        <f>IF(Q653="비교",ABS(P653)+ROW()/1000000000,"")</f>
        <v/>
      </c>
      <c r="V653" s="39">
        <f>IF($A653="","",IF(COUNTIF(변동분석!$E$7:$E$506,O653)&gt;0,"Y","N"))</f>
        <v/>
      </c>
      <c r="W653" s="39">
        <f>IF($A653="","",IFERROR(INDEX(계정매핑!$D$5:$D$504,MATCH($F653&amp;"",계정매핑!$A$5:$A$504,0)),"미매핑"))</f>
        <v/>
      </c>
      <c r="X653" s="9">
        <f>IF($A653="","",$F653&amp;"")</f>
        <v/>
      </c>
    </row>
    <row r="654">
      <c r="A654" s="75" t="n">
        <v>2025</v>
      </c>
      <c r="B654" s="75" t="n">
        <v>4</v>
      </c>
      <c r="C654" s="75" t="inlineStr">
        <is>
          <t>5100000650</t>
        </is>
      </c>
      <c r="D654" s="78" t="n">
        <v>45757</v>
      </c>
      <c r="E654" s="75" t="inlineStr">
        <is>
          <t>KR</t>
        </is>
      </c>
      <c r="F654" s="75" t="n">
        <v>62801000</v>
      </c>
      <c r="G654" s="75" t="n">
        <v>1301</v>
      </c>
      <c r="H654" s="76" t="n">
        <v>3757000</v>
      </c>
      <c r="I654" s="75" t="inlineStr">
        <is>
          <t>4월 사내교육 - U에듀</t>
        </is>
      </c>
      <c r="J654" s="75" t="inlineStr">
        <is>
          <t>V10026</t>
        </is>
      </c>
      <c r="K654" s="75" t="inlineStr">
        <is>
          <t>U에듀</t>
        </is>
      </c>
      <c r="M654" s="9">
        <f>IF($A654="","",VALUE($A654&amp;"")*12+VALUE($B654&amp;""))</f>
        <v/>
      </c>
      <c r="N654" s="39">
        <f>IF($A654="","",IFERROR(INDEX(부서매핑!$C$5:$C$504,MATCH($G654&amp;"",부서매핑!$A$5:$A$504,0)),"미매핑"))</f>
        <v/>
      </c>
      <c r="O654" s="9">
        <f>IF($A654="","",N654&amp;"|"&amp;$F654)</f>
        <v/>
      </c>
      <c r="P654" s="77">
        <f>IF($A654="",0,$H654*설정!$C$23)</f>
        <v/>
      </c>
      <c r="Q654" s="39">
        <f>IF($A654="","",IF(O654&lt;&gt;원인분석!$C$9,"",IF(AND(M654&gt;=원인분석!$C$10,M654&lt;=원인분석!$C$11),"당기",IF(AND(M654&gt;=원인분석!$C$12,M654&lt;=원인분석!$C$13),"비교",""))))</f>
        <v/>
      </c>
      <c r="R654" s="9">
        <f>IF(Q654="","",$K654&amp;"")</f>
        <v/>
      </c>
      <c r="S654" s="9">
        <f>IF(Q654="","",IF(MATCH(R654,$R$5:$R$100000,0)=ROW()-4,ROW(),""))</f>
        <v/>
      </c>
      <c r="T654" s="9">
        <f>IF(Q654="당기",ABS(P654)+ROW()/1000000000,"")</f>
        <v/>
      </c>
      <c r="U654" s="9">
        <f>IF(Q654="비교",ABS(P654)+ROW()/1000000000,"")</f>
        <v/>
      </c>
      <c r="V654" s="39">
        <f>IF($A654="","",IF(COUNTIF(변동분석!$E$7:$E$506,O654)&gt;0,"Y","N"))</f>
        <v/>
      </c>
      <c r="W654" s="39">
        <f>IF($A654="","",IFERROR(INDEX(계정매핑!$D$5:$D$504,MATCH($F654&amp;"",계정매핑!$A$5:$A$504,0)),"미매핑"))</f>
        <v/>
      </c>
      <c r="X654" s="9">
        <f>IF($A654="","",$F654&amp;"")</f>
        <v/>
      </c>
    </row>
    <row r="655">
      <c r="A655" s="75" t="n">
        <v>2025</v>
      </c>
      <c r="B655" s="75" t="n">
        <v>4</v>
      </c>
      <c r="C655" s="75" t="inlineStr">
        <is>
          <t>5100000651</t>
        </is>
      </c>
      <c r="D655" s="78" t="n">
        <v>45757</v>
      </c>
      <c r="E655" s="75" t="inlineStr">
        <is>
          <t>KR</t>
        </is>
      </c>
      <c r="F655" s="75" t="n">
        <v>62802000</v>
      </c>
      <c r="G655" s="75" t="n">
        <v>1301</v>
      </c>
      <c r="H655" s="76" t="n">
        <v>5021000</v>
      </c>
      <c r="I655" s="75" t="inlineStr">
        <is>
          <t>4월 위탁교육 - I교육원</t>
        </is>
      </c>
      <c r="J655" s="75" t="inlineStr">
        <is>
          <t>V10015</t>
        </is>
      </c>
      <c r="K655" s="75" t="inlineStr">
        <is>
          <t>I교육원</t>
        </is>
      </c>
      <c r="M655" s="9">
        <f>IF($A655="","",VALUE($A655&amp;"")*12+VALUE($B655&amp;""))</f>
        <v/>
      </c>
      <c r="N655" s="39">
        <f>IF($A655="","",IFERROR(INDEX(부서매핑!$C$5:$C$504,MATCH($G655&amp;"",부서매핑!$A$5:$A$504,0)),"미매핑"))</f>
        <v/>
      </c>
      <c r="O655" s="9">
        <f>IF($A655="","",N655&amp;"|"&amp;$F655)</f>
        <v/>
      </c>
      <c r="P655" s="77">
        <f>IF($A655="",0,$H655*설정!$C$23)</f>
        <v/>
      </c>
      <c r="Q655" s="39">
        <f>IF($A655="","",IF(O655&lt;&gt;원인분석!$C$9,"",IF(AND(M655&gt;=원인분석!$C$10,M655&lt;=원인분석!$C$11),"당기",IF(AND(M655&gt;=원인분석!$C$12,M655&lt;=원인분석!$C$13),"비교",""))))</f>
        <v/>
      </c>
      <c r="R655" s="9">
        <f>IF(Q655="","",$K655&amp;"")</f>
        <v/>
      </c>
      <c r="S655" s="9">
        <f>IF(Q655="","",IF(MATCH(R655,$R$5:$R$100000,0)=ROW()-4,ROW(),""))</f>
        <v/>
      </c>
      <c r="T655" s="9">
        <f>IF(Q655="당기",ABS(P655)+ROW()/1000000000,"")</f>
        <v/>
      </c>
      <c r="U655" s="9">
        <f>IF(Q655="비교",ABS(P655)+ROW()/1000000000,"")</f>
        <v/>
      </c>
      <c r="V655" s="39">
        <f>IF($A655="","",IF(COUNTIF(변동분석!$E$7:$E$506,O655)&gt;0,"Y","N"))</f>
        <v/>
      </c>
      <c r="W655" s="39">
        <f>IF($A655="","",IFERROR(INDEX(계정매핑!$D$5:$D$504,MATCH($F655&amp;"",계정매핑!$A$5:$A$504,0)),"미매핑"))</f>
        <v/>
      </c>
      <c r="X655" s="9">
        <f>IF($A655="","",$F655&amp;"")</f>
        <v/>
      </c>
    </row>
    <row r="656">
      <c r="A656" s="75" t="n">
        <v>2025</v>
      </c>
      <c r="B656" s="75" t="n">
        <v>4</v>
      </c>
      <c r="C656" s="75" t="inlineStr">
        <is>
          <t>5100000652</t>
        </is>
      </c>
      <c r="D656" s="78" t="n">
        <v>45757</v>
      </c>
      <c r="E656" s="75" t="inlineStr">
        <is>
          <t>KR</t>
        </is>
      </c>
      <c r="F656" s="75" t="n">
        <v>62902000</v>
      </c>
      <c r="G656" s="75" t="n">
        <v>1101</v>
      </c>
      <c r="H656" s="76" t="n">
        <v>1682000</v>
      </c>
      <c r="I656" s="75" t="inlineStr">
        <is>
          <t>4월 업무 위탁 수수료 - J콜센터</t>
        </is>
      </c>
      <c r="J656" s="75" t="inlineStr">
        <is>
          <t>V10013</t>
        </is>
      </c>
      <c r="K656" s="75" t="inlineStr">
        <is>
          <t>J콜센터</t>
        </is>
      </c>
      <c r="M656" s="9">
        <f>IF($A656="","",VALUE($A656&amp;"")*12+VALUE($B656&amp;""))</f>
        <v/>
      </c>
      <c r="N656" s="39">
        <f>IF($A656="","",IFERROR(INDEX(부서매핑!$C$5:$C$504,MATCH($G656&amp;"",부서매핑!$A$5:$A$504,0)),"미매핑"))</f>
        <v/>
      </c>
      <c r="O656" s="9">
        <f>IF($A656="","",N656&amp;"|"&amp;$F656)</f>
        <v/>
      </c>
      <c r="P656" s="77">
        <f>IF($A656="",0,$H656*설정!$C$23)</f>
        <v/>
      </c>
      <c r="Q656" s="39">
        <f>IF($A656="","",IF(O656&lt;&gt;원인분석!$C$9,"",IF(AND(M656&gt;=원인분석!$C$10,M656&lt;=원인분석!$C$11),"당기",IF(AND(M656&gt;=원인분석!$C$12,M656&lt;=원인분석!$C$13),"비교",""))))</f>
        <v/>
      </c>
      <c r="R656" s="9">
        <f>IF(Q656="","",$K656&amp;"")</f>
        <v/>
      </c>
      <c r="S656" s="9">
        <f>IF(Q656="","",IF(MATCH(R656,$R$5:$R$100000,0)=ROW()-4,ROW(),""))</f>
        <v/>
      </c>
      <c r="T656" s="9">
        <f>IF(Q656="당기",ABS(P656)+ROW()/1000000000,"")</f>
        <v/>
      </c>
      <c r="U656" s="9">
        <f>IF(Q656="비교",ABS(P656)+ROW()/1000000000,"")</f>
        <v/>
      </c>
      <c r="V656" s="39">
        <f>IF($A656="","",IF(COUNTIF(변동분석!$E$7:$E$506,O656)&gt;0,"Y","N"))</f>
        <v/>
      </c>
      <c r="W656" s="39">
        <f>IF($A656="","",IFERROR(INDEX(계정매핑!$D$5:$D$504,MATCH($F656&amp;"",계정매핑!$A$5:$A$504,0)),"미매핑"))</f>
        <v/>
      </c>
      <c r="X656" s="9">
        <f>IF($A656="","",$F656&amp;"")</f>
        <v/>
      </c>
    </row>
    <row r="657">
      <c r="A657" s="75" t="n">
        <v>2025</v>
      </c>
      <c r="B657" s="75" t="n">
        <v>4</v>
      </c>
      <c r="C657" s="75" t="inlineStr">
        <is>
          <t>5100000653</t>
        </is>
      </c>
      <c r="D657" s="78" t="n">
        <v>45757</v>
      </c>
      <c r="E657" s="75" t="inlineStr">
        <is>
          <t>KR</t>
        </is>
      </c>
      <c r="F657" s="75" t="n">
        <v>63001000</v>
      </c>
      <c r="G657" s="75" t="n">
        <v>1701</v>
      </c>
      <c r="H657" s="76" t="n">
        <v>36964000</v>
      </c>
      <c r="I657" s="75" t="inlineStr">
        <is>
          <t>4월 SW 유지보수 - Y소프트</t>
        </is>
      </c>
      <c r="J657" s="75" t="inlineStr">
        <is>
          <t>V10017</t>
        </is>
      </c>
      <c r="K657" s="75" t="inlineStr">
        <is>
          <t>Y소프트</t>
        </is>
      </c>
      <c r="M657" s="9">
        <f>IF($A657="","",VALUE($A657&amp;"")*12+VALUE($B657&amp;""))</f>
        <v/>
      </c>
      <c r="N657" s="39">
        <f>IF($A657="","",IFERROR(INDEX(부서매핑!$C$5:$C$504,MATCH($G657&amp;"",부서매핑!$A$5:$A$504,0)),"미매핑"))</f>
        <v/>
      </c>
      <c r="O657" s="9">
        <f>IF($A657="","",N657&amp;"|"&amp;$F657)</f>
        <v/>
      </c>
      <c r="P657" s="77">
        <f>IF($A657="",0,$H657*설정!$C$23)</f>
        <v/>
      </c>
      <c r="Q657" s="39">
        <f>IF($A657="","",IF(O657&lt;&gt;원인분석!$C$9,"",IF(AND(M657&gt;=원인분석!$C$10,M657&lt;=원인분석!$C$11),"당기",IF(AND(M657&gt;=원인분석!$C$12,M657&lt;=원인분석!$C$13),"비교",""))))</f>
        <v/>
      </c>
      <c r="R657" s="9">
        <f>IF(Q657="","",$K657&amp;"")</f>
        <v/>
      </c>
      <c r="S657" s="9">
        <f>IF(Q657="","",IF(MATCH(R657,$R$5:$R$100000,0)=ROW()-4,ROW(),""))</f>
        <v/>
      </c>
      <c r="T657" s="9">
        <f>IF(Q657="당기",ABS(P657)+ROW()/1000000000,"")</f>
        <v/>
      </c>
      <c r="U657" s="9">
        <f>IF(Q657="비교",ABS(P657)+ROW()/1000000000,"")</f>
        <v/>
      </c>
      <c r="V657" s="39">
        <f>IF($A657="","",IF(COUNTIF(변동분석!$E$7:$E$506,O657)&gt;0,"Y","N"))</f>
        <v/>
      </c>
      <c r="W657" s="39">
        <f>IF($A657="","",IFERROR(INDEX(계정매핑!$D$5:$D$504,MATCH($F657&amp;"",계정매핑!$A$5:$A$504,0)),"미매핑"))</f>
        <v/>
      </c>
      <c r="X657" s="9">
        <f>IF($A657="","",$F657&amp;"")</f>
        <v/>
      </c>
    </row>
    <row r="658">
      <c r="A658" s="75" t="n">
        <v>2025</v>
      </c>
      <c r="B658" s="75" t="n">
        <v>4</v>
      </c>
      <c r="C658" s="75" t="inlineStr">
        <is>
          <t>5100000654</t>
        </is>
      </c>
      <c r="D658" s="78" t="n">
        <v>45758</v>
      </c>
      <c r="E658" s="75" t="inlineStr">
        <is>
          <t>KR</t>
        </is>
      </c>
      <c r="F658" s="75" t="n">
        <v>62101000</v>
      </c>
      <c r="G658" s="75" t="n">
        <v>1201</v>
      </c>
      <c r="H658" s="76" t="n">
        <v>308000</v>
      </c>
      <c r="I658" s="75" t="inlineStr">
        <is>
          <t>4월 국내출장 - (법인카드)</t>
        </is>
      </c>
      <c r="J658" s="75" t="inlineStr">
        <is>
          <t>V10008</t>
        </is>
      </c>
      <c r="K658" s="75" t="inlineStr">
        <is>
          <t>(법인카드)</t>
        </is>
      </c>
      <c r="M658" s="9">
        <f>IF($A658="","",VALUE($A658&amp;"")*12+VALUE($B658&amp;""))</f>
        <v/>
      </c>
      <c r="N658" s="39">
        <f>IF($A658="","",IFERROR(INDEX(부서매핑!$C$5:$C$504,MATCH($G658&amp;"",부서매핑!$A$5:$A$504,0)),"미매핑"))</f>
        <v/>
      </c>
      <c r="O658" s="9">
        <f>IF($A658="","",N658&amp;"|"&amp;$F658)</f>
        <v/>
      </c>
      <c r="P658" s="77">
        <f>IF($A658="",0,$H658*설정!$C$23)</f>
        <v/>
      </c>
      <c r="Q658" s="39">
        <f>IF($A658="","",IF(O658&lt;&gt;원인분석!$C$9,"",IF(AND(M658&gt;=원인분석!$C$10,M658&lt;=원인분석!$C$11),"당기",IF(AND(M658&gt;=원인분석!$C$12,M658&lt;=원인분석!$C$13),"비교",""))))</f>
        <v/>
      </c>
      <c r="R658" s="9">
        <f>IF(Q658="","",$K658&amp;"")</f>
        <v/>
      </c>
      <c r="S658" s="9">
        <f>IF(Q658="","",IF(MATCH(R658,$R$5:$R$100000,0)=ROW()-4,ROW(),""))</f>
        <v/>
      </c>
      <c r="T658" s="9">
        <f>IF(Q658="당기",ABS(P658)+ROW()/1000000000,"")</f>
        <v/>
      </c>
      <c r="U658" s="9">
        <f>IF(Q658="비교",ABS(P658)+ROW()/1000000000,"")</f>
        <v/>
      </c>
      <c r="V658" s="39">
        <f>IF($A658="","",IF(COUNTIF(변동분석!$E$7:$E$506,O658)&gt;0,"Y","N"))</f>
        <v/>
      </c>
      <c r="W658" s="39">
        <f>IF($A658="","",IFERROR(INDEX(계정매핑!$D$5:$D$504,MATCH($F658&amp;"",계정매핑!$A$5:$A$504,0)),"미매핑"))</f>
        <v/>
      </c>
      <c r="X658" s="9">
        <f>IF($A658="","",$F658&amp;"")</f>
        <v/>
      </c>
    </row>
    <row r="659">
      <c r="A659" s="75" t="n">
        <v>2025</v>
      </c>
      <c r="B659" s="75" t="n">
        <v>4</v>
      </c>
      <c r="C659" s="75" t="inlineStr">
        <is>
          <t>5100000655</t>
        </is>
      </c>
      <c r="D659" s="78" t="n">
        <v>45758</v>
      </c>
      <c r="E659" s="75" t="inlineStr">
        <is>
          <t>KR</t>
        </is>
      </c>
      <c r="F659" s="75" t="n">
        <v>62102000</v>
      </c>
      <c r="G659" s="75" t="n">
        <v>1601</v>
      </c>
      <c r="H659" s="76" t="n">
        <v>409000</v>
      </c>
      <c r="I659" s="75" t="inlineStr">
        <is>
          <t>4월 해외출장 - N호텔</t>
        </is>
      </c>
      <c r="J659" s="75" t="inlineStr">
        <is>
          <t>V10007</t>
        </is>
      </c>
      <c r="K659" s="75" t="inlineStr">
        <is>
          <t>N호텔</t>
        </is>
      </c>
      <c r="M659" s="9">
        <f>IF($A659="","",VALUE($A659&amp;"")*12+VALUE($B659&amp;""))</f>
        <v/>
      </c>
      <c r="N659" s="39">
        <f>IF($A659="","",IFERROR(INDEX(부서매핑!$C$5:$C$504,MATCH($G659&amp;"",부서매핑!$A$5:$A$504,0)),"미매핑"))</f>
        <v/>
      </c>
      <c r="O659" s="9">
        <f>IF($A659="","",N659&amp;"|"&amp;$F659)</f>
        <v/>
      </c>
      <c r="P659" s="77">
        <f>IF($A659="",0,$H659*설정!$C$23)</f>
        <v/>
      </c>
      <c r="Q659" s="39">
        <f>IF($A659="","",IF(O659&lt;&gt;원인분석!$C$9,"",IF(AND(M659&gt;=원인분석!$C$10,M659&lt;=원인분석!$C$11),"당기",IF(AND(M659&gt;=원인분석!$C$12,M659&lt;=원인분석!$C$13),"비교",""))))</f>
        <v/>
      </c>
      <c r="R659" s="9">
        <f>IF(Q659="","",$K659&amp;"")</f>
        <v/>
      </c>
      <c r="S659" s="9">
        <f>IF(Q659="","",IF(MATCH(R659,$R$5:$R$100000,0)=ROW()-4,ROW(),""))</f>
        <v/>
      </c>
      <c r="T659" s="9">
        <f>IF(Q659="당기",ABS(P659)+ROW()/1000000000,"")</f>
        <v/>
      </c>
      <c r="U659" s="9">
        <f>IF(Q659="비교",ABS(P659)+ROW()/1000000000,"")</f>
        <v/>
      </c>
      <c r="V659" s="39">
        <f>IF($A659="","",IF(COUNTIF(변동분석!$E$7:$E$506,O659)&gt;0,"Y","N"))</f>
        <v/>
      </c>
      <c r="W659" s="39">
        <f>IF($A659="","",IFERROR(INDEX(계정매핑!$D$5:$D$504,MATCH($F659&amp;"",계정매핑!$A$5:$A$504,0)),"미매핑"))</f>
        <v/>
      </c>
      <c r="X659" s="9">
        <f>IF($A659="","",$F659&amp;"")</f>
        <v/>
      </c>
    </row>
    <row r="660">
      <c r="A660" s="75" t="n">
        <v>2025</v>
      </c>
      <c r="B660" s="75" t="n">
        <v>4</v>
      </c>
      <c r="C660" s="75" t="inlineStr">
        <is>
          <t>5100000656</t>
        </is>
      </c>
      <c r="D660" s="78" t="n">
        <v>45758</v>
      </c>
      <c r="E660" s="75" t="inlineStr">
        <is>
          <t>KR</t>
        </is>
      </c>
      <c r="F660" s="75" t="n">
        <v>62201000</v>
      </c>
      <c r="G660" s="75" t="n">
        <v>1201</v>
      </c>
      <c r="H660" s="76" t="n">
        <v>130000</v>
      </c>
      <c r="I660" s="75" t="inlineStr">
        <is>
          <t>4월 통신요금 - P통신</t>
        </is>
      </c>
      <c r="J660" s="75" t="inlineStr">
        <is>
          <t>V10011</t>
        </is>
      </c>
      <c r="K660" s="75" t="inlineStr">
        <is>
          <t>P통신</t>
        </is>
      </c>
      <c r="M660" s="9">
        <f>IF($A660="","",VALUE($A660&amp;"")*12+VALUE($B660&amp;""))</f>
        <v/>
      </c>
      <c r="N660" s="39">
        <f>IF($A660="","",IFERROR(INDEX(부서매핑!$C$5:$C$504,MATCH($G660&amp;"",부서매핑!$A$5:$A$504,0)),"미매핑"))</f>
        <v/>
      </c>
      <c r="O660" s="9">
        <f>IF($A660="","",N660&amp;"|"&amp;$F660)</f>
        <v/>
      </c>
      <c r="P660" s="77">
        <f>IF($A660="",0,$H660*설정!$C$23)</f>
        <v/>
      </c>
      <c r="Q660" s="39">
        <f>IF($A660="","",IF(O660&lt;&gt;원인분석!$C$9,"",IF(AND(M660&gt;=원인분석!$C$10,M660&lt;=원인분석!$C$11),"당기",IF(AND(M660&gt;=원인분석!$C$12,M660&lt;=원인분석!$C$13),"비교",""))))</f>
        <v/>
      </c>
      <c r="R660" s="9">
        <f>IF(Q660="","",$K660&amp;"")</f>
        <v/>
      </c>
      <c r="S660" s="9">
        <f>IF(Q660="","",IF(MATCH(R660,$R$5:$R$100000,0)=ROW()-4,ROW(),""))</f>
        <v/>
      </c>
      <c r="T660" s="9">
        <f>IF(Q660="당기",ABS(P660)+ROW()/1000000000,"")</f>
        <v/>
      </c>
      <c r="U660" s="9">
        <f>IF(Q660="비교",ABS(P660)+ROW()/1000000000,"")</f>
        <v/>
      </c>
      <c r="V660" s="39">
        <f>IF($A660="","",IF(COUNTIF(변동분석!$E$7:$E$506,O660)&gt;0,"Y","N"))</f>
        <v/>
      </c>
      <c r="W660" s="39">
        <f>IF($A660="","",IFERROR(INDEX(계정매핑!$D$5:$D$504,MATCH($F660&amp;"",계정매핑!$A$5:$A$504,0)),"미매핑"))</f>
        <v/>
      </c>
      <c r="X660" s="9">
        <f>IF($A660="","",$F660&amp;"")</f>
        <v/>
      </c>
    </row>
    <row r="661">
      <c r="A661" s="75" t="n">
        <v>2025</v>
      </c>
      <c r="B661" s="75" t="n">
        <v>4</v>
      </c>
      <c r="C661" s="75" t="inlineStr">
        <is>
          <t>5100000657</t>
        </is>
      </c>
      <c r="D661" s="78" t="n">
        <v>45758</v>
      </c>
      <c r="E661" s="75" t="inlineStr">
        <is>
          <t>KR</t>
        </is>
      </c>
      <c r="F661" s="75" t="n">
        <v>62201000</v>
      </c>
      <c r="G661" s="75" t="n">
        <v>1801</v>
      </c>
      <c r="H661" s="76" t="n">
        <v>6135000</v>
      </c>
      <c r="I661" s="75" t="inlineStr">
        <is>
          <t>4월 통신요금 - P통신</t>
        </is>
      </c>
      <c r="J661" s="75" t="inlineStr">
        <is>
          <t>V10011</t>
        </is>
      </c>
      <c r="K661" s="75" t="inlineStr">
        <is>
          <t>P통신</t>
        </is>
      </c>
      <c r="M661" s="9">
        <f>IF($A661="","",VALUE($A661&amp;"")*12+VALUE($B661&amp;""))</f>
        <v/>
      </c>
      <c r="N661" s="39">
        <f>IF($A661="","",IFERROR(INDEX(부서매핑!$C$5:$C$504,MATCH($G661&amp;"",부서매핑!$A$5:$A$504,0)),"미매핑"))</f>
        <v/>
      </c>
      <c r="O661" s="9">
        <f>IF($A661="","",N661&amp;"|"&amp;$F661)</f>
        <v/>
      </c>
      <c r="P661" s="77">
        <f>IF($A661="",0,$H661*설정!$C$23)</f>
        <v/>
      </c>
      <c r="Q661" s="39">
        <f>IF($A661="","",IF(O661&lt;&gt;원인분석!$C$9,"",IF(AND(M661&gt;=원인분석!$C$10,M661&lt;=원인분석!$C$11),"당기",IF(AND(M661&gt;=원인분석!$C$12,M661&lt;=원인분석!$C$13),"비교",""))))</f>
        <v/>
      </c>
      <c r="R661" s="9">
        <f>IF(Q661="","",$K661&amp;"")</f>
        <v/>
      </c>
      <c r="S661" s="9">
        <f>IF(Q661="","",IF(MATCH(R661,$R$5:$R$100000,0)=ROW()-4,ROW(),""))</f>
        <v/>
      </c>
      <c r="T661" s="9">
        <f>IF(Q661="당기",ABS(P661)+ROW()/1000000000,"")</f>
        <v/>
      </c>
      <c r="U661" s="9">
        <f>IF(Q661="비교",ABS(P661)+ROW()/1000000000,"")</f>
        <v/>
      </c>
      <c r="V661" s="39">
        <f>IF($A661="","",IF(COUNTIF(변동분석!$E$7:$E$506,O661)&gt;0,"Y","N"))</f>
        <v/>
      </c>
      <c r="W661" s="39">
        <f>IF($A661="","",IFERROR(INDEX(계정매핑!$D$5:$D$504,MATCH($F661&amp;"",계정매핑!$A$5:$A$504,0)),"미매핑"))</f>
        <v/>
      </c>
      <c r="X661" s="9">
        <f>IF($A661="","",$F661&amp;"")</f>
        <v/>
      </c>
    </row>
    <row r="662">
      <c r="A662" s="75" t="n">
        <v>2025</v>
      </c>
      <c r="B662" s="75" t="n">
        <v>4</v>
      </c>
      <c r="C662" s="75" t="inlineStr">
        <is>
          <t>5100000658</t>
        </is>
      </c>
      <c r="D662" s="78" t="n">
        <v>45758</v>
      </c>
      <c r="E662" s="75" t="inlineStr">
        <is>
          <t>KR</t>
        </is>
      </c>
      <c r="F662" s="75" t="n">
        <v>62301000</v>
      </c>
      <c r="G662" s="75" t="n">
        <v>1701</v>
      </c>
      <c r="H662" s="76" t="n">
        <v>233000</v>
      </c>
      <c r="I662" s="75" t="inlineStr">
        <is>
          <t>4월 소모품 구입 - R문구</t>
        </is>
      </c>
      <c r="J662" s="75" t="inlineStr">
        <is>
          <t>V10018</t>
        </is>
      </c>
      <c r="K662" s="75" t="inlineStr">
        <is>
          <t>R문구</t>
        </is>
      </c>
      <c r="M662" s="9">
        <f>IF($A662="","",VALUE($A662&amp;"")*12+VALUE($B662&amp;""))</f>
        <v/>
      </c>
      <c r="N662" s="39">
        <f>IF($A662="","",IFERROR(INDEX(부서매핑!$C$5:$C$504,MATCH($G662&amp;"",부서매핑!$A$5:$A$504,0)),"미매핑"))</f>
        <v/>
      </c>
      <c r="O662" s="9">
        <f>IF($A662="","",N662&amp;"|"&amp;$F662)</f>
        <v/>
      </c>
      <c r="P662" s="77">
        <f>IF($A662="",0,$H662*설정!$C$23)</f>
        <v/>
      </c>
      <c r="Q662" s="39">
        <f>IF($A662="","",IF(O662&lt;&gt;원인분석!$C$9,"",IF(AND(M662&gt;=원인분석!$C$10,M662&lt;=원인분석!$C$11),"당기",IF(AND(M662&gt;=원인분석!$C$12,M662&lt;=원인분석!$C$13),"비교",""))))</f>
        <v/>
      </c>
      <c r="R662" s="9">
        <f>IF(Q662="","",$K662&amp;"")</f>
        <v/>
      </c>
      <c r="S662" s="9">
        <f>IF(Q662="","",IF(MATCH(R662,$R$5:$R$100000,0)=ROW()-4,ROW(),""))</f>
        <v/>
      </c>
      <c r="T662" s="9">
        <f>IF(Q662="당기",ABS(P662)+ROW()/1000000000,"")</f>
        <v/>
      </c>
      <c r="U662" s="9">
        <f>IF(Q662="비교",ABS(P662)+ROW()/1000000000,"")</f>
        <v/>
      </c>
      <c r="V662" s="39">
        <f>IF($A662="","",IF(COUNTIF(변동분석!$E$7:$E$506,O662)&gt;0,"Y","N"))</f>
        <v/>
      </c>
      <c r="W662" s="39">
        <f>IF($A662="","",IFERROR(INDEX(계정매핑!$D$5:$D$504,MATCH($F662&amp;"",계정매핑!$A$5:$A$504,0)),"미매핑"))</f>
        <v/>
      </c>
      <c r="X662" s="9">
        <f>IF($A662="","",$F662&amp;"")</f>
        <v/>
      </c>
    </row>
    <row r="663">
      <c r="A663" s="75" t="n">
        <v>2025</v>
      </c>
      <c r="B663" s="75" t="n">
        <v>4</v>
      </c>
      <c r="C663" s="75" t="inlineStr">
        <is>
          <t>5100000659</t>
        </is>
      </c>
      <c r="D663" s="78" t="n">
        <v>45758</v>
      </c>
      <c r="E663" s="75" t="inlineStr">
        <is>
          <t>KR</t>
        </is>
      </c>
      <c r="F663" s="75" t="n">
        <v>62401000</v>
      </c>
      <c r="G663" s="75" t="n">
        <v>1801</v>
      </c>
      <c r="H663" s="76" t="n">
        <v>3119000</v>
      </c>
      <c r="I663" s="75" t="inlineStr">
        <is>
          <t>4월 인쇄물 제작 - G인쇄</t>
        </is>
      </c>
      <c r="J663" s="75" t="inlineStr">
        <is>
          <t>V10004</t>
        </is>
      </c>
      <c r="K663" s="75" t="inlineStr">
        <is>
          <t>G인쇄</t>
        </is>
      </c>
      <c r="M663" s="9">
        <f>IF($A663="","",VALUE($A663&amp;"")*12+VALUE($B663&amp;""))</f>
        <v/>
      </c>
      <c r="N663" s="39">
        <f>IF($A663="","",IFERROR(INDEX(부서매핑!$C$5:$C$504,MATCH($G663&amp;"",부서매핑!$A$5:$A$504,0)),"미매핑"))</f>
        <v/>
      </c>
      <c r="O663" s="9">
        <f>IF($A663="","",N663&amp;"|"&amp;$F663)</f>
        <v/>
      </c>
      <c r="P663" s="77">
        <f>IF($A663="",0,$H663*설정!$C$23)</f>
        <v/>
      </c>
      <c r="Q663" s="39">
        <f>IF($A663="","",IF(O663&lt;&gt;원인분석!$C$9,"",IF(AND(M663&gt;=원인분석!$C$10,M663&lt;=원인분석!$C$11),"당기",IF(AND(M663&gt;=원인분석!$C$12,M663&lt;=원인분석!$C$13),"비교",""))))</f>
        <v/>
      </c>
      <c r="R663" s="9">
        <f>IF(Q663="","",$K663&amp;"")</f>
        <v/>
      </c>
      <c r="S663" s="9">
        <f>IF(Q663="","",IF(MATCH(R663,$R$5:$R$100000,0)=ROW()-4,ROW(),""))</f>
        <v/>
      </c>
      <c r="T663" s="9">
        <f>IF(Q663="당기",ABS(P663)+ROW()/1000000000,"")</f>
        <v/>
      </c>
      <c r="U663" s="9">
        <f>IF(Q663="비교",ABS(P663)+ROW()/1000000000,"")</f>
        <v/>
      </c>
      <c r="V663" s="39">
        <f>IF($A663="","",IF(COUNTIF(변동분석!$E$7:$E$506,O663)&gt;0,"Y","N"))</f>
        <v/>
      </c>
      <c r="W663" s="39">
        <f>IF($A663="","",IFERROR(INDEX(계정매핑!$D$5:$D$504,MATCH($F663&amp;"",계정매핑!$A$5:$A$504,0)),"미매핑"))</f>
        <v/>
      </c>
      <c r="X663" s="9">
        <f>IF($A663="","",$F663&amp;"")</f>
        <v/>
      </c>
    </row>
    <row r="664">
      <c r="A664" s="75" t="n">
        <v>2025</v>
      </c>
      <c r="B664" s="75" t="n">
        <v>4</v>
      </c>
      <c r="C664" s="75" t="inlineStr">
        <is>
          <t>5100000660</t>
        </is>
      </c>
      <c r="D664" s="78" t="n">
        <v>45758</v>
      </c>
      <c r="E664" s="75" t="inlineStr">
        <is>
          <t>KR</t>
        </is>
      </c>
      <c r="F664" s="75" t="n">
        <v>62601000</v>
      </c>
      <c r="G664" s="75" t="n">
        <v>1101</v>
      </c>
      <c r="H664" s="76" t="n">
        <v>1350000</v>
      </c>
      <c r="I664" s="75" t="inlineStr">
        <is>
          <t>4월 업무추진 - (법인카드)</t>
        </is>
      </c>
      <c r="J664" s="75" t="inlineStr">
        <is>
          <t>V10008</t>
        </is>
      </c>
      <c r="K664" s="75" t="inlineStr">
        <is>
          <t>(법인카드)</t>
        </is>
      </c>
      <c r="M664" s="9">
        <f>IF($A664="","",VALUE($A664&amp;"")*12+VALUE($B664&amp;""))</f>
        <v/>
      </c>
      <c r="N664" s="39">
        <f>IF($A664="","",IFERROR(INDEX(부서매핑!$C$5:$C$504,MATCH($G664&amp;"",부서매핑!$A$5:$A$504,0)),"미매핑"))</f>
        <v/>
      </c>
      <c r="O664" s="9">
        <f>IF($A664="","",N664&amp;"|"&amp;$F664)</f>
        <v/>
      </c>
      <c r="P664" s="77">
        <f>IF($A664="",0,$H664*설정!$C$23)</f>
        <v/>
      </c>
      <c r="Q664" s="39">
        <f>IF($A664="","",IF(O664&lt;&gt;원인분석!$C$9,"",IF(AND(M664&gt;=원인분석!$C$10,M664&lt;=원인분석!$C$11),"당기",IF(AND(M664&gt;=원인분석!$C$12,M664&lt;=원인분석!$C$13),"비교",""))))</f>
        <v/>
      </c>
      <c r="R664" s="9">
        <f>IF(Q664="","",$K664&amp;"")</f>
        <v/>
      </c>
      <c r="S664" s="9">
        <f>IF(Q664="","",IF(MATCH(R664,$R$5:$R$100000,0)=ROW()-4,ROW(),""))</f>
        <v/>
      </c>
      <c r="T664" s="9">
        <f>IF(Q664="당기",ABS(P664)+ROW()/1000000000,"")</f>
        <v/>
      </c>
      <c r="U664" s="9">
        <f>IF(Q664="비교",ABS(P664)+ROW()/1000000000,"")</f>
        <v/>
      </c>
      <c r="V664" s="39">
        <f>IF($A664="","",IF(COUNTIF(변동분석!$E$7:$E$506,O664)&gt;0,"Y","N"))</f>
        <v/>
      </c>
      <c r="W664" s="39">
        <f>IF($A664="","",IFERROR(INDEX(계정매핑!$D$5:$D$504,MATCH($F664&amp;"",계정매핑!$A$5:$A$504,0)),"미매핑"))</f>
        <v/>
      </c>
      <c r="X664" s="9">
        <f>IF($A664="","",$F664&amp;"")</f>
        <v/>
      </c>
    </row>
    <row r="665">
      <c r="A665" s="75" t="n">
        <v>2025</v>
      </c>
      <c r="B665" s="75" t="n">
        <v>4</v>
      </c>
      <c r="C665" s="75" t="inlineStr">
        <is>
          <t>5100000661</t>
        </is>
      </c>
      <c r="D665" s="78" t="n">
        <v>45758</v>
      </c>
      <c r="E665" s="75" t="inlineStr">
        <is>
          <t>KR</t>
        </is>
      </c>
      <c r="F665" s="75" t="n">
        <v>62701000</v>
      </c>
      <c r="G665" s="75" t="n">
        <v>1501</v>
      </c>
      <c r="H665" s="76" t="n">
        <v>77802000</v>
      </c>
      <c r="I665" s="75" t="inlineStr">
        <is>
          <t>4월 광고 집행 - F애드</t>
        </is>
      </c>
      <c r="J665" s="75" t="inlineStr">
        <is>
          <t>V10019</t>
        </is>
      </c>
      <c r="K665" s="75" t="inlineStr">
        <is>
          <t>F애드</t>
        </is>
      </c>
      <c r="M665" s="9">
        <f>IF($A665="","",VALUE($A665&amp;"")*12+VALUE($B665&amp;""))</f>
        <v/>
      </c>
      <c r="N665" s="39">
        <f>IF($A665="","",IFERROR(INDEX(부서매핑!$C$5:$C$504,MATCH($G665&amp;"",부서매핑!$A$5:$A$504,0)),"미매핑"))</f>
        <v/>
      </c>
      <c r="O665" s="9">
        <f>IF($A665="","",N665&amp;"|"&amp;$F665)</f>
        <v/>
      </c>
      <c r="P665" s="77">
        <f>IF($A665="",0,$H665*설정!$C$23)</f>
        <v/>
      </c>
      <c r="Q665" s="39">
        <f>IF($A665="","",IF(O665&lt;&gt;원인분석!$C$9,"",IF(AND(M665&gt;=원인분석!$C$10,M665&lt;=원인분석!$C$11),"당기",IF(AND(M665&gt;=원인분석!$C$12,M665&lt;=원인분석!$C$13),"비교",""))))</f>
        <v/>
      </c>
      <c r="R665" s="9">
        <f>IF(Q665="","",$K665&amp;"")</f>
        <v/>
      </c>
      <c r="S665" s="9">
        <f>IF(Q665="","",IF(MATCH(R665,$R$5:$R$100000,0)=ROW()-4,ROW(),""))</f>
        <v/>
      </c>
      <c r="T665" s="9">
        <f>IF(Q665="당기",ABS(P665)+ROW()/1000000000,"")</f>
        <v/>
      </c>
      <c r="U665" s="9">
        <f>IF(Q665="비교",ABS(P665)+ROW()/1000000000,"")</f>
        <v/>
      </c>
      <c r="V665" s="39">
        <f>IF($A665="","",IF(COUNTIF(변동분석!$E$7:$E$506,O665)&gt;0,"Y","N"))</f>
        <v/>
      </c>
      <c r="W665" s="39">
        <f>IF($A665="","",IFERROR(INDEX(계정매핑!$D$5:$D$504,MATCH($F665&amp;"",계정매핑!$A$5:$A$504,0)),"미매핑"))</f>
        <v/>
      </c>
      <c r="X665" s="9">
        <f>IF($A665="","",$F665&amp;"")</f>
        <v/>
      </c>
    </row>
    <row r="666">
      <c r="A666" s="75" t="n">
        <v>2025</v>
      </c>
      <c r="B666" s="75" t="n">
        <v>4</v>
      </c>
      <c r="C666" s="75" t="inlineStr">
        <is>
          <t>5100000662</t>
        </is>
      </c>
      <c r="D666" s="78" t="n">
        <v>45758</v>
      </c>
      <c r="E666" s="75" t="inlineStr">
        <is>
          <t>KR</t>
        </is>
      </c>
      <c r="F666" s="75" t="n">
        <v>62801000</v>
      </c>
      <c r="G666" s="75" t="n">
        <v>1301</v>
      </c>
      <c r="H666" s="76" t="n">
        <v>4941000</v>
      </c>
      <c r="I666" s="75" t="inlineStr">
        <is>
          <t>4월 사내교육 - (사내강사료)</t>
        </is>
      </c>
      <c r="J666" s="75" t="inlineStr">
        <is>
          <t>V10020</t>
        </is>
      </c>
      <c r="K666" s="75" t="inlineStr">
        <is>
          <t>(사내강사료)</t>
        </is>
      </c>
      <c r="M666" s="9">
        <f>IF($A666="","",VALUE($A666&amp;"")*12+VALUE($B666&amp;""))</f>
        <v/>
      </c>
      <c r="N666" s="39">
        <f>IF($A666="","",IFERROR(INDEX(부서매핑!$C$5:$C$504,MATCH($G666&amp;"",부서매핑!$A$5:$A$504,0)),"미매핑"))</f>
        <v/>
      </c>
      <c r="O666" s="9">
        <f>IF($A666="","",N666&amp;"|"&amp;$F666)</f>
        <v/>
      </c>
      <c r="P666" s="77">
        <f>IF($A666="",0,$H666*설정!$C$23)</f>
        <v/>
      </c>
      <c r="Q666" s="39">
        <f>IF($A666="","",IF(O666&lt;&gt;원인분석!$C$9,"",IF(AND(M666&gt;=원인분석!$C$10,M666&lt;=원인분석!$C$11),"당기",IF(AND(M666&gt;=원인분석!$C$12,M666&lt;=원인분석!$C$13),"비교",""))))</f>
        <v/>
      </c>
      <c r="R666" s="9">
        <f>IF(Q666="","",$K666&amp;"")</f>
        <v/>
      </c>
      <c r="S666" s="9">
        <f>IF(Q666="","",IF(MATCH(R666,$R$5:$R$100000,0)=ROW()-4,ROW(),""))</f>
        <v/>
      </c>
      <c r="T666" s="9">
        <f>IF(Q666="당기",ABS(P666)+ROW()/1000000000,"")</f>
        <v/>
      </c>
      <c r="U666" s="9">
        <f>IF(Q666="비교",ABS(P666)+ROW()/1000000000,"")</f>
        <v/>
      </c>
      <c r="V666" s="39">
        <f>IF($A666="","",IF(COUNTIF(변동분석!$E$7:$E$506,O666)&gt;0,"Y","N"))</f>
        <v/>
      </c>
      <c r="W666" s="39">
        <f>IF($A666="","",IFERROR(INDEX(계정매핑!$D$5:$D$504,MATCH($F666&amp;"",계정매핑!$A$5:$A$504,0)),"미매핑"))</f>
        <v/>
      </c>
      <c r="X666" s="9">
        <f>IF($A666="","",$F666&amp;"")</f>
        <v/>
      </c>
    </row>
    <row r="667">
      <c r="A667" s="75" t="n">
        <v>2025</v>
      </c>
      <c r="B667" s="75" t="n">
        <v>4</v>
      </c>
      <c r="C667" s="75" t="inlineStr">
        <is>
          <t>5100000663</t>
        </is>
      </c>
      <c r="D667" s="78" t="n">
        <v>45759</v>
      </c>
      <c r="E667" s="75" t="inlineStr">
        <is>
          <t>KR</t>
        </is>
      </c>
      <c r="F667" s="75" t="n">
        <v>62101000</v>
      </c>
      <c r="G667" s="75" t="n">
        <v>1502</v>
      </c>
      <c r="H667" s="76" t="n">
        <v>389000</v>
      </c>
      <c r="I667" s="75" t="inlineStr">
        <is>
          <t>4월 국내출장 - M항공</t>
        </is>
      </c>
      <c r="J667" s="75" t="inlineStr">
        <is>
          <t>V10001</t>
        </is>
      </c>
      <c r="K667" s="75" t="inlineStr">
        <is>
          <t>M항공</t>
        </is>
      </c>
      <c r="M667" s="9">
        <f>IF($A667="","",VALUE($A667&amp;"")*12+VALUE($B667&amp;""))</f>
        <v/>
      </c>
      <c r="N667" s="39">
        <f>IF($A667="","",IFERROR(INDEX(부서매핑!$C$5:$C$504,MATCH($G667&amp;"",부서매핑!$A$5:$A$504,0)),"미매핑"))</f>
        <v/>
      </c>
      <c r="O667" s="9">
        <f>IF($A667="","",N667&amp;"|"&amp;$F667)</f>
        <v/>
      </c>
      <c r="P667" s="77">
        <f>IF($A667="",0,$H667*설정!$C$23)</f>
        <v/>
      </c>
      <c r="Q667" s="39">
        <f>IF($A667="","",IF(O667&lt;&gt;원인분석!$C$9,"",IF(AND(M667&gt;=원인분석!$C$10,M667&lt;=원인분석!$C$11),"당기",IF(AND(M667&gt;=원인분석!$C$12,M667&lt;=원인분석!$C$13),"비교",""))))</f>
        <v/>
      </c>
      <c r="R667" s="9">
        <f>IF(Q667="","",$K667&amp;"")</f>
        <v/>
      </c>
      <c r="S667" s="9">
        <f>IF(Q667="","",IF(MATCH(R667,$R$5:$R$100000,0)=ROW()-4,ROW(),""))</f>
        <v/>
      </c>
      <c r="T667" s="9">
        <f>IF(Q667="당기",ABS(P667)+ROW()/1000000000,"")</f>
        <v/>
      </c>
      <c r="U667" s="9">
        <f>IF(Q667="비교",ABS(P667)+ROW()/1000000000,"")</f>
        <v/>
      </c>
      <c r="V667" s="39">
        <f>IF($A667="","",IF(COUNTIF(변동분석!$E$7:$E$506,O667)&gt;0,"Y","N"))</f>
        <v/>
      </c>
      <c r="W667" s="39">
        <f>IF($A667="","",IFERROR(INDEX(계정매핑!$D$5:$D$504,MATCH($F667&amp;"",계정매핑!$A$5:$A$504,0)),"미매핑"))</f>
        <v/>
      </c>
      <c r="X667" s="9">
        <f>IF($A667="","",$F667&amp;"")</f>
        <v/>
      </c>
    </row>
    <row r="668">
      <c r="A668" s="75" t="n">
        <v>2025</v>
      </c>
      <c r="B668" s="75" t="n">
        <v>4</v>
      </c>
      <c r="C668" s="75" t="inlineStr">
        <is>
          <t>5100000664</t>
        </is>
      </c>
      <c r="D668" s="78" t="n">
        <v>45759</v>
      </c>
      <c r="E668" s="75" t="inlineStr">
        <is>
          <t>KR</t>
        </is>
      </c>
      <c r="F668" s="75" t="n">
        <v>62102000</v>
      </c>
      <c r="G668" s="75" t="n">
        <v>1201</v>
      </c>
      <c r="H668" s="76" t="n">
        <v>85000</v>
      </c>
      <c r="I668" s="75" t="inlineStr">
        <is>
          <t>4월 해외출장 - N호텔</t>
        </is>
      </c>
      <c r="J668" s="75" t="inlineStr">
        <is>
          <t>V10007</t>
        </is>
      </c>
      <c r="K668" s="75" t="inlineStr">
        <is>
          <t>N호텔</t>
        </is>
      </c>
      <c r="M668" s="9">
        <f>IF($A668="","",VALUE($A668&amp;"")*12+VALUE($B668&amp;""))</f>
        <v/>
      </c>
      <c r="N668" s="39">
        <f>IF($A668="","",IFERROR(INDEX(부서매핑!$C$5:$C$504,MATCH($G668&amp;"",부서매핑!$A$5:$A$504,0)),"미매핑"))</f>
        <v/>
      </c>
      <c r="O668" s="9">
        <f>IF($A668="","",N668&amp;"|"&amp;$F668)</f>
        <v/>
      </c>
      <c r="P668" s="77">
        <f>IF($A668="",0,$H668*설정!$C$23)</f>
        <v/>
      </c>
      <c r="Q668" s="39">
        <f>IF($A668="","",IF(O668&lt;&gt;원인분석!$C$9,"",IF(AND(M668&gt;=원인분석!$C$10,M668&lt;=원인분석!$C$11),"당기",IF(AND(M668&gt;=원인분석!$C$12,M668&lt;=원인분석!$C$13),"비교",""))))</f>
        <v/>
      </c>
      <c r="R668" s="9">
        <f>IF(Q668="","",$K668&amp;"")</f>
        <v/>
      </c>
      <c r="S668" s="9">
        <f>IF(Q668="","",IF(MATCH(R668,$R$5:$R$100000,0)=ROW()-4,ROW(),""))</f>
        <v/>
      </c>
      <c r="T668" s="9">
        <f>IF(Q668="당기",ABS(P668)+ROW()/1000000000,"")</f>
        <v/>
      </c>
      <c r="U668" s="9">
        <f>IF(Q668="비교",ABS(P668)+ROW()/1000000000,"")</f>
        <v/>
      </c>
      <c r="V668" s="39">
        <f>IF($A668="","",IF(COUNTIF(변동분석!$E$7:$E$506,O668)&gt;0,"Y","N"))</f>
        <v/>
      </c>
      <c r="W668" s="39">
        <f>IF($A668="","",IFERROR(INDEX(계정매핑!$D$5:$D$504,MATCH($F668&amp;"",계정매핑!$A$5:$A$504,0)),"미매핑"))</f>
        <v/>
      </c>
      <c r="X668" s="9">
        <f>IF($A668="","",$F668&amp;"")</f>
        <v/>
      </c>
    </row>
    <row r="669">
      <c r="A669" s="75" t="n">
        <v>2025</v>
      </c>
      <c r="B669" s="75" t="n">
        <v>4</v>
      </c>
      <c r="C669" s="75" t="inlineStr">
        <is>
          <t>5100000665</t>
        </is>
      </c>
      <c r="D669" s="78" t="n">
        <v>45759</v>
      </c>
      <c r="E669" s="75" t="inlineStr">
        <is>
          <t>KR</t>
        </is>
      </c>
      <c r="F669" s="75" t="n">
        <v>62201000</v>
      </c>
      <c r="G669" s="75" t="n">
        <v>1201</v>
      </c>
      <c r="H669" s="76" t="n">
        <v>185000</v>
      </c>
      <c r="I669" s="75" t="inlineStr">
        <is>
          <t>4월 통신요금 - O텔레콤</t>
        </is>
      </c>
      <c r="J669" s="75" t="inlineStr">
        <is>
          <t>V10002</t>
        </is>
      </c>
      <c r="K669" s="75" t="inlineStr">
        <is>
          <t>O텔레콤</t>
        </is>
      </c>
      <c r="M669" s="9">
        <f>IF($A669="","",VALUE($A669&amp;"")*12+VALUE($B669&amp;""))</f>
        <v/>
      </c>
      <c r="N669" s="39">
        <f>IF($A669="","",IFERROR(INDEX(부서매핑!$C$5:$C$504,MATCH($G669&amp;"",부서매핑!$A$5:$A$504,0)),"미매핑"))</f>
        <v/>
      </c>
      <c r="O669" s="9">
        <f>IF($A669="","",N669&amp;"|"&amp;$F669)</f>
        <v/>
      </c>
      <c r="P669" s="77">
        <f>IF($A669="",0,$H669*설정!$C$23)</f>
        <v/>
      </c>
      <c r="Q669" s="39">
        <f>IF($A669="","",IF(O669&lt;&gt;원인분석!$C$9,"",IF(AND(M669&gt;=원인분석!$C$10,M669&lt;=원인분석!$C$11),"당기",IF(AND(M669&gt;=원인분석!$C$12,M669&lt;=원인분석!$C$13),"비교",""))))</f>
        <v/>
      </c>
      <c r="R669" s="9">
        <f>IF(Q669="","",$K669&amp;"")</f>
        <v/>
      </c>
      <c r="S669" s="9">
        <f>IF(Q669="","",IF(MATCH(R669,$R$5:$R$100000,0)=ROW()-4,ROW(),""))</f>
        <v/>
      </c>
      <c r="T669" s="9">
        <f>IF(Q669="당기",ABS(P669)+ROW()/1000000000,"")</f>
        <v/>
      </c>
      <c r="U669" s="9">
        <f>IF(Q669="비교",ABS(P669)+ROW()/1000000000,"")</f>
        <v/>
      </c>
      <c r="V669" s="39">
        <f>IF($A669="","",IF(COUNTIF(변동분석!$E$7:$E$506,O669)&gt;0,"Y","N"))</f>
        <v/>
      </c>
      <c r="W669" s="39">
        <f>IF($A669="","",IFERROR(INDEX(계정매핑!$D$5:$D$504,MATCH($F669&amp;"",계정매핑!$A$5:$A$504,0)),"미매핑"))</f>
        <v/>
      </c>
      <c r="X669" s="9">
        <f>IF($A669="","",$F669&amp;"")</f>
        <v/>
      </c>
    </row>
    <row r="670">
      <c r="A670" s="75" t="n">
        <v>2025</v>
      </c>
      <c r="B670" s="75" t="n">
        <v>4</v>
      </c>
      <c r="C670" s="75" t="inlineStr">
        <is>
          <t>5100000666</t>
        </is>
      </c>
      <c r="D670" s="78" t="n">
        <v>45759</v>
      </c>
      <c r="E670" s="75" t="inlineStr">
        <is>
          <t>KR</t>
        </is>
      </c>
      <c r="F670" s="75" t="n">
        <v>62201000</v>
      </c>
      <c r="G670" s="75" t="n">
        <v>1801</v>
      </c>
      <c r="H670" s="76" t="n">
        <v>6195000</v>
      </c>
      <c r="I670" s="75" t="inlineStr">
        <is>
          <t>4월 통신요금 - O텔레콤</t>
        </is>
      </c>
      <c r="J670" s="75" t="inlineStr">
        <is>
          <t>V10002</t>
        </is>
      </c>
      <c r="K670" s="75" t="inlineStr">
        <is>
          <t>O텔레콤</t>
        </is>
      </c>
      <c r="M670" s="9">
        <f>IF($A670="","",VALUE($A670&amp;"")*12+VALUE($B670&amp;""))</f>
        <v/>
      </c>
      <c r="N670" s="39">
        <f>IF($A670="","",IFERROR(INDEX(부서매핑!$C$5:$C$504,MATCH($G670&amp;"",부서매핑!$A$5:$A$504,0)),"미매핑"))</f>
        <v/>
      </c>
      <c r="O670" s="9">
        <f>IF($A670="","",N670&amp;"|"&amp;$F670)</f>
        <v/>
      </c>
      <c r="P670" s="77">
        <f>IF($A670="",0,$H670*설정!$C$23)</f>
        <v/>
      </c>
      <c r="Q670" s="39">
        <f>IF($A670="","",IF(O670&lt;&gt;원인분석!$C$9,"",IF(AND(M670&gt;=원인분석!$C$10,M670&lt;=원인분석!$C$11),"당기",IF(AND(M670&gt;=원인분석!$C$12,M670&lt;=원인분석!$C$13),"비교",""))))</f>
        <v/>
      </c>
      <c r="R670" s="9">
        <f>IF(Q670="","",$K670&amp;"")</f>
        <v/>
      </c>
      <c r="S670" s="9">
        <f>IF(Q670="","",IF(MATCH(R670,$R$5:$R$100000,0)=ROW()-4,ROW(),""))</f>
        <v/>
      </c>
      <c r="T670" s="9">
        <f>IF(Q670="당기",ABS(P670)+ROW()/1000000000,"")</f>
        <v/>
      </c>
      <c r="U670" s="9">
        <f>IF(Q670="비교",ABS(P670)+ROW()/1000000000,"")</f>
        <v/>
      </c>
      <c r="V670" s="39">
        <f>IF($A670="","",IF(COUNTIF(변동분석!$E$7:$E$506,O670)&gt;0,"Y","N"))</f>
        <v/>
      </c>
      <c r="W670" s="39">
        <f>IF($A670="","",IFERROR(INDEX(계정매핑!$D$5:$D$504,MATCH($F670&amp;"",계정매핑!$A$5:$A$504,0)),"미매핑"))</f>
        <v/>
      </c>
      <c r="X670" s="9">
        <f>IF($A670="","",$F670&amp;"")</f>
        <v/>
      </c>
    </row>
    <row r="671">
      <c r="A671" s="75" t="n">
        <v>2025</v>
      </c>
      <c r="B671" s="75" t="n">
        <v>4</v>
      </c>
      <c r="C671" s="75" t="inlineStr">
        <is>
          <t>5100000667</t>
        </is>
      </c>
      <c r="D671" s="78" t="n">
        <v>45759</v>
      </c>
      <c r="E671" s="75" t="inlineStr">
        <is>
          <t>KR</t>
        </is>
      </c>
      <c r="F671" s="75" t="n">
        <v>62301000</v>
      </c>
      <c r="G671" s="75" t="n">
        <v>1201</v>
      </c>
      <c r="H671" s="76" t="n">
        <v>132000</v>
      </c>
      <c r="I671" s="75" t="inlineStr">
        <is>
          <t>4월 소모품 구입 - R문구</t>
        </is>
      </c>
      <c r="J671" s="75" t="inlineStr">
        <is>
          <t>V10018</t>
        </is>
      </c>
      <c r="K671" s="75" t="inlineStr">
        <is>
          <t>R문구</t>
        </is>
      </c>
      <c r="M671" s="9">
        <f>IF($A671="","",VALUE($A671&amp;"")*12+VALUE($B671&amp;""))</f>
        <v/>
      </c>
      <c r="N671" s="39">
        <f>IF($A671="","",IFERROR(INDEX(부서매핑!$C$5:$C$504,MATCH($G671&amp;"",부서매핑!$A$5:$A$504,0)),"미매핑"))</f>
        <v/>
      </c>
      <c r="O671" s="9">
        <f>IF($A671="","",N671&amp;"|"&amp;$F671)</f>
        <v/>
      </c>
      <c r="P671" s="77">
        <f>IF($A671="",0,$H671*설정!$C$23)</f>
        <v/>
      </c>
      <c r="Q671" s="39">
        <f>IF($A671="","",IF(O671&lt;&gt;원인분석!$C$9,"",IF(AND(M671&gt;=원인분석!$C$10,M671&lt;=원인분석!$C$11),"당기",IF(AND(M671&gt;=원인분석!$C$12,M671&lt;=원인분석!$C$13),"비교",""))))</f>
        <v/>
      </c>
      <c r="R671" s="9">
        <f>IF(Q671="","",$K671&amp;"")</f>
        <v/>
      </c>
      <c r="S671" s="9">
        <f>IF(Q671="","",IF(MATCH(R671,$R$5:$R$100000,0)=ROW()-4,ROW(),""))</f>
        <v/>
      </c>
      <c r="T671" s="9">
        <f>IF(Q671="당기",ABS(P671)+ROW()/1000000000,"")</f>
        <v/>
      </c>
      <c r="U671" s="9">
        <f>IF(Q671="비교",ABS(P671)+ROW()/1000000000,"")</f>
        <v/>
      </c>
      <c r="V671" s="39">
        <f>IF($A671="","",IF(COUNTIF(변동분석!$E$7:$E$506,O671)&gt;0,"Y","N"))</f>
        <v/>
      </c>
      <c r="W671" s="39">
        <f>IF($A671="","",IFERROR(INDEX(계정매핑!$D$5:$D$504,MATCH($F671&amp;"",계정매핑!$A$5:$A$504,0)),"미매핑"))</f>
        <v/>
      </c>
      <c r="X671" s="9">
        <f>IF($A671="","",$F671&amp;"")</f>
        <v/>
      </c>
    </row>
    <row r="672">
      <c r="A672" s="75" t="n">
        <v>2025</v>
      </c>
      <c r="B672" s="75" t="n">
        <v>4</v>
      </c>
      <c r="C672" s="75" t="inlineStr">
        <is>
          <t>5100000668</t>
        </is>
      </c>
      <c r="D672" s="78" t="n">
        <v>45759</v>
      </c>
      <c r="E672" s="75" t="inlineStr">
        <is>
          <t>KR</t>
        </is>
      </c>
      <c r="F672" s="75" t="n">
        <v>62601000</v>
      </c>
      <c r="G672" s="75" t="n">
        <v>1301</v>
      </c>
      <c r="H672" s="76" t="n">
        <v>623000</v>
      </c>
      <c r="I672" s="75" t="inlineStr">
        <is>
          <t>4월 업무추진 - (법인카드)</t>
        </is>
      </c>
      <c r="J672" s="75" t="inlineStr">
        <is>
          <t>V10008</t>
        </is>
      </c>
      <c r="K672" s="75" t="inlineStr">
        <is>
          <t>(법인카드)</t>
        </is>
      </c>
      <c r="M672" s="9">
        <f>IF($A672="","",VALUE($A672&amp;"")*12+VALUE($B672&amp;""))</f>
        <v/>
      </c>
      <c r="N672" s="39">
        <f>IF($A672="","",IFERROR(INDEX(부서매핑!$C$5:$C$504,MATCH($G672&amp;"",부서매핑!$A$5:$A$504,0)),"미매핑"))</f>
        <v/>
      </c>
      <c r="O672" s="9">
        <f>IF($A672="","",N672&amp;"|"&amp;$F672)</f>
        <v/>
      </c>
      <c r="P672" s="77">
        <f>IF($A672="",0,$H672*설정!$C$23)</f>
        <v/>
      </c>
      <c r="Q672" s="39">
        <f>IF($A672="","",IF(O672&lt;&gt;원인분석!$C$9,"",IF(AND(M672&gt;=원인분석!$C$10,M672&lt;=원인분석!$C$11),"당기",IF(AND(M672&gt;=원인분석!$C$12,M672&lt;=원인분석!$C$13),"비교",""))))</f>
        <v/>
      </c>
      <c r="R672" s="9">
        <f>IF(Q672="","",$K672&amp;"")</f>
        <v/>
      </c>
      <c r="S672" s="9">
        <f>IF(Q672="","",IF(MATCH(R672,$R$5:$R$100000,0)=ROW()-4,ROW(),""))</f>
        <v/>
      </c>
      <c r="T672" s="9">
        <f>IF(Q672="당기",ABS(P672)+ROW()/1000000000,"")</f>
        <v/>
      </c>
      <c r="U672" s="9">
        <f>IF(Q672="비교",ABS(P672)+ROW()/1000000000,"")</f>
        <v/>
      </c>
      <c r="V672" s="39">
        <f>IF($A672="","",IF(COUNTIF(변동분석!$E$7:$E$506,O672)&gt;0,"Y","N"))</f>
        <v/>
      </c>
      <c r="W672" s="39">
        <f>IF($A672="","",IFERROR(INDEX(계정매핑!$D$5:$D$504,MATCH($F672&amp;"",계정매핑!$A$5:$A$504,0)),"미매핑"))</f>
        <v/>
      </c>
      <c r="X672" s="9">
        <f>IF($A672="","",$F672&amp;"")</f>
        <v/>
      </c>
    </row>
    <row r="673">
      <c r="A673" s="75" t="n">
        <v>2025</v>
      </c>
      <c r="B673" s="75" t="n">
        <v>4</v>
      </c>
      <c r="C673" s="75" t="inlineStr">
        <is>
          <t>5100000669</t>
        </is>
      </c>
      <c r="D673" s="78" t="n">
        <v>45759</v>
      </c>
      <c r="E673" s="75" t="inlineStr">
        <is>
          <t>KR</t>
        </is>
      </c>
      <c r="F673" s="75" t="n">
        <v>62902000</v>
      </c>
      <c r="G673" s="75" t="n">
        <v>1101</v>
      </c>
      <c r="H673" s="76" t="n">
        <v>1347000</v>
      </c>
      <c r="I673" s="75" t="inlineStr">
        <is>
          <t>4월 업무 위탁 수수료 - X서비스</t>
        </is>
      </c>
      <c r="J673" s="75" t="inlineStr">
        <is>
          <t>V10016</t>
        </is>
      </c>
      <c r="K673" s="75" t="inlineStr">
        <is>
          <t>X서비스</t>
        </is>
      </c>
      <c r="M673" s="9">
        <f>IF($A673="","",VALUE($A673&amp;"")*12+VALUE($B673&amp;""))</f>
        <v/>
      </c>
      <c r="N673" s="39">
        <f>IF($A673="","",IFERROR(INDEX(부서매핑!$C$5:$C$504,MATCH($G673&amp;"",부서매핑!$A$5:$A$504,0)),"미매핑"))</f>
        <v/>
      </c>
      <c r="O673" s="9">
        <f>IF($A673="","",N673&amp;"|"&amp;$F673)</f>
        <v/>
      </c>
      <c r="P673" s="77">
        <f>IF($A673="",0,$H673*설정!$C$23)</f>
        <v/>
      </c>
      <c r="Q673" s="39">
        <f>IF($A673="","",IF(O673&lt;&gt;원인분석!$C$9,"",IF(AND(M673&gt;=원인분석!$C$10,M673&lt;=원인분석!$C$11),"당기",IF(AND(M673&gt;=원인분석!$C$12,M673&lt;=원인분석!$C$13),"비교",""))))</f>
        <v/>
      </c>
      <c r="R673" s="9">
        <f>IF(Q673="","",$K673&amp;"")</f>
        <v/>
      </c>
      <c r="S673" s="9">
        <f>IF(Q673="","",IF(MATCH(R673,$R$5:$R$100000,0)=ROW()-4,ROW(),""))</f>
        <v/>
      </c>
      <c r="T673" s="9">
        <f>IF(Q673="당기",ABS(P673)+ROW()/1000000000,"")</f>
        <v/>
      </c>
      <c r="U673" s="9">
        <f>IF(Q673="비교",ABS(P673)+ROW()/1000000000,"")</f>
        <v/>
      </c>
      <c r="V673" s="39">
        <f>IF($A673="","",IF(COUNTIF(변동분석!$E$7:$E$506,O673)&gt;0,"Y","N"))</f>
        <v/>
      </c>
      <c r="W673" s="39">
        <f>IF($A673="","",IFERROR(INDEX(계정매핑!$D$5:$D$504,MATCH($F673&amp;"",계정매핑!$A$5:$A$504,0)),"미매핑"))</f>
        <v/>
      </c>
      <c r="X673" s="9">
        <f>IF($A673="","",$F673&amp;"")</f>
        <v/>
      </c>
    </row>
    <row r="674">
      <c r="A674" s="75" t="n">
        <v>2025</v>
      </c>
      <c r="B674" s="75" t="n">
        <v>4</v>
      </c>
      <c r="C674" s="75" t="inlineStr">
        <is>
          <t>5100000670</t>
        </is>
      </c>
      <c r="D674" s="78" t="n">
        <v>45759</v>
      </c>
      <c r="E674" s="75" t="inlineStr">
        <is>
          <t>KR</t>
        </is>
      </c>
      <c r="F674" s="75" t="n">
        <v>63101000</v>
      </c>
      <c r="G674" s="75" t="n">
        <v>1601</v>
      </c>
      <c r="H674" s="76" t="n">
        <v>3467000</v>
      </c>
      <c r="I674" s="75" t="inlineStr">
        <is>
          <t>4월 사무실 임차료 - AA빌딩</t>
        </is>
      </c>
      <c r="J674" s="75" t="inlineStr">
        <is>
          <t>V10006</t>
        </is>
      </c>
      <c r="K674" s="75" t="inlineStr">
        <is>
          <t>AA빌딩</t>
        </is>
      </c>
      <c r="M674" s="9">
        <f>IF($A674="","",VALUE($A674&amp;"")*12+VALUE($B674&amp;""))</f>
        <v/>
      </c>
      <c r="N674" s="39">
        <f>IF($A674="","",IFERROR(INDEX(부서매핑!$C$5:$C$504,MATCH($G674&amp;"",부서매핑!$A$5:$A$504,0)),"미매핑"))</f>
        <v/>
      </c>
      <c r="O674" s="9">
        <f>IF($A674="","",N674&amp;"|"&amp;$F674)</f>
        <v/>
      </c>
      <c r="P674" s="77">
        <f>IF($A674="",0,$H674*설정!$C$23)</f>
        <v/>
      </c>
      <c r="Q674" s="39">
        <f>IF($A674="","",IF(O674&lt;&gt;원인분석!$C$9,"",IF(AND(M674&gt;=원인분석!$C$10,M674&lt;=원인분석!$C$11),"당기",IF(AND(M674&gt;=원인분석!$C$12,M674&lt;=원인분석!$C$13),"비교",""))))</f>
        <v/>
      </c>
      <c r="R674" s="9">
        <f>IF(Q674="","",$K674&amp;"")</f>
        <v/>
      </c>
      <c r="S674" s="9">
        <f>IF(Q674="","",IF(MATCH(R674,$R$5:$R$100000,0)=ROW()-4,ROW(),""))</f>
        <v/>
      </c>
      <c r="T674" s="9">
        <f>IF(Q674="당기",ABS(P674)+ROW()/1000000000,"")</f>
        <v/>
      </c>
      <c r="U674" s="9">
        <f>IF(Q674="비교",ABS(P674)+ROW()/1000000000,"")</f>
        <v/>
      </c>
      <c r="V674" s="39">
        <f>IF($A674="","",IF(COUNTIF(변동분석!$E$7:$E$506,O674)&gt;0,"Y","N"))</f>
        <v/>
      </c>
      <c r="W674" s="39">
        <f>IF($A674="","",IFERROR(INDEX(계정매핑!$D$5:$D$504,MATCH($F674&amp;"",계정매핑!$A$5:$A$504,0)),"미매핑"))</f>
        <v/>
      </c>
      <c r="X674" s="9">
        <f>IF($A674="","",$F674&amp;"")</f>
        <v/>
      </c>
    </row>
    <row r="675">
      <c r="A675" s="75" t="n">
        <v>2025</v>
      </c>
      <c r="B675" s="75" t="n">
        <v>4</v>
      </c>
      <c r="C675" s="75" t="inlineStr">
        <is>
          <t>5100000671</t>
        </is>
      </c>
      <c r="D675" s="78" t="n">
        <v>45760</v>
      </c>
      <c r="E675" s="75" t="inlineStr">
        <is>
          <t>KR</t>
        </is>
      </c>
      <c r="F675" s="75" t="n">
        <v>62102000</v>
      </c>
      <c r="G675" s="75" t="n">
        <v>1201</v>
      </c>
      <c r="H675" s="76" t="n">
        <v>43000</v>
      </c>
      <c r="I675" s="75" t="inlineStr">
        <is>
          <t>4월 해외출장 - M항공</t>
        </is>
      </c>
      <c r="J675" s="75" t="inlineStr">
        <is>
          <t>V10001</t>
        </is>
      </c>
      <c r="K675" s="75" t="inlineStr">
        <is>
          <t>M항공</t>
        </is>
      </c>
      <c r="M675" s="9">
        <f>IF($A675="","",VALUE($A675&amp;"")*12+VALUE($B675&amp;""))</f>
        <v/>
      </c>
      <c r="N675" s="39">
        <f>IF($A675="","",IFERROR(INDEX(부서매핑!$C$5:$C$504,MATCH($G675&amp;"",부서매핑!$A$5:$A$504,0)),"미매핑"))</f>
        <v/>
      </c>
      <c r="O675" s="9">
        <f>IF($A675="","",N675&amp;"|"&amp;$F675)</f>
        <v/>
      </c>
      <c r="P675" s="77">
        <f>IF($A675="",0,$H675*설정!$C$23)</f>
        <v/>
      </c>
      <c r="Q675" s="39">
        <f>IF($A675="","",IF(O675&lt;&gt;원인분석!$C$9,"",IF(AND(M675&gt;=원인분석!$C$10,M675&lt;=원인분석!$C$11),"당기",IF(AND(M675&gt;=원인분석!$C$12,M675&lt;=원인분석!$C$13),"비교",""))))</f>
        <v/>
      </c>
      <c r="R675" s="9">
        <f>IF(Q675="","",$K675&amp;"")</f>
        <v/>
      </c>
      <c r="S675" s="9">
        <f>IF(Q675="","",IF(MATCH(R675,$R$5:$R$100000,0)=ROW()-4,ROW(),""))</f>
        <v/>
      </c>
      <c r="T675" s="9">
        <f>IF(Q675="당기",ABS(P675)+ROW()/1000000000,"")</f>
        <v/>
      </c>
      <c r="U675" s="9">
        <f>IF(Q675="비교",ABS(P675)+ROW()/1000000000,"")</f>
        <v/>
      </c>
      <c r="V675" s="39">
        <f>IF($A675="","",IF(COUNTIF(변동분석!$E$7:$E$506,O675)&gt;0,"Y","N"))</f>
        <v/>
      </c>
      <c r="W675" s="39">
        <f>IF($A675="","",IFERROR(INDEX(계정매핑!$D$5:$D$504,MATCH($F675&amp;"",계정매핑!$A$5:$A$504,0)),"미매핑"))</f>
        <v/>
      </c>
      <c r="X675" s="9">
        <f>IF($A675="","",$F675&amp;"")</f>
        <v/>
      </c>
    </row>
    <row r="676">
      <c r="A676" s="75" t="n">
        <v>2025</v>
      </c>
      <c r="B676" s="75" t="n">
        <v>4</v>
      </c>
      <c r="C676" s="75" t="inlineStr">
        <is>
          <t>5100000672</t>
        </is>
      </c>
      <c r="D676" s="78" t="n">
        <v>45760</v>
      </c>
      <c r="E676" s="75" t="inlineStr">
        <is>
          <t>KR</t>
        </is>
      </c>
      <c r="F676" s="75" t="n">
        <v>62102000</v>
      </c>
      <c r="G676" s="75" t="n">
        <v>1501</v>
      </c>
      <c r="H676" s="76" t="n">
        <v>84000</v>
      </c>
      <c r="I676" s="75" t="inlineStr">
        <is>
          <t>4월 해외출장 - N호텔</t>
        </is>
      </c>
      <c r="J676" s="75" t="inlineStr">
        <is>
          <t>V10007</t>
        </is>
      </c>
      <c r="K676" s="75" t="inlineStr">
        <is>
          <t>N호텔</t>
        </is>
      </c>
      <c r="M676" s="9">
        <f>IF($A676="","",VALUE($A676&amp;"")*12+VALUE($B676&amp;""))</f>
        <v/>
      </c>
      <c r="N676" s="39">
        <f>IF($A676="","",IFERROR(INDEX(부서매핑!$C$5:$C$504,MATCH($G676&amp;"",부서매핑!$A$5:$A$504,0)),"미매핑"))</f>
        <v/>
      </c>
      <c r="O676" s="9">
        <f>IF($A676="","",N676&amp;"|"&amp;$F676)</f>
        <v/>
      </c>
      <c r="P676" s="77">
        <f>IF($A676="",0,$H676*설정!$C$23)</f>
        <v/>
      </c>
      <c r="Q676" s="39">
        <f>IF($A676="","",IF(O676&lt;&gt;원인분석!$C$9,"",IF(AND(M676&gt;=원인분석!$C$10,M676&lt;=원인분석!$C$11),"당기",IF(AND(M676&gt;=원인분석!$C$12,M676&lt;=원인분석!$C$13),"비교",""))))</f>
        <v/>
      </c>
      <c r="R676" s="9">
        <f>IF(Q676="","",$K676&amp;"")</f>
        <v/>
      </c>
      <c r="S676" s="9">
        <f>IF(Q676="","",IF(MATCH(R676,$R$5:$R$100000,0)=ROW()-4,ROW(),""))</f>
        <v/>
      </c>
      <c r="T676" s="9">
        <f>IF(Q676="당기",ABS(P676)+ROW()/1000000000,"")</f>
        <v/>
      </c>
      <c r="U676" s="9">
        <f>IF(Q676="비교",ABS(P676)+ROW()/1000000000,"")</f>
        <v/>
      </c>
      <c r="V676" s="39">
        <f>IF($A676="","",IF(COUNTIF(변동분석!$E$7:$E$506,O676)&gt;0,"Y","N"))</f>
        <v/>
      </c>
      <c r="W676" s="39">
        <f>IF($A676="","",IFERROR(INDEX(계정매핑!$D$5:$D$504,MATCH($F676&amp;"",계정매핑!$A$5:$A$504,0)),"미매핑"))</f>
        <v/>
      </c>
      <c r="X676" s="9">
        <f>IF($A676="","",$F676&amp;"")</f>
        <v/>
      </c>
    </row>
    <row r="677">
      <c r="A677" s="75" t="n">
        <v>2025</v>
      </c>
      <c r="B677" s="75" t="n">
        <v>4</v>
      </c>
      <c r="C677" s="75" t="inlineStr">
        <is>
          <t>5100000673</t>
        </is>
      </c>
      <c r="D677" s="78" t="n">
        <v>45760</v>
      </c>
      <c r="E677" s="75" t="inlineStr">
        <is>
          <t>KR</t>
        </is>
      </c>
      <c r="F677" s="75" t="n">
        <v>62102000</v>
      </c>
      <c r="G677" s="75" t="n">
        <v>1601</v>
      </c>
      <c r="H677" s="76" t="n">
        <v>371000</v>
      </c>
      <c r="I677" s="75" t="inlineStr">
        <is>
          <t>4월 해외출장 - M항공</t>
        </is>
      </c>
      <c r="J677" s="75" t="inlineStr">
        <is>
          <t>V10001</t>
        </is>
      </c>
      <c r="K677" s="75" t="inlineStr">
        <is>
          <t>M항공</t>
        </is>
      </c>
      <c r="M677" s="9">
        <f>IF($A677="","",VALUE($A677&amp;"")*12+VALUE($B677&amp;""))</f>
        <v/>
      </c>
      <c r="N677" s="39">
        <f>IF($A677="","",IFERROR(INDEX(부서매핑!$C$5:$C$504,MATCH($G677&amp;"",부서매핑!$A$5:$A$504,0)),"미매핑"))</f>
        <v/>
      </c>
      <c r="O677" s="9">
        <f>IF($A677="","",N677&amp;"|"&amp;$F677)</f>
        <v/>
      </c>
      <c r="P677" s="77">
        <f>IF($A677="",0,$H677*설정!$C$23)</f>
        <v/>
      </c>
      <c r="Q677" s="39">
        <f>IF($A677="","",IF(O677&lt;&gt;원인분석!$C$9,"",IF(AND(M677&gt;=원인분석!$C$10,M677&lt;=원인분석!$C$11),"당기",IF(AND(M677&gt;=원인분석!$C$12,M677&lt;=원인분석!$C$13),"비교",""))))</f>
        <v/>
      </c>
      <c r="R677" s="9">
        <f>IF(Q677="","",$K677&amp;"")</f>
        <v/>
      </c>
      <c r="S677" s="9">
        <f>IF(Q677="","",IF(MATCH(R677,$R$5:$R$100000,0)=ROW()-4,ROW(),""))</f>
        <v/>
      </c>
      <c r="T677" s="9">
        <f>IF(Q677="당기",ABS(P677)+ROW()/1000000000,"")</f>
        <v/>
      </c>
      <c r="U677" s="9">
        <f>IF(Q677="비교",ABS(P677)+ROW()/1000000000,"")</f>
        <v/>
      </c>
      <c r="V677" s="39">
        <f>IF($A677="","",IF(COUNTIF(변동분석!$E$7:$E$506,O677)&gt;0,"Y","N"))</f>
        <v/>
      </c>
      <c r="W677" s="39">
        <f>IF($A677="","",IFERROR(INDEX(계정매핑!$D$5:$D$504,MATCH($F677&amp;"",계정매핑!$A$5:$A$504,0)),"미매핑"))</f>
        <v/>
      </c>
      <c r="X677" s="9">
        <f>IF($A677="","",$F677&amp;"")</f>
        <v/>
      </c>
    </row>
    <row r="678">
      <c r="A678" s="75" t="n">
        <v>2025</v>
      </c>
      <c r="B678" s="75" t="n">
        <v>4</v>
      </c>
      <c r="C678" s="75" t="inlineStr">
        <is>
          <t>5100000674</t>
        </is>
      </c>
      <c r="D678" s="78" t="n">
        <v>45760</v>
      </c>
      <c r="E678" s="75" t="inlineStr">
        <is>
          <t>KR</t>
        </is>
      </c>
      <c r="F678" s="75" t="n">
        <v>62201000</v>
      </c>
      <c r="G678" s="75" t="n">
        <v>1301</v>
      </c>
      <c r="H678" s="76" t="n">
        <v>195000</v>
      </c>
      <c r="I678" s="75" t="inlineStr">
        <is>
          <t>4월 통신요금 - P통신</t>
        </is>
      </c>
      <c r="J678" s="75" t="inlineStr">
        <is>
          <t>V10011</t>
        </is>
      </c>
      <c r="K678" s="75" t="inlineStr">
        <is>
          <t>P통신</t>
        </is>
      </c>
      <c r="M678" s="9">
        <f>IF($A678="","",VALUE($A678&amp;"")*12+VALUE($B678&amp;""))</f>
        <v/>
      </c>
      <c r="N678" s="39">
        <f>IF($A678="","",IFERROR(INDEX(부서매핑!$C$5:$C$504,MATCH($G678&amp;"",부서매핑!$A$5:$A$504,0)),"미매핑"))</f>
        <v/>
      </c>
      <c r="O678" s="9">
        <f>IF($A678="","",N678&amp;"|"&amp;$F678)</f>
        <v/>
      </c>
      <c r="P678" s="77">
        <f>IF($A678="",0,$H678*설정!$C$23)</f>
        <v/>
      </c>
      <c r="Q678" s="39">
        <f>IF($A678="","",IF(O678&lt;&gt;원인분석!$C$9,"",IF(AND(M678&gt;=원인분석!$C$10,M678&lt;=원인분석!$C$11),"당기",IF(AND(M678&gt;=원인분석!$C$12,M678&lt;=원인분석!$C$13),"비교",""))))</f>
        <v/>
      </c>
      <c r="R678" s="9">
        <f>IF(Q678="","",$K678&amp;"")</f>
        <v/>
      </c>
      <c r="S678" s="9">
        <f>IF(Q678="","",IF(MATCH(R678,$R$5:$R$100000,0)=ROW()-4,ROW(),""))</f>
        <v/>
      </c>
      <c r="T678" s="9">
        <f>IF(Q678="당기",ABS(P678)+ROW()/1000000000,"")</f>
        <v/>
      </c>
      <c r="U678" s="9">
        <f>IF(Q678="비교",ABS(P678)+ROW()/1000000000,"")</f>
        <v/>
      </c>
      <c r="V678" s="39">
        <f>IF($A678="","",IF(COUNTIF(변동분석!$E$7:$E$506,O678)&gt;0,"Y","N"))</f>
        <v/>
      </c>
      <c r="W678" s="39">
        <f>IF($A678="","",IFERROR(INDEX(계정매핑!$D$5:$D$504,MATCH($F678&amp;"",계정매핑!$A$5:$A$504,0)),"미매핑"))</f>
        <v/>
      </c>
      <c r="X678" s="9">
        <f>IF($A678="","",$F678&amp;"")</f>
        <v/>
      </c>
    </row>
    <row r="679">
      <c r="A679" s="75" t="n">
        <v>2025</v>
      </c>
      <c r="B679" s="75" t="n">
        <v>4</v>
      </c>
      <c r="C679" s="75" t="inlineStr">
        <is>
          <t>5100000675</t>
        </is>
      </c>
      <c r="D679" s="78" t="n">
        <v>45760</v>
      </c>
      <c r="E679" s="75" t="inlineStr">
        <is>
          <t>KR</t>
        </is>
      </c>
      <c r="F679" s="75" t="n">
        <v>62201000</v>
      </c>
      <c r="G679" s="75" t="n">
        <v>1701</v>
      </c>
      <c r="H679" s="76" t="n">
        <v>6513000</v>
      </c>
      <c r="I679" s="75" t="inlineStr">
        <is>
          <t>4월 통신요금 - P통신</t>
        </is>
      </c>
      <c r="J679" s="75" t="inlineStr">
        <is>
          <t>V10011</t>
        </is>
      </c>
      <c r="K679" s="75" t="inlineStr">
        <is>
          <t>P통신</t>
        </is>
      </c>
      <c r="M679" s="9">
        <f>IF($A679="","",VALUE($A679&amp;"")*12+VALUE($B679&amp;""))</f>
        <v/>
      </c>
      <c r="N679" s="39">
        <f>IF($A679="","",IFERROR(INDEX(부서매핑!$C$5:$C$504,MATCH($G679&amp;"",부서매핑!$A$5:$A$504,0)),"미매핑"))</f>
        <v/>
      </c>
      <c r="O679" s="9">
        <f>IF($A679="","",N679&amp;"|"&amp;$F679)</f>
        <v/>
      </c>
      <c r="P679" s="77">
        <f>IF($A679="",0,$H679*설정!$C$23)</f>
        <v/>
      </c>
      <c r="Q679" s="39">
        <f>IF($A679="","",IF(O679&lt;&gt;원인분석!$C$9,"",IF(AND(M679&gt;=원인분석!$C$10,M679&lt;=원인분석!$C$11),"당기",IF(AND(M679&gt;=원인분석!$C$12,M679&lt;=원인분석!$C$13),"비교",""))))</f>
        <v/>
      </c>
      <c r="R679" s="9">
        <f>IF(Q679="","",$K679&amp;"")</f>
        <v/>
      </c>
      <c r="S679" s="9">
        <f>IF(Q679="","",IF(MATCH(R679,$R$5:$R$100000,0)=ROW()-4,ROW(),""))</f>
        <v/>
      </c>
      <c r="T679" s="9">
        <f>IF(Q679="당기",ABS(P679)+ROW()/1000000000,"")</f>
        <v/>
      </c>
      <c r="U679" s="9">
        <f>IF(Q679="비교",ABS(P679)+ROW()/1000000000,"")</f>
        <v/>
      </c>
      <c r="V679" s="39">
        <f>IF($A679="","",IF(COUNTIF(변동분석!$E$7:$E$506,O679)&gt;0,"Y","N"))</f>
        <v/>
      </c>
      <c r="W679" s="39">
        <f>IF($A679="","",IFERROR(INDEX(계정매핑!$D$5:$D$504,MATCH($F679&amp;"",계정매핑!$A$5:$A$504,0)),"미매핑"))</f>
        <v/>
      </c>
      <c r="X679" s="9">
        <f>IF($A679="","",$F679&amp;"")</f>
        <v/>
      </c>
    </row>
    <row r="680">
      <c r="A680" s="75" t="n">
        <v>2025</v>
      </c>
      <c r="B680" s="75" t="n">
        <v>4</v>
      </c>
      <c r="C680" s="75" t="inlineStr">
        <is>
          <t>5100000676</t>
        </is>
      </c>
      <c r="D680" s="78" t="n">
        <v>45760</v>
      </c>
      <c r="E680" s="75" t="inlineStr">
        <is>
          <t>KR</t>
        </is>
      </c>
      <c r="F680" s="75" t="n">
        <v>62301000</v>
      </c>
      <c r="G680" s="75" t="n">
        <v>1101</v>
      </c>
      <c r="H680" s="76" t="n">
        <v>216000</v>
      </c>
      <c r="I680" s="75" t="inlineStr">
        <is>
          <t>4월 소모품 구입 - Q오피스</t>
        </is>
      </c>
      <c r="J680" s="75" t="inlineStr">
        <is>
          <t>V10003</t>
        </is>
      </c>
      <c r="K680" s="75" t="inlineStr">
        <is>
          <t>Q오피스</t>
        </is>
      </c>
      <c r="M680" s="9">
        <f>IF($A680="","",VALUE($A680&amp;"")*12+VALUE($B680&amp;""))</f>
        <v/>
      </c>
      <c r="N680" s="39">
        <f>IF($A680="","",IFERROR(INDEX(부서매핑!$C$5:$C$504,MATCH($G680&amp;"",부서매핑!$A$5:$A$504,0)),"미매핑"))</f>
        <v/>
      </c>
      <c r="O680" s="9">
        <f>IF($A680="","",N680&amp;"|"&amp;$F680)</f>
        <v/>
      </c>
      <c r="P680" s="77">
        <f>IF($A680="",0,$H680*설정!$C$23)</f>
        <v/>
      </c>
      <c r="Q680" s="39">
        <f>IF($A680="","",IF(O680&lt;&gt;원인분석!$C$9,"",IF(AND(M680&gt;=원인분석!$C$10,M680&lt;=원인분석!$C$11),"당기",IF(AND(M680&gt;=원인분석!$C$12,M680&lt;=원인분석!$C$13),"비교",""))))</f>
        <v/>
      </c>
      <c r="R680" s="9">
        <f>IF(Q680="","",$K680&amp;"")</f>
        <v/>
      </c>
      <c r="S680" s="9">
        <f>IF(Q680="","",IF(MATCH(R680,$R$5:$R$100000,0)=ROW()-4,ROW(),""))</f>
        <v/>
      </c>
      <c r="T680" s="9">
        <f>IF(Q680="당기",ABS(P680)+ROW()/1000000000,"")</f>
        <v/>
      </c>
      <c r="U680" s="9">
        <f>IF(Q680="비교",ABS(P680)+ROW()/1000000000,"")</f>
        <v/>
      </c>
      <c r="V680" s="39">
        <f>IF($A680="","",IF(COUNTIF(변동분석!$E$7:$E$506,O680)&gt;0,"Y","N"))</f>
        <v/>
      </c>
      <c r="W680" s="39">
        <f>IF($A680="","",IFERROR(INDEX(계정매핑!$D$5:$D$504,MATCH($F680&amp;"",계정매핑!$A$5:$A$504,0)),"미매핑"))</f>
        <v/>
      </c>
      <c r="X680" s="9">
        <f>IF($A680="","",$F680&amp;"")</f>
        <v/>
      </c>
    </row>
    <row r="681">
      <c r="A681" s="75" t="n">
        <v>2025</v>
      </c>
      <c r="B681" s="75" t="n">
        <v>4</v>
      </c>
      <c r="C681" s="75" t="inlineStr">
        <is>
          <t>5100000677</t>
        </is>
      </c>
      <c r="D681" s="78" t="n">
        <v>45760</v>
      </c>
      <c r="E681" s="75" t="inlineStr">
        <is>
          <t>KR</t>
        </is>
      </c>
      <c r="F681" s="75" t="n">
        <v>62301000</v>
      </c>
      <c r="G681" s="75" t="n">
        <v>1201</v>
      </c>
      <c r="H681" s="76" t="n">
        <v>91000</v>
      </c>
      <c r="I681" s="75" t="inlineStr">
        <is>
          <t>4월 소모품 구입 - Q오피스</t>
        </is>
      </c>
      <c r="J681" s="75" t="inlineStr">
        <is>
          <t>V10003</t>
        </is>
      </c>
      <c r="K681" s="75" t="inlineStr">
        <is>
          <t>Q오피스</t>
        </is>
      </c>
      <c r="M681" s="9">
        <f>IF($A681="","",VALUE($A681&amp;"")*12+VALUE($B681&amp;""))</f>
        <v/>
      </c>
      <c r="N681" s="39">
        <f>IF($A681="","",IFERROR(INDEX(부서매핑!$C$5:$C$504,MATCH($G681&amp;"",부서매핑!$A$5:$A$504,0)),"미매핑"))</f>
        <v/>
      </c>
      <c r="O681" s="9">
        <f>IF($A681="","",N681&amp;"|"&amp;$F681)</f>
        <v/>
      </c>
      <c r="P681" s="77">
        <f>IF($A681="",0,$H681*설정!$C$23)</f>
        <v/>
      </c>
      <c r="Q681" s="39">
        <f>IF($A681="","",IF(O681&lt;&gt;원인분석!$C$9,"",IF(AND(M681&gt;=원인분석!$C$10,M681&lt;=원인분석!$C$11),"당기",IF(AND(M681&gt;=원인분석!$C$12,M681&lt;=원인분석!$C$13),"비교",""))))</f>
        <v/>
      </c>
      <c r="R681" s="9">
        <f>IF(Q681="","",$K681&amp;"")</f>
        <v/>
      </c>
      <c r="S681" s="9">
        <f>IF(Q681="","",IF(MATCH(R681,$R$5:$R$100000,0)=ROW()-4,ROW(),""))</f>
        <v/>
      </c>
      <c r="T681" s="9">
        <f>IF(Q681="당기",ABS(P681)+ROW()/1000000000,"")</f>
        <v/>
      </c>
      <c r="U681" s="9">
        <f>IF(Q681="비교",ABS(P681)+ROW()/1000000000,"")</f>
        <v/>
      </c>
      <c r="V681" s="39">
        <f>IF($A681="","",IF(COUNTIF(변동분석!$E$7:$E$506,O681)&gt;0,"Y","N"))</f>
        <v/>
      </c>
      <c r="W681" s="39">
        <f>IF($A681="","",IFERROR(INDEX(계정매핑!$D$5:$D$504,MATCH($F681&amp;"",계정매핑!$A$5:$A$504,0)),"미매핑"))</f>
        <v/>
      </c>
      <c r="X681" s="9">
        <f>IF($A681="","",$F681&amp;"")</f>
        <v/>
      </c>
    </row>
    <row r="682">
      <c r="A682" s="75" t="n">
        <v>2025</v>
      </c>
      <c r="B682" s="75" t="n">
        <v>4</v>
      </c>
      <c r="C682" s="75" t="inlineStr">
        <is>
          <t>5100000678</t>
        </is>
      </c>
      <c r="D682" s="78" t="n">
        <v>45760</v>
      </c>
      <c r="E682" s="75" t="inlineStr">
        <is>
          <t>KR</t>
        </is>
      </c>
      <c r="F682" s="75" t="n">
        <v>62301000</v>
      </c>
      <c r="G682" s="75" t="n">
        <v>1201</v>
      </c>
      <c r="H682" s="76" t="n">
        <v>92000</v>
      </c>
      <c r="I682" s="75" t="inlineStr">
        <is>
          <t>4월 소모품 구입 - R문구</t>
        </is>
      </c>
      <c r="J682" s="75" t="inlineStr">
        <is>
          <t>V10018</t>
        </is>
      </c>
      <c r="K682" s="75" t="inlineStr">
        <is>
          <t>R문구</t>
        </is>
      </c>
      <c r="M682" s="9">
        <f>IF($A682="","",VALUE($A682&amp;"")*12+VALUE($B682&amp;""))</f>
        <v/>
      </c>
      <c r="N682" s="39">
        <f>IF($A682="","",IFERROR(INDEX(부서매핑!$C$5:$C$504,MATCH($G682&amp;"",부서매핑!$A$5:$A$504,0)),"미매핑"))</f>
        <v/>
      </c>
      <c r="O682" s="9">
        <f>IF($A682="","",N682&amp;"|"&amp;$F682)</f>
        <v/>
      </c>
      <c r="P682" s="77">
        <f>IF($A682="",0,$H682*설정!$C$23)</f>
        <v/>
      </c>
      <c r="Q682" s="39">
        <f>IF($A682="","",IF(O682&lt;&gt;원인분석!$C$9,"",IF(AND(M682&gt;=원인분석!$C$10,M682&lt;=원인분석!$C$11),"당기",IF(AND(M682&gt;=원인분석!$C$12,M682&lt;=원인분석!$C$13),"비교",""))))</f>
        <v/>
      </c>
      <c r="R682" s="9">
        <f>IF(Q682="","",$K682&amp;"")</f>
        <v/>
      </c>
      <c r="S682" s="9">
        <f>IF(Q682="","",IF(MATCH(R682,$R$5:$R$100000,0)=ROW()-4,ROW(),""))</f>
        <v/>
      </c>
      <c r="T682" s="9">
        <f>IF(Q682="당기",ABS(P682)+ROW()/1000000000,"")</f>
        <v/>
      </c>
      <c r="U682" s="9">
        <f>IF(Q682="비교",ABS(P682)+ROW()/1000000000,"")</f>
        <v/>
      </c>
      <c r="V682" s="39">
        <f>IF($A682="","",IF(COUNTIF(변동분석!$E$7:$E$506,O682)&gt;0,"Y","N"))</f>
        <v/>
      </c>
      <c r="W682" s="39">
        <f>IF($A682="","",IFERROR(INDEX(계정매핑!$D$5:$D$504,MATCH($F682&amp;"",계정매핑!$A$5:$A$504,0)),"미매핑"))</f>
        <v/>
      </c>
      <c r="X682" s="9">
        <f>IF($A682="","",$F682&amp;"")</f>
        <v/>
      </c>
    </row>
    <row r="683">
      <c r="A683" s="75" t="n">
        <v>2025</v>
      </c>
      <c r="B683" s="75" t="n">
        <v>4</v>
      </c>
      <c r="C683" s="75" t="inlineStr">
        <is>
          <t>5100000679</t>
        </is>
      </c>
      <c r="D683" s="78" t="n">
        <v>45760</v>
      </c>
      <c r="E683" s="75" t="inlineStr">
        <is>
          <t>KR</t>
        </is>
      </c>
      <c r="F683" s="75" t="n">
        <v>62301000</v>
      </c>
      <c r="G683" s="75" t="n">
        <v>1401</v>
      </c>
      <c r="H683" s="76" t="n">
        <v>63000</v>
      </c>
      <c r="I683" s="75" t="inlineStr">
        <is>
          <t>4월 소모품 구입 - R문구</t>
        </is>
      </c>
      <c r="J683" s="75" t="inlineStr">
        <is>
          <t>V10018</t>
        </is>
      </c>
      <c r="K683" s="75" t="inlineStr">
        <is>
          <t>R문구</t>
        </is>
      </c>
      <c r="M683" s="9">
        <f>IF($A683="","",VALUE($A683&amp;"")*12+VALUE($B683&amp;""))</f>
        <v/>
      </c>
      <c r="N683" s="39">
        <f>IF($A683="","",IFERROR(INDEX(부서매핑!$C$5:$C$504,MATCH($G683&amp;"",부서매핑!$A$5:$A$504,0)),"미매핑"))</f>
        <v/>
      </c>
      <c r="O683" s="9">
        <f>IF($A683="","",N683&amp;"|"&amp;$F683)</f>
        <v/>
      </c>
      <c r="P683" s="77">
        <f>IF($A683="",0,$H683*설정!$C$23)</f>
        <v/>
      </c>
      <c r="Q683" s="39">
        <f>IF($A683="","",IF(O683&lt;&gt;원인분석!$C$9,"",IF(AND(M683&gt;=원인분석!$C$10,M683&lt;=원인분석!$C$11),"당기",IF(AND(M683&gt;=원인분석!$C$12,M683&lt;=원인분석!$C$13),"비교",""))))</f>
        <v/>
      </c>
      <c r="R683" s="9">
        <f>IF(Q683="","",$K683&amp;"")</f>
        <v/>
      </c>
      <c r="S683" s="9">
        <f>IF(Q683="","",IF(MATCH(R683,$R$5:$R$100000,0)=ROW()-4,ROW(),""))</f>
        <v/>
      </c>
      <c r="T683" s="9">
        <f>IF(Q683="당기",ABS(P683)+ROW()/1000000000,"")</f>
        <v/>
      </c>
      <c r="U683" s="9">
        <f>IF(Q683="비교",ABS(P683)+ROW()/1000000000,"")</f>
        <v/>
      </c>
      <c r="V683" s="39">
        <f>IF($A683="","",IF(COUNTIF(변동분석!$E$7:$E$506,O683)&gt;0,"Y","N"))</f>
        <v/>
      </c>
      <c r="W683" s="39">
        <f>IF($A683="","",IFERROR(INDEX(계정매핑!$D$5:$D$504,MATCH($F683&amp;"",계정매핑!$A$5:$A$504,0)),"미매핑"))</f>
        <v/>
      </c>
      <c r="X683" s="9">
        <f>IF($A683="","",$F683&amp;"")</f>
        <v/>
      </c>
    </row>
    <row r="684">
      <c r="A684" s="75" t="n">
        <v>2025</v>
      </c>
      <c r="B684" s="75" t="n">
        <v>4</v>
      </c>
      <c r="C684" s="75" t="inlineStr">
        <is>
          <t>5100000680</t>
        </is>
      </c>
      <c r="D684" s="78" t="n">
        <v>45760</v>
      </c>
      <c r="E684" s="75" t="inlineStr">
        <is>
          <t>KR</t>
        </is>
      </c>
      <c r="F684" s="75" t="n">
        <v>62301000</v>
      </c>
      <c r="G684" s="75" t="n">
        <v>1502</v>
      </c>
      <c r="H684" s="76" t="n">
        <v>213000</v>
      </c>
      <c r="I684" s="75" t="inlineStr">
        <is>
          <t>4월 소모품 구입 - R문구</t>
        </is>
      </c>
      <c r="J684" s="75" t="inlineStr">
        <is>
          <t>V10018</t>
        </is>
      </c>
      <c r="K684" s="75" t="inlineStr">
        <is>
          <t>R문구</t>
        </is>
      </c>
      <c r="M684" s="9">
        <f>IF($A684="","",VALUE($A684&amp;"")*12+VALUE($B684&amp;""))</f>
        <v/>
      </c>
      <c r="N684" s="39">
        <f>IF($A684="","",IFERROR(INDEX(부서매핑!$C$5:$C$504,MATCH($G684&amp;"",부서매핑!$A$5:$A$504,0)),"미매핑"))</f>
        <v/>
      </c>
      <c r="O684" s="9">
        <f>IF($A684="","",N684&amp;"|"&amp;$F684)</f>
        <v/>
      </c>
      <c r="P684" s="77">
        <f>IF($A684="",0,$H684*설정!$C$23)</f>
        <v/>
      </c>
      <c r="Q684" s="39">
        <f>IF($A684="","",IF(O684&lt;&gt;원인분석!$C$9,"",IF(AND(M684&gt;=원인분석!$C$10,M684&lt;=원인분석!$C$11),"당기",IF(AND(M684&gt;=원인분석!$C$12,M684&lt;=원인분석!$C$13),"비교",""))))</f>
        <v/>
      </c>
      <c r="R684" s="9">
        <f>IF(Q684="","",$K684&amp;"")</f>
        <v/>
      </c>
      <c r="S684" s="9">
        <f>IF(Q684="","",IF(MATCH(R684,$R$5:$R$100000,0)=ROW()-4,ROW(),""))</f>
        <v/>
      </c>
      <c r="T684" s="9">
        <f>IF(Q684="당기",ABS(P684)+ROW()/1000000000,"")</f>
        <v/>
      </c>
      <c r="U684" s="9">
        <f>IF(Q684="비교",ABS(P684)+ROW()/1000000000,"")</f>
        <v/>
      </c>
      <c r="V684" s="39">
        <f>IF($A684="","",IF(COUNTIF(변동분석!$E$7:$E$506,O684)&gt;0,"Y","N"))</f>
        <v/>
      </c>
      <c r="W684" s="39">
        <f>IF($A684="","",IFERROR(INDEX(계정매핑!$D$5:$D$504,MATCH($F684&amp;"",계정매핑!$A$5:$A$504,0)),"미매핑"))</f>
        <v/>
      </c>
      <c r="X684" s="9">
        <f>IF($A684="","",$F684&amp;"")</f>
        <v/>
      </c>
    </row>
    <row r="685">
      <c r="A685" s="75" t="n">
        <v>2025</v>
      </c>
      <c r="B685" s="75" t="n">
        <v>4</v>
      </c>
      <c r="C685" s="75" t="inlineStr">
        <is>
          <t>5100000681</t>
        </is>
      </c>
      <c r="D685" s="78" t="n">
        <v>45760</v>
      </c>
      <c r="E685" s="75" t="inlineStr">
        <is>
          <t>KR</t>
        </is>
      </c>
      <c r="F685" s="75" t="n">
        <v>62501000</v>
      </c>
      <c r="G685" s="75" t="n">
        <v>1401</v>
      </c>
      <c r="H685" s="76" t="n">
        <v>105000</v>
      </c>
      <c r="I685" s="75" t="inlineStr">
        <is>
          <t>4월 회의 다과 - T케이터링</t>
        </is>
      </c>
      <c r="J685" s="75" t="inlineStr">
        <is>
          <t>V10005</t>
        </is>
      </c>
      <c r="K685" s="75" t="inlineStr">
        <is>
          <t>T케이터링</t>
        </is>
      </c>
      <c r="M685" s="9">
        <f>IF($A685="","",VALUE($A685&amp;"")*12+VALUE($B685&amp;""))</f>
        <v/>
      </c>
      <c r="N685" s="39">
        <f>IF($A685="","",IFERROR(INDEX(부서매핑!$C$5:$C$504,MATCH($G685&amp;"",부서매핑!$A$5:$A$504,0)),"미매핑"))</f>
        <v/>
      </c>
      <c r="O685" s="9">
        <f>IF($A685="","",N685&amp;"|"&amp;$F685)</f>
        <v/>
      </c>
      <c r="P685" s="77">
        <f>IF($A685="",0,$H685*설정!$C$23)</f>
        <v/>
      </c>
      <c r="Q685" s="39">
        <f>IF($A685="","",IF(O685&lt;&gt;원인분석!$C$9,"",IF(AND(M685&gt;=원인분석!$C$10,M685&lt;=원인분석!$C$11),"당기",IF(AND(M685&gt;=원인분석!$C$12,M685&lt;=원인분석!$C$13),"비교",""))))</f>
        <v/>
      </c>
      <c r="R685" s="9">
        <f>IF(Q685="","",$K685&amp;"")</f>
        <v/>
      </c>
      <c r="S685" s="9">
        <f>IF(Q685="","",IF(MATCH(R685,$R$5:$R$100000,0)=ROW()-4,ROW(),""))</f>
        <v/>
      </c>
      <c r="T685" s="9">
        <f>IF(Q685="당기",ABS(P685)+ROW()/1000000000,"")</f>
        <v/>
      </c>
      <c r="U685" s="9">
        <f>IF(Q685="비교",ABS(P685)+ROW()/1000000000,"")</f>
        <v/>
      </c>
      <c r="V685" s="39">
        <f>IF($A685="","",IF(COUNTIF(변동분석!$E$7:$E$506,O685)&gt;0,"Y","N"))</f>
        <v/>
      </c>
      <c r="W685" s="39">
        <f>IF($A685="","",IFERROR(INDEX(계정매핑!$D$5:$D$504,MATCH($F685&amp;"",계정매핑!$A$5:$A$504,0)),"미매핑"))</f>
        <v/>
      </c>
      <c r="X685" s="9">
        <f>IF($A685="","",$F685&amp;"")</f>
        <v/>
      </c>
    </row>
    <row r="686">
      <c r="A686" s="75" t="n">
        <v>2025</v>
      </c>
      <c r="B686" s="75" t="n">
        <v>4</v>
      </c>
      <c r="C686" s="75" t="inlineStr">
        <is>
          <t>5100000682</t>
        </is>
      </c>
      <c r="D686" s="78" t="n">
        <v>45760</v>
      </c>
      <c r="E686" s="75" t="inlineStr">
        <is>
          <t>KR</t>
        </is>
      </c>
      <c r="F686" s="75" t="n">
        <v>62902000</v>
      </c>
      <c r="G686" s="75" t="n">
        <v>1201</v>
      </c>
      <c r="H686" s="76" t="n">
        <v>1858000</v>
      </c>
      <c r="I686" s="75" t="inlineStr">
        <is>
          <t>4월 업무 위탁 수수료 - X서비스</t>
        </is>
      </c>
      <c r="J686" s="75" t="inlineStr">
        <is>
          <t>V10016</t>
        </is>
      </c>
      <c r="K686" s="75" t="inlineStr">
        <is>
          <t>X서비스</t>
        </is>
      </c>
      <c r="M686" s="9">
        <f>IF($A686="","",VALUE($A686&amp;"")*12+VALUE($B686&amp;""))</f>
        <v/>
      </c>
      <c r="N686" s="39">
        <f>IF($A686="","",IFERROR(INDEX(부서매핑!$C$5:$C$504,MATCH($G686&amp;"",부서매핑!$A$5:$A$504,0)),"미매핑"))</f>
        <v/>
      </c>
      <c r="O686" s="9">
        <f>IF($A686="","",N686&amp;"|"&amp;$F686)</f>
        <v/>
      </c>
      <c r="P686" s="77">
        <f>IF($A686="",0,$H686*설정!$C$23)</f>
        <v/>
      </c>
      <c r="Q686" s="39">
        <f>IF($A686="","",IF(O686&lt;&gt;원인분석!$C$9,"",IF(AND(M686&gt;=원인분석!$C$10,M686&lt;=원인분석!$C$11),"당기",IF(AND(M686&gt;=원인분석!$C$12,M686&lt;=원인분석!$C$13),"비교",""))))</f>
        <v/>
      </c>
      <c r="R686" s="9">
        <f>IF(Q686="","",$K686&amp;"")</f>
        <v/>
      </c>
      <c r="S686" s="9">
        <f>IF(Q686="","",IF(MATCH(R686,$R$5:$R$100000,0)=ROW()-4,ROW(),""))</f>
        <v/>
      </c>
      <c r="T686" s="9">
        <f>IF(Q686="당기",ABS(P686)+ROW()/1000000000,"")</f>
        <v/>
      </c>
      <c r="U686" s="9">
        <f>IF(Q686="비교",ABS(P686)+ROW()/1000000000,"")</f>
        <v/>
      </c>
      <c r="V686" s="39">
        <f>IF($A686="","",IF(COUNTIF(변동분석!$E$7:$E$506,O686)&gt;0,"Y","N"))</f>
        <v/>
      </c>
      <c r="W686" s="39">
        <f>IF($A686="","",IFERROR(INDEX(계정매핑!$D$5:$D$504,MATCH($F686&amp;"",계정매핑!$A$5:$A$504,0)),"미매핑"))</f>
        <v/>
      </c>
      <c r="X686" s="9">
        <f>IF($A686="","",$F686&amp;"")</f>
        <v/>
      </c>
    </row>
    <row r="687">
      <c r="A687" s="75" t="n">
        <v>2025</v>
      </c>
      <c r="B687" s="75" t="n">
        <v>4</v>
      </c>
      <c r="C687" s="75" t="inlineStr">
        <is>
          <t>5100000683</t>
        </is>
      </c>
      <c r="D687" s="78" t="n">
        <v>45761</v>
      </c>
      <c r="E687" s="75" t="inlineStr">
        <is>
          <t>KR</t>
        </is>
      </c>
      <c r="F687" s="75" t="n">
        <v>62101000</v>
      </c>
      <c r="G687" s="75" t="n">
        <v>1201</v>
      </c>
      <c r="H687" s="76" t="n">
        <v>203000</v>
      </c>
      <c r="I687" s="75" t="inlineStr">
        <is>
          <t>4월 국내출장 - L여행사</t>
        </is>
      </c>
      <c r="J687" s="75" t="inlineStr">
        <is>
          <t>V10014</t>
        </is>
      </c>
      <c r="K687" s="75" t="inlineStr">
        <is>
          <t>L여행사</t>
        </is>
      </c>
      <c r="M687" s="9">
        <f>IF($A687="","",VALUE($A687&amp;"")*12+VALUE($B687&amp;""))</f>
        <v/>
      </c>
      <c r="N687" s="39">
        <f>IF($A687="","",IFERROR(INDEX(부서매핑!$C$5:$C$504,MATCH($G687&amp;"",부서매핑!$A$5:$A$504,0)),"미매핑"))</f>
        <v/>
      </c>
      <c r="O687" s="9">
        <f>IF($A687="","",N687&amp;"|"&amp;$F687)</f>
        <v/>
      </c>
      <c r="P687" s="77">
        <f>IF($A687="",0,$H687*설정!$C$23)</f>
        <v/>
      </c>
      <c r="Q687" s="39">
        <f>IF($A687="","",IF(O687&lt;&gt;원인분석!$C$9,"",IF(AND(M687&gt;=원인분석!$C$10,M687&lt;=원인분석!$C$11),"당기",IF(AND(M687&gt;=원인분석!$C$12,M687&lt;=원인분석!$C$13),"비교",""))))</f>
        <v/>
      </c>
      <c r="R687" s="9">
        <f>IF(Q687="","",$K687&amp;"")</f>
        <v/>
      </c>
      <c r="S687" s="9">
        <f>IF(Q687="","",IF(MATCH(R687,$R$5:$R$100000,0)=ROW()-4,ROW(),""))</f>
        <v/>
      </c>
      <c r="T687" s="9">
        <f>IF(Q687="당기",ABS(P687)+ROW()/1000000000,"")</f>
        <v/>
      </c>
      <c r="U687" s="9">
        <f>IF(Q687="비교",ABS(P687)+ROW()/1000000000,"")</f>
        <v/>
      </c>
      <c r="V687" s="39">
        <f>IF($A687="","",IF(COUNTIF(변동분석!$E$7:$E$506,O687)&gt;0,"Y","N"))</f>
        <v/>
      </c>
      <c r="W687" s="39">
        <f>IF($A687="","",IFERROR(INDEX(계정매핑!$D$5:$D$504,MATCH($F687&amp;"",계정매핑!$A$5:$A$504,0)),"미매핑"))</f>
        <v/>
      </c>
      <c r="X687" s="9">
        <f>IF($A687="","",$F687&amp;"")</f>
        <v/>
      </c>
    </row>
    <row r="688">
      <c r="A688" s="75" t="n">
        <v>2025</v>
      </c>
      <c r="B688" s="75" t="n">
        <v>4</v>
      </c>
      <c r="C688" s="75" t="inlineStr">
        <is>
          <t>5100000684</t>
        </is>
      </c>
      <c r="D688" s="78" t="n">
        <v>45761</v>
      </c>
      <c r="E688" s="75" t="inlineStr">
        <is>
          <t>KR</t>
        </is>
      </c>
      <c r="F688" s="75" t="n">
        <v>62101000</v>
      </c>
      <c r="G688" s="75" t="n">
        <v>1201</v>
      </c>
      <c r="H688" s="76" t="n">
        <v>178000</v>
      </c>
      <c r="I688" s="75" t="inlineStr">
        <is>
          <t>4월 국내출장 - M항공</t>
        </is>
      </c>
      <c r="J688" s="75" t="inlineStr">
        <is>
          <t>V10001</t>
        </is>
      </c>
      <c r="K688" s="75" t="inlineStr">
        <is>
          <t>M항공</t>
        </is>
      </c>
      <c r="M688" s="9">
        <f>IF($A688="","",VALUE($A688&amp;"")*12+VALUE($B688&amp;""))</f>
        <v/>
      </c>
      <c r="N688" s="39">
        <f>IF($A688="","",IFERROR(INDEX(부서매핑!$C$5:$C$504,MATCH($G688&amp;"",부서매핑!$A$5:$A$504,0)),"미매핑"))</f>
        <v/>
      </c>
      <c r="O688" s="9">
        <f>IF($A688="","",N688&amp;"|"&amp;$F688)</f>
        <v/>
      </c>
      <c r="P688" s="77">
        <f>IF($A688="",0,$H688*설정!$C$23)</f>
        <v/>
      </c>
      <c r="Q688" s="39">
        <f>IF($A688="","",IF(O688&lt;&gt;원인분석!$C$9,"",IF(AND(M688&gt;=원인분석!$C$10,M688&lt;=원인분석!$C$11),"당기",IF(AND(M688&gt;=원인분석!$C$12,M688&lt;=원인분석!$C$13),"비교",""))))</f>
        <v/>
      </c>
      <c r="R688" s="9">
        <f>IF(Q688="","",$K688&amp;"")</f>
        <v/>
      </c>
      <c r="S688" s="9">
        <f>IF(Q688="","",IF(MATCH(R688,$R$5:$R$100000,0)=ROW()-4,ROW(),""))</f>
        <v/>
      </c>
      <c r="T688" s="9">
        <f>IF(Q688="당기",ABS(P688)+ROW()/1000000000,"")</f>
        <v/>
      </c>
      <c r="U688" s="9">
        <f>IF(Q688="비교",ABS(P688)+ROW()/1000000000,"")</f>
        <v/>
      </c>
      <c r="V688" s="39">
        <f>IF($A688="","",IF(COUNTIF(변동분석!$E$7:$E$506,O688)&gt;0,"Y","N"))</f>
        <v/>
      </c>
      <c r="W688" s="39">
        <f>IF($A688="","",IFERROR(INDEX(계정매핑!$D$5:$D$504,MATCH($F688&amp;"",계정매핑!$A$5:$A$504,0)),"미매핑"))</f>
        <v/>
      </c>
      <c r="X688" s="9">
        <f>IF($A688="","",$F688&amp;"")</f>
        <v/>
      </c>
    </row>
    <row r="689">
      <c r="A689" s="75" t="n">
        <v>2025</v>
      </c>
      <c r="B689" s="75" t="n">
        <v>4</v>
      </c>
      <c r="C689" s="75" t="inlineStr">
        <is>
          <t>5100000685</t>
        </is>
      </c>
      <c r="D689" s="78" t="n">
        <v>45761</v>
      </c>
      <c r="E689" s="75" t="inlineStr">
        <is>
          <t>KR</t>
        </is>
      </c>
      <c r="F689" s="75" t="n">
        <v>62101000</v>
      </c>
      <c r="G689" s="75" t="n">
        <v>1301</v>
      </c>
      <c r="H689" s="76" t="n">
        <v>173000</v>
      </c>
      <c r="I689" s="75" t="inlineStr">
        <is>
          <t>4월 국내출장 - L여행사</t>
        </is>
      </c>
      <c r="J689" s="75" t="inlineStr">
        <is>
          <t>V10014</t>
        </is>
      </c>
      <c r="K689" s="75" t="inlineStr">
        <is>
          <t>L여행사</t>
        </is>
      </c>
      <c r="M689" s="9">
        <f>IF($A689="","",VALUE($A689&amp;"")*12+VALUE($B689&amp;""))</f>
        <v/>
      </c>
      <c r="N689" s="39">
        <f>IF($A689="","",IFERROR(INDEX(부서매핑!$C$5:$C$504,MATCH($G689&amp;"",부서매핑!$A$5:$A$504,0)),"미매핑"))</f>
        <v/>
      </c>
      <c r="O689" s="9">
        <f>IF($A689="","",N689&amp;"|"&amp;$F689)</f>
        <v/>
      </c>
      <c r="P689" s="77">
        <f>IF($A689="",0,$H689*설정!$C$23)</f>
        <v/>
      </c>
      <c r="Q689" s="39">
        <f>IF($A689="","",IF(O689&lt;&gt;원인분석!$C$9,"",IF(AND(M689&gt;=원인분석!$C$10,M689&lt;=원인분석!$C$11),"당기",IF(AND(M689&gt;=원인분석!$C$12,M689&lt;=원인분석!$C$13),"비교",""))))</f>
        <v/>
      </c>
      <c r="R689" s="9">
        <f>IF(Q689="","",$K689&amp;"")</f>
        <v/>
      </c>
      <c r="S689" s="9">
        <f>IF(Q689="","",IF(MATCH(R689,$R$5:$R$100000,0)=ROW()-4,ROW(),""))</f>
        <v/>
      </c>
      <c r="T689" s="9">
        <f>IF(Q689="당기",ABS(P689)+ROW()/1000000000,"")</f>
        <v/>
      </c>
      <c r="U689" s="9">
        <f>IF(Q689="비교",ABS(P689)+ROW()/1000000000,"")</f>
        <v/>
      </c>
      <c r="V689" s="39">
        <f>IF($A689="","",IF(COUNTIF(변동분석!$E$7:$E$506,O689)&gt;0,"Y","N"))</f>
        <v/>
      </c>
      <c r="W689" s="39">
        <f>IF($A689="","",IFERROR(INDEX(계정매핑!$D$5:$D$504,MATCH($F689&amp;"",계정매핑!$A$5:$A$504,0)),"미매핑"))</f>
        <v/>
      </c>
      <c r="X689" s="9">
        <f>IF($A689="","",$F689&amp;"")</f>
        <v/>
      </c>
    </row>
    <row r="690">
      <c r="A690" s="75" t="n">
        <v>2025</v>
      </c>
      <c r="B690" s="75" t="n">
        <v>4</v>
      </c>
      <c r="C690" s="75" t="inlineStr">
        <is>
          <t>5100000686</t>
        </is>
      </c>
      <c r="D690" s="78" t="n">
        <v>45761</v>
      </c>
      <c r="E690" s="75" t="inlineStr">
        <is>
          <t>KR</t>
        </is>
      </c>
      <c r="F690" s="75" t="n">
        <v>62102000</v>
      </c>
      <c r="G690" s="75" t="n">
        <v>1101</v>
      </c>
      <c r="H690" s="76" t="n">
        <v>168000</v>
      </c>
      <c r="I690" s="75" t="inlineStr">
        <is>
          <t>4월 해외출장 - M항공</t>
        </is>
      </c>
      <c r="J690" s="75" t="inlineStr">
        <is>
          <t>V10001</t>
        </is>
      </c>
      <c r="K690" s="75" t="inlineStr">
        <is>
          <t>M항공</t>
        </is>
      </c>
      <c r="M690" s="9">
        <f>IF($A690="","",VALUE($A690&amp;"")*12+VALUE($B690&amp;""))</f>
        <v/>
      </c>
      <c r="N690" s="39">
        <f>IF($A690="","",IFERROR(INDEX(부서매핑!$C$5:$C$504,MATCH($G690&amp;"",부서매핑!$A$5:$A$504,0)),"미매핑"))</f>
        <v/>
      </c>
      <c r="O690" s="9">
        <f>IF($A690="","",N690&amp;"|"&amp;$F690)</f>
        <v/>
      </c>
      <c r="P690" s="77">
        <f>IF($A690="",0,$H690*설정!$C$23)</f>
        <v/>
      </c>
      <c r="Q690" s="39">
        <f>IF($A690="","",IF(O690&lt;&gt;원인분석!$C$9,"",IF(AND(M690&gt;=원인분석!$C$10,M690&lt;=원인분석!$C$11),"당기",IF(AND(M690&gt;=원인분석!$C$12,M690&lt;=원인분석!$C$13),"비교",""))))</f>
        <v/>
      </c>
      <c r="R690" s="9">
        <f>IF(Q690="","",$K690&amp;"")</f>
        <v/>
      </c>
      <c r="S690" s="9">
        <f>IF(Q690="","",IF(MATCH(R690,$R$5:$R$100000,0)=ROW()-4,ROW(),""))</f>
        <v/>
      </c>
      <c r="T690" s="9">
        <f>IF(Q690="당기",ABS(P690)+ROW()/1000000000,"")</f>
        <v/>
      </c>
      <c r="U690" s="9">
        <f>IF(Q690="비교",ABS(P690)+ROW()/1000000000,"")</f>
        <v/>
      </c>
      <c r="V690" s="39">
        <f>IF($A690="","",IF(COUNTIF(변동분석!$E$7:$E$506,O690)&gt;0,"Y","N"))</f>
        <v/>
      </c>
      <c r="W690" s="39">
        <f>IF($A690="","",IFERROR(INDEX(계정매핑!$D$5:$D$504,MATCH($F690&amp;"",계정매핑!$A$5:$A$504,0)),"미매핑"))</f>
        <v/>
      </c>
      <c r="X690" s="9">
        <f>IF($A690="","",$F690&amp;"")</f>
        <v/>
      </c>
    </row>
    <row r="691">
      <c r="A691" s="75" t="n">
        <v>2025</v>
      </c>
      <c r="B691" s="75" t="n">
        <v>4</v>
      </c>
      <c r="C691" s="75" t="inlineStr">
        <is>
          <t>5100000687</t>
        </is>
      </c>
      <c r="D691" s="78" t="n">
        <v>45761</v>
      </c>
      <c r="E691" s="75" t="inlineStr">
        <is>
          <t>KR</t>
        </is>
      </c>
      <c r="F691" s="75" t="n">
        <v>62102000</v>
      </c>
      <c r="G691" s="75" t="n">
        <v>1101</v>
      </c>
      <c r="H691" s="76" t="n">
        <v>109000</v>
      </c>
      <c r="I691" s="75" t="inlineStr">
        <is>
          <t>4월 해외출장 - N호텔</t>
        </is>
      </c>
      <c r="J691" s="75" t="inlineStr">
        <is>
          <t>V10007</t>
        </is>
      </c>
      <c r="K691" s="75" t="inlineStr">
        <is>
          <t>N호텔</t>
        </is>
      </c>
      <c r="M691" s="9">
        <f>IF($A691="","",VALUE($A691&amp;"")*12+VALUE($B691&amp;""))</f>
        <v/>
      </c>
      <c r="N691" s="39">
        <f>IF($A691="","",IFERROR(INDEX(부서매핑!$C$5:$C$504,MATCH($G691&amp;"",부서매핑!$A$5:$A$504,0)),"미매핑"))</f>
        <v/>
      </c>
      <c r="O691" s="9">
        <f>IF($A691="","",N691&amp;"|"&amp;$F691)</f>
        <v/>
      </c>
      <c r="P691" s="77">
        <f>IF($A691="",0,$H691*설정!$C$23)</f>
        <v/>
      </c>
      <c r="Q691" s="39">
        <f>IF($A691="","",IF(O691&lt;&gt;원인분석!$C$9,"",IF(AND(M691&gt;=원인분석!$C$10,M691&lt;=원인분석!$C$11),"당기",IF(AND(M691&gt;=원인분석!$C$12,M691&lt;=원인분석!$C$13),"비교",""))))</f>
        <v/>
      </c>
      <c r="R691" s="9">
        <f>IF(Q691="","",$K691&amp;"")</f>
        <v/>
      </c>
      <c r="S691" s="9">
        <f>IF(Q691="","",IF(MATCH(R691,$R$5:$R$100000,0)=ROW()-4,ROW(),""))</f>
        <v/>
      </c>
      <c r="T691" s="9">
        <f>IF(Q691="당기",ABS(P691)+ROW()/1000000000,"")</f>
        <v/>
      </c>
      <c r="U691" s="9">
        <f>IF(Q691="비교",ABS(P691)+ROW()/1000000000,"")</f>
        <v/>
      </c>
      <c r="V691" s="39">
        <f>IF($A691="","",IF(COUNTIF(변동분석!$E$7:$E$506,O691)&gt;0,"Y","N"))</f>
        <v/>
      </c>
      <c r="W691" s="39">
        <f>IF($A691="","",IFERROR(INDEX(계정매핑!$D$5:$D$504,MATCH($F691&amp;"",계정매핑!$A$5:$A$504,0)),"미매핑"))</f>
        <v/>
      </c>
      <c r="X691" s="9">
        <f>IF($A691="","",$F691&amp;"")</f>
        <v/>
      </c>
    </row>
    <row r="692">
      <c r="A692" s="75" t="n">
        <v>2025</v>
      </c>
      <c r="B692" s="75" t="n">
        <v>4</v>
      </c>
      <c r="C692" s="75" t="inlineStr">
        <is>
          <t>5100000688</t>
        </is>
      </c>
      <c r="D692" s="78" t="n">
        <v>45761</v>
      </c>
      <c r="E692" s="75" t="inlineStr">
        <is>
          <t>KR</t>
        </is>
      </c>
      <c r="F692" s="75" t="n">
        <v>62201000</v>
      </c>
      <c r="G692" s="75" t="n">
        <v>1801</v>
      </c>
      <c r="H692" s="76" t="n">
        <v>4723000</v>
      </c>
      <c r="I692" s="75" t="inlineStr">
        <is>
          <t>4월 통신요금 - O텔레콤</t>
        </is>
      </c>
      <c r="J692" s="75" t="inlineStr">
        <is>
          <t>V10002</t>
        </is>
      </c>
      <c r="K692" s="75" t="inlineStr">
        <is>
          <t>O텔레콤</t>
        </is>
      </c>
      <c r="M692" s="9">
        <f>IF($A692="","",VALUE($A692&amp;"")*12+VALUE($B692&amp;""))</f>
        <v/>
      </c>
      <c r="N692" s="39">
        <f>IF($A692="","",IFERROR(INDEX(부서매핑!$C$5:$C$504,MATCH($G692&amp;"",부서매핑!$A$5:$A$504,0)),"미매핑"))</f>
        <v/>
      </c>
      <c r="O692" s="9">
        <f>IF($A692="","",N692&amp;"|"&amp;$F692)</f>
        <v/>
      </c>
      <c r="P692" s="77">
        <f>IF($A692="",0,$H692*설정!$C$23)</f>
        <v/>
      </c>
      <c r="Q692" s="39">
        <f>IF($A692="","",IF(O692&lt;&gt;원인분석!$C$9,"",IF(AND(M692&gt;=원인분석!$C$10,M692&lt;=원인분석!$C$11),"당기",IF(AND(M692&gt;=원인분석!$C$12,M692&lt;=원인분석!$C$13),"비교",""))))</f>
        <v/>
      </c>
      <c r="R692" s="9">
        <f>IF(Q692="","",$K692&amp;"")</f>
        <v/>
      </c>
      <c r="S692" s="9">
        <f>IF(Q692="","",IF(MATCH(R692,$R$5:$R$100000,0)=ROW()-4,ROW(),""))</f>
        <v/>
      </c>
      <c r="T692" s="9">
        <f>IF(Q692="당기",ABS(P692)+ROW()/1000000000,"")</f>
        <v/>
      </c>
      <c r="U692" s="9">
        <f>IF(Q692="비교",ABS(P692)+ROW()/1000000000,"")</f>
        <v/>
      </c>
      <c r="V692" s="39">
        <f>IF($A692="","",IF(COUNTIF(변동분석!$E$7:$E$506,O692)&gt;0,"Y","N"))</f>
        <v/>
      </c>
      <c r="W692" s="39">
        <f>IF($A692="","",IFERROR(INDEX(계정매핑!$D$5:$D$504,MATCH($F692&amp;"",계정매핑!$A$5:$A$504,0)),"미매핑"))</f>
        <v/>
      </c>
      <c r="X692" s="9">
        <f>IF($A692="","",$F692&amp;"")</f>
        <v/>
      </c>
    </row>
    <row r="693">
      <c r="A693" s="75" t="n">
        <v>2025</v>
      </c>
      <c r="B693" s="75" t="n">
        <v>4</v>
      </c>
      <c r="C693" s="75" t="inlineStr">
        <is>
          <t>5100000689</t>
        </is>
      </c>
      <c r="D693" s="78" t="n">
        <v>45761</v>
      </c>
      <c r="E693" s="75" t="inlineStr">
        <is>
          <t>KR</t>
        </is>
      </c>
      <c r="F693" s="75" t="n">
        <v>62301000</v>
      </c>
      <c r="G693" s="75" t="n">
        <v>1602</v>
      </c>
      <c r="H693" s="76" t="n">
        <v>277000</v>
      </c>
      <c r="I693" s="75" t="inlineStr">
        <is>
          <t>4월 소모품 구입 - R문구</t>
        </is>
      </c>
      <c r="J693" s="75" t="inlineStr">
        <is>
          <t>V10018</t>
        </is>
      </c>
      <c r="K693" s="75" t="inlineStr">
        <is>
          <t>R문구</t>
        </is>
      </c>
      <c r="M693" s="9">
        <f>IF($A693="","",VALUE($A693&amp;"")*12+VALUE($B693&amp;""))</f>
        <v/>
      </c>
      <c r="N693" s="39">
        <f>IF($A693="","",IFERROR(INDEX(부서매핑!$C$5:$C$504,MATCH($G693&amp;"",부서매핑!$A$5:$A$504,0)),"미매핑"))</f>
        <v/>
      </c>
      <c r="O693" s="9">
        <f>IF($A693="","",N693&amp;"|"&amp;$F693)</f>
        <v/>
      </c>
      <c r="P693" s="77">
        <f>IF($A693="",0,$H693*설정!$C$23)</f>
        <v/>
      </c>
      <c r="Q693" s="39">
        <f>IF($A693="","",IF(O693&lt;&gt;원인분석!$C$9,"",IF(AND(M693&gt;=원인분석!$C$10,M693&lt;=원인분석!$C$11),"당기",IF(AND(M693&gt;=원인분석!$C$12,M693&lt;=원인분석!$C$13),"비교",""))))</f>
        <v/>
      </c>
      <c r="R693" s="9">
        <f>IF(Q693="","",$K693&amp;"")</f>
        <v/>
      </c>
      <c r="S693" s="9">
        <f>IF(Q693="","",IF(MATCH(R693,$R$5:$R$100000,0)=ROW()-4,ROW(),""))</f>
        <v/>
      </c>
      <c r="T693" s="9">
        <f>IF(Q693="당기",ABS(P693)+ROW()/1000000000,"")</f>
        <v/>
      </c>
      <c r="U693" s="9">
        <f>IF(Q693="비교",ABS(P693)+ROW()/1000000000,"")</f>
        <v/>
      </c>
      <c r="V693" s="39">
        <f>IF($A693="","",IF(COUNTIF(변동분석!$E$7:$E$506,O693)&gt;0,"Y","N"))</f>
        <v/>
      </c>
      <c r="W693" s="39">
        <f>IF($A693="","",IFERROR(INDEX(계정매핑!$D$5:$D$504,MATCH($F693&amp;"",계정매핑!$A$5:$A$504,0)),"미매핑"))</f>
        <v/>
      </c>
      <c r="X693" s="9">
        <f>IF($A693="","",$F693&amp;"")</f>
        <v/>
      </c>
    </row>
    <row r="694">
      <c r="A694" s="75" t="n">
        <v>2025</v>
      </c>
      <c r="B694" s="75" t="n">
        <v>4</v>
      </c>
      <c r="C694" s="75" t="inlineStr">
        <is>
          <t>5100000690</t>
        </is>
      </c>
      <c r="D694" s="78" t="n">
        <v>45761</v>
      </c>
      <c r="E694" s="75" t="inlineStr">
        <is>
          <t>KR</t>
        </is>
      </c>
      <c r="F694" s="75" t="n">
        <v>62501000</v>
      </c>
      <c r="G694" s="75" t="n">
        <v>1101</v>
      </c>
      <c r="H694" s="76" t="n">
        <v>235000</v>
      </c>
      <c r="I694" s="75" t="inlineStr">
        <is>
          <t>4월 회의 다과 - (법인카드)</t>
        </is>
      </c>
      <c r="J694" s="75" t="inlineStr">
        <is>
          <t>V10008</t>
        </is>
      </c>
      <c r="K694" s="75" t="inlineStr">
        <is>
          <t>(법인카드)</t>
        </is>
      </c>
      <c r="M694" s="9">
        <f>IF($A694="","",VALUE($A694&amp;"")*12+VALUE($B694&amp;""))</f>
        <v/>
      </c>
      <c r="N694" s="39">
        <f>IF($A694="","",IFERROR(INDEX(부서매핑!$C$5:$C$504,MATCH($G694&amp;"",부서매핑!$A$5:$A$504,0)),"미매핑"))</f>
        <v/>
      </c>
      <c r="O694" s="9">
        <f>IF($A694="","",N694&amp;"|"&amp;$F694)</f>
        <v/>
      </c>
      <c r="P694" s="77">
        <f>IF($A694="",0,$H694*설정!$C$23)</f>
        <v/>
      </c>
      <c r="Q694" s="39">
        <f>IF($A694="","",IF(O694&lt;&gt;원인분석!$C$9,"",IF(AND(M694&gt;=원인분석!$C$10,M694&lt;=원인분석!$C$11),"당기",IF(AND(M694&gt;=원인분석!$C$12,M694&lt;=원인분석!$C$13),"비교",""))))</f>
        <v/>
      </c>
      <c r="R694" s="9">
        <f>IF(Q694="","",$K694&amp;"")</f>
        <v/>
      </c>
      <c r="S694" s="9">
        <f>IF(Q694="","",IF(MATCH(R694,$R$5:$R$100000,0)=ROW()-4,ROW(),""))</f>
        <v/>
      </c>
      <c r="T694" s="9">
        <f>IF(Q694="당기",ABS(P694)+ROW()/1000000000,"")</f>
        <v/>
      </c>
      <c r="U694" s="9">
        <f>IF(Q694="비교",ABS(P694)+ROW()/1000000000,"")</f>
        <v/>
      </c>
      <c r="V694" s="39">
        <f>IF($A694="","",IF(COUNTIF(변동분석!$E$7:$E$506,O694)&gt;0,"Y","N"))</f>
        <v/>
      </c>
      <c r="W694" s="39">
        <f>IF($A694="","",IFERROR(INDEX(계정매핑!$D$5:$D$504,MATCH($F694&amp;"",계정매핑!$A$5:$A$504,0)),"미매핑"))</f>
        <v/>
      </c>
      <c r="X694" s="9">
        <f>IF($A694="","",$F694&amp;"")</f>
        <v/>
      </c>
    </row>
    <row r="695">
      <c r="A695" s="75" t="n">
        <v>2025</v>
      </c>
      <c r="B695" s="75" t="n">
        <v>4</v>
      </c>
      <c r="C695" s="75" t="inlineStr">
        <is>
          <t>5100000691</t>
        </is>
      </c>
      <c r="D695" s="78" t="n">
        <v>45761</v>
      </c>
      <c r="E695" s="75" t="inlineStr">
        <is>
          <t>KR</t>
        </is>
      </c>
      <c r="F695" s="75" t="n">
        <v>62601000</v>
      </c>
      <c r="G695" s="75" t="n">
        <v>1502</v>
      </c>
      <c r="H695" s="76" t="n">
        <v>2527000</v>
      </c>
      <c r="I695" s="75" t="inlineStr">
        <is>
          <t>4월 업무추진 - (법인카드)</t>
        </is>
      </c>
      <c r="J695" s="75" t="inlineStr">
        <is>
          <t>V10008</t>
        </is>
      </c>
      <c r="K695" s="75" t="inlineStr">
        <is>
          <t>(법인카드)</t>
        </is>
      </c>
      <c r="M695" s="9">
        <f>IF($A695="","",VALUE($A695&amp;"")*12+VALUE($B695&amp;""))</f>
        <v/>
      </c>
      <c r="N695" s="39">
        <f>IF($A695="","",IFERROR(INDEX(부서매핑!$C$5:$C$504,MATCH($G695&amp;"",부서매핑!$A$5:$A$504,0)),"미매핑"))</f>
        <v/>
      </c>
      <c r="O695" s="9">
        <f>IF($A695="","",N695&amp;"|"&amp;$F695)</f>
        <v/>
      </c>
      <c r="P695" s="77">
        <f>IF($A695="",0,$H695*설정!$C$23)</f>
        <v/>
      </c>
      <c r="Q695" s="39">
        <f>IF($A695="","",IF(O695&lt;&gt;원인분석!$C$9,"",IF(AND(M695&gt;=원인분석!$C$10,M695&lt;=원인분석!$C$11),"당기",IF(AND(M695&gt;=원인분석!$C$12,M695&lt;=원인분석!$C$13),"비교",""))))</f>
        <v/>
      </c>
      <c r="R695" s="9">
        <f>IF(Q695="","",$K695&amp;"")</f>
        <v/>
      </c>
      <c r="S695" s="9">
        <f>IF(Q695="","",IF(MATCH(R695,$R$5:$R$100000,0)=ROW()-4,ROW(),""))</f>
        <v/>
      </c>
      <c r="T695" s="9">
        <f>IF(Q695="당기",ABS(P695)+ROW()/1000000000,"")</f>
        <v/>
      </c>
      <c r="U695" s="9">
        <f>IF(Q695="비교",ABS(P695)+ROW()/1000000000,"")</f>
        <v/>
      </c>
      <c r="V695" s="39">
        <f>IF($A695="","",IF(COUNTIF(변동분석!$E$7:$E$506,O695)&gt;0,"Y","N"))</f>
        <v/>
      </c>
      <c r="W695" s="39">
        <f>IF($A695="","",IFERROR(INDEX(계정매핑!$D$5:$D$504,MATCH($F695&amp;"",계정매핑!$A$5:$A$504,0)),"미매핑"))</f>
        <v/>
      </c>
      <c r="X695" s="9">
        <f>IF($A695="","",$F695&amp;"")</f>
        <v/>
      </c>
    </row>
    <row r="696">
      <c r="A696" s="75" t="n">
        <v>2025</v>
      </c>
      <c r="B696" s="75" t="n">
        <v>4</v>
      </c>
      <c r="C696" s="75" t="inlineStr">
        <is>
          <t>5100000692</t>
        </is>
      </c>
      <c r="D696" s="78" t="n">
        <v>45761</v>
      </c>
      <c r="E696" s="75" t="inlineStr">
        <is>
          <t>KR</t>
        </is>
      </c>
      <c r="F696" s="75" t="n">
        <v>62901000</v>
      </c>
      <c r="G696" s="75" t="n">
        <v>1401</v>
      </c>
      <c r="H696" s="76" t="n">
        <v>7092000</v>
      </c>
      <c r="I696" s="75" t="inlineStr">
        <is>
          <t>4월 자문 수수료 - K회계법인</t>
        </is>
      </c>
      <c r="J696" s="75" t="inlineStr">
        <is>
          <t>V10010</t>
        </is>
      </c>
      <c r="K696" s="75" t="inlineStr">
        <is>
          <t>K회계법인</t>
        </is>
      </c>
      <c r="M696" s="9">
        <f>IF($A696="","",VALUE($A696&amp;"")*12+VALUE($B696&amp;""))</f>
        <v/>
      </c>
      <c r="N696" s="39">
        <f>IF($A696="","",IFERROR(INDEX(부서매핑!$C$5:$C$504,MATCH($G696&amp;"",부서매핑!$A$5:$A$504,0)),"미매핑"))</f>
        <v/>
      </c>
      <c r="O696" s="9">
        <f>IF($A696="","",N696&amp;"|"&amp;$F696)</f>
        <v/>
      </c>
      <c r="P696" s="77">
        <f>IF($A696="",0,$H696*설정!$C$23)</f>
        <v/>
      </c>
      <c r="Q696" s="39">
        <f>IF($A696="","",IF(O696&lt;&gt;원인분석!$C$9,"",IF(AND(M696&gt;=원인분석!$C$10,M696&lt;=원인분석!$C$11),"당기",IF(AND(M696&gt;=원인분석!$C$12,M696&lt;=원인분석!$C$13),"비교",""))))</f>
        <v/>
      </c>
      <c r="R696" s="9">
        <f>IF(Q696="","",$K696&amp;"")</f>
        <v/>
      </c>
      <c r="S696" s="9">
        <f>IF(Q696="","",IF(MATCH(R696,$R$5:$R$100000,0)=ROW()-4,ROW(),""))</f>
        <v/>
      </c>
      <c r="T696" s="9">
        <f>IF(Q696="당기",ABS(P696)+ROW()/1000000000,"")</f>
        <v/>
      </c>
      <c r="U696" s="9">
        <f>IF(Q696="비교",ABS(P696)+ROW()/1000000000,"")</f>
        <v/>
      </c>
      <c r="V696" s="39">
        <f>IF($A696="","",IF(COUNTIF(변동분석!$E$7:$E$506,O696)&gt;0,"Y","N"))</f>
        <v/>
      </c>
      <c r="W696" s="39">
        <f>IF($A696="","",IFERROR(INDEX(계정매핑!$D$5:$D$504,MATCH($F696&amp;"",계정매핑!$A$5:$A$504,0)),"미매핑"))</f>
        <v/>
      </c>
      <c r="X696" s="9">
        <f>IF($A696="","",$F696&amp;"")</f>
        <v/>
      </c>
    </row>
    <row r="697">
      <c r="A697" s="75" t="n">
        <v>2025</v>
      </c>
      <c r="B697" s="75" t="n">
        <v>4</v>
      </c>
      <c r="C697" s="75" t="inlineStr">
        <is>
          <t>5100000693</t>
        </is>
      </c>
      <c r="D697" s="78" t="n">
        <v>45761</v>
      </c>
      <c r="E697" s="75" t="inlineStr">
        <is>
          <t>KR</t>
        </is>
      </c>
      <c r="F697" s="75" t="n">
        <v>62902000</v>
      </c>
      <c r="G697" s="75" t="n">
        <v>1101</v>
      </c>
      <c r="H697" s="76" t="n">
        <v>2115000</v>
      </c>
      <c r="I697" s="75" t="inlineStr">
        <is>
          <t>4월 업무 위탁 수수료 - X서비스</t>
        </is>
      </c>
      <c r="J697" s="75" t="inlineStr">
        <is>
          <t>V10016</t>
        </is>
      </c>
      <c r="K697" s="75" t="inlineStr">
        <is>
          <t>X서비스</t>
        </is>
      </c>
      <c r="M697" s="9">
        <f>IF($A697="","",VALUE($A697&amp;"")*12+VALUE($B697&amp;""))</f>
        <v/>
      </c>
      <c r="N697" s="39">
        <f>IF($A697="","",IFERROR(INDEX(부서매핑!$C$5:$C$504,MATCH($G697&amp;"",부서매핑!$A$5:$A$504,0)),"미매핑"))</f>
        <v/>
      </c>
      <c r="O697" s="9">
        <f>IF($A697="","",N697&amp;"|"&amp;$F697)</f>
        <v/>
      </c>
      <c r="P697" s="77">
        <f>IF($A697="",0,$H697*설정!$C$23)</f>
        <v/>
      </c>
      <c r="Q697" s="39">
        <f>IF($A697="","",IF(O697&lt;&gt;원인분석!$C$9,"",IF(AND(M697&gt;=원인분석!$C$10,M697&lt;=원인분석!$C$11),"당기",IF(AND(M697&gt;=원인분석!$C$12,M697&lt;=원인분석!$C$13),"비교",""))))</f>
        <v/>
      </c>
      <c r="R697" s="9">
        <f>IF(Q697="","",$K697&amp;"")</f>
        <v/>
      </c>
      <c r="S697" s="9">
        <f>IF(Q697="","",IF(MATCH(R697,$R$5:$R$100000,0)=ROW()-4,ROW(),""))</f>
        <v/>
      </c>
      <c r="T697" s="9">
        <f>IF(Q697="당기",ABS(P697)+ROW()/1000000000,"")</f>
        <v/>
      </c>
      <c r="U697" s="9">
        <f>IF(Q697="비교",ABS(P697)+ROW()/1000000000,"")</f>
        <v/>
      </c>
      <c r="V697" s="39">
        <f>IF($A697="","",IF(COUNTIF(변동분석!$E$7:$E$506,O697)&gt;0,"Y","N"))</f>
        <v/>
      </c>
      <c r="W697" s="39">
        <f>IF($A697="","",IFERROR(INDEX(계정매핑!$D$5:$D$504,MATCH($F697&amp;"",계정매핑!$A$5:$A$504,0)),"미매핑"))</f>
        <v/>
      </c>
      <c r="X697" s="9">
        <f>IF($A697="","",$F697&amp;"")</f>
        <v/>
      </c>
    </row>
    <row r="698">
      <c r="A698" s="75" t="n">
        <v>2025</v>
      </c>
      <c r="B698" s="75" t="n">
        <v>4</v>
      </c>
      <c r="C698" s="75" t="inlineStr">
        <is>
          <t>5100000694</t>
        </is>
      </c>
      <c r="D698" s="78" t="n">
        <v>45762</v>
      </c>
      <c r="E698" s="75" t="inlineStr">
        <is>
          <t>KR</t>
        </is>
      </c>
      <c r="F698" s="75" t="n">
        <v>62101000</v>
      </c>
      <c r="G698" s="75" t="n">
        <v>1401</v>
      </c>
      <c r="H698" s="76" t="n">
        <v>506000</v>
      </c>
      <c r="I698" s="75" t="inlineStr">
        <is>
          <t>4월 국내출장 - L여행사</t>
        </is>
      </c>
      <c r="J698" s="75" t="inlineStr">
        <is>
          <t>V10014</t>
        </is>
      </c>
      <c r="K698" s="75" t="inlineStr">
        <is>
          <t>L여행사</t>
        </is>
      </c>
      <c r="M698" s="9">
        <f>IF($A698="","",VALUE($A698&amp;"")*12+VALUE($B698&amp;""))</f>
        <v/>
      </c>
      <c r="N698" s="39">
        <f>IF($A698="","",IFERROR(INDEX(부서매핑!$C$5:$C$504,MATCH($G698&amp;"",부서매핑!$A$5:$A$504,0)),"미매핑"))</f>
        <v/>
      </c>
      <c r="O698" s="9">
        <f>IF($A698="","",N698&amp;"|"&amp;$F698)</f>
        <v/>
      </c>
      <c r="P698" s="77">
        <f>IF($A698="",0,$H698*설정!$C$23)</f>
        <v/>
      </c>
      <c r="Q698" s="39">
        <f>IF($A698="","",IF(O698&lt;&gt;원인분석!$C$9,"",IF(AND(M698&gt;=원인분석!$C$10,M698&lt;=원인분석!$C$11),"당기",IF(AND(M698&gt;=원인분석!$C$12,M698&lt;=원인분석!$C$13),"비교",""))))</f>
        <v/>
      </c>
      <c r="R698" s="9">
        <f>IF(Q698="","",$K698&amp;"")</f>
        <v/>
      </c>
      <c r="S698" s="9">
        <f>IF(Q698="","",IF(MATCH(R698,$R$5:$R$100000,0)=ROW()-4,ROW(),""))</f>
        <v/>
      </c>
      <c r="T698" s="9">
        <f>IF(Q698="당기",ABS(P698)+ROW()/1000000000,"")</f>
        <v/>
      </c>
      <c r="U698" s="9">
        <f>IF(Q698="비교",ABS(P698)+ROW()/1000000000,"")</f>
        <v/>
      </c>
      <c r="V698" s="39">
        <f>IF($A698="","",IF(COUNTIF(변동분석!$E$7:$E$506,O698)&gt;0,"Y","N"))</f>
        <v/>
      </c>
      <c r="W698" s="39">
        <f>IF($A698="","",IFERROR(INDEX(계정매핑!$D$5:$D$504,MATCH($F698&amp;"",계정매핑!$A$5:$A$504,0)),"미매핑"))</f>
        <v/>
      </c>
      <c r="X698" s="9">
        <f>IF($A698="","",$F698&amp;"")</f>
        <v/>
      </c>
    </row>
    <row r="699">
      <c r="A699" s="75" t="n">
        <v>2025</v>
      </c>
      <c r="B699" s="75" t="n">
        <v>4</v>
      </c>
      <c r="C699" s="75" t="inlineStr">
        <is>
          <t>5100000695</t>
        </is>
      </c>
      <c r="D699" s="78" t="n">
        <v>45762</v>
      </c>
      <c r="E699" s="75" t="inlineStr">
        <is>
          <t>KR</t>
        </is>
      </c>
      <c r="F699" s="75" t="n">
        <v>62101000</v>
      </c>
      <c r="G699" s="75" t="n">
        <v>1601</v>
      </c>
      <c r="H699" s="76" t="n">
        <v>1518000</v>
      </c>
      <c r="I699" s="75" t="inlineStr">
        <is>
          <t>4월 국내출장 - (법인카드)</t>
        </is>
      </c>
      <c r="J699" s="75" t="inlineStr">
        <is>
          <t>V10008</t>
        </is>
      </c>
      <c r="K699" s="75" t="inlineStr">
        <is>
          <t>(법인카드)</t>
        </is>
      </c>
      <c r="M699" s="9">
        <f>IF($A699="","",VALUE($A699&amp;"")*12+VALUE($B699&amp;""))</f>
        <v/>
      </c>
      <c r="N699" s="39">
        <f>IF($A699="","",IFERROR(INDEX(부서매핑!$C$5:$C$504,MATCH($G699&amp;"",부서매핑!$A$5:$A$504,0)),"미매핑"))</f>
        <v/>
      </c>
      <c r="O699" s="9">
        <f>IF($A699="","",N699&amp;"|"&amp;$F699)</f>
        <v/>
      </c>
      <c r="P699" s="77">
        <f>IF($A699="",0,$H699*설정!$C$23)</f>
        <v/>
      </c>
      <c r="Q699" s="39">
        <f>IF($A699="","",IF(O699&lt;&gt;원인분석!$C$9,"",IF(AND(M699&gt;=원인분석!$C$10,M699&lt;=원인분석!$C$11),"당기",IF(AND(M699&gt;=원인분석!$C$12,M699&lt;=원인분석!$C$13),"비교",""))))</f>
        <v/>
      </c>
      <c r="R699" s="9">
        <f>IF(Q699="","",$K699&amp;"")</f>
        <v/>
      </c>
      <c r="S699" s="9">
        <f>IF(Q699="","",IF(MATCH(R699,$R$5:$R$100000,0)=ROW()-4,ROW(),""))</f>
        <v/>
      </c>
      <c r="T699" s="9">
        <f>IF(Q699="당기",ABS(P699)+ROW()/1000000000,"")</f>
        <v/>
      </c>
      <c r="U699" s="9">
        <f>IF(Q699="비교",ABS(P699)+ROW()/1000000000,"")</f>
        <v/>
      </c>
      <c r="V699" s="39">
        <f>IF($A699="","",IF(COUNTIF(변동분석!$E$7:$E$506,O699)&gt;0,"Y","N"))</f>
        <v/>
      </c>
      <c r="W699" s="39">
        <f>IF($A699="","",IFERROR(INDEX(계정매핑!$D$5:$D$504,MATCH($F699&amp;"",계정매핑!$A$5:$A$504,0)),"미매핑"))</f>
        <v/>
      </c>
      <c r="X699" s="9">
        <f>IF($A699="","",$F699&amp;"")</f>
        <v/>
      </c>
    </row>
    <row r="700">
      <c r="A700" s="75" t="n">
        <v>2025</v>
      </c>
      <c r="B700" s="75" t="n">
        <v>4</v>
      </c>
      <c r="C700" s="75" t="inlineStr">
        <is>
          <t>5100000696</t>
        </is>
      </c>
      <c r="D700" s="78" t="n">
        <v>45762</v>
      </c>
      <c r="E700" s="75" t="inlineStr">
        <is>
          <t>KR</t>
        </is>
      </c>
      <c r="F700" s="75" t="n">
        <v>62101000</v>
      </c>
      <c r="G700" s="75" t="n">
        <v>1801</v>
      </c>
      <c r="H700" s="76" t="n">
        <v>210000</v>
      </c>
      <c r="I700" s="75" t="inlineStr">
        <is>
          <t>4월 국내출장 - L여행사</t>
        </is>
      </c>
      <c r="J700" s="75" t="inlineStr">
        <is>
          <t>V10014</t>
        </is>
      </c>
      <c r="K700" s="75" t="inlineStr">
        <is>
          <t>L여행사</t>
        </is>
      </c>
      <c r="M700" s="9">
        <f>IF($A700="","",VALUE($A700&amp;"")*12+VALUE($B700&amp;""))</f>
        <v/>
      </c>
      <c r="N700" s="39">
        <f>IF($A700="","",IFERROR(INDEX(부서매핑!$C$5:$C$504,MATCH($G700&amp;"",부서매핑!$A$5:$A$504,0)),"미매핑"))</f>
        <v/>
      </c>
      <c r="O700" s="9">
        <f>IF($A700="","",N700&amp;"|"&amp;$F700)</f>
        <v/>
      </c>
      <c r="P700" s="77">
        <f>IF($A700="",0,$H700*설정!$C$23)</f>
        <v/>
      </c>
      <c r="Q700" s="39">
        <f>IF($A700="","",IF(O700&lt;&gt;원인분석!$C$9,"",IF(AND(M700&gt;=원인분석!$C$10,M700&lt;=원인분석!$C$11),"당기",IF(AND(M700&gt;=원인분석!$C$12,M700&lt;=원인분석!$C$13),"비교",""))))</f>
        <v/>
      </c>
      <c r="R700" s="9">
        <f>IF(Q700="","",$K700&amp;"")</f>
        <v/>
      </c>
      <c r="S700" s="9">
        <f>IF(Q700="","",IF(MATCH(R700,$R$5:$R$100000,0)=ROW()-4,ROW(),""))</f>
        <v/>
      </c>
      <c r="T700" s="9">
        <f>IF(Q700="당기",ABS(P700)+ROW()/1000000000,"")</f>
        <v/>
      </c>
      <c r="U700" s="9">
        <f>IF(Q700="비교",ABS(P700)+ROW()/1000000000,"")</f>
        <v/>
      </c>
      <c r="V700" s="39">
        <f>IF($A700="","",IF(COUNTIF(변동분석!$E$7:$E$506,O700)&gt;0,"Y","N"))</f>
        <v/>
      </c>
      <c r="W700" s="39">
        <f>IF($A700="","",IFERROR(INDEX(계정매핑!$D$5:$D$504,MATCH($F700&amp;"",계정매핑!$A$5:$A$504,0)),"미매핑"))</f>
        <v/>
      </c>
      <c r="X700" s="9">
        <f>IF($A700="","",$F700&amp;"")</f>
        <v/>
      </c>
    </row>
    <row r="701">
      <c r="A701" s="75" t="n">
        <v>2025</v>
      </c>
      <c r="B701" s="75" t="n">
        <v>4</v>
      </c>
      <c r="C701" s="75" t="inlineStr">
        <is>
          <t>5100000697</t>
        </is>
      </c>
      <c r="D701" s="78" t="n">
        <v>45762</v>
      </c>
      <c r="E701" s="75" t="inlineStr">
        <is>
          <t>KR</t>
        </is>
      </c>
      <c r="F701" s="75" t="n">
        <v>62102000</v>
      </c>
      <c r="G701" s="75" t="n">
        <v>1501</v>
      </c>
      <c r="H701" s="76" t="n">
        <v>158000</v>
      </c>
      <c r="I701" s="75" t="inlineStr">
        <is>
          <t>4월 해외출장 - M항공</t>
        </is>
      </c>
      <c r="J701" s="75" t="inlineStr">
        <is>
          <t>V10001</t>
        </is>
      </c>
      <c r="K701" s="75" t="inlineStr">
        <is>
          <t>M항공</t>
        </is>
      </c>
      <c r="M701" s="9">
        <f>IF($A701="","",VALUE($A701&amp;"")*12+VALUE($B701&amp;""))</f>
        <v/>
      </c>
      <c r="N701" s="39">
        <f>IF($A701="","",IFERROR(INDEX(부서매핑!$C$5:$C$504,MATCH($G701&amp;"",부서매핑!$A$5:$A$504,0)),"미매핑"))</f>
        <v/>
      </c>
      <c r="O701" s="9">
        <f>IF($A701="","",N701&amp;"|"&amp;$F701)</f>
        <v/>
      </c>
      <c r="P701" s="77">
        <f>IF($A701="",0,$H701*설정!$C$23)</f>
        <v/>
      </c>
      <c r="Q701" s="39">
        <f>IF($A701="","",IF(O701&lt;&gt;원인분석!$C$9,"",IF(AND(M701&gt;=원인분석!$C$10,M701&lt;=원인분석!$C$11),"당기",IF(AND(M701&gt;=원인분석!$C$12,M701&lt;=원인분석!$C$13),"비교",""))))</f>
        <v/>
      </c>
      <c r="R701" s="9">
        <f>IF(Q701="","",$K701&amp;"")</f>
        <v/>
      </c>
      <c r="S701" s="9">
        <f>IF(Q701="","",IF(MATCH(R701,$R$5:$R$100000,0)=ROW()-4,ROW(),""))</f>
        <v/>
      </c>
      <c r="T701" s="9">
        <f>IF(Q701="당기",ABS(P701)+ROW()/1000000000,"")</f>
        <v/>
      </c>
      <c r="U701" s="9">
        <f>IF(Q701="비교",ABS(P701)+ROW()/1000000000,"")</f>
        <v/>
      </c>
      <c r="V701" s="39">
        <f>IF($A701="","",IF(COUNTIF(변동분석!$E$7:$E$506,O701)&gt;0,"Y","N"))</f>
        <v/>
      </c>
      <c r="W701" s="39">
        <f>IF($A701="","",IFERROR(INDEX(계정매핑!$D$5:$D$504,MATCH($F701&amp;"",계정매핑!$A$5:$A$504,0)),"미매핑"))</f>
        <v/>
      </c>
      <c r="X701" s="9">
        <f>IF($A701="","",$F701&amp;"")</f>
        <v/>
      </c>
    </row>
    <row r="702">
      <c r="A702" s="75" t="n">
        <v>2025</v>
      </c>
      <c r="B702" s="75" t="n">
        <v>4</v>
      </c>
      <c r="C702" s="75" t="inlineStr">
        <is>
          <t>5100000698</t>
        </is>
      </c>
      <c r="D702" s="78" t="n">
        <v>45762</v>
      </c>
      <c r="E702" s="75" t="inlineStr">
        <is>
          <t>KR</t>
        </is>
      </c>
      <c r="F702" s="75" t="n">
        <v>62301000</v>
      </c>
      <c r="G702" s="75" t="n">
        <v>1501</v>
      </c>
      <c r="H702" s="76" t="n">
        <v>220000</v>
      </c>
      <c r="I702" s="75" t="inlineStr">
        <is>
          <t>4월 소모품 구입 - Q오피스</t>
        </is>
      </c>
      <c r="J702" s="75" t="inlineStr">
        <is>
          <t>V10003</t>
        </is>
      </c>
      <c r="K702" s="75" t="inlineStr">
        <is>
          <t>Q오피스</t>
        </is>
      </c>
      <c r="M702" s="9">
        <f>IF($A702="","",VALUE($A702&amp;"")*12+VALUE($B702&amp;""))</f>
        <v/>
      </c>
      <c r="N702" s="39">
        <f>IF($A702="","",IFERROR(INDEX(부서매핑!$C$5:$C$504,MATCH($G702&amp;"",부서매핑!$A$5:$A$504,0)),"미매핑"))</f>
        <v/>
      </c>
      <c r="O702" s="9">
        <f>IF($A702="","",N702&amp;"|"&amp;$F702)</f>
        <v/>
      </c>
      <c r="P702" s="77">
        <f>IF($A702="",0,$H702*설정!$C$23)</f>
        <v/>
      </c>
      <c r="Q702" s="39">
        <f>IF($A702="","",IF(O702&lt;&gt;원인분석!$C$9,"",IF(AND(M702&gt;=원인분석!$C$10,M702&lt;=원인분석!$C$11),"당기",IF(AND(M702&gt;=원인분석!$C$12,M702&lt;=원인분석!$C$13),"비교",""))))</f>
        <v/>
      </c>
      <c r="R702" s="9">
        <f>IF(Q702="","",$K702&amp;"")</f>
        <v/>
      </c>
      <c r="S702" s="9">
        <f>IF(Q702="","",IF(MATCH(R702,$R$5:$R$100000,0)=ROW()-4,ROW(),""))</f>
        <v/>
      </c>
      <c r="T702" s="9">
        <f>IF(Q702="당기",ABS(P702)+ROW()/1000000000,"")</f>
        <v/>
      </c>
      <c r="U702" s="9">
        <f>IF(Q702="비교",ABS(P702)+ROW()/1000000000,"")</f>
        <v/>
      </c>
      <c r="V702" s="39">
        <f>IF($A702="","",IF(COUNTIF(변동분석!$E$7:$E$506,O702)&gt;0,"Y","N"))</f>
        <v/>
      </c>
      <c r="W702" s="39">
        <f>IF($A702="","",IFERROR(INDEX(계정매핑!$D$5:$D$504,MATCH($F702&amp;"",계정매핑!$A$5:$A$504,0)),"미매핑"))</f>
        <v/>
      </c>
      <c r="X702" s="9">
        <f>IF($A702="","",$F702&amp;"")</f>
        <v/>
      </c>
    </row>
    <row r="703">
      <c r="A703" s="75" t="n">
        <v>2025</v>
      </c>
      <c r="B703" s="75" t="n">
        <v>4</v>
      </c>
      <c r="C703" s="75" t="inlineStr">
        <is>
          <t>5100000699</t>
        </is>
      </c>
      <c r="D703" s="78" t="n">
        <v>45762</v>
      </c>
      <c r="E703" s="75" t="inlineStr">
        <is>
          <t>KR</t>
        </is>
      </c>
      <c r="F703" s="75" t="n">
        <v>62501000</v>
      </c>
      <c r="G703" s="75" t="n">
        <v>1201</v>
      </c>
      <c r="H703" s="76" t="n">
        <v>145000</v>
      </c>
      <c r="I703" s="75" t="inlineStr">
        <is>
          <t>4월 회의 다과 - T케이터링</t>
        </is>
      </c>
      <c r="J703" s="75" t="inlineStr">
        <is>
          <t>V10005</t>
        </is>
      </c>
      <c r="K703" s="75" t="inlineStr">
        <is>
          <t>T케이터링</t>
        </is>
      </c>
      <c r="M703" s="9">
        <f>IF($A703="","",VALUE($A703&amp;"")*12+VALUE($B703&amp;""))</f>
        <v/>
      </c>
      <c r="N703" s="39">
        <f>IF($A703="","",IFERROR(INDEX(부서매핑!$C$5:$C$504,MATCH($G703&amp;"",부서매핑!$A$5:$A$504,0)),"미매핑"))</f>
        <v/>
      </c>
      <c r="O703" s="9">
        <f>IF($A703="","",N703&amp;"|"&amp;$F703)</f>
        <v/>
      </c>
      <c r="P703" s="77">
        <f>IF($A703="",0,$H703*설정!$C$23)</f>
        <v/>
      </c>
      <c r="Q703" s="39">
        <f>IF($A703="","",IF(O703&lt;&gt;원인분석!$C$9,"",IF(AND(M703&gt;=원인분석!$C$10,M703&lt;=원인분석!$C$11),"당기",IF(AND(M703&gt;=원인분석!$C$12,M703&lt;=원인분석!$C$13),"비교",""))))</f>
        <v/>
      </c>
      <c r="R703" s="9">
        <f>IF(Q703="","",$K703&amp;"")</f>
        <v/>
      </c>
      <c r="S703" s="9">
        <f>IF(Q703="","",IF(MATCH(R703,$R$5:$R$100000,0)=ROW()-4,ROW(),""))</f>
        <v/>
      </c>
      <c r="T703" s="9">
        <f>IF(Q703="당기",ABS(P703)+ROW()/1000000000,"")</f>
        <v/>
      </c>
      <c r="U703" s="9">
        <f>IF(Q703="비교",ABS(P703)+ROW()/1000000000,"")</f>
        <v/>
      </c>
      <c r="V703" s="39">
        <f>IF($A703="","",IF(COUNTIF(변동분석!$E$7:$E$506,O703)&gt;0,"Y","N"))</f>
        <v/>
      </c>
      <c r="W703" s="39">
        <f>IF($A703="","",IFERROR(INDEX(계정매핑!$D$5:$D$504,MATCH($F703&amp;"",계정매핑!$A$5:$A$504,0)),"미매핑"))</f>
        <v/>
      </c>
      <c r="X703" s="9">
        <f>IF($A703="","",$F703&amp;"")</f>
        <v/>
      </c>
    </row>
    <row r="704">
      <c r="A704" s="75" t="n">
        <v>2025</v>
      </c>
      <c r="B704" s="75" t="n">
        <v>4</v>
      </c>
      <c r="C704" s="75" t="inlineStr">
        <is>
          <t>5100000700</t>
        </is>
      </c>
      <c r="D704" s="78" t="n">
        <v>45762</v>
      </c>
      <c r="E704" s="75" t="inlineStr">
        <is>
          <t>KR</t>
        </is>
      </c>
      <c r="F704" s="75" t="n">
        <v>62901000</v>
      </c>
      <c r="G704" s="75" t="n">
        <v>1101</v>
      </c>
      <c r="H704" s="76" t="n">
        <v>4020000</v>
      </c>
      <c r="I704" s="75" t="inlineStr">
        <is>
          <t>4월 자문 수수료 - W컨설팅</t>
        </is>
      </c>
      <c r="J704" s="75" t="inlineStr">
        <is>
          <t>V10009</t>
        </is>
      </c>
      <c r="K704" s="75" t="inlineStr">
        <is>
          <t>W컨설팅</t>
        </is>
      </c>
      <c r="M704" s="9">
        <f>IF($A704="","",VALUE($A704&amp;"")*12+VALUE($B704&amp;""))</f>
        <v/>
      </c>
      <c r="N704" s="39">
        <f>IF($A704="","",IFERROR(INDEX(부서매핑!$C$5:$C$504,MATCH($G704&amp;"",부서매핑!$A$5:$A$504,0)),"미매핑"))</f>
        <v/>
      </c>
      <c r="O704" s="9">
        <f>IF($A704="","",N704&amp;"|"&amp;$F704)</f>
        <v/>
      </c>
      <c r="P704" s="77">
        <f>IF($A704="",0,$H704*설정!$C$23)</f>
        <v/>
      </c>
      <c r="Q704" s="39">
        <f>IF($A704="","",IF(O704&lt;&gt;원인분석!$C$9,"",IF(AND(M704&gt;=원인분석!$C$10,M704&lt;=원인분석!$C$11),"당기",IF(AND(M704&gt;=원인분석!$C$12,M704&lt;=원인분석!$C$13),"비교",""))))</f>
        <v/>
      </c>
      <c r="R704" s="9">
        <f>IF(Q704="","",$K704&amp;"")</f>
        <v/>
      </c>
      <c r="S704" s="9">
        <f>IF(Q704="","",IF(MATCH(R704,$R$5:$R$100000,0)=ROW()-4,ROW(),""))</f>
        <v/>
      </c>
      <c r="T704" s="9">
        <f>IF(Q704="당기",ABS(P704)+ROW()/1000000000,"")</f>
        <v/>
      </c>
      <c r="U704" s="9">
        <f>IF(Q704="비교",ABS(P704)+ROW()/1000000000,"")</f>
        <v/>
      </c>
      <c r="V704" s="39">
        <f>IF($A704="","",IF(COUNTIF(변동분석!$E$7:$E$506,O704)&gt;0,"Y","N"))</f>
        <v/>
      </c>
      <c r="W704" s="39">
        <f>IF($A704="","",IFERROR(INDEX(계정매핑!$D$5:$D$504,MATCH($F704&amp;"",계정매핑!$A$5:$A$504,0)),"미매핑"))</f>
        <v/>
      </c>
      <c r="X704" s="9">
        <f>IF($A704="","",$F704&amp;"")</f>
        <v/>
      </c>
    </row>
    <row r="705">
      <c r="A705" s="75" t="n">
        <v>2025</v>
      </c>
      <c r="B705" s="75" t="n">
        <v>4</v>
      </c>
      <c r="C705" s="75" t="inlineStr">
        <is>
          <t>5100000701</t>
        </is>
      </c>
      <c r="D705" s="78" t="n">
        <v>45762</v>
      </c>
      <c r="E705" s="75" t="inlineStr">
        <is>
          <t>KR</t>
        </is>
      </c>
      <c r="F705" s="75" t="n">
        <v>62902000</v>
      </c>
      <c r="G705" s="75" t="n">
        <v>1801</v>
      </c>
      <c r="H705" s="76" t="n">
        <v>1837000</v>
      </c>
      <c r="I705" s="75" t="inlineStr">
        <is>
          <t>4월 콜 위탁 수수료(건별)</t>
        </is>
      </c>
      <c r="J705" s="75" t="inlineStr">
        <is>
          <t>V10013</t>
        </is>
      </c>
      <c r="K705" s="75" t="inlineStr">
        <is>
          <t>J콜센터</t>
        </is>
      </c>
      <c r="M705" s="9">
        <f>IF($A705="","",VALUE($A705&amp;"")*12+VALUE($B705&amp;""))</f>
        <v/>
      </c>
      <c r="N705" s="39">
        <f>IF($A705="","",IFERROR(INDEX(부서매핑!$C$5:$C$504,MATCH($G705&amp;"",부서매핑!$A$5:$A$504,0)),"미매핑"))</f>
        <v/>
      </c>
      <c r="O705" s="9">
        <f>IF($A705="","",N705&amp;"|"&amp;$F705)</f>
        <v/>
      </c>
      <c r="P705" s="77">
        <f>IF($A705="",0,$H705*설정!$C$23)</f>
        <v/>
      </c>
      <c r="Q705" s="39">
        <f>IF($A705="","",IF(O705&lt;&gt;원인분석!$C$9,"",IF(AND(M705&gt;=원인분석!$C$10,M705&lt;=원인분석!$C$11),"당기",IF(AND(M705&gt;=원인분석!$C$12,M705&lt;=원인분석!$C$13),"비교",""))))</f>
        <v/>
      </c>
      <c r="R705" s="9">
        <f>IF(Q705="","",$K705&amp;"")</f>
        <v/>
      </c>
      <c r="S705" s="9">
        <f>IF(Q705="","",IF(MATCH(R705,$R$5:$R$100000,0)=ROW()-4,ROW(),""))</f>
        <v/>
      </c>
      <c r="T705" s="9">
        <f>IF(Q705="당기",ABS(P705)+ROW()/1000000000,"")</f>
        <v/>
      </c>
      <c r="U705" s="9">
        <f>IF(Q705="비교",ABS(P705)+ROW()/1000000000,"")</f>
        <v/>
      </c>
      <c r="V705" s="39">
        <f>IF($A705="","",IF(COUNTIF(변동분석!$E$7:$E$506,O705)&gt;0,"Y","N"))</f>
        <v/>
      </c>
      <c r="W705" s="39">
        <f>IF($A705="","",IFERROR(INDEX(계정매핑!$D$5:$D$504,MATCH($F705&amp;"",계정매핑!$A$5:$A$504,0)),"미매핑"))</f>
        <v/>
      </c>
      <c r="X705" s="9">
        <f>IF($A705="","",$F705&amp;"")</f>
        <v/>
      </c>
    </row>
    <row r="706">
      <c r="A706" s="75" t="n">
        <v>2025</v>
      </c>
      <c r="B706" s="75" t="n">
        <v>4</v>
      </c>
      <c r="C706" s="75" t="inlineStr">
        <is>
          <t>5100000702</t>
        </is>
      </c>
      <c r="D706" s="78" t="n">
        <v>45763</v>
      </c>
      <c r="E706" s="75" t="inlineStr">
        <is>
          <t>KR</t>
        </is>
      </c>
      <c r="F706" s="75" t="n">
        <v>62101000</v>
      </c>
      <c r="G706" s="75" t="n">
        <v>1801</v>
      </c>
      <c r="H706" s="76" t="n">
        <v>190000</v>
      </c>
      <c r="I706" s="75" t="inlineStr">
        <is>
          <t>4월 국내출장 - M항공</t>
        </is>
      </c>
      <c r="J706" s="75" t="inlineStr">
        <is>
          <t>V10001</t>
        </is>
      </c>
      <c r="K706" s="75" t="inlineStr">
        <is>
          <t>M항공</t>
        </is>
      </c>
      <c r="M706" s="9">
        <f>IF($A706="","",VALUE($A706&amp;"")*12+VALUE($B706&amp;""))</f>
        <v/>
      </c>
      <c r="N706" s="39">
        <f>IF($A706="","",IFERROR(INDEX(부서매핑!$C$5:$C$504,MATCH($G706&amp;"",부서매핑!$A$5:$A$504,0)),"미매핑"))</f>
        <v/>
      </c>
      <c r="O706" s="9">
        <f>IF($A706="","",N706&amp;"|"&amp;$F706)</f>
        <v/>
      </c>
      <c r="P706" s="77">
        <f>IF($A706="",0,$H706*설정!$C$23)</f>
        <v/>
      </c>
      <c r="Q706" s="39">
        <f>IF($A706="","",IF(O706&lt;&gt;원인분석!$C$9,"",IF(AND(M706&gt;=원인분석!$C$10,M706&lt;=원인분석!$C$11),"당기",IF(AND(M706&gt;=원인분석!$C$12,M706&lt;=원인분석!$C$13),"비교",""))))</f>
        <v/>
      </c>
      <c r="R706" s="9">
        <f>IF(Q706="","",$K706&amp;"")</f>
        <v/>
      </c>
      <c r="S706" s="9">
        <f>IF(Q706="","",IF(MATCH(R706,$R$5:$R$100000,0)=ROW()-4,ROW(),""))</f>
        <v/>
      </c>
      <c r="T706" s="9">
        <f>IF(Q706="당기",ABS(P706)+ROW()/1000000000,"")</f>
        <v/>
      </c>
      <c r="U706" s="9">
        <f>IF(Q706="비교",ABS(P706)+ROW()/1000000000,"")</f>
        <v/>
      </c>
      <c r="V706" s="39">
        <f>IF($A706="","",IF(COUNTIF(변동분석!$E$7:$E$506,O706)&gt;0,"Y","N"))</f>
        <v/>
      </c>
      <c r="W706" s="39">
        <f>IF($A706="","",IFERROR(INDEX(계정매핑!$D$5:$D$504,MATCH($F706&amp;"",계정매핑!$A$5:$A$504,0)),"미매핑"))</f>
        <v/>
      </c>
      <c r="X706" s="9">
        <f>IF($A706="","",$F706&amp;"")</f>
        <v/>
      </c>
    </row>
    <row r="707">
      <c r="A707" s="75" t="n">
        <v>2025</v>
      </c>
      <c r="B707" s="75" t="n">
        <v>4</v>
      </c>
      <c r="C707" s="75" t="inlineStr">
        <is>
          <t>5100000703</t>
        </is>
      </c>
      <c r="D707" s="78" t="n">
        <v>45763</v>
      </c>
      <c r="E707" s="75" t="inlineStr">
        <is>
          <t>KR</t>
        </is>
      </c>
      <c r="F707" s="75" t="n">
        <v>62301000</v>
      </c>
      <c r="G707" s="75" t="n">
        <v>1301</v>
      </c>
      <c r="H707" s="76" t="n">
        <v>263000</v>
      </c>
      <c r="I707" s="75" t="inlineStr">
        <is>
          <t>4월 소모품 구입 - Q오피스</t>
        </is>
      </c>
      <c r="J707" s="75" t="inlineStr">
        <is>
          <t>V10003</t>
        </is>
      </c>
      <c r="K707" s="75" t="inlineStr">
        <is>
          <t>Q오피스</t>
        </is>
      </c>
      <c r="M707" s="9">
        <f>IF($A707="","",VALUE($A707&amp;"")*12+VALUE($B707&amp;""))</f>
        <v/>
      </c>
      <c r="N707" s="39">
        <f>IF($A707="","",IFERROR(INDEX(부서매핑!$C$5:$C$504,MATCH($G707&amp;"",부서매핑!$A$5:$A$504,0)),"미매핑"))</f>
        <v/>
      </c>
      <c r="O707" s="9">
        <f>IF($A707="","",N707&amp;"|"&amp;$F707)</f>
        <v/>
      </c>
      <c r="P707" s="77">
        <f>IF($A707="",0,$H707*설정!$C$23)</f>
        <v/>
      </c>
      <c r="Q707" s="39">
        <f>IF($A707="","",IF(O707&lt;&gt;원인분석!$C$9,"",IF(AND(M707&gt;=원인분석!$C$10,M707&lt;=원인분석!$C$11),"당기",IF(AND(M707&gt;=원인분석!$C$12,M707&lt;=원인분석!$C$13),"비교",""))))</f>
        <v/>
      </c>
      <c r="R707" s="9">
        <f>IF(Q707="","",$K707&amp;"")</f>
        <v/>
      </c>
      <c r="S707" s="9">
        <f>IF(Q707="","",IF(MATCH(R707,$R$5:$R$100000,0)=ROW()-4,ROW(),""))</f>
        <v/>
      </c>
      <c r="T707" s="9">
        <f>IF(Q707="당기",ABS(P707)+ROW()/1000000000,"")</f>
        <v/>
      </c>
      <c r="U707" s="9">
        <f>IF(Q707="비교",ABS(P707)+ROW()/1000000000,"")</f>
        <v/>
      </c>
      <c r="V707" s="39">
        <f>IF($A707="","",IF(COUNTIF(변동분석!$E$7:$E$506,O707)&gt;0,"Y","N"))</f>
        <v/>
      </c>
      <c r="W707" s="39">
        <f>IF($A707="","",IFERROR(INDEX(계정매핑!$D$5:$D$504,MATCH($F707&amp;"",계정매핑!$A$5:$A$504,0)),"미매핑"))</f>
        <v/>
      </c>
      <c r="X707" s="9">
        <f>IF($A707="","",$F707&amp;"")</f>
        <v/>
      </c>
    </row>
    <row r="708">
      <c r="A708" s="75" t="n">
        <v>2025</v>
      </c>
      <c r="B708" s="75" t="n">
        <v>4</v>
      </c>
      <c r="C708" s="75" t="inlineStr">
        <is>
          <t>5100000704</t>
        </is>
      </c>
      <c r="D708" s="78" t="n">
        <v>45763</v>
      </c>
      <c r="E708" s="75" t="inlineStr">
        <is>
          <t>KR</t>
        </is>
      </c>
      <c r="F708" s="75" t="n">
        <v>62501000</v>
      </c>
      <c r="G708" s="75" t="n">
        <v>1401</v>
      </c>
      <c r="H708" s="76" t="n">
        <v>101000</v>
      </c>
      <c r="I708" s="75" t="inlineStr">
        <is>
          <t>4월 회의 다과 - (법인카드)</t>
        </is>
      </c>
      <c r="J708" s="75" t="inlineStr">
        <is>
          <t>V10008</t>
        </is>
      </c>
      <c r="K708" s="75" t="inlineStr">
        <is>
          <t>(법인카드)</t>
        </is>
      </c>
      <c r="M708" s="9">
        <f>IF($A708="","",VALUE($A708&amp;"")*12+VALUE($B708&amp;""))</f>
        <v/>
      </c>
      <c r="N708" s="39">
        <f>IF($A708="","",IFERROR(INDEX(부서매핑!$C$5:$C$504,MATCH($G708&amp;"",부서매핑!$A$5:$A$504,0)),"미매핑"))</f>
        <v/>
      </c>
      <c r="O708" s="9">
        <f>IF($A708="","",N708&amp;"|"&amp;$F708)</f>
        <v/>
      </c>
      <c r="P708" s="77">
        <f>IF($A708="",0,$H708*설정!$C$23)</f>
        <v/>
      </c>
      <c r="Q708" s="39">
        <f>IF($A708="","",IF(O708&lt;&gt;원인분석!$C$9,"",IF(AND(M708&gt;=원인분석!$C$10,M708&lt;=원인분석!$C$11),"당기",IF(AND(M708&gt;=원인분석!$C$12,M708&lt;=원인분석!$C$13),"비교",""))))</f>
        <v/>
      </c>
      <c r="R708" s="9">
        <f>IF(Q708="","",$K708&amp;"")</f>
        <v/>
      </c>
      <c r="S708" s="9">
        <f>IF(Q708="","",IF(MATCH(R708,$R$5:$R$100000,0)=ROW()-4,ROW(),""))</f>
        <v/>
      </c>
      <c r="T708" s="9">
        <f>IF(Q708="당기",ABS(P708)+ROW()/1000000000,"")</f>
        <v/>
      </c>
      <c r="U708" s="9">
        <f>IF(Q708="비교",ABS(P708)+ROW()/1000000000,"")</f>
        <v/>
      </c>
      <c r="V708" s="39">
        <f>IF($A708="","",IF(COUNTIF(변동분석!$E$7:$E$506,O708)&gt;0,"Y","N"))</f>
        <v/>
      </c>
      <c r="W708" s="39">
        <f>IF($A708="","",IFERROR(INDEX(계정매핑!$D$5:$D$504,MATCH($F708&amp;"",계정매핑!$A$5:$A$504,0)),"미매핑"))</f>
        <v/>
      </c>
      <c r="X708" s="9">
        <f>IF($A708="","",$F708&amp;"")</f>
        <v/>
      </c>
    </row>
    <row r="709">
      <c r="A709" s="75" t="n">
        <v>2025</v>
      </c>
      <c r="B709" s="75" t="n">
        <v>4</v>
      </c>
      <c r="C709" s="75" t="inlineStr">
        <is>
          <t>5100000705</t>
        </is>
      </c>
      <c r="D709" s="78" t="n">
        <v>45763</v>
      </c>
      <c r="E709" s="75" t="inlineStr">
        <is>
          <t>KR</t>
        </is>
      </c>
      <c r="F709" s="75" t="n">
        <v>62902000</v>
      </c>
      <c r="G709" s="75" t="n">
        <v>1801</v>
      </c>
      <c r="H709" s="76" t="n">
        <v>1792000</v>
      </c>
      <c r="I709" s="75" t="inlineStr">
        <is>
          <t>4월 콜 위탁 수수료(건별)</t>
        </is>
      </c>
      <c r="J709" s="75" t="inlineStr">
        <is>
          <t>V10013</t>
        </is>
      </c>
      <c r="K709" s="75" t="inlineStr">
        <is>
          <t>J콜센터</t>
        </is>
      </c>
      <c r="M709" s="9">
        <f>IF($A709="","",VALUE($A709&amp;"")*12+VALUE($B709&amp;""))</f>
        <v/>
      </c>
      <c r="N709" s="39">
        <f>IF($A709="","",IFERROR(INDEX(부서매핑!$C$5:$C$504,MATCH($G709&amp;"",부서매핑!$A$5:$A$504,0)),"미매핑"))</f>
        <v/>
      </c>
      <c r="O709" s="9">
        <f>IF($A709="","",N709&amp;"|"&amp;$F709)</f>
        <v/>
      </c>
      <c r="P709" s="77">
        <f>IF($A709="",0,$H709*설정!$C$23)</f>
        <v/>
      </c>
      <c r="Q709" s="39">
        <f>IF($A709="","",IF(O709&lt;&gt;원인분석!$C$9,"",IF(AND(M709&gt;=원인분석!$C$10,M709&lt;=원인분석!$C$11),"당기",IF(AND(M709&gt;=원인분석!$C$12,M709&lt;=원인분석!$C$13),"비교",""))))</f>
        <v/>
      </c>
      <c r="R709" s="9">
        <f>IF(Q709="","",$K709&amp;"")</f>
        <v/>
      </c>
      <c r="S709" s="9">
        <f>IF(Q709="","",IF(MATCH(R709,$R$5:$R$100000,0)=ROW()-4,ROW(),""))</f>
        <v/>
      </c>
      <c r="T709" s="9">
        <f>IF(Q709="당기",ABS(P709)+ROW()/1000000000,"")</f>
        <v/>
      </c>
      <c r="U709" s="9">
        <f>IF(Q709="비교",ABS(P709)+ROW()/1000000000,"")</f>
        <v/>
      </c>
      <c r="V709" s="39">
        <f>IF($A709="","",IF(COUNTIF(변동분석!$E$7:$E$506,O709)&gt;0,"Y","N"))</f>
        <v/>
      </c>
      <c r="W709" s="39">
        <f>IF($A709="","",IFERROR(INDEX(계정매핑!$D$5:$D$504,MATCH($F709&amp;"",계정매핑!$A$5:$A$504,0)),"미매핑"))</f>
        <v/>
      </c>
      <c r="X709" s="9">
        <f>IF($A709="","",$F709&amp;"")</f>
        <v/>
      </c>
    </row>
    <row r="710">
      <c r="A710" s="75" t="n">
        <v>2025</v>
      </c>
      <c r="B710" s="75" t="n">
        <v>4</v>
      </c>
      <c r="C710" s="75" t="inlineStr">
        <is>
          <t>5100000706</t>
        </is>
      </c>
      <c r="D710" s="78" t="n">
        <v>45764</v>
      </c>
      <c r="E710" s="75" t="inlineStr">
        <is>
          <t>KR</t>
        </is>
      </c>
      <c r="F710" s="75" t="n">
        <v>62401000</v>
      </c>
      <c r="G710" s="75" t="n">
        <v>1401</v>
      </c>
      <c r="H710" s="76" t="n">
        <v>331000</v>
      </c>
      <c r="I710" s="75" t="inlineStr">
        <is>
          <t>4월 인쇄물 제작 - S출판</t>
        </is>
      </c>
      <c r="J710" s="75" t="inlineStr">
        <is>
          <t>V10012</t>
        </is>
      </c>
      <c r="K710" s="75" t="inlineStr">
        <is>
          <t>S출판</t>
        </is>
      </c>
      <c r="M710" s="9">
        <f>IF($A710="","",VALUE($A710&amp;"")*12+VALUE($B710&amp;""))</f>
        <v/>
      </c>
      <c r="N710" s="39">
        <f>IF($A710="","",IFERROR(INDEX(부서매핑!$C$5:$C$504,MATCH($G710&amp;"",부서매핑!$A$5:$A$504,0)),"미매핑"))</f>
        <v/>
      </c>
      <c r="O710" s="9">
        <f>IF($A710="","",N710&amp;"|"&amp;$F710)</f>
        <v/>
      </c>
      <c r="P710" s="77">
        <f>IF($A710="",0,$H710*설정!$C$23)</f>
        <v/>
      </c>
      <c r="Q710" s="39">
        <f>IF($A710="","",IF(O710&lt;&gt;원인분석!$C$9,"",IF(AND(M710&gt;=원인분석!$C$10,M710&lt;=원인분석!$C$11),"당기",IF(AND(M710&gt;=원인분석!$C$12,M710&lt;=원인분석!$C$13),"비교",""))))</f>
        <v/>
      </c>
      <c r="R710" s="9">
        <f>IF(Q710="","",$K710&amp;"")</f>
        <v/>
      </c>
      <c r="S710" s="9">
        <f>IF(Q710="","",IF(MATCH(R710,$R$5:$R$100000,0)=ROW()-4,ROW(),""))</f>
        <v/>
      </c>
      <c r="T710" s="9">
        <f>IF(Q710="당기",ABS(P710)+ROW()/1000000000,"")</f>
        <v/>
      </c>
      <c r="U710" s="9">
        <f>IF(Q710="비교",ABS(P710)+ROW()/1000000000,"")</f>
        <v/>
      </c>
      <c r="V710" s="39">
        <f>IF($A710="","",IF(COUNTIF(변동분석!$E$7:$E$506,O710)&gt;0,"Y","N"))</f>
        <v/>
      </c>
      <c r="W710" s="39">
        <f>IF($A710="","",IFERROR(INDEX(계정매핑!$D$5:$D$504,MATCH($F710&amp;"",계정매핑!$A$5:$A$504,0)),"미매핑"))</f>
        <v/>
      </c>
      <c r="X710" s="9">
        <f>IF($A710="","",$F710&amp;"")</f>
        <v/>
      </c>
    </row>
    <row r="711">
      <c r="A711" s="75" t="n">
        <v>2025</v>
      </c>
      <c r="B711" s="75" t="n">
        <v>4</v>
      </c>
      <c r="C711" s="75" t="inlineStr">
        <is>
          <t>5100000707</t>
        </is>
      </c>
      <c r="D711" s="78" t="n">
        <v>45764</v>
      </c>
      <c r="E711" s="75" t="inlineStr">
        <is>
          <t>KR</t>
        </is>
      </c>
      <c r="F711" s="75" t="n">
        <v>62501000</v>
      </c>
      <c r="G711" s="75" t="n">
        <v>1101</v>
      </c>
      <c r="H711" s="76" t="n">
        <v>144000</v>
      </c>
      <c r="I711" s="75" t="inlineStr">
        <is>
          <t>4월 회의 다과 - T케이터링</t>
        </is>
      </c>
      <c r="J711" s="75" t="inlineStr">
        <is>
          <t>V10005</t>
        </is>
      </c>
      <c r="K711" s="75" t="inlineStr">
        <is>
          <t>T케이터링</t>
        </is>
      </c>
      <c r="M711" s="9">
        <f>IF($A711="","",VALUE($A711&amp;"")*12+VALUE($B711&amp;""))</f>
        <v/>
      </c>
      <c r="N711" s="39">
        <f>IF($A711="","",IFERROR(INDEX(부서매핑!$C$5:$C$504,MATCH($G711&amp;"",부서매핑!$A$5:$A$504,0)),"미매핑"))</f>
        <v/>
      </c>
      <c r="O711" s="9">
        <f>IF($A711="","",N711&amp;"|"&amp;$F711)</f>
        <v/>
      </c>
      <c r="P711" s="77">
        <f>IF($A711="",0,$H711*설정!$C$23)</f>
        <v/>
      </c>
      <c r="Q711" s="39">
        <f>IF($A711="","",IF(O711&lt;&gt;원인분석!$C$9,"",IF(AND(M711&gt;=원인분석!$C$10,M711&lt;=원인분석!$C$11),"당기",IF(AND(M711&gt;=원인분석!$C$12,M711&lt;=원인분석!$C$13),"비교",""))))</f>
        <v/>
      </c>
      <c r="R711" s="9">
        <f>IF(Q711="","",$K711&amp;"")</f>
        <v/>
      </c>
      <c r="S711" s="9">
        <f>IF(Q711="","",IF(MATCH(R711,$R$5:$R$100000,0)=ROW()-4,ROW(),""))</f>
        <v/>
      </c>
      <c r="T711" s="9">
        <f>IF(Q711="당기",ABS(P711)+ROW()/1000000000,"")</f>
        <v/>
      </c>
      <c r="U711" s="9">
        <f>IF(Q711="비교",ABS(P711)+ROW()/1000000000,"")</f>
        <v/>
      </c>
      <c r="V711" s="39">
        <f>IF($A711="","",IF(COUNTIF(변동분석!$E$7:$E$506,O711)&gt;0,"Y","N"))</f>
        <v/>
      </c>
      <c r="W711" s="39">
        <f>IF($A711="","",IFERROR(INDEX(계정매핑!$D$5:$D$504,MATCH($F711&amp;"",계정매핑!$A$5:$A$504,0)),"미매핑"))</f>
        <v/>
      </c>
      <c r="X711" s="9">
        <f>IF($A711="","",$F711&amp;"")</f>
        <v/>
      </c>
    </row>
    <row r="712">
      <c r="A712" s="75" t="n">
        <v>2025</v>
      </c>
      <c r="B712" s="75" t="n">
        <v>4</v>
      </c>
      <c r="C712" s="75" t="inlineStr">
        <is>
          <t>5100000708</t>
        </is>
      </c>
      <c r="D712" s="78" t="n">
        <v>45764</v>
      </c>
      <c r="E712" s="75" t="inlineStr">
        <is>
          <t>KR</t>
        </is>
      </c>
      <c r="F712" s="75" t="n">
        <v>62802000</v>
      </c>
      <c r="G712" s="75" t="n">
        <v>1301</v>
      </c>
      <c r="H712" s="76" t="n">
        <v>4430000</v>
      </c>
      <c r="I712" s="75" t="inlineStr">
        <is>
          <t>4월 위탁교육 - V아카데미</t>
        </is>
      </c>
      <c r="J712" s="75" t="inlineStr">
        <is>
          <t>V10023</t>
        </is>
      </c>
      <c r="K712" s="75" t="inlineStr">
        <is>
          <t>V아카데미</t>
        </is>
      </c>
      <c r="M712" s="9">
        <f>IF($A712="","",VALUE($A712&amp;"")*12+VALUE($B712&amp;""))</f>
        <v/>
      </c>
      <c r="N712" s="39">
        <f>IF($A712="","",IFERROR(INDEX(부서매핑!$C$5:$C$504,MATCH($G712&amp;"",부서매핑!$A$5:$A$504,0)),"미매핑"))</f>
        <v/>
      </c>
      <c r="O712" s="9">
        <f>IF($A712="","",N712&amp;"|"&amp;$F712)</f>
        <v/>
      </c>
      <c r="P712" s="77">
        <f>IF($A712="",0,$H712*설정!$C$23)</f>
        <v/>
      </c>
      <c r="Q712" s="39">
        <f>IF($A712="","",IF(O712&lt;&gt;원인분석!$C$9,"",IF(AND(M712&gt;=원인분석!$C$10,M712&lt;=원인분석!$C$11),"당기",IF(AND(M712&gt;=원인분석!$C$12,M712&lt;=원인분석!$C$13),"비교",""))))</f>
        <v/>
      </c>
      <c r="R712" s="9">
        <f>IF(Q712="","",$K712&amp;"")</f>
        <v/>
      </c>
      <c r="S712" s="9">
        <f>IF(Q712="","",IF(MATCH(R712,$R$5:$R$100000,0)=ROW()-4,ROW(),""))</f>
        <v/>
      </c>
      <c r="T712" s="9">
        <f>IF(Q712="당기",ABS(P712)+ROW()/1000000000,"")</f>
        <v/>
      </c>
      <c r="U712" s="9">
        <f>IF(Q712="비교",ABS(P712)+ROW()/1000000000,"")</f>
        <v/>
      </c>
      <c r="V712" s="39">
        <f>IF($A712="","",IF(COUNTIF(변동분석!$E$7:$E$506,O712)&gt;0,"Y","N"))</f>
        <v/>
      </c>
      <c r="W712" s="39">
        <f>IF($A712="","",IFERROR(INDEX(계정매핑!$D$5:$D$504,MATCH($F712&amp;"",계정매핑!$A$5:$A$504,0)),"미매핑"))</f>
        <v/>
      </c>
      <c r="X712" s="9">
        <f>IF($A712="","",$F712&amp;"")</f>
        <v/>
      </c>
    </row>
    <row r="713">
      <c r="A713" s="75" t="n">
        <v>2025</v>
      </c>
      <c r="B713" s="75" t="n">
        <v>4</v>
      </c>
      <c r="C713" s="75" t="inlineStr">
        <is>
          <t>5100000709</t>
        </is>
      </c>
      <c r="D713" s="78" t="n">
        <v>45764</v>
      </c>
      <c r="E713" s="75" t="inlineStr">
        <is>
          <t>KR</t>
        </is>
      </c>
      <c r="F713" s="75" t="n">
        <v>63101000</v>
      </c>
      <c r="G713" s="75" t="n">
        <v>1601</v>
      </c>
      <c r="H713" s="76" t="n">
        <v>4384000</v>
      </c>
      <c r="I713" s="75" t="inlineStr">
        <is>
          <t>4월 사무실 임차료 - BB부동산</t>
        </is>
      </c>
      <c r="J713" s="75" t="inlineStr">
        <is>
          <t>V10024</t>
        </is>
      </c>
      <c r="K713" s="75" t="inlineStr">
        <is>
          <t>BB부동산</t>
        </is>
      </c>
      <c r="M713" s="9">
        <f>IF($A713="","",VALUE($A713&amp;"")*12+VALUE($B713&amp;""))</f>
        <v/>
      </c>
      <c r="N713" s="39">
        <f>IF($A713="","",IFERROR(INDEX(부서매핑!$C$5:$C$504,MATCH($G713&amp;"",부서매핑!$A$5:$A$504,0)),"미매핑"))</f>
        <v/>
      </c>
      <c r="O713" s="9">
        <f>IF($A713="","",N713&amp;"|"&amp;$F713)</f>
        <v/>
      </c>
      <c r="P713" s="77">
        <f>IF($A713="",0,$H713*설정!$C$23)</f>
        <v/>
      </c>
      <c r="Q713" s="39">
        <f>IF($A713="","",IF(O713&lt;&gt;원인분석!$C$9,"",IF(AND(M713&gt;=원인분석!$C$10,M713&lt;=원인분석!$C$11),"당기",IF(AND(M713&gt;=원인분석!$C$12,M713&lt;=원인분석!$C$13),"비교",""))))</f>
        <v/>
      </c>
      <c r="R713" s="9">
        <f>IF(Q713="","",$K713&amp;"")</f>
        <v/>
      </c>
      <c r="S713" s="9">
        <f>IF(Q713="","",IF(MATCH(R713,$R$5:$R$100000,0)=ROW()-4,ROW(),""))</f>
        <v/>
      </c>
      <c r="T713" s="9">
        <f>IF(Q713="당기",ABS(P713)+ROW()/1000000000,"")</f>
        <v/>
      </c>
      <c r="U713" s="9">
        <f>IF(Q713="비교",ABS(P713)+ROW()/1000000000,"")</f>
        <v/>
      </c>
      <c r="V713" s="39">
        <f>IF($A713="","",IF(COUNTIF(변동분석!$E$7:$E$506,O713)&gt;0,"Y","N"))</f>
        <v/>
      </c>
      <c r="W713" s="39">
        <f>IF($A713="","",IFERROR(INDEX(계정매핑!$D$5:$D$504,MATCH($F713&amp;"",계정매핑!$A$5:$A$504,0)),"미매핑"))</f>
        <v/>
      </c>
      <c r="X713" s="9">
        <f>IF($A713="","",$F713&amp;"")</f>
        <v/>
      </c>
    </row>
    <row r="714">
      <c r="A714" s="75" t="n">
        <v>2025</v>
      </c>
      <c r="B714" s="75" t="n">
        <v>4</v>
      </c>
      <c r="C714" s="75" t="inlineStr">
        <is>
          <t>5100000710</t>
        </is>
      </c>
      <c r="D714" s="78" t="n">
        <v>45765</v>
      </c>
      <c r="E714" s="75" t="inlineStr">
        <is>
          <t>KR</t>
        </is>
      </c>
      <c r="F714" s="75" t="n">
        <v>62101000</v>
      </c>
      <c r="G714" s="75" t="n">
        <v>1201</v>
      </c>
      <c r="H714" s="76" t="n">
        <v>321000</v>
      </c>
      <c r="I714" s="75" t="inlineStr">
        <is>
          <t>4월 국내출장 - M항공</t>
        </is>
      </c>
      <c r="J714" s="75" t="inlineStr">
        <is>
          <t>V10001</t>
        </is>
      </c>
      <c r="K714" s="75" t="inlineStr">
        <is>
          <t>M항공</t>
        </is>
      </c>
      <c r="M714" s="9">
        <f>IF($A714="","",VALUE($A714&amp;"")*12+VALUE($B714&amp;""))</f>
        <v/>
      </c>
      <c r="N714" s="39">
        <f>IF($A714="","",IFERROR(INDEX(부서매핑!$C$5:$C$504,MATCH($G714&amp;"",부서매핑!$A$5:$A$504,0)),"미매핑"))</f>
        <v/>
      </c>
      <c r="O714" s="9">
        <f>IF($A714="","",N714&amp;"|"&amp;$F714)</f>
        <v/>
      </c>
      <c r="P714" s="77">
        <f>IF($A714="",0,$H714*설정!$C$23)</f>
        <v/>
      </c>
      <c r="Q714" s="39">
        <f>IF($A714="","",IF(O714&lt;&gt;원인분석!$C$9,"",IF(AND(M714&gt;=원인분석!$C$10,M714&lt;=원인분석!$C$11),"당기",IF(AND(M714&gt;=원인분석!$C$12,M714&lt;=원인분석!$C$13),"비교",""))))</f>
        <v/>
      </c>
      <c r="R714" s="9">
        <f>IF(Q714="","",$K714&amp;"")</f>
        <v/>
      </c>
      <c r="S714" s="9">
        <f>IF(Q714="","",IF(MATCH(R714,$R$5:$R$100000,0)=ROW()-4,ROW(),""))</f>
        <v/>
      </c>
      <c r="T714" s="9">
        <f>IF(Q714="당기",ABS(P714)+ROW()/1000000000,"")</f>
        <v/>
      </c>
      <c r="U714" s="9">
        <f>IF(Q714="비교",ABS(P714)+ROW()/1000000000,"")</f>
        <v/>
      </c>
      <c r="V714" s="39">
        <f>IF($A714="","",IF(COUNTIF(변동분석!$E$7:$E$506,O714)&gt;0,"Y","N"))</f>
        <v/>
      </c>
      <c r="W714" s="39">
        <f>IF($A714="","",IFERROR(INDEX(계정매핑!$D$5:$D$504,MATCH($F714&amp;"",계정매핑!$A$5:$A$504,0)),"미매핑"))</f>
        <v/>
      </c>
      <c r="X714" s="9">
        <f>IF($A714="","",$F714&amp;"")</f>
        <v/>
      </c>
    </row>
    <row r="715">
      <c r="A715" s="75" t="n">
        <v>2025</v>
      </c>
      <c r="B715" s="75" t="n">
        <v>4</v>
      </c>
      <c r="C715" s="75" t="inlineStr">
        <is>
          <t>5100000711</t>
        </is>
      </c>
      <c r="D715" s="78" t="n">
        <v>45765</v>
      </c>
      <c r="E715" s="75" t="inlineStr">
        <is>
          <t>KR</t>
        </is>
      </c>
      <c r="F715" s="75" t="n">
        <v>62102000</v>
      </c>
      <c r="G715" s="75" t="n">
        <v>1701</v>
      </c>
      <c r="H715" s="76" t="n">
        <v>37000</v>
      </c>
      <c r="I715" s="75" t="inlineStr">
        <is>
          <t>4월 해외출장 - M항공</t>
        </is>
      </c>
      <c r="J715" s="75" t="inlineStr">
        <is>
          <t>V10001</t>
        </is>
      </c>
      <c r="K715" s="75" t="inlineStr">
        <is>
          <t>M항공</t>
        </is>
      </c>
      <c r="M715" s="9">
        <f>IF($A715="","",VALUE($A715&amp;"")*12+VALUE($B715&amp;""))</f>
        <v/>
      </c>
      <c r="N715" s="39">
        <f>IF($A715="","",IFERROR(INDEX(부서매핑!$C$5:$C$504,MATCH($G715&amp;"",부서매핑!$A$5:$A$504,0)),"미매핑"))</f>
        <v/>
      </c>
      <c r="O715" s="9">
        <f>IF($A715="","",N715&amp;"|"&amp;$F715)</f>
        <v/>
      </c>
      <c r="P715" s="77">
        <f>IF($A715="",0,$H715*설정!$C$23)</f>
        <v/>
      </c>
      <c r="Q715" s="39">
        <f>IF($A715="","",IF(O715&lt;&gt;원인분석!$C$9,"",IF(AND(M715&gt;=원인분석!$C$10,M715&lt;=원인분석!$C$11),"당기",IF(AND(M715&gt;=원인분석!$C$12,M715&lt;=원인분석!$C$13),"비교",""))))</f>
        <v/>
      </c>
      <c r="R715" s="9">
        <f>IF(Q715="","",$K715&amp;"")</f>
        <v/>
      </c>
      <c r="S715" s="9">
        <f>IF(Q715="","",IF(MATCH(R715,$R$5:$R$100000,0)=ROW()-4,ROW(),""))</f>
        <v/>
      </c>
      <c r="T715" s="9">
        <f>IF(Q715="당기",ABS(P715)+ROW()/1000000000,"")</f>
        <v/>
      </c>
      <c r="U715" s="9">
        <f>IF(Q715="비교",ABS(P715)+ROW()/1000000000,"")</f>
        <v/>
      </c>
      <c r="V715" s="39">
        <f>IF($A715="","",IF(COUNTIF(변동분석!$E$7:$E$506,O715)&gt;0,"Y","N"))</f>
        <v/>
      </c>
      <c r="W715" s="39">
        <f>IF($A715="","",IFERROR(INDEX(계정매핑!$D$5:$D$504,MATCH($F715&amp;"",계정매핑!$A$5:$A$504,0)),"미매핑"))</f>
        <v/>
      </c>
      <c r="X715" s="9">
        <f>IF($A715="","",$F715&amp;"")</f>
        <v/>
      </c>
    </row>
    <row r="716">
      <c r="A716" s="75" t="n">
        <v>2025</v>
      </c>
      <c r="B716" s="75" t="n">
        <v>4</v>
      </c>
      <c r="C716" s="75" t="inlineStr">
        <is>
          <t>5100000712</t>
        </is>
      </c>
      <c r="D716" s="78" t="n">
        <v>45765</v>
      </c>
      <c r="E716" s="75" t="inlineStr">
        <is>
          <t>KR</t>
        </is>
      </c>
      <c r="F716" s="75" t="n">
        <v>62501000</v>
      </c>
      <c r="G716" s="75" t="n">
        <v>1101</v>
      </c>
      <c r="H716" s="76" t="n">
        <v>230000</v>
      </c>
      <c r="I716" s="75" t="inlineStr">
        <is>
          <t>4월 회의 다과 - T케이터링</t>
        </is>
      </c>
      <c r="J716" s="75" t="inlineStr">
        <is>
          <t>V10005</t>
        </is>
      </c>
      <c r="K716" s="75" t="inlineStr">
        <is>
          <t>T케이터링</t>
        </is>
      </c>
      <c r="M716" s="9">
        <f>IF($A716="","",VALUE($A716&amp;"")*12+VALUE($B716&amp;""))</f>
        <v/>
      </c>
      <c r="N716" s="39">
        <f>IF($A716="","",IFERROR(INDEX(부서매핑!$C$5:$C$504,MATCH($G716&amp;"",부서매핑!$A$5:$A$504,0)),"미매핑"))</f>
        <v/>
      </c>
      <c r="O716" s="9">
        <f>IF($A716="","",N716&amp;"|"&amp;$F716)</f>
        <v/>
      </c>
      <c r="P716" s="77">
        <f>IF($A716="",0,$H716*설정!$C$23)</f>
        <v/>
      </c>
      <c r="Q716" s="39">
        <f>IF($A716="","",IF(O716&lt;&gt;원인분석!$C$9,"",IF(AND(M716&gt;=원인분석!$C$10,M716&lt;=원인분석!$C$11),"당기",IF(AND(M716&gt;=원인분석!$C$12,M716&lt;=원인분석!$C$13),"비교",""))))</f>
        <v/>
      </c>
      <c r="R716" s="9">
        <f>IF(Q716="","",$K716&amp;"")</f>
        <v/>
      </c>
      <c r="S716" s="9">
        <f>IF(Q716="","",IF(MATCH(R716,$R$5:$R$100000,0)=ROW()-4,ROW(),""))</f>
        <v/>
      </c>
      <c r="T716" s="9">
        <f>IF(Q716="당기",ABS(P716)+ROW()/1000000000,"")</f>
        <v/>
      </c>
      <c r="U716" s="9">
        <f>IF(Q716="비교",ABS(P716)+ROW()/1000000000,"")</f>
        <v/>
      </c>
      <c r="V716" s="39">
        <f>IF($A716="","",IF(COUNTIF(변동분석!$E$7:$E$506,O716)&gt;0,"Y","N"))</f>
        <v/>
      </c>
      <c r="W716" s="39">
        <f>IF($A716="","",IFERROR(INDEX(계정매핑!$D$5:$D$504,MATCH($F716&amp;"",계정매핑!$A$5:$A$504,0)),"미매핑"))</f>
        <v/>
      </c>
      <c r="X716" s="9">
        <f>IF($A716="","",$F716&amp;"")</f>
        <v/>
      </c>
    </row>
    <row r="717">
      <c r="A717" s="75" t="n">
        <v>2025</v>
      </c>
      <c r="B717" s="75" t="n">
        <v>4</v>
      </c>
      <c r="C717" s="75" t="inlineStr">
        <is>
          <t>5100000713</t>
        </is>
      </c>
      <c r="D717" s="78" t="n">
        <v>45765</v>
      </c>
      <c r="E717" s="75" t="inlineStr">
        <is>
          <t>KR</t>
        </is>
      </c>
      <c r="F717" s="75" t="n">
        <v>62501000</v>
      </c>
      <c r="G717" s="75" t="n">
        <v>1301</v>
      </c>
      <c r="H717" s="76" t="n">
        <v>314000</v>
      </c>
      <c r="I717" s="75" t="inlineStr">
        <is>
          <t>4월 회의 다과 - T케이터링</t>
        </is>
      </c>
      <c r="J717" s="75" t="inlineStr">
        <is>
          <t>V10005</t>
        </is>
      </c>
      <c r="K717" s="75" t="inlineStr">
        <is>
          <t>T케이터링</t>
        </is>
      </c>
      <c r="M717" s="9">
        <f>IF($A717="","",VALUE($A717&amp;"")*12+VALUE($B717&amp;""))</f>
        <v/>
      </c>
      <c r="N717" s="39">
        <f>IF($A717="","",IFERROR(INDEX(부서매핑!$C$5:$C$504,MATCH($G717&amp;"",부서매핑!$A$5:$A$504,0)),"미매핑"))</f>
        <v/>
      </c>
      <c r="O717" s="9">
        <f>IF($A717="","",N717&amp;"|"&amp;$F717)</f>
        <v/>
      </c>
      <c r="P717" s="77">
        <f>IF($A717="",0,$H717*설정!$C$23)</f>
        <v/>
      </c>
      <c r="Q717" s="39">
        <f>IF($A717="","",IF(O717&lt;&gt;원인분석!$C$9,"",IF(AND(M717&gt;=원인분석!$C$10,M717&lt;=원인분석!$C$11),"당기",IF(AND(M717&gt;=원인분석!$C$12,M717&lt;=원인분석!$C$13),"비교",""))))</f>
        <v/>
      </c>
      <c r="R717" s="9">
        <f>IF(Q717="","",$K717&amp;"")</f>
        <v/>
      </c>
      <c r="S717" s="9">
        <f>IF(Q717="","",IF(MATCH(R717,$R$5:$R$100000,0)=ROW()-4,ROW(),""))</f>
        <v/>
      </c>
      <c r="T717" s="9">
        <f>IF(Q717="당기",ABS(P717)+ROW()/1000000000,"")</f>
        <v/>
      </c>
      <c r="U717" s="9">
        <f>IF(Q717="비교",ABS(P717)+ROW()/1000000000,"")</f>
        <v/>
      </c>
      <c r="V717" s="39">
        <f>IF($A717="","",IF(COUNTIF(변동분석!$E$7:$E$506,O717)&gt;0,"Y","N"))</f>
        <v/>
      </c>
      <c r="W717" s="39">
        <f>IF($A717="","",IFERROR(INDEX(계정매핑!$D$5:$D$504,MATCH($F717&amp;"",계정매핑!$A$5:$A$504,0)),"미매핑"))</f>
        <v/>
      </c>
      <c r="X717" s="9">
        <f>IF($A717="","",$F717&amp;"")</f>
        <v/>
      </c>
    </row>
    <row r="718">
      <c r="A718" s="75" t="n">
        <v>2025</v>
      </c>
      <c r="B718" s="75" t="n">
        <v>4</v>
      </c>
      <c r="C718" s="75" t="inlineStr">
        <is>
          <t>5100000714</t>
        </is>
      </c>
      <c r="D718" s="78" t="n">
        <v>45765</v>
      </c>
      <c r="E718" s="75" t="inlineStr">
        <is>
          <t>KR</t>
        </is>
      </c>
      <c r="F718" s="75" t="n">
        <v>62902000</v>
      </c>
      <c r="G718" s="75" t="n">
        <v>1401</v>
      </c>
      <c r="H718" s="76" t="n">
        <v>4450000</v>
      </c>
      <c r="I718" s="75" t="inlineStr">
        <is>
          <t>4월 업무 위탁 수수료 - J콜센터</t>
        </is>
      </c>
      <c r="J718" s="75" t="inlineStr">
        <is>
          <t>V10013</t>
        </is>
      </c>
      <c r="K718" s="75" t="inlineStr">
        <is>
          <t>J콜센터</t>
        </is>
      </c>
      <c r="M718" s="9">
        <f>IF($A718="","",VALUE($A718&amp;"")*12+VALUE($B718&amp;""))</f>
        <v/>
      </c>
      <c r="N718" s="39">
        <f>IF($A718="","",IFERROR(INDEX(부서매핑!$C$5:$C$504,MATCH($G718&amp;"",부서매핑!$A$5:$A$504,0)),"미매핑"))</f>
        <v/>
      </c>
      <c r="O718" s="9">
        <f>IF($A718="","",N718&amp;"|"&amp;$F718)</f>
        <v/>
      </c>
      <c r="P718" s="77">
        <f>IF($A718="",0,$H718*설정!$C$23)</f>
        <v/>
      </c>
      <c r="Q718" s="39">
        <f>IF($A718="","",IF(O718&lt;&gt;원인분석!$C$9,"",IF(AND(M718&gt;=원인분석!$C$10,M718&lt;=원인분석!$C$11),"당기",IF(AND(M718&gt;=원인분석!$C$12,M718&lt;=원인분석!$C$13),"비교",""))))</f>
        <v/>
      </c>
      <c r="R718" s="9">
        <f>IF(Q718="","",$K718&amp;"")</f>
        <v/>
      </c>
      <c r="S718" s="9">
        <f>IF(Q718="","",IF(MATCH(R718,$R$5:$R$100000,0)=ROW()-4,ROW(),""))</f>
        <v/>
      </c>
      <c r="T718" s="9">
        <f>IF(Q718="당기",ABS(P718)+ROW()/1000000000,"")</f>
        <v/>
      </c>
      <c r="U718" s="9">
        <f>IF(Q718="비교",ABS(P718)+ROW()/1000000000,"")</f>
        <v/>
      </c>
      <c r="V718" s="39">
        <f>IF($A718="","",IF(COUNTIF(변동분석!$E$7:$E$506,O718)&gt;0,"Y","N"))</f>
        <v/>
      </c>
      <c r="W718" s="39">
        <f>IF($A718="","",IFERROR(INDEX(계정매핑!$D$5:$D$504,MATCH($F718&amp;"",계정매핑!$A$5:$A$504,0)),"미매핑"))</f>
        <v/>
      </c>
      <c r="X718" s="9">
        <f>IF($A718="","",$F718&amp;"")</f>
        <v/>
      </c>
    </row>
    <row r="719">
      <c r="A719" s="75" t="n">
        <v>2025</v>
      </c>
      <c r="B719" s="75" t="n">
        <v>4</v>
      </c>
      <c r="C719" s="75" t="inlineStr">
        <is>
          <t>5100000715</t>
        </is>
      </c>
      <c r="D719" s="78" t="n">
        <v>45765</v>
      </c>
      <c r="E719" s="75" t="inlineStr">
        <is>
          <t>KR</t>
        </is>
      </c>
      <c r="F719" s="75" t="n">
        <v>62902000</v>
      </c>
      <c r="G719" s="75" t="n">
        <v>1801</v>
      </c>
      <c r="H719" s="76" t="n">
        <v>1848000</v>
      </c>
      <c r="I719" s="75" t="inlineStr">
        <is>
          <t>4월 콜 위탁 수수료(건별)</t>
        </is>
      </c>
      <c r="J719" s="75" t="inlineStr">
        <is>
          <t>V10013</t>
        </is>
      </c>
      <c r="K719" s="75" t="inlineStr">
        <is>
          <t>J콜센터</t>
        </is>
      </c>
      <c r="M719" s="9">
        <f>IF($A719="","",VALUE($A719&amp;"")*12+VALUE($B719&amp;""))</f>
        <v/>
      </c>
      <c r="N719" s="39">
        <f>IF($A719="","",IFERROR(INDEX(부서매핑!$C$5:$C$504,MATCH($G719&amp;"",부서매핑!$A$5:$A$504,0)),"미매핑"))</f>
        <v/>
      </c>
      <c r="O719" s="9">
        <f>IF($A719="","",N719&amp;"|"&amp;$F719)</f>
        <v/>
      </c>
      <c r="P719" s="77">
        <f>IF($A719="",0,$H719*설정!$C$23)</f>
        <v/>
      </c>
      <c r="Q719" s="39">
        <f>IF($A719="","",IF(O719&lt;&gt;원인분석!$C$9,"",IF(AND(M719&gt;=원인분석!$C$10,M719&lt;=원인분석!$C$11),"당기",IF(AND(M719&gt;=원인분석!$C$12,M719&lt;=원인분석!$C$13),"비교",""))))</f>
        <v/>
      </c>
      <c r="R719" s="9">
        <f>IF(Q719="","",$K719&amp;"")</f>
        <v/>
      </c>
      <c r="S719" s="9">
        <f>IF(Q719="","",IF(MATCH(R719,$R$5:$R$100000,0)=ROW()-4,ROW(),""))</f>
        <v/>
      </c>
      <c r="T719" s="9">
        <f>IF(Q719="당기",ABS(P719)+ROW()/1000000000,"")</f>
        <v/>
      </c>
      <c r="U719" s="9">
        <f>IF(Q719="비교",ABS(P719)+ROW()/1000000000,"")</f>
        <v/>
      </c>
      <c r="V719" s="39">
        <f>IF($A719="","",IF(COUNTIF(변동분석!$E$7:$E$506,O719)&gt;0,"Y","N"))</f>
        <v/>
      </c>
      <c r="W719" s="39">
        <f>IF($A719="","",IFERROR(INDEX(계정매핑!$D$5:$D$504,MATCH($F719&amp;"",계정매핑!$A$5:$A$504,0)),"미매핑"))</f>
        <v/>
      </c>
      <c r="X719" s="9">
        <f>IF($A719="","",$F719&amp;"")</f>
        <v/>
      </c>
    </row>
    <row r="720">
      <c r="A720" s="75" t="n">
        <v>2025</v>
      </c>
      <c r="B720" s="75" t="n">
        <v>4</v>
      </c>
      <c r="C720" s="75" t="inlineStr">
        <is>
          <t>5100000716</t>
        </is>
      </c>
      <c r="D720" s="78" t="n">
        <v>45765</v>
      </c>
      <c r="E720" s="75" t="inlineStr">
        <is>
          <t>KR</t>
        </is>
      </c>
      <c r="F720" s="75" t="n">
        <v>63001000</v>
      </c>
      <c r="G720" s="75" t="n">
        <v>1701</v>
      </c>
      <c r="H720" s="76" t="n">
        <v>35524000</v>
      </c>
      <c r="I720" s="75" t="inlineStr">
        <is>
          <t>4월 SW 유지보수 - Z시스템</t>
        </is>
      </c>
      <c r="J720" s="75" t="inlineStr">
        <is>
          <t>V10021</t>
        </is>
      </c>
      <c r="K720" s="75" t="inlineStr">
        <is>
          <t>Z시스템</t>
        </is>
      </c>
      <c r="M720" s="9">
        <f>IF($A720="","",VALUE($A720&amp;"")*12+VALUE($B720&amp;""))</f>
        <v/>
      </c>
      <c r="N720" s="39">
        <f>IF($A720="","",IFERROR(INDEX(부서매핑!$C$5:$C$504,MATCH($G720&amp;"",부서매핑!$A$5:$A$504,0)),"미매핑"))</f>
        <v/>
      </c>
      <c r="O720" s="9">
        <f>IF($A720="","",N720&amp;"|"&amp;$F720)</f>
        <v/>
      </c>
      <c r="P720" s="77">
        <f>IF($A720="",0,$H720*설정!$C$23)</f>
        <v/>
      </c>
      <c r="Q720" s="39">
        <f>IF($A720="","",IF(O720&lt;&gt;원인분석!$C$9,"",IF(AND(M720&gt;=원인분석!$C$10,M720&lt;=원인분석!$C$11),"당기",IF(AND(M720&gt;=원인분석!$C$12,M720&lt;=원인분석!$C$13),"비교",""))))</f>
        <v/>
      </c>
      <c r="R720" s="9">
        <f>IF(Q720="","",$K720&amp;"")</f>
        <v/>
      </c>
      <c r="S720" s="9">
        <f>IF(Q720="","",IF(MATCH(R720,$R$5:$R$100000,0)=ROW()-4,ROW(),""))</f>
        <v/>
      </c>
      <c r="T720" s="9">
        <f>IF(Q720="당기",ABS(P720)+ROW()/1000000000,"")</f>
        <v/>
      </c>
      <c r="U720" s="9">
        <f>IF(Q720="비교",ABS(P720)+ROW()/1000000000,"")</f>
        <v/>
      </c>
      <c r="V720" s="39">
        <f>IF($A720="","",IF(COUNTIF(변동분석!$E$7:$E$506,O720)&gt;0,"Y","N"))</f>
        <v/>
      </c>
      <c r="W720" s="39">
        <f>IF($A720="","",IFERROR(INDEX(계정매핑!$D$5:$D$504,MATCH($F720&amp;"",계정매핑!$A$5:$A$504,0)),"미매핑"))</f>
        <v/>
      </c>
      <c r="X720" s="9">
        <f>IF($A720="","",$F720&amp;"")</f>
        <v/>
      </c>
    </row>
    <row r="721">
      <c r="A721" s="75" t="n">
        <v>2025</v>
      </c>
      <c r="B721" s="75" t="n">
        <v>4</v>
      </c>
      <c r="C721" s="75" t="inlineStr">
        <is>
          <t>5100000717</t>
        </is>
      </c>
      <c r="D721" s="78" t="n">
        <v>45766</v>
      </c>
      <c r="E721" s="75" t="inlineStr">
        <is>
          <t>KR</t>
        </is>
      </c>
      <c r="F721" s="75" t="n">
        <v>62101000</v>
      </c>
      <c r="G721" s="75" t="n">
        <v>1801</v>
      </c>
      <c r="H721" s="76" t="n">
        <v>141000</v>
      </c>
      <c r="I721" s="75" t="inlineStr">
        <is>
          <t>4월 국내출장 - (법인카드)</t>
        </is>
      </c>
      <c r="J721" s="75" t="inlineStr">
        <is>
          <t>V10008</t>
        </is>
      </c>
      <c r="K721" s="75" t="inlineStr">
        <is>
          <t>(법인카드)</t>
        </is>
      </c>
      <c r="M721" s="9">
        <f>IF($A721="","",VALUE($A721&amp;"")*12+VALUE($B721&amp;""))</f>
        <v/>
      </c>
      <c r="N721" s="39">
        <f>IF($A721="","",IFERROR(INDEX(부서매핑!$C$5:$C$504,MATCH($G721&amp;"",부서매핑!$A$5:$A$504,0)),"미매핑"))</f>
        <v/>
      </c>
      <c r="O721" s="9">
        <f>IF($A721="","",N721&amp;"|"&amp;$F721)</f>
        <v/>
      </c>
      <c r="P721" s="77">
        <f>IF($A721="",0,$H721*설정!$C$23)</f>
        <v/>
      </c>
      <c r="Q721" s="39">
        <f>IF($A721="","",IF(O721&lt;&gt;원인분석!$C$9,"",IF(AND(M721&gt;=원인분석!$C$10,M721&lt;=원인분석!$C$11),"당기",IF(AND(M721&gt;=원인분석!$C$12,M721&lt;=원인분석!$C$13),"비교",""))))</f>
        <v/>
      </c>
      <c r="R721" s="9">
        <f>IF(Q721="","",$K721&amp;"")</f>
        <v/>
      </c>
      <c r="S721" s="9">
        <f>IF(Q721="","",IF(MATCH(R721,$R$5:$R$100000,0)=ROW()-4,ROW(),""))</f>
        <v/>
      </c>
      <c r="T721" s="9">
        <f>IF(Q721="당기",ABS(P721)+ROW()/1000000000,"")</f>
        <v/>
      </c>
      <c r="U721" s="9">
        <f>IF(Q721="비교",ABS(P721)+ROW()/1000000000,"")</f>
        <v/>
      </c>
      <c r="V721" s="39">
        <f>IF($A721="","",IF(COUNTIF(변동분석!$E$7:$E$506,O721)&gt;0,"Y","N"))</f>
        <v/>
      </c>
      <c r="W721" s="39">
        <f>IF($A721="","",IFERROR(INDEX(계정매핑!$D$5:$D$504,MATCH($F721&amp;"",계정매핑!$A$5:$A$504,0)),"미매핑"))</f>
        <v/>
      </c>
      <c r="X721" s="9">
        <f>IF($A721="","",$F721&amp;"")</f>
        <v/>
      </c>
    </row>
    <row r="722">
      <c r="A722" s="75" t="n">
        <v>2025</v>
      </c>
      <c r="B722" s="75" t="n">
        <v>4</v>
      </c>
      <c r="C722" s="75" t="inlineStr">
        <is>
          <t>5100000718</t>
        </is>
      </c>
      <c r="D722" s="78" t="n">
        <v>45766</v>
      </c>
      <c r="E722" s="75" t="inlineStr">
        <is>
          <t>KR</t>
        </is>
      </c>
      <c r="F722" s="75" t="n">
        <v>62201000</v>
      </c>
      <c r="G722" s="75" t="n">
        <v>1301</v>
      </c>
      <c r="H722" s="76" t="n">
        <v>216000</v>
      </c>
      <c r="I722" s="75" t="inlineStr">
        <is>
          <t>4월 통신요금 - O텔레콤</t>
        </is>
      </c>
      <c r="J722" s="75" t="inlineStr">
        <is>
          <t>V10002</t>
        </is>
      </c>
      <c r="K722" s="75" t="inlineStr">
        <is>
          <t>O텔레콤</t>
        </is>
      </c>
      <c r="M722" s="9">
        <f>IF($A722="","",VALUE($A722&amp;"")*12+VALUE($B722&amp;""))</f>
        <v/>
      </c>
      <c r="N722" s="39">
        <f>IF($A722="","",IFERROR(INDEX(부서매핑!$C$5:$C$504,MATCH($G722&amp;"",부서매핑!$A$5:$A$504,0)),"미매핑"))</f>
        <v/>
      </c>
      <c r="O722" s="9">
        <f>IF($A722="","",N722&amp;"|"&amp;$F722)</f>
        <v/>
      </c>
      <c r="P722" s="77">
        <f>IF($A722="",0,$H722*설정!$C$23)</f>
        <v/>
      </c>
      <c r="Q722" s="39">
        <f>IF($A722="","",IF(O722&lt;&gt;원인분석!$C$9,"",IF(AND(M722&gt;=원인분석!$C$10,M722&lt;=원인분석!$C$11),"당기",IF(AND(M722&gt;=원인분석!$C$12,M722&lt;=원인분석!$C$13),"비교",""))))</f>
        <v/>
      </c>
      <c r="R722" s="9">
        <f>IF(Q722="","",$K722&amp;"")</f>
        <v/>
      </c>
      <c r="S722" s="9">
        <f>IF(Q722="","",IF(MATCH(R722,$R$5:$R$100000,0)=ROW()-4,ROW(),""))</f>
        <v/>
      </c>
      <c r="T722" s="9">
        <f>IF(Q722="당기",ABS(P722)+ROW()/1000000000,"")</f>
        <v/>
      </c>
      <c r="U722" s="9">
        <f>IF(Q722="비교",ABS(P722)+ROW()/1000000000,"")</f>
        <v/>
      </c>
      <c r="V722" s="39">
        <f>IF($A722="","",IF(COUNTIF(변동분석!$E$7:$E$506,O722)&gt;0,"Y","N"))</f>
        <v/>
      </c>
      <c r="W722" s="39">
        <f>IF($A722="","",IFERROR(INDEX(계정매핑!$D$5:$D$504,MATCH($F722&amp;"",계정매핑!$A$5:$A$504,0)),"미매핑"))</f>
        <v/>
      </c>
      <c r="X722" s="9">
        <f>IF($A722="","",$F722&amp;"")</f>
        <v/>
      </c>
    </row>
    <row r="723">
      <c r="A723" s="75" t="n">
        <v>2025</v>
      </c>
      <c r="B723" s="75" t="n">
        <v>4</v>
      </c>
      <c r="C723" s="75" t="inlineStr">
        <is>
          <t>5100000719</t>
        </is>
      </c>
      <c r="D723" s="78" t="n">
        <v>45766</v>
      </c>
      <c r="E723" s="75" t="inlineStr">
        <is>
          <t>KR</t>
        </is>
      </c>
      <c r="F723" s="75" t="n">
        <v>62301000</v>
      </c>
      <c r="G723" s="75" t="n">
        <v>1701</v>
      </c>
      <c r="H723" s="76" t="n">
        <v>199000</v>
      </c>
      <c r="I723" s="75" t="inlineStr">
        <is>
          <t>4월 소모품 구입 - Q오피스</t>
        </is>
      </c>
      <c r="J723" s="75" t="inlineStr">
        <is>
          <t>V10003</t>
        </is>
      </c>
      <c r="K723" s="75" t="inlineStr">
        <is>
          <t>Q오피스</t>
        </is>
      </c>
      <c r="M723" s="9">
        <f>IF($A723="","",VALUE($A723&amp;"")*12+VALUE($B723&amp;""))</f>
        <v/>
      </c>
      <c r="N723" s="39">
        <f>IF($A723="","",IFERROR(INDEX(부서매핑!$C$5:$C$504,MATCH($G723&amp;"",부서매핑!$A$5:$A$504,0)),"미매핑"))</f>
        <v/>
      </c>
      <c r="O723" s="9">
        <f>IF($A723="","",N723&amp;"|"&amp;$F723)</f>
        <v/>
      </c>
      <c r="P723" s="77">
        <f>IF($A723="",0,$H723*설정!$C$23)</f>
        <v/>
      </c>
      <c r="Q723" s="39">
        <f>IF($A723="","",IF(O723&lt;&gt;원인분석!$C$9,"",IF(AND(M723&gt;=원인분석!$C$10,M723&lt;=원인분석!$C$11),"당기",IF(AND(M723&gt;=원인분석!$C$12,M723&lt;=원인분석!$C$13),"비교",""))))</f>
        <v/>
      </c>
      <c r="R723" s="9">
        <f>IF(Q723="","",$K723&amp;"")</f>
        <v/>
      </c>
      <c r="S723" s="9">
        <f>IF(Q723="","",IF(MATCH(R723,$R$5:$R$100000,0)=ROW()-4,ROW(),""))</f>
        <v/>
      </c>
      <c r="T723" s="9">
        <f>IF(Q723="당기",ABS(P723)+ROW()/1000000000,"")</f>
        <v/>
      </c>
      <c r="U723" s="9">
        <f>IF(Q723="비교",ABS(P723)+ROW()/1000000000,"")</f>
        <v/>
      </c>
      <c r="V723" s="39">
        <f>IF($A723="","",IF(COUNTIF(변동분석!$E$7:$E$506,O723)&gt;0,"Y","N"))</f>
        <v/>
      </c>
      <c r="W723" s="39">
        <f>IF($A723="","",IFERROR(INDEX(계정매핑!$D$5:$D$504,MATCH($F723&amp;"",계정매핑!$A$5:$A$504,0)),"미매핑"))</f>
        <v/>
      </c>
      <c r="X723" s="9">
        <f>IF($A723="","",$F723&amp;"")</f>
        <v/>
      </c>
    </row>
    <row r="724">
      <c r="A724" s="75" t="n">
        <v>2025</v>
      </c>
      <c r="B724" s="75" t="n">
        <v>4</v>
      </c>
      <c r="C724" s="75" t="inlineStr">
        <is>
          <t>5100000720</t>
        </is>
      </c>
      <c r="D724" s="78" t="n">
        <v>45766</v>
      </c>
      <c r="E724" s="75" t="inlineStr">
        <is>
          <t>KR</t>
        </is>
      </c>
      <c r="F724" s="75" t="n">
        <v>62501000</v>
      </c>
      <c r="G724" s="75" t="n">
        <v>1201</v>
      </c>
      <c r="H724" s="76" t="n">
        <v>94000</v>
      </c>
      <c r="I724" s="75" t="inlineStr">
        <is>
          <t>4월 회의 다과 - (법인카드)</t>
        </is>
      </c>
      <c r="J724" s="75" t="inlineStr">
        <is>
          <t>V10008</t>
        </is>
      </c>
      <c r="K724" s="75" t="inlineStr">
        <is>
          <t>(법인카드)</t>
        </is>
      </c>
      <c r="M724" s="9">
        <f>IF($A724="","",VALUE($A724&amp;"")*12+VALUE($B724&amp;""))</f>
        <v/>
      </c>
      <c r="N724" s="39">
        <f>IF($A724="","",IFERROR(INDEX(부서매핑!$C$5:$C$504,MATCH($G724&amp;"",부서매핑!$A$5:$A$504,0)),"미매핑"))</f>
        <v/>
      </c>
      <c r="O724" s="9">
        <f>IF($A724="","",N724&amp;"|"&amp;$F724)</f>
        <v/>
      </c>
      <c r="P724" s="77">
        <f>IF($A724="",0,$H724*설정!$C$23)</f>
        <v/>
      </c>
      <c r="Q724" s="39">
        <f>IF($A724="","",IF(O724&lt;&gt;원인분석!$C$9,"",IF(AND(M724&gt;=원인분석!$C$10,M724&lt;=원인분석!$C$11),"당기",IF(AND(M724&gt;=원인분석!$C$12,M724&lt;=원인분석!$C$13),"비교",""))))</f>
        <v/>
      </c>
      <c r="R724" s="9">
        <f>IF(Q724="","",$K724&amp;"")</f>
        <v/>
      </c>
      <c r="S724" s="9">
        <f>IF(Q724="","",IF(MATCH(R724,$R$5:$R$100000,0)=ROW()-4,ROW(),""))</f>
        <v/>
      </c>
      <c r="T724" s="9">
        <f>IF(Q724="당기",ABS(P724)+ROW()/1000000000,"")</f>
        <v/>
      </c>
      <c r="U724" s="9">
        <f>IF(Q724="비교",ABS(P724)+ROW()/1000000000,"")</f>
        <v/>
      </c>
      <c r="V724" s="39">
        <f>IF($A724="","",IF(COUNTIF(변동분석!$E$7:$E$506,O724)&gt;0,"Y","N"))</f>
        <v/>
      </c>
      <c r="W724" s="39">
        <f>IF($A724="","",IFERROR(INDEX(계정매핑!$D$5:$D$504,MATCH($F724&amp;"",계정매핑!$A$5:$A$504,0)),"미매핑"))</f>
        <v/>
      </c>
      <c r="X724" s="9">
        <f>IF($A724="","",$F724&amp;"")</f>
        <v/>
      </c>
    </row>
    <row r="725">
      <c r="A725" s="75" t="n">
        <v>2025</v>
      </c>
      <c r="B725" s="75" t="n">
        <v>4</v>
      </c>
      <c r="C725" s="75" t="inlineStr">
        <is>
          <t>5100000721</t>
        </is>
      </c>
      <c r="D725" s="78" t="n">
        <v>45766</v>
      </c>
      <c r="E725" s="75" t="inlineStr">
        <is>
          <t>KR</t>
        </is>
      </c>
      <c r="F725" s="75" t="n">
        <v>62501000</v>
      </c>
      <c r="G725" s="75" t="n">
        <v>1601</v>
      </c>
      <c r="H725" s="76" t="n">
        <v>326000</v>
      </c>
      <c r="I725" s="75" t="inlineStr">
        <is>
          <t>4월 회의 다과 - (법인카드)</t>
        </is>
      </c>
      <c r="J725" s="75" t="inlineStr">
        <is>
          <t>V10008</t>
        </is>
      </c>
      <c r="K725" s="75" t="inlineStr">
        <is>
          <t>(법인카드)</t>
        </is>
      </c>
      <c r="M725" s="9">
        <f>IF($A725="","",VALUE($A725&amp;"")*12+VALUE($B725&amp;""))</f>
        <v/>
      </c>
      <c r="N725" s="39">
        <f>IF($A725="","",IFERROR(INDEX(부서매핑!$C$5:$C$504,MATCH($G725&amp;"",부서매핑!$A$5:$A$504,0)),"미매핑"))</f>
        <v/>
      </c>
      <c r="O725" s="9">
        <f>IF($A725="","",N725&amp;"|"&amp;$F725)</f>
        <v/>
      </c>
      <c r="P725" s="77">
        <f>IF($A725="",0,$H725*설정!$C$23)</f>
        <v/>
      </c>
      <c r="Q725" s="39">
        <f>IF($A725="","",IF(O725&lt;&gt;원인분석!$C$9,"",IF(AND(M725&gt;=원인분석!$C$10,M725&lt;=원인분석!$C$11),"당기",IF(AND(M725&gt;=원인분석!$C$12,M725&lt;=원인분석!$C$13),"비교",""))))</f>
        <v/>
      </c>
      <c r="R725" s="9">
        <f>IF(Q725="","",$K725&amp;"")</f>
        <v/>
      </c>
      <c r="S725" s="9">
        <f>IF(Q725="","",IF(MATCH(R725,$R$5:$R$100000,0)=ROW()-4,ROW(),""))</f>
        <v/>
      </c>
      <c r="T725" s="9">
        <f>IF(Q725="당기",ABS(P725)+ROW()/1000000000,"")</f>
        <v/>
      </c>
      <c r="U725" s="9">
        <f>IF(Q725="비교",ABS(P725)+ROW()/1000000000,"")</f>
        <v/>
      </c>
      <c r="V725" s="39">
        <f>IF($A725="","",IF(COUNTIF(변동분석!$E$7:$E$506,O725)&gt;0,"Y","N"))</f>
        <v/>
      </c>
      <c r="W725" s="39">
        <f>IF($A725="","",IFERROR(INDEX(계정매핑!$D$5:$D$504,MATCH($F725&amp;"",계정매핑!$A$5:$A$504,0)),"미매핑"))</f>
        <v/>
      </c>
      <c r="X725" s="9">
        <f>IF($A725="","",$F725&amp;"")</f>
        <v/>
      </c>
    </row>
    <row r="726">
      <c r="A726" s="75" t="n">
        <v>2025</v>
      </c>
      <c r="B726" s="75" t="n">
        <v>4</v>
      </c>
      <c r="C726" s="75" t="inlineStr">
        <is>
          <t>5100000722</t>
        </is>
      </c>
      <c r="D726" s="78" t="n">
        <v>45766</v>
      </c>
      <c r="E726" s="75" t="inlineStr">
        <is>
          <t>KR</t>
        </is>
      </c>
      <c r="F726" s="75" t="n">
        <v>62501000</v>
      </c>
      <c r="G726" s="75" t="n">
        <v>1701</v>
      </c>
      <c r="H726" s="76" t="n">
        <v>161000</v>
      </c>
      <c r="I726" s="75" t="inlineStr">
        <is>
          <t>4월 회의 다과 - (법인카드)</t>
        </is>
      </c>
      <c r="J726" s="75" t="inlineStr">
        <is>
          <t>V10008</t>
        </is>
      </c>
      <c r="K726" s="75" t="inlineStr">
        <is>
          <t>(법인카드)</t>
        </is>
      </c>
      <c r="M726" s="9">
        <f>IF($A726="","",VALUE($A726&amp;"")*12+VALUE($B726&amp;""))</f>
        <v/>
      </c>
      <c r="N726" s="39">
        <f>IF($A726="","",IFERROR(INDEX(부서매핑!$C$5:$C$504,MATCH($G726&amp;"",부서매핑!$A$5:$A$504,0)),"미매핑"))</f>
        <v/>
      </c>
      <c r="O726" s="9">
        <f>IF($A726="","",N726&amp;"|"&amp;$F726)</f>
        <v/>
      </c>
      <c r="P726" s="77">
        <f>IF($A726="",0,$H726*설정!$C$23)</f>
        <v/>
      </c>
      <c r="Q726" s="39">
        <f>IF($A726="","",IF(O726&lt;&gt;원인분석!$C$9,"",IF(AND(M726&gt;=원인분석!$C$10,M726&lt;=원인분석!$C$11),"당기",IF(AND(M726&gt;=원인분석!$C$12,M726&lt;=원인분석!$C$13),"비교",""))))</f>
        <v/>
      </c>
      <c r="R726" s="9">
        <f>IF(Q726="","",$K726&amp;"")</f>
        <v/>
      </c>
      <c r="S726" s="9">
        <f>IF(Q726="","",IF(MATCH(R726,$R$5:$R$100000,0)=ROW()-4,ROW(),""))</f>
        <v/>
      </c>
      <c r="T726" s="9">
        <f>IF(Q726="당기",ABS(P726)+ROW()/1000000000,"")</f>
        <v/>
      </c>
      <c r="U726" s="9">
        <f>IF(Q726="비교",ABS(P726)+ROW()/1000000000,"")</f>
        <v/>
      </c>
      <c r="V726" s="39">
        <f>IF($A726="","",IF(COUNTIF(변동분석!$E$7:$E$506,O726)&gt;0,"Y","N"))</f>
        <v/>
      </c>
      <c r="W726" s="39">
        <f>IF($A726="","",IFERROR(INDEX(계정매핑!$D$5:$D$504,MATCH($F726&amp;"",계정매핑!$A$5:$A$504,0)),"미매핑"))</f>
        <v/>
      </c>
      <c r="X726" s="9">
        <f>IF($A726="","",$F726&amp;"")</f>
        <v/>
      </c>
    </row>
    <row r="727">
      <c r="A727" s="75" t="n">
        <v>2025</v>
      </c>
      <c r="B727" s="75" t="n">
        <v>4</v>
      </c>
      <c r="C727" s="75" t="inlineStr">
        <is>
          <t>5100000723</t>
        </is>
      </c>
      <c r="D727" s="78" t="n">
        <v>45766</v>
      </c>
      <c r="E727" s="75" t="inlineStr">
        <is>
          <t>KR</t>
        </is>
      </c>
      <c r="F727" s="75" t="n">
        <v>62901000</v>
      </c>
      <c r="G727" s="75" t="n">
        <v>1101</v>
      </c>
      <c r="H727" s="76" t="n">
        <v>4471000</v>
      </c>
      <c r="I727" s="75" t="inlineStr">
        <is>
          <t>4월 자문 수수료 - K회계법인</t>
        </is>
      </c>
      <c r="J727" s="75" t="inlineStr">
        <is>
          <t>V10010</t>
        </is>
      </c>
      <c r="K727" s="75" t="inlineStr">
        <is>
          <t>K회계법인</t>
        </is>
      </c>
      <c r="M727" s="9">
        <f>IF($A727="","",VALUE($A727&amp;"")*12+VALUE($B727&amp;""))</f>
        <v/>
      </c>
      <c r="N727" s="39">
        <f>IF($A727="","",IFERROR(INDEX(부서매핑!$C$5:$C$504,MATCH($G727&amp;"",부서매핑!$A$5:$A$504,0)),"미매핑"))</f>
        <v/>
      </c>
      <c r="O727" s="9">
        <f>IF($A727="","",N727&amp;"|"&amp;$F727)</f>
        <v/>
      </c>
      <c r="P727" s="77">
        <f>IF($A727="",0,$H727*설정!$C$23)</f>
        <v/>
      </c>
      <c r="Q727" s="39">
        <f>IF($A727="","",IF(O727&lt;&gt;원인분석!$C$9,"",IF(AND(M727&gt;=원인분석!$C$10,M727&lt;=원인분석!$C$11),"당기",IF(AND(M727&gt;=원인분석!$C$12,M727&lt;=원인분석!$C$13),"비교",""))))</f>
        <v/>
      </c>
      <c r="R727" s="9">
        <f>IF(Q727="","",$K727&amp;"")</f>
        <v/>
      </c>
      <c r="S727" s="9">
        <f>IF(Q727="","",IF(MATCH(R727,$R$5:$R$100000,0)=ROW()-4,ROW(),""))</f>
        <v/>
      </c>
      <c r="T727" s="9">
        <f>IF(Q727="당기",ABS(P727)+ROW()/1000000000,"")</f>
        <v/>
      </c>
      <c r="U727" s="9">
        <f>IF(Q727="비교",ABS(P727)+ROW()/1000000000,"")</f>
        <v/>
      </c>
      <c r="V727" s="39">
        <f>IF($A727="","",IF(COUNTIF(변동분석!$E$7:$E$506,O727)&gt;0,"Y","N"))</f>
        <v/>
      </c>
      <c r="W727" s="39">
        <f>IF($A727="","",IFERROR(INDEX(계정매핑!$D$5:$D$504,MATCH($F727&amp;"",계정매핑!$A$5:$A$504,0)),"미매핑"))</f>
        <v/>
      </c>
      <c r="X727" s="9">
        <f>IF($A727="","",$F727&amp;"")</f>
        <v/>
      </c>
    </row>
    <row r="728">
      <c r="A728" s="75" t="n">
        <v>2025</v>
      </c>
      <c r="B728" s="75" t="n">
        <v>4</v>
      </c>
      <c r="C728" s="75" t="inlineStr">
        <is>
          <t>5100000724</t>
        </is>
      </c>
      <c r="D728" s="78" t="n">
        <v>45766</v>
      </c>
      <c r="E728" s="75" t="inlineStr">
        <is>
          <t>KR</t>
        </is>
      </c>
      <c r="F728" s="75" t="n">
        <v>62901000</v>
      </c>
      <c r="G728" s="75" t="n">
        <v>1401</v>
      </c>
      <c r="H728" s="76" t="n">
        <v>7440000</v>
      </c>
      <c r="I728" s="75" t="inlineStr">
        <is>
          <t>4월 자문 수수료 - W컨설팅</t>
        </is>
      </c>
      <c r="J728" s="75" t="inlineStr">
        <is>
          <t>V10009</t>
        </is>
      </c>
      <c r="K728" s="75" t="inlineStr">
        <is>
          <t>W컨설팅</t>
        </is>
      </c>
      <c r="M728" s="9">
        <f>IF($A728="","",VALUE($A728&amp;"")*12+VALUE($B728&amp;""))</f>
        <v/>
      </c>
      <c r="N728" s="39">
        <f>IF($A728="","",IFERROR(INDEX(부서매핑!$C$5:$C$504,MATCH($G728&amp;"",부서매핑!$A$5:$A$504,0)),"미매핑"))</f>
        <v/>
      </c>
      <c r="O728" s="9">
        <f>IF($A728="","",N728&amp;"|"&amp;$F728)</f>
        <v/>
      </c>
      <c r="P728" s="77">
        <f>IF($A728="",0,$H728*설정!$C$23)</f>
        <v/>
      </c>
      <c r="Q728" s="39">
        <f>IF($A728="","",IF(O728&lt;&gt;원인분석!$C$9,"",IF(AND(M728&gt;=원인분석!$C$10,M728&lt;=원인분석!$C$11),"당기",IF(AND(M728&gt;=원인분석!$C$12,M728&lt;=원인분석!$C$13),"비교",""))))</f>
        <v/>
      </c>
      <c r="R728" s="9">
        <f>IF(Q728="","",$K728&amp;"")</f>
        <v/>
      </c>
      <c r="S728" s="9">
        <f>IF(Q728="","",IF(MATCH(R728,$R$5:$R$100000,0)=ROW()-4,ROW(),""))</f>
        <v/>
      </c>
      <c r="T728" s="9">
        <f>IF(Q728="당기",ABS(P728)+ROW()/1000000000,"")</f>
        <v/>
      </c>
      <c r="U728" s="9">
        <f>IF(Q728="비교",ABS(P728)+ROW()/1000000000,"")</f>
        <v/>
      </c>
      <c r="V728" s="39">
        <f>IF($A728="","",IF(COUNTIF(변동분석!$E$7:$E$506,O728)&gt;0,"Y","N"))</f>
        <v/>
      </c>
      <c r="W728" s="39">
        <f>IF($A728="","",IFERROR(INDEX(계정매핑!$D$5:$D$504,MATCH($F728&amp;"",계정매핑!$A$5:$A$504,0)),"미매핑"))</f>
        <v/>
      </c>
      <c r="X728" s="9">
        <f>IF($A728="","",$F728&amp;"")</f>
        <v/>
      </c>
    </row>
    <row r="729">
      <c r="A729" s="75" t="n">
        <v>2025</v>
      </c>
      <c r="B729" s="75" t="n">
        <v>4</v>
      </c>
      <c r="C729" s="75" t="inlineStr">
        <is>
          <t>5100000725</t>
        </is>
      </c>
      <c r="D729" s="78" t="n">
        <v>45766</v>
      </c>
      <c r="E729" s="75" t="inlineStr">
        <is>
          <t>KR</t>
        </is>
      </c>
      <c r="F729" s="75" t="n">
        <v>62902000</v>
      </c>
      <c r="G729" s="75" t="n">
        <v>1201</v>
      </c>
      <c r="H729" s="76" t="n">
        <v>2267000</v>
      </c>
      <c r="I729" s="75" t="inlineStr">
        <is>
          <t>4월 업무 위탁 수수료 - J콜센터</t>
        </is>
      </c>
      <c r="J729" s="75" t="inlineStr">
        <is>
          <t>V10013</t>
        </is>
      </c>
      <c r="K729" s="75" t="inlineStr">
        <is>
          <t>J콜센터</t>
        </is>
      </c>
      <c r="M729" s="9">
        <f>IF($A729="","",VALUE($A729&amp;"")*12+VALUE($B729&amp;""))</f>
        <v/>
      </c>
      <c r="N729" s="39">
        <f>IF($A729="","",IFERROR(INDEX(부서매핑!$C$5:$C$504,MATCH($G729&amp;"",부서매핑!$A$5:$A$504,0)),"미매핑"))</f>
        <v/>
      </c>
      <c r="O729" s="9">
        <f>IF($A729="","",N729&amp;"|"&amp;$F729)</f>
        <v/>
      </c>
      <c r="P729" s="77">
        <f>IF($A729="",0,$H729*설정!$C$23)</f>
        <v/>
      </c>
      <c r="Q729" s="39">
        <f>IF($A729="","",IF(O729&lt;&gt;원인분석!$C$9,"",IF(AND(M729&gt;=원인분석!$C$10,M729&lt;=원인분석!$C$11),"당기",IF(AND(M729&gt;=원인분석!$C$12,M729&lt;=원인분석!$C$13),"비교",""))))</f>
        <v/>
      </c>
      <c r="R729" s="9">
        <f>IF(Q729="","",$K729&amp;"")</f>
        <v/>
      </c>
      <c r="S729" s="9">
        <f>IF(Q729="","",IF(MATCH(R729,$R$5:$R$100000,0)=ROW()-4,ROW(),""))</f>
        <v/>
      </c>
      <c r="T729" s="9">
        <f>IF(Q729="당기",ABS(P729)+ROW()/1000000000,"")</f>
        <v/>
      </c>
      <c r="U729" s="9">
        <f>IF(Q729="비교",ABS(P729)+ROW()/1000000000,"")</f>
        <v/>
      </c>
      <c r="V729" s="39">
        <f>IF($A729="","",IF(COUNTIF(변동분석!$E$7:$E$506,O729)&gt;0,"Y","N"))</f>
        <v/>
      </c>
      <c r="W729" s="39">
        <f>IF($A729="","",IFERROR(INDEX(계정매핑!$D$5:$D$504,MATCH($F729&amp;"",계정매핑!$A$5:$A$504,0)),"미매핑"))</f>
        <v/>
      </c>
      <c r="X729" s="9">
        <f>IF($A729="","",$F729&amp;"")</f>
        <v/>
      </c>
    </row>
    <row r="730">
      <c r="A730" s="75" t="n">
        <v>2025</v>
      </c>
      <c r="B730" s="75" t="n">
        <v>4</v>
      </c>
      <c r="C730" s="75" t="inlineStr">
        <is>
          <t>5100000726</t>
        </is>
      </c>
      <c r="D730" s="78" t="n">
        <v>45767</v>
      </c>
      <c r="E730" s="75" t="inlineStr">
        <is>
          <t>KR</t>
        </is>
      </c>
      <c r="F730" s="75" t="n">
        <v>62102000</v>
      </c>
      <c r="G730" s="75" t="n">
        <v>1601</v>
      </c>
      <c r="H730" s="76" t="n">
        <v>264000</v>
      </c>
      <c r="I730" s="75" t="inlineStr">
        <is>
          <t>4월 해외출장 - N호텔</t>
        </is>
      </c>
      <c r="J730" s="75" t="inlineStr">
        <is>
          <t>V10007</t>
        </is>
      </c>
      <c r="K730" s="75" t="inlineStr">
        <is>
          <t>N호텔</t>
        </is>
      </c>
      <c r="M730" s="9">
        <f>IF($A730="","",VALUE($A730&amp;"")*12+VALUE($B730&amp;""))</f>
        <v/>
      </c>
      <c r="N730" s="39">
        <f>IF($A730="","",IFERROR(INDEX(부서매핑!$C$5:$C$504,MATCH($G730&amp;"",부서매핑!$A$5:$A$504,0)),"미매핑"))</f>
        <v/>
      </c>
      <c r="O730" s="9">
        <f>IF($A730="","",N730&amp;"|"&amp;$F730)</f>
        <v/>
      </c>
      <c r="P730" s="77">
        <f>IF($A730="",0,$H730*설정!$C$23)</f>
        <v/>
      </c>
      <c r="Q730" s="39">
        <f>IF($A730="","",IF(O730&lt;&gt;원인분석!$C$9,"",IF(AND(M730&gt;=원인분석!$C$10,M730&lt;=원인분석!$C$11),"당기",IF(AND(M730&gt;=원인분석!$C$12,M730&lt;=원인분석!$C$13),"비교",""))))</f>
        <v/>
      </c>
      <c r="R730" s="9">
        <f>IF(Q730="","",$K730&amp;"")</f>
        <v/>
      </c>
      <c r="S730" s="9">
        <f>IF(Q730="","",IF(MATCH(R730,$R$5:$R$100000,0)=ROW()-4,ROW(),""))</f>
        <v/>
      </c>
      <c r="T730" s="9">
        <f>IF(Q730="당기",ABS(P730)+ROW()/1000000000,"")</f>
        <v/>
      </c>
      <c r="U730" s="9">
        <f>IF(Q730="비교",ABS(P730)+ROW()/1000000000,"")</f>
        <v/>
      </c>
      <c r="V730" s="39">
        <f>IF($A730="","",IF(COUNTIF(변동분석!$E$7:$E$506,O730)&gt;0,"Y","N"))</f>
        <v/>
      </c>
      <c r="W730" s="39">
        <f>IF($A730="","",IFERROR(INDEX(계정매핑!$D$5:$D$504,MATCH($F730&amp;"",계정매핑!$A$5:$A$504,0)),"미매핑"))</f>
        <v/>
      </c>
      <c r="X730" s="9">
        <f>IF($A730="","",$F730&amp;"")</f>
        <v/>
      </c>
    </row>
    <row r="731">
      <c r="A731" s="75" t="n">
        <v>2025</v>
      </c>
      <c r="B731" s="75" t="n">
        <v>4</v>
      </c>
      <c r="C731" s="75" t="inlineStr">
        <is>
          <t>5100000727</t>
        </is>
      </c>
      <c r="D731" s="78" t="n">
        <v>45767</v>
      </c>
      <c r="E731" s="75" t="inlineStr">
        <is>
          <t>KR</t>
        </is>
      </c>
      <c r="F731" s="75" t="n">
        <v>62102000</v>
      </c>
      <c r="G731" s="75" t="n">
        <v>1701</v>
      </c>
      <c r="H731" s="76" t="n">
        <v>41000</v>
      </c>
      <c r="I731" s="75" t="inlineStr">
        <is>
          <t>4월 해외출장 - N호텔</t>
        </is>
      </c>
      <c r="J731" s="75" t="inlineStr">
        <is>
          <t>V10007</t>
        </is>
      </c>
      <c r="K731" s="75" t="inlineStr">
        <is>
          <t>N호텔</t>
        </is>
      </c>
      <c r="M731" s="9">
        <f>IF($A731="","",VALUE($A731&amp;"")*12+VALUE($B731&amp;""))</f>
        <v/>
      </c>
      <c r="N731" s="39">
        <f>IF($A731="","",IFERROR(INDEX(부서매핑!$C$5:$C$504,MATCH($G731&amp;"",부서매핑!$A$5:$A$504,0)),"미매핑"))</f>
        <v/>
      </c>
      <c r="O731" s="9">
        <f>IF($A731="","",N731&amp;"|"&amp;$F731)</f>
        <v/>
      </c>
      <c r="P731" s="77">
        <f>IF($A731="",0,$H731*설정!$C$23)</f>
        <v/>
      </c>
      <c r="Q731" s="39">
        <f>IF($A731="","",IF(O731&lt;&gt;원인분석!$C$9,"",IF(AND(M731&gt;=원인분석!$C$10,M731&lt;=원인분석!$C$11),"당기",IF(AND(M731&gt;=원인분석!$C$12,M731&lt;=원인분석!$C$13),"비교",""))))</f>
        <v/>
      </c>
      <c r="R731" s="9">
        <f>IF(Q731="","",$K731&amp;"")</f>
        <v/>
      </c>
      <c r="S731" s="9">
        <f>IF(Q731="","",IF(MATCH(R731,$R$5:$R$100000,0)=ROW()-4,ROW(),""))</f>
        <v/>
      </c>
      <c r="T731" s="9">
        <f>IF(Q731="당기",ABS(P731)+ROW()/1000000000,"")</f>
        <v/>
      </c>
      <c r="U731" s="9">
        <f>IF(Q731="비교",ABS(P731)+ROW()/1000000000,"")</f>
        <v/>
      </c>
      <c r="V731" s="39">
        <f>IF($A731="","",IF(COUNTIF(변동분석!$E$7:$E$506,O731)&gt;0,"Y","N"))</f>
        <v/>
      </c>
      <c r="W731" s="39">
        <f>IF($A731="","",IFERROR(INDEX(계정매핑!$D$5:$D$504,MATCH($F731&amp;"",계정매핑!$A$5:$A$504,0)),"미매핑"))</f>
        <v/>
      </c>
      <c r="X731" s="9">
        <f>IF($A731="","",$F731&amp;"")</f>
        <v/>
      </c>
    </row>
    <row r="732">
      <c r="A732" s="75" t="n">
        <v>2025</v>
      </c>
      <c r="B732" s="75" t="n">
        <v>4</v>
      </c>
      <c r="C732" s="75" t="inlineStr">
        <is>
          <t>5100000728</t>
        </is>
      </c>
      <c r="D732" s="78" t="n">
        <v>45767</v>
      </c>
      <c r="E732" s="75" t="inlineStr">
        <is>
          <t>KR</t>
        </is>
      </c>
      <c r="F732" s="75" t="n">
        <v>62102000</v>
      </c>
      <c r="G732" s="75" t="n">
        <v>1801</v>
      </c>
      <c r="H732" s="76" t="n">
        <v>60000</v>
      </c>
      <c r="I732" s="75" t="inlineStr">
        <is>
          <t>4월 해외출장 - N호텔</t>
        </is>
      </c>
      <c r="J732" s="75" t="inlineStr">
        <is>
          <t>V10007</t>
        </is>
      </c>
      <c r="K732" s="75" t="inlineStr">
        <is>
          <t>N호텔</t>
        </is>
      </c>
      <c r="M732" s="9">
        <f>IF($A732="","",VALUE($A732&amp;"")*12+VALUE($B732&amp;""))</f>
        <v/>
      </c>
      <c r="N732" s="39">
        <f>IF($A732="","",IFERROR(INDEX(부서매핑!$C$5:$C$504,MATCH($G732&amp;"",부서매핑!$A$5:$A$504,0)),"미매핑"))</f>
        <v/>
      </c>
      <c r="O732" s="9">
        <f>IF($A732="","",N732&amp;"|"&amp;$F732)</f>
        <v/>
      </c>
      <c r="P732" s="77">
        <f>IF($A732="",0,$H732*설정!$C$23)</f>
        <v/>
      </c>
      <c r="Q732" s="39">
        <f>IF($A732="","",IF(O732&lt;&gt;원인분석!$C$9,"",IF(AND(M732&gt;=원인분석!$C$10,M732&lt;=원인분석!$C$11),"당기",IF(AND(M732&gt;=원인분석!$C$12,M732&lt;=원인분석!$C$13),"비교",""))))</f>
        <v/>
      </c>
      <c r="R732" s="9">
        <f>IF(Q732="","",$K732&amp;"")</f>
        <v/>
      </c>
      <c r="S732" s="9">
        <f>IF(Q732="","",IF(MATCH(R732,$R$5:$R$100000,0)=ROW()-4,ROW(),""))</f>
        <v/>
      </c>
      <c r="T732" s="9">
        <f>IF(Q732="당기",ABS(P732)+ROW()/1000000000,"")</f>
        <v/>
      </c>
      <c r="U732" s="9">
        <f>IF(Q732="비교",ABS(P732)+ROW()/1000000000,"")</f>
        <v/>
      </c>
      <c r="V732" s="39">
        <f>IF($A732="","",IF(COUNTIF(변동분석!$E$7:$E$506,O732)&gt;0,"Y","N"))</f>
        <v/>
      </c>
      <c r="W732" s="39">
        <f>IF($A732="","",IFERROR(INDEX(계정매핑!$D$5:$D$504,MATCH($F732&amp;"",계정매핑!$A$5:$A$504,0)),"미매핑"))</f>
        <v/>
      </c>
      <c r="X732" s="9">
        <f>IF($A732="","",$F732&amp;"")</f>
        <v/>
      </c>
    </row>
    <row r="733">
      <c r="A733" s="75" t="n">
        <v>2025</v>
      </c>
      <c r="B733" s="75" t="n">
        <v>4</v>
      </c>
      <c r="C733" s="75" t="inlineStr">
        <is>
          <t>5100000729</t>
        </is>
      </c>
      <c r="D733" s="78" t="n">
        <v>45767</v>
      </c>
      <c r="E733" s="75" t="inlineStr">
        <is>
          <t>KR</t>
        </is>
      </c>
      <c r="F733" s="75" t="n">
        <v>62301000</v>
      </c>
      <c r="G733" s="75" t="n">
        <v>1501</v>
      </c>
      <c r="H733" s="76" t="n">
        <v>115000</v>
      </c>
      <c r="I733" s="75" t="inlineStr">
        <is>
          <t>4월 소모품 구입 - Q오피스</t>
        </is>
      </c>
      <c r="J733" s="75" t="inlineStr">
        <is>
          <t>V10003</t>
        </is>
      </c>
      <c r="K733" s="75" t="inlineStr">
        <is>
          <t>Q오피스</t>
        </is>
      </c>
      <c r="M733" s="9">
        <f>IF($A733="","",VALUE($A733&amp;"")*12+VALUE($B733&amp;""))</f>
        <v/>
      </c>
      <c r="N733" s="39">
        <f>IF($A733="","",IFERROR(INDEX(부서매핑!$C$5:$C$504,MATCH($G733&amp;"",부서매핑!$A$5:$A$504,0)),"미매핑"))</f>
        <v/>
      </c>
      <c r="O733" s="9">
        <f>IF($A733="","",N733&amp;"|"&amp;$F733)</f>
        <v/>
      </c>
      <c r="P733" s="77">
        <f>IF($A733="",0,$H733*설정!$C$23)</f>
        <v/>
      </c>
      <c r="Q733" s="39">
        <f>IF($A733="","",IF(O733&lt;&gt;원인분석!$C$9,"",IF(AND(M733&gt;=원인분석!$C$10,M733&lt;=원인분석!$C$11),"당기",IF(AND(M733&gt;=원인분석!$C$12,M733&lt;=원인분석!$C$13),"비교",""))))</f>
        <v/>
      </c>
      <c r="R733" s="9">
        <f>IF(Q733="","",$K733&amp;"")</f>
        <v/>
      </c>
      <c r="S733" s="9">
        <f>IF(Q733="","",IF(MATCH(R733,$R$5:$R$100000,0)=ROW()-4,ROW(),""))</f>
        <v/>
      </c>
      <c r="T733" s="9">
        <f>IF(Q733="당기",ABS(P733)+ROW()/1000000000,"")</f>
        <v/>
      </c>
      <c r="U733" s="9">
        <f>IF(Q733="비교",ABS(P733)+ROW()/1000000000,"")</f>
        <v/>
      </c>
      <c r="V733" s="39">
        <f>IF($A733="","",IF(COUNTIF(변동분석!$E$7:$E$506,O733)&gt;0,"Y","N"))</f>
        <v/>
      </c>
      <c r="W733" s="39">
        <f>IF($A733="","",IFERROR(INDEX(계정매핑!$D$5:$D$504,MATCH($F733&amp;"",계정매핑!$A$5:$A$504,0)),"미매핑"))</f>
        <v/>
      </c>
      <c r="X733" s="9">
        <f>IF($A733="","",$F733&amp;"")</f>
        <v/>
      </c>
    </row>
    <row r="734">
      <c r="A734" s="75" t="n">
        <v>2025</v>
      </c>
      <c r="B734" s="75" t="n">
        <v>4</v>
      </c>
      <c r="C734" s="75" t="inlineStr">
        <is>
          <t>5100000730</t>
        </is>
      </c>
      <c r="D734" s="78" t="n">
        <v>45767</v>
      </c>
      <c r="E734" s="75" t="inlineStr">
        <is>
          <t>KR</t>
        </is>
      </c>
      <c r="F734" s="75" t="n">
        <v>62301000</v>
      </c>
      <c r="G734" s="75" t="n">
        <v>1601</v>
      </c>
      <c r="H734" s="76" t="n">
        <v>578000</v>
      </c>
      <c r="I734" s="75" t="inlineStr">
        <is>
          <t>4월 소모품 구입 - Q오피스</t>
        </is>
      </c>
      <c r="J734" s="75" t="inlineStr">
        <is>
          <t>V10003</t>
        </is>
      </c>
      <c r="K734" s="75" t="inlineStr">
        <is>
          <t>Q오피스</t>
        </is>
      </c>
      <c r="M734" s="9">
        <f>IF($A734="","",VALUE($A734&amp;"")*12+VALUE($B734&amp;""))</f>
        <v/>
      </c>
      <c r="N734" s="39">
        <f>IF($A734="","",IFERROR(INDEX(부서매핑!$C$5:$C$504,MATCH($G734&amp;"",부서매핑!$A$5:$A$504,0)),"미매핑"))</f>
        <v/>
      </c>
      <c r="O734" s="9">
        <f>IF($A734="","",N734&amp;"|"&amp;$F734)</f>
        <v/>
      </c>
      <c r="P734" s="77">
        <f>IF($A734="",0,$H734*설정!$C$23)</f>
        <v/>
      </c>
      <c r="Q734" s="39">
        <f>IF($A734="","",IF(O734&lt;&gt;원인분석!$C$9,"",IF(AND(M734&gt;=원인분석!$C$10,M734&lt;=원인분석!$C$11),"당기",IF(AND(M734&gt;=원인분석!$C$12,M734&lt;=원인분석!$C$13),"비교",""))))</f>
        <v/>
      </c>
      <c r="R734" s="9">
        <f>IF(Q734="","",$K734&amp;"")</f>
        <v/>
      </c>
      <c r="S734" s="9">
        <f>IF(Q734="","",IF(MATCH(R734,$R$5:$R$100000,0)=ROW()-4,ROW(),""))</f>
        <v/>
      </c>
      <c r="T734" s="9">
        <f>IF(Q734="당기",ABS(P734)+ROW()/1000000000,"")</f>
        <v/>
      </c>
      <c r="U734" s="9">
        <f>IF(Q734="비교",ABS(P734)+ROW()/1000000000,"")</f>
        <v/>
      </c>
      <c r="V734" s="39">
        <f>IF($A734="","",IF(COUNTIF(변동분석!$E$7:$E$506,O734)&gt;0,"Y","N"))</f>
        <v/>
      </c>
      <c r="W734" s="39">
        <f>IF($A734="","",IFERROR(INDEX(계정매핑!$D$5:$D$504,MATCH($F734&amp;"",계정매핑!$A$5:$A$504,0)),"미매핑"))</f>
        <v/>
      </c>
      <c r="X734" s="9">
        <f>IF($A734="","",$F734&amp;"")</f>
        <v/>
      </c>
    </row>
    <row r="735">
      <c r="A735" s="75" t="n">
        <v>2025</v>
      </c>
      <c r="B735" s="75" t="n">
        <v>4</v>
      </c>
      <c r="C735" s="75" t="inlineStr">
        <is>
          <t>5100000731</t>
        </is>
      </c>
      <c r="D735" s="78" t="n">
        <v>45767</v>
      </c>
      <c r="E735" s="75" t="inlineStr">
        <is>
          <t>KR</t>
        </is>
      </c>
      <c r="F735" s="75" t="n">
        <v>62501000</v>
      </c>
      <c r="G735" s="75" t="n">
        <v>1401</v>
      </c>
      <c r="H735" s="76" t="n">
        <v>124000</v>
      </c>
      <c r="I735" s="75" t="inlineStr">
        <is>
          <t>4월 회의 다과 - (법인카드)</t>
        </is>
      </c>
      <c r="J735" s="75" t="inlineStr">
        <is>
          <t>V10008</t>
        </is>
      </c>
      <c r="K735" s="75" t="inlineStr">
        <is>
          <t>(법인카드)</t>
        </is>
      </c>
      <c r="M735" s="9">
        <f>IF($A735="","",VALUE($A735&amp;"")*12+VALUE($B735&amp;""))</f>
        <v/>
      </c>
      <c r="N735" s="39">
        <f>IF($A735="","",IFERROR(INDEX(부서매핑!$C$5:$C$504,MATCH($G735&amp;"",부서매핑!$A$5:$A$504,0)),"미매핑"))</f>
        <v/>
      </c>
      <c r="O735" s="9">
        <f>IF($A735="","",N735&amp;"|"&amp;$F735)</f>
        <v/>
      </c>
      <c r="P735" s="77">
        <f>IF($A735="",0,$H735*설정!$C$23)</f>
        <v/>
      </c>
      <c r="Q735" s="39">
        <f>IF($A735="","",IF(O735&lt;&gt;원인분석!$C$9,"",IF(AND(M735&gt;=원인분석!$C$10,M735&lt;=원인분석!$C$11),"당기",IF(AND(M735&gt;=원인분석!$C$12,M735&lt;=원인분석!$C$13),"비교",""))))</f>
        <v/>
      </c>
      <c r="R735" s="9">
        <f>IF(Q735="","",$K735&amp;"")</f>
        <v/>
      </c>
      <c r="S735" s="9">
        <f>IF(Q735="","",IF(MATCH(R735,$R$5:$R$100000,0)=ROW()-4,ROW(),""))</f>
        <v/>
      </c>
      <c r="T735" s="9">
        <f>IF(Q735="당기",ABS(P735)+ROW()/1000000000,"")</f>
        <v/>
      </c>
      <c r="U735" s="9">
        <f>IF(Q735="비교",ABS(P735)+ROW()/1000000000,"")</f>
        <v/>
      </c>
      <c r="V735" s="39">
        <f>IF($A735="","",IF(COUNTIF(변동분석!$E$7:$E$506,O735)&gt;0,"Y","N"))</f>
        <v/>
      </c>
      <c r="W735" s="39">
        <f>IF($A735="","",IFERROR(INDEX(계정매핑!$D$5:$D$504,MATCH($F735&amp;"",계정매핑!$A$5:$A$504,0)),"미매핑"))</f>
        <v/>
      </c>
      <c r="X735" s="9">
        <f>IF($A735="","",$F735&amp;"")</f>
        <v/>
      </c>
    </row>
    <row r="736">
      <c r="A736" s="75" t="n">
        <v>2025</v>
      </c>
      <c r="B736" s="75" t="n">
        <v>4</v>
      </c>
      <c r="C736" s="75" t="inlineStr">
        <is>
          <t>5100000732</t>
        </is>
      </c>
      <c r="D736" s="78" t="n">
        <v>45767</v>
      </c>
      <c r="E736" s="75" t="inlineStr">
        <is>
          <t>KR</t>
        </is>
      </c>
      <c r="F736" s="75" t="n">
        <v>62902000</v>
      </c>
      <c r="G736" s="75" t="n">
        <v>1201</v>
      </c>
      <c r="H736" s="76" t="n">
        <v>1886000</v>
      </c>
      <c r="I736" s="75" t="inlineStr">
        <is>
          <t>4월 업무 위탁 수수료 - J콜센터</t>
        </is>
      </c>
      <c r="J736" s="75" t="inlineStr">
        <is>
          <t>V10013</t>
        </is>
      </c>
      <c r="K736" s="75" t="inlineStr">
        <is>
          <t>J콜센터</t>
        </is>
      </c>
      <c r="M736" s="9">
        <f>IF($A736="","",VALUE($A736&amp;"")*12+VALUE($B736&amp;""))</f>
        <v/>
      </c>
      <c r="N736" s="39">
        <f>IF($A736="","",IFERROR(INDEX(부서매핑!$C$5:$C$504,MATCH($G736&amp;"",부서매핑!$A$5:$A$504,0)),"미매핑"))</f>
        <v/>
      </c>
      <c r="O736" s="9">
        <f>IF($A736="","",N736&amp;"|"&amp;$F736)</f>
        <v/>
      </c>
      <c r="P736" s="77">
        <f>IF($A736="",0,$H736*설정!$C$23)</f>
        <v/>
      </c>
      <c r="Q736" s="39">
        <f>IF($A736="","",IF(O736&lt;&gt;원인분석!$C$9,"",IF(AND(M736&gt;=원인분석!$C$10,M736&lt;=원인분석!$C$11),"당기",IF(AND(M736&gt;=원인분석!$C$12,M736&lt;=원인분석!$C$13),"비교",""))))</f>
        <v/>
      </c>
      <c r="R736" s="9">
        <f>IF(Q736="","",$K736&amp;"")</f>
        <v/>
      </c>
      <c r="S736" s="9">
        <f>IF(Q736="","",IF(MATCH(R736,$R$5:$R$100000,0)=ROW()-4,ROW(),""))</f>
        <v/>
      </c>
      <c r="T736" s="9">
        <f>IF(Q736="당기",ABS(P736)+ROW()/1000000000,"")</f>
        <v/>
      </c>
      <c r="U736" s="9">
        <f>IF(Q736="비교",ABS(P736)+ROW()/1000000000,"")</f>
        <v/>
      </c>
      <c r="V736" s="39">
        <f>IF($A736="","",IF(COUNTIF(변동분석!$E$7:$E$506,O736)&gt;0,"Y","N"))</f>
        <v/>
      </c>
      <c r="W736" s="39">
        <f>IF($A736="","",IFERROR(INDEX(계정매핑!$D$5:$D$504,MATCH($F736&amp;"",계정매핑!$A$5:$A$504,0)),"미매핑"))</f>
        <v/>
      </c>
      <c r="X736" s="9">
        <f>IF($A736="","",$F736&amp;"")</f>
        <v/>
      </c>
    </row>
    <row r="737">
      <c r="A737" s="75" t="n">
        <v>2025</v>
      </c>
      <c r="B737" s="75" t="n">
        <v>4</v>
      </c>
      <c r="C737" s="75" t="inlineStr">
        <is>
          <t>5100000733</t>
        </is>
      </c>
      <c r="D737" s="78" t="n">
        <v>45768</v>
      </c>
      <c r="E737" s="75" t="inlineStr">
        <is>
          <t>KR</t>
        </is>
      </c>
      <c r="F737" s="75" t="n">
        <v>62101000</v>
      </c>
      <c r="G737" s="75" t="n">
        <v>1301</v>
      </c>
      <c r="H737" s="76" t="n">
        <v>339000</v>
      </c>
      <c r="I737" s="75" t="inlineStr">
        <is>
          <t>4월 국내출장 - (법인카드)</t>
        </is>
      </c>
      <c r="J737" s="75" t="inlineStr">
        <is>
          <t>V10008</t>
        </is>
      </c>
      <c r="K737" s="75" t="inlineStr">
        <is>
          <t>(법인카드)</t>
        </is>
      </c>
      <c r="M737" s="9">
        <f>IF($A737="","",VALUE($A737&amp;"")*12+VALUE($B737&amp;""))</f>
        <v/>
      </c>
      <c r="N737" s="39">
        <f>IF($A737="","",IFERROR(INDEX(부서매핑!$C$5:$C$504,MATCH($G737&amp;"",부서매핑!$A$5:$A$504,0)),"미매핑"))</f>
        <v/>
      </c>
      <c r="O737" s="9">
        <f>IF($A737="","",N737&amp;"|"&amp;$F737)</f>
        <v/>
      </c>
      <c r="P737" s="77">
        <f>IF($A737="",0,$H737*설정!$C$23)</f>
        <v/>
      </c>
      <c r="Q737" s="39">
        <f>IF($A737="","",IF(O737&lt;&gt;원인분석!$C$9,"",IF(AND(M737&gt;=원인분석!$C$10,M737&lt;=원인분석!$C$11),"당기",IF(AND(M737&gt;=원인분석!$C$12,M737&lt;=원인분석!$C$13),"비교",""))))</f>
        <v/>
      </c>
      <c r="R737" s="9">
        <f>IF(Q737="","",$K737&amp;"")</f>
        <v/>
      </c>
      <c r="S737" s="9">
        <f>IF(Q737="","",IF(MATCH(R737,$R$5:$R$100000,0)=ROW()-4,ROW(),""))</f>
        <v/>
      </c>
      <c r="T737" s="9">
        <f>IF(Q737="당기",ABS(P737)+ROW()/1000000000,"")</f>
        <v/>
      </c>
      <c r="U737" s="9">
        <f>IF(Q737="비교",ABS(P737)+ROW()/1000000000,"")</f>
        <v/>
      </c>
      <c r="V737" s="39">
        <f>IF($A737="","",IF(COUNTIF(변동분석!$E$7:$E$506,O737)&gt;0,"Y","N"))</f>
        <v/>
      </c>
      <c r="W737" s="39">
        <f>IF($A737="","",IFERROR(INDEX(계정매핑!$D$5:$D$504,MATCH($F737&amp;"",계정매핑!$A$5:$A$504,0)),"미매핑"))</f>
        <v/>
      </c>
      <c r="X737" s="9">
        <f>IF($A737="","",$F737&amp;"")</f>
        <v/>
      </c>
    </row>
    <row r="738">
      <c r="A738" s="75" t="n">
        <v>2025</v>
      </c>
      <c r="B738" s="75" t="n">
        <v>4</v>
      </c>
      <c r="C738" s="75" t="inlineStr">
        <is>
          <t>5100000734</t>
        </is>
      </c>
      <c r="D738" s="78" t="n">
        <v>45768</v>
      </c>
      <c r="E738" s="75" t="inlineStr">
        <is>
          <t>KR</t>
        </is>
      </c>
      <c r="F738" s="75" t="n">
        <v>62101000</v>
      </c>
      <c r="G738" s="75" t="n">
        <v>1401</v>
      </c>
      <c r="H738" s="76" t="n">
        <v>581000</v>
      </c>
      <c r="I738" s="75" t="inlineStr">
        <is>
          <t>4월 국내출장 - (법인카드)</t>
        </is>
      </c>
      <c r="J738" s="75" t="inlineStr">
        <is>
          <t>V10008</t>
        </is>
      </c>
      <c r="K738" s="75" t="inlineStr">
        <is>
          <t>(법인카드)</t>
        </is>
      </c>
      <c r="M738" s="9">
        <f>IF($A738="","",VALUE($A738&amp;"")*12+VALUE($B738&amp;""))</f>
        <v/>
      </c>
      <c r="N738" s="39">
        <f>IF($A738="","",IFERROR(INDEX(부서매핑!$C$5:$C$504,MATCH($G738&amp;"",부서매핑!$A$5:$A$504,0)),"미매핑"))</f>
        <v/>
      </c>
      <c r="O738" s="9">
        <f>IF($A738="","",N738&amp;"|"&amp;$F738)</f>
        <v/>
      </c>
      <c r="P738" s="77">
        <f>IF($A738="",0,$H738*설정!$C$23)</f>
        <v/>
      </c>
      <c r="Q738" s="39">
        <f>IF($A738="","",IF(O738&lt;&gt;원인분석!$C$9,"",IF(AND(M738&gt;=원인분석!$C$10,M738&lt;=원인분석!$C$11),"당기",IF(AND(M738&gt;=원인분석!$C$12,M738&lt;=원인분석!$C$13),"비교",""))))</f>
        <v/>
      </c>
      <c r="R738" s="9">
        <f>IF(Q738="","",$K738&amp;"")</f>
        <v/>
      </c>
      <c r="S738" s="9">
        <f>IF(Q738="","",IF(MATCH(R738,$R$5:$R$100000,0)=ROW()-4,ROW(),""))</f>
        <v/>
      </c>
      <c r="T738" s="9">
        <f>IF(Q738="당기",ABS(P738)+ROW()/1000000000,"")</f>
        <v/>
      </c>
      <c r="U738" s="9">
        <f>IF(Q738="비교",ABS(P738)+ROW()/1000000000,"")</f>
        <v/>
      </c>
      <c r="V738" s="39">
        <f>IF($A738="","",IF(COUNTIF(변동분석!$E$7:$E$506,O738)&gt;0,"Y","N"))</f>
        <v/>
      </c>
      <c r="W738" s="39">
        <f>IF($A738="","",IFERROR(INDEX(계정매핑!$D$5:$D$504,MATCH($F738&amp;"",계정매핑!$A$5:$A$504,0)),"미매핑"))</f>
        <v/>
      </c>
      <c r="X738" s="9">
        <f>IF($A738="","",$F738&amp;"")</f>
        <v/>
      </c>
    </row>
    <row r="739">
      <c r="A739" s="75" t="n">
        <v>2025</v>
      </c>
      <c r="B739" s="75" t="n">
        <v>4</v>
      </c>
      <c r="C739" s="75" t="inlineStr">
        <is>
          <t>5100000735</t>
        </is>
      </c>
      <c r="D739" s="78" t="n">
        <v>45768</v>
      </c>
      <c r="E739" s="75" t="inlineStr">
        <is>
          <t>KR</t>
        </is>
      </c>
      <c r="F739" s="75" t="n">
        <v>62201000</v>
      </c>
      <c r="G739" s="75" t="n">
        <v>1501</v>
      </c>
      <c r="H739" s="76" t="n">
        <v>259000</v>
      </c>
      <c r="I739" s="75" t="inlineStr">
        <is>
          <t>4월 통신요금 - P통신</t>
        </is>
      </c>
      <c r="J739" s="75" t="inlineStr">
        <is>
          <t>V10011</t>
        </is>
      </c>
      <c r="K739" s="75" t="inlineStr">
        <is>
          <t>P통신</t>
        </is>
      </c>
      <c r="M739" s="9">
        <f>IF($A739="","",VALUE($A739&amp;"")*12+VALUE($B739&amp;""))</f>
        <v/>
      </c>
      <c r="N739" s="39">
        <f>IF($A739="","",IFERROR(INDEX(부서매핑!$C$5:$C$504,MATCH($G739&amp;"",부서매핑!$A$5:$A$504,0)),"미매핑"))</f>
        <v/>
      </c>
      <c r="O739" s="9">
        <f>IF($A739="","",N739&amp;"|"&amp;$F739)</f>
        <v/>
      </c>
      <c r="P739" s="77">
        <f>IF($A739="",0,$H739*설정!$C$23)</f>
        <v/>
      </c>
      <c r="Q739" s="39">
        <f>IF($A739="","",IF(O739&lt;&gt;원인분석!$C$9,"",IF(AND(M739&gt;=원인분석!$C$10,M739&lt;=원인분석!$C$11),"당기",IF(AND(M739&gt;=원인분석!$C$12,M739&lt;=원인분석!$C$13),"비교",""))))</f>
        <v/>
      </c>
      <c r="R739" s="9">
        <f>IF(Q739="","",$K739&amp;"")</f>
        <v/>
      </c>
      <c r="S739" s="9">
        <f>IF(Q739="","",IF(MATCH(R739,$R$5:$R$100000,0)=ROW()-4,ROW(),""))</f>
        <v/>
      </c>
      <c r="T739" s="9">
        <f>IF(Q739="당기",ABS(P739)+ROW()/1000000000,"")</f>
        <v/>
      </c>
      <c r="U739" s="9">
        <f>IF(Q739="비교",ABS(P739)+ROW()/1000000000,"")</f>
        <v/>
      </c>
      <c r="V739" s="39">
        <f>IF($A739="","",IF(COUNTIF(변동분석!$E$7:$E$506,O739)&gt;0,"Y","N"))</f>
        <v/>
      </c>
      <c r="W739" s="39">
        <f>IF($A739="","",IFERROR(INDEX(계정매핑!$D$5:$D$504,MATCH($F739&amp;"",계정매핑!$A$5:$A$504,0)),"미매핑"))</f>
        <v/>
      </c>
      <c r="X739" s="9">
        <f>IF($A739="","",$F739&amp;"")</f>
        <v/>
      </c>
    </row>
    <row r="740">
      <c r="A740" s="75" t="n">
        <v>2025</v>
      </c>
      <c r="B740" s="75" t="n">
        <v>4</v>
      </c>
      <c r="C740" s="75" t="inlineStr">
        <is>
          <t>5100000736</t>
        </is>
      </c>
      <c r="D740" s="78" t="n">
        <v>45768</v>
      </c>
      <c r="E740" s="75" t="inlineStr">
        <is>
          <t>KR</t>
        </is>
      </c>
      <c r="F740" s="75" t="n">
        <v>62301000</v>
      </c>
      <c r="G740" s="75" t="n">
        <v>1801</v>
      </c>
      <c r="H740" s="76" t="n">
        <v>675000</v>
      </c>
      <c r="I740" s="75" t="inlineStr">
        <is>
          <t>4월 소모품 구입 - Q오피스</t>
        </is>
      </c>
      <c r="J740" s="75" t="inlineStr">
        <is>
          <t>V10003</t>
        </is>
      </c>
      <c r="K740" s="75" t="inlineStr">
        <is>
          <t>Q오피스</t>
        </is>
      </c>
      <c r="M740" s="9">
        <f>IF($A740="","",VALUE($A740&amp;"")*12+VALUE($B740&amp;""))</f>
        <v/>
      </c>
      <c r="N740" s="39">
        <f>IF($A740="","",IFERROR(INDEX(부서매핑!$C$5:$C$504,MATCH($G740&amp;"",부서매핑!$A$5:$A$504,0)),"미매핑"))</f>
        <v/>
      </c>
      <c r="O740" s="9">
        <f>IF($A740="","",N740&amp;"|"&amp;$F740)</f>
        <v/>
      </c>
      <c r="P740" s="77">
        <f>IF($A740="",0,$H740*설정!$C$23)</f>
        <v/>
      </c>
      <c r="Q740" s="39">
        <f>IF($A740="","",IF(O740&lt;&gt;원인분석!$C$9,"",IF(AND(M740&gt;=원인분석!$C$10,M740&lt;=원인분석!$C$11),"당기",IF(AND(M740&gt;=원인분석!$C$12,M740&lt;=원인분석!$C$13),"비교",""))))</f>
        <v/>
      </c>
      <c r="R740" s="9">
        <f>IF(Q740="","",$K740&amp;"")</f>
        <v/>
      </c>
      <c r="S740" s="9">
        <f>IF(Q740="","",IF(MATCH(R740,$R$5:$R$100000,0)=ROW()-4,ROW(),""))</f>
        <v/>
      </c>
      <c r="T740" s="9">
        <f>IF(Q740="당기",ABS(P740)+ROW()/1000000000,"")</f>
        <v/>
      </c>
      <c r="U740" s="9">
        <f>IF(Q740="비교",ABS(P740)+ROW()/1000000000,"")</f>
        <v/>
      </c>
      <c r="V740" s="39">
        <f>IF($A740="","",IF(COUNTIF(변동분석!$E$7:$E$506,O740)&gt;0,"Y","N"))</f>
        <v/>
      </c>
      <c r="W740" s="39">
        <f>IF($A740="","",IFERROR(INDEX(계정매핑!$D$5:$D$504,MATCH($F740&amp;"",계정매핑!$A$5:$A$504,0)),"미매핑"))</f>
        <v/>
      </c>
      <c r="X740" s="9">
        <f>IF($A740="","",$F740&amp;"")</f>
        <v/>
      </c>
    </row>
    <row r="741">
      <c r="A741" s="75" t="n">
        <v>2025</v>
      </c>
      <c r="B741" s="75" t="n">
        <v>4</v>
      </c>
      <c r="C741" s="75" t="inlineStr">
        <is>
          <t>5100000737</t>
        </is>
      </c>
      <c r="D741" s="78" t="n">
        <v>45768</v>
      </c>
      <c r="E741" s="75" t="inlineStr">
        <is>
          <t>KR</t>
        </is>
      </c>
      <c r="F741" s="75" t="n">
        <v>62601000</v>
      </c>
      <c r="G741" s="75" t="n">
        <v>1101</v>
      </c>
      <c r="H741" s="76" t="n">
        <v>1578000</v>
      </c>
      <c r="I741" s="75" t="inlineStr">
        <is>
          <t>4월 업무추진 - (법인카드)</t>
        </is>
      </c>
      <c r="J741" s="75" t="inlineStr">
        <is>
          <t>V10008</t>
        </is>
      </c>
      <c r="K741" s="75" t="inlineStr">
        <is>
          <t>(법인카드)</t>
        </is>
      </c>
      <c r="M741" s="9">
        <f>IF($A741="","",VALUE($A741&amp;"")*12+VALUE($B741&amp;""))</f>
        <v/>
      </c>
      <c r="N741" s="39">
        <f>IF($A741="","",IFERROR(INDEX(부서매핑!$C$5:$C$504,MATCH($G741&amp;"",부서매핑!$A$5:$A$504,0)),"미매핑"))</f>
        <v/>
      </c>
      <c r="O741" s="9">
        <f>IF($A741="","",N741&amp;"|"&amp;$F741)</f>
        <v/>
      </c>
      <c r="P741" s="77">
        <f>IF($A741="",0,$H741*설정!$C$23)</f>
        <v/>
      </c>
      <c r="Q741" s="39">
        <f>IF($A741="","",IF(O741&lt;&gt;원인분석!$C$9,"",IF(AND(M741&gt;=원인분석!$C$10,M741&lt;=원인분석!$C$11),"당기",IF(AND(M741&gt;=원인분석!$C$12,M741&lt;=원인분석!$C$13),"비교",""))))</f>
        <v/>
      </c>
      <c r="R741" s="9">
        <f>IF(Q741="","",$K741&amp;"")</f>
        <v/>
      </c>
      <c r="S741" s="9">
        <f>IF(Q741="","",IF(MATCH(R741,$R$5:$R$100000,0)=ROW()-4,ROW(),""))</f>
        <v/>
      </c>
      <c r="T741" s="9">
        <f>IF(Q741="당기",ABS(P741)+ROW()/1000000000,"")</f>
        <v/>
      </c>
      <c r="U741" s="9">
        <f>IF(Q741="비교",ABS(P741)+ROW()/1000000000,"")</f>
        <v/>
      </c>
      <c r="V741" s="39">
        <f>IF($A741="","",IF(COUNTIF(변동분석!$E$7:$E$506,O741)&gt;0,"Y","N"))</f>
        <v/>
      </c>
      <c r="W741" s="39">
        <f>IF($A741="","",IFERROR(INDEX(계정매핑!$D$5:$D$504,MATCH($F741&amp;"",계정매핑!$A$5:$A$504,0)),"미매핑"))</f>
        <v/>
      </c>
      <c r="X741" s="9">
        <f>IF($A741="","",$F741&amp;"")</f>
        <v/>
      </c>
    </row>
    <row r="742">
      <c r="A742" s="75" t="n">
        <v>2025</v>
      </c>
      <c r="B742" s="75" t="n">
        <v>4</v>
      </c>
      <c r="C742" s="75" t="inlineStr">
        <is>
          <t>5100000738</t>
        </is>
      </c>
      <c r="D742" s="78" t="n">
        <v>45768</v>
      </c>
      <c r="E742" s="75" t="inlineStr">
        <is>
          <t>KR</t>
        </is>
      </c>
      <c r="F742" s="75" t="n">
        <v>62601000</v>
      </c>
      <c r="G742" s="75" t="n">
        <v>1602</v>
      </c>
      <c r="H742" s="76" t="n">
        <v>1902000</v>
      </c>
      <c r="I742" s="75" t="inlineStr">
        <is>
          <t>4월 업무추진 - (법인카드)</t>
        </is>
      </c>
      <c r="J742" s="75" t="inlineStr">
        <is>
          <t>V10008</t>
        </is>
      </c>
      <c r="K742" s="75" t="inlineStr">
        <is>
          <t>(법인카드)</t>
        </is>
      </c>
      <c r="M742" s="9">
        <f>IF($A742="","",VALUE($A742&amp;"")*12+VALUE($B742&amp;""))</f>
        <v/>
      </c>
      <c r="N742" s="39">
        <f>IF($A742="","",IFERROR(INDEX(부서매핑!$C$5:$C$504,MATCH($G742&amp;"",부서매핑!$A$5:$A$504,0)),"미매핑"))</f>
        <v/>
      </c>
      <c r="O742" s="9">
        <f>IF($A742="","",N742&amp;"|"&amp;$F742)</f>
        <v/>
      </c>
      <c r="P742" s="77">
        <f>IF($A742="",0,$H742*설정!$C$23)</f>
        <v/>
      </c>
      <c r="Q742" s="39">
        <f>IF($A742="","",IF(O742&lt;&gt;원인분석!$C$9,"",IF(AND(M742&gt;=원인분석!$C$10,M742&lt;=원인분석!$C$11),"당기",IF(AND(M742&gt;=원인분석!$C$12,M742&lt;=원인분석!$C$13),"비교",""))))</f>
        <v/>
      </c>
      <c r="R742" s="9">
        <f>IF(Q742="","",$K742&amp;"")</f>
        <v/>
      </c>
      <c r="S742" s="9">
        <f>IF(Q742="","",IF(MATCH(R742,$R$5:$R$100000,0)=ROW()-4,ROW(),""))</f>
        <v/>
      </c>
      <c r="T742" s="9">
        <f>IF(Q742="당기",ABS(P742)+ROW()/1000000000,"")</f>
        <v/>
      </c>
      <c r="U742" s="9">
        <f>IF(Q742="비교",ABS(P742)+ROW()/1000000000,"")</f>
        <v/>
      </c>
      <c r="V742" s="39">
        <f>IF($A742="","",IF(COUNTIF(변동분석!$E$7:$E$506,O742)&gt;0,"Y","N"))</f>
        <v/>
      </c>
      <c r="W742" s="39">
        <f>IF($A742="","",IFERROR(INDEX(계정매핑!$D$5:$D$504,MATCH($F742&amp;"",계정매핑!$A$5:$A$504,0)),"미매핑"))</f>
        <v/>
      </c>
      <c r="X742" s="9">
        <f>IF($A742="","",$F742&amp;"")</f>
        <v/>
      </c>
    </row>
    <row r="743">
      <c r="A743" s="75" t="n">
        <v>2025</v>
      </c>
      <c r="B743" s="75" t="n">
        <v>4</v>
      </c>
      <c r="C743" s="75" t="inlineStr">
        <is>
          <t>5100000739</t>
        </is>
      </c>
      <c r="D743" s="78" t="n">
        <v>45768</v>
      </c>
      <c r="E743" s="75" t="inlineStr">
        <is>
          <t>KR</t>
        </is>
      </c>
      <c r="F743" s="75" t="n">
        <v>63001000</v>
      </c>
      <c r="G743" s="75" t="n">
        <v>1701</v>
      </c>
      <c r="H743" s="76" t="n">
        <v>23641000</v>
      </c>
      <c r="I743" s="75" t="inlineStr">
        <is>
          <t>4월 SW 유지보수 - Z시스템</t>
        </is>
      </c>
      <c r="J743" s="75" t="inlineStr">
        <is>
          <t>V10021</t>
        </is>
      </c>
      <c r="K743" s="75" t="inlineStr">
        <is>
          <t>Z시스템</t>
        </is>
      </c>
      <c r="M743" s="9">
        <f>IF($A743="","",VALUE($A743&amp;"")*12+VALUE($B743&amp;""))</f>
        <v/>
      </c>
      <c r="N743" s="39">
        <f>IF($A743="","",IFERROR(INDEX(부서매핑!$C$5:$C$504,MATCH($G743&amp;"",부서매핑!$A$5:$A$504,0)),"미매핑"))</f>
        <v/>
      </c>
      <c r="O743" s="9">
        <f>IF($A743="","",N743&amp;"|"&amp;$F743)</f>
        <v/>
      </c>
      <c r="P743" s="77">
        <f>IF($A743="",0,$H743*설정!$C$23)</f>
        <v/>
      </c>
      <c r="Q743" s="39">
        <f>IF($A743="","",IF(O743&lt;&gt;원인분석!$C$9,"",IF(AND(M743&gt;=원인분석!$C$10,M743&lt;=원인분석!$C$11),"당기",IF(AND(M743&gt;=원인분석!$C$12,M743&lt;=원인분석!$C$13),"비교",""))))</f>
        <v/>
      </c>
      <c r="R743" s="9">
        <f>IF(Q743="","",$K743&amp;"")</f>
        <v/>
      </c>
      <c r="S743" s="9">
        <f>IF(Q743="","",IF(MATCH(R743,$R$5:$R$100000,0)=ROW()-4,ROW(),""))</f>
        <v/>
      </c>
      <c r="T743" s="9">
        <f>IF(Q743="당기",ABS(P743)+ROW()/1000000000,"")</f>
        <v/>
      </c>
      <c r="U743" s="9">
        <f>IF(Q743="비교",ABS(P743)+ROW()/1000000000,"")</f>
        <v/>
      </c>
      <c r="V743" s="39">
        <f>IF($A743="","",IF(COUNTIF(변동분석!$E$7:$E$506,O743)&gt;0,"Y","N"))</f>
        <v/>
      </c>
      <c r="W743" s="39">
        <f>IF($A743="","",IFERROR(INDEX(계정매핑!$D$5:$D$504,MATCH($F743&amp;"",계정매핑!$A$5:$A$504,0)),"미매핑"))</f>
        <v/>
      </c>
      <c r="X743" s="9">
        <f>IF($A743="","",$F743&amp;"")</f>
        <v/>
      </c>
    </row>
    <row r="744">
      <c r="A744" s="75" t="n">
        <v>2025</v>
      </c>
      <c r="B744" s="75" t="n">
        <v>4</v>
      </c>
      <c r="C744" s="75" t="inlineStr">
        <is>
          <t>5100000740</t>
        </is>
      </c>
      <c r="D744" s="78" t="n">
        <v>45769</v>
      </c>
      <c r="E744" s="75" t="inlineStr">
        <is>
          <t>KR</t>
        </is>
      </c>
      <c r="F744" s="75" t="n">
        <v>62101000</v>
      </c>
      <c r="G744" s="75" t="n">
        <v>1501</v>
      </c>
      <c r="H744" s="76" t="n">
        <v>438000</v>
      </c>
      <c r="I744" s="75" t="inlineStr">
        <is>
          <t>4월 국내출장 - L여행사</t>
        </is>
      </c>
      <c r="J744" s="75" t="inlineStr">
        <is>
          <t>V10014</t>
        </is>
      </c>
      <c r="K744" s="75" t="inlineStr">
        <is>
          <t>L여행사</t>
        </is>
      </c>
      <c r="M744" s="9">
        <f>IF($A744="","",VALUE($A744&amp;"")*12+VALUE($B744&amp;""))</f>
        <v/>
      </c>
      <c r="N744" s="39">
        <f>IF($A744="","",IFERROR(INDEX(부서매핑!$C$5:$C$504,MATCH($G744&amp;"",부서매핑!$A$5:$A$504,0)),"미매핑"))</f>
        <v/>
      </c>
      <c r="O744" s="9">
        <f>IF($A744="","",N744&amp;"|"&amp;$F744)</f>
        <v/>
      </c>
      <c r="P744" s="77">
        <f>IF($A744="",0,$H744*설정!$C$23)</f>
        <v/>
      </c>
      <c r="Q744" s="39">
        <f>IF($A744="","",IF(O744&lt;&gt;원인분석!$C$9,"",IF(AND(M744&gt;=원인분석!$C$10,M744&lt;=원인분석!$C$11),"당기",IF(AND(M744&gt;=원인분석!$C$12,M744&lt;=원인분석!$C$13),"비교",""))))</f>
        <v/>
      </c>
      <c r="R744" s="9">
        <f>IF(Q744="","",$K744&amp;"")</f>
        <v/>
      </c>
      <c r="S744" s="9">
        <f>IF(Q744="","",IF(MATCH(R744,$R$5:$R$100000,0)=ROW()-4,ROW(),""))</f>
        <v/>
      </c>
      <c r="T744" s="9">
        <f>IF(Q744="당기",ABS(P744)+ROW()/1000000000,"")</f>
        <v/>
      </c>
      <c r="U744" s="9">
        <f>IF(Q744="비교",ABS(P744)+ROW()/1000000000,"")</f>
        <v/>
      </c>
      <c r="V744" s="39">
        <f>IF($A744="","",IF(COUNTIF(변동분석!$E$7:$E$506,O744)&gt;0,"Y","N"))</f>
        <v/>
      </c>
      <c r="W744" s="39">
        <f>IF($A744="","",IFERROR(INDEX(계정매핑!$D$5:$D$504,MATCH($F744&amp;"",계정매핑!$A$5:$A$504,0)),"미매핑"))</f>
        <v/>
      </c>
      <c r="X744" s="9">
        <f>IF($A744="","",$F744&amp;"")</f>
        <v/>
      </c>
    </row>
    <row r="745">
      <c r="A745" s="75" t="n">
        <v>2025</v>
      </c>
      <c r="B745" s="75" t="n">
        <v>4</v>
      </c>
      <c r="C745" s="75" t="inlineStr">
        <is>
          <t>5100000741</t>
        </is>
      </c>
      <c r="D745" s="78" t="n">
        <v>45769</v>
      </c>
      <c r="E745" s="75" t="inlineStr">
        <is>
          <t>KR</t>
        </is>
      </c>
      <c r="F745" s="75" t="n">
        <v>62101000</v>
      </c>
      <c r="G745" s="75" t="n">
        <v>1602</v>
      </c>
      <c r="H745" s="76" t="n">
        <v>1556000</v>
      </c>
      <c r="I745" s="75" t="inlineStr">
        <is>
          <t>4월 국내출장 - L여행사</t>
        </is>
      </c>
      <c r="J745" s="75" t="inlineStr">
        <is>
          <t>V10014</t>
        </is>
      </c>
      <c r="K745" s="75" t="inlineStr">
        <is>
          <t>L여행사</t>
        </is>
      </c>
      <c r="M745" s="9">
        <f>IF($A745="","",VALUE($A745&amp;"")*12+VALUE($B745&amp;""))</f>
        <v/>
      </c>
      <c r="N745" s="39">
        <f>IF($A745="","",IFERROR(INDEX(부서매핑!$C$5:$C$504,MATCH($G745&amp;"",부서매핑!$A$5:$A$504,0)),"미매핑"))</f>
        <v/>
      </c>
      <c r="O745" s="9">
        <f>IF($A745="","",N745&amp;"|"&amp;$F745)</f>
        <v/>
      </c>
      <c r="P745" s="77">
        <f>IF($A745="",0,$H745*설정!$C$23)</f>
        <v/>
      </c>
      <c r="Q745" s="39">
        <f>IF($A745="","",IF(O745&lt;&gt;원인분석!$C$9,"",IF(AND(M745&gt;=원인분석!$C$10,M745&lt;=원인분석!$C$11),"당기",IF(AND(M745&gt;=원인분석!$C$12,M745&lt;=원인분석!$C$13),"비교",""))))</f>
        <v/>
      </c>
      <c r="R745" s="9">
        <f>IF(Q745="","",$K745&amp;"")</f>
        <v/>
      </c>
      <c r="S745" s="9">
        <f>IF(Q745="","",IF(MATCH(R745,$R$5:$R$100000,0)=ROW()-4,ROW(),""))</f>
        <v/>
      </c>
      <c r="T745" s="9">
        <f>IF(Q745="당기",ABS(P745)+ROW()/1000000000,"")</f>
        <v/>
      </c>
      <c r="U745" s="9">
        <f>IF(Q745="비교",ABS(P745)+ROW()/1000000000,"")</f>
        <v/>
      </c>
      <c r="V745" s="39">
        <f>IF($A745="","",IF(COUNTIF(변동분석!$E$7:$E$506,O745)&gt;0,"Y","N"))</f>
        <v/>
      </c>
      <c r="W745" s="39">
        <f>IF($A745="","",IFERROR(INDEX(계정매핑!$D$5:$D$504,MATCH($F745&amp;"",계정매핑!$A$5:$A$504,0)),"미매핑"))</f>
        <v/>
      </c>
      <c r="X745" s="9">
        <f>IF($A745="","",$F745&amp;"")</f>
        <v/>
      </c>
    </row>
    <row r="746">
      <c r="A746" s="75" t="n">
        <v>2025</v>
      </c>
      <c r="B746" s="75" t="n">
        <v>4</v>
      </c>
      <c r="C746" s="75" t="inlineStr">
        <is>
          <t>5100000742</t>
        </is>
      </c>
      <c r="D746" s="78" t="n">
        <v>45769</v>
      </c>
      <c r="E746" s="75" t="inlineStr">
        <is>
          <t>KR</t>
        </is>
      </c>
      <c r="F746" s="75" t="n">
        <v>62101000</v>
      </c>
      <c r="G746" s="75" t="n">
        <v>1801</v>
      </c>
      <c r="H746" s="76" t="n">
        <v>117000</v>
      </c>
      <c r="I746" s="75" t="inlineStr">
        <is>
          <t>4월 국내출장 - L여행사</t>
        </is>
      </c>
      <c r="J746" s="75" t="inlineStr">
        <is>
          <t>V10014</t>
        </is>
      </c>
      <c r="K746" s="75" t="inlineStr">
        <is>
          <t>L여행사</t>
        </is>
      </c>
      <c r="M746" s="9">
        <f>IF($A746="","",VALUE($A746&amp;"")*12+VALUE($B746&amp;""))</f>
        <v/>
      </c>
      <c r="N746" s="39">
        <f>IF($A746="","",IFERROR(INDEX(부서매핑!$C$5:$C$504,MATCH($G746&amp;"",부서매핑!$A$5:$A$504,0)),"미매핑"))</f>
        <v/>
      </c>
      <c r="O746" s="9">
        <f>IF($A746="","",N746&amp;"|"&amp;$F746)</f>
        <v/>
      </c>
      <c r="P746" s="77">
        <f>IF($A746="",0,$H746*설정!$C$23)</f>
        <v/>
      </c>
      <c r="Q746" s="39">
        <f>IF($A746="","",IF(O746&lt;&gt;원인분석!$C$9,"",IF(AND(M746&gt;=원인분석!$C$10,M746&lt;=원인분석!$C$11),"당기",IF(AND(M746&gt;=원인분석!$C$12,M746&lt;=원인분석!$C$13),"비교",""))))</f>
        <v/>
      </c>
      <c r="R746" s="9">
        <f>IF(Q746="","",$K746&amp;"")</f>
        <v/>
      </c>
      <c r="S746" s="9">
        <f>IF(Q746="","",IF(MATCH(R746,$R$5:$R$100000,0)=ROW()-4,ROW(),""))</f>
        <v/>
      </c>
      <c r="T746" s="9">
        <f>IF(Q746="당기",ABS(P746)+ROW()/1000000000,"")</f>
        <v/>
      </c>
      <c r="U746" s="9">
        <f>IF(Q746="비교",ABS(P746)+ROW()/1000000000,"")</f>
        <v/>
      </c>
      <c r="V746" s="39">
        <f>IF($A746="","",IF(COUNTIF(변동분석!$E$7:$E$506,O746)&gt;0,"Y","N"))</f>
        <v/>
      </c>
      <c r="W746" s="39">
        <f>IF($A746="","",IFERROR(INDEX(계정매핑!$D$5:$D$504,MATCH($F746&amp;"",계정매핑!$A$5:$A$504,0)),"미매핑"))</f>
        <v/>
      </c>
      <c r="X746" s="9">
        <f>IF($A746="","",$F746&amp;"")</f>
        <v/>
      </c>
    </row>
    <row r="747">
      <c r="A747" s="75" t="n">
        <v>2025</v>
      </c>
      <c r="B747" s="75" t="n">
        <v>4</v>
      </c>
      <c r="C747" s="75" t="inlineStr">
        <is>
          <t>5100000743</t>
        </is>
      </c>
      <c r="D747" s="78" t="n">
        <v>45769</v>
      </c>
      <c r="E747" s="75" t="inlineStr">
        <is>
          <t>KR</t>
        </is>
      </c>
      <c r="F747" s="75" t="n">
        <v>62102000</v>
      </c>
      <c r="G747" s="75" t="n">
        <v>1301</v>
      </c>
      <c r="H747" s="76" t="n">
        <v>107000</v>
      </c>
      <c r="I747" s="75" t="inlineStr">
        <is>
          <t>4월 해외출장 - N호텔</t>
        </is>
      </c>
      <c r="J747" s="75" t="inlineStr">
        <is>
          <t>V10007</t>
        </is>
      </c>
      <c r="K747" s="75" t="inlineStr">
        <is>
          <t>N호텔</t>
        </is>
      </c>
      <c r="M747" s="9">
        <f>IF($A747="","",VALUE($A747&amp;"")*12+VALUE($B747&amp;""))</f>
        <v/>
      </c>
      <c r="N747" s="39">
        <f>IF($A747="","",IFERROR(INDEX(부서매핑!$C$5:$C$504,MATCH($G747&amp;"",부서매핑!$A$5:$A$504,0)),"미매핑"))</f>
        <v/>
      </c>
      <c r="O747" s="9">
        <f>IF($A747="","",N747&amp;"|"&amp;$F747)</f>
        <v/>
      </c>
      <c r="P747" s="77">
        <f>IF($A747="",0,$H747*설정!$C$23)</f>
        <v/>
      </c>
      <c r="Q747" s="39">
        <f>IF($A747="","",IF(O747&lt;&gt;원인분석!$C$9,"",IF(AND(M747&gt;=원인분석!$C$10,M747&lt;=원인분석!$C$11),"당기",IF(AND(M747&gt;=원인분석!$C$12,M747&lt;=원인분석!$C$13),"비교",""))))</f>
        <v/>
      </c>
      <c r="R747" s="9">
        <f>IF(Q747="","",$K747&amp;"")</f>
        <v/>
      </c>
      <c r="S747" s="9">
        <f>IF(Q747="","",IF(MATCH(R747,$R$5:$R$100000,0)=ROW()-4,ROW(),""))</f>
        <v/>
      </c>
      <c r="T747" s="9">
        <f>IF(Q747="당기",ABS(P747)+ROW()/1000000000,"")</f>
        <v/>
      </c>
      <c r="U747" s="9">
        <f>IF(Q747="비교",ABS(P747)+ROW()/1000000000,"")</f>
        <v/>
      </c>
      <c r="V747" s="39">
        <f>IF($A747="","",IF(COUNTIF(변동분석!$E$7:$E$506,O747)&gt;0,"Y","N"))</f>
        <v/>
      </c>
      <c r="W747" s="39">
        <f>IF($A747="","",IFERROR(INDEX(계정매핑!$D$5:$D$504,MATCH($F747&amp;"",계정매핑!$A$5:$A$504,0)),"미매핑"))</f>
        <v/>
      </c>
      <c r="X747" s="9">
        <f>IF($A747="","",$F747&amp;"")</f>
        <v/>
      </c>
    </row>
    <row r="748">
      <c r="A748" s="75" t="n">
        <v>2025</v>
      </c>
      <c r="B748" s="75" t="n">
        <v>4</v>
      </c>
      <c r="C748" s="75" t="inlineStr">
        <is>
          <t>5100000744</t>
        </is>
      </c>
      <c r="D748" s="78" t="n">
        <v>45769</v>
      </c>
      <c r="E748" s="75" t="inlineStr">
        <is>
          <t>KR</t>
        </is>
      </c>
      <c r="F748" s="75" t="n">
        <v>62102000</v>
      </c>
      <c r="G748" s="75" t="n">
        <v>1401</v>
      </c>
      <c r="H748" s="76" t="n">
        <v>102000</v>
      </c>
      <c r="I748" s="75" t="inlineStr">
        <is>
          <t>4월 해외출장 - M항공</t>
        </is>
      </c>
      <c r="J748" s="75" t="inlineStr">
        <is>
          <t>V10001</t>
        </is>
      </c>
      <c r="K748" s="75" t="inlineStr">
        <is>
          <t>M항공</t>
        </is>
      </c>
      <c r="M748" s="9">
        <f>IF($A748="","",VALUE($A748&amp;"")*12+VALUE($B748&amp;""))</f>
        <v/>
      </c>
      <c r="N748" s="39">
        <f>IF($A748="","",IFERROR(INDEX(부서매핑!$C$5:$C$504,MATCH($G748&amp;"",부서매핑!$A$5:$A$504,0)),"미매핑"))</f>
        <v/>
      </c>
      <c r="O748" s="9">
        <f>IF($A748="","",N748&amp;"|"&amp;$F748)</f>
        <v/>
      </c>
      <c r="P748" s="77">
        <f>IF($A748="",0,$H748*설정!$C$23)</f>
        <v/>
      </c>
      <c r="Q748" s="39">
        <f>IF($A748="","",IF(O748&lt;&gt;원인분석!$C$9,"",IF(AND(M748&gt;=원인분석!$C$10,M748&lt;=원인분석!$C$11),"당기",IF(AND(M748&gt;=원인분석!$C$12,M748&lt;=원인분석!$C$13),"비교",""))))</f>
        <v/>
      </c>
      <c r="R748" s="9">
        <f>IF(Q748="","",$K748&amp;"")</f>
        <v/>
      </c>
      <c r="S748" s="9">
        <f>IF(Q748="","",IF(MATCH(R748,$R$5:$R$100000,0)=ROW()-4,ROW(),""))</f>
        <v/>
      </c>
      <c r="T748" s="9">
        <f>IF(Q748="당기",ABS(P748)+ROW()/1000000000,"")</f>
        <v/>
      </c>
      <c r="U748" s="9">
        <f>IF(Q748="비교",ABS(P748)+ROW()/1000000000,"")</f>
        <v/>
      </c>
      <c r="V748" s="39">
        <f>IF($A748="","",IF(COUNTIF(변동분석!$E$7:$E$506,O748)&gt;0,"Y","N"))</f>
        <v/>
      </c>
      <c r="W748" s="39">
        <f>IF($A748="","",IFERROR(INDEX(계정매핑!$D$5:$D$504,MATCH($F748&amp;"",계정매핑!$A$5:$A$504,0)),"미매핑"))</f>
        <v/>
      </c>
      <c r="X748" s="9">
        <f>IF($A748="","",$F748&amp;"")</f>
        <v/>
      </c>
    </row>
    <row r="749">
      <c r="A749" s="75" t="n">
        <v>2025</v>
      </c>
      <c r="B749" s="75" t="n">
        <v>4</v>
      </c>
      <c r="C749" s="75" t="inlineStr">
        <is>
          <t>5100000745</t>
        </is>
      </c>
      <c r="D749" s="78" t="n">
        <v>45769</v>
      </c>
      <c r="E749" s="75" t="inlineStr">
        <is>
          <t>KR</t>
        </is>
      </c>
      <c r="F749" s="75" t="n">
        <v>62201000</v>
      </c>
      <c r="G749" s="75" t="n">
        <v>1701</v>
      </c>
      <c r="H749" s="76" t="n">
        <v>6946000</v>
      </c>
      <c r="I749" s="75" t="inlineStr">
        <is>
          <t>4월 통신요금 - O텔레콤</t>
        </is>
      </c>
      <c r="J749" s="75" t="inlineStr">
        <is>
          <t>V10002</t>
        </is>
      </c>
      <c r="K749" s="75" t="inlineStr">
        <is>
          <t>O텔레콤</t>
        </is>
      </c>
      <c r="M749" s="9">
        <f>IF($A749="","",VALUE($A749&amp;"")*12+VALUE($B749&amp;""))</f>
        <v/>
      </c>
      <c r="N749" s="39">
        <f>IF($A749="","",IFERROR(INDEX(부서매핑!$C$5:$C$504,MATCH($G749&amp;"",부서매핑!$A$5:$A$504,0)),"미매핑"))</f>
        <v/>
      </c>
      <c r="O749" s="9">
        <f>IF($A749="","",N749&amp;"|"&amp;$F749)</f>
        <v/>
      </c>
      <c r="P749" s="77">
        <f>IF($A749="",0,$H749*설정!$C$23)</f>
        <v/>
      </c>
      <c r="Q749" s="39">
        <f>IF($A749="","",IF(O749&lt;&gt;원인분석!$C$9,"",IF(AND(M749&gt;=원인분석!$C$10,M749&lt;=원인분석!$C$11),"당기",IF(AND(M749&gt;=원인분석!$C$12,M749&lt;=원인분석!$C$13),"비교",""))))</f>
        <v/>
      </c>
      <c r="R749" s="9">
        <f>IF(Q749="","",$K749&amp;"")</f>
        <v/>
      </c>
      <c r="S749" s="9">
        <f>IF(Q749="","",IF(MATCH(R749,$R$5:$R$100000,0)=ROW()-4,ROW(),""))</f>
        <v/>
      </c>
      <c r="T749" s="9">
        <f>IF(Q749="당기",ABS(P749)+ROW()/1000000000,"")</f>
        <v/>
      </c>
      <c r="U749" s="9">
        <f>IF(Q749="비교",ABS(P749)+ROW()/1000000000,"")</f>
        <v/>
      </c>
      <c r="V749" s="39">
        <f>IF($A749="","",IF(COUNTIF(변동분석!$E$7:$E$506,O749)&gt;0,"Y","N"))</f>
        <v/>
      </c>
      <c r="W749" s="39">
        <f>IF($A749="","",IFERROR(INDEX(계정매핑!$D$5:$D$504,MATCH($F749&amp;"",계정매핑!$A$5:$A$504,0)),"미매핑"))</f>
        <v/>
      </c>
      <c r="X749" s="9">
        <f>IF($A749="","",$F749&amp;"")</f>
        <v/>
      </c>
    </row>
    <row r="750">
      <c r="A750" s="75" t="n">
        <v>2025</v>
      </c>
      <c r="B750" s="75" t="n">
        <v>4</v>
      </c>
      <c r="C750" s="75" t="inlineStr">
        <is>
          <t>5100000746</t>
        </is>
      </c>
      <c r="D750" s="78" t="n">
        <v>45769</v>
      </c>
      <c r="E750" s="75" t="inlineStr">
        <is>
          <t>KR</t>
        </is>
      </c>
      <c r="F750" s="75" t="n">
        <v>62301000</v>
      </c>
      <c r="G750" s="75" t="n">
        <v>1401</v>
      </c>
      <c r="H750" s="76" t="n">
        <v>91000</v>
      </c>
      <c r="I750" s="75" t="inlineStr">
        <is>
          <t>4월 소모품 구입 - Q오피스</t>
        </is>
      </c>
      <c r="J750" s="75" t="inlineStr">
        <is>
          <t>V10003</t>
        </is>
      </c>
      <c r="K750" s="75" t="inlineStr">
        <is>
          <t>Q오피스</t>
        </is>
      </c>
      <c r="M750" s="9">
        <f>IF($A750="","",VALUE($A750&amp;"")*12+VALUE($B750&amp;""))</f>
        <v/>
      </c>
      <c r="N750" s="39">
        <f>IF($A750="","",IFERROR(INDEX(부서매핑!$C$5:$C$504,MATCH($G750&amp;"",부서매핑!$A$5:$A$504,0)),"미매핑"))</f>
        <v/>
      </c>
      <c r="O750" s="9">
        <f>IF($A750="","",N750&amp;"|"&amp;$F750)</f>
        <v/>
      </c>
      <c r="P750" s="77">
        <f>IF($A750="",0,$H750*설정!$C$23)</f>
        <v/>
      </c>
      <c r="Q750" s="39">
        <f>IF($A750="","",IF(O750&lt;&gt;원인분석!$C$9,"",IF(AND(M750&gt;=원인분석!$C$10,M750&lt;=원인분석!$C$11),"당기",IF(AND(M750&gt;=원인분석!$C$12,M750&lt;=원인분석!$C$13),"비교",""))))</f>
        <v/>
      </c>
      <c r="R750" s="9">
        <f>IF(Q750="","",$K750&amp;"")</f>
        <v/>
      </c>
      <c r="S750" s="9">
        <f>IF(Q750="","",IF(MATCH(R750,$R$5:$R$100000,0)=ROW()-4,ROW(),""))</f>
        <v/>
      </c>
      <c r="T750" s="9">
        <f>IF(Q750="당기",ABS(P750)+ROW()/1000000000,"")</f>
        <v/>
      </c>
      <c r="U750" s="9">
        <f>IF(Q750="비교",ABS(P750)+ROW()/1000000000,"")</f>
        <v/>
      </c>
      <c r="V750" s="39">
        <f>IF($A750="","",IF(COUNTIF(변동분석!$E$7:$E$506,O750)&gt;0,"Y","N"))</f>
        <v/>
      </c>
      <c r="W750" s="39">
        <f>IF($A750="","",IFERROR(INDEX(계정매핑!$D$5:$D$504,MATCH($F750&amp;"",계정매핑!$A$5:$A$504,0)),"미매핑"))</f>
        <v/>
      </c>
      <c r="X750" s="9">
        <f>IF($A750="","",$F750&amp;"")</f>
        <v/>
      </c>
    </row>
    <row r="751">
      <c r="A751" s="75" t="n">
        <v>2025</v>
      </c>
      <c r="B751" s="75" t="n">
        <v>4</v>
      </c>
      <c r="C751" s="75" t="inlineStr">
        <is>
          <t>5100000747</t>
        </is>
      </c>
      <c r="D751" s="78" t="n">
        <v>45769</v>
      </c>
      <c r="E751" s="75" t="inlineStr">
        <is>
          <t>KR</t>
        </is>
      </c>
      <c r="F751" s="75" t="n">
        <v>62301000</v>
      </c>
      <c r="G751" s="75" t="n">
        <v>1701</v>
      </c>
      <c r="H751" s="76" t="n">
        <v>234000</v>
      </c>
      <c r="I751" s="75" t="inlineStr">
        <is>
          <t>4월 소모품 구입 - Q오피스</t>
        </is>
      </c>
      <c r="J751" s="75" t="inlineStr">
        <is>
          <t>V10003</t>
        </is>
      </c>
      <c r="K751" s="75" t="inlineStr">
        <is>
          <t>Q오피스</t>
        </is>
      </c>
      <c r="M751" s="9">
        <f>IF($A751="","",VALUE($A751&amp;"")*12+VALUE($B751&amp;""))</f>
        <v/>
      </c>
      <c r="N751" s="39">
        <f>IF($A751="","",IFERROR(INDEX(부서매핑!$C$5:$C$504,MATCH($G751&amp;"",부서매핑!$A$5:$A$504,0)),"미매핑"))</f>
        <v/>
      </c>
      <c r="O751" s="9">
        <f>IF($A751="","",N751&amp;"|"&amp;$F751)</f>
        <v/>
      </c>
      <c r="P751" s="77">
        <f>IF($A751="",0,$H751*설정!$C$23)</f>
        <v/>
      </c>
      <c r="Q751" s="39">
        <f>IF($A751="","",IF(O751&lt;&gt;원인분석!$C$9,"",IF(AND(M751&gt;=원인분석!$C$10,M751&lt;=원인분석!$C$11),"당기",IF(AND(M751&gt;=원인분석!$C$12,M751&lt;=원인분석!$C$13),"비교",""))))</f>
        <v/>
      </c>
      <c r="R751" s="9">
        <f>IF(Q751="","",$K751&amp;"")</f>
        <v/>
      </c>
      <c r="S751" s="9">
        <f>IF(Q751="","",IF(MATCH(R751,$R$5:$R$100000,0)=ROW()-4,ROW(),""))</f>
        <v/>
      </c>
      <c r="T751" s="9">
        <f>IF(Q751="당기",ABS(P751)+ROW()/1000000000,"")</f>
        <v/>
      </c>
      <c r="U751" s="9">
        <f>IF(Q751="비교",ABS(P751)+ROW()/1000000000,"")</f>
        <v/>
      </c>
      <c r="V751" s="39">
        <f>IF($A751="","",IF(COUNTIF(변동분석!$E$7:$E$506,O751)&gt;0,"Y","N"))</f>
        <v/>
      </c>
      <c r="W751" s="39">
        <f>IF($A751="","",IFERROR(INDEX(계정매핑!$D$5:$D$504,MATCH($F751&amp;"",계정매핑!$A$5:$A$504,0)),"미매핑"))</f>
        <v/>
      </c>
      <c r="X751" s="9">
        <f>IF($A751="","",$F751&amp;"")</f>
        <v/>
      </c>
    </row>
    <row r="752">
      <c r="A752" s="75" t="n">
        <v>2025</v>
      </c>
      <c r="B752" s="75" t="n">
        <v>4</v>
      </c>
      <c r="C752" s="75" t="inlineStr">
        <is>
          <t>5100000748</t>
        </is>
      </c>
      <c r="D752" s="78" t="n">
        <v>45769</v>
      </c>
      <c r="E752" s="75" t="inlineStr">
        <is>
          <t>KR</t>
        </is>
      </c>
      <c r="F752" s="75" t="n">
        <v>62501000</v>
      </c>
      <c r="G752" s="75" t="n">
        <v>1301</v>
      </c>
      <c r="H752" s="76" t="n">
        <v>415000</v>
      </c>
      <c r="I752" s="75" t="inlineStr">
        <is>
          <t>4월 회의 다과 - (법인카드)</t>
        </is>
      </c>
      <c r="J752" s="75" t="inlineStr">
        <is>
          <t>V10008</t>
        </is>
      </c>
      <c r="K752" s="75" t="inlineStr">
        <is>
          <t>(법인카드)</t>
        </is>
      </c>
      <c r="M752" s="9">
        <f>IF($A752="","",VALUE($A752&amp;"")*12+VALUE($B752&amp;""))</f>
        <v/>
      </c>
      <c r="N752" s="39">
        <f>IF($A752="","",IFERROR(INDEX(부서매핑!$C$5:$C$504,MATCH($G752&amp;"",부서매핑!$A$5:$A$504,0)),"미매핑"))</f>
        <v/>
      </c>
      <c r="O752" s="9">
        <f>IF($A752="","",N752&amp;"|"&amp;$F752)</f>
        <v/>
      </c>
      <c r="P752" s="77">
        <f>IF($A752="",0,$H752*설정!$C$23)</f>
        <v/>
      </c>
      <c r="Q752" s="39">
        <f>IF($A752="","",IF(O752&lt;&gt;원인분석!$C$9,"",IF(AND(M752&gt;=원인분석!$C$10,M752&lt;=원인분석!$C$11),"당기",IF(AND(M752&gt;=원인분석!$C$12,M752&lt;=원인분석!$C$13),"비교",""))))</f>
        <v/>
      </c>
      <c r="R752" s="9">
        <f>IF(Q752="","",$K752&amp;"")</f>
        <v/>
      </c>
      <c r="S752" s="9">
        <f>IF(Q752="","",IF(MATCH(R752,$R$5:$R$100000,0)=ROW()-4,ROW(),""))</f>
        <v/>
      </c>
      <c r="T752" s="9">
        <f>IF(Q752="당기",ABS(P752)+ROW()/1000000000,"")</f>
        <v/>
      </c>
      <c r="U752" s="9">
        <f>IF(Q752="비교",ABS(P752)+ROW()/1000000000,"")</f>
        <v/>
      </c>
      <c r="V752" s="39">
        <f>IF($A752="","",IF(COUNTIF(변동분석!$E$7:$E$506,O752)&gt;0,"Y","N"))</f>
        <v/>
      </c>
      <c r="W752" s="39">
        <f>IF($A752="","",IFERROR(INDEX(계정매핑!$D$5:$D$504,MATCH($F752&amp;"",계정매핑!$A$5:$A$504,0)),"미매핑"))</f>
        <v/>
      </c>
      <c r="X752" s="9">
        <f>IF($A752="","",$F752&amp;"")</f>
        <v/>
      </c>
    </row>
    <row r="753">
      <c r="A753" s="75" t="n">
        <v>2025</v>
      </c>
      <c r="B753" s="75" t="n">
        <v>4</v>
      </c>
      <c r="C753" s="75" t="inlineStr">
        <is>
          <t>5100000749</t>
        </is>
      </c>
      <c r="D753" s="78" t="n">
        <v>45769</v>
      </c>
      <c r="E753" s="75" t="inlineStr">
        <is>
          <t>KR</t>
        </is>
      </c>
      <c r="F753" s="75" t="n">
        <v>62901000</v>
      </c>
      <c r="G753" s="75" t="n">
        <v>1101</v>
      </c>
      <c r="H753" s="76" t="n">
        <v>3504000</v>
      </c>
      <c r="I753" s="75" t="inlineStr">
        <is>
          <t>4월 자문 수수료 - K회계법인</t>
        </is>
      </c>
      <c r="J753" s="75" t="inlineStr">
        <is>
          <t>V10010</t>
        </is>
      </c>
      <c r="K753" s="75" t="inlineStr">
        <is>
          <t>K회계법인</t>
        </is>
      </c>
      <c r="M753" s="9">
        <f>IF($A753="","",VALUE($A753&amp;"")*12+VALUE($B753&amp;""))</f>
        <v/>
      </c>
      <c r="N753" s="39">
        <f>IF($A753="","",IFERROR(INDEX(부서매핑!$C$5:$C$504,MATCH($G753&amp;"",부서매핑!$A$5:$A$504,0)),"미매핑"))</f>
        <v/>
      </c>
      <c r="O753" s="9">
        <f>IF($A753="","",N753&amp;"|"&amp;$F753)</f>
        <v/>
      </c>
      <c r="P753" s="77">
        <f>IF($A753="",0,$H753*설정!$C$23)</f>
        <v/>
      </c>
      <c r="Q753" s="39">
        <f>IF($A753="","",IF(O753&lt;&gt;원인분석!$C$9,"",IF(AND(M753&gt;=원인분석!$C$10,M753&lt;=원인분석!$C$11),"당기",IF(AND(M753&gt;=원인분석!$C$12,M753&lt;=원인분석!$C$13),"비교",""))))</f>
        <v/>
      </c>
      <c r="R753" s="9">
        <f>IF(Q753="","",$K753&amp;"")</f>
        <v/>
      </c>
      <c r="S753" s="9">
        <f>IF(Q753="","",IF(MATCH(R753,$R$5:$R$100000,0)=ROW()-4,ROW(),""))</f>
        <v/>
      </c>
      <c r="T753" s="9">
        <f>IF(Q753="당기",ABS(P753)+ROW()/1000000000,"")</f>
        <v/>
      </c>
      <c r="U753" s="9">
        <f>IF(Q753="비교",ABS(P753)+ROW()/1000000000,"")</f>
        <v/>
      </c>
      <c r="V753" s="39">
        <f>IF($A753="","",IF(COUNTIF(변동분석!$E$7:$E$506,O753)&gt;0,"Y","N"))</f>
        <v/>
      </c>
      <c r="W753" s="39">
        <f>IF($A753="","",IFERROR(INDEX(계정매핑!$D$5:$D$504,MATCH($F753&amp;"",계정매핑!$A$5:$A$504,0)),"미매핑"))</f>
        <v/>
      </c>
      <c r="X753" s="9">
        <f>IF($A753="","",$F753&amp;"")</f>
        <v/>
      </c>
    </row>
    <row r="754">
      <c r="A754" s="75" t="n">
        <v>2025</v>
      </c>
      <c r="B754" s="75" t="n">
        <v>4</v>
      </c>
      <c r="C754" s="75" t="inlineStr">
        <is>
          <t>5100000750</t>
        </is>
      </c>
      <c r="D754" s="78" t="n">
        <v>45769</v>
      </c>
      <c r="E754" s="75" t="inlineStr">
        <is>
          <t>KR</t>
        </is>
      </c>
      <c r="F754" s="75" t="n">
        <v>62902000</v>
      </c>
      <c r="G754" s="75" t="n">
        <v>1801</v>
      </c>
      <c r="H754" s="76" t="n">
        <v>1819000</v>
      </c>
      <c r="I754" s="75" t="inlineStr">
        <is>
          <t>4월 콜 위탁 수수료(건별)</t>
        </is>
      </c>
      <c r="J754" s="75" t="inlineStr">
        <is>
          <t>V10013</t>
        </is>
      </c>
      <c r="K754" s="75" t="inlineStr">
        <is>
          <t>J콜센터</t>
        </is>
      </c>
      <c r="M754" s="9">
        <f>IF($A754="","",VALUE($A754&amp;"")*12+VALUE($B754&amp;""))</f>
        <v/>
      </c>
      <c r="N754" s="39">
        <f>IF($A754="","",IFERROR(INDEX(부서매핑!$C$5:$C$504,MATCH($G754&amp;"",부서매핑!$A$5:$A$504,0)),"미매핑"))</f>
        <v/>
      </c>
      <c r="O754" s="9">
        <f>IF($A754="","",N754&amp;"|"&amp;$F754)</f>
        <v/>
      </c>
      <c r="P754" s="77">
        <f>IF($A754="",0,$H754*설정!$C$23)</f>
        <v/>
      </c>
      <c r="Q754" s="39">
        <f>IF($A754="","",IF(O754&lt;&gt;원인분석!$C$9,"",IF(AND(M754&gt;=원인분석!$C$10,M754&lt;=원인분석!$C$11),"당기",IF(AND(M754&gt;=원인분석!$C$12,M754&lt;=원인분석!$C$13),"비교",""))))</f>
        <v/>
      </c>
      <c r="R754" s="9">
        <f>IF(Q754="","",$K754&amp;"")</f>
        <v/>
      </c>
      <c r="S754" s="9">
        <f>IF(Q754="","",IF(MATCH(R754,$R$5:$R$100000,0)=ROW()-4,ROW(),""))</f>
        <v/>
      </c>
      <c r="T754" s="9">
        <f>IF(Q754="당기",ABS(P754)+ROW()/1000000000,"")</f>
        <v/>
      </c>
      <c r="U754" s="9">
        <f>IF(Q754="비교",ABS(P754)+ROW()/1000000000,"")</f>
        <v/>
      </c>
      <c r="V754" s="39">
        <f>IF($A754="","",IF(COUNTIF(변동분석!$E$7:$E$506,O754)&gt;0,"Y","N"))</f>
        <v/>
      </c>
      <c r="W754" s="39">
        <f>IF($A754="","",IFERROR(INDEX(계정매핑!$D$5:$D$504,MATCH($F754&amp;"",계정매핑!$A$5:$A$504,0)),"미매핑"))</f>
        <v/>
      </c>
      <c r="X754" s="9">
        <f>IF($A754="","",$F754&amp;"")</f>
        <v/>
      </c>
    </row>
    <row r="755">
      <c r="A755" s="75" t="n">
        <v>2025</v>
      </c>
      <c r="B755" s="75" t="n">
        <v>4</v>
      </c>
      <c r="C755" s="75" t="inlineStr">
        <is>
          <t>5100000751</t>
        </is>
      </c>
      <c r="D755" s="78" t="n">
        <v>45770</v>
      </c>
      <c r="E755" s="75" t="inlineStr">
        <is>
          <t>KR</t>
        </is>
      </c>
      <c r="F755" s="75" t="n">
        <v>62101000</v>
      </c>
      <c r="G755" s="75" t="n">
        <v>1501</v>
      </c>
      <c r="H755" s="76" t="n">
        <v>446000</v>
      </c>
      <c r="I755" s="75" t="inlineStr">
        <is>
          <t>4월 국내출장 - L여행사</t>
        </is>
      </c>
      <c r="J755" s="75" t="inlineStr">
        <is>
          <t>V10014</t>
        </is>
      </c>
      <c r="K755" s="75" t="inlineStr">
        <is>
          <t>L여행사</t>
        </is>
      </c>
      <c r="M755" s="9">
        <f>IF($A755="","",VALUE($A755&amp;"")*12+VALUE($B755&amp;""))</f>
        <v/>
      </c>
      <c r="N755" s="39">
        <f>IF($A755="","",IFERROR(INDEX(부서매핑!$C$5:$C$504,MATCH($G755&amp;"",부서매핑!$A$5:$A$504,0)),"미매핑"))</f>
        <v/>
      </c>
      <c r="O755" s="9">
        <f>IF($A755="","",N755&amp;"|"&amp;$F755)</f>
        <v/>
      </c>
      <c r="P755" s="77">
        <f>IF($A755="",0,$H755*설정!$C$23)</f>
        <v/>
      </c>
      <c r="Q755" s="39">
        <f>IF($A755="","",IF(O755&lt;&gt;원인분석!$C$9,"",IF(AND(M755&gt;=원인분석!$C$10,M755&lt;=원인분석!$C$11),"당기",IF(AND(M755&gt;=원인분석!$C$12,M755&lt;=원인분석!$C$13),"비교",""))))</f>
        <v/>
      </c>
      <c r="R755" s="9">
        <f>IF(Q755="","",$K755&amp;"")</f>
        <v/>
      </c>
      <c r="S755" s="9">
        <f>IF(Q755="","",IF(MATCH(R755,$R$5:$R$100000,0)=ROW()-4,ROW(),""))</f>
        <v/>
      </c>
      <c r="T755" s="9">
        <f>IF(Q755="당기",ABS(P755)+ROW()/1000000000,"")</f>
        <v/>
      </c>
      <c r="U755" s="9">
        <f>IF(Q755="비교",ABS(P755)+ROW()/1000000000,"")</f>
        <v/>
      </c>
      <c r="V755" s="39">
        <f>IF($A755="","",IF(COUNTIF(변동분석!$E$7:$E$506,O755)&gt;0,"Y","N"))</f>
        <v/>
      </c>
      <c r="W755" s="39">
        <f>IF($A755="","",IFERROR(INDEX(계정매핑!$D$5:$D$504,MATCH($F755&amp;"",계정매핑!$A$5:$A$504,0)),"미매핑"))</f>
        <v/>
      </c>
      <c r="X755" s="9">
        <f>IF($A755="","",$F755&amp;"")</f>
        <v/>
      </c>
    </row>
    <row r="756">
      <c r="A756" s="75" t="n">
        <v>2025</v>
      </c>
      <c r="B756" s="75" t="n">
        <v>4</v>
      </c>
      <c r="C756" s="75" t="inlineStr">
        <is>
          <t>5100000752</t>
        </is>
      </c>
      <c r="D756" s="78" t="n">
        <v>45770</v>
      </c>
      <c r="E756" s="75" t="inlineStr">
        <is>
          <t>KR</t>
        </is>
      </c>
      <c r="F756" s="75" t="n">
        <v>62102000</v>
      </c>
      <c r="G756" s="75" t="n">
        <v>1801</v>
      </c>
      <c r="H756" s="76" t="n">
        <v>59000</v>
      </c>
      <c r="I756" s="75" t="inlineStr">
        <is>
          <t>4월 해외출장 - M항공</t>
        </is>
      </c>
      <c r="J756" s="75" t="inlineStr">
        <is>
          <t>V10001</t>
        </is>
      </c>
      <c r="K756" s="75" t="inlineStr">
        <is>
          <t>M항공</t>
        </is>
      </c>
      <c r="M756" s="9">
        <f>IF($A756="","",VALUE($A756&amp;"")*12+VALUE($B756&amp;""))</f>
        <v/>
      </c>
      <c r="N756" s="39">
        <f>IF($A756="","",IFERROR(INDEX(부서매핑!$C$5:$C$504,MATCH($G756&amp;"",부서매핑!$A$5:$A$504,0)),"미매핑"))</f>
        <v/>
      </c>
      <c r="O756" s="9">
        <f>IF($A756="","",N756&amp;"|"&amp;$F756)</f>
        <v/>
      </c>
      <c r="P756" s="77">
        <f>IF($A756="",0,$H756*설정!$C$23)</f>
        <v/>
      </c>
      <c r="Q756" s="39">
        <f>IF($A756="","",IF(O756&lt;&gt;원인분석!$C$9,"",IF(AND(M756&gt;=원인분석!$C$10,M756&lt;=원인분석!$C$11),"당기",IF(AND(M756&gt;=원인분석!$C$12,M756&lt;=원인분석!$C$13),"비교",""))))</f>
        <v/>
      </c>
      <c r="R756" s="9">
        <f>IF(Q756="","",$K756&amp;"")</f>
        <v/>
      </c>
      <c r="S756" s="9">
        <f>IF(Q756="","",IF(MATCH(R756,$R$5:$R$100000,0)=ROW()-4,ROW(),""))</f>
        <v/>
      </c>
      <c r="T756" s="9">
        <f>IF(Q756="당기",ABS(P756)+ROW()/1000000000,"")</f>
        <v/>
      </c>
      <c r="U756" s="9">
        <f>IF(Q756="비교",ABS(P756)+ROW()/1000000000,"")</f>
        <v/>
      </c>
      <c r="V756" s="39">
        <f>IF($A756="","",IF(COUNTIF(변동분석!$E$7:$E$506,O756)&gt;0,"Y","N"))</f>
        <v/>
      </c>
      <c r="W756" s="39">
        <f>IF($A756="","",IFERROR(INDEX(계정매핑!$D$5:$D$504,MATCH($F756&amp;"",계정매핑!$A$5:$A$504,0)),"미매핑"))</f>
        <v/>
      </c>
      <c r="X756" s="9">
        <f>IF($A756="","",$F756&amp;"")</f>
        <v/>
      </c>
    </row>
    <row r="757">
      <c r="A757" s="75" t="n">
        <v>2025</v>
      </c>
      <c r="B757" s="75" t="n">
        <v>4</v>
      </c>
      <c r="C757" s="75" t="inlineStr">
        <is>
          <t>5100000753</t>
        </is>
      </c>
      <c r="D757" s="78" t="n">
        <v>45770</v>
      </c>
      <c r="E757" s="75" t="inlineStr">
        <is>
          <t>KR</t>
        </is>
      </c>
      <c r="F757" s="75" t="n">
        <v>62201000</v>
      </c>
      <c r="G757" s="75" t="n">
        <v>1401</v>
      </c>
      <c r="H757" s="76" t="n">
        <v>139000</v>
      </c>
      <c r="I757" s="75" t="inlineStr">
        <is>
          <t>4월 통신요금 - P통신</t>
        </is>
      </c>
      <c r="J757" s="75" t="inlineStr">
        <is>
          <t>V10011</t>
        </is>
      </c>
      <c r="K757" s="75" t="inlineStr">
        <is>
          <t>P통신</t>
        </is>
      </c>
      <c r="M757" s="9">
        <f>IF($A757="","",VALUE($A757&amp;"")*12+VALUE($B757&amp;""))</f>
        <v/>
      </c>
      <c r="N757" s="39">
        <f>IF($A757="","",IFERROR(INDEX(부서매핑!$C$5:$C$504,MATCH($G757&amp;"",부서매핑!$A$5:$A$504,0)),"미매핑"))</f>
        <v/>
      </c>
      <c r="O757" s="9">
        <f>IF($A757="","",N757&amp;"|"&amp;$F757)</f>
        <v/>
      </c>
      <c r="P757" s="77">
        <f>IF($A757="",0,$H757*설정!$C$23)</f>
        <v/>
      </c>
      <c r="Q757" s="39">
        <f>IF($A757="","",IF(O757&lt;&gt;원인분석!$C$9,"",IF(AND(M757&gt;=원인분석!$C$10,M757&lt;=원인분석!$C$11),"당기",IF(AND(M757&gt;=원인분석!$C$12,M757&lt;=원인분석!$C$13),"비교",""))))</f>
        <v/>
      </c>
      <c r="R757" s="9">
        <f>IF(Q757="","",$K757&amp;"")</f>
        <v/>
      </c>
      <c r="S757" s="9">
        <f>IF(Q757="","",IF(MATCH(R757,$R$5:$R$100000,0)=ROW()-4,ROW(),""))</f>
        <v/>
      </c>
      <c r="T757" s="9">
        <f>IF(Q757="당기",ABS(P757)+ROW()/1000000000,"")</f>
        <v/>
      </c>
      <c r="U757" s="9">
        <f>IF(Q757="비교",ABS(P757)+ROW()/1000000000,"")</f>
        <v/>
      </c>
      <c r="V757" s="39">
        <f>IF($A757="","",IF(COUNTIF(변동분석!$E$7:$E$506,O757)&gt;0,"Y","N"))</f>
        <v/>
      </c>
      <c r="W757" s="39">
        <f>IF($A757="","",IFERROR(INDEX(계정매핑!$D$5:$D$504,MATCH($F757&amp;"",계정매핑!$A$5:$A$504,0)),"미매핑"))</f>
        <v/>
      </c>
      <c r="X757" s="9">
        <f>IF($A757="","",$F757&amp;"")</f>
        <v/>
      </c>
    </row>
    <row r="758">
      <c r="A758" s="75" t="n">
        <v>2025</v>
      </c>
      <c r="B758" s="75" t="n">
        <v>4</v>
      </c>
      <c r="C758" s="75" t="inlineStr">
        <is>
          <t>5100000754</t>
        </is>
      </c>
      <c r="D758" s="78" t="n">
        <v>45770</v>
      </c>
      <c r="E758" s="75" t="inlineStr">
        <is>
          <t>KR</t>
        </is>
      </c>
      <c r="F758" s="75" t="n">
        <v>62201000</v>
      </c>
      <c r="G758" s="75" t="n">
        <v>1502</v>
      </c>
      <c r="H758" s="76" t="n">
        <v>269000</v>
      </c>
      <c r="I758" s="75" t="inlineStr">
        <is>
          <t>4월 통신요금 - P통신</t>
        </is>
      </c>
      <c r="J758" s="75" t="inlineStr">
        <is>
          <t>V10011</t>
        </is>
      </c>
      <c r="K758" s="75" t="inlineStr">
        <is>
          <t>P통신</t>
        </is>
      </c>
      <c r="M758" s="9">
        <f>IF($A758="","",VALUE($A758&amp;"")*12+VALUE($B758&amp;""))</f>
        <v/>
      </c>
      <c r="N758" s="39">
        <f>IF($A758="","",IFERROR(INDEX(부서매핑!$C$5:$C$504,MATCH($G758&amp;"",부서매핑!$A$5:$A$504,0)),"미매핑"))</f>
        <v/>
      </c>
      <c r="O758" s="9">
        <f>IF($A758="","",N758&amp;"|"&amp;$F758)</f>
        <v/>
      </c>
      <c r="P758" s="77">
        <f>IF($A758="",0,$H758*설정!$C$23)</f>
        <v/>
      </c>
      <c r="Q758" s="39">
        <f>IF($A758="","",IF(O758&lt;&gt;원인분석!$C$9,"",IF(AND(M758&gt;=원인분석!$C$10,M758&lt;=원인분석!$C$11),"당기",IF(AND(M758&gt;=원인분석!$C$12,M758&lt;=원인분석!$C$13),"비교",""))))</f>
        <v/>
      </c>
      <c r="R758" s="9">
        <f>IF(Q758="","",$K758&amp;"")</f>
        <v/>
      </c>
      <c r="S758" s="9">
        <f>IF(Q758="","",IF(MATCH(R758,$R$5:$R$100000,0)=ROW()-4,ROW(),""))</f>
        <v/>
      </c>
      <c r="T758" s="9">
        <f>IF(Q758="당기",ABS(P758)+ROW()/1000000000,"")</f>
        <v/>
      </c>
      <c r="U758" s="9">
        <f>IF(Q758="비교",ABS(P758)+ROW()/1000000000,"")</f>
        <v/>
      </c>
      <c r="V758" s="39">
        <f>IF($A758="","",IF(COUNTIF(변동분석!$E$7:$E$506,O758)&gt;0,"Y","N"))</f>
        <v/>
      </c>
      <c r="W758" s="39">
        <f>IF($A758="","",IFERROR(INDEX(계정매핑!$D$5:$D$504,MATCH($F758&amp;"",계정매핑!$A$5:$A$504,0)),"미매핑"))</f>
        <v/>
      </c>
      <c r="X758" s="9">
        <f>IF($A758="","",$F758&amp;"")</f>
        <v/>
      </c>
    </row>
    <row r="759">
      <c r="A759" s="75" t="n">
        <v>2025</v>
      </c>
      <c r="B759" s="75" t="n">
        <v>4</v>
      </c>
      <c r="C759" s="75" t="inlineStr">
        <is>
          <t>5100000755</t>
        </is>
      </c>
      <c r="D759" s="78" t="n">
        <v>45770</v>
      </c>
      <c r="E759" s="75" t="inlineStr">
        <is>
          <t>KR</t>
        </is>
      </c>
      <c r="F759" s="75" t="n">
        <v>62201000</v>
      </c>
      <c r="G759" s="75" t="n">
        <v>1601</v>
      </c>
      <c r="H759" s="76" t="n">
        <v>710000</v>
      </c>
      <c r="I759" s="75" t="inlineStr">
        <is>
          <t>4월 통신요금 - O텔레콤</t>
        </is>
      </c>
      <c r="J759" s="75" t="inlineStr">
        <is>
          <t>V10002</t>
        </is>
      </c>
      <c r="K759" s="75" t="inlineStr">
        <is>
          <t>O텔레콤</t>
        </is>
      </c>
      <c r="M759" s="9">
        <f>IF($A759="","",VALUE($A759&amp;"")*12+VALUE($B759&amp;""))</f>
        <v/>
      </c>
      <c r="N759" s="39">
        <f>IF($A759="","",IFERROR(INDEX(부서매핑!$C$5:$C$504,MATCH($G759&amp;"",부서매핑!$A$5:$A$504,0)),"미매핑"))</f>
        <v/>
      </c>
      <c r="O759" s="9">
        <f>IF($A759="","",N759&amp;"|"&amp;$F759)</f>
        <v/>
      </c>
      <c r="P759" s="77">
        <f>IF($A759="",0,$H759*설정!$C$23)</f>
        <v/>
      </c>
      <c r="Q759" s="39">
        <f>IF($A759="","",IF(O759&lt;&gt;원인분석!$C$9,"",IF(AND(M759&gt;=원인분석!$C$10,M759&lt;=원인분석!$C$11),"당기",IF(AND(M759&gt;=원인분석!$C$12,M759&lt;=원인분석!$C$13),"비교",""))))</f>
        <v/>
      </c>
      <c r="R759" s="9">
        <f>IF(Q759="","",$K759&amp;"")</f>
        <v/>
      </c>
      <c r="S759" s="9">
        <f>IF(Q759="","",IF(MATCH(R759,$R$5:$R$100000,0)=ROW()-4,ROW(),""))</f>
        <v/>
      </c>
      <c r="T759" s="9">
        <f>IF(Q759="당기",ABS(P759)+ROW()/1000000000,"")</f>
        <v/>
      </c>
      <c r="U759" s="9">
        <f>IF(Q759="비교",ABS(P759)+ROW()/1000000000,"")</f>
        <v/>
      </c>
      <c r="V759" s="39">
        <f>IF($A759="","",IF(COUNTIF(변동분석!$E$7:$E$506,O759)&gt;0,"Y","N"))</f>
        <v/>
      </c>
      <c r="W759" s="39">
        <f>IF($A759="","",IFERROR(INDEX(계정매핑!$D$5:$D$504,MATCH($F759&amp;"",계정매핑!$A$5:$A$504,0)),"미매핑"))</f>
        <v/>
      </c>
      <c r="X759" s="9">
        <f>IF($A759="","",$F759&amp;"")</f>
        <v/>
      </c>
    </row>
    <row r="760">
      <c r="A760" s="75" t="n">
        <v>2025</v>
      </c>
      <c r="B760" s="75" t="n">
        <v>4</v>
      </c>
      <c r="C760" s="75" t="inlineStr">
        <is>
          <t>5100000756</t>
        </is>
      </c>
      <c r="D760" s="78" t="n">
        <v>45770</v>
      </c>
      <c r="E760" s="75" t="inlineStr">
        <is>
          <t>KR</t>
        </is>
      </c>
      <c r="F760" s="75" t="n">
        <v>62201000</v>
      </c>
      <c r="G760" s="75" t="n">
        <v>1601</v>
      </c>
      <c r="H760" s="76" t="n">
        <v>469000</v>
      </c>
      <c r="I760" s="75" t="inlineStr">
        <is>
          <t>4월 통신요금 - P통신</t>
        </is>
      </c>
      <c r="J760" s="75" t="inlineStr">
        <is>
          <t>V10011</t>
        </is>
      </c>
      <c r="K760" s="75" t="inlineStr">
        <is>
          <t>P통신</t>
        </is>
      </c>
      <c r="M760" s="9">
        <f>IF($A760="","",VALUE($A760&amp;"")*12+VALUE($B760&amp;""))</f>
        <v/>
      </c>
      <c r="N760" s="39">
        <f>IF($A760="","",IFERROR(INDEX(부서매핑!$C$5:$C$504,MATCH($G760&amp;"",부서매핑!$A$5:$A$504,0)),"미매핑"))</f>
        <v/>
      </c>
      <c r="O760" s="9">
        <f>IF($A760="","",N760&amp;"|"&amp;$F760)</f>
        <v/>
      </c>
      <c r="P760" s="77">
        <f>IF($A760="",0,$H760*설정!$C$23)</f>
        <v/>
      </c>
      <c r="Q760" s="39">
        <f>IF($A760="","",IF(O760&lt;&gt;원인분석!$C$9,"",IF(AND(M760&gt;=원인분석!$C$10,M760&lt;=원인분석!$C$11),"당기",IF(AND(M760&gt;=원인분석!$C$12,M760&lt;=원인분석!$C$13),"비교",""))))</f>
        <v/>
      </c>
      <c r="R760" s="9">
        <f>IF(Q760="","",$K760&amp;"")</f>
        <v/>
      </c>
      <c r="S760" s="9">
        <f>IF(Q760="","",IF(MATCH(R760,$R$5:$R$100000,0)=ROW()-4,ROW(),""))</f>
        <v/>
      </c>
      <c r="T760" s="9">
        <f>IF(Q760="당기",ABS(P760)+ROW()/1000000000,"")</f>
        <v/>
      </c>
      <c r="U760" s="9">
        <f>IF(Q760="비교",ABS(P760)+ROW()/1000000000,"")</f>
        <v/>
      </c>
      <c r="V760" s="39">
        <f>IF($A760="","",IF(COUNTIF(변동분석!$E$7:$E$506,O760)&gt;0,"Y","N"))</f>
        <v/>
      </c>
      <c r="W760" s="39">
        <f>IF($A760="","",IFERROR(INDEX(계정매핑!$D$5:$D$504,MATCH($F760&amp;"",계정매핑!$A$5:$A$504,0)),"미매핑"))</f>
        <v/>
      </c>
      <c r="X760" s="9">
        <f>IF($A760="","",$F760&amp;"")</f>
        <v/>
      </c>
    </row>
    <row r="761">
      <c r="A761" s="75" t="n">
        <v>2025</v>
      </c>
      <c r="B761" s="75" t="n">
        <v>4</v>
      </c>
      <c r="C761" s="75" t="inlineStr">
        <is>
          <t>5100000757</t>
        </is>
      </c>
      <c r="D761" s="78" t="n">
        <v>45770</v>
      </c>
      <c r="E761" s="75" t="inlineStr">
        <is>
          <t>KR</t>
        </is>
      </c>
      <c r="F761" s="75" t="n">
        <v>62301000</v>
      </c>
      <c r="G761" s="75" t="n">
        <v>1301</v>
      </c>
      <c r="H761" s="76" t="n">
        <v>239000</v>
      </c>
      <c r="I761" s="75" t="inlineStr">
        <is>
          <t>4월 소모품 구입 - R문구</t>
        </is>
      </c>
      <c r="J761" s="75" t="inlineStr">
        <is>
          <t>V10018</t>
        </is>
      </c>
      <c r="K761" s="75" t="inlineStr">
        <is>
          <t>R문구</t>
        </is>
      </c>
      <c r="M761" s="9">
        <f>IF($A761="","",VALUE($A761&amp;"")*12+VALUE($B761&amp;""))</f>
        <v/>
      </c>
      <c r="N761" s="39">
        <f>IF($A761="","",IFERROR(INDEX(부서매핑!$C$5:$C$504,MATCH($G761&amp;"",부서매핑!$A$5:$A$504,0)),"미매핑"))</f>
        <v/>
      </c>
      <c r="O761" s="9">
        <f>IF($A761="","",N761&amp;"|"&amp;$F761)</f>
        <v/>
      </c>
      <c r="P761" s="77">
        <f>IF($A761="",0,$H761*설정!$C$23)</f>
        <v/>
      </c>
      <c r="Q761" s="39">
        <f>IF($A761="","",IF(O761&lt;&gt;원인분석!$C$9,"",IF(AND(M761&gt;=원인분석!$C$10,M761&lt;=원인분석!$C$11),"당기",IF(AND(M761&gt;=원인분석!$C$12,M761&lt;=원인분석!$C$13),"비교",""))))</f>
        <v/>
      </c>
      <c r="R761" s="9">
        <f>IF(Q761="","",$K761&amp;"")</f>
        <v/>
      </c>
      <c r="S761" s="9">
        <f>IF(Q761="","",IF(MATCH(R761,$R$5:$R$100000,0)=ROW()-4,ROW(),""))</f>
        <v/>
      </c>
      <c r="T761" s="9">
        <f>IF(Q761="당기",ABS(P761)+ROW()/1000000000,"")</f>
        <v/>
      </c>
      <c r="U761" s="9">
        <f>IF(Q761="비교",ABS(P761)+ROW()/1000000000,"")</f>
        <v/>
      </c>
      <c r="V761" s="39">
        <f>IF($A761="","",IF(COUNTIF(변동분석!$E$7:$E$506,O761)&gt;0,"Y","N"))</f>
        <v/>
      </c>
      <c r="W761" s="39">
        <f>IF($A761="","",IFERROR(INDEX(계정매핑!$D$5:$D$504,MATCH($F761&amp;"",계정매핑!$A$5:$A$504,0)),"미매핑"))</f>
        <v/>
      </c>
      <c r="X761" s="9">
        <f>IF($A761="","",$F761&amp;"")</f>
        <v/>
      </c>
    </row>
    <row r="762">
      <c r="A762" s="75" t="n">
        <v>2025</v>
      </c>
      <c r="B762" s="75" t="n">
        <v>4</v>
      </c>
      <c r="C762" s="75" t="inlineStr">
        <is>
          <t>5100000758</t>
        </is>
      </c>
      <c r="D762" s="78" t="n">
        <v>45770</v>
      </c>
      <c r="E762" s="75" t="inlineStr">
        <is>
          <t>KR</t>
        </is>
      </c>
      <c r="F762" s="75" t="n">
        <v>62301000</v>
      </c>
      <c r="G762" s="75" t="n">
        <v>1801</v>
      </c>
      <c r="H762" s="76" t="n">
        <v>752000</v>
      </c>
      <c r="I762" s="75" t="inlineStr">
        <is>
          <t>4월 소모품 구입 - R문구</t>
        </is>
      </c>
      <c r="J762" s="75" t="inlineStr">
        <is>
          <t>V10018</t>
        </is>
      </c>
      <c r="K762" s="75" t="inlineStr">
        <is>
          <t>R문구</t>
        </is>
      </c>
      <c r="M762" s="9">
        <f>IF($A762="","",VALUE($A762&amp;"")*12+VALUE($B762&amp;""))</f>
        <v/>
      </c>
      <c r="N762" s="39">
        <f>IF($A762="","",IFERROR(INDEX(부서매핑!$C$5:$C$504,MATCH($G762&amp;"",부서매핑!$A$5:$A$504,0)),"미매핑"))</f>
        <v/>
      </c>
      <c r="O762" s="9">
        <f>IF($A762="","",N762&amp;"|"&amp;$F762)</f>
        <v/>
      </c>
      <c r="P762" s="77">
        <f>IF($A762="",0,$H762*설정!$C$23)</f>
        <v/>
      </c>
      <c r="Q762" s="39">
        <f>IF($A762="","",IF(O762&lt;&gt;원인분석!$C$9,"",IF(AND(M762&gt;=원인분석!$C$10,M762&lt;=원인분석!$C$11),"당기",IF(AND(M762&gt;=원인분석!$C$12,M762&lt;=원인분석!$C$13),"비교",""))))</f>
        <v/>
      </c>
      <c r="R762" s="9">
        <f>IF(Q762="","",$K762&amp;"")</f>
        <v/>
      </c>
      <c r="S762" s="9">
        <f>IF(Q762="","",IF(MATCH(R762,$R$5:$R$100000,0)=ROW()-4,ROW(),""))</f>
        <v/>
      </c>
      <c r="T762" s="9">
        <f>IF(Q762="당기",ABS(P762)+ROW()/1000000000,"")</f>
        <v/>
      </c>
      <c r="U762" s="9">
        <f>IF(Q762="비교",ABS(P762)+ROW()/1000000000,"")</f>
        <v/>
      </c>
      <c r="V762" s="39">
        <f>IF($A762="","",IF(COUNTIF(변동분석!$E$7:$E$506,O762)&gt;0,"Y","N"))</f>
        <v/>
      </c>
      <c r="W762" s="39">
        <f>IF($A762="","",IFERROR(INDEX(계정매핑!$D$5:$D$504,MATCH($F762&amp;"",계정매핑!$A$5:$A$504,0)),"미매핑"))</f>
        <v/>
      </c>
      <c r="X762" s="9">
        <f>IF($A762="","",$F762&amp;"")</f>
        <v/>
      </c>
    </row>
    <row r="763">
      <c r="A763" s="75" t="n">
        <v>2025</v>
      </c>
      <c r="B763" s="75" t="n">
        <v>4</v>
      </c>
      <c r="C763" s="75" t="inlineStr">
        <is>
          <t>5100000759</t>
        </is>
      </c>
      <c r="D763" s="78" t="n">
        <v>45770</v>
      </c>
      <c r="E763" s="75" t="inlineStr">
        <is>
          <t>KR</t>
        </is>
      </c>
      <c r="F763" s="75" t="n">
        <v>62401000</v>
      </c>
      <c r="G763" s="75" t="n">
        <v>1801</v>
      </c>
      <c r="H763" s="76" t="n">
        <v>2077000</v>
      </c>
      <c r="I763" s="75" t="inlineStr">
        <is>
          <t>4월 인쇄물 제작 - S출판</t>
        </is>
      </c>
      <c r="J763" s="75" t="inlineStr">
        <is>
          <t>V10012</t>
        </is>
      </c>
      <c r="K763" s="75" t="inlineStr">
        <is>
          <t>S출판</t>
        </is>
      </c>
      <c r="M763" s="9">
        <f>IF($A763="","",VALUE($A763&amp;"")*12+VALUE($B763&amp;""))</f>
        <v/>
      </c>
      <c r="N763" s="39">
        <f>IF($A763="","",IFERROR(INDEX(부서매핑!$C$5:$C$504,MATCH($G763&amp;"",부서매핑!$A$5:$A$504,0)),"미매핑"))</f>
        <v/>
      </c>
      <c r="O763" s="9">
        <f>IF($A763="","",N763&amp;"|"&amp;$F763)</f>
        <v/>
      </c>
      <c r="P763" s="77">
        <f>IF($A763="",0,$H763*설정!$C$23)</f>
        <v/>
      </c>
      <c r="Q763" s="39">
        <f>IF($A763="","",IF(O763&lt;&gt;원인분석!$C$9,"",IF(AND(M763&gt;=원인분석!$C$10,M763&lt;=원인분석!$C$11),"당기",IF(AND(M763&gt;=원인분석!$C$12,M763&lt;=원인분석!$C$13),"비교",""))))</f>
        <v/>
      </c>
      <c r="R763" s="9">
        <f>IF(Q763="","",$K763&amp;"")</f>
        <v/>
      </c>
      <c r="S763" s="9">
        <f>IF(Q763="","",IF(MATCH(R763,$R$5:$R$100000,0)=ROW()-4,ROW(),""))</f>
        <v/>
      </c>
      <c r="T763" s="9">
        <f>IF(Q763="당기",ABS(P763)+ROW()/1000000000,"")</f>
        <v/>
      </c>
      <c r="U763" s="9">
        <f>IF(Q763="비교",ABS(P763)+ROW()/1000000000,"")</f>
        <v/>
      </c>
      <c r="V763" s="39">
        <f>IF($A763="","",IF(COUNTIF(변동분석!$E$7:$E$506,O763)&gt;0,"Y","N"))</f>
        <v/>
      </c>
      <c r="W763" s="39">
        <f>IF($A763="","",IFERROR(INDEX(계정매핑!$D$5:$D$504,MATCH($F763&amp;"",계정매핑!$A$5:$A$504,0)),"미매핑"))</f>
        <v/>
      </c>
      <c r="X763" s="9">
        <f>IF($A763="","",$F763&amp;"")</f>
        <v/>
      </c>
    </row>
    <row r="764">
      <c r="A764" s="75" t="n">
        <v>2025</v>
      </c>
      <c r="B764" s="75" t="n">
        <v>4</v>
      </c>
      <c r="C764" s="75" t="inlineStr">
        <is>
          <t>5100000760</t>
        </is>
      </c>
      <c r="D764" s="78" t="n">
        <v>45770</v>
      </c>
      <c r="E764" s="75" t="inlineStr">
        <is>
          <t>KR</t>
        </is>
      </c>
      <c r="F764" s="75" t="n">
        <v>62501000</v>
      </c>
      <c r="G764" s="75" t="n">
        <v>1801</v>
      </c>
      <c r="H764" s="76" t="n">
        <v>261000</v>
      </c>
      <c r="I764" s="75" t="inlineStr">
        <is>
          <t>4월 회의 다과 - (법인카드)</t>
        </is>
      </c>
      <c r="J764" s="75" t="inlineStr">
        <is>
          <t>V10008</t>
        </is>
      </c>
      <c r="K764" s="75" t="inlineStr">
        <is>
          <t>(법인카드)</t>
        </is>
      </c>
      <c r="M764" s="9">
        <f>IF($A764="","",VALUE($A764&amp;"")*12+VALUE($B764&amp;""))</f>
        <v/>
      </c>
      <c r="N764" s="39">
        <f>IF($A764="","",IFERROR(INDEX(부서매핑!$C$5:$C$504,MATCH($G764&amp;"",부서매핑!$A$5:$A$504,0)),"미매핑"))</f>
        <v/>
      </c>
      <c r="O764" s="9">
        <f>IF($A764="","",N764&amp;"|"&amp;$F764)</f>
        <v/>
      </c>
      <c r="P764" s="77">
        <f>IF($A764="",0,$H764*설정!$C$23)</f>
        <v/>
      </c>
      <c r="Q764" s="39">
        <f>IF($A764="","",IF(O764&lt;&gt;원인분석!$C$9,"",IF(AND(M764&gt;=원인분석!$C$10,M764&lt;=원인분석!$C$11),"당기",IF(AND(M764&gt;=원인분석!$C$12,M764&lt;=원인분석!$C$13),"비교",""))))</f>
        <v/>
      </c>
      <c r="R764" s="9">
        <f>IF(Q764="","",$K764&amp;"")</f>
        <v/>
      </c>
      <c r="S764" s="9">
        <f>IF(Q764="","",IF(MATCH(R764,$R$5:$R$100000,0)=ROW()-4,ROW(),""))</f>
        <v/>
      </c>
      <c r="T764" s="9">
        <f>IF(Q764="당기",ABS(P764)+ROW()/1000000000,"")</f>
        <v/>
      </c>
      <c r="U764" s="9">
        <f>IF(Q764="비교",ABS(P764)+ROW()/1000000000,"")</f>
        <v/>
      </c>
      <c r="V764" s="39">
        <f>IF($A764="","",IF(COUNTIF(변동분석!$E$7:$E$506,O764)&gt;0,"Y","N"))</f>
        <v/>
      </c>
      <c r="W764" s="39">
        <f>IF($A764="","",IFERROR(INDEX(계정매핑!$D$5:$D$504,MATCH($F764&amp;"",계정매핑!$A$5:$A$504,0)),"미매핑"))</f>
        <v/>
      </c>
      <c r="X764" s="9">
        <f>IF($A764="","",$F764&amp;"")</f>
        <v/>
      </c>
    </row>
    <row r="765">
      <c r="A765" s="75" t="n">
        <v>2025</v>
      </c>
      <c r="B765" s="75" t="n">
        <v>4</v>
      </c>
      <c r="C765" s="75" t="inlineStr">
        <is>
          <t>5100000761</t>
        </is>
      </c>
      <c r="D765" s="78" t="n">
        <v>45770</v>
      </c>
      <c r="E765" s="75" t="inlineStr">
        <is>
          <t>KR</t>
        </is>
      </c>
      <c r="F765" s="75" t="n">
        <v>62902000</v>
      </c>
      <c r="G765" s="75" t="n">
        <v>1201</v>
      </c>
      <c r="H765" s="76" t="n">
        <v>2696000</v>
      </c>
      <c r="I765" s="75" t="inlineStr">
        <is>
          <t>4월 업무 위탁 수수료 - X서비스</t>
        </is>
      </c>
      <c r="J765" s="75" t="inlineStr">
        <is>
          <t>V10016</t>
        </is>
      </c>
      <c r="K765" s="75" t="inlineStr">
        <is>
          <t>X서비스</t>
        </is>
      </c>
      <c r="M765" s="9">
        <f>IF($A765="","",VALUE($A765&amp;"")*12+VALUE($B765&amp;""))</f>
        <v/>
      </c>
      <c r="N765" s="39">
        <f>IF($A765="","",IFERROR(INDEX(부서매핑!$C$5:$C$504,MATCH($G765&amp;"",부서매핑!$A$5:$A$504,0)),"미매핑"))</f>
        <v/>
      </c>
      <c r="O765" s="9">
        <f>IF($A765="","",N765&amp;"|"&amp;$F765)</f>
        <v/>
      </c>
      <c r="P765" s="77">
        <f>IF($A765="",0,$H765*설정!$C$23)</f>
        <v/>
      </c>
      <c r="Q765" s="39">
        <f>IF($A765="","",IF(O765&lt;&gt;원인분석!$C$9,"",IF(AND(M765&gt;=원인분석!$C$10,M765&lt;=원인분석!$C$11),"당기",IF(AND(M765&gt;=원인분석!$C$12,M765&lt;=원인분석!$C$13),"비교",""))))</f>
        <v/>
      </c>
      <c r="R765" s="9">
        <f>IF(Q765="","",$K765&amp;"")</f>
        <v/>
      </c>
      <c r="S765" s="9">
        <f>IF(Q765="","",IF(MATCH(R765,$R$5:$R$100000,0)=ROW()-4,ROW(),""))</f>
        <v/>
      </c>
      <c r="T765" s="9">
        <f>IF(Q765="당기",ABS(P765)+ROW()/1000000000,"")</f>
        <v/>
      </c>
      <c r="U765" s="9">
        <f>IF(Q765="비교",ABS(P765)+ROW()/1000000000,"")</f>
        <v/>
      </c>
      <c r="V765" s="39">
        <f>IF($A765="","",IF(COUNTIF(변동분석!$E$7:$E$506,O765)&gt;0,"Y","N"))</f>
        <v/>
      </c>
      <c r="W765" s="39">
        <f>IF($A765="","",IFERROR(INDEX(계정매핑!$D$5:$D$504,MATCH($F765&amp;"",계정매핑!$A$5:$A$504,0)),"미매핑"))</f>
        <v/>
      </c>
      <c r="X765" s="9">
        <f>IF($A765="","",$F765&amp;"")</f>
        <v/>
      </c>
    </row>
    <row r="766">
      <c r="A766" s="75" t="n">
        <v>2025</v>
      </c>
      <c r="B766" s="75" t="n">
        <v>4</v>
      </c>
      <c r="C766" s="75" t="inlineStr">
        <is>
          <t>5100000762</t>
        </is>
      </c>
      <c r="D766" s="78" t="n">
        <v>45771</v>
      </c>
      <c r="E766" s="75" t="inlineStr">
        <is>
          <t>KR</t>
        </is>
      </c>
      <c r="F766" s="75" t="n">
        <v>62101000</v>
      </c>
      <c r="G766" s="75" t="n">
        <v>1101</v>
      </c>
      <c r="H766" s="76" t="n">
        <v>269000</v>
      </c>
      <c r="I766" s="75" t="inlineStr">
        <is>
          <t>4월 국내출장 - M항공</t>
        </is>
      </c>
      <c r="J766" s="75" t="inlineStr">
        <is>
          <t>V10001</t>
        </is>
      </c>
      <c r="K766" s="75" t="inlineStr">
        <is>
          <t>M항공</t>
        </is>
      </c>
      <c r="M766" s="9">
        <f>IF($A766="","",VALUE($A766&amp;"")*12+VALUE($B766&amp;""))</f>
        <v/>
      </c>
      <c r="N766" s="39">
        <f>IF($A766="","",IFERROR(INDEX(부서매핑!$C$5:$C$504,MATCH($G766&amp;"",부서매핑!$A$5:$A$504,0)),"미매핑"))</f>
        <v/>
      </c>
      <c r="O766" s="9">
        <f>IF($A766="","",N766&amp;"|"&amp;$F766)</f>
        <v/>
      </c>
      <c r="P766" s="77">
        <f>IF($A766="",0,$H766*설정!$C$23)</f>
        <v/>
      </c>
      <c r="Q766" s="39">
        <f>IF($A766="","",IF(O766&lt;&gt;원인분석!$C$9,"",IF(AND(M766&gt;=원인분석!$C$10,M766&lt;=원인분석!$C$11),"당기",IF(AND(M766&gt;=원인분석!$C$12,M766&lt;=원인분석!$C$13),"비교",""))))</f>
        <v/>
      </c>
      <c r="R766" s="9">
        <f>IF(Q766="","",$K766&amp;"")</f>
        <v/>
      </c>
      <c r="S766" s="9">
        <f>IF(Q766="","",IF(MATCH(R766,$R$5:$R$100000,0)=ROW()-4,ROW(),""))</f>
        <v/>
      </c>
      <c r="T766" s="9">
        <f>IF(Q766="당기",ABS(P766)+ROW()/1000000000,"")</f>
        <v/>
      </c>
      <c r="U766" s="9">
        <f>IF(Q766="비교",ABS(P766)+ROW()/1000000000,"")</f>
        <v/>
      </c>
      <c r="V766" s="39">
        <f>IF($A766="","",IF(COUNTIF(변동분석!$E$7:$E$506,O766)&gt;0,"Y","N"))</f>
        <v/>
      </c>
      <c r="W766" s="39">
        <f>IF($A766="","",IFERROR(INDEX(계정매핑!$D$5:$D$504,MATCH($F766&amp;"",계정매핑!$A$5:$A$504,0)),"미매핑"))</f>
        <v/>
      </c>
      <c r="X766" s="9">
        <f>IF($A766="","",$F766&amp;"")</f>
        <v/>
      </c>
    </row>
    <row r="767">
      <c r="A767" s="75" t="n">
        <v>2025</v>
      </c>
      <c r="B767" s="75" t="n">
        <v>4</v>
      </c>
      <c r="C767" s="75" t="inlineStr">
        <is>
          <t>5100000763</t>
        </is>
      </c>
      <c r="D767" s="78" t="n">
        <v>45771</v>
      </c>
      <c r="E767" s="75" t="inlineStr">
        <is>
          <t>KR</t>
        </is>
      </c>
      <c r="F767" s="75" t="n">
        <v>62102000</v>
      </c>
      <c r="G767" s="75" t="n">
        <v>1301</v>
      </c>
      <c r="H767" s="76" t="n">
        <v>163000</v>
      </c>
      <c r="I767" s="75" t="inlineStr">
        <is>
          <t>4월 해외출장 - M항공</t>
        </is>
      </c>
      <c r="J767" s="75" t="inlineStr">
        <is>
          <t>V10001</t>
        </is>
      </c>
      <c r="K767" s="75" t="inlineStr">
        <is>
          <t>M항공</t>
        </is>
      </c>
      <c r="M767" s="9">
        <f>IF($A767="","",VALUE($A767&amp;"")*12+VALUE($B767&amp;""))</f>
        <v/>
      </c>
      <c r="N767" s="39">
        <f>IF($A767="","",IFERROR(INDEX(부서매핑!$C$5:$C$504,MATCH($G767&amp;"",부서매핑!$A$5:$A$504,0)),"미매핑"))</f>
        <v/>
      </c>
      <c r="O767" s="9">
        <f>IF($A767="","",N767&amp;"|"&amp;$F767)</f>
        <v/>
      </c>
      <c r="P767" s="77">
        <f>IF($A767="",0,$H767*설정!$C$23)</f>
        <v/>
      </c>
      <c r="Q767" s="39">
        <f>IF($A767="","",IF(O767&lt;&gt;원인분석!$C$9,"",IF(AND(M767&gt;=원인분석!$C$10,M767&lt;=원인분석!$C$11),"당기",IF(AND(M767&gt;=원인분석!$C$12,M767&lt;=원인분석!$C$13),"비교",""))))</f>
        <v/>
      </c>
      <c r="R767" s="9">
        <f>IF(Q767="","",$K767&amp;"")</f>
        <v/>
      </c>
      <c r="S767" s="9">
        <f>IF(Q767="","",IF(MATCH(R767,$R$5:$R$100000,0)=ROW()-4,ROW(),""))</f>
        <v/>
      </c>
      <c r="T767" s="9">
        <f>IF(Q767="당기",ABS(P767)+ROW()/1000000000,"")</f>
        <v/>
      </c>
      <c r="U767" s="9">
        <f>IF(Q767="비교",ABS(P767)+ROW()/1000000000,"")</f>
        <v/>
      </c>
      <c r="V767" s="39">
        <f>IF($A767="","",IF(COUNTIF(변동분석!$E$7:$E$506,O767)&gt;0,"Y","N"))</f>
        <v/>
      </c>
      <c r="W767" s="39">
        <f>IF($A767="","",IFERROR(INDEX(계정매핑!$D$5:$D$504,MATCH($F767&amp;"",계정매핑!$A$5:$A$504,0)),"미매핑"))</f>
        <v/>
      </c>
      <c r="X767" s="9">
        <f>IF($A767="","",$F767&amp;"")</f>
        <v/>
      </c>
    </row>
    <row r="768">
      <c r="A768" s="75" t="n">
        <v>2025</v>
      </c>
      <c r="B768" s="75" t="n">
        <v>4</v>
      </c>
      <c r="C768" s="75" t="inlineStr">
        <is>
          <t>5100000764</t>
        </is>
      </c>
      <c r="D768" s="78" t="n">
        <v>45771</v>
      </c>
      <c r="E768" s="75" t="inlineStr">
        <is>
          <t>KR</t>
        </is>
      </c>
      <c r="F768" s="75" t="n">
        <v>62201000</v>
      </c>
      <c r="G768" s="75" t="n">
        <v>1401</v>
      </c>
      <c r="H768" s="76" t="n">
        <v>204000</v>
      </c>
      <c r="I768" s="75" t="inlineStr">
        <is>
          <t>4월 통신요금 - O텔레콤</t>
        </is>
      </c>
      <c r="J768" s="75" t="inlineStr">
        <is>
          <t>V10002</t>
        </is>
      </c>
      <c r="K768" s="75" t="inlineStr">
        <is>
          <t>O텔레콤</t>
        </is>
      </c>
      <c r="M768" s="9">
        <f>IF($A768="","",VALUE($A768&amp;"")*12+VALUE($B768&amp;""))</f>
        <v/>
      </c>
      <c r="N768" s="39">
        <f>IF($A768="","",IFERROR(INDEX(부서매핑!$C$5:$C$504,MATCH($G768&amp;"",부서매핑!$A$5:$A$504,0)),"미매핑"))</f>
        <v/>
      </c>
      <c r="O768" s="9">
        <f>IF($A768="","",N768&amp;"|"&amp;$F768)</f>
        <v/>
      </c>
      <c r="P768" s="77">
        <f>IF($A768="",0,$H768*설정!$C$23)</f>
        <v/>
      </c>
      <c r="Q768" s="39">
        <f>IF($A768="","",IF(O768&lt;&gt;원인분석!$C$9,"",IF(AND(M768&gt;=원인분석!$C$10,M768&lt;=원인분석!$C$11),"당기",IF(AND(M768&gt;=원인분석!$C$12,M768&lt;=원인분석!$C$13),"비교",""))))</f>
        <v/>
      </c>
      <c r="R768" s="9">
        <f>IF(Q768="","",$K768&amp;"")</f>
        <v/>
      </c>
      <c r="S768" s="9">
        <f>IF(Q768="","",IF(MATCH(R768,$R$5:$R$100000,0)=ROW()-4,ROW(),""))</f>
        <v/>
      </c>
      <c r="T768" s="9">
        <f>IF(Q768="당기",ABS(P768)+ROW()/1000000000,"")</f>
        <v/>
      </c>
      <c r="U768" s="9">
        <f>IF(Q768="비교",ABS(P768)+ROW()/1000000000,"")</f>
        <v/>
      </c>
      <c r="V768" s="39">
        <f>IF($A768="","",IF(COUNTIF(변동분석!$E$7:$E$506,O768)&gt;0,"Y","N"))</f>
        <v/>
      </c>
      <c r="W768" s="39">
        <f>IF($A768="","",IFERROR(INDEX(계정매핑!$D$5:$D$504,MATCH($F768&amp;"",계정매핑!$A$5:$A$504,0)),"미매핑"))</f>
        <v/>
      </c>
      <c r="X768" s="9">
        <f>IF($A768="","",$F768&amp;"")</f>
        <v/>
      </c>
    </row>
    <row r="769">
      <c r="A769" s="75" t="n">
        <v>2025</v>
      </c>
      <c r="B769" s="75" t="n">
        <v>4</v>
      </c>
      <c r="C769" s="75" t="inlineStr">
        <is>
          <t>5100000765</t>
        </is>
      </c>
      <c r="D769" s="78" t="n">
        <v>45771</v>
      </c>
      <c r="E769" s="75" t="inlineStr">
        <is>
          <t>KR</t>
        </is>
      </c>
      <c r="F769" s="75" t="n">
        <v>62401000</v>
      </c>
      <c r="G769" s="75" t="n">
        <v>1401</v>
      </c>
      <c r="H769" s="76" t="n">
        <v>186000</v>
      </c>
      <c r="I769" s="75" t="inlineStr">
        <is>
          <t>4월 인쇄물 제작 - G인쇄</t>
        </is>
      </c>
      <c r="J769" s="75" t="inlineStr">
        <is>
          <t>V10004</t>
        </is>
      </c>
      <c r="K769" s="75" t="inlineStr">
        <is>
          <t>G인쇄</t>
        </is>
      </c>
      <c r="M769" s="9">
        <f>IF($A769="","",VALUE($A769&amp;"")*12+VALUE($B769&amp;""))</f>
        <v/>
      </c>
      <c r="N769" s="39">
        <f>IF($A769="","",IFERROR(INDEX(부서매핑!$C$5:$C$504,MATCH($G769&amp;"",부서매핑!$A$5:$A$504,0)),"미매핑"))</f>
        <v/>
      </c>
      <c r="O769" s="9">
        <f>IF($A769="","",N769&amp;"|"&amp;$F769)</f>
        <v/>
      </c>
      <c r="P769" s="77">
        <f>IF($A769="",0,$H769*설정!$C$23)</f>
        <v/>
      </c>
      <c r="Q769" s="39">
        <f>IF($A769="","",IF(O769&lt;&gt;원인분석!$C$9,"",IF(AND(M769&gt;=원인분석!$C$10,M769&lt;=원인분석!$C$11),"당기",IF(AND(M769&gt;=원인분석!$C$12,M769&lt;=원인분석!$C$13),"비교",""))))</f>
        <v/>
      </c>
      <c r="R769" s="9">
        <f>IF(Q769="","",$K769&amp;"")</f>
        <v/>
      </c>
      <c r="S769" s="9">
        <f>IF(Q769="","",IF(MATCH(R769,$R$5:$R$100000,0)=ROW()-4,ROW(),""))</f>
        <v/>
      </c>
      <c r="T769" s="9">
        <f>IF(Q769="당기",ABS(P769)+ROW()/1000000000,"")</f>
        <v/>
      </c>
      <c r="U769" s="9">
        <f>IF(Q769="비교",ABS(P769)+ROW()/1000000000,"")</f>
        <v/>
      </c>
      <c r="V769" s="39">
        <f>IF($A769="","",IF(COUNTIF(변동분석!$E$7:$E$506,O769)&gt;0,"Y","N"))</f>
        <v/>
      </c>
      <c r="W769" s="39">
        <f>IF($A769="","",IFERROR(INDEX(계정매핑!$D$5:$D$504,MATCH($F769&amp;"",계정매핑!$A$5:$A$504,0)),"미매핑"))</f>
        <v/>
      </c>
      <c r="X769" s="9">
        <f>IF($A769="","",$F769&amp;"")</f>
        <v/>
      </c>
    </row>
    <row r="770">
      <c r="A770" s="75" t="n">
        <v>2025</v>
      </c>
      <c r="B770" s="75" t="n">
        <v>4</v>
      </c>
      <c r="C770" s="75" t="inlineStr">
        <is>
          <t>5100000766</t>
        </is>
      </c>
      <c r="D770" s="78" t="n">
        <v>45771</v>
      </c>
      <c r="E770" s="75" t="inlineStr">
        <is>
          <t>KR</t>
        </is>
      </c>
      <c r="F770" s="75" t="n">
        <v>62401000</v>
      </c>
      <c r="G770" s="75" t="n">
        <v>1501</v>
      </c>
      <c r="H770" s="76" t="n">
        <v>3027000</v>
      </c>
      <c r="I770" s="75" t="inlineStr">
        <is>
          <t>4월 인쇄물 제작 - S출판</t>
        </is>
      </c>
      <c r="J770" s="75" t="inlineStr">
        <is>
          <t>V10012</t>
        </is>
      </c>
      <c r="K770" s="75" t="inlineStr">
        <is>
          <t>S출판</t>
        </is>
      </c>
      <c r="M770" s="9">
        <f>IF($A770="","",VALUE($A770&amp;"")*12+VALUE($B770&amp;""))</f>
        <v/>
      </c>
      <c r="N770" s="39">
        <f>IF($A770="","",IFERROR(INDEX(부서매핑!$C$5:$C$504,MATCH($G770&amp;"",부서매핑!$A$5:$A$504,0)),"미매핑"))</f>
        <v/>
      </c>
      <c r="O770" s="9">
        <f>IF($A770="","",N770&amp;"|"&amp;$F770)</f>
        <v/>
      </c>
      <c r="P770" s="77">
        <f>IF($A770="",0,$H770*설정!$C$23)</f>
        <v/>
      </c>
      <c r="Q770" s="39">
        <f>IF($A770="","",IF(O770&lt;&gt;원인분석!$C$9,"",IF(AND(M770&gt;=원인분석!$C$10,M770&lt;=원인분석!$C$11),"당기",IF(AND(M770&gt;=원인분석!$C$12,M770&lt;=원인분석!$C$13),"비교",""))))</f>
        <v/>
      </c>
      <c r="R770" s="9">
        <f>IF(Q770="","",$K770&amp;"")</f>
        <v/>
      </c>
      <c r="S770" s="9">
        <f>IF(Q770="","",IF(MATCH(R770,$R$5:$R$100000,0)=ROW()-4,ROW(),""))</f>
        <v/>
      </c>
      <c r="T770" s="9">
        <f>IF(Q770="당기",ABS(P770)+ROW()/1000000000,"")</f>
        <v/>
      </c>
      <c r="U770" s="9">
        <f>IF(Q770="비교",ABS(P770)+ROW()/1000000000,"")</f>
        <v/>
      </c>
      <c r="V770" s="39">
        <f>IF($A770="","",IF(COUNTIF(변동분석!$E$7:$E$506,O770)&gt;0,"Y","N"))</f>
        <v/>
      </c>
      <c r="W770" s="39">
        <f>IF($A770="","",IFERROR(INDEX(계정매핑!$D$5:$D$504,MATCH($F770&amp;"",계정매핑!$A$5:$A$504,0)),"미매핑"))</f>
        <v/>
      </c>
      <c r="X770" s="9">
        <f>IF($A770="","",$F770&amp;"")</f>
        <v/>
      </c>
    </row>
    <row r="771">
      <c r="A771" s="75" t="n">
        <v>2025</v>
      </c>
      <c r="B771" s="75" t="n">
        <v>4</v>
      </c>
      <c r="C771" s="75" t="inlineStr">
        <is>
          <t>5100000767</t>
        </is>
      </c>
      <c r="D771" s="78" t="n">
        <v>45771</v>
      </c>
      <c r="E771" s="75" t="inlineStr">
        <is>
          <t>KR</t>
        </is>
      </c>
      <c r="F771" s="75" t="n">
        <v>62501000</v>
      </c>
      <c r="G771" s="75" t="n">
        <v>1401</v>
      </c>
      <c r="H771" s="76" t="n">
        <v>121000</v>
      </c>
      <c r="I771" s="75" t="inlineStr">
        <is>
          <t>4월 회의 다과 - T케이터링</t>
        </is>
      </c>
      <c r="J771" s="75" t="inlineStr">
        <is>
          <t>V10005</t>
        </is>
      </c>
      <c r="K771" s="75" t="inlineStr">
        <is>
          <t>T케이터링</t>
        </is>
      </c>
      <c r="M771" s="9">
        <f>IF($A771="","",VALUE($A771&amp;"")*12+VALUE($B771&amp;""))</f>
        <v/>
      </c>
      <c r="N771" s="39">
        <f>IF($A771="","",IFERROR(INDEX(부서매핑!$C$5:$C$504,MATCH($G771&amp;"",부서매핑!$A$5:$A$504,0)),"미매핑"))</f>
        <v/>
      </c>
      <c r="O771" s="9">
        <f>IF($A771="","",N771&amp;"|"&amp;$F771)</f>
        <v/>
      </c>
      <c r="P771" s="77">
        <f>IF($A771="",0,$H771*설정!$C$23)</f>
        <v/>
      </c>
      <c r="Q771" s="39">
        <f>IF($A771="","",IF(O771&lt;&gt;원인분석!$C$9,"",IF(AND(M771&gt;=원인분석!$C$10,M771&lt;=원인분석!$C$11),"당기",IF(AND(M771&gt;=원인분석!$C$12,M771&lt;=원인분석!$C$13),"비교",""))))</f>
        <v/>
      </c>
      <c r="R771" s="9">
        <f>IF(Q771="","",$K771&amp;"")</f>
        <v/>
      </c>
      <c r="S771" s="9">
        <f>IF(Q771="","",IF(MATCH(R771,$R$5:$R$100000,0)=ROW()-4,ROW(),""))</f>
        <v/>
      </c>
      <c r="T771" s="9">
        <f>IF(Q771="당기",ABS(P771)+ROW()/1000000000,"")</f>
        <v/>
      </c>
      <c r="U771" s="9">
        <f>IF(Q771="비교",ABS(P771)+ROW()/1000000000,"")</f>
        <v/>
      </c>
      <c r="V771" s="39">
        <f>IF($A771="","",IF(COUNTIF(변동분석!$E$7:$E$506,O771)&gt;0,"Y","N"))</f>
        <v/>
      </c>
      <c r="W771" s="39">
        <f>IF($A771="","",IFERROR(INDEX(계정매핑!$D$5:$D$504,MATCH($F771&amp;"",계정매핑!$A$5:$A$504,0)),"미매핑"))</f>
        <v/>
      </c>
      <c r="X771" s="9">
        <f>IF($A771="","",$F771&amp;"")</f>
        <v/>
      </c>
    </row>
    <row r="772">
      <c r="A772" s="75" t="n">
        <v>2025</v>
      </c>
      <c r="B772" s="75" t="n">
        <v>4</v>
      </c>
      <c r="C772" s="75" t="inlineStr">
        <is>
          <t>5100000768</t>
        </is>
      </c>
      <c r="D772" s="78" t="n">
        <v>45771</v>
      </c>
      <c r="E772" s="75" t="inlineStr">
        <is>
          <t>KR</t>
        </is>
      </c>
      <c r="F772" s="75" t="n">
        <v>62901000</v>
      </c>
      <c r="G772" s="75" t="n">
        <v>1201</v>
      </c>
      <c r="H772" s="76" t="n">
        <v>7757000</v>
      </c>
      <c r="I772" s="75" t="inlineStr">
        <is>
          <t>4월 자문 수수료 - K회계법인</t>
        </is>
      </c>
      <c r="J772" s="75" t="inlineStr">
        <is>
          <t>V10010</t>
        </is>
      </c>
      <c r="K772" s="75" t="inlineStr">
        <is>
          <t>K회계법인</t>
        </is>
      </c>
      <c r="M772" s="9">
        <f>IF($A772="","",VALUE($A772&amp;"")*12+VALUE($B772&amp;""))</f>
        <v/>
      </c>
      <c r="N772" s="39">
        <f>IF($A772="","",IFERROR(INDEX(부서매핑!$C$5:$C$504,MATCH($G772&amp;"",부서매핑!$A$5:$A$504,0)),"미매핑"))</f>
        <v/>
      </c>
      <c r="O772" s="9">
        <f>IF($A772="","",N772&amp;"|"&amp;$F772)</f>
        <v/>
      </c>
      <c r="P772" s="77">
        <f>IF($A772="",0,$H772*설정!$C$23)</f>
        <v/>
      </c>
      <c r="Q772" s="39">
        <f>IF($A772="","",IF(O772&lt;&gt;원인분석!$C$9,"",IF(AND(M772&gt;=원인분석!$C$10,M772&lt;=원인분석!$C$11),"당기",IF(AND(M772&gt;=원인분석!$C$12,M772&lt;=원인분석!$C$13),"비교",""))))</f>
        <v/>
      </c>
      <c r="R772" s="9">
        <f>IF(Q772="","",$K772&amp;"")</f>
        <v/>
      </c>
      <c r="S772" s="9">
        <f>IF(Q772="","",IF(MATCH(R772,$R$5:$R$100000,0)=ROW()-4,ROW(),""))</f>
        <v/>
      </c>
      <c r="T772" s="9">
        <f>IF(Q772="당기",ABS(P772)+ROW()/1000000000,"")</f>
        <v/>
      </c>
      <c r="U772" s="9">
        <f>IF(Q772="비교",ABS(P772)+ROW()/1000000000,"")</f>
        <v/>
      </c>
      <c r="V772" s="39">
        <f>IF($A772="","",IF(COUNTIF(변동분석!$E$7:$E$506,O772)&gt;0,"Y","N"))</f>
        <v/>
      </c>
      <c r="W772" s="39">
        <f>IF($A772="","",IFERROR(INDEX(계정매핑!$D$5:$D$504,MATCH($F772&amp;"",계정매핑!$A$5:$A$504,0)),"미매핑"))</f>
        <v/>
      </c>
      <c r="X772" s="9">
        <f>IF($A772="","",$F772&amp;"")</f>
        <v/>
      </c>
    </row>
    <row r="773">
      <c r="A773" s="75" t="n">
        <v>2025</v>
      </c>
      <c r="B773" s="75" t="n">
        <v>4</v>
      </c>
      <c r="C773" s="75" t="inlineStr">
        <is>
          <t>5100000769</t>
        </is>
      </c>
      <c r="D773" s="78" t="n">
        <v>45771</v>
      </c>
      <c r="E773" s="75" t="inlineStr">
        <is>
          <t>KR</t>
        </is>
      </c>
      <c r="F773" s="75" t="n">
        <v>62901000</v>
      </c>
      <c r="G773" s="75" t="n">
        <v>1801</v>
      </c>
      <c r="H773" s="76" t="n">
        <v>7882000</v>
      </c>
      <c r="I773" s="75" t="inlineStr">
        <is>
          <t>4월 자문 수수료 - W컨설팅</t>
        </is>
      </c>
      <c r="J773" s="75" t="inlineStr">
        <is>
          <t>V10009</t>
        </is>
      </c>
      <c r="K773" s="75" t="inlineStr">
        <is>
          <t>W컨설팅</t>
        </is>
      </c>
      <c r="M773" s="9">
        <f>IF($A773="","",VALUE($A773&amp;"")*12+VALUE($B773&amp;""))</f>
        <v/>
      </c>
      <c r="N773" s="39">
        <f>IF($A773="","",IFERROR(INDEX(부서매핑!$C$5:$C$504,MATCH($G773&amp;"",부서매핑!$A$5:$A$504,0)),"미매핑"))</f>
        <v/>
      </c>
      <c r="O773" s="9">
        <f>IF($A773="","",N773&amp;"|"&amp;$F773)</f>
        <v/>
      </c>
      <c r="P773" s="77">
        <f>IF($A773="",0,$H773*설정!$C$23)</f>
        <v/>
      </c>
      <c r="Q773" s="39">
        <f>IF($A773="","",IF(O773&lt;&gt;원인분석!$C$9,"",IF(AND(M773&gt;=원인분석!$C$10,M773&lt;=원인분석!$C$11),"당기",IF(AND(M773&gt;=원인분석!$C$12,M773&lt;=원인분석!$C$13),"비교",""))))</f>
        <v/>
      </c>
      <c r="R773" s="9">
        <f>IF(Q773="","",$K773&amp;"")</f>
        <v/>
      </c>
      <c r="S773" s="9">
        <f>IF(Q773="","",IF(MATCH(R773,$R$5:$R$100000,0)=ROW()-4,ROW(),""))</f>
        <v/>
      </c>
      <c r="T773" s="9">
        <f>IF(Q773="당기",ABS(P773)+ROW()/1000000000,"")</f>
        <v/>
      </c>
      <c r="U773" s="9">
        <f>IF(Q773="비교",ABS(P773)+ROW()/1000000000,"")</f>
        <v/>
      </c>
      <c r="V773" s="39">
        <f>IF($A773="","",IF(COUNTIF(변동분석!$E$7:$E$506,O773)&gt;0,"Y","N"))</f>
        <v/>
      </c>
      <c r="W773" s="39">
        <f>IF($A773="","",IFERROR(INDEX(계정매핑!$D$5:$D$504,MATCH($F773&amp;"",계정매핑!$A$5:$A$504,0)),"미매핑"))</f>
        <v/>
      </c>
      <c r="X773" s="9">
        <f>IF($A773="","",$F773&amp;"")</f>
        <v/>
      </c>
    </row>
    <row r="774">
      <c r="A774" s="75" t="n">
        <v>2025</v>
      </c>
      <c r="B774" s="75" t="n">
        <v>4</v>
      </c>
      <c r="C774" s="75" t="inlineStr">
        <is>
          <t>5100000770</t>
        </is>
      </c>
      <c r="D774" s="78" t="n">
        <v>45771</v>
      </c>
      <c r="E774" s="75" t="inlineStr">
        <is>
          <t>KR</t>
        </is>
      </c>
      <c r="F774" s="75" t="n">
        <v>62902000</v>
      </c>
      <c r="G774" s="75" t="n">
        <v>1801</v>
      </c>
      <c r="H774" s="76" t="n">
        <v>1832000</v>
      </c>
      <c r="I774" s="75" t="inlineStr">
        <is>
          <t>4월 콜 위탁 수수료(건별)</t>
        </is>
      </c>
      <c r="J774" s="75" t="inlineStr">
        <is>
          <t>V10013</t>
        </is>
      </c>
      <c r="K774" s="75" t="inlineStr">
        <is>
          <t>J콜센터</t>
        </is>
      </c>
      <c r="M774" s="9">
        <f>IF($A774="","",VALUE($A774&amp;"")*12+VALUE($B774&amp;""))</f>
        <v/>
      </c>
      <c r="N774" s="39">
        <f>IF($A774="","",IFERROR(INDEX(부서매핑!$C$5:$C$504,MATCH($G774&amp;"",부서매핑!$A$5:$A$504,0)),"미매핑"))</f>
        <v/>
      </c>
      <c r="O774" s="9">
        <f>IF($A774="","",N774&amp;"|"&amp;$F774)</f>
        <v/>
      </c>
      <c r="P774" s="77">
        <f>IF($A774="",0,$H774*설정!$C$23)</f>
        <v/>
      </c>
      <c r="Q774" s="39">
        <f>IF($A774="","",IF(O774&lt;&gt;원인분석!$C$9,"",IF(AND(M774&gt;=원인분석!$C$10,M774&lt;=원인분석!$C$11),"당기",IF(AND(M774&gt;=원인분석!$C$12,M774&lt;=원인분석!$C$13),"비교",""))))</f>
        <v/>
      </c>
      <c r="R774" s="9">
        <f>IF(Q774="","",$K774&amp;"")</f>
        <v/>
      </c>
      <c r="S774" s="9">
        <f>IF(Q774="","",IF(MATCH(R774,$R$5:$R$100000,0)=ROW()-4,ROW(),""))</f>
        <v/>
      </c>
      <c r="T774" s="9">
        <f>IF(Q774="당기",ABS(P774)+ROW()/1000000000,"")</f>
        <v/>
      </c>
      <c r="U774" s="9">
        <f>IF(Q774="비교",ABS(P774)+ROW()/1000000000,"")</f>
        <v/>
      </c>
      <c r="V774" s="39">
        <f>IF($A774="","",IF(COUNTIF(변동분석!$E$7:$E$506,O774)&gt;0,"Y","N"))</f>
        <v/>
      </c>
      <c r="W774" s="39">
        <f>IF($A774="","",IFERROR(INDEX(계정매핑!$D$5:$D$504,MATCH($F774&amp;"",계정매핑!$A$5:$A$504,0)),"미매핑"))</f>
        <v/>
      </c>
      <c r="X774" s="9">
        <f>IF($A774="","",$F774&amp;"")</f>
        <v/>
      </c>
    </row>
    <row r="775">
      <c r="A775" s="75" t="n">
        <v>2025</v>
      </c>
      <c r="B775" s="75" t="n">
        <v>4</v>
      </c>
      <c r="C775" s="75" t="inlineStr">
        <is>
          <t>5100000771</t>
        </is>
      </c>
      <c r="D775" s="78" t="n">
        <v>45771</v>
      </c>
      <c r="E775" s="75" t="inlineStr">
        <is>
          <t>KR</t>
        </is>
      </c>
      <c r="F775" s="75" t="n">
        <v>62902000</v>
      </c>
      <c r="G775" s="75" t="n">
        <v>1801</v>
      </c>
      <c r="H775" s="76" t="n">
        <v>1817000</v>
      </c>
      <c r="I775" s="75" t="inlineStr">
        <is>
          <t>4월 콜 위탁 수수료(건별)</t>
        </is>
      </c>
      <c r="J775" s="75" t="inlineStr">
        <is>
          <t>V10013</t>
        </is>
      </c>
      <c r="K775" s="75" t="inlineStr">
        <is>
          <t>J콜센터</t>
        </is>
      </c>
      <c r="M775" s="9">
        <f>IF($A775="","",VALUE($A775&amp;"")*12+VALUE($B775&amp;""))</f>
        <v/>
      </c>
      <c r="N775" s="39">
        <f>IF($A775="","",IFERROR(INDEX(부서매핑!$C$5:$C$504,MATCH($G775&amp;"",부서매핑!$A$5:$A$504,0)),"미매핑"))</f>
        <v/>
      </c>
      <c r="O775" s="9">
        <f>IF($A775="","",N775&amp;"|"&amp;$F775)</f>
        <v/>
      </c>
      <c r="P775" s="77">
        <f>IF($A775="",0,$H775*설정!$C$23)</f>
        <v/>
      </c>
      <c r="Q775" s="39">
        <f>IF($A775="","",IF(O775&lt;&gt;원인분석!$C$9,"",IF(AND(M775&gt;=원인분석!$C$10,M775&lt;=원인분석!$C$11),"당기",IF(AND(M775&gt;=원인분석!$C$12,M775&lt;=원인분석!$C$13),"비교",""))))</f>
        <v/>
      </c>
      <c r="R775" s="9">
        <f>IF(Q775="","",$K775&amp;"")</f>
        <v/>
      </c>
      <c r="S775" s="9">
        <f>IF(Q775="","",IF(MATCH(R775,$R$5:$R$100000,0)=ROW()-4,ROW(),""))</f>
        <v/>
      </c>
      <c r="T775" s="9">
        <f>IF(Q775="당기",ABS(P775)+ROW()/1000000000,"")</f>
        <v/>
      </c>
      <c r="U775" s="9">
        <f>IF(Q775="비교",ABS(P775)+ROW()/1000000000,"")</f>
        <v/>
      </c>
      <c r="V775" s="39">
        <f>IF($A775="","",IF(COUNTIF(변동분석!$E$7:$E$506,O775)&gt;0,"Y","N"))</f>
        <v/>
      </c>
      <c r="W775" s="39">
        <f>IF($A775="","",IFERROR(INDEX(계정매핑!$D$5:$D$504,MATCH($F775&amp;"",계정매핑!$A$5:$A$504,0)),"미매핑"))</f>
        <v/>
      </c>
      <c r="X775" s="9">
        <f>IF($A775="","",$F775&amp;"")</f>
        <v/>
      </c>
    </row>
    <row r="776">
      <c r="A776" s="75" t="n">
        <v>2025</v>
      </c>
      <c r="B776" s="75" t="n">
        <v>4</v>
      </c>
      <c r="C776" s="75" t="inlineStr">
        <is>
          <t>5100000772</t>
        </is>
      </c>
      <c r="D776" s="78" t="n">
        <v>45772</v>
      </c>
      <c r="E776" s="75" t="inlineStr">
        <is>
          <t>KR</t>
        </is>
      </c>
      <c r="F776" s="75" t="n">
        <v>62101000</v>
      </c>
      <c r="G776" s="75" t="n">
        <v>1301</v>
      </c>
      <c r="H776" s="76" t="n">
        <v>337000</v>
      </c>
      <c r="I776" s="75" t="inlineStr">
        <is>
          <t>4월 국내출장 - M항공</t>
        </is>
      </c>
      <c r="J776" s="75" t="inlineStr">
        <is>
          <t>V10001</t>
        </is>
      </c>
      <c r="K776" s="75" t="inlineStr">
        <is>
          <t>M항공</t>
        </is>
      </c>
      <c r="M776" s="9">
        <f>IF($A776="","",VALUE($A776&amp;"")*12+VALUE($B776&amp;""))</f>
        <v/>
      </c>
      <c r="N776" s="39">
        <f>IF($A776="","",IFERROR(INDEX(부서매핑!$C$5:$C$504,MATCH($G776&amp;"",부서매핑!$A$5:$A$504,0)),"미매핑"))</f>
        <v/>
      </c>
      <c r="O776" s="9">
        <f>IF($A776="","",N776&amp;"|"&amp;$F776)</f>
        <v/>
      </c>
      <c r="P776" s="77">
        <f>IF($A776="",0,$H776*설정!$C$23)</f>
        <v/>
      </c>
      <c r="Q776" s="39">
        <f>IF($A776="","",IF(O776&lt;&gt;원인분석!$C$9,"",IF(AND(M776&gt;=원인분석!$C$10,M776&lt;=원인분석!$C$11),"당기",IF(AND(M776&gt;=원인분석!$C$12,M776&lt;=원인분석!$C$13),"비교",""))))</f>
        <v/>
      </c>
      <c r="R776" s="9">
        <f>IF(Q776="","",$K776&amp;"")</f>
        <v/>
      </c>
      <c r="S776" s="9">
        <f>IF(Q776="","",IF(MATCH(R776,$R$5:$R$100000,0)=ROW()-4,ROW(),""))</f>
        <v/>
      </c>
      <c r="T776" s="9">
        <f>IF(Q776="당기",ABS(P776)+ROW()/1000000000,"")</f>
        <v/>
      </c>
      <c r="U776" s="9">
        <f>IF(Q776="비교",ABS(P776)+ROW()/1000000000,"")</f>
        <v/>
      </c>
      <c r="V776" s="39">
        <f>IF($A776="","",IF(COUNTIF(변동분석!$E$7:$E$506,O776)&gt;0,"Y","N"))</f>
        <v/>
      </c>
      <c r="W776" s="39">
        <f>IF($A776="","",IFERROR(INDEX(계정매핑!$D$5:$D$504,MATCH($F776&amp;"",계정매핑!$A$5:$A$504,0)),"미매핑"))</f>
        <v/>
      </c>
      <c r="X776" s="9">
        <f>IF($A776="","",$F776&amp;"")</f>
        <v/>
      </c>
    </row>
    <row r="777">
      <c r="A777" s="75" t="n">
        <v>2025</v>
      </c>
      <c r="B777" s="75" t="n">
        <v>4</v>
      </c>
      <c r="C777" s="75" t="inlineStr">
        <is>
          <t>5100000773</t>
        </is>
      </c>
      <c r="D777" s="78" t="n">
        <v>45772</v>
      </c>
      <c r="E777" s="75" t="inlineStr">
        <is>
          <t>KR</t>
        </is>
      </c>
      <c r="F777" s="75" t="n">
        <v>62101000</v>
      </c>
      <c r="G777" s="75" t="n">
        <v>1502</v>
      </c>
      <c r="H777" s="76" t="n">
        <v>474000</v>
      </c>
      <c r="I777" s="75" t="inlineStr">
        <is>
          <t>4월 국내출장 - M항공</t>
        </is>
      </c>
      <c r="J777" s="75" t="inlineStr">
        <is>
          <t>V10001</t>
        </is>
      </c>
      <c r="K777" s="75" t="inlineStr">
        <is>
          <t>M항공</t>
        </is>
      </c>
      <c r="M777" s="9">
        <f>IF($A777="","",VALUE($A777&amp;"")*12+VALUE($B777&amp;""))</f>
        <v/>
      </c>
      <c r="N777" s="39">
        <f>IF($A777="","",IFERROR(INDEX(부서매핑!$C$5:$C$504,MATCH($G777&amp;"",부서매핑!$A$5:$A$504,0)),"미매핑"))</f>
        <v/>
      </c>
      <c r="O777" s="9">
        <f>IF($A777="","",N777&amp;"|"&amp;$F777)</f>
        <v/>
      </c>
      <c r="P777" s="77">
        <f>IF($A777="",0,$H777*설정!$C$23)</f>
        <v/>
      </c>
      <c r="Q777" s="39">
        <f>IF($A777="","",IF(O777&lt;&gt;원인분석!$C$9,"",IF(AND(M777&gt;=원인분석!$C$10,M777&lt;=원인분석!$C$11),"당기",IF(AND(M777&gt;=원인분석!$C$12,M777&lt;=원인분석!$C$13),"비교",""))))</f>
        <v/>
      </c>
      <c r="R777" s="9">
        <f>IF(Q777="","",$K777&amp;"")</f>
        <v/>
      </c>
      <c r="S777" s="9">
        <f>IF(Q777="","",IF(MATCH(R777,$R$5:$R$100000,0)=ROW()-4,ROW(),""))</f>
        <v/>
      </c>
      <c r="T777" s="9">
        <f>IF(Q777="당기",ABS(P777)+ROW()/1000000000,"")</f>
        <v/>
      </c>
      <c r="U777" s="9">
        <f>IF(Q777="비교",ABS(P777)+ROW()/1000000000,"")</f>
        <v/>
      </c>
      <c r="V777" s="39">
        <f>IF($A777="","",IF(COUNTIF(변동분석!$E$7:$E$506,O777)&gt;0,"Y","N"))</f>
        <v/>
      </c>
      <c r="W777" s="39">
        <f>IF($A777="","",IFERROR(INDEX(계정매핑!$D$5:$D$504,MATCH($F777&amp;"",계정매핑!$A$5:$A$504,0)),"미매핑"))</f>
        <v/>
      </c>
      <c r="X777" s="9">
        <f>IF($A777="","",$F777&amp;"")</f>
        <v/>
      </c>
    </row>
    <row r="778">
      <c r="A778" s="75" t="n">
        <v>2025</v>
      </c>
      <c r="B778" s="75" t="n">
        <v>4</v>
      </c>
      <c r="C778" s="75" t="inlineStr">
        <is>
          <t>5100000774</t>
        </is>
      </c>
      <c r="D778" s="78" t="n">
        <v>45772</v>
      </c>
      <c r="E778" s="75" t="inlineStr">
        <is>
          <t>KR</t>
        </is>
      </c>
      <c r="F778" s="75" t="n">
        <v>62102000</v>
      </c>
      <c r="G778" s="75" t="n">
        <v>1401</v>
      </c>
      <c r="H778" s="76" t="n">
        <v>70000</v>
      </c>
      <c r="I778" s="75" t="inlineStr">
        <is>
          <t>4월 해외출장 - N호텔</t>
        </is>
      </c>
      <c r="J778" s="75" t="inlineStr">
        <is>
          <t>V10007</t>
        </is>
      </c>
      <c r="K778" s="75" t="inlineStr">
        <is>
          <t>N호텔</t>
        </is>
      </c>
      <c r="M778" s="9">
        <f>IF($A778="","",VALUE($A778&amp;"")*12+VALUE($B778&amp;""))</f>
        <v/>
      </c>
      <c r="N778" s="39">
        <f>IF($A778="","",IFERROR(INDEX(부서매핑!$C$5:$C$504,MATCH($G778&amp;"",부서매핑!$A$5:$A$504,0)),"미매핑"))</f>
        <v/>
      </c>
      <c r="O778" s="9">
        <f>IF($A778="","",N778&amp;"|"&amp;$F778)</f>
        <v/>
      </c>
      <c r="P778" s="77">
        <f>IF($A778="",0,$H778*설정!$C$23)</f>
        <v/>
      </c>
      <c r="Q778" s="39">
        <f>IF($A778="","",IF(O778&lt;&gt;원인분석!$C$9,"",IF(AND(M778&gt;=원인분석!$C$10,M778&lt;=원인분석!$C$11),"당기",IF(AND(M778&gt;=원인분석!$C$12,M778&lt;=원인분석!$C$13),"비교",""))))</f>
        <v/>
      </c>
      <c r="R778" s="9">
        <f>IF(Q778="","",$K778&amp;"")</f>
        <v/>
      </c>
      <c r="S778" s="9">
        <f>IF(Q778="","",IF(MATCH(R778,$R$5:$R$100000,0)=ROW()-4,ROW(),""))</f>
        <v/>
      </c>
      <c r="T778" s="9">
        <f>IF(Q778="당기",ABS(P778)+ROW()/1000000000,"")</f>
        <v/>
      </c>
      <c r="U778" s="9">
        <f>IF(Q778="비교",ABS(P778)+ROW()/1000000000,"")</f>
        <v/>
      </c>
      <c r="V778" s="39">
        <f>IF($A778="","",IF(COUNTIF(변동분석!$E$7:$E$506,O778)&gt;0,"Y","N"))</f>
        <v/>
      </c>
      <c r="W778" s="39">
        <f>IF($A778="","",IFERROR(INDEX(계정매핑!$D$5:$D$504,MATCH($F778&amp;"",계정매핑!$A$5:$A$504,0)),"미매핑"))</f>
        <v/>
      </c>
      <c r="X778" s="9">
        <f>IF($A778="","",$F778&amp;"")</f>
        <v/>
      </c>
    </row>
    <row r="779">
      <c r="A779" s="75" t="n">
        <v>2025</v>
      </c>
      <c r="B779" s="75" t="n">
        <v>4</v>
      </c>
      <c r="C779" s="75" t="inlineStr">
        <is>
          <t>5100000775</t>
        </is>
      </c>
      <c r="D779" s="78" t="n">
        <v>45772</v>
      </c>
      <c r="E779" s="75" t="inlineStr">
        <is>
          <t>KR</t>
        </is>
      </c>
      <c r="F779" s="75" t="n">
        <v>62901000</v>
      </c>
      <c r="G779" s="75" t="n">
        <v>1401</v>
      </c>
      <c r="H779" s="76" t="n">
        <v>4211000</v>
      </c>
      <c r="I779" s="75" t="inlineStr">
        <is>
          <t>4월 자문 수수료 - W컨설팅</t>
        </is>
      </c>
      <c r="J779" s="75" t="inlineStr">
        <is>
          <t>V10009</t>
        </is>
      </c>
      <c r="K779" s="75" t="inlineStr">
        <is>
          <t>W컨설팅</t>
        </is>
      </c>
      <c r="M779" s="9">
        <f>IF($A779="","",VALUE($A779&amp;"")*12+VALUE($B779&amp;""))</f>
        <v/>
      </c>
      <c r="N779" s="39">
        <f>IF($A779="","",IFERROR(INDEX(부서매핑!$C$5:$C$504,MATCH($G779&amp;"",부서매핑!$A$5:$A$504,0)),"미매핑"))</f>
        <v/>
      </c>
      <c r="O779" s="9">
        <f>IF($A779="","",N779&amp;"|"&amp;$F779)</f>
        <v/>
      </c>
      <c r="P779" s="77">
        <f>IF($A779="",0,$H779*설정!$C$23)</f>
        <v/>
      </c>
      <c r="Q779" s="39">
        <f>IF($A779="","",IF(O779&lt;&gt;원인분석!$C$9,"",IF(AND(M779&gt;=원인분석!$C$10,M779&lt;=원인분석!$C$11),"당기",IF(AND(M779&gt;=원인분석!$C$12,M779&lt;=원인분석!$C$13),"비교",""))))</f>
        <v/>
      </c>
      <c r="R779" s="9">
        <f>IF(Q779="","",$K779&amp;"")</f>
        <v/>
      </c>
      <c r="S779" s="9">
        <f>IF(Q779="","",IF(MATCH(R779,$R$5:$R$100000,0)=ROW()-4,ROW(),""))</f>
        <v/>
      </c>
      <c r="T779" s="9">
        <f>IF(Q779="당기",ABS(P779)+ROW()/1000000000,"")</f>
        <v/>
      </c>
      <c r="U779" s="9">
        <f>IF(Q779="비교",ABS(P779)+ROW()/1000000000,"")</f>
        <v/>
      </c>
      <c r="V779" s="39">
        <f>IF($A779="","",IF(COUNTIF(변동분석!$E$7:$E$506,O779)&gt;0,"Y","N"))</f>
        <v/>
      </c>
      <c r="W779" s="39">
        <f>IF($A779="","",IFERROR(INDEX(계정매핑!$D$5:$D$504,MATCH($F779&amp;"",계정매핑!$A$5:$A$504,0)),"미매핑"))</f>
        <v/>
      </c>
      <c r="X779" s="9">
        <f>IF($A779="","",$F779&amp;"")</f>
        <v/>
      </c>
    </row>
    <row r="780">
      <c r="A780" s="75" t="n">
        <v>2025</v>
      </c>
      <c r="B780" s="75" t="n">
        <v>4</v>
      </c>
      <c r="C780" s="75" t="inlineStr">
        <is>
          <t>5100000776</t>
        </is>
      </c>
      <c r="D780" s="78" t="n">
        <v>45772</v>
      </c>
      <c r="E780" s="75" t="inlineStr">
        <is>
          <t>KR</t>
        </is>
      </c>
      <c r="F780" s="75" t="n">
        <v>62902000</v>
      </c>
      <c r="G780" s="75" t="n">
        <v>1801</v>
      </c>
      <c r="H780" s="76" t="n">
        <v>3000000</v>
      </c>
      <c r="I780" s="75" t="inlineStr">
        <is>
          <t>4월 업무 위탁 수수료 - X서비스</t>
        </is>
      </c>
      <c r="J780" s="75" t="inlineStr">
        <is>
          <t>V10016</t>
        </is>
      </c>
      <c r="K780" s="75" t="inlineStr">
        <is>
          <t>X서비스</t>
        </is>
      </c>
      <c r="M780" s="9">
        <f>IF($A780="","",VALUE($A780&amp;"")*12+VALUE($B780&amp;""))</f>
        <v/>
      </c>
      <c r="N780" s="39">
        <f>IF($A780="","",IFERROR(INDEX(부서매핑!$C$5:$C$504,MATCH($G780&amp;"",부서매핑!$A$5:$A$504,0)),"미매핑"))</f>
        <v/>
      </c>
      <c r="O780" s="9">
        <f>IF($A780="","",N780&amp;"|"&amp;$F780)</f>
        <v/>
      </c>
      <c r="P780" s="77">
        <f>IF($A780="",0,$H780*설정!$C$23)</f>
        <v/>
      </c>
      <c r="Q780" s="39">
        <f>IF($A780="","",IF(O780&lt;&gt;원인분석!$C$9,"",IF(AND(M780&gt;=원인분석!$C$10,M780&lt;=원인분석!$C$11),"당기",IF(AND(M780&gt;=원인분석!$C$12,M780&lt;=원인분석!$C$13),"비교",""))))</f>
        <v/>
      </c>
      <c r="R780" s="9">
        <f>IF(Q780="","",$K780&amp;"")</f>
        <v/>
      </c>
      <c r="S780" s="9">
        <f>IF(Q780="","",IF(MATCH(R780,$R$5:$R$100000,0)=ROW()-4,ROW(),""))</f>
        <v/>
      </c>
      <c r="T780" s="9">
        <f>IF(Q780="당기",ABS(P780)+ROW()/1000000000,"")</f>
        <v/>
      </c>
      <c r="U780" s="9">
        <f>IF(Q780="비교",ABS(P780)+ROW()/1000000000,"")</f>
        <v/>
      </c>
      <c r="V780" s="39">
        <f>IF($A780="","",IF(COUNTIF(변동분석!$E$7:$E$506,O780)&gt;0,"Y","N"))</f>
        <v/>
      </c>
      <c r="W780" s="39">
        <f>IF($A780="","",IFERROR(INDEX(계정매핑!$D$5:$D$504,MATCH($F780&amp;"",계정매핑!$A$5:$A$504,0)),"미매핑"))</f>
        <v/>
      </c>
      <c r="X780" s="9">
        <f>IF($A780="","",$F780&amp;"")</f>
        <v/>
      </c>
    </row>
    <row r="781">
      <c r="A781" s="75" t="n">
        <v>2025</v>
      </c>
      <c r="B781" s="75" t="n">
        <v>4</v>
      </c>
      <c r="C781" s="75" t="inlineStr">
        <is>
          <t>5100000777</t>
        </is>
      </c>
      <c r="D781" s="78" t="n">
        <v>45772</v>
      </c>
      <c r="E781" s="75" t="inlineStr">
        <is>
          <t>KR</t>
        </is>
      </c>
      <c r="F781" s="75" t="n">
        <v>63002000</v>
      </c>
      <c r="G781" s="75" t="n">
        <v>1701</v>
      </c>
      <c r="H781" s="76" t="n">
        <v>66000000</v>
      </c>
      <c r="I781" s="75" t="inlineStr">
        <is>
          <t>4월 클라우드 사용료 - C클라우드</t>
        </is>
      </c>
      <c r="J781" s="75" t="inlineStr">
        <is>
          <t>V10028</t>
        </is>
      </c>
      <c r="K781" s="75" t="inlineStr">
        <is>
          <t>C클라우드</t>
        </is>
      </c>
      <c r="M781" s="9">
        <f>IF($A781="","",VALUE($A781&amp;"")*12+VALUE($B781&amp;""))</f>
        <v/>
      </c>
      <c r="N781" s="39">
        <f>IF($A781="","",IFERROR(INDEX(부서매핑!$C$5:$C$504,MATCH($G781&amp;"",부서매핑!$A$5:$A$504,0)),"미매핑"))</f>
        <v/>
      </c>
      <c r="O781" s="9">
        <f>IF($A781="","",N781&amp;"|"&amp;$F781)</f>
        <v/>
      </c>
      <c r="P781" s="77">
        <f>IF($A781="",0,$H781*설정!$C$23)</f>
        <v/>
      </c>
      <c r="Q781" s="39">
        <f>IF($A781="","",IF(O781&lt;&gt;원인분석!$C$9,"",IF(AND(M781&gt;=원인분석!$C$10,M781&lt;=원인분석!$C$11),"당기",IF(AND(M781&gt;=원인분석!$C$12,M781&lt;=원인분석!$C$13),"비교",""))))</f>
        <v/>
      </c>
      <c r="R781" s="9">
        <f>IF(Q781="","",$K781&amp;"")</f>
        <v/>
      </c>
      <c r="S781" s="9">
        <f>IF(Q781="","",IF(MATCH(R781,$R$5:$R$100000,0)=ROW()-4,ROW(),""))</f>
        <v/>
      </c>
      <c r="T781" s="9">
        <f>IF(Q781="당기",ABS(P781)+ROW()/1000000000,"")</f>
        <v/>
      </c>
      <c r="U781" s="9">
        <f>IF(Q781="비교",ABS(P781)+ROW()/1000000000,"")</f>
        <v/>
      </c>
      <c r="V781" s="39">
        <f>IF($A781="","",IF(COUNTIF(변동분석!$E$7:$E$506,O781)&gt;0,"Y","N"))</f>
        <v/>
      </c>
      <c r="W781" s="39">
        <f>IF($A781="","",IFERROR(INDEX(계정매핑!$D$5:$D$504,MATCH($F781&amp;"",계정매핑!$A$5:$A$504,0)),"미매핑"))</f>
        <v/>
      </c>
      <c r="X781" s="9">
        <f>IF($A781="","",$F781&amp;"")</f>
        <v/>
      </c>
    </row>
    <row r="782">
      <c r="A782" s="75" t="n">
        <v>2025</v>
      </c>
      <c r="B782" s="75" t="n">
        <v>4</v>
      </c>
      <c r="C782" s="75" t="inlineStr">
        <is>
          <t>5100000778</t>
        </is>
      </c>
      <c r="D782" s="78" t="n">
        <v>45773</v>
      </c>
      <c r="E782" s="75" t="inlineStr">
        <is>
          <t>KR</t>
        </is>
      </c>
      <c r="F782" s="75" t="n">
        <v>62201000</v>
      </c>
      <c r="G782" s="75" t="n">
        <v>1201</v>
      </c>
      <c r="H782" s="76" t="n">
        <v>156000</v>
      </c>
      <c r="I782" s="75" t="inlineStr">
        <is>
          <t>4월 통신요금 - O텔레콤</t>
        </is>
      </c>
      <c r="J782" s="75" t="inlineStr">
        <is>
          <t>V10002</t>
        </is>
      </c>
      <c r="K782" s="75" t="inlineStr">
        <is>
          <t>O텔레콤</t>
        </is>
      </c>
      <c r="M782" s="9">
        <f>IF($A782="","",VALUE($A782&amp;"")*12+VALUE($B782&amp;""))</f>
        <v/>
      </c>
      <c r="N782" s="39">
        <f>IF($A782="","",IFERROR(INDEX(부서매핑!$C$5:$C$504,MATCH($G782&amp;"",부서매핑!$A$5:$A$504,0)),"미매핑"))</f>
        <v/>
      </c>
      <c r="O782" s="9">
        <f>IF($A782="","",N782&amp;"|"&amp;$F782)</f>
        <v/>
      </c>
      <c r="P782" s="77">
        <f>IF($A782="",0,$H782*설정!$C$23)</f>
        <v/>
      </c>
      <c r="Q782" s="39">
        <f>IF($A782="","",IF(O782&lt;&gt;원인분석!$C$9,"",IF(AND(M782&gt;=원인분석!$C$10,M782&lt;=원인분석!$C$11),"당기",IF(AND(M782&gt;=원인분석!$C$12,M782&lt;=원인분석!$C$13),"비교",""))))</f>
        <v/>
      </c>
      <c r="R782" s="9">
        <f>IF(Q782="","",$K782&amp;"")</f>
        <v/>
      </c>
      <c r="S782" s="9">
        <f>IF(Q782="","",IF(MATCH(R782,$R$5:$R$100000,0)=ROW()-4,ROW(),""))</f>
        <v/>
      </c>
      <c r="T782" s="9">
        <f>IF(Q782="당기",ABS(P782)+ROW()/1000000000,"")</f>
        <v/>
      </c>
      <c r="U782" s="9">
        <f>IF(Q782="비교",ABS(P782)+ROW()/1000000000,"")</f>
        <v/>
      </c>
      <c r="V782" s="39">
        <f>IF($A782="","",IF(COUNTIF(변동분석!$E$7:$E$506,O782)&gt;0,"Y","N"))</f>
        <v/>
      </c>
      <c r="W782" s="39">
        <f>IF($A782="","",IFERROR(INDEX(계정매핑!$D$5:$D$504,MATCH($F782&amp;"",계정매핑!$A$5:$A$504,0)),"미매핑"))</f>
        <v/>
      </c>
      <c r="X782" s="9">
        <f>IF($A782="","",$F782&amp;"")</f>
        <v/>
      </c>
    </row>
    <row r="783">
      <c r="A783" s="75" t="n">
        <v>2025</v>
      </c>
      <c r="B783" s="75" t="n">
        <v>4</v>
      </c>
      <c r="C783" s="75" t="inlineStr">
        <is>
          <t>5100000779</t>
        </is>
      </c>
      <c r="D783" s="78" t="n">
        <v>45773</v>
      </c>
      <c r="E783" s="75" t="inlineStr">
        <is>
          <t>KR</t>
        </is>
      </c>
      <c r="F783" s="75" t="n">
        <v>62201000</v>
      </c>
      <c r="G783" s="75" t="n">
        <v>1301</v>
      </c>
      <c r="H783" s="76" t="n">
        <v>172000</v>
      </c>
      <c r="I783" s="75" t="inlineStr">
        <is>
          <t>4월 통신요금 - P통신</t>
        </is>
      </c>
      <c r="J783" s="75" t="inlineStr">
        <is>
          <t>V10011</t>
        </is>
      </c>
      <c r="K783" s="75" t="inlineStr">
        <is>
          <t>P통신</t>
        </is>
      </c>
      <c r="M783" s="9">
        <f>IF($A783="","",VALUE($A783&amp;"")*12+VALUE($B783&amp;""))</f>
        <v/>
      </c>
      <c r="N783" s="39">
        <f>IF($A783="","",IFERROR(INDEX(부서매핑!$C$5:$C$504,MATCH($G783&amp;"",부서매핑!$A$5:$A$504,0)),"미매핑"))</f>
        <v/>
      </c>
      <c r="O783" s="9">
        <f>IF($A783="","",N783&amp;"|"&amp;$F783)</f>
        <v/>
      </c>
      <c r="P783" s="77">
        <f>IF($A783="",0,$H783*설정!$C$23)</f>
        <v/>
      </c>
      <c r="Q783" s="39">
        <f>IF($A783="","",IF(O783&lt;&gt;원인분석!$C$9,"",IF(AND(M783&gt;=원인분석!$C$10,M783&lt;=원인분석!$C$11),"당기",IF(AND(M783&gt;=원인분석!$C$12,M783&lt;=원인분석!$C$13),"비교",""))))</f>
        <v/>
      </c>
      <c r="R783" s="9">
        <f>IF(Q783="","",$K783&amp;"")</f>
        <v/>
      </c>
      <c r="S783" s="9">
        <f>IF(Q783="","",IF(MATCH(R783,$R$5:$R$100000,0)=ROW()-4,ROW(),""))</f>
        <v/>
      </c>
      <c r="T783" s="9">
        <f>IF(Q783="당기",ABS(P783)+ROW()/1000000000,"")</f>
        <v/>
      </c>
      <c r="U783" s="9">
        <f>IF(Q783="비교",ABS(P783)+ROW()/1000000000,"")</f>
        <v/>
      </c>
      <c r="V783" s="39">
        <f>IF($A783="","",IF(COUNTIF(변동분석!$E$7:$E$506,O783)&gt;0,"Y","N"))</f>
        <v/>
      </c>
      <c r="W783" s="39">
        <f>IF($A783="","",IFERROR(INDEX(계정매핑!$D$5:$D$504,MATCH($F783&amp;"",계정매핑!$A$5:$A$504,0)),"미매핑"))</f>
        <v/>
      </c>
      <c r="X783" s="9">
        <f>IF($A783="","",$F783&amp;"")</f>
        <v/>
      </c>
    </row>
    <row r="784">
      <c r="A784" s="75" t="n">
        <v>2025</v>
      </c>
      <c r="B784" s="75" t="n">
        <v>4</v>
      </c>
      <c r="C784" s="75" t="inlineStr">
        <is>
          <t>5100000780</t>
        </is>
      </c>
      <c r="D784" s="78" t="n">
        <v>45773</v>
      </c>
      <c r="E784" s="75" t="inlineStr">
        <is>
          <t>KR</t>
        </is>
      </c>
      <c r="F784" s="75" t="n">
        <v>62301000</v>
      </c>
      <c r="G784" s="75" t="n">
        <v>1201</v>
      </c>
      <c r="H784" s="76" t="n">
        <v>161000</v>
      </c>
      <c r="I784" s="75" t="inlineStr">
        <is>
          <t>4월 소모품 구입 - Q오피스</t>
        </is>
      </c>
      <c r="J784" s="75" t="inlineStr">
        <is>
          <t>V10003</t>
        </is>
      </c>
      <c r="K784" s="75" t="inlineStr">
        <is>
          <t>Q오피스</t>
        </is>
      </c>
      <c r="M784" s="9">
        <f>IF($A784="","",VALUE($A784&amp;"")*12+VALUE($B784&amp;""))</f>
        <v/>
      </c>
      <c r="N784" s="39">
        <f>IF($A784="","",IFERROR(INDEX(부서매핑!$C$5:$C$504,MATCH($G784&amp;"",부서매핑!$A$5:$A$504,0)),"미매핑"))</f>
        <v/>
      </c>
      <c r="O784" s="9">
        <f>IF($A784="","",N784&amp;"|"&amp;$F784)</f>
        <v/>
      </c>
      <c r="P784" s="77">
        <f>IF($A784="",0,$H784*설정!$C$23)</f>
        <v/>
      </c>
      <c r="Q784" s="39">
        <f>IF($A784="","",IF(O784&lt;&gt;원인분석!$C$9,"",IF(AND(M784&gt;=원인분석!$C$10,M784&lt;=원인분석!$C$11),"당기",IF(AND(M784&gt;=원인분석!$C$12,M784&lt;=원인분석!$C$13),"비교",""))))</f>
        <v/>
      </c>
      <c r="R784" s="9">
        <f>IF(Q784="","",$K784&amp;"")</f>
        <v/>
      </c>
      <c r="S784" s="9">
        <f>IF(Q784="","",IF(MATCH(R784,$R$5:$R$100000,0)=ROW()-4,ROW(),""))</f>
        <v/>
      </c>
      <c r="T784" s="9">
        <f>IF(Q784="당기",ABS(P784)+ROW()/1000000000,"")</f>
        <v/>
      </c>
      <c r="U784" s="9">
        <f>IF(Q784="비교",ABS(P784)+ROW()/1000000000,"")</f>
        <v/>
      </c>
      <c r="V784" s="39">
        <f>IF($A784="","",IF(COUNTIF(변동분석!$E$7:$E$506,O784)&gt;0,"Y","N"))</f>
        <v/>
      </c>
      <c r="W784" s="39">
        <f>IF($A784="","",IFERROR(INDEX(계정매핑!$D$5:$D$504,MATCH($F784&amp;"",계정매핑!$A$5:$A$504,0)),"미매핑"))</f>
        <v/>
      </c>
      <c r="X784" s="9">
        <f>IF($A784="","",$F784&amp;"")</f>
        <v/>
      </c>
    </row>
    <row r="785">
      <c r="A785" s="75" t="n">
        <v>2025</v>
      </c>
      <c r="B785" s="75" t="n">
        <v>4</v>
      </c>
      <c r="C785" s="75" t="inlineStr">
        <is>
          <t>5100000781</t>
        </is>
      </c>
      <c r="D785" s="78" t="n">
        <v>45773</v>
      </c>
      <c r="E785" s="75" t="inlineStr">
        <is>
          <t>KR</t>
        </is>
      </c>
      <c r="F785" s="75" t="n">
        <v>62401000</v>
      </c>
      <c r="G785" s="75" t="n">
        <v>1801</v>
      </c>
      <c r="H785" s="76" t="n">
        <v>2460000</v>
      </c>
      <c r="I785" s="75" t="inlineStr">
        <is>
          <t>4월 인쇄물 제작 - G인쇄</t>
        </is>
      </c>
      <c r="J785" s="75" t="inlineStr">
        <is>
          <t>V10004</t>
        </is>
      </c>
      <c r="K785" s="75" t="inlineStr">
        <is>
          <t>G인쇄</t>
        </is>
      </c>
      <c r="M785" s="9">
        <f>IF($A785="","",VALUE($A785&amp;"")*12+VALUE($B785&amp;""))</f>
        <v/>
      </c>
      <c r="N785" s="39">
        <f>IF($A785="","",IFERROR(INDEX(부서매핑!$C$5:$C$504,MATCH($G785&amp;"",부서매핑!$A$5:$A$504,0)),"미매핑"))</f>
        <v/>
      </c>
      <c r="O785" s="9">
        <f>IF($A785="","",N785&amp;"|"&amp;$F785)</f>
        <v/>
      </c>
      <c r="P785" s="77">
        <f>IF($A785="",0,$H785*설정!$C$23)</f>
        <v/>
      </c>
      <c r="Q785" s="39">
        <f>IF($A785="","",IF(O785&lt;&gt;원인분석!$C$9,"",IF(AND(M785&gt;=원인분석!$C$10,M785&lt;=원인분석!$C$11),"당기",IF(AND(M785&gt;=원인분석!$C$12,M785&lt;=원인분석!$C$13),"비교",""))))</f>
        <v/>
      </c>
      <c r="R785" s="9">
        <f>IF(Q785="","",$K785&amp;"")</f>
        <v/>
      </c>
      <c r="S785" s="9">
        <f>IF(Q785="","",IF(MATCH(R785,$R$5:$R$100000,0)=ROW()-4,ROW(),""))</f>
        <v/>
      </c>
      <c r="T785" s="9">
        <f>IF(Q785="당기",ABS(P785)+ROW()/1000000000,"")</f>
        <v/>
      </c>
      <c r="U785" s="9">
        <f>IF(Q785="비교",ABS(P785)+ROW()/1000000000,"")</f>
        <v/>
      </c>
      <c r="V785" s="39">
        <f>IF($A785="","",IF(COUNTIF(변동분석!$E$7:$E$506,O785)&gt;0,"Y","N"))</f>
        <v/>
      </c>
      <c r="W785" s="39">
        <f>IF($A785="","",IFERROR(INDEX(계정매핑!$D$5:$D$504,MATCH($F785&amp;"",계정매핑!$A$5:$A$504,0)),"미매핑"))</f>
        <v/>
      </c>
      <c r="X785" s="9">
        <f>IF($A785="","",$F785&amp;"")</f>
        <v/>
      </c>
    </row>
    <row r="786">
      <c r="A786" s="75" t="n">
        <v>2025</v>
      </c>
      <c r="B786" s="75" t="n">
        <v>4</v>
      </c>
      <c r="C786" s="75" t="inlineStr">
        <is>
          <t>5100000782</t>
        </is>
      </c>
      <c r="D786" s="78" t="n">
        <v>45773</v>
      </c>
      <c r="E786" s="75" t="inlineStr">
        <is>
          <t>KR</t>
        </is>
      </c>
      <c r="F786" s="75" t="n">
        <v>62501000</v>
      </c>
      <c r="G786" s="75" t="n">
        <v>1701</v>
      </c>
      <c r="H786" s="76" t="n">
        <v>200000</v>
      </c>
      <c r="I786" s="75" t="inlineStr">
        <is>
          <t>4월 회의 다과 - T케이터링</t>
        </is>
      </c>
      <c r="J786" s="75" t="inlineStr">
        <is>
          <t>V10005</t>
        </is>
      </c>
      <c r="K786" s="75" t="inlineStr">
        <is>
          <t>T케이터링</t>
        </is>
      </c>
      <c r="M786" s="9">
        <f>IF($A786="","",VALUE($A786&amp;"")*12+VALUE($B786&amp;""))</f>
        <v/>
      </c>
      <c r="N786" s="39">
        <f>IF($A786="","",IFERROR(INDEX(부서매핑!$C$5:$C$504,MATCH($G786&amp;"",부서매핑!$A$5:$A$504,0)),"미매핑"))</f>
        <v/>
      </c>
      <c r="O786" s="9">
        <f>IF($A786="","",N786&amp;"|"&amp;$F786)</f>
        <v/>
      </c>
      <c r="P786" s="77">
        <f>IF($A786="",0,$H786*설정!$C$23)</f>
        <v/>
      </c>
      <c r="Q786" s="39">
        <f>IF($A786="","",IF(O786&lt;&gt;원인분석!$C$9,"",IF(AND(M786&gt;=원인분석!$C$10,M786&lt;=원인분석!$C$11),"당기",IF(AND(M786&gt;=원인분석!$C$12,M786&lt;=원인분석!$C$13),"비교",""))))</f>
        <v/>
      </c>
      <c r="R786" s="9">
        <f>IF(Q786="","",$K786&amp;"")</f>
        <v/>
      </c>
      <c r="S786" s="9">
        <f>IF(Q786="","",IF(MATCH(R786,$R$5:$R$100000,0)=ROW()-4,ROW(),""))</f>
        <v/>
      </c>
      <c r="T786" s="9">
        <f>IF(Q786="당기",ABS(P786)+ROW()/1000000000,"")</f>
        <v/>
      </c>
      <c r="U786" s="9">
        <f>IF(Q786="비교",ABS(P786)+ROW()/1000000000,"")</f>
        <v/>
      </c>
      <c r="V786" s="39">
        <f>IF($A786="","",IF(COUNTIF(변동분석!$E$7:$E$506,O786)&gt;0,"Y","N"))</f>
        <v/>
      </c>
      <c r="W786" s="39">
        <f>IF($A786="","",IFERROR(INDEX(계정매핑!$D$5:$D$504,MATCH($F786&amp;"",계정매핑!$A$5:$A$504,0)),"미매핑"))</f>
        <v/>
      </c>
      <c r="X786" s="9">
        <f>IF($A786="","",$F786&amp;"")</f>
        <v/>
      </c>
    </row>
    <row r="787">
      <c r="A787" s="75" t="n">
        <v>2025</v>
      </c>
      <c r="B787" s="75" t="n">
        <v>4</v>
      </c>
      <c r="C787" s="75" t="inlineStr">
        <is>
          <t>5100000783</t>
        </is>
      </c>
      <c r="D787" s="78" t="n">
        <v>45773</v>
      </c>
      <c r="E787" s="75" t="inlineStr">
        <is>
          <t>KR</t>
        </is>
      </c>
      <c r="F787" s="75" t="n">
        <v>62902000</v>
      </c>
      <c r="G787" s="75" t="n">
        <v>1401</v>
      </c>
      <c r="H787" s="76" t="n">
        <v>3262000</v>
      </c>
      <c r="I787" s="75" t="inlineStr">
        <is>
          <t>4월 업무 위탁 수수료 - X서비스</t>
        </is>
      </c>
      <c r="J787" s="75" t="inlineStr">
        <is>
          <t>V10016</t>
        </is>
      </c>
      <c r="K787" s="75" t="inlineStr">
        <is>
          <t>X서비스</t>
        </is>
      </c>
      <c r="M787" s="9">
        <f>IF($A787="","",VALUE($A787&amp;"")*12+VALUE($B787&amp;""))</f>
        <v/>
      </c>
      <c r="N787" s="39">
        <f>IF($A787="","",IFERROR(INDEX(부서매핑!$C$5:$C$504,MATCH($G787&amp;"",부서매핑!$A$5:$A$504,0)),"미매핑"))</f>
        <v/>
      </c>
      <c r="O787" s="9">
        <f>IF($A787="","",N787&amp;"|"&amp;$F787)</f>
        <v/>
      </c>
      <c r="P787" s="77">
        <f>IF($A787="",0,$H787*설정!$C$23)</f>
        <v/>
      </c>
      <c r="Q787" s="39">
        <f>IF($A787="","",IF(O787&lt;&gt;원인분석!$C$9,"",IF(AND(M787&gt;=원인분석!$C$10,M787&lt;=원인분석!$C$11),"당기",IF(AND(M787&gt;=원인분석!$C$12,M787&lt;=원인분석!$C$13),"비교",""))))</f>
        <v/>
      </c>
      <c r="R787" s="9">
        <f>IF(Q787="","",$K787&amp;"")</f>
        <v/>
      </c>
      <c r="S787" s="9">
        <f>IF(Q787="","",IF(MATCH(R787,$R$5:$R$100000,0)=ROW()-4,ROW(),""))</f>
        <v/>
      </c>
      <c r="T787" s="9">
        <f>IF(Q787="당기",ABS(P787)+ROW()/1000000000,"")</f>
        <v/>
      </c>
      <c r="U787" s="9">
        <f>IF(Q787="비교",ABS(P787)+ROW()/1000000000,"")</f>
        <v/>
      </c>
      <c r="V787" s="39">
        <f>IF($A787="","",IF(COUNTIF(변동분석!$E$7:$E$506,O787)&gt;0,"Y","N"))</f>
        <v/>
      </c>
      <c r="W787" s="39">
        <f>IF($A787="","",IFERROR(INDEX(계정매핑!$D$5:$D$504,MATCH($F787&amp;"",계정매핑!$A$5:$A$504,0)),"미매핑"))</f>
        <v/>
      </c>
      <c r="X787" s="9">
        <f>IF($A787="","",$F787&amp;"")</f>
        <v/>
      </c>
    </row>
    <row r="788">
      <c r="A788" s="75" t="n">
        <v>2025</v>
      </c>
      <c r="B788" s="75" t="n">
        <v>4</v>
      </c>
      <c r="C788" s="75" t="inlineStr">
        <is>
          <t>5100000784</t>
        </is>
      </c>
      <c r="D788" s="78" t="n">
        <v>45774</v>
      </c>
      <c r="E788" s="75" t="inlineStr">
        <is>
          <t>KR</t>
        </is>
      </c>
      <c r="F788" s="75" t="n">
        <v>62101000</v>
      </c>
      <c r="G788" s="75" t="n">
        <v>1501</v>
      </c>
      <c r="H788" s="76" t="n">
        <v>502000</v>
      </c>
      <c r="I788" s="75" t="inlineStr">
        <is>
          <t>4월 국내출장 - (법인카드)</t>
        </is>
      </c>
      <c r="J788" s="75" t="inlineStr">
        <is>
          <t>V10008</t>
        </is>
      </c>
      <c r="K788" s="75" t="inlineStr">
        <is>
          <t>(법인카드)</t>
        </is>
      </c>
      <c r="M788" s="9">
        <f>IF($A788="","",VALUE($A788&amp;"")*12+VALUE($B788&amp;""))</f>
        <v/>
      </c>
      <c r="N788" s="39">
        <f>IF($A788="","",IFERROR(INDEX(부서매핑!$C$5:$C$504,MATCH($G788&amp;"",부서매핑!$A$5:$A$504,0)),"미매핑"))</f>
        <v/>
      </c>
      <c r="O788" s="9">
        <f>IF($A788="","",N788&amp;"|"&amp;$F788)</f>
        <v/>
      </c>
      <c r="P788" s="77">
        <f>IF($A788="",0,$H788*설정!$C$23)</f>
        <v/>
      </c>
      <c r="Q788" s="39">
        <f>IF($A788="","",IF(O788&lt;&gt;원인분석!$C$9,"",IF(AND(M788&gt;=원인분석!$C$10,M788&lt;=원인분석!$C$11),"당기",IF(AND(M788&gt;=원인분석!$C$12,M788&lt;=원인분석!$C$13),"비교",""))))</f>
        <v/>
      </c>
      <c r="R788" s="9">
        <f>IF(Q788="","",$K788&amp;"")</f>
        <v/>
      </c>
      <c r="S788" s="9">
        <f>IF(Q788="","",IF(MATCH(R788,$R$5:$R$100000,0)=ROW()-4,ROW(),""))</f>
        <v/>
      </c>
      <c r="T788" s="9">
        <f>IF(Q788="당기",ABS(P788)+ROW()/1000000000,"")</f>
        <v/>
      </c>
      <c r="U788" s="9">
        <f>IF(Q788="비교",ABS(P788)+ROW()/1000000000,"")</f>
        <v/>
      </c>
      <c r="V788" s="39">
        <f>IF($A788="","",IF(COUNTIF(변동분석!$E$7:$E$506,O788)&gt;0,"Y","N"))</f>
        <v/>
      </c>
      <c r="W788" s="39">
        <f>IF($A788="","",IFERROR(INDEX(계정매핑!$D$5:$D$504,MATCH($F788&amp;"",계정매핑!$A$5:$A$504,0)),"미매핑"))</f>
        <v/>
      </c>
      <c r="X788" s="9">
        <f>IF($A788="","",$F788&amp;"")</f>
        <v/>
      </c>
    </row>
    <row r="789">
      <c r="A789" s="75" t="n">
        <v>2025</v>
      </c>
      <c r="B789" s="75" t="n">
        <v>4</v>
      </c>
      <c r="C789" s="75" t="inlineStr">
        <is>
          <t>5100000785</t>
        </is>
      </c>
      <c r="D789" s="78" t="n">
        <v>45774</v>
      </c>
      <c r="E789" s="75" t="inlineStr">
        <is>
          <t>KR</t>
        </is>
      </c>
      <c r="F789" s="75" t="n">
        <v>62301000</v>
      </c>
      <c r="G789" s="75" t="n">
        <v>1602</v>
      </c>
      <c r="H789" s="76" t="n">
        <v>295000</v>
      </c>
      <c r="I789" s="75" t="inlineStr">
        <is>
          <t>4월 소모품 구입 - Q오피스</t>
        </is>
      </c>
      <c r="J789" s="75" t="inlineStr">
        <is>
          <t>V10003</t>
        </is>
      </c>
      <c r="K789" s="75" t="inlineStr">
        <is>
          <t>Q오피스</t>
        </is>
      </c>
      <c r="M789" s="9">
        <f>IF($A789="","",VALUE($A789&amp;"")*12+VALUE($B789&amp;""))</f>
        <v/>
      </c>
      <c r="N789" s="39">
        <f>IF($A789="","",IFERROR(INDEX(부서매핑!$C$5:$C$504,MATCH($G789&amp;"",부서매핑!$A$5:$A$504,0)),"미매핑"))</f>
        <v/>
      </c>
      <c r="O789" s="9">
        <f>IF($A789="","",N789&amp;"|"&amp;$F789)</f>
        <v/>
      </c>
      <c r="P789" s="77">
        <f>IF($A789="",0,$H789*설정!$C$23)</f>
        <v/>
      </c>
      <c r="Q789" s="39">
        <f>IF($A789="","",IF(O789&lt;&gt;원인분석!$C$9,"",IF(AND(M789&gt;=원인분석!$C$10,M789&lt;=원인분석!$C$11),"당기",IF(AND(M789&gt;=원인분석!$C$12,M789&lt;=원인분석!$C$13),"비교",""))))</f>
        <v/>
      </c>
      <c r="R789" s="9">
        <f>IF(Q789="","",$K789&amp;"")</f>
        <v/>
      </c>
      <c r="S789" s="9">
        <f>IF(Q789="","",IF(MATCH(R789,$R$5:$R$100000,0)=ROW()-4,ROW(),""))</f>
        <v/>
      </c>
      <c r="T789" s="9">
        <f>IF(Q789="당기",ABS(P789)+ROW()/1000000000,"")</f>
        <v/>
      </c>
      <c r="U789" s="9">
        <f>IF(Q789="비교",ABS(P789)+ROW()/1000000000,"")</f>
        <v/>
      </c>
      <c r="V789" s="39">
        <f>IF($A789="","",IF(COUNTIF(변동분석!$E$7:$E$506,O789)&gt;0,"Y","N"))</f>
        <v/>
      </c>
      <c r="W789" s="39">
        <f>IF($A789="","",IFERROR(INDEX(계정매핑!$D$5:$D$504,MATCH($F789&amp;"",계정매핑!$A$5:$A$504,0)),"미매핑"))</f>
        <v/>
      </c>
      <c r="X789" s="9">
        <f>IF($A789="","",$F789&amp;"")</f>
        <v/>
      </c>
    </row>
    <row r="790">
      <c r="A790" s="75" t="n">
        <v>2025</v>
      </c>
      <c r="B790" s="75" t="n">
        <v>4</v>
      </c>
      <c r="C790" s="75" t="inlineStr">
        <is>
          <t>5100000786</t>
        </is>
      </c>
      <c r="D790" s="78" t="n">
        <v>45774</v>
      </c>
      <c r="E790" s="75" t="inlineStr">
        <is>
          <t>KR</t>
        </is>
      </c>
      <c r="F790" s="75" t="n">
        <v>62601000</v>
      </c>
      <c r="G790" s="75" t="n">
        <v>1601</v>
      </c>
      <c r="H790" s="76" t="n">
        <v>1390000</v>
      </c>
      <c r="I790" s="75" t="inlineStr">
        <is>
          <t>4월 업무추진 - (법인카드)</t>
        </is>
      </c>
      <c r="J790" s="75" t="inlineStr">
        <is>
          <t>V10008</t>
        </is>
      </c>
      <c r="K790" s="75" t="inlineStr">
        <is>
          <t>(법인카드)</t>
        </is>
      </c>
      <c r="M790" s="9">
        <f>IF($A790="","",VALUE($A790&amp;"")*12+VALUE($B790&amp;""))</f>
        <v/>
      </c>
      <c r="N790" s="39">
        <f>IF($A790="","",IFERROR(INDEX(부서매핑!$C$5:$C$504,MATCH($G790&amp;"",부서매핑!$A$5:$A$504,0)),"미매핑"))</f>
        <v/>
      </c>
      <c r="O790" s="9">
        <f>IF($A790="","",N790&amp;"|"&amp;$F790)</f>
        <v/>
      </c>
      <c r="P790" s="77">
        <f>IF($A790="",0,$H790*설정!$C$23)</f>
        <v/>
      </c>
      <c r="Q790" s="39">
        <f>IF($A790="","",IF(O790&lt;&gt;원인분석!$C$9,"",IF(AND(M790&gt;=원인분석!$C$10,M790&lt;=원인분석!$C$11),"당기",IF(AND(M790&gt;=원인분석!$C$12,M790&lt;=원인분석!$C$13),"비교",""))))</f>
        <v/>
      </c>
      <c r="R790" s="9">
        <f>IF(Q790="","",$K790&amp;"")</f>
        <v/>
      </c>
      <c r="S790" s="9">
        <f>IF(Q790="","",IF(MATCH(R790,$R$5:$R$100000,0)=ROW()-4,ROW(),""))</f>
        <v/>
      </c>
      <c r="T790" s="9">
        <f>IF(Q790="당기",ABS(P790)+ROW()/1000000000,"")</f>
        <v/>
      </c>
      <c r="U790" s="9">
        <f>IF(Q790="비교",ABS(P790)+ROW()/1000000000,"")</f>
        <v/>
      </c>
      <c r="V790" s="39">
        <f>IF($A790="","",IF(COUNTIF(변동분석!$E$7:$E$506,O790)&gt;0,"Y","N"))</f>
        <v/>
      </c>
      <c r="W790" s="39">
        <f>IF($A790="","",IFERROR(INDEX(계정매핑!$D$5:$D$504,MATCH($F790&amp;"",계정매핑!$A$5:$A$504,0)),"미매핑"))</f>
        <v/>
      </c>
      <c r="X790" s="9">
        <f>IF($A790="","",$F790&amp;"")</f>
        <v/>
      </c>
    </row>
    <row r="791">
      <c r="A791" s="75" t="n">
        <v>2025</v>
      </c>
      <c r="B791" s="75" t="n">
        <v>4</v>
      </c>
      <c r="C791" s="75" t="inlineStr">
        <is>
          <t>5100000787</t>
        </is>
      </c>
      <c r="D791" s="78" t="n">
        <v>45774</v>
      </c>
      <c r="E791" s="75" t="inlineStr">
        <is>
          <t>KR</t>
        </is>
      </c>
      <c r="F791" s="75" t="n">
        <v>62701000</v>
      </c>
      <c r="G791" s="75" t="n">
        <v>1501</v>
      </c>
      <c r="H791" s="76" t="n">
        <v>72198000</v>
      </c>
      <c r="I791" s="75" t="inlineStr">
        <is>
          <t>4월 광고 집행 - E미디어</t>
        </is>
      </c>
      <c r="J791" s="75" t="inlineStr">
        <is>
          <t>V10027</t>
        </is>
      </c>
      <c r="K791" s="75" t="inlineStr">
        <is>
          <t>E미디어</t>
        </is>
      </c>
      <c r="M791" s="9">
        <f>IF($A791="","",VALUE($A791&amp;"")*12+VALUE($B791&amp;""))</f>
        <v/>
      </c>
      <c r="N791" s="39">
        <f>IF($A791="","",IFERROR(INDEX(부서매핑!$C$5:$C$504,MATCH($G791&amp;"",부서매핑!$A$5:$A$504,0)),"미매핑"))</f>
        <v/>
      </c>
      <c r="O791" s="9">
        <f>IF($A791="","",N791&amp;"|"&amp;$F791)</f>
        <v/>
      </c>
      <c r="P791" s="77">
        <f>IF($A791="",0,$H791*설정!$C$23)</f>
        <v/>
      </c>
      <c r="Q791" s="39">
        <f>IF($A791="","",IF(O791&lt;&gt;원인분석!$C$9,"",IF(AND(M791&gt;=원인분석!$C$10,M791&lt;=원인분석!$C$11),"당기",IF(AND(M791&gt;=원인분석!$C$12,M791&lt;=원인분석!$C$13),"비교",""))))</f>
        <v/>
      </c>
      <c r="R791" s="9">
        <f>IF(Q791="","",$K791&amp;"")</f>
        <v/>
      </c>
      <c r="S791" s="9">
        <f>IF(Q791="","",IF(MATCH(R791,$R$5:$R$100000,0)=ROW()-4,ROW(),""))</f>
        <v/>
      </c>
      <c r="T791" s="9">
        <f>IF(Q791="당기",ABS(P791)+ROW()/1000000000,"")</f>
        <v/>
      </c>
      <c r="U791" s="9">
        <f>IF(Q791="비교",ABS(P791)+ROW()/1000000000,"")</f>
        <v/>
      </c>
      <c r="V791" s="39">
        <f>IF($A791="","",IF(COUNTIF(변동분석!$E$7:$E$506,O791)&gt;0,"Y","N"))</f>
        <v/>
      </c>
      <c r="W791" s="39">
        <f>IF($A791="","",IFERROR(INDEX(계정매핑!$D$5:$D$504,MATCH($F791&amp;"",계정매핑!$A$5:$A$504,0)),"미매핑"))</f>
        <v/>
      </c>
      <c r="X791" s="9">
        <f>IF($A791="","",$F791&amp;"")</f>
        <v/>
      </c>
    </row>
    <row r="792">
      <c r="A792" s="75" t="n">
        <v>2025</v>
      </c>
      <c r="B792" s="75" t="n">
        <v>5</v>
      </c>
      <c r="C792" s="75" t="inlineStr">
        <is>
          <t>5100000788</t>
        </is>
      </c>
      <c r="D792" s="78" t="n">
        <v>45779</v>
      </c>
      <c r="E792" s="75" t="inlineStr">
        <is>
          <t>KR</t>
        </is>
      </c>
      <c r="F792" s="75" t="n">
        <v>62101000</v>
      </c>
      <c r="G792" s="75" t="n">
        <v>1301</v>
      </c>
      <c r="H792" s="76" t="n">
        <v>228000</v>
      </c>
      <c r="I792" s="75" t="inlineStr">
        <is>
          <t>5월 국내출장 - M항공</t>
        </is>
      </c>
      <c r="J792" s="75" t="inlineStr">
        <is>
          <t>V10001</t>
        </is>
      </c>
      <c r="K792" s="75" t="inlineStr">
        <is>
          <t>M항공</t>
        </is>
      </c>
      <c r="M792" s="9">
        <f>IF($A792="","",VALUE($A792&amp;"")*12+VALUE($B792&amp;""))</f>
        <v/>
      </c>
      <c r="N792" s="39">
        <f>IF($A792="","",IFERROR(INDEX(부서매핑!$C$5:$C$504,MATCH($G792&amp;"",부서매핑!$A$5:$A$504,0)),"미매핑"))</f>
        <v/>
      </c>
      <c r="O792" s="9">
        <f>IF($A792="","",N792&amp;"|"&amp;$F792)</f>
        <v/>
      </c>
      <c r="P792" s="77">
        <f>IF($A792="",0,$H792*설정!$C$23)</f>
        <v/>
      </c>
      <c r="Q792" s="39">
        <f>IF($A792="","",IF(O792&lt;&gt;원인분석!$C$9,"",IF(AND(M792&gt;=원인분석!$C$10,M792&lt;=원인분석!$C$11),"당기",IF(AND(M792&gt;=원인분석!$C$12,M792&lt;=원인분석!$C$13),"비교",""))))</f>
        <v/>
      </c>
      <c r="R792" s="9">
        <f>IF(Q792="","",$K792&amp;"")</f>
        <v/>
      </c>
      <c r="S792" s="9">
        <f>IF(Q792="","",IF(MATCH(R792,$R$5:$R$100000,0)=ROW()-4,ROW(),""))</f>
        <v/>
      </c>
      <c r="T792" s="9">
        <f>IF(Q792="당기",ABS(P792)+ROW()/1000000000,"")</f>
        <v/>
      </c>
      <c r="U792" s="9">
        <f>IF(Q792="비교",ABS(P792)+ROW()/1000000000,"")</f>
        <v/>
      </c>
      <c r="V792" s="39">
        <f>IF($A792="","",IF(COUNTIF(변동분석!$E$7:$E$506,O792)&gt;0,"Y","N"))</f>
        <v/>
      </c>
      <c r="W792" s="39">
        <f>IF($A792="","",IFERROR(INDEX(계정매핑!$D$5:$D$504,MATCH($F792&amp;"",계정매핑!$A$5:$A$504,0)),"미매핑"))</f>
        <v/>
      </c>
      <c r="X792" s="9">
        <f>IF($A792="","",$F792&amp;"")</f>
        <v/>
      </c>
    </row>
    <row r="793">
      <c r="A793" s="75" t="n">
        <v>2025</v>
      </c>
      <c r="B793" s="75" t="n">
        <v>5</v>
      </c>
      <c r="C793" s="75" t="inlineStr">
        <is>
          <t>5100000789</t>
        </is>
      </c>
      <c r="D793" s="78" t="n">
        <v>45779</v>
      </c>
      <c r="E793" s="75" t="inlineStr">
        <is>
          <t>KR</t>
        </is>
      </c>
      <c r="F793" s="75" t="n">
        <v>62101000</v>
      </c>
      <c r="G793" s="75" t="n">
        <v>1401</v>
      </c>
      <c r="H793" s="76" t="n">
        <v>403000</v>
      </c>
      <c r="I793" s="75" t="inlineStr">
        <is>
          <t>5월 국내출장 - (법인카드)</t>
        </is>
      </c>
      <c r="J793" s="75" t="inlineStr">
        <is>
          <t>V10008</t>
        </is>
      </c>
      <c r="K793" s="75" t="inlineStr">
        <is>
          <t>(법인카드)</t>
        </is>
      </c>
      <c r="M793" s="9">
        <f>IF($A793="","",VALUE($A793&amp;"")*12+VALUE($B793&amp;""))</f>
        <v/>
      </c>
      <c r="N793" s="39">
        <f>IF($A793="","",IFERROR(INDEX(부서매핑!$C$5:$C$504,MATCH($G793&amp;"",부서매핑!$A$5:$A$504,0)),"미매핑"))</f>
        <v/>
      </c>
      <c r="O793" s="9">
        <f>IF($A793="","",N793&amp;"|"&amp;$F793)</f>
        <v/>
      </c>
      <c r="P793" s="77">
        <f>IF($A793="",0,$H793*설정!$C$23)</f>
        <v/>
      </c>
      <c r="Q793" s="39">
        <f>IF($A793="","",IF(O793&lt;&gt;원인분석!$C$9,"",IF(AND(M793&gt;=원인분석!$C$10,M793&lt;=원인분석!$C$11),"당기",IF(AND(M793&gt;=원인분석!$C$12,M793&lt;=원인분석!$C$13),"비교",""))))</f>
        <v/>
      </c>
      <c r="R793" s="9">
        <f>IF(Q793="","",$K793&amp;"")</f>
        <v/>
      </c>
      <c r="S793" s="9">
        <f>IF(Q793="","",IF(MATCH(R793,$R$5:$R$100000,0)=ROW()-4,ROW(),""))</f>
        <v/>
      </c>
      <c r="T793" s="9">
        <f>IF(Q793="당기",ABS(P793)+ROW()/1000000000,"")</f>
        <v/>
      </c>
      <c r="U793" s="9">
        <f>IF(Q793="비교",ABS(P793)+ROW()/1000000000,"")</f>
        <v/>
      </c>
      <c r="V793" s="39">
        <f>IF($A793="","",IF(COUNTIF(변동분석!$E$7:$E$506,O793)&gt;0,"Y","N"))</f>
        <v/>
      </c>
      <c r="W793" s="39">
        <f>IF($A793="","",IFERROR(INDEX(계정매핑!$D$5:$D$504,MATCH($F793&amp;"",계정매핑!$A$5:$A$504,0)),"미매핑"))</f>
        <v/>
      </c>
      <c r="X793" s="9">
        <f>IF($A793="","",$F793&amp;"")</f>
        <v/>
      </c>
    </row>
    <row r="794">
      <c r="A794" s="75" t="n">
        <v>2025</v>
      </c>
      <c r="B794" s="75" t="n">
        <v>5</v>
      </c>
      <c r="C794" s="75" t="inlineStr">
        <is>
          <t>5100000790</t>
        </is>
      </c>
      <c r="D794" s="78" t="n">
        <v>45779</v>
      </c>
      <c r="E794" s="75" t="inlineStr">
        <is>
          <t>KR</t>
        </is>
      </c>
      <c r="F794" s="75" t="n">
        <v>62101000</v>
      </c>
      <c r="G794" s="75" t="n">
        <v>1601</v>
      </c>
      <c r="H794" s="76" t="n">
        <v>1626000</v>
      </c>
      <c r="I794" s="75" t="inlineStr">
        <is>
          <t>5월 국내출장 - L여행사</t>
        </is>
      </c>
      <c r="J794" s="75" t="inlineStr">
        <is>
          <t>V10014</t>
        </is>
      </c>
      <c r="K794" s="75" t="inlineStr">
        <is>
          <t>L여행사</t>
        </is>
      </c>
      <c r="M794" s="9">
        <f>IF($A794="","",VALUE($A794&amp;"")*12+VALUE($B794&amp;""))</f>
        <v/>
      </c>
      <c r="N794" s="39">
        <f>IF($A794="","",IFERROR(INDEX(부서매핑!$C$5:$C$504,MATCH($G794&amp;"",부서매핑!$A$5:$A$504,0)),"미매핑"))</f>
        <v/>
      </c>
      <c r="O794" s="9">
        <f>IF($A794="","",N794&amp;"|"&amp;$F794)</f>
        <v/>
      </c>
      <c r="P794" s="77">
        <f>IF($A794="",0,$H794*설정!$C$23)</f>
        <v/>
      </c>
      <c r="Q794" s="39">
        <f>IF($A794="","",IF(O794&lt;&gt;원인분석!$C$9,"",IF(AND(M794&gt;=원인분석!$C$10,M794&lt;=원인분석!$C$11),"당기",IF(AND(M794&gt;=원인분석!$C$12,M794&lt;=원인분석!$C$13),"비교",""))))</f>
        <v/>
      </c>
      <c r="R794" s="9">
        <f>IF(Q794="","",$K794&amp;"")</f>
        <v/>
      </c>
      <c r="S794" s="9">
        <f>IF(Q794="","",IF(MATCH(R794,$R$5:$R$100000,0)=ROW()-4,ROW(),""))</f>
        <v/>
      </c>
      <c r="T794" s="9">
        <f>IF(Q794="당기",ABS(P794)+ROW()/1000000000,"")</f>
        <v/>
      </c>
      <c r="U794" s="9">
        <f>IF(Q794="비교",ABS(P794)+ROW()/1000000000,"")</f>
        <v/>
      </c>
      <c r="V794" s="39">
        <f>IF($A794="","",IF(COUNTIF(변동분석!$E$7:$E$506,O794)&gt;0,"Y","N"))</f>
        <v/>
      </c>
      <c r="W794" s="39">
        <f>IF($A794="","",IFERROR(INDEX(계정매핑!$D$5:$D$504,MATCH($F794&amp;"",계정매핑!$A$5:$A$504,0)),"미매핑"))</f>
        <v/>
      </c>
      <c r="X794" s="9">
        <f>IF($A794="","",$F794&amp;"")</f>
        <v/>
      </c>
    </row>
    <row r="795">
      <c r="A795" s="75" t="n">
        <v>2025</v>
      </c>
      <c r="B795" s="75" t="n">
        <v>5</v>
      </c>
      <c r="C795" s="75" t="inlineStr">
        <is>
          <t>5100000791</t>
        </is>
      </c>
      <c r="D795" s="78" t="n">
        <v>45779</v>
      </c>
      <c r="E795" s="75" t="inlineStr">
        <is>
          <t>KR</t>
        </is>
      </c>
      <c r="F795" s="75" t="n">
        <v>62102000</v>
      </c>
      <c r="G795" s="75" t="n">
        <v>1401</v>
      </c>
      <c r="H795" s="76" t="n">
        <v>119000</v>
      </c>
      <c r="I795" s="75" t="inlineStr">
        <is>
          <t>5월 해외출장 - N호텔</t>
        </is>
      </c>
      <c r="J795" s="75" t="inlineStr">
        <is>
          <t>V10007</t>
        </is>
      </c>
      <c r="K795" s="75" t="inlineStr">
        <is>
          <t>N호텔</t>
        </is>
      </c>
      <c r="M795" s="9">
        <f>IF($A795="","",VALUE($A795&amp;"")*12+VALUE($B795&amp;""))</f>
        <v/>
      </c>
      <c r="N795" s="39">
        <f>IF($A795="","",IFERROR(INDEX(부서매핑!$C$5:$C$504,MATCH($G795&amp;"",부서매핑!$A$5:$A$504,0)),"미매핑"))</f>
        <v/>
      </c>
      <c r="O795" s="9">
        <f>IF($A795="","",N795&amp;"|"&amp;$F795)</f>
        <v/>
      </c>
      <c r="P795" s="77">
        <f>IF($A795="",0,$H795*설정!$C$23)</f>
        <v/>
      </c>
      <c r="Q795" s="39">
        <f>IF($A795="","",IF(O795&lt;&gt;원인분석!$C$9,"",IF(AND(M795&gt;=원인분석!$C$10,M795&lt;=원인분석!$C$11),"당기",IF(AND(M795&gt;=원인분석!$C$12,M795&lt;=원인분석!$C$13),"비교",""))))</f>
        <v/>
      </c>
      <c r="R795" s="9">
        <f>IF(Q795="","",$K795&amp;"")</f>
        <v/>
      </c>
      <c r="S795" s="9">
        <f>IF(Q795="","",IF(MATCH(R795,$R$5:$R$100000,0)=ROW()-4,ROW(),""))</f>
        <v/>
      </c>
      <c r="T795" s="9">
        <f>IF(Q795="당기",ABS(P795)+ROW()/1000000000,"")</f>
        <v/>
      </c>
      <c r="U795" s="9">
        <f>IF(Q795="비교",ABS(P795)+ROW()/1000000000,"")</f>
        <v/>
      </c>
      <c r="V795" s="39">
        <f>IF($A795="","",IF(COUNTIF(변동분석!$E$7:$E$506,O795)&gt;0,"Y","N"))</f>
        <v/>
      </c>
      <c r="W795" s="39">
        <f>IF($A795="","",IFERROR(INDEX(계정매핑!$D$5:$D$504,MATCH($F795&amp;"",계정매핑!$A$5:$A$504,0)),"미매핑"))</f>
        <v/>
      </c>
      <c r="X795" s="9">
        <f>IF($A795="","",$F795&amp;"")</f>
        <v/>
      </c>
    </row>
    <row r="796">
      <c r="A796" s="75" t="n">
        <v>2025</v>
      </c>
      <c r="B796" s="75" t="n">
        <v>5</v>
      </c>
      <c r="C796" s="75" t="inlineStr">
        <is>
          <t>5100000792</t>
        </is>
      </c>
      <c r="D796" s="78" t="n">
        <v>45779</v>
      </c>
      <c r="E796" s="75" t="inlineStr">
        <is>
          <t>KR</t>
        </is>
      </c>
      <c r="F796" s="75" t="n">
        <v>62102000</v>
      </c>
      <c r="G796" s="75" t="n">
        <v>1501</v>
      </c>
      <c r="H796" s="76" t="n">
        <v>129000</v>
      </c>
      <c r="I796" s="75" t="inlineStr">
        <is>
          <t>5월 해외출장 - N호텔</t>
        </is>
      </c>
      <c r="J796" s="75" t="inlineStr">
        <is>
          <t>V10007</t>
        </is>
      </c>
      <c r="K796" s="75" t="inlineStr">
        <is>
          <t>N호텔</t>
        </is>
      </c>
      <c r="M796" s="9">
        <f>IF($A796="","",VALUE($A796&amp;"")*12+VALUE($B796&amp;""))</f>
        <v/>
      </c>
      <c r="N796" s="39">
        <f>IF($A796="","",IFERROR(INDEX(부서매핑!$C$5:$C$504,MATCH($G796&amp;"",부서매핑!$A$5:$A$504,0)),"미매핑"))</f>
        <v/>
      </c>
      <c r="O796" s="9">
        <f>IF($A796="","",N796&amp;"|"&amp;$F796)</f>
        <v/>
      </c>
      <c r="P796" s="77">
        <f>IF($A796="",0,$H796*설정!$C$23)</f>
        <v/>
      </c>
      <c r="Q796" s="39">
        <f>IF($A796="","",IF(O796&lt;&gt;원인분석!$C$9,"",IF(AND(M796&gt;=원인분석!$C$10,M796&lt;=원인분석!$C$11),"당기",IF(AND(M796&gt;=원인분석!$C$12,M796&lt;=원인분석!$C$13),"비교",""))))</f>
        <v/>
      </c>
      <c r="R796" s="9">
        <f>IF(Q796="","",$K796&amp;"")</f>
        <v/>
      </c>
      <c r="S796" s="9">
        <f>IF(Q796="","",IF(MATCH(R796,$R$5:$R$100000,0)=ROW()-4,ROW(),""))</f>
        <v/>
      </c>
      <c r="T796" s="9">
        <f>IF(Q796="당기",ABS(P796)+ROW()/1000000000,"")</f>
        <v/>
      </c>
      <c r="U796" s="9">
        <f>IF(Q796="비교",ABS(P796)+ROW()/1000000000,"")</f>
        <v/>
      </c>
      <c r="V796" s="39">
        <f>IF($A796="","",IF(COUNTIF(변동분석!$E$7:$E$506,O796)&gt;0,"Y","N"))</f>
        <v/>
      </c>
      <c r="W796" s="39">
        <f>IF($A796="","",IFERROR(INDEX(계정매핑!$D$5:$D$504,MATCH($F796&amp;"",계정매핑!$A$5:$A$504,0)),"미매핑"))</f>
        <v/>
      </c>
      <c r="X796" s="9">
        <f>IF($A796="","",$F796&amp;"")</f>
        <v/>
      </c>
    </row>
    <row r="797">
      <c r="A797" s="75" t="n">
        <v>2025</v>
      </c>
      <c r="B797" s="75" t="n">
        <v>5</v>
      </c>
      <c r="C797" s="75" t="inlineStr">
        <is>
          <t>5100000793</t>
        </is>
      </c>
      <c r="D797" s="78" t="n">
        <v>45779</v>
      </c>
      <c r="E797" s="75" t="inlineStr">
        <is>
          <t>KR</t>
        </is>
      </c>
      <c r="F797" s="75" t="n">
        <v>62301000</v>
      </c>
      <c r="G797" s="75" t="n">
        <v>1301</v>
      </c>
      <c r="H797" s="76" t="n">
        <v>255000</v>
      </c>
      <c r="I797" s="75" t="inlineStr">
        <is>
          <t>5월 소모품 구입 - R문구</t>
        </is>
      </c>
      <c r="J797" s="75" t="inlineStr">
        <is>
          <t>V10018</t>
        </is>
      </c>
      <c r="K797" s="75" t="inlineStr">
        <is>
          <t>R문구</t>
        </is>
      </c>
      <c r="M797" s="9">
        <f>IF($A797="","",VALUE($A797&amp;"")*12+VALUE($B797&amp;""))</f>
        <v/>
      </c>
      <c r="N797" s="39">
        <f>IF($A797="","",IFERROR(INDEX(부서매핑!$C$5:$C$504,MATCH($G797&amp;"",부서매핑!$A$5:$A$504,0)),"미매핑"))</f>
        <v/>
      </c>
      <c r="O797" s="9">
        <f>IF($A797="","",N797&amp;"|"&amp;$F797)</f>
        <v/>
      </c>
      <c r="P797" s="77">
        <f>IF($A797="",0,$H797*설정!$C$23)</f>
        <v/>
      </c>
      <c r="Q797" s="39">
        <f>IF($A797="","",IF(O797&lt;&gt;원인분석!$C$9,"",IF(AND(M797&gt;=원인분석!$C$10,M797&lt;=원인분석!$C$11),"당기",IF(AND(M797&gt;=원인분석!$C$12,M797&lt;=원인분석!$C$13),"비교",""))))</f>
        <v/>
      </c>
      <c r="R797" s="9">
        <f>IF(Q797="","",$K797&amp;"")</f>
        <v/>
      </c>
      <c r="S797" s="9">
        <f>IF(Q797="","",IF(MATCH(R797,$R$5:$R$100000,0)=ROW()-4,ROW(),""))</f>
        <v/>
      </c>
      <c r="T797" s="9">
        <f>IF(Q797="당기",ABS(P797)+ROW()/1000000000,"")</f>
        <v/>
      </c>
      <c r="U797" s="9">
        <f>IF(Q797="비교",ABS(P797)+ROW()/1000000000,"")</f>
        <v/>
      </c>
      <c r="V797" s="39">
        <f>IF($A797="","",IF(COUNTIF(변동분석!$E$7:$E$506,O797)&gt;0,"Y","N"))</f>
        <v/>
      </c>
      <c r="W797" s="39">
        <f>IF($A797="","",IFERROR(INDEX(계정매핑!$D$5:$D$504,MATCH($F797&amp;"",계정매핑!$A$5:$A$504,0)),"미매핑"))</f>
        <v/>
      </c>
      <c r="X797" s="9">
        <f>IF($A797="","",$F797&amp;"")</f>
        <v/>
      </c>
    </row>
    <row r="798">
      <c r="A798" s="75" t="n">
        <v>2025</v>
      </c>
      <c r="B798" s="75" t="n">
        <v>5</v>
      </c>
      <c r="C798" s="75" t="inlineStr">
        <is>
          <t>5100000794</t>
        </is>
      </c>
      <c r="D798" s="78" t="n">
        <v>45779</v>
      </c>
      <c r="E798" s="75" t="inlineStr">
        <is>
          <t>KR</t>
        </is>
      </c>
      <c r="F798" s="75" t="n">
        <v>62301000</v>
      </c>
      <c r="G798" s="75" t="n">
        <v>1602</v>
      </c>
      <c r="H798" s="76" t="n">
        <v>322000</v>
      </c>
      <c r="I798" s="75" t="inlineStr">
        <is>
          <t>5월 소모품 구입 - Q오피스</t>
        </is>
      </c>
      <c r="J798" s="75" t="inlineStr">
        <is>
          <t>V10003</t>
        </is>
      </c>
      <c r="K798" s="75" t="inlineStr">
        <is>
          <t>Q오피스</t>
        </is>
      </c>
      <c r="M798" s="9">
        <f>IF($A798="","",VALUE($A798&amp;"")*12+VALUE($B798&amp;""))</f>
        <v/>
      </c>
      <c r="N798" s="39">
        <f>IF($A798="","",IFERROR(INDEX(부서매핑!$C$5:$C$504,MATCH($G798&amp;"",부서매핑!$A$5:$A$504,0)),"미매핑"))</f>
        <v/>
      </c>
      <c r="O798" s="9">
        <f>IF($A798="","",N798&amp;"|"&amp;$F798)</f>
        <v/>
      </c>
      <c r="P798" s="77">
        <f>IF($A798="",0,$H798*설정!$C$23)</f>
        <v/>
      </c>
      <c r="Q798" s="39">
        <f>IF($A798="","",IF(O798&lt;&gt;원인분석!$C$9,"",IF(AND(M798&gt;=원인분석!$C$10,M798&lt;=원인분석!$C$11),"당기",IF(AND(M798&gt;=원인분석!$C$12,M798&lt;=원인분석!$C$13),"비교",""))))</f>
        <v/>
      </c>
      <c r="R798" s="9">
        <f>IF(Q798="","",$K798&amp;"")</f>
        <v/>
      </c>
      <c r="S798" s="9">
        <f>IF(Q798="","",IF(MATCH(R798,$R$5:$R$100000,0)=ROW()-4,ROW(),""))</f>
        <v/>
      </c>
      <c r="T798" s="9">
        <f>IF(Q798="당기",ABS(P798)+ROW()/1000000000,"")</f>
        <v/>
      </c>
      <c r="U798" s="9">
        <f>IF(Q798="비교",ABS(P798)+ROW()/1000000000,"")</f>
        <v/>
      </c>
      <c r="V798" s="39">
        <f>IF($A798="","",IF(COUNTIF(변동분석!$E$7:$E$506,O798)&gt;0,"Y","N"))</f>
        <v/>
      </c>
      <c r="W798" s="39">
        <f>IF($A798="","",IFERROR(INDEX(계정매핑!$D$5:$D$504,MATCH($F798&amp;"",계정매핑!$A$5:$A$504,0)),"미매핑"))</f>
        <v/>
      </c>
      <c r="X798" s="9">
        <f>IF($A798="","",$F798&amp;"")</f>
        <v/>
      </c>
    </row>
    <row r="799">
      <c r="A799" s="75" t="n">
        <v>2025</v>
      </c>
      <c r="B799" s="75" t="n">
        <v>5</v>
      </c>
      <c r="C799" s="75" t="inlineStr">
        <is>
          <t>5100000795</t>
        </is>
      </c>
      <c r="D799" s="78" t="n">
        <v>45779</v>
      </c>
      <c r="E799" s="75" t="inlineStr">
        <is>
          <t>KR</t>
        </is>
      </c>
      <c r="F799" s="75" t="n">
        <v>62501000</v>
      </c>
      <c r="G799" s="75" t="n">
        <v>1201</v>
      </c>
      <c r="H799" s="76" t="n">
        <v>87000</v>
      </c>
      <c r="I799" s="75" t="inlineStr">
        <is>
          <t>5월 회의 다과 - (법인카드)</t>
        </is>
      </c>
      <c r="J799" s="75" t="inlineStr">
        <is>
          <t>V10008</t>
        </is>
      </c>
      <c r="K799" s="75" t="inlineStr">
        <is>
          <t>(법인카드)</t>
        </is>
      </c>
      <c r="M799" s="9">
        <f>IF($A799="","",VALUE($A799&amp;"")*12+VALUE($B799&amp;""))</f>
        <v/>
      </c>
      <c r="N799" s="39">
        <f>IF($A799="","",IFERROR(INDEX(부서매핑!$C$5:$C$504,MATCH($G799&amp;"",부서매핑!$A$5:$A$504,0)),"미매핑"))</f>
        <v/>
      </c>
      <c r="O799" s="9">
        <f>IF($A799="","",N799&amp;"|"&amp;$F799)</f>
        <v/>
      </c>
      <c r="P799" s="77">
        <f>IF($A799="",0,$H799*설정!$C$23)</f>
        <v/>
      </c>
      <c r="Q799" s="39">
        <f>IF($A799="","",IF(O799&lt;&gt;원인분석!$C$9,"",IF(AND(M799&gt;=원인분석!$C$10,M799&lt;=원인분석!$C$11),"당기",IF(AND(M799&gt;=원인분석!$C$12,M799&lt;=원인분석!$C$13),"비교",""))))</f>
        <v/>
      </c>
      <c r="R799" s="9">
        <f>IF(Q799="","",$K799&amp;"")</f>
        <v/>
      </c>
      <c r="S799" s="9">
        <f>IF(Q799="","",IF(MATCH(R799,$R$5:$R$100000,0)=ROW()-4,ROW(),""))</f>
        <v/>
      </c>
      <c r="T799" s="9">
        <f>IF(Q799="당기",ABS(P799)+ROW()/1000000000,"")</f>
        <v/>
      </c>
      <c r="U799" s="9">
        <f>IF(Q799="비교",ABS(P799)+ROW()/1000000000,"")</f>
        <v/>
      </c>
      <c r="V799" s="39">
        <f>IF($A799="","",IF(COUNTIF(변동분석!$E$7:$E$506,O799)&gt;0,"Y","N"))</f>
        <v/>
      </c>
      <c r="W799" s="39">
        <f>IF($A799="","",IFERROR(INDEX(계정매핑!$D$5:$D$504,MATCH($F799&amp;"",계정매핑!$A$5:$A$504,0)),"미매핑"))</f>
        <v/>
      </c>
      <c r="X799" s="9">
        <f>IF($A799="","",$F799&amp;"")</f>
        <v/>
      </c>
    </row>
    <row r="800">
      <c r="A800" s="75" t="n">
        <v>2025</v>
      </c>
      <c r="B800" s="75" t="n">
        <v>5</v>
      </c>
      <c r="C800" s="75" t="inlineStr">
        <is>
          <t>5100000796</t>
        </is>
      </c>
      <c r="D800" s="78" t="n">
        <v>45779</v>
      </c>
      <c r="E800" s="75" t="inlineStr">
        <is>
          <t>KR</t>
        </is>
      </c>
      <c r="F800" s="75" t="n">
        <v>62601000</v>
      </c>
      <c r="G800" s="75" t="n">
        <v>1501</v>
      </c>
      <c r="H800" s="76" t="n">
        <v>1311000</v>
      </c>
      <c r="I800" s="75" t="inlineStr">
        <is>
          <t>5월 업무추진 - (법인카드)</t>
        </is>
      </c>
      <c r="J800" s="75" t="inlineStr">
        <is>
          <t>V10008</t>
        </is>
      </c>
      <c r="K800" s="75" t="inlineStr">
        <is>
          <t>(법인카드)</t>
        </is>
      </c>
      <c r="M800" s="9">
        <f>IF($A800="","",VALUE($A800&amp;"")*12+VALUE($B800&amp;""))</f>
        <v/>
      </c>
      <c r="N800" s="39">
        <f>IF($A800="","",IFERROR(INDEX(부서매핑!$C$5:$C$504,MATCH($G800&amp;"",부서매핑!$A$5:$A$504,0)),"미매핑"))</f>
        <v/>
      </c>
      <c r="O800" s="9">
        <f>IF($A800="","",N800&amp;"|"&amp;$F800)</f>
        <v/>
      </c>
      <c r="P800" s="77">
        <f>IF($A800="",0,$H800*설정!$C$23)</f>
        <v/>
      </c>
      <c r="Q800" s="39">
        <f>IF($A800="","",IF(O800&lt;&gt;원인분석!$C$9,"",IF(AND(M800&gt;=원인분석!$C$10,M800&lt;=원인분석!$C$11),"당기",IF(AND(M800&gt;=원인분석!$C$12,M800&lt;=원인분석!$C$13),"비교",""))))</f>
        <v/>
      </c>
      <c r="R800" s="9">
        <f>IF(Q800="","",$K800&amp;"")</f>
        <v/>
      </c>
      <c r="S800" s="9">
        <f>IF(Q800="","",IF(MATCH(R800,$R$5:$R$100000,0)=ROW()-4,ROW(),""))</f>
        <v/>
      </c>
      <c r="T800" s="9">
        <f>IF(Q800="당기",ABS(P800)+ROW()/1000000000,"")</f>
        <v/>
      </c>
      <c r="U800" s="9">
        <f>IF(Q800="비교",ABS(P800)+ROW()/1000000000,"")</f>
        <v/>
      </c>
      <c r="V800" s="39">
        <f>IF($A800="","",IF(COUNTIF(변동분석!$E$7:$E$506,O800)&gt;0,"Y","N"))</f>
        <v/>
      </c>
      <c r="W800" s="39">
        <f>IF($A800="","",IFERROR(INDEX(계정매핑!$D$5:$D$504,MATCH($F800&amp;"",계정매핑!$A$5:$A$504,0)),"미매핑"))</f>
        <v/>
      </c>
      <c r="X800" s="9">
        <f>IF($A800="","",$F800&amp;"")</f>
        <v/>
      </c>
    </row>
    <row r="801">
      <c r="A801" s="75" t="n">
        <v>2025</v>
      </c>
      <c r="B801" s="75" t="n">
        <v>5</v>
      </c>
      <c r="C801" s="75" t="inlineStr">
        <is>
          <t>5100000797</t>
        </is>
      </c>
      <c r="D801" s="78" t="n">
        <v>45779</v>
      </c>
      <c r="E801" s="75" t="inlineStr">
        <is>
          <t>KR</t>
        </is>
      </c>
      <c r="F801" s="75" t="n">
        <v>62901000</v>
      </c>
      <c r="G801" s="75" t="n">
        <v>1101</v>
      </c>
      <c r="H801" s="76" t="n">
        <v>1847000</v>
      </c>
      <c r="I801" s="75" t="inlineStr">
        <is>
          <t>5월 자문 수수료 - W컨설팅</t>
        </is>
      </c>
      <c r="J801" s="75" t="inlineStr">
        <is>
          <t>V10009</t>
        </is>
      </c>
      <c r="K801" s="75" t="inlineStr">
        <is>
          <t>W컨설팅</t>
        </is>
      </c>
      <c r="M801" s="9">
        <f>IF($A801="","",VALUE($A801&amp;"")*12+VALUE($B801&amp;""))</f>
        <v/>
      </c>
      <c r="N801" s="39">
        <f>IF($A801="","",IFERROR(INDEX(부서매핑!$C$5:$C$504,MATCH($G801&amp;"",부서매핑!$A$5:$A$504,0)),"미매핑"))</f>
        <v/>
      </c>
      <c r="O801" s="9">
        <f>IF($A801="","",N801&amp;"|"&amp;$F801)</f>
        <v/>
      </c>
      <c r="P801" s="77">
        <f>IF($A801="",0,$H801*설정!$C$23)</f>
        <v/>
      </c>
      <c r="Q801" s="39">
        <f>IF($A801="","",IF(O801&lt;&gt;원인분석!$C$9,"",IF(AND(M801&gt;=원인분석!$C$10,M801&lt;=원인분석!$C$11),"당기",IF(AND(M801&gt;=원인분석!$C$12,M801&lt;=원인분석!$C$13),"비교",""))))</f>
        <v/>
      </c>
      <c r="R801" s="9">
        <f>IF(Q801="","",$K801&amp;"")</f>
        <v/>
      </c>
      <c r="S801" s="9">
        <f>IF(Q801="","",IF(MATCH(R801,$R$5:$R$100000,0)=ROW()-4,ROW(),""))</f>
        <v/>
      </c>
      <c r="T801" s="9">
        <f>IF(Q801="당기",ABS(P801)+ROW()/1000000000,"")</f>
        <v/>
      </c>
      <c r="U801" s="9">
        <f>IF(Q801="비교",ABS(P801)+ROW()/1000000000,"")</f>
        <v/>
      </c>
      <c r="V801" s="39">
        <f>IF($A801="","",IF(COUNTIF(변동분석!$E$7:$E$506,O801)&gt;0,"Y","N"))</f>
        <v/>
      </c>
      <c r="W801" s="39">
        <f>IF($A801="","",IFERROR(INDEX(계정매핑!$D$5:$D$504,MATCH($F801&amp;"",계정매핑!$A$5:$A$504,0)),"미매핑"))</f>
        <v/>
      </c>
      <c r="X801" s="9">
        <f>IF($A801="","",$F801&amp;"")</f>
        <v/>
      </c>
    </row>
    <row r="802">
      <c r="A802" s="75" t="n">
        <v>2025</v>
      </c>
      <c r="B802" s="75" t="n">
        <v>5</v>
      </c>
      <c r="C802" s="75" t="inlineStr">
        <is>
          <t>5100000798</t>
        </is>
      </c>
      <c r="D802" s="78" t="n">
        <v>45779</v>
      </c>
      <c r="E802" s="75" t="inlineStr">
        <is>
          <t>KR</t>
        </is>
      </c>
      <c r="F802" s="75" t="n">
        <v>62902000</v>
      </c>
      <c r="G802" s="75" t="n">
        <v>1801</v>
      </c>
      <c r="H802" s="76" t="n">
        <v>1839000</v>
      </c>
      <c r="I802" s="75" t="inlineStr">
        <is>
          <t>5월 콜 위탁 수수료(건별)</t>
        </is>
      </c>
      <c r="J802" s="75" t="inlineStr">
        <is>
          <t>V10013</t>
        </is>
      </c>
      <c r="K802" s="75" t="inlineStr">
        <is>
          <t>J콜센터</t>
        </is>
      </c>
      <c r="M802" s="9">
        <f>IF($A802="","",VALUE($A802&amp;"")*12+VALUE($B802&amp;""))</f>
        <v/>
      </c>
      <c r="N802" s="39">
        <f>IF($A802="","",IFERROR(INDEX(부서매핑!$C$5:$C$504,MATCH($G802&amp;"",부서매핑!$A$5:$A$504,0)),"미매핑"))</f>
        <v/>
      </c>
      <c r="O802" s="9">
        <f>IF($A802="","",N802&amp;"|"&amp;$F802)</f>
        <v/>
      </c>
      <c r="P802" s="77">
        <f>IF($A802="",0,$H802*설정!$C$23)</f>
        <v/>
      </c>
      <c r="Q802" s="39">
        <f>IF($A802="","",IF(O802&lt;&gt;원인분석!$C$9,"",IF(AND(M802&gt;=원인분석!$C$10,M802&lt;=원인분석!$C$11),"당기",IF(AND(M802&gt;=원인분석!$C$12,M802&lt;=원인분석!$C$13),"비교",""))))</f>
        <v/>
      </c>
      <c r="R802" s="9">
        <f>IF(Q802="","",$K802&amp;"")</f>
        <v/>
      </c>
      <c r="S802" s="9">
        <f>IF(Q802="","",IF(MATCH(R802,$R$5:$R$100000,0)=ROW()-4,ROW(),""))</f>
        <v/>
      </c>
      <c r="T802" s="9">
        <f>IF(Q802="당기",ABS(P802)+ROW()/1000000000,"")</f>
        <v/>
      </c>
      <c r="U802" s="9">
        <f>IF(Q802="비교",ABS(P802)+ROW()/1000000000,"")</f>
        <v/>
      </c>
      <c r="V802" s="39">
        <f>IF($A802="","",IF(COUNTIF(변동분석!$E$7:$E$506,O802)&gt;0,"Y","N"))</f>
        <v/>
      </c>
      <c r="W802" s="39">
        <f>IF($A802="","",IFERROR(INDEX(계정매핑!$D$5:$D$504,MATCH($F802&amp;"",계정매핑!$A$5:$A$504,0)),"미매핑"))</f>
        <v/>
      </c>
      <c r="X802" s="9">
        <f>IF($A802="","",$F802&amp;"")</f>
        <v/>
      </c>
    </row>
    <row r="803">
      <c r="A803" s="75" t="n">
        <v>2025</v>
      </c>
      <c r="B803" s="75" t="n">
        <v>5</v>
      </c>
      <c r="C803" s="75" t="inlineStr">
        <is>
          <t>5100000799</t>
        </is>
      </c>
      <c r="D803" s="78" t="n">
        <v>45780</v>
      </c>
      <c r="E803" s="75" t="inlineStr">
        <is>
          <t>KR</t>
        </is>
      </c>
      <c r="F803" s="75" t="n">
        <v>62101000</v>
      </c>
      <c r="G803" s="75" t="n">
        <v>1701</v>
      </c>
      <c r="H803" s="76" t="n">
        <v>184000</v>
      </c>
      <c r="I803" s="75" t="inlineStr">
        <is>
          <t>5월 국내출장 - L여행사</t>
        </is>
      </c>
      <c r="J803" s="75" t="inlineStr">
        <is>
          <t>V10014</t>
        </is>
      </c>
      <c r="K803" s="75" t="inlineStr">
        <is>
          <t>L여행사</t>
        </is>
      </c>
      <c r="M803" s="9">
        <f>IF($A803="","",VALUE($A803&amp;"")*12+VALUE($B803&amp;""))</f>
        <v/>
      </c>
      <c r="N803" s="39">
        <f>IF($A803="","",IFERROR(INDEX(부서매핑!$C$5:$C$504,MATCH($G803&amp;"",부서매핑!$A$5:$A$504,0)),"미매핑"))</f>
        <v/>
      </c>
      <c r="O803" s="9">
        <f>IF($A803="","",N803&amp;"|"&amp;$F803)</f>
        <v/>
      </c>
      <c r="P803" s="77">
        <f>IF($A803="",0,$H803*설정!$C$23)</f>
        <v/>
      </c>
      <c r="Q803" s="39">
        <f>IF($A803="","",IF(O803&lt;&gt;원인분석!$C$9,"",IF(AND(M803&gt;=원인분석!$C$10,M803&lt;=원인분석!$C$11),"당기",IF(AND(M803&gt;=원인분석!$C$12,M803&lt;=원인분석!$C$13),"비교",""))))</f>
        <v/>
      </c>
      <c r="R803" s="9">
        <f>IF(Q803="","",$K803&amp;"")</f>
        <v/>
      </c>
      <c r="S803" s="9">
        <f>IF(Q803="","",IF(MATCH(R803,$R$5:$R$100000,0)=ROW()-4,ROW(),""))</f>
        <v/>
      </c>
      <c r="T803" s="9">
        <f>IF(Q803="당기",ABS(P803)+ROW()/1000000000,"")</f>
        <v/>
      </c>
      <c r="U803" s="9">
        <f>IF(Q803="비교",ABS(P803)+ROW()/1000000000,"")</f>
        <v/>
      </c>
      <c r="V803" s="39">
        <f>IF($A803="","",IF(COUNTIF(변동분석!$E$7:$E$506,O803)&gt;0,"Y","N"))</f>
        <v/>
      </c>
      <c r="W803" s="39">
        <f>IF($A803="","",IFERROR(INDEX(계정매핑!$D$5:$D$504,MATCH($F803&amp;"",계정매핑!$A$5:$A$504,0)),"미매핑"))</f>
        <v/>
      </c>
      <c r="X803" s="9">
        <f>IF($A803="","",$F803&amp;"")</f>
        <v/>
      </c>
    </row>
    <row r="804">
      <c r="A804" s="75" t="n">
        <v>2025</v>
      </c>
      <c r="B804" s="75" t="n">
        <v>5</v>
      </c>
      <c r="C804" s="75" t="inlineStr">
        <is>
          <t>5100000800</t>
        </is>
      </c>
      <c r="D804" s="78" t="n">
        <v>45780</v>
      </c>
      <c r="E804" s="75" t="inlineStr">
        <is>
          <t>KR</t>
        </is>
      </c>
      <c r="F804" s="75" t="n">
        <v>62102000</v>
      </c>
      <c r="G804" s="75" t="n">
        <v>1801</v>
      </c>
      <c r="H804" s="76" t="n">
        <v>67000</v>
      </c>
      <c r="I804" s="75" t="inlineStr">
        <is>
          <t>5월 해외출장 - M항공</t>
        </is>
      </c>
      <c r="J804" s="75" t="inlineStr">
        <is>
          <t>V10001</t>
        </is>
      </c>
      <c r="K804" s="75" t="inlineStr">
        <is>
          <t>M항공</t>
        </is>
      </c>
      <c r="M804" s="9">
        <f>IF($A804="","",VALUE($A804&amp;"")*12+VALUE($B804&amp;""))</f>
        <v/>
      </c>
      <c r="N804" s="39">
        <f>IF($A804="","",IFERROR(INDEX(부서매핑!$C$5:$C$504,MATCH($G804&amp;"",부서매핑!$A$5:$A$504,0)),"미매핑"))</f>
        <v/>
      </c>
      <c r="O804" s="9">
        <f>IF($A804="","",N804&amp;"|"&amp;$F804)</f>
        <v/>
      </c>
      <c r="P804" s="77">
        <f>IF($A804="",0,$H804*설정!$C$23)</f>
        <v/>
      </c>
      <c r="Q804" s="39">
        <f>IF($A804="","",IF(O804&lt;&gt;원인분석!$C$9,"",IF(AND(M804&gt;=원인분석!$C$10,M804&lt;=원인분석!$C$11),"당기",IF(AND(M804&gt;=원인분석!$C$12,M804&lt;=원인분석!$C$13),"비교",""))))</f>
        <v/>
      </c>
      <c r="R804" s="9">
        <f>IF(Q804="","",$K804&amp;"")</f>
        <v/>
      </c>
      <c r="S804" s="9">
        <f>IF(Q804="","",IF(MATCH(R804,$R$5:$R$100000,0)=ROW()-4,ROW(),""))</f>
        <v/>
      </c>
      <c r="T804" s="9">
        <f>IF(Q804="당기",ABS(P804)+ROW()/1000000000,"")</f>
        <v/>
      </c>
      <c r="U804" s="9">
        <f>IF(Q804="비교",ABS(P804)+ROW()/1000000000,"")</f>
        <v/>
      </c>
      <c r="V804" s="39">
        <f>IF($A804="","",IF(COUNTIF(변동분석!$E$7:$E$506,O804)&gt;0,"Y","N"))</f>
        <v/>
      </c>
      <c r="W804" s="39">
        <f>IF($A804="","",IFERROR(INDEX(계정매핑!$D$5:$D$504,MATCH($F804&amp;"",계정매핑!$A$5:$A$504,0)),"미매핑"))</f>
        <v/>
      </c>
      <c r="X804" s="9">
        <f>IF($A804="","",$F804&amp;"")</f>
        <v/>
      </c>
    </row>
    <row r="805">
      <c r="A805" s="75" t="n">
        <v>2025</v>
      </c>
      <c r="B805" s="75" t="n">
        <v>5</v>
      </c>
      <c r="C805" s="75" t="inlineStr">
        <is>
          <t>5100000801</t>
        </is>
      </c>
      <c r="D805" s="78" t="n">
        <v>45780</v>
      </c>
      <c r="E805" s="75" t="inlineStr">
        <is>
          <t>KR</t>
        </is>
      </c>
      <c r="F805" s="75" t="n">
        <v>62201000</v>
      </c>
      <c r="G805" s="75" t="n">
        <v>1601</v>
      </c>
      <c r="H805" s="76" t="n">
        <v>616000</v>
      </c>
      <c r="I805" s="75" t="inlineStr">
        <is>
          <t>5월 통신요금 - O텔레콤</t>
        </is>
      </c>
      <c r="J805" s="75" t="inlineStr">
        <is>
          <t>V10002</t>
        </is>
      </c>
      <c r="K805" s="75" t="inlineStr">
        <is>
          <t>O텔레콤</t>
        </is>
      </c>
      <c r="M805" s="9">
        <f>IF($A805="","",VALUE($A805&amp;"")*12+VALUE($B805&amp;""))</f>
        <v/>
      </c>
      <c r="N805" s="39">
        <f>IF($A805="","",IFERROR(INDEX(부서매핑!$C$5:$C$504,MATCH($G805&amp;"",부서매핑!$A$5:$A$504,0)),"미매핑"))</f>
        <v/>
      </c>
      <c r="O805" s="9">
        <f>IF($A805="","",N805&amp;"|"&amp;$F805)</f>
        <v/>
      </c>
      <c r="P805" s="77">
        <f>IF($A805="",0,$H805*설정!$C$23)</f>
        <v/>
      </c>
      <c r="Q805" s="39">
        <f>IF($A805="","",IF(O805&lt;&gt;원인분석!$C$9,"",IF(AND(M805&gt;=원인분석!$C$10,M805&lt;=원인분석!$C$11),"당기",IF(AND(M805&gt;=원인분석!$C$12,M805&lt;=원인분석!$C$13),"비교",""))))</f>
        <v/>
      </c>
      <c r="R805" s="9">
        <f>IF(Q805="","",$K805&amp;"")</f>
        <v/>
      </c>
      <c r="S805" s="9">
        <f>IF(Q805="","",IF(MATCH(R805,$R$5:$R$100000,0)=ROW()-4,ROW(),""))</f>
        <v/>
      </c>
      <c r="T805" s="9">
        <f>IF(Q805="당기",ABS(P805)+ROW()/1000000000,"")</f>
        <v/>
      </c>
      <c r="U805" s="9">
        <f>IF(Q805="비교",ABS(P805)+ROW()/1000000000,"")</f>
        <v/>
      </c>
      <c r="V805" s="39">
        <f>IF($A805="","",IF(COUNTIF(변동분석!$E$7:$E$506,O805)&gt;0,"Y","N"))</f>
        <v/>
      </c>
      <c r="W805" s="39">
        <f>IF($A805="","",IFERROR(INDEX(계정매핑!$D$5:$D$504,MATCH($F805&amp;"",계정매핑!$A$5:$A$504,0)),"미매핑"))</f>
        <v/>
      </c>
      <c r="X805" s="9">
        <f>IF($A805="","",$F805&amp;"")</f>
        <v/>
      </c>
    </row>
    <row r="806">
      <c r="A806" s="75" t="n">
        <v>2025</v>
      </c>
      <c r="B806" s="75" t="n">
        <v>5</v>
      </c>
      <c r="C806" s="75" t="inlineStr">
        <is>
          <t>5100000802</t>
        </is>
      </c>
      <c r="D806" s="78" t="n">
        <v>45780</v>
      </c>
      <c r="E806" s="75" t="inlineStr">
        <is>
          <t>KR</t>
        </is>
      </c>
      <c r="F806" s="75" t="n">
        <v>62401000</v>
      </c>
      <c r="G806" s="75" t="n">
        <v>1801</v>
      </c>
      <c r="H806" s="76" t="n">
        <v>1359000</v>
      </c>
      <c r="I806" s="75" t="inlineStr">
        <is>
          <t>5월 인쇄물 제작 - G인쇄</t>
        </is>
      </c>
      <c r="J806" s="75" t="inlineStr">
        <is>
          <t>V10004</t>
        </is>
      </c>
      <c r="K806" s="75" t="inlineStr">
        <is>
          <t>G인쇄</t>
        </is>
      </c>
      <c r="M806" s="9">
        <f>IF($A806="","",VALUE($A806&amp;"")*12+VALUE($B806&amp;""))</f>
        <v/>
      </c>
      <c r="N806" s="39">
        <f>IF($A806="","",IFERROR(INDEX(부서매핑!$C$5:$C$504,MATCH($G806&amp;"",부서매핑!$A$5:$A$504,0)),"미매핑"))</f>
        <v/>
      </c>
      <c r="O806" s="9">
        <f>IF($A806="","",N806&amp;"|"&amp;$F806)</f>
        <v/>
      </c>
      <c r="P806" s="77">
        <f>IF($A806="",0,$H806*설정!$C$23)</f>
        <v/>
      </c>
      <c r="Q806" s="39">
        <f>IF($A806="","",IF(O806&lt;&gt;원인분석!$C$9,"",IF(AND(M806&gt;=원인분석!$C$10,M806&lt;=원인분석!$C$11),"당기",IF(AND(M806&gt;=원인분석!$C$12,M806&lt;=원인분석!$C$13),"비교",""))))</f>
        <v/>
      </c>
      <c r="R806" s="9">
        <f>IF(Q806="","",$K806&amp;"")</f>
        <v/>
      </c>
      <c r="S806" s="9">
        <f>IF(Q806="","",IF(MATCH(R806,$R$5:$R$100000,0)=ROW()-4,ROW(),""))</f>
        <v/>
      </c>
      <c r="T806" s="9">
        <f>IF(Q806="당기",ABS(P806)+ROW()/1000000000,"")</f>
        <v/>
      </c>
      <c r="U806" s="9">
        <f>IF(Q806="비교",ABS(P806)+ROW()/1000000000,"")</f>
        <v/>
      </c>
      <c r="V806" s="39">
        <f>IF($A806="","",IF(COUNTIF(변동분석!$E$7:$E$506,O806)&gt;0,"Y","N"))</f>
        <v/>
      </c>
      <c r="W806" s="39">
        <f>IF($A806="","",IFERROR(INDEX(계정매핑!$D$5:$D$504,MATCH($F806&amp;"",계정매핑!$A$5:$A$504,0)),"미매핑"))</f>
        <v/>
      </c>
      <c r="X806" s="9">
        <f>IF($A806="","",$F806&amp;"")</f>
        <v/>
      </c>
    </row>
    <row r="807">
      <c r="A807" s="75" t="n">
        <v>2025</v>
      </c>
      <c r="B807" s="75" t="n">
        <v>5</v>
      </c>
      <c r="C807" s="75" t="inlineStr">
        <is>
          <t>5100000803</t>
        </is>
      </c>
      <c r="D807" s="78" t="n">
        <v>45780</v>
      </c>
      <c r="E807" s="75" t="inlineStr">
        <is>
          <t>KR</t>
        </is>
      </c>
      <c r="F807" s="75" t="n">
        <v>62501000</v>
      </c>
      <c r="G807" s="75" t="n">
        <v>1502</v>
      </c>
      <c r="H807" s="76" t="n">
        <v>373000</v>
      </c>
      <c r="I807" s="75" t="inlineStr">
        <is>
          <t>5월 회의 다과 - (법인카드)</t>
        </is>
      </c>
      <c r="J807" s="75" t="inlineStr">
        <is>
          <t>V10008</t>
        </is>
      </c>
      <c r="K807" s="75" t="inlineStr">
        <is>
          <t>(법인카드)</t>
        </is>
      </c>
      <c r="M807" s="9">
        <f>IF($A807="","",VALUE($A807&amp;"")*12+VALUE($B807&amp;""))</f>
        <v/>
      </c>
      <c r="N807" s="39">
        <f>IF($A807="","",IFERROR(INDEX(부서매핑!$C$5:$C$504,MATCH($G807&amp;"",부서매핑!$A$5:$A$504,0)),"미매핑"))</f>
        <v/>
      </c>
      <c r="O807" s="9">
        <f>IF($A807="","",N807&amp;"|"&amp;$F807)</f>
        <v/>
      </c>
      <c r="P807" s="77">
        <f>IF($A807="",0,$H807*설정!$C$23)</f>
        <v/>
      </c>
      <c r="Q807" s="39">
        <f>IF($A807="","",IF(O807&lt;&gt;원인분석!$C$9,"",IF(AND(M807&gt;=원인분석!$C$10,M807&lt;=원인분석!$C$11),"당기",IF(AND(M807&gt;=원인분석!$C$12,M807&lt;=원인분석!$C$13),"비교",""))))</f>
        <v/>
      </c>
      <c r="R807" s="9">
        <f>IF(Q807="","",$K807&amp;"")</f>
        <v/>
      </c>
      <c r="S807" s="9">
        <f>IF(Q807="","",IF(MATCH(R807,$R$5:$R$100000,0)=ROW()-4,ROW(),""))</f>
        <v/>
      </c>
      <c r="T807" s="9">
        <f>IF(Q807="당기",ABS(P807)+ROW()/1000000000,"")</f>
        <v/>
      </c>
      <c r="U807" s="9">
        <f>IF(Q807="비교",ABS(P807)+ROW()/1000000000,"")</f>
        <v/>
      </c>
      <c r="V807" s="39">
        <f>IF($A807="","",IF(COUNTIF(변동분석!$E$7:$E$506,O807)&gt;0,"Y","N"))</f>
        <v/>
      </c>
      <c r="W807" s="39">
        <f>IF($A807="","",IFERROR(INDEX(계정매핑!$D$5:$D$504,MATCH($F807&amp;"",계정매핑!$A$5:$A$504,0)),"미매핑"))</f>
        <v/>
      </c>
      <c r="X807" s="9">
        <f>IF($A807="","",$F807&amp;"")</f>
        <v/>
      </c>
    </row>
    <row r="808">
      <c r="A808" s="75" t="n">
        <v>2025</v>
      </c>
      <c r="B808" s="75" t="n">
        <v>5</v>
      </c>
      <c r="C808" s="75" t="inlineStr">
        <is>
          <t>5100000804</t>
        </is>
      </c>
      <c r="D808" s="78" t="n">
        <v>45780</v>
      </c>
      <c r="E808" s="75" t="inlineStr">
        <is>
          <t>KR</t>
        </is>
      </c>
      <c r="F808" s="75" t="n">
        <v>62501000</v>
      </c>
      <c r="G808" s="75" t="n">
        <v>1801</v>
      </c>
      <c r="H808" s="76" t="n">
        <v>161000</v>
      </c>
      <c r="I808" s="75" t="inlineStr">
        <is>
          <t>5월 회의 다과 - T케이터링</t>
        </is>
      </c>
      <c r="J808" s="75" t="inlineStr">
        <is>
          <t>V10005</t>
        </is>
      </c>
      <c r="K808" s="75" t="inlineStr">
        <is>
          <t>T케이터링</t>
        </is>
      </c>
      <c r="M808" s="9">
        <f>IF($A808="","",VALUE($A808&amp;"")*12+VALUE($B808&amp;""))</f>
        <v/>
      </c>
      <c r="N808" s="39">
        <f>IF($A808="","",IFERROR(INDEX(부서매핑!$C$5:$C$504,MATCH($G808&amp;"",부서매핑!$A$5:$A$504,0)),"미매핑"))</f>
        <v/>
      </c>
      <c r="O808" s="9">
        <f>IF($A808="","",N808&amp;"|"&amp;$F808)</f>
        <v/>
      </c>
      <c r="P808" s="77">
        <f>IF($A808="",0,$H808*설정!$C$23)</f>
        <v/>
      </c>
      <c r="Q808" s="39">
        <f>IF($A808="","",IF(O808&lt;&gt;원인분석!$C$9,"",IF(AND(M808&gt;=원인분석!$C$10,M808&lt;=원인분석!$C$11),"당기",IF(AND(M808&gt;=원인분석!$C$12,M808&lt;=원인분석!$C$13),"비교",""))))</f>
        <v/>
      </c>
      <c r="R808" s="9">
        <f>IF(Q808="","",$K808&amp;"")</f>
        <v/>
      </c>
      <c r="S808" s="9">
        <f>IF(Q808="","",IF(MATCH(R808,$R$5:$R$100000,0)=ROW()-4,ROW(),""))</f>
        <v/>
      </c>
      <c r="T808" s="9">
        <f>IF(Q808="당기",ABS(P808)+ROW()/1000000000,"")</f>
        <v/>
      </c>
      <c r="U808" s="9">
        <f>IF(Q808="비교",ABS(P808)+ROW()/1000000000,"")</f>
        <v/>
      </c>
      <c r="V808" s="39">
        <f>IF($A808="","",IF(COUNTIF(변동분석!$E$7:$E$506,O808)&gt;0,"Y","N"))</f>
        <v/>
      </c>
      <c r="W808" s="39">
        <f>IF($A808="","",IFERROR(INDEX(계정매핑!$D$5:$D$504,MATCH($F808&amp;"",계정매핑!$A$5:$A$504,0)),"미매핑"))</f>
        <v/>
      </c>
      <c r="X808" s="9">
        <f>IF($A808="","",$F808&amp;"")</f>
        <v/>
      </c>
    </row>
    <row r="809">
      <c r="A809" s="75" t="n">
        <v>2025</v>
      </c>
      <c r="B809" s="75" t="n">
        <v>5</v>
      </c>
      <c r="C809" s="75" t="inlineStr">
        <is>
          <t>5100000805</t>
        </is>
      </c>
      <c r="D809" s="78" t="n">
        <v>45781</v>
      </c>
      <c r="E809" s="75" t="inlineStr">
        <is>
          <t>KR</t>
        </is>
      </c>
      <c r="F809" s="75" t="n">
        <v>62101000</v>
      </c>
      <c r="G809" s="75" t="n">
        <v>1701</v>
      </c>
      <c r="H809" s="76" t="n">
        <v>217000</v>
      </c>
      <c r="I809" s="75" t="inlineStr">
        <is>
          <t>5월 국내출장 - M항공</t>
        </is>
      </c>
      <c r="J809" s="75" t="inlineStr">
        <is>
          <t>V10001</t>
        </is>
      </c>
      <c r="K809" s="75" t="inlineStr">
        <is>
          <t>M항공</t>
        </is>
      </c>
      <c r="M809" s="9">
        <f>IF($A809="","",VALUE($A809&amp;"")*12+VALUE($B809&amp;""))</f>
        <v/>
      </c>
      <c r="N809" s="39">
        <f>IF($A809="","",IFERROR(INDEX(부서매핑!$C$5:$C$504,MATCH($G809&amp;"",부서매핑!$A$5:$A$504,0)),"미매핑"))</f>
        <v/>
      </c>
      <c r="O809" s="9">
        <f>IF($A809="","",N809&amp;"|"&amp;$F809)</f>
        <v/>
      </c>
      <c r="P809" s="77">
        <f>IF($A809="",0,$H809*설정!$C$23)</f>
        <v/>
      </c>
      <c r="Q809" s="39">
        <f>IF($A809="","",IF(O809&lt;&gt;원인분석!$C$9,"",IF(AND(M809&gt;=원인분석!$C$10,M809&lt;=원인분석!$C$11),"당기",IF(AND(M809&gt;=원인분석!$C$12,M809&lt;=원인분석!$C$13),"비교",""))))</f>
        <v/>
      </c>
      <c r="R809" s="9">
        <f>IF(Q809="","",$K809&amp;"")</f>
        <v/>
      </c>
      <c r="S809" s="9">
        <f>IF(Q809="","",IF(MATCH(R809,$R$5:$R$100000,0)=ROW()-4,ROW(),""))</f>
        <v/>
      </c>
      <c r="T809" s="9">
        <f>IF(Q809="당기",ABS(P809)+ROW()/1000000000,"")</f>
        <v/>
      </c>
      <c r="U809" s="9">
        <f>IF(Q809="비교",ABS(P809)+ROW()/1000000000,"")</f>
        <v/>
      </c>
      <c r="V809" s="39">
        <f>IF($A809="","",IF(COUNTIF(변동분석!$E$7:$E$506,O809)&gt;0,"Y","N"))</f>
        <v/>
      </c>
      <c r="W809" s="39">
        <f>IF($A809="","",IFERROR(INDEX(계정매핑!$D$5:$D$504,MATCH($F809&amp;"",계정매핑!$A$5:$A$504,0)),"미매핑"))</f>
        <v/>
      </c>
      <c r="X809" s="9">
        <f>IF($A809="","",$F809&amp;"")</f>
        <v/>
      </c>
    </row>
    <row r="810">
      <c r="A810" s="75" t="n">
        <v>2025</v>
      </c>
      <c r="B810" s="75" t="n">
        <v>5</v>
      </c>
      <c r="C810" s="75" t="inlineStr">
        <is>
          <t>5100000806</t>
        </is>
      </c>
      <c r="D810" s="78" t="n">
        <v>45781</v>
      </c>
      <c r="E810" s="75" t="inlineStr">
        <is>
          <t>KR</t>
        </is>
      </c>
      <c r="F810" s="75" t="n">
        <v>62101000</v>
      </c>
      <c r="G810" s="75" t="n">
        <v>1701</v>
      </c>
      <c r="H810" s="76" t="n">
        <v>235000</v>
      </c>
      <c r="I810" s="75" t="inlineStr">
        <is>
          <t>5월 국내출장 - (법인카드)</t>
        </is>
      </c>
      <c r="J810" s="75" t="inlineStr">
        <is>
          <t>V10008</t>
        </is>
      </c>
      <c r="K810" s="75" t="inlineStr">
        <is>
          <t>(법인카드)</t>
        </is>
      </c>
      <c r="M810" s="9">
        <f>IF($A810="","",VALUE($A810&amp;"")*12+VALUE($B810&amp;""))</f>
        <v/>
      </c>
      <c r="N810" s="39">
        <f>IF($A810="","",IFERROR(INDEX(부서매핑!$C$5:$C$504,MATCH($G810&amp;"",부서매핑!$A$5:$A$504,0)),"미매핑"))</f>
        <v/>
      </c>
      <c r="O810" s="9">
        <f>IF($A810="","",N810&amp;"|"&amp;$F810)</f>
        <v/>
      </c>
      <c r="P810" s="77">
        <f>IF($A810="",0,$H810*설정!$C$23)</f>
        <v/>
      </c>
      <c r="Q810" s="39">
        <f>IF($A810="","",IF(O810&lt;&gt;원인분석!$C$9,"",IF(AND(M810&gt;=원인분석!$C$10,M810&lt;=원인분석!$C$11),"당기",IF(AND(M810&gt;=원인분석!$C$12,M810&lt;=원인분석!$C$13),"비교",""))))</f>
        <v/>
      </c>
      <c r="R810" s="9">
        <f>IF(Q810="","",$K810&amp;"")</f>
        <v/>
      </c>
      <c r="S810" s="9">
        <f>IF(Q810="","",IF(MATCH(R810,$R$5:$R$100000,0)=ROW()-4,ROW(),""))</f>
        <v/>
      </c>
      <c r="T810" s="9">
        <f>IF(Q810="당기",ABS(P810)+ROW()/1000000000,"")</f>
        <v/>
      </c>
      <c r="U810" s="9">
        <f>IF(Q810="비교",ABS(P810)+ROW()/1000000000,"")</f>
        <v/>
      </c>
      <c r="V810" s="39">
        <f>IF($A810="","",IF(COUNTIF(변동분석!$E$7:$E$506,O810)&gt;0,"Y","N"))</f>
        <v/>
      </c>
      <c r="W810" s="39">
        <f>IF($A810="","",IFERROR(INDEX(계정매핑!$D$5:$D$504,MATCH($F810&amp;"",계정매핑!$A$5:$A$504,0)),"미매핑"))</f>
        <v/>
      </c>
      <c r="X810" s="9">
        <f>IF($A810="","",$F810&amp;"")</f>
        <v/>
      </c>
    </row>
    <row r="811">
      <c r="A811" s="75" t="n">
        <v>2025</v>
      </c>
      <c r="B811" s="75" t="n">
        <v>5</v>
      </c>
      <c r="C811" s="75" t="inlineStr">
        <is>
          <t>5100000807</t>
        </is>
      </c>
      <c r="D811" s="78" t="n">
        <v>45781</v>
      </c>
      <c r="E811" s="75" t="inlineStr">
        <is>
          <t>KR</t>
        </is>
      </c>
      <c r="F811" s="75" t="n">
        <v>62301000</v>
      </c>
      <c r="G811" s="75" t="n">
        <v>1501</v>
      </c>
      <c r="H811" s="76" t="n">
        <v>238000</v>
      </c>
      <c r="I811" s="75" t="inlineStr">
        <is>
          <t>5월 소모품 구입 - R문구</t>
        </is>
      </c>
      <c r="J811" s="75" t="inlineStr">
        <is>
          <t>V10018</t>
        </is>
      </c>
      <c r="K811" s="75" t="inlineStr">
        <is>
          <t>R문구</t>
        </is>
      </c>
      <c r="M811" s="9">
        <f>IF($A811="","",VALUE($A811&amp;"")*12+VALUE($B811&amp;""))</f>
        <v/>
      </c>
      <c r="N811" s="39">
        <f>IF($A811="","",IFERROR(INDEX(부서매핑!$C$5:$C$504,MATCH($G811&amp;"",부서매핑!$A$5:$A$504,0)),"미매핑"))</f>
        <v/>
      </c>
      <c r="O811" s="9">
        <f>IF($A811="","",N811&amp;"|"&amp;$F811)</f>
        <v/>
      </c>
      <c r="P811" s="77">
        <f>IF($A811="",0,$H811*설정!$C$23)</f>
        <v/>
      </c>
      <c r="Q811" s="39">
        <f>IF($A811="","",IF(O811&lt;&gt;원인분석!$C$9,"",IF(AND(M811&gt;=원인분석!$C$10,M811&lt;=원인분석!$C$11),"당기",IF(AND(M811&gt;=원인분석!$C$12,M811&lt;=원인분석!$C$13),"비교",""))))</f>
        <v/>
      </c>
      <c r="R811" s="9">
        <f>IF(Q811="","",$K811&amp;"")</f>
        <v/>
      </c>
      <c r="S811" s="9">
        <f>IF(Q811="","",IF(MATCH(R811,$R$5:$R$100000,0)=ROW()-4,ROW(),""))</f>
        <v/>
      </c>
      <c r="T811" s="9">
        <f>IF(Q811="당기",ABS(P811)+ROW()/1000000000,"")</f>
        <v/>
      </c>
      <c r="U811" s="9">
        <f>IF(Q811="비교",ABS(P811)+ROW()/1000000000,"")</f>
        <v/>
      </c>
      <c r="V811" s="39">
        <f>IF($A811="","",IF(COUNTIF(변동분석!$E$7:$E$506,O811)&gt;0,"Y","N"))</f>
        <v/>
      </c>
      <c r="W811" s="39">
        <f>IF($A811="","",IFERROR(INDEX(계정매핑!$D$5:$D$504,MATCH($F811&amp;"",계정매핑!$A$5:$A$504,0)),"미매핑"))</f>
        <v/>
      </c>
      <c r="X811" s="9">
        <f>IF($A811="","",$F811&amp;"")</f>
        <v/>
      </c>
    </row>
    <row r="812">
      <c r="A812" s="75" t="n">
        <v>2025</v>
      </c>
      <c r="B812" s="75" t="n">
        <v>5</v>
      </c>
      <c r="C812" s="75" t="inlineStr">
        <is>
          <t>5100000808</t>
        </is>
      </c>
      <c r="D812" s="78" t="n">
        <v>45781</v>
      </c>
      <c r="E812" s="75" t="inlineStr">
        <is>
          <t>KR</t>
        </is>
      </c>
      <c r="F812" s="75" t="n">
        <v>62901000</v>
      </c>
      <c r="G812" s="75" t="n">
        <v>1401</v>
      </c>
      <c r="H812" s="76" t="n">
        <v>6005000</v>
      </c>
      <c r="I812" s="75" t="inlineStr">
        <is>
          <t>5월 자문 수수료 - K회계법인</t>
        </is>
      </c>
      <c r="J812" s="75" t="inlineStr">
        <is>
          <t>V10010</t>
        </is>
      </c>
      <c r="K812" s="75" t="inlineStr">
        <is>
          <t>K회계법인</t>
        </is>
      </c>
      <c r="M812" s="9">
        <f>IF($A812="","",VALUE($A812&amp;"")*12+VALUE($B812&amp;""))</f>
        <v/>
      </c>
      <c r="N812" s="39">
        <f>IF($A812="","",IFERROR(INDEX(부서매핑!$C$5:$C$504,MATCH($G812&amp;"",부서매핑!$A$5:$A$504,0)),"미매핑"))</f>
        <v/>
      </c>
      <c r="O812" s="9">
        <f>IF($A812="","",N812&amp;"|"&amp;$F812)</f>
        <v/>
      </c>
      <c r="P812" s="77">
        <f>IF($A812="",0,$H812*설정!$C$23)</f>
        <v/>
      </c>
      <c r="Q812" s="39">
        <f>IF($A812="","",IF(O812&lt;&gt;원인분석!$C$9,"",IF(AND(M812&gt;=원인분석!$C$10,M812&lt;=원인분석!$C$11),"당기",IF(AND(M812&gt;=원인분석!$C$12,M812&lt;=원인분석!$C$13),"비교",""))))</f>
        <v/>
      </c>
      <c r="R812" s="9">
        <f>IF(Q812="","",$K812&amp;"")</f>
        <v/>
      </c>
      <c r="S812" s="9">
        <f>IF(Q812="","",IF(MATCH(R812,$R$5:$R$100000,0)=ROW()-4,ROW(),""))</f>
        <v/>
      </c>
      <c r="T812" s="9">
        <f>IF(Q812="당기",ABS(P812)+ROW()/1000000000,"")</f>
        <v/>
      </c>
      <c r="U812" s="9">
        <f>IF(Q812="비교",ABS(P812)+ROW()/1000000000,"")</f>
        <v/>
      </c>
      <c r="V812" s="39">
        <f>IF($A812="","",IF(COUNTIF(변동분석!$E$7:$E$506,O812)&gt;0,"Y","N"))</f>
        <v/>
      </c>
      <c r="W812" s="39">
        <f>IF($A812="","",IFERROR(INDEX(계정매핑!$D$5:$D$504,MATCH($F812&amp;"",계정매핑!$A$5:$A$504,0)),"미매핑"))</f>
        <v/>
      </c>
      <c r="X812" s="9">
        <f>IF($A812="","",$F812&amp;"")</f>
        <v/>
      </c>
    </row>
    <row r="813">
      <c r="A813" s="75" t="n">
        <v>2025</v>
      </c>
      <c r="B813" s="75" t="n">
        <v>5</v>
      </c>
      <c r="C813" s="75" t="inlineStr">
        <is>
          <t>5100000809</t>
        </is>
      </c>
      <c r="D813" s="78" t="n">
        <v>45781</v>
      </c>
      <c r="E813" s="75" t="inlineStr">
        <is>
          <t>KR</t>
        </is>
      </c>
      <c r="F813" s="75" t="n">
        <v>62901000</v>
      </c>
      <c r="G813" s="75" t="n">
        <v>1401</v>
      </c>
      <c r="H813" s="76" t="n">
        <v>10505000</v>
      </c>
      <c r="I813" s="75" t="inlineStr">
        <is>
          <t>5월 자문 수수료 - W컨설팅</t>
        </is>
      </c>
      <c r="J813" s="75" t="inlineStr">
        <is>
          <t>V10009</t>
        </is>
      </c>
      <c r="K813" s="75" t="inlineStr">
        <is>
          <t>W컨설팅</t>
        </is>
      </c>
      <c r="M813" s="9">
        <f>IF($A813="","",VALUE($A813&amp;"")*12+VALUE($B813&amp;""))</f>
        <v/>
      </c>
      <c r="N813" s="39">
        <f>IF($A813="","",IFERROR(INDEX(부서매핑!$C$5:$C$504,MATCH($G813&amp;"",부서매핑!$A$5:$A$504,0)),"미매핑"))</f>
        <v/>
      </c>
      <c r="O813" s="9">
        <f>IF($A813="","",N813&amp;"|"&amp;$F813)</f>
        <v/>
      </c>
      <c r="P813" s="77">
        <f>IF($A813="",0,$H813*설정!$C$23)</f>
        <v/>
      </c>
      <c r="Q813" s="39">
        <f>IF($A813="","",IF(O813&lt;&gt;원인분석!$C$9,"",IF(AND(M813&gt;=원인분석!$C$10,M813&lt;=원인분석!$C$11),"당기",IF(AND(M813&gt;=원인분석!$C$12,M813&lt;=원인분석!$C$13),"비교",""))))</f>
        <v/>
      </c>
      <c r="R813" s="9">
        <f>IF(Q813="","",$K813&amp;"")</f>
        <v/>
      </c>
      <c r="S813" s="9">
        <f>IF(Q813="","",IF(MATCH(R813,$R$5:$R$100000,0)=ROW()-4,ROW(),""))</f>
        <v/>
      </c>
      <c r="T813" s="9">
        <f>IF(Q813="당기",ABS(P813)+ROW()/1000000000,"")</f>
        <v/>
      </c>
      <c r="U813" s="9">
        <f>IF(Q813="비교",ABS(P813)+ROW()/1000000000,"")</f>
        <v/>
      </c>
      <c r="V813" s="39">
        <f>IF($A813="","",IF(COUNTIF(변동분석!$E$7:$E$506,O813)&gt;0,"Y","N"))</f>
        <v/>
      </c>
      <c r="W813" s="39">
        <f>IF($A813="","",IFERROR(INDEX(계정매핑!$D$5:$D$504,MATCH($F813&amp;"",계정매핑!$A$5:$A$504,0)),"미매핑"))</f>
        <v/>
      </c>
      <c r="X813" s="9">
        <f>IF($A813="","",$F813&amp;"")</f>
        <v/>
      </c>
    </row>
    <row r="814">
      <c r="A814" s="75" t="n">
        <v>2025</v>
      </c>
      <c r="B814" s="75" t="n">
        <v>5</v>
      </c>
      <c r="C814" s="75" t="inlineStr">
        <is>
          <t>5100000810</t>
        </is>
      </c>
      <c r="D814" s="78" t="n">
        <v>45781</v>
      </c>
      <c r="E814" s="75" t="inlineStr">
        <is>
          <t>KR</t>
        </is>
      </c>
      <c r="F814" s="75" t="n">
        <v>62902000</v>
      </c>
      <c r="G814" s="75" t="n">
        <v>1801</v>
      </c>
      <c r="H814" s="76" t="n">
        <v>1788000</v>
      </c>
      <c r="I814" s="75" t="inlineStr">
        <is>
          <t>5월 콜 위탁 수수료(건별)</t>
        </is>
      </c>
      <c r="J814" s="75" t="inlineStr">
        <is>
          <t>V10013</t>
        </is>
      </c>
      <c r="K814" s="75" t="inlineStr">
        <is>
          <t>J콜센터</t>
        </is>
      </c>
      <c r="M814" s="9">
        <f>IF($A814="","",VALUE($A814&amp;"")*12+VALUE($B814&amp;""))</f>
        <v/>
      </c>
      <c r="N814" s="39">
        <f>IF($A814="","",IFERROR(INDEX(부서매핑!$C$5:$C$504,MATCH($G814&amp;"",부서매핑!$A$5:$A$504,0)),"미매핑"))</f>
        <v/>
      </c>
      <c r="O814" s="9">
        <f>IF($A814="","",N814&amp;"|"&amp;$F814)</f>
        <v/>
      </c>
      <c r="P814" s="77">
        <f>IF($A814="",0,$H814*설정!$C$23)</f>
        <v/>
      </c>
      <c r="Q814" s="39">
        <f>IF($A814="","",IF(O814&lt;&gt;원인분석!$C$9,"",IF(AND(M814&gt;=원인분석!$C$10,M814&lt;=원인분석!$C$11),"당기",IF(AND(M814&gt;=원인분석!$C$12,M814&lt;=원인분석!$C$13),"비교",""))))</f>
        <v/>
      </c>
      <c r="R814" s="9">
        <f>IF(Q814="","",$K814&amp;"")</f>
        <v/>
      </c>
      <c r="S814" s="9">
        <f>IF(Q814="","",IF(MATCH(R814,$R$5:$R$100000,0)=ROW()-4,ROW(),""))</f>
        <v/>
      </c>
      <c r="T814" s="9">
        <f>IF(Q814="당기",ABS(P814)+ROW()/1000000000,"")</f>
        <v/>
      </c>
      <c r="U814" s="9">
        <f>IF(Q814="비교",ABS(P814)+ROW()/1000000000,"")</f>
        <v/>
      </c>
      <c r="V814" s="39">
        <f>IF($A814="","",IF(COUNTIF(변동분석!$E$7:$E$506,O814)&gt;0,"Y","N"))</f>
        <v/>
      </c>
      <c r="W814" s="39">
        <f>IF($A814="","",IFERROR(INDEX(계정매핑!$D$5:$D$504,MATCH($F814&amp;"",계정매핑!$A$5:$A$504,0)),"미매핑"))</f>
        <v/>
      </c>
      <c r="X814" s="9">
        <f>IF($A814="","",$F814&amp;"")</f>
        <v/>
      </c>
    </row>
    <row r="815">
      <c r="A815" s="75" t="n">
        <v>2025</v>
      </c>
      <c r="B815" s="75" t="n">
        <v>5</v>
      </c>
      <c r="C815" s="75" t="inlineStr">
        <is>
          <t>5100000811</t>
        </is>
      </c>
      <c r="D815" s="78" t="n">
        <v>45781</v>
      </c>
      <c r="E815" s="75" t="inlineStr">
        <is>
          <t>KR</t>
        </is>
      </c>
      <c r="F815" s="75" t="n">
        <v>63001000</v>
      </c>
      <c r="G815" s="75" t="n">
        <v>1701</v>
      </c>
      <c r="H815" s="76" t="n">
        <v>29765000</v>
      </c>
      <c r="I815" s="75" t="inlineStr">
        <is>
          <t>5월 SW 유지보수 - Y소프트</t>
        </is>
      </c>
      <c r="J815" s="75" t="inlineStr">
        <is>
          <t>V10017</t>
        </is>
      </c>
      <c r="K815" s="75" t="inlineStr">
        <is>
          <t>Y소프트</t>
        </is>
      </c>
      <c r="M815" s="9">
        <f>IF($A815="","",VALUE($A815&amp;"")*12+VALUE($B815&amp;""))</f>
        <v/>
      </c>
      <c r="N815" s="39">
        <f>IF($A815="","",IFERROR(INDEX(부서매핑!$C$5:$C$504,MATCH($G815&amp;"",부서매핑!$A$5:$A$504,0)),"미매핑"))</f>
        <v/>
      </c>
      <c r="O815" s="9">
        <f>IF($A815="","",N815&amp;"|"&amp;$F815)</f>
        <v/>
      </c>
      <c r="P815" s="77">
        <f>IF($A815="",0,$H815*설정!$C$23)</f>
        <v/>
      </c>
      <c r="Q815" s="39">
        <f>IF($A815="","",IF(O815&lt;&gt;원인분석!$C$9,"",IF(AND(M815&gt;=원인분석!$C$10,M815&lt;=원인분석!$C$11),"당기",IF(AND(M815&gt;=원인분석!$C$12,M815&lt;=원인분석!$C$13),"비교",""))))</f>
        <v/>
      </c>
      <c r="R815" s="9">
        <f>IF(Q815="","",$K815&amp;"")</f>
        <v/>
      </c>
      <c r="S815" s="9">
        <f>IF(Q815="","",IF(MATCH(R815,$R$5:$R$100000,0)=ROW()-4,ROW(),""))</f>
        <v/>
      </c>
      <c r="T815" s="9">
        <f>IF(Q815="당기",ABS(P815)+ROW()/1000000000,"")</f>
        <v/>
      </c>
      <c r="U815" s="9">
        <f>IF(Q815="비교",ABS(P815)+ROW()/1000000000,"")</f>
        <v/>
      </c>
      <c r="V815" s="39">
        <f>IF($A815="","",IF(COUNTIF(변동분석!$E$7:$E$506,O815)&gt;0,"Y","N"))</f>
        <v/>
      </c>
      <c r="W815" s="39">
        <f>IF($A815="","",IFERROR(INDEX(계정매핑!$D$5:$D$504,MATCH($F815&amp;"",계정매핑!$A$5:$A$504,0)),"미매핑"))</f>
        <v/>
      </c>
      <c r="X815" s="9">
        <f>IF($A815="","",$F815&amp;"")</f>
        <v/>
      </c>
    </row>
    <row r="816">
      <c r="A816" s="75" t="n">
        <v>2025</v>
      </c>
      <c r="B816" s="75" t="n">
        <v>5</v>
      </c>
      <c r="C816" s="75" t="inlineStr">
        <is>
          <t>5100000812</t>
        </is>
      </c>
      <c r="D816" s="78" t="n">
        <v>45782</v>
      </c>
      <c r="E816" s="75" t="inlineStr">
        <is>
          <t>KR</t>
        </is>
      </c>
      <c r="F816" s="75" t="n">
        <v>62101000</v>
      </c>
      <c r="G816" s="75" t="n">
        <v>1201</v>
      </c>
      <c r="H816" s="76" t="n">
        <v>250000</v>
      </c>
      <c r="I816" s="75" t="inlineStr">
        <is>
          <t>5월 국내출장 - (법인카드)</t>
        </is>
      </c>
      <c r="J816" s="75" t="inlineStr">
        <is>
          <t>V10008</t>
        </is>
      </c>
      <c r="K816" s="75" t="inlineStr">
        <is>
          <t>(법인카드)</t>
        </is>
      </c>
      <c r="M816" s="9">
        <f>IF($A816="","",VALUE($A816&amp;"")*12+VALUE($B816&amp;""))</f>
        <v/>
      </c>
      <c r="N816" s="39">
        <f>IF($A816="","",IFERROR(INDEX(부서매핑!$C$5:$C$504,MATCH($G816&amp;"",부서매핑!$A$5:$A$504,0)),"미매핑"))</f>
        <v/>
      </c>
      <c r="O816" s="9">
        <f>IF($A816="","",N816&amp;"|"&amp;$F816)</f>
        <v/>
      </c>
      <c r="P816" s="77">
        <f>IF($A816="",0,$H816*설정!$C$23)</f>
        <v/>
      </c>
      <c r="Q816" s="39">
        <f>IF($A816="","",IF(O816&lt;&gt;원인분석!$C$9,"",IF(AND(M816&gt;=원인분석!$C$10,M816&lt;=원인분석!$C$11),"당기",IF(AND(M816&gt;=원인분석!$C$12,M816&lt;=원인분석!$C$13),"비교",""))))</f>
        <v/>
      </c>
      <c r="R816" s="9">
        <f>IF(Q816="","",$K816&amp;"")</f>
        <v/>
      </c>
      <c r="S816" s="9">
        <f>IF(Q816="","",IF(MATCH(R816,$R$5:$R$100000,0)=ROW()-4,ROW(),""))</f>
        <v/>
      </c>
      <c r="T816" s="9">
        <f>IF(Q816="당기",ABS(P816)+ROW()/1000000000,"")</f>
        <v/>
      </c>
      <c r="U816" s="9">
        <f>IF(Q816="비교",ABS(P816)+ROW()/1000000000,"")</f>
        <v/>
      </c>
      <c r="V816" s="39">
        <f>IF($A816="","",IF(COUNTIF(변동분석!$E$7:$E$506,O816)&gt;0,"Y","N"))</f>
        <v/>
      </c>
      <c r="W816" s="39">
        <f>IF($A816="","",IFERROR(INDEX(계정매핑!$D$5:$D$504,MATCH($F816&amp;"",계정매핑!$A$5:$A$504,0)),"미매핑"))</f>
        <v/>
      </c>
      <c r="X816" s="9">
        <f>IF($A816="","",$F816&amp;"")</f>
        <v/>
      </c>
    </row>
    <row r="817">
      <c r="A817" s="75" t="n">
        <v>2025</v>
      </c>
      <c r="B817" s="75" t="n">
        <v>5</v>
      </c>
      <c r="C817" s="75" t="inlineStr">
        <is>
          <t>5100000813</t>
        </is>
      </c>
      <c r="D817" s="78" t="n">
        <v>45782</v>
      </c>
      <c r="E817" s="75" t="inlineStr">
        <is>
          <t>KR</t>
        </is>
      </c>
      <c r="F817" s="75" t="n">
        <v>62102000</v>
      </c>
      <c r="G817" s="75" t="n">
        <v>1301</v>
      </c>
      <c r="H817" s="76" t="n">
        <v>55000</v>
      </c>
      <c r="I817" s="75" t="inlineStr">
        <is>
          <t>5월 해외출장 - M항공</t>
        </is>
      </c>
      <c r="J817" s="75" t="inlineStr">
        <is>
          <t>V10001</t>
        </is>
      </c>
      <c r="K817" s="75" t="inlineStr">
        <is>
          <t>M항공</t>
        </is>
      </c>
      <c r="M817" s="9">
        <f>IF($A817="","",VALUE($A817&amp;"")*12+VALUE($B817&amp;""))</f>
        <v/>
      </c>
      <c r="N817" s="39">
        <f>IF($A817="","",IFERROR(INDEX(부서매핑!$C$5:$C$504,MATCH($G817&amp;"",부서매핑!$A$5:$A$504,0)),"미매핑"))</f>
        <v/>
      </c>
      <c r="O817" s="9">
        <f>IF($A817="","",N817&amp;"|"&amp;$F817)</f>
        <v/>
      </c>
      <c r="P817" s="77">
        <f>IF($A817="",0,$H817*설정!$C$23)</f>
        <v/>
      </c>
      <c r="Q817" s="39">
        <f>IF($A817="","",IF(O817&lt;&gt;원인분석!$C$9,"",IF(AND(M817&gt;=원인분석!$C$10,M817&lt;=원인분석!$C$11),"당기",IF(AND(M817&gt;=원인분석!$C$12,M817&lt;=원인분석!$C$13),"비교",""))))</f>
        <v/>
      </c>
      <c r="R817" s="9">
        <f>IF(Q817="","",$K817&amp;"")</f>
        <v/>
      </c>
      <c r="S817" s="9">
        <f>IF(Q817="","",IF(MATCH(R817,$R$5:$R$100000,0)=ROW()-4,ROW(),""))</f>
        <v/>
      </c>
      <c r="T817" s="9">
        <f>IF(Q817="당기",ABS(P817)+ROW()/1000000000,"")</f>
        <v/>
      </c>
      <c r="U817" s="9">
        <f>IF(Q817="비교",ABS(P817)+ROW()/1000000000,"")</f>
        <v/>
      </c>
      <c r="V817" s="39">
        <f>IF($A817="","",IF(COUNTIF(변동분석!$E$7:$E$506,O817)&gt;0,"Y","N"))</f>
        <v/>
      </c>
      <c r="W817" s="39">
        <f>IF($A817="","",IFERROR(INDEX(계정매핑!$D$5:$D$504,MATCH($F817&amp;"",계정매핑!$A$5:$A$504,0)),"미매핑"))</f>
        <v/>
      </c>
      <c r="X817" s="9">
        <f>IF($A817="","",$F817&amp;"")</f>
        <v/>
      </c>
    </row>
    <row r="818">
      <c r="A818" s="75" t="n">
        <v>2025</v>
      </c>
      <c r="B818" s="75" t="n">
        <v>5</v>
      </c>
      <c r="C818" s="75" t="inlineStr">
        <is>
          <t>5100000814</t>
        </is>
      </c>
      <c r="D818" s="78" t="n">
        <v>45782</v>
      </c>
      <c r="E818" s="75" t="inlineStr">
        <is>
          <t>KR</t>
        </is>
      </c>
      <c r="F818" s="75" t="n">
        <v>62201000</v>
      </c>
      <c r="G818" s="75" t="n">
        <v>1101</v>
      </c>
      <c r="H818" s="76" t="n">
        <v>272000</v>
      </c>
      <c r="I818" s="75" t="inlineStr">
        <is>
          <t>5월 통신요금 - O텔레콤</t>
        </is>
      </c>
      <c r="J818" s="75" t="inlineStr">
        <is>
          <t>V10002</t>
        </is>
      </c>
      <c r="K818" s="75" t="inlineStr">
        <is>
          <t>O텔레콤</t>
        </is>
      </c>
      <c r="M818" s="9">
        <f>IF($A818="","",VALUE($A818&amp;"")*12+VALUE($B818&amp;""))</f>
        <v/>
      </c>
      <c r="N818" s="39">
        <f>IF($A818="","",IFERROR(INDEX(부서매핑!$C$5:$C$504,MATCH($G818&amp;"",부서매핑!$A$5:$A$504,0)),"미매핑"))</f>
        <v/>
      </c>
      <c r="O818" s="9">
        <f>IF($A818="","",N818&amp;"|"&amp;$F818)</f>
        <v/>
      </c>
      <c r="P818" s="77">
        <f>IF($A818="",0,$H818*설정!$C$23)</f>
        <v/>
      </c>
      <c r="Q818" s="39">
        <f>IF($A818="","",IF(O818&lt;&gt;원인분석!$C$9,"",IF(AND(M818&gt;=원인분석!$C$10,M818&lt;=원인분석!$C$11),"당기",IF(AND(M818&gt;=원인분석!$C$12,M818&lt;=원인분석!$C$13),"비교",""))))</f>
        <v/>
      </c>
      <c r="R818" s="9">
        <f>IF(Q818="","",$K818&amp;"")</f>
        <v/>
      </c>
      <c r="S818" s="9">
        <f>IF(Q818="","",IF(MATCH(R818,$R$5:$R$100000,0)=ROW()-4,ROW(),""))</f>
        <v/>
      </c>
      <c r="T818" s="9">
        <f>IF(Q818="당기",ABS(P818)+ROW()/1000000000,"")</f>
        <v/>
      </c>
      <c r="U818" s="9">
        <f>IF(Q818="비교",ABS(P818)+ROW()/1000000000,"")</f>
        <v/>
      </c>
      <c r="V818" s="39">
        <f>IF($A818="","",IF(COUNTIF(변동분석!$E$7:$E$506,O818)&gt;0,"Y","N"))</f>
        <v/>
      </c>
      <c r="W818" s="39">
        <f>IF($A818="","",IFERROR(INDEX(계정매핑!$D$5:$D$504,MATCH($F818&amp;"",계정매핑!$A$5:$A$504,0)),"미매핑"))</f>
        <v/>
      </c>
      <c r="X818" s="9">
        <f>IF($A818="","",$F818&amp;"")</f>
        <v/>
      </c>
    </row>
    <row r="819">
      <c r="A819" s="75" t="n">
        <v>2025</v>
      </c>
      <c r="B819" s="75" t="n">
        <v>5</v>
      </c>
      <c r="C819" s="75" t="inlineStr">
        <is>
          <t>5100000815</t>
        </is>
      </c>
      <c r="D819" s="78" t="n">
        <v>45782</v>
      </c>
      <c r="E819" s="75" t="inlineStr">
        <is>
          <t>KR</t>
        </is>
      </c>
      <c r="F819" s="75" t="n">
        <v>62201000</v>
      </c>
      <c r="G819" s="75" t="n">
        <v>1201</v>
      </c>
      <c r="H819" s="76" t="n">
        <v>123000</v>
      </c>
      <c r="I819" s="75" t="inlineStr">
        <is>
          <t>5월 통신요금 - O텔레콤</t>
        </is>
      </c>
      <c r="J819" s="75" t="inlineStr">
        <is>
          <t>V10002</t>
        </is>
      </c>
      <c r="K819" s="75" t="inlineStr">
        <is>
          <t>O텔레콤</t>
        </is>
      </c>
      <c r="M819" s="9">
        <f>IF($A819="","",VALUE($A819&amp;"")*12+VALUE($B819&amp;""))</f>
        <v/>
      </c>
      <c r="N819" s="39">
        <f>IF($A819="","",IFERROR(INDEX(부서매핑!$C$5:$C$504,MATCH($G819&amp;"",부서매핑!$A$5:$A$504,0)),"미매핑"))</f>
        <v/>
      </c>
      <c r="O819" s="9">
        <f>IF($A819="","",N819&amp;"|"&amp;$F819)</f>
        <v/>
      </c>
      <c r="P819" s="77">
        <f>IF($A819="",0,$H819*설정!$C$23)</f>
        <v/>
      </c>
      <c r="Q819" s="39">
        <f>IF($A819="","",IF(O819&lt;&gt;원인분석!$C$9,"",IF(AND(M819&gt;=원인분석!$C$10,M819&lt;=원인분석!$C$11),"당기",IF(AND(M819&gt;=원인분석!$C$12,M819&lt;=원인분석!$C$13),"비교",""))))</f>
        <v/>
      </c>
      <c r="R819" s="9">
        <f>IF(Q819="","",$K819&amp;"")</f>
        <v/>
      </c>
      <c r="S819" s="9">
        <f>IF(Q819="","",IF(MATCH(R819,$R$5:$R$100000,0)=ROW()-4,ROW(),""))</f>
        <v/>
      </c>
      <c r="T819" s="9">
        <f>IF(Q819="당기",ABS(P819)+ROW()/1000000000,"")</f>
        <v/>
      </c>
      <c r="U819" s="9">
        <f>IF(Q819="비교",ABS(P819)+ROW()/1000000000,"")</f>
        <v/>
      </c>
      <c r="V819" s="39">
        <f>IF($A819="","",IF(COUNTIF(변동분석!$E$7:$E$506,O819)&gt;0,"Y","N"))</f>
        <v/>
      </c>
      <c r="W819" s="39">
        <f>IF($A819="","",IFERROR(INDEX(계정매핑!$D$5:$D$504,MATCH($F819&amp;"",계정매핑!$A$5:$A$504,0)),"미매핑"))</f>
        <v/>
      </c>
      <c r="X819" s="9">
        <f>IF($A819="","",$F819&amp;"")</f>
        <v/>
      </c>
    </row>
    <row r="820">
      <c r="A820" s="75" t="n">
        <v>2025</v>
      </c>
      <c r="B820" s="75" t="n">
        <v>5</v>
      </c>
      <c r="C820" s="75" t="inlineStr">
        <is>
          <t>5100000816</t>
        </is>
      </c>
      <c r="D820" s="78" t="n">
        <v>45782</v>
      </c>
      <c r="E820" s="75" t="inlineStr">
        <is>
          <t>KR</t>
        </is>
      </c>
      <c r="F820" s="75" t="n">
        <v>62201000</v>
      </c>
      <c r="G820" s="75" t="n">
        <v>1701</v>
      </c>
      <c r="H820" s="76" t="n">
        <v>5861000</v>
      </c>
      <c r="I820" s="75" t="inlineStr">
        <is>
          <t>5월 통신요금 - O텔레콤</t>
        </is>
      </c>
      <c r="J820" s="75" t="inlineStr">
        <is>
          <t>V10002</t>
        </is>
      </c>
      <c r="K820" s="75" t="inlineStr">
        <is>
          <t>O텔레콤</t>
        </is>
      </c>
      <c r="M820" s="9">
        <f>IF($A820="","",VALUE($A820&amp;"")*12+VALUE($B820&amp;""))</f>
        <v/>
      </c>
      <c r="N820" s="39">
        <f>IF($A820="","",IFERROR(INDEX(부서매핑!$C$5:$C$504,MATCH($G820&amp;"",부서매핑!$A$5:$A$504,0)),"미매핑"))</f>
        <v/>
      </c>
      <c r="O820" s="9">
        <f>IF($A820="","",N820&amp;"|"&amp;$F820)</f>
        <v/>
      </c>
      <c r="P820" s="77">
        <f>IF($A820="",0,$H820*설정!$C$23)</f>
        <v/>
      </c>
      <c r="Q820" s="39">
        <f>IF($A820="","",IF(O820&lt;&gt;원인분석!$C$9,"",IF(AND(M820&gt;=원인분석!$C$10,M820&lt;=원인분석!$C$11),"당기",IF(AND(M820&gt;=원인분석!$C$12,M820&lt;=원인분석!$C$13),"비교",""))))</f>
        <v/>
      </c>
      <c r="R820" s="9">
        <f>IF(Q820="","",$K820&amp;"")</f>
        <v/>
      </c>
      <c r="S820" s="9">
        <f>IF(Q820="","",IF(MATCH(R820,$R$5:$R$100000,0)=ROW()-4,ROW(),""))</f>
        <v/>
      </c>
      <c r="T820" s="9">
        <f>IF(Q820="당기",ABS(P820)+ROW()/1000000000,"")</f>
        <v/>
      </c>
      <c r="U820" s="9">
        <f>IF(Q820="비교",ABS(P820)+ROW()/1000000000,"")</f>
        <v/>
      </c>
      <c r="V820" s="39">
        <f>IF($A820="","",IF(COUNTIF(변동분석!$E$7:$E$506,O820)&gt;0,"Y","N"))</f>
        <v/>
      </c>
      <c r="W820" s="39">
        <f>IF($A820="","",IFERROR(INDEX(계정매핑!$D$5:$D$504,MATCH($F820&amp;"",계정매핑!$A$5:$A$504,0)),"미매핑"))</f>
        <v/>
      </c>
      <c r="X820" s="9">
        <f>IF($A820="","",$F820&amp;"")</f>
        <v/>
      </c>
    </row>
    <row r="821">
      <c r="A821" s="75" t="n">
        <v>2025</v>
      </c>
      <c r="B821" s="75" t="n">
        <v>5</v>
      </c>
      <c r="C821" s="75" t="inlineStr">
        <is>
          <t>5100000817</t>
        </is>
      </c>
      <c r="D821" s="78" t="n">
        <v>45782</v>
      </c>
      <c r="E821" s="75" t="inlineStr">
        <is>
          <t>KR</t>
        </is>
      </c>
      <c r="F821" s="75" t="n">
        <v>63001000</v>
      </c>
      <c r="G821" s="75" t="n">
        <v>1701</v>
      </c>
      <c r="H821" s="76" t="n">
        <v>42225000</v>
      </c>
      <c r="I821" s="75" t="inlineStr">
        <is>
          <t>5월 SW 유지보수 - Y소프트</t>
        </is>
      </c>
      <c r="J821" s="75" t="inlineStr">
        <is>
          <t>V10017</t>
        </is>
      </c>
      <c r="K821" s="75" t="inlineStr">
        <is>
          <t>Y소프트</t>
        </is>
      </c>
      <c r="M821" s="9">
        <f>IF($A821="","",VALUE($A821&amp;"")*12+VALUE($B821&amp;""))</f>
        <v/>
      </c>
      <c r="N821" s="39">
        <f>IF($A821="","",IFERROR(INDEX(부서매핑!$C$5:$C$504,MATCH($G821&amp;"",부서매핑!$A$5:$A$504,0)),"미매핑"))</f>
        <v/>
      </c>
      <c r="O821" s="9">
        <f>IF($A821="","",N821&amp;"|"&amp;$F821)</f>
        <v/>
      </c>
      <c r="P821" s="77">
        <f>IF($A821="",0,$H821*설정!$C$23)</f>
        <v/>
      </c>
      <c r="Q821" s="39">
        <f>IF($A821="","",IF(O821&lt;&gt;원인분석!$C$9,"",IF(AND(M821&gt;=원인분석!$C$10,M821&lt;=원인분석!$C$11),"당기",IF(AND(M821&gt;=원인분석!$C$12,M821&lt;=원인분석!$C$13),"비교",""))))</f>
        <v/>
      </c>
      <c r="R821" s="9">
        <f>IF(Q821="","",$K821&amp;"")</f>
        <v/>
      </c>
      <c r="S821" s="9">
        <f>IF(Q821="","",IF(MATCH(R821,$R$5:$R$100000,0)=ROW()-4,ROW(),""))</f>
        <v/>
      </c>
      <c r="T821" s="9">
        <f>IF(Q821="당기",ABS(P821)+ROW()/1000000000,"")</f>
        <v/>
      </c>
      <c r="U821" s="9">
        <f>IF(Q821="비교",ABS(P821)+ROW()/1000000000,"")</f>
        <v/>
      </c>
      <c r="V821" s="39">
        <f>IF($A821="","",IF(COUNTIF(변동분석!$E$7:$E$506,O821)&gt;0,"Y","N"))</f>
        <v/>
      </c>
      <c r="W821" s="39">
        <f>IF($A821="","",IFERROR(INDEX(계정매핑!$D$5:$D$504,MATCH($F821&amp;"",계정매핑!$A$5:$A$504,0)),"미매핑"))</f>
        <v/>
      </c>
      <c r="X821" s="9">
        <f>IF($A821="","",$F821&amp;"")</f>
        <v/>
      </c>
    </row>
    <row r="822">
      <c r="A822" s="75" t="n">
        <v>2025</v>
      </c>
      <c r="B822" s="75" t="n">
        <v>5</v>
      </c>
      <c r="C822" s="75" t="inlineStr">
        <is>
          <t>5100000818</t>
        </is>
      </c>
      <c r="D822" s="78" t="n">
        <v>45783</v>
      </c>
      <c r="E822" s="75" t="inlineStr">
        <is>
          <t>KR</t>
        </is>
      </c>
      <c r="F822" s="75" t="n">
        <v>62101000</v>
      </c>
      <c r="G822" s="75" t="n">
        <v>1301</v>
      </c>
      <c r="H822" s="76" t="n">
        <v>232000</v>
      </c>
      <c r="I822" s="75" t="inlineStr">
        <is>
          <t>5월 국내출장 - L여행사</t>
        </is>
      </c>
      <c r="J822" s="75" t="inlineStr">
        <is>
          <t>V10014</t>
        </is>
      </c>
      <c r="K822" s="75" t="inlineStr">
        <is>
          <t>L여행사</t>
        </is>
      </c>
      <c r="M822" s="9">
        <f>IF($A822="","",VALUE($A822&amp;"")*12+VALUE($B822&amp;""))</f>
        <v/>
      </c>
      <c r="N822" s="39">
        <f>IF($A822="","",IFERROR(INDEX(부서매핑!$C$5:$C$504,MATCH($G822&amp;"",부서매핑!$A$5:$A$504,0)),"미매핑"))</f>
        <v/>
      </c>
      <c r="O822" s="9">
        <f>IF($A822="","",N822&amp;"|"&amp;$F822)</f>
        <v/>
      </c>
      <c r="P822" s="77">
        <f>IF($A822="",0,$H822*설정!$C$23)</f>
        <v/>
      </c>
      <c r="Q822" s="39">
        <f>IF($A822="","",IF(O822&lt;&gt;원인분석!$C$9,"",IF(AND(M822&gt;=원인분석!$C$10,M822&lt;=원인분석!$C$11),"당기",IF(AND(M822&gt;=원인분석!$C$12,M822&lt;=원인분석!$C$13),"비교",""))))</f>
        <v/>
      </c>
      <c r="R822" s="9">
        <f>IF(Q822="","",$K822&amp;"")</f>
        <v/>
      </c>
      <c r="S822" s="9">
        <f>IF(Q822="","",IF(MATCH(R822,$R$5:$R$100000,0)=ROW()-4,ROW(),""))</f>
        <v/>
      </c>
      <c r="T822" s="9">
        <f>IF(Q822="당기",ABS(P822)+ROW()/1000000000,"")</f>
        <v/>
      </c>
      <c r="U822" s="9">
        <f>IF(Q822="비교",ABS(P822)+ROW()/1000000000,"")</f>
        <v/>
      </c>
      <c r="V822" s="39">
        <f>IF($A822="","",IF(COUNTIF(변동분석!$E$7:$E$506,O822)&gt;0,"Y","N"))</f>
        <v/>
      </c>
      <c r="W822" s="39">
        <f>IF($A822="","",IFERROR(INDEX(계정매핑!$D$5:$D$504,MATCH($F822&amp;"",계정매핑!$A$5:$A$504,0)),"미매핑"))</f>
        <v/>
      </c>
      <c r="X822" s="9">
        <f>IF($A822="","",$F822&amp;"")</f>
        <v/>
      </c>
    </row>
    <row r="823">
      <c r="A823" s="75" t="n">
        <v>2025</v>
      </c>
      <c r="B823" s="75" t="n">
        <v>5</v>
      </c>
      <c r="C823" s="75" t="inlineStr">
        <is>
          <t>5100000819</t>
        </is>
      </c>
      <c r="D823" s="78" t="n">
        <v>45783</v>
      </c>
      <c r="E823" s="75" t="inlineStr">
        <is>
          <t>KR</t>
        </is>
      </c>
      <c r="F823" s="75" t="n">
        <v>62101000</v>
      </c>
      <c r="G823" s="75" t="n">
        <v>1301</v>
      </c>
      <c r="H823" s="76" t="n">
        <v>234000</v>
      </c>
      <c r="I823" s="75" t="inlineStr">
        <is>
          <t>5월 국내출장 - (법인카드)</t>
        </is>
      </c>
      <c r="J823" s="75" t="inlineStr">
        <is>
          <t>V10008</t>
        </is>
      </c>
      <c r="K823" s="75" t="inlineStr">
        <is>
          <t>(법인카드)</t>
        </is>
      </c>
      <c r="M823" s="9">
        <f>IF($A823="","",VALUE($A823&amp;"")*12+VALUE($B823&amp;""))</f>
        <v/>
      </c>
      <c r="N823" s="39">
        <f>IF($A823="","",IFERROR(INDEX(부서매핑!$C$5:$C$504,MATCH($G823&amp;"",부서매핑!$A$5:$A$504,0)),"미매핑"))</f>
        <v/>
      </c>
      <c r="O823" s="9">
        <f>IF($A823="","",N823&amp;"|"&amp;$F823)</f>
        <v/>
      </c>
      <c r="P823" s="77">
        <f>IF($A823="",0,$H823*설정!$C$23)</f>
        <v/>
      </c>
      <c r="Q823" s="39">
        <f>IF($A823="","",IF(O823&lt;&gt;원인분석!$C$9,"",IF(AND(M823&gt;=원인분석!$C$10,M823&lt;=원인분석!$C$11),"당기",IF(AND(M823&gt;=원인분석!$C$12,M823&lt;=원인분석!$C$13),"비교",""))))</f>
        <v/>
      </c>
      <c r="R823" s="9">
        <f>IF(Q823="","",$K823&amp;"")</f>
        <v/>
      </c>
      <c r="S823" s="9">
        <f>IF(Q823="","",IF(MATCH(R823,$R$5:$R$100000,0)=ROW()-4,ROW(),""))</f>
        <v/>
      </c>
      <c r="T823" s="9">
        <f>IF(Q823="당기",ABS(P823)+ROW()/1000000000,"")</f>
        <v/>
      </c>
      <c r="U823" s="9">
        <f>IF(Q823="비교",ABS(P823)+ROW()/1000000000,"")</f>
        <v/>
      </c>
      <c r="V823" s="39">
        <f>IF($A823="","",IF(COUNTIF(변동분석!$E$7:$E$506,O823)&gt;0,"Y","N"))</f>
        <v/>
      </c>
      <c r="W823" s="39">
        <f>IF($A823="","",IFERROR(INDEX(계정매핑!$D$5:$D$504,MATCH($F823&amp;"",계정매핑!$A$5:$A$504,0)),"미매핑"))</f>
        <v/>
      </c>
      <c r="X823" s="9">
        <f>IF($A823="","",$F823&amp;"")</f>
        <v/>
      </c>
    </row>
    <row r="824">
      <c r="A824" s="75" t="n">
        <v>2025</v>
      </c>
      <c r="B824" s="75" t="n">
        <v>5</v>
      </c>
      <c r="C824" s="75" t="inlineStr">
        <is>
          <t>5100000820</t>
        </is>
      </c>
      <c r="D824" s="78" t="n">
        <v>45783</v>
      </c>
      <c r="E824" s="75" t="inlineStr">
        <is>
          <t>KR</t>
        </is>
      </c>
      <c r="F824" s="75" t="n">
        <v>62101000</v>
      </c>
      <c r="G824" s="75" t="n">
        <v>1801</v>
      </c>
      <c r="H824" s="76" t="n">
        <v>234000</v>
      </c>
      <c r="I824" s="75" t="inlineStr">
        <is>
          <t>5월 국내출장 - L여행사</t>
        </is>
      </c>
      <c r="J824" s="75" t="inlineStr">
        <is>
          <t>V10014</t>
        </is>
      </c>
      <c r="K824" s="75" t="inlineStr">
        <is>
          <t>L여행사</t>
        </is>
      </c>
      <c r="M824" s="9">
        <f>IF($A824="","",VALUE($A824&amp;"")*12+VALUE($B824&amp;""))</f>
        <v/>
      </c>
      <c r="N824" s="39">
        <f>IF($A824="","",IFERROR(INDEX(부서매핑!$C$5:$C$504,MATCH($G824&amp;"",부서매핑!$A$5:$A$504,0)),"미매핑"))</f>
        <v/>
      </c>
      <c r="O824" s="9">
        <f>IF($A824="","",N824&amp;"|"&amp;$F824)</f>
        <v/>
      </c>
      <c r="P824" s="77">
        <f>IF($A824="",0,$H824*설정!$C$23)</f>
        <v/>
      </c>
      <c r="Q824" s="39">
        <f>IF($A824="","",IF(O824&lt;&gt;원인분석!$C$9,"",IF(AND(M824&gt;=원인분석!$C$10,M824&lt;=원인분석!$C$11),"당기",IF(AND(M824&gt;=원인분석!$C$12,M824&lt;=원인분석!$C$13),"비교",""))))</f>
        <v/>
      </c>
      <c r="R824" s="9">
        <f>IF(Q824="","",$K824&amp;"")</f>
        <v/>
      </c>
      <c r="S824" s="9">
        <f>IF(Q824="","",IF(MATCH(R824,$R$5:$R$100000,0)=ROW()-4,ROW(),""))</f>
        <v/>
      </c>
      <c r="T824" s="9">
        <f>IF(Q824="당기",ABS(P824)+ROW()/1000000000,"")</f>
        <v/>
      </c>
      <c r="U824" s="9">
        <f>IF(Q824="비교",ABS(P824)+ROW()/1000000000,"")</f>
        <v/>
      </c>
      <c r="V824" s="39">
        <f>IF($A824="","",IF(COUNTIF(변동분석!$E$7:$E$506,O824)&gt;0,"Y","N"))</f>
        <v/>
      </c>
      <c r="W824" s="39">
        <f>IF($A824="","",IFERROR(INDEX(계정매핑!$D$5:$D$504,MATCH($F824&amp;"",계정매핑!$A$5:$A$504,0)),"미매핑"))</f>
        <v/>
      </c>
      <c r="X824" s="9">
        <f>IF($A824="","",$F824&amp;"")</f>
        <v/>
      </c>
    </row>
    <row r="825">
      <c r="A825" s="75" t="n">
        <v>2025</v>
      </c>
      <c r="B825" s="75" t="n">
        <v>5</v>
      </c>
      <c r="C825" s="75" t="inlineStr">
        <is>
          <t>5100000821</t>
        </is>
      </c>
      <c r="D825" s="78" t="n">
        <v>45783</v>
      </c>
      <c r="E825" s="75" t="inlineStr">
        <is>
          <t>KR</t>
        </is>
      </c>
      <c r="F825" s="75" t="n">
        <v>62102000</v>
      </c>
      <c r="G825" s="75" t="n">
        <v>1401</v>
      </c>
      <c r="H825" s="76" t="n">
        <v>102000</v>
      </c>
      <c r="I825" s="75" t="inlineStr">
        <is>
          <t>5월 해외출장 - N호텔</t>
        </is>
      </c>
      <c r="J825" s="75" t="inlineStr">
        <is>
          <t>V10007</t>
        </is>
      </c>
      <c r="K825" s="75" t="inlineStr">
        <is>
          <t>N호텔</t>
        </is>
      </c>
      <c r="M825" s="9">
        <f>IF($A825="","",VALUE($A825&amp;"")*12+VALUE($B825&amp;""))</f>
        <v/>
      </c>
      <c r="N825" s="39">
        <f>IF($A825="","",IFERROR(INDEX(부서매핑!$C$5:$C$504,MATCH($G825&amp;"",부서매핑!$A$5:$A$504,0)),"미매핑"))</f>
        <v/>
      </c>
      <c r="O825" s="9">
        <f>IF($A825="","",N825&amp;"|"&amp;$F825)</f>
        <v/>
      </c>
      <c r="P825" s="77">
        <f>IF($A825="",0,$H825*설정!$C$23)</f>
        <v/>
      </c>
      <c r="Q825" s="39">
        <f>IF($A825="","",IF(O825&lt;&gt;원인분석!$C$9,"",IF(AND(M825&gt;=원인분석!$C$10,M825&lt;=원인분석!$C$11),"당기",IF(AND(M825&gt;=원인분석!$C$12,M825&lt;=원인분석!$C$13),"비교",""))))</f>
        <v/>
      </c>
      <c r="R825" s="9">
        <f>IF(Q825="","",$K825&amp;"")</f>
        <v/>
      </c>
      <c r="S825" s="9">
        <f>IF(Q825="","",IF(MATCH(R825,$R$5:$R$100000,0)=ROW()-4,ROW(),""))</f>
        <v/>
      </c>
      <c r="T825" s="9">
        <f>IF(Q825="당기",ABS(P825)+ROW()/1000000000,"")</f>
        <v/>
      </c>
      <c r="U825" s="9">
        <f>IF(Q825="비교",ABS(P825)+ROW()/1000000000,"")</f>
        <v/>
      </c>
      <c r="V825" s="39">
        <f>IF($A825="","",IF(COUNTIF(변동분석!$E$7:$E$506,O825)&gt;0,"Y","N"))</f>
        <v/>
      </c>
      <c r="W825" s="39">
        <f>IF($A825="","",IFERROR(INDEX(계정매핑!$D$5:$D$504,MATCH($F825&amp;"",계정매핑!$A$5:$A$504,0)),"미매핑"))</f>
        <v/>
      </c>
      <c r="X825" s="9">
        <f>IF($A825="","",$F825&amp;"")</f>
        <v/>
      </c>
    </row>
    <row r="826">
      <c r="A826" s="75" t="n">
        <v>2025</v>
      </c>
      <c r="B826" s="75" t="n">
        <v>5</v>
      </c>
      <c r="C826" s="75" t="inlineStr">
        <is>
          <t>5100000822</t>
        </is>
      </c>
      <c r="D826" s="78" t="n">
        <v>45783</v>
      </c>
      <c r="E826" s="75" t="inlineStr">
        <is>
          <t>KR</t>
        </is>
      </c>
      <c r="F826" s="75" t="n">
        <v>62201000</v>
      </c>
      <c r="G826" s="75" t="n">
        <v>1401</v>
      </c>
      <c r="H826" s="76" t="n">
        <v>305000</v>
      </c>
      <c r="I826" s="75" t="inlineStr">
        <is>
          <t>5월 통신요금 - P통신</t>
        </is>
      </c>
      <c r="J826" s="75" t="inlineStr">
        <is>
          <t>V10011</t>
        </is>
      </c>
      <c r="K826" s="75" t="inlineStr">
        <is>
          <t>P통신</t>
        </is>
      </c>
      <c r="M826" s="9">
        <f>IF($A826="","",VALUE($A826&amp;"")*12+VALUE($B826&amp;""))</f>
        <v/>
      </c>
      <c r="N826" s="39">
        <f>IF($A826="","",IFERROR(INDEX(부서매핑!$C$5:$C$504,MATCH($G826&amp;"",부서매핑!$A$5:$A$504,0)),"미매핑"))</f>
        <v/>
      </c>
      <c r="O826" s="9">
        <f>IF($A826="","",N826&amp;"|"&amp;$F826)</f>
        <v/>
      </c>
      <c r="P826" s="77">
        <f>IF($A826="",0,$H826*설정!$C$23)</f>
        <v/>
      </c>
      <c r="Q826" s="39">
        <f>IF($A826="","",IF(O826&lt;&gt;원인분석!$C$9,"",IF(AND(M826&gt;=원인분석!$C$10,M826&lt;=원인분석!$C$11),"당기",IF(AND(M826&gt;=원인분석!$C$12,M826&lt;=원인분석!$C$13),"비교",""))))</f>
        <v/>
      </c>
      <c r="R826" s="9">
        <f>IF(Q826="","",$K826&amp;"")</f>
        <v/>
      </c>
      <c r="S826" s="9">
        <f>IF(Q826="","",IF(MATCH(R826,$R$5:$R$100000,0)=ROW()-4,ROW(),""))</f>
        <v/>
      </c>
      <c r="T826" s="9">
        <f>IF(Q826="당기",ABS(P826)+ROW()/1000000000,"")</f>
        <v/>
      </c>
      <c r="U826" s="9">
        <f>IF(Q826="비교",ABS(P826)+ROW()/1000000000,"")</f>
        <v/>
      </c>
      <c r="V826" s="39">
        <f>IF($A826="","",IF(COUNTIF(변동분석!$E$7:$E$506,O826)&gt;0,"Y","N"))</f>
        <v/>
      </c>
      <c r="W826" s="39">
        <f>IF($A826="","",IFERROR(INDEX(계정매핑!$D$5:$D$504,MATCH($F826&amp;"",계정매핑!$A$5:$A$504,0)),"미매핑"))</f>
        <v/>
      </c>
      <c r="X826" s="9">
        <f>IF($A826="","",$F826&amp;"")</f>
        <v/>
      </c>
    </row>
    <row r="827">
      <c r="A827" s="75" t="n">
        <v>2025</v>
      </c>
      <c r="B827" s="75" t="n">
        <v>5</v>
      </c>
      <c r="C827" s="75" t="inlineStr">
        <is>
          <t>5100000823</t>
        </is>
      </c>
      <c r="D827" s="78" t="n">
        <v>45784</v>
      </c>
      <c r="E827" s="75" t="inlineStr">
        <is>
          <t>KR</t>
        </is>
      </c>
      <c r="F827" s="75" t="n">
        <v>62101000</v>
      </c>
      <c r="G827" s="75" t="n">
        <v>1401</v>
      </c>
      <c r="H827" s="76" t="n">
        <v>515000</v>
      </c>
      <c r="I827" s="75" t="inlineStr">
        <is>
          <t>5월 국내출장 - (법인카드)</t>
        </is>
      </c>
      <c r="J827" s="75" t="inlineStr">
        <is>
          <t>V10008</t>
        </is>
      </c>
      <c r="K827" s="75" t="inlineStr">
        <is>
          <t>(법인카드)</t>
        </is>
      </c>
      <c r="M827" s="9">
        <f>IF($A827="","",VALUE($A827&amp;"")*12+VALUE($B827&amp;""))</f>
        <v/>
      </c>
      <c r="N827" s="39">
        <f>IF($A827="","",IFERROR(INDEX(부서매핑!$C$5:$C$504,MATCH($G827&amp;"",부서매핑!$A$5:$A$504,0)),"미매핑"))</f>
        <v/>
      </c>
      <c r="O827" s="9">
        <f>IF($A827="","",N827&amp;"|"&amp;$F827)</f>
        <v/>
      </c>
      <c r="P827" s="77">
        <f>IF($A827="",0,$H827*설정!$C$23)</f>
        <v/>
      </c>
      <c r="Q827" s="39">
        <f>IF($A827="","",IF(O827&lt;&gt;원인분석!$C$9,"",IF(AND(M827&gt;=원인분석!$C$10,M827&lt;=원인분석!$C$11),"당기",IF(AND(M827&gt;=원인분석!$C$12,M827&lt;=원인분석!$C$13),"비교",""))))</f>
        <v/>
      </c>
      <c r="R827" s="9">
        <f>IF(Q827="","",$K827&amp;"")</f>
        <v/>
      </c>
      <c r="S827" s="9">
        <f>IF(Q827="","",IF(MATCH(R827,$R$5:$R$100000,0)=ROW()-4,ROW(),""))</f>
        <v/>
      </c>
      <c r="T827" s="9">
        <f>IF(Q827="당기",ABS(P827)+ROW()/1000000000,"")</f>
        <v/>
      </c>
      <c r="U827" s="9">
        <f>IF(Q827="비교",ABS(P827)+ROW()/1000000000,"")</f>
        <v/>
      </c>
      <c r="V827" s="39">
        <f>IF($A827="","",IF(COUNTIF(변동분석!$E$7:$E$506,O827)&gt;0,"Y","N"))</f>
        <v/>
      </c>
      <c r="W827" s="39">
        <f>IF($A827="","",IFERROR(INDEX(계정매핑!$D$5:$D$504,MATCH($F827&amp;"",계정매핑!$A$5:$A$504,0)),"미매핑"))</f>
        <v/>
      </c>
      <c r="X827" s="9">
        <f>IF($A827="","",$F827&amp;"")</f>
        <v/>
      </c>
    </row>
    <row r="828">
      <c r="A828" s="75" t="n">
        <v>2025</v>
      </c>
      <c r="B828" s="75" t="n">
        <v>5</v>
      </c>
      <c r="C828" s="75" t="inlineStr">
        <is>
          <t>5100000824</t>
        </is>
      </c>
      <c r="D828" s="78" t="n">
        <v>45784</v>
      </c>
      <c r="E828" s="75" t="inlineStr">
        <is>
          <t>KR</t>
        </is>
      </c>
      <c r="F828" s="75" t="n">
        <v>62201000</v>
      </c>
      <c r="G828" s="75" t="n">
        <v>1401</v>
      </c>
      <c r="H828" s="76" t="n">
        <v>264000</v>
      </c>
      <c r="I828" s="75" t="inlineStr">
        <is>
          <t>5월 통신요금 - O텔레콤</t>
        </is>
      </c>
      <c r="J828" s="75" t="inlineStr">
        <is>
          <t>V10002</t>
        </is>
      </c>
      <c r="K828" s="75" t="inlineStr">
        <is>
          <t>O텔레콤</t>
        </is>
      </c>
      <c r="M828" s="9">
        <f>IF($A828="","",VALUE($A828&amp;"")*12+VALUE($B828&amp;""))</f>
        <v/>
      </c>
      <c r="N828" s="39">
        <f>IF($A828="","",IFERROR(INDEX(부서매핑!$C$5:$C$504,MATCH($G828&amp;"",부서매핑!$A$5:$A$504,0)),"미매핑"))</f>
        <v/>
      </c>
      <c r="O828" s="9">
        <f>IF($A828="","",N828&amp;"|"&amp;$F828)</f>
        <v/>
      </c>
      <c r="P828" s="77">
        <f>IF($A828="",0,$H828*설정!$C$23)</f>
        <v/>
      </c>
      <c r="Q828" s="39">
        <f>IF($A828="","",IF(O828&lt;&gt;원인분석!$C$9,"",IF(AND(M828&gt;=원인분석!$C$10,M828&lt;=원인분석!$C$11),"당기",IF(AND(M828&gt;=원인분석!$C$12,M828&lt;=원인분석!$C$13),"비교",""))))</f>
        <v/>
      </c>
      <c r="R828" s="9">
        <f>IF(Q828="","",$K828&amp;"")</f>
        <v/>
      </c>
      <c r="S828" s="9">
        <f>IF(Q828="","",IF(MATCH(R828,$R$5:$R$100000,0)=ROW()-4,ROW(),""))</f>
        <v/>
      </c>
      <c r="T828" s="9">
        <f>IF(Q828="당기",ABS(P828)+ROW()/1000000000,"")</f>
        <v/>
      </c>
      <c r="U828" s="9">
        <f>IF(Q828="비교",ABS(P828)+ROW()/1000000000,"")</f>
        <v/>
      </c>
      <c r="V828" s="39">
        <f>IF($A828="","",IF(COUNTIF(변동분석!$E$7:$E$506,O828)&gt;0,"Y","N"))</f>
        <v/>
      </c>
      <c r="W828" s="39">
        <f>IF($A828="","",IFERROR(INDEX(계정매핑!$D$5:$D$504,MATCH($F828&amp;"",계정매핑!$A$5:$A$504,0)),"미매핑"))</f>
        <v/>
      </c>
      <c r="X828" s="9">
        <f>IF($A828="","",$F828&amp;"")</f>
        <v/>
      </c>
    </row>
    <row r="829">
      <c r="A829" s="75" t="n">
        <v>2025</v>
      </c>
      <c r="B829" s="75" t="n">
        <v>5</v>
      </c>
      <c r="C829" s="75" t="inlineStr">
        <is>
          <t>5100000825</t>
        </is>
      </c>
      <c r="D829" s="78" t="n">
        <v>45784</v>
      </c>
      <c r="E829" s="75" t="inlineStr">
        <is>
          <t>KR</t>
        </is>
      </c>
      <c r="F829" s="75" t="n">
        <v>62201000</v>
      </c>
      <c r="G829" s="75" t="n">
        <v>1602</v>
      </c>
      <c r="H829" s="76" t="n">
        <v>388000</v>
      </c>
      <c r="I829" s="75" t="inlineStr">
        <is>
          <t>5월 통신요금 - O텔레콤</t>
        </is>
      </c>
      <c r="J829" s="75" t="inlineStr">
        <is>
          <t>V10002</t>
        </is>
      </c>
      <c r="K829" s="75" t="inlineStr">
        <is>
          <t>O텔레콤</t>
        </is>
      </c>
      <c r="M829" s="9">
        <f>IF($A829="","",VALUE($A829&amp;"")*12+VALUE($B829&amp;""))</f>
        <v/>
      </c>
      <c r="N829" s="39">
        <f>IF($A829="","",IFERROR(INDEX(부서매핑!$C$5:$C$504,MATCH($G829&amp;"",부서매핑!$A$5:$A$504,0)),"미매핑"))</f>
        <v/>
      </c>
      <c r="O829" s="9">
        <f>IF($A829="","",N829&amp;"|"&amp;$F829)</f>
        <v/>
      </c>
      <c r="P829" s="77">
        <f>IF($A829="",0,$H829*설정!$C$23)</f>
        <v/>
      </c>
      <c r="Q829" s="39">
        <f>IF($A829="","",IF(O829&lt;&gt;원인분석!$C$9,"",IF(AND(M829&gt;=원인분석!$C$10,M829&lt;=원인분석!$C$11),"당기",IF(AND(M829&gt;=원인분석!$C$12,M829&lt;=원인분석!$C$13),"비교",""))))</f>
        <v/>
      </c>
      <c r="R829" s="9">
        <f>IF(Q829="","",$K829&amp;"")</f>
        <v/>
      </c>
      <c r="S829" s="9">
        <f>IF(Q829="","",IF(MATCH(R829,$R$5:$R$100000,0)=ROW()-4,ROW(),""))</f>
        <v/>
      </c>
      <c r="T829" s="9">
        <f>IF(Q829="당기",ABS(P829)+ROW()/1000000000,"")</f>
        <v/>
      </c>
      <c r="U829" s="9">
        <f>IF(Q829="비교",ABS(P829)+ROW()/1000000000,"")</f>
        <v/>
      </c>
      <c r="V829" s="39">
        <f>IF($A829="","",IF(COUNTIF(변동분석!$E$7:$E$506,O829)&gt;0,"Y","N"))</f>
        <v/>
      </c>
      <c r="W829" s="39">
        <f>IF($A829="","",IFERROR(INDEX(계정매핑!$D$5:$D$504,MATCH($F829&amp;"",계정매핑!$A$5:$A$504,0)),"미매핑"))</f>
        <v/>
      </c>
      <c r="X829" s="9">
        <f>IF($A829="","",$F829&amp;"")</f>
        <v/>
      </c>
    </row>
    <row r="830">
      <c r="A830" s="75" t="n">
        <v>2025</v>
      </c>
      <c r="B830" s="75" t="n">
        <v>5</v>
      </c>
      <c r="C830" s="75" t="inlineStr">
        <is>
          <t>5100000826</t>
        </is>
      </c>
      <c r="D830" s="78" t="n">
        <v>45784</v>
      </c>
      <c r="E830" s="75" t="inlineStr">
        <is>
          <t>KR</t>
        </is>
      </c>
      <c r="F830" s="75" t="n">
        <v>62301000</v>
      </c>
      <c r="G830" s="75" t="n">
        <v>1401</v>
      </c>
      <c r="H830" s="76" t="n">
        <v>153000</v>
      </c>
      <c r="I830" s="75" t="inlineStr">
        <is>
          <t>5월 소모품 구입 - R문구</t>
        </is>
      </c>
      <c r="J830" s="75" t="inlineStr">
        <is>
          <t>V10018</t>
        </is>
      </c>
      <c r="K830" s="75" t="inlineStr">
        <is>
          <t>R문구</t>
        </is>
      </c>
      <c r="M830" s="9">
        <f>IF($A830="","",VALUE($A830&amp;"")*12+VALUE($B830&amp;""))</f>
        <v/>
      </c>
      <c r="N830" s="39">
        <f>IF($A830="","",IFERROR(INDEX(부서매핑!$C$5:$C$504,MATCH($G830&amp;"",부서매핑!$A$5:$A$504,0)),"미매핑"))</f>
        <v/>
      </c>
      <c r="O830" s="9">
        <f>IF($A830="","",N830&amp;"|"&amp;$F830)</f>
        <v/>
      </c>
      <c r="P830" s="77">
        <f>IF($A830="",0,$H830*설정!$C$23)</f>
        <v/>
      </c>
      <c r="Q830" s="39">
        <f>IF($A830="","",IF(O830&lt;&gt;원인분석!$C$9,"",IF(AND(M830&gt;=원인분석!$C$10,M830&lt;=원인분석!$C$11),"당기",IF(AND(M830&gt;=원인분석!$C$12,M830&lt;=원인분석!$C$13),"비교",""))))</f>
        <v/>
      </c>
      <c r="R830" s="9">
        <f>IF(Q830="","",$K830&amp;"")</f>
        <v/>
      </c>
      <c r="S830" s="9">
        <f>IF(Q830="","",IF(MATCH(R830,$R$5:$R$100000,0)=ROW()-4,ROW(),""))</f>
        <v/>
      </c>
      <c r="T830" s="9">
        <f>IF(Q830="당기",ABS(P830)+ROW()/1000000000,"")</f>
        <v/>
      </c>
      <c r="U830" s="9">
        <f>IF(Q830="비교",ABS(P830)+ROW()/1000000000,"")</f>
        <v/>
      </c>
      <c r="V830" s="39">
        <f>IF($A830="","",IF(COUNTIF(변동분석!$E$7:$E$506,O830)&gt;0,"Y","N"))</f>
        <v/>
      </c>
      <c r="W830" s="39">
        <f>IF($A830="","",IFERROR(INDEX(계정매핑!$D$5:$D$504,MATCH($F830&amp;"",계정매핑!$A$5:$A$504,0)),"미매핑"))</f>
        <v/>
      </c>
      <c r="X830" s="9">
        <f>IF($A830="","",$F830&amp;"")</f>
        <v/>
      </c>
    </row>
    <row r="831">
      <c r="A831" s="75" t="n">
        <v>2025</v>
      </c>
      <c r="B831" s="75" t="n">
        <v>5</v>
      </c>
      <c r="C831" s="75" t="inlineStr">
        <is>
          <t>5100000827</t>
        </is>
      </c>
      <c r="D831" s="78" t="n">
        <v>45784</v>
      </c>
      <c r="E831" s="75" t="inlineStr">
        <is>
          <t>KR</t>
        </is>
      </c>
      <c r="F831" s="75" t="n">
        <v>62501000</v>
      </c>
      <c r="G831" s="75" t="n">
        <v>1502</v>
      </c>
      <c r="H831" s="76" t="n">
        <v>438000</v>
      </c>
      <c r="I831" s="75" t="inlineStr">
        <is>
          <t>5월 회의 다과 - T케이터링</t>
        </is>
      </c>
      <c r="J831" s="75" t="inlineStr">
        <is>
          <t>V10005</t>
        </is>
      </c>
      <c r="K831" s="75" t="inlineStr">
        <is>
          <t>T케이터링</t>
        </is>
      </c>
      <c r="M831" s="9">
        <f>IF($A831="","",VALUE($A831&amp;"")*12+VALUE($B831&amp;""))</f>
        <v/>
      </c>
      <c r="N831" s="39">
        <f>IF($A831="","",IFERROR(INDEX(부서매핑!$C$5:$C$504,MATCH($G831&amp;"",부서매핑!$A$5:$A$504,0)),"미매핑"))</f>
        <v/>
      </c>
      <c r="O831" s="9">
        <f>IF($A831="","",N831&amp;"|"&amp;$F831)</f>
        <v/>
      </c>
      <c r="P831" s="77">
        <f>IF($A831="",0,$H831*설정!$C$23)</f>
        <v/>
      </c>
      <c r="Q831" s="39">
        <f>IF($A831="","",IF(O831&lt;&gt;원인분석!$C$9,"",IF(AND(M831&gt;=원인분석!$C$10,M831&lt;=원인분석!$C$11),"당기",IF(AND(M831&gt;=원인분석!$C$12,M831&lt;=원인분석!$C$13),"비교",""))))</f>
        <v/>
      </c>
      <c r="R831" s="9">
        <f>IF(Q831="","",$K831&amp;"")</f>
        <v/>
      </c>
      <c r="S831" s="9">
        <f>IF(Q831="","",IF(MATCH(R831,$R$5:$R$100000,0)=ROW()-4,ROW(),""))</f>
        <v/>
      </c>
      <c r="T831" s="9">
        <f>IF(Q831="당기",ABS(P831)+ROW()/1000000000,"")</f>
        <v/>
      </c>
      <c r="U831" s="9">
        <f>IF(Q831="비교",ABS(P831)+ROW()/1000000000,"")</f>
        <v/>
      </c>
      <c r="V831" s="39">
        <f>IF($A831="","",IF(COUNTIF(변동분석!$E$7:$E$506,O831)&gt;0,"Y","N"))</f>
        <v/>
      </c>
      <c r="W831" s="39">
        <f>IF($A831="","",IFERROR(INDEX(계정매핑!$D$5:$D$504,MATCH($F831&amp;"",계정매핑!$A$5:$A$504,0)),"미매핑"))</f>
        <v/>
      </c>
      <c r="X831" s="9">
        <f>IF($A831="","",$F831&amp;"")</f>
        <v/>
      </c>
    </row>
    <row r="832">
      <c r="A832" s="75" t="n">
        <v>2025</v>
      </c>
      <c r="B832" s="75" t="n">
        <v>5</v>
      </c>
      <c r="C832" s="75" t="inlineStr">
        <is>
          <t>5100000828</t>
        </is>
      </c>
      <c r="D832" s="78" t="n">
        <v>45784</v>
      </c>
      <c r="E832" s="75" t="inlineStr">
        <is>
          <t>KR</t>
        </is>
      </c>
      <c r="F832" s="75" t="n">
        <v>62501000</v>
      </c>
      <c r="G832" s="75" t="n">
        <v>1801</v>
      </c>
      <c r="H832" s="76" t="n">
        <v>99000</v>
      </c>
      <c r="I832" s="75" t="inlineStr">
        <is>
          <t>5월 회의 다과 - T케이터링</t>
        </is>
      </c>
      <c r="J832" s="75" t="inlineStr">
        <is>
          <t>V10005</t>
        </is>
      </c>
      <c r="K832" s="75" t="inlineStr">
        <is>
          <t>T케이터링</t>
        </is>
      </c>
      <c r="M832" s="9">
        <f>IF($A832="","",VALUE($A832&amp;"")*12+VALUE($B832&amp;""))</f>
        <v/>
      </c>
      <c r="N832" s="39">
        <f>IF($A832="","",IFERROR(INDEX(부서매핑!$C$5:$C$504,MATCH($G832&amp;"",부서매핑!$A$5:$A$504,0)),"미매핑"))</f>
        <v/>
      </c>
      <c r="O832" s="9">
        <f>IF($A832="","",N832&amp;"|"&amp;$F832)</f>
        <v/>
      </c>
      <c r="P832" s="77">
        <f>IF($A832="",0,$H832*설정!$C$23)</f>
        <v/>
      </c>
      <c r="Q832" s="39">
        <f>IF($A832="","",IF(O832&lt;&gt;원인분석!$C$9,"",IF(AND(M832&gt;=원인분석!$C$10,M832&lt;=원인분석!$C$11),"당기",IF(AND(M832&gt;=원인분석!$C$12,M832&lt;=원인분석!$C$13),"비교",""))))</f>
        <v/>
      </c>
      <c r="R832" s="9">
        <f>IF(Q832="","",$K832&amp;"")</f>
        <v/>
      </c>
      <c r="S832" s="9">
        <f>IF(Q832="","",IF(MATCH(R832,$R$5:$R$100000,0)=ROW()-4,ROW(),""))</f>
        <v/>
      </c>
      <c r="T832" s="9">
        <f>IF(Q832="당기",ABS(P832)+ROW()/1000000000,"")</f>
        <v/>
      </c>
      <c r="U832" s="9">
        <f>IF(Q832="비교",ABS(P832)+ROW()/1000000000,"")</f>
        <v/>
      </c>
      <c r="V832" s="39">
        <f>IF($A832="","",IF(COUNTIF(변동분석!$E$7:$E$506,O832)&gt;0,"Y","N"))</f>
        <v/>
      </c>
      <c r="W832" s="39">
        <f>IF($A832="","",IFERROR(INDEX(계정매핑!$D$5:$D$504,MATCH($F832&amp;"",계정매핑!$A$5:$A$504,0)),"미매핑"))</f>
        <v/>
      </c>
      <c r="X832" s="9">
        <f>IF($A832="","",$F832&amp;"")</f>
        <v/>
      </c>
    </row>
    <row r="833">
      <c r="A833" s="75" t="n">
        <v>2025</v>
      </c>
      <c r="B833" s="75" t="n">
        <v>5</v>
      </c>
      <c r="C833" s="75" t="inlineStr">
        <is>
          <t>5100000829</t>
        </is>
      </c>
      <c r="D833" s="78" t="n">
        <v>45784</v>
      </c>
      <c r="E833" s="75" t="inlineStr">
        <is>
          <t>KR</t>
        </is>
      </c>
      <c r="F833" s="75" t="n">
        <v>62601000</v>
      </c>
      <c r="G833" s="75" t="n">
        <v>1301</v>
      </c>
      <c r="H833" s="76" t="n">
        <v>1655000</v>
      </c>
      <c r="I833" s="75" t="inlineStr">
        <is>
          <t>5월 업무추진 - (법인카드)</t>
        </is>
      </c>
      <c r="J833" s="75" t="inlineStr">
        <is>
          <t>V10008</t>
        </is>
      </c>
      <c r="K833" s="75" t="inlineStr">
        <is>
          <t>(법인카드)</t>
        </is>
      </c>
      <c r="M833" s="9">
        <f>IF($A833="","",VALUE($A833&amp;"")*12+VALUE($B833&amp;""))</f>
        <v/>
      </c>
      <c r="N833" s="39">
        <f>IF($A833="","",IFERROR(INDEX(부서매핑!$C$5:$C$504,MATCH($G833&amp;"",부서매핑!$A$5:$A$504,0)),"미매핑"))</f>
        <v/>
      </c>
      <c r="O833" s="9">
        <f>IF($A833="","",N833&amp;"|"&amp;$F833)</f>
        <v/>
      </c>
      <c r="P833" s="77">
        <f>IF($A833="",0,$H833*설정!$C$23)</f>
        <v/>
      </c>
      <c r="Q833" s="39">
        <f>IF($A833="","",IF(O833&lt;&gt;원인분석!$C$9,"",IF(AND(M833&gt;=원인분석!$C$10,M833&lt;=원인분석!$C$11),"당기",IF(AND(M833&gt;=원인분석!$C$12,M833&lt;=원인분석!$C$13),"비교",""))))</f>
        <v/>
      </c>
      <c r="R833" s="9">
        <f>IF(Q833="","",$K833&amp;"")</f>
        <v/>
      </c>
      <c r="S833" s="9">
        <f>IF(Q833="","",IF(MATCH(R833,$R$5:$R$100000,0)=ROW()-4,ROW(),""))</f>
        <v/>
      </c>
      <c r="T833" s="9">
        <f>IF(Q833="당기",ABS(P833)+ROW()/1000000000,"")</f>
        <v/>
      </c>
      <c r="U833" s="9">
        <f>IF(Q833="비교",ABS(P833)+ROW()/1000000000,"")</f>
        <v/>
      </c>
      <c r="V833" s="39">
        <f>IF($A833="","",IF(COUNTIF(변동분석!$E$7:$E$506,O833)&gt;0,"Y","N"))</f>
        <v/>
      </c>
      <c r="W833" s="39">
        <f>IF($A833="","",IFERROR(INDEX(계정매핑!$D$5:$D$504,MATCH($F833&amp;"",계정매핑!$A$5:$A$504,0)),"미매핑"))</f>
        <v/>
      </c>
      <c r="X833" s="9">
        <f>IF($A833="","",$F833&amp;"")</f>
        <v/>
      </c>
    </row>
    <row r="834">
      <c r="A834" s="75" t="n">
        <v>2025</v>
      </c>
      <c r="B834" s="75" t="n">
        <v>5</v>
      </c>
      <c r="C834" s="75" t="inlineStr">
        <is>
          <t>5100000830</t>
        </is>
      </c>
      <c r="D834" s="78" t="n">
        <v>45784</v>
      </c>
      <c r="E834" s="75" t="inlineStr">
        <is>
          <t>KR</t>
        </is>
      </c>
      <c r="F834" s="75" t="n">
        <v>62701000</v>
      </c>
      <c r="G834" s="75" t="n">
        <v>1502</v>
      </c>
      <c r="H834" s="76" t="n">
        <v>27660000</v>
      </c>
      <c r="I834" s="75" t="inlineStr">
        <is>
          <t>5월 광고 집행 - E미디어</t>
        </is>
      </c>
      <c r="J834" s="75" t="inlineStr">
        <is>
          <t>V10027</t>
        </is>
      </c>
      <c r="K834" s="75" t="inlineStr">
        <is>
          <t>E미디어</t>
        </is>
      </c>
      <c r="M834" s="9">
        <f>IF($A834="","",VALUE($A834&amp;"")*12+VALUE($B834&amp;""))</f>
        <v/>
      </c>
      <c r="N834" s="39">
        <f>IF($A834="","",IFERROR(INDEX(부서매핑!$C$5:$C$504,MATCH($G834&amp;"",부서매핑!$A$5:$A$504,0)),"미매핑"))</f>
        <v/>
      </c>
      <c r="O834" s="9">
        <f>IF($A834="","",N834&amp;"|"&amp;$F834)</f>
        <v/>
      </c>
      <c r="P834" s="77">
        <f>IF($A834="",0,$H834*설정!$C$23)</f>
        <v/>
      </c>
      <c r="Q834" s="39">
        <f>IF($A834="","",IF(O834&lt;&gt;원인분석!$C$9,"",IF(AND(M834&gt;=원인분석!$C$10,M834&lt;=원인분석!$C$11),"당기",IF(AND(M834&gt;=원인분석!$C$12,M834&lt;=원인분석!$C$13),"비교",""))))</f>
        <v/>
      </c>
      <c r="R834" s="9">
        <f>IF(Q834="","",$K834&amp;"")</f>
        <v/>
      </c>
      <c r="S834" s="9">
        <f>IF(Q834="","",IF(MATCH(R834,$R$5:$R$100000,0)=ROW()-4,ROW(),""))</f>
        <v/>
      </c>
      <c r="T834" s="9">
        <f>IF(Q834="당기",ABS(P834)+ROW()/1000000000,"")</f>
        <v/>
      </c>
      <c r="U834" s="9">
        <f>IF(Q834="비교",ABS(P834)+ROW()/1000000000,"")</f>
        <v/>
      </c>
      <c r="V834" s="39">
        <f>IF($A834="","",IF(COUNTIF(변동분석!$E$7:$E$506,O834)&gt;0,"Y","N"))</f>
        <v/>
      </c>
      <c r="W834" s="39">
        <f>IF($A834="","",IFERROR(INDEX(계정매핑!$D$5:$D$504,MATCH($F834&amp;"",계정매핑!$A$5:$A$504,0)),"미매핑"))</f>
        <v/>
      </c>
      <c r="X834" s="9">
        <f>IF($A834="","",$F834&amp;"")</f>
        <v/>
      </c>
    </row>
    <row r="835">
      <c r="A835" s="75" t="n">
        <v>2025</v>
      </c>
      <c r="B835" s="75" t="n">
        <v>5</v>
      </c>
      <c r="C835" s="75" t="inlineStr">
        <is>
          <t>5100000831</t>
        </is>
      </c>
      <c r="D835" s="78" t="n">
        <v>45784</v>
      </c>
      <c r="E835" s="75" t="inlineStr">
        <is>
          <t>KR</t>
        </is>
      </c>
      <c r="F835" s="75" t="n">
        <v>62802000</v>
      </c>
      <c r="G835" s="75" t="n">
        <v>1301</v>
      </c>
      <c r="H835" s="76" t="n">
        <v>6419000</v>
      </c>
      <c r="I835" s="75" t="inlineStr">
        <is>
          <t>5월 위탁교육 - I교육원</t>
        </is>
      </c>
      <c r="J835" s="75" t="inlineStr">
        <is>
          <t>V10015</t>
        </is>
      </c>
      <c r="K835" s="75" t="inlineStr">
        <is>
          <t>I교육원</t>
        </is>
      </c>
      <c r="M835" s="9">
        <f>IF($A835="","",VALUE($A835&amp;"")*12+VALUE($B835&amp;""))</f>
        <v/>
      </c>
      <c r="N835" s="39">
        <f>IF($A835="","",IFERROR(INDEX(부서매핑!$C$5:$C$504,MATCH($G835&amp;"",부서매핑!$A$5:$A$504,0)),"미매핑"))</f>
        <v/>
      </c>
      <c r="O835" s="9">
        <f>IF($A835="","",N835&amp;"|"&amp;$F835)</f>
        <v/>
      </c>
      <c r="P835" s="77">
        <f>IF($A835="",0,$H835*설정!$C$23)</f>
        <v/>
      </c>
      <c r="Q835" s="39">
        <f>IF($A835="","",IF(O835&lt;&gt;원인분석!$C$9,"",IF(AND(M835&gt;=원인분석!$C$10,M835&lt;=원인분석!$C$11),"당기",IF(AND(M835&gt;=원인분석!$C$12,M835&lt;=원인분석!$C$13),"비교",""))))</f>
        <v/>
      </c>
      <c r="R835" s="9">
        <f>IF(Q835="","",$K835&amp;"")</f>
        <v/>
      </c>
      <c r="S835" s="9">
        <f>IF(Q835="","",IF(MATCH(R835,$R$5:$R$100000,0)=ROW()-4,ROW(),""))</f>
        <v/>
      </c>
      <c r="T835" s="9">
        <f>IF(Q835="당기",ABS(P835)+ROW()/1000000000,"")</f>
        <v/>
      </c>
      <c r="U835" s="9">
        <f>IF(Q835="비교",ABS(P835)+ROW()/1000000000,"")</f>
        <v/>
      </c>
      <c r="V835" s="39">
        <f>IF($A835="","",IF(COUNTIF(변동분석!$E$7:$E$506,O835)&gt;0,"Y","N"))</f>
        <v/>
      </c>
      <c r="W835" s="39">
        <f>IF($A835="","",IFERROR(INDEX(계정매핑!$D$5:$D$504,MATCH($F835&amp;"",계정매핑!$A$5:$A$504,0)),"미매핑"))</f>
        <v/>
      </c>
      <c r="X835" s="9">
        <f>IF($A835="","",$F835&amp;"")</f>
        <v/>
      </c>
    </row>
    <row r="836">
      <c r="A836" s="75" t="n">
        <v>2025</v>
      </c>
      <c r="B836" s="75" t="n">
        <v>5</v>
      </c>
      <c r="C836" s="75" t="inlineStr">
        <is>
          <t>5100000832</t>
        </is>
      </c>
      <c r="D836" s="78" t="n">
        <v>45784</v>
      </c>
      <c r="E836" s="75" t="inlineStr">
        <is>
          <t>KR</t>
        </is>
      </c>
      <c r="F836" s="75" t="n">
        <v>62902000</v>
      </c>
      <c r="G836" s="75" t="n">
        <v>1801</v>
      </c>
      <c r="H836" s="76" t="n">
        <v>1775000</v>
      </c>
      <c r="I836" s="75" t="inlineStr">
        <is>
          <t>5월 콜 위탁 수수료(건별)</t>
        </is>
      </c>
      <c r="J836" s="75" t="inlineStr">
        <is>
          <t>V10013</t>
        </is>
      </c>
      <c r="K836" s="75" t="inlineStr">
        <is>
          <t>J콜센터</t>
        </is>
      </c>
      <c r="M836" s="9">
        <f>IF($A836="","",VALUE($A836&amp;"")*12+VALUE($B836&amp;""))</f>
        <v/>
      </c>
      <c r="N836" s="39">
        <f>IF($A836="","",IFERROR(INDEX(부서매핑!$C$5:$C$504,MATCH($G836&amp;"",부서매핑!$A$5:$A$504,0)),"미매핑"))</f>
        <v/>
      </c>
      <c r="O836" s="9">
        <f>IF($A836="","",N836&amp;"|"&amp;$F836)</f>
        <v/>
      </c>
      <c r="P836" s="77">
        <f>IF($A836="",0,$H836*설정!$C$23)</f>
        <v/>
      </c>
      <c r="Q836" s="39">
        <f>IF($A836="","",IF(O836&lt;&gt;원인분석!$C$9,"",IF(AND(M836&gt;=원인분석!$C$10,M836&lt;=원인분석!$C$11),"당기",IF(AND(M836&gt;=원인분석!$C$12,M836&lt;=원인분석!$C$13),"비교",""))))</f>
        <v/>
      </c>
      <c r="R836" s="9">
        <f>IF(Q836="","",$K836&amp;"")</f>
        <v/>
      </c>
      <c r="S836" s="9">
        <f>IF(Q836="","",IF(MATCH(R836,$R$5:$R$100000,0)=ROW()-4,ROW(),""))</f>
        <v/>
      </c>
      <c r="T836" s="9">
        <f>IF(Q836="당기",ABS(P836)+ROW()/1000000000,"")</f>
        <v/>
      </c>
      <c r="U836" s="9">
        <f>IF(Q836="비교",ABS(P836)+ROW()/1000000000,"")</f>
        <v/>
      </c>
      <c r="V836" s="39">
        <f>IF($A836="","",IF(COUNTIF(변동분석!$E$7:$E$506,O836)&gt;0,"Y","N"))</f>
        <v/>
      </c>
      <c r="W836" s="39">
        <f>IF($A836="","",IFERROR(INDEX(계정매핑!$D$5:$D$504,MATCH($F836&amp;"",계정매핑!$A$5:$A$504,0)),"미매핑"))</f>
        <v/>
      </c>
      <c r="X836" s="9">
        <f>IF($A836="","",$F836&amp;"")</f>
        <v/>
      </c>
    </row>
    <row r="837">
      <c r="A837" s="75" t="n">
        <v>2025</v>
      </c>
      <c r="B837" s="75" t="n">
        <v>5</v>
      </c>
      <c r="C837" s="75" t="inlineStr">
        <is>
          <t>5100000833</t>
        </is>
      </c>
      <c r="D837" s="78" t="n">
        <v>45785</v>
      </c>
      <c r="E837" s="75" t="inlineStr">
        <is>
          <t>KR</t>
        </is>
      </c>
      <c r="F837" s="75" t="n">
        <v>62101000</v>
      </c>
      <c r="G837" s="75" t="n">
        <v>1502</v>
      </c>
      <c r="H837" s="76" t="n">
        <v>329000</v>
      </c>
      <c r="I837" s="75" t="inlineStr">
        <is>
          <t>5월 국내출장 - M항공</t>
        </is>
      </c>
      <c r="J837" s="75" t="inlineStr">
        <is>
          <t>V10001</t>
        </is>
      </c>
      <c r="K837" s="75" t="inlineStr">
        <is>
          <t>M항공</t>
        </is>
      </c>
      <c r="M837" s="9">
        <f>IF($A837="","",VALUE($A837&amp;"")*12+VALUE($B837&amp;""))</f>
        <v/>
      </c>
      <c r="N837" s="39">
        <f>IF($A837="","",IFERROR(INDEX(부서매핑!$C$5:$C$504,MATCH($G837&amp;"",부서매핑!$A$5:$A$504,0)),"미매핑"))</f>
        <v/>
      </c>
      <c r="O837" s="9">
        <f>IF($A837="","",N837&amp;"|"&amp;$F837)</f>
        <v/>
      </c>
      <c r="P837" s="77">
        <f>IF($A837="",0,$H837*설정!$C$23)</f>
        <v/>
      </c>
      <c r="Q837" s="39">
        <f>IF($A837="","",IF(O837&lt;&gt;원인분석!$C$9,"",IF(AND(M837&gt;=원인분석!$C$10,M837&lt;=원인분석!$C$11),"당기",IF(AND(M837&gt;=원인분석!$C$12,M837&lt;=원인분석!$C$13),"비교",""))))</f>
        <v/>
      </c>
      <c r="R837" s="9">
        <f>IF(Q837="","",$K837&amp;"")</f>
        <v/>
      </c>
      <c r="S837" s="9">
        <f>IF(Q837="","",IF(MATCH(R837,$R$5:$R$100000,0)=ROW()-4,ROW(),""))</f>
        <v/>
      </c>
      <c r="T837" s="9">
        <f>IF(Q837="당기",ABS(P837)+ROW()/1000000000,"")</f>
        <v/>
      </c>
      <c r="U837" s="9">
        <f>IF(Q837="비교",ABS(P837)+ROW()/1000000000,"")</f>
        <v/>
      </c>
      <c r="V837" s="39">
        <f>IF($A837="","",IF(COUNTIF(변동분석!$E$7:$E$506,O837)&gt;0,"Y","N"))</f>
        <v/>
      </c>
      <c r="W837" s="39">
        <f>IF($A837="","",IFERROR(INDEX(계정매핑!$D$5:$D$504,MATCH($F837&amp;"",계정매핑!$A$5:$A$504,0)),"미매핑"))</f>
        <v/>
      </c>
      <c r="X837" s="9">
        <f>IF($A837="","",$F837&amp;"")</f>
        <v/>
      </c>
    </row>
    <row r="838">
      <c r="A838" s="75" t="n">
        <v>2025</v>
      </c>
      <c r="B838" s="75" t="n">
        <v>5</v>
      </c>
      <c r="C838" s="75" t="inlineStr">
        <is>
          <t>5100000834</t>
        </is>
      </c>
      <c r="D838" s="78" t="n">
        <v>45785</v>
      </c>
      <c r="E838" s="75" t="inlineStr">
        <is>
          <t>KR</t>
        </is>
      </c>
      <c r="F838" s="75" t="n">
        <v>62101000</v>
      </c>
      <c r="G838" s="75" t="n">
        <v>1801</v>
      </c>
      <c r="H838" s="76" t="n">
        <v>300000</v>
      </c>
      <c r="I838" s="75" t="inlineStr">
        <is>
          <t>5월 국내출장 - M항공</t>
        </is>
      </c>
      <c r="J838" s="75" t="inlineStr">
        <is>
          <t>V10001</t>
        </is>
      </c>
      <c r="K838" s="75" t="inlineStr">
        <is>
          <t>M항공</t>
        </is>
      </c>
      <c r="M838" s="9">
        <f>IF($A838="","",VALUE($A838&amp;"")*12+VALUE($B838&amp;""))</f>
        <v/>
      </c>
      <c r="N838" s="39">
        <f>IF($A838="","",IFERROR(INDEX(부서매핑!$C$5:$C$504,MATCH($G838&amp;"",부서매핑!$A$5:$A$504,0)),"미매핑"))</f>
        <v/>
      </c>
      <c r="O838" s="9">
        <f>IF($A838="","",N838&amp;"|"&amp;$F838)</f>
        <v/>
      </c>
      <c r="P838" s="77">
        <f>IF($A838="",0,$H838*설정!$C$23)</f>
        <v/>
      </c>
      <c r="Q838" s="39">
        <f>IF($A838="","",IF(O838&lt;&gt;원인분석!$C$9,"",IF(AND(M838&gt;=원인분석!$C$10,M838&lt;=원인분석!$C$11),"당기",IF(AND(M838&gt;=원인분석!$C$12,M838&lt;=원인분석!$C$13),"비교",""))))</f>
        <v/>
      </c>
      <c r="R838" s="9">
        <f>IF(Q838="","",$K838&amp;"")</f>
        <v/>
      </c>
      <c r="S838" s="9">
        <f>IF(Q838="","",IF(MATCH(R838,$R$5:$R$100000,0)=ROW()-4,ROW(),""))</f>
        <v/>
      </c>
      <c r="T838" s="9">
        <f>IF(Q838="당기",ABS(P838)+ROW()/1000000000,"")</f>
        <v/>
      </c>
      <c r="U838" s="9">
        <f>IF(Q838="비교",ABS(P838)+ROW()/1000000000,"")</f>
        <v/>
      </c>
      <c r="V838" s="39">
        <f>IF($A838="","",IF(COUNTIF(변동분석!$E$7:$E$506,O838)&gt;0,"Y","N"))</f>
        <v/>
      </c>
      <c r="W838" s="39">
        <f>IF($A838="","",IFERROR(INDEX(계정매핑!$D$5:$D$504,MATCH($F838&amp;"",계정매핑!$A$5:$A$504,0)),"미매핑"))</f>
        <v/>
      </c>
      <c r="X838" s="9">
        <f>IF($A838="","",$F838&amp;"")</f>
        <v/>
      </c>
    </row>
    <row r="839">
      <c r="A839" s="75" t="n">
        <v>2025</v>
      </c>
      <c r="B839" s="75" t="n">
        <v>5</v>
      </c>
      <c r="C839" s="75" t="inlineStr">
        <is>
          <t>5100000835</t>
        </is>
      </c>
      <c r="D839" s="78" t="n">
        <v>45785</v>
      </c>
      <c r="E839" s="75" t="inlineStr">
        <is>
          <t>KR</t>
        </is>
      </c>
      <c r="F839" s="75" t="n">
        <v>62102000</v>
      </c>
      <c r="G839" s="75" t="n">
        <v>1301</v>
      </c>
      <c r="H839" s="76" t="n">
        <v>72000</v>
      </c>
      <c r="I839" s="75" t="inlineStr">
        <is>
          <t>5월 해외출장 - M항공</t>
        </is>
      </c>
      <c r="J839" s="75" t="inlineStr">
        <is>
          <t>V10001</t>
        </is>
      </c>
      <c r="K839" s="75" t="inlineStr">
        <is>
          <t>M항공</t>
        </is>
      </c>
      <c r="M839" s="9">
        <f>IF($A839="","",VALUE($A839&amp;"")*12+VALUE($B839&amp;""))</f>
        <v/>
      </c>
      <c r="N839" s="39">
        <f>IF($A839="","",IFERROR(INDEX(부서매핑!$C$5:$C$504,MATCH($G839&amp;"",부서매핑!$A$5:$A$504,0)),"미매핑"))</f>
        <v/>
      </c>
      <c r="O839" s="9">
        <f>IF($A839="","",N839&amp;"|"&amp;$F839)</f>
        <v/>
      </c>
      <c r="P839" s="77">
        <f>IF($A839="",0,$H839*설정!$C$23)</f>
        <v/>
      </c>
      <c r="Q839" s="39">
        <f>IF($A839="","",IF(O839&lt;&gt;원인분석!$C$9,"",IF(AND(M839&gt;=원인분석!$C$10,M839&lt;=원인분석!$C$11),"당기",IF(AND(M839&gt;=원인분석!$C$12,M839&lt;=원인분석!$C$13),"비교",""))))</f>
        <v/>
      </c>
      <c r="R839" s="9">
        <f>IF(Q839="","",$K839&amp;"")</f>
        <v/>
      </c>
      <c r="S839" s="9">
        <f>IF(Q839="","",IF(MATCH(R839,$R$5:$R$100000,0)=ROW()-4,ROW(),""))</f>
        <v/>
      </c>
      <c r="T839" s="9">
        <f>IF(Q839="당기",ABS(P839)+ROW()/1000000000,"")</f>
        <v/>
      </c>
      <c r="U839" s="9">
        <f>IF(Q839="비교",ABS(P839)+ROW()/1000000000,"")</f>
        <v/>
      </c>
      <c r="V839" s="39">
        <f>IF($A839="","",IF(COUNTIF(변동분석!$E$7:$E$506,O839)&gt;0,"Y","N"))</f>
        <v/>
      </c>
      <c r="W839" s="39">
        <f>IF($A839="","",IFERROR(INDEX(계정매핑!$D$5:$D$504,MATCH($F839&amp;"",계정매핑!$A$5:$A$504,0)),"미매핑"))</f>
        <v/>
      </c>
      <c r="X839" s="9">
        <f>IF($A839="","",$F839&amp;"")</f>
        <v/>
      </c>
    </row>
    <row r="840">
      <c r="A840" s="75" t="n">
        <v>2025</v>
      </c>
      <c r="B840" s="75" t="n">
        <v>5</v>
      </c>
      <c r="C840" s="75" t="inlineStr">
        <is>
          <t>5100000836</t>
        </is>
      </c>
      <c r="D840" s="78" t="n">
        <v>45785</v>
      </c>
      <c r="E840" s="75" t="inlineStr">
        <is>
          <t>KR</t>
        </is>
      </c>
      <c r="F840" s="75" t="n">
        <v>62201000</v>
      </c>
      <c r="G840" s="75" t="n">
        <v>1101</v>
      </c>
      <c r="H840" s="76" t="n">
        <v>213000</v>
      </c>
      <c r="I840" s="75" t="inlineStr">
        <is>
          <t>5월 통신요금 - P통신</t>
        </is>
      </c>
      <c r="J840" s="75" t="inlineStr">
        <is>
          <t>V10011</t>
        </is>
      </c>
      <c r="K840" s="75" t="inlineStr">
        <is>
          <t>P통신</t>
        </is>
      </c>
      <c r="M840" s="9">
        <f>IF($A840="","",VALUE($A840&amp;"")*12+VALUE($B840&amp;""))</f>
        <v/>
      </c>
      <c r="N840" s="39">
        <f>IF($A840="","",IFERROR(INDEX(부서매핑!$C$5:$C$504,MATCH($G840&amp;"",부서매핑!$A$5:$A$504,0)),"미매핑"))</f>
        <v/>
      </c>
      <c r="O840" s="9">
        <f>IF($A840="","",N840&amp;"|"&amp;$F840)</f>
        <v/>
      </c>
      <c r="P840" s="77">
        <f>IF($A840="",0,$H840*설정!$C$23)</f>
        <v/>
      </c>
      <c r="Q840" s="39">
        <f>IF($A840="","",IF(O840&lt;&gt;원인분석!$C$9,"",IF(AND(M840&gt;=원인분석!$C$10,M840&lt;=원인분석!$C$11),"당기",IF(AND(M840&gt;=원인분석!$C$12,M840&lt;=원인분석!$C$13),"비교",""))))</f>
        <v/>
      </c>
      <c r="R840" s="9">
        <f>IF(Q840="","",$K840&amp;"")</f>
        <v/>
      </c>
      <c r="S840" s="9">
        <f>IF(Q840="","",IF(MATCH(R840,$R$5:$R$100000,0)=ROW()-4,ROW(),""))</f>
        <v/>
      </c>
      <c r="T840" s="9">
        <f>IF(Q840="당기",ABS(P840)+ROW()/1000000000,"")</f>
        <v/>
      </c>
      <c r="U840" s="9">
        <f>IF(Q840="비교",ABS(P840)+ROW()/1000000000,"")</f>
        <v/>
      </c>
      <c r="V840" s="39">
        <f>IF($A840="","",IF(COUNTIF(변동분석!$E$7:$E$506,O840)&gt;0,"Y","N"))</f>
        <v/>
      </c>
      <c r="W840" s="39">
        <f>IF($A840="","",IFERROR(INDEX(계정매핑!$D$5:$D$504,MATCH($F840&amp;"",계정매핑!$A$5:$A$504,0)),"미매핑"))</f>
        <v/>
      </c>
      <c r="X840" s="9">
        <f>IF($A840="","",$F840&amp;"")</f>
        <v/>
      </c>
    </row>
    <row r="841">
      <c r="A841" s="75" t="n">
        <v>2025</v>
      </c>
      <c r="B841" s="75" t="n">
        <v>5</v>
      </c>
      <c r="C841" s="75" t="inlineStr">
        <is>
          <t>5100000837</t>
        </is>
      </c>
      <c r="D841" s="78" t="n">
        <v>45785</v>
      </c>
      <c r="E841" s="75" t="inlineStr">
        <is>
          <t>KR</t>
        </is>
      </c>
      <c r="F841" s="75" t="n">
        <v>62301000</v>
      </c>
      <c r="G841" s="75" t="n">
        <v>1401</v>
      </c>
      <c r="H841" s="76" t="n">
        <v>197000</v>
      </c>
      <c r="I841" s="75" t="inlineStr">
        <is>
          <t>5월 소모품 구입 - Q오피스</t>
        </is>
      </c>
      <c r="J841" s="75" t="inlineStr">
        <is>
          <t>V10003</t>
        </is>
      </c>
      <c r="K841" s="75" t="inlineStr">
        <is>
          <t>Q오피스</t>
        </is>
      </c>
      <c r="M841" s="9">
        <f>IF($A841="","",VALUE($A841&amp;"")*12+VALUE($B841&amp;""))</f>
        <v/>
      </c>
      <c r="N841" s="39">
        <f>IF($A841="","",IFERROR(INDEX(부서매핑!$C$5:$C$504,MATCH($G841&amp;"",부서매핑!$A$5:$A$504,0)),"미매핑"))</f>
        <v/>
      </c>
      <c r="O841" s="9">
        <f>IF($A841="","",N841&amp;"|"&amp;$F841)</f>
        <v/>
      </c>
      <c r="P841" s="77">
        <f>IF($A841="",0,$H841*설정!$C$23)</f>
        <v/>
      </c>
      <c r="Q841" s="39">
        <f>IF($A841="","",IF(O841&lt;&gt;원인분석!$C$9,"",IF(AND(M841&gt;=원인분석!$C$10,M841&lt;=원인분석!$C$11),"당기",IF(AND(M841&gt;=원인분석!$C$12,M841&lt;=원인분석!$C$13),"비교",""))))</f>
        <v/>
      </c>
      <c r="R841" s="9">
        <f>IF(Q841="","",$K841&amp;"")</f>
        <v/>
      </c>
      <c r="S841" s="9">
        <f>IF(Q841="","",IF(MATCH(R841,$R$5:$R$100000,0)=ROW()-4,ROW(),""))</f>
        <v/>
      </c>
      <c r="T841" s="9">
        <f>IF(Q841="당기",ABS(P841)+ROW()/1000000000,"")</f>
        <v/>
      </c>
      <c r="U841" s="9">
        <f>IF(Q841="비교",ABS(P841)+ROW()/1000000000,"")</f>
        <v/>
      </c>
      <c r="V841" s="39">
        <f>IF($A841="","",IF(COUNTIF(변동분석!$E$7:$E$506,O841)&gt;0,"Y","N"))</f>
        <v/>
      </c>
      <c r="W841" s="39">
        <f>IF($A841="","",IFERROR(INDEX(계정매핑!$D$5:$D$504,MATCH($F841&amp;"",계정매핑!$A$5:$A$504,0)),"미매핑"))</f>
        <v/>
      </c>
      <c r="X841" s="9">
        <f>IF($A841="","",$F841&amp;"")</f>
        <v/>
      </c>
    </row>
    <row r="842">
      <c r="A842" s="75" t="n">
        <v>2025</v>
      </c>
      <c r="B842" s="75" t="n">
        <v>5</v>
      </c>
      <c r="C842" s="75" t="inlineStr">
        <is>
          <t>5100000838</t>
        </is>
      </c>
      <c r="D842" s="78" t="n">
        <v>45785</v>
      </c>
      <c r="E842" s="75" t="inlineStr">
        <is>
          <t>KR</t>
        </is>
      </c>
      <c r="F842" s="75" t="n">
        <v>62501000</v>
      </c>
      <c r="G842" s="75" t="n">
        <v>1601</v>
      </c>
      <c r="H842" s="76" t="n">
        <v>578000</v>
      </c>
      <c r="I842" s="75" t="inlineStr">
        <is>
          <t>5월 회의 다과 - T케이터링</t>
        </is>
      </c>
      <c r="J842" s="75" t="inlineStr">
        <is>
          <t>V10005</t>
        </is>
      </c>
      <c r="K842" s="75" t="inlineStr">
        <is>
          <t>T케이터링</t>
        </is>
      </c>
      <c r="M842" s="9">
        <f>IF($A842="","",VALUE($A842&amp;"")*12+VALUE($B842&amp;""))</f>
        <v/>
      </c>
      <c r="N842" s="39">
        <f>IF($A842="","",IFERROR(INDEX(부서매핑!$C$5:$C$504,MATCH($G842&amp;"",부서매핑!$A$5:$A$504,0)),"미매핑"))</f>
        <v/>
      </c>
      <c r="O842" s="9">
        <f>IF($A842="","",N842&amp;"|"&amp;$F842)</f>
        <v/>
      </c>
      <c r="P842" s="77">
        <f>IF($A842="",0,$H842*설정!$C$23)</f>
        <v/>
      </c>
      <c r="Q842" s="39">
        <f>IF($A842="","",IF(O842&lt;&gt;원인분석!$C$9,"",IF(AND(M842&gt;=원인분석!$C$10,M842&lt;=원인분석!$C$11),"당기",IF(AND(M842&gt;=원인분석!$C$12,M842&lt;=원인분석!$C$13),"비교",""))))</f>
        <v/>
      </c>
      <c r="R842" s="9">
        <f>IF(Q842="","",$K842&amp;"")</f>
        <v/>
      </c>
      <c r="S842" s="9">
        <f>IF(Q842="","",IF(MATCH(R842,$R$5:$R$100000,0)=ROW()-4,ROW(),""))</f>
        <v/>
      </c>
      <c r="T842" s="9">
        <f>IF(Q842="당기",ABS(P842)+ROW()/1000000000,"")</f>
        <v/>
      </c>
      <c r="U842" s="9">
        <f>IF(Q842="비교",ABS(P842)+ROW()/1000000000,"")</f>
        <v/>
      </c>
      <c r="V842" s="39">
        <f>IF($A842="","",IF(COUNTIF(변동분석!$E$7:$E$506,O842)&gt;0,"Y","N"))</f>
        <v/>
      </c>
      <c r="W842" s="39">
        <f>IF($A842="","",IFERROR(INDEX(계정매핑!$D$5:$D$504,MATCH($F842&amp;"",계정매핑!$A$5:$A$504,0)),"미매핑"))</f>
        <v/>
      </c>
      <c r="X842" s="9">
        <f>IF($A842="","",$F842&amp;"")</f>
        <v/>
      </c>
    </row>
    <row r="843">
      <c r="A843" s="75" t="n">
        <v>2025</v>
      </c>
      <c r="B843" s="75" t="n">
        <v>5</v>
      </c>
      <c r="C843" s="75" t="inlineStr">
        <is>
          <t>5100000839</t>
        </is>
      </c>
      <c r="D843" s="78" t="n">
        <v>45785</v>
      </c>
      <c r="E843" s="75" t="inlineStr">
        <is>
          <t>KR</t>
        </is>
      </c>
      <c r="F843" s="75" t="n">
        <v>62901000</v>
      </c>
      <c r="G843" s="75" t="n">
        <v>1101</v>
      </c>
      <c r="H843" s="76" t="n">
        <v>2075000</v>
      </c>
      <c r="I843" s="75" t="inlineStr">
        <is>
          <t>5월 자문 수수료 - W컨설팅</t>
        </is>
      </c>
      <c r="J843" s="75" t="inlineStr">
        <is>
          <t>V10009</t>
        </is>
      </c>
      <c r="K843" s="75" t="inlineStr">
        <is>
          <t>W컨설팅</t>
        </is>
      </c>
      <c r="M843" s="9">
        <f>IF($A843="","",VALUE($A843&amp;"")*12+VALUE($B843&amp;""))</f>
        <v/>
      </c>
      <c r="N843" s="39">
        <f>IF($A843="","",IFERROR(INDEX(부서매핑!$C$5:$C$504,MATCH($G843&amp;"",부서매핑!$A$5:$A$504,0)),"미매핑"))</f>
        <v/>
      </c>
      <c r="O843" s="9">
        <f>IF($A843="","",N843&amp;"|"&amp;$F843)</f>
        <v/>
      </c>
      <c r="P843" s="77">
        <f>IF($A843="",0,$H843*설정!$C$23)</f>
        <v/>
      </c>
      <c r="Q843" s="39">
        <f>IF($A843="","",IF(O843&lt;&gt;원인분석!$C$9,"",IF(AND(M843&gt;=원인분석!$C$10,M843&lt;=원인분석!$C$11),"당기",IF(AND(M843&gt;=원인분석!$C$12,M843&lt;=원인분석!$C$13),"비교",""))))</f>
        <v/>
      </c>
      <c r="R843" s="9">
        <f>IF(Q843="","",$K843&amp;"")</f>
        <v/>
      </c>
      <c r="S843" s="9">
        <f>IF(Q843="","",IF(MATCH(R843,$R$5:$R$100000,0)=ROW()-4,ROW(),""))</f>
        <v/>
      </c>
      <c r="T843" s="9">
        <f>IF(Q843="당기",ABS(P843)+ROW()/1000000000,"")</f>
        <v/>
      </c>
      <c r="U843" s="9">
        <f>IF(Q843="비교",ABS(P843)+ROW()/1000000000,"")</f>
        <v/>
      </c>
      <c r="V843" s="39">
        <f>IF($A843="","",IF(COUNTIF(변동분석!$E$7:$E$506,O843)&gt;0,"Y","N"))</f>
        <v/>
      </c>
      <c r="W843" s="39">
        <f>IF($A843="","",IFERROR(INDEX(계정매핑!$D$5:$D$504,MATCH($F843&amp;"",계정매핑!$A$5:$A$504,0)),"미매핑"))</f>
        <v/>
      </c>
      <c r="X843" s="9">
        <f>IF($A843="","",$F843&amp;"")</f>
        <v/>
      </c>
    </row>
    <row r="844">
      <c r="A844" s="75" t="n">
        <v>2025</v>
      </c>
      <c r="B844" s="75" t="n">
        <v>5</v>
      </c>
      <c r="C844" s="75" t="inlineStr">
        <is>
          <t>5100000840</t>
        </is>
      </c>
      <c r="D844" s="78" t="n">
        <v>45786</v>
      </c>
      <c r="E844" s="75" t="inlineStr">
        <is>
          <t>KR</t>
        </is>
      </c>
      <c r="F844" s="75" t="n">
        <v>62101000</v>
      </c>
      <c r="G844" s="75" t="n">
        <v>1401</v>
      </c>
      <c r="H844" s="76" t="n">
        <v>264000</v>
      </c>
      <c r="I844" s="75" t="inlineStr">
        <is>
          <t>5월 국내출장 - M항공</t>
        </is>
      </c>
      <c r="J844" s="75" t="inlineStr">
        <is>
          <t>V10001</t>
        </is>
      </c>
      <c r="K844" s="75" t="inlineStr">
        <is>
          <t>M항공</t>
        </is>
      </c>
      <c r="M844" s="9">
        <f>IF($A844="","",VALUE($A844&amp;"")*12+VALUE($B844&amp;""))</f>
        <v/>
      </c>
      <c r="N844" s="39">
        <f>IF($A844="","",IFERROR(INDEX(부서매핑!$C$5:$C$504,MATCH($G844&amp;"",부서매핑!$A$5:$A$504,0)),"미매핑"))</f>
        <v/>
      </c>
      <c r="O844" s="9">
        <f>IF($A844="","",N844&amp;"|"&amp;$F844)</f>
        <v/>
      </c>
      <c r="P844" s="77">
        <f>IF($A844="",0,$H844*설정!$C$23)</f>
        <v/>
      </c>
      <c r="Q844" s="39">
        <f>IF($A844="","",IF(O844&lt;&gt;원인분석!$C$9,"",IF(AND(M844&gt;=원인분석!$C$10,M844&lt;=원인분석!$C$11),"당기",IF(AND(M844&gt;=원인분석!$C$12,M844&lt;=원인분석!$C$13),"비교",""))))</f>
        <v/>
      </c>
      <c r="R844" s="9">
        <f>IF(Q844="","",$K844&amp;"")</f>
        <v/>
      </c>
      <c r="S844" s="9">
        <f>IF(Q844="","",IF(MATCH(R844,$R$5:$R$100000,0)=ROW()-4,ROW(),""))</f>
        <v/>
      </c>
      <c r="T844" s="9">
        <f>IF(Q844="당기",ABS(P844)+ROW()/1000000000,"")</f>
        <v/>
      </c>
      <c r="U844" s="9">
        <f>IF(Q844="비교",ABS(P844)+ROW()/1000000000,"")</f>
        <v/>
      </c>
      <c r="V844" s="39">
        <f>IF($A844="","",IF(COUNTIF(변동분석!$E$7:$E$506,O844)&gt;0,"Y","N"))</f>
        <v/>
      </c>
      <c r="W844" s="39">
        <f>IF($A844="","",IFERROR(INDEX(계정매핑!$D$5:$D$504,MATCH($F844&amp;"",계정매핑!$A$5:$A$504,0)),"미매핑"))</f>
        <v/>
      </c>
      <c r="X844" s="9">
        <f>IF($A844="","",$F844&amp;"")</f>
        <v/>
      </c>
    </row>
    <row r="845">
      <c r="A845" s="75" t="n">
        <v>2025</v>
      </c>
      <c r="B845" s="75" t="n">
        <v>5</v>
      </c>
      <c r="C845" s="75" t="inlineStr">
        <is>
          <t>5100000841</t>
        </is>
      </c>
      <c r="D845" s="78" t="n">
        <v>45786</v>
      </c>
      <c r="E845" s="75" t="inlineStr">
        <is>
          <t>KR</t>
        </is>
      </c>
      <c r="F845" s="75" t="n">
        <v>62101000</v>
      </c>
      <c r="G845" s="75" t="n">
        <v>1701</v>
      </c>
      <c r="H845" s="76" t="n">
        <v>169000</v>
      </c>
      <c r="I845" s="75" t="inlineStr">
        <is>
          <t>5월 국내출장 - L여행사</t>
        </is>
      </c>
      <c r="J845" s="75" t="inlineStr">
        <is>
          <t>V10014</t>
        </is>
      </c>
      <c r="K845" s="75" t="inlineStr">
        <is>
          <t>L여행사</t>
        </is>
      </c>
      <c r="M845" s="9">
        <f>IF($A845="","",VALUE($A845&amp;"")*12+VALUE($B845&amp;""))</f>
        <v/>
      </c>
      <c r="N845" s="39">
        <f>IF($A845="","",IFERROR(INDEX(부서매핑!$C$5:$C$504,MATCH($G845&amp;"",부서매핑!$A$5:$A$504,0)),"미매핑"))</f>
        <v/>
      </c>
      <c r="O845" s="9">
        <f>IF($A845="","",N845&amp;"|"&amp;$F845)</f>
        <v/>
      </c>
      <c r="P845" s="77">
        <f>IF($A845="",0,$H845*설정!$C$23)</f>
        <v/>
      </c>
      <c r="Q845" s="39">
        <f>IF($A845="","",IF(O845&lt;&gt;원인분석!$C$9,"",IF(AND(M845&gt;=원인분석!$C$10,M845&lt;=원인분석!$C$11),"당기",IF(AND(M845&gt;=원인분석!$C$12,M845&lt;=원인분석!$C$13),"비교",""))))</f>
        <v/>
      </c>
      <c r="R845" s="9">
        <f>IF(Q845="","",$K845&amp;"")</f>
        <v/>
      </c>
      <c r="S845" s="9">
        <f>IF(Q845="","",IF(MATCH(R845,$R$5:$R$100000,0)=ROW()-4,ROW(),""))</f>
        <v/>
      </c>
      <c r="T845" s="9">
        <f>IF(Q845="당기",ABS(P845)+ROW()/1000000000,"")</f>
        <v/>
      </c>
      <c r="U845" s="9">
        <f>IF(Q845="비교",ABS(P845)+ROW()/1000000000,"")</f>
        <v/>
      </c>
      <c r="V845" s="39">
        <f>IF($A845="","",IF(COUNTIF(변동분석!$E$7:$E$506,O845)&gt;0,"Y","N"))</f>
        <v/>
      </c>
      <c r="W845" s="39">
        <f>IF($A845="","",IFERROR(INDEX(계정매핑!$D$5:$D$504,MATCH($F845&amp;"",계정매핑!$A$5:$A$504,0)),"미매핑"))</f>
        <v/>
      </c>
      <c r="X845" s="9">
        <f>IF($A845="","",$F845&amp;"")</f>
        <v/>
      </c>
    </row>
    <row r="846">
      <c r="A846" s="75" t="n">
        <v>2025</v>
      </c>
      <c r="B846" s="75" t="n">
        <v>5</v>
      </c>
      <c r="C846" s="75" t="inlineStr">
        <is>
          <t>5100000842</t>
        </is>
      </c>
      <c r="D846" s="78" t="n">
        <v>45786</v>
      </c>
      <c r="E846" s="75" t="inlineStr">
        <is>
          <t>KR</t>
        </is>
      </c>
      <c r="F846" s="75" t="n">
        <v>62102000</v>
      </c>
      <c r="G846" s="75" t="n">
        <v>1602</v>
      </c>
      <c r="H846" s="76" t="n">
        <v>320000</v>
      </c>
      <c r="I846" s="75" t="inlineStr">
        <is>
          <t>5월 해외출장 - N호텔</t>
        </is>
      </c>
      <c r="J846" s="75" t="inlineStr">
        <is>
          <t>V10007</t>
        </is>
      </c>
      <c r="K846" s="75" t="inlineStr">
        <is>
          <t>N호텔</t>
        </is>
      </c>
      <c r="M846" s="9">
        <f>IF($A846="","",VALUE($A846&amp;"")*12+VALUE($B846&amp;""))</f>
        <v/>
      </c>
      <c r="N846" s="39">
        <f>IF($A846="","",IFERROR(INDEX(부서매핑!$C$5:$C$504,MATCH($G846&amp;"",부서매핑!$A$5:$A$504,0)),"미매핑"))</f>
        <v/>
      </c>
      <c r="O846" s="9">
        <f>IF($A846="","",N846&amp;"|"&amp;$F846)</f>
        <v/>
      </c>
      <c r="P846" s="77">
        <f>IF($A846="",0,$H846*설정!$C$23)</f>
        <v/>
      </c>
      <c r="Q846" s="39">
        <f>IF($A846="","",IF(O846&lt;&gt;원인분석!$C$9,"",IF(AND(M846&gt;=원인분석!$C$10,M846&lt;=원인분석!$C$11),"당기",IF(AND(M846&gt;=원인분석!$C$12,M846&lt;=원인분석!$C$13),"비교",""))))</f>
        <v/>
      </c>
      <c r="R846" s="9">
        <f>IF(Q846="","",$K846&amp;"")</f>
        <v/>
      </c>
      <c r="S846" s="9">
        <f>IF(Q846="","",IF(MATCH(R846,$R$5:$R$100000,0)=ROW()-4,ROW(),""))</f>
        <v/>
      </c>
      <c r="T846" s="9">
        <f>IF(Q846="당기",ABS(P846)+ROW()/1000000000,"")</f>
        <v/>
      </c>
      <c r="U846" s="9">
        <f>IF(Q846="비교",ABS(P846)+ROW()/1000000000,"")</f>
        <v/>
      </c>
      <c r="V846" s="39">
        <f>IF($A846="","",IF(COUNTIF(변동분석!$E$7:$E$506,O846)&gt;0,"Y","N"))</f>
        <v/>
      </c>
      <c r="W846" s="39">
        <f>IF($A846="","",IFERROR(INDEX(계정매핑!$D$5:$D$504,MATCH($F846&amp;"",계정매핑!$A$5:$A$504,0)),"미매핑"))</f>
        <v/>
      </c>
      <c r="X846" s="9">
        <f>IF($A846="","",$F846&amp;"")</f>
        <v/>
      </c>
    </row>
    <row r="847">
      <c r="A847" s="75" t="n">
        <v>2025</v>
      </c>
      <c r="B847" s="75" t="n">
        <v>5</v>
      </c>
      <c r="C847" s="75" t="inlineStr">
        <is>
          <t>5100000843</t>
        </is>
      </c>
      <c r="D847" s="78" t="n">
        <v>45786</v>
      </c>
      <c r="E847" s="75" t="inlineStr">
        <is>
          <t>KR</t>
        </is>
      </c>
      <c r="F847" s="75" t="n">
        <v>62201000</v>
      </c>
      <c r="G847" s="75" t="n">
        <v>1502</v>
      </c>
      <c r="H847" s="76" t="n">
        <v>322000</v>
      </c>
      <c r="I847" s="75" t="inlineStr">
        <is>
          <t>5월 통신요금 - O텔레콤</t>
        </is>
      </c>
      <c r="J847" s="75" t="inlineStr">
        <is>
          <t>V10002</t>
        </is>
      </c>
      <c r="K847" s="75" t="inlineStr">
        <is>
          <t>O텔레콤</t>
        </is>
      </c>
      <c r="M847" s="9">
        <f>IF($A847="","",VALUE($A847&amp;"")*12+VALUE($B847&amp;""))</f>
        <v/>
      </c>
      <c r="N847" s="39">
        <f>IF($A847="","",IFERROR(INDEX(부서매핑!$C$5:$C$504,MATCH($G847&amp;"",부서매핑!$A$5:$A$504,0)),"미매핑"))</f>
        <v/>
      </c>
      <c r="O847" s="9">
        <f>IF($A847="","",N847&amp;"|"&amp;$F847)</f>
        <v/>
      </c>
      <c r="P847" s="77">
        <f>IF($A847="",0,$H847*설정!$C$23)</f>
        <v/>
      </c>
      <c r="Q847" s="39">
        <f>IF($A847="","",IF(O847&lt;&gt;원인분석!$C$9,"",IF(AND(M847&gt;=원인분석!$C$10,M847&lt;=원인분석!$C$11),"당기",IF(AND(M847&gt;=원인분석!$C$12,M847&lt;=원인분석!$C$13),"비교",""))))</f>
        <v/>
      </c>
      <c r="R847" s="9">
        <f>IF(Q847="","",$K847&amp;"")</f>
        <v/>
      </c>
      <c r="S847" s="9">
        <f>IF(Q847="","",IF(MATCH(R847,$R$5:$R$100000,0)=ROW()-4,ROW(),""))</f>
        <v/>
      </c>
      <c r="T847" s="9">
        <f>IF(Q847="당기",ABS(P847)+ROW()/1000000000,"")</f>
        <v/>
      </c>
      <c r="U847" s="9">
        <f>IF(Q847="비교",ABS(P847)+ROW()/1000000000,"")</f>
        <v/>
      </c>
      <c r="V847" s="39">
        <f>IF($A847="","",IF(COUNTIF(변동분석!$E$7:$E$506,O847)&gt;0,"Y","N"))</f>
        <v/>
      </c>
      <c r="W847" s="39">
        <f>IF($A847="","",IFERROR(INDEX(계정매핑!$D$5:$D$504,MATCH($F847&amp;"",계정매핑!$A$5:$A$504,0)),"미매핑"))</f>
        <v/>
      </c>
      <c r="X847" s="9">
        <f>IF($A847="","",$F847&amp;"")</f>
        <v/>
      </c>
    </row>
    <row r="848">
      <c r="A848" s="75" t="n">
        <v>2025</v>
      </c>
      <c r="B848" s="75" t="n">
        <v>5</v>
      </c>
      <c r="C848" s="75" t="inlineStr">
        <is>
          <t>5100000844</t>
        </is>
      </c>
      <c r="D848" s="78" t="n">
        <v>45786</v>
      </c>
      <c r="E848" s="75" t="inlineStr">
        <is>
          <t>KR</t>
        </is>
      </c>
      <c r="F848" s="75" t="n">
        <v>62301000</v>
      </c>
      <c r="G848" s="75" t="n">
        <v>1801</v>
      </c>
      <c r="H848" s="76" t="n">
        <v>573000</v>
      </c>
      <c r="I848" s="75" t="inlineStr">
        <is>
          <t>5월 소모품 구입 - Q오피스</t>
        </is>
      </c>
      <c r="J848" s="75" t="inlineStr">
        <is>
          <t>V10003</t>
        </is>
      </c>
      <c r="K848" s="75" t="inlineStr">
        <is>
          <t>Q오피스</t>
        </is>
      </c>
      <c r="M848" s="9">
        <f>IF($A848="","",VALUE($A848&amp;"")*12+VALUE($B848&amp;""))</f>
        <v/>
      </c>
      <c r="N848" s="39">
        <f>IF($A848="","",IFERROR(INDEX(부서매핑!$C$5:$C$504,MATCH($G848&amp;"",부서매핑!$A$5:$A$504,0)),"미매핑"))</f>
        <v/>
      </c>
      <c r="O848" s="9">
        <f>IF($A848="","",N848&amp;"|"&amp;$F848)</f>
        <v/>
      </c>
      <c r="P848" s="77">
        <f>IF($A848="",0,$H848*설정!$C$23)</f>
        <v/>
      </c>
      <c r="Q848" s="39">
        <f>IF($A848="","",IF(O848&lt;&gt;원인분석!$C$9,"",IF(AND(M848&gt;=원인분석!$C$10,M848&lt;=원인분석!$C$11),"당기",IF(AND(M848&gt;=원인분석!$C$12,M848&lt;=원인분석!$C$13),"비교",""))))</f>
        <v/>
      </c>
      <c r="R848" s="9">
        <f>IF(Q848="","",$K848&amp;"")</f>
        <v/>
      </c>
      <c r="S848" s="9">
        <f>IF(Q848="","",IF(MATCH(R848,$R$5:$R$100000,0)=ROW()-4,ROW(),""))</f>
        <v/>
      </c>
      <c r="T848" s="9">
        <f>IF(Q848="당기",ABS(P848)+ROW()/1000000000,"")</f>
        <v/>
      </c>
      <c r="U848" s="9">
        <f>IF(Q848="비교",ABS(P848)+ROW()/1000000000,"")</f>
        <v/>
      </c>
      <c r="V848" s="39">
        <f>IF($A848="","",IF(COUNTIF(변동분석!$E$7:$E$506,O848)&gt;0,"Y","N"))</f>
        <v/>
      </c>
      <c r="W848" s="39">
        <f>IF($A848="","",IFERROR(INDEX(계정매핑!$D$5:$D$504,MATCH($F848&amp;"",계정매핑!$A$5:$A$504,0)),"미매핑"))</f>
        <v/>
      </c>
      <c r="X848" s="9">
        <f>IF($A848="","",$F848&amp;"")</f>
        <v/>
      </c>
    </row>
    <row r="849">
      <c r="A849" s="75" t="n">
        <v>2025</v>
      </c>
      <c r="B849" s="75" t="n">
        <v>5</v>
      </c>
      <c r="C849" s="75" t="inlineStr">
        <is>
          <t>5100000845</t>
        </is>
      </c>
      <c r="D849" s="78" t="n">
        <v>45786</v>
      </c>
      <c r="E849" s="75" t="inlineStr">
        <is>
          <t>KR</t>
        </is>
      </c>
      <c r="F849" s="75" t="n">
        <v>62802000</v>
      </c>
      <c r="G849" s="75" t="n">
        <v>1301</v>
      </c>
      <c r="H849" s="76" t="n">
        <v>6999000</v>
      </c>
      <c r="I849" s="75" t="inlineStr">
        <is>
          <t>5월 위탁교육 - V아카데미</t>
        </is>
      </c>
      <c r="J849" s="75" t="inlineStr">
        <is>
          <t>V10023</t>
        </is>
      </c>
      <c r="K849" s="75" t="inlineStr">
        <is>
          <t>V아카데미</t>
        </is>
      </c>
      <c r="M849" s="9">
        <f>IF($A849="","",VALUE($A849&amp;"")*12+VALUE($B849&amp;""))</f>
        <v/>
      </c>
      <c r="N849" s="39">
        <f>IF($A849="","",IFERROR(INDEX(부서매핑!$C$5:$C$504,MATCH($G849&amp;"",부서매핑!$A$5:$A$504,0)),"미매핑"))</f>
        <v/>
      </c>
      <c r="O849" s="9">
        <f>IF($A849="","",N849&amp;"|"&amp;$F849)</f>
        <v/>
      </c>
      <c r="P849" s="77">
        <f>IF($A849="",0,$H849*설정!$C$23)</f>
        <v/>
      </c>
      <c r="Q849" s="39">
        <f>IF($A849="","",IF(O849&lt;&gt;원인분석!$C$9,"",IF(AND(M849&gt;=원인분석!$C$10,M849&lt;=원인분석!$C$11),"당기",IF(AND(M849&gt;=원인분석!$C$12,M849&lt;=원인분석!$C$13),"비교",""))))</f>
        <v/>
      </c>
      <c r="R849" s="9">
        <f>IF(Q849="","",$K849&amp;"")</f>
        <v/>
      </c>
      <c r="S849" s="9">
        <f>IF(Q849="","",IF(MATCH(R849,$R$5:$R$100000,0)=ROW()-4,ROW(),""))</f>
        <v/>
      </c>
      <c r="T849" s="9">
        <f>IF(Q849="당기",ABS(P849)+ROW()/1000000000,"")</f>
        <v/>
      </c>
      <c r="U849" s="9">
        <f>IF(Q849="비교",ABS(P849)+ROW()/1000000000,"")</f>
        <v/>
      </c>
      <c r="V849" s="39">
        <f>IF($A849="","",IF(COUNTIF(변동분석!$E$7:$E$506,O849)&gt;0,"Y","N"))</f>
        <v/>
      </c>
      <c r="W849" s="39">
        <f>IF($A849="","",IFERROR(INDEX(계정매핑!$D$5:$D$504,MATCH($F849&amp;"",계정매핑!$A$5:$A$504,0)),"미매핑"))</f>
        <v/>
      </c>
      <c r="X849" s="9">
        <f>IF($A849="","",$F849&amp;"")</f>
        <v/>
      </c>
    </row>
    <row r="850">
      <c r="A850" s="75" t="n">
        <v>2025</v>
      </c>
      <c r="B850" s="75" t="n">
        <v>5</v>
      </c>
      <c r="C850" s="75" t="inlineStr">
        <is>
          <t>5100000846</t>
        </is>
      </c>
      <c r="D850" s="78" t="n">
        <v>45786</v>
      </c>
      <c r="E850" s="75" t="inlineStr">
        <is>
          <t>KR</t>
        </is>
      </c>
      <c r="F850" s="75" t="n">
        <v>62901000</v>
      </c>
      <c r="G850" s="75" t="n">
        <v>1201</v>
      </c>
      <c r="H850" s="76" t="n">
        <v>6696000</v>
      </c>
      <c r="I850" s="75" t="inlineStr">
        <is>
          <t>5월 자문 수수료 - W컨설팅</t>
        </is>
      </c>
      <c r="J850" s="75" t="inlineStr">
        <is>
          <t>V10009</t>
        </is>
      </c>
      <c r="K850" s="75" t="inlineStr">
        <is>
          <t>W컨설팅</t>
        </is>
      </c>
      <c r="M850" s="9">
        <f>IF($A850="","",VALUE($A850&amp;"")*12+VALUE($B850&amp;""))</f>
        <v/>
      </c>
      <c r="N850" s="39">
        <f>IF($A850="","",IFERROR(INDEX(부서매핑!$C$5:$C$504,MATCH($G850&amp;"",부서매핑!$A$5:$A$504,0)),"미매핑"))</f>
        <v/>
      </c>
      <c r="O850" s="9">
        <f>IF($A850="","",N850&amp;"|"&amp;$F850)</f>
        <v/>
      </c>
      <c r="P850" s="77">
        <f>IF($A850="",0,$H850*설정!$C$23)</f>
        <v/>
      </c>
      <c r="Q850" s="39">
        <f>IF($A850="","",IF(O850&lt;&gt;원인분석!$C$9,"",IF(AND(M850&gt;=원인분석!$C$10,M850&lt;=원인분석!$C$11),"당기",IF(AND(M850&gt;=원인분석!$C$12,M850&lt;=원인분석!$C$13),"비교",""))))</f>
        <v/>
      </c>
      <c r="R850" s="9">
        <f>IF(Q850="","",$K850&amp;"")</f>
        <v/>
      </c>
      <c r="S850" s="9">
        <f>IF(Q850="","",IF(MATCH(R850,$R$5:$R$100000,0)=ROW()-4,ROW(),""))</f>
        <v/>
      </c>
      <c r="T850" s="9">
        <f>IF(Q850="당기",ABS(P850)+ROW()/1000000000,"")</f>
        <v/>
      </c>
      <c r="U850" s="9">
        <f>IF(Q850="비교",ABS(P850)+ROW()/1000000000,"")</f>
        <v/>
      </c>
      <c r="V850" s="39">
        <f>IF($A850="","",IF(COUNTIF(변동분석!$E$7:$E$506,O850)&gt;0,"Y","N"))</f>
        <v/>
      </c>
      <c r="W850" s="39">
        <f>IF($A850="","",IFERROR(INDEX(계정매핑!$D$5:$D$504,MATCH($F850&amp;"",계정매핑!$A$5:$A$504,0)),"미매핑"))</f>
        <v/>
      </c>
      <c r="X850" s="9">
        <f>IF($A850="","",$F850&amp;"")</f>
        <v/>
      </c>
    </row>
    <row r="851">
      <c r="A851" s="75" t="n">
        <v>2025</v>
      </c>
      <c r="B851" s="75" t="n">
        <v>5</v>
      </c>
      <c r="C851" s="75" t="inlineStr">
        <is>
          <t>5100000847</t>
        </is>
      </c>
      <c r="D851" s="78" t="n">
        <v>45786</v>
      </c>
      <c r="E851" s="75" t="inlineStr">
        <is>
          <t>KR</t>
        </is>
      </c>
      <c r="F851" s="75" t="n">
        <v>62902000</v>
      </c>
      <c r="G851" s="75" t="n">
        <v>1201</v>
      </c>
      <c r="H851" s="76" t="n">
        <v>2643000</v>
      </c>
      <c r="I851" s="75" t="inlineStr">
        <is>
          <t>5월 업무 위탁 수수료 - J콜센터</t>
        </is>
      </c>
      <c r="J851" s="75" t="inlineStr">
        <is>
          <t>V10013</t>
        </is>
      </c>
      <c r="K851" s="75" t="inlineStr">
        <is>
          <t>J콜센터</t>
        </is>
      </c>
      <c r="M851" s="9">
        <f>IF($A851="","",VALUE($A851&amp;"")*12+VALUE($B851&amp;""))</f>
        <v/>
      </c>
      <c r="N851" s="39">
        <f>IF($A851="","",IFERROR(INDEX(부서매핑!$C$5:$C$504,MATCH($G851&amp;"",부서매핑!$A$5:$A$504,0)),"미매핑"))</f>
        <v/>
      </c>
      <c r="O851" s="9">
        <f>IF($A851="","",N851&amp;"|"&amp;$F851)</f>
        <v/>
      </c>
      <c r="P851" s="77">
        <f>IF($A851="",0,$H851*설정!$C$23)</f>
        <v/>
      </c>
      <c r="Q851" s="39">
        <f>IF($A851="","",IF(O851&lt;&gt;원인분석!$C$9,"",IF(AND(M851&gt;=원인분석!$C$10,M851&lt;=원인분석!$C$11),"당기",IF(AND(M851&gt;=원인분석!$C$12,M851&lt;=원인분석!$C$13),"비교",""))))</f>
        <v/>
      </c>
      <c r="R851" s="9">
        <f>IF(Q851="","",$K851&amp;"")</f>
        <v/>
      </c>
      <c r="S851" s="9">
        <f>IF(Q851="","",IF(MATCH(R851,$R$5:$R$100000,0)=ROW()-4,ROW(),""))</f>
        <v/>
      </c>
      <c r="T851" s="9">
        <f>IF(Q851="당기",ABS(P851)+ROW()/1000000000,"")</f>
        <v/>
      </c>
      <c r="U851" s="9">
        <f>IF(Q851="비교",ABS(P851)+ROW()/1000000000,"")</f>
        <v/>
      </c>
      <c r="V851" s="39">
        <f>IF($A851="","",IF(COUNTIF(변동분석!$E$7:$E$506,O851)&gt;0,"Y","N"))</f>
        <v/>
      </c>
      <c r="W851" s="39">
        <f>IF($A851="","",IFERROR(INDEX(계정매핑!$D$5:$D$504,MATCH($F851&amp;"",계정매핑!$A$5:$A$504,0)),"미매핑"))</f>
        <v/>
      </c>
      <c r="X851" s="9">
        <f>IF($A851="","",$F851&amp;"")</f>
        <v/>
      </c>
    </row>
    <row r="852">
      <c r="A852" s="75" t="n">
        <v>2025</v>
      </c>
      <c r="B852" s="75" t="n">
        <v>5</v>
      </c>
      <c r="C852" s="75" t="inlineStr">
        <is>
          <t>5100000848</t>
        </is>
      </c>
      <c r="D852" s="78" t="n">
        <v>45786</v>
      </c>
      <c r="E852" s="75" t="inlineStr">
        <is>
          <t>KR</t>
        </is>
      </c>
      <c r="F852" s="75" t="n">
        <v>62902000</v>
      </c>
      <c r="G852" s="75" t="n">
        <v>1801</v>
      </c>
      <c r="H852" s="76" t="n">
        <v>1812000</v>
      </c>
      <c r="I852" s="75" t="inlineStr">
        <is>
          <t>5월 콜 위탁 수수료(건별)</t>
        </is>
      </c>
      <c r="J852" s="75" t="inlineStr">
        <is>
          <t>V10013</t>
        </is>
      </c>
      <c r="K852" s="75" t="inlineStr">
        <is>
          <t>J콜센터</t>
        </is>
      </c>
      <c r="M852" s="9">
        <f>IF($A852="","",VALUE($A852&amp;"")*12+VALUE($B852&amp;""))</f>
        <v/>
      </c>
      <c r="N852" s="39">
        <f>IF($A852="","",IFERROR(INDEX(부서매핑!$C$5:$C$504,MATCH($G852&amp;"",부서매핑!$A$5:$A$504,0)),"미매핑"))</f>
        <v/>
      </c>
      <c r="O852" s="9">
        <f>IF($A852="","",N852&amp;"|"&amp;$F852)</f>
        <v/>
      </c>
      <c r="P852" s="77">
        <f>IF($A852="",0,$H852*설정!$C$23)</f>
        <v/>
      </c>
      <c r="Q852" s="39">
        <f>IF($A852="","",IF(O852&lt;&gt;원인분석!$C$9,"",IF(AND(M852&gt;=원인분석!$C$10,M852&lt;=원인분석!$C$11),"당기",IF(AND(M852&gt;=원인분석!$C$12,M852&lt;=원인분석!$C$13),"비교",""))))</f>
        <v/>
      </c>
      <c r="R852" s="9">
        <f>IF(Q852="","",$K852&amp;"")</f>
        <v/>
      </c>
      <c r="S852" s="9">
        <f>IF(Q852="","",IF(MATCH(R852,$R$5:$R$100000,0)=ROW()-4,ROW(),""))</f>
        <v/>
      </c>
      <c r="T852" s="9">
        <f>IF(Q852="당기",ABS(P852)+ROW()/1000000000,"")</f>
        <v/>
      </c>
      <c r="U852" s="9">
        <f>IF(Q852="비교",ABS(P852)+ROW()/1000000000,"")</f>
        <v/>
      </c>
      <c r="V852" s="39">
        <f>IF($A852="","",IF(COUNTIF(변동분석!$E$7:$E$506,O852)&gt;0,"Y","N"))</f>
        <v/>
      </c>
      <c r="W852" s="39">
        <f>IF($A852="","",IFERROR(INDEX(계정매핑!$D$5:$D$504,MATCH($F852&amp;"",계정매핑!$A$5:$A$504,0)),"미매핑"))</f>
        <v/>
      </c>
      <c r="X852" s="9">
        <f>IF($A852="","",$F852&amp;"")</f>
        <v/>
      </c>
    </row>
    <row r="853">
      <c r="A853" s="75" t="n">
        <v>2025</v>
      </c>
      <c r="B853" s="75" t="n">
        <v>5</v>
      </c>
      <c r="C853" s="75" t="inlineStr">
        <is>
          <t>5100000849</t>
        </is>
      </c>
      <c r="D853" s="78" t="n">
        <v>45786</v>
      </c>
      <c r="E853" s="75" t="inlineStr">
        <is>
          <t>KR</t>
        </is>
      </c>
      <c r="F853" s="75" t="n">
        <v>63101000</v>
      </c>
      <c r="G853" s="75" t="n">
        <v>1602</v>
      </c>
      <c r="H853" s="76" t="n">
        <v>6554000</v>
      </c>
      <c r="I853" s="75" t="inlineStr">
        <is>
          <t>5월 사무실 임차료 - BB부동산</t>
        </is>
      </c>
      <c r="J853" s="75" t="inlineStr">
        <is>
          <t>V10024</t>
        </is>
      </c>
      <c r="K853" s="75" t="inlineStr">
        <is>
          <t>BB부동산</t>
        </is>
      </c>
      <c r="M853" s="9">
        <f>IF($A853="","",VALUE($A853&amp;"")*12+VALUE($B853&amp;""))</f>
        <v/>
      </c>
      <c r="N853" s="39">
        <f>IF($A853="","",IFERROR(INDEX(부서매핑!$C$5:$C$504,MATCH($G853&amp;"",부서매핑!$A$5:$A$504,0)),"미매핑"))</f>
        <v/>
      </c>
      <c r="O853" s="9">
        <f>IF($A853="","",N853&amp;"|"&amp;$F853)</f>
        <v/>
      </c>
      <c r="P853" s="77">
        <f>IF($A853="",0,$H853*설정!$C$23)</f>
        <v/>
      </c>
      <c r="Q853" s="39">
        <f>IF($A853="","",IF(O853&lt;&gt;원인분석!$C$9,"",IF(AND(M853&gt;=원인분석!$C$10,M853&lt;=원인분석!$C$11),"당기",IF(AND(M853&gt;=원인분석!$C$12,M853&lt;=원인분석!$C$13),"비교",""))))</f>
        <v/>
      </c>
      <c r="R853" s="9">
        <f>IF(Q853="","",$K853&amp;"")</f>
        <v/>
      </c>
      <c r="S853" s="9">
        <f>IF(Q853="","",IF(MATCH(R853,$R$5:$R$100000,0)=ROW()-4,ROW(),""))</f>
        <v/>
      </c>
      <c r="T853" s="9">
        <f>IF(Q853="당기",ABS(P853)+ROW()/1000000000,"")</f>
        <v/>
      </c>
      <c r="U853" s="9">
        <f>IF(Q853="비교",ABS(P853)+ROW()/1000000000,"")</f>
        <v/>
      </c>
      <c r="V853" s="39">
        <f>IF($A853="","",IF(COUNTIF(변동분석!$E$7:$E$506,O853)&gt;0,"Y","N"))</f>
        <v/>
      </c>
      <c r="W853" s="39">
        <f>IF($A853="","",IFERROR(INDEX(계정매핑!$D$5:$D$504,MATCH($F853&amp;"",계정매핑!$A$5:$A$504,0)),"미매핑"))</f>
        <v/>
      </c>
      <c r="X853" s="9">
        <f>IF($A853="","",$F853&amp;"")</f>
        <v/>
      </c>
    </row>
    <row r="854">
      <c r="A854" s="75" t="n">
        <v>2025</v>
      </c>
      <c r="B854" s="75" t="n">
        <v>5</v>
      </c>
      <c r="C854" s="75" t="inlineStr">
        <is>
          <t>5100000850</t>
        </is>
      </c>
      <c r="D854" s="78" t="n">
        <v>45787</v>
      </c>
      <c r="E854" s="75" t="inlineStr">
        <is>
          <t>KR</t>
        </is>
      </c>
      <c r="F854" s="75" t="n">
        <v>62101000</v>
      </c>
      <c r="G854" s="75" t="n">
        <v>1501</v>
      </c>
      <c r="H854" s="76" t="n">
        <v>255000</v>
      </c>
      <c r="I854" s="75" t="inlineStr">
        <is>
          <t>5월 국내출장 - L여행사</t>
        </is>
      </c>
      <c r="J854" s="75" t="inlineStr">
        <is>
          <t>V10014</t>
        </is>
      </c>
      <c r="K854" s="75" t="inlineStr">
        <is>
          <t>L여행사</t>
        </is>
      </c>
      <c r="M854" s="9">
        <f>IF($A854="","",VALUE($A854&amp;"")*12+VALUE($B854&amp;""))</f>
        <v/>
      </c>
      <c r="N854" s="39">
        <f>IF($A854="","",IFERROR(INDEX(부서매핑!$C$5:$C$504,MATCH($G854&amp;"",부서매핑!$A$5:$A$504,0)),"미매핑"))</f>
        <v/>
      </c>
      <c r="O854" s="9">
        <f>IF($A854="","",N854&amp;"|"&amp;$F854)</f>
        <v/>
      </c>
      <c r="P854" s="77">
        <f>IF($A854="",0,$H854*설정!$C$23)</f>
        <v/>
      </c>
      <c r="Q854" s="39">
        <f>IF($A854="","",IF(O854&lt;&gt;원인분석!$C$9,"",IF(AND(M854&gt;=원인분석!$C$10,M854&lt;=원인분석!$C$11),"당기",IF(AND(M854&gt;=원인분석!$C$12,M854&lt;=원인분석!$C$13),"비교",""))))</f>
        <v/>
      </c>
      <c r="R854" s="9">
        <f>IF(Q854="","",$K854&amp;"")</f>
        <v/>
      </c>
      <c r="S854" s="9">
        <f>IF(Q854="","",IF(MATCH(R854,$R$5:$R$100000,0)=ROW()-4,ROW(),""))</f>
        <v/>
      </c>
      <c r="T854" s="9">
        <f>IF(Q854="당기",ABS(P854)+ROW()/1000000000,"")</f>
        <v/>
      </c>
      <c r="U854" s="9">
        <f>IF(Q854="비교",ABS(P854)+ROW()/1000000000,"")</f>
        <v/>
      </c>
      <c r="V854" s="39">
        <f>IF($A854="","",IF(COUNTIF(변동분석!$E$7:$E$506,O854)&gt;0,"Y","N"))</f>
        <v/>
      </c>
      <c r="W854" s="39">
        <f>IF($A854="","",IFERROR(INDEX(계정매핑!$D$5:$D$504,MATCH($F854&amp;"",계정매핑!$A$5:$A$504,0)),"미매핑"))</f>
        <v/>
      </c>
      <c r="X854" s="9">
        <f>IF($A854="","",$F854&amp;"")</f>
        <v/>
      </c>
    </row>
    <row r="855">
      <c r="A855" s="75" t="n">
        <v>2025</v>
      </c>
      <c r="B855" s="75" t="n">
        <v>5</v>
      </c>
      <c r="C855" s="75" t="inlineStr">
        <is>
          <t>5100000851</t>
        </is>
      </c>
      <c r="D855" s="78" t="n">
        <v>45787</v>
      </c>
      <c r="E855" s="75" t="inlineStr">
        <is>
          <t>KR</t>
        </is>
      </c>
      <c r="F855" s="75" t="n">
        <v>62101000</v>
      </c>
      <c r="G855" s="75" t="n">
        <v>1601</v>
      </c>
      <c r="H855" s="76" t="n">
        <v>1130000</v>
      </c>
      <c r="I855" s="75" t="inlineStr">
        <is>
          <t>5월 국내출장 - (법인카드)</t>
        </is>
      </c>
      <c r="J855" s="75" t="inlineStr">
        <is>
          <t>V10008</t>
        </is>
      </c>
      <c r="K855" s="75" t="inlineStr">
        <is>
          <t>(법인카드)</t>
        </is>
      </c>
      <c r="M855" s="9">
        <f>IF($A855="","",VALUE($A855&amp;"")*12+VALUE($B855&amp;""))</f>
        <v/>
      </c>
      <c r="N855" s="39">
        <f>IF($A855="","",IFERROR(INDEX(부서매핑!$C$5:$C$504,MATCH($G855&amp;"",부서매핑!$A$5:$A$504,0)),"미매핑"))</f>
        <v/>
      </c>
      <c r="O855" s="9">
        <f>IF($A855="","",N855&amp;"|"&amp;$F855)</f>
        <v/>
      </c>
      <c r="P855" s="77">
        <f>IF($A855="",0,$H855*설정!$C$23)</f>
        <v/>
      </c>
      <c r="Q855" s="39">
        <f>IF($A855="","",IF(O855&lt;&gt;원인분석!$C$9,"",IF(AND(M855&gt;=원인분석!$C$10,M855&lt;=원인분석!$C$11),"당기",IF(AND(M855&gt;=원인분석!$C$12,M855&lt;=원인분석!$C$13),"비교",""))))</f>
        <v/>
      </c>
      <c r="R855" s="9">
        <f>IF(Q855="","",$K855&amp;"")</f>
        <v/>
      </c>
      <c r="S855" s="9">
        <f>IF(Q855="","",IF(MATCH(R855,$R$5:$R$100000,0)=ROW()-4,ROW(),""))</f>
        <v/>
      </c>
      <c r="T855" s="9">
        <f>IF(Q855="당기",ABS(P855)+ROW()/1000000000,"")</f>
        <v/>
      </c>
      <c r="U855" s="9">
        <f>IF(Q855="비교",ABS(P855)+ROW()/1000000000,"")</f>
        <v/>
      </c>
      <c r="V855" s="39">
        <f>IF($A855="","",IF(COUNTIF(변동분석!$E$7:$E$506,O855)&gt;0,"Y","N"))</f>
        <v/>
      </c>
      <c r="W855" s="39">
        <f>IF($A855="","",IFERROR(INDEX(계정매핑!$D$5:$D$504,MATCH($F855&amp;"",계정매핑!$A$5:$A$504,0)),"미매핑"))</f>
        <v/>
      </c>
      <c r="X855" s="9">
        <f>IF($A855="","",$F855&amp;"")</f>
        <v/>
      </c>
    </row>
    <row r="856">
      <c r="A856" s="75" t="n">
        <v>2025</v>
      </c>
      <c r="B856" s="75" t="n">
        <v>5</v>
      </c>
      <c r="C856" s="75" t="inlineStr">
        <is>
          <t>5100000852</t>
        </is>
      </c>
      <c r="D856" s="78" t="n">
        <v>45787</v>
      </c>
      <c r="E856" s="75" t="inlineStr">
        <is>
          <t>KR</t>
        </is>
      </c>
      <c r="F856" s="75" t="n">
        <v>62102000</v>
      </c>
      <c r="G856" s="75" t="n">
        <v>1101</v>
      </c>
      <c r="H856" s="76" t="n">
        <v>218000</v>
      </c>
      <c r="I856" s="75" t="inlineStr">
        <is>
          <t>5월 해외출장 - N호텔</t>
        </is>
      </c>
      <c r="J856" s="75" t="inlineStr">
        <is>
          <t>V10007</t>
        </is>
      </c>
      <c r="K856" s="75" t="inlineStr">
        <is>
          <t>N호텔</t>
        </is>
      </c>
      <c r="M856" s="9">
        <f>IF($A856="","",VALUE($A856&amp;"")*12+VALUE($B856&amp;""))</f>
        <v/>
      </c>
      <c r="N856" s="39">
        <f>IF($A856="","",IFERROR(INDEX(부서매핑!$C$5:$C$504,MATCH($G856&amp;"",부서매핑!$A$5:$A$504,0)),"미매핑"))</f>
        <v/>
      </c>
      <c r="O856" s="9">
        <f>IF($A856="","",N856&amp;"|"&amp;$F856)</f>
        <v/>
      </c>
      <c r="P856" s="77">
        <f>IF($A856="",0,$H856*설정!$C$23)</f>
        <v/>
      </c>
      <c r="Q856" s="39">
        <f>IF($A856="","",IF(O856&lt;&gt;원인분석!$C$9,"",IF(AND(M856&gt;=원인분석!$C$10,M856&lt;=원인분석!$C$11),"당기",IF(AND(M856&gt;=원인분석!$C$12,M856&lt;=원인분석!$C$13),"비교",""))))</f>
        <v/>
      </c>
      <c r="R856" s="9">
        <f>IF(Q856="","",$K856&amp;"")</f>
        <v/>
      </c>
      <c r="S856" s="9">
        <f>IF(Q856="","",IF(MATCH(R856,$R$5:$R$100000,0)=ROW()-4,ROW(),""))</f>
        <v/>
      </c>
      <c r="T856" s="9">
        <f>IF(Q856="당기",ABS(P856)+ROW()/1000000000,"")</f>
        <v/>
      </c>
      <c r="U856" s="9">
        <f>IF(Q856="비교",ABS(P856)+ROW()/1000000000,"")</f>
        <v/>
      </c>
      <c r="V856" s="39">
        <f>IF($A856="","",IF(COUNTIF(변동분석!$E$7:$E$506,O856)&gt;0,"Y","N"))</f>
        <v/>
      </c>
      <c r="W856" s="39">
        <f>IF($A856="","",IFERROR(INDEX(계정매핑!$D$5:$D$504,MATCH($F856&amp;"",계정매핑!$A$5:$A$504,0)),"미매핑"))</f>
        <v/>
      </c>
      <c r="X856" s="9">
        <f>IF($A856="","",$F856&amp;"")</f>
        <v/>
      </c>
    </row>
    <row r="857">
      <c r="A857" s="75" t="n">
        <v>2025</v>
      </c>
      <c r="B857" s="75" t="n">
        <v>5</v>
      </c>
      <c r="C857" s="75" t="inlineStr">
        <is>
          <t>5100000853</t>
        </is>
      </c>
      <c r="D857" s="78" t="n">
        <v>45787</v>
      </c>
      <c r="E857" s="75" t="inlineStr">
        <is>
          <t>KR</t>
        </is>
      </c>
      <c r="F857" s="75" t="n">
        <v>62801000</v>
      </c>
      <c r="G857" s="75" t="n">
        <v>1301</v>
      </c>
      <c r="H857" s="76" t="n">
        <v>3204000</v>
      </c>
      <c r="I857" s="75" t="inlineStr">
        <is>
          <t>5월 사내교육 - (사내강사료)</t>
        </is>
      </c>
      <c r="J857" s="75" t="inlineStr">
        <is>
          <t>V10020</t>
        </is>
      </c>
      <c r="K857" s="75" t="inlineStr">
        <is>
          <t>(사내강사료)</t>
        </is>
      </c>
      <c r="M857" s="9">
        <f>IF($A857="","",VALUE($A857&amp;"")*12+VALUE($B857&amp;""))</f>
        <v/>
      </c>
      <c r="N857" s="39">
        <f>IF($A857="","",IFERROR(INDEX(부서매핑!$C$5:$C$504,MATCH($G857&amp;"",부서매핑!$A$5:$A$504,0)),"미매핑"))</f>
        <v/>
      </c>
      <c r="O857" s="9">
        <f>IF($A857="","",N857&amp;"|"&amp;$F857)</f>
        <v/>
      </c>
      <c r="P857" s="77">
        <f>IF($A857="",0,$H857*설정!$C$23)</f>
        <v/>
      </c>
      <c r="Q857" s="39">
        <f>IF($A857="","",IF(O857&lt;&gt;원인분석!$C$9,"",IF(AND(M857&gt;=원인분석!$C$10,M857&lt;=원인분석!$C$11),"당기",IF(AND(M857&gt;=원인분석!$C$12,M857&lt;=원인분석!$C$13),"비교",""))))</f>
        <v/>
      </c>
      <c r="R857" s="9">
        <f>IF(Q857="","",$K857&amp;"")</f>
        <v/>
      </c>
      <c r="S857" s="9">
        <f>IF(Q857="","",IF(MATCH(R857,$R$5:$R$100000,0)=ROW()-4,ROW(),""))</f>
        <v/>
      </c>
      <c r="T857" s="9">
        <f>IF(Q857="당기",ABS(P857)+ROW()/1000000000,"")</f>
        <v/>
      </c>
      <c r="U857" s="9">
        <f>IF(Q857="비교",ABS(P857)+ROW()/1000000000,"")</f>
        <v/>
      </c>
      <c r="V857" s="39">
        <f>IF($A857="","",IF(COUNTIF(변동분석!$E$7:$E$506,O857)&gt;0,"Y","N"))</f>
        <v/>
      </c>
      <c r="W857" s="39">
        <f>IF($A857="","",IFERROR(INDEX(계정매핑!$D$5:$D$504,MATCH($F857&amp;"",계정매핑!$A$5:$A$504,0)),"미매핑"))</f>
        <v/>
      </c>
      <c r="X857" s="9">
        <f>IF($A857="","",$F857&amp;"")</f>
        <v/>
      </c>
    </row>
    <row r="858">
      <c r="A858" s="75" t="n">
        <v>2025</v>
      </c>
      <c r="B858" s="75" t="n">
        <v>5</v>
      </c>
      <c r="C858" s="75" t="inlineStr">
        <is>
          <t>5100000854</t>
        </is>
      </c>
      <c r="D858" s="78" t="n">
        <v>45787</v>
      </c>
      <c r="E858" s="75" t="inlineStr">
        <is>
          <t>KR</t>
        </is>
      </c>
      <c r="F858" s="75" t="n">
        <v>62902000</v>
      </c>
      <c r="G858" s="75" t="n">
        <v>1801</v>
      </c>
      <c r="H858" s="76" t="n">
        <v>1755000</v>
      </c>
      <c r="I858" s="75" t="inlineStr">
        <is>
          <t>5월 콜 위탁 수수료(건별)</t>
        </is>
      </c>
      <c r="J858" s="75" t="inlineStr">
        <is>
          <t>V10013</t>
        </is>
      </c>
      <c r="K858" s="75" t="inlineStr">
        <is>
          <t>J콜센터</t>
        </is>
      </c>
      <c r="M858" s="9">
        <f>IF($A858="","",VALUE($A858&amp;"")*12+VALUE($B858&amp;""))</f>
        <v/>
      </c>
      <c r="N858" s="39">
        <f>IF($A858="","",IFERROR(INDEX(부서매핑!$C$5:$C$504,MATCH($G858&amp;"",부서매핑!$A$5:$A$504,0)),"미매핑"))</f>
        <v/>
      </c>
      <c r="O858" s="9">
        <f>IF($A858="","",N858&amp;"|"&amp;$F858)</f>
        <v/>
      </c>
      <c r="P858" s="77">
        <f>IF($A858="",0,$H858*설정!$C$23)</f>
        <v/>
      </c>
      <c r="Q858" s="39">
        <f>IF($A858="","",IF(O858&lt;&gt;원인분석!$C$9,"",IF(AND(M858&gt;=원인분석!$C$10,M858&lt;=원인분석!$C$11),"당기",IF(AND(M858&gt;=원인분석!$C$12,M858&lt;=원인분석!$C$13),"비교",""))))</f>
        <v/>
      </c>
      <c r="R858" s="9">
        <f>IF(Q858="","",$K858&amp;"")</f>
        <v/>
      </c>
      <c r="S858" s="9">
        <f>IF(Q858="","",IF(MATCH(R858,$R$5:$R$100000,0)=ROW()-4,ROW(),""))</f>
        <v/>
      </c>
      <c r="T858" s="9">
        <f>IF(Q858="당기",ABS(P858)+ROW()/1000000000,"")</f>
        <v/>
      </c>
      <c r="U858" s="9">
        <f>IF(Q858="비교",ABS(P858)+ROW()/1000000000,"")</f>
        <v/>
      </c>
      <c r="V858" s="39">
        <f>IF($A858="","",IF(COUNTIF(변동분석!$E$7:$E$506,O858)&gt;0,"Y","N"))</f>
        <v/>
      </c>
      <c r="W858" s="39">
        <f>IF($A858="","",IFERROR(INDEX(계정매핑!$D$5:$D$504,MATCH($F858&amp;"",계정매핑!$A$5:$A$504,0)),"미매핑"))</f>
        <v/>
      </c>
      <c r="X858" s="9">
        <f>IF($A858="","",$F858&amp;"")</f>
        <v/>
      </c>
    </row>
    <row r="859">
      <c r="A859" s="75" t="n">
        <v>2025</v>
      </c>
      <c r="B859" s="75" t="n">
        <v>5</v>
      </c>
      <c r="C859" s="75" t="inlineStr">
        <is>
          <t>5100000855</t>
        </is>
      </c>
      <c r="D859" s="78" t="n">
        <v>45788</v>
      </c>
      <c r="E859" s="75" t="inlineStr">
        <is>
          <t>KR</t>
        </is>
      </c>
      <c r="F859" s="75" t="n">
        <v>62101000</v>
      </c>
      <c r="G859" s="75" t="n">
        <v>1201</v>
      </c>
      <c r="H859" s="76" t="n">
        <v>208000</v>
      </c>
      <c r="I859" s="75" t="inlineStr">
        <is>
          <t>5월 국내출장 - (법인카드)</t>
        </is>
      </c>
      <c r="J859" s="75" t="inlineStr">
        <is>
          <t>V10008</t>
        </is>
      </c>
      <c r="K859" s="75" t="inlineStr">
        <is>
          <t>(법인카드)</t>
        </is>
      </c>
      <c r="M859" s="9">
        <f>IF($A859="","",VALUE($A859&amp;"")*12+VALUE($B859&amp;""))</f>
        <v/>
      </c>
      <c r="N859" s="39">
        <f>IF($A859="","",IFERROR(INDEX(부서매핑!$C$5:$C$504,MATCH($G859&amp;"",부서매핑!$A$5:$A$504,0)),"미매핑"))</f>
        <v/>
      </c>
      <c r="O859" s="9">
        <f>IF($A859="","",N859&amp;"|"&amp;$F859)</f>
        <v/>
      </c>
      <c r="P859" s="77">
        <f>IF($A859="",0,$H859*설정!$C$23)</f>
        <v/>
      </c>
      <c r="Q859" s="39">
        <f>IF($A859="","",IF(O859&lt;&gt;원인분석!$C$9,"",IF(AND(M859&gt;=원인분석!$C$10,M859&lt;=원인분석!$C$11),"당기",IF(AND(M859&gt;=원인분석!$C$12,M859&lt;=원인분석!$C$13),"비교",""))))</f>
        <v/>
      </c>
      <c r="R859" s="9">
        <f>IF(Q859="","",$K859&amp;"")</f>
        <v/>
      </c>
      <c r="S859" s="9">
        <f>IF(Q859="","",IF(MATCH(R859,$R$5:$R$100000,0)=ROW()-4,ROW(),""))</f>
        <v/>
      </c>
      <c r="T859" s="9">
        <f>IF(Q859="당기",ABS(P859)+ROW()/1000000000,"")</f>
        <v/>
      </c>
      <c r="U859" s="9">
        <f>IF(Q859="비교",ABS(P859)+ROW()/1000000000,"")</f>
        <v/>
      </c>
      <c r="V859" s="39">
        <f>IF($A859="","",IF(COUNTIF(변동분석!$E$7:$E$506,O859)&gt;0,"Y","N"))</f>
        <v/>
      </c>
      <c r="W859" s="39">
        <f>IF($A859="","",IFERROR(INDEX(계정매핑!$D$5:$D$504,MATCH($F859&amp;"",계정매핑!$A$5:$A$504,0)),"미매핑"))</f>
        <v/>
      </c>
      <c r="X859" s="9">
        <f>IF($A859="","",$F859&amp;"")</f>
        <v/>
      </c>
    </row>
    <row r="860">
      <c r="A860" s="75" t="n">
        <v>2025</v>
      </c>
      <c r="B860" s="75" t="n">
        <v>5</v>
      </c>
      <c r="C860" s="75" t="inlineStr">
        <is>
          <t>5100000856</t>
        </is>
      </c>
      <c r="D860" s="78" t="n">
        <v>45788</v>
      </c>
      <c r="E860" s="75" t="inlineStr">
        <is>
          <t>KR</t>
        </is>
      </c>
      <c r="F860" s="75" t="n">
        <v>62102000</v>
      </c>
      <c r="G860" s="75" t="n">
        <v>1301</v>
      </c>
      <c r="H860" s="76" t="n">
        <v>64000</v>
      </c>
      <c r="I860" s="75" t="inlineStr">
        <is>
          <t>5월 해외출장 - N호텔</t>
        </is>
      </c>
      <c r="J860" s="75" t="inlineStr">
        <is>
          <t>V10007</t>
        </is>
      </c>
      <c r="K860" s="75" t="inlineStr">
        <is>
          <t>N호텔</t>
        </is>
      </c>
      <c r="M860" s="9">
        <f>IF($A860="","",VALUE($A860&amp;"")*12+VALUE($B860&amp;""))</f>
        <v/>
      </c>
      <c r="N860" s="39">
        <f>IF($A860="","",IFERROR(INDEX(부서매핑!$C$5:$C$504,MATCH($G860&amp;"",부서매핑!$A$5:$A$504,0)),"미매핑"))</f>
        <v/>
      </c>
      <c r="O860" s="9">
        <f>IF($A860="","",N860&amp;"|"&amp;$F860)</f>
        <v/>
      </c>
      <c r="P860" s="77">
        <f>IF($A860="",0,$H860*설정!$C$23)</f>
        <v/>
      </c>
      <c r="Q860" s="39">
        <f>IF($A860="","",IF(O860&lt;&gt;원인분석!$C$9,"",IF(AND(M860&gt;=원인분석!$C$10,M860&lt;=원인분석!$C$11),"당기",IF(AND(M860&gt;=원인분석!$C$12,M860&lt;=원인분석!$C$13),"비교",""))))</f>
        <v/>
      </c>
      <c r="R860" s="9">
        <f>IF(Q860="","",$K860&amp;"")</f>
        <v/>
      </c>
      <c r="S860" s="9">
        <f>IF(Q860="","",IF(MATCH(R860,$R$5:$R$100000,0)=ROW()-4,ROW(),""))</f>
        <v/>
      </c>
      <c r="T860" s="9">
        <f>IF(Q860="당기",ABS(P860)+ROW()/1000000000,"")</f>
        <v/>
      </c>
      <c r="U860" s="9">
        <f>IF(Q860="비교",ABS(P860)+ROW()/1000000000,"")</f>
        <v/>
      </c>
      <c r="V860" s="39">
        <f>IF($A860="","",IF(COUNTIF(변동분석!$E$7:$E$506,O860)&gt;0,"Y","N"))</f>
        <v/>
      </c>
      <c r="W860" s="39">
        <f>IF($A860="","",IFERROR(INDEX(계정매핑!$D$5:$D$504,MATCH($F860&amp;"",계정매핑!$A$5:$A$504,0)),"미매핑"))</f>
        <v/>
      </c>
      <c r="X860" s="9">
        <f>IF($A860="","",$F860&amp;"")</f>
        <v/>
      </c>
    </row>
    <row r="861">
      <c r="A861" s="75" t="n">
        <v>2025</v>
      </c>
      <c r="B861" s="75" t="n">
        <v>5</v>
      </c>
      <c r="C861" s="75" t="inlineStr">
        <is>
          <t>5100000857</t>
        </is>
      </c>
      <c r="D861" s="78" t="n">
        <v>45788</v>
      </c>
      <c r="E861" s="75" t="inlineStr">
        <is>
          <t>KR</t>
        </is>
      </c>
      <c r="F861" s="75" t="n">
        <v>62102000</v>
      </c>
      <c r="G861" s="75" t="n">
        <v>1602</v>
      </c>
      <c r="H861" s="76" t="n">
        <v>275000</v>
      </c>
      <c r="I861" s="75" t="inlineStr">
        <is>
          <t>5월 해외출장 - M항공</t>
        </is>
      </c>
      <c r="J861" s="75" t="inlineStr">
        <is>
          <t>V10001</t>
        </is>
      </c>
      <c r="K861" s="75" t="inlineStr">
        <is>
          <t>M항공</t>
        </is>
      </c>
      <c r="M861" s="9">
        <f>IF($A861="","",VALUE($A861&amp;"")*12+VALUE($B861&amp;""))</f>
        <v/>
      </c>
      <c r="N861" s="39">
        <f>IF($A861="","",IFERROR(INDEX(부서매핑!$C$5:$C$504,MATCH($G861&amp;"",부서매핑!$A$5:$A$504,0)),"미매핑"))</f>
        <v/>
      </c>
      <c r="O861" s="9">
        <f>IF($A861="","",N861&amp;"|"&amp;$F861)</f>
        <v/>
      </c>
      <c r="P861" s="77">
        <f>IF($A861="",0,$H861*설정!$C$23)</f>
        <v/>
      </c>
      <c r="Q861" s="39">
        <f>IF($A861="","",IF(O861&lt;&gt;원인분석!$C$9,"",IF(AND(M861&gt;=원인분석!$C$10,M861&lt;=원인분석!$C$11),"당기",IF(AND(M861&gt;=원인분석!$C$12,M861&lt;=원인분석!$C$13),"비교",""))))</f>
        <v/>
      </c>
      <c r="R861" s="9">
        <f>IF(Q861="","",$K861&amp;"")</f>
        <v/>
      </c>
      <c r="S861" s="9">
        <f>IF(Q861="","",IF(MATCH(R861,$R$5:$R$100000,0)=ROW()-4,ROW(),""))</f>
        <v/>
      </c>
      <c r="T861" s="9">
        <f>IF(Q861="당기",ABS(P861)+ROW()/1000000000,"")</f>
        <v/>
      </c>
      <c r="U861" s="9">
        <f>IF(Q861="비교",ABS(P861)+ROW()/1000000000,"")</f>
        <v/>
      </c>
      <c r="V861" s="39">
        <f>IF($A861="","",IF(COUNTIF(변동분석!$E$7:$E$506,O861)&gt;0,"Y","N"))</f>
        <v/>
      </c>
      <c r="W861" s="39">
        <f>IF($A861="","",IFERROR(INDEX(계정매핑!$D$5:$D$504,MATCH($F861&amp;"",계정매핑!$A$5:$A$504,0)),"미매핑"))</f>
        <v/>
      </c>
      <c r="X861" s="9">
        <f>IF($A861="","",$F861&amp;"")</f>
        <v/>
      </c>
    </row>
    <row r="862">
      <c r="A862" s="75" t="n">
        <v>2025</v>
      </c>
      <c r="B862" s="75" t="n">
        <v>5</v>
      </c>
      <c r="C862" s="75" t="inlineStr">
        <is>
          <t>5100000858</t>
        </is>
      </c>
      <c r="D862" s="78" t="n">
        <v>45788</v>
      </c>
      <c r="E862" s="75" t="inlineStr">
        <is>
          <t>KR</t>
        </is>
      </c>
      <c r="F862" s="75" t="n">
        <v>62301000</v>
      </c>
      <c r="G862" s="75" t="n">
        <v>1502</v>
      </c>
      <c r="H862" s="76" t="n">
        <v>234000</v>
      </c>
      <c r="I862" s="75" t="inlineStr">
        <is>
          <t>5월 소모품 구입 - Q오피스</t>
        </is>
      </c>
      <c r="J862" s="75" t="inlineStr">
        <is>
          <t>V10003</t>
        </is>
      </c>
      <c r="K862" s="75" t="inlineStr">
        <is>
          <t>Q오피스</t>
        </is>
      </c>
      <c r="M862" s="9">
        <f>IF($A862="","",VALUE($A862&amp;"")*12+VALUE($B862&amp;""))</f>
        <v/>
      </c>
      <c r="N862" s="39">
        <f>IF($A862="","",IFERROR(INDEX(부서매핑!$C$5:$C$504,MATCH($G862&amp;"",부서매핑!$A$5:$A$504,0)),"미매핑"))</f>
        <v/>
      </c>
      <c r="O862" s="9">
        <f>IF($A862="","",N862&amp;"|"&amp;$F862)</f>
        <v/>
      </c>
      <c r="P862" s="77">
        <f>IF($A862="",0,$H862*설정!$C$23)</f>
        <v/>
      </c>
      <c r="Q862" s="39">
        <f>IF($A862="","",IF(O862&lt;&gt;원인분석!$C$9,"",IF(AND(M862&gt;=원인분석!$C$10,M862&lt;=원인분석!$C$11),"당기",IF(AND(M862&gt;=원인분석!$C$12,M862&lt;=원인분석!$C$13),"비교",""))))</f>
        <v/>
      </c>
      <c r="R862" s="9">
        <f>IF(Q862="","",$K862&amp;"")</f>
        <v/>
      </c>
      <c r="S862" s="9">
        <f>IF(Q862="","",IF(MATCH(R862,$R$5:$R$100000,0)=ROW()-4,ROW(),""))</f>
        <v/>
      </c>
      <c r="T862" s="9">
        <f>IF(Q862="당기",ABS(P862)+ROW()/1000000000,"")</f>
        <v/>
      </c>
      <c r="U862" s="9">
        <f>IF(Q862="비교",ABS(P862)+ROW()/1000000000,"")</f>
        <v/>
      </c>
      <c r="V862" s="39">
        <f>IF($A862="","",IF(COUNTIF(변동분석!$E$7:$E$506,O862)&gt;0,"Y","N"))</f>
        <v/>
      </c>
      <c r="W862" s="39">
        <f>IF($A862="","",IFERROR(INDEX(계정매핑!$D$5:$D$504,MATCH($F862&amp;"",계정매핑!$A$5:$A$504,0)),"미매핑"))</f>
        <v/>
      </c>
      <c r="X862" s="9">
        <f>IF($A862="","",$F862&amp;"")</f>
        <v/>
      </c>
    </row>
    <row r="863">
      <c r="A863" s="75" t="n">
        <v>2025</v>
      </c>
      <c r="B863" s="75" t="n">
        <v>5</v>
      </c>
      <c r="C863" s="75" t="inlineStr">
        <is>
          <t>5100000859</t>
        </is>
      </c>
      <c r="D863" s="78" t="n">
        <v>45788</v>
      </c>
      <c r="E863" s="75" t="inlineStr">
        <is>
          <t>KR</t>
        </is>
      </c>
      <c r="F863" s="75" t="n">
        <v>62301000</v>
      </c>
      <c r="G863" s="75" t="n">
        <v>1601</v>
      </c>
      <c r="H863" s="76" t="n">
        <v>332000</v>
      </c>
      <c r="I863" s="75" t="inlineStr">
        <is>
          <t>5월 소모품 구입 - R문구</t>
        </is>
      </c>
      <c r="J863" s="75" t="inlineStr">
        <is>
          <t>V10018</t>
        </is>
      </c>
      <c r="K863" s="75" t="inlineStr">
        <is>
          <t>R문구</t>
        </is>
      </c>
      <c r="M863" s="9">
        <f>IF($A863="","",VALUE($A863&amp;"")*12+VALUE($B863&amp;""))</f>
        <v/>
      </c>
      <c r="N863" s="39">
        <f>IF($A863="","",IFERROR(INDEX(부서매핑!$C$5:$C$504,MATCH($G863&amp;"",부서매핑!$A$5:$A$504,0)),"미매핑"))</f>
        <v/>
      </c>
      <c r="O863" s="9">
        <f>IF($A863="","",N863&amp;"|"&amp;$F863)</f>
        <v/>
      </c>
      <c r="P863" s="77">
        <f>IF($A863="",0,$H863*설정!$C$23)</f>
        <v/>
      </c>
      <c r="Q863" s="39">
        <f>IF($A863="","",IF(O863&lt;&gt;원인분석!$C$9,"",IF(AND(M863&gt;=원인분석!$C$10,M863&lt;=원인분석!$C$11),"당기",IF(AND(M863&gt;=원인분석!$C$12,M863&lt;=원인분석!$C$13),"비교",""))))</f>
        <v/>
      </c>
      <c r="R863" s="9">
        <f>IF(Q863="","",$K863&amp;"")</f>
        <v/>
      </c>
      <c r="S863" s="9">
        <f>IF(Q863="","",IF(MATCH(R863,$R$5:$R$100000,0)=ROW()-4,ROW(),""))</f>
        <v/>
      </c>
      <c r="T863" s="9">
        <f>IF(Q863="당기",ABS(P863)+ROW()/1000000000,"")</f>
        <v/>
      </c>
      <c r="U863" s="9">
        <f>IF(Q863="비교",ABS(P863)+ROW()/1000000000,"")</f>
        <v/>
      </c>
      <c r="V863" s="39">
        <f>IF($A863="","",IF(COUNTIF(변동분석!$E$7:$E$506,O863)&gt;0,"Y","N"))</f>
        <v/>
      </c>
      <c r="W863" s="39">
        <f>IF($A863="","",IFERROR(INDEX(계정매핑!$D$5:$D$504,MATCH($F863&amp;"",계정매핑!$A$5:$A$504,0)),"미매핑"))</f>
        <v/>
      </c>
      <c r="X863" s="9">
        <f>IF($A863="","",$F863&amp;"")</f>
        <v/>
      </c>
    </row>
    <row r="864">
      <c r="A864" s="75" t="n">
        <v>2025</v>
      </c>
      <c r="B864" s="75" t="n">
        <v>5</v>
      </c>
      <c r="C864" s="75" t="inlineStr">
        <is>
          <t>5100000860</t>
        </is>
      </c>
      <c r="D864" s="78" t="n">
        <v>45788</v>
      </c>
      <c r="E864" s="75" t="inlineStr">
        <is>
          <t>KR</t>
        </is>
      </c>
      <c r="F864" s="75" t="n">
        <v>62902000</v>
      </c>
      <c r="G864" s="75" t="n">
        <v>1201</v>
      </c>
      <c r="H864" s="76" t="n">
        <v>3362000</v>
      </c>
      <c r="I864" s="75" t="inlineStr">
        <is>
          <t>5월 업무 위탁 수수료 - J콜센터</t>
        </is>
      </c>
      <c r="J864" s="75" t="inlineStr">
        <is>
          <t>V10013</t>
        </is>
      </c>
      <c r="K864" s="75" t="inlineStr">
        <is>
          <t>J콜센터</t>
        </is>
      </c>
      <c r="M864" s="9">
        <f>IF($A864="","",VALUE($A864&amp;"")*12+VALUE($B864&amp;""))</f>
        <v/>
      </c>
      <c r="N864" s="39">
        <f>IF($A864="","",IFERROR(INDEX(부서매핑!$C$5:$C$504,MATCH($G864&amp;"",부서매핑!$A$5:$A$504,0)),"미매핑"))</f>
        <v/>
      </c>
      <c r="O864" s="9">
        <f>IF($A864="","",N864&amp;"|"&amp;$F864)</f>
        <v/>
      </c>
      <c r="P864" s="77">
        <f>IF($A864="",0,$H864*설정!$C$23)</f>
        <v/>
      </c>
      <c r="Q864" s="39">
        <f>IF($A864="","",IF(O864&lt;&gt;원인분석!$C$9,"",IF(AND(M864&gt;=원인분석!$C$10,M864&lt;=원인분석!$C$11),"당기",IF(AND(M864&gt;=원인분석!$C$12,M864&lt;=원인분석!$C$13),"비교",""))))</f>
        <v/>
      </c>
      <c r="R864" s="9">
        <f>IF(Q864="","",$K864&amp;"")</f>
        <v/>
      </c>
      <c r="S864" s="9">
        <f>IF(Q864="","",IF(MATCH(R864,$R$5:$R$100000,0)=ROW()-4,ROW(),""))</f>
        <v/>
      </c>
      <c r="T864" s="9">
        <f>IF(Q864="당기",ABS(P864)+ROW()/1000000000,"")</f>
        <v/>
      </c>
      <c r="U864" s="9">
        <f>IF(Q864="비교",ABS(P864)+ROW()/1000000000,"")</f>
        <v/>
      </c>
      <c r="V864" s="39">
        <f>IF($A864="","",IF(COUNTIF(변동분석!$E$7:$E$506,O864)&gt;0,"Y","N"))</f>
        <v/>
      </c>
      <c r="W864" s="39">
        <f>IF($A864="","",IFERROR(INDEX(계정매핑!$D$5:$D$504,MATCH($F864&amp;"",계정매핑!$A$5:$A$504,0)),"미매핑"))</f>
        <v/>
      </c>
      <c r="X864" s="9">
        <f>IF($A864="","",$F864&amp;"")</f>
        <v/>
      </c>
    </row>
    <row r="865">
      <c r="A865" s="75" t="n">
        <v>2025</v>
      </c>
      <c r="B865" s="75" t="n">
        <v>5</v>
      </c>
      <c r="C865" s="75" t="inlineStr">
        <is>
          <t>5100000861</t>
        </is>
      </c>
      <c r="D865" s="78" t="n">
        <v>45788</v>
      </c>
      <c r="E865" s="75" t="inlineStr">
        <is>
          <t>KR</t>
        </is>
      </c>
      <c r="F865" s="75" t="n">
        <v>63001000</v>
      </c>
      <c r="G865" s="75" t="n">
        <v>1701</v>
      </c>
      <c r="H865" s="76" t="n">
        <v>24590000</v>
      </c>
      <c r="I865" s="75" t="inlineStr">
        <is>
          <t>5월 SW 유지보수 - Z시스템</t>
        </is>
      </c>
      <c r="J865" s="75" t="inlineStr">
        <is>
          <t>V10021</t>
        </is>
      </c>
      <c r="K865" s="75" t="inlineStr">
        <is>
          <t>Z시스템</t>
        </is>
      </c>
      <c r="M865" s="9">
        <f>IF($A865="","",VALUE($A865&amp;"")*12+VALUE($B865&amp;""))</f>
        <v/>
      </c>
      <c r="N865" s="39">
        <f>IF($A865="","",IFERROR(INDEX(부서매핑!$C$5:$C$504,MATCH($G865&amp;"",부서매핑!$A$5:$A$504,0)),"미매핑"))</f>
        <v/>
      </c>
      <c r="O865" s="9">
        <f>IF($A865="","",N865&amp;"|"&amp;$F865)</f>
        <v/>
      </c>
      <c r="P865" s="77">
        <f>IF($A865="",0,$H865*설정!$C$23)</f>
        <v/>
      </c>
      <c r="Q865" s="39">
        <f>IF($A865="","",IF(O865&lt;&gt;원인분석!$C$9,"",IF(AND(M865&gt;=원인분석!$C$10,M865&lt;=원인분석!$C$11),"당기",IF(AND(M865&gt;=원인분석!$C$12,M865&lt;=원인분석!$C$13),"비교",""))))</f>
        <v/>
      </c>
      <c r="R865" s="9">
        <f>IF(Q865="","",$K865&amp;"")</f>
        <v/>
      </c>
      <c r="S865" s="9">
        <f>IF(Q865="","",IF(MATCH(R865,$R$5:$R$100000,0)=ROW()-4,ROW(),""))</f>
        <v/>
      </c>
      <c r="T865" s="9">
        <f>IF(Q865="당기",ABS(P865)+ROW()/1000000000,"")</f>
        <v/>
      </c>
      <c r="U865" s="9">
        <f>IF(Q865="비교",ABS(P865)+ROW()/1000000000,"")</f>
        <v/>
      </c>
      <c r="V865" s="39">
        <f>IF($A865="","",IF(COUNTIF(변동분석!$E$7:$E$506,O865)&gt;0,"Y","N"))</f>
        <v/>
      </c>
      <c r="W865" s="39">
        <f>IF($A865="","",IFERROR(INDEX(계정매핑!$D$5:$D$504,MATCH($F865&amp;"",계정매핑!$A$5:$A$504,0)),"미매핑"))</f>
        <v/>
      </c>
      <c r="X865" s="9">
        <f>IF($A865="","",$F865&amp;"")</f>
        <v/>
      </c>
    </row>
    <row r="866">
      <c r="A866" s="75" t="n">
        <v>2025</v>
      </c>
      <c r="B866" s="75" t="n">
        <v>5</v>
      </c>
      <c r="C866" s="75" t="inlineStr">
        <is>
          <t>5100000862</t>
        </is>
      </c>
      <c r="D866" s="78" t="n">
        <v>45789</v>
      </c>
      <c r="E866" s="75" t="inlineStr">
        <is>
          <t>KR</t>
        </is>
      </c>
      <c r="F866" s="75" t="n">
        <v>62101000</v>
      </c>
      <c r="G866" s="75" t="n">
        <v>1502</v>
      </c>
      <c r="H866" s="76" t="n">
        <v>565000</v>
      </c>
      <c r="I866" s="75" t="inlineStr">
        <is>
          <t>5월 국내출장 - (법인카드)</t>
        </is>
      </c>
      <c r="J866" s="75" t="inlineStr">
        <is>
          <t>V10008</t>
        </is>
      </c>
      <c r="K866" s="75" t="inlineStr">
        <is>
          <t>(법인카드)</t>
        </is>
      </c>
      <c r="M866" s="9">
        <f>IF($A866="","",VALUE($A866&amp;"")*12+VALUE($B866&amp;""))</f>
        <v/>
      </c>
      <c r="N866" s="39">
        <f>IF($A866="","",IFERROR(INDEX(부서매핑!$C$5:$C$504,MATCH($G866&amp;"",부서매핑!$A$5:$A$504,0)),"미매핑"))</f>
        <v/>
      </c>
      <c r="O866" s="9">
        <f>IF($A866="","",N866&amp;"|"&amp;$F866)</f>
        <v/>
      </c>
      <c r="P866" s="77">
        <f>IF($A866="",0,$H866*설정!$C$23)</f>
        <v/>
      </c>
      <c r="Q866" s="39">
        <f>IF($A866="","",IF(O866&lt;&gt;원인분석!$C$9,"",IF(AND(M866&gt;=원인분석!$C$10,M866&lt;=원인분석!$C$11),"당기",IF(AND(M866&gt;=원인분석!$C$12,M866&lt;=원인분석!$C$13),"비교",""))))</f>
        <v/>
      </c>
      <c r="R866" s="9">
        <f>IF(Q866="","",$K866&amp;"")</f>
        <v/>
      </c>
      <c r="S866" s="9">
        <f>IF(Q866="","",IF(MATCH(R866,$R$5:$R$100000,0)=ROW()-4,ROW(),""))</f>
        <v/>
      </c>
      <c r="T866" s="9">
        <f>IF(Q866="당기",ABS(P866)+ROW()/1000000000,"")</f>
        <v/>
      </c>
      <c r="U866" s="9">
        <f>IF(Q866="비교",ABS(P866)+ROW()/1000000000,"")</f>
        <v/>
      </c>
      <c r="V866" s="39">
        <f>IF($A866="","",IF(COUNTIF(변동분석!$E$7:$E$506,O866)&gt;0,"Y","N"))</f>
        <v/>
      </c>
      <c r="W866" s="39">
        <f>IF($A866="","",IFERROR(INDEX(계정매핑!$D$5:$D$504,MATCH($F866&amp;"",계정매핑!$A$5:$A$504,0)),"미매핑"))</f>
        <v/>
      </c>
      <c r="X866" s="9">
        <f>IF($A866="","",$F866&amp;"")</f>
        <v/>
      </c>
    </row>
    <row r="867">
      <c r="A867" s="75" t="n">
        <v>2025</v>
      </c>
      <c r="B867" s="75" t="n">
        <v>5</v>
      </c>
      <c r="C867" s="75" t="inlineStr">
        <is>
          <t>5100000863</t>
        </is>
      </c>
      <c r="D867" s="78" t="n">
        <v>45789</v>
      </c>
      <c r="E867" s="75" t="inlineStr">
        <is>
          <t>KR</t>
        </is>
      </c>
      <c r="F867" s="75" t="n">
        <v>62101000</v>
      </c>
      <c r="G867" s="75" t="n">
        <v>1601</v>
      </c>
      <c r="H867" s="76" t="n">
        <v>1083000</v>
      </c>
      <c r="I867" s="75" t="inlineStr">
        <is>
          <t>5월 국내출장 - M항공</t>
        </is>
      </c>
      <c r="J867" s="75" t="inlineStr">
        <is>
          <t>V10001</t>
        </is>
      </c>
      <c r="K867" s="75" t="inlineStr">
        <is>
          <t>M항공</t>
        </is>
      </c>
      <c r="M867" s="9">
        <f>IF($A867="","",VALUE($A867&amp;"")*12+VALUE($B867&amp;""))</f>
        <v/>
      </c>
      <c r="N867" s="39">
        <f>IF($A867="","",IFERROR(INDEX(부서매핑!$C$5:$C$504,MATCH($G867&amp;"",부서매핑!$A$5:$A$504,0)),"미매핑"))</f>
        <v/>
      </c>
      <c r="O867" s="9">
        <f>IF($A867="","",N867&amp;"|"&amp;$F867)</f>
        <v/>
      </c>
      <c r="P867" s="77">
        <f>IF($A867="",0,$H867*설정!$C$23)</f>
        <v/>
      </c>
      <c r="Q867" s="39">
        <f>IF($A867="","",IF(O867&lt;&gt;원인분석!$C$9,"",IF(AND(M867&gt;=원인분석!$C$10,M867&lt;=원인분석!$C$11),"당기",IF(AND(M867&gt;=원인분석!$C$12,M867&lt;=원인분석!$C$13),"비교",""))))</f>
        <v/>
      </c>
      <c r="R867" s="9">
        <f>IF(Q867="","",$K867&amp;"")</f>
        <v/>
      </c>
      <c r="S867" s="9">
        <f>IF(Q867="","",IF(MATCH(R867,$R$5:$R$100000,0)=ROW()-4,ROW(),""))</f>
        <v/>
      </c>
      <c r="T867" s="9">
        <f>IF(Q867="당기",ABS(P867)+ROW()/1000000000,"")</f>
        <v/>
      </c>
      <c r="U867" s="9">
        <f>IF(Q867="비교",ABS(P867)+ROW()/1000000000,"")</f>
        <v/>
      </c>
      <c r="V867" s="39">
        <f>IF($A867="","",IF(COUNTIF(변동분석!$E$7:$E$506,O867)&gt;0,"Y","N"))</f>
        <v/>
      </c>
      <c r="W867" s="39">
        <f>IF($A867="","",IFERROR(INDEX(계정매핑!$D$5:$D$504,MATCH($F867&amp;"",계정매핑!$A$5:$A$504,0)),"미매핑"))</f>
        <v/>
      </c>
      <c r="X867" s="9">
        <f>IF($A867="","",$F867&amp;"")</f>
        <v/>
      </c>
    </row>
    <row r="868">
      <c r="A868" s="75" t="n">
        <v>2025</v>
      </c>
      <c r="B868" s="75" t="n">
        <v>5</v>
      </c>
      <c r="C868" s="75" t="inlineStr">
        <is>
          <t>5100000864</t>
        </is>
      </c>
      <c r="D868" s="78" t="n">
        <v>45789</v>
      </c>
      <c r="E868" s="75" t="inlineStr">
        <is>
          <t>KR</t>
        </is>
      </c>
      <c r="F868" s="75" t="n">
        <v>62102000</v>
      </c>
      <c r="G868" s="75" t="n">
        <v>1201</v>
      </c>
      <c r="H868" s="76" t="n">
        <v>59000</v>
      </c>
      <c r="I868" s="75" t="inlineStr">
        <is>
          <t>5월 해외출장 - N호텔</t>
        </is>
      </c>
      <c r="J868" s="75" t="inlineStr">
        <is>
          <t>V10007</t>
        </is>
      </c>
      <c r="K868" s="75" t="inlineStr">
        <is>
          <t>N호텔</t>
        </is>
      </c>
      <c r="M868" s="9">
        <f>IF($A868="","",VALUE($A868&amp;"")*12+VALUE($B868&amp;""))</f>
        <v/>
      </c>
      <c r="N868" s="39">
        <f>IF($A868="","",IFERROR(INDEX(부서매핑!$C$5:$C$504,MATCH($G868&amp;"",부서매핑!$A$5:$A$504,0)),"미매핑"))</f>
        <v/>
      </c>
      <c r="O868" s="9">
        <f>IF($A868="","",N868&amp;"|"&amp;$F868)</f>
        <v/>
      </c>
      <c r="P868" s="77">
        <f>IF($A868="",0,$H868*설정!$C$23)</f>
        <v/>
      </c>
      <c r="Q868" s="39">
        <f>IF($A868="","",IF(O868&lt;&gt;원인분석!$C$9,"",IF(AND(M868&gt;=원인분석!$C$10,M868&lt;=원인분석!$C$11),"당기",IF(AND(M868&gt;=원인분석!$C$12,M868&lt;=원인분석!$C$13),"비교",""))))</f>
        <v/>
      </c>
      <c r="R868" s="9">
        <f>IF(Q868="","",$K868&amp;"")</f>
        <v/>
      </c>
      <c r="S868" s="9">
        <f>IF(Q868="","",IF(MATCH(R868,$R$5:$R$100000,0)=ROW()-4,ROW(),""))</f>
        <v/>
      </c>
      <c r="T868" s="9">
        <f>IF(Q868="당기",ABS(P868)+ROW()/1000000000,"")</f>
        <v/>
      </c>
      <c r="U868" s="9">
        <f>IF(Q868="비교",ABS(P868)+ROW()/1000000000,"")</f>
        <v/>
      </c>
      <c r="V868" s="39">
        <f>IF($A868="","",IF(COUNTIF(변동분석!$E$7:$E$506,O868)&gt;0,"Y","N"))</f>
        <v/>
      </c>
      <c r="W868" s="39">
        <f>IF($A868="","",IFERROR(INDEX(계정매핑!$D$5:$D$504,MATCH($F868&amp;"",계정매핑!$A$5:$A$504,0)),"미매핑"))</f>
        <v/>
      </c>
      <c r="X868" s="9">
        <f>IF($A868="","",$F868&amp;"")</f>
        <v/>
      </c>
    </row>
    <row r="869">
      <c r="A869" s="75" t="n">
        <v>2025</v>
      </c>
      <c r="B869" s="75" t="n">
        <v>5</v>
      </c>
      <c r="C869" s="75" t="inlineStr">
        <is>
          <t>5100000865</t>
        </is>
      </c>
      <c r="D869" s="78" t="n">
        <v>45789</v>
      </c>
      <c r="E869" s="75" t="inlineStr">
        <is>
          <t>KR</t>
        </is>
      </c>
      <c r="F869" s="75" t="n">
        <v>62102000</v>
      </c>
      <c r="G869" s="75" t="n">
        <v>1701</v>
      </c>
      <c r="H869" s="76" t="n">
        <v>42000</v>
      </c>
      <c r="I869" s="75" t="inlineStr">
        <is>
          <t>5월 해외출장 - M항공</t>
        </is>
      </c>
      <c r="J869" s="75" t="inlineStr">
        <is>
          <t>V10001</t>
        </is>
      </c>
      <c r="K869" s="75" t="inlineStr">
        <is>
          <t>M항공</t>
        </is>
      </c>
      <c r="M869" s="9">
        <f>IF($A869="","",VALUE($A869&amp;"")*12+VALUE($B869&amp;""))</f>
        <v/>
      </c>
      <c r="N869" s="39">
        <f>IF($A869="","",IFERROR(INDEX(부서매핑!$C$5:$C$504,MATCH($G869&amp;"",부서매핑!$A$5:$A$504,0)),"미매핑"))</f>
        <v/>
      </c>
      <c r="O869" s="9">
        <f>IF($A869="","",N869&amp;"|"&amp;$F869)</f>
        <v/>
      </c>
      <c r="P869" s="77">
        <f>IF($A869="",0,$H869*설정!$C$23)</f>
        <v/>
      </c>
      <c r="Q869" s="39">
        <f>IF($A869="","",IF(O869&lt;&gt;원인분석!$C$9,"",IF(AND(M869&gt;=원인분석!$C$10,M869&lt;=원인분석!$C$11),"당기",IF(AND(M869&gt;=원인분석!$C$12,M869&lt;=원인분석!$C$13),"비교",""))))</f>
        <v/>
      </c>
      <c r="R869" s="9">
        <f>IF(Q869="","",$K869&amp;"")</f>
        <v/>
      </c>
      <c r="S869" s="9">
        <f>IF(Q869="","",IF(MATCH(R869,$R$5:$R$100000,0)=ROW()-4,ROW(),""))</f>
        <v/>
      </c>
      <c r="T869" s="9">
        <f>IF(Q869="당기",ABS(P869)+ROW()/1000000000,"")</f>
        <v/>
      </c>
      <c r="U869" s="9">
        <f>IF(Q869="비교",ABS(P869)+ROW()/1000000000,"")</f>
        <v/>
      </c>
      <c r="V869" s="39">
        <f>IF($A869="","",IF(COUNTIF(변동분석!$E$7:$E$506,O869)&gt;0,"Y","N"))</f>
        <v/>
      </c>
      <c r="W869" s="39">
        <f>IF($A869="","",IFERROR(INDEX(계정매핑!$D$5:$D$504,MATCH($F869&amp;"",계정매핑!$A$5:$A$504,0)),"미매핑"))</f>
        <v/>
      </c>
      <c r="X869" s="9">
        <f>IF($A869="","",$F869&amp;"")</f>
        <v/>
      </c>
    </row>
    <row r="870">
      <c r="A870" s="75" t="n">
        <v>2025</v>
      </c>
      <c r="B870" s="75" t="n">
        <v>5</v>
      </c>
      <c r="C870" s="75" t="inlineStr">
        <is>
          <t>5100000866</t>
        </is>
      </c>
      <c r="D870" s="78" t="n">
        <v>45789</v>
      </c>
      <c r="E870" s="75" t="inlineStr">
        <is>
          <t>KR</t>
        </is>
      </c>
      <c r="F870" s="75" t="n">
        <v>62201000</v>
      </c>
      <c r="G870" s="75" t="n">
        <v>1501</v>
      </c>
      <c r="H870" s="76" t="n">
        <v>180000</v>
      </c>
      <c r="I870" s="75" t="inlineStr">
        <is>
          <t>5월 통신요금 - P통신</t>
        </is>
      </c>
      <c r="J870" s="75" t="inlineStr">
        <is>
          <t>V10011</t>
        </is>
      </c>
      <c r="K870" s="75" t="inlineStr">
        <is>
          <t>P통신</t>
        </is>
      </c>
      <c r="M870" s="9">
        <f>IF($A870="","",VALUE($A870&amp;"")*12+VALUE($B870&amp;""))</f>
        <v/>
      </c>
      <c r="N870" s="39">
        <f>IF($A870="","",IFERROR(INDEX(부서매핑!$C$5:$C$504,MATCH($G870&amp;"",부서매핑!$A$5:$A$504,0)),"미매핑"))</f>
        <v/>
      </c>
      <c r="O870" s="9">
        <f>IF($A870="","",N870&amp;"|"&amp;$F870)</f>
        <v/>
      </c>
      <c r="P870" s="77">
        <f>IF($A870="",0,$H870*설정!$C$23)</f>
        <v/>
      </c>
      <c r="Q870" s="39">
        <f>IF($A870="","",IF(O870&lt;&gt;원인분석!$C$9,"",IF(AND(M870&gt;=원인분석!$C$10,M870&lt;=원인분석!$C$11),"당기",IF(AND(M870&gt;=원인분석!$C$12,M870&lt;=원인분석!$C$13),"비교",""))))</f>
        <v/>
      </c>
      <c r="R870" s="9">
        <f>IF(Q870="","",$K870&amp;"")</f>
        <v/>
      </c>
      <c r="S870" s="9">
        <f>IF(Q870="","",IF(MATCH(R870,$R$5:$R$100000,0)=ROW()-4,ROW(),""))</f>
        <v/>
      </c>
      <c r="T870" s="9">
        <f>IF(Q870="당기",ABS(P870)+ROW()/1000000000,"")</f>
        <v/>
      </c>
      <c r="U870" s="9">
        <f>IF(Q870="비교",ABS(P870)+ROW()/1000000000,"")</f>
        <v/>
      </c>
      <c r="V870" s="39">
        <f>IF($A870="","",IF(COUNTIF(변동분석!$E$7:$E$506,O870)&gt;0,"Y","N"))</f>
        <v/>
      </c>
      <c r="W870" s="39">
        <f>IF($A870="","",IFERROR(INDEX(계정매핑!$D$5:$D$504,MATCH($F870&amp;"",계정매핑!$A$5:$A$504,0)),"미매핑"))</f>
        <v/>
      </c>
      <c r="X870" s="9">
        <f>IF($A870="","",$F870&amp;"")</f>
        <v/>
      </c>
    </row>
    <row r="871">
      <c r="A871" s="75" t="n">
        <v>2025</v>
      </c>
      <c r="B871" s="75" t="n">
        <v>5</v>
      </c>
      <c r="C871" s="75" t="inlineStr">
        <is>
          <t>5100000867</t>
        </is>
      </c>
      <c r="D871" s="78" t="n">
        <v>45789</v>
      </c>
      <c r="E871" s="75" t="inlineStr">
        <is>
          <t>KR</t>
        </is>
      </c>
      <c r="F871" s="75" t="n">
        <v>62301000</v>
      </c>
      <c r="G871" s="75" t="n">
        <v>1301</v>
      </c>
      <c r="H871" s="76" t="n">
        <v>172000</v>
      </c>
      <c r="I871" s="75" t="inlineStr">
        <is>
          <t>5월 소모품 구입 - R문구</t>
        </is>
      </c>
      <c r="J871" s="75" t="inlineStr">
        <is>
          <t>V10018</t>
        </is>
      </c>
      <c r="K871" s="75" t="inlineStr">
        <is>
          <t>R문구</t>
        </is>
      </c>
      <c r="M871" s="9">
        <f>IF($A871="","",VALUE($A871&amp;"")*12+VALUE($B871&amp;""))</f>
        <v/>
      </c>
      <c r="N871" s="39">
        <f>IF($A871="","",IFERROR(INDEX(부서매핑!$C$5:$C$504,MATCH($G871&amp;"",부서매핑!$A$5:$A$504,0)),"미매핑"))</f>
        <v/>
      </c>
      <c r="O871" s="9">
        <f>IF($A871="","",N871&amp;"|"&amp;$F871)</f>
        <v/>
      </c>
      <c r="P871" s="77">
        <f>IF($A871="",0,$H871*설정!$C$23)</f>
        <v/>
      </c>
      <c r="Q871" s="39">
        <f>IF($A871="","",IF(O871&lt;&gt;원인분석!$C$9,"",IF(AND(M871&gt;=원인분석!$C$10,M871&lt;=원인분석!$C$11),"당기",IF(AND(M871&gt;=원인분석!$C$12,M871&lt;=원인분석!$C$13),"비교",""))))</f>
        <v/>
      </c>
      <c r="R871" s="9">
        <f>IF(Q871="","",$K871&amp;"")</f>
        <v/>
      </c>
      <c r="S871" s="9">
        <f>IF(Q871="","",IF(MATCH(R871,$R$5:$R$100000,0)=ROW()-4,ROW(),""))</f>
        <v/>
      </c>
      <c r="T871" s="9">
        <f>IF(Q871="당기",ABS(P871)+ROW()/1000000000,"")</f>
        <v/>
      </c>
      <c r="U871" s="9">
        <f>IF(Q871="비교",ABS(P871)+ROW()/1000000000,"")</f>
        <v/>
      </c>
      <c r="V871" s="39">
        <f>IF($A871="","",IF(COUNTIF(변동분석!$E$7:$E$506,O871)&gt;0,"Y","N"))</f>
        <v/>
      </c>
      <c r="W871" s="39">
        <f>IF($A871="","",IFERROR(INDEX(계정매핑!$D$5:$D$504,MATCH($F871&amp;"",계정매핑!$A$5:$A$504,0)),"미매핑"))</f>
        <v/>
      </c>
      <c r="X871" s="9">
        <f>IF($A871="","",$F871&amp;"")</f>
        <v/>
      </c>
    </row>
    <row r="872">
      <c r="A872" s="75" t="n">
        <v>2025</v>
      </c>
      <c r="B872" s="75" t="n">
        <v>5</v>
      </c>
      <c r="C872" s="75" t="inlineStr">
        <is>
          <t>5100000868</t>
        </is>
      </c>
      <c r="D872" s="78" t="n">
        <v>45789</v>
      </c>
      <c r="E872" s="75" t="inlineStr">
        <is>
          <t>KR</t>
        </is>
      </c>
      <c r="F872" s="75" t="n">
        <v>62301000</v>
      </c>
      <c r="G872" s="75" t="n">
        <v>1701</v>
      </c>
      <c r="H872" s="76" t="n">
        <v>250000</v>
      </c>
      <c r="I872" s="75" t="inlineStr">
        <is>
          <t>5월 소모품 구입 - R문구</t>
        </is>
      </c>
      <c r="J872" s="75" t="inlineStr">
        <is>
          <t>V10018</t>
        </is>
      </c>
      <c r="K872" s="75" t="inlineStr">
        <is>
          <t>R문구</t>
        </is>
      </c>
      <c r="M872" s="9">
        <f>IF($A872="","",VALUE($A872&amp;"")*12+VALUE($B872&amp;""))</f>
        <v/>
      </c>
      <c r="N872" s="39">
        <f>IF($A872="","",IFERROR(INDEX(부서매핑!$C$5:$C$504,MATCH($G872&amp;"",부서매핑!$A$5:$A$504,0)),"미매핑"))</f>
        <v/>
      </c>
      <c r="O872" s="9">
        <f>IF($A872="","",N872&amp;"|"&amp;$F872)</f>
        <v/>
      </c>
      <c r="P872" s="77">
        <f>IF($A872="",0,$H872*설정!$C$23)</f>
        <v/>
      </c>
      <c r="Q872" s="39">
        <f>IF($A872="","",IF(O872&lt;&gt;원인분석!$C$9,"",IF(AND(M872&gt;=원인분석!$C$10,M872&lt;=원인분석!$C$11),"당기",IF(AND(M872&gt;=원인분석!$C$12,M872&lt;=원인분석!$C$13),"비교",""))))</f>
        <v/>
      </c>
      <c r="R872" s="9">
        <f>IF(Q872="","",$K872&amp;"")</f>
        <v/>
      </c>
      <c r="S872" s="9">
        <f>IF(Q872="","",IF(MATCH(R872,$R$5:$R$100000,0)=ROW()-4,ROW(),""))</f>
        <v/>
      </c>
      <c r="T872" s="9">
        <f>IF(Q872="당기",ABS(P872)+ROW()/1000000000,"")</f>
        <v/>
      </c>
      <c r="U872" s="9">
        <f>IF(Q872="비교",ABS(P872)+ROW()/1000000000,"")</f>
        <v/>
      </c>
      <c r="V872" s="39">
        <f>IF($A872="","",IF(COUNTIF(변동분석!$E$7:$E$506,O872)&gt;0,"Y","N"))</f>
        <v/>
      </c>
      <c r="W872" s="39">
        <f>IF($A872="","",IFERROR(INDEX(계정매핑!$D$5:$D$504,MATCH($F872&amp;"",계정매핑!$A$5:$A$504,0)),"미매핑"))</f>
        <v/>
      </c>
      <c r="X872" s="9">
        <f>IF($A872="","",$F872&amp;"")</f>
        <v/>
      </c>
    </row>
    <row r="873">
      <c r="A873" s="75" t="n">
        <v>2025</v>
      </c>
      <c r="B873" s="75" t="n">
        <v>5</v>
      </c>
      <c r="C873" s="75" t="inlineStr">
        <is>
          <t>5100000869</t>
        </is>
      </c>
      <c r="D873" s="78" t="n">
        <v>45789</v>
      </c>
      <c r="E873" s="75" t="inlineStr">
        <is>
          <t>KR</t>
        </is>
      </c>
      <c r="F873" s="75" t="n">
        <v>62501000</v>
      </c>
      <c r="G873" s="75" t="n">
        <v>1201</v>
      </c>
      <c r="H873" s="76" t="n">
        <v>122000</v>
      </c>
      <c r="I873" s="75" t="inlineStr">
        <is>
          <t>5월 회의 다과 - T케이터링</t>
        </is>
      </c>
      <c r="J873" s="75" t="inlineStr">
        <is>
          <t>V10005</t>
        </is>
      </c>
      <c r="K873" s="75" t="inlineStr">
        <is>
          <t>T케이터링</t>
        </is>
      </c>
      <c r="M873" s="9">
        <f>IF($A873="","",VALUE($A873&amp;"")*12+VALUE($B873&amp;""))</f>
        <v/>
      </c>
      <c r="N873" s="39">
        <f>IF($A873="","",IFERROR(INDEX(부서매핑!$C$5:$C$504,MATCH($G873&amp;"",부서매핑!$A$5:$A$504,0)),"미매핑"))</f>
        <v/>
      </c>
      <c r="O873" s="9">
        <f>IF($A873="","",N873&amp;"|"&amp;$F873)</f>
        <v/>
      </c>
      <c r="P873" s="77">
        <f>IF($A873="",0,$H873*설정!$C$23)</f>
        <v/>
      </c>
      <c r="Q873" s="39">
        <f>IF($A873="","",IF(O873&lt;&gt;원인분석!$C$9,"",IF(AND(M873&gt;=원인분석!$C$10,M873&lt;=원인분석!$C$11),"당기",IF(AND(M873&gt;=원인분석!$C$12,M873&lt;=원인분석!$C$13),"비교",""))))</f>
        <v/>
      </c>
      <c r="R873" s="9">
        <f>IF(Q873="","",$K873&amp;"")</f>
        <v/>
      </c>
      <c r="S873" s="9">
        <f>IF(Q873="","",IF(MATCH(R873,$R$5:$R$100000,0)=ROW()-4,ROW(),""))</f>
        <v/>
      </c>
      <c r="T873" s="9">
        <f>IF(Q873="당기",ABS(P873)+ROW()/1000000000,"")</f>
        <v/>
      </c>
      <c r="U873" s="9">
        <f>IF(Q873="비교",ABS(P873)+ROW()/1000000000,"")</f>
        <v/>
      </c>
      <c r="V873" s="39">
        <f>IF($A873="","",IF(COUNTIF(변동분석!$E$7:$E$506,O873)&gt;0,"Y","N"))</f>
        <v/>
      </c>
      <c r="W873" s="39">
        <f>IF($A873="","",IFERROR(INDEX(계정매핑!$D$5:$D$504,MATCH($F873&amp;"",계정매핑!$A$5:$A$504,0)),"미매핑"))</f>
        <v/>
      </c>
      <c r="X873" s="9">
        <f>IF($A873="","",$F873&amp;"")</f>
        <v/>
      </c>
    </row>
    <row r="874">
      <c r="A874" s="75" t="n">
        <v>2025</v>
      </c>
      <c r="B874" s="75" t="n">
        <v>5</v>
      </c>
      <c r="C874" s="75" t="inlineStr">
        <is>
          <t>5100000870</t>
        </is>
      </c>
      <c r="D874" s="78" t="n">
        <v>45789</v>
      </c>
      <c r="E874" s="75" t="inlineStr">
        <is>
          <t>KR</t>
        </is>
      </c>
      <c r="F874" s="75" t="n">
        <v>62501000</v>
      </c>
      <c r="G874" s="75" t="n">
        <v>1701</v>
      </c>
      <c r="H874" s="76" t="n">
        <v>112000</v>
      </c>
      <c r="I874" s="75" t="inlineStr">
        <is>
          <t>5월 회의 다과 - (법인카드)</t>
        </is>
      </c>
      <c r="J874" s="75" t="inlineStr">
        <is>
          <t>V10008</t>
        </is>
      </c>
      <c r="K874" s="75" t="inlineStr">
        <is>
          <t>(법인카드)</t>
        </is>
      </c>
      <c r="M874" s="9">
        <f>IF($A874="","",VALUE($A874&amp;"")*12+VALUE($B874&amp;""))</f>
        <v/>
      </c>
      <c r="N874" s="39">
        <f>IF($A874="","",IFERROR(INDEX(부서매핑!$C$5:$C$504,MATCH($G874&amp;"",부서매핑!$A$5:$A$504,0)),"미매핑"))</f>
        <v/>
      </c>
      <c r="O874" s="9">
        <f>IF($A874="","",N874&amp;"|"&amp;$F874)</f>
        <v/>
      </c>
      <c r="P874" s="77">
        <f>IF($A874="",0,$H874*설정!$C$23)</f>
        <v/>
      </c>
      <c r="Q874" s="39">
        <f>IF($A874="","",IF(O874&lt;&gt;원인분석!$C$9,"",IF(AND(M874&gt;=원인분석!$C$10,M874&lt;=원인분석!$C$11),"당기",IF(AND(M874&gt;=원인분석!$C$12,M874&lt;=원인분석!$C$13),"비교",""))))</f>
        <v/>
      </c>
      <c r="R874" s="9">
        <f>IF(Q874="","",$K874&amp;"")</f>
        <v/>
      </c>
      <c r="S874" s="9">
        <f>IF(Q874="","",IF(MATCH(R874,$R$5:$R$100000,0)=ROW()-4,ROW(),""))</f>
        <v/>
      </c>
      <c r="T874" s="9">
        <f>IF(Q874="당기",ABS(P874)+ROW()/1000000000,"")</f>
        <v/>
      </c>
      <c r="U874" s="9">
        <f>IF(Q874="비교",ABS(P874)+ROW()/1000000000,"")</f>
        <v/>
      </c>
      <c r="V874" s="39">
        <f>IF($A874="","",IF(COUNTIF(변동분석!$E$7:$E$506,O874)&gt;0,"Y","N"))</f>
        <v/>
      </c>
      <c r="W874" s="39">
        <f>IF($A874="","",IFERROR(INDEX(계정매핑!$D$5:$D$504,MATCH($F874&amp;"",계정매핑!$A$5:$A$504,0)),"미매핑"))</f>
        <v/>
      </c>
      <c r="X874" s="9">
        <f>IF($A874="","",$F874&amp;"")</f>
        <v/>
      </c>
    </row>
    <row r="875">
      <c r="A875" s="75" t="n">
        <v>2025</v>
      </c>
      <c r="B875" s="75" t="n">
        <v>5</v>
      </c>
      <c r="C875" s="75" t="inlineStr">
        <is>
          <t>5100000871</t>
        </is>
      </c>
      <c r="D875" s="78" t="n">
        <v>45789</v>
      </c>
      <c r="E875" s="75" t="inlineStr">
        <is>
          <t>KR</t>
        </is>
      </c>
      <c r="F875" s="75" t="n">
        <v>62701000</v>
      </c>
      <c r="G875" s="75" t="n">
        <v>1501</v>
      </c>
      <c r="H875" s="76" t="n">
        <v>44063000</v>
      </c>
      <c r="I875" s="75" t="inlineStr">
        <is>
          <t>5월 광고 집행 - E미디어</t>
        </is>
      </c>
      <c r="J875" s="75" t="inlineStr">
        <is>
          <t>V10027</t>
        </is>
      </c>
      <c r="K875" s="75" t="inlineStr">
        <is>
          <t>E미디어</t>
        </is>
      </c>
      <c r="M875" s="9">
        <f>IF($A875="","",VALUE($A875&amp;"")*12+VALUE($B875&amp;""))</f>
        <v/>
      </c>
      <c r="N875" s="39">
        <f>IF($A875="","",IFERROR(INDEX(부서매핑!$C$5:$C$504,MATCH($G875&amp;"",부서매핑!$A$5:$A$504,0)),"미매핑"))</f>
        <v/>
      </c>
      <c r="O875" s="9">
        <f>IF($A875="","",N875&amp;"|"&amp;$F875)</f>
        <v/>
      </c>
      <c r="P875" s="77">
        <f>IF($A875="",0,$H875*설정!$C$23)</f>
        <v/>
      </c>
      <c r="Q875" s="39">
        <f>IF($A875="","",IF(O875&lt;&gt;원인분석!$C$9,"",IF(AND(M875&gt;=원인분석!$C$10,M875&lt;=원인분석!$C$11),"당기",IF(AND(M875&gt;=원인분석!$C$12,M875&lt;=원인분석!$C$13),"비교",""))))</f>
        <v/>
      </c>
      <c r="R875" s="9">
        <f>IF(Q875="","",$K875&amp;"")</f>
        <v/>
      </c>
      <c r="S875" s="9">
        <f>IF(Q875="","",IF(MATCH(R875,$R$5:$R$100000,0)=ROW()-4,ROW(),""))</f>
        <v/>
      </c>
      <c r="T875" s="9">
        <f>IF(Q875="당기",ABS(P875)+ROW()/1000000000,"")</f>
        <v/>
      </c>
      <c r="U875" s="9">
        <f>IF(Q875="비교",ABS(P875)+ROW()/1000000000,"")</f>
        <v/>
      </c>
      <c r="V875" s="39">
        <f>IF($A875="","",IF(COUNTIF(변동분석!$E$7:$E$506,O875)&gt;0,"Y","N"))</f>
        <v/>
      </c>
      <c r="W875" s="39">
        <f>IF($A875="","",IFERROR(INDEX(계정매핑!$D$5:$D$504,MATCH($F875&amp;"",계정매핑!$A$5:$A$504,0)),"미매핑"))</f>
        <v/>
      </c>
      <c r="X875" s="9">
        <f>IF($A875="","",$F875&amp;"")</f>
        <v/>
      </c>
    </row>
    <row r="876">
      <c r="A876" s="75" t="n">
        <v>2025</v>
      </c>
      <c r="B876" s="75" t="n">
        <v>5</v>
      </c>
      <c r="C876" s="75" t="inlineStr">
        <is>
          <t>5100000872</t>
        </is>
      </c>
      <c r="D876" s="78" t="n">
        <v>45789</v>
      </c>
      <c r="E876" s="75" t="inlineStr">
        <is>
          <t>KR</t>
        </is>
      </c>
      <c r="F876" s="75" t="n">
        <v>62901000</v>
      </c>
      <c r="G876" s="75" t="n">
        <v>1801</v>
      </c>
      <c r="H876" s="76" t="n">
        <v>6879000</v>
      </c>
      <c r="I876" s="75" t="inlineStr">
        <is>
          <t>5월 자문 수수료 - W컨설팅</t>
        </is>
      </c>
      <c r="J876" s="75" t="inlineStr">
        <is>
          <t>V10009</t>
        </is>
      </c>
      <c r="K876" s="75" t="inlineStr">
        <is>
          <t>W컨설팅</t>
        </is>
      </c>
      <c r="M876" s="9">
        <f>IF($A876="","",VALUE($A876&amp;"")*12+VALUE($B876&amp;""))</f>
        <v/>
      </c>
      <c r="N876" s="39">
        <f>IF($A876="","",IFERROR(INDEX(부서매핑!$C$5:$C$504,MATCH($G876&amp;"",부서매핑!$A$5:$A$504,0)),"미매핑"))</f>
        <v/>
      </c>
      <c r="O876" s="9">
        <f>IF($A876="","",N876&amp;"|"&amp;$F876)</f>
        <v/>
      </c>
      <c r="P876" s="77">
        <f>IF($A876="",0,$H876*설정!$C$23)</f>
        <v/>
      </c>
      <c r="Q876" s="39">
        <f>IF($A876="","",IF(O876&lt;&gt;원인분석!$C$9,"",IF(AND(M876&gt;=원인분석!$C$10,M876&lt;=원인분석!$C$11),"당기",IF(AND(M876&gt;=원인분석!$C$12,M876&lt;=원인분석!$C$13),"비교",""))))</f>
        <v/>
      </c>
      <c r="R876" s="9">
        <f>IF(Q876="","",$K876&amp;"")</f>
        <v/>
      </c>
      <c r="S876" s="9">
        <f>IF(Q876="","",IF(MATCH(R876,$R$5:$R$100000,0)=ROW()-4,ROW(),""))</f>
        <v/>
      </c>
      <c r="T876" s="9">
        <f>IF(Q876="당기",ABS(P876)+ROW()/1000000000,"")</f>
        <v/>
      </c>
      <c r="U876" s="9">
        <f>IF(Q876="비교",ABS(P876)+ROW()/1000000000,"")</f>
        <v/>
      </c>
      <c r="V876" s="39">
        <f>IF($A876="","",IF(COUNTIF(변동분석!$E$7:$E$506,O876)&gt;0,"Y","N"))</f>
        <v/>
      </c>
      <c r="W876" s="39">
        <f>IF($A876="","",IFERROR(INDEX(계정매핑!$D$5:$D$504,MATCH($F876&amp;"",계정매핑!$A$5:$A$504,0)),"미매핑"))</f>
        <v/>
      </c>
      <c r="X876" s="9">
        <f>IF($A876="","",$F876&amp;"")</f>
        <v/>
      </c>
    </row>
    <row r="877">
      <c r="A877" s="75" t="n">
        <v>2025</v>
      </c>
      <c r="B877" s="75" t="n">
        <v>5</v>
      </c>
      <c r="C877" s="75" t="inlineStr">
        <is>
          <t>5100000873</t>
        </is>
      </c>
      <c r="D877" s="78" t="n">
        <v>45790</v>
      </c>
      <c r="E877" s="75" t="inlineStr">
        <is>
          <t>KR</t>
        </is>
      </c>
      <c r="F877" s="75" t="n">
        <v>62101000</v>
      </c>
      <c r="G877" s="75" t="n">
        <v>1801</v>
      </c>
      <c r="H877" s="76" t="n">
        <v>233000</v>
      </c>
      <c r="I877" s="75" t="inlineStr">
        <is>
          <t>5월 국내출장 - (법인카드)</t>
        </is>
      </c>
      <c r="J877" s="75" t="inlineStr">
        <is>
          <t>V10008</t>
        </is>
      </c>
      <c r="K877" s="75" t="inlineStr">
        <is>
          <t>(법인카드)</t>
        </is>
      </c>
      <c r="M877" s="9">
        <f>IF($A877="","",VALUE($A877&amp;"")*12+VALUE($B877&amp;""))</f>
        <v/>
      </c>
      <c r="N877" s="39">
        <f>IF($A877="","",IFERROR(INDEX(부서매핑!$C$5:$C$504,MATCH($G877&amp;"",부서매핑!$A$5:$A$504,0)),"미매핑"))</f>
        <v/>
      </c>
      <c r="O877" s="9">
        <f>IF($A877="","",N877&amp;"|"&amp;$F877)</f>
        <v/>
      </c>
      <c r="P877" s="77">
        <f>IF($A877="",0,$H877*설정!$C$23)</f>
        <v/>
      </c>
      <c r="Q877" s="39">
        <f>IF($A877="","",IF(O877&lt;&gt;원인분석!$C$9,"",IF(AND(M877&gt;=원인분석!$C$10,M877&lt;=원인분석!$C$11),"당기",IF(AND(M877&gt;=원인분석!$C$12,M877&lt;=원인분석!$C$13),"비교",""))))</f>
        <v/>
      </c>
      <c r="R877" s="9">
        <f>IF(Q877="","",$K877&amp;"")</f>
        <v/>
      </c>
      <c r="S877" s="9">
        <f>IF(Q877="","",IF(MATCH(R877,$R$5:$R$100000,0)=ROW()-4,ROW(),""))</f>
        <v/>
      </c>
      <c r="T877" s="9">
        <f>IF(Q877="당기",ABS(P877)+ROW()/1000000000,"")</f>
        <v/>
      </c>
      <c r="U877" s="9">
        <f>IF(Q877="비교",ABS(P877)+ROW()/1000000000,"")</f>
        <v/>
      </c>
      <c r="V877" s="39">
        <f>IF($A877="","",IF(COUNTIF(변동분석!$E$7:$E$506,O877)&gt;0,"Y","N"))</f>
        <v/>
      </c>
      <c r="W877" s="39">
        <f>IF($A877="","",IFERROR(INDEX(계정매핑!$D$5:$D$504,MATCH($F877&amp;"",계정매핑!$A$5:$A$504,0)),"미매핑"))</f>
        <v/>
      </c>
      <c r="X877" s="9">
        <f>IF($A877="","",$F877&amp;"")</f>
        <v/>
      </c>
    </row>
    <row r="878">
      <c r="A878" s="75" t="n">
        <v>2025</v>
      </c>
      <c r="B878" s="75" t="n">
        <v>5</v>
      </c>
      <c r="C878" s="75" t="inlineStr">
        <is>
          <t>5100000874</t>
        </is>
      </c>
      <c r="D878" s="78" t="n">
        <v>45790</v>
      </c>
      <c r="E878" s="75" t="inlineStr">
        <is>
          <t>KR</t>
        </is>
      </c>
      <c r="F878" s="75" t="n">
        <v>62301000</v>
      </c>
      <c r="G878" s="75" t="n">
        <v>1601</v>
      </c>
      <c r="H878" s="76" t="n">
        <v>349000</v>
      </c>
      <c r="I878" s="75" t="inlineStr">
        <is>
          <t>5월 소모품 구입 - R문구</t>
        </is>
      </c>
      <c r="J878" s="75" t="inlineStr">
        <is>
          <t>V10018</t>
        </is>
      </c>
      <c r="K878" s="75" t="inlineStr">
        <is>
          <t>R문구</t>
        </is>
      </c>
      <c r="M878" s="9">
        <f>IF($A878="","",VALUE($A878&amp;"")*12+VALUE($B878&amp;""))</f>
        <v/>
      </c>
      <c r="N878" s="39">
        <f>IF($A878="","",IFERROR(INDEX(부서매핑!$C$5:$C$504,MATCH($G878&amp;"",부서매핑!$A$5:$A$504,0)),"미매핑"))</f>
        <v/>
      </c>
      <c r="O878" s="9">
        <f>IF($A878="","",N878&amp;"|"&amp;$F878)</f>
        <v/>
      </c>
      <c r="P878" s="77">
        <f>IF($A878="",0,$H878*설정!$C$23)</f>
        <v/>
      </c>
      <c r="Q878" s="39">
        <f>IF($A878="","",IF(O878&lt;&gt;원인분석!$C$9,"",IF(AND(M878&gt;=원인분석!$C$10,M878&lt;=원인분석!$C$11),"당기",IF(AND(M878&gt;=원인분석!$C$12,M878&lt;=원인분석!$C$13),"비교",""))))</f>
        <v/>
      </c>
      <c r="R878" s="9">
        <f>IF(Q878="","",$K878&amp;"")</f>
        <v/>
      </c>
      <c r="S878" s="9">
        <f>IF(Q878="","",IF(MATCH(R878,$R$5:$R$100000,0)=ROW()-4,ROW(),""))</f>
        <v/>
      </c>
      <c r="T878" s="9">
        <f>IF(Q878="당기",ABS(P878)+ROW()/1000000000,"")</f>
        <v/>
      </c>
      <c r="U878" s="9">
        <f>IF(Q878="비교",ABS(P878)+ROW()/1000000000,"")</f>
        <v/>
      </c>
      <c r="V878" s="39">
        <f>IF($A878="","",IF(COUNTIF(변동분석!$E$7:$E$506,O878)&gt;0,"Y","N"))</f>
        <v/>
      </c>
      <c r="W878" s="39">
        <f>IF($A878="","",IFERROR(INDEX(계정매핑!$D$5:$D$504,MATCH($F878&amp;"",계정매핑!$A$5:$A$504,0)),"미매핑"))</f>
        <v/>
      </c>
      <c r="X878" s="9">
        <f>IF($A878="","",$F878&amp;"")</f>
        <v/>
      </c>
    </row>
    <row r="879">
      <c r="A879" s="75" t="n">
        <v>2025</v>
      </c>
      <c r="B879" s="75" t="n">
        <v>5</v>
      </c>
      <c r="C879" s="75" t="inlineStr">
        <is>
          <t>5100000875</t>
        </is>
      </c>
      <c r="D879" s="78" t="n">
        <v>45790</v>
      </c>
      <c r="E879" s="75" t="inlineStr">
        <is>
          <t>KR</t>
        </is>
      </c>
      <c r="F879" s="75" t="n">
        <v>62901000</v>
      </c>
      <c r="G879" s="75" t="n">
        <v>1201</v>
      </c>
      <c r="H879" s="76" t="n">
        <v>5985000</v>
      </c>
      <c r="I879" s="75" t="inlineStr">
        <is>
          <t>5월 자문 수수료 - K회계법인</t>
        </is>
      </c>
      <c r="J879" s="75" t="inlineStr">
        <is>
          <t>V10010</t>
        </is>
      </c>
      <c r="K879" s="75" t="inlineStr">
        <is>
          <t>K회계법인</t>
        </is>
      </c>
      <c r="M879" s="9">
        <f>IF($A879="","",VALUE($A879&amp;"")*12+VALUE($B879&amp;""))</f>
        <v/>
      </c>
      <c r="N879" s="39">
        <f>IF($A879="","",IFERROR(INDEX(부서매핑!$C$5:$C$504,MATCH($G879&amp;"",부서매핑!$A$5:$A$504,0)),"미매핑"))</f>
        <v/>
      </c>
      <c r="O879" s="9">
        <f>IF($A879="","",N879&amp;"|"&amp;$F879)</f>
        <v/>
      </c>
      <c r="P879" s="77">
        <f>IF($A879="",0,$H879*설정!$C$23)</f>
        <v/>
      </c>
      <c r="Q879" s="39">
        <f>IF($A879="","",IF(O879&lt;&gt;원인분석!$C$9,"",IF(AND(M879&gt;=원인분석!$C$10,M879&lt;=원인분석!$C$11),"당기",IF(AND(M879&gt;=원인분석!$C$12,M879&lt;=원인분석!$C$13),"비교",""))))</f>
        <v/>
      </c>
      <c r="R879" s="9">
        <f>IF(Q879="","",$K879&amp;"")</f>
        <v/>
      </c>
      <c r="S879" s="9">
        <f>IF(Q879="","",IF(MATCH(R879,$R$5:$R$100000,0)=ROW()-4,ROW(),""))</f>
        <v/>
      </c>
      <c r="T879" s="9">
        <f>IF(Q879="당기",ABS(P879)+ROW()/1000000000,"")</f>
        <v/>
      </c>
      <c r="U879" s="9">
        <f>IF(Q879="비교",ABS(P879)+ROW()/1000000000,"")</f>
        <v/>
      </c>
      <c r="V879" s="39">
        <f>IF($A879="","",IF(COUNTIF(변동분석!$E$7:$E$506,O879)&gt;0,"Y","N"))</f>
        <v/>
      </c>
      <c r="W879" s="39">
        <f>IF($A879="","",IFERROR(INDEX(계정매핑!$D$5:$D$504,MATCH($F879&amp;"",계정매핑!$A$5:$A$504,0)),"미매핑"))</f>
        <v/>
      </c>
      <c r="X879" s="9">
        <f>IF($A879="","",$F879&amp;"")</f>
        <v/>
      </c>
    </row>
    <row r="880">
      <c r="A880" s="75" t="n">
        <v>2025</v>
      </c>
      <c r="B880" s="75" t="n">
        <v>5</v>
      </c>
      <c r="C880" s="75" t="inlineStr">
        <is>
          <t>5100000876</t>
        </is>
      </c>
      <c r="D880" s="78" t="n">
        <v>45791</v>
      </c>
      <c r="E880" s="75" t="inlineStr">
        <is>
          <t>KR</t>
        </is>
      </c>
      <c r="F880" s="75" t="n">
        <v>62301000</v>
      </c>
      <c r="G880" s="75" t="n">
        <v>1701</v>
      </c>
      <c r="H880" s="76" t="n">
        <v>257000</v>
      </c>
      <c r="I880" s="75" t="inlineStr">
        <is>
          <t>5월 소모품 구입 - Q오피스</t>
        </is>
      </c>
      <c r="J880" s="75" t="inlineStr">
        <is>
          <t>V10003</t>
        </is>
      </c>
      <c r="K880" s="75" t="inlineStr">
        <is>
          <t>Q오피스</t>
        </is>
      </c>
      <c r="M880" s="9">
        <f>IF($A880="","",VALUE($A880&amp;"")*12+VALUE($B880&amp;""))</f>
        <v/>
      </c>
      <c r="N880" s="39">
        <f>IF($A880="","",IFERROR(INDEX(부서매핑!$C$5:$C$504,MATCH($G880&amp;"",부서매핑!$A$5:$A$504,0)),"미매핑"))</f>
        <v/>
      </c>
      <c r="O880" s="9">
        <f>IF($A880="","",N880&amp;"|"&amp;$F880)</f>
        <v/>
      </c>
      <c r="P880" s="77">
        <f>IF($A880="",0,$H880*설정!$C$23)</f>
        <v/>
      </c>
      <c r="Q880" s="39">
        <f>IF($A880="","",IF(O880&lt;&gt;원인분석!$C$9,"",IF(AND(M880&gt;=원인분석!$C$10,M880&lt;=원인분석!$C$11),"당기",IF(AND(M880&gt;=원인분석!$C$12,M880&lt;=원인분석!$C$13),"비교",""))))</f>
        <v/>
      </c>
      <c r="R880" s="9">
        <f>IF(Q880="","",$K880&amp;"")</f>
        <v/>
      </c>
      <c r="S880" s="9">
        <f>IF(Q880="","",IF(MATCH(R880,$R$5:$R$100000,0)=ROW()-4,ROW(),""))</f>
        <v/>
      </c>
      <c r="T880" s="9">
        <f>IF(Q880="당기",ABS(P880)+ROW()/1000000000,"")</f>
        <v/>
      </c>
      <c r="U880" s="9">
        <f>IF(Q880="비교",ABS(P880)+ROW()/1000000000,"")</f>
        <v/>
      </c>
      <c r="V880" s="39">
        <f>IF($A880="","",IF(COUNTIF(변동분석!$E$7:$E$506,O880)&gt;0,"Y","N"))</f>
        <v/>
      </c>
      <c r="W880" s="39">
        <f>IF($A880="","",IFERROR(INDEX(계정매핑!$D$5:$D$504,MATCH($F880&amp;"",계정매핑!$A$5:$A$504,0)),"미매핑"))</f>
        <v/>
      </c>
      <c r="X880" s="9">
        <f>IF($A880="","",$F880&amp;"")</f>
        <v/>
      </c>
    </row>
    <row r="881">
      <c r="A881" s="75" t="n">
        <v>2025</v>
      </c>
      <c r="B881" s="75" t="n">
        <v>5</v>
      </c>
      <c r="C881" s="75" t="inlineStr">
        <is>
          <t>5100000877</t>
        </is>
      </c>
      <c r="D881" s="78" t="n">
        <v>45791</v>
      </c>
      <c r="E881" s="75" t="inlineStr">
        <is>
          <t>KR</t>
        </is>
      </c>
      <c r="F881" s="75" t="n">
        <v>62401000</v>
      </c>
      <c r="G881" s="75" t="n">
        <v>1801</v>
      </c>
      <c r="H881" s="76" t="n">
        <v>1971000</v>
      </c>
      <c r="I881" s="75" t="inlineStr">
        <is>
          <t>5월 인쇄물 제작 - G인쇄</t>
        </is>
      </c>
      <c r="J881" s="75" t="inlineStr">
        <is>
          <t>V10004</t>
        </is>
      </c>
      <c r="K881" s="75" t="inlineStr">
        <is>
          <t>G인쇄</t>
        </is>
      </c>
      <c r="M881" s="9">
        <f>IF($A881="","",VALUE($A881&amp;"")*12+VALUE($B881&amp;""))</f>
        <v/>
      </c>
      <c r="N881" s="39">
        <f>IF($A881="","",IFERROR(INDEX(부서매핑!$C$5:$C$504,MATCH($G881&amp;"",부서매핑!$A$5:$A$504,0)),"미매핑"))</f>
        <v/>
      </c>
      <c r="O881" s="9">
        <f>IF($A881="","",N881&amp;"|"&amp;$F881)</f>
        <v/>
      </c>
      <c r="P881" s="77">
        <f>IF($A881="",0,$H881*설정!$C$23)</f>
        <v/>
      </c>
      <c r="Q881" s="39">
        <f>IF($A881="","",IF(O881&lt;&gt;원인분석!$C$9,"",IF(AND(M881&gt;=원인분석!$C$10,M881&lt;=원인분석!$C$11),"당기",IF(AND(M881&gt;=원인분석!$C$12,M881&lt;=원인분석!$C$13),"비교",""))))</f>
        <v/>
      </c>
      <c r="R881" s="9">
        <f>IF(Q881="","",$K881&amp;"")</f>
        <v/>
      </c>
      <c r="S881" s="9">
        <f>IF(Q881="","",IF(MATCH(R881,$R$5:$R$100000,0)=ROW()-4,ROW(),""))</f>
        <v/>
      </c>
      <c r="T881" s="9">
        <f>IF(Q881="당기",ABS(P881)+ROW()/1000000000,"")</f>
        <v/>
      </c>
      <c r="U881" s="9">
        <f>IF(Q881="비교",ABS(P881)+ROW()/1000000000,"")</f>
        <v/>
      </c>
      <c r="V881" s="39">
        <f>IF($A881="","",IF(COUNTIF(변동분석!$E$7:$E$506,O881)&gt;0,"Y","N"))</f>
        <v/>
      </c>
      <c r="W881" s="39">
        <f>IF($A881="","",IFERROR(INDEX(계정매핑!$D$5:$D$504,MATCH($F881&amp;"",계정매핑!$A$5:$A$504,0)),"미매핑"))</f>
        <v/>
      </c>
      <c r="X881" s="9">
        <f>IF($A881="","",$F881&amp;"")</f>
        <v/>
      </c>
    </row>
    <row r="882">
      <c r="A882" s="75" t="n">
        <v>2025</v>
      </c>
      <c r="B882" s="75" t="n">
        <v>5</v>
      </c>
      <c r="C882" s="75" t="inlineStr">
        <is>
          <t>5100000878</t>
        </is>
      </c>
      <c r="D882" s="78" t="n">
        <v>45791</v>
      </c>
      <c r="E882" s="75" t="inlineStr">
        <is>
          <t>KR</t>
        </is>
      </c>
      <c r="F882" s="75" t="n">
        <v>63201000</v>
      </c>
      <c r="G882" s="75" t="n">
        <v>1601</v>
      </c>
      <c r="H882" s="76" t="n">
        <v>1843000</v>
      </c>
      <c r="I882" s="75" t="inlineStr">
        <is>
          <t>5월 차량 유지 - H에너지</t>
        </is>
      </c>
      <c r="J882" s="75" t="inlineStr">
        <is>
          <t>V10025</t>
        </is>
      </c>
      <c r="K882" s="75" t="inlineStr">
        <is>
          <t>H에너지</t>
        </is>
      </c>
      <c r="M882" s="9">
        <f>IF($A882="","",VALUE($A882&amp;"")*12+VALUE($B882&amp;""))</f>
        <v/>
      </c>
      <c r="N882" s="39">
        <f>IF($A882="","",IFERROR(INDEX(부서매핑!$C$5:$C$504,MATCH($G882&amp;"",부서매핑!$A$5:$A$504,0)),"미매핑"))</f>
        <v/>
      </c>
      <c r="O882" s="9">
        <f>IF($A882="","",N882&amp;"|"&amp;$F882)</f>
        <v/>
      </c>
      <c r="P882" s="77">
        <f>IF($A882="",0,$H882*설정!$C$23)</f>
        <v/>
      </c>
      <c r="Q882" s="39">
        <f>IF($A882="","",IF(O882&lt;&gt;원인분석!$C$9,"",IF(AND(M882&gt;=원인분석!$C$10,M882&lt;=원인분석!$C$11),"당기",IF(AND(M882&gt;=원인분석!$C$12,M882&lt;=원인분석!$C$13),"비교",""))))</f>
        <v/>
      </c>
      <c r="R882" s="9">
        <f>IF(Q882="","",$K882&amp;"")</f>
        <v/>
      </c>
      <c r="S882" s="9">
        <f>IF(Q882="","",IF(MATCH(R882,$R$5:$R$100000,0)=ROW()-4,ROW(),""))</f>
        <v/>
      </c>
      <c r="T882" s="9">
        <f>IF(Q882="당기",ABS(P882)+ROW()/1000000000,"")</f>
        <v/>
      </c>
      <c r="U882" s="9">
        <f>IF(Q882="비교",ABS(P882)+ROW()/1000000000,"")</f>
        <v/>
      </c>
      <c r="V882" s="39">
        <f>IF($A882="","",IF(COUNTIF(변동분석!$E$7:$E$506,O882)&gt;0,"Y","N"))</f>
        <v/>
      </c>
      <c r="W882" s="39">
        <f>IF($A882="","",IFERROR(INDEX(계정매핑!$D$5:$D$504,MATCH($F882&amp;"",계정매핑!$A$5:$A$504,0)),"미매핑"))</f>
        <v/>
      </c>
      <c r="X882" s="9">
        <f>IF($A882="","",$F882&amp;"")</f>
        <v/>
      </c>
    </row>
    <row r="883">
      <c r="A883" s="75" t="n">
        <v>2025</v>
      </c>
      <c r="B883" s="75" t="n">
        <v>5</v>
      </c>
      <c r="C883" s="75" t="inlineStr">
        <is>
          <t>5100000879</t>
        </is>
      </c>
      <c r="D883" s="78" t="n">
        <v>45792</v>
      </c>
      <c r="E883" s="75" t="inlineStr">
        <is>
          <t>KR</t>
        </is>
      </c>
      <c r="F883" s="75" t="n">
        <v>62101000</v>
      </c>
      <c r="G883" s="75" t="n">
        <v>1501</v>
      </c>
      <c r="H883" s="76" t="n">
        <v>337000</v>
      </c>
      <c r="I883" s="75" t="inlineStr">
        <is>
          <t>5월 국내출장 - L여행사</t>
        </is>
      </c>
      <c r="J883" s="75" t="inlineStr">
        <is>
          <t>V10014</t>
        </is>
      </c>
      <c r="K883" s="75" t="inlineStr">
        <is>
          <t>L여행사</t>
        </is>
      </c>
      <c r="M883" s="9">
        <f>IF($A883="","",VALUE($A883&amp;"")*12+VALUE($B883&amp;""))</f>
        <v/>
      </c>
      <c r="N883" s="39">
        <f>IF($A883="","",IFERROR(INDEX(부서매핑!$C$5:$C$504,MATCH($G883&amp;"",부서매핑!$A$5:$A$504,0)),"미매핑"))</f>
        <v/>
      </c>
      <c r="O883" s="9">
        <f>IF($A883="","",N883&amp;"|"&amp;$F883)</f>
        <v/>
      </c>
      <c r="P883" s="77">
        <f>IF($A883="",0,$H883*설정!$C$23)</f>
        <v/>
      </c>
      <c r="Q883" s="39">
        <f>IF($A883="","",IF(O883&lt;&gt;원인분석!$C$9,"",IF(AND(M883&gt;=원인분석!$C$10,M883&lt;=원인분석!$C$11),"당기",IF(AND(M883&gt;=원인분석!$C$12,M883&lt;=원인분석!$C$13),"비교",""))))</f>
        <v/>
      </c>
      <c r="R883" s="9">
        <f>IF(Q883="","",$K883&amp;"")</f>
        <v/>
      </c>
      <c r="S883" s="9">
        <f>IF(Q883="","",IF(MATCH(R883,$R$5:$R$100000,0)=ROW()-4,ROW(),""))</f>
        <v/>
      </c>
      <c r="T883" s="9">
        <f>IF(Q883="당기",ABS(P883)+ROW()/1000000000,"")</f>
        <v/>
      </c>
      <c r="U883" s="9">
        <f>IF(Q883="비교",ABS(P883)+ROW()/1000000000,"")</f>
        <v/>
      </c>
      <c r="V883" s="39">
        <f>IF($A883="","",IF(COUNTIF(변동분석!$E$7:$E$506,O883)&gt;0,"Y","N"))</f>
        <v/>
      </c>
      <c r="W883" s="39">
        <f>IF($A883="","",IFERROR(INDEX(계정매핑!$D$5:$D$504,MATCH($F883&amp;"",계정매핑!$A$5:$A$504,0)),"미매핑"))</f>
        <v/>
      </c>
      <c r="X883" s="9">
        <f>IF($A883="","",$F883&amp;"")</f>
        <v/>
      </c>
    </row>
    <row r="884">
      <c r="A884" s="75" t="n">
        <v>2025</v>
      </c>
      <c r="B884" s="75" t="n">
        <v>5</v>
      </c>
      <c r="C884" s="75" t="inlineStr">
        <is>
          <t>5100000880</t>
        </is>
      </c>
      <c r="D884" s="78" t="n">
        <v>45792</v>
      </c>
      <c r="E884" s="75" t="inlineStr">
        <is>
          <t>KR</t>
        </is>
      </c>
      <c r="F884" s="75" t="n">
        <v>62201000</v>
      </c>
      <c r="G884" s="75" t="n">
        <v>1101</v>
      </c>
      <c r="H884" s="76" t="n">
        <v>247000</v>
      </c>
      <c r="I884" s="75" t="inlineStr">
        <is>
          <t>5월 통신요금 - O텔레콤</t>
        </is>
      </c>
      <c r="J884" s="75" t="inlineStr">
        <is>
          <t>V10002</t>
        </is>
      </c>
      <c r="K884" s="75" t="inlineStr">
        <is>
          <t>O텔레콤</t>
        </is>
      </c>
      <c r="M884" s="9">
        <f>IF($A884="","",VALUE($A884&amp;"")*12+VALUE($B884&amp;""))</f>
        <v/>
      </c>
      <c r="N884" s="39">
        <f>IF($A884="","",IFERROR(INDEX(부서매핑!$C$5:$C$504,MATCH($G884&amp;"",부서매핑!$A$5:$A$504,0)),"미매핑"))</f>
        <v/>
      </c>
      <c r="O884" s="9">
        <f>IF($A884="","",N884&amp;"|"&amp;$F884)</f>
        <v/>
      </c>
      <c r="P884" s="77">
        <f>IF($A884="",0,$H884*설정!$C$23)</f>
        <v/>
      </c>
      <c r="Q884" s="39">
        <f>IF($A884="","",IF(O884&lt;&gt;원인분석!$C$9,"",IF(AND(M884&gt;=원인분석!$C$10,M884&lt;=원인분석!$C$11),"당기",IF(AND(M884&gt;=원인분석!$C$12,M884&lt;=원인분석!$C$13),"비교",""))))</f>
        <v/>
      </c>
      <c r="R884" s="9">
        <f>IF(Q884="","",$K884&amp;"")</f>
        <v/>
      </c>
      <c r="S884" s="9">
        <f>IF(Q884="","",IF(MATCH(R884,$R$5:$R$100000,0)=ROW()-4,ROW(),""))</f>
        <v/>
      </c>
      <c r="T884" s="9">
        <f>IF(Q884="당기",ABS(P884)+ROW()/1000000000,"")</f>
        <v/>
      </c>
      <c r="U884" s="9">
        <f>IF(Q884="비교",ABS(P884)+ROW()/1000000000,"")</f>
        <v/>
      </c>
      <c r="V884" s="39">
        <f>IF($A884="","",IF(COUNTIF(변동분석!$E$7:$E$506,O884)&gt;0,"Y","N"))</f>
        <v/>
      </c>
      <c r="W884" s="39">
        <f>IF($A884="","",IFERROR(INDEX(계정매핑!$D$5:$D$504,MATCH($F884&amp;"",계정매핑!$A$5:$A$504,0)),"미매핑"))</f>
        <v/>
      </c>
      <c r="X884" s="9">
        <f>IF($A884="","",$F884&amp;"")</f>
        <v/>
      </c>
    </row>
    <row r="885">
      <c r="A885" s="75" t="n">
        <v>2025</v>
      </c>
      <c r="B885" s="75" t="n">
        <v>5</v>
      </c>
      <c r="C885" s="75" t="inlineStr">
        <is>
          <t>5100000881</t>
        </is>
      </c>
      <c r="D885" s="78" t="n">
        <v>45792</v>
      </c>
      <c r="E885" s="75" t="inlineStr">
        <is>
          <t>KR</t>
        </is>
      </c>
      <c r="F885" s="75" t="n">
        <v>62201000</v>
      </c>
      <c r="G885" s="75" t="n">
        <v>1801</v>
      </c>
      <c r="H885" s="76" t="n">
        <v>5667000</v>
      </c>
      <c r="I885" s="75" t="inlineStr">
        <is>
          <t>5월 통신요금 - O텔레콤</t>
        </is>
      </c>
      <c r="J885" s="75" t="inlineStr">
        <is>
          <t>V10002</t>
        </is>
      </c>
      <c r="K885" s="75" t="inlineStr">
        <is>
          <t>O텔레콤</t>
        </is>
      </c>
      <c r="M885" s="9">
        <f>IF($A885="","",VALUE($A885&amp;"")*12+VALUE($B885&amp;""))</f>
        <v/>
      </c>
      <c r="N885" s="39">
        <f>IF($A885="","",IFERROR(INDEX(부서매핑!$C$5:$C$504,MATCH($G885&amp;"",부서매핑!$A$5:$A$504,0)),"미매핑"))</f>
        <v/>
      </c>
      <c r="O885" s="9">
        <f>IF($A885="","",N885&amp;"|"&amp;$F885)</f>
        <v/>
      </c>
      <c r="P885" s="77">
        <f>IF($A885="",0,$H885*설정!$C$23)</f>
        <v/>
      </c>
      <c r="Q885" s="39">
        <f>IF($A885="","",IF(O885&lt;&gt;원인분석!$C$9,"",IF(AND(M885&gt;=원인분석!$C$10,M885&lt;=원인분석!$C$11),"당기",IF(AND(M885&gt;=원인분석!$C$12,M885&lt;=원인분석!$C$13),"비교",""))))</f>
        <v/>
      </c>
      <c r="R885" s="9">
        <f>IF(Q885="","",$K885&amp;"")</f>
        <v/>
      </c>
      <c r="S885" s="9">
        <f>IF(Q885="","",IF(MATCH(R885,$R$5:$R$100000,0)=ROW()-4,ROW(),""))</f>
        <v/>
      </c>
      <c r="T885" s="9">
        <f>IF(Q885="당기",ABS(P885)+ROW()/1000000000,"")</f>
        <v/>
      </c>
      <c r="U885" s="9">
        <f>IF(Q885="비교",ABS(P885)+ROW()/1000000000,"")</f>
        <v/>
      </c>
      <c r="V885" s="39">
        <f>IF($A885="","",IF(COUNTIF(변동분석!$E$7:$E$506,O885)&gt;0,"Y","N"))</f>
        <v/>
      </c>
      <c r="W885" s="39">
        <f>IF($A885="","",IFERROR(INDEX(계정매핑!$D$5:$D$504,MATCH($F885&amp;"",계정매핑!$A$5:$A$504,0)),"미매핑"))</f>
        <v/>
      </c>
      <c r="X885" s="9">
        <f>IF($A885="","",$F885&amp;"")</f>
        <v/>
      </c>
    </row>
    <row r="886">
      <c r="A886" s="75" t="n">
        <v>2025</v>
      </c>
      <c r="B886" s="75" t="n">
        <v>5</v>
      </c>
      <c r="C886" s="75" t="inlineStr">
        <is>
          <t>5100000882</t>
        </is>
      </c>
      <c r="D886" s="78" t="n">
        <v>45792</v>
      </c>
      <c r="E886" s="75" t="inlineStr">
        <is>
          <t>KR</t>
        </is>
      </c>
      <c r="F886" s="75" t="n">
        <v>62501000</v>
      </c>
      <c r="G886" s="75" t="n">
        <v>1201</v>
      </c>
      <c r="H886" s="76" t="n">
        <v>201000</v>
      </c>
      <c r="I886" s="75" t="inlineStr">
        <is>
          <t>5월 회의 다과 - T케이터링</t>
        </is>
      </c>
      <c r="J886" s="75" t="inlineStr">
        <is>
          <t>V10005</t>
        </is>
      </c>
      <c r="K886" s="75" t="inlineStr">
        <is>
          <t>T케이터링</t>
        </is>
      </c>
      <c r="M886" s="9">
        <f>IF($A886="","",VALUE($A886&amp;"")*12+VALUE($B886&amp;""))</f>
        <v/>
      </c>
      <c r="N886" s="39">
        <f>IF($A886="","",IFERROR(INDEX(부서매핑!$C$5:$C$504,MATCH($G886&amp;"",부서매핑!$A$5:$A$504,0)),"미매핑"))</f>
        <v/>
      </c>
      <c r="O886" s="9">
        <f>IF($A886="","",N886&amp;"|"&amp;$F886)</f>
        <v/>
      </c>
      <c r="P886" s="77">
        <f>IF($A886="",0,$H886*설정!$C$23)</f>
        <v/>
      </c>
      <c r="Q886" s="39">
        <f>IF($A886="","",IF(O886&lt;&gt;원인분석!$C$9,"",IF(AND(M886&gt;=원인분석!$C$10,M886&lt;=원인분석!$C$11),"당기",IF(AND(M886&gt;=원인분석!$C$12,M886&lt;=원인분석!$C$13),"비교",""))))</f>
        <v/>
      </c>
      <c r="R886" s="9">
        <f>IF(Q886="","",$K886&amp;"")</f>
        <v/>
      </c>
      <c r="S886" s="9">
        <f>IF(Q886="","",IF(MATCH(R886,$R$5:$R$100000,0)=ROW()-4,ROW(),""))</f>
        <v/>
      </c>
      <c r="T886" s="9">
        <f>IF(Q886="당기",ABS(P886)+ROW()/1000000000,"")</f>
        <v/>
      </c>
      <c r="U886" s="9">
        <f>IF(Q886="비교",ABS(P886)+ROW()/1000000000,"")</f>
        <v/>
      </c>
      <c r="V886" s="39">
        <f>IF($A886="","",IF(COUNTIF(변동분석!$E$7:$E$506,O886)&gt;0,"Y","N"))</f>
        <v/>
      </c>
      <c r="W886" s="39">
        <f>IF($A886="","",IFERROR(INDEX(계정매핑!$D$5:$D$504,MATCH($F886&amp;"",계정매핑!$A$5:$A$504,0)),"미매핑"))</f>
        <v/>
      </c>
      <c r="X886" s="9">
        <f>IF($A886="","",$F886&amp;"")</f>
        <v/>
      </c>
    </row>
    <row r="887">
      <c r="A887" s="75" t="n">
        <v>2025</v>
      </c>
      <c r="B887" s="75" t="n">
        <v>5</v>
      </c>
      <c r="C887" s="75" t="inlineStr">
        <is>
          <t>5100000883</t>
        </is>
      </c>
      <c r="D887" s="78" t="n">
        <v>45793</v>
      </c>
      <c r="E887" s="75" t="inlineStr">
        <is>
          <t>KR</t>
        </is>
      </c>
      <c r="F887" s="75" t="n">
        <v>62101000</v>
      </c>
      <c r="G887" s="75" t="n">
        <v>1401</v>
      </c>
      <c r="H887" s="76" t="n">
        <v>377000</v>
      </c>
      <c r="I887" s="75" t="inlineStr">
        <is>
          <t>5월 국내출장 - M항공</t>
        </is>
      </c>
      <c r="J887" s="75" t="inlineStr">
        <is>
          <t>V10001</t>
        </is>
      </c>
      <c r="K887" s="75" t="inlineStr">
        <is>
          <t>M항공</t>
        </is>
      </c>
      <c r="M887" s="9">
        <f>IF($A887="","",VALUE($A887&amp;"")*12+VALUE($B887&amp;""))</f>
        <v/>
      </c>
      <c r="N887" s="39">
        <f>IF($A887="","",IFERROR(INDEX(부서매핑!$C$5:$C$504,MATCH($G887&amp;"",부서매핑!$A$5:$A$504,0)),"미매핑"))</f>
        <v/>
      </c>
      <c r="O887" s="9">
        <f>IF($A887="","",N887&amp;"|"&amp;$F887)</f>
        <v/>
      </c>
      <c r="P887" s="77">
        <f>IF($A887="",0,$H887*설정!$C$23)</f>
        <v/>
      </c>
      <c r="Q887" s="39">
        <f>IF($A887="","",IF(O887&lt;&gt;원인분석!$C$9,"",IF(AND(M887&gt;=원인분석!$C$10,M887&lt;=원인분석!$C$11),"당기",IF(AND(M887&gt;=원인분석!$C$12,M887&lt;=원인분석!$C$13),"비교",""))))</f>
        <v/>
      </c>
      <c r="R887" s="9">
        <f>IF(Q887="","",$K887&amp;"")</f>
        <v/>
      </c>
      <c r="S887" s="9">
        <f>IF(Q887="","",IF(MATCH(R887,$R$5:$R$100000,0)=ROW()-4,ROW(),""))</f>
        <v/>
      </c>
      <c r="T887" s="9">
        <f>IF(Q887="당기",ABS(P887)+ROW()/1000000000,"")</f>
        <v/>
      </c>
      <c r="U887" s="9">
        <f>IF(Q887="비교",ABS(P887)+ROW()/1000000000,"")</f>
        <v/>
      </c>
      <c r="V887" s="39">
        <f>IF($A887="","",IF(COUNTIF(변동분석!$E$7:$E$506,O887)&gt;0,"Y","N"))</f>
        <v/>
      </c>
      <c r="W887" s="39">
        <f>IF($A887="","",IFERROR(INDEX(계정매핑!$D$5:$D$504,MATCH($F887&amp;"",계정매핑!$A$5:$A$504,0)),"미매핑"))</f>
        <v/>
      </c>
      <c r="X887" s="9">
        <f>IF($A887="","",$F887&amp;"")</f>
        <v/>
      </c>
    </row>
    <row r="888">
      <c r="A888" s="75" t="n">
        <v>2025</v>
      </c>
      <c r="B888" s="75" t="n">
        <v>5</v>
      </c>
      <c r="C888" s="75" t="inlineStr">
        <is>
          <t>5100000884</t>
        </is>
      </c>
      <c r="D888" s="78" t="n">
        <v>45793</v>
      </c>
      <c r="E888" s="75" t="inlineStr">
        <is>
          <t>KR</t>
        </is>
      </c>
      <c r="F888" s="75" t="n">
        <v>62101000</v>
      </c>
      <c r="G888" s="75" t="n">
        <v>1602</v>
      </c>
      <c r="H888" s="76" t="n">
        <v>1722000</v>
      </c>
      <c r="I888" s="75" t="inlineStr">
        <is>
          <t>5월 국내출장 - L여행사</t>
        </is>
      </c>
      <c r="J888" s="75" t="inlineStr">
        <is>
          <t>V10014</t>
        </is>
      </c>
      <c r="K888" s="75" t="inlineStr">
        <is>
          <t>L여행사</t>
        </is>
      </c>
      <c r="M888" s="9">
        <f>IF($A888="","",VALUE($A888&amp;"")*12+VALUE($B888&amp;""))</f>
        <v/>
      </c>
      <c r="N888" s="39">
        <f>IF($A888="","",IFERROR(INDEX(부서매핑!$C$5:$C$504,MATCH($G888&amp;"",부서매핑!$A$5:$A$504,0)),"미매핑"))</f>
        <v/>
      </c>
      <c r="O888" s="9">
        <f>IF($A888="","",N888&amp;"|"&amp;$F888)</f>
        <v/>
      </c>
      <c r="P888" s="77">
        <f>IF($A888="",0,$H888*설정!$C$23)</f>
        <v/>
      </c>
      <c r="Q888" s="39">
        <f>IF($A888="","",IF(O888&lt;&gt;원인분석!$C$9,"",IF(AND(M888&gt;=원인분석!$C$10,M888&lt;=원인분석!$C$11),"당기",IF(AND(M888&gt;=원인분석!$C$12,M888&lt;=원인분석!$C$13),"비교",""))))</f>
        <v/>
      </c>
      <c r="R888" s="9">
        <f>IF(Q888="","",$K888&amp;"")</f>
        <v/>
      </c>
      <c r="S888" s="9">
        <f>IF(Q888="","",IF(MATCH(R888,$R$5:$R$100000,0)=ROW()-4,ROW(),""))</f>
        <v/>
      </c>
      <c r="T888" s="9">
        <f>IF(Q888="당기",ABS(P888)+ROW()/1000000000,"")</f>
        <v/>
      </c>
      <c r="U888" s="9">
        <f>IF(Q888="비교",ABS(P888)+ROW()/1000000000,"")</f>
        <v/>
      </c>
      <c r="V888" s="39">
        <f>IF($A888="","",IF(COUNTIF(변동분석!$E$7:$E$506,O888)&gt;0,"Y","N"))</f>
        <v/>
      </c>
      <c r="W888" s="39">
        <f>IF($A888="","",IFERROR(INDEX(계정매핑!$D$5:$D$504,MATCH($F888&amp;"",계정매핑!$A$5:$A$504,0)),"미매핑"))</f>
        <v/>
      </c>
      <c r="X888" s="9">
        <f>IF($A888="","",$F888&amp;"")</f>
        <v/>
      </c>
    </row>
    <row r="889">
      <c r="A889" s="75" t="n">
        <v>2025</v>
      </c>
      <c r="B889" s="75" t="n">
        <v>5</v>
      </c>
      <c r="C889" s="75" t="inlineStr">
        <is>
          <t>5100000885</t>
        </is>
      </c>
      <c r="D889" s="78" t="n">
        <v>45793</v>
      </c>
      <c r="E889" s="75" t="inlineStr">
        <is>
          <t>KR</t>
        </is>
      </c>
      <c r="F889" s="75" t="n">
        <v>62102000</v>
      </c>
      <c r="G889" s="75" t="n">
        <v>1101</v>
      </c>
      <c r="H889" s="76" t="n">
        <v>109000</v>
      </c>
      <c r="I889" s="75" t="inlineStr">
        <is>
          <t>5월 해외출장 - M항공</t>
        </is>
      </c>
      <c r="J889" s="75" t="inlineStr">
        <is>
          <t>V10001</t>
        </is>
      </c>
      <c r="K889" s="75" t="inlineStr">
        <is>
          <t>M항공</t>
        </is>
      </c>
      <c r="M889" s="9">
        <f>IF($A889="","",VALUE($A889&amp;"")*12+VALUE($B889&amp;""))</f>
        <v/>
      </c>
      <c r="N889" s="39">
        <f>IF($A889="","",IFERROR(INDEX(부서매핑!$C$5:$C$504,MATCH($G889&amp;"",부서매핑!$A$5:$A$504,0)),"미매핑"))</f>
        <v/>
      </c>
      <c r="O889" s="9">
        <f>IF($A889="","",N889&amp;"|"&amp;$F889)</f>
        <v/>
      </c>
      <c r="P889" s="77">
        <f>IF($A889="",0,$H889*설정!$C$23)</f>
        <v/>
      </c>
      <c r="Q889" s="39">
        <f>IF($A889="","",IF(O889&lt;&gt;원인분석!$C$9,"",IF(AND(M889&gt;=원인분석!$C$10,M889&lt;=원인분석!$C$11),"당기",IF(AND(M889&gt;=원인분석!$C$12,M889&lt;=원인분석!$C$13),"비교",""))))</f>
        <v/>
      </c>
      <c r="R889" s="9">
        <f>IF(Q889="","",$K889&amp;"")</f>
        <v/>
      </c>
      <c r="S889" s="9">
        <f>IF(Q889="","",IF(MATCH(R889,$R$5:$R$100000,0)=ROW()-4,ROW(),""))</f>
        <v/>
      </c>
      <c r="T889" s="9">
        <f>IF(Q889="당기",ABS(P889)+ROW()/1000000000,"")</f>
        <v/>
      </c>
      <c r="U889" s="9">
        <f>IF(Q889="비교",ABS(P889)+ROW()/1000000000,"")</f>
        <v/>
      </c>
      <c r="V889" s="39">
        <f>IF($A889="","",IF(COUNTIF(변동분석!$E$7:$E$506,O889)&gt;0,"Y","N"))</f>
        <v/>
      </c>
      <c r="W889" s="39">
        <f>IF($A889="","",IFERROR(INDEX(계정매핑!$D$5:$D$504,MATCH($F889&amp;"",계정매핑!$A$5:$A$504,0)),"미매핑"))</f>
        <v/>
      </c>
      <c r="X889" s="9">
        <f>IF($A889="","",$F889&amp;"")</f>
        <v/>
      </c>
    </row>
    <row r="890">
      <c r="A890" s="75" t="n">
        <v>2025</v>
      </c>
      <c r="B890" s="75" t="n">
        <v>5</v>
      </c>
      <c r="C890" s="75" t="inlineStr">
        <is>
          <t>5100000886</t>
        </is>
      </c>
      <c r="D890" s="78" t="n">
        <v>45793</v>
      </c>
      <c r="E890" s="75" t="inlineStr">
        <is>
          <t>KR</t>
        </is>
      </c>
      <c r="F890" s="75" t="n">
        <v>62201000</v>
      </c>
      <c r="G890" s="75" t="n">
        <v>1301</v>
      </c>
      <c r="H890" s="76" t="n">
        <v>176000</v>
      </c>
      <c r="I890" s="75" t="inlineStr">
        <is>
          <t>5월 통신요금 - P통신</t>
        </is>
      </c>
      <c r="J890" s="75" t="inlineStr">
        <is>
          <t>V10011</t>
        </is>
      </c>
      <c r="K890" s="75" t="inlineStr">
        <is>
          <t>P통신</t>
        </is>
      </c>
      <c r="M890" s="9">
        <f>IF($A890="","",VALUE($A890&amp;"")*12+VALUE($B890&amp;""))</f>
        <v/>
      </c>
      <c r="N890" s="39">
        <f>IF($A890="","",IFERROR(INDEX(부서매핑!$C$5:$C$504,MATCH($G890&amp;"",부서매핑!$A$5:$A$504,0)),"미매핑"))</f>
        <v/>
      </c>
      <c r="O890" s="9">
        <f>IF($A890="","",N890&amp;"|"&amp;$F890)</f>
        <v/>
      </c>
      <c r="P890" s="77">
        <f>IF($A890="",0,$H890*설정!$C$23)</f>
        <v/>
      </c>
      <c r="Q890" s="39">
        <f>IF($A890="","",IF(O890&lt;&gt;원인분석!$C$9,"",IF(AND(M890&gt;=원인분석!$C$10,M890&lt;=원인분석!$C$11),"당기",IF(AND(M890&gt;=원인분석!$C$12,M890&lt;=원인분석!$C$13),"비교",""))))</f>
        <v/>
      </c>
      <c r="R890" s="9">
        <f>IF(Q890="","",$K890&amp;"")</f>
        <v/>
      </c>
      <c r="S890" s="9">
        <f>IF(Q890="","",IF(MATCH(R890,$R$5:$R$100000,0)=ROW()-4,ROW(),""))</f>
        <v/>
      </c>
      <c r="T890" s="9">
        <f>IF(Q890="당기",ABS(P890)+ROW()/1000000000,"")</f>
        <v/>
      </c>
      <c r="U890" s="9">
        <f>IF(Q890="비교",ABS(P890)+ROW()/1000000000,"")</f>
        <v/>
      </c>
      <c r="V890" s="39">
        <f>IF($A890="","",IF(COUNTIF(변동분석!$E$7:$E$506,O890)&gt;0,"Y","N"))</f>
        <v/>
      </c>
      <c r="W890" s="39">
        <f>IF($A890="","",IFERROR(INDEX(계정매핑!$D$5:$D$504,MATCH($F890&amp;"",계정매핑!$A$5:$A$504,0)),"미매핑"))</f>
        <v/>
      </c>
      <c r="X890" s="9">
        <f>IF($A890="","",$F890&amp;"")</f>
        <v/>
      </c>
    </row>
    <row r="891">
      <c r="A891" s="75" t="n">
        <v>2025</v>
      </c>
      <c r="B891" s="75" t="n">
        <v>5</v>
      </c>
      <c r="C891" s="75" t="inlineStr">
        <is>
          <t>5100000887</t>
        </is>
      </c>
      <c r="D891" s="78" t="n">
        <v>45793</v>
      </c>
      <c r="E891" s="75" t="inlineStr">
        <is>
          <t>KR</t>
        </is>
      </c>
      <c r="F891" s="75" t="n">
        <v>62501000</v>
      </c>
      <c r="G891" s="75" t="n">
        <v>1701</v>
      </c>
      <c r="H891" s="76" t="n">
        <v>131000</v>
      </c>
      <c r="I891" s="75" t="inlineStr">
        <is>
          <t>5월 회의 다과 - T케이터링</t>
        </is>
      </c>
      <c r="J891" s="75" t="inlineStr">
        <is>
          <t>V10005</t>
        </is>
      </c>
      <c r="K891" s="75" t="inlineStr">
        <is>
          <t>T케이터링</t>
        </is>
      </c>
      <c r="M891" s="9">
        <f>IF($A891="","",VALUE($A891&amp;"")*12+VALUE($B891&amp;""))</f>
        <v/>
      </c>
      <c r="N891" s="39">
        <f>IF($A891="","",IFERROR(INDEX(부서매핑!$C$5:$C$504,MATCH($G891&amp;"",부서매핑!$A$5:$A$504,0)),"미매핑"))</f>
        <v/>
      </c>
      <c r="O891" s="9">
        <f>IF($A891="","",N891&amp;"|"&amp;$F891)</f>
        <v/>
      </c>
      <c r="P891" s="77">
        <f>IF($A891="",0,$H891*설정!$C$23)</f>
        <v/>
      </c>
      <c r="Q891" s="39">
        <f>IF($A891="","",IF(O891&lt;&gt;원인분석!$C$9,"",IF(AND(M891&gt;=원인분석!$C$10,M891&lt;=원인분석!$C$11),"당기",IF(AND(M891&gt;=원인분석!$C$12,M891&lt;=원인분석!$C$13),"비교",""))))</f>
        <v/>
      </c>
      <c r="R891" s="9">
        <f>IF(Q891="","",$K891&amp;"")</f>
        <v/>
      </c>
      <c r="S891" s="9">
        <f>IF(Q891="","",IF(MATCH(R891,$R$5:$R$100000,0)=ROW()-4,ROW(),""))</f>
        <v/>
      </c>
      <c r="T891" s="9">
        <f>IF(Q891="당기",ABS(P891)+ROW()/1000000000,"")</f>
        <v/>
      </c>
      <c r="U891" s="9">
        <f>IF(Q891="비교",ABS(P891)+ROW()/1000000000,"")</f>
        <v/>
      </c>
      <c r="V891" s="39">
        <f>IF($A891="","",IF(COUNTIF(변동분석!$E$7:$E$506,O891)&gt;0,"Y","N"))</f>
        <v/>
      </c>
      <c r="W891" s="39">
        <f>IF($A891="","",IFERROR(INDEX(계정매핑!$D$5:$D$504,MATCH($F891&amp;"",계정매핑!$A$5:$A$504,0)),"미매핑"))</f>
        <v/>
      </c>
      <c r="X891" s="9">
        <f>IF($A891="","",$F891&amp;"")</f>
        <v/>
      </c>
    </row>
    <row r="892">
      <c r="A892" s="75" t="n">
        <v>2025</v>
      </c>
      <c r="B892" s="75" t="n">
        <v>5</v>
      </c>
      <c r="C892" s="75" t="inlineStr">
        <is>
          <t>5100000888</t>
        </is>
      </c>
      <c r="D892" s="78" t="n">
        <v>45793</v>
      </c>
      <c r="E892" s="75" t="inlineStr">
        <is>
          <t>KR</t>
        </is>
      </c>
      <c r="F892" s="75" t="n">
        <v>62801000</v>
      </c>
      <c r="G892" s="75" t="n">
        <v>1301</v>
      </c>
      <c r="H892" s="76" t="n">
        <v>4641000</v>
      </c>
      <c r="I892" s="75" t="inlineStr">
        <is>
          <t>5월 사내교육 - U에듀</t>
        </is>
      </c>
      <c r="J892" s="75" t="inlineStr">
        <is>
          <t>V10026</t>
        </is>
      </c>
      <c r="K892" s="75" t="inlineStr">
        <is>
          <t>U에듀</t>
        </is>
      </c>
      <c r="M892" s="9">
        <f>IF($A892="","",VALUE($A892&amp;"")*12+VALUE($B892&amp;""))</f>
        <v/>
      </c>
      <c r="N892" s="39">
        <f>IF($A892="","",IFERROR(INDEX(부서매핑!$C$5:$C$504,MATCH($G892&amp;"",부서매핑!$A$5:$A$504,0)),"미매핑"))</f>
        <v/>
      </c>
      <c r="O892" s="9">
        <f>IF($A892="","",N892&amp;"|"&amp;$F892)</f>
        <v/>
      </c>
      <c r="P892" s="77">
        <f>IF($A892="",0,$H892*설정!$C$23)</f>
        <v/>
      </c>
      <c r="Q892" s="39">
        <f>IF($A892="","",IF(O892&lt;&gt;원인분석!$C$9,"",IF(AND(M892&gt;=원인분석!$C$10,M892&lt;=원인분석!$C$11),"당기",IF(AND(M892&gt;=원인분석!$C$12,M892&lt;=원인분석!$C$13),"비교",""))))</f>
        <v/>
      </c>
      <c r="R892" s="9">
        <f>IF(Q892="","",$K892&amp;"")</f>
        <v/>
      </c>
      <c r="S892" s="9">
        <f>IF(Q892="","",IF(MATCH(R892,$R$5:$R$100000,0)=ROW()-4,ROW(),""))</f>
        <v/>
      </c>
      <c r="T892" s="9">
        <f>IF(Q892="당기",ABS(P892)+ROW()/1000000000,"")</f>
        <v/>
      </c>
      <c r="U892" s="9">
        <f>IF(Q892="비교",ABS(P892)+ROW()/1000000000,"")</f>
        <v/>
      </c>
      <c r="V892" s="39">
        <f>IF($A892="","",IF(COUNTIF(변동분석!$E$7:$E$506,O892)&gt;0,"Y","N"))</f>
        <v/>
      </c>
      <c r="W892" s="39">
        <f>IF($A892="","",IFERROR(INDEX(계정매핑!$D$5:$D$504,MATCH($F892&amp;"",계정매핑!$A$5:$A$504,0)),"미매핑"))</f>
        <v/>
      </c>
      <c r="X892" s="9">
        <f>IF($A892="","",$F892&amp;"")</f>
        <v/>
      </c>
    </row>
    <row r="893">
      <c r="A893" s="75" t="n">
        <v>2025</v>
      </c>
      <c r="B893" s="75" t="n">
        <v>5</v>
      </c>
      <c r="C893" s="75" t="inlineStr">
        <is>
          <t>5100000889</t>
        </is>
      </c>
      <c r="D893" s="78" t="n">
        <v>45793</v>
      </c>
      <c r="E893" s="75" t="inlineStr">
        <is>
          <t>KR</t>
        </is>
      </c>
      <c r="F893" s="75" t="n">
        <v>63201000</v>
      </c>
      <c r="G893" s="75" t="n">
        <v>1602</v>
      </c>
      <c r="H893" s="76" t="n">
        <v>5404000</v>
      </c>
      <c r="I893" s="75" t="inlineStr">
        <is>
          <t>5월 차량 유지 - D정비</t>
        </is>
      </c>
      <c r="J893" s="75" t="inlineStr">
        <is>
          <t>V10022</t>
        </is>
      </c>
      <c r="K893" s="75" t="inlineStr">
        <is>
          <t>D정비</t>
        </is>
      </c>
      <c r="M893" s="9">
        <f>IF($A893="","",VALUE($A893&amp;"")*12+VALUE($B893&amp;""))</f>
        <v/>
      </c>
      <c r="N893" s="39">
        <f>IF($A893="","",IFERROR(INDEX(부서매핑!$C$5:$C$504,MATCH($G893&amp;"",부서매핑!$A$5:$A$504,0)),"미매핑"))</f>
        <v/>
      </c>
      <c r="O893" s="9">
        <f>IF($A893="","",N893&amp;"|"&amp;$F893)</f>
        <v/>
      </c>
      <c r="P893" s="77">
        <f>IF($A893="",0,$H893*설정!$C$23)</f>
        <v/>
      </c>
      <c r="Q893" s="39">
        <f>IF($A893="","",IF(O893&lt;&gt;원인분석!$C$9,"",IF(AND(M893&gt;=원인분석!$C$10,M893&lt;=원인분석!$C$11),"당기",IF(AND(M893&gt;=원인분석!$C$12,M893&lt;=원인분석!$C$13),"비교",""))))</f>
        <v/>
      </c>
      <c r="R893" s="9">
        <f>IF(Q893="","",$K893&amp;"")</f>
        <v/>
      </c>
      <c r="S893" s="9">
        <f>IF(Q893="","",IF(MATCH(R893,$R$5:$R$100000,0)=ROW()-4,ROW(),""))</f>
        <v/>
      </c>
      <c r="T893" s="9">
        <f>IF(Q893="당기",ABS(P893)+ROW()/1000000000,"")</f>
        <v/>
      </c>
      <c r="U893" s="9">
        <f>IF(Q893="비교",ABS(P893)+ROW()/1000000000,"")</f>
        <v/>
      </c>
      <c r="V893" s="39">
        <f>IF($A893="","",IF(COUNTIF(변동분석!$E$7:$E$506,O893)&gt;0,"Y","N"))</f>
        <v/>
      </c>
      <c r="W893" s="39">
        <f>IF($A893="","",IFERROR(INDEX(계정매핑!$D$5:$D$504,MATCH($F893&amp;"",계정매핑!$A$5:$A$504,0)),"미매핑"))</f>
        <v/>
      </c>
      <c r="X893" s="9">
        <f>IF($A893="","",$F893&amp;"")</f>
        <v/>
      </c>
    </row>
    <row r="894">
      <c r="A894" s="75" t="n">
        <v>2025</v>
      </c>
      <c r="B894" s="75" t="n">
        <v>5</v>
      </c>
      <c r="C894" s="75" t="inlineStr">
        <is>
          <t>5100000890</t>
        </is>
      </c>
      <c r="D894" s="78" t="n">
        <v>45794</v>
      </c>
      <c r="E894" s="75" t="inlineStr">
        <is>
          <t>KR</t>
        </is>
      </c>
      <c r="F894" s="75" t="n">
        <v>62101000</v>
      </c>
      <c r="G894" s="75" t="n">
        <v>1101</v>
      </c>
      <c r="H894" s="76" t="n">
        <v>428000</v>
      </c>
      <c r="I894" s="75" t="inlineStr">
        <is>
          <t>5월 국내출장 - L여행사</t>
        </is>
      </c>
      <c r="J894" s="75" t="inlineStr">
        <is>
          <t>V10014</t>
        </is>
      </c>
      <c r="K894" s="75" t="inlineStr">
        <is>
          <t>L여행사</t>
        </is>
      </c>
      <c r="M894" s="9">
        <f>IF($A894="","",VALUE($A894&amp;"")*12+VALUE($B894&amp;""))</f>
        <v/>
      </c>
      <c r="N894" s="39">
        <f>IF($A894="","",IFERROR(INDEX(부서매핑!$C$5:$C$504,MATCH($G894&amp;"",부서매핑!$A$5:$A$504,0)),"미매핑"))</f>
        <v/>
      </c>
      <c r="O894" s="9">
        <f>IF($A894="","",N894&amp;"|"&amp;$F894)</f>
        <v/>
      </c>
      <c r="P894" s="77">
        <f>IF($A894="",0,$H894*설정!$C$23)</f>
        <v/>
      </c>
      <c r="Q894" s="39">
        <f>IF($A894="","",IF(O894&lt;&gt;원인분석!$C$9,"",IF(AND(M894&gt;=원인분석!$C$10,M894&lt;=원인분석!$C$11),"당기",IF(AND(M894&gt;=원인분석!$C$12,M894&lt;=원인분석!$C$13),"비교",""))))</f>
        <v/>
      </c>
      <c r="R894" s="9">
        <f>IF(Q894="","",$K894&amp;"")</f>
        <v/>
      </c>
      <c r="S894" s="9">
        <f>IF(Q894="","",IF(MATCH(R894,$R$5:$R$100000,0)=ROW()-4,ROW(),""))</f>
        <v/>
      </c>
      <c r="T894" s="9">
        <f>IF(Q894="당기",ABS(P894)+ROW()/1000000000,"")</f>
        <v/>
      </c>
      <c r="U894" s="9">
        <f>IF(Q894="비교",ABS(P894)+ROW()/1000000000,"")</f>
        <v/>
      </c>
      <c r="V894" s="39">
        <f>IF($A894="","",IF(COUNTIF(변동분석!$E$7:$E$506,O894)&gt;0,"Y","N"))</f>
        <v/>
      </c>
      <c r="W894" s="39">
        <f>IF($A894="","",IFERROR(INDEX(계정매핑!$D$5:$D$504,MATCH($F894&amp;"",계정매핑!$A$5:$A$504,0)),"미매핑"))</f>
        <v/>
      </c>
      <c r="X894" s="9">
        <f>IF($A894="","",$F894&amp;"")</f>
        <v/>
      </c>
    </row>
    <row r="895">
      <c r="A895" s="75" t="n">
        <v>2025</v>
      </c>
      <c r="B895" s="75" t="n">
        <v>5</v>
      </c>
      <c r="C895" s="75" t="inlineStr">
        <is>
          <t>5100000891</t>
        </is>
      </c>
      <c r="D895" s="78" t="n">
        <v>45794</v>
      </c>
      <c r="E895" s="75" t="inlineStr">
        <is>
          <t>KR</t>
        </is>
      </c>
      <c r="F895" s="75" t="n">
        <v>62101000</v>
      </c>
      <c r="G895" s="75" t="n">
        <v>1201</v>
      </c>
      <c r="H895" s="76" t="n">
        <v>186000</v>
      </c>
      <c r="I895" s="75" t="inlineStr">
        <is>
          <t>5월 국내출장 - L여행사</t>
        </is>
      </c>
      <c r="J895" s="75" t="inlineStr">
        <is>
          <t>V10014</t>
        </is>
      </c>
      <c r="K895" s="75" t="inlineStr">
        <is>
          <t>L여행사</t>
        </is>
      </c>
      <c r="M895" s="9">
        <f>IF($A895="","",VALUE($A895&amp;"")*12+VALUE($B895&amp;""))</f>
        <v/>
      </c>
      <c r="N895" s="39">
        <f>IF($A895="","",IFERROR(INDEX(부서매핑!$C$5:$C$504,MATCH($G895&amp;"",부서매핑!$A$5:$A$504,0)),"미매핑"))</f>
        <v/>
      </c>
      <c r="O895" s="9">
        <f>IF($A895="","",N895&amp;"|"&amp;$F895)</f>
        <v/>
      </c>
      <c r="P895" s="77">
        <f>IF($A895="",0,$H895*설정!$C$23)</f>
        <v/>
      </c>
      <c r="Q895" s="39">
        <f>IF($A895="","",IF(O895&lt;&gt;원인분석!$C$9,"",IF(AND(M895&gt;=원인분석!$C$10,M895&lt;=원인분석!$C$11),"당기",IF(AND(M895&gt;=원인분석!$C$12,M895&lt;=원인분석!$C$13),"비교",""))))</f>
        <v/>
      </c>
      <c r="R895" s="9">
        <f>IF(Q895="","",$K895&amp;"")</f>
        <v/>
      </c>
      <c r="S895" s="9">
        <f>IF(Q895="","",IF(MATCH(R895,$R$5:$R$100000,0)=ROW()-4,ROW(),""))</f>
        <v/>
      </c>
      <c r="T895" s="9">
        <f>IF(Q895="당기",ABS(P895)+ROW()/1000000000,"")</f>
        <v/>
      </c>
      <c r="U895" s="9">
        <f>IF(Q895="비교",ABS(P895)+ROW()/1000000000,"")</f>
        <v/>
      </c>
      <c r="V895" s="39">
        <f>IF($A895="","",IF(COUNTIF(변동분석!$E$7:$E$506,O895)&gt;0,"Y","N"))</f>
        <v/>
      </c>
      <c r="W895" s="39">
        <f>IF($A895="","",IFERROR(INDEX(계정매핑!$D$5:$D$504,MATCH($F895&amp;"",계정매핑!$A$5:$A$504,0)),"미매핑"))</f>
        <v/>
      </c>
      <c r="X895" s="9">
        <f>IF($A895="","",$F895&amp;"")</f>
        <v/>
      </c>
    </row>
    <row r="896">
      <c r="A896" s="75" t="n">
        <v>2025</v>
      </c>
      <c r="B896" s="75" t="n">
        <v>5</v>
      </c>
      <c r="C896" s="75" t="inlineStr">
        <is>
          <t>5100000892</t>
        </is>
      </c>
      <c r="D896" s="78" t="n">
        <v>45794</v>
      </c>
      <c r="E896" s="75" t="inlineStr">
        <is>
          <t>KR</t>
        </is>
      </c>
      <c r="F896" s="75" t="n">
        <v>62101000</v>
      </c>
      <c r="G896" s="75" t="n">
        <v>1701</v>
      </c>
      <c r="H896" s="76" t="n">
        <v>173000</v>
      </c>
      <c r="I896" s="75" t="inlineStr">
        <is>
          <t>5월 국내출장 - M항공</t>
        </is>
      </c>
      <c r="J896" s="75" t="inlineStr">
        <is>
          <t>V10001</t>
        </is>
      </c>
      <c r="K896" s="75" t="inlineStr">
        <is>
          <t>M항공</t>
        </is>
      </c>
      <c r="M896" s="9">
        <f>IF($A896="","",VALUE($A896&amp;"")*12+VALUE($B896&amp;""))</f>
        <v/>
      </c>
      <c r="N896" s="39">
        <f>IF($A896="","",IFERROR(INDEX(부서매핑!$C$5:$C$504,MATCH($G896&amp;"",부서매핑!$A$5:$A$504,0)),"미매핑"))</f>
        <v/>
      </c>
      <c r="O896" s="9">
        <f>IF($A896="","",N896&amp;"|"&amp;$F896)</f>
        <v/>
      </c>
      <c r="P896" s="77">
        <f>IF($A896="",0,$H896*설정!$C$23)</f>
        <v/>
      </c>
      <c r="Q896" s="39">
        <f>IF($A896="","",IF(O896&lt;&gt;원인분석!$C$9,"",IF(AND(M896&gt;=원인분석!$C$10,M896&lt;=원인분석!$C$11),"당기",IF(AND(M896&gt;=원인분석!$C$12,M896&lt;=원인분석!$C$13),"비교",""))))</f>
        <v/>
      </c>
      <c r="R896" s="9">
        <f>IF(Q896="","",$K896&amp;"")</f>
        <v/>
      </c>
      <c r="S896" s="9">
        <f>IF(Q896="","",IF(MATCH(R896,$R$5:$R$100000,0)=ROW()-4,ROW(),""))</f>
        <v/>
      </c>
      <c r="T896" s="9">
        <f>IF(Q896="당기",ABS(P896)+ROW()/1000000000,"")</f>
        <v/>
      </c>
      <c r="U896" s="9">
        <f>IF(Q896="비교",ABS(P896)+ROW()/1000000000,"")</f>
        <v/>
      </c>
      <c r="V896" s="39">
        <f>IF($A896="","",IF(COUNTIF(변동분석!$E$7:$E$506,O896)&gt;0,"Y","N"))</f>
        <v/>
      </c>
      <c r="W896" s="39">
        <f>IF($A896="","",IFERROR(INDEX(계정매핑!$D$5:$D$504,MATCH($F896&amp;"",계정매핑!$A$5:$A$504,0)),"미매핑"))</f>
        <v/>
      </c>
      <c r="X896" s="9">
        <f>IF($A896="","",$F896&amp;"")</f>
        <v/>
      </c>
    </row>
    <row r="897">
      <c r="A897" s="75" t="n">
        <v>2025</v>
      </c>
      <c r="B897" s="75" t="n">
        <v>5</v>
      </c>
      <c r="C897" s="75" t="inlineStr">
        <is>
          <t>5100000893</t>
        </is>
      </c>
      <c r="D897" s="78" t="n">
        <v>45794</v>
      </c>
      <c r="E897" s="75" t="inlineStr">
        <is>
          <t>KR</t>
        </is>
      </c>
      <c r="F897" s="75" t="n">
        <v>62102000</v>
      </c>
      <c r="G897" s="75" t="n">
        <v>1201</v>
      </c>
      <c r="H897" s="76" t="n">
        <v>61000</v>
      </c>
      <c r="I897" s="75" t="inlineStr">
        <is>
          <t>5월 해외출장 - M항공</t>
        </is>
      </c>
      <c r="J897" s="75" t="inlineStr">
        <is>
          <t>V10001</t>
        </is>
      </c>
      <c r="K897" s="75" t="inlineStr">
        <is>
          <t>M항공</t>
        </is>
      </c>
      <c r="M897" s="9">
        <f>IF($A897="","",VALUE($A897&amp;"")*12+VALUE($B897&amp;""))</f>
        <v/>
      </c>
      <c r="N897" s="39">
        <f>IF($A897="","",IFERROR(INDEX(부서매핑!$C$5:$C$504,MATCH($G897&amp;"",부서매핑!$A$5:$A$504,0)),"미매핑"))</f>
        <v/>
      </c>
      <c r="O897" s="9">
        <f>IF($A897="","",N897&amp;"|"&amp;$F897)</f>
        <v/>
      </c>
      <c r="P897" s="77">
        <f>IF($A897="",0,$H897*설정!$C$23)</f>
        <v/>
      </c>
      <c r="Q897" s="39">
        <f>IF($A897="","",IF(O897&lt;&gt;원인분석!$C$9,"",IF(AND(M897&gt;=원인분석!$C$10,M897&lt;=원인분석!$C$11),"당기",IF(AND(M897&gt;=원인분석!$C$12,M897&lt;=원인분석!$C$13),"비교",""))))</f>
        <v/>
      </c>
      <c r="R897" s="9">
        <f>IF(Q897="","",$K897&amp;"")</f>
        <v/>
      </c>
      <c r="S897" s="9">
        <f>IF(Q897="","",IF(MATCH(R897,$R$5:$R$100000,0)=ROW()-4,ROW(),""))</f>
        <v/>
      </c>
      <c r="T897" s="9">
        <f>IF(Q897="당기",ABS(P897)+ROW()/1000000000,"")</f>
        <v/>
      </c>
      <c r="U897" s="9">
        <f>IF(Q897="비교",ABS(P897)+ROW()/1000000000,"")</f>
        <v/>
      </c>
      <c r="V897" s="39">
        <f>IF($A897="","",IF(COUNTIF(변동분석!$E$7:$E$506,O897)&gt;0,"Y","N"))</f>
        <v/>
      </c>
      <c r="W897" s="39">
        <f>IF($A897="","",IFERROR(INDEX(계정매핑!$D$5:$D$504,MATCH($F897&amp;"",계정매핑!$A$5:$A$504,0)),"미매핑"))</f>
        <v/>
      </c>
      <c r="X897" s="9">
        <f>IF($A897="","",$F897&amp;"")</f>
        <v/>
      </c>
    </row>
    <row r="898">
      <c r="A898" s="75" t="n">
        <v>2025</v>
      </c>
      <c r="B898" s="75" t="n">
        <v>5</v>
      </c>
      <c r="C898" s="75" t="inlineStr">
        <is>
          <t>5100000894</t>
        </is>
      </c>
      <c r="D898" s="78" t="n">
        <v>45794</v>
      </c>
      <c r="E898" s="75" t="inlineStr">
        <is>
          <t>KR</t>
        </is>
      </c>
      <c r="F898" s="75" t="n">
        <v>62201000</v>
      </c>
      <c r="G898" s="75" t="n">
        <v>1201</v>
      </c>
      <c r="H898" s="76" t="n">
        <v>173000</v>
      </c>
      <c r="I898" s="75" t="inlineStr">
        <is>
          <t>5월 통신요금 - O텔레콤</t>
        </is>
      </c>
      <c r="J898" s="75" t="inlineStr">
        <is>
          <t>V10002</t>
        </is>
      </c>
      <c r="K898" s="75" t="inlineStr">
        <is>
          <t>O텔레콤</t>
        </is>
      </c>
      <c r="M898" s="9">
        <f>IF($A898="","",VALUE($A898&amp;"")*12+VALUE($B898&amp;""))</f>
        <v/>
      </c>
      <c r="N898" s="39">
        <f>IF($A898="","",IFERROR(INDEX(부서매핑!$C$5:$C$504,MATCH($G898&amp;"",부서매핑!$A$5:$A$504,0)),"미매핑"))</f>
        <v/>
      </c>
      <c r="O898" s="9">
        <f>IF($A898="","",N898&amp;"|"&amp;$F898)</f>
        <v/>
      </c>
      <c r="P898" s="77">
        <f>IF($A898="",0,$H898*설정!$C$23)</f>
        <v/>
      </c>
      <c r="Q898" s="39">
        <f>IF($A898="","",IF(O898&lt;&gt;원인분석!$C$9,"",IF(AND(M898&gt;=원인분석!$C$10,M898&lt;=원인분석!$C$11),"당기",IF(AND(M898&gt;=원인분석!$C$12,M898&lt;=원인분석!$C$13),"비교",""))))</f>
        <v/>
      </c>
      <c r="R898" s="9">
        <f>IF(Q898="","",$K898&amp;"")</f>
        <v/>
      </c>
      <c r="S898" s="9">
        <f>IF(Q898="","",IF(MATCH(R898,$R$5:$R$100000,0)=ROW()-4,ROW(),""))</f>
        <v/>
      </c>
      <c r="T898" s="9">
        <f>IF(Q898="당기",ABS(P898)+ROW()/1000000000,"")</f>
        <v/>
      </c>
      <c r="U898" s="9">
        <f>IF(Q898="비교",ABS(P898)+ROW()/1000000000,"")</f>
        <v/>
      </c>
      <c r="V898" s="39">
        <f>IF($A898="","",IF(COUNTIF(변동분석!$E$7:$E$506,O898)&gt;0,"Y","N"))</f>
        <v/>
      </c>
      <c r="W898" s="39">
        <f>IF($A898="","",IFERROR(INDEX(계정매핑!$D$5:$D$504,MATCH($F898&amp;"",계정매핑!$A$5:$A$504,0)),"미매핑"))</f>
        <v/>
      </c>
      <c r="X898" s="9">
        <f>IF($A898="","",$F898&amp;"")</f>
        <v/>
      </c>
    </row>
    <row r="899">
      <c r="A899" s="75" t="n">
        <v>2025</v>
      </c>
      <c r="B899" s="75" t="n">
        <v>5</v>
      </c>
      <c r="C899" s="75" t="inlineStr">
        <is>
          <t>5100000895</t>
        </is>
      </c>
      <c r="D899" s="78" t="n">
        <v>45794</v>
      </c>
      <c r="E899" s="75" t="inlineStr">
        <is>
          <t>KR</t>
        </is>
      </c>
      <c r="F899" s="75" t="n">
        <v>62301000</v>
      </c>
      <c r="G899" s="75" t="n">
        <v>1701</v>
      </c>
      <c r="H899" s="76" t="n">
        <v>251000</v>
      </c>
      <c r="I899" s="75" t="inlineStr">
        <is>
          <t>5월 소모품 구입 - R문구</t>
        </is>
      </c>
      <c r="J899" s="75" t="inlineStr">
        <is>
          <t>V10018</t>
        </is>
      </c>
      <c r="K899" s="75" t="inlineStr">
        <is>
          <t>R문구</t>
        </is>
      </c>
      <c r="M899" s="9">
        <f>IF($A899="","",VALUE($A899&amp;"")*12+VALUE($B899&amp;""))</f>
        <v/>
      </c>
      <c r="N899" s="39">
        <f>IF($A899="","",IFERROR(INDEX(부서매핑!$C$5:$C$504,MATCH($G899&amp;"",부서매핑!$A$5:$A$504,0)),"미매핑"))</f>
        <v/>
      </c>
      <c r="O899" s="9">
        <f>IF($A899="","",N899&amp;"|"&amp;$F899)</f>
        <v/>
      </c>
      <c r="P899" s="77">
        <f>IF($A899="",0,$H899*설정!$C$23)</f>
        <v/>
      </c>
      <c r="Q899" s="39">
        <f>IF($A899="","",IF(O899&lt;&gt;원인분석!$C$9,"",IF(AND(M899&gt;=원인분석!$C$10,M899&lt;=원인분석!$C$11),"당기",IF(AND(M899&gt;=원인분석!$C$12,M899&lt;=원인분석!$C$13),"비교",""))))</f>
        <v/>
      </c>
      <c r="R899" s="9">
        <f>IF(Q899="","",$K899&amp;"")</f>
        <v/>
      </c>
      <c r="S899" s="9">
        <f>IF(Q899="","",IF(MATCH(R899,$R$5:$R$100000,0)=ROW()-4,ROW(),""))</f>
        <v/>
      </c>
      <c r="T899" s="9">
        <f>IF(Q899="당기",ABS(P899)+ROW()/1000000000,"")</f>
        <v/>
      </c>
      <c r="U899" s="9">
        <f>IF(Q899="비교",ABS(P899)+ROW()/1000000000,"")</f>
        <v/>
      </c>
      <c r="V899" s="39">
        <f>IF($A899="","",IF(COUNTIF(변동분석!$E$7:$E$506,O899)&gt;0,"Y","N"))</f>
        <v/>
      </c>
      <c r="W899" s="39">
        <f>IF($A899="","",IFERROR(INDEX(계정매핑!$D$5:$D$504,MATCH($F899&amp;"",계정매핑!$A$5:$A$504,0)),"미매핑"))</f>
        <v/>
      </c>
      <c r="X899" s="9">
        <f>IF($A899="","",$F899&amp;"")</f>
        <v/>
      </c>
    </row>
    <row r="900">
      <c r="A900" s="75" t="n">
        <v>2025</v>
      </c>
      <c r="B900" s="75" t="n">
        <v>5</v>
      </c>
      <c r="C900" s="75" t="inlineStr">
        <is>
          <t>5100000896</t>
        </is>
      </c>
      <c r="D900" s="78" t="n">
        <v>45794</v>
      </c>
      <c r="E900" s="75" t="inlineStr">
        <is>
          <t>KR</t>
        </is>
      </c>
      <c r="F900" s="75" t="n">
        <v>62601000</v>
      </c>
      <c r="G900" s="75" t="n">
        <v>1602</v>
      </c>
      <c r="H900" s="76" t="n">
        <v>1601000</v>
      </c>
      <c r="I900" s="75" t="inlineStr">
        <is>
          <t>5월 업무추진 - (법인카드)</t>
        </is>
      </c>
      <c r="J900" s="75" t="inlineStr">
        <is>
          <t>V10008</t>
        </is>
      </c>
      <c r="K900" s="75" t="inlineStr">
        <is>
          <t>(법인카드)</t>
        </is>
      </c>
      <c r="M900" s="9">
        <f>IF($A900="","",VALUE($A900&amp;"")*12+VALUE($B900&amp;""))</f>
        <v/>
      </c>
      <c r="N900" s="39">
        <f>IF($A900="","",IFERROR(INDEX(부서매핑!$C$5:$C$504,MATCH($G900&amp;"",부서매핑!$A$5:$A$504,0)),"미매핑"))</f>
        <v/>
      </c>
      <c r="O900" s="9">
        <f>IF($A900="","",N900&amp;"|"&amp;$F900)</f>
        <v/>
      </c>
      <c r="P900" s="77">
        <f>IF($A900="",0,$H900*설정!$C$23)</f>
        <v/>
      </c>
      <c r="Q900" s="39">
        <f>IF($A900="","",IF(O900&lt;&gt;원인분석!$C$9,"",IF(AND(M900&gt;=원인분석!$C$10,M900&lt;=원인분석!$C$11),"당기",IF(AND(M900&gt;=원인분석!$C$12,M900&lt;=원인분석!$C$13),"비교",""))))</f>
        <v/>
      </c>
      <c r="R900" s="9">
        <f>IF(Q900="","",$K900&amp;"")</f>
        <v/>
      </c>
      <c r="S900" s="9">
        <f>IF(Q900="","",IF(MATCH(R900,$R$5:$R$100000,0)=ROW()-4,ROW(),""))</f>
        <v/>
      </c>
      <c r="T900" s="9">
        <f>IF(Q900="당기",ABS(P900)+ROW()/1000000000,"")</f>
        <v/>
      </c>
      <c r="U900" s="9">
        <f>IF(Q900="비교",ABS(P900)+ROW()/1000000000,"")</f>
        <v/>
      </c>
      <c r="V900" s="39">
        <f>IF($A900="","",IF(COUNTIF(변동분석!$E$7:$E$506,O900)&gt;0,"Y","N"))</f>
        <v/>
      </c>
      <c r="W900" s="39">
        <f>IF($A900="","",IFERROR(INDEX(계정매핑!$D$5:$D$504,MATCH($F900&amp;"",계정매핑!$A$5:$A$504,0)),"미매핑"))</f>
        <v/>
      </c>
      <c r="X900" s="9">
        <f>IF($A900="","",$F900&amp;"")</f>
        <v/>
      </c>
    </row>
    <row r="901">
      <c r="A901" s="75" t="n">
        <v>2025</v>
      </c>
      <c r="B901" s="75" t="n">
        <v>5</v>
      </c>
      <c r="C901" s="75" t="inlineStr">
        <is>
          <t>5100000897</t>
        </is>
      </c>
      <c r="D901" s="78" t="n">
        <v>45794</v>
      </c>
      <c r="E901" s="75" t="inlineStr">
        <is>
          <t>KR</t>
        </is>
      </c>
      <c r="F901" s="75" t="n">
        <v>62901000</v>
      </c>
      <c r="G901" s="75" t="n">
        <v>1101</v>
      </c>
      <c r="H901" s="76" t="n">
        <v>3888000</v>
      </c>
      <c r="I901" s="75" t="inlineStr">
        <is>
          <t>5월 자문 수수료 - K회계법인</t>
        </is>
      </c>
      <c r="J901" s="75" t="inlineStr">
        <is>
          <t>V10010</t>
        </is>
      </c>
      <c r="K901" s="75" t="inlineStr">
        <is>
          <t>K회계법인</t>
        </is>
      </c>
      <c r="M901" s="9">
        <f>IF($A901="","",VALUE($A901&amp;"")*12+VALUE($B901&amp;""))</f>
        <v/>
      </c>
      <c r="N901" s="39">
        <f>IF($A901="","",IFERROR(INDEX(부서매핑!$C$5:$C$504,MATCH($G901&amp;"",부서매핑!$A$5:$A$504,0)),"미매핑"))</f>
        <v/>
      </c>
      <c r="O901" s="9">
        <f>IF($A901="","",N901&amp;"|"&amp;$F901)</f>
        <v/>
      </c>
      <c r="P901" s="77">
        <f>IF($A901="",0,$H901*설정!$C$23)</f>
        <v/>
      </c>
      <c r="Q901" s="39">
        <f>IF($A901="","",IF(O901&lt;&gt;원인분석!$C$9,"",IF(AND(M901&gt;=원인분석!$C$10,M901&lt;=원인분석!$C$11),"당기",IF(AND(M901&gt;=원인분석!$C$12,M901&lt;=원인분석!$C$13),"비교",""))))</f>
        <v/>
      </c>
      <c r="R901" s="9">
        <f>IF(Q901="","",$K901&amp;"")</f>
        <v/>
      </c>
      <c r="S901" s="9">
        <f>IF(Q901="","",IF(MATCH(R901,$R$5:$R$100000,0)=ROW()-4,ROW(),""))</f>
        <v/>
      </c>
      <c r="T901" s="9">
        <f>IF(Q901="당기",ABS(P901)+ROW()/1000000000,"")</f>
        <v/>
      </c>
      <c r="U901" s="9">
        <f>IF(Q901="비교",ABS(P901)+ROW()/1000000000,"")</f>
        <v/>
      </c>
      <c r="V901" s="39">
        <f>IF($A901="","",IF(COUNTIF(변동분석!$E$7:$E$506,O901)&gt;0,"Y","N"))</f>
        <v/>
      </c>
      <c r="W901" s="39">
        <f>IF($A901="","",IFERROR(INDEX(계정매핑!$D$5:$D$504,MATCH($F901&amp;"",계정매핑!$A$5:$A$504,0)),"미매핑"))</f>
        <v/>
      </c>
      <c r="X901" s="9">
        <f>IF($A901="","",$F901&amp;"")</f>
        <v/>
      </c>
    </row>
    <row r="902">
      <c r="A902" s="75" t="n">
        <v>2025</v>
      </c>
      <c r="B902" s="75" t="n">
        <v>5</v>
      </c>
      <c r="C902" s="75" t="inlineStr">
        <is>
          <t>5100000898</t>
        </is>
      </c>
      <c r="D902" s="78" t="n">
        <v>45794</v>
      </c>
      <c r="E902" s="75" t="inlineStr">
        <is>
          <t>KR</t>
        </is>
      </c>
      <c r="F902" s="75" t="n">
        <v>62901000</v>
      </c>
      <c r="G902" s="75" t="n">
        <v>1801</v>
      </c>
      <c r="H902" s="76" t="n">
        <v>12063000</v>
      </c>
      <c r="I902" s="75" t="inlineStr">
        <is>
          <t>5월 자문 수수료 - W컨설팅</t>
        </is>
      </c>
      <c r="J902" s="75" t="inlineStr">
        <is>
          <t>V10009</t>
        </is>
      </c>
      <c r="K902" s="75" t="inlineStr">
        <is>
          <t>W컨설팅</t>
        </is>
      </c>
      <c r="M902" s="9">
        <f>IF($A902="","",VALUE($A902&amp;"")*12+VALUE($B902&amp;""))</f>
        <v/>
      </c>
      <c r="N902" s="39">
        <f>IF($A902="","",IFERROR(INDEX(부서매핑!$C$5:$C$504,MATCH($G902&amp;"",부서매핑!$A$5:$A$504,0)),"미매핑"))</f>
        <v/>
      </c>
      <c r="O902" s="9">
        <f>IF($A902="","",N902&amp;"|"&amp;$F902)</f>
        <v/>
      </c>
      <c r="P902" s="77">
        <f>IF($A902="",0,$H902*설정!$C$23)</f>
        <v/>
      </c>
      <c r="Q902" s="39">
        <f>IF($A902="","",IF(O902&lt;&gt;원인분석!$C$9,"",IF(AND(M902&gt;=원인분석!$C$10,M902&lt;=원인분석!$C$11),"당기",IF(AND(M902&gt;=원인분석!$C$12,M902&lt;=원인분석!$C$13),"비교",""))))</f>
        <v/>
      </c>
      <c r="R902" s="9">
        <f>IF(Q902="","",$K902&amp;"")</f>
        <v/>
      </c>
      <c r="S902" s="9">
        <f>IF(Q902="","",IF(MATCH(R902,$R$5:$R$100000,0)=ROW()-4,ROW(),""))</f>
        <v/>
      </c>
      <c r="T902" s="9">
        <f>IF(Q902="당기",ABS(P902)+ROW()/1000000000,"")</f>
        <v/>
      </c>
      <c r="U902" s="9">
        <f>IF(Q902="비교",ABS(P902)+ROW()/1000000000,"")</f>
        <v/>
      </c>
      <c r="V902" s="39">
        <f>IF($A902="","",IF(COUNTIF(변동분석!$E$7:$E$506,O902)&gt;0,"Y","N"))</f>
        <v/>
      </c>
      <c r="W902" s="39">
        <f>IF($A902="","",IFERROR(INDEX(계정매핑!$D$5:$D$504,MATCH($F902&amp;"",계정매핑!$A$5:$A$504,0)),"미매핑"))</f>
        <v/>
      </c>
      <c r="X902" s="9">
        <f>IF($A902="","",$F902&amp;"")</f>
        <v/>
      </c>
    </row>
    <row r="903">
      <c r="A903" s="75" t="n">
        <v>2025</v>
      </c>
      <c r="B903" s="75" t="n">
        <v>5</v>
      </c>
      <c r="C903" s="75" t="inlineStr">
        <is>
          <t>5100000899</t>
        </is>
      </c>
      <c r="D903" s="78" t="n">
        <v>45794</v>
      </c>
      <c r="E903" s="75" t="inlineStr">
        <is>
          <t>KR</t>
        </is>
      </c>
      <c r="F903" s="75" t="n">
        <v>62902000</v>
      </c>
      <c r="G903" s="75" t="n">
        <v>1201</v>
      </c>
      <c r="H903" s="76" t="n">
        <v>3450000</v>
      </c>
      <c r="I903" s="75" t="inlineStr">
        <is>
          <t>5월 업무 위탁 수수료 - X서비스</t>
        </is>
      </c>
      <c r="J903" s="75" t="inlineStr">
        <is>
          <t>V10016</t>
        </is>
      </c>
      <c r="K903" s="75" t="inlineStr">
        <is>
          <t>X서비스</t>
        </is>
      </c>
      <c r="M903" s="9">
        <f>IF($A903="","",VALUE($A903&amp;"")*12+VALUE($B903&amp;""))</f>
        <v/>
      </c>
      <c r="N903" s="39">
        <f>IF($A903="","",IFERROR(INDEX(부서매핑!$C$5:$C$504,MATCH($G903&amp;"",부서매핑!$A$5:$A$504,0)),"미매핑"))</f>
        <v/>
      </c>
      <c r="O903" s="9">
        <f>IF($A903="","",N903&amp;"|"&amp;$F903)</f>
        <v/>
      </c>
      <c r="P903" s="77">
        <f>IF($A903="",0,$H903*설정!$C$23)</f>
        <v/>
      </c>
      <c r="Q903" s="39">
        <f>IF($A903="","",IF(O903&lt;&gt;원인분석!$C$9,"",IF(AND(M903&gt;=원인분석!$C$10,M903&lt;=원인분석!$C$11),"당기",IF(AND(M903&gt;=원인분석!$C$12,M903&lt;=원인분석!$C$13),"비교",""))))</f>
        <v/>
      </c>
      <c r="R903" s="9">
        <f>IF(Q903="","",$K903&amp;"")</f>
        <v/>
      </c>
      <c r="S903" s="9">
        <f>IF(Q903="","",IF(MATCH(R903,$R$5:$R$100000,0)=ROW()-4,ROW(),""))</f>
        <v/>
      </c>
      <c r="T903" s="9">
        <f>IF(Q903="당기",ABS(P903)+ROW()/1000000000,"")</f>
        <v/>
      </c>
      <c r="U903" s="9">
        <f>IF(Q903="비교",ABS(P903)+ROW()/1000000000,"")</f>
        <v/>
      </c>
      <c r="V903" s="39">
        <f>IF($A903="","",IF(COUNTIF(변동분석!$E$7:$E$506,O903)&gt;0,"Y","N"))</f>
        <v/>
      </c>
      <c r="W903" s="39">
        <f>IF($A903="","",IFERROR(INDEX(계정매핑!$D$5:$D$504,MATCH($F903&amp;"",계정매핑!$A$5:$A$504,0)),"미매핑"))</f>
        <v/>
      </c>
      <c r="X903" s="9">
        <f>IF($A903="","",$F903&amp;"")</f>
        <v/>
      </c>
    </row>
    <row r="904">
      <c r="A904" s="75" t="n">
        <v>2025</v>
      </c>
      <c r="B904" s="75" t="n">
        <v>5</v>
      </c>
      <c r="C904" s="75" t="inlineStr">
        <is>
          <t>5100000900</t>
        </is>
      </c>
      <c r="D904" s="78" t="n">
        <v>45795</v>
      </c>
      <c r="E904" s="75" t="inlineStr">
        <is>
          <t>KR</t>
        </is>
      </c>
      <c r="F904" s="75" t="n">
        <v>62101000</v>
      </c>
      <c r="G904" s="75" t="n">
        <v>1101</v>
      </c>
      <c r="H904" s="76" t="n">
        <v>368000</v>
      </c>
      <c r="I904" s="75" t="inlineStr">
        <is>
          <t>5월 국내출장 - M항공</t>
        </is>
      </c>
      <c r="J904" s="75" t="inlineStr">
        <is>
          <t>V10001</t>
        </is>
      </c>
      <c r="K904" s="75" t="inlineStr">
        <is>
          <t>M항공</t>
        </is>
      </c>
      <c r="M904" s="9">
        <f>IF($A904="","",VALUE($A904&amp;"")*12+VALUE($B904&amp;""))</f>
        <v/>
      </c>
      <c r="N904" s="39">
        <f>IF($A904="","",IFERROR(INDEX(부서매핑!$C$5:$C$504,MATCH($G904&amp;"",부서매핑!$A$5:$A$504,0)),"미매핑"))</f>
        <v/>
      </c>
      <c r="O904" s="9">
        <f>IF($A904="","",N904&amp;"|"&amp;$F904)</f>
        <v/>
      </c>
      <c r="P904" s="77">
        <f>IF($A904="",0,$H904*설정!$C$23)</f>
        <v/>
      </c>
      <c r="Q904" s="39">
        <f>IF($A904="","",IF(O904&lt;&gt;원인분석!$C$9,"",IF(AND(M904&gt;=원인분석!$C$10,M904&lt;=원인분석!$C$11),"당기",IF(AND(M904&gt;=원인분석!$C$12,M904&lt;=원인분석!$C$13),"비교",""))))</f>
        <v/>
      </c>
      <c r="R904" s="9">
        <f>IF(Q904="","",$K904&amp;"")</f>
        <v/>
      </c>
      <c r="S904" s="9">
        <f>IF(Q904="","",IF(MATCH(R904,$R$5:$R$100000,0)=ROW()-4,ROW(),""))</f>
        <v/>
      </c>
      <c r="T904" s="9">
        <f>IF(Q904="당기",ABS(P904)+ROW()/1000000000,"")</f>
        <v/>
      </c>
      <c r="U904" s="9">
        <f>IF(Q904="비교",ABS(P904)+ROW()/1000000000,"")</f>
        <v/>
      </c>
      <c r="V904" s="39">
        <f>IF($A904="","",IF(COUNTIF(변동분석!$E$7:$E$506,O904)&gt;0,"Y","N"))</f>
        <v/>
      </c>
      <c r="W904" s="39">
        <f>IF($A904="","",IFERROR(INDEX(계정매핑!$D$5:$D$504,MATCH($F904&amp;"",계정매핑!$A$5:$A$504,0)),"미매핑"))</f>
        <v/>
      </c>
      <c r="X904" s="9">
        <f>IF($A904="","",$F904&amp;"")</f>
        <v/>
      </c>
    </row>
    <row r="905">
      <c r="A905" s="75" t="n">
        <v>2025</v>
      </c>
      <c r="B905" s="75" t="n">
        <v>5</v>
      </c>
      <c r="C905" s="75" t="inlineStr">
        <is>
          <t>5100000901</t>
        </is>
      </c>
      <c r="D905" s="78" t="n">
        <v>45795</v>
      </c>
      <c r="E905" s="75" t="inlineStr">
        <is>
          <t>KR</t>
        </is>
      </c>
      <c r="F905" s="75" t="n">
        <v>62102000</v>
      </c>
      <c r="G905" s="75" t="n">
        <v>1701</v>
      </c>
      <c r="H905" s="76" t="n">
        <v>47000</v>
      </c>
      <c r="I905" s="75" t="inlineStr">
        <is>
          <t>5월 해외출장 - N호텔</t>
        </is>
      </c>
      <c r="J905" s="75" t="inlineStr">
        <is>
          <t>V10007</t>
        </is>
      </c>
      <c r="K905" s="75" t="inlineStr">
        <is>
          <t>N호텔</t>
        </is>
      </c>
      <c r="M905" s="9">
        <f>IF($A905="","",VALUE($A905&amp;"")*12+VALUE($B905&amp;""))</f>
        <v/>
      </c>
      <c r="N905" s="39">
        <f>IF($A905="","",IFERROR(INDEX(부서매핑!$C$5:$C$504,MATCH($G905&amp;"",부서매핑!$A$5:$A$504,0)),"미매핑"))</f>
        <v/>
      </c>
      <c r="O905" s="9">
        <f>IF($A905="","",N905&amp;"|"&amp;$F905)</f>
        <v/>
      </c>
      <c r="P905" s="77">
        <f>IF($A905="",0,$H905*설정!$C$23)</f>
        <v/>
      </c>
      <c r="Q905" s="39">
        <f>IF($A905="","",IF(O905&lt;&gt;원인분석!$C$9,"",IF(AND(M905&gt;=원인분석!$C$10,M905&lt;=원인분석!$C$11),"당기",IF(AND(M905&gt;=원인분석!$C$12,M905&lt;=원인분석!$C$13),"비교",""))))</f>
        <v/>
      </c>
      <c r="R905" s="9">
        <f>IF(Q905="","",$K905&amp;"")</f>
        <v/>
      </c>
      <c r="S905" s="9">
        <f>IF(Q905="","",IF(MATCH(R905,$R$5:$R$100000,0)=ROW()-4,ROW(),""))</f>
        <v/>
      </c>
      <c r="T905" s="9">
        <f>IF(Q905="당기",ABS(P905)+ROW()/1000000000,"")</f>
        <v/>
      </c>
      <c r="U905" s="9">
        <f>IF(Q905="비교",ABS(P905)+ROW()/1000000000,"")</f>
        <v/>
      </c>
      <c r="V905" s="39">
        <f>IF($A905="","",IF(COUNTIF(변동분석!$E$7:$E$506,O905)&gt;0,"Y","N"))</f>
        <v/>
      </c>
      <c r="W905" s="39">
        <f>IF($A905="","",IFERROR(INDEX(계정매핑!$D$5:$D$504,MATCH($F905&amp;"",계정매핑!$A$5:$A$504,0)),"미매핑"))</f>
        <v/>
      </c>
      <c r="X905" s="9">
        <f>IF($A905="","",$F905&amp;"")</f>
        <v/>
      </c>
    </row>
    <row r="906">
      <c r="A906" s="75" t="n">
        <v>2025</v>
      </c>
      <c r="B906" s="75" t="n">
        <v>5</v>
      </c>
      <c r="C906" s="75" t="inlineStr">
        <is>
          <t>5100000902</t>
        </is>
      </c>
      <c r="D906" s="78" t="n">
        <v>45795</v>
      </c>
      <c r="E906" s="75" t="inlineStr">
        <is>
          <t>KR</t>
        </is>
      </c>
      <c r="F906" s="75" t="n">
        <v>62102000</v>
      </c>
      <c r="G906" s="75" t="n">
        <v>1801</v>
      </c>
      <c r="H906" s="76" t="n">
        <v>61000</v>
      </c>
      <c r="I906" s="75" t="inlineStr">
        <is>
          <t>5월 해외출장 - N호텔</t>
        </is>
      </c>
      <c r="J906" s="75" t="inlineStr">
        <is>
          <t>V10007</t>
        </is>
      </c>
      <c r="K906" s="75" t="inlineStr">
        <is>
          <t>N호텔</t>
        </is>
      </c>
      <c r="M906" s="9">
        <f>IF($A906="","",VALUE($A906&amp;"")*12+VALUE($B906&amp;""))</f>
        <v/>
      </c>
      <c r="N906" s="39">
        <f>IF($A906="","",IFERROR(INDEX(부서매핑!$C$5:$C$504,MATCH($G906&amp;"",부서매핑!$A$5:$A$504,0)),"미매핑"))</f>
        <v/>
      </c>
      <c r="O906" s="9">
        <f>IF($A906="","",N906&amp;"|"&amp;$F906)</f>
        <v/>
      </c>
      <c r="P906" s="77">
        <f>IF($A906="",0,$H906*설정!$C$23)</f>
        <v/>
      </c>
      <c r="Q906" s="39">
        <f>IF($A906="","",IF(O906&lt;&gt;원인분석!$C$9,"",IF(AND(M906&gt;=원인분석!$C$10,M906&lt;=원인분석!$C$11),"당기",IF(AND(M906&gt;=원인분석!$C$12,M906&lt;=원인분석!$C$13),"비교",""))))</f>
        <v/>
      </c>
      <c r="R906" s="9">
        <f>IF(Q906="","",$K906&amp;"")</f>
        <v/>
      </c>
      <c r="S906" s="9">
        <f>IF(Q906="","",IF(MATCH(R906,$R$5:$R$100000,0)=ROW()-4,ROW(),""))</f>
        <v/>
      </c>
      <c r="T906" s="9">
        <f>IF(Q906="당기",ABS(P906)+ROW()/1000000000,"")</f>
        <v/>
      </c>
      <c r="U906" s="9">
        <f>IF(Q906="비교",ABS(P906)+ROW()/1000000000,"")</f>
        <v/>
      </c>
      <c r="V906" s="39">
        <f>IF($A906="","",IF(COUNTIF(변동분석!$E$7:$E$506,O906)&gt;0,"Y","N"))</f>
        <v/>
      </c>
      <c r="W906" s="39">
        <f>IF($A906="","",IFERROR(INDEX(계정매핑!$D$5:$D$504,MATCH($F906&amp;"",계정매핑!$A$5:$A$504,0)),"미매핑"))</f>
        <v/>
      </c>
      <c r="X906" s="9">
        <f>IF($A906="","",$F906&amp;"")</f>
        <v/>
      </c>
    </row>
    <row r="907">
      <c r="A907" s="75" t="n">
        <v>2025</v>
      </c>
      <c r="B907" s="75" t="n">
        <v>5</v>
      </c>
      <c r="C907" s="75" t="inlineStr">
        <is>
          <t>5100000903</t>
        </is>
      </c>
      <c r="D907" s="78" t="n">
        <v>45795</v>
      </c>
      <c r="E907" s="75" t="inlineStr">
        <is>
          <t>KR</t>
        </is>
      </c>
      <c r="F907" s="75" t="n">
        <v>62201000</v>
      </c>
      <c r="G907" s="75" t="n">
        <v>1601</v>
      </c>
      <c r="H907" s="76" t="n">
        <v>380000</v>
      </c>
      <c r="I907" s="75" t="inlineStr">
        <is>
          <t>5월 통신요금 - P통신</t>
        </is>
      </c>
      <c r="J907" s="75" t="inlineStr">
        <is>
          <t>V10011</t>
        </is>
      </c>
      <c r="K907" s="75" t="inlineStr">
        <is>
          <t>P통신</t>
        </is>
      </c>
      <c r="M907" s="9">
        <f>IF($A907="","",VALUE($A907&amp;"")*12+VALUE($B907&amp;""))</f>
        <v/>
      </c>
      <c r="N907" s="39">
        <f>IF($A907="","",IFERROR(INDEX(부서매핑!$C$5:$C$504,MATCH($G907&amp;"",부서매핑!$A$5:$A$504,0)),"미매핑"))</f>
        <v/>
      </c>
      <c r="O907" s="9">
        <f>IF($A907="","",N907&amp;"|"&amp;$F907)</f>
        <v/>
      </c>
      <c r="P907" s="77">
        <f>IF($A907="",0,$H907*설정!$C$23)</f>
        <v/>
      </c>
      <c r="Q907" s="39">
        <f>IF($A907="","",IF(O907&lt;&gt;원인분석!$C$9,"",IF(AND(M907&gt;=원인분석!$C$10,M907&lt;=원인분석!$C$11),"당기",IF(AND(M907&gt;=원인분석!$C$12,M907&lt;=원인분석!$C$13),"비교",""))))</f>
        <v/>
      </c>
      <c r="R907" s="9">
        <f>IF(Q907="","",$K907&amp;"")</f>
        <v/>
      </c>
      <c r="S907" s="9">
        <f>IF(Q907="","",IF(MATCH(R907,$R$5:$R$100000,0)=ROW()-4,ROW(),""))</f>
        <v/>
      </c>
      <c r="T907" s="9">
        <f>IF(Q907="당기",ABS(P907)+ROW()/1000000000,"")</f>
        <v/>
      </c>
      <c r="U907" s="9">
        <f>IF(Q907="비교",ABS(P907)+ROW()/1000000000,"")</f>
        <v/>
      </c>
      <c r="V907" s="39">
        <f>IF($A907="","",IF(COUNTIF(변동분석!$E$7:$E$506,O907)&gt;0,"Y","N"))</f>
        <v/>
      </c>
      <c r="W907" s="39">
        <f>IF($A907="","",IFERROR(INDEX(계정매핑!$D$5:$D$504,MATCH($F907&amp;"",계정매핑!$A$5:$A$504,0)),"미매핑"))</f>
        <v/>
      </c>
      <c r="X907" s="9">
        <f>IF($A907="","",$F907&amp;"")</f>
        <v/>
      </c>
    </row>
    <row r="908">
      <c r="A908" s="75" t="n">
        <v>2025</v>
      </c>
      <c r="B908" s="75" t="n">
        <v>5</v>
      </c>
      <c r="C908" s="75" t="inlineStr">
        <is>
          <t>5100000904</t>
        </is>
      </c>
      <c r="D908" s="78" t="n">
        <v>45795</v>
      </c>
      <c r="E908" s="75" t="inlineStr">
        <is>
          <t>KR</t>
        </is>
      </c>
      <c r="F908" s="75" t="n">
        <v>62201000</v>
      </c>
      <c r="G908" s="75" t="n">
        <v>1602</v>
      </c>
      <c r="H908" s="76" t="n">
        <v>607000</v>
      </c>
      <c r="I908" s="75" t="inlineStr">
        <is>
          <t>5월 통신요금 - P통신</t>
        </is>
      </c>
      <c r="J908" s="75" t="inlineStr">
        <is>
          <t>V10011</t>
        </is>
      </c>
      <c r="K908" s="75" t="inlineStr">
        <is>
          <t>P통신</t>
        </is>
      </c>
      <c r="M908" s="9">
        <f>IF($A908="","",VALUE($A908&amp;"")*12+VALUE($B908&amp;""))</f>
        <v/>
      </c>
      <c r="N908" s="39">
        <f>IF($A908="","",IFERROR(INDEX(부서매핑!$C$5:$C$504,MATCH($G908&amp;"",부서매핑!$A$5:$A$504,0)),"미매핑"))</f>
        <v/>
      </c>
      <c r="O908" s="9">
        <f>IF($A908="","",N908&amp;"|"&amp;$F908)</f>
        <v/>
      </c>
      <c r="P908" s="77">
        <f>IF($A908="",0,$H908*설정!$C$23)</f>
        <v/>
      </c>
      <c r="Q908" s="39">
        <f>IF($A908="","",IF(O908&lt;&gt;원인분석!$C$9,"",IF(AND(M908&gt;=원인분석!$C$10,M908&lt;=원인분석!$C$11),"당기",IF(AND(M908&gt;=원인분석!$C$12,M908&lt;=원인분석!$C$13),"비교",""))))</f>
        <v/>
      </c>
      <c r="R908" s="9">
        <f>IF(Q908="","",$K908&amp;"")</f>
        <v/>
      </c>
      <c r="S908" s="9">
        <f>IF(Q908="","",IF(MATCH(R908,$R$5:$R$100000,0)=ROW()-4,ROW(),""))</f>
        <v/>
      </c>
      <c r="T908" s="9">
        <f>IF(Q908="당기",ABS(P908)+ROW()/1000000000,"")</f>
        <v/>
      </c>
      <c r="U908" s="9">
        <f>IF(Q908="비교",ABS(P908)+ROW()/1000000000,"")</f>
        <v/>
      </c>
      <c r="V908" s="39">
        <f>IF($A908="","",IF(COUNTIF(변동분석!$E$7:$E$506,O908)&gt;0,"Y","N"))</f>
        <v/>
      </c>
      <c r="W908" s="39">
        <f>IF($A908="","",IFERROR(INDEX(계정매핑!$D$5:$D$504,MATCH($F908&amp;"",계정매핑!$A$5:$A$504,0)),"미매핑"))</f>
        <v/>
      </c>
      <c r="X908" s="9">
        <f>IF($A908="","",$F908&amp;"")</f>
        <v/>
      </c>
    </row>
    <row r="909">
      <c r="A909" s="75" t="n">
        <v>2025</v>
      </c>
      <c r="B909" s="75" t="n">
        <v>5</v>
      </c>
      <c r="C909" s="75" t="inlineStr">
        <is>
          <t>5100000905</t>
        </is>
      </c>
      <c r="D909" s="78" t="n">
        <v>45795</v>
      </c>
      <c r="E909" s="75" t="inlineStr">
        <is>
          <t>KR</t>
        </is>
      </c>
      <c r="F909" s="75" t="n">
        <v>62301000</v>
      </c>
      <c r="G909" s="75" t="n">
        <v>1301</v>
      </c>
      <c r="H909" s="76" t="n">
        <v>204000</v>
      </c>
      <c r="I909" s="75" t="inlineStr">
        <is>
          <t>5월 소모품 구입 - Q오피스</t>
        </is>
      </c>
      <c r="J909" s="75" t="inlineStr">
        <is>
          <t>V10003</t>
        </is>
      </c>
      <c r="K909" s="75" t="inlineStr">
        <is>
          <t>Q오피스</t>
        </is>
      </c>
      <c r="M909" s="9">
        <f>IF($A909="","",VALUE($A909&amp;"")*12+VALUE($B909&amp;""))</f>
        <v/>
      </c>
      <c r="N909" s="39">
        <f>IF($A909="","",IFERROR(INDEX(부서매핑!$C$5:$C$504,MATCH($G909&amp;"",부서매핑!$A$5:$A$504,0)),"미매핑"))</f>
        <v/>
      </c>
      <c r="O909" s="9">
        <f>IF($A909="","",N909&amp;"|"&amp;$F909)</f>
        <v/>
      </c>
      <c r="P909" s="77">
        <f>IF($A909="",0,$H909*설정!$C$23)</f>
        <v/>
      </c>
      <c r="Q909" s="39">
        <f>IF($A909="","",IF(O909&lt;&gt;원인분석!$C$9,"",IF(AND(M909&gt;=원인분석!$C$10,M909&lt;=원인분석!$C$11),"당기",IF(AND(M909&gt;=원인분석!$C$12,M909&lt;=원인분석!$C$13),"비교",""))))</f>
        <v/>
      </c>
      <c r="R909" s="9">
        <f>IF(Q909="","",$K909&amp;"")</f>
        <v/>
      </c>
      <c r="S909" s="9">
        <f>IF(Q909="","",IF(MATCH(R909,$R$5:$R$100000,0)=ROW()-4,ROW(),""))</f>
        <v/>
      </c>
      <c r="T909" s="9">
        <f>IF(Q909="당기",ABS(P909)+ROW()/1000000000,"")</f>
        <v/>
      </c>
      <c r="U909" s="9">
        <f>IF(Q909="비교",ABS(P909)+ROW()/1000000000,"")</f>
        <v/>
      </c>
      <c r="V909" s="39">
        <f>IF($A909="","",IF(COUNTIF(변동분석!$E$7:$E$506,O909)&gt;0,"Y","N"))</f>
        <v/>
      </c>
      <c r="W909" s="39">
        <f>IF($A909="","",IFERROR(INDEX(계정매핑!$D$5:$D$504,MATCH($F909&amp;"",계정매핑!$A$5:$A$504,0)),"미매핑"))</f>
        <v/>
      </c>
      <c r="X909" s="9">
        <f>IF($A909="","",$F909&amp;"")</f>
        <v/>
      </c>
    </row>
    <row r="910">
      <c r="A910" s="75" t="n">
        <v>2025</v>
      </c>
      <c r="B910" s="75" t="n">
        <v>5</v>
      </c>
      <c r="C910" s="75" t="inlineStr">
        <is>
          <t>5100000906</t>
        </is>
      </c>
      <c r="D910" s="78" t="n">
        <v>45795</v>
      </c>
      <c r="E910" s="75" t="inlineStr">
        <is>
          <t>KR</t>
        </is>
      </c>
      <c r="F910" s="75" t="n">
        <v>62301000</v>
      </c>
      <c r="G910" s="75" t="n">
        <v>1801</v>
      </c>
      <c r="H910" s="76" t="n">
        <v>460000</v>
      </c>
      <c r="I910" s="75" t="inlineStr">
        <is>
          <t>5월 소모품 구입 - Q오피스</t>
        </is>
      </c>
      <c r="J910" s="75" t="inlineStr">
        <is>
          <t>V10003</t>
        </is>
      </c>
      <c r="K910" s="75" t="inlineStr">
        <is>
          <t>Q오피스</t>
        </is>
      </c>
      <c r="M910" s="9">
        <f>IF($A910="","",VALUE($A910&amp;"")*12+VALUE($B910&amp;""))</f>
        <v/>
      </c>
      <c r="N910" s="39">
        <f>IF($A910="","",IFERROR(INDEX(부서매핑!$C$5:$C$504,MATCH($G910&amp;"",부서매핑!$A$5:$A$504,0)),"미매핑"))</f>
        <v/>
      </c>
      <c r="O910" s="9">
        <f>IF($A910="","",N910&amp;"|"&amp;$F910)</f>
        <v/>
      </c>
      <c r="P910" s="77">
        <f>IF($A910="",0,$H910*설정!$C$23)</f>
        <v/>
      </c>
      <c r="Q910" s="39">
        <f>IF($A910="","",IF(O910&lt;&gt;원인분석!$C$9,"",IF(AND(M910&gt;=원인분석!$C$10,M910&lt;=원인분석!$C$11),"당기",IF(AND(M910&gt;=원인분석!$C$12,M910&lt;=원인분석!$C$13),"비교",""))))</f>
        <v/>
      </c>
      <c r="R910" s="9">
        <f>IF(Q910="","",$K910&amp;"")</f>
        <v/>
      </c>
      <c r="S910" s="9">
        <f>IF(Q910="","",IF(MATCH(R910,$R$5:$R$100000,0)=ROW()-4,ROW(),""))</f>
        <v/>
      </c>
      <c r="T910" s="9">
        <f>IF(Q910="당기",ABS(P910)+ROW()/1000000000,"")</f>
        <v/>
      </c>
      <c r="U910" s="9">
        <f>IF(Q910="비교",ABS(P910)+ROW()/1000000000,"")</f>
        <v/>
      </c>
      <c r="V910" s="39">
        <f>IF($A910="","",IF(COUNTIF(변동분석!$E$7:$E$506,O910)&gt;0,"Y","N"))</f>
        <v/>
      </c>
      <c r="W910" s="39">
        <f>IF($A910="","",IFERROR(INDEX(계정매핑!$D$5:$D$504,MATCH($F910&amp;"",계정매핑!$A$5:$A$504,0)),"미매핑"))</f>
        <v/>
      </c>
      <c r="X910" s="9">
        <f>IF($A910="","",$F910&amp;"")</f>
        <v/>
      </c>
    </row>
    <row r="911">
      <c r="A911" s="75" t="n">
        <v>2025</v>
      </c>
      <c r="B911" s="75" t="n">
        <v>5</v>
      </c>
      <c r="C911" s="75" t="inlineStr">
        <is>
          <t>5100000907</t>
        </is>
      </c>
      <c r="D911" s="78" t="n">
        <v>45795</v>
      </c>
      <c r="E911" s="75" t="inlineStr">
        <is>
          <t>KR</t>
        </is>
      </c>
      <c r="F911" s="75" t="n">
        <v>62801000</v>
      </c>
      <c r="G911" s="75" t="n">
        <v>1301</v>
      </c>
      <c r="H911" s="76" t="n">
        <v>4565000</v>
      </c>
      <c r="I911" s="75" t="inlineStr">
        <is>
          <t>5월 사내교육 - (사내강사료)</t>
        </is>
      </c>
      <c r="J911" s="75" t="inlineStr">
        <is>
          <t>V10020</t>
        </is>
      </c>
      <c r="K911" s="75" t="inlineStr">
        <is>
          <t>(사내강사료)</t>
        </is>
      </c>
      <c r="M911" s="9">
        <f>IF($A911="","",VALUE($A911&amp;"")*12+VALUE($B911&amp;""))</f>
        <v/>
      </c>
      <c r="N911" s="39">
        <f>IF($A911="","",IFERROR(INDEX(부서매핑!$C$5:$C$504,MATCH($G911&amp;"",부서매핑!$A$5:$A$504,0)),"미매핑"))</f>
        <v/>
      </c>
      <c r="O911" s="9">
        <f>IF($A911="","",N911&amp;"|"&amp;$F911)</f>
        <v/>
      </c>
      <c r="P911" s="77">
        <f>IF($A911="",0,$H911*설정!$C$23)</f>
        <v/>
      </c>
      <c r="Q911" s="39">
        <f>IF($A911="","",IF(O911&lt;&gt;원인분석!$C$9,"",IF(AND(M911&gt;=원인분석!$C$10,M911&lt;=원인분석!$C$11),"당기",IF(AND(M911&gt;=원인분석!$C$12,M911&lt;=원인분석!$C$13),"비교",""))))</f>
        <v/>
      </c>
      <c r="R911" s="9">
        <f>IF(Q911="","",$K911&amp;"")</f>
        <v/>
      </c>
      <c r="S911" s="9">
        <f>IF(Q911="","",IF(MATCH(R911,$R$5:$R$100000,0)=ROW()-4,ROW(),""))</f>
        <v/>
      </c>
      <c r="T911" s="9">
        <f>IF(Q911="당기",ABS(P911)+ROW()/1000000000,"")</f>
        <v/>
      </c>
      <c r="U911" s="9">
        <f>IF(Q911="비교",ABS(P911)+ROW()/1000000000,"")</f>
        <v/>
      </c>
      <c r="V911" s="39">
        <f>IF($A911="","",IF(COUNTIF(변동분석!$E$7:$E$506,O911)&gt;0,"Y","N"))</f>
        <v/>
      </c>
      <c r="W911" s="39">
        <f>IF($A911="","",IFERROR(INDEX(계정매핑!$D$5:$D$504,MATCH($F911&amp;"",계정매핑!$A$5:$A$504,0)),"미매핑"))</f>
        <v/>
      </c>
      <c r="X911" s="9">
        <f>IF($A911="","",$F911&amp;"")</f>
        <v/>
      </c>
    </row>
    <row r="912">
      <c r="A912" s="75" t="n">
        <v>2025</v>
      </c>
      <c r="B912" s="75" t="n">
        <v>5</v>
      </c>
      <c r="C912" s="75" t="inlineStr">
        <is>
          <t>5100000908</t>
        </is>
      </c>
      <c r="D912" s="78" t="n">
        <v>45795</v>
      </c>
      <c r="E912" s="75" t="inlineStr">
        <is>
          <t>KR</t>
        </is>
      </c>
      <c r="F912" s="75" t="n">
        <v>62901000</v>
      </c>
      <c r="G912" s="75" t="n">
        <v>1101</v>
      </c>
      <c r="H912" s="76" t="n">
        <v>2652000</v>
      </c>
      <c r="I912" s="75" t="inlineStr">
        <is>
          <t>5월 자문 수수료 - K회계법인</t>
        </is>
      </c>
      <c r="J912" s="75" t="inlineStr">
        <is>
          <t>V10010</t>
        </is>
      </c>
      <c r="K912" s="75" t="inlineStr">
        <is>
          <t>K회계법인</t>
        </is>
      </c>
      <c r="M912" s="9">
        <f>IF($A912="","",VALUE($A912&amp;"")*12+VALUE($B912&amp;""))</f>
        <v/>
      </c>
      <c r="N912" s="39">
        <f>IF($A912="","",IFERROR(INDEX(부서매핑!$C$5:$C$504,MATCH($G912&amp;"",부서매핑!$A$5:$A$504,0)),"미매핑"))</f>
        <v/>
      </c>
      <c r="O912" s="9">
        <f>IF($A912="","",N912&amp;"|"&amp;$F912)</f>
        <v/>
      </c>
      <c r="P912" s="77">
        <f>IF($A912="",0,$H912*설정!$C$23)</f>
        <v/>
      </c>
      <c r="Q912" s="39">
        <f>IF($A912="","",IF(O912&lt;&gt;원인분석!$C$9,"",IF(AND(M912&gt;=원인분석!$C$10,M912&lt;=원인분석!$C$11),"당기",IF(AND(M912&gt;=원인분석!$C$12,M912&lt;=원인분석!$C$13),"비교",""))))</f>
        <v/>
      </c>
      <c r="R912" s="9">
        <f>IF(Q912="","",$K912&amp;"")</f>
        <v/>
      </c>
      <c r="S912" s="9">
        <f>IF(Q912="","",IF(MATCH(R912,$R$5:$R$100000,0)=ROW()-4,ROW(),""))</f>
        <v/>
      </c>
      <c r="T912" s="9">
        <f>IF(Q912="당기",ABS(P912)+ROW()/1000000000,"")</f>
        <v/>
      </c>
      <c r="U912" s="9">
        <f>IF(Q912="비교",ABS(P912)+ROW()/1000000000,"")</f>
        <v/>
      </c>
      <c r="V912" s="39">
        <f>IF($A912="","",IF(COUNTIF(변동분석!$E$7:$E$506,O912)&gt;0,"Y","N"))</f>
        <v/>
      </c>
      <c r="W912" s="39">
        <f>IF($A912="","",IFERROR(INDEX(계정매핑!$D$5:$D$504,MATCH($F912&amp;"",계정매핑!$A$5:$A$504,0)),"미매핑"))</f>
        <v/>
      </c>
      <c r="X912" s="9">
        <f>IF($A912="","",$F912&amp;"")</f>
        <v/>
      </c>
    </row>
    <row r="913">
      <c r="A913" s="75" t="n">
        <v>2025</v>
      </c>
      <c r="B913" s="75" t="n">
        <v>5</v>
      </c>
      <c r="C913" s="75" t="inlineStr">
        <is>
          <t>5100000909</t>
        </is>
      </c>
      <c r="D913" s="78" t="n">
        <v>45796</v>
      </c>
      <c r="E913" s="75" t="inlineStr">
        <is>
          <t>KR</t>
        </is>
      </c>
      <c r="F913" s="75" t="n">
        <v>62101000</v>
      </c>
      <c r="G913" s="75" t="n">
        <v>1101</v>
      </c>
      <c r="H913" s="76" t="n">
        <v>705000</v>
      </c>
      <c r="I913" s="75" t="inlineStr">
        <is>
          <t>5월 국내출장 - M항공</t>
        </is>
      </c>
      <c r="J913" s="75" t="inlineStr">
        <is>
          <t>V10001</t>
        </is>
      </c>
      <c r="K913" s="75" t="inlineStr">
        <is>
          <t>M항공</t>
        </is>
      </c>
      <c r="M913" s="9">
        <f>IF($A913="","",VALUE($A913&amp;"")*12+VALUE($B913&amp;""))</f>
        <v/>
      </c>
      <c r="N913" s="39">
        <f>IF($A913="","",IFERROR(INDEX(부서매핑!$C$5:$C$504,MATCH($G913&amp;"",부서매핑!$A$5:$A$504,0)),"미매핑"))</f>
        <v/>
      </c>
      <c r="O913" s="9">
        <f>IF($A913="","",N913&amp;"|"&amp;$F913)</f>
        <v/>
      </c>
      <c r="P913" s="77">
        <f>IF($A913="",0,$H913*설정!$C$23)</f>
        <v/>
      </c>
      <c r="Q913" s="39">
        <f>IF($A913="","",IF(O913&lt;&gt;원인분석!$C$9,"",IF(AND(M913&gt;=원인분석!$C$10,M913&lt;=원인분석!$C$11),"당기",IF(AND(M913&gt;=원인분석!$C$12,M913&lt;=원인분석!$C$13),"비교",""))))</f>
        <v/>
      </c>
      <c r="R913" s="9">
        <f>IF(Q913="","",$K913&amp;"")</f>
        <v/>
      </c>
      <c r="S913" s="9">
        <f>IF(Q913="","",IF(MATCH(R913,$R$5:$R$100000,0)=ROW()-4,ROW(),""))</f>
        <v/>
      </c>
      <c r="T913" s="9">
        <f>IF(Q913="당기",ABS(P913)+ROW()/1000000000,"")</f>
        <v/>
      </c>
      <c r="U913" s="9">
        <f>IF(Q913="비교",ABS(P913)+ROW()/1000000000,"")</f>
        <v/>
      </c>
      <c r="V913" s="39">
        <f>IF($A913="","",IF(COUNTIF(변동분석!$E$7:$E$506,O913)&gt;0,"Y","N"))</f>
        <v/>
      </c>
      <c r="W913" s="39">
        <f>IF($A913="","",IFERROR(INDEX(계정매핑!$D$5:$D$504,MATCH($F913&amp;"",계정매핑!$A$5:$A$504,0)),"미매핑"))</f>
        <v/>
      </c>
      <c r="X913" s="9">
        <f>IF($A913="","",$F913&amp;"")</f>
        <v/>
      </c>
    </row>
    <row r="914">
      <c r="A914" s="75" t="n">
        <v>2025</v>
      </c>
      <c r="B914" s="75" t="n">
        <v>5</v>
      </c>
      <c r="C914" s="75" t="inlineStr">
        <is>
          <t>5100000910</t>
        </is>
      </c>
      <c r="D914" s="78" t="n">
        <v>45796</v>
      </c>
      <c r="E914" s="75" t="inlineStr">
        <is>
          <t>KR</t>
        </is>
      </c>
      <c r="F914" s="75" t="n">
        <v>62101000</v>
      </c>
      <c r="G914" s="75" t="n">
        <v>1201</v>
      </c>
      <c r="H914" s="76" t="n">
        <v>171000</v>
      </c>
      <c r="I914" s="75" t="inlineStr">
        <is>
          <t>5월 국내출장 - M항공</t>
        </is>
      </c>
      <c r="J914" s="75" t="inlineStr">
        <is>
          <t>V10001</t>
        </is>
      </c>
      <c r="K914" s="75" t="inlineStr">
        <is>
          <t>M항공</t>
        </is>
      </c>
      <c r="M914" s="9">
        <f>IF($A914="","",VALUE($A914&amp;"")*12+VALUE($B914&amp;""))</f>
        <v/>
      </c>
      <c r="N914" s="39">
        <f>IF($A914="","",IFERROR(INDEX(부서매핑!$C$5:$C$504,MATCH($G914&amp;"",부서매핑!$A$5:$A$504,0)),"미매핑"))</f>
        <v/>
      </c>
      <c r="O914" s="9">
        <f>IF($A914="","",N914&amp;"|"&amp;$F914)</f>
        <v/>
      </c>
      <c r="P914" s="77">
        <f>IF($A914="",0,$H914*설정!$C$23)</f>
        <v/>
      </c>
      <c r="Q914" s="39">
        <f>IF($A914="","",IF(O914&lt;&gt;원인분석!$C$9,"",IF(AND(M914&gt;=원인분석!$C$10,M914&lt;=원인분석!$C$11),"당기",IF(AND(M914&gt;=원인분석!$C$12,M914&lt;=원인분석!$C$13),"비교",""))))</f>
        <v/>
      </c>
      <c r="R914" s="9">
        <f>IF(Q914="","",$K914&amp;"")</f>
        <v/>
      </c>
      <c r="S914" s="9">
        <f>IF(Q914="","",IF(MATCH(R914,$R$5:$R$100000,0)=ROW()-4,ROW(),""))</f>
        <v/>
      </c>
      <c r="T914" s="9">
        <f>IF(Q914="당기",ABS(P914)+ROW()/1000000000,"")</f>
        <v/>
      </c>
      <c r="U914" s="9">
        <f>IF(Q914="비교",ABS(P914)+ROW()/1000000000,"")</f>
        <v/>
      </c>
      <c r="V914" s="39">
        <f>IF($A914="","",IF(COUNTIF(변동분석!$E$7:$E$506,O914)&gt;0,"Y","N"))</f>
        <v/>
      </c>
      <c r="W914" s="39">
        <f>IF($A914="","",IFERROR(INDEX(계정매핑!$D$5:$D$504,MATCH($F914&amp;"",계정매핑!$A$5:$A$504,0)),"미매핑"))</f>
        <v/>
      </c>
      <c r="X914" s="9">
        <f>IF($A914="","",$F914&amp;"")</f>
        <v/>
      </c>
    </row>
    <row r="915">
      <c r="A915" s="75" t="n">
        <v>2025</v>
      </c>
      <c r="B915" s="75" t="n">
        <v>5</v>
      </c>
      <c r="C915" s="75" t="inlineStr">
        <is>
          <t>5100000911</t>
        </is>
      </c>
      <c r="D915" s="78" t="n">
        <v>45796</v>
      </c>
      <c r="E915" s="75" t="inlineStr">
        <is>
          <t>KR</t>
        </is>
      </c>
      <c r="F915" s="75" t="n">
        <v>62102000</v>
      </c>
      <c r="G915" s="75" t="n">
        <v>1301</v>
      </c>
      <c r="H915" s="76" t="n">
        <v>76000</v>
      </c>
      <c r="I915" s="75" t="inlineStr">
        <is>
          <t>5월 해외출장 - N호텔</t>
        </is>
      </c>
      <c r="J915" s="75" t="inlineStr">
        <is>
          <t>V10007</t>
        </is>
      </c>
      <c r="K915" s="75" t="inlineStr">
        <is>
          <t>N호텔</t>
        </is>
      </c>
      <c r="M915" s="9">
        <f>IF($A915="","",VALUE($A915&amp;"")*12+VALUE($B915&amp;""))</f>
        <v/>
      </c>
      <c r="N915" s="39">
        <f>IF($A915="","",IFERROR(INDEX(부서매핑!$C$5:$C$504,MATCH($G915&amp;"",부서매핑!$A$5:$A$504,0)),"미매핑"))</f>
        <v/>
      </c>
      <c r="O915" s="9">
        <f>IF($A915="","",N915&amp;"|"&amp;$F915)</f>
        <v/>
      </c>
      <c r="P915" s="77">
        <f>IF($A915="",0,$H915*설정!$C$23)</f>
        <v/>
      </c>
      <c r="Q915" s="39">
        <f>IF($A915="","",IF(O915&lt;&gt;원인분석!$C$9,"",IF(AND(M915&gt;=원인분석!$C$10,M915&lt;=원인분석!$C$11),"당기",IF(AND(M915&gt;=원인분석!$C$12,M915&lt;=원인분석!$C$13),"비교",""))))</f>
        <v/>
      </c>
      <c r="R915" s="9">
        <f>IF(Q915="","",$K915&amp;"")</f>
        <v/>
      </c>
      <c r="S915" s="9">
        <f>IF(Q915="","",IF(MATCH(R915,$R$5:$R$100000,0)=ROW()-4,ROW(),""))</f>
        <v/>
      </c>
      <c r="T915" s="9">
        <f>IF(Q915="당기",ABS(P915)+ROW()/1000000000,"")</f>
        <v/>
      </c>
      <c r="U915" s="9">
        <f>IF(Q915="비교",ABS(P915)+ROW()/1000000000,"")</f>
        <v/>
      </c>
      <c r="V915" s="39">
        <f>IF($A915="","",IF(COUNTIF(변동분석!$E$7:$E$506,O915)&gt;0,"Y","N"))</f>
        <v/>
      </c>
      <c r="W915" s="39">
        <f>IF($A915="","",IFERROR(INDEX(계정매핑!$D$5:$D$504,MATCH($F915&amp;"",계정매핑!$A$5:$A$504,0)),"미매핑"))</f>
        <v/>
      </c>
      <c r="X915" s="9">
        <f>IF($A915="","",$F915&amp;"")</f>
        <v/>
      </c>
    </row>
    <row r="916">
      <c r="A916" s="75" t="n">
        <v>2025</v>
      </c>
      <c r="B916" s="75" t="n">
        <v>5</v>
      </c>
      <c r="C916" s="75" t="inlineStr">
        <is>
          <t>5100000912</t>
        </is>
      </c>
      <c r="D916" s="78" t="n">
        <v>45796</v>
      </c>
      <c r="E916" s="75" t="inlineStr">
        <is>
          <t>KR</t>
        </is>
      </c>
      <c r="F916" s="75" t="n">
        <v>62201000</v>
      </c>
      <c r="G916" s="75" t="n">
        <v>1201</v>
      </c>
      <c r="H916" s="76" t="n">
        <v>117000</v>
      </c>
      <c r="I916" s="75" t="inlineStr">
        <is>
          <t>5월 통신요금 - P통신</t>
        </is>
      </c>
      <c r="J916" s="75" t="inlineStr">
        <is>
          <t>V10011</t>
        </is>
      </c>
      <c r="K916" s="75" t="inlineStr">
        <is>
          <t>P통신</t>
        </is>
      </c>
      <c r="M916" s="9">
        <f>IF($A916="","",VALUE($A916&amp;"")*12+VALUE($B916&amp;""))</f>
        <v/>
      </c>
      <c r="N916" s="39">
        <f>IF($A916="","",IFERROR(INDEX(부서매핑!$C$5:$C$504,MATCH($G916&amp;"",부서매핑!$A$5:$A$504,0)),"미매핑"))</f>
        <v/>
      </c>
      <c r="O916" s="9">
        <f>IF($A916="","",N916&amp;"|"&amp;$F916)</f>
        <v/>
      </c>
      <c r="P916" s="77">
        <f>IF($A916="",0,$H916*설정!$C$23)</f>
        <v/>
      </c>
      <c r="Q916" s="39">
        <f>IF($A916="","",IF(O916&lt;&gt;원인분석!$C$9,"",IF(AND(M916&gt;=원인분석!$C$10,M916&lt;=원인분석!$C$11),"당기",IF(AND(M916&gt;=원인분석!$C$12,M916&lt;=원인분석!$C$13),"비교",""))))</f>
        <v/>
      </c>
      <c r="R916" s="9">
        <f>IF(Q916="","",$K916&amp;"")</f>
        <v/>
      </c>
      <c r="S916" s="9">
        <f>IF(Q916="","",IF(MATCH(R916,$R$5:$R$100000,0)=ROW()-4,ROW(),""))</f>
        <v/>
      </c>
      <c r="T916" s="9">
        <f>IF(Q916="당기",ABS(P916)+ROW()/1000000000,"")</f>
        <v/>
      </c>
      <c r="U916" s="9">
        <f>IF(Q916="비교",ABS(P916)+ROW()/1000000000,"")</f>
        <v/>
      </c>
      <c r="V916" s="39">
        <f>IF($A916="","",IF(COUNTIF(변동분석!$E$7:$E$506,O916)&gt;0,"Y","N"))</f>
        <v/>
      </c>
      <c r="W916" s="39">
        <f>IF($A916="","",IFERROR(INDEX(계정매핑!$D$5:$D$504,MATCH($F916&amp;"",계정매핑!$A$5:$A$504,0)),"미매핑"))</f>
        <v/>
      </c>
      <c r="X916" s="9">
        <f>IF($A916="","",$F916&amp;"")</f>
        <v/>
      </c>
    </row>
    <row r="917">
      <c r="A917" s="75" t="n">
        <v>2025</v>
      </c>
      <c r="B917" s="75" t="n">
        <v>5</v>
      </c>
      <c r="C917" s="75" t="inlineStr">
        <is>
          <t>5100000913</t>
        </is>
      </c>
      <c r="D917" s="78" t="n">
        <v>45796</v>
      </c>
      <c r="E917" s="75" t="inlineStr">
        <is>
          <t>KR</t>
        </is>
      </c>
      <c r="F917" s="75" t="n">
        <v>62201000</v>
      </c>
      <c r="G917" s="75" t="n">
        <v>1801</v>
      </c>
      <c r="H917" s="76" t="n">
        <v>4621000</v>
      </c>
      <c r="I917" s="75" t="inlineStr">
        <is>
          <t>5월 통신요금 - P통신</t>
        </is>
      </c>
      <c r="J917" s="75" t="inlineStr">
        <is>
          <t>V10011</t>
        </is>
      </c>
      <c r="K917" s="75" t="inlineStr">
        <is>
          <t>P통신</t>
        </is>
      </c>
      <c r="M917" s="9">
        <f>IF($A917="","",VALUE($A917&amp;"")*12+VALUE($B917&amp;""))</f>
        <v/>
      </c>
      <c r="N917" s="39">
        <f>IF($A917="","",IFERROR(INDEX(부서매핑!$C$5:$C$504,MATCH($G917&amp;"",부서매핑!$A$5:$A$504,0)),"미매핑"))</f>
        <v/>
      </c>
      <c r="O917" s="9">
        <f>IF($A917="","",N917&amp;"|"&amp;$F917)</f>
        <v/>
      </c>
      <c r="P917" s="77">
        <f>IF($A917="",0,$H917*설정!$C$23)</f>
        <v/>
      </c>
      <c r="Q917" s="39">
        <f>IF($A917="","",IF(O917&lt;&gt;원인분석!$C$9,"",IF(AND(M917&gt;=원인분석!$C$10,M917&lt;=원인분석!$C$11),"당기",IF(AND(M917&gt;=원인분석!$C$12,M917&lt;=원인분석!$C$13),"비교",""))))</f>
        <v/>
      </c>
      <c r="R917" s="9">
        <f>IF(Q917="","",$K917&amp;"")</f>
        <v/>
      </c>
      <c r="S917" s="9">
        <f>IF(Q917="","",IF(MATCH(R917,$R$5:$R$100000,0)=ROW()-4,ROW(),""))</f>
        <v/>
      </c>
      <c r="T917" s="9">
        <f>IF(Q917="당기",ABS(P917)+ROW()/1000000000,"")</f>
        <v/>
      </c>
      <c r="U917" s="9">
        <f>IF(Q917="비교",ABS(P917)+ROW()/1000000000,"")</f>
        <v/>
      </c>
      <c r="V917" s="39">
        <f>IF($A917="","",IF(COUNTIF(변동분석!$E$7:$E$506,O917)&gt;0,"Y","N"))</f>
        <v/>
      </c>
      <c r="W917" s="39">
        <f>IF($A917="","",IFERROR(INDEX(계정매핑!$D$5:$D$504,MATCH($F917&amp;"",계정매핑!$A$5:$A$504,0)),"미매핑"))</f>
        <v/>
      </c>
      <c r="X917" s="9">
        <f>IF($A917="","",$F917&amp;"")</f>
        <v/>
      </c>
    </row>
    <row r="918">
      <c r="A918" s="75" t="n">
        <v>2025</v>
      </c>
      <c r="B918" s="75" t="n">
        <v>5</v>
      </c>
      <c r="C918" s="75" t="inlineStr">
        <is>
          <t>5100000914</t>
        </is>
      </c>
      <c r="D918" s="78" t="n">
        <v>45796</v>
      </c>
      <c r="E918" s="75" t="inlineStr">
        <is>
          <t>KR</t>
        </is>
      </c>
      <c r="F918" s="75" t="n">
        <v>62301000</v>
      </c>
      <c r="G918" s="75" t="n">
        <v>1201</v>
      </c>
      <c r="H918" s="76" t="n">
        <v>119000</v>
      </c>
      <c r="I918" s="75" t="inlineStr">
        <is>
          <t>5월 소모품 구입 - R문구</t>
        </is>
      </c>
      <c r="J918" s="75" t="inlineStr">
        <is>
          <t>V10018</t>
        </is>
      </c>
      <c r="K918" s="75" t="inlineStr">
        <is>
          <t>R문구</t>
        </is>
      </c>
      <c r="M918" s="9">
        <f>IF($A918="","",VALUE($A918&amp;"")*12+VALUE($B918&amp;""))</f>
        <v/>
      </c>
      <c r="N918" s="39">
        <f>IF($A918="","",IFERROR(INDEX(부서매핑!$C$5:$C$504,MATCH($G918&amp;"",부서매핑!$A$5:$A$504,0)),"미매핑"))</f>
        <v/>
      </c>
      <c r="O918" s="9">
        <f>IF($A918="","",N918&amp;"|"&amp;$F918)</f>
        <v/>
      </c>
      <c r="P918" s="77">
        <f>IF($A918="",0,$H918*설정!$C$23)</f>
        <v/>
      </c>
      <c r="Q918" s="39">
        <f>IF($A918="","",IF(O918&lt;&gt;원인분석!$C$9,"",IF(AND(M918&gt;=원인분석!$C$10,M918&lt;=원인분석!$C$11),"당기",IF(AND(M918&gt;=원인분석!$C$12,M918&lt;=원인분석!$C$13),"비교",""))))</f>
        <v/>
      </c>
      <c r="R918" s="9">
        <f>IF(Q918="","",$K918&amp;"")</f>
        <v/>
      </c>
      <c r="S918" s="9">
        <f>IF(Q918="","",IF(MATCH(R918,$R$5:$R$100000,0)=ROW()-4,ROW(),""))</f>
        <v/>
      </c>
      <c r="T918" s="9">
        <f>IF(Q918="당기",ABS(P918)+ROW()/1000000000,"")</f>
        <v/>
      </c>
      <c r="U918" s="9">
        <f>IF(Q918="비교",ABS(P918)+ROW()/1000000000,"")</f>
        <v/>
      </c>
      <c r="V918" s="39">
        <f>IF($A918="","",IF(COUNTIF(변동분석!$E$7:$E$506,O918)&gt;0,"Y","N"))</f>
        <v/>
      </c>
      <c r="W918" s="39">
        <f>IF($A918="","",IFERROR(INDEX(계정매핑!$D$5:$D$504,MATCH($F918&amp;"",계정매핑!$A$5:$A$504,0)),"미매핑"))</f>
        <v/>
      </c>
      <c r="X918" s="9">
        <f>IF($A918="","",$F918&amp;"")</f>
        <v/>
      </c>
    </row>
    <row r="919">
      <c r="A919" s="75" t="n">
        <v>2025</v>
      </c>
      <c r="B919" s="75" t="n">
        <v>5</v>
      </c>
      <c r="C919" s="75" t="inlineStr">
        <is>
          <t>5100000915</t>
        </is>
      </c>
      <c r="D919" s="78" t="n">
        <v>45796</v>
      </c>
      <c r="E919" s="75" t="inlineStr">
        <is>
          <t>KR</t>
        </is>
      </c>
      <c r="F919" s="75" t="n">
        <v>62301000</v>
      </c>
      <c r="G919" s="75" t="n">
        <v>1501</v>
      </c>
      <c r="H919" s="76" t="n">
        <v>276000</v>
      </c>
      <c r="I919" s="75" t="inlineStr">
        <is>
          <t>5월 소모품 구입 - Q오피스</t>
        </is>
      </c>
      <c r="J919" s="75" t="inlineStr">
        <is>
          <t>V10003</t>
        </is>
      </c>
      <c r="K919" s="75" t="inlineStr">
        <is>
          <t>Q오피스</t>
        </is>
      </c>
      <c r="M919" s="9">
        <f>IF($A919="","",VALUE($A919&amp;"")*12+VALUE($B919&amp;""))</f>
        <v/>
      </c>
      <c r="N919" s="39">
        <f>IF($A919="","",IFERROR(INDEX(부서매핑!$C$5:$C$504,MATCH($G919&amp;"",부서매핑!$A$5:$A$504,0)),"미매핑"))</f>
        <v/>
      </c>
      <c r="O919" s="9">
        <f>IF($A919="","",N919&amp;"|"&amp;$F919)</f>
        <v/>
      </c>
      <c r="P919" s="77">
        <f>IF($A919="",0,$H919*설정!$C$23)</f>
        <v/>
      </c>
      <c r="Q919" s="39">
        <f>IF($A919="","",IF(O919&lt;&gt;원인분석!$C$9,"",IF(AND(M919&gt;=원인분석!$C$10,M919&lt;=원인분석!$C$11),"당기",IF(AND(M919&gt;=원인분석!$C$12,M919&lt;=원인분석!$C$13),"비교",""))))</f>
        <v/>
      </c>
      <c r="R919" s="9">
        <f>IF(Q919="","",$K919&amp;"")</f>
        <v/>
      </c>
      <c r="S919" s="9">
        <f>IF(Q919="","",IF(MATCH(R919,$R$5:$R$100000,0)=ROW()-4,ROW(),""))</f>
        <v/>
      </c>
      <c r="T919" s="9">
        <f>IF(Q919="당기",ABS(P919)+ROW()/1000000000,"")</f>
        <v/>
      </c>
      <c r="U919" s="9">
        <f>IF(Q919="비교",ABS(P919)+ROW()/1000000000,"")</f>
        <v/>
      </c>
      <c r="V919" s="39">
        <f>IF($A919="","",IF(COUNTIF(변동분석!$E$7:$E$506,O919)&gt;0,"Y","N"))</f>
        <v/>
      </c>
      <c r="W919" s="39">
        <f>IF($A919="","",IFERROR(INDEX(계정매핑!$D$5:$D$504,MATCH($F919&amp;"",계정매핑!$A$5:$A$504,0)),"미매핑"))</f>
        <v/>
      </c>
      <c r="X919" s="9">
        <f>IF($A919="","",$F919&amp;"")</f>
        <v/>
      </c>
    </row>
    <row r="920">
      <c r="A920" s="75" t="n">
        <v>2025</v>
      </c>
      <c r="B920" s="75" t="n">
        <v>5</v>
      </c>
      <c r="C920" s="75" t="inlineStr">
        <is>
          <t>5100000916</t>
        </is>
      </c>
      <c r="D920" s="78" t="n">
        <v>45796</v>
      </c>
      <c r="E920" s="75" t="inlineStr">
        <is>
          <t>KR</t>
        </is>
      </c>
      <c r="F920" s="75" t="n">
        <v>62401000</v>
      </c>
      <c r="G920" s="75" t="n">
        <v>1501</v>
      </c>
      <c r="H920" s="76" t="n">
        <v>2192000</v>
      </c>
      <c r="I920" s="75" t="inlineStr">
        <is>
          <t>5월 인쇄물 제작 - G인쇄</t>
        </is>
      </c>
      <c r="J920" s="75" t="inlineStr">
        <is>
          <t>V10004</t>
        </is>
      </c>
      <c r="K920" s="75" t="inlineStr">
        <is>
          <t>G인쇄</t>
        </is>
      </c>
      <c r="M920" s="9">
        <f>IF($A920="","",VALUE($A920&amp;"")*12+VALUE($B920&amp;""))</f>
        <v/>
      </c>
      <c r="N920" s="39">
        <f>IF($A920="","",IFERROR(INDEX(부서매핑!$C$5:$C$504,MATCH($G920&amp;"",부서매핑!$A$5:$A$504,0)),"미매핑"))</f>
        <v/>
      </c>
      <c r="O920" s="9">
        <f>IF($A920="","",N920&amp;"|"&amp;$F920)</f>
        <v/>
      </c>
      <c r="P920" s="77">
        <f>IF($A920="",0,$H920*설정!$C$23)</f>
        <v/>
      </c>
      <c r="Q920" s="39">
        <f>IF($A920="","",IF(O920&lt;&gt;원인분석!$C$9,"",IF(AND(M920&gt;=원인분석!$C$10,M920&lt;=원인분석!$C$11),"당기",IF(AND(M920&gt;=원인분석!$C$12,M920&lt;=원인분석!$C$13),"비교",""))))</f>
        <v/>
      </c>
      <c r="R920" s="9">
        <f>IF(Q920="","",$K920&amp;"")</f>
        <v/>
      </c>
      <c r="S920" s="9">
        <f>IF(Q920="","",IF(MATCH(R920,$R$5:$R$100000,0)=ROW()-4,ROW(),""))</f>
        <v/>
      </c>
      <c r="T920" s="9">
        <f>IF(Q920="당기",ABS(P920)+ROW()/1000000000,"")</f>
        <v/>
      </c>
      <c r="U920" s="9">
        <f>IF(Q920="비교",ABS(P920)+ROW()/1000000000,"")</f>
        <v/>
      </c>
      <c r="V920" s="39">
        <f>IF($A920="","",IF(COUNTIF(변동분석!$E$7:$E$506,O920)&gt;0,"Y","N"))</f>
        <v/>
      </c>
      <c r="W920" s="39">
        <f>IF($A920="","",IFERROR(INDEX(계정매핑!$D$5:$D$504,MATCH($F920&amp;"",계정매핑!$A$5:$A$504,0)),"미매핑"))</f>
        <v/>
      </c>
      <c r="X920" s="9">
        <f>IF($A920="","",$F920&amp;"")</f>
        <v/>
      </c>
    </row>
    <row r="921">
      <c r="A921" s="75" t="n">
        <v>2025</v>
      </c>
      <c r="B921" s="75" t="n">
        <v>5</v>
      </c>
      <c r="C921" s="75" t="inlineStr">
        <is>
          <t>5100000917</t>
        </is>
      </c>
      <c r="D921" s="78" t="n">
        <v>45796</v>
      </c>
      <c r="E921" s="75" t="inlineStr">
        <is>
          <t>KR</t>
        </is>
      </c>
      <c r="F921" s="75" t="n">
        <v>62401000</v>
      </c>
      <c r="G921" s="75" t="n">
        <v>1801</v>
      </c>
      <c r="H921" s="76" t="n">
        <v>2064000</v>
      </c>
      <c r="I921" s="75" t="inlineStr">
        <is>
          <t>5월 인쇄물 제작 - S출판</t>
        </is>
      </c>
      <c r="J921" s="75" t="inlineStr">
        <is>
          <t>V10012</t>
        </is>
      </c>
      <c r="K921" s="75" t="inlineStr">
        <is>
          <t>S출판</t>
        </is>
      </c>
      <c r="M921" s="9">
        <f>IF($A921="","",VALUE($A921&amp;"")*12+VALUE($B921&amp;""))</f>
        <v/>
      </c>
      <c r="N921" s="39">
        <f>IF($A921="","",IFERROR(INDEX(부서매핑!$C$5:$C$504,MATCH($G921&amp;"",부서매핑!$A$5:$A$504,0)),"미매핑"))</f>
        <v/>
      </c>
      <c r="O921" s="9">
        <f>IF($A921="","",N921&amp;"|"&amp;$F921)</f>
        <v/>
      </c>
      <c r="P921" s="77">
        <f>IF($A921="",0,$H921*설정!$C$23)</f>
        <v/>
      </c>
      <c r="Q921" s="39">
        <f>IF($A921="","",IF(O921&lt;&gt;원인분석!$C$9,"",IF(AND(M921&gt;=원인분석!$C$10,M921&lt;=원인분석!$C$11),"당기",IF(AND(M921&gt;=원인분석!$C$12,M921&lt;=원인분석!$C$13),"비교",""))))</f>
        <v/>
      </c>
      <c r="R921" s="9">
        <f>IF(Q921="","",$K921&amp;"")</f>
        <v/>
      </c>
      <c r="S921" s="9">
        <f>IF(Q921="","",IF(MATCH(R921,$R$5:$R$100000,0)=ROW()-4,ROW(),""))</f>
        <v/>
      </c>
      <c r="T921" s="9">
        <f>IF(Q921="당기",ABS(P921)+ROW()/1000000000,"")</f>
        <v/>
      </c>
      <c r="U921" s="9">
        <f>IF(Q921="비교",ABS(P921)+ROW()/1000000000,"")</f>
        <v/>
      </c>
      <c r="V921" s="39">
        <f>IF($A921="","",IF(COUNTIF(변동분석!$E$7:$E$506,O921)&gt;0,"Y","N"))</f>
        <v/>
      </c>
      <c r="W921" s="39">
        <f>IF($A921="","",IFERROR(INDEX(계정매핑!$D$5:$D$504,MATCH($F921&amp;"",계정매핑!$A$5:$A$504,0)),"미매핑"))</f>
        <v/>
      </c>
      <c r="X921" s="9">
        <f>IF($A921="","",$F921&amp;"")</f>
        <v/>
      </c>
    </row>
    <row r="922">
      <c r="A922" s="75" t="n">
        <v>2025</v>
      </c>
      <c r="B922" s="75" t="n">
        <v>5</v>
      </c>
      <c r="C922" s="75" t="inlineStr">
        <is>
          <t>5100000918</t>
        </is>
      </c>
      <c r="D922" s="78" t="n">
        <v>45796</v>
      </c>
      <c r="E922" s="75" t="inlineStr">
        <is>
          <t>KR</t>
        </is>
      </c>
      <c r="F922" s="75" t="n">
        <v>62501000</v>
      </c>
      <c r="G922" s="75" t="n">
        <v>1101</v>
      </c>
      <c r="H922" s="76" t="n">
        <v>291000</v>
      </c>
      <c r="I922" s="75" t="inlineStr">
        <is>
          <t>5월 회의 다과 - (법인카드)</t>
        </is>
      </c>
      <c r="J922" s="75" t="inlineStr">
        <is>
          <t>V10008</t>
        </is>
      </c>
      <c r="K922" s="75" t="inlineStr">
        <is>
          <t>(법인카드)</t>
        </is>
      </c>
      <c r="M922" s="9">
        <f>IF($A922="","",VALUE($A922&amp;"")*12+VALUE($B922&amp;""))</f>
        <v/>
      </c>
      <c r="N922" s="39">
        <f>IF($A922="","",IFERROR(INDEX(부서매핑!$C$5:$C$504,MATCH($G922&amp;"",부서매핑!$A$5:$A$504,0)),"미매핑"))</f>
        <v/>
      </c>
      <c r="O922" s="9">
        <f>IF($A922="","",N922&amp;"|"&amp;$F922)</f>
        <v/>
      </c>
      <c r="P922" s="77">
        <f>IF($A922="",0,$H922*설정!$C$23)</f>
        <v/>
      </c>
      <c r="Q922" s="39">
        <f>IF($A922="","",IF(O922&lt;&gt;원인분석!$C$9,"",IF(AND(M922&gt;=원인분석!$C$10,M922&lt;=원인분석!$C$11),"당기",IF(AND(M922&gt;=원인분석!$C$12,M922&lt;=원인분석!$C$13),"비교",""))))</f>
        <v/>
      </c>
      <c r="R922" s="9">
        <f>IF(Q922="","",$K922&amp;"")</f>
        <v/>
      </c>
      <c r="S922" s="9">
        <f>IF(Q922="","",IF(MATCH(R922,$R$5:$R$100000,0)=ROW()-4,ROW(),""))</f>
        <v/>
      </c>
      <c r="T922" s="9">
        <f>IF(Q922="당기",ABS(P922)+ROW()/1000000000,"")</f>
        <v/>
      </c>
      <c r="U922" s="9">
        <f>IF(Q922="비교",ABS(P922)+ROW()/1000000000,"")</f>
        <v/>
      </c>
      <c r="V922" s="39">
        <f>IF($A922="","",IF(COUNTIF(변동분석!$E$7:$E$506,O922)&gt;0,"Y","N"))</f>
        <v/>
      </c>
      <c r="W922" s="39">
        <f>IF($A922="","",IFERROR(INDEX(계정매핑!$D$5:$D$504,MATCH($F922&amp;"",계정매핑!$A$5:$A$504,0)),"미매핑"))</f>
        <v/>
      </c>
      <c r="X922" s="9">
        <f>IF($A922="","",$F922&amp;"")</f>
        <v/>
      </c>
    </row>
    <row r="923">
      <c r="A923" s="75" t="n">
        <v>2025</v>
      </c>
      <c r="B923" s="75" t="n">
        <v>5</v>
      </c>
      <c r="C923" s="75" t="inlineStr">
        <is>
          <t>5100000919</t>
        </is>
      </c>
      <c r="D923" s="78" t="n">
        <v>45796</v>
      </c>
      <c r="E923" s="75" t="inlineStr">
        <is>
          <t>KR</t>
        </is>
      </c>
      <c r="F923" s="75" t="n">
        <v>62501000</v>
      </c>
      <c r="G923" s="75" t="n">
        <v>1401</v>
      </c>
      <c r="H923" s="76" t="n">
        <v>143000</v>
      </c>
      <c r="I923" s="75" t="inlineStr">
        <is>
          <t>5월 회의 다과 - (법인카드)</t>
        </is>
      </c>
      <c r="J923" s="75" t="inlineStr">
        <is>
          <t>V10008</t>
        </is>
      </c>
      <c r="K923" s="75" t="inlineStr">
        <is>
          <t>(법인카드)</t>
        </is>
      </c>
      <c r="M923" s="9">
        <f>IF($A923="","",VALUE($A923&amp;"")*12+VALUE($B923&amp;""))</f>
        <v/>
      </c>
      <c r="N923" s="39">
        <f>IF($A923="","",IFERROR(INDEX(부서매핑!$C$5:$C$504,MATCH($G923&amp;"",부서매핑!$A$5:$A$504,0)),"미매핑"))</f>
        <v/>
      </c>
      <c r="O923" s="9">
        <f>IF($A923="","",N923&amp;"|"&amp;$F923)</f>
        <v/>
      </c>
      <c r="P923" s="77">
        <f>IF($A923="",0,$H923*설정!$C$23)</f>
        <v/>
      </c>
      <c r="Q923" s="39">
        <f>IF($A923="","",IF(O923&lt;&gt;원인분석!$C$9,"",IF(AND(M923&gt;=원인분석!$C$10,M923&lt;=원인분석!$C$11),"당기",IF(AND(M923&gt;=원인분석!$C$12,M923&lt;=원인분석!$C$13),"비교",""))))</f>
        <v/>
      </c>
      <c r="R923" s="9">
        <f>IF(Q923="","",$K923&amp;"")</f>
        <v/>
      </c>
      <c r="S923" s="9">
        <f>IF(Q923="","",IF(MATCH(R923,$R$5:$R$100000,0)=ROW()-4,ROW(),""))</f>
        <v/>
      </c>
      <c r="T923" s="9">
        <f>IF(Q923="당기",ABS(P923)+ROW()/1000000000,"")</f>
        <v/>
      </c>
      <c r="U923" s="9">
        <f>IF(Q923="비교",ABS(P923)+ROW()/1000000000,"")</f>
        <v/>
      </c>
      <c r="V923" s="39">
        <f>IF($A923="","",IF(COUNTIF(변동분석!$E$7:$E$506,O923)&gt;0,"Y","N"))</f>
        <v/>
      </c>
      <c r="W923" s="39">
        <f>IF($A923="","",IFERROR(INDEX(계정매핑!$D$5:$D$504,MATCH($F923&amp;"",계정매핑!$A$5:$A$504,0)),"미매핑"))</f>
        <v/>
      </c>
      <c r="X923" s="9">
        <f>IF($A923="","",$F923&amp;"")</f>
        <v/>
      </c>
    </row>
    <row r="924">
      <c r="A924" s="75" t="n">
        <v>2025</v>
      </c>
      <c r="B924" s="75" t="n">
        <v>5</v>
      </c>
      <c r="C924" s="75" t="inlineStr">
        <is>
          <t>5100000920</t>
        </is>
      </c>
      <c r="D924" s="78" t="n">
        <v>45796</v>
      </c>
      <c r="E924" s="75" t="inlineStr">
        <is>
          <t>KR</t>
        </is>
      </c>
      <c r="F924" s="75" t="n">
        <v>62601000</v>
      </c>
      <c r="G924" s="75" t="n">
        <v>1501</v>
      </c>
      <c r="H924" s="76" t="n">
        <v>1645000</v>
      </c>
      <c r="I924" s="75" t="inlineStr">
        <is>
          <t>5월 업무추진 - (법인카드)</t>
        </is>
      </c>
      <c r="J924" s="75" t="inlineStr">
        <is>
          <t>V10008</t>
        </is>
      </c>
      <c r="K924" s="75" t="inlineStr">
        <is>
          <t>(법인카드)</t>
        </is>
      </c>
      <c r="M924" s="9">
        <f>IF($A924="","",VALUE($A924&amp;"")*12+VALUE($B924&amp;""))</f>
        <v/>
      </c>
      <c r="N924" s="39">
        <f>IF($A924="","",IFERROR(INDEX(부서매핑!$C$5:$C$504,MATCH($G924&amp;"",부서매핑!$A$5:$A$504,0)),"미매핑"))</f>
        <v/>
      </c>
      <c r="O924" s="9">
        <f>IF($A924="","",N924&amp;"|"&amp;$F924)</f>
        <v/>
      </c>
      <c r="P924" s="77">
        <f>IF($A924="",0,$H924*설정!$C$23)</f>
        <v/>
      </c>
      <c r="Q924" s="39">
        <f>IF($A924="","",IF(O924&lt;&gt;원인분석!$C$9,"",IF(AND(M924&gt;=원인분석!$C$10,M924&lt;=원인분석!$C$11),"당기",IF(AND(M924&gt;=원인분석!$C$12,M924&lt;=원인분석!$C$13),"비교",""))))</f>
        <v/>
      </c>
      <c r="R924" s="9">
        <f>IF(Q924="","",$K924&amp;"")</f>
        <v/>
      </c>
      <c r="S924" s="9">
        <f>IF(Q924="","",IF(MATCH(R924,$R$5:$R$100000,0)=ROW()-4,ROW(),""))</f>
        <v/>
      </c>
      <c r="T924" s="9">
        <f>IF(Q924="당기",ABS(P924)+ROW()/1000000000,"")</f>
        <v/>
      </c>
      <c r="U924" s="9">
        <f>IF(Q924="비교",ABS(P924)+ROW()/1000000000,"")</f>
        <v/>
      </c>
      <c r="V924" s="39">
        <f>IF($A924="","",IF(COUNTIF(변동분석!$E$7:$E$506,O924)&gt;0,"Y","N"))</f>
        <v/>
      </c>
      <c r="W924" s="39">
        <f>IF($A924="","",IFERROR(INDEX(계정매핑!$D$5:$D$504,MATCH($F924&amp;"",계정매핑!$A$5:$A$504,0)),"미매핑"))</f>
        <v/>
      </c>
      <c r="X924" s="9">
        <f>IF($A924="","",$F924&amp;"")</f>
        <v/>
      </c>
    </row>
    <row r="925">
      <c r="A925" s="75" t="n">
        <v>2025</v>
      </c>
      <c r="B925" s="75" t="n">
        <v>5</v>
      </c>
      <c r="C925" s="75" t="inlineStr">
        <is>
          <t>5100000921</t>
        </is>
      </c>
      <c r="D925" s="78" t="n">
        <v>45797</v>
      </c>
      <c r="E925" s="75" t="inlineStr">
        <is>
          <t>KR</t>
        </is>
      </c>
      <c r="F925" s="75" t="n">
        <v>62101000</v>
      </c>
      <c r="G925" s="75" t="n">
        <v>1201</v>
      </c>
      <c r="H925" s="76" t="n">
        <v>229000</v>
      </c>
      <c r="I925" s="75" t="inlineStr">
        <is>
          <t>5월 국내출장 - M항공</t>
        </is>
      </c>
      <c r="J925" s="75" t="inlineStr">
        <is>
          <t>V10001</t>
        </is>
      </c>
      <c r="K925" s="75" t="inlineStr">
        <is>
          <t>M항공</t>
        </is>
      </c>
      <c r="M925" s="9">
        <f>IF($A925="","",VALUE($A925&amp;"")*12+VALUE($B925&amp;""))</f>
        <v/>
      </c>
      <c r="N925" s="39">
        <f>IF($A925="","",IFERROR(INDEX(부서매핑!$C$5:$C$504,MATCH($G925&amp;"",부서매핑!$A$5:$A$504,0)),"미매핑"))</f>
        <v/>
      </c>
      <c r="O925" s="9">
        <f>IF($A925="","",N925&amp;"|"&amp;$F925)</f>
        <v/>
      </c>
      <c r="P925" s="77">
        <f>IF($A925="",0,$H925*설정!$C$23)</f>
        <v/>
      </c>
      <c r="Q925" s="39">
        <f>IF($A925="","",IF(O925&lt;&gt;원인분석!$C$9,"",IF(AND(M925&gt;=원인분석!$C$10,M925&lt;=원인분석!$C$11),"당기",IF(AND(M925&gt;=원인분석!$C$12,M925&lt;=원인분석!$C$13),"비교",""))))</f>
        <v/>
      </c>
      <c r="R925" s="9">
        <f>IF(Q925="","",$K925&amp;"")</f>
        <v/>
      </c>
      <c r="S925" s="9">
        <f>IF(Q925="","",IF(MATCH(R925,$R$5:$R$100000,0)=ROW()-4,ROW(),""))</f>
        <v/>
      </c>
      <c r="T925" s="9">
        <f>IF(Q925="당기",ABS(P925)+ROW()/1000000000,"")</f>
        <v/>
      </c>
      <c r="U925" s="9">
        <f>IF(Q925="비교",ABS(P925)+ROW()/1000000000,"")</f>
        <v/>
      </c>
      <c r="V925" s="39">
        <f>IF($A925="","",IF(COUNTIF(변동분석!$E$7:$E$506,O925)&gt;0,"Y","N"))</f>
        <v/>
      </c>
      <c r="W925" s="39">
        <f>IF($A925="","",IFERROR(INDEX(계정매핑!$D$5:$D$504,MATCH($F925&amp;"",계정매핑!$A$5:$A$504,0)),"미매핑"))</f>
        <v/>
      </c>
      <c r="X925" s="9">
        <f>IF($A925="","",$F925&amp;"")</f>
        <v/>
      </c>
    </row>
    <row r="926">
      <c r="A926" s="75" t="n">
        <v>2025</v>
      </c>
      <c r="B926" s="75" t="n">
        <v>5</v>
      </c>
      <c r="C926" s="75" t="inlineStr">
        <is>
          <t>5100000922</t>
        </is>
      </c>
      <c r="D926" s="78" t="n">
        <v>45797</v>
      </c>
      <c r="E926" s="75" t="inlineStr">
        <is>
          <t>KR</t>
        </is>
      </c>
      <c r="F926" s="75" t="n">
        <v>62102000</v>
      </c>
      <c r="G926" s="75" t="n">
        <v>1502</v>
      </c>
      <c r="H926" s="76" t="n">
        <v>152000</v>
      </c>
      <c r="I926" s="75" t="inlineStr">
        <is>
          <t>5월 해외출장 - M항공</t>
        </is>
      </c>
      <c r="J926" s="75" t="inlineStr">
        <is>
          <t>V10001</t>
        </is>
      </c>
      <c r="K926" s="75" t="inlineStr">
        <is>
          <t>M항공</t>
        </is>
      </c>
      <c r="M926" s="9">
        <f>IF($A926="","",VALUE($A926&amp;"")*12+VALUE($B926&amp;""))</f>
        <v/>
      </c>
      <c r="N926" s="39">
        <f>IF($A926="","",IFERROR(INDEX(부서매핑!$C$5:$C$504,MATCH($G926&amp;"",부서매핑!$A$5:$A$504,0)),"미매핑"))</f>
        <v/>
      </c>
      <c r="O926" s="9">
        <f>IF($A926="","",N926&amp;"|"&amp;$F926)</f>
        <v/>
      </c>
      <c r="P926" s="77">
        <f>IF($A926="",0,$H926*설정!$C$23)</f>
        <v/>
      </c>
      <c r="Q926" s="39">
        <f>IF($A926="","",IF(O926&lt;&gt;원인분석!$C$9,"",IF(AND(M926&gt;=원인분석!$C$10,M926&lt;=원인분석!$C$11),"당기",IF(AND(M926&gt;=원인분석!$C$12,M926&lt;=원인분석!$C$13),"비교",""))))</f>
        <v/>
      </c>
      <c r="R926" s="9">
        <f>IF(Q926="","",$K926&amp;"")</f>
        <v/>
      </c>
      <c r="S926" s="9">
        <f>IF(Q926="","",IF(MATCH(R926,$R$5:$R$100000,0)=ROW()-4,ROW(),""))</f>
        <v/>
      </c>
      <c r="T926" s="9">
        <f>IF(Q926="당기",ABS(P926)+ROW()/1000000000,"")</f>
        <v/>
      </c>
      <c r="U926" s="9">
        <f>IF(Q926="비교",ABS(P926)+ROW()/1000000000,"")</f>
        <v/>
      </c>
      <c r="V926" s="39">
        <f>IF($A926="","",IF(COUNTIF(변동분석!$E$7:$E$506,O926)&gt;0,"Y","N"))</f>
        <v/>
      </c>
      <c r="W926" s="39">
        <f>IF($A926="","",IFERROR(INDEX(계정매핑!$D$5:$D$504,MATCH($F926&amp;"",계정매핑!$A$5:$A$504,0)),"미매핑"))</f>
        <v/>
      </c>
      <c r="X926" s="9">
        <f>IF($A926="","",$F926&amp;"")</f>
        <v/>
      </c>
    </row>
    <row r="927">
      <c r="A927" s="75" t="n">
        <v>2025</v>
      </c>
      <c r="B927" s="75" t="n">
        <v>5</v>
      </c>
      <c r="C927" s="75" t="inlineStr">
        <is>
          <t>5100000923</t>
        </is>
      </c>
      <c r="D927" s="78" t="n">
        <v>45797</v>
      </c>
      <c r="E927" s="75" t="inlineStr">
        <is>
          <t>KR</t>
        </is>
      </c>
      <c r="F927" s="75" t="n">
        <v>62201000</v>
      </c>
      <c r="G927" s="75" t="n">
        <v>1801</v>
      </c>
      <c r="H927" s="76" t="n">
        <v>6558000</v>
      </c>
      <c r="I927" s="75" t="inlineStr">
        <is>
          <t>5월 통신요금 - O텔레콤</t>
        </is>
      </c>
      <c r="J927" s="75" t="inlineStr">
        <is>
          <t>V10002</t>
        </is>
      </c>
      <c r="K927" s="75" t="inlineStr">
        <is>
          <t>O텔레콤</t>
        </is>
      </c>
      <c r="M927" s="9">
        <f>IF($A927="","",VALUE($A927&amp;"")*12+VALUE($B927&amp;""))</f>
        <v/>
      </c>
      <c r="N927" s="39">
        <f>IF($A927="","",IFERROR(INDEX(부서매핑!$C$5:$C$504,MATCH($G927&amp;"",부서매핑!$A$5:$A$504,0)),"미매핑"))</f>
        <v/>
      </c>
      <c r="O927" s="9">
        <f>IF($A927="","",N927&amp;"|"&amp;$F927)</f>
        <v/>
      </c>
      <c r="P927" s="77">
        <f>IF($A927="",0,$H927*설정!$C$23)</f>
        <v/>
      </c>
      <c r="Q927" s="39">
        <f>IF($A927="","",IF(O927&lt;&gt;원인분석!$C$9,"",IF(AND(M927&gt;=원인분석!$C$10,M927&lt;=원인분석!$C$11),"당기",IF(AND(M927&gt;=원인분석!$C$12,M927&lt;=원인분석!$C$13),"비교",""))))</f>
        <v/>
      </c>
      <c r="R927" s="9">
        <f>IF(Q927="","",$K927&amp;"")</f>
        <v/>
      </c>
      <c r="S927" s="9">
        <f>IF(Q927="","",IF(MATCH(R927,$R$5:$R$100000,0)=ROW()-4,ROW(),""))</f>
        <v/>
      </c>
      <c r="T927" s="9">
        <f>IF(Q927="당기",ABS(P927)+ROW()/1000000000,"")</f>
        <v/>
      </c>
      <c r="U927" s="9">
        <f>IF(Q927="비교",ABS(P927)+ROW()/1000000000,"")</f>
        <v/>
      </c>
      <c r="V927" s="39">
        <f>IF($A927="","",IF(COUNTIF(변동분석!$E$7:$E$506,O927)&gt;0,"Y","N"))</f>
        <v/>
      </c>
      <c r="W927" s="39">
        <f>IF($A927="","",IFERROR(INDEX(계정매핑!$D$5:$D$504,MATCH($F927&amp;"",계정매핑!$A$5:$A$504,0)),"미매핑"))</f>
        <v/>
      </c>
      <c r="X927" s="9">
        <f>IF($A927="","",$F927&amp;"")</f>
        <v/>
      </c>
    </row>
    <row r="928">
      <c r="A928" s="75" t="n">
        <v>2025</v>
      </c>
      <c r="B928" s="75" t="n">
        <v>5</v>
      </c>
      <c r="C928" s="75" t="inlineStr">
        <is>
          <t>5100000924</t>
        </is>
      </c>
      <c r="D928" s="78" t="n">
        <v>45797</v>
      </c>
      <c r="E928" s="75" t="inlineStr">
        <is>
          <t>KR</t>
        </is>
      </c>
      <c r="F928" s="75" t="n">
        <v>62501000</v>
      </c>
      <c r="G928" s="75" t="n">
        <v>1301</v>
      </c>
      <c r="H928" s="76" t="n">
        <v>354000</v>
      </c>
      <c r="I928" s="75" t="inlineStr">
        <is>
          <t>5월 회의 다과 - (법인카드)</t>
        </is>
      </c>
      <c r="J928" s="75" t="inlineStr">
        <is>
          <t>V10008</t>
        </is>
      </c>
      <c r="K928" s="75" t="inlineStr">
        <is>
          <t>(법인카드)</t>
        </is>
      </c>
      <c r="M928" s="9">
        <f>IF($A928="","",VALUE($A928&amp;"")*12+VALUE($B928&amp;""))</f>
        <v/>
      </c>
      <c r="N928" s="39">
        <f>IF($A928="","",IFERROR(INDEX(부서매핑!$C$5:$C$504,MATCH($G928&amp;"",부서매핑!$A$5:$A$504,0)),"미매핑"))</f>
        <v/>
      </c>
      <c r="O928" s="9">
        <f>IF($A928="","",N928&amp;"|"&amp;$F928)</f>
        <v/>
      </c>
      <c r="P928" s="77">
        <f>IF($A928="",0,$H928*설정!$C$23)</f>
        <v/>
      </c>
      <c r="Q928" s="39">
        <f>IF($A928="","",IF(O928&lt;&gt;원인분석!$C$9,"",IF(AND(M928&gt;=원인분석!$C$10,M928&lt;=원인분석!$C$11),"당기",IF(AND(M928&gt;=원인분석!$C$12,M928&lt;=원인분석!$C$13),"비교",""))))</f>
        <v/>
      </c>
      <c r="R928" s="9">
        <f>IF(Q928="","",$K928&amp;"")</f>
        <v/>
      </c>
      <c r="S928" s="9">
        <f>IF(Q928="","",IF(MATCH(R928,$R$5:$R$100000,0)=ROW()-4,ROW(),""))</f>
        <v/>
      </c>
      <c r="T928" s="9">
        <f>IF(Q928="당기",ABS(P928)+ROW()/1000000000,"")</f>
        <v/>
      </c>
      <c r="U928" s="9">
        <f>IF(Q928="비교",ABS(P928)+ROW()/1000000000,"")</f>
        <v/>
      </c>
      <c r="V928" s="39">
        <f>IF($A928="","",IF(COUNTIF(변동분석!$E$7:$E$506,O928)&gt;0,"Y","N"))</f>
        <v/>
      </c>
      <c r="W928" s="39">
        <f>IF($A928="","",IFERROR(INDEX(계정매핑!$D$5:$D$504,MATCH($F928&amp;"",계정매핑!$A$5:$A$504,0)),"미매핑"))</f>
        <v/>
      </c>
      <c r="X928" s="9">
        <f>IF($A928="","",$F928&amp;"")</f>
        <v/>
      </c>
    </row>
    <row r="929">
      <c r="A929" s="75" t="n">
        <v>2025</v>
      </c>
      <c r="B929" s="75" t="n">
        <v>5</v>
      </c>
      <c r="C929" s="75" t="inlineStr">
        <is>
          <t>5100000925</t>
        </is>
      </c>
      <c r="D929" s="78" t="n">
        <v>45797</v>
      </c>
      <c r="E929" s="75" t="inlineStr">
        <is>
          <t>KR</t>
        </is>
      </c>
      <c r="F929" s="75" t="n">
        <v>62501000</v>
      </c>
      <c r="G929" s="75" t="n">
        <v>1801</v>
      </c>
      <c r="H929" s="76" t="n">
        <v>179000</v>
      </c>
      <c r="I929" s="75" t="inlineStr">
        <is>
          <t>5월 회의 다과 - (법인카드)</t>
        </is>
      </c>
      <c r="J929" s="75" t="inlineStr">
        <is>
          <t>V10008</t>
        </is>
      </c>
      <c r="K929" s="75" t="inlineStr">
        <is>
          <t>(법인카드)</t>
        </is>
      </c>
      <c r="M929" s="9">
        <f>IF($A929="","",VALUE($A929&amp;"")*12+VALUE($B929&amp;""))</f>
        <v/>
      </c>
      <c r="N929" s="39">
        <f>IF($A929="","",IFERROR(INDEX(부서매핑!$C$5:$C$504,MATCH($G929&amp;"",부서매핑!$A$5:$A$504,0)),"미매핑"))</f>
        <v/>
      </c>
      <c r="O929" s="9">
        <f>IF($A929="","",N929&amp;"|"&amp;$F929)</f>
        <v/>
      </c>
      <c r="P929" s="77">
        <f>IF($A929="",0,$H929*설정!$C$23)</f>
        <v/>
      </c>
      <c r="Q929" s="39">
        <f>IF($A929="","",IF(O929&lt;&gt;원인분석!$C$9,"",IF(AND(M929&gt;=원인분석!$C$10,M929&lt;=원인분석!$C$11),"당기",IF(AND(M929&gt;=원인분석!$C$12,M929&lt;=원인분석!$C$13),"비교",""))))</f>
        <v/>
      </c>
      <c r="R929" s="9">
        <f>IF(Q929="","",$K929&amp;"")</f>
        <v/>
      </c>
      <c r="S929" s="9">
        <f>IF(Q929="","",IF(MATCH(R929,$R$5:$R$100000,0)=ROW()-4,ROW(),""))</f>
        <v/>
      </c>
      <c r="T929" s="9">
        <f>IF(Q929="당기",ABS(P929)+ROW()/1000000000,"")</f>
        <v/>
      </c>
      <c r="U929" s="9">
        <f>IF(Q929="비교",ABS(P929)+ROW()/1000000000,"")</f>
        <v/>
      </c>
      <c r="V929" s="39">
        <f>IF($A929="","",IF(COUNTIF(변동분석!$E$7:$E$506,O929)&gt;0,"Y","N"))</f>
        <v/>
      </c>
      <c r="W929" s="39">
        <f>IF($A929="","",IFERROR(INDEX(계정매핑!$D$5:$D$504,MATCH($F929&amp;"",계정매핑!$A$5:$A$504,0)),"미매핑"))</f>
        <v/>
      </c>
      <c r="X929" s="9">
        <f>IF($A929="","",$F929&amp;"")</f>
        <v/>
      </c>
    </row>
    <row r="930">
      <c r="A930" s="75" t="n">
        <v>2025</v>
      </c>
      <c r="B930" s="75" t="n">
        <v>5</v>
      </c>
      <c r="C930" s="75" t="inlineStr">
        <is>
          <t>5100000926</t>
        </is>
      </c>
      <c r="D930" s="78" t="n">
        <v>45797</v>
      </c>
      <c r="E930" s="75" t="inlineStr">
        <is>
          <t>KR</t>
        </is>
      </c>
      <c r="F930" s="75" t="n">
        <v>62601000</v>
      </c>
      <c r="G930" s="75" t="n">
        <v>1101</v>
      </c>
      <c r="H930" s="76" t="n">
        <v>2867000</v>
      </c>
      <c r="I930" s="75" t="inlineStr">
        <is>
          <t>5월 업무추진 - (법인카드)</t>
        </is>
      </c>
      <c r="J930" s="75" t="inlineStr">
        <is>
          <t>V10008</t>
        </is>
      </c>
      <c r="K930" s="75" t="inlineStr">
        <is>
          <t>(법인카드)</t>
        </is>
      </c>
      <c r="M930" s="9">
        <f>IF($A930="","",VALUE($A930&amp;"")*12+VALUE($B930&amp;""))</f>
        <v/>
      </c>
      <c r="N930" s="39">
        <f>IF($A930="","",IFERROR(INDEX(부서매핑!$C$5:$C$504,MATCH($G930&amp;"",부서매핑!$A$5:$A$504,0)),"미매핑"))</f>
        <v/>
      </c>
      <c r="O930" s="9">
        <f>IF($A930="","",N930&amp;"|"&amp;$F930)</f>
        <v/>
      </c>
      <c r="P930" s="77">
        <f>IF($A930="",0,$H930*설정!$C$23)</f>
        <v/>
      </c>
      <c r="Q930" s="39">
        <f>IF($A930="","",IF(O930&lt;&gt;원인분석!$C$9,"",IF(AND(M930&gt;=원인분석!$C$10,M930&lt;=원인분석!$C$11),"당기",IF(AND(M930&gt;=원인분석!$C$12,M930&lt;=원인분석!$C$13),"비교",""))))</f>
        <v/>
      </c>
      <c r="R930" s="9">
        <f>IF(Q930="","",$K930&amp;"")</f>
        <v/>
      </c>
      <c r="S930" s="9">
        <f>IF(Q930="","",IF(MATCH(R930,$R$5:$R$100000,0)=ROW()-4,ROW(),""))</f>
        <v/>
      </c>
      <c r="T930" s="9">
        <f>IF(Q930="당기",ABS(P930)+ROW()/1000000000,"")</f>
        <v/>
      </c>
      <c r="U930" s="9">
        <f>IF(Q930="비교",ABS(P930)+ROW()/1000000000,"")</f>
        <v/>
      </c>
      <c r="V930" s="39">
        <f>IF($A930="","",IF(COUNTIF(변동분석!$E$7:$E$506,O930)&gt;0,"Y","N"))</f>
        <v/>
      </c>
      <c r="W930" s="39">
        <f>IF($A930="","",IFERROR(INDEX(계정매핑!$D$5:$D$504,MATCH($F930&amp;"",계정매핑!$A$5:$A$504,0)),"미매핑"))</f>
        <v/>
      </c>
      <c r="X930" s="9">
        <f>IF($A930="","",$F930&amp;"")</f>
        <v/>
      </c>
    </row>
    <row r="931">
      <c r="A931" s="75" t="n">
        <v>2025</v>
      </c>
      <c r="B931" s="75" t="n">
        <v>5</v>
      </c>
      <c r="C931" s="75" t="inlineStr">
        <is>
          <t>5100000927</t>
        </is>
      </c>
      <c r="D931" s="78" t="n">
        <v>45798</v>
      </c>
      <c r="E931" s="75" t="inlineStr">
        <is>
          <t>KR</t>
        </is>
      </c>
      <c r="F931" s="75" t="n">
        <v>62102000</v>
      </c>
      <c r="G931" s="75" t="n">
        <v>1701</v>
      </c>
      <c r="H931" s="76" t="n">
        <v>49000</v>
      </c>
      <c r="I931" s="75" t="inlineStr">
        <is>
          <t>5월 해외출장 - M항공</t>
        </is>
      </c>
      <c r="J931" s="75" t="inlineStr">
        <is>
          <t>V10001</t>
        </is>
      </c>
      <c r="K931" s="75" t="inlineStr">
        <is>
          <t>M항공</t>
        </is>
      </c>
      <c r="M931" s="9">
        <f>IF($A931="","",VALUE($A931&amp;"")*12+VALUE($B931&amp;""))</f>
        <v/>
      </c>
      <c r="N931" s="39">
        <f>IF($A931="","",IFERROR(INDEX(부서매핑!$C$5:$C$504,MATCH($G931&amp;"",부서매핑!$A$5:$A$504,0)),"미매핑"))</f>
        <v/>
      </c>
      <c r="O931" s="9">
        <f>IF($A931="","",N931&amp;"|"&amp;$F931)</f>
        <v/>
      </c>
      <c r="P931" s="77">
        <f>IF($A931="",0,$H931*설정!$C$23)</f>
        <v/>
      </c>
      <c r="Q931" s="39">
        <f>IF($A931="","",IF(O931&lt;&gt;원인분석!$C$9,"",IF(AND(M931&gt;=원인분석!$C$10,M931&lt;=원인분석!$C$11),"당기",IF(AND(M931&gt;=원인분석!$C$12,M931&lt;=원인분석!$C$13),"비교",""))))</f>
        <v/>
      </c>
      <c r="R931" s="9">
        <f>IF(Q931="","",$K931&amp;"")</f>
        <v/>
      </c>
      <c r="S931" s="9">
        <f>IF(Q931="","",IF(MATCH(R931,$R$5:$R$100000,0)=ROW()-4,ROW(),""))</f>
        <v/>
      </c>
      <c r="T931" s="9">
        <f>IF(Q931="당기",ABS(P931)+ROW()/1000000000,"")</f>
        <v/>
      </c>
      <c r="U931" s="9">
        <f>IF(Q931="비교",ABS(P931)+ROW()/1000000000,"")</f>
        <v/>
      </c>
      <c r="V931" s="39">
        <f>IF($A931="","",IF(COUNTIF(변동분석!$E$7:$E$506,O931)&gt;0,"Y","N"))</f>
        <v/>
      </c>
      <c r="W931" s="39">
        <f>IF($A931="","",IFERROR(INDEX(계정매핑!$D$5:$D$504,MATCH($F931&amp;"",계정매핑!$A$5:$A$504,0)),"미매핑"))</f>
        <v/>
      </c>
      <c r="X931" s="9">
        <f>IF($A931="","",$F931&amp;"")</f>
        <v/>
      </c>
    </row>
    <row r="932">
      <c r="A932" s="75" t="n">
        <v>2025</v>
      </c>
      <c r="B932" s="75" t="n">
        <v>5</v>
      </c>
      <c r="C932" s="75" t="inlineStr">
        <is>
          <t>5100000928</t>
        </is>
      </c>
      <c r="D932" s="78" t="n">
        <v>45798</v>
      </c>
      <c r="E932" s="75" t="inlineStr">
        <is>
          <t>KR</t>
        </is>
      </c>
      <c r="F932" s="75" t="n">
        <v>62301000</v>
      </c>
      <c r="G932" s="75" t="n">
        <v>1101</v>
      </c>
      <c r="H932" s="76" t="n">
        <v>157000</v>
      </c>
      <c r="I932" s="75" t="inlineStr">
        <is>
          <t>5월 소모품 구입 - R문구</t>
        </is>
      </c>
      <c r="J932" s="75" t="inlineStr">
        <is>
          <t>V10018</t>
        </is>
      </c>
      <c r="K932" s="75" t="inlineStr">
        <is>
          <t>R문구</t>
        </is>
      </c>
      <c r="M932" s="9">
        <f>IF($A932="","",VALUE($A932&amp;"")*12+VALUE($B932&amp;""))</f>
        <v/>
      </c>
      <c r="N932" s="39">
        <f>IF($A932="","",IFERROR(INDEX(부서매핑!$C$5:$C$504,MATCH($G932&amp;"",부서매핑!$A$5:$A$504,0)),"미매핑"))</f>
        <v/>
      </c>
      <c r="O932" s="9">
        <f>IF($A932="","",N932&amp;"|"&amp;$F932)</f>
        <v/>
      </c>
      <c r="P932" s="77">
        <f>IF($A932="",0,$H932*설정!$C$23)</f>
        <v/>
      </c>
      <c r="Q932" s="39">
        <f>IF($A932="","",IF(O932&lt;&gt;원인분석!$C$9,"",IF(AND(M932&gt;=원인분석!$C$10,M932&lt;=원인분석!$C$11),"당기",IF(AND(M932&gt;=원인분석!$C$12,M932&lt;=원인분석!$C$13),"비교",""))))</f>
        <v/>
      </c>
      <c r="R932" s="9">
        <f>IF(Q932="","",$K932&amp;"")</f>
        <v/>
      </c>
      <c r="S932" s="9">
        <f>IF(Q932="","",IF(MATCH(R932,$R$5:$R$100000,0)=ROW()-4,ROW(),""))</f>
        <v/>
      </c>
      <c r="T932" s="9">
        <f>IF(Q932="당기",ABS(P932)+ROW()/1000000000,"")</f>
        <v/>
      </c>
      <c r="U932" s="9">
        <f>IF(Q932="비교",ABS(P932)+ROW()/1000000000,"")</f>
        <v/>
      </c>
      <c r="V932" s="39">
        <f>IF($A932="","",IF(COUNTIF(변동분석!$E$7:$E$506,O932)&gt;0,"Y","N"))</f>
        <v/>
      </c>
      <c r="W932" s="39">
        <f>IF($A932="","",IFERROR(INDEX(계정매핑!$D$5:$D$504,MATCH($F932&amp;"",계정매핑!$A$5:$A$504,0)),"미매핑"))</f>
        <v/>
      </c>
      <c r="X932" s="9">
        <f>IF($A932="","",$F932&amp;"")</f>
        <v/>
      </c>
    </row>
    <row r="933">
      <c r="A933" s="75" t="n">
        <v>2025</v>
      </c>
      <c r="B933" s="75" t="n">
        <v>5</v>
      </c>
      <c r="C933" s="75" t="inlineStr">
        <is>
          <t>5100000929</t>
        </is>
      </c>
      <c r="D933" s="78" t="n">
        <v>45798</v>
      </c>
      <c r="E933" s="75" t="inlineStr">
        <is>
          <t>KR</t>
        </is>
      </c>
      <c r="F933" s="75" t="n">
        <v>62501000</v>
      </c>
      <c r="G933" s="75" t="n">
        <v>1301</v>
      </c>
      <c r="H933" s="76" t="n">
        <v>320000</v>
      </c>
      <c r="I933" s="75" t="inlineStr">
        <is>
          <t>5월 회의 다과 - T케이터링</t>
        </is>
      </c>
      <c r="J933" s="75" t="inlineStr">
        <is>
          <t>V10005</t>
        </is>
      </c>
      <c r="K933" s="75" t="inlineStr">
        <is>
          <t>T케이터링</t>
        </is>
      </c>
      <c r="M933" s="9">
        <f>IF($A933="","",VALUE($A933&amp;"")*12+VALUE($B933&amp;""))</f>
        <v/>
      </c>
      <c r="N933" s="39">
        <f>IF($A933="","",IFERROR(INDEX(부서매핑!$C$5:$C$504,MATCH($G933&amp;"",부서매핑!$A$5:$A$504,0)),"미매핑"))</f>
        <v/>
      </c>
      <c r="O933" s="9">
        <f>IF($A933="","",N933&amp;"|"&amp;$F933)</f>
        <v/>
      </c>
      <c r="P933" s="77">
        <f>IF($A933="",0,$H933*설정!$C$23)</f>
        <v/>
      </c>
      <c r="Q933" s="39">
        <f>IF($A933="","",IF(O933&lt;&gt;원인분석!$C$9,"",IF(AND(M933&gt;=원인분석!$C$10,M933&lt;=원인분석!$C$11),"당기",IF(AND(M933&gt;=원인분석!$C$12,M933&lt;=원인분석!$C$13),"비교",""))))</f>
        <v/>
      </c>
      <c r="R933" s="9">
        <f>IF(Q933="","",$K933&amp;"")</f>
        <v/>
      </c>
      <c r="S933" s="9">
        <f>IF(Q933="","",IF(MATCH(R933,$R$5:$R$100000,0)=ROW()-4,ROW(),""))</f>
        <v/>
      </c>
      <c r="T933" s="9">
        <f>IF(Q933="당기",ABS(P933)+ROW()/1000000000,"")</f>
        <v/>
      </c>
      <c r="U933" s="9">
        <f>IF(Q933="비교",ABS(P933)+ROW()/1000000000,"")</f>
        <v/>
      </c>
      <c r="V933" s="39">
        <f>IF($A933="","",IF(COUNTIF(변동분석!$E$7:$E$506,O933)&gt;0,"Y","N"))</f>
        <v/>
      </c>
      <c r="W933" s="39">
        <f>IF($A933="","",IFERROR(INDEX(계정매핑!$D$5:$D$504,MATCH($F933&amp;"",계정매핑!$A$5:$A$504,0)),"미매핑"))</f>
        <v/>
      </c>
      <c r="X933" s="9">
        <f>IF($A933="","",$F933&amp;"")</f>
        <v/>
      </c>
    </row>
    <row r="934">
      <c r="A934" s="75" t="n">
        <v>2025</v>
      </c>
      <c r="B934" s="75" t="n">
        <v>5</v>
      </c>
      <c r="C934" s="75" t="inlineStr">
        <is>
          <t>5100000930</t>
        </is>
      </c>
      <c r="D934" s="78" t="n">
        <v>45798</v>
      </c>
      <c r="E934" s="75" t="inlineStr">
        <is>
          <t>KR</t>
        </is>
      </c>
      <c r="F934" s="75" t="n">
        <v>62501000</v>
      </c>
      <c r="G934" s="75" t="n">
        <v>1602</v>
      </c>
      <c r="H934" s="76" t="n">
        <v>316000</v>
      </c>
      <c r="I934" s="75" t="inlineStr">
        <is>
          <t>5월 회의 다과 - (법인카드)</t>
        </is>
      </c>
      <c r="J934" s="75" t="inlineStr">
        <is>
          <t>V10008</t>
        </is>
      </c>
      <c r="K934" s="75" t="inlineStr">
        <is>
          <t>(법인카드)</t>
        </is>
      </c>
      <c r="M934" s="9">
        <f>IF($A934="","",VALUE($A934&amp;"")*12+VALUE($B934&amp;""))</f>
        <v/>
      </c>
      <c r="N934" s="39">
        <f>IF($A934="","",IFERROR(INDEX(부서매핑!$C$5:$C$504,MATCH($G934&amp;"",부서매핑!$A$5:$A$504,0)),"미매핑"))</f>
        <v/>
      </c>
      <c r="O934" s="9">
        <f>IF($A934="","",N934&amp;"|"&amp;$F934)</f>
        <v/>
      </c>
      <c r="P934" s="77">
        <f>IF($A934="",0,$H934*설정!$C$23)</f>
        <v/>
      </c>
      <c r="Q934" s="39">
        <f>IF($A934="","",IF(O934&lt;&gt;원인분석!$C$9,"",IF(AND(M934&gt;=원인분석!$C$10,M934&lt;=원인분석!$C$11),"당기",IF(AND(M934&gt;=원인분석!$C$12,M934&lt;=원인분석!$C$13),"비교",""))))</f>
        <v/>
      </c>
      <c r="R934" s="9">
        <f>IF(Q934="","",$K934&amp;"")</f>
        <v/>
      </c>
      <c r="S934" s="9">
        <f>IF(Q934="","",IF(MATCH(R934,$R$5:$R$100000,0)=ROW()-4,ROW(),""))</f>
        <v/>
      </c>
      <c r="T934" s="9">
        <f>IF(Q934="당기",ABS(P934)+ROW()/1000000000,"")</f>
        <v/>
      </c>
      <c r="U934" s="9">
        <f>IF(Q934="비교",ABS(P934)+ROW()/1000000000,"")</f>
        <v/>
      </c>
      <c r="V934" s="39">
        <f>IF($A934="","",IF(COUNTIF(변동분석!$E$7:$E$506,O934)&gt;0,"Y","N"))</f>
        <v/>
      </c>
      <c r="W934" s="39">
        <f>IF($A934="","",IFERROR(INDEX(계정매핑!$D$5:$D$504,MATCH($F934&amp;"",계정매핑!$A$5:$A$504,0)),"미매핑"))</f>
        <v/>
      </c>
      <c r="X934" s="9">
        <f>IF($A934="","",$F934&amp;"")</f>
        <v/>
      </c>
    </row>
    <row r="935">
      <c r="A935" s="75" t="n">
        <v>2025</v>
      </c>
      <c r="B935" s="75" t="n">
        <v>5</v>
      </c>
      <c r="C935" s="75" t="inlineStr">
        <is>
          <t>5100000931</t>
        </is>
      </c>
      <c r="D935" s="78" t="n">
        <v>45798</v>
      </c>
      <c r="E935" s="75" t="inlineStr">
        <is>
          <t>KR</t>
        </is>
      </c>
      <c r="F935" s="75" t="n">
        <v>62901000</v>
      </c>
      <c r="G935" s="75" t="n">
        <v>1201</v>
      </c>
      <c r="H935" s="76" t="n">
        <v>5352000</v>
      </c>
      <c r="I935" s="75" t="inlineStr">
        <is>
          <t>5월 자문 수수료 - W컨설팅</t>
        </is>
      </c>
      <c r="J935" s="75" t="inlineStr">
        <is>
          <t>V10009</t>
        </is>
      </c>
      <c r="K935" s="75" t="inlineStr">
        <is>
          <t>W컨설팅</t>
        </is>
      </c>
      <c r="M935" s="9">
        <f>IF($A935="","",VALUE($A935&amp;"")*12+VALUE($B935&amp;""))</f>
        <v/>
      </c>
      <c r="N935" s="39">
        <f>IF($A935="","",IFERROR(INDEX(부서매핑!$C$5:$C$504,MATCH($G935&amp;"",부서매핑!$A$5:$A$504,0)),"미매핑"))</f>
        <v/>
      </c>
      <c r="O935" s="9">
        <f>IF($A935="","",N935&amp;"|"&amp;$F935)</f>
        <v/>
      </c>
      <c r="P935" s="77">
        <f>IF($A935="",0,$H935*설정!$C$23)</f>
        <v/>
      </c>
      <c r="Q935" s="39">
        <f>IF($A935="","",IF(O935&lt;&gt;원인분석!$C$9,"",IF(AND(M935&gt;=원인분석!$C$10,M935&lt;=원인분석!$C$11),"당기",IF(AND(M935&gt;=원인분석!$C$12,M935&lt;=원인분석!$C$13),"비교",""))))</f>
        <v/>
      </c>
      <c r="R935" s="9">
        <f>IF(Q935="","",$K935&amp;"")</f>
        <v/>
      </c>
      <c r="S935" s="9">
        <f>IF(Q935="","",IF(MATCH(R935,$R$5:$R$100000,0)=ROW()-4,ROW(),""))</f>
        <v/>
      </c>
      <c r="T935" s="9">
        <f>IF(Q935="당기",ABS(P935)+ROW()/1000000000,"")</f>
        <v/>
      </c>
      <c r="U935" s="9">
        <f>IF(Q935="비교",ABS(P935)+ROW()/1000000000,"")</f>
        <v/>
      </c>
      <c r="V935" s="39">
        <f>IF($A935="","",IF(COUNTIF(변동분석!$E$7:$E$506,O935)&gt;0,"Y","N"))</f>
        <v/>
      </c>
      <c r="W935" s="39">
        <f>IF($A935="","",IFERROR(INDEX(계정매핑!$D$5:$D$504,MATCH($F935&amp;"",계정매핑!$A$5:$A$504,0)),"미매핑"))</f>
        <v/>
      </c>
      <c r="X935" s="9">
        <f>IF($A935="","",$F935&amp;"")</f>
        <v/>
      </c>
    </row>
    <row r="936">
      <c r="A936" s="75" t="n">
        <v>2025</v>
      </c>
      <c r="B936" s="75" t="n">
        <v>5</v>
      </c>
      <c r="C936" s="75" t="inlineStr">
        <is>
          <t>5100000932</t>
        </is>
      </c>
      <c r="D936" s="78" t="n">
        <v>45798</v>
      </c>
      <c r="E936" s="75" t="inlineStr">
        <is>
          <t>KR</t>
        </is>
      </c>
      <c r="F936" s="75" t="n">
        <v>62902000</v>
      </c>
      <c r="G936" s="75" t="n">
        <v>1101</v>
      </c>
      <c r="H936" s="76" t="n">
        <v>2725000</v>
      </c>
      <c r="I936" s="75" t="inlineStr">
        <is>
          <t>5월 업무 위탁 수수료 - X서비스</t>
        </is>
      </c>
      <c r="J936" s="75" t="inlineStr">
        <is>
          <t>V10016</t>
        </is>
      </c>
      <c r="K936" s="75" t="inlineStr">
        <is>
          <t>X서비스</t>
        </is>
      </c>
      <c r="M936" s="9">
        <f>IF($A936="","",VALUE($A936&amp;"")*12+VALUE($B936&amp;""))</f>
        <v/>
      </c>
      <c r="N936" s="39">
        <f>IF($A936="","",IFERROR(INDEX(부서매핑!$C$5:$C$504,MATCH($G936&amp;"",부서매핑!$A$5:$A$504,0)),"미매핑"))</f>
        <v/>
      </c>
      <c r="O936" s="9">
        <f>IF($A936="","",N936&amp;"|"&amp;$F936)</f>
        <v/>
      </c>
      <c r="P936" s="77">
        <f>IF($A936="",0,$H936*설정!$C$23)</f>
        <v/>
      </c>
      <c r="Q936" s="39">
        <f>IF($A936="","",IF(O936&lt;&gt;원인분석!$C$9,"",IF(AND(M936&gt;=원인분석!$C$10,M936&lt;=원인분석!$C$11),"당기",IF(AND(M936&gt;=원인분석!$C$12,M936&lt;=원인분석!$C$13),"비교",""))))</f>
        <v/>
      </c>
      <c r="R936" s="9">
        <f>IF(Q936="","",$K936&amp;"")</f>
        <v/>
      </c>
      <c r="S936" s="9">
        <f>IF(Q936="","",IF(MATCH(R936,$R$5:$R$100000,0)=ROW()-4,ROW(),""))</f>
        <v/>
      </c>
      <c r="T936" s="9">
        <f>IF(Q936="당기",ABS(P936)+ROW()/1000000000,"")</f>
        <v/>
      </c>
      <c r="U936" s="9">
        <f>IF(Q936="비교",ABS(P936)+ROW()/1000000000,"")</f>
        <v/>
      </c>
      <c r="V936" s="39">
        <f>IF($A936="","",IF(COUNTIF(변동분석!$E$7:$E$506,O936)&gt;0,"Y","N"))</f>
        <v/>
      </c>
      <c r="W936" s="39">
        <f>IF($A936="","",IFERROR(INDEX(계정매핑!$D$5:$D$504,MATCH($F936&amp;"",계정매핑!$A$5:$A$504,0)),"미매핑"))</f>
        <v/>
      </c>
      <c r="X936" s="9">
        <f>IF($A936="","",$F936&amp;"")</f>
        <v/>
      </c>
    </row>
    <row r="937">
      <c r="A937" s="75" t="n">
        <v>2025</v>
      </c>
      <c r="B937" s="75" t="n">
        <v>5</v>
      </c>
      <c r="C937" s="75" t="inlineStr">
        <is>
          <t>5100000933</t>
        </is>
      </c>
      <c r="D937" s="78" t="n">
        <v>45798</v>
      </c>
      <c r="E937" s="75" t="inlineStr">
        <is>
          <t>KR</t>
        </is>
      </c>
      <c r="F937" s="75" t="n">
        <v>63101000</v>
      </c>
      <c r="G937" s="75" t="n">
        <v>1601</v>
      </c>
      <c r="H937" s="76" t="n">
        <v>8672000</v>
      </c>
      <c r="I937" s="75" t="inlineStr">
        <is>
          <t>5월 사무실 임차료 - AA빌딩</t>
        </is>
      </c>
      <c r="J937" s="75" t="inlineStr">
        <is>
          <t>V10006</t>
        </is>
      </c>
      <c r="K937" s="75" t="inlineStr">
        <is>
          <t>AA빌딩</t>
        </is>
      </c>
      <c r="M937" s="9">
        <f>IF($A937="","",VALUE($A937&amp;"")*12+VALUE($B937&amp;""))</f>
        <v/>
      </c>
      <c r="N937" s="39">
        <f>IF($A937="","",IFERROR(INDEX(부서매핑!$C$5:$C$504,MATCH($G937&amp;"",부서매핑!$A$5:$A$504,0)),"미매핑"))</f>
        <v/>
      </c>
      <c r="O937" s="9">
        <f>IF($A937="","",N937&amp;"|"&amp;$F937)</f>
        <v/>
      </c>
      <c r="P937" s="77">
        <f>IF($A937="",0,$H937*설정!$C$23)</f>
        <v/>
      </c>
      <c r="Q937" s="39">
        <f>IF($A937="","",IF(O937&lt;&gt;원인분석!$C$9,"",IF(AND(M937&gt;=원인분석!$C$10,M937&lt;=원인분석!$C$11),"당기",IF(AND(M937&gt;=원인분석!$C$12,M937&lt;=원인분석!$C$13),"비교",""))))</f>
        <v/>
      </c>
      <c r="R937" s="9">
        <f>IF(Q937="","",$K937&amp;"")</f>
        <v/>
      </c>
      <c r="S937" s="9">
        <f>IF(Q937="","",IF(MATCH(R937,$R$5:$R$100000,0)=ROW()-4,ROW(),""))</f>
        <v/>
      </c>
      <c r="T937" s="9">
        <f>IF(Q937="당기",ABS(P937)+ROW()/1000000000,"")</f>
        <v/>
      </c>
      <c r="U937" s="9">
        <f>IF(Q937="비교",ABS(P937)+ROW()/1000000000,"")</f>
        <v/>
      </c>
      <c r="V937" s="39">
        <f>IF($A937="","",IF(COUNTIF(변동분석!$E$7:$E$506,O937)&gt;0,"Y","N"))</f>
        <v/>
      </c>
      <c r="W937" s="39">
        <f>IF($A937="","",IFERROR(INDEX(계정매핑!$D$5:$D$504,MATCH($F937&amp;"",계정매핑!$A$5:$A$504,0)),"미매핑"))</f>
        <v/>
      </c>
      <c r="X937" s="9">
        <f>IF($A937="","",$F937&amp;"")</f>
        <v/>
      </c>
    </row>
    <row r="938">
      <c r="A938" s="75" t="n">
        <v>2025</v>
      </c>
      <c r="B938" s="75" t="n">
        <v>5</v>
      </c>
      <c r="C938" s="75" t="inlineStr">
        <is>
          <t>5100000934</t>
        </is>
      </c>
      <c r="D938" s="78" t="n">
        <v>45799</v>
      </c>
      <c r="E938" s="75" t="inlineStr">
        <is>
          <t>KR</t>
        </is>
      </c>
      <c r="F938" s="75" t="n">
        <v>62102000</v>
      </c>
      <c r="G938" s="75" t="n">
        <v>1502</v>
      </c>
      <c r="H938" s="76" t="n">
        <v>164000</v>
      </c>
      <c r="I938" s="75" t="inlineStr">
        <is>
          <t>5월 해외출장 - M항공</t>
        </is>
      </c>
      <c r="J938" s="75" t="inlineStr">
        <is>
          <t>V10001</t>
        </is>
      </c>
      <c r="K938" s="75" t="inlineStr">
        <is>
          <t>M항공</t>
        </is>
      </c>
      <c r="M938" s="9">
        <f>IF($A938="","",VALUE($A938&amp;"")*12+VALUE($B938&amp;""))</f>
        <v/>
      </c>
      <c r="N938" s="39">
        <f>IF($A938="","",IFERROR(INDEX(부서매핑!$C$5:$C$504,MATCH($G938&amp;"",부서매핑!$A$5:$A$504,0)),"미매핑"))</f>
        <v/>
      </c>
      <c r="O938" s="9">
        <f>IF($A938="","",N938&amp;"|"&amp;$F938)</f>
        <v/>
      </c>
      <c r="P938" s="77">
        <f>IF($A938="",0,$H938*설정!$C$23)</f>
        <v/>
      </c>
      <c r="Q938" s="39">
        <f>IF($A938="","",IF(O938&lt;&gt;원인분석!$C$9,"",IF(AND(M938&gt;=원인분석!$C$10,M938&lt;=원인분석!$C$11),"당기",IF(AND(M938&gt;=원인분석!$C$12,M938&lt;=원인분석!$C$13),"비교",""))))</f>
        <v/>
      </c>
      <c r="R938" s="9">
        <f>IF(Q938="","",$K938&amp;"")</f>
        <v/>
      </c>
      <c r="S938" s="9">
        <f>IF(Q938="","",IF(MATCH(R938,$R$5:$R$100000,0)=ROW()-4,ROW(),""))</f>
        <v/>
      </c>
      <c r="T938" s="9">
        <f>IF(Q938="당기",ABS(P938)+ROW()/1000000000,"")</f>
        <v/>
      </c>
      <c r="U938" s="9">
        <f>IF(Q938="비교",ABS(P938)+ROW()/1000000000,"")</f>
        <v/>
      </c>
      <c r="V938" s="39">
        <f>IF($A938="","",IF(COUNTIF(변동분석!$E$7:$E$506,O938)&gt;0,"Y","N"))</f>
        <v/>
      </c>
      <c r="W938" s="39">
        <f>IF($A938="","",IFERROR(INDEX(계정매핑!$D$5:$D$504,MATCH($F938&amp;"",계정매핑!$A$5:$A$504,0)),"미매핑"))</f>
        <v/>
      </c>
      <c r="X938" s="9">
        <f>IF($A938="","",$F938&amp;"")</f>
        <v/>
      </c>
    </row>
    <row r="939">
      <c r="A939" s="75" t="n">
        <v>2025</v>
      </c>
      <c r="B939" s="75" t="n">
        <v>5</v>
      </c>
      <c r="C939" s="75" t="inlineStr">
        <is>
          <t>5100000935</t>
        </is>
      </c>
      <c r="D939" s="78" t="n">
        <v>45799</v>
      </c>
      <c r="E939" s="75" t="inlineStr">
        <is>
          <t>KR</t>
        </is>
      </c>
      <c r="F939" s="75" t="n">
        <v>62201000</v>
      </c>
      <c r="G939" s="75" t="n">
        <v>1701</v>
      </c>
      <c r="H939" s="76" t="n">
        <v>5889000</v>
      </c>
      <c r="I939" s="75" t="inlineStr">
        <is>
          <t>5월 통신요금 - P통신</t>
        </is>
      </c>
      <c r="J939" s="75" t="inlineStr">
        <is>
          <t>V10011</t>
        </is>
      </c>
      <c r="K939" s="75" t="inlineStr">
        <is>
          <t>P통신</t>
        </is>
      </c>
      <c r="M939" s="9">
        <f>IF($A939="","",VALUE($A939&amp;"")*12+VALUE($B939&amp;""))</f>
        <v/>
      </c>
      <c r="N939" s="39">
        <f>IF($A939="","",IFERROR(INDEX(부서매핑!$C$5:$C$504,MATCH($G939&amp;"",부서매핑!$A$5:$A$504,0)),"미매핑"))</f>
        <v/>
      </c>
      <c r="O939" s="9">
        <f>IF($A939="","",N939&amp;"|"&amp;$F939)</f>
        <v/>
      </c>
      <c r="P939" s="77">
        <f>IF($A939="",0,$H939*설정!$C$23)</f>
        <v/>
      </c>
      <c r="Q939" s="39">
        <f>IF($A939="","",IF(O939&lt;&gt;원인분석!$C$9,"",IF(AND(M939&gt;=원인분석!$C$10,M939&lt;=원인분석!$C$11),"당기",IF(AND(M939&gt;=원인분석!$C$12,M939&lt;=원인분석!$C$13),"비교",""))))</f>
        <v/>
      </c>
      <c r="R939" s="9">
        <f>IF(Q939="","",$K939&amp;"")</f>
        <v/>
      </c>
      <c r="S939" s="9">
        <f>IF(Q939="","",IF(MATCH(R939,$R$5:$R$100000,0)=ROW()-4,ROW(),""))</f>
        <v/>
      </c>
      <c r="T939" s="9">
        <f>IF(Q939="당기",ABS(P939)+ROW()/1000000000,"")</f>
        <v/>
      </c>
      <c r="U939" s="9">
        <f>IF(Q939="비교",ABS(P939)+ROW()/1000000000,"")</f>
        <v/>
      </c>
      <c r="V939" s="39">
        <f>IF($A939="","",IF(COUNTIF(변동분석!$E$7:$E$506,O939)&gt;0,"Y","N"))</f>
        <v/>
      </c>
      <c r="W939" s="39">
        <f>IF($A939="","",IFERROR(INDEX(계정매핑!$D$5:$D$504,MATCH($F939&amp;"",계정매핑!$A$5:$A$504,0)),"미매핑"))</f>
        <v/>
      </c>
      <c r="X939" s="9">
        <f>IF($A939="","",$F939&amp;"")</f>
        <v/>
      </c>
    </row>
    <row r="940">
      <c r="A940" s="75" t="n">
        <v>2025</v>
      </c>
      <c r="B940" s="75" t="n">
        <v>5</v>
      </c>
      <c r="C940" s="75" t="inlineStr">
        <is>
          <t>5100000936</t>
        </is>
      </c>
      <c r="D940" s="78" t="n">
        <v>45799</v>
      </c>
      <c r="E940" s="75" t="inlineStr">
        <is>
          <t>KR</t>
        </is>
      </c>
      <c r="F940" s="75" t="n">
        <v>62301000</v>
      </c>
      <c r="G940" s="75" t="n">
        <v>1101</v>
      </c>
      <c r="H940" s="76" t="n">
        <v>167000</v>
      </c>
      <c r="I940" s="75" t="inlineStr">
        <is>
          <t>5월 소모품 구입 - R문구</t>
        </is>
      </c>
      <c r="J940" s="75" t="inlineStr">
        <is>
          <t>V10018</t>
        </is>
      </c>
      <c r="K940" s="75" t="inlineStr">
        <is>
          <t>R문구</t>
        </is>
      </c>
      <c r="M940" s="9">
        <f>IF($A940="","",VALUE($A940&amp;"")*12+VALUE($B940&amp;""))</f>
        <v/>
      </c>
      <c r="N940" s="39">
        <f>IF($A940="","",IFERROR(INDEX(부서매핑!$C$5:$C$504,MATCH($G940&amp;"",부서매핑!$A$5:$A$504,0)),"미매핑"))</f>
        <v/>
      </c>
      <c r="O940" s="9">
        <f>IF($A940="","",N940&amp;"|"&amp;$F940)</f>
        <v/>
      </c>
      <c r="P940" s="77">
        <f>IF($A940="",0,$H940*설정!$C$23)</f>
        <v/>
      </c>
      <c r="Q940" s="39">
        <f>IF($A940="","",IF(O940&lt;&gt;원인분석!$C$9,"",IF(AND(M940&gt;=원인분석!$C$10,M940&lt;=원인분석!$C$11),"당기",IF(AND(M940&gt;=원인분석!$C$12,M940&lt;=원인분석!$C$13),"비교",""))))</f>
        <v/>
      </c>
      <c r="R940" s="9">
        <f>IF(Q940="","",$K940&amp;"")</f>
        <v/>
      </c>
      <c r="S940" s="9">
        <f>IF(Q940="","",IF(MATCH(R940,$R$5:$R$100000,0)=ROW()-4,ROW(),""))</f>
        <v/>
      </c>
      <c r="T940" s="9">
        <f>IF(Q940="당기",ABS(P940)+ROW()/1000000000,"")</f>
        <v/>
      </c>
      <c r="U940" s="9">
        <f>IF(Q940="비교",ABS(P940)+ROW()/1000000000,"")</f>
        <v/>
      </c>
      <c r="V940" s="39">
        <f>IF($A940="","",IF(COUNTIF(변동분석!$E$7:$E$506,O940)&gt;0,"Y","N"))</f>
        <v/>
      </c>
      <c r="W940" s="39">
        <f>IF($A940="","",IFERROR(INDEX(계정매핑!$D$5:$D$504,MATCH($F940&amp;"",계정매핑!$A$5:$A$504,0)),"미매핑"))</f>
        <v/>
      </c>
      <c r="X940" s="9">
        <f>IF($A940="","",$F940&amp;"")</f>
        <v/>
      </c>
    </row>
    <row r="941">
      <c r="A941" s="75" t="n">
        <v>2025</v>
      </c>
      <c r="B941" s="75" t="n">
        <v>5</v>
      </c>
      <c r="C941" s="75" t="inlineStr">
        <is>
          <t>5100000937</t>
        </is>
      </c>
      <c r="D941" s="78" t="n">
        <v>45799</v>
      </c>
      <c r="E941" s="75" t="inlineStr">
        <is>
          <t>KR</t>
        </is>
      </c>
      <c r="F941" s="75" t="n">
        <v>62501000</v>
      </c>
      <c r="G941" s="75" t="n">
        <v>1401</v>
      </c>
      <c r="H941" s="76" t="n">
        <v>116000</v>
      </c>
      <c r="I941" s="75" t="inlineStr">
        <is>
          <t>5월 회의 다과 - T케이터링</t>
        </is>
      </c>
      <c r="J941" s="75" t="inlineStr">
        <is>
          <t>V10005</t>
        </is>
      </c>
      <c r="K941" s="75" t="inlineStr">
        <is>
          <t>T케이터링</t>
        </is>
      </c>
      <c r="M941" s="9">
        <f>IF($A941="","",VALUE($A941&amp;"")*12+VALUE($B941&amp;""))</f>
        <v/>
      </c>
      <c r="N941" s="39">
        <f>IF($A941="","",IFERROR(INDEX(부서매핑!$C$5:$C$504,MATCH($G941&amp;"",부서매핑!$A$5:$A$504,0)),"미매핑"))</f>
        <v/>
      </c>
      <c r="O941" s="9">
        <f>IF($A941="","",N941&amp;"|"&amp;$F941)</f>
        <v/>
      </c>
      <c r="P941" s="77">
        <f>IF($A941="",0,$H941*설정!$C$23)</f>
        <v/>
      </c>
      <c r="Q941" s="39">
        <f>IF($A941="","",IF(O941&lt;&gt;원인분석!$C$9,"",IF(AND(M941&gt;=원인분석!$C$10,M941&lt;=원인분석!$C$11),"당기",IF(AND(M941&gt;=원인분석!$C$12,M941&lt;=원인분석!$C$13),"비교",""))))</f>
        <v/>
      </c>
      <c r="R941" s="9">
        <f>IF(Q941="","",$K941&amp;"")</f>
        <v/>
      </c>
      <c r="S941" s="9">
        <f>IF(Q941="","",IF(MATCH(R941,$R$5:$R$100000,0)=ROW()-4,ROW(),""))</f>
        <v/>
      </c>
      <c r="T941" s="9">
        <f>IF(Q941="당기",ABS(P941)+ROW()/1000000000,"")</f>
        <v/>
      </c>
      <c r="U941" s="9">
        <f>IF(Q941="비교",ABS(P941)+ROW()/1000000000,"")</f>
        <v/>
      </c>
      <c r="V941" s="39">
        <f>IF($A941="","",IF(COUNTIF(변동분석!$E$7:$E$506,O941)&gt;0,"Y","N"))</f>
        <v/>
      </c>
      <c r="W941" s="39">
        <f>IF($A941="","",IFERROR(INDEX(계정매핑!$D$5:$D$504,MATCH($F941&amp;"",계정매핑!$A$5:$A$504,0)),"미매핑"))</f>
        <v/>
      </c>
      <c r="X941" s="9">
        <f>IF($A941="","",$F941&amp;"")</f>
        <v/>
      </c>
    </row>
    <row r="942">
      <c r="A942" s="75" t="n">
        <v>2025</v>
      </c>
      <c r="B942" s="75" t="n">
        <v>5</v>
      </c>
      <c r="C942" s="75" t="inlineStr">
        <is>
          <t>5100000938</t>
        </is>
      </c>
      <c r="D942" s="78" t="n">
        <v>45799</v>
      </c>
      <c r="E942" s="75" t="inlineStr">
        <is>
          <t>KR</t>
        </is>
      </c>
      <c r="F942" s="75" t="n">
        <v>62501000</v>
      </c>
      <c r="G942" s="75" t="n">
        <v>1401</v>
      </c>
      <c r="H942" s="76" t="n">
        <v>126000</v>
      </c>
      <c r="I942" s="75" t="inlineStr">
        <is>
          <t>5월 회의 다과 - T케이터링</t>
        </is>
      </c>
      <c r="J942" s="75" t="inlineStr">
        <is>
          <t>V10005</t>
        </is>
      </c>
      <c r="K942" s="75" t="inlineStr">
        <is>
          <t>T케이터링</t>
        </is>
      </c>
      <c r="M942" s="9">
        <f>IF($A942="","",VALUE($A942&amp;"")*12+VALUE($B942&amp;""))</f>
        <v/>
      </c>
      <c r="N942" s="39">
        <f>IF($A942="","",IFERROR(INDEX(부서매핑!$C$5:$C$504,MATCH($G942&amp;"",부서매핑!$A$5:$A$504,0)),"미매핑"))</f>
        <v/>
      </c>
      <c r="O942" s="9">
        <f>IF($A942="","",N942&amp;"|"&amp;$F942)</f>
        <v/>
      </c>
      <c r="P942" s="77">
        <f>IF($A942="",0,$H942*설정!$C$23)</f>
        <v/>
      </c>
      <c r="Q942" s="39">
        <f>IF($A942="","",IF(O942&lt;&gt;원인분석!$C$9,"",IF(AND(M942&gt;=원인분석!$C$10,M942&lt;=원인분석!$C$11),"당기",IF(AND(M942&gt;=원인분석!$C$12,M942&lt;=원인분석!$C$13),"비교",""))))</f>
        <v/>
      </c>
      <c r="R942" s="9">
        <f>IF(Q942="","",$K942&amp;"")</f>
        <v/>
      </c>
      <c r="S942" s="9">
        <f>IF(Q942="","",IF(MATCH(R942,$R$5:$R$100000,0)=ROW()-4,ROW(),""))</f>
        <v/>
      </c>
      <c r="T942" s="9">
        <f>IF(Q942="당기",ABS(P942)+ROW()/1000000000,"")</f>
        <v/>
      </c>
      <c r="U942" s="9">
        <f>IF(Q942="비교",ABS(P942)+ROW()/1000000000,"")</f>
        <v/>
      </c>
      <c r="V942" s="39">
        <f>IF($A942="","",IF(COUNTIF(변동분석!$E$7:$E$506,O942)&gt;0,"Y","N"))</f>
        <v/>
      </c>
      <c r="W942" s="39">
        <f>IF($A942="","",IFERROR(INDEX(계정매핑!$D$5:$D$504,MATCH($F942&amp;"",계정매핑!$A$5:$A$504,0)),"미매핑"))</f>
        <v/>
      </c>
      <c r="X942" s="9">
        <f>IF($A942="","",$F942&amp;"")</f>
        <v/>
      </c>
    </row>
    <row r="943">
      <c r="A943" s="75" t="n">
        <v>2025</v>
      </c>
      <c r="B943" s="75" t="n">
        <v>5</v>
      </c>
      <c r="C943" s="75" t="inlineStr">
        <is>
          <t>5100000939</t>
        </is>
      </c>
      <c r="D943" s="78" t="n">
        <v>45799</v>
      </c>
      <c r="E943" s="75" t="inlineStr">
        <is>
          <t>KR</t>
        </is>
      </c>
      <c r="F943" s="75" t="n">
        <v>62902000</v>
      </c>
      <c r="G943" s="75" t="n">
        <v>1101</v>
      </c>
      <c r="H943" s="76" t="n">
        <v>2856000</v>
      </c>
      <c r="I943" s="75" t="inlineStr">
        <is>
          <t>5월 업무 위탁 수수료 - J콜센터</t>
        </is>
      </c>
      <c r="J943" s="75" t="inlineStr">
        <is>
          <t>V10013</t>
        </is>
      </c>
      <c r="K943" s="75" t="inlineStr">
        <is>
          <t>J콜센터</t>
        </is>
      </c>
      <c r="M943" s="9">
        <f>IF($A943="","",VALUE($A943&amp;"")*12+VALUE($B943&amp;""))</f>
        <v/>
      </c>
      <c r="N943" s="39">
        <f>IF($A943="","",IFERROR(INDEX(부서매핑!$C$5:$C$504,MATCH($G943&amp;"",부서매핑!$A$5:$A$504,0)),"미매핑"))</f>
        <v/>
      </c>
      <c r="O943" s="9">
        <f>IF($A943="","",N943&amp;"|"&amp;$F943)</f>
        <v/>
      </c>
      <c r="P943" s="77">
        <f>IF($A943="",0,$H943*설정!$C$23)</f>
        <v/>
      </c>
      <c r="Q943" s="39">
        <f>IF($A943="","",IF(O943&lt;&gt;원인분석!$C$9,"",IF(AND(M943&gt;=원인분석!$C$10,M943&lt;=원인분석!$C$11),"당기",IF(AND(M943&gt;=원인분석!$C$12,M943&lt;=원인분석!$C$13),"비교",""))))</f>
        <v/>
      </c>
      <c r="R943" s="9">
        <f>IF(Q943="","",$K943&amp;"")</f>
        <v/>
      </c>
      <c r="S943" s="9">
        <f>IF(Q943="","",IF(MATCH(R943,$R$5:$R$100000,0)=ROW()-4,ROW(),""))</f>
        <v/>
      </c>
      <c r="T943" s="9">
        <f>IF(Q943="당기",ABS(P943)+ROW()/1000000000,"")</f>
        <v/>
      </c>
      <c r="U943" s="9">
        <f>IF(Q943="비교",ABS(P943)+ROW()/1000000000,"")</f>
        <v/>
      </c>
      <c r="V943" s="39">
        <f>IF($A943="","",IF(COUNTIF(변동분석!$E$7:$E$506,O943)&gt;0,"Y","N"))</f>
        <v/>
      </c>
      <c r="W943" s="39">
        <f>IF($A943="","",IFERROR(INDEX(계정매핑!$D$5:$D$504,MATCH($F943&amp;"",계정매핑!$A$5:$A$504,0)),"미매핑"))</f>
        <v/>
      </c>
      <c r="X943" s="9">
        <f>IF($A943="","",$F943&amp;"")</f>
        <v/>
      </c>
    </row>
    <row r="944">
      <c r="A944" s="75" t="n">
        <v>2025</v>
      </c>
      <c r="B944" s="75" t="n">
        <v>5</v>
      </c>
      <c r="C944" s="75" t="inlineStr">
        <is>
          <t>5100000940</t>
        </is>
      </c>
      <c r="D944" s="78" t="n">
        <v>45799</v>
      </c>
      <c r="E944" s="75" t="inlineStr">
        <is>
          <t>KR</t>
        </is>
      </c>
      <c r="F944" s="75" t="n">
        <v>62902000</v>
      </c>
      <c r="G944" s="75" t="n">
        <v>1401</v>
      </c>
      <c r="H944" s="76" t="n">
        <v>3353000</v>
      </c>
      <c r="I944" s="75" t="inlineStr">
        <is>
          <t>5월 업무 위탁 수수료 - J콜센터</t>
        </is>
      </c>
      <c r="J944" s="75" t="inlineStr">
        <is>
          <t>V10013</t>
        </is>
      </c>
      <c r="K944" s="75" t="inlineStr">
        <is>
          <t>J콜센터</t>
        </is>
      </c>
      <c r="M944" s="9">
        <f>IF($A944="","",VALUE($A944&amp;"")*12+VALUE($B944&amp;""))</f>
        <v/>
      </c>
      <c r="N944" s="39">
        <f>IF($A944="","",IFERROR(INDEX(부서매핑!$C$5:$C$504,MATCH($G944&amp;"",부서매핑!$A$5:$A$504,0)),"미매핑"))</f>
        <v/>
      </c>
      <c r="O944" s="9">
        <f>IF($A944="","",N944&amp;"|"&amp;$F944)</f>
        <v/>
      </c>
      <c r="P944" s="77">
        <f>IF($A944="",0,$H944*설정!$C$23)</f>
        <v/>
      </c>
      <c r="Q944" s="39">
        <f>IF($A944="","",IF(O944&lt;&gt;원인분석!$C$9,"",IF(AND(M944&gt;=원인분석!$C$10,M944&lt;=원인분석!$C$11),"당기",IF(AND(M944&gt;=원인분석!$C$12,M944&lt;=원인분석!$C$13),"비교",""))))</f>
        <v/>
      </c>
      <c r="R944" s="9">
        <f>IF(Q944="","",$K944&amp;"")</f>
        <v/>
      </c>
      <c r="S944" s="9">
        <f>IF(Q944="","",IF(MATCH(R944,$R$5:$R$100000,0)=ROW()-4,ROW(),""))</f>
        <v/>
      </c>
      <c r="T944" s="9">
        <f>IF(Q944="당기",ABS(P944)+ROW()/1000000000,"")</f>
        <v/>
      </c>
      <c r="U944" s="9">
        <f>IF(Q944="비교",ABS(P944)+ROW()/1000000000,"")</f>
        <v/>
      </c>
      <c r="V944" s="39">
        <f>IF($A944="","",IF(COUNTIF(변동분석!$E$7:$E$506,O944)&gt;0,"Y","N"))</f>
        <v/>
      </c>
      <c r="W944" s="39">
        <f>IF($A944="","",IFERROR(INDEX(계정매핑!$D$5:$D$504,MATCH($F944&amp;"",계정매핑!$A$5:$A$504,0)),"미매핑"))</f>
        <v/>
      </c>
      <c r="X944" s="9">
        <f>IF($A944="","",$F944&amp;"")</f>
        <v/>
      </c>
    </row>
    <row r="945">
      <c r="A945" s="75" t="n">
        <v>2025</v>
      </c>
      <c r="B945" s="75" t="n">
        <v>5</v>
      </c>
      <c r="C945" s="75" t="inlineStr">
        <is>
          <t>5100000941</t>
        </is>
      </c>
      <c r="D945" s="78" t="n">
        <v>45799</v>
      </c>
      <c r="E945" s="75" t="inlineStr">
        <is>
          <t>KR</t>
        </is>
      </c>
      <c r="F945" s="75" t="n">
        <v>62902000</v>
      </c>
      <c r="G945" s="75" t="n">
        <v>1801</v>
      </c>
      <c r="H945" s="76" t="n">
        <v>1826000</v>
      </c>
      <c r="I945" s="75" t="inlineStr">
        <is>
          <t>5월 콜 위탁 수수료(건별)</t>
        </is>
      </c>
      <c r="J945" s="75" t="inlineStr">
        <is>
          <t>V10013</t>
        </is>
      </c>
      <c r="K945" s="75" t="inlineStr">
        <is>
          <t>J콜센터</t>
        </is>
      </c>
      <c r="M945" s="9">
        <f>IF($A945="","",VALUE($A945&amp;"")*12+VALUE($B945&amp;""))</f>
        <v/>
      </c>
      <c r="N945" s="39">
        <f>IF($A945="","",IFERROR(INDEX(부서매핑!$C$5:$C$504,MATCH($G945&amp;"",부서매핑!$A$5:$A$504,0)),"미매핑"))</f>
        <v/>
      </c>
      <c r="O945" s="9">
        <f>IF($A945="","",N945&amp;"|"&amp;$F945)</f>
        <v/>
      </c>
      <c r="P945" s="77">
        <f>IF($A945="",0,$H945*설정!$C$23)</f>
        <v/>
      </c>
      <c r="Q945" s="39">
        <f>IF($A945="","",IF(O945&lt;&gt;원인분석!$C$9,"",IF(AND(M945&gt;=원인분석!$C$10,M945&lt;=원인분석!$C$11),"당기",IF(AND(M945&gt;=원인분석!$C$12,M945&lt;=원인분석!$C$13),"비교",""))))</f>
        <v/>
      </c>
      <c r="R945" s="9">
        <f>IF(Q945="","",$K945&amp;"")</f>
        <v/>
      </c>
      <c r="S945" s="9">
        <f>IF(Q945="","",IF(MATCH(R945,$R$5:$R$100000,0)=ROW()-4,ROW(),""))</f>
        <v/>
      </c>
      <c r="T945" s="9">
        <f>IF(Q945="당기",ABS(P945)+ROW()/1000000000,"")</f>
        <v/>
      </c>
      <c r="U945" s="9">
        <f>IF(Q945="비교",ABS(P945)+ROW()/1000000000,"")</f>
        <v/>
      </c>
      <c r="V945" s="39">
        <f>IF($A945="","",IF(COUNTIF(변동분석!$E$7:$E$506,O945)&gt;0,"Y","N"))</f>
        <v/>
      </c>
      <c r="W945" s="39">
        <f>IF($A945="","",IFERROR(INDEX(계정매핑!$D$5:$D$504,MATCH($F945&amp;"",계정매핑!$A$5:$A$504,0)),"미매핑"))</f>
        <v/>
      </c>
      <c r="X945" s="9">
        <f>IF($A945="","",$F945&amp;"")</f>
        <v/>
      </c>
    </row>
    <row r="946">
      <c r="A946" s="75" t="n">
        <v>2025</v>
      </c>
      <c r="B946" s="75" t="n">
        <v>5</v>
      </c>
      <c r="C946" s="75" t="inlineStr">
        <is>
          <t>5100000942</t>
        </is>
      </c>
      <c r="D946" s="78" t="n">
        <v>45800</v>
      </c>
      <c r="E946" s="75" t="inlineStr">
        <is>
          <t>KR</t>
        </is>
      </c>
      <c r="F946" s="75" t="n">
        <v>62102000</v>
      </c>
      <c r="G946" s="75" t="n">
        <v>1201</v>
      </c>
      <c r="H946" s="76" t="n">
        <v>66000</v>
      </c>
      <c r="I946" s="75" t="inlineStr">
        <is>
          <t>5월 해외출장 - N호텔</t>
        </is>
      </c>
      <c r="J946" s="75" t="inlineStr">
        <is>
          <t>V10007</t>
        </is>
      </c>
      <c r="K946" s="75" t="inlineStr">
        <is>
          <t>N호텔</t>
        </is>
      </c>
      <c r="M946" s="9">
        <f>IF($A946="","",VALUE($A946&amp;"")*12+VALUE($B946&amp;""))</f>
        <v/>
      </c>
      <c r="N946" s="39">
        <f>IF($A946="","",IFERROR(INDEX(부서매핑!$C$5:$C$504,MATCH($G946&amp;"",부서매핑!$A$5:$A$504,0)),"미매핑"))</f>
        <v/>
      </c>
      <c r="O946" s="9">
        <f>IF($A946="","",N946&amp;"|"&amp;$F946)</f>
        <v/>
      </c>
      <c r="P946" s="77">
        <f>IF($A946="",0,$H946*설정!$C$23)</f>
        <v/>
      </c>
      <c r="Q946" s="39">
        <f>IF($A946="","",IF(O946&lt;&gt;원인분석!$C$9,"",IF(AND(M946&gt;=원인분석!$C$10,M946&lt;=원인분석!$C$11),"당기",IF(AND(M946&gt;=원인분석!$C$12,M946&lt;=원인분석!$C$13),"비교",""))))</f>
        <v/>
      </c>
      <c r="R946" s="9">
        <f>IF(Q946="","",$K946&amp;"")</f>
        <v/>
      </c>
      <c r="S946" s="9">
        <f>IF(Q946="","",IF(MATCH(R946,$R$5:$R$100000,0)=ROW()-4,ROW(),""))</f>
        <v/>
      </c>
      <c r="T946" s="9">
        <f>IF(Q946="당기",ABS(P946)+ROW()/1000000000,"")</f>
        <v/>
      </c>
      <c r="U946" s="9">
        <f>IF(Q946="비교",ABS(P946)+ROW()/1000000000,"")</f>
        <v/>
      </c>
      <c r="V946" s="39">
        <f>IF($A946="","",IF(COUNTIF(변동분석!$E$7:$E$506,O946)&gt;0,"Y","N"))</f>
        <v/>
      </c>
      <c r="W946" s="39">
        <f>IF($A946="","",IFERROR(INDEX(계정매핑!$D$5:$D$504,MATCH($F946&amp;"",계정매핑!$A$5:$A$504,0)),"미매핑"))</f>
        <v/>
      </c>
      <c r="X946" s="9">
        <f>IF($A946="","",$F946&amp;"")</f>
        <v/>
      </c>
    </row>
    <row r="947">
      <c r="A947" s="75" t="n">
        <v>2025</v>
      </c>
      <c r="B947" s="75" t="n">
        <v>5</v>
      </c>
      <c r="C947" s="75" t="inlineStr">
        <is>
          <t>5100000943</t>
        </is>
      </c>
      <c r="D947" s="78" t="n">
        <v>45800</v>
      </c>
      <c r="E947" s="75" t="inlineStr">
        <is>
          <t>KR</t>
        </is>
      </c>
      <c r="F947" s="75" t="n">
        <v>62102000</v>
      </c>
      <c r="G947" s="75" t="n">
        <v>1401</v>
      </c>
      <c r="H947" s="76" t="n">
        <v>70000</v>
      </c>
      <c r="I947" s="75" t="inlineStr">
        <is>
          <t>5월 해외출장 - M항공</t>
        </is>
      </c>
      <c r="J947" s="75" t="inlineStr">
        <is>
          <t>V10001</t>
        </is>
      </c>
      <c r="K947" s="75" t="inlineStr">
        <is>
          <t>M항공</t>
        </is>
      </c>
      <c r="M947" s="9">
        <f>IF($A947="","",VALUE($A947&amp;"")*12+VALUE($B947&amp;""))</f>
        <v/>
      </c>
      <c r="N947" s="39">
        <f>IF($A947="","",IFERROR(INDEX(부서매핑!$C$5:$C$504,MATCH($G947&amp;"",부서매핑!$A$5:$A$504,0)),"미매핑"))</f>
        <v/>
      </c>
      <c r="O947" s="9">
        <f>IF($A947="","",N947&amp;"|"&amp;$F947)</f>
        <v/>
      </c>
      <c r="P947" s="77">
        <f>IF($A947="",0,$H947*설정!$C$23)</f>
        <v/>
      </c>
      <c r="Q947" s="39">
        <f>IF($A947="","",IF(O947&lt;&gt;원인분석!$C$9,"",IF(AND(M947&gt;=원인분석!$C$10,M947&lt;=원인분석!$C$11),"당기",IF(AND(M947&gt;=원인분석!$C$12,M947&lt;=원인분석!$C$13),"비교",""))))</f>
        <v/>
      </c>
      <c r="R947" s="9">
        <f>IF(Q947="","",$K947&amp;"")</f>
        <v/>
      </c>
      <c r="S947" s="9">
        <f>IF(Q947="","",IF(MATCH(R947,$R$5:$R$100000,0)=ROW()-4,ROW(),""))</f>
        <v/>
      </c>
      <c r="T947" s="9">
        <f>IF(Q947="당기",ABS(P947)+ROW()/1000000000,"")</f>
        <v/>
      </c>
      <c r="U947" s="9">
        <f>IF(Q947="비교",ABS(P947)+ROW()/1000000000,"")</f>
        <v/>
      </c>
      <c r="V947" s="39">
        <f>IF($A947="","",IF(COUNTIF(변동분석!$E$7:$E$506,O947)&gt;0,"Y","N"))</f>
        <v/>
      </c>
      <c r="W947" s="39">
        <f>IF($A947="","",IFERROR(INDEX(계정매핑!$D$5:$D$504,MATCH($F947&amp;"",계정매핑!$A$5:$A$504,0)),"미매핑"))</f>
        <v/>
      </c>
      <c r="X947" s="9">
        <f>IF($A947="","",$F947&amp;"")</f>
        <v/>
      </c>
    </row>
    <row r="948">
      <c r="A948" s="75" t="n">
        <v>2025</v>
      </c>
      <c r="B948" s="75" t="n">
        <v>5</v>
      </c>
      <c r="C948" s="75" t="inlineStr">
        <is>
          <t>5100000944</t>
        </is>
      </c>
      <c r="D948" s="78" t="n">
        <v>45800</v>
      </c>
      <c r="E948" s="75" t="inlineStr">
        <is>
          <t>KR</t>
        </is>
      </c>
      <c r="F948" s="75" t="n">
        <v>62401000</v>
      </c>
      <c r="G948" s="75" t="n">
        <v>1401</v>
      </c>
      <c r="H948" s="76" t="n">
        <v>381000</v>
      </c>
      <c r="I948" s="75" t="inlineStr">
        <is>
          <t>5월 인쇄물 제작 - G인쇄</t>
        </is>
      </c>
      <c r="J948" s="75" t="inlineStr">
        <is>
          <t>V10004</t>
        </is>
      </c>
      <c r="K948" s="75" t="inlineStr">
        <is>
          <t>G인쇄</t>
        </is>
      </c>
      <c r="M948" s="9">
        <f>IF($A948="","",VALUE($A948&amp;"")*12+VALUE($B948&amp;""))</f>
        <v/>
      </c>
      <c r="N948" s="39">
        <f>IF($A948="","",IFERROR(INDEX(부서매핑!$C$5:$C$504,MATCH($G948&amp;"",부서매핑!$A$5:$A$504,0)),"미매핑"))</f>
        <v/>
      </c>
      <c r="O948" s="9">
        <f>IF($A948="","",N948&amp;"|"&amp;$F948)</f>
        <v/>
      </c>
      <c r="P948" s="77">
        <f>IF($A948="",0,$H948*설정!$C$23)</f>
        <v/>
      </c>
      <c r="Q948" s="39">
        <f>IF($A948="","",IF(O948&lt;&gt;원인분석!$C$9,"",IF(AND(M948&gt;=원인분석!$C$10,M948&lt;=원인분석!$C$11),"당기",IF(AND(M948&gt;=원인분석!$C$12,M948&lt;=원인분석!$C$13),"비교",""))))</f>
        <v/>
      </c>
      <c r="R948" s="9">
        <f>IF(Q948="","",$K948&amp;"")</f>
        <v/>
      </c>
      <c r="S948" s="9">
        <f>IF(Q948="","",IF(MATCH(R948,$R$5:$R$100000,0)=ROW()-4,ROW(),""))</f>
        <v/>
      </c>
      <c r="T948" s="9">
        <f>IF(Q948="당기",ABS(P948)+ROW()/1000000000,"")</f>
        <v/>
      </c>
      <c r="U948" s="9">
        <f>IF(Q948="비교",ABS(P948)+ROW()/1000000000,"")</f>
        <v/>
      </c>
      <c r="V948" s="39">
        <f>IF($A948="","",IF(COUNTIF(변동분석!$E$7:$E$506,O948)&gt;0,"Y","N"))</f>
        <v/>
      </c>
      <c r="W948" s="39">
        <f>IF($A948="","",IFERROR(INDEX(계정매핑!$D$5:$D$504,MATCH($F948&amp;"",계정매핑!$A$5:$A$504,0)),"미매핑"))</f>
        <v/>
      </c>
      <c r="X948" s="9">
        <f>IF($A948="","",$F948&amp;"")</f>
        <v/>
      </c>
    </row>
    <row r="949">
      <c r="A949" s="75" t="n">
        <v>2025</v>
      </c>
      <c r="B949" s="75" t="n">
        <v>5</v>
      </c>
      <c r="C949" s="75" t="inlineStr">
        <is>
          <t>5100000945</t>
        </is>
      </c>
      <c r="D949" s="78" t="n">
        <v>45800</v>
      </c>
      <c r="E949" s="75" t="inlineStr">
        <is>
          <t>KR</t>
        </is>
      </c>
      <c r="F949" s="75" t="n">
        <v>62501000</v>
      </c>
      <c r="G949" s="75" t="n">
        <v>1101</v>
      </c>
      <c r="H949" s="76" t="n">
        <v>271000</v>
      </c>
      <c r="I949" s="75" t="inlineStr">
        <is>
          <t>5월 회의 다과 - (법인카드)</t>
        </is>
      </c>
      <c r="J949" s="75" t="inlineStr">
        <is>
          <t>V10008</t>
        </is>
      </c>
      <c r="K949" s="75" t="inlineStr">
        <is>
          <t>(법인카드)</t>
        </is>
      </c>
      <c r="M949" s="9">
        <f>IF($A949="","",VALUE($A949&amp;"")*12+VALUE($B949&amp;""))</f>
        <v/>
      </c>
      <c r="N949" s="39">
        <f>IF($A949="","",IFERROR(INDEX(부서매핑!$C$5:$C$504,MATCH($G949&amp;"",부서매핑!$A$5:$A$504,0)),"미매핑"))</f>
        <v/>
      </c>
      <c r="O949" s="9">
        <f>IF($A949="","",N949&amp;"|"&amp;$F949)</f>
        <v/>
      </c>
      <c r="P949" s="77">
        <f>IF($A949="",0,$H949*설정!$C$23)</f>
        <v/>
      </c>
      <c r="Q949" s="39">
        <f>IF($A949="","",IF(O949&lt;&gt;원인분석!$C$9,"",IF(AND(M949&gt;=원인분석!$C$10,M949&lt;=원인분석!$C$11),"당기",IF(AND(M949&gt;=원인분석!$C$12,M949&lt;=원인분석!$C$13),"비교",""))))</f>
        <v/>
      </c>
      <c r="R949" s="9">
        <f>IF(Q949="","",$K949&amp;"")</f>
        <v/>
      </c>
      <c r="S949" s="9">
        <f>IF(Q949="","",IF(MATCH(R949,$R$5:$R$100000,0)=ROW()-4,ROW(),""))</f>
        <v/>
      </c>
      <c r="T949" s="9">
        <f>IF(Q949="당기",ABS(P949)+ROW()/1000000000,"")</f>
        <v/>
      </c>
      <c r="U949" s="9">
        <f>IF(Q949="비교",ABS(P949)+ROW()/1000000000,"")</f>
        <v/>
      </c>
      <c r="V949" s="39">
        <f>IF($A949="","",IF(COUNTIF(변동분석!$E$7:$E$506,O949)&gt;0,"Y","N"))</f>
        <v/>
      </c>
      <c r="W949" s="39">
        <f>IF($A949="","",IFERROR(INDEX(계정매핑!$D$5:$D$504,MATCH($F949&amp;"",계정매핑!$A$5:$A$504,0)),"미매핑"))</f>
        <v/>
      </c>
      <c r="X949" s="9">
        <f>IF($A949="","",$F949&amp;"")</f>
        <v/>
      </c>
    </row>
    <row r="950">
      <c r="A950" s="75" t="n">
        <v>2025</v>
      </c>
      <c r="B950" s="75" t="n">
        <v>5</v>
      </c>
      <c r="C950" s="75" t="inlineStr">
        <is>
          <t>5100000946</t>
        </is>
      </c>
      <c r="D950" s="78" t="n">
        <v>45800</v>
      </c>
      <c r="E950" s="75" t="inlineStr">
        <is>
          <t>KR</t>
        </is>
      </c>
      <c r="F950" s="75" t="n">
        <v>62501000</v>
      </c>
      <c r="G950" s="75" t="n">
        <v>1501</v>
      </c>
      <c r="H950" s="76" t="n">
        <v>231000</v>
      </c>
      <c r="I950" s="75" t="inlineStr">
        <is>
          <t>5월 회의 다과 - (법인카드)</t>
        </is>
      </c>
      <c r="J950" s="75" t="inlineStr">
        <is>
          <t>V10008</t>
        </is>
      </c>
      <c r="K950" s="75" t="inlineStr">
        <is>
          <t>(법인카드)</t>
        </is>
      </c>
      <c r="M950" s="9">
        <f>IF($A950="","",VALUE($A950&amp;"")*12+VALUE($B950&amp;""))</f>
        <v/>
      </c>
      <c r="N950" s="39">
        <f>IF($A950="","",IFERROR(INDEX(부서매핑!$C$5:$C$504,MATCH($G950&amp;"",부서매핑!$A$5:$A$504,0)),"미매핑"))</f>
        <v/>
      </c>
      <c r="O950" s="9">
        <f>IF($A950="","",N950&amp;"|"&amp;$F950)</f>
        <v/>
      </c>
      <c r="P950" s="77">
        <f>IF($A950="",0,$H950*설정!$C$23)</f>
        <v/>
      </c>
      <c r="Q950" s="39">
        <f>IF($A950="","",IF(O950&lt;&gt;원인분석!$C$9,"",IF(AND(M950&gt;=원인분석!$C$10,M950&lt;=원인분석!$C$11),"당기",IF(AND(M950&gt;=원인분석!$C$12,M950&lt;=원인분석!$C$13),"비교",""))))</f>
        <v/>
      </c>
      <c r="R950" s="9">
        <f>IF(Q950="","",$K950&amp;"")</f>
        <v/>
      </c>
      <c r="S950" s="9">
        <f>IF(Q950="","",IF(MATCH(R950,$R$5:$R$100000,0)=ROW()-4,ROW(),""))</f>
        <v/>
      </c>
      <c r="T950" s="9">
        <f>IF(Q950="당기",ABS(P950)+ROW()/1000000000,"")</f>
        <v/>
      </c>
      <c r="U950" s="9">
        <f>IF(Q950="비교",ABS(P950)+ROW()/1000000000,"")</f>
        <v/>
      </c>
      <c r="V950" s="39">
        <f>IF($A950="","",IF(COUNTIF(변동분석!$E$7:$E$506,O950)&gt;0,"Y","N"))</f>
        <v/>
      </c>
      <c r="W950" s="39">
        <f>IF($A950="","",IFERROR(INDEX(계정매핑!$D$5:$D$504,MATCH($F950&amp;"",계정매핑!$A$5:$A$504,0)),"미매핑"))</f>
        <v/>
      </c>
      <c r="X950" s="9">
        <f>IF($A950="","",$F950&amp;"")</f>
        <v/>
      </c>
    </row>
    <row r="951">
      <c r="A951" s="75" t="n">
        <v>2025</v>
      </c>
      <c r="B951" s="75" t="n">
        <v>5</v>
      </c>
      <c r="C951" s="75" t="inlineStr">
        <is>
          <t>5100000947</t>
        </is>
      </c>
      <c r="D951" s="78" t="n">
        <v>45800</v>
      </c>
      <c r="E951" s="75" t="inlineStr">
        <is>
          <t>KR</t>
        </is>
      </c>
      <c r="F951" s="75" t="n">
        <v>62701000</v>
      </c>
      <c r="G951" s="75" t="n">
        <v>1501</v>
      </c>
      <c r="H951" s="76" t="n">
        <v>40902000</v>
      </c>
      <c r="I951" s="75" t="inlineStr">
        <is>
          <t>5월 광고 집행 - F애드</t>
        </is>
      </c>
      <c r="J951" s="75" t="inlineStr">
        <is>
          <t>V10019</t>
        </is>
      </c>
      <c r="K951" s="75" t="inlineStr">
        <is>
          <t>F애드</t>
        </is>
      </c>
      <c r="M951" s="9">
        <f>IF($A951="","",VALUE($A951&amp;"")*12+VALUE($B951&amp;""))</f>
        <v/>
      </c>
      <c r="N951" s="39">
        <f>IF($A951="","",IFERROR(INDEX(부서매핑!$C$5:$C$504,MATCH($G951&amp;"",부서매핑!$A$5:$A$504,0)),"미매핑"))</f>
        <v/>
      </c>
      <c r="O951" s="9">
        <f>IF($A951="","",N951&amp;"|"&amp;$F951)</f>
        <v/>
      </c>
      <c r="P951" s="77">
        <f>IF($A951="",0,$H951*설정!$C$23)</f>
        <v/>
      </c>
      <c r="Q951" s="39">
        <f>IF($A951="","",IF(O951&lt;&gt;원인분석!$C$9,"",IF(AND(M951&gt;=원인분석!$C$10,M951&lt;=원인분석!$C$11),"당기",IF(AND(M951&gt;=원인분석!$C$12,M951&lt;=원인분석!$C$13),"비교",""))))</f>
        <v/>
      </c>
      <c r="R951" s="9">
        <f>IF(Q951="","",$K951&amp;"")</f>
        <v/>
      </c>
      <c r="S951" s="9">
        <f>IF(Q951="","",IF(MATCH(R951,$R$5:$R$100000,0)=ROW()-4,ROW(),""))</f>
        <v/>
      </c>
      <c r="T951" s="9">
        <f>IF(Q951="당기",ABS(P951)+ROW()/1000000000,"")</f>
        <v/>
      </c>
      <c r="U951" s="9">
        <f>IF(Q951="비교",ABS(P951)+ROW()/1000000000,"")</f>
        <v/>
      </c>
      <c r="V951" s="39">
        <f>IF($A951="","",IF(COUNTIF(변동분석!$E$7:$E$506,O951)&gt;0,"Y","N"))</f>
        <v/>
      </c>
      <c r="W951" s="39">
        <f>IF($A951="","",IFERROR(INDEX(계정매핑!$D$5:$D$504,MATCH($F951&amp;"",계정매핑!$A$5:$A$504,0)),"미매핑"))</f>
        <v/>
      </c>
      <c r="X951" s="9">
        <f>IF($A951="","",$F951&amp;"")</f>
        <v/>
      </c>
    </row>
    <row r="952">
      <c r="A952" s="75" t="n">
        <v>2025</v>
      </c>
      <c r="B952" s="75" t="n">
        <v>5</v>
      </c>
      <c r="C952" s="75" t="inlineStr">
        <is>
          <t>5100000948</t>
        </is>
      </c>
      <c r="D952" s="78" t="n">
        <v>45800</v>
      </c>
      <c r="E952" s="75" t="inlineStr">
        <is>
          <t>KR</t>
        </is>
      </c>
      <c r="F952" s="75" t="n">
        <v>62902000</v>
      </c>
      <c r="G952" s="75" t="n">
        <v>1401</v>
      </c>
      <c r="H952" s="76" t="n">
        <v>4488000</v>
      </c>
      <c r="I952" s="75" t="inlineStr">
        <is>
          <t>5월 업무 위탁 수수료 - X서비스</t>
        </is>
      </c>
      <c r="J952" s="75" t="inlineStr">
        <is>
          <t>V10016</t>
        </is>
      </c>
      <c r="K952" s="75" t="inlineStr">
        <is>
          <t>X서비스</t>
        </is>
      </c>
      <c r="M952" s="9">
        <f>IF($A952="","",VALUE($A952&amp;"")*12+VALUE($B952&amp;""))</f>
        <v/>
      </c>
      <c r="N952" s="39">
        <f>IF($A952="","",IFERROR(INDEX(부서매핑!$C$5:$C$504,MATCH($G952&amp;"",부서매핑!$A$5:$A$504,0)),"미매핑"))</f>
        <v/>
      </c>
      <c r="O952" s="9">
        <f>IF($A952="","",N952&amp;"|"&amp;$F952)</f>
        <v/>
      </c>
      <c r="P952" s="77">
        <f>IF($A952="",0,$H952*설정!$C$23)</f>
        <v/>
      </c>
      <c r="Q952" s="39">
        <f>IF($A952="","",IF(O952&lt;&gt;원인분석!$C$9,"",IF(AND(M952&gt;=원인분석!$C$10,M952&lt;=원인분석!$C$11),"당기",IF(AND(M952&gt;=원인분석!$C$12,M952&lt;=원인분석!$C$13),"비교",""))))</f>
        <v/>
      </c>
      <c r="R952" s="9">
        <f>IF(Q952="","",$K952&amp;"")</f>
        <v/>
      </c>
      <c r="S952" s="9">
        <f>IF(Q952="","",IF(MATCH(R952,$R$5:$R$100000,0)=ROW()-4,ROW(),""))</f>
        <v/>
      </c>
      <c r="T952" s="9">
        <f>IF(Q952="당기",ABS(P952)+ROW()/1000000000,"")</f>
        <v/>
      </c>
      <c r="U952" s="9">
        <f>IF(Q952="비교",ABS(P952)+ROW()/1000000000,"")</f>
        <v/>
      </c>
      <c r="V952" s="39">
        <f>IF($A952="","",IF(COUNTIF(변동분석!$E$7:$E$506,O952)&gt;0,"Y","N"))</f>
        <v/>
      </c>
      <c r="W952" s="39">
        <f>IF($A952="","",IFERROR(INDEX(계정매핑!$D$5:$D$504,MATCH($F952&amp;"",계정매핑!$A$5:$A$504,0)),"미매핑"))</f>
        <v/>
      </c>
      <c r="X952" s="9">
        <f>IF($A952="","",$F952&amp;"")</f>
        <v/>
      </c>
    </row>
    <row r="953">
      <c r="A953" s="75" t="n">
        <v>2025</v>
      </c>
      <c r="B953" s="75" t="n">
        <v>5</v>
      </c>
      <c r="C953" s="75" t="inlineStr">
        <is>
          <t>5100000949</t>
        </is>
      </c>
      <c r="D953" s="78" t="n">
        <v>45801</v>
      </c>
      <c r="E953" s="75" t="inlineStr">
        <is>
          <t>KR</t>
        </is>
      </c>
      <c r="F953" s="75" t="n">
        <v>62102000</v>
      </c>
      <c r="G953" s="75" t="n">
        <v>1602</v>
      </c>
      <c r="H953" s="76" t="n">
        <v>376000</v>
      </c>
      <c r="I953" s="75" t="inlineStr">
        <is>
          <t>5월 해외출장 - N호텔</t>
        </is>
      </c>
      <c r="J953" s="75" t="inlineStr">
        <is>
          <t>V10007</t>
        </is>
      </c>
      <c r="K953" s="75" t="inlineStr">
        <is>
          <t>N호텔</t>
        </is>
      </c>
      <c r="M953" s="9">
        <f>IF($A953="","",VALUE($A953&amp;"")*12+VALUE($B953&amp;""))</f>
        <v/>
      </c>
      <c r="N953" s="39">
        <f>IF($A953="","",IFERROR(INDEX(부서매핑!$C$5:$C$504,MATCH($G953&amp;"",부서매핑!$A$5:$A$504,0)),"미매핑"))</f>
        <v/>
      </c>
      <c r="O953" s="9">
        <f>IF($A953="","",N953&amp;"|"&amp;$F953)</f>
        <v/>
      </c>
      <c r="P953" s="77">
        <f>IF($A953="",0,$H953*설정!$C$23)</f>
        <v/>
      </c>
      <c r="Q953" s="39">
        <f>IF($A953="","",IF(O953&lt;&gt;원인분석!$C$9,"",IF(AND(M953&gt;=원인분석!$C$10,M953&lt;=원인분석!$C$11),"당기",IF(AND(M953&gt;=원인분석!$C$12,M953&lt;=원인분석!$C$13),"비교",""))))</f>
        <v/>
      </c>
      <c r="R953" s="9">
        <f>IF(Q953="","",$K953&amp;"")</f>
        <v/>
      </c>
      <c r="S953" s="9">
        <f>IF(Q953="","",IF(MATCH(R953,$R$5:$R$100000,0)=ROW()-4,ROW(),""))</f>
        <v/>
      </c>
      <c r="T953" s="9">
        <f>IF(Q953="당기",ABS(P953)+ROW()/1000000000,"")</f>
        <v/>
      </c>
      <c r="U953" s="9">
        <f>IF(Q953="비교",ABS(P953)+ROW()/1000000000,"")</f>
        <v/>
      </c>
      <c r="V953" s="39">
        <f>IF($A953="","",IF(COUNTIF(변동분석!$E$7:$E$506,O953)&gt;0,"Y","N"))</f>
        <v/>
      </c>
      <c r="W953" s="39">
        <f>IF($A953="","",IFERROR(INDEX(계정매핑!$D$5:$D$504,MATCH($F953&amp;"",계정매핑!$A$5:$A$504,0)),"미매핑"))</f>
        <v/>
      </c>
      <c r="X953" s="9">
        <f>IF($A953="","",$F953&amp;"")</f>
        <v/>
      </c>
    </row>
    <row r="954">
      <c r="A954" s="75" t="n">
        <v>2025</v>
      </c>
      <c r="B954" s="75" t="n">
        <v>5</v>
      </c>
      <c r="C954" s="75" t="inlineStr">
        <is>
          <t>5100000950</t>
        </is>
      </c>
      <c r="D954" s="78" t="n">
        <v>45801</v>
      </c>
      <c r="E954" s="75" t="inlineStr">
        <is>
          <t>KR</t>
        </is>
      </c>
      <c r="F954" s="75" t="n">
        <v>62201000</v>
      </c>
      <c r="G954" s="75" t="n">
        <v>1501</v>
      </c>
      <c r="H954" s="76" t="n">
        <v>367000</v>
      </c>
      <c r="I954" s="75" t="inlineStr">
        <is>
          <t>5월 통신요금 - P통신</t>
        </is>
      </c>
      <c r="J954" s="75" t="inlineStr">
        <is>
          <t>V10011</t>
        </is>
      </c>
      <c r="K954" s="75" t="inlineStr">
        <is>
          <t>P통신</t>
        </is>
      </c>
      <c r="M954" s="9">
        <f>IF($A954="","",VALUE($A954&amp;"")*12+VALUE($B954&amp;""))</f>
        <v/>
      </c>
      <c r="N954" s="39">
        <f>IF($A954="","",IFERROR(INDEX(부서매핑!$C$5:$C$504,MATCH($G954&amp;"",부서매핑!$A$5:$A$504,0)),"미매핑"))</f>
        <v/>
      </c>
      <c r="O954" s="9">
        <f>IF($A954="","",N954&amp;"|"&amp;$F954)</f>
        <v/>
      </c>
      <c r="P954" s="77">
        <f>IF($A954="",0,$H954*설정!$C$23)</f>
        <v/>
      </c>
      <c r="Q954" s="39">
        <f>IF($A954="","",IF(O954&lt;&gt;원인분석!$C$9,"",IF(AND(M954&gt;=원인분석!$C$10,M954&lt;=원인분석!$C$11),"당기",IF(AND(M954&gt;=원인분석!$C$12,M954&lt;=원인분석!$C$13),"비교",""))))</f>
        <v/>
      </c>
      <c r="R954" s="9">
        <f>IF(Q954="","",$K954&amp;"")</f>
        <v/>
      </c>
      <c r="S954" s="9">
        <f>IF(Q954="","",IF(MATCH(R954,$R$5:$R$100000,0)=ROW()-4,ROW(),""))</f>
        <v/>
      </c>
      <c r="T954" s="9">
        <f>IF(Q954="당기",ABS(P954)+ROW()/1000000000,"")</f>
        <v/>
      </c>
      <c r="U954" s="9">
        <f>IF(Q954="비교",ABS(P954)+ROW()/1000000000,"")</f>
        <v/>
      </c>
      <c r="V954" s="39">
        <f>IF($A954="","",IF(COUNTIF(변동분석!$E$7:$E$506,O954)&gt;0,"Y","N"))</f>
        <v/>
      </c>
      <c r="W954" s="39">
        <f>IF($A954="","",IFERROR(INDEX(계정매핑!$D$5:$D$504,MATCH($F954&amp;"",계정매핑!$A$5:$A$504,0)),"미매핑"))</f>
        <v/>
      </c>
      <c r="X954" s="9">
        <f>IF($A954="","",$F954&amp;"")</f>
        <v/>
      </c>
    </row>
    <row r="955">
      <c r="A955" s="75" t="n">
        <v>2025</v>
      </c>
      <c r="B955" s="75" t="n">
        <v>5</v>
      </c>
      <c r="C955" s="75" t="inlineStr">
        <is>
          <t>5100000951</t>
        </is>
      </c>
      <c r="D955" s="78" t="n">
        <v>45801</v>
      </c>
      <c r="E955" s="75" t="inlineStr">
        <is>
          <t>KR</t>
        </is>
      </c>
      <c r="F955" s="75" t="n">
        <v>62301000</v>
      </c>
      <c r="G955" s="75" t="n">
        <v>1201</v>
      </c>
      <c r="H955" s="76" t="n">
        <v>146000</v>
      </c>
      <c r="I955" s="75" t="inlineStr">
        <is>
          <t>5월 소모품 구입 - Q오피스</t>
        </is>
      </c>
      <c r="J955" s="75" t="inlineStr">
        <is>
          <t>V10003</t>
        </is>
      </c>
      <c r="K955" s="75" t="inlineStr">
        <is>
          <t>Q오피스</t>
        </is>
      </c>
      <c r="M955" s="9">
        <f>IF($A955="","",VALUE($A955&amp;"")*12+VALUE($B955&amp;""))</f>
        <v/>
      </c>
      <c r="N955" s="39">
        <f>IF($A955="","",IFERROR(INDEX(부서매핑!$C$5:$C$504,MATCH($G955&amp;"",부서매핑!$A$5:$A$504,0)),"미매핑"))</f>
        <v/>
      </c>
      <c r="O955" s="9">
        <f>IF($A955="","",N955&amp;"|"&amp;$F955)</f>
        <v/>
      </c>
      <c r="P955" s="77">
        <f>IF($A955="",0,$H955*설정!$C$23)</f>
        <v/>
      </c>
      <c r="Q955" s="39">
        <f>IF($A955="","",IF(O955&lt;&gt;원인분석!$C$9,"",IF(AND(M955&gt;=원인분석!$C$10,M955&lt;=원인분석!$C$11),"당기",IF(AND(M955&gt;=원인분석!$C$12,M955&lt;=원인분석!$C$13),"비교",""))))</f>
        <v/>
      </c>
      <c r="R955" s="9">
        <f>IF(Q955="","",$K955&amp;"")</f>
        <v/>
      </c>
      <c r="S955" s="9">
        <f>IF(Q955="","",IF(MATCH(R955,$R$5:$R$100000,0)=ROW()-4,ROW(),""))</f>
        <v/>
      </c>
      <c r="T955" s="9">
        <f>IF(Q955="당기",ABS(P955)+ROW()/1000000000,"")</f>
        <v/>
      </c>
      <c r="U955" s="9">
        <f>IF(Q955="비교",ABS(P955)+ROW()/1000000000,"")</f>
        <v/>
      </c>
      <c r="V955" s="39">
        <f>IF($A955="","",IF(COUNTIF(변동분석!$E$7:$E$506,O955)&gt;0,"Y","N"))</f>
        <v/>
      </c>
      <c r="W955" s="39">
        <f>IF($A955="","",IFERROR(INDEX(계정매핑!$D$5:$D$504,MATCH($F955&amp;"",계정매핑!$A$5:$A$504,0)),"미매핑"))</f>
        <v/>
      </c>
      <c r="X955" s="9">
        <f>IF($A955="","",$F955&amp;"")</f>
        <v/>
      </c>
    </row>
    <row r="956">
      <c r="A956" s="75" t="n">
        <v>2025</v>
      </c>
      <c r="B956" s="75" t="n">
        <v>5</v>
      </c>
      <c r="C956" s="75" t="inlineStr">
        <is>
          <t>5100000952</t>
        </is>
      </c>
      <c r="D956" s="78" t="n">
        <v>45801</v>
      </c>
      <c r="E956" s="75" t="inlineStr">
        <is>
          <t>KR</t>
        </is>
      </c>
      <c r="F956" s="75" t="n">
        <v>62401000</v>
      </c>
      <c r="G956" s="75" t="n">
        <v>1401</v>
      </c>
      <c r="H956" s="76" t="n">
        <v>512000</v>
      </c>
      <c r="I956" s="75" t="inlineStr">
        <is>
          <t>5월 인쇄물 제작 - S출판</t>
        </is>
      </c>
      <c r="J956" s="75" t="inlineStr">
        <is>
          <t>V10012</t>
        </is>
      </c>
      <c r="K956" s="75" t="inlineStr">
        <is>
          <t>S출판</t>
        </is>
      </c>
      <c r="M956" s="9">
        <f>IF($A956="","",VALUE($A956&amp;"")*12+VALUE($B956&amp;""))</f>
        <v/>
      </c>
      <c r="N956" s="39">
        <f>IF($A956="","",IFERROR(INDEX(부서매핑!$C$5:$C$504,MATCH($G956&amp;"",부서매핑!$A$5:$A$504,0)),"미매핑"))</f>
        <v/>
      </c>
      <c r="O956" s="9">
        <f>IF($A956="","",N956&amp;"|"&amp;$F956)</f>
        <v/>
      </c>
      <c r="P956" s="77">
        <f>IF($A956="",0,$H956*설정!$C$23)</f>
        <v/>
      </c>
      <c r="Q956" s="39">
        <f>IF($A956="","",IF(O956&lt;&gt;원인분석!$C$9,"",IF(AND(M956&gt;=원인분석!$C$10,M956&lt;=원인분석!$C$11),"당기",IF(AND(M956&gt;=원인분석!$C$12,M956&lt;=원인분석!$C$13),"비교",""))))</f>
        <v/>
      </c>
      <c r="R956" s="9">
        <f>IF(Q956="","",$K956&amp;"")</f>
        <v/>
      </c>
      <c r="S956" s="9">
        <f>IF(Q956="","",IF(MATCH(R956,$R$5:$R$100000,0)=ROW()-4,ROW(),""))</f>
        <v/>
      </c>
      <c r="T956" s="9">
        <f>IF(Q956="당기",ABS(P956)+ROW()/1000000000,"")</f>
        <v/>
      </c>
      <c r="U956" s="9">
        <f>IF(Q956="비교",ABS(P956)+ROW()/1000000000,"")</f>
        <v/>
      </c>
      <c r="V956" s="39">
        <f>IF($A956="","",IF(COUNTIF(변동분석!$E$7:$E$506,O956)&gt;0,"Y","N"))</f>
        <v/>
      </c>
      <c r="W956" s="39">
        <f>IF($A956="","",IFERROR(INDEX(계정매핑!$D$5:$D$504,MATCH($F956&amp;"",계정매핑!$A$5:$A$504,0)),"미매핑"))</f>
        <v/>
      </c>
      <c r="X956" s="9">
        <f>IF($A956="","",$F956&amp;"")</f>
        <v/>
      </c>
    </row>
    <row r="957">
      <c r="A957" s="75" t="n">
        <v>2025</v>
      </c>
      <c r="B957" s="75" t="n">
        <v>5</v>
      </c>
      <c r="C957" s="75" t="inlineStr">
        <is>
          <t>5100000953</t>
        </is>
      </c>
      <c r="D957" s="78" t="n">
        <v>45801</v>
      </c>
      <c r="E957" s="75" t="inlineStr">
        <is>
          <t>KR</t>
        </is>
      </c>
      <c r="F957" s="75" t="n">
        <v>62401000</v>
      </c>
      <c r="G957" s="75" t="n">
        <v>1801</v>
      </c>
      <c r="H957" s="76" t="n">
        <v>1919000</v>
      </c>
      <c r="I957" s="75" t="inlineStr">
        <is>
          <t>5월 인쇄물 제작 - S출판</t>
        </is>
      </c>
      <c r="J957" s="75" t="inlineStr">
        <is>
          <t>V10012</t>
        </is>
      </c>
      <c r="K957" s="75" t="inlineStr">
        <is>
          <t>S출판</t>
        </is>
      </c>
      <c r="M957" s="9">
        <f>IF($A957="","",VALUE($A957&amp;"")*12+VALUE($B957&amp;""))</f>
        <v/>
      </c>
      <c r="N957" s="39">
        <f>IF($A957="","",IFERROR(INDEX(부서매핑!$C$5:$C$504,MATCH($G957&amp;"",부서매핑!$A$5:$A$504,0)),"미매핑"))</f>
        <v/>
      </c>
      <c r="O957" s="9">
        <f>IF($A957="","",N957&amp;"|"&amp;$F957)</f>
        <v/>
      </c>
      <c r="P957" s="77">
        <f>IF($A957="",0,$H957*설정!$C$23)</f>
        <v/>
      </c>
      <c r="Q957" s="39">
        <f>IF($A957="","",IF(O957&lt;&gt;원인분석!$C$9,"",IF(AND(M957&gt;=원인분석!$C$10,M957&lt;=원인분석!$C$11),"당기",IF(AND(M957&gt;=원인분석!$C$12,M957&lt;=원인분석!$C$13),"비교",""))))</f>
        <v/>
      </c>
      <c r="R957" s="9">
        <f>IF(Q957="","",$K957&amp;"")</f>
        <v/>
      </c>
      <c r="S957" s="9">
        <f>IF(Q957="","",IF(MATCH(R957,$R$5:$R$100000,0)=ROW()-4,ROW(),""))</f>
        <v/>
      </c>
      <c r="T957" s="9">
        <f>IF(Q957="당기",ABS(P957)+ROW()/1000000000,"")</f>
        <v/>
      </c>
      <c r="U957" s="9">
        <f>IF(Q957="비교",ABS(P957)+ROW()/1000000000,"")</f>
        <v/>
      </c>
      <c r="V957" s="39">
        <f>IF($A957="","",IF(COUNTIF(변동분석!$E$7:$E$506,O957)&gt;0,"Y","N"))</f>
        <v/>
      </c>
      <c r="W957" s="39">
        <f>IF($A957="","",IFERROR(INDEX(계정매핑!$D$5:$D$504,MATCH($F957&amp;"",계정매핑!$A$5:$A$504,0)),"미매핑"))</f>
        <v/>
      </c>
      <c r="X957" s="9">
        <f>IF($A957="","",$F957&amp;"")</f>
        <v/>
      </c>
    </row>
    <row r="958">
      <c r="A958" s="75" t="n">
        <v>2025</v>
      </c>
      <c r="B958" s="75" t="n">
        <v>5</v>
      </c>
      <c r="C958" s="75" t="inlineStr">
        <is>
          <t>5100000954</t>
        </is>
      </c>
      <c r="D958" s="78" t="n">
        <v>45801</v>
      </c>
      <c r="E958" s="75" t="inlineStr">
        <is>
          <t>KR</t>
        </is>
      </c>
      <c r="F958" s="75" t="n">
        <v>62501000</v>
      </c>
      <c r="G958" s="75" t="n">
        <v>1701</v>
      </c>
      <c r="H958" s="76" t="n">
        <v>116000</v>
      </c>
      <c r="I958" s="75" t="inlineStr">
        <is>
          <t>5월 회의 다과 - (법인카드)</t>
        </is>
      </c>
      <c r="J958" s="75" t="inlineStr">
        <is>
          <t>V10008</t>
        </is>
      </c>
      <c r="K958" s="75" t="inlineStr">
        <is>
          <t>(법인카드)</t>
        </is>
      </c>
      <c r="M958" s="9">
        <f>IF($A958="","",VALUE($A958&amp;"")*12+VALUE($B958&amp;""))</f>
        <v/>
      </c>
      <c r="N958" s="39">
        <f>IF($A958="","",IFERROR(INDEX(부서매핑!$C$5:$C$504,MATCH($G958&amp;"",부서매핑!$A$5:$A$504,0)),"미매핑"))</f>
        <v/>
      </c>
      <c r="O958" s="9">
        <f>IF($A958="","",N958&amp;"|"&amp;$F958)</f>
        <v/>
      </c>
      <c r="P958" s="77">
        <f>IF($A958="",0,$H958*설정!$C$23)</f>
        <v/>
      </c>
      <c r="Q958" s="39">
        <f>IF($A958="","",IF(O958&lt;&gt;원인분석!$C$9,"",IF(AND(M958&gt;=원인분석!$C$10,M958&lt;=원인분석!$C$11),"당기",IF(AND(M958&gt;=원인분석!$C$12,M958&lt;=원인분석!$C$13),"비교",""))))</f>
        <v/>
      </c>
      <c r="R958" s="9">
        <f>IF(Q958="","",$K958&amp;"")</f>
        <v/>
      </c>
      <c r="S958" s="9">
        <f>IF(Q958="","",IF(MATCH(R958,$R$5:$R$100000,0)=ROW()-4,ROW(),""))</f>
        <v/>
      </c>
      <c r="T958" s="9">
        <f>IF(Q958="당기",ABS(P958)+ROW()/1000000000,"")</f>
        <v/>
      </c>
      <c r="U958" s="9">
        <f>IF(Q958="비교",ABS(P958)+ROW()/1000000000,"")</f>
        <v/>
      </c>
      <c r="V958" s="39">
        <f>IF($A958="","",IF(COUNTIF(변동분석!$E$7:$E$506,O958)&gt;0,"Y","N"))</f>
        <v/>
      </c>
      <c r="W958" s="39">
        <f>IF($A958="","",IFERROR(INDEX(계정매핑!$D$5:$D$504,MATCH($F958&amp;"",계정매핑!$A$5:$A$504,0)),"미매핑"))</f>
        <v/>
      </c>
      <c r="X958" s="9">
        <f>IF($A958="","",$F958&amp;"")</f>
        <v/>
      </c>
    </row>
    <row r="959">
      <c r="A959" s="75" t="n">
        <v>2025</v>
      </c>
      <c r="B959" s="75" t="n">
        <v>5</v>
      </c>
      <c r="C959" s="75" t="inlineStr">
        <is>
          <t>5100000955</t>
        </is>
      </c>
      <c r="D959" s="78" t="n">
        <v>45802</v>
      </c>
      <c r="E959" s="75" t="inlineStr">
        <is>
          <t>KR</t>
        </is>
      </c>
      <c r="F959" s="75" t="n">
        <v>62101000</v>
      </c>
      <c r="G959" s="75" t="n">
        <v>1101</v>
      </c>
      <c r="H959" s="76" t="n">
        <v>588000</v>
      </c>
      <c r="I959" s="75" t="inlineStr">
        <is>
          <t>5월 국내출장 - (법인카드)</t>
        </is>
      </c>
      <c r="J959" s="75" t="inlineStr">
        <is>
          <t>V10008</t>
        </is>
      </c>
      <c r="K959" s="75" t="inlineStr">
        <is>
          <t>(법인카드)</t>
        </is>
      </c>
      <c r="M959" s="9">
        <f>IF($A959="","",VALUE($A959&amp;"")*12+VALUE($B959&amp;""))</f>
        <v/>
      </c>
      <c r="N959" s="39">
        <f>IF($A959="","",IFERROR(INDEX(부서매핑!$C$5:$C$504,MATCH($G959&amp;"",부서매핑!$A$5:$A$504,0)),"미매핑"))</f>
        <v/>
      </c>
      <c r="O959" s="9">
        <f>IF($A959="","",N959&amp;"|"&amp;$F959)</f>
        <v/>
      </c>
      <c r="P959" s="77">
        <f>IF($A959="",0,$H959*설정!$C$23)</f>
        <v/>
      </c>
      <c r="Q959" s="39">
        <f>IF($A959="","",IF(O959&lt;&gt;원인분석!$C$9,"",IF(AND(M959&gt;=원인분석!$C$10,M959&lt;=원인분석!$C$11),"당기",IF(AND(M959&gt;=원인분석!$C$12,M959&lt;=원인분석!$C$13),"비교",""))))</f>
        <v/>
      </c>
      <c r="R959" s="9">
        <f>IF(Q959="","",$K959&amp;"")</f>
        <v/>
      </c>
      <c r="S959" s="9">
        <f>IF(Q959="","",IF(MATCH(R959,$R$5:$R$100000,0)=ROW()-4,ROW(),""))</f>
        <v/>
      </c>
      <c r="T959" s="9">
        <f>IF(Q959="당기",ABS(P959)+ROW()/1000000000,"")</f>
        <v/>
      </c>
      <c r="U959" s="9">
        <f>IF(Q959="비교",ABS(P959)+ROW()/1000000000,"")</f>
        <v/>
      </c>
      <c r="V959" s="39">
        <f>IF($A959="","",IF(COUNTIF(변동분석!$E$7:$E$506,O959)&gt;0,"Y","N"))</f>
        <v/>
      </c>
      <c r="W959" s="39">
        <f>IF($A959="","",IFERROR(INDEX(계정매핑!$D$5:$D$504,MATCH($F959&amp;"",계정매핑!$A$5:$A$504,0)),"미매핑"))</f>
        <v/>
      </c>
      <c r="X959" s="9">
        <f>IF($A959="","",$F959&amp;"")</f>
        <v/>
      </c>
    </row>
    <row r="960">
      <c r="A960" s="75" t="n">
        <v>2025</v>
      </c>
      <c r="B960" s="75" t="n">
        <v>5</v>
      </c>
      <c r="C960" s="75" t="inlineStr">
        <is>
          <t>5100000956</t>
        </is>
      </c>
      <c r="D960" s="78" t="n">
        <v>45802</v>
      </c>
      <c r="E960" s="75" t="inlineStr">
        <is>
          <t>KR</t>
        </is>
      </c>
      <c r="F960" s="75" t="n">
        <v>62101000</v>
      </c>
      <c r="G960" s="75" t="n">
        <v>1301</v>
      </c>
      <c r="H960" s="76" t="n">
        <v>368000</v>
      </c>
      <c r="I960" s="75" t="inlineStr">
        <is>
          <t>5월 국내출장 - M항공</t>
        </is>
      </c>
      <c r="J960" s="75" t="inlineStr">
        <is>
          <t>V10001</t>
        </is>
      </c>
      <c r="K960" s="75" t="inlineStr">
        <is>
          <t>M항공</t>
        </is>
      </c>
      <c r="M960" s="9">
        <f>IF($A960="","",VALUE($A960&amp;"")*12+VALUE($B960&amp;""))</f>
        <v/>
      </c>
      <c r="N960" s="39">
        <f>IF($A960="","",IFERROR(INDEX(부서매핑!$C$5:$C$504,MATCH($G960&amp;"",부서매핑!$A$5:$A$504,0)),"미매핑"))</f>
        <v/>
      </c>
      <c r="O960" s="9">
        <f>IF($A960="","",N960&amp;"|"&amp;$F960)</f>
        <v/>
      </c>
      <c r="P960" s="77">
        <f>IF($A960="",0,$H960*설정!$C$23)</f>
        <v/>
      </c>
      <c r="Q960" s="39">
        <f>IF($A960="","",IF(O960&lt;&gt;원인분석!$C$9,"",IF(AND(M960&gt;=원인분석!$C$10,M960&lt;=원인분석!$C$11),"당기",IF(AND(M960&gt;=원인분석!$C$12,M960&lt;=원인분석!$C$13),"비교",""))))</f>
        <v/>
      </c>
      <c r="R960" s="9">
        <f>IF(Q960="","",$K960&amp;"")</f>
        <v/>
      </c>
      <c r="S960" s="9">
        <f>IF(Q960="","",IF(MATCH(R960,$R$5:$R$100000,0)=ROW()-4,ROW(),""))</f>
        <v/>
      </c>
      <c r="T960" s="9">
        <f>IF(Q960="당기",ABS(P960)+ROW()/1000000000,"")</f>
        <v/>
      </c>
      <c r="U960" s="9">
        <f>IF(Q960="비교",ABS(P960)+ROW()/1000000000,"")</f>
        <v/>
      </c>
      <c r="V960" s="39">
        <f>IF($A960="","",IF(COUNTIF(변동분석!$E$7:$E$506,O960)&gt;0,"Y","N"))</f>
        <v/>
      </c>
      <c r="W960" s="39">
        <f>IF($A960="","",IFERROR(INDEX(계정매핑!$D$5:$D$504,MATCH($F960&amp;"",계정매핑!$A$5:$A$504,0)),"미매핑"))</f>
        <v/>
      </c>
      <c r="X960" s="9">
        <f>IF($A960="","",$F960&amp;"")</f>
        <v/>
      </c>
    </row>
    <row r="961">
      <c r="A961" s="75" t="n">
        <v>2025</v>
      </c>
      <c r="B961" s="75" t="n">
        <v>5</v>
      </c>
      <c r="C961" s="75" t="inlineStr">
        <is>
          <t>5100000957</t>
        </is>
      </c>
      <c r="D961" s="78" t="n">
        <v>45802</v>
      </c>
      <c r="E961" s="75" t="inlineStr">
        <is>
          <t>KR</t>
        </is>
      </c>
      <c r="F961" s="75" t="n">
        <v>62101000</v>
      </c>
      <c r="G961" s="75" t="n">
        <v>1501</v>
      </c>
      <c r="H961" s="76" t="n">
        <v>536000</v>
      </c>
      <c r="I961" s="75" t="inlineStr">
        <is>
          <t>5월 국내출장 - M항공</t>
        </is>
      </c>
      <c r="J961" s="75" t="inlineStr">
        <is>
          <t>V10001</t>
        </is>
      </c>
      <c r="K961" s="75" t="inlineStr">
        <is>
          <t>M항공</t>
        </is>
      </c>
      <c r="M961" s="9">
        <f>IF($A961="","",VALUE($A961&amp;"")*12+VALUE($B961&amp;""))</f>
        <v/>
      </c>
      <c r="N961" s="39">
        <f>IF($A961="","",IFERROR(INDEX(부서매핑!$C$5:$C$504,MATCH($G961&amp;"",부서매핑!$A$5:$A$504,0)),"미매핑"))</f>
        <v/>
      </c>
      <c r="O961" s="9">
        <f>IF($A961="","",N961&amp;"|"&amp;$F961)</f>
        <v/>
      </c>
      <c r="P961" s="77">
        <f>IF($A961="",0,$H961*설정!$C$23)</f>
        <v/>
      </c>
      <c r="Q961" s="39">
        <f>IF($A961="","",IF(O961&lt;&gt;원인분석!$C$9,"",IF(AND(M961&gt;=원인분석!$C$10,M961&lt;=원인분석!$C$11),"당기",IF(AND(M961&gt;=원인분석!$C$12,M961&lt;=원인분석!$C$13),"비교",""))))</f>
        <v/>
      </c>
      <c r="R961" s="9">
        <f>IF(Q961="","",$K961&amp;"")</f>
        <v/>
      </c>
      <c r="S961" s="9">
        <f>IF(Q961="","",IF(MATCH(R961,$R$5:$R$100000,0)=ROW()-4,ROW(),""))</f>
        <v/>
      </c>
      <c r="T961" s="9">
        <f>IF(Q961="당기",ABS(P961)+ROW()/1000000000,"")</f>
        <v/>
      </c>
      <c r="U961" s="9">
        <f>IF(Q961="비교",ABS(P961)+ROW()/1000000000,"")</f>
        <v/>
      </c>
      <c r="V961" s="39">
        <f>IF($A961="","",IF(COUNTIF(변동분석!$E$7:$E$506,O961)&gt;0,"Y","N"))</f>
        <v/>
      </c>
      <c r="W961" s="39">
        <f>IF($A961="","",IFERROR(INDEX(계정매핑!$D$5:$D$504,MATCH($F961&amp;"",계정매핑!$A$5:$A$504,0)),"미매핑"))</f>
        <v/>
      </c>
      <c r="X961" s="9">
        <f>IF($A961="","",$F961&amp;"")</f>
        <v/>
      </c>
    </row>
    <row r="962">
      <c r="A962" s="75" t="n">
        <v>2025</v>
      </c>
      <c r="B962" s="75" t="n">
        <v>5</v>
      </c>
      <c r="C962" s="75" t="inlineStr">
        <is>
          <t>5100000958</t>
        </is>
      </c>
      <c r="D962" s="78" t="n">
        <v>45802</v>
      </c>
      <c r="E962" s="75" t="inlineStr">
        <is>
          <t>KR</t>
        </is>
      </c>
      <c r="F962" s="75" t="n">
        <v>62101000</v>
      </c>
      <c r="G962" s="75" t="n">
        <v>1501</v>
      </c>
      <c r="H962" s="76" t="n">
        <v>389000</v>
      </c>
      <c r="I962" s="75" t="inlineStr">
        <is>
          <t>5월 국내출장 - (법인카드)</t>
        </is>
      </c>
      <c r="J962" s="75" t="inlineStr">
        <is>
          <t>V10008</t>
        </is>
      </c>
      <c r="K962" s="75" t="inlineStr">
        <is>
          <t>(법인카드)</t>
        </is>
      </c>
      <c r="M962" s="9">
        <f>IF($A962="","",VALUE($A962&amp;"")*12+VALUE($B962&amp;""))</f>
        <v/>
      </c>
      <c r="N962" s="39">
        <f>IF($A962="","",IFERROR(INDEX(부서매핑!$C$5:$C$504,MATCH($G962&amp;"",부서매핑!$A$5:$A$504,0)),"미매핑"))</f>
        <v/>
      </c>
      <c r="O962" s="9">
        <f>IF($A962="","",N962&amp;"|"&amp;$F962)</f>
        <v/>
      </c>
      <c r="P962" s="77">
        <f>IF($A962="",0,$H962*설정!$C$23)</f>
        <v/>
      </c>
      <c r="Q962" s="39">
        <f>IF($A962="","",IF(O962&lt;&gt;원인분석!$C$9,"",IF(AND(M962&gt;=원인분석!$C$10,M962&lt;=원인분석!$C$11),"당기",IF(AND(M962&gt;=원인분석!$C$12,M962&lt;=원인분석!$C$13),"비교",""))))</f>
        <v/>
      </c>
      <c r="R962" s="9">
        <f>IF(Q962="","",$K962&amp;"")</f>
        <v/>
      </c>
      <c r="S962" s="9">
        <f>IF(Q962="","",IF(MATCH(R962,$R$5:$R$100000,0)=ROW()-4,ROW(),""))</f>
        <v/>
      </c>
      <c r="T962" s="9">
        <f>IF(Q962="당기",ABS(P962)+ROW()/1000000000,"")</f>
        <v/>
      </c>
      <c r="U962" s="9">
        <f>IF(Q962="비교",ABS(P962)+ROW()/1000000000,"")</f>
        <v/>
      </c>
      <c r="V962" s="39">
        <f>IF($A962="","",IF(COUNTIF(변동분석!$E$7:$E$506,O962)&gt;0,"Y","N"))</f>
        <v/>
      </c>
      <c r="W962" s="39">
        <f>IF($A962="","",IFERROR(INDEX(계정매핑!$D$5:$D$504,MATCH($F962&amp;"",계정매핑!$A$5:$A$504,0)),"미매핑"))</f>
        <v/>
      </c>
      <c r="X962" s="9">
        <f>IF($A962="","",$F962&amp;"")</f>
        <v/>
      </c>
    </row>
    <row r="963">
      <c r="A963" s="75" t="n">
        <v>2025</v>
      </c>
      <c r="B963" s="75" t="n">
        <v>5</v>
      </c>
      <c r="C963" s="75" t="inlineStr">
        <is>
          <t>5100000959</t>
        </is>
      </c>
      <c r="D963" s="78" t="n">
        <v>45802</v>
      </c>
      <c r="E963" s="75" t="inlineStr">
        <is>
          <t>KR</t>
        </is>
      </c>
      <c r="F963" s="75" t="n">
        <v>62301000</v>
      </c>
      <c r="G963" s="75" t="n">
        <v>1801</v>
      </c>
      <c r="H963" s="76" t="n">
        <v>444000</v>
      </c>
      <c r="I963" s="75" t="inlineStr">
        <is>
          <t>5월 소모품 구입 - R문구</t>
        </is>
      </c>
      <c r="J963" s="75" t="inlineStr">
        <is>
          <t>V10018</t>
        </is>
      </c>
      <c r="K963" s="75" t="inlineStr">
        <is>
          <t>R문구</t>
        </is>
      </c>
      <c r="M963" s="9">
        <f>IF($A963="","",VALUE($A963&amp;"")*12+VALUE($B963&amp;""))</f>
        <v/>
      </c>
      <c r="N963" s="39">
        <f>IF($A963="","",IFERROR(INDEX(부서매핑!$C$5:$C$504,MATCH($G963&amp;"",부서매핑!$A$5:$A$504,0)),"미매핑"))</f>
        <v/>
      </c>
      <c r="O963" s="9">
        <f>IF($A963="","",N963&amp;"|"&amp;$F963)</f>
        <v/>
      </c>
      <c r="P963" s="77">
        <f>IF($A963="",0,$H963*설정!$C$23)</f>
        <v/>
      </c>
      <c r="Q963" s="39">
        <f>IF($A963="","",IF(O963&lt;&gt;원인분석!$C$9,"",IF(AND(M963&gt;=원인분석!$C$10,M963&lt;=원인분석!$C$11),"당기",IF(AND(M963&gt;=원인분석!$C$12,M963&lt;=원인분석!$C$13),"비교",""))))</f>
        <v/>
      </c>
      <c r="R963" s="9">
        <f>IF(Q963="","",$K963&amp;"")</f>
        <v/>
      </c>
      <c r="S963" s="9">
        <f>IF(Q963="","",IF(MATCH(R963,$R$5:$R$100000,0)=ROW()-4,ROW(),""))</f>
        <v/>
      </c>
      <c r="T963" s="9">
        <f>IF(Q963="당기",ABS(P963)+ROW()/1000000000,"")</f>
        <v/>
      </c>
      <c r="U963" s="9">
        <f>IF(Q963="비교",ABS(P963)+ROW()/1000000000,"")</f>
        <v/>
      </c>
      <c r="V963" s="39">
        <f>IF($A963="","",IF(COUNTIF(변동분석!$E$7:$E$506,O963)&gt;0,"Y","N"))</f>
        <v/>
      </c>
      <c r="W963" s="39">
        <f>IF($A963="","",IFERROR(INDEX(계정매핑!$D$5:$D$504,MATCH($F963&amp;"",계정매핑!$A$5:$A$504,0)),"미매핑"))</f>
        <v/>
      </c>
      <c r="X963" s="9">
        <f>IF($A963="","",$F963&amp;"")</f>
        <v/>
      </c>
    </row>
    <row r="964">
      <c r="A964" s="75" t="n">
        <v>2025</v>
      </c>
      <c r="B964" s="75" t="n">
        <v>5</v>
      </c>
      <c r="C964" s="75" t="inlineStr">
        <is>
          <t>5100000960</t>
        </is>
      </c>
      <c r="D964" s="78" t="n">
        <v>45802</v>
      </c>
      <c r="E964" s="75" t="inlineStr">
        <is>
          <t>KR</t>
        </is>
      </c>
      <c r="F964" s="75" t="n">
        <v>62601000</v>
      </c>
      <c r="G964" s="75" t="n">
        <v>1602</v>
      </c>
      <c r="H964" s="76" t="n">
        <v>1134000</v>
      </c>
      <c r="I964" s="75" t="inlineStr">
        <is>
          <t>5월 업무추진 - (법인카드)</t>
        </is>
      </c>
      <c r="J964" s="75" t="inlineStr">
        <is>
          <t>V10008</t>
        </is>
      </c>
      <c r="K964" s="75" t="inlineStr">
        <is>
          <t>(법인카드)</t>
        </is>
      </c>
      <c r="M964" s="9">
        <f>IF($A964="","",VALUE($A964&amp;"")*12+VALUE($B964&amp;""))</f>
        <v/>
      </c>
      <c r="N964" s="39">
        <f>IF($A964="","",IFERROR(INDEX(부서매핑!$C$5:$C$504,MATCH($G964&amp;"",부서매핑!$A$5:$A$504,0)),"미매핑"))</f>
        <v/>
      </c>
      <c r="O964" s="9">
        <f>IF($A964="","",N964&amp;"|"&amp;$F964)</f>
        <v/>
      </c>
      <c r="P964" s="77">
        <f>IF($A964="",0,$H964*설정!$C$23)</f>
        <v/>
      </c>
      <c r="Q964" s="39">
        <f>IF($A964="","",IF(O964&lt;&gt;원인분석!$C$9,"",IF(AND(M964&gt;=원인분석!$C$10,M964&lt;=원인분석!$C$11),"당기",IF(AND(M964&gt;=원인분석!$C$12,M964&lt;=원인분석!$C$13),"비교",""))))</f>
        <v/>
      </c>
      <c r="R964" s="9">
        <f>IF(Q964="","",$K964&amp;"")</f>
        <v/>
      </c>
      <c r="S964" s="9">
        <f>IF(Q964="","",IF(MATCH(R964,$R$5:$R$100000,0)=ROW()-4,ROW(),""))</f>
        <v/>
      </c>
      <c r="T964" s="9">
        <f>IF(Q964="당기",ABS(P964)+ROW()/1000000000,"")</f>
        <v/>
      </c>
      <c r="U964" s="9">
        <f>IF(Q964="비교",ABS(P964)+ROW()/1000000000,"")</f>
        <v/>
      </c>
      <c r="V964" s="39">
        <f>IF($A964="","",IF(COUNTIF(변동분석!$E$7:$E$506,O964)&gt;0,"Y","N"))</f>
        <v/>
      </c>
      <c r="W964" s="39">
        <f>IF($A964="","",IFERROR(INDEX(계정매핑!$D$5:$D$504,MATCH($F964&amp;"",계정매핑!$A$5:$A$504,0)),"미매핑"))</f>
        <v/>
      </c>
      <c r="X964" s="9">
        <f>IF($A964="","",$F964&amp;"")</f>
        <v/>
      </c>
    </row>
    <row r="965">
      <c r="A965" s="75" t="n">
        <v>2025</v>
      </c>
      <c r="B965" s="75" t="n">
        <v>5</v>
      </c>
      <c r="C965" s="75" t="inlineStr">
        <is>
          <t>5100000961</t>
        </is>
      </c>
      <c r="D965" s="78" t="n">
        <v>45802</v>
      </c>
      <c r="E965" s="75" t="inlineStr">
        <is>
          <t>KR</t>
        </is>
      </c>
      <c r="F965" s="75" t="n">
        <v>62902000</v>
      </c>
      <c r="G965" s="75" t="n">
        <v>1801</v>
      </c>
      <c r="H965" s="76" t="n">
        <v>1771000</v>
      </c>
      <c r="I965" s="75" t="inlineStr">
        <is>
          <t>5월 콜 위탁 수수료(건별)</t>
        </is>
      </c>
      <c r="J965" s="75" t="inlineStr">
        <is>
          <t>V10013</t>
        </is>
      </c>
      <c r="K965" s="75" t="inlineStr">
        <is>
          <t>J콜센터</t>
        </is>
      </c>
      <c r="M965" s="9">
        <f>IF($A965="","",VALUE($A965&amp;"")*12+VALUE($B965&amp;""))</f>
        <v/>
      </c>
      <c r="N965" s="39">
        <f>IF($A965="","",IFERROR(INDEX(부서매핑!$C$5:$C$504,MATCH($G965&amp;"",부서매핑!$A$5:$A$504,0)),"미매핑"))</f>
        <v/>
      </c>
      <c r="O965" s="9">
        <f>IF($A965="","",N965&amp;"|"&amp;$F965)</f>
        <v/>
      </c>
      <c r="P965" s="77">
        <f>IF($A965="",0,$H965*설정!$C$23)</f>
        <v/>
      </c>
      <c r="Q965" s="39">
        <f>IF($A965="","",IF(O965&lt;&gt;원인분석!$C$9,"",IF(AND(M965&gt;=원인분석!$C$10,M965&lt;=원인분석!$C$11),"당기",IF(AND(M965&gt;=원인분석!$C$12,M965&lt;=원인분석!$C$13),"비교",""))))</f>
        <v/>
      </c>
      <c r="R965" s="9">
        <f>IF(Q965="","",$K965&amp;"")</f>
        <v/>
      </c>
      <c r="S965" s="9">
        <f>IF(Q965="","",IF(MATCH(R965,$R$5:$R$100000,0)=ROW()-4,ROW(),""))</f>
        <v/>
      </c>
      <c r="T965" s="9">
        <f>IF(Q965="당기",ABS(P965)+ROW()/1000000000,"")</f>
        <v/>
      </c>
      <c r="U965" s="9">
        <f>IF(Q965="비교",ABS(P965)+ROW()/1000000000,"")</f>
        <v/>
      </c>
      <c r="V965" s="39">
        <f>IF($A965="","",IF(COUNTIF(변동분석!$E$7:$E$506,O965)&gt;0,"Y","N"))</f>
        <v/>
      </c>
      <c r="W965" s="39">
        <f>IF($A965="","",IFERROR(INDEX(계정매핑!$D$5:$D$504,MATCH($F965&amp;"",계정매핑!$A$5:$A$504,0)),"미매핑"))</f>
        <v/>
      </c>
      <c r="X965" s="9">
        <f>IF($A965="","",$F965&amp;"")</f>
        <v/>
      </c>
    </row>
    <row r="966">
      <c r="A966" s="75" t="n">
        <v>2025</v>
      </c>
      <c r="B966" s="75" t="n">
        <v>5</v>
      </c>
      <c r="C966" s="75" t="inlineStr">
        <is>
          <t>5100000962</t>
        </is>
      </c>
      <c r="D966" s="78" t="n">
        <v>45802</v>
      </c>
      <c r="E966" s="75" t="inlineStr">
        <is>
          <t>KR</t>
        </is>
      </c>
      <c r="F966" s="75" t="n">
        <v>62902000</v>
      </c>
      <c r="G966" s="75" t="n">
        <v>1801</v>
      </c>
      <c r="H966" s="76" t="n">
        <v>1757000</v>
      </c>
      <c r="I966" s="75" t="inlineStr">
        <is>
          <t>5월 콜 위탁 수수료(건별)</t>
        </is>
      </c>
      <c r="J966" s="75" t="inlineStr">
        <is>
          <t>V10013</t>
        </is>
      </c>
      <c r="K966" s="75" t="inlineStr">
        <is>
          <t>J콜센터</t>
        </is>
      </c>
      <c r="M966" s="9">
        <f>IF($A966="","",VALUE($A966&amp;"")*12+VALUE($B966&amp;""))</f>
        <v/>
      </c>
      <c r="N966" s="39">
        <f>IF($A966="","",IFERROR(INDEX(부서매핑!$C$5:$C$504,MATCH($G966&amp;"",부서매핑!$A$5:$A$504,0)),"미매핑"))</f>
        <v/>
      </c>
      <c r="O966" s="9">
        <f>IF($A966="","",N966&amp;"|"&amp;$F966)</f>
        <v/>
      </c>
      <c r="P966" s="77">
        <f>IF($A966="",0,$H966*설정!$C$23)</f>
        <v/>
      </c>
      <c r="Q966" s="39">
        <f>IF($A966="","",IF(O966&lt;&gt;원인분석!$C$9,"",IF(AND(M966&gt;=원인분석!$C$10,M966&lt;=원인분석!$C$11),"당기",IF(AND(M966&gt;=원인분석!$C$12,M966&lt;=원인분석!$C$13),"비교",""))))</f>
        <v/>
      </c>
      <c r="R966" s="9">
        <f>IF(Q966="","",$K966&amp;"")</f>
        <v/>
      </c>
      <c r="S966" s="9">
        <f>IF(Q966="","",IF(MATCH(R966,$R$5:$R$100000,0)=ROW()-4,ROW(),""))</f>
        <v/>
      </c>
      <c r="T966" s="9">
        <f>IF(Q966="당기",ABS(P966)+ROW()/1000000000,"")</f>
        <v/>
      </c>
      <c r="U966" s="9">
        <f>IF(Q966="비교",ABS(P966)+ROW()/1000000000,"")</f>
        <v/>
      </c>
      <c r="V966" s="39">
        <f>IF($A966="","",IF(COUNTIF(변동분석!$E$7:$E$506,O966)&gt;0,"Y","N"))</f>
        <v/>
      </c>
      <c r="W966" s="39">
        <f>IF($A966="","",IFERROR(INDEX(계정매핑!$D$5:$D$504,MATCH($F966&amp;"",계정매핑!$A$5:$A$504,0)),"미매핑"))</f>
        <v/>
      </c>
      <c r="X966" s="9">
        <f>IF($A966="","",$F966&amp;"")</f>
        <v/>
      </c>
    </row>
    <row r="967">
      <c r="A967" s="75" t="n">
        <v>2025</v>
      </c>
      <c r="B967" s="75" t="n">
        <v>5</v>
      </c>
      <c r="C967" s="75" t="inlineStr">
        <is>
          <t>5100000963</t>
        </is>
      </c>
      <c r="D967" s="78" t="n">
        <v>45802</v>
      </c>
      <c r="E967" s="75" t="inlineStr">
        <is>
          <t>KR</t>
        </is>
      </c>
      <c r="F967" s="75" t="n">
        <v>62902000</v>
      </c>
      <c r="G967" s="75" t="n">
        <v>1801</v>
      </c>
      <c r="H967" s="76" t="n">
        <v>3000000</v>
      </c>
      <c r="I967" s="75" t="inlineStr">
        <is>
          <t>5월 업무 위탁 수수료 - X서비스</t>
        </is>
      </c>
      <c r="J967" s="75" t="inlineStr">
        <is>
          <t>V10016</t>
        </is>
      </c>
      <c r="K967" s="75" t="inlineStr">
        <is>
          <t>X서비스</t>
        </is>
      </c>
      <c r="M967" s="9">
        <f>IF($A967="","",VALUE($A967&amp;"")*12+VALUE($B967&amp;""))</f>
        <v/>
      </c>
      <c r="N967" s="39">
        <f>IF($A967="","",IFERROR(INDEX(부서매핑!$C$5:$C$504,MATCH($G967&amp;"",부서매핑!$A$5:$A$504,0)),"미매핑"))</f>
        <v/>
      </c>
      <c r="O967" s="9">
        <f>IF($A967="","",N967&amp;"|"&amp;$F967)</f>
        <v/>
      </c>
      <c r="P967" s="77">
        <f>IF($A967="",0,$H967*설정!$C$23)</f>
        <v/>
      </c>
      <c r="Q967" s="39">
        <f>IF($A967="","",IF(O967&lt;&gt;원인분석!$C$9,"",IF(AND(M967&gt;=원인분석!$C$10,M967&lt;=원인분석!$C$11),"당기",IF(AND(M967&gt;=원인분석!$C$12,M967&lt;=원인분석!$C$13),"비교",""))))</f>
        <v/>
      </c>
      <c r="R967" s="9">
        <f>IF(Q967="","",$K967&amp;"")</f>
        <v/>
      </c>
      <c r="S967" s="9">
        <f>IF(Q967="","",IF(MATCH(R967,$R$5:$R$100000,0)=ROW()-4,ROW(),""))</f>
        <v/>
      </c>
      <c r="T967" s="9">
        <f>IF(Q967="당기",ABS(P967)+ROW()/1000000000,"")</f>
        <v/>
      </c>
      <c r="U967" s="9">
        <f>IF(Q967="비교",ABS(P967)+ROW()/1000000000,"")</f>
        <v/>
      </c>
      <c r="V967" s="39">
        <f>IF($A967="","",IF(COUNTIF(변동분석!$E$7:$E$506,O967)&gt;0,"Y","N"))</f>
        <v/>
      </c>
      <c r="W967" s="39">
        <f>IF($A967="","",IFERROR(INDEX(계정매핑!$D$5:$D$504,MATCH($F967&amp;"",계정매핑!$A$5:$A$504,0)),"미매핑"))</f>
        <v/>
      </c>
      <c r="X967" s="9">
        <f>IF($A967="","",$F967&amp;"")</f>
        <v/>
      </c>
    </row>
    <row r="968">
      <c r="A968" s="75" t="n">
        <v>2025</v>
      </c>
      <c r="B968" s="75" t="n">
        <v>5</v>
      </c>
      <c r="C968" s="75" t="inlineStr">
        <is>
          <t>5100000964</t>
        </is>
      </c>
      <c r="D968" s="78" t="n">
        <v>45802</v>
      </c>
      <c r="E968" s="75" t="inlineStr">
        <is>
          <t>KR</t>
        </is>
      </c>
      <c r="F968" s="75" t="n">
        <v>63002000</v>
      </c>
      <c r="G968" s="75" t="n">
        <v>1701</v>
      </c>
      <c r="H968" s="76" t="n">
        <v>67000000</v>
      </c>
      <c r="I968" s="75" t="inlineStr">
        <is>
          <t>5월 클라우드 사용료 - C클라우드</t>
        </is>
      </c>
      <c r="J968" s="75" t="inlineStr">
        <is>
          <t>V10028</t>
        </is>
      </c>
      <c r="K968" s="75" t="inlineStr">
        <is>
          <t>C클라우드</t>
        </is>
      </c>
      <c r="M968" s="9">
        <f>IF($A968="","",VALUE($A968&amp;"")*12+VALUE($B968&amp;""))</f>
        <v/>
      </c>
      <c r="N968" s="39">
        <f>IF($A968="","",IFERROR(INDEX(부서매핑!$C$5:$C$504,MATCH($G968&amp;"",부서매핑!$A$5:$A$504,0)),"미매핑"))</f>
        <v/>
      </c>
      <c r="O968" s="9">
        <f>IF($A968="","",N968&amp;"|"&amp;$F968)</f>
        <v/>
      </c>
      <c r="P968" s="77">
        <f>IF($A968="",0,$H968*설정!$C$23)</f>
        <v/>
      </c>
      <c r="Q968" s="39">
        <f>IF($A968="","",IF(O968&lt;&gt;원인분석!$C$9,"",IF(AND(M968&gt;=원인분석!$C$10,M968&lt;=원인분석!$C$11),"당기",IF(AND(M968&gt;=원인분석!$C$12,M968&lt;=원인분석!$C$13),"비교",""))))</f>
        <v/>
      </c>
      <c r="R968" s="9">
        <f>IF(Q968="","",$K968&amp;"")</f>
        <v/>
      </c>
      <c r="S968" s="9">
        <f>IF(Q968="","",IF(MATCH(R968,$R$5:$R$100000,0)=ROW()-4,ROW(),""))</f>
        <v/>
      </c>
      <c r="T968" s="9">
        <f>IF(Q968="당기",ABS(P968)+ROW()/1000000000,"")</f>
        <v/>
      </c>
      <c r="U968" s="9">
        <f>IF(Q968="비교",ABS(P968)+ROW()/1000000000,"")</f>
        <v/>
      </c>
      <c r="V968" s="39">
        <f>IF($A968="","",IF(COUNTIF(변동분석!$E$7:$E$506,O968)&gt;0,"Y","N"))</f>
        <v/>
      </c>
      <c r="W968" s="39">
        <f>IF($A968="","",IFERROR(INDEX(계정매핑!$D$5:$D$504,MATCH($F968&amp;"",계정매핑!$A$5:$A$504,0)),"미매핑"))</f>
        <v/>
      </c>
      <c r="X968" s="9">
        <f>IF($A968="","",$F968&amp;"")</f>
        <v/>
      </c>
    </row>
    <row r="969">
      <c r="A969" s="75" t="n">
        <v>2025</v>
      </c>
      <c r="B969" s="75" t="n">
        <v>5</v>
      </c>
      <c r="C969" s="75" t="inlineStr">
        <is>
          <t>5100000965</t>
        </is>
      </c>
      <c r="D969" s="78" t="n">
        <v>45803</v>
      </c>
      <c r="E969" s="75" t="inlineStr">
        <is>
          <t>KR</t>
        </is>
      </c>
      <c r="F969" s="75" t="n">
        <v>62101000</v>
      </c>
      <c r="G969" s="75" t="n">
        <v>1301</v>
      </c>
      <c r="H969" s="76" t="n">
        <v>469000</v>
      </c>
      <c r="I969" s="75" t="inlineStr">
        <is>
          <t>5월 국내출장 - (법인카드)</t>
        </is>
      </c>
      <c r="J969" s="75" t="inlineStr">
        <is>
          <t>V10008</t>
        </is>
      </c>
      <c r="K969" s="75" t="inlineStr">
        <is>
          <t>(법인카드)</t>
        </is>
      </c>
      <c r="M969" s="9">
        <f>IF($A969="","",VALUE($A969&amp;"")*12+VALUE($B969&amp;""))</f>
        <v/>
      </c>
      <c r="N969" s="39">
        <f>IF($A969="","",IFERROR(INDEX(부서매핑!$C$5:$C$504,MATCH($G969&amp;"",부서매핑!$A$5:$A$504,0)),"미매핑"))</f>
        <v/>
      </c>
      <c r="O969" s="9">
        <f>IF($A969="","",N969&amp;"|"&amp;$F969)</f>
        <v/>
      </c>
      <c r="P969" s="77">
        <f>IF($A969="",0,$H969*설정!$C$23)</f>
        <v/>
      </c>
      <c r="Q969" s="39">
        <f>IF($A969="","",IF(O969&lt;&gt;원인분석!$C$9,"",IF(AND(M969&gt;=원인분석!$C$10,M969&lt;=원인분석!$C$11),"당기",IF(AND(M969&gt;=원인분석!$C$12,M969&lt;=원인분석!$C$13),"비교",""))))</f>
        <v/>
      </c>
      <c r="R969" s="9">
        <f>IF(Q969="","",$K969&amp;"")</f>
        <v/>
      </c>
      <c r="S969" s="9">
        <f>IF(Q969="","",IF(MATCH(R969,$R$5:$R$100000,0)=ROW()-4,ROW(),""))</f>
        <v/>
      </c>
      <c r="T969" s="9">
        <f>IF(Q969="당기",ABS(P969)+ROW()/1000000000,"")</f>
        <v/>
      </c>
      <c r="U969" s="9">
        <f>IF(Q969="비교",ABS(P969)+ROW()/1000000000,"")</f>
        <v/>
      </c>
      <c r="V969" s="39">
        <f>IF($A969="","",IF(COUNTIF(변동분석!$E$7:$E$506,O969)&gt;0,"Y","N"))</f>
        <v/>
      </c>
      <c r="W969" s="39">
        <f>IF($A969="","",IFERROR(INDEX(계정매핑!$D$5:$D$504,MATCH($F969&amp;"",계정매핑!$A$5:$A$504,0)),"미매핑"))</f>
        <v/>
      </c>
      <c r="X969" s="9">
        <f>IF($A969="","",$F969&amp;"")</f>
        <v/>
      </c>
    </row>
    <row r="970">
      <c r="A970" s="75" t="n">
        <v>2025</v>
      </c>
      <c r="B970" s="75" t="n">
        <v>5</v>
      </c>
      <c r="C970" s="75" t="inlineStr">
        <is>
          <t>5100000966</t>
        </is>
      </c>
      <c r="D970" s="78" t="n">
        <v>45803</v>
      </c>
      <c r="E970" s="75" t="inlineStr">
        <is>
          <t>KR</t>
        </is>
      </c>
      <c r="F970" s="75" t="n">
        <v>62102000</v>
      </c>
      <c r="G970" s="75" t="n">
        <v>1501</v>
      </c>
      <c r="H970" s="76" t="n">
        <v>83000</v>
      </c>
      <c r="I970" s="75" t="inlineStr">
        <is>
          <t>5월 해외출장 - N호텔</t>
        </is>
      </c>
      <c r="J970" s="75" t="inlineStr">
        <is>
          <t>V10007</t>
        </is>
      </c>
      <c r="K970" s="75" t="inlineStr">
        <is>
          <t>N호텔</t>
        </is>
      </c>
      <c r="M970" s="9">
        <f>IF($A970="","",VALUE($A970&amp;"")*12+VALUE($B970&amp;""))</f>
        <v/>
      </c>
      <c r="N970" s="39">
        <f>IF($A970="","",IFERROR(INDEX(부서매핑!$C$5:$C$504,MATCH($G970&amp;"",부서매핑!$A$5:$A$504,0)),"미매핑"))</f>
        <v/>
      </c>
      <c r="O970" s="9">
        <f>IF($A970="","",N970&amp;"|"&amp;$F970)</f>
        <v/>
      </c>
      <c r="P970" s="77">
        <f>IF($A970="",0,$H970*설정!$C$23)</f>
        <v/>
      </c>
      <c r="Q970" s="39">
        <f>IF($A970="","",IF(O970&lt;&gt;원인분석!$C$9,"",IF(AND(M970&gt;=원인분석!$C$10,M970&lt;=원인분석!$C$11),"당기",IF(AND(M970&gt;=원인분석!$C$12,M970&lt;=원인분석!$C$13),"비교",""))))</f>
        <v/>
      </c>
      <c r="R970" s="9">
        <f>IF(Q970="","",$K970&amp;"")</f>
        <v/>
      </c>
      <c r="S970" s="9">
        <f>IF(Q970="","",IF(MATCH(R970,$R$5:$R$100000,0)=ROW()-4,ROW(),""))</f>
        <v/>
      </c>
      <c r="T970" s="9">
        <f>IF(Q970="당기",ABS(P970)+ROW()/1000000000,"")</f>
        <v/>
      </c>
      <c r="U970" s="9">
        <f>IF(Q970="비교",ABS(P970)+ROW()/1000000000,"")</f>
        <v/>
      </c>
      <c r="V970" s="39">
        <f>IF($A970="","",IF(COUNTIF(변동분석!$E$7:$E$506,O970)&gt;0,"Y","N"))</f>
        <v/>
      </c>
      <c r="W970" s="39">
        <f>IF($A970="","",IFERROR(INDEX(계정매핑!$D$5:$D$504,MATCH($F970&amp;"",계정매핑!$A$5:$A$504,0)),"미매핑"))</f>
        <v/>
      </c>
      <c r="X970" s="9">
        <f>IF($A970="","",$F970&amp;"")</f>
        <v/>
      </c>
    </row>
    <row r="971">
      <c r="A971" s="75" t="n">
        <v>2025</v>
      </c>
      <c r="B971" s="75" t="n">
        <v>5</v>
      </c>
      <c r="C971" s="75" t="inlineStr">
        <is>
          <t>5100000967</t>
        </is>
      </c>
      <c r="D971" s="78" t="n">
        <v>45803</v>
      </c>
      <c r="E971" s="75" t="inlineStr">
        <is>
          <t>KR</t>
        </is>
      </c>
      <c r="F971" s="75" t="n">
        <v>62201000</v>
      </c>
      <c r="G971" s="75" t="n">
        <v>1201</v>
      </c>
      <c r="H971" s="76" t="n">
        <v>144000</v>
      </c>
      <c r="I971" s="75" t="inlineStr">
        <is>
          <t>5월 통신요금 - P통신</t>
        </is>
      </c>
      <c r="J971" s="75" t="inlineStr">
        <is>
          <t>V10011</t>
        </is>
      </c>
      <c r="K971" s="75" t="inlineStr">
        <is>
          <t>P통신</t>
        </is>
      </c>
      <c r="M971" s="9">
        <f>IF($A971="","",VALUE($A971&amp;"")*12+VALUE($B971&amp;""))</f>
        <v/>
      </c>
      <c r="N971" s="39">
        <f>IF($A971="","",IFERROR(INDEX(부서매핑!$C$5:$C$504,MATCH($G971&amp;"",부서매핑!$A$5:$A$504,0)),"미매핑"))</f>
        <v/>
      </c>
      <c r="O971" s="9">
        <f>IF($A971="","",N971&amp;"|"&amp;$F971)</f>
        <v/>
      </c>
      <c r="P971" s="77">
        <f>IF($A971="",0,$H971*설정!$C$23)</f>
        <v/>
      </c>
      <c r="Q971" s="39">
        <f>IF($A971="","",IF(O971&lt;&gt;원인분석!$C$9,"",IF(AND(M971&gt;=원인분석!$C$10,M971&lt;=원인분석!$C$11),"당기",IF(AND(M971&gt;=원인분석!$C$12,M971&lt;=원인분석!$C$13),"비교",""))))</f>
        <v/>
      </c>
      <c r="R971" s="9">
        <f>IF(Q971="","",$K971&amp;"")</f>
        <v/>
      </c>
      <c r="S971" s="9">
        <f>IF(Q971="","",IF(MATCH(R971,$R$5:$R$100000,0)=ROW()-4,ROW(),""))</f>
        <v/>
      </c>
      <c r="T971" s="9">
        <f>IF(Q971="당기",ABS(P971)+ROW()/1000000000,"")</f>
        <v/>
      </c>
      <c r="U971" s="9">
        <f>IF(Q971="비교",ABS(P971)+ROW()/1000000000,"")</f>
        <v/>
      </c>
      <c r="V971" s="39">
        <f>IF($A971="","",IF(COUNTIF(변동분석!$E$7:$E$506,O971)&gt;0,"Y","N"))</f>
        <v/>
      </c>
      <c r="W971" s="39">
        <f>IF($A971="","",IFERROR(INDEX(계정매핑!$D$5:$D$504,MATCH($F971&amp;"",계정매핑!$A$5:$A$504,0)),"미매핑"))</f>
        <v/>
      </c>
      <c r="X971" s="9">
        <f>IF($A971="","",$F971&amp;"")</f>
        <v/>
      </c>
    </row>
    <row r="972">
      <c r="A972" s="75" t="n">
        <v>2025</v>
      </c>
      <c r="B972" s="75" t="n">
        <v>5</v>
      </c>
      <c r="C972" s="75" t="inlineStr">
        <is>
          <t>5100000968</t>
        </is>
      </c>
      <c r="D972" s="78" t="n">
        <v>45803</v>
      </c>
      <c r="E972" s="75" t="inlineStr">
        <is>
          <t>KR</t>
        </is>
      </c>
      <c r="F972" s="75" t="n">
        <v>62201000</v>
      </c>
      <c r="G972" s="75" t="n">
        <v>1301</v>
      </c>
      <c r="H972" s="76" t="n">
        <v>146000</v>
      </c>
      <c r="I972" s="75" t="inlineStr">
        <is>
          <t>5월 통신요금 - O텔레콤</t>
        </is>
      </c>
      <c r="J972" s="75" t="inlineStr">
        <is>
          <t>V10002</t>
        </is>
      </c>
      <c r="K972" s="75" t="inlineStr">
        <is>
          <t>O텔레콤</t>
        </is>
      </c>
      <c r="M972" s="9">
        <f>IF($A972="","",VALUE($A972&amp;"")*12+VALUE($B972&amp;""))</f>
        <v/>
      </c>
      <c r="N972" s="39">
        <f>IF($A972="","",IFERROR(INDEX(부서매핑!$C$5:$C$504,MATCH($G972&amp;"",부서매핑!$A$5:$A$504,0)),"미매핑"))</f>
        <v/>
      </c>
      <c r="O972" s="9">
        <f>IF($A972="","",N972&amp;"|"&amp;$F972)</f>
        <v/>
      </c>
      <c r="P972" s="77">
        <f>IF($A972="",0,$H972*설정!$C$23)</f>
        <v/>
      </c>
      <c r="Q972" s="39">
        <f>IF($A972="","",IF(O972&lt;&gt;원인분석!$C$9,"",IF(AND(M972&gt;=원인분석!$C$10,M972&lt;=원인분석!$C$11),"당기",IF(AND(M972&gt;=원인분석!$C$12,M972&lt;=원인분석!$C$13),"비교",""))))</f>
        <v/>
      </c>
      <c r="R972" s="9">
        <f>IF(Q972="","",$K972&amp;"")</f>
        <v/>
      </c>
      <c r="S972" s="9">
        <f>IF(Q972="","",IF(MATCH(R972,$R$5:$R$100000,0)=ROW()-4,ROW(),""))</f>
        <v/>
      </c>
      <c r="T972" s="9">
        <f>IF(Q972="당기",ABS(P972)+ROW()/1000000000,"")</f>
        <v/>
      </c>
      <c r="U972" s="9">
        <f>IF(Q972="비교",ABS(P972)+ROW()/1000000000,"")</f>
        <v/>
      </c>
      <c r="V972" s="39">
        <f>IF($A972="","",IF(COUNTIF(변동분석!$E$7:$E$506,O972)&gt;0,"Y","N"))</f>
        <v/>
      </c>
      <c r="W972" s="39">
        <f>IF($A972="","",IFERROR(INDEX(계정매핑!$D$5:$D$504,MATCH($F972&amp;"",계정매핑!$A$5:$A$504,0)),"미매핑"))</f>
        <v/>
      </c>
      <c r="X972" s="9">
        <f>IF($A972="","",$F972&amp;"")</f>
        <v/>
      </c>
    </row>
    <row r="973">
      <c r="A973" s="75" t="n">
        <v>2025</v>
      </c>
      <c r="B973" s="75" t="n">
        <v>5</v>
      </c>
      <c r="C973" s="75" t="inlineStr">
        <is>
          <t>5100000969</t>
        </is>
      </c>
      <c r="D973" s="78" t="n">
        <v>45803</v>
      </c>
      <c r="E973" s="75" t="inlineStr">
        <is>
          <t>KR</t>
        </is>
      </c>
      <c r="F973" s="75" t="n">
        <v>62301000</v>
      </c>
      <c r="G973" s="75" t="n">
        <v>1201</v>
      </c>
      <c r="H973" s="76" t="n">
        <v>220000</v>
      </c>
      <c r="I973" s="75" t="inlineStr">
        <is>
          <t>5월 소모품 구입 - Q오피스</t>
        </is>
      </c>
      <c r="J973" s="75" t="inlineStr">
        <is>
          <t>V10003</t>
        </is>
      </c>
      <c r="K973" s="75" t="inlineStr">
        <is>
          <t>Q오피스</t>
        </is>
      </c>
      <c r="M973" s="9">
        <f>IF($A973="","",VALUE($A973&amp;"")*12+VALUE($B973&amp;""))</f>
        <v/>
      </c>
      <c r="N973" s="39">
        <f>IF($A973="","",IFERROR(INDEX(부서매핑!$C$5:$C$504,MATCH($G973&amp;"",부서매핑!$A$5:$A$504,0)),"미매핑"))</f>
        <v/>
      </c>
      <c r="O973" s="9">
        <f>IF($A973="","",N973&amp;"|"&amp;$F973)</f>
        <v/>
      </c>
      <c r="P973" s="77">
        <f>IF($A973="",0,$H973*설정!$C$23)</f>
        <v/>
      </c>
      <c r="Q973" s="39">
        <f>IF($A973="","",IF(O973&lt;&gt;원인분석!$C$9,"",IF(AND(M973&gt;=원인분석!$C$10,M973&lt;=원인분석!$C$11),"당기",IF(AND(M973&gt;=원인분석!$C$12,M973&lt;=원인분석!$C$13),"비교",""))))</f>
        <v/>
      </c>
      <c r="R973" s="9">
        <f>IF(Q973="","",$K973&amp;"")</f>
        <v/>
      </c>
      <c r="S973" s="9">
        <f>IF(Q973="","",IF(MATCH(R973,$R$5:$R$100000,0)=ROW()-4,ROW(),""))</f>
        <v/>
      </c>
      <c r="T973" s="9">
        <f>IF(Q973="당기",ABS(P973)+ROW()/1000000000,"")</f>
        <v/>
      </c>
      <c r="U973" s="9">
        <f>IF(Q973="비교",ABS(P973)+ROW()/1000000000,"")</f>
        <v/>
      </c>
      <c r="V973" s="39">
        <f>IF($A973="","",IF(COUNTIF(변동분석!$E$7:$E$506,O973)&gt;0,"Y","N"))</f>
        <v/>
      </c>
      <c r="W973" s="39">
        <f>IF($A973="","",IFERROR(INDEX(계정매핑!$D$5:$D$504,MATCH($F973&amp;"",계정매핑!$A$5:$A$504,0)),"미매핑"))</f>
        <v/>
      </c>
      <c r="X973" s="9">
        <f>IF($A973="","",$F973&amp;"")</f>
        <v/>
      </c>
    </row>
    <row r="974">
      <c r="A974" s="75" t="n">
        <v>2025</v>
      </c>
      <c r="B974" s="75" t="n">
        <v>5</v>
      </c>
      <c r="C974" s="75" t="inlineStr">
        <is>
          <t>5100000970</t>
        </is>
      </c>
      <c r="D974" s="78" t="n">
        <v>45803</v>
      </c>
      <c r="E974" s="75" t="inlineStr">
        <is>
          <t>KR</t>
        </is>
      </c>
      <c r="F974" s="75" t="n">
        <v>62501000</v>
      </c>
      <c r="G974" s="75" t="n">
        <v>1601</v>
      </c>
      <c r="H974" s="76" t="n">
        <v>552000</v>
      </c>
      <c r="I974" s="75" t="inlineStr">
        <is>
          <t>5월 회의 다과 - T케이터링</t>
        </is>
      </c>
      <c r="J974" s="75" t="inlineStr">
        <is>
          <t>V10005</t>
        </is>
      </c>
      <c r="K974" s="75" t="inlineStr">
        <is>
          <t>T케이터링</t>
        </is>
      </c>
      <c r="M974" s="9">
        <f>IF($A974="","",VALUE($A974&amp;"")*12+VALUE($B974&amp;""))</f>
        <v/>
      </c>
      <c r="N974" s="39">
        <f>IF($A974="","",IFERROR(INDEX(부서매핑!$C$5:$C$504,MATCH($G974&amp;"",부서매핑!$A$5:$A$504,0)),"미매핑"))</f>
        <v/>
      </c>
      <c r="O974" s="9">
        <f>IF($A974="","",N974&amp;"|"&amp;$F974)</f>
        <v/>
      </c>
      <c r="P974" s="77">
        <f>IF($A974="",0,$H974*설정!$C$23)</f>
        <v/>
      </c>
      <c r="Q974" s="39">
        <f>IF($A974="","",IF(O974&lt;&gt;원인분석!$C$9,"",IF(AND(M974&gt;=원인분석!$C$10,M974&lt;=원인분석!$C$11),"당기",IF(AND(M974&gt;=원인분석!$C$12,M974&lt;=원인분석!$C$13),"비교",""))))</f>
        <v/>
      </c>
      <c r="R974" s="9">
        <f>IF(Q974="","",$K974&amp;"")</f>
        <v/>
      </c>
      <c r="S974" s="9">
        <f>IF(Q974="","",IF(MATCH(R974,$R$5:$R$100000,0)=ROW()-4,ROW(),""))</f>
        <v/>
      </c>
      <c r="T974" s="9">
        <f>IF(Q974="당기",ABS(P974)+ROW()/1000000000,"")</f>
        <v/>
      </c>
      <c r="U974" s="9">
        <f>IF(Q974="비교",ABS(P974)+ROW()/1000000000,"")</f>
        <v/>
      </c>
      <c r="V974" s="39">
        <f>IF($A974="","",IF(COUNTIF(변동분석!$E$7:$E$506,O974)&gt;0,"Y","N"))</f>
        <v/>
      </c>
      <c r="W974" s="39">
        <f>IF($A974="","",IFERROR(INDEX(계정매핑!$D$5:$D$504,MATCH($F974&amp;"",계정매핑!$A$5:$A$504,0)),"미매핑"))</f>
        <v/>
      </c>
      <c r="X974" s="9">
        <f>IF($A974="","",$F974&amp;"")</f>
        <v/>
      </c>
    </row>
    <row r="975">
      <c r="A975" s="75" t="n">
        <v>2025</v>
      </c>
      <c r="B975" s="75" t="n">
        <v>5</v>
      </c>
      <c r="C975" s="75" t="inlineStr">
        <is>
          <t>5100000971</t>
        </is>
      </c>
      <c r="D975" s="78" t="n">
        <v>45803</v>
      </c>
      <c r="E975" s="75" t="inlineStr">
        <is>
          <t>KR</t>
        </is>
      </c>
      <c r="F975" s="75" t="n">
        <v>62901000</v>
      </c>
      <c r="G975" s="75" t="n">
        <v>1801</v>
      </c>
      <c r="H975" s="76" t="n">
        <v>9636000</v>
      </c>
      <c r="I975" s="75" t="inlineStr">
        <is>
          <t>5월 자문 수수료 - K회계법인</t>
        </is>
      </c>
      <c r="J975" s="75" t="inlineStr">
        <is>
          <t>V10010</t>
        </is>
      </c>
      <c r="K975" s="75" t="inlineStr">
        <is>
          <t>K회계법인</t>
        </is>
      </c>
      <c r="M975" s="9">
        <f>IF($A975="","",VALUE($A975&amp;"")*12+VALUE($B975&amp;""))</f>
        <v/>
      </c>
      <c r="N975" s="39">
        <f>IF($A975="","",IFERROR(INDEX(부서매핑!$C$5:$C$504,MATCH($G975&amp;"",부서매핑!$A$5:$A$504,0)),"미매핑"))</f>
        <v/>
      </c>
      <c r="O975" s="9">
        <f>IF($A975="","",N975&amp;"|"&amp;$F975)</f>
        <v/>
      </c>
      <c r="P975" s="77">
        <f>IF($A975="",0,$H975*설정!$C$23)</f>
        <v/>
      </c>
      <c r="Q975" s="39">
        <f>IF($A975="","",IF(O975&lt;&gt;원인분석!$C$9,"",IF(AND(M975&gt;=원인분석!$C$10,M975&lt;=원인분석!$C$11),"당기",IF(AND(M975&gt;=원인분석!$C$12,M975&lt;=원인분석!$C$13),"비교",""))))</f>
        <v/>
      </c>
      <c r="R975" s="9">
        <f>IF(Q975="","",$K975&amp;"")</f>
        <v/>
      </c>
      <c r="S975" s="9">
        <f>IF(Q975="","",IF(MATCH(R975,$R$5:$R$100000,0)=ROW()-4,ROW(),""))</f>
        <v/>
      </c>
      <c r="T975" s="9">
        <f>IF(Q975="당기",ABS(P975)+ROW()/1000000000,"")</f>
        <v/>
      </c>
      <c r="U975" s="9">
        <f>IF(Q975="비교",ABS(P975)+ROW()/1000000000,"")</f>
        <v/>
      </c>
      <c r="V975" s="39">
        <f>IF($A975="","",IF(COUNTIF(변동분석!$E$7:$E$506,O975)&gt;0,"Y","N"))</f>
        <v/>
      </c>
      <c r="W975" s="39">
        <f>IF($A975="","",IFERROR(INDEX(계정매핑!$D$5:$D$504,MATCH($F975&amp;"",계정매핑!$A$5:$A$504,0)),"미매핑"))</f>
        <v/>
      </c>
      <c r="X975" s="9">
        <f>IF($A975="","",$F975&amp;"")</f>
        <v/>
      </c>
    </row>
    <row r="976">
      <c r="A976" s="75" t="n">
        <v>2025</v>
      </c>
      <c r="B976" s="75" t="n">
        <v>5</v>
      </c>
      <c r="C976" s="75" t="inlineStr">
        <is>
          <t>5100000972</t>
        </is>
      </c>
      <c r="D976" s="78" t="n">
        <v>45803</v>
      </c>
      <c r="E976" s="75" t="inlineStr">
        <is>
          <t>KR</t>
        </is>
      </c>
      <c r="F976" s="75" t="n">
        <v>62902000</v>
      </c>
      <c r="G976" s="75" t="n">
        <v>1801</v>
      </c>
      <c r="H976" s="76" t="n">
        <v>1842000</v>
      </c>
      <c r="I976" s="75" t="inlineStr">
        <is>
          <t>5월 콜 위탁 수수료(건별)</t>
        </is>
      </c>
      <c r="J976" s="75" t="inlineStr">
        <is>
          <t>V10013</t>
        </is>
      </c>
      <c r="K976" s="75" t="inlineStr">
        <is>
          <t>J콜센터</t>
        </is>
      </c>
      <c r="M976" s="9">
        <f>IF($A976="","",VALUE($A976&amp;"")*12+VALUE($B976&amp;""))</f>
        <v/>
      </c>
      <c r="N976" s="39">
        <f>IF($A976="","",IFERROR(INDEX(부서매핑!$C$5:$C$504,MATCH($G976&amp;"",부서매핑!$A$5:$A$504,0)),"미매핑"))</f>
        <v/>
      </c>
      <c r="O976" s="9">
        <f>IF($A976="","",N976&amp;"|"&amp;$F976)</f>
        <v/>
      </c>
      <c r="P976" s="77">
        <f>IF($A976="",0,$H976*설정!$C$23)</f>
        <v/>
      </c>
      <c r="Q976" s="39">
        <f>IF($A976="","",IF(O976&lt;&gt;원인분석!$C$9,"",IF(AND(M976&gt;=원인분석!$C$10,M976&lt;=원인분석!$C$11),"당기",IF(AND(M976&gt;=원인분석!$C$12,M976&lt;=원인분석!$C$13),"비교",""))))</f>
        <v/>
      </c>
      <c r="R976" s="9">
        <f>IF(Q976="","",$K976&amp;"")</f>
        <v/>
      </c>
      <c r="S976" s="9">
        <f>IF(Q976="","",IF(MATCH(R976,$R$5:$R$100000,0)=ROW()-4,ROW(),""))</f>
        <v/>
      </c>
      <c r="T976" s="9">
        <f>IF(Q976="당기",ABS(P976)+ROW()/1000000000,"")</f>
        <v/>
      </c>
      <c r="U976" s="9">
        <f>IF(Q976="비교",ABS(P976)+ROW()/1000000000,"")</f>
        <v/>
      </c>
      <c r="V976" s="39">
        <f>IF($A976="","",IF(COUNTIF(변동분석!$E$7:$E$506,O976)&gt;0,"Y","N"))</f>
        <v/>
      </c>
      <c r="W976" s="39">
        <f>IF($A976="","",IFERROR(INDEX(계정매핑!$D$5:$D$504,MATCH($F976&amp;"",계정매핑!$A$5:$A$504,0)),"미매핑"))</f>
        <v/>
      </c>
      <c r="X976" s="9">
        <f>IF($A976="","",$F976&amp;"")</f>
        <v/>
      </c>
    </row>
    <row r="977">
      <c r="A977" s="75" t="n">
        <v>2025</v>
      </c>
      <c r="B977" s="75" t="n">
        <v>5</v>
      </c>
      <c r="C977" s="75" t="inlineStr">
        <is>
          <t>5100000973</t>
        </is>
      </c>
      <c r="D977" s="78" t="n">
        <v>45804</v>
      </c>
      <c r="E977" s="75" t="inlineStr">
        <is>
          <t>KR</t>
        </is>
      </c>
      <c r="F977" s="75" t="n">
        <v>62101000</v>
      </c>
      <c r="G977" s="75" t="n">
        <v>1401</v>
      </c>
      <c r="H977" s="76" t="n">
        <v>434000</v>
      </c>
      <c r="I977" s="75" t="inlineStr">
        <is>
          <t>5월 국내출장 - L여행사</t>
        </is>
      </c>
      <c r="J977" s="75" t="inlineStr">
        <is>
          <t>V10014</t>
        </is>
      </c>
      <c r="K977" s="75" t="inlineStr">
        <is>
          <t>L여행사</t>
        </is>
      </c>
      <c r="M977" s="9">
        <f>IF($A977="","",VALUE($A977&amp;"")*12+VALUE($B977&amp;""))</f>
        <v/>
      </c>
      <c r="N977" s="39">
        <f>IF($A977="","",IFERROR(INDEX(부서매핑!$C$5:$C$504,MATCH($G977&amp;"",부서매핑!$A$5:$A$504,0)),"미매핑"))</f>
        <v/>
      </c>
      <c r="O977" s="9">
        <f>IF($A977="","",N977&amp;"|"&amp;$F977)</f>
        <v/>
      </c>
      <c r="P977" s="77">
        <f>IF($A977="",0,$H977*설정!$C$23)</f>
        <v/>
      </c>
      <c r="Q977" s="39">
        <f>IF($A977="","",IF(O977&lt;&gt;원인분석!$C$9,"",IF(AND(M977&gt;=원인분석!$C$10,M977&lt;=원인분석!$C$11),"당기",IF(AND(M977&gt;=원인분석!$C$12,M977&lt;=원인분석!$C$13),"비교",""))))</f>
        <v/>
      </c>
      <c r="R977" s="9">
        <f>IF(Q977="","",$K977&amp;"")</f>
        <v/>
      </c>
      <c r="S977" s="9">
        <f>IF(Q977="","",IF(MATCH(R977,$R$5:$R$100000,0)=ROW()-4,ROW(),""))</f>
        <v/>
      </c>
      <c r="T977" s="9">
        <f>IF(Q977="당기",ABS(P977)+ROW()/1000000000,"")</f>
        <v/>
      </c>
      <c r="U977" s="9">
        <f>IF(Q977="비교",ABS(P977)+ROW()/1000000000,"")</f>
        <v/>
      </c>
      <c r="V977" s="39">
        <f>IF($A977="","",IF(COUNTIF(변동분석!$E$7:$E$506,O977)&gt;0,"Y","N"))</f>
        <v/>
      </c>
      <c r="W977" s="39">
        <f>IF($A977="","",IFERROR(INDEX(계정매핑!$D$5:$D$504,MATCH($F977&amp;"",계정매핑!$A$5:$A$504,0)),"미매핑"))</f>
        <v/>
      </c>
      <c r="X977" s="9">
        <f>IF($A977="","",$F977&amp;"")</f>
        <v/>
      </c>
    </row>
    <row r="978">
      <c r="A978" s="75" t="n">
        <v>2025</v>
      </c>
      <c r="B978" s="75" t="n">
        <v>5</v>
      </c>
      <c r="C978" s="75" t="inlineStr">
        <is>
          <t>5100000974</t>
        </is>
      </c>
      <c r="D978" s="78" t="n">
        <v>45804</v>
      </c>
      <c r="E978" s="75" t="inlineStr">
        <is>
          <t>KR</t>
        </is>
      </c>
      <c r="F978" s="75" t="n">
        <v>62102000</v>
      </c>
      <c r="G978" s="75" t="n">
        <v>1101</v>
      </c>
      <c r="H978" s="76" t="n">
        <v>119000</v>
      </c>
      <c r="I978" s="75" t="inlineStr">
        <is>
          <t>5월 해외출장 - N호텔</t>
        </is>
      </c>
      <c r="J978" s="75" t="inlineStr">
        <is>
          <t>V10007</t>
        </is>
      </c>
      <c r="K978" s="75" t="inlineStr">
        <is>
          <t>N호텔</t>
        </is>
      </c>
      <c r="M978" s="9">
        <f>IF($A978="","",VALUE($A978&amp;"")*12+VALUE($B978&amp;""))</f>
        <v/>
      </c>
      <c r="N978" s="39">
        <f>IF($A978="","",IFERROR(INDEX(부서매핑!$C$5:$C$504,MATCH($G978&amp;"",부서매핑!$A$5:$A$504,0)),"미매핑"))</f>
        <v/>
      </c>
      <c r="O978" s="9">
        <f>IF($A978="","",N978&amp;"|"&amp;$F978)</f>
        <v/>
      </c>
      <c r="P978" s="77">
        <f>IF($A978="",0,$H978*설정!$C$23)</f>
        <v/>
      </c>
      <c r="Q978" s="39">
        <f>IF($A978="","",IF(O978&lt;&gt;원인분석!$C$9,"",IF(AND(M978&gt;=원인분석!$C$10,M978&lt;=원인분석!$C$11),"당기",IF(AND(M978&gt;=원인분석!$C$12,M978&lt;=원인분석!$C$13),"비교",""))))</f>
        <v/>
      </c>
      <c r="R978" s="9">
        <f>IF(Q978="","",$K978&amp;"")</f>
        <v/>
      </c>
      <c r="S978" s="9">
        <f>IF(Q978="","",IF(MATCH(R978,$R$5:$R$100000,0)=ROW()-4,ROW(),""))</f>
        <v/>
      </c>
      <c r="T978" s="9">
        <f>IF(Q978="당기",ABS(P978)+ROW()/1000000000,"")</f>
        <v/>
      </c>
      <c r="U978" s="9">
        <f>IF(Q978="비교",ABS(P978)+ROW()/1000000000,"")</f>
        <v/>
      </c>
      <c r="V978" s="39">
        <f>IF($A978="","",IF(COUNTIF(변동분석!$E$7:$E$506,O978)&gt;0,"Y","N"))</f>
        <v/>
      </c>
      <c r="W978" s="39">
        <f>IF($A978="","",IFERROR(INDEX(계정매핑!$D$5:$D$504,MATCH($F978&amp;"",계정매핑!$A$5:$A$504,0)),"미매핑"))</f>
        <v/>
      </c>
      <c r="X978" s="9">
        <f>IF($A978="","",$F978&amp;"")</f>
        <v/>
      </c>
    </row>
    <row r="979">
      <c r="A979" s="75" t="n">
        <v>2025</v>
      </c>
      <c r="B979" s="75" t="n">
        <v>5</v>
      </c>
      <c r="C979" s="75" t="inlineStr">
        <is>
          <t>5100000975</t>
        </is>
      </c>
      <c r="D979" s="78" t="n">
        <v>45804</v>
      </c>
      <c r="E979" s="75" t="inlineStr">
        <is>
          <t>KR</t>
        </is>
      </c>
      <c r="F979" s="75" t="n">
        <v>62201000</v>
      </c>
      <c r="G979" s="75" t="n">
        <v>1301</v>
      </c>
      <c r="H979" s="76" t="n">
        <v>274000</v>
      </c>
      <c r="I979" s="75" t="inlineStr">
        <is>
          <t>5월 통신요금 - P통신</t>
        </is>
      </c>
      <c r="J979" s="75" t="inlineStr">
        <is>
          <t>V10011</t>
        </is>
      </c>
      <c r="K979" s="75" t="inlineStr">
        <is>
          <t>P통신</t>
        </is>
      </c>
      <c r="M979" s="9">
        <f>IF($A979="","",VALUE($A979&amp;"")*12+VALUE($B979&amp;""))</f>
        <v/>
      </c>
      <c r="N979" s="39">
        <f>IF($A979="","",IFERROR(INDEX(부서매핑!$C$5:$C$504,MATCH($G979&amp;"",부서매핑!$A$5:$A$504,0)),"미매핑"))</f>
        <v/>
      </c>
      <c r="O979" s="9">
        <f>IF($A979="","",N979&amp;"|"&amp;$F979)</f>
        <v/>
      </c>
      <c r="P979" s="77">
        <f>IF($A979="",0,$H979*설정!$C$23)</f>
        <v/>
      </c>
      <c r="Q979" s="39">
        <f>IF($A979="","",IF(O979&lt;&gt;원인분석!$C$9,"",IF(AND(M979&gt;=원인분석!$C$10,M979&lt;=원인분석!$C$11),"당기",IF(AND(M979&gt;=원인분석!$C$12,M979&lt;=원인분석!$C$13),"비교",""))))</f>
        <v/>
      </c>
      <c r="R979" s="9">
        <f>IF(Q979="","",$K979&amp;"")</f>
        <v/>
      </c>
      <c r="S979" s="9">
        <f>IF(Q979="","",IF(MATCH(R979,$R$5:$R$100000,0)=ROW()-4,ROW(),""))</f>
        <v/>
      </c>
      <c r="T979" s="9">
        <f>IF(Q979="당기",ABS(P979)+ROW()/1000000000,"")</f>
        <v/>
      </c>
      <c r="U979" s="9">
        <f>IF(Q979="비교",ABS(P979)+ROW()/1000000000,"")</f>
        <v/>
      </c>
      <c r="V979" s="39">
        <f>IF($A979="","",IF(COUNTIF(변동분석!$E$7:$E$506,O979)&gt;0,"Y","N"))</f>
        <v/>
      </c>
      <c r="W979" s="39">
        <f>IF($A979="","",IFERROR(INDEX(계정매핑!$D$5:$D$504,MATCH($F979&amp;"",계정매핑!$A$5:$A$504,0)),"미매핑"))</f>
        <v/>
      </c>
      <c r="X979" s="9">
        <f>IF($A979="","",$F979&amp;"")</f>
        <v/>
      </c>
    </row>
    <row r="980">
      <c r="A980" s="75" t="n">
        <v>2025</v>
      </c>
      <c r="B980" s="75" t="n">
        <v>5</v>
      </c>
      <c r="C980" s="75" t="inlineStr">
        <is>
          <t>5100000976</t>
        </is>
      </c>
      <c r="D980" s="78" t="n">
        <v>45804</v>
      </c>
      <c r="E980" s="75" t="inlineStr">
        <is>
          <t>KR</t>
        </is>
      </c>
      <c r="F980" s="75" t="n">
        <v>62301000</v>
      </c>
      <c r="G980" s="75" t="n">
        <v>1101</v>
      </c>
      <c r="H980" s="76" t="n">
        <v>141000</v>
      </c>
      <c r="I980" s="75" t="inlineStr">
        <is>
          <t>5월 소모품 구입 - Q오피스</t>
        </is>
      </c>
      <c r="J980" s="75" t="inlineStr">
        <is>
          <t>V10003</t>
        </is>
      </c>
      <c r="K980" s="75" t="inlineStr">
        <is>
          <t>Q오피스</t>
        </is>
      </c>
      <c r="M980" s="9">
        <f>IF($A980="","",VALUE($A980&amp;"")*12+VALUE($B980&amp;""))</f>
        <v/>
      </c>
      <c r="N980" s="39">
        <f>IF($A980="","",IFERROR(INDEX(부서매핑!$C$5:$C$504,MATCH($G980&amp;"",부서매핑!$A$5:$A$504,0)),"미매핑"))</f>
        <v/>
      </c>
      <c r="O980" s="9">
        <f>IF($A980="","",N980&amp;"|"&amp;$F980)</f>
        <v/>
      </c>
      <c r="P980" s="77">
        <f>IF($A980="",0,$H980*설정!$C$23)</f>
        <v/>
      </c>
      <c r="Q980" s="39">
        <f>IF($A980="","",IF(O980&lt;&gt;원인분석!$C$9,"",IF(AND(M980&gt;=원인분석!$C$10,M980&lt;=원인분석!$C$11),"당기",IF(AND(M980&gt;=원인분석!$C$12,M980&lt;=원인분석!$C$13),"비교",""))))</f>
        <v/>
      </c>
      <c r="R980" s="9">
        <f>IF(Q980="","",$K980&amp;"")</f>
        <v/>
      </c>
      <c r="S980" s="9">
        <f>IF(Q980="","",IF(MATCH(R980,$R$5:$R$100000,0)=ROW()-4,ROW(),""))</f>
        <v/>
      </c>
      <c r="T980" s="9">
        <f>IF(Q980="당기",ABS(P980)+ROW()/1000000000,"")</f>
        <v/>
      </c>
      <c r="U980" s="9">
        <f>IF(Q980="비교",ABS(P980)+ROW()/1000000000,"")</f>
        <v/>
      </c>
      <c r="V980" s="39">
        <f>IF($A980="","",IF(COUNTIF(변동분석!$E$7:$E$506,O980)&gt;0,"Y","N"))</f>
        <v/>
      </c>
      <c r="W980" s="39">
        <f>IF($A980="","",IFERROR(INDEX(계정매핑!$D$5:$D$504,MATCH($F980&amp;"",계정매핑!$A$5:$A$504,0)),"미매핑"))</f>
        <v/>
      </c>
      <c r="X980" s="9">
        <f>IF($A980="","",$F980&amp;"")</f>
        <v/>
      </c>
    </row>
    <row r="981">
      <c r="A981" s="75" t="n">
        <v>2025</v>
      </c>
      <c r="B981" s="75" t="n">
        <v>5</v>
      </c>
      <c r="C981" s="75" t="inlineStr">
        <is>
          <t>5100000977</t>
        </is>
      </c>
      <c r="D981" s="78" t="n">
        <v>45804</v>
      </c>
      <c r="E981" s="75" t="inlineStr">
        <is>
          <t>KR</t>
        </is>
      </c>
      <c r="F981" s="75" t="n">
        <v>62301000</v>
      </c>
      <c r="G981" s="75" t="n">
        <v>1701</v>
      </c>
      <c r="H981" s="76" t="n">
        <v>154000</v>
      </c>
      <c r="I981" s="75" t="inlineStr">
        <is>
          <t>5월 소모품 구입 - Q오피스</t>
        </is>
      </c>
      <c r="J981" s="75" t="inlineStr">
        <is>
          <t>V10003</t>
        </is>
      </c>
      <c r="K981" s="75" t="inlineStr">
        <is>
          <t>Q오피스</t>
        </is>
      </c>
      <c r="M981" s="9">
        <f>IF($A981="","",VALUE($A981&amp;"")*12+VALUE($B981&amp;""))</f>
        <v/>
      </c>
      <c r="N981" s="39">
        <f>IF($A981="","",IFERROR(INDEX(부서매핑!$C$5:$C$504,MATCH($G981&amp;"",부서매핑!$A$5:$A$504,0)),"미매핑"))</f>
        <v/>
      </c>
      <c r="O981" s="9">
        <f>IF($A981="","",N981&amp;"|"&amp;$F981)</f>
        <v/>
      </c>
      <c r="P981" s="77">
        <f>IF($A981="",0,$H981*설정!$C$23)</f>
        <v/>
      </c>
      <c r="Q981" s="39">
        <f>IF($A981="","",IF(O981&lt;&gt;원인분석!$C$9,"",IF(AND(M981&gt;=원인분석!$C$10,M981&lt;=원인분석!$C$11),"당기",IF(AND(M981&gt;=원인분석!$C$12,M981&lt;=원인분석!$C$13),"비교",""))))</f>
        <v/>
      </c>
      <c r="R981" s="9">
        <f>IF(Q981="","",$K981&amp;"")</f>
        <v/>
      </c>
      <c r="S981" s="9">
        <f>IF(Q981="","",IF(MATCH(R981,$R$5:$R$100000,0)=ROW()-4,ROW(),""))</f>
        <v/>
      </c>
      <c r="T981" s="9">
        <f>IF(Q981="당기",ABS(P981)+ROW()/1000000000,"")</f>
        <v/>
      </c>
      <c r="U981" s="9">
        <f>IF(Q981="비교",ABS(P981)+ROW()/1000000000,"")</f>
        <v/>
      </c>
      <c r="V981" s="39">
        <f>IF($A981="","",IF(COUNTIF(변동분석!$E$7:$E$506,O981)&gt;0,"Y","N"))</f>
        <v/>
      </c>
      <c r="W981" s="39">
        <f>IF($A981="","",IFERROR(INDEX(계정매핑!$D$5:$D$504,MATCH($F981&amp;"",계정매핑!$A$5:$A$504,0)),"미매핑"))</f>
        <v/>
      </c>
      <c r="X981" s="9">
        <f>IF($A981="","",$F981&amp;"")</f>
        <v/>
      </c>
    </row>
    <row r="982">
      <c r="A982" s="75" t="n">
        <v>2025</v>
      </c>
      <c r="B982" s="75" t="n">
        <v>5</v>
      </c>
      <c r="C982" s="75" t="inlineStr">
        <is>
          <t>5100000978</t>
        </is>
      </c>
      <c r="D982" s="78" t="n">
        <v>45804</v>
      </c>
      <c r="E982" s="75" t="inlineStr">
        <is>
          <t>KR</t>
        </is>
      </c>
      <c r="F982" s="75" t="n">
        <v>62401000</v>
      </c>
      <c r="G982" s="75" t="n">
        <v>1501</v>
      </c>
      <c r="H982" s="76" t="n">
        <v>3312000</v>
      </c>
      <c r="I982" s="75" t="inlineStr">
        <is>
          <t>5월 인쇄물 제작 - S출판</t>
        </is>
      </c>
      <c r="J982" s="75" t="inlineStr">
        <is>
          <t>V10012</t>
        </is>
      </c>
      <c r="K982" s="75" t="inlineStr">
        <is>
          <t>S출판</t>
        </is>
      </c>
      <c r="M982" s="9">
        <f>IF($A982="","",VALUE($A982&amp;"")*12+VALUE($B982&amp;""))</f>
        <v/>
      </c>
      <c r="N982" s="39">
        <f>IF($A982="","",IFERROR(INDEX(부서매핑!$C$5:$C$504,MATCH($G982&amp;"",부서매핑!$A$5:$A$504,0)),"미매핑"))</f>
        <v/>
      </c>
      <c r="O982" s="9">
        <f>IF($A982="","",N982&amp;"|"&amp;$F982)</f>
        <v/>
      </c>
      <c r="P982" s="77">
        <f>IF($A982="",0,$H982*설정!$C$23)</f>
        <v/>
      </c>
      <c r="Q982" s="39">
        <f>IF($A982="","",IF(O982&lt;&gt;원인분석!$C$9,"",IF(AND(M982&gt;=원인분석!$C$10,M982&lt;=원인분석!$C$11),"당기",IF(AND(M982&gt;=원인분석!$C$12,M982&lt;=원인분석!$C$13),"비교",""))))</f>
        <v/>
      </c>
      <c r="R982" s="9">
        <f>IF(Q982="","",$K982&amp;"")</f>
        <v/>
      </c>
      <c r="S982" s="9">
        <f>IF(Q982="","",IF(MATCH(R982,$R$5:$R$100000,0)=ROW()-4,ROW(),""))</f>
        <v/>
      </c>
      <c r="T982" s="9">
        <f>IF(Q982="당기",ABS(P982)+ROW()/1000000000,"")</f>
        <v/>
      </c>
      <c r="U982" s="9">
        <f>IF(Q982="비교",ABS(P982)+ROW()/1000000000,"")</f>
        <v/>
      </c>
      <c r="V982" s="39">
        <f>IF($A982="","",IF(COUNTIF(변동분석!$E$7:$E$506,O982)&gt;0,"Y","N"))</f>
        <v/>
      </c>
      <c r="W982" s="39">
        <f>IF($A982="","",IFERROR(INDEX(계정매핑!$D$5:$D$504,MATCH($F982&amp;"",계정매핑!$A$5:$A$504,0)),"미매핑"))</f>
        <v/>
      </c>
      <c r="X982" s="9">
        <f>IF($A982="","",$F982&amp;"")</f>
        <v/>
      </c>
    </row>
    <row r="983">
      <c r="A983" s="75" t="n">
        <v>2025</v>
      </c>
      <c r="B983" s="75" t="n">
        <v>5</v>
      </c>
      <c r="C983" s="75" t="inlineStr">
        <is>
          <t>5100000979</t>
        </is>
      </c>
      <c r="D983" s="78" t="n">
        <v>45804</v>
      </c>
      <c r="E983" s="75" t="inlineStr">
        <is>
          <t>KR</t>
        </is>
      </c>
      <c r="F983" s="75" t="n">
        <v>62501000</v>
      </c>
      <c r="G983" s="75" t="n">
        <v>1101</v>
      </c>
      <c r="H983" s="76" t="n">
        <v>246000</v>
      </c>
      <c r="I983" s="75" t="inlineStr">
        <is>
          <t>5월 회의 다과 - T케이터링</t>
        </is>
      </c>
      <c r="J983" s="75" t="inlineStr">
        <is>
          <t>V10005</t>
        </is>
      </c>
      <c r="K983" s="75" t="inlineStr">
        <is>
          <t>T케이터링</t>
        </is>
      </c>
      <c r="M983" s="9">
        <f>IF($A983="","",VALUE($A983&amp;"")*12+VALUE($B983&amp;""))</f>
        <v/>
      </c>
      <c r="N983" s="39">
        <f>IF($A983="","",IFERROR(INDEX(부서매핑!$C$5:$C$504,MATCH($G983&amp;"",부서매핑!$A$5:$A$504,0)),"미매핑"))</f>
        <v/>
      </c>
      <c r="O983" s="9">
        <f>IF($A983="","",N983&amp;"|"&amp;$F983)</f>
        <v/>
      </c>
      <c r="P983" s="77">
        <f>IF($A983="",0,$H983*설정!$C$23)</f>
        <v/>
      </c>
      <c r="Q983" s="39">
        <f>IF($A983="","",IF(O983&lt;&gt;원인분석!$C$9,"",IF(AND(M983&gt;=원인분석!$C$10,M983&lt;=원인분석!$C$11),"당기",IF(AND(M983&gt;=원인분석!$C$12,M983&lt;=원인분석!$C$13),"비교",""))))</f>
        <v/>
      </c>
      <c r="R983" s="9">
        <f>IF(Q983="","",$K983&amp;"")</f>
        <v/>
      </c>
      <c r="S983" s="9">
        <f>IF(Q983="","",IF(MATCH(R983,$R$5:$R$100000,0)=ROW()-4,ROW(),""))</f>
        <v/>
      </c>
      <c r="T983" s="9">
        <f>IF(Q983="당기",ABS(P983)+ROW()/1000000000,"")</f>
        <v/>
      </c>
      <c r="U983" s="9">
        <f>IF(Q983="비교",ABS(P983)+ROW()/1000000000,"")</f>
        <v/>
      </c>
      <c r="V983" s="39">
        <f>IF($A983="","",IF(COUNTIF(변동분석!$E$7:$E$506,O983)&gt;0,"Y","N"))</f>
        <v/>
      </c>
      <c r="W983" s="39">
        <f>IF($A983="","",IFERROR(INDEX(계정매핑!$D$5:$D$504,MATCH($F983&amp;"",계정매핑!$A$5:$A$504,0)),"미매핑"))</f>
        <v/>
      </c>
      <c r="X983" s="9">
        <f>IF($A983="","",$F983&amp;"")</f>
        <v/>
      </c>
    </row>
    <row r="984">
      <c r="A984" s="75" t="n">
        <v>2025</v>
      </c>
      <c r="B984" s="75" t="n">
        <v>5</v>
      </c>
      <c r="C984" s="75" t="inlineStr">
        <is>
          <t>5100000980</t>
        </is>
      </c>
      <c r="D984" s="78" t="n">
        <v>45804</v>
      </c>
      <c r="E984" s="75" t="inlineStr">
        <is>
          <t>KR</t>
        </is>
      </c>
      <c r="F984" s="75" t="n">
        <v>62501000</v>
      </c>
      <c r="G984" s="75" t="n">
        <v>1401</v>
      </c>
      <c r="H984" s="76" t="n">
        <v>106000</v>
      </c>
      <c r="I984" s="75" t="inlineStr">
        <is>
          <t>5월 회의 다과 - (법인카드)</t>
        </is>
      </c>
      <c r="J984" s="75" t="inlineStr">
        <is>
          <t>V10008</t>
        </is>
      </c>
      <c r="K984" s="75" t="inlineStr">
        <is>
          <t>(법인카드)</t>
        </is>
      </c>
      <c r="M984" s="9">
        <f>IF($A984="","",VALUE($A984&amp;"")*12+VALUE($B984&amp;""))</f>
        <v/>
      </c>
      <c r="N984" s="39">
        <f>IF($A984="","",IFERROR(INDEX(부서매핑!$C$5:$C$504,MATCH($G984&amp;"",부서매핑!$A$5:$A$504,0)),"미매핑"))</f>
        <v/>
      </c>
      <c r="O984" s="9">
        <f>IF($A984="","",N984&amp;"|"&amp;$F984)</f>
        <v/>
      </c>
      <c r="P984" s="77">
        <f>IF($A984="",0,$H984*설정!$C$23)</f>
        <v/>
      </c>
      <c r="Q984" s="39">
        <f>IF($A984="","",IF(O984&lt;&gt;원인분석!$C$9,"",IF(AND(M984&gt;=원인분석!$C$10,M984&lt;=원인분석!$C$11),"당기",IF(AND(M984&gt;=원인분석!$C$12,M984&lt;=원인분석!$C$13),"비교",""))))</f>
        <v/>
      </c>
      <c r="R984" s="9">
        <f>IF(Q984="","",$K984&amp;"")</f>
        <v/>
      </c>
      <c r="S984" s="9">
        <f>IF(Q984="","",IF(MATCH(R984,$R$5:$R$100000,0)=ROW()-4,ROW(),""))</f>
        <v/>
      </c>
      <c r="T984" s="9">
        <f>IF(Q984="당기",ABS(P984)+ROW()/1000000000,"")</f>
        <v/>
      </c>
      <c r="U984" s="9">
        <f>IF(Q984="비교",ABS(P984)+ROW()/1000000000,"")</f>
        <v/>
      </c>
      <c r="V984" s="39">
        <f>IF($A984="","",IF(COUNTIF(변동분석!$E$7:$E$506,O984)&gt;0,"Y","N"))</f>
        <v/>
      </c>
      <c r="W984" s="39">
        <f>IF($A984="","",IFERROR(INDEX(계정매핑!$D$5:$D$504,MATCH($F984&amp;"",계정매핑!$A$5:$A$504,0)),"미매핑"))</f>
        <v/>
      </c>
      <c r="X984" s="9">
        <f>IF($A984="","",$F984&amp;"")</f>
        <v/>
      </c>
    </row>
    <row r="985">
      <c r="A985" s="75" t="n">
        <v>2025</v>
      </c>
      <c r="B985" s="75" t="n">
        <v>5</v>
      </c>
      <c r="C985" s="75" t="inlineStr">
        <is>
          <t>5100000981</t>
        </is>
      </c>
      <c r="D985" s="78" t="n">
        <v>45804</v>
      </c>
      <c r="E985" s="75" t="inlineStr">
        <is>
          <t>KR</t>
        </is>
      </c>
      <c r="F985" s="75" t="n">
        <v>62701000</v>
      </c>
      <c r="G985" s="75" t="n">
        <v>1501</v>
      </c>
      <c r="H985" s="76" t="n">
        <v>27376000</v>
      </c>
      <c r="I985" s="75" t="inlineStr">
        <is>
          <t>5월 광고 집행 - F애드</t>
        </is>
      </c>
      <c r="J985" s="75" t="inlineStr">
        <is>
          <t>V10019</t>
        </is>
      </c>
      <c r="K985" s="75" t="inlineStr">
        <is>
          <t>F애드</t>
        </is>
      </c>
      <c r="M985" s="9">
        <f>IF($A985="","",VALUE($A985&amp;"")*12+VALUE($B985&amp;""))</f>
        <v/>
      </c>
      <c r="N985" s="39">
        <f>IF($A985="","",IFERROR(INDEX(부서매핑!$C$5:$C$504,MATCH($G985&amp;"",부서매핑!$A$5:$A$504,0)),"미매핑"))</f>
        <v/>
      </c>
      <c r="O985" s="9">
        <f>IF($A985="","",N985&amp;"|"&amp;$F985)</f>
        <v/>
      </c>
      <c r="P985" s="77">
        <f>IF($A985="",0,$H985*설정!$C$23)</f>
        <v/>
      </c>
      <c r="Q985" s="39">
        <f>IF($A985="","",IF(O985&lt;&gt;원인분석!$C$9,"",IF(AND(M985&gt;=원인분석!$C$10,M985&lt;=원인분석!$C$11),"당기",IF(AND(M985&gt;=원인분석!$C$12,M985&lt;=원인분석!$C$13),"비교",""))))</f>
        <v/>
      </c>
      <c r="R985" s="9">
        <f>IF(Q985="","",$K985&amp;"")</f>
        <v/>
      </c>
      <c r="S985" s="9">
        <f>IF(Q985="","",IF(MATCH(R985,$R$5:$R$100000,0)=ROW()-4,ROW(),""))</f>
        <v/>
      </c>
      <c r="T985" s="9">
        <f>IF(Q985="당기",ABS(P985)+ROW()/1000000000,"")</f>
        <v/>
      </c>
      <c r="U985" s="9">
        <f>IF(Q985="비교",ABS(P985)+ROW()/1000000000,"")</f>
        <v/>
      </c>
      <c r="V985" s="39">
        <f>IF($A985="","",IF(COUNTIF(변동분석!$E$7:$E$506,O985)&gt;0,"Y","N"))</f>
        <v/>
      </c>
      <c r="W985" s="39">
        <f>IF($A985="","",IFERROR(INDEX(계정매핑!$D$5:$D$504,MATCH($F985&amp;"",계정매핑!$A$5:$A$504,0)),"미매핑"))</f>
        <v/>
      </c>
      <c r="X985" s="9">
        <f>IF($A985="","",$F985&amp;"")</f>
        <v/>
      </c>
    </row>
    <row r="986">
      <c r="A986" s="75" t="n">
        <v>2025</v>
      </c>
      <c r="B986" s="75" t="n">
        <v>6</v>
      </c>
      <c r="C986" s="75" t="inlineStr">
        <is>
          <t>5100000982</t>
        </is>
      </c>
      <c r="D986" s="78" t="n">
        <v>45810</v>
      </c>
      <c r="E986" s="75" t="inlineStr">
        <is>
          <t>KR</t>
        </is>
      </c>
      <c r="F986" s="75" t="n">
        <v>62101000</v>
      </c>
      <c r="G986" s="75" t="n">
        <v>1101</v>
      </c>
      <c r="H986" s="76" t="n">
        <v>322000</v>
      </c>
      <c r="I986" s="75" t="inlineStr">
        <is>
          <t>6월 국내출장 - L여행사</t>
        </is>
      </c>
      <c r="J986" s="75" t="inlineStr">
        <is>
          <t>V10014</t>
        </is>
      </c>
      <c r="K986" s="75" t="inlineStr">
        <is>
          <t>L여행사</t>
        </is>
      </c>
      <c r="M986" s="9">
        <f>IF($A986="","",VALUE($A986&amp;"")*12+VALUE($B986&amp;""))</f>
        <v/>
      </c>
      <c r="N986" s="39">
        <f>IF($A986="","",IFERROR(INDEX(부서매핑!$C$5:$C$504,MATCH($G986&amp;"",부서매핑!$A$5:$A$504,0)),"미매핑"))</f>
        <v/>
      </c>
      <c r="O986" s="9">
        <f>IF($A986="","",N986&amp;"|"&amp;$F986)</f>
        <v/>
      </c>
      <c r="P986" s="77">
        <f>IF($A986="",0,$H986*설정!$C$23)</f>
        <v/>
      </c>
      <c r="Q986" s="39">
        <f>IF($A986="","",IF(O986&lt;&gt;원인분석!$C$9,"",IF(AND(M986&gt;=원인분석!$C$10,M986&lt;=원인분석!$C$11),"당기",IF(AND(M986&gt;=원인분석!$C$12,M986&lt;=원인분석!$C$13),"비교",""))))</f>
        <v/>
      </c>
      <c r="R986" s="9">
        <f>IF(Q986="","",$K986&amp;"")</f>
        <v/>
      </c>
      <c r="S986" s="9">
        <f>IF(Q986="","",IF(MATCH(R986,$R$5:$R$100000,0)=ROW()-4,ROW(),""))</f>
        <v/>
      </c>
      <c r="T986" s="9">
        <f>IF(Q986="당기",ABS(P986)+ROW()/1000000000,"")</f>
        <v/>
      </c>
      <c r="U986" s="9">
        <f>IF(Q986="비교",ABS(P986)+ROW()/1000000000,"")</f>
        <v/>
      </c>
      <c r="V986" s="39">
        <f>IF($A986="","",IF(COUNTIF(변동분석!$E$7:$E$506,O986)&gt;0,"Y","N"))</f>
        <v/>
      </c>
      <c r="W986" s="39">
        <f>IF($A986="","",IFERROR(INDEX(계정매핑!$D$5:$D$504,MATCH($F986&amp;"",계정매핑!$A$5:$A$504,0)),"미매핑"))</f>
        <v/>
      </c>
      <c r="X986" s="9">
        <f>IF($A986="","",$F986&amp;"")</f>
        <v/>
      </c>
    </row>
    <row r="987">
      <c r="A987" s="75" t="n">
        <v>2025</v>
      </c>
      <c r="B987" s="75" t="n">
        <v>6</v>
      </c>
      <c r="C987" s="75" t="inlineStr">
        <is>
          <t>5100000983</t>
        </is>
      </c>
      <c r="D987" s="78" t="n">
        <v>45810</v>
      </c>
      <c r="E987" s="75" t="inlineStr">
        <is>
          <t>KR</t>
        </is>
      </c>
      <c r="F987" s="75" t="n">
        <v>62101000</v>
      </c>
      <c r="G987" s="75" t="n">
        <v>1501</v>
      </c>
      <c r="H987" s="76" t="n">
        <v>681000</v>
      </c>
      <c r="I987" s="75" t="inlineStr">
        <is>
          <t>6월 국내출장 - L여행사</t>
        </is>
      </c>
      <c r="J987" s="75" t="inlineStr">
        <is>
          <t>V10014</t>
        </is>
      </c>
      <c r="K987" s="75" t="inlineStr">
        <is>
          <t>L여행사</t>
        </is>
      </c>
      <c r="M987" s="9">
        <f>IF($A987="","",VALUE($A987&amp;"")*12+VALUE($B987&amp;""))</f>
        <v/>
      </c>
      <c r="N987" s="39">
        <f>IF($A987="","",IFERROR(INDEX(부서매핑!$C$5:$C$504,MATCH($G987&amp;"",부서매핑!$A$5:$A$504,0)),"미매핑"))</f>
        <v/>
      </c>
      <c r="O987" s="9">
        <f>IF($A987="","",N987&amp;"|"&amp;$F987)</f>
        <v/>
      </c>
      <c r="P987" s="77">
        <f>IF($A987="",0,$H987*설정!$C$23)</f>
        <v/>
      </c>
      <c r="Q987" s="39">
        <f>IF($A987="","",IF(O987&lt;&gt;원인분석!$C$9,"",IF(AND(M987&gt;=원인분석!$C$10,M987&lt;=원인분석!$C$11),"당기",IF(AND(M987&gt;=원인분석!$C$12,M987&lt;=원인분석!$C$13),"비교",""))))</f>
        <v/>
      </c>
      <c r="R987" s="9">
        <f>IF(Q987="","",$K987&amp;"")</f>
        <v/>
      </c>
      <c r="S987" s="9">
        <f>IF(Q987="","",IF(MATCH(R987,$R$5:$R$100000,0)=ROW()-4,ROW(),""))</f>
        <v/>
      </c>
      <c r="T987" s="9">
        <f>IF(Q987="당기",ABS(P987)+ROW()/1000000000,"")</f>
        <v/>
      </c>
      <c r="U987" s="9">
        <f>IF(Q987="비교",ABS(P987)+ROW()/1000000000,"")</f>
        <v/>
      </c>
      <c r="V987" s="39">
        <f>IF($A987="","",IF(COUNTIF(변동분석!$E$7:$E$506,O987)&gt;0,"Y","N"))</f>
        <v/>
      </c>
      <c r="W987" s="39">
        <f>IF($A987="","",IFERROR(INDEX(계정매핑!$D$5:$D$504,MATCH($F987&amp;"",계정매핑!$A$5:$A$504,0)),"미매핑"))</f>
        <v/>
      </c>
      <c r="X987" s="9">
        <f>IF($A987="","",$F987&amp;"")</f>
        <v/>
      </c>
    </row>
    <row r="988">
      <c r="A988" s="75" t="n">
        <v>2025</v>
      </c>
      <c r="B988" s="75" t="n">
        <v>6</v>
      </c>
      <c r="C988" s="75" t="inlineStr">
        <is>
          <t>5100000984</t>
        </is>
      </c>
      <c r="D988" s="78" t="n">
        <v>45810</v>
      </c>
      <c r="E988" s="75" t="inlineStr">
        <is>
          <t>KR</t>
        </is>
      </c>
      <c r="F988" s="75" t="n">
        <v>62201000</v>
      </c>
      <c r="G988" s="75" t="n">
        <v>1401</v>
      </c>
      <c r="H988" s="76" t="n">
        <v>187000</v>
      </c>
      <c r="I988" s="75" t="inlineStr">
        <is>
          <t>6월 통신요금 - P통신</t>
        </is>
      </c>
      <c r="J988" s="75" t="inlineStr">
        <is>
          <t>V10011</t>
        </is>
      </c>
      <c r="K988" s="75" t="inlineStr">
        <is>
          <t>P통신</t>
        </is>
      </c>
      <c r="M988" s="9">
        <f>IF($A988="","",VALUE($A988&amp;"")*12+VALUE($B988&amp;""))</f>
        <v/>
      </c>
      <c r="N988" s="39">
        <f>IF($A988="","",IFERROR(INDEX(부서매핑!$C$5:$C$504,MATCH($G988&amp;"",부서매핑!$A$5:$A$504,0)),"미매핑"))</f>
        <v/>
      </c>
      <c r="O988" s="9">
        <f>IF($A988="","",N988&amp;"|"&amp;$F988)</f>
        <v/>
      </c>
      <c r="P988" s="77">
        <f>IF($A988="",0,$H988*설정!$C$23)</f>
        <v/>
      </c>
      <c r="Q988" s="39">
        <f>IF($A988="","",IF(O988&lt;&gt;원인분석!$C$9,"",IF(AND(M988&gt;=원인분석!$C$10,M988&lt;=원인분석!$C$11),"당기",IF(AND(M988&gt;=원인분석!$C$12,M988&lt;=원인분석!$C$13),"비교",""))))</f>
        <v/>
      </c>
      <c r="R988" s="9">
        <f>IF(Q988="","",$K988&amp;"")</f>
        <v/>
      </c>
      <c r="S988" s="9">
        <f>IF(Q988="","",IF(MATCH(R988,$R$5:$R$100000,0)=ROW()-4,ROW(),""))</f>
        <v/>
      </c>
      <c r="T988" s="9">
        <f>IF(Q988="당기",ABS(P988)+ROW()/1000000000,"")</f>
        <v/>
      </c>
      <c r="U988" s="9">
        <f>IF(Q988="비교",ABS(P988)+ROW()/1000000000,"")</f>
        <v/>
      </c>
      <c r="V988" s="39">
        <f>IF($A988="","",IF(COUNTIF(변동분석!$E$7:$E$506,O988)&gt;0,"Y","N"))</f>
        <v/>
      </c>
      <c r="W988" s="39">
        <f>IF($A988="","",IFERROR(INDEX(계정매핑!$D$5:$D$504,MATCH($F988&amp;"",계정매핑!$A$5:$A$504,0)),"미매핑"))</f>
        <v/>
      </c>
      <c r="X988" s="9">
        <f>IF($A988="","",$F988&amp;"")</f>
        <v/>
      </c>
    </row>
    <row r="989">
      <c r="A989" s="75" t="n">
        <v>2025</v>
      </c>
      <c r="B989" s="75" t="n">
        <v>6</v>
      </c>
      <c r="C989" s="75" t="inlineStr">
        <is>
          <t>5100000985</t>
        </is>
      </c>
      <c r="D989" s="78" t="n">
        <v>45810</v>
      </c>
      <c r="E989" s="75" t="inlineStr">
        <is>
          <t>KR</t>
        </is>
      </c>
      <c r="F989" s="75" t="n">
        <v>62301000</v>
      </c>
      <c r="G989" s="75" t="n">
        <v>1801</v>
      </c>
      <c r="H989" s="76" t="n">
        <v>430000</v>
      </c>
      <c r="I989" s="75" t="inlineStr">
        <is>
          <t>6월 소모품 구입 - R문구</t>
        </is>
      </c>
      <c r="J989" s="75" t="inlineStr">
        <is>
          <t>V10018</t>
        </is>
      </c>
      <c r="K989" s="75" t="inlineStr">
        <is>
          <t>R문구</t>
        </is>
      </c>
      <c r="M989" s="9">
        <f>IF($A989="","",VALUE($A989&amp;"")*12+VALUE($B989&amp;""))</f>
        <v/>
      </c>
      <c r="N989" s="39">
        <f>IF($A989="","",IFERROR(INDEX(부서매핑!$C$5:$C$504,MATCH($G989&amp;"",부서매핑!$A$5:$A$504,0)),"미매핑"))</f>
        <v/>
      </c>
      <c r="O989" s="9">
        <f>IF($A989="","",N989&amp;"|"&amp;$F989)</f>
        <v/>
      </c>
      <c r="P989" s="77">
        <f>IF($A989="",0,$H989*설정!$C$23)</f>
        <v/>
      </c>
      <c r="Q989" s="39">
        <f>IF($A989="","",IF(O989&lt;&gt;원인분석!$C$9,"",IF(AND(M989&gt;=원인분석!$C$10,M989&lt;=원인분석!$C$11),"당기",IF(AND(M989&gt;=원인분석!$C$12,M989&lt;=원인분석!$C$13),"비교",""))))</f>
        <v/>
      </c>
      <c r="R989" s="9">
        <f>IF(Q989="","",$K989&amp;"")</f>
        <v/>
      </c>
      <c r="S989" s="9">
        <f>IF(Q989="","",IF(MATCH(R989,$R$5:$R$100000,0)=ROW()-4,ROW(),""))</f>
        <v/>
      </c>
      <c r="T989" s="9">
        <f>IF(Q989="당기",ABS(P989)+ROW()/1000000000,"")</f>
        <v/>
      </c>
      <c r="U989" s="9">
        <f>IF(Q989="비교",ABS(P989)+ROW()/1000000000,"")</f>
        <v/>
      </c>
      <c r="V989" s="39">
        <f>IF($A989="","",IF(COUNTIF(변동분석!$E$7:$E$506,O989)&gt;0,"Y","N"))</f>
        <v/>
      </c>
      <c r="W989" s="39">
        <f>IF($A989="","",IFERROR(INDEX(계정매핑!$D$5:$D$504,MATCH($F989&amp;"",계정매핑!$A$5:$A$504,0)),"미매핑"))</f>
        <v/>
      </c>
      <c r="X989" s="9">
        <f>IF($A989="","",$F989&amp;"")</f>
        <v/>
      </c>
    </row>
    <row r="990">
      <c r="A990" s="75" t="n">
        <v>2025</v>
      </c>
      <c r="B990" s="75" t="n">
        <v>6</v>
      </c>
      <c r="C990" s="75" t="inlineStr">
        <is>
          <t>5100000986</t>
        </is>
      </c>
      <c r="D990" s="78" t="n">
        <v>45810</v>
      </c>
      <c r="E990" s="75" t="inlineStr">
        <is>
          <t>KR</t>
        </is>
      </c>
      <c r="F990" s="75" t="n">
        <v>62501000</v>
      </c>
      <c r="G990" s="75" t="n">
        <v>1101</v>
      </c>
      <c r="H990" s="76" t="n">
        <v>316000</v>
      </c>
      <c r="I990" s="75" t="inlineStr">
        <is>
          <t>6월 회의 다과 - T케이터링</t>
        </is>
      </c>
      <c r="J990" s="75" t="inlineStr">
        <is>
          <t>V10005</t>
        </is>
      </c>
      <c r="K990" s="75" t="inlineStr">
        <is>
          <t>T케이터링</t>
        </is>
      </c>
      <c r="M990" s="9">
        <f>IF($A990="","",VALUE($A990&amp;"")*12+VALUE($B990&amp;""))</f>
        <v/>
      </c>
      <c r="N990" s="39">
        <f>IF($A990="","",IFERROR(INDEX(부서매핑!$C$5:$C$504,MATCH($G990&amp;"",부서매핑!$A$5:$A$504,0)),"미매핑"))</f>
        <v/>
      </c>
      <c r="O990" s="9">
        <f>IF($A990="","",N990&amp;"|"&amp;$F990)</f>
        <v/>
      </c>
      <c r="P990" s="77">
        <f>IF($A990="",0,$H990*설정!$C$23)</f>
        <v/>
      </c>
      <c r="Q990" s="39">
        <f>IF($A990="","",IF(O990&lt;&gt;원인분석!$C$9,"",IF(AND(M990&gt;=원인분석!$C$10,M990&lt;=원인분석!$C$11),"당기",IF(AND(M990&gt;=원인분석!$C$12,M990&lt;=원인분석!$C$13),"비교",""))))</f>
        <v/>
      </c>
      <c r="R990" s="9">
        <f>IF(Q990="","",$K990&amp;"")</f>
        <v/>
      </c>
      <c r="S990" s="9">
        <f>IF(Q990="","",IF(MATCH(R990,$R$5:$R$100000,0)=ROW()-4,ROW(),""))</f>
        <v/>
      </c>
      <c r="T990" s="9">
        <f>IF(Q990="당기",ABS(P990)+ROW()/1000000000,"")</f>
        <v/>
      </c>
      <c r="U990" s="9">
        <f>IF(Q990="비교",ABS(P990)+ROW()/1000000000,"")</f>
        <v/>
      </c>
      <c r="V990" s="39">
        <f>IF($A990="","",IF(COUNTIF(변동분석!$E$7:$E$506,O990)&gt;0,"Y","N"))</f>
        <v/>
      </c>
      <c r="W990" s="39">
        <f>IF($A990="","",IFERROR(INDEX(계정매핑!$D$5:$D$504,MATCH($F990&amp;"",계정매핑!$A$5:$A$504,0)),"미매핑"))</f>
        <v/>
      </c>
      <c r="X990" s="9">
        <f>IF($A990="","",$F990&amp;"")</f>
        <v/>
      </c>
    </row>
    <row r="991">
      <c r="A991" s="75" t="n">
        <v>2025</v>
      </c>
      <c r="B991" s="75" t="n">
        <v>6</v>
      </c>
      <c r="C991" s="75" t="inlineStr">
        <is>
          <t>5100000987</t>
        </is>
      </c>
      <c r="D991" s="78" t="n">
        <v>45810</v>
      </c>
      <c r="E991" s="75" t="inlineStr">
        <is>
          <t>KR</t>
        </is>
      </c>
      <c r="F991" s="75" t="n">
        <v>62501000</v>
      </c>
      <c r="G991" s="75" t="n">
        <v>1701</v>
      </c>
      <c r="H991" s="76" t="n">
        <v>83000</v>
      </c>
      <c r="I991" s="75" t="inlineStr">
        <is>
          <t>6월 회의 다과 - T케이터링</t>
        </is>
      </c>
      <c r="J991" s="75" t="inlineStr">
        <is>
          <t>V10005</t>
        </is>
      </c>
      <c r="K991" s="75" t="inlineStr">
        <is>
          <t>T케이터링</t>
        </is>
      </c>
      <c r="M991" s="9">
        <f>IF($A991="","",VALUE($A991&amp;"")*12+VALUE($B991&amp;""))</f>
        <v/>
      </c>
      <c r="N991" s="39">
        <f>IF($A991="","",IFERROR(INDEX(부서매핑!$C$5:$C$504,MATCH($G991&amp;"",부서매핑!$A$5:$A$504,0)),"미매핑"))</f>
        <v/>
      </c>
      <c r="O991" s="9">
        <f>IF($A991="","",N991&amp;"|"&amp;$F991)</f>
        <v/>
      </c>
      <c r="P991" s="77">
        <f>IF($A991="",0,$H991*설정!$C$23)</f>
        <v/>
      </c>
      <c r="Q991" s="39">
        <f>IF($A991="","",IF(O991&lt;&gt;원인분석!$C$9,"",IF(AND(M991&gt;=원인분석!$C$10,M991&lt;=원인분석!$C$11),"당기",IF(AND(M991&gt;=원인분석!$C$12,M991&lt;=원인분석!$C$13),"비교",""))))</f>
        <v/>
      </c>
      <c r="R991" s="9">
        <f>IF(Q991="","",$K991&amp;"")</f>
        <v/>
      </c>
      <c r="S991" s="9">
        <f>IF(Q991="","",IF(MATCH(R991,$R$5:$R$100000,0)=ROW()-4,ROW(),""))</f>
        <v/>
      </c>
      <c r="T991" s="9">
        <f>IF(Q991="당기",ABS(P991)+ROW()/1000000000,"")</f>
        <v/>
      </c>
      <c r="U991" s="9">
        <f>IF(Q991="비교",ABS(P991)+ROW()/1000000000,"")</f>
        <v/>
      </c>
      <c r="V991" s="39">
        <f>IF($A991="","",IF(COUNTIF(변동분석!$E$7:$E$506,O991)&gt;0,"Y","N"))</f>
        <v/>
      </c>
      <c r="W991" s="39">
        <f>IF($A991="","",IFERROR(INDEX(계정매핑!$D$5:$D$504,MATCH($F991&amp;"",계정매핑!$A$5:$A$504,0)),"미매핑"))</f>
        <v/>
      </c>
      <c r="X991" s="9">
        <f>IF($A991="","",$F991&amp;"")</f>
        <v/>
      </c>
    </row>
    <row r="992">
      <c r="A992" s="75" t="n">
        <v>2025</v>
      </c>
      <c r="B992" s="75" t="n">
        <v>6</v>
      </c>
      <c r="C992" s="75" t="inlineStr">
        <is>
          <t>5100000988</t>
        </is>
      </c>
      <c r="D992" s="78" t="n">
        <v>45810</v>
      </c>
      <c r="E992" s="75" t="inlineStr">
        <is>
          <t>KR</t>
        </is>
      </c>
      <c r="F992" s="75" t="n">
        <v>62601000</v>
      </c>
      <c r="G992" s="75" t="n">
        <v>1301</v>
      </c>
      <c r="H992" s="76" t="n">
        <v>1761000</v>
      </c>
      <c r="I992" s="75" t="inlineStr">
        <is>
          <t>6월 업무추진 - (법인카드)</t>
        </is>
      </c>
      <c r="J992" s="75" t="inlineStr">
        <is>
          <t>V10008</t>
        </is>
      </c>
      <c r="K992" s="75" t="inlineStr">
        <is>
          <t>(법인카드)</t>
        </is>
      </c>
      <c r="M992" s="9">
        <f>IF($A992="","",VALUE($A992&amp;"")*12+VALUE($B992&amp;""))</f>
        <v/>
      </c>
      <c r="N992" s="39">
        <f>IF($A992="","",IFERROR(INDEX(부서매핑!$C$5:$C$504,MATCH($G992&amp;"",부서매핑!$A$5:$A$504,0)),"미매핑"))</f>
        <v/>
      </c>
      <c r="O992" s="9">
        <f>IF($A992="","",N992&amp;"|"&amp;$F992)</f>
        <v/>
      </c>
      <c r="P992" s="77">
        <f>IF($A992="",0,$H992*설정!$C$23)</f>
        <v/>
      </c>
      <c r="Q992" s="39">
        <f>IF($A992="","",IF(O992&lt;&gt;원인분석!$C$9,"",IF(AND(M992&gt;=원인분석!$C$10,M992&lt;=원인분석!$C$11),"당기",IF(AND(M992&gt;=원인분석!$C$12,M992&lt;=원인분석!$C$13),"비교",""))))</f>
        <v/>
      </c>
      <c r="R992" s="9">
        <f>IF(Q992="","",$K992&amp;"")</f>
        <v/>
      </c>
      <c r="S992" s="9">
        <f>IF(Q992="","",IF(MATCH(R992,$R$5:$R$100000,0)=ROW()-4,ROW(),""))</f>
        <v/>
      </c>
      <c r="T992" s="9">
        <f>IF(Q992="당기",ABS(P992)+ROW()/1000000000,"")</f>
        <v/>
      </c>
      <c r="U992" s="9">
        <f>IF(Q992="비교",ABS(P992)+ROW()/1000000000,"")</f>
        <v/>
      </c>
      <c r="V992" s="39">
        <f>IF($A992="","",IF(COUNTIF(변동분석!$E$7:$E$506,O992)&gt;0,"Y","N"))</f>
        <v/>
      </c>
      <c r="W992" s="39">
        <f>IF($A992="","",IFERROR(INDEX(계정매핑!$D$5:$D$504,MATCH($F992&amp;"",계정매핑!$A$5:$A$504,0)),"미매핑"))</f>
        <v/>
      </c>
      <c r="X992" s="9">
        <f>IF($A992="","",$F992&amp;"")</f>
        <v/>
      </c>
    </row>
    <row r="993">
      <c r="A993" s="75" t="n">
        <v>2025</v>
      </c>
      <c r="B993" s="75" t="n">
        <v>6</v>
      </c>
      <c r="C993" s="75" t="inlineStr">
        <is>
          <t>5100000989</t>
        </is>
      </c>
      <c r="D993" s="78" t="n">
        <v>45811</v>
      </c>
      <c r="E993" s="75" t="inlineStr">
        <is>
          <t>KR</t>
        </is>
      </c>
      <c r="F993" s="75" t="n">
        <v>62101000</v>
      </c>
      <c r="G993" s="75" t="n">
        <v>1201</v>
      </c>
      <c r="H993" s="76" t="n">
        <v>250000</v>
      </c>
      <c r="I993" s="75" t="inlineStr">
        <is>
          <t>6월 국내출장 - M항공</t>
        </is>
      </c>
      <c r="J993" s="75" t="inlineStr">
        <is>
          <t>V10001</t>
        </is>
      </c>
      <c r="K993" s="75" t="inlineStr">
        <is>
          <t>M항공</t>
        </is>
      </c>
      <c r="M993" s="9">
        <f>IF($A993="","",VALUE($A993&amp;"")*12+VALUE($B993&amp;""))</f>
        <v/>
      </c>
      <c r="N993" s="39">
        <f>IF($A993="","",IFERROR(INDEX(부서매핑!$C$5:$C$504,MATCH($G993&amp;"",부서매핑!$A$5:$A$504,0)),"미매핑"))</f>
        <v/>
      </c>
      <c r="O993" s="9">
        <f>IF($A993="","",N993&amp;"|"&amp;$F993)</f>
        <v/>
      </c>
      <c r="P993" s="77">
        <f>IF($A993="",0,$H993*설정!$C$23)</f>
        <v/>
      </c>
      <c r="Q993" s="39">
        <f>IF($A993="","",IF(O993&lt;&gt;원인분석!$C$9,"",IF(AND(M993&gt;=원인분석!$C$10,M993&lt;=원인분석!$C$11),"당기",IF(AND(M993&gt;=원인분석!$C$12,M993&lt;=원인분석!$C$13),"비교",""))))</f>
        <v/>
      </c>
      <c r="R993" s="9">
        <f>IF(Q993="","",$K993&amp;"")</f>
        <v/>
      </c>
      <c r="S993" s="9">
        <f>IF(Q993="","",IF(MATCH(R993,$R$5:$R$100000,0)=ROW()-4,ROW(),""))</f>
        <v/>
      </c>
      <c r="T993" s="9">
        <f>IF(Q993="당기",ABS(P993)+ROW()/1000000000,"")</f>
        <v/>
      </c>
      <c r="U993" s="9">
        <f>IF(Q993="비교",ABS(P993)+ROW()/1000000000,"")</f>
        <v/>
      </c>
      <c r="V993" s="39">
        <f>IF($A993="","",IF(COUNTIF(변동분석!$E$7:$E$506,O993)&gt;0,"Y","N"))</f>
        <v/>
      </c>
      <c r="W993" s="39">
        <f>IF($A993="","",IFERROR(INDEX(계정매핑!$D$5:$D$504,MATCH($F993&amp;"",계정매핑!$A$5:$A$504,0)),"미매핑"))</f>
        <v/>
      </c>
      <c r="X993" s="9">
        <f>IF($A993="","",$F993&amp;"")</f>
        <v/>
      </c>
    </row>
    <row r="994">
      <c r="A994" s="75" t="n">
        <v>2025</v>
      </c>
      <c r="B994" s="75" t="n">
        <v>6</v>
      </c>
      <c r="C994" s="75" t="inlineStr">
        <is>
          <t>5100000990</t>
        </is>
      </c>
      <c r="D994" s="78" t="n">
        <v>45811</v>
      </c>
      <c r="E994" s="75" t="inlineStr">
        <is>
          <t>KR</t>
        </is>
      </c>
      <c r="F994" s="75" t="n">
        <v>62201000</v>
      </c>
      <c r="G994" s="75" t="n">
        <v>1201</v>
      </c>
      <c r="H994" s="76" t="n">
        <v>176000</v>
      </c>
      <c r="I994" s="75" t="inlineStr">
        <is>
          <t>6월 통신요금 - O텔레콤</t>
        </is>
      </c>
      <c r="J994" s="75" t="inlineStr">
        <is>
          <t>V10002</t>
        </is>
      </c>
      <c r="K994" s="75" t="inlineStr">
        <is>
          <t>O텔레콤</t>
        </is>
      </c>
      <c r="M994" s="9">
        <f>IF($A994="","",VALUE($A994&amp;"")*12+VALUE($B994&amp;""))</f>
        <v/>
      </c>
      <c r="N994" s="39">
        <f>IF($A994="","",IFERROR(INDEX(부서매핑!$C$5:$C$504,MATCH($G994&amp;"",부서매핑!$A$5:$A$504,0)),"미매핑"))</f>
        <v/>
      </c>
      <c r="O994" s="9">
        <f>IF($A994="","",N994&amp;"|"&amp;$F994)</f>
        <v/>
      </c>
      <c r="P994" s="77">
        <f>IF($A994="",0,$H994*설정!$C$23)</f>
        <v/>
      </c>
      <c r="Q994" s="39">
        <f>IF($A994="","",IF(O994&lt;&gt;원인분석!$C$9,"",IF(AND(M994&gt;=원인분석!$C$10,M994&lt;=원인분석!$C$11),"당기",IF(AND(M994&gt;=원인분석!$C$12,M994&lt;=원인분석!$C$13),"비교",""))))</f>
        <v/>
      </c>
      <c r="R994" s="9">
        <f>IF(Q994="","",$K994&amp;"")</f>
        <v/>
      </c>
      <c r="S994" s="9">
        <f>IF(Q994="","",IF(MATCH(R994,$R$5:$R$100000,0)=ROW()-4,ROW(),""))</f>
        <v/>
      </c>
      <c r="T994" s="9">
        <f>IF(Q994="당기",ABS(P994)+ROW()/1000000000,"")</f>
        <v/>
      </c>
      <c r="U994" s="9">
        <f>IF(Q994="비교",ABS(P994)+ROW()/1000000000,"")</f>
        <v/>
      </c>
      <c r="V994" s="39">
        <f>IF($A994="","",IF(COUNTIF(변동분석!$E$7:$E$506,O994)&gt;0,"Y","N"))</f>
        <v/>
      </c>
      <c r="W994" s="39">
        <f>IF($A994="","",IFERROR(INDEX(계정매핑!$D$5:$D$504,MATCH($F994&amp;"",계정매핑!$A$5:$A$504,0)),"미매핑"))</f>
        <v/>
      </c>
      <c r="X994" s="9">
        <f>IF($A994="","",$F994&amp;"")</f>
        <v/>
      </c>
    </row>
    <row r="995">
      <c r="A995" s="75" t="n">
        <v>2025</v>
      </c>
      <c r="B995" s="75" t="n">
        <v>6</v>
      </c>
      <c r="C995" s="75" t="inlineStr">
        <is>
          <t>5100000991</t>
        </is>
      </c>
      <c r="D995" s="78" t="n">
        <v>45811</v>
      </c>
      <c r="E995" s="75" t="inlineStr">
        <is>
          <t>KR</t>
        </is>
      </c>
      <c r="F995" s="75" t="n">
        <v>62601000</v>
      </c>
      <c r="G995" s="75" t="n">
        <v>1602</v>
      </c>
      <c r="H995" s="76" t="n">
        <v>3200000</v>
      </c>
      <c r="I995" s="75" t="inlineStr">
        <is>
          <t>6월 업무추진 - (법인카드)</t>
        </is>
      </c>
      <c r="J995" s="75" t="inlineStr">
        <is>
          <t>V10008</t>
        </is>
      </c>
      <c r="K995" s="75" t="inlineStr">
        <is>
          <t>(법인카드)</t>
        </is>
      </c>
      <c r="M995" s="9">
        <f>IF($A995="","",VALUE($A995&amp;"")*12+VALUE($B995&amp;""))</f>
        <v/>
      </c>
      <c r="N995" s="39">
        <f>IF($A995="","",IFERROR(INDEX(부서매핑!$C$5:$C$504,MATCH($G995&amp;"",부서매핑!$A$5:$A$504,0)),"미매핑"))</f>
        <v/>
      </c>
      <c r="O995" s="9">
        <f>IF($A995="","",N995&amp;"|"&amp;$F995)</f>
        <v/>
      </c>
      <c r="P995" s="77">
        <f>IF($A995="",0,$H995*설정!$C$23)</f>
        <v/>
      </c>
      <c r="Q995" s="39">
        <f>IF($A995="","",IF(O995&lt;&gt;원인분석!$C$9,"",IF(AND(M995&gt;=원인분석!$C$10,M995&lt;=원인분석!$C$11),"당기",IF(AND(M995&gt;=원인분석!$C$12,M995&lt;=원인분석!$C$13),"비교",""))))</f>
        <v/>
      </c>
      <c r="R995" s="9">
        <f>IF(Q995="","",$K995&amp;"")</f>
        <v/>
      </c>
      <c r="S995" s="9">
        <f>IF(Q995="","",IF(MATCH(R995,$R$5:$R$100000,0)=ROW()-4,ROW(),""))</f>
        <v/>
      </c>
      <c r="T995" s="9">
        <f>IF(Q995="당기",ABS(P995)+ROW()/1000000000,"")</f>
        <v/>
      </c>
      <c r="U995" s="9">
        <f>IF(Q995="비교",ABS(P995)+ROW()/1000000000,"")</f>
        <v/>
      </c>
      <c r="V995" s="39">
        <f>IF($A995="","",IF(COUNTIF(변동분석!$E$7:$E$506,O995)&gt;0,"Y","N"))</f>
        <v/>
      </c>
      <c r="W995" s="39">
        <f>IF($A995="","",IFERROR(INDEX(계정매핑!$D$5:$D$504,MATCH($F995&amp;"",계정매핑!$A$5:$A$504,0)),"미매핑"))</f>
        <v/>
      </c>
      <c r="X995" s="9">
        <f>IF($A995="","",$F995&amp;"")</f>
        <v/>
      </c>
    </row>
    <row r="996">
      <c r="A996" s="75" t="n">
        <v>2025</v>
      </c>
      <c r="B996" s="75" t="n">
        <v>6</v>
      </c>
      <c r="C996" s="75" t="inlineStr">
        <is>
          <t>5100000992</t>
        </is>
      </c>
      <c r="D996" s="78" t="n">
        <v>45811</v>
      </c>
      <c r="E996" s="75" t="inlineStr">
        <is>
          <t>KR</t>
        </is>
      </c>
      <c r="F996" s="75" t="n">
        <v>63201000</v>
      </c>
      <c r="G996" s="75" t="n">
        <v>1601</v>
      </c>
      <c r="H996" s="76" t="n">
        <v>1714000</v>
      </c>
      <c r="I996" s="75" t="inlineStr">
        <is>
          <t>6월 차량 유지 - H에너지</t>
        </is>
      </c>
      <c r="J996" s="75" t="inlineStr">
        <is>
          <t>V10025</t>
        </is>
      </c>
      <c r="K996" s="75" t="inlineStr">
        <is>
          <t>H에너지</t>
        </is>
      </c>
      <c r="M996" s="9">
        <f>IF($A996="","",VALUE($A996&amp;"")*12+VALUE($B996&amp;""))</f>
        <v/>
      </c>
      <c r="N996" s="39">
        <f>IF($A996="","",IFERROR(INDEX(부서매핑!$C$5:$C$504,MATCH($G996&amp;"",부서매핑!$A$5:$A$504,0)),"미매핑"))</f>
        <v/>
      </c>
      <c r="O996" s="9">
        <f>IF($A996="","",N996&amp;"|"&amp;$F996)</f>
        <v/>
      </c>
      <c r="P996" s="77">
        <f>IF($A996="",0,$H996*설정!$C$23)</f>
        <v/>
      </c>
      <c r="Q996" s="39">
        <f>IF($A996="","",IF(O996&lt;&gt;원인분석!$C$9,"",IF(AND(M996&gt;=원인분석!$C$10,M996&lt;=원인분석!$C$11),"당기",IF(AND(M996&gt;=원인분석!$C$12,M996&lt;=원인분석!$C$13),"비교",""))))</f>
        <v/>
      </c>
      <c r="R996" s="9">
        <f>IF(Q996="","",$K996&amp;"")</f>
        <v/>
      </c>
      <c r="S996" s="9">
        <f>IF(Q996="","",IF(MATCH(R996,$R$5:$R$100000,0)=ROW()-4,ROW(),""))</f>
        <v/>
      </c>
      <c r="T996" s="9">
        <f>IF(Q996="당기",ABS(P996)+ROW()/1000000000,"")</f>
        <v/>
      </c>
      <c r="U996" s="9">
        <f>IF(Q996="비교",ABS(P996)+ROW()/1000000000,"")</f>
        <v/>
      </c>
      <c r="V996" s="39">
        <f>IF($A996="","",IF(COUNTIF(변동분석!$E$7:$E$506,O996)&gt;0,"Y","N"))</f>
        <v/>
      </c>
      <c r="W996" s="39">
        <f>IF($A996="","",IFERROR(INDEX(계정매핑!$D$5:$D$504,MATCH($F996&amp;"",계정매핑!$A$5:$A$504,0)),"미매핑"))</f>
        <v/>
      </c>
      <c r="X996" s="9">
        <f>IF($A996="","",$F996&amp;"")</f>
        <v/>
      </c>
    </row>
    <row r="997">
      <c r="A997" s="75" t="n">
        <v>2025</v>
      </c>
      <c r="B997" s="75" t="n">
        <v>6</v>
      </c>
      <c r="C997" s="75" t="inlineStr">
        <is>
          <t>5100000993</t>
        </is>
      </c>
      <c r="D997" s="78" t="n">
        <v>45812</v>
      </c>
      <c r="E997" s="75" t="inlineStr">
        <is>
          <t>KR</t>
        </is>
      </c>
      <c r="F997" s="75" t="n">
        <v>62101000</v>
      </c>
      <c r="G997" s="75" t="n">
        <v>1401</v>
      </c>
      <c r="H997" s="76" t="n">
        <v>578000</v>
      </c>
      <c r="I997" s="75" t="inlineStr">
        <is>
          <t>6월 국내출장 - M항공</t>
        </is>
      </c>
      <c r="J997" s="75" t="inlineStr">
        <is>
          <t>V10001</t>
        </is>
      </c>
      <c r="K997" s="75" t="inlineStr">
        <is>
          <t>M항공</t>
        </is>
      </c>
      <c r="M997" s="9">
        <f>IF($A997="","",VALUE($A997&amp;"")*12+VALUE($B997&amp;""))</f>
        <v/>
      </c>
      <c r="N997" s="39">
        <f>IF($A997="","",IFERROR(INDEX(부서매핑!$C$5:$C$504,MATCH($G997&amp;"",부서매핑!$A$5:$A$504,0)),"미매핑"))</f>
        <v/>
      </c>
      <c r="O997" s="9">
        <f>IF($A997="","",N997&amp;"|"&amp;$F997)</f>
        <v/>
      </c>
      <c r="P997" s="77">
        <f>IF($A997="",0,$H997*설정!$C$23)</f>
        <v/>
      </c>
      <c r="Q997" s="39">
        <f>IF($A997="","",IF(O997&lt;&gt;원인분석!$C$9,"",IF(AND(M997&gt;=원인분석!$C$10,M997&lt;=원인분석!$C$11),"당기",IF(AND(M997&gt;=원인분석!$C$12,M997&lt;=원인분석!$C$13),"비교",""))))</f>
        <v/>
      </c>
      <c r="R997" s="9">
        <f>IF(Q997="","",$K997&amp;"")</f>
        <v/>
      </c>
      <c r="S997" s="9">
        <f>IF(Q997="","",IF(MATCH(R997,$R$5:$R$100000,0)=ROW()-4,ROW(),""))</f>
        <v/>
      </c>
      <c r="T997" s="9">
        <f>IF(Q997="당기",ABS(P997)+ROW()/1000000000,"")</f>
        <v/>
      </c>
      <c r="U997" s="9">
        <f>IF(Q997="비교",ABS(P997)+ROW()/1000000000,"")</f>
        <v/>
      </c>
      <c r="V997" s="39">
        <f>IF($A997="","",IF(COUNTIF(변동분석!$E$7:$E$506,O997)&gt;0,"Y","N"))</f>
        <v/>
      </c>
      <c r="W997" s="39">
        <f>IF($A997="","",IFERROR(INDEX(계정매핑!$D$5:$D$504,MATCH($F997&amp;"",계정매핑!$A$5:$A$504,0)),"미매핑"))</f>
        <v/>
      </c>
      <c r="X997" s="9">
        <f>IF($A997="","",$F997&amp;"")</f>
        <v/>
      </c>
    </row>
    <row r="998">
      <c r="A998" s="75" t="n">
        <v>2025</v>
      </c>
      <c r="B998" s="75" t="n">
        <v>6</v>
      </c>
      <c r="C998" s="75" t="inlineStr">
        <is>
          <t>5100000994</t>
        </is>
      </c>
      <c r="D998" s="78" t="n">
        <v>45812</v>
      </c>
      <c r="E998" s="75" t="inlineStr">
        <is>
          <t>KR</t>
        </is>
      </c>
      <c r="F998" s="75" t="n">
        <v>62102000</v>
      </c>
      <c r="G998" s="75" t="n">
        <v>1501</v>
      </c>
      <c r="H998" s="76" t="n">
        <v>162000</v>
      </c>
      <c r="I998" s="75" t="inlineStr">
        <is>
          <t>6월 해외출장 - M항공</t>
        </is>
      </c>
      <c r="J998" s="75" t="inlineStr">
        <is>
          <t>V10001</t>
        </is>
      </c>
      <c r="K998" s="75" t="inlineStr">
        <is>
          <t>M항공</t>
        </is>
      </c>
      <c r="M998" s="9">
        <f>IF($A998="","",VALUE($A998&amp;"")*12+VALUE($B998&amp;""))</f>
        <v/>
      </c>
      <c r="N998" s="39">
        <f>IF($A998="","",IFERROR(INDEX(부서매핑!$C$5:$C$504,MATCH($G998&amp;"",부서매핑!$A$5:$A$504,0)),"미매핑"))</f>
        <v/>
      </c>
      <c r="O998" s="9">
        <f>IF($A998="","",N998&amp;"|"&amp;$F998)</f>
        <v/>
      </c>
      <c r="P998" s="77">
        <f>IF($A998="",0,$H998*설정!$C$23)</f>
        <v/>
      </c>
      <c r="Q998" s="39">
        <f>IF($A998="","",IF(O998&lt;&gt;원인분석!$C$9,"",IF(AND(M998&gt;=원인분석!$C$10,M998&lt;=원인분석!$C$11),"당기",IF(AND(M998&gt;=원인분석!$C$12,M998&lt;=원인분석!$C$13),"비교",""))))</f>
        <v/>
      </c>
      <c r="R998" s="9">
        <f>IF(Q998="","",$K998&amp;"")</f>
        <v/>
      </c>
      <c r="S998" s="9">
        <f>IF(Q998="","",IF(MATCH(R998,$R$5:$R$100000,0)=ROW()-4,ROW(),""))</f>
        <v/>
      </c>
      <c r="T998" s="9">
        <f>IF(Q998="당기",ABS(P998)+ROW()/1000000000,"")</f>
        <v/>
      </c>
      <c r="U998" s="9">
        <f>IF(Q998="비교",ABS(P998)+ROW()/1000000000,"")</f>
        <v/>
      </c>
      <c r="V998" s="39">
        <f>IF($A998="","",IF(COUNTIF(변동분석!$E$7:$E$506,O998)&gt;0,"Y","N"))</f>
        <v/>
      </c>
      <c r="W998" s="39">
        <f>IF($A998="","",IFERROR(INDEX(계정매핑!$D$5:$D$504,MATCH($F998&amp;"",계정매핑!$A$5:$A$504,0)),"미매핑"))</f>
        <v/>
      </c>
      <c r="X998" s="9">
        <f>IF($A998="","",$F998&amp;"")</f>
        <v/>
      </c>
    </row>
    <row r="999">
      <c r="A999" s="75" t="n">
        <v>2025</v>
      </c>
      <c r="B999" s="75" t="n">
        <v>6</v>
      </c>
      <c r="C999" s="75" t="inlineStr">
        <is>
          <t>5100000995</t>
        </is>
      </c>
      <c r="D999" s="78" t="n">
        <v>45812</v>
      </c>
      <c r="E999" s="75" t="inlineStr">
        <is>
          <t>KR</t>
        </is>
      </c>
      <c r="F999" s="75" t="n">
        <v>62102000</v>
      </c>
      <c r="G999" s="75" t="n">
        <v>1801</v>
      </c>
      <c r="H999" s="76" t="n">
        <v>52000</v>
      </c>
      <c r="I999" s="75" t="inlineStr">
        <is>
          <t>6월 해외출장 - M항공</t>
        </is>
      </c>
      <c r="J999" s="75" t="inlineStr">
        <is>
          <t>V10001</t>
        </is>
      </c>
      <c r="K999" s="75" t="inlineStr">
        <is>
          <t>M항공</t>
        </is>
      </c>
      <c r="M999" s="9">
        <f>IF($A999="","",VALUE($A999&amp;"")*12+VALUE($B999&amp;""))</f>
        <v/>
      </c>
      <c r="N999" s="39">
        <f>IF($A999="","",IFERROR(INDEX(부서매핑!$C$5:$C$504,MATCH($G999&amp;"",부서매핑!$A$5:$A$504,0)),"미매핑"))</f>
        <v/>
      </c>
      <c r="O999" s="9">
        <f>IF($A999="","",N999&amp;"|"&amp;$F999)</f>
        <v/>
      </c>
      <c r="P999" s="77">
        <f>IF($A999="",0,$H999*설정!$C$23)</f>
        <v/>
      </c>
      <c r="Q999" s="39">
        <f>IF($A999="","",IF(O999&lt;&gt;원인분석!$C$9,"",IF(AND(M999&gt;=원인분석!$C$10,M999&lt;=원인분석!$C$11),"당기",IF(AND(M999&gt;=원인분석!$C$12,M999&lt;=원인분석!$C$13),"비교",""))))</f>
        <v/>
      </c>
      <c r="R999" s="9">
        <f>IF(Q999="","",$K999&amp;"")</f>
        <v/>
      </c>
      <c r="S999" s="9">
        <f>IF(Q999="","",IF(MATCH(R999,$R$5:$R$100000,0)=ROW()-4,ROW(),""))</f>
        <v/>
      </c>
      <c r="T999" s="9">
        <f>IF(Q999="당기",ABS(P999)+ROW()/1000000000,"")</f>
        <v/>
      </c>
      <c r="U999" s="9">
        <f>IF(Q999="비교",ABS(P999)+ROW()/1000000000,"")</f>
        <v/>
      </c>
      <c r="V999" s="39">
        <f>IF($A999="","",IF(COUNTIF(변동분석!$E$7:$E$506,O999)&gt;0,"Y","N"))</f>
        <v/>
      </c>
      <c r="W999" s="39">
        <f>IF($A999="","",IFERROR(INDEX(계정매핑!$D$5:$D$504,MATCH($F999&amp;"",계정매핑!$A$5:$A$504,0)),"미매핑"))</f>
        <v/>
      </c>
      <c r="X999" s="9">
        <f>IF($A999="","",$F999&amp;"")</f>
        <v/>
      </c>
    </row>
    <row r="1000">
      <c r="A1000" s="75" t="n">
        <v>2025</v>
      </c>
      <c r="B1000" s="75" t="n">
        <v>6</v>
      </c>
      <c r="C1000" s="75" t="inlineStr">
        <is>
          <t>5100000996</t>
        </is>
      </c>
      <c r="D1000" s="78" t="n">
        <v>45812</v>
      </c>
      <c r="E1000" s="75" t="inlineStr">
        <is>
          <t>KR</t>
        </is>
      </c>
      <c r="F1000" s="75" t="n">
        <v>62301000</v>
      </c>
      <c r="G1000" s="75" t="n">
        <v>1101</v>
      </c>
      <c r="H1000" s="76" t="n">
        <v>310000</v>
      </c>
      <c r="I1000" s="75" t="inlineStr">
        <is>
          <t>6월 소모품 구입 - R문구</t>
        </is>
      </c>
      <c r="J1000" s="75" t="inlineStr">
        <is>
          <t>V10018</t>
        </is>
      </c>
      <c r="K1000" s="75" t="inlineStr">
        <is>
          <t>R문구</t>
        </is>
      </c>
      <c r="M1000" s="9">
        <f>IF($A1000="","",VALUE($A1000&amp;"")*12+VALUE($B1000&amp;""))</f>
        <v/>
      </c>
      <c r="N1000" s="39">
        <f>IF($A1000="","",IFERROR(INDEX(부서매핑!$C$5:$C$504,MATCH($G1000&amp;"",부서매핑!$A$5:$A$504,0)),"미매핑"))</f>
        <v/>
      </c>
      <c r="O1000" s="9">
        <f>IF($A1000="","",N1000&amp;"|"&amp;$F1000)</f>
        <v/>
      </c>
      <c r="P1000" s="77">
        <f>IF($A1000="",0,$H1000*설정!$C$23)</f>
        <v/>
      </c>
      <c r="Q1000" s="39">
        <f>IF($A1000="","",IF(O1000&lt;&gt;원인분석!$C$9,"",IF(AND(M1000&gt;=원인분석!$C$10,M1000&lt;=원인분석!$C$11),"당기",IF(AND(M1000&gt;=원인분석!$C$12,M1000&lt;=원인분석!$C$13),"비교",""))))</f>
        <v/>
      </c>
      <c r="R1000" s="9">
        <f>IF(Q1000="","",$K1000&amp;"")</f>
        <v/>
      </c>
      <c r="S1000" s="9">
        <f>IF(Q1000="","",IF(MATCH(R1000,$R$5:$R$100000,0)=ROW()-4,ROW(),""))</f>
        <v/>
      </c>
      <c r="T1000" s="9">
        <f>IF(Q1000="당기",ABS(P1000)+ROW()/1000000000,"")</f>
        <v/>
      </c>
      <c r="U1000" s="9">
        <f>IF(Q1000="비교",ABS(P1000)+ROW()/1000000000,"")</f>
        <v/>
      </c>
      <c r="V1000" s="39">
        <f>IF($A1000="","",IF(COUNTIF(변동분석!$E$7:$E$506,O1000)&gt;0,"Y","N"))</f>
        <v/>
      </c>
      <c r="W1000" s="39">
        <f>IF($A1000="","",IFERROR(INDEX(계정매핑!$D$5:$D$504,MATCH($F1000&amp;"",계정매핑!$A$5:$A$504,0)),"미매핑"))</f>
        <v/>
      </c>
      <c r="X1000" s="9">
        <f>IF($A1000="","",$F1000&amp;"")</f>
        <v/>
      </c>
    </row>
    <row r="1001">
      <c r="A1001" s="75" t="n">
        <v>2025</v>
      </c>
      <c r="B1001" s="75" t="n">
        <v>6</v>
      </c>
      <c r="C1001" s="75" t="inlineStr">
        <is>
          <t>5100000997</t>
        </is>
      </c>
      <c r="D1001" s="78" t="n">
        <v>45812</v>
      </c>
      <c r="E1001" s="75" t="inlineStr">
        <is>
          <t>KR</t>
        </is>
      </c>
      <c r="F1001" s="75" t="n">
        <v>62301000</v>
      </c>
      <c r="G1001" s="75" t="n">
        <v>1201</v>
      </c>
      <c r="H1001" s="76" t="n">
        <v>170000</v>
      </c>
      <c r="I1001" s="75" t="inlineStr">
        <is>
          <t>6월 소모품 구입 - Q오피스</t>
        </is>
      </c>
      <c r="J1001" s="75" t="inlineStr">
        <is>
          <t>V10003</t>
        </is>
      </c>
      <c r="K1001" s="75" t="inlineStr">
        <is>
          <t>Q오피스</t>
        </is>
      </c>
      <c r="M1001" s="9">
        <f>IF($A1001="","",VALUE($A1001&amp;"")*12+VALUE($B1001&amp;""))</f>
        <v/>
      </c>
      <c r="N1001" s="39">
        <f>IF($A1001="","",IFERROR(INDEX(부서매핑!$C$5:$C$504,MATCH($G1001&amp;"",부서매핑!$A$5:$A$504,0)),"미매핑"))</f>
        <v/>
      </c>
      <c r="O1001" s="9">
        <f>IF($A1001="","",N1001&amp;"|"&amp;$F1001)</f>
        <v/>
      </c>
      <c r="P1001" s="77">
        <f>IF($A1001="",0,$H1001*설정!$C$23)</f>
        <v/>
      </c>
      <c r="Q1001" s="39">
        <f>IF($A1001="","",IF(O1001&lt;&gt;원인분석!$C$9,"",IF(AND(M1001&gt;=원인분석!$C$10,M1001&lt;=원인분석!$C$11),"당기",IF(AND(M1001&gt;=원인분석!$C$12,M1001&lt;=원인분석!$C$13),"비교",""))))</f>
        <v/>
      </c>
      <c r="R1001" s="9">
        <f>IF(Q1001="","",$K1001&amp;"")</f>
        <v/>
      </c>
      <c r="S1001" s="9">
        <f>IF(Q1001="","",IF(MATCH(R1001,$R$5:$R$100000,0)=ROW()-4,ROW(),""))</f>
        <v/>
      </c>
      <c r="T1001" s="9">
        <f>IF(Q1001="당기",ABS(P1001)+ROW()/1000000000,"")</f>
        <v/>
      </c>
      <c r="U1001" s="9">
        <f>IF(Q1001="비교",ABS(P1001)+ROW()/1000000000,"")</f>
        <v/>
      </c>
      <c r="V1001" s="39">
        <f>IF($A1001="","",IF(COUNTIF(변동분석!$E$7:$E$506,O1001)&gt;0,"Y","N"))</f>
        <v/>
      </c>
      <c r="W1001" s="39">
        <f>IF($A1001="","",IFERROR(INDEX(계정매핑!$D$5:$D$504,MATCH($F1001&amp;"",계정매핑!$A$5:$A$504,0)),"미매핑"))</f>
        <v/>
      </c>
      <c r="X1001" s="9">
        <f>IF($A1001="","",$F1001&amp;"")</f>
        <v/>
      </c>
    </row>
    <row r="1002">
      <c r="A1002" s="75" t="n">
        <v>2025</v>
      </c>
      <c r="B1002" s="75" t="n">
        <v>6</v>
      </c>
      <c r="C1002" s="75" t="inlineStr">
        <is>
          <t>5100000998</t>
        </is>
      </c>
      <c r="D1002" s="78" t="n">
        <v>45812</v>
      </c>
      <c r="E1002" s="75" t="inlineStr">
        <is>
          <t>KR</t>
        </is>
      </c>
      <c r="F1002" s="75" t="n">
        <v>62301000</v>
      </c>
      <c r="G1002" s="75" t="n">
        <v>1401</v>
      </c>
      <c r="H1002" s="76" t="n">
        <v>185000</v>
      </c>
      <c r="I1002" s="75" t="inlineStr">
        <is>
          <t>6월 소모품 구입 - R문구</t>
        </is>
      </c>
      <c r="J1002" s="75" t="inlineStr">
        <is>
          <t>V10018</t>
        </is>
      </c>
      <c r="K1002" s="75" t="inlineStr">
        <is>
          <t>R문구</t>
        </is>
      </c>
      <c r="M1002" s="9">
        <f>IF($A1002="","",VALUE($A1002&amp;"")*12+VALUE($B1002&amp;""))</f>
        <v/>
      </c>
      <c r="N1002" s="39">
        <f>IF($A1002="","",IFERROR(INDEX(부서매핑!$C$5:$C$504,MATCH($G1002&amp;"",부서매핑!$A$5:$A$504,0)),"미매핑"))</f>
        <v/>
      </c>
      <c r="O1002" s="9">
        <f>IF($A1002="","",N1002&amp;"|"&amp;$F1002)</f>
        <v/>
      </c>
      <c r="P1002" s="77">
        <f>IF($A1002="",0,$H1002*설정!$C$23)</f>
        <v/>
      </c>
      <c r="Q1002" s="39">
        <f>IF($A1002="","",IF(O1002&lt;&gt;원인분석!$C$9,"",IF(AND(M1002&gt;=원인분석!$C$10,M1002&lt;=원인분석!$C$11),"당기",IF(AND(M1002&gt;=원인분석!$C$12,M1002&lt;=원인분석!$C$13),"비교",""))))</f>
        <v/>
      </c>
      <c r="R1002" s="9">
        <f>IF(Q1002="","",$K1002&amp;"")</f>
        <v/>
      </c>
      <c r="S1002" s="9">
        <f>IF(Q1002="","",IF(MATCH(R1002,$R$5:$R$100000,0)=ROW()-4,ROW(),""))</f>
        <v/>
      </c>
      <c r="T1002" s="9">
        <f>IF(Q1002="당기",ABS(P1002)+ROW()/1000000000,"")</f>
        <v/>
      </c>
      <c r="U1002" s="9">
        <f>IF(Q1002="비교",ABS(P1002)+ROW()/1000000000,"")</f>
        <v/>
      </c>
      <c r="V1002" s="39">
        <f>IF($A1002="","",IF(COUNTIF(변동분석!$E$7:$E$506,O1002)&gt;0,"Y","N"))</f>
        <v/>
      </c>
      <c r="W1002" s="39">
        <f>IF($A1002="","",IFERROR(INDEX(계정매핑!$D$5:$D$504,MATCH($F1002&amp;"",계정매핑!$A$5:$A$504,0)),"미매핑"))</f>
        <v/>
      </c>
      <c r="X1002" s="9">
        <f>IF($A1002="","",$F1002&amp;"")</f>
        <v/>
      </c>
    </row>
    <row r="1003">
      <c r="A1003" s="75" t="n">
        <v>2025</v>
      </c>
      <c r="B1003" s="75" t="n">
        <v>6</v>
      </c>
      <c r="C1003" s="75" t="inlineStr">
        <is>
          <t>5100000999</t>
        </is>
      </c>
      <c r="D1003" s="78" t="n">
        <v>45812</v>
      </c>
      <c r="E1003" s="75" t="inlineStr">
        <is>
          <t>KR</t>
        </is>
      </c>
      <c r="F1003" s="75" t="n">
        <v>62501000</v>
      </c>
      <c r="G1003" s="75" t="n">
        <v>1601</v>
      </c>
      <c r="H1003" s="76" t="n">
        <v>947000</v>
      </c>
      <c r="I1003" s="75" t="inlineStr">
        <is>
          <t>6월 회의 다과 - (법인카드)</t>
        </is>
      </c>
      <c r="J1003" s="75" t="inlineStr">
        <is>
          <t>V10008</t>
        </is>
      </c>
      <c r="K1003" s="75" t="inlineStr">
        <is>
          <t>(법인카드)</t>
        </is>
      </c>
      <c r="M1003" s="9">
        <f>IF($A1003="","",VALUE($A1003&amp;"")*12+VALUE($B1003&amp;""))</f>
        <v/>
      </c>
      <c r="N1003" s="39">
        <f>IF($A1003="","",IFERROR(INDEX(부서매핑!$C$5:$C$504,MATCH($G1003&amp;"",부서매핑!$A$5:$A$504,0)),"미매핑"))</f>
        <v/>
      </c>
      <c r="O1003" s="9">
        <f>IF($A1003="","",N1003&amp;"|"&amp;$F1003)</f>
        <v/>
      </c>
      <c r="P1003" s="77">
        <f>IF($A1003="",0,$H1003*설정!$C$23)</f>
        <v/>
      </c>
      <c r="Q1003" s="39">
        <f>IF($A1003="","",IF(O1003&lt;&gt;원인분석!$C$9,"",IF(AND(M1003&gt;=원인분석!$C$10,M1003&lt;=원인분석!$C$11),"당기",IF(AND(M1003&gt;=원인분석!$C$12,M1003&lt;=원인분석!$C$13),"비교",""))))</f>
        <v/>
      </c>
      <c r="R1003" s="9">
        <f>IF(Q1003="","",$K1003&amp;"")</f>
        <v/>
      </c>
      <c r="S1003" s="9">
        <f>IF(Q1003="","",IF(MATCH(R1003,$R$5:$R$100000,0)=ROW()-4,ROW(),""))</f>
        <v/>
      </c>
      <c r="T1003" s="9">
        <f>IF(Q1003="당기",ABS(P1003)+ROW()/1000000000,"")</f>
        <v/>
      </c>
      <c r="U1003" s="9">
        <f>IF(Q1003="비교",ABS(P1003)+ROW()/1000000000,"")</f>
        <v/>
      </c>
      <c r="V1003" s="39">
        <f>IF($A1003="","",IF(COUNTIF(변동분석!$E$7:$E$506,O1003)&gt;0,"Y","N"))</f>
        <v/>
      </c>
      <c r="W1003" s="39">
        <f>IF($A1003="","",IFERROR(INDEX(계정매핑!$D$5:$D$504,MATCH($F1003&amp;"",계정매핑!$A$5:$A$504,0)),"미매핑"))</f>
        <v/>
      </c>
      <c r="X1003" s="9">
        <f>IF($A1003="","",$F1003&amp;"")</f>
        <v/>
      </c>
    </row>
    <row r="1004">
      <c r="A1004" s="75" t="n">
        <v>2025</v>
      </c>
      <c r="B1004" s="75" t="n">
        <v>6</v>
      </c>
      <c r="C1004" s="75" t="inlineStr">
        <is>
          <t>5100001000</t>
        </is>
      </c>
      <c r="D1004" s="78" t="n">
        <v>45812</v>
      </c>
      <c r="E1004" s="75" t="inlineStr">
        <is>
          <t>KR</t>
        </is>
      </c>
      <c r="F1004" s="75" t="n">
        <v>62902000</v>
      </c>
      <c r="G1004" s="75" t="n">
        <v>1801</v>
      </c>
      <c r="H1004" s="76" t="n">
        <v>1760000</v>
      </c>
      <c r="I1004" s="75" t="inlineStr">
        <is>
          <t>6월 콜 위탁 수수료(건별)</t>
        </is>
      </c>
      <c r="J1004" s="75" t="inlineStr">
        <is>
          <t>V10013</t>
        </is>
      </c>
      <c r="K1004" s="75" t="inlineStr">
        <is>
          <t>J콜센터</t>
        </is>
      </c>
      <c r="M1004" s="9">
        <f>IF($A1004="","",VALUE($A1004&amp;"")*12+VALUE($B1004&amp;""))</f>
        <v/>
      </c>
      <c r="N1004" s="39">
        <f>IF($A1004="","",IFERROR(INDEX(부서매핑!$C$5:$C$504,MATCH($G1004&amp;"",부서매핑!$A$5:$A$504,0)),"미매핑"))</f>
        <v/>
      </c>
      <c r="O1004" s="9">
        <f>IF($A1004="","",N1004&amp;"|"&amp;$F1004)</f>
        <v/>
      </c>
      <c r="P1004" s="77">
        <f>IF($A1004="",0,$H1004*설정!$C$23)</f>
        <v/>
      </c>
      <c r="Q1004" s="39">
        <f>IF($A1004="","",IF(O1004&lt;&gt;원인분석!$C$9,"",IF(AND(M1004&gt;=원인분석!$C$10,M1004&lt;=원인분석!$C$11),"당기",IF(AND(M1004&gt;=원인분석!$C$12,M1004&lt;=원인분석!$C$13),"비교",""))))</f>
        <v/>
      </c>
      <c r="R1004" s="9">
        <f>IF(Q1004="","",$K1004&amp;"")</f>
        <v/>
      </c>
      <c r="S1004" s="9">
        <f>IF(Q1004="","",IF(MATCH(R1004,$R$5:$R$100000,0)=ROW()-4,ROW(),""))</f>
        <v/>
      </c>
      <c r="T1004" s="9">
        <f>IF(Q1004="당기",ABS(P1004)+ROW()/1000000000,"")</f>
        <v/>
      </c>
      <c r="U1004" s="9">
        <f>IF(Q1004="비교",ABS(P1004)+ROW()/1000000000,"")</f>
        <v/>
      </c>
      <c r="V1004" s="39">
        <f>IF($A1004="","",IF(COUNTIF(변동분석!$E$7:$E$506,O1004)&gt;0,"Y","N"))</f>
        <v/>
      </c>
      <c r="W1004" s="39">
        <f>IF($A1004="","",IFERROR(INDEX(계정매핑!$D$5:$D$504,MATCH($F1004&amp;"",계정매핑!$A$5:$A$504,0)),"미매핑"))</f>
        <v/>
      </c>
      <c r="X1004" s="9">
        <f>IF($A1004="","",$F1004&amp;"")</f>
        <v/>
      </c>
    </row>
    <row r="1005">
      <c r="A1005" s="75" t="n">
        <v>2025</v>
      </c>
      <c r="B1005" s="75" t="n">
        <v>6</v>
      </c>
      <c r="C1005" s="75" t="inlineStr">
        <is>
          <t>5100001001</t>
        </is>
      </c>
      <c r="D1005" s="78" t="n">
        <v>45813</v>
      </c>
      <c r="E1005" s="75" t="inlineStr">
        <is>
          <t>KR</t>
        </is>
      </c>
      <c r="F1005" s="75" t="n">
        <v>62101000</v>
      </c>
      <c r="G1005" s="75" t="n">
        <v>1101</v>
      </c>
      <c r="H1005" s="76" t="n">
        <v>519000</v>
      </c>
      <c r="I1005" s="75" t="inlineStr">
        <is>
          <t>6월 국내출장 - (법인카드)</t>
        </is>
      </c>
      <c r="J1005" s="75" t="inlineStr">
        <is>
          <t>V10008</t>
        </is>
      </c>
      <c r="K1005" s="75" t="inlineStr">
        <is>
          <t>(법인카드)</t>
        </is>
      </c>
      <c r="M1005" s="9">
        <f>IF($A1005="","",VALUE($A1005&amp;"")*12+VALUE($B1005&amp;""))</f>
        <v/>
      </c>
      <c r="N1005" s="39">
        <f>IF($A1005="","",IFERROR(INDEX(부서매핑!$C$5:$C$504,MATCH($G1005&amp;"",부서매핑!$A$5:$A$504,0)),"미매핑"))</f>
        <v/>
      </c>
      <c r="O1005" s="9">
        <f>IF($A1005="","",N1005&amp;"|"&amp;$F1005)</f>
        <v/>
      </c>
      <c r="P1005" s="77">
        <f>IF($A1005="",0,$H1005*설정!$C$23)</f>
        <v/>
      </c>
      <c r="Q1005" s="39">
        <f>IF($A1005="","",IF(O1005&lt;&gt;원인분석!$C$9,"",IF(AND(M1005&gt;=원인분석!$C$10,M1005&lt;=원인분석!$C$11),"당기",IF(AND(M1005&gt;=원인분석!$C$12,M1005&lt;=원인분석!$C$13),"비교",""))))</f>
        <v/>
      </c>
      <c r="R1005" s="9">
        <f>IF(Q1005="","",$K1005&amp;"")</f>
        <v/>
      </c>
      <c r="S1005" s="9">
        <f>IF(Q1005="","",IF(MATCH(R1005,$R$5:$R$100000,0)=ROW()-4,ROW(),""))</f>
        <v/>
      </c>
      <c r="T1005" s="9">
        <f>IF(Q1005="당기",ABS(P1005)+ROW()/1000000000,"")</f>
        <v/>
      </c>
      <c r="U1005" s="9">
        <f>IF(Q1005="비교",ABS(P1005)+ROW()/1000000000,"")</f>
        <v/>
      </c>
      <c r="V1005" s="39">
        <f>IF($A1005="","",IF(COUNTIF(변동분석!$E$7:$E$506,O1005)&gt;0,"Y","N"))</f>
        <v/>
      </c>
      <c r="W1005" s="39">
        <f>IF($A1005="","",IFERROR(INDEX(계정매핑!$D$5:$D$504,MATCH($F1005&amp;"",계정매핑!$A$5:$A$504,0)),"미매핑"))</f>
        <v/>
      </c>
      <c r="X1005" s="9">
        <f>IF($A1005="","",$F1005&amp;"")</f>
        <v/>
      </c>
    </row>
    <row r="1006">
      <c r="A1006" s="75" t="n">
        <v>2025</v>
      </c>
      <c r="B1006" s="75" t="n">
        <v>6</v>
      </c>
      <c r="C1006" s="75" t="inlineStr">
        <is>
          <t>5100001002</t>
        </is>
      </c>
      <c r="D1006" s="78" t="n">
        <v>45813</v>
      </c>
      <c r="E1006" s="75" t="inlineStr">
        <is>
          <t>KR</t>
        </is>
      </c>
      <c r="F1006" s="75" t="n">
        <v>62101000</v>
      </c>
      <c r="G1006" s="75" t="n">
        <v>1301</v>
      </c>
      <c r="H1006" s="76" t="n">
        <v>303000</v>
      </c>
      <c r="I1006" s="75" t="inlineStr">
        <is>
          <t>6월 국내출장 - L여행사</t>
        </is>
      </c>
      <c r="J1006" s="75" t="inlineStr">
        <is>
          <t>V10014</t>
        </is>
      </c>
      <c r="K1006" s="75" t="inlineStr">
        <is>
          <t>L여행사</t>
        </is>
      </c>
      <c r="M1006" s="9">
        <f>IF($A1006="","",VALUE($A1006&amp;"")*12+VALUE($B1006&amp;""))</f>
        <v/>
      </c>
      <c r="N1006" s="39">
        <f>IF($A1006="","",IFERROR(INDEX(부서매핑!$C$5:$C$504,MATCH($G1006&amp;"",부서매핑!$A$5:$A$504,0)),"미매핑"))</f>
        <v/>
      </c>
      <c r="O1006" s="9">
        <f>IF($A1006="","",N1006&amp;"|"&amp;$F1006)</f>
        <v/>
      </c>
      <c r="P1006" s="77">
        <f>IF($A1006="",0,$H1006*설정!$C$23)</f>
        <v/>
      </c>
      <c r="Q1006" s="39">
        <f>IF($A1006="","",IF(O1006&lt;&gt;원인분석!$C$9,"",IF(AND(M1006&gt;=원인분석!$C$10,M1006&lt;=원인분석!$C$11),"당기",IF(AND(M1006&gt;=원인분석!$C$12,M1006&lt;=원인분석!$C$13),"비교",""))))</f>
        <v/>
      </c>
      <c r="R1006" s="9">
        <f>IF(Q1006="","",$K1006&amp;"")</f>
        <v/>
      </c>
      <c r="S1006" s="9">
        <f>IF(Q1006="","",IF(MATCH(R1006,$R$5:$R$100000,0)=ROW()-4,ROW(),""))</f>
        <v/>
      </c>
      <c r="T1006" s="9">
        <f>IF(Q1006="당기",ABS(P1006)+ROW()/1000000000,"")</f>
        <v/>
      </c>
      <c r="U1006" s="9">
        <f>IF(Q1006="비교",ABS(P1006)+ROW()/1000000000,"")</f>
        <v/>
      </c>
      <c r="V1006" s="39">
        <f>IF($A1006="","",IF(COUNTIF(변동분석!$E$7:$E$506,O1006)&gt;0,"Y","N"))</f>
        <v/>
      </c>
      <c r="W1006" s="39">
        <f>IF($A1006="","",IFERROR(INDEX(계정매핑!$D$5:$D$504,MATCH($F1006&amp;"",계정매핑!$A$5:$A$504,0)),"미매핑"))</f>
        <v/>
      </c>
      <c r="X1006" s="9">
        <f>IF($A1006="","",$F1006&amp;"")</f>
        <v/>
      </c>
    </row>
    <row r="1007">
      <c r="A1007" s="75" t="n">
        <v>2025</v>
      </c>
      <c r="B1007" s="75" t="n">
        <v>6</v>
      </c>
      <c r="C1007" s="75" t="inlineStr">
        <is>
          <t>5100001003</t>
        </is>
      </c>
      <c r="D1007" s="78" t="n">
        <v>45813</v>
      </c>
      <c r="E1007" s="75" t="inlineStr">
        <is>
          <t>KR</t>
        </is>
      </c>
      <c r="F1007" s="75" t="n">
        <v>62102000</v>
      </c>
      <c r="G1007" s="75" t="n">
        <v>1101</v>
      </c>
      <c r="H1007" s="76" t="n">
        <v>105000</v>
      </c>
      <c r="I1007" s="75" t="inlineStr">
        <is>
          <t>6월 해외출장 - M항공</t>
        </is>
      </c>
      <c r="J1007" s="75" t="inlineStr">
        <is>
          <t>V10001</t>
        </is>
      </c>
      <c r="K1007" s="75" t="inlineStr">
        <is>
          <t>M항공</t>
        </is>
      </c>
      <c r="M1007" s="9">
        <f>IF($A1007="","",VALUE($A1007&amp;"")*12+VALUE($B1007&amp;""))</f>
        <v/>
      </c>
      <c r="N1007" s="39">
        <f>IF($A1007="","",IFERROR(INDEX(부서매핑!$C$5:$C$504,MATCH($G1007&amp;"",부서매핑!$A$5:$A$504,0)),"미매핑"))</f>
        <v/>
      </c>
      <c r="O1007" s="9">
        <f>IF($A1007="","",N1007&amp;"|"&amp;$F1007)</f>
        <v/>
      </c>
      <c r="P1007" s="77">
        <f>IF($A1007="",0,$H1007*설정!$C$23)</f>
        <v/>
      </c>
      <c r="Q1007" s="39">
        <f>IF($A1007="","",IF(O1007&lt;&gt;원인분석!$C$9,"",IF(AND(M1007&gt;=원인분석!$C$10,M1007&lt;=원인분석!$C$11),"당기",IF(AND(M1007&gt;=원인분석!$C$12,M1007&lt;=원인분석!$C$13),"비교",""))))</f>
        <v/>
      </c>
      <c r="R1007" s="9">
        <f>IF(Q1007="","",$K1007&amp;"")</f>
        <v/>
      </c>
      <c r="S1007" s="9">
        <f>IF(Q1007="","",IF(MATCH(R1007,$R$5:$R$100000,0)=ROW()-4,ROW(),""))</f>
        <v/>
      </c>
      <c r="T1007" s="9">
        <f>IF(Q1007="당기",ABS(P1007)+ROW()/1000000000,"")</f>
        <v/>
      </c>
      <c r="U1007" s="9">
        <f>IF(Q1007="비교",ABS(P1007)+ROW()/1000000000,"")</f>
        <v/>
      </c>
      <c r="V1007" s="39">
        <f>IF($A1007="","",IF(COUNTIF(변동분석!$E$7:$E$506,O1007)&gt;0,"Y","N"))</f>
        <v/>
      </c>
      <c r="W1007" s="39">
        <f>IF($A1007="","",IFERROR(INDEX(계정매핑!$D$5:$D$504,MATCH($F1007&amp;"",계정매핑!$A$5:$A$504,0)),"미매핑"))</f>
        <v/>
      </c>
      <c r="X1007" s="9">
        <f>IF($A1007="","",$F1007&amp;"")</f>
        <v/>
      </c>
    </row>
    <row r="1008">
      <c r="A1008" s="75" t="n">
        <v>2025</v>
      </c>
      <c r="B1008" s="75" t="n">
        <v>6</v>
      </c>
      <c r="C1008" s="75" t="inlineStr">
        <is>
          <t>5100001004</t>
        </is>
      </c>
      <c r="D1008" s="78" t="n">
        <v>45813</v>
      </c>
      <c r="E1008" s="75" t="inlineStr">
        <is>
          <t>KR</t>
        </is>
      </c>
      <c r="F1008" s="75" t="n">
        <v>62201000</v>
      </c>
      <c r="G1008" s="75" t="n">
        <v>1502</v>
      </c>
      <c r="H1008" s="76" t="n">
        <v>346000</v>
      </c>
      <c r="I1008" s="75" t="inlineStr">
        <is>
          <t>6월 통신요금 - O텔레콤</t>
        </is>
      </c>
      <c r="J1008" s="75" t="inlineStr">
        <is>
          <t>V10002</t>
        </is>
      </c>
      <c r="K1008" s="75" t="inlineStr">
        <is>
          <t>O텔레콤</t>
        </is>
      </c>
      <c r="M1008" s="9">
        <f>IF($A1008="","",VALUE($A1008&amp;"")*12+VALUE($B1008&amp;""))</f>
        <v/>
      </c>
      <c r="N1008" s="39">
        <f>IF($A1008="","",IFERROR(INDEX(부서매핑!$C$5:$C$504,MATCH($G1008&amp;"",부서매핑!$A$5:$A$504,0)),"미매핑"))</f>
        <v/>
      </c>
      <c r="O1008" s="9">
        <f>IF($A1008="","",N1008&amp;"|"&amp;$F1008)</f>
        <v/>
      </c>
      <c r="P1008" s="77">
        <f>IF($A1008="",0,$H1008*설정!$C$23)</f>
        <v/>
      </c>
      <c r="Q1008" s="39">
        <f>IF($A1008="","",IF(O1008&lt;&gt;원인분석!$C$9,"",IF(AND(M1008&gt;=원인분석!$C$10,M1008&lt;=원인분석!$C$11),"당기",IF(AND(M1008&gt;=원인분석!$C$12,M1008&lt;=원인분석!$C$13),"비교",""))))</f>
        <v/>
      </c>
      <c r="R1008" s="9">
        <f>IF(Q1008="","",$K1008&amp;"")</f>
        <v/>
      </c>
      <c r="S1008" s="9">
        <f>IF(Q1008="","",IF(MATCH(R1008,$R$5:$R$100000,0)=ROW()-4,ROW(),""))</f>
        <v/>
      </c>
      <c r="T1008" s="9">
        <f>IF(Q1008="당기",ABS(P1008)+ROW()/1000000000,"")</f>
        <v/>
      </c>
      <c r="U1008" s="9">
        <f>IF(Q1008="비교",ABS(P1008)+ROW()/1000000000,"")</f>
        <v/>
      </c>
      <c r="V1008" s="39">
        <f>IF($A1008="","",IF(COUNTIF(변동분석!$E$7:$E$506,O1008)&gt;0,"Y","N"))</f>
        <v/>
      </c>
      <c r="W1008" s="39">
        <f>IF($A1008="","",IFERROR(INDEX(계정매핑!$D$5:$D$504,MATCH($F1008&amp;"",계정매핑!$A$5:$A$504,0)),"미매핑"))</f>
        <v/>
      </c>
      <c r="X1008" s="9">
        <f>IF($A1008="","",$F1008&amp;"")</f>
        <v/>
      </c>
    </row>
    <row r="1009">
      <c r="A1009" s="75" t="n">
        <v>2025</v>
      </c>
      <c r="B1009" s="75" t="n">
        <v>6</v>
      </c>
      <c r="C1009" s="75" t="inlineStr">
        <is>
          <t>5100001005</t>
        </is>
      </c>
      <c r="D1009" s="78" t="n">
        <v>45813</v>
      </c>
      <c r="E1009" s="75" t="inlineStr">
        <is>
          <t>KR</t>
        </is>
      </c>
      <c r="F1009" s="75" t="n">
        <v>62301000</v>
      </c>
      <c r="G1009" s="75" t="n">
        <v>1301</v>
      </c>
      <c r="H1009" s="76" t="n">
        <v>170000</v>
      </c>
      <c r="I1009" s="75" t="inlineStr">
        <is>
          <t>6월 소모품 구입 - Q오피스</t>
        </is>
      </c>
      <c r="J1009" s="75" t="inlineStr">
        <is>
          <t>V10003</t>
        </is>
      </c>
      <c r="K1009" s="75" t="inlineStr">
        <is>
          <t>Q오피스</t>
        </is>
      </c>
      <c r="M1009" s="9">
        <f>IF($A1009="","",VALUE($A1009&amp;"")*12+VALUE($B1009&amp;""))</f>
        <v/>
      </c>
      <c r="N1009" s="39">
        <f>IF($A1009="","",IFERROR(INDEX(부서매핑!$C$5:$C$504,MATCH($G1009&amp;"",부서매핑!$A$5:$A$504,0)),"미매핑"))</f>
        <v/>
      </c>
      <c r="O1009" s="9">
        <f>IF($A1009="","",N1009&amp;"|"&amp;$F1009)</f>
        <v/>
      </c>
      <c r="P1009" s="77">
        <f>IF($A1009="",0,$H1009*설정!$C$23)</f>
        <v/>
      </c>
      <c r="Q1009" s="39">
        <f>IF($A1009="","",IF(O1009&lt;&gt;원인분석!$C$9,"",IF(AND(M1009&gt;=원인분석!$C$10,M1009&lt;=원인분석!$C$11),"당기",IF(AND(M1009&gt;=원인분석!$C$12,M1009&lt;=원인분석!$C$13),"비교",""))))</f>
        <v/>
      </c>
      <c r="R1009" s="9">
        <f>IF(Q1009="","",$K1009&amp;"")</f>
        <v/>
      </c>
      <c r="S1009" s="9">
        <f>IF(Q1009="","",IF(MATCH(R1009,$R$5:$R$100000,0)=ROW()-4,ROW(),""))</f>
        <v/>
      </c>
      <c r="T1009" s="9">
        <f>IF(Q1009="당기",ABS(P1009)+ROW()/1000000000,"")</f>
        <v/>
      </c>
      <c r="U1009" s="9">
        <f>IF(Q1009="비교",ABS(P1009)+ROW()/1000000000,"")</f>
        <v/>
      </c>
      <c r="V1009" s="39">
        <f>IF($A1009="","",IF(COUNTIF(변동분석!$E$7:$E$506,O1009)&gt;0,"Y","N"))</f>
        <v/>
      </c>
      <c r="W1009" s="39">
        <f>IF($A1009="","",IFERROR(INDEX(계정매핑!$D$5:$D$504,MATCH($F1009&amp;"",계정매핑!$A$5:$A$504,0)),"미매핑"))</f>
        <v/>
      </c>
      <c r="X1009" s="9">
        <f>IF($A1009="","",$F1009&amp;"")</f>
        <v/>
      </c>
    </row>
    <row r="1010">
      <c r="A1010" s="75" t="n">
        <v>2025</v>
      </c>
      <c r="B1010" s="75" t="n">
        <v>6</v>
      </c>
      <c r="C1010" s="75" t="inlineStr">
        <is>
          <t>5100001006</t>
        </is>
      </c>
      <c r="D1010" s="78" t="n">
        <v>45813</v>
      </c>
      <c r="E1010" s="75" t="inlineStr">
        <is>
          <t>KR</t>
        </is>
      </c>
      <c r="F1010" s="75" t="n">
        <v>62301000</v>
      </c>
      <c r="G1010" s="75" t="n">
        <v>1601</v>
      </c>
      <c r="H1010" s="76" t="n">
        <v>197000</v>
      </c>
      <c r="I1010" s="75" t="inlineStr">
        <is>
          <t>6월 소모품 구입 - Q오피스</t>
        </is>
      </c>
      <c r="J1010" s="75" t="inlineStr">
        <is>
          <t>V10003</t>
        </is>
      </c>
      <c r="K1010" s="75" t="inlineStr">
        <is>
          <t>Q오피스</t>
        </is>
      </c>
      <c r="M1010" s="9">
        <f>IF($A1010="","",VALUE($A1010&amp;"")*12+VALUE($B1010&amp;""))</f>
        <v/>
      </c>
      <c r="N1010" s="39">
        <f>IF($A1010="","",IFERROR(INDEX(부서매핑!$C$5:$C$504,MATCH($G1010&amp;"",부서매핑!$A$5:$A$504,0)),"미매핑"))</f>
        <v/>
      </c>
      <c r="O1010" s="9">
        <f>IF($A1010="","",N1010&amp;"|"&amp;$F1010)</f>
        <v/>
      </c>
      <c r="P1010" s="77">
        <f>IF($A1010="",0,$H1010*설정!$C$23)</f>
        <v/>
      </c>
      <c r="Q1010" s="39">
        <f>IF($A1010="","",IF(O1010&lt;&gt;원인분석!$C$9,"",IF(AND(M1010&gt;=원인분석!$C$10,M1010&lt;=원인분석!$C$11),"당기",IF(AND(M1010&gt;=원인분석!$C$12,M1010&lt;=원인분석!$C$13),"비교",""))))</f>
        <v/>
      </c>
      <c r="R1010" s="9">
        <f>IF(Q1010="","",$K1010&amp;"")</f>
        <v/>
      </c>
      <c r="S1010" s="9">
        <f>IF(Q1010="","",IF(MATCH(R1010,$R$5:$R$100000,0)=ROW()-4,ROW(),""))</f>
        <v/>
      </c>
      <c r="T1010" s="9">
        <f>IF(Q1010="당기",ABS(P1010)+ROW()/1000000000,"")</f>
        <v/>
      </c>
      <c r="U1010" s="9">
        <f>IF(Q1010="비교",ABS(P1010)+ROW()/1000000000,"")</f>
        <v/>
      </c>
      <c r="V1010" s="39">
        <f>IF($A1010="","",IF(COUNTIF(변동분석!$E$7:$E$506,O1010)&gt;0,"Y","N"))</f>
        <v/>
      </c>
      <c r="W1010" s="39">
        <f>IF($A1010="","",IFERROR(INDEX(계정매핑!$D$5:$D$504,MATCH($F1010&amp;"",계정매핑!$A$5:$A$504,0)),"미매핑"))</f>
        <v/>
      </c>
      <c r="X1010" s="9">
        <f>IF($A1010="","",$F1010&amp;"")</f>
        <v/>
      </c>
    </row>
    <row r="1011">
      <c r="A1011" s="75" t="n">
        <v>2025</v>
      </c>
      <c r="B1011" s="75" t="n">
        <v>6</v>
      </c>
      <c r="C1011" s="75" t="inlineStr">
        <is>
          <t>5100001007</t>
        </is>
      </c>
      <c r="D1011" s="78" t="n">
        <v>45813</v>
      </c>
      <c r="E1011" s="75" t="inlineStr">
        <is>
          <t>KR</t>
        </is>
      </c>
      <c r="F1011" s="75" t="n">
        <v>62301000</v>
      </c>
      <c r="G1011" s="75" t="n">
        <v>1801</v>
      </c>
      <c r="H1011" s="76" t="n">
        <v>465000</v>
      </c>
      <c r="I1011" s="75" t="inlineStr">
        <is>
          <t>6월 소모품 구입 - Q오피스</t>
        </is>
      </c>
      <c r="J1011" s="75" t="inlineStr">
        <is>
          <t>V10003</t>
        </is>
      </c>
      <c r="K1011" s="75" t="inlineStr">
        <is>
          <t>Q오피스</t>
        </is>
      </c>
      <c r="M1011" s="9">
        <f>IF($A1011="","",VALUE($A1011&amp;"")*12+VALUE($B1011&amp;""))</f>
        <v/>
      </c>
      <c r="N1011" s="39">
        <f>IF($A1011="","",IFERROR(INDEX(부서매핑!$C$5:$C$504,MATCH($G1011&amp;"",부서매핑!$A$5:$A$504,0)),"미매핑"))</f>
        <v/>
      </c>
      <c r="O1011" s="9">
        <f>IF($A1011="","",N1011&amp;"|"&amp;$F1011)</f>
        <v/>
      </c>
      <c r="P1011" s="77">
        <f>IF($A1011="",0,$H1011*설정!$C$23)</f>
        <v/>
      </c>
      <c r="Q1011" s="39">
        <f>IF($A1011="","",IF(O1011&lt;&gt;원인분석!$C$9,"",IF(AND(M1011&gt;=원인분석!$C$10,M1011&lt;=원인분석!$C$11),"당기",IF(AND(M1011&gt;=원인분석!$C$12,M1011&lt;=원인분석!$C$13),"비교",""))))</f>
        <v/>
      </c>
      <c r="R1011" s="9">
        <f>IF(Q1011="","",$K1011&amp;"")</f>
        <v/>
      </c>
      <c r="S1011" s="9">
        <f>IF(Q1011="","",IF(MATCH(R1011,$R$5:$R$100000,0)=ROW()-4,ROW(),""))</f>
        <v/>
      </c>
      <c r="T1011" s="9">
        <f>IF(Q1011="당기",ABS(P1011)+ROW()/1000000000,"")</f>
        <v/>
      </c>
      <c r="U1011" s="9">
        <f>IF(Q1011="비교",ABS(P1011)+ROW()/1000000000,"")</f>
        <v/>
      </c>
      <c r="V1011" s="39">
        <f>IF($A1011="","",IF(COUNTIF(변동분석!$E$7:$E$506,O1011)&gt;0,"Y","N"))</f>
        <v/>
      </c>
      <c r="W1011" s="39">
        <f>IF($A1011="","",IFERROR(INDEX(계정매핑!$D$5:$D$504,MATCH($F1011&amp;"",계정매핑!$A$5:$A$504,0)),"미매핑"))</f>
        <v/>
      </c>
      <c r="X1011" s="9">
        <f>IF($A1011="","",$F1011&amp;"")</f>
        <v/>
      </c>
    </row>
    <row r="1012">
      <c r="A1012" s="75" t="n">
        <v>2025</v>
      </c>
      <c r="B1012" s="75" t="n">
        <v>6</v>
      </c>
      <c r="C1012" s="75" t="inlineStr">
        <is>
          <t>5100001008</t>
        </is>
      </c>
      <c r="D1012" s="78" t="n">
        <v>45813</v>
      </c>
      <c r="E1012" s="75" t="inlineStr">
        <is>
          <t>KR</t>
        </is>
      </c>
      <c r="F1012" s="75" t="n">
        <v>62501000</v>
      </c>
      <c r="G1012" s="75" t="n">
        <v>1101</v>
      </c>
      <c r="H1012" s="76" t="n">
        <v>339000</v>
      </c>
      <c r="I1012" s="75" t="inlineStr">
        <is>
          <t>6월 회의 다과 - (법인카드)</t>
        </is>
      </c>
      <c r="J1012" s="75" t="inlineStr">
        <is>
          <t>V10008</t>
        </is>
      </c>
      <c r="K1012" s="75" t="inlineStr">
        <is>
          <t>(법인카드)</t>
        </is>
      </c>
      <c r="M1012" s="9">
        <f>IF($A1012="","",VALUE($A1012&amp;"")*12+VALUE($B1012&amp;""))</f>
        <v/>
      </c>
      <c r="N1012" s="39">
        <f>IF($A1012="","",IFERROR(INDEX(부서매핑!$C$5:$C$504,MATCH($G1012&amp;"",부서매핑!$A$5:$A$504,0)),"미매핑"))</f>
        <v/>
      </c>
      <c r="O1012" s="9">
        <f>IF($A1012="","",N1012&amp;"|"&amp;$F1012)</f>
        <v/>
      </c>
      <c r="P1012" s="77">
        <f>IF($A1012="",0,$H1012*설정!$C$23)</f>
        <v/>
      </c>
      <c r="Q1012" s="39">
        <f>IF($A1012="","",IF(O1012&lt;&gt;원인분석!$C$9,"",IF(AND(M1012&gt;=원인분석!$C$10,M1012&lt;=원인분석!$C$11),"당기",IF(AND(M1012&gt;=원인분석!$C$12,M1012&lt;=원인분석!$C$13),"비교",""))))</f>
        <v/>
      </c>
      <c r="R1012" s="9">
        <f>IF(Q1012="","",$K1012&amp;"")</f>
        <v/>
      </c>
      <c r="S1012" s="9">
        <f>IF(Q1012="","",IF(MATCH(R1012,$R$5:$R$100000,0)=ROW()-4,ROW(),""))</f>
        <v/>
      </c>
      <c r="T1012" s="9">
        <f>IF(Q1012="당기",ABS(P1012)+ROW()/1000000000,"")</f>
        <v/>
      </c>
      <c r="U1012" s="9">
        <f>IF(Q1012="비교",ABS(P1012)+ROW()/1000000000,"")</f>
        <v/>
      </c>
      <c r="V1012" s="39">
        <f>IF($A1012="","",IF(COUNTIF(변동분석!$E$7:$E$506,O1012)&gt;0,"Y","N"))</f>
        <v/>
      </c>
      <c r="W1012" s="39">
        <f>IF($A1012="","",IFERROR(INDEX(계정매핑!$D$5:$D$504,MATCH($F1012&amp;"",계정매핑!$A$5:$A$504,0)),"미매핑"))</f>
        <v/>
      </c>
      <c r="X1012" s="9">
        <f>IF($A1012="","",$F1012&amp;"")</f>
        <v/>
      </c>
    </row>
    <row r="1013">
      <c r="A1013" s="75" t="n">
        <v>2025</v>
      </c>
      <c r="B1013" s="75" t="n">
        <v>6</v>
      </c>
      <c r="C1013" s="75" t="inlineStr">
        <is>
          <t>5100001009</t>
        </is>
      </c>
      <c r="D1013" s="78" t="n">
        <v>45813</v>
      </c>
      <c r="E1013" s="75" t="inlineStr">
        <is>
          <t>KR</t>
        </is>
      </c>
      <c r="F1013" s="75" t="n">
        <v>62501000</v>
      </c>
      <c r="G1013" s="75" t="n">
        <v>1301</v>
      </c>
      <c r="H1013" s="76" t="n">
        <v>131000</v>
      </c>
      <c r="I1013" s="75" t="inlineStr">
        <is>
          <t>6월 회의 다과 - (법인카드)</t>
        </is>
      </c>
      <c r="J1013" s="75" t="inlineStr">
        <is>
          <t>V10008</t>
        </is>
      </c>
      <c r="K1013" s="75" t="inlineStr">
        <is>
          <t>(법인카드)</t>
        </is>
      </c>
      <c r="M1013" s="9">
        <f>IF($A1013="","",VALUE($A1013&amp;"")*12+VALUE($B1013&amp;""))</f>
        <v/>
      </c>
      <c r="N1013" s="39">
        <f>IF($A1013="","",IFERROR(INDEX(부서매핑!$C$5:$C$504,MATCH($G1013&amp;"",부서매핑!$A$5:$A$504,0)),"미매핑"))</f>
        <v/>
      </c>
      <c r="O1013" s="9">
        <f>IF($A1013="","",N1013&amp;"|"&amp;$F1013)</f>
        <v/>
      </c>
      <c r="P1013" s="77">
        <f>IF($A1013="",0,$H1013*설정!$C$23)</f>
        <v/>
      </c>
      <c r="Q1013" s="39">
        <f>IF($A1013="","",IF(O1013&lt;&gt;원인분석!$C$9,"",IF(AND(M1013&gt;=원인분석!$C$10,M1013&lt;=원인분석!$C$11),"당기",IF(AND(M1013&gt;=원인분석!$C$12,M1013&lt;=원인분석!$C$13),"비교",""))))</f>
        <v/>
      </c>
      <c r="R1013" s="9">
        <f>IF(Q1013="","",$K1013&amp;"")</f>
        <v/>
      </c>
      <c r="S1013" s="9">
        <f>IF(Q1013="","",IF(MATCH(R1013,$R$5:$R$100000,0)=ROW()-4,ROW(),""))</f>
        <v/>
      </c>
      <c r="T1013" s="9">
        <f>IF(Q1013="당기",ABS(P1013)+ROW()/1000000000,"")</f>
        <v/>
      </c>
      <c r="U1013" s="9">
        <f>IF(Q1013="비교",ABS(P1013)+ROW()/1000000000,"")</f>
        <v/>
      </c>
      <c r="V1013" s="39">
        <f>IF($A1013="","",IF(COUNTIF(변동분석!$E$7:$E$506,O1013)&gt;0,"Y","N"))</f>
        <v/>
      </c>
      <c r="W1013" s="39">
        <f>IF($A1013="","",IFERROR(INDEX(계정매핑!$D$5:$D$504,MATCH($F1013&amp;"",계정매핑!$A$5:$A$504,0)),"미매핑"))</f>
        <v/>
      </c>
      <c r="X1013" s="9">
        <f>IF($A1013="","",$F1013&amp;"")</f>
        <v/>
      </c>
    </row>
    <row r="1014">
      <c r="A1014" s="75" t="n">
        <v>2025</v>
      </c>
      <c r="B1014" s="75" t="n">
        <v>6</v>
      </c>
      <c r="C1014" s="75" t="inlineStr">
        <is>
          <t>5100001010</t>
        </is>
      </c>
      <c r="D1014" s="78" t="n">
        <v>45813</v>
      </c>
      <c r="E1014" s="75" t="inlineStr">
        <is>
          <t>KR</t>
        </is>
      </c>
      <c r="F1014" s="75" t="n">
        <v>62501000</v>
      </c>
      <c r="G1014" s="75" t="n">
        <v>1801</v>
      </c>
      <c r="H1014" s="76" t="n">
        <v>149000</v>
      </c>
      <c r="I1014" s="75" t="inlineStr">
        <is>
          <t>6월 회의 다과 - T케이터링</t>
        </is>
      </c>
      <c r="J1014" s="75" t="inlineStr">
        <is>
          <t>V10005</t>
        </is>
      </c>
      <c r="K1014" s="75" t="inlineStr">
        <is>
          <t>T케이터링</t>
        </is>
      </c>
      <c r="M1014" s="9">
        <f>IF($A1014="","",VALUE($A1014&amp;"")*12+VALUE($B1014&amp;""))</f>
        <v/>
      </c>
      <c r="N1014" s="39">
        <f>IF($A1014="","",IFERROR(INDEX(부서매핑!$C$5:$C$504,MATCH($G1014&amp;"",부서매핑!$A$5:$A$504,0)),"미매핑"))</f>
        <v/>
      </c>
      <c r="O1014" s="9">
        <f>IF($A1014="","",N1014&amp;"|"&amp;$F1014)</f>
        <v/>
      </c>
      <c r="P1014" s="77">
        <f>IF($A1014="",0,$H1014*설정!$C$23)</f>
        <v/>
      </c>
      <c r="Q1014" s="39">
        <f>IF($A1014="","",IF(O1014&lt;&gt;원인분석!$C$9,"",IF(AND(M1014&gt;=원인분석!$C$10,M1014&lt;=원인분석!$C$11),"당기",IF(AND(M1014&gt;=원인분석!$C$12,M1014&lt;=원인분석!$C$13),"비교",""))))</f>
        <v/>
      </c>
      <c r="R1014" s="9">
        <f>IF(Q1014="","",$K1014&amp;"")</f>
        <v/>
      </c>
      <c r="S1014" s="9">
        <f>IF(Q1014="","",IF(MATCH(R1014,$R$5:$R$100000,0)=ROW()-4,ROW(),""))</f>
        <v/>
      </c>
      <c r="T1014" s="9">
        <f>IF(Q1014="당기",ABS(P1014)+ROW()/1000000000,"")</f>
        <v/>
      </c>
      <c r="U1014" s="9">
        <f>IF(Q1014="비교",ABS(P1014)+ROW()/1000000000,"")</f>
        <v/>
      </c>
      <c r="V1014" s="39">
        <f>IF($A1014="","",IF(COUNTIF(변동분석!$E$7:$E$506,O1014)&gt;0,"Y","N"))</f>
        <v/>
      </c>
      <c r="W1014" s="39">
        <f>IF($A1014="","",IFERROR(INDEX(계정매핑!$D$5:$D$504,MATCH($F1014&amp;"",계정매핑!$A$5:$A$504,0)),"미매핑"))</f>
        <v/>
      </c>
      <c r="X1014" s="9">
        <f>IF($A1014="","",$F1014&amp;"")</f>
        <v/>
      </c>
    </row>
    <row r="1015">
      <c r="A1015" s="75" t="n">
        <v>2025</v>
      </c>
      <c r="B1015" s="75" t="n">
        <v>6</v>
      </c>
      <c r="C1015" s="75" t="inlineStr">
        <is>
          <t>5100001011</t>
        </is>
      </c>
      <c r="D1015" s="78" t="n">
        <v>45813</v>
      </c>
      <c r="E1015" s="75" t="inlineStr">
        <is>
          <t>KR</t>
        </is>
      </c>
      <c r="F1015" s="75" t="n">
        <v>62901000</v>
      </c>
      <c r="G1015" s="75" t="n">
        <v>1201</v>
      </c>
      <c r="H1015" s="76" t="n">
        <v>2901000</v>
      </c>
      <c r="I1015" s="75" t="inlineStr">
        <is>
          <t>6월 자문 수수료 - K회계법인</t>
        </is>
      </c>
      <c r="J1015" s="75" t="inlineStr">
        <is>
          <t>V10010</t>
        </is>
      </c>
      <c r="K1015" s="75" t="inlineStr">
        <is>
          <t>K회계법인</t>
        </is>
      </c>
      <c r="M1015" s="9">
        <f>IF($A1015="","",VALUE($A1015&amp;"")*12+VALUE($B1015&amp;""))</f>
        <v/>
      </c>
      <c r="N1015" s="39">
        <f>IF($A1015="","",IFERROR(INDEX(부서매핑!$C$5:$C$504,MATCH($G1015&amp;"",부서매핑!$A$5:$A$504,0)),"미매핑"))</f>
        <v/>
      </c>
      <c r="O1015" s="9">
        <f>IF($A1015="","",N1015&amp;"|"&amp;$F1015)</f>
        <v/>
      </c>
      <c r="P1015" s="77">
        <f>IF($A1015="",0,$H1015*설정!$C$23)</f>
        <v/>
      </c>
      <c r="Q1015" s="39">
        <f>IF($A1015="","",IF(O1015&lt;&gt;원인분석!$C$9,"",IF(AND(M1015&gt;=원인분석!$C$10,M1015&lt;=원인분석!$C$11),"당기",IF(AND(M1015&gt;=원인분석!$C$12,M1015&lt;=원인분석!$C$13),"비교",""))))</f>
        <v/>
      </c>
      <c r="R1015" s="9">
        <f>IF(Q1015="","",$K1015&amp;"")</f>
        <v/>
      </c>
      <c r="S1015" s="9">
        <f>IF(Q1015="","",IF(MATCH(R1015,$R$5:$R$100000,0)=ROW()-4,ROW(),""))</f>
        <v/>
      </c>
      <c r="T1015" s="9">
        <f>IF(Q1015="당기",ABS(P1015)+ROW()/1000000000,"")</f>
        <v/>
      </c>
      <c r="U1015" s="9">
        <f>IF(Q1015="비교",ABS(P1015)+ROW()/1000000000,"")</f>
        <v/>
      </c>
      <c r="V1015" s="39">
        <f>IF($A1015="","",IF(COUNTIF(변동분석!$E$7:$E$506,O1015)&gt;0,"Y","N"))</f>
        <v/>
      </c>
      <c r="W1015" s="39">
        <f>IF($A1015="","",IFERROR(INDEX(계정매핑!$D$5:$D$504,MATCH($F1015&amp;"",계정매핑!$A$5:$A$504,0)),"미매핑"))</f>
        <v/>
      </c>
      <c r="X1015" s="9">
        <f>IF($A1015="","",$F1015&amp;"")</f>
        <v/>
      </c>
    </row>
    <row r="1016">
      <c r="A1016" s="75" t="n">
        <v>2025</v>
      </c>
      <c r="B1016" s="75" t="n">
        <v>6</v>
      </c>
      <c r="C1016" s="75" t="inlineStr">
        <is>
          <t>5100001012</t>
        </is>
      </c>
      <c r="D1016" s="78" t="n">
        <v>45813</v>
      </c>
      <c r="E1016" s="75" t="inlineStr">
        <is>
          <t>KR</t>
        </is>
      </c>
      <c r="F1016" s="75" t="n">
        <v>62902000</v>
      </c>
      <c r="G1016" s="75" t="n">
        <v>1801</v>
      </c>
      <c r="H1016" s="76" t="n">
        <v>1770000</v>
      </c>
      <c r="I1016" s="75" t="inlineStr">
        <is>
          <t>6월 콜 위탁 수수료(건별)</t>
        </is>
      </c>
      <c r="J1016" s="75" t="inlineStr">
        <is>
          <t>V10013</t>
        </is>
      </c>
      <c r="K1016" s="75" t="inlineStr">
        <is>
          <t>J콜센터</t>
        </is>
      </c>
      <c r="M1016" s="9">
        <f>IF($A1016="","",VALUE($A1016&amp;"")*12+VALUE($B1016&amp;""))</f>
        <v/>
      </c>
      <c r="N1016" s="39">
        <f>IF($A1016="","",IFERROR(INDEX(부서매핑!$C$5:$C$504,MATCH($G1016&amp;"",부서매핑!$A$5:$A$504,0)),"미매핑"))</f>
        <v/>
      </c>
      <c r="O1016" s="9">
        <f>IF($A1016="","",N1016&amp;"|"&amp;$F1016)</f>
        <v/>
      </c>
      <c r="P1016" s="77">
        <f>IF($A1016="",0,$H1016*설정!$C$23)</f>
        <v/>
      </c>
      <c r="Q1016" s="39">
        <f>IF($A1016="","",IF(O1016&lt;&gt;원인분석!$C$9,"",IF(AND(M1016&gt;=원인분석!$C$10,M1016&lt;=원인분석!$C$11),"당기",IF(AND(M1016&gt;=원인분석!$C$12,M1016&lt;=원인분석!$C$13),"비교",""))))</f>
        <v/>
      </c>
      <c r="R1016" s="9">
        <f>IF(Q1016="","",$K1016&amp;"")</f>
        <v/>
      </c>
      <c r="S1016" s="9">
        <f>IF(Q1016="","",IF(MATCH(R1016,$R$5:$R$100000,0)=ROW()-4,ROW(),""))</f>
        <v/>
      </c>
      <c r="T1016" s="9">
        <f>IF(Q1016="당기",ABS(P1016)+ROW()/1000000000,"")</f>
        <v/>
      </c>
      <c r="U1016" s="9">
        <f>IF(Q1016="비교",ABS(P1016)+ROW()/1000000000,"")</f>
        <v/>
      </c>
      <c r="V1016" s="39">
        <f>IF($A1016="","",IF(COUNTIF(변동분석!$E$7:$E$506,O1016)&gt;0,"Y","N"))</f>
        <v/>
      </c>
      <c r="W1016" s="39">
        <f>IF($A1016="","",IFERROR(INDEX(계정매핑!$D$5:$D$504,MATCH($F1016&amp;"",계정매핑!$A$5:$A$504,0)),"미매핑"))</f>
        <v/>
      </c>
      <c r="X1016" s="9">
        <f>IF($A1016="","",$F1016&amp;"")</f>
        <v/>
      </c>
    </row>
    <row r="1017">
      <c r="A1017" s="75" t="n">
        <v>2025</v>
      </c>
      <c r="B1017" s="75" t="n">
        <v>6</v>
      </c>
      <c r="C1017" s="75" t="inlineStr">
        <is>
          <t>5100001013</t>
        </is>
      </c>
      <c r="D1017" s="78" t="n">
        <v>45814</v>
      </c>
      <c r="E1017" s="75" t="inlineStr">
        <is>
          <t>KR</t>
        </is>
      </c>
      <c r="F1017" s="75" t="n">
        <v>62101000</v>
      </c>
      <c r="G1017" s="75" t="n">
        <v>1502</v>
      </c>
      <c r="H1017" s="76" t="n">
        <v>829000</v>
      </c>
      <c r="I1017" s="75" t="inlineStr">
        <is>
          <t>6월 국내출장 - L여행사</t>
        </is>
      </c>
      <c r="J1017" s="75" t="inlineStr">
        <is>
          <t>V10014</t>
        </is>
      </c>
      <c r="K1017" s="75" t="inlineStr">
        <is>
          <t>L여행사</t>
        </is>
      </c>
      <c r="M1017" s="9">
        <f>IF($A1017="","",VALUE($A1017&amp;"")*12+VALUE($B1017&amp;""))</f>
        <v/>
      </c>
      <c r="N1017" s="39">
        <f>IF($A1017="","",IFERROR(INDEX(부서매핑!$C$5:$C$504,MATCH($G1017&amp;"",부서매핑!$A$5:$A$504,0)),"미매핑"))</f>
        <v/>
      </c>
      <c r="O1017" s="9">
        <f>IF($A1017="","",N1017&amp;"|"&amp;$F1017)</f>
        <v/>
      </c>
      <c r="P1017" s="77">
        <f>IF($A1017="",0,$H1017*설정!$C$23)</f>
        <v/>
      </c>
      <c r="Q1017" s="39">
        <f>IF($A1017="","",IF(O1017&lt;&gt;원인분석!$C$9,"",IF(AND(M1017&gt;=원인분석!$C$10,M1017&lt;=원인분석!$C$11),"당기",IF(AND(M1017&gt;=원인분석!$C$12,M1017&lt;=원인분석!$C$13),"비교",""))))</f>
        <v/>
      </c>
      <c r="R1017" s="9">
        <f>IF(Q1017="","",$K1017&amp;"")</f>
        <v/>
      </c>
      <c r="S1017" s="9">
        <f>IF(Q1017="","",IF(MATCH(R1017,$R$5:$R$100000,0)=ROW()-4,ROW(),""))</f>
        <v/>
      </c>
      <c r="T1017" s="9">
        <f>IF(Q1017="당기",ABS(P1017)+ROW()/1000000000,"")</f>
        <v/>
      </c>
      <c r="U1017" s="9">
        <f>IF(Q1017="비교",ABS(P1017)+ROW()/1000000000,"")</f>
        <v/>
      </c>
      <c r="V1017" s="39">
        <f>IF($A1017="","",IF(COUNTIF(변동분석!$E$7:$E$506,O1017)&gt;0,"Y","N"))</f>
        <v/>
      </c>
      <c r="W1017" s="39">
        <f>IF($A1017="","",IFERROR(INDEX(계정매핑!$D$5:$D$504,MATCH($F1017&amp;"",계정매핑!$A$5:$A$504,0)),"미매핑"))</f>
        <v/>
      </c>
      <c r="X1017" s="9">
        <f>IF($A1017="","",$F1017&amp;"")</f>
        <v/>
      </c>
    </row>
    <row r="1018">
      <c r="A1018" s="75" t="n">
        <v>2025</v>
      </c>
      <c r="B1018" s="75" t="n">
        <v>6</v>
      </c>
      <c r="C1018" s="75" t="inlineStr">
        <is>
          <t>5100001014</t>
        </is>
      </c>
      <c r="D1018" s="78" t="n">
        <v>45814</v>
      </c>
      <c r="E1018" s="75" t="inlineStr">
        <is>
          <t>KR</t>
        </is>
      </c>
      <c r="F1018" s="75" t="n">
        <v>62101000</v>
      </c>
      <c r="G1018" s="75" t="n">
        <v>1801</v>
      </c>
      <c r="H1018" s="76" t="n">
        <v>201000</v>
      </c>
      <c r="I1018" s="75" t="inlineStr">
        <is>
          <t>6월 국내출장 - (법인카드)</t>
        </is>
      </c>
      <c r="J1018" s="75" t="inlineStr">
        <is>
          <t>V10008</t>
        </is>
      </c>
      <c r="K1018" s="75" t="inlineStr">
        <is>
          <t>(법인카드)</t>
        </is>
      </c>
      <c r="M1018" s="9">
        <f>IF($A1018="","",VALUE($A1018&amp;"")*12+VALUE($B1018&amp;""))</f>
        <v/>
      </c>
      <c r="N1018" s="39">
        <f>IF($A1018="","",IFERROR(INDEX(부서매핑!$C$5:$C$504,MATCH($G1018&amp;"",부서매핑!$A$5:$A$504,0)),"미매핑"))</f>
        <v/>
      </c>
      <c r="O1018" s="9">
        <f>IF($A1018="","",N1018&amp;"|"&amp;$F1018)</f>
        <v/>
      </c>
      <c r="P1018" s="77">
        <f>IF($A1018="",0,$H1018*설정!$C$23)</f>
        <v/>
      </c>
      <c r="Q1018" s="39">
        <f>IF($A1018="","",IF(O1018&lt;&gt;원인분석!$C$9,"",IF(AND(M1018&gt;=원인분석!$C$10,M1018&lt;=원인분석!$C$11),"당기",IF(AND(M1018&gt;=원인분석!$C$12,M1018&lt;=원인분석!$C$13),"비교",""))))</f>
        <v/>
      </c>
      <c r="R1018" s="9">
        <f>IF(Q1018="","",$K1018&amp;"")</f>
        <v/>
      </c>
      <c r="S1018" s="9">
        <f>IF(Q1018="","",IF(MATCH(R1018,$R$5:$R$100000,0)=ROW()-4,ROW(),""))</f>
        <v/>
      </c>
      <c r="T1018" s="9">
        <f>IF(Q1018="당기",ABS(P1018)+ROW()/1000000000,"")</f>
        <v/>
      </c>
      <c r="U1018" s="9">
        <f>IF(Q1018="비교",ABS(P1018)+ROW()/1000000000,"")</f>
        <v/>
      </c>
      <c r="V1018" s="39">
        <f>IF($A1018="","",IF(COUNTIF(변동분석!$E$7:$E$506,O1018)&gt;0,"Y","N"))</f>
        <v/>
      </c>
      <c r="W1018" s="39">
        <f>IF($A1018="","",IFERROR(INDEX(계정매핑!$D$5:$D$504,MATCH($F1018&amp;"",계정매핑!$A$5:$A$504,0)),"미매핑"))</f>
        <v/>
      </c>
      <c r="X1018" s="9">
        <f>IF($A1018="","",$F1018&amp;"")</f>
        <v/>
      </c>
    </row>
    <row r="1019">
      <c r="A1019" s="75" t="n">
        <v>2025</v>
      </c>
      <c r="B1019" s="75" t="n">
        <v>6</v>
      </c>
      <c r="C1019" s="75" t="inlineStr">
        <is>
          <t>5100001015</t>
        </is>
      </c>
      <c r="D1019" s="78" t="n">
        <v>45814</v>
      </c>
      <c r="E1019" s="75" t="inlineStr">
        <is>
          <t>KR</t>
        </is>
      </c>
      <c r="F1019" s="75" t="n">
        <v>62301000</v>
      </c>
      <c r="G1019" s="75" t="n">
        <v>1101</v>
      </c>
      <c r="H1019" s="76" t="n">
        <v>148000</v>
      </c>
      <c r="I1019" s="75" t="inlineStr">
        <is>
          <t>6월 소모품 구입 - Q오피스</t>
        </is>
      </c>
      <c r="J1019" s="75" t="inlineStr">
        <is>
          <t>V10003</t>
        </is>
      </c>
      <c r="K1019" s="75" t="inlineStr">
        <is>
          <t>Q오피스</t>
        </is>
      </c>
      <c r="M1019" s="9">
        <f>IF($A1019="","",VALUE($A1019&amp;"")*12+VALUE($B1019&amp;""))</f>
        <v/>
      </c>
      <c r="N1019" s="39">
        <f>IF($A1019="","",IFERROR(INDEX(부서매핑!$C$5:$C$504,MATCH($G1019&amp;"",부서매핑!$A$5:$A$504,0)),"미매핑"))</f>
        <v/>
      </c>
      <c r="O1019" s="9">
        <f>IF($A1019="","",N1019&amp;"|"&amp;$F1019)</f>
        <v/>
      </c>
      <c r="P1019" s="77">
        <f>IF($A1019="",0,$H1019*설정!$C$23)</f>
        <v/>
      </c>
      <c r="Q1019" s="39">
        <f>IF($A1019="","",IF(O1019&lt;&gt;원인분석!$C$9,"",IF(AND(M1019&gt;=원인분석!$C$10,M1019&lt;=원인분석!$C$11),"당기",IF(AND(M1019&gt;=원인분석!$C$12,M1019&lt;=원인분석!$C$13),"비교",""))))</f>
        <v/>
      </c>
      <c r="R1019" s="9">
        <f>IF(Q1019="","",$K1019&amp;"")</f>
        <v/>
      </c>
      <c r="S1019" s="9">
        <f>IF(Q1019="","",IF(MATCH(R1019,$R$5:$R$100000,0)=ROW()-4,ROW(),""))</f>
        <v/>
      </c>
      <c r="T1019" s="9">
        <f>IF(Q1019="당기",ABS(P1019)+ROW()/1000000000,"")</f>
        <v/>
      </c>
      <c r="U1019" s="9">
        <f>IF(Q1019="비교",ABS(P1019)+ROW()/1000000000,"")</f>
        <v/>
      </c>
      <c r="V1019" s="39">
        <f>IF($A1019="","",IF(COUNTIF(변동분석!$E$7:$E$506,O1019)&gt;0,"Y","N"))</f>
        <v/>
      </c>
      <c r="W1019" s="39">
        <f>IF($A1019="","",IFERROR(INDEX(계정매핑!$D$5:$D$504,MATCH($F1019&amp;"",계정매핑!$A$5:$A$504,0)),"미매핑"))</f>
        <v/>
      </c>
      <c r="X1019" s="9">
        <f>IF($A1019="","",$F1019&amp;"")</f>
        <v/>
      </c>
    </row>
    <row r="1020">
      <c r="A1020" s="75" t="n">
        <v>2025</v>
      </c>
      <c r="B1020" s="75" t="n">
        <v>6</v>
      </c>
      <c r="C1020" s="75" t="inlineStr">
        <is>
          <t>5100001016</t>
        </is>
      </c>
      <c r="D1020" s="78" t="n">
        <v>45814</v>
      </c>
      <c r="E1020" s="75" t="inlineStr">
        <is>
          <t>KR</t>
        </is>
      </c>
      <c r="F1020" s="75" t="n">
        <v>62301000</v>
      </c>
      <c r="G1020" s="75" t="n">
        <v>1401</v>
      </c>
      <c r="H1020" s="76" t="n">
        <v>139000</v>
      </c>
      <c r="I1020" s="75" t="inlineStr">
        <is>
          <t>6월 소모품 구입 - Q오피스</t>
        </is>
      </c>
      <c r="J1020" s="75" t="inlineStr">
        <is>
          <t>V10003</t>
        </is>
      </c>
      <c r="K1020" s="75" t="inlineStr">
        <is>
          <t>Q오피스</t>
        </is>
      </c>
      <c r="M1020" s="9">
        <f>IF($A1020="","",VALUE($A1020&amp;"")*12+VALUE($B1020&amp;""))</f>
        <v/>
      </c>
      <c r="N1020" s="39">
        <f>IF($A1020="","",IFERROR(INDEX(부서매핑!$C$5:$C$504,MATCH($G1020&amp;"",부서매핑!$A$5:$A$504,0)),"미매핑"))</f>
        <v/>
      </c>
      <c r="O1020" s="9">
        <f>IF($A1020="","",N1020&amp;"|"&amp;$F1020)</f>
        <v/>
      </c>
      <c r="P1020" s="77">
        <f>IF($A1020="",0,$H1020*설정!$C$23)</f>
        <v/>
      </c>
      <c r="Q1020" s="39">
        <f>IF($A1020="","",IF(O1020&lt;&gt;원인분석!$C$9,"",IF(AND(M1020&gt;=원인분석!$C$10,M1020&lt;=원인분석!$C$11),"당기",IF(AND(M1020&gt;=원인분석!$C$12,M1020&lt;=원인분석!$C$13),"비교",""))))</f>
        <v/>
      </c>
      <c r="R1020" s="9">
        <f>IF(Q1020="","",$K1020&amp;"")</f>
        <v/>
      </c>
      <c r="S1020" s="9">
        <f>IF(Q1020="","",IF(MATCH(R1020,$R$5:$R$100000,0)=ROW()-4,ROW(),""))</f>
        <v/>
      </c>
      <c r="T1020" s="9">
        <f>IF(Q1020="당기",ABS(P1020)+ROW()/1000000000,"")</f>
        <v/>
      </c>
      <c r="U1020" s="9">
        <f>IF(Q1020="비교",ABS(P1020)+ROW()/1000000000,"")</f>
        <v/>
      </c>
      <c r="V1020" s="39">
        <f>IF($A1020="","",IF(COUNTIF(변동분석!$E$7:$E$506,O1020)&gt;0,"Y","N"))</f>
        <v/>
      </c>
      <c r="W1020" s="39">
        <f>IF($A1020="","",IFERROR(INDEX(계정매핑!$D$5:$D$504,MATCH($F1020&amp;"",계정매핑!$A$5:$A$504,0)),"미매핑"))</f>
        <v/>
      </c>
      <c r="X1020" s="9">
        <f>IF($A1020="","",$F1020&amp;"")</f>
        <v/>
      </c>
    </row>
    <row r="1021">
      <c r="A1021" s="75" t="n">
        <v>2025</v>
      </c>
      <c r="B1021" s="75" t="n">
        <v>6</v>
      </c>
      <c r="C1021" s="75" t="inlineStr">
        <is>
          <t>5100001017</t>
        </is>
      </c>
      <c r="D1021" s="78" t="n">
        <v>45815</v>
      </c>
      <c r="E1021" s="75" t="inlineStr">
        <is>
          <t>KR</t>
        </is>
      </c>
      <c r="F1021" s="75" t="n">
        <v>62101000</v>
      </c>
      <c r="G1021" s="75" t="n">
        <v>1301</v>
      </c>
      <c r="H1021" s="76" t="n">
        <v>257000</v>
      </c>
      <c r="I1021" s="75" t="inlineStr">
        <is>
          <t>6월 국내출장 - L여행사</t>
        </is>
      </c>
      <c r="J1021" s="75" t="inlineStr">
        <is>
          <t>V10014</t>
        </is>
      </c>
      <c r="K1021" s="75" t="inlineStr">
        <is>
          <t>L여행사</t>
        </is>
      </c>
      <c r="M1021" s="9">
        <f>IF($A1021="","",VALUE($A1021&amp;"")*12+VALUE($B1021&amp;""))</f>
        <v/>
      </c>
      <c r="N1021" s="39">
        <f>IF($A1021="","",IFERROR(INDEX(부서매핑!$C$5:$C$504,MATCH($G1021&amp;"",부서매핑!$A$5:$A$504,0)),"미매핑"))</f>
        <v/>
      </c>
      <c r="O1021" s="9">
        <f>IF($A1021="","",N1021&amp;"|"&amp;$F1021)</f>
        <v/>
      </c>
      <c r="P1021" s="77">
        <f>IF($A1021="",0,$H1021*설정!$C$23)</f>
        <v/>
      </c>
      <c r="Q1021" s="39">
        <f>IF($A1021="","",IF(O1021&lt;&gt;원인분석!$C$9,"",IF(AND(M1021&gt;=원인분석!$C$10,M1021&lt;=원인분석!$C$11),"당기",IF(AND(M1021&gt;=원인분석!$C$12,M1021&lt;=원인분석!$C$13),"비교",""))))</f>
        <v/>
      </c>
      <c r="R1021" s="9">
        <f>IF(Q1021="","",$K1021&amp;"")</f>
        <v/>
      </c>
      <c r="S1021" s="9">
        <f>IF(Q1021="","",IF(MATCH(R1021,$R$5:$R$100000,0)=ROW()-4,ROW(),""))</f>
        <v/>
      </c>
      <c r="T1021" s="9">
        <f>IF(Q1021="당기",ABS(P1021)+ROW()/1000000000,"")</f>
        <v/>
      </c>
      <c r="U1021" s="9">
        <f>IF(Q1021="비교",ABS(P1021)+ROW()/1000000000,"")</f>
        <v/>
      </c>
      <c r="V1021" s="39">
        <f>IF($A1021="","",IF(COUNTIF(변동분석!$E$7:$E$506,O1021)&gt;0,"Y","N"))</f>
        <v/>
      </c>
      <c r="W1021" s="39">
        <f>IF($A1021="","",IFERROR(INDEX(계정매핑!$D$5:$D$504,MATCH($F1021&amp;"",계정매핑!$A$5:$A$504,0)),"미매핑"))</f>
        <v/>
      </c>
      <c r="X1021" s="9">
        <f>IF($A1021="","",$F1021&amp;"")</f>
        <v/>
      </c>
    </row>
    <row r="1022">
      <c r="A1022" s="75" t="n">
        <v>2025</v>
      </c>
      <c r="B1022" s="75" t="n">
        <v>6</v>
      </c>
      <c r="C1022" s="75" t="inlineStr">
        <is>
          <t>5100001018</t>
        </is>
      </c>
      <c r="D1022" s="78" t="n">
        <v>45815</v>
      </c>
      <c r="E1022" s="75" t="inlineStr">
        <is>
          <t>KR</t>
        </is>
      </c>
      <c r="F1022" s="75" t="n">
        <v>62201000</v>
      </c>
      <c r="G1022" s="75" t="n">
        <v>1701</v>
      </c>
      <c r="H1022" s="76" t="n">
        <v>4338000</v>
      </c>
      <c r="I1022" s="75" t="inlineStr">
        <is>
          <t>6월 통신요금 - P통신</t>
        </is>
      </c>
      <c r="J1022" s="75" t="inlineStr">
        <is>
          <t>V10011</t>
        </is>
      </c>
      <c r="K1022" s="75" t="inlineStr">
        <is>
          <t>P통신</t>
        </is>
      </c>
      <c r="M1022" s="9">
        <f>IF($A1022="","",VALUE($A1022&amp;"")*12+VALUE($B1022&amp;""))</f>
        <v/>
      </c>
      <c r="N1022" s="39">
        <f>IF($A1022="","",IFERROR(INDEX(부서매핑!$C$5:$C$504,MATCH($G1022&amp;"",부서매핑!$A$5:$A$504,0)),"미매핑"))</f>
        <v/>
      </c>
      <c r="O1022" s="9">
        <f>IF($A1022="","",N1022&amp;"|"&amp;$F1022)</f>
        <v/>
      </c>
      <c r="P1022" s="77">
        <f>IF($A1022="",0,$H1022*설정!$C$23)</f>
        <v/>
      </c>
      <c r="Q1022" s="39">
        <f>IF($A1022="","",IF(O1022&lt;&gt;원인분석!$C$9,"",IF(AND(M1022&gt;=원인분석!$C$10,M1022&lt;=원인분석!$C$11),"당기",IF(AND(M1022&gt;=원인분석!$C$12,M1022&lt;=원인분석!$C$13),"비교",""))))</f>
        <v/>
      </c>
      <c r="R1022" s="9">
        <f>IF(Q1022="","",$K1022&amp;"")</f>
        <v/>
      </c>
      <c r="S1022" s="9">
        <f>IF(Q1022="","",IF(MATCH(R1022,$R$5:$R$100000,0)=ROW()-4,ROW(),""))</f>
        <v/>
      </c>
      <c r="T1022" s="9">
        <f>IF(Q1022="당기",ABS(P1022)+ROW()/1000000000,"")</f>
        <v/>
      </c>
      <c r="U1022" s="9">
        <f>IF(Q1022="비교",ABS(P1022)+ROW()/1000000000,"")</f>
        <v/>
      </c>
      <c r="V1022" s="39">
        <f>IF($A1022="","",IF(COUNTIF(변동분석!$E$7:$E$506,O1022)&gt;0,"Y","N"))</f>
        <v/>
      </c>
      <c r="W1022" s="39">
        <f>IF($A1022="","",IFERROR(INDEX(계정매핑!$D$5:$D$504,MATCH($F1022&amp;"",계정매핑!$A$5:$A$504,0)),"미매핑"))</f>
        <v/>
      </c>
      <c r="X1022" s="9">
        <f>IF($A1022="","",$F1022&amp;"")</f>
        <v/>
      </c>
    </row>
    <row r="1023">
      <c r="A1023" s="75" t="n">
        <v>2025</v>
      </c>
      <c r="B1023" s="75" t="n">
        <v>6</v>
      </c>
      <c r="C1023" s="75" t="inlineStr">
        <is>
          <t>5100001019</t>
        </is>
      </c>
      <c r="D1023" s="78" t="n">
        <v>45815</v>
      </c>
      <c r="E1023" s="75" t="inlineStr">
        <is>
          <t>KR</t>
        </is>
      </c>
      <c r="F1023" s="75" t="n">
        <v>62902000</v>
      </c>
      <c r="G1023" s="75" t="n">
        <v>1801</v>
      </c>
      <c r="H1023" s="76" t="n">
        <v>1843000</v>
      </c>
      <c r="I1023" s="75" t="inlineStr">
        <is>
          <t>6월 콜 위탁 수수료(건별)</t>
        </is>
      </c>
      <c r="J1023" s="75" t="inlineStr">
        <is>
          <t>V10013</t>
        </is>
      </c>
      <c r="K1023" s="75" t="inlineStr">
        <is>
          <t>J콜센터</t>
        </is>
      </c>
      <c r="M1023" s="9">
        <f>IF($A1023="","",VALUE($A1023&amp;"")*12+VALUE($B1023&amp;""))</f>
        <v/>
      </c>
      <c r="N1023" s="39">
        <f>IF($A1023="","",IFERROR(INDEX(부서매핑!$C$5:$C$504,MATCH($G1023&amp;"",부서매핑!$A$5:$A$504,0)),"미매핑"))</f>
        <v/>
      </c>
      <c r="O1023" s="9">
        <f>IF($A1023="","",N1023&amp;"|"&amp;$F1023)</f>
        <v/>
      </c>
      <c r="P1023" s="77">
        <f>IF($A1023="",0,$H1023*설정!$C$23)</f>
        <v/>
      </c>
      <c r="Q1023" s="39">
        <f>IF($A1023="","",IF(O1023&lt;&gt;원인분석!$C$9,"",IF(AND(M1023&gt;=원인분석!$C$10,M1023&lt;=원인분석!$C$11),"당기",IF(AND(M1023&gt;=원인분석!$C$12,M1023&lt;=원인분석!$C$13),"비교",""))))</f>
        <v/>
      </c>
      <c r="R1023" s="9">
        <f>IF(Q1023="","",$K1023&amp;"")</f>
        <v/>
      </c>
      <c r="S1023" s="9">
        <f>IF(Q1023="","",IF(MATCH(R1023,$R$5:$R$100000,0)=ROW()-4,ROW(),""))</f>
        <v/>
      </c>
      <c r="T1023" s="9">
        <f>IF(Q1023="당기",ABS(P1023)+ROW()/1000000000,"")</f>
        <v/>
      </c>
      <c r="U1023" s="9">
        <f>IF(Q1023="비교",ABS(P1023)+ROW()/1000000000,"")</f>
        <v/>
      </c>
      <c r="V1023" s="39">
        <f>IF($A1023="","",IF(COUNTIF(변동분석!$E$7:$E$506,O1023)&gt;0,"Y","N"))</f>
        <v/>
      </c>
      <c r="W1023" s="39">
        <f>IF($A1023="","",IFERROR(INDEX(계정매핑!$D$5:$D$504,MATCH($F1023&amp;"",계정매핑!$A$5:$A$504,0)),"미매핑"))</f>
        <v/>
      </c>
      <c r="X1023" s="9">
        <f>IF($A1023="","",$F1023&amp;"")</f>
        <v/>
      </c>
    </row>
    <row r="1024">
      <c r="A1024" s="75" t="n">
        <v>2025</v>
      </c>
      <c r="B1024" s="75" t="n">
        <v>6</v>
      </c>
      <c r="C1024" s="75" t="inlineStr">
        <is>
          <t>5100001020</t>
        </is>
      </c>
      <c r="D1024" s="78" t="n">
        <v>45815</v>
      </c>
      <c r="E1024" s="75" t="inlineStr">
        <is>
          <t>KR</t>
        </is>
      </c>
      <c r="F1024" s="75" t="n">
        <v>63001000</v>
      </c>
      <c r="G1024" s="75" t="n">
        <v>1701</v>
      </c>
      <c r="H1024" s="76" t="n">
        <v>18469000</v>
      </c>
      <c r="I1024" s="75" t="inlineStr">
        <is>
          <t>6월 SW 유지보수 - Y소프트</t>
        </is>
      </c>
      <c r="J1024" s="75" t="inlineStr">
        <is>
          <t>V10017</t>
        </is>
      </c>
      <c r="K1024" s="75" t="inlineStr">
        <is>
          <t>Y소프트</t>
        </is>
      </c>
      <c r="M1024" s="9">
        <f>IF($A1024="","",VALUE($A1024&amp;"")*12+VALUE($B1024&amp;""))</f>
        <v/>
      </c>
      <c r="N1024" s="39">
        <f>IF($A1024="","",IFERROR(INDEX(부서매핑!$C$5:$C$504,MATCH($G1024&amp;"",부서매핑!$A$5:$A$504,0)),"미매핑"))</f>
        <v/>
      </c>
      <c r="O1024" s="9">
        <f>IF($A1024="","",N1024&amp;"|"&amp;$F1024)</f>
        <v/>
      </c>
      <c r="P1024" s="77">
        <f>IF($A1024="",0,$H1024*설정!$C$23)</f>
        <v/>
      </c>
      <c r="Q1024" s="39">
        <f>IF($A1024="","",IF(O1024&lt;&gt;원인분석!$C$9,"",IF(AND(M1024&gt;=원인분석!$C$10,M1024&lt;=원인분석!$C$11),"당기",IF(AND(M1024&gt;=원인분석!$C$12,M1024&lt;=원인분석!$C$13),"비교",""))))</f>
        <v/>
      </c>
      <c r="R1024" s="9">
        <f>IF(Q1024="","",$K1024&amp;"")</f>
        <v/>
      </c>
      <c r="S1024" s="9">
        <f>IF(Q1024="","",IF(MATCH(R1024,$R$5:$R$100000,0)=ROW()-4,ROW(),""))</f>
        <v/>
      </c>
      <c r="T1024" s="9">
        <f>IF(Q1024="당기",ABS(P1024)+ROW()/1000000000,"")</f>
        <v/>
      </c>
      <c r="U1024" s="9">
        <f>IF(Q1024="비교",ABS(P1024)+ROW()/1000000000,"")</f>
        <v/>
      </c>
      <c r="V1024" s="39">
        <f>IF($A1024="","",IF(COUNTIF(변동분석!$E$7:$E$506,O1024)&gt;0,"Y","N"))</f>
        <v/>
      </c>
      <c r="W1024" s="39">
        <f>IF($A1024="","",IFERROR(INDEX(계정매핑!$D$5:$D$504,MATCH($F1024&amp;"",계정매핑!$A$5:$A$504,0)),"미매핑"))</f>
        <v/>
      </c>
      <c r="X1024" s="9">
        <f>IF($A1024="","",$F1024&amp;"")</f>
        <v/>
      </c>
    </row>
    <row r="1025">
      <c r="A1025" s="75" t="n">
        <v>2025</v>
      </c>
      <c r="B1025" s="75" t="n">
        <v>6</v>
      </c>
      <c r="C1025" s="75" t="inlineStr">
        <is>
          <t>5100001021</t>
        </is>
      </c>
      <c r="D1025" s="78" t="n">
        <v>45816</v>
      </c>
      <c r="E1025" s="75" t="inlineStr">
        <is>
          <t>KR</t>
        </is>
      </c>
      <c r="F1025" s="75" t="n">
        <v>62102000</v>
      </c>
      <c r="G1025" s="75" t="n">
        <v>1201</v>
      </c>
      <c r="H1025" s="76" t="n">
        <v>60000</v>
      </c>
      <c r="I1025" s="75" t="inlineStr">
        <is>
          <t>6월 해외출장 - M항공</t>
        </is>
      </c>
      <c r="J1025" s="75" t="inlineStr">
        <is>
          <t>V10001</t>
        </is>
      </c>
      <c r="K1025" s="75" t="inlineStr">
        <is>
          <t>M항공</t>
        </is>
      </c>
      <c r="M1025" s="9">
        <f>IF($A1025="","",VALUE($A1025&amp;"")*12+VALUE($B1025&amp;""))</f>
        <v/>
      </c>
      <c r="N1025" s="39">
        <f>IF($A1025="","",IFERROR(INDEX(부서매핑!$C$5:$C$504,MATCH($G1025&amp;"",부서매핑!$A$5:$A$504,0)),"미매핑"))</f>
        <v/>
      </c>
      <c r="O1025" s="9">
        <f>IF($A1025="","",N1025&amp;"|"&amp;$F1025)</f>
        <v/>
      </c>
      <c r="P1025" s="77">
        <f>IF($A1025="",0,$H1025*설정!$C$23)</f>
        <v/>
      </c>
      <c r="Q1025" s="39">
        <f>IF($A1025="","",IF(O1025&lt;&gt;원인분석!$C$9,"",IF(AND(M1025&gt;=원인분석!$C$10,M1025&lt;=원인분석!$C$11),"당기",IF(AND(M1025&gt;=원인분석!$C$12,M1025&lt;=원인분석!$C$13),"비교",""))))</f>
        <v/>
      </c>
      <c r="R1025" s="9">
        <f>IF(Q1025="","",$K1025&amp;"")</f>
        <v/>
      </c>
      <c r="S1025" s="9">
        <f>IF(Q1025="","",IF(MATCH(R1025,$R$5:$R$100000,0)=ROW()-4,ROW(),""))</f>
        <v/>
      </c>
      <c r="T1025" s="9">
        <f>IF(Q1025="당기",ABS(P1025)+ROW()/1000000000,"")</f>
        <v/>
      </c>
      <c r="U1025" s="9">
        <f>IF(Q1025="비교",ABS(P1025)+ROW()/1000000000,"")</f>
        <v/>
      </c>
      <c r="V1025" s="39">
        <f>IF($A1025="","",IF(COUNTIF(변동분석!$E$7:$E$506,O1025)&gt;0,"Y","N"))</f>
        <v/>
      </c>
      <c r="W1025" s="39">
        <f>IF($A1025="","",IFERROR(INDEX(계정매핑!$D$5:$D$504,MATCH($F1025&amp;"",계정매핑!$A$5:$A$504,0)),"미매핑"))</f>
        <v/>
      </c>
      <c r="X1025" s="9">
        <f>IF($A1025="","",$F1025&amp;"")</f>
        <v/>
      </c>
    </row>
    <row r="1026">
      <c r="A1026" s="75" t="n">
        <v>2025</v>
      </c>
      <c r="B1026" s="75" t="n">
        <v>6</v>
      </c>
      <c r="C1026" s="75" t="inlineStr">
        <is>
          <t>5100001022</t>
        </is>
      </c>
      <c r="D1026" s="78" t="n">
        <v>45816</v>
      </c>
      <c r="E1026" s="75" t="inlineStr">
        <is>
          <t>KR</t>
        </is>
      </c>
      <c r="F1026" s="75" t="n">
        <v>62102000</v>
      </c>
      <c r="G1026" s="75" t="n">
        <v>1701</v>
      </c>
      <c r="H1026" s="76" t="n">
        <v>56000</v>
      </c>
      <c r="I1026" s="75" t="inlineStr">
        <is>
          <t>6월 해외출장 - N호텔</t>
        </is>
      </c>
      <c r="J1026" s="75" t="inlineStr">
        <is>
          <t>V10007</t>
        </is>
      </c>
      <c r="K1026" s="75" t="inlineStr">
        <is>
          <t>N호텔</t>
        </is>
      </c>
      <c r="M1026" s="9">
        <f>IF($A1026="","",VALUE($A1026&amp;"")*12+VALUE($B1026&amp;""))</f>
        <v/>
      </c>
      <c r="N1026" s="39">
        <f>IF($A1026="","",IFERROR(INDEX(부서매핑!$C$5:$C$504,MATCH($G1026&amp;"",부서매핑!$A$5:$A$504,0)),"미매핑"))</f>
        <v/>
      </c>
      <c r="O1026" s="9">
        <f>IF($A1026="","",N1026&amp;"|"&amp;$F1026)</f>
        <v/>
      </c>
      <c r="P1026" s="77">
        <f>IF($A1026="",0,$H1026*설정!$C$23)</f>
        <v/>
      </c>
      <c r="Q1026" s="39">
        <f>IF($A1026="","",IF(O1026&lt;&gt;원인분석!$C$9,"",IF(AND(M1026&gt;=원인분석!$C$10,M1026&lt;=원인분석!$C$11),"당기",IF(AND(M1026&gt;=원인분석!$C$12,M1026&lt;=원인분석!$C$13),"비교",""))))</f>
        <v/>
      </c>
      <c r="R1026" s="9">
        <f>IF(Q1026="","",$K1026&amp;"")</f>
        <v/>
      </c>
      <c r="S1026" s="9">
        <f>IF(Q1026="","",IF(MATCH(R1026,$R$5:$R$100000,0)=ROW()-4,ROW(),""))</f>
        <v/>
      </c>
      <c r="T1026" s="9">
        <f>IF(Q1026="당기",ABS(P1026)+ROW()/1000000000,"")</f>
        <v/>
      </c>
      <c r="U1026" s="9">
        <f>IF(Q1026="비교",ABS(P1026)+ROW()/1000000000,"")</f>
        <v/>
      </c>
      <c r="V1026" s="39">
        <f>IF($A1026="","",IF(COUNTIF(변동분석!$E$7:$E$506,O1026)&gt;0,"Y","N"))</f>
        <v/>
      </c>
      <c r="W1026" s="39">
        <f>IF($A1026="","",IFERROR(INDEX(계정매핑!$D$5:$D$504,MATCH($F1026&amp;"",계정매핑!$A$5:$A$504,0)),"미매핑"))</f>
        <v/>
      </c>
      <c r="X1026" s="9">
        <f>IF($A1026="","",$F1026&amp;"")</f>
        <v/>
      </c>
    </row>
    <row r="1027">
      <c r="A1027" s="75" t="n">
        <v>2025</v>
      </c>
      <c r="B1027" s="75" t="n">
        <v>6</v>
      </c>
      <c r="C1027" s="75" t="inlineStr">
        <is>
          <t>5100001023</t>
        </is>
      </c>
      <c r="D1027" s="78" t="n">
        <v>45816</v>
      </c>
      <c r="E1027" s="75" t="inlineStr">
        <is>
          <t>KR</t>
        </is>
      </c>
      <c r="F1027" s="75" t="n">
        <v>62301000</v>
      </c>
      <c r="G1027" s="75" t="n">
        <v>1501</v>
      </c>
      <c r="H1027" s="76" t="n">
        <v>376000</v>
      </c>
      <c r="I1027" s="75" t="inlineStr">
        <is>
          <t>6월 소모품 구입 - Q오피스</t>
        </is>
      </c>
      <c r="J1027" s="75" t="inlineStr">
        <is>
          <t>V10003</t>
        </is>
      </c>
      <c r="K1027" s="75" t="inlineStr">
        <is>
          <t>Q오피스</t>
        </is>
      </c>
      <c r="M1027" s="9">
        <f>IF($A1027="","",VALUE($A1027&amp;"")*12+VALUE($B1027&amp;""))</f>
        <v/>
      </c>
      <c r="N1027" s="39">
        <f>IF($A1027="","",IFERROR(INDEX(부서매핑!$C$5:$C$504,MATCH($G1027&amp;"",부서매핑!$A$5:$A$504,0)),"미매핑"))</f>
        <v/>
      </c>
      <c r="O1027" s="9">
        <f>IF($A1027="","",N1027&amp;"|"&amp;$F1027)</f>
        <v/>
      </c>
      <c r="P1027" s="77">
        <f>IF($A1027="",0,$H1027*설정!$C$23)</f>
        <v/>
      </c>
      <c r="Q1027" s="39">
        <f>IF($A1027="","",IF(O1027&lt;&gt;원인분석!$C$9,"",IF(AND(M1027&gt;=원인분석!$C$10,M1027&lt;=원인분석!$C$11),"당기",IF(AND(M1027&gt;=원인분석!$C$12,M1027&lt;=원인분석!$C$13),"비교",""))))</f>
        <v/>
      </c>
      <c r="R1027" s="9">
        <f>IF(Q1027="","",$K1027&amp;"")</f>
        <v/>
      </c>
      <c r="S1027" s="9">
        <f>IF(Q1027="","",IF(MATCH(R1027,$R$5:$R$100000,0)=ROW()-4,ROW(),""))</f>
        <v/>
      </c>
      <c r="T1027" s="9">
        <f>IF(Q1027="당기",ABS(P1027)+ROW()/1000000000,"")</f>
        <v/>
      </c>
      <c r="U1027" s="9">
        <f>IF(Q1027="비교",ABS(P1027)+ROW()/1000000000,"")</f>
        <v/>
      </c>
      <c r="V1027" s="39">
        <f>IF($A1027="","",IF(COUNTIF(변동분석!$E$7:$E$506,O1027)&gt;0,"Y","N"))</f>
        <v/>
      </c>
      <c r="W1027" s="39">
        <f>IF($A1027="","",IFERROR(INDEX(계정매핑!$D$5:$D$504,MATCH($F1027&amp;"",계정매핑!$A$5:$A$504,0)),"미매핑"))</f>
        <v/>
      </c>
      <c r="X1027" s="9">
        <f>IF($A1027="","",$F1027&amp;"")</f>
        <v/>
      </c>
    </row>
    <row r="1028">
      <c r="A1028" s="75" t="n">
        <v>2025</v>
      </c>
      <c r="B1028" s="75" t="n">
        <v>6</v>
      </c>
      <c r="C1028" s="75" t="inlineStr">
        <is>
          <t>5100001024</t>
        </is>
      </c>
      <c r="D1028" s="78" t="n">
        <v>45816</v>
      </c>
      <c r="E1028" s="75" t="inlineStr">
        <is>
          <t>KR</t>
        </is>
      </c>
      <c r="F1028" s="75" t="n">
        <v>62401000</v>
      </c>
      <c r="G1028" s="75" t="n">
        <v>1401</v>
      </c>
      <c r="H1028" s="76" t="n">
        <v>285000</v>
      </c>
      <c r="I1028" s="75" t="inlineStr">
        <is>
          <t>6월 인쇄물 제작 - S출판</t>
        </is>
      </c>
      <c r="J1028" s="75" t="inlineStr">
        <is>
          <t>V10012</t>
        </is>
      </c>
      <c r="K1028" s="75" t="inlineStr">
        <is>
          <t>S출판</t>
        </is>
      </c>
      <c r="M1028" s="9">
        <f>IF($A1028="","",VALUE($A1028&amp;"")*12+VALUE($B1028&amp;""))</f>
        <v/>
      </c>
      <c r="N1028" s="39">
        <f>IF($A1028="","",IFERROR(INDEX(부서매핑!$C$5:$C$504,MATCH($G1028&amp;"",부서매핑!$A$5:$A$504,0)),"미매핑"))</f>
        <v/>
      </c>
      <c r="O1028" s="9">
        <f>IF($A1028="","",N1028&amp;"|"&amp;$F1028)</f>
        <v/>
      </c>
      <c r="P1028" s="77">
        <f>IF($A1028="",0,$H1028*설정!$C$23)</f>
        <v/>
      </c>
      <c r="Q1028" s="39">
        <f>IF($A1028="","",IF(O1028&lt;&gt;원인분석!$C$9,"",IF(AND(M1028&gt;=원인분석!$C$10,M1028&lt;=원인분석!$C$11),"당기",IF(AND(M1028&gt;=원인분석!$C$12,M1028&lt;=원인분석!$C$13),"비교",""))))</f>
        <v/>
      </c>
      <c r="R1028" s="9">
        <f>IF(Q1028="","",$K1028&amp;"")</f>
        <v/>
      </c>
      <c r="S1028" s="9">
        <f>IF(Q1028="","",IF(MATCH(R1028,$R$5:$R$100000,0)=ROW()-4,ROW(),""))</f>
        <v/>
      </c>
      <c r="T1028" s="9">
        <f>IF(Q1028="당기",ABS(P1028)+ROW()/1000000000,"")</f>
        <v/>
      </c>
      <c r="U1028" s="9">
        <f>IF(Q1028="비교",ABS(P1028)+ROW()/1000000000,"")</f>
        <v/>
      </c>
      <c r="V1028" s="39">
        <f>IF($A1028="","",IF(COUNTIF(변동분석!$E$7:$E$506,O1028)&gt;0,"Y","N"))</f>
        <v/>
      </c>
      <c r="W1028" s="39">
        <f>IF($A1028="","",IFERROR(INDEX(계정매핑!$D$5:$D$504,MATCH($F1028&amp;"",계정매핑!$A$5:$A$504,0)),"미매핑"))</f>
        <v/>
      </c>
      <c r="X1028" s="9">
        <f>IF($A1028="","",$F1028&amp;"")</f>
        <v/>
      </c>
    </row>
    <row r="1029">
      <c r="A1029" s="75" t="n">
        <v>2025</v>
      </c>
      <c r="B1029" s="75" t="n">
        <v>6</v>
      </c>
      <c r="C1029" s="75" t="inlineStr">
        <is>
          <t>5100001025</t>
        </is>
      </c>
      <c r="D1029" s="78" t="n">
        <v>45816</v>
      </c>
      <c r="E1029" s="75" t="inlineStr">
        <is>
          <t>KR</t>
        </is>
      </c>
      <c r="F1029" s="75" t="n">
        <v>62501000</v>
      </c>
      <c r="G1029" s="75" t="n">
        <v>1501</v>
      </c>
      <c r="H1029" s="76" t="n">
        <v>534000</v>
      </c>
      <c r="I1029" s="75" t="inlineStr">
        <is>
          <t>6월 회의 다과 - (법인카드)</t>
        </is>
      </c>
      <c r="J1029" s="75" t="inlineStr">
        <is>
          <t>V10008</t>
        </is>
      </c>
      <c r="K1029" s="75" t="inlineStr">
        <is>
          <t>(법인카드)</t>
        </is>
      </c>
      <c r="M1029" s="9">
        <f>IF($A1029="","",VALUE($A1029&amp;"")*12+VALUE($B1029&amp;""))</f>
        <v/>
      </c>
      <c r="N1029" s="39">
        <f>IF($A1029="","",IFERROR(INDEX(부서매핑!$C$5:$C$504,MATCH($G1029&amp;"",부서매핑!$A$5:$A$504,0)),"미매핑"))</f>
        <v/>
      </c>
      <c r="O1029" s="9">
        <f>IF($A1029="","",N1029&amp;"|"&amp;$F1029)</f>
        <v/>
      </c>
      <c r="P1029" s="77">
        <f>IF($A1029="",0,$H1029*설정!$C$23)</f>
        <v/>
      </c>
      <c r="Q1029" s="39">
        <f>IF($A1029="","",IF(O1029&lt;&gt;원인분석!$C$9,"",IF(AND(M1029&gt;=원인분석!$C$10,M1029&lt;=원인분석!$C$11),"당기",IF(AND(M1029&gt;=원인분석!$C$12,M1029&lt;=원인분석!$C$13),"비교",""))))</f>
        <v/>
      </c>
      <c r="R1029" s="9">
        <f>IF(Q1029="","",$K1029&amp;"")</f>
        <v/>
      </c>
      <c r="S1029" s="9">
        <f>IF(Q1029="","",IF(MATCH(R1029,$R$5:$R$100000,0)=ROW()-4,ROW(),""))</f>
        <v/>
      </c>
      <c r="T1029" s="9">
        <f>IF(Q1029="당기",ABS(P1029)+ROW()/1000000000,"")</f>
        <v/>
      </c>
      <c r="U1029" s="9">
        <f>IF(Q1029="비교",ABS(P1029)+ROW()/1000000000,"")</f>
        <v/>
      </c>
      <c r="V1029" s="39">
        <f>IF($A1029="","",IF(COUNTIF(변동분석!$E$7:$E$506,O1029)&gt;0,"Y","N"))</f>
        <v/>
      </c>
      <c r="W1029" s="39">
        <f>IF($A1029="","",IFERROR(INDEX(계정매핑!$D$5:$D$504,MATCH($F1029&amp;"",계정매핑!$A$5:$A$504,0)),"미매핑"))</f>
        <v/>
      </c>
      <c r="X1029" s="9">
        <f>IF($A1029="","",$F1029&amp;"")</f>
        <v/>
      </c>
    </row>
    <row r="1030">
      <c r="A1030" s="75" t="n">
        <v>2025</v>
      </c>
      <c r="B1030" s="75" t="n">
        <v>6</v>
      </c>
      <c r="C1030" s="75" t="inlineStr">
        <is>
          <t>5100001026</t>
        </is>
      </c>
      <c r="D1030" s="78" t="n">
        <v>45816</v>
      </c>
      <c r="E1030" s="75" t="inlineStr">
        <is>
          <t>KR</t>
        </is>
      </c>
      <c r="F1030" s="75" t="n">
        <v>62501000</v>
      </c>
      <c r="G1030" s="75" t="n">
        <v>1701</v>
      </c>
      <c r="H1030" s="76" t="n">
        <v>158000</v>
      </c>
      <c r="I1030" s="75" t="inlineStr">
        <is>
          <t>6월 회의 다과 - (법인카드)</t>
        </is>
      </c>
      <c r="J1030" s="75" t="inlineStr">
        <is>
          <t>V10008</t>
        </is>
      </c>
      <c r="K1030" s="75" t="inlineStr">
        <is>
          <t>(법인카드)</t>
        </is>
      </c>
      <c r="M1030" s="9">
        <f>IF($A1030="","",VALUE($A1030&amp;"")*12+VALUE($B1030&amp;""))</f>
        <v/>
      </c>
      <c r="N1030" s="39">
        <f>IF($A1030="","",IFERROR(INDEX(부서매핑!$C$5:$C$504,MATCH($G1030&amp;"",부서매핑!$A$5:$A$504,0)),"미매핑"))</f>
        <v/>
      </c>
      <c r="O1030" s="9">
        <f>IF($A1030="","",N1030&amp;"|"&amp;$F1030)</f>
        <v/>
      </c>
      <c r="P1030" s="77">
        <f>IF($A1030="",0,$H1030*설정!$C$23)</f>
        <v/>
      </c>
      <c r="Q1030" s="39">
        <f>IF($A1030="","",IF(O1030&lt;&gt;원인분석!$C$9,"",IF(AND(M1030&gt;=원인분석!$C$10,M1030&lt;=원인분석!$C$11),"당기",IF(AND(M1030&gt;=원인분석!$C$12,M1030&lt;=원인분석!$C$13),"비교",""))))</f>
        <v/>
      </c>
      <c r="R1030" s="9">
        <f>IF(Q1030="","",$K1030&amp;"")</f>
        <v/>
      </c>
      <c r="S1030" s="9">
        <f>IF(Q1030="","",IF(MATCH(R1030,$R$5:$R$100000,0)=ROW()-4,ROW(),""))</f>
        <v/>
      </c>
      <c r="T1030" s="9">
        <f>IF(Q1030="당기",ABS(P1030)+ROW()/1000000000,"")</f>
        <v/>
      </c>
      <c r="U1030" s="9">
        <f>IF(Q1030="비교",ABS(P1030)+ROW()/1000000000,"")</f>
        <v/>
      </c>
      <c r="V1030" s="39">
        <f>IF($A1030="","",IF(COUNTIF(변동분석!$E$7:$E$506,O1030)&gt;0,"Y","N"))</f>
        <v/>
      </c>
      <c r="W1030" s="39">
        <f>IF($A1030="","",IFERROR(INDEX(계정매핑!$D$5:$D$504,MATCH($F1030&amp;"",계정매핑!$A$5:$A$504,0)),"미매핑"))</f>
        <v/>
      </c>
      <c r="X1030" s="9">
        <f>IF($A1030="","",$F1030&amp;"")</f>
        <v/>
      </c>
    </row>
    <row r="1031">
      <c r="A1031" s="75" t="n">
        <v>2025</v>
      </c>
      <c r="B1031" s="75" t="n">
        <v>6</v>
      </c>
      <c r="C1031" s="75" t="inlineStr">
        <is>
          <t>5100001027</t>
        </is>
      </c>
      <c r="D1031" s="78" t="n">
        <v>45817</v>
      </c>
      <c r="E1031" s="75" t="inlineStr">
        <is>
          <t>KR</t>
        </is>
      </c>
      <c r="F1031" s="75" t="n">
        <v>62401000</v>
      </c>
      <c r="G1031" s="75" t="n">
        <v>1401</v>
      </c>
      <c r="H1031" s="76" t="n">
        <v>240000</v>
      </c>
      <c r="I1031" s="75" t="inlineStr">
        <is>
          <t>6월 인쇄물 제작 - G인쇄</t>
        </is>
      </c>
      <c r="J1031" s="75" t="inlineStr">
        <is>
          <t>V10004</t>
        </is>
      </c>
      <c r="K1031" s="75" t="inlineStr">
        <is>
          <t>G인쇄</t>
        </is>
      </c>
      <c r="M1031" s="9">
        <f>IF($A1031="","",VALUE($A1031&amp;"")*12+VALUE($B1031&amp;""))</f>
        <v/>
      </c>
      <c r="N1031" s="39">
        <f>IF($A1031="","",IFERROR(INDEX(부서매핑!$C$5:$C$504,MATCH($G1031&amp;"",부서매핑!$A$5:$A$504,0)),"미매핑"))</f>
        <v/>
      </c>
      <c r="O1031" s="9">
        <f>IF($A1031="","",N1031&amp;"|"&amp;$F1031)</f>
        <v/>
      </c>
      <c r="P1031" s="77">
        <f>IF($A1031="",0,$H1031*설정!$C$23)</f>
        <v/>
      </c>
      <c r="Q1031" s="39">
        <f>IF($A1031="","",IF(O1031&lt;&gt;원인분석!$C$9,"",IF(AND(M1031&gt;=원인분석!$C$10,M1031&lt;=원인분석!$C$11),"당기",IF(AND(M1031&gt;=원인분석!$C$12,M1031&lt;=원인분석!$C$13),"비교",""))))</f>
        <v/>
      </c>
      <c r="R1031" s="9">
        <f>IF(Q1031="","",$K1031&amp;"")</f>
        <v/>
      </c>
      <c r="S1031" s="9">
        <f>IF(Q1031="","",IF(MATCH(R1031,$R$5:$R$100000,0)=ROW()-4,ROW(),""))</f>
        <v/>
      </c>
      <c r="T1031" s="9">
        <f>IF(Q1031="당기",ABS(P1031)+ROW()/1000000000,"")</f>
        <v/>
      </c>
      <c r="U1031" s="9">
        <f>IF(Q1031="비교",ABS(P1031)+ROW()/1000000000,"")</f>
        <v/>
      </c>
      <c r="V1031" s="39">
        <f>IF($A1031="","",IF(COUNTIF(변동분석!$E$7:$E$506,O1031)&gt;0,"Y","N"))</f>
        <v/>
      </c>
      <c r="W1031" s="39">
        <f>IF($A1031="","",IFERROR(INDEX(계정매핑!$D$5:$D$504,MATCH($F1031&amp;"",계정매핑!$A$5:$A$504,0)),"미매핑"))</f>
        <v/>
      </c>
      <c r="X1031" s="9">
        <f>IF($A1031="","",$F1031&amp;"")</f>
        <v/>
      </c>
    </row>
    <row r="1032">
      <c r="A1032" s="75" t="n">
        <v>2025</v>
      </c>
      <c r="B1032" s="75" t="n">
        <v>6</v>
      </c>
      <c r="C1032" s="75" t="inlineStr">
        <is>
          <t>5100001028</t>
        </is>
      </c>
      <c r="D1032" s="78" t="n">
        <v>45817</v>
      </c>
      <c r="E1032" s="75" t="inlineStr">
        <is>
          <t>KR</t>
        </is>
      </c>
      <c r="F1032" s="75" t="n">
        <v>62501000</v>
      </c>
      <c r="G1032" s="75" t="n">
        <v>1301</v>
      </c>
      <c r="H1032" s="76" t="n">
        <v>101000</v>
      </c>
      <c r="I1032" s="75" t="inlineStr">
        <is>
          <t>6월 회의 다과 - T케이터링</t>
        </is>
      </c>
      <c r="J1032" s="75" t="inlineStr">
        <is>
          <t>V10005</t>
        </is>
      </c>
      <c r="K1032" s="75" t="inlineStr">
        <is>
          <t>T케이터링</t>
        </is>
      </c>
      <c r="M1032" s="9">
        <f>IF($A1032="","",VALUE($A1032&amp;"")*12+VALUE($B1032&amp;""))</f>
        <v/>
      </c>
      <c r="N1032" s="39">
        <f>IF($A1032="","",IFERROR(INDEX(부서매핑!$C$5:$C$504,MATCH($G1032&amp;"",부서매핑!$A$5:$A$504,0)),"미매핑"))</f>
        <v/>
      </c>
      <c r="O1032" s="9">
        <f>IF($A1032="","",N1032&amp;"|"&amp;$F1032)</f>
        <v/>
      </c>
      <c r="P1032" s="77">
        <f>IF($A1032="",0,$H1032*설정!$C$23)</f>
        <v/>
      </c>
      <c r="Q1032" s="39">
        <f>IF($A1032="","",IF(O1032&lt;&gt;원인분석!$C$9,"",IF(AND(M1032&gt;=원인분석!$C$10,M1032&lt;=원인분석!$C$11),"당기",IF(AND(M1032&gt;=원인분석!$C$12,M1032&lt;=원인분석!$C$13),"비교",""))))</f>
        <v/>
      </c>
      <c r="R1032" s="9">
        <f>IF(Q1032="","",$K1032&amp;"")</f>
        <v/>
      </c>
      <c r="S1032" s="9">
        <f>IF(Q1032="","",IF(MATCH(R1032,$R$5:$R$100000,0)=ROW()-4,ROW(),""))</f>
        <v/>
      </c>
      <c r="T1032" s="9">
        <f>IF(Q1032="당기",ABS(P1032)+ROW()/1000000000,"")</f>
        <v/>
      </c>
      <c r="U1032" s="9">
        <f>IF(Q1032="비교",ABS(P1032)+ROW()/1000000000,"")</f>
        <v/>
      </c>
      <c r="V1032" s="39">
        <f>IF($A1032="","",IF(COUNTIF(변동분석!$E$7:$E$506,O1032)&gt;0,"Y","N"))</f>
        <v/>
      </c>
      <c r="W1032" s="39">
        <f>IF($A1032="","",IFERROR(INDEX(계정매핑!$D$5:$D$504,MATCH($F1032&amp;"",계정매핑!$A$5:$A$504,0)),"미매핑"))</f>
        <v/>
      </c>
      <c r="X1032" s="9">
        <f>IF($A1032="","",$F1032&amp;"")</f>
        <v/>
      </c>
    </row>
    <row r="1033">
      <c r="A1033" s="75" t="n">
        <v>2025</v>
      </c>
      <c r="B1033" s="75" t="n">
        <v>6</v>
      </c>
      <c r="C1033" s="75" t="inlineStr">
        <is>
          <t>5100001029</t>
        </is>
      </c>
      <c r="D1033" s="78" t="n">
        <v>45817</v>
      </c>
      <c r="E1033" s="75" t="inlineStr">
        <is>
          <t>KR</t>
        </is>
      </c>
      <c r="F1033" s="75" t="n">
        <v>62902000</v>
      </c>
      <c r="G1033" s="75" t="n">
        <v>1801</v>
      </c>
      <c r="H1033" s="76" t="n">
        <v>1767000</v>
      </c>
      <c r="I1033" s="75" t="inlineStr">
        <is>
          <t>6월 콜 위탁 수수료(건별)</t>
        </is>
      </c>
      <c r="J1033" s="75" t="inlineStr">
        <is>
          <t>V10013</t>
        </is>
      </c>
      <c r="K1033" s="75" t="inlineStr">
        <is>
          <t>J콜센터</t>
        </is>
      </c>
      <c r="M1033" s="9">
        <f>IF($A1033="","",VALUE($A1033&amp;"")*12+VALUE($B1033&amp;""))</f>
        <v/>
      </c>
      <c r="N1033" s="39">
        <f>IF($A1033="","",IFERROR(INDEX(부서매핑!$C$5:$C$504,MATCH($G1033&amp;"",부서매핑!$A$5:$A$504,0)),"미매핑"))</f>
        <v/>
      </c>
      <c r="O1033" s="9">
        <f>IF($A1033="","",N1033&amp;"|"&amp;$F1033)</f>
        <v/>
      </c>
      <c r="P1033" s="77">
        <f>IF($A1033="",0,$H1033*설정!$C$23)</f>
        <v/>
      </c>
      <c r="Q1033" s="39">
        <f>IF($A1033="","",IF(O1033&lt;&gt;원인분석!$C$9,"",IF(AND(M1033&gt;=원인분석!$C$10,M1033&lt;=원인분석!$C$11),"당기",IF(AND(M1033&gt;=원인분석!$C$12,M1033&lt;=원인분석!$C$13),"비교",""))))</f>
        <v/>
      </c>
      <c r="R1033" s="9">
        <f>IF(Q1033="","",$K1033&amp;"")</f>
        <v/>
      </c>
      <c r="S1033" s="9">
        <f>IF(Q1033="","",IF(MATCH(R1033,$R$5:$R$100000,0)=ROW()-4,ROW(),""))</f>
        <v/>
      </c>
      <c r="T1033" s="9">
        <f>IF(Q1033="당기",ABS(P1033)+ROW()/1000000000,"")</f>
        <v/>
      </c>
      <c r="U1033" s="9">
        <f>IF(Q1033="비교",ABS(P1033)+ROW()/1000000000,"")</f>
        <v/>
      </c>
      <c r="V1033" s="39">
        <f>IF($A1033="","",IF(COUNTIF(변동분석!$E$7:$E$506,O1033)&gt;0,"Y","N"))</f>
        <v/>
      </c>
      <c r="W1033" s="39">
        <f>IF($A1033="","",IFERROR(INDEX(계정매핑!$D$5:$D$504,MATCH($F1033&amp;"",계정매핑!$A$5:$A$504,0)),"미매핑"))</f>
        <v/>
      </c>
      <c r="X1033" s="9">
        <f>IF($A1033="","",$F1033&amp;"")</f>
        <v/>
      </c>
    </row>
    <row r="1034">
      <c r="A1034" s="75" t="n">
        <v>2025</v>
      </c>
      <c r="B1034" s="75" t="n">
        <v>6</v>
      </c>
      <c r="C1034" s="75" t="inlineStr">
        <is>
          <t>5100001030</t>
        </is>
      </c>
      <c r="D1034" s="78" t="n">
        <v>45818</v>
      </c>
      <c r="E1034" s="75" t="inlineStr">
        <is>
          <t>KR</t>
        </is>
      </c>
      <c r="F1034" s="75" t="n">
        <v>62102000</v>
      </c>
      <c r="G1034" s="75" t="n">
        <v>1101</v>
      </c>
      <c r="H1034" s="76" t="n">
        <v>106000</v>
      </c>
      <c r="I1034" s="75" t="inlineStr">
        <is>
          <t>6월 해외출장 - N호텔</t>
        </is>
      </c>
      <c r="J1034" s="75" t="inlineStr">
        <is>
          <t>V10007</t>
        </is>
      </c>
      <c r="K1034" s="75" t="inlineStr">
        <is>
          <t>N호텔</t>
        </is>
      </c>
      <c r="M1034" s="9">
        <f>IF($A1034="","",VALUE($A1034&amp;"")*12+VALUE($B1034&amp;""))</f>
        <v/>
      </c>
      <c r="N1034" s="39">
        <f>IF($A1034="","",IFERROR(INDEX(부서매핑!$C$5:$C$504,MATCH($G1034&amp;"",부서매핑!$A$5:$A$504,0)),"미매핑"))</f>
        <v/>
      </c>
      <c r="O1034" s="9">
        <f>IF($A1034="","",N1034&amp;"|"&amp;$F1034)</f>
        <v/>
      </c>
      <c r="P1034" s="77">
        <f>IF($A1034="",0,$H1034*설정!$C$23)</f>
        <v/>
      </c>
      <c r="Q1034" s="39">
        <f>IF($A1034="","",IF(O1034&lt;&gt;원인분석!$C$9,"",IF(AND(M1034&gt;=원인분석!$C$10,M1034&lt;=원인분석!$C$11),"당기",IF(AND(M1034&gt;=원인분석!$C$12,M1034&lt;=원인분석!$C$13),"비교",""))))</f>
        <v/>
      </c>
      <c r="R1034" s="9">
        <f>IF(Q1034="","",$K1034&amp;"")</f>
        <v/>
      </c>
      <c r="S1034" s="9">
        <f>IF(Q1034="","",IF(MATCH(R1034,$R$5:$R$100000,0)=ROW()-4,ROW(),""))</f>
        <v/>
      </c>
      <c r="T1034" s="9">
        <f>IF(Q1034="당기",ABS(P1034)+ROW()/1000000000,"")</f>
        <v/>
      </c>
      <c r="U1034" s="9">
        <f>IF(Q1034="비교",ABS(P1034)+ROW()/1000000000,"")</f>
        <v/>
      </c>
      <c r="V1034" s="39">
        <f>IF($A1034="","",IF(COUNTIF(변동분석!$E$7:$E$506,O1034)&gt;0,"Y","N"))</f>
        <v/>
      </c>
      <c r="W1034" s="39">
        <f>IF($A1034="","",IFERROR(INDEX(계정매핑!$D$5:$D$504,MATCH($F1034&amp;"",계정매핑!$A$5:$A$504,0)),"미매핑"))</f>
        <v/>
      </c>
      <c r="X1034" s="9">
        <f>IF($A1034="","",$F1034&amp;"")</f>
        <v/>
      </c>
    </row>
    <row r="1035">
      <c r="A1035" s="75" t="n">
        <v>2025</v>
      </c>
      <c r="B1035" s="75" t="n">
        <v>6</v>
      </c>
      <c r="C1035" s="75" t="inlineStr">
        <is>
          <t>5100001031</t>
        </is>
      </c>
      <c r="D1035" s="78" t="n">
        <v>45818</v>
      </c>
      <c r="E1035" s="75" t="inlineStr">
        <is>
          <t>KR</t>
        </is>
      </c>
      <c r="F1035" s="75" t="n">
        <v>62201000</v>
      </c>
      <c r="G1035" s="75" t="n">
        <v>1101</v>
      </c>
      <c r="H1035" s="76" t="n">
        <v>298000</v>
      </c>
      <c r="I1035" s="75" t="inlineStr">
        <is>
          <t>6월 통신요금 - P통신</t>
        </is>
      </c>
      <c r="J1035" s="75" t="inlineStr">
        <is>
          <t>V10011</t>
        </is>
      </c>
      <c r="K1035" s="75" t="inlineStr">
        <is>
          <t>P통신</t>
        </is>
      </c>
      <c r="M1035" s="9">
        <f>IF($A1035="","",VALUE($A1035&amp;"")*12+VALUE($B1035&amp;""))</f>
        <v/>
      </c>
      <c r="N1035" s="39">
        <f>IF($A1035="","",IFERROR(INDEX(부서매핑!$C$5:$C$504,MATCH($G1035&amp;"",부서매핑!$A$5:$A$504,0)),"미매핑"))</f>
        <v/>
      </c>
      <c r="O1035" s="9">
        <f>IF($A1035="","",N1035&amp;"|"&amp;$F1035)</f>
        <v/>
      </c>
      <c r="P1035" s="77">
        <f>IF($A1035="",0,$H1035*설정!$C$23)</f>
        <v/>
      </c>
      <c r="Q1035" s="39">
        <f>IF($A1035="","",IF(O1035&lt;&gt;원인분석!$C$9,"",IF(AND(M1035&gt;=원인분석!$C$10,M1035&lt;=원인분석!$C$11),"당기",IF(AND(M1035&gt;=원인분석!$C$12,M1035&lt;=원인분석!$C$13),"비교",""))))</f>
        <v/>
      </c>
      <c r="R1035" s="9">
        <f>IF(Q1035="","",$K1035&amp;"")</f>
        <v/>
      </c>
      <c r="S1035" s="9">
        <f>IF(Q1035="","",IF(MATCH(R1035,$R$5:$R$100000,0)=ROW()-4,ROW(),""))</f>
        <v/>
      </c>
      <c r="T1035" s="9">
        <f>IF(Q1035="당기",ABS(P1035)+ROW()/1000000000,"")</f>
        <v/>
      </c>
      <c r="U1035" s="9">
        <f>IF(Q1035="비교",ABS(P1035)+ROW()/1000000000,"")</f>
        <v/>
      </c>
      <c r="V1035" s="39">
        <f>IF($A1035="","",IF(COUNTIF(변동분석!$E$7:$E$506,O1035)&gt;0,"Y","N"))</f>
        <v/>
      </c>
      <c r="W1035" s="39">
        <f>IF($A1035="","",IFERROR(INDEX(계정매핑!$D$5:$D$504,MATCH($F1035&amp;"",계정매핑!$A$5:$A$504,0)),"미매핑"))</f>
        <v/>
      </c>
      <c r="X1035" s="9">
        <f>IF($A1035="","",$F1035&amp;"")</f>
        <v/>
      </c>
    </row>
    <row r="1036">
      <c r="A1036" s="75" t="n">
        <v>2025</v>
      </c>
      <c r="B1036" s="75" t="n">
        <v>6</v>
      </c>
      <c r="C1036" s="75" t="inlineStr">
        <is>
          <t>5100001032</t>
        </is>
      </c>
      <c r="D1036" s="78" t="n">
        <v>45818</v>
      </c>
      <c r="E1036" s="75" t="inlineStr">
        <is>
          <t>KR</t>
        </is>
      </c>
      <c r="F1036" s="75" t="n">
        <v>62301000</v>
      </c>
      <c r="G1036" s="75" t="n">
        <v>1602</v>
      </c>
      <c r="H1036" s="76" t="n">
        <v>429000</v>
      </c>
      <c r="I1036" s="75" t="inlineStr">
        <is>
          <t>6월 소모품 구입 - Q오피스</t>
        </is>
      </c>
      <c r="J1036" s="75" t="inlineStr">
        <is>
          <t>V10003</t>
        </is>
      </c>
      <c r="K1036" s="75" t="inlineStr">
        <is>
          <t>Q오피스</t>
        </is>
      </c>
      <c r="M1036" s="9">
        <f>IF($A1036="","",VALUE($A1036&amp;"")*12+VALUE($B1036&amp;""))</f>
        <v/>
      </c>
      <c r="N1036" s="39">
        <f>IF($A1036="","",IFERROR(INDEX(부서매핑!$C$5:$C$504,MATCH($G1036&amp;"",부서매핑!$A$5:$A$504,0)),"미매핑"))</f>
        <v/>
      </c>
      <c r="O1036" s="9">
        <f>IF($A1036="","",N1036&amp;"|"&amp;$F1036)</f>
        <v/>
      </c>
      <c r="P1036" s="77">
        <f>IF($A1036="",0,$H1036*설정!$C$23)</f>
        <v/>
      </c>
      <c r="Q1036" s="39">
        <f>IF($A1036="","",IF(O1036&lt;&gt;원인분석!$C$9,"",IF(AND(M1036&gt;=원인분석!$C$10,M1036&lt;=원인분석!$C$11),"당기",IF(AND(M1036&gt;=원인분석!$C$12,M1036&lt;=원인분석!$C$13),"비교",""))))</f>
        <v/>
      </c>
      <c r="R1036" s="9">
        <f>IF(Q1036="","",$K1036&amp;"")</f>
        <v/>
      </c>
      <c r="S1036" s="9">
        <f>IF(Q1036="","",IF(MATCH(R1036,$R$5:$R$100000,0)=ROW()-4,ROW(),""))</f>
        <v/>
      </c>
      <c r="T1036" s="9">
        <f>IF(Q1036="당기",ABS(P1036)+ROW()/1000000000,"")</f>
        <v/>
      </c>
      <c r="U1036" s="9">
        <f>IF(Q1036="비교",ABS(P1036)+ROW()/1000000000,"")</f>
        <v/>
      </c>
      <c r="V1036" s="39">
        <f>IF($A1036="","",IF(COUNTIF(변동분석!$E$7:$E$506,O1036)&gt;0,"Y","N"))</f>
        <v/>
      </c>
      <c r="W1036" s="39">
        <f>IF($A1036="","",IFERROR(INDEX(계정매핑!$D$5:$D$504,MATCH($F1036&amp;"",계정매핑!$A$5:$A$504,0)),"미매핑"))</f>
        <v/>
      </c>
      <c r="X1036" s="9">
        <f>IF($A1036="","",$F1036&amp;"")</f>
        <v/>
      </c>
    </row>
    <row r="1037">
      <c r="A1037" s="75" t="n">
        <v>2025</v>
      </c>
      <c r="B1037" s="75" t="n">
        <v>6</v>
      </c>
      <c r="C1037" s="75" t="inlineStr">
        <is>
          <t>5100001033</t>
        </is>
      </c>
      <c r="D1037" s="78" t="n">
        <v>45818</v>
      </c>
      <c r="E1037" s="75" t="inlineStr">
        <is>
          <t>KR</t>
        </is>
      </c>
      <c r="F1037" s="75" t="n">
        <v>62401000</v>
      </c>
      <c r="G1037" s="75" t="n">
        <v>1401</v>
      </c>
      <c r="H1037" s="76" t="n">
        <v>231000</v>
      </c>
      <c r="I1037" s="75" t="inlineStr">
        <is>
          <t>6월 인쇄물 제작 - S출판</t>
        </is>
      </c>
      <c r="J1037" s="75" t="inlineStr">
        <is>
          <t>V10012</t>
        </is>
      </c>
      <c r="K1037" s="75" t="inlineStr">
        <is>
          <t>S출판</t>
        </is>
      </c>
      <c r="M1037" s="9">
        <f>IF($A1037="","",VALUE($A1037&amp;"")*12+VALUE($B1037&amp;""))</f>
        <v/>
      </c>
      <c r="N1037" s="39">
        <f>IF($A1037="","",IFERROR(INDEX(부서매핑!$C$5:$C$504,MATCH($G1037&amp;"",부서매핑!$A$5:$A$504,0)),"미매핑"))</f>
        <v/>
      </c>
      <c r="O1037" s="9">
        <f>IF($A1037="","",N1037&amp;"|"&amp;$F1037)</f>
        <v/>
      </c>
      <c r="P1037" s="77">
        <f>IF($A1037="",0,$H1037*설정!$C$23)</f>
        <v/>
      </c>
      <c r="Q1037" s="39">
        <f>IF($A1037="","",IF(O1037&lt;&gt;원인분석!$C$9,"",IF(AND(M1037&gt;=원인분석!$C$10,M1037&lt;=원인분석!$C$11),"당기",IF(AND(M1037&gt;=원인분석!$C$12,M1037&lt;=원인분석!$C$13),"비교",""))))</f>
        <v/>
      </c>
      <c r="R1037" s="9">
        <f>IF(Q1037="","",$K1037&amp;"")</f>
        <v/>
      </c>
      <c r="S1037" s="9">
        <f>IF(Q1037="","",IF(MATCH(R1037,$R$5:$R$100000,0)=ROW()-4,ROW(),""))</f>
        <v/>
      </c>
      <c r="T1037" s="9">
        <f>IF(Q1037="당기",ABS(P1037)+ROW()/1000000000,"")</f>
        <v/>
      </c>
      <c r="U1037" s="9">
        <f>IF(Q1037="비교",ABS(P1037)+ROW()/1000000000,"")</f>
        <v/>
      </c>
      <c r="V1037" s="39">
        <f>IF($A1037="","",IF(COUNTIF(변동분석!$E$7:$E$506,O1037)&gt;0,"Y","N"))</f>
        <v/>
      </c>
      <c r="W1037" s="39">
        <f>IF($A1037="","",IFERROR(INDEX(계정매핑!$D$5:$D$504,MATCH($F1037&amp;"",계정매핑!$A$5:$A$504,0)),"미매핑"))</f>
        <v/>
      </c>
      <c r="X1037" s="9">
        <f>IF($A1037="","",$F1037&amp;"")</f>
        <v/>
      </c>
    </row>
    <row r="1038">
      <c r="A1038" s="75" t="n">
        <v>2025</v>
      </c>
      <c r="B1038" s="75" t="n">
        <v>6</v>
      </c>
      <c r="C1038" s="75" t="inlineStr">
        <is>
          <t>5100001034</t>
        </is>
      </c>
      <c r="D1038" s="78" t="n">
        <v>45818</v>
      </c>
      <c r="E1038" s="75" t="inlineStr">
        <is>
          <t>KR</t>
        </is>
      </c>
      <c r="F1038" s="75" t="n">
        <v>62501000</v>
      </c>
      <c r="G1038" s="75" t="n">
        <v>1401</v>
      </c>
      <c r="H1038" s="76" t="n">
        <v>217000</v>
      </c>
      <c r="I1038" s="75" t="inlineStr">
        <is>
          <t>6월 회의 다과 - T케이터링</t>
        </is>
      </c>
      <c r="J1038" s="75" t="inlineStr">
        <is>
          <t>V10005</t>
        </is>
      </c>
      <c r="K1038" s="75" t="inlineStr">
        <is>
          <t>T케이터링</t>
        </is>
      </c>
      <c r="M1038" s="9">
        <f>IF($A1038="","",VALUE($A1038&amp;"")*12+VALUE($B1038&amp;""))</f>
        <v/>
      </c>
      <c r="N1038" s="39">
        <f>IF($A1038="","",IFERROR(INDEX(부서매핑!$C$5:$C$504,MATCH($G1038&amp;"",부서매핑!$A$5:$A$504,0)),"미매핑"))</f>
        <v/>
      </c>
      <c r="O1038" s="9">
        <f>IF($A1038="","",N1038&amp;"|"&amp;$F1038)</f>
        <v/>
      </c>
      <c r="P1038" s="77">
        <f>IF($A1038="",0,$H1038*설정!$C$23)</f>
        <v/>
      </c>
      <c r="Q1038" s="39">
        <f>IF($A1038="","",IF(O1038&lt;&gt;원인분석!$C$9,"",IF(AND(M1038&gt;=원인분석!$C$10,M1038&lt;=원인분석!$C$11),"당기",IF(AND(M1038&gt;=원인분석!$C$12,M1038&lt;=원인분석!$C$13),"비교",""))))</f>
        <v/>
      </c>
      <c r="R1038" s="9">
        <f>IF(Q1038="","",$K1038&amp;"")</f>
        <v/>
      </c>
      <c r="S1038" s="9">
        <f>IF(Q1038="","",IF(MATCH(R1038,$R$5:$R$100000,0)=ROW()-4,ROW(),""))</f>
        <v/>
      </c>
      <c r="T1038" s="9">
        <f>IF(Q1038="당기",ABS(P1038)+ROW()/1000000000,"")</f>
        <v/>
      </c>
      <c r="U1038" s="9">
        <f>IF(Q1038="비교",ABS(P1038)+ROW()/1000000000,"")</f>
        <v/>
      </c>
      <c r="V1038" s="39">
        <f>IF($A1038="","",IF(COUNTIF(변동분석!$E$7:$E$506,O1038)&gt;0,"Y","N"))</f>
        <v/>
      </c>
      <c r="W1038" s="39">
        <f>IF($A1038="","",IFERROR(INDEX(계정매핑!$D$5:$D$504,MATCH($F1038&amp;"",계정매핑!$A$5:$A$504,0)),"미매핑"))</f>
        <v/>
      </c>
      <c r="X1038" s="9">
        <f>IF($A1038="","",$F1038&amp;"")</f>
        <v/>
      </c>
    </row>
    <row r="1039">
      <c r="A1039" s="75" t="n">
        <v>2025</v>
      </c>
      <c r="B1039" s="75" t="n">
        <v>6</v>
      </c>
      <c r="C1039" s="75" t="inlineStr">
        <is>
          <t>5100001035</t>
        </is>
      </c>
      <c r="D1039" s="78" t="n">
        <v>45818</v>
      </c>
      <c r="E1039" s="75" t="inlineStr">
        <is>
          <t>KR</t>
        </is>
      </c>
      <c r="F1039" s="75" t="n">
        <v>63101000</v>
      </c>
      <c r="G1039" s="75" t="n">
        <v>1601</v>
      </c>
      <c r="H1039" s="76" t="n">
        <v>4474000</v>
      </c>
      <c r="I1039" s="75" t="inlineStr">
        <is>
          <t>6월 사무실 임차료 - BB부동산</t>
        </is>
      </c>
      <c r="J1039" s="75" t="inlineStr">
        <is>
          <t>V10024</t>
        </is>
      </c>
      <c r="K1039" s="75" t="inlineStr">
        <is>
          <t>BB부동산</t>
        </is>
      </c>
      <c r="M1039" s="9">
        <f>IF($A1039="","",VALUE($A1039&amp;"")*12+VALUE($B1039&amp;""))</f>
        <v/>
      </c>
      <c r="N1039" s="39">
        <f>IF($A1039="","",IFERROR(INDEX(부서매핑!$C$5:$C$504,MATCH($G1039&amp;"",부서매핑!$A$5:$A$504,0)),"미매핑"))</f>
        <v/>
      </c>
      <c r="O1039" s="9">
        <f>IF($A1039="","",N1039&amp;"|"&amp;$F1039)</f>
        <v/>
      </c>
      <c r="P1039" s="77">
        <f>IF($A1039="",0,$H1039*설정!$C$23)</f>
        <v/>
      </c>
      <c r="Q1039" s="39">
        <f>IF($A1039="","",IF(O1039&lt;&gt;원인분석!$C$9,"",IF(AND(M1039&gt;=원인분석!$C$10,M1039&lt;=원인분석!$C$11),"당기",IF(AND(M1039&gt;=원인분석!$C$12,M1039&lt;=원인분석!$C$13),"비교",""))))</f>
        <v/>
      </c>
      <c r="R1039" s="9">
        <f>IF(Q1039="","",$K1039&amp;"")</f>
        <v/>
      </c>
      <c r="S1039" s="9">
        <f>IF(Q1039="","",IF(MATCH(R1039,$R$5:$R$100000,0)=ROW()-4,ROW(),""))</f>
        <v/>
      </c>
      <c r="T1039" s="9">
        <f>IF(Q1039="당기",ABS(P1039)+ROW()/1000000000,"")</f>
        <v/>
      </c>
      <c r="U1039" s="9">
        <f>IF(Q1039="비교",ABS(P1039)+ROW()/1000000000,"")</f>
        <v/>
      </c>
      <c r="V1039" s="39">
        <f>IF($A1039="","",IF(COUNTIF(변동분석!$E$7:$E$506,O1039)&gt;0,"Y","N"))</f>
        <v/>
      </c>
      <c r="W1039" s="39">
        <f>IF($A1039="","",IFERROR(INDEX(계정매핑!$D$5:$D$504,MATCH($F1039&amp;"",계정매핑!$A$5:$A$504,0)),"미매핑"))</f>
        <v/>
      </c>
      <c r="X1039" s="9">
        <f>IF($A1039="","",$F1039&amp;"")</f>
        <v/>
      </c>
    </row>
    <row r="1040">
      <c r="A1040" s="75" t="n">
        <v>2025</v>
      </c>
      <c r="B1040" s="75" t="n">
        <v>6</v>
      </c>
      <c r="C1040" s="75" t="inlineStr">
        <is>
          <t>5100001036</t>
        </is>
      </c>
      <c r="D1040" s="78" t="n">
        <v>45818</v>
      </c>
      <c r="E1040" s="75" t="inlineStr">
        <is>
          <t>KR</t>
        </is>
      </c>
      <c r="F1040" s="75" t="n">
        <v>63101000</v>
      </c>
      <c r="G1040" s="75" t="n">
        <v>1602</v>
      </c>
      <c r="H1040" s="76" t="n">
        <v>5755000</v>
      </c>
      <c r="I1040" s="75" t="inlineStr">
        <is>
          <t>6월 사무실 임차료 - BB부동산</t>
        </is>
      </c>
      <c r="J1040" s="75" t="inlineStr">
        <is>
          <t>V10024</t>
        </is>
      </c>
      <c r="K1040" s="75" t="inlineStr">
        <is>
          <t>BB부동산</t>
        </is>
      </c>
      <c r="M1040" s="9">
        <f>IF($A1040="","",VALUE($A1040&amp;"")*12+VALUE($B1040&amp;""))</f>
        <v/>
      </c>
      <c r="N1040" s="39">
        <f>IF($A1040="","",IFERROR(INDEX(부서매핑!$C$5:$C$504,MATCH($G1040&amp;"",부서매핑!$A$5:$A$504,0)),"미매핑"))</f>
        <v/>
      </c>
      <c r="O1040" s="9">
        <f>IF($A1040="","",N1040&amp;"|"&amp;$F1040)</f>
        <v/>
      </c>
      <c r="P1040" s="77">
        <f>IF($A1040="",0,$H1040*설정!$C$23)</f>
        <v/>
      </c>
      <c r="Q1040" s="39">
        <f>IF($A1040="","",IF(O1040&lt;&gt;원인분석!$C$9,"",IF(AND(M1040&gt;=원인분석!$C$10,M1040&lt;=원인분석!$C$11),"당기",IF(AND(M1040&gt;=원인분석!$C$12,M1040&lt;=원인분석!$C$13),"비교",""))))</f>
        <v/>
      </c>
      <c r="R1040" s="9">
        <f>IF(Q1040="","",$K1040&amp;"")</f>
        <v/>
      </c>
      <c r="S1040" s="9">
        <f>IF(Q1040="","",IF(MATCH(R1040,$R$5:$R$100000,0)=ROW()-4,ROW(),""))</f>
        <v/>
      </c>
      <c r="T1040" s="9">
        <f>IF(Q1040="당기",ABS(P1040)+ROW()/1000000000,"")</f>
        <v/>
      </c>
      <c r="U1040" s="9">
        <f>IF(Q1040="비교",ABS(P1040)+ROW()/1000000000,"")</f>
        <v/>
      </c>
      <c r="V1040" s="39">
        <f>IF($A1040="","",IF(COUNTIF(변동분석!$E$7:$E$506,O1040)&gt;0,"Y","N"))</f>
        <v/>
      </c>
      <c r="W1040" s="39">
        <f>IF($A1040="","",IFERROR(INDEX(계정매핑!$D$5:$D$504,MATCH($F1040&amp;"",계정매핑!$A$5:$A$504,0)),"미매핑"))</f>
        <v/>
      </c>
      <c r="X1040" s="9">
        <f>IF($A1040="","",$F1040&amp;"")</f>
        <v/>
      </c>
    </row>
    <row r="1041">
      <c r="A1041" s="75" t="n">
        <v>2025</v>
      </c>
      <c r="B1041" s="75" t="n">
        <v>6</v>
      </c>
      <c r="C1041" s="75" t="inlineStr">
        <is>
          <t>5100001037</t>
        </is>
      </c>
      <c r="D1041" s="78" t="n">
        <v>45819</v>
      </c>
      <c r="E1041" s="75" t="inlineStr">
        <is>
          <t>KR</t>
        </is>
      </c>
      <c r="F1041" s="75" t="n">
        <v>62101000</v>
      </c>
      <c r="G1041" s="75" t="n">
        <v>1101</v>
      </c>
      <c r="H1041" s="76" t="n">
        <v>391000</v>
      </c>
      <c r="I1041" s="75" t="inlineStr">
        <is>
          <t>6월 국내출장 - L여행사</t>
        </is>
      </c>
      <c r="J1041" s="75" t="inlineStr">
        <is>
          <t>V10014</t>
        </is>
      </c>
      <c r="K1041" s="75" t="inlineStr">
        <is>
          <t>L여행사</t>
        </is>
      </c>
      <c r="M1041" s="9">
        <f>IF($A1041="","",VALUE($A1041&amp;"")*12+VALUE($B1041&amp;""))</f>
        <v/>
      </c>
      <c r="N1041" s="39">
        <f>IF($A1041="","",IFERROR(INDEX(부서매핑!$C$5:$C$504,MATCH($G1041&amp;"",부서매핑!$A$5:$A$504,0)),"미매핑"))</f>
        <v/>
      </c>
      <c r="O1041" s="9">
        <f>IF($A1041="","",N1041&amp;"|"&amp;$F1041)</f>
        <v/>
      </c>
      <c r="P1041" s="77">
        <f>IF($A1041="",0,$H1041*설정!$C$23)</f>
        <v/>
      </c>
      <c r="Q1041" s="39">
        <f>IF($A1041="","",IF(O1041&lt;&gt;원인분석!$C$9,"",IF(AND(M1041&gt;=원인분석!$C$10,M1041&lt;=원인분석!$C$11),"당기",IF(AND(M1041&gt;=원인분석!$C$12,M1041&lt;=원인분석!$C$13),"비교",""))))</f>
        <v/>
      </c>
      <c r="R1041" s="9">
        <f>IF(Q1041="","",$K1041&amp;"")</f>
        <v/>
      </c>
      <c r="S1041" s="9">
        <f>IF(Q1041="","",IF(MATCH(R1041,$R$5:$R$100000,0)=ROW()-4,ROW(),""))</f>
        <v/>
      </c>
      <c r="T1041" s="9">
        <f>IF(Q1041="당기",ABS(P1041)+ROW()/1000000000,"")</f>
        <v/>
      </c>
      <c r="U1041" s="9">
        <f>IF(Q1041="비교",ABS(P1041)+ROW()/1000000000,"")</f>
        <v/>
      </c>
      <c r="V1041" s="39">
        <f>IF($A1041="","",IF(COUNTIF(변동분석!$E$7:$E$506,O1041)&gt;0,"Y","N"))</f>
        <v/>
      </c>
      <c r="W1041" s="39">
        <f>IF($A1041="","",IFERROR(INDEX(계정매핑!$D$5:$D$504,MATCH($F1041&amp;"",계정매핑!$A$5:$A$504,0)),"미매핑"))</f>
        <v/>
      </c>
      <c r="X1041" s="9">
        <f>IF($A1041="","",$F1041&amp;"")</f>
        <v/>
      </c>
    </row>
    <row r="1042">
      <c r="A1042" s="75" t="n">
        <v>2025</v>
      </c>
      <c r="B1042" s="75" t="n">
        <v>6</v>
      </c>
      <c r="C1042" s="75" t="inlineStr">
        <is>
          <t>5100001038</t>
        </is>
      </c>
      <c r="D1042" s="78" t="n">
        <v>45819</v>
      </c>
      <c r="E1042" s="75" t="inlineStr">
        <is>
          <t>KR</t>
        </is>
      </c>
      <c r="F1042" s="75" t="n">
        <v>62101000</v>
      </c>
      <c r="G1042" s="75" t="n">
        <v>1201</v>
      </c>
      <c r="H1042" s="76" t="n">
        <v>277000</v>
      </c>
      <c r="I1042" s="75" t="inlineStr">
        <is>
          <t>6월 국내출장 - M항공</t>
        </is>
      </c>
      <c r="J1042" s="75" t="inlineStr">
        <is>
          <t>V10001</t>
        </is>
      </c>
      <c r="K1042" s="75" t="inlineStr">
        <is>
          <t>M항공</t>
        </is>
      </c>
      <c r="M1042" s="9">
        <f>IF($A1042="","",VALUE($A1042&amp;"")*12+VALUE($B1042&amp;""))</f>
        <v/>
      </c>
      <c r="N1042" s="39">
        <f>IF($A1042="","",IFERROR(INDEX(부서매핑!$C$5:$C$504,MATCH($G1042&amp;"",부서매핑!$A$5:$A$504,0)),"미매핑"))</f>
        <v/>
      </c>
      <c r="O1042" s="9">
        <f>IF($A1042="","",N1042&amp;"|"&amp;$F1042)</f>
        <v/>
      </c>
      <c r="P1042" s="77">
        <f>IF($A1042="",0,$H1042*설정!$C$23)</f>
        <v/>
      </c>
      <c r="Q1042" s="39">
        <f>IF($A1042="","",IF(O1042&lt;&gt;원인분석!$C$9,"",IF(AND(M1042&gt;=원인분석!$C$10,M1042&lt;=원인분석!$C$11),"당기",IF(AND(M1042&gt;=원인분석!$C$12,M1042&lt;=원인분석!$C$13),"비교",""))))</f>
        <v/>
      </c>
      <c r="R1042" s="9">
        <f>IF(Q1042="","",$K1042&amp;"")</f>
        <v/>
      </c>
      <c r="S1042" s="9">
        <f>IF(Q1042="","",IF(MATCH(R1042,$R$5:$R$100000,0)=ROW()-4,ROW(),""))</f>
        <v/>
      </c>
      <c r="T1042" s="9">
        <f>IF(Q1042="당기",ABS(P1042)+ROW()/1000000000,"")</f>
        <v/>
      </c>
      <c r="U1042" s="9">
        <f>IF(Q1042="비교",ABS(P1042)+ROW()/1000000000,"")</f>
        <v/>
      </c>
      <c r="V1042" s="39">
        <f>IF($A1042="","",IF(COUNTIF(변동분석!$E$7:$E$506,O1042)&gt;0,"Y","N"))</f>
        <v/>
      </c>
      <c r="W1042" s="39">
        <f>IF($A1042="","",IFERROR(INDEX(계정매핑!$D$5:$D$504,MATCH($F1042&amp;"",계정매핑!$A$5:$A$504,0)),"미매핑"))</f>
        <v/>
      </c>
      <c r="X1042" s="9">
        <f>IF($A1042="","",$F1042&amp;"")</f>
        <v/>
      </c>
    </row>
    <row r="1043">
      <c r="A1043" s="75" t="n">
        <v>2025</v>
      </c>
      <c r="B1043" s="75" t="n">
        <v>6</v>
      </c>
      <c r="C1043" s="75" t="inlineStr">
        <is>
          <t>5100001039</t>
        </is>
      </c>
      <c r="D1043" s="78" t="n">
        <v>45819</v>
      </c>
      <c r="E1043" s="75" t="inlineStr">
        <is>
          <t>KR</t>
        </is>
      </c>
      <c r="F1043" s="75" t="n">
        <v>62101000</v>
      </c>
      <c r="G1043" s="75" t="n">
        <v>1701</v>
      </c>
      <c r="H1043" s="76" t="n">
        <v>175000</v>
      </c>
      <c r="I1043" s="75" t="inlineStr">
        <is>
          <t>6월 국내출장 - L여행사</t>
        </is>
      </c>
      <c r="J1043" s="75" t="inlineStr">
        <is>
          <t>V10014</t>
        </is>
      </c>
      <c r="K1043" s="75" t="inlineStr">
        <is>
          <t>L여행사</t>
        </is>
      </c>
      <c r="M1043" s="9">
        <f>IF($A1043="","",VALUE($A1043&amp;"")*12+VALUE($B1043&amp;""))</f>
        <v/>
      </c>
      <c r="N1043" s="39">
        <f>IF($A1043="","",IFERROR(INDEX(부서매핑!$C$5:$C$504,MATCH($G1043&amp;"",부서매핑!$A$5:$A$504,0)),"미매핑"))</f>
        <v/>
      </c>
      <c r="O1043" s="9">
        <f>IF($A1043="","",N1043&amp;"|"&amp;$F1043)</f>
        <v/>
      </c>
      <c r="P1043" s="77">
        <f>IF($A1043="",0,$H1043*설정!$C$23)</f>
        <v/>
      </c>
      <c r="Q1043" s="39">
        <f>IF($A1043="","",IF(O1043&lt;&gt;원인분석!$C$9,"",IF(AND(M1043&gt;=원인분석!$C$10,M1043&lt;=원인분석!$C$11),"당기",IF(AND(M1043&gt;=원인분석!$C$12,M1043&lt;=원인분석!$C$13),"비교",""))))</f>
        <v/>
      </c>
      <c r="R1043" s="9">
        <f>IF(Q1043="","",$K1043&amp;"")</f>
        <v/>
      </c>
      <c r="S1043" s="9">
        <f>IF(Q1043="","",IF(MATCH(R1043,$R$5:$R$100000,0)=ROW()-4,ROW(),""))</f>
        <v/>
      </c>
      <c r="T1043" s="9">
        <f>IF(Q1043="당기",ABS(P1043)+ROW()/1000000000,"")</f>
        <v/>
      </c>
      <c r="U1043" s="9">
        <f>IF(Q1043="비교",ABS(P1043)+ROW()/1000000000,"")</f>
        <v/>
      </c>
      <c r="V1043" s="39">
        <f>IF($A1043="","",IF(COUNTIF(변동분석!$E$7:$E$506,O1043)&gt;0,"Y","N"))</f>
        <v/>
      </c>
      <c r="W1043" s="39">
        <f>IF($A1043="","",IFERROR(INDEX(계정매핑!$D$5:$D$504,MATCH($F1043&amp;"",계정매핑!$A$5:$A$504,0)),"미매핑"))</f>
        <v/>
      </c>
      <c r="X1043" s="9">
        <f>IF($A1043="","",$F1043&amp;"")</f>
        <v/>
      </c>
    </row>
    <row r="1044">
      <c r="A1044" s="75" t="n">
        <v>2025</v>
      </c>
      <c r="B1044" s="75" t="n">
        <v>6</v>
      </c>
      <c r="C1044" s="75" t="inlineStr">
        <is>
          <t>5100001040</t>
        </is>
      </c>
      <c r="D1044" s="78" t="n">
        <v>45819</v>
      </c>
      <c r="E1044" s="75" t="inlineStr">
        <is>
          <t>KR</t>
        </is>
      </c>
      <c r="F1044" s="75" t="n">
        <v>62102000</v>
      </c>
      <c r="G1044" s="75" t="n">
        <v>1801</v>
      </c>
      <c r="H1044" s="76" t="n">
        <v>37000</v>
      </c>
      <c r="I1044" s="75" t="inlineStr">
        <is>
          <t>6월 해외출장 - M항공</t>
        </is>
      </c>
      <c r="J1044" s="75" t="inlineStr">
        <is>
          <t>V10001</t>
        </is>
      </c>
      <c r="K1044" s="75" t="inlineStr">
        <is>
          <t>M항공</t>
        </is>
      </c>
      <c r="M1044" s="9">
        <f>IF($A1044="","",VALUE($A1044&amp;"")*12+VALUE($B1044&amp;""))</f>
        <v/>
      </c>
      <c r="N1044" s="39">
        <f>IF($A1044="","",IFERROR(INDEX(부서매핑!$C$5:$C$504,MATCH($G1044&amp;"",부서매핑!$A$5:$A$504,0)),"미매핑"))</f>
        <v/>
      </c>
      <c r="O1044" s="9">
        <f>IF($A1044="","",N1044&amp;"|"&amp;$F1044)</f>
        <v/>
      </c>
      <c r="P1044" s="77">
        <f>IF($A1044="",0,$H1044*설정!$C$23)</f>
        <v/>
      </c>
      <c r="Q1044" s="39">
        <f>IF($A1044="","",IF(O1044&lt;&gt;원인분석!$C$9,"",IF(AND(M1044&gt;=원인분석!$C$10,M1044&lt;=원인분석!$C$11),"당기",IF(AND(M1044&gt;=원인분석!$C$12,M1044&lt;=원인분석!$C$13),"비교",""))))</f>
        <v/>
      </c>
      <c r="R1044" s="9">
        <f>IF(Q1044="","",$K1044&amp;"")</f>
        <v/>
      </c>
      <c r="S1044" s="9">
        <f>IF(Q1044="","",IF(MATCH(R1044,$R$5:$R$100000,0)=ROW()-4,ROW(),""))</f>
        <v/>
      </c>
      <c r="T1044" s="9">
        <f>IF(Q1044="당기",ABS(P1044)+ROW()/1000000000,"")</f>
        <v/>
      </c>
      <c r="U1044" s="9">
        <f>IF(Q1044="비교",ABS(P1044)+ROW()/1000000000,"")</f>
        <v/>
      </c>
      <c r="V1044" s="39">
        <f>IF($A1044="","",IF(COUNTIF(변동분석!$E$7:$E$506,O1044)&gt;0,"Y","N"))</f>
        <v/>
      </c>
      <c r="W1044" s="39">
        <f>IF($A1044="","",IFERROR(INDEX(계정매핑!$D$5:$D$504,MATCH($F1044&amp;"",계정매핑!$A$5:$A$504,0)),"미매핑"))</f>
        <v/>
      </c>
      <c r="X1044" s="9">
        <f>IF($A1044="","",$F1044&amp;"")</f>
        <v/>
      </c>
    </row>
    <row r="1045">
      <c r="A1045" s="75" t="n">
        <v>2025</v>
      </c>
      <c r="B1045" s="75" t="n">
        <v>6</v>
      </c>
      <c r="C1045" s="75" t="inlineStr">
        <is>
          <t>5100001041</t>
        </is>
      </c>
      <c r="D1045" s="78" t="n">
        <v>45819</v>
      </c>
      <c r="E1045" s="75" t="inlineStr">
        <is>
          <t>KR</t>
        </is>
      </c>
      <c r="F1045" s="75" t="n">
        <v>62201000</v>
      </c>
      <c r="G1045" s="75" t="n">
        <v>1201</v>
      </c>
      <c r="H1045" s="76" t="n">
        <v>191000</v>
      </c>
      <c r="I1045" s="75" t="inlineStr">
        <is>
          <t>6월 통신요금 - P통신</t>
        </is>
      </c>
      <c r="J1045" s="75" t="inlineStr">
        <is>
          <t>V10011</t>
        </is>
      </c>
      <c r="K1045" s="75" t="inlineStr">
        <is>
          <t>P통신</t>
        </is>
      </c>
      <c r="M1045" s="9">
        <f>IF($A1045="","",VALUE($A1045&amp;"")*12+VALUE($B1045&amp;""))</f>
        <v/>
      </c>
      <c r="N1045" s="39">
        <f>IF($A1045="","",IFERROR(INDEX(부서매핑!$C$5:$C$504,MATCH($G1045&amp;"",부서매핑!$A$5:$A$504,0)),"미매핑"))</f>
        <v/>
      </c>
      <c r="O1045" s="9">
        <f>IF($A1045="","",N1045&amp;"|"&amp;$F1045)</f>
        <v/>
      </c>
      <c r="P1045" s="77">
        <f>IF($A1045="",0,$H1045*설정!$C$23)</f>
        <v/>
      </c>
      <c r="Q1045" s="39">
        <f>IF($A1045="","",IF(O1045&lt;&gt;원인분석!$C$9,"",IF(AND(M1045&gt;=원인분석!$C$10,M1045&lt;=원인분석!$C$11),"당기",IF(AND(M1045&gt;=원인분석!$C$12,M1045&lt;=원인분석!$C$13),"비교",""))))</f>
        <v/>
      </c>
      <c r="R1045" s="9">
        <f>IF(Q1045="","",$K1045&amp;"")</f>
        <v/>
      </c>
      <c r="S1045" s="9">
        <f>IF(Q1045="","",IF(MATCH(R1045,$R$5:$R$100000,0)=ROW()-4,ROW(),""))</f>
        <v/>
      </c>
      <c r="T1045" s="9">
        <f>IF(Q1045="당기",ABS(P1045)+ROW()/1000000000,"")</f>
        <v/>
      </c>
      <c r="U1045" s="9">
        <f>IF(Q1045="비교",ABS(P1045)+ROW()/1000000000,"")</f>
        <v/>
      </c>
      <c r="V1045" s="39">
        <f>IF($A1045="","",IF(COUNTIF(변동분석!$E$7:$E$506,O1045)&gt;0,"Y","N"))</f>
        <v/>
      </c>
      <c r="W1045" s="39">
        <f>IF($A1045="","",IFERROR(INDEX(계정매핑!$D$5:$D$504,MATCH($F1045&amp;"",계정매핑!$A$5:$A$504,0)),"미매핑"))</f>
        <v/>
      </c>
      <c r="X1045" s="9">
        <f>IF($A1045="","",$F1045&amp;"")</f>
        <v/>
      </c>
    </row>
    <row r="1046">
      <c r="A1046" s="75" t="n">
        <v>2025</v>
      </c>
      <c r="B1046" s="75" t="n">
        <v>6</v>
      </c>
      <c r="C1046" s="75" t="inlineStr">
        <is>
          <t>5100001042</t>
        </is>
      </c>
      <c r="D1046" s="78" t="n">
        <v>45819</v>
      </c>
      <c r="E1046" s="75" t="inlineStr">
        <is>
          <t>KR</t>
        </is>
      </c>
      <c r="F1046" s="75" t="n">
        <v>62201000</v>
      </c>
      <c r="G1046" s="75" t="n">
        <v>1801</v>
      </c>
      <c r="H1046" s="76" t="n">
        <v>6457000</v>
      </c>
      <c r="I1046" s="75" t="inlineStr">
        <is>
          <t>6월 통신요금 - O텔레콤</t>
        </is>
      </c>
      <c r="J1046" s="75" t="inlineStr">
        <is>
          <t>V10002</t>
        </is>
      </c>
      <c r="K1046" s="75" t="inlineStr">
        <is>
          <t>O텔레콤</t>
        </is>
      </c>
      <c r="M1046" s="9">
        <f>IF($A1046="","",VALUE($A1046&amp;"")*12+VALUE($B1046&amp;""))</f>
        <v/>
      </c>
      <c r="N1046" s="39">
        <f>IF($A1046="","",IFERROR(INDEX(부서매핑!$C$5:$C$504,MATCH($G1046&amp;"",부서매핑!$A$5:$A$504,0)),"미매핑"))</f>
        <v/>
      </c>
      <c r="O1046" s="9">
        <f>IF($A1046="","",N1046&amp;"|"&amp;$F1046)</f>
        <v/>
      </c>
      <c r="P1046" s="77">
        <f>IF($A1046="",0,$H1046*설정!$C$23)</f>
        <v/>
      </c>
      <c r="Q1046" s="39">
        <f>IF($A1046="","",IF(O1046&lt;&gt;원인분석!$C$9,"",IF(AND(M1046&gt;=원인분석!$C$10,M1046&lt;=원인분석!$C$11),"당기",IF(AND(M1046&gt;=원인분석!$C$12,M1046&lt;=원인분석!$C$13),"비교",""))))</f>
        <v/>
      </c>
      <c r="R1046" s="9">
        <f>IF(Q1046="","",$K1046&amp;"")</f>
        <v/>
      </c>
      <c r="S1046" s="9">
        <f>IF(Q1046="","",IF(MATCH(R1046,$R$5:$R$100000,0)=ROW()-4,ROW(),""))</f>
        <v/>
      </c>
      <c r="T1046" s="9">
        <f>IF(Q1046="당기",ABS(P1046)+ROW()/1000000000,"")</f>
        <v/>
      </c>
      <c r="U1046" s="9">
        <f>IF(Q1046="비교",ABS(P1046)+ROW()/1000000000,"")</f>
        <v/>
      </c>
      <c r="V1046" s="39">
        <f>IF($A1046="","",IF(COUNTIF(변동분석!$E$7:$E$506,O1046)&gt;0,"Y","N"))</f>
        <v/>
      </c>
      <c r="W1046" s="39">
        <f>IF($A1046="","",IFERROR(INDEX(계정매핑!$D$5:$D$504,MATCH($F1046&amp;"",계정매핑!$A$5:$A$504,0)),"미매핑"))</f>
        <v/>
      </c>
      <c r="X1046" s="9">
        <f>IF($A1046="","",$F1046&amp;"")</f>
        <v/>
      </c>
    </row>
    <row r="1047">
      <c r="A1047" s="75" t="n">
        <v>2025</v>
      </c>
      <c r="B1047" s="75" t="n">
        <v>6</v>
      </c>
      <c r="C1047" s="75" t="inlineStr">
        <is>
          <t>5100001043</t>
        </is>
      </c>
      <c r="D1047" s="78" t="n">
        <v>45819</v>
      </c>
      <c r="E1047" s="75" t="inlineStr">
        <is>
          <t>KR</t>
        </is>
      </c>
      <c r="F1047" s="75" t="n">
        <v>62501000</v>
      </c>
      <c r="G1047" s="75" t="n">
        <v>1201</v>
      </c>
      <c r="H1047" s="76" t="n">
        <v>94000</v>
      </c>
      <c r="I1047" s="75" t="inlineStr">
        <is>
          <t>6월 회의 다과 - T케이터링</t>
        </is>
      </c>
      <c r="J1047" s="75" t="inlineStr">
        <is>
          <t>V10005</t>
        </is>
      </c>
      <c r="K1047" s="75" t="inlineStr">
        <is>
          <t>T케이터링</t>
        </is>
      </c>
      <c r="M1047" s="9">
        <f>IF($A1047="","",VALUE($A1047&amp;"")*12+VALUE($B1047&amp;""))</f>
        <v/>
      </c>
      <c r="N1047" s="39">
        <f>IF($A1047="","",IFERROR(INDEX(부서매핑!$C$5:$C$504,MATCH($G1047&amp;"",부서매핑!$A$5:$A$504,0)),"미매핑"))</f>
        <v/>
      </c>
      <c r="O1047" s="9">
        <f>IF($A1047="","",N1047&amp;"|"&amp;$F1047)</f>
        <v/>
      </c>
      <c r="P1047" s="77">
        <f>IF($A1047="",0,$H1047*설정!$C$23)</f>
        <v/>
      </c>
      <c r="Q1047" s="39">
        <f>IF($A1047="","",IF(O1047&lt;&gt;원인분석!$C$9,"",IF(AND(M1047&gt;=원인분석!$C$10,M1047&lt;=원인분석!$C$11),"당기",IF(AND(M1047&gt;=원인분석!$C$12,M1047&lt;=원인분석!$C$13),"비교",""))))</f>
        <v/>
      </c>
      <c r="R1047" s="9">
        <f>IF(Q1047="","",$K1047&amp;"")</f>
        <v/>
      </c>
      <c r="S1047" s="9">
        <f>IF(Q1047="","",IF(MATCH(R1047,$R$5:$R$100000,0)=ROW()-4,ROW(),""))</f>
        <v/>
      </c>
      <c r="T1047" s="9">
        <f>IF(Q1047="당기",ABS(P1047)+ROW()/1000000000,"")</f>
        <v/>
      </c>
      <c r="U1047" s="9">
        <f>IF(Q1047="비교",ABS(P1047)+ROW()/1000000000,"")</f>
        <v/>
      </c>
      <c r="V1047" s="39">
        <f>IF($A1047="","",IF(COUNTIF(변동분석!$E$7:$E$506,O1047)&gt;0,"Y","N"))</f>
        <v/>
      </c>
      <c r="W1047" s="39">
        <f>IF($A1047="","",IFERROR(INDEX(계정매핑!$D$5:$D$504,MATCH($F1047&amp;"",계정매핑!$A$5:$A$504,0)),"미매핑"))</f>
        <v/>
      </c>
      <c r="X1047" s="9">
        <f>IF($A1047="","",$F1047&amp;"")</f>
        <v/>
      </c>
    </row>
    <row r="1048">
      <c r="A1048" s="75" t="n">
        <v>2025</v>
      </c>
      <c r="B1048" s="75" t="n">
        <v>6</v>
      </c>
      <c r="C1048" s="75" t="inlineStr">
        <is>
          <t>5100001044</t>
        </is>
      </c>
      <c r="D1048" s="78" t="n">
        <v>45819</v>
      </c>
      <c r="E1048" s="75" t="inlineStr">
        <is>
          <t>KR</t>
        </is>
      </c>
      <c r="F1048" s="75" t="n">
        <v>62601000</v>
      </c>
      <c r="G1048" s="75" t="n">
        <v>1501</v>
      </c>
      <c r="H1048" s="76" t="n">
        <v>2703000</v>
      </c>
      <c r="I1048" s="75" t="inlineStr">
        <is>
          <t>6월 업무추진 - (법인카드)</t>
        </is>
      </c>
      <c r="J1048" s="75" t="inlineStr">
        <is>
          <t>V10008</t>
        </is>
      </c>
      <c r="K1048" s="75" t="inlineStr">
        <is>
          <t>(법인카드)</t>
        </is>
      </c>
      <c r="M1048" s="9">
        <f>IF($A1048="","",VALUE($A1048&amp;"")*12+VALUE($B1048&amp;""))</f>
        <v/>
      </c>
      <c r="N1048" s="39">
        <f>IF($A1048="","",IFERROR(INDEX(부서매핑!$C$5:$C$504,MATCH($G1048&amp;"",부서매핑!$A$5:$A$504,0)),"미매핑"))</f>
        <v/>
      </c>
      <c r="O1048" s="9">
        <f>IF($A1048="","",N1048&amp;"|"&amp;$F1048)</f>
        <v/>
      </c>
      <c r="P1048" s="77">
        <f>IF($A1048="",0,$H1048*설정!$C$23)</f>
        <v/>
      </c>
      <c r="Q1048" s="39">
        <f>IF($A1048="","",IF(O1048&lt;&gt;원인분석!$C$9,"",IF(AND(M1048&gt;=원인분석!$C$10,M1048&lt;=원인분석!$C$11),"당기",IF(AND(M1048&gt;=원인분석!$C$12,M1048&lt;=원인분석!$C$13),"비교",""))))</f>
        <v/>
      </c>
      <c r="R1048" s="9">
        <f>IF(Q1048="","",$K1048&amp;"")</f>
        <v/>
      </c>
      <c r="S1048" s="9">
        <f>IF(Q1048="","",IF(MATCH(R1048,$R$5:$R$100000,0)=ROW()-4,ROW(),""))</f>
        <v/>
      </c>
      <c r="T1048" s="9">
        <f>IF(Q1048="당기",ABS(P1048)+ROW()/1000000000,"")</f>
        <v/>
      </c>
      <c r="U1048" s="9">
        <f>IF(Q1048="비교",ABS(P1048)+ROW()/1000000000,"")</f>
        <v/>
      </c>
      <c r="V1048" s="39">
        <f>IF($A1048="","",IF(COUNTIF(변동분석!$E$7:$E$506,O1048)&gt;0,"Y","N"))</f>
        <v/>
      </c>
      <c r="W1048" s="39">
        <f>IF($A1048="","",IFERROR(INDEX(계정매핑!$D$5:$D$504,MATCH($F1048&amp;"",계정매핑!$A$5:$A$504,0)),"미매핑"))</f>
        <v/>
      </c>
      <c r="X1048" s="9">
        <f>IF($A1048="","",$F1048&amp;"")</f>
        <v/>
      </c>
    </row>
    <row r="1049">
      <c r="A1049" s="75" t="n">
        <v>2025</v>
      </c>
      <c r="B1049" s="75" t="n">
        <v>6</v>
      </c>
      <c r="C1049" s="75" t="inlineStr">
        <is>
          <t>5100001045</t>
        </is>
      </c>
      <c r="D1049" s="78" t="n">
        <v>45820</v>
      </c>
      <c r="E1049" s="75" t="inlineStr">
        <is>
          <t>KR</t>
        </is>
      </c>
      <c r="F1049" s="75" t="n">
        <v>62101000</v>
      </c>
      <c r="G1049" s="75" t="n">
        <v>1301</v>
      </c>
      <c r="H1049" s="76" t="n">
        <v>354000</v>
      </c>
      <c r="I1049" s="75" t="inlineStr">
        <is>
          <t>6월 국내출장 - M항공</t>
        </is>
      </c>
      <c r="J1049" s="75" t="inlineStr">
        <is>
          <t>V10001</t>
        </is>
      </c>
      <c r="K1049" s="75" t="inlineStr">
        <is>
          <t>M항공</t>
        </is>
      </c>
      <c r="M1049" s="9">
        <f>IF($A1049="","",VALUE($A1049&amp;"")*12+VALUE($B1049&amp;""))</f>
        <v/>
      </c>
      <c r="N1049" s="39">
        <f>IF($A1049="","",IFERROR(INDEX(부서매핑!$C$5:$C$504,MATCH($G1049&amp;"",부서매핑!$A$5:$A$504,0)),"미매핑"))</f>
        <v/>
      </c>
      <c r="O1049" s="9">
        <f>IF($A1049="","",N1049&amp;"|"&amp;$F1049)</f>
        <v/>
      </c>
      <c r="P1049" s="77">
        <f>IF($A1049="",0,$H1049*설정!$C$23)</f>
        <v/>
      </c>
      <c r="Q1049" s="39">
        <f>IF($A1049="","",IF(O1049&lt;&gt;원인분석!$C$9,"",IF(AND(M1049&gt;=원인분석!$C$10,M1049&lt;=원인분석!$C$11),"당기",IF(AND(M1049&gt;=원인분석!$C$12,M1049&lt;=원인분석!$C$13),"비교",""))))</f>
        <v/>
      </c>
      <c r="R1049" s="9">
        <f>IF(Q1049="","",$K1049&amp;"")</f>
        <v/>
      </c>
      <c r="S1049" s="9">
        <f>IF(Q1049="","",IF(MATCH(R1049,$R$5:$R$100000,0)=ROW()-4,ROW(),""))</f>
        <v/>
      </c>
      <c r="T1049" s="9">
        <f>IF(Q1049="당기",ABS(P1049)+ROW()/1000000000,"")</f>
        <v/>
      </c>
      <c r="U1049" s="9">
        <f>IF(Q1049="비교",ABS(P1049)+ROW()/1000000000,"")</f>
        <v/>
      </c>
      <c r="V1049" s="39">
        <f>IF($A1049="","",IF(COUNTIF(변동분석!$E$7:$E$506,O1049)&gt;0,"Y","N"))</f>
        <v/>
      </c>
      <c r="W1049" s="39">
        <f>IF($A1049="","",IFERROR(INDEX(계정매핑!$D$5:$D$504,MATCH($F1049&amp;"",계정매핑!$A$5:$A$504,0)),"미매핑"))</f>
        <v/>
      </c>
      <c r="X1049" s="9">
        <f>IF($A1049="","",$F1049&amp;"")</f>
        <v/>
      </c>
    </row>
    <row r="1050">
      <c r="A1050" s="75" t="n">
        <v>2025</v>
      </c>
      <c r="B1050" s="75" t="n">
        <v>6</v>
      </c>
      <c r="C1050" s="75" t="inlineStr">
        <is>
          <t>5100001046</t>
        </is>
      </c>
      <c r="D1050" s="78" t="n">
        <v>45820</v>
      </c>
      <c r="E1050" s="75" t="inlineStr">
        <is>
          <t>KR</t>
        </is>
      </c>
      <c r="F1050" s="75" t="n">
        <v>62101000</v>
      </c>
      <c r="G1050" s="75" t="n">
        <v>1602</v>
      </c>
      <c r="H1050" s="76" t="n">
        <v>1317000</v>
      </c>
      <c r="I1050" s="75" t="inlineStr">
        <is>
          <t>6월 국내출장 - (법인카드)</t>
        </is>
      </c>
      <c r="J1050" s="75" t="inlineStr">
        <is>
          <t>V10008</t>
        </is>
      </c>
      <c r="K1050" s="75" t="inlineStr">
        <is>
          <t>(법인카드)</t>
        </is>
      </c>
      <c r="M1050" s="9">
        <f>IF($A1050="","",VALUE($A1050&amp;"")*12+VALUE($B1050&amp;""))</f>
        <v/>
      </c>
      <c r="N1050" s="39">
        <f>IF($A1050="","",IFERROR(INDEX(부서매핑!$C$5:$C$504,MATCH($G1050&amp;"",부서매핑!$A$5:$A$504,0)),"미매핑"))</f>
        <v/>
      </c>
      <c r="O1050" s="9">
        <f>IF($A1050="","",N1050&amp;"|"&amp;$F1050)</f>
        <v/>
      </c>
      <c r="P1050" s="77">
        <f>IF($A1050="",0,$H1050*설정!$C$23)</f>
        <v/>
      </c>
      <c r="Q1050" s="39">
        <f>IF($A1050="","",IF(O1050&lt;&gt;원인분석!$C$9,"",IF(AND(M1050&gt;=원인분석!$C$10,M1050&lt;=원인분석!$C$11),"당기",IF(AND(M1050&gt;=원인분석!$C$12,M1050&lt;=원인분석!$C$13),"비교",""))))</f>
        <v/>
      </c>
      <c r="R1050" s="9">
        <f>IF(Q1050="","",$K1050&amp;"")</f>
        <v/>
      </c>
      <c r="S1050" s="9">
        <f>IF(Q1050="","",IF(MATCH(R1050,$R$5:$R$100000,0)=ROW()-4,ROW(),""))</f>
        <v/>
      </c>
      <c r="T1050" s="9">
        <f>IF(Q1050="당기",ABS(P1050)+ROW()/1000000000,"")</f>
        <v/>
      </c>
      <c r="U1050" s="9">
        <f>IF(Q1050="비교",ABS(P1050)+ROW()/1000000000,"")</f>
        <v/>
      </c>
      <c r="V1050" s="39">
        <f>IF($A1050="","",IF(COUNTIF(변동분석!$E$7:$E$506,O1050)&gt;0,"Y","N"))</f>
        <v/>
      </c>
      <c r="W1050" s="39">
        <f>IF($A1050="","",IFERROR(INDEX(계정매핑!$D$5:$D$504,MATCH($F1050&amp;"",계정매핑!$A$5:$A$504,0)),"미매핑"))</f>
        <v/>
      </c>
      <c r="X1050" s="9">
        <f>IF($A1050="","",$F1050&amp;"")</f>
        <v/>
      </c>
    </row>
    <row r="1051">
      <c r="A1051" s="75" t="n">
        <v>2025</v>
      </c>
      <c r="B1051" s="75" t="n">
        <v>6</v>
      </c>
      <c r="C1051" s="75" t="inlineStr">
        <is>
          <t>5100001047</t>
        </is>
      </c>
      <c r="D1051" s="78" t="n">
        <v>45820</v>
      </c>
      <c r="E1051" s="75" t="inlineStr">
        <is>
          <t>KR</t>
        </is>
      </c>
      <c r="F1051" s="75" t="n">
        <v>62102000</v>
      </c>
      <c r="G1051" s="75" t="n">
        <v>1201</v>
      </c>
      <c r="H1051" s="76" t="n">
        <v>57000</v>
      </c>
      <c r="I1051" s="75" t="inlineStr">
        <is>
          <t>6월 해외출장 - M항공</t>
        </is>
      </c>
      <c r="J1051" s="75" t="inlineStr">
        <is>
          <t>V10001</t>
        </is>
      </c>
      <c r="K1051" s="75" t="inlineStr">
        <is>
          <t>M항공</t>
        </is>
      </c>
      <c r="M1051" s="9">
        <f>IF($A1051="","",VALUE($A1051&amp;"")*12+VALUE($B1051&amp;""))</f>
        <v/>
      </c>
      <c r="N1051" s="39">
        <f>IF($A1051="","",IFERROR(INDEX(부서매핑!$C$5:$C$504,MATCH($G1051&amp;"",부서매핑!$A$5:$A$504,0)),"미매핑"))</f>
        <v/>
      </c>
      <c r="O1051" s="9">
        <f>IF($A1051="","",N1051&amp;"|"&amp;$F1051)</f>
        <v/>
      </c>
      <c r="P1051" s="77">
        <f>IF($A1051="",0,$H1051*설정!$C$23)</f>
        <v/>
      </c>
      <c r="Q1051" s="39">
        <f>IF($A1051="","",IF(O1051&lt;&gt;원인분석!$C$9,"",IF(AND(M1051&gt;=원인분석!$C$10,M1051&lt;=원인분석!$C$11),"당기",IF(AND(M1051&gt;=원인분석!$C$12,M1051&lt;=원인분석!$C$13),"비교",""))))</f>
        <v/>
      </c>
      <c r="R1051" s="9">
        <f>IF(Q1051="","",$K1051&amp;"")</f>
        <v/>
      </c>
      <c r="S1051" s="9">
        <f>IF(Q1051="","",IF(MATCH(R1051,$R$5:$R$100000,0)=ROW()-4,ROW(),""))</f>
        <v/>
      </c>
      <c r="T1051" s="9">
        <f>IF(Q1051="당기",ABS(P1051)+ROW()/1000000000,"")</f>
        <v/>
      </c>
      <c r="U1051" s="9">
        <f>IF(Q1051="비교",ABS(P1051)+ROW()/1000000000,"")</f>
        <v/>
      </c>
      <c r="V1051" s="39">
        <f>IF($A1051="","",IF(COUNTIF(변동분석!$E$7:$E$506,O1051)&gt;0,"Y","N"))</f>
        <v/>
      </c>
      <c r="W1051" s="39">
        <f>IF($A1051="","",IFERROR(INDEX(계정매핑!$D$5:$D$504,MATCH($F1051&amp;"",계정매핑!$A$5:$A$504,0)),"미매핑"))</f>
        <v/>
      </c>
      <c r="X1051" s="9">
        <f>IF($A1051="","",$F1051&amp;"")</f>
        <v/>
      </c>
    </row>
    <row r="1052">
      <c r="A1052" s="75" t="n">
        <v>2025</v>
      </c>
      <c r="B1052" s="75" t="n">
        <v>6</v>
      </c>
      <c r="C1052" s="75" t="inlineStr">
        <is>
          <t>5100001048</t>
        </is>
      </c>
      <c r="D1052" s="78" t="n">
        <v>45820</v>
      </c>
      <c r="E1052" s="75" t="inlineStr">
        <is>
          <t>KR</t>
        </is>
      </c>
      <c r="F1052" s="75" t="n">
        <v>62102000</v>
      </c>
      <c r="G1052" s="75" t="n">
        <v>1301</v>
      </c>
      <c r="H1052" s="76" t="n">
        <v>67000</v>
      </c>
      <c r="I1052" s="75" t="inlineStr">
        <is>
          <t>6월 해외출장 - N호텔</t>
        </is>
      </c>
      <c r="J1052" s="75" t="inlineStr">
        <is>
          <t>V10007</t>
        </is>
      </c>
      <c r="K1052" s="75" t="inlineStr">
        <is>
          <t>N호텔</t>
        </is>
      </c>
      <c r="M1052" s="9">
        <f>IF($A1052="","",VALUE($A1052&amp;"")*12+VALUE($B1052&amp;""))</f>
        <v/>
      </c>
      <c r="N1052" s="39">
        <f>IF($A1052="","",IFERROR(INDEX(부서매핑!$C$5:$C$504,MATCH($G1052&amp;"",부서매핑!$A$5:$A$504,0)),"미매핑"))</f>
        <v/>
      </c>
      <c r="O1052" s="9">
        <f>IF($A1052="","",N1052&amp;"|"&amp;$F1052)</f>
        <v/>
      </c>
      <c r="P1052" s="77">
        <f>IF($A1052="",0,$H1052*설정!$C$23)</f>
        <v/>
      </c>
      <c r="Q1052" s="39">
        <f>IF($A1052="","",IF(O1052&lt;&gt;원인분석!$C$9,"",IF(AND(M1052&gt;=원인분석!$C$10,M1052&lt;=원인분석!$C$11),"당기",IF(AND(M1052&gt;=원인분석!$C$12,M1052&lt;=원인분석!$C$13),"비교",""))))</f>
        <v/>
      </c>
      <c r="R1052" s="9">
        <f>IF(Q1052="","",$K1052&amp;"")</f>
        <v/>
      </c>
      <c r="S1052" s="9">
        <f>IF(Q1052="","",IF(MATCH(R1052,$R$5:$R$100000,0)=ROW()-4,ROW(),""))</f>
        <v/>
      </c>
      <c r="T1052" s="9">
        <f>IF(Q1052="당기",ABS(P1052)+ROW()/1000000000,"")</f>
        <v/>
      </c>
      <c r="U1052" s="9">
        <f>IF(Q1052="비교",ABS(P1052)+ROW()/1000000000,"")</f>
        <v/>
      </c>
      <c r="V1052" s="39">
        <f>IF($A1052="","",IF(COUNTIF(변동분석!$E$7:$E$506,O1052)&gt;0,"Y","N"))</f>
        <v/>
      </c>
      <c r="W1052" s="39">
        <f>IF($A1052="","",IFERROR(INDEX(계정매핑!$D$5:$D$504,MATCH($F1052&amp;"",계정매핑!$A$5:$A$504,0)),"미매핑"))</f>
        <v/>
      </c>
      <c r="X1052" s="9">
        <f>IF($A1052="","",$F1052&amp;"")</f>
        <v/>
      </c>
    </row>
    <row r="1053">
      <c r="A1053" s="75" t="n">
        <v>2025</v>
      </c>
      <c r="B1053" s="75" t="n">
        <v>6</v>
      </c>
      <c r="C1053" s="75" t="inlineStr">
        <is>
          <t>5100001049</t>
        </is>
      </c>
      <c r="D1053" s="78" t="n">
        <v>45820</v>
      </c>
      <c r="E1053" s="75" t="inlineStr">
        <is>
          <t>KR</t>
        </is>
      </c>
      <c r="F1053" s="75" t="n">
        <v>62301000</v>
      </c>
      <c r="G1053" s="75" t="n">
        <v>1301</v>
      </c>
      <c r="H1053" s="76" t="n">
        <v>188000</v>
      </c>
      <c r="I1053" s="75" t="inlineStr">
        <is>
          <t>6월 소모품 구입 - R문구</t>
        </is>
      </c>
      <c r="J1053" s="75" t="inlineStr">
        <is>
          <t>V10018</t>
        </is>
      </c>
      <c r="K1053" s="75" t="inlineStr">
        <is>
          <t>R문구</t>
        </is>
      </c>
      <c r="M1053" s="9">
        <f>IF($A1053="","",VALUE($A1053&amp;"")*12+VALUE($B1053&amp;""))</f>
        <v/>
      </c>
      <c r="N1053" s="39">
        <f>IF($A1053="","",IFERROR(INDEX(부서매핑!$C$5:$C$504,MATCH($G1053&amp;"",부서매핑!$A$5:$A$504,0)),"미매핑"))</f>
        <v/>
      </c>
      <c r="O1053" s="9">
        <f>IF($A1053="","",N1053&amp;"|"&amp;$F1053)</f>
        <v/>
      </c>
      <c r="P1053" s="77">
        <f>IF($A1053="",0,$H1053*설정!$C$23)</f>
        <v/>
      </c>
      <c r="Q1053" s="39">
        <f>IF($A1053="","",IF(O1053&lt;&gt;원인분석!$C$9,"",IF(AND(M1053&gt;=원인분석!$C$10,M1053&lt;=원인분석!$C$11),"당기",IF(AND(M1053&gt;=원인분석!$C$12,M1053&lt;=원인분석!$C$13),"비교",""))))</f>
        <v/>
      </c>
      <c r="R1053" s="9">
        <f>IF(Q1053="","",$K1053&amp;"")</f>
        <v/>
      </c>
      <c r="S1053" s="9">
        <f>IF(Q1053="","",IF(MATCH(R1053,$R$5:$R$100000,0)=ROW()-4,ROW(),""))</f>
        <v/>
      </c>
      <c r="T1053" s="9">
        <f>IF(Q1053="당기",ABS(P1053)+ROW()/1000000000,"")</f>
        <v/>
      </c>
      <c r="U1053" s="9">
        <f>IF(Q1053="비교",ABS(P1053)+ROW()/1000000000,"")</f>
        <v/>
      </c>
      <c r="V1053" s="39">
        <f>IF($A1053="","",IF(COUNTIF(변동분석!$E$7:$E$506,O1053)&gt;0,"Y","N"))</f>
        <v/>
      </c>
      <c r="W1053" s="39">
        <f>IF($A1053="","",IFERROR(INDEX(계정매핑!$D$5:$D$504,MATCH($F1053&amp;"",계정매핑!$A$5:$A$504,0)),"미매핑"))</f>
        <v/>
      </c>
      <c r="X1053" s="9">
        <f>IF($A1053="","",$F1053&amp;"")</f>
        <v/>
      </c>
    </row>
    <row r="1054">
      <c r="A1054" s="75" t="n">
        <v>2025</v>
      </c>
      <c r="B1054" s="75" t="n">
        <v>6</v>
      </c>
      <c r="C1054" s="75" t="inlineStr">
        <is>
          <t>5100001050</t>
        </is>
      </c>
      <c r="D1054" s="78" t="n">
        <v>45820</v>
      </c>
      <c r="E1054" s="75" t="inlineStr">
        <is>
          <t>KR</t>
        </is>
      </c>
      <c r="F1054" s="75" t="n">
        <v>62301000</v>
      </c>
      <c r="G1054" s="75" t="n">
        <v>1501</v>
      </c>
      <c r="H1054" s="76" t="n">
        <v>357000</v>
      </c>
      <c r="I1054" s="75" t="inlineStr">
        <is>
          <t>6월 소모품 구입 - R문구</t>
        </is>
      </c>
      <c r="J1054" s="75" t="inlineStr">
        <is>
          <t>V10018</t>
        </is>
      </c>
      <c r="K1054" s="75" t="inlineStr">
        <is>
          <t>R문구</t>
        </is>
      </c>
      <c r="M1054" s="9">
        <f>IF($A1054="","",VALUE($A1054&amp;"")*12+VALUE($B1054&amp;""))</f>
        <v/>
      </c>
      <c r="N1054" s="39">
        <f>IF($A1054="","",IFERROR(INDEX(부서매핑!$C$5:$C$504,MATCH($G1054&amp;"",부서매핑!$A$5:$A$504,0)),"미매핑"))</f>
        <v/>
      </c>
      <c r="O1054" s="9">
        <f>IF($A1054="","",N1054&amp;"|"&amp;$F1054)</f>
        <v/>
      </c>
      <c r="P1054" s="77">
        <f>IF($A1054="",0,$H1054*설정!$C$23)</f>
        <v/>
      </c>
      <c r="Q1054" s="39">
        <f>IF($A1054="","",IF(O1054&lt;&gt;원인분석!$C$9,"",IF(AND(M1054&gt;=원인분석!$C$10,M1054&lt;=원인분석!$C$11),"당기",IF(AND(M1054&gt;=원인분석!$C$12,M1054&lt;=원인분석!$C$13),"비교",""))))</f>
        <v/>
      </c>
      <c r="R1054" s="9">
        <f>IF(Q1054="","",$K1054&amp;"")</f>
        <v/>
      </c>
      <c r="S1054" s="9">
        <f>IF(Q1054="","",IF(MATCH(R1054,$R$5:$R$100000,0)=ROW()-4,ROW(),""))</f>
        <v/>
      </c>
      <c r="T1054" s="9">
        <f>IF(Q1054="당기",ABS(P1054)+ROW()/1000000000,"")</f>
        <v/>
      </c>
      <c r="U1054" s="9">
        <f>IF(Q1054="비교",ABS(P1054)+ROW()/1000000000,"")</f>
        <v/>
      </c>
      <c r="V1054" s="39">
        <f>IF($A1054="","",IF(COUNTIF(변동분석!$E$7:$E$506,O1054)&gt;0,"Y","N"))</f>
        <v/>
      </c>
      <c r="W1054" s="39">
        <f>IF($A1054="","",IFERROR(INDEX(계정매핑!$D$5:$D$504,MATCH($F1054&amp;"",계정매핑!$A$5:$A$504,0)),"미매핑"))</f>
        <v/>
      </c>
      <c r="X1054" s="9">
        <f>IF($A1054="","",$F1054&amp;"")</f>
        <v/>
      </c>
    </row>
    <row r="1055">
      <c r="A1055" s="75" t="n">
        <v>2025</v>
      </c>
      <c r="B1055" s="75" t="n">
        <v>6</v>
      </c>
      <c r="C1055" s="75" t="inlineStr">
        <is>
          <t>5100001051</t>
        </is>
      </c>
      <c r="D1055" s="78" t="n">
        <v>45820</v>
      </c>
      <c r="E1055" s="75" t="inlineStr">
        <is>
          <t>KR</t>
        </is>
      </c>
      <c r="F1055" s="75" t="n">
        <v>62501000</v>
      </c>
      <c r="G1055" s="75" t="n">
        <v>1401</v>
      </c>
      <c r="H1055" s="76" t="n">
        <v>159000</v>
      </c>
      <c r="I1055" s="75" t="inlineStr">
        <is>
          <t>6월 회의 다과 - T케이터링</t>
        </is>
      </c>
      <c r="J1055" s="75" t="inlineStr">
        <is>
          <t>V10005</t>
        </is>
      </c>
      <c r="K1055" s="75" t="inlineStr">
        <is>
          <t>T케이터링</t>
        </is>
      </c>
      <c r="M1055" s="9">
        <f>IF($A1055="","",VALUE($A1055&amp;"")*12+VALUE($B1055&amp;""))</f>
        <v/>
      </c>
      <c r="N1055" s="39">
        <f>IF($A1055="","",IFERROR(INDEX(부서매핑!$C$5:$C$504,MATCH($G1055&amp;"",부서매핑!$A$5:$A$504,0)),"미매핑"))</f>
        <v/>
      </c>
      <c r="O1055" s="9">
        <f>IF($A1055="","",N1055&amp;"|"&amp;$F1055)</f>
        <v/>
      </c>
      <c r="P1055" s="77">
        <f>IF($A1055="",0,$H1055*설정!$C$23)</f>
        <v/>
      </c>
      <c r="Q1055" s="39">
        <f>IF($A1055="","",IF(O1055&lt;&gt;원인분석!$C$9,"",IF(AND(M1055&gt;=원인분석!$C$10,M1055&lt;=원인분석!$C$11),"당기",IF(AND(M1055&gt;=원인분석!$C$12,M1055&lt;=원인분석!$C$13),"비교",""))))</f>
        <v/>
      </c>
      <c r="R1055" s="9">
        <f>IF(Q1055="","",$K1055&amp;"")</f>
        <v/>
      </c>
      <c r="S1055" s="9">
        <f>IF(Q1055="","",IF(MATCH(R1055,$R$5:$R$100000,0)=ROW()-4,ROW(),""))</f>
        <v/>
      </c>
      <c r="T1055" s="9">
        <f>IF(Q1055="당기",ABS(P1055)+ROW()/1000000000,"")</f>
        <v/>
      </c>
      <c r="U1055" s="9">
        <f>IF(Q1055="비교",ABS(P1055)+ROW()/1000000000,"")</f>
        <v/>
      </c>
      <c r="V1055" s="39">
        <f>IF($A1055="","",IF(COUNTIF(변동분석!$E$7:$E$506,O1055)&gt;0,"Y","N"))</f>
        <v/>
      </c>
      <c r="W1055" s="39">
        <f>IF($A1055="","",IFERROR(INDEX(계정매핑!$D$5:$D$504,MATCH($F1055&amp;"",계정매핑!$A$5:$A$504,0)),"미매핑"))</f>
        <v/>
      </c>
      <c r="X1055" s="9">
        <f>IF($A1055="","",$F1055&amp;"")</f>
        <v/>
      </c>
    </row>
    <row r="1056">
      <c r="A1056" s="75" t="n">
        <v>2025</v>
      </c>
      <c r="B1056" s="75" t="n">
        <v>6</v>
      </c>
      <c r="C1056" s="75" t="inlineStr">
        <is>
          <t>5100001052</t>
        </is>
      </c>
      <c r="D1056" s="78" t="n">
        <v>45820</v>
      </c>
      <c r="E1056" s="75" t="inlineStr">
        <is>
          <t>KR</t>
        </is>
      </c>
      <c r="F1056" s="75" t="n">
        <v>62501000</v>
      </c>
      <c r="G1056" s="75" t="n">
        <v>1601</v>
      </c>
      <c r="H1056" s="76" t="n">
        <v>466000</v>
      </c>
      <c r="I1056" s="75" t="inlineStr">
        <is>
          <t>6월 회의 다과 - T케이터링</t>
        </is>
      </c>
      <c r="J1056" s="75" t="inlineStr">
        <is>
          <t>V10005</t>
        </is>
      </c>
      <c r="K1056" s="75" t="inlineStr">
        <is>
          <t>T케이터링</t>
        </is>
      </c>
      <c r="M1056" s="9">
        <f>IF($A1056="","",VALUE($A1056&amp;"")*12+VALUE($B1056&amp;""))</f>
        <v/>
      </c>
      <c r="N1056" s="39">
        <f>IF($A1056="","",IFERROR(INDEX(부서매핑!$C$5:$C$504,MATCH($G1056&amp;"",부서매핑!$A$5:$A$504,0)),"미매핑"))</f>
        <v/>
      </c>
      <c r="O1056" s="9">
        <f>IF($A1056="","",N1056&amp;"|"&amp;$F1056)</f>
        <v/>
      </c>
      <c r="P1056" s="77">
        <f>IF($A1056="",0,$H1056*설정!$C$23)</f>
        <v/>
      </c>
      <c r="Q1056" s="39">
        <f>IF($A1056="","",IF(O1056&lt;&gt;원인분석!$C$9,"",IF(AND(M1056&gt;=원인분석!$C$10,M1056&lt;=원인분석!$C$11),"당기",IF(AND(M1056&gt;=원인분석!$C$12,M1056&lt;=원인분석!$C$13),"비교",""))))</f>
        <v/>
      </c>
      <c r="R1056" s="9">
        <f>IF(Q1056="","",$K1056&amp;"")</f>
        <v/>
      </c>
      <c r="S1056" s="9">
        <f>IF(Q1056="","",IF(MATCH(R1056,$R$5:$R$100000,0)=ROW()-4,ROW(),""))</f>
        <v/>
      </c>
      <c r="T1056" s="9">
        <f>IF(Q1056="당기",ABS(P1056)+ROW()/1000000000,"")</f>
        <v/>
      </c>
      <c r="U1056" s="9">
        <f>IF(Q1056="비교",ABS(P1056)+ROW()/1000000000,"")</f>
        <v/>
      </c>
      <c r="V1056" s="39">
        <f>IF($A1056="","",IF(COUNTIF(변동분석!$E$7:$E$506,O1056)&gt;0,"Y","N"))</f>
        <v/>
      </c>
      <c r="W1056" s="39">
        <f>IF($A1056="","",IFERROR(INDEX(계정매핑!$D$5:$D$504,MATCH($F1056&amp;"",계정매핑!$A$5:$A$504,0)),"미매핑"))</f>
        <v/>
      </c>
      <c r="X1056" s="9">
        <f>IF($A1056="","",$F1056&amp;"")</f>
        <v/>
      </c>
    </row>
    <row r="1057">
      <c r="A1057" s="75" t="n">
        <v>2025</v>
      </c>
      <c r="B1057" s="75" t="n">
        <v>6</v>
      </c>
      <c r="C1057" s="75" t="inlineStr">
        <is>
          <t>5100001053</t>
        </is>
      </c>
      <c r="D1057" s="78" t="n">
        <v>45820</v>
      </c>
      <c r="E1057" s="75" t="inlineStr">
        <is>
          <t>KR</t>
        </is>
      </c>
      <c r="F1057" s="75" t="n">
        <v>62501000</v>
      </c>
      <c r="G1057" s="75" t="n">
        <v>1801</v>
      </c>
      <c r="H1057" s="76" t="n">
        <v>109000</v>
      </c>
      <c r="I1057" s="75" t="inlineStr">
        <is>
          <t>6월 회의 다과 - T케이터링</t>
        </is>
      </c>
      <c r="J1057" s="75" t="inlineStr">
        <is>
          <t>V10005</t>
        </is>
      </c>
      <c r="K1057" s="75" t="inlineStr">
        <is>
          <t>T케이터링</t>
        </is>
      </c>
      <c r="M1057" s="9">
        <f>IF($A1057="","",VALUE($A1057&amp;"")*12+VALUE($B1057&amp;""))</f>
        <v/>
      </c>
      <c r="N1057" s="39">
        <f>IF($A1057="","",IFERROR(INDEX(부서매핑!$C$5:$C$504,MATCH($G1057&amp;"",부서매핑!$A$5:$A$504,0)),"미매핑"))</f>
        <v/>
      </c>
      <c r="O1057" s="9">
        <f>IF($A1057="","",N1057&amp;"|"&amp;$F1057)</f>
        <v/>
      </c>
      <c r="P1057" s="77">
        <f>IF($A1057="",0,$H1057*설정!$C$23)</f>
        <v/>
      </c>
      <c r="Q1057" s="39">
        <f>IF($A1057="","",IF(O1057&lt;&gt;원인분석!$C$9,"",IF(AND(M1057&gt;=원인분석!$C$10,M1057&lt;=원인분석!$C$11),"당기",IF(AND(M1057&gt;=원인분석!$C$12,M1057&lt;=원인분석!$C$13),"비교",""))))</f>
        <v/>
      </c>
      <c r="R1057" s="9">
        <f>IF(Q1057="","",$K1057&amp;"")</f>
        <v/>
      </c>
      <c r="S1057" s="9">
        <f>IF(Q1057="","",IF(MATCH(R1057,$R$5:$R$100000,0)=ROW()-4,ROW(),""))</f>
        <v/>
      </c>
      <c r="T1057" s="9">
        <f>IF(Q1057="당기",ABS(P1057)+ROW()/1000000000,"")</f>
        <v/>
      </c>
      <c r="U1057" s="9">
        <f>IF(Q1057="비교",ABS(P1057)+ROW()/1000000000,"")</f>
        <v/>
      </c>
      <c r="V1057" s="39">
        <f>IF($A1057="","",IF(COUNTIF(변동분석!$E$7:$E$506,O1057)&gt;0,"Y","N"))</f>
        <v/>
      </c>
      <c r="W1057" s="39">
        <f>IF($A1057="","",IFERROR(INDEX(계정매핑!$D$5:$D$504,MATCH($F1057&amp;"",계정매핑!$A$5:$A$504,0)),"미매핑"))</f>
        <v/>
      </c>
      <c r="X1057" s="9">
        <f>IF($A1057="","",$F1057&amp;"")</f>
        <v/>
      </c>
    </row>
    <row r="1058">
      <c r="A1058" s="75" t="n">
        <v>2025</v>
      </c>
      <c r="B1058" s="75" t="n">
        <v>6</v>
      </c>
      <c r="C1058" s="75" t="inlineStr">
        <is>
          <t>5100001054</t>
        </is>
      </c>
      <c r="D1058" s="78" t="n">
        <v>45820</v>
      </c>
      <c r="E1058" s="75" t="inlineStr">
        <is>
          <t>KR</t>
        </is>
      </c>
      <c r="F1058" s="75" t="n">
        <v>62902000</v>
      </c>
      <c r="G1058" s="75" t="n">
        <v>1401</v>
      </c>
      <c r="H1058" s="76" t="n">
        <v>2063000</v>
      </c>
      <c r="I1058" s="75" t="inlineStr">
        <is>
          <t>6월 업무 위탁 수수료 - X서비스</t>
        </is>
      </c>
      <c r="J1058" s="75" t="inlineStr">
        <is>
          <t>V10016</t>
        </is>
      </c>
      <c r="K1058" s="75" t="inlineStr">
        <is>
          <t>X서비스</t>
        </is>
      </c>
      <c r="M1058" s="9">
        <f>IF($A1058="","",VALUE($A1058&amp;"")*12+VALUE($B1058&amp;""))</f>
        <v/>
      </c>
      <c r="N1058" s="39">
        <f>IF($A1058="","",IFERROR(INDEX(부서매핑!$C$5:$C$504,MATCH($G1058&amp;"",부서매핑!$A$5:$A$504,0)),"미매핑"))</f>
        <v/>
      </c>
      <c r="O1058" s="9">
        <f>IF($A1058="","",N1058&amp;"|"&amp;$F1058)</f>
        <v/>
      </c>
      <c r="P1058" s="77">
        <f>IF($A1058="",0,$H1058*설정!$C$23)</f>
        <v/>
      </c>
      <c r="Q1058" s="39">
        <f>IF($A1058="","",IF(O1058&lt;&gt;원인분석!$C$9,"",IF(AND(M1058&gt;=원인분석!$C$10,M1058&lt;=원인분석!$C$11),"당기",IF(AND(M1058&gt;=원인분석!$C$12,M1058&lt;=원인분석!$C$13),"비교",""))))</f>
        <v/>
      </c>
      <c r="R1058" s="9">
        <f>IF(Q1058="","",$K1058&amp;"")</f>
        <v/>
      </c>
      <c r="S1058" s="9">
        <f>IF(Q1058="","",IF(MATCH(R1058,$R$5:$R$100000,0)=ROW()-4,ROW(),""))</f>
        <v/>
      </c>
      <c r="T1058" s="9">
        <f>IF(Q1058="당기",ABS(P1058)+ROW()/1000000000,"")</f>
        <v/>
      </c>
      <c r="U1058" s="9">
        <f>IF(Q1058="비교",ABS(P1058)+ROW()/1000000000,"")</f>
        <v/>
      </c>
      <c r="V1058" s="39">
        <f>IF($A1058="","",IF(COUNTIF(변동분석!$E$7:$E$506,O1058)&gt;0,"Y","N"))</f>
        <v/>
      </c>
      <c r="W1058" s="39">
        <f>IF($A1058="","",IFERROR(INDEX(계정매핑!$D$5:$D$504,MATCH($F1058&amp;"",계정매핑!$A$5:$A$504,0)),"미매핑"))</f>
        <v/>
      </c>
      <c r="X1058" s="9">
        <f>IF($A1058="","",$F1058&amp;"")</f>
        <v/>
      </c>
    </row>
    <row r="1059">
      <c r="A1059" s="75" t="n">
        <v>2025</v>
      </c>
      <c r="B1059" s="75" t="n">
        <v>6</v>
      </c>
      <c r="C1059" s="75" t="inlineStr">
        <is>
          <t>5100001055</t>
        </is>
      </c>
      <c r="D1059" s="78" t="n">
        <v>45820</v>
      </c>
      <c r="E1059" s="75" t="inlineStr">
        <is>
          <t>KR</t>
        </is>
      </c>
      <c r="F1059" s="75" t="n">
        <v>62902000</v>
      </c>
      <c r="G1059" s="75" t="n">
        <v>1801</v>
      </c>
      <c r="H1059" s="76" t="n">
        <v>1766000</v>
      </c>
      <c r="I1059" s="75" t="inlineStr">
        <is>
          <t>6월 콜 위탁 수수료(건별)</t>
        </is>
      </c>
      <c r="J1059" s="75" t="inlineStr">
        <is>
          <t>V10013</t>
        </is>
      </c>
      <c r="K1059" s="75" t="inlineStr">
        <is>
          <t>J콜센터</t>
        </is>
      </c>
      <c r="M1059" s="9">
        <f>IF($A1059="","",VALUE($A1059&amp;"")*12+VALUE($B1059&amp;""))</f>
        <v/>
      </c>
      <c r="N1059" s="39">
        <f>IF($A1059="","",IFERROR(INDEX(부서매핑!$C$5:$C$504,MATCH($G1059&amp;"",부서매핑!$A$5:$A$504,0)),"미매핑"))</f>
        <v/>
      </c>
      <c r="O1059" s="9">
        <f>IF($A1059="","",N1059&amp;"|"&amp;$F1059)</f>
        <v/>
      </c>
      <c r="P1059" s="77">
        <f>IF($A1059="",0,$H1059*설정!$C$23)</f>
        <v/>
      </c>
      <c r="Q1059" s="39">
        <f>IF($A1059="","",IF(O1059&lt;&gt;원인분석!$C$9,"",IF(AND(M1059&gt;=원인분석!$C$10,M1059&lt;=원인분석!$C$11),"당기",IF(AND(M1059&gt;=원인분석!$C$12,M1059&lt;=원인분석!$C$13),"비교",""))))</f>
        <v/>
      </c>
      <c r="R1059" s="9">
        <f>IF(Q1059="","",$K1059&amp;"")</f>
        <v/>
      </c>
      <c r="S1059" s="9">
        <f>IF(Q1059="","",IF(MATCH(R1059,$R$5:$R$100000,0)=ROW()-4,ROW(),""))</f>
        <v/>
      </c>
      <c r="T1059" s="9">
        <f>IF(Q1059="당기",ABS(P1059)+ROW()/1000000000,"")</f>
        <v/>
      </c>
      <c r="U1059" s="9">
        <f>IF(Q1059="비교",ABS(P1059)+ROW()/1000000000,"")</f>
        <v/>
      </c>
      <c r="V1059" s="39">
        <f>IF($A1059="","",IF(COUNTIF(변동분석!$E$7:$E$506,O1059)&gt;0,"Y","N"))</f>
        <v/>
      </c>
      <c r="W1059" s="39">
        <f>IF($A1059="","",IFERROR(INDEX(계정매핑!$D$5:$D$504,MATCH($F1059&amp;"",계정매핑!$A$5:$A$504,0)),"미매핑"))</f>
        <v/>
      </c>
      <c r="X1059" s="9">
        <f>IF($A1059="","",$F1059&amp;"")</f>
        <v/>
      </c>
    </row>
    <row r="1060">
      <c r="A1060" s="75" t="n">
        <v>2025</v>
      </c>
      <c r="B1060" s="75" t="n">
        <v>6</v>
      </c>
      <c r="C1060" s="75" t="inlineStr">
        <is>
          <t>5100001056</t>
        </is>
      </c>
      <c r="D1060" s="78" t="n">
        <v>45821</v>
      </c>
      <c r="E1060" s="75" t="inlineStr">
        <is>
          <t>KR</t>
        </is>
      </c>
      <c r="F1060" s="75" t="n">
        <v>62102000</v>
      </c>
      <c r="G1060" s="75" t="n">
        <v>1301</v>
      </c>
      <c r="H1060" s="76" t="n">
        <v>62000</v>
      </c>
      <c r="I1060" s="75" t="inlineStr">
        <is>
          <t>6월 해외출장 - M항공</t>
        </is>
      </c>
      <c r="J1060" s="75" t="inlineStr">
        <is>
          <t>V10001</t>
        </is>
      </c>
      <c r="K1060" s="75" t="inlineStr">
        <is>
          <t>M항공</t>
        </is>
      </c>
      <c r="M1060" s="9">
        <f>IF($A1060="","",VALUE($A1060&amp;"")*12+VALUE($B1060&amp;""))</f>
        <v/>
      </c>
      <c r="N1060" s="39">
        <f>IF($A1060="","",IFERROR(INDEX(부서매핑!$C$5:$C$504,MATCH($G1060&amp;"",부서매핑!$A$5:$A$504,0)),"미매핑"))</f>
        <v/>
      </c>
      <c r="O1060" s="9">
        <f>IF($A1060="","",N1060&amp;"|"&amp;$F1060)</f>
        <v/>
      </c>
      <c r="P1060" s="77">
        <f>IF($A1060="",0,$H1060*설정!$C$23)</f>
        <v/>
      </c>
      <c r="Q1060" s="39">
        <f>IF($A1060="","",IF(O1060&lt;&gt;원인분석!$C$9,"",IF(AND(M1060&gt;=원인분석!$C$10,M1060&lt;=원인분석!$C$11),"당기",IF(AND(M1060&gt;=원인분석!$C$12,M1060&lt;=원인분석!$C$13),"비교",""))))</f>
        <v/>
      </c>
      <c r="R1060" s="9">
        <f>IF(Q1060="","",$K1060&amp;"")</f>
        <v/>
      </c>
      <c r="S1060" s="9">
        <f>IF(Q1060="","",IF(MATCH(R1060,$R$5:$R$100000,0)=ROW()-4,ROW(),""))</f>
        <v/>
      </c>
      <c r="T1060" s="9">
        <f>IF(Q1060="당기",ABS(P1060)+ROW()/1000000000,"")</f>
        <v/>
      </c>
      <c r="U1060" s="9">
        <f>IF(Q1060="비교",ABS(P1060)+ROW()/1000000000,"")</f>
        <v/>
      </c>
      <c r="V1060" s="39">
        <f>IF($A1060="","",IF(COUNTIF(변동분석!$E$7:$E$506,O1060)&gt;0,"Y","N"))</f>
        <v/>
      </c>
      <c r="W1060" s="39">
        <f>IF($A1060="","",IFERROR(INDEX(계정매핑!$D$5:$D$504,MATCH($F1060&amp;"",계정매핑!$A$5:$A$504,0)),"미매핑"))</f>
        <v/>
      </c>
      <c r="X1060" s="9">
        <f>IF($A1060="","",$F1060&amp;"")</f>
        <v/>
      </c>
    </row>
    <row r="1061">
      <c r="A1061" s="75" t="n">
        <v>2025</v>
      </c>
      <c r="B1061" s="75" t="n">
        <v>6</v>
      </c>
      <c r="C1061" s="75" t="inlineStr">
        <is>
          <t>5100001057</t>
        </is>
      </c>
      <c r="D1061" s="78" t="n">
        <v>45821</v>
      </c>
      <c r="E1061" s="75" t="inlineStr">
        <is>
          <t>KR</t>
        </is>
      </c>
      <c r="F1061" s="75" t="n">
        <v>62102000</v>
      </c>
      <c r="G1061" s="75" t="n">
        <v>1701</v>
      </c>
      <c r="H1061" s="76" t="n">
        <v>51000</v>
      </c>
      <c r="I1061" s="75" t="inlineStr">
        <is>
          <t>6월 해외출장 - M항공</t>
        </is>
      </c>
      <c r="J1061" s="75" t="inlineStr">
        <is>
          <t>V10001</t>
        </is>
      </c>
      <c r="K1061" s="75" t="inlineStr">
        <is>
          <t>M항공</t>
        </is>
      </c>
      <c r="M1061" s="9">
        <f>IF($A1061="","",VALUE($A1061&amp;"")*12+VALUE($B1061&amp;""))</f>
        <v/>
      </c>
      <c r="N1061" s="39">
        <f>IF($A1061="","",IFERROR(INDEX(부서매핑!$C$5:$C$504,MATCH($G1061&amp;"",부서매핑!$A$5:$A$504,0)),"미매핑"))</f>
        <v/>
      </c>
      <c r="O1061" s="9">
        <f>IF($A1061="","",N1061&amp;"|"&amp;$F1061)</f>
        <v/>
      </c>
      <c r="P1061" s="77">
        <f>IF($A1061="",0,$H1061*설정!$C$23)</f>
        <v/>
      </c>
      <c r="Q1061" s="39">
        <f>IF($A1061="","",IF(O1061&lt;&gt;원인분석!$C$9,"",IF(AND(M1061&gt;=원인분석!$C$10,M1061&lt;=원인분석!$C$11),"당기",IF(AND(M1061&gt;=원인분석!$C$12,M1061&lt;=원인분석!$C$13),"비교",""))))</f>
        <v/>
      </c>
      <c r="R1061" s="9">
        <f>IF(Q1061="","",$K1061&amp;"")</f>
        <v/>
      </c>
      <c r="S1061" s="9">
        <f>IF(Q1061="","",IF(MATCH(R1061,$R$5:$R$100000,0)=ROW()-4,ROW(),""))</f>
        <v/>
      </c>
      <c r="T1061" s="9">
        <f>IF(Q1061="당기",ABS(P1061)+ROW()/1000000000,"")</f>
        <v/>
      </c>
      <c r="U1061" s="9">
        <f>IF(Q1061="비교",ABS(P1061)+ROW()/1000000000,"")</f>
        <v/>
      </c>
      <c r="V1061" s="39">
        <f>IF($A1061="","",IF(COUNTIF(변동분석!$E$7:$E$506,O1061)&gt;0,"Y","N"))</f>
        <v/>
      </c>
      <c r="W1061" s="39">
        <f>IF($A1061="","",IFERROR(INDEX(계정매핑!$D$5:$D$504,MATCH($F1061&amp;"",계정매핑!$A$5:$A$504,0)),"미매핑"))</f>
        <v/>
      </c>
      <c r="X1061" s="9">
        <f>IF($A1061="","",$F1061&amp;"")</f>
        <v/>
      </c>
    </row>
    <row r="1062">
      <c r="A1062" s="75" t="n">
        <v>2025</v>
      </c>
      <c r="B1062" s="75" t="n">
        <v>6</v>
      </c>
      <c r="C1062" s="75" t="inlineStr">
        <is>
          <t>5100001058</t>
        </is>
      </c>
      <c r="D1062" s="78" t="n">
        <v>45821</v>
      </c>
      <c r="E1062" s="75" t="inlineStr">
        <is>
          <t>KR</t>
        </is>
      </c>
      <c r="F1062" s="75" t="n">
        <v>62201000</v>
      </c>
      <c r="G1062" s="75" t="n">
        <v>1501</v>
      </c>
      <c r="H1062" s="76" t="n">
        <v>341000</v>
      </c>
      <c r="I1062" s="75" t="inlineStr">
        <is>
          <t>6월 통신요금 - O텔레콤</t>
        </is>
      </c>
      <c r="J1062" s="75" t="inlineStr">
        <is>
          <t>V10002</t>
        </is>
      </c>
      <c r="K1062" s="75" t="inlineStr">
        <is>
          <t>O텔레콤</t>
        </is>
      </c>
      <c r="M1062" s="9">
        <f>IF($A1062="","",VALUE($A1062&amp;"")*12+VALUE($B1062&amp;""))</f>
        <v/>
      </c>
      <c r="N1062" s="39">
        <f>IF($A1062="","",IFERROR(INDEX(부서매핑!$C$5:$C$504,MATCH($G1062&amp;"",부서매핑!$A$5:$A$504,0)),"미매핑"))</f>
        <v/>
      </c>
      <c r="O1062" s="9">
        <f>IF($A1062="","",N1062&amp;"|"&amp;$F1062)</f>
        <v/>
      </c>
      <c r="P1062" s="77">
        <f>IF($A1062="",0,$H1062*설정!$C$23)</f>
        <v/>
      </c>
      <c r="Q1062" s="39">
        <f>IF($A1062="","",IF(O1062&lt;&gt;원인분석!$C$9,"",IF(AND(M1062&gt;=원인분석!$C$10,M1062&lt;=원인분석!$C$11),"당기",IF(AND(M1062&gt;=원인분석!$C$12,M1062&lt;=원인분석!$C$13),"비교",""))))</f>
        <v/>
      </c>
      <c r="R1062" s="9">
        <f>IF(Q1062="","",$K1062&amp;"")</f>
        <v/>
      </c>
      <c r="S1062" s="9">
        <f>IF(Q1062="","",IF(MATCH(R1062,$R$5:$R$100000,0)=ROW()-4,ROW(),""))</f>
        <v/>
      </c>
      <c r="T1062" s="9">
        <f>IF(Q1062="당기",ABS(P1062)+ROW()/1000000000,"")</f>
        <v/>
      </c>
      <c r="U1062" s="9">
        <f>IF(Q1062="비교",ABS(P1062)+ROW()/1000000000,"")</f>
        <v/>
      </c>
      <c r="V1062" s="39">
        <f>IF($A1062="","",IF(COUNTIF(변동분석!$E$7:$E$506,O1062)&gt;0,"Y","N"))</f>
        <v/>
      </c>
      <c r="W1062" s="39">
        <f>IF($A1062="","",IFERROR(INDEX(계정매핑!$D$5:$D$504,MATCH($F1062&amp;"",계정매핑!$A$5:$A$504,0)),"미매핑"))</f>
        <v/>
      </c>
      <c r="X1062" s="9">
        <f>IF($A1062="","",$F1062&amp;"")</f>
        <v/>
      </c>
    </row>
    <row r="1063">
      <c r="A1063" s="75" t="n">
        <v>2025</v>
      </c>
      <c r="B1063" s="75" t="n">
        <v>6</v>
      </c>
      <c r="C1063" s="75" t="inlineStr">
        <is>
          <t>5100001059</t>
        </is>
      </c>
      <c r="D1063" s="78" t="n">
        <v>45821</v>
      </c>
      <c r="E1063" s="75" t="inlineStr">
        <is>
          <t>KR</t>
        </is>
      </c>
      <c r="F1063" s="75" t="n">
        <v>62401000</v>
      </c>
      <c r="G1063" s="75" t="n">
        <v>1502</v>
      </c>
      <c r="H1063" s="76" t="n">
        <v>1998000</v>
      </c>
      <c r="I1063" s="75" t="inlineStr">
        <is>
          <t>6월 인쇄물 제작 - G인쇄</t>
        </is>
      </c>
      <c r="J1063" s="75" t="inlineStr">
        <is>
          <t>V10004</t>
        </is>
      </c>
      <c r="K1063" s="75" t="inlineStr">
        <is>
          <t>G인쇄</t>
        </is>
      </c>
      <c r="M1063" s="9">
        <f>IF($A1063="","",VALUE($A1063&amp;"")*12+VALUE($B1063&amp;""))</f>
        <v/>
      </c>
      <c r="N1063" s="39">
        <f>IF($A1063="","",IFERROR(INDEX(부서매핑!$C$5:$C$504,MATCH($G1063&amp;"",부서매핑!$A$5:$A$504,0)),"미매핑"))</f>
        <v/>
      </c>
      <c r="O1063" s="9">
        <f>IF($A1063="","",N1063&amp;"|"&amp;$F1063)</f>
        <v/>
      </c>
      <c r="P1063" s="77">
        <f>IF($A1063="",0,$H1063*설정!$C$23)</f>
        <v/>
      </c>
      <c r="Q1063" s="39">
        <f>IF($A1063="","",IF(O1063&lt;&gt;원인분석!$C$9,"",IF(AND(M1063&gt;=원인분석!$C$10,M1063&lt;=원인분석!$C$11),"당기",IF(AND(M1063&gt;=원인분석!$C$12,M1063&lt;=원인분석!$C$13),"비교",""))))</f>
        <v/>
      </c>
      <c r="R1063" s="9">
        <f>IF(Q1063="","",$K1063&amp;"")</f>
        <v/>
      </c>
      <c r="S1063" s="9">
        <f>IF(Q1063="","",IF(MATCH(R1063,$R$5:$R$100000,0)=ROW()-4,ROW(),""))</f>
        <v/>
      </c>
      <c r="T1063" s="9">
        <f>IF(Q1063="당기",ABS(P1063)+ROW()/1000000000,"")</f>
        <v/>
      </c>
      <c r="U1063" s="9">
        <f>IF(Q1063="비교",ABS(P1063)+ROW()/1000000000,"")</f>
        <v/>
      </c>
      <c r="V1063" s="39">
        <f>IF($A1063="","",IF(COUNTIF(변동분석!$E$7:$E$506,O1063)&gt;0,"Y","N"))</f>
        <v/>
      </c>
      <c r="W1063" s="39">
        <f>IF($A1063="","",IFERROR(INDEX(계정매핑!$D$5:$D$504,MATCH($F1063&amp;"",계정매핑!$A$5:$A$504,0)),"미매핑"))</f>
        <v/>
      </c>
      <c r="X1063" s="9">
        <f>IF($A1063="","",$F1063&amp;"")</f>
        <v/>
      </c>
    </row>
    <row r="1064">
      <c r="A1064" s="75" t="n">
        <v>2025</v>
      </c>
      <c r="B1064" s="75" t="n">
        <v>6</v>
      </c>
      <c r="C1064" s="75" t="inlineStr">
        <is>
          <t>5100001060</t>
        </is>
      </c>
      <c r="D1064" s="78" t="n">
        <v>45821</v>
      </c>
      <c r="E1064" s="75" t="inlineStr">
        <is>
          <t>KR</t>
        </is>
      </c>
      <c r="F1064" s="75" t="n">
        <v>62801000</v>
      </c>
      <c r="G1064" s="75" t="n">
        <v>1301</v>
      </c>
      <c r="H1064" s="76" t="n">
        <v>5591000</v>
      </c>
      <c r="I1064" s="75" t="inlineStr">
        <is>
          <t>6월 사내교육 - (사내강사료)</t>
        </is>
      </c>
      <c r="J1064" s="75" t="inlineStr">
        <is>
          <t>V10020</t>
        </is>
      </c>
      <c r="K1064" s="75" t="inlineStr">
        <is>
          <t>(사내강사료)</t>
        </is>
      </c>
      <c r="M1064" s="9">
        <f>IF($A1064="","",VALUE($A1064&amp;"")*12+VALUE($B1064&amp;""))</f>
        <v/>
      </c>
      <c r="N1064" s="39">
        <f>IF($A1064="","",IFERROR(INDEX(부서매핑!$C$5:$C$504,MATCH($G1064&amp;"",부서매핑!$A$5:$A$504,0)),"미매핑"))</f>
        <v/>
      </c>
      <c r="O1064" s="9">
        <f>IF($A1064="","",N1064&amp;"|"&amp;$F1064)</f>
        <v/>
      </c>
      <c r="P1064" s="77">
        <f>IF($A1064="",0,$H1064*설정!$C$23)</f>
        <v/>
      </c>
      <c r="Q1064" s="39">
        <f>IF($A1064="","",IF(O1064&lt;&gt;원인분석!$C$9,"",IF(AND(M1064&gt;=원인분석!$C$10,M1064&lt;=원인분석!$C$11),"당기",IF(AND(M1064&gt;=원인분석!$C$12,M1064&lt;=원인분석!$C$13),"비교",""))))</f>
        <v/>
      </c>
      <c r="R1064" s="9">
        <f>IF(Q1064="","",$K1064&amp;"")</f>
        <v/>
      </c>
      <c r="S1064" s="9">
        <f>IF(Q1064="","",IF(MATCH(R1064,$R$5:$R$100000,0)=ROW()-4,ROW(),""))</f>
        <v/>
      </c>
      <c r="T1064" s="9">
        <f>IF(Q1064="당기",ABS(P1064)+ROW()/1000000000,"")</f>
        <v/>
      </c>
      <c r="U1064" s="9">
        <f>IF(Q1064="비교",ABS(P1064)+ROW()/1000000000,"")</f>
        <v/>
      </c>
      <c r="V1064" s="39">
        <f>IF($A1064="","",IF(COUNTIF(변동분석!$E$7:$E$506,O1064)&gt;0,"Y","N"))</f>
        <v/>
      </c>
      <c r="W1064" s="39">
        <f>IF($A1064="","",IFERROR(INDEX(계정매핑!$D$5:$D$504,MATCH($F1064&amp;"",계정매핑!$A$5:$A$504,0)),"미매핑"))</f>
        <v/>
      </c>
      <c r="X1064" s="9">
        <f>IF($A1064="","",$F1064&amp;"")</f>
        <v/>
      </c>
    </row>
    <row r="1065">
      <c r="A1065" s="75" t="n">
        <v>2025</v>
      </c>
      <c r="B1065" s="75" t="n">
        <v>6</v>
      </c>
      <c r="C1065" s="75" t="inlineStr">
        <is>
          <t>5100001061</t>
        </is>
      </c>
      <c r="D1065" s="78" t="n">
        <v>45821</v>
      </c>
      <c r="E1065" s="75" t="inlineStr">
        <is>
          <t>KR</t>
        </is>
      </c>
      <c r="F1065" s="75" t="n">
        <v>62901000</v>
      </c>
      <c r="G1065" s="75" t="n">
        <v>1201</v>
      </c>
      <c r="H1065" s="76" t="n">
        <v>5087000</v>
      </c>
      <c r="I1065" s="75" t="inlineStr">
        <is>
          <t>6월 자문 수수료 - K회계법인</t>
        </is>
      </c>
      <c r="J1065" s="75" t="inlineStr">
        <is>
          <t>V10010</t>
        </is>
      </c>
      <c r="K1065" s="75" t="inlineStr">
        <is>
          <t>K회계법인</t>
        </is>
      </c>
      <c r="M1065" s="9">
        <f>IF($A1065="","",VALUE($A1065&amp;"")*12+VALUE($B1065&amp;""))</f>
        <v/>
      </c>
      <c r="N1065" s="39">
        <f>IF($A1065="","",IFERROR(INDEX(부서매핑!$C$5:$C$504,MATCH($G1065&amp;"",부서매핑!$A$5:$A$504,0)),"미매핑"))</f>
        <v/>
      </c>
      <c r="O1065" s="9">
        <f>IF($A1065="","",N1065&amp;"|"&amp;$F1065)</f>
        <v/>
      </c>
      <c r="P1065" s="77">
        <f>IF($A1065="",0,$H1065*설정!$C$23)</f>
        <v/>
      </c>
      <c r="Q1065" s="39">
        <f>IF($A1065="","",IF(O1065&lt;&gt;원인분석!$C$9,"",IF(AND(M1065&gt;=원인분석!$C$10,M1065&lt;=원인분석!$C$11),"당기",IF(AND(M1065&gt;=원인분석!$C$12,M1065&lt;=원인분석!$C$13),"비교",""))))</f>
        <v/>
      </c>
      <c r="R1065" s="9">
        <f>IF(Q1065="","",$K1065&amp;"")</f>
        <v/>
      </c>
      <c r="S1065" s="9">
        <f>IF(Q1065="","",IF(MATCH(R1065,$R$5:$R$100000,0)=ROW()-4,ROW(),""))</f>
        <v/>
      </c>
      <c r="T1065" s="9">
        <f>IF(Q1065="당기",ABS(P1065)+ROW()/1000000000,"")</f>
        <v/>
      </c>
      <c r="U1065" s="9">
        <f>IF(Q1065="비교",ABS(P1065)+ROW()/1000000000,"")</f>
        <v/>
      </c>
      <c r="V1065" s="39">
        <f>IF($A1065="","",IF(COUNTIF(변동분석!$E$7:$E$506,O1065)&gt;0,"Y","N"))</f>
        <v/>
      </c>
      <c r="W1065" s="39">
        <f>IF($A1065="","",IFERROR(INDEX(계정매핑!$D$5:$D$504,MATCH($F1065&amp;"",계정매핑!$A$5:$A$504,0)),"미매핑"))</f>
        <v/>
      </c>
      <c r="X1065" s="9">
        <f>IF($A1065="","",$F1065&amp;"")</f>
        <v/>
      </c>
    </row>
    <row r="1066">
      <c r="A1066" s="75" t="n">
        <v>2025</v>
      </c>
      <c r="B1066" s="75" t="n">
        <v>6</v>
      </c>
      <c r="C1066" s="75" t="inlineStr">
        <is>
          <t>5100001062</t>
        </is>
      </c>
      <c r="D1066" s="78" t="n">
        <v>45821</v>
      </c>
      <c r="E1066" s="75" t="inlineStr">
        <is>
          <t>KR</t>
        </is>
      </c>
      <c r="F1066" s="75" t="n">
        <v>62901000</v>
      </c>
      <c r="G1066" s="75" t="n">
        <v>1401</v>
      </c>
      <c r="H1066" s="76" t="n">
        <v>6297000</v>
      </c>
      <c r="I1066" s="75" t="inlineStr">
        <is>
          <t>6월 자문 수수료 - K회계법인</t>
        </is>
      </c>
      <c r="J1066" s="75" t="inlineStr">
        <is>
          <t>V10010</t>
        </is>
      </c>
      <c r="K1066" s="75" t="inlineStr">
        <is>
          <t>K회계법인</t>
        </is>
      </c>
      <c r="M1066" s="9">
        <f>IF($A1066="","",VALUE($A1066&amp;"")*12+VALUE($B1066&amp;""))</f>
        <v/>
      </c>
      <c r="N1066" s="39">
        <f>IF($A1066="","",IFERROR(INDEX(부서매핑!$C$5:$C$504,MATCH($G1066&amp;"",부서매핑!$A$5:$A$504,0)),"미매핑"))</f>
        <v/>
      </c>
      <c r="O1066" s="9">
        <f>IF($A1066="","",N1066&amp;"|"&amp;$F1066)</f>
        <v/>
      </c>
      <c r="P1066" s="77">
        <f>IF($A1066="",0,$H1066*설정!$C$23)</f>
        <v/>
      </c>
      <c r="Q1066" s="39">
        <f>IF($A1066="","",IF(O1066&lt;&gt;원인분석!$C$9,"",IF(AND(M1066&gt;=원인분석!$C$10,M1066&lt;=원인분석!$C$11),"당기",IF(AND(M1066&gt;=원인분석!$C$12,M1066&lt;=원인분석!$C$13),"비교",""))))</f>
        <v/>
      </c>
      <c r="R1066" s="9">
        <f>IF(Q1066="","",$K1066&amp;"")</f>
        <v/>
      </c>
      <c r="S1066" s="9">
        <f>IF(Q1066="","",IF(MATCH(R1066,$R$5:$R$100000,0)=ROW()-4,ROW(),""))</f>
        <v/>
      </c>
      <c r="T1066" s="9">
        <f>IF(Q1066="당기",ABS(P1066)+ROW()/1000000000,"")</f>
        <v/>
      </c>
      <c r="U1066" s="9">
        <f>IF(Q1066="비교",ABS(P1066)+ROW()/1000000000,"")</f>
        <v/>
      </c>
      <c r="V1066" s="39">
        <f>IF($A1066="","",IF(COUNTIF(변동분석!$E$7:$E$506,O1066)&gt;0,"Y","N"))</f>
        <v/>
      </c>
      <c r="W1066" s="39">
        <f>IF($A1066="","",IFERROR(INDEX(계정매핑!$D$5:$D$504,MATCH($F1066&amp;"",계정매핑!$A$5:$A$504,0)),"미매핑"))</f>
        <v/>
      </c>
      <c r="X1066" s="9">
        <f>IF($A1066="","",$F1066&amp;"")</f>
        <v/>
      </c>
    </row>
    <row r="1067">
      <c r="A1067" s="75" t="n">
        <v>2025</v>
      </c>
      <c r="B1067" s="75" t="n">
        <v>6</v>
      </c>
      <c r="C1067" s="75" t="inlineStr">
        <is>
          <t>5100001063</t>
        </is>
      </c>
      <c r="D1067" s="78" t="n">
        <v>45821</v>
      </c>
      <c r="E1067" s="75" t="inlineStr">
        <is>
          <t>KR</t>
        </is>
      </c>
      <c r="F1067" s="75" t="n">
        <v>62901000</v>
      </c>
      <c r="G1067" s="75" t="n">
        <v>1801</v>
      </c>
      <c r="H1067" s="76" t="n">
        <v>7440000</v>
      </c>
      <c r="I1067" s="75" t="inlineStr">
        <is>
          <t>6월 자문 수수료 - K회계법인</t>
        </is>
      </c>
      <c r="J1067" s="75" t="inlineStr">
        <is>
          <t>V10010</t>
        </is>
      </c>
      <c r="K1067" s="75" t="inlineStr">
        <is>
          <t>K회계법인</t>
        </is>
      </c>
      <c r="M1067" s="9">
        <f>IF($A1067="","",VALUE($A1067&amp;"")*12+VALUE($B1067&amp;""))</f>
        <v/>
      </c>
      <c r="N1067" s="39">
        <f>IF($A1067="","",IFERROR(INDEX(부서매핑!$C$5:$C$504,MATCH($G1067&amp;"",부서매핑!$A$5:$A$504,0)),"미매핑"))</f>
        <v/>
      </c>
      <c r="O1067" s="9">
        <f>IF($A1067="","",N1067&amp;"|"&amp;$F1067)</f>
        <v/>
      </c>
      <c r="P1067" s="77">
        <f>IF($A1067="",0,$H1067*설정!$C$23)</f>
        <v/>
      </c>
      <c r="Q1067" s="39">
        <f>IF($A1067="","",IF(O1067&lt;&gt;원인분석!$C$9,"",IF(AND(M1067&gt;=원인분석!$C$10,M1067&lt;=원인분석!$C$11),"당기",IF(AND(M1067&gt;=원인분석!$C$12,M1067&lt;=원인분석!$C$13),"비교",""))))</f>
        <v/>
      </c>
      <c r="R1067" s="9">
        <f>IF(Q1067="","",$K1067&amp;"")</f>
        <v/>
      </c>
      <c r="S1067" s="9">
        <f>IF(Q1067="","",IF(MATCH(R1067,$R$5:$R$100000,0)=ROW()-4,ROW(),""))</f>
        <v/>
      </c>
      <c r="T1067" s="9">
        <f>IF(Q1067="당기",ABS(P1067)+ROW()/1000000000,"")</f>
        <v/>
      </c>
      <c r="U1067" s="9">
        <f>IF(Q1067="비교",ABS(P1067)+ROW()/1000000000,"")</f>
        <v/>
      </c>
      <c r="V1067" s="39">
        <f>IF($A1067="","",IF(COUNTIF(변동분석!$E$7:$E$506,O1067)&gt;0,"Y","N"))</f>
        <v/>
      </c>
      <c r="W1067" s="39">
        <f>IF($A1067="","",IFERROR(INDEX(계정매핑!$D$5:$D$504,MATCH($F1067&amp;"",계정매핑!$A$5:$A$504,0)),"미매핑"))</f>
        <v/>
      </c>
      <c r="X1067" s="9">
        <f>IF($A1067="","",$F1067&amp;"")</f>
        <v/>
      </c>
    </row>
    <row r="1068">
      <c r="A1068" s="75" t="n">
        <v>2025</v>
      </c>
      <c r="B1068" s="75" t="n">
        <v>6</v>
      </c>
      <c r="C1068" s="75" t="inlineStr">
        <is>
          <t>5100001064</t>
        </is>
      </c>
      <c r="D1068" s="78" t="n">
        <v>45821</v>
      </c>
      <c r="E1068" s="75" t="inlineStr">
        <is>
          <t>KR</t>
        </is>
      </c>
      <c r="F1068" s="75" t="n">
        <v>62901000</v>
      </c>
      <c r="G1068" s="75" t="n">
        <v>1801</v>
      </c>
      <c r="H1068" s="76" t="n">
        <v>11194000</v>
      </c>
      <c r="I1068" s="75" t="inlineStr">
        <is>
          <t>6월 자문 수수료 - W컨설팅</t>
        </is>
      </c>
      <c r="J1068" s="75" t="inlineStr">
        <is>
          <t>V10009</t>
        </is>
      </c>
      <c r="K1068" s="75" t="inlineStr">
        <is>
          <t>W컨설팅</t>
        </is>
      </c>
      <c r="M1068" s="9">
        <f>IF($A1068="","",VALUE($A1068&amp;"")*12+VALUE($B1068&amp;""))</f>
        <v/>
      </c>
      <c r="N1068" s="39">
        <f>IF($A1068="","",IFERROR(INDEX(부서매핑!$C$5:$C$504,MATCH($G1068&amp;"",부서매핑!$A$5:$A$504,0)),"미매핑"))</f>
        <v/>
      </c>
      <c r="O1068" s="9">
        <f>IF($A1068="","",N1068&amp;"|"&amp;$F1068)</f>
        <v/>
      </c>
      <c r="P1068" s="77">
        <f>IF($A1068="",0,$H1068*설정!$C$23)</f>
        <v/>
      </c>
      <c r="Q1068" s="39">
        <f>IF($A1068="","",IF(O1068&lt;&gt;원인분석!$C$9,"",IF(AND(M1068&gt;=원인분석!$C$10,M1068&lt;=원인분석!$C$11),"당기",IF(AND(M1068&gt;=원인분석!$C$12,M1068&lt;=원인분석!$C$13),"비교",""))))</f>
        <v/>
      </c>
      <c r="R1068" s="9">
        <f>IF(Q1068="","",$K1068&amp;"")</f>
        <v/>
      </c>
      <c r="S1068" s="9">
        <f>IF(Q1068="","",IF(MATCH(R1068,$R$5:$R$100000,0)=ROW()-4,ROW(),""))</f>
        <v/>
      </c>
      <c r="T1068" s="9">
        <f>IF(Q1068="당기",ABS(P1068)+ROW()/1000000000,"")</f>
        <v/>
      </c>
      <c r="U1068" s="9">
        <f>IF(Q1068="비교",ABS(P1068)+ROW()/1000000000,"")</f>
        <v/>
      </c>
      <c r="V1068" s="39">
        <f>IF($A1068="","",IF(COUNTIF(변동분석!$E$7:$E$506,O1068)&gt;0,"Y","N"))</f>
        <v/>
      </c>
      <c r="W1068" s="39">
        <f>IF($A1068="","",IFERROR(INDEX(계정매핑!$D$5:$D$504,MATCH($F1068&amp;"",계정매핑!$A$5:$A$504,0)),"미매핑"))</f>
        <v/>
      </c>
      <c r="X1068" s="9">
        <f>IF($A1068="","",$F1068&amp;"")</f>
        <v/>
      </c>
    </row>
    <row r="1069">
      <c r="A1069" s="75" t="n">
        <v>2025</v>
      </c>
      <c r="B1069" s="75" t="n">
        <v>6</v>
      </c>
      <c r="C1069" s="75" t="inlineStr">
        <is>
          <t>5100001065</t>
        </is>
      </c>
      <c r="D1069" s="78" t="n">
        <v>45821</v>
      </c>
      <c r="E1069" s="75" t="inlineStr">
        <is>
          <t>KR</t>
        </is>
      </c>
      <c r="F1069" s="75" t="n">
        <v>62902000</v>
      </c>
      <c r="G1069" s="75" t="n">
        <v>1801</v>
      </c>
      <c r="H1069" s="76" t="n">
        <v>1762000</v>
      </c>
      <c r="I1069" s="75" t="inlineStr">
        <is>
          <t>6월 콜 위탁 수수료(건별)</t>
        </is>
      </c>
      <c r="J1069" s="75" t="inlineStr">
        <is>
          <t>V10013</t>
        </is>
      </c>
      <c r="K1069" s="75" t="inlineStr">
        <is>
          <t>J콜센터</t>
        </is>
      </c>
      <c r="M1069" s="9">
        <f>IF($A1069="","",VALUE($A1069&amp;"")*12+VALUE($B1069&amp;""))</f>
        <v/>
      </c>
      <c r="N1069" s="39">
        <f>IF($A1069="","",IFERROR(INDEX(부서매핑!$C$5:$C$504,MATCH($G1069&amp;"",부서매핑!$A$5:$A$504,0)),"미매핑"))</f>
        <v/>
      </c>
      <c r="O1069" s="9">
        <f>IF($A1069="","",N1069&amp;"|"&amp;$F1069)</f>
        <v/>
      </c>
      <c r="P1069" s="77">
        <f>IF($A1069="",0,$H1069*설정!$C$23)</f>
        <v/>
      </c>
      <c r="Q1069" s="39">
        <f>IF($A1069="","",IF(O1069&lt;&gt;원인분석!$C$9,"",IF(AND(M1069&gt;=원인분석!$C$10,M1069&lt;=원인분석!$C$11),"당기",IF(AND(M1069&gt;=원인분석!$C$12,M1069&lt;=원인분석!$C$13),"비교",""))))</f>
        <v/>
      </c>
      <c r="R1069" s="9">
        <f>IF(Q1069="","",$K1069&amp;"")</f>
        <v/>
      </c>
      <c r="S1069" s="9">
        <f>IF(Q1069="","",IF(MATCH(R1069,$R$5:$R$100000,0)=ROW()-4,ROW(),""))</f>
        <v/>
      </c>
      <c r="T1069" s="9">
        <f>IF(Q1069="당기",ABS(P1069)+ROW()/1000000000,"")</f>
        <v/>
      </c>
      <c r="U1069" s="9">
        <f>IF(Q1069="비교",ABS(P1069)+ROW()/1000000000,"")</f>
        <v/>
      </c>
      <c r="V1069" s="39">
        <f>IF($A1069="","",IF(COUNTIF(변동분석!$E$7:$E$506,O1069)&gt;0,"Y","N"))</f>
        <v/>
      </c>
      <c r="W1069" s="39">
        <f>IF($A1069="","",IFERROR(INDEX(계정매핑!$D$5:$D$504,MATCH($F1069&amp;"",계정매핑!$A$5:$A$504,0)),"미매핑"))</f>
        <v/>
      </c>
      <c r="X1069" s="9">
        <f>IF($A1069="","",$F1069&amp;"")</f>
        <v/>
      </c>
    </row>
    <row r="1070">
      <c r="A1070" s="75" t="n">
        <v>2025</v>
      </c>
      <c r="B1070" s="75" t="n">
        <v>6</v>
      </c>
      <c r="C1070" s="75" t="inlineStr">
        <is>
          <t>5100001066</t>
        </is>
      </c>
      <c r="D1070" s="78" t="n">
        <v>45822</v>
      </c>
      <c r="E1070" s="75" t="inlineStr">
        <is>
          <t>KR</t>
        </is>
      </c>
      <c r="F1070" s="75" t="n">
        <v>62101000</v>
      </c>
      <c r="G1070" s="75" t="n">
        <v>1101</v>
      </c>
      <c r="H1070" s="76" t="n">
        <v>341000</v>
      </c>
      <c r="I1070" s="75" t="inlineStr">
        <is>
          <t>6월 국내출장 - M항공</t>
        </is>
      </c>
      <c r="J1070" s="75" t="inlineStr">
        <is>
          <t>V10001</t>
        </is>
      </c>
      <c r="K1070" s="75" t="inlineStr">
        <is>
          <t>M항공</t>
        </is>
      </c>
      <c r="M1070" s="9">
        <f>IF($A1070="","",VALUE($A1070&amp;"")*12+VALUE($B1070&amp;""))</f>
        <v/>
      </c>
      <c r="N1070" s="39">
        <f>IF($A1070="","",IFERROR(INDEX(부서매핑!$C$5:$C$504,MATCH($G1070&amp;"",부서매핑!$A$5:$A$504,0)),"미매핑"))</f>
        <v/>
      </c>
      <c r="O1070" s="9">
        <f>IF($A1070="","",N1070&amp;"|"&amp;$F1070)</f>
        <v/>
      </c>
      <c r="P1070" s="77">
        <f>IF($A1070="",0,$H1070*설정!$C$23)</f>
        <v/>
      </c>
      <c r="Q1070" s="39">
        <f>IF($A1070="","",IF(O1070&lt;&gt;원인분석!$C$9,"",IF(AND(M1070&gt;=원인분석!$C$10,M1070&lt;=원인분석!$C$11),"당기",IF(AND(M1070&gt;=원인분석!$C$12,M1070&lt;=원인분석!$C$13),"비교",""))))</f>
        <v/>
      </c>
      <c r="R1070" s="9">
        <f>IF(Q1070="","",$K1070&amp;"")</f>
        <v/>
      </c>
      <c r="S1070" s="9">
        <f>IF(Q1070="","",IF(MATCH(R1070,$R$5:$R$100000,0)=ROW()-4,ROW(),""))</f>
        <v/>
      </c>
      <c r="T1070" s="9">
        <f>IF(Q1070="당기",ABS(P1070)+ROW()/1000000000,"")</f>
        <v/>
      </c>
      <c r="U1070" s="9">
        <f>IF(Q1070="비교",ABS(P1070)+ROW()/1000000000,"")</f>
        <v/>
      </c>
      <c r="V1070" s="39">
        <f>IF($A1070="","",IF(COUNTIF(변동분석!$E$7:$E$506,O1070)&gt;0,"Y","N"))</f>
        <v/>
      </c>
      <c r="W1070" s="39">
        <f>IF($A1070="","",IFERROR(INDEX(계정매핑!$D$5:$D$504,MATCH($F1070&amp;"",계정매핑!$A$5:$A$504,0)),"미매핑"))</f>
        <v/>
      </c>
      <c r="X1070" s="9">
        <f>IF($A1070="","",$F1070&amp;"")</f>
        <v/>
      </c>
    </row>
    <row r="1071">
      <c r="A1071" s="75" t="n">
        <v>2025</v>
      </c>
      <c r="B1071" s="75" t="n">
        <v>6</v>
      </c>
      <c r="C1071" s="75" t="inlineStr">
        <is>
          <t>5100001067</t>
        </is>
      </c>
      <c r="D1071" s="78" t="n">
        <v>45822</v>
      </c>
      <c r="E1071" s="75" t="inlineStr">
        <is>
          <t>KR</t>
        </is>
      </c>
      <c r="F1071" s="75" t="n">
        <v>62101000</v>
      </c>
      <c r="G1071" s="75" t="n">
        <v>1201</v>
      </c>
      <c r="H1071" s="76" t="n">
        <v>266000</v>
      </c>
      <c r="I1071" s="75" t="inlineStr">
        <is>
          <t>6월 국내출장 - (법인카드)</t>
        </is>
      </c>
      <c r="J1071" s="75" t="inlineStr">
        <is>
          <t>V10008</t>
        </is>
      </c>
      <c r="K1071" s="75" t="inlineStr">
        <is>
          <t>(법인카드)</t>
        </is>
      </c>
      <c r="M1071" s="9">
        <f>IF($A1071="","",VALUE($A1071&amp;"")*12+VALUE($B1071&amp;""))</f>
        <v/>
      </c>
      <c r="N1071" s="39">
        <f>IF($A1071="","",IFERROR(INDEX(부서매핑!$C$5:$C$504,MATCH($G1071&amp;"",부서매핑!$A$5:$A$504,0)),"미매핑"))</f>
        <v/>
      </c>
      <c r="O1071" s="9">
        <f>IF($A1071="","",N1071&amp;"|"&amp;$F1071)</f>
        <v/>
      </c>
      <c r="P1071" s="77">
        <f>IF($A1071="",0,$H1071*설정!$C$23)</f>
        <v/>
      </c>
      <c r="Q1071" s="39">
        <f>IF($A1071="","",IF(O1071&lt;&gt;원인분석!$C$9,"",IF(AND(M1071&gt;=원인분석!$C$10,M1071&lt;=원인분석!$C$11),"당기",IF(AND(M1071&gt;=원인분석!$C$12,M1071&lt;=원인분석!$C$13),"비교",""))))</f>
        <v/>
      </c>
      <c r="R1071" s="9">
        <f>IF(Q1071="","",$K1071&amp;"")</f>
        <v/>
      </c>
      <c r="S1071" s="9">
        <f>IF(Q1071="","",IF(MATCH(R1071,$R$5:$R$100000,0)=ROW()-4,ROW(),""))</f>
        <v/>
      </c>
      <c r="T1071" s="9">
        <f>IF(Q1071="당기",ABS(P1071)+ROW()/1000000000,"")</f>
        <v/>
      </c>
      <c r="U1071" s="9">
        <f>IF(Q1071="비교",ABS(P1071)+ROW()/1000000000,"")</f>
        <v/>
      </c>
      <c r="V1071" s="39">
        <f>IF($A1071="","",IF(COUNTIF(변동분석!$E$7:$E$506,O1071)&gt;0,"Y","N"))</f>
        <v/>
      </c>
      <c r="W1071" s="39">
        <f>IF($A1071="","",IFERROR(INDEX(계정매핑!$D$5:$D$504,MATCH($F1071&amp;"",계정매핑!$A$5:$A$504,0)),"미매핑"))</f>
        <v/>
      </c>
      <c r="X1071" s="9">
        <f>IF($A1071="","",$F1071&amp;"")</f>
        <v/>
      </c>
    </row>
    <row r="1072">
      <c r="A1072" s="75" t="n">
        <v>2025</v>
      </c>
      <c r="B1072" s="75" t="n">
        <v>6</v>
      </c>
      <c r="C1072" s="75" t="inlineStr">
        <is>
          <t>5100001068</t>
        </is>
      </c>
      <c r="D1072" s="78" t="n">
        <v>45822</v>
      </c>
      <c r="E1072" s="75" t="inlineStr">
        <is>
          <t>KR</t>
        </is>
      </c>
      <c r="F1072" s="75" t="n">
        <v>62101000</v>
      </c>
      <c r="G1072" s="75" t="n">
        <v>1601</v>
      </c>
      <c r="H1072" s="76" t="n">
        <v>1525000</v>
      </c>
      <c r="I1072" s="75" t="inlineStr">
        <is>
          <t>6월 국내출장 - L여행사</t>
        </is>
      </c>
      <c r="J1072" s="75" t="inlineStr">
        <is>
          <t>V10014</t>
        </is>
      </c>
      <c r="K1072" s="75" t="inlineStr">
        <is>
          <t>L여행사</t>
        </is>
      </c>
      <c r="M1072" s="9">
        <f>IF($A1072="","",VALUE($A1072&amp;"")*12+VALUE($B1072&amp;""))</f>
        <v/>
      </c>
      <c r="N1072" s="39">
        <f>IF($A1072="","",IFERROR(INDEX(부서매핑!$C$5:$C$504,MATCH($G1072&amp;"",부서매핑!$A$5:$A$504,0)),"미매핑"))</f>
        <v/>
      </c>
      <c r="O1072" s="9">
        <f>IF($A1072="","",N1072&amp;"|"&amp;$F1072)</f>
        <v/>
      </c>
      <c r="P1072" s="77">
        <f>IF($A1072="",0,$H1072*설정!$C$23)</f>
        <v/>
      </c>
      <c r="Q1072" s="39">
        <f>IF($A1072="","",IF(O1072&lt;&gt;원인분석!$C$9,"",IF(AND(M1072&gt;=원인분석!$C$10,M1072&lt;=원인분석!$C$11),"당기",IF(AND(M1072&gt;=원인분석!$C$12,M1072&lt;=원인분석!$C$13),"비교",""))))</f>
        <v/>
      </c>
      <c r="R1072" s="9">
        <f>IF(Q1072="","",$K1072&amp;"")</f>
        <v/>
      </c>
      <c r="S1072" s="9">
        <f>IF(Q1072="","",IF(MATCH(R1072,$R$5:$R$100000,0)=ROW()-4,ROW(),""))</f>
        <v/>
      </c>
      <c r="T1072" s="9">
        <f>IF(Q1072="당기",ABS(P1072)+ROW()/1000000000,"")</f>
        <v/>
      </c>
      <c r="U1072" s="9">
        <f>IF(Q1072="비교",ABS(P1072)+ROW()/1000000000,"")</f>
        <v/>
      </c>
      <c r="V1072" s="39">
        <f>IF($A1072="","",IF(COUNTIF(변동분석!$E$7:$E$506,O1072)&gt;0,"Y","N"))</f>
        <v/>
      </c>
      <c r="W1072" s="39">
        <f>IF($A1072="","",IFERROR(INDEX(계정매핑!$D$5:$D$504,MATCH($F1072&amp;"",계정매핑!$A$5:$A$504,0)),"미매핑"))</f>
        <v/>
      </c>
      <c r="X1072" s="9">
        <f>IF($A1072="","",$F1072&amp;"")</f>
        <v/>
      </c>
    </row>
    <row r="1073">
      <c r="A1073" s="75" t="n">
        <v>2025</v>
      </c>
      <c r="B1073" s="75" t="n">
        <v>6</v>
      </c>
      <c r="C1073" s="75" t="inlineStr">
        <is>
          <t>5100001069</t>
        </is>
      </c>
      <c r="D1073" s="78" t="n">
        <v>45822</v>
      </c>
      <c r="E1073" s="75" t="inlineStr">
        <is>
          <t>KR</t>
        </is>
      </c>
      <c r="F1073" s="75" t="n">
        <v>62101000</v>
      </c>
      <c r="G1073" s="75" t="n">
        <v>1701</v>
      </c>
      <c r="H1073" s="76" t="n">
        <v>235000</v>
      </c>
      <c r="I1073" s="75" t="inlineStr">
        <is>
          <t>6월 국내출장 - L여행사</t>
        </is>
      </c>
      <c r="J1073" s="75" t="inlineStr">
        <is>
          <t>V10014</t>
        </is>
      </c>
      <c r="K1073" s="75" t="inlineStr">
        <is>
          <t>L여행사</t>
        </is>
      </c>
      <c r="M1073" s="9">
        <f>IF($A1073="","",VALUE($A1073&amp;"")*12+VALUE($B1073&amp;""))</f>
        <v/>
      </c>
      <c r="N1073" s="39">
        <f>IF($A1073="","",IFERROR(INDEX(부서매핑!$C$5:$C$504,MATCH($G1073&amp;"",부서매핑!$A$5:$A$504,0)),"미매핑"))</f>
        <v/>
      </c>
      <c r="O1073" s="9">
        <f>IF($A1073="","",N1073&amp;"|"&amp;$F1073)</f>
        <v/>
      </c>
      <c r="P1073" s="77">
        <f>IF($A1073="",0,$H1073*설정!$C$23)</f>
        <v/>
      </c>
      <c r="Q1073" s="39">
        <f>IF($A1073="","",IF(O1073&lt;&gt;원인분석!$C$9,"",IF(AND(M1073&gt;=원인분석!$C$10,M1073&lt;=원인분석!$C$11),"당기",IF(AND(M1073&gt;=원인분석!$C$12,M1073&lt;=원인분석!$C$13),"비교",""))))</f>
        <v/>
      </c>
      <c r="R1073" s="9">
        <f>IF(Q1073="","",$K1073&amp;"")</f>
        <v/>
      </c>
      <c r="S1073" s="9">
        <f>IF(Q1073="","",IF(MATCH(R1073,$R$5:$R$100000,0)=ROW()-4,ROW(),""))</f>
        <v/>
      </c>
      <c r="T1073" s="9">
        <f>IF(Q1073="당기",ABS(P1073)+ROW()/1000000000,"")</f>
        <v/>
      </c>
      <c r="U1073" s="9">
        <f>IF(Q1073="비교",ABS(P1073)+ROW()/1000000000,"")</f>
        <v/>
      </c>
      <c r="V1073" s="39">
        <f>IF($A1073="","",IF(COUNTIF(변동분석!$E$7:$E$506,O1073)&gt;0,"Y","N"))</f>
        <v/>
      </c>
      <c r="W1073" s="39">
        <f>IF($A1073="","",IFERROR(INDEX(계정매핑!$D$5:$D$504,MATCH($F1073&amp;"",계정매핑!$A$5:$A$504,0)),"미매핑"))</f>
        <v/>
      </c>
      <c r="X1073" s="9">
        <f>IF($A1073="","",$F1073&amp;"")</f>
        <v/>
      </c>
    </row>
    <row r="1074">
      <c r="A1074" s="75" t="n">
        <v>2025</v>
      </c>
      <c r="B1074" s="75" t="n">
        <v>6</v>
      </c>
      <c r="C1074" s="75" t="inlineStr">
        <is>
          <t>5100001070</t>
        </is>
      </c>
      <c r="D1074" s="78" t="n">
        <v>45822</v>
      </c>
      <c r="E1074" s="75" t="inlineStr">
        <is>
          <t>KR</t>
        </is>
      </c>
      <c r="F1074" s="75" t="n">
        <v>62102000</v>
      </c>
      <c r="G1074" s="75" t="n">
        <v>1301</v>
      </c>
      <c r="H1074" s="76" t="n">
        <v>53000</v>
      </c>
      <c r="I1074" s="75" t="inlineStr">
        <is>
          <t>6월 해외출장 - N호텔</t>
        </is>
      </c>
      <c r="J1074" s="75" t="inlineStr">
        <is>
          <t>V10007</t>
        </is>
      </c>
      <c r="K1074" s="75" t="inlineStr">
        <is>
          <t>N호텔</t>
        </is>
      </c>
      <c r="M1074" s="9">
        <f>IF($A1074="","",VALUE($A1074&amp;"")*12+VALUE($B1074&amp;""))</f>
        <v/>
      </c>
      <c r="N1074" s="39">
        <f>IF($A1074="","",IFERROR(INDEX(부서매핑!$C$5:$C$504,MATCH($G1074&amp;"",부서매핑!$A$5:$A$504,0)),"미매핑"))</f>
        <v/>
      </c>
      <c r="O1074" s="9">
        <f>IF($A1074="","",N1074&amp;"|"&amp;$F1074)</f>
        <v/>
      </c>
      <c r="P1074" s="77">
        <f>IF($A1074="",0,$H1074*설정!$C$23)</f>
        <v/>
      </c>
      <c r="Q1074" s="39">
        <f>IF($A1074="","",IF(O1074&lt;&gt;원인분석!$C$9,"",IF(AND(M1074&gt;=원인분석!$C$10,M1074&lt;=원인분석!$C$11),"당기",IF(AND(M1074&gt;=원인분석!$C$12,M1074&lt;=원인분석!$C$13),"비교",""))))</f>
        <v/>
      </c>
      <c r="R1074" s="9">
        <f>IF(Q1074="","",$K1074&amp;"")</f>
        <v/>
      </c>
      <c r="S1074" s="9">
        <f>IF(Q1074="","",IF(MATCH(R1074,$R$5:$R$100000,0)=ROW()-4,ROW(),""))</f>
        <v/>
      </c>
      <c r="T1074" s="9">
        <f>IF(Q1074="당기",ABS(P1074)+ROW()/1000000000,"")</f>
        <v/>
      </c>
      <c r="U1074" s="9">
        <f>IF(Q1074="비교",ABS(P1074)+ROW()/1000000000,"")</f>
        <v/>
      </c>
      <c r="V1074" s="39">
        <f>IF($A1074="","",IF(COUNTIF(변동분석!$E$7:$E$506,O1074)&gt;0,"Y","N"))</f>
        <v/>
      </c>
      <c r="W1074" s="39">
        <f>IF($A1074="","",IFERROR(INDEX(계정매핑!$D$5:$D$504,MATCH($F1074&amp;"",계정매핑!$A$5:$A$504,0)),"미매핑"))</f>
        <v/>
      </c>
      <c r="X1074" s="9">
        <f>IF($A1074="","",$F1074&amp;"")</f>
        <v/>
      </c>
    </row>
    <row r="1075">
      <c r="A1075" s="75" t="n">
        <v>2025</v>
      </c>
      <c r="B1075" s="75" t="n">
        <v>6</v>
      </c>
      <c r="C1075" s="75" t="inlineStr">
        <is>
          <t>5100001071</t>
        </is>
      </c>
      <c r="D1075" s="78" t="n">
        <v>45822</v>
      </c>
      <c r="E1075" s="75" t="inlineStr">
        <is>
          <t>KR</t>
        </is>
      </c>
      <c r="F1075" s="75" t="n">
        <v>62501000</v>
      </c>
      <c r="G1075" s="75" t="n">
        <v>1701</v>
      </c>
      <c r="H1075" s="76" t="n">
        <v>113000</v>
      </c>
      <c r="I1075" s="75" t="inlineStr">
        <is>
          <t>6월 회의 다과 - (법인카드)</t>
        </is>
      </c>
      <c r="J1075" s="75" t="inlineStr">
        <is>
          <t>V10008</t>
        </is>
      </c>
      <c r="K1075" s="75" t="inlineStr">
        <is>
          <t>(법인카드)</t>
        </is>
      </c>
      <c r="M1075" s="9">
        <f>IF($A1075="","",VALUE($A1075&amp;"")*12+VALUE($B1075&amp;""))</f>
        <v/>
      </c>
      <c r="N1075" s="39">
        <f>IF($A1075="","",IFERROR(INDEX(부서매핑!$C$5:$C$504,MATCH($G1075&amp;"",부서매핑!$A$5:$A$504,0)),"미매핑"))</f>
        <v/>
      </c>
      <c r="O1075" s="9">
        <f>IF($A1075="","",N1075&amp;"|"&amp;$F1075)</f>
        <v/>
      </c>
      <c r="P1075" s="77">
        <f>IF($A1075="",0,$H1075*설정!$C$23)</f>
        <v/>
      </c>
      <c r="Q1075" s="39">
        <f>IF($A1075="","",IF(O1075&lt;&gt;원인분석!$C$9,"",IF(AND(M1075&gt;=원인분석!$C$10,M1075&lt;=원인분석!$C$11),"당기",IF(AND(M1075&gt;=원인분석!$C$12,M1075&lt;=원인분석!$C$13),"비교",""))))</f>
        <v/>
      </c>
      <c r="R1075" s="9">
        <f>IF(Q1075="","",$K1075&amp;"")</f>
        <v/>
      </c>
      <c r="S1075" s="9">
        <f>IF(Q1075="","",IF(MATCH(R1075,$R$5:$R$100000,0)=ROW()-4,ROW(),""))</f>
        <v/>
      </c>
      <c r="T1075" s="9">
        <f>IF(Q1075="당기",ABS(P1075)+ROW()/1000000000,"")</f>
        <v/>
      </c>
      <c r="U1075" s="9">
        <f>IF(Q1075="비교",ABS(P1075)+ROW()/1000000000,"")</f>
        <v/>
      </c>
      <c r="V1075" s="39">
        <f>IF($A1075="","",IF(COUNTIF(변동분석!$E$7:$E$506,O1075)&gt;0,"Y","N"))</f>
        <v/>
      </c>
      <c r="W1075" s="39">
        <f>IF($A1075="","",IFERROR(INDEX(계정매핑!$D$5:$D$504,MATCH($F1075&amp;"",계정매핑!$A$5:$A$504,0)),"미매핑"))</f>
        <v/>
      </c>
      <c r="X1075" s="9">
        <f>IF($A1075="","",$F1075&amp;"")</f>
        <v/>
      </c>
    </row>
    <row r="1076">
      <c r="A1076" s="75" t="n">
        <v>2025</v>
      </c>
      <c r="B1076" s="75" t="n">
        <v>6</v>
      </c>
      <c r="C1076" s="75" t="inlineStr">
        <is>
          <t>5100001072</t>
        </is>
      </c>
      <c r="D1076" s="78" t="n">
        <v>45822</v>
      </c>
      <c r="E1076" s="75" t="inlineStr">
        <is>
          <t>KR</t>
        </is>
      </c>
      <c r="F1076" s="75" t="n">
        <v>62601000</v>
      </c>
      <c r="G1076" s="75" t="n">
        <v>1101</v>
      </c>
      <c r="H1076" s="76" t="n">
        <v>3395000</v>
      </c>
      <c r="I1076" s="75" t="inlineStr">
        <is>
          <t>6월 업무추진 - (법인카드)</t>
        </is>
      </c>
      <c r="J1076" s="75" t="inlineStr">
        <is>
          <t>V10008</t>
        </is>
      </c>
      <c r="K1076" s="75" t="inlineStr">
        <is>
          <t>(법인카드)</t>
        </is>
      </c>
      <c r="M1076" s="9">
        <f>IF($A1076="","",VALUE($A1076&amp;"")*12+VALUE($B1076&amp;""))</f>
        <v/>
      </c>
      <c r="N1076" s="39">
        <f>IF($A1076="","",IFERROR(INDEX(부서매핑!$C$5:$C$504,MATCH($G1076&amp;"",부서매핑!$A$5:$A$504,0)),"미매핑"))</f>
        <v/>
      </c>
      <c r="O1076" s="9">
        <f>IF($A1076="","",N1076&amp;"|"&amp;$F1076)</f>
        <v/>
      </c>
      <c r="P1076" s="77">
        <f>IF($A1076="",0,$H1076*설정!$C$23)</f>
        <v/>
      </c>
      <c r="Q1076" s="39">
        <f>IF($A1076="","",IF(O1076&lt;&gt;원인분석!$C$9,"",IF(AND(M1076&gt;=원인분석!$C$10,M1076&lt;=원인분석!$C$11),"당기",IF(AND(M1076&gt;=원인분석!$C$12,M1076&lt;=원인분석!$C$13),"비교",""))))</f>
        <v/>
      </c>
      <c r="R1076" s="9">
        <f>IF(Q1076="","",$K1076&amp;"")</f>
        <v/>
      </c>
      <c r="S1076" s="9">
        <f>IF(Q1076="","",IF(MATCH(R1076,$R$5:$R$100000,0)=ROW()-4,ROW(),""))</f>
        <v/>
      </c>
      <c r="T1076" s="9">
        <f>IF(Q1076="당기",ABS(P1076)+ROW()/1000000000,"")</f>
        <v/>
      </c>
      <c r="U1076" s="9">
        <f>IF(Q1076="비교",ABS(P1076)+ROW()/1000000000,"")</f>
        <v/>
      </c>
      <c r="V1076" s="39">
        <f>IF($A1076="","",IF(COUNTIF(변동분석!$E$7:$E$506,O1076)&gt;0,"Y","N"))</f>
        <v/>
      </c>
      <c r="W1076" s="39">
        <f>IF($A1076="","",IFERROR(INDEX(계정매핑!$D$5:$D$504,MATCH($F1076&amp;"",계정매핑!$A$5:$A$504,0)),"미매핑"))</f>
        <v/>
      </c>
      <c r="X1076" s="9">
        <f>IF($A1076="","",$F1076&amp;"")</f>
        <v/>
      </c>
    </row>
    <row r="1077">
      <c r="A1077" s="75" t="n">
        <v>2025</v>
      </c>
      <c r="B1077" s="75" t="n">
        <v>6</v>
      </c>
      <c r="C1077" s="75" t="inlineStr">
        <is>
          <t>5100001073</t>
        </is>
      </c>
      <c r="D1077" s="78" t="n">
        <v>45822</v>
      </c>
      <c r="E1077" s="75" t="inlineStr">
        <is>
          <t>KR</t>
        </is>
      </c>
      <c r="F1077" s="75" t="n">
        <v>62901000</v>
      </c>
      <c r="G1077" s="75" t="n">
        <v>1101</v>
      </c>
      <c r="H1077" s="76" t="n">
        <v>4740000</v>
      </c>
      <c r="I1077" s="75" t="inlineStr">
        <is>
          <t>6월 자문 수수료 - K회계법인</t>
        </is>
      </c>
      <c r="J1077" s="75" t="inlineStr">
        <is>
          <t>V10010</t>
        </is>
      </c>
      <c r="K1077" s="75" t="inlineStr">
        <is>
          <t>K회계법인</t>
        </is>
      </c>
      <c r="M1077" s="9">
        <f>IF($A1077="","",VALUE($A1077&amp;"")*12+VALUE($B1077&amp;""))</f>
        <v/>
      </c>
      <c r="N1077" s="39">
        <f>IF($A1077="","",IFERROR(INDEX(부서매핑!$C$5:$C$504,MATCH($G1077&amp;"",부서매핑!$A$5:$A$504,0)),"미매핑"))</f>
        <v/>
      </c>
      <c r="O1077" s="9">
        <f>IF($A1077="","",N1077&amp;"|"&amp;$F1077)</f>
        <v/>
      </c>
      <c r="P1077" s="77">
        <f>IF($A1077="",0,$H1077*설정!$C$23)</f>
        <v/>
      </c>
      <c r="Q1077" s="39">
        <f>IF($A1077="","",IF(O1077&lt;&gt;원인분석!$C$9,"",IF(AND(M1077&gt;=원인분석!$C$10,M1077&lt;=원인분석!$C$11),"당기",IF(AND(M1077&gt;=원인분석!$C$12,M1077&lt;=원인분석!$C$13),"비교",""))))</f>
        <v/>
      </c>
      <c r="R1077" s="9">
        <f>IF(Q1077="","",$K1077&amp;"")</f>
        <v/>
      </c>
      <c r="S1077" s="9">
        <f>IF(Q1077="","",IF(MATCH(R1077,$R$5:$R$100000,0)=ROW()-4,ROW(),""))</f>
        <v/>
      </c>
      <c r="T1077" s="9">
        <f>IF(Q1077="당기",ABS(P1077)+ROW()/1000000000,"")</f>
        <v/>
      </c>
      <c r="U1077" s="9">
        <f>IF(Q1077="비교",ABS(P1077)+ROW()/1000000000,"")</f>
        <v/>
      </c>
      <c r="V1077" s="39">
        <f>IF($A1077="","",IF(COUNTIF(변동분석!$E$7:$E$506,O1077)&gt;0,"Y","N"))</f>
        <v/>
      </c>
      <c r="W1077" s="39">
        <f>IF($A1077="","",IFERROR(INDEX(계정매핑!$D$5:$D$504,MATCH($F1077&amp;"",계정매핑!$A$5:$A$504,0)),"미매핑"))</f>
        <v/>
      </c>
      <c r="X1077" s="9">
        <f>IF($A1077="","",$F1077&amp;"")</f>
        <v/>
      </c>
    </row>
    <row r="1078">
      <c r="A1078" s="75" t="n">
        <v>2025</v>
      </c>
      <c r="B1078" s="75" t="n">
        <v>6</v>
      </c>
      <c r="C1078" s="75" t="inlineStr">
        <is>
          <t>5100001074</t>
        </is>
      </c>
      <c r="D1078" s="78" t="n">
        <v>45823</v>
      </c>
      <c r="E1078" s="75" t="inlineStr">
        <is>
          <t>KR</t>
        </is>
      </c>
      <c r="F1078" s="75" t="n">
        <v>62101000</v>
      </c>
      <c r="G1078" s="75" t="n">
        <v>1401</v>
      </c>
      <c r="H1078" s="76" t="n">
        <v>632000</v>
      </c>
      <c r="I1078" s="75" t="inlineStr">
        <is>
          <t>6월 국내출장 - L여행사</t>
        </is>
      </c>
      <c r="J1078" s="75" t="inlineStr">
        <is>
          <t>V10014</t>
        </is>
      </c>
      <c r="K1078" s="75" t="inlineStr">
        <is>
          <t>L여행사</t>
        </is>
      </c>
      <c r="M1078" s="9">
        <f>IF($A1078="","",VALUE($A1078&amp;"")*12+VALUE($B1078&amp;""))</f>
        <v/>
      </c>
      <c r="N1078" s="39">
        <f>IF($A1078="","",IFERROR(INDEX(부서매핑!$C$5:$C$504,MATCH($G1078&amp;"",부서매핑!$A$5:$A$504,0)),"미매핑"))</f>
        <v/>
      </c>
      <c r="O1078" s="9">
        <f>IF($A1078="","",N1078&amp;"|"&amp;$F1078)</f>
        <v/>
      </c>
      <c r="P1078" s="77">
        <f>IF($A1078="",0,$H1078*설정!$C$23)</f>
        <v/>
      </c>
      <c r="Q1078" s="39">
        <f>IF($A1078="","",IF(O1078&lt;&gt;원인분석!$C$9,"",IF(AND(M1078&gt;=원인분석!$C$10,M1078&lt;=원인분석!$C$11),"당기",IF(AND(M1078&gt;=원인분석!$C$12,M1078&lt;=원인분석!$C$13),"비교",""))))</f>
        <v/>
      </c>
      <c r="R1078" s="9">
        <f>IF(Q1078="","",$K1078&amp;"")</f>
        <v/>
      </c>
      <c r="S1078" s="9">
        <f>IF(Q1078="","",IF(MATCH(R1078,$R$5:$R$100000,0)=ROW()-4,ROW(),""))</f>
        <v/>
      </c>
      <c r="T1078" s="9">
        <f>IF(Q1078="당기",ABS(P1078)+ROW()/1000000000,"")</f>
        <v/>
      </c>
      <c r="U1078" s="9">
        <f>IF(Q1078="비교",ABS(P1078)+ROW()/1000000000,"")</f>
        <v/>
      </c>
      <c r="V1078" s="39">
        <f>IF($A1078="","",IF(COUNTIF(변동분석!$E$7:$E$506,O1078)&gt;0,"Y","N"))</f>
        <v/>
      </c>
      <c r="W1078" s="39">
        <f>IF($A1078="","",IFERROR(INDEX(계정매핑!$D$5:$D$504,MATCH($F1078&amp;"",계정매핑!$A$5:$A$504,0)),"미매핑"))</f>
        <v/>
      </c>
      <c r="X1078" s="9">
        <f>IF($A1078="","",$F1078&amp;"")</f>
        <v/>
      </c>
    </row>
    <row r="1079">
      <c r="A1079" s="75" t="n">
        <v>2025</v>
      </c>
      <c r="B1079" s="75" t="n">
        <v>6</v>
      </c>
      <c r="C1079" s="75" t="inlineStr">
        <is>
          <t>5100001075</t>
        </is>
      </c>
      <c r="D1079" s="78" t="n">
        <v>45823</v>
      </c>
      <c r="E1079" s="75" t="inlineStr">
        <is>
          <t>KR</t>
        </is>
      </c>
      <c r="F1079" s="75" t="n">
        <v>62101000</v>
      </c>
      <c r="G1079" s="75" t="n">
        <v>1501</v>
      </c>
      <c r="H1079" s="76" t="n">
        <v>722000</v>
      </c>
      <c r="I1079" s="75" t="inlineStr">
        <is>
          <t>6월 국내출장 - (법인카드)</t>
        </is>
      </c>
      <c r="J1079" s="75" t="inlineStr">
        <is>
          <t>V10008</t>
        </is>
      </c>
      <c r="K1079" s="75" t="inlineStr">
        <is>
          <t>(법인카드)</t>
        </is>
      </c>
      <c r="M1079" s="9">
        <f>IF($A1079="","",VALUE($A1079&amp;"")*12+VALUE($B1079&amp;""))</f>
        <v/>
      </c>
      <c r="N1079" s="39">
        <f>IF($A1079="","",IFERROR(INDEX(부서매핑!$C$5:$C$504,MATCH($G1079&amp;"",부서매핑!$A$5:$A$504,0)),"미매핑"))</f>
        <v/>
      </c>
      <c r="O1079" s="9">
        <f>IF($A1079="","",N1079&amp;"|"&amp;$F1079)</f>
        <v/>
      </c>
      <c r="P1079" s="77">
        <f>IF($A1079="",0,$H1079*설정!$C$23)</f>
        <v/>
      </c>
      <c r="Q1079" s="39">
        <f>IF($A1079="","",IF(O1079&lt;&gt;원인분석!$C$9,"",IF(AND(M1079&gt;=원인분석!$C$10,M1079&lt;=원인분석!$C$11),"당기",IF(AND(M1079&gt;=원인분석!$C$12,M1079&lt;=원인분석!$C$13),"비교",""))))</f>
        <v/>
      </c>
      <c r="R1079" s="9">
        <f>IF(Q1079="","",$K1079&amp;"")</f>
        <v/>
      </c>
      <c r="S1079" s="9">
        <f>IF(Q1079="","",IF(MATCH(R1079,$R$5:$R$100000,0)=ROW()-4,ROW(),""))</f>
        <v/>
      </c>
      <c r="T1079" s="9">
        <f>IF(Q1079="당기",ABS(P1079)+ROW()/1000000000,"")</f>
        <v/>
      </c>
      <c r="U1079" s="9">
        <f>IF(Q1079="비교",ABS(P1079)+ROW()/1000000000,"")</f>
        <v/>
      </c>
      <c r="V1079" s="39">
        <f>IF($A1079="","",IF(COUNTIF(변동분석!$E$7:$E$506,O1079)&gt;0,"Y","N"))</f>
        <v/>
      </c>
      <c r="W1079" s="39">
        <f>IF($A1079="","",IFERROR(INDEX(계정매핑!$D$5:$D$504,MATCH($F1079&amp;"",계정매핑!$A$5:$A$504,0)),"미매핑"))</f>
        <v/>
      </c>
      <c r="X1079" s="9">
        <f>IF($A1079="","",$F1079&amp;"")</f>
        <v/>
      </c>
    </row>
    <row r="1080">
      <c r="A1080" s="75" t="n">
        <v>2025</v>
      </c>
      <c r="B1080" s="75" t="n">
        <v>6</v>
      </c>
      <c r="C1080" s="75" t="inlineStr">
        <is>
          <t>5100001076</t>
        </is>
      </c>
      <c r="D1080" s="78" t="n">
        <v>45823</v>
      </c>
      <c r="E1080" s="75" t="inlineStr">
        <is>
          <t>KR</t>
        </is>
      </c>
      <c r="F1080" s="75" t="n">
        <v>62101000</v>
      </c>
      <c r="G1080" s="75" t="n">
        <v>1701</v>
      </c>
      <c r="H1080" s="76" t="n">
        <v>128000</v>
      </c>
      <c r="I1080" s="75" t="inlineStr">
        <is>
          <t>6월 국내출장 - M항공</t>
        </is>
      </c>
      <c r="J1080" s="75" t="inlineStr">
        <is>
          <t>V10001</t>
        </is>
      </c>
      <c r="K1080" s="75" t="inlineStr">
        <is>
          <t>M항공</t>
        </is>
      </c>
      <c r="M1080" s="9">
        <f>IF($A1080="","",VALUE($A1080&amp;"")*12+VALUE($B1080&amp;""))</f>
        <v/>
      </c>
      <c r="N1080" s="39">
        <f>IF($A1080="","",IFERROR(INDEX(부서매핑!$C$5:$C$504,MATCH($G1080&amp;"",부서매핑!$A$5:$A$504,0)),"미매핑"))</f>
        <v/>
      </c>
      <c r="O1080" s="9">
        <f>IF($A1080="","",N1080&amp;"|"&amp;$F1080)</f>
        <v/>
      </c>
      <c r="P1080" s="77">
        <f>IF($A1080="",0,$H1080*설정!$C$23)</f>
        <v/>
      </c>
      <c r="Q1080" s="39">
        <f>IF($A1080="","",IF(O1080&lt;&gt;원인분석!$C$9,"",IF(AND(M1080&gt;=원인분석!$C$10,M1080&lt;=원인분석!$C$11),"당기",IF(AND(M1080&gt;=원인분석!$C$12,M1080&lt;=원인분석!$C$13),"비교",""))))</f>
        <v/>
      </c>
      <c r="R1080" s="9">
        <f>IF(Q1080="","",$K1080&amp;"")</f>
        <v/>
      </c>
      <c r="S1080" s="9">
        <f>IF(Q1080="","",IF(MATCH(R1080,$R$5:$R$100000,0)=ROW()-4,ROW(),""))</f>
        <v/>
      </c>
      <c r="T1080" s="9">
        <f>IF(Q1080="당기",ABS(P1080)+ROW()/1000000000,"")</f>
        <v/>
      </c>
      <c r="U1080" s="9">
        <f>IF(Q1080="비교",ABS(P1080)+ROW()/1000000000,"")</f>
        <v/>
      </c>
      <c r="V1080" s="39">
        <f>IF($A1080="","",IF(COUNTIF(변동분석!$E$7:$E$506,O1080)&gt;0,"Y","N"))</f>
        <v/>
      </c>
      <c r="W1080" s="39">
        <f>IF($A1080="","",IFERROR(INDEX(계정매핑!$D$5:$D$504,MATCH($F1080&amp;"",계정매핑!$A$5:$A$504,0)),"미매핑"))</f>
        <v/>
      </c>
      <c r="X1080" s="9">
        <f>IF($A1080="","",$F1080&amp;"")</f>
        <v/>
      </c>
    </row>
    <row r="1081">
      <c r="A1081" s="75" t="n">
        <v>2025</v>
      </c>
      <c r="B1081" s="75" t="n">
        <v>6</v>
      </c>
      <c r="C1081" s="75" t="inlineStr">
        <is>
          <t>5100001077</t>
        </is>
      </c>
      <c r="D1081" s="78" t="n">
        <v>45823</v>
      </c>
      <c r="E1081" s="75" t="inlineStr">
        <is>
          <t>KR</t>
        </is>
      </c>
      <c r="F1081" s="75" t="n">
        <v>62102000</v>
      </c>
      <c r="G1081" s="75" t="n">
        <v>1401</v>
      </c>
      <c r="H1081" s="76" t="n">
        <v>140000</v>
      </c>
      <c r="I1081" s="75" t="inlineStr">
        <is>
          <t>6월 해외출장 - M항공</t>
        </is>
      </c>
      <c r="J1081" s="75" t="inlineStr">
        <is>
          <t>V10001</t>
        </is>
      </c>
      <c r="K1081" s="75" t="inlineStr">
        <is>
          <t>M항공</t>
        </is>
      </c>
      <c r="M1081" s="9">
        <f>IF($A1081="","",VALUE($A1081&amp;"")*12+VALUE($B1081&amp;""))</f>
        <v/>
      </c>
      <c r="N1081" s="39">
        <f>IF($A1081="","",IFERROR(INDEX(부서매핑!$C$5:$C$504,MATCH($G1081&amp;"",부서매핑!$A$5:$A$504,0)),"미매핑"))</f>
        <v/>
      </c>
      <c r="O1081" s="9">
        <f>IF($A1081="","",N1081&amp;"|"&amp;$F1081)</f>
        <v/>
      </c>
      <c r="P1081" s="77">
        <f>IF($A1081="",0,$H1081*설정!$C$23)</f>
        <v/>
      </c>
      <c r="Q1081" s="39">
        <f>IF($A1081="","",IF(O1081&lt;&gt;원인분석!$C$9,"",IF(AND(M1081&gt;=원인분석!$C$10,M1081&lt;=원인분석!$C$11),"당기",IF(AND(M1081&gt;=원인분석!$C$12,M1081&lt;=원인분석!$C$13),"비교",""))))</f>
        <v/>
      </c>
      <c r="R1081" s="9">
        <f>IF(Q1081="","",$K1081&amp;"")</f>
        <v/>
      </c>
      <c r="S1081" s="9">
        <f>IF(Q1081="","",IF(MATCH(R1081,$R$5:$R$100000,0)=ROW()-4,ROW(),""))</f>
        <v/>
      </c>
      <c r="T1081" s="9">
        <f>IF(Q1081="당기",ABS(P1081)+ROW()/1000000000,"")</f>
        <v/>
      </c>
      <c r="U1081" s="9">
        <f>IF(Q1081="비교",ABS(P1081)+ROW()/1000000000,"")</f>
        <v/>
      </c>
      <c r="V1081" s="39">
        <f>IF($A1081="","",IF(COUNTIF(변동분석!$E$7:$E$506,O1081)&gt;0,"Y","N"))</f>
        <v/>
      </c>
      <c r="W1081" s="39">
        <f>IF($A1081="","",IFERROR(INDEX(계정매핑!$D$5:$D$504,MATCH($F1081&amp;"",계정매핑!$A$5:$A$504,0)),"미매핑"))</f>
        <v/>
      </c>
      <c r="X1081" s="9">
        <f>IF($A1081="","",$F1081&amp;"")</f>
        <v/>
      </c>
    </row>
    <row r="1082">
      <c r="A1082" s="75" t="n">
        <v>2025</v>
      </c>
      <c r="B1082" s="75" t="n">
        <v>6</v>
      </c>
      <c r="C1082" s="75" t="inlineStr">
        <is>
          <t>5100001078</t>
        </is>
      </c>
      <c r="D1082" s="78" t="n">
        <v>45823</v>
      </c>
      <c r="E1082" s="75" t="inlineStr">
        <is>
          <t>KR</t>
        </is>
      </c>
      <c r="F1082" s="75" t="n">
        <v>62201000</v>
      </c>
      <c r="G1082" s="75" t="n">
        <v>1101</v>
      </c>
      <c r="H1082" s="76" t="n">
        <v>373000</v>
      </c>
      <c r="I1082" s="75" t="inlineStr">
        <is>
          <t>6월 통신요금 - O텔레콤</t>
        </is>
      </c>
      <c r="J1082" s="75" t="inlineStr">
        <is>
          <t>V10002</t>
        </is>
      </c>
      <c r="K1082" s="75" t="inlineStr">
        <is>
          <t>O텔레콤</t>
        </is>
      </c>
      <c r="M1082" s="9">
        <f>IF($A1082="","",VALUE($A1082&amp;"")*12+VALUE($B1082&amp;""))</f>
        <v/>
      </c>
      <c r="N1082" s="39">
        <f>IF($A1082="","",IFERROR(INDEX(부서매핑!$C$5:$C$504,MATCH($G1082&amp;"",부서매핑!$A$5:$A$504,0)),"미매핑"))</f>
        <v/>
      </c>
      <c r="O1082" s="9">
        <f>IF($A1082="","",N1082&amp;"|"&amp;$F1082)</f>
        <v/>
      </c>
      <c r="P1082" s="77">
        <f>IF($A1082="",0,$H1082*설정!$C$23)</f>
        <v/>
      </c>
      <c r="Q1082" s="39">
        <f>IF($A1082="","",IF(O1082&lt;&gt;원인분석!$C$9,"",IF(AND(M1082&gt;=원인분석!$C$10,M1082&lt;=원인분석!$C$11),"당기",IF(AND(M1082&gt;=원인분석!$C$12,M1082&lt;=원인분석!$C$13),"비교",""))))</f>
        <v/>
      </c>
      <c r="R1082" s="9">
        <f>IF(Q1082="","",$K1082&amp;"")</f>
        <v/>
      </c>
      <c r="S1082" s="9">
        <f>IF(Q1082="","",IF(MATCH(R1082,$R$5:$R$100000,0)=ROW()-4,ROW(),""))</f>
        <v/>
      </c>
      <c r="T1082" s="9">
        <f>IF(Q1082="당기",ABS(P1082)+ROW()/1000000000,"")</f>
        <v/>
      </c>
      <c r="U1082" s="9">
        <f>IF(Q1082="비교",ABS(P1082)+ROW()/1000000000,"")</f>
        <v/>
      </c>
      <c r="V1082" s="39">
        <f>IF($A1082="","",IF(COUNTIF(변동분석!$E$7:$E$506,O1082)&gt;0,"Y","N"))</f>
        <v/>
      </c>
      <c r="W1082" s="39">
        <f>IF($A1082="","",IFERROR(INDEX(계정매핑!$D$5:$D$504,MATCH($F1082&amp;"",계정매핑!$A$5:$A$504,0)),"미매핑"))</f>
        <v/>
      </c>
      <c r="X1082" s="9">
        <f>IF($A1082="","",$F1082&amp;"")</f>
        <v/>
      </c>
    </row>
    <row r="1083">
      <c r="A1083" s="75" t="n">
        <v>2025</v>
      </c>
      <c r="B1083" s="75" t="n">
        <v>6</v>
      </c>
      <c r="C1083" s="75" t="inlineStr">
        <is>
          <t>5100001079</t>
        </is>
      </c>
      <c r="D1083" s="78" t="n">
        <v>45823</v>
      </c>
      <c r="E1083" s="75" t="inlineStr">
        <is>
          <t>KR</t>
        </is>
      </c>
      <c r="F1083" s="75" t="n">
        <v>62301000</v>
      </c>
      <c r="G1083" s="75" t="n">
        <v>1201</v>
      </c>
      <c r="H1083" s="76" t="n">
        <v>139000</v>
      </c>
      <c r="I1083" s="75" t="inlineStr">
        <is>
          <t>6월 소모품 구입 - R문구</t>
        </is>
      </c>
      <c r="J1083" s="75" t="inlineStr">
        <is>
          <t>V10018</t>
        </is>
      </c>
      <c r="K1083" s="75" t="inlineStr">
        <is>
          <t>R문구</t>
        </is>
      </c>
      <c r="M1083" s="9">
        <f>IF($A1083="","",VALUE($A1083&amp;"")*12+VALUE($B1083&amp;""))</f>
        <v/>
      </c>
      <c r="N1083" s="39">
        <f>IF($A1083="","",IFERROR(INDEX(부서매핑!$C$5:$C$504,MATCH($G1083&amp;"",부서매핑!$A$5:$A$504,0)),"미매핑"))</f>
        <v/>
      </c>
      <c r="O1083" s="9">
        <f>IF($A1083="","",N1083&amp;"|"&amp;$F1083)</f>
        <v/>
      </c>
      <c r="P1083" s="77">
        <f>IF($A1083="",0,$H1083*설정!$C$23)</f>
        <v/>
      </c>
      <c r="Q1083" s="39">
        <f>IF($A1083="","",IF(O1083&lt;&gt;원인분석!$C$9,"",IF(AND(M1083&gt;=원인분석!$C$10,M1083&lt;=원인분석!$C$11),"당기",IF(AND(M1083&gt;=원인분석!$C$12,M1083&lt;=원인분석!$C$13),"비교",""))))</f>
        <v/>
      </c>
      <c r="R1083" s="9">
        <f>IF(Q1083="","",$K1083&amp;"")</f>
        <v/>
      </c>
      <c r="S1083" s="9">
        <f>IF(Q1083="","",IF(MATCH(R1083,$R$5:$R$100000,0)=ROW()-4,ROW(),""))</f>
        <v/>
      </c>
      <c r="T1083" s="9">
        <f>IF(Q1083="당기",ABS(P1083)+ROW()/1000000000,"")</f>
        <v/>
      </c>
      <c r="U1083" s="9">
        <f>IF(Q1083="비교",ABS(P1083)+ROW()/1000000000,"")</f>
        <v/>
      </c>
      <c r="V1083" s="39">
        <f>IF($A1083="","",IF(COUNTIF(변동분석!$E$7:$E$506,O1083)&gt;0,"Y","N"))</f>
        <v/>
      </c>
      <c r="W1083" s="39">
        <f>IF($A1083="","",IFERROR(INDEX(계정매핑!$D$5:$D$504,MATCH($F1083&amp;"",계정매핑!$A$5:$A$504,0)),"미매핑"))</f>
        <v/>
      </c>
      <c r="X1083" s="9">
        <f>IF($A1083="","",$F1083&amp;"")</f>
        <v/>
      </c>
    </row>
    <row r="1084">
      <c r="A1084" s="75" t="n">
        <v>2025</v>
      </c>
      <c r="B1084" s="75" t="n">
        <v>6</v>
      </c>
      <c r="C1084" s="75" t="inlineStr">
        <is>
          <t>5100001080</t>
        </is>
      </c>
      <c r="D1084" s="78" t="n">
        <v>45823</v>
      </c>
      <c r="E1084" s="75" t="inlineStr">
        <is>
          <t>KR</t>
        </is>
      </c>
      <c r="F1084" s="75" t="n">
        <v>62301000</v>
      </c>
      <c r="G1084" s="75" t="n">
        <v>1301</v>
      </c>
      <c r="H1084" s="76" t="n">
        <v>170000</v>
      </c>
      <c r="I1084" s="75" t="inlineStr">
        <is>
          <t>6월 소모품 구입 - R문구</t>
        </is>
      </c>
      <c r="J1084" s="75" t="inlineStr">
        <is>
          <t>V10018</t>
        </is>
      </c>
      <c r="K1084" s="75" t="inlineStr">
        <is>
          <t>R문구</t>
        </is>
      </c>
      <c r="M1084" s="9">
        <f>IF($A1084="","",VALUE($A1084&amp;"")*12+VALUE($B1084&amp;""))</f>
        <v/>
      </c>
      <c r="N1084" s="39">
        <f>IF($A1084="","",IFERROR(INDEX(부서매핑!$C$5:$C$504,MATCH($G1084&amp;"",부서매핑!$A$5:$A$504,0)),"미매핑"))</f>
        <v/>
      </c>
      <c r="O1084" s="9">
        <f>IF($A1084="","",N1084&amp;"|"&amp;$F1084)</f>
        <v/>
      </c>
      <c r="P1084" s="77">
        <f>IF($A1084="",0,$H1084*설정!$C$23)</f>
        <v/>
      </c>
      <c r="Q1084" s="39">
        <f>IF($A1084="","",IF(O1084&lt;&gt;원인분석!$C$9,"",IF(AND(M1084&gt;=원인분석!$C$10,M1084&lt;=원인분석!$C$11),"당기",IF(AND(M1084&gt;=원인분석!$C$12,M1084&lt;=원인분석!$C$13),"비교",""))))</f>
        <v/>
      </c>
      <c r="R1084" s="9">
        <f>IF(Q1084="","",$K1084&amp;"")</f>
        <v/>
      </c>
      <c r="S1084" s="9">
        <f>IF(Q1084="","",IF(MATCH(R1084,$R$5:$R$100000,0)=ROW()-4,ROW(),""))</f>
        <v/>
      </c>
      <c r="T1084" s="9">
        <f>IF(Q1084="당기",ABS(P1084)+ROW()/1000000000,"")</f>
        <v/>
      </c>
      <c r="U1084" s="9">
        <f>IF(Q1084="비교",ABS(P1084)+ROW()/1000000000,"")</f>
        <v/>
      </c>
      <c r="V1084" s="39">
        <f>IF($A1084="","",IF(COUNTIF(변동분석!$E$7:$E$506,O1084)&gt;0,"Y","N"))</f>
        <v/>
      </c>
      <c r="W1084" s="39">
        <f>IF($A1084="","",IFERROR(INDEX(계정매핑!$D$5:$D$504,MATCH($F1084&amp;"",계정매핑!$A$5:$A$504,0)),"미매핑"))</f>
        <v/>
      </c>
      <c r="X1084" s="9">
        <f>IF($A1084="","",$F1084&amp;"")</f>
        <v/>
      </c>
    </row>
    <row r="1085">
      <c r="A1085" s="75" t="n">
        <v>2025</v>
      </c>
      <c r="B1085" s="75" t="n">
        <v>6</v>
      </c>
      <c r="C1085" s="75" t="inlineStr">
        <is>
          <t>5100001081</t>
        </is>
      </c>
      <c r="D1085" s="78" t="n">
        <v>45823</v>
      </c>
      <c r="E1085" s="75" t="inlineStr">
        <is>
          <t>KR</t>
        </is>
      </c>
      <c r="F1085" s="75" t="n">
        <v>62902000</v>
      </c>
      <c r="G1085" s="75" t="n">
        <v>1101</v>
      </c>
      <c r="H1085" s="76" t="n">
        <v>1293000</v>
      </c>
      <c r="I1085" s="75" t="inlineStr">
        <is>
          <t>6월 업무 위탁 수수료 - J콜센터</t>
        </is>
      </c>
      <c r="J1085" s="75" t="inlineStr">
        <is>
          <t>V10013</t>
        </is>
      </c>
      <c r="K1085" s="75" t="inlineStr">
        <is>
          <t>J콜센터</t>
        </is>
      </c>
      <c r="M1085" s="9">
        <f>IF($A1085="","",VALUE($A1085&amp;"")*12+VALUE($B1085&amp;""))</f>
        <v/>
      </c>
      <c r="N1085" s="39">
        <f>IF($A1085="","",IFERROR(INDEX(부서매핑!$C$5:$C$504,MATCH($G1085&amp;"",부서매핑!$A$5:$A$504,0)),"미매핑"))</f>
        <v/>
      </c>
      <c r="O1085" s="9">
        <f>IF($A1085="","",N1085&amp;"|"&amp;$F1085)</f>
        <v/>
      </c>
      <c r="P1085" s="77">
        <f>IF($A1085="",0,$H1085*설정!$C$23)</f>
        <v/>
      </c>
      <c r="Q1085" s="39">
        <f>IF($A1085="","",IF(O1085&lt;&gt;원인분석!$C$9,"",IF(AND(M1085&gt;=원인분석!$C$10,M1085&lt;=원인분석!$C$11),"당기",IF(AND(M1085&gt;=원인분석!$C$12,M1085&lt;=원인분석!$C$13),"비교",""))))</f>
        <v/>
      </c>
      <c r="R1085" s="9">
        <f>IF(Q1085="","",$K1085&amp;"")</f>
        <v/>
      </c>
      <c r="S1085" s="9">
        <f>IF(Q1085="","",IF(MATCH(R1085,$R$5:$R$100000,0)=ROW()-4,ROW(),""))</f>
        <v/>
      </c>
      <c r="T1085" s="9">
        <f>IF(Q1085="당기",ABS(P1085)+ROW()/1000000000,"")</f>
        <v/>
      </c>
      <c r="U1085" s="9">
        <f>IF(Q1085="비교",ABS(P1085)+ROW()/1000000000,"")</f>
        <v/>
      </c>
      <c r="V1085" s="39">
        <f>IF($A1085="","",IF(COUNTIF(변동분석!$E$7:$E$506,O1085)&gt;0,"Y","N"))</f>
        <v/>
      </c>
      <c r="W1085" s="39">
        <f>IF($A1085="","",IFERROR(INDEX(계정매핑!$D$5:$D$504,MATCH($F1085&amp;"",계정매핑!$A$5:$A$504,0)),"미매핑"))</f>
        <v/>
      </c>
      <c r="X1085" s="9">
        <f>IF($A1085="","",$F1085&amp;"")</f>
        <v/>
      </c>
    </row>
    <row r="1086">
      <c r="A1086" s="75" t="n">
        <v>2025</v>
      </c>
      <c r="B1086" s="75" t="n">
        <v>6</v>
      </c>
      <c r="C1086" s="75" t="inlineStr">
        <is>
          <t>5100001082</t>
        </is>
      </c>
      <c r="D1086" s="78" t="n">
        <v>45823</v>
      </c>
      <c r="E1086" s="75" t="inlineStr">
        <is>
          <t>KR</t>
        </is>
      </c>
      <c r="F1086" s="75" t="n">
        <v>62902000</v>
      </c>
      <c r="G1086" s="75" t="n">
        <v>1101</v>
      </c>
      <c r="H1086" s="76" t="n">
        <v>2209000</v>
      </c>
      <c r="I1086" s="75" t="inlineStr">
        <is>
          <t>6월 업무 위탁 수수료 - J콜센터</t>
        </is>
      </c>
      <c r="J1086" s="75" t="inlineStr">
        <is>
          <t>V10013</t>
        </is>
      </c>
      <c r="K1086" s="75" t="inlineStr">
        <is>
          <t>J콜센터</t>
        </is>
      </c>
      <c r="M1086" s="9">
        <f>IF($A1086="","",VALUE($A1086&amp;"")*12+VALUE($B1086&amp;""))</f>
        <v/>
      </c>
      <c r="N1086" s="39">
        <f>IF($A1086="","",IFERROR(INDEX(부서매핑!$C$5:$C$504,MATCH($G1086&amp;"",부서매핑!$A$5:$A$504,0)),"미매핑"))</f>
        <v/>
      </c>
      <c r="O1086" s="9">
        <f>IF($A1086="","",N1086&amp;"|"&amp;$F1086)</f>
        <v/>
      </c>
      <c r="P1086" s="77">
        <f>IF($A1086="",0,$H1086*설정!$C$23)</f>
        <v/>
      </c>
      <c r="Q1086" s="39">
        <f>IF($A1086="","",IF(O1086&lt;&gt;원인분석!$C$9,"",IF(AND(M1086&gt;=원인분석!$C$10,M1086&lt;=원인분석!$C$11),"당기",IF(AND(M1086&gt;=원인분석!$C$12,M1086&lt;=원인분석!$C$13),"비교",""))))</f>
        <v/>
      </c>
      <c r="R1086" s="9">
        <f>IF(Q1086="","",$K1086&amp;"")</f>
        <v/>
      </c>
      <c r="S1086" s="9">
        <f>IF(Q1086="","",IF(MATCH(R1086,$R$5:$R$100000,0)=ROW()-4,ROW(),""))</f>
        <v/>
      </c>
      <c r="T1086" s="9">
        <f>IF(Q1086="당기",ABS(P1086)+ROW()/1000000000,"")</f>
        <v/>
      </c>
      <c r="U1086" s="9">
        <f>IF(Q1086="비교",ABS(P1086)+ROW()/1000000000,"")</f>
        <v/>
      </c>
      <c r="V1086" s="39">
        <f>IF($A1086="","",IF(COUNTIF(변동분석!$E$7:$E$506,O1086)&gt;0,"Y","N"))</f>
        <v/>
      </c>
      <c r="W1086" s="39">
        <f>IF($A1086="","",IFERROR(INDEX(계정매핑!$D$5:$D$504,MATCH($F1086&amp;"",계정매핑!$A$5:$A$504,0)),"미매핑"))</f>
        <v/>
      </c>
      <c r="X1086" s="9">
        <f>IF($A1086="","",$F1086&amp;"")</f>
        <v/>
      </c>
    </row>
    <row r="1087">
      <c r="A1087" s="75" t="n">
        <v>2025</v>
      </c>
      <c r="B1087" s="75" t="n">
        <v>6</v>
      </c>
      <c r="C1087" s="75" t="inlineStr">
        <is>
          <t>5100001083</t>
        </is>
      </c>
      <c r="D1087" s="78" t="n">
        <v>45823</v>
      </c>
      <c r="E1087" s="75" t="inlineStr">
        <is>
          <t>KR</t>
        </is>
      </c>
      <c r="F1087" s="75" t="n">
        <v>62902000</v>
      </c>
      <c r="G1087" s="75" t="n">
        <v>1201</v>
      </c>
      <c r="H1087" s="76" t="n">
        <v>2510000</v>
      </c>
      <c r="I1087" s="75" t="inlineStr">
        <is>
          <t>6월 업무 위탁 수수료 - J콜센터</t>
        </is>
      </c>
      <c r="J1087" s="75" t="inlineStr">
        <is>
          <t>V10013</t>
        </is>
      </c>
      <c r="K1087" s="75" t="inlineStr">
        <is>
          <t>J콜센터</t>
        </is>
      </c>
      <c r="M1087" s="9">
        <f>IF($A1087="","",VALUE($A1087&amp;"")*12+VALUE($B1087&amp;""))</f>
        <v/>
      </c>
      <c r="N1087" s="39">
        <f>IF($A1087="","",IFERROR(INDEX(부서매핑!$C$5:$C$504,MATCH($G1087&amp;"",부서매핑!$A$5:$A$504,0)),"미매핑"))</f>
        <v/>
      </c>
      <c r="O1087" s="9">
        <f>IF($A1087="","",N1087&amp;"|"&amp;$F1087)</f>
        <v/>
      </c>
      <c r="P1087" s="77">
        <f>IF($A1087="",0,$H1087*설정!$C$23)</f>
        <v/>
      </c>
      <c r="Q1087" s="39">
        <f>IF($A1087="","",IF(O1087&lt;&gt;원인분석!$C$9,"",IF(AND(M1087&gt;=원인분석!$C$10,M1087&lt;=원인분석!$C$11),"당기",IF(AND(M1087&gt;=원인분석!$C$12,M1087&lt;=원인분석!$C$13),"비교",""))))</f>
        <v/>
      </c>
      <c r="R1087" s="9">
        <f>IF(Q1087="","",$K1087&amp;"")</f>
        <v/>
      </c>
      <c r="S1087" s="9">
        <f>IF(Q1087="","",IF(MATCH(R1087,$R$5:$R$100000,0)=ROW()-4,ROW(),""))</f>
        <v/>
      </c>
      <c r="T1087" s="9">
        <f>IF(Q1087="당기",ABS(P1087)+ROW()/1000000000,"")</f>
        <v/>
      </c>
      <c r="U1087" s="9">
        <f>IF(Q1087="비교",ABS(P1087)+ROW()/1000000000,"")</f>
        <v/>
      </c>
      <c r="V1087" s="39">
        <f>IF($A1087="","",IF(COUNTIF(변동분석!$E$7:$E$506,O1087)&gt;0,"Y","N"))</f>
        <v/>
      </c>
      <c r="W1087" s="39">
        <f>IF($A1087="","",IFERROR(INDEX(계정매핑!$D$5:$D$504,MATCH($F1087&amp;"",계정매핑!$A$5:$A$504,0)),"미매핑"))</f>
        <v/>
      </c>
      <c r="X1087" s="9">
        <f>IF($A1087="","",$F1087&amp;"")</f>
        <v/>
      </c>
    </row>
    <row r="1088">
      <c r="A1088" s="75" t="n">
        <v>2025</v>
      </c>
      <c r="B1088" s="75" t="n">
        <v>6</v>
      </c>
      <c r="C1088" s="75" t="inlineStr">
        <is>
          <t>5100001084</t>
        </is>
      </c>
      <c r="D1088" s="78" t="n">
        <v>45823</v>
      </c>
      <c r="E1088" s="75" t="inlineStr">
        <is>
          <t>KR</t>
        </is>
      </c>
      <c r="F1088" s="75" t="n">
        <v>62902000</v>
      </c>
      <c r="G1088" s="75" t="n">
        <v>1801</v>
      </c>
      <c r="H1088" s="76" t="n">
        <v>3000000</v>
      </c>
      <c r="I1088" s="75" t="inlineStr">
        <is>
          <t>6월 업무 위탁 수수료 - X서비스</t>
        </is>
      </c>
      <c r="J1088" s="75" t="inlineStr">
        <is>
          <t>V10016</t>
        </is>
      </c>
      <c r="K1088" s="75" t="inlineStr">
        <is>
          <t>X서비스</t>
        </is>
      </c>
      <c r="M1088" s="9">
        <f>IF($A1088="","",VALUE($A1088&amp;"")*12+VALUE($B1088&amp;""))</f>
        <v/>
      </c>
      <c r="N1088" s="39">
        <f>IF($A1088="","",IFERROR(INDEX(부서매핑!$C$5:$C$504,MATCH($G1088&amp;"",부서매핑!$A$5:$A$504,0)),"미매핑"))</f>
        <v/>
      </c>
      <c r="O1088" s="9">
        <f>IF($A1088="","",N1088&amp;"|"&amp;$F1088)</f>
        <v/>
      </c>
      <c r="P1088" s="77">
        <f>IF($A1088="",0,$H1088*설정!$C$23)</f>
        <v/>
      </c>
      <c r="Q1088" s="39">
        <f>IF($A1088="","",IF(O1088&lt;&gt;원인분석!$C$9,"",IF(AND(M1088&gt;=원인분석!$C$10,M1088&lt;=원인분석!$C$11),"당기",IF(AND(M1088&gt;=원인분석!$C$12,M1088&lt;=원인분석!$C$13),"비교",""))))</f>
        <v/>
      </c>
      <c r="R1088" s="9">
        <f>IF(Q1088="","",$K1088&amp;"")</f>
        <v/>
      </c>
      <c r="S1088" s="9">
        <f>IF(Q1088="","",IF(MATCH(R1088,$R$5:$R$100000,0)=ROW()-4,ROW(),""))</f>
        <v/>
      </c>
      <c r="T1088" s="9">
        <f>IF(Q1088="당기",ABS(P1088)+ROW()/1000000000,"")</f>
        <v/>
      </c>
      <c r="U1088" s="9">
        <f>IF(Q1088="비교",ABS(P1088)+ROW()/1000000000,"")</f>
        <v/>
      </c>
      <c r="V1088" s="39">
        <f>IF($A1088="","",IF(COUNTIF(변동분석!$E$7:$E$506,O1088)&gt;0,"Y","N"))</f>
        <v/>
      </c>
      <c r="W1088" s="39">
        <f>IF($A1088="","",IFERROR(INDEX(계정매핑!$D$5:$D$504,MATCH($F1088&amp;"",계정매핑!$A$5:$A$504,0)),"미매핑"))</f>
        <v/>
      </c>
      <c r="X1088" s="9">
        <f>IF($A1088="","",$F1088&amp;"")</f>
        <v/>
      </c>
    </row>
    <row r="1089">
      <c r="A1089" s="75" t="n">
        <v>2025</v>
      </c>
      <c r="B1089" s="75" t="n">
        <v>6</v>
      </c>
      <c r="C1089" s="75" t="inlineStr">
        <is>
          <t>5100001085</t>
        </is>
      </c>
      <c r="D1089" s="78" t="n">
        <v>45824</v>
      </c>
      <c r="E1089" s="75" t="inlineStr">
        <is>
          <t>KR</t>
        </is>
      </c>
      <c r="F1089" s="75" t="n">
        <v>62101000</v>
      </c>
      <c r="G1089" s="75" t="n">
        <v>1201</v>
      </c>
      <c r="H1089" s="76" t="n">
        <v>266000</v>
      </c>
      <c r="I1089" s="75" t="inlineStr">
        <is>
          <t>6월 국내출장 - L여행사</t>
        </is>
      </c>
      <c r="J1089" s="75" t="inlineStr">
        <is>
          <t>V10014</t>
        </is>
      </c>
      <c r="K1089" s="75" t="inlineStr">
        <is>
          <t>L여행사</t>
        </is>
      </c>
      <c r="M1089" s="9">
        <f>IF($A1089="","",VALUE($A1089&amp;"")*12+VALUE($B1089&amp;""))</f>
        <v/>
      </c>
      <c r="N1089" s="39">
        <f>IF($A1089="","",IFERROR(INDEX(부서매핑!$C$5:$C$504,MATCH($G1089&amp;"",부서매핑!$A$5:$A$504,0)),"미매핑"))</f>
        <v/>
      </c>
      <c r="O1089" s="9">
        <f>IF($A1089="","",N1089&amp;"|"&amp;$F1089)</f>
        <v/>
      </c>
      <c r="P1089" s="77">
        <f>IF($A1089="",0,$H1089*설정!$C$23)</f>
        <v/>
      </c>
      <c r="Q1089" s="39">
        <f>IF($A1089="","",IF(O1089&lt;&gt;원인분석!$C$9,"",IF(AND(M1089&gt;=원인분석!$C$10,M1089&lt;=원인분석!$C$11),"당기",IF(AND(M1089&gt;=원인분석!$C$12,M1089&lt;=원인분석!$C$13),"비교",""))))</f>
        <v/>
      </c>
      <c r="R1089" s="9">
        <f>IF(Q1089="","",$K1089&amp;"")</f>
        <v/>
      </c>
      <c r="S1089" s="9">
        <f>IF(Q1089="","",IF(MATCH(R1089,$R$5:$R$100000,0)=ROW()-4,ROW(),""))</f>
        <v/>
      </c>
      <c r="T1089" s="9">
        <f>IF(Q1089="당기",ABS(P1089)+ROW()/1000000000,"")</f>
        <v/>
      </c>
      <c r="U1089" s="9">
        <f>IF(Q1089="비교",ABS(P1089)+ROW()/1000000000,"")</f>
        <v/>
      </c>
      <c r="V1089" s="39">
        <f>IF($A1089="","",IF(COUNTIF(변동분석!$E$7:$E$506,O1089)&gt;0,"Y","N"))</f>
        <v/>
      </c>
      <c r="W1089" s="39">
        <f>IF($A1089="","",IFERROR(INDEX(계정매핑!$D$5:$D$504,MATCH($F1089&amp;"",계정매핑!$A$5:$A$504,0)),"미매핑"))</f>
        <v/>
      </c>
      <c r="X1089" s="9">
        <f>IF($A1089="","",$F1089&amp;"")</f>
        <v/>
      </c>
    </row>
    <row r="1090">
      <c r="A1090" s="75" t="n">
        <v>2025</v>
      </c>
      <c r="B1090" s="75" t="n">
        <v>6</v>
      </c>
      <c r="C1090" s="75" t="inlineStr">
        <is>
          <t>5100001086</t>
        </is>
      </c>
      <c r="D1090" s="78" t="n">
        <v>45824</v>
      </c>
      <c r="E1090" s="75" t="inlineStr">
        <is>
          <t>KR</t>
        </is>
      </c>
      <c r="F1090" s="75" t="n">
        <v>62102000</v>
      </c>
      <c r="G1090" s="75" t="n">
        <v>1601</v>
      </c>
      <c r="H1090" s="76" t="n">
        <v>550000</v>
      </c>
      <c r="I1090" s="75" t="inlineStr">
        <is>
          <t>6월 해외출장 - M항공</t>
        </is>
      </c>
      <c r="J1090" s="75" t="inlineStr">
        <is>
          <t>V10001</t>
        </is>
      </c>
      <c r="K1090" s="75" t="inlineStr">
        <is>
          <t>M항공</t>
        </is>
      </c>
      <c r="M1090" s="9">
        <f>IF($A1090="","",VALUE($A1090&amp;"")*12+VALUE($B1090&amp;""))</f>
        <v/>
      </c>
      <c r="N1090" s="39">
        <f>IF($A1090="","",IFERROR(INDEX(부서매핑!$C$5:$C$504,MATCH($G1090&amp;"",부서매핑!$A$5:$A$504,0)),"미매핑"))</f>
        <v/>
      </c>
      <c r="O1090" s="9">
        <f>IF($A1090="","",N1090&amp;"|"&amp;$F1090)</f>
        <v/>
      </c>
      <c r="P1090" s="77">
        <f>IF($A1090="",0,$H1090*설정!$C$23)</f>
        <v/>
      </c>
      <c r="Q1090" s="39">
        <f>IF($A1090="","",IF(O1090&lt;&gt;원인분석!$C$9,"",IF(AND(M1090&gt;=원인분석!$C$10,M1090&lt;=원인분석!$C$11),"당기",IF(AND(M1090&gt;=원인분석!$C$12,M1090&lt;=원인분석!$C$13),"비교",""))))</f>
        <v/>
      </c>
      <c r="R1090" s="9">
        <f>IF(Q1090="","",$K1090&amp;"")</f>
        <v/>
      </c>
      <c r="S1090" s="9">
        <f>IF(Q1090="","",IF(MATCH(R1090,$R$5:$R$100000,0)=ROW()-4,ROW(),""))</f>
        <v/>
      </c>
      <c r="T1090" s="9">
        <f>IF(Q1090="당기",ABS(P1090)+ROW()/1000000000,"")</f>
        <v/>
      </c>
      <c r="U1090" s="9">
        <f>IF(Q1090="비교",ABS(P1090)+ROW()/1000000000,"")</f>
        <v/>
      </c>
      <c r="V1090" s="39">
        <f>IF($A1090="","",IF(COUNTIF(변동분석!$E$7:$E$506,O1090)&gt;0,"Y","N"))</f>
        <v/>
      </c>
      <c r="W1090" s="39">
        <f>IF($A1090="","",IFERROR(INDEX(계정매핑!$D$5:$D$504,MATCH($F1090&amp;"",계정매핑!$A$5:$A$504,0)),"미매핑"))</f>
        <v/>
      </c>
      <c r="X1090" s="9">
        <f>IF($A1090="","",$F1090&amp;"")</f>
        <v/>
      </c>
    </row>
    <row r="1091">
      <c r="A1091" s="75" t="n">
        <v>2025</v>
      </c>
      <c r="B1091" s="75" t="n">
        <v>6</v>
      </c>
      <c r="C1091" s="75" t="inlineStr">
        <is>
          <t>5100001087</t>
        </is>
      </c>
      <c r="D1091" s="78" t="n">
        <v>45824</v>
      </c>
      <c r="E1091" s="75" t="inlineStr">
        <is>
          <t>KR</t>
        </is>
      </c>
      <c r="F1091" s="75" t="n">
        <v>62801000</v>
      </c>
      <c r="G1091" s="75" t="n">
        <v>1301</v>
      </c>
      <c r="H1091" s="76" t="n">
        <v>3012000</v>
      </c>
      <c r="I1091" s="75" t="inlineStr">
        <is>
          <t>6월 사내교육 - (사내강사료)</t>
        </is>
      </c>
      <c r="J1091" s="75" t="inlineStr">
        <is>
          <t>V10020</t>
        </is>
      </c>
      <c r="K1091" s="75" t="inlineStr">
        <is>
          <t>(사내강사료)</t>
        </is>
      </c>
      <c r="M1091" s="9">
        <f>IF($A1091="","",VALUE($A1091&amp;"")*12+VALUE($B1091&amp;""))</f>
        <v/>
      </c>
      <c r="N1091" s="39">
        <f>IF($A1091="","",IFERROR(INDEX(부서매핑!$C$5:$C$504,MATCH($G1091&amp;"",부서매핑!$A$5:$A$504,0)),"미매핑"))</f>
        <v/>
      </c>
      <c r="O1091" s="9">
        <f>IF($A1091="","",N1091&amp;"|"&amp;$F1091)</f>
        <v/>
      </c>
      <c r="P1091" s="77">
        <f>IF($A1091="",0,$H1091*설정!$C$23)</f>
        <v/>
      </c>
      <c r="Q1091" s="39">
        <f>IF($A1091="","",IF(O1091&lt;&gt;원인분석!$C$9,"",IF(AND(M1091&gt;=원인분석!$C$10,M1091&lt;=원인분석!$C$11),"당기",IF(AND(M1091&gt;=원인분석!$C$12,M1091&lt;=원인분석!$C$13),"비교",""))))</f>
        <v/>
      </c>
      <c r="R1091" s="9">
        <f>IF(Q1091="","",$K1091&amp;"")</f>
        <v/>
      </c>
      <c r="S1091" s="9">
        <f>IF(Q1091="","",IF(MATCH(R1091,$R$5:$R$100000,0)=ROW()-4,ROW(),""))</f>
        <v/>
      </c>
      <c r="T1091" s="9">
        <f>IF(Q1091="당기",ABS(P1091)+ROW()/1000000000,"")</f>
        <v/>
      </c>
      <c r="U1091" s="9">
        <f>IF(Q1091="비교",ABS(P1091)+ROW()/1000000000,"")</f>
        <v/>
      </c>
      <c r="V1091" s="39">
        <f>IF($A1091="","",IF(COUNTIF(변동분석!$E$7:$E$506,O1091)&gt;0,"Y","N"))</f>
        <v/>
      </c>
      <c r="W1091" s="39">
        <f>IF($A1091="","",IFERROR(INDEX(계정매핑!$D$5:$D$504,MATCH($F1091&amp;"",계정매핑!$A$5:$A$504,0)),"미매핑"))</f>
        <v/>
      </c>
      <c r="X1091" s="9">
        <f>IF($A1091="","",$F1091&amp;"")</f>
        <v/>
      </c>
    </row>
    <row r="1092">
      <c r="A1092" s="75" t="n">
        <v>2025</v>
      </c>
      <c r="B1092" s="75" t="n">
        <v>6</v>
      </c>
      <c r="C1092" s="75" t="inlineStr">
        <is>
          <t>5100001088</t>
        </is>
      </c>
      <c r="D1092" s="78" t="n">
        <v>45824</v>
      </c>
      <c r="E1092" s="75" t="inlineStr">
        <is>
          <t>KR</t>
        </is>
      </c>
      <c r="F1092" s="75" t="n">
        <v>62802000</v>
      </c>
      <c r="G1092" s="75" t="n">
        <v>1301</v>
      </c>
      <c r="H1092" s="76" t="n">
        <v>3825000</v>
      </c>
      <c r="I1092" s="75" t="inlineStr">
        <is>
          <t>6월 위탁교육 - V아카데미</t>
        </is>
      </c>
      <c r="J1092" s="75" t="inlineStr">
        <is>
          <t>V10023</t>
        </is>
      </c>
      <c r="K1092" s="75" t="inlineStr">
        <is>
          <t>V아카데미</t>
        </is>
      </c>
      <c r="M1092" s="9">
        <f>IF($A1092="","",VALUE($A1092&amp;"")*12+VALUE($B1092&amp;""))</f>
        <v/>
      </c>
      <c r="N1092" s="39">
        <f>IF($A1092="","",IFERROR(INDEX(부서매핑!$C$5:$C$504,MATCH($G1092&amp;"",부서매핑!$A$5:$A$504,0)),"미매핑"))</f>
        <v/>
      </c>
      <c r="O1092" s="9">
        <f>IF($A1092="","",N1092&amp;"|"&amp;$F1092)</f>
        <v/>
      </c>
      <c r="P1092" s="77">
        <f>IF($A1092="",0,$H1092*설정!$C$23)</f>
        <v/>
      </c>
      <c r="Q1092" s="39">
        <f>IF($A1092="","",IF(O1092&lt;&gt;원인분석!$C$9,"",IF(AND(M1092&gt;=원인분석!$C$10,M1092&lt;=원인분석!$C$11),"당기",IF(AND(M1092&gt;=원인분석!$C$12,M1092&lt;=원인분석!$C$13),"비교",""))))</f>
        <v/>
      </c>
      <c r="R1092" s="9">
        <f>IF(Q1092="","",$K1092&amp;"")</f>
        <v/>
      </c>
      <c r="S1092" s="9">
        <f>IF(Q1092="","",IF(MATCH(R1092,$R$5:$R$100000,0)=ROW()-4,ROW(),""))</f>
        <v/>
      </c>
      <c r="T1092" s="9">
        <f>IF(Q1092="당기",ABS(P1092)+ROW()/1000000000,"")</f>
        <v/>
      </c>
      <c r="U1092" s="9">
        <f>IF(Q1092="비교",ABS(P1092)+ROW()/1000000000,"")</f>
        <v/>
      </c>
      <c r="V1092" s="39">
        <f>IF($A1092="","",IF(COUNTIF(변동분석!$E$7:$E$506,O1092)&gt;0,"Y","N"))</f>
        <v/>
      </c>
      <c r="W1092" s="39">
        <f>IF($A1092="","",IFERROR(INDEX(계정매핑!$D$5:$D$504,MATCH($F1092&amp;"",계정매핑!$A$5:$A$504,0)),"미매핑"))</f>
        <v/>
      </c>
      <c r="X1092" s="9">
        <f>IF($A1092="","",$F1092&amp;"")</f>
        <v/>
      </c>
    </row>
    <row r="1093">
      <c r="A1093" s="75" t="n">
        <v>2025</v>
      </c>
      <c r="B1093" s="75" t="n">
        <v>6</v>
      </c>
      <c r="C1093" s="75" t="inlineStr">
        <is>
          <t>5100001089</t>
        </is>
      </c>
      <c r="D1093" s="78" t="n">
        <v>45824</v>
      </c>
      <c r="E1093" s="75" t="inlineStr">
        <is>
          <t>KR</t>
        </is>
      </c>
      <c r="F1093" s="75" t="n">
        <v>62902000</v>
      </c>
      <c r="G1093" s="75" t="n">
        <v>1401</v>
      </c>
      <c r="H1093" s="76" t="n">
        <v>2112000</v>
      </c>
      <c r="I1093" s="75" t="inlineStr">
        <is>
          <t>6월 업무 위탁 수수료 - J콜센터</t>
        </is>
      </c>
      <c r="J1093" s="75" t="inlineStr">
        <is>
          <t>V10013</t>
        </is>
      </c>
      <c r="K1093" s="75" t="inlineStr">
        <is>
          <t>J콜센터</t>
        </is>
      </c>
      <c r="M1093" s="9">
        <f>IF($A1093="","",VALUE($A1093&amp;"")*12+VALUE($B1093&amp;""))</f>
        <v/>
      </c>
      <c r="N1093" s="39">
        <f>IF($A1093="","",IFERROR(INDEX(부서매핑!$C$5:$C$504,MATCH($G1093&amp;"",부서매핑!$A$5:$A$504,0)),"미매핑"))</f>
        <v/>
      </c>
      <c r="O1093" s="9">
        <f>IF($A1093="","",N1093&amp;"|"&amp;$F1093)</f>
        <v/>
      </c>
      <c r="P1093" s="77">
        <f>IF($A1093="",0,$H1093*설정!$C$23)</f>
        <v/>
      </c>
      <c r="Q1093" s="39">
        <f>IF($A1093="","",IF(O1093&lt;&gt;원인분석!$C$9,"",IF(AND(M1093&gt;=원인분석!$C$10,M1093&lt;=원인분석!$C$11),"당기",IF(AND(M1093&gt;=원인분석!$C$12,M1093&lt;=원인분석!$C$13),"비교",""))))</f>
        <v/>
      </c>
      <c r="R1093" s="9">
        <f>IF(Q1093="","",$K1093&amp;"")</f>
        <v/>
      </c>
      <c r="S1093" s="9">
        <f>IF(Q1093="","",IF(MATCH(R1093,$R$5:$R$100000,0)=ROW()-4,ROW(),""))</f>
        <v/>
      </c>
      <c r="T1093" s="9">
        <f>IF(Q1093="당기",ABS(P1093)+ROW()/1000000000,"")</f>
        <v/>
      </c>
      <c r="U1093" s="9">
        <f>IF(Q1093="비교",ABS(P1093)+ROW()/1000000000,"")</f>
        <v/>
      </c>
      <c r="V1093" s="39">
        <f>IF($A1093="","",IF(COUNTIF(변동분석!$E$7:$E$506,O1093)&gt;0,"Y","N"))</f>
        <v/>
      </c>
      <c r="W1093" s="39">
        <f>IF($A1093="","",IFERROR(INDEX(계정매핑!$D$5:$D$504,MATCH($F1093&amp;"",계정매핑!$A$5:$A$504,0)),"미매핑"))</f>
        <v/>
      </c>
      <c r="X1093" s="9">
        <f>IF($A1093="","",$F1093&amp;"")</f>
        <v/>
      </c>
    </row>
    <row r="1094">
      <c r="A1094" s="75" t="n">
        <v>2025</v>
      </c>
      <c r="B1094" s="75" t="n">
        <v>6</v>
      </c>
      <c r="C1094" s="75" t="inlineStr">
        <is>
          <t>5100001090</t>
        </is>
      </c>
      <c r="D1094" s="78" t="n">
        <v>45825</v>
      </c>
      <c r="E1094" s="75" t="inlineStr">
        <is>
          <t>KR</t>
        </is>
      </c>
      <c r="F1094" s="75" t="n">
        <v>62201000</v>
      </c>
      <c r="G1094" s="75" t="n">
        <v>1301</v>
      </c>
      <c r="H1094" s="76" t="n">
        <v>283000</v>
      </c>
      <c r="I1094" s="75" t="inlineStr">
        <is>
          <t>6월 통신요금 - P통신</t>
        </is>
      </c>
      <c r="J1094" s="75" t="inlineStr">
        <is>
          <t>V10011</t>
        </is>
      </c>
      <c r="K1094" s="75" t="inlineStr">
        <is>
          <t>P통신</t>
        </is>
      </c>
      <c r="M1094" s="9">
        <f>IF($A1094="","",VALUE($A1094&amp;"")*12+VALUE($B1094&amp;""))</f>
        <v/>
      </c>
      <c r="N1094" s="39">
        <f>IF($A1094="","",IFERROR(INDEX(부서매핑!$C$5:$C$504,MATCH($G1094&amp;"",부서매핑!$A$5:$A$504,0)),"미매핑"))</f>
        <v/>
      </c>
      <c r="O1094" s="9">
        <f>IF($A1094="","",N1094&amp;"|"&amp;$F1094)</f>
        <v/>
      </c>
      <c r="P1094" s="77">
        <f>IF($A1094="",0,$H1094*설정!$C$23)</f>
        <v/>
      </c>
      <c r="Q1094" s="39">
        <f>IF($A1094="","",IF(O1094&lt;&gt;원인분석!$C$9,"",IF(AND(M1094&gt;=원인분석!$C$10,M1094&lt;=원인분석!$C$11),"당기",IF(AND(M1094&gt;=원인분석!$C$12,M1094&lt;=원인분석!$C$13),"비교",""))))</f>
        <v/>
      </c>
      <c r="R1094" s="9">
        <f>IF(Q1094="","",$K1094&amp;"")</f>
        <v/>
      </c>
      <c r="S1094" s="9">
        <f>IF(Q1094="","",IF(MATCH(R1094,$R$5:$R$100000,0)=ROW()-4,ROW(),""))</f>
        <v/>
      </c>
      <c r="T1094" s="9">
        <f>IF(Q1094="당기",ABS(P1094)+ROW()/1000000000,"")</f>
        <v/>
      </c>
      <c r="U1094" s="9">
        <f>IF(Q1094="비교",ABS(P1094)+ROW()/1000000000,"")</f>
        <v/>
      </c>
      <c r="V1094" s="39">
        <f>IF($A1094="","",IF(COUNTIF(변동분석!$E$7:$E$506,O1094)&gt;0,"Y","N"))</f>
        <v/>
      </c>
      <c r="W1094" s="39">
        <f>IF($A1094="","",IFERROR(INDEX(계정매핑!$D$5:$D$504,MATCH($F1094&amp;"",계정매핑!$A$5:$A$504,0)),"미매핑"))</f>
        <v/>
      </c>
      <c r="X1094" s="9">
        <f>IF($A1094="","",$F1094&amp;"")</f>
        <v/>
      </c>
    </row>
    <row r="1095">
      <c r="A1095" s="75" t="n">
        <v>2025</v>
      </c>
      <c r="B1095" s="75" t="n">
        <v>6</v>
      </c>
      <c r="C1095" s="75" t="inlineStr">
        <is>
          <t>5100001091</t>
        </is>
      </c>
      <c r="D1095" s="78" t="n">
        <v>45825</v>
      </c>
      <c r="E1095" s="75" t="inlineStr">
        <is>
          <t>KR</t>
        </is>
      </c>
      <c r="F1095" s="75" t="n">
        <v>62401000</v>
      </c>
      <c r="G1095" s="75" t="n">
        <v>1401</v>
      </c>
      <c r="H1095" s="76" t="n">
        <v>160000</v>
      </c>
      <c r="I1095" s="75" t="inlineStr">
        <is>
          <t>6월 인쇄물 제작 - G인쇄</t>
        </is>
      </c>
      <c r="J1095" s="75" t="inlineStr">
        <is>
          <t>V10004</t>
        </is>
      </c>
      <c r="K1095" s="75" t="inlineStr">
        <is>
          <t>G인쇄</t>
        </is>
      </c>
      <c r="M1095" s="9">
        <f>IF($A1095="","",VALUE($A1095&amp;"")*12+VALUE($B1095&amp;""))</f>
        <v/>
      </c>
      <c r="N1095" s="39">
        <f>IF($A1095="","",IFERROR(INDEX(부서매핑!$C$5:$C$504,MATCH($G1095&amp;"",부서매핑!$A$5:$A$504,0)),"미매핑"))</f>
        <v/>
      </c>
      <c r="O1095" s="9">
        <f>IF($A1095="","",N1095&amp;"|"&amp;$F1095)</f>
        <v/>
      </c>
      <c r="P1095" s="77">
        <f>IF($A1095="",0,$H1095*설정!$C$23)</f>
        <v/>
      </c>
      <c r="Q1095" s="39">
        <f>IF($A1095="","",IF(O1095&lt;&gt;원인분석!$C$9,"",IF(AND(M1095&gt;=원인분석!$C$10,M1095&lt;=원인분석!$C$11),"당기",IF(AND(M1095&gt;=원인분석!$C$12,M1095&lt;=원인분석!$C$13),"비교",""))))</f>
        <v/>
      </c>
      <c r="R1095" s="9">
        <f>IF(Q1095="","",$K1095&amp;"")</f>
        <v/>
      </c>
      <c r="S1095" s="9">
        <f>IF(Q1095="","",IF(MATCH(R1095,$R$5:$R$100000,0)=ROW()-4,ROW(),""))</f>
        <v/>
      </c>
      <c r="T1095" s="9">
        <f>IF(Q1095="당기",ABS(P1095)+ROW()/1000000000,"")</f>
        <v/>
      </c>
      <c r="U1095" s="9">
        <f>IF(Q1095="비교",ABS(P1095)+ROW()/1000000000,"")</f>
        <v/>
      </c>
      <c r="V1095" s="39">
        <f>IF($A1095="","",IF(COUNTIF(변동분석!$E$7:$E$506,O1095)&gt;0,"Y","N"))</f>
        <v/>
      </c>
      <c r="W1095" s="39">
        <f>IF($A1095="","",IFERROR(INDEX(계정매핑!$D$5:$D$504,MATCH($F1095&amp;"",계정매핑!$A$5:$A$504,0)),"미매핑"))</f>
        <v/>
      </c>
      <c r="X1095" s="9">
        <f>IF($A1095="","",$F1095&amp;"")</f>
        <v/>
      </c>
    </row>
    <row r="1096">
      <c r="A1096" s="75" t="n">
        <v>2025</v>
      </c>
      <c r="B1096" s="75" t="n">
        <v>6</v>
      </c>
      <c r="C1096" s="75" t="inlineStr">
        <is>
          <t>5100001092</t>
        </is>
      </c>
      <c r="D1096" s="78" t="n">
        <v>45825</v>
      </c>
      <c r="E1096" s="75" t="inlineStr">
        <is>
          <t>KR</t>
        </is>
      </c>
      <c r="F1096" s="75" t="n">
        <v>62501000</v>
      </c>
      <c r="G1096" s="75" t="n">
        <v>1301</v>
      </c>
      <c r="H1096" s="76" t="n">
        <v>215000</v>
      </c>
      <c r="I1096" s="75" t="inlineStr">
        <is>
          <t>6월 회의 다과 - (법인카드)</t>
        </is>
      </c>
      <c r="J1096" s="75" t="inlineStr">
        <is>
          <t>V10008</t>
        </is>
      </c>
      <c r="K1096" s="75" t="inlineStr">
        <is>
          <t>(법인카드)</t>
        </is>
      </c>
      <c r="M1096" s="9">
        <f>IF($A1096="","",VALUE($A1096&amp;"")*12+VALUE($B1096&amp;""))</f>
        <v/>
      </c>
      <c r="N1096" s="39">
        <f>IF($A1096="","",IFERROR(INDEX(부서매핑!$C$5:$C$504,MATCH($G1096&amp;"",부서매핑!$A$5:$A$504,0)),"미매핑"))</f>
        <v/>
      </c>
      <c r="O1096" s="9">
        <f>IF($A1096="","",N1096&amp;"|"&amp;$F1096)</f>
        <v/>
      </c>
      <c r="P1096" s="77">
        <f>IF($A1096="",0,$H1096*설정!$C$23)</f>
        <v/>
      </c>
      <c r="Q1096" s="39">
        <f>IF($A1096="","",IF(O1096&lt;&gt;원인분석!$C$9,"",IF(AND(M1096&gt;=원인분석!$C$10,M1096&lt;=원인분석!$C$11),"당기",IF(AND(M1096&gt;=원인분석!$C$12,M1096&lt;=원인분석!$C$13),"비교",""))))</f>
        <v/>
      </c>
      <c r="R1096" s="9">
        <f>IF(Q1096="","",$K1096&amp;"")</f>
        <v/>
      </c>
      <c r="S1096" s="9">
        <f>IF(Q1096="","",IF(MATCH(R1096,$R$5:$R$100000,0)=ROW()-4,ROW(),""))</f>
        <v/>
      </c>
      <c r="T1096" s="9">
        <f>IF(Q1096="당기",ABS(P1096)+ROW()/1000000000,"")</f>
        <v/>
      </c>
      <c r="U1096" s="9">
        <f>IF(Q1096="비교",ABS(P1096)+ROW()/1000000000,"")</f>
        <v/>
      </c>
      <c r="V1096" s="39">
        <f>IF($A1096="","",IF(COUNTIF(변동분석!$E$7:$E$506,O1096)&gt;0,"Y","N"))</f>
        <v/>
      </c>
      <c r="W1096" s="39">
        <f>IF($A1096="","",IFERROR(INDEX(계정매핑!$D$5:$D$504,MATCH($F1096&amp;"",계정매핑!$A$5:$A$504,0)),"미매핑"))</f>
        <v/>
      </c>
      <c r="X1096" s="9">
        <f>IF($A1096="","",$F1096&amp;"")</f>
        <v/>
      </c>
    </row>
    <row r="1097">
      <c r="A1097" s="75" t="n">
        <v>2025</v>
      </c>
      <c r="B1097" s="75" t="n">
        <v>6</v>
      </c>
      <c r="C1097" s="75" t="inlineStr">
        <is>
          <t>5100001093</t>
        </is>
      </c>
      <c r="D1097" s="78" t="n">
        <v>45825</v>
      </c>
      <c r="E1097" s="75" t="inlineStr">
        <is>
          <t>KR</t>
        </is>
      </c>
      <c r="F1097" s="75" t="n">
        <v>62902000</v>
      </c>
      <c r="G1097" s="75" t="n">
        <v>1801</v>
      </c>
      <c r="H1097" s="76" t="n">
        <v>1849000</v>
      </c>
      <c r="I1097" s="75" t="inlineStr">
        <is>
          <t>6월 콜 위탁 수수료(건별)</t>
        </is>
      </c>
      <c r="J1097" s="75" t="inlineStr">
        <is>
          <t>V10013</t>
        </is>
      </c>
      <c r="K1097" s="75" t="inlineStr">
        <is>
          <t>J콜센터</t>
        </is>
      </c>
      <c r="M1097" s="9">
        <f>IF($A1097="","",VALUE($A1097&amp;"")*12+VALUE($B1097&amp;""))</f>
        <v/>
      </c>
      <c r="N1097" s="39">
        <f>IF($A1097="","",IFERROR(INDEX(부서매핑!$C$5:$C$504,MATCH($G1097&amp;"",부서매핑!$A$5:$A$504,0)),"미매핑"))</f>
        <v/>
      </c>
      <c r="O1097" s="9">
        <f>IF($A1097="","",N1097&amp;"|"&amp;$F1097)</f>
        <v/>
      </c>
      <c r="P1097" s="77">
        <f>IF($A1097="",0,$H1097*설정!$C$23)</f>
        <v/>
      </c>
      <c r="Q1097" s="39">
        <f>IF($A1097="","",IF(O1097&lt;&gt;원인분석!$C$9,"",IF(AND(M1097&gt;=원인분석!$C$10,M1097&lt;=원인분석!$C$11),"당기",IF(AND(M1097&gt;=원인분석!$C$12,M1097&lt;=원인분석!$C$13),"비교",""))))</f>
        <v/>
      </c>
      <c r="R1097" s="9">
        <f>IF(Q1097="","",$K1097&amp;"")</f>
        <v/>
      </c>
      <c r="S1097" s="9">
        <f>IF(Q1097="","",IF(MATCH(R1097,$R$5:$R$100000,0)=ROW()-4,ROW(),""))</f>
        <v/>
      </c>
      <c r="T1097" s="9">
        <f>IF(Q1097="당기",ABS(P1097)+ROW()/1000000000,"")</f>
        <v/>
      </c>
      <c r="U1097" s="9">
        <f>IF(Q1097="비교",ABS(P1097)+ROW()/1000000000,"")</f>
        <v/>
      </c>
      <c r="V1097" s="39">
        <f>IF($A1097="","",IF(COUNTIF(변동분석!$E$7:$E$506,O1097)&gt;0,"Y","N"))</f>
        <v/>
      </c>
      <c r="W1097" s="39">
        <f>IF($A1097="","",IFERROR(INDEX(계정매핑!$D$5:$D$504,MATCH($F1097&amp;"",계정매핑!$A$5:$A$504,0)),"미매핑"))</f>
        <v/>
      </c>
      <c r="X1097" s="9">
        <f>IF($A1097="","",$F1097&amp;"")</f>
        <v/>
      </c>
    </row>
    <row r="1098">
      <c r="A1098" s="75" t="n">
        <v>2025</v>
      </c>
      <c r="B1098" s="75" t="n">
        <v>6</v>
      </c>
      <c r="C1098" s="75" t="inlineStr">
        <is>
          <t>5100001094</t>
        </is>
      </c>
      <c r="D1098" s="78" t="n">
        <v>45825</v>
      </c>
      <c r="E1098" s="75" t="inlineStr">
        <is>
          <t>KR</t>
        </is>
      </c>
      <c r="F1098" s="75" t="n">
        <v>63001000</v>
      </c>
      <c r="G1098" s="75" t="n">
        <v>1701</v>
      </c>
      <c r="H1098" s="76" t="n">
        <v>28541000</v>
      </c>
      <c r="I1098" s="75" t="inlineStr">
        <is>
          <t>6월 SW 유지보수 - Z시스템</t>
        </is>
      </c>
      <c r="J1098" s="75" t="inlineStr">
        <is>
          <t>V10021</t>
        </is>
      </c>
      <c r="K1098" s="75" t="inlineStr">
        <is>
          <t>Z시스템</t>
        </is>
      </c>
      <c r="M1098" s="9">
        <f>IF($A1098="","",VALUE($A1098&amp;"")*12+VALUE($B1098&amp;""))</f>
        <v/>
      </c>
      <c r="N1098" s="39">
        <f>IF($A1098="","",IFERROR(INDEX(부서매핑!$C$5:$C$504,MATCH($G1098&amp;"",부서매핑!$A$5:$A$504,0)),"미매핑"))</f>
        <v/>
      </c>
      <c r="O1098" s="9">
        <f>IF($A1098="","",N1098&amp;"|"&amp;$F1098)</f>
        <v/>
      </c>
      <c r="P1098" s="77">
        <f>IF($A1098="",0,$H1098*설정!$C$23)</f>
        <v/>
      </c>
      <c r="Q1098" s="39">
        <f>IF($A1098="","",IF(O1098&lt;&gt;원인분석!$C$9,"",IF(AND(M1098&gt;=원인분석!$C$10,M1098&lt;=원인분석!$C$11),"당기",IF(AND(M1098&gt;=원인분석!$C$12,M1098&lt;=원인분석!$C$13),"비교",""))))</f>
        <v/>
      </c>
      <c r="R1098" s="9">
        <f>IF(Q1098="","",$K1098&amp;"")</f>
        <v/>
      </c>
      <c r="S1098" s="9">
        <f>IF(Q1098="","",IF(MATCH(R1098,$R$5:$R$100000,0)=ROW()-4,ROW(),""))</f>
        <v/>
      </c>
      <c r="T1098" s="9">
        <f>IF(Q1098="당기",ABS(P1098)+ROW()/1000000000,"")</f>
        <v/>
      </c>
      <c r="U1098" s="9">
        <f>IF(Q1098="비교",ABS(P1098)+ROW()/1000000000,"")</f>
        <v/>
      </c>
      <c r="V1098" s="39">
        <f>IF($A1098="","",IF(COUNTIF(변동분석!$E$7:$E$506,O1098)&gt;0,"Y","N"))</f>
        <v/>
      </c>
      <c r="W1098" s="39">
        <f>IF($A1098="","",IFERROR(INDEX(계정매핑!$D$5:$D$504,MATCH($F1098&amp;"",계정매핑!$A$5:$A$504,0)),"미매핑"))</f>
        <v/>
      </c>
      <c r="X1098" s="9">
        <f>IF($A1098="","",$F1098&amp;"")</f>
        <v/>
      </c>
    </row>
    <row r="1099">
      <c r="A1099" s="75" t="n">
        <v>2025</v>
      </c>
      <c r="B1099" s="75" t="n">
        <v>6</v>
      </c>
      <c r="C1099" s="75" t="inlineStr">
        <is>
          <t>5100001095</t>
        </is>
      </c>
      <c r="D1099" s="78" t="n">
        <v>45826</v>
      </c>
      <c r="E1099" s="75" t="inlineStr">
        <is>
          <t>KR</t>
        </is>
      </c>
      <c r="F1099" s="75" t="n">
        <v>62101000</v>
      </c>
      <c r="G1099" s="75" t="n">
        <v>1301</v>
      </c>
      <c r="H1099" s="76" t="n">
        <v>308000</v>
      </c>
      <c r="I1099" s="75" t="inlineStr">
        <is>
          <t>6월 국내출장 - (법인카드)</t>
        </is>
      </c>
      <c r="J1099" s="75" t="inlineStr">
        <is>
          <t>V10008</t>
        </is>
      </c>
      <c r="K1099" s="75" t="inlineStr">
        <is>
          <t>(법인카드)</t>
        </is>
      </c>
      <c r="M1099" s="9">
        <f>IF($A1099="","",VALUE($A1099&amp;"")*12+VALUE($B1099&amp;""))</f>
        <v/>
      </c>
      <c r="N1099" s="39">
        <f>IF($A1099="","",IFERROR(INDEX(부서매핑!$C$5:$C$504,MATCH($G1099&amp;"",부서매핑!$A$5:$A$504,0)),"미매핑"))</f>
        <v/>
      </c>
      <c r="O1099" s="9">
        <f>IF($A1099="","",N1099&amp;"|"&amp;$F1099)</f>
        <v/>
      </c>
      <c r="P1099" s="77">
        <f>IF($A1099="",0,$H1099*설정!$C$23)</f>
        <v/>
      </c>
      <c r="Q1099" s="39">
        <f>IF($A1099="","",IF(O1099&lt;&gt;원인분석!$C$9,"",IF(AND(M1099&gt;=원인분석!$C$10,M1099&lt;=원인분석!$C$11),"당기",IF(AND(M1099&gt;=원인분석!$C$12,M1099&lt;=원인분석!$C$13),"비교",""))))</f>
        <v/>
      </c>
      <c r="R1099" s="9">
        <f>IF(Q1099="","",$K1099&amp;"")</f>
        <v/>
      </c>
      <c r="S1099" s="9">
        <f>IF(Q1099="","",IF(MATCH(R1099,$R$5:$R$100000,0)=ROW()-4,ROW(),""))</f>
        <v/>
      </c>
      <c r="T1099" s="9">
        <f>IF(Q1099="당기",ABS(P1099)+ROW()/1000000000,"")</f>
        <v/>
      </c>
      <c r="U1099" s="9">
        <f>IF(Q1099="비교",ABS(P1099)+ROW()/1000000000,"")</f>
        <v/>
      </c>
      <c r="V1099" s="39">
        <f>IF($A1099="","",IF(COUNTIF(변동분석!$E$7:$E$506,O1099)&gt;0,"Y","N"))</f>
        <v/>
      </c>
      <c r="W1099" s="39">
        <f>IF($A1099="","",IFERROR(INDEX(계정매핑!$D$5:$D$504,MATCH($F1099&amp;"",계정매핑!$A$5:$A$504,0)),"미매핑"))</f>
        <v/>
      </c>
      <c r="X1099" s="9">
        <f>IF($A1099="","",$F1099&amp;"")</f>
        <v/>
      </c>
    </row>
    <row r="1100">
      <c r="A1100" s="75" t="n">
        <v>2025</v>
      </c>
      <c r="B1100" s="75" t="n">
        <v>6</v>
      </c>
      <c r="C1100" s="75" t="inlineStr">
        <is>
          <t>5100001096</t>
        </is>
      </c>
      <c r="D1100" s="78" t="n">
        <v>45826</v>
      </c>
      <c r="E1100" s="75" t="inlineStr">
        <is>
          <t>KR</t>
        </is>
      </c>
      <c r="F1100" s="75" t="n">
        <v>62102000</v>
      </c>
      <c r="G1100" s="75" t="n">
        <v>1301</v>
      </c>
      <c r="H1100" s="76" t="n">
        <v>51000</v>
      </c>
      <c r="I1100" s="75" t="inlineStr">
        <is>
          <t>6월 해외출장 - M항공</t>
        </is>
      </c>
      <c r="J1100" s="75" t="inlineStr">
        <is>
          <t>V10001</t>
        </is>
      </c>
      <c r="K1100" s="75" t="inlineStr">
        <is>
          <t>M항공</t>
        </is>
      </c>
      <c r="M1100" s="9">
        <f>IF($A1100="","",VALUE($A1100&amp;"")*12+VALUE($B1100&amp;""))</f>
        <v/>
      </c>
      <c r="N1100" s="39">
        <f>IF($A1100="","",IFERROR(INDEX(부서매핑!$C$5:$C$504,MATCH($G1100&amp;"",부서매핑!$A$5:$A$504,0)),"미매핑"))</f>
        <v/>
      </c>
      <c r="O1100" s="9">
        <f>IF($A1100="","",N1100&amp;"|"&amp;$F1100)</f>
        <v/>
      </c>
      <c r="P1100" s="77">
        <f>IF($A1100="",0,$H1100*설정!$C$23)</f>
        <v/>
      </c>
      <c r="Q1100" s="39">
        <f>IF($A1100="","",IF(O1100&lt;&gt;원인분석!$C$9,"",IF(AND(M1100&gt;=원인분석!$C$10,M1100&lt;=원인분석!$C$11),"당기",IF(AND(M1100&gt;=원인분석!$C$12,M1100&lt;=원인분석!$C$13),"비교",""))))</f>
        <v/>
      </c>
      <c r="R1100" s="9">
        <f>IF(Q1100="","",$K1100&amp;"")</f>
        <v/>
      </c>
      <c r="S1100" s="9">
        <f>IF(Q1100="","",IF(MATCH(R1100,$R$5:$R$100000,0)=ROW()-4,ROW(),""))</f>
        <v/>
      </c>
      <c r="T1100" s="9">
        <f>IF(Q1100="당기",ABS(P1100)+ROW()/1000000000,"")</f>
        <v/>
      </c>
      <c r="U1100" s="9">
        <f>IF(Q1100="비교",ABS(P1100)+ROW()/1000000000,"")</f>
        <v/>
      </c>
      <c r="V1100" s="39">
        <f>IF($A1100="","",IF(COUNTIF(변동분석!$E$7:$E$506,O1100)&gt;0,"Y","N"))</f>
        <v/>
      </c>
      <c r="W1100" s="39">
        <f>IF($A1100="","",IFERROR(INDEX(계정매핑!$D$5:$D$504,MATCH($F1100&amp;"",계정매핑!$A$5:$A$504,0)),"미매핑"))</f>
        <v/>
      </c>
      <c r="X1100" s="9">
        <f>IF($A1100="","",$F1100&amp;"")</f>
        <v/>
      </c>
    </row>
    <row r="1101">
      <c r="A1101" s="75" t="n">
        <v>2025</v>
      </c>
      <c r="B1101" s="75" t="n">
        <v>6</v>
      </c>
      <c r="C1101" s="75" t="inlineStr">
        <is>
          <t>5100001097</t>
        </is>
      </c>
      <c r="D1101" s="78" t="n">
        <v>45826</v>
      </c>
      <c r="E1101" s="75" t="inlineStr">
        <is>
          <t>KR</t>
        </is>
      </c>
      <c r="F1101" s="75" t="n">
        <v>62201000</v>
      </c>
      <c r="G1101" s="75" t="n">
        <v>1301</v>
      </c>
      <c r="H1101" s="76" t="n">
        <v>247000</v>
      </c>
      <c r="I1101" s="75" t="inlineStr">
        <is>
          <t>6월 통신요금 - O텔레콤</t>
        </is>
      </c>
      <c r="J1101" s="75" t="inlineStr">
        <is>
          <t>V10002</t>
        </is>
      </c>
      <c r="K1101" s="75" t="inlineStr">
        <is>
          <t>O텔레콤</t>
        </is>
      </c>
      <c r="M1101" s="9">
        <f>IF($A1101="","",VALUE($A1101&amp;"")*12+VALUE($B1101&amp;""))</f>
        <v/>
      </c>
      <c r="N1101" s="39">
        <f>IF($A1101="","",IFERROR(INDEX(부서매핑!$C$5:$C$504,MATCH($G1101&amp;"",부서매핑!$A$5:$A$504,0)),"미매핑"))</f>
        <v/>
      </c>
      <c r="O1101" s="9">
        <f>IF($A1101="","",N1101&amp;"|"&amp;$F1101)</f>
        <v/>
      </c>
      <c r="P1101" s="77">
        <f>IF($A1101="",0,$H1101*설정!$C$23)</f>
        <v/>
      </c>
      <c r="Q1101" s="39">
        <f>IF($A1101="","",IF(O1101&lt;&gt;원인분석!$C$9,"",IF(AND(M1101&gt;=원인분석!$C$10,M1101&lt;=원인분석!$C$11),"당기",IF(AND(M1101&gt;=원인분석!$C$12,M1101&lt;=원인분석!$C$13),"비교",""))))</f>
        <v/>
      </c>
      <c r="R1101" s="9">
        <f>IF(Q1101="","",$K1101&amp;"")</f>
        <v/>
      </c>
      <c r="S1101" s="9">
        <f>IF(Q1101="","",IF(MATCH(R1101,$R$5:$R$100000,0)=ROW()-4,ROW(),""))</f>
        <v/>
      </c>
      <c r="T1101" s="9">
        <f>IF(Q1101="당기",ABS(P1101)+ROW()/1000000000,"")</f>
        <v/>
      </c>
      <c r="U1101" s="9">
        <f>IF(Q1101="비교",ABS(P1101)+ROW()/1000000000,"")</f>
        <v/>
      </c>
      <c r="V1101" s="39">
        <f>IF($A1101="","",IF(COUNTIF(변동분석!$E$7:$E$506,O1101)&gt;0,"Y","N"))</f>
        <v/>
      </c>
      <c r="W1101" s="39">
        <f>IF($A1101="","",IFERROR(INDEX(계정매핑!$D$5:$D$504,MATCH($F1101&amp;"",계정매핑!$A$5:$A$504,0)),"미매핑"))</f>
        <v/>
      </c>
      <c r="X1101" s="9">
        <f>IF($A1101="","",$F1101&amp;"")</f>
        <v/>
      </c>
    </row>
    <row r="1102">
      <c r="A1102" s="75" t="n">
        <v>2025</v>
      </c>
      <c r="B1102" s="75" t="n">
        <v>6</v>
      </c>
      <c r="C1102" s="75" t="inlineStr">
        <is>
          <t>5100001098</t>
        </is>
      </c>
      <c r="D1102" s="78" t="n">
        <v>45826</v>
      </c>
      <c r="E1102" s="75" t="inlineStr">
        <is>
          <t>KR</t>
        </is>
      </c>
      <c r="F1102" s="75" t="n">
        <v>62902000</v>
      </c>
      <c r="G1102" s="75" t="n">
        <v>1101</v>
      </c>
      <c r="H1102" s="76" t="n">
        <v>2217000</v>
      </c>
      <c r="I1102" s="75" t="inlineStr">
        <is>
          <t>6월 업무 위탁 수수료 - X서비스</t>
        </is>
      </c>
      <c r="J1102" s="75" t="inlineStr">
        <is>
          <t>V10016</t>
        </is>
      </c>
      <c r="K1102" s="75" t="inlineStr">
        <is>
          <t>X서비스</t>
        </is>
      </c>
      <c r="M1102" s="9">
        <f>IF($A1102="","",VALUE($A1102&amp;"")*12+VALUE($B1102&amp;""))</f>
        <v/>
      </c>
      <c r="N1102" s="39">
        <f>IF($A1102="","",IFERROR(INDEX(부서매핑!$C$5:$C$504,MATCH($G1102&amp;"",부서매핑!$A$5:$A$504,0)),"미매핑"))</f>
        <v/>
      </c>
      <c r="O1102" s="9">
        <f>IF($A1102="","",N1102&amp;"|"&amp;$F1102)</f>
        <v/>
      </c>
      <c r="P1102" s="77">
        <f>IF($A1102="",0,$H1102*설정!$C$23)</f>
        <v/>
      </c>
      <c r="Q1102" s="39">
        <f>IF($A1102="","",IF(O1102&lt;&gt;원인분석!$C$9,"",IF(AND(M1102&gt;=원인분석!$C$10,M1102&lt;=원인분석!$C$11),"당기",IF(AND(M1102&gt;=원인분석!$C$12,M1102&lt;=원인분석!$C$13),"비교",""))))</f>
        <v/>
      </c>
      <c r="R1102" s="9">
        <f>IF(Q1102="","",$K1102&amp;"")</f>
        <v/>
      </c>
      <c r="S1102" s="9">
        <f>IF(Q1102="","",IF(MATCH(R1102,$R$5:$R$100000,0)=ROW()-4,ROW(),""))</f>
        <v/>
      </c>
      <c r="T1102" s="9">
        <f>IF(Q1102="당기",ABS(P1102)+ROW()/1000000000,"")</f>
        <v/>
      </c>
      <c r="U1102" s="9">
        <f>IF(Q1102="비교",ABS(P1102)+ROW()/1000000000,"")</f>
        <v/>
      </c>
      <c r="V1102" s="39">
        <f>IF($A1102="","",IF(COUNTIF(변동분석!$E$7:$E$506,O1102)&gt;0,"Y","N"))</f>
        <v/>
      </c>
      <c r="W1102" s="39">
        <f>IF($A1102="","",IFERROR(INDEX(계정매핑!$D$5:$D$504,MATCH($F1102&amp;"",계정매핑!$A$5:$A$504,0)),"미매핑"))</f>
        <v/>
      </c>
      <c r="X1102" s="9">
        <f>IF($A1102="","",$F1102&amp;"")</f>
        <v/>
      </c>
    </row>
    <row r="1103">
      <c r="A1103" s="75" t="n">
        <v>2025</v>
      </c>
      <c r="B1103" s="75" t="n">
        <v>6</v>
      </c>
      <c r="C1103" s="75" t="inlineStr">
        <is>
          <t>5100001099</t>
        </is>
      </c>
      <c r="D1103" s="78" t="n">
        <v>45826</v>
      </c>
      <c r="E1103" s="75" t="inlineStr">
        <is>
          <t>KR</t>
        </is>
      </c>
      <c r="F1103" s="75" t="n">
        <v>63101000</v>
      </c>
      <c r="G1103" s="75" t="n">
        <v>1601</v>
      </c>
      <c r="H1103" s="76" t="n">
        <v>5770000</v>
      </c>
      <c r="I1103" s="75" t="inlineStr">
        <is>
          <t>6월 사무실 임차료 - AA빌딩</t>
        </is>
      </c>
      <c r="J1103" s="75" t="inlineStr">
        <is>
          <t>V10006</t>
        </is>
      </c>
      <c r="K1103" s="75" t="inlineStr">
        <is>
          <t>AA빌딩</t>
        </is>
      </c>
      <c r="M1103" s="9">
        <f>IF($A1103="","",VALUE($A1103&amp;"")*12+VALUE($B1103&amp;""))</f>
        <v/>
      </c>
      <c r="N1103" s="39">
        <f>IF($A1103="","",IFERROR(INDEX(부서매핑!$C$5:$C$504,MATCH($G1103&amp;"",부서매핑!$A$5:$A$504,0)),"미매핑"))</f>
        <v/>
      </c>
      <c r="O1103" s="9">
        <f>IF($A1103="","",N1103&amp;"|"&amp;$F1103)</f>
        <v/>
      </c>
      <c r="P1103" s="77">
        <f>IF($A1103="",0,$H1103*설정!$C$23)</f>
        <v/>
      </c>
      <c r="Q1103" s="39">
        <f>IF($A1103="","",IF(O1103&lt;&gt;원인분석!$C$9,"",IF(AND(M1103&gt;=원인분석!$C$10,M1103&lt;=원인분석!$C$11),"당기",IF(AND(M1103&gt;=원인분석!$C$12,M1103&lt;=원인분석!$C$13),"비교",""))))</f>
        <v/>
      </c>
      <c r="R1103" s="9">
        <f>IF(Q1103="","",$K1103&amp;"")</f>
        <v/>
      </c>
      <c r="S1103" s="9">
        <f>IF(Q1103="","",IF(MATCH(R1103,$R$5:$R$100000,0)=ROW()-4,ROW(),""))</f>
        <v/>
      </c>
      <c r="T1103" s="9">
        <f>IF(Q1103="당기",ABS(P1103)+ROW()/1000000000,"")</f>
        <v/>
      </c>
      <c r="U1103" s="9">
        <f>IF(Q1103="비교",ABS(P1103)+ROW()/1000000000,"")</f>
        <v/>
      </c>
      <c r="V1103" s="39">
        <f>IF($A1103="","",IF(COUNTIF(변동분석!$E$7:$E$506,O1103)&gt;0,"Y","N"))</f>
        <v/>
      </c>
      <c r="W1103" s="39">
        <f>IF($A1103="","",IFERROR(INDEX(계정매핑!$D$5:$D$504,MATCH($F1103&amp;"",계정매핑!$A$5:$A$504,0)),"미매핑"))</f>
        <v/>
      </c>
      <c r="X1103" s="9">
        <f>IF($A1103="","",$F1103&amp;"")</f>
        <v/>
      </c>
    </row>
    <row r="1104">
      <c r="A1104" s="75" t="n">
        <v>2025</v>
      </c>
      <c r="B1104" s="75" t="n">
        <v>6</v>
      </c>
      <c r="C1104" s="75" t="inlineStr">
        <is>
          <t>5100001100</t>
        </is>
      </c>
      <c r="D1104" s="78" t="n">
        <v>45827</v>
      </c>
      <c r="E1104" s="75" t="inlineStr">
        <is>
          <t>KR</t>
        </is>
      </c>
      <c r="F1104" s="75" t="n">
        <v>62102000</v>
      </c>
      <c r="G1104" s="75" t="n">
        <v>1501</v>
      </c>
      <c r="H1104" s="76" t="n">
        <v>92000</v>
      </c>
      <c r="I1104" s="75" t="inlineStr">
        <is>
          <t>6월 해외출장 - M항공</t>
        </is>
      </c>
      <c r="J1104" s="75" t="inlineStr">
        <is>
          <t>V10001</t>
        </is>
      </c>
      <c r="K1104" s="75" t="inlineStr">
        <is>
          <t>M항공</t>
        </is>
      </c>
      <c r="M1104" s="9">
        <f>IF($A1104="","",VALUE($A1104&amp;"")*12+VALUE($B1104&amp;""))</f>
        <v/>
      </c>
      <c r="N1104" s="39">
        <f>IF($A1104="","",IFERROR(INDEX(부서매핑!$C$5:$C$504,MATCH($G1104&amp;"",부서매핑!$A$5:$A$504,0)),"미매핑"))</f>
        <v/>
      </c>
      <c r="O1104" s="9">
        <f>IF($A1104="","",N1104&amp;"|"&amp;$F1104)</f>
        <v/>
      </c>
      <c r="P1104" s="77">
        <f>IF($A1104="",0,$H1104*설정!$C$23)</f>
        <v/>
      </c>
      <c r="Q1104" s="39">
        <f>IF($A1104="","",IF(O1104&lt;&gt;원인분석!$C$9,"",IF(AND(M1104&gt;=원인분석!$C$10,M1104&lt;=원인분석!$C$11),"당기",IF(AND(M1104&gt;=원인분석!$C$12,M1104&lt;=원인분석!$C$13),"비교",""))))</f>
        <v/>
      </c>
      <c r="R1104" s="9">
        <f>IF(Q1104="","",$K1104&amp;"")</f>
        <v/>
      </c>
      <c r="S1104" s="9">
        <f>IF(Q1104="","",IF(MATCH(R1104,$R$5:$R$100000,0)=ROW()-4,ROW(),""))</f>
        <v/>
      </c>
      <c r="T1104" s="9">
        <f>IF(Q1104="당기",ABS(P1104)+ROW()/1000000000,"")</f>
        <v/>
      </c>
      <c r="U1104" s="9">
        <f>IF(Q1104="비교",ABS(P1104)+ROW()/1000000000,"")</f>
        <v/>
      </c>
      <c r="V1104" s="39">
        <f>IF($A1104="","",IF(COUNTIF(변동분석!$E$7:$E$506,O1104)&gt;0,"Y","N"))</f>
        <v/>
      </c>
      <c r="W1104" s="39">
        <f>IF($A1104="","",IFERROR(INDEX(계정매핑!$D$5:$D$504,MATCH($F1104&amp;"",계정매핑!$A$5:$A$504,0)),"미매핑"))</f>
        <v/>
      </c>
      <c r="X1104" s="9">
        <f>IF($A1104="","",$F1104&amp;"")</f>
        <v/>
      </c>
    </row>
    <row r="1105">
      <c r="A1105" s="75" t="n">
        <v>2025</v>
      </c>
      <c r="B1105" s="75" t="n">
        <v>6</v>
      </c>
      <c r="C1105" s="75" t="inlineStr">
        <is>
          <t>5100001101</t>
        </is>
      </c>
      <c r="D1105" s="78" t="n">
        <v>45827</v>
      </c>
      <c r="E1105" s="75" t="inlineStr">
        <is>
          <t>KR</t>
        </is>
      </c>
      <c r="F1105" s="75" t="n">
        <v>62102000</v>
      </c>
      <c r="G1105" s="75" t="n">
        <v>1701</v>
      </c>
      <c r="H1105" s="76" t="n">
        <v>54000</v>
      </c>
      <c r="I1105" s="75" t="inlineStr">
        <is>
          <t>6월 해외출장 - N호텔</t>
        </is>
      </c>
      <c r="J1105" s="75" t="inlineStr">
        <is>
          <t>V10007</t>
        </is>
      </c>
      <c r="K1105" s="75" t="inlineStr">
        <is>
          <t>N호텔</t>
        </is>
      </c>
      <c r="M1105" s="9">
        <f>IF($A1105="","",VALUE($A1105&amp;"")*12+VALUE($B1105&amp;""))</f>
        <v/>
      </c>
      <c r="N1105" s="39">
        <f>IF($A1105="","",IFERROR(INDEX(부서매핑!$C$5:$C$504,MATCH($G1105&amp;"",부서매핑!$A$5:$A$504,0)),"미매핑"))</f>
        <v/>
      </c>
      <c r="O1105" s="9">
        <f>IF($A1105="","",N1105&amp;"|"&amp;$F1105)</f>
        <v/>
      </c>
      <c r="P1105" s="77">
        <f>IF($A1105="",0,$H1105*설정!$C$23)</f>
        <v/>
      </c>
      <c r="Q1105" s="39">
        <f>IF($A1105="","",IF(O1105&lt;&gt;원인분석!$C$9,"",IF(AND(M1105&gt;=원인분석!$C$10,M1105&lt;=원인분석!$C$11),"당기",IF(AND(M1105&gt;=원인분석!$C$12,M1105&lt;=원인분석!$C$13),"비교",""))))</f>
        <v/>
      </c>
      <c r="R1105" s="9">
        <f>IF(Q1105="","",$K1105&amp;"")</f>
        <v/>
      </c>
      <c r="S1105" s="9">
        <f>IF(Q1105="","",IF(MATCH(R1105,$R$5:$R$100000,0)=ROW()-4,ROW(),""))</f>
        <v/>
      </c>
      <c r="T1105" s="9">
        <f>IF(Q1105="당기",ABS(P1105)+ROW()/1000000000,"")</f>
        <v/>
      </c>
      <c r="U1105" s="9">
        <f>IF(Q1105="비교",ABS(P1105)+ROW()/1000000000,"")</f>
        <v/>
      </c>
      <c r="V1105" s="39">
        <f>IF($A1105="","",IF(COUNTIF(변동분석!$E$7:$E$506,O1105)&gt;0,"Y","N"))</f>
        <v/>
      </c>
      <c r="W1105" s="39">
        <f>IF($A1105="","",IFERROR(INDEX(계정매핑!$D$5:$D$504,MATCH($F1105&amp;"",계정매핑!$A$5:$A$504,0)),"미매핑"))</f>
        <v/>
      </c>
      <c r="X1105" s="9">
        <f>IF($A1105="","",$F1105&amp;"")</f>
        <v/>
      </c>
    </row>
    <row r="1106">
      <c r="A1106" s="75" t="n">
        <v>2025</v>
      </c>
      <c r="B1106" s="75" t="n">
        <v>6</v>
      </c>
      <c r="C1106" s="75" t="inlineStr">
        <is>
          <t>5100001102</t>
        </is>
      </c>
      <c r="D1106" s="78" t="n">
        <v>45827</v>
      </c>
      <c r="E1106" s="75" t="inlineStr">
        <is>
          <t>KR</t>
        </is>
      </c>
      <c r="F1106" s="75" t="n">
        <v>62301000</v>
      </c>
      <c r="G1106" s="75" t="n">
        <v>1201</v>
      </c>
      <c r="H1106" s="76" t="n">
        <v>151000</v>
      </c>
      <c r="I1106" s="75" t="inlineStr">
        <is>
          <t>6월 소모품 구입 - Q오피스</t>
        </is>
      </c>
      <c r="J1106" s="75" t="inlineStr">
        <is>
          <t>V10003</t>
        </is>
      </c>
      <c r="K1106" s="75" t="inlineStr">
        <is>
          <t>Q오피스</t>
        </is>
      </c>
      <c r="M1106" s="9">
        <f>IF($A1106="","",VALUE($A1106&amp;"")*12+VALUE($B1106&amp;""))</f>
        <v/>
      </c>
      <c r="N1106" s="39">
        <f>IF($A1106="","",IFERROR(INDEX(부서매핑!$C$5:$C$504,MATCH($G1106&amp;"",부서매핑!$A$5:$A$504,0)),"미매핑"))</f>
        <v/>
      </c>
      <c r="O1106" s="9">
        <f>IF($A1106="","",N1106&amp;"|"&amp;$F1106)</f>
        <v/>
      </c>
      <c r="P1106" s="77">
        <f>IF($A1106="",0,$H1106*설정!$C$23)</f>
        <v/>
      </c>
      <c r="Q1106" s="39">
        <f>IF($A1106="","",IF(O1106&lt;&gt;원인분석!$C$9,"",IF(AND(M1106&gt;=원인분석!$C$10,M1106&lt;=원인분석!$C$11),"당기",IF(AND(M1106&gt;=원인분석!$C$12,M1106&lt;=원인분석!$C$13),"비교",""))))</f>
        <v/>
      </c>
      <c r="R1106" s="9">
        <f>IF(Q1106="","",$K1106&amp;"")</f>
        <v/>
      </c>
      <c r="S1106" s="9">
        <f>IF(Q1106="","",IF(MATCH(R1106,$R$5:$R$100000,0)=ROW()-4,ROW(),""))</f>
        <v/>
      </c>
      <c r="T1106" s="9">
        <f>IF(Q1106="당기",ABS(P1106)+ROW()/1000000000,"")</f>
        <v/>
      </c>
      <c r="U1106" s="9">
        <f>IF(Q1106="비교",ABS(P1106)+ROW()/1000000000,"")</f>
        <v/>
      </c>
      <c r="V1106" s="39">
        <f>IF($A1106="","",IF(COUNTIF(변동분석!$E$7:$E$506,O1106)&gt;0,"Y","N"))</f>
        <v/>
      </c>
      <c r="W1106" s="39">
        <f>IF($A1106="","",IFERROR(INDEX(계정매핑!$D$5:$D$504,MATCH($F1106&amp;"",계정매핑!$A$5:$A$504,0)),"미매핑"))</f>
        <v/>
      </c>
      <c r="X1106" s="9">
        <f>IF($A1106="","",$F1106&amp;"")</f>
        <v/>
      </c>
    </row>
    <row r="1107">
      <c r="A1107" s="75" t="n">
        <v>2025</v>
      </c>
      <c r="B1107" s="75" t="n">
        <v>6</v>
      </c>
      <c r="C1107" s="75" t="inlineStr">
        <is>
          <t>5100001103</t>
        </is>
      </c>
      <c r="D1107" s="78" t="n">
        <v>45827</v>
      </c>
      <c r="E1107" s="75" t="inlineStr">
        <is>
          <t>KR</t>
        </is>
      </c>
      <c r="F1107" s="75" t="n">
        <v>62501000</v>
      </c>
      <c r="G1107" s="75" t="n">
        <v>1401</v>
      </c>
      <c r="H1107" s="76" t="n">
        <v>135000</v>
      </c>
      <c r="I1107" s="75" t="inlineStr">
        <is>
          <t>6월 회의 다과 - (법인카드)</t>
        </is>
      </c>
      <c r="J1107" s="75" t="inlineStr">
        <is>
          <t>V10008</t>
        </is>
      </c>
      <c r="K1107" s="75" t="inlineStr">
        <is>
          <t>(법인카드)</t>
        </is>
      </c>
      <c r="M1107" s="9">
        <f>IF($A1107="","",VALUE($A1107&amp;"")*12+VALUE($B1107&amp;""))</f>
        <v/>
      </c>
      <c r="N1107" s="39">
        <f>IF($A1107="","",IFERROR(INDEX(부서매핑!$C$5:$C$504,MATCH($G1107&amp;"",부서매핑!$A$5:$A$504,0)),"미매핑"))</f>
        <v/>
      </c>
      <c r="O1107" s="9">
        <f>IF($A1107="","",N1107&amp;"|"&amp;$F1107)</f>
        <v/>
      </c>
      <c r="P1107" s="77">
        <f>IF($A1107="",0,$H1107*설정!$C$23)</f>
        <v/>
      </c>
      <c r="Q1107" s="39">
        <f>IF($A1107="","",IF(O1107&lt;&gt;원인분석!$C$9,"",IF(AND(M1107&gt;=원인분석!$C$10,M1107&lt;=원인분석!$C$11),"당기",IF(AND(M1107&gt;=원인분석!$C$12,M1107&lt;=원인분석!$C$13),"비교",""))))</f>
        <v/>
      </c>
      <c r="R1107" s="9">
        <f>IF(Q1107="","",$K1107&amp;"")</f>
        <v/>
      </c>
      <c r="S1107" s="9">
        <f>IF(Q1107="","",IF(MATCH(R1107,$R$5:$R$100000,0)=ROW()-4,ROW(),""))</f>
        <v/>
      </c>
      <c r="T1107" s="9">
        <f>IF(Q1107="당기",ABS(P1107)+ROW()/1000000000,"")</f>
        <v/>
      </c>
      <c r="U1107" s="9">
        <f>IF(Q1107="비교",ABS(P1107)+ROW()/1000000000,"")</f>
        <v/>
      </c>
      <c r="V1107" s="39">
        <f>IF($A1107="","",IF(COUNTIF(변동분석!$E$7:$E$506,O1107)&gt;0,"Y","N"))</f>
        <v/>
      </c>
      <c r="W1107" s="39">
        <f>IF($A1107="","",IFERROR(INDEX(계정매핑!$D$5:$D$504,MATCH($F1107&amp;"",계정매핑!$A$5:$A$504,0)),"미매핑"))</f>
        <v/>
      </c>
      <c r="X1107" s="9">
        <f>IF($A1107="","",$F1107&amp;"")</f>
        <v/>
      </c>
    </row>
    <row r="1108">
      <c r="A1108" s="75" t="n">
        <v>2025</v>
      </c>
      <c r="B1108" s="75" t="n">
        <v>6</v>
      </c>
      <c r="C1108" s="75" t="inlineStr">
        <is>
          <t>5100001104</t>
        </is>
      </c>
      <c r="D1108" s="78" t="n">
        <v>45827</v>
      </c>
      <c r="E1108" s="75" t="inlineStr">
        <is>
          <t>KR</t>
        </is>
      </c>
      <c r="F1108" s="75" t="n">
        <v>62901000</v>
      </c>
      <c r="G1108" s="75" t="n">
        <v>1101</v>
      </c>
      <c r="H1108" s="76" t="n">
        <v>6254000</v>
      </c>
      <c r="I1108" s="75" t="inlineStr">
        <is>
          <t>6월 자문 수수료 - W컨설팅</t>
        </is>
      </c>
      <c r="J1108" s="75" t="inlineStr">
        <is>
          <t>V10009</t>
        </is>
      </c>
      <c r="K1108" s="75" t="inlineStr">
        <is>
          <t>W컨설팅</t>
        </is>
      </c>
      <c r="M1108" s="9">
        <f>IF($A1108="","",VALUE($A1108&amp;"")*12+VALUE($B1108&amp;""))</f>
        <v/>
      </c>
      <c r="N1108" s="39">
        <f>IF($A1108="","",IFERROR(INDEX(부서매핑!$C$5:$C$504,MATCH($G1108&amp;"",부서매핑!$A$5:$A$504,0)),"미매핑"))</f>
        <v/>
      </c>
      <c r="O1108" s="9">
        <f>IF($A1108="","",N1108&amp;"|"&amp;$F1108)</f>
        <v/>
      </c>
      <c r="P1108" s="77">
        <f>IF($A1108="",0,$H1108*설정!$C$23)</f>
        <v/>
      </c>
      <c r="Q1108" s="39">
        <f>IF($A1108="","",IF(O1108&lt;&gt;원인분석!$C$9,"",IF(AND(M1108&gt;=원인분석!$C$10,M1108&lt;=원인분석!$C$11),"당기",IF(AND(M1108&gt;=원인분석!$C$12,M1108&lt;=원인분석!$C$13),"비교",""))))</f>
        <v/>
      </c>
      <c r="R1108" s="9">
        <f>IF(Q1108="","",$K1108&amp;"")</f>
        <v/>
      </c>
      <c r="S1108" s="9">
        <f>IF(Q1108="","",IF(MATCH(R1108,$R$5:$R$100000,0)=ROW()-4,ROW(),""))</f>
        <v/>
      </c>
      <c r="T1108" s="9">
        <f>IF(Q1108="당기",ABS(P1108)+ROW()/1000000000,"")</f>
        <v/>
      </c>
      <c r="U1108" s="9">
        <f>IF(Q1108="비교",ABS(P1108)+ROW()/1000000000,"")</f>
        <v/>
      </c>
      <c r="V1108" s="39">
        <f>IF($A1108="","",IF(COUNTIF(변동분석!$E$7:$E$506,O1108)&gt;0,"Y","N"))</f>
        <v/>
      </c>
      <c r="W1108" s="39">
        <f>IF($A1108="","",IFERROR(INDEX(계정매핑!$D$5:$D$504,MATCH($F1108&amp;"",계정매핑!$A$5:$A$504,0)),"미매핑"))</f>
        <v/>
      </c>
      <c r="X1108" s="9">
        <f>IF($A1108="","",$F1108&amp;"")</f>
        <v/>
      </c>
    </row>
    <row r="1109">
      <c r="A1109" s="75" t="n">
        <v>2025</v>
      </c>
      <c r="B1109" s="75" t="n">
        <v>6</v>
      </c>
      <c r="C1109" s="75" t="inlineStr">
        <is>
          <t>5100001105</t>
        </is>
      </c>
      <c r="D1109" s="78" t="n">
        <v>45827</v>
      </c>
      <c r="E1109" s="75" t="inlineStr">
        <is>
          <t>KR</t>
        </is>
      </c>
      <c r="F1109" s="75" t="n">
        <v>62901000</v>
      </c>
      <c r="G1109" s="75" t="n">
        <v>1201</v>
      </c>
      <c r="H1109" s="76" t="n">
        <v>4886000</v>
      </c>
      <c r="I1109" s="75" t="inlineStr">
        <is>
          <t>6월 자문 수수료 - W컨설팅</t>
        </is>
      </c>
      <c r="J1109" s="75" t="inlineStr">
        <is>
          <t>V10009</t>
        </is>
      </c>
      <c r="K1109" s="75" t="inlineStr">
        <is>
          <t>W컨설팅</t>
        </is>
      </c>
      <c r="M1109" s="9">
        <f>IF($A1109="","",VALUE($A1109&amp;"")*12+VALUE($B1109&amp;""))</f>
        <v/>
      </c>
      <c r="N1109" s="39">
        <f>IF($A1109="","",IFERROR(INDEX(부서매핑!$C$5:$C$504,MATCH($G1109&amp;"",부서매핑!$A$5:$A$504,0)),"미매핑"))</f>
        <v/>
      </c>
      <c r="O1109" s="9">
        <f>IF($A1109="","",N1109&amp;"|"&amp;$F1109)</f>
        <v/>
      </c>
      <c r="P1109" s="77">
        <f>IF($A1109="",0,$H1109*설정!$C$23)</f>
        <v/>
      </c>
      <c r="Q1109" s="39">
        <f>IF($A1109="","",IF(O1109&lt;&gt;원인분석!$C$9,"",IF(AND(M1109&gt;=원인분석!$C$10,M1109&lt;=원인분석!$C$11),"당기",IF(AND(M1109&gt;=원인분석!$C$12,M1109&lt;=원인분석!$C$13),"비교",""))))</f>
        <v/>
      </c>
      <c r="R1109" s="9">
        <f>IF(Q1109="","",$K1109&amp;"")</f>
        <v/>
      </c>
      <c r="S1109" s="9">
        <f>IF(Q1109="","",IF(MATCH(R1109,$R$5:$R$100000,0)=ROW()-4,ROW(),""))</f>
        <v/>
      </c>
      <c r="T1109" s="9">
        <f>IF(Q1109="당기",ABS(P1109)+ROW()/1000000000,"")</f>
        <v/>
      </c>
      <c r="U1109" s="9">
        <f>IF(Q1109="비교",ABS(P1109)+ROW()/1000000000,"")</f>
        <v/>
      </c>
      <c r="V1109" s="39">
        <f>IF($A1109="","",IF(COUNTIF(변동분석!$E$7:$E$506,O1109)&gt;0,"Y","N"))</f>
        <v/>
      </c>
      <c r="W1109" s="39">
        <f>IF($A1109="","",IFERROR(INDEX(계정매핑!$D$5:$D$504,MATCH($F1109&amp;"",계정매핑!$A$5:$A$504,0)),"미매핑"))</f>
        <v/>
      </c>
      <c r="X1109" s="9">
        <f>IF($A1109="","",$F1109&amp;"")</f>
        <v/>
      </c>
    </row>
    <row r="1110">
      <c r="A1110" s="75" t="n">
        <v>2025</v>
      </c>
      <c r="B1110" s="75" t="n">
        <v>6</v>
      </c>
      <c r="C1110" s="75" t="inlineStr">
        <is>
          <t>5100001106</t>
        </is>
      </c>
      <c r="D1110" s="78" t="n">
        <v>45827</v>
      </c>
      <c r="E1110" s="75" t="inlineStr">
        <is>
          <t>KR</t>
        </is>
      </c>
      <c r="F1110" s="75" t="n">
        <v>63001000</v>
      </c>
      <c r="G1110" s="75" t="n">
        <v>1701</v>
      </c>
      <c r="H1110" s="76" t="n">
        <v>32520000</v>
      </c>
      <c r="I1110" s="75" t="inlineStr">
        <is>
          <t>6월 SW 유지보수 - Z시스템</t>
        </is>
      </c>
      <c r="J1110" s="75" t="inlineStr">
        <is>
          <t>V10021</t>
        </is>
      </c>
      <c r="K1110" s="75" t="inlineStr">
        <is>
          <t>Z시스템</t>
        </is>
      </c>
      <c r="M1110" s="9">
        <f>IF($A1110="","",VALUE($A1110&amp;"")*12+VALUE($B1110&amp;""))</f>
        <v/>
      </c>
      <c r="N1110" s="39">
        <f>IF($A1110="","",IFERROR(INDEX(부서매핑!$C$5:$C$504,MATCH($G1110&amp;"",부서매핑!$A$5:$A$504,0)),"미매핑"))</f>
        <v/>
      </c>
      <c r="O1110" s="9">
        <f>IF($A1110="","",N1110&amp;"|"&amp;$F1110)</f>
        <v/>
      </c>
      <c r="P1110" s="77">
        <f>IF($A1110="",0,$H1110*설정!$C$23)</f>
        <v/>
      </c>
      <c r="Q1110" s="39">
        <f>IF($A1110="","",IF(O1110&lt;&gt;원인분석!$C$9,"",IF(AND(M1110&gt;=원인분석!$C$10,M1110&lt;=원인분석!$C$11),"당기",IF(AND(M1110&gt;=원인분석!$C$12,M1110&lt;=원인분석!$C$13),"비교",""))))</f>
        <v/>
      </c>
      <c r="R1110" s="9">
        <f>IF(Q1110="","",$K1110&amp;"")</f>
        <v/>
      </c>
      <c r="S1110" s="9">
        <f>IF(Q1110="","",IF(MATCH(R1110,$R$5:$R$100000,0)=ROW()-4,ROW(),""))</f>
        <v/>
      </c>
      <c r="T1110" s="9">
        <f>IF(Q1110="당기",ABS(P1110)+ROW()/1000000000,"")</f>
        <v/>
      </c>
      <c r="U1110" s="9">
        <f>IF(Q1110="비교",ABS(P1110)+ROW()/1000000000,"")</f>
        <v/>
      </c>
      <c r="V1110" s="39">
        <f>IF($A1110="","",IF(COUNTIF(변동분석!$E$7:$E$506,O1110)&gt;0,"Y","N"))</f>
        <v/>
      </c>
      <c r="W1110" s="39">
        <f>IF($A1110="","",IFERROR(INDEX(계정매핑!$D$5:$D$504,MATCH($F1110&amp;"",계정매핑!$A$5:$A$504,0)),"미매핑"))</f>
        <v/>
      </c>
      <c r="X1110" s="9">
        <f>IF($A1110="","",$F1110&amp;"")</f>
        <v/>
      </c>
    </row>
    <row r="1111">
      <c r="A1111" s="75" t="n">
        <v>2025</v>
      </c>
      <c r="B1111" s="75" t="n">
        <v>6</v>
      </c>
      <c r="C1111" s="75" t="inlineStr">
        <is>
          <t>5100001107</t>
        </is>
      </c>
      <c r="D1111" s="78" t="n">
        <v>45828</v>
      </c>
      <c r="E1111" s="75" t="inlineStr">
        <is>
          <t>KR</t>
        </is>
      </c>
      <c r="F1111" s="75" t="n">
        <v>62101000</v>
      </c>
      <c r="G1111" s="75" t="n">
        <v>1301</v>
      </c>
      <c r="H1111" s="76" t="n">
        <v>191000</v>
      </c>
      <c r="I1111" s="75" t="inlineStr">
        <is>
          <t>6월 국내출장 - M항공</t>
        </is>
      </c>
      <c r="J1111" s="75" t="inlineStr">
        <is>
          <t>V10001</t>
        </is>
      </c>
      <c r="K1111" s="75" t="inlineStr">
        <is>
          <t>M항공</t>
        </is>
      </c>
      <c r="M1111" s="9">
        <f>IF($A1111="","",VALUE($A1111&amp;"")*12+VALUE($B1111&amp;""))</f>
        <v/>
      </c>
      <c r="N1111" s="39">
        <f>IF($A1111="","",IFERROR(INDEX(부서매핑!$C$5:$C$504,MATCH($G1111&amp;"",부서매핑!$A$5:$A$504,0)),"미매핑"))</f>
        <v/>
      </c>
      <c r="O1111" s="9">
        <f>IF($A1111="","",N1111&amp;"|"&amp;$F1111)</f>
        <v/>
      </c>
      <c r="P1111" s="77">
        <f>IF($A1111="",0,$H1111*설정!$C$23)</f>
        <v/>
      </c>
      <c r="Q1111" s="39">
        <f>IF($A1111="","",IF(O1111&lt;&gt;원인분석!$C$9,"",IF(AND(M1111&gt;=원인분석!$C$10,M1111&lt;=원인분석!$C$11),"당기",IF(AND(M1111&gt;=원인분석!$C$12,M1111&lt;=원인분석!$C$13),"비교",""))))</f>
        <v/>
      </c>
      <c r="R1111" s="9">
        <f>IF(Q1111="","",$K1111&amp;"")</f>
        <v/>
      </c>
      <c r="S1111" s="9">
        <f>IF(Q1111="","",IF(MATCH(R1111,$R$5:$R$100000,0)=ROW()-4,ROW(),""))</f>
        <v/>
      </c>
      <c r="T1111" s="9">
        <f>IF(Q1111="당기",ABS(P1111)+ROW()/1000000000,"")</f>
        <v/>
      </c>
      <c r="U1111" s="9">
        <f>IF(Q1111="비교",ABS(P1111)+ROW()/1000000000,"")</f>
        <v/>
      </c>
      <c r="V1111" s="39">
        <f>IF($A1111="","",IF(COUNTIF(변동분석!$E$7:$E$506,O1111)&gt;0,"Y","N"))</f>
        <v/>
      </c>
      <c r="W1111" s="39">
        <f>IF($A1111="","",IFERROR(INDEX(계정매핑!$D$5:$D$504,MATCH($F1111&amp;"",계정매핑!$A$5:$A$504,0)),"미매핑"))</f>
        <v/>
      </c>
      <c r="X1111" s="9">
        <f>IF($A1111="","",$F1111&amp;"")</f>
        <v/>
      </c>
    </row>
    <row r="1112">
      <c r="A1112" s="75" t="n">
        <v>2025</v>
      </c>
      <c r="B1112" s="75" t="n">
        <v>6</v>
      </c>
      <c r="C1112" s="75" t="inlineStr">
        <is>
          <t>5100001108</t>
        </is>
      </c>
      <c r="D1112" s="78" t="n">
        <v>45828</v>
      </c>
      <c r="E1112" s="75" t="inlineStr">
        <is>
          <t>KR</t>
        </is>
      </c>
      <c r="F1112" s="75" t="n">
        <v>62101000</v>
      </c>
      <c r="G1112" s="75" t="n">
        <v>1801</v>
      </c>
      <c r="H1112" s="76" t="n">
        <v>172000</v>
      </c>
      <c r="I1112" s="75" t="inlineStr">
        <is>
          <t>6월 국내출장 - M항공</t>
        </is>
      </c>
      <c r="J1112" s="75" t="inlineStr">
        <is>
          <t>V10001</t>
        </is>
      </c>
      <c r="K1112" s="75" t="inlineStr">
        <is>
          <t>M항공</t>
        </is>
      </c>
      <c r="M1112" s="9">
        <f>IF($A1112="","",VALUE($A1112&amp;"")*12+VALUE($B1112&amp;""))</f>
        <v/>
      </c>
      <c r="N1112" s="39">
        <f>IF($A1112="","",IFERROR(INDEX(부서매핑!$C$5:$C$504,MATCH($G1112&amp;"",부서매핑!$A$5:$A$504,0)),"미매핑"))</f>
        <v/>
      </c>
      <c r="O1112" s="9">
        <f>IF($A1112="","",N1112&amp;"|"&amp;$F1112)</f>
        <v/>
      </c>
      <c r="P1112" s="77">
        <f>IF($A1112="",0,$H1112*설정!$C$23)</f>
        <v/>
      </c>
      <c r="Q1112" s="39">
        <f>IF($A1112="","",IF(O1112&lt;&gt;원인분석!$C$9,"",IF(AND(M1112&gt;=원인분석!$C$10,M1112&lt;=원인분석!$C$11),"당기",IF(AND(M1112&gt;=원인분석!$C$12,M1112&lt;=원인분석!$C$13),"비교",""))))</f>
        <v/>
      </c>
      <c r="R1112" s="9">
        <f>IF(Q1112="","",$K1112&amp;"")</f>
        <v/>
      </c>
      <c r="S1112" s="9">
        <f>IF(Q1112="","",IF(MATCH(R1112,$R$5:$R$100000,0)=ROW()-4,ROW(),""))</f>
        <v/>
      </c>
      <c r="T1112" s="9">
        <f>IF(Q1112="당기",ABS(P1112)+ROW()/1000000000,"")</f>
        <v/>
      </c>
      <c r="U1112" s="9">
        <f>IF(Q1112="비교",ABS(P1112)+ROW()/1000000000,"")</f>
        <v/>
      </c>
      <c r="V1112" s="39">
        <f>IF($A1112="","",IF(COUNTIF(변동분석!$E$7:$E$506,O1112)&gt;0,"Y","N"))</f>
        <v/>
      </c>
      <c r="W1112" s="39">
        <f>IF($A1112="","",IFERROR(INDEX(계정매핑!$D$5:$D$504,MATCH($F1112&amp;"",계정매핑!$A$5:$A$504,0)),"미매핑"))</f>
        <v/>
      </c>
      <c r="X1112" s="9">
        <f>IF($A1112="","",$F1112&amp;"")</f>
        <v/>
      </c>
    </row>
    <row r="1113">
      <c r="A1113" s="75" t="n">
        <v>2025</v>
      </c>
      <c r="B1113" s="75" t="n">
        <v>6</v>
      </c>
      <c r="C1113" s="75" t="inlineStr">
        <is>
          <t>5100001109</t>
        </is>
      </c>
      <c r="D1113" s="78" t="n">
        <v>45828</v>
      </c>
      <c r="E1113" s="75" t="inlineStr">
        <is>
          <t>KR</t>
        </is>
      </c>
      <c r="F1113" s="75" t="n">
        <v>62201000</v>
      </c>
      <c r="G1113" s="75" t="n">
        <v>1401</v>
      </c>
      <c r="H1113" s="76" t="n">
        <v>117000</v>
      </c>
      <c r="I1113" s="75" t="inlineStr">
        <is>
          <t>6월 통신요금 - O텔레콤</t>
        </is>
      </c>
      <c r="J1113" s="75" t="inlineStr">
        <is>
          <t>V10002</t>
        </is>
      </c>
      <c r="K1113" s="75" t="inlineStr">
        <is>
          <t>O텔레콤</t>
        </is>
      </c>
      <c r="M1113" s="9">
        <f>IF($A1113="","",VALUE($A1113&amp;"")*12+VALUE($B1113&amp;""))</f>
        <v/>
      </c>
      <c r="N1113" s="39">
        <f>IF($A1113="","",IFERROR(INDEX(부서매핑!$C$5:$C$504,MATCH($G1113&amp;"",부서매핑!$A$5:$A$504,0)),"미매핑"))</f>
        <v/>
      </c>
      <c r="O1113" s="9">
        <f>IF($A1113="","",N1113&amp;"|"&amp;$F1113)</f>
        <v/>
      </c>
      <c r="P1113" s="77">
        <f>IF($A1113="",0,$H1113*설정!$C$23)</f>
        <v/>
      </c>
      <c r="Q1113" s="39">
        <f>IF($A1113="","",IF(O1113&lt;&gt;원인분석!$C$9,"",IF(AND(M1113&gt;=원인분석!$C$10,M1113&lt;=원인분석!$C$11),"당기",IF(AND(M1113&gt;=원인분석!$C$12,M1113&lt;=원인분석!$C$13),"비교",""))))</f>
        <v/>
      </c>
      <c r="R1113" s="9">
        <f>IF(Q1113="","",$K1113&amp;"")</f>
        <v/>
      </c>
      <c r="S1113" s="9">
        <f>IF(Q1113="","",IF(MATCH(R1113,$R$5:$R$100000,0)=ROW()-4,ROW(),""))</f>
        <v/>
      </c>
      <c r="T1113" s="9">
        <f>IF(Q1113="당기",ABS(P1113)+ROW()/1000000000,"")</f>
        <v/>
      </c>
      <c r="U1113" s="9">
        <f>IF(Q1113="비교",ABS(P1113)+ROW()/1000000000,"")</f>
        <v/>
      </c>
      <c r="V1113" s="39">
        <f>IF($A1113="","",IF(COUNTIF(변동분석!$E$7:$E$506,O1113)&gt;0,"Y","N"))</f>
        <v/>
      </c>
      <c r="W1113" s="39">
        <f>IF($A1113="","",IFERROR(INDEX(계정매핑!$D$5:$D$504,MATCH($F1113&amp;"",계정매핑!$A$5:$A$504,0)),"미매핑"))</f>
        <v/>
      </c>
      <c r="X1113" s="9">
        <f>IF($A1113="","",$F1113&amp;"")</f>
        <v/>
      </c>
    </row>
    <row r="1114">
      <c r="A1114" s="75" t="n">
        <v>2025</v>
      </c>
      <c r="B1114" s="75" t="n">
        <v>6</v>
      </c>
      <c r="C1114" s="75" t="inlineStr">
        <is>
          <t>5100001110</t>
        </is>
      </c>
      <c r="D1114" s="78" t="n">
        <v>45828</v>
      </c>
      <c r="E1114" s="75" t="inlineStr">
        <is>
          <t>KR</t>
        </is>
      </c>
      <c r="F1114" s="75" t="n">
        <v>62201000</v>
      </c>
      <c r="G1114" s="75" t="n">
        <v>1801</v>
      </c>
      <c r="H1114" s="76" t="n">
        <v>4895000</v>
      </c>
      <c r="I1114" s="75" t="inlineStr">
        <is>
          <t>6월 통신요금 - P통신</t>
        </is>
      </c>
      <c r="J1114" s="75" t="inlineStr">
        <is>
          <t>V10011</t>
        </is>
      </c>
      <c r="K1114" s="75" t="inlineStr">
        <is>
          <t>P통신</t>
        </is>
      </c>
      <c r="M1114" s="9">
        <f>IF($A1114="","",VALUE($A1114&amp;"")*12+VALUE($B1114&amp;""))</f>
        <v/>
      </c>
      <c r="N1114" s="39">
        <f>IF($A1114="","",IFERROR(INDEX(부서매핑!$C$5:$C$504,MATCH($G1114&amp;"",부서매핑!$A$5:$A$504,0)),"미매핑"))</f>
        <v/>
      </c>
      <c r="O1114" s="9">
        <f>IF($A1114="","",N1114&amp;"|"&amp;$F1114)</f>
        <v/>
      </c>
      <c r="P1114" s="77">
        <f>IF($A1114="",0,$H1114*설정!$C$23)</f>
        <v/>
      </c>
      <c r="Q1114" s="39">
        <f>IF($A1114="","",IF(O1114&lt;&gt;원인분석!$C$9,"",IF(AND(M1114&gt;=원인분석!$C$10,M1114&lt;=원인분석!$C$11),"당기",IF(AND(M1114&gt;=원인분석!$C$12,M1114&lt;=원인분석!$C$13),"비교",""))))</f>
        <v/>
      </c>
      <c r="R1114" s="9">
        <f>IF(Q1114="","",$K1114&amp;"")</f>
        <v/>
      </c>
      <c r="S1114" s="9">
        <f>IF(Q1114="","",IF(MATCH(R1114,$R$5:$R$100000,0)=ROW()-4,ROW(),""))</f>
        <v/>
      </c>
      <c r="T1114" s="9">
        <f>IF(Q1114="당기",ABS(P1114)+ROW()/1000000000,"")</f>
        <v/>
      </c>
      <c r="U1114" s="9">
        <f>IF(Q1114="비교",ABS(P1114)+ROW()/1000000000,"")</f>
        <v/>
      </c>
      <c r="V1114" s="39">
        <f>IF($A1114="","",IF(COUNTIF(변동분석!$E$7:$E$506,O1114)&gt;0,"Y","N"))</f>
        <v/>
      </c>
      <c r="W1114" s="39">
        <f>IF($A1114="","",IFERROR(INDEX(계정매핑!$D$5:$D$504,MATCH($F1114&amp;"",계정매핑!$A$5:$A$504,0)),"미매핑"))</f>
        <v/>
      </c>
      <c r="X1114" s="9">
        <f>IF($A1114="","",$F1114&amp;"")</f>
        <v/>
      </c>
    </row>
    <row r="1115">
      <c r="A1115" s="75" t="n">
        <v>2025</v>
      </c>
      <c r="B1115" s="75" t="n">
        <v>6</v>
      </c>
      <c r="C1115" s="75" t="inlineStr">
        <is>
          <t>5100001111</t>
        </is>
      </c>
      <c r="D1115" s="78" t="n">
        <v>45828</v>
      </c>
      <c r="E1115" s="75" t="inlineStr">
        <is>
          <t>KR</t>
        </is>
      </c>
      <c r="F1115" s="75" t="n">
        <v>62301000</v>
      </c>
      <c r="G1115" s="75" t="n">
        <v>1701</v>
      </c>
      <c r="H1115" s="76" t="n">
        <v>572000</v>
      </c>
      <c r="I1115" s="75" t="inlineStr">
        <is>
          <t>6월 소모품 구입 - R문구</t>
        </is>
      </c>
      <c r="J1115" s="75" t="inlineStr">
        <is>
          <t>V10018</t>
        </is>
      </c>
      <c r="K1115" s="75" t="inlineStr">
        <is>
          <t>R문구</t>
        </is>
      </c>
      <c r="M1115" s="9">
        <f>IF($A1115="","",VALUE($A1115&amp;"")*12+VALUE($B1115&amp;""))</f>
        <v/>
      </c>
      <c r="N1115" s="39">
        <f>IF($A1115="","",IFERROR(INDEX(부서매핑!$C$5:$C$504,MATCH($G1115&amp;"",부서매핑!$A$5:$A$504,0)),"미매핑"))</f>
        <v/>
      </c>
      <c r="O1115" s="9">
        <f>IF($A1115="","",N1115&amp;"|"&amp;$F1115)</f>
        <v/>
      </c>
      <c r="P1115" s="77">
        <f>IF($A1115="",0,$H1115*설정!$C$23)</f>
        <v/>
      </c>
      <c r="Q1115" s="39">
        <f>IF($A1115="","",IF(O1115&lt;&gt;원인분석!$C$9,"",IF(AND(M1115&gt;=원인분석!$C$10,M1115&lt;=원인분석!$C$11),"당기",IF(AND(M1115&gt;=원인분석!$C$12,M1115&lt;=원인분석!$C$13),"비교",""))))</f>
        <v/>
      </c>
      <c r="R1115" s="9">
        <f>IF(Q1115="","",$K1115&amp;"")</f>
        <v/>
      </c>
      <c r="S1115" s="9">
        <f>IF(Q1115="","",IF(MATCH(R1115,$R$5:$R$100000,0)=ROW()-4,ROW(),""))</f>
        <v/>
      </c>
      <c r="T1115" s="9">
        <f>IF(Q1115="당기",ABS(P1115)+ROW()/1000000000,"")</f>
        <v/>
      </c>
      <c r="U1115" s="9">
        <f>IF(Q1115="비교",ABS(P1115)+ROW()/1000000000,"")</f>
        <v/>
      </c>
      <c r="V1115" s="39">
        <f>IF($A1115="","",IF(COUNTIF(변동분석!$E$7:$E$506,O1115)&gt;0,"Y","N"))</f>
        <v/>
      </c>
      <c r="W1115" s="39">
        <f>IF($A1115="","",IFERROR(INDEX(계정매핑!$D$5:$D$504,MATCH($F1115&amp;"",계정매핑!$A$5:$A$504,0)),"미매핑"))</f>
        <v/>
      </c>
      <c r="X1115" s="9">
        <f>IF($A1115="","",$F1115&amp;"")</f>
        <v/>
      </c>
    </row>
    <row r="1116">
      <c r="A1116" s="75" t="n">
        <v>2025</v>
      </c>
      <c r="B1116" s="75" t="n">
        <v>6</v>
      </c>
      <c r="C1116" s="75" t="inlineStr">
        <is>
          <t>5100001112</t>
        </is>
      </c>
      <c r="D1116" s="78" t="n">
        <v>45828</v>
      </c>
      <c r="E1116" s="75" t="inlineStr">
        <is>
          <t>KR</t>
        </is>
      </c>
      <c r="F1116" s="75" t="n">
        <v>62501000</v>
      </c>
      <c r="G1116" s="75" t="n">
        <v>1101</v>
      </c>
      <c r="H1116" s="76" t="n">
        <v>174000</v>
      </c>
      <c r="I1116" s="75" t="inlineStr">
        <is>
          <t>6월 회의 다과 - (법인카드)</t>
        </is>
      </c>
      <c r="J1116" s="75" t="inlineStr">
        <is>
          <t>V10008</t>
        </is>
      </c>
      <c r="K1116" s="75" t="inlineStr">
        <is>
          <t>(법인카드)</t>
        </is>
      </c>
      <c r="M1116" s="9">
        <f>IF($A1116="","",VALUE($A1116&amp;"")*12+VALUE($B1116&amp;""))</f>
        <v/>
      </c>
      <c r="N1116" s="39">
        <f>IF($A1116="","",IFERROR(INDEX(부서매핑!$C$5:$C$504,MATCH($G1116&amp;"",부서매핑!$A$5:$A$504,0)),"미매핑"))</f>
        <v/>
      </c>
      <c r="O1116" s="9">
        <f>IF($A1116="","",N1116&amp;"|"&amp;$F1116)</f>
        <v/>
      </c>
      <c r="P1116" s="77">
        <f>IF($A1116="",0,$H1116*설정!$C$23)</f>
        <v/>
      </c>
      <c r="Q1116" s="39">
        <f>IF($A1116="","",IF(O1116&lt;&gt;원인분석!$C$9,"",IF(AND(M1116&gt;=원인분석!$C$10,M1116&lt;=원인분석!$C$11),"당기",IF(AND(M1116&gt;=원인분석!$C$12,M1116&lt;=원인분석!$C$13),"비교",""))))</f>
        <v/>
      </c>
      <c r="R1116" s="9">
        <f>IF(Q1116="","",$K1116&amp;"")</f>
        <v/>
      </c>
      <c r="S1116" s="9">
        <f>IF(Q1116="","",IF(MATCH(R1116,$R$5:$R$100000,0)=ROW()-4,ROW(),""))</f>
        <v/>
      </c>
      <c r="T1116" s="9">
        <f>IF(Q1116="당기",ABS(P1116)+ROW()/1000000000,"")</f>
        <v/>
      </c>
      <c r="U1116" s="9">
        <f>IF(Q1116="비교",ABS(P1116)+ROW()/1000000000,"")</f>
        <v/>
      </c>
      <c r="V1116" s="39">
        <f>IF($A1116="","",IF(COUNTIF(변동분석!$E$7:$E$506,O1116)&gt;0,"Y","N"))</f>
        <v/>
      </c>
      <c r="W1116" s="39">
        <f>IF($A1116="","",IFERROR(INDEX(계정매핑!$D$5:$D$504,MATCH($F1116&amp;"",계정매핑!$A$5:$A$504,0)),"미매핑"))</f>
        <v/>
      </c>
      <c r="X1116" s="9">
        <f>IF($A1116="","",$F1116&amp;"")</f>
        <v/>
      </c>
    </row>
    <row r="1117">
      <c r="A1117" s="75" t="n">
        <v>2025</v>
      </c>
      <c r="B1117" s="75" t="n">
        <v>6</v>
      </c>
      <c r="C1117" s="75" t="inlineStr">
        <is>
          <t>5100001113</t>
        </is>
      </c>
      <c r="D1117" s="78" t="n">
        <v>45828</v>
      </c>
      <c r="E1117" s="75" t="inlineStr">
        <is>
          <t>KR</t>
        </is>
      </c>
      <c r="F1117" s="75" t="n">
        <v>62501000</v>
      </c>
      <c r="G1117" s="75" t="n">
        <v>1301</v>
      </c>
      <c r="H1117" s="76" t="n">
        <v>191000</v>
      </c>
      <c r="I1117" s="75" t="inlineStr">
        <is>
          <t>6월 회의 다과 - T케이터링</t>
        </is>
      </c>
      <c r="J1117" s="75" t="inlineStr">
        <is>
          <t>V10005</t>
        </is>
      </c>
      <c r="K1117" s="75" t="inlineStr">
        <is>
          <t>T케이터링</t>
        </is>
      </c>
      <c r="M1117" s="9">
        <f>IF($A1117="","",VALUE($A1117&amp;"")*12+VALUE($B1117&amp;""))</f>
        <v/>
      </c>
      <c r="N1117" s="39">
        <f>IF($A1117="","",IFERROR(INDEX(부서매핑!$C$5:$C$504,MATCH($G1117&amp;"",부서매핑!$A$5:$A$504,0)),"미매핑"))</f>
        <v/>
      </c>
      <c r="O1117" s="9">
        <f>IF($A1117="","",N1117&amp;"|"&amp;$F1117)</f>
        <v/>
      </c>
      <c r="P1117" s="77">
        <f>IF($A1117="",0,$H1117*설정!$C$23)</f>
        <v/>
      </c>
      <c r="Q1117" s="39">
        <f>IF($A1117="","",IF(O1117&lt;&gt;원인분석!$C$9,"",IF(AND(M1117&gt;=원인분석!$C$10,M1117&lt;=원인분석!$C$11),"당기",IF(AND(M1117&gt;=원인분석!$C$12,M1117&lt;=원인분석!$C$13),"비교",""))))</f>
        <v/>
      </c>
      <c r="R1117" s="9">
        <f>IF(Q1117="","",$K1117&amp;"")</f>
        <v/>
      </c>
      <c r="S1117" s="9">
        <f>IF(Q1117="","",IF(MATCH(R1117,$R$5:$R$100000,0)=ROW()-4,ROW(),""))</f>
        <v/>
      </c>
      <c r="T1117" s="9">
        <f>IF(Q1117="당기",ABS(P1117)+ROW()/1000000000,"")</f>
        <v/>
      </c>
      <c r="U1117" s="9">
        <f>IF(Q1117="비교",ABS(P1117)+ROW()/1000000000,"")</f>
        <v/>
      </c>
      <c r="V1117" s="39">
        <f>IF($A1117="","",IF(COUNTIF(변동분석!$E$7:$E$506,O1117)&gt;0,"Y","N"))</f>
        <v/>
      </c>
      <c r="W1117" s="39">
        <f>IF($A1117="","",IFERROR(INDEX(계정매핑!$D$5:$D$504,MATCH($F1117&amp;"",계정매핑!$A$5:$A$504,0)),"미매핑"))</f>
        <v/>
      </c>
      <c r="X1117" s="9">
        <f>IF($A1117="","",$F1117&amp;"")</f>
        <v/>
      </c>
    </row>
    <row r="1118">
      <c r="A1118" s="75" t="n">
        <v>2025</v>
      </c>
      <c r="B1118" s="75" t="n">
        <v>6</v>
      </c>
      <c r="C1118" s="75" t="inlineStr">
        <is>
          <t>5100001114</t>
        </is>
      </c>
      <c r="D1118" s="78" t="n">
        <v>45828</v>
      </c>
      <c r="E1118" s="75" t="inlineStr">
        <is>
          <t>KR</t>
        </is>
      </c>
      <c r="F1118" s="75" t="n">
        <v>62902000</v>
      </c>
      <c r="G1118" s="75" t="n">
        <v>1801</v>
      </c>
      <c r="H1118" s="76" t="n">
        <v>1806000</v>
      </c>
      <c r="I1118" s="75" t="inlineStr">
        <is>
          <t>6월 콜 위탁 수수료(건별)</t>
        </is>
      </c>
      <c r="J1118" s="75" t="inlineStr">
        <is>
          <t>V10013</t>
        </is>
      </c>
      <c r="K1118" s="75" t="inlineStr">
        <is>
          <t>J콜센터</t>
        </is>
      </c>
      <c r="M1118" s="9">
        <f>IF($A1118="","",VALUE($A1118&amp;"")*12+VALUE($B1118&amp;""))</f>
        <v/>
      </c>
      <c r="N1118" s="39">
        <f>IF($A1118="","",IFERROR(INDEX(부서매핑!$C$5:$C$504,MATCH($G1118&amp;"",부서매핑!$A$5:$A$504,0)),"미매핑"))</f>
        <v/>
      </c>
      <c r="O1118" s="9">
        <f>IF($A1118="","",N1118&amp;"|"&amp;$F1118)</f>
        <v/>
      </c>
      <c r="P1118" s="77">
        <f>IF($A1118="",0,$H1118*설정!$C$23)</f>
        <v/>
      </c>
      <c r="Q1118" s="39">
        <f>IF($A1118="","",IF(O1118&lt;&gt;원인분석!$C$9,"",IF(AND(M1118&gt;=원인분석!$C$10,M1118&lt;=원인분석!$C$11),"당기",IF(AND(M1118&gt;=원인분석!$C$12,M1118&lt;=원인분석!$C$13),"비교",""))))</f>
        <v/>
      </c>
      <c r="R1118" s="9">
        <f>IF(Q1118="","",$K1118&amp;"")</f>
        <v/>
      </c>
      <c r="S1118" s="9">
        <f>IF(Q1118="","",IF(MATCH(R1118,$R$5:$R$100000,0)=ROW()-4,ROW(),""))</f>
        <v/>
      </c>
      <c r="T1118" s="9">
        <f>IF(Q1118="당기",ABS(P1118)+ROW()/1000000000,"")</f>
        <v/>
      </c>
      <c r="U1118" s="9">
        <f>IF(Q1118="비교",ABS(P1118)+ROW()/1000000000,"")</f>
        <v/>
      </c>
      <c r="V1118" s="39">
        <f>IF($A1118="","",IF(COUNTIF(변동분석!$E$7:$E$506,O1118)&gt;0,"Y","N"))</f>
        <v/>
      </c>
      <c r="W1118" s="39">
        <f>IF($A1118="","",IFERROR(INDEX(계정매핑!$D$5:$D$504,MATCH($F1118&amp;"",계정매핑!$A$5:$A$504,0)),"미매핑"))</f>
        <v/>
      </c>
      <c r="X1118" s="9">
        <f>IF($A1118="","",$F1118&amp;"")</f>
        <v/>
      </c>
    </row>
    <row r="1119">
      <c r="A1119" s="75" t="n">
        <v>2025</v>
      </c>
      <c r="B1119" s="75" t="n">
        <v>6</v>
      </c>
      <c r="C1119" s="75" t="inlineStr">
        <is>
          <t>5100001115</t>
        </is>
      </c>
      <c r="D1119" s="78" t="n">
        <v>45828</v>
      </c>
      <c r="E1119" s="75" t="inlineStr">
        <is>
          <t>KR</t>
        </is>
      </c>
      <c r="F1119" s="75" t="n">
        <v>63201000</v>
      </c>
      <c r="G1119" s="75" t="n">
        <v>1601</v>
      </c>
      <c r="H1119" s="76" t="n">
        <v>5728000</v>
      </c>
      <c r="I1119" s="75" t="inlineStr">
        <is>
          <t>6월 차량 유지 - D정비</t>
        </is>
      </c>
      <c r="J1119" s="75" t="inlineStr">
        <is>
          <t>V10022</t>
        </is>
      </c>
      <c r="K1119" s="75" t="inlineStr">
        <is>
          <t>D정비</t>
        </is>
      </c>
      <c r="M1119" s="9">
        <f>IF($A1119="","",VALUE($A1119&amp;"")*12+VALUE($B1119&amp;""))</f>
        <v/>
      </c>
      <c r="N1119" s="39">
        <f>IF($A1119="","",IFERROR(INDEX(부서매핑!$C$5:$C$504,MATCH($G1119&amp;"",부서매핑!$A$5:$A$504,0)),"미매핑"))</f>
        <v/>
      </c>
      <c r="O1119" s="9">
        <f>IF($A1119="","",N1119&amp;"|"&amp;$F1119)</f>
        <v/>
      </c>
      <c r="P1119" s="77">
        <f>IF($A1119="",0,$H1119*설정!$C$23)</f>
        <v/>
      </c>
      <c r="Q1119" s="39">
        <f>IF($A1119="","",IF(O1119&lt;&gt;원인분석!$C$9,"",IF(AND(M1119&gt;=원인분석!$C$10,M1119&lt;=원인분석!$C$11),"당기",IF(AND(M1119&gt;=원인분석!$C$12,M1119&lt;=원인분석!$C$13),"비교",""))))</f>
        <v/>
      </c>
      <c r="R1119" s="9">
        <f>IF(Q1119="","",$K1119&amp;"")</f>
        <v/>
      </c>
      <c r="S1119" s="9">
        <f>IF(Q1119="","",IF(MATCH(R1119,$R$5:$R$100000,0)=ROW()-4,ROW(),""))</f>
        <v/>
      </c>
      <c r="T1119" s="9">
        <f>IF(Q1119="당기",ABS(P1119)+ROW()/1000000000,"")</f>
        <v/>
      </c>
      <c r="U1119" s="9">
        <f>IF(Q1119="비교",ABS(P1119)+ROW()/1000000000,"")</f>
        <v/>
      </c>
      <c r="V1119" s="39">
        <f>IF($A1119="","",IF(COUNTIF(변동분석!$E$7:$E$506,O1119)&gt;0,"Y","N"))</f>
        <v/>
      </c>
      <c r="W1119" s="39">
        <f>IF($A1119="","",IFERROR(INDEX(계정매핑!$D$5:$D$504,MATCH($F1119&amp;"",계정매핑!$A$5:$A$504,0)),"미매핑"))</f>
        <v/>
      </c>
      <c r="X1119" s="9">
        <f>IF($A1119="","",$F1119&amp;"")</f>
        <v/>
      </c>
    </row>
    <row r="1120">
      <c r="A1120" s="75" t="n">
        <v>2025</v>
      </c>
      <c r="B1120" s="75" t="n">
        <v>6</v>
      </c>
      <c r="C1120" s="75" t="inlineStr">
        <is>
          <t>5100001116</t>
        </is>
      </c>
      <c r="D1120" s="78" t="n">
        <v>45829</v>
      </c>
      <c r="E1120" s="75" t="inlineStr">
        <is>
          <t>KR</t>
        </is>
      </c>
      <c r="F1120" s="75" t="n">
        <v>62101000</v>
      </c>
      <c r="G1120" s="75" t="n">
        <v>1101</v>
      </c>
      <c r="H1120" s="76" t="n">
        <v>575000</v>
      </c>
      <c r="I1120" s="75" t="inlineStr">
        <is>
          <t>6월 국내출장 - (법인카드)</t>
        </is>
      </c>
      <c r="J1120" s="75" t="inlineStr">
        <is>
          <t>V10008</t>
        </is>
      </c>
      <c r="K1120" s="75" t="inlineStr">
        <is>
          <t>(법인카드)</t>
        </is>
      </c>
      <c r="M1120" s="9">
        <f>IF($A1120="","",VALUE($A1120&amp;"")*12+VALUE($B1120&amp;""))</f>
        <v/>
      </c>
      <c r="N1120" s="39">
        <f>IF($A1120="","",IFERROR(INDEX(부서매핑!$C$5:$C$504,MATCH($G1120&amp;"",부서매핑!$A$5:$A$504,0)),"미매핑"))</f>
        <v/>
      </c>
      <c r="O1120" s="9">
        <f>IF($A1120="","",N1120&amp;"|"&amp;$F1120)</f>
        <v/>
      </c>
      <c r="P1120" s="77">
        <f>IF($A1120="",0,$H1120*설정!$C$23)</f>
        <v/>
      </c>
      <c r="Q1120" s="39">
        <f>IF($A1120="","",IF(O1120&lt;&gt;원인분석!$C$9,"",IF(AND(M1120&gt;=원인분석!$C$10,M1120&lt;=원인분석!$C$11),"당기",IF(AND(M1120&gt;=원인분석!$C$12,M1120&lt;=원인분석!$C$13),"비교",""))))</f>
        <v/>
      </c>
      <c r="R1120" s="9">
        <f>IF(Q1120="","",$K1120&amp;"")</f>
        <v/>
      </c>
      <c r="S1120" s="9">
        <f>IF(Q1120="","",IF(MATCH(R1120,$R$5:$R$100000,0)=ROW()-4,ROW(),""))</f>
        <v/>
      </c>
      <c r="T1120" s="9">
        <f>IF(Q1120="당기",ABS(P1120)+ROW()/1000000000,"")</f>
        <v/>
      </c>
      <c r="U1120" s="9">
        <f>IF(Q1120="비교",ABS(P1120)+ROW()/1000000000,"")</f>
        <v/>
      </c>
      <c r="V1120" s="39">
        <f>IF($A1120="","",IF(COUNTIF(변동분석!$E$7:$E$506,O1120)&gt;0,"Y","N"))</f>
        <v/>
      </c>
      <c r="W1120" s="39">
        <f>IF($A1120="","",IFERROR(INDEX(계정매핑!$D$5:$D$504,MATCH($F1120&amp;"",계정매핑!$A$5:$A$504,0)),"미매핑"))</f>
        <v/>
      </c>
      <c r="X1120" s="9">
        <f>IF($A1120="","",$F1120&amp;"")</f>
        <v/>
      </c>
    </row>
    <row r="1121">
      <c r="A1121" s="75" t="n">
        <v>2025</v>
      </c>
      <c r="B1121" s="75" t="n">
        <v>6</v>
      </c>
      <c r="C1121" s="75" t="inlineStr">
        <is>
          <t>5100001117</t>
        </is>
      </c>
      <c r="D1121" s="78" t="n">
        <v>45829</v>
      </c>
      <c r="E1121" s="75" t="inlineStr">
        <is>
          <t>KR</t>
        </is>
      </c>
      <c r="F1121" s="75" t="n">
        <v>62101000</v>
      </c>
      <c r="G1121" s="75" t="n">
        <v>1401</v>
      </c>
      <c r="H1121" s="76" t="n">
        <v>505000</v>
      </c>
      <c r="I1121" s="75" t="inlineStr">
        <is>
          <t>6월 국내출장 - (법인카드)</t>
        </is>
      </c>
      <c r="J1121" s="75" t="inlineStr">
        <is>
          <t>V10008</t>
        </is>
      </c>
      <c r="K1121" s="75" t="inlineStr">
        <is>
          <t>(법인카드)</t>
        </is>
      </c>
      <c r="M1121" s="9">
        <f>IF($A1121="","",VALUE($A1121&amp;"")*12+VALUE($B1121&amp;""))</f>
        <v/>
      </c>
      <c r="N1121" s="39">
        <f>IF($A1121="","",IFERROR(INDEX(부서매핑!$C$5:$C$504,MATCH($G1121&amp;"",부서매핑!$A$5:$A$504,0)),"미매핑"))</f>
        <v/>
      </c>
      <c r="O1121" s="9">
        <f>IF($A1121="","",N1121&amp;"|"&amp;$F1121)</f>
        <v/>
      </c>
      <c r="P1121" s="77">
        <f>IF($A1121="",0,$H1121*설정!$C$23)</f>
        <v/>
      </c>
      <c r="Q1121" s="39">
        <f>IF($A1121="","",IF(O1121&lt;&gt;원인분석!$C$9,"",IF(AND(M1121&gt;=원인분석!$C$10,M1121&lt;=원인분석!$C$11),"당기",IF(AND(M1121&gt;=원인분석!$C$12,M1121&lt;=원인분석!$C$13),"비교",""))))</f>
        <v/>
      </c>
      <c r="R1121" s="9">
        <f>IF(Q1121="","",$K1121&amp;"")</f>
        <v/>
      </c>
      <c r="S1121" s="9">
        <f>IF(Q1121="","",IF(MATCH(R1121,$R$5:$R$100000,0)=ROW()-4,ROW(),""))</f>
        <v/>
      </c>
      <c r="T1121" s="9">
        <f>IF(Q1121="당기",ABS(P1121)+ROW()/1000000000,"")</f>
        <v/>
      </c>
      <c r="U1121" s="9">
        <f>IF(Q1121="비교",ABS(P1121)+ROW()/1000000000,"")</f>
        <v/>
      </c>
      <c r="V1121" s="39">
        <f>IF($A1121="","",IF(COUNTIF(변동분석!$E$7:$E$506,O1121)&gt;0,"Y","N"))</f>
        <v/>
      </c>
      <c r="W1121" s="39">
        <f>IF($A1121="","",IFERROR(INDEX(계정매핑!$D$5:$D$504,MATCH($F1121&amp;"",계정매핑!$A$5:$A$504,0)),"미매핑"))</f>
        <v/>
      </c>
      <c r="X1121" s="9">
        <f>IF($A1121="","",$F1121&amp;"")</f>
        <v/>
      </c>
    </row>
    <row r="1122">
      <c r="A1122" s="75" t="n">
        <v>2025</v>
      </c>
      <c r="B1122" s="75" t="n">
        <v>6</v>
      </c>
      <c r="C1122" s="75" t="inlineStr">
        <is>
          <t>5100001118</t>
        </is>
      </c>
      <c r="D1122" s="78" t="n">
        <v>45829</v>
      </c>
      <c r="E1122" s="75" t="inlineStr">
        <is>
          <t>KR</t>
        </is>
      </c>
      <c r="F1122" s="75" t="n">
        <v>62101000</v>
      </c>
      <c r="G1122" s="75" t="n">
        <v>1701</v>
      </c>
      <c r="H1122" s="76" t="n">
        <v>145000</v>
      </c>
      <c r="I1122" s="75" t="inlineStr">
        <is>
          <t>6월 국내출장 - (법인카드)</t>
        </is>
      </c>
      <c r="J1122" s="75" t="inlineStr">
        <is>
          <t>V10008</t>
        </is>
      </c>
      <c r="K1122" s="75" t="inlineStr">
        <is>
          <t>(법인카드)</t>
        </is>
      </c>
      <c r="M1122" s="9">
        <f>IF($A1122="","",VALUE($A1122&amp;"")*12+VALUE($B1122&amp;""))</f>
        <v/>
      </c>
      <c r="N1122" s="39">
        <f>IF($A1122="","",IFERROR(INDEX(부서매핑!$C$5:$C$504,MATCH($G1122&amp;"",부서매핑!$A$5:$A$504,0)),"미매핑"))</f>
        <v/>
      </c>
      <c r="O1122" s="9">
        <f>IF($A1122="","",N1122&amp;"|"&amp;$F1122)</f>
        <v/>
      </c>
      <c r="P1122" s="77">
        <f>IF($A1122="",0,$H1122*설정!$C$23)</f>
        <v/>
      </c>
      <c r="Q1122" s="39">
        <f>IF($A1122="","",IF(O1122&lt;&gt;원인분석!$C$9,"",IF(AND(M1122&gt;=원인분석!$C$10,M1122&lt;=원인분석!$C$11),"당기",IF(AND(M1122&gt;=원인분석!$C$12,M1122&lt;=원인분석!$C$13),"비교",""))))</f>
        <v/>
      </c>
      <c r="R1122" s="9">
        <f>IF(Q1122="","",$K1122&amp;"")</f>
        <v/>
      </c>
      <c r="S1122" s="9">
        <f>IF(Q1122="","",IF(MATCH(R1122,$R$5:$R$100000,0)=ROW()-4,ROW(),""))</f>
        <v/>
      </c>
      <c r="T1122" s="9">
        <f>IF(Q1122="당기",ABS(P1122)+ROW()/1000000000,"")</f>
        <v/>
      </c>
      <c r="U1122" s="9">
        <f>IF(Q1122="비교",ABS(P1122)+ROW()/1000000000,"")</f>
        <v/>
      </c>
      <c r="V1122" s="39">
        <f>IF($A1122="","",IF(COUNTIF(변동분석!$E$7:$E$506,O1122)&gt;0,"Y","N"))</f>
        <v/>
      </c>
      <c r="W1122" s="39">
        <f>IF($A1122="","",IFERROR(INDEX(계정매핑!$D$5:$D$504,MATCH($F1122&amp;"",계정매핑!$A$5:$A$504,0)),"미매핑"))</f>
        <v/>
      </c>
      <c r="X1122" s="9">
        <f>IF($A1122="","",$F1122&amp;"")</f>
        <v/>
      </c>
    </row>
    <row r="1123">
      <c r="A1123" s="75" t="n">
        <v>2025</v>
      </c>
      <c r="B1123" s="75" t="n">
        <v>6</v>
      </c>
      <c r="C1123" s="75" t="inlineStr">
        <is>
          <t>5100001119</t>
        </is>
      </c>
      <c r="D1123" s="78" t="n">
        <v>45829</v>
      </c>
      <c r="E1123" s="75" t="inlineStr">
        <is>
          <t>KR</t>
        </is>
      </c>
      <c r="F1123" s="75" t="n">
        <v>62102000</v>
      </c>
      <c r="G1123" s="75" t="n">
        <v>1101</v>
      </c>
      <c r="H1123" s="76" t="n">
        <v>107000</v>
      </c>
      <c r="I1123" s="75" t="inlineStr">
        <is>
          <t>6월 해외출장 - M항공</t>
        </is>
      </c>
      <c r="J1123" s="75" t="inlineStr">
        <is>
          <t>V10001</t>
        </is>
      </c>
      <c r="K1123" s="75" t="inlineStr">
        <is>
          <t>M항공</t>
        </is>
      </c>
      <c r="M1123" s="9">
        <f>IF($A1123="","",VALUE($A1123&amp;"")*12+VALUE($B1123&amp;""))</f>
        <v/>
      </c>
      <c r="N1123" s="39">
        <f>IF($A1123="","",IFERROR(INDEX(부서매핑!$C$5:$C$504,MATCH($G1123&amp;"",부서매핑!$A$5:$A$504,0)),"미매핑"))</f>
        <v/>
      </c>
      <c r="O1123" s="9">
        <f>IF($A1123="","",N1123&amp;"|"&amp;$F1123)</f>
        <v/>
      </c>
      <c r="P1123" s="77">
        <f>IF($A1123="",0,$H1123*설정!$C$23)</f>
        <v/>
      </c>
      <c r="Q1123" s="39">
        <f>IF($A1123="","",IF(O1123&lt;&gt;원인분석!$C$9,"",IF(AND(M1123&gt;=원인분석!$C$10,M1123&lt;=원인분석!$C$11),"당기",IF(AND(M1123&gt;=원인분석!$C$12,M1123&lt;=원인분석!$C$13),"비교",""))))</f>
        <v/>
      </c>
      <c r="R1123" s="9">
        <f>IF(Q1123="","",$K1123&amp;"")</f>
        <v/>
      </c>
      <c r="S1123" s="9">
        <f>IF(Q1123="","",IF(MATCH(R1123,$R$5:$R$100000,0)=ROW()-4,ROW(),""))</f>
        <v/>
      </c>
      <c r="T1123" s="9">
        <f>IF(Q1123="당기",ABS(P1123)+ROW()/1000000000,"")</f>
        <v/>
      </c>
      <c r="U1123" s="9">
        <f>IF(Q1123="비교",ABS(P1123)+ROW()/1000000000,"")</f>
        <v/>
      </c>
      <c r="V1123" s="39">
        <f>IF($A1123="","",IF(COUNTIF(변동분석!$E$7:$E$506,O1123)&gt;0,"Y","N"))</f>
        <v/>
      </c>
      <c r="W1123" s="39">
        <f>IF($A1123="","",IFERROR(INDEX(계정매핑!$D$5:$D$504,MATCH($F1123&amp;"",계정매핑!$A$5:$A$504,0)),"미매핑"))</f>
        <v/>
      </c>
      <c r="X1123" s="9">
        <f>IF($A1123="","",$F1123&amp;"")</f>
        <v/>
      </c>
    </row>
    <row r="1124">
      <c r="A1124" s="75" t="n">
        <v>2025</v>
      </c>
      <c r="B1124" s="75" t="n">
        <v>6</v>
      </c>
      <c r="C1124" s="75" t="inlineStr">
        <is>
          <t>5100001120</t>
        </is>
      </c>
      <c r="D1124" s="78" t="n">
        <v>45829</v>
      </c>
      <c r="E1124" s="75" t="inlineStr">
        <is>
          <t>KR</t>
        </is>
      </c>
      <c r="F1124" s="75" t="n">
        <v>62301000</v>
      </c>
      <c r="G1124" s="75" t="n">
        <v>1601</v>
      </c>
      <c r="H1124" s="76" t="n">
        <v>301000</v>
      </c>
      <c r="I1124" s="75" t="inlineStr">
        <is>
          <t>6월 소모품 구입 - R문구</t>
        </is>
      </c>
      <c r="J1124" s="75" t="inlineStr">
        <is>
          <t>V10018</t>
        </is>
      </c>
      <c r="K1124" s="75" t="inlineStr">
        <is>
          <t>R문구</t>
        </is>
      </c>
      <c r="M1124" s="9">
        <f>IF($A1124="","",VALUE($A1124&amp;"")*12+VALUE($B1124&amp;""))</f>
        <v/>
      </c>
      <c r="N1124" s="39">
        <f>IF($A1124="","",IFERROR(INDEX(부서매핑!$C$5:$C$504,MATCH($G1124&amp;"",부서매핑!$A$5:$A$504,0)),"미매핑"))</f>
        <v/>
      </c>
      <c r="O1124" s="9">
        <f>IF($A1124="","",N1124&amp;"|"&amp;$F1124)</f>
        <v/>
      </c>
      <c r="P1124" s="77">
        <f>IF($A1124="",0,$H1124*설정!$C$23)</f>
        <v/>
      </c>
      <c r="Q1124" s="39">
        <f>IF($A1124="","",IF(O1124&lt;&gt;원인분석!$C$9,"",IF(AND(M1124&gt;=원인분석!$C$10,M1124&lt;=원인분석!$C$11),"당기",IF(AND(M1124&gt;=원인분석!$C$12,M1124&lt;=원인분석!$C$13),"비교",""))))</f>
        <v/>
      </c>
      <c r="R1124" s="9">
        <f>IF(Q1124="","",$K1124&amp;"")</f>
        <v/>
      </c>
      <c r="S1124" s="9">
        <f>IF(Q1124="","",IF(MATCH(R1124,$R$5:$R$100000,0)=ROW()-4,ROW(),""))</f>
        <v/>
      </c>
      <c r="T1124" s="9">
        <f>IF(Q1124="당기",ABS(P1124)+ROW()/1000000000,"")</f>
        <v/>
      </c>
      <c r="U1124" s="9">
        <f>IF(Q1124="비교",ABS(P1124)+ROW()/1000000000,"")</f>
        <v/>
      </c>
      <c r="V1124" s="39">
        <f>IF($A1124="","",IF(COUNTIF(변동분석!$E$7:$E$506,O1124)&gt;0,"Y","N"))</f>
        <v/>
      </c>
      <c r="W1124" s="39">
        <f>IF($A1124="","",IFERROR(INDEX(계정매핑!$D$5:$D$504,MATCH($F1124&amp;"",계정매핑!$A$5:$A$504,0)),"미매핑"))</f>
        <v/>
      </c>
      <c r="X1124" s="9">
        <f>IF($A1124="","",$F1124&amp;"")</f>
        <v/>
      </c>
    </row>
    <row r="1125">
      <c r="A1125" s="75" t="n">
        <v>2025</v>
      </c>
      <c r="B1125" s="75" t="n">
        <v>6</v>
      </c>
      <c r="C1125" s="75" t="inlineStr">
        <is>
          <t>5100001121</t>
        </is>
      </c>
      <c r="D1125" s="78" t="n">
        <v>45829</v>
      </c>
      <c r="E1125" s="75" t="inlineStr">
        <is>
          <t>KR</t>
        </is>
      </c>
      <c r="F1125" s="75" t="n">
        <v>62902000</v>
      </c>
      <c r="G1125" s="75" t="n">
        <v>1401</v>
      </c>
      <c r="H1125" s="76" t="n">
        <v>1290000</v>
      </c>
      <c r="I1125" s="75" t="inlineStr">
        <is>
          <t>6월 업무 위탁 수수료 - X서비스</t>
        </is>
      </c>
      <c r="J1125" s="75" t="inlineStr">
        <is>
          <t>V10016</t>
        </is>
      </c>
      <c r="K1125" s="75" t="inlineStr">
        <is>
          <t>X서비스</t>
        </is>
      </c>
      <c r="M1125" s="9">
        <f>IF($A1125="","",VALUE($A1125&amp;"")*12+VALUE($B1125&amp;""))</f>
        <v/>
      </c>
      <c r="N1125" s="39">
        <f>IF($A1125="","",IFERROR(INDEX(부서매핑!$C$5:$C$504,MATCH($G1125&amp;"",부서매핑!$A$5:$A$504,0)),"미매핑"))</f>
        <v/>
      </c>
      <c r="O1125" s="9">
        <f>IF($A1125="","",N1125&amp;"|"&amp;$F1125)</f>
        <v/>
      </c>
      <c r="P1125" s="77">
        <f>IF($A1125="",0,$H1125*설정!$C$23)</f>
        <v/>
      </c>
      <c r="Q1125" s="39">
        <f>IF($A1125="","",IF(O1125&lt;&gt;원인분석!$C$9,"",IF(AND(M1125&gt;=원인분석!$C$10,M1125&lt;=원인분석!$C$11),"당기",IF(AND(M1125&gt;=원인분석!$C$12,M1125&lt;=원인분석!$C$13),"비교",""))))</f>
        <v/>
      </c>
      <c r="R1125" s="9">
        <f>IF(Q1125="","",$K1125&amp;"")</f>
        <v/>
      </c>
      <c r="S1125" s="9">
        <f>IF(Q1125="","",IF(MATCH(R1125,$R$5:$R$100000,0)=ROW()-4,ROW(),""))</f>
        <v/>
      </c>
      <c r="T1125" s="9">
        <f>IF(Q1125="당기",ABS(P1125)+ROW()/1000000000,"")</f>
        <v/>
      </c>
      <c r="U1125" s="9">
        <f>IF(Q1125="비교",ABS(P1125)+ROW()/1000000000,"")</f>
        <v/>
      </c>
      <c r="V1125" s="39">
        <f>IF($A1125="","",IF(COUNTIF(변동분석!$E$7:$E$506,O1125)&gt;0,"Y","N"))</f>
        <v/>
      </c>
      <c r="W1125" s="39">
        <f>IF($A1125="","",IFERROR(INDEX(계정매핑!$D$5:$D$504,MATCH($F1125&amp;"",계정매핑!$A$5:$A$504,0)),"미매핑"))</f>
        <v/>
      </c>
      <c r="X1125" s="9">
        <f>IF($A1125="","",$F1125&amp;"")</f>
        <v/>
      </c>
    </row>
    <row r="1126">
      <c r="A1126" s="75" t="n">
        <v>2025</v>
      </c>
      <c r="B1126" s="75" t="n">
        <v>6</v>
      </c>
      <c r="C1126" s="75" t="inlineStr">
        <is>
          <t>5100001122</t>
        </is>
      </c>
      <c r="D1126" s="78" t="n">
        <v>45830</v>
      </c>
      <c r="E1126" s="75" t="inlineStr">
        <is>
          <t>KR</t>
        </is>
      </c>
      <c r="F1126" s="75" t="n">
        <v>62101000</v>
      </c>
      <c r="G1126" s="75" t="n">
        <v>1801</v>
      </c>
      <c r="H1126" s="76" t="n">
        <v>243000</v>
      </c>
      <c r="I1126" s="75" t="inlineStr">
        <is>
          <t>6월 국내출장 - M항공</t>
        </is>
      </c>
      <c r="J1126" s="75" t="inlineStr">
        <is>
          <t>V10001</t>
        </is>
      </c>
      <c r="K1126" s="75" t="inlineStr">
        <is>
          <t>M항공</t>
        </is>
      </c>
      <c r="M1126" s="9">
        <f>IF($A1126="","",VALUE($A1126&amp;"")*12+VALUE($B1126&amp;""))</f>
        <v/>
      </c>
      <c r="N1126" s="39">
        <f>IF($A1126="","",IFERROR(INDEX(부서매핑!$C$5:$C$504,MATCH($G1126&amp;"",부서매핑!$A$5:$A$504,0)),"미매핑"))</f>
        <v/>
      </c>
      <c r="O1126" s="9">
        <f>IF($A1126="","",N1126&amp;"|"&amp;$F1126)</f>
        <v/>
      </c>
      <c r="P1126" s="77">
        <f>IF($A1126="",0,$H1126*설정!$C$23)</f>
        <v/>
      </c>
      <c r="Q1126" s="39">
        <f>IF($A1126="","",IF(O1126&lt;&gt;원인분석!$C$9,"",IF(AND(M1126&gt;=원인분석!$C$10,M1126&lt;=원인분석!$C$11),"당기",IF(AND(M1126&gt;=원인분석!$C$12,M1126&lt;=원인분석!$C$13),"비교",""))))</f>
        <v/>
      </c>
      <c r="R1126" s="9">
        <f>IF(Q1126="","",$K1126&amp;"")</f>
        <v/>
      </c>
      <c r="S1126" s="9">
        <f>IF(Q1126="","",IF(MATCH(R1126,$R$5:$R$100000,0)=ROW()-4,ROW(),""))</f>
        <v/>
      </c>
      <c r="T1126" s="9">
        <f>IF(Q1126="당기",ABS(P1126)+ROW()/1000000000,"")</f>
        <v/>
      </c>
      <c r="U1126" s="9">
        <f>IF(Q1126="비교",ABS(P1126)+ROW()/1000000000,"")</f>
        <v/>
      </c>
      <c r="V1126" s="39">
        <f>IF($A1126="","",IF(COUNTIF(변동분석!$E$7:$E$506,O1126)&gt;0,"Y","N"))</f>
        <v/>
      </c>
      <c r="W1126" s="39">
        <f>IF($A1126="","",IFERROR(INDEX(계정매핑!$D$5:$D$504,MATCH($F1126&amp;"",계정매핑!$A$5:$A$504,0)),"미매핑"))</f>
        <v/>
      </c>
      <c r="X1126" s="9">
        <f>IF($A1126="","",$F1126&amp;"")</f>
        <v/>
      </c>
    </row>
    <row r="1127">
      <c r="A1127" s="75" t="n">
        <v>2025</v>
      </c>
      <c r="B1127" s="75" t="n">
        <v>6</v>
      </c>
      <c r="C1127" s="75" t="inlineStr">
        <is>
          <t>5100001123</t>
        </is>
      </c>
      <c r="D1127" s="78" t="n">
        <v>45830</v>
      </c>
      <c r="E1127" s="75" t="inlineStr">
        <is>
          <t>KR</t>
        </is>
      </c>
      <c r="F1127" s="75" t="n">
        <v>62102000</v>
      </c>
      <c r="G1127" s="75" t="n">
        <v>1501</v>
      </c>
      <c r="H1127" s="76" t="n">
        <v>199000</v>
      </c>
      <c r="I1127" s="75" t="inlineStr">
        <is>
          <t>6월 해외출장 - N호텔</t>
        </is>
      </c>
      <c r="J1127" s="75" t="inlineStr">
        <is>
          <t>V10007</t>
        </is>
      </c>
      <c r="K1127" s="75" t="inlineStr">
        <is>
          <t>N호텔</t>
        </is>
      </c>
      <c r="M1127" s="9">
        <f>IF($A1127="","",VALUE($A1127&amp;"")*12+VALUE($B1127&amp;""))</f>
        <v/>
      </c>
      <c r="N1127" s="39">
        <f>IF($A1127="","",IFERROR(INDEX(부서매핑!$C$5:$C$504,MATCH($G1127&amp;"",부서매핑!$A$5:$A$504,0)),"미매핑"))</f>
        <v/>
      </c>
      <c r="O1127" s="9">
        <f>IF($A1127="","",N1127&amp;"|"&amp;$F1127)</f>
        <v/>
      </c>
      <c r="P1127" s="77">
        <f>IF($A1127="",0,$H1127*설정!$C$23)</f>
        <v/>
      </c>
      <c r="Q1127" s="39">
        <f>IF($A1127="","",IF(O1127&lt;&gt;원인분석!$C$9,"",IF(AND(M1127&gt;=원인분석!$C$10,M1127&lt;=원인분석!$C$11),"당기",IF(AND(M1127&gt;=원인분석!$C$12,M1127&lt;=원인분석!$C$13),"비교",""))))</f>
        <v/>
      </c>
      <c r="R1127" s="9">
        <f>IF(Q1127="","",$K1127&amp;"")</f>
        <v/>
      </c>
      <c r="S1127" s="9">
        <f>IF(Q1127="","",IF(MATCH(R1127,$R$5:$R$100000,0)=ROW()-4,ROW(),""))</f>
        <v/>
      </c>
      <c r="T1127" s="9">
        <f>IF(Q1127="당기",ABS(P1127)+ROW()/1000000000,"")</f>
        <v/>
      </c>
      <c r="U1127" s="9">
        <f>IF(Q1127="비교",ABS(P1127)+ROW()/1000000000,"")</f>
        <v/>
      </c>
      <c r="V1127" s="39">
        <f>IF($A1127="","",IF(COUNTIF(변동분석!$E$7:$E$506,O1127)&gt;0,"Y","N"))</f>
        <v/>
      </c>
      <c r="W1127" s="39">
        <f>IF($A1127="","",IFERROR(INDEX(계정매핑!$D$5:$D$504,MATCH($F1127&amp;"",계정매핑!$A$5:$A$504,0)),"미매핑"))</f>
        <v/>
      </c>
      <c r="X1127" s="9">
        <f>IF($A1127="","",$F1127&amp;"")</f>
        <v/>
      </c>
    </row>
    <row r="1128">
      <c r="A1128" s="75" t="n">
        <v>2025</v>
      </c>
      <c r="B1128" s="75" t="n">
        <v>6</v>
      </c>
      <c r="C1128" s="75" t="inlineStr">
        <is>
          <t>5100001124</t>
        </is>
      </c>
      <c r="D1128" s="78" t="n">
        <v>45830</v>
      </c>
      <c r="E1128" s="75" t="inlineStr">
        <is>
          <t>KR</t>
        </is>
      </c>
      <c r="F1128" s="75" t="n">
        <v>62102000</v>
      </c>
      <c r="G1128" s="75" t="n">
        <v>1601</v>
      </c>
      <c r="H1128" s="76" t="n">
        <v>583000</v>
      </c>
      <c r="I1128" s="75" t="inlineStr">
        <is>
          <t>6월 해외출장 - N호텔</t>
        </is>
      </c>
      <c r="J1128" s="75" t="inlineStr">
        <is>
          <t>V10007</t>
        </is>
      </c>
      <c r="K1128" s="75" t="inlineStr">
        <is>
          <t>N호텔</t>
        </is>
      </c>
      <c r="M1128" s="9">
        <f>IF($A1128="","",VALUE($A1128&amp;"")*12+VALUE($B1128&amp;""))</f>
        <v/>
      </c>
      <c r="N1128" s="39">
        <f>IF($A1128="","",IFERROR(INDEX(부서매핑!$C$5:$C$504,MATCH($G1128&amp;"",부서매핑!$A$5:$A$504,0)),"미매핑"))</f>
        <v/>
      </c>
      <c r="O1128" s="9">
        <f>IF($A1128="","",N1128&amp;"|"&amp;$F1128)</f>
        <v/>
      </c>
      <c r="P1128" s="77">
        <f>IF($A1128="",0,$H1128*설정!$C$23)</f>
        <v/>
      </c>
      <c r="Q1128" s="39">
        <f>IF($A1128="","",IF(O1128&lt;&gt;원인분석!$C$9,"",IF(AND(M1128&gt;=원인분석!$C$10,M1128&lt;=원인분석!$C$11),"당기",IF(AND(M1128&gt;=원인분석!$C$12,M1128&lt;=원인분석!$C$13),"비교",""))))</f>
        <v/>
      </c>
      <c r="R1128" s="9">
        <f>IF(Q1128="","",$K1128&amp;"")</f>
        <v/>
      </c>
      <c r="S1128" s="9">
        <f>IF(Q1128="","",IF(MATCH(R1128,$R$5:$R$100000,0)=ROW()-4,ROW(),""))</f>
        <v/>
      </c>
      <c r="T1128" s="9">
        <f>IF(Q1128="당기",ABS(P1128)+ROW()/1000000000,"")</f>
        <v/>
      </c>
      <c r="U1128" s="9">
        <f>IF(Q1128="비교",ABS(P1128)+ROW()/1000000000,"")</f>
        <v/>
      </c>
      <c r="V1128" s="39">
        <f>IF($A1128="","",IF(COUNTIF(변동분석!$E$7:$E$506,O1128)&gt;0,"Y","N"))</f>
        <v/>
      </c>
      <c r="W1128" s="39">
        <f>IF($A1128="","",IFERROR(INDEX(계정매핑!$D$5:$D$504,MATCH($F1128&amp;"",계정매핑!$A$5:$A$504,0)),"미매핑"))</f>
        <v/>
      </c>
      <c r="X1128" s="9">
        <f>IF($A1128="","",$F1128&amp;"")</f>
        <v/>
      </c>
    </row>
    <row r="1129">
      <c r="A1129" s="75" t="n">
        <v>2025</v>
      </c>
      <c r="B1129" s="75" t="n">
        <v>6</v>
      </c>
      <c r="C1129" s="75" t="inlineStr">
        <is>
          <t>5100001125</t>
        </is>
      </c>
      <c r="D1129" s="78" t="n">
        <v>45830</v>
      </c>
      <c r="E1129" s="75" t="inlineStr">
        <is>
          <t>KR</t>
        </is>
      </c>
      <c r="F1129" s="75" t="n">
        <v>62201000</v>
      </c>
      <c r="G1129" s="75" t="n">
        <v>1201</v>
      </c>
      <c r="H1129" s="76" t="n">
        <v>145000</v>
      </c>
      <c r="I1129" s="75" t="inlineStr">
        <is>
          <t>6월 통신요금 - P통신</t>
        </is>
      </c>
      <c r="J1129" s="75" t="inlineStr">
        <is>
          <t>V10011</t>
        </is>
      </c>
      <c r="K1129" s="75" t="inlineStr">
        <is>
          <t>P통신</t>
        </is>
      </c>
      <c r="M1129" s="9">
        <f>IF($A1129="","",VALUE($A1129&amp;"")*12+VALUE($B1129&amp;""))</f>
        <v/>
      </c>
      <c r="N1129" s="39">
        <f>IF($A1129="","",IFERROR(INDEX(부서매핑!$C$5:$C$504,MATCH($G1129&amp;"",부서매핑!$A$5:$A$504,0)),"미매핑"))</f>
        <v/>
      </c>
      <c r="O1129" s="9">
        <f>IF($A1129="","",N1129&amp;"|"&amp;$F1129)</f>
        <v/>
      </c>
      <c r="P1129" s="77">
        <f>IF($A1129="",0,$H1129*설정!$C$23)</f>
        <v/>
      </c>
      <c r="Q1129" s="39">
        <f>IF($A1129="","",IF(O1129&lt;&gt;원인분석!$C$9,"",IF(AND(M1129&gt;=원인분석!$C$10,M1129&lt;=원인분석!$C$11),"당기",IF(AND(M1129&gt;=원인분석!$C$12,M1129&lt;=원인분석!$C$13),"비교",""))))</f>
        <v/>
      </c>
      <c r="R1129" s="9">
        <f>IF(Q1129="","",$K1129&amp;"")</f>
        <v/>
      </c>
      <c r="S1129" s="9">
        <f>IF(Q1129="","",IF(MATCH(R1129,$R$5:$R$100000,0)=ROW()-4,ROW(),""))</f>
        <v/>
      </c>
      <c r="T1129" s="9">
        <f>IF(Q1129="당기",ABS(P1129)+ROW()/1000000000,"")</f>
        <v/>
      </c>
      <c r="U1129" s="9">
        <f>IF(Q1129="비교",ABS(P1129)+ROW()/1000000000,"")</f>
        <v/>
      </c>
      <c r="V1129" s="39">
        <f>IF($A1129="","",IF(COUNTIF(변동분석!$E$7:$E$506,O1129)&gt;0,"Y","N"))</f>
        <v/>
      </c>
      <c r="W1129" s="39">
        <f>IF($A1129="","",IFERROR(INDEX(계정매핑!$D$5:$D$504,MATCH($F1129&amp;"",계정매핑!$A$5:$A$504,0)),"미매핑"))</f>
        <v/>
      </c>
      <c r="X1129" s="9">
        <f>IF($A1129="","",$F1129&amp;"")</f>
        <v/>
      </c>
    </row>
    <row r="1130">
      <c r="A1130" s="75" t="n">
        <v>2025</v>
      </c>
      <c r="B1130" s="75" t="n">
        <v>6</v>
      </c>
      <c r="C1130" s="75" t="inlineStr">
        <is>
          <t>5100001126</t>
        </is>
      </c>
      <c r="D1130" s="78" t="n">
        <v>45830</v>
      </c>
      <c r="E1130" s="75" t="inlineStr">
        <is>
          <t>KR</t>
        </is>
      </c>
      <c r="F1130" s="75" t="n">
        <v>62201000</v>
      </c>
      <c r="G1130" s="75" t="n">
        <v>1801</v>
      </c>
      <c r="H1130" s="76" t="n">
        <v>3766000</v>
      </c>
      <c r="I1130" s="75" t="inlineStr">
        <is>
          <t>6월 통신요금 - P통신</t>
        </is>
      </c>
      <c r="J1130" s="75" t="inlineStr">
        <is>
          <t>V10011</t>
        </is>
      </c>
      <c r="K1130" s="75" t="inlineStr">
        <is>
          <t>P통신</t>
        </is>
      </c>
      <c r="M1130" s="9">
        <f>IF($A1130="","",VALUE($A1130&amp;"")*12+VALUE($B1130&amp;""))</f>
        <v/>
      </c>
      <c r="N1130" s="39">
        <f>IF($A1130="","",IFERROR(INDEX(부서매핑!$C$5:$C$504,MATCH($G1130&amp;"",부서매핑!$A$5:$A$504,0)),"미매핑"))</f>
        <v/>
      </c>
      <c r="O1130" s="9">
        <f>IF($A1130="","",N1130&amp;"|"&amp;$F1130)</f>
        <v/>
      </c>
      <c r="P1130" s="77">
        <f>IF($A1130="",0,$H1130*설정!$C$23)</f>
        <v/>
      </c>
      <c r="Q1130" s="39">
        <f>IF($A1130="","",IF(O1130&lt;&gt;원인분석!$C$9,"",IF(AND(M1130&gt;=원인분석!$C$10,M1130&lt;=원인분석!$C$11),"당기",IF(AND(M1130&gt;=원인분석!$C$12,M1130&lt;=원인분석!$C$13),"비교",""))))</f>
        <v/>
      </c>
      <c r="R1130" s="9">
        <f>IF(Q1130="","",$K1130&amp;"")</f>
        <v/>
      </c>
      <c r="S1130" s="9">
        <f>IF(Q1130="","",IF(MATCH(R1130,$R$5:$R$100000,0)=ROW()-4,ROW(),""))</f>
        <v/>
      </c>
      <c r="T1130" s="9">
        <f>IF(Q1130="당기",ABS(P1130)+ROW()/1000000000,"")</f>
        <v/>
      </c>
      <c r="U1130" s="9">
        <f>IF(Q1130="비교",ABS(P1130)+ROW()/1000000000,"")</f>
        <v/>
      </c>
      <c r="V1130" s="39">
        <f>IF($A1130="","",IF(COUNTIF(변동분석!$E$7:$E$506,O1130)&gt;0,"Y","N"))</f>
        <v/>
      </c>
      <c r="W1130" s="39">
        <f>IF($A1130="","",IFERROR(INDEX(계정매핑!$D$5:$D$504,MATCH($F1130&amp;"",계정매핑!$A$5:$A$504,0)),"미매핑"))</f>
        <v/>
      </c>
      <c r="X1130" s="9">
        <f>IF($A1130="","",$F1130&amp;"")</f>
        <v/>
      </c>
    </row>
    <row r="1131">
      <c r="A1131" s="75" t="n">
        <v>2025</v>
      </c>
      <c r="B1131" s="75" t="n">
        <v>6</v>
      </c>
      <c r="C1131" s="75" t="inlineStr">
        <is>
          <t>5100001127</t>
        </is>
      </c>
      <c r="D1131" s="78" t="n">
        <v>45830</v>
      </c>
      <c r="E1131" s="75" t="inlineStr">
        <is>
          <t>KR</t>
        </is>
      </c>
      <c r="F1131" s="75" t="n">
        <v>62401000</v>
      </c>
      <c r="G1131" s="75" t="n">
        <v>1801</v>
      </c>
      <c r="H1131" s="76" t="n">
        <v>2984000</v>
      </c>
      <c r="I1131" s="75" t="inlineStr">
        <is>
          <t>6월 인쇄물 제작 - S출판</t>
        </is>
      </c>
      <c r="J1131" s="75" t="inlineStr">
        <is>
          <t>V10012</t>
        </is>
      </c>
      <c r="K1131" s="75" t="inlineStr">
        <is>
          <t>S출판</t>
        </is>
      </c>
      <c r="M1131" s="9">
        <f>IF($A1131="","",VALUE($A1131&amp;"")*12+VALUE($B1131&amp;""))</f>
        <v/>
      </c>
      <c r="N1131" s="39">
        <f>IF($A1131="","",IFERROR(INDEX(부서매핑!$C$5:$C$504,MATCH($G1131&amp;"",부서매핑!$A$5:$A$504,0)),"미매핑"))</f>
        <v/>
      </c>
      <c r="O1131" s="9">
        <f>IF($A1131="","",N1131&amp;"|"&amp;$F1131)</f>
        <v/>
      </c>
      <c r="P1131" s="77">
        <f>IF($A1131="",0,$H1131*설정!$C$23)</f>
        <v/>
      </c>
      <c r="Q1131" s="39">
        <f>IF($A1131="","",IF(O1131&lt;&gt;원인분석!$C$9,"",IF(AND(M1131&gt;=원인분석!$C$10,M1131&lt;=원인분석!$C$11),"당기",IF(AND(M1131&gt;=원인분석!$C$12,M1131&lt;=원인분석!$C$13),"비교",""))))</f>
        <v/>
      </c>
      <c r="R1131" s="9">
        <f>IF(Q1131="","",$K1131&amp;"")</f>
        <v/>
      </c>
      <c r="S1131" s="9">
        <f>IF(Q1131="","",IF(MATCH(R1131,$R$5:$R$100000,0)=ROW()-4,ROW(),""))</f>
        <v/>
      </c>
      <c r="T1131" s="9">
        <f>IF(Q1131="당기",ABS(P1131)+ROW()/1000000000,"")</f>
        <v/>
      </c>
      <c r="U1131" s="9">
        <f>IF(Q1131="비교",ABS(P1131)+ROW()/1000000000,"")</f>
        <v/>
      </c>
      <c r="V1131" s="39">
        <f>IF($A1131="","",IF(COUNTIF(변동분석!$E$7:$E$506,O1131)&gt;0,"Y","N"))</f>
        <v/>
      </c>
      <c r="W1131" s="39">
        <f>IF($A1131="","",IFERROR(INDEX(계정매핑!$D$5:$D$504,MATCH($F1131&amp;"",계정매핑!$A$5:$A$504,0)),"미매핑"))</f>
        <v/>
      </c>
      <c r="X1131" s="9">
        <f>IF($A1131="","",$F1131&amp;"")</f>
        <v/>
      </c>
    </row>
    <row r="1132">
      <c r="A1132" s="75" t="n">
        <v>2025</v>
      </c>
      <c r="B1132" s="75" t="n">
        <v>6</v>
      </c>
      <c r="C1132" s="75" t="inlineStr">
        <is>
          <t>5100001128</t>
        </is>
      </c>
      <c r="D1132" s="78" t="n">
        <v>45830</v>
      </c>
      <c r="E1132" s="75" t="inlineStr">
        <is>
          <t>KR</t>
        </is>
      </c>
      <c r="F1132" s="75" t="n">
        <v>62501000</v>
      </c>
      <c r="G1132" s="75" t="n">
        <v>1201</v>
      </c>
      <c r="H1132" s="76" t="n">
        <v>73000</v>
      </c>
      <c r="I1132" s="75" t="inlineStr">
        <is>
          <t>6월 회의 다과 - T케이터링</t>
        </is>
      </c>
      <c r="J1132" s="75" t="inlineStr">
        <is>
          <t>V10005</t>
        </is>
      </c>
      <c r="K1132" s="75" t="inlineStr">
        <is>
          <t>T케이터링</t>
        </is>
      </c>
      <c r="M1132" s="9">
        <f>IF($A1132="","",VALUE($A1132&amp;"")*12+VALUE($B1132&amp;""))</f>
        <v/>
      </c>
      <c r="N1132" s="39">
        <f>IF($A1132="","",IFERROR(INDEX(부서매핑!$C$5:$C$504,MATCH($G1132&amp;"",부서매핑!$A$5:$A$504,0)),"미매핑"))</f>
        <v/>
      </c>
      <c r="O1132" s="9">
        <f>IF($A1132="","",N1132&amp;"|"&amp;$F1132)</f>
        <v/>
      </c>
      <c r="P1132" s="77">
        <f>IF($A1132="",0,$H1132*설정!$C$23)</f>
        <v/>
      </c>
      <c r="Q1132" s="39">
        <f>IF($A1132="","",IF(O1132&lt;&gt;원인분석!$C$9,"",IF(AND(M1132&gt;=원인분석!$C$10,M1132&lt;=원인분석!$C$11),"당기",IF(AND(M1132&gt;=원인분석!$C$12,M1132&lt;=원인분석!$C$13),"비교",""))))</f>
        <v/>
      </c>
      <c r="R1132" s="9">
        <f>IF(Q1132="","",$K1132&amp;"")</f>
        <v/>
      </c>
      <c r="S1132" s="9">
        <f>IF(Q1132="","",IF(MATCH(R1132,$R$5:$R$100000,0)=ROW()-4,ROW(),""))</f>
        <v/>
      </c>
      <c r="T1132" s="9">
        <f>IF(Q1132="당기",ABS(P1132)+ROW()/1000000000,"")</f>
        <v/>
      </c>
      <c r="U1132" s="9">
        <f>IF(Q1132="비교",ABS(P1132)+ROW()/1000000000,"")</f>
        <v/>
      </c>
      <c r="V1132" s="39">
        <f>IF($A1132="","",IF(COUNTIF(변동분석!$E$7:$E$506,O1132)&gt;0,"Y","N"))</f>
        <v/>
      </c>
      <c r="W1132" s="39">
        <f>IF($A1132="","",IFERROR(INDEX(계정매핑!$D$5:$D$504,MATCH($F1132&amp;"",계정매핑!$A$5:$A$504,0)),"미매핑"))</f>
        <v/>
      </c>
      <c r="X1132" s="9">
        <f>IF($A1132="","",$F1132&amp;"")</f>
        <v/>
      </c>
    </row>
    <row r="1133">
      <c r="A1133" s="75" t="n">
        <v>2025</v>
      </c>
      <c r="B1133" s="75" t="n">
        <v>6</v>
      </c>
      <c r="C1133" s="75" t="inlineStr">
        <is>
          <t>5100001129</t>
        </is>
      </c>
      <c r="D1133" s="78" t="n">
        <v>45830</v>
      </c>
      <c r="E1133" s="75" t="inlineStr">
        <is>
          <t>KR</t>
        </is>
      </c>
      <c r="F1133" s="75" t="n">
        <v>62901000</v>
      </c>
      <c r="G1133" s="75" t="n">
        <v>1401</v>
      </c>
      <c r="H1133" s="76" t="n">
        <v>8922000</v>
      </c>
      <c r="I1133" s="75" t="inlineStr">
        <is>
          <t>6월 자문 수수료 - W컨설팅</t>
        </is>
      </c>
      <c r="J1133" s="75" t="inlineStr">
        <is>
          <t>V10009</t>
        </is>
      </c>
      <c r="K1133" s="75" t="inlineStr">
        <is>
          <t>W컨설팅</t>
        </is>
      </c>
      <c r="M1133" s="9">
        <f>IF($A1133="","",VALUE($A1133&amp;"")*12+VALUE($B1133&amp;""))</f>
        <v/>
      </c>
      <c r="N1133" s="39">
        <f>IF($A1133="","",IFERROR(INDEX(부서매핑!$C$5:$C$504,MATCH($G1133&amp;"",부서매핑!$A$5:$A$504,0)),"미매핑"))</f>
        <v/>
      </c>
      <c r="O1133" s="9">
        <f>IF($A1133="","",N1133&amp;"|"&amp;$F1133)</f>
        <v/>
      </c>
      <c r="P1133" s="77">
        <f>IF($A1133="",0,$H1133*설정!$C$23)</f>
        <v/>
      </c>
      <c r="Q1133" s="39">
        <f>IF($A1133="","",IF(O1133&lt;&gt;원인분석!$C$9,"",IF(AND(M1133&gt;=원인분석!$C$10,M1133&lt;=원인분석!$C$11),"당기",IF(AND(M1133&gt;=원인분석!$C$12,M1133&lt;=원인분석!$C$13),"비교",""))))</f>
        <v/>
      </c>
      <c r="R1133" s="9">
        <f>IF(Q1133="","",$K1133&amp;"")</f>
        <v/>
      </c>
      <c r="S1133" s="9">
        <f>IF(Q1133="","",IF(MATCH(R1133,$R$5:$R$100000,0)=ROW()-4,ROW(),""))</f>
        <v/>
      </c>
      <c r="T1133" s="9">
        <f>IF(Q1133="당기",ABS(P1133)+ROW()/1000000000,"")</f>
        <v/>
      </c>
      <c r="U1133" s="9">
        <f>IF(Q1133="비교",ABS(P1133)+ROW()/1000000000,"")</f>
        <v/>
      </c>
      <c r="V1133" s="39">
        <f>IF($A1133="","",IF(COUNTIF(변동분석!$E$7:$E$506,O1133)&gt;0,"Y","N"))</f>
        <v/>
      </c>
      <c r="W1133" s="39">
        <f>IF($A1133="","",IFERROR(INDEX(계정매핑!$D$5:$D$504,MATCH($F1133&amp;"",계정매핑!$A$5:$A$504,0)),"미매핑"))</f>
        <v/>
      </c>
      <c r="X1133" s="9">
        <f>IF($A1133="","",$F1133&amp;"")</f>
        <v/>
      </c>
    </row>
    <row r="1134">
      <c r="A1134" s="75" t="n">
        <v>2025</v>
      </c>
      <c r="B1134" s="75" t="n">
        <v>6</v>
      </c>
      <c r="C1134" s="75" t="inlineStr">
        <is>
          <t>5100001130</t>
        </is>
      </c>
      <c r="D1134" s="78" t="n">
        <v>45830</v>
      </c>
      <c r="E1134" s="75" t="inlineStr">
        <is>
          <t>KR</t>
        </is>
      </c>
      <c r="F1134" s="75" t="n">
        <v>62901000</v>
      </c>
      <c r="G1134" s="75" t="n">
        <v>1801</v>
      </c>
      <c r="H1134" s="76" t="n">
        <v>12070000</v>
      </c>
      <c r="I1134" s="75" t="inlineStr">
        <is>
          <t>6월 자문 수수료 - W컨설팅</t>
        </is>
      </c>
      <c r="J1134" s="75" t="inlineStr">
        <is>
          <t>V10009</t>
        </is>
      </c>
      <c r="K1134" s="75" t="inlineStr">
        <is>
          <t>W컨설팅</t>
        </is>
      </c>
      <c r="M1134" s="9">
        <f>IF($A1134="","",VALUE($A1134&amp;"")*12+VALUE($B1134&amp;""))</f>
        <v/>
      </c>
      <c r="N1134" s="39">
        <f>IF($A1134="","",IFERROR(INDEX(부서매핑!$C$5:$C$504,MATCH($G1134&amp;"",부서매핑!$A$5:$A$504,0)),"미매핑"))</f>
        <v/>
      </c>
      <c r="O1134" s="9">
        <f>IF($A1134="","",N1134&amp;"|"&amp;$F1134)</f>
        <v/>
      </c>
      <c r="P1134" s="77">
        <f>IF($A1134="",0,$H1134*설정!$C$23)</f>
        <v/>
      </c>
      <c r="Q1134" s="39">
        <f>IF($A1134="","",IF(O1134&lt;&gt;원인분석!$C$9,"",IF(AND(M1134&gt;=원인분석!$C$10,M1134&lt;=원인분석!$C$11),"당기",IF(AND(M1134&gt;=원인분석!$C$12,M1134&lt;=원인분석!$C$13),"비교",""))))</f>
        <v/>
      </c>
      <c r="R1134" s="9">
        <f>IF(Q1134="","",$K1134&amp;"")</f>
        <v/>
      </c>
      <c r="S1134" s="9">
        <f>IF(Q1134="","",IF(MATCH(R1134,$R$5:$R$100000,0)=ROW()-4,ROW(),""))</f>
        <v/>
      </c>
      <c r="T1134" s="9">
        <f>IF(Q1134="당기",ABS(P1134)+ROW()/1000000000,"")</f>
        <v/>
      </c>
      <c r="U1134" s="9">
        <f>IF(Q1134="비교",ABS(P1134)+ROW()/1000000000,"")</f>
        <v/>
      </c>
      <c r="V1134" s="39">
        <f>IF($A1134="","",IF(COUNTIF(변동분석!$E$7:$E$506,O1134)&gt;0,"Y","N"))</f>
        <v/>
      </c>
      <c r="W1134" s="39">
        <f>IF($A1134="","",IFERROR(INDEX(계정매핑!$D$5:$D$504,MATCH($F1134&amp;"",계정매핑!$A$5:$A$504,0)),"미매핑"))</f>
        <v/>
      </c>
      <c r="X1134" s="9">
        <f>IF($A1134="","",$F1134&amp;"")</f>
        <v/>
      </c>
    </row>
    <row r="1135">
      <c r="A1135" s="75" t="n">
        <v>2025</v>
      </c>
      <c r="B1135" s="75" t="n">
        <v>6</v>
      </c>
      <c r="C1135" s="75" t="inlineStr">
        <is>
          <t>5100001131</t>
        </is>
      </c>
      <c r="D1135" s="78" t="n">
        <v>45830</v>
      </c>
      <c r="E1135" s="75" t="inlineStr">
        <is>
          <t>KR</t>
        </is>
      </c>
      <c r="F1135" s="75" t="n">
        <v>62902000</v>
      </c>
      <c r="G1135" s="75" t="n">
        <v>1201</v>
      </c>
      <c r="H1135" s="76" t="n">
        <v>3023000</v>
      </c>
      <c r="I1135" s="75" t="inlineStr">
        <is>
          <t>6월 업무 위탁 수수료 - X서비스</t>
        </is>
      </c>
      <c r="J1135" s="75" t="inlineStr">
        <is>
          <t>V10016</t>
        </is>
      </c>
      <c r="K1135" s="75" t="inlineStr">
        <is>
          <t>X서비스</t>
        </is>
      </c>
      <c r="M1135" s="9">
        <f>IF($A1135="","",VALUE($A1135&amp;"")*12+VALUE($B1135&amp;""))</f>
        <v/>
      </c>
      <c r="N1135" s="39">
        <f>IF($A1135="","",IFERROR(INDEX(부서매핑!$C$5:$C$504,MATCH($G1135&amp;"",부서매핑!$A$5:$A$504,0)),"미매핑"))</f>
        <v/>
      </c>
      <c r="O1135" s="9">
        <f>IF($A1135="","",N1135&amp;"|"&amp;$F1135)</f>
        <v/>
      </c>
      <c r="P1135" s="77">
        <f>IF($A1135="",0,$H1135*설정!$C$23)</f>
        <v/>
      </c>
      <c r="Q1135" s="39">
        <f>IF($A1135="","",IF(O1135&lt;&gt;원인분석!$C$9,"",IF(AND(M1135&gt;=원인분석!$C$10,M1135&lt;=원인분석!$C$11),"당기",IF(AND(M1135&gt;=원인분석!$C$12,M1135&lt;=원인분석!$C$13),"비교",""))))</f>
        <v/>
      </c>
      <c r="R1135" s="9">
        <f>IF(Q1135="","",$K1135&amp;"")</f>
        <v/>
      </c>
      <c r="S1135" s="9">
        <f>IF(Q1135="","",IF(MATCH(R1135,$R$5:$R$100000,0)=ROW()-4,ROW(),""))</f>
        <v/>
      </c>
      <c r="T1135" s="9">
        <f>IF(Q1135="당기",ABS(P1135)+ROW()/1000000000,"")</f>
        <v/>
      </c>
      <c r="U1135" s="9">
        <f>IF(Q1135="비교",ABS(P1135)+ROW()/1000000000,"")</f>
        <v/>
      </c>
      <c r="V1135" s="39">
        <f>IF($A1135="","",IF(COUNTIF(변동분석!$E$7:$E$506,O1135)&gt;0,"Y","N"))</f>
        <v/>
      </c>
      <c r="W1135" s="39">
        <f>IF($A1135="","",IFERROR(INDEX(계정매핑!$D$5:$D$504,MATCH($F1135&amp;"",계정매핑!$A$5:$A$504,0)),"미매핑"))</f>
        <v/>
      </c>
      <c r="X1135" s="9">
        <f>IF($A1135="","",$F1135&amp;"")</f>
        <v/>
      </c>
    </row>
    <row r="1136">
      <c r="A1136" s="75" t="n">
        <v>2025</v>
      </c>
      <c r="B1136" s="75" t="n">
        <v>6</v>
      </c>
      <c r="C1136" s="75" t="inlineStr">
        <is>
          <t>5100001132</t>
        </is>
      </c>
      <c r="D1136" s="78" t="n">
        <v>45831</v>
      </c>
      <c r="E1136" s="75" t="inlineStr">
        <is>
          <t>KR</t>
        </is>
      </c>
      <c r="F1136" s="75" t="n">
        <v>62101000</v>
      </c>
      <c r="G1136" s="75" t="n">
        <v>1501</v>
      </c>
      <c r="H1136" s="76" t="n">
        <v>540000</v>
      </c>
      <c r="I1136" s="75" t="inlineStr">
        <is>
          <t>6월 국내출장 - M항공</t>
        </is>
      </c>
      <c r="J1136" s="75" t="inlineStr">
        <is>
          <t>V10001</t>
        </is>
      </c>
      <c r="K1136" s="75" t="inlineStr">
        <is>
          <t>M항공</t>
        </is>
      </c>
      <c r="M1136" s="9">
        <f>IF($A1136="","",VALUE($A1136&amp;"")*12+VALUE($B1136&amp;""))</f>
        <v/>
      </c>
      <c r="N1136" s="39">
        <f>IF($A1136="","",IFERROR(INDEX(부서매핑!$C$5:$C$504,MATCH($G1136&amp;"",부서매핑!$A$5:$A$504,0)),"미매핑"))</f>
        <v/>
      </c>
      <c r="O1136" s="9">
        <f>IF($A1136="","",N1136&amp;"|"&amp;$F1136)</f>
        <v/>
      </c>
      <c r="P1136" s="77">
        <f>IF($A1136="",0,$H1136*설정!$C$23)</f>
        <v/>
      </c>
      <c r="Q1136" s="39">
        <f>IF($A1136="","",IF(O1136&lt;&gt;원인분석!$C$9,"",IF(AND(M1136&gt;=원인분석!$C$10,M1136&lt;=원인분석!$C$11),"당기",IF(AND(M1136&gt;=원인분석!$C$12,M1136&lt;=원인분석!$C$13),"비교",""))))</f>
        <v/>
      </c>
      <c r="R1136" s="9">
        <f>IF(Q1136="","",$K1136&amp;"")</f>
        <v/>
      </c>
      <c r="S1136" s="9">
        <f>IF(Q1136="","",IF(MATCH(R1136,$R$5:$R$100000,0)=ROW()-4,ROW(),""))</f>
        <v/>
      </c>
      <c r="T1136" s="9">
        <f>IF(Q1136="당기",ABS(P1136)+ROW()/1000000000,"")</f>
        <v/>
      </c>
      <c r="U1136" s="9">
        <f>IF(Q1136="비교",ABS(P1136)+ROW()/1000000000,"")</f>
        <v/>
      </c>
      <c r="V1136" s="39">
        <f>IF($A1136="","",IF(COUNTIF(변동분석!$E$7:$E$506,O1136)&gt;0,"Y","N"))</f>
        <v/>
      </c>
      <c r="W1136" s="39">
        <f>IF($A1136="","",IFERROR(INDEX(계정매핑!$D$5:$D$504,MATCH($F1136&amp;"",계정매핑!$A$5:$A$504,0)),"미매핑"))</f>
        <v/>
      </c>
      <c r="X1136" s="9">
        <f>IF($A1136="","",$F1136&amp;"")</f>
        <v/>
      </c>
    </row>
    <row r="1137">
      <c r="A1137" s="75" t="n">
        <v>2025</v>
      </c>
      <c r="B1137" s="75" t="n">
        <v>6</v>
      </c>
      <c r="C1137" s="75" t="inlineStr">
        <is>
          <t>5100001133</t>
        </is>
      </c>
      <c r="D1137" s="78" t="n">
        <v>45831</v>
      </c>
      <c r="E1137" s="75" t="inlineStr">
        <is>
          <t>KR</t>
        </is>
      </c>
      <c r="F1137" s="75" t="n">
        <v>62101000</v>
      </c>
      <c r="G1137" s="75" t="n">
        <v>1601</v>
      </c>
      <c r="H1137" s="76" t="n">
        <v>1579000</v>
      </c>
      <c r="I1137" s="75" t="inlineStr">
        <is>
          <t>6월 국내출장 - M항공</t>
        </is>
      </c>
      <c r="J1137" s="75" t="inlineStr">
        <is>
          <t>V10001</t>
        </is>
      </c>
      <c r="K1137" s="75" t="inlineStr">
        <is>
          <t>M항공</t>
        </is>
      </c>
      <c r="M1137" s="9">
        <f>IF($A1137="","",VALUE($A1137&amp;"")*12+VALUE($B1137&amp;""))</f>
        <v/>
      </c>
      <c r="N1137" s="39">
        <f>IF($A1137="","",IFERROR(INDEX(부서매핑!$C$5:$C$504,MATCH($G1137&amp;"",부서매핑!$A$5:$A$504,0)),"미매핑"))</f>
        <v/>
      </c>
      <c r="O1137" s="9">
        <f>IF($A1137="","",N1137&amp;"|"&amp;$F1137)</f>
        <v/>
      </c>
      <c r="P1137" s="77">
        <f>IF($A1137="",0,$H1137*설정!$C$23)</f>
        <v/>
      </c>
      <c r="Q1137" s="39">
        <f>IF($A1137="","",IF(O1137&lt;&gt;원인분석!$C$9,"",IF(AND(M1137&gt;=원인분석!$C$10,M1137&lt;=원인분석!$C$11),"당기",IF(AND(M1137&gt;=원인분석!$C$12,M1137&lt;=원인분석!$C$13),"비교",""))))</f>
        <v/>
      </c>
      <c r="R1137" s="9">
        <f>IF(Q1137="","",$K1137&amp;"")</f>
        <v/>
      </c>
      <c r="S1137" s="9">
        <f>IF(Q1137="","",IF(MATCH(R1137,$R$5:$R$100000,0)=ROW()-4,ROW(),""))</f>
        <v/>
      </c>
      <c r="T1137" s="9">
        <f>IF(Q1137="당기",ABS(P1137)+ROW()/1000000000,"")</f>
        <v/>
      </c>
      <c r="U1137" s="9">
        <f>IF(Q1137="비교",ABS(P1137)+ROW()/1000000000,"")</f>
        <v/>
      </c>
      <c r="V1137" s="39">
        <f>IF($A1137="","",IF(COUNTIF(변동분석!$E$7:$E$506,O1137)&gt;0,"Y","N"))</f>
        <v/>
      </c>
      <c r="W1137" s="39">
        <f>IF($A1137="","",IFERROR(INDEX(계정매핑!$D$5:$D$504,MATCH($F1137&amp;"",계정매핑!$A$5:$A$504,0)),"미매핑"))</f>
        <v/>
      </c>
      <c r="X1137" s="9">
        <f>IF($A1137="","",$F1137&amp;"")</f>
        <v/>
      </c>
    </row>
    <row r="1138">
      <c r="A1138" s="75" t="n">
        <v>2025</v>
      </c>
      <c r="B1138" s="75" t="n">
        <v>6</v>
      </c>
      <c r="C1138" s="75" t="inlineStr">
        <is>
          <t>5100001134</t>
        </is>
      </c>
      <c r="D1138" s="78" t="n">
        <v>45831</v>
      </c>
      <c r="E1138" s="75" t="inlineStr">
        <is>
          <t>KR</t>
        </is>
      </c>
      <c r="F1138" s="75" t="n">
        <v>62101000</v>
      </c>
      <c r="G1138" s="75" t="n">
        <v>1801</v>
      </c>
      <c r="H1138" s="76" t="n">
        <v>176000</v>
      </c>
      <c r="I1138" s="75" t="inlineStr">
        <is>
          <t>6월 국내출장 - L여행사</t>
        </is>
      </c>
      <c r="J1138" s="75" t="inlineStr">
        <is>
          <t>V10014</t>
        </is>
      </c>
      <c r="K1138" s="75" t="inlineStr">
        <is>
          <t>L여행사</t>
        </is>
      </c>
      <c r="M1138" s="9">
        <f>IF($A1138="","",VALUE($A1138&amp;"")*12+VALUE($B1138&amp;""))</f>
        <v/>
      </c>
      <c r="N1138" s="39">
        <f>IF($A1138="","",IFERROR(INDEX(부서매핑!$C$5:$C$504,MATCH($G1138&amp;"",부서매핑!$A$5:$A$504,0)),"미매핑"))</f>
        <v/>
      </c>
      <c r="O1138" s="9">
        <f>IF($A1138="","",N1138&amp;"|"&amp;$F1138)</f>
        <v/>
      </c>
      <c r="P1138" s="77">
        <f>IF($A1138="",0,$H1138*설정!$C$23)</f>
        <v/>
      </c>
      <c r="Q1138" s="39">
        <f>IF($A1138="","",IF(O1138&lt;&gt;원인분석!$C$9,"",IF(AND(M1138&gt;=원인분석!$C$10,M1138&lt;=원인분석!$C$11),"당기",IF(AND(M1138&gt;=원인분석!$C$12,M1138&lt;=원인분석!$C$13),"비교",""))))</f>
        <v/>
      </c>
      <c r="R1138" s="9">
        <f>IF(Q1138="","",$K1138&amp;"")</f>
        <v/>
      </c>
      <c r="S1138" s="9">
        <f>IF(Q1138="","",IF(MATCH(R1138,$R$5:$R$100000,0)=ROW()-4,ROW(),""))</f>
        <v/>
      </c>
      <c r="T1138" s="9">
        <f>IF(Q1138="당기",ABS(P1138)+ROW()/1000000000,"")</f>
        <v/>
      </c>
      <c r="U1138" s="9">
        <f>IF(Q1138="비교",ABS(P1138)+ROW()/1000000000,"")</f>
        <v/>
      </c>
      <c r="V1138" s="39">
        <f>IF($A1138="","",IF(COUNTIF(변동분석!$E$7:$E$506,O1138)&gt;0,"Y","N"))</f>
        <v/>
      </c>
      <c r="W1138" s="39">
        <f>IF($A1138="","",IFERROR(INDEX(계정매핑!$D$5:$D$504,MATCH($F1138&amp;"",계정매핑!$A$5:$A$504,0)),"미매핑"))</f>
        <v/>
      </c>
      <c r="X1138" s="9">
        <f>IF($A1138="","",$F1138&amp;"")</f>
        <v/>
      </c>
    </row>
    <row r="1139">
      <c r="A1139" s="75" t="n">
        <v>2025</v>
      </c>
      <c r="B1139" s="75" t="n">
        <v>6</v>
      </c>
      <c r="C1139" s="75" t="inlineStr">
        <is>
          <t>5100001135</t>
        </is>
      </c>
      <c r="D1139" s="78" t="n">
        <v>45831</v>
      </c>
      <c r="E1139" s="75" t="inlineStr">
        <is>
          <t>KR</t>
        </is>
      </c>
      <c r="F1139" s="75" t="n">
        <v>62301000</v>
      </c>
      <c r="G1139" s="75" t="n">
        <v>1701</v>
      </c>
      <c r="H1139" s="76" t="n">
        <v>318000</v>
      </c>
      <c r="I1139" s="75" t="inlineStr">
        <is>
          <t>6월 소모품 구입 - Q오피스</t>
        </is>
      </c>
      <c r="J1139" s="75" t="inlineStr">
        <is>
          <t>V10003</t>
        </is>
      </c>
      <c r="K1139" s="75" t="inlineStr">
        <is>
          <t>Q오피스</t>
        </is>
      </c>
      <c r="M1139" s="9">
        <f>IF($A1139="","",VALUE($A1139&amp;"")*12+VALUE($B1139&amp;""))</f>
        <v/>
      </c>
      <c r="N1139" s="39">
        <f>IF($A1139="","",IFERROR(INDEX(부서매핑!$C$5:$C$504,MATCH($G1139&amp;"",부서매핑!$A$5:$A$504,0)),"미매핑"))</f>
        <v/>
      </c>
      <c r="O1139" s="9">
        <f>IF($A1139="","",N1139&amp;"|"&amp;$F1139)</f>
        <v/>
      </c>
      <c r="P1139" s="77">
        <f>IF($A1139="",0,$H1139*설정!$C$23)</f>
        <v/>
      </c>
      <c r="Q1139" s="39">
        <f>IF($A1139="","",IF(O1139&lt;&gt;원인분석!$C$9,"",IF(AND(M1139&gt;=원인분석!$C$10,M1139&lt;=원인분석!$C$11),"당기",IF(AND(M1139&gt;=원인분석!$C$12,M1139&lt;=원인분석!$C$13),"비교",""))))</f>
        <v/>
      </c>
      <c r="R1139" s="9">
        <f>IF(Q1139="","",$K1139&amp;"")</f>
        <v/>
      </c>
      <c r="S1139" s="9">
        <f>IF(Q1139="","",IF(MATCH(R1139,$R$5:$R$100000,0)=ROW()-4,ROW(),""))</f>
        <v/>
      </c>
      <c r="T1139" s="9">
        <f>IF(Q1139="당기",ABS(P1139)+ROW()/1000000000,"")</f>
        <v/>
      </c>
      <c r="U1139" s="9">
        <f>IF(Q1139="비교",ABS(P1139)+ROW()/1000000000,"")</f>
        <v/>
      </c>
      <c r="V1139" s="39">
        <f>IF($A1139="","",IF(COUNTIF(변동분석!$E$7:$E$506,O1139)&gt;0,"Y","N"))</f>
        <v/>
      </c>
      <c r="W1139" s="39">
        <f>IF($A1139="","",IFERROR(INDEX(계정매핑!$D$5:$D$504,MATCH($F1139&amp;"",계정매핑!$A$5:$A$504,0)),"미매핑"))</f>
        <v/>
      </c>
      <c r="X1139" s="9">
        <f>IF($A1139="","",$F1139&amp;"")</f>
        <v/>
      </c>
    </row>
    <row r="1140">
      <c r="A1140" s="75" t="n">
        <v>2025</v>
      </c>
      <c r="B1140" s="75" t="n">
        <v>6</v>
      </c>
      <c r="C1140" s="75" t="inlineStr">
        <is>
          <t>5100001136</t>
        </is>
      </c>
      <c r="D1140" s="78" t="n">
        <v>45831</v>
      </c>
      <c r="E1140" s="75" t="inlineStr">
        <is>
          <t>KR</t>
        </is>
      </c>
      <c r="F1140" s="75" t="n">
        <v>62401000</v>
      </c>
      <c r="G1140" s="75" t="n">
        <v>1801</v>
      </c>
      <c r="H1140" s="76" t="n">
        <v>4226000</v>
      </c>
      <c r="I1140" s="75" t="inlineStr">
        <is>
          <t>6월 인쇄물 제작 - G인쇄</t>
        </is>
      </c>
      <c r="J1140" s="75" t="inlineStr">
        <is>
          <t>V10004</t>
        </is>
      </c>
      <c r="K1140" s="75" t="inlineStr">
        <is>
          <t>G인쇄</t>
        </is>
      </c>
      <c r="M1140" s="9">
        <f>IF($A1140="","",VALUE($A1140&amp;"")*12+VALUE($B1140&amp;""))</f>
        <v/>
      </c>
      <c r="N1140" s="39">
        <f>IF($A1140="","",IFERROR(INDEX(부서매핑!$C$5:$C$504,MATCH($G1140&amp;"",부서매핑!$A$5:$A$504,0)),"미매핑"))</f>
        <v/>
      </c>
      <c r="O1140" s="9">
        <f>IF($A1140="","",N1140&amp;"|"&amp;$F1140)</f>
        <v/>
      </c>
      <c r="P1140" s="77">
        <f>IF($A1140="",0,$H1140*설정!$C$23)</f>
        <v/>
      </c>
      <c r="Q1140" s="39">
        <f>IF($A1140="","",IF(O1140&lt;&gt;원인분석!$C$9,"",IF(AND(M1140&gt;=원인분석!$C$10,M1140&lt;=원인분석!$C$11),"당기",IF(AND(M1140&gt;=원인분석!$C$12,M1140&lt;=원인분석!$C$13),"비교",""))))</f>
        <v/>
      </c>
      <c r="R1140" s="9">
        <f>IF(Q1140="","",$K1140&amp;"")</f>
        <v/>
      </c>
      <c r="S1140" s="9">
        <f>IF(Q1140="","",IF(MATCH(R1140,$R$5:$R$100000,0)=ROW()-4,ROW(),""))</f>
        <v/>
      </c>
      <c r="T1140" s="9">
        <f>IF(Q1140="당기",ABS(P1140)+ROW()/1000000000,"")</f>
        <v/>
      </c>
      <c r="U1140" s="9">
        <f>IF(Q1140="비교",ABS(P1140)+ROW()/1000000000,"")</f>
        <v/>
      </c>
      <c r="V1140" s="39">
        <f>IF($A1140="","",IF(COUNTIF(변동분석!$E$7:$E$506,O1140)&gt;0,"Y","N"))</f>
        <v/>
      </c>
      <c r="W1140" s="39">
        <f>IF($A1140="","",IFERROR(INDEX(계정매핑!$D$5:$D$504,MATCH($F1140&amp;"",계정매핑!$A$5:$A$504,0)),"미매핑"))</f>
        <v/>
      </c>
      <c r="X1140" s="9">
        <f>IF($A1140="","",$F1140&amp;"")</f>
        <v/>
      </c>
    </row>
    <row r="1141">
      <c r="A1141" s="75" t="n">
        <v>2025</v>
      </c>
      <c r="B1141" s="75" t="n">
        <v>6</v>
      </c>
      <c r="C1141" s="75" t="inlineStr">
        <is>
          <t>5100001137</t>
        </is>
      </c>
      <c r="D1141" s="78" t="n">
        <v>45831</v>
      </c>
      <c r="E1141" s="75" t="inlineStr">
        <is>
          <t>KR</t>
        </is>
      </c>
      <c r="F1141" s="75" t="n">
        <v>62801000</v>
      </c>
      <c r="G1141" s="75" t="n">
        <v>1301</v>
      </c>
      <c r="H1141" s="76" t="n">
        <v>5357000</v>
      </c>
      <c r="I1141" s="75" t="inlineStr">
        <is>
          <t>6월 사내교육 - U에듀</t>
        </is>
      </c>
      <c r="J1141" s="75" t="inlineStr">
        <is>
          <t>V10026</t>
        </is>
      </c>
      <c r="K1141" s="75" t="inlineStr">
        <is>
          <t>U에듀</t>
        </is>
      </c>
      <c r="M1141" s="9">
        <f>IF($A1141="","",VALUE($A1141&amp;"")*12+VALUE($B1141&amp;""))</f>
        <v/>
      </c>
      <c r="N1141" s="39">
        <f>IF($A1141="","",IFERROR(INDEX(부서매핑!$C$5:$C$504,MATCH($G1141&amp;"",부서매핑!$A$5:$A$504,0)),"미매핑"))</f>
        <v/>
      </c>
      <c r="O1141" s="9">
        <f>IF($A1141="","",N1141&amp;"|"&amp;$F1141)</f>
        <v/>
      </c>
      <c r="P1141" s="77">
        <f>IF($A1141="",0,$H1141*설정!$C$23)</f>
        <v/>
      </c>
      <c r="Q1141" s="39">
        <f>IF($A1141="","",IF(O1141&lt;&gt;원인분석!$C$9,"",IF(AND(M1141&gt;=원인분석!$C$10,M1141&lt;=원인분석!$C$11),"당기",IF(AND(M1141&gt;=원인분석!$C$12,M1141&lt;=원인분석!$C$13),"비교",""))))</f>
        <v/>
      </c>
      <c r="R1141" s="9">
        <f>IF(Q1141="","",$K1141&amp;"")</f>
        <v/>
      </c>
      <c r="S1141" s="9">
        <f>IF(Q1141="","",IF(MATCH(R1141,$R$5:$R$100000,0)=ROW()-4,ROW(),""))</f>
        <v/>
      </c>
      <c r="T1141" s="9">
        <f>IF(Q1141="당기",ABS(P1141)+ROW()/1000000000,"")</f>
        <v/>
      </c>
      <c r="U1141" s="9">
        <f>IF(Q1141="비교",ABS(P1141)+ROW()/1000000000,"")</f>
        <v/>
      </c>
      <c r="V1141" s="39">
        <f>IF($A1141="","",IF(COUNTIF(변동분석!$E$7:$E$506,O1141)&gt;0,"Y","N"))</f>
        <v/>
      </c>
      <c r="W1141" s="39">
        <f>IF($A1141="","",IFERROR(INDEX(계정매핑!$D$5:$D$504,MATCH($F1141&amp;"",계정매핑!$A$5:$A$504,0)),"미매핑"))</f>
        <v/>
      </c>
      <c r="X1141" s="9">
        <f>IF($A1141="","",$F1141&amp;"")</f>
        <v/>
      </c>
    </row>
    <row r="1142">
      <c r="A1142" s="75" t="n">
        <v>2025</v>
      </c>
      <c r="B1142" s="75" t="n">
        <v>6</v>
      </c>
      <c r="C1142" s="75" t="inlineStr">
        <is>
          <t>5100001138</t>
        </is>
      </c>
      <c r="D1142" s="78" t="n">
        <v>45832</v>
      </c>
      <c r="E1142" s="75" t="inlineStr">
        <is>
          <t>KR</t>
        </is>
      </c>
      <c r="F1142" s="75" t="n">
        <v>62102000</v>
      </c>
      <c r="G1142" s="75" t="n">
        <v>1801</v>
      </c>
      <c r="H1142" s="76" t="n">
        <v>42000</v>
      </c>
      <c r="I1142" s="75" t="inlineStr">
        <is>
          <t>6월 해외출장 - N호텔</t>
        </is>
      </c>
      <c r="J1142" s="75" t="inlineStr">
        <is>
          <t>V10007</t>
        </is>
      </c>
      <c r="K1142" s="75" t="inlineStr">
        <is>
          <t>N호텔</t>
        </is>
      </c>
      <c r="M1142" s="9">
        <f>IF($A1142="","",VALUE($A1142&amp;"")*12+VALUE($B1142&amp;""))</f>
        <v/>
      </c>
      <c r="N1142" s="39">
        <f>IF($A1142="","",IFERROR(INDEX(부서매핑!$C$5:$C$504,MATCH($G1142&amp;"",부서매핑!$A$5:$A$504,0)),"미매핑"))</f>
        <v/>
      </c>
      <c r="O1142" s="9">
        <f>IF($A1142="","",N1142&amp;"|"&amp;$F1142)</f>
        <v/>
      </c>
      <c r="P1142" s="77">
        <f>IF($A1142="",0,$H1142*설정!$C$23)</f>
        <v/>
      </c>
      <c r="Q1142" s="39">
        <f>IF($A1142="","",IF(O1142&lt;&gt;원인분석!$C$9,"",IF(AND(M1142&gt;=원인분석!$C$10,M1142&lt;=원인분석!$C$11),"당기",IF(AND(M1142&gt;=원인분석!$C$12,M1142&lt;=원인분석!$C$13),"비교",""))))</f>
        <v/>
      </c>
      <c r="R1142" s="9">
        <f>IF(Q1142="","",$K1142&amp;"")</f>
        <v/>
      </c>
      <c r="S1142" s="9">
        <f>IF(Q1142="","",IF(MATCH(R1142,$R$5:$R$100000,0)=ROW()-4,ROW(),""))</f>
        <v/>
      </c>
      <c r="T1142" s="9">
        <f>IF(Q1142="당기",ABS(P1142)+ROW()/1000000000,"")</f>
        <v/>
      </c>
      <c r="U1142" s="9">
        <f>IF(Q1142="비교",ABS(P1142)+ROW()/1000000000,"")</f>
        <v/>
      </c>
      <c r="V1142" s="39">
        <f>IF($A1142="","",IF(COUNTIF(변동분석!$E$7:$E$506,O1142)&gt;0,"Y","N"))</f>
        <v/>
      </c>
      <c r="W1142" s="39">
        <f>IF($A1142="","",IFERROR(INDEX(계정매핑!$D$5:$D$504,MATCH($F1142&amp;"",계정매핑!$A$5:$A$504,0)),"미매핑"))</f>
        <v/>
      </c>
      <c r="X1142" s="9">
        <f>IF($A1142="","",$F1142&amp;"")</f>
        <v/>
      </c>
    </row>
    <row r="1143">
      <c r="A1143" s="75" t="n">
        <v>2025</v>
      </c>
      <c r="B1143" s="75" t="n">
        <v>6</v>
      </c>
      <c r="C1143" s="75" t="inlineStr">
        <is>
          <t>5100001139</t>
        </is>
      </c>
      <c r="D1143" s="78" t="n">
        <v>45832</v>
      </c>
      <c r="E1143" s="75" t="inlineStr">
        <is>
          <t>KR</t>
        </is>
      </c>
      <c r="F1143" s="75" t="n">
        <v>62201000</v>
      </c>
      <c r="G1143" s="75" t="n">
        <v>1401</v>
      </c>
      <c r="H1143" s="76" t="n">
        <v>168000</v>
      </c>
      <c r="I1143" s="75" t="inlineStr">
        <is>
          <t>6월 통신요금 - O텔레콤</t>
        </is>
      </c>
      <c r="J1143" s="75" t="inlineStr">
        <is>
          <t>V10002</t>
        </is>
      </c>
      <c r="K1143" s="75" t="inlineStr">
        <is>
          <t>O텔레콤</t>
        </is>
      </c>
      <c r="M1143" s="9">
        <f>IF($A1143="","",VALUE($A1143&amp;"")*12+VALUE($B1143&amp;""))</f>
        <v/>
      </c>
      <c r="N1143" s="39">
        <f>IF($A1143="","",IFERROR(INDEX(부서매핑!$C$5:$C$504,MATCH($G1143&amp;"",부서매핑!$A$5:$A$504,0)),"미매핑"))</f>
        <v/>
      </c>
      <c r="O1143" s="9">
        <f>IF($A1143="","",N1143&amp;"|"&amp;$F1143)</f>
        <v/>
      </c>
      <c r="P1143" s="77">
        <f>IF($A1143="",0,$H1143*설정!$C$23)</f>
        <v/>
      </c>
      <c r="Q1143" s="39">
        <f>IF($A1143="","",IF(O1143&lt;&gt;원인분석!$C$9,"",IF(AND(M1143&gt;=원인분석!$C$10,M1143&lt;=원인분석!$C$11),"당기",IF(AND(M1143&gt;=원인분석!$C$12,M1143&lt;=원인분석!$C$13),"비교",""))))</f>
        <v/>
      </c>
      <c r="R1143" s="9">
        <f>IF(Q1143="","",$K1143&amp;"")</f>
        <v/>
      </c>
      <c r="S1143" s="9">
        <f>IF(Q1143="","",IF(MATCH(R1143,$R$5:$R$100000,0)=ROW()-4,ROW(),""))</f>
        <v/>
      </c>
      <c r="T1143" s="9">
        <f>IF(Q1143="당기",ABS(P1143)+ROW()/1000000000,"")</f>
        <v/>
      </c>
      <c r="U1143" s="9">
        <f>IF(Q1143="비교",ABS(P1143)+ROW()/1000000000,"")</f>
        <v/>
      </c>
      <c r="V1143" s="39">
        <f>IF($A1143="","",IF(COUNTIF(변동분석!$E$7:$E$506,O1143)&gt;0,"Y","N"))</f>
        <v/>
      </c>
      <c r="W1143" s="39">
        <f>IF($A1143="","",IFERROR(INDEX(계정매핑!$D$5:$D$504,MATCH($F1143&amp;"",계정매핑!$A$5:$A$504,0)),"미매핑"))</f>
        <v/>
      </c>
      <c r="X1143" s="9">
        <f>IF($A1143="","",$F1143&amp;"")</f>
        <v/>
      </c>
    </row>
    <row r="1144">
      <c r="A1144" s="75" t="n">
        <v>2025</v>
      </c>
      <c r="B1144" s="75" t="n">
        <v>6</v>
      </c>
      <c r="C1144" s="75" t="inlineStr">
        <is>
          <t>5100001140</t>
        </is>
      </c>
      <c r="D1144" s="78" t="n">
        <v>45832</v>
      </c>
      <c r="E1144" s="75" t="inlineStr">
        <is>
          <t>KR</t>
        </is>
      </c>
      <c r="F1144" s="75" t="n">
        <v>62201000</v>
      </c>
      <c r="G1144" s="75" t="n">
        <v>1601</v>
      </c>
      <c r="H1144" s="76" t="n">
        <v>1049000</v>
      </c>
      <c r="I1144" s="75" t="inlineStr">
        <is>
          <t>6월 통신요금 - P통신</t>
        </is>
      </c>
      <c r="J1144" s="75" t="inlineStr">
        <is>
          <t>V10011</t>
        </is>
      </c>
      <c r="K1144" s="75" t="inlineStr">
        <is>
          <t>P통신</t>
        </is>
      </c>
      <c r="M1144" s="9">
        <f>IF($A1144="","",VALUE($A1144&amp;"")*12+VALUE($B1144&amp;""))</f>
        <v/>
      </c>
      <c r="N1144" s="39">
        <f>IF($A1144="","",IFERROR(INDEX(부서매핑!$C$5:$C$504,MATCH($G1144&amp;"",부서매핑!$A$5:$A$504,0)),"미매핑"))</f>
        <v/>
      </c>
      <c r="O1144" s="9">
        <f>IF($A1144="","",N1144&amp;"|"&amp;$F1144)</f>
        <v/>
      </c>
      <c r="P1144" s="77">
        <f>IF($A1144="",0,$H1144*설정!$C$23)</f>
        <v/>
      </c>
      <c r="Q1144" s="39">
        <f>IF($A1144="","",IF(O1144&lt;&gt;원인분석!$C$9,"",IF(AND(M1144&gt;=원인분석!$C$10,M1144&lt;=원인분석!$C$11),"당기",IF(AND(M1144&gt;=원인분석!$C$12,M1144&lt;=원인분석!$C$13),"비교",""))))</f>
        <v/>
      </c>
      <c r="R1144" s="9">
        <f>IF(Q1144="","",$K1144&amp;"")</f>
        <v/>
      </c>
      <c r="S1144" s="9">
        <f>IF(Q1144="","",IF(MATCH(R1144,$R$5:$R$100000,0)=ROW()-4,ROW(),""))</f>
        <v/>
      </c>
      <c r="T1144" s="9">
        <f>IF(Q1144="당기",ABS(P1144)+ROW()/1000000000,"")</f>
        <v/>
      </c>
      <c r="U1144" s="9">
        <f>IF(Q1144="비교",ABS(P1144)+ROW()/1000000000,"")</f>
        <v/>
      </c>
      <c r="V1144" s="39">
        <f>IF($A1144="","",IF(COUNTIF(변동분석!$E$7:$E$506,O1144)&gt;0,"Y","N"))</f>
        <v/>
      </c>
      <c r="W1144" s="39">
        <f>IF($A1144="","",IFERROR(INDEX(계정매핑!$D$5:$D$504,MATCH($F1144&amp;"",계정매핑!$A$5:$A$504,0)),"미매핑"))</f>
        <v/>
      </c>
      <c r="X1144" s="9">
        <f>IF($A1144="","",$F1144&amp;"")</f>
        <v/>
      </c>
    </row>
    <row r="1145">
      <c r="A1145" s="75" t="n">
        <v>2025</v>
      </c>
      <c r="B1145" s="75" t="n">
        <v>6</v>
      </c>
      <c r="C1145" s="75" t="inlineStr">
        <is>
          <t>5100001141</t>
        </is>
      </c>
      <c r="D1145" s="78" t="n">
        <v>45832</v>
      </c>
      <c r="E1145" s="75" t="inlineStr">
        <is>
          <t>KR</t>
        </is>
      </c>
      <c r="F1145" s="75" t="n">
        <v>62301000</v>
      </c>
      <c r="G1145" s="75" t="n">
        <v>1602</v>
      </c>
      <c r="H1145" s="76" t="n">
        <v>211000</v>
      </c>
      <c r="I1145" s="75" t="inlineStr">
        <is>
          <t>6월 소모품 구입 - R문구</t>
        </is>
      </c>
      <c r="J1145" s="75" t="inlineStr">
        <is>
          <t>V10018</t>
        </is>
      </c>
      <c r="K1145" s="75" t="inlineStr">
        <is>
          <t>R문구</t>
        </is>
      </c>
      <c r="M1145" s="9">
        <f>IF($A1145="","",VALUE($A1145&amp;"")*12+VALUE($B1145&amp;""))</f>
        <v/>
      </c>
      <c r="N1145" s="39">
        <f>IF($A1145="","",IFERROR(INDEX(부서매핑!$C$5:$C$504,MATCH($G1145&amp;"",부서매핑!$A$5:$A$504,0)),"미매핑"))</f>
        <v/>
      </c>
      <c r="O1145" s="9">
        <f>IF($A1145="","",N1145&amp;"|"&amp;$F1145)</f>
        <v/>
      </c>
      <c r="P1145" s="77">
        <f>IF($A1145="",0,$H1145*설정!$C$23)</f>
        <v/>
      </c>
      <c r="Q1145" s="39">
        <f>IF($A1145="","",IF(O1145&lt;&gt;원인분석!$C$9,"",IF(AND(M1145&gt;=원인분석!$C$10,M1145&lt;=원인분석!$C$11),"당기",IF(AND(M1145&gt;=원인분석!$C$12,M1145&lt;=원인분석!$C$13),"비교",""))))</f>
        <v/>
      </c>
      <c r="R1145" s="9">
        <f>IF(Q1145="","",$K1145&amp;"")</f>
        <v/>
      </c>
      <c r="S1145" s="9">
        <f>IF(Q1145="","",IF(MATCH(R1145,$R$5:$R$100000,0)=ROW()-4,ROW(),""))</f>
        <v/>
      </c>
      <c r="T1145" s="9">
        <f>IF(Q1145="당기",ABS(P1145)+ROW()/1000000000,"")</f>
        <v/>
      </c>
      <c r="U1145" s="9">
        <f>IF(Q1145="비교",ABS(P1145)+ROW()/1000000000,"")</f>
        <v/>
      </c>
      <c r="V1145" s="39">
        <f>IF($A1145="","",IF(COUNTIF(변동분석!$E$7:$E$506,O1145)&gt;0,"Y","N"))</f>
        <v/>
      </c>
      <c r="W1145" s="39">
        <f>IF($A1145="","",IFERROR(INDEX(계정매핑!$D$5:$D$504,MATCH($F1145&amp;"",계정매핑!$A$5:$A$504,0)),"미매핑"))</f>
        <v/>
      </c>
      <c r="X1145" s="9">
        <f>IF($A1145="","",$F1145&amp;"")</f>
        <v/>
      </c>
    </row>
    <row r="1146">
      <c r="A1146" s="75" t="n">
        <v>2025</v>
      </c>
      <c r="B1146" s="75" t="n">
        <v>6</v>
      </c>
      <c r="C1146" s="75" t="inlineStr">
        <is>
          <t>5100001142</t>
        </is>
      </c>
      <c r="D1146" s="78" t="n">
        <v>45832</v>
      </c>
      <c r="E1146" s="75" t="inlineStr">
        <is>
          <t>KR</t>
        </is>
      </c>
      <c r="F1146" s="75" t="n">
        <v>62401000</v>
      </c>
      <c r="G1146" s="75" t="n">
        <v>1502</v>
      </c>
      <c r="H1146" s="76" t="n">
        <v>1998000</v>
      </c>
      <c r="I1146" s="75" t="inlineStr">
        <is>
          <t>6월 인쇄물 제작 - G인쇄</t>
        </is>
      </c>
      <c r="J1146" s="75" t="inlineStr">
        <is>
          <t>V10004</t>
        </is>
      </c>
      <c r="K1146" s="75" t="inlineStr">
        <is>
          <t>G인쇄</t>
        </is>
      </c>
      <c r="M1146" s="9">
        <f>IF($A1146="","",VALUE($A1146&amp;"")*12+VALUE($B1146&amp;""))</f>
        <v/>
      </c>
      <c r="N1146" s="39">
        <f>IF($A1146="","",IFERROR(INDEX(부서매핑!$C$5:$C$504,MATCH($G1146&amp;"",부서매핑!$A$5:$A$504,0)),"미매핑"))</f>
        <v/>
      </c>
      <c r="O1146" s="9">
        <f>IF($A1146="","",N1146&amp;"|"&amp;$F1146)</f>
        <v/>
      </c>
      <c r="P1146" s="77">
        <f>IF($A1146="",0,$H1146*설정!$C$23)</f>
        <v/>
      </c>
      <c r="Q1146" s="39">
        <f>IF($A1146="","",IF(O1146&lt;&gt;원인분석!$C$9,"",IF(AND(M1146&gt;=원인분석!$C$10,M1146&lt;=원인분석!$C$11),"당기",IF(AND(M1146&gt;=원인분석!$C$12,M1146&lt;=원인분석!$C$13),"비교",""))))</f>
        <v/>
      </c>
      <c r="R1146" s="9">
        <f>IF(Q1146="","",$K1146&amp;"")</f>
        <v/>
      </c>
      <c r="S1146" s="9">
        <f>IF(Q1146="","",IF(MATCH(R1146,$R$5:$R$100000,0)=ROW()-4,ROW(),""))</f>
        <v/>
      </c>
      <c r="T1146" s="9">
        <f>IF(Q1146="당기",ABS(P1146)+ROW()/1000000000,"")</f>
        <v/>
      </c>
      <c r="U1146" s="9">
        <f>IF(Q1146="비교",ABS(P1146)+ROW()/1000000000,"")</f>
        <v/>
      </c>
      <c r="V1146" s="39">
        <f>IF($A1146="","",IF(COUNTIF(변동분석!$E$7:$E$506,O1146)&gt;0,"Y","N"))</f>
        <v/>
      </c>
      <c r="W1146" s="39">
        <f>IF($A1146="","",IFERROR(INDEX(계정매핑!$D$5:$D$504,MATCH($F1146&amp;"",계정매핑!$A$5:$A$504,0)),"미매핑"))</f>
        <v/>
      </c>
      <c r="X1146" s="9">
        <f>IF($A1146="","",$F1146&amp;"")</f>
        <v/>
      </c>
    </row>
    <row r="1147">
      <c r="A1147" s="75" t="n">
        <v>2025</v>
      </c>
      <c r="B1147" s="75" t="n">
        <v>6</v>
      </c>
      <c r="C1147" s="75" t="inlineStr">
        <is>
          <t>5100001143</t>
        </is>
      </c>
      <c r="D1147" s="78" t="n">
        <v>45832</v>
      </c>
      <c r="E1147" s="75" t="inlineStr">
        <is>
          <t>KR</t>
        </is>
      </c>
      <c r="F1147" s="75" t="n">
        <v>62501000</v>
      </c>
      <c r="G1147" s="75" t="n">
        <v>1201</v>
      </c>
      <c r="H1147" s="76" t="n">
        <v>107000</v>
      </c>
      <c r="I1147" s="75" t="inlineStr">
        <is>
          <t>6월 회의 다과 - (법인카드)</t>
        </is>
      </c>
      <c r="J1147" s="75" t="inlineStr">
        <is>
          <t>V10008</t>
        </is>
      </c>
      <c r="K1147" s="75" t="inlineStr">
        <is>
          <t>(법인카드)</t>
        </is>
      </c>
      <c r="M1147" s="9">
        <f>IF($A1147="","",VALUE($A1147&amp;"")*12+VALUE($B1147&amp;""))</f>
        <v/>
      </c>
      <c r="N1147" s="39">
        <f>IF($A1147="","",IFERROR(INDEX(부서매핑!$C$5:$C$504,MATCH($G1147&amp;"",부서매핑!$A$5:$A$504,0)),"미매핑"))</f>
        <v/>
      </c>
      <c r="O1147" s="9">
        <f>IF($A1147="","",N1147&amp;"|"&amp;$F1147)</f>
        <v/>
      </c>
      <c r="P1147" s="77">
        <f>IF($A1147="",0,$H1147*설정!$C$23)</f>
        <v/>
      </c>
      <c r="Q1147" s="39">
        <f>IF($A1147="","",IF(O1147&lt;&gt;원인분석!$C$9,"",IF(AND(M1147&gt;=원인분석!$C$10,M1147&lt;=원인분석!$C$11),"당기",IF(AND(M1147&gt;=원인분석!$C$12,M1147&lt;=원인분석!$C$13),"비교",""))))</f>
        <v/>
      </c>
      <c r="R1147" s="9">
        <f>IF(Q1147="","",$K1147&amp;"")</f>
        <v/>
      </c>
      <c r="S1147" s="9">
        <f>IF(Q1147="","",IF(MATCH(R1147,$R$5:$R$100000,0)=ROW()-4,ROW(),""))</f>
        <v/>
      </c>
      <c r="T1147" s="9">
        <f>IF(Q1147="당기",ABS(P1147)+ROW()/1000000000,"")</f>
        <v/>
      </c>
      <c r="U1147" s="9">
        <f>IF(Q1147="비교",ABS(P1147)+ROW()/1000000000,"")</f>
        <v/>
      </c>
      <c r="V1147" s="39">
        <f>IF($A1147="","",IF(COUNTIF(변동분석!$E$7:$E$506,O1147)&gt;0,"Y","N"))</f>
        <v/>
      </c>
      <c r="W1147" s="39">
        <f>IF($A1147="","",IFERROR(INDEX(계정매핑!$D$5:$D$504,MATCH($F1147&amp;"",계정매핑!$A$5:$A$504,0)),"미매핑"))</f>
        <v/>
      </c>
      <c r="X1147" s="9">
        <f>IF($A1147="","",$F1147&amp;"")</f>
        <v/>
      </c>
    </row>
    <row r="1148">
      <c r="A1148" s="75" t="n">
        <v>2025</v>
      </c>
      <c r="B1148" s="75" t="n">
        <v>6</v>
      </c>
      <c r="C1148" s="75" t="inlineStr">
        <is>
          <t>5100001144</t>
        </is>
      </c>
      <c r="D1148" s="78" t="n">
        <v>45832</v>
      </c>
      <c r="E1148" s="75" t="inlineStr">
        <is>
          <t>KR</t>
        </is>
      </c>
      <c r="F1148" s="75" t="n">
        <v>62501000</v>
      </c>
      <c r="G1148" s="75" t="n">
        <v>1201</v>
      </c>
      <c r="H1148" s="76" t="n">
        <v>140000</v>
      </c>
      <c r="I1148" s="75" t="inlineStr">
        <is>
          <t>6월 회의 다과 - (법인카드)</t>
        </is>
      </c>
      <c r="J1148" s="75" t="inlineStr">
        <is>
          <t>V10008</t>
        </is>
      </c>
      <c r="K1148" s="75" t="inlineStr">
        <is>
          <t>(법인카드)</t>
        </is>
      </c>
      <c r="M1148" s="9">
        <f>IF($A1148="","",VALUE($A1148&amp;"")*12+VALUE($B1148&amp;""))</f>
        <v/>
      </c>
      <c r="N1148" s="39">
        <f>IF($A1148="","",IFERROR(INDEX(부서매핑!$C$5:$C$504,MATCH($G1148&amp;"",부서매핑!$A$5:$A$504,0)),"미매핑"))</f>
        <v/>
      </c>
      <c r="O1148" s="9">
        <f>IF($A1148="","",N1148&amp;"|"&amp;$F1148)</f>
        <v/>
      </c>
      <c r="P1148" s="77">
        <f>IF($A1148="",0,$H1148*설정!$C$23)</f>
        <v/>
      </c>
      <c r="Q1148" s="39">
        <f>IF($A1148="","",IF(O1148&lt;&gt;원인분석!$C$9,"",IF(AND(M1148&gt;=원인분석!$C$10,M1148&lt;=원인분석!$C$11),"당기",IF(AND(M1148&gt;=원인분석!$C$12,M1148&lt;=원인분석!$C$13),"비교",""))))</f>
        <v/>
      </c>
      <c r="R1148" s="9">
        <f>IF(Q1148="","",$K1148&amp;"")</f>
        <v/>
      </c>
      <c r="S1148" s="9">
        <f>IF(Q1148="","",IF(MATCH(R1148,$R$5:$R$100000,0)=ROW()-4,ROW(),""))</f>
        <v/>
      </c>
      <c r="T1148" s="9">
        <f>IF(Q1148="당기",ABS(P1148)+ROW()/1000000000,"")</f>
        <v/>
      </c>
      <c r="U1148" s="9">
        <f>IF(Q1148="비교",ABS(P1148)+ROW()/1000000000,"")</f>
        <v/>
      </c>
      <c r="V1148" s="39">
        <f>IF($A1148="","",IF(COUNTIF(변동분석!$E$7:$E$506,O1148)&gt;0,"Y","N"))</f>
        <v/>
      </c>
      <c r="W1148" s="39">
        <f>IF($A1148="","",IFERROR(INDEX(계정매핑!$D$5:$D$504,MATCH($F1148&amp;"",계정매핑!$A$5:$A$504,0)),"미매핑"))</f>
        <v/>
      </c>
      <c r="X1148" s="9">
        <f>IF($A1148="","",$F1148&amp;"")</f>
        <v/>
      </c>
    </row>
    <row r="1149">
      <c r="A1149" s="75" t="n">
        <v>2025</v>
      </c>
      <c r="B1149" s="75" t="n">
        <v>6</v>
      </c>
      <c r="C1149" s="75" t="inlineStr">
        <is>
          <t>5100001145</t>
        </is>
      </c>
      <c r="D1149" s="78" t="n">
        <v>45832</v>
      </c>
      <c r="E1149" s="75" t="inlineStr">
        <is>
          <t>KR</t>
        </is>
      </c>
      <c r="F1149" s="75" t="n">
        <v>62701000</v>
      </c>
      <c r="G1149" s="75" t="n">
        <v>1502</v>
      </c>
      <c r="H1149" s="76" t="n">
        <v>92001000</v>
      </c>
      <c r="I1149" s="75" t="inlineStr">
        <is>
          <t>6월 광고 집행 - E미디어</t>
        </is>
      </c>
      <c r="J1149" s="75" t="inlineStr">
        <is>
          <t>V10027</t>
        </is>
      </c>
      <c r="K1149" s="75" t="inlineStr">
        <is>
          <t>E미디어</t>
        </is>
      </c>
      <c r="M1149" s="9">
        <f>IF($A1149="","",VALUE($A1149&amp;"")*12+VALUE($B1149&amp;""))</f>
        <v/>
      </c>
      <c r="N1149" s="39">
        <f>IF($A1149="","",IFERROR(INDEX(부서매핑!$C$5:$C$504,MATCH($G1149&amp;"",부서매핑!$A$5:$A$504,0)),"미매핑"))</f>
        <v/>
      </c>
      <c r="O1149" s="9">
        <f>IF($A1149="","",N1149&amp;"|"&amp;$F1149)</f>
        <v/>
      </c>
      <c r="P1149" s="77">
        <f>IF($A1149="",0,$H1149*설정!$C$23)</f>
        <v/>
      </c>
      <c r="Q1149" s="39">
        <f>IF($A1149="","",IF(O1149&lt;&gt;원인분석!$C$9,"",IF(AND(M1149&gt;=원인분석!$C$10,M1149&lt;=원인분석!$C$11),"당기",IF(AND(M1149&gt;=원인분석!$C$12,M1149&lt;=원인분석!$C$13),"비교",""))))</f>
        <v/>
      </c>
      <c r="R1149" s="9">
        <f>IF(Q1149="","",$K1149&amp;"")</f>
        <v/>
      </c>
      <c r="S1149" s="9">
        <f>IF(Q1149="","",IF(MATCH(R1149,$R$5:$R$100000,0)=ROW()-4,ROW(),""))</f>
        <v/>
      </c>
      <c r="T1149" s="9">
        <f>IF(Q1149="당기",ABS(P1149)+ROW()/1000000000,"")</f>
        <v/>
      </c>
      <c r="U1149" s="9">
        <f>IF(Q1149="비교",ABS(P1149)+ROW()/1000000000,"")</f>
        <v/>
      </c>
      <c r="V1149" s="39">
        <f>IF($A1149="","",IF(COUNTIF(변동분석!$E$7:$E$506,O1149)&gt;0,"Y","N"))</f>
        <v/>
      </c>
      <c r="W1149" s="39">
        <f>IF($A1149="","",IFERROR(INDEX(계정매핑!$D$5:$D$504,MATCH($F1149&amp;"",계정매핑!$A$5:$A$504,0)),"미매핑"))</f>
        <v/>
      </c>
      <c r="X1149" s="9">
        <f>IF($A1149="","",$F1149&amp;"")</f>
        <v/>
      </c>
    </row>
    <row r="1150">
      <c r="A1150" s="75" t="n">
        <v>2025</v>
      </c>
      <c r="B1150" s="75" t="n">
        <v>6</v>
      </c>
      <c r="C1150" s="75" t="inlineStr">
        <is>
          <t>5100001146</t>
        </is>
      </c>
      <c r="D1150" s="78" t="n">
        <v>45832</v>
      </c>
      <c r="E1150" s="75" t="inlineStr">
        <is>
          <t>KR</t>
        </is>
      </c>
      <c r="F1150" s="75" t="n">
        <v>62802000</v>
      </c>
      <c r="G1150" s="75" t="n">
        <v>1301</v>
      </c>
      <c r="H1150" s="76" t="n">
        <v>5229000</v>
      </c>
      <c r="I1150" s="75" t="inlineStr">
        <is>
          <t>6월 위탁교육 - V아카데미</t>
        </is>
      </c>
      <c r="J1150" s="75" t="inlineStr">
        <is>
          <t>V10023</t>
        </is>
      </c>
      <c r="K1150" s="75" t="inlineStr">
        <is>
          <t>V아카데미</t>
        </is>
      </c>
      <c r="M1150" s="9">
        <f>IF($A1150="","",VALUE($A1150&amp;"")*12+VALUE($B1150&amp;""))</f>
        <v/>
      </c>
      <c r="N1150" s="39">
        <f>IF($A1150="","",IFERROR(INDEX(부서매핑!$C$5:$C$504,MATCH($G1150&amp;"",부서매핑!$A$5:$A$504,0)),"미매핑"))</f>
        <v/>
      </c>
      <c r="O1150" s="9">
        <f>IF($A1150="","",N1150&amp;"|"&amp;$F1150)</f>
        <v/>
      </c>
      <c r="P1150" s="77">
        <f>IF($A1150="",0,$H1150*설정!$C$23)</f>
        <v/>
      </c>
      <c r="Q1150" s="39">
        <f>IF($A1150="","",IF(O1150&lt;&gt;원인분석!$C$9,"",IF(AND(M1150&gt;=원인분석!$C$10,M1150&lt;=원인분석!$C$11),"당기",IF(AND(M1150&gt;=원인분석!$C$12,M1150&lt;=원인분석!$C$13),"비교",""))))</f>
        <v/>
      </c>
      <c r="R1150" s="9">
        <f>IF(Q1150="","",$K1150&amp;"")</f>
        <v/>
      </c>
      <c r="S1150" s="9">
        <f>IF(Q1150="","",IF(MATCH(R1150,$R$5:$R$100000,0)=ROW()-4,ROW(),""))</f>
        <v/>
      </c>
      <c r="T1150" s="9">
        <f>IF(Q1150="당기",ABS(P1150)+ROW()/1000000000,"")</f>
        <v/>
      </c>
      <c r="U1150" s="9">
        <f>IF(Q1150="비교",ABS(P1150)+ROW()/1000000000,"")</f>
        <v/>
      </c>
      <c r="V1150" s="39">
        <f>IF($A1150="","",IF(COUNTIF(변동분석!$E$7:$E$506,O1150)&gt;0,"Y","N"))</f>
        <v/>
      </c>
      <c r="W1150" s="39">
        <f>IF($A1150="","",IFERROR(INDEX(계정매핑!$D$5:$D$504,MATCH($F1150&amp;"",계정매핑!$A$5:$A$504,0)),"미매핑"))</f>
        <v/>
      </c>
      <c r="X1150" s="9">
        <f>IF($A1150="","",$F1150&amp;"")</f>
        <v/>
      </c>
    </row>
    <row r="1151">
      <c r="A1151" s="75" t="n">
        <v>2025</v>
      </c>
      <c r="B1151" s="75" t="n">
        <v>6</v>
      </c>
      <c r="C1151" s="75" t="inlineStr">
        <is>
          <t>5100001147</t>
        </is>
      </c>
      <c r="D1151" s="78" t="n">
        <v>45832</v>
      </c>
      <c r="E1151" s="75" t="inlineStr">
        <is>
          <t>KR</t>
        </is>
      </c>
      <c r="F1151" s="75" t="n">
        <v>62901000</v>
      </c>
      <c r="G1151" s="75" t="n">
        <v>1401</v>
      </c>
      <c r="H1151" s="76" t="n">
        <v>4184000</v>
      </c>
      <c r="I1151" s="75" t="inlineStr">
        <is>
          <t>6월 자문 수수료 - W컨설팅</t>
        </is>
      </c>
      <c r="J1151" s="75" t="inlineStr">
        <is>
          <t>V10009</t>
        </is>
      </c>
      <c r="K1151" s="75" t="inlineStr">
        <is>
          <t>W컨설팅</t>
        </is>
      </c>
      <c r="M1151" s="9">
        <f>IF($A1151="","",VALUE($A1151&amp;"")*12+VALUE($B1151&amp;""))</f>
        <v/>
      </c>
      <c r="N1151" s="39">
        <f>IF($A1151="","",IFERROR(INDEX(부서매핑!$C$5:$C$504,MATCH($G1151&amp;"",부서매핑!$A$5:$A$504,0)),"미매핑"))</f>
        <v/>
      </c>
      <c r="O1151" s="9">
        <f>IF($A1151="","",N1151&amp;"|"&amp;$F1151)</f>
        <v/>
      </c>
      <c r="P1151" s="77">
        <f>IF($A1151="",0,$H1151*설정!$C$23)</f>
        <v/>
      </c>
      <c r="Q1151" s="39">
        <f>IF($A1151="","",IF(O1151&lt;&gt;원인분석!$C$9,"",IF(AND(M1151&gt;=원인분석!$C$10,M1151&lt;=원인분석!$C$11),"당기",IF(AND(M1151&gt;=원인분석!$C$12,M1151&lt;=원인분석!$C$13),"비교",""))))</f>
        <v/>
      </c>
      <c r="R1151" s="9">
        <f>IF(Q1151="","",$K1151&amp;"")</f>
        <v/>
      </c>
      <c r="S1151" s="9">
        <f>IF(Q1151="","",IF(MATCH(R1151,$R$5:$R$100000,0)=ROW()-4,ROW(),""))</f>
        <v/>
      </c>
      <c r="T1151" s="9">
        <f>IF(Q1151="당기",ABS(P1151)+ROW()/1000000000,"")</f>
        <v/>
      </c>
      <c r="U1151" s="9">
        <f>IF(Q1151="비교",ABS(P1151)+ROW()/1000000000,"")</f>
        <v/>
      </c>
      <c r="V1151" s="39">
        <f>IF($A1151="","",IF(COUNTIF(변동분석!$E$7:$E$506,O1151)&gt;0,"Y","N"))</f>
        <v/>
      </c>
      <c r="W1151" s="39">
        <f>IF($A1151="","",IFERROR(INDEX(계정매핑!$D$5:$D$504,MATCH($F1151&amp;"",계정매핑!$A$5:$A$504,0)),"미매핑"))</f>
        <v/>
      </c>
      <c r="X1151" s="9">
        <f>IF($A1151="","",$F1151&amp;"")</f>
        <v/>
      </c>
    </row>
    <row r="1152">
      <c r="A1152" s="75" t="n">
        <v>2025</v>
      </c>
      <c r="B1152" s="75" t="n">
        <v>6</v>
      </c>
      <c r="C1152" s="75" t="inlineStr">
        <is>
          <t>5100001148</t>
        </is>
      </c>
      <c r="D1152" s="78" t="n">
        <v>45832</v>
      </c>
      <c r="E1152" s="75" t="inlineStr">
        <is>
          <t>KR</t>
        </is>
      </c>
      <c r="F1152" s="75" t="n">
        <v>62902000</v>
      </c>
      <c r="G1152" s="75" t="n">
        <v>1401</v>
      </c>
      <c r="H1152" s="76" t="n">
        <v>2217000</v>
      </c>
      <c r="I1152" s="75" t="inlineStr">
        <is>
          <t>6월 업무 위탁 수수료 - J콜센터</t>
        </is>
      </c>
      <c r="J1152" s="75" t="inlineStr">
        <is>
          <t>V10013</t>
        </is>
      </c>
      <c r="K1152" s="75" t="inlineStr">
        <is>
          <t>J콜센터</t>
        </is>
      </c>
      <c r="M1152" s="9">
        <f>IF($A1152="","",VALUE($A1152&amp;"")*12+VALUE($B1152&amp;""))</f>
        <v/>
      </c>
      <c r="N1152" s="39">
        <f>IF($A1152="","",IFERROR(INDEX(부서매핑!$C$5:$C$504,MATCH($G1152&amp;"",부서매핑!$A$5:$A$504,0)),"미매핑"))</f>
        <v/>
      </c>
      <c r="O1152" s="9">
        <f>IF($A1152="","",N1152&amp;"|"&amp;$F1152)</f>
        <v/>
      </c>
      <c r="P1152" s="77">
        <f>IF($A1152="",0,$H1152*설정!$C$23)</f>
        <v/>
      </c>
      <c r="Q1152" s="39">
        <f>IF($A1152="","",IF(O1152&lt;&gt;원인분석!$C$9,"",IF(AND(M1152&gt;=원인분석!$C$10,M1152&lt;=원인분석!$C$11),"당기",IF(AND(M1152&gt;=원인분석!$C$12,M1152&lt;=원인분석!$C$13),"비교",""))))</f>
        <v/>
      </c>
      <c r="R1152" s="9">
        <f>IF(Q1152="","",$K1152&amp;"")</f>
        <v/>
      </c>
      <c r="S1152" s="9">
        <f>IF(Q1152="","",IF(MATCH(R1152,$R$5:$R$100000,0)=ROW()-4,ROW(),""))</f>
        <v/>
      </c>
      <c r="T1152" s="9">
        <f>IF(Q1152="당기",ABS(P1152)+ROW()/1000000000,"")</f>
        <v/>
      </c>
      <c r="U1152" s="9">
        <f>IF(Q1152="비교",ABS(P1152)+ROW()/1000000000,"")</f>
        <v/>
      </c>
      <c r="V1152" s="39">
        <f>IF($A1152="","",IF(COUNTIF(변동분석!$E$7:$E$506,O1152)&gt;0,"Y","N"))</f>
        <v/>
      </c>
      <c r="W1152" s="39">
        <f>IF($A1152="","",IFERROR(INDEX(계정매핑!$D$5:$D$504,MATCH($F1152&amp;"",계정매핑!$A$5:$A$504,0)),"미매핑"))</f>
        <v/>
      </c>
      <c r="X1152" s="9">
        <f>IF($A1152="","",$F1152&amp;"")</f>
        <v/>
      </c>
    </row>
    <row r="1153">
      <c r="A1153" s="75" t="n">
        <v>2025</v>
      </c>
      <c r="B1153" s="75" t="n">
        <v>6</v>
      </c>
      <c r="C1153" s="75" t="inlineStr">
        <is>
          <t>5100001149</t>
        </is>
      </c>
      <c r="D1153" s="78" t="n">
        <v>45832</v>
      </c>
      <c r="E1153" s="75" t="inlineStr">
        <is>
          <t>KR</t>
        </is>
      </c>
      <c r="F1153" s="75" t="n">
        <v>62902000</v>
      </c>
      <c r="G1153" s="75" t="n">
        <v>1801</v>
      </c>
      <c r="H1153" s="76" t="n">
        <v>1760000</v>
      </c>
      <c r="I1153" s="75" t="inlineStr">
        <is>
          <t>6월 콜 위탁 수수료(건별)</t>
        </is>
      </c>
      <c r="J1153" s="75" t="inlineStr">
        <is>
          <t>V10013</t>
        </is>
      </c>
      <c r="K1153" s="75" t="inlineStr">
        <is>
          <t>J콜센터</t>
        </is>
      </c>
      <c r="M1153" s="9">
        <f>IF($A1153="","",VALUE($A1153&amp;"")*12+VALUE($B1153&amp;""))</f>
        <v/>
      </c>
      <c r="N1153" s="39">
        <f>IF($A1153="","",IFERROR(INDEX(부서매핑!$C$5:$C$504,MATCH($G1153&amp;"",부서매핑!$A$5:$A$504,0)),"미매핑"))</f>
        <v/>
      </c>
      <c r="O1153" s="9">
        <f>IF($A1153="","",N1153&amp;"|"&amp;$F1153)</f>
        <v/>
      </c>
      <c r="P1153" s="77">
        <f>IF($A1153="",0,$H1153*설정!$C$23)</f>
        <v/>
      </c>
      <c r="Q1153" s="39">
        <f>IF($A1153="","",IF(O1153&lt;&gt;원인분석!$C$9,"",IF(AND(M1153&gt;=원인분석!$C$10,M1153&lt;=원인분석!$C$11),"당기",IF(AND(M1153&gt;=원인분석!$C$12,M1153&lt;=원인분석!$C$13),"비교",""))))</f>
        <v/>
      </c>
      <c r="R1153" s="9">
        <f>IF(Q1153="","",$K1153&amp;"")</f>
        <v/>
      </c>
      <c r="S1153" s="9">
        <f>IF(Q1153="","",IF(MATCH(R1153,$R$5:$R$100000,0)=ROW()-4,ROW(),""))</f>
        <v/>
      </c>
      <c r="T1153" s="9">
        <f>IF(Q1153="당기",ABS(P1153)+ROW()/1000000000,"")</f>
        <v/>
      </c>
      <c r="U1153" s="9">
        <f>IF(Q1153="비교",ABS(P1153)+ROW()/1000000000,"")</f>
        <v/>
      </c>
      <c r="V1153" s="39">
        <f>IF($A1153="","",IF(COUNTIF(변동분석!$E$7:$E$506,O1153)&gt;0,"Y","N"))</f>
        <v/>
      </c>
      <c r="W1153" s="39">
        <f>IF($A1153="","",IFERROR(INDEX(계정매핑!$D$5:$D$504,MATCH($F1153&amp;"",계정매핑!$A$5:$A$504,0)),"미매핑"))</f>
        <v/>
      </c>
      <c r="X1153" s="9">
        <f>IF($A1153="","",$F1153&amp;"")</f>
        <v/>
      </c>
    </row>
    <row r="1154">
      <c r="A1154" s="75" t="n">
        <v>2025</v>
      </c>
      <c r="B1154" s="75" t="n">
        <v>6</v>
      </c>
      <c r="C1154" s="75" t="inlineStr">
        <is>
          <t>5100001150</t>
        </is>
      </c>
      <c r="D1154" s="78" t="n">
        <v>45833</v>
      </c>
      <c r="E1154" s="75" t="inlineStr">
        <is>
          <t>KR</t>
        </is>
      </c>
      <c r="F1154" s="75" t="n">
        <v>62101000</v>
      </c>
      <c r="G1154" s="75" t="n">
        <v>1601</v>
      </c>
      <c r="H1154" s="76" t="n">
        <v>1430000</v>
      </c>
      <c r="I1154" s="75" t="inlineStr">
        <is>
          <t>6월 국내출장 - M항공</t>
        </is>
      </c>
      <c r="J1154" s="75" t="inlineStr">
        <is>
          <t>V10001</t>
        </is>
      </c>
      <c r="K1154" s="75" t="inlineStr">
        <is>
          <t>M항공</t>
        </is>
      </c>
      <c r="M1154" s="9">
        <f>IF($A1154="","",VALUE($A1154&amp;"")*12+VALUE($B1154&amp;""))</f>
        <v/>
      </c>
      <c r="N1154" s="39">
        <f>IF($A1154="","",IFERROR(INDEX(부서매핑!$C$5:$C$504,MATCH($G1154&amp;"",부서매핑!$A$5:$A$504,0)),"미매핑"))</f>
        <v/>
      </c>
      <c r="O1154" s="9">
        <f>IF($A1154="","",N1154&amp;"|"&amp;$F1154)</f>
        <v/>
      </c>
      <c r="P1154" s="77">
        <f>IF($A1154="",0,$H1154*설정!$C$23)</f>
        <v/>
      </c>
      <c r="Q1154" s="39">
        <f>IF($A1154="","",IF(O1154&lt;&gt;원인분석!$C$9,"",IF(AND(M1154&gt;=원인분석!$C$10,M1154&lt;=원인분석!$C$11),"당기",IF(AND(M1154&gt;=원인분석!$C$12,M1154&lt;=원인분석!$C$13),"비교",""))))</f>
        <v/>
      </c>
      <c r="R1154" s="9">
        <f>IF(Q1154="","",$K1154&amp;"")</f>
        <v/>
      </c>
      <c r="S1154" s="9">
        <f>IF(Q1154="","",IF(MATCH(R1154,$R$5:$R$100000,0)=ROW()-4,ROW(),""))</f>
        <v/>
      </c>
      <c r="T1154" s="9">
        <f>IF(Q1154="당기",ABS(P1154)+ROW()/1000000000,"")</f>
        <v/>
      </c>
      <c r="U1154" s="9">
        <f>IF(Q1154="비교",ABS(P1154)+ROW()/1000000000,"")</f>
        <v/>
      </c>
      <c r="V1154" s="39">
        <f>IF($A1154="","",IF(COUNTIF(변동분석!$E$7:$E$506,O1154)&gt;0,"Y","N"))</f>
        <v/>
      </c>
      <c r="W1154" s="39">
        <f>IF($A1154="","",IFERROR(INDEX(계정매핑!$D$5:$D$504,MATCH($F1154&amp;"",계정매핑!$A$5:$A$504,0)),"미매핑"))</f>
        <v/>
      </c>
      <c r="X1154" s="9">
        <f>IF($A1154="","",$F1154&amp;"")</f>
        <v/>
      </c>
    </row>
    <row r="1155">
      <c r="A1155" s="75" t="n">
        <v>2025</v>
      </c>
      <c r="B1155" s="75" t="n">
        <v>6</v>
      </c>
      <c r="C1155" s="75" t="inlineStr">
        <is>
          <t>5100001151</t>
        </is>
      </c>
      <c r="D1155" s="78" t="n">
        <v>45833</v>
      </c>
      <c r="E1155" s="75" t="inlineStr">
        <is>
          <t>KR</t>
        </is>
      </c>
      <c r="F1155" s="75" t="n">
        <v>62301000</v>
      </c>
      <c r="G1155" s="75" t="n">
        <v>1801</v>
      </c>
      <c r="H1155" s="76" t="n">
        <v>642000</v>
      </c>
      <c r="I1155" s="75" t="inlineStr">
        <is>
          <t>6월 소모품 구입 - R문구</t>
        </is>
      </c>
      <c r="J1155" s="75" t="inlineStr">
        <is>
          <t>V10018</t>
        </is>
      </c>
      <c r="K1155" s="75" t="inlineStr">
        <is>
          <t>R문구</t>
        </is>
      </c>
      <c r="M1155" s="9">
        <f>IF($A1155="","",VALUE($A1155&amp;"")*12+VALUE($B1155&amp;""))</f>
        <v/>
      </c>
      <c r="N1155" s="39">
        <f>IF($A1155="","",IFERROR(INDEX(부서매핑!$C$5:$C$504,MATCH($G1155&amp;"",부서매핑!$A$5:$A$504,0)),"미매핑"))</f>
        <v/>
      </c>
      <c r="O1155" s="9">
        <f>IF($A1155="","",N1155&amp;"|"&amp;$F1155)</f>
        <v/>
      </c>
      <c r="P1155" s="77">
        <f>IF($A1155="",0,$H1155*설정!$C$23)</f>
        <v/>
      </c>
      <c r="Q1155" s="39">
        <f>IF($A1155="","",IF(O1155&lt;&gt;원인분석!$C$9,"",IF(AND(M1155&gt;=원인분석!$C$10,M1155&lt;=원인분석!$C$11),"당기",IF(AND(M1155&gt;=원인분석!$C$12,M1155&lt;=원인분석!$C$13),"비교",""))))</f>
        <v/>
      </c>
      <c r="R1155" s="9">
        <f>IF(Q1155="","",$K1155&amp;"")</f>
        <v/>
      </c>
      <c r="S1155" s="9">
        <f>IF(Q1155="","",IF(MATCH(R1155,$R$5:$R$100000,0)=ROW()-4,ROW(),""))</f>
        <v/>
      </c>
      <c r="T1155" s="9">
        <f>IF(Q1155="당기",ABS(P1155)+ROW()/1000000000,"")</f>
        <v/>
      </c>
      <c r="U1155" s="9">
        <f>IF(Q1155="비교",ABS(P1155)+ROW()/1000000000,"")</f>
        <v/>
      </c>
      <c r="V1155" s="39">
        <f>IF($A1155="","",IF(COUNTIF(변동분석!$E$7:$E$506,O1155)&gt;0,"Y","N"))</f>
        <v/>
      </c>
      <c r="W1155" s="39">
        <f>IF($A1155="","",IFERROR(INDEX(계정매핑!$D$5:$D$504,MATCH($F1155&amp;"",계정매핑!$A$5:$A$504,0)),"미매핑"))</f>
        <v/>
      </c>
      <c r="X1155" s="9">
        <f>IF($A1155="","",$F1155&amp;"")</f>
        <v/>
      </c>
    </row>
    <row r="1156">
      <c r="A1156" s="75" t="n">
        <v>2025</v>
      </c>
      <c r="B1156" s="75" t="n">
        <v>6</v>
      </c>
      <c r="C1156" s="75" t="inlineStr">
        <is>
          <t>5100001152</t>
        </is>
      </c>
      <c r="D1156" s="78" t="n">
        <v>45833</v>
      </c>
      <c r="E1156" s="75" t="inlineStr">
        <is>
          <t>KR</t>
        </is>
      </c>
      <c r="F1156" s="75" t="n">
        <v>63002000</v>
      </c>
      <c r="G1156" s="75" t="n">
        <v>1701</v>
      </c>
      <c r="H1156" s="76" t="n">
        <v>68000000</v>
      </c>
      <c r="I1156" s="75" t="inlineStr">
        <is>
          <t>6월 클라우드 사용료 - C클라우드</t>
        </is>
      </c>
      <c r="J1156" s="75" t="inlineStr">
        <is>
          <t>V10028</t>
        </is>
      </c>
      <c r="K1156" s="75" t="inlineStr">
        <is>
          <t>C클라우드</t>
        </is>
      </c>
      <c r="M1156" s="9">
        <f>IF($A1156="","",VALUE($A1156&amp;"")*12+VALUE($B1156&amp;""))</f>
        <v/>
      </c>
      <c r="N1156" s="39">
        <f>IF($A1156="","",IFERROR(INDEX(부서매핑!$C$5:$C$504,MATCH($G1156&amp;"",부서매핑!$A$5:$A$504,0)),"미매핑"))</f>
        <v/>
      </c>
      <c r="O1156" s="9">
        <f>IF($A1156="","",N1156&amp;"|"&amp;$F1156)</f>
        <v/>
      </c>
      <c r="P1156" s="77">
        <f>IF($A1156="",0,$H1156*설정!$C$23)</f>
        <v/>
      </c>
      <c r="Q1156" s="39">
        <f>IF($A1156="","",IF(O1156&lt;&gt;원인분석!$C$9,"",IF(AND(M1156&gt;=원인분석!$C$10,M1156&lt;=원인분석!$C$11),"당기",IF(AND(M1156&gt;=원인분석!$C$12,M1156&lt;=원인분석!$C$13),"비교",""))))</f>
        <v/>
      </c>
      <c r="R1156" s="9">
        <f>IF(Q1156="","",$K1156&amp;"")</f>
        <v/>
      </c>
      <c r="S1156" s="9">
        <f>IF(Q1156="","",IF(MATCH(R1156,$R$5:$R$100000,0)=ROW()-4,ROW(),""))</f>
        <v/>
      </c>
      <c r="T1156" s="9">
        <f>IF(Q1156="당기",ABS(P1156)+ROW()/1000000000,"")</f>
        <v/>
      </c>
      <c r="U1156" s="9">
        <f>IF(Q1156="비교",ABS(P1156)+ROW()/1000000000,"")</f>
        <v/>
      </c>
      <c r="V1156" s="39">
        <f>IF($A1156="","",IF(COUNTIF(변동분석!$E$7:$E$506,O1156)&gt;0,"Y","N"))</f>
        <v/>
      </c>
      <c r="W1156" s="39">
        <f>IF($A1156="","",IFERROR(INDEX(계정매핑!$D$5:$D$504,MATCH($F1156&amp;"",계정매핑!$A$5:$A$504,0)),"미매핑"))</f>
        <v/>
      </c>
      <c r="X1156" s="9">
        <f>IF($A1156="","",$F1156&amp;"")</f>
        <v/>
      </c>
    </row>
    <row r="1157">
      <c r="A1157" s="75" t="n">
        <v>2025</v>
      </c>
      <c r="B1157" s="75" t="n">
        <v>6</v>
      </c>
      <c r="C1157" s="75" t="inlineStr">
        <is>
          <t>5100001153</t>
        </is>
      </c>
      <c r="D1157" s="78" t="n">
        <v>45834</v>
      </c>
      <c r="E1157" s="75" t="inlineStr">
        <is>
          <t>KR</t>
        </is>
      </c>
      <c r="F1157" s="75" t="n">
        <v>62101000</v>
      </c>
      <c r="G1157" s="75" t="n">
        <v>1701</v>
      </c>
      <c r="H1157" s="76" t="n">
        <v>225000</v>
      </c>
      <c r="I1157" s="75" t="inlineStr">
        <is>
          <t>6월 국내출장 - (법인카드)</t>
        </is>
      </c>
      <c r="J1157" s="75" t="inlineStr">
        <is>
          <t>V10008</t>
        </is>
      </c>
      <c r="K1157" s="75" t="inlineStr">
        <is>
          <t>(법인카드)</t>
        </is>
      </c>
      <c r="M1157" s="9">
        <f>IF($A1157="","",VALUE($A1157&amp;"")*12+VALUE($B1157&amp;""))</f>
        <v/>
      </c>
      <c r="N1157" s="39">
        <f>IF($A1157="","",IFERROR(INDEX(부서매핑!$C$5:$C$504,MATCH($G1157&amp;"",부서매핑!$A$5:$A$504,0)),"미매핑"))</f>
        <v/>
      </c>
      <c r="O1157" s="9">
        <f>IF($A1157="","",N1157&amp;"|"&amp;$F1157)</f>
        <v/>
      </c>
      <c r="P1157" s="77">
        <f>IF($A1157="",0,$H1157*설정!$C$23)</f>
        <v/>
      </c>
      <c r="Q1157" s="39">
        <f>IF($A1157="","",IF(O1157&lt;&gt;원인분석!$C$9,"",IF(AND(M1157&gt;=원인분석!$C$10,M1157&lt;=원인분석!$C$11),"당기",IF(AND(M1157&gt;=원인분석!$C$12,M1157&lt;=원인분석!$C$13),"비교",""))))</f>
        <v/>
      </c>
      <c r="R1157" s="9">
        <f>IF(Q1157="","",$K1157&amp;"")</f>
        <v/>
      </c>
      <c r="S1157" s="9">
        <f>IF(Q1157="","",IF(MATCH(R1157,$R$5:$R$100000,0)=ROW()-4,ROW(),""))</f>
        <v/>
      </c>
      <c r="T1157" s="9">
        <f>IF(Q1157="당기",ABS(P1157)+ROW()/1000000000,"")</f>
        <v/>
      </c>
      <c r="U1157" s="9">
        <f>IF(Q1157="비교",ABS(P1157)+ROW()/1000000000,"")</f>
        <v/>
      </c>
      <c r="V1157" s="39">
        <f>IF($A1157="","",IF(COUNTIF(변동분석!$E$7:$E$506,O1157)&gt;0,"Y","N"))</f>
        <v/>
      </c>
      <c r="W1157" s="39">
        <f>IF($A1157="","",IFERROR(INDEX(계정매핑!$D$5:$D$504,MATCH($F1157&amp;"",계정매핑!$A$5:$A$504,0)),"미매핑"))</f>
        <v/>
      </c>
      <c r="X1157" s="9">
        <f>IF($A1157="","",$F1157&amp;"")</f>
        <v/>
      </c>
    </row>
    <row r="1158">
      <c r="A1158" s="75" t="n">
        <v>2025</v>
      </c>
      <c r="B1158" s="75" t="n">
        <v>6</v>
      </c>
      <c r="C1158" s="75" t="inlineStr">
        <is>
          <t>5100001154</t>
        </is>
      </c>
      <c r="D1158" s="78" t="n">
        <v>45834</v>
      </c>
      <c r="E1158" s="75" t="inlineStr">
        <is>
          <t>KR</t>
        </is>
      </c>
      <c r="F1158" s="75" t="n">
        <v>62102000</v>
      </c>
      <c r="G1158" s="75" t="n">
        <v>1101</v>
      </c>
      <c r="H1158" s="76" t="n">
        <v>81000</v>
      </c>
      <c r="I1158" s="75" t="inlineStr">
        <is>
          <t>6월 해외출장 - N호텔</t>
        </is>
      </c>
      <c r="J1158" s="75" t="inlineStr">
        <is>
          <t>V10007</t>
        </is>
      </c>
      <c r="K1158" s="75" t="inlineStr">
        <is>
          <t>N호텔</t>
        </is>
      </c>
      <c r="M1158" s="9">
        <f>IF($A1158="","",VALUE($A1158&amp;"")*12+VALUE($B1158&amp;""))</f>
        <v/>
      </c>
      <c r="N1158" s="39">
        <f>IF($A1158="","",IFERROR(INDEX(부서매핑!$C$5:$C$504,MATCH($G1158&amp;"",부서매핑!$A$5:$A$504,0)),"미매핑"))</f>
        <v/>
      </c>
      <c r="O1158" s="9">
        <f>IF($A1158="","",N1158&amp;"|"&amp;$F1158)</f>
        <v/>
      </c>
      <c r="P1158" s="77">
        <f>IF($A1158="",0,$H1158*설정!$C$23)</f>
        <v/>
      </c>
      <c r="Q1158" s="39">
        <f>IF($A1158="","",IF(O1158&lt;&gt;원인분석!$C$9,"",IF(AND(M1158&gt;=원인분석!$C$10,M1158&lt;=원인분석!$C$11),"당기",IF(AND(M1158&gt;=원인분석!$C$12,M1158&lt;=원인분석!$C$13),"비교",""))))</f>
        <v/>
      </c>
      <c r="R1158" s="9">
        <f>IF(Q1158="","",$K1158&amp;"")</f>
        <v/>
      </c>
      <c r="S1158" s="9">
        <f>IF(Q1158="","",IF(MATCH(R1158,$R$5:$R$100000,0)=ROW()-4,ROW(),""))</f>
        <v/>
      </c>
      <c r="T1158" s="9">
        <f>IF(Q1158="당기",ABS(P1158)+ROW()/1000000000,"")</f>
        <v/>
      </c>
      <c r="U1158" s="9">
        <f>IF(Q1158="비교",ABS(P1158)+ROW()/1000000000,"")</f>
        <v/>
      </c>
      <c r="V1158" s="39">
        <f>IF($A1158="","",IF(COUNTIF(변동분석!$E$7:$E$506,O1158)&gt;0,"Y","N"))</f>
        <v/>
      </c>
      <c r="W1158" s="39">
        <f>IF($A1158="","",IFERROR(INDEX(계정매핑!$D$5:$D$504,MATCH($F1158&amp;"",계정매핑!$A$5:$A$504,0)),"미매핑"))</f>
        <v/>
      </c>
      <c r="X1158" s="9">
        <f>IF($A1158="","",$F1158&amp;"")</f>
        <v/>
      </c>
    </row>
    <row r="1159">
      <c r="A1159" s="75" t="n">
        <v>2025</v>
      </c>
      <c r="B1159" s="75" t="n">
        <v>6</v>
      </c>
      <c r="C1159" s="75" t="inlineStr">
        <is>
          <t>5100001155</t>
        </is>
      </c>
      <c r="D1159" s="78" t="n">
        <v>45834</v>
      </c>
      <c r="E1159" s="75" t="inlineStr">
        <is>
          <t>KR</t>
        </is>
      </c>
      <c r="F1159" s="75" t="n">
        <v>62102000</v>
      </c>
      <c r="G1159" s="75" t="n">
        <v>1401</v>
      </c>
      <c r="H1159" s="76" t="n">
        <v>135000</v>
      </c>
      <c r="I1159" s="75" t="inlineStr">
        <is>
          <t>6월 해외출장 - N호텔</t>
        </is>
      </c>
      <c r="J1159" s="75" t="inlineStr">
        <is>
          <t>V10007</t>
        </is>
      </c>
      <c r="K1159" s="75" t="inlineStr">
        <is>
          <t>N호텔</t>
        </is>
      </c>
      <c r="M1159" s="9">
        <f>IF($A1159="","",VALUE($A1159&amp;"")*12+VALUE($B1159&amp;""))</f>
        <v/>
      </c>
      <c r="N1159" s="39">
        <f>IF($A1159="","",IFERROR(INDEX(부서매핑!$C$5:$C$504,MATCH($G1159&amp;"",부서매핑!$A$5:$A$504,0)),"미매핑"))</f>
        <v/>
      </c>
      <c r="O1159" s="9">
        <f>IF($A1159="","",N1159&amp;"|"&amp;$F1159)</f>
        <v/>
      </c>
      <c r="P1159" s="77">
        <f>IF($A1159="",0,$H1159*설정!$C$23)</f>
        <v/>
      </c>
      <c r="Q1159" s="39">
        <f>IF($A1159="","",IF(O1159&lt;&gt;원인분석!$C$9,"",IF(AND(M1159&gt;=원인분석!$C$10,M1159&lt;=원인분석!$C$11),"당기",IF(AND(M1159&gt;=원인분석!$C$12,M1159&lt;=원인분석!$C$13),"비교",""))))</f>
        <v/>
      </c>
      <c r="R1159" s="9">
        <f>IF(Q1159="","",$K1159&amp;"")</f>
        <v/>
      </c>
      <c r="S1159" s="9">
        <f>IF(Q1159="","",IF(MATCH(R1159,$R$5:$R$100000,0)=ROW()-4,ROW(),""))</f>
        <v/>
      </c>
      <c r="T1159" s="9">
        <f>IF(Q1159="당기",ABS(P1159)+ROW()/1000000000,"")</f>
        <v/>
      </c>
      <c r="U1159" s="9">
        <f>IF(Q1159="비교",ABS(P1159)+ROW()/1000000000,"")</f>
        <v/>
      </c>
      <c r="V1159" s="39">
        <f>IF($A1159="","",IF(COUNTIF(변동분석!$E$7:$E$506,O1159)&gt;0,"Y","N"))</f>
        <v/>
      </c>
      <c r="W1159" s="39">
        <f>IF($A1159="","",IFERROR(INDEX(계정매핑!$D$5:$D$504,MATCH($F1159&amp;"",계정매핑!$A$5:$A$504,0)),"미매핑"))</f>
        <v/>
      </c>
      <c r="X1159" s="9">
        <f>IF($A1159="","",$F1159&amp;"")</f>
        <v/>
      </c>
    </row>
    <row r="1160">
      <c r="A1160" s="75" t="n">
        <v>2025</v>
      </c>
      <c r="B1160" s="75" t="n">
        <v>6</v>
      </c>
      <c r="C1160" s="75" t="inlineStr">
        <is>
          <t>5100001156</t>
        </is>
      </c>
      <c r="D1160" s="78" t="n">
        <v>45834</v>
      </c>
      <c r="E1160" s="75" t="inlineStr">
        <is>
          <t>KR</t>
        </is>
      </c>
      <c r="F1160" s="75" t="n">
        <v>62201000</v>
      </c>
      <c r="G1160" s="75" t="n">
        <v>1601</v>
      </c>
      <c r="H1160" s="76" t="n">
        <v>631000</v>
      </c>
      <c r="I1160" s="75" t="inlineStr">
        <is>
          <t>6월 통신요금 - O텔레콤</t>
        </is>
      </c>
      <c r="J1160" s="75" t="inlineStr">
        <is>
          <t>V10002</t>
        </is>
      </c>
      <c r="K1160" s="75" t="inlineStr">
        <is>
          <t>O텔레콤</t>
        </is>
      </c>
      <c r="M1160" s="9">
        <f>IF($A1160="","",VALUE($A1160&amp;"")*12+VALUE($B1160&amp;""))</f>
        <v/>
      </c>
      <c r="N1160" s="39">
        <f>IF($A1160="","",IFERROR(INDEX(부서매핑!$C$5:$C$504,MATCH($G1160&amp;"",부서매핑!$A$5:$A$504,0)),"미매핑"))</f>
        <v/>
      </c>
      <c r="O1160" s="9">
        <f>IF($A1160="","",N1160&amp;"|"&amp;$F1160)</f>
        <v/>
      </c>
      <c r="P1160" s="77">
        <f>IF($A1160="",0,$H1160*설정!$C$23)</f>
        <v/>
      </c>
      <c r="Q1160" s="39">
        <f>IF($A1160="","",IF(O1160&lt;&gt;원인분석!$C$9,"",IF(AND(M1160&gt;=원인분석!$C$10,M1160&lt;=원인분석!$C$11),"당기",IF(AND(M1160&gt;=원인분석!$C$12,M1160&lt;=원인분석!$C$13),"비교",""))))</f>
        <v/>
      </c>
      <c r="R1160" s="9">
        <f>IF(Q1160="","",$K1160&amp;"")</f>
        <v/>
      </c>
      <c r="S1160" s="9">
        <f>IF(Q1160="","",IF(MATCH(R1160,$R$5:$R$100000,0)=ROW()-4,ROW(),""))</f>
        <v/>
      </c>
      <c r="T1160" s="9">
        <f>IF(Q1160="당기",ABS(P1160)+ROW()/1000000000,"")</f>
        <v/>
      </c>
      <c r="U1160" s="9">
        <f>IF(Q1160="비교",ABS(P1160)+ROW()/1000000000,"")</f>
        <v/>
      </c>
      <c r="V1160" s="39">
        <f>IF($A1160="","",IF(COUNTIF(변동분석!$E$7:$E$506,O1160)&gt;0,"Y","N"))</f>
        <v/>
      </c>
      <c r="W1160" s="39">
        <f>IF($A1160="","",IFERROR(INDEX(계정매핑!$D$5:$D$504,MATCH($F1160&amp;"",계정매핑!$A$5:$A$504,0)),"미매핑"))</f>
        <v/>
      </c>
      <c r="X1160" s="9">
        <f>IF($A1160="","",$F1160&amp;"")</f>
        <v/>
      </c>
    </row>
    <row r="1161">
      <c r="A1161" s="75" t="n">
        <v>2025</v>
      </c>
      <c r="B1161" s="75" t="n">
        <v>6</v>
      </c>
      <c r="C1161" s="75" t="inlineStr">
        <is>
          <t>5100001157</t>
        </is>
      </c>
      <c r="D1161" s="78" t="n">
        <v>45834</v>
      </c>
      <c r="E1161" s="75" t="inlineStr">
        <is>
          <t>KR</t>
        </is>
      </c>
      <c r="F1161" s="75" t="n">
        <v>62401000</v>
      </c>
      <c r="G1161" s="75" t="n">
        <v>1501</v>
      </c>
      <c r="H1161" s="76" t="n">
        <v>2476000</v>
      </c>
      <c r="I1161" s="75" t="inlineStr">
        <is>
          <t>6월 인쇄물 제작 - S출판</t>
        </is>
      </c>
      <c r="J1161" s="75" t="inlineStr">
        <is>
          <t>V10012</t>
        </is>
      </c>
      <c r="K1161" s="75" t="inlineStr">
        <is>
          <t>S출판</t>
        </is>
      </c>
      <c r="M1161" s="9">
        <f>IF($A1161="","",VALUE($A1161&amp;"")*12+VALUE($B1161&amp;""))</f>
        <v/>
      </c>
      <c r="N1161" s="39">
        <f>IF($A1161="","",IFERROR(INDEX(부서매핑!$C$5:$C$504,MATCH($G1161&amp;"",부서매핑!$A$5:$A$504,0)),"미매핑"))</f>
        <v/>
      </c>
      <c r="O1161" s="9">
        <f>IF($A1161="","",N1161&amp;"|"&amp;$F1161)</f>
        <v/>
      </c>
      <c r="P1161" s="77">
        <f>IF($A1161="",0,$H1161*설정!$C$23)</f>
        <v/>
      </c>
      <c r="Q1161" s="39">
        <f>IF($A1161="","",IF(O1161&lt;&gt;원인분석!$C$9,"",IF(AND(M1161&gt;=원인분석!$C$10,M1161&lt;=원인분석!$C$11),"당기",IF(AND(M1161&gt;=원인분석!$C$12,M1161&lt;=원인분석!$C$13),"비교",""))))</f>
        <v/>
      </c>
      <c r="R1161" s="9">
        <f>IF(Q1161="","",$K1161&amp;"")</f>
        <v/>
      </c>
      <c r="S1161" s="9">
        <f>IF(Q1161="","",IF(MATCH(R1161,$R$5:$R$100000,0)=ROW()-4,ROW(),""))</f>
        <v/>
      </c>
      <c r="T1161" s="9">
        <f>IF(Q1161="당기",ABS(P1161)+ROW()/1000000000,"")</f>
        <v/>
      </c>
      <c r="U1161" s="9">
        <f>IF(Q1161="비교",ABS(P1161)+ROW()/1000000000,"")</f>
        <v/>
      </c>
      <c r="V1161" s="39">
        <f>IF($A1161="","",IF(COUNTIF(변동분석!$E$7:$E$506,O1161)&gt;0,"Y","N"))</f>
        <v/>
      </c>
      <c r="W1161" s="39">
        <f>IF($A1161="","",IFERROR(INDEX(계정매핑!$D$5:$D$504,MATCH($F1161&amp;"",계정매핑!$A$5:$A$504,0)),"미매핑"))</f>
        <v/>
      </c>
      <c r="X1161" s="9">
        <f>IF($A1161="","",$F1161&amp;"")</f>
        <v/>
      </c>
    </row>
    <row r="1162">
      <c r="A1162" s="75" t="n">
        <v>2025</v>
      </c>
      <c r="B1162" s="75" t="n">
        <v>6</v>
      </c>
      <c r="C1162" s="75" t="inlineStr">
        <is>
          <t>5100001158</t>
        </is>
      </c>
      <c r="D1162" s="78" t="n">
        <v>45834</v>
      </c>
      <c r="E1162" s="75" t="inlineStr">
        <is>
          <t>KR</t>
        </is>
      </c>
      <c r="F1162" s="75" t="n">
        <v>62501000</v>
      </c>
      <c r="G1162" s="75" t="n">
        <v>1502</v>
      </c>
      <c r="H1162" s="76" t="n">
        <v>541000</v>
      </c>
      <c r="I1162" s="75" t="inlineStr">
        <is>
          <t>6월 회의 다과 - T케이터링</t>
        </is>
      </c>
      <c r="J1162" s="75" t="inlineStr">
        <is>
          <t>V10005</t>
        </is>
      </c>
      <c r="K1162" s="75" t="inlineStr">
        <is>
          <t>T케이터링</t>
        </is>
      </c>
      <c r="M1162" s="9">
        <f>IF($A1162="","",VALUE($A1162&amp;"")*12+VALUE($B1162&amp;""))</f>
        <v/>
      </c>
      <c r="N1162" s="39">
        <f>IF($A1162="","",IFERROR(INDEX(부서매핑!$C$5:$C$504,MATCH($G1162&amp;"",부서매핑!$A$5:$A$504,0)),"미매핑"))</f>
        <v/>
      </c>
      <c r="O1162" s="9">
        <f>IF($A1162="","",N1162&amp;"|"&amp;$F1162)</f>
        <v/>
      </c>
      <c r="P1162" s="77">
        <f>IF($A1162="",0,$H1162*설정!$C$23)</f>
        <v/>
      </c>
      <c r="Q1162" s="39">
        <f>IF($A1162="","",IF(O1162&lt;&gt;원인분석!$C$9,"",IF(AND(M1162&gt;=원인분석!$C$10,M1162&lt;=원인분석!$C$11),"당기",IF(AND(M1162&gt;=원인분석!$C$12,M1162&lt;=원인분석!$C$13),"비교",""))))</f>
        <v/>
      </c>
      <c r="R1162" s="9">
        <f>IF(Q1162="","",$K1162&amp;"")</f>
        <v/>
      </c>
      <c r="S1162" s="9">
        <f>IF(Q1162="","",IF(MATCH(R1162,$R$5:$R$100000,0)=ROW()-4,ROW(),""))</f>
        <v/>
      </c>
      <c r="T1162" s="9">
        <f>IF(Q1162="당기",ABS(P1162)+ROW()/1000000000,"")</f>
        <v/>
      </c>
      <c r="U1162" s="9">
        <f>IF(Q1162="비교",ABS(P1162)+ROW()/1000000000,"")</f>
        <v/>
      </c>
      <c r="V1162" s="39">
        <f>IF($A1162="","",IF(COUNTIF(변동분석!$E$7:$E$506,O1162)&gt;0,"Y","N"))</f>
        <v/>
      </c>
      <c r="W1162" s="39">
        <f>IF($A1162="","",IFERROR(INDEX(계정매핑!$D$5:$D$504,MATCH($F1162&amp;"",계정매핑!$A$5:$A$504,0)),"미매핑"))</f>
        <v/>
      </c>
      <c r="X1162" s="9">
        <f>IF($A1162="","",$F1162&amp;"")</f>
        <v/>
      </c>
    </row>
    <row r="1163">
      <c r="A1163" s="75" t="n">
        <v>2025</v>
      </c>
      <c r="B1163" s="75" t="n">
        <v>6</v>
      </c>
      <c r="C1163" s="75" t="inlineStr">
        <is>
          <t>5100001159</t>
        </is>
      </c>
      <c r="D1163" s="78" t="n">
        <v>45834</v>
      </c>
      <c r="E1163" s="75" t="inlineStr">
        <is>
          <t>KR</t>
        </is>
      </c>
      <c r="F1163" s="75" t="n">
        <v>62701000</v>
      </c>
      <c r="G1163" s="75" t="n">
        <v>1502</v>
      </c>
      <c r="H1163" s="76" t="n">
        <v>57999000</v>
      </c>
      <c r="I1163" s="75" t="inlineStr">
        <is>
          <t>6월 광고 집행 - F애드</t>
        </is>
      </c>
      <c r="J1163" s="75" t="inlineStr">
        <is>
          <t>V10019</t>
        </is>
      </c>
      <c r="K1163" s="75" t="inlineStr">
        <is>
          <t>F애드</t>
        </is>
      </c>
      <c r="M1163" s="9">
        <f>IF($A1163="","",VALUE($A1163&amp;"")*12+VALUE($B1163&amp;""))</f>
        <v/>
      </c>
      <c r="N1163" s="39">
        <f>IF($A1163="","",IFERROR(INDEX(부서매핑!$C$5:$C$504,MATCH($G1163&amp;"",부서매핑!$A$5:$A$504,0)),"미매핑"))</f>
        <v/>
      </c>
      <c r="O1163" s="9">
        <f>IF($A1163="","",N1163&amp;"|"&amp;$F1163)</f>
        <v/>
      </c>
      <c r="P1163" s="77">
        <f>IF($A1163="",0,$H1163*설정!$C$23)</f>
        <v/>
      </c>
      <c r="Q1163" s="39">
        <f>IF($A1163="","",IF(O1163&lt;&gt;원인분석!$C$9,"",IF(AND(M1163&gt;=원인분석!$C$10,M1163&lt;=원인분석!$C$11),"당기",IF(AND(M1163&gt;=원인분석!$C$12,M1163&lt;=원인분석!$C$13),"비교",""))))</f>
        <v/>
      </c>
      <c r="R1163" s="9">
        <f>IF(Q1163="","",$K1163&amp;"")</f>
        <v/>
      </c>
      <c r="S1163" s="9">
        <f>IF(Q1163="","",IF(MATCH(R1163,$R$5:$R$100000,0)=ROW()-4,ROW(),""))</f>
        <v/>
      </c>
      <c r="T1163" s="9">
        <f>IF(Q1163="당기",ABS(P1163)+ROW()/1000000000,"")</f>
        <v/>
      </c>
      <c r="U1163" s="9">
        <f>IF(Q1163="비교",ABS(P1163)+ROW()/1000000000,"")</f>
        <v/>
      </c>
      <c r="V1163" s="39">
        <f>IF($A1163="","",IF(COUNTIF(변동분석!$E$7:$E$506,O1163)&gt;0,"Y","N"))</f>
        <v/>
      </c>
      <c r="W1163" s="39">
        <f>IF($A1163="","",IFERROR(INDEX(계정매핑!$D$5:$D$504,MATCH($F1163&amp;"",계정매핑!$A$5:$A$504,0)),"미매핑"))</f>
        <v/>
      </c>
      <c r="X1163" s="9">
        <f>IF($A1163="","",$F1163&amp;"")</f>
        <v/>
      </c>
    </row>
    <row r="1164">
      <c r="A1164" s="75" t="n">
        <v>2025</v>
      </c>
      <c r="B1164" s="75" t="n">
        <v>6</v>
      </c>
      <c r="C1164" s="75" t="inlineStr">
        <is>
          <t>5100001160</t>
        </is>
      </c>
      <c r="D1164" s="78" t="n">
        <v>45835</v>
      </c>
      <c r="E1164" s="75" t="inlineStr">
        <is>
          <t>KR</t>
        </is>
      </c>
      <c r="F1164" s="75" t="n">
        <v>62102000</v>
      </c>
      <c r="G1164" s="75" t="n">
        <v>1201</v>
      </c>
      <c r="H1164" s="76" t="n">
        <v>64000</v>
      </c>
      <c r="I1164" s="75" t="inlineStr">
        <is>
          <t>6월 해외출장 - N호텔</t>
        </is>
      </c>
      <c r="J1164" s="75" t="inlineStr">
        <is>
          <t>V10007</t>
        </is>
      </c>
      <c r="K1164" s="75" t="inlineStr">
        <is>
          <t>N호텔</t>
        </is>
      </c>
      <c r="M1164" s="9">
        <f>IF($A1164="","",VALUE($A1164&amp;"")*12+VALUE($B1164&amp;""))</f>
        <v/>
      </c>
      <c r="N1164" s="39">
        <f>IF($A1164="","",IFERROR(INDEX(부서매핑!$C$5:$C$504,MATCH($G1164&amp;"",부서매핑!$A$5:$A$504,0)),"미매핑"))</f>
        <v/>
      </c>
      <c r="O1164" s="9">
        <f>IF($A1164="","",N1164&amp;"|"&amp;$F1164)</f>
        <v/>
      </c>
      <c r="P1164" s="77">
        <f>IF($A1164="",0,$H1164*설정!$C$23)</f>
        <v/>
      </c>
      <c r="Q1164" s="39">
        <f>IF($A1164="","",IF(O1164&lt;&gt;원인분석!$C$9,"",IF(AND(M1164&gt;=원인분석!$C$10,M1164&lt;=원인분석!$C$11),"당기",IF(AND(M1164&gt;=원인분석!$C$12,M1164&lt;=원인분석!$C$13),"비교",""))))</f>
        <v/>
      </c>
      <c r="R1164" s="9">
        <f>IF(Q1164="","",$K1164&amp;"")</f>
        <v/>
      </c>
      <c r="S1164" s="9">
        <f>IF(Q1164="","",IF(MATCH(R1164,$R$5:$R$100000,0)=ROW()-4,ROW(),""))</f>
        <v/>
      </c>
      <c r="T1164" s="9">
        <f>IF(Q1164="당기",ABS(P1164)+ROW()/1000000000,"")</f>
        <v/>
      </c>
      <c r="U1164" s="9">
        <f>IF(Q1164="비교",ABS(P1164)+ROW()/1000000000,"")</f>
        <v/>
      </c>
      <c r="V1164" s="39">
        <f>IF($A1164="","",IF(COUNTIF(변동분석!$E$7:$E$506,O1164)&gt;0,"Y","N"))</f>
        <v/>
      </c>
      <c r="W1164" s="39">
        <f>IF($A1164="","",IFERROR(INDEX(계정매핑!$D$5:$D$504,MATCH($F1164&amp;"",계정매핑!$A$5:$A$504,0)),"미매핑"))</f>
        <v/>
      </c>
      <c r="X1164" s="9">
        <f>IF($A1164="","",$F1164&amp;"")</f>
        <v/>
      </c>
    </row>
    <row r="1165">
      <c r="A1165" s="75" t="n">
        <v>2025</v>
      </c>
      <c r="B1165" s="75" t="n">
        <v>6</v>
      </c>
      <c r="C1165" s="75" t="inlineStr">
        <is>
          <t>5100001161</t>
        </is>
      </c>
      <c r="D1165" s="78" t="n">
        <v>45835</v>
      </c>
      <c r="E1165" s="75" t="inlineStr">
        <is>
          <t>KR</t>
        </is>
      </c>
      <c r="F1165" s="75" t="n">
        <v>62201000</v>
      </c>
      <c r="G1165" s="75" t="n">
        <v>1501</v>
      </c>
      <c r="H1165" s="76" t="n">
        <v>294000</v>
      </c>
      <c r="I1165" s="75" t="inlineStr">
        <is>
          <t>6월 통신요금 - P통신</t>
        </is>
      </c>
      <c r="J1165" s="75" t="inlineStr">
        <is>
          <t>V10011</t>
        </is>
      </c>
      <c r="K1165" s="75" t="inlineStr">
        <is>
          <t>P통신</t>
        </is>
      </c>
      <c r="M1165" s="9">
        <f>IF($A1165="","",VALUE($A1165&amp;"")*12+VALUE($B1165&amp;""))</f>
        <v/>
      </c>
      <c r="N1165" s="39">
        <f>IF($A1165="","",IFERROR(INDEX(부서매핑!$C$5:$C$504,MATCH($G1165&amp;"",부서매핑!$A$5:$A$504,0)),"미매핑"))</f>
        <v/>
      </c>
      <c r="O1165" s="9">
        <f>IF($A1165="","",N1165&amp;"|"&amp;$F1165)</f>
        <v/>
      </c>
      <c r="P1165" s="77">
        <f>IF($A1165="",0,$H1165*설정!$C$23)</f>
        <v/>
      </c>
      <c r="Q1165" s="39">
        <f>IF($A1165="","",IF(O1165&lt;&gt;원인분석!$C$9,"",IF(AND(M1165&gt;=원인분석!$C$10,M1165&lt;=원인분석!$C$11),"당기",IF(AND(M1165&gt;=원인분석!$C$12,M1165&lt;=원인분석!$C$13),"비교",""))))</f>
        <v/>
      </c>
      <c r="R1165" s="9">
        <f>IF(Q1165="","",$K1165&amp;"")</f>
        <v/>
      </c>
      <c r="S1165" s="9">
        <f>IF(Q1165="","",IF(MATCH(R1165,$R$5:$R$100000,0)=ROW()-4,ROW(),""))</f>
        <v/>
      </c>
      <c r="T1165" s="9">
        <f>IF(Q1165="당기",ABS(P1165)+ROW()/1000000000,"")</f>
        <v/>
      </c>
      <c r="U1165" s="9">
        <f>IF(Q1165="비교",ABS(P1165)+ROW()/1000000000,"")</f>
        <v/>
      </c>
      <c r="V1165" s="39">
        <f>IF($A1165="","",IF(COUNTIF(변동분석!$E$7:$E$506,O1165)&gt;0,"Y","N"))</f>
        <v/>
      </c>
      <c r="W1165" s="39">
        <f>IF($A1165="","",IFERROR(INDEX(계정매핑!$D$5:$D$504,MATCH($F1165&amp;"",계정매핑!$A$5:$A$504,0)),"미매핑"))</f>
        <v/>
      </c>
      <c r="X1165" s="9">
        <f>IF($A1165="","",$F1165&amp;"")</f>
        <v/>
      </c>
    </row>
    <row r="1166">
      <c r="A1166" s="75" t="n">
        <v>2025</v>
      </c>
      <c r="B1166" s="75" t="n">
        <v>6</v>
      </c>
      <c r="C1166" s="75" t="inlineStr">
        <is>
          <t>5100001162</t>
        </is>
      </c>
      <c r="D1166" s="78" t="n">
        <v>45835</v>
      </c>
      <c r="E1166" s="75" t="inlineStr">
        <is>
          <t>KR</t>
        </is>
      </c>
      <c r="F1166" s="75" t="n">
        <v>62201000</v>
      </c>
      <c r="G1166" s="75" t="n">
        <v>1701</v>
      </c>
      <c r="H1166" s="76" t="n">
        <v>8232000</v>
      </c>
      <c r="I1166" s="75" t="inlineStr">
        <is>
          <t>6월 통신요금 - O텔레콤</t>
        </is>
      </c>
      <c r="J1166" s="75" t="inlineStr">
        <is>
          <t>V10002</t>
        </is>
      </c>
      <c r="K1166" s="75" t="inlineStr">
        <is>
          <t>O텔레콤</t>
        </is>
      </c>
      <c r="M1166" s="9">
        <f>IF($A1166="","",VALUE($A1166&amp;"")*12+VALUE($B1166&amp;""))</f>
        <v/>
      </c>
      <c r="N1166" s="39">
        <f>IF($A1166="","",IFERROR(INDEX(부서매핑!$C$5:$C$504,MATCH($G1166&amp;"",부서매핑!$A$5:$A$504,0)),"미매핑"))</f>
        <v/>
      </c>
      <c r="O1166" s="9">
        <f>IF($A1166="","",N1166&amp;"|"&amp;$F1166)</f>
        <v/>
      </c>
      <c r="P1166" s="77">
        <f>IF($A1166="",0,$H1166*설정!$C$23)</f>
        <v/>
      </c>
      <c r="Q1166" s="39">
        <f>IF($A1166="","",IF(O1166&lt;&gt;원인분석!$C$9,"",IF(AND(M1166&gt;=원인분석!$C$10,M1166&lt;=원인분석!$C$11),"당기",IF(AND(M1166&gt;=원인분석!$C$12,M1166&lt;=원인분석!$C$13),"비교",""))))</f>
        <v/>
      </c>
      <c r="R1166" s="9">
        <f>IF(Q1166="","",$K1166&amp;"")</f>
        <v/>
      </c>
      <c r="S1166" s="9">
        <f>IF(Q1166="","",IF(MATCH(R1166,$R$5:$R$100000,0)=ROW()-4,ROW(),""))</f>
        <v/>
      </c>
      <c r="T1166" s="9">
        <f>IF(Q1166="당기",ABS(P1166)+ROW()/1000000000,"")</f>
        <v/>
      </c>
      <c r="U1166" s="9">
        <f>IF(Q1166="비교",ABS(P1166)+ROW()/1000000000,"")</f>
        <v/>
      </c>
      <c r="V1166" s="39">
        <f>IF($A1166="","",IF(COUNTIF(변동분석!$E$7:$E$506,O1166)&gt;0,"Y","N"))</f>
        <v/>
      </c>
      <c r="W1166" s="39">
        <f>IF($A1166="","",IFERROR(INDEX(계정매핑!$D$5:$D$504,MATCH($F1166&amp;"",계정매핑!$A$5:$A$504,0)),"미매핑"))</f>
        <v/>
      </c>
      <c r="X1166" s="9">
        <f>IF($A1166="","",$F1166&amp;"")</f>
        <v/>
      </c>
    </row>
    <row r="1167">
      <c r="A1167" s="75" t="n">
        <v>2025</v>
      </c>
      <c r="B1167" s="75" t="n">
        <v>6</v>
      </c>
      <c r="C1167" s="75" t="inlineStr">
        <is>
          <t>5100001163</t>
        </is>
      </c>
      <c r="D1167" s="78" t="n">
        <v>45835</v>
      </c>
      <c r="E1167" s="75" t="inlineStr">
        <is>
          <t>KR</t>
        </is>
      </c>
      <c r="F1167" s="75" t="n">
        <v>62301000</v>
      </c>
      <c r="G1167" s="75" t="n">
        <v>1301</v>
      </c>
      <c r="H1167" s="76" t="n">
        <v>223000</v>
      </c>
      <c r="I1167" s="75" t="inlineStr">
        <is>
          <t>6월 소모품 구입 - Q오피스</t>
        </is>
      </c>
      <c r="J1167" s="75" t="inlineStr">
        <is>
          <t>V10003</t>
        </is>
      </c>
      <c r="K1167" s="75" t="inlineStr">
        <is>
          <t>Q오피스</t>
        </is>
      </c>
      <c r="M1167" s="9">
        <f>IF($A1167="","",VALUE($A1167&amp;"")*12+VALUE($B1167&amp;""))</f>
        <v/>
      </c>
      <c r="N1167" s="39">
        <f>IF($A1167="","",IFERROR(INDEX(부서매핑!$C$5:$C$504,MATCH($G1167&amp;"",부서매핑!$A$5:$A$504,0)),"미매핑"))</f>
        <v/>
      </c>
      <c r="O1167" s="9">
        <f>IF($A1167="","",N1167&amp;"|"&amp;$F1167)</f>
        <v/>
      </c>
      <c r="P1167" s="77">
        <f>IF($A1167="",0,$H1167*설정!$C$23)</f>
        <v/>
      </c>
      <c r="Q1167" s="39">
        <f>IF($A1167="","",IF(O1167&lt;&gt;원인분석!$C$9,"",IF(AND(M1167&gt;=원인분석!$C$10,M1167&lt;=원인분석!$C$11),"당기",IF(AND(M1167&gt;=원인분석!$C$12,M1167&lt;=원인분석!$C$13),"비교",""))))</f>
        <v/>
      </c>
      <c r="R1167" s="9">
        <f>IF(Q1167="","",$K1167&amp;"")</f>
        <v/>
      </c>
      <c r="S1167" s="9">
        <f>IF(Q1167="","",IF(MATCH(R1167,$R$5:$R$100000,0)=ROW()-4,ROW(),""))</f>
        <v/>
      </c>
      <c r="T1167" s="9">
        <f>IF(Q1167="당기",ABS(P1167)+ROW()/1000000000,"")</f>
        <v/>
      </c>
      <c r="U1167" s="9">
        <f>IF(Q1167="비교",ABS(P1167)+ROW()/1000000000,"")</f>
        <v/>
      </c>
      <c r="V1167" s="39">
        <f>IF($A1167="","",IF(COUNTIF(변동분석!$E$7:$E$506,O1167)&gt;0,"Y","N"))</f>
        <v/>
      </c>
      <c r="W1167" s="39">
        <f>IF($A1167="","",IFERROR(INDEX(계정매핑!$D$5:$D$504,MATCH($F1167&amp;"",계정매핑!$A$5:$A$504,0)),"미매핑"))</f>
        <v/>
      </c>
      <c r="X1167" s="9">
        <f>IF($A1167="","",$F1167&amp;"")</f>
        <v/>
      </c>
    </row>
    <row r="1168">
      <c r="A1168" s="75" t="n">
        <v>2025</v>
      </c>
      <c r="B1168" s="75" t="n">
        <v>6</v>
      </c>
      <c r="C1168" s="75" t="inlineStr">
        <is>
          <t>5100001164</t>
        </is>
      </c>
      <c r="D1168" s="78" t="n">
        <v>45835</v>
      </c>
      <c r="E1168" s="75" t="inlineStr">
        <is>
          <t>KR</t>
        </is>
      </c>
      <c r="F1168" s="75" t="n">
        <v>62501000</v>
      </c>
      <c r="G1168" s="75" t="n">
        <v>1801</v>
      </c>
      <c r="H1168" s="76" t="n">
        <v>143000</v>
      </c>
      <c r="I1168" s="75" t="inlineStr">
        <is>
          <t>6월 회의 다과 - (법인카드)</t>
        </is>
      </c>
      <c r="J1168" s="75" t="inlineStr">
        <is>
          <t>V10008</t>
        </is>
      </c>
      <c r="K1168" s="75" t="inlineStr">
        <is>
          <t>(법인카드)</t>
        </is>
      </c>
      <c r="M1168" s="9">
        <f>IF($A1168="","",VALUE($A1168&amp;"")*12+VALUE($B1168&amp;""))</f>
        <v/>
      </c>
      <c r="N1168" s="39">
        <f>IF($A1168="","",IFERROR(INDEX(부서매핑!$C$5:$C$504,MATCH($G1168&amp;"",부서매핑!$A$5:$A$504,0)),"미매핑"))</f>
        <v/>
      </c>
      <c r="O1168" s="9">
        <f>IF($A1168="","",N1168&amp;"|"&amp;$F1168)</f>
        <v/>
      </c>
      <c r="P1168" s="77">
        <f>IF($A1168="",0,$H1168*설정!$C$23)</f>
        <v/>
      </c>
      <c r="Q1168" s="39">
        <f>IF($A1168="","",IF(O1168&lt;&gt;원인분석!$C$9,"",IF(AND(M1168&gt;=원인분석!$C$10,M1168&lt;=원인분석!$C$11),"당기",IF(AND(M1168&gt;=원인분석!$C$12,M1168&lt;=원인분석!$C$13),"비교",""))))</f>
        <v/>
      </c>
      <c r="R1168" s="9">
        <f>IF(Q1168="","",$K1168&amp;"")</f>
        <v/>
      </c>
      <c r="S1168" s="9">
        <f>IF(Q1168="","",IF(MATCH(R1168,$R$5:$R$100000,0)=ROW()-4,ROW(),""))</f>
        <v/>
      </c>
      <c r="T1168" s="9">
        <f>IF(Q1168="당기",ABS(P1168)+ROW()/1000000000,"")</f>
        <v/>
      </c>
      <c r="U1168" s="9">
        <f>IF(Q1168="비교",ABS(P1168)+ROW()/1000000000,"")</f>
        <v/>
      </c>
      <c r="V1168" s="39">
        <f>IF($A1168="","",IF(COUNTIF(변동분석!$E$7:$E$506,O1168)&gt;0,"Y","N"))</f>
        <v/>
      </c>
      <c r="W1168" s="39">
        <f>IF($A1168="","",IFERROR(INDEX(계정매핑!$D$5:$D$504,MATCH($F1168&amp;"",계정매핑!$A$5:$A$504,0)),"미매핑"))</f>
        <v/>
      </c>
      <c r="X1168" s="9">
        <f>IF($A1168="","",$F1168&amp;"")</f>
        <v/>
      </c>
    </row>
    <row r="1169">
      <c r="A1169" s="75" t="n">
        <v>2025</v>
      </c>
      <c r="B1169" s="75" t="n">
        <v>6</v>
      </c>
      <c r="C1169" s="75" t="inlineStr">
        <is>
          <t>5100001165</t>
        </is>
      </c>
      <c r="D1169" s="78" t="n">
        <v>45835</v>
      </c>
      <c r="E1169" s="75" t="inlineStr">
        <is>
          <t>KR</t>
        </is>
      </c>
      <c r="F1169" s="75" t="n">
        <v>62802000</v>
      </c>
      <c r="G1169" s="75" t="n">
        <v>1301</v>
      </c>
      <c r="H1169" s="76" t="n">
        <v>6288000</v>
      </c>
      <c r="I1169" s="75" t="inlineStr">
        <is>
          <t>6월 위탁교육 - I교육원</t>
        </is>
      </c>
      <c r="J1169" s="75" t="inlineStr">
        <is>
          <t>V10015</t>
        </is>
      </c>
      <c r="K1169" s="75" t="inlineStr">
        <is>
          <t>I교육원</t>
        </is>
      </c>
      <c r="M1169" s="9">
        <f>IF($A1169="","",VALUE($A1169&amp;"")*12+VALUE($B1169&amp;""))</f>
        <v/>
      </c>
      <c r="N1169" s="39">
        <f>IF($A1169="","",IFERROR(INDEX(부서매핑!$C$5:$C$504,MATCH($G1169&amp;"",부서매핑!$A$5:$A$504,0)),"미매핑"))</f>
        <v/>
      </c>
      <c r="O1169" s="9">
        <f>IF($A1169="","",N1169&amp;"|"&amp;$F1169)</f>
        <v/>
      </c>
      <c r="P1169" s="77">
        <f>IF($A1169="",0,$H1169*설정!$C$23)</f>
        <v/>
      </c>
      <c r="Q1169" s="39">
        <f>IF($A1169="","",IF(O1169&lt;&gt;원인분석!$C$9,"",IF(AND(M1169&gt;=원인분석!$C$10,M1169&lt;=원인분석!$C$11),"당기",IF(AND(M1169&gt;=원인분석!$C$12,M1169&lt;=원인분석!$C$13),"비교",""))))</f>
        <v/>
      </c>
      <c r="R1169" s="9">
        <f>IF(Q1169="","",$K1169&amp;"")</f>
        <v/>
      </c>
      <c r="S1169" s="9">
        <f>IF(Q1169="","",IF(MATCH(R1169,$R$5:$R$100000,0)=ROW()-4,ROW(),""))</f>
        <v/>
      </c>
      <c r="T1169" s="9">
        <f>IF(Q1169="당기",ABS(P1169)+ROW()/1000000000,"")</f>
        <v/>
      </c>
      <c r="U1169" s="9">
        <f>IF(Q1169="비교",ABS(P1169)+ROW()/1000000000,"")</f>
        <v/>
      </c>
      <c r="V1169" s="39">
        <f>IF($A1169="","",IF(COUNTIF(변동분석!$E$7:$E$506,O1169)&gt;0,"Y","N"))</f>
        <v/>
      </c>
      <c r="W1169" s="39">
        <f>IF($A1169="","",IFERROR(INDEX(계정매핑!$D$5:$D$504,MATCH($F1169&amp;"",계정매핑!$A$5:$A$504,0)),"미매핑"))</f>
        <v/>
      </c>
      <c r="X1169" s="9">
        <f>IF($A1169="","",$F1169&amp;"")</f>
        <v/>
      </c>
    </row>
    <row r="1170">
      <c r="A1170" s="75" t="n">
        <v>2025</v>
      </c>
      <c r="B1170" s="75" t="n">
        <v>6</v>
      </c>
      <c r="C1170" s="75" t="inlineStr">
        <is>
          <t>5100001166</t>
        </is>
      </c>
      <c r="D1170" s="78" t="n">
        <v>45835</v>
      </c>
      <c r="E1170" s="75" t="inlineStr">
        <is>
          <t>KR</t>
        </is>
      </c>
      <c r="F1170" s="75" t="n">
        <v>62901000</v>
      </c>
      <c r="G1170" s="75" t="n">
        <v>1201</v>
      </c>
      <c r="H1170" s="76" t="n">
        <v>4506000</v>
      </c>
      <c r="I1170" s="75" t="inlineStr">
        <is>
          <t>6월 자문 수수료 - W컨설팅</t>
        </is>
      </c>
      <c r="J1170" s="75" t="inlineStr">
        <is>
          <t>V10009</t>
        </is>
      </c>
      <c r="K1170" s="75" t="inlineStr">
        <is>
          <t>W컨설팅</t>
        </is>
      </c>
      <c r="M1170" s="9">
        <f>IF($A1170="","",VALUE($A1170&amp;"")*12+VALUE($B1170&amp;""))</f>
        <v/>
      </c>
      <c r="N1170" s="39">
        <f>IF($A1170="","",IFERROR(INDEX(부서매핑!$C$5:$C$504,MATCH($G1170&amp;"",부서매핑!$A$5:$A$504,0)),"미매핑"))</f>
        <v/>
      </c>
      <c r="O1170" s="9">
        <f>IF($A1170="","",N1170&amp;"|"&amp;$F1170)</f>
        <v/>
      </c>
      <c r="P1170" s="77">
        <f>IF($A1170="",0,$H1170*설정!$C$23)</f>
        <v/>
      </c>
      <c r="Q1170" s="39">
        <f>IF($A1170="","",IF(O1170&lt;&gt;원인분석!$C$9,"",IF(AND(M1170&gt;=원인분석!$C$10,M1170&lt;=원인분석!$C$11),"당기",IF(AND(M1170&gt;=원인분석!$C$12,M1170&lt;=원인분석!$C$13),"비교",""))))</f>
        <v/>
      </c>
      <c r="R1170" s="9">
        <f>IF(Q1170="","",$K1170&amp;"")</f>
        <v/>
      </c>
      <c r="S1170" s="9">
        <f>IF(Q1170="","",IF(MATCH(R1170,$R$5:$R$100000,0)=ROW()-4,ROW(),""))</f>
        <v/>
      </c>
      <c r="T1170" s="9">
        <f>IF(Q1170="당기",ABS(P1170)+ROW()/1000000000,"")</f>
        <v/>
      </c>
      <c r="U1170" s="9">
        <f>IF(Q1170="비교",ABS(P1170)+ROW()/1000000000,"")</f>
        <v/>
      </c>
      <c r="V1170" s="39">
        <f>IF($A1170="","",IF(COUNTIF(변동분석!$E$7:$E$506,O1170)&gt;0,"Y","N"))</f>
        <v/>
      </c>
      <c r="W1170" s="39">
        <f>IF($A1170="","",IFERROR(INDEX(계정매핑!$D$5:$D$504,MATCH($F1170&amp;"",계정매핑!$A$5:$A$504,0)),"미매핑"))</f>
        <v/>
      </c>
      <c r="X1170" s="9">
        <f>IF($A1170="","",$F1170&amp;"")</f>
        <v/>
      </c>
    </row>
    <row r="1171">
      <c r="A1171" s="75" t="n">
        <v>2025</v>
      </c>
      <c r="B1171" s="75" t="n">
        <v>6</v>
      </c>
      <c r="C1171" s="75" t="inlineStr">
        <is>
          <t>5100001167</t>
        </is>
      </c>
      <c r="D1171" s="78" t="n">
        <v>45835</v>
      </c>
      <c r="E1171" s="75" t="inlineStr">
        <is>
          <t>KR</t>
        </is>
      </c>
      <c r="F1171" s="75" t="n">
        <v>62902000</v>
      </c>
      <c r="G1171" s="75" t="n">
        <v>1201</v>
      </c>
      <c r="H1171" s="76" t="n">
        <v>4261000</v>
      </c>
      <c r="I1171" s="75" t="inlineStr">
        <is>
          <t>6월 업무 위탁 수수료 - X서비스</t>
        </is>
      </c>
      <c r="J1171" s="75" t="inlineStr">
        <is>
          <t>V10016</t>
        </is>
      </c>
      <c r="K1171" s="75" t="inlineStr">
        <is>
          <t>X서비스</t>
        </is>
      </c>
      <c r="M1171" s="9">
        <f>IF($A1171="","",VALUE($A1171&amp;"")*12+VALUE($B1171&amp;""))</f>
        <v/>
      </c>
      <c r="N1171" s="39">
        <f>IF($A1171="","",IFERROR(INDEX(부서매핑!$C$5:$C$504,MATCH($G1171&amp;"",부서매핑!$A$5:$A$504,0)),"미매핑"))</f>
        <v/>
      </c>
      <c r="O1171" s="9">
        <f>IF($A1171="","",N1171&amp;"|"&amp;$F1171)</f>
        <v/>
      </c>
      <c r="P1171" s="77">
        <f>IF($A1171="",0,$H1171*설정!$C$23)</f>
        <v/>
      </c>
      <c r="Q1171" s="39">
        <f>IF($A1171="","",IF(O1171&lt;&gt;원인분석!$C$9,"",IF(AND(M1171&gt;=원인분석!$C$10,M1171&lt;=원인분석!$C$11),"당기",IF(AND(M1171&gt;=원인분석!$C$12,M1171&lt;=원인분석!$C$13),"비교",""))))</f>
        <v/>
      </c>
      <c r="R1171" s="9">
        <f>IF(Q1171="","",$K1171&amp;"")</f>
        <v/>
      </c>
      <c r="S1171" s="9">
        <f>IF(Q1171="","",IF(MATCH(R1171,$R$5:$R$100000,0)=ROW()-4,ROW(),""))</f>
        <v/>
      </c>
      <c r="T1171" s="9">
        <f>IF(Q1171="당기",ABS(P1171)+ROW()/1000000000,"")</f>
        <v/>
      </c>
      <c r="U1171" s="9">
        <f>IF(Q1171="비교",ABS(P1171)+ROW()/1000000000,"")</f>
        <v/>
      </c>
      <c r="V1171" s="39">
        <f>IF($A1171="","",IF(COUNTIF(변동분석!$E$7:$E$506,O1171)&gt;0,"Y","N"))</f>
        <v/>
      </c>
      <c r="W1171" s="39">
        <f>IF($A1171="","",IFERROR(INDEX(계정매핑!$D$5:$D$504,MATCH($F1171&amp;"",계정매핑!$A$5:$A$504,0)),"미매핑"))</f>
        <v/>
      </c>
      <c r="X1171" s="9">
        <f>IF($A1171="","",$F1171&amp;"")</f>
        <v/>
      </c>
    </row>
    <row r="1172">
      <c r="A1172" s="75" t="n">
        <v>2025</v>
      </c>
      <c r="B1172" s="75" t="n">
        <v>7</v>
      </c>
      <c r="C1172" s="75" t="inlineStr">
        <is>
          <t>5100001168</t>
        </is>
      </c>
      <c r="D1172" s="78" t="n">
        <v>45840</v>
      </c>
      <c r="E1172" s="75" t="inlineStr">
        <is>
          <t>KR</t>
        </is>
      </c>
      <c r="F1172" s="75" t="n">
        <v>62101000</v>
      </c>
      <c r="G1172" s="75" t="n">
        <v>1101</v>
      </c>
      <c r="H1172" s="76" t="n">
        <v>407000</v>
      </c>
      <c r="I1172" s="75" t="inlineStr">
        <is>
          <t>7월 국내출장 - L여행사</t>
        </is>
      </c>
      <c r="J1172" s="75" t="inlineStr">
        <is>
          <t>V10014</t>
        </is>
      </c>
      <c r="K1172" s="75" t="inlineStr">
        <is>
          <t>L여행사</t>
        </is>
      </c>
      <c r="M1172" s="9">
        <f>IF($A1172="","",VALUE($A1172&amp;"")*12+VALUE($B1172&amp;""))</f>
        <v/>
      </c>
      <c r="N1172" s="39">
        <f>IF($A1172="","",IFERROR(INDEX(부서매핑!$C$5:$C$504,MATCH($G1172&amp;"",부서매핑!$A$5:$A$504,0)),"미매핑"))</f>
        <v/>
      </c>
      <c r="O1172" s="9">
        <f>IF($A1172="","",N1172&amp;"|"&amp;$F1172)</f>
        <v/>
      </c>
      <c r="P1172" s="77">
        <f>IF($A1172="",0,$H1172*설정!$C$23)</f>
        <v/>
      </c>
      <c r="Q1172" s="39">
        <f>IF($A1172="","",IF(O1172&lt;&gt;원인분석!$C$9,"",IF(AND(M1172&gt;=원인분석!$C$10,M1172&lt;=원인분석!$C$11),"당기",IF(AND(M1172&gt;=원인분석!$C$12,M1172&lt;=원인분석!$C$13),"비교",""))))</f>
        <v/>
      </c>
      <c r="R1172" s="9">
        <f>IF(Q1172="","",$K1172&amp;"")</f>
        <v/>
      </c>
      <c r="S1172" s="9">
        <f>IF(Q1172="","",IF(MATCH(R1172,$R$5:$R$100000,0)=ROW()-4,ROW(),""))</f>
        <v/>
      </c>
      <c r="T1172" s="9">
        <f>IF(Q1172="당기",ABS(P1172)+ROW()/1000000000,"")</f>
        <v/>
      </c>
      <c r="U1172" s="9">
        <f>IF(Q1172="비교",ABS(P1172)+ROW()/1000000000,"")</f>
        <v/>
      </c>
      <c r="V1172" s="39">
        <f>IF($A1172="","",IF(COUNTIF(변동분석!$E$7:$E$506,O1172)&gt;0,"Y","N"))</f>
        <v/>
      </c>
      <c r="W1172" s="39">
        <f>IF($A1172="","",IFERROR(INDEX(계정매핑!$D$5:$D$504,MATCH($F1172&amp;"",계정매핑!$A$5:$A$504,0)),"미매핑"))</f>
        <v/>
      </c>
      <c r="X1172" s="9">
        <f>IF($A1172="","",$F1172&amp;"")</f>
        <v/>
      </c>
    </row>
    <row r="1173">
      <c r="A1173" s="75" t="n">
        <v>2025</v>
      </c>
      <c r="B1173" s="75" t="n">
        <v>7</v>
      </c>
      <c r="C1173" s="75" t="inlineStr">
        <is>
          <t>5100001169</t>
        </is>
      </c>
      <c r="D1173" s="78" t="n">
        <v>45840</v>
      </c>
      <c r="E1173" s="75" t="inlineStr">
        <is>
          <t>KR</t>
        </is>
      </c>
      <c r="F1173" s="75" t="n">
        <v>62101000</v>
      </c>
      <c r="G1173" s="75" t="n">
        <v>1201</v>
      </c>
      <c r="H1173" s="76" t="n">
        <v>230000</v>
      </c>
      <c r="I1173" s="75" t="inlineStr">
        <is>
          <t>7월 국내출장 - M항공</t>
        </is>
      </c>
      <c r="J1173" s="75" t="inlineStr">
        <is>
          <t>V10001</t>
        </is>
      </c>
      <c r="K1173" s="75" t="inlineStr">
        <is>
          <t>M항공</t>
        </is>
      </c>
      <c r="M1173" s="9">
        <f>IF($A1173="","",VALUE($A1173&amp;"")*12+VALUE($B1173&amp;""))</f>
        <v/>
      </c>
      <c r="N1173" s="39">
        <f>IF($A1173="","",IFERROR(INDEX(부서매핑!$C$5:$C$504,MATCH($G1173&amp;"",부서매핑!$A$5:$A$504,0)),"미매핑"))</f>
        <v/>
      </c>
      <c r="O1173" s="9">
        <f>IF($A1173="","",N1173&amp;"|"&amp;$F1173)</f>
        <v/>
      </c>
      <c r="P1173" s="77">
        <f>IF($A1173="",0,$H1173*설정!$C$23)</f>
        <v/>
      </c>
      <c r="Q1173" s="39">
        <f>IF($A1173="","",IF(O1173&lt;&gt;원인분석!$C$9,"",IF(AND(M1173&gt;=원인분석!$C$10,M1173&lt;=원인분석!$C$11),"당기",IF(AND(M1173&gt;=원인분석!$C$12,M1173&lt;=원인분석!$C$13),"비교",""))))</f>
        <v/>
      </c>
      <c r="R1173" s="9">
        <f>IF(Q1173="","",$K1173&amp;"")</f>
        <v/>
      </c>
      <c r="S1173" s="9">
        <f>IF(Q1173="","",IF(MATCH(R1173,$R$5:$R$100000,0)=ROW()-4,ROW(),""))</f>
        <v/>
      </c>
      <c r="T1173" s="9">
        <f>IF(Q1173="당기",ABS(P1173)+ROW()/1000000000,"")</f>
        <v/>
      </c>
      <c r="U1173" s="9">
        <f>IF(Q1173="비교",ABS(P1173)+ROW()/1000000000,"")</f>
        <v/>
      </c>
      <c r="V1173" s="39">
        <f>IF($A1173="","",IF(COUNTIF(변동분석!$E$7:$E$506,O1173)&gt;0,"Y","N"))</f>
        <v/>
      </c>
      <c r="W1173" s="39">
        <f>IF($A1173="","",IFERROR(INDEX(계정매핑!$D$5:$D$504,MATCH($F1173&amp;"",계정매핑!$A$5:$A$504,0)),"미매핑"))</f>
        <v/>
      </c>
      <c r="X1173" s="9">
        <f>IF($A1173="","",$F1173&amp;"")</f>
        <v/>
      </c>
    </row>
    <row r="1174">
      <c r="A1174" s="75" t="n">
        <v>2025</v>
      </c>
      <c r="B1174" s="75" t="n">
        <v>7</v>
      </c>
      <c r="C1174" s="75" t="inlineStr">
        <is>
          <t>5100001170</t>
        </is>
      </c>
      <c r="D1174" s="78" t="n">
        <v>45840</v>
      </c>
      <c r="E1174" s="75" t="inlineStr">
        <is>
          <t>KR</t>
        </is>
      </c>
      <c r="F1174" s="75" t="n">
        <v>62101000</v>
      </c>
      <c r="G1174" s="75" t="n">
        <v>1201</v>
      </c>
      <c r="H1174" s="76" t="n">
        <v>263000</v>
      </c>
      <c r="I1174" s="75" t="inlineStr">
        <is>
          <t>7월 국내출장 - (법인카드)</t>
        </is>
      </c>
      <c r="J1174" s="75" t="inlineStr">
        <is>
          <t>V10008</t>
        </is>
      </c>
      <c r="K1174" s="75" t="inlineStr">
        <is>
          <t>(법인카드)</t>
        </is>
      </c>
      <c r="M1174" s="9">
        <f>IF($A1174="","",VALUE($A1174&amp;"")*12+VALUE($B1174&amp;""))</f>
        <v/>
      </c>
      <c r="N1174" s="39">
        <f>IF($A1174="","",IFERROR(INDEX(부서매핑!$C$5:$C$504,MATCH($G1174&amp;"",부서매핑!$A$5:$A$504,0)),"미매핑"))</f>
        <v/>
      </c>
      <c r="O1174" s="9">
        <f>IF($A1174="","",N1174&amp;"|"&amp;$F1174)</f>
        <v/>
      </c>
      <c r="P1174" s="77">
        <f>IF($A1174="",0,$H1174*설정!$C$23)</f>
        <v/>
      </c>
      <c r="Q1174" s="39">
        <f>IF($A1174="","",IF(O1174&lt;&gt;원인분석!$C$9,"",IF(AND(M1174&gt;=원인분석!$C$10,M1174&lt;=원인분석!$C$11),"당기",IF(AND(M1174&gt;=원인분석!$C$12,M1174&lt;=원인분석!$C$13),"비교",""))))</f>
        <v/>
      </c>
      <c r="R1174" s="9">
        <f>IF(Q1174="","",$K1174&amp;"")</f>
        <v/>
      </c>
      <c r="S1174" s="9">
        <f>IF(Q1174="","",IF(MATCH(R1174,$R$5:$R$100000,0)=ROW()-4,ROW(),""))</f>
        <v/>
      </c>
      <c r="T1174" s="9">
        <f>IF(Q1174="당기",ABS(P1174)+ROW()/1000000000,"")</f>
        <v/>
      </c>
      <c r="U1174" s="9">
        <f>IF(Q1174="비교",ABS(P1174)+ROW()/1000000000,"")</f>
        <v/>
      </c>
      <c r="V1174" s="39">
        <f>IF($A1174="","",IF(COUNTIF(변동분석!$E$7:$E$506,O1174)&gt;0,"Y","N"))</f>
        <v/>
      </c>
      <c r="W1174" s="39">
        <f>IF($A1174="","",IFERROR(INDEX(계정매핑!$D$5:$D$504,MATCH($F1174&amp;"",계정매핑!$A$5:$A$504,0)),"미매핑"))</f>
        <v/>
      </c>
      <c r="X1174" s="9">
        <f>IF($A1174="","",$F1174&amp;"")</f>
        <v/>
      </c>
    </row>
    <row r="1175">
      <c r="A1175" s="75" t="n">
        <v>2025</v>
      </c>
      <c r="B1175" s="75" t="n">
        <v>7</v>
      </c>
      <c r="C1175" s="75" t="inlineStr">
        <is>
          <t>5100001171</t>
        </is>
      </c>
      <c r="D1175" s="78" t="n">
        <v>45840</v>
      </c>
      <c r="E1175" s="75" t="inlineStr">
        <is>
          <t>KR</t>
        </is>
      </c>
      <c r="F1175" s="75" t="n">
        <v>62301000</v>
      </c>
      <c r="G1175" s="75" t="n">
        <v>1201</v>
      </c>
      <c r="H1175" s="76" t="n">
        <v>249000</v>
      </c>
      <c r="I1175" s="75" t="inlineStr">
        <is>
          <t>7월 소모품 구입 - R문구</t>
        </is>
      </c>
      <c r="J1175" s="75" t="inlineStr">
        <is>
          <t>V10018</t>
        </is>
      </c>
      <c r="K1175" s="75" t="inlineStr">
        <is>
          <t>R문구</t>
        </is>
      </c>
      <c r="M1175" s="9">
        <f>IF($A1175="","",VALUE($A1175&amp;"")*12+VALUE($B1175&amp;""))</f>
        <v/>
      </c>
      <c r="N1175" s="39">
        <f>IF($A1175="","",IFERROR(INDEX(부서매핑!$C$5:$C$504,MATCH($G1175&amp;"",부서매핑!$A$5:$A$504,0)),"미매핑"))</f>
        <v/>
      </c>
      <c r="O1175" s="9">
        <f>IF($A1175="","",N1175&amp;"|"&amp;$F1175)</f>
        <v/>
      </c>
      <c r="P1175" s="77">
        <f>IF($A1175="",0,$H1175*설정!$C$23)</f>
        <v/>
      </c>
      <c r="Q1175" s="39">
        <f>IF($A1175="","",IF(O1175&lt;&gt;원인분석!$C$9,"",IF(AND(M1175&gt;=원인분석!$C$10,M1175&lt;=원인분석!$C$11),"당기",IF(AND(M1175&gt;=원인분석!$C$12,M1175&lt;=원인분석!$C$13),"비교",""))))</f>
        <v/>
      </c>
      <c r="R1175" s="9">
        <f>IF(Q1175="","",$K1175&amp;"")</f>
        <v/>
      </c>
      <c r="S1175" s="9">
        <f>IF(Q1175="","",IF(MATCH(R1175,$R$5:$R$100000,0)=ROW()-4,ROW(),""))</f>
        <v/>
      </c>
      <c r="T1175" s="9">
        <f>IF(Q1175="당기",ABS(P1175)+ROW()/1000000000,"")</f>
        <v/>
      </c>
      <c r="U1175" s="9">
        <f>IF(Q1175="비교",ABS(P1175)+ROW()/1000000000,"")</f>
        <v/>
      </c>
      <c r="V1175" s="39">
        <f>IF($A1175="","",IF(COUNTIF(변동분석!$E$7:$E$506,O1175)&gt;0,"Y","N"))</f>
        <v/>
      </c>
      <c r="W1175" s="39">
        <f>IF($A1175="","",IFERROR(INDEX(계정매핑!$D$5:$D$504,MATCH($F1175&amp;"",계정매핑!$A$5:$A$504,0)),"미매핑"))</f>
        <v/>
      </c>
      <c r="X1175" s="9">
        <f>IF($A1175="","",$F1175&amp;"")</f>
        <v/>
      </c>
    </row>
    <row r="1176">
      <c r="A1176" s="75" t="n">
        <v>2025</v>
      </c>
      <c r="B1176" s="75" t="n">
        <v>7</v>
      </c>
      <c r="C1176" s="75" t="inlineStr">
        <is>
          <t>5100001172</t>
        </is>
      </c>
      <c r="D1176" s="78" t="n">
        <v>45840</v>
      </c>
      <c r="E1176" s="75" t="inlineStr">
        <is>
          <t>KR</t>
        </is>
      </c>
      <c r="F1176" s="75" t="n">
        <v>62401000</v>
      </c>
      <c r="G1176" s="75" t="n">
        <v>1401</v>
      </c>
      <c r="H1176" s="76" t="n">
        <v>486000</v>
      </c>
      <c r="I1176" s="75" t="inlineStr">
        <is>
          <t>7월 인쇄물 제작 - G인쇄</t>
        </is>
      </c>
      <c r="J1176" s="75" t="inlineStr">
        <is>
          <t>V10004</t>
        </is>
      </c>
      <c r="K1176" s="75" t="inlineStr">
        <is>
          <t>G인쇄</t>
        </is>
      </c>
      <c r="M1176" s="9">
        <f>IF($A1176="","",VALUE($A1176&amp;"")*12+VALUE($B1176&amp;""))</f>
        <v/>
      </c>
      <c r="N1176" s="39">
        <f>IF($A1176="","",IFERROR(INDEX(부서매핑!$C$5:$C$504,MATCH($G1176&amp;"",부서매핑!$A$5:$A$504,0)),"미매핑"))</f>
        <v/>
      </c>
      <c r="O1176" s="9">
        <f>IF($A1176="","",N1176&amp;"|"&amp;$F1176)</f>
        <v/>
      </c>
      <c r="P1176" s="77">
        <f>IF($A1176="",0,$H1176*설정!$C$23)</f>
        <v/>
      </c>
      <c r="Q1176" s="39">
        <f>IF($A1176="","",IF(O1176&lt;&gt;원인분석!$C$9,"",IF(AND(M1176&gt;=원인분석!$C$10,M1176&lt;=원인분석!$C$11),"당기",IF(AND(M1176&gt;=원인분석!$C$12,M1176&lt;=원인분석!$C$13),"비교",""))))</f>
        <v/>
      </c>
      <c r="R1176" s="9">
        <f>IF(Q1176="","",$K1176&amp;"")</f>
        <v/>
      </c>
      <c r="S1176" s="9">
        <f>IF(Q1176="","",IF(MATCH(R1176,$R$5:$R$100000,0)=ROW()-4,ROW(),""))</f>
        <v/>
      </c>
      <c r="T1176" s="9">
        <f>IF(Q1176="당기",ABS(P1176)+ROW()/1000000000,"")</f>
        <v/>
      </c>
      <c r="U1176" s="9">
        <f>IF(Q1176="비교",ABS(P1176)+ROW()/1000000000,"")</f>
        <v/>
      </c>
      <c r="V1176" s="39">
        <f>IF($A1176="","",IF(COUNTIF(변동분석!$E$7:$E$506,O1176)&gt;0,"Y","N"))</f>
        <v/>
      </c>
      <c r="W1176" s="39">
        <f>IF($A1176="","",IFERROR(INDEX(계정매핑!$D$5:$D$504,MATCH($F1176&amp;"",계정매핑!$A$5:$A$504,0)),"미매핑"))</f>
        <v/>
      </c>
      <c r="X1176" s="9">
        <f>IF($A1176="","",$F1176&amp;"")</f>
        <v/>
      </c>
    </row>
    <row r="1177">
      <c r="A1177" s="75" t="n">
        <v>2025</v>
      </c>
      <c r="B1177" s="75" t="n">
        <v>7</v>
      </c>
      <c r="C1177" s="75" t="inlineStr">
        <is>
          <t>5100001173</t>
        </is>
      </c>
      <c r="D1177" s="78" t="n">
        <v>45840</v>
      </c>
      <c r="E1177" s="75" t="inlineStr">
        <is>
          <t>KR</t>
        </is>
      </c>
      <c r="F1177" s="75" t="n">
        <v>62401000</v>
      </c>
      <c r="G1177" s="75" t="n">
        <v>1801</v>
      </c>
      <c r="H1177" s="76" t="n">
        <v>1556000</v>
      </c>
      <c r="I1177" s="75" t="inlineStr">
        <is>
          <t>7월 인쇄물 제작 - S출판</t>
        </is>
      </c>
      <c r="J1177" s="75" t="inlineStr">
        <is>
          <t>V10012</t>
        </is>
      </c>
      <c r="K1177" s="75" t="inlineStr">
        <is>
          <t>S출판</t>
        </is>
      </c>
      <c r="M1177" s="9">
        <f>IF($A1177="","",VALUE($A1177&amp;"")*12+VALUE($B1177&amp;""))</f>
        <v/>
      </c>
      <c r="N1177" s="39">
        <f>IF($A1177="","",IFERROR(INDEX(부서매핑!$C$5:$C$504,MATCH($G1177&amp;"",부서매핑!$A$5:$A$504,0)),"미매핑"))</f>
        <v/>
      </c>
      <c r="O1177" s="9">
        <f>IF($A1177="","",N1177&amp;"|"&amp;$F1177)</f>
        <v/>
      </c>
      <c r="P1177" s="77">
        <f>IF($A1177="",0,$H1177*설정!$C$23)</f>
        <v/>
      </c>
      <c r="Q1177" s="39">
        <f>IF($A1177="","",IF(O1177&lt;&gt;원인분석!$C$9,"",IF(AND(M1177&gt;=원인분석!$C$10,M1177&lt;=원인분석!$C$11),"당기",IF(AND(M1177&gt;=원인분석!$C$12,M1177&lt;=원인분석!$C$13),"비교",""))))</f>
        <v/>
      </c>
      <c r="R1177" s="9">
        <f>IF(Q1177="","",$K1177&amp;"")</f>
        <v/>
      </c>
      <c r="S1177" s="9">
        <f>IF(Q1177="","",IF(MATCH(R1177,$R$5:$R$100000,0)=ROW()-4,ROW(),""))</f>
        <v/>
      </c>
      <c r="T1177" s="9">
        <f>IF(Q1177="당기",ABS(P1177)+ROW()/1000000000,"")</f>
        <v/>
      </c>
      <c r="U1177" s="9">
        <f>IF(Q1177="비교",ABS(P1177)+ROW()/1000000000,"")</f>
        <v/>
      </c>
      <c r="V1177" s="39">
        <f>IF($A1177="","",IF(COUNTIF(변동분석!$E$7:$E$506,O1177)&gt;0,"Y","N"))</f>
        <v/>
      </c>
      <c r="W1177" s="39">
        <f>IF($A1177="","",IFERROR(INDEX(계정매핑!$D$5:$D$504,MATCH($F1177&amp;"",계정매핑!$A$5:$A$504,0)),"미매핑"))</f>
        <v/>
      </c>
      <c r="X1177" s="9">
        <f>IF($A1177="","",$F1177&amp;"")</f>
        <v/>
      </c>
    </row>
    <row r="1178">
      <c r="A1178" s="75" t="n">
        <v>2025</v>
      </c>
      <c r="B1178" s="75" t="n">
        <v>7</v>
      </c>
      <c r="C1178" s="75" t="inlineStr">
        <is>
          <t>5100001174</t>
        </is>
      </c>
      <c r="D1178" s="78" t="n">
        <v>45840</v>
      </c>
      <c r="E1178" s="75" t="inlineStr">
        <is>
          <t>KR</t>
        </is>
      </c>
      <c r="F1178" s="75" t="n">
        <v>62501000</v>
      </c>
      <c r="G1178" s="75" t="n">
        <v>1501</v>
      </c>
      <c r="H1178" s="76" t="n">
        <v>359000</v>
      </c>
      <c r="I1178" s="75" t="inlineStr">
        <is>
          <t>7월 회의 다과 - T케이터링</t>
        </is>
      </c>
      <c r="J1178" s="75" t="inlineStr">
        <is>
          <t>V10005</t>
        </is>
      </c>
      <c r="K1178" s="75" t="inlineStr">
        <is>
          <t>T케이터링</t>
        </is>
      </c>
      <c r="M1178" s="9">
        <f>IF($A1178="","",VALUE($A1178&amp;"")*12+VALUE($B1178&amp;""))</f>
        <v/>
      </c>
      <c r="N1178" s="39">
        <f>IF($A1178="","",IFERROR(INDEX(부서매핑!$C$5:$C$504,MATCH($G1178&amp;"",부서매핑!$A$5:$A$504,0)),"미매핑"))</f>
        <v/>
      </c>
      <c r="O1178" s="9">
        <f>IF($A1178="","",N1178&amp;"|"&amp;$F1178)</f>
        <v/>
      </c>
      <c r="P1178" s="77">
        <f>IF($A1178="",0,$H1178*설정!$C$23)</f>
        <v/>
      </c>
      <c r="Q1178" s="39">
        <f>IF($A1178="","",IF(O1178&lt;&gt;원인분석!$C$9,"",IF(AND(M1178&gt;=원인분석!$C$10,M1178&lt;=원인분석!$C$11),"당기",IF(AND(M1178&gt;=원인분석!$C$12,M1178&lt;=원인분석!$C$13),"비교",""))))</f>
        <v/>
      </c>
      <c r="R1178" s="9">
        <f>IF(Q1178="","",$K1178&amp;"")</f>
        <v/>
      </c>
      <c r="S1178" s="9">
        <f>IF(Q1178="","",IF(MATCH(R1178,$R$5:$R$100000,0)=ROW()-4,ROW(),""))</f>
        <v/>
      </c>
      <c r="T1178" s="9">
        <f>IF(Q1178="당기",ABS(P1178)+ROW()/1000000000,"")</f>
        <v/>
      </c>
      <c r="U1178" s="9">
        <f>IF(Q1178="비교",ABS(P1178)+ROW()/1000000000,"")</f>
        <v/>
      </c>
      <c r="V1178" s="39">
        <f>IF($A1178="","",IF(COUNTIF(변동분석!$E$7:$E$506,O1178)&gt;0,"Y","N"))</f>
        <v/>
      </c>
      <c r="W1178" s="39">
        <f>IF($A1178="","",IFERROR(INDEX(계정매핑!$D$5:$D$504,MATCH($F1178&amp;"",계정매핑!$A$5:$A$504,0)),"미매핑"))</f>
        <v/>
      </c>
      <c r="X1178" s="9">
        <f>IF($A1178="","",$F1178&amp;"")</f>
        <v/>
      </c>
    </row>
    <row r="1179">
      <c r="A1179" s="75" t="n">
        <v>2025</v>
      </c>
      <c r="B1179" s="75" t="n">
        <v>7</v>
      </c>
      <c r="C1179" s="75" t="inlineStr">
        <is>
          <t>5100001175</t>
        </is>
      </c>
      <c r="D1179" s="78" t="n">
        <v>45840</v>
      </c>
      <c r="E1179" s="75" t="inlineStr">
        <is>
          <t>KR</t>
        </is>
      </c>
      <c r="F1179" s="75" t="n">
        <v>62801000</v>
      </c>
      <c r="G1179" s="75" t="n">
        <v>1301</v>
      </c>
      <c r="H1179" s="76" t="n">
        <v>2628000</v>
      </c>
      <c r="I1179" s="75" t="inlineStr">
        <is>
          <t>7월 사내교육 - (사내강사료)</t>
        </is>
      </c>
      <c r="J1179" s="75" t="inlineStr">
        <is>
          <t>V10020</t>
        </is>
      </c>
      <c r="K1179" s="75" t="inlineStr">
        <is>
          <t>(사내강사료)</t>
        </is>
      </c>
      <c r="M1179" s="9">
        <f>IF($A1179="","",VALUE($A1179&amp;"")*12+VALUE($B1179&amp;""))</f>
        <v/>
      </c>
      <c r="N1179" s="39">
        <f>IF($A1179="","",IFERROR(INDEX(부서매핑!$C$5:$C$504,MATCH($G1179&amp;"",부서매핑!$A$5:$A$504,0)),"미매핑"))</f>
        <v/>
      </c>
      <c r="O1179" s="9">
        <f>IF($A1179="","",N1179&amp;"|"&amp;$F1179)</f>
        <v/>
      </c>
      <c r="P1179" s="77">
        <f>IF($A1179="",0,$H1179*설정!$C$23)</f>
        <v/>
      </c>
      <c r="Q1179" s="39">
        <f>IF($A1179="","",IF(O1179&lt;&gt;원인분석!$C$9,"",IF(AND(M1179&gt;=원인분석!$C$10,M1179&lt;=원인분석!$C$11),"당기",IF(AND(M1179&gt;=원인분석!$C$12,M1179&lt;=원인분석!$C$13),"비교",""))))</f>
        <v/>
      </c>
      <c r="R1179" s="9">
        <f>IF(Q1179="","",$K1179&amp;"")</f>
        <v/>
      </c>
      <c r="S1179" s="9">
        <f>IF(Q1179="","",IF(MATCH(R1179,$R$5:$R$100000,0)=ROW()-4,ROW(),""))</f>
        <v/>
      </c>
      <c r="T1179" s="9">
        <f>IF(Q1179="당기",ABS(P1179)+ROW()/1000000000,"")</f>
        <v/>
      </c>
      <c r="U1179" s="9">
        <f>IF(Q1179="비교",ABS(P1179)+ROW()/1000000000,"")</f>
        <v/>
      </c>
      <c r="V1179" s="39">
        <f>IF($A1179="","",IF(COUNTIF(변동분석!$E$7:$E$506,O1179)&gt;0,"Y","N"))</f>
        <v/>
      </c>
      <c r="W1179" s="39">
        <f>IF($A1179="","",IFERROR(INDEX(계정매핑!$D$5:$D$504,MATCH($F1179&amp;"",계정매핑!$A$5:$A$504,0)),"미매핑"))</f>
        <v/>
      </c>
      <c r="X1179" s="9">
        <f>IF($A1179="","",$F1179&amp;"")</f>
        <v/>
      </c>
    </row>
    <row r="1180">
      <c r="A1180" s="75" t="n">
        <v>2025</v>
      </c>
      <c r="B1180" s="75" t="n">
        <v>7</v>
      </c>
      <c r="C1180" s="75" t="inlineStr">
        <is>
          <t>5100001176</t>
        </is>
      </c>
      <c r="D1180" s="78" t="n">
        <v>45840</v>
      </c>
      <c r="E1180" s="75" t="inlineStr">
        <is>
          <t>KR</t>
        </is>
      </c>
      <c r="F1180" s="75" t="n">
        <v>62902000</v>
      </c>
      <c r="G1180" s="75" t="n">
        <v>1801</v>
      </c>
      <c r="H1180" s="76" t="n">
        <v>1803000</v>
      </c>
      <c r="I1180" s="75" t="inlineStr">
        <is>
          <t>7월 콜 위탁 수수료(건별)</t>
        </is>
      </c>
      <c r="J1180" s="75" t="inlineStr">
        <is>
          <t>V10013</t>
        </is>
      </c>
      <c r="K1180" s="75" t="inlineStr">
        <is>
          <t>J콜센터</t>
        </is>
      </c>
      <c r="M1180" s="9">
        <f>IF($A1180="","",VALUE($A1180&amp;"")*12+VALUE($B1180&amp;""))</f>
        <v/>
      </c>
      <c r="N1180" s="39">
        <f>IF($A1180="","",IFERROR(INDEX(부서매핑!$C$5:$C$504,MATCH($G1180&amp;"",부서매핑!$A$5:$A$504,0)),"미매핑"))</f>
        <v/>
      </c>
      <c r="O1180" s="9">
        <f>IF($A1180="","",N1180&amp;"|"&amp;$F1180)</f>
        <v/>
      </c>
      <c r="P1180" s="77">
        <f>IF($A1180="",0,$H1180*설정!$C$23)</f>
        <v/>
      </c>
      <c r="Q1180" s="39">
        <f>IF($A1180="","",IF(O1180&lt;&gt;원인분석!$C$9,"",IF(AND(M1180&gt;=원인분석!$C$10,M1180&lt;=원인분석!$C$11),"당기",IF(AND(M1180&gt;=원인분석!$C$12,M1180&lt;=원인분석!$C$13),"비교",""))))</f>
        <v/>
      </c>
      <c r="R1180" s="9">
        <f>IF(Q1180="","",$K1180&amp;"")</f>
        <v/>
      </c>
      <c r="S1180" s="9">
        <f>IF(Q1180="","",IF(MATCH(R1180,$R$5:$R$100000,0)=ROW()-4,ROW(),""))</f>
        <v/>
      </c>
      <c r="T1180" s="9">
        <f>IF(Q1180="당기",ABS(P1180)+ROW()/1000000000,"")</f>
        <v/>
      </c>
      <c r="U1180" s="9">
        <f>IF(Q1180="비교",ABS(P1180)+ROW()/1000000000,"")</f>
        <v/>
      </c>
      <c r="V1180" s="39">
        <f>IF($A1180="","",IF(COUNTIF(변동분석!$E$7:$E$506,O1180)&gt;0,"Y","N"))</f>
        <v/>
      </c>
      <c r="W1180" s="39">
        <f>IF($A1180="","",IFERROR(INDEX(계정매핑!$D$5:$D$504,MATCH($F1180&amp;"",계정매핑!$A$5:$A$504,0)),"미매핑"))</f>
        <v/>
      </c>
      <c r="X1180" s="9">
        <f>IF($A1180="","",$F1180&amp;"")</f>
        <v/>
      </c>
    </row>
    <row r="1181">
      <c r="A1181" s="75" t="n">
        <v>2025</v>
      </c>
      <c r="B1181" s="75" t="n">
        <v>7</v>
      </c>
      <c r="C1181" s="75" t="inlineStr">
        <is>
          <t>5100001177</t>
        </is>
      </c>
      <c r="D1181" s="78" t="n">
        <v>45840</v>
      </c>
      <c r="E1181" s="75" t="inlineStr">
        <is>
          <t>KR</t>
        </is>
      </c>
      <c r="F1181" s="75" t="n">
        <v>63001000</v>
      </c>
      <c r="G1181" s="75" t="n">
        <v>1701</v>
      </c>
      <c r="H1181" s="76" t="n">
        <v>52110000</v>
      </c>
      <c r="I1181" s="75" t="inlineStr">
        <is>
          <t>7월 SW 유지보수 - Z시스템</t>
        </is>
      </c>
      <c r="J1181" s="75" t="inlineStr">
        <is>
          <t>V10021</t>
        </is>
      </c>
      <c r="K1181" s="75" t="inlineStr">
        <is>
          <t>Z시스템</t>
        </is>
      </c>
      <c r="M1181" s="9">
        <f>IF($A1181="","",VALUE($A1181&amp;"")*12+VALUE($B1181&amp;""))</f>
        <v/>
      </c>
      <c r="N1181" s="39">
        <f>IF($A1181="","",IFERROR(INDEX(부서매핑!$C$5:$C$504,MATCH($G1181&amp;"",부서매핑!$A$5:$A$504,0)),"미매핑"))</f>
        <v/>
      </c>
      <c r="O1181" s="9">
        <f>IF($A1181="","",N1181&amp;"|"&amp;$F1181)</f>
        <v/>
      </c>
      <c r="P1181" s="77">
        <f>IF($A1181="",0,$H1181*설정!$C$23)</f>
        <v/>
      </c>
      <c r="Q1181" s="39">
        <f>IF($A1181="","",IF(O1181&lt;&gt;원인분석!$C$9,"",IF(AND(M1181&gt;=원인분석!$C$10,M1181&lt;=원인분석!$C$11),"당기",IF(AND(M1181&gt;=원인분석!$C$12,M1181&lt;=원인분석!$C$13),"비교",""))))</f>
        <v/>
      </c>
      <c r="R1181" s="9">
        <f>IF(Q1181="","",$K1181&amp;"")</f>
        <v/>
      </c>
      <c r="S1181" s="9">
        <f>IF(Q1181="","",IF(MATCH(R1181,$R$5:$R$100000,0)=ROW()-4,ROW(),""))</f>
        <v/>
      </c>
      <c r="T1181" s="9">
        <f>IF(Q1181="당기",ABS(P1181)+ROW()/1000000000,"")</f>
        <v/>
      </c>
      <c r="U1181" s="9">
        <f>IF(Q1181="비교",ABS(P1181)+ROW()/1000000000,"")</f>
        <v/>
      </c>
      <c r="V1181" s="39">
        <f>IF($A1181="","",IF(COUNTIF(변동분석!$E$7:$E$506,O1181)&gt;0,"Y","N"))</f>
        <v/>
      </c>
      <c r="W1181" s="39">
        <f>IF($A1181="","",IFERROR(INDEX(계정매핑!$D$5:$D$504,MATCH($F1181&amp;"",계정매핑!$A$5:$A$504,0)),"미매핑"))</f>
        <v/>
      </c>
      <c r="X1181" s="9">
        <f>IF($A1181="","",$F1181&amp;"")</f>
        <v/>
      </c>
    </row>
    <row r="1182">
      <c r="A1182" s="75" t="n">
        <v>2025</v>
      </c>
      <c r="B1182" s="75" t="n">
        <v>7</v>
      </c>
      <c r="C1182" s="75" t="inlineStr">
        <is>
          <t>5100001178</t>
        </is>
      </c>
      <c r="D1182" s="78" t="n">
        <v>45841</v>
      </c>
      <c r="E1182" s="75" t="inlineStr">
        <is>
          <t>KR</t>
        </is>
      </c>
      <c r="F1182" s="75" t="n">
        <v>62101000</v>
      </c>
      <c r="G1182" s="75" t="n">
        <v>1301</v>
      </c>
      <c r="H1182" s="76" t="n">
        <v>243000</v>
      </c>
      <c r="I1182" s="75" t="inlineStr">
        <is>
          <t>7월 국내출장 - L여행사</t>
        </is>
      </c>
      <c r="J1182" s="75" t="inlineStr">
        <is>
          <t>V10014</t>
        </is>
      </c>
      <c r="K1182" s="75" t="inlineStr">
        <is>
          <t>L여행사</t>
        </is>
      </c>
      <c r="M1182" s="9">
        <f>IF($A1182="","",VALUE($A1182&amp;"")*12+VALUE($B1182&amp;""))</f>
        <v/>
      </c>
      <c r="N1182" s="39">
        <f>IF($A1182="","",IFERROR(INDEX(부서매핑!$C$5:$C$504,MATCH($G1182&amp;"",부서매핑!$A$5:$A$504,0)),"미매핑"))</f>
        <v/>
      </c>
      <c r="O1182" s="9">
        <f>IF($A1182="","",N1182&amp;"|"&amp;$F1182)</f>
        <v/>
      </c>
      <c r="P1182" s="77">
        <f>IF($A1182="",0,$H1182*설정!$C$23)</f>
        <v/>
      </c>
      <c r="Q1182" s="39">
        <f>IF($A1182="","",IF(O1182&lt;&gt;원인분석!$C$9,"",IF(AND(M1182&gt;=원인분석!$C$10,M1182&lt;=원인분석!$C$11),"당기",IF(AND(M1182&gt;=원인분석!$C$12,M1182&lt;=원인분석!$C$13),"비교",""))))</f>
        <v/>
      </c>
      <c r="R1182" s="9">
        <f>IF(Q1182="","",$K1182&amp;"")</f>
        <v/>
      </c>
      <c r="S1182" s="9">
        <f>IF(Q1182="","",IF(MATCH(R1182,$R$5:$R$100000,0)=ROW()-4,ROW(),""))</f>
        <v/>
      </c>
      <c r="T1182" s="9">
        <f>IF(Q1182="당기",ABS(P1182)+ROW()/1000000000,"")</f>
        <v/>
      </c>
      <c r="U1182" s="9">
        <f>IF(Q1182="비교",ABS(P1182)+ROW()/1000000000,"")</f>
        <v/>
      </c>
      <c r="V1182" s="39">
        <f>IF($A1182="","",IF(COUNTIF(변동분석!$E$7:$E$506,O1182)&gt;0,"Y","N"))</f>
        <v/>
      </c>
      <c r="W1182" s="39">
        <f>IF($A1182="","",IFERROR(INDEX(계정매핑!$D$5:$D$504,MATCH($F1182&amp;"",계정매핑!$A$5:$A$504,0)),"미매핑"))</f>
        <v/>
      </c>
      <c r="X1182" s="9">
        <f>IF($A1182="","",$F1182&amp;"")</f>
        <v/>
      </c>
    </row>
    <row r="1183">
      <c r="A1183" s="75" t="n">
        <v>2025</v>
      </c>
      <c r="B1183" s="75" t="n">
        <v>7</v>
      </c>
      <c r="C1183" s="75" t="inlineStr">
        <is>
          <t>5100001179</t>
        </is>
      </c>
      <c r="D1183" s="78" t="n">
        <v>45841</v>
      </c>
      <c r="E1183" s="75" t="inlineStr">
        <is>
          <t>KR</t>
        </is>
      </c>
      <c r="F1183" s="75" t="n">
        <v>62101000</v>
      </c>
      <c r="G1183" s="75" t="n">
        <v>1301</v>
      </c>
      <c r="H1183" s="76" t="n">
        <v>203000</v>
      </c>
      <c r="I1183" s="75" t="inlineStr">
        <is>
          <t>7월 국내출장 - M항공</t>
        </is>
      </c>
      <c r="J1183" s="75" t="inlineStr">
        <is>
          <t>V10001</t>
        </is>
      </c>
      <c r="K1183" s="75" t="inlineStr">
        <is>
          <t>M항공</t>
        </is>
      </c>
      <c r="M1183" s="9">
        <f>IF($A1183="","",VALUE($A1183&amp;"")*12+VALUE($B1183&amp;""))</f>
        <v/>
      </c>
      <c r="N1183" s="39">
        <f>IF($A1183="","",IFERROR(INDEX(부서매핑!$C$5:$C$504,MATCH($G1183&amp;"",부서매핑!$A$5:$A$504,0)),"미매핑"))</f>
        <v/>
      </c>
      <c r="O1183" s="9">
        <f>IF($A1183="","",N1183&amp;"|"&amp;$F1183)</f>
        <v/>
      </c>
      <c r="P1183" s="77">
        <f>IF($A1183="",0,$H1183*설정!$C$23)</f>
        <v/>
      </c>
      <c r="Q1183" s="39">
        <f>IF($A1183="","",IF(O1183&lt;&gt;원인분석!$C$9,"",IF(AND(M1183&gt;=원인분석!$C$10,M1183&lt;=원인분석!$C$11),"당기",IF(AND(M1183&gt;=원인분석!$C$12,M1183&lt;=원인분석!$C$13),"비교",""))))</f>
        <v/>
      </c>
      <c r="R1183" s="9">
        <f>IF(Q1183="","",$K1183&amp;"")</f>
        <v/>
      </c>
      <c r="S1183" s="9">
        <f>IF(Q1183="","",IF(MATCH(R1183,$R$5:$R$100000,0)=ROW()-4,ROW(),""))</f>
        <v/>
      </c>
      <c r="T1183" s="9">
        <f>IF(Q1183="당기",ABS(P1183)+ROW()/1000000000,"")</f>
        <v/>
      </c>
      <c r="U1183" s="9">
        <f>IF(Q1183="비교",ABS(P1183)+ROW()/1000000000,"")</f>
        <v/>
      </c>
      <c r="V1183" s="39">
        <f>IF($A1183="","",IF(COUNTIF(변동분석!$E$7:$E$506,O1183)&gt;0,"Y","N"))</f>
        <v/>
      </c>
      <c r="W1183" s="39">
        <f>IF($A1183="","",IFERROR(INDEX(계정매핑!$D$5:$D$504,MATCH($F1183&amp;"",계정매핑!$A$5:$A$504,0)),"미매핑"))</f>
        <v/>
      </c>
      <c r="X1183" s="9">
        <f>IF($A1183="","",$F1183&amp;"")</f>
        <v/>
      </c>
    </row>
    <row r="1184">
      <c r="A1184" s="75" t="n">
        <v>2025</v>
      </c>
      <c r="B1184" s="75" t="n">
        <v>7</v>
      </c>
      <c r="C1184" s="75" t="inlineStr">
        <is>
          <t>5100001180</t>
        </is>
      </c>
      <c r="D1184" s="78" t="n">
        <v>45841</v>
      </c>
      <c r="E1184" s="75" t="inlineStr">
        <is>
          <t>KR</t>
        </is>
      </c>
      <c r="F1184" s="75" t="n">
        <v>62101000</v>
      </c>
      <c r="G1184" s="75" t="n">
        <v>1502</v>
      </c>
      <c r="H1184" s="76" t="n">
        <v>465000</v>
      </c>
      <c r="I1184" s="75" t="inlineStr">
        <is>
          <t>7월 국내출장 - (법인카드)</t>
        </is>
      </c>
      <c r="J1184" s="75" t="inlineStr">
        <is>
          <t>V10008</t>
        </is>
      </c>
      <c r="K1184" s="75" t="inlineStr">
        <is>
          <t>(법인카드)</t>
        </is>
      </c>
      <c r="M1184" s="9">
        <f>IF($A1184="","",VALUE($A1184&amp;"")*12+VALUE($B1184&amp;""))</f>
        <v/>
      </c>
      <c r="N1184" s="39">
        <f>IF($A1184="","",IFERROR(INDEX(부서매핑!$C$5:$C$504,MATCH($G1184&amp;"",부서매핑!$A$5:$A$504,0)),"미매핑"))</f>
        <v/>
      </c>
      <c r="O1184" s="9">
        <f>IF($A1184="","",N1184&amp;"|"&amp;$F1184)</f>
        <v/>
      </c>
      <c r="P1184" s="77">
        <f>IF($A1184="",0,$H1184*설정!$C$23)</f>
        <v/>
      </c>
      <c r="Q1184" s="39">
        <f>IF($A1184="","",IF(O1184&lt;&gt;원인분석!$C$9,"",IF(AND(M1184&gt;=원인분석!$C$10,M1184&lt;=원인분석!$C$11),"당기",IF(AND(M1184&gt;=원인분석!$C$12,M1184&lt;=원인분석!$C$13),"비교",""))))</f>
        <v/>
      </c>
      <c r="R1184" s="9">
        <f>IF(Q1184="","",$K1184&amp;"")</f>
        <v/>
      </c>
      <c r="S1184" s="9">
        <f>IF(Q1184="","",IF(MATCH(R1184,$R$5:$R$100000,0)=ROW()-4,ROW(),""))</f>
        <v/>
      </c>
      <c r="T1184" s="9">
        <f>IF(Q1184="당기",ABS(P1184)+ROW()/1000000000,"")</f>
        <v/>
      </c>
      <c r="U1184" s="9">
        <f>IF(Q1184="비교",ABS(P1184)+ROW()/1000000000,"")</f>
        <v/>
      </c>
      <c r="V1184" s="39">
        <f>IF($A1184="","",IF(COUNTIF(변동분석!$E$7:$E$506,O1184)&gt;0,"Y","N"))</f>
        <v/>
      </c>
      <c r="W1184" s="39">
        <f>IF($A1184="","",IFERROR(INDEX(계정매핑!$D$5:$D$504,MATCH($F1184&amp;"",계정매핑!$A$5:$A$504,0)),"미매핑"))</f>
        <v/>
      </c>
      <c r="X1184" s="9">
        <f>IF($A1184="","",$F1184&amp;"")</f>
        <v/>
      </c>
    </row>
    <row r="1185">
      <c r="A1185" s="75" t="n">
        <v>2025</v>
      </c>
      <c r="B1185" s="75" t="n">
        <v>7</v>
      </c>
      <c r="C1185" s="75" t="inlineStr">
        <is>
          <t>5100001181</t>
        </is>
      </c>
      <c r="D1185" s="78" t="n">
        <v>45841</v>
      </c>
      <c r="E1185" s="75" t="inlineStr">
        <is>
          <t>KR</t>
        </is>
      </c>
      <c r="F1185" s="75" t="n">
        <v>62101000</v>
      </c>
      <c r="G1185" s="75" t="n">
        <v>1602</v>
      </c>
      <c r="H1185" s="76" t="n">
        <v>914000</v>
      </c>
      <c r="I1185" s="75" t="inlineStr">
        <is>
          <t>7월 국내출장 - (법인카드)</t>
        </is>
      </c>
      <c r="J1185" s="75" t="inlineStr">
        <is>
          <t>V10008</t>
        </is>
      </c>
      <c r="K1185" s="75" t="inlineStr">
        <is>
          <t>(법인카드)</t>
        </is>
      </c>
      <c r="M1185" s="9">
        <f>IF($A1185="","",VALUE($A1185&amp;"")*12+VALUE($B1185&amp;""))</f>
        <v/>
      </c>
      <c r="N1185" s="39">
        <f>IF($A1185="","",IFERROR(INDEX(부서매핑!$C$5:$C$504,MATCH($G1185&amp;"",부서매핑!$A$5:$A$504,0)),"미매핑"))</f>
        <v/>
      </c>
      <c r="O1185" s="9">
        <f>IF($A1185="","",N1185&amp;"|"&amp;$F1185)</f>
        <v/>
      </c>
      <c r="P1185" s="77">
        <f>IF($A1185="",0,$H1185*설정!$C$23)</f>
        <v/>
      </c>
      <c r="Q1185" s="39">
        <f>IF($A1185="","",IF(O1185&lt;&gt;원인분석!$C$9,"",IF(AND(M1185&gt;=원인분석!$C$10,M1185&lt;=원인분석!$C$11),"당기",IF(AND(M1185&gt;=원인분석!$C$12,M1185&lt;=원인분석!$C$13),"비교",""))))</f>
        <v/>
      </c>
      <c r="R1185" s="9">
        <f>IF(Q1185="","",$K1185&amp;"")</f>
        <v/>
      </c>
      <c r="S1185" s="9">
        <f>IF(Q1185="","",IF(MATCH(R1185,$R$5:$R$100000,0)=ROW()-4,ROW(),""))</f>
        <v/>
      </c>
      <c r="T1185" s="9">
        <f>IF(Q1185="당기",ABS(P1185)+ROW()/1000000000,"")</f>
        <v/>
      </c>
      <c r="U1185" s="9">
        <f>IF(Q1185="비교",ABS(P1185)+ROW()/1000000000,"")</f>
        <v/>
      </c>
      <c r="V1185" s="39">
        <f>IF($A1185="","",IF(COUNTIF(변동분석!$E$7:$E$506,O1185)&gt;0,"Y","N"))</f>
        <v/>
      </c>
      <c r="W1185" s="39">
        <f>IF($A1185="","",IFERROR(INDEX(계정매핑!$D$5:$D$504,MATCH($F1185&amp;"",계정매핑!$A$5:$A$504,0)),"미매핑"))</f>
        <v/>
      </c>
      <c r="X1185" s="9">
        <f>IF($A1185="","",$F1185&amp;"")</f>
        <v/>
      </c>
    </row>
    <row r="1186">
      <c r="A1186" s="75" t="n">
        <v>2025</v>
      </c>
      <c r="B1186" s="75" t="n">
        <v>7</v>
      </c>
      <c r="C1186" s="75" t="inlineStr">
        <is>
          <t>5100001182</t>
        </is>
      </c>
      <c r="D1186" s="78" t="n">
        <v>45841</v>
      </c>
      <c r="E1186" s="75" t="inlineStr">
        <is>
          <t>KR</t>
        </is>
      </c>
      <c r="F1186" s="75" t="n">
        <v>62101000</v>
      </c>
      <c r="G1186" s="75" t="n">
        <v>1701</v>
      </c>
      <c r="H1186" s="76" t="n">
        <v>276000</v>
      </c>
      <c r="I1186" s="75" t="inlineStr">
        <is>
          <t>7월 국내출장 - M항공</t>
        </is>
      </c>
      <c r="J1186" s="75" t="inlineStr">
        <is>
          <t>V10001</t>
        </is>
      </c>
      <c r="K1186" s="75" t="inlineStr">
        <is>
          <t>M항공</t>
        </is>
      </c>
      <c r="M1186" s="9">
        <f>IF($A1186="","",VALUE($A1186&amp;"")*12+VALUE($B1186&amp;""))</f>
        <v/>
      </c>
      <c r="N1186" s="39">
        <f>IF($A1186="","",IFERROR(INDEX(부서매핑!$C$5:$C$504,MATCH($G1186&amp;"",부서매핑!$A$5:$A$504,0)),"미매핑"))</f>
        <v/>
      </c>
      <c r="O1186" s="9">
        <f>IF($A1186="","",N1186&amp;"|"&amp;$F1186)</f>
        <v/>
      </c>
      <c r="P1186" s="77">
        <f>IF($A1186="",0,$H1186*설정!$C$23)</f>
        <v/>
      </c>
      <c r="Q1186" s="39">
        <f>IF($A1186="","",IF(O1186&lt;&gt;원인분석!$C$9,"",IF(AND(M1186&gt;=원인분석!$C$10,M1186&lt;=원인분석!$C$11),"당기",IF(AND(M1186&gt;=원인분석!$C$12,M1186&lt;=원인분석!$C$13),"비교",""))))</f>
        <v/>
      </c>
      <c r="R1186" s="9">
        <f>IF(Q1186="","",$K1186&amp;"")</f>
        <v/>
      </c>
      <c r="S1186" s="9">
        <f>IF(Q1186="","",IF(MATCH(R1186,$R$5:$R$100000,0)=ROW()-4,ROW(),""))</f>
        <v/>
      </c>
      <c r="T1186" s="9">
        <f>IF(Q1186="당기",ABS(P1186)+ROW()/1000000000,"")</f>
        <v/>
      </c>
      <c r="U1186" s="9">
        <f>IF(Q1186="비교",ABS(P1186)+ROW()/1000000000,"")</f>
        <v/>
      </c>
      <c r="V1186" s="39">
        <f>IF($A1186="","",IF(COUNTIF(변동분석!$E$7:$E$506,O1186)&gt;0,"Y","N"))</f>
        <v/>
      </c>
      <c r="W1186" s="39">
        <f>IF($A1186="","",IFERROR(INDEX(계정매핑!$D$5:$D$504,MATCH($F1186&amp;"",계정매핑!$A$5:$A$504,0)),"미매핑"))</f>
        <v/>
      </c>
      <c r="X1186" s="9">
        <f>IF($A1186="","",$F1186&amp;"")</f>
        <v/>
      </c>
    </row>
    <row r="1187">
      <c r="A1187" s="75" t="n">
        <v>2025</v>
      </c>
      <c r="B1187" s="75" t="n">
        <v>7</v>
      </c>
      <c r="C1187" s="75" t="inlineStr">
        <is>
          <t>5100001183</t>
        </is>
      </c>
      <c r="D1187" s="78" t="n">
        <v>45841</v>
      </c>
      <c r="E1187" s="75" t="inlineStr">
        <is>
          <t>KR</t>
        </is>
      </c>
      <c r="F1187" s="75" t="n">
        <v>62102000</v>
      </c>
      <c r="G1187" s="75" t="n">
        <v>1601</v>
      </c>
      <c r="H1187" s="76" t="n">
        <v>204000</v>
      </c>
      <c r="I1187" s="75" t="inlineStr">
        <is>
          <t>7월 해외출장 - M항공</t>
        </is>
      </c>
      <c r="J1187" s="75" t="inlineStr">
        <is>
          <t>V10001</t>
        </is>
      </c>
      <c r="K1187" s="75" t="inlineStr">
        <is>
          <t>M항공</t>
        </is>
      </c>
      <c r="M1187" s="9">
        <f>IF($A1187="","",VALUE($A1187&amp;"")*12+VALUE($B1187&amp;""))</f>
        <v/>
      </c>
      <c r="N1187" s="39">
        <f>IF($A1187="","",IFERROR(INDEX(부서매핑!$C$5:$C$504,MATCH($G1187&amp;"",부서매핑!$A$5:$A$504,0)),"미매핑"))</f>
        <v/>
      </c>
      <c r="O1187" s="9">
        <f>IF($A1187="","",N1187&amp;"|"&amp;$F1187)</f>
        <v/>
      </c>
      <c r="P1187" s="77">
        <f>IF($A1187="",0,$H1187*설정!$C$23)</f>
        <v/>
      </c>
      <c r="Q1187" s="39">
        <f>IF($A1187="","",IF(O1187&lt;&gt;원인분석!$C$9,"",IF(AND(M1187&gt;=원인분석!$C$10,M1187&lt;=원인분석!$C$11),"당기",IF(AND(M1187&gt;=원인분석!$C$12,M1187&lt;=원인분석!$C$13),"비교",""))))</f>
        <v/>
      </c>
      <c r="R1187" s="9">
        <f>IF(Q1187="","",$K1187&amp;"")</f>
        <v/>
      </c>
      <c r="S1187" s="9">
        <f>IF(Q1187="","",IF(MATCH(R1187,$R$5:$R$100000,0)=ROW()-4,ROW(),""))</f>
        <v/>
      </c>
      <c r="T1187" s="9">
        <f>IF(Q1187="당기",ABS(P1187)+ROW()/1000000000,"")</f>
        <v/>
      </c>
      <c r="U1187" s="9">
        <f>IF(Q1187="비교",ABS(P1187)+ROW()/1000000000,"")</f>
        <v/>
      </c>
      <c r="V1187" s="39">
        <f>IF($A1187="","",IF(COUNTIF(변동분석!$E$7:$E$506,O1187)&gt;0,"Y","N"))</f>
        <v/>
      </c>
      <c r="W1187" s="39">
        <f>IF($A1187="","",IFERROR(INDEX(계정매핑!$D$5:$D$504,MATCH($F1187&amp;"",계정매핑!$A$5:$A$504,0)),"미매핑"))</f>
        <v/>
      </c>
      <c r="X1187" s="9">
        <f>IF($A1187="","",$F1187&amp;"")</f>
        <v/>
      </c>
    </row>
    <row r="1188">
      <c r="A1188" s="75" t="n">
        <v>2025</v>
      </c>
      <c r="B1188" s="75" t="n">
        <v>7</v>
      </c>
      <c r="C1188" s="75" t="inlineStr">
        <is>
          <t>5100001184</t>
        </is>
      </c>
      <c r="D1188" s="78" t="n">
        <v>45841</v>
      </c>
      <c r="E1188" s="75" t="inlineStr">
        <is>
          <t>KR</t>
        </is>
      </c>
      <c r="F1188" s="75" t="n">
        <v>62102000</v>
      </c>
      <c r="G1188" s="75" t="n">
        <v>1701</v>
      </c>
      <c r="H1188" s="76" t="n">
        <v>27000</v>
      </c>
      <c r="I1188" s="75" t="inlineStr">
        <is>
          <t>7월 해외출장 - N호텔</t>
        </is>
      </c>
      <c r="J1188" s="75" t="inlineStr">
        <is>
          <t>V10007</t>
        </is>
      </c>
      <c r="K1188" s="75" t="inlineStr">
        <is>
          <t>N호텔</t>
        </is>
      </c>
      <c r="M1188" s="9">
        <f>IF($A1188="","",VALUE($A1188&amp;"")*12+VALUE($B1188&amp;""))</f>
        <v/>
      </c>
      <c r="N1188" s="39">
        <f>IF($A1188="","",IFERROR(INDEX(부서매핑!$C$5:$C$504,MATCH($G1188&amp;"",부서매핑!$A$5:$A$504,0)),"미매핑"))</f>
        <v/>
      </c>
      <c r="O1188" s="9">
        <f>IF($A1188="","",N1188&amp;"|"&amp;$F1188)</f>
        <v/>
      </c>
      <c r="P1188" s="77">
        <f>IF($A1188="",0,$H1188*설정!$C$23)</f>
        <v/>
      </c>
      <c r="Q1188" s="39">
        <f>IF($A1188="","",IF(O1188&lt;&gt;원인분석!$C$9,"",IF(AND(M1188&gt;=원인분석!$C$10,M1188&lt;=원인분석!$C$11),"당기",IF(AND(M1188&gt;=원인분석!$C$12,M1188&lt;=원인분석!$C$13),"비교",""))))</f>
        <v/>
      </c>
      <c r="R1188" s="9">
        <f>IF(Q1188="","",$K1188&amp;"")</f>
        <v/>
      </c>
      <c r="S1188" s="9">
        <f>IF(Q1188="","",IF(MATCH(R1188,$R$5:$R$100000,0)=ROW()-4,ROW(),""))</f>
        <v/>
      </c>
      <c r="T1188" s="9">
        <f>IF(Q1188="당기",ABS(P1188)+ROW()/1000000000,"")</f>
        <v/>
      </c>
      <c r="U1188" s="9">
        <f>IF(Q1188="비교",ABS(P1188)+ROW()/1000000000,"")</f>
        <v/>
      </c>
      <c r="V1188" s="39">
        <f>IF($A1188="","",IF(COUNTIF(변동분석!$E$7:$E$506,O1188)&gt;0,"Y","N"))</f>
        <v/>
      </c>
      <c r="W1188" s="39">
        <f>IF($A1188="","",IFERROR(INDEX(계정매핑!$D$5:$D$504,MATCH($F1188&amp;"",계정매핑!$A$5:$A$504,0)),"미매핑"))</f>
        <v/>
      </c>
      <c r="X1188" s="9">
        <f>IF($A1188="","",$F1188&amp;"")</f>
        <v/>
      </c>
    </row>
    <row r="1189">
      <c r="A1189" s="75" t="n">
        <v>2025</v>
      </c>
      <c r="B1189" s="75" t="n">
        <v>7</v>
      </c>
      <c r="C1189" s="75" t="inlineStr">
        <is>
          <t>5100001185</t>
        </is>
      </c>
      <c r="D1189" s="78" t="n">
        <v>45841</v>
      </c>
      <c r="E1189" s="75" t="inlineStr">
        <is>
          <t>KR</t>
        </is>
      </c>
      <c r="F1189" s="75" t="n">
        <v>62201000</v>
      </c>
      <c r="G1189" s="75" t="n">
        <v>1701</v>
      </c>
      <c r="H1189" s="76" t="n">
        <v>4905000</v>
      </c>
      <c r="I1189" s="75" t="inlineStr">
        <is>
          <t>7월 통신요금 - P통신</t>
        </is>
      </c>
      <c r="J1189" s="75" t="inlineStr">
        <is>
          <t>V10011</t>
        </is>
      </c>
      <c r="K1189" s="75" t="inlineStr">
        <is>
          <t>P통신</t>
        </is>
      </c>
      <c r="M1189" s="9">
        <f>IF($A1189="","",VALUE($A1189&amp;"")*12+VALUE($B1189&amp;""))</f>
        <v/>
      </c>
      <c r="N1189" s="39">
        <f>IF($A1189="","",IFERROR(INDEX(부서매핑!$C$5:$C$504,MATCH($G1189&amp;"",부서매핑!$A$5:$A$504,0)),"미매핑"))</f>
        <v/>
      </c>
      <c r="O1189" s="9">
        <f>IF($A1189="","",N1189&amp;"|"&amp;$F1189)</f>
        <v/>
      </c>
      <c r="P1189" s="77">
        <f>IF($A1189="",0,$H1189*설정!$C$23)</f>
        <v/>
      </c>
      <c r="Q1189" s="39">
        <f>IF($A1189="","",IF(O1189&lt;&gt;원인분석!$C$9,"",IF(AND(M1189&gt;=원인분석!$C$10,M1189&lt;=원인분석!$C$11),"당기",IF(AND(M1189&gt;=원인분석!$C$12,M1189&lt;=원인분석!$C$13),"비교",""))))</f>
        <v/>
      </c>
      <c r="R1189" s="9">
        <f>IF(Q1189="","",$K1189&amp;"")</f>
        <v/>
      </c>
      <c r="S1189" s="9">
        <f>IF(Q1189="","",IF(MATCH(R1189,$R$5:$R$100000,0)=ROW()-4,ROW(),""))</f>
        <v/>
      </c>
      <c r="T1189" s="9">
        <f>IF(Q1189="당기",ABS(P1189)+ROW()/1000000000,"")</f>
        <v/>
      </c>
      <c r="U1189" s="9">
        <f>IF(Q1189="비교",ABS(P1189)+ROW()/1000000000,"")</f>
        <v/>
      </c>
      <c r="V1189" s="39">
        <f>IF($A1189="","",IF(COUNTIF(변동분석!$E$7:$E$506,O1189)&gt;0,"Y","N"))</f>
        <v/>
      </c>
      <c r="W1189" s="39">
        <f>IF($A1189="","",IFERROR(INDEX(계정매핑!$D$5:$D$504,MATCH($F1189&amp;"",계정매핑!$A$5:$A$504,0)),"미매핑"))</f>
        <v/>
      </c>
      <c r="X1189" s="9">
        <f>IF($A1189="","",$F1189&amp;"")</f>
        <v/>
      </c>
    </row>
    <row r="1190">
      <c r="A1190" s="75" t="n">
        <v>2025</v>
      </c>
      <c r="B1190" s="75" t="n">
        <v>7</v>
      </c>
      <c r="C1190" s="75" t="inlineStr">
        <is>
          <t>5100001186</t>
        </is>
      </c>
      <c r="D1190" s="78" t="n">
        <v>45841</v>
      </c>
      <c r="E1190" s="75" t="inlineStr">
        <is>
          <t>KR</t>
        </is>
      </c>
      <c r="F1190" s="75" t="n">
        <v>62301000</v>
      </c>
      <c r="G1190" s="75" t="n">
        <v>1201</v>
      </c>
      <c r="H1190" s="76" t="n">
        <v>138000</v>
      </c>
      <c r="I1190" s="75" t="inlineStr">
        <is>
          <t>7월 소모품 구입 - Q오피스</t>
        </is>
      </c>
      <c r="J1190" s="75" t="inlineStr">
        <is>
          <t>V10003</t>
        </is>
      </c>
      <c r="K1190" s="75" t="inlineStr">
        <is>
          <t>Q오피스</t>
        </is>
      </c>
      <c r="M1190" s="9">
        <f>IF($A1190="","",VALUE($A1190&amp;"")*12+VALUE($B1190&amp;""))</f>
        <v/>
      </c>
      <c r="N1190" s="39">
        <f>IF($A1190="","",IFERROR(INDEX(부서매핑!$C$5:$C$504,MATCH($G1190&amp;"",부서매핑!$A$5:$A$504,0)),"미매핑"))</f>
        <v/>
      </c>
      <c r="O1190" s="9">
        <f>IF($A1190="","",N1190&amp;"|"&amp;$F1190)</f>
        <v/>
      </c>
      <c r="P1190" s="77">
        <f>IF($A1190="",0,$H1190*설정!$C$23)</f>
        <v/>
      </c>
      <c r="Q1190" s="39">
        <f>IF($A1190="","",IF(O1190&lt;&gt;원인분석!$C$9,"",IF(AND(M1190&gt;=원인분석!$C$10,M1190&lt;=원인분석!$C$11),"당기",IF(AND(M1190&gt;=원인분석!$C$12,M1190&lt;=원인분석!$C$13),"비교",""))))</f>
        <v/>
      </c>
      <c r="R1190" s="9">
        <f>IF(Q1190="","",$K1190&amp;"")</f>
        <v/>
      </c>
      <c r="S1190" s="9">
        <f>IF(Q1190="","",IF(MATCH(R1190,$R$5:$R$100000,0)=ROW()-4,ROW(),""))</f>
        <v/>
      </c>
      <c r="T1190" s="9">
        <f>IF(Q1190="당기",ABS(P1190)+ROW()/1000000000,"")</f>
        <v/>
      </c>
      <c r="U1190" s="9">
        <f>IF(Q1190="비교",ABS(P1190)+ROW()/1000000000,"")</f>
        <v/>
      </c>
      <c r="V1190" s="39">
        <f>IF($A1190="","",IF(COUNTIF(변동분석!$E$7:$E$506,O1190)&gt;0,"Y","N"))</f>
        <v/>
      </c>
      <c r="W1190" s="39">
        <f>IF($A1190="","",IFERROR(INDEX(계정매핑!$D$5:$D$504,MATCH($F1190&amp;"",계정매핑!$A$5:$A$504,0)),"미매핑"))</f>
        <v/>
      </c>
      <c r="X1190" s="9">
        <f>IF($A1190="","",$F1190&amp;"")</f>
        <v/>
      </c>
    </row>
    <row r="1191">
      <c r="A1191" s="75" t="n">
        <v>2025</v>
      </c>
      <c r="B1191" s="75" t="n">
        <v>7</v>
      </c>
      <c r="C1191" s="75" t="inlineStr">
        <is>
          <t>5100001187</t>
        </is>
      </c>
      <c r="D1191" s="78" t="n">
        <v>45841</v>
      </c>
      <c r="E1191" s="75" t="inlineStr">
        <is>
          <t>KR</t>
        </is>
      </c>
      <c r="F1191" s="75" t="n">
        <v>62301000</v>
      </c>
      <c r="G1191" s="75" t="n">
        <v>1602</v>
      </c>
      <c r="H1191" s="76" t="n">
        <v>475000</v>
      </c>
      <c r="I1191" s="75" t="inlineStr">
        <is>
          <t>7월 소모품 구입 - R문구</t>
        </is>
      </c>
      <c r="J1191" s="75" t="inlineStr">
        <is>
          <t>V10018</t>
        </is>
      </c>
      <c r="K1191" s="75" t="inlineStr">
        <is>
          <t>R문구</t>
        </is>
      </c>
      <c r="M1191" s="9">
        <f>IF($A1191="","",VALUE($A1191&amp;"")*12+VALUE($B1191&amp;""))</f>
        <v/>
      </c>
      <c r="N1191" s="39">
        <f>IF($A1191="","",IFERROR(INDEX(부서매핑!$C$5:$C$504,MATCH($G1191&amp;"",부서매핑!$A$5:$A$504,0)),"미매핑"))</f>
        <v/>
      </c>
      <c r="O1191" s="9">
        <f>IF($A1191="","",N1191&amp;"|"&amp;$F1191)</f>
        <v/>
      </c>
      <c r="P1191" s="77">
        <f>IF($A1191="",0,$H1191*설정!$C$23)</f>
        <v/>
      </c>
      <c r="Q1191" s="39">
        <f>IF($A1191="","",IF(O1191&lt;&gt;원인분석!$C$9,"",IF(AND(M1191&gt;=원인분석!$C$10,M1191&lt;=원인분석!$C$11),"당기",IF(AND(M1191&gt;=원인분석!$C$12,M1191&lt;=원인분석!$C$13),"비교",""))))</f>
        <v/>
      </c>
      <c r="R1191" s="9">
        <f>IF(Q1191="","",$K1191&amp;"")</f>
        <v/>
      </c>
      <c r="S1191" s="9">
        <f>IF(Q1191="","",IF(MATCH(R1191,$R$5:$R$100000,0)=ROW()-4,ROW(),""))</f>
        <v/>
      </c>
      <c r="T1191" s="9">
        <f>IF(Q1191="당기",ABS(P1191)+ROW()/1000000000,"")</f>
        <v/>
      </c>
      <c r="U1191" s="9">
        <f>IF(Q1191="비교",ABS(P1191)+ROW()/1000000000,"")</f>
        <v/>
      </c>
      <c r="V1191" s="39">
        <f>IF($A1191="","",IF(COUNTIF(변동분석!$E$7:$E$506,O1191)&gt;0,"Y","N"))</f>
        <v/>
      </c>
      <c r="W1191" s="39">
        <f>IF($A1191="","",IFERROR(INDEX(계정매핑!$D$5:$D$504,MATCH($F1191&amp;"",계정매핑!$A$5:$A$504,0)),"미매핑"))</f>
        <v/>
      </c>
      <c r="X1191" s="9">
        <f>IF($A1191="","",$F1191&amp;"")</f>
        <v/>
      </c>
    </row>
    <row r="1192">
      <c r="A1192" s="75" t="n">
        <v>2025</v>
      </c>
      <c r="B1192" s="75" t="n">
        <v>7</v>
      </c>
      <c r="C1192" s="75" t="inlineStr">
        <is>
          <t>5100001188</t>
        </is>
      </c>
      <c r="D1192" s="78" t="n">
        <v>45841</v>
      </c>
      <c r="E1192" s="75" t="inlineStr">
        <is>
          <t>KR</t>
        </is>
      </c>
      <c r="F1192" s="75" t="n">
        <v>62501000</v>
      </c>
      <c r="G1192" s="75" t="n">
        <v>1601</v>
      </c>
      <c r="H1192" s="76" t="n">
        <v>426000</v>
      </c>
      <c r="I1192" s="75" t="inlineStr">
        <is>
          <t>7월 회의 다과 - (법인카드)</t>
        </is>
      </c>
      <c r="J1192" s="75" t="inlineStr">
        <is>
          <t>V10008</t>
        </is>
      </c>
      <c r="K1192" s="75" t="inlineStr">
        <is>
          <t>(법인카드)</t>
        </is>
      </c>
      <c r="M1192" s="9">
        <f>IF($A1192="","",VALUE($A1192&amp;"")*12+VALUE($B1192&amp;""))</f>
        <v/>
      </c>
      <c r="N1192" s="39">
        <f>IF($A1192="","",IFERROR(INDEX(부서매핑!$C$5:$C$504,MATCH($G1192&amp;"",부서매핑!$A$5:$A$504,0)),"미매핑"))</f>
        <v/>
      </c>
      <c r="O1192" s="9">
        <f>IF($A1192="","",N1192&amp;"|"&amp;$F1192)</f>
        <v/>
      </c>
      <c r="P1192" s="77">
        <f>IF($A1192="",0,$H1192*설정!$C$23)</f>
        <v/>
      </c>
      <c r="Q1192" s="39">
        <f>IF($A1192="","",IF(O1192&lt;&gt;원인분석!$C$9,"",IF(AND(M1192&gt;=원인분석!$C$10,M1192&lt;=원인분석!$C$11),"당기",IF(AND(M1192&gt;=원인분석!$C$12,M1192&lt;=원인분석!$C$13),"비교",""))))</f>
        <v/>
      </c>
      <c r="R1192" s="9">
        <f>IF(Q1192="","",$K1192&amp;"")</f>
        <v/>
      </c>
      <c r="S1192" s="9">
        <f>IF(Q1192="","",IF(MATCH(R1192,$R$5:$R$100000,0)=ROW()-4,ROW(),""))</f>
        <v/>
      </c>
      <c r="T1192" s="9">
        <f>IF(Q1192="당기",ABS(P1192)+ROW()/1000000000,"")</f>
        <v/>
      </c>
      <c r="U1192" s="9">
        <f>IF(Q1192="비교",ABS(P1192)+ROW()/1000000000,"")</f>
        <v/>
      </c>
      <c r="V1192" s="39">
        <f>IF($A1192="","",IF(COUNTIF(변동분석!$E$7:$E$506,O1192)&gt;0,"Y","N"))</f>
        <v/>
      </c>
      <c r="W1192" s="39">
        <f>IF($A1192="","",IFERROR(INDEX(계정매핑!$D$5:$D$504,MATCH($F1192&amp;"",계정매핑!$A$5:$A$504,0)),"미매핑"))</f>
        <v/>
      </c>
      <c r="X1192" s="9">
        <f>IF($A1192="","",$F1192&amp;"")</f>
        <v/>
      </c>
    </row>
    <row r="1193">
      <c r="A1193" s="75" t="n">
        <v>2025</v>
      </c>
      <c r="B1193" s="75" t="n">
        <v>7</v>
      </c>
      <c r="C1193" s="75" t="inlineStr">
        <is>
          <t>5100001189</t>
        </is>
      </c>
      <c r="D1193" s="78" t="n">
        <v>45841</v>
      </c>
      <c r="E1193" s="75" t="inlineStr">
        <is>
          <t>KR</t>
        </is>
      </c>
      <c r="F1193" s="75" t="n">
        <v>62902000</v>
      </c>
      <c r="G1193" s="75" t="n">
        <v>1201</v>
      </c>
      <c r="H1193" s="76" t="n">
        <v>2108000</v>
      </c>
      <c r="I1193" s="75" t="inlineStr">
        <is>
          <t>7월 업무 위탁 수수료 - X서비스</t>
        </is>
      </c>
      <c r="J1193" s="75" t="inlineStr">
        <is>
          <t>V10016</t>
        </is>
      </c>
      <c r="K1193" s="75" t="inlineStr">
        <is>
          <t>X서비스</t>
        </is>
      </c>
      <c r="M1193" s="9">
        <f>IF($A1193="","",VALUE($A1193&amp;"")*12+VALUE($B1193&amp;""))</f>
        <v/>
      </c>
      <c r="N1193" s="39">
        <f>IF($A1193="","",IFERROR(INDEX(부서매핑!$C$5:$C$504,MATCH($G1193&amp;"",부서매핑!$A$5:$A$504,0)),"미매핑"))</f>
        <v/>
      </c>
      <c r="O1193" s="9">
        <f>IF($A1193="","",N1193&amp;"|"&amp;$F1193)</f>
        <v/>
      </c>
      <c r="P1193" s="77">
        <f>IF($A1193="",0,$H1193*설정!$C$23)</f>
        <v/>
      </c>
      <c r="Q1193" s="39">
        <f>IF($A1193="","",IF(O1193&lt;&gt;원인분석!$C$9,"",IF(AND(M1193&gt;=원인분석!$C$10,M1193&lt;=원인분석!$C$11),"당기",IF(AND(M1193&gt;=원인분석!$C$12,M1193&lt;=원인분석!$C$13),"비교",""))))</f>
        <v/>
      </c>
      <c r="R1193" s="9">
        <f>IF(Q1193="","",$K1193&amp;"")</f>
        <v/>
      </c>
      <c r="S1193" s="9">
        <f>IF(Q1193="","",IF(MATCH(R1193,$R$5:$R$100000,0)=ROW()-4,ROW(),""))</f>
        <v/>
      </c>
      <c r="T1193" s="9">
        <f>IF(Q1193="당기",ABS(P1193)+ROW()/1000000000,"")</f>
        <v/>
      </c>
      <c r="U1193" s="9">
        <f>IF(Q1193="비교",ABS(P1193)+ROW()/1000000000,"")</f>
        <v/>
      </c>
      <c r="V1193" s="39">
        <f>IF($A1193="","",IF(COUNTIF(변동분석!$E$7:$E$506,O1193)&gt;0,"Y","N"))</f>
        <v/>
      </c>
      <c r="W1193" s="39">
        <f>IF($A1193="","",IFERROR(INDEX(계정매핑!$D$5:$D$504,MATCH($F1193&amp;"",계정매핑!$A$5:$A$504,0)),"미매핑"))</f>
        <v/>
      </c>
      <c r="X1193" s="9">
        <f>IF($A1193="","",$F1193&amp;"")</f>
        <v/>
      </c>
    </row>
    <row r="1194">
      <c r="A1194" s="75" t="n">
        <v>2025</v>
      </c>
      <c r="B1194" s="75" t="n">
        <v>7</v>
      </c>
      <c r="C1194" s="75" t="inlineStr">
        <is>
          <t>5100001190</t>
        </is>
      </c>
      <c r="D1194" s="78" t="n">
        <v>45841</v>
      </c>
      <c r="E1194" s="75" t="inlineStr">
        <is>
          <t>KR</t>
        </is>
      </c>
      <c r="F1194" s="75" t="n">
        <v>62902000</v>
      </c>
      <c r="G1194" s="75" t="n">
        <v>1801</v>
      </c>
      <c r="H1194" s="76" t="n">
        <v>1816000</v>
      </c>
      <c r="I1194" s="75" t="inlineStr">
        <is>
          <t>7월 콜 위탁 수수료(건별)</t>
        </is>
      </c>
      <c r="J1194" s="75" t="inlineStr">
        <is>
          <t>V10013</t>
        </is>
      </c>
      <c r="K1194" s="75" t="inlineStr">
        <is>
          <t>J콜센터</t>
        </is>
      </c>
      <c r="M1194" s="9">
        <f>IF($A1194="","",VALUE($A1194&amp;"")*12+VALUE($B1194&amp;""))</f>
        <v/>
      </c>
      <c r="N1194" s="39">
        <f>IF($A1194="","",IFERROR(INDEX(부서매핑!$C$5:$C$504,MATCH($G1194&amp;"",부서매핑!$A$5:$A$504,0)),"미매핑"))</f>
        <v/>
      </c>
      <c r="O1194" s="9">
        <f>IF($A1194="","",N1194&amp;"|"&amp;$F1194)</f>
        <v/>
      </c>
      <c r="P1194" s="77">
        <f>IF($A1194="",0,$H1194*설정!$C$23)</f>
        <v/>
      </c>
      <c r="Q1194" s="39">
        <f>IF($A1194="","",IF(O1194&lt;&gt;원인분석!$C$9,"",IF(AND(M1194&gt;=원인분석!$C$10,M1194&lt;=원인분석!$C$11),"당기",IF(AND(M1194&gt;=원인분석!$C$12,M1194&lt;=원인분석!$C$13),"비교",""))))</f>
        <v/>
      </c>
      <c r="R1194" s="9">
        <f>IF(Q1194="","",$K1194&amp;"")</f>
        <v/>
      </c>
      <c r="S1194" s="9">
        <f>IF(Q1194="","",IF(MATCH(R1194,$R$5:$R$100000,0)=ROW()-4,ROW(),""))</f>
        <v/>
      </c>
      <c r="T1194" s="9">
        <f>IF(Q1194="당기",ABS(P1194)+ROW()/1000000000,"")</f>
        <v/>
      </c>
      <c r="U1194" s="9">
        <f>IF(Q1194="비교",ABS(P1194)+ROW()/1000000000,"")</f>
        <v/>
      </c>
      <c r="V1194" s="39">
        <f>IF($A1194="","",IF(COUNTIF(변동분석!$E$7:$E$506,O1194)&gt;0,"Y","N"))</f>
        <v/>
      </c>
      <c r="W1194" s="39">
        <f>IF($A1194="","",IFERROR(INDEX(계정매핑!$D$5:$D$504,MATCH($F1194&amp;"",계정매핑!$A$5:$A$504,0)),"미매핑"))</f>
        <v/>
      </c>
      <c r="X1194" s="9">
        <f>IF($A1194="","",$F1194&amp;"")</f>
        <v/>
      </c>
    </row>
    <row r="1195">
      <c r="A1195" s="75" t="n">
        <v>2025</v>
      </c>
      <c r="B1195" s="75" t="n">
        <v>7</v>
      </c>
      <c r="C1195" s="75" t="inlineStr">
        <is>
          <t>5100001191</t>
        </is>
      </c>
      <c r="D1195" s="78" t="n">
        <v>45841</v>
      </c>
      <c r="E1195" s="75" t="inlineStr">
        <is>
          <t>KR</t>
        </is>
      </c>
      <c r="F1195" s="75" t="n">
        <v>62902000</v>
      </c>
      <c r="G1195" s="75" t="n">
        <v>1801</v>
      </c>
      <c r="H1195" s="76" t="n">
        <v>1844000</v>
      </c>
      <c r="I1195" s="75" t="inlineStr">
        <is>
          <t>7월 콜 위탁 수수료(건별)</t>
        </is>
      </c>
      <c r="J1195" s="75" t="inlineStr">
        <is>
          <t>V10013</t>
        </is>
      </c>
      <c r="K1195" s="75" t="inlineStr">
        <is>
          <t>J콜센터</t>
        </is>
      </c>
      <c r="M1195" s="9">
        <f>IF($A1195="","",VALUE($A1195&amp;"")*12+VALUE($B1195&amp;""))</f>
        <v/>
      </c>
      <c r="N1195" s="39">
        <f>IF($A1195="","",IFERROR(INDEX(부서매핑!$C$5:$C$504,MATCH($G1195&amp;"",부서매핑!$A$5:$A$504,0)),"미매핑"))</f>
        <v/>
      </c>
      <c r="O1195" s="9">
        <f>IF($A1195="","",N1195&amp;"|"&amp;$F1195)</f>
        <v/>
      </c>
      <c r="P1195" s="77">
        <f>IF($A1195="",0,$H1195*설정!$C$23)</f>
        <v/>
      </c>
      <c r="Q1195" s="39">
        <f>IF($A1195="","",IF(O1195&lt;&gt;원인분석!$C$9,"",IF(AND(M1195&gt;=원인분석!$C$10,M1195&lt;=원인분석!$C$11),"당기",IF(AND(M1195&gt;=원인분석!$C$12,M1195&lt;=원인분석!$C$13),"비교",""))))</f>
        <v/>
      </c>
      <c r="R1195" s="9">
        <f>IF(Q1195="","",$K1195&amp;"")</f>
        <v/>
      </c>
      <c r="S1195" s="9">
        <f>IF(Q1195="","",IF(MATCH(R1195,$R$5:$R$100000,0)=ROW()-4,ROW(),""))</f>
        <v/>
      </c>
      <c r="T1195" s="9">
        <f>IF(Q1195="당기",ABS(P1195)+ROW()/1000000000,"")</f>
        <v/>
      </c>
      <c r="U1195" s="9">
        <f>IF(Q1195="비교",ABS(P1195)+ROW()/1000000000,"")</f>
        <v/>
      </c>
      <c r="V1195" s="39">
        <f>IF($A1195="","",IF(COUNTIF(변동분석!$E$7:$E$506,O1195)&gt;0,"Y","N"))</f>
        <v/>
      </c>
      <c r="W1195" s="39">
        <f>IF($A1195="","",IFERROR(INDEX(계정매핑!$D$5:$D$504,MATCH($F1195&amp;"",계정매핑!$A$5:$A$504,0)),"미매핑"))</f>
        <v/>
      </c>
      <c r="X1195" s="9">
        <f>IF($A1195="","",$F1195&amp;"")</f>
        <v/>
      </c>
    </row>
    <row r="1196">
      <c r="A1196" s="75" t="n">
        <v>2025</v>
      </c>
      <c r="B1196" s="75" t="n">
        <v>7</v>
      </c>
      <c r="C1196" s="75" t="inlineStr">
        <is>
          <t>5100001192</t>
        </is>
      </c>
      <c r="D1196" s="78" t="n">
        <v>45842</v>
      </c>
      <c r="E1196" s="75" t="inlineStr">
        <is>
          <t>KR</t>
        </is>
      </c>
      <c r="F1196" s="75" t="n">
        <v>62101000</v>
      </c>
      <c r="G1196" s="75" t="n">
        <v>1301</v>
      </c>
      <c r="H1196" s="76" t="n">
        <v>179000</v>
      </c>
      <c r="I1196" s="75" t="inlineStr">
        <is>
          <t>7월 국내출장 - (법인카드)</t>
        </is>
      </c>
      <c r="J1196" s="75" t="inlineStr">
        <is>
          <t>V10008</t>
        </is>
      </c>
      <c r="K1196" s="75" t="inlineStr">
        <is>
          <t>(법인카드)</t>
        </is>
      </c>
      <c r="M1196" s="9">
        <f>IF($A1196="","",VALUE($A1196&amp;"")*12+VALUE($B1196&amp;""))</f>
        <v/>
      </c>
      <c r="N1196" s="39">
        <f>IF($A1196="","",IFERROR(INDEX(부서매핑!$C$5:$C$504,MATCH($G1196&amp;"",부서매핑!$A$5:$A$504,0)),"미매핑"))</f>
        <v/>
      </c>
      <c r="O1196" s="9">
        <f>IF($A1196="","",N1196&amp;"|"&amp;$F1196)</f>
        <v/>
      </c>
      <c r="P1196" s="77">
        <f>IF($A1196="",0,$H1196*설정!$C$23)</f>
        <v/>
      </c>
      <c r="Q1196" s="39">
        <f>IF($A1196="","",IF(O1196&lt;&gt;원인분석!$C$9,"",IF(AND(M1196&gt;=원인분석!$C$10,M1196&lt;=원인분석!$C$11),"당기",IF(AND(M1196&gt;=원인분석!$C$12,M1196&lt;=원인분석!$C$13),"비교",""))))</f>
        <v/>
      </c>
      <c r="R1196" s="9">
        <f>IF(Q1196="","",$K1196&amp;"")</f>
        <v/>
      </c>
      <c r="S1196" s="9">
        <f>IF(Q1196="","",IF(MATCH(R1196,$R$5:$R$100000,0)=ROW()-4,ROW(),""))</f>
        <v/>
      </c>
      <c r="T1196" s="9">
        <f>IF(Q1196="당기",ABS(P1196)+ROW()/1000000000,"")</f>
        <v/>
      </c>
      <c r="U1196" s="9">
        <f>IF(Q1196="비교",ABS(P1196)+ROW()/1000000000,"")</f>
        <v/>
      </c>
      <c r="V1196" s="39">
        <f>IF($A1196="","",IF(COUNTIF(변동분석!$E$7:$E$506,O1196)&gt;0,"Y","N"))</f>
        <v/>
      </c>
      <c r="W1196" s="39">
        <f>IF($A1196="","",IFERROR(INDEX(계정매핑!$D$5:$D$504,MATCH($F1196&amp;"",계정매핑!$A$5:$A$504,0)),"미매핑"))</f>
        <v/>
      </c>
      <c r="X1196" s="9">
        <f>IF($A1196="","",$F1196&amp;"")</f>
        <v/>
      </c>
    </row>
    <row r="1197">
      <c r="A1197" s="75" t="n">
        <v>2025</v>
      </c>
      <c r="B1197" s="75" t="n">
        <v>7</v>
      </c>
      <c r="C1197" s="75" t="inlineStr">
        <is>
          <t>5100001193</t>
        </is>
      </c>
      <c r="D1197" s="78" t="n">
        <v>45842</v>
      </c>
      <c r="E1197" s="75" t="inlineStr">
        <is>
          <t>KR</t>
        </is>
      </c>
      <c r="F1197" s="75" t="n">
        <v>62102000</v>
      </c>
      <c r="G1197" s="75" t="n">
        <v>1201</v>
      </c>
      <c r="H1197" s="76" t="n">
        <v>52000</v>
      </c>
      <c r="I1197" s="75" t="inlineStr">
        <is>
          <t>7월 해외출장 - N호텔</t>
        </is>
      </c>
      <c r="J1197" s="75" t="inlineStr">
        <is>
          <t>V10007</t>
        </is>
      </c>
      <c r="K1197" s="75" t="inlineStr">
        <is>
          <t>N호텔</t>
        </is>
      </c>
      <c r="M1197" s="9">
        <f>IF($A1197="","",VALUE($A1197&amp;"")*12+VALUE($B1197&amp;""))</f>
        <v/>
      </c>
      <c r="N1197" s="39">
        <f>IF($A1197="","",IFERROR(INDEX(부서매핑!$C$5:$C$504,MATCH($G1197&amp;"",부서매핑!$A$5:$A$504,0)),"미매핑"))</f>
        <v/>
      </c>
      <c r="O1197" s="9">
        <f>IF($A1197="","",N1197&amp;"|"&amp;$F1197)</f>
        <v/>
      </c>
      <c r="P1197" s="77">
        <f>IF($A1197="",0,$H1197*설정!$C$23)</f>
        <v/>
      </c>
      <c r="Q1197" s="39">
        <f>IF($A1197="","",IF(O1197&lt;&gt;원인분석!$C$9,"",IF(AND(M1197&gt;=원인분석!$C$10,M1197&lt;=원인분석!$C$11),"당기",IF(AND(M1197&gt;=원인분석!$C$12,M1197&lt;=원인분석!$C$13),"비교",""))))</f>
        <v/>
      </c>
      <c r="R1197" s="9">
        <f>IF(Q1197="","",$K1197&amp;"")</f>
        <v/>
      </c>
      <c r="S1197" s="9">
        <f>IF(Q1197="","",IF(MATCH(R1197,$R$5:$R$100000,0)=ROW()-4,ROW(),""))</f>
        <v/>
      </c>
      <c r="T1197" s="9">
        <f>IF(Q1197="당기",ABS(P1197)+ROW()/1000000000,"")</f>
        <v/>
      </c>
      <c r="U1197" s="9">
        <f>IF(Q1197="비교",ABS(P1197)+ROW()/1000000000,"")</f>
        <v/>
      </c>
      <c r="V1197" s="39">
        <f>IF($A1197="","",IF(COUNTIF(변동분석!$E$7:$E$506,O1197)&gt;0,"Y","N"))</f>
        <v/>
      </c>
      <c r="W1197" s="39">
        <f>IF($A1197="","",IFERROR(INDEX(계정매핑!$D$5:$D$504,MATCH($F1197&amp;"",계정매핑!$A$5:$A$504,0)),"미매핑"))</f>
        <v/>
      </c>
      <c r="X1197" s="9">
        <f>IF($A1197="","",$F1197&amp;"")</f>
        <v/>
      </c>
    </row>
    <row r="1198">
      <c r="A1198" s="75" t="n">
        <v>2025</v>
      </c>
      <c r="B1198" s="75" t="n">
        <v>7</v>
      </c>
      <c r="C1198" s="75" t="inlineStr">
        <is>
          <t>5100001194</t>
        </is>
      </c>
      <c r="D1198" s="78" t="n">
        <v>45842</v>
      </c>
      <c r="E1198" s="75" t="inlineStr">
        <is>
          <t>KR</t>
        </is>
      </c>
      <c r="F1198" s="75" t="n">
        <v>62102000</v>
      </c>
      <c r="G1198" s="75" t="n">
        <v>1401</v>
      </c>
      <c r="H1198" s="76" t="n">
        <v>81000</v>
      </c>
      <c r="I1198" s="75" t="inlineStr">
        <is>
          <t>7월 해외출장 - M항공</t>
        </is>
      </c>
      <c r="J1198" s="75" t="inlineStr">
        <is>
          <t>V10001</t>
        </is>
      </c>
      <c r="K1198" s="75" t="inlineStr">
        <is>
          <t>M항공</t>
        </is>
      </c>
      <c r="M1198" s="9">
        <f>IF($A1198="","",VALUE($A1198&amp;"")*12+VALUE($B1198&amp;""))</f>
        <v/>
      </c>
      <c r="N1198" s="39">
        <f>IF($A1198="","",IFERROR(INDEX(부서매핑!$C$5:$C$504,MATCH($G1198&amp;"",부서매핑!$A$5:$A$504,0)),"미매핑"))</f>
        <v/>
      </c>
      <c r="O1198" s="9">
        <f>IF($A1198="","",N1198&amp;"|"&amp;$F1198)</f>
        <v/>
      </c>
      <c r="P1198" s="77">
        <f>IF($A1198="",0,$H1198*설정!$C$23)</f>
        <v/>
      </c>
      <c r="Q1198" s="39">
        <f>IF($A1198="","",IF(O1198&lt;&gt;원인분석!$C$9,"",IF(AND(M1198&gt;=원인분석!$C$10,M1198&lt;=원인분석!$C$11),"당기",IF(AND(M1198&gt;=원인분석!$C$12,M1198&lt;=원인분석!$C$13),"비교",""))))</f>
        <v/>
      </c>
      <c r="R1198" s="9">
        <f>IF(Q1198="","",$K1198&amp;"")</f>
        <v/>
      </c>
      <c r="S1198" s="9">
        <f>IF(Q1198="","",IF(MATCH(R1198,$R$5:$R$100000,0)=ROW()-4,ROW(),""))</f>
        <v/>
      </c>
      <c r="T1198" s="9">
        <f>IF(Q1198="당기",ABS(P1198)+ROW()/1000000000,"")</f>
        <v/>
      </c>
      <c r="U1198" s="9">
        <f>IF(Q1198="비교",ABS(P1198)+ROW()/1000000000,"")</f>
        <v/>
      </c>
      <c r="V1198" s="39">
        <f>IF($A1198="","",IF(COUNTIF(변동분석!$E$7:$E$506,O1198)&gt;0,"Y","N"))</f>
        <v/>
      </c>
      <c r="W1198" s="39">
        <f>IF($A1198="","",IFERROR(INDEX(계정매핑!$D$5:$D$504,MATCH($F1198&amp;"",계정매핑!$A$5:$A$504,0)),"미매핑"))</f>
        <v/>
      </c>
      <c r="X1198" s="9">
        <f>IF($A1198="","",$F1198&amp;"")</f>
        <v/>
      </c>
    </row>
    <row r="1199">
      <c r="A1199" s="75" t="n">
        <v>2025</v>
      </c>
      <c r="B1199" s="75" t="n">
        <v>7</v>
      </c>
      <c r="C1199" s="75" t="inlineStr">
        <is>
          <t>5100001195</t>
        </is>
      </c>
      <c r="D1199" s="78" t="n">
        <v>45842</v>
      </c>
      <c r="E1199" s="75" t="inlineStr">
        <is>
          <t>KR</t>
        </is>
      </c>
      <c r="F1199" s="75" t="n">
        <v>62201000</v>
      </c>
      <c r="G1199" s="75" t="n">
        <v>1301</v>
      </c>
      <c r="H1199" s="76" t="n">
        <v>148000</v>
      </c>
      <c r="I1199" s="75" t="inlineStr">
        <is>
          <t>7월 통신요금 - O텔레콤</t>
        </is>
      </c>
      <c r="J1199" s="75" t="inlineStr">
        <is>
          <t>V10002</t>
        </is>
      </c>
      <c r="K1199" s="75" t="inlineStr">
        <is>
          <t>O텔레콤</t>
        </is>
      </c>
      <c r="M1199" s="9">
        <f>IF($A1199="","",VALUE($A1199&amp;"")*12+VALUE($B1199&amp;""))</f>
        <v/>
      </c>
      <c r="N1199" s="39">
        <f>IF($A1199="","",IFERROR(INDEX(부서매핑!$C$5:$C$504,MATCH($G1199&amp;"",부서매핑!$A$5:$A$504,0)),"미매핑"))</f>
        <v/>
      </c>
      <c r="O1199" s="9">
        <f>IF($A1199="","",N1199&amp;"|"&amp;$F1199)</f>
        <v/>
      </c>
      <c r="P1199" s="77">
        <f>IF($A1199="",0,$H1199*설정!$C$23)</f>
        <v/>
      </c>
      <c r="Q1199" s="39">
        <f>IF($A1199="","",IF(O1199&lt;&gt;원인분석!$C$9,"",IF(AND(M1199&gt;=원인분석!$C$10,M1199&lt;=원인분석!$C$11),"당기",IF(AND(M1199&gt;=원인분석!$C$12,M1199&lt;=원인분석!$C$13),"비교",""))))</f>
        <v/>
      </c>
      <c r="R1199" s="9">
        <f>IF(Q1199="","",$K1199&amp;"")</f>
        <v/>
      </c>
      <c r="S1199" s="9">
        <f>IF(Q1199="","",IF(MATCH(R1199,$R$5:$R$100000,0)=ROW()-4,ROW(),""))</f>
        <v/>
      </c>
      <c r="T1199" s="9">
        <f>IF(Q1199="당기",ABS(P1199)+ROW()/1000000000,"")</f>
        <v/>
      </c>
      <c r="U1199" s="9">
        <f>IF(Q1199="비교",ABS(P1199)+ROW()/1000000000,"")</f>
        <v/>
      </c>
      <c r="V1199" s="39">
        <f>IF($A1199="","",IF(COUNTIF(변동분석!$E$7:$E$506,O1199)&gt;0,"Y","N"))</f>
        <v/>
      </c>
      <c r="W1199" s="39">
        <f>IF($A1199="","",IFERROR(INDEX(계정매핑!$D$5:$D$504,MATCH($F1199&amp;"",계정매핑!$A$5:$A$504,0)),"미매핑"))</f>
        <v/>
      </c>
      <c r="X1199" s="9">
        <f>IF($A1199="","",$F1199&amp;"")</f>
        <v/>
      </c>
    </row>
    <row r="1200">
      <c r="A1200" s="75" t="n">
        <v>2025</v>
      </c>
      <c r="B1200" s="75" t="n">
        <v>7</v>
      </c>
      <c r="C1200" s="75" t="inlineStr">
        <is>
          <t>5100001196</t>
        </is>
      </c>
      <c r="D1200" s="78" t="n">
        <v>45842</v>
      </c>
      <c r="E1200" s="75" t="inlineStr">
        <is>
          <t>KR</t>
        </is>
      </c>
      <c r="F1200" s="75" t="n">
        <v>62401000</v>
      </c>
      <c r="G1200" s="75" t="n">
        <v>1801</v>
      </c>
      <c r="H1200" s="76" t="n">
        <v>1775000</v>
      </c>
      <c r="I1200" s="75" t="inlineStr">
        <is>
          <t>7월 인쇄물 제작 - G인쇄</t>
        </is>
      </c>
      <c r="J1200" s="75" t="inlineStr">
        <is>
          <t>V10004</t>
        </is>
      </c>
      <c r="K1200" s="75" t="inlineStr">
        <is>
          <t>G인쇄</t>
        </is>
      </c>
      <c r="M1200" s="9">
        <f>IF($A1200="","",VALUE($A1200&amp;"")*12+VALUE($B1200&amp;""))</f>
        <v/>
      </c>
      <c r="N1200" s="39">
        <f>IF($A1200="","",IFERROR(INDEX(부서매핑!$C$5:$C$504,MATCH($G1200&amp;"",부서매핑!$A$5:$A$504,0)),"미매핑"))</f>
        <v/>
      </c>
      <c r="O1200" s="9">
        <f>IF($A1200="","",N1200&amp;"|"&amp;$F1200)</f>
        <v/>
      </c>
      <c r="P1200" s="77">
        <f>IF($A1200="",0,$H1200*설정!$C$23)</f>
        <v/>
      </c>
      <c r="Q1200" s="39">
        <f>IF($A1200="","",IF(O1200&lt;&gt;원인분석!$C$9,"",IF(AND(M1200&gt;=원인분석!$C$10,M1200&lt;=원인분석!$C$11),"당기",IF(AND(M1200&gt;=원인분석!$C$12,M1200&lt;=원인분석!$C$13),"비교",""))))</f>
        <v/>
      </c>
      <c r="R1200" s="9">
        <f>IF(Q1200="","",$K1200&amp;"")</f>
        <v/>
      </c>
      <c r="S1200" s="9">
        <f>IF(Q1200="","",IF(MATCH(R1200,$R$5:$R$100000,0)=ROW()-4,ROW(),""))</f>
        <v/>
      </c>
      <c r="T1200" s="9">
        <f>IF(Q1200="당기",ABS(P1200)+ROW()/1000000000,"")</f>
        <v/>
      </c>
      <c r="U1200" s="9">
        <f>IF(Q1200="비교",ABS(P1200)+ROW()/1000000000,"")</f>
        <v/>
      </c>
      <c r="V1200" s="39">
        <f>IF($A1200="","",IF(COUNTIF(변동분석!$E$7:$E$506,O1200)&gt;0,"Y","N"))</f>
        <v/>
      </c>
      <c r="W1200" s="39">
        <f>IF($A1200="","",IFERROR(INDEX(계정매핑!$D$5:$D$504,MATCH($F1200&amp;"",계정매핑!$A$5:$A$504,0)),"미매핑"))</f>
        <v/>
      </c>
      <c r="X1200" s="9">
        <f>IF($A1200="","",$F1200&amp;"")</f>
        <v/>
      </c>
    </row>
    <row r="1201">
      <c r="A1201" s="75" t="n">
        <v>2025</v>
      </c>
      <c r="B1201" s="75" t="n">
        <v>7</v>
      </c>
      <c r="C1201" s="75" t="inlineStr">
        <is>
          <t>5100001197</t>
        </is>
      </c>
      <c r="D1201" s="78" t="n">
        <v>45842</v>
      </c>
      <c r="E1201" s="75" t="inlineStr">
        <is>
          <t>KR</t>
        </is>
      </c>
      <c r="F1201" s="75" t="n">
        <v>62501000</v>
      </c>
      <c r="G1201" s="75" t="n">
        <v>1301</v>
      </c>
      <c r="H1201" s="76" t="n">
        <v>311000</v>
      </c>
      <c r="I1201" s="75" t="inlineStr">
        <is>
          <t>7월 회의 다과 - (법인카드)</t>
        </is>
      </c>
      <c r="J1201" s="75" t="inlineStr">
        <is>
          <t>V10008</t>
        </is>
      </c>
      <c r="K1201" s="75" t="inlineStr">
        <is>
          <t>(법인카드)</t>
        </is>
      </c>
      <c r="M1201" s="9">
        <f>IF($A1201="","",VALUE($A1201&amp;"")*12+VALUE($B1201&amp;""))</f>
        <v/>
      </c>
      <c r="N1201" s="39">
        <f>IF($A1201="","",IFERROR(INDEX(부서매핑!$C$5:$C$504,MATCH($G1201&amp;"",부서매핑!$A$5:$A$504,0)),"미매핑"))</f>
        <v/>
      </c>
      <c r="O1201" s="9">
        <f>IF($A1201="","",N1201&amp;"|"&amp;$F1201)</f>
        <v/>
      </c>
      <c r="P1201" s="77">
        <f>IF($A1201="",0,$H1201*설정!$C$23)</f>
        <v/>
      </c>
      <c r="Q1201" s="39">
        <f>IF($A1201="","",IF(O1201&lt;&gt;원인분석!$C$9,"",IF(AND(M1201&gt;=원인분석!$C$10,M1201&lt;=원인분석!$C$11),"당기",IF(AND(M1201&gt;=원인분석!$C$12,M1201&lt;=원인분석!$C$13),"비교",""))))</f>
        <v/>
      </c>
      <c r="R1201" s="9">
        <f>IF(Q1201="","",$K1201&amp;"")</f>
        <v/>
      </c>
      <c r="S1201" s="9">
        <f>IF(Q1201="","",IF(MATCH(R1201,$R$5:$R$100000,0)=ROW()-4,ROW(),""))</f>
        <v/>
      </c>
      <c r="T1201" s="9">
        <f>IF(Q1201="당기",ABS(P1201)+ROW()/1000000000,"")</f>
        <v/>
      </c>
      <c r="U1201" s="9">
        <f>IF(Q1201="비교",ABS(P1201)+ROW()/1000000000,"")</f>
        <v/>
      </c>
      <c r="V1201" s="39">
        <f>IF($A1201="","",IF(COUNTIF(변동분석!$E$7:$E$506,O1201)&gt;0,"Y","N"))</f>
        <v/>
      </c>
      <c r="W1201" s="39">
        <f>IF($A1201="","",IFERROR(INDEX(계정매핑!$D$5:$D$504,MATCH($F1201&amp;"",계정매핑!$A$5:$A$504,0)),"미매핑"))</f>
        <v/>
      </c>
      <c r="X1201" s="9">
        <f>IF($A1201="","",$F1201&amp;"")</f>
        <v/>
      </c>
    </row>
    <row r="1202">
      <c r="A1202" s="75" t="n">
        <v>2025</v>
      </c>
      <c r="B1202" s="75" t="n">
        <v>7</v>
      </c>
      <c r="C1202" s="75" t="inlineStr">
        <is>
          <t>5100001198</t>
        </is>
      </c>
      <c r="D1202" s="78" t="n">
        <v>45842</v>
      </c>
      <c r="E1202" s="75" t="inlineStr">
        <is>
          <t>KR</t>
        </is>
      </c>
      <c r="F1202" s="75" t="n">
        <v>62501000</v>
      </c>
      <c r="G1202" s="75" t="n">
        <v>1401</v>
      </c>
      <c r="H1202" s="76" t="n">
        <v>214000</v>
      </c>
      <c r="I1202" s="75" t="inlineStr">
        <is>
          <t>7월 회의 다과 - (법인카드)</t>
        </is>
      </c>
      <c r="J1202" s="75" t="inlineStr">
        <is>
          <t>V10008</t>
        </is>
      </c>
      <c r="K1202" s="75" t="inlineStr">
        <is>
          <t>(법인카드)</t>
        </is>
      </c>
      <c r="M1202" s="9">
        <f>IF($A1202="","",VALUE($A1202&amp;"")*12+VALUE($B1202&amp;""))</f>
        <v/>
      </c>
      <c r="N1202" s="39">
        <f>IF($A1202="","",IFERROR(INDEX(부서매핑!$C$5:$C$504,MATCH($G1202&amp;"",부서매핑!$A$5:$A$504,0)),"미매핑"))</f>
        <v/>
      </c>
      <c r="O1202" s="9">
        <f>IF($A1202="","",N1202&amp;"|"&amp;$F1202)</f>
        <v/>
      </c>
      <c r="P1202" s="77">
        <f>IF($A1202="",0,$H1202*설정!$C$23)</f>
        <v/>
      </c>
      <c r="Q1202" s="39">
        <f>IF($A1202="","",IF(O1202&lt;&gt;원인분석!$C$9,"",IF(AND(M1202&gt;=원인분석!$C$10,M1202&lt;=원인분석!$C$11),"당기",IF(AND(M1202&gt;=원인분석!$C$12,M1202&lt;=원인분석!$C$13),"비교",""))))</f>
        <v/>
      </c>
      <c r="R1202" s="9">
        <f>IF(Q1202="","",$K1202&amp;"")</f>
        <v/>
      </c>
      <c r="S1202" s="9">
        <f>IF(Q1202="","",IF(MATCH(R1202,$R$5:$R$100000,0)=ROW()-4,ROW(),""))</f>
        <v/>
      </c>
      <c r="T1202" s="9">
        <f>IF(Q1202="당기",ABS(P1202)+ROW()/1000000000,"")</f>
        <v/>
      </c>
      <c r="U1202" s="9">
        <f>IF(Q1202="비교",ABS(P1202)+ROW()/1000000000,"")</f>
        <v/>
      </c>
      <c r="V1202" s="39">
        <f>IF($A1202="","",IF(COUNTIF(변동분석!$E$7:$E$506,O1202)&gt;0,"Y","N"))</f>
        <v/>
      </c>
      <c r="W1202" s="39">
        <f>IF($A1202="","",IFERROR(INDEX(계정매핑!$D$5:$D$504,MATCH($F1202&amp;"",계정매핑!$A$5:$A$504,0)),"미매핑"))</f>
        <v/>
      </c>
      <c r="X1202" s="9">
        <f>IF($A1202="","",$F1202&amp;"")</f>
        <v/>
      </c>
    </row>
    <row r="1203">
      <c r="A1203" s="75" t="n">
        <v>2025</v>
      </c>
      <c r="B1203" s="75" t="n">
        <v>7</v>
      </c>
      <c r="C1203" s="75" t="inlineStr">
        <is>
          <t>5100001199</t>
        </is>
      </c>
      <c r="D1203" s="78" t="n">
        <v>45842</v>
      </c>
      <c r="E1203" s="75" t="inlineStr">
        <is>
          <t>KR</t>
        </is>
      </c>
      <c r="F1203" s="75" t="n">
        <v>62501000</v>
      </c>
      <c r="G1203" s="75" t="n">
        <v>1501</v>
      </c>
      <c r="H1203" s="76" t="n">
        <v>530000</v>
      </c>
      <c r="I1203" s="75" t="inlineStr">
        <is>
          <t>7월 회의 다과 - (법인카드)</t>
        </is>
      </c>
      <c r="J1203" s="75" t="inlineStr">
        <is>
          <t>V10008</t>
        </is>
      </c>
      <c r="K1203" s="75" t="inlineStr">
        <is>
          <t>(법인카드)</t>
        </is>
      </c>
      <c r="M1203" s="9">
        <f>IF($A1203="","",VALUE($A1203&amp;"")*12+VALUE($B1203&amp;""))</f>
        <v/>
      </c>
      <c r="N1203" s="39">
        <f>IF($A1203="","",IFERROR(INDEX(부서매핑!$C$5:$C$504,MATCH($G1203&amp;"",부서매핑!$A$5:$A$504,0)),"미매핑"))</f>
        <v/>
      </c>
      <c r="O1203" s="9">
        <f>IF($A1203="","",N1203&amp;"|"&amp;$F1203)</f>
        <v/>
      </c>
      <c r="P1203" s="77">
        <f>IF($A1203="",0,$H1203*설정!$C$23)</f>
        <v/>
      </c>
      <c r="Q1203" s="39">
        <f>IF($A1203="","",IF(O1203&lt;&gt;원인분석!$C$9,"",IF(AND(M1203&gt;=원인분석!$C$10,M1203&lt;=원인분석!$C$11),"당기",IF(AND(M1203&gt;=원인분석!$C$12,M1203&lt;=원인분석!$C$13),"비교",""))))</f>
        <v/>
      </c>
      <c r="R1203" s="9">
        <f>IF(Q1203="","",$K1203&amp;"")</f>
        <v/>
      </c>
      <c r="S1203" s="9">
        <f>IF(Q1203="","",IF(MATCH(R1203,$R$5:$R$100000,0)=ROW()-4,ROW(),""))</f>
        <v/>
      </c>
      <c r="T1203" s="9">
        <f>IF(Q1203="당기",ABS(P1203)+ROW()/1000000000,"")</f>
        <v/>
      </c>
      <c r="U1203" s="9">
        <f>IF(Q1203="비교",ABS(P1203)+ROW()/1000000000,"")</f>
        <v/>
      </c>
      <c r="V1203" s="39">
        <f>IF($A1203="","",IF(COUNTIF(변동분석!$E$7:$E$506,O1203)&gt;0,"Y","N"))</f>
        <v/>
      </c>
      <c r="W1203" s="39">
        <f>IF($A1203="","",IFERROR(INDEX(계정매핑!$D$5:$D$504,MATCH($F1203&amp;"",계정매핑!$A$5:$A$504,0)),"미매핑"))</f>
        <v/>
      </c>
      <c r="X1203" s="9">
        <f>IF($A1203="","",$F1203&amp;"")</f>
        <v/>
      </c>
    </row>
    <row r="1204">
      <c r="A1204" s="75" t="n">
        <v>2025</v>
      </c>
      <c r="B1204" s="75" t="n">
        <v>7</v>
      </c>
      <c r="C1204" s="75" t="inlineStr">
        <is>
          <t>5100001200</t>
        </is>
      </c>
      <c r="D1204" s="78" t="n">
        <v>45842</v>
      </c>
      <c r="E1204" s="75" t="inlineStr">
        <is>
          <t>KR</t>
        </is>
      </c>
      <c r="F1204" s="75" t="n">
        <v>62902000</v>
      </c>
      <c r="G1204" s="75" t="n">
        <v>1801</v>
      </c>
      <c r="H1204" s="76" t="n">
        <v>1761000</v>
      </c>
      <c r="I1204" s="75" t="inlineStr">
        <is>
          <t>7월 콜 위탁 수수료(건별)</t>
        </is>
      </c>
      <c r="J1204" s="75" t="inlineStr">
        <is>
          <t>V10013</t>
        </is>
      </c>
      <c r="K1204" s="75" t="inlineStr">
        <is>
          <t>J콜센터</t>
        </is>
      </c>
      <c r="M1204" s="9">
        <f>IF($A1204="","",VALUE($A1204&amp;"")*12+VALUE($B1204&amp;""))</f>
        <v/>
      </c>
      <c r="N1204" s="39">
        <f>IF($A1204="","",IFERROR(INDEX(부서매핑!$C$5:$C$504,MATCH($G1204&amp;"",부서매핑!$A$5:$A$504,0)),"미매핑"))</f>
        <v/>
      </c>
      <c r="O1204" s="9">
        <f>IF($A1204="","",N1204&amp;"|"&amp;$F1204)</f>
        <v/>
      </c>
      <c r="P1204" s="77">
        <f>IF($A1204="",0,$H1204*설정!$C$23)</f>
        <v/>
      </c>
      <c r="Q1204" s="39">
        <f>IF($A1204="","",IF(O1204&lt;&gt;원인분석!$C$9,"",IF(AND(M1204&gt;=원인분석!$C$10,M1204&lt;=원인분석!$C$11),"당기",IF(AND(M1204&gt;=원인분석!$C$12,M1204&lt;=원인분석!$C$13),"비교",""))))</f>
        <v/>
      </c>
      <c r="R1204" s="9">
        <f>IF(Q1204="","",$K1204&amp;"")</f>
        <v/>
      </c>
      <c r="S1204" s="9">
        <f>IF(Q1204="","",IF(MATCH(R1204,$R$5:$R$100000,0)=ROW()-4,ROW(),""))</f>
        <v/>
      </c>
      <c r="T1204" s="9">
        <f>IF(Q1204="당기",ABS(P1204)+ROW()/1000000000,"")</f>
        <v/>
      </c>
      <c r="U1204" s="9">
        <f>IF(Q1204="비교",ABS(P1204)+ROW()/1000000000,"")</f>
        <v/>
      </c>
      <c r="V1204" s="39">
        <f>IF($A1204="","",IF(COUNTIF(변동분석!$E$7:$E$506,O1204)&gt;0,"Y","N"))</f>
        <v/>
      </c>
      <c r="W1204" s="39">
        <f>IF($A1204="","",IFERROR(INDEX(계정매핑!$D$5:$D$504,MATCH($F1204&amp;"",계정매핑!$A$5:$A$504,0)),"미매핑"))</f>
        <v/>
      </c>
      <c r="X1204" s="9">
        <f>IF($A1204="","",$F1204&amp;"")</f>
        <v/>
      </c>
    </row>
    <row r="1205">
      <c r="A1205" s="75" t="n">
        <v>2025</v>
      </c>
      <c r="B1205" s="75" t="n">
        <v>7</v>
      </c>
      <c r="C1205" s="75" t="inlineStr">
        <is>
          <t>5100001201</t>
        </is>
      </c>
      <c r="D1205" s="78" t="n">
        <v>45843</v>
      </c>
      <c r="E1205" s="75" t="inlineStr">
        <is>
          <t>KR</t>
        </is>
      </c>
      <c r="F1205" s="75" t="n">
        <v>62102000</v>
      </c>
      <c r="G1205" s="75" t="n">
        <v>1502</v>
      </c>
      <c r="H1205" s="76" t="n">
        <v>228000</v>
      </c>
      <c r="I1205" s="75" t="inlineStr">
        <is>
          <t>7월 해외출장 - M항공</t>
        </is>
      </c>
      <c r="J1205" s="75" t="inlineStr">
        <is>
          <t>V10001</t>
        </is>
      </c>
      <c r="K1205" s="75" t="inlineStr">
        <is>
          <t>M항공</t>
        </is>
      </c>
      <c r="M1205" s="9">
        <f>IF($A1205="","",VALUE($A1205&amp;"")*12+VALUE($B1205&amp;""))</f>
        <v/>
      </c>
      <c r="N1205" s="39">
        <f>IF($A1205="","",IFERROR(INDEX(부서매핑!$C$5:$C$504,MATCH($G1205&amp;"",부서매핑!$A$5:$A$504,0)),"미매핑"))</f>
        <v/>
      </c>
      <c r="O1205" s="9">
        <f>IF($A1205="","",N1205&amp;"|"&amp;$F1205)</f>
        <v/>
      </c>
      <c r="P1205" s="77">
        <f>IF($A1205="",0,$H1205*설정!$C$23)</f>
        <v/>
      </c>
      <c r="Q1205" s="39">
        <f>IF($A1205="","",IF(O1205&lt;&gt;원인분석!$C$9,"",IF(AND(M1205&gt;=원인분석!$C$10,M1205&lt;=원인분석!$C$11),"당기",IF(AND(M1205&gt;=원인분석!$C$12,M1205&lt;=원인분석!$C$13),"비교",""))))</f>
        <v/>
      </c>
      <c r="R1205" s="9">
        <f>IF(Q1205="","",$K1205&amp;"")</f>
        <v/>
      </c>
      <c r="S1205" s="9">
        <f>IF(Q1205="","",IF(MATCH(R1205,$R$5:$R$100000,0)=ROW()-4,ROW(),""))</f>
        <v/>
      </c>
      <c r="T1205" s="9">
        <f>IF(Q1205="당기",ABS(P1205)+ROW()/1000000000,"")</f>
        <v/>
      </c>
      <c r="U1205" s="9">
        <f>IF(Q1205="비교",ABS(P1205)+ROW()/1000000000,"")</f>
        <v/>
      </c>
      <c r="V1205" s="39">
        <f>IF($A1205="","",IF(COUNTIF(변동분석!$E$7:$E$506,O1205)&gt;0,"Y","N"))</f>
        <v/>
      </c>
      <c r="W1205" s="39">
        <f>IF($A1205="","",IFERROR(INDEX(계정매핑!$D$5:$D$504,MATCH($F1205&amp;"",계정매핑!$A$5:$A$504,0)),"미매핑"))</f>
        <v/>
      </c>
      <c r="X1205" s="9">
        <f>IF($A1205="","",$F1205&amp;"")</f>
        <v/>
      </c>
    </row>
    <row r="1206">
      <c r="A1206" s="75" t="n">
        <v>2025</v>
      </c>
      <c r="B1206" s="75" t="n">
        <v>7</v>
      </c>
      <c r="C1206" s="75" t="inlineStr">
        <is>
          <t>5100001202</t>
        </is>
      </c>
      <c r="D1206" s="78" t="n">
        <v>45843</v>
      </c>
      <c r="E1206" s="75" t="inlineStr">
        <is>
          <t>KR</t>
        </is>
      </c>
      <c r="F1206" s="75" t="n">
        <v>62201000</v>
      </c>
      <c r="G1206" s="75" t="n">
        <v>1101</v>
      </c>
      <c r="H1206" s="76" t="n">
        <v>296000</v>
      </c>
      <c r="I1206" s="75" t="inlineStr">
        <is>
          <t>7월 통신요금 - O텔레콤</t>
        </is>
      </c>
      <c r="J1206" s="75" t="inlineStr">
        <is>
          <t>V10002</t>
        </is>
      </c>
      <c r="K1206" s="75" t="inlineStr">
        <is>
          <t>O텔레콤</t>
        </is>
      </c>
      <c r="M1206" s="9">
        <f>IF($A1206="","",VALUE($A1206&amp;"")*12+VALUE($B1206&amp;""))</f>
        <v/>
      </c>
      <c r="N1206" s="39">
        <f>IF($A1206="","",IFERROR(INDEX(부서매핑!$C$5:$C$504,MATCH($G1206&amp;"",부서매핑!$A$5:$A$504,0)),"미매핑"))</f>
        <v/>
      </c>
      <c r="O1206" s="9">
        <f>IF($A1206="","",N1206&amp;"|"&amp;$F1206)</f>
        <v/>
      </c>
      <c r="P1206" s="77">
        <f>IF($A1206="",0,$H1206*설정!$C$23)</f>
        <v/>
      </c>
      <c r="Q1206" s="39">
        <f>IF($A1206="","",IF(O1206&lt;&gt;원인분석!$C$9,"",IF(AND(M1206&gt;=원인분석!$C$10,M1206&lt;=원인분석!$C$11),"당기",IF(AND(M1206&gt;=원인분석!$C$12,M1206&lt;=원인분석!$C$13),"비교",""))))</f>
        <v/>
      </c>
      <c r="R1206" s="9">
        <f>IF(Q1206="","",$K1206&amp;"")</f>
        <v/>
      </c>
      <c r="S1206" s="9">
        <f>IF(Q1206="","",IF(MATCH(R1206,$R$5:$R$100000,0)=ROW()-4,ROW(),""))</f>
        <v/>
      </c>
      <c r="T1206" s="9">
        <f>IF(Q1206="당기",ABS(P1206)+ROW()/1000000000,"")</f>
        <v/>
      </c>
      <c r="U1206" s="9">
        <f>IF(Q1206="비교",ABS(P1206)+ROW()/1000000000,"")</f>
        <v/>
      </c>
      <c r="V1206" s="39">
        <f>IF($A1206="","",IF(COUNTIF(변동분석!$E$7:$E$506,O1206)&gt;0,"Y","N"))</f>
        <v/>
      </c>
      <c r="W1206" s="39">
        <f>IF($A1206="","",IFERROR(INDEX(계정매핑!$D$5:$D$504,MATCH($F1206&amp;"",계정매핑!$A$5:$A$504,0)),"미매핑"))</f>
        <v/>
      </c>
      <c r="X1206" s="9">
        <f>IF($A1206="","",$F1206&amp;"")</f>
        <v/>
      </c>
    </row>
    <row r="1207">
      <c r="A1207" s="75" t="n">
        <v>2025</v>
      </c>
      <c r="B1207" s="75" t="n">
        <v>7</v>
      </c>
      <c r="C1207" s="75" t="inlineStr">
        <is>
          <t>5100001203</t>
        </is>
      </c>
      <c r="D1207" s="78" t="n">
        <v>45843</v>
      </c>
      <c r="E1207" s="75" t="inlineStr">
        <is>
          <t>KR</t>
        </is>
      </c>
      <c r="F1207" s="75" t="n">
        <v>62201000</v>
      </c>
      <c r="G1207" s="75" t="n">
        <v>1701</v>
      </c>
      <c r="H1207" s="76" t="n">
        <v>4474000</v>
      </c>
      <c r="I1207" s="75" t="inlineStr">
        <is>
          <t>7월 통신요금 - O텔레콤</t>
        </is>
      </c>
      <c r="J1207" s="75" t="inlineStr">
        <is>
          <t>V10002</t>
        </is>
      </c>
      <c r="K1207" s="75" t="inlineStr">
        <is>
          <t>O텔레콤</t>
        </is>
      </c>
      <c r="M1207" s="9">
        <f>IF($A1207="","",VALUE($A1207&amp;"")*12+VALUE($B1207&amp;""))</f>
        <v/>
      </c>
      <c r="N1207" s="39">
        <f>IF($A1207="","",IFERROR(INDEX(부서매핑!$C$5:$C$504,MATCH($G1207&amp;"",부서매핑!$A$5:$A$504,0)),"미매핑"))</f>
        <v/>
      </c>
      <c r="O1207" s="9">
        <f>IF($A1207="","",N1207&amp;"|"&amp;$F1207)</f>
        <v/>
      </c>
      <c r="P1207" s="77">
        <f>IF($A1207="",0,$H1207*설정!$C$23)</f>
        <v/>
      </c>
      <c r="Q1207" s="39">
        <f>IF($A1207="","",IF(O1207&lt;&gt;원인분석!$C$9,"",IF(AND(M1207&gt;=원인분석!$C$10,M1207&lt;=원인분석!$C$11),"당기",IF(AND(M1207&gt;=원인분석!$C$12,M1207&lt;=원인분석!$C$13),"비교",""))))</f>
        <v/>
      </c>
      <c r="R1207" s="9">
        <f>IF(Q1207="","",$K1207&amp;"")</f>
        <v/>
      </c>
      <c r="S1207" s="9">
        <f>IF(Q1207="","",IF(MATCH(R1207,$R$5:$R$100000,0)=ROW()-4,ROW(),""))</f>
        <v/>
      </c>
      <c r="T1207" s="9">
        <f>IF(Q1207="당기",ABS(P1207)+ROW()/1000000000,"")</f>
        <v/>
      </c>
      <c r="U1207" s="9">
        <f>IF(Q1207="비교",ABS(P1207)+ROW()/1000000000,"")</f>
        <v/>
      </c>
      <c r="V1207" s="39">
        <f>IF($A1207="","",IF(COUNTIF(변동분석!$E$7:$E$506,O1207)&gt;0,"Y","N"))</f>
        <v/>
      </c>
      <c r="W1207" s="39">
        <f>IF($A1207="","",IFERROR(INDEX(계정매핑!$D$5:$D$504,MATCH($F1207&amp;"",계정매핑!$A$5:$A$504,0)),"미매핑"))</f>
        <v/>
      </c>
      <c r="X1207" s="9">
        <f>IF($A1207="","",$F1207&amp;"")</f>
        <v/>
      </c>
    </row>
    <row r="1208">
      <c r="A1208" s="75" t="n">
        <v>2025</v>
      </c>
      <c r="B1208" s="75" t="n">
        <v>7</v>
      </c>
      <c r="C1208" s="75" t="inlineStr">
        <is>
          <t>5100001204</t>
        </is>
      </c>
      <c r="D1208" s="78" t="n">
        <v>45843</v>
      </c>
      <c r="E1208" s="75" t="inlineStr">
        <is>
          <t>KR</t>
        </is>
      </c>
      <c r="F1208" s="75" t="n">
        <v>62301000</v>
      </c>
      <c r="G1208" s="75" t="n">
        <v>1401</v>
      </c>
      <c r="H1208" s="76" t="n">
        <v>133000</v>
      </c>
      <c r="I1208" s="75" t="inlineStr">
        <is>
          <t>7월 소모품 구입 - R문구</t>
        </is>
      </c>
      <c r="J1208" s="75" t="inlineStr">
        <is>
          <t>V10018</t>
        </is>
      </c>
      <c r="K1208" s="75" t="inlineStr">
        <is>
          <t>R문구</t>
        </is>
      </c>
      <c r="M1208" s="9">
        <f>IF($A1208="","",VALUE($A1208&amp;"")*12+VALUE($B1208&amp;""))</f>
        <v/>
      </c>
      <c r="N1208" s="39">
        <f>IF($A1208="","",IFERROR(INDEX(부서매핑!$C$5:$C$504,MATCH($G1208&amp;"",부서매핑!$A$5:$A$504,0)),"미매핑"))</f>
        <v/>
      </c>
      <c r="O1208" s="9">
        <f>IF($A1208="","",N1208&amp;"|"&amp;$F1208)</f>
        <v/>
      </c>
      <c r="P1208" s="77">
        <f>IF($A1208="",0,$H1208*설정!$C$23)</f>
        <v/>
      </c>
      <c r="Q1208" s="39">
        <f>IF($A1208="","",IF(O1208&lt;&gt;원인분석!$C$9,"",IF(AND(M1208&gt;=원인분석!$C$10,M1208&lt;=원인분석!$C$11),"당기",IF(AND(M1208&gt;=원인분석!$C$12,M1208&lt;=원인분석!$C$13),"비교",""))))</f>
        <v/>
      </c>
      <c r="R1208" s="9">
        <f>IF(Q1208="","",$K1208&amp;"")</f>
        <v/>
      </c>
      <c r="S1208" s="9">
        <f>IF(Q1208="","",IF(MATCH(R1208,$R$5:$R$100000,0)=ROW()-4,ROW(),""))</f>
        <v/>
      </c>
      <c r="T1208" s="9">
        <f>IF(Q1208="당기",ABS(P1208)+ROW()/1000000000,"")</f>
        <v/>
      </c>
      <c r="U1208" s="9">
        <f>IF(Q1208="비교",ABS(P1208)+ROW()/1000000000,"")</f>
        <v/>
      </c>
      <c r="V1208" s="39">
        <f>IF($A1208="","",IF(COUNTIF(변동분석!$E$7:$E$506,O1208)&gt;0,"Y","N"))</f>
        <v/>
      </c>
      <c r="W1208" s="39">
        <f>IF($A1208="","",IFERROR(INDEX(계정매핑!$D$5:$D$504,MATCH($F1208&amp;"",계정매핑!$A$5:$A$504,0)),"미매핑"))</f>
        <v/>
      </c>
      <c r="X1208" s="9">
        <f>IF($A1208="","",$F1208&amp;"")</f>
        <v/>
      </c>
    </row>
    <row r="1209">
      <c r="A1209" s="75" t="n">
        <v>2025</v>
      </c>
      <c r="B1209" s="75" t="n">
        <v>7</v>
      </c>
      <c r="C1209" s="75" t="inlineStr">
        <is>
          <t>5100001205</t>
        </is>
      </c>
      <c r="D1209" s="78" t="n">
        <v>45843</v>
      </c>
      <c r="E1209" s="75" t="inlineStr">
        <is>
          <t>KR</t>
        </is>
      </c>
      <c r="F1209" s="75" t="n">
        <v>62501000</v>
      </c>
      <c r="G1209" s="75" t="n">
        <v>1201</v>
      </c>
      <c r="H1209" s="76" t="n">
        <v>205000</v>
      </c>
      <c r="I1209" s="75" t="inlineStr">
        <is>
          <t>7월 회의 다과 - T케이터링</t>
        </is>
      </c>
      <c r="J1209" s="75" t="inlineStr">
        <is>
          <t>V10005</t>
        </is>
      </c>
      <c r="K1209" s="75" t="inlineStr">
        <is>
          <t>T케이터링</t>
        </is>
      </c>
      <c r="M1209" s="9">
        <f>IF($A1209="","",VALUE($A1209&amp;"")*12+VALUE($B1209&amp;""))</f>
        <v/>
      </c>
      <c r="N1209" s="39">
        <f>IF($A1209="","",IFERROR(INDEX(부서매핑!$C$5:$C$504,MATCH($G1209&amp;"",부서매핑!$A$5:$A$504,0)),"미매핑"))</f>
        <v/>
      </c>
      <c r="O1209" s="9">
        <f>IF($A1209="","",N1209&amp;"|"&amp;$F1209)</f>
        <v/>
      </c>
      <c r="P1209" s="77">
        <f>IF($A1209="",0,$H1209*설정!$C$23)</f>
        <v/>
      </c>
      <c r="Q1209" s="39">
        <f>IF($A1209="","",IF(O1209&lt;&gt;원인분석!$C$9,"",IF(AND(M1209&gt;=원인분석!$C$10,M1209&lt;=원인분석!$C$11),"당기",IF(AND(M1209&gt;=원인분석!$C$12,M1209&lt;=원인분석!$C$13),"비교",""))))</f>
        <v/>
      </c>
      <c r="R1209" s="9">
        <f>IF(Q1209="","",$K1209&amp;"")</f>
        <v/>
      </c>
      <c r="S1209" s="9">
        <f>IF(Q1209="","",IF(MATCH(R1209,$R$5:$R$100000,0)=ROW()-4,ROW(),""))</f>
        <v/>
      </c>
      <c r="T1209" s="9">
        <f>IF(Q1209="당기",ABS(P1209)+ROW()/1000000000,"")</f>
        <v/>
      </c>
      <c r="U1209" s="9">
        <f>IF(Q1209="비교",ABS(P1209)+ROW()/1000000000,"")</f>
        <v/>
      </c>
      <c r="V1209" s="39">
        <f>IF($A1209="","",IF(COUNTIF(변동분석!$E$7:$E$506,O1209)&gt;0,"Y","N"))</f>
        <v/>
      </c>
      <c r="W1209" s="39">
        <f>IF($A1209="","",IFERROR(INDEX(계정매핑!$D$5:$D$504,MATCH($F1209&amp;"",계정매핑!$A$5:$A$504,0)),"미매핑"))</f>
        <v/>
      </c>
      <c r="X1209" s="9">
        <f>IF($A1209="","",$F1209&amp;"")</f>
        <v/>
      </c>
    </row>
    <row r="1210">
      <c r="A1210" s="75" t="n">
        <v>2025</v>
      </c>
      <c r="B1210" s="75" t="n">
        <v>7</v>
      </c>
      <c r="C1210" s="75" t="inlineStr">
        <is>
          <t>5100001206</t>
        </is>
      </c>
      <c r="D1210" s="78" t="n">
        <v>45844</v>
      </c>
      <c r="E1210" s="75" t="inlineStr">
        <is>
          <t>KR</t>
        </is>
      </c>
      <c r="F1210" s="75" t="n">
        <v>62101000</v>
      </c>
      <c r="G1210" s="75" t="n">
        <v>1101</v>
      </c>
      <c r="H1210" s="76" t="n">
        <v>311000</v>
      </c>
      <c r="I1210" s="75" t="inlineStr">
        <is>
          <t>7월 국내출장 - M항공</t>
        </is>
      </c>
      <c r="J1210" s="75" t="inlineStr">
        <is>
          <t>V10001</t>
        </is>
      </c>
      <c r="K1210" s="75" t="inlineStr">
        <is>
          <t>M항공</t>
        </is>
      </c>
      <c r="M1210" s="9">
        <f>IF($A1210="","",VALUE($A1210&amp;"")*12+VALUE($B1210&amp;""))</f>
        <v/>
      </c>
      <c r="N1210" s="39">
        <f>IF($A1210="","",IFERROR(INDEX(부서매핑!$C$5:$C$504,MATCH($G1210&amp;"",부서매핑!$A$5:$A$504,0)),"미매핑"))</f>
        <v/>
      </c>
      <c r="O1210" s="9">
        <f>IF($A1210="","",N1210&amp;"|"&amp;$F1210)</f>
        <v/>
      </c>
      <c r="P1210" s="77">
        <f>IF($A1210="",0,$H1210*설정!$C$23)</f>
        <v/>
      </c>
      <c r="Q1210" s="39">
        <f>IF($A1210="","",IF(O1210&lt;&gt;원인분석!$C$9,"",IF(AND(M1210&gt;=원인분석!$C$10,M1210&lt;=원인분석!$C$11),"당기",IF(AND(M1210&gt;=원인분석!$C$12,M1210&lt;=원인분석!$C$13),"비교",""))))</f>
        <v/>
      </c>
      <c r="R1210" s="9">
        <f>IF(Q1210="","",$K1210&amp;"")</f>
        <v/>
      </c>
      <c r="S1210" s="9">
        <f>IF(Q1210="","",IF(MATCH(R1210,$R$5:$R$100000,0)=ROW()-4,ROW(),""))</f>
        <v/>
      </c>
      <c r="T1210" s="9">
        <f>IF(Q1210="당기",ABS(P1210)+ROW()/1000000000,"")</f>
        <v/>
      </c>
      <c r="U1210" s="9">
        <f>IF(Q1210="비교",ABS(P1210)+ROW()/1000000000,"")</f>
        <v/>
      </c>
      <c r="V1210" s="39">
        <f>IF($A1210="","",IF(COUNTIF(변동분석!$E$7:$E$506,O1210)&gt;0,"Y","N"))</f>
        <v/>
      </c>
      <c r="W1210" s="39">
        <f>IF($A1210="","",IFERROR(INDEX(계정매핑!$D$5:$D$504,MATCH($F1210&amp;"",계정매핑!$A$5:$A$504,0)),"미매핑"))</f>
        <v/>
      </c>
      <c r="X1210" s="9">
        <f>IF($A1210="","",$F1210&amp;"")</f>
        <v/>
      </c>
    </row>
    <row r="1211">
      <c r="A1211" s="75" t="n">
        <v>2025</v>
      </c>
      <c r="B1211" s="75" t="n">
        <v>7</v>
      </c>
      <c r="C1211" s="75" t="inlineStr">
        <is>
          <t>5100001207</t>
        </is>
      </c>
      <c r="D1211" s="78" t="n">
        <v>45844</v>
      </c>
      <c r="E1211" s="75" t="inlineStr">
        <is>
          <t>KR</t>
        </is>
      </c>
      <c r="F1211" s="75" t="n">
        <v>62101000</v>
      </c>
      <c r="G1211" s="75" t="n">
        <v>1501</v>
      </c>
      <c r="H1211" s="76" t="n">
        <v>442000</v>
      </c>
      <c r="I1211" s="75" t="inlineStr">
        <is>
          <t>7월 국내출장 - L여행사</t>
        </is>
      </c>
      <c r="J1211" s="75" t="inlineStr">
        <is>
          <t>V10014</t>
        </is>
      </c>
      <c r="K1211" s="75" t="inlineStr">
        <is>
          <t>L여행사</t>
        </is>
      </c>
      <c r="M1211" s="9">
        <f>IF($A1211="","",VALUE($A1211&amp;"")*12+VALUE($B1211&amp;""))</f>
        <v/>
      </c>
      <c r="N1211" s="39">
        <f>IF($A1211="","",IFERROR(INDEX(부서매핑!$C$5:$C$504,MATCH($G1211&amp;"",부서매핑!$A$5:$A$504,0)),"미매핑"))</f>
        <v/>
      </c>
      <c r="O1211" s="9">
        <f>IF($A1211="","",N1211&amp;"|"&amp;$F1211)</f>
        <v/>
      </c>
      <c r="P1211" s="77">
        <f>IF($A1211="",0,$H1211*설정!$C$23)</f>
        <v/>
      </c>
      <c r="Q1211" s="39">
        <f>IF($A1211="","",IF(O1211&lt;&gt;원인분석!$C$9,"",IF(AND(M1211&gt;=원인분석!$C$10,M1211&lt;=원인분석!$C$11),"당기",IF(AND(M1211&gt;=원인분석!$C$12,M1211&lt;=원인분석!$C$13),"비교",""))))</f>
        <v/>
      </c>
      <c r="R1211" s="9">
        <f>IF(Q1211="","",$K1211&amp;"")</f>
        <v/>
      </c>
      <c r="S1211" s="9">
        <f>IF(Q1211="","",IF(MATCH(R1211,$R$5:$R$100000,0)=ROW()-4,ROW(),""))</f>
        <v/>
      </c>
      <c r="T1211" s="9">
        <f>IF(Q1211="당기",ABS(P1211)+ROW()/1000000000,"")</f>
        <v/>
      </c>
      <c r="U1211" s="9">
        <f>IF(Q1211="비교",ABS(P1211)+ROW()/1000000000,"")</f>
        <v/>
      </c>
      <c r="V1211" s="39">
        <f>IF($A1211="","",IF(COUNTIF(변동분석!$E$7:$E$506,O1211)&gt;0,"Y","N"))</f>
        <v/>
      </c>
      <c r="W1211" s="39">
        <f>IF($A1211="","",IFERROR(INDEX(계정매핑!$D$5:$D$504,MATCH($F1211&amp;"",계정매핑!$A$5:$A$504,0)),"미매핑"))</f>
        <v/>
      </c>
      <c r="X1211" s="9">
        <f>IF($A1211="","",$F1211&amp;"")</f>
        <v/>
      </c>
    </row>
    <row r="1212">
      <c r="A1212" s="75" t="n">
        <v>2025</v>
      </c>
      <c r="B1212" s="75" t="n">
        <v>7</v>
      </c>
      <c r="C1212" s="75" t="inlineStr">
        <is>
          <t>5100001208</t>
        </is>
      </c>
      <c r="D1212" s="78" t="n">
        <v>45844</v>
      </c>
      <c r="E1212" s="75" t="inlineStr">
        <is>
          <t>KR</t>
        </is>
      </c>
      <c r="F1212" s="75" t="n">
        <v>62101000</v>
      </c>
      <c r="G1212" s="75" t="n">
        <v>1601</v>
      </c>
      <c r="H1212" s="76" t="n">
        <v>916000</v>
      </c>
      <c r="I1212" s="75" t="inlineStr">
        <is>
          <t>7월 국내출장 - M항공</t>
        </is>
      </c>
      <c r="J1212" s="75" t="inlineStr">
        <is>
          <t>V10001</t>
        </is>
      </c>
      <c r="K1212" s="75" t="inlineStr">
        <is>
          <t>M항공</t>
        </is>
      </c>
      <c r="M1212" s="9">
        <f>IF($A1212="","",VALUE($A1212&amp;"")*12+VALUE($B1212&amp;""))</f>
        <v/>
      </c>
      <c r="N1212" s="39">
        <f>IF($A1212="","",IFERROR(INDEX(부서매핑!$C$5:$C$504,MATCH($G1212&amp;"",부서매핑!$A$5:$A$504,0)),"미매핑"))</f>
        <v/>
      </c>
      <c r="O1212" s="9">
        <f>IF($A1212="","",N1212&amp;"|"&amp;$F1212)</f>
        <v/>
      </c>
      <c r="P1212" s="77">
        <f>IF($A1212="",0,$H1212*설정!$C$23)</f>
        <v/>
      </c>
      <c r="Q1212" s="39">
        <f>IF($A1212="","",IF(O1212&lt;&gt;원인분석!$C$9,"",IF(AND(M1212&gt;=원인분석!$C$10,M1212&lt;=원인분석!$C$11),"당기",IF(AND(M1212&gt;=원인분석!$C$12,M1212&lt;=원인분석!$C$13),"비교",""))))</f>
        <v/>
      </c>
      <c r="R1212" s="9">
        <f>IF(Q1212="","",$K1212&amp;"")</f>
        <v/>
      </c>
      <c r="S1212" s="9">
        <f>IF(Q1212="","",IF(MATCH(R1212,$R$5:$R$100000,0)=ROW()-4,ROW(),""))</f>
        <v/>
      </c>
      <c r="T1212" s="9">
        <f>IF(Q1212="당기",ABS(P1212)+ROW()/1000000000,"")</f>
        <v/>
      </c>
      <c r="U1212" s="9">
        <f>IF(Q1212="비교",ABS(P1212)+ROW()/1000000000,"")</f>
        <v/>
      </c>
      <c r="V1212" s="39">
        <f>IF($A1212="","",IF(COUNTIF(변동분석!$E$7:$E$506,O1212)&gt;0,"Y","N"))</f>
        <v/>
      </c>
      <c r="W1212" s="39">
        <f>IF($A1212="","",IFERROR(INDEX(계정매핑!$D$5:$D$504,MATCH($F1212&amp;"",계정매핑!$A$5:$A$504,0)),"미매핑"))</f>
        <v/>
      </c>
      <c r="X1212" s="9">
        <f>IF($A1212="","",$F1212&amp;"")</f>
        <v/>
      </c>
    </row>
    <row r="1213">
      <c r="A1213" s="75" t="n">
        <v>2025</v>
      </c>
      <c r="B1213" s="75" t="n">
        <v>7</v>
      </c>
      <c r="C1213" s="75" t="inlineStr">
        <is>
          <t>5100001209</t>
        </is>
      </c>
      <c r="D1213" s="78" t="n">
        <v>45844</v>
      </c>
      <c r="E1213" s="75" t="inlineStr">
        <is>
          <t>KR</t>
        </is>
      </c>
      <c r="F1213" s="75" t="n">
        <v>62201000</v>
      </c>
      <c r="G1213" s="75" t="n">
        <v>1801</v>
      </c>
      <c r="H1213" s="76" t="n">
        <v>3901000</v>
      </c>
      <c r="I1213" s="75" t="inlineStr">
        <is>
          <t>7월 통신요금 - P통신</t>
        </is>
      </c>
      <c r="J1213" s="75" t="inlineStr">
        <is>
          <t>V10011</t>
        </is>
      </c>
      <c r="K1213" s="75" t="inlineStr">
        <is>
          <t>P통신</t>
        </is>
      </c>
      <c r="M1213" s="9">
        <f>IF($A1213="","",VALUE($A1213&amp;"")*12+VALUE($B1213&amp;""))</f>
        <v/>
      </c>
      <c r="N1213" s="39">
        <f>IF($A1213="","",IFERROR(INDEX(부서매핑!$C$5:$C$504,MATCH($G1213&amp;"",부서매핑!$A$5:$A$504,0)),"미매핑"))</f>
        <v/>
      </c>
      <c r="O1213" s="9">
        <f>IF($A1213="","",N1213&amp;"|"&amp;$F1213)</f>
        <v/>
      </c>
      <c r="P1213" s="77">
        <f>IF($A1213="",0,$H1213*설정!$C$23)</f>
        <v/>
      </c>
      <c r="Q1213" s="39">
        <f>IF($A1213="","",IF(O1213&lt;&gt;원인분석!$C$9,"",IF(AND(M1213&gt;=원인분석!$C$10,M1213&lt;=원인분석!$C$11),"당기",IF(AND(M1213&gt;=원인분석!$C$12,M1213&lt;=원인분석!$C$13),"비교",""))))</f>
        <v/>
      </c>
      <c r="R1213" s="9">
        <f>IF(Q1213="","",$K1213&amp;"")</f>
        <v/>
      </c>
      <c r="S1213" s="9">
        <f>IF(Q1213="","",IF(MATCH(R1213,$R$5:$R$100000,0)=ROW()-4,ROW(),""))</f>
        <v/>
      </c>
      <c r="T1213" s="9">
        <f>IF(Q1213="당기",ABS(P1213)+ROW()/1000000000,"")</f>
        <v/>
      </c>
      <c r="U1213" s="9">
        <f>IF(Q1213="비교",ABS(P1213)+ROW()/1000000000,"")</f>
        <v/>
      </c>
      <c r="V1213" s="39">
        <f>IF($A1213="","",IF(COUNTIF(변동분석!$E$7:$E$506,O1213)&gt;0,"Y","N"))</f>
        <v/>
      </c>
      <c r="W1213" s="39">
        <f>IF($A1213="","",IFERROR(INDEX(계정매핑!$D$5:$D$504,MATCH($F1213&amp;"",계정매핑!$A$5:$A$504,0)),"미매핑"))</f>
        <v/>
      </c>
      <c r="X1213" s="9">
        <f>IF($A1213="","",$F1213&amp;"")</f>
        <v/>
      </c>
    </row>
    <row r="1214">
      <c r="A1214" s="75" t="n">
        <v>2025</v>
      </c>
      <c r="B1214" s="75" t="n">
        <v>7</v>
      </c>
      <c r="C1214" s="75" t="inlineStr">
        <is>
          <t>5100001210</t>
        </is>
      </c>
      <c r="D1214" s="78" t="n">
        <v>45844</v>
      </c>
      <c r="E1214" s="75" t="inlineStr">
        <is>
          <t>KR</t>
        </is>
      </c>
      <c r="F1214" s="75" t="n">
        <v>62301000</v>
      </c>
      <c r="G1214" s="75" t="n">
        <v>1502</v>
      </c>
      <c r="H1214" s="76" t="n">
        <v>147000</v>
      </c>
      <c r="I1214" s="75" t="inlineStr">
        <is>
          <t>7월 소모품 구입 - Q오피스</t>
        </is>
      </c>
      <c r="J1214" s="75" t="inlineStr">
        <is>
          <t>V10003</t>
        </is>
      </c>
      <c r="K1214" s="75" t="inlineStr">
        <is>
          <t>Q오피스</t>
        </is>
      </c>
      <c r="M1214" s="9">
        <f>IF($A1214="","",VALUE($A1214&amp;"")*12+VALUE($B1214&amp;""))</f>
        <v/>
      </c>
      <c r="N1214" s="39">
        <f>IF($A1214="","",IFERROR(INDEX(부서매핑!$C$5:$C$504,MATCH($G1214&amp;"",부서매핑!$A$5:$A$504,0)),"미매핑"))</f>
        <v/>
      </c>
      <c r="O1214" s="9">
        <f>IF($A1214="","",N1214&amp;"|"&amp;$F1214)</f>
        <v/>
      </c>
      <c r="P1214" s="77">
        <f>IF($A1214="",0,$H1214*설정!$C$23)</f>
        <v/>
      </c>
      <c r="Q1214" s="39">
        <f>IF($A1214="","",IF(O1214&lt;&gt;원인분석!$C$9,"",IF(AND(M1214&gt;=원인분석!$C$10,M1214&lt;=원인분석!$C$11),"당기",IF(AND(M1214&gt;=원인분석!$C$12,M1214&lt;=원인분석!$C$13),"비교",""))))</f>
        <v/>
      </c>
      <c r="R1214" s="9">
        <f>IF(Q1214="","",$K1214&amp;"")</f>
        <v/>
      </c>
      <c r="S1214" s="9">
        <f>IF(Q1214="","",IF(MATCH(R1214,$R$5:$R$100000,0)=ROW()-4,ROW(),""))</f>
        <v/>
      </c>
      <c r="T1214" s="9">
        <f>IF(Q1214="당기",ABS(P1214)+ROW()/1000000000,"")</f>
        <v/>
      </c>
      <c r="U1214" s="9">
        <f>IF(Q1214="비교",ABS(P1214)+ROW()/1000000000,"")</f>
        <v/>
      </c>
      <c r="V1214" s="39">
        <f>IF($A1214="","",IF(COUNTIF(변동분석!$E$7:$E$506,O1214)&gt;0,"Y","N"))</f>
        <v/>
      </c>
      <c r="W1214" s="39">
        <f>IF($A1214="","",IFERROR(INDEX(계정매핑!$D$5:$D$504,MATCH($F1214&amp;"",계정매핑!$A$5:$A$504,0)),"미매핑"))</f>
        <v/>
      </c>
      <c r="X1214" s="9">
        <f>IF($A1214="","",$F1214&amp;"")</f>
        <v/>
      </c>
    </row>
    <row r="1215">
      <c r="A1215" s="75" t="n">
        <v>2025</v>
      </c>
      <c r="B1215" s="75" t="n">
        <v>7</v>
      </c>
      <c r="C1215" s="75" t="inlineStr">
        <is>
          <t>5100001211</t>
        </is>
      </c>
      <c r="D1215" s="78" t="n">
        <v>45844</v>
      </c>
      <c r="E1215" s="75" t="inlineStr">
        <is>
          <t>KR</t>
        </is>
      </c>
      <c r="F1215" s="75" t="n">
        <v>62901000</v>
      </c>
      <c r="G1215" s="75" t="n">
        <v>1201</v>
      </c>
      <c r="H1215" s="76" t="n">
        <v>4981000</v>
      </c>
      <c r="I1215" s="75" t="inlineStr">
        <is>
          <t>7월 자문 수수료 - W컨설팅</t>
        </is>
      </c>
      <c r="J1215" s="75" t="inlineStr">
        <is>
          <t>V10009</t>
        </is>
      </c>
      <c r="K1215" s="75" t="inlineStr">
        <is>
          <t>W컨설팅</t>
        </is>
      </c>
      <c r="M1215" s="9">
        <f>IF($A1215="","",VALUE($A1215&amp;"")*12+VALUE($B1215&amp;""))</f>
        <v/>
      </c>
      <c r="N1215" s="39">
        <f>IF($A1215="","",IFERROR(INDEX(부서매핑!$C$5:$C$504,MATCH($G1215&amp;"",부서매핑!$A$5:$A$504,0)),"미매핑"))</f>
        <v/>
      </c>
      <c r="O1215" s="9">
        <f>IF($A1215="","",N1215&amp;"|"&amp;$F1215)</f>
        <v/>
      </c>
      <c r="P1215" s="77">
        <f>IF($A1215="",0,$H1215*설정!$C$23)</f>
        <v/>
      </c>
      <c r="Q1215" s="39">
        <f>IF($A1215="","",IF(O1215&lt;&gt;원인분석!$C$9,"",IF(AND(M1215&gt;=원인분석!$C$10,M1215&lt;=원인분석!$C$11),"당기",IF(AND(M1215&gt;=원인분석!$C$12,M1215&lt;=원인분석!$C$13),"비교",""))))</f>
        <v/>
      </c>
      <c r="R1215" s="9">
        <f>IF(Q1215="","",$K1215&amp;"")</f>
        <v/>
      </c>
      <c r="S1215" s="9">
        <f>IF(Q1215="","",IF(MATCH(R1215,$R$5:$R$100000,0)=ROW()-4,ROW(),""))</f>
        <v/>
      </c>
      <c r="T1215" s="9">
        <f>IF(Q1215="당기",ABS(P1215)+ROW()/1000000000,"")</f>
        <v/>
      </c>
      <c r="U1215" s="9">
        <f>IF(Q1215="비교",ABS(P1215)+ROW()/1000000000,"")</f>
        <v/>
      </c>
      <c r="V1215" s="39">
        <f>IF($A1215="","",IF(COUNTIF(변동분석!$E$7:$E$506,O1215)&gt;0,"Y","N"))</f>
        <v/>
      </c>
      <c r="W1215" s="39">
        <f>IF($A1215="","",IFERROR(INDEX(계정매핑!$D$5:$D$504,MATCH($F1215&amp;"",계정매핑!$A$5:$A$504,0)),"미매핑"))</f>
        <v/>
      </c>
      <c r="X1215" s="9">
        <f>IF($A1215="","",$F1215&amp;"")</f>
        <v/>
      </c>
    </row>
    <row r="1216">
      <c r="A1216" s="75" t="n">
        <v>2025</v>
      </c>
      <c r="B1216" s="75" t="n">
        <v>7</v>
      </c>
      <c r="C1216" s="75" t="inlineStr">
        <is>
          <t>5100001212</t>
        </is>
      </c>
      <c r="D1216" s="78" t="n">
        <v>45845</v>
      </c>
      <c r="E1216" s="75" t="inlineStr">
        <is>
          <t>KR</t>
        </is>
      </c>
      <c r="F1216" s="75" t="n">
        <v>62101000</v>
      </c>
      <c r="G1216" s="75" t="n">
        <v>1401</v>
      </c>
      <c r="H1216" s="76" t="n">
        <v>325000</v>
      </c>
      <c r="I1216" s="75" t="inlineStr">
        <is>
          <t>7월 국내출장 - (법인카드)</t>
        </is>
      </c>
      <c r="J1216" s="75" t="inlineStr">
        <is>
          <t>V10008</t>
        </is>
      </c>
      <c r="K1216" s="75" t="inlineStr">
        <is>
          <t>(법인카드)</t>
        </is>
      </c>
      <c r="M1216" s="9">
        <f>IF($A1216="","",VALUE($A1216&amp;"")*12+VALUE($B1216&amp;""))</f>
        <v/>
      </c>
      <c r="N1216" s="39">
        <f>IF($A1216="","",IFERROR(INDEX(부서매핑!$C$5:$C$504,MATCH($G1216&amp;"",부서매핑!$A$5:$A$504,0)),"미매핑"))</f>
        <v/>
      </c>
      <c r="O1216" s="9">
        <f>IF($A1216="","",N1216&amp;"|"&amp;$F1216)</f>
        <v/>
      </c>
      <c r="P1216" s="77">
        <f>IF($A1216="",0,$H1216*설정!$C$23)</f>
        <v/>
      </c>
      <c r="Q1216" s="39">
        <f>IF($A1216="","",IF(O1216&lt;&gt;원인분석!$C$9,"",IF(AND(M1216&gt;=원인분석!$C$10,M1216&lt;=원인분석!$C$11),"당기",IF(AND(M1216&gt;=원인분석!$C$12,M1216&lt;=원인분석!$C$13),"비교",""))))</f>
        <v/>
      </c>
      <c r="R1216" s="9">
        <f>IF(Q1216="","",$K1216&amp;"")</f>
        <v/>
      </c>
      <c r="S1216" s="9">
        <f>IF(Q1216="","",IF(MATCH(R1216,$R$5:$R$100000,0)=ROW()-4,ROW(),""))</f>
        <v/>
      </c>
      <c r="T1216" s="9">
        <f>IF(Q1216="당기",ABS(P1216)+ROW()/1000000000,"")</f>
        <v/>
      </c>
      <c r="U1216" s="9">
        <f>IF(Q1216="비교",ABS(P1216)+ROW()/1000000000,"")</f>
        <v/>
      </c>
      <c r="V1216" s="39">
        <f>IF($A1216="","",IF(COUNTIF(변동분석!$E$7:$E$506,O1216)&gt;0,"Y","N"))</f>
        <v/>
      </c>
      <c r="W1216" s="39">
        <f>IF($A1216="","",IFERROR(INDEX(계정매핑!$D$5:$D$504,MATCH($F1216&amp;"",계정매핑!$A$5:$A$504,0)),"미매핑"))</f>
        <v/>
      </c>
      <c r="X1216" s="9">
        <f>IF($A1216="","",$F1216&amp;"")</f>
        <v/>
      </c>
    </row>
    <row r="1217">
      <c r="A1217" s="75" t="n">
        <v>2025</v>
      </c>
      <c r="B1217" s="75" t="n">
        <v>7</v>
      </c>
      <c r="C1217" s="75" t="inlineStr">
        <is>
          <t>5100001213</t>
        </is>
      </c>
      <c r="D1217" s="78" t="n">
        <v>45845</v>
      </c>
      <c r="E1217" s="75" t="inlineStr">
        <is>
          <t>KR</t>
        </is>
      </c>
      <c r="F1217" s="75" t="n">
        <v>62802000</v>
      </c>
      <c r="G1217" s="75" t="n">
        <v>1301</v>
      </c>
      <c r="H1217" s="76" t="n">
        <v>3072000</v>
      </c>
      <c r="I1217" s="75" t="inlineStr">
        <is>
          <t>7월 위탁교육 - V아카데미</t>
        </is>
      </c>
      <c r="J1217" s="75" t="inlineStr">
        <is>
          <t>V10023</t>
        </is>
      </c>
      <c r="K1217" s="75" t="inlineStr">
        <is>
          <t>V아카데미</t>
        </is>
      </c>
      <c r="M1217" s="9">
        <f>IF($A1217="","",VALUE($A1217&amp;"")*12+VALUE($B1217&amp;""))</f>
        <v/>
      </c>
      <c r="N1217" s="39">
        <f>IF($A1217="","",IFERROR(INDEX(부서매핑!$C$5:$C$504,MATCH($G1217&amp;"",부서매핑!$A$5:$A$504,0)),"미매핑"))</f>
        <v/>
      </c>
      <c r="O1217" s="9">
        <f>IF($A1217="","",N1217&amp;"|"&amp;$F1217)</f>
        <v/>
      </c>
      <c r="P1217" s="77">
        <f>IF($A1217="",0,$H1217*설정!$C$23)</f>
        <v/>
      </c>
      <c r="Q1217" s="39">
        <f>IF($A1217="","",IF(O1217&lt;&gt;원인분석!$C$9,"",IF(AND(M1217&gt;=원인분석!$C$10,M1217&lt;=원인분석!$C$11),"당기",IF(AND(M1217&gt;=원인분석!$C$12,M1217&lt;=원인분석!$C$13),"비교",""))))</f>
        <v/>
      </c>
      <c r="R1217" s="9">
        <f>IF(Q1217="","",$K1217&amp;"")</f>
        <v/>
      </c>
      <c r="S1217" s="9">
        <f>IF(Q1217="","",IF(MATCH(R1217,$R$5:$R$100000,0)=ROW()-4,ROW(),""))</f>
        <v/>
      </c>
      <c r="T1217" s="9">
        <f>IF(Q1217="당기",ABS(P1217)+ROW()/1000000000,"")</f>
        <v/>
      </c>
      <c r="U1217" s="9">
        <f>IF(Q1217="비교",ABS(P1217)+ROW()/1000000000,"")</f>
        <v/>
      </c>
      <c r="V1217" s="39">
        <f>IF($A1217="","",IF(COUNTIF(변동분석!$E$7:$E$506,O1217)&gt;0,"Y","N"))</f>
        <v/>
      </c>
      <c r="W1217" s="39">
        <f>IF($A1217="","",IFERROR(INDEX(계정매핑!$D$5:$D$504,MATCH($F1217&amp;"",계정매핑!$A$5:$A$504,0)),"미매핑"))</f>
        <v/>
      </c>
      <c r="X1217" s="9">
        <f>IF($A1217="","",$F1217&amp;"")</f>
        <v/>
      </c>
    </row>
    <row r="1218">
      <c r="A1218" s="75" t="n">
        <v>2025</v>
      </c>
      <c r="B1218" s="75" t="n">
        <v>7</v>
      </c>
      <c r="C1218" s="75" t="inlineStr">
        <is>
          <t>5100001214</t>
        </is>
      </c>
      <c r="D1218" s="78" t="n">
        <v>45845</v>
      </c>
      <c r="E1218" s="75" t="inlineStr">
        <is>
          <t>KR</t>
        </is>
      </c>
      <c r="F1218" s="75" t="n">
        <v>62901000</v>
      </c>
      <c r="G1218" s="75" t="n">
        <v>1101</v>
      </c>
      <c r="H1218" s="76" t="n">
        <v>3528000</v>
      </c>
      <c r="I1218" s="75" t="inlineStr">
        <is>
          <t>7월 자문 수수료 - W컨설팅</t>
        </is>
      </c>
      <c r="J1218" s="75" t="inlineStr">
        <is>
          <t>V10009</t>
        </is>
      </c>
      <c r="K1218" s="75" t="inlineStr">
        <is>
          <t>W컨설팅</t>
        </is>
      </c>
      <c r="M1218" s="9">
        <f>IF($A1218="","",VALUE($A1218&amp;"")*12+VALUE($B1218&amp;""))</f>
        <v/>
      </c>
      <c r="N1218" s="39">
        <f>IF($A1218="","",IFERROR(INDEX(부서매핑!$C$5:$C$504,MATCH($G1218&amp;"",부서매핑!$A$5:$A$504,0)),"미매핑"))</f>
        <v/>
      </c>
      <c r="O1218" s="9">
        <f>IF($A1218="","",N1218&amp;"|"&amp;$F1218)</f>
        <v/>
      </c>
      <c r="P1218" s="77">
        <f>IF($A1218="",0,$H1218*설정!$C$23)</f>
        <v/>
      </c>
      <c r="Q1218" s="39">
        <f>IF($A1218="","",IF(O1218&lt;&gt;원인분석!$C$9,"",IF(AND(M1218&gt;=원인분석!$C$10,M1218&lt;=원인분석!$C$11),"당기",IF(AND(M1218&gt;=원인분석!$C$12,M1218&lt;=원인분석!$C$13),"비교",""))))</f>
        <v/>
      </c>
      <c r="R1218" s="9">
        <f>IF(Q1218="","",$K1218&amp;"")</f>
        <v/>
      </c>
      <c r="S1218" s="9">
        <f>IF(Q1218="","",IF(MATCH(R1218,$R$5:$R$100000,0)=ROW()-4,ROW(),""))</f>
        <v/>
      </c>
      <c r="T1218" s="9">
        <f>IF(Q1218="당기",ABS(P1218)+ROW()/1000000000,"")</f>
        <v/>
      </c>
      <c r="U1218" s="9">
        <f>IF(Q1218="비교",ABS(P1218)+ROW()/1000000000,"")</f>
        <v/>
      </c>
      <c r="V1218" s="39">
        <f>IF($A1218="","",IF(COUNTIF(변동분석!$E$7:$E$506,O1218)&gt;0,"Y","N"))</f>
        <v/>
      </c>
      <c r="W1218" s="39">
        <f>IF($A1218="","",IFERROR(INDEX(계정매핑!$D$5:$D$504,MATCH($F1218&amp;"",계정매핑!$A$5:$A$504,0)),"미매핑"))</f>
        <v/>
      </c>
      <c r="X1218" s="9">
        <f>IF($A1218="","",$F1218&amp;"")</f>
        <v/>
      </c>
    </row>
    <row r="1219">
      <c r="A1219" s="75" t="n">
        <v>2025</v>
      </c>
      <c r="B1219" s="75" t="n">
        <v>7</v>
      </c>
      <c r="C1219" s="75" t="inlineStr">
        <is>
          <t>5100001215</t>
        </is>
      </c>
      <c r="D1219" s="78" t="n">
        <v>45845</v>
      </c>
      <c r="E1219" s="75" t="inlineStr">
        <is>
          <t>KR</t>
        </is>
      </c>
      <c r="F1219" s="75" t="n">
        <v>62902000</v>
      </c>
      <c r="G1219" s="75" t="n">
        <v>1401</v>
      </c>
      <c r="H1219" s="76" t="n">
        <v>1691000</v>
      </c>
      <c r="I1219" s="75" t="inlineStr">
        <is>
          <t>7월 업무 위탁 수수료 - J콜센터</t>
        </is>
      </c>
      <c r="J1219" s="75" t="inlineStr">
        <is>
          <t>V10013</t>
        </is>
      </c>
      <c r="K1219" s="75" t="inlineStr">
        <is>
          <t>J콜센터</t>
        </is>
      </c>
      <c r="M1219" s="9">
        <f>IF($A1219="","",VALUE($A1219&amp;"")*12+VALUE($B1219&amp;""))</f>
        <v/>
      </c>
      <c r="N1219" s="39">
        <f>IF($A1219="","",IFERROR(INDEX(부서매핑!$C$5:$C$504,MATCH($G1219&amp;"",부서매핑!$A$5:$A$504,0)),"미매핑"))</f>
        <v/>
      </c>
      <c r="O1219" s="9">
        <f>IF($A1219="","",N1219&amp;"|"&amp;$F1219)</f>
        <v/>
      </c>
      <c r="P1219" s="77">
        <f>IF($A1219="",0,$H1219*설정!$C$23)</f>
        <v/>
      </c>
      <c r="Q1219" s="39">
        <f>IF($A1219="","",IF(O1219&lt;&gt;원인분석!$C$9,"",IF(AND(M1219&gt;=원인분석!$C$10,M1219&lt;=원인분석!$C$11),"당기",IF(AND(M1219&gt;=원인분석!$C$12,M1219&lt;=원인분석!$C$13),"비교",""))))</f>
        <v/>
      </c>
      <c r="R1219" s="9">
        <f>IF(Q1219="","",$K1219&amp;"")</f>
        <v/>
      </c>
      <c r="S1219" s="9">
        <f>IF(Q1219="","",IF(MATCH(R1219,$R$5:$R$100000,0)=ROW()-4,ROW(),""))</f>
        <v/>
      </c>
      <c r="T1219" s="9">
        <f>IF(Q1219="당기",ABS(P1219)+ROW()/1000000000,"")</f>
        <v/>
      </c>
      <c r="U1219" s="9">
        <f>IF(Q1219="비교",ABS(P1219)+ROW()/1000000000,"")</f>
        <v/>
      </c>
      <c r="V1219" s="39">
        <f>IF($A1219="","",IF(COUNTIF(변동분석!$E$7:$E$506,O1219)&gt;0,"Y","N"))</f>
        <v/>
      </c>
      <c r="W1219" s="39">
        <f>IF($A1219="","",IFERROR(INDEX(계정매핑!$D$5:$D$504,MATCH($F1219&amp;"",계정매핑!$A$5:$A$504,0)),"미매핑"))</f>
        <v/>
      </c>
      <c r="X1219" s="9">
        <f>IF($A1219="","",$F1219&amp;"")</f>
        <v/>
      </c>
    </row>
    <row r="1220">
      <c r="A1220" s="75" t="n">
        <v>2025</v>
      </c>
      <c r="B1220" s="75" t="n">
        <v>7</v>
      </c>
      <c r="C1220" s="75" t="inlineStr">
        <is>
          <t>5100001216</t>
        </is>
      </c>
      <c r="D1220" s="78" t="n">
        <v>45845</v>
      </c>
      <c r="E1220" s="75" t="inlineStr">
        <is>
          <t>KR</t>
        </is>
      </c>
      <c r="F1220" s="75" t="n">
        <v>62902000</v>
      </c>
      <c r="G1220" s="75" t="n">
        <v>1801</v>
      </c>
      <c r="H1220" s="76" t="n">
        <v>1840000</v>
      </c>
      <c r="I1220" s="75" t="inlineStr">
        <is>
          <t>7월 콜 위탁 수수료(건별)</t>
        </is>
      </c>
      <c r="J1220" s="75" t="inlineStr">
        <is>
          <t>V10013</t>
        </is>
      </c>
      <c r="K1220" s="75" t="inlineStr">
        <is>
          <t>J콜센터</t>
        </is>
      </c>
      <c r="M1220" s="9">
        <f>IF($A1220="","",VALUE($A1220&amp;"")*12+VALUE($B1220&amp;""))</f>
        <v/>
      </c>
      <c r="N1220" s="39">
        <f>IF($A1220="","",IFERROR(INDEX(부서매핑!$C$5:$C$504,MATCH($G1220&amp;"",부서매핑!$A$5:$A$504,0)),"미매핑"))</f>
        <v/>
      </c>
      <c r="O1220" s="9">
        <f>IF($A1220="","",N1220&amp;"|"&amp;$F1220)</f>
        <v/>
      </c>
      <c r="P1220" s="77">
        <f>IF($A1220="",0,$H1220*설정!$C$23)</f>
        <v/>
      </c>
      <c r="Q1220" s="39">
        <f>IF($A1220="","",IF(O1220&lt;&gt;원인분석!$C$9,"",IF(AND(M1220&gt;=원인분석!$C$10,M1220&lt;=원인분석!$C$11),"당기",IF(AND(M1220&gt;=원인분석!$C$12,M1220&lt;=원인분석!$C$13),"비교",""))))</f>
        <v/>
      </c>
      <c r="R1220" s="9">
        <f>IF(Q1220="","",$K1220&amp;"")</f>
        <v/>
      </c>
      <c r="S1220" s="9">
        <f>IF(Q1220="","",IF(MATCH(R1220,$R$5:$R$100000,0)=ROW()-4,ROW(),""))</f>
        <v/>
      </c>
      <c r="T1220" s="9">
        <f>IF(Q1220="당기",ABS(P1220)+ROW()/1000000000,"")</f>
        <v/>
      </c>
      <c r="U1220" s="9">
        <f>IF(Q1220="비교",ABS(P1220)+ROW()/1000000000,"")</f>
        <v/>
      </c>
      <c r="V1220" s="39">
        <f>IF($A1220="","",IF(COUNTIF(변동분석!$E$7:$E$506,O1220)&gt;0,"Y","N"))</f>
        <v/>
      </c>
      <c r="W1220" s="39">
        <f>IF($A1220="","",IFERROR(INDEX(계정매핑!$D$5:$D$504,MATCH($F1220&amp;"",계정매핑!$A$5:$A$504,0)),"미매핑"))</f>
        <v/>
      </c>
      <c r="X1220" s="9">
        <f>IF($A1220="","",$F1220&amp;"")</f>
        <v/>
      </c>
    </row>
    <row r="1221">
      <c r="A1221" s="75" t="n">
        <v>2025</v>
      </c>
      <c r="B1221" s="75" t="n">
        <v>7</v>
      </c>
      <c r="C1221" s="75" t="inlineStr">
        <is>
          <t>5100001217</t>
        </is>
      </c>
      <c r="D1221" s="78" t="n">
        <v>45846</v>
      </c>
      <c r="E1221" s="75" t="inlineStr">
        <is>
          <t>KR</t>
        </is>
      </c>
      <c r="F1221" s="75" t="n">
        <v>62101000</v>
      </c>
      <c r="G1221" s="75" t="n">
        <v>1401</v>
      </c>
      <c r="H1221" s="76" t="n">
        <v>472000</v>
      </c>
      <c r="I1221" s="75" t="inlineStr">
        <is>
          <t>7월 국내출장 - L여행사</t>
        </is>
      </c>
      <c r="J1221" s="75" t="inlineStr">
        <is>
          <t>V10014</t>
        </is>
      </c>
      <c r="K1221" s="75" t="inlineStr">
        <is>
          <t>L여행사</t>
        </is>
      </c>
      <c r="M1221" s="9">
        <f>IF($A1221="","",VALUE($A1221&amp;"")*12+VALUE($B1221&amp;""))</f>
        <v/>
      </c>
      <c r="N1221" s="39">
        <f>IF($A1221="","",IFERROR(INDEX(부서매핑!$C$5:$C$504,MATCH($G1221&amp;"",부서매핑!$A$5:$A$504,0)),"미매핑"))</f>
        <v/>
      </c>
      <c r="O1221" s="9">
        <f>IF($A1221="","",N1221&amp;"|"&amp;$F1221)</f>
        <v/>
      </c>
      <c r="P1221" s="77">
        <f>IF($A1221="",0,$H1221*설정!$C$23)</f>
        <v/>
      </c>
      <c r="Q1221" s="39">
        <f>IF($A1221="","",IF(O1221&lt;&gt;원인분석!$C$9,"",IF(AND(M1221&gt;=원인분석!$C$10,M1221&lt;=원인분석!$C$11),"당기",IF(AND(M1221&gt;=원인분석!$C$12,M1221&lt;=원인분석!$C$13),"비교",""))))</f>
        <v/>
      </c>
      <c r="R1221" s="9">
        <f>IF(Q1221="","",$K1221&amp;"")</f>
        <v/>
      </c>
      <c r="S1221" s="9">
        <f>IF(Q1221="","",IF(MATCH(R1221,$R$5:$R$100000,0)=ROW()-4,ROW(),""))</f>
        <v/>
      </c>
      <c r="T1221" s="9">
        <f>IF(Q1221="당기",ABS(P1221)+ROW()/1000000000,"")</f>
        <v/>
      </c>
      <c r="U1221" s="9">
        <f>IF(Q1221="비교",ABS(P1221)+ROW()/1000000000,"")</f>
        <v/>
      </c>
      <c r="V1221" s="39">
        <f>IF($A1221="","",IF(COUNTIF(변동분석!$E$7:$E$506,O1221)&gt;0,"Y","N"))</f>
        <v/>
      </c>
      <c r="W1221" s="39">
        <f>IF($A1221="","",IFERROR(INDEX(계정매핑!$D$5:$D$504,MATCH($F1221&amp;"",계정매핑!$A$5:$A$504,0)),"미매핑"))</f>
        <v/>
      </c>
      <c r="X1221" s="9">
        <f>IF($A1221="","",$F1221&amp;"")</f>
        <v/>
      </c>
    </row>
    <row r="1222">
      <c r="A1222" s="75" t="n">
        <v>2025</v>
      </c>
      <c r="B1222" s="75" t="n">
        <v>7</v>
      </c>
      <c r="C1222" s="75" t="inlineStr">
        <is>
          <t>5100001218</t>
        </is>
      </c>
      <c r="D1222" s="78" t="n">
        <v>45846</v>
      </c>
      <c r="E1222" s="75" t="inlineStr">
        <is>
          <t>KR</t>
        </is>
      </c>
      <c r="F1222" s="75" t="n">
        <v>62101000</v>
      </c>
      <c r="G1222" s="75" t="n">
        <v>1701</v>
      </c>
      <c r="H1222" s="76" t="n">
        <v>241000</v>
      </c>
      <c r="I1222" s="75" t="inlineStr">
        <is>
          <t>7월 국내출장 - (법인카드)</t>
        </is>
      </c>
      <c r="J1222" s="75" t="inlineStr">
        <is>
          <t>V10008</t>
        </is>
      </c>
      <c r="K1222" s="75" t="inlineStr">
        <is>
          <t>(법인카드)</t>
        </is>
      </c>
      <c r="M1222" s="9">
        <f>IF($A1222="","",VALUE($A1222&amp;"")*12+VALUE($B1222&amp;""))</f>
        <v/>
      </c>
      <c r="N1222" s="39">
        <f>IF($A1222="","",IFERROR(INDEX(부서매핑!$C$5:$C$504,MATCH($G1222&amp;"",부서매핑!$A$5:$A$504,0)),"미매핑"))</f>
        <v/>
      </c>
      <c r="O1222" s="9">
        <f>IF($A1222="","",N1222&amp;"|"&amp;$F1222)</f>
        <v/>
      </c>
      <c r="P1222" s="77">
        <f>IF($A1222="",0,$H1222*설정!$C$23)</f>
        <v/>
      </c>
      <c r="Q1222" s="39">
        <f>IF($A1222="","",IF(O1222&lt;&gt;원인분석!$C$9,"",IF(AND(M1222&gt;=원인분석!$C$10,M1222&lt;=원인분석!$C$11),"당기",IF(AND(M1222&gt;=원인분석!$C$12,M1222&lt;=원인분석!$C$13),"비교",""))))</f>
        <v/>
      </c>
      <c r="R1222" s="9">
        <f>IF(Q1222="","",$K1222&amp;"")</f>
        <v/>
      </c>
      <c r="S1222" s="9">
        <f>IF(Q1222="","",IF(MATCH(R1222,$R$5:$R$100000,0)=ROW()-4,ROW(),""))</f>
        <v/>
      </c>
      <c r="T1222" s="9">
        <f>IF(Q1222="당기",ABS(P1222)+ROW()/1000000000,"")</f>
        <v/>
      </c>
      <c r="U1222" s="9">
        <f>IF(Q1222="비교",ABS(P1222)+ROW()/1000000000,"")</f>
        <v/>
      </c>
      <c r="V1222" s="39">
        <f>IF($A1222="","",IF(COUNTIF(변동분석!$E$7:$E$506,O1222)&gt;0,"Y","N"))</f>
        <v/>
      </c>
      <c r="W1222" s="39">
        <f>IF($A1222="","",IFERROR(INDEX(계정매핑!$D$5:$D$504,MATCH($F1222&amp;"",계정매핑!$A$5:$A$504,0)),"미매핑"))</f>
        <v/>
      </c>
      <c r="X1222" s="9">
        <f>IF($A1222="","",$F1222&amp;"")</f>
        <v/>
      </c>
    </row>
    <row r="1223">
      <c r="A1223" s="75" t="n">
        <v>2025</v>
      </c>
      <c r="B1223" s="75" t="n">
        <v>7</v>
      </c>
      <c r="C1223" s="75" t="inlineStr">
        <is>
          <t>5100001219</t>
        </is>
      </c>
      <c r="D1223" s="78" t="n">
        <v>45846</v>
      </c>
      <c r="E1223" s="75" t="inlineStr">
        <is>
          <t>KR</t>
        </is>
      </c>
      <c r="F1223" s="75" t="n">
        <v>62301000</v>
      </c>
      <c r="G1223" s="75" t="n">
        <v>1101</v>
      </c>
      <c r="H1223" s="76" t="n">
        <v>185000</v>
      </c>
      <c r="I1223" s="75" t="inlineStr">
        <is>
          <t>7월 소모품 구입 - R문구</t>
        </is>
      </c>
      <c r="J1223" s="75" t="inlineStr">
        <is>
          <t>V10018</t>
        </is>
      </c>
      <c r="K1223" s="75" t="inlineStr">
        <is>
          <t>R문구</t>
        </is>
      </c>
      <c r="M1223" s="9">
        <f>IF($A1223="","",VALUE($A1223&amp;"")*12+VALUE($B1223&amp;""))</f>
        <v/>
      </c>
      <c r="N1223" s="39">
        <f>IF($A1223="","",IFERROR(INDEX(부서매핑!$C$5:$C$504,MATCH($G1223&amp;"",부서매핑!$A$5:$A$504,0)),"미매핑"))</f>
        <v/>
      </c>
      <c r="O1223" s="9">
        <f>IF($A1223="","",N1223&amp;"|"&amp;$F1223)</f>
        <v/>
      </c>
      <c r="P1223" s="77">
        <f>IF($A1223="",0,$H1223*설정!$C$23)</f>
        <v/>
      </c>
      <c r="Q1223" s="39">
        <f>IF($A1223="","",IF(O1223&lt;&gt;원인분석!$C$9,"",IF(AND(M1223&gt;=원인분석!$C$10,M1223&lt;=원인분석!$C$11),"당기",IF(AND(M1223&gt;=원인분석!$C$12,M1223&lt;=원인분석!$C$13),"비교",""))))</f>
        <v/>
      </c>
      <c r="R1223" s="9">
        <f>IF(Q1223="","",$K1223&amp;"")</f>
        <v/>
      </c>
      <c r="S1223" s="9">
        <f>IF(Q1223="","",IF(MATCH(R1223,$R$5:$R$100000,0)=ROW()-4,ROW(),""))</f>
        <v/>
      </c>
      <c r="T1223" s="9">
        <f>IF(Q1223="당기",ABS(P1223)+ROW()/1000000000,"")</f>
        <v/>
      </c>
      <c r="U1223" s="9">
        <f>IF(Q1223="비교",ABS(P1223)+ROW()/1000000000,"")</f>
        <v/>
      </c>
      <c r="V1223" s="39">
        <f>IF($A1223="","",IF(COUNTIF(변동분석!$E$7:$E$506,O1223)&gt;0,"Y","N"))</f>
        <v/>
      </c>
      <c r="W1223" s="39">
        <f>IF($A1223="","",IFERROR(INDEX(계정매핑!$D$5:$D$504,MATCH($F1223&amp;"",계정매핑!$A$5:$A$504,0)),"미매핑"))</f>
        <v/>
      </c>
      <c r="X1223" s="9">
        <f>IF($A1223="","",$F1223&amp;"")</f>
        <v/>
      </c>
    </row>
    <row r="1224">
      <c r="A1224" s="75" t="n">
        <v>2025</v>
      </c>
      <c r="B1224" s="75" t="n">
        <v>7</v>
      </c>
      <c r="C1224" s="75" t="inlineStr">
        <is>
          <t>5100001220</t>
        </is>
      </c>
      <c r="D1224" s="78" t="n">
        <v>45846</v>
      </c>
      <c r="E1224" s="75" t="inlineStr">
        <is>
          <t>KR</t>
        </is>
      </c>
      <c r="F1224" s="75" t="n">
        <v>62301000</v>
      </c>
      <c r="G1224" s="75" t="n">
        <v>1801</v>
      </c>
      <c r="H1224" s="76" t="n">
        <v>615000</v>
      </c>
      <c r="I1224" s="75" t="inlineStr">
        <is>
          <t>7월 소모품 구입 - R문구</t>
        </is>
      </c>
      <c r="J1224" s="75" t="inlineStr">
        <is>
          <t>V10018</t>
        </is>
      </c>
      <c r="K1224" s="75" t="inlineStr">
        <is>
          <t>R문구</t>
        </is>
      </c>
      <c r="M1224" s="9">
        <f>IF($A1224="","",VALUE($A1224&amp;"")*12+VALUE($B1224&amp;""))</f>
        <v/>
      </c>
      <c r="N1224" s="39">
        <f>IF($A1224="","",IFERROR(INDEX(부서매핑!$C$5:$C$504,MATCH($G1224&amp;"",부서매핑!$A$5:$A$504,0)),"미매핑"))</f>
        <v/>
      </c>
      <c r="O1224" s="9">
        <f>IF($A1224="","",N1224&amp;"|"&amp;$F1224)</f>
        <v/>
      </c>
      <c r="P1224" s="77">
        <f>IF($A1224="",0,$H1224*설정!$C$23)</f>
        <v/>
      </c>
      <c r="Q1224" s="39">
        <f>IF($A1224="","",IF(O1224&lt;&gt;원인분석!$C$9,"",IF(AND(M1224&gt;=원인분석!$C$10,M1224&lt;=원인분석!$C$11),"당기",IF(AND(M1224&gt;=원인분석!$C$12,M1224&lt;=원인분석!$C$13),"비교",""))))</f>
        <v/>
      </c>
      <c r="R1224" s="9">
        <f>IF(Q1224="","",$K1224&amp;"")</f>
        <v/>
      </c>
      <c r="S1224" s="9">
        <f>IF(Q1224="","",IF(MATCH(R1224,$R$5:$R$100000,0)=ROW()-4,ROW(),""))</f>
        <v/>
      </c>
      <c r="T1224" s="9">
        <f>IF(Q1224="당기",ABS(P1224)+ROW()/1000000000,"")</f>
        <v/>
      </c>
      <c r="U1224" s="9">
        <f>IF(Q1224="비교",ABS(P1224)+ROW()/1000000000,"")</f>
        <v/>
      </c>
      <c r="V1224" s="39">
        <f>IF($A1224="","",IF(COUNTIF(변동분석!$E$7:$E$506,O1224)&gt;0,"Y","N"))</f>
        <v/>
      </c>
      <c r="W1224" s="39">
        <f>IF($A1224="","",IFERROR(INDEX(계정매핑!$D$5:$D$504,MATCH($F1224&amp;"",계정매핑!$A$5:$A$504,0)),"미매핑"))</f>
        <v/>
      </c>
      <c r="X1224" s="9">
        <f>IF($A1224="","",$F1224&amp;"")</f>
        <v/>
      </c>
    </row>
    <row r="1225">
      <c r="A1225" s="75" t="n">
        <v>2025</v>
      </c>
      <c r="B1225" s="75" t="n">
        <v>7</v>
      </c>
      <c r="C1225" s="75" t="inlineStr">
        <is>
          <t>5100001221</t>
        </is>
      </c>
      <c r="D1225" s="78" t="n">
        <v>45846</v>
      </c>
      <c r="E1225" s="75" t="inlineStr">
        <is>
          <t>KR</t>
        </is>
      </c>
      <c r="F1225" s="75" t="n">
        <v>62401000</v>
      </c>
      <c r="G1225" s="75" t="n">
        <v>1801</v>
      </c>
      <c r="H1225" s="76" t="n">
        <v>1195000</v>
      </c>
      <c r="I1225" s="75" t="inlineStr">
        <is>
          <t>7월 인쇄물 제작 - G인쇄</t>
        </is>
      </c>
      <c r="J1225" s="75" t="inlineStr">
        <is>
          <t>V10004</t>
        </is>
      </c>
      <c r="K1225" s="75" t="inlineStr">
        <is>
          <t>G인쇄</t>
        </is>
      </c>
      <c r="M1225" s="9">
        <f>IF($A1225="","",VALUE($A1225&amp;"")*12+VALUE($B1225&amp;""))</f>
        <v/>
      </c>
      <c r="N1225" s="39">
        <f>IF($A1225="","",IFERROR(INDEX(부서매핑!$C$5:$C$504,MATCH($G1225&amp;"",부서매핑!$A$5:$A$504,0)),"미매핑"))</f>
        <v/>
      </c>
      <c r="O1225" s="9">
        <f>IF($A1225="","",N1225&amp;"|"&amp;$F1225)</f>
        <v/>
      </c>
      <c r="P1225" s="77">
        <f>IF($A1225="",0,$H1225*설정!$C$23)</f>
        <v/>
      </c>
      <c r="Q1225" s="39">
        <f>IF($A1225="","",IF(O1225&lt;&gt;원인분석!$C$9,"",IF(AND(M1225&gt;=원인분석!$C$10,M1225&lt;=원인분석!$C$11),"당기",IF(AND(M1225&gt;=원인분석!$C$12,M1225&lt;=원인분석!$C$13),"비교",""))))</f>
        <v/>
      </c>
      <c r="R1225" s="9">
        <f>IF(Q1225="","",$K1225&amp;"")</f>
        <v/>
      </c>
      <c r="S1225" s="9">
        <f>IF(Q1225="","",IF(MATCH(R1225,$R$5:$R$100000,0)=ROW()-4,ROW(),""))</f>
        <v/>
      </c>
      <c r="T1225" s="9">
        <f>IF(Q1225="당기",ABS(P1225)+ROW()/1000000000,"")</f>
        <v/>
      </c>
      <c r="U1225" s="9">
        <f>IF(Q1225="비교",ABS(P1225)+ROW()/1000000000,"")</f>
        <v/>
      </c>
      <c r="V1225" s="39">
        <f>IF($A1225="","",IF(COUNTIF(변동분석!$E$7:$E$506,O1225)&gt;0,"Y","N"))</f>
        <v/>
      </c>
      <c r="W1225" s="39">
        <f>IF($A1225="","",IFERROR(INDEX(계정매핑!$D$5:$D$504,MATCH($F1225&amp;"",계정매핑!$A$5:$A$504,0)),"미매핑"))</f>
        <v/>
      </c>
      <c r="X1225" s="9">
        <f>IF($A1225="","",$F1225&amp;"")</f>
        <v/>
      </c>
    </row>
    <row r="1226">
      <c r="A1226" s="75" t="n">
        <v>2025</v>
      </c>
      <c r="B1226" s="75" t="n">
        <v>7</v>
      </c>
      <c r="C1226" s="75" t="inlineStr">
        <is>
          <t>5100001222</t>
        </is>
      </c>
      <c r="D1226" s="78" t="n">
        <v>45846</v>
      </c>
      <c r="E1226" s="75" t="inlineStr">
        <is>
          <t>KR</t>
        </is>
      </c>
      <c r="F1226" s="75" t="n">
        <v>62501000</v>
      </c>
      <c r="G1226" s="75" t="n">
        <v>1601</v>
      </c>
      <c r="H1226" s="76" t="n">
        <v>462000</v>
      </c>
      <c r="I1226" s="75" t="inlineStr">
        <is>
          <t>7월 회의 다과 - T케이터링</t>
        </is>
      </c>
      <c r="J1226" s="75" t="inlineStr">
        <is>
          <t>V10005</t>
        </is>
      </c>
      <c r="K1226" s="75" t="inlineStr">
        <is>
          <t>T케이터링</t>
        </is>
      </c>
      <c r="M1226" s="9">
        <f>IF($A1226="","",VALUE($A1226&amp;"")*12+VALUE($B1226&amp;""))</f>
        <v/>
      </c>
      <c r="N1226" s="39">
        <f>IF($A1226="","",IFERROR(INDEX(부서매핑!$C$5:$C$504,MATCH($G1226&amp;"",부서매핑!$A$5:$A$504,0)),"미매핑"))</f>
        <v/>
      </c>
      <c r="O1226" s="9">
        <f>IF($A1226="","",N1226&amp;"|"&amp;$F1226)</f>
        <v/>
      </c>
      <c r="P1226" s="77">
        <f>IF($A1226="",0,$H1226*설정!$C$23)</f>
        <v/>
      </c>
      <c r="Q1226" s="39">
        <f>IF($A1226="","",IF(O1226&lt;&gt;원인분석!$C$9,"",IF(AND(M1226&gt;=원인분석!$C$10,M1226&lt;=원인분석!$C$11),"당기",IF(AND(M1226&gt;=원인분석!$C$12,M1226&lt;=원인분석!$C$13),"비교",""))))</f>
        <v/>
      </c>
      <c r="R1226" s="9">
        <f>IF(Q1226="","",$K1226&amp;"")</f>
        <v/>
      </c>
      <c r="S1226" s="9">
        <f>IF(Q1226="","",IF(MATCH(R1226,$R$5:$R$100000,0)=ROW()-4,ROW(),""))</f>
        <v/>
      </c>
      <c r="T1226" s="9">
        <f>IF(Q1226="당기",ABS(P1226)+ROW()/1000000000,"")</f>
        <v/>
      </c>
      <c r="U1226" s="9">
        <f>IF(Q1226="비교",ABS(P1226)+ROW()/1000000000,"")</f>
        <v/>
      </c>
      <c r="V1226" s="39">
        <f>IF($A1226="","",IF(COUNTIF(변동분석!$E$7:$E$506,O1226)&gt;0,"Y","N"))</f>
        <v/>
      </c>
      <c r="W1226" s="39">
        <f>IF($A1226="","",IFERROR(INDEX(계정매핑!$D$5:$D$504,MATCH($F1226&amp;"",계정매핑!$A$5:$A$504,0)),"미매핑"))</f>
        <v/>
      </c>
      <c r="X1226" s="9">
        <f>IF($A1226="","",$F1226&amp;"")</f>
        <v/>
      </c>
    </row>
    <row r="1227">
      <c r="A1227" s="75" t="n">
        <v>2025</v>
      </c>
      <c r="B1227" s="75" t="n">
        <v>7</v>
      </c>
      <c r="C1227" s="75" t="inlineStr">
        <is>
          <t>5100001223</t>
        </is>
      </c>
      <c r="D1227" s="78" t="n">
        <v>45847</v>
      </c>
      <c r="E1227" s="75" t="inlineStr">
        <is>
          <t>KR</t>
        </is>
      </c>
      <c r="F1227" s="75" t="n">
        <v>62101000</v>
      </c>
      <c r="G1227" s="75" t="n">
        <v>1602</v>
      </c>
      <c r="H1227" s="76" t="n">
        <v>724000</v>
      </c>
      <c r="I1227" s="75" t="inlineStr">
        <is>
          <t>7월 국내출장 - L여행사</t>
        </is>
      </c>
      <c r="J1227" s="75" t="inlineStr">
        <is>
          <t>V10014</t>
        </is>
      </c>
      <c r="K1227" s="75" t="inlineStr">
        <is>
          <t>L여행사</t>
        </is>
      </c>
      <c r="M1227" s="9">
        <f>IF($A1227="","",VALUE($A1227&amp;"")*12+VALUE($B1227&amp;""))</f>
        <v/>
      </c>
      <c r="N1227" s="39">
        <f>IF($A1227="","",IFERROR(INDEX(부서매핑!$C$5:$C$504,MATCH($G1227&amp;"",부서매핑!$A$5:$A$504,0)),"미매핑"))</f>
        <v/>
      </c>
      <c r="O1227" s="9">
        <f>IF($A1227="","",N1227&amp;"|"&amp;$F1227)</f>
        <v/>
      </c>
      <c r="P1227" s="77">
        <f>IF($A1227="",0,$H1227*설정!$C$23)</f>
        <v/>
      </c>
      <c r="Q1227" s="39">
        <f>IF($A1227="","",IF(O1227&lt;&gt;원인분석!$C$9,"",IF(AND(M1227&gt;=원인분석!$C$10,M1227&lt;=원인분석!$C$11),"당기",IF(AND(M1227&gt;=원인분석!$C$12,M1227&lt;=원인분석!$C$13),"비교",""))))</f>
        <v/>
      </c>
      <c r="R1227" s="9">
        <f>IF(Q1227="","",$K1227&amp;"")</f>
        <v/>
      </c>
      <c r="S1227" s="9">
        <f>IF(Q1227="","",IF(MATCH(R1227,$R$5:$R$100000,0)=ROW()-4,ROW(),""))</f>
        <v/>
      </c>
      <c r="T1227" s="9">
        <f>IF(Q1227="당기",ABS(P1227)+ROW()/1000000000,"")</f>
        <v/>
      </c>
      <c r="U1227" s="9">
        <f>IF(Q1227="비교",ABS(P1227)+ROW()/1000000000,"")</f>
        <v/>
      </c>
      <c r="V1227" s="39">
        <f>IF($A1227="","",IF(COUNTIF(변동분석!$E$7:$E$506,O1227)&gt;0,"Y","N"))</f>
        <v/>
      </c>
      <c r="W1227" s="39">
        <f>IF($A1227="","",IFERROR(INDEX(계정매핑!$D$5:$D$504,MATCH($F1227&amp;"",계정매핑!$A$5:$A$504,0)),"미매핑"))</f>
        <v/>
      </c>
      <c r="X1227" s="9">
        <f>IF($A1227="","",$F1227&amp;"")</f>
        <v/>
      </c>
    </row>
    <row r="1228">
      <c r="A1228" s="75" t="n">
        <v>2025</v>
      </c>
      <c r="B1228" s="75" t="n">
        <v>7</v>
      </c>
      <c r="C1228" s="75" t="inlineStr">
        <is>
          <t>5100001224</t>
        </is>
      </c>
      <c r="D1228" s="78" t="n">
        <v>45847</v>
      </c>
      <c r="E1228" s="75" t="inlineStr">
        <is>
          <t>KR</t>
        </is>
      </c>
      <c r="F1228" s="75" t="n">
        <v>62501000</v>
      </c>
      <c r="G1228" s="75" t="n">
        <v>1101</v>
      </c>
      <c r="H1228" s="76" t="n">
        <v>306000</v>
      </c>
      <c r="I1228" s="75" t="inlineStr">
        <is>
          <t>7월 회의 다과 - T케이터링</t>
        </is>
      </c>
      <c r="J1228" s="75" t="inlineStr">
        <is>
          <t>V10005</t>
        </is>
      </c>
      <c r="K1228" s="75" t="inlineStr">
        <is>
          <t>T케이터링</t>
        </is>
      </c>
      <c r="M1228" s="9">
        <f>IF($A1228="","",VALUE($A1228&amp;"")*12+VALUE($B1228&amp;""))</f>
        <v/>
      </c>
      <c r="N1228" s="39">
        <f>IF($A1228="","",IFERROR(INDEX(부서매핑!$C$5:$C$504,MATCH($G1228&amp;"",부서매핑!$A$5:$A$504,0)),"미매핑"))</f>
        <v/>
      </c>
      <c r="O1228" s="9">
        <f>IF($A1228="","",N1228&amp;"|"&amp;$F1228)</f>
        <v/>
      </c>
      <c r="P1228" s="77">
        <f>IF($A1228="",0,$H1228*설정!$C$23)</f>
        <v/>
      </c>
      <c r="Q1228" s="39">
        <f>IF($A1228="","",IF(O1228&lt;&gt;원인분석!$C$9,"",IF(AND(M1228&gt;=원인분석!$C$10,M1228&lt;=원인분석!$C$11),"당기",IF(AND(M1228&gt;=원인분석!$C$12,M1228&lt;=원인분석!$C$13),"비교",""))))</f>
        <v/>
      </c>
      <c r="R1228" s="9">
        <f>IF(Q1228="","",$K1228&amp;"")</f>
        <v/>
      </c>
      <c r="S1228" s="9">
        <f>IF(Q1228="","",IF(MATCH(R1228,$R$5:$R$100000,0)=ROW()-4,ROW(),""))</f>
        <v/>
      </c>
      <c r="T1228" s="9">
        <f>IF(Q1228="당기",ABS(P1228)+ROW()/1000000000,"")</f>
        <v/>
      </c>
      <c r="U1228" s="9">
        <f>IF(Q1228="비교",ABS(P1228)+ROW()/1000000000,"")</f>
        <v/>
      </c>
      <c r="V1228" s="39">
        <f>IF($A1228="","",IF(COUNTIF(변동분석!$E$7:$E$506,O1228)&gt;0,"Y","N"))</f>
        <v/>
      </c>
      <c r="W1228" s="39">
        <f>IF($A1228="","",IFERROR(INDEX(계정매핑!$D$5:$D$504,MATCH($F1228&amp;"",계정매핑!$A$5:$A$504,0)),"미매핑"))</f>
        <v/>
      </c>
      <c r="X1228" s="9">
        <f>IF($A1228="","",$F1228&amp;"")</f>
        <v/>
      </c>
    </row>
    <row r="1229">
      <c r="A1229" s="75" t="n">
        <v>2025</v>
      </c>
      <c r="B1229" s="75" t="n">
        <v>7</v>
      </c>
      <c r="C1229" s="75" t="inlineStr">
        <is>
          <t>5100001225</t>
        </is>
      </c>
      <c r="D1229" s="78" t="n">
        <v>45847</v>
      </c>
      <c r="E1229" s="75" t="inlineStr">
        <is>
          <t>KR</t>
        </is>
      </c>
      <c r="F1229" s="75" t="n">
        <v>62501000</v>
      </c>
      <c r="G1229" s="75" t="n">
        <v>1602</v>
      </c>
      <c r="H1229" s="76" t="n">
        <v>258000</v>
      </c>
      <c r="I1229" s="75" t="inlineStr">
        <is>
          <t>7월 회의 다과 - (법인카드)</t>
        </is>
      </c>
      <c r="J1229" s="75" t="inlineStr">
        <is>
          <t>V10008</t>
        </is>
      </c>
      <c r="K1229" s="75" t="inlineStr">
        <is>
          <t>(법인카드)</t>
        </is>
      </c>
      <c r="M1229" s="9">
        <f>IF($A1229="","",VALUE($A1229&amp;"")*12+VALUE($B1229&amp;""))</f>
        <v/>
      </c>
      <c r="N1229" s="39">
        <f>IF($A1229="","",IFERROR(INDEX(부서매핑!$C$5:$C$504,MATCH($G1229&amp;"",부서매핑!$A$5:$A$504,0)),"미매핑"))</f>
        <v/>
      </c>
      <c r="O1229" s="9">
        <f>IF($A1229="","",N1229&amp;"|"&amp;$F1229)</f>
        <v/>
      </c>
      <c r="P1229" s="77">
        <f>IF($A1229="",0,$H1229*설정!$C$23)</f>
        <v/>
      </c>
      <c r="Q1229" s="39">
        <f>IF($A1229="","",IF(O1229&lt;&gt;원인분석!$C$9,"",IF(AND(M1229&gt;=원인분석!$C$10,M1229&lt;=원인분석!$C$11),"당기",IF(AND(M1229&gt;=원인분석!$C$12,M1229&lt;=원인분석!$C$13),"비교",""))))</f>
        <v/>
      </c>
      <c r="R1229" s="9">
        <f>IF(Q1229="","",$K1229&amp;"")</f>
        <v/>
      </c>
      <c r="S1229" s="9">
        <f>IF(Q1229="","",IF(MATCH(R1229,$R$5:$R$100000,0)=ROW()-4,ROW(),""))</f>
        <v/>
      </c>
      <c r="T1229" s="9">
        <f>IF(Q1229="당기",ABS(P1229)+ROW()/1000000000,"")</f>
        <v/>
      </c>
      <c r="U1229" s="9">
        <f>IF(Q1229="비교",ABS(P1229)+ROW()/1000000000,"")</f>
        <v/>
      </c>
      <c r="V1229" s="39">
        <f>IF($A1229="","",IF(COUNTIF(변동분석!$E$7:$E$506,O1229)&gt;0,"Y","N"))</f>
        <v/>
      </c>
      <c r="W1229" s="39">
        <f>IF($A1229="","",IFERROR(INDEX(계정매핑!$D$5:$D$504,MATCH($F1229&amp;"",계정매핑!$A$5:$A$504,0)),"미매핑"))</f>
        <v/>
      </c>
      <c r="X1229" s="9">
        <f>IF($A1229="","",$F1229&amp;"")</f>
        <v/>
      </c>
    </row>
    <row r="1230">
      <c r="A1230" s="75" t="n">
        <v>2025</v>
      </c>
      <c r="B1230" s="75" t="n">
        <v>7</v>
      </c>
      <c r="C1230" s="75" t="inlineStr">
        <is>
          <t>5100001226</t>
        </is>
      </c>
      <c r="D1230" s="78" t="n">
        <v>45848</v>
      </c>
      <c r="E1230" s="75" t="inlineStr">
        <is>
          <t>KR</t>
        </is>
      </c>
      <c r="F1230" s="75" t="n">
        <v>62102000</v>
      </c>
      <c r="G1230" s="75" t="n">
        <v>1701</v>
      </c>
      <c r="H1230" s="76" t="n">
        <v>52000</v>
      </c>
      <c r="I1230" s="75" t="inlineStr">
        <is>
          <t>7월 해외출장 - M항공</t>
        </is>
      </c>
      <c r="J1230" s="75" t="inlineStr">
        <is>
          <t>V10001</t>
        </is>
      </c>
      <c r="K1230" s="75" t="inlineStr">
        <is>
          <t>M항공</t>
        </is>
      </c>
      <c r="M1230" s="9">
        <f>IF($A1230="","",VALUE($A1230&amp;"")*12+VALUE($B1230&amp;""))</f>
        <v/>
      </c>
      <c r="N1230" s="39">
        <f>IF($A1230="","",IFERROR(INDEX(부서매핑!$C$5:$C$504,MATCH($G1230&amp;"",부서매핑!$A$5:$A$504,0)),"미매핑"))</f>
        <v/>
      </c>
      <c r="O1230" s="9">
        <f>IF($A1230="","",N1230&amp;"|"&amp;$F1230)</f>
        <v/>
      </c>
      <c r="P1230" s="77">
        <f>IF($A1230="",0,$H1230*설정!$C$23)</f>
        <v/>
      </c>
      <c r="Q1230" s="39">
        <f>IF($A1230="","",IF(O1230&lt;&gt;원인분석!$C$9,"",IF(AND(M1230&gt;=원인분석!$C$10,M1230&lt;=원인분석!$C$11),"당기",IF(AND(M1230&gt;=원인분석!$C$12,M1230&lt;=원인분석!$C$13),"비교",""))))</f>
        <v/>
      </c>
      <c r="R1230" s="9">
        <f>IF(Q1230="","",$K1230&amp;"")</f>
        <v/>
      </c>
      <c r="S1230" s="9">
        <f>IF(Q1230="","",IF(MATCH(R1230,$R$5:$R$100000,0)=ROW()-4,ROW(),""))</f>
        <v/>
      </c>
      <c r="T1230" s="9">
        <f>IF(Q1230="당기",ABS(P1230)+ROW()/1000000000,"")</f>
        <v/>
      </c>
      <c r="U1230" s="9">
        <f>IF(Q1230="비교",ABS(P1230)+ROW()/1000000000,"")</f>
        <v/>
      </c>
      <c r="V1230" s="39">
        <f>IF($A1230="","",IF(COUNTIF(변동분석!$E$7:$E$506,O1230)&gt;0,"Y","N"))</f>
        <v/>
      </c>
      <c r="W1230" s="39">
        <f>IF($A1230="","",IFERROR(INDEX(계정매핑!$D$5:$D$504,MATCH($F1230&amp;"",계정매핑!$A$5:$A$504,0)),"미매핑"))</f>
        <v/>
      </c>
      <c r="X1230" s="9">
        <f>IF($A1230="","",$F1230&amp;"")</f>
        <v/>
      </c>
    </row>
    <row r="1231">
      <c r="A1231" s="75" t="n">
        <v>2025</v>
      </c>
      <c r="B1231" s="75" t="n">
        <v>7</v>
      </c>
      <c r="C1231" s="75" t="inlineStr">
        <is>
          <t>5100001227</t>
        </is>
      </c>
      <c r="D1231" s="78" t="n">
        <v>45848</v>
      </c>
      <c r="E1231" s="75" t="inlineStr">
        <is>
          <t>KR</t>
        </is>
      </c>
      <c r="F1231" s="75" t="n">
        <v>62201000</v>
      </c>
      <c r="G1231" s="75" t="n">
        <v>1801</v>
      </c>
      <c r="H1231" s="76" t="n">
        <v>7400000</v>
      </c>
      <c r="I1231" s="75" t="inlineStr">
        <is>
          <t>7월 통신요금 - O텔레콤</t>
        </is>
      </c>
      <c r="J1231" s="75" t="inlineStr">
        <is>
          <t>V10002</t>
        </is>
      </c>
      <c r="K1231" s="75" t="inlineStr">
        <is>
          <t>O텔레콤</t>
        </is>
      </c>
      <c r="M1231" s="9">
        <f>IF($A1231="","",VALUE($A1231&amp;"")*12+VALUE($B1231&amp;""))</f>
        <v/>
      </c>
      <c r="N1231" s="39">
        <f>IF($A1231="","",IFERROR(INDEX(부서매핑!$C$5:$C$504,MATCH($G1231&amp;"",부서매핑!$A$5:$A$504,0)),"미매핑"))</f>
        <v/>
      </c>
      <c r="O1231" s="9">
        <f>IF($A1231="","",N1231&amp;"|"&amp;$F1231)</f>
        <v/>
      </c>
      <c r="P1231" s="77">
        <f>IF($A1231="",0,$H1231*설정!$C$23)</f>
        <v/>
      </c>
      <c r="Q1231" s="39">
        <f>IF($A1231="","",IF(O1231&lt;&gt;원인분석!$C$9,"",IF(AND(M1231&gt;=원인분석!$C$10,M1231&lt;=원인분석!$C$11),"당기",IF(AND(M1231&gt;=원인분석!$C$12,M1231&lt;=원인분석!$C$13),"비교",""))))</f>
        <v/>
      </c>
      <c r="R1231" s="9">
        <f>IF(Q1231="","",$K1231&amp;"")</f>
        <v/>
      </c>
      <c r="S1231" s="9">
        <f>IF(Q1231="","",IF(MATCH(R1231,$R$5:$R$100000,0)=ROW()-4,ROW(),""))</f>
        <v/>
      </c>
      <c r="T1231" s="9">
        <f>IF(Q1231="당기",ABS(P1231)+ROW()/1000000000,"")</f>
        <v/>
      </c>
      <c r="U1231" s="9">
        <f>IF(Q1231="비교",ABS(P1231)+ROW()/1000000000,"")</f>
        <v/>
      </c>
      <c r="V1231" s="39">
        <f>IF($A1231="","",IF(COUNTIF(변동분석!$E$7:$E$506,O1231)&gt;0,"Y","N"))</f>
        <v/>
      </c>
      <c r="W1231" s="39">
        <f>IF($A1231="","",IFERROR(INDEX(계정매핑!$D$5:$D$504,MATCH($F1231&amp;"",계정매핑!$A$5:$A$504,0)),"미매핑"))</f>
        <v/>
      </c>
      <c r="X1231" s="9">
        <f>IF($A1231="","",$F1231&amp;"")</f>
        <v/>
      </c>
    </row>
    <row r="1232">
      <c r="A1232" s="75" t="n">
        <v>2025</v>
      </c>
      <c r="B1232" s="75" t="n">
        <v>7</v>
      </c>
      <c r="C1232" s="75" t="inlineStr">
        <is>
          <t>5100001228</t>
        </is>
      </c>
      <c r="D1232" s="78" t="n">
        <v>45848</v>
      </c>
      <c r="E1232" s="75" t="inlineStr">
        <is>
          <t>KR</t>
        </is>
      </c>
      <c r="F1232" s="75" t="n">
        <v>62201000</v>
      </c>
      <c r="G1232" s="75" t="n">
        <v>1801</v>
      </c>
      <c r="H1232" s="76" t="n">
        <v>6941000</v>
      </c>
      <c r="I1232" s="75" t="inlineStr">
        <is>
          <t>7월 통신요금 - P통신</t>
        </is>
      </c>
      <c r="J1232" s="75" t="inlineStr">
        <is>
          <t>V10011</t>
        </is>
      </c>
      <c r="K1232" s="75" t="inlineStr">
        <is>
          <t>P통신</t>
        </is>
      </c>
      <c r="M1232" s="9">
        <f>IF($A1232="","",VALUE($A1232&amp;"")*12+VALUE($B1232&amp;""))</f>
        <v/>
      </c>
      <c r="N1232" s="39">
        <f>IF($A1232="","",IFERROR(INDEX(부서매핑!$C$5:$C$504,MATCH($G1232&amp;"",부서매핑!$A$5:$A$504,0)),"미매핑"))</f>
        <v/>
      </c>
      <c r="O1232" s="9">
        <f>IF($A1232="","",N1232&amp;"|"&amp;$F1232)</f>
        <v/>
      </c>
      <c r="P1232" s="77">
        <f>IF($A1232="",0,$H1232*설정!$C$23)</f>
        <v/>
      </c>
      <c r="Q1232" s="39">
        <f>IF($A1232="","",IF(O1232&lt;&gt;원인분석!$C$9,"",IF(AND(M1232&gt;=원인분석!$C$10,M1232&lt;=원인분석!$C$11),"당기",IF(AND(M1232&gt;=원인분석!$C$12,M1232&lt;=원인분석!$C$13),"비교",""))))</f>
        <v/>
      </c>
      <c r="R1232" s="9">
        <f>IF(Q1232="","",$K1232&amp;"")</f>
        <v/>
      </c>
      <c r="S1232" s="9">
        <f>IF(Q1232="","",IF(MATCH(R1232,$R$5:$R$100000,0)=ROW()-4,ROW(),""))</f>
        <v/>
      </c>
      <c r="T1232" s="9">
        <f>IF(Q1232="당기",ABS(P1232)+ROW()/1000000000,"")</f>
        <v/>
      </c>
      <c r="U1232" s="9">
        <f>IF(Q1232="비교",ABS(P1232)+ROW()/1000000000,"")</f>
        <v/>
      </c>
      <c r="V1232" s="39">
        <f>IF($A1232="","",IF(COUNTIF(변동분석!$E$7:$E$506,O1232)&gt;0,"Y","N"))</f>
        <v/>
      </c>
      <c r="W1232" s="39">
        <f>IF($A1232="","",IFERROR(INDEX(계정매핑!$D$5:$D$504,MATCH($F1232&amp;"",계정매핑!$A$5:$A$504,0)),"미매핑"))</f>
        <v/>
      </c>
      <c r="X1232" s="9">
        <f>IF($A1232="","",$F1232&amp;"")</f>
        <v/>
      </c>
    </row>
    <row r="1233">
      <c r="A1233" s="75" t="n">
        <v>2025</v>
      </c>
      <c r="B1233" s="75" t="n">
        <v>7</v>
      </c>
      <c r="C1233" s="75" t="inlineStr">
        <is>
          <t>5100001229</t>
        </is>
      </c>
      <c r="D1233" s="78" t="n">
        <v>45848</v>
      </c>
      <c r="E1233" s="75" t="inlineStr">
        <is>
          <t>KR</t>
        </is>
      </c>
      <c r="F1233" s="75" t="n">
        <v>62301000</v>
      </c>
      <c r="G1233" s="75" t="n">
        <v>1401</v>
      </c>
      <c r="H1233" s="76" t="n">
        <v>85000</v>
      </c>
      <c r="I1233" s="75" t="inlineStr">
        <is>
          <t>7월 소모품 구입 - Q오피스</t>
        </is>
      </c>
      <c r="J1233" s="75" t="inlineStr">
        <is>
          <t>V10003</t>
        </is>
      </c>
      <c r="K1233" s="75" t="inlineStr">
        <is>
          <t>Q오피스</t>
        </is>
      </c>
      <c r="M1233" s="9">
        <f>IF($A1233="","",VALUE($A1233&amp;"")*12+VALUE($B1233&amp;""))</f>
        <v/>
      </c>
      <c r="N1233" s="39">
        <f>IF($A1233="","",IFERROR(INDEX(부서매핑!$C$5:$C$504,MATCH($G1233&amp;"",부서매핑!$A$5:$A$504,0)),"미매핑"))</f>
        <v/>
      </c>
      <c r="O1233" s="9">
        <f>IF($A1233="","",N1233&amp;"|"&amp;$F1233)</f>
        <v/>
      </c>
      <c r="P1233" s="77">
        <f>IF($A1233="",0,$H1233*설정!$C$23)</f>
        <v/>
      </c>
      <c r="Q1233" s="39">
        <f>IF($A1233="","",IF(O1233&lt;&gt;원인분석!$C$9,"",IF(AND(M1233&gt;=원인분석!$C$10,M1233&lt;=원인분석!$C$11),"당기",IF(AND(M1233&gt;=원인분석!$C$12,M1233&lt;=원인분석!$C$13),"비교",""))))</f>
        <v/>
      </c>
      <c r="R1233" s="9">
        <f>IF(Q1233="","",$K1233&amp;"")</f>
        <v/>
      </c>
      <c r="S1233" s="9">
        <f>IF(Q1233="","",IF(MATCH(R1233,$R$5:$R$100000,0)=ROW()-4,ROW(),""))</f>
        <v/>
      </c>
      <c r="T1233" s="9">
        <f>IF(Q1233="당기",ABS(P1233)+ROW()/1000000000,"")</f>
        <v/>
      </c>
      <c r="U1233" s="9">
        <f>IF(Q1233="비교",ABS(P1233)+ROW()/1000000000,"")</f>
        <v/>
      </c>
      <c r="V1233" s="39">
        <f>IF($A1233="","",IF(COUNTIF(변동분석!$E$7:$E$506,O1233)&gt;0,"Y","N"))</f>
        <v/>
      </c>
      <c r="W1233" s="39">
        <f>IF($A1233="","",IFERROR(INDEX(계정매핑!$D$5:$D$504,MATCH($F1233&amp;"",계정매핑!$A$5:$A$504,0)),"미매핑"))</f>
        <v/>
      </c>
      <c r="X1233" s="9">
        <f>IF($A1233="","",$F1233&amp;"")</f>
        <v/>
      </c>
    </row>
    <row r="1234">
      <c r="A1234" s="75" t="n">
        <v>2025</v>
      </c>
      <c r="B1234" s="75" t="n">
        <v>7</v>
      </c>
      <c r="C1234" s="75" t="inlineStr">
        <is>
          <t>5100001230</t>
        </is>
      </c>
      <c r="D1234" s="78" t="n">
        <v>45848</v>
      </c>
      <c r="E1234" s="75" t="inlineStr">
        <is>
          <t>KR</t>
        </is>
      </c>
      <c r="F1234" s="75" t="n">
        <v>63101000</v>
      </c>
      <c r="G1234" s="75" t="n">
        <v>1601</v>
      </c>
      <c r="H1234" s="76" t="n">
        <v>5407000</v>
      </c>
      <c r="I1234" s="75" t="inlineStr">
        <is>
          <t>7월 사무실 임차료 - BB부동산</t>
        </is>
      </c>
      <c r="J1234" s="75" t="inlineStr">
        <is>
          <t>V10024</t>
        </is>
      </c>
      <c r="K1234" s="75" t="inlineStr">
        <is>
          <t>BB부동산</t>
        </is>
      </c>
      <c r="M1234" s="9">
        <f>IF($A1234="","",VALUE($A1234&amp;"")*12+VALUE($B1234&amp;""))</f>
        <v/>
      </c>
      <c r="N1234" s="39">
        <f>IF($A1234="","",IFERROR(INDEX(부서매핑!$C$5:$C$504,MATCH($G1234&amp;"",부서매핑!$A$5:$A$504,0)),"미매핑"))</f>
        <v/>
      </c>
      <c r="O1234" s="9">
        <f>IF($A1234="","",N1234&amp;"|"&amp;$F1234)</f>
        <v/>
      </c>
      <c r="P1234" s="77">
        <f>IF($A1234="",0,$H1234*설정!$C$23)</f>
        <v/>
      </c>
      <c r="Q1234" s="39">
        <f>IF($A1234="","",IF(O1234&lt;&gt;원인분석!$C$9,"",IF(AND(M1234&gt;=원인분석!$C$10,M1234&lt;=원인분석!$C$11),"당기",IF(AND(M1234&gt;=원인분석!$C$12,M1234&lt;=원인분석!$C$13),"비교",""))))</f>
        <v/>
      </c>
      <c r="R1234" s="9">
        <f>IF(Q1234="","",$K1234&amp;"")</f>
        <v/>
      </c>
      <c r="S1234" s="9">
        <f>IF(Q1234="","",IF(MATCH(R1234,$R$5:$R$100000,0)=ROW()-4,ROW(),""))</f>
        <v/>
      </c>
      <c r="T1234" s="9">
        <f>IF(Q1234="당기",ABS(P1234)+ROW()/1000000000,"")</f>
        <v/>
      </c>
      <c r="U1234" s="9">
        <f>IF(Q1234="비교",ABS(P1234)+ROW()/1000000000,"")</f>
        <v/>
      </c>
      <c r="V1234" s="39">
        <f>IF($A1234="","",IF(COUNTIF(변동분석!$E$7:$E$506,O1234)&gt;0,"Y","N"))</f>
        <v/>
      </c>
      <c r="W1234" s="39">
        <f>IF($A1234="","",IFERROR(INDEX(계정매핑!$D$5:$D$504,MATCH($F1234&amp;"",계정매핑!$A$5:$A$504,0)),"미매핑"))</f>
        <v/>
      </c>
      <c r="X1234" s="9">
        <f>IF($A1234="","",$F1234&amp;"")</f>
        <v/>
      </c>
    </row>
    <row r="1235">
      <c r="A1235" s="75" t="n">
        <v>2025</v>
      </c>
      <c r="B1235" s="75" t="n">
        <v>7</v>
      </c>
      <c r="C1235" s="75" t="inlineStr">
        <is>
          <t>5100001231</t>
        </is>
      </c>
      <c r="D1235" s="78" t="n">
        <v>45849</v>
      </c>
      <c r="E1235" s="75" t="inlineStr">
        <is>
          <t>KR</t>
        </is>
      </c>
      <c r="F1235" s="75" t="n">
        <v>62101000</v>
      </c>
      <c r="G1235" s="75" t="n">
        <v>1301</v>
      </c>
      <c r="H1235" s="76" t="n">
        <v>181000</v>
      </c>
      <c r="I1235" s="75" t="inlineStr">
        <is>
          <t>7월 국내출장 - (법인카드)</t>
        </is>
      </c>
      <c r="J1235" s="75" t="inlineStr">
        <is>
          <t>V10008</t>
        </is>
      </c>
      <c r="K1235" s="75" t="inlineStr">
        <is>
          <t>(법인카드)</t>
        </is>
      </c>
      <c r="M1235" s="9">
        <f>IF($A1235="","",VALUE($A1235&amp;"")*12+VALUE($B1235&amp;""))</f>
        <v/>
      </c>
      <c r="N1235" s="39">
        <f>IF($A1235="","",IFERROR(INDEX(부서매핑!$C$5:$C$504,MATCH($G1235&amp;"",부서매핑!$A$5:$A$504,0)),"미매핑"))</f>
        <v/>
      </c>
      <c r="O1235" s="9">
        <f>IF($A1235="","",N1235&amp;"|"&amp;$F1235)</f>
        <v/>
      </c>
      <c r="P1235" s="77">
        <f>IF($A1235="",0,$H1235*설정!$C$23)</f>
        <v/>
      </c>
      <c r="Q1235" s="39">
        <f>IF($A1235="","",IF(O1235&lt;&gt;원인분석!$C$9,"",IF(AND(M1235&gt;=원인분석!$C$10,M1235&lt;=원인분석!$C$11),"당기",IF(AND(M1235&gt;=원인분석!$C$12,M1235&lt;=원인분석!$C$13),"비교",""))))</f>
        <v/>
      </c>
      <c r="R1235" s="9">
        <f>IF(Q1235="","",$K1235&amp;"")</f>
        <v/>
      </c>
      <c r="S1235" s="9">
        <f>IF(Q1235="","",IF(MATCH(R1235,$R$5:$R$100000,0)=ROW()-4,ROW(),""))</f>
        <v/>
      </c>
      <c r="T1235" s="9">
        <f>IF(Q1235="당기",ABS(P1235)+ROW()/1000000000,"")</f>
        <v/>
      </c>
      <c r="U1235" s="9">
        <f>IF(Q1235="비교",ABS(P1235)+ROW()/1000000000,"")</f>
        <v/>
      </c>
      <c r="V1235" s="39">
        <f>IF($A1235="","",IF(COUNTIF(변동분석!$E$7:$E$506,O1235)&gt;0,"Y","N"))</f>
        <v/>
      </c>
      <c r="W1235" s="39">
        <f>IF($A1235="","",IFERROR(INDEX(계정매핑!$D$5:$D$504,MATCH($F1235&amp;"",계정매핑!$A$5:$A$504,0)),"미매핑"))</f>
        <v/>
      </c>
      <c r="X1235" s="9">
        <f>IF($A1235="","",$F1235&amp;"")</f>
        <v/>
      </c>
    </row>
    <row r="1236">
      <c r="A1236" s="75" t="n">
        <v>2025</v>
      </c>
      <c r="B1236" s="75" t="n">
        <v>7</v>
      </c>
      <c r="C1236" s="75" t="inlineStr">
        <is>
          <t>5100001232</t>
        </is>
      </c>
      <c r="D1236" s="78" t="n">
        <v>45849</v>
      </c>
      <c r="E1236" s="75" t="inlineStr">
        <is>
          <t>KR</t>
        </is>
      </c>
      <c r="F1236" s="75" t="n">
        <v>62102000</v>
      </c>
      <c r="G1236" s="75" t="n">
        <v>1801</v>
      </c>
      <c r="H1236" s="76" t="n">
        <v>66000</v>
      </c>
      <c r="I1236" s="75" t="inlineStr">
        <is>
          <t>7월 해외출장 - N호텔</t>
        </is>
      </c>
      <c r="J1236" s="75" t="inlineStr">
        <is>
          <t>V10007</t>
        </is>
      </c>
      <c r="K1236" s="75" t="inlineStr">
        <is>
          <t>N호텔</t>
        </is>
      </c>
      <c r="M1236" s="9">
        <f>IF($A1236="","",VALUE($A1236&amp;"")*12+VALUE($B1236&amp;""))</f>
        <v/>
      </c>
      <c r="N1236" s="39">
        <f>IF($A1236="","",IFERROR(INDEX(부서매핑!$C$5:$C$504,MATCH($G1236&amp;"",부서매핑!$A$5:$A$504,0)),"미매핑"))</f>
        <v/>
      </c>
      <c r="O1236" s="9">
        <f>IF($A1236="","",N1236&amp;"|"&amp;$F1236)</f>
        <v/>
      </c>
      <c r="P1236" s="77">
        <f>IF($A1236="",0,$H1236*설정!$C$23)</f>
        <v/>
      </c>
      <c r="Q1236" s="39">
        <f>IF($A1236="","",IF(O1236&lt;&gt;원인분석!$C$9,"",IF(AND(M1236&gt;=원인분석!$C$10,M1236&lt;=원인분석!$C$11),"당기",IF(AND(M1236&gt;=원인분석!$C$12,M1236&lt;=원인분석!$C$13),"비교",""))))</f>
        <v/>
      </c>
      <c r="R1236" s="9">
        <f>IF(Q1236="","",$K1236&amp;"")</f>
        <v/>
      </c>
      <c r="S1236" s="9">
        <f>IF(Q1236="","",IF(MATCH(R1236,$R$5:$R$100000,0)=ROW()-4,ROW(),""))</f>
        <v/>
      </c>
      <c r="T1236" s="9">
        <f>IF(Q1236="당기",ABS(P1236)+ROW()/1000000000,"")</f>
        <v/>
      </c>
      <c r="U1236" s="9">
        <f>IF(Q1236="비교",ABS(P1236)+ROW()/1000000000,"")</f>
        <v/>
      </c>
      <c r="V1236" s="39">
        <f>IF($A1236="","",IF(COUNTIF(변동분석!$E$7:$E$506,O1236)&gt;0,"Y","N"))</f>
        <v/>
      </c>
      <c r="W1236" s="39">
        <f>IF($A1236="","",IFERROR(INDEX(계정매핑!$D$5:$D$504,MATCH($F1236&amp;"",계정매핑!$A$5:$A$504,0)),"미매핑"))</f>
        <v/>
      </c>
      <c r="X1236" s="9">
        <f>IF($A1236="","",$F1236&amp;"")</f>
        <v/>
      </c>
    </row>
    <row r="1237">
      <c r="A1237" s="75" t="n">
        <v>2025</v>
      </c>
      <c r="B1237" s="75" t="n">
        <v>7</v>
      </c>
      <c r="C1237" s="75" t="inlineStr">
        <is>
          <t>5100001233</t>
        </is>
      </c>
      <c r="D1237" s="78" t="n">
        <v>45849</v>
      </c>
      <c r="E1237" s="75" t="inlineStr">
        <is>
          <t>KR</t>
        </is>
      </c>
      <c r="F1237" s="75" t="n">
        <v>62201000</v>
      </c>
      <c r="G1237" s="75" t="n">
        <v>1101</v>
      </c>
      <c r="H1237" s="76" t="n">
        <v>258000</v>
      </c>
      <c r="I1237" s="75" t="inlineStr">
        <is>
          <t>7월 통신요금 - O텔레콤</t>
        </is>
      </c>
      <c r="J1237" s="75" t="inlineStr">
        <is>
          <t>V10002</t>
        </is>
      </c>
      <c r="K1237" s="75" t="inlineStr">
        <is>
          <t>O텔레콤</t>
        </is>
      </c>
      <c r="M1237" s="9">
        <f>IF($A1237="","",VALUE($A1237&amp;"")*12+VALUE($B1237&amp;""))</f>
        <v/>
      </c>
      <c r="N1237" s="39">
        <f>IF($A1237="","",IFERROR(INDEX(부서매핑!$C$5:$C$504,MATCH($G1237&amp;"",부서매핑!$A$5:$A$504,0)),"미매핑"))</f>
        <v/>
      </c>
      <c r="O1237" s="9">
        <f>IF($A1237="","",N1237&amp;"|"&amp;$F1237)</f>
        <v/>
      </c>
      <c r="P1237" s="77">
        <f>IF($A1237="",0,$H1237*설정!$C$23)</f>
        <v/>
      </c>
      <c r="Q1237" s="39">
        <f>IF($A1237="","",IF(O1237&lt;&gt;원인분석!$C$9,"",IF(AND(M1237&gt;=원인분석!$C$10,M1237&lt;=원인분석!$C$11),"당기",IF(AND(M1237&gt;=원인분석!$C$12,M1237&lt;=원인분석!$C$13),"비교",""))))</f>
        <v/>
      </c>
      <c r="R1237" s="9">
        <f>IF(Q1237="","",$K1237&amp;"")</f>
        <v/>
      </c>
      <c r="S1237" s="9">
        <f>IF(Q1237="","",IF(MATCH(R1237,$R$5:$R$100000,0)=ROW()-4,ROW(),""))</f>
        <v/>
      </c>
      <c r="T1237" s="9">
        <f>IF(Q1237="당기",ABS(P1237)+ROW()/1000000000,"")</f>
        <v/>
      </c>
      <c r="U1237" s="9">
        <f>IF(Q1237="비교",ABS(P1237)+ROW()/1000000000,"")</f>
        <v/>
      </c>
      <c r="V1237" s="39">
        <f>IF($A1237="","",IF(COUNTIF(변동분석!$E$7:$E$506,O1237)&gt;0,"Y","N"))</f>
        <v/>
      </c>
      <c r="W1237" s="39">
        <f>IF($A1237="","",IFERROR(INDEX(계정매핑!$D$5:$D$504,MATCH($F1237&amp;"",계정매핑!$A$5:$A$504,0)),"미매핑"))</f>
        <v/>
      </c>
      <c r="X1237" s="9">
        <f>IF($A1237="","",$F1237&amp;"")</f>
        <v/>
      </c>
    </row>
    <row r="1238">
      <c r="A1238" s="75" t="n">
        <v>2025</v>
      </c>
      <c r="B1238" s="75" t="n">
        <v>7</v>
      </c>
      <c r="C1238" s="75" t="inlineStr">
        <is>
          <t>5100001234</t>
        </is>
      </c>
      <c r="D1238" s="78" t="n">
        <v>45849</v>
      </c>
      <c r="E1238" s="75" t="inlineStr">
        <is>
          <t>KR</t>
        </is>
      </c>
      <c r="F1238" s="75" t="n">
        <v>62301000</v>
      </c>
      <c r="G1238" s="75" t="n">
        <v>1101</v>
      </c>
      <c r="H1238" s="76" t="n">
        <v>103000</v>
      </c>
      <c r="I1238" s="75" t="inlineStr">
        <is>
          <t>7월 소모품 구입 - R문구</t>
        </is>
      </c>
      <c r="J1238" s="75" t="inlineStr">
        <is>
          <t>V10018</t>
        </is>
      </c>
      <c r="K1238" s="75" t="inlineStr">
        <is>
          <t>R문구</t>
        </is>
      </c>
      <c r="M1238" s="9">
        <f>IF($A1238="","",VALUE($A1238&amp;"")*12+VALUE($B1238&amp;""))</f>
        <v/>
      </c>
      <c r="N1238" s="39">
        <f>IF($A1238="","",IFERROR(INDEX(부서매핑!$C$5:$C$504,MATCH($G1238&amp;"",부서매핑!$A$5:$A$504,0)),"미매핑"))</f>
        <v/>
      </c>
      <c r="O1238" s="9">
        <f>IF($A1238="","",N1238&amp;"|"&amp;$F1238)</f>
        <v/>
      </c>
      <c r="P1238" s="77">
        <f>IF($A1238="",0,$H1238*설정!$C$23)</f>
        <v/>
      </c>
      <c r="Q1238" s="39">
        <f>IF($A1238="","",IF(O1238&lt;&gt;원인분석!$C$9,"",IF(AND(M1238&gt;=원인분석!$C$10,M1238&lt;=원인분석!$C$11),"당기",IF(AND(M1238&gt;=원인분석!$C$12,M1238&lt;=원인분석!$C$13),"비교",""))))</f>
        <v/>
      </c>
      <c r="R1238" s="9">
        <f>IF(Q1238="","",$K1238&amp;"")</f>
        <v/>
      </c>
      <c r="S1238" s="9">
        <f>IF(Q1238="","",IF(MATCH(R1238,$R$5:$R$100000,0)=ROW()-4,ROW(),""))</f>
        <v/>
      </c>
      <c r="T1238" s="9">
        <f>IF(Q1238="당기",ABS(P1238)+ROW()/1000000000,"")</f>
        <v/>
      </c>
      <c r="U1238" s="9">
        <f>IF(Q1238="비교",ABS(P1238)+ROW()/1000000000,"")</f>
        <v/>
      </c>
      <c r="V1238" s="39">
        <f>IF($A1238="","",IF(COUNTIF(변동분석!$E$7:$E$506,O1238)&gt;0,"Y","N"))</f>
        <v/>
      </c>
      <c r="W1238" s="39">
        <f>IF($A1238="","",IFERROR(INDEX(계정매핑!$D$5:$D$504,MATCH($F1238&amp;"",계정매핑!$A$5:$A$504,0)),"미매핑"))</f>
        <v/>
      </c>
      <c r="X1238" s="9">
        <f>IF($A1238="","",$F1238&amp;"")</f>
        <v/>
      </c>
    </row>
    <row r="1239">
      <c r="A1239" s="75" t="n">
        <v>2025</v>
      </c>
      <c r="B1239" s="75" t="n">
        <v>7</v>
      </c>
      <c r="C1239" s="75" t="inlineStr">
        <is>
          <t>5100001235</t>
        </is>
      </c>
      <c r="D1239" s="78" t="n">
        <v>45849</v>
      </c>
      <c r="E1239" s="75" t="inlineStr">
        <is>
          <t>KR</t>
        </is>
      </c>
      <c r="F1239" s="75" t="n">
        <v>62301000</v>
      </c>
      <c r="G1239" s="75" t="n">
        <v>1201</v>
      </c>
      <c r="H1239" s="76" t="n">
        <v>157000</v>
      </c>
      <c r="I1239" s="75" t="inlineStr">
        <is>
          <t>7월 소모품 구입 - R문구</t>
        </is>
      </c>
      <c r="J1239" s="75" t="inlineStr">
        <is>
          <t>V10018</t>
        </is>
      </c>
      <c r="K1239" s="75" t="inlineStr">
        <is>
          <t>R문구</t>
        </is>
      </c>
      <c r="M1239" s="9">
        <f>IF($A1239="","",VALUE($A1239&amp;"")*12+VALUE($B1239&amp;""))</f>
        <v/>
      </c>
      <c r="N1239" s="39">
        <f>IF($A1239="","",IFERROR(INDEX(부서매핑!$C$5:$C$504,MATCH($G1239&amp;"",부서매핑!$A$5:$A$504,0)),"미매핑"))</f>
        <v/>
      </c>
      <c r="O1239" s="9">
        <f>IF($A1239="","",N1239&amp;"|"&amp;$F1239)</f>
        <v/>
      </c>
      <c r="P1239" s="77">
        <f>IF($A1239="",0,$H1239*설정!$C$23)</f>
        <v/>
      </c>
      <c r="Q1239" s="39">
        <f>IF($A1239="","",IF(O1239&lt;&gt;원인분석!$C$9,"",IF(AND(M1239&gt;=원인분석!$C$10,M1239&lt;=원인분석!$C$11),"당기",IF(AND(M1239&gt;=원인분석!$C$12,M1239&lt;=원인분석!$C$13),"비교",""))))</f>
        <v/>
      </c>
      <c r="R1239" s="9">
        <f>IF(Q1239="","",$K1239&amp;"")</f>
        <v/>
      </c>
      <c r="S1239" s="9">
        <f>IF(Q1239="","",IF(MATCH(R1239,$R$5:$R$100000,0)=ROW()-4,ROW(),""))</f>
        <v/>
      </c>
      <c r="T1239" s="9">
        <f>IF(Q1239="당기",ABS(P1239)+ROW()/1000000000,"")</f>
        <v/>
      </c>
      <c r="U1239" s="9">
        <f>IF(Q1239="비교",ABS(P1239)+ROW()/1000000000,"")</f>
        <v/>
      </c>
      <c r="V1239" s="39">
        <f>IF($A1239="","",IF(COUNTIF(변동분석!$E$7:$E$506,O1239)&gt;0,"Y","N"))</f>
        <v/>
      </c>
      <c r="W1239" s="39">
        <f>IF($A1239="","",IFERROR(INDEX(계정매핑!$D$5:$D$504,MATCH($F1239&amp;"",계정매핑!$A$5:$A$504,0)),"미매핑"))</f>
        <v/>
      </c>
      <c r="X1239" s="9">
        <f>IF($A1239="","",$F1239&amp;"")</f>
        <v/>
      </c>
    </row>
    <row r="1240">
      <c r="A1240" s="75" t="n">
        <v>2025</v>
      </c>
      <c r="B1240" s="75" t="n">
        <v>7</v>
      </c>
      <c r="C1240" s="75" t="inlineStr">
        <is>
          <t>5100001236</t>
        </is>
      </c>
      <c r="D1240" s="78" t="n">
        <v>45849</v>
      </c>
      <c r="E1240" s="75" t="inlineStr">
        <is>
          <t>KR</t>
        </is>
      </c>
      <c r="F1240" s="75" t="n">
        <v>62301000</v>
      </c>
      <c r="G1240" s="75" t="n">
        <v>1601</v>
      </c>
      <c r="H1240" s="76" t="n">
        <v>378000</v>
      </c>
      <c r="I1240" s="75" t="inlineStr">
        <is>
          <t>7월 소모품 구입 - Q오피스</t>
        </is>
      </c>
      <c r="J1240" s="75" t="inlineStr">
        <is>
          <t>V10003</t>
        </is>
      </c>
      <c r="K1240" s="75" t="inlineStr">
        <is>
          <t>Q오피스</t>
        </is>
      </c>
      <c r="M1240" s="9">
        <f>IF($A1240="","",VALUE($A1240&amp;"")*12+VALUE($B1240&amp;""))</f>
        <v/>
      </c>
      <c r="N1240" s="39">
        <f>IF($A1240="","",IFERROR(INDEX(부서매핑!$C$5:$C$504,MATCH($G1240&amp;"",부서매핑!$A$5:$A$504,0)),"미매핑"))</f>
        <v/>
      </c>
      <c r="O1240" s="9">
        <f>IF($A1240="","",N1240&amp;"|"&amp;$F1240)</f>
        <v/>
      </c>
      <c r="P1240" s="77">
        <f>IF($A1240="",0,$H1240*설정!$C$23)</f>
        <v/>
      </c>
      <c r="Q1240" s="39">
        <f>IF($A1240="","",IF(O1240&lt;&gt;원인분석!$C$9,"",IF(AND(M1240&gt;=원인분석!$C$10,M1240&lt;=원인분석!$C$11),"당기",IF(AND(M1240&gt;=원인분석!$C$12,M1240&lt;=원인분석!$C$13),"비교",""))))</f>
        <v/>
      </c>
      <c r="R1240" s="9">
        <f>IF(Q1240="","",$K1240&amp;"")</f>
        <v/>
      </c>
      <c r="S1240" s="9">
        <f>IF(Q1240="","",IF(MATCH(R1240,$R$5:$R$100000,0)=ROW()-4,ROW(),""))</f>
        <v/>
      </c>
      <c r="T1240" s="9">
        <f>IF(Q1240="당기",ABS(P1240)+ROW()/1000000000,"")</f>
        <v/>
      </c>
      <c r="U1240" s="9">
        <f>IF(Q1240="비교",ABS(P1240)+ROW()/1000000000,"")</f>
        <v/>
      </c>
      <c r="V1240" s="39">
        <f>IF($A1240="","",IF(COUNTIF(변동분석!$E$7:$E$506,O1240)&gt;0,"Y","N"))</f>
        <v/>
      </c>
      <c r="W1240" s="39">
        <f>IF($A1240="","",IFERROR(INDEX(계정매핑!$D$5:$D$504,MATCH($F1240&amp;"",계정매핑!$A$5:$A$504,0)),"미매핑"))</f>
        <v/>
      </c>
      <c r="X1240" s="9">
        <f>IF($A1240="","",$F1240&amp;"")</f>
        <v/>
      </c>
    </row>
    <row r="1241">
      <c r="A1241" s="75" t="n">
        <v>2025</v>
      </c>
      <c r="B1241" s="75" t="n">
        <v>7</v>
      </c>
      <c r="C1241" s="75" t="inlineStr">
        <is>
          <t>5100001237</t>
        </is>
      </c>
      <c r="D1241" s="78" t="n">
        <v>45849</v>
      </c>
      <c r="E1241" s="75" t="inlineStr">
        <is>
          <t>KR</t>
        </is>
      </c>
      <c r="F1241" s="75" t="n">
        <v>62801000</v>
      </c>
      <c r="G1241" s="75" t="n">
        <v>1301</v>
      </c>
      <c r="H1241" s="76" t="n">
        <v>3005000</v>
      </c>
      <c r="I1241" s="75" t="inlineStr">
        <is>
          <t>7월 사내교육 - U에듀</t>
        </is>
      </c>
      <c r="J1241" s="75" t="inlineStr">
        <is>
          <t>V10026</t>
        </is>
      </c>
      <c r="K1241" s="75" t="inlineStr">
        <is>
          <t>U에듀</t>
        </is>
      </c>
      <c r="M1241" s="9">
        <f>IF($A1241="","",VALUE($A1241&amp;"")*12+VALUE($B1241&amp;""))</f>
        <v/>
      </c>
      <c r="N1241" s="39">
        <f>IF($A1241="","",IFERROR(INDEX(부서매핑!$C$5:$C$504,MATCH($G1241&amp;"",부서매핑!$A$5:$A$504,0)),"미매핑"))</f>
        <v/>
      </c>
      <c r="O1241" s="9">
        <f>IF($A1241="","",N1241&amp;"|"&amp;$F1241)</f>
        <v/>
      </c>
      <c r="P1241" s="77">
        <f>IF($A1241="",0,$H1241*설정!$C$23)</f>
        <v/>
      </c>
      <c r="Q1241" s="39">
        <f>IF($A1241="","",IF(O1241&lt;&gt;원인분석!$C$9,"",IF(AND(M1241&gt;=원인분석!$C$10,M1241&lt;=원인분석!$C$11),"당기",IF(AND(M1241&gt;=원인분석!$C$12,M1241&lt;=원인분석!$C$13),"비교",""))))</f>
        <v/>
      </c>
      <c r="R1241" s="9">
        <f>IF(Q1241="","",$K1241&amp;"")</f>
        <v/>
      </c>
      <c r="S1241" s="9">
        <f>IF(Q1241="","",IF(MATCH(R1241,$R$5:$R$100000,0)=ROW()-4,ROW(),""))</f>
        <v/>
      </c>
      <c r="T1241" s="9">
        <f>IF(Q1241="당기",ABS(P1241)+ROW()/1000000000,"")</f>
        <v/>
      </c>
      <c r="U1241" s="9">
        <f>IF(Q1241="비교",ABS(P1241)+ROW()/1000000000,"")</f>
        <v/>
      </c>
      <c r="V1241" s="39">
        <f>IF($A1241="","",IF(COUNTIF(변동분석!$E$7:$E$506,O1241)&gt;0,"Y","N"))</f>
        <v/>
      </c>
      <c r="W1241" s="39">
        <f>IF($A1241="","",IFERROR(INDEX(계정매핑!$D$5:$D$504,MATCH($F1241&amp;"",계정매핑!$A$5:$A$504,0)),"미매핑"))</f>
        <v/>
      </c>
      <c r="X1241" s="9">
        <f>IF($A1241="","",$F1241&amp;"")</f>
        <v/>
      </c>
    </row>
    <row r="1242">
      <c r="A1242" s="75" t="n">
        <v>2025</v>
      </c>
      <c r="B1242" s="75" t="n">
        <v>7</v>
      </c>
      <c r="C1242" s="75" t="inlineStr">
        <is>
          <t>5100001238</t>
        </is>
      </c>
      <c r="D1242" s="78" t="n">
        <v>45849</v>
      </c>
      <c r="E1242" s="75" t="inlineStr">
        <is>
          <t>KR</t>
        </is>
      </c>
      <c r="F1242" s="75" t="n">
        <v>62801000</v>
      </c>
      <c r="G1242" s="75" t="n">
        <v>1301</v>
      </c>
      <c r="H1242" s="76" t="n">
        <v>4249000</v>
      </c>
      <c r="I1242" s="75" t="inlineStr">
        <is>
          <t>7월 사내교육 - (사내강사료)</t>
        </is>
      </c>
      <c r="J1242" s="75" t="inlineStr">
        <is>
          <t>V10020</t>
        </is>
      </c>
      <c r="K1242" s="75" t="inlineStr">
        <is>
          <t>(사내강사료)</t>
        </is>
      </c>
      <c r="M1242" s="9">
        <f>IF($A1242="","",VALUE($A1242&amp;"")*12+VALUE($B1242&amp;""))</f>
        <v/>
      </c>
      <c r="N1242" s="39">
        <f>IF($A1242="","",IFERROR(INDEX(부서매핑!$C$5:$C$504,MATCH($G1242&amp;"",부서매핑!$A$5:$A$504,0)),"미매핑"))</f>
        <v/>
      </c>
      <c r="O1242" s="9">
        <f>IF($A1242="","",N1242&amp;"|"&amp;$F1242)</f>
        <v/>
      </c>
      <c r="P1242" s="77">
        <f>IF($A1242="",0,$H1242*설정!$C$23)</f>
        <v/>
      </c>
      <c r="Q1242" s="39">
        <f>IF($A1242="","",IF(O1242&lt;&gt;원인분석!$C$9,"",IF(AND(M1242&gt;=원인분석!$C$10,M1242&lt;=원인분석!$C$11),"당기",IF(AND(M1242&gt;=원인분석!$C$12,M1242&lt;=원인분석!$C$13),"비교",""))))</f>
        <v/>
      </c>
      <c r="R1242" s="9">
        <f>IF(Q1242="","",$K1242&amp;"")</f>
        <v/>
      </c>
      <c r="S1242" s="9">
        <f>IF(Q1242="","",IF(MATCH(R1242,$R$5:$R$100000,0)=ROW()-4,ROW(),""))</f>
        <v/>
      </c>
      <c r="T1242" s="9">
        <f>IF(Q1242="당기",ABS(P1242)+ROW()/1000000000,"")</f>
        <v/>
      </c>
      <c r="U1242" s="9">
        <f>IF(Q1242="비교",ABS(P1242)+ROW()/1000000000,"")</f>
        <v/>
      </c>
      <c r="V1242" s="39">
        <f>IF($A1242="","",IF(COUNTIF(변동분석!$E$7:$E$506,O1242)&gt;0,"Y","N"))</f>
        <v/>
      </c>
      <c r="W1242" s="39">
        <f>IF($A1242="","",IFERROR(INDEX(계정매핑!$D$5:$D$504,MATCH($F1242&amp;"",계정매핑!$A$5:$A$504,0)),"미매핑"))</f>
        <v/>
      </c>
      <c r="X1242" s="9">
        <f>IF($A1242="","",$F1242&amp;"")</f>
        <v/>
      </c>
    </row>
    <row r="1243">
      <c r="A1243" s="75" t="n">
        <v>2025</v>
      </c>
      <c r="B1243" s="75" t="n">
        <v>7</v>
      </c>
      <c r="C1243" s="75" t="inlineStr">
        <is>
          <t>5100001239</t>
        </is>
      </c>
      <c r="D1243" s="78" t="n">
        <v>45849</v>
      </c>
      <c r="E1243" s="75" t="inlineStr">
        <is>
          <t>KR</t>
        </is>
      </c>
      <c r="F1243" s="75" t="n">
        <v>62901000</v>
      </c>
      <c r="G1243" s="75" t="n">
        <v>1201</v>
      </c>
      <c r="H1243" s="76" t="n">
        <v>3002000</v>
      </c>
      <c r="I1243" s="75" t="inlineStr">
        <is>
          <t>7월 자문 수수료 - K회계법인</t>
        </is>
      </c>
      <c r="J1243" s="75" t="inlineStr">
        <is>
          <t>V10010</t>
        </is>
      </c>
      <c r="K1243" s="75" t="inlineStr">
        <is>
          <t>K회계법인</t>
        </is>
      </c>
      <c r="M1243" s="9">
        <f>IF($A1243="","",VALUE($A1243&amp;"")*12+VALUE($B1243&amp;""))</f>
        <v/>
      </c>
      <c r="N1243" s="39">
        <f>IF($A1243="","",IFERROR(INDEX(부서매핑!$C$5:$C$504,MATCH($G1243&amp;"",부서매핑!$A$5:$A$504,0)),"미매핑"))</f>
        <v/>
      </c>
      <c r="O1243" s="9">
        <f>IF($A1243="","",N1243&amp;"|"&amp;$F1243)</f>
        <v/>
      </c>
      <c r="P1243" s="77">
        <f>IF($A1243="",0,$H1243*설정!$C$23)</f>
        <v/>
      </c>
      <c r="Q1243" s="39">
        <f>IF($A1243="","",IF(O1243&lt;&gt;원인분석!$C$9,"",IF(AND(M1243&gt;=원인분석!$C$10,M1243&lt;=원인분석!$C$11),"당기",IF(AND(M1243&gt;=원인분석!$C$12,M1243&lt;=원인분석!$C$13),"비교",""))))</f>
        <v/>
      </c>
      <c r="R1243" s="9">
        <f>IF(Q1243="","",$K1243&amp;"")</f>
        <v/>
      </c>
      <c r="S1243" s="9">
        <f>IF(Q1243="","",IF(MATCH(R1243,$R$5:$R$100000,0)=ROW()-4,ROW(),""))</f>
        <v/>
      </c>
      <c r="T1243" s="9">
        <f>IF(Q1243="당기",ABS(P1243)+ROW()/1000000000,"")</f>
        <v/>
      </c>
      <c r="U1243" s="9">
        <f>IF(Q1243="비교",ABS(P1243)+ROW()/1000000000,"")</f>
        <v/>
      </c>
      <c r="V1243" s="39">
        <f>IF($A1243="","",IF(COUNTIF(변동분석!$E$7:$E$506,O1243)&gt;0,"Y","N"))</f>
        <v/>
      </c>
      <c r="W1243" s="39">
        <f>IF($A1243="","",IFERROR(INDEX(계정매핑!$D$5:$D$504,MATCH($F1243&amp;"",계정매핑!$A$5:$A$504,0)),"미매핑"))</f>
        <v/>
      </c>
      <c r="X1243" s="9">
        <f>IF($A1243="","",$F1243&amp;"")</f>
        <v/>
      </c>
    </row>
    <row r="1244">
      <c r="A1244" s="75" t="n">
        <v>2025</v>
      </c>
      <c r="B1244" s="75" t="n">
        <v>7</v>
      </c>
      <c r="C1244" s="75" t="inlineStr">
        <is>
          <t>5100001240</t>
        </is>
      </c>
      <c r="D1244" s="78" t="n">
        <v>45849</v>
      </c>
      <c r="E1244" s="75" t="inlineStr">
        <is>
          <t>KR</t>
        </is>
      </c>
      <c r="F1244" s="75" t="n">
        <v>62901000</v>
      </c>
      <c r="G1244" s="75" t="n">
        <v>1801</v>
      </c>
      <c r="H1244" s="76" t="n">
        <v>12923000</v>
      </c>
      <c r="I1244" s="75" t="inlineStr">
        <is>
          <t>7월 자문 수수료 - W컨설팅</t>
        </is>
      </c>
      <c r="J1244" s="75" t="inlineStr">
        <is>
          <t>V10009</t>
        </is>
      </c>
      <c r="K1244" s="75" t="inlineStr">
        <is>
          <t>W컨설팅</t>
        </is>
      </c>
      <c r="M1244" s="9">
        <f>IF($A1244="","",VALUE($A1244&amp;"")*12+VALUE($B1244&amp;""))</f>
        <v/>
      </c>
      <c r="N1244" s="39">
        <f>IF($A1244="","",IFERROR(INDEX(부서매핑!$C$5:$C$504,MATCH($G1244&amp;"",부서매핑!$A$5:$A$504,0)),"미매핑"))</f>
        <v/>
      </c>
      <c r="O1244" s="9">
        <f>IF($A1244="","",N1244&amp;"|"&amp;$F1244)</f>
        <v/>
      </c>
      <c r="P1244" s="77">
        <f>IF($A1244="",0,$H1244*설정!$C$23)</f>
        <v/>
      </c>
      <c r="Q1244" s="39">
        <f>IF($A1244="","",IF(O1244&lt;&gt;원인분석!$C$9,"",IF(AND(M1244&gt;=원인분석!$C$10,M1244&lt;=원인분석!$C$11),"당기",IF(AND(M1244&gt;=원인분석!$C$12,M1244&lt;=원인분석!$C$13),"비교",""))))</f>
        <v/>
      </c>
      <c r="R1244" s="9">
        <f>IF(Q1244="","",$K1244&amp;"")</f>
        <v/>
      </c>
      <c r="S1244" s="9">
        <f>IF(Q1244="","",IF(MATCH(R1244,$R$5:$R$100000,0)=ROW()-4,ROW(),""))</f>
        <v/>
      </c>
      <c r="T1244" s="9">
        <f>IF(Q1244="당기",ABS(P1244)+ROW()/1000000000,"")</f>
        <v/>
      </c>
      <c r="U1244" s="9">
        <f>IF(Q1244="비교",ABS(P1244)+ROW()/1000000000,"")</f>
        <v/>
      </c>
      <c r="V1244" s="39">
        <f>IF($A1244="","",IF(COUNTIF(변동분석!$E$7:$E$506,O1244)&gt;0,"Y","N"))</f>
        <v/>
      </c>
      <c r="W1244" s="39">
        <f>IF($A1244="","",IFERROR(INDEX(계정매핑!$D$5:$D$504,MATCH($F1244&amp;"",계정매핑!$A$5:$A$504,0)),"미매핑"))</f>
        <v/>
      </c>
      <c r="X1244" s="9">
        <f>IF($A1244="","",$F1244&amp;"")</f>
        <v/>
      </c>
    </row>
    <row r="1245">
      <c r="A1245" s="75" t="n">
        <v>2025</v>
      </c>
      <c r="B1245" s="75" t="n">
        <v>7</v>
      </c>
      <c r="C1245" s="75" t="inlineStr">
        <is>
          <t>5100001241</t>
        </is>
      </c>
      <c r="D1245" s="78" t="n">
        <v>45849</v>
      </c>
      <c r="E1245" s="75" t="inlineStr">
        <is>
          <t>KR</t>
        </is>
      </c>
      <c r="F1245" s="75" t="n">
        <v>62902000</v>
      </c>
      <c r="G1245" s="75" t="n">
        <v>1101</v>
      </c>
      <c r="H1245" s="76" t="n">
        <v>2762000</v>
      </c>
      <c r="I1245" s="75" t="inlineStr">
        <is>
          <t>7월 업무 위탁 수수료 - J콜센터</t>
        </is>
      </c>
      <c r="J1245" s="75" t="inlineStr">
        <is>
          <t>V10013</t>
        </is>
      </c>
      <c r="K1245" s="75" t="inlineStr">
        <is>
          <t>J콜센터</t>
        </is>
      </c>
      <c r="M1245" s="9">
        <f>IF($A1245="","",VALUE($A1245&amp;"")*12+VALUE($B1245&amp;""))</f>
        <v/>
      </c>
      <c r="N1245" s="39">
        <f>IF($A1245="","",IFERROR(INDEX(부서매핑!$C$5:$C$504,MATCH($G1245&amp;"",부서매핑!$A$5:$A$504,0)),"미매핑"))</f>
        <v/>
      </c>
      <c r="O1245" s="9">
        <f>IF($A1245="","",N1245&amp;"|"&amp;$F1245)</f>
        <v/>
      </c>
      <c r="P1245" s="77">
        <f>IF($A1245="",0,$H1245*설정!$C$23)</f>
        <v/>
      </c>
      <c r="Q1245" s="39">
        <f>IF($A1245="","",IF(O1245&lt;&gt;원인분석!$C$9,"",IF(AND(M1245&gt;=원인분석!$C$10,M1245&lt;=원인분석!$C$11),"당기",IF(AND(M1245&gt;=원인분석!$C$12,M1245&lt;=원인분석!$C$13),"비교",""))))</f>
        <v/>
      </c>
      <c r="R1245" s="9">
        <f>IF(Q1245="","",$K1245&amp;"")</f>
        <v/>
      </c>
      <c r="S1245" s="9">
        <f>IF(Q1245="","",IF(MATCH(R1245,$R$5:$R$100000,0)=ROW()-4,ROW(),""))</f>
        <v/>
      </c>
      <c r="T1245" s="9">
        <f>IF(Q1245="당기",ABS(P1245)+ROW()/1000000000,"")</f>
        <v/>
      </c>
      <c r="U1245" s="9">
        <f>IF(Q1245="비교",ABS(P1245)+ROW()/1000000000,"")</f>
        <v/>
      </c>
      <c r="V1245" s="39">
        <f>IF($A1245="","",IF(COUNTIF(변동분석!$E$7:$E$506,O1245)&gt;0,"Y","N"))</f>
        <v/>
      </c>
      <c r="W1245" s="39">
        <f>IF($A1245="","",IFERROR(INDEX(계정매핑!$D$5:$D$504,MATCH($F1245&amp;"",계정매핑!$A$5:$A$504,0)),"미매핑"))</f>
        <v/>
      </c>
      <c r="X1245" s="9">
        <f>IF($A1245="","",$F1245&amp;"")</f>
        <v/>
      </c>
    </row>
    <row r="1246">
      <c r="A1246" s="75" t="n">
        <v>2025</v>
      </c>
      <c r="B1246" s="75" t="n">
        <v>7</v>
      </c>
      <c r="C1246" s="75" t="inlineStr">
        <is>
          <t>5100001242</t>
        </is>
      </c>
      <c r="D1246" s="78" t="n">
        <v>45849</v>
      </c>
      <c r="E1246" s="75" t="inlineStr">
        <is>
          <t>KR</t>
        </is>
      </c>
      <c r="F1246" s="75" t="n">
        <v>62902000</v>
      </c>
      <c r="G1246" s="75" t="n">
        <v>1801</v>
      </c>
      <c r="H1246" s="76" t="n">
        <v>1798000</v>
      </c>
      <c r="I1246" s="75" t="inlineStr">
        <is>
          <t>7월 콜 위탁 수수료(건별)</t>
        </is>
      </c>
      <c r="J1246" s="75" t="inlineStr">
        <is>
          <t>V10013</t>
        </is>
      </c>
      <c r="K1246" s="75" t="inlineStr">
        <is>
          <t>J콜센터</t>
        </is>
      </c>
      <c r="M1246" s="9">
        <f>IF($A1246="","",VALUE($A1246&amp;"")*12+VALUE($B1246&amp;""))</f>
        <v/>
      </c>
      <c r="N1246" s="39">
        <f>IF($A1246="","",IFERROR(INDEX(부서매핑!$C$5:$C$504,MATCH($G1246&amp;"",부서매핑!$A$5:$A$504,0)),"미매핑"))</f>
        <v/>
      </c>
      <c r="O1246" s="9">
        <f>IF($A1246="","",N1246&amp;"|"&amp;$F1246)</f>
        <v/>
      </c>
      <c r="P1246" s="77">
        <f>IF($A1246="",0,$H1246*설정!$C$23)</f>
        <v/>
      </c>
      <c r="Q1246" s="39">
        <f>IF($A1246="","",IF(O1246&lt;&gt;원인분석!$C$9,"",IF(AND(M1246&gt;=원인분석!$C$10,M1246&lt;=원인분석!$C$11),"당기",IF(AND(M1246&gt;=원인분석!$C$12,M1246&lt;=원인분석!$C$13),"비교",""))))</f>
        <v/>
      </c>
      <c r="R1246" s="9">
        <f>IF(Q1246="","",$K1246&amp;"")</f>
        <v/>
      </c>
      <c r="S1246" s="9">
        <f>IF(Q1246="","",IF(MATCH(R1246,$R$5:$R$100000,0)=ROW()-4,ROW(),""))</f>
        <v/>
      </c>
      <c r="T1246" s="9">
        <f>IF(Q1246="당기",ABS(P1246)+ROW()/1000000000,"")</f>
        <v/>
      </c>
      <c r="U1246" s="9">
        <f>IF(Q1246="비교",ABS(P1246)+ROW()/1000000000,"")</f>
        <v/>
      </c>
      <c r="V1246" s="39">
        <f>IF($A1246="","",IF(COUNTIF(변동분석!$E$7:$E$506,O1246)&gt;0,"Y","N"))</f>
        <v/>
      </c>
      <c r="W1246" s="39">
        <f>IF($A1246="","",IFERROR(INDEX(계정매핑!$D$5:$D$504,MATCH($F1246&amp;"",계정매핑!$A$5:$A$504,0)),"미매핑"))</f>
        <v/>
      </c>
      <c r="X1246" s="9">
        <f>IF($A1246="","",$F1246&amp;"")</f>
        <v/>
      </c>
    </row>
    <row r="1247">
      <c r="A1247" s="75" t="n">
        <v>2025</v>
      </c>
      <c r="B1247" s="75" t="n">
        <v>7</v>
      </c>
      <c r="C1247" s="75" t="inlineStr">
        <is>
          <t>5100001243</t>
        </is>
      </c>
      <c r="D1247" s="78" t="n">
        <v>45849</v>
      </c>
      <c r="E1247" s="75" t="inlineStr">
        <is>
          <t>KR</t>
        </is>
      </c>
      <c r="F1247" s="75" t="n">
        <v>62902000</v>
      </c>
      <c r="G1247" s="75" t="n">
        <v>1801</v>
      </c>
      <c r="H1247" s="76" t="n">
        <v>3000000</v>
      </c>
      <c r="I1247" s="75" t="inlineStr">
        <is>
          <t>7월 업무 위탁 수수료 - X서비스</t>
        </is>
      </c>
      <c r="J1247" s="75" t="inlineStr">
        <is>
          <t>V10016</t>
        </is>
      </c>
      <c r="K1247" s="75" t="inlineStr">
        <is>
          <t>X서비스</t>
        </is>
      </c>
      <c r="M1247" s="9">
        <f>IF($A1247="","",VALUE($A1247&amp;"")*12+VALUE($B1247&amp;""))</f>
        <v/>
      </c>
      <c r="N1247" s="39">
        <f>IF($A1247="","",IFERROR(INDEX(부서매핑!$C$5:$C$504,MATCH($G1247&amp;"",부서매핑!$A$5:$A$504,0)),"미매핑"))</f>
        <v/>
      </c>
      <c r="O1247" s="9">
        <f>IF($A1247="","",N1247&amp;"|"&amp;$F1247)</f>
        <v/>
      </c>
      <c r="P1247" s="77">
        <f>IF($A1247="",0,$H1247*설정!$C$23)</f>
        <v/>
      </c>
      <c r="Q1247" s="39">
        <f>IF($A1247="","",IF(O1247&lt;&gt;원인분석!$C$9,"",IF(AND(M1247&gt;=원인분석!$C$10,M1247&lt;=원인분석!$C$11),"당기",IF(AND(M1247&gt;=원인분석!$C$12,M1247&lt;=원인분석!$C$13),"비교",""))))</f>
        <v/>
      </c>
      <c r="R1247" s="9">
        <f>IF(Q1247="","",$K1247&amp;"")</f>
        <v/>
      </c>
      <c r="S1247" s="9">
        <f>IF(Q1247="","",IF(MATCH(R1247,$R$5:$R$100000,0)=ROW()-4,ROW(),""))</f>
        <v/>
      </c>
      <c r="T1247" s="9">
        <f>IF(Q1247="당기",ABS(P1247)+ROW()/1000000000,"")</f>
        <v/>
      </c>
      <c r="U1247" s="9">
        <f>IF(Q1247="비교",ABS(P1247)+ROW()/1000000000,"")</f>
        <v/>
      </c>
      <c r="V1247" s="39">
        <f>IF($A1247="","",IF(COUNTIF(변동분석!$E$7:$E$506,O1247)&gt;0,"Y","N"))</f>
        <v/>
      </c>
      <c r="W1247" s="39">
        <f>IF($A1247="","",IFERROR(INDEX(계정매핑!$D$5:$D$504,MATCH($F1247&amp;"",계정매핑!$A$5:$A$504,0)),"미매핑"))</f>
        <v/>
      </c>
      <c r="X1247" s="9">
        <f>IF($A1247="","",$F1247&amp;"")</f>
        <v/>
      </c>
    </row>
    <row r="1248">
      <c r="A1248" s="75" t="n">
        <v>2025</v>
      </c>
      <c r="B1248" s="75" t="n">
        <v>7</v>
      </c>
      <c r="C1248" s="75" t="inlineStr">
        <is>
          <t>5100001244</t>
        </is>
      </c>
      <c r="D1248" s="78" t="n">
        <v>45850</v>
      </c>
      <c r="E1248" s="75" t="inlineStr">
        <is>
          <t>KR</t>
        </is>
      </c>
      <c r="F1248" s="75" t="n">
        <v>62101000</v>
      </c>
      <c r="G1248" s="75" t="n">
        <v>1301</v>
      </c>
      <c r="H1248" s="76" t="n">
        <v>354000</v>
      </c>
      <c r="I1248" s="75" t="inlineStr">
        <is>
          <t>7월 국내출장 - M항공</t>
        </is>
      </c>
      <c r="J1248" s="75" t="inlineStr">
        <is>
          <t>V10001</t>
        </is>
      </c>
      <c r="K1248" s="75" t="inlineStr">
        <is>
          <t>M항공</t>
        </is>
      </c>
      <c r="M1248" s="9">
        <f>IF($A1248="","",VALUE($A1248&amp;"")*12+VALUE($B1248&amp;""))</f>
        <v/>
      </c>
      <c r="N1248" s="39">
        <f>IF($A1248="","",IFERROR(INDEX(부서매핑!$C$5:$C$504,MATCH($G1248&amp;"",부서매핑!$A$5:$A$504,0)),"미매핑"))</f>
        <v/>
      </c>
      <c r="O1248" s="9">
        <f>IF($A1248="","",N1248&amp;"|"&amp;$F1248)</f>
        <v/>
      </c>
      <c r="P1248" s="77">
        <f>IF($A1248="",0,$H1248*설정!$C$23)</f>
        <v/>
      </c>
      <c r="Q1248" s="39">
        <f>IF($A1248="","",IF(O1248&lt;&gt;원인분석!$C$9,"",IF(AND(M1248&gt;=원인분석!$C$10,M1248&lt;=원인분석!$C$11),"당기",IF(AND(M1248&gt;=원인분석!$C$12,M1248&lt;=원인분석!$C$13),"비교",""))))</f>
        <v/>
      </c>
      <c r="R1248" s="9">
        <f>IF(Q1248="","",$K1248&amp;"")</f>
        <v/>
      </c>
      <c r="S1248" s="9">
        <f>IF(Q1248="","",IF(MATCH(R1248,$R$5:$R$100000,0)=ROW()-4,ROW(),""))</f>
        <v/>
      </c>
      <c r="T1248" s="9">
        <f>IF(Q1248="당기",ABS(P1248)+ROW()/1000000000,"")</f>
        <v/>
      </c>
      <c r="U1248" s="9">
        <f>IF(Q1248="비교",ABS(P1248)+ROW()/1000000000,"")</f>
        <v/>
      </c>
      <c r="V1248" s="39">
        <f>IF($A1248="","",IF(COUNTIF(변동분석!$E$7:$E$506,O1248)&gt;0,"Y","N"))</f>
        <v/>
      </c>
      <c r="W1248" s="39">
        <f>IF($A1248="","",IFERROR(INDEX(계정매핑!$D$5:$D$504,MATCH($F1248&amp;"",계정매핑!$A$5:$A$504,0)),"미매핑"))</f>
        <v/>
      </c>
      <c r="X1248" s="9">
        <f>IF($A1248="","",$F1248&amp;"")</f>
        <v/>
      </c>
    </row>
    <row r="1249">
      <c r="A1249" s="75" t="n">
        <v>2025</v>
      </c>
      <c r="B1249" s="75" t="n">
        <v>7</v>
      </c>
      <c r="C1249" s="75" t="inlineStr">
        <is>
          <t>5100001245</t>
        </is>
      </c>
      <c r="D1249" s="78" t="n">
        <v>45850</v>
      </c>
      <c r="E1249" s="75" t="inlineStr">
        <is>
          <t>KR</t>
        </is>
      </c>
      <c r="F1249" s="75" t="n">
        <v>62101000</v>
      </c>
      <c r="G1249" s="75" t="n">
        <v>1602</v>
      </c>
      <c r="H1249" s="76" t="n">
        <v>841000</v>
      </c>
      <c r="I1249" s="75" t="inlineStr">
        <is>
          <t>7월 국내출장 - (법인카드)</t>
        </is>
      </c>
      <c r="J1249" s="75" t="inlineStr">
        <is>
          <t>V10008</t>
        </is>
      </c>
      <c r="K1249" s="75" t="inlineStr">
        <is>
          <t>(법인카드)</t>
        </is>
      </c>
      <c r="M1249" s="9">
        <f>IF($A1249="","",VALUE($A1249&amp;"")*12+VALUE($B1249&amp;""))</f>
        <v/>
      </c>
      <c r="N1249" s="39">
        <f>IF($A1249="","",IFERROR(INDEX(부서매핑!$C$5:$C$504,MATCH($G1249&amp;"",부서매핑!$A$5:$A$504,0)),"미매핑"))</f>
        <v/>
      </c>
      <c r="O1249" s="9">
        <f>IF($A1249="","",N1249&amp;"|"&amp;$F1249)</f>
        <v/>
      </c>
      <c r="P1249" s="77">
        <f>IF($A1249="",0,$H1249*설정!$C$23)</f>
        <v/>
      </c>
      <c r="Q1249" s="39">
        <f>IF($A1249="","",IF(O1249&lt;&gt;원인분석!$C$9,"",IF(AND(M1249&gt;=원인분석!$C$10,M1249&lt;=원인분석!$C$11),"당기",IF(AND(M1249&gt;=원인분석!$C$12,M1249&lt;=원인분석!$C$13),"비교",""))))</f>
        <v/>
      </c>
      <c r="R1249" s="9">
        <f>IF(Q1249="","",$K1249&amp;"")</f>
        <v/>
      </c>
      <c r="S1249" s="9">
        <f>IF(Q1249="","",IF(MATCH(R1249,$R$5:$R$100000,0)=ROW()-4,ROW(),""))</f>
        <v/>
      </c>
      <c r="T1249" s="9">
        <f>IF(Q1249="당기",ABS(P1249)+ROW()/1000000000,"")</f>
        <v/>
      </c>
      <c r="U1249" s="9">
        <f>IF(Q1249="비교",ABS(P1249)+ROW()/1000000000,"")</f>
        <v/>
      </c>
      <c r="V1249" s="39">
        <f>IF($A1249="","",IF(COUNTIF(변동분석!$E$7:$E$506,O1249)&gt;0,"Y","N"))</f>
        <v/>
      </c>
      <c r="W1249" s="39">
        <f>IF($A1249="","",IFERROR(INDEX(계정매핑!$D$5:$D$504,MATCH($F1249&amp;"",계정매핑!$A$5:$A$504,0)),"미매핑"))</f>
        <v/>
      </c>
      <c r="X1249" s="9">
        <f>IF($A1249="","",$F1249&amp;"")</f>
        <v/>
      </c>
    </row>
    <row r="1250">
      <c r="A1250" s="75" t="n">
        <v>2025</v>
      </c>
      <c r="B1250" s="75" t="n">
        <v>7</v>
      </c>
      <c r="C1250" s="75" t="inlineStr">
        <is>
          <t>5100001246</t>
        </is>
      </c>
      <c r="D1250" s="78" t="n">
        <v>45850</v>
      </c>
      <c r="E1250" s="75" t="inlineStr">
        <is>
          <t>KR</t>
        </is>
      </c>
      <c r="F1250" s="75" t="n">
        <v>62101000</v>
      </c>
      <c r="G1250" s="75" t="n">
        <v>1801</v>
      </c>
      <c r="H1250" s="76" t="n">
        <v>144000</v>
      </c>
      <c r="I1250" s="75" t="inlineStr">
        <is>
          <t>7월 국내출장 - L여행사</t>
        </is>
      </c>
      <c r="J1250" s="75" t="inlineStr">
        <is>
          <t>V10014</t>
        </is>
      </c>
      <c r="K1250" s="75" t="inlineStr">
        <is>
          <t>L여행사</t>
        </is>
      </c>
      <c r="M1250" s="9">
        <f>IF($A1250="","",VALUE($A1250&amp;"")*12+VALUE($B1250&amp;""))</f>
        <v/>
      </c>
      <c r="N1250" s="39">
        <f>IF($A1250="","",IFERROR(INDEX(부서매핑!$C$5:$C$504,MATCH($G1250&amp;"",부서매핑!$A$5:$A$504,0)),"미매핑"))</f>
        <v/>
      </c>
      <c r="O1250" s="9">
        <f>IF($A1250="","",N1250&amp;"|"&amp;$F1250)</f>
        <v/>
      </c>
      <c r="P1250" s="77">
        <f>IF($A1250="",0,$H1250*설정!$C$23)</f>
        <v/>
      </c>
      <c r="Q1250" s="39">
        <f>IF($A1250="","",IF(O1250&lt;&gt;원인분석!$C$9,"",IF(AND(M1250&gt;=원인분석!$C$10,M1250&lt;=원인분석!$C$11),"당기",IF(AND(M1250&gt;=원인분석!$C$12,M1250&lt;=원인분석!$C$13),"비교",""))))</f>
        <v/>
      </c>
      <c r="R1250" s="9">
        <f>IF(Q1250="","",$K1250&amp;"")</f>
        <v/>
      </c>
      <c r="S1250" s="9">
        <f>IF(Q1250="","",IF(MATCH(R1250,$R$5:$R$100000,0)=ROW()-4,ROW(),""))</f>
        <v/>
      </c>
      <c r="T1250" s="9">
        <f>IF(Q1250="당기",ABS(P1250)+ROW()/1000000000,"")</f>
        <v/>
      </c>
      <c r="U1250" s="9">
        <f>IF(Q1250="비교",ABS(P1250)+ROW()/1000000000,"")</f>
        <v/>
      </c>
      <c r="V1250" s="39">
        <f>IF($A1250="","",IF(COUNTIF(변동분석!$E$7:$E$506,O1250)&gt;0,"Y","N"))</f>
        <v/>
      </c>
      <c r="W1250" s="39">
        <f>IF($A1250="","",IFERROR(INDEX(계정매핑!$D$5:$D$504,MATCH($F1250&amp;"",계정매핑!$A$5:$A$504,0)),"미매핑"))</f>
        <v/>
      </c>
      <c r="X1250" s="9">
        <f>IF($A1250="","",$F1250&amp;"")</f>
        <v/>
      </c>
    </row>
    <row r="1251">
      <c r="A1251" s="75" t="n">
        <v>2025</v>
      </c>
      <c r="B1251" s="75" t="n">
        <v>7</v>
      </c>
      <c r="C1251" s="75" t="inlineStr">
        <is>
          <t>5100001247</t>
        </is>
      </c>
      <c r="D1251" s="78" t="n">
        <v>45850</v>
      </c>
      <c r="E1251" s="75" t="inlineStr">
        <is>
          <t>KR</t>
        </is>
      </c>
      <c r="F1251" s="75" t="n">
        <v>62102000</v>
      </c>
      <c r="G1251" s="75" t="n">
        <v>1801</v>
      </c>
      <c r="H1251" s="76" t="n">
        <v>58000</v>
      </c>
      <c r="I1251" s="75" t="inlineStr">
        <is>
          <t>7월 해외출장 - M항공</t>
        </is>
      </c>
      <c r="J1251" s="75" t="inlineStr">
        <is>
          <t>V10001</t>
        </is>
      </c>
      <c r="K1251" s="75" t="inlineStr">
        <is>
          <t>M항공</t>
        </is>
      </c>
      <c r="M1251" s="9">
        <f>IF($A1251="","",VALUE($A1251&amp;"")*12+VALUE($B1251&amp;""))</f>
        <v/>
      </c>
      <c r="N1251" s="39">
        <f>IF($A1251="","",IFERROR(INDEX(부서매핑!$C$5:$C$504,MATCH($G1251&amp;"",부서매핑!$A$5:$A$504,0)),"미매핑"))</f>
        <v/>
      </c>
      <c r="O1251" s="9">
        <f>IF($A1251="","",N1251&amp;"|"&amp;$F1251)</f>
        <v/>
      </c>
      <c r="P1251" s="77">
        <f>IF($A1251="",0,$H1251*설정!$C$23)</f>
        <v/>
      </c>
      <c r="Q1251" s="39">
        <f>IF($A1251="","",IF(O1251&lt;&gt;원인분석!$C$9,"",IF(AND(M1251&gt;=원인분석!$C$10,M1251&lt;=원인분석!$C$11),"당기",IF(AND(M1251&gt;=원인분석!$C$12,M1251&lt;=원인분석!$C$13),"비교",""))))</f>
        <v/>
      </c>
      <c r="R1251" s="9">
        <f>IF(Q1251="","",$K1251&amp;"")</f>
        <v/>
      </c>
      <c r="S1251" s="9">
        <f>IF(Q1251="","",IF(MATCH(R1251,$R$5:$R$100000,0)=ROW()-4,ROW(),""))</f>
        <v/>
      </c>
      <c r="T1251" s="9">
        <f>IF(Q1251="당기",ABS(P1251)+ROW()/1000000000,"")</f>
        <v/>
      </c>
      <c r="U1251" s="9">
        <f>IF(Q1251="비교",ABS(P1251)+ROW()/1000000000,"")</f>
        <v/>
      </c>
      <c r="V1251" s="39">
        <f>IF($A1251="","",IF(COUNTIF(변동분석!$E$7:$E$506,O1251)&gt;0,"Y","N"))</f>
        <v/>
      </c>
      <c r="W1251" s="39">
        <f>IF($A1251="","",IFERROR(INDEX(계정매핑!$D$5:$D$504,MATCH($F1251&amp;"",계정매핑!$A$5:$A$504,0)),"미매핑"))</f>
        <v/>
      </c>
      <c r="X1251" s="9">
        <f>IF($A1251="","",$F1251&amp;"")</f>
        <v/>
      </c>
    </row>
    <row r="1252">
      <c r="A1252" s="75" t="n">
        <v>2025</v>
      </c>
      <c r="B1252" s="75" t="n">
        <v>7</v>
      </c>
      <c r="C1252" s="75" t="inlineStr">
        <is>
          <t>5100001248</t>
        </is>
      </c>
      <c r="D1252" s="78" t="n">
        <v>45850</v>
      </c>
      <c r="E1252" s="75" t="inlineStr">
        <is>
          <t>KR</t>
        </is>
      </c>
      <c r="F1252" s="75" t="n">
        <v>62501000</v>
      </c>
      <c r="G1252" s="75" t="n">
        <v>1201</v>
      </c>
      <c r="H1252" s="76" t="n">
        <v>175000</v>
      </c>
      <c r="I1252" s="75" t="inlineStr">
        <is>
          <t>7월 회의 다과 - (법인카드)</t>
        </is>
      </c>
      <c r="J1252" s="75" t="inlineStr">
        <is>
          <t>V10008</t>
        </is>
      </c>
      <c r="K1252" s="75" t="inlineStr">
        <is>
          <t>(법인카드)</t>
        </is>
      </c>
      <c r="M1252" s="9">
        <f>IF($A1252="","",VALUE($A1252&amp;"")*12+VALUE($B1252&amp;""))</f>
        <v/>
      </c>
      <c r="N1252" s="39">
        <f>IF($A1252="","",IFERROR(INDEX(부서매핑!$C$5:$C$504,MATCH($G1252&amp;"",부서매핑!$A$5:$A$504,0)),"미매핑"))</f>
        <v/>
      </c>
      <c r="O1252" s="9">
        <f>IF($A1252="","",N1252&amp;"|"&amp;$F1252)</f>
        <v/>
      </c>
      <c r="P1252" s="77">
        <f>IF($A1252="",0,$H1252*설정!$C$23)</f>
        <v/>
      </c>
      <c r="Q1252" s="39">
        <f>IF($A1252="","",IF(O1252&lt;&gt;원인분석!$C$9,"",IF(AND(M1252&gt;=원인분석!$C$10,M1252&lt;=원인분석!$C$11),"당기",IF(AND(M1252&gt;=원인분석!$C$12,M1252&lt;=원인분석!$C$13),"비교",""))))</f>
        <v/>
      </c>
      <c r="R1252" s="9">
        <f>IF(Q1252="","",$K1252&amp;"")</f>
        <v/>
      </c>
      <c r="S1252" s="9">
        <f>IF(Q1252="","",IF(MATCH(R1252,$R$5:$R$100000,0)=ROW()-4,ROW(),""))</f>
        <v/>
      </c>
      <c r="T1252" s="9">
        <f>IF(Q1252="당기",ABS(P1252)+ROW()/1000000000,"")</f>
        <v/>
      </c>
      <c r="U1252" s="9">
        <f>IF(Q1252="비교",ABS(P1252)+ROW()/1000000000,"")</f>
        <v/>
      </c>
      <c r="V1252" s="39">
        <f>IF($A1252="","",IF(COUNTIF(변동분석!$E$7:$E$506,O1252)&gt;0,"Y","N"))</f>
        <v/>
      </c>
      <c r="W1252" s="39">
        <f>IF($A1252="","",IFERROR(INDEX(계정매핑!$D$5:$D$504,MATCH($F1252&amp;"",계정매핑!$A$5:$A$504,0)),"미매핑"))</f>
        <v/>
      </c>
      <c r="X1252" s="9">
        <f>IF($A1252="","",$F1252&amp;"")</f>
        <v/>
      </c>
    </row>
    <row r="1253">
      <c r="A1253" s="75" t="n">
        <v>2025</v>
      </c>
      <c r="B1253" s="75" t="n">
        <v>7</v>
      </c>
      <c r="C1253" s="75" t="inlineStr">
        <is>
          <t>5100001249</t>
        </is>
      </c>
      <c r="D1253" s="78" t="n">
        <v>45851</v>
      </c>
      <c r="E1253" s="75" t="inlineStr">
        <is>
          <t>KR</t>
        </is>
      </c>
      <c r="F1253" s="75" t="n">
        <v>62101000</v>
      </c>
      <c r="G1253" s="75" t="n">
        <v>1101</v>
      </c>
      <c r="H1253" s="76" t="n">
        <v>395000</v>
      </c>
      <c r="I1253" s="75" t="inlineStr">
        <is>
          <t>7월 국내출장 - M항공</t>
        </is>
      </c>
      <c r="J1253" s="75" t="inlineStr">
        <is>
          <t>V10001</t>
        </is>
      </c>
      <c r="K1253" s="75" t="inlineStr">
        <is>
          <t>M항공</t>
        </is>
      </c>
      <c r="M1253" s="9">
        <f>IF($A1253="","",VALUE($A1253&amp;"")*12+VALUE($B1253&amp;""))</f>
        <v/>
      </c>
      <c r="N1253" s="39">
        <f>IF($A1253="","",IFERROR(INDEX(부서매핑!$C$5:$C$504,MATCH($G1253&amp;"",부서매핑!$A$5:$A$504,0)),"미매핑"))</f>
        <v/>
      </c>
      <c r="O1253" s="9">
        <f>IF($A1253="","",N1253&amp;"|"&amp;$F1253)</f>
        <v/>
      </c>
      <c r="P1253" s="77">
        <f>IF($A1253="",0,$H1253*설정!$C$23)</f>
        <v/>
      </c>
      <c r="Q1253" s="39">
        <f>IF($A1253="","",IF(O1253&lt;&gt;원인분석!$C$9,"",IF(AND(M1253&gt;=원인분석!$C$10,M1253&lt;=원인분석!$C$11),"당기",IF(AND(M1253&gt;=원인분석!$C$12,M1253&lt;=원인분석!$C$13),"비교",""))))</f>
        <v/>
      </c>
      <c r="R1253" s="9">
        <f>IF(Q1253="","",$K1253&amp;"")</f>
        <v/>
      </c>
      <c r="S1253" s="9">
        <f>IF(Q1253="","",IF(MATCH(R1253,$R$5:$R$100000,0)=ROW()-4,ROW(),""))</f>
        <v/>
      </c>
      <c r="T1253" s="9">
        <f>IF(Q1253="당기",ABS(P1253)+ROW()/1000000000,"")</f>
        <v/>
      </c>
      <c r="U1253" s="9">
        <f>IF(Q1253="비교",ABS(P1253)+ROW()/1000000000,"")</f>
        <v/>
      </c>
      <c r="V1253" s="39">
        <f>IF($A1253="","",IF(COUNTIF(변동분석!$E$7:$E$506,O1253)&gt;0,"Y","N"))</f>
        <v/>
      </c>
      <c r="W1253" s="39">
        <f>IF($A1253="","",IFERROR(INDEX(계정매핑!$D$5:$D$504,MATCH($F1253&amp;"",계정매핑!$A$5:$A$504,0)),"미매핑"))</f>
        <v/>
      </c>
      <c r="X1253" s="9">
        <f>IF($A1253="","",$F1253&amp;"")</f>
        <v/>
      </c>
    </row>
    <row r="1254">
      <c r="A1254" s="75" t="n">
        <v>2025</v>
      </c>
      <c r="B1254" s="75" t="n">
        <v>7</v>
      </c>
      <c r="C1254" s="75" t="inlineStr">
        <is>
          <t>5100001250</t>
        </is>
      </c>
      <c r="D1254" s="78" t="n">
        <v>45851</v>
      </c>
      <c r="E1254" s="75" t="inlineStr">
        <is>
          <t>KR</t>
        </is>
      </c>
      <c r="F1254" s="75" t="n">
        <v>62101000</v>
      </c>
      <c r="G1254" s="75" t="n">
        <v>1801</v>
      </c>
      <c r="H1254" s="76" t="n">
        <v>104000</v>
      </c>
      <c r="I1254" s="75" t="inlineStr">
        <is>
          <t>7월 국내출장 - (법인카드)</t>
        </is>
      </c>
      <c r="J1254" s="75" t="inlineStr">
        <is>
          <t>V10008</t>
        </is>
      </c>
      <c r="K1254" s="75" t="inlineStr">
        <is>
          <t>(법인카드)</t>
        </is>
      </c>
      <c r="M1254" s="9">
        <f>IF($A1254="","",VALUE($A1254&amp;"")*12+VALUE($B1254&amp;""))</f>
        <v/>
      </c>
      <c r="N1254" s="39">
        <f>IF($A1254="","",IFERROR(INDEX(부서매핑!$C$5:$C$504,MATCH($G1254&amp;"",부서매핑!$A$5:$A$504,0)),"미매핑"))</f>
        <v/>
      </c>
      <c r="O1254" s="9">
        <f>IF($A1254="","",N1254&amp;"|"&amp;$F1254)</f>
        <v/>
      </c>
      <c r="P1254" s="77">
        <f>IF($A1254="",0,$H1254*설정!$C$23)</f>
        <v/>
      </c>
      <c r="Q1254" s="39">
        <f>IF($A1254="","",IF(O1254&lt;&gt;원인분석!$C$9,"",IF(AND(M1254&gt;=원인분석!$C$10,M1254&lt;=원인분석!$C$11),"당기",IF(AND(M1254&gt;=원인분석!$C$12,M1254&lt;=원인분석!$C$13),"비교",""))))</f>
        <v/>
      </c>
      <c r="R1254" s="9">
        <f>IF(Q1254="","",$K1254&amp;"")</f>
        <v/>
      </c>
      <c r="S1254" s="9">
        <f>IF(Q1254="","",IF(MATCH(R1254,$R$5:$R$100000,0)=ROW()-4,ROW(),""))</f>
        <v/>
      </c>
      <c r="T1254" s="9">
        <f>IF(Q1254="당기",ABS(P1254)+ROW()/1000000000,"")</f>
        <v/>
      </c>
      <c r="U1254" s="9">
        <f>IF(Q1254="비교",ABS(P1254)+ROW()/1000000000,"")</f>
        <v/>
      </c>
      <c r="V1254" s="39">
        <f>IF($A1254="","",IF(COUNTIF(변동분석!$E$7:$E$506,O1254)&gt;0,"Y","N"))</f>
        <v/>
      </c>
      <c r="W1254" s="39">
        <f>IF($A1254="","",IFERROR(INDEX(계정매핑!$D$5:$D$504,MATCH($F1254&amp;"",계정매핑!$A$5:$A$504,0)),"미매핑"))</f>
        <v/>
      </c>
      <c r="X1254" s="9">
        <f>IF($A1254="","",$F1254&amp;"")</f>
        <v/>
      </c>
    </row>
    <row r="1255">
      <c r="A1255" s="75" t="n">
        <v>2025</v>
      </c>
      <c r="B1255" s="75" t="n">
        <v>7</v>
      </c>
      <c r="C1255" s="75" t="inlineStr">
        <is>
          <t>5100001251</t>
        </is>
      </c>
      <c r="D1255" s="78" t="n">
        <v>45851</v>
      </c>
      <c r="E1255" s="75" t="inlineStr">
        <is>
          <t>KR</t>
        </is>
      </c>
      <c r="F1255" s="75" t="n">
        <v>62102000</v>
      </c>
      <c r="G1255" s="75" t="n">
        <v>1201</v>
      </c>
      <c r="H1255" s="76" t="n">
        <v>44000</v>
      </c>
      <c r="I1255" s="75" t="inlineStr">
        <is>
          <t>7월 해외출장 - M항공</t>
        </is>
      </c>
      <c r="J1255" s="75" t="inlineStr">
        <is>
          <t>V10001</t>
        </is>
      </c>
      <c r="K1255" s="75" t="inlineStr">
        <is>
          <t>M항공</t>
        </is>
      </c>
      <c r="M1255" s="9">
        <f>IF($A1255="","",VALUE($A1255&amp;"")*12+VALUE($B1255&amp;""))</f>
        <v/>
      </c>
      <c r="N1255" s="39">
        <f>IF($A1255="","",IFERROR(INDEX(부서매핑!$C$5:$C$504,MATCH($G1255&amp;"",부서매핑!$A$5:$A$504,0)),"미매핑"))</f>
        <v/>
      </c>
      <c r="O1255" s="9">
        <f>IF($A1255="","",N1255&amp;"|"&amp;$F1255)</f>
        <v/>
      </c>
      <c r="P1255" s="77">
        <f>IF($A1255="",0,$H1255*설정!$C$23)</f>
        <v/>
      </c>
      <c r="Q1255" s="39">
        <f>IF($A1255="","",IF(O1255&lt;&gt;원인분석!$C$9,"",IF(AND(M1255&gt;=원인분석!$C$10,M1255&lt;=원인분석!$C$11),"당기",IF(AND(M1255&gt;=원인분석!$C$12,M1255&lt;=원인분석!$C$13),"비교",""))))</f>
        <v/>
      </c>
      <c r="R1255" s="9">
        <f>IF(Q1255="","",$K1255&amp;"")</f>
        <v/>
      </c>
      <c r="S1255" s="9">
        <f>IF(Q1255="","",IF(MATCH(R1255,$R$5:$R$100000,0)=ROW()-4,ROW(),""))</f>
        <v/>
      </c>
      <c r="T1255" s="9">
        <f>IF(Q1255="당기",ABS(P1255)+ROW()/1000000000,"")</f>
        <v/>
      </c>
      <c r="U1255" s="9">
        <f>IF(Q1255="비교",ABS(P1255)+ROW()/1000000000,"")</f>
        <v/>
      </c>
      <c r="V1255" s="39">
        <f>IF($A1255="","",IF(COUNTIF(변동분석!$E$7:$E$506,O1255)&gt;0,"Y","N"))</f>
        <v/>
      </c>
      <c r="W1255" s="39">
        <f>IF($A1255="","",IFERROR(INDEX(계정매핑!$D$5:$D$504,MATCH($F1255&amp;"",계정매핑!$A$5:$A$504,0)),"미매핑"))</f>
        <v/>
      </c>
      <c r="X1255" s="9">
        <f>IF($A1255="","",$F1255&amp;"")</f>
        <v/>
      </c>
    </row>
    <row r="1256">
      <c r="A1256" s="75" t="n">
        <v>2025</v>
      </c>
      <c r="B1256" s="75" t="n">
        <v>7</v>
      </c>
      <c r="C1256" s="75" t="inlineStr">
        <is>
          <t>5100001252</t>
        </is>
      </c>
      <c r="D1256" s="78" t="n">
        <v>45851</v>
      </c>
      <c r="E1256" s="75" t="inlineStr">
        <is>
          <t>KR</t>
        </is>
      </c>
      <c r="F1256" s="75" t="n">
        <v>62201000</v>
      </c>
      <c r="G1256" s="75" t="n">
        <v>1401</v>
      </c>
      <c r="H1256" s="76" t="n">
        <v>103000</v>
      </c>
      <c r="I1256" s="75" t="inlineStr">
        <is>
          <t>7월 통신요금 - O텔레콤</t>
        </is>
      </c>
      <c r="J1256" s="75" t="inlineStr">
        <is>
          <t>V10002</t>
        </is>
      </c>
      <c r="K1256" s="75" t="inlineStr">
        <is>
          <t>O텔레콤</t>
        </is>
      </c>
      <c r="M1256" s="9">
        <f>IF($A1256="","",VALUE($A1256&amp;"")*12+VALUE($B1256&amp;""))</f>
        <v/>
      </c>
      <c r="N1256" s="39">
        <f>IF($A1256="","",IFERROR(INDEX(부서매핑!$C$5:$C$504,MATCH($G1256&amp;"",부서매핑!$A$5:$A$504,0)),"미매핑"))</f>
        <v/>
      </c>
      <c r="O1256" s="9">
        <f>IF($A1256="","",N1256&amp;"|"&amp;$F1256)</f>
        <v/>
      </c>
      <c r="P1256" s="77">
        <f>IF($A1256="",0,$H1256*설정!$C$23)</f>
        <v/>
      </c>
      <c r="Q1256" s="39">
        <f>IF($A1256="","",IF(O1256&lt;&gt;원인분석!$C$9,"",IF(AND(M1256&gt;=원인분석!$C$10,M1256&lt;=원인분석!$C$11),"당기",IF(AND(M1256&gt;=원인분석!$C$12,M1256&lt;=원인분석!$C$13),"비교",""))))</f>
        <v/>
      </c>
      <c r="R1256" s="9">
        <f>IF(Q1256="","",$K1256&amp;"")</f>
        <v/>
      </c>
      <c r="S1256" s="9">
        <f>IF(Q1256="","",IF(MATCH(R1256,$R$5:$R$100000,0)=ROW()-4,ROW(),""))</f>
        <v/>
      </c>
      <c r="T1256" s="9">
        <f>IF(Q1256="당기",ABS(P1256)+ROW()/1000000000,"")</f>
        <v/>
      </c>
      <c r="U1256" s="9">
        <f>IF(Q1256="비교",ABS(P1256)+ROW()/1000000000,"")</f>
        <v/>
      </c>
      <c r="V1256" s="39">
        <f>IF($A1256="","",IF(COUNTIF(변동분석!$E$7:$E$506,O1256)&gt;0,"Y","N"))</f>
        <v/>
      </c>
      <c r="W1256" s="39">
        <f>IF($A1256="","",IFERROR(INDEX(계정매핑!$D$5:$D$504,MATCH($F1256&amp;"",계정매핑!$A$5:$A$504,0)),"미매핑"))</f>
        <v/>
      </c>
      <c r="X1256" s="9">
        <f>IF($A1256="","",$F1256&amp;"")</f>
        <v/>
      </c>
    </row>
    <row r="1257">
      <c r="A1257" s="75" t="n">
        <v>2025</v>
      </c>
      <c r="B1257" s="75" t="n">
        <v>7</v>
      </c>
      <c r="C1257" s="75" t="inlineStr">
        <is>
          <t>5100001253</t>
        </is>
      </c>
      <c r="D1257" s="78" t="n">
        <v>45851</v>
      </c>
      <c r="E1257" s="75" t="inlineStr">
        <is>
          <t>KR</t>
        </is>
      </c>
      <c r="F1257" s="75" t="n">
        <v>62501000</v>
      </c>
      <c r="G1257" s="75" t="n">
        <v>1101</v>
      </c>
      <c r="H1257" s="76" t="n">
        <v>303000</v>
      </c>
      <c r="I1257" s="75" t="inlineStr">
        <is>
          <t>7월 회의 다과 - T케이터링</t>
        </is>
      </c>
      <c r="J1257" s="75" t="inlineStr">
        <is>
          <t>V10005</t>
        </is>
      </c>
      <c r="K1257" s="75" t="inlineStr">
        <is>
          <t>T케이터링</t>
        </is>
      </c>
      <c r="M1257" s="9">
        <f>IF($A1257="","",VALUE($A1257&amp;"")*12+VALUE($B1257&amp;""))</f>
        <v/>
      </c>
      <c r="N1257" s="39">
        <f>IF($A1257="","",IFERROR(INDEX(부서매핑!$C$5:$C$504,MATCH($G1257&amp;"",부서매핑!$A$5:$A$504,0)),"미매핑"))</f>
        <v/>
      </c>
      <c r="O1257" s="9">
        <f>IF($A1257="","",N1257&amp;"|"&amp;$F1257)</f>
        <v/>
      </c>
      <c r="P1257" s="77">
        <f>IF($A1257="",0,$H1257*설정!$C$23)</f>
        <v/>
      </c>
      <c r="Q1257" s="39">
        <f>IF($A1257="","",IF(O1257&lt;&gt;원인분석!$C$9,"",IF(AND(M1257&gt;=원인분석!$C$10,M1257&lt;=원인분석!$C$11),"당기",IF(AND(M1257&gt;=원인분석!$C$12,M1257&lt;=원인분석!$C$13),"비교",""))))</f>
        <v/>
      </c>
      <c r="R1257" s="9">
        <f>IF(Q1257="","",$K1257&amp;"")</f>
        <v/>
      </c>
      <c r="S1257" s="9">
        <f>IF(Q1257="","",IF(MATCH(R1257,$R$5:$R$100000,0)=ROW()-4,ROW(),""))</f>
        <v/>
      </c>
      <c r="T1257" s="9">
        <f>IF(Q1257="당기",ABS(P1257)+ROW()/1000000000,"")</f>
        <v/>
      </c>
      <c r="U1257" s="9">
        <f>IF(Q1257="비교",ABS(P1257)+ROW()/1000000000,"")</f>
        <v/>
      </c>
      <c r="V1257" s="39">
        <f>IF($A1257="","",IF(COUNTIF(변동분석!$E$7:$E$506,O1257)&gt;0,"Y","N"))</f>
        <v/>
      </c>
      <c r="W1257" s="39">
        <f>IF($A1257="","",IFERROR(INDEX(계정매핑!$D$5:$D$504,MATCH($F1257&amp;"",계정매핑!$A$5:$A$504,0)),"미매핑"))</f>
        <v/>
      </c>
      <c r="X1257" s="9">
        <f>IF($A1257="","",$F1257&amp;"")</f>
        <v/>
      </c>
    </row>
    <row r="1258">
      <c r="A1258" s="75" t="n">
        <v>2025</v>
      </c>
      <c r="B1258" s="75" t="n">
        <v>7</v>
      </c>
      <c r="C1258" s="75" t="inlineStr">
        <is>
          <t>5100001254</t>
        </is>
      </c>
      <c r="D1258" s="78" t="n">
        <v>45851</v>
      </c>
      <c r="E1258" s="75" t="inlineStr">
        <is>
          <t>KR</t>
        </is>
      </c>
      <c r="F1258" s="75" t="n">
        <v>62601000</v>
      </c>
      <c r="G1258" s="75" t="n">
        <v>1101</v>
      </c>
      <c r="H1258" s="76" t="n">
        <v>1783000</v>
      </c>
      <c r="I1258" s="75" t="inlineStr">
        <is>
          <t>7월 업무추진 - (법인카드)</t>
        </is>
      </c>
      <c r="J1258" s="75" t="inlineStr">
        <is>
          <t>V10008</t>
        </is>
      </c>
      <c r="K1258" s="75" t="inlineStr">
        <is>
          <t>(법인카드)</t>
        </is>
      </c>
      <c r="M1258" s="9">
        <f>IF($A1258="","",VALUE($A1258&amp;"")*12+VALUE($B1258&amp;""))</f>
        <v/>
      </c>
      <c r="N1258" s="39">
        <f>IF($A1258="","",IFERROR(INDEX(부서매핑!$C$5:$C$504,MATCH($G1258&amp;"",부서매핑!$A$5:$A$504,0)),"미매핑"))</f>
        <v/>
      </c>
      <c r="O1258" s="9">
        <f>IF($A1258="","",N1258&amp;"|"&amp;$F1258)</f>
        <v/>
      </c>
      <c r="P1258" s="77">
        <f>IF($A1258="",0,$H1258*설정!$C$23)</f>
        <v/>
      </c>
      <c r="Q1258" s="39">
        <f>IF($A1258="","",IF(O1258&lt;&gt;원인분석!$C$9,"",IF(AND(M1258&gt;=원인분석!$C$10,M1258&lt;=원인분석!$C$11),"당기",IF(AND(M1258&gt;=원인분석!$C$12,M1258&lt;=원인분석!$C$13),"비교",""))))</f>
        <v/>
      </c>
      <c r="R1258" s="9">
        <f>IF(Q1258="","",$K1258&amp;"")</f>
        <v/>
      </c>
      <c r="S1258" s="9">
        <f>IF(Q1258="","",IF(MATCH(R1258,$R$5:$R$100000,0)=ROW()-4,ROW(),""))</f>
        <v/>
      </c>
      <c r="T1258" s="9">
        <f>IF(Q1258="당기",ABS(P1258)+ROW()/1000000000,"")</f>
        <v/>
      </c>
      <c r="U1258" s="9">
        <f>IF(Q1258="비교",ABS(P1258)+ROW()/1000000000,"")</f>
        <v/>
      </c>
      <c r="V1258" s="39">
        <f>IF($A1258="","",IF(COUNTIF(변동분석!$E$7:$E$506,O1258)&gt;0,"Y","N"))</f>
        <v/>
      </c>
      <c r="W1258" s="39">
        <f>IF($A1258="","",IFERROR(INDEX(계정매핑!$D$5:$D$504,MATCH($F1258&amp;"",계정매핑!$A$5:$A$504,0)),"미매핑"))</f>
        <v/>
      </c>
      <c r="X1258" s="9">
        <f>IF($A1258="","",$F1258&amp;"")</f>
        <v/>
      </c>
    </row>
    <row r="1259">
      <c r="A1259" s="75" t="n">
        <v>2025</v>
      </c>
      <c r="B1259" s="75" t="n">
        <v>7</v>
      </c>
      <c r="C1259" s="75" t="inlineStr">
        <is>
          <t>5100001255</t>
        </is>
      </c>
      <c r="D1259" s="78" t="n">
        <v>45851</v>
      </c>
      <c r="E1259" s="75" t="inlineStr">
        <is>
          <t>KR</t>
        </is>
      </c>
      <c r="F1259" s="75" t="n">
        <v>62701000</v>
      </c>
      <c r="G1259" s="75" t="n">
        <v>1501</v>
      </c>
      <c r="H1259" s="76" t="n">
        <v>83231000</v>
      </c>
      <c r="I1259" s="75" t="inlineStr">
        <is>
          <t>7월 광고 집행 - E미디어</t>
        </is>
      </c>
      <c r="J1259" s="75" t="inlineStr">
        <is>
          <t>V10027</t>
        </is>
      </c>
      <c r="K1259" s="75" t="inlineStr">
        <is>
          <t>E미디어</t>
        </is>
      </c>
      <c r="M1259" s="9">
        <f>IF($A1259="","",VALUE($A1259&amp;"")*12+VALUE($B1259&amp;""))</f>
        <v/>
      </c>
      <c r="N1259" s="39">
        <f>IF($A1259="","",IFERROR(INDEX(부서매핑!$C$5:$C$504,MATCH($G1259&amp;"",부서매핑!$A$5:$A$504,0)),"미매핑"))</f>
        <v/>
      </c>
      <c r="O1259" s="9">
        <f>IF($A1259="","",N1259&amp;"|"&amp;$F1259)</f>
        <v/>
      </c>
      <c r="P1259" s="77">
        <f>IF($A1259="",0,$H1259*설정!$C$23)</f>
        <v/>
      </c>
      <c r="Q1259" s="39">
        <f>IF($A1259="","",IF(O1259&lt;&gt;원인분석!$C$9,"",IF(AND(M1259&gt;=원인분석!$C$10,M1259&lt;=원인분석!$C$11),"당기",IF(AND(M1259&gt;=원인분석!$C$12,M1259&lt;=원인분석!$C$13),"비교",""))))</f>
        <v/>
      </c>
      <c r="R1259" s="9">
        <f>IF(Q1259="","",$K1259&amp;"")</f>
        <v/>
      </c>
      <c r="S1259" s="9">
        <f>IF(Q1259="","",IF(MATCH(R1259,$R$5:$R$100000,0)=ROW()-4,ROW(),""))</f>
        <v/>
      </c>
      <c r="T1259" s="9">
        <f>IF(Q1259="당기",ABS(P1259)+ROW()/1000000000,"")</f>
        <v/>
      </c>
      <c r="U1259" s="9">
        <f>IF(Q1259="비교",ABS(P1259)+ROW()/1000000000,"")</f>
        <v/>
      </c>
      <c r="V1259" s="39">
        <f>IF($A1259="","",IF(COUNTIF(변동분석!$E$7:$E$506,O1259)&gt;0,"Y","N"))</f>
        <v/>
      </c>
      <c r="W1259" s="39">
        <f>IF($A1259="","",IFERROR(INDEX(계정매핑!$D$5:$D$504,MATCH($F1259&amp;"",계정매핑!$A$5:$A$504,0)),"미매핑"))</f>
        <v/>
      </c>
      <c r="X1259" s="9">
        <f>IF($A1259="","",$F1259&amp;"")</f>
        <v/>
      </c>
    </row>
    <row r="1260">
      <c r="A1260" s="75" t="n">
        <v>2025</v>
      </c>
      <c r="B1260" s="75" t="n">
        <v>7</v>
      </c>
      <c r="C1260" s="75" t="inlineStr">
        <is>
          <t>5100001256</t>
        </is>
      </c>
      <c r="D1260" s="78" t="n">
        <v>45851</v>
      </c>
      <c r="E1260" s="75" t="inlineStr">
        <is>
          <t>KR</t>
        </is>
      </c>
      <c r="F1260" s="75" t="n">
        <v>63001000</v>
      </c>
      <c r="G1260" s="75" t="n">
        <v>1701</v>
      </c>
      <c r="H1260" s="76" t="n">
        <v>40164000</v>
      </c>
      <c r="I1260" s="75" t="inlineStr">
        <is>
          <t>7월 SW 유지보수 - Y소프트</t>
        </is>
      </c>
      <c r="J1260" s="75" t="inlineStr">
        <is>
          <t>V10017</t>
        </is>
      </c>
      <c r="K1260" s="75" t="inlineStr">
        <is>
          <t>Y소프트</t>
        </is>
      </c>
      <c r="M1260" s="9">
        <f>IF($A1260="","",VALUE($A1260&amp;"")*12+VALUE($B1260&amp;""))</f>
        <v/>
      </c>
      <c r="N1260" s="39">
        <f>IF($A1260="","",IFERROR(INDEX(부서매핑!$C$5:$C$504,MATCH($G1260&amp;"",부서매핑!$A$5:$A$504,0)),"미매핑"))</f>
        <v/>
      </c>
      <c r="O1260" s="9">
        <f>IF($A1260="","",N1260&amp;"|"&amp;$F1260)</f>
        <v/>
      </c>
      <c r="P1260" s="77">
        <f>IF($A1260="",0,$H1260*설정!$C$23)</f>
        <v/>
      </c>
      <c r="Q1260" s="39">
        <f>IF($A1260="","",IF(O1260&lt;&gt;원인분석!$C$9,"",IF(AND(M1260&gt;=원인분석!$C$10,M1260&lt;=원인분석!$C$11),"당기",IF(AND(M1260&gt;=원인분석!$C$12,M1260&lt;=원인분석!$C$13),"비교",""))))</f>
        <v/>
      </c>
      <c r="R1260" s="9">
        <f>IF(Q1260="","",$K1260&amp;"")</f>
        <v/>
      </c>
      <c r="S1260" s="9">
        <f>IF(Q1260="","",IF(MATCH(R1260,$R$5:$R$100000,0)=ROW()-4,ROW(),""))</f>
        <v/>
      </c>
      <c r="T1260" s="9">
        <f>IF(Q1260="당기",ABS(P1260)+ROW()/1000000000,"")</f>
        <v/>
      </c>
      <c r="U1260" s="9">
        <f>IF(Q1260="비교",ABS(P1260)+ROW()/1000000000,"")</f>
        <v/>
      </c>
      <c r="V1260" s="39">
        <f>IF($A1260="","",IF(COUNTIF(변동분석!$E$7:$E$506,O1260)&gt;0,"Y","N"))</f>
        <v/>
      </c>
      <c r="W1260" s="39">
        <f>IF($A1260="","",IFERROR(INDEX(계정매핑!$D$5:$D$504,MATCH($F1260&amp;"",계정매핑!$A$5:$A$504,0)),"미매핑"))</f>
        <v/>
      </c>
      <c r="X1260" s="9">
        <f>IF($A1260="","",$F1260&amp;"")</f>
        <v/>
      </c>
    </row>
    <row r="1261">
      <c r="A1261" s="75" t="n">
        <v>2025</v>
      </c>
      <c r="B1261" s="75" t="n">
        <v>7</v>
      </c>
      <c r="C1261" s="75" t="inlineStr">
        <is>
          <t>5100001257</t>
        </is>
      </c>
      <c r="D1261" s="78" t="n">
        <v>45851</v>
      </c>
      <c r="E1261" s="75" t="inlineStr">
        <is>
          <t>KR</t>
        </is>
      </c>
      <c r="F1261" s="75" t="n">
        <v>63201000</v>
      </c>
      <c r="G1261" s="75" t="n">
        <v>1601</v>
      </c>
      <c r="H1261" s="76" t="n">
        <v>5539000</v>
      </c>
      <c r="I1261" s="75" t="inlineStr">
        <is>
          <t>7월 차량 유지 - D정비</t>
        </is>
      </c>
      <c r="J1261" s="75" t="inlineStr">
        <is>
          <t>V10022</t>
        </is>
      </c>
      <c r="K1261" s="75" t="inlineStr">
        <is>
          <t>D정비</t>
        </is>
      </c>
      <c r="M1261" s="9">
        <f>IF($A1261="","",VALUE($A1261&amp;"")*12+VALUE($B1261&amp;""))</f>
        <v/>
      </c>
      <c r="N1261" s="39">
        <f>IF($A1261="","",IFERROR(INDEX(부서매핑!$C$5:$C$504,MATCH($G1261&amp;"",부서매핑!$A$5:$A$504,0)),"미매핑"))</f>
        <v/>
      </c>
      <c r="O1261" s="9">
        <f>IF($A1261="","",N1261&amp;"|"&amp;$F1261)</f>
        <v/>
      </c>
      <c r="P1261" s="77">
        <f>IF($A1261="",0,$H1261*설정!$C$23)</f>
        <v/>
      </c>
      <c r="Q1261" s="39">
        <f>IF($A1261="","",IF(O1261&lt;&gt;원인분석!$C$9,"",IF(AND(M1261&gt;=원인분석!$C$10,M1261&lt;=원인분석!$C$11),"당기",IF(AND(M1261&gt;=원인분석!$C$12,M1261&lt;=원인분석!$C$13),"비교",""))))</f>
        <v/>
      </c>
      <c r="R1261" s="9">
        <f>IF(Q1261="","",$K1261&amp;"")</f>
        <v/>
      </c>
      <c r="S1261" s="9">
        <f>IF(Q1261="","",IF(MATCH(R1261,$R$5:$R$100000,0)=ROW()-4,ROW(),""))</f>
        <v/>
      </c>
      <c r="T1261" s="9">
        <f>IF(Q1261="당기",ABS(P1261)+ROW()/1000000000,"")</f>
        <v/>
      </c>
      <c r="U1261" s="9">
        <f>IF(Q1261="비교",ABS(P1261)+ROW()/1000000000,"")</f>
        <v/>
      </c>
      <c r="V1261" s="39">
        <f>IF($A1261="","",IF(COUNTIF(변동분석!$E$7:$E$506,O1261)&gt;0,"Y","N"))</f>
        <v/>
      </c>
      <c r="W1261" s="39">
        <f>IF($A1261="","",IFERROR(INDEX(계정매핑!$D$5:$D$504,MATCH($F1261&amp;"",계정매핑!$A$5:$A$504,0)),"미매핑"))</f>
        <v/>
      </c>
      <c r="X1261" s="9">
        <f>IF($A1261="","",$F1261&amp;"")</f>
        <v/>
      </c>
    </row>
    <row r="1262">
      <c r="A1262" s="75" t="n">
        <v>2025</v>
      </c>
      <c r="B1262" s="75" t="n">
        <v>7</v>
      </c>
      <c r="C1262" s="75" t="inlineStr">
        <is>
          <t>5100001258</t>
        </is>
      </c>
      <c r="D1262" s="78" t="n">
        <v>45852</v>
      </c>
      <c r="E1262" s="75" t="inlineStr">
        <is>
          <t>KR</t>
        </is>
      </c>
      <c r="F1262" s="75" t="n">
        <v>62101000</v>
      </c>
      <c r="G1262" s="75" t="n">
        <v>1401</v>
      </c>
      <c r="H1262" s="76" t="n">
        <v>335000</v>
      </c>
      <c r="I1262" s="75" t="inlineStr">
        <is>
          <t>7월 국내출장 - L여행사</t>
        </is>
      </c>
      <c r="J1262" s="75" t="inlineStr">
        <is>
          <t>V10014</t>
        </is>
      </c>
      <c r="K1262" s="75" t="inlineStr">
        <is>
          <t>L여행사</t>
        </is>
      </c>
      <c r="M1262" s="9">
        <f>IF($A1262="","",VALUE($A1262&amp;"")*12+VALUE($B1262&amp;""))</f>
        <v/>
      </c>
      <c r="N1262" s="39">
        <f>IF($A1262="","",IFERROR(INDEX(부서매핑!$C$5:$C$504,MATCH($G1262&amp;"",부서매핑!$A$5:$A$504,0)),"미매핑"))</f>
        <v/>
      </c>
      <c r="O1262" s="9">
        <f>IF($A1262="","",N1262&amp;"|"&amp;$F1262)</f>
        <v/>
      </c>
      <c r="P1262" s="77">
        <f>IF($A1262="",0,$H1262*설정!$C$23)</f>
        <v/>
      </c>
      <c r="Q1262" s="39">
        <f>IF($A1262="","",IF(O1262&lt;&gt;원인분석!$C$9,"",IF(AND(M1262&gt;=원인분석!$C$10,M1262&lt;=원인분석!$C$11),"당기",IF(AND(M1262&gt;=원인분석!$C$12,M1262&lt;=원인분석!$C$13),"비교",""))))</f>
        <v/>
      </c>
      <c r="R1262" s="9">
        <f>IF(Q1262="","",$K1262&amp;"")</f>
        <v/>
      </c>
      <c r="S1262" s="9">
        <f>IF(Q1262="","",IF(MATCH(R1262,$R$5:$R$100000,0)=ROW()-4,ROW(),""))</f>
        <v/>
      </c>
      <c r="T1262" s="9">
        <f>IF(Q1262="당기",ABS(P1262)+ROW()/1000000000,"")</f>
        <v/>
      </c>
      <c r="U1262" s="9">
        <f>IF(Q1262="비교",ABS(P1262)+ROW()/1000000000,"")</f>
        <v/>
      </c>
      <c r="V1262" s="39">
        <f>IF($A1262="","",IF(COUNTIF(변동분석!$E$7:$E$506,O1262)&gt;0,"Y","N"))</f>
        <v/>
      </c>
      <c r="W1262" s="39">
        <f>IF($A1262="","",IFERROR(INDEX(계정매핑!$D$5:$D$504,MATCH($F1262&amp;"",계정매핑!$A$5:$A$504,0)),"미매핑"))</f>
        <v/>
      </c>
      <c r="X1262" s="9">
        <f>IF($A1262="","",$F1262&amp;"")</f>
        <v/>
      </c>
    </row>
    <row r="1263">
      <c r="A1263" s="75" t="n">
        <v>2025</v>
      </c>
      <c r="B1263" s="75" t="n">
        <v>7</v>
      </c>
      <c r="C1263" s="75" t="inlineStr">
        <is>
          <t>5100001259</t>
        </is>
      </c>
      <c r="D1263" s="78" t="n">
        <v>45852</v>
      </c>
      <c r="E1263" s="75" t="inlineStr">
        <is>
          <t>KR</t>
        </is>
      </c>
      <c r="F1263" s="75" t="n">
        <v>62102000</v>
      </c>
      <c r="G1263" s="75" t="n">
        <v>1201</v>
      </c>
      <c r="H1263" s="76" t="n">
        <v>78000</v>
      </c>
      <c r="I1263" s="75" t="inlineStr">
        <is>
          <t>7월 해외출장 - N호텔</t>
        </is>
      </c>
      <c r="J1263" s="75" t="inlineStr">
        <is>
          <t>V10007</t>
        </is>
      </c>
      <c r="K1263" s="75" t="inlineStr">
        <is>
          <t>N호텔</t>
        </is>
      </c>
      <c r="M1263" s="9">
        <f>IF($A1263="","",VALUE($A1263&amp;"")*12+VALUE($B1263&amp;""))</f>
        <v/>
      </c>
      <c r="N1263" s="39">
        <f>IF($A1263="","",IFERROR(INDEX(부서매핑!$C$5:$C$504,MATCH($G1263&amp;"",부서매핑!$A$5:$A$504,0)),"미매핑"))</f>
        <v/>
      </c>
      <c r="O1263" s="9">
        <f>IF($A1263="","",N1263&amp;"|"&amp;$F1263)</f>
        <v/>
      </c>
      <c r="P1263" s="77">
        <f>IF($A1263="",0,$H1263*설정!$C$23)</f>
        <v/>
      </c>
      <c r="Q1263" s="39">
        <f>IF($A1263="","",IF(O1263&lt;&gt;원인분석!$C$9,"",IF(AND(M1263&gt;=원인분석!$C$10,M1263&lt;=원인분석!$C$11),"당기",IF(AND(M1263&gt;=원인분석!$C$12,M1263&lt;=원인분석!$C$13),"비교",""))))</f>
        <v/>
      </c>
      <c r="R1263" s="9">
        <f>IF(Q1263="","",$K1263&amp;"")</f>
        <v/>
      </c>
      <c r="S1263" s="9">
        <f>IF(Q1263="","",IF(MATCH(R1263,$R$5:$R$100000,0)=ROW()-4,ROW(),""))</f>
        <v/>
      </c>
      <c r="T1263" s="9">
        <f>IF(Q1263="당기",ABS(P1263)+ROW()/1000000000,"")</f>
        <v/>
      </c>
      <c r="U1263" s="9">
        <f>IF(Q1263="비교",ABS(P1263)+ROW()/1000000000,"")</f>
        <v/>
      </c>
      <c r="V1263" s="39">
        <f>IF($A1263="","",IF(COUNTIF(변동분석!$E$7:$E$506,O1263)&gt;0,"Y","N"))</f>
        <v/>
      </c>
      <c r="W1263" s="39">
        <f>IF($A1263="","",IFERROR(INDEX(계정매핑!$D$5:$D$504,MATCH($F1263&amp;"",계정매핑!$A$5:$A$504,0)),"미매핑"))</f>
        <v/>
      </c>
      <c r="X1263" s="9">
        <f>IF($A1263="","",$F1263&amp;"")</f>
        <v/>
      </c>
    </row>
    <row r="1264">
      <c r="A1264" s="75" t="n">
        <v>2025</v>
      </c>
      <c r="B1264" s="75" t="n">
        <v>7</v>
      </c>
      <c r="C1264" s="75" t="inlineStr">
        <is>
          <t>5100001260</t>
        </is>
      </c>
      <c r="D1264" s="78" t="n">
        <v>45852</v>
      </c>
      <c r="E1264" s="75" t="inlineStr">
        <is>
          <t>KR</t>
        </is>
      </c>
      <c r="F1264" s="75" t="n">
        <v>62201000</v>
      </c>
      <c r="G1264" s="75" t="n">
        <v>1401</v>
      </c>
      <c r="H1264" s="76" t="n">
        <v>104000</v>
      </c>
      <c r="I1264" s="75" t="inlineStr">
        <is>
          <t>7월 통신요금 - O텔레콤</t>
        </is>
      </c>
      <c r="J1264" s="75" t="inlineStr">
        <is>
          <t>V10002</t>
        </is>
      </c>
      <c r="K1264" s="75" t="inlineStr">
        <is>
          <t>O텔레콤</t>
        </is>
      </c>
      <c r="M1264" s="9">
        <f>IF($A1264="","",VALUE($A1264&amp;"")*12+VALUE($B1264&amp;""))</f>
        <v/>
      </c>
      <c r="N1264" s="39">
        <f>IF($A1264="","",IFERROR(INDEX(부서매핑!$C$5:$C$504,MATCH($G1264&amp;"",부서매핑!$A$5:$A$504,0)),"미매핑"))</f>
        <v/>
      </c>
      <c r="O1264" s="9">
        <f>IF($A1264="","",N1264&amp;"|"&amp;$F1264)</f>
        <v/>
      </c>
      <c r="P1264" s="77">
        <f>IF($A1264="",0,$H1264*설정!$C$23)</f>
        <v/>
      </c>
      <c r="Q1264" s="39">
        <f>IF($A1264="","",IF(O1264&lt;&gt;원인분석!$C$9,"",IF(AND(M1264&gt;=원인분석!$C$10,M1264&lt;=원인분석!$C$11),"당기",IF(AND(M1264&gt;=원인분석!$C$12,M1264&lt;=원인분석!$C$13),"비교",""))))</f>
        <v/>
      </c>
      <c r="R1264" s="9">
        <f>IF(Q1264="","",$K1264&amp;"")</f>
        <v/>
      </c>
      <c r="S1264" s="9">
        <f>IF(Q1264="","",IF(MATCH(R1264,$R$5:$R$100000,0)=ROW()-4,ROW(),""))</f>
        <v/>
      </c>
      <c r="T1264" s="9">
        <f>IF(Q1264="당기",ABS(P1264)+ROW()/1000000000,"")</f>
        <v/>
      </c>
      <c r="U1264" s="9">
        <f>IF(Q1264="비교",ABS(P1264)+ROW()/1000000000,"")</f>
        <v/>
      </c>
      <c r="V1264" s="39">
        <f>IF($A1264="","",IF(COUNTIF(변동분석!$E$7:$E$506,O1264)&gt;0,"Y","N"))</f>
        <v/>
      </c>
      <c r="W1264" s="39">
        <f>IF($A1264="","",IFERROR(INDEX(계정매핑!$D$5:$D$504,MATCH($F1264&amp;"",계정매핑!$A$5:$A$504,0)),"미매핑"))</f>
        <v/>
      </c>
      <c r="X1264" s="9">
        <f>IF($A1264="","",$F1264&amp;"")</f>
        <v/>
      </c>
    </row>
    <row r="1265">
      <c r="A1265" s="75" t="n">
        <v>2025</v>
      </c>
      <c r="B1265" s="75" t="n">
        <v>7</v>
      </c>
      <c r="C1265" s="75" t="inlineStr">
        <is>
          <t>5100001261</t>
        </is>
      </c>
      <c r="D1265" s="78" t="n">
        <v>45852</v>
      </c>
      <c r="E1265" s="75" t="inlineStr">
        <is>
          <t>KR</t>
        </is>
      </c>
      <c r="F1265" s="75" t="n">
        <v>62201000</v>
      </c>
      <c r="G1265" s="75" t="n">
        <v>1501</v>
      </c>
      <c r="H1265" s="76" t="n">
        <v>462000</v>
      </c>
      <c r="I1265" s="75" t="inlineStr">
        <is>
          <t>7월 통신요금 - P통신</t>
        </is>
      </c>
      <c r="J1265" s="75" t="inlineStr">
        <is>
          <t>V10011</t>
        </is>
      </c>
      <c r="K1265" s="75" t="inlineStr">
        <is>
          <t>P통신</t>
        </is>
      </c>
      <c r="M1265" s="9">
        <f>IF($A1265="","",VALUE($A1265&amp;"")*12+VALUE($B1265&amp;""))</f>
        <v/>
      </c>
      <c r="N1265" s="39">
        <f>IF($A1265="","",IFERROR(INDEX(부서매핑!$C$5:$C$504,MATCH($G1265&amp;"",부서매핑!$A$5:$A$504,0)),"미매핑"))</f>
        <v/>
      </c>
      <c r="O1265" s="9">
        <f>IF($A1265="","",N1265&amp;"|"&amp;$F1265)</f>
        <v/>
      </c>
      <c r="P1265" s="77">
        <f>IF($A1265="",0,$H1265*설정!$C$23)</f>
        <v/>
      </c>
      <c r="Q1265" s="39">
        <f>IF($A1265="","",IF(O1265&lt;&gt;원인분석!$C$9,"",IF(AND(M1265&gt;=원인분석!$C$10,M1265&lt;=원인분석!$C$11),"당기",IF(AND(M1265&gt;=원인분석!$C$12,M1265&lt;=원인분석!$C$13),"비교",""))))</f>
        <v/>
      </c>
      <c r="R1265" s="9">
        <f>IF(Q1265="","",$K1265&amp;"")</f>
        <v/>
      </c>
      <c r="S1265" s="9">
        <f>IF(Q1265="","",IF(MATCH(R1265,$R$5:$R$100000,0)=ROW()-4,ROW(),""))</f>
        <v/>
      </c>
      <c r="T1265" s="9">
        <f>IF(Q1265="당기",ABS(P1265)+ROW()/1000000000,"")</f>
        <v/>
      </c>
      <c r="U1265" s="9">
        <f>IF(Q1265="비교",ABS(P1265)+ROW()/1000000000,"")</f>
        <v/>
      </c>
      <c r="V1265" s="39">
        <f>IF($A1265="","",IF(COUNTIF(변동분석!$E$7:$E$506,O1265)&gt;0,"Y","N"))</f>
        <v/>
      </c>
      <c r="W1265" s="39">
        <f>IF($A1265="","",IFERROR(INDEX(계정매핑!$D$5:$D$504,MATCH($F1265&amp;"",계정매핑!$A$5:$A$504,0)),"미매핑"))</f>
        <v/>
      </c>
      <c r="X1265" s="9">
        <f>IF($A1265="","",$F1265&amp;"")</f>
        <v/>
      </c>
    </row>
    <row r="1266">
      <c r="A1266" s="75" t="n">
        <v>2025</v>
      </c>
      <c r="B1266" s="75" t="n">
        <v>7</v>
      </c>
      <c r="C1266" s="75" t="inlineStr">
        <is>
          <t>5100001262</t>
        </is>
      </c>
      <c r="D1266" s="78" t="n">
        <v>45852</v>
      </c>
      <c r="E1266" s="75" t="inlineStr">
        <is>
          <t>KR</t>
        </is>
      </c>
      <c r="F1266" s="75" t="n">
        <v>62301000</v>
      </c>
      <c r="G1266" s="75" t="n">
        <v>1701</v>
      </c>
      <c r="H1266" s="76" t="n">
        <v>250000</v>
      </c>
      <c r="I1266" s="75" t="inlineStr">
        <is>
          <t>7월 소모품 구입 - R문구</t>
        </is>
      </c>
      <c r="J1266" s="75" t="inlineStr">
        <is>
          <t>V10018</t>
        </is>
      </c>
      <c r="K1266" s="75" t="inlineStr">
        <is>
          <t>R문구</t>
        </is>
      </c>
      <c r="M1266" s="9">
        <f>IF($A1266="","",VALUE($A1266&amp;"")*12+VALUE($B1266&amp;""))</f>
        <v/>
      </c>
      <c r="N1266" s="39">
        <f>IF($A1266="","",IFERROR(INDEX(부서매핑!$C$5:$C$504,MATCH($G1266&amp;"",부서매핑!$A$5:$A$504,0)),"미매핑"))</f>
        <v/>
      </c>
      <c r="O1266" s="9">
        <f>IF($A1266="","",N1266&amp;"|"&amp;$F1266)</f>
        <v/>
      </c>
      <c r="P1266" s="77">
        <f>IF($A1266="",0,$H1266*설정!$C$23)</f>
        <v/>
      </c>
      <c r="Q1266" s="39">
        <f>IF($A1266="","",IF(O1266&lt;&gt;원인분석!$C$9,"",IF(AND(M1266&gt;=원인분석!$C$10,M1266&lt;=원인분석!$C$11),"당기",IF(AND(M1266&gt;=원인분석!$C$12,M1266&lt;=원인분석!$C$13),"비교",""))))</f>
        <v/>
      </c>
      <c r="R1266" s="9">
        <f>IF(Q1266="","",$K1266&amp;"")</f>
        <v/>
      </c>
      <c r="S1266" s="9">
        <f>IF(Q1266="","",IF(MATCH(R1266,$R$5:$R$100000,0)=ROW()-4,ROW(),""))</f>
        <v/>
      </c>
      <c r="T1266" s="9">
        <f>IF(Q1266="당기",ABS(P1266)+ROW()/1000000000,"")</f>
        <v/>
      </c>
      <c r="U1266" s="9">
        <f>IF(Q1266="비교",ABS(P1266)+ROW()/1000000000,"")</f>
        <v/>
      </c>
      <c r="V1266" s="39">
        <f>IF($A1266="","",IF(COUNTIF(변동분석!$E$7:$E$506,O1266)&gt;0,"Y","N"))</f>
        <v/>
      </c>
      <c r="W1266" s="39">
        <f>IF($A1266="","",IFERROR(INDEX(계정매핑!$D$5:$D$504,MATCH($F1266&amp;"",계정매핑!$A$5:$A$504,0)),"미매핑"))</f>
        <v/>
      </c>
      <c r="X1266" s="9">
        <f>IF($A1266="","",$F1266&amp;"")</f>
        <v/>
      </c>
    </row>
    <row r="1267">
      <c r="A1267" s="75" t="n">
        <v>2025</v>
      </c>
      <c r="B1267" s="75" t="n">
        <v>7</v>
      </c>
      <c r="C1267" s="75" t="inlineStr">
        <is>
          <t>5100001263</t>
        </is>
      </c>
      <c r="D1267" s="78" t="n">
        <v>45853</v>
      </c>
      <c r="E1267" s="75" t="inlineStr">
        <is>
          <t>KR</t>
        </is>
      </c>
      <c r="F1267" s="75" t="n">
        <v>62101000</v>
      </c>
      <c r="G1267" s="75" t="n">
        <v>1801</v>
      </c>
      <c r="H1267" s="76" t="n">
        <v>191000</v>
      </c>
      <c r="I1267" s="75" t="inlineStr">
        <is>
          <t>7월 국내출장 - M항공</t>
        </is>
      </c>
      <c r="J1267" s="75" t="inlineStr">
        <is>
          <t>V10001</t>
        </is>
      </c>
      <c r="K1267" s="75" t="inlineStr">
        <is>
          <t>M항공</t>
        </is>
      </c>
      <c r="M1267" s="9">
        <f>IF($A1267="","",VALUE($A1267&amp;"")*12+VALUE($B1267&amp;""))</f>
        <v/>
      </c>
      <c r="N1267" s="39">
        <f>IF($A1267="","",IFERROR(INDEX(부서매핑!$C$5:$C$504,MATCH($G1267&amp;"",부서매핑!$A$5:$A$504,0)),"미매핑"))</f>
        <v/>
      </c>
      <c r="O1267" s="9">
        <f>IF($A1267="","",N1267&amp;"|"&amp;$F1267)</f>
        <v/>
      </c>
      <c r="P1267" s="77">
        <f>IF($A1267="",0,$H1267*설정!$C$23)</f>
        <v/>
      </c>
      <c r="Q1267" s="39">
        <f>IF($A1267="","",IF(O1267&lt;&gt;원인분석!$C$9,"",IF(AND(M1267&gt;=원인분석!$C$10,M1267&lt;=원인분석!$C$11),"당기",IF(AND(M1267&gt;=원인분석!$C$12,M1267&lt;=원인분석!$C$13),"비교",""))))</f>
        <v/>
      </c>
      <c r="R1267" s="9">
        <f>IF(Q1267="","",$K1267&amp;"")</f>
        <v/>
      </c>
      <c r="S1267" s="9">
        <f>IF(Q1267="","",IF(MATCH(R1267,$R$5:$R$100000,0)=ROW()-4,ROW(),""))</f>
        <v/>
      </c>
      <c r="T1267" s="9">
        <f>IF(Q1267="당기",ABS(P1267)+ROW()/1000000000,"")</f>
        <v/>
      </c>
      <c r="U1267" s="9">
        <f>IF(Q1267="비교",ABS(P1267)+ROW()/1000000000,"")</f>
        <v/>
      </c>
      <c r="V1267" s="39">
        <f>IF($A1267="","",IF(COUNTIF(변동분석!$E$7:$E$506,O1267)&gt;0,"Y","N"))</f>
        <v/>
      </c>
      <c r="W1267" s="39">
        <f>IF($A1267="","",IFERROR(INDEX(계정매핑!$D$5:$D$504,MATCH($F1267&amp;"",계정매핑!$A$5:$A$504,0)),"미매핑"))</f>
        <v/>
      </c>
      <c r="X1267" s="9">
        <f>IF($A1267="","",$F1267&amp;"")</f>
        <v/>
      </c>
    </row>
    <row r="1268">
      <c r="A1268" s="75" t="n">
        <v>2025</v>
      </c>
      <c r="B1268" s="75" t="n">
        <v>7</v>
      </c>
      <c r="C1268" s="75" t="inlineStr">
        <is>
          <t>5100001264</t>
        </is>
      </c>
      <c r="D1268" s="78" t="n">
        <v>45853</v>
      </c>
      <c r="E1268" s="75" t="inlineStr">
        <is>
          <t>KR</t>
        </is>
      </c>
      <c r="F1268" s="75" t="n">
        <v>62101000</v>
      </c>
      <c r="G1268" s="75" t="n">
        <v>1801</v>
      </c>
      <c r="H1268" s="76" t="n">
        <v>179000</v>
      </c>
      <c r="I1268" s="75" t="inlineStr">
        <is>
          <t>7월 국내출장 - (법인카드)</t>
        </is>
      </c>
      <c r="J1268" s="75" t="inlineStr">
        <is>
          <t>V10008</t>
        </is>
      </c>
      <c r="K1268" s="75" t="inlineStr">
        <is>
          <t>(법인카드)</t>
        </is>
      </c>
      <c r="M1268" s="9">
        <f>IF($A1268="","",VALUE($A1268&amp;"")*12+VALUE($B1268&amp;""))</f>
        <v/>
      </c>
      <c r="N1268" s="39">
        <f>IF($A1268="","",IFERROR(INDEX(부서매핑!$C$5:$C$504,MATCH($G1268&amp;"",부서매핑!$A$5:$A$504,0)),"미매핑"))</f>
        <v/>
      </c>
      <c r="O1268" s="9">
        <f>IF($A1268="","",N1268&amp;"|"&amp;$F1268)</f>
        <v/>
      </c>
      <c r="P1268" s="77">
        <f>IF($A1268="",0,$H1268*설정!$C$23)</f>
        <v/>
      </c>
      <c r="Q1268" s="39">
        <f>IF($A1268="","",IF(O1268&lt;&gt;원인분석!$C$9,"",IF(AND(M1268&gt;=원인분석!$C$10,M1268&lt;=원인분석!$C$11),"당기",IF(AND(M1268&gt;=원인분석!$C$12,M1268&lt;=원인분석!$C$13),"비교",""))))</f>
        <v/>
      </c>
      <c r="R1268" s="9">
        <f>IF(Q1268="","",$K1268&amp;"")</f>
        <v/>
      </c>
      <c r="S1268" s="9">
        <f>IF(Q1268="","",IF(MATCH(R1268,$R$5:$R$100000,0)=ROW()-4,ROW(),""))</f>
        <v/>
      </c>
      <c r="T1268" s="9">
        <f>IF(Q1268="당기",ABS(P1268)+ROW()/1000000000,"")</f>
        <v/>
      </c>
      <c r="U1268" s="9">
        <f>IF(Q1268="비교",ABS(P1268)+ROW()/1000000000,"")</f>
        <v/>
      </c>
      <c r="V1268" s="39">
        <f>IF($A1268="","",IF(COUNTIF(변동분석!$E$7:$E$506,O1268)&gt;0,"Y","N"))</f>
        <v/>
      </c>
      <c r="W1268" s="39">
        <f>IF($A1268="","",IFERROR(INDEX(계정매핑!$D$5:$D$504,MATCH($F1268&amp;"",계정매핑!$A$5:$A$504,0)),"미매핑"))</f>
        <v/>
      </c>
      <c r="X1268" s="9">
        <f>IF($A1268="","",$F1268&amp;"")</f>
        <v/>
      </c>
    </row>
    <row r="1269">
      <c r="A1269" s="75" t="n">
        <v>2025</v>
      </c>
      <c r="B1269" s="75" t="n">
        <v>7</v>
      </c>
      <c r="C1269" s="75" t="inlineStr">
        <is>
          <t>5100001265</t>
        </is>
      </c>
      <c r="D1269" s="78" t="n">
        <v>45853</v>
      </c>
      <c r="E1269" s="75" t="inlineStr">
        <is>
          <t>KR</t>
        </is>
      </c>
      <c r="F1269" s="75" t="n">
        <v>62102000</v>
      </c>
      <c r="G1269" s="75" t="n">
        <v>1401</v>
      </c>
      <c r="H1269" s="76" t="n">
        <v>68000</v>
      </c>
      <c r="I1269" s="75" t="inlineStr">
        <is>
          <t>7월 해외출장 - N호텔</t>
        </is>
      </c>
      <c r="J1269" s="75" t="inlineStr">
        <is>
          <t>V10007</t>
        </is>
      </c>
      <c r="K1269" s="75" t="inlineStr">
        <is>
          <t>N호텔</t>
        </is>
      </c>
      <c r="M1269" s="9">
        <f>IF($A1269="","",VALUE($A1269&amp;"")*12+VALUE($B1269&amp;""))</f>
        <v/>
      </c>
      <c r="N1269" s="39">
        <f>IF($A1269="","",IFERROR(INDEX(부서매핑!$C$5:$C$504,MATCH($G1269&amp;"",부서매핑!$A$5:$A$504,0)),"미매핑"))</f>
        <v/>
      </c>
      <c r="O1269" s="9">
        <f>IF($A1269="","",N1269&amp;"|"&amp;$F1269)</f>
        <v/>
      </c>
      <c r="P1269" s="77">
        <f>IF($A1269="",0,$H1269*설정!$C$23)</f>
        <v/>
      </c>
      <c r="Q1269" s="39">
        <f>IF($A1269="","",IF(O1269&lt;&gt;원인분석!$C$9,"",IF(AND(M1269&gt;=원인분석!$C$10,M1269&lt;=원인분석!$C$11),"당기",IF(AND(M1269&gt;=원인분석!$C$12,M1269&lt;=원인분석!$C$13),"비교",""))))</f>
        <v/>
      </c>
      <c r="R1269" s="9">
        <f>IF(Q1269="","",$K1269&amp;"")</f>
        <v/>
      </c>
      <c r="S1269" s="9">
        <f>IF(Q1269="","",IF(MATCH(R1269,$R$5:$R$100000,0)=ROW()-4,ROW(),""))</f>
        <v/>
      </c>
      <c r="T1269" s="9">
        <f>IF(Q1269="당기",ABS(P1269)+ROW()/1000000000,"")</f>
        <v/>
      </c>
      <c r="U1269" s="9">
        <f>IF(Q1269="비교",ABS(P1269)+ROW()/1000000000,"")</f>
        <v/>
      </c>
      <c r="V1269" s="39">
        <f>IF($A1269="","",IF(COUNTIF(변동분석!$E$7:$E$506,O1269)&gt;0,"Y","N"))</f>
        <v/>
      </c>
      <c r="W1269" s="39">
        <f>IF($A1269="","",IFERROR(INDEX(계정매핑!$D$5:$D$504,MATCH($F1269&amp;"",계정매핑!$A$5:$A$504,0)),"미매핑"))</f>
        <v/>
      </c>
      <c r="X1269" s="9">
        <f>IF($A1269="","",$F1269&amp;"")</f>
        <v/>
      </c>
    </row>
    <row r="1270">
      <c r="A1270" s="75" t="n">
        <v>2025</v>
      </c>
      <c r="B1270" s="75" t="n">
        <v>7</v>
      </c>
      <c r="C1270" s="75" t="inlineStr">
        <is>
          <t>5100001266</t>
        </is>
      </c>
      <c r="D1270" s="78" t="n">
        <v>45853</v>
      </c>
      <c r="E1270" s="75" t="inlineStr">
        <is>
          <t>KR</t>
        </is>
      </c>
      <c r="F1270" s="75" t="n">
        <v>62102000</v>
      </c>
      <c r="G1270" s="75" t="n">
        <v>1401</v>
      </c>
      <c r="H1270" s="76" t="n">
        <v>68000</v>
      </c>
      <c r="I1270" s="75" t="inlineStr">
        <is>
          <t>7월 해외출장 - N호텔</t>
        </is>
      </c>
      <c r="J1270" s="75" t="inlineStr">
        <is>
          <t>V10007</t>
        </is>
      </c>
      <c r="K1270" s="75" t="inlineStr">
        <is>
          <t>N호텔</t>
        </is>
      </c>
      <c r="M1270" s="9">
        <f>IF($A1270="","",VALUE($A1270&amp;"")*12+VALUE($B1270&amp;""))</f>
        <v/>
      </c>
      <c r="N1270" s="39">
        <f>IF($A1270="","",IFERROR(INDEX(부서매핑!$C$5:$C$504,MATCH($G1270&amp;"",부서매핑!$A$5:$A$504,0)),"미매핑"))</f>
        <v/>
      </c>
      <c r="O1270" s="9">
        <f>IF($A1270="","",N1270&amp;"|"&amp;$F1270)</f>
        <v/>
      </c>
      <c r="P1270" s="77">
        <f>IF($A1270="",0,$H1270*설정!$C$23)</f>
        <v/>
      </c>
      <c r="Q1270" s="39">
        <f>IF($A1270="","",IF(O1270&lt;&gt;원인분석!$C$9,"",IF(AND(M1270&gt;=원인분석!$C$10,M1270&lt;=원인분석!$C$11),"당기",IF(AND(M1270&gt;=원인분석!$C$12,M1270&lt;=원인분석!$C$13),"비교",""))))</f>
        <v/>
      </c>
      <c r="R1270" s="9">
        <f>IF(Q1270="","",$K1270&amp;"")</f>
        <v/>
      </c>
      <c r="S1270" s="9">
        <f>IF(Q1270="","",IF(MATCH(R1270,$R$5:$R$100000,0)=ROW()-4,ROW(),""))</f>
        <v/>
      </c>
      <c r="T1270" s="9">
        <f>IF(Q1270="당기",ABS(P1270)+ROW()/1000000000,"")</f>
        <v/>
      </c>
      <c r="U1270" s="9">
        <f>IF(Q1270="비교",ABS(P1270)+ROW()/1000000000,"")</f>
        <v/>
      </c>
      <c r="V1270" s="39">
        <f>IF($A1270="","",IF(COUNTIF(변동분석!$E$7:$E$506,O1270)&gt;0,"Y","N"))</f>
        <v/>
      </c>
      <c r="W1270" s="39">
        <f>IF($A1270="","",IFERROR(INDEX(계정매핑!$D$5:$D$504,MATCH($F1270&amp;"",계정매핑!$A$5:$A$504,0)),"미매핑"))</f>
        <v/>
      </c>
      <c r="X1270" s="9">
        <f>IF($A1270="","",$F1270&amp;"")</f>
        <v/>
      </c>
    </row>
    <row r="1271">
      <c r="A1271" s="75" t="n">
        <v>2025</v>
      </c>
      <c r="B1271" s="75" t="n">
        <v>7</v>
      </c>
      <c r="C1271" s="75" t="inlineStr">
        <is>
          <t>5100001267</t>
        </is>
      </c>
      <c r="D1271" s="78" t="n">
        <v>45853</v>
      </c>
      <c r="E1271" s="75" t="inlineStr">
        <is>
          <t>KR</t>
        </is>
      </c>
      <c r="F1271" s="75" t="n">
        <v>62301000</v>
      </c>
      <c r="G1271" s="75" t="n">
        <v>1502</v>
      </c>
      <c r="H1271" s="76" t="n">
        <v>171000</v>
      </c>
      <c r="I1271" s="75" t="inlineStr">
        <is>
          <t>7월 소모품 구입 - R문구</t>
        </is>
      </c>
      <c r="J1271" s="75" t="inlineStr">
        <is>
          <t>V10018</t>
        </is>
      </c>
      <c r="K1271" s="75" t="inlineStr">
        <is>
          <t>R문구</t>
        </is>
      </c>
      <c r="M1271" s="9">
        <f>IF($A1271="","",VALUE($A1271&amp;"")*12+VALUE($B1271&amp;""))</f>
        <v/>
      </c>
      <c r="N1271" s="39">
        <f>IF($A1271="","",IFERROR(INDEX(부서매핑!$C$5:$C$504,MATCH($G1271&amp;"",부서매핑!$A$5:$A$504,0)),"미매핑"))</f>
        <v/>
      </c>
      <c r="O1271" s="9">
        <f>IF($A1271="","",N1271&amp;"|"&amp;$F1271)</f>
        <v/>
      </c>
      <c r="P1271" s="77">
        <f>IF($A1271="",0,$H1271*설정!$C$23)</f>
        <v/>
      </c>
      <c r="Q1271" s="39">
        <f>IF($A1271="","",IF(O1271&lt;&gt;원인분석!$C$9,"",IF(AND(M1271&gt;=원인분석!$C$10,M1271&lt;=원인분석!$C$11),"당기",IF(AND(M1271&gt;=원인분석!$C$12,M1271&lt;=원인분석!$C$13),"비교",""))))</f>
        <v/>
      </c>
      <c r="R1271" s="9">
        <f>IF(Q1271="","",$K1271&amp;"")</f>
        <v/>
      </c>
      <c r="S1271" s="9">
        <f>IF(Q1271="","",IF(MATCH(R1271,$R$5:$R$100000,0)=ROW()-4,ROW(),""))</f>
        <v/>
      </c>
      <c r="T1271" s="9">
        <f>IF(Q1271="당기",ABS(P1271)+ROW()/1000000000,"")</f>
        <v/>
      </c>
      <c r="U1271" s="9">
        <f>IF(Q1271="비교",ABS(P1271)+ROW()/1000000000,"")</f>
        <v/>
      </c>
      <c r="V1271" s="39">
        <f>IF($A1271="","",IF(COUNTIF(변동분석!$E$7:$E$506,O1271)&gt;0,"Y","N"))</f>
        <v/>
      </c>
      <c r="W1271" s="39">
        <f>IF($A1271="","",IFERROR(INDEX(계정매핑!$D$5:$D$504,MATCH($F1271&amp;"",계정매핑!$A$5:$A$504,0)),"미매핑"))</f>
        <v/>
      </c>
      <c r="X1271" s="9">
        <f>IF($A1271="","",$F1271&amp;"")</f>
        <v/>
      </c>
    </row>
    <row r="1272">
      <c r="A1272" s="75" t="n">
        <v>2025</v>
      </c>
      <c r="B1272" s="75" t="n">
        <v>7</v>
      </c>
      <c r="C1272" s="75" t="inlineStr">
        <is>
          <t>5100001268</t>
        </is>
      </c>
      <c r="D1272" s="78" t="n">
        <v>45853</v>
      </c>
      <c r="E1272" s="75" t="inlineStr">
        <is>
          <t>KR</t>
        </is>
      </c>
      <c r="F1272" s="75" t="n">
        <v>62501000</v>
      </c>
      <c r="G1272" s="75" t="n">
        <v>1401</v>
      </c>
      <c r="H1272" s="76" t="n">
        <v>136000</v>
      </c>
      <c r="I1272" s="75" t="inlineStr">
        <is>
          <t>7월 회의 다과 - (법인카드)</t>
        </is>
      </c>
      <c r="J1272" s="75" t="inlineStr">
        <is>
          <t>V10008</t>
        </is>
      </c>
      <c r="K1272" s="75" t="inlineStr">
        <is>
          <t>(법인카드)</t>
        </is>
      </c>
      <c r="M1272" s="9">
        <f>IF($A1272="","",VALUE($A1272&amp;"")*12+VALUE($B1272&amp;""))</f>
        <v/>
      </c>
      <c r="N1272" s="39">
        <f>IF($A1272="","",IFERROR(INDEX(부서매핑!$C$5:$C$504,MATCH($G1272&amp;"",부서매핑!$A$5:$A$504,0)),"미매핑"))</f>
        <v/>
      </c>
      <c r="O1272" s="9">
        <f>IF($A1272="","",N1272&amp;"|"&amp;$F1272)</f>
        <v/>
      </c>
      <c r="P1272" s="77">
        <f>IF($A1272="",0,$H1272*설정!$C$23)</f>
        <v/>
      </c>
      <c r="Q1272" s="39">
        <f>IF($A1272="","",IF(O1272&lt;&gt;원인분석!$C$9,"",IF(AND(M1272&gt;=원인분석!$C$10,M1272&lt;=원인분석!$C$11),"당기",IF(AND(M1272&gt;=원인분석!$C$12,M1272&lt;=원인분석!$C$13),"비교",""))))</f>
        <v/>
      </c>
      <c r="R1272" s="9">
        <f>IF(Q1272="","",$K1272&amp;"")</f>
        <v/>
      </c>
      <c r="S1272" s="9">
        <f>IF(Q1272="","",IF(MATCH(R1272,$R$5:$R$100000,0)=ROW()-4,ROW(),""))</f>
        <v/>
      </c>
      <c r="T1272" s="9">
        <f>IF(Q1272="당기",ABS(P1272)+ROW()/1000000000,"")</f>
        <v/>
      </c>
      <c r="U1272" s="9">
        <f>IF(Q1272="비교",ABS(P1272)+ROW()/1000000000,"")</f>
        <v/>
      </c>
      <c r="V1272" s="39">
        <f>IF($A1272="","",IF(COUNTIF(변동분석!$E$7:$E$506,O1272)&gt;0,"Y","N"))</f>
        <v/>
      </c>
      <c r="W1272" s="39">
        <f>IF($A1272="","",IFERROR(INDEX(계정매핑!$D$5:$D$504,MATCH($F1272&amp;"",계정매핑!$A$5:$A$504,0)),"미매핑"))</f>
        <v/>
      </c>
      <c r="X1272" s="9">
        <f>IF($A1272="","",$F1272&amp;"")</f>
        <v/>
      </c>
    </row>
    <row r="1273">
      <c r="A1273" s="75" t="n">
        <v>2025</v>
      </c>
      <c r="B1273" s="75" t="n">
        <v>7</v>
      </c>
      <c r="C1273" s="75" t="inlineStr">
        <is>
          <t>5100001269</t>
        </is>
      </c>
      <c r="D1273" s="78" t="n">
        <v>45853</v>
      </c>
      <c r="E1273" s="75" t="inlineStr">
        <is>
          <t>KR</t>
        </is>
      </c>
      <c r="F1273" s="75" t="n">
        <v>62601000</v>
      </c>
      <c r="G1273" s="75" t="n">
        <v>1501</v>
      </c>
      <c r="H1273" s="76" t="n">
        <v>3031000</v>
      </c>
      <c r="I1273" s="75" t="inlineStr">
        <is>
          <t>7월 업무추진 - (법인카드)</t>
        </is>
      </c>
      <c r="J1273" s="75" t="inlineStr">
        <is>
          <t>V10008</t>
        </is>
      </c>
      <c r="K1273" s="75" t="inlineStr">
        <is>
          <t>(법인카드)</t>
        </is>
      </c>
      <c r="M1273" s="9">
        <f>IF($A1273="","",VALUE($A1273&amp;"")*12+VALUE($B1273&amp;""))</f>
        <v/>
      </c>
      <c r="N1273" s="39">
        <f>IF($A1273="","",IFERROR(INDEX(부서매핑!$C$5:$C$504,MATCH($G1273&amp;"",부서매핑!$A$5:$A$504,0)),"미매핑"))</f>
        <v/>
      </c>
      <c r="O1273" s="9">
        <f>IF($A1273="","",N1273&amp;"|"&amp;$F1273)</f>
        <v/>
      </c>
      <c r="P1273" s="77">
        <f>IF($A1273="",0,$H1273*설정!$C$23)</f>
        <v/>
      </c>
      <c r="Q1273" s="39">
        <f>IF($A1273="","",IF(O1273&lt;&gt;원인분석!$C$9,"",IF(AND(M1273&gt;=원인분석!$C$10,M1273&lt;=원인분석!$C$11),"당기",IF(AND(M1273&gt;=원인분석!$C$12,M1273&lt;=원인분석!$C$13),"비교",""))))</f>
        <v/>
      </c>
      <c r="R1273" s="9">
        <f>IF(Q1273="","",$K1273&amp;"")</f>
        <v/>
      </c>
      <c r="S1273" s="9">
        <f>IF(Q1273="","",IF(MATCH(R1273,$R$5:$R$100000,0)=ROW()-4,ROW(),""))</f>
        <v/>
      </c>
      <c r="T1273" s="9">
        <f>IF(Q1273="당기",ABS(P1273)+ROW()/1000000000,"")</f>
        <v/>
      </c>
      <c r="U1273" s="9">
        <f>IF(Q1273="비교",ABS(P1273)+ROW()/1000000000,"")</f>
        <v/>
      </c>
      <c r="V1273" s="39">
        <f>IF($A1273="","",IF(COUNTIF(변동분석!$E$7:$E$506,O1273)&gt;0,"Y","N"))</f>
        <v/>
      </c>
      <c r="W1273" s="39">
        <f>IF($A1273="","",IFERROR(INDEX(계정매핑!$D$5:$D$504,MATCH($F1273&amp;"",계정매핑!$A$5:$A$504,0)),"미매핑"))</f>
        <v/>
      </c>
      <c r="X1273" s="9">
        <f>IF($A1273="","",$F1273&amp;"")</f>
        <v/>
      </c>
    </row>
    <row r="1274">
      <c r="A1274" s="75" t="n">
        <v>2025</v>
      </c>
      <c r="B1274" s="75" t="n">
        <v>7</v>
      </c>
      <c r="C1274" s="75" t="inlineStr">
        <is>
          <t>5100001270</t>
        </is>
      </c>
      <c r="D1274" s="78" t="n">
        <v>45853</v>
      </c>
      <c r="E1274" s="75" t="inlineStr">
        <is>
          <t>KR</t>
        </is>
      </c>
      <c r="F1274" s="75" t="n">
        <v>62902000</v>
      </c>
      <c r="G1274" s="75" t="n">
        <v>1801</v>
      </c>
      <c r="H1274" s="76" t="n">
        <v>1848000</v>
      </c>
      <c r="I1274" s="75" t="inlineStr">
        <is>
          <t>7월 콜 위탁 수수료(건별)</t>
        </is>
      </c>
      <c r="J1274" s="75" t="inlineStr">
        <is>
          <t>V10013</t>
        </is>
      </c>
      <c r="K1274" s="75" t="inlineStr">
        <is>
          <t>J콜센터</t>
        </is>
      </c>
      <c r="M1274" s="9">
        <f>IF($A1274="","",VALUE($A1274&amp;"")*12+VALUE($B1274&amp;""))</f>
        <v/>
      </c>
      <c r="N1274" s="39">
        <f>IF($A1274="","",IFERROR(INDEX(부서매핑!$C$5:$C$504,MATCH($G1274&amp;"",부서매핑!$A$5:$A$504,0)),"미매핑"))</f>
        <v/>
      </c>
      <c r="O1274" s="9">
        <f>IF($A1274="","",N1274&amp;"|"&amp;$F1274)</f>
        <v/>
      </c>
      <c r="P1274" s="77">
        <f>IF($A1274="",0,$H1274*설정!$C$23)</f>
        <v/>
      </c>
      <c r="Q1274" s="39">
        <f>IF($A1274="","",IF(O1274&lt;&gt;원인분석!$C$9,"",IF(AND(M1274&gt;=원인분석!$C$10,M1274&lt;=원인분석!$C$11),"당기",IF(AND(M1274&gt;=원인분석!$C$12,M1274&lt;=원인분석!$C$13),"비교",""))))</f>
        <v/>
      </c>
      <c r="R1274" s="9">
        <f>IF(Q1274="","",$K1274&amp;"")</f>
        <v/>
      </c>
      <c r="S1274" s="9">
        <f>IF(Q1274="","",IF(MATCH(R1274,$R$5:$R$100000,0)=ROW()-4,ROW(),""))</f>
        <v/>
      </c>
      <c r="T1274" s="9">
        <f>IF(Q1274="당기",ABS(P1274)+ROW()/1000000000,"")</f>
        <v/>
      </c>
      <c r="U1274" s="9">
        <f>IF(Q1274="비교",ABS(P1274)+ROW()/1000000000,"")</f>
        <v/>
      </c>
      <c r="V1274" s="39">
        <f>IF($A1274="","",IF(COUNTIF(변동분석!$E$7:$E$506,O1274)&gt;0,"Y","N"))</f>
        <v/>
      </c>
      <c r="W1274" s="39">
        <f>IF($A1274="","",IFERROR(INDEX(계정매핑!$D$5:$D$504,MATCH($F1274&amp;"",계정매핑!$A$5:$A$504,0)),"미매핑"))</f>
        <v/>
      </c>
      <c r="X1274" s="9">
        <f>IF($A1274="","",$F1274&amp;"")</f>
        <v/>
      </c>
    </row>
    <row r="1275">
      <c r="A1275" s="75" t="n">
        <v>2025</v>
      </c>
      <c r="B1275" s="75" t="n">
        <v>7</v>
      </c>
      <c r="C1275" s="75" t="inlineStr">
        <is>
          <t>5100001271</t>
        </is>
      </c>
      <c r="D1275" s="78" t="n">
        <v>45854</v>
      </c>
      <c r="E1275" s="75" t="inlineStr">
        <is>
          <t>KR</t>
        </is>
      </c>
      <c r="F1275" s="75" t="n">
        <v>62101000</v>
      </c>
      <c r="G1275" s="75" t="n">
        <v>1701</v>
      </c>
      <c r="H1275" s="76" t="n">
        <v>352000</v>
      </c>
      <c r="I1275" s="75" t="inlineStr">
        <is>
          <t>7월 국내출장 - L여행사</t>
        </is>
      </c>
      <c r="J1275" s="75" t="inlineStr">
        <is>
          <t>V10014</t>
        </is>
      </c>
      <c r="K1275" s="75" t="inlineStr">
        <is>
          <t>L여행사</t>
        </is>
      </c>
      <c r="M1275" s="9">
        <f>IF($A1275="","",VALUE($A1275&amp;"")*12+VALUE($B1275&amp;""))</f>
        <v/>
      </c>
      <c r="N1275" s="39">
        <f>IF($A1275="","",IFERROR(INDEX(부서매핑!$C$5:$C$504,MATCH($G1275&amp;"",부서매핑!$A$5:$A$504,0)),"미매핑"))</f>
        <v/>
      </c>
      <c r="O1275" s="9">
        <f>IF($A1275="","",N1275&amp;"|"&amp;$F1275)</f>
        <v/>
      </c>
      <c r="P1275" s="77">
        <f>IF($A1275="",0,$H1275*설정!$C$23)</f>
        <v/>
      </c>
      <c r="Q1275" s="39">
        <f>IF($A1275="","",IF(O1275&lt;&gt;원인분석!$C$9,"",IF(AND(M1275&gt;=원인분석!$C$10,M1275&lt;=원인분석!$C$11),"당기",IF(AND(M1275&gt;=원인분석!$C$12,M1275&lt;=원인분석!$C$13),"비교",""))))</f>
        <v/>
      </c>
      <c r="R1275" s="9">
        <f>IF(Q1275="","",$K1275&amp;"")</f>
        <v/>
      </c>
      <c r="S1275" s="9">
        <f>IF(Q1275="","",IF(MATCH(R1275,$R$5:$R$100000,0)=ROW()-4,ROW(),""))</f>
        <v/>
      </c>
      <c r="T1275" s="9">
        <f>IF(Q1275="당기",ABS(P1275)+ROW()/1000000000,"")</f>
        <v/>
      </c>
      <c r="U1275" s="9">
        <f>IF(Q1275="비교",ABS(P1275)+ROW()/1000000000,"")</f>
        <v/>
      </c>
      <c r="V1275" s="39">
        <f>IF($A1275="","",IF(COUNTIF(변동분석!$E$7:$E$506,O1275)&gt;0,"Y","N"))</f>
        <v/>
      </c>
      <c r="W1275" s="39">
        <f>IF($A1275="","",IFERROR(INDEX(계정매핑!$D$5:$D$504,MATCH($F1275&amp;"",계정매핑!$A$5:$A$504,0)),"미매핑"))</f>
        <v/>
      </c>
      <c r="X1275" s="9">
        <f>IF($A1275="","",$F1275&amp;"")</f>
        <v/>
      </c>
    </row>
    <row r="1276">
      <c r="A1276" s="75" t="n">
        <v>2025</v>
      </c>
      <c r="B1276" s="75" t="n">
        <v>7</v>
      </c>
      <c r="C1276" s="75" t="inlineStr">
        <is>
          <t>5100001272</t>
        </is>
      </c>
      <c r="D1276" s="78" t="n">
        <v>45854</v>
      </c>
      <c r="E1276" s="75" t="inlineStr">
        <is>
          <t>KR</t>
        </is>
      </c>
      <c r="F1276" s="75" t="n">
        <v>62301000</v>
      </c>
      <c r="G1276" s="75" t="n">
        <v>1501</v>
      </c>
      <c r="H1276" s="76" t="n">
        <v>181000</v>
      </c>
      <c r="I1276" s="75" t="inlineStr">
        <is>
          <t>7월 소모품 구입 - R문구</t>
        </is>
      </c>
      <c r="J1276" s="75" t="inlineStr">
        <is>
          <t>V10018</t>
        </is>
      </c>
      <c r="K1276" s="75" t="inlineStr">
        <is>
          <t>R문구</t>
        </is>
      </c>
      <c r="M1276" s="9">
        <f>IF($A1276="","",VALUE($A1276&amp;"")*12+VALUE($B1276&amp;""))</f>
        <v/>
      </c>
      <c r="N1276" s="39">
        <f>IF($A1276="","",IFERROR(INDEX(부서매핑!$C$5:$C$504,MATCH($G1276&amp;"",부서매핑!$A$5:$A$504,0)),"미매핑"))</f>
        <v/>
      </c>
      <c r="O1276" s="9">
        <f>IF($A1276="","",N1276&amp;"|"&amp;$F1276)</f>
        <v/>
      </c>
      <c r="P1276" s="77">
        <f>IF($A1276="",0,$H1276*설정!$C$23)</f>
        <v/>
      </c>
      <c r="Q1276" s="39">
        <f>IF($A1276="","",IF(O1276&lt;&gt;원인분석!$C$9,"",IF(AND(M1276&gt;=원인분석!$C$10,M1276&lt;=원인분석!$C$11),"당기",IF(AND(M1276&gt;=원인분석!$C$12,M1276&lt;=원인분석!$C$13),"비교",""))))</f>
        <v/>
      </c>
      <c r="R1276" s="9">
        <f>IF(Q1276="","",$K1276&amp;"")</f>
        <v/>
      </c>
      <c r="S1276" s="9">
        <f>IF(Q1276="","",IF(MATCH(R1276,$R$5:$R$100000,0)=ROW()-4,ROW(),""))</f>
        <v/>
      </c>
      <c r="T1276" s="9">
        <f>IF(Q1276="당기",ABS(P1276)+ROW()/1000000000,"")</f>
        <v/>
      </c>
      <c r="U1276" s="9">
        <f>IF(Q1276="비교",ABS(P1276)+ROW()/1000000000,"")</f>
        <v/>
      </c>
      <c r="V1276" s="39">
        <f>IF($A1276="","",IF(COUNTIF(변동분석!$E$7:$E$506,O1276)&gt;0,"Y","N"))</f>
        <v/>
      </c>
      <c r="W1276" s="39">
        <f>IF($A1276="","",IFERROR(INDEX(계정매핑!$D$5:$D$504,MATCH($F1276&amp;"",계정매핑!$A$5:$A$504,0)),"미매핑"))</f>
        <v/>
      </c>
      <c r="X1276" s="9">
        <f>IF($A1276="","",$F1276&amp;"")</f>
        <v/>
      </c>
    </row>
    <row r="1277">
      <c r="A1277" s="75" t="n">
        <v>2025</v>
      </c>
      <c r="B1277" s="75" t="n">
        <v>7</v>
      </c>
      <c r="C1277" s="75" t="inlineStr">
        <is>
          <t>5100001273</t>
        </is>
      </c>
      <c r="D1277" s="78" t="n">
        <v>45854</v>
      </c>
      <c r="E1277" s="75" t="inlineStr">
        <is>
          <t>KR</t>
        </is>
      </c>
      <c r="F1277" s="75" t="n">
        <v>63101000</v>
      </c>
      <c r="G1277" s="75" t="n">
        <v>1601</v>
      </c>
      <c r="H1277" s="76" t="n">
        <v>4577000</v>
      </c>
      <c r="I1277" s="75" t="inlineStr">
        <is>
          <t>7월 사무실 임차료 - AA빌딩</t>
        </is>
      </c>
      <c r="J1277" s="75" t="inlineStr">
        <is>
          <t>V10006</t>
        </is>
      </c>
      <c r="K1277" s="75" t="inlineStr">
        <is>
          <t>AA빌딩</t>
        </is>
      </c>
      <c r="M1277" s="9">
        <f>IF($A1277="","",VALUE($A1277&amp;"")*12+VALUE($B1277&amp;""))</f>
        <v/>
      </c>
      <c r="N1277" s="39">
        <f>IF($A1277="","",IFERROR(INDEX(부서매핑!$C$5:$C$504,MATCH($G1277&amp;"",부서매핑!$A$5:$A$504,0)),"미매핑"))</f>
        <v/>
      </c>
      <c r="O1277" s="9">
        <f>IF($A1277="","",N1277&amp;"|"&amp;$F1277)</f>
        <v/>
      </c>
      <c r="P1277" s="77">
        <f>IF($A1277="",0,$H1277*설정!$C$23)</f>
        <v/>
      </c>
      <c r="Q1277" s="39">
        <f>IF($A1277="","",IF(O1277&lt;&gt;원인분석!$C$9,"",IF(AND(M1277&gt;=원인분석!$C$10,M1277&lt;=원인분석!$C$11),"당기",IF(AND(M1277&gt;=원인분석!$C$12,M1277&lt;=원인분석!$C$13),"비교",""))))</f>
        <v/>
      </c>
      <c r="R1277" s="9">
        <f>IF(Q1277="","",$K1277&amp;"")</f>
        <v/>
      </c>
      <c r="S1277" s="9">
        <f>IF(Q1277="","",IF(MATCH(R1277,$R$5:$R$100000,0)=ROW()-4,ROW(),""))</f>
        <v/>
      </c>
      <c r="T1277" s="9">
        <f>IF(Q1277="당기",ABS(P1277)+ROW()/1000000000,"")</f>
        <v/>
      </c>
      <c r="U1277" s="9">
        <f>IF(Q1277="비교",ABS(P1277)+ROW()/1000000000,"")</f>
        <v/>
      </c>
      <c r="V1277" s="39">
        <f>IF($A1277="","",IF(COUNTIF(변동분석!$E$7:$E$506,O1277)&gt;0,"Y","N"))</f>
        <v/>
      </c>
      <c r="W1277" s="39">
        <f>IF($A1277="","",IFERROR(INDEX(계정매핑!$D$5:$D$504,MATCH($F1277&amp;"",계정매핑!$A$5:$A$504,0)),"미매핑"))</f>
        <v/>
      </c>
      <c r="X1277" s="9">
        <f>IF($A1277="","",$F1277&amp;"")</f>
        <v/>
      </c>
    </row>
    <row r="1278">
      <c r="A1278" s="75" t="n">
        <v>2025</v>
      </c>
      <c r="B1278" s="75" t="n">
        <v>7</v>
      </c>
      <c r="C1278" s="75" t="inlineStr">
        <is>
          <t>5100001274</t>
        </is>
      </c>
      <c r="D1278" s="78" t="n">
        <v>45855</v>
      </c>
      <c r="E1278" s="75" t="inlineStr">
        <is>
          <t>KR</t>
        </is>
      </c>
      <c r="F1278" s="75" t="n">
        <v>62101000</v>
      </c>
      <c r="G1278" s="75" t="n">
        <v>1101</v>
      </c>
      <c r="H1278" s="76" t="n">
        <v>317000</v>
      </c>
      <c r="I1278" s="75" t="inlineStr">
        <is>
          <t>7월 국내출장 - (법인카드)</t>
        </is>
      </c>
      <c r="J1278" s="75" t="inlineStr">
        <is>
          <t>V10008</t>
        </is>
      </c>
      <c r="K1278" s="75" t="inlineStr">
        <is>
          <t>(법인카드)</t>
        </is>
      </c>
      <c r="M1278" s="9">
        <f>IF($A1278="","",VALUE($A1278&amp;"")*12+VALUE($B1278&amp;""))</f>
        <v/>
      </c>
      <c r="N1278" s="39">
        <f>IF($A1278="","",IFERROR(INDEX(부서매핑!$C$5:$C$504,MATCH($G1278&amp;"",부서매핑!$A$5:$A$504,0)),"미매핑"))</f>
        <v/>
      </c>
      <c r="O1278" s="9">
        <f>IF($A1278="","",N1278&amp;"|"&amp;$F1278)</f>
        <v/>
      </c>
      <c r="P1278" s="77">
        <f>IF($A1278="",0,$H1278*설정!$C$23)</f>
        <v/>
      </c>
      <c r="Q1278" s="39">
        <f>IF($A1278="","",IF(O1278&lt;&gt;원인분석!$C$9,"",IF(AND(M1278&gt;=원인분석!$C$10,M1278&lt;=원인분석!$C$11),"당기",IF(AND(M1278&gt;=원인분석!$C$12,M1278&lt;=원인분석!$C$13),"비교",""))))</f>
        <v/>
      </c>
      <c r="R1278" s="9">
        <f>IF(Q1278="","",$K1278&amp;"")</f>
        <v/>
      </c>
      <c r="S1278" s="9">
        <f>IF(Q1278="","",IF(MATCH(R1278,$R$5:$R$100000,0)=ROW()-4,ROW(),""))</f>
        <v/>
      </c>
      <c r="T1278" s="9">
        <f>IF(Q1278="당기",ABS(P1278)+ROW()/1000000000,"")</f>
        <v/>
      </c>
      <c r="U1278" s="9">
        <f>IF(Q1278="비교",ABS(P1278)+ROW()/1000000000,"")</f>
        <v/>
      </c>
      <c r="V1278" s="39">
        <f>IF($A1278="","",IF(COUNTIF(변동분석!$E$7:$E$506,O1278)&gt;0,"Y","N"))</f>
        <v/>
      </c>
      <c r="W1278" s="39">
        <f>IF($A1278="","",IFERROR(INDEX(계정매핑!$D$5:$D$504,MATCH($F1278&amp;"",계정매핑!$A$5:$A$504,0)),"미매핑"))</f>
        <v/>
      </c>
      <c r="X1278" s="9">
        <f>IF($A1278="","",$F1278&amp;"")</f>
        <v/>
      </c>
    </row>
    <row r="1279">
      <c r="A1279" s="75" t="n">
        <v>2025</v>
      </c>
      <c r="B1279" s="75" t="n">
        <v>7</v>
      </c>
      <c r="C1279" s="75" t="inlineStr">
        <is>
          <t>5100001275</t>
        </is>
      </c>
      <c r="D1279" s="78" t="n">
        <v>45855</v>
      </c>
      <c r="E1279" s="75" t="inlineStr">
        <is>
          <t>KR</t>
        </is>
      </c>
      <c r="F1279" s="75" t="n">
        <v>62101000</v>
      </c>
      <c r="G1279" s="75" t="n">
        <v>1401</v>
      </c>
      <c r="H1279" s="76" t="n">
        <v>221000</v>
      </c>
      <c r="I1279" s="75" t="inlineStr">
        <is>
          <t>7월 국내출장 - M항공</t>
        </is>
      </c>
      <c r="J1279" s="75" t="inlineStr">
        <is>
          <t>V10001</t>
        </is>
      </c>
      <c r="K1279" s="75" t="inlineStr">
        <is>
          <t>M항공</t>
        </is>
      </c>
      <c r="M1279" s="9">
        <f>IF($A1279="","",VALUE($A1279&amp;"")*12+VALUE($B1279&amp;""))</f>
        <v/>
      </c>
      <c r="N1279" s="39">
        <f>IF($A1279="","",IFERROR(INDEX(부서매핑!$C$5:$C$504,MATCH($G1279&amp;"",부서매핑!$A$5:$A$504,0)),"미매핑"))</f>
        <v/>
      </c>
      <c r="O1279" s="9">
        <f>IF($A1279="","",N1279&amp;"|"&amp;$F1279)</f>
        <v/>
      </c>
      <c r="P1279" s="77">
        <f>IF($A1279="",0,$H1279*설정!$C$23)</f>
        <v/>
      </c>
      <c r="Q1279" s="39">
        <f>IF($A1279="","",IF(O1279&lt;&gt;원인분석!$C$9,"",IF(AND(M1279&gt;=원인분석!$C$10,M1279&lt;=원인분석!$C$11),"당기",IF(AND(M1279&gt;=원인분석!$C$12,M1279&lt;=원인분석!$C$13),"비교",""))))</f>
        <v/>
      </c>
      <c r="R1279" s="9">
        <f>IF(Q1279="","",$K1279&amp;"")</f>
        <v/>
      </c>
      <c r="S1279" s="9">
        <f>IF(Q1279="","",IF(MATCH(R1279,$R$5:$R$100000,0)=ROW()-4,ROW(),""))</f>
        <v/>
      </c>
      <c r="T1279" s="9">
        <f>IF(Q1279="당기",ABS(P1279)+ROW()/1000000000,"")</f>
        <v/>
      </c>
      <c r="U1279" s="9">
        <f>IF(Q1279="비교",ABS(P1279)+ROW()/1000000000,"")</f>
        <v/>
      </c>
      <c r="V1279" s="39">
        <f>IF($A1279="","",IF(COUNTIF(변동분석!$E$7:$E$506,O1279)&gt;0,"Y","N"))</f>
        <v/>
      </c>
      <c r="W1279" s="39">
        <f>IF($A1279="","",IFERROR(INDEX(계정매핑!$D$5:$D$504,MATCH($F1279&amp;"",계정매핑!$A$5:$A$504,0)),"미매핑"))</f>
        <v/>
      </c>
      <c r="X1279" s="9">
        <f>IF($A1279="","",$F1279&amp;"")</f>
        <v/>
      </c>
    </row>
    <row r="1280">
      <c r="A1280" s="75" t="n">
        <v>2025</v>
      </c>
      <c r="B1280" s="75" t="n">
        <v>7</v>
      </c>
      <c r="C1280" s="75" t="inlineStr">
        <is>
          <t>5100001276</t>
        </is>
      </c>
      <c r="D1280" s="78" t="n">
        <v>45855</v>
      </c>
      <c r="E1280" s="75" t="inlineStr">
        <is>
          <t>KR</t>
        </is>
      </c>
      <c r="F1280" s="75" t="n">
        <v>62201000</v>
      </c>
      <c r="G1280" s="75" t="n">
        <v>1201</v>
      </c>
      <c r="H1280" s="76" t="n">
        <v>230000</v>
      </c>
      <c r="I1280" s="75" t="inlineStr">
        <is>
          <t>7월 통신요금 - O텔레콤</t>
        </is>
      </c>
      <c r="J1280" s="75" t="inlineStr">
        <is>
          <t>V10002</t>
        </is>
      </c>
      <c r="K1280" s="75" t="inlineStr">
        <is>
          <t>O텔레콤</t>
        </is>
      </c>
      <c r="M1280" s="9">
        <f>IF($A1280="","",VALUE($A1280&amp;"")*12+VALUE($B1280&amp;""))</f>
        <v/>
      </c>
      <c r="N1280" s="39">
        <f>IF($A1280="","",IFERROR(INDEX(부서매핑!$C$5:$C$504,MATCH($G1280&amp;"",부서매핑!$A$5:$A$504,0)),"미매핑"))</f>
        <v/>
      </c>
      <c r="O1280" s="9">
        <f>IF($A1280="","",N1280&amp;"|"&amp;$F1280)</f>
        <v/>
      </c>
      <c r="P1280" s="77">
        <f>IF($A1280="",0,$H1280*설정!$C$23)</f>
        <v/>
      </c>
      <c r="Q1280" s="39">
        <f>IF($A1280="","",IF(O1280&lt;&gt;원인분석!$C$9,"",IF(AND(M1280&gt;=원인분석!$C$10,M1280&lt;=원인분석!$C$11),"당기",IF(AND(M1280&gt;=원인분석!$C$12,M1280&lt;=원인분석!$C$13),"비교",""))))</f>
        <v/>
      </c>
      <c r="R1280" s="9">
        <f>IF(Q1280="","",$K1280&amp;"")</f>
        <v/>
      </c>
      <c r="S1280" s="9">
        <f>IF(Q1280="","",IF(MATCH(R1280,$R$5:$R$100000,0)=ROW()-4,ROW(),""))</f>
        <v/>
      </c>
      <c r="T1280" s="9">
        <f>IF(Q1280="당기",ABS(P1280)+ROW()/1000000000,"")</f>
        <v/>
      </c>
      <c r="U1280" s="9">
        <f>IF(Q1280="비교",ABS(P1280)+ROW()/1000000000,"")</f>
        <v/>
      </c>
      <c r="V1280" s="39">
        <f>IF($A1280="","",IF(COUNTIF(변동분석!$E$7:$E$506,O1280)&gt;0,"Y","N"))</f>
        <v/>
      </c>
      <c r="W1280" s="39">
        <f>IF($A1280="","",IFERROR(INDEX(계정매핑!$D$5:$D$504,MATCH($F1280&amp;"",계정매핑!$A$5:$A$504,0)),"미매핑"))</f>
        <v/>
      </c>
      <c r="X1280" s="9">
        <f>IF($A1280="","",$F1280&amp;"")</f>
        <v/>
      </c>
    </row>
    <row r="1281">
      <c r="A1281" s="75" t="n">
        <v>2025</v>
      </c>
      <c r="B1281" s="75" t="n">
        <v>7</v>
      </c>
      <c r="C1281" s="75" t="inlineStr">
        <is>
          <t>5100001277</t>
        </is>
      </c>
      <c r="D1281" s="78" t="n">
        <v>45855</v>
      </c>
      <c r="E1281" s="75" t="inlineStr">
        <is>
          <t>KR</t>
        </is>
      </c>
      <c r="F1281" s="75" t="n">
        <v>62301000</v>
      </c>
      <c r="G1281" s="75" t="n">
        <v>1301</v>
      </c>
      <c r="H1281" s="76" t="n">
        <v>224000</v>
      </c>
      <c r="I1281" s="75" t="inlineStr">
        <is>
          <t>7월 소모품 구입 - Q오피스</t>
        </is>
      </c>
      <c r="J1281" s="75" t="inlineStr">
        <is>
          <t>V10003</t>
        </is>
      </c>
      <c r="K1281" s="75" t="inlineStr">
        <is>
          <t>Q오피스</t>
        </is>
      </c>
      <c r="M1281" s="9">
        <f>IF($A1281="","",VALUE($A1281&amp;"")*12+VALUE($B1281&amp;""))</f>
        <v/>
      </c>
      <c r="N1281" s="39">
        <f>IF($A1281="","",IFERROR(INDEX(부서매핑!$C$5:$C$504,MATCH($G1281&amp;"",부서매핑!$A$5:$A$504,0)),"미매핑"))</f>
        <v/>
      </c>
      <c r="O1281" s="9">
        <f>IF($A1281="","",N1281&amp;"|"&amp;$F1281)</f>
        <v/>
      </c>
      <c r="P1281" s="77">
        <f>IF($A1281="",0,$H1281*설정!$C$23)</f>
        <v/>
      </c>
      <c r="Q1281" s="39">
        <f>IF($A1281="","",IF(O1281&lt;&gt;원인분석!$C$9,"",IF(AND(M1281&gt;=원인분석!$C$10,M1281&lt;=원인분석!$C$11),"당기",IF(AND(M1281&gt;=원인분석!$C$12,M1281&lt;=원인분석!$C$13),"비교",""))))</f>
        <v/>
      </c>
      <c r="R1281" s="9">
        <f>IF(Q1281="","",$K1281&amp;"")</f>
        <v/>
      </c>
      <c r="S1281" s="9">
        <f>IF(Q1281="","",IF(MATCH(R1281,$R$5:$R$100000,0)=ROW()-4,ROW(),""))</f>
        <v/>
      </c>
      <c r="T1281" s="9">
        <f>IF(Q1281="당기",ABS(P1281)+ROW()/1000000000,"")</f>
        <v/>
      </c>
      <c r="U1281" s="9">
        <f>IF(Q1281="비교",ABS(P1281)+ROW()/1000000000,"")</f>
        <v/>
      </c>
      <c r="V1281" s="39">
        <f>IF($A1281="","",IF(COUNTIF(변동분석!$E$7:$E$506,O1281)&gt;0,"Y","N"))</f>
        <v/>
      </c>
      <c r="W1281" s="39">
        <f>IF($A1281="","",IFERROR(INDEX(계정매핑!$D$5:$D$504,MATCH($F1281&amp;"",계정매핑!$A$5:$A$504,0)),"미매핑"))</f>
        <v/>
      </c>
      <c r="X1281" s="9">
        <f>IF($A1281="","",$F1281&amp;"")</f>
        <v/>
      </c>
    </row>
    <row r="1282">
      <c r="A1282" s="75" t="n">
        <v>2025</v>
      </c>
      <c r="B1282" s="75" t="n">
        <v>7</v>
      </c>
      <c r="C1282" s="75" t="inlineStr">
        <is>
          <t>5100001278</t>
        </is>
      </c>
      <c r="D1282" s="78" t="n">
        <v>45855</v>
      </c>
      <c r="E1282" s="75" t="inlineStr">
        <is>
          <t>KR</t>
        </is>
      </c>
      <c r="F1282" s="75" t="n">
        <v>62501000</v>
      </c>
      <c r="G1282" s="75" t="n">
        <v>1301</v>
      </c>
      <c r="H1282" s="76" t="n">
        <v>241000</v>
      </c>
      <c r="I1282" s="75" t="inlineStr">
        <is>
          <t>7월 회의 다과 - (법인카드)</t>
        </is>
      </c>
      <c r="J1282" s="75" t="inlineStr">
        <is>
          <t>V10008</t>
        </is>
      </c>
      <c r="K1282" s="75" t="inlineStr">
        <is>
          <t>(법인카드)</t>
        </is>
      </c>
      <c r="M1282" s="9">
        <f>IF($A1282="","",VALUE($A1282&amp;"")*12+VALUE($B1282&amp;""))</f>
        <v/>
      </c>
      <c r="N1282" s="39">
        <f>IF($A1282="","",IFERROR(INDEX(부서매핑!$C$5:$C$504,MATCH($G1282&amp;"",부서매핑!$A$5:$A$504,0)),"미매핑"))</f>
        <v/>
      </c>
      <c r="O1282" s="9">
        <f>IF($A1282="","",N1282&amp;"|"&amp;$F1282)</f>
        <v/>
      </c>
      <c r="P1282" s="77">
        <f>IF($A1282="",0,$H1282*설정!$C$23)</f>
        <v/>
      </c>
      <c r="Q1282" s="39">
        <f>IF($A1282="","",IF(O1282&lt;&gt;원인분석!$C$9,"",IF(AND(M1282&gt;=원인분석!$C$10,M1282&lt;=원인분석!$C$11),"당기",IF(AND(M1282&gt;=원인분석!$C$12,M1282&lt;=원인분석!$C$13),"비교",""))))</f>
        <v/>
      </c>
      <c r="R1282" s="9">
        <f>IF(Q1282="","",$K1282&amp;"")</f>
        <v/>
      </c>
      <c r="S1282" s="9">
        <f>IF(Q1282="","",IF(MATCH(R1282,$R$5:$R$100000,0)=ROW()-4,ROW(),""))</f>
        <v/>
      </c>
      <c r="T1282" s="9">
        <f>IF(Q1282="당기",ABS(P1282)+ROW()/1000000000,"")</f>
        <v/>
      </c>
      <c r="U1282" s="9">
        <f>IF(Q1282="비교",ABS(P1282)+ROW()/1000000000,"")</f>
        <v/>
      </c>
      <c r="V1282" s="39">
        <f>IF($A1282="","",IF(COUNTIF(변동분석!$E$7:$E$506,O1282)&gt;0,"Y","N"))</f>
        <v/>
      </c>
      <c r="W1282" s="39">
        <f>IF($A1282="","",IFERROR(INDEX(계정매핑!$D$5:$D$504,MATCH($F1282&amp;"",계정매핑!$A$5:$A$504,0)),"미매핑"))</f>
        <v/>
      </c>
      <c r="X1282" s="9">
        <f>IF($A1282="","",$F1282&amp;"")</f>
        <v/>
      </c>
    </row>
    <row r="1283">
      <c r="A1283" s="75" t="n">
        <v>2025</v>
      </c>
      <c r="B1283" s="75" t="n">
        <v>7</v>
      </c>
      <c r="C1283" s="75" t="inlineStr">
        <is>
          <t>5100001279</t>
        </is>
      </c>
      <c r="D1283" s="78" t="n">
        <v>45855</v>
      </c>
      <c r="E1283" s="75" t="inlineStr">
        <is>
          <t>KR</t>
        </is>
      </c>
      <c r="F1283" s="75" t="n">
        <v>62501000</v>
      </c>
      <c r="G1283" s="75" t="n">
        <v>1801</v>
      </c>
      <c r="H1283" s="76" t="n">
        <v>197000</v>
      </c>
      <c r="I1283" s="75" t="inlineStr">
        <is>
          <t>7월 회의 다과 - T케이터링</t>
        </is>
      </c>
      <c r="J1283" s="75" t="inlineStr">
        <is>
          <t>V10005</t>
        </is>
      </c>
      <c r="K1283" s="75" t="inlineStr">
        <is>
          <t>T케이터링</t>
        </is>
      </c>
      <c r="M1283" s="9">
        <f>IF($A1283="","",VALUE($A1283&amp;"")*12+VALUE($B1283&amp;""))</f>
        <v/>
      </c>
      <c r="N1283" s="39">
        <f>IF($A1283="","",IFERROR(INDEX(부서매핑!$C$5:$C$504,MATCH($G1283&amp;"",부서매핑!$A$5:$A$504,0)),"미매핑"))</f>
        <v/>
      </c>
      <c r="O1283" s="9">
        <f>IF($A1283="","",N1283&amp;"|"&amp;$F1283)</f>
        <v/>
      </c>
      <c r="P1283" s="77">
        <f>IF($A1283="",0,$H1283*설정!$C$23)</f>
        <v/>
      </c>
      <c r="Q1283" s="39">
        <f>IF($A1283="","",IF(O1283&lt;&gt;원인분석!$C$9,"",IF(AND(M1283&gt;=원인분석!$C$10,M1283&lt;=원인분석!$C$11),"당기",IF(AND(M1283&gt;=원인분석!$C$12,M1283&lt;=원인분석!$C$13),"비교",""))))</f>
        <v/>
      </c>
      <c r="R1283" s="9">
        <f>IF(Q1283="","",$K1283&amp;"")</f>
        <v/>
      </c>
      <c r="S1283" s="9">
        <f>IF(Q1283="","",IF(MATCH(R1283,$R$5:$R$100000,0)=ROW()-4,ROW(),""))</f>
        <v/>
      </c>
      <c r="T1283" s="9">
        <f>IF(Q1283="당기",ABS(P1283)+ROW()/1000000000,"")</f>
        <v/>
      </c>
      <c r="U1283" s="9">
        <f>IF(Q1283="비교",ABS(P1283)+ROW()/1000000000,"")</f>
        <v/>
      </c>
      <c r="V1283" s="39">
        <f>IF($A1283="","",IF(COUNTIF(변동분석!$E$7:$E$506,O1283)&gt;0,"Y","N"))</f>
        <v/>
      </c>
      <c r="W1283" s="39">
        <f>IF($A1283="","",IFERROR(INDEX(계정매핑!$D$5:$D$504,MATCH($F1283&amp;"",계정매핑!$A$5:$A$504,0)),"미매핑"))</f>
        <v/>
      </c>
      <c r="X1283" s="9">
        <f>IF($A1283="","",$F1283&amp;"")</f>
        <v/>
      </c>
    </row>
    <row r="1284">
      <c r="A1284" s="75" t="n">
        <v>2025</v>
      </c>
      <c r="B1284" s="75" t="n">
        <v>7</v>
      </c>
      <c r="C1284" s="75" t="inlineStr">
        <is>
          <t>5100001280</t>
        </is>
      </c>
      <c r="D1284" s="78" t="n">
        <v>45855</v>
      </c>
      <c r="E1284" s="75" t="inlineStr">
        <is>
          <t>KR</t>
        </is>
      </c>
      <c r="F1284" s="75" t="n">
        <v>62901000</v>
      </c>
      <c r="G1284" s="75" t="n">
        <v>1801</v>
      </c>
      <c r="H1284" s="76" t="n">
        <v>8992000</v>
      </c>
      <c r="I1284" s="75" t="inlineStr">
        <is>
          <t>7월 자문 수수료 - K회계법인</t>
        </is>
      </c>
      <c r="J1284" s="75" t="inlineStr">
        <is>
          <t>V10010</t>
        </is>
      </c>
      <c r="K1284" s="75" t="inlineStr">
        <is>
          <t>K회계법인</t>
        </is>
      </c>
      <c r="M1284" s="9">
        <f>IF($A1284="","",VALUE($A1284&amp;"")*12+VALUE($B1284&amp;""))</f>
        <v/>
      </c>
      <c r="N1284" s="39">
        <f>IF($A1284="","",IFERROR(INDEX(부서매핑!$C$5:$C$504,MATCH($G1284&amp;"",부서매핑!$A$5:$A$504,0)),"미매핑"))</f>
        <v/>
      </c>
      <c r="O1284" s="9">
        <f>IF($A1284="","",N1284&amp;"|"&amp;$F1284)</f>
        <v/>
      </c>
      <c r="P1284" s="77">
        <f>IF($A1284="",0,$H1284*설정!$C$23)</f>
        <v/>
      </c>
      <c r="Q1284" s="39">
        <f>IF($A1284="","",IF(O1284&lt;&gt;원인분석!$C$9,"",IF(AND(M1284&gt;=원인분석!$C$10,M1284&lt;=원인분석!$C$11),"당기",IF(AND(M1284&gt;=원인분석!$C$12,M1284&lt;=원인분석!$C$13),"비교",""))))</f>
        <v/>
      </c>
      <c r="R1284" s="9">
        <f>IF(Q1284="","",$K1284&amp;"")</f>
        <v/>
      </c>
      <c r="S1284" s="9">
        <f>IF(Q1284="","",IF(MATCH(R1284,$R$5:$R$100000,0)=ROW()-4,ROW(),""))</f>
        <v/>
      </c>
      <c r="T1284" s="9">
        <f>IF(Q1284="당기",ABS(P1284)+ROW()/1000000000,"")</f>
        <v/>
      </c>
      <c r="U1284" s="9">
        <f>IF(Q1284="비교",ABS(P1284)+ROW()/1000000000,"")</f>
        <v/>
      </c>
      <c r="V1284" s="39">
        <f>IF($A1284="","",IF(COUNTIF(변동분석!$E$7:$E$506,O1284)&gt;0,"Y","N"))</f>
        <v/>
      </c>
      <c r="W1284" s="39">
        <f>IF($A1284="","",IFERROR(INDEX(계정매핑!$D$5:$D$504,MATCH($F1284&amp;"",계정매핑!$A$5:$A$504,0)),"미매핑"))</f>
        <v/>
      </c>
      <c r="X1284" s="9">
        <f>IF($A1284="","",$F1284&amp;"")</f>
        <v/>
      </c>
    </row>
    <row r="1285">
      <c r="A1285" s="75" t="n">
        <v>2025</v>
      </c>
      <c r="B1285" s="75" t="n">
        <v>7</v>
      </c>
      <c r="C1285" s="75" t="inlineStr">
        <is>
          <t>5100001281</t>
        </is>
      </c>
      <c r="D1285" s="78" t="n">
        <v>45856</v>
      </c>
      <c r="E1285" s="75" t="inlineStr">
        <is>
          <t>KR</t>
        </is>
      </c>
      <c r="F1285" s="75" t="n">
        <v>62101000</v>
      </c>
      <c r="G1285" s="75" t="n">
        <v>1201</v>
      </c>
      <c r="H1285" s="76" t="n">
        <v>162000</v>
      </c>
      <c r="I1285" s="75" t="inlineStr">
        <is>
          <t>7월 국내출장 - L여행사</t>
        </is>
      </c>
      <c r="J1285" s="75" t="inlineStr">
        <is>
          <t>V10014</t>
        </is>
      </c>
      <c r="K1285" s="75" t="inlineStr">
        <is>
          <t>L여행사</t>
        </is>
      </c>
      <c r="M1285" s="9">
        <f>IF($A1285="","",VALUE($A1285&amp;"")*12+VALUE($B1285&amp;""))</f>
        <v/>
      </c>
      <c r="N1285" s="39">
        <f>IF($A1285="","",IFERROR(INDEX(부서매핑!$C$5:$C$504,MATCH($G1285&amp;"",부서매핑!$A$5:$A$504,0)),"미매핑"))</f>
        <v/>
      </c>
      <c r="O1285" s="9">
        <f>IF($A1285="","",N1285&amp;"|"&amp;$F1285)</f>
        <v/>
      </c>
      <c r="P1285" s="77">
        <f>IF($A1285="",0,$H1285*설정!$C$23)</f>
        <v/>
      </c>
      <c r="Q1285" s="39">
        <f>IF($A1285="","",IF(O1285&lt;&gt;원인분석!$C$9,"",IF(AND(M1285&gt;=원인분석!$C$10,M1285&lt;=원인분석!$C$11),"당기",IF(AND(M1285&gt;=원인분석!$C$12,M1285&lt;=원인분석!$C$13),"비교",""))))</f>
        <v/>
      </c>
      <c r="R1285" s="9">
        <f>IF(Q1285="","",$K1285&amp;"")</f>
        <v/>
      </c>
      <c r="S1285" s="9">
        <f>IF(Q1285="","",IF(MATCH(R1285,$R$5:$R$100000,0)=ROW()-4,ROW(),""))</f>
        <v/>
      </c>
      <c r="T1285" s="9">
        <f>IF(Q1285="당기",ABS(P1285)+ROW()/1000000000,"")</f>
        <v/>
      </c>
      <c r="U1285" s="9">
        <f>IF(Q1285="비교",ABS(P1285)+ROW()/1000000000,"")</f>
        <v/>
      </c>
      <c r="V1285" s="39">
        <f>IF($A1285="","",IF(COUNTIF(변동분석!$E$7:$E$506,O1285)&gt;0,"Y","N"))</f>
        <v/>
      </c>
      <c r="W1285" s="39">
        <f>IF($A1285="","",IFERROR(INDEX(계정매핑!$D$5:$D$504,MATCH($F1285&amp;"",계정매핑!$A$5:$A$504,0)),"미매핑"))</f>
        <v/>
      </c>
      <c r="X1285" s="9">
        <f>IF($A1285="","",$F1285&amp;"")</f>
        <v/>
      </c>
    </row>
    <row r="1286">
      <c r="A1286" s="75" t="n">
        <v>2025</v>
      </c>
      <c r="B1286" s="75" t="n">
        <v>7</v>
      </c>
      <c r="C1286" s="75" t="inlineStr">
        <is>
          <t>5100001282</t>
        </is>
      </c>
      <c r="D1286" s="78" t="n">
        <v>45856</v>
      </c>
      <c r="E1286" s="75" t="inlineStr">
        <is>
          <t>KR</t>
        </is>
      </c>
      <c r="F1286" s="75" t="n">
        <v>62101000</v>
      </c>
      <c r="G1286" s="75" t="n">
        <v>1401</v>
      </c>
      <c r="H1286" s="76" t="n">
        <v>209000</v>
      </c>
      <c r="I1286" s="75" t="inlineStr">
        <is>
          <t>7월 국내출장 - (법인카드)</t>
        </is>
      </c>
      <c r="J1286" s="75" t="inlineStr">
        <is>
          <t>V10008</t>
        </is>
      </c>
      <c r="K1286" s="75" t="inlineStr">
        <is>
          <t>(법인카드)</t>
        </is>
      </c>
      <c r="M1286" s="9">
        <f>IF($A1286="","",VALUE($A1286&amp;"")*12+VALUE($B1286&amp;""))</f>
        <v/>
      </c>
      <c r="N1286" s="39">
        <f>IF($A1286="","",IFERROR(INDEX(부서매핑!$C$5:$C$504,MATCH($G1286&amp;"",부서매핑!$A$5:$A$504,0)),"미매핑"))</f>
        <v/>
      </c>
      <c r="O1286" s="9">
        <f>IF($A1286="","",N1286&amp;"|"&amp;$F1286)</f>
        <v/>
      </c>
      <c r="P1286" s="77">
        <f>IF($A1286="",0,$H1286*설정!$C$23)</f>
        <v/>
      </c>
      <c r="Q1286" s="39">
        <f>IF($A1286="","",IF(O1286&lt;&gt;원인분석!$C$9,"",IF(AND(M1286&gt;=원인분석!$C$10,M1286&lt;=원인분석!$C$11),"당기",IF(AND(M1286&gt;=원인분석!$C$12,M1286&lt;=원인분석!$C$13),"비교",""))))</f>
        <v/>
      </c>
      <c r="R1286" s="9">
        <f>IF(Q1286="","",$K1286&amp;"")</f>
        <v/>
      </c>
      <c r="S1286" s="9">
        <f>IF(Q1286="","",IF(MATCH(R1286,$R$5:$R$100000,0)=ROW()-4,ROW(),""))</f>
        <v/>
      </c>
      <c r="T1286" s="9">
        <f>IF(Q1286="당기",ABS(P1286)+ROW()/1000000000,"")</f>
        <v/>
      </c>
      <c r="U1286" s="9">
        <f>IF(Q1286="비교",ABS(P1286)+ROW()/1000000000,"")</f>
        <v/>
      </c>
      <c r="V1286" s="39">
        <f>IF($A1286="","",IF(COUNTIF(변동분석!$E$7:$E$506,O1286)&gt;0,"Y","N"))</f>
        <v/>
      </c>
      <c r="W1286" s="39">
        <f>IF($A1286="","",IFERROR(INDEX(계정매핑!$D$5:$D$504,MATCH($F1286&amp;"",계정매핑!$A$5:$A$504,0)),"미매핑"))</f>
        <v/>
      </c>
      <c r="X1286" s="9">
        <f>IF($A1286="","",$F1286&amp;"")</f>
        <v/>
      </c>
    </row>
    <row r="1287">
      <c r="A1287" s="75" t="n">
        <v>2025</v>
      </c>
      <c r="B1287" s="75" t="n">
        <v>7</v>
      </c>
      <c r="C1287" s="75" t="inlineStr">
        <is>
          <t>5100001283</t>
        </is>
      </c>
      <c r="D1287" s="78" t="n">
        <v>45856</v>
      </c>
      <c r="E1287" s="75" t="inlineStr">
        <is>
          <t>KR</t>
        </is>
      </c>
      <c r="F1287" s="75" t="n">
        <v>62101000</v>
      </c>
      <c r="G1287" s="75" t="n">
        <v>1601</v>
      </c>
      <c r="H1287" s="76" t="n">
        <v>977000</v>
      </c>
      <c r="I1287" s="75" t="inlineStr">
        <is>
          <t>7월 국내출장 - M항공</t>
        </is>
      </c>
      <c r="J1287" s="75" t="inlineStr">
        <is>
          <t>V10001</t>
        </is>
      </c>
      <c r="K1287" s="75" t="inlineStr">
        <is>
          <t>M항공</t>
        </is>
      </c>
      <c r="M1287" s="9">
        <f>IF($A1287="","",VALUE($A1287&amp;"")*12+VALUE($B1287&amp;""))</f>
        <v/>
      </c>
      <c r="N1287" s="39">
        <f>IF($A1287="","",IFERROR(INDEX(부서매핑!$C$5:$C$504,MATCH($G1287&amp;"",부서매핑!$A$5:$A$504,0)),"미매핑"))</f>
        <v/>
      </c>
      <c r="O1287" s="9">
        <f>IF($A1287="","",N1287&amp;"|"&amp;$F1287)</f>
        <v/>
      </c>
      <c r="P1287" s="77">
        <f>IF($A1287="",0,$H1287*설정!$C$23)</f>
        <v/>
      </c>
      <c r="Q1287" s="39">
        <f>IF($A1287="","",IF(O1287&lt;&gt;원인분석!$C$9,"",IF(AND(M1287&gt;=원인분석!$C$10,M1287&lt;=원인분석!$C$11),"당기",IF(AND(M1287&gt;=원인분석!$C$12,M1287&lt;=원인분석!$C$13),"비교",""))))</f>
        <v/>
      </c>
      <c r="R1287" s="9">
        <f>IF(Q1287="","",$K1287&amp;"")</f>
        <v/>
      </c>
      <c r="S1287" s="9">
        <f>IF(Q1287="","",IF(MATCH(R1287,$R$5:$R$100000,0)=ROW()-4,ROW(),""))</f>
        <v/>
      </c>
      <c r="T1287" s="9">
        <f>IF(Q1287="당기",ABS(P1287)+ROW()/1000000000,"")</f>
        <v/>
      </c>
      <c r="U1287" s="9">
        <f>IF(Q1287="비교",ABS(P1287)+ROW()/1000000000,"")</f>
        <v/>
      </c>
      <c r="V1287" s="39">
        <f>IF($A1287="","",IF(COUNTIF(변동분석!$E$7:$E$506,O1287)&gt;0,"Y","N"))</f>
        <v/>
      </c>
      <c r="W1287" s="39">
        <f>IF($A1287="","",IFERROR(INDEX(계정매핑!$D$5:$D$504,MATCH($F1287&amp;"",계정매핑!$A$5:$A$504,0)),"미매핑"))</f>
        <v/>
      </c>
      <c r="X1287" s="9">
        <f>IF($A1287="","",$F1287&amp;"")</f>
        <v/>
      </c>
    </row>
    <row r="1288">
      <c r="A1288" s="75" t="n">
        <v>2025</v>
      </c>
      <c r="B1288" s="75" t="n">
        <v>7</v>
      </c>
      <c r="C1288" s="75" t="inlineStr">
        <is>
          <t>5100001284</t>
        </is>
      </c>
      <c r="D1288" s="78" t="n">
        <v>45856</v>
      </c>
      <c r="E1288" s="75" t="inlineStr">
        <is>
          <t>KR</t>
        </is>
      </c>
      <c r="F1288" s="75" t="n">
        <v>62101000</v>
      </c>
      <c r="G1288" s="75" t="n">
        <v>1801</v>
      </c>
      <c r="H1288" s="76" t="n">
        <v>86000</v>
      </c>
      <c r="I1288" s="75" t="inlineStr">
        <is>
          <t>7월 국내출장 - M항공</t>
        </is>
      </c>
      <c r="J1288" s="75" t="inlineStr">
        <is>
          <t>V10001</t>
        </is>
      </c>
      <c r="K1288" s="75" t="inlineStr">
        <is>
          <t>M항공</t>
        </is>
      </c>
      <c r="M1288" s="9">
        <f>IF($A1288="","",VALUE($A1288&amp;"")*12+VALUE($B1288&amp;""))</f>
        <v/>
      </c>
      <c r="N1288" s="39">
        <f>IF($A1288="","",IFERROR(INDEX(부서매핑!$C$5:$C$504,MATCH($G1288&amp;"",부서매핑!$A$5:$A$504,0)),"미매핑"))</f>
        <v/>
      </c>
      <c r="O1288" s="9">
        <f>IF($A1288="","",N1288&amp;"|"&amp;$F1288)</f>
        <v/>
      </c>
      <c r="P1288" s="77">
        <f>IF($A1288="",0,$H1288*설정!$C$23)</f>
        <v/>
      </c>
      <c r="Q1288" s="39">
        <f>IF($A1288="","",IF(O1288&lt;&gt;원인분석!$C$9,"",IF(AND(M1288&gt;=원인분석!$C$10,M1288&lt;=원인분석!$C$11),"당기",IF(AND(M1288&gt;=원인분석!$C$12,M1288&lt;=원인분석!$C$13),"비교",""))))</f>
        <v/>
      </c>
      <c r="R1288" s="9">
        <f>IF(Q1288="","",$K1288&amp;"")</f>
        <v/>
      </c>
      <c r="S1288" s="9">
        <f>IF(Q1288="","",IF(MATCH(R1288,$R$5:$R$100000,0)=ROW()-4,ROW(),""))</f>
        <v/>
      </c>
      <c r="T1288" s="9">
        <f>IF(Q1288="당기",ABS(P1288)+ROW()/1000000000,"")</f>
        <v/>
      </c>
      <c r="U1288" s="9">
        <f>IF(Q1288="비교",ABS(P1288)+ROW()/1000000000,"")</f>
        <v/>
      </c>
      <c r="V1288" s="39">
        <f>IF($A1288="","",IF(COUNTIF(변동분석!$E$7:$E$506,O1288)&gt;0,"Y","N"))</f>
        <v/>
      </c>
      <c r="W1288" s="39">
        <f>IF($A1288="","",IFERROR(INDEX(계정매핑!$D$5:$D$504,MATCH($F1288&amp;"",계정매핑!$A$5:$A$504,0)),"미매핑"))</f>
        <v/>
      </c>
      <c r="X1288" s="9">
        <f>IF($A1288="","",$F1288&amp;"")</f>
        <v/>
      </c>
    </row>
    <row r="1289">
      <c r="A1289" s="75" t="n">
        <v>2025</v>
      </c>
      <c r="B1289" s="75" t="n">
        <v>7</v>
      </c>
      <c r="C1289" s="75" t="inlineStr">
        <is>
          <t>5100001285</t>
        </is>
      </c>
      <c r="D1289" s="78" t="n">
        <v>45856</v>
      </c>
      <c r="E1289" s="75" t="inlineStr">
        <is>
          <t>KR</t>
        </is>
      </c>
      <c r="F1289" s="75" t="n">
        <v>62201000</v>
      </c>
      <c r="G1289" s="75" t="n">
        <v>1602</v>
      </c>
      <c r="H1289" s="76" t="n">
        <v>1074000</v>
      </c>
      <c r="I1289" s="75" t="inlineStr">
        <is>
          <t>7월 통신요금 - P통신</t>
        </is>
      </c>
      <c r="J1289" s="75" t="inlineStr">
        <is>
          <t>V10011</t>
        </is>
      </c>
      <c r="K1289" s="75" t="inlineStr">
        <is>
          <t>P통신</t>
        </is>
      </c>
      <c r="M1289" s="9">
        <f>IF($A1289="","",VALUE($A1289&amp;"")*12+VALUE($B1289&amp;""))</f>
        <v/>
      </c>
      <c r="N1289" s="39">
        <f>IF($A1289="","",IFERROR(INDEX(부서매핑!$C$5:$C$504,MATCH($G1289&amp;"",부서매핑!$A$5:$A$504,0)),"미매핑"))</f>
        <v/>
      </c>
      <c r="O1289" s="9">
        <f>IF($A1289="","",N1289&amp;"|"&amp;$F1289)</f>
        <v/>
      </c>
      <c r="P1289" s="77">
        <f>IF($A1289="",0,$H1289*설정!$C$23)</f>
        <v/>
      </c>
      <c r="Q1289" s="39">
        <f>IF($A1289="","",IF(O1289&lt;&gt;원인분석!$C$9,"",IF(AND(M1289&gt;=원인분석!$C$10,M1289&lt;=원인분석!$C$11),"당기",IF(AND(M1289&gt;=원인분석!$C$12,M1289&lt;=원인분석!$C$13),"비교",""))))</f>
        <v/>
      </c>
      <c r="R1289" s="9">
        <f>IF(Q1289="","",$K1289&amp;"")</f>
        <v/>
      </c>
      <c r="S1289" s="9">
        <f>IF(Q1289="","",IF(MATCH(R1289,$R$5:$R$100000,0)=ROW()-4,ROW(),""))</f>
        <v/>
      </c>
      <c r="T1289" s="9">
        <f>IF(Q1289="당기",ABS(P1289)+ROW()/1000000000,"")</f>
        <v/>
      </c>
      <c r="U1289" s="9">
        <f>IF(Q1289="비교",ABS(P1289)+ROW()/1000000000,"")</f>
        <v/>
      </c>
      <c r="V1289" s="39">
        <f>IF($A1289="","",IF(COUNTIF(변동분석!$E$7:$E$506,O1289)&gt;0,"Y","N"))</f>
        <v/>
      </c>
      <c r="W1289" s="39">
        <f>IF($A1289="","",IFERROR(INDEX(계정매핑!$D$5:$D$504,MATCH($F1289&amp;"",계정매핑!$A$5:$A$504,0)),"미매핑"))</f>
        <v/>
      </c>
      <c r="X1289" s="9">
        <f>IF($A1289="","",$F1289&amp;"")</f>
        <v/>
      </c>
    </row>
    <row r="1290">
      <c r="A1290" s="75" t="n">
        <v>2025</v>
      </c>
      <c r="B1290" s="75" t="n">
        <v>7</v>
      </c>
      <c r="C1290" s="75" t="inlineStr">
        <is>
          <t>5100001286</t>
        </is>
      </c>
      <c r="D1290" s="78" t="n">
        <v>45856</v>
      </c>
      <c r="E1290" s="75" t="inlineStr">
        <is>
          <t>KR</t>
        </is>
      </c>
      <c r="F1290" s="75" t="n">
        <v>62501000</v>
      </c>
      <c r="G1290" s="75" t="n">
        <v>1101</v>
      </c>
      <c r="H1290" s="76" t="n">
        <v>235000</v>
      </c>
      <c r="I1290" s="75" t="inlineStr">
        <is>
          <t>7월 회의 다과 - (법인카드)</t>
        </is>
      </c>
      <c r="J1290" s="75" t="inlineStr">
        <is>
          <t>V10008</t>
        </is>
      </c>
      <c r="K1290" s="75" t="inlineStr">
        <is>
          <t>(법인카드)</t>
        </is>
      </c>
      <c r="M1290" s="9">
        <f>IF($A1290="","",VALUE($A1290&amp;"")*12+VALUE($B1290&amp;""))</f>
        <v/>
      </c>
      <c r="N1290" s="39">
        <f>IF($A1290="","",IFERROR(INDEX(부서매핑!$C$5:$C$504,MATCH($G1290&amp;"",부서매핑!$A$5:$A$504,0)),"미매핑"))</f>
        <v/>
      </c>
      <c r="O1290" s="9">
        <f>IF($A1290="","",N1290&amp;"|"&amp;$F1290)</f>
        <v/>
      </c>
      <c r="P1290" s="77">
        <f>IF($A1290="",0,$H1290*설정!$C$23)</f>
        <v/>
      </c>
      <c r="Q1290" s="39">
        <f>IF($A1290="","",IF(O1290&lt;&gt;원인분석!$C$9,"",IF(AND(M1290&gt;=원인분석!$C$10,M1290&lt;=원인분석!$C$11),"당기",IF(AND(M1290&gt;=원인분석!$C$12,M1290&lt;=원인분석!$C$13),"비교",""))))</f>
        <v/>
      </c>
      <c r="R1290" s="9">
        <f>IF(Q1290="","",$K1290&amp;"")</f>
        <v/>
      </c>
      <c r="S1290" s="9">
        <f>IF(Q1290="","",IF(MATCH(R1290,$R$5:$R$100000,0)=ROW()-4,ROW(),""))</f>
        <v/>
      </c>
      <c r="T1290" s="9">
        <f>IF(Q1290="당기",ABS(P1290)+ROW()/1000000000,"")</f>
        <v/>
      </c>
      <c r="U1290" s="9">
        <f>IF(Q1290="비교",ABS(P1290)+ROW()/1000000000,"")</f>
        <v/>
      </c>
      <c r="V1290" s="39">
        <f>IF($A1290="","",IF(COUNTIF(변동분석!$E$7:$E$506,O1290)&gt;0,"Y","N"))</f>
        <v/>
      </c>
      <c r="W1290" s="39">
        <f>IF($A1290="","",IFERROR(INDEX(계정매핑!$D$5:$D$504,MATCH($F1290&amp;"",계정매핑!$A$5:$A$504,0)),"미매핑"))</f>
        <v/>
      </c>
      <c r="X1290" s="9">
        <f>IF($A1290="","",$F1290&amp;"")</f>
        <v/>
      </c>
    </row>
    <row r="1291">
      <c r="A1291" s="75" t="n">
        <v>2025</v>
      </c>
      <c r="B1291" s="75" t="n">
        <v>7</v>
      </c>
      <c r="C1291" s="75" t="inlineStr">
        <is>
          <t>5100001287</t>
        </is>
      </c>
      <c r="D1291" s="78" t="n">
        <v>45856</v>
      </c>
      <c r="E1291" s="75" t="inlineStr">
        <is>
          <t>KR</t>
        </is>
      </c>
      <c r="F1291" s="75" t="n">
        <v>62501000</v>
      </c>
      <c r="G1291" s="75" t="n">
        <v>1401</v>
      </c>
      <c r="H1291" s="76" t="n">
        <v>129000</v>
      </c>
      <c r="I1291" s="75" t="inlineStr">
        <is>
          <t>7월 회의 다과 - T케이터링</t>
        </is>
      </c>
      <c r="J1291" s="75" t="inlineStr">
        <is>
          <t>V10005</t>
        </is>
      </c>
      <c r="K1291" s="75" t="inlineStr">
        <is>
          <t>T케이터링</t>
        </is>
      </c>
      <c r="M1291" s="9">
        <f>IF($A1291="","",VALUE($A1291&amp;"")*12+VALUE($B1291&amp;""))</f>
        <v/>
      </c>
      <c r="N1291" s="39">
        <f>IF($A1291="","",IFERROR(INDEX(부서매핑!$C$5:$C$504,MATCH($G1291&amp;"",부서매핑!$A$5:$A$504,0)),"미매핑"))</f>
        <v/>
      </c>
      <c r="O1291" s="9">
        <f>IF($A1291="","",N1291&amp;"|"&amp;$F1291)</f>
        <v/>
      </c>
      <c r="P1291" s="77">
        <f>IF($A1291="",0,$H1291*설정!$C$23)</f>
        <v/>
      </c>
      <c r="Q1291" s="39">
        <f>IF($A1291="","",IF(O1291&lt;&gt;원인분석!$C$9,"",IF(AND(M1291&gt;=원인분석!$C$10,M1291&lt;=원인분석!$C$11),"당기",IF(AND(M1291&gt;=원인분석!$C$12,M1291&lt;=원인분석!$C$13),"비교",""))))</f>
        <v/>
      </c>
      <c r="R1291" s="9">
        <f>IF(Q1291="","",$K1291&amp;"")</f>
        <v/>
      </c>
      <c r="S1291" s="9">
        <f>IF(Q1291="","",IF(MATCH(R1291,$R$5:$R$100000,0)=ROW()-4,ROW(),""))</f>
        <v/>
      </c>
      <c r="T1291" s="9">
        <f>IF(Q1291="당기",ABS(P1291)+ROW()/1000000000,"")</f>
        <v/>
      </c>
      <c r="U1291" s="9">
        <f>IF(Q1291="비교",ABS(P1291)+ROW()/1000000000,"")</f>
        <v/>
      </c>
      <c r="V1291" s="39">
        <f>IF($A1291="","",IF(COUNTIF(변동분석!$E$7:$E$506,O1291)&gt;0,"Y","N"))</f>
        <v/>
      </c>
      <c r="W1291" s="39">
        <f>IF($A1291="","",IFERROR(INDEX(계정매핑!$D$5:$D$504,MATCH($F1291&amp;"",계정매핑!$A$5:$A$504,0)),"미매핑"))</f>
        <v/>
      </c>
      <c r="X1291" s="9">
        <f>IF($A1291="","",$F1291&amp;"")</f>
        <v/>
      </c>
    </row>
    <row r="1292">
      <c r="A1292" s="75" t="n">
        <v>2025</v>
      </c>
      <c r="B1292" s="75" t="n">
        <v>7</v>
      </c>
      <c r="C1292" s="75" t="inlineStr">
        <is>
          <t>5100001288</t>
        </is>
      </c>
      <c r="D1292" s="78" t="n">
        <v>45856</v>
      </c>
      <c r="E1292" s="75" t="inlineStr">
        <is>
          <t>KR</t>
        </is>
      </c>
      <c r="F1292" s="75" t="n">
        <v>62501000</v>
      </c>
      <c r="G1292" s="75" t="n">
        <v>1701</v>
      </c>
      <c r="H1292" s="76" t="n">
        <v>254000</v>
      </c>
      <c r="I1292" s="75" t="inlineStr">
        <is>
          <t>7월 회의 다과 - T케이터링</t>
        </is>
      </c>
      <c r="J1292" s="75" t="inlineStr">
        <is>
          <t>V10005</t>
        </is>
      </c>
      <c r="K1292" s="75" t="inlineStr">
        <is>
          <t>T케이터링</t>
        </is>
      </c>
      <c r="M1292" s="9">
        <f>IF($A1292="","",VALUE($A1292&amp;"")*12+VALUE($B1292&amp;""))</f>
        <v/>
      </c>
      <c r="N1292" s="39">
        <f>IF($A1292="","",IFERROR(INDEX(부서매핑!$C$5:$C$504,MATCH($G1292&amp;"",부서매핑!$A$5:$A$504,0)),"미매핑"))</f>
        <v/>
      </c>
      <c r="O1292" s="9">
        <f>IF($A1292="","",N1292&amp;"|"&amp;$F1292)</f>
        <v/>
      </c>
      <c r="P1292" s="77">
        <f>IF($A1292="",0,$H1292*설정!$C$23)</f>
        <v/>
      </c>
      <c r="Q1292" s="39">
        <f>IF($A1292="","",IF(O1292&lt;&gt;원인분석!$C$9,"",IF(AND(M1292&gt;=원인분석!$C$10,M1292&lt;=원인분석!$C$11),"당기",IF(AND(M1292&gt;=원인분석!$C$12,M1292&lt;=원인분석!$C$13),"비교",""))))</f>
        <v/>
      </c>
      <c r="R1292" s="9">
        <f>IF(Q1292="","",$K1292&amp;"")</f>
        <v/>
      </c>
      <c r="S1292" s="9">
        <f>IF(Q1292="","",IF(MATCH(R1292,$R$5:$R$100000,0)=ROW()-4,ROW(),""))</f>
        <v/>
      </c>
      <c r="T1292" s="9">
        <f>IF(Q1292="당기",ABS(P1292)+ROW()/1000000000,"")</f>
        <v/>
      </c>
      <c r="U1292" s="9">
        <f>IF(Q1292="비교",ABS(P1292)+ROW()/1000000000,"")</f>
        <v/>
      </c>
      <c r="V1292" s="39">
        <f>IF($A1292="","",IF(COUNTIF(변동분석!$E$7:$E$506,O1292)&gt;0,"Y","N"))</f>
        <v/>
      </c>
      <c r="W1292" s="39">
        <f>IF($A1292="","",IFERROR(INDEX(계정매핑!$D$5:$D$504,MATCH($F1292&amp;"",계정매핑!$A$5:$A$504,0)),"미매핑"))</f>
        <v/>
      </c>
      <c r="X1292" s="9">
        <f>IF($A1292="","",$F1292&amp;"")</f>
        <v/>
      </c>
    </row>
    <row r="1293">
      <c r="A1293" s="75" t="n">
        <v>2025</v>
      </c>
      <c r="B1293" s="75" t="n">
        <v>7</v>
      </c>
      <c r="C1293" s="75" t="inlineStr">
        <is>
          <t>5100001289</t>
        </is>
      </c>
      <c r="D1293" s="78" t="n">
        <v>45856</v>
      </c>
      <c r="E1293" s="75" t="inlineStr">
        <is>
          <t>KR</t>
        </is>
      </c>
      <c r="F1293" s="75" t="n">
        <v>62901000</v>
      </c>
      <c r="G1293" s="75" t="n">
        <v>1401</v>
      </c>
      <c r="H1293" s="76" t="n">
        <v>8386000</v>
      </c>
      <c r="I1293" s="75" t="inlineStr">
        <is>
          <t>7월 자문 수수료 - W컨설팅</t>
        </is>
      </c>
      <c r="J1293" s="75" t="inlineStr">
        <is>
          <t>V10009</t>
        </is>
      </c>
      <c r="K1293" s="75" t="inlineStr">
        <is>
          <t>W컨설팅</t>
        </is>
      </c>
      <c r="M1293" s="9">
        <f>IF($A1293="","",VALUE($A1293&amp;"")*12+VALUE($B1293&amp;""))</f>
        <v/>
      </c>
      <c r="N1293" s="39">
        <f>IF($A1293="","",IFERROR(INDEX(부서매핑!$C$5:$C$504,MATCH($G1293&amp;"",부서매핑!$A$5:$A$504,0)),"미매핑"))</f>
        <v/>
      </c>
      <c r="O1293" s="9">
        <f>IF($A1293="","",N1293&amp;"|"&amp;$F1293)</f>
        <v/>
      </c>
      <c r="P1293" s="77">
        <f>IF($A1293="",0,$H1293*설정!$C$23)</f>
        <v/>
      </c>
      <c r="Q1293" s="39">
        <f>IF($A1293="","",IF(O1293&lt;&gt;원인분석!$C$9,"",IF(AND(M1293&gt;=원인분석!$C$10,M1293&lt;=원인분석!$C$11),"당기",IF(AND(M1293&gt;=원인분석!$C$12,M1293&lt;=원인분석!$C$13),"비교",""))))</f>
        <v/>
      </c>
      <c r="R1293" s="9">
        <f>IF(Q1293="","",$K1293&amp;"")</f>
        <v/>
      </c>
      <c r="S1293" s="9">
        <f>IF(Q1293="","",IF(MATCH(R1293,$R$5:$R$100000,0)=ROW()-4,ROW(),""))</f>
        <v/>
      </c>
      <c r="T1293" s="9">
        <f>IF(Q1293="당기",ABS(P1293)+ROW()/1000000000,"")</f>
        <v/>
      </c>
      <c r="U1293" s="9">
        <f>IF(Q1293="비교",ABS(P1293)+ROW()/1000000000,"")</f>
        <v/>
      </c>
      <c r="V1293" s="39">
        <f>IF($A1293="","",IF(COUNTIF(변동분석!$E$7:$E$506,O1293)&gt;0,"Y","N"))</f>
        <v/>
      </c>
      <c r="W1293" s="39">
        <f>IF($A1293="","",IFERROR(INDEX(계정매핑!$D$5:$D$504,MATCH($F1293&amp;"",계정매핑!$A$5:$A$504,0)),"미매핑"))</f>
        <v/>
      </c>
      <c r="X1293" s="9">
        <f>IF($A1293="","",$F1293&amp;"")</f>
        <v/>
      </c>
    </row>
    <row r="1294">
      <c r="A1294" s="75" t="n">
        <v>2025</v>
      </c>
      <c r="B1294" s="75" t="n">
        <v>7</v>
      </c>
      <c r="C1294" s="75" t="inlineStr">
        <is>
          <t>5100001290</t>
        </is>
      </c>
      <c r="D1294" s="78" t="n">
        <v>45856</v>
      </c>
      <c r="E1294" s="75" t="inlineStr">
        <is>
          <t>KR</t>
        </is>
      </c>
      <c r="F1294" s="75" t="n">
        <v>62901000</v>
      </c>
      <c r="G1294" s="75" t="n">
        <v>1801</v>
      </c>
      <c r="H1294" s="76" t="n">
        <v>9027000</v>
      </c>
      <c r="I1294" s="75" t="inlineStr">
        <is>
          <t>7월 자문 수수료 - W컨설팅</t>
        </is>
      </c>
      <c r="J1294" s="75" t="inlineStr">
        <is>
          <t>V10009</t>
        </is>
      </c>
      <c r="K1294" s="75" t="inlineStr">
        <is>
          <t>W컨설팅</t>
        </is>
      </c>
      <c r="M1294" s="9">
        <f>IF($A1294="","",VALUE($A1294&amp;"")*12+VALUE($B1294&amp;""))</f>
        <v/>
      </c>
      <c r="N1294" s="39">
        <f>IF($A1294="","",IFERROR(INDEX(부서매핑!$C$5:$C$504,MATCH($G1294&amp;"",부서매핑!$A$5:$A$504,0)),"미매핑"))</f>
        <v/>
      </c>
      <c r="O1294" s="9">
        <f>IF($A1294="","",N1294&amp;"|"&amp;$F1294)</f>
        <v/>
      </c>
      <c r="P1294" s="77">
        <f>IF($A1294="",0,$H1294*설정!$C$23)</f>
        <v/>
      </c>
      <c r="Q1294" s="39">
        <f>IF($A1294="","",IF(O1294&lt;&gt;원인분석!$C$9,"",IF(AND(M1294&gt;=원인분석!$C$10,M1294&lt;=원인분석!$C$11),"당기",IF(AND(M1294&gt;=원인분석!$C$12,M1294&lt;=원인분석!$C$13),"비교",""))))</f>
        <v/>
      </c>
      <c r="R1294" s="9">
        <f>IF(Q1294="","",$K1294&amp;"")</f>
        <v/>
      </c>
      <c r="S1294" s="9">
        <f>IF(Q1294="","",IF(MATCH(R1294,$R$5:$R$100000,0)=ROW()-4,ROW(),""))</f>
        <v/>
      </c>
      <c r="T1294" s="9">
        <f>IF(Q1294="당기",ABS(P1294)+ROW()/1000000000,"")</f>
        <v/>
      </c>
      <c r="U1294" s="9">
        <f>IF(Q1294="비교",ABS(P1294)+ROW()/1000000000,"")</f>
        <v/>
      </c>
      <c r="V1294" s="39">
        <f>IF($A1294="","",IF(COUNTIF(변동분석!$E$7:$E$506,O1294)&gt;0,"Y","N"))</f>
        <v/>
      </c>
      <c r="W1294" s="39">
        <f>IF($A1294="","",IFERROR(INDEX(계정매핑!$D$5:$D$504,MATCH($F1294&amp;"",계정매핑!$A$5:$A$504,0)),"미매핑"))</f>
        <v/>
      </c>
      <c r="X1294" s="9">
        <f>IF($A1294="","",$F1294&amp;"")</f>
        <v/>
      </c>
    </row>
    <row r="1295">
      <c r="A1295" s="75" t="n">
        <v>2025</v>
      </c>
      <c r="B1295" s="75" t="n">
        <v>7</v>
      </c>
      <c r="C1295" s="75" t="inlineStr">
        <is>
          <t>5100001291</t>
        </is>
      </c>
      <c r="D1295" s="78" t="n">
        <v>45856</v>
      </c>
      <c r="E1295" s="75" t="inlineStr">
        <is>
          <t>KR</t>
        </is>
      </c>
      <c r="F1295" s="75" t="n">
        <v>62902000</v>
      </c>
      <c r="G1295" s="75" t="n">
        <v>1201</v>
      </c>
      <c r="H1295" s="76" t="n">
        <v>2348000</v>
      </c>
      <c r="I1295" s="75" t="inlineStr">
        <is>
          <t>7월 업무 위탁 수수료 - X서비스</t>
        </is>
      </c>
      <c r="J1295" s="75" t="inlineStr">
        <is>
          <t>V10016</t>
        </is>
      </c>
      <c r="K1295" s="75" t="inlineStr">
        <is>
          <t>X서비스</t>
        </is>
      </c>
      <c r="M1295" s="9">
        <f>IF($A1295="","",VALUE($A1295&amp;"")*12+VALUE($B1295&amp;""))</f>
        <v/>
      </c>
      <c r="N1295" s="39">
        <f>IF($A1295="","",IFERROR(INDEX(부서매핑!$C$5:$C$504,MATCH($G1295&amp;"",부서매핑!$A$5:$A$504,0)),"미매핑"))</f>
        <v/>
      </c>
      <c r="O1295" s="9">
        <f>IF($A1295="","",N1295&amp;"|"&amp;$F1295)</f>
        <v/>
      </c>
      <c r="P1295" s="77">
        <f>IF($A1295="",0,$H1295*설정!$C$23)</f>
        <v/>
      </c>
      <c r="Q1295" s="39">
        <f>IF($A1295="","",IF(O1295&lt;&gt;원인분석!$C$9,"",IF(AND(M1295&gt;=원인분석!$C$10,M1295&lt;=원인분석!$C$11),"당기",IF(AND(M1295&gt;=원인분석!$C$12,M1295&lt;=원인분석!$C$13),"비교",""))))</f>
        <v/>
      </c>
      <c r="R1295" s="9">
        <f>IF(Q1295="","",$K1295&amp;"")</f>
        <v/>
      </c>
      <c r="S1295" s="9">
        <f>IF(Q1295="","",IF(MATCH(R1295,$R$5:$R$100000,0)=ROW()-4,ROW(),""))</f>
        <v/>
      </c>
      <c r="T1295" s="9">
        <f>IF(Q1295="당기",ABS(P1295)+ROW()/1000000000,"")</f>
        <v/>
      </c>
      <c r="U1295" s="9">
        <f>IF(Q1295="비교",ABS(P1295)+ROW()/1000000000,"")</f>
        <v/>
      </c>
      <c r="V1295" s="39">
        <f>IF($A1295="","",IF(COUNTIF(변동분석!$E$7:$E$506,O1295)&gt;0,"Y","N"))</f>
        <v/>
      </c>
      <c r="W1295" s="39">
        <f>IF($A1295="","",IFERROR(INDEX(계정매핑!$D$5:$D$504,MATCH($F1295&amp;"",계정매핑!$A$5:$A$504,0)),"미매핑"))</f>
        <v/>
      </c>
      <c r="X1295" s="9">
        <f>IF($A1295="","",$F1295&amp;"")</f>
        <v/>
      </c>
    </row>
    <row r="1296">
      <c r="A1296" s="75" t="n">
        <v>2025</v>
      </c>
      <c r="B1296" s="75" t="n">
        <v>7</v>
      </c>
      <c r="C1296" s="75" t="inlineStr">
        <is>
          <t>5100001292</t>
        </is>
      </c>
      <c r="D1296" s="78" t="n">
        <v>45856</v>
      </c>
      <c r="E1296" s="75" t="inlineStr">
        <is>
          <t>KR</t>
        </is>
      </c>
      <c r="F1296" s="75" t="n">
        <v>63101000</v>
      </c>
      <c r="G1296" s="75" t="n">
        <v>1601</v>
      </c>
      <c r="H1296" s="76" t="n">
        <v>5730000</v>
      </c>
      <c r="I1296" s="75" t="inlineStr">
        <is>
          <t>7월 사무실 임차료 - AA빌딩</t>
        </is>
      </c>
      <c r="J1296" s="75" t="inlineStr">
        <is>
          <t>V10006</t>
        </is>
      </c>
      <c r="K1296" s="75" t="inlineStr">
        <is>
          <t>AA빌딩</t>
        </is>
      </c>
      <c r="M1296" s="9">
        <f>IF($A1296="","",VALUE($A1296&amp;"")*12+VALUE($B1296&amp;""))</f>
        <v/>
      </c>
      <c r="N1296" s="39">
        <f>IF($A1296="","",IFERROR(INDEX(부서매핑!$C$5:$C$504,MATCH($G1296&amp;"",부서매핑!$A$5:$A$504,0)),"미매핑"))</f>
        <v/>
      </c>
      <c r="O1296" s="9">
        <f>IF($A1296="","",N1296&amp;"|"&amp;$F1296)</f>
        <v/>
      </c>
      <c r="P1296" s="77">
        <f>IF($A1296="",0,$H1296*설정!$C$23)</f>
        <v/>
      </c>
      <c r="Q1296" s="39">
        <f>IF($A1296="","",IF(O1296&lt;&gt;원인분석!$C$9,"",IF(AND(M1296&gt;=원인분석!$C$10,M1296&lt;=원인분석!$C$11),"당기",IF(AND(M1296&gt;=원인분석!$C$12,M1296&lt;=원인분석!$C$13),"비교",""))))</f>
        <v/>
      </c>
      <c r="R1296" s="9">
        <f>IF(Q1296="","",$K1296&amp;"")</f>
        <v/>
      </c>
      <c r="S1296" s="9">
        <f>IF(Q1296="","",IF(MATCH(R1296,$R$5:$R$100000,0)=ROW()-4,ROW(),""))</f>
        <v/>
      </c>
      <c r="T1296" s="9">
        <f>IF(Q1296="당기",ABS(P1296)+ROW()/1000000000,"")</f>
        <v/>
      </c>
      <c r="U1296" s="9">
        <f>IF(Q1296="비교",ABS(P1296)+ROW()/1000000000,"")</f>
        <v/>
      </c>
      <c r="V1296" s="39">
        <f>IF($A1296="","",IF(COUNTIF(변동분석!$E$7:$E$506,O1296)&gt;0,"Y","N"))</f>
        <v/>
      </c>
      <c r="W1296" s="39">
        <f>IF($A1296="","",IFERROR(INDEX(계정매핑!$D$5:$D$504,MATCH($F1296&amp;"",계정매핑!$A$5:$A$504,0)),"미매핑"))</f>
        <v/>
      </c>
      <c r="X1296" s="9">
        <f>IF($A1296="","",$F1296&amp;"")</f>
        <v/>
      </c>
    </row>
    <row r="1297">
      <c r="A1297" s="75" t="n">
        <v>2025</v>
      </c>
      <c r="B1297" s="75" t="n">
        <v>7</v>
      </c>
      <c r="C1297" s="75" t="inlineStr">
        <is>
          <t>5100001293</t>
        </is>
      </c>
      <c r="D1297" s="78" t="n">
        <v>45857</v>
      </c>
      <c r="E1297" s="75" t="inlineStr">
        <is>
          <t>KR</t>
        </is>
      </c>
      <c r="F1297" s="75" t="n">
        <v>62201000</v>
      </c>
      <c r="G1297" s="75" t="n">
        <v>1301</v>
      </c>
      <c r="H1297" s="76" t="n">
        <v>136000</v>
      </c>
      <c r="I1297" s="75" t="inlineStr">
        <is>
          <t>7월 통신요금 - P통신</t>
        </is>
      </c>
      <c r="J1297" s="75" t="inlineStr">
        <is>
          <t>V10011</t>
        </is>
      </c>
      <c r="K1297" s="75" t="inlineStr">
        <is>
          <t>P통신</t>
        </is>
      </c>
      <c r="M1297" s="9">
        <f>IF($A1297="","",VALUE($A1297&amp;"")*12+VALUE($B1297&amp;""))</f>
        <v/>
      </c>
      <c r="N1297" s="39">
        <f>IF($A1297="","",IFERROR(INDEX(부서매핑!$C$5:$C$504,MATCH($G1297&amp;"",부서매핑!$A$5:$A$504,0)),"미매핑"))</f>
        <v/>
      </c>
      <c r="O1297" s="9">
        <f>IF($A1297="","",N1297&amp;"|"&amp;$F1297)</f>
        <v/>
      </c>
      <c r="P1297" s="77">
        <f>IF($A1297="",0,$H1297*설정!$C$23)</f>
        <v/>
      </c>
      <c r="Q1297" s="39">
        <f>IF($A1297="","",IF(O1297&lt;&gt;원인분석!$C$9,"",IF(AND(M1297&gt;=원인분석!$C$10,M1297&lt;=원인분석!$C$11),"당기",IF(AND(M1297&gt;=원인분석!$C$12,M1297&lt;=원인분석!$C$13),"비교",""))))</f>
        <v/>
      </c>
      <c r="R1297" s="9">
        <f>IF(Q1297="","",$K1297&amp;"")</f>
        <v/>
      </c>
      <c r="S1297" s="9">
        <f>IF(Q1297="","",IF(MATCH(R1297,$R$5:$R$100000,0)=ROW()-4,ROW(),""))</f>
        <v/>
      </c>
      <c r="T1297" s="9">
        <f>IF(Q1297="당기",ABS(P1297)+ROW()/1000000000,"")</f>
        <v/>
      </c>
      <c r="U1297" s="9">
        <f>IF(Q1297="비교",ABS(P1297)+ROW()/1000000000,"")</f>
        <v/>
      </c>
      <c r="V1297" s="39">
        <f>IF($A1297="","",IF(COUNTIF(변동분석!$E$7:$E$506,O1297)&gt;0,"Y","N"))</f>
        <v/>
      </c>
      <c r="W1297" s="39">
        <f>IF($A1297="","",IFERROR(INDEX(계정매핑!$D$5:$D$504,MATCH($F1297&amp;"",계정매핑!$A$5:$A$504,0)),"미매핑"))</f>
        <v/>
      </c>
      <c r="X1297" s="9">
        <f>IF($A1297="","",$F1297&amp;"")</f>
        <v/>
      </c>
    </row>
    <row r="1298">
      <c r="A1298" s="75" t="n">
        <v>2025</v>
      </c>
      <c r="B1298" s="75" t="n">
        <v>7</v>
      </c>
      <c r="C1298" s="75" t="inlineStr">
        <is>
          <t>5100001294</t>
        </is>
      </c>
      <c r="D1298" s="78" t="n">
        <v>45857</v>
      </c>
      <c r="E1298" s="75" t="inlineStr">
        <is>
          <t>KR</t>
        </is>
      </c>
      <c r="F1298" s="75" t="n">
        <v>62301000</v>
      </c>
      <c r="G1298" s="75" t="n">
        <v>1101</v>
      </c>
      <c r="H1298" s="76" t="n">
        <v>178000</v>
      </c>
      <c r="I1298" s="75" t="inlineStr">
        <is>
          <t>7월 소모품 구입 - Q오피스</t>
        </is>
      </c>
      <c r="J1298" s="75" t="inlineStr">
        <is>
          <t>V10003</t>
        </is>
      </c>
      <c r="K1298" s="75" t="inlineStr">
        <is>
          <t>Q오피스</t>
        </is>
      </c>
      <c r="M1298" s="9">
        <f>IF($A1298="","",VALUE($A1298&amp;"")*12+VALUE($B1298&amp;""))</f>
        <v/>
      </c>
      <c r="N1298" s="39">
        <f>IF($A1298="","",IFERROR(INDEX(부서매핑!$C$5:$C$504,MATCH($G1298&amp;"",부서매핑!$A$5:$A$504,0)),"미매핑"))</f>
        <v/>
      </c>
      <c r="O1298" s="9">
        <f>IF($A1298="","",N1298&amp;"|"&amp;$F1298)</f>
        <v/>
      </c>
      <c r="P1298" s="77">
        <f>IF($A1298="",0,$H1298*설정!$C$23)</f>
        <v/>
      </c>
      <c r="Q1298" s="39">
        <f>IF($A1298="","",IF(O1298&lt;&gt;원인분석!$C$9,"",IF(AND(M1298&gt;=원인분석!$C$10,M1298&lt;=원인분석!$C$11),"당기",IF(AND(M1298&gt;=원인분석!$C$12,M1298&lt;=원인분석!$C$13),"비교",""))))</f>
        <v/>
      </c>
      <c r="R1298" s="9">
        <f>IF(Q1298="","",$K1298&amp;"")</f>
        <v/>
      </c>
      <c r="S1298" s="9">
        <f>IF(Q1298="","",IF(MATCH(R1298,$R$5:$R$100000,0)=ROW()-4,ROW(),""))</f>
        <v/>
      </c>
      <c r="T1298" s="9">
        <f>IF(Q1298="당기",ABS(P1298)+ROW()/1000000000,"")</f>
        <v/>
      </c>
      <c r="U1298" s="9">
        <f>IF(Q1298="비교",ABS(P1298)+ROW()/1000000000,"")</f>
        <v/>
      </c>
      <c r="V1298" s="39">
        <f>IF($A1298="","",IF(COUNTIF(변동분석!$E$7:$E$506,O1298)&gt;0,"Y","N"))</f>
        <v/>
      </c>
      <c r="W1298" s="39">
        <f>IF($A1298="","",IFERROR(INDEX(계정매핑!$D$5:$D$504,MATCH($F1298&amp;"",계정매핑!$A$5:$A$504,0)),"미매핑"))</f>
        <v/>
      </c>
      <c r="X1298" s="9">
        <f>IF($A1298="","",$F1298&amp;"")</f>
        <v/>
      </c>
    </row>
    <row r="1299">
      <c r="A1299" s="75" t="n">
        <v>2025</v>
      </c>
      <c r="B1299" s="75" t="n">
        <v>7</v>
      </c>
      <c r="C1299" s="75" t="inlineStr">
        <is>
          <t>5100001295</t>
        </is>
      </c>
      <c r="D1299" s="78" t="n">
        <v>45857</v>
      </c>
      <c r="E1299" s="75" t="inlineStr">
        <is>
          <t>KR</t>
        </is>
      </c>
      <c r="F1299" s="75" t="n">
        <v>62301000</v>
      </c>
      <c r="G1299" s="75" t="n">
        <v>1701</v>
      </c>
      <c r="H1299" s="76" t="n">
        <v>209000</v>
      </c>
      <c r="I1299" s="75" t="inlineStr">
        <is>
          <t>7월 소모품 구입 - R문구</t>
        </is>
      </c>
      <c r="J1299" s="75" t="inlineStr">
        <is>
          <t>V10018</t>
        </is>
      </c>
      <c r="K1299" s="75" t="inlineStr">
        <is>
          <t>R문구</t>
        </is>
      </c>
      <c r="M1299" s="9">
        <f>IF($A1299="","",VALUE($A1299&amp;"")*12+VALUE($B1299&amp;""))</f>
        <v/>
      </c>
      <c r="N1299" s="39">
        <f>IF($A1299="","",IFERROR(INDEX(부서매핑!$C$5:$C$504,MATCH($G1299&amp;"",부서매핑!$A$5:$A$504,0)),"미매핑"))</f>
        <v/>
      </c>
      <c r="O1299" s="9">
        <f>IF($A1299="","",N1299&amp;"|"&amp;$F1299)</f>
        <v/>
      </c>
      <c r="P1299" s="77">
        <f>IF($A1299="",0,$H1299*설정!$C$23)</f>
        <v/>
      </c>
      <c r="Q1299" s="39">
        <f>IF($A1299="","",IF(O1299&lt;&gt;원인분석!$C$9,"",IF(AND(M1299&gt;=원인분석!$C$10,M1299&lt;=원인분석!$C$11),"당기",IF(AND(M1299&gt;=원인분석!$C$12,M1299&lt;=원인분석!$C$13),"비교",""))))</f>
        <v/>
      </c>
      <c r="R1299" s="9">
        <f>IF(Q1299="","",$K1299&amp;"")</f>
        <v/>
      </c>
      <c r="S1299" s="9">
        <f>IF(Q1299="","",IF(MATCH(R1299,$R$5:$R$100000,0)=ROW()-4,ROW(),""))</f>
        <v/>
      </c>
      <c r="T1299" s="9">
        <f>IF(Q1299="당기",ABS(P1299)+ROW()/1000000000,"")</f>
        <v/>
      </c>
      <c r="U1299" s="9">
        <f>IF(Q1299="비교",ABS(P1299)+ROW()/1000000000,"")</f>
        <v/>
      </c>
      <c r="V1299" s="39">
        <f>IF($A1299="","",IF(COUNTIF(변동분석!$E$7:$E$506,O1299)&gt;0,"Y","N"))</f>
        <v/>
      </c>
      <c r="W1299" s="39">
        <f>IF($A1299="","",IFERROR(INDEX(계정매핑!$D$5:$D$504,MATCH($F1299&amp;"",계정매핑!$A$5:$A$504,0)),"미매핑"))</f>
        <v/>
      </c>
      <c r="X1299" s="9">
        <f>IF($A1299="","",$F1299&amp;"")</f>
        <v/>
      </c>
    </row>
    <row r="1300">
      <c r="A1300" s="75" t="n">
        <v>2025</v>
      </c>
      <c r="B1300" s="75" t="n">
        <v>7</v>
      </c>
      <c r="C1300" s="75" t="inlineStr">
        <is>
          <t>5100001296</t>
        </is>
      </c>
      <c r="D1300" s="78" t="n">
        <v>45857</v>
      </c>
      <c r="E1300" s="75" t="inlineStr">
        <is>
          <t>KR</t>
        </is>
      </c>
      <c r="F1300" s="75" t="n">
        <v>62401000</v>
      </c>
      <c r="G1300" s="75" t="n">
        <v>1401</v>
      </c>
      <c r="H1300" s="76" t="n">
        <v>341000</v>
      </c>
      <c r="I1300" s="75" t="inlineStr">
        <is>
          <t>7월 인쇄물 제작 - S출판</t>
        </is>
      </c>
      <c r="J1300" s="75" t="inlineStr">
        <is>
          <t>V10012</t>
        </is>
      </c>
      <c r="K1300" s="75" t="inlineStr">
        <is>
          <t>S출판</t>
        </is>
      </c>
      <c r="M1300" s="9">
        <f>IF($A1300="","",VALUE($A1300&amp;"")*12+VALUE($B1300&amp;""))</f>
        <v/>
      </c>
      <c r="N1300" s="39">
        <f>IF($A1300="","",IFERROR(INDEX(부서매핑!$C$5:$C$504,MATCH($G1300&amp;"",부서매핑!$A$5:$A$504,0)),"미매핑"))</f>
        <v/>
      </c>
      <c r="O1300" s="9">
        <f>IF($A1300="","",N1300&amp;"|"&amp;$F1300)</f>
        <v/>
      </c>
      <c r="P1300" s="77">
        <f>IF($A1300="",0,$H1300*설정!$C$23)</f>
        <v/>
      </c>
      <c r="Q1300" s="39">
        <f>IF($A1300="","",IF(O1300&lt;&gt;원인분석!$C$9,"",IF(AND(M1300&gt;=원인분석!$C$10,M1300&lt;=원인분석!$C$11),"당기",IF(AND(M1300&gt;=원인분석!$C$12,M1300&lt;=원인분석!$C$13),"비교",""))))</f>
        <v/>
      </c>
      <c r="R1300" s="9">
        <f>IF(Q1300="","",$K1300&amp;"")</f>
        <v/>
      </c>
      <c r="S1300" s="9">
        <f>IF(Q1300="","",IF(MATCH(R1300,$R$5:$R$100000,0)=ROW()-4,ROW(),""))</f>
        <v/>
      </c>
      <c r="T1300" s="9">
        <f>IF(Q1300="당기",ABS(P1300)+ROW()/1000000000,"")</f>
        <v/>
      </c>
      <c r="U1300" s="9">
        <f>IF(Q1300="비교",ABS(P1300)+ROW()/1000000000,"")</f>
        <v/>
      </c>
      <c r="V1300" s="39">
        <f>IF($A1300="","",IF(COUNTIF(변동분석!$E$7:$E$506,O1300)&gt;0,"Y","N"))</f>
        <v/>
      </c>
      <c r="W1300" s="39">
        <f>IF($A1300="","",IFERROR(INDEX(계정매핑!$D$5:$D$504,MATCH($F1300&amp;"",계정매핑!$A$5:$A$504,0)),"미매핑"))</f>
        <v/>
      </c>
      <c r="X1300" s="9">
        <f>IF($A1300="","",$F1300&amp;"")</f>
        <v/>
      </c>
    </row>
    <row r="1301">
      <c r="A1301" s="75" t="n">
        <v>2025</v>
      </c>
      <c r="B1301" s="75" t="n">
        <v>7</v>
      </c>
      <c r="C1301" s="75" t="inlineStr">
        <is>
          <t>5100001297</t>
        </is>
      </c>
      <c r="D1301" s="78" t="n">
        <v>45857</v>
      </c>
      <c r="E1301" s="75" t="inlineStr">
        <is>
          <t>KR</t>
        </is>
      </c>
      <c r="F1301" s="75" t="n">
        <v>62501000</v>
      </c>
      <c r="G1301" s="75" t="n">
        <v>1601</v>
      </c>
      <c r="H1301" s="76" t="n">
        <v>335000</v>
      </c>
      <c r="I1301" s="75" t="inlineStr">
        <is>
          <t>7월 회의 다과 - T케이터링</t>
        </is>
      </c>
      <c r="J1301" s="75" t="inlineStr">
        <is>
          <t>V10005</t>
        </is>
      </c>
      <c r="K1301" s="75" t="inlineStr">
        <is>
          <t>T케이터링</t>
        </is>
      </c>
      <c r="M1301" s="9">
        <f>IF($A1301="","",VALUE($A1301&amp;"")*12+VALUE($B1301&amp;""))</f>
        <v/>
      </c>
      <c r="N1301" s="39">
        <f>IF($A1301="","",IFERROR(INDEX(부서매핑!$C$5:$C$504,MATCH($G1301&amp;"",부서매핑!$A$5:$A$504,0)),"미매핑"))</f>
        <v/>
      </c>
      <c r="O1301" s="9">
        <f>IF($A1301="","",N1301&amp;"|"&amp;$F1301)</f>
        <v/>
      </c>
      <c r="P1301" s="77">
        <f>IF($A1301="",0,$H1301*설정!$C$23)</f>
        <v/>
      </c>
      <c r="Q1301" s="39">
        <f>IF($A1301="","",IF(O1301&lt;&gt;원인분석!$C$9,"",IF(AND(M1301&gt;=원인분석!$C$10,M1301&lt;=원인분석!$C$11),"당기",IF(AND(M1301&gt;=원인분석!$C$12,M1301&lt;=원인분석!$C$13),"비교",""))))</f>
        <v/>
      </c>
      <c r="R1301" s="9">
        <f>IF(Q1301="","",$K1301&amp;"")</f>
        <v/>
      </c>
      <c r="S1301" s="9">
        <f>IF(Q1301="","",IF(MATCH(R1301,$R$5:$R$100000,0)=ROW()-4,ROW(),""))</f>
        <v/>
      </c>
      <c r="T1301" s="9">
        <f>IF(Q1301="당기",ABS(P1301)+ROW()/1000000000,"")</f>
        <v/>
      </c>
      <c r="U1301" s="9">
        <f>IF(Q1301="비교",ABS(P1301)+ROW()/1000000000,"")</f>
        <v/>
      </c>
      <c r="V1301" s="39">
        <f>IF($A1301="","",IF(COUNTIF(변동분석!$E$7:$E$506,O1301)&gt;0,"Y","N"))</f>
        <v/>
      </c>
      <c r="W1301" s="39">
        <f>IF($A1301="","",IFERROR(INDEX(계정매핑!$D$5:$D$504,MATCH($F1301&amp;"",계정매핑!$A$5:$A$504,0)),"미매핑"))</f>
        <v/>
      </c>
      <c r="X1301" s="9">
        <f>IF($A1301="","",$F1301&amp;"")</f>
        <v/>
      </c>
    </row>
    <row r="1302">
      <c r="A1302" s="75" t="n">
        <v>2025</v>
      </c>
      <c r="B1302" s="75" t="n">
        <v>7</v>
      </c>
      <c r="C1302" s="75" t="inlineStr">
        <is>
          <t>5100001298</t>
        </is>
      </c>
      <c r="D1302" s="78" t="n">
        <v>45857</v>
      </c>
      <c r="E1302" s="75" t="inlineStr">
        <is>
          <t>KR</t>
        </is>
      </c>
      <c r="F1302" s="75" t="n">
        <v>62902000</v>
      </c>
      <c r="G1302" s="75" t="n">
        <v>1201</v>
      </c>
      <c r="H1302" s="76" t="n">
        <v>2265000</v>
      </c>
      <c r="I1302" s="75" t="inlineStr">
        <is>
          <t>7월 업무 위탁 수수료 - J콜센터</t>
        </is>
      </c>
      <c r="J1302" s="75" t="inlineStr">
        <is>
          <t>V10013</t>
        </is>
      </c>
      <c r="K1302" s="75" t="inlineStr">
        <is>
          <t>J콜센터</t>
        </is>
      </c>
      <c r="M1302" s="9">
        <f>IF($A1302="","",VALUE($A1302&amp;"")*12+VALUE($B1302&amp;""))</f>
        <v/>
      </c>
      <c r="N1302" s="39">
        <f>IF($A1302="","",IFERROR(INDEX(부서매핑!$C$5:$C$504,MATCH($G1302&amp;"",부서매핑!$A$5:$A$504,0)),"미매핑"))</f>
        <v/>
      </c>
      <c r="O1302" s="9">
        <f>IF($A1302="","",N1302&amp;"|"&amp;$F1302)</f>
        <v/>
      </c>
      <c r="P1302" s="77">
        <f>IF($A1302="",0,$H1302*설정!$C$23)</f>
        <v/>
      </c>
      <c r="Q1302" s="39">
        <f>IF($A1302="","",IF(O1302&lt;&gt;원인분석!$C$9,"",IF(AND(M1302&gt;=원인분석!$C$10,M1302&lt;=원인분석!$C$11),"당기",IF(AND(M1302&gt;=원인분석!$C$12,M1302&lt;=원인분석!$C$13),"비교",""))))</f>
        <v/>
      </c>
      <c r="R1302" s="9">
        <f>IF(Q1302="","",$K1302&amp;"")</f>
        <v/>
      </c>
      <c r="S1302" s="9">
        <f>IF(Q1302="","",IF(MATCH(R1302,$R$5:$R$100000,0)=ROW()-4,ROW(),""))</f>
        <v/>
      </c>
      <c r="T1302" s="9">
        <f>IF(Q1302="당기",ABS(P1302)+ROW()/1000000000,"")</f>
        <v/>
      </c>
      <c r="U1302" s="9">
        <f>IF(Q1302="비교",ABS(P1302)+ROW()/1000000000,"")</f>
        <v/>
      </c>
      <c r="V1302" s="39">
        <f>IF($A1302="","",IF(COUNTIF(변동분석!$E$7:$E$506,O1302)&gt;0,"Y","N"))</f>
        <v/>
      </c>
      <c r="W1302" s="39">
        <f>IF($A1302="","",IFERROR(INDEX(계정매핑!$D$5:$D$504,MATCH($F1302&amp;"",계정매핑!$A$5:$A$504,0)),"미매핑"))</f>
        <v/>
      </c>
      <c r="X1302" s="9">
        <f>IF($A1302="","",$F1302&amp;"")</f>
        <v/>
      </c>
    </row>
    <row r="1303">
      <c r="A1303" s="75" t="n">
        <v>2025</v>
      </c>
      <c r="B1303" s="75" t="n">
        <v>7</v>
      </c>
      <c r="C1303" s="75" t="inlineStr">
        <is>
          <t>5100001299</t>
        </is>
      </c>
      <c r="D1303" s="78" t="n">
        <v>45858</v>
      </c>
      <c r="E1303" s="75" t="inlineStr">
        <is>
          <t>KR</t>
        </is>
      </c>
      <c r="F1303" s="75" t="n">
        <v>62101000</v>
      </c>
      <c r="G1303" s="75" t="n">
        <v>1101</v>
      </c>
      <c r="H1303" s="76" t="n">
        <v>574000</v>
      </c>
      <c r="I1303" s="75" t="inlineStr">
        <is>
          <t>7월 국내출장 - L여행사</t>
        </is>
      </c>
      <c r="J1303" s="75" t="inlineStr">
        <is>
          <t>V10014</t>
        </is>
      </c>
      <c r="K1303" s="75" t="inlineStr">
        <is>
          <t>L여행사</t>
        </is>
      </c>
      <c r="M1303" s="9">
        <f>IF($A1303="","",VALUE($A1303&amp;"")*12+VALUE($B1303&amp;""))</f>
        <v/>
      </c>
      <c r="N1303" s="39">
        <f>IF($A1303="","",IFERROR(INDEX(부서매핑!$C$5:$C$504,MATCH($G1303&amp;"",부서매핑!$A$5:$A$504,0)),"미매핑"))</f>
        <v/>
      </c>
      <c r="O1303" s="9">
        <f>IF($A1303="","",N1303&amp;"|"&amp;$F1303)</f>
        <v/>
      </c>
      <c r="P1303" s="77">
        <f>IF($A1303="",0,$H1303*설정!$C$23)</f>
        <v/>
      </c>
      <c r="Q1303" s="39">
        <f>IF($A1303="","",IF(O1303&lt;&gt;원인분석!$C$9,"",IF(AND(M1303&gt;=원인분석!$C$10,M1303&lt;=원인분석!$C$11),"당기",IF(AND(M1303&gt;=원인분석!$C$12,M1303&lt;=원인분석!$C$13),"비교",""))))</f>
        <v/>
      </c>
      <c r="R1303" s="9">
        <f>IF(Q1303="","",$K1303&amp;"")</f>
        <v/>
      </c>
      <c r="S1303" s="9">
        <f>IF(Q1303="","",IF(MATCH(R1303,$R$5:$R$100000,0)=ROW()-4,ROW(),""))</f>
        <v/>
      </c>
      <c r="T1303" s="9">
        <f>IF(Q1303="당기",ABS(P1303)+ROW()/1000000000,"")</f>
        <v/>
      </c>
      <c r="U1303" s="9">
        <f>IF(Q1303="비교",ABS(P1303)+ROW()/1000000000,"")</f>
        <v/>
      </c>
      <c r="V1303" s="39">
        <f>IF($A1303="","",IF(COUNTIF(변동분석!$E$7:$E$506,O1303)&gt;0,"Y","N"))</f>
        <v/>
      </c>
      <c r="W1303" s="39">
        <f>IF($A1303="","",IFERROR(INDEX(계정매핑!$D$5:$D$504,MATCH($F1303&amp;"",계정매핑!$A$5:$A$504,0)),"미매핑"))</f>
        <v/>
      </c>
      <c r="X1303" s="9">
        <f>IF($A1303="","",$F1303&amp;"")</f>
        <v/>
      </c>
    </row>
    <row r="1304">
      <c r="A1304" s="75" t="n">
        <v>2025</v>
      </c>
      <c r="B1304" s="75" t="n">
        <v>7</v>
      </c>
      <c r="C1304" s="75" t="inlineStr">
        <is>
          <t>5100001300</t>
        </is>
      </c>
      <c r="D1304" s="78" t="n">
        <v>45858</v>
      </c>
      <c r="E1304" s="75" t="inlineStr">
        <is>
          <t>KR</t>
        </is>
      </c>
      <c r="F1304" s="75" t="n">
        <v>62101000</v>
      </c>
      <c r="G1304" s="75" t="n">
        <v>1201</v>
      </c>
      <c r="H1304" s="76" t="n">
        <v>353000</v>
      </c>
      <c r="I1304" s="75" t="inlineStr">
        <is>
          <t>7월 국내출장 - (법인카드)</t>
        </is>
      </c>
      <c r="J1304" s="75" t="inlineStr">
        <is>
          <t>V10008</t>
        </is>
      </c>
      <c r="K1304" s="75" t="inlineStr">
        <is>
          <t>(법인카드)</t>
        </is>
      </c>
      <c r="M1304" s="9">
        <f>IF($A1304="","",VALUE($A1304&amp;"")*12+VALUE($B1304&amp;""))</f>
        <v/>
      </c>
      <c r="N1304" s="39">
        <f>IF($A1304="","",IFERROR(INDEX(부서매핑!$C$5:$C$504,MATCH($G1304&amp;"",부서매핑!$A$5:$A$504,0)),"미매핑"))</f>
        <v/>
      </c>
      <c r="O1304" s="9">
        <f>IF($A1304="","",N1304&amp;"|"&amp;$F1304)</f>
        <v/>
      </c>
      <c r="P1304" s="77">
        <f>IF($A1304="",0,$H1304*설정!$C$23)</f>
        <v/>
      </c>
      <c r="Q1304" s="39">
        <f>IF($A1304="","",IF(O1304&lt;&gt;원인분석!$C$9,"",IF(AND(M1304&gt;=원인분석!$C$10,M1304&lt;=원인분석!$C$11),"당기",IF(AND(M1304&gt;=원인분석!$C$12,M1304&lt;=원인분석!$C$13),"비교",""))))</f>
        <v/>
      </c>
      <c r="R1304" s="9">
        <f>IF(Q1304="","",$K1304&amp;"")</f>
        <v/>
      </c>
      <c r="S1304" s="9">
        <f>IF(Q1304="","",IF(MATCH(R1304,$R$5:$R$100000,0)=ROW()-4,ROW(),""))</f>
        <v/>
      </c>
      <c r="T1304" s="9">
        <f>IF(Q1304="당기",ABS(P1304)+ROW()/1000000000,"")</f>
        <v/>
      </c>
      <c r="U1304" s="9">
        <f>IF(Q1304="비교",ABS(P1304)+ROW()/1000000000,"")</f>
        <v/>
      </c>
      <c r="V1304" s="39">
        <f>IF($A1304="","",IF(COUNTIF(변동분석!$E$7:$E$506,O1304)&gt;0,"Y","N"))</f>
        <v/>
      </c>
      <c r="W1304" s="39">
        <f>IF($A1304="","",IFERROR(INDEX(계정매핑!$D$5:$D$504,MATCH($F1304&amp;"",계정매핑!$A$5:$A$504,0)),"미매핑"))</f>
        <v/>
      </c>
      <c r="X1304" s="9">
        <f>IF($A1304="","",$F1304&amp;"")</f>
        <v/>
      </c>
    </row>
    <row r="1305">
      <c r="A1305" s="75" t="n">
        <v>2025</v>
      </c>
      <c r="B1305" s="75" t="n">
        <v>7</v>
      </c>
      <c r="C1305" s="75" t="inlineStr">
        <is>
          <t>5100001301</t>
        </is>
      </c>
      <c r="D1305" s="78" t="n">
        <v>45858</v>
      </c>
      <c r="E1305" s="75" t="inlineStr">
        <is>
          <t>KR</t>
        </is>
      </c>
      <c r="F1305" s="75" t="n">
        <v>62101000</v>
      </c>
      <c r="G1305" s="75" t="n">
        <v>1502</v>
      </c>
      <c r="H1305" s="76" t="n">
        <v>924000</v>
      </c>
      <c r="I1305" s="75" t="inlineStr">
        <is>
          <t>7월 국내출장 - M항공</t>
        </is>
      </c>
      <c r="J1305" s="75" t="inlineStr">
        <is>
          <t>V10001</t>
        </is>
      </c>
      <c r="K1305" s="75" t="inlineStr">
        <is>
          <t>M항공</t>
        </is>
      </c>
      <c r="M1305" s="9">
        <f>IF($A1305="","",VALUE($A1305&amp;"")*12+VALUE($B1305&amp;""))</f>
        <v/>
      </c>
      <c r="N1305" s="39">
        <f>IF($A1305="","",IFERROR(INDEX(부서매핑!$C$5:$C$504,MATCH($G1305&amp;"",부서매핑!$A$5:$A$504,0)),"미매핑"))</f>
        <v/>
      </c>
      <c r="O1305" s="9">
        <f>IF($A1305="","",N1305&amp;"|"&amp;$F1305)</f>
        <v/>
      </c>
      <c r="P1305" s="77">
        <f>IF($A1305="",0,$H1305*설정!$C$23)</f>
        <v/>
      </c>
      <c r="Q1305" s="39">
        <f>IF($A1305="","",IF(O1305&lt;&gt;원인분석!$C$9,"",IF(AND(M1305&gt;=원인분석!$C$10,M1305&lt;=원인분석!$C$11),"당기",IF(AND(M1305&gt;=원인분석!$C$12,M1305&lt;=원인분석!$C$13),"비교",""))))</f>
        <v/>
      </c>
      <c r="R1305" s="9">
        <f>IF(Q1305="","",$K1305&amp;"")</f>
        <v/>
      </c>
      <c r="S1305" s="9">
        <f>IF(Q1305="","",IF(MATCH(R1305,$R$5:$R$100000,0)=ROW()-4,ROW(),""))</f>
        <v/>
      </c>
      <c r="T1305" s="9">
        <f>IF(Q1305="당기",ABS(P1305)+ROW()/1000000000,"")</f>
        <v/>
      </c>
      <c r="U1305" s="9">
        <f>IF(Q1305="비교",ABS(P1305)+ROW()/1000000000,"")</f>
        <v/>
      </c>
      <c r="V1305" s="39">
        <f>IF($A1305="","",IF(COUNTIF(변동분석!$E$7:$E$506,O1305)&gt;0,"Y","N"))</f>
        <v/>
      </c>
      <c r="W1305" s="39">
        <f>IF($A1305="","",IFERROR(INDEX(계정매핑!$D$5:$D$504,MATCH($F1305&amp;"",계정매핑!$A$5:$A$504,0)),"미매핑"))</f>
        <v/>
      </c>
      <c r="X1305" s="9">
        <f>IF($A1305="","",$F1305&amp;"")</f>
        <v/>
      </c>
    </row>
    <row r="1306">
      <c r="A1306" s="75" t="n">
        <v>2025</v>
      </c>
      <c r="B1306" s="75" t="n">
        <v>7</v>
      </c>
      <c r="C1306" s="75" t="inlineStr">
        <is>
          <t>5100001302</t>
        </is>
      </c>
      <c r="D1306" s="78" t="n">
        <v>45858</v>
      </c>
      <c r="E1306" s="75" t="inlineStr">
        <is>
          <t>KR</t>
        </is>
      </c>
      <c r="F1306" s="75" t="n">
        <v>62102000</v>
      </c>
      <c r="G1306" s="75" t="n">
        <v>1601</v>
      </c>
      <c r="H1306" s="76" t="n">
        <v>218000</v>
      </c>
      <c r="I1306" s="75" t="inlineStr">
        <is>
          <t>7월 해외출장 - N호텔</t>
        </is>
      </c>
      <c r="J1306" s="75" t="inlineStr">
        <is>
          <t>V10007</t>
        </is>
      </c>
      <c r="K1306" s="75" t="inlineStr">
        <is>
          <t>N호텔</t>
        </is>
      </c>
      <c r="M1306" s="9">
        <f>IF($A1306="","",VALUE($A1306&amp;"")*12+VALUE($B1306&amp;""))</f>
        <v/>
      </c>
      <c r="N1306" s="39">
        <f>IF($A1306="","",IFERROR(INDEX(부서매핑!$C$5:$C$504,MATCH($G1306&amp;"",부서매핑!$A$5:$A$504,0)),"미매핑"))</f>
        <v/>
      </c>
      <c r="O1306" s="9">
        <f>IF($A1306="","",N1306&amp;"|"&amp;$F1306)</f>
        <v/>
      </c>
      <c r="P1306" s="77">
        <f>IF($A1306="",0,$H1306*설정!$C$23)</f>
        <v/>
      </c>
      <c r="Q1306" s="39">
        <f>IF($A1306="","",IF(O1306&lt;&gt;원인분석!$C$9,"",IF(AND(M1306&gt;=원인분석!$C$10,M1306&lt;=원인분석!$C$11),"당기",IF(AND(M1306&gt;=원인분석!$C$12,M1306&lt;=원인분석!$C$13),"비교",""))))</f>
        <v/>
      </c>
      <c r="R1306" s="9">
        <f>IF(Q1306="","",$K1306&amp;"")</f>
        <v/>
      </c>
      <c r="S1306" s="9">
        <f>IF(Q1306="","",IF(MATCH(R1306,$R$5:$R$100000,0)=ROW()-4,ROW(),""))</f>
        <v/>
      </c>
      <c r="T1306" s="9">
        <f>IF(Q1306="당기",ABS(P1306)+ROW()/1000000000,"")</f>
        <v/>
      </c>
      <c r="U1306" s="9">
        <f>IF(Q1306="비교",ABS(P1306)+ROW()/1000000000,"")</f>
        <v/>
      </c>
      <c r="V1306" s="39">
        <f>IF($A1306="","",IF(COUNTIF(변동분석!$E$7:$E$506,O1306)&gt;0,"Y","N"))</f>
        <v/>
      </c>
      <c r="W1306" s="39">
        <f>IF($A1306="","",IFERROR(INDEX(계정매핑!$D$5:$D$504,MATCH($F1306&amp;"",계정매핑!$A$5:$A$504,0)),"미매핑"))</f>
        <v/>
      </c>
      <c r="X1306" s="9">
        <f>IF($A1306="","",$F1306&amp;"")</f>
        <v/>
      </c>
    </row>
    <row r="1307">
      <c r="A1307" s="75" t="n">
        <v>2025</v>
      </c>
      <c r="B1307" s="75" t="n">
        <v>7</v>
      </c>
      <c r="C1307" s="75" t="inlineStr">
        <is>
          <t>5100001303</t>
        </is>
      </c>
      <c r="D1307" s="78" t="n">
        <v>45858</v>
      </c>
      <c r="E1307" s="75" t="inlineStr">
        <is>
          <t>KR</t>
        </is>
      </c>
      <c r="F1307" s="75" t="n">
        <v>62201000</v>
      </c>
      <c r="G1307" s="75" t="n">
        <v>1301</v>
      </c>
      <c r="H1307" s="76" t="n">
        <v>116000</v>
      </c>
      <c r="I1307" s="75" t="inlineStr">
        <is>
          <t>7월 통신요금 - P통신</t>
        </is>
      </c>
      <c r="J1307" s="75" t="inlineStr">
        <is>
          <t>V10011</t>
        </is>
      </c>
      <c r="K1307" s="75" t="inlineStr">
        <is>
          <t>P통신</t>
        </is>
      </c>
      <c r="M1307" s="9">
        <f>IF($A1307="","",VALUE($A1307&amp;"")*12+VALUE($B1307&amp;""))</f>
        <v/>
      </c>
      <c r="N1307" s="39">
        <f>IF($A1307="","",IFERROR(INDEX(부서매핑!$C$5:$C$504,MATCH($G1307&amp;"",부서매핑!$A$5:$A$504,0)),"미매핑"))</f>
        <v/>
      </c>
      <c r="O1307" s="9">
        <f>IF($A1307="","",N1307&amp;"|"&amp;$F1307)</f>
        <v/>
      </c>
      <c r="P1307" s="77">
        <f>IF($A1307="",0,$H1307*설정!$C$23)</f>
        <v/>
      </c>
      <c r="Q1307" s="39">
        <f>IF($A1307="","",IF(O1307&lt;&gt;원인분석!$C$9,"",IF(AND(M1307&gt;=원인분석!$C$10,M1307&lt;=원인분석!$C$11),"당기",IF(AND(M1307&gt;=원인분석!$C$12,M1307&lt;=원인분석!$C$13),"비교",""))))</f>
        <v/>
      </c>
      <c r="R1307" s="9">
        <f>IF(Q1307="","",$K1307&amp;"")</f>
        <v/>
      </c>
      <c r="S1307" s="9">
        <f>IF(Q1307="","",IF(MATCH(R1307,$R$5:$R$100000,0)=ROW()-4,ROW(),""))</f>
        <v/>
      </c>
      <c r="T1307" s="9">
        <f>IF(Q1307="당기",ABS(P1307)+ROW()/1000000000,"")</f>
        <v/>
      </c>
      <c r="U1307" s="9">
        <f>IF(Q1307="비교",ABS(P1307)+ROW()/1000000000,"")</f>
        <v/>
      </c>
      <c r="V1307" s="39">
        <f>IF($A1307="","",IF(COUNTIF(변동분석!$E$7:$E$506,O1307)&gt;0,"Y","N"))</f>
        <v/>
      </c>
      <c r="W1307" s="39">
        <f>IF($A1307="","",IFERROR(INDEX(계정매핑!$D$5:$D$504,MATCH($F1307&amp;"",계정매핑!$A$5:$A$504,0)),"미매핑"))</f>
        <v/>
      </c>
      <c r="X1307" s="9">
        <f>IF($A1307="","",$F1307&amp;"")</f>
        <v/>
      </c>
    </row>
    <row r="1308">
      <c r="A1308" s="75" t="n">
        <v>2025</v>
      </c>
      <c r="B1308" s="75" t="n">
        <v>7</v>
      </c>
      <c r="C1308" s="75" t="inlineStr">
        <is>
          <t>5100001304</t>
        </is>
      </c>
      <c r="D1308" s="78" t="n">
        <v>45858</v>
      </c>
      <c r="E1308" s="75" t="inlineStr">
        <is>
          <t>KR</t>
        </is>
      </c>
      <c r="F1308" s="75" t="n">
        <v>62201000</v>
      </c>
      <c r="G1308" s="75" t="n">
        <v>1501</v>
      </c>
      <c r="H1308" s="76" t="n">
        <v>442000</v>
      </c>
      <c r="I1308" s="75" t="inlineStr">
        <is>
          <t>7월 통신요금 - O텔레콤</t>
        </is>
      </c>
      <c r="J1308" s="75" t="inlineStr">
        <is>
          <t>V10002</t>
        </is>
      </c>
      <c r="K1308" s="75" t="inlineStr">
        <is>
          <t>O텔레콤</t>
        </is>
      </c>
      <c r="M1308" s="9">
        <f>IF($A1308="","",VALUE($A1308&amp;"")*12+VALUE($B1308&amp;""))</f>
        <v/>
      </c>
      <c r="N1308" s="39">
        <f>IF($A1308="","",IFERROR(INDEX(부서매핑!$C$5:$C$504,MATCH($G1308&amp;"",부서매핑!$A$5:$A$504,0)),"미매핑"))</f>
        <v/>
      </c>
      <c r="O1308" s="9">
        <f>IF($A1308="","",N1308&amp;"|"&amp;$F1308)</f>
        <v/>
      </c>
      <c r="P1308" s="77">
        <f>IF($A1308="",0,$H1308*설정!$C$23)</f>
        <v/>
      </c>
      <c r="Q1308" s="39">
        <f>IF($A1308="","",IF(O1308&lt;&gt;원인분석!$C$9,"",IF(AND(M1308&gt;=원인분석!$C$10,M1308&lt;=원인분석!$C$11),"당기",IF(AND(M1308&gt;=원인분석!$C$12,M1308&lt;=원인분석!$C$13),"비교",""))))</f>
        <v/>
      </c>
      <c r="R1308" s="9">
        <f>IF(Q1308="","",$K1308&amp;"")</f>
        <v/>
      </c>
      <c r="S1308" s="9">
        <f>IF(Q1308="","",IF(MATCH(R1308,$R$5:$R$100000,0)=ROW()-4,ROW(),""))</f>
        <v/>
      </c>
      <c r="T1308" s="9">
        <f>IF(Q1308="당기",ABS(P1308)+ROW()/1000000000,"")</f>
        <v/>
      </c>
      <c r="U1308" s="9">
        <f>IF(Q1308="비교",ABS(P1308)+ROW()/1000000000,"")</f>
        <v/>
      </c>
      <c r="V1308" s="39">
        <f>IF($A1308="","",IF(COUNTIF(변동분석!$E$7:$E$506,O1308)&gt;0,"Y","N"))</f>
        <v/>
      </c>
      <c r="W1308" s="39">
        <f>IF($A1308="","",IFERROR(INDEX(계정매핑!$D$5:$D$504,MATCH($F1308&amp;"",계정매핑!$A$5:$A$504,0)),"미매핑"))</f>
        <v/>
      </c>
      <c r="X1308" s="9">
        <f>IF($A1308="","",$F1308&amp;"")</f>
        <v/>
      </c>
    </row>
    <row r="1309">
      <c r="A1309" s="75" t="n">
        <v>2025</v>
      </c>
      <c r="B1309" s="75" t="n">
        <v>7</v>
      </c>
      <c r="C1309" s="75" t="inlineStr">
        <is>
          <t>5100001305</t>
        </is>
      </c>
      <c r="D1309" s="78" t="n">
        <v>45858</v>
      </c>
      <c r="E1309" s="75" t="inlineStr">
        <is>
          <t>KR</t>
        </is>
      </c>
      <c r="F1309" s="75" t="n">
        <v>62801000</v>
      </c>
      <c r="G1309" s="75" t="n">
        <v>1301</v>
      </c>
      <c r="H1309" s="76" t="n">
        <v>3016000</v>
      </c>
      <c r="I1309" s="75" t="inlineStr">
        <is>
          <t>7월 사내교육 - U에듀</t>
        </is>
      </c>
      <c r="J1309" s="75" t="inlineStr">
        <is>
          <t>V10026</t>
        </is>
      </c>
      <c r="K1309" s="75" t="inlineStr">
        <is>
          <t>U에듀</t>
        </is>
      </c>
      <c r="M1309" s="9">
        <f>IF($A1309="","",VALUE($A1309&amp;"")*12+VALUE($B1309&amp;""))</f>
        <v/>
      </c>
      <c r="N1309" s="39">
        <f>IF($A1309="","",IFERROR(INDEX(부서매핑!$C$5:$C$504,MATCH($G1309&amp;"",부서매핑!$A$5:$A$504,0)),"미매핑"))</f>
        <v/>
      </c>
      <c r="O1309" s="9">
        <f>IF($A1309="","",N1309&amp;"|"&amp;$F1309)</f>
        <v/>
      </c>
      <c r="P1309" s="77">
        <f>IF($A1309="",0,$H1309*설정!$C$23)</f>
        <v/>
      </c>
      <c r="Q1309" s="39">
        <f>IF($A1309="","",IF(O1309&lt;&gt;원인분석!$C$9,"",IF(AND(M1309&gt;=원인분석!$C$10,M1309&lt;=원인분석!$C$11),"당기",IF(AND(M1309&gt;=원인분석!$C$12,M1309&lt;=원인분석!$C$13),"비교",""))))</f>
        <v/>
      </c>
      <c r="R1309" s="9">
        <f>IF(Q1309="","",$K1309&amp;"")</f>
        <v/>
      </c>
      <c r="S1309" s="9">
        <f>IF(Q1309="","",IF(MATCH(R1309,$R$5:$R$100000,0)=ROW()-4,ROW(),""))</f>
        <v/>
      </c>
      <c r="T1309" s="9">
        <f>IF(Q1309="당기",ABS(P1309)+ROW()/1000000000,"")</f>
        <v/>
      </c>
      <c r="U1309" s="9">
        <f>IF(Q1309="비교",ABS(P1309)+ROW()/1000000000,"")</f>
        <v/>
      </c>
      <c r="V1309" s="39">
        <f>IF($A1309="","",IF(COUNTIF(변동분석!$E$7:$E$506,O1309)&gt;0,"Y","N"))</f>
        <v/>
      </c>
      <c r="W1309" s="39">
        <f>IF($A1309="","",IFERROR(INDEX(계정매핑!$D$5:$D$504,MATCH($F1309&amp;"",계정매핑!$A$5:$A$504,0)),"미매핑"))</f>
        <v/>
      </c>
      <c r="X1309" s="9">
        <f>IF($A1309="","",$F1309&amp;"")</f>
        <v/>
      </c>
    </row>
    <row r="1310">
      <c r="A1310" s="75" t="n">
        <v>2025</v>
      </c>
      <c r="B1310" s="75" t="n">
        <v>7</v>
      </c>
      <c r="C1310" s="75" t="inlineStr">
        <is>
          <t>5100001306</t>
        </is>
      </c>
      <c r="D1310" s="78" t="n">
        <v>45858</v>
      </c>
      <c r="E1310" s="75" t="inlineStr">
        <is>
          <t>KR</t>
        </is>
      </c>
      <c r="F1310" s="75" t="n">
        <v>62901000</v>
      </c>
      <c r="G1310" s="75" t="n">
        <v>1401</v>
      </c>
      <c r="H1310" s="76" t="n">
        <v>4879000</v>
      </c>
      <c r="I1310" s="75" t="inlineStr">
        <is>
          <t>7월 자문 수수료 - K회계법인</t>
        </is>
      </c>
      <c r="J1310" s="75" t="inlineStr">
        <is>
          <t>V10010</t>
        </is>
      </c>
      <c r="K1310" s="75" t="inlineStr">
        <is>
          <t>K회계법인</t>
        </is>
      </c>
      <c r="M1310" s="9">
        <f>IF($A1310="","",VALUE($A1310&amp;"")*12+VALUE($B1310&amp;""))</f>
        <v/>
      </c>
      <c r="N1310" s="39">
        <f>IF($A1310="","",IFERROR(INDEX(부서매핑!$C$5:$C$504,MATCH($G1310&amp;"",부서매핑!$A$5:$A$504,0)),"미매핑"))</f>
        <v/>
      </c>
      <c r="O1310" s="9">
        <f>IF($A1310="","",N1310&amp;"|"&amp;$F1310)</f>
        <v/>
      </c>
      <c r="P1310" s="77">
        <f>IF($A1310="",0,$H1310*설정!$C$23)</f>
        <v/>
      </c>
      <c r="Q1310" s="39">
        <f>IF($A1310="","",IF(O1310&lt;&gt;원인분석!$C$9,"",IF(AND(M1310&gt;=원인분석!$C$10,M1310&lt;=원인분석!$C$11),"당기",IF(AND(M1310&gt;=원인분석!$C$12,M1310&lt;=원인분석!$C$13),"비교",""))))</f>
        <v/>
      </c>
      <c r="R1310" s="9">
        <f>IF(Q1310="","",$K1310&amp;"")</f>
        <v/>
      </c>
      <c r="S1310" s="9">
        <f>IF(Q1310="","",IF(MATCH(R1310,$R$5:$R$100000,0)=ROW()-4,ROW(),""))</f>
        <v/>
      </c>
      <c r="T1310" s="9">
        <f>IF(Q1310="당기",ABS(P1310)+ROW()/1000000000,"")</f>
        <v/>
      </c>
      <c r="U1310" s="9">
        <f>IF(Q1310="비교",ABS(P1310)+ROW()/1000000000,"")</f>
        <v/>
      </c>
      <c r="V1310" s="39">
        <f>IF($A1310="","",IF(COUNTIF(변동분석!$E$7:$E$506,O1310)&gt;0,"Y","N"))</f>
        <v/>
      </c>
      <c r="W1310" s="39">
        <f>IF($A1310="","",IFERROR(INDEX(계정매핑!$D$5:$D$504,MATCH($F1310&amp;"",계정매핑!$A$5:$A$504,0)),"미매핑"))</f>
        <v/>
      </c>
      <c r="X1310" s="9">
        <f>IF($A1310="","",$F1310&amp;"")</f>
        <v/>
      </c>
    </row>
    <row r="1311">
      <c r="A1311" s="75" t="n">
        <v>2025</v>
      </c>
      <c r="B1311" s="75" t="n">
        <v>7</v>
      </c>
      <c r="C1311" s="75" t="inlineStr">
        <is>
          <t>5100001307</t>
        </is>
      </c>
      <c r="D1311" s="78" t="n">
        <v>45858</v>
      </c>
      <c r="E1311" s="75" t="inlineStr">
        <is>
          <t>KR</t>
        </is>
      </c>
      <c r="F1311" s="75" t="n">
        <v>62902000</v>
      </c>
      <c r="G1311" s="75" t="n">
        <v>1401</v>
      </c>
      <c r="H1311" s="76" t="n">
        <v>2436000</v>
      </c>
      <c r="I1311" s="75" t="inlineStr">
        <is>
          <t>7월 업무 위탁 수수료 - X서비스</t>
        </is>
      </c>
      <c r="J1311" s="75" t="inlineStr">
        <is>
          <t>V10016</t>
        </is>
      </c>
      <c r="K1311" s="75" t="inlineStr">
        <is>
          <t>X서비스</t>
        </is>
      </c>
      <c r="M1311" s="9">
        <f>IF($A1311="","",VALUE($A1311&amp;"")*12+VALUE($B1311&amp;""))</f>
        <v/>
      </c>
      <c r="N1311" s="39">
        <f>IF($A1311="","",IFERROR(INDEX(부서매핑!$C$5:$C$504,MATCH($G1311&amp;"",부서매핑!$A$5:$A$504,0)),"미매핑"))</f>
        <v/>
      </c>
      <c r="O1311" s="9">
        <f>IF($A1311="","",N1311&amp;"|"&amp;$F1311)</f>
        <v/>
      </c>
      <c r="P1311" s="77">
        <f>IF($A1311="",0,$H1311*설정!$C$23)</f>
        <v/>
      </c>
      <c r="Q1311" s="39">
        <f>IF($A1311="","",IF(O1311&lt;&gt;원인분석!$C$9,"",IF(AND(M1311&gt;=원인분석!$C$10,M1311&lt;=원인분석!$C$11),"당기",IF(AND(M1311&gt;=원인분석!$C$12,M1311&lt;=원인분석!$C$13),"비교",""))))</f>
        <v/>
      </c>
      <c r="R1311" s="9">
        <f>IF(Q1311="","",$K1311&amp;"")</f>
        <v/>
      </c>
      <c r="S1311" s="9">
        <f>IF(Q1311="","",IF(MATCH(R1311,$R$5:$R$100000,0)=ROW()-4,ROW(),""))</f>
        <v/>
      </c>
      <c r="T1311" s="9">
        <f>IF(Q1311="당기",ABS(P1311)+ROW()/1000000000,"")</f>
        <v/>
      </c>
      <c r="U1311" s="9">
        <f>IF(Q1311="비교",ABS(P1311)+ROW()/1000000000,"")</f>
        <v/>
      </c>
      <c r="V1311" s="39">
        <f>IF($A1311="","",IF(COUNTIF(변동분석!$E$7:$E$506,O1311)&gt;0,"Y","N"))</f>
        <v/>
      </c>
      <c r="W1311" s="39">
        <f>IF($A1311="","",IFERROR(INDEX(계정매핑!$D$5:$D$504,MATCH($F1311&amp;"",계정매핑!$A$5:$A$504,0)),"미매핑"))</f>
        <v/>
      </c>
      <c r="X1311" s="9">
        <f>IF($A1311="","",$F1311&amp;"")</f>
        <v/>
      </c>
    </row>
    <row r="1312">
      <c r="A1312" s="75" t="n">
        <v>2025</v>
      </c>
      <c r="B1312" s="75" t="n">
        <v>7</v>
      </c>
      <c r="C1312" s="75" t="inlineStr">
        <is>
          <t>5100001308</t>
        </is>
      </c>
      <c r="D1312" s="78" t="n">
        <v>45859</v>
      </c>
      <c r="E1312" s="75" t="inlineStr">
        <is>
          <t>KR</t>
        </is>
      </c>
      <c r="F1312" s="75" t="n">
        <v>62102000</v>
      </c>
      <c r="G1312" s="75" t="n">
        <v>1101</v>
      </c>
      <c r="H1312" s="76" t="n">
        <v>204000</v>
      </c>
      <c r="I1312" s="75" t="inlineStr">
        <is>
          <t>7월 해외출장 - N호텔</t>
        </is>
      </c>
      <c r="J1312" s="75" t="inlineStr">
        <is>
          <t>V10007</t>
        </is>
      </c>
      <c r="K1312" s="75" t="inlineStr">
        <is>
          <t>N호텔</t>
        </is>
      </c>
      <c r="M1312" s="9">
        <f>IF($A1312="","",VALUE($A1312&amp;"")*12+VALUE($B1312&amp;""))</f>
        <v/>
      </c>
      <c r="N1312" s="39">
        <f>IF($A1312="","",IFERROR(INDEX(부서매핑!$C$5:$C$504,MATCH($G1312&amp;"",부서매핑!$A$5:$A$504,0)),"미매핑"))</f>
        <v/>
      </c>
      <c r="O1312" s="9">
        <f>IF($A1312="","",N1312&amp;"|"&amp;$F1312)</f>
        <v/>
      </c>
      <c r="P1312" s="77">
        <f>IF($A1312="",0,$H1312*설정!$C$23)</f>
        <v/>
      </c>
      <c r="Q1312" s="39">
        <f>IF($A1312="","",IF(O1312&lt;&gt;원인분석!$C$9,"",IF(AND(M1312&gt;=원인분석!$C$10,M1312&lt;=원인분석!$C$11),"당기",IF(AND(M1312&gt;=원인분석!$C$12,M1312&lt;=원인분석!$C$13),"비교",""))))</f>
        <v/>
      </c>
      <c r="R1312" s="9">
        <f>IF(Q1312="","",$K1312&amp;"")</f>
        <v/>
      </c>
      <c r="S1312" s="9">
        <f>IF(Q1312="","",IF(MATCH(R1312,$R$5:$R$100000,0)=ROW()-4,ROW(),""))</f>
        <v/>
      </c>
      <c r="T1312" s="9">
        <f>IF(Q1312="당기",ABS(P1312)+ROW()/1000000000,"")</f>
        <v/>
      </c>
      <c r="U1312" s="9">
        <f>IF(Q1312="비교",ABS(P1312)+ROW()/1000000000,"")</f>
        <v/>
      </c>
      <c r="V1312" s="39">
        <f>IF($A1312="","",IF(COUNTIF(변동분석!$E$7:$E$506,O1312)&gt;0,"Y","N"))</f>
        <v/>
      </c>
      <c r="W1312" s="39">
        <f>IF($A1312="","",IFERROR(INDEX(계정매핑!$D$5:$D$504,MATCH($F1312&amp;"",계정매핑!$A$5:$A$504,0)),"미매핑"))</f>
        <v/>
      </c>
      <c r="X1312" s="9">
        <f>IF($A1312="","",$F1312&amp;"")</f>
        <v/>
      </c>
    </row>
    <row r="1313">
      <c r="A1313" s="75" t="n">
        <v>2025</v>
      </c>
      <c r="B1313" s="75" t="n">
        <v>7</v>
      </c>
      <c r="C1313" s="75" t="inlineStr">
        <is>
          <t>5100001309</t>
        </is>
      </c>
      <c r="D1313" s="78" t="n">
        <v>45859</v>
      </c>
      <c r="E1313" s="75" t="inlineStr">
        <is>
          <t>KR</t>
        </is>
      </c>
      <c r="F1313" s="75" t="n">
        <v>62102000</v>
      </c>
      <c r="G1313" s="75" t="n">
        <v>1301</v>
      </c>
      <c r="H1313" s="76" t="n">
        <v>83000</v>
      </c>
      <c r="I1313" s="75" t="inlineStr">
        <is>
          <t>7월 해외출장 - M항공</t>
        </is>
      </c>
      <c r="J1313" s="75" t="inlineStr">
        <is>
          <t>V10001</t>
        </is>
      </c>
      <c r="K1313" s="75" t="inlineStr">
        <is>
          <t>M항공</t>
        </is>
      </c>
      <c r="M1313" s="9">
        <f>IF($A1313="","",VALUE($A1313&amp;"")*12+VALUE($B1313&amp;""))</f>
        <v/>
      </c>
      <c r="N1313" s="39">
        <f>IF($A1313="","",IFERROR(INDEX(부서매핑!$C$5:$C$504,MATCH($G1313&amp;"",부서매핑!$A$5:$A$504,0)),"미매핑"))</f>
        <v/>
      </c>
      <c r="O1313" s="9">
        <f>IF($A1313="","",N1313&amp;"|"&amp;$F1313)</f>
        <v/>
      </c>
      <c r="P1313" s="77">
        <f>IF($A1313="",0,$H1313*설정!$C$23)</f>
        <v/>
      </c>
      <c r="Q1313" s="39">
        <f>IF($A1313="","",IF(O1313&lt;&gt;원인분석!$C$9,"",IF(AND(M1313&gt;=원인분석!$C$10,M1313&lt;=원인분석!$C$11),"당기",IF(AND(M1313&gt;=원인분석!$C$12,M1313&lt;=원인분석!$C$13),"비교",""))))</f>
        <v/>
      </c>
      <c r="R1313" s="9">
        <f>IF(Q1313="","",$K1313&amp;"")</f>
        <v/>
      </c>
      <c r="S1313" s="9">
        <f>IF(Q1313="","",IF(MATCH(R1313,$R$5:$R$100000,0)=ROW()-4,ROW(),""))</f>
        <v/>
      </c>
      <c r="T1313" s="9">
        <f>IF(Q1313="당기",ABS(P1313)+ROW()/1000000000,"")</f>
        <v/>
      </c>
      <c r="U1313" s="9">
        <f>IF(Q1313="비교",ABS(P1313)+ROW()/1000000000,"")</f>
        <v/>
      </c>
      <c r="V1313" s="39">
        <f>IF($A1313="","",IF(COUNTIF(변동분석!$E$7:$E$506,O1313)&gt;0,"Y","N"))</f>
        <v/>
      </c>
      <c r="W1313" s="39">
        <f>IF($A1313="","",IFERROR(INDEX(계정매핑!$D$5:$D$504,MATCH($F1313&amp;"",계정매핑!$A$5:$A$504,0)),"미매핑"))</f>
        <v/>
      </c>
      <c r="X1313" s="9">
        <f>IF($A1313="","",$F1313&amp;"")</f>
        <v/>
      </c>
    </row>
    <row r="1314">
      <c r="A1314" s="75" t="n">
        <v>2025</v>
      </c>
      <c r="B1314" s="75" t="n">
        <v>7</v>
      </c>
      <c r="C1314" s="75" t="inlineStr">
        <is>
          <t>5100001310</t>
        </is>
      </c>
      <c r="D1314" s="78" t="n">
        <v>45859</v>
      </c>
      <c r="E1314" s="75" t="inlineStr">
        <is>
          <t>KR</t>
        </is>
      </c>
      <c r="F1314" s="75" t="n">
        <v>62201000</v>
      </c>
      <c r="G1314" s="75" t="n">
        <v>1101</v>
      </c>
      <c r="H1314" s="76" t="n">
        <v>172000</v>
      </c>
      <c r="I1314" s="75" t="inlineStr">
        <is>
          <t>7월 통신요금 - P통신</t>
        </is>
      </c>
      <c r="J1314" s="75" t="inlineStr">
        <is>
          <t>V10011</t>
        </is>
      </c>
      <c r="K1314" s="75" t="inlineStr">
        <is>
          <t>P통신</t>
        </is>
      </c>
      <c r="M1314" s="9">
        <f>IF($A1314="","",VALUE($A1314&amp;"")*12+VALUE($B1314&amp;""))</f>
        <v/>
      </c>
      <c r="N1314" s="39">
        <f>IF($A1314="","",IFERROR(INDEX(부서매핑!$C$5:$C$504,MATCH($G1314&amp;"",부서매핑!$A$5:$A$504,0)),"미매핑"))</f>
        <v/>
      </c>
      <c r="O1314" s="9">
        <f>IF($A1314="","",N1314&amp;"|"&amp;$F1314)</f>
        <v/>
      </c>
      <c r="P1314" s="77">
        <f>IF($A1314="",0,$H1314*설정!$C$23)</f>
        <v/>
      </c>
      <c r="Q1314" s="39">
        <f>IF($A1314="","",IF(O1314&lt;&gt;원인분석!$C$9,"",IF(AND(M1314&gt;=원인분석!$C$10,M1314&lt;=원인분석!$C$11),"당기",IF(AND(M1314&gt;=원인분석!$C$12,M1314&lt;=원인분석!$C$13),"비교",""))))</f>
        <v/>
      </c>
      <c r="R1314" s="9">
        <f>IF(Q1314="","",$K1314&amp;"")</f>
        <v/>
      </c>
      <c r="S1314" s="9">
        <f>IF(Q1314="","",IF(MATCH(R1314,$R$5:$R$100000,0)=ROW()-4,ROW(),""))</f>
        <v/>
      </c>
      <c r="T1314" s="9">
        <f>IF(Q1314="당기",ABS(P1314)+ROW()/1000000000,"")</f>
        <v/>
      </c>
      <c r="U1314" s="9">
        <f>IF(Q1314="비교",ABS(P1314)+ROW()/1000000000,"")</f>
        <v/>
      </c>
      <c r="V1314" s="39">
        <f>IF($A1314="","",IF(COUNTIF(변동분석!$E$7:$E$506,O1314)&gt;0,"Y","N"))</f>
        <v/>
      </c>
      <c r="W1314" s="39">
        <f>IF($A1314="","",IFERROR(INDEX(계정매핑!$D$5:$D$504,MATCH($F1314&amp;"",계정매핑!$A$5:$A$504,0)),"미매핑"))</f>
        <v/>
      </c>
      <c r="X1314" s="9">
        <f>IF($A1314="","",$F1314&amp;"")</f>
        <v/>
      </c>
    </row>
    <row r="1315">
      <c r="A1315" s="75" t="n">
        <v>2025</v>
      </c>
      <c r="B1315" s="75" t="n">
        <v>7</v>
      </c>
      <c r="C1315" s="75" t="inlineStr">
        <is>
          <t>5100001311</t>
        </is>
      </c>
      <c r="D1315" s="78" t="n">
        <v>45859</v>
      </c>
      <c r="E1315" s="75" t="inlineStr">
        <is>
          <t>KR</t>
        </is>
      </c>
      <c r="F1315" s="75" t="n">
        <v>62301000</v>
      </c>
      <c r="G1315" s="75" t="n">
        <v>1801</v>
      </c>
      <c r="H1315" s="76" t="n">
        <v>388000</v>
      </c>
      <c r="I1315" s="75" t="inlineStr">
        <is>
          <t>7월 소모품 구입 - Q오피스</t>
        </is>
      </c>
      <c r="J1315" s="75" t="inlineStr">
        <is>
          <t>V10003</t>
        </is>
      </c>
      <c r="K1315" s="75" t="inlineStr">
        <is>
          <t>Q오피스</t>
        </is>
      </c>
      <c r="M1315" s="9">
        <f>IF($A1315="","",VALUE($A1315&amp;"")*12+VALUE($B1315&amp;""))</f>
        <v/>
      </c>
      <c r="N1315" s="39">
        <f>IF($A1315="","",IFERROR(INDEX(부서매핑!$C$5:$C$504,MATCH($G1315&amp;"",부서매핑!$A$5:$A$504,0)),"미매핑"))</f>
        <v/>
      </c>
      <c r="O1315" s="9">
        <f>IF($A1315="","",N1315&amp;"|"&amp;$F1315)</f>
        <v/>
      </c>
      <c r="P1315" s="77">
        <f>IF($A1315="",0,$H1315*설정!$C$23)</f>
        <v/>
      </c>
      <c r="Q1315" s="39">
        <f>IF($A1315="","",IF(O1315&lt;&gt;원인분석!$C$9,"",IF(AND(M1315&gt;=원인분석!$C$10,M1315&lt;=원인분석!$C$11),"당기",IF(AND(M1315&gt;=원인분석!$C$12,M1315&lt;=원인분석!$C$13),"비교",""))))</f>
        <v/>
      </c>
      <c r="R1315" s="9">
        <f>IF(Q1315="","",$K1315&amp;"")</f>
        <v/>
      </c>
      <c r="S1315" s="9">
        <f>IF(Q1315="","",IF(MATCH(R1315,$R$5:$R$100000,0)=ROW()-4,ROW(),""))</f>
        <v/>
      </c>
      <c r="T1315" s="9">
        <f>IF(Q1315="당기",ABS(P1315)+ROW()/1000000000,"")</f>
        <v/>
      </c>
      <c r="U1315" s="9">
        <f>IF(Q1315="비교",ABS(P1315)+ROW()/1000000000,"")</f>
        <v/>
      </c>
      <c r="V1315" s="39">
        <f>IF($A1315="","",IF(COUNTIF(변동분석!$E$7:$E$506,O1315)&gt;0,"Y","N"))</f>
        <v/>
      </c>
      <c r="W1315" s="39">
        <f>IF($A1315="","",IFERROR(INDEX(계정매핑!$D$5:$D$504,MATCH($F1315&amp;"",계정매핑!$A$5:$A$504,0)),"미매핑"))</f>
        <v/>
      </c>
      <c r="X1315" s="9">
        <f>IF($A1315="","",$F1315&amp;"")</f>
        <v/>
      </c>
    </row>
    <row r="1316">
      <c r="A1316" s="75" t="n">
        <v>2025</v>
      </c>
      <c r="B1316" s="75" t="n">
        <v>7</v>
      </c>
      <c r="C1316" s="75" t="inlineStr">
        <is>
          <t>5100001312</t>
        </is>
      </c>
      <c r="D1316" s="78" t="n">
        <v>45859</v>
      </c>
      <c r="E1316" s="75" t="inlineStr">
        <is>
          <t>KR</t>
        </is>
      </c>
      <c r="F1316" s="75" t="n">
        <v>62401000</v>
      </c>
      <c r="G1316" s="75" t="n">
        <v>1501</v>
      </c>
      <c r="H1316" s="76" t="n">
        <v>1361000</v>
      </c>
      <c r="I1316" s="75" t="inlineStr">
        <is>
          <t>7월 인쇄물 제작 - G인쇄</t>
        </is>
      </c>
      <c r="J1316" s="75" t="inlineStr">
        <is>
          <t>V10004</t>
        </is>
      </c>
      <c r="K1316" s="75" t="inlineStr">
        <is>
          <t>G인쇄</t>
        </is>
      </c>
      <c r="M1316" s="9">
        <f>IF($A1316="","",VALUE($A1316&amp;"")*12+VALUE($B1316&amp;""))</f>
        <v/>
      </c>
      <c r="N1316" s="39">
        <f>IF($A1316="","",IFERROR(INDEX(부서매핑!$C$5:$C$504,MATCH($G1316&amp;"",부서매핑!$A$5:$A$504,0)),"미매핑"))</f>
        <v/>
      </c>
      <c r="O1316" s="9">
        <f>IF($A1316="","",N1316&amp;"|"&amp;$F1316)</f>
        <v/>
      </c>
      <c r="P1316" s="77">
        <f>IF($A1316="",0,$H1316*설정!$C$23)</f>
        <v/>
      </c>
      <c r="Q1316" s="39">
        <f>IF($A1316="","",IF(O1316&lt;&gt;원인분석!$C$9,"",IF(AND(M1316&gt;=원인분석!$C$10,M1316&lt;=원인분석!$C$11),"당기",IF(AND(M1316&gt;=원인분석!$C$12,M1316&lt;=원인분석!$C$13),"비교",""))))</f>
        <v/>
      </c>
      <c r="R1316" s="9">
        <f>IF(Q1316="","",$K1316&amp;"")</f>
        <v/>
      </c>
      <c r="S1316" s="9">
        <f>IF(Q1316="","",IF(MATCH(R1316,$R$5:$R$100000,0)=ROW()-4,ROW(),""))</f>
        <v/>
      </c>
      <c r="T1316" s="9">
        <f>IF(Q1316="당기",ABS(P1316)+ROW()/1000000000,"")</f>
        <v/>
      </c>
      <c r="U1316" s="9">
        <f>IF(Q1316="비교",ABS(P1316)+ROW()/1000000000,"")</f>
        <v/>
      </c>
      <c r="V1316" s="39">
        <f>IF($A1316="","",IF(COUNTIF(변동분석!$E$7:$E$506,O1316)&gt;0,"Y","N"))</f>
        <v/>
      </c>
      <c r="W1316" s="39">
        <f>IF($A1316="","",IFERROR(INDEX(계정매핑!$D$5:$D$504,MATCH($F1316&amp;"",계정매핑!$A$5:$A$504,0)),"미매핑"))</f>
        <v/>
      </c>
      <c r="X1316" s="9">
        <f>IF($A1316="","",$F1316&amp;"")</f>
        <v/>
      </c>
    </row>
    <row r="1317">
      <c r="A1317" s="75" t="n">
        <v>2025</v>
      </c>
      <c r="B1317" s="75" t="n">
        <v>7</v>
      </c>
      <c r="C1317" s="75" t="inlineStr">
        <is>
          <t>5100001313</t>
        </is>
      </c>
      <c r="D1317" s="78" t="n">
        <v>45859</v>
      </c>
      <c r="E1317" s="75" t="inlineStr">
        <is>
          <t>KR</t>
        </is>
      </c>
      <c r="F1317" s="75" t="n">
        <v>62901000</v>
      </c>
      <c r="G1317" s="75" t="n">
        <v>1401</v>
      </c>
      <c r="H1317" s="76" t="n">
        <v>4347000</v>
      </c>
      <c r="I1317" s="75" t="inlineStr">
        <is>
          <t>7월 자문 수수료 - K회계법인</t>
        </is>
      </c>
      <c r="J1317" s="75" t="inlineStr">
        <is>
          <t>V10010</t>
        </is>
      </c>
      <c r="K1317" s="75" t="inlineStr">
        <is>
          <t>K회계법인</t>
        </is>
      </c>
      <c r="M1317" s="9">
        <f>IF($A1317="","",VALUE($A1317&amp;"")*12+VALUE($B1317&amp;""))</f>
        <v/>
      </c>
      <c r="N1317" s="39">
        <f>IF($A1317="","",IFERROR(INDEX(부서매핑!$C$5:$C$504,MATCH($G1317&amp;"",부서매핑!$A$5:$A$504,0)),"미매핑"))</f>
        <v/>
      </c>
      <c r="O1317" s="9">
        <f>IF($A1317="","",N1317&amp;"|"&amp;$F1317)</f>
        <v/>
      </c>
      <c r="P1317" s="77">
        <f>IF($A1317="",0,$H1317*설정!$C$23)</f>
        <v/>
      </c>
      <c r="Q1317" s="39">
        <f>IF($A1317="","",IF(O1317&lt;&gt;원인분석!$C$9,"",IF(AND(M1317&gt;=원인분석!$C$10,M1317&lt;=원인분석!$C$11),"당기",IF(AND(M1317&gt;=원인분석!$C$12,M1317&lt;=원인분석!$C$13),"비교",""))))</f>
        <v/>
      </c>
      <c r="R1317" s="9">
        <f>IF(Q1317="","",$K1317&amp;"")</f>
        <v/>
      </c>
      <c r="S1317" s="9">
        <f>IF(Q1317="","",IF(MATCH(R1317,$R$5:$R$100000,0)=ROW()-4,ROW(),""))</f>
        <v/>
      </c>
      <c r="T1317" s="9">
        <f>IF(Q1317="당기",ABS(P1317)+ROW()/1000000000,"")</f>
        <v/>
      </c>
      <c r="U1317" s="9">
        <f>IF(Q1317="비교",ABS(P1317)+ROW()/1000000000,"")</f>
        <v/>
      </c>
      <c r="V1317" s="39">
        <f>IF($A1317="","",IF(COUNTIF(변동분석!$E$7:$E$506,O1317)&gt;0,"Y","N"))</f>
        <v/>
      </c>
      <c r="W1317" s="39">
        <f>IF($A1317="","",IFERROR(INDEX(계정매핑!$D$5:$D$504,MATCH($F1317&amp;"",계정매핑!$A$5:$A$504,0)),"미매핑"))</f>
        <v/>
      </c>
      <c r="X1317" s="9">
        <f>IF($A1317="","",$F1317&amp;"")</f>
        <v/>
      </c>
    </row>
    <row r="1318">
      <c r="A1318" s="75" t="n">
        <v>2025</v>
      </c>
      <c r="B1318" s="75" t="n">
        <v>7</v>
      </c>
      <c r="C1318" s="75" t="inlineStr">
        <is>
          <t>5100001314</t>
        </is>
      </c>
      <c r="D1318" s="78" t="n">
        <v>45859</v>
      </c>
      <c r="E1318" s="75" t="inlineStr">
        <is>
          <t>KR</t>
        </is>
      </c>
      <c r="F1318" s="75" t="n">
        <v>62902000</v>
      </c>
      <c r="G1318" s="75" t="n">
        <v>1101</v>
      </c>
      <c r="H1318" s="76" t="n">
        <v>2596000</v>
      </c>
      <c r="I1318" s="75" t="inlineStr">
        <is>
          <t>7월 업무 위탁 수수료 - X서비스</t>
        </is>
      </c>
      <c r="J1318" s="75" t="inlineStr">
        <is>
          <t>V10016</t>
        </is>
      </c>
      <c r="K1318" s="75" t="inlineStr">
        <is>
          <t>X서비스</t>
        </is>
      </c>
      <c r="M1318" s="9">
        <f>IF($A1318="","",VALUE($A1318&amp;"")*12+VALUE($B1318&amp;""))</f>
        <v/>
      </c>
      <c r="N1318" s="39">
        <f>IF($A1318="","",IFERROR(INDEX(부서매핑!$C$5:$C$504,MATCH($G1318&amp;"",부서매핑!$A$5:$A$504,0)),"미매핑"))</f>
        <v/>
      </c>
      <c r="O1318" s="9">
        <f>IF($A1318="","",N1318&amp;"|"&amp;$F1318)</f>
        <v/>
      </c>
      <c r="P1318" s="77">
        <f>IF($A1318="",0,$H1318*설정!$C$23)</f>
        <v/>
      </c>
      <c r="Q1318" s="39">
        <f>IF($A1318="","",IF(O1318&lt;&gt;원인분석!$C$9,"",IF(AND(M1318&gt;=원인분석!$C$10,M1318&lt;=원인분석!$C$11),"당기",IF(AND(M1318&gt;=원인분석!$C$12,M1318&lt;=원인분석!$C$13),"비교",""))))</f>
        <v/>
      </c>
      <c r="R1318" s="9">
        <f>IF(Q1318="","",$K1318&amp;"")</f>
        <v/>
      </c>
      <c r="S1318" s="9">
        <f>IF(Q1318="","",IF(MATCH(R1318,$R$5:$R$100000,0)=ROW()-4,ROW(),""))</f>
        <v/>
      </c>
      <c r="T1318" s="9">
        <f>IF(Q1318="당기",ABS(P1318)+ROW()/1000000000,"")</f>
        <v/>
      </c>
      <c r="U1318" s="9">
        <f>IF(Q1318="비교",ABS(P1318)+ROW()/1000000000,"")</f>
        <v/>
      </c>
      <c r="V1318" s="39">
        <f>IF($A1318="","",IF(COUNTIF(변동분석!$E$7:$E$506,O1318)&gt;0,"Y","N"))</f>
        <v/>
      </c>
      <c r="W1318" s="39">
        <f>IF($A1318="","",IFERROR(INDEX(계정매핑!$D$5:$D$504,MATCH($F1318&amp;"",계정매핑!$A$5:$A$504,0)),"미매핑"))</f>
        <v/>
      </c>
      <c r="X1318" s="9">
        <f>IF($A1318="","",$F1318&amp;"")</f>
        <v/>
      </c>
    </row>
    <row r="1319">
      <c r="A1319" s="75" t="n">
        <v>2025</v>
      </c>
      <c r="B1319" s="75" t="n">
        <v>7</v>
      </c>
      <c r="C1319" s="75" t="inlineStr">
        <is>
          <t>5100001315</t>
        </is>
      </c>
      <c r="D1319" s="78" t="n">
        <v>45859</v>
      </c>
      <c r="E1319" s="75" t="inlineStr">
        <is>
          <t>KR</t>
        </is>
      </c>
      <c r="F1319" s="75" t="n">
        <v>62902000</v>
      </c>
      <c r="G1319" s="75" t="n">
        <v>1401</v>
      </c>
      <c r="H1319" s="76" t="n">
        <v>2742000</v>
      </c>
      <c r="I1319" s="75" t="inlineStr">
        <is>
          <t>7월 업무 위탁 수수료 - J콜센터</t>
        </is>
      </c>
      <c r="J1319" s="75" t="inlineStr">
        <is>
          <t>V10013</t>
        </is>
      </c>
      <c r="K1319" s="75" t="inlineStr">
        <is>
          <t>J콜센터</t>
        </is>
      </c>
      <c r="M1319" s="9">
        <f>IF($A1319="","",VALUE($A1319&amp;"")*12+VALUE($B1319&amp;""))</f>
        <v/>
      </c>
      <c r="N1319" s="39">
        <f>IF($A1319="","",IFERROR(INDEX(부서매핑!$C$5:$C$504,MATCH($G1319&amp;"",부서매핑!$A$5:$A$504,0)),"미매핑"))</f>
        <v/>
      </c>
      <c r="O1319" s="9">
        <f>IF($A1319="","",N1319&amp;"|"&amp;$F1319)</f>
        <v/>
      </c>
      <c r="P1319" s="77">
        <f>IF($A1319="",0,$H1319*설정!$C$23)</f>
        <v/>
      </c>
      <c r="Q1319" s="39">
        <f>IF($A1319="","",IF(O1319&lt;&gt;원인분석!$C$9,"",IF(AND(M1319&gt;=원인분석!$C$10,M1319&lt;=원인분석!$C$11),"당기",IF(AND(M1319&gt;=원인분석!$C$12,M1319&lt;=원인분석!$C$13),"비교",""))))</f>
        <v/>
      </c>
      <c r="R1319" s="9">
        <f>IF(Q1319="","",$K1319&amp;"")</f>
        <v/>
      </c>
      <c r="S1319" s="9">
        <f>IF(Q1319="","",IF(MATCH(R1319,$R$5:$R$100000,0)=ROW()-4,ROW(),""))</f>
        <v/>
      </c>
      <c r="T1319" s="9">
        <f>IF(Q1319="당기",ABS(P1319)+ROW()/1000000000,"")</f>
        <v/>
      </c>
      <c r="U1319" s="9">
        <f>IF(Q1319="비교",ABS(P1319)+ROW()/1000000000,"")</f>
        <v/>
      </c>
      <c r="V1319" s="39">
        <f>IF($A1319="","",IF(COUNTIF(변동분석!$E$7:$E$506,O1319)&gt;0,"Y","N"))</f>
        <v/>
      </c>
      <c r="W1319" s="39">
        <f>IF($A1319="","",IFERROR(INDEX(계정매핑!$D$5:$D$504,MATCH($F1319&amp;"",계정매핑!$A$5:$A$504,0)),"미매핑"))</f>
        <v/>
      </c>
      <c r="X1319" s="9">
        <f>IF($A1319="","",$F1319&amp;"")</f>
        <v/>
      </c>
    </row>
    <row r="1320">
      <c r="A1320" s="75" t="n">
        <v>2025</v>
      </c>
      <c r="B1320" s="75" t="n">
        <v>7</v>
      </c>
      <c r="C1320" s="75" t="inlineStr">
        <is>
          <t>5100001316</t>
        </is>
      </c>
      <c r="D1320" s="78" t="n">
        <v>45859</v>
      </c>
      <c r="E1320" s="75" t="inlineStr">
        <is>
          <t>KR</t>
        </is>
      </c>
      <c r="F1320" s="75" t="n">
        <v>63201000</v>
      </c>
      <c r="G1320" s="75" t="n">
        <v>1601</v>
      </c>
      <c r="H1320" s="76" t="n">
        <v>1784000</v>
      </c>
      <c r="I1320" s="75" t="inlineStr">
        <is>
          <t>7월 차량 유지 - H에너지</t>
        </is>
      </c>
      <c r="J1320" s="75" t="inlineStr">
        <is>
          <t>V10025</t>
        </is>
      </c>
      <c r="K1320" s="75" t="inlineStr">
        <is>
          <t>H에너지</t>
        </is>
      </c>
      <c r="M1320" s="9">
        <f>IF($A1320="","",VALUE($A1320&amp;"")*12+VALUE($B1320&amp;""))</f>
        <v/>
      </c>
      <c r="N1320" s="39">
        <f>IF($A1320="","",IFERROR(INDEX(부서매핑!$C$5:$C$504,MATCH($G1320&amp;"",부서매핑!$A$5:$A$504,0)),"미매핑"))</f>
        <v/>
      </c>
      <c r="O1320" s="9">
        <f>IF($A1320="","",N1320&amp;"|"&amp;$F1320)</f>
        <v/>
      </c>
      <c r="P1320" s="77">
        <f>IF($A1320="",0,$H1320*설정!$C$23)</f>
        <v/>
      </c>
      <c r="Q1320" s="39">
        <f>IF($A1320="","",IF(O1320&lt;&gt;원인분석!$C$9,"",IF(AND(M1320&gt;=원인분석!$C$10,M1320&lt;=원인분석!$C$11),"당기",IF(AND(M1320&gt;=원인분석!$C$12,M1320&lt;=원인분석!$C$13),"비교",""))))</f>
        <v/>
      </c>
      <c r="R1320" s="9">
        <f>IF(Q1320="","",$K1320&amp;"")</f>
        <v/>
      </c>
      <c r="S1320" s="9">
        <f>IF(Q1320="","",IF(MATCH(R1320,$R$5:$R$100000,0)=ROW()-4,ROW(),""))</f>
        <v/>
      </c>
      <c r="T1320" s="9">
        <f>IF(Q1320="당기",ABS(P1320)+ROW()/1000000000,"")</f>
        <v/>
      </c>
      <c r="U1320" s="9">
        <f>IF(Q1320="비교",ABS(P1320)+ROW()/1000000000,"")</f>
        <v/>
      </c>
      <c r="V1320" s="39">
        <f>IF($A1320="","",IF(COUNTIF(변동분석!$E$7:$E$506,O1320)&gt;0,"Y","N"))</f>
        <v/>
      </c>
      <c r="W1320" s="39">
        <f>IF($A1320="","",IFERROR(INDEX(계정매핑!$D$5:$D$504,MATCH($F1320&amp;"",계정매핑!$A$5:$A$504,0)),"미매핑"))</f>
        <v/>
      </c>
      <c r="X1320" s="9">
        <f>IF($A1320="","",$F1320&amp;"")</f>
        <v/>
      </c>
    </row>
    <row r="1321">
      <c r="A1321" s="75" t="n">
        <v>2025</v>
      </c>
      <c r="B1321" s="75" t="n">
        <v>7</v>
      </c>
      <c r="C1321" s="75" t="inlineStr">
        <is>
          <t>5100001317</t>
        </is>
      </c>
      <c r="D1321" s="78" t="n">
        <v>45860</v>
      </c>
      <c r="E1321" s="75" t="inlineStr">
        <is>
          <t>KR</t>
        </is>
      </c>
      <c r="F1321" s="75" t="n">
        <v>62102000</v>
      </c>
      <c r="G1321" s="75" t="n">
        <v>1401</v>
      </c>
      <c r="H1321" s="76" t="n">
        <v>98000</v>
      </c>
      <c r="I1321" s="75" t="inlineStr">
        <is>
          <t>7월 해외출장 - M항공</t>
        </is>
      </c>
      <c r="J1321" s="75" t="inlineStr">
        <is>
          <t>V10001</t>
        </is>
      </c>
      <c r="K1321" s="75" t="inlineStr">
        <is>
          <t>M항공</t>
        </is>
      </c>
      <c r="M1321" s="9">
        <f>IF($A1321="","",VALUE($A1321&amp;"")*12+VALUE($B1321&amp;""))</f>
        <v/>
      </c>
      <c r="N1321" s="39">
        <f>IF($A1321="","",IFERROR(INDEX(부서매핑!$C$5:$C$504,MATCH($G1321&amp;"",부서매핑!$A$5:$A$504,0)),"미매핑"))</f>
        <v/>
      </c>
      <c r="O1321" s="9">
        <f>IF($A1321="","",N1321&amp;"|"&amp;$F1321)</f>
        <v/>
      </c>
      <c r="P1321" s="77">
        <f>IF($A1321="",0,$H1321*설정!$C$23)</f>
        <v/>
      </c>
      <c r="Q1321" s="39">
        <f>IF($A1321="","",IF(O1321&lt;&gt;원인분석!$C$9,"",IF(AND(M1321&gt;=원인분석!$C$10,M1321&lt;=원인분석!$C$11),"당기",IF(AND(M1321&gt;=원인분석!$C$12,M1321&lt;=원인분석!$C$13),"비교",""))))</f>
        <v/>
      </c>
      <c r="R1321" s="9">
        <f>IF(Q1321="","",$K1321&amp;"")</f>
        <v/>
      </c>
      <c r="S1321" s="9">
        <f>IF(Q1321="","",IF(MATCH(R1321,$R$5:$R$100000,0)=ROW()-4,ROW(),""))</f>
        <v/>
      </c>
      <c r="T1321" s="9">
        <f>IF(Q1321="당기",ABS(P1321)+ROW()/1000000000,"")</f>
        <v/>
      </c>
      <c r="U1321" s="9">
        <f>IF(Q1321="비교",ABS(P1321)+ROW()/1000000000,"")</f>
        <v/>
      </c>
      <c r="V1321" s="39">
        <f>IF($A1321="","",IF(COUNTIF(변동분석!$E$7:$E$506,O1321)&gt;0,"Y","N"))</f>
        <v/>
      </c>
      <c r="W1321" s="39">
        <f>IF($A1321="","",IFERROR(INDEX(계정매핑!$D$5:$D$504,MATCH($F1321&amp;"",계정매핑!$A$5:$A$504,0)),"미매핑"))</f>
        <v/>
      </c>
      <c r="X1321" s="9">
        <f>IF($A1321="","",$F1321&amp;"")</f>
        <v/>
      </c>
    </row>
    <row r="1322">
      <c r="A1322" s="75" t="n">
        <v>2025</v>
      </c>
      <c r="B1322" s="75" t="n">
        <v>7</v>
      </c>
      <c r="C1322" s="75" t="inlineStr">
        <is>
          <t>5100001318</t>
        </is>
      </c>
      <c r="D1322" s="78" t="n">
        <v>45860</v>
      </c>
      <c r="E1322" s="75" t="inlineStr">
        <is>
          <t>KR</t>
        </is>
      </c>
      <c r="F1322" s="75" t="n">
        <v>62102000</v>
      </c>
      <c r="G1322" s="75" t="n">
        <v>1701</v>
      </c>
      <c r="H1322" s="76" t="n">
        <v>57000</v>
      </c>
      <c r="I1322" s="75" t="inlineStr">
        <is>
          <t>7월 해외출장 - M항공</t>
        </is>
      </c>
      <c r="J1322" s="75" t="inlineStr">
        <is>
          <t>V10001</t>
        </is>
      </c>
      <c r="K1322" s="75" t="inlineStr">
        <is>
          <t>M항공</t>
        </is>
      </c>
      <c r="M1322" s="9">
        <f>IF($A1322="","",VALUE($A1322&amp;"")*12+VALUE($B1322&amp;""))</f>
        <v/>
      </c>
      <c r="N1322" s="39">
        <f>IF($A1322="","",IFERROR(INDEX(부서매핑!$C$5:$C$504,MATCH($G1322&amp;"",부서매핑!$A$5:$A$504,0)),"미매핑"))</f>
        <v/>
      </c>
      <c r="O1322" s="9">
        <f>IF($A1322="","",N1322&amp;"|"&amp;$F1322)</f>
        <v/>
      </c>
      <c r="P1322" s="77">
        <f>IF($A1322="",0,$H1322*설정!$C$23)</f>
        <v/>
      </c>
      <c r="Q1322" s="39">
        <f>IF($A1322="","",IF(O1322&lt;&gt;원인분석!$C$9,"",IF(AND(M1322&gt;=원인분석!$C$10,M1322&lt;=원인분석!$C$11),"당기",IF(AND(M1322&gt;=원인분석!$C$12,M1322&lt;=원인분석!$C$13),"비교",""))))</f>
        <v/>
      </c>
      <c r="R1322" s="9">
        <f>IF(Q1322="","",$K1322&amp;"")</f>
        <v/>
      </c>
      <c r="S1322" s="9">
        <f>IF(Q1322="","",IF(MATCH(R1322,$R$5:$R$100000,0)=ROW()-4,ROW(),""))</f>
        <v/>
      </c>
      <c r="T1322" s="9">
        <f>IF(Q1322="당기",ABS(P1322)+ROW()/1000000000,"")</f>
        <v/>
      </c>
      <c r="U1322" s="9">
        <f>IF(Q1322="비교",ABS(P1322)+ROW()/1000000000,"")</f>
        <v/>
      </c>
      <c r="V1322" s="39">
        <f>IF($A1322="","",IF(COUNTIF(변동분석!$E$7:$E$506,O1322)&gt;0,"Y","N"))</f>
        <v/>
      </c>
      <c r="W1322" s="39">
        <f>IF($A1322="","",IFERROR(INDEX(계정매핑!$D$5:$D$504,MATCH($F1322&amp;"",계정매핑!$A$5:$A$504,0)),"미매핑"))</f>
        <v/>
      </c>
      <c r="X1322" s="9">
        <f>IF($A1322="","",$F1322&amp;"")</f>
        <v/>
      </c>
    </row>
    <row r="1323">
      <c r="A1323" s="75" t="n">
        <v>2025</v>
      </c>
      <c r="B1323" s="75" t="n">
        <v>7</v>
      </c>
      <c r="C1323" s="75" t="inlineStr">
        <is>
          <t>5100001319</t>
        </is>
      </c>
      <c r="D1323" s="78" t="n">
        <v>45860</v>
      </c>
      <c r="E1323" s="75" t="inlineStr">
        <is>
          <t>KR</t>
        </is>
      </c>
      <c r="F1323" s="75" t="n">
        <v>62201000</v>
      </c>
      <c r="G1323" s="75" t="n">
        <v>1601</v>
      </c>
      <c r="H1323" s="76" t="n">
        <v>743000</v>
      </c>
      <c r="I1323" s="75" t="inlineStr">
        <is>
          <t>7월 통신요금 - O텔레콤</t>
        </is>
      </c>
      <c r="J1323" s="75" t="inlineStr">
        <is>
          <t>V10002</t>
        </is>
      </c>
      <c r="K1323" s="75" t="inlineStr">
        <is>
          <t>O텔레콤</t>
        </is>
      </c>
      <c r="M1323" s="9">
        <f>IF($A1323="","",VALUE($A1323&amp;"")*12+VALUE($B1323&amp;""))</f>
        <v/>
      </c>
      <c r="N1323" s="39">
        <f>IF($A1323="","",IFERROR(INDEX(부서매핑!$C$5:$C$504,MATCH($G1323&amp;"",부서매핑!$A$5:$A$504,0)),"미매핑"))</f>
        <v/>
      </c>
      <c r="O1323" s="9">
        <f>IF($A1323="","",N1323&amp;"|"&amp;$F1323)</f>
        <v/>
      </c>
      <c r="P1323" s="77">
        <f>IF($A1323="",0,$H1323*설정!$C$23)</f>
        <v/>
      </c>
      <c r="Q1323" s="39">
        <f>IF($A1323="","",IF(O1323&lt;&gt;원인분석!$C$9,"",IF(AND(M1323&gt;=원인분석!$C$10,M1323&lt;=원인분석!$C$11),"당기",IF(AND(M1323&gt;=원인분석!$C$12,M1323&lt;=원인분석!$C$13),"비교",""))))</f>
        <v/>
      </c>
      <c r="R1323" s="9">
        <f>IF(Q1323="","",$K1323&amp;"")</f>
        <v/>
      </c>
      <c r="S1323" s="9">
        <f>IF(Q1323="","",IF(MATCH(R1323,$R$5:$R$100000,0)=ROW()-4,ROW(),""))</f>
        <v/>
      </c>
      <c r="T1323" s="9">
        <f>IF(Q1323="당기",ABS(P1323)+ROW()/1000000000,"")</f>
        <v/>
      </c>
      <c r="U1323" s="9">
        <f>IF(Q1323="비교",ABS(P1323)+ROW()/1000000000,"")</f>
        <v/>
      </c>
      <c r="V1323" s="39">
        <f>IF($A1323="","",IF(COUNTIF(변동분석!$E$7:$E$506,O1323)&gt;0,"Y","N"))</f>
        <v/>
      </c>
      <c r="W1323" s="39">
        <f>IF($A1323="","",IFERROR(INDEX(계정매핑!$D$5:$D$504,MATCH($F1323&amp;"",계정매핑!$A$5:$A$504,0)),"미매핑"))</f>
        <v/>
      </c>
      <c r="X1323" s="9">
        <f>IF($A1323="","",$F1323&amp;"")</f>
        <v/>
      </c>
    </row>
    <row r="1324">
      <c r="A1324" s="75" t="n">
        <v>2025</v>
      </c>
      <c r="B1324" s="75" t="n">
        <v>7</v>
      </c>
      <c r="C1324" s="75" t="inlineStr">
        <is>
          <t>5100001320</t>
        </is>
      </c>
      <c r="D1324" s="78" t="n">
        <v>45860</v>
      </c>
      <c r="E1324" s="75" t="inlineStr">
        <is>
          <t>KR</t>
        </is>
      </c>
      <c r="F1324" s="75" t="n">
        <v>62301000</v>
      </c>
      <c r="G1324" s="75" t="n">
        <v>1701</v>
      </c>
      <c r="H1324" s="76" t="n">
        <v>377000</v>
      </c>
      <c r="I1324" s="75" t="inlineStr">
        <is>
          <t>7월 소모품 구입 - Q오피스</t>
        </is>
      </c>
      <c r="J1324" s="75" t="inlineStr">
        <is>
          <t>V10003</t>
        </is>
      </c>
      <c r="K1324" s="75" t="inlineStr">
        <is>
          <t>Q오피스</t>
        </is>
      </c>
      <c r="M1324" s="9">
        <f>IF($A1324="","",VALUE($A1324&amp;"")*12+VALUE($B1324&amp;""))</f>
        <v/>
      </c>
      <c r="N1324" s="39">
        <f>IF($A1324="","",IFERROR(INDEX(부서매핑!$C$5:$C$504,MATCH($G1324&amp;"",부서매핑!$A$5:$A$504,0)),"미매핑"))</f>
        <v/>
      </c>
      <c r="O1324" s="9">
        <f>IF($A1324="","",N1324&amp;"|"&amp;$F1324)</f>
        <v/>
      </c>
      <c r="P1324" s="77">
        <f>IF($A1324="",0,$H1324*설정!$C$23)</f>
        <v/>
      </c>
      <c r="Q1324" s="39">
        <f>IF($A1324="","",IF(O1324&lt;&gt;원인분석!$C$9,"",IF(AND(M1324&gt;=원인분석!$C$10,M1324&lt;=원인분석!$C$11),"당기",IF(AND(M1324&gt;=원인분석!$C$12,M1324&lt;=원인분석!$C$13),"비교",""))))</f>
        <v/>
      </c>
      <c r="R1324" s="9">
        <f>IF(Q1324="","",$K1324&amp;"")</f>
        <v/>
      </c>
      <c r="S1324" s="9">
        <f>IF(Q1324="","",IF(MATCH(R1324,$R$5:$R$100000,0)=ROW()-4,ROW(),""))</f>
        <v/>
      </c>
      <c r="T1324" s="9">
        <f>IF(Q1324="당기",ABS(P1324)+ROW()/1000000000,"")</f>
        <v/>
      </c>
      <c r="U1324" s="9">
        <f>IF(Q1324="비교",ABS(P1324)+ROW()/1000000000,"")</f>
        <v/>
      </c>
      <c r="V1324" s="39">
        <f>IF($A1324="","",IF(COUNTIF(변동분석!$E$7:$E$506,O1324)&gt;0,"Y","N"))</f>
        <v/>
      </c>
      <c r="W1324" s="39">
        <f>IF($A1324="","",IFERROR(INDEX(계정매핑!$D$5:$D$504,MATCH($F1324&amp;"",계정매핑!$A$5:$A$504,0)),"미매핑"))</f>
        <v/>
      </c>
      <c r="X1324" s="9">
        <f>IF($A1324="","",$F1324&amp;"")</f>
        <v/>
      </c>
    </row>
    <row r="1325">
      <c r="A1325" s="75" t="n">
        <v>2025</v>
      </c>
      <c r="B1325" s="75" t="n">
        <v>7</v>
      </c>
      <c r="C1325" s="75" t="inlineStr">
        <is>
          <t>5100001321</t>
        </is>
      </c>
      <c r="D1325" s="78" t="n">
        <v>45860</v>
      </c>
      <c r="E1325" s="75" t="inlineStr">
        <is>
          <t>KR</t>
        </is>
      </c>
      <c r="F1325" s="75" t="n">
        <v>62501000</v>
      </c>
      <c r="G1325" s="75" t="n">
        <v>1301</v>
      </c>
      <c r="H1325" s="76" t="n">
        <v>140000</v>
      </c>
      <c r="I1325" s="75" t="inlineStr">
        <is>
          <t>7월 회의 다과 - T케이터링</t>
        </is>
      </c>
      <c r="J1325" s="75" t="inlineStr">
        <is>
          <t>V10005</t>
        </is>
      </c>
      <c r="K1325" s="75" t="inlineStr">
        <is>
          <t>T케이터링</t>
        </is>
      </c>
      <c r="M1325" s="9">
        <f>IF($A1325="","",VALUE($A1325&amp;"")*12+VALUE($B1325&amp;""))</f>
        <v/>
      </c>
      <c r="N1325" s="39">
        <f>IF($A1325="","",IFERROR(INDEX(부서매핑!$C$5:$C$504,MATCH($G1325&amp;"",부서매핑!$A$5:$A$504,0)),"미매핑"))</f>
        <v/>
      </c>
      <c r="O1325" s="9">
        <f>IF($A1325="","",N1325&amp;"|"&amp;$F1325)</f>
        <v/>
      </c>
      <c r="P1325" s="77">
        <f>IF($A1325="",0,$H1325*설정!$C$23)</f>
        <v/>
      </c>
      <c r="Q1325" s="39">
        <f>IF($A1325="","",IF(O1325&lt;&gt;원인분석!$C$9,"",IF(AND(M1325&gt;=원인분석!$C$10,M1325&lt;=원인분석!$C$11),"당기",IF(AND(M1325&gt;=원인분석!$C$12,M1325&lt;=원인분석!$C$13),"비교",""))))</f>
        <v/>
      </c>
      <c r="R1325" s="9">
        <f>IF(Q1325="","",$K1325&amp;"")</f>
        <v/>
      </c>
      <c r="S1325" s="9">
        <f>IF(Q1325="","",IF(MATCH(R1325,$R$5:$R$100000,0)=ROW()-4,ROW(),""))</f>
        <v/>
      </c>
      <c r="T1325" s="9">
        <f>IF(Q1325="당기",ABS(P1325)+ROW()/1000000000,"")</f>
        <v/>
      </c>
      <c r="U1325" s="9">
        <f>IF(Q1325="비교",ABS(P1325)+ROW()/1000000000,"")</f>
        <v/>
      </c>
      <c r="V1325" s="39">
        <f>IF($A1325="","",IF(COUNTIF(변동분석!$E$7:$E$506,O1325)&gt;0,"Y","N"))</f>
        <v/>
      </c>
      <c r="W1325" s="39">
        <f>IF($A1325="","",IFERROR(INDEX(계정매핑!$D$5:$D$504,MATCH($F1325&amp;"",계정매핑!$A$5:$A$504,0)),"미매핑"))</f>
        <v/>
      </c>
      <c r="X1325" s="9">
        <f>IF($A1325="","",$F1325&amp;"")</f>
        <v/>
      </c>
    </row>
    <row r="1326">
      <c r="A1326" s="75" t="n">
        <v>2025</v>
      </c>
      <c r="B1326" s="75" t="n">
        <v>7</v>
      </c>
      <c r="C1326" s="75" t="inlineStr">
        <is>
          <t>5100001322</t>
        </is>
      </c>
      <c r="D1326" s="78" t="n">
        <v>45860</v>
      </c>
      <c r="E1326" s="75" t="inlineStr">
        <is>
          <t>KR</t>
        </is>
      </c>
      <c r="F1326" s="75" t="n">
        <v>62501000</v>
      </c>
      <c r="G1326" s="75" t="n">
        <v>1801</v>
      </c>
      <c r="H1326" s="76" t="n">
        <v>228000</v>
      </c>
      <c r="I1326" s="75" t="inlineStr">
        <is>
          <t>7월 회의 다과 - (법인카드)</t>
        </is>
      </c>
      <c r="J1326" s="75" t="inlineStr">
        <is>
          <t>V10008</t>
        </is>
      </c>
      <c r="K1326" s="75" t="inlineStr">
        <is>
          <t>(법인카드)</t>
        </is>
      </c>
      <c r="M1326" s="9">
        <f>IF($A1326="","",VALUE($A1326&amp;"")*12+VALUE($B1326&amp;""))</f>
        <v/>
      </c>
      <c r="N1326" s="39">
        <f>IF($A1326="","",IFERROR(INDEX(부서매핑!$C$5:$C$504,MATCH($G1326&amp;"",부서매핑!$A$5:$A$504,0)),"미매핑"))</f>
        <v/>
      </c>
      <c r="O1326" s="9">
        <f>IF($A1326="","",N1326&amp;"|"&amp;$F1326)</f>
        <v/>
      </c>
      <c r="P1326" s="77">
        <f>IF($A1326="",0,$H1326*설정!$C$23)</f>
        <v/>
      </c>
      <c r="Q1326" s="39">
        <f>IF($A1326="","",IF(O1326&lt;&gt;원인분석!$C$9,"",IF(AND(M1326&gt;=원인분석!$C$10,M1326&lt;=원인분석!$C$11),"당기",IF(AND(M1326&gt;=원인분석!$C$12,M1326&lt;=원인분석!$C$13),"비교",""))))</f>
        <v/>
      </c>
      <c r="R1326" s="9">
        <f>IF(Q1326="","",$K1326&amp;"")</f>
        <v/>
      </c>
      <c r="S1326" s="9">
        <f>IF(Q1326="","",IF(MATCH(R1326,$R$5:$R$100000,0)=ROW()-4,ROW(),""))</f>
        <v/>
      </c>
      <c r="T1326" s="9">
        <f>IF(Q1326="당기",ABS(P1326)+ROW()/1000000000,"")</f>
        <v/>
      </c>
      <c r="U1326" s="9">
        <f>IF(Q1326="비교",ABS(P1326)+ROW()/1000000000,"")</f>
        <v/>
      </c>
      <c r="V1326" s="39">
        <f>IF($A1326="","",IF(COUNTIF(변동분석!$E$7:$E$506,O1326)&gt;0,"Y","N"))</f>
        <v/>
      </c>
      <c r="W1326" s="39">
        <f>IF($A1326="","",IFERROR(INDEX(계정매핑!$D$5:$D$504,MATCH($F1326&amp;"",계정매핑!$A$5:$A$504,0)),"미매핑"))</f>
        <v/>
      </c>
      <c r="X1326" s="9">
        <f>IF($A1326="","",$F1326&amp;"")</f>
        <v/>
      </c>
    </row>
    <row r="1327">
      <c r="A1327" s="75" t="n">
        <v>2025</v>
      </c>
      <c r="B1327" s="75" t="n">
        <v>7</v>
      </c>
      <c r="C1327" s="75" t="inlineStr">
        <is>
          <t>5100001323</t>
        </is>
      </c>
      <c r="D1327" s="78" t="n">
        <v>45860</v>
      </c>
      <c r="E1327" s="75" t="inlineStr">
        <is>
          <t>KR</t>
        </is>
      </c>
      <c r="F1327" s="75" t="n">
        <v>62901000</v>
      </c>
      <c r="G1327" s="75" t="n">
        <v>1201</v>
      </c>
      <c r="H1327" s="76" t="n">
        <v>4285000</v>
      </c>
      <c r="I1327" s="75" t="inlineStr">
        <is>
          <t>7월 자문 수수료 - W컨설팅</t>
        </is>
      </c>
      <c r="J1327" s="75" t="inlineStr">
        <is>
          <t>V10009</t>
        </is>
      </c>
      <c r="K1327" s="75" t="inlineStr">
        <is>
          <t>W컨설팅</t>
        </is>
      </c>
      <c r="M1327" s="9">
        <f>IF($A1327="","",VALUE($A1327&amp;"")*12+VALUE($B1327&amp;""))</f>
        <v/>
      </c>
      <c r="N1327" s="39">
        <f>IF($A1327="","",IFERROR(INDEX(부서매핑!$C$5:$C$504,MATCH($G1327&amp;"",부서매핑!$A$5:$A$504,0)),"미매핑"))</f>
        <v/>
      </c>
      <c r="O1327" s="9">
        <f>IF($A1327="","",N1327&amp;"|"&amp;$F1327)</f>
        <v/>
      </c>
      <c r="P1327" s="77">
        <f>IF($A1327="",0,$H1327*설정!$C$23)</f>
        <v/>
      </c>
      <c r="Q1327" s="39">
        <f>IF($A1327="","",IF(O1327&lt;&gt;원인분석!$C$9,"",IF(AND(M1327&gt;=원인분석!$C$10,M1327&lt;=원인분석!$C$11),"당기",IF(AND(M1327&gt;=원인분석!$C$12,M1327&lt;=원인분석!$C$13),"비교",""))))</f>
        <v/>
      </c>
      <c r="R1327" s="9">
        <f>IF(Q1327="","",$K1327&amp;"")</f>
        <v/>
      </c>
      <c r="S1327" s="9">
        <f>IF(Q1327="","",IF(MATCH(R1327,$R$5:$R$100000,0)=ROW()-4,ROW(),""))</f>
        <v/>
      </c>
      <c r="T1327" s="9">
        <f>IF(Q1327="당기",ABS(P1327)+ROW()/1000000000,"")</f>
        <v/>
      </c>
      <c r="U1327" s="9">
        <f>IF(Q1327="비교",ABS(P1327)+ROW()/1000000000,"")</f>
        <v/>
      </c>
      <c r="V1327" s="39">
        <f>IF($A1327="","",IF(COUNTIF(변동분석!$E$7:$E$506,O1327)&gt;0,"Y","N"))</f>
        <v/>
      </c>
      <c r="W1327" s="39">
        <f>IF($A1327="","",IFERROR(INDEX(계정매핑!$D$5:$D$504,MATCH($F1327&amp;"",계정매핑!$A$5:$A$504,0)),"미매핑"))</f>
        <v/>
      </c>
      <c r="X1327" s="9">
        <f>IF($A1327="","",$F1327&amp;"")</f>
        <v/>
      </c>
    </row>
    <row r="1328">
      <c r="A1328" s="75" t="n">
        <v>2025</v>
      </c>
      <c r="B1328" s="75" t="n">
        <v>7</v>
      </c>
      <c r="C1328" s="75" t="inlineStr">
        <is>
          <t>5100001324</t>
        </is>
      </c>
      <c r="D1328" s="78" t="n">
        <v>45861</v>
      </c>
      <c r="E1328" s="75" t="inlineStr">
        <is>
          <t>KR</t>
        </is>
      </c>
      <c r="F1328" s="75" t="n">
        <v>62101000</v>
      </c>
      <c r="G1328" s="75" t="n">
        <v>1501</v>
      </c>
      <c r="H1328" s="76" t="n">
        <v>539000</v>
      </c>
      <c r="I1328" s="75" t="inlineStr">
        <is>
          <t>7월 국내출장 - L여행사</t>
        </is>
      </c>
      <c r="J1328" s="75" t="inlineStr">
        <is>
          <t>V10014</t>
        </is>
      </c>
      <c r="K1328" s="75" t="inlineStr">
        <is>
          <t>L여행사</t>
        </is>
      </c>
      <c r="M1328" s="9">
        <f>IF($A1328="","",VALUE($A1328&amp;"")*12+VALUE($B1328&amp;""))</f>
        <v/>
      </c>
      <c r="N1328" s="39">
        <f>IF($A1328="","",IFERROR(INDEX(부서매핑!$C$5:$C$504,MATCH($G1328&amp;"",부서매핑!$A$5:$A$504,0)),"미매핑"))</f>
        <v/>
      </c>
      <c r="O1328" s="9">
        <f>IF($A1328="","",N1328&amp;"|"&amp;$F1328)</f>
        <v/>
      </c>
      <c r="P1328" s="77">
        <f>IF($A1328="",0,$H1328*설정!$C$23)</f>
        <v/>
      </c>
      <c r="Q1328" s="39">
        <f>IF($A1328="","",IF(O1328&lt;&gt;원인분석!$C$9,"",IF(AND(M1328&gt;=원인분석!$C$10,M1328&lt;=원인분석!$C$11),"당기",IF(AND(M1328&gt;=원인분석!$C$12,M1328&lt;=원인분석!$C$13),"비교",""))))</f>
        <v/>
      </c>
      <c r="R1328" s="9">
        <f>IF(Q1328="","",$K1328&amp;"")</f>
        <v/>
      </c>
      <c r="S1328" s="9">
        <f>IF(Q1328="","",IF(MATCH(R1328,$R$5:$R$100000,0)=ROW()-4,ROW(),""))</f>
        <v/>
      </c>
      <c r="T1328" s="9">
        <f>IF(Q1328="당기",ABS(P1328)+ROW()/1000000000,"")</f>
        <v/>
      </c>
      <c r="U1328" s="9">
        <f>IF(Q1328="비교",ABS(P1328)+ROW()/1000000000,"")</f>
        <v/>
      </c>
      <c r="V1328" s="39">
        <f>IF($A1328="","",IF(COUNTIF(변동분석!$E$7:$E$506,O1328)&gt;0,"Y","N"))</f>
        <v/>
      </c>
      <c r="W1328" s="39">
        <f>IF($A1328="","",IFERROR(INDEX(계정매핑!$D$5:$D$504,MATCH($F1328&amp;"",계정매핑!$A$5:$A$504,0)),"미매핑"))</f>
        <v/>
      </c>
      <c r="X1328" s="9">
        <f>IF($A1328="","",$F1328&amp;"")</f>
        <v/>
      </c>
    </row>
    <row r="1329">
      <c r="A1329" s="75" t="n">
        <v>2025</v>
      </c>
      <c r="B1329" s="75" t="n">
        <v>7</v>
      </c>
      <c r="C1329" s="75" t="inlineStr">
        <is>
          <t>5100001325</t>
        </is>
      </c>
      <c r="D1329" s="78" t="n">
        <v>45861</v>
      </c>
      <c r="E1329" s="75" t="inlineStr">
        <is>
          <t>KR</t>
        </is>
      </c>
      <c r="F1329" s="75" t="n">
        <v>62102000</v>
      </c>
      <c r="G1329" s="75" t="n">
        <v>1301</v>
      </c>
      <c r="H1329" s="76" t="n">
        <v>64000</v>
      </c>
      <c r="I1329" s="75" t="inlineStr">
        <is>
          <t>7월 해외출장 - M항공</t>
        </is>
      </c>
      <c r="J1329" s="75" t="inlineStr">
        <is>
          <t>V10001</t>
        </is>
      </c>
      <c r="K1329" s="75" t="inlineStr">
        <is>
          <t>M항공</t>
        </is>
      </c>
      <c r="M1329" s="9">
        <f>IF($A1329="","",VALUE($A1329&amp;"")*12+VALUE($B1329&amp;""))</f>
        <v/>
      </c>
      <c r="N1329" s="39">
        <f>IF($A1329="","",IFERROR(INDEX(부서매핑!$C$5:$C$504,MATCH($G1329&amp;"",부서매핑!$A$5:$A$504,0)),"미매핑"))</f>
        <v/>
      </c>
      <c r="O1329" s="9">
        <f>IF($A1329="","",N1329&amp;"|"&amp;$F1329)</f>
        <v/>
      </c>
      <c r="P1329" s="77">
        <f>IF($A1329="",0,$H1329*설정!$C$23)</f>
        <v/>
      </c>
      <c r="Q1329" s="39">
        <f>IF($A1329="","",IF(O1329&lt;&gt;원인분석!$C$9,"",IF(AND(M1329&gt;=원인분석!$C$10,M1329&lt;=원인분석!$C$11),"당기",IF(AND(M1329&gt;=원인분석!$C$12,M1329&lt;=원인분석!$C$13),"비교",""))))</f>
        <v/>
      </c>
      <c r="R1329" s="9">
        <f>IF(Q1329="","",$K1329&amp;"")</f>
        <v/>
      </c>
      <c r="S1329" s="9">
        <f>IF(Q1329="","",IF(MATCH(R1329,$R$5:$R$100000,0)=ROW()-4,ROW(),""))</f>
        <v/>
      </c>
      <c r="T1329" s="9">
        <f>IF(Q1329="당기",ABS(P1329)+ROW()/1000000000,"")</f>
        <v/>
      </c>
      <c r="U1329" s="9">
        <f>IF(Q1329="비교",ABS(P1329)+ROW()/1000000000,"")</f>
        <v/>
      </c>
      <c r="V1329" s="39">
        <f>IF($A1329="","",IF(COUNTIF(변동분석!$E$7:$E$506,O1329)&gt;0,"Y","N"))</f>
        <v/>
      </c>
      <c r="W1329" s="39">
        <f>IF($A1329="","",IFERROR(INDEX(계정매핑!$D$5:$D$504,MATCH($F1329&amp;"",계정매핑!$A$5:$A$504,0)),"미매핑"))</f>
        <v/>
      </c>
      <c r="X1329" s="9">
        <f>IF($A1329="","",$F1329&amp;"")</f>
        <v/>
      </c>
    </row>
    <row r="1330">
      <c r="A1330" s="75" t="n">
        <v>2025</v>
      </c>
      <c r="B1330" s="75" t="n">
        <v>7</v>
      </c>
      <c r="C1330" s="75" t="inlineStr">
        <is>
          <t>5100001326</t>
        </is>
      </c>
      <c r="D1330" s="78" t="n">
        <v>45861</v>
      </c>
      <c r="E1330" s="75" t="inlineStr">
        <is>
          <t>KR</t>
        </is>
      </c>
      <c r="F1330" s="75" t="n">
        <v>62102000</v>
      </c>
      <c r="G1330" s="75" t="n">
        <v>1301</v>
      </c>
      <c r="H1330" s="76" t="n">
        <v>81000</v>
      </c>
      <c r="I1330" s="75" t="inlineStr">
        <is>
          <t>7월 해외출장 - N호텔</t>
        </is>
      </c>
      <c r="J1330" s="75" t="inlineStr">
        <is>
          <t>V10007</t>
        </is>
      </c>
      <c r="K1330" s="75" t="inlineStr">
        <is>
          <t>N호텔</t>
        </is>
      </c>
      <c r="M1330" s="9">
        <f>IF($A1330="","",VALUE($A1330&amp;"")*12+VALUE($B1330&amp;""))</f>
        <v/>
      </c>
      <c r="N1330" s="39">
        <f>IF($A1330="","",IFERROR(INDEX(부서매핑!$C$5:$C$504,MATCH($G1330&amp;"",부서매핑!$A$5:$A$504,0)),"미매핑"))</f>
        <v/>
      </c>
      <c r="O1330" s="9">
        <f>IF($A1330="","",N1330&amp;"|"&amp;$F1330)</f>
        <v/>
      </c>
      <c r="P1330" s="77">
        <f>IF($A1330="",0,$H1330*설정!$C$23)</f>
        <v/>
      </c>
      <c r="Q1330" s="39">
        <f>IF($A1330="","",IF(O1330&lt;&gt;원인분석!$C$9,"",IF(AND(M1330&gt;=원인분석!$C$10,M1330&lt;=원인분석!$C$11),"당기",IF(AND(M1330&gt;=원인분석!$C$12,M1330&lt;=원인분석!$C$13),"비교",""))))</f>
        <v/>
      </c>
      <c r="R1330" s="9">
        <f>IF(Q1330="","",$K1330&amp;"")</f>
        <v/>
      </c>
      <c r="S1330" s="9">
        <f>IF(Q1330="","",IF(MATCH(R1330,$R$5:$R$100000,0)=ROW()-4,ROW(),""))</f>
        <v/>
      </c>
      <c r="T1330" s="9">
        <f>IF(Q1330="당기",ABS(P1330)+ROW()/1000000000,"")</f>
        <v/>
      </c>
      <c r="U1330" s="9">
        <f>IF(Q1330="비교",ABS(P1330)+ROW()/1000000000,"")</f>
        <v/>
      </c>
      <c r="V1330" s="39">
        <f>IF($A1330="","",IF(COUNTIF(변동분석!$E$7:$E$506,O1330)&gt;0,"Y","N"))</f>
        <v/>
      </c>
      <c r="W1330" s="39">
        <f>IF($A1330="","",IFERROR(INDEX(계정매핑!$D$5:$D$504,MATCH($F1330&amp;"",계정매핑!$A$5:$A$504,0)),"미매핑"))</f>
        <v/>
      </c>
      <c r="X1330" s="9">
        <f>IF($A1330="","",$F1330&amp;"")</f>
        <v/>
      </c>
    </row>
    <row r="1331">
      <c r="A1331" s="75" t="n">
        <v>2025</v>
      </c>
      <c r="B1331" s="75" t="n">
        <v>7</v>
      </c>
      <c r="C1331" s="75" t="inlineStr">
        <is>
          <t>5100001327</t>
        </is>
      </c>
      <c r="D1331" s="78" t="n">
        <v>45861</v>
      </c>
      <c r="E1331" s="75" t="inlineStr">
        <is>
          <t>KR</t>
        </is>
      </c>
      <c r="F1331" s="75" t="n">
        <v>62301000</v>
      </c>
      <c r="G1331" s="75" t="n">
        <v>1501</v>
      </c>
      <c r="H1331" s="76" t="n">
        <v>111000</v>
      </c>
      <c r="I1331" s="75" t="inlineStr">
        <is>
          <t>7월 소모품 구입 - Q오피스</t>
        </is>
      </c>
      <c r="J1331" s="75" t="inlineStr">
        <is>
          <t>V10003</t>
        </is>
      </c>
      <c r="K1331" s="75" t="inlineStr">
        <is>
          <t>Q오피스</t>
        </is>
      </c>
      <c r="M1331" s="9">
        <f>IF($A1331="","",VALUE($A1331&amp;"")*12+VALUE($B1331&amp;""))</f>
        <v/>
      </c>
      <c r="N1331" s="39">
        <f>IF($A1331="","",IFERROR(INDEX(부서매핑!$C$5:$C$504,MATCH($G1331&amp;"",부서매핑!$A$5:$A$504,0)),"미매핑"))</f>
        <v/>
      </c>
      <c r="O1331" s="9">
        <f>IF($A1331="","",N1331&amp;"|"&amp;$F1331)</f>
        <v/>
      </c>
      <c r="P1331" s="77">
        <f>IF($A1331="",0,$H1331*설정!$C$23)</f>
        <v/>
      </c>
      <c r="Q1331" s="39">
        <f>IF($A1331="","",IF(O1331&lt;&gt;원인분석!$C$9,"",IF(AND(M1331&gt;=원인분석!$C$10,M1331&lt;=원인분석!$C$11),"당기",IF(AND(M1331&gt;=원인분석!$C$12,M1331&lt;=원인분석!$C$13),"비교",""))))</f>
        <v/>
      </c>
      <c r="R1331" s="9">
        <f>IF(Q1331="","",$K1331&amp;"")</f>
        <v/>
      </c>
      <c r="S1331" s="9">
        <f>IF(Q1331="","",IF(MATCH(R1331,$R$5:$R$100000,0)=ROW()-4,ROW(),""))</f>
        <v/>
      </c>
      <c r="T1331" s="9">
        <f>IF(Q1331="당기",ABS(P1331)+ROW()/1000000000,"")</f>
        <v/>
      </c>
      <c r="U1331" s="9">
        <f>IF(Q1331="비교",ABS(P1331)+ROW()/1000000000,"")</f>
        <v/>
      </c>
      <c r="V1331" s="39">
        <f>IF($A1331="","",IF(COUNTIF(변동분석!$E$7:$E$506,O1331)&gt;0,"Y","N"))</f>
        <v/>
      </c>
      <c r="W1331" s="39">
        <f>IF($A1331="","",IFERROR(INDEX(계정매핑!$D$5:$D$504,MATCH($F1331&amp;"",계정매핑!$A$5:$A$504,0)),"미매핑"))</f>
        <v/>
      </c>
      <c r="X1331" s="9">
        <f>IF($A1331="","",$F1331&amp;"")</f>
        <v/>
      </c>
    </row>
    <row r="1332">
      <c r="A1332" s="75" t="n">
        <v>2025</v>
      </c>
      <c r="B1332" s="75" t="n">
        <v>7</v>
      </c>
      <c r="C1332" s="75" t="inlineStr">
        <is>
          <t>5100001328</t>
        </is>
      </c>
      <c r="D1332" s="78" t="n">
        <v>45861</v>
      </c>
      <c r="E1332" s="75" t="inlineStr">
        <is>
          <t>KR</t>
        </is>
      </c>
      <c r="F1332" s="75" t="n">
        <v>62401000</v>
      </c>
      <c r="G1332" s="75" t="n">
        <v>1801</v>
      </c>
      <c r="H1332" s="76" t="n">
        <v>2191000</v>
      </c>
      <c r="I1332" s="75" t="inlineStr">
        <is>
          <t>7월 인쇄물 제작 - S출판</t>
        </is>
      </c>
      <c r="J1332" s="75" t="inlineStr">
        <is>
          <t>V10012</t>
        </is>
      </c>
      <c r="K1332" s="75" t="inlineStr">
        <is>
          <t>S출판</t>
        </is>
      </c>
      <c r="M1332" s="9">
        <f>IF($A1332="","",VALUE($A1332&amp;"")*12+VALUE($B1332&amp;""))</f>
        <v/>
      </c>
      <c r="N1332" s="39">
        <f>IF($A1332="","",IFERROR(INDEX(부서매핑!$C$5:$C$504,MATCH($G1332&amp;"",부서매핑!$A$5:$A$504,0)),"미매핑"))</f>
        <v/>
      </c>
      <c r="O1332" s="9">
        <f>IF($A1332="","",N1332&amp;"|"&amp;$F1332)</f>
        <v/>
      </c>
      <c r="P1332" s="77">
        <f>IF($A1332="",0,$H1332*설정!$C$23)</f>
        <v/>
      </c>
      <c r="Q1332" s="39">
        <f>IF($A1332="","",IF(O1332&lt;&gt;원인분석!$C$9,"",IF(AND(M1332&gt;=원인분석!$C$10,M1332&lt;=원인분석!$C$11),"당기",IF(AND(M1332&gt;=원인분석!$C$12,M1332&lt;=원인분석!$C$13),"비교",""))))</f>
        <v/>
      </c>
      <c r="R1332" s="9">
        <f>IF(Q1332="","",$K1332&amp;"")</f>
        <v/>
      </c>
      <c r="S1332" s="9">
        <f>IF(Q1332="","",IF(MATCH(R1332,$R$5:$R$100000,0)=ROW()-4,ROW(),""))</f>
        <v/>
      </c>
      <c r="T1332" s="9">
        <f>IF(Q1332="당기",ABS(P1332)+ROW()/1000000000,"")</f>
        <v/>
      </c>
      <c r="U1332" s="9">
        <f>IF(Q1332="비교",ABS(P1332)+ROW()/1000000000,"")</f>
        <v/>
      </c>
      <c r="V1332" s="39">
        <f>IF($A1332="","",IF(COUNTIF(변동분석!$E$7:$E$506,O1332)&gt;0,"Y","N"))</f>
        <v/>
      </c>
      <c r="W1332" s="39">
        <f>IF($A1332="","",IFERROR(INDEX(계정매핑!$D$5:$D$504,MATCH($F1332&amp;"",계정매핑!$A$5:$A$504,0)),"미매핑"))</f>
        <v/>
      </c>
      <c r="X1332" s="9">
        <f>IF($A1332="","",$F1332&amp;"")</f>
        <v/>
      </c>
    </row>
    <row r="1333">
      <c r="A1333" s="75" t="n">
        <v>2025</v>
      </c>
      <c r="B1333" s="75" t="n">
        <v>7</v>
      </c>
      <c r="C1333" s="75" t="inlineStr">
        <is>
          <t>5100001329</t>
        </is>
      </c>
      <c r="D1333" s="78" t="n">
        <v>45861</v>
      </c>
      <c r="E1333" s="75" t="inlineStr">
        <is>
          <t>KR</t>
        </is>
      </c>
      <c r="F1333" s="75" t="n">
        <v>62701000</v>
      </c>
      <c r="G1333" s="75" t="n">
        <v>1502</v>
      </c>
      <c r="H1333" s="76" t="n">
        <v>76769000</v>
      </c>
      <c r="I1333" s="75" t="inlineStr">
        <is>
          <t>7월 광고 집행 - F애드</t>
        </is>
      </c>
      <c r="J1333" s="75" t="inlineStr">
        <is>
          <t>V10019</t>
        </is>
      </c>
      <c r="K1333" s="75" t="inlineStr">
        <is>
          <t>F애드</t>
        </is>
      </c>
      <c r="M1333" s="9">
        <f>IF($A1333="","",VALUE($A1333&amp;"")*12+VALUE($B1333&amp;""))</f>
        <v/>
      </c>
      <c r="N1333" s="39">
        <f>IF($A1333="","",IFERROR(INDEX(부서매핑!$C$5:$C$504,MATCH($G1333&amp;"",부서매핑!$A$5:$A$504,0)),"미매핑"))</f>
        <v/>
      </c>
      <c r="O1333" s="9">
        <f>IF($A1333="","",N1333&amp;"|"&amp;$F1333)</f>
        <v/>
      </c>
      <c r="P1333" s="77">
        <f>IF($A1333="",0,$H1333*설정!$C$23)</f>
        <v/>
      </c>
      <c r="Q1333" s="39">
        <f>IF($A1333="","",IF(O1333&lt;&gt;원인분석!$C$9,"",IF(AND(M1333&gt;=원인분석!$C$10,M1333&lt;=원인분석!$C$11),"당기",IF(AND(M1333&gt;=원인분석!$C$12,M1333&lt;=원인분석!$C$13),"비교",""))))</f>
        <v/>
      </c>
      <c r="R1333" s="9">
        <f>IF(Q1333="","",$K1333&amp;"")</f>
        <v/>
      </c>
      <c r="S1333" s="9">
        <f>IF(Q1333="","",IF(MATCH(R1333,$R$5:$R$100000,0)=ROW()-4,ROW(),""))</f>
        <v/>
      </c>
      <c r="T1333" s="9">
        <f>IF(Q1333="당기",ABS(P1333)+ROW()/1000000000,"")</f>
        <v/>
      </c>
      <c r="U1333" s="9">
        <f>IF(Q1333="비교",ABS(P1333)+ROW()/1000000000,"")</f>
        <v/>
      </c>
      <c r="V1333" s="39">
        <f>IF($A1333="","",IF(COUNTIF(변동분석!$E$7:$E$506,O1333)&gt;0,"Y","N"))</f>
        <v/>
      </c>
      <c r="W1333" s="39">
        <f>IF($A1333="","",IFERROR(INDEX(계정매핑!$D$5:$D$504,MATCH($F1333&amp;"",계정매핑!$A$5:$A$504,0)),"미매핑"))</f>
        <v/>
      </c>
      <c r="X1333" s="9">
        <f>IF($A1333="","",$F1333&amp;"")</f>
        <v/>
      </c>
    </row>
    <row r="1334">
      <c r="A1334" s="75" t="n">
        <v>2025</v>
      </c>
      <c r="B1334" s="75" t="n">
        <v>7</v>
      </c>
      <c r="C1334" s="75" t="inlineStr">
        <is>
          <t>5100001330</t>
        </is>
      </c>
      <c r="D1334" s="78" t="n">
        <v>45861</v>
      </c>
      <c r="E1334" s="75" t="inlineStr">
        <is>
          <t>KR</t>
        </is>
      </c>
      <c r="F1334" s="75" t="n">
        <v>62902000</v>
      </c>
      <c r="G1334" s="75" t="n">
        <v>1201</v>
      </c>
      <c r="H1334" s="76" t="n">
        <v>2203000</v>
      </c>
      <c r="I1334" s="75" t="inlineStr">
        <is>
          <t>7월 업무 위탁 수수료 - J콜센터</t>
        </is>
      </c>
      <c r="J1334" s="75" t="inlineStr">
        <is>
          <t>V10013</t>
        </is>
      </c>
      <c r="K1334" s="75" t="inlineStr">
        <is>
          <t>J콜센터</t>
        </is>
      </c>
      <c r="M1334" s="9">
        <f>IF($A1334="","",VALUE($A1334&amp;"")*12+VALUE($B1334&amp;""))</f>
        <v/>
      </c>
      <c r="N1334" s="39">
        <f>IF($A1334="","",IFERROR(INDEX(부서매핑!$C$5:$C$504,MATCH($G1334&amp;"",부서매핑!$A$5:$A$504,0)),"미매핑"))</f>
        <v/>
      </c>
      <c r="O1334" s="9">
        <f>IF($A1334="","",N1334&amp;"|"&amp;$F1334)</f>
        <v/>
      </c>
      <c r="P1334" s="77">
        <f>IF($A1334="",0,$H1334*설정!$C$23)</f>
        <v/>
      </c>
      <c r="Q1334" s="39">
        <f>IF($A1334="","",IF(O1334&lt;&gt;원인분석!$C$9,"",IF(AND(M1334&gt;=원인분석!$C$10,M1334&lt;=원인분석!$C$11),"당기",IF(AND(M1334&gt;=원인분석!$C$12,M1334&lt;=원인분석!$C$13),"비교",""))))</f>
        <v/>
      </c>
      <c r="R1334" s="9">
        <f>IF(Q1334="","",$K1334&amp;"")</f>
        <v/>
      </c>
      <c r="S1334" s="9">
        <f>IF(Q1334="","",IF(MATCH(R1334,$R$5:$R$100000,0)=ROW()-4,ROW(),""))</f>
        <v/>
      </c>
      <c r="T1334" s="9">
        <f>IF(Q1334="당기",ABS(P1334)+ROW()/1000000000,"")</f>
        <v/>
      </c>
      <c r="U1334" s="9">
        <f>IF(Q1334="비교",ABS(P1334)+ROW()/1000000000,"")</f>
        <v/>
      </c>
      <c r="V1334" s="39">
        <f>IF($A1334="","",IF(COUNTIF(변동분석!$E$7:$E$506,O1334)&gt;0,"Y","N"))</f>
        <v/>
      </c>
      <c r="W1334" s="39">
        <f>IF($A1334="","",IFERROR(INDEX(계정매핑!$D$5:$D$504,MATCH($F1334&amp;"",계정매핑!$A$5:$A$504,0)),"미매핑"))</f>
        <v/>
      </c>
      <c r="X1334" s="9">
        <f>IF($A1334="","",$F1334&amp;"")</f>
        <v/>
      </c>
    </row>
    <row r="1335">
      <c r="A1335" s="75" t="n">
        <v>2025</v>
      </c>
      <c r="B1335" s="75" t="n">
        <v>7</v>
      </c>
      <c r="C1335" s="75" t="inlineStr">
        <is>
          <t>5100001331</t>
        </is>
      </c>
      <c r="D1335" s="78" t="n">
        <v>45862</v>
      </c>
      <c r="E1335" s="75" t="inlineStr">
        <is>
          <t>KR</t>
        </is>
      </c>
      <c r="F1335" s="75" t="n">
        <v>62101000</v>
      </c>
      <c r="G1335" s="75" t="n">
        <v>1401</v>
      </c>
      <c r="H1335" s="76" t="n">
        <v>311000</v>
      </c>
      <c r="I1335" s="75" t="inlineStr">
        <is>
          <t>7월 국내출장 - M항공</t>
        </is>
      </c>
      <c r="J1335" s="75" t="inlineStr">
        <is>
          <t>V10001</t>
        </is>
      </c>
      <c r="K1335" s="75" t="inlineStr">
        <is>
          <t>M항공</t>
        </is>
      </c>
      <c r="M1335" s="9">
        <f>IF($A1335="","",VALUE($A1335&amp;"")*12+VALUE($B1335&amp;""))</f>
        <v/>
      </c>
      <c r="N1335" s="39">
        <f>IF($A1335="","",IFERROR(INDEX(부서매핑!$C$5:$C$504,MATCH($G1335&amp;"",부서매핑!$A$5:$A$504,0)),"미매핑"))</f>
        <v/>
      </c>
      <c r="O1335" s="9">
        <f>IF($A1335="","",N1335&amp;"|"&amp;$F1335)</f>
        <v/>
      </c>
      <c r="P1335" s="77">
        <f>IF($A1335="",0,$H1335*설정!$C$23)</f>
        <v/>
      </c>
      <c r="Q1335" s="39">
        <f>IF($A1335="","",IF(O1335&lt;&gt;원인분석!$C$9,"",IF(AND(M1335&gt;=원인분석!$C$10,M1335&lt;=원인분석!$C$11),"당기",IF(AND(M1335&gt;=원인분석!$C$12,M1335&lt;=원인분석!$C$13),"비교",""))))</f>
        <v/>
      </c>
      <c r="R1335" s="9">
        <f>IF(Q1335="","",$K1335&amp;"")</f>
        <v/>
      </c>
      <c r="S1335" s="9">
        <f>IF(Q1335="","",IF(MATCH(R1335,$R$5:$R$100000,0)=ROW()-4,ROW(),""))</f>
        <v/>
      </c>
      <c r="T1335" s="9">
        <f>IF(Q1335="당기",ABS(P1335)+ROW()/1000000000,"")</f>
        <v/>
      </c>
      <c r="U1335" s="9">
        <f>IF(Q1335="비교",ABS(P1335)+ROW()/1000000000,"")</f>
        <v/>
      </c>
      <c r="V1335" s="39">
        <f>IF($A1335="","",IF(COUNTIF(변동분석!$E$7:$E$506,O1335)&gt;0,"Y","N"))</f>
        <v/>
      </c>
      <c r="W1335" s="39">
        <f>IF($A1335="","",IFERROR(INDEX(계정매핑!$D$5:$D$504,MATCH($F1335&amp;"",계정매핑!$A$5:$A$504,0)),"미매핑"))</f>
        <v/>
      </c>
      <c r="X1335" s="9">
        <f>IF($A1335="","",$F1335&amp;"")</f>
        <v/>
      </c>
    </row>
    <row r="1336">
      <c r="A1336" s="75" t="n">
        <v>2025</v>
      </c>
      <c r="B1336" s="75" t="n">
        <v>7</v>
      </c>
      <c r="C1336" s="75" t="inlineStr">
        <is>
          <t>5100001332</t>
        </is>
      </c>
      <c r="D1336" s="78" t="n">
        <v>45862</v>
      </c>
      <c r="E1336" s="75" t="inlineStr">
        <is>
          <t>KR</t>
        </is>
      </c>
      <c r="F1336" s="75" t="n">
        <v>62101000</v>
      </c>
      <c r="G1336" s="75" t="n">
        <v>1601</v>
      </c>
      <c r="H1336" s="76" t="n">
        <v>775000</v>
      </c>
      <c r="I1336" s="75" t="inlineStr">
        <is>
          <t>7월 국내출장 - L여행사</t>
        </is>
      </c>
      <c r="J1336" s="75" t="inlineStr">
        <is>
          <t>V10014</t>
        </is>
      </c>
      <c r="K1336" s="75" t="inlineStr">
        <is>
          <t>L여행사</t>
        </is>
      </c>
      <c r="M1336" s="9">
        <f>IF($A1336="","",VALUE($A1336&amp;"")*12+VALUE($B1336&amp;""))</f>
        <v/>
      </c>
      <c r="N1336" s="39">
        <f>IF($A1336="","",IFERROR(INDEX(부서매핑!$C$5:$C$504,MATCH($G1336&amp;"",부서매핑!$A$5:$A$504,0)),"미매핑"))</f>
        <v/>
      </c>
      <c r="O1336" s="9">
        <f>IF($A1336="","",N1336&amp;"|"&amp;$F1336)</f>
        <v/>
      </c>
      <c r="P1336" s="77">
        <f>IF($A1336="",0,$H1336*설정!$C$23)</f>
        <v/>
      </c>
      <c r="Q1336" s="39">
        <f>IF($A1336="","",IF(O1336&lt;&gt;원인분석!$C$9,"",IF(AND(M1336&gt;=원인분석!$C$10,M1336&lt;=원인분석!$C$11),"당기",IF(AND(M1336&gt;=원인분석!$C$12,M1336&lt;=원인분석!$C$13),"비교",""))))</f>
        <v/>
      </c>
      <c r="R1336" s="9">
        <f>IF(Q1336="","",$K1336&amp;"")</f>
        <v/>
      </c>
      <c r="S1336" s="9">
        <f>IF(Q1336="","",IF(MATCH(R1336,$R$5:$R$100000,0)=ROW()-4,ROW(),""))</f>
        <v/>
      </c>
      <c r="T1336" s="9">
        <f>IF(Q1336="당기",ABS(P1336)+ROW()/1000000000,"")</f>
        <v/>
      </c>
      <c r="U1336" s="9">
        <f>IF(Q1336="비교",ABS(P1336)+ROW()/1000000000,"")</f>
        <v/>
      </c>
      <c r="V1336" s="39">
        <f>IF($A1336="","",IF(COUNTIF(변동분석!$E$7:$E$506,O1336)&gt;0,"Y","N"))</f>
        <v/>
      </c>
      <c r="W1336" s="39">
        <f>IF($A1336="","",IFERROR(INDEX(계정매핑!$D$5:$D$504,MATCH($F1336&amp;"",계정매핑!$A$5:$A$504,0)),"미매핑"))</f>
        <v/>
      </c>
      <c r="X1336" s="9">
        <f>IF($A1336="","",$F1336&amp;"")</f>
        <v/>
      </c>
    </row>
    <row r="1337">
      <c r="A1337" s="75" t="n">
        <v>2025</v>
      </c>
      <c r="B1337" s="75" t="n">
        <v>7</v>
      </c>
      <c r="C1337" s="75" t="inlineStr">
        <is>
          <t>5100001333</t>
        </is>
      </c>
      <c r="D1337" s="78" t="n">
        <v>45862</v>
      </c>
      <c r="E1337" s="75" t="inlineStr">
        <is>
          <t>KR</t>
        </is>
      </c>
      <c r="F1337" s="75" t="n">
        <v>62301000</v>
      </c>
      <c r="G1337" s="75" t="n">
        <v>1301</v>
      </c>
      <c r="H1337" s="76" t="n">
        <v>207000</v>
      </c>
      <c r="I1337" s="75" t="inlineStr">
        <is>
          <t>7월 소모품 구입 - Q오피스</t>
        </is>
      </c>
      <c r="J1337" s="75" t="inlineStr">
        <is>
          <t>V10003</t>
        </is>
      </c>
      <c r="K1337" s="75" t="inlineStr">
        <is>
          <t>Q오피스</t>
        </is>
      </c>
      <c r="M1337" s="9">
        <f>IF($A1337="","",VALUE($A1337&amp;"")*12+VALUE($B1337&amp;""))</f>
        <v/>
      </c>
      <c r="N1337" s="39">
        <f>IF($A1337="","",IFERROR(INDEX(부서매핑!$C$5:$C$504,MATCH($G1337&amp;"",부서매핑!$A$5:$A$504,0)),"미매핑"))</f>
        <v/>
      </c>
      <c r="O1337" s="9">
        <f>IF($A1337="","",N1337&amp;"|"&amp;$F1337)</f>
        <v/>
      </c>
      <c r="P1337" s="77">
        <f>IF($A1337="",0,$H1337*설정!$C$23)</f>
        <v/>
      </c>
      <c r="Q1337" s="39">
        <f>IF($A1337="","",IF(O1337&lt;&gt;원인분석!$C$9,"",IF(AND(M1337&gt;=원인분석!$C$10,M1337&lt;=원인분석!$C$11),"당기",IF(AND(M1337&gt;=원인분석!$C$12,M1337&lt;=원인분석!$C$13),"비교",""))))</f>
        <v/>
      </c>
      <c r="R1337" s="9">
        <f>IF(Q1337="","",$K1337&amp;"")</f>
        <v/>
      </c>
      <c r="S1337" s="9">
        <f>IF(Q1337="","",IF(MATCH(R1337,$R$5:$R$100000,0)=ROW()-4,ROW(),""))</f>
        <v/>
      </c>
      <c r="T1337" s="9">
        <f>IF(Q1337="당기",ABS(P1337)+ROW()/1000000000,"")</f>
        <v/>
      </c>
      <c r="U1337" s="9">
        <f>IF(Q1337="비교",ABS(P1337)+ROW()/1000000000,"")</f>
        <v/>
      </c>
      <c r="V1337" s="39">
        <f>IF($A1337="","",IF(COUNTIF(변동분석!$E$7:$E$506,O1337)&gt;0,"Y","N"))</f>
        <v/>
      </c>
      <c r="W1337" s="39">
        <f>IF($A1337="","",IFERROR(INDEX(계정매핑!$D$5:$D$504,MATCH($F1337&amp;"",계정매핑!$A$5:$A$504,0)),"미매핑"))</f>
        <v/>
      </c>
      <c r="X1337" s="9">
        <f>IF($A1337="","",$F1337&amp;"")</f>
        <v/>
      </c>
    </row>
    <row r="1338">
      <c r="A1338" s="75" t="n">
        <v>2025</v>
      </c>
      <c r="B1338" s="75" t="n">
        <v>7</v>
      </c>
      <c r="C1338" s="75" t="inlineStr">
        <is>
          <t>5100001334</t>
        </is>
      </c>
      <c r="D1338" s="78" t="n">
        <v>45862</v>
      </c>
      <c r="E1338" s="75" t="inlineStr">
        <is>
          <t>KR</t>
        </is>
      </c>
      <c r="F1338" s="75" t="n">
        <v>62401000</v>
      </c>
      <c r="G1338" s="75" t="n">
        <v>1501</v>
      </c>
      <c r="H1338" s="76" t="n">
        <v>1322000</v>
      </c>
      <c r="I1338" s="75" t="inlineStr">
        <is>
          <t>7월 인쇄물 제작 - S출판</t>
        </is>
      </c>
      <c r="J1338" s="75" t="inlineStr">
        <is>
          <t>V10012</t>
        </is>
      </c>
      <c r="K1338" s="75" t="inlineStr">
        <is>
          <t>S출판</t>
        </is>
      </c>
      <c r="M1338" s="9">
        <f>IF($A1338="","",VALUE($A1338&amp;"")*12+VALUE($B1338&amp;""))</f>
        <v/>
      </c>
      <c r="N1338" s="39">
        <f>IF($A1338="","",IFERROR(INDEX(부서매핑!$C$5:$C$504,MATCH($G1338&amp;"",부서매핑!$A$5:$A$504,0)),"미매핑"))</f>
        <v/>
      </c>
      <c r="O1338" s="9">
        <f>IF($A1338="","",N1338&amp;"|"&amp;$F1338)</f>
        <v/>
      </c>
      <c r="P1338" s="77">
        <f>IF($A1338="",0,$H1338*설정!$C$23)</f>
        <v/>
      </c>
      <c r="Q1338" s="39">
        <f>IF($A1338="","",IF(O1338&lt;&gt;원인분석!$C$9,"",IF(AND(M1338&gt;=원인분석!$C$10,M1338&lt;=원인분석!$C$11),"당기",IF(AND(M1338&gt;=원인분석!$C$12,M1338&lt;=원인분석!$C$13),"비교",""))))</f>
        <v/>
      </c>
      <c r="R1338" s="9">
        <f>IF(Q1338="","",$K1338&amp;"")</f>
        <v/>
      </c>
      <c r="S1338" s="9">
        <f>IF(Q1338="","",IF(MATCH(R1338,$R$5:$R$100000,0)=ROW()-4,ROW(),""))</f>
        <v/>
      </c>
      <c r="T1338" s="9">
        <f>IF(Q1338="당기",ABS(P1338)+ROW()/1000000000,"")</f>
        <v/>
      </c>
      <c r="U1338" s="9">
        <f>IF(Q1338="비교",ABS(P1338)+ROW()/1000000000,"")</f>
        <v/>
      </c>
      <c r="V1338" s="39">
        <f>IF($A1338="","",IF(COUNTIF(변동분석!$E$7:$E$506,O1338)&gt;0,"Y","N"))</f>
        <v/>
      </c>
      <c r="W1338" s="39">
        <f>IF($A1338="","",IFERROR(INDEX(계정매핑!$D$5:$D$504,MATCH($F1338&amp;"",계정매핑!$A$5:$A$504,0)),"미매핑"))</f>
        <v/>
      </c>
      <c r="X1338" s="9">
        <f>IF($A1338="","",$F1338&amp;"")</f>
        <v/>
      </c>
    </row>
    <row r="1339">
      <c r="A1339" s="75" t="n">
        <v>2025</v>
      </c>
      <c r="B1339" s="75" t="n">
        <v>7</v>
      </c>
      <c r="C1339" s="75" t="inlineStr">
        <is>
          <t>5100001335</t>
        </is>
      </c>
      <c r="D1339" s="78" t="n">
        <v>45862</v>
      </c>
      <c r="E1339" s="75" t="inlineStr">
        <is>
          <t>KR</t>
        </is>
      </c>
      <c r="F1339" s="75" t="n">
        <v>62501000</v>
      </c>
      <c r="G1339" s="75" t="n">
        <v>1701</v>
      </c>
      <c r="H1339" s="76" t="n">
        <v>125000</v>
      </c>
      <c r="I1339" s="75" t="inlineStr">
        <is>
          <t>7월 회의 다과 - (법인카드)</t>
        </is>
      </c>
      <c r="J1339" s="75" t="inlineStr">
        <is>
          <t>V10008</t>
        </is>
      </c>
      <c r="K1339" s="75" t="inlineStr">
        <is>
          <t>(법인카드)</t>
        </is>
      </c>
      <c r="M1339" s="9">
        <f>IF($A1339="","",VALUE($A1339&amp;"")*12+VALUE($B1339&amp;""))</f>
        <v/>
      </c>
      <c r="N1339" s="39">
        <f>IF($A1339="","",IFERROR(INDEX(부서매핑!$C$5:$C$504,MATCH($G1339&amp;"",부서매핑!$A$5:$A$504,0)),"미매핑"))</f>
        <v/>
      </c>
      <c r="O1339" s="9">
        <f>IF($A1339="","",N1339&amp;"|"&amp;$F1339)</f>
        <v/>
      </c>
      <c r="P1339" s="77">
        <f>IF($A1339="",0,$H1339*설정!$C$23)</f>
        <v/>
      </c>
      <c r="Q1339" s="39">
        <f>IF($A1339="","",IF(O1339&lt;&gt;원인분석!$C$9,"",IF(AND(M1339&gt;=원인분석!$C$10,M1339&lt;=원인분석!$C$11),"당기",IF(AND(M1339&gt;=원인분석!$C$12,M1339&lt;=원인분석!$C$13),"비교",""))))</f>
        <v/>
      </c>
      <c r="R1339" s="9">
        <f>IF(Q1339="","",$K1339&amp;"")</f>
        <v/>
      </c>
      <c r="S1339" s="9">
        <f>IF(Q1339="","",IF(MATCH(R1339,$R$5:$R$100000,0)=ROW()-4,ROW(),""))</f>
        <v/>
      </c>
      <c r="T1339" s="9">
        <f>IF(Q1339="당기",ABS(P1339)+ROW()/1000000000,"")</f>
        <v/>
      </c>
      <c r="U1339" s="9">
        <f>IF(Q1339="비교",ABS(P1339)+ROW()/1000000000,"")</f>
        <v/>
      </c>
      <c r="V1339" s="39">
        <f>IF($A1339="","",IF(COUNTIF(변동분석!$E$7:$E$506,O1339)&gt;0,"Y","N"))</f>
        <v/>
      </c>
      <c r="W1339" s="39">
        <f>IF($A1339="","",IFERROR(INDEX(계정매핑!$D$5:$D$504,MATCH($F1339&amp;"",계정매핑!$A$5:$A$504,0)),"미매핑"))</f>
        <v/>
      </c>
      <c r="X1339" s="9">
        <f>IF($A1339="","",$F1339&amp;"")</f>
        <v/>
      </c>
    </row>
    <row r="1340">
      <c r="A1340" s="75" t="n">
        <v>2025</v>
      </c>
      <c r="B1340" s="75" t="n">
        <v>7</v>
      </c>
      <c r="C1340" s="75" t="inlineStr">
        <is>
          <t>5100001336</t>
        </is>
      </c>
      <c r="D1340" s="78" t="n">
        <v>45862</v>
      </c>
      <c r="E1340" s="75" t="inlineStr">
        <is>
          <t>KR</t>
        </is>
      </c>
      <c r="F1340" s="75" t="n">
        <v>62601000</v>
      </c>
      <c r="G1340" s="75" t="n">
        <v>1301</v>
      </c>
      <c r="H1340" s="76" t="n">
        <v>2034000</v>
      </c>
      <c r="I1340" s="75" t="inlineStr">
        <is>
          <t>7월 업무추진 - (법인카드)</t>
        </is>
      </c>
      <c r="J1340" s="75" t="inlineStr">
        <is>
          <t>V10008</t>
        </is>
      </c>
      <c r="K1340" s="75" t="inlineStr">
        <is>
          <t>(법인카드)</t>
        </is>
      </c>
      <c r="M1340" s="9">
        <f>IF($A1340="","",VALUE($A1340&amp;"")*12+VALUE($B1340&amp;""))</f>
        <v/>
      </c>
      <c r="N1340" s="39">
        <f>IF($A1340="","",IFERROR(INDEX(부서매핑!$C$5:$C$504,MATCH($G1340&amp;"",부서매핑!$A$5:$A$504,0)),"미매핑"))</f>
        <v/>
      </c>
      <c r="O1340" s="9">
        <f>IF($A1340="","",N1340&amp;"|"&amp;$F1340)</f>
        <v/>
      </c>
      <c r="P1340" s="77">
        <f>IF($A1340="",0,$H1340*설정!$C$23)</f>
        <v/>
      </c>
      <c r="Q1340" s="39">
        <f>IF($A1340="","",IF(O1340&lt;&gt;원인분석!$C$9,"",IF(AND(M1340&gt;=원인분석!$C$10,M1340&lt;=원인분석!$C$11),"당기",IF(AND(M1340&gt;=원인분석!$C$12,M1340&lt;=원인분석!$C$13),"비교",""))))</f>
        <v/>
      </c>
      <c r="R1340" s="9">
        <f>IF(Q1340="","",$K1340&amp;"")</f>
        <v/>
      </c>
      <c r="S1340" s="9">
        <f>IF(Q1340="","",IF(MATCH(R1340,$R$5:$R$100000,0)=ROW()-4,ROW(),""))</f>
        <v/>
      </c>
      <c r="T1340" s="9">
        <f>IF(Q1340="당기",ABS(P1340)+ROW()/1000000000,"")</f>
        <v/>
      </c>
      <c r="U1340" s="9">
        <f>IF(Q1340="비교",ABS(P1340)+ROW()/1000000000,"")</f>
        <v/>
      </c>
      <c r="V1340" s="39">
        <f>IF($A1340="","",IF(COUNTIF(변동분석!$E$7:$E$506,O1340)&gt;0,"Y","N"))</f>
        <v/>
      </c>
      <c r="W1340" s="39">
        <f>IF($A1340="","",IFERROR(INDEX(계정매핑!$D$5:$D$504,MATCH($F1340&amp;"",계정매핑!$A$5:$A$504,0)),"미매핑"))</f>
        <v/>
      </c>
      <c r="X1340" s="9">
        <f>IF($A1340="","",$F1340&amp;"")</f>
        <v/>
      </c>
    </row>
    <row r="1341">
      <c r="A1341" s="75" t="n">
        <v>2025</v>
      </c>
      <c r="B1341" s="75" t="n">
        <v>7</v>
      </c>
      <c r="C1341" s="75" t="inlineStr">
        <is>
          <t>5100001337</t>
        </is>
      </c>
      <c r="D1341" s="78" t="n">
        <v>45862</v>
      </c>
      <c r="E1341" s="75" t="inlineStr">
        <is>
          <t>KR</t>
        </is>
      </c>
      <c r="F1341" s="75" t="n">
        <v>62601000</v>
      </c>
      <c r="G1341" s="75" t="n">
        <v>1601</v>
      </c>
      <c r="H1341" s="76" t="n">
        <v>2660000</v>
      </c>
      <c r="I1341" s="75" t="inlineStr">
        <is>
          <t>7월 업무추진 - (법인카드)</t>
        </is>
      </c>
      <c r="J1341" s="75" t="inlineStr">
        <is>
          <t>V10008</t>
        </is>
      </c>
      <c r="K1341" s="75" t="inlineStr">
        <is>
          <t>(법인카드)</t>
        </is>
      </c>
      <c r="M1341" s="9">
        <f>IF($A1341="","",VALUE($A1341&amp;"")*12+VALUE($B1341&amp;""))</f>
        <v/>
      </c>
      <c r="N1341" s="39">
        <f>IF($A1341="","",IFERROR(INDEX(부서매핑!$C$5:$C$504,MATCH($G1341&amp;"",부서매핑!$A$5:$A$504,0)),"미매핑"))</f>
        <v/>
      </c>
      <c r="O1341" s="9">
        <f>IF($A1341="","",N1341&amp;"|"&amp;$F1341)</f>
        <v/>
      </c>
      <c r="P1341" s="77">
        <f>IF($A1341="",0,$H1341*설정!$C$23)</f>
        <v/>
      </c>
      <c r="Q1341" s="39">
        <f>IF($A1341="","",IF(O1341&lt;&gt;원인분석!$C$9,"",IF(AND(M1341&gt;=원인분석!$C$10,M1341&lt;=원인분석!$C$11),"당기",IF(AND(M1341&gt;=원인분석!$C$12,M1341&lt;=원인분석!$C$13),"비교",""))))</f>
        <v/>
      </c>
      <c r="R1341" s="9">
        <f>IF(Q1341="","",$K1341&amp;"")</f>
        <v/>
      </c>
      <c r="S1341" s="9">
        <f>IF(Q1341="","",IF(MATCH(R1341,$R$5:$R$100000,0)=ROW()-4,ROW(),""))</f>
        <v/>
      </c>
      <c r="T1341" s="9">
        <f>IF(Q1341="당기",ABS(P1341)+ROW()/1000000000,"")</f>
        <v/>
      </c>
      <c r="U1341" s="9">
        <f>IF(Q1341="비교",ABS(P1341)+ROW()/1000000000,"")</f>
        <v/>
      </c>
      <c r="V1341" s="39">
        <f>IF($A1341="","",IF(COUNTIF(변동분석!$E$7:$E$506,O1341)&gt;0,"Y","N"))</f>
        <v/>
      </c>
      <c r="W1341" s="39">
        <f>IF($A1341="","",IFERROR(INDEX(계정매핑!$D$5:$D$504,MATCH($F1341&amp;"",계정매핑!$A$5:$A$504,0)),"미매핑"))</f>
        <v/>
      </c>
      <c r="X1341" s="9">
        <f>IF($A1341="","",$F1341&amp;"")</f>
        <v/>
      </c>
    </row>
    <row r="1342">
      <c r="A1342" s="75" t="n">
        <v>2025</v>
      </c>
      <c r="B1342" s="75" t="n">
        <v>7</v>
      </c>
      <c r="C1342" s="75" t="inlineStr">
        <is>
          <t>5100001338</t>
        </is>
      </c>
      <c r="D1342" s="78" t="n">
        <v>45862</v>
      </c>
      <c r="E1342" s="75" t="inlineStr">
        <is>
          <t>KR</t>
        </is>
      </c>
      <c r="F1342" s="75" t="n">
        <v>62901000</v>
      </c>
      <c r="G1342" s="75" t="n">
        <v>1101</v>
      </c>
      <c r="H1342" s="76" t="n">
        <v>3915000</v>
      </c>
      <c r="I1342" s="75" t="inlineStr">
        <is>
          <t>7월 자문 수수료 - W컨설팅</t>
        </is>
      </c>
      <c r="J1342" s="75" t="inlineStr">
        <is>
          <t>V10009</t>
        </is>
      </c>
      <c r="K1342" s="75" t="inlineStr">
        <is>
          <t>W컨설팅</t>
        </is>
      </c>
      <c r="M1342" s="9">
        <f>IF($A1342="","",VALUE($A1342&amp;"")*12+VALUE($B1342&amp;""))</f>
        <v/>
      </c>
      <c r="N1342" s="39">
        <f>IF($A1342="","",IFERROR(INDEX(부서매핑!$C$5:$C$504,MATCH($G1342&amp;"",부서매핑!$A$5:$A$504,0)),"미매핑"))</f>
        <v/>
      </c>
      <c r="O1342" s="9">
        <f>IF($A1342="","",N1342&amp;"|"&amp;$F1342)</f>
        <v/>
      </c>
      <c r="P1342" s="77">
        <f>IF($A1342="",0,$H1342*설정!$C$23)</f>
        <v/>
      </c>
      <c r="Q1342" s="39">
        <f>IF($A1342="","",IF(O1342&lt;&gt;원인분석!$C$9,"",IF(AND(M1342&gt;=원인분석!$C$10,M1342&lt;=원인분석!$C$11),"당기",IF(AND(M1342&gt;=원인분석!$C$12,M1342&lt;=원인분석!$C$13),"비교",""))))</f>
        <v/>
      </c>
      <c r="R1342" s="9">
        <f>IF(Q1342="","",$K1342&amp;"")</f>
        <v/>
      </c>
      <c r="S1342" s="9">
        <f>IF(Q1342="","",IF(MATCH(R1342,$R$5:$R$100000,0)=ROW()-4,ROW(),""))</f>
        <v/>
      </c>
      <c r="T1342" s="9">
        <f>IF(Q1342="당기",ABS(P1342)+ROW()/1000000000,"")</f>
        <v/>
      </c>
      <c r="U1342" s="9">
        <f>IF(Q1342="비교",ABS(P1342)+ROW()/1000000000,"")</f>
        <v/>
      </c>
      <c r="V1342" s="39">
        <f>IF($A1342="","",IF(COUNTIF(변동분석!$E$7:$E$506,O1342)&gt;0,"Y","N"))</f>
        <v/>
      </c>
      <c r="W1342" s="39">
        <f>IF($A1342="","",IFERROR(INDEX(계정매핑!$D$5:$D$504,MATCH($F1342&amp;"",계정매핑!$A$5:$A$504,0)),"미매핑"))</f>
        <v/>
      </c>
      <c r="X1342" s="9">
        <f>IF($A1342="","",$F1342&amp;"")</f>
        <v/>
      </c>
    </row>
    <row r="1343">
      <c r="A1343" s="75" t="n">
        <v>2025</v>
      </c>
      <c r="B1343" s="75" t="n">
        <v>7</v>
      </c>
      <c r="C1343" s="75" t="inlineStr">
        <is>
          <t>5100001339</t>
        </is>
      </c>
      <c r="D1343" s="78" t="n">
        <v>45863</v>
      </c>
      <c r="E1343" s="75" t="inlineStr">
        <is>
          <t>KR</t>
        </is>
      </c>
      <c r="F1343" s="75" t="n">
        <v>62102000</v>
      </c>
      <c r="G1343" s="75" t="n">
        <v>1101</v>
      </c>
      <c r="H1343" s="76" t="n">
        <v>151000</v>
      </c>
      <c r="I1343" s="75" t="inlineStr">
        <is>
          <t>7월 해외출장 - M항공</t>
        </is>
      </c>
      <c r="J1343" s="75" t="inlineStr">
        <is>
          <t>V10001</t>
        </is>
      </c>
      <c r="K1343" s="75" t="inlineStr">
        <is>
          <t>M항공</t>
        </is>
      </c>
      <c r="M1343" s="9">
        <f>IF($A1343="","",VALUE($A1343&amp;"")*12+VALUE($B1343&amp;""))</f>
        <v/>
      </c>
      <c r="N1343" s="39">
        <f>IF($A1343="","",IFERROR(INDEX(부서매핑!$C$5:$C$504,MATCH($G1343&amp;"",부서매핑!$A$5:$A$504,0)),"미매핑"))</f>
        <v/>
      </c>
      <c r="O1343" s="9">
        <f>IF($A1343="","",N1343&amp;"|"&amp;$F1343)</f>
        <v/>
      </c>
      <c r="P1343" s="77">
        <f>IF($A1343="",0,$H1343*설정!$C$23)</f>
        <v/>
      </c>
      <c r="Q1343" s="39">
        <f>IF($A1343="","",IF(O1343&lt;&gt;원인분석!$C$9,"",IF(AND(M1343&gt;=원인분석!$C$10,M1343&lt;=원인분석!$C$11),"당기",IF(AND(M1343&gt;=원인분석!$C$12,M1343&lt;=원인분석!$C$13),"비교",""))))</f>
        <v/>
      </c>
      <c r="R1343" s="9">
        <f>IF(Q1343="","",$K1343&amp;"")</f>
        <v/>
      </c>
      <c r="S1343" s="9">
        <f>IF(Q1343="","",IF(MATCH(R1343,$R$5:$R$100000,0)=ROW()-4,ROW(),""))</f>
        <v/>
      </c>
      <c r="T1343" s="9">
        <f>IF(Q1343="당기",ABS(P1343)+ROW()/1000000000,"")</f>
        <v/>
      </c>
      <c r="U1343" s="9">
        <f>IF(Q1343="비교",ABS(P1343)+ROW()/1000000000,"")</f>
        <v/>
      </c>
      <c r="V1343" s="39">
        <f>IF($A1343="","",IF(COUNTIF(변동분석!$E$7:$E$506,O1343)&gt;0,"Y","N"))</f>
        <v/>
      </c>
      <c r="W1343" s="39">
        <f>IF($A1343="","",IFERROR(INDEX(계정매핑!$D$5:$D$504,MATCH($F1343&amp;"",계정매핑!$A$5:$A$504,0)),"미매핑"))</f>
        <v/>
      </c>
      <c r="X1343" s="9">
        <f>IF($A1343="","",$F1343&amp;"")</f>
        <v/>
      </c>
    </row>
    <row r="1344">
      <c r="A1344" s="75" t="n">
        <v>2025</v>
      </c>
      <c r="B1344" s="75" t="n">
        <v>7</v>
      </c>
      <c r="C1344" s="75" t="inlineStr">
        <is>
          <t>5100001340</t>
        </is>
      </c>
      <c r="D1344" s="78" t="n">
        <v>45863</v>
      </c>
      <c r="E1344" s="75" t="inlineStr">
        <is>
          <t>KR</t>
        </is>
      </c>
      <c r="F1344" s="75" t="n">
        <v>62201000</v>
      </c>
      <c r="G1344" s="75" t="n">
        <v>1401</v>
      </c>
      <c r="H1344" s="76" t="n">
        <v>180000</v>
      </c>
      <c r="I1344" s="75" t="inlineStr">
        <is>
          <t>7월 통신요금 - P통신</t>
        </is>
      </c>
      <c r="J1344" s="75" t="inlineStr">
        <is>
          <t>V10011</t>
        </is>
      </c>
      <c r="K1344" s="75" t="inlineStr">
        <is>
          <t>P통신</t>
        </is>
      </c>
      <c r="M1344" s="9">
        <f>IF($A1344="","",VALUE($A1344&amp;"")*12+VALUE($B1344&amp;""))</f>
        <v/>
      </c>
      <c r="N1344" s="39">
        <f>IF($A1344="","",IFERROR(INDEX(부서매핑!$C$5:$C$504,MATCH($G1344&amp;"",부서매핑!$A$5:$A$504,0)),"미매핑"))</f>
        <v/>
      </c>
      <c r="O1344" s="9">
        <f>IF($A1344="","",N1344&amp;"|"&amp;$F1344)</f>
        <v/>
      </c>
      <c r="P1344" s="77">
        <f>IF($A1344="",0,$H1344*설정!$C$23)</f>
        <v/>
      </c>
      <c r="Q1344" s="39">
        <f>IF($A1344="","",IF(O1344&lt;&gt;원인분석!$C$9,"",IF(AND(M1344&gt;=원인분석!$C$10,M1344&lt;=원인분석!$C$11),"당기",IF(AND(M1344&gt;=원인분석!$C$12,M1344&lt;=원인분석!$C$13),"비교",""))))</f>
        <v/>
      </c>
      <c r="R1344" s="9">
        <f>IF(Q1344="","",$K1344&amp;"")</f>
        <v/>
      </c>
      <c r="S1344" s="9">
        <f>IF(Q1344="","",IF(MATCH(R1344,$R$5:$R$100000,0)=ROW()-4,ROW(),""))</f>
        <v/>
      </c>
      <c r="T1344" s="9">
        <f>IF(Q1344="당기",ABS(P1344)+ROW()/1000000000,"")</f>
        <v/>
      </c>
      <c r="U1344" s="9">
        <f>IF(Q1344="비교",ABS(P1344)+ROW()/1000000000,"")</f>
        <v/>
      </c>
      <c r="V1344" s="39">
        <f>IF($A1344="","",IF(COUNTIF(변동분석!$E$7:$E$506,O1344)&gt;0,"Y","N"))</f>
        <v/>
      </c>
      <c r="W1344" s="39">
        <f>IF($A1344="","",IFERROR(INDEX(계정매핑!$D$5:$D$504,MATCH($F1344&amp;"",계정매핑!$A$5:$A$504,0)),"미매핑"))</f>
        <v/>
      </c>
      <c r="X1344" s="9">
        <f>IF($A1344="","",$F1344&amp;"")</f>
        <v/>
      </c>
    </row>
    <row r="1345">
      <c r="A1345" s="75" t="n">
        <v>2025</v>
      </c>
      <c r="B1345" s="75" t="n">
        <v>7</v>
      </c>
      <c r="C1345" s="75" t="inlineStr">
        <is>
          <t>5100001341</t>
        </is>
      </c>
      <c r="D1345" s="78" t="n">
        <v>45863</v>
      </c>
      <c r="E1345" s="75" t="inlineStr">
        <is>
          <t>KR</t>
        </is>
      </c>
      <c r="F1345" s="75" t="n">
        <v>62301000</v>
      </c>
      <c r="G1345" s="75" t="n">
        <v>1301</v>
      </c>
      <c r="H1345" s="76" t="n">
        <v>174000</v>
      </c>
      <c r="I1345" s="75" t="inlineStr">
        <is>
          <t>7월 소모품 구입 - R문구</t>
        </is>
      </c>
      <c r="J1345" s="75" t="inlineStr">
        <is>
          <t>V10018</t>
        </is>
      </c>
      <c r="K1345" s="75" t="inlineStr">
        <is>
          <t>R문구</t>
        </is>
      </c>
      <c r="M1345" s="9">
        <f>IF($A1345="","",VALUE($A1345&amp;"")*12+VALUE($B1345&amp;""))</f>
        <v/>
      </c>
      <c r="N1345" s="39">
        <f>IF($A1345="","",IFERROR(INDEX(부서매핑!$C$5:$C$504,MATCH($G1345&amp;"",부서매핑!$A$5:$A$504,0)),"미매핑"))</f>
        <v/>
      </c>
      <c r="O1345" s="9">
        <f>IF($A1345="","",N1345&amp;"|"&amp;$F1345)</f>
        <v/>
      </c>
      <c r="P1345" s="77">
        <f>IF($A1345="",0,$H1345*설정!$C$23)</f>
        <v/>
      </c>
      <c r="Q1345" s="39">
        <f>IF($A1345="","",IF(O1345&lt;&gt;원인분석!$C$9,"",IF(AND(M1345&gt;=원인분석!$C$10,M1345&lt;=원인분석!$C$11),"당기",IF(AND(M1345&gt;=원인분석!$C$12,M1345&lt;=원인분석!$C$13),"비교",""))))</f>
        <v/>
      </c>
      <c r="R1345" s="9">
        <f>IF(Q1345="","",$K1345&amp;"")</f>
        <v/>
      </c>
      <c r="S1345" s="9">
        <f>IF(Q1345="","",IF(MATCH(R1345,$R$5:$R$100000,0)=ROW()-4,ROW(),""))</f>
        <v/>
      </c>
      <c r="T1345" s="9">
        <f>IF(Q1345="당기",ABS(P1345)+ROW()/1000000000,"")</f>
        <v/>
      </c>
      <c r="U1345" s="9">
        <f>IF(Q1345="비교",ABS(P1345)+ROW()/1000000000,"")</f>
        <v/>
      </c>
      <c r="V1345" s="39">
        <f>IF($A1345="","",IF(COUNTIF(변동분석!$E$7:$E$506,O1345)&gt;0,"Y","N"))</f>
        <v/>
      </c>
      <c r="W1345" s="39">
        <f>IF($A1345="","",IFERROR(INDEX(계정매핑!$D$5:$D$504,MATCH($F1345&amp;"",계정매핑!$A$5:$A$504,0)),"미매핑"))</f>
        <v/>
      </c>
      <c r="X1345" s="9">
        <f>IF($A1345="","",$F1345&amp;"")</f>
        <v/>
      </c>
    </row>
    <row r="1346">
      <c r="A1346" s="75" t="n">
        <v>2025</v>
      </c>
      <c r="B1346" s="75" t="n">
        <v>7</v>
      </c>
      <c r="C1346" s="75" t="inlineStr">
        <is>
          <t>5100001342</t>
        </is>
      </c>
      <c r="D1346" s="78" t="n">
        <v>45863</v>
      </c>
      <c r="E1346" s="75" t="inlineStr">
        <is>
          <t>KR</t>
        </is>
      </c>
      <c r="F1346" s="75" t="n">
        <v>62301000</v>
      </c>
      <c r="G1346" s="75" t="n">
        <v>1401</v>
      </c>
      <c r="H1346" s="76" t="n">
        <v>119000</v>
      </c>
      <c r="I1346" s="75" t="inlineStr">
        <is>
          <t>7월 소모품 구입 - Q오피스</t>
        </is>
      </c>
      <c r="J1346" s="75" t="inlineStr">
        <is>
          <t>V10003</t>
        </is>
      </c>
      <c r="K1346" s="75" t="inlineStr">
        <is>
          <t>Q오피스</t>
        </is>
      </c>
      <c r="M1346" s="9">
        <f>IF($A1346="","",VALUE($A1346&amp;"")*12+VALUE($B1346&amp;""))</f>
        <v/>
      </c>
      <c r="N1346" s="39">
        <f>IF($A1346="","",IFERROR(INDEX(부서매핑!$C$5:$C$504,MATCH($G1346&amp;"",부서매핑!$A$5:$A$504,0)),"미매핑"))</f>
        <v/>
      </c>
      <c r="O1346" s="9">
        <f>IF($A1346="","",N1346&amp;"|"&amp;$F1346)</f>
        <v/>
      </c>
      <c r="P1346" s="77">
        <f>IF($A1346="",0,$H1346*설정!$C$23)</f>
        <v/>
      </c>
      <c r="Q1346" s="39">
        <f>IF($A1346="","",IF(O1346&lt;&gt;원인분석!$C$9,"",IF(AND(M1346&gt;=원인분석!$C$10,M1346&lt;=원인분석!$C$11),"당기",IF(AND(M1346&gt;=원인분석!$C$12,M1346&lt;=원인분석!$C$13),"비교",""))))</f>
        <v/>
      </c>
      <c r="R1346" s="9">
        <f>IF(Q1346="","",$K1346&amp;"")</f>
        <v/>
      </c>
      <c r="S1346" s="9">
        <f>IF(Q1346="","",IF(MATCH(R1346,$R$5:$R$100000,0)=ROW()-4,ROW(),""))</f>
        <v/>
      </c>
      <c r="T1346" s="9">
        <f>IF(Q1346="당기",ABS(P1346)+ROW()/1000000000,"")</f>
        <v/>
      </c>
      <c r="U1346" s="9">
        <f>IF(Q1346="비교",ABS(P1346)+ROW()/1000000000,"")</f>
        <v/>
      </c>
      <c r="V1346" s="39">
        <f>IF($A1346="","",IF(COUNTIF(변동분석!$E$7:$E$506,O1346)&gt;0,"Y","N"))</f>
        <v/>
      </c>
      <c r="W1346" s="39">
        <f>IF($A1346="","",IFERROR(INDEX(계정매핑!$D$5:$D$504,MATCH($F1346&amp;"",계정매핑!$A$5:$A$504,0)),"미매핑"))</f>
        <v/>
      </c>
      <c r="X1346" s="9">
        <f>IF($A1346="","",$F1346&amp;"")</f>
        <v/>
      </c>
    </row>
    <row r="1347">
      <c r="A1347" s="75" t="n">
        <v>2025</v>
      </c>
      <c r="B1347" s="75" t="n">
        <v>7</v>
      </c>
      <c r="C1347" s="75" t="inlineStr">
        <is>
          <t>5100001343</t>
        </is>
      </c>
      <c r="D1347" s="78" t="n">
        <v>45863</v>
      </c>
      <c r="E1347" s="75" t="inlineStr">
        <is>
          <t>KR</t>
        </is>
      </c>
      <c r="F1347" s="75" t="n">
        <v>62401000</v>
      </c>
      <c r="G1347" s="75" t="n">
        <v>1501</v>
      </c>
      <c r="H1347" s="76" t="n">
        <v>838000</v>
      </c>
      <c r="I1347" s="75" t="inlineStr">
        <is>
          <t>7월 인쇄물 제작 - S출판</t>
        </is>
      </c>
      <c r="J1347" s="75" t="inlineStr">
        <is>
          <t>V10012</t>
        </is>
      </c>
      <c r="K1347" s="75" t="inlineStr">
        <is>
          <t>S출판</t>
        </is>
      </c>
      <c r="M1347" s="9">
        <f>IF($A1347="","",VALUE($A1347&amp;"")*12+VALUE($B1347&amp;""))</f>
        <v/>
      </c>
      <c r="N1347" s="39">
        <f>IF($A1347="","",IFERROR(INDEX(부서매핑!$C$5:$C$504,MATCH($G1347&amp;"",부서매핑!$A$5:$A$504,0)),"미매핑"))</f>
        <v/>
      </c>
      <c r="O1347" s="9">
        <f>IF($A1347="","",N1347&amp;"|"&amp;$F1347)</f>
        <v/>
      </c>
      <c r="P1347" s="77">
        <f>IF($A1347="",0,$H1347*설정!$C$23)</f>
        <v/>
      </c>
      <c r="Q1347" s="39">
        <f>IF($A1347="","",IF(O1347&lt;&gt;원인분석!$C$9,"",IF(AND(M1347&gt;=원인분석!$C$10,M1347&lt;=원인분석!$C$11),"당기",IF(AND(M1347&gt;=원인분석!$C$12,M1347&lt;=원인분석!$C$13),"비교",""))))</f>
        <v/>
      </c>
      <c r="R1347" s="9">
        <f>IF(Q1347="","",$K1347&amp;"")</f>
        <v/>
      </c>
      <c r="S1347" s="9">
        <f>IF(Q1347="","",IF(MATCH(R1347,$R$5:$R$100000,0)=ROW()-4,ROW(),""))</f>
        <v/>
      </c>
      <c r="T1347" s="9">
        <f>IF(Q1347="당기",ABS(P1347)+ROW()/1000000000,"")</f>
        <v/>
      </c>
      <c r="U1347" s="9">
        <f>IF(Q1347="비교",ABS(P1347)+ROW()/1000000000,"")</f>
        <v/>
      </c>
      <c r="V1347" s="39">
        <f>IF($A1347="","",IF(COUNTIF(변동분석!$E$7:$E$506,O1347)&gt;0,"Y","N"))</f>
        <v/>
      </c>
      <c r="W1347" s="39">
        <f>IF($A1347="","",IFERROR(INDEX(계정매핑!$D$5:$D$504,MATCH($F1347&amp;"",계정매핑!$A$5:$A$504,0)),"미매핑"))</f>
        <v/>
      </c>
      <c r="X1347" s="9">
        <f>IF($A1347="","",$F1347&amp;"")</f>
        <v/>
      </c>
    </row>
    <row r="1348">
      <c r="A1348" s="75" t="n">
        <v>2025</v>
      </c>
      <c r="B1348" s="75" t="n">
        <v>7</v>
      </c>
      <c r="C1348" s="75" t="inlineStr">
        <is>
          <t>5100001344</t>
        </is>
      </c>
      <c r="D1348" s="78" t="n">
        <v>45863</v>
      </c>
      <c r="E1348" s="75" t="inlineStr">
        <is>
          <t>KR</t>
        </is>
      </c>
      <c r="F1348" s="75" t="n">
        <v>62401000</v>
      </c>
      <c r="G1348" s="75" t="n">
        <v>1502</v>
      </c>
      <c r="H1348" s="76" t="n">
        <v>1675000</v>
      </c>
      <c r="I1348" s="75" t="inlineStr">
        <is>
          <t>7월 인쇄물 제작 - G인쇄</t>
        </is>
      </c>
      <c r="J1348" s="75" t="inlineStr">
        <is>
          <t>V10004</t>
        </is>
      </c>
      <c r="K1348" s="75" t="inlineStr">
        <is>
          <t>G인쇄</t>
        </is>
      </c>
      <c r="M1348" s="9">
        <f>IF($A1348="","",VALUE($A1348&amp;"")*12+VALUE($B1348&amp;""))</f>
        <v/>
      </c>
      <c r="N1348" s="39">
        <f>IF($A1348="","",IFERROR(INDEX(부서매핑!$C$5:$C$504,MATCH($G1348&amp;"",부서매핑!$A$5:$A$504,0)),"미매핑"))</f>
        <v/>
      </c>
      <c r="O1348" s="9">
        <f>IF($A1348="","",N1348&amp;"|"&amp;$F1348)</f>
        <v/>
      </c>
      <c r="P1348" s="77">
        <f>IF($A1348="",0,$H1348*설정!$C$23)</f>
        <v/>
      </c>
      <c r="Q1348" s="39">
        <f>IF($A1348="","",IF(O1348&lt;&gt;원인분석!$C$9,"",IF(AND(M1348&gt;=원인분석!$C$10,M1348&lt;=원인분석!$C$11),"당기",IF(AND(M1348&gt;=원인분석!$C$12,M1348&lt;=원인분석!$C$13),"비교",""))))</f>
        <v/>
      </c>
      <c r="R1348" s="9">
        <f>IF(Q1348="","",$K1348&amp;"")</f>
        <v/>
      </c>
      <c r="S1348" s="9">
        <f>IF(Q1348="","",IF(MATCH(R1348,$R$5:$R$100000,0)=ROW()-4,ROW(),""))</f>
        <v/>
      </c>
      <c r="T1348" s="9">
        <f>IF(Q1348="당기",ABS(P1348)+ROW()/1000000000,"")</f>
        <v/>
      </c>
      <c r="U1348" s="9">
        <f>IF(Q1348="비교",ABS(P1348)+ROW()/1000000000,"")</f>
        <v/>
      </c>
      <c r="V1348" s="39">
        <f>IF($A1348="","",IF(COUNTIF(변동분석!$E$7:$E$506,O1348)&gt;0,"Y","N"))</f>
        <v/>
      </c>
      <c r="W1348" s="39">
        <f>IF($A1348="","",IFERROR(INDEX(계정매핑!$D$5:$D$504,MATCH($F1348&amp;"",계정매핑!$A$5:$A$504,0)),"미매핑"))</f>
        <v/>
      </c>
      <c r="X1348" s="9">
        <f>IF($A1348="","",$F1348&amp;"")</f>
        <v/>
      </c>
    </row>
    <row r="1349">
      <c r="A1349" s="75" t="n">
        <v>2025</v>
      </c>
      <c r="B1349" s="75" t="n">
        <v>7</v>
      </c>
      <c r="C1349" s="75" t="inlineStr">
        <is>
          <t>5100001345</t>
        </is>
      </c>
      <c r="D1349" s="78" t="n">
        <v>45863</v>
      </c>
      <c r="E1349" s="75" t="inlineStr">
        <is>
          <t>KR</t>
        </is>
      </c>
      <c r="F1349" s="75" t="n">
        <v>62802000</v>
      </c>
      <c r="G1349" s="75" t="n">
        <v>1301</v>
      </c>
      <c r="H1349" s="76" t="n">
        <v>5655000</v>
      </c>
      <c r="I1349" s="75" t="inlineStr">
        <is>
          <t>7월 위탁교육 - I교육원</t>
        </is>
      </c>
      <c r="J1349" s="75" t="inlineStr">
        <is>
          <t>V10015</t>
        </is>
      </c>
      <c r="K1349" s="75" t="inlineStr">
        <is>
          <t>I교육원</t>
        </is>
      </c>
      <c r="M1349" s="9">
        <f>IF($A1349="","",VALUE($A1349&amp;"")*12+VALUE($B1349&amp;""))</f>
        <v/>
      </c>
      <c r="N1349" s="39">
        <f>IF($A1349="","",IFERROR(INDEX(부서매핑!$C$5:$C$504,MATCH($G1349&amp;"",부서매핑!$A$5:$A$504,0)),"미매핑"))</f>
        <v/>
      </c>
      <c r="O1349" s="9">
        <f>IF($A1349="","",N1349&amp;"|"&amp;$F1349)</f>
        <v/>
      </c>
      <c r="P1349" s="77">
        <f>IF($A1349="",0,$H1349*설정!$C$23)</f>
        <v/>
      </c>
      <c r="Q1349" s="39">
        <f>IF($A1349="","",IF(O1349&lt;&gt;원인분석!$C$9,"",IF(AND(M1349&gt;=원인분석!$C$10,M1349&lt;=원인분석!$C$11),"당기",IF(AND(M1349&gt;=원인분석!$C$12,M1349&lt;=원인분석!$C$13),"비교",""))))</f>
        <v/>
      </c>
      <c r="R1349" s="9">
        <f>IF(Q1349="","",$K1349&amp;"")</f>
        <v/>
      </c>
      <c r="S1349" s="9">
        <f>IF(Q1349="","",IF(MATCH(R1349,$R$5:$R$100000,0)=ROW()-4,ROW(),""))</f>
        <v/>
      </c>
      <c r="T1349" s="9">
        <f>IF(Q1349="당기",ABS(P1349)+ROW()/1000000000,"")</f>
        <v/>
      </c>
      <c r="U1349" s="9">
        <f>IF(Q1349="비교",ABS(P1349)+ROW()/1000000000,"")</f>
        <v/>
      </c>
      <c r="V1349" s="39">
        <f>IF($A1349="","",IF(COUNTIF(변동분석!$E$7:$E$506,O1349)&gt;0,"Y","N"))</f>
        <v/>
      </c>
      <c r="W1349" s="39">
        <f>IF($A1349="","",IFERROR(INDEX(계정매핑!$D$5:$D$504,MATCH($F1349&amp;"",계정매핑!$A$5:$A$504,0)),"미매핑"))</f>
        <v/>
      </c>
      <c r="X1349" s="9">
        <f>IF($A1349="","",$F1349&amp;"")</f>
        <v/>
      </c>
    </row>
    <row r="1350">
      <c r="A1350" s="75" t="n">
        <v>2025</v>
      </c>
      <c r="B1350" s="75" t="n">
        <v>7</v>
      </c>
      <c r="C1350" s="75" t="inlineStr">
        <is>
          <t>5100001346</t>
        </is>
      </c>
      <c r="D1350" s="78" t="n">
        <v>45863</v>
      </c>
      <c r="E1350" s="75" t="inlineStr">
        <is>
          <t>KR</t>
        </is>
      </c>
      <c r="F1350" s="75" t="n">
        <v>62802000</v>
      </c>
      <c r="G1350" s="75" t="n">
        <v>1301</v>
      </c>
      <c r="H1350" s="76" t="n">
        <v>4151000</v>
      </c>
      <c r="I1350" s="75" t="inlineStr">
        <is>
          <t>7월 위탁교육 - I교육원</t>
        </is>
      </c>
      <c r="J1350" s="75" t="inlineStr">
        <is>
          <t>V10015</t>
        </is>
      </c>
      <c r="K1350" s="75" t="inlineStr">
        <is>
          <t>I교육원</t>
        </is>
      </c>
      <c r="M1350" s="9">
        <f>IF($A1350="","",VALUE($A1350&amp;"")*12+VALUE($B1350&amp;""))</f>
        <v/>
      </c>
      <c r="N1350" s="39">
        <f>IF($A1350="","",IFERROR(INDEX(부서매핑!$C$5:$C$504,MATCH($G1350&amp;"",부서매핑!$A$5:$A$504,0)),"미매핑"))</f>
        <v/>
      </c>
      <c r="O1350" s="9">
        <f>IF($A1350="","",N1350&amp;"|"&amp;$F1350)</f>
        <v/>
      </c>
      <c r="P1350" s="77">
        <f>IF($A1350="",0,$H1350*설정!$C$23)</f>
        <v/>
      </c>
      <c r="Q1350" s="39">
        <f>IF($A1350="","",IF(O1350&lt;&gt;원인분석!$C$9,"",IF(AND(M1350&gt;=원인분석!$C$10,M1350&lt;=원인분석!$C$11),"당기",IF(AND(M1350&gt;=원인분석!$C$12,M1350&lt;=원인분석!$C$13),"비교",""))))</f>
        <v/>
      </c>
      <c r="R1350" s="9">
        <f>IF(Q1350="","",$K1350&amp;"")</f>
        <v/>
      </c>
      <c r="S1350" s="9">
        <f>IF(Q1350="","",IF(MATCH(R1350,$R$5:$R$100000,0)=ROW()-4,ROW(),""))</f>
        <v/>
      </c>
      <c r="T1350" s="9">
        <f>IF(Q1350="당기",ABS(P1350)+ROW()/1000000000,"")</f>
        <v/>
      </c>
      <c r="U1350" s="9">
        <f>IF(Q1350="비교",ABS(P1350)+ROW()/1000000000,"")</f>
        <v/>
      </c>
      <c r="V1350" s="39">
        <f>IF($A1350="","",IF(COUNTIF(변동분석!$E$7:$E$506,O1350)&gt;0,"Y","N"))</f>
        <v/>
      </c>
      <c r="W1350" s="39">
        <f>IF($A1350="","",IFERROR(INDEX(계정매핑!$D$5:$D$504,MATCH($F1350&amp;"",계정매핑!$A$5:$A$504,0)),"미매핑"))</f>
        <v/>
      </c>
      <c r="X1350" s="9">
        <f>IF($A1350="","",$F1350&amp;"")</f>
        <v/>
      </c>
    </row>
    <row r="1351">
      <c r="A1351" s="75" t="n">
        <v>2025</v>
      </c>
      <c r="B1351" s="75" t="n">
        <v>7</v>
      </c>
      <c r="C1351" s="75" t="inlineStr">
        <is>
          <t>5100001347</t>
        </is>
      </c>
      <c r="D1351" s="78" t="n">
        <v>45863</v>
      </c>
      <c r="E1351" s="75" t="inlineStr">
        <is>
          <t>KR</t>
        </is>
      </c>
      <c r="F1351" s="75" t="n">
        <v>63002000</v>
      </c>
      <c r="G1351" s="75" t="n">
        <v>1701</v>
      </c>
      <c r="H1351" s="76" t="n">
        <v>68000000</v>
      </c>
      <c r="I1351" s="75" t="inlineStr">
        <is>
          <t>7월 클라우드 사용료 - C클라우드</t>
        </is>
      </c>
      <c r="J1351" s="75" t="inlineStr">
        <is>
          <t>V10028</t>
        </is>
      </c>
      <c r="K1351" s="75" t="inlineStr">
        <is>
          <t>C클라우드</t>
        </is>
      </c>
      <c r="M1351" s="9">
        <f>IF($A1351="","",VALUE($A1351&amp;"")*12+VALUE($B1351&amp;""))</f>
        <v/>
      </c>
      <c r="N1351" s="39">
        <f>IF($A1351="","",IFERROR(INDEX(부서매핑!$C$5:$C$504,MATCH($G1351&amp;"",부서매핑!$A$5:$A$504,0)),"미매핑"))</f>
        <v/>
      </c>
      <c r="O1351" s="9">
        <f>IF($A1351="","",N1351&amp;"|"&amp;$F1351)</f>
        <v/>
      </c>
      <c r="P1351" s="77">
        <f>IF($A1351="",0,$H1351*설정!$C$23)</f>
        <v/>
      </c>
      <c r="Q1351" s="39">
        <f>IF($A1351="","",IF(O1351&lt;&gt;원인분석!$C$9,"",IF(AND(M1351&gt;=원인분석!$C$10,M1351&lt;=원인분석!$C$11),"당기",IF(AND(M1351&gt;=원인분석!$C$12,M1351&lt;=원인분석!$C$13),"비교",""))))</f>
        <v/>
      </c>
      <c r="R1351" s="9">
        <f>IF(Q1351="","",$K1351&amp;"")</f>
        <v/>
      </c>
      <c r="S1351" s="9">
        <f>IF(Q1351="","",IF(MATCH(R1351,$R$5:$R$100000,0)=ROW()-4,ROW(),""))</f>
        <v/>
      </c>
      <c r="T1351" s="9">
        <f>IF(Q1351="당기",ABS(P1351)+ROW()/1000000000,"")</f>
        <v/>
      </c>
      <c r="U1351" s="9">
        <f>IF(Q1351="비교",ABS(P1351)+ROW()/1000000000,"")</f>
        <v/>
      </c>
      <c r="V1351" s="39">
        <f>IF($A1351="","",IF(COUNTIF(변동분석!$E$7:$E$506,O1351)&gt;0,"Y","N"))</f>
        <v/>
      </c>
      <c r="W1351" s="39">
        <f>IF($A1351="","",IFERROR(INDEX(계정매핑!$D$5:$D$504,MATCH($F1351&amp;"",계정매핑!$A$5:$A$504,0)),"미매핑"))</f>
        <v/>
      </c>
      <c r="X1351" s="9">
        <f>IF($A1351="","",$F1351&amp;"")</f>
        <v/>
      </c>
    </row>
    <row r="1352">
      <c r="A1352" s="75" t="n">
        <v>2025</v>
      </c>
      <c r="B1352" s="75" t="n">
        <v>7</v>
      </c>
      <c r="C1352" s="75" t="inlineStr">
        <is>
          <t>5100001348</t>
        </is>
      </c>
      <c r="D1352" s="78" t="n">
        <v>45864</v>
      </c>
      <c r="E1352" s="75" t="inlineStr">
        <is>
          <t>KR</t>
        </is>
      </c>
      <c r="F1352" s="75" t="n">
        <v>62101000</v>
      </c>
      <c r="G1352" s="75" t="n">
        <v>1301</v>
      </c>
      <c r="H1352" s="76" t="n">
        <v>177000</v>
      </c>
      <c r="I1352" s="75" t="inlineStr">
        <is>
          <t>7월 국내출장 - L여행사</t>
        </is>
      </c>
      <c r="J1352" s="75" t="inlineStr">
        <is>
          <t>V10014</t>
        </is>
      </c>
      <c r="K1352" s="75" t="inlineStr">
        <is>
          <t>L여행사</t>
        </is>
      </c>
      <c r="M1352" s="9">
        <f>IF($A1352="","",VALUE($A1352&amp;"")*12+VALUE($B1352&amp;""))</f>
        <v/>
      </c>
      <c r="N1352" s="39">
        <f>IF($A1352="","",IFERROR(INDEX(부서매핑!$C$5:$C$504,MATCH($G1352&amp;"",부서매핑!$A$5:$A$504,0)),"미매핑"))</f>
        <v/>
      </c>
      <c r="O1352" s="9">
        <f>IF($A1352="","",N1352&amp;"|"&amp;$F1352)</f>
        <v/>
      </c>
      <c r="P1352" s="77">
        <f>IF($A1352="",0,$H1352*설정!$C$23)</f>
        <v/>
      </c>
      <c r="Q1352" s="39">
        <f>IF($A1352="","",IF(O1352&lt;&gt;원인분석!$C$9,"",IF(AND(M1352&gt;=원인분석!$C$10,M1352&lt;=원인분석!$C$11),"당기",IF(AND(M1352&gt;=원인분석!$C$12,M1352&lt;=원인분석!$C$13),"비교",""))))</f>
        <v/>
      </c>
      <c r="R1352" s="9">
        <f>IF(Q1352="","",$K1352&amp;"")</f>
        <v/>
      </c>
      <c r="S1352" s="9">
        <f>IF(Q1352="","",IF(MATCH(R1352,$R$5:$R$100000,0)=ROW()-4,ROW(),""))</f>
        <v/>
      </c>
      <c r="T1352" s="9">
        <f>IF(Q1352="당기",ABS(P1352)+ROW()/1000000000,"")</f>
        <v/>
      </c>
      <c r="U1352" s="9">
        <f>IF(Q1352="비교",ABS(P1352)+ROW()/1000000000,"")</f>
        <v/>
      </c>
      <c r="V1352" s="39">
        <f>IF($A1352="","",IF(COUNTIF(변동분석!$E$7:$E$506,O1352)&gt;0,"Y","N"))</f>
        <v/>
      </c>
      <c r="W1352" s="39">
        <f>IF($A1352="","",IFERROR(INDEX(계정매핑!$D$5:$D$504,MATCH($F1352&amp;"",계정매핑!$A$5:$A$504,0)),"미매핑"))</f>
        <v/>
      </c>
      <c r="X1352" s="9">
        <f>IF($A1352="","",$F1352&amp;"")</f>
        <v/>
      </c>
    </row>
    <row r="1353">
      <c r="A1353" s="75" t="n">
        <v>2025</v>
      </c>
      <c r="B1353" s="75" t="n">
        <v>7</v>
      </c>
      <c r="C1353" s="75" t="inlineStr">
        <is>
          <t>5100001349</t>
        </is>
      </c>
      <c r="D1353" s="78" t="n">
        <v>45864</v>
      </c>
      <c r="E1353" s="75" t="inlineStr">
        <is>
          <t>KR</t>
        </is>
      </c>
      <c r="F1353" s="75" t="n">
        <v>62201000</v>
      </c>
      <c r="G1353" s="75" t="n">
        <v>1201</v>
      </c>
      <c r="H1353" s="76" t="n">
        <v>115000</v>
      </c>
      <c r="I1353" s="75" t="inlineStr">
        <is>
          <t>7월 통신요금 - P통신</t>
        </is>
      </c>
      <c r="J1353" s="75" t="inlineStr">
        <is>
          <t>V10011</t>
        </is>
      </c>
      <c r="K1353" s="75" t="inlineStr">
        <is>
          <t>P통신</t>
        </is>
      </c>
      <c r="M1353" s="9">
        <f>IF($A1353="","",VALUE($A1353&amp;"")*12+VALUE($B1353&amp;""))</f>
        <v/>
      </c>
      <c r="N1353" s="39">
        <f>IF($A1353="","",IFERROR(INDEX(부서매핑!$C$5:$C$504,MATCH($G1353&amp;"",부서매핑!$A$5:$A$504,0)),"미매핑"))</f>
        <v/>
      </c>
      <c r="O1353" s="9">
        <f>IF($A1353="","",N1353&amp;"|"&amp;$F1353)</f>
        <v/>
      </c>
      <c r="P1353" s="77">
        <f>IF($A1353="",0,$H1353*설정!$C$23)</f>
        <v/>
      </c>
      <c r="Q1353" s="39">
        <f>IF($A1353="","",IF(O1353&lt;&gt;원인분석!$C$9,"",IF(AND(M1353&gt;=원인분석!$C$10,M1353&lt;=원인분석!$C$11),"당기",IF(AND(M1353&gt;=원인분석!$C$12,M1353&lt;=원인분석!$C$13),"비교",""))))</f>
        <v/>
      </c>
      <c r="R1353" s="9">
        <f>IF(Q1353="","",$K1353&amp;"")</f>
        <v/>
      </c>
      <c r="S1353" s="9">
        <f>IF(Q1353="","",IF(MATCH(R1353,$R$5:$R$100000,0)=ROW()-4,ROW(),""))</f>
        <v/>
      </c>
      <c r="T1353" s="9">
        <f>IF(Q1353="당기",ABS(P1353)+ROW()/1000000000,"")</f>
        <v/>
      </c>
      <c r="U1353" s="9">
        <f>IF(Q1353="비교",ABS(P1353)+ROW()/1000000000,"")</f>
        <v/>
      </c>
      <c r="V1353" s="39">
        <f>IF($A1353="","",IF(COUNTIF(변동분석!$E$7:$E$506,O1353)&gt;0,"Y","N"))</f>
        <v/>
      </c>
      <c r="W1353" s="39">
        <f>IF($A1353="","",IFERROR(INDEX(계정매핑!$D$5:$D$504,MATCH($F1353&amp;"",계정매핑!$A$5:$A$504,0)),"미매핑"))</f>
        <v/>
      </c>
      <c r="X1353" s="9">
        <f>IF($A1353="","",$F1353&amp;"")</f>
        <v/>
      </c>
    </row>
    <row r="1354">
      <c r="A1354" s="75" t="n">
        <v>2025</v>
      </c>
      <c r="B1354" s="75" t="n">
        <v>7</v>
      </c>
      <c r="C1354" s="75" t="inlineStr">
        <is>
          <t>5100001350</t>
        </is>
      </c>
      <c r="D1354" s="78" t="n">
        <v>45864</v>
      </c>
      <c r="E1354" s="75" t="inlineStr">
        <is>
          <t>KR</t>
        </is>
      </c>
      <c r="F1354" s="75" t="n">
        <v>62201000</v>
      </c>
      <c r="G1354" s="75" t="n">
        <v>1301</v>
      </c>
      <c r="H1354" s="76" t="n">
        <v>193000</v>
      </c>
      <c r="I1354" s="75" t="inlineStr">
        <is>
          <t>7월 통신요금 - O텔레콤</t>
        </is>
      </c>
      <c r="J1354" s="75" t="inlineStr">
        <is>
          <t>V10002</t>
        </is>
      </c>
      <c r="K1354" s="75" t="inlineStr">
        <is>
          <t>O텔레콤</t>
        </is>
      </c>
      <c r="M1354" s="9">
        <f>IF($A1354="","",VALUE($A1354&amp;"")*12+VALUE($B1354&amp;""))</f>
        <v/>
      </c>
      <c r="N1354" s="39">
        <f>IF($A1354="","",IFERROR(INDEX(부서매핑!$C$5:$C$504,MATCH($G1354&amp;"",부서매핑!$A$5:$A$504,0)),"미매핑"))</f>
        <v/>
      </c>
      <c r="O1354" s="9">
        <f>IF($A1354="","",N1354&amp;"|"&amp;$F1354)</f>
        <v/>
      </c>
      <c r="P1354" s="77">
        <f>IF($A1354="",0,$H1354*설정!$C$23)</f>
        <v/>
      </c>
      <c r="Q1354" s="39">
        <f>IF($A1354="","",IF(O1354&lt;&gt;원인분석!$C$9,"",IF(AND(M1354&gt;=원인분석!$C$10,M1354&lt;=원인분석!$C$11),"당기",IF(AND(M1354&gt;=원인분석!$C$12,M1354&lt;=원인분석!$C$13),"비교",""))))</f>
        <v/>
      </c>
      <c r="R1354" s="9">
        <f>IF(Q1354="","",$K1354&amp;"")</f>
        <v/>
      </c>
      <c r="S1354" s="9">
        <f>IF(Q1354="","",IF(MATCH(R1354,$R$5:$R$100000,0)=ROW()-4,ROW(),""))</f>
        <v/>
      </c>
      <c r="T1354" s="9">
        <f>IF(Q1354="당기",ABS(P1354)+ROW()/1000000000,"")</f>
        <v/>
      </c>
      <c r="U1354" s="9">
        <f>IF(Q1354="비교",ABS(P1354)+ROW()/1000000000,"")</f>
        <v/>
      </c>
      <c r="V1354" s="39">
        <f>IF($A1354="","",IF(COUNTIF(변동분석!$E$7:$E$506,O1354)&gt;0,"Y","N"))</f>
        <v/>
      </c>
      <c r="W1354" s="39">
        <f>IF($A1354="","",IFERROR(INDEX(계정매핑!$D$5:$D$504,MATCH($F1354&amp;"",계정매핑!$A$5:$A$504,0)),"미매핑"))</f>
        <v/>
      </c>
      <c r="X1354" s="9">
        <f>IF($A1354="","",$F1354&amp;"")</f>
        <v/>
      </c>
    </row>
    <row r="1355">
      <c r="A1355" s="75" t="n">
        <v>2025</v>
      </c>
      <c r="B1355" s="75" t="n">
        <v>7</v>
      </c>
      <c r="C1355" s="75" t="inlineStr">
        <is>
          <t>5100001351</t>
        </is>
      </c>
      <c r="D1355" s="78" t="n">
        <v>45864</v>
      </c>
      <c r="E1355" s="75" t="inlineStr">
        <is>
          <t>KR</t>
        </is>
      </c>
      <c r="F1355" s="75" t="n">
        <v>62301000</v>
      </c>
      <c r="G1355" s="75" t="n">
        <v>1301</v>
      </c>
      <c r="H1355" s="76" t="n">
        <v>141000</v>
      </c>
      <c r="I1355" s="75" t="inlineStr">
        <is>
          <t>7월 소모품 구입 - R문구</t>
        </is>
      </c>
      <c r="J1355" s="75" t="inlineStr">
        <is>
          <t>V10018</t>
        </is>
      </c>
      <c r="K1355" s="75" t="inlineStr">
        <is>
          <t>R문구</t>
        </is>
      </c>
      <c r="M1355" s="9">
        <f>IF($A1355="","",VALUE($A1355&amp;"")*12+VALUE($B1355&amp;""))</f>
        <v/>
      </c>
      <c r="N1355" s="39">
        <f>IF($A1355="","",IFERROR(INDEX(부서매핑!$C$5:$C$504,MATCH($G1355&amp;"",부서매핑!$A$5:$A$504,0)),"미매핑"))</f>
        <v/>
      </c>
      <c r="O1355" s="9">
        <f>IF($A1355="","",N1355&amp;"|"&amp;$F1355)</f>
        <v/>
      </c>
      <c r="P1355" s="77">
        <f>IF($A1355="",0,$H1355*설정!$C$23)</f>
        <v/>
      </c>
      <c r="Q1355" s="39">
        <f>IF($A1355="","",IF(O1355&lt;&gt;원인분석!$C$9,"",IF(AND(M1355&gt;=원인분석!$C$10,M1355&lt;=원인분석!$C$11),"당기",IF(AND(M1355&gt;=원인분석!$C$12,M1355&lt;=원인분석!$C$13),"비교",""))))</f>
        <v/>
      </c>
      <c r="R1355" s="9">
        <f>IF(Q1355="","",$K1355&amp;"")</f>
        <v/>
      </c>
      <c r="S1355" s="9">
        <f>IF(Q1355="","",IF(MATCH(R1355,$R$5:$R$100000,0)=ROW()-4,ROW(),""))</f>
        <v/>
      </c>
      <c r="T1355" s="9">
        <f>IF(Q1355="당기",ABS(P1355)+ROW()/1000000000,"")</f>
        <v/>
      </c>
      <c r="U1355" s="9">
        <f>IF(Q1355="비교",ABS(P1355)+ROW()/1000000000,"")</f>
        <v/>
      </c>
      <c r="V1355" s="39">
        <f>IF($A1355="","",IF(COUNTIF(변동분석!$E$7:$E$506,O1355)&gt;0,"Y","N"))</f>
        <v/>
      </c>
      <c r="W1355" s="39">
        <f>IF($A1355="","",IFERROR(INDEX(계정매핑!$D$5:$D$504,MATCH($F1355&amp;"",계정매핑!$A$5:$A$504,0)),"미매핑"))</f>
        <v/>
      </c>
      <c r="X1355" s="9">
        <f>IF($A1355="","",$F1355&amp;"")</f>
        <v/>
      </c>
    </row>
    <row r="1356">
      <c r="A1356" s="75" t="n">
        <v>2025</v>
      </c>
      <c r="B1356" s="75" t="n">
        <v>7</v>
      </c>
      <c r="C1356" s="75" t="inlineStr">
        <is>
          <t>5100001352</t>
        </is>
      </c>
      <c r="D1356" s="78" t="n">
        <v>45864</v>
      </c>
      <c r="E1356" s="75" t="inlineStr">
        <is>
          <t>KR</t>
        </is>
      </c>
      <c r="F1356" s="75" t="n">
        <v>62301000</v>
      </c>
      <c r="G1356" s="75" t="n">
        <v>1801</v>
      </c>
      <c r="H1356" s="76" t="n">
        <v>377000</v>
      </c>
      <c r="I1356" s="75" t="inlineStr">
        <is>
          <t>7월 소모품 구입 - Q오피스</t>
        </is>
      </c>
      <c r="J1356" s="75" t="inlineStr">
        <is>
          <t>V10003</t>
        </is>
      </c>
      <c r="K1356" s="75" t="inlineStr">
        <is>
          <t>Q오피스</t>
        </is>
      </c>
      <c r="M1356" s="9">
        <f>IF($A1356="","",VALUE($A1356&amp;"")*12+VALUE($B1356&amp;""))</f>
        <v/>
      </c>
      <c r="N1356" s="39">
        <f>IF($A1356="","",IFERROR(INDEX(부서매핑!$C$5:$C$504,MATCH($G1356&amp;"",부서매핑!$A$5:$A$504,0)),"미매핑"))</f>
        <v/>
      </c>
      <c r="O1356" s="9">
        <f>IF($A1356="","",N1356&amp;"|"&amp;$F1356)</f>
        <v/>
      </c>
      <c r="P1356" s="77">
        <f>IF($A1356="",0,$H1356*설정!$C$23)</f>
        <v/>
      </c>
      <c r="Q1356" s="39">
        <f>IF($A1356="","",IF(O1356&lt;&gt;원인분석!$C$9,"",IF(AND(M1356&gt;=원인분석!$C$10,M1356&lt;=원인분석!$C$11),"당기",IF(AND(M1356&gt;=원인분석!$C$12,M1356&lt;=원인분석!$C$13),"비교",""))))</f>
        <v/>
      </c>
      <c r="R1356" s="9">
        <f>IF(Q1356="","",$K1356&amp;"")</f>
        <v/>
      </c>
      <c r="S1356" s="9">
        <f>IF(Q1356="","",IF(MATCH(R1356,$R$5:$R$100000,0)=ROW()-4,ROW(),""))</f>
        <v/>
      </c>
      <c r="T1356" s="9">
        <f>IF(Q1356="당기",ABS(P1356)+ROW()/1000000000,"")</f>
        <v/>
      </c>
      <c r="U1356" s="9">
        <f>IF(Q1356="비교",ABS(P1356)+ROW()/1000000000,"")</f>
        <v/>
      </c>
      <c r="V1356" s="39">
        <f>IF($A1356="","",IF(COUNTIF(변동분석!$E$7:$E$506,O1356)&gt;0,"Y","N"))</f>
        <v/>
      </c>
      <c r="W1356" s="39">
        <f>IF($A1356="","",IFERROR(INDEX(계정매핑!$D$5:$D$504,MATCH($F1356&amp;"",계정매핑!$A$5:$A$504,0)),"미매핑"))</f>
        <v/>
      </c>
      <c r="X1356" s="9">
        <f>IF($A1356="","",$F1356&amp;"")</f>
        <v/>
      </c>
    </row>
    <row r="1357">
      <c r="A1357" s="75" t="n">
        <v>2025</v>
      </c>
      <c r="B1357" s="75" t="n">
        <v>7</v>
      </c>
      <c r="C1357" s="75" t="inlineStr">
        <is>
          <t>5100001353</t>
        </is>
      </c>
      <c r="D1357" s="78" t="n">
        <v>45864</v>
      </c>
      <c r="E1357" s="75" t="inlineStr">
        <is>
          <t>KR</t>
        </is>
      </c>
      <c r="F1357" s="75" t="n">
        <v>62902000</v>
      </c>
      <c r="G1357" s="75" t="n">
        <v>1801</v>
      </c>
      <c r="H1357" s="76" t="n">
        <v>1776000</v>
      </c>
      <c r="I1357" s="75" t="inlineStr">
        <is>
          <t>7월 콜 위탁 수수료(건별)</t>
        </is>
      </c>
      <c r="J1357" s="75" t="inlineStr">
        <is>
          <t>V10013</t>
        </is>
      </c>
      <c r="K1357" s="75" t="inlineStr">
        <is>
          <t>J콜센터</t>
        </is>
      </c>
      <c r="M1357" s="9">
        <f>IF($A1357="","",VALUE($A1357&amp;"")*12+VALUE($B1357&amp;""))</f>
        <v/>
      </c>
      <c r="N1357" s="39">
        <f>IF($A1357="","",IFERROR(INDEX(부서매핑!$C$5:$C$504,MATCH($G1357&amp;"",부서매핑!$A$5:$A$504,0)),"미매핑"))</f>
        <v/>
      </c>
      <c r="O1357" s="9">
        <f>IF($A1357="","",N1357&amp;"|"&amp;$F1357)</f>
        <v/>
      </c>
      <c r="P1357" s="77">
        <f>IF($A1357="",0,$H1357*설정!$C$23)</f>
        <v/>
      </c>
      <c r="Q1357" s="39">
        <f>IF($A1357="","",IF(O1357&lt;&gt;원인분석!$C$9,"",IF(AND(M1357&gt;=원인분석!$C$10,M1357&lt;=원인분석!$C$11),"당기",IF(AND(M1357&gt;=원인분석!$C$12,M1357&lt;=원인분석!$C$13),"비교",""))))</f>
        <v/>
      </c>
      <c r="R1357" s="9">
        <f>IF(Q1357="","",$K1357&amp;"")</f>
        <v/>
      </c>
      <c r="S1357" s="9">
        <f>IF(Q1357="","",IF(MATCH(R1357,$R$5:$R$100000,0)=ROW()-4,ROW(),""))</f>
        <v/>
      </c>
      <c r="T1357" s="9">
        <f>IF(Q1357="당기",ABS(P1357)+ROW()/1000000000,"")</f>
        <v/>
      </c>
      <c r="U1357" s="9">
        <f>IF(Q1357="비교",ABS(P1357)+ROW()/1000000000,"")</f>
        <v/>
      </c>
      <c r="V1357" s="39">
        <f>IF($A1357="","",IF(COUNTIF(변동분석!$E$7:$E$506,O1357)&gt;0,"Y","N"))</f>
        <v/>
      </c>
      <c r="W1357" s="39">
        <f>IF($A1357="","",IFERROR(INDEX(계정매핑!$D$5:$D$504,MATCH($F1357&amp;"",계정매핑!$A$5:$A$504,0)),"미매핑"))</f>
        <v/>
      </c>
      <c r="X1357" s="9">
        <f>IF($A1357="","",$F1357&amp;"")</f>
        <v/>
      </c>
    </row>
    <row r="1358">
      <c r="A1358" s="75" t="n">
        <v>2025</v>
      </c>
      <c r="B1358" s="75" t="n">
        <v>7</v>
      </c>
      <c r="C1358" s="75" t="inlineStr">
        <is>
          <t>5100001354</t>
        </is>
      </c>
      <c r="D1358" s="78" t="n">
        <v>45865</v>
      </c>
      <c r="E1358" s="75" t="inlineStr">
        <is>
          <t>KR</t>
        </is>
      </c>
      <c r="F1358" s="75" t="n">
        <v>62102000</v>
      </c>
      <c r="G1358" s="75" t="n">
        <v>1502</v>
      </c>
      <c r="H1358" s="76" t="n">
        <v>199000</v>
      </c>
      <c r="I1358" s="75" t="inlineStr">
        <is>
          <t>7월 해외출장 - N호텔</t>
        </is>
      </c>
      <c r="J1358" s="75" t="inlineStr">
        <is>
          <t>V10007</t>
        </is>
      </c>
      <c r="K1358" s="75" t="inlineStr">
        <is>
          <t>N호텔</t>
        </is>
      </c>
      <c r="M1358" s="9">
        <f>IF($A1358="","",VALUE($A1358&amp;"")*12+VALUE($B1358&amp;""))</f>
        <v/>
      </c>
      <c r="N1358" s="39">
        <f>IF($A1358="","",IFERROR(INDEX(부서매핑!$C$5:$C$504,MATCH($G1358&amp;"",부서매핑!$A$5:$A$504,0)),"미매핑"))</f>
        <v/>
      </c>
      <c r="O1358" s="9">
        <f>IF($A1358="","",N1358&amp;"|"&amp;$F1358)</f>
        <v/>
      </c>
      <c r="P1358" s="77">
        <f>IF($A1358="",0,$H1358*설정!$C$23)</f>
        <v/>
      </c>
      <c r="Q1358" s="39">
        <f>IF($A1358="","",IF(O1358&lt;&gt;원인분석!$C$9,"",IF(AND(M1358&gt;=원인분석!$C$10,M1358&lt;=원인분석!$C$11),"당기",IF(AND(M1358&gt;=원인분석!$C$12,M1358&lt;=원인분석!$C$13),"비교",""))))</f>
        <v/>
      </c>
      <c r="R1358" s="9">
        <f>IF(Q1358="","",$K1358&amp;"")</f>
        <v/>
      </c>
      <c r="S1358" s="9">
        <f>IF(Q1358="","",IF(MATCH(R1358,$R$5:$R$100000,0)=ROW()-4,ROW(),""))</f>
        <v/>
      </c>
      <c r="T1358" s="9">
        <f>IF(Q1358="당기",ABS(P1358)+ROW()/1000000000,"")</f>
        <v/>
      </c>
      <c r="U1358" s="9">
        <f>IF(Q1358="비교",ABS(P1358)+ROW()/1000000000,"")</f>
        <v/>
      </c>
      <c r="V1358" s="39">
        <f>IF($A1358="","",IF(COUNTIF(변동분석!$E$7:$E$506,O1358)&gt;0,"Y","N"))</f>
        <v/>
      </c>
      <c r="W1358" s="39">
        <f>IF($A1358="","",IFERROR(INDEX(계정매핑!$D$5:$D$504,MATCH($F1358&amp;"",계정매핑!$A$5:$A$504,0)),"미매핑"))</f>
        <v/>
      </c>
      <c r="X1358" s="9">
        <f>IF($A1358="","",$F1358&amp;"")</f>
        <v/>
      </c>
    </row>
    <row r="1359">
      <c r="A1359" s="75" t="n">
        <v>2025</v>
      </c>
      <c r="B1359" s="75" t="n">
        <v>7</v>
      </c>
      <c r="C1359" s="75" t="inlineStr">
        <is>
          <t>5100001355</t>
        </is>
      </c>
      <c r="D1359" s="78" t="n">
        <v>45865</v>
      </c>
      <c r="E1359" s="75" t="inlineStr">
        <is>
          <t>KR</t>
        </is>
      </c>
      <c r="F1359" s="75" t="n">
        <v>62102000</v>
      </c>
      <c r="G1359" s="75" t="n">
        <v>1602</v>
      </c>
      <c r="H1359" s="76" t="n">
        <v>332000</v>
      </c>
      <c r="I1359" s="75" t="inlineStr">
        <is>
          <t>7월 해외출장 - M항공</t>
        </is>
      </c>
      <c r="J1359" s="75" t="inlineStr">
        <is>
          <t>V10001</t>
        </is>
      </c>
      <c r="K1359" s="75" t="inlineStr">
        <is>
          <t>M항공</t>
        </is>
      </c>
      <c r="M1359" s="9">
        <f>IF($A1359="","",VALUE($A1359&amp;"")*12+VALUE($B1359&amp;""))</f>
        <v/>
      </c>
      <c r="N1359" s="39">
        <f>IF($A1359="","",IFERROR(INDEX(부서매핑!$C$5:$C$504,MATCH($G1359&amp;"",부서매핑!$A$5:$A$504,0)),"미매핑"))</f>
        <v/>
      </c>
      <c r="O1359" s="9">
        <f>IF($A1359="","",N1359&amp;"|"&amp;$F1359)</f>
        <v/>
      </c>
      <c r="P1359" s="77">
        <f>IF($A1359="",0,$H1359*설정!$C$23)</f>
        <v/>
      </c>
      <c r="Q1359" s="39">
        <f>IF($A1359="","",IF(O1359&lt;&gt;원인분석!$C$9,"",IF(AND(M1359&gt;=원인분석!$C$10,M1359&lt;=원인분석!$C$11),"당기",IF(AND(M1359&gt;=원인분석!$C$12,M1359&lt;=원인분석!$C$13),"비교",""))))</f>
        <v/>
      </c>
      <c r="R1359" s="9">
        <f>IF(Q1359="","",$K1359&amp;"")</f>
        <v/>
      </c>
      <c r="S1359" s="9">
        <f>IF(Q1359="","",IF(MATCH(R1359,$R$5:$R$100000,0)=ROW()-4,ROW(),""))</f>
        <v/>
      </c>
      <c r="T1359" s="9">
        <f>IF(Q1359="당기",ABS(P1359)+ROW()/1000000000,"")</f>
        <v/>
      </c>
      <c r="U1359" s="9">
        <f>IF(Q1359="비교",ABS(P1359)+ROW()/1000000000,"")</f>
        <v/>
      </c>
      <c r="V1359" s="39">
        <f>IF($A1359="","",IF(COUNTIF(변동분석!$E$7:$E$506,O1359)&gt;0,"Y","N"))</f>
        <v/>
      </c>
      <c r="W1359" s="39">
        <f>IF($A1359="","",IFERROR(INDEX(계정매핑!$D$5:$D$504,MATCH($F1359&amp;"",계정매핑!$A$5:$A$504,0)),"미매핑"))</f>
        <v/>
      </c>
      <c r="X1359" s="9">
        <f>IF($A1359="","",$F1359&amp;"")</f>
        <v/>
      </c>
    </row>
    <row r="1360">
      <c r="A1360" s="75" t="n">
        <v>2025</v>
      </c>
      <c r="B1360" s="75" t="n">
        <v>7</v>
      </c>
      <c r="C1360" s="75" t="inlineStr">
        <is>
          <t>5100001356</t>
        </is>
      </c>
      <c r="D1360" s="78" t="n">
        <v>45865</v>
      </c>
      <c r="E1360" s="75" t="inlineStr">
        <is>
          <t>KR</t>
        </is>
      </c>
      <c r="F1360" s="75" t="n">
        <v>62102000</v>
      </c>
      <c r="G1360" s="75" t="n">
        <v>1602</v>
      </c>
      <c r="H1360" s="76" t="n">
        <v>260000</v>
      </c>
      <c r="I1360" s="75" t="inlineStr">
        <is>
          <t>7월 해외출장 - N호텔</t>
        </is>
      </c>
      <c r="J1360" s="75" t="inlineStr">
        <is>
          <t>V10007</t>
        </is>
      </c>
      <c r="K1360" s="75" t="inlineStr">
        <is>
          <t>N호텔</t>
        </is>
      </c>
      <c r="M1360" s="9">
        <f>IF($A1360="","",VALUE($A1360&amp;"")*12+VALUE($B1360&amp;""))</f>
        <v/>
      </c>
      <c r="N1360" s="39">
        <f>IF($A1360="","",IFERROR(INDEX(부서매핑!$C$5:$C$504,MATCH($G1360&amp;"",부서매핑!$A$5:$A$504,0)),"미매핑"))</f>
        <v/>
      </c>
      <c r="O1360" s="9">
        <f>IF($A1360="","",N1360&amp;"|"&amp;$F1360)</f>
        <v/>
      </c>
      <c r="P1360" s="77">
        <f>IF($A1360="",0,$H1360*설정!$C$23)</f>
        <v/>
      </c>
      <c r="Q1360" s="39">
        <f>IF($A1360="","",IF(O1360&lt;&gt;원인분석!$C$9,"",IF(AND(M1360&gt;=원인분석!$C$10,M1360&lt;=원인분석!$C$11),"당기",IF(AND(M1360&gt;=원인분석!$C$12,M1360&lt;=원인분석!$C$13),"비교",""))))</f>
        <v/>
      </c>
      <c r="R1360" s="9">
        <f>IF(Q1360="","",$K1360&amp;"")</f>
        <v/>
      </c>
      <c r="S1360" s="9">
        <f>IF(Q1360="","",IF(MATCH(R1360,$R$5:$R$100000,0)=ROW()-4,ROW(),""))</f>
        <v/>
      </c>
      <c r="T1360" s="9">
        <f>IF(Q1360="당기",ABS(P1360)+ROW()/1000000000,"")</f>
        <v/>
      </c>
      <c r="U1360" s="9">
        <f>IF(Q1360="비교",ABS(P1360)+ROW()/1000000000,"")</f>
        <v/>
      </c>
      <c r="V1360" s="39">
        <f>IF($A1360="","",IF(COUNTIF(변동분석!$E$7:$E$506,O1360)&gt;0,"Y","N"))</f>
        <v/>
      </c>
      <c r="W1360" s="39">
        <f>IF($A1360="","",IFERROR(INDEX(계정매핑!$D$5:$D$504,MATCH($F1360&amp;"",계정매핑!$A$5:$A$504,0)),"미매핑"))</f>
        <v/>
      </c>
      <c r="X1360" s="9">
        <f>IF($A1360="","",$F1360&amp;"")</f>
        <v/>
      </c>
    </row>
    <row r="1361">
      <c r="A1361" s="75" t="n">
        <v>2025</v>
      </c>
      <c r="B1361" s="75" t="n">
        <v>7</v>
      </c>
      <c r="C1361" s="75" t="inlineStr">
        <is>
          <t>5100001357</t>
        </is>
      </c>
      <c r="D1361" s="78" t="n">
        <v>45865</v>
      </c>
      <c r="E1361" s="75" t="inlineStr">
        <is>
          <t>KR</t>
        </is>
      </c>
      <c r="F1361" s="75" t="n">
        <v>62201000</v>
      </c>
      <c r="G1361" s="75" t="n">
        <v>1201</v>
      </c>
      <c r="H1361" s="76" t="n">
        <v>163000</v>
      </c>
      <c r="I1361" s="75" t="inlineStr">
        <is>
          <t>7월 통신요금 - P통신</t>
        </is>
      </c>
      <c r="J1361" s="75" t="inlineStr">
        <is>
          <t>V10011</t>
        </is>
      </c>
      <c r="K1361" s="75" t="inlineStr">
        <is>
          <t>P통신</t>
        </is>
      </c>
      <c r="M1361" s="9">
        <f>IF($A1361="","",VALUE($A1361&amp;"")*12+VALUE($B1361&amp;""))</f>
        <v/>
      </c>
      <c r="N1361" s="39">
        <f>IF($A1361="","",IFERROR(INDEX(부서매핑!$C$5:$C$504,MATCH($G1361&amp;"",부서매핑!$A$5:$A$504,0)),"미매핑"))</f>
        <v/>
      </c>
      <c r="O1361" s="9">
        <f>IF($A1361="","",N1361&amp;"|"&amp;$F1361)</f>
        <v/>
      </c>
      <c r="P1361" s="77">
        <f>IF($A1361="",0,$H1361*설정!$C$23)</f>
        <v/>
      </c>
      <c r="Q1361" s="39">
        <f>IF($A1361="","",IF(O1361&lt;&gt;원인분석!$C$9,"",IF(AND(M1361&gt;=원인분석!$C$10,M1361&lt;=원인분석!$C$11),"당기",IF(AND(M1361&gt;=원인분석!$C$12,M1361&lt;=원인분석!$C$13),"비교",""))))</f>
        <v/>
      </c>
      <c r="R1361" s="9">
        <f>IF(Q1361="","",$K1361&amp;"")</f>
        <v/>
      </c>
      <c r="S1361" s="9">
        <f>IF(Q1361="","",IF(MATCH(R1361,$R$5:$R$100000,0)=ROW()-4,ROW(),""))</f>
        <v/>
      </c>
      <c r="T1361" s="9">
        <f>IF(Q1361="당기",ABS(P1361)+ROW()/1000000000,"")</f>
        <v/>
      </c>
      <c r="U1361" s="9">
        <f>IF(Q1361="비교",ABS(P1361)+ROW()/1000000000,"")</f>
        <v/>
      </c>
      <c r="V1361" s="39">
        <f>IF($A1361="","",IF(COUNTIF(변동분석!$E$7:$E$506,O1361)&gt;0,"Y","N"))</f>
        <v/>
      </c>
      <c r="W1361" s="39">
        <f>IF($A1361="","",IFERROR(INDEX(계정매핑!$D$5:$D$504,MATCH($F1361&amp;"",계정매핑!$A$5:$A$504,0)),"미매핑"))</f>
        <v/>
      </c>
      <c r="X1361" s="9">
        <f>IF($A1361="","",$F1361&amp;"")</f>
        <v/>
      </c>
    </row>
    <row r="1362">
      <c r="A1362" s="75" t="n">
        <v>2025</v>
      </c>
      <c r="B1362" s="75" t="n">
        <v>7</v>
      </c>
      <c r="C1362" s="75" t="inlineStr">
        <is>
          <t>5100001358</t>
        </is>
      </c>
      <c r="D1362" s="78" t="n">
        <v>45865</v>
      </c>
      <c r="E1362" s="75" t="inlineStr">
        <is>
          <t>KR</t>
        </is>
      </c>
      <c r="F1362" s="75" t="n">
        <v>62201000</v>
      </c>
      <c r="G1362" s="75" t="n">
        <v>1401</v>
      </c>
      <c r="H1362" s="76" t="n">
        <v>188000</v>
      </c>
      <c r="I1362" s="75" t="inlineStr">
        <is>
          <t>7월 통신요금 - P통신</t>
        </is>
      </c>
      <c r="J1362" s="75" t="inlineStr">
        <is>
          <t>V10011</t>
        </is>
      </c>
      <c r="K1362" s="75" t="inlineStr">
        <is>
          <t>P통신</t>
        </is>
      </c>
      <c r="M1362" s="9">
        <f>IF($A1362="","",VALUE($A1362&amp;"")*12+VALUE($B1362&amp;""))</f>
        <v/>
      </c>
      <c r="N1362" s="39">
        <f>IF($A1362="","",IFERROR(INDEX(부서매핑!$C$5:$C$504,MATCH($G1362&amp;"",부서매핑!$A$5:$A$504,0)),"미매핑"))</f>
        <v/>
      </c>
      <c r="O1362" s="9">
        <f>IF($A1362="","",N1362&amp;"|"&amp;$F1362)</f>
        <v/>
      </c>
      <c r="P1362" s="77">
        <f>IF($A1362="",0,$H1362*설정!$C$23)</f>
        <v/>
      </c>
      <c r="Q1362" s="39">
        <f>IF($A1362="","",IF(O1362&lt;&gt;원인분석!$C$9,"",IF(AND(M1362&gt;=원인분석!$C$10,M1362&lt;=원인분석!$C$11),"당기",IF(AND(M1362&gt;=원인분석!$C$12,M1362&lt;=원인분석!$C$13),"비교",""))))</f>
        <v/>
      </c>
      <c r="R1362" s="9">
        <f>IF(Q1362="","",$K1362&amp;"")</f>
        <v/>
      </c>
      <c r="S1362" s="9">
        <f>IF(Q1362="","",IF(MATCH(R1362,$R$5:$R$100000,0)=ROW()-4,ROW(),""))</f>
        <v/>
      </c>
      <c r="T1362" s="9">
        <f>IF(Q1362="당기",ABS(P1362)+ROW()/1000000000,"")</f>
        <v/>
      </c>
      <c r="U1362" s="9">
        <f>IF(Q1362="비교",ABS(P1362)+ROW()/1000000000,"")</f>
        <v/>
      </c>
      <c r="V1362" s="39">
        <f>IF($A1362="","",IF(COUNTIF(변동분석!$E$7:$E$506,O1362)&gt;0,"Y","N"))</f>
        <v/>
      </c>
      <c r="W1362" s="39">
        <f>IF($A1362="","",IFERROR(INDEX(계정매핑!$D$5:$D$504,MATCH($F1362&amp;"",계정매핑!$A$5:$A$504,0)),"미매핑"))</f>
        <v/>
      </c>
      <c r="X1362" s="9">
        <f>IF($A1362="","",$F1362&amp;"")</f>
        <v/>
      </c>
    </row>
    <row r="1363">
      <c r="A1363" s="75" t="n">
        <v>2025</v>
      </c>
      <c r="B1363" s="75" t="n">
        <v>7</v>
      </c>
      <c r="C1363" s="75" t="inlineStr">
        <is>
          <t>5100001359</t>
        </is>
      </c>
      <c r="D1363" s="78" t="n">
        <v>45865</v>
      </c>
      <c r="E1363" s="75" t="inlineStr">
        <is>
          <t>KR</t>
        </is>
      </c>
      <c r="F1363" s="75" t="n">
        <v>62201000</v>
      </c>
      <c r="G1363" s="75" t="n">
        <v>1701</v>
      </c>
      <c r="H1363" s="76" t="n">
        <v>3702000</v>
      </c>
      <c r="I1363" s="75" t="inlineStr">
        <is>
          <t>7월 통신요금 - O텔레콤</t>
        </is>
      </c>
      <c r="J1363" s="75" t="inlineStr">
        <is>
          <t>V10002</t>
        </is>
      </c>
      <c r="K1363" s="75" t="inlineStr">
        <is>
          <t>O텔레콤</t>
        </is>
      </c>
      <c r="M1363" s="9">
        <f>IF($A1363="","",VALUE($A1363&amp;"")*12+VALUE($B1363&amp;""))</f>
        <v/>
      </c>
      <c r="N1363" s="39">
        <f>IF($A1363="","",IFERROR(INDEX(부서매핑!$C$5:$C$504,MATCH($G1363&amp;"",부서매핑!$A$5:$A$504,0)),"미매핑"))</f>
        <v/>
      </c>
      <c r="O1363" s="9">
        <f>IF($A1363="","",N1363&amp;"|"&amp;$F1363)</f>
        <v/>
      </c>
      <c r="P1363" s="77">
        <f>IF($A1363="",0,$H1363*설정!$C$23)</f>
        <v/>
      </c>
      <c r="Q1363" s="39">
        <f>IF($A1363="","",IF(O1363&lt;&gt;원인분석!$C$9,"",IF(AND(M1363&gt;=원인분석!$C$10,M1363&lt;=원인분석!$C$11),"당기",IF(AND(M1363&gt;=원인분석!$C$12,M1363&lt;=원인분석!$C$13),"비교",""))))</f>
        <v/>
      </c>
      <c r="R1363" s="9">
        <f>IF(Q1363="","",$K1363&amp;"")</f>
        <v/>
      </c>
      <c r="S1363" s="9">
        <f>IF(Q1363="","",IF(MATCH(R1363,$R$5:$R$100000,0)=ROW()-4,ROW(),""))</f>
        <v/>
      </c>
      <c r="T1363" s="9">
        <f>IF(Q1363="당기",ABS(P1363)+ROW()/1000000000,"")</f>
        <v/>
      </c>
      <c r="U1363" s="9">
        <f>IF(Q1363="비교",ABS(P1363)+ROW()/1000000000,"")</f>
        <v/>
      </c>
      <c r="V1363" s="39">
        <f>IF($A1363="","",IF(COUNTIF(변동분석!$E$7:$E$506,O1363)&gt;0,"Y","N"))</f>
        <v/>
      </c>
      <c r="W1363" s="39">
        <f>IF($A1363="","",IFERROR(INDEX(계정매핑!$D$5:$D$504,MATCH($F1363&amp;"",계정매핑!$A$5:$A$504,0)),"미매핑"))</f>
        <v/>
      </c>
      <c r="X1363" s="9">
        <f>IF($A1363="","",$F1363&amp;"")</f>
        <v/>
      </c>
    </row>
    <row r="1364">
      <c r="A1364" s="75" t="n">
        <v>2025</v>
      </c>
      <c r="B1364" s="75" t="n">
        <v>7</v>
      </c>
      <c r="C1364" s="75" t="inlineStr">
        <is>
          <t>5100001360</t>
        </is>
      </c>
      <c r="D1364" s="78" t="n">
        <v>45865</v>
      </c>
      <c r="E1364" s="75" t="inlineStr">
        <is>
          <t>KR</t>
        </is>
      </c>
      <c r="F1364" s="75" t="n">
        <v>62301000</v>
      </c>
      <c r="G1364" s="75" t="n">
        <v>1601</v>
      </c>
      <c r="H1364" s="76" t="n">
        <v>222000</v>
      </c>
      <c r="I1364" s="75" t="inlineStr">
        <is>
          <t>7월 소모품 구입 - R문구</t>
        </is>
      </c>
      <c r="J1364" s="75" t="inlineStr">
        <is>
          <t>V10018</t>
        </is>
      </c>
      <c r="K1364" s="75" t="inlineStr">
        <is>
          <t>R문구</t>
        </is>
      </c>
      <c r="M1364" s="9">
        <f>IF($A1364="","",VALUE($A1364&amp;"")*12+VALUE($B1364&amp;""))</f>
        <v/>
      </c>
      <c r="N1364" s="39">
        <f>IF($A1364="","",IFERROR(INDEX(부서매핑!$C$5:$C$504,MATCH($G1364&amp;"",부서매핑!$A$5:$A$504,0)),"미매핑"))</f>
        <v/>
      </c>
      <c r="O1364" s="9">
        <f>IF($A1364="","",N1364&amp;"|"&amp;$F1364)</f>
        <v/>
      </c>
      <c r="P1364" s="77">
        <f>IF($A1364="",0,$H1364*설정!$C$23)</f>
        <v/>
      </c>
      <c r="Q1364" s="39">
        <f>IF($A1364="","",IF(O1364&lt;&gt;원인분석!$C$9,"",IF(AND(M1364&gt;=원인분석!$C$10,M1364&lt;=원인분석!$C$11),"당기",IF(AND(M1364&gt;=원인분석!$C$12,M1364&lt;=원인분석!$C$13),"비교",""))))</f>
        <v/>
      </c>
      <c r="R1364" s="9">
        <f>IF(Q1364="","",$K1364&amp;"")</f>
        <v/>
      </c>
      <c r="S1364" s="9">
        <f>IF(Q1364="","",IF(MATCH(R1364,$R$5:$R$100000,0)=ROW()-4,ROW(),""))</f>
        <v/>
      </c>
      <c r="T1364" s="9">
        <f>IF(Q1364="당기",ABS(P1364)+ROW()/1000000000,"")</f>
        <v/>
      </c>
      <c r="U1364" s="9">
        <f>IF(Q1364="비교",ABS(P1364)+ROW()/1000000000,"")</f>
        <v/>
      </c>
      <c r="V1364" s="39">
        <f>IF($A1364="","",IF(COUNTIF(변동분석!$E$7:$E$506,O1364)&gt;0,"Y","N"))</f>
        <v/>
      </c>
      <c r="W1364" s="39">
        <f>IF($A1364="","",IFERROR(INDEX(계정매핑!$D$5:$D$504,MATCH($F1364&amp;"",계정매핑!$A$5:$A$504,0)),"미매핑"))</f>
        <v/>
      </c>
      <c r="X1364" s="9">
        <f>IF($A1364="","",$F1364&amp;"")</f>
        <v/>
      </c>
    </row>
    <row r="1365">
      <c r="A1365" s="75" t="n">
        <v>2025</v>
      </c>
      <c r="B1365" s="75" t="n">
        <v>7</v>
      </c>
      <c r="C1365" s="75" t="inlineStr">
        <is>
          <t>5100001361</t>
        </is>
      </c>
      <c r="D1365" s="78" t="n">
        <v>45865</v>
      </c>
      <c r="E1365" s="75" t="inlineStr">
        <is>
          <t>KR</t>
        </is>
      </c>
      <c r="F1365" s="75" t="n">
        <v>62601000</v>
      </c>
      <c r="G1365" s="75" t="n">
        <v>1101</v>
      </c>
      <c r="H1365" s="76" t="n">
        <v>1124000</v>
      </c>
      <c r="I1365" s="75" t="inlineStr">
        <is>
          <t>7월 업무추진 - (법인카드)</t>
        </is>
      </c>
      <c r="J1365" s="75" t="inlineStr">
        <is>
          <t>V10008</t>
        </is>
      </c>
      <c r="K1365" s="75" t="inlineStr">
        <is>
          <t>(법인카드)</t>
        </is>
      </c>
      <c r="M1365" s="9">
        <f>IF($A1365="","",VALUE($A1365&amp;"")*12+VALUE($B1365&amp;""))</f>
        <v/>
      </c>
      <c r="N1365" s="39">
        <f>IF($A1365="","",IFERROR(INDEX(부서매핑!$C$5:$C$504,MATCH($G1365&amp;"",부서매핑!$A$5:$A$504,0)),"미매핑"))</f>
        <v/>
      </c>
      <c r="O1365" s="9">
        <f>IF($A1365="","",N1365&amp;"|"&amp;$F1365)</f>
        <v/>
      </c>
      <c r="P1365" s="77">
        <f>IF($A1365="",0,$H1365*설정!$C$23)</f>
        <v/>
      </c>
      <c r="Q1365" s="39">
        <f>IF($A1365="","",IF(O1365&lt;&gt;원인분석!$C$9,"",IF(AND(M1365&gt;=원인분석!$C$10,M1365&lt;=원인분석!$C$11),"당기",IF(AND(M1365&gt;=원인분석!$C$12,M1365&lt;=원인분석!$C$13),"비교",""))))</f>
        <v/>
      </c>
      <c r="R1365" s="9">
        <f>IF(Q1365="","",$K1365&amp;"")</f>
        <v/>
      </c>
      <c r="S1365" s="9">
        <f>IF(Q1365="","",IF(MATCH(R1365,$R$5:$R$100000,0)=ROW()-4,ROW(),""))</f>
        <v/>
      </c>
      <c r="T1365" s="9">
        <f>IF(Q1365="당기",ABS(P1365)+ROW()/1000000000,"")</f>
        <v/>
      </c>
      <c r="U1365" s="9">
        <f>IF(Q1365="비교",ABS(P1365)+ROW()/1000000000,"")</f>
        <v/>
      </c>
      <c r="V1365" s="39">
        <f>IF($A1365="","",IF(COUNTIF(변동분석!$E$7:$E$506,O1365)&gt;0,"Y","N"))</f>
        <v/>
      </c>
      <c r="W1365" s="39">
        <f>IF($A1365="","",IFERROR(INDEX(계정매핑!$D$5:$D$504,MATCH($F1365&amp;"",계정매핑!$A$5:$A$504,0)),"미매핑"))</f>
        <v/>
      </c>
      <c r="X1365" s="9">
        <f>IF($A1365="","",$F1365&amp;"")</f>
        <v/>
      </c>
    </row>
    <row r="1366">
      <c r="A1366" s="75" t="n">
        <v>2025</v>
      </c>
      <c r="B1366" s="75" t="n">
        <v>7</v>
      </c>
      <c r="C1366" s="75" t="inlineStr">
        <is>
          <t>5100001362</t>
        </is>
      </c>
      <c r="D1366" s="78" t="n">
        <v>45865</v>
      </c>
      <c r="E1366" s="75" t="inlineStr">
        <is>
          <t>KR</t>
        </is>
      </c>
      <c r="F1366" s="75" t="n">
        <v>62901000</v>
      </c>
      <c r="G1366" s="75" t="n">
        <v>1101</v>
      </c>
      <c r="H1366" s="76" t="n">
        <v>4649000</v>
      </c>
      <c r="I1366" s="75" t="inlineStr">
        <is>
          <t>7월 자문 수수료 - K회계법인</t>
        </is>
      </c>
      <c r="J1366" s="75" t="inlineStr">
        <is>
          <t>V10010</t>
        </is>
      </c>
      <c r="K1366" s="75" t="inlineStr">
        <is>
          <t>K회계법인</t>
        </is>
      </c>
      <c r="M1366" s="9">
        <f>IF($A1366="","",VALUE($A1366&amp;"")*12+VALUE($B1366&amp;""))</f>
        <v/>
      </c>
      <c r="N1366" s="39">
        <f>IF($A1366="","",IFERROR(INDEX(부서매핑!$C$5:$C$504,MATCH($G1366&amp;"",부서매핑!$A$5:$A$504,0)),"미매핑"))</f>
        <v/>
      </c>
      <c r="O1366" s="9">
        <f>IF($A1366="","",N1366&amp;"|"&amp;$F1366)</f>
        <v/>
      </c>
      <c r="P1366" s="77">
        <f>IF($A1366="",0,$H1366*설정!$C$23)</f>
        <v/>
      </c>
      <c r="Q1366" s="39">
        <f>IF($A1366="","",IF(O1366&lt;&gt;원인분석!$C$9,"",IF(AND(M1366&gt;=원인분석!$C$10,M1366&lt;=원인분석!$C$11),"당기",IF(AND(M1366&gt;=원인분석!$C$12,M1366&lt;=원인분석!$C$13),"비교",""))))</f>
        <v/>
      </c>
      <c r="R1366" s="9">
        <f>IF(Q1366="","",$K1366&amp;"")</f>
        <v/>
      </c>
      <c r="S1366" s="9">
        <f>IF(Q1366="","",IF(MATCH(R1366,$R$5:$R$100000,0)=ROW()-4,ROW(),""))</f>
        <v/>
      </c>
      <c r="T1366" s="9">
        <f>IF(Q1366="당기",ABS(P1366)+ROW()/1000000000,"")</f>
        <v/>
      </c>
      <c r="U1366" s="9">
        <f>IF(Q1366="비교",ABS(P1366)+ROW()/1000000000,"")</f>
        <v/>
      </c>
      <c r="V1366" s="39">
        <f>IF($A1366="","",IF(COUNTIF(변동분석!$E$7:$E$506,O1366)&gt;0,"Y","N"))</f>
        <v/>
      </c>
      <c r="W1366" s="39">
        <f>IF($A1366="","",IFERROR(INDEX(계정매핑!$D$5:$D$504,MATCH($F1366&amp;"",계정매핑!$A$5:$A$504,0)),"미매핑"))</f>
        <v/>
      </c>
      <c r="X1366" s="9">
        <f>IF($A1366="","",$F1366&amp;"")</f>
        <v/>
      </c>
    </row>
    <row r="1367">
      <c r="A1367" s="75" t="n">
        <v>2025</v>
      </c>
      <c r="B1367" s="75" t="n">
        <v>7</v>
      </c>
      <c r="C1367" s="75" t="inlineStr">
        <is>
          <t>5100001363</t>
        </is>
      </c>
      <c r="D1367" s="78" t="n">
        <v>45865</v>
      </c>
      <c r="E1367" s="75" t="inlineStr">
        <is>
          <t>KR</t>
        </is>
      </c>
      <c r="F1367" s="75" t="n">
        <v>62901000</v>
      </c>
      <c r="G1367" s="75" t="n">
        <v>1201</v>
      </c>
      <c r="H1367" s="76" t="n">
        <v>5407000</v>
      </c>
      <c r="I1367" s="75" t="inlineStr">
        <is>
          <t>7월 자문 수수료 - K회계법인</t>
        </is>
      </c>
      <c r="J1367" s="75" t="inlineStr">
        <is>
          <t>V10010</t>
        </is>
      </c>
      <c r="K1367" s="75" t="inlineStr">
        <is>
          <t>K회계법인</t>
        </is>
      </c>
      <c r="M1367" s="9">
        <f>IF($A1367="","",VALUE($A1367&amp;"")*12+VALUE($B1367&amp;""))</f>
        <v/>
      </c>
      <c r="N1367" s="39">
        <f>IF($A1367="","",IFERROR(INDEX(부서매핑!$C$5:$C$504,MATCH($G1367&amp;"",부서매핑!$A$5:$A$504,0)),"미매핑"))</f>
        <v/>
      </c>
      <c r="O1367" s="9">
        <f>IF($A1367="","",N1367&amp;"|"&amp;$F1367)</f>
        <v/>
      </c>
      <c r="P1367" s="77">
        <f>IF($A1367="",0,$H1367*설정!$C$23)</f>
        <v/>
      </c>
      <c r="Q1367" s="39">
        <f>IF($A1367="","",IF(O1367&lt;&gt;원인분석!$C$9,"",IF(AND(M1367&gt;=원인분석!$C$10,M1367&lt;=원인분석!$C$11),"당기",IF(AND(M1367&gt;=원인분석!$C$12,M1367&lt;=원인분석!$C$13),"비교",""))))</f>
        <v/>
      </c>
      <c r="R1367" s="9">
        <f>IF(Q1367="","",$K1367&amp;"")</f>
        <v/>
      </c>
      <c r="S1367" s="9">
        <f>IF(Q1367="","",IF(MATCH(R1367,$R$5:$R$100000,0)=ROW()-4,ROW(),""))</f>
        <v/>
      </c>
      <c r="T1367" s="9">
        <f>IF(Q1367="당기",ABS(P1367)+ROW()/1000000000,"")</f>
        <v/>
      </c>
      <c r="U1367" s="9">
        <f>IF(Q1367="비교",ABS(P1367)+ROW()/1000000000,"")</f>
        <v/>
      </c>
      <c r="V1367" s="39">
        <f>IF($A1367="","",IF(COUNTIF(변동분석!$E$7:$E$506,O1367)&gt;0,"Y","N"))</f>
        <v/>
      </c>
      <c r="W1367" s="39">
        <f>IF($A1367="","",IFERROR(INDEX(계정매핑!$D$5:$D$504,MATCH($F1367&amp;"",계정매핑!$A$5:$A$504,0)),"미매핑"))</f>
        <v/>
      </c>
      <c r="X1367" s="9">
        <f>IF($A1367="","",$F1367&amp;"")</f>
        <v/>
      </c>
    </row>
    <row r="1368">
      <c r="A1368" s="75" t="n">
        <v>2025</v>
      </c>
      <c r="B1368" s="75" t="n">
        <v>7</v>
      </c>
      <c r="C1368" s="75" t="inlineStr">
        <is>
          <t>5100001364</t>
        </is>
      </c>
      <c r="D1368" s="78" t="n">
        <v>45865</v>
      </c>
      <c r="E1368" s="75" t="inlineStr">
        <is>
          <t>KR</t>
        </is>
      </c>
      <c r="F1368" s="75" t="n">
        <v>62902000</v>
      </c>
      <c r="G1368" s="75" t="n">
        <v>1801</v>
      </c>
      <c r="H1368" s="76" t="n">
        <v>1827000</v>
      </c>
      <c r="I1368" s="75" t="inlineStr">
        <is>
          <t>7월 콜 위탁 수수료(건별)</t>
        </is>
      </c>
      <c r="J1368" s="75" t="inlineStr">
        <is>
          <t>V10013</t>
        </is>
      </c>
      <c r="K1368" s="75" t="inlineStr">
        <is>
          <t>J콜센터</t>
        </is>
      </c>
      <c r="M1368" s="9">
        <f>IF($A1368="","",VALUE($A1368&amp;"")*12+VALUE($B1368&amp;""))</f>
        <v/>
      </c>
      <c r="N1368" s="39">
        <f>IF($A1368="","",IFERROR(INDEX(부서매핑!$C$5:$C$504,MATCH($G1368&amp;"",부서매핑!$A$5:$A$504,0)),"미매핑"))</f>
        <v/>
      </c>
      <c r="O1368" s="9">
        <f>IF($A1368="","",N1368&amp;"|"&amp;$F1368)</f>
        <v/>
      </c>
      <c r="P1368" s="77">
        <f>IF($A1368="",0,$H1368*설정!$C$23)</f>
        <v/>
      </c>
      <c r="Q1368" s="39">
        <f>IF($A1368="","",IF(O1368&lt;&gt;원인분석!$C$9,"",IF(AND(M1368&gt;=원인분석!$C$10,M1368&lt;=원인분석!$C$11),"당기",IF(AND(M1368&gt;=원인분석!$C$12,M1368&lt;=원인분석!$C$13),"비교",""))))</f>
        <v/>
      </c>
      <c r="R1368" s="9">
        <f>IF(Q1368="","",$K1368&amp;"")</f>
        <v/>
      </c>
      <c r="S1368" s="9">
        <f>IF(Q1368="","",IF(MATCH(R1368,$R$5:$R$100000,0)=ROW()-4,ROW(),""))</f>
        <v/>
      </c>
      <c r="T1368" s="9">
        <f>IF(Q1368="당기",ABS(P1368)+ROW()/1000000000,"")</f>
        <v/>
      </c>
      <c r="U1368" s="9">
        <f>IF(Q1368="비교",ABS(P1368)+ROW()/1000000000,"")</f>
        <v/>
      </c>
      <c r="V1368" s="39">
        <f>IF($A1368="","",IF(COUNTIF(변동분석!$E$7:$E$506,O1368)&gt;0,"Y","N"))</f>
        <v/>
      </c>
      <c r="W1368" s="39">
        <f>IF($A1368="","",IFERROR(INDEX(계정매핑!$D$5:$D$504,MATCH($F1368&amp;"",계정매핑!$A$5:$A$504,0)),"미매핑"))</f>
        <v/>
      </c>
      <c r="X1368" s="9">
        <f>IF($A1368="","",$F1368&amp;"")</f>
        <v/>
      </c>
    </row>
    <row r="1369">
      <c r="A1369" s="75" t="n">
        <v>2025</v>
      </c>
      <c r="B1369" s="75" t="n">
        <v>8</v>
      </c>
      <c r="C1369" s="75" t="inlineStr">
        <is>
          <t>5100001365</t>
        </is>
      </c>
      <c r="D1369" s="78" t="n">
        <v>45871</v>
      </c>
      <c r="E1369" s="75" t="inlineStr">
        <is>
          <t>KR</t>
        </is>
      </c>
      <c r="F1369" s="75" t="n">
        <v>62101000</v>
      </c>
      <c r="G1369" s="75" t="n">
        <v>1401</v>
      </c>
      <c r="H1369" s="76" t="n">
        <v>427000</v>
      </c>
      <c r="I1369" s="75" t="inlineStr">
        <is>
          <t>8월 국내출장 - L여행사</t>
        </is>
      </c>
      <c r="J1369" s="75" t="inlineStr">
        <is>
          <t>V10014</t>
        </is>
      </c>
      <c r="K1369" s="75" t="inlineStr">
        <is>
          <t>L여행사</t>
        </is>
      </c>
      <c r="M1369" s="9">
        <f>IF($A1369="","",VALUE($A1369&amp;"")*12+VALUE($B1369&amp;""))</f>
        <v/>
      </c>
      <c r="N1369" s="39">
        <f>IF($A1369="","",IFERROR(INDEX(부서매핑!$C$5:$C$504,MATCH($G1369&amp;"",부서매핑!$A$5:$A$504,0)),"미매핑"))</f>
        <v/>
      </c>
      <c r="O1369" s="9">
        <f>IF($A1369="","",N1369&amp;"|"&amp;$F1369)</f>
        <v/>
      </c>
      <c r="P1369" s="77">
        <f>IF($A1369="",0,$H1369*설정!$C$23)</f>
        <v/>
      </c>
      <c r="Q1369" s="39">
        <f>IF($A1369="","",IF(O1369&lt;&gt;원인분석!$C$9,"",IF(AND(M1369&gt;=원인분석!$C$10,M1369&lt;=원인분석!$C$11),"당기",IF(AND(M1369&gt;=원인분석!$C$12,M1369&lt;=원인분석!$C$13),"비교",""))))</f>
        <v/>
      </c>
      <c r="R1369" s="9">
        <f>IF(Q1369="","",$K1369&amp;"")</f>
        <v/>
      </c>
      <c r="S1369" s="9">
        <f>IF(Q1369="","",IF(MATCH(R1369,$R$5:$R$100000,0)=ROW()-4,ROW(),""))</f>
        <v/>
      </c>
      <c r="T1369" s="9">
        <f>IF(Q1369="당기",ABS(P1369)+ROW()/1000000000,"")</f>
        <v/>
      </c>
      <c r="U1369" s="9">
        <f>IF(Q1369="비교",ABS(P1369)+ROW()/1000000000,"")</f>
        <v/>
      </c>
      <c r="V1369" s="39">
        <f>IF($A1369="","",IF(COUNTIF(변동분석!$E$7:$E$506,O1369)&gt;0,"Y","N"))</f>
        <v/>
      </c>
      <c r="W1369" s="39">
        <f>IF($A1369="","",IFERROR(INDEX(계정매핑!$D$5:$D$504,MATCH($F1369&amp;"",계정매핑!$A$5:$A$504,0)),"미매핑"))</f>
        <v/>
      </c>
      <c r="X1369" s="9">
        <f>IF($A1369="","",$F1369&amp;"")</f>
        <v/>
      </c>
    </row>
    <row r="1370">
      <c r="A1370" s="75" t="n">
        <v>2025</v>
      </c>
      <c r="B1370" s="75" t="n">
        <v>8</v>
      </c>
      <c r="C1370" s="75" t="inlineStr">
        <is>
          <t>5100001366</t>
        </is>
      </c>
      <c r="D1370" s="78" t="n">
        <v>45871</v>
      </c>
      <c r="E1370" s="75" t="inlineStr">
        <is>
          <t>KR</t>
        </is>
      </c>
      <c r="F1370" s="75" t="n">
        <v>62101000</v>
      </c>
      <c r="G1370" s="75" t="n">
        <v>1601</v>
      </c>
      <c r="H1370" s="76" t="n">
        <v>1281000</v>
      </c>
      <c r="I1370" s="75" t="inlineStr">
        <is>
          <t>8월 국내출장 - (법인카드)</t>
        </is>
      </c>
      <c r="J1370" s="75" t="inlineStr">
        <is>
          <t>V10008</t>
        </is>
      </c>
      <c r="K1370" s="75" t="inlineStr">
        <is>
          <t>(법인카드)</t>
        </is>
      </c>
      <c r="M1370" s="9">
        <f>IF($A1370="","",VALUE($A1370&amp;"")*12+VALUE($B1370&amp;""))</f>
        <v/>
      </c>
      <c r="N1370" s="39">
        <f>IF($A1370="","",IFERROR(INDEX(부서매핑!$C$5:$C$504,MATCH($G1370&amp;"",부서매핑!$A$5:$A$504,0)),"미매핑"))</f>
        <v/>
      </c>
      <c r="O1370" s="9">
        <f>IF($A1370="","",N1370&amp;"|"&amp;$F1370)</f>
        <v/>
      </c>
      <c r="P1370" s="77">
        <f>IF($A1370="",0,$H1370*설정!$C$23)</f>
        <v/>
      </c>
      <c r="Q1370" s="39">
        <f>IF($A1370="","",IF(O1370&lt;&gt;원인분석!$C$9,"",IF(AND(M1370&gt;=원인분석!$C$10,M1370&lt;=원인분석!$C$11),"당기",IF(AND(M1370&gt;=원인분석!$C$12,M1370&lt;=원인분석!$C$13),"비교",""))))</f>
        <v/>
      </c>
      <c r="R1370" s="9">
        <f>IF(Q1370="","",$K1370&amp;"")</f>
        <v/>
      </c>
      <c r="S1370" s="9">
        <f>IF(Q1370="","",IF(MATCH(R1370,$R$5:$R$100000,0)=ROW()-4,ROW(),""))</f>
        <v/>
      </c>
      <c r="T1370" s="9">
        <f>IF(Q1370="당기",ABS(P1370)+ROW()/1000000000,"")</f>
        <v/>
      </c>
      <c r="U1370" s="9">
        <f>IF(Q1370="비교",ABS(P1370)+ROW()/1000000000,"")</f>
        <v/>
      </c>
      <c r="V1370" s="39">
        <f>IF($A1370="","",IF(COUNTIF(변동분석!$E$7:$E$506,O1370)&gt;0,"Y","N"))</f>
        <v/>
      </c>
      <c r="W1370" s="39">
        <f>IF($A1370="","",IFERROR(INDEX(계정매핑!$D$5:$D$504,MATCH($F1370&amp;"",계정매핑!$A$5:$A$504,0)),"미매핑"))</f>
        <v/>
      </c>
      <c r="X1370" s="9">
        <f>IF($A1370="","",$F1370&amp;"")</f>
        <v/>
      </c>
    </row>
    <row r="1371">
      <c r="A1371" s="75" t="n">
        <v>2025</v>
      </c>
      <c r="B1371" s="75" t="n">
        <v>8</v>
      </c>
      <c r="C1371" s="75" t="inlineStr">
        <is>
          <t>5100001367</t>
        </is>
      </c>
      <c r="D1371" s="78" t="n">
        <v>45871</v>
      </c>
      <c r="E1371" s="75" t="inlineStr">
        <is>
          <t>KR</t>
        </is>
      </c>
      <c r="F1371" s="75" t="n">
        <v>62102000</v>
      </c>
      <c r="G1371" s="75" t="n">
        <v>1101</v>
      </c>
      <c r="H1371" s="76" t="n">
        <v>129000</v>
      </c>
      <c r="I1371" s="75" t="inlineStr">
        <is>
          <t>8월 해외출장 - M항공</t>
        </is>
      </c>
      <c r="J1371" s="75" t="inlineStr">
        <is>
          <t>V10001</t>
        </is>
      </c>
      <c r="K1371" s="75" t="inlineStr">
        <is>
          <t>M항공</t>
        </is>
      </c>
      <c r="M1371" s="9">
        <f>IF($A1371="","",VALUE($A1371&amp;"")*12+VALUE($B1371&amp;""))</f>
        <v/>
      </c>
      <c r="N1371" s="39">
        <f>IF($A1371="","",IFERROR(INDEX(부서매핑!$C$5:$C$504,MATCH($G1371&amp;"",부서매핑!$A$5:$A$504,0)),"미매핑"))</f>
        <v/>
      </c>
      <c r="O1371" s="9">
        <f>IF($A1371="","",N1371&amp;"|"&amp;$F1371)</f>
        <v/>
      </c>
      <c r="P1371" s="77">
        <f>IF($A1371="",0,$H1371*설정!$C$23)</f>
        <v/>
      </c>
      <c r="Q1371" s="39">
        <f>IF($A1371="","",IF(O1371&lt;&gt;원인분석!$C$9,"",IF(AND(M1371&gt;=원인분석!$C$10,M1371&lt;=원인분석!$C$11),"당기",IF(AND(M1371&gt;=원인분석!$C$12,M1371&lt;=원인분석!$C$13),"비교",""))))</f>
        <v/>
      </c>
      <c r="R1371" s="9">
        <f>IF(Q1371="","",$K1371&amp;"")</f>
        <v/>
      </c>
      <c r="S1371" s="9">
        <f>IF(Q1371="","",IF(MATCH(R1371,$R$5:$R$100000,0)=ROW()-4,ROW(),""))</f>
        <v/>
      </c>
      <c r="T1371" s="9">
        <f>IF(Q1371="당기",ABS(P1371)+ROW()/1000000000,"")</f>
        <v/>
      </c>
      <c r="U1371" s="9">
        <f>IF(Q1371="비교",ABS(P1371)+ROW()/1000000000,"")</f>
        <v/>
      </c>
      <c r="V1371" s="39">
        <f>IF($A1371="","",IF(COUNTIF(변동분석!$E$7:$E$506,O1371)&gt;0,"Y","N"))</f>
        <v/>
      </c>
      <c r="W1371" s="39">
        <f>IF($A1371="","",IFERROR(INDEX(계정매핑!$D$5:$D$504,MATCH($F1371&amp;"",계정매핑!$A$5:$A$504,0)),"미매핑"))</f>
        <v/>
      </c>
      <c r="X1371" s="9">
        <f>IF($A1371="","",$F1371&amp;"")</f>
        <v/>
      </c>
    </row>
    <row r="1372">
      <c r="A1372" s="75" t="n">
        <v>2025</v>
      </c>
      <c r="B1372" s="75" t="n">
        <v>8</v>
      </c>
      <c r="C1372" s="75" t="inlineStr">
        <is>
          <t>5100001368</t>
        </is>
      </c>
      <c r="D1372" s="78" t="n">
        <v>45871</v>
      </c>
      <c r="E1372" s="75" t="inlineStr">
        <is>
          <t>KR</t>
        </is>
      </c>
      <c r="F1372" s="75" t="n">
        <v>62102000</v>
      </c>
      <c r="G1372" s="75" t="n">
        <v>1201</v>
      </c>
      <c r="H1372" s="76" t="n">
        <v>72000</v>
      </c>
      <c r="I1372" s="75" t="inlineStr">
        <is>
          <t>8월 해외출장 - N호텔</t>
        </is>
      </c>
      <c r="J1372" s="75" t="inlineStr">
        <is>
          <t>V10007</t>
        </is>
      </c>
      <c r="K1372" s="75" t="inlineStr">
        <is>
          <t>N호텔</t>
        </is>
      </c>
      <c r="M1372" s="9">
        <f>IF($A1372="","",VALUE($A1372&amp;"")*12+VALUE($B1372&amp;""))</f>
        <v/>
      </c>
      <c r="N1372" s="39">
        <f>IF($A1372="","",IFERROR(INDEX(부서매핑!$C$5:$C$504,MATCH($G1372&amp;"",부서매핑!$A$5:$A$504,0)),"미매핑"))</f>
        <v/>
      </c>
      <c r="O1372" s="9">
        <f>IF($A1372="","",N1372&amp;"|"&amp;$F1372)</f>
        <v/>
      </c>
      <c r="P1372" s="77">
        <f>IF($A1372="",0,$H1372*설정!$C$23)</f>
        <v/>
      </c>
      <c r="Q1372" s="39">
        <f>IF($A1372="","",IF(O1372&lt;&gt;원인분석!$C$9,"",IF(AND(M1372&gt;=원인분석!$C$10,M1372&lt;=원인분석!$C$11),"당기",IF(AND(M1372&gt;=원인분석!$C$12,M1372&lt;=원인분석!$C$13),"비교",""))))</f>
        <v/>
      </c>
      <c r="R1372" s="9">
        <f>IF(Q1372="","",$K1372&amp;"")</f>
        <v/>
      </c>
      <c r="S1372" s="9">
        <f>IF(Q1372="","",IF(MATCH(R1372,$R$5:$R$100000,0)=ROW()-4,ROW(),""))</f>
        <v/>
      </c>
      <c r="T1372" s="9">
        <f>IF(Q1372="당기",ABS(P1372)+ROW()/1000000000,"")</f>
        <v/>
      </c>
      <c r="U1372" s="9">
        <f>IF(Q1372="비교",ABS(P1372)+ROW()/1000000000,"")</f>
        <v/>
      </c>
      <c r="V1372" s="39">
        <f>IF($A1372="","",IF(COUNTIF(변동분석!$E$7:$E$506,O1372)&gt;0,"Y","N"))</f>
        <v/>
      </c>
      <c r="W1372" s="39">
        <f>IF($A1372="","",IFERROR(INDEX(계정매핑!$D$5:$D$504,MATCH($F1372&amp;"",계정매핑!$A$5:$A$504,0)),"미매핑"))</f>
        <v/>
      </c>
      <c r="X1372" s="9">
        <f>IF($A1372="","",$F1372&amp;"")</f>
        <v/>
      </c>
    </row>
    <row r="1373">
      <c r="A1373" s="75" t="n">
        <v>2025</v>
      </c>
      <c r="B1373" s="75" t="n">
        <v>8</v>
      </c>
      <c r="C1373" s="75" t="inlineStr">
        <is>
          <t>5100001369</t>
        </is>
      </c>
      <c r="D1373" s="78" t="n">
        <v>45871</v>
      </c>
      <c r="E1373" s="75" t="inlineStr">
        <is>
          <t>KR</t>
        </is>
      </c>
      <c r="F1373" s="75" t="n">
        <v>62102000</v>
      </c>
      <c r="G1373" s="75" t="n">
        <v>1301</v>
      </c>
      <c r="H1373" s="76" t="n">
        <v>84000</v>
      </c>
      <c r="I1373" s="75" t="inlineStr">
        <is>
          <t>8월 해외출장 - N호텔</t>
        </is>
      </c>
      <c r="J1373" s="75" t="inlineStr">
        <is>
          <t>V10007</t>
        </is>
      </c>
      <c r="K1373" s="75" t="inlineStr">
        <is>
          <t>N호텔</t>
        </is>
      </c>
      <c r="M1373" s="9">
        <f>IF($A1373="","",VALUE($A1373&amp;"")*12+VALUE($B1373&amp;""))</f>
        <v/>
      </c>
      <c r="N1373" s="39">
        <f>IF($A1373="","",IFERROR(INDEX(부서매핑!$C$5:$C$504,MATCH($G1373&amp;"",부서매핑!$A$5:$A$504,0)),"미매핑"))</f>
        <v/>
      </c>
      <c r="O1373" s="9">
        <f>IF($A1373="","",N1373&amp;"|"&amp;$F1373)</f>
        <v/>
      </c>
      <c r="P1373" s="77">
        <f>IF($A1373="",0,$H1373*설정!$C$23)</f>
        <v/>
      </c>
      <c r="Q1373" s="39">
        <f>IF($A1373="","",IF(O1373&lt;&gt;원인분석!$C$9,"",IF(AND(M1373&gt;=원인분석!$C$10,M1373&lt;=원인분석!$C$11),"당기",IF(AND(M1373&gt;=원인분석!$C$12,M1373&lt;=원인분석!$C$13),"비교",""))))</f>
        <v/>
      </c>
      <c r="R1373" s="9">
        <f>IF(Q1373="","",$K1373&amp;"")</f>
        <v/>
      </c>
      <c r="S1373" s="9">
        <f>IF(Q1373="","",IF(MATCH(R1373,$R$5:$R$100000,0)=ROW()-4,ROW(),""))</f>
        <v/>
      </c>
      <c r="T1373" s="9">
        <f>IF(Q1373="당기",ABS(P1373)+ROW()/1000000000,"")</f>
        <v/>
      </c>
      <c r="U1373" s="9">
        <f>IF(Q1373="비교",ABS(P1373)+ROW()/1000000000,"")</f>
        <v/>
      </c>
      <c r="V1373" s="39">
        <f>IF($A1373="","",IF(COUNTIF(변동분석!$E$7:$E$506,O1373)&gt;0,"Y","N"))</f>
        <v/>
      </c>
      <c r="W1373" s="39">
        <f>IF($A1373="","",IFERROR(INDEX(계정매핑!$D$5:$D$504,MATCH($F1373&amp;"",계정매핑!$A$5:$A$504,0)),"미매핑"))</f>
        <v/>
      </c>
      <c r="X1373" s="9">
        <f>IF($A1373="","",$F1373&amp;"")</f>
        <v/>
      </c>
    </row>
    <row r="1374">
      <c r="A1374" s="75" t="n">
        <v>2025</v>
      </c>
      <c r="B1374" s="75" t="n">
        <v>8</v>
      </c>
      <c r="C1374" s="75" t="inlineStr">
        <is>
          <t>5100001370</t>
        </is>
      </c>
      <c r="D1374" s="78" t="n">
        <v>45871</v>
      </c>
      <c r="E1374" s="75" t="inlineStr">
        <is>
          <t>KR</t>
        </is>
      </c>
      <c r="F1374" s="75" t="n">
        <v>62201000</v>
      </c>
      <c r="G1374" s="75" t="n">
        <v>1801</v>
      </c>
      <c r="H1374" s="76" t="n">
        <v>5151000</v>
      </c>
      <c r="I1374" s="75" t="inlineStr">
        <is>
          <t>8월 통신요금 - O텔레콤</t>
        </is>
      </c>
      <c r="J1374" s="75" t="inlineStr">
        <is>
          <t>V10002</t>
        </is>
      </c>
      <c r="K1374" s="75" t="inlineStr">
        <is>
          <t>O텔레콤</t>
        </is>
      </c>
      <c r="M1374" s="9">
        <f>IF($A1374="","",VALUE($A1374&amp;"")*12+VALUE($B1374&amp;""))</f>
        <v/>
      </c>
      <c r="N1374" s="39">
        <f>IF($A1374="","",IFERROR(INDEX(부서매핑!$C$5:$C$504,MATCH($G1374&amp;"",부서매핑!$A$5:$A$504,0)),"미매핑"))</f>
        <v/>
      </c>
      <c r="O1374" s="9">
        <f>IF($A1374="","",N1374&amp;"|"&amp;$F1374)</f>
        <v/>
      </c>
      <c r="P1374" s="77">
        <f>IF($A1374="",0,$H1374*설정!$C$23)</f>
        <v/>
      </c>
      <c r="Q1374" s="39">
        <f>IF($A1374="","",IF(O1374&lt;&gt;원인분석!$C$9,"",IF(AND(M1374&gt;=원인분석!$C$10,M1374&lt;=원인분석!$C$11),"당기",IF(AND(M1374&gt;=원인분석!$C$12,M1374&lt;=원인분석!$C$13),"비교",""))))</f>
        <v/>
      </c>
      <c r="R1374" s="9">
        <f>IF(Q1374="","",$K1374&amp;"")</f>
        <v/>
      </c>
      <c r="S1374" s="9">
        <f>IF(Q1374="","",IF(MATCH(R1374,$R$5:$R$100000,0)=ROW()-4,ROW(),""))</f>
        <v/>
      </c>
      <c r="T1374" s="9">
        <f>IF(Q1374="당기",ABS(P1374)+ROW()/1000000000,"")</f>
        <v/>
      </c>
      <c r="U1374" s="9">
        <f>IF(Q1374="비교",ABS(P1374)+ROW()/1000000000,"")</f>
        <v/>
      </c>
      <c r="V1374" s="39">
        <f>IF($A1374="","",IF(COUNTIF(변동분석!$E$7:$E$506,O1374)&gt;0,"Y","N"))</f>
        <v/>
      </c>
      <c r="W1374" s="39">
        <f>IF($A1374="","",IFERROR(INDEX(계정매핑!$D$5:$D$504,MATCH($F1374&amp;"",계정매핑!$A$5:$A$504,0)),"미매핑"))</f>
        <v/>
      </c>
      <c r="X1374" s="9">
        <f>IF($A1374="","",$F1374&amp;"")</f>
        <v/>
      </c>
    </row>
    <row r="1375">
      <c r="A1375" s="75" t="n">
        <v>2025</v>
      </c>
      <c r="B1375" s="75" t="n">
        <v>8</v>
      </c>
      <c r="C1375" s="75" t="inlineStr">
        <is>
          <t>5100001371</t>
        </is>
      </c>
      <c r="D1375" s="78" t="n">
        <v>45871</v>
      </c>
      <c r="E1375" s="75" t="inlineStr">
        <is>
          <t>KR</t>
        </is>
      </c>
      <c r="F1375" s="75" t="n">
        <v>62501000</v>
      </c>
      <c r="G1375" s="75" t="n">
        <v>1401</v>
      </c>
      <c r="H1375" s="76" t="n">
        <v>135000</v>
      </c>
      <c r="I1375" s="75" t="inlineStr">
        <is>
          <t>8월 회의 다과 - (법인카드)</t>
        </is>
      </c>
      <c r="J1375" s="75" t="inlineStr">
        <is>
          <t>V10008</t>
        </is>
      </c>
      <c r="K1375" s="75" t="inlineStr">
        <is>
          <t>(법인카드)</t>
        </is>
      </c>
      <c r="M1375" s="9">
        <f>IF($A1375="","",VALUE($A1375&amp;"")*12+VALUE($B1375&amp;""))</f>
        <v/>
      </c>
      <c r="N1375" s="39">
        <f>IF($A1375="","",IFERROR(INDEX(부서매핑!$C$5:$C$504,MATCH($G1375&amp;"",부서매핑!$A$5:$A$504,0)),"미매핑"))</f>
        <v/>
      </c>
      <c r="O1375" s="9">
        <f>IF($A1375="","",N1375&amp;"|"&amp;$F1375)</f>
        <v/>
      </c>
      <c r="P1375" s="77">
        <f>IF($A1375="",0,$H1375*설정!$C$23)</f>
        <v/>
      </c>
      <c r="Q1375" s="39">
        <f>IF($A1375="","",IF(O1375&lt;&gt;원인분석!$C$9,"",IF(AND(M1375&gt;=원인분석!$C$10,M1375&lt;=원인분석!$C$11),"당기",IF(AND(M1375&gt;=원인분석!$C$12,M1375&lt;=원인분석!$C$13),"비교",""))))</f>
        <v/>
      </c>
      <c r="R1375" s="9">
        <f>IF(Q1375="","",$K1375&amp;"")</f>
        <v/>
      </c>
      <c r="S1375" s="9">
        <f>IF(Q1375="","",IF(MATCH(R1375,$R$5:$R$100000,0)=ROW()-4,ROW(),""))</f>
        <v/>
      </c>
      <c r="T1375" s="9">
        <f>IF(Q1375="당기",ABS(P1375)+ROW()/1000000000,"")</f>
        <v/>
      </c>
      <c r="U1375" s="9">
        <f>IF(Q1375="비교",ABS(P1375)+ROW()/1000000000,"")</f>
        <v/>
      </c>
      <c r="V1375" s="39">
        <f>IF($A1375="","",IF(COUNTIF(변동분석!$E$7:$E$506,O1375)&gt;0,"Y","N"))</f>
        <v/>
      </c>
      <c r="W1375" s="39">
        <f>IF($A1375="","",IFERROR(INDEX(계정매핑!$D$5:$D$504,MATCH($F1375&amp;"",계정매핑!$A$5:$A$504,0)),"미매핑"))</f>
        <v/>
      </c>
      <c r="X1375" s="9">
        <f>IF($A1375="","",$F1375&amp;"")</f>
        <v/>
      </c>
    </row>
    <row r="1376">
      <c r="A1376" s="75" t="n">
        <v>2025</v>
      </c>
      <c r="B1376" s="75" t="n">
        <v>8</v>
      </c>
      <c r="C1376" s="75" t="inlineStr">
        <is>
          <t>5100001372</t>
        </is>
      </c>
      <c r="D1376" s="78" t="n">
        <v>45871</v>
      </c>
      <c r="E1376" s="75" t="inlineStr">
        <is>
          <t>KR</t>
        </is>
      </c>
      <c r="F1376" s="75" t="n">
        <v>62901000</v>
      </c>
      <c r="G1376" s="75" t="n">
        <v>1801</v>
      </c>
      <c r="H1376" s="76" t="n">
        <v>8778000</v>
      </c>
      <c r="I1376" s="75" t="inlineStr">
        <is>
          <t>8월 자문 수수료 - K회계법인</t>
        </is>
      </c>
      <c r="J1376" s="75" t="inlineStr">
        <is>
          <t>V10010</t>
        </is>
      </c>
      <c r="K1376" s="75" t="inlineStr">
        <is>
          <t>K회계법인</t>
        </is>
      </c>
      <c r="M1376" s="9">
        <f>IF($A1376="","",VALUE($A1376&amp;"")*12+VALUE($B1376&amp;""))</f>
        <v/>
      </c>
      <c r="N1376" s="39">
        <f>IF($A1376="","",IFERROR(INDEX(부서매핑!$C$5:$C$504,MATCH($G1376&amp;"",부서매핑!$A$5:$A$504,0)),"미매핑"))</f>
        <v/>
      </c>
      <c r="O1376" s="9">
        <f>IF($A1376="","",N1376&amp;"|"&amp;$F1376)</f>
        <v/>
      </c>
      <c r="P1376" s="77">
        <f>IF($A1376="",0,$H1376*설정!$C$23)</f>
        <v/>
      </c>
      <c r="Q1376" s="39">
        <f>IF($A1376="","",IF(O1376&lt;&gt;원인분석!$C$9,"",IF(AND(M1376&gt;=원인분석!$C$10,M1376&lt;=원인분석!$C$11),"당기",IF(AND(M1376&gt;=원인분석!$C$12,M1376&lt;=원인분석!$C$13),"비교",""))))</f>
        <v/>
      </c>
      <c r="R1376" s="9">
        <f>IF(Q1376="","",$K1376&amp;"")</f>
        <v/>
      </c>
      <c r="S1376" s="9">
        <f>IF(Q1376="","",IF(MATCH(R1376,$R$5:$R$100000,0)=ROW()-4,ROW(),""))</f>
        <v/>
      </c>
      <c r="T1376" s="9">
        <f>IF(Q1376="당기",ABS(P1376)+ROW()/1000000000,"")</f>
        <v/>
      </c>
      <c r="U1376" s="9">
        <f>IF(Q1376="비교",ABS(P1376)+ROW()/1000000000,"")</f>
        <v/>
      </c>
      <c r="V1376" s="39">
        <f>IF($A1376="","",IF(COUNTIF(변동분석!$E$7:$E$506,O1376)&gt;0,"Y","N"))</f>
        <v/>
      </c>
      <c r="W1376" s="39">
        <f>IF($A1376="","",IFERROR(INDEX(계정매핑!$D$5:$D$504,MATCH($F1376&amp;"",계정매핑!$A$5:$A$504,0)),"미매핑"))</f>
        <v/>
      </c>
      <c r="X1376" s="9">
        <f>IF($A1376="","",$F1376&amp;"")</f>
        <v/>
      </c>
    </row>
    <row r="1377">
      <c r="A1377" s="75" t="n">
        <v>2025</v>
      </c>
      <c r="B1377" s="75" t="n">
        <v>8</v>
      </c>
      <c r="C1377" s="75" t="inlineStr">
        <is>
          <t>5100001373</t>
        </is>
      </c>
      <c r="D1377" s="78" t="n">
        <v>45871</v>
      </c>
      <c r="E1377" s="75" t="inlineStr">
        <is>
          <t>KR</t>
        </is>
      </c>
      <c r="F1377" s="75" t="n">
        <v>62902000</v>
      </c>
      <c r="G1377" s="75" t="n">
        <v>1801</v>
      </c>
      <c r="H1377" s="76" t="n">
        <v>1787000</v>
      </c>
      <c r="I1377" s="75" t="inlineStr">
        <is>
          <t>8월 콜 위탁 수수료(건별)</t>
        </is>
      </c>
      <c r="J1377" s="75" t="inlineStr">
        <is>
          <t>V10013</t>
        </is>
      </c>
      <c r="K1377" s="75" t="inlineStr">
        <is>
          <t>J콜센터</t>
        </is>
      </c>
      <c r="M1377" s="9">
        <f>IF($A1377="","",VALUE($A1377&amp;"")*12+VALUE($B1377&amp;""))</f>
        <v/>
      </c>
      <c r="N1377" s="39">
        <f>IF($A1377="","",IFERROR(INDEX(부서매핑!$C$5:$C$504,MATCH($G1377&amp;"",부서매핑!$A$5:$A$504,0)),"미매핑"))</f>
        <v/>
      </c>
      <c r="O1377" s="9">
        <f>IF($A1377="","",N1377&amp;"|"&amp;$F1377)</f>
        <v/>
      </c>
      <c r="P1377" s="77">
        <f>IF($A1377="",0,$H1377*설정!$C$23)</f>
        <v/>
      </c>
      <c r="Q1377" s="39">
        <f>IF($A1377="","",IF(O1377&lt;&gt;원인분석!$C$9,"",IF(AND(M1377&gt;=원인분석!$C$10,M1377&lt;=원인분석!$C$11),"당기",IF(AND(M1377&gt;=원인분석!$C$12,M1377&lt;=원인분석!$C$13),"비교",""))))</f>
        <v/>
      </c>
      <c r="R1377" s="9">
        <f>IF(Q1377="","",$K1377&amp;"")</f>
        <v/>
      </c>
      <c r="S1377" s="9">
        <f>IF(Q1377="","",IF(MATCH(R1377,$R$5:$R$100000,0)=ROW()-4,ROW(),""))</f>
        <v/>
      </c>
      <c r="T1377" s="9">
        <f>IF(Q1377="당기",ABS(P1377)+ROW()/1000000000,"")</f>
        <v/>
      </c>
      <c r="U1377" s="9">
        <f>IF(Q1377="비교",ABS(P1377)+ROW()/1000000000,"")</f>
        <v/>
      </c>
      <c r="V1377" s="39">
        <f>IF($A1377="","",IF(COUNTIF(변동분석!$E$7:$E$506,O1377)&gt;0,"Y","N"))</f>
        <v/>
      </c>
      <c r="W1377" s="39">
        <f>IF($A1377="","",IFERROR(INDEX(계정매핑!$D$5:$D$504,MATCH($F1377&amp;"",계정매핑!$A$5:$A$504,0)),"미매핑"))</f>
        <v/>
      </c>
      <c r="X1377" s="9">
        <f>IF($A1377="","",$F1377&amp;"")</f>
        <v/>
      </c>
    </row>
    <row r="1378">
      <c r="A1378" s="75" t="n">
        <v>2025</v>
      </c>
      <c r="B1378" s="75" t="n">
        <v>8</v>
      </c>
      <c r="C1378" s="75" t="inlineStr">
        <is>
          <t>5100001374</t>
        </is>
      </c>
      <c r="D1378" s="78" t="n">
        <v>45872</v>
      </c>
      <c r="E1378" s="75" t="inlineStr">
        <is>
          <t>KR</t>
        </is>
      </c>
      <c r="F1378" s="75" t="n">
        <v>62201000</v>
      </c>
      <c r="G1378" s="75" t="n">
        <v>1101</v>
      </c>
      <c r="H1378" s="76" t="n">
        <v>191000</v>
      </c>
      <c r="I1378" s="75" t="inlineStr">
        <is>
          <t>8월 통신요금 - P통신</t>
        </is>
      </c>
      <c r="J1378" s="75" t="inlineStr">
        <is>
          <t>V10011</t>
        </is>
      </c>
      <c r="K1378" s="75" t="inlineStr">
        <is>
          <t>P통신</t>
        </is>
      </c>
      <c r="M1378" s="9">
        <f>IF($A1378="","",VALUE($A1378&amp;"")*12+VALUE($B1378&amp;""))</f>
        <v/>
      </c>
      <c r="N1378" s="39">
        <f>IF($A1378="","",IFERROR(INDEX(부서매핑!$C$5:$C$504,MATCH($G1378&amp;"",부서매핑!$A$5:$A$504,0)),"미매핑"))</f>
        <v/>
      </c>
      <c r="O1378" s="9">
        <f>IF($A1378="","",N1378&amp;"|"&amp;$F1378)</f>
        <v/>
      </c>
      <c r="P1378" s="77">
        <f>IF($A1378="",0,$H1378*설정!$C$23)</f>
        <v/>
      </c>
      <c r="Q1378" s="39">
        <f>IF($A1378="","",IF(O1378&lt;&gt;원인분석!$C$9,"",IF(AND(M1378&gt;=원인분석!$C$10,M1378&lt;=원인분석!$C$11),"당기",IF(AND(M1378&gt;=원인분석!$C$12,M1378&lt;=원인분석!$C$13),"비교",""))))</f>
        <v/>
      </c>
      <c r="R1378" s="9">
        <f>IF(Q1378="","",$K1378&amp;"")</f>
        <v/>
      </c>
      <c r="S1378" s="9">
        <f>IF(Q1378="","",IF(MATCH(R1378,$R$5:$R$100000,0)=ROW()-4,ROW(),""))</f>
        <v/>
      </c>
      <c r="T1378" s="9">
        <f>IF(Q1378="당기",ABS(P1378)+ROW()/1000000000,"")</f>
        <v/>
      </c>
      <c r="U1378" s="9">
        <f>IF(Q1378="비교",ABS(P1378)+ROW()/1000000000,"")</f>
        <v/>
      </c>
      <c r="V1378" s="39">
        <f>IF($A1378="","",IF(COUNTIF(변동분석!$E$7:$E$506,O1378)&gt;0,"Y","N"))</f>
        <v/>
      </c>
      <c r="W1378" s="39">
        <f>IF($A1378="","",IFERROR(INDEX(계정매핑!$D$5:$D$504,MATCH($F1378&amp;"",계정매핑!$A$5:$A$504,0)),"미매핑"))</f>
        <v/>
      </c>
      <c r="X1378" s="9">
        <f>IF($A1378="","",$F1378&amp;"")</f>
        <v/>
      </c>
    </row>
    <row r="1379">
      <c r="A1379" s="75" t="n">
        <v>2025</v>
      </c>
      <c r="B1379" s="75" t="n">
        <v>8</v>
      </c>
      <c r="C1379" s="75" t="inlineStr">
        <is>
          <t>5100001375</t>
        </is>
      </c>
      <c r="D1379" s="78" t="n">
        <v>45872</v>
      </c>
      <c r="E1379" s="75" t="inlineStr">
        <is>
          <t>KR</t>
        </is>
      </c>
      <c r="F1379" s="75" t="n">
        <v>62201000</v>
      </c>
      <c r="G1379" s="75" t="n">
        <v>1201</v>
      </c>
      <c r="H1379" s="76" t="n">
        <v>192000</v>
      </c>
      <c r="I1379" s="75" t="inlineStr">
        <is>
          <t>8월 통신요금 - O텔레콤</t>
        </is>
      </c>
      <c r="J1379" s="75" t="inlineStr">
        <is>
          <t>V10002</t>
        </is>
      </c>
      <c r="K1379" s="75" t="inlineStr">
        <is>
          <t>O텔레콤</t>
        </is>
      </c>
      <c r="M1379" s="9">
        <f>IF($A1379="","",VALUE($A1379&amp;"")*12+VALUE($B1379&amp;""))</f>
        <v/>
      </c>
      <c r="N1379" s="39">
        <f>IF($A1379="","",IFERROR(INDEX(부서매핑!$C$5:$C$504,MATCH($G1379&amp;"",부서매핑!$A$5:$A$504,0)),"미매핑"))</f>
        <v/>
      </c>
      <c r="O1379" s="9">
        <f>IF($A1379="","",N1379&amp;"|"&amp;$F1379)</f>
        <v/>
      </c>
      <c r="P1379" s="77">
        <f>IF($A1379="",0,$H1379*설정!$C$23)</f>
        <v/>
      </c>
      <c r="Q1379" s="39">
        <f>IF($A1379="","",IF(O1379&lt;&gt;원인분석!$C$9,"",IF(AND(M1379&gt;=원인분석!$C$10,M1379&lt;=원인분석!$C$11),"당기",IF(AND(M1379&gt;=원인분석!$C$12,M1379&lt;=원인분석!$C$13),"비교",""))))</f>
        <v/>
      </c>
      <c r="R1379" s="9">
        <f>IF(Q1379="","",$K1379&amp;"")</f>
        <v/>
      </c>
      <c r="S1379" s="9">
        <f>IF(Q1379="","",IF(MATCH(R1379,$R$5:$R$100000,0)=ROW()-4,ROW(),""))</f>
        <v/>
      </c>
      <c r="T1379" s="9">
        <f>IF(Q1379="당기",ABS(P1379)+ROW()/1000000000,"")</f>
        <v/>
      </c>
      <c r="U1379" s="9">
        <f>IF(Q1379="비교",ABS(P1379)+ROW()/1000000000,"")</f>
        <v/>
      </c>
      <c r="V1379" s="39">
        <f>IF($A1379="","",IF(COUNTIF(변동분석!$E$7:$E$506,O1379)&gt;0,"Y","N"))</f>
        <v/>
      </c>
      <c r="W1379" s="39">
        <f>IF($A1379="","",IFERROR(INDEX(계정매핑!$D$5:$D$504,MATCH($F1379&amp;"",계정매핑!$A$5:$A$504,0)),"미매핑"))</f>
        <v/>
      </c>
      <c r="X1379" s="9">
        <f>IF($A1379="","",$F1379&amp;"")</f>
        <v/>
      </c>
    </row>
    <row r="1380">
      <c r="A1380" s="75" t="n">
        <v>2025</v>
      </c>
      <c r="B1380" s="75" t="n">
        <v>8</v>
      </c>
      <c r="C1380" s="75" t="inlineStr">
        <is>
          <t>5100001376</t>
        </is>
      </c>
      <c r="D1380" s="78" t="n">
        <v>45872</v>
      </c>
      <c r="E1380" s="75" t="inlineStr">
        <is>
          <t>KR</t>
        </is>
      </c>
      <c r="F1380" s="75" t="n">
        <v>62301000</v>
      </c>
      <c r="G1380" s="75" t="n">
        <v>1401</v>
      </c>
      <c r="H1380" s="76" t="n">
        <v>86000</v>
      </c>
      <c r="I1380" s="75" t="inlineStr">
        <is>
          <t>8월 소모품 구입 - Q오피스</t>
        </is>
      </c>
      <c r="J1380" s="75" t="inlineStr">
        <is>
          <t>V10003</t>
        </is>
      </c>
      <c r="K1380" s="75" t="inlineStr">
        <is>
          <t>Q오피스</t>
        </is>
      </c>
      <c r="M1380" s="9">
        <f>IF($A1380="","",VALUE($A1380&amp;"")*12+VALUE($B1380&amp;""))</f>
        <v/>
      </c>
      <c r="N1380" s="39">
        <f>IF($A1380="","",IFERROR(INDEX(부서매핑!$C$5:$C$504,MATCH($G1380&amp;"",부서매핑!$A$5:$A$504,0)),"미매핑"))</f>
        <v/>
      </c>
      <c r="O1380" s="9">
        <f>IF($A1380="","",N1380&amp;"|"&amp;$F1380)</f>
        <v/>
      </c>
      <c r="P1380" s="77">
        <f>IF($A1380="",0,$H1380*설정!$C$23)</f>
        <v/>
      </c>
      <c r="Q1380" s="39">
        <f>IF($A1380="","",IF(O1380&lt;&gt;원인분석!$C$9,"",IF(AND(M1380&gt;=원인분석!$C$10,M1380&lt;=원인분석!$C$11),"당기",IF(AND(M1380&gt;=원인분석!$C$12,M1380&lt;=원인분석!$C$13),"비교",""))))</f>
        <v/>
      </c>
      <c r="R1380" s="9">
        <f>IF(Q1380="","",$K1380&amp;"")</f>
        <v/>
      </c>
      <c r="S1380" s="9">
        <f>IF(Q1380="","",IF(MATCH(R1380,$R$5:$R$100000,0)=ROW()-4,ROW(),""))</f>
        <v/>
      </c>
      <c r="T1380" s="9">
        <f>IF(Q1380="당기",ABS(P1380)+ROW()/1000000000,"")</f>
        <v/>
      </c>
      <c r="U1380" s="9">
        <f>IF(Q1380="비교",ABS(P1380)+ROW()/1000000000,"")</f>
        <v/>
      </c>
      <c r="V1380" s="39">
        <f>IF($A1380="","",IF(COUNTIF(변동분석!$E$7:$E$506,O1380)&gt;0,"Y","N"))</f>
        <v/>
      </c>
      <c r="W1380" s="39">
        <f>IF($A1380="","",IFERROR(INDEX(계정매핑!$D$5:$D$504,MATCH($F1380&amp;"",계정매핑!$A$5:$A$504,0)),"미매핑"))</f>
        <v/>
      </c>
      <c r="X1380" s="9">
        <f>IF($A1380="","",$F1380&amp;"")</f>
        <v/>
      </c>
    </row>
    <row r="1381">
      <c r="A1381" s="75" t="n">
        <v>2025</v>
      </c>
      <c r="B1381" s="75" t="n">
        <v>8</v>
      </c>
      <c r="C1381" s="75" t="inlineStr">
        <is>
          <t>5100001377</t>
        </is>
      </c>
      <c r="D1381" s="78" t="n">
        <v>45872</v>
      </c>
      <c r="E1381" s="75" t="inlineStr">
        <is>
          <t>KR</t>
        </is>
      </c>
      <c r="F1381" s="75" t="n">
        <v>62501000</v>
      </c>
      <c r="G1381" s="75" t="n">
        <v>1501</v>
      </c>
      <c r="H1381" s="76" t="n">
        <v>478000</v>
      </c>
      <c r="I1381" s="75" t="inlineStr">
        <is>
          <t>8월 회의 다과 - T케이터링</t>
        </is>
      </c>
      <c r="J1381" s="75" t="inlineStr">
        <is>
          <t>V10005</t>
        </is>
      </c>
      <c r="K1381" s="75" t="inlineStr">
        <is>
          <t>T케이터링</t>
        </is>
      </c>
      <c r="M1381" s="9">
        <f>IF($A1381="","",VALUE($A1381&amp;"")*12+VALUE($B1381&amp;""))</f>
        <v/>
      </c>
      <c r="N1381" s="39">
        <f>IF($A1381="","",IFERROR(INDEX(부서매핑!$C$5:$C$504,MATCH($G1381&amp;"",부서매핑!$A$5:$A$504,0)),"미매핑"))</f>
        <v/>
      </c>
      <c r="O1381" s="9">
        <f>IF($A1381="","",N1381&amp;"|"&amp;$F1381)</f>
        <v/>
      </c>
      <c r="P1381" s="77">
        <f>IF($A1381="",0,$H1381*설정!$C$23)</f>
        <v/>
      </c>
      <c r="Q1381" s="39">
        <f>IF($A1381="","",IF(O1381&lt;&gt;원인분석!$C$9,"",IF(AND(M1381&gt;=원인분석!$C$10,M1381&lt;=원인분석!$C$11),"당기",IF(AND(M1381&gt;=원인분석!$C$12,M1381&lt;=원인분석!$C$13),"비교",""))))</f>
        <v/>
      </c>
      <c r="R1381" s="9">
        <f>IF(Q1381="","",$K1381&amp;"")</f>
        <v/>
      </c>
      <c r="S1381" s="9">
        <f>IF(Q1381="","",IF(MATCH(R1381,$R$5:$R$100000,0)=ROW()-4,ROW(),""))</f>
        <v/>
      </c>
      <c r="T1381" s="9">
        <f>IF(Q1381="당기",ABS(P1381)+ROW()/1000000000,"")</f>
        <v/>
      </c>
      <c r="U1381" s="9">
        <f>IF(Q1381="비교",ABS(P1381)+ROW()/1000000000,"")</f>
        <v/>
      </c>
      <c r="V1381" s="39">
        <f>IF($A1381="","",IF(COUNTIF(변동분석!$E$7:$E$506,O1381)&gt;0,"Y","N"))</f>
        <v/>
      </c>
      <c r="W1381" s="39">
        <f>IF($A1381="","",IFERROR(INDEX(계정매핑!$D$5:$D$504,MATCH($F1381&amp;"",계정매핑!$A$5:$A$504,0)),"미매핑"))</f>
        <v/>
      </c>
      <c r="X1381" s="9">
        <f>IF($A1381="","",$F1381&amp;"")</f>
        <v/>
      </c>
    </row>
    <row r="1382">
      <c r="A1382" s="75" t="n">
        <v>2025</v>
      </c>
      <c r="B1382" s="75" t="n">
        <v>8</v>
      </c>
      <c r="C1382" s="75" t="inlineStr">
        <is>
          <t>5100001378</t>
        </is>
      </c>
      <c r="D1382" s="78" t="n">
        <v>45872</v>
      </c>
      <c r="E1382" s="75" t="inlineStr">
        <is>
          <t>KR</t>
        </is>
      </c>
      <c r="F1382" s="75" t="n">
        <v>62501000</v>
      </c>
      <c r="G1382" s="75" t="n">
        <v>1501</v>
      </c>
      <c r="H1382" s="76" t="n">
        <v>259000</v>
      </c>
      <c r="I1382" s="75" t="inlineStr">
        <is>
          <t>8월 회의 다과 - T케이터링</t>
        </is>
      </c>
      <c r="J1382" s="75" t="inlineStr">
        <is>
          <t>V10005</t>
        </is>
      </c>
      <c r="K1382" s="75" t="inlineStr">
        <is>
          <t>T케이터링</t>
        </is>
      </c>
      <c r="M1382" s="9">
        <f>IF($A1382="","",VALUE($A1382&amp;"")*12+VALUE($B1382&amp;""))</f>
        <v/>
      </c>
      <c r="N1382" s="39">
        <f>IF($A1382="","",IFERROR(INDEX(부서매핑!$C$5:$C$504,MATCH($G1382&amp;"",부서매핑!$A$5:$A$504,0)),"미매핑"))</f>
        <v/>
      </c>
      <c r="O1382" s="9">
        <f>IF($A1382="","",N1382&amp;"|"&amp;$F1382)</f>
        <v/>
      </c>
      <c r="P1382" s="77">
        <f>IF($A1382="",0,$H1382*설정!$C$23)</f>
        <v/>
      </c>
      <c r="Q1382" s="39">
        <f>IF($A1382="","",IF(O1382&lt;&gt;원인분석!$C$9,"",IF(AND(M1382&gt;=원인분석!$C$10,M1382&lt;=원인분석!$C$11),"당기",IF(AND(M1382&gt;=원인분석!$C$12,M1382&lt;=원인분석!$C$13),"비교",""))))</f>
        <v/>
      </c>
      <c r="R1382" s="9">
        <f>IF(Q1382="","",$K1382&amp;"")</f>
        <v/>
      </c>
      <c r="S1382" s="9">
        <f>IF(Q1382="","",IF(MATCH(R1382,$R$5:$R$100000,0)=ROW()-4,ROW(),""))</f>
        <v/>
      </c>
      <c r="T1382" s="9">
        <f>IF(Q1382="당기",ABS(P1382)+ROW()/1000000000,"")</f>
        <v/>
      </c>
      <c r="U1382" s="9">
        <f>IF(Q1382="비교",ABS(P1382)+ROW()/1000000000,"")</f>
        <v/>
      </c>
      <c r="V1382" s="39">
        <f>IF($A1382="","",IF(COUNTIF(변동분석!$E$7:$E$506,O1382)&gt;0,"Y","N"))</f>
        <v/>
      </c>
      <c r="W1382" s="39">
        <f>IF($A1382="","",IFERROR(INDEX(계정매핑!$D$5:$D$504,MATCH($F1382&amp;"",계정매핑!$A$5:$A$504,0)),"미매핑"))</f>
        <v/>
      </c>
      <c r="X1382" s="9">
        <f>IF($A1382="","",$F1382&amp;"")</f>
        <v/>
      </c>
    </row>
    <row r="1383">
      <c r="A1383" s="75" t="n">
        <v>2025</v>
      </c>
      <c r="B1383" s="75" t="n">
        <v>8</v>
      </c>
      <c r="C1383" s="75" t="inlineStr">
        <is>
          <t>5100001379</t>
        </is>
      </c>
      <c r="D1383" s="78" t="n">
        <v>45872</v>
      </c>
      <c r="E1383" s="75" t="inlineStr">
        <is>
          <t>KR</t>
        </is>
      </c>
      <c r="F1383" s="75" t="n">
        <v>63001000</v>
      </c>
      <c r="G1383" s="75" t="n">
        <v>1701</v>
      </c>
      <c r="H1383" s="76" t="n">
        <v>26380000</v>
      </c>
      <c r="I1383" s="75" t="inlineStr">
        <is>
          <t>8월 SW 유지보수 - Y소프트</t>
        </is>
      </c>
      <c r="J1383" s="75" t="inlineStr">
        <is>
          <t>V10017</t>
        </is>
      </c>
      <c r="K1383" s="75" t="inlineStr">
        <is>
          <t>Y소프트</t>
        </is>
      </c>
      <c r="M1383" s="9">
        <f>IF($A1383="","",VALUE($A1383&amp;"")*12+VALUE($B1383&amp;""))</f>
        <v/>
      </c>
      <c r="N1383" s="39">
        <f>IF($A1383="","",IFERROR(INDEX(부서매핑!$C$5:$C$504,MATCH($G1383&amp;"",부서매핑!$A$5:$A$504,0)),"미매핑"))</f>
        <v/>
      </c>
      <c r="O1383" s="9">
        <f>IF($A1383="","",N1383&amp;"|"&amp;$F1383)</f>
        <v/>
      </c>
      <c r="P1383" s="77">
        <f>IF($A1383="",0,$H1383*설정!$C$23)</f>
        <v/>
      </c>
      <c r="Q1383" s="39">
        <f>IF($A1383="","",IF(O1383&lt;&gt;원인분석!$C$9,"",IF(AND(M1383&gt;=원인분석!$C$10,M1383&lt;=원인분석!$C$11),"당기",IF(AND(M1383&gt;=원인분석!$C$12,M1383&lt;=원인분석!$C$13),"비교",""))))</f>
        <v/>
      </c>
      <c r="R1383" s="9">
        <f>IF(Q1383="","",$K1383&amp;"")</f>
        <v/>
      </c>
      <c r="S1383" s="9">
        <f>IF(Q1383="","",IF(MATCH(R1383,$R$5:$R$100000,0)=ROW()-4,ROW(),""))</f>
        <v/>
      </c>
      <c r="T1383" s="9">
        <f>IF(Q1383="당기",ABS(P1383)+ROW()/1000000000,"")</f>
        <v/>
      </c>
      <c r="U1383" s="9">
        <f>IF(Q1383="비교",ABS(P1383)+ROW()/1000000000,"")</f>
        <v/>
      </c>
      <c r="V1383" s="39">
        <f>IF($A1383="","",IF(COUNTIF(변동분석!$E$7:$E$506,O1383)&gt;0,"Y","N"))</f>
        <v/>
      </c>
      <c r="W1383" s="39">
        <f>IF($A1383="","",IFERROR(INDEX(계정매핑!$D$5:$D$504,MATCH($F1383&amp;"",계정매핑!$A$5:$A$504,0)),"미매핑"))</f>
        <v/>
      </c>
      <c r="X1383" s="9">
        <f>IF($A1383="","",$F1383&amp;"")</f>
        <v/>
      </c>
    </row>
    <row r="1384">
      <c r="A1384" s="75" t="n">
        <v>2025</v>
      </c>
      <c r="B1384" s="75" t="n">
        <v>8</v>
      </c>
      <c r="C1384" s="75" t="inlineStr">
        <is>
          <t>5100001380</t>
        </is>
      </c>
      <c r="D1384" s="78" t="n">
        <v>45873</v>
      </c>
      <c r="E1384" s="75" t="inlineStr">
        <is>
          <t>KR</t>
        </is>
      </c>
      <c r="F1384" s="75" t="n">
        <v>62101000</v>
      </c>
      <c r="G1384" s="75" t="n">
        <v>1201</v>
      </c>
      <c r="H1384" s="76" t="n">
        <v>260000</v>
      </c>
      <c r="I1384" s="75" t="inlineStr">
        <is>
          <t>8월 국내출장 - M항공</t>
        </is>
      </c>
      <c r="J1384" s="75" t="inlineStr">
        <is>
          <t>V10001</t>
        </is>
      </c>
      <c r="K1384" s="75" t="inlineStr">
        <is>
          <t>M항공</t>
        </is>
      </c>
      <c r="M1384" s="9">
        <f>IF($A1384="","",VALUE($A1384&amp;"")*12+VALUE($B1384&amp;""))</f>
        <v/>
      </c>
      <c r="N1384" s="39">
        <f>IF($A1384="","",IFERROR(INDEX(부서매핑!$C$5:$C$504,MATCH($G1384&amp;"",부서매핑!$A$5:$A$504,0)),"미매핑"))</f>
        <v/>
      </c>
      <c r="O1384" s="9">
        <f>IF($A1384="","",N1384&amp;"|"&amp;$F1384)</f>
        <v/>
      </c>
      <c r="P1384" s="77">
        <f>IF($A1384="",0,$H1384*설정!$C$23)</f>
        <v/>
      </c>
      <c r="Q1384" s="39">
        <f>IF($A1384="","",IF(O1384&lt;&gt;원인분석!$C$9,"",IF(AND(M1384&gt;=원인분석!$C$10,M1384&lt;=원인분석!$C$11),"당기",IF(AND(M1384&gt;=원인분석!$C$12,M1384&lt;=원인분석!$C$13),"비교",""))))</f>
        <v/>
      </c>
      <c r="R1384" s="9">
        <f>IF(Q1384="","",$K1384&amp;"")</f>
        <v/>
      </c>
      <c r="S1384" s="9">
        <f>IF(Q1384="","",IF(MATCH(R1384,$R$5:$R$100000,0)=ROW()-4,ROW(),""))</f>
        <v/>
      </c>
      <c r="T1384" s="9">
        <f>IF(Q1384="당기",ABS(P1384)+ROW()/1000000000,"")</f>
        <v/>
      </c>
      <c r="U1384" s="9">
        <f>IF(Q1384="비교",ABS(P1384)+ROW()/1000000000,"")</f>
        <v/>
      </c>
      <c r="V1384" s="39">
        <f>IF($A1384="","",IF(COUNTIF(변동분석!$E$7:$E$506,O1384)&gt;0,"Y","N"))</f>
        <v/>
      </c>
      <c r="W1384" s="39">
        <f>IF($A1384="","",IFERROR(INDEX(계정매핑!$D$5:$D$504,MATCH($F1384&amp;"",계정매핑!$A$5:$A$504,0)),"미매핑"))</f>
        <v/>
      </c>
      <c r="X1384" s="9">
        <f>IF($A1384="","",$F1384&amp;"")</f>
        <v/>
      </c>
    </row>
    <row r="1385">
      <c r="A1385" s="75" t="n">
        <v>2025</v>
      </c>
      <c r="B1385" s="75" t="n">
        <v>8</v>
      </c>
      <c r="C1385" s="75" t="inlineStr">
        <is>
          <t>5100001381</t>
        </is>
      </c>
      <c r="D1385" s="78" t="n">
        <v>45873</v>
      </c>
      <c r="E1385" s="75" t="inlineStr">
        <is>
          <t>KR</t>
        </is>
      </c>
      <c r="F1385" s="75" t="n">
        <v>62102000</v>
      </c>
      <c r="G1385" s="75" t="n">
        <v>1601</v>
      </c>
      <c r="H1385" s="76" t="n">
        <v>324000</v>
      </c>
      <c r="I1385" s="75" t="inlineStr">
        <is>
          <t>8월 해외출장 - N호텔</t>
        </is>
      </c>
      <c r="J1385" s="75" t="inlineStr">
        <is>
          <t>V10007</t>
        </is>
      </c>
      <c r="K1385" s="75" t="inlineStr">
        <is>
          <t>N호텔</t>
        </is>
      </c>
      <c r="M1385" s="9">
        <f>IF($A1385="","",VALUE($A1385&amp;"")*12+VALUE($B1385&amp;""))</f>
        <v/>
      </c>
      <c r="N1385" s="39">
        <f>IF($A1385="","",IFERROR(INDEX(부서매핑!$C$5:$C$504,MATCH($G1385&amp;"",부서매핑!$A$5:$A$504,0)),"미매핑"))</f>
        <v/>
      </c>
      <c r="O1385" s="9">
        <f>IF($A1385="","",N1385&amp;"|"&amp;$F1385)</f>
        <v/>
      </c>
      <c r="P1385" s="77">
        <f>IF($A1385="",0,$H1385*설정!$C$23)</f>
        <v/>
      </c>
      <c r="Q1385" s="39">
        <f>IF($A1385="","",IF(O1385&lt;&gt;원인분석!$C$9,"",IF(AND(M1385&gt;=원인분석!$C$10,M1385&lt;=원인분석!$C$11),"당기",IF(AND(M1385&gt;=원인분석!$C$12,M1385&lt;=원인분석!$C$13),"비교",""))))</f>
        <v/>
      </c>
      <c r="R1385" s="9">
        <f>IF(Q1385="","",$K1385&amp;"")</f>
        <v/>
      </c>
      <c r="S1385" s="9">
        <f>IF(Q1385="","",IF(MATCH(R1385,$R$5:$R$100000,0)=ROW()-4,ROW(),""))</f>
        <v/>
      </c>
      <c r="T1385" s="9">
        <f>IF(Q1385="당기",ABS(P1385)+ROW()/1000000000,"")</f>
        <v/>
      </c>
      <c r="U1385" s="9">
        <f>IF(Q1385="비교",ABS(P1385)+ROW()/1000000000,"")</f>
        <v/>
      </c>
      <c r="V1385" s="39">
        <f>IF($A1385="","",IF(COUNTIF(변동분석!$E$7:$E$506,O1385)&gt;0,"Y","N"))</f>
        <v/>
      </c>
      <c r="W1385" s="39">
        <f>IF($A1385="","",IFERROR(INDEX(계정매핑!$D$5:$D$504,MATCH($F1385&amp;"",계정매핑!$A$5:$A$504,0)),"미매핑"))</f>
        <v/>
      </c>
      <c r="X1385" s="9">
        <f>IF($A1385="","",$F1385&amp;"")</f>
        <v/>
      </c>
    </row>
    <row r="1386">
      <c r="A1386" s="75" t="n">
        <v>2025</v>
      </c>
      <c r="B1386" s="75" t="n">
        <v>8</v>
      </c>
      <c r="C1386" s="75" t="inlineStr">
        <is>
          <t>5100001382</t>
        </is>
      </c>
      <c r="D1386" s="78" t="n">
        <v>45873</v>
      </c>
      <c r="E1386" s="75" t="inlineStr">
        <is>
          <t>KR</t>
        </is>
      </c>
      <c r="F1386" s="75" t="n">
        <v>62102000</v>
      </c>
      <c r="G1386" s="75" t="n">
        <v>1701</v>
      </c>
      <c r="H1386" s="76" t="n">
        <v>101000</v>
      </c>
      <c r="I1386" s="75" t="inlineStr">
        <is>
          <t>8월 해외출장 - N호텔</t>
        </is>
      </c>
      <c r="J1386" s="75" t="inlineStr">
        <is>
          <t>V10007</t>
        </is>
      </c>
      <c r="K1386" s="75" t="inlineStr">
        <is>
          <t>N호텔</t>
        </is>
      </c>
      <c r="M1386" s="9">
        <f>IF($A1386="","",VALUE($A1386&amp;"")*12+VALUE($B1386&amp;""))</f>
        <v/>
      </c>
      <c r="N1386" s="39">
        <f>IF($A1386="","",IFERROR(INDEX(부서매핑!$C$5:$C$504,MATCH($G1386&amp;"",부서매핑!$A$5:$A$504,0)),"미매핑"))</f>
        <v/>
      </c>
      <c r="O1386" s="9">
        <f>IF($A1386="","",N1386&amp;"|"&amp;$F1386)</f>
        <v/>
      </c>
      <c r="P1386" s="77">
        <f>IF($A1386="",0,$H1386*설정!$C$23)</f>
        <v/>
      </c>
      <c r="Q1386" s="39">
        <f>IF($A1386="","",IF(O1386&lt;&gt;원인분석!$C$9,"",IF(AND(M1386&gt;=원인분석!$C$10,M1386&lt;=원인분석!$C$11),"당기",IF(AND(M1386&gt;=원인분석!$C$12,M1386&lt;=원인분석!$C$13),"비교",""))))</f>
        <v/>
      </c>
      <c r="R1386" s="9">
        <f>IF(Q1386="","",$K1386&amp;"")</f>
        <v/>
      </c>
      <c r="S1386" s="9">
        <f>IF(Q1386="","",IF(MATCH(R1386,$R$5:$R$100000,0)=ROW()-4,ROW(),""))</f>
        <v/>
      </c>
      <c r="T1386" s="9">
        <f>IF(Q1386="당기",ABS(P1386)+ROW()/1000000000,"")</f>
        <v/>
      </c>
      <c r="U1386" s="9">
        <f>IF(Q1386="비교",ABS(P1386)+ROW()/1000000000,"")</f>
        <v/>
      </c>
      <c r="V1386" s="39">
        <f>IF($A1386="","",IF(COUNTIF(변동분석!$E$7:$E$506,O1386)&gt;0,"Y","N"))</f>
        <v/>
      </c>
      <c r="W1386" s="39">
        <f>IF($A1386="","",IFERROR(INDEX(계정매핑!$D$5:$D$504,MATCH($F1386&amp;"",계정매핑!$A$5:$A$504,0)),"미매핑"))</f>
        <v/>
      </c>
      <c r="X1386" s="9">
        <f>IF($A1386="","",$F1386&amp;"")</f>
        <v/>
      </c>
    </row>
    <row r="1387">
      <c r="A1387" s="75" t="n">
        <v>2025</v>
      </c>
      <c r="B1387" s="75" t="n">
        <v>8</v>
      </c>
      <c r="C1387" s="75" t="inlineStr">
        <is>
          <t>5100001383</t>
        </is>
      </c>
      <c r="D1387" s="78" t="n">
        <v>45873</v>
      </c>
      <c r="E1387" s="75" t="inlineStr">
        <is>
          <t>KR</t>
        </is>
      </c>
      <c r="F1387" s="75" t="n">
        <v>62301000</v>
      </c>
      <c r="G1387" s="75" t="n">
        <v>1301</v>
      </c>
      <c r="H1387" s="76" t="n">
        <v>120000</v>
      </c>
      <c r="I1387" s="75" t="inlineStr">
        <is>
          <t>8월 소모품 구입 - R문구</t>
        </is>
      </c>
      <c r="J1387" s="75" t="inlineStr">
        <is>
          <t>V10018</t>
        </is>
      </c>
      <c r="K1387" s="75" t="inlineStr">
        <is>
          <t>R문구</t>
        </is>
      </c>
      <c r="M1387" s="9">
        <f>IF($A1387="","",VALUE($A1387&amp;"")*12+VALUE($B1387&amp;""))</f>
        <v/>
      </c>
      <c r="N1387" s="39">
        <f>IF($A1387="","",IFERROR(INDEX(부서매핑!$C$5:$C$504,MATCH($G1387&amp;"",부서매핑!$A$5:$A$504,0)),"미매핑"))</f>
        <v/>
      </c>
      <c r="O1387" s="9">
        <f>IF($A1387="","",N1387&amp;"|"&amp;$F1387)</f>
        <v/>
      </c>
      <c r="P1387" s="77">
        <f>IF($A1387="",0,$H1387*설정!$C$23)</f>
        <v/>
      </c>
      <c r="Q1387" s="39">
        <f>IF($A1387="","",IF(O1387&lt;&gt;원인분석!$C$9,"",IF(AND(M1387&gt;=원인분석!$C$10,M1387&lt;=원인분석!$C$11),"당기",IF(AND(M1387&gt;=원인분석!$C$12,M1387&lt;=원인분석!$C$13),"비교",""))))</f>
        <v/>
      </c>
      <c r="R1387" s="9">
        <f>IF(Q1387="","",$K1387&amp;"")</f>
        <v/>
      </c>
      <c r="S1387" s="9">
        <f>IF(Q1387="","",IF(MATCH(R1387,$R$5:$R$100000,0)=ROW()-4,ROW(),""))</f>
        <v/>
      </c>
      <c r="T1387" s="9">
        <f>IF(Q1387="당기",ABS(P1387)+ROW()/1000000000,"")</f>
        <v/>
      </c>
      <c r="U1387" s="9">
        <f>IF(Q1387="비교",ABS(P1387)+ROW()/1000000000,"")</f>
        <v/>
      </c>
      <c r="V1387" s="39">
        <f>IF($A1387="","",IF(COUNTIF(변동분석!$E$7:$E$506,O1387)&gt;0,"Y","N"))</f>
        <v/>
      </c>
      <c r="W1387" s="39">
        <f>IF($A1387="","",IFERROR(INDEX(계정매핑!$D$5:$D$504,MATCH($F1387&amp;"",계정매핑!$A$5:$A$504,0)),"미매핑"))</f>
        <v/>
      </c>
      <c r="X1387" s="9">
        <f>IF($A1387="","",$F1387&amp;"")</f>
        <v/>
      </c>
    </row>
    <row r="1388">
      <c r="A1388" s="75" t="n">
        <v>2025</v>
      </c>
      <c r="B1388" s="75" t="n">
        <v>8</v>
      </c>
      <c r="C1388" s="75" t="inlineStr">
        <is>
          <t>5100001384</t>
        </is>
      </c>
      <c r="D1388" s="78" t="n">
        <v>45873</v>
      </c>
      <c r="E1388" s="75" t="inlineStr">
        <is>
          <t>KR</t>
        </is>
      </c>
      <c r="F1388" s="75" t="n">
        <v>62301000</v>
      </c>
      <c r="G1388" s="75" t="n">
        <v>1801</v>
      </c>
      <c r="H1388" s="76" t="n">
        <v>373000</v>
      </c>
      <c r="I1388" s="75" t="inlineStr">
        <is>
          <t>8월 소모품 구입 - Q오피스</t>
        </is>
      </c>
      <c r="J1388" s="75" t="inlineStr">
        <is>
          <t>V10003</t>
        </is>
      </c>
      <c r="K1388" s="75" t="inlineStr">
        <is>
          <t>Q오피스</t>
        </is>
      </c>
      <c r="M1388" s="9">
        <f>IF($A1388="","",VALUE($A1388&amp;"")*12+VALUE($B1388&amp;""))</f>
        <v/>
      </c>
      <c r="N1388" s="39">
        <f>IF($A1388="","",IFERROR(INDEX(부서매핑!$C$5:$C$504,MATCH($G1388&amp;"",부서매핑!$A$5:$A$504,0)),"미매핑"))</f>
        <v/>
      </c>
      <c r="O1388" s="9">
        <f>IF($A1388="","",N1388&amp;"|"&amp;$F1388)</f>
        <v/>
      </c>
      <c r="P1388" s="77">
        <f>IF($A1388="",0,$H1388*설정!$C$23)</f>
        <v/>
      </c>
      <c r="Q1388" s="39">
        <f>IF($A1388="","",IF(O1388&lt;&gt;원인분석!$C$9,"",IF(AND(M1388&gt;=원인분석!$C$10,M1388&lt;=원인분석!$C$11),"당기",IF(AND(M1388&gt;=원인분석!$C$12,M1388&lt;=원인분석!$C$13),"비교",""))))</f>
        <v/>
      </c>
      <c r="R1388" s="9">
        <f>IF(Q1388="","",$K1388&amp;"")</f>
        <v/>
      </c>
      <c r="S1388" s="9">
        <f>IF(Q1388="","",IF(MATCH(R1388,$R$5:$R$100000,0)=ROW()-4,ROW(),""))</f>
        <v/>
      </c>
      <c r="T1388" s="9">
        <f>IF(Q1388="당기",ABS(P1388)+ROW()/1000000000,"")</f>
        <v/>
      </c>
      <c r="U1388" s="9">
        <f>IF(Q1388="비교",ABS(P1388)+ROW()/1000000000,"")</f>
        <v/>
      </c>
      <c r="V1388" s="39">
        <f>IF($A1388="","",IF(COUNTIF(변동분석!$E$7:$E$506,O1388)&gt;0,"Y","N"))</f>
        <v/>
      </c>
      <c r="W1388" s="39">
        <f>IF($A1388="","",IFERROR(INDEX(계정매핑!$D$5:$D$504,MATCH($F1388&amp;"",계정매핑!$A$5:$A$504,0)),"미매핑"))</f>
        <v/>
      </c>
      <c r="X1388" s="9">
        <f>IF($A1388="","",$F1388&amp;"")</f>
        <v/>
      </c>
    </row>
    <row r="1389">
      <c r="A1389" s="75" t="n">
        <v>2025</v>
      </c>
      <c r="B1389" s="75" t="n">
        <v>8</v>
      </c>
      <c r="C1389" s="75" t="inlineStr">
        <is>
          <t>5100001385</t>
        </is>
      </c>
      <c r="D1389" s="78" t="n">
        <v>45873</v>
      </c>
      <c r="E1389" s="75" t="inlineStr">
        <is>
          <t>KR</t>
        </is>
      </c>
      <c r="F1389" s="75" t="n">
        <v>62501000</v>
      </c>
      <c r="G1389" s="75" t="n">
        <v>1501</v>
      </c>
      <c r="H1389" s="76" t="n">
        <v>308000</v>
      </c>
      <c r="I1389" s="75" t="inlineStr">
        <is>
          <t>8월 회의 다과 - (법인카드)</t>
        </is>
      </c>
      <c r="J1389" s="75" t="inlineStr">
        <is>
          <t>V10008</t>
        </is>
      </c>
      <c r="K1389" s="75" t="inlineStr">
        <is>
          <t>(법인카드)</t>
        </is>
      </c>
      <c r="M1389" s="9">
        <f>IF($A1389="","",VALUE($A1389&amp;"")*12+VALUE($B1389&amp;""))</f>
        <v/>
      </c>
      <c r="N1389" s="39">
        <f>IF($A1389="","",IFERROR(INDEX(부서매핑!$C$5:$C$504,MATCH($G1389&amp;"",부서매핑!$A$5:$A$504,0)),"미매핑"))</f>
        <v/>
      </c>
      <c r="O1389" s="9">
        <f>IF($A1389="","",N1389&amp;"|"&amp;$F1389)</f>
        <v/>
      </c>
      <c r="P1389" s="77">
        <f>IF($A1389="",0,$H1389*설정!$C$23)</f>
        <v/>
      </c>
      <c r="Q1389" s="39">
        <f>IF($A1389="","",IF(O1389&lt;&gt;원인분석!$C$9,"",IF(AND(M1389&gt;=원인분석!$C$10,M1389&lt;=원인분석!$C$11),"당기",IF(AND(M1389&gt;=원인분석!$C$12,M1389&lt;=원인분석!$C$13),"비교",""))))</f>
        <v/>
      </c>
      <c r="R1389" s="9">
        <f>IF(Q1389="","",$K1389&amp;"")</f>
        <v/>
      </c>
      <c r="S1389" s="9">
        <f>IF(Q1389="","",IF(MATCH(R1389,$R$5:$R$100000,0)=ROW()-4,ROW(),""))</f>
        <v/>
      </c>
      <c r="T1389" s="9">
        <f>IF(Q1389="당기",ABS(P1389)+ROW()/1000000000,"")</f>
        <v/>
      </c>
      <c r="U1389" s="9">
        <f>IF(Q1389="비교",ABS(P1389)+ROW()/1000000000,"")</f>
        <v/>
      </c>
      <c r="V1389" s="39">
        <f>IF($A1389="","",IF(COUNTIF(변동분석!$E$7:$E$506,O1389)&gt;0,"Y","N"))</f>
        <v/>
      </c>
      <c r="W1389" s="39">
        <f>IF($A1389="","",IFERROR(INDEX(계정매핑!$D$5:$D$504,MATCH($F1389&amp;"",계정매핑!$A$5:$A$504,0)),"미매핑"))</f>
        <v/>
      </c>
      <c r="X1389" s="9">
        <f>IF($A1389="","",$F1389&amp;"")</f>
        <v/>
      </c>
    </row>
    <row r="1390">
      <c r="A1390" s="75" t="n">
        <v>2025</v>
      </c>
      <c r="B1390" s="75" t="n">
        <v>8</v>
      </c>
      <c r="C1390" s="75" t="inlineStr">
        <is>
          <t>5100001386</t>
        </is>
      </c>
      <c r="D1390" s="78" t="n">
        <v>45873</v>
      </c>
      <c r="E1390" s="75" t="inlineStr">
        <is>
          <t>KR</t>
        </is>
      </c>
      <c r="F1390" s="75" t="n">
        <v>62901000</v>
      </c>
      <c r="G1390" s="75" t="n">
        <v>1201</v>
      </c>
      <c r="H1390" s="76" t="n">
        <v>8214000</v>
      </c>
      <c r="I1390" s="75" t="inlineStr">
        <is>
          <t>8월 자문 수수료 - K회계법인</t>
        </is>
      </c>
      <c r="J1390" s="75" t="inlineStr">
        <is>
          <t>V10010</t>
        </is>
      </c>
      <c r="K1390" s="75" t="inlineStr">
        <is>
          <t>K회계법인</t>
        </is>
      </c>
      <c r="M1390" s="9">
        <f>IF($A1390="","",VALUE($A1390&amp;"")*12+VALUE($B1390&amp;""))</f>
        <v/>
      </c>
      <c r="N1390" s="39">
        <f>IF($A1390="","",IFERROR(INDEX(부서매핑!$C$5:$C$504,MATCH($G1390&amp;"",부서매핑!$A$5:$A$504,0)),"미매핑"))</f>
        <v/>
      </c>
      <c r="O1390" s="9">
        <f>IF($A1390="","",N1390&amp;"|"&amp;$F1390)</f>
        <v/>
      </c>
      <c r="P1390" s="77">
        <f>IF($A1390="",0,$H1390*설정!$C$23)</f>
        <v/>
      </c>
      <c r="Q1390" s="39">
        <f>IF($A1390="","",IF(O1390&lt;&gt;원인분석!$C$9,"",IF(AND(M1390&gt;=원인분석!$C$10,M1390&lt;=원인분석!$C$11),"당기",IF(AND(M1390&gt;=원인분석!$C$12,M1390&lt;=원인분석!$C$13),"비교",""))))</f>
        <v/>
      </c>
      <c r="R1390" s="9">
        <f>IF(Q1390="","",$K1390&amp;"")</f>
        <v/>
      </c>
      <c r="S1390" s="9">
        <f>IF(Q1390="","",IF(MATCH(R1390,$R$5:$R$100000,0)=ROW()-4,ROW(),""))</f>
        <v/>
      </c>
      <c r="T1390" s="9">
        <f>IF(Q1390="당기",ABS(P1390)+ROW()/1000000000,"")</f>
        <v/>
      </c>
      <c r="U1390" s="9">
        <f>IF(Q1390="비교",ABS(P1390)+ROW()/1000000000,"")</f>
        <v/>
      </c>
      <c r="V1390" s="39">
        <f>IF($A1390="","",IF(COUNTIF(변동분석!$E$7:$E$506,O1390)&gt;0,"Y","N"))</f>
        <v/>
      </c>
      <c r="W1390" s="39">
        <f>IF($A1390="","",IFERROR(INDEX(계정매핑!$D$5:$D$504,MATCH($F1390&amp;"",계정매핑!$A$5:$A$504,0)),"미매핑"))</f>
        <v/>
      </c>
      <c r="X1390" s="9">
        <f>IF($A1390="","",$F1390&amp;"")</f>
        <v/>
      </c>
    </row>
    <row r="1391">
      <c r="A1391" s="75" t="n">
        <v>2025</v>
      </c>
      <c r="B1391" s="75" t="n">
        <v>8</v>
      </c>
      <c r="C1391" s="75" t="inlineStr">
        <is>
          <t>5100001387</t>
        </is>
      </c>
      <c r="D1391" s="78" t="n">
        <v>45873</v>
      </c>
      <c r="E1391" s="75" t="inlineStr">
        <is>
          <t>KR</t>
        </is>
      </c>
      <c r="F1391" s="75" t="n">
        <v>62901000</v>
      </c>
      <c r="G1391" s="75" t="n">
        <v>1401</v>
      </c>
      <c r="H1391" s="76" t="n">
        <v>6430000</v>
      </c>
      <c r="I1391" s="75" t="inlineStr">
        <is>
          <t>8월 자문 수수료 - K회계법인</t>
        </is>
      </c>
      <c r="J1391" s="75" t="inlineStr">
        <is>
          <t>V10010</t>
        </is>
      </c>
      <c r="K1391" s="75" t="inlineStr">
        <is>
          <t>K회계법인</t>
        </is>
      </c>
      <c r="M1391" s="9">
        <f>IF($A1391="","",VALUE($A1391&amp;"")*12+VALUE($B1391&amp;""))</f>
        <v/>
      </c>
      <c r="N1391" s="39">
        <f>IF($A1391="","",IFERROR(INDEX(부서매핑!$C$5:$C$504,MATCH($G1391&amp;"",부서매핑!$A$5:$A$504,0)),"미매핑"))</f>
        <v/>
      </c>
      <c r="O1391" s="9">
        <f>IF($A1391="","",N1391&amp;"|"&amp;$F1391)</f>
        <v/>
      </c>
      <c r="P1391" s="77">
        <f>IF($A1391="",0,$H1391*설정!$C$23)</f>
        <v/>
      </c>
      <c r="Q1391" s="39">
        <f>IF($A1391="","",IF(O1391&lt;&gt;원인분석!$C$9,"",IF(AND(M1391&gt;=원인분석!$C$10,M1391&lt;=원인분석!$C$11),"당기",IF(AND(M1391&gt;=원인분석!$C$12,M1391&lt;=원인분석!$C$13),"비교",""))))</f>
        <v/>
      </c>
      <c r="R1391" s="9">
        <f>IF(Q1391="","",$K1391&amp;"")</f>
        <v/>
      </c>
      <c r="S1391" s="9">
        <f>IF(Q1391="","",IF(MATCH(R1391,$R$5:$R$100000,0)=ROW()-4,ROW(),""))</f>
        <v/>
      </c>
      <c r="T1391" s="9">
        <f>IF(Q1391="당기",ABS(P1391)+ROW()/1000000000,"")</f>
        <v/>
      </c>
      <c r="U1391" s="9">
        <f>IF(Q1391="비교",ABS(P1391)+ROW()/1000000000,"")</f>
        <v/>
      </c>
      <c r="V1391" s="39">
        <f>IF($A1391="","",IF(COUNTIF(변동분석!$E$7:$E$506,O1391)&gt;0,"Y","N"))</f>
        <v/>
      </c>
      <c r="W1391" s="39">
        <f>IF($A1391="","",IFERROR(INDEX(계정매핑!$D$5:$D$504,MATCH($F1391&amp;"",계정매핑!$A$5:$A$504,0)),"미매핑"))</f>
        <v/>
      </c>
      <c r="X1391" s="9">
        <f>IF($A1391="","",$F1391&amp;"")</f>
        <v/>
      </c>
    </row>
    <row r="1392">
      <c r="A1392" s="75" t="n">
        <v>2025</v>
      </c>
      <c r="B1392" s="75" t="n">
        <v>8</v>
      </c>
      <c r="C1392" s="75" t="inlineStr">
        <is>
          <t>5100001388</t>
        </is>
      </c>
      <c r="D1392" s="78" t="n">
        <v>45873</v>
      </c>
      <c r="E1392" s="75" t="inlineStr">
        <is>
          <t>KR</t>
        </is>
      </c>
      <c r="F1392" s="75" t="n">
        <v>63001000</v>
      </c>
      <c r="G1392" s="75" t="n">
        <v>1701</v>
      </c>
      <c r="H1392" s="76" t="n">
        <v>27069000</v>
      </c>
      <c r="I1392" s="75" t="inlineStr">
        <is>
          <t>8월 SW 유지보수 - Z시스템</t>
        </is>
      </c>
      <c r="J1392" s="75" t="inlineStr">
        <is>
          <t>V10021</t>
        </is>
      </c>
      <c r="K1392" s="75" t="inlineStr">
        <is>
          <t>Z시스템</t>
        </is>
      </c>
      <c r="M1392" s="9">
        <f>IF($A1392="","",VALUE($A1392&amp;"")*12+VALUE($B1392&amp;""))</f>
        <v/>
      </c>
      <c r="N1392" s="39">
        <f>IF($A1392="","",IFERROR(INDEX(부서매핑!$C$5:$C$504,MATCH($G1392&amp;"",부서매핑!$A$5:$A$504,0)),"미매핑"))</f>
        <v/>
      </c>
      <c r="O1392" s="9">
        <f>IF($A1392="","",N1392&amp;"|"&amp;$F1392)</f>
        <v/>
      </c>
      <c r="P1392" s="77">
        <f>IF($A1392="",0,$H1392*설정!$C$23)</f>
        <v/>
      </c>
      <c r="Q1392" s="39">
        <f>IF($A1392="","",IF(O1392&lt;&gt;원인분석!$C$9,"",IF(AND(M1392&gt;=원인분석!$C$10,M1392&lt;=원인분석!$C$11),"당기",IF(AND(M1392&gt;=원인분석!$C$12,M1392&lt;=원인분석!$C$13),"비교",""))))</f>
        <v/>
      </c>
      <c r="R1392" s="9">
        <f>IF(Q1392="","",$K1392&amp;"")</f>
        <v/>
      </c>
      <c r="S1392" s="9">
        <f>IF(Q1392="","",IF(MATCH(R1392,$R$5:$R$100000,0)=ROW()-4,ROW(),""))</f>
        <v/>
      </c>
      <c r="T1392" s="9">
        <f>IF(Q1392="당기",ABS(P1392)+ROW()/1000000000,"")</f>
        <v/>
      </c>
      <c r="U1392" s="9">
        <f>IF(Q1392="비교",ABS(P1392)+ROW()/1000000000,"")</f>
        <v/>
      </c>
      <c r="V1392" s="39">
        <f>IF($A1392="","",IF(COUNTIF(변동분석!$E$7:$E$506,O1392)&gt;0,"Y","N"))</f>
        <v/>
      </c>
      <c r="W1392" s="39">
        <f>IF($A1392="","",IFERROR(INDEX(계정매핑!$D$5:$D$504,MATCH($F1392&amp;"",계정매핑!$A$5:$A$504,0)),"미매핑"))</f>
        <v/>
      </c>
      <c r="X1392" s="9">
        <f>IF($A1392="","",$F1392&amp;"")</f>
        <v/>
      </c>
    </row>
    <row r="1393">
      <c r="A1393" s="75" t="n">
        <v>2025</v>
      </c>
      <c r="B1393" s="75" t="n">
        <v>8</v>
      </c>
      <c r="C1393" s="75" t="inlineStr">
        <is>
          <t>5100001389</t>
        </is>
      </c>
      <c r="D1393" s="78" t="n">
        <v>45873</v>
      </c>
      <c r="E1393" s="75" t="inlineStr">
        <is>
          <t>KR</t>
        </is>
      </c>
      <c r="F1393" s="75" t="n">
        <v>63201000</v>
      </c>
      <c r="G1393" s="75" t="n">
        <v>1602</v>
      </c>
      <c r="H1393" s="76" t="n">
        <v>1796000</v>
      </c>
      <c r="I1393" s="75" t="inlineStr">
        <is>
          <t>8월 차량 유지 - H에너지</t>
        </is>
      </c>
      <c r="J1393" s="75" t="inlineStr">
        <is>
          <t>V10025</t>
        </is>
      </c>
      <c r="K1393" s="75" t="inlineStr">
        <is>
          <t>H에너지</t>
        </is>
      </c>
      <c r="M1393" s="9">
        <f>IF($A1393="","",VALUE($A1393&amp;"")*12+VALUE($B1393&amp;""))</f>
        <v/>
      </c>
      <c r="N1393" s="39">
        <f>IF($A1393="","",IFERROR(INDEX(부서매핑!$C$5:$C$504,MATCH($G1393&amp;"",부서매핑!$A$5:$A$504,0)),"미매핑"))</f>
        <v/>
      </c>
      <c r="O1393" s="9">
        <f>IF($A1393="","",N1393&amp;"|"&amp;$F1393)</f>
        <v/>
      </c>
      <c r="P1393" s="77">
        <f>IF($A1393="",0,$H1393*설정!$C$23)</f>
        <v/>
      </c>
      <c r="Q1393" s="39">
        <f>IF($A1393="","",IF(O1393&lt;&gt;원인분석!$C$9,"",IF(AND(M1393&gt;=원인분석!$C$10,M1393&lt;=원인분석!$C$11),"당기",IF(AND(M1393&gt;=원인분석!$C$12,M1393&lt;=원인분석!$C$13),"비교",""))))</f>
        <v/>
      </c>
      <c r="R1393" s="9">
        <f>IF(Q1393="","",$K1393&amp;"")</f>
        <v/>
      </c>
      <c r="S1393" s="9">
        <f>IF(Q1393="","",IF(MATCH(R1393,$R$5:$R$100000,0)=ROW()-4,ROW(),""))</f>
        <v/>
      </c>
      <c r="T1393" s="9">
        <f>IF(Q1393="당기",ABS(P1393)+ROW()/1000000000,"")</f>
        <v/>
      </c>
      <c r="U1393" s="9">
        <f>IF(Q1393="비교",ABS(P1393)+ROW()/1000000000,"")</f>
        <v/>
      </c>
      <c r="V1393" s="39">
        <f>IF($A1393="","",IF(COUNTIF(변동분석!$E$7:$E$506,O1393)&gt;0,"Y","N"))</f>
        <v/>
      </c>
      <c r="W1393" s="39">
        <f>IF($A1393="","",IFERROR(INDEX(계정매핑!$D$5:$D$504,MATCH($F1393&amp;"",계정매핑!$A$5:$A$504,0)),"미매핑"))</f>
        <v/>
      </c>
      <c r="X1393" s="9">
        <f>IF($A1393="","",$F1393&amp;"")</f>
        <v/>
      </c>
    </row>
    <row r="1394">
      <c r="A1394" s="75" t="n">
        <v>2025</v>
      </c>
      <c r="B1394" s="75" t="n">
        <v>8</v>
      </c>
      <c r="C1394" s="75" t="inlineStr">
        <is>
          <t>5100001390</t>
        </is>
      </c>
      <c r="D1394" s="78" t="n">
        <v>45874</v>
      </c>
      <c r="E1394" s="75" t="inlineStr">
        <is>
          <t>KR</t>
        </is>
      </c>
      <c r="F1394" s="75" t="n">
        <v>62101000</v>
      </c>
      <c r="G1394" s="75" t="n">
        <v>1201</v>
      </c>
      <c r="H1394" s="76" t="n">
        <v>273000</v>
      </c>
      <c r="I1394" s="75" t="inlineStr">
        <is>
          <t>8월 국내출장 - L여행사</t>
        </is>
      </c>
      <c r="J1394" s="75" t="inlineStr">
        <is>
          <t>V10014</t>
        </is>
      </c>
      <c r="K1394" s="75" t="inlineStr">
        <is>
          <t>L여행사</t>
        </is>
      </c>
      <c r="M1394" s="9">
        <f>IF($A1394="","",VALUE($A1394&amp;"")*12+VALUE($B1394&amp;""))</f>
        <v/>
      </c>
      <c r="N1394" s="39">
        <f>IF($A1394="","",IFERROR(INDEX(부서매핑!$C$5:$C$504,MATCH($G1394&amp;"",부서매핑!$A$5:$A$504,0)),"미매핑"))</f>
        <v/>
      </c>
      <c r="O1394" s="9">
        <f>IF($A1394="","",N1394&amp;"|"&amp;$F1394)</f>
        <v/>
      </c>
      <c r="P1394" s="77">
        <f>IF($A1394="",0,$H1394*설정!$C$23)</f>
        <v/>
      </c>
      <c r="Q1394" s="39">
        <f>IF($A1394="","",IF(O1394&lt;&gt;원인분석!$C$9,"",IF(AND(M1394&gt;=원인분석!$C$10,M1394&lt;=원인분석!$C$11),"당기",IF(AND(M1394&gt;=원인분석!$C$12,M1394&lt;=원인분석!$C$13),"비교",""))))</f>
        <v/>
      </c>
      <c r="R1394" s="9">
        <f>IF(Q1394="","",$K1394&amp;"")</f>
        <v/>
      </c>
      <c r="S1394" s="9">
        <f>IF(Q1394="","",IF(MATCH(R1394,$R$5:$R$100000,0)=ROW()-4,ROW(),""))</f>
        <v/>
      </c>
      <c r="T1394" s="9">
        <f>IF(Q1394="당기",ABS(P1394)+ROW()/1000000000,"")</f>
        <v/>
      </c>
      <c r="U1394" s="9">
        <f>IF(Q1394="비교",ABS(P1394)+ROW()/1000000000,"")</f>
        <v/>
      </c>
      <c r="V1394" s="39">
        <f>IF($A1394="","",IF(COUNTIF(변동분석!$E$7:$E$506,O1394)&gt;0,"Y","N"))</f>
        <v/>
      </c>
      <c r="W1394" s="39">
        <f>IF($A1394="","",IFERROR(INDEX(계정매핑!$D$5:$D$504,MATCH($F1394&amp;"",계정매핑!$A$5:$A$504,0)),"미매핑"))</f>
        <v/>
      </c>
      <c r="X1394" s="9">
        <f>IF($A1394="","",$F1394&amp;"")</f>
        <v/>
      </c>
    </row>
    <row r="1395">
      <c r="A1395" s="75" t="n">
        <v>2025</v>
      </c>
      <c r="B1395" s="75" t="n">
        <v>8</v>
      </c>
      <c r="C1395" s="75" t="inlineStr">
        <is>
          <t>5100001391</t>
        </is>
      </c>
      <c r="D1395" s="78" t="n">
        <v>45874</v>
      </c>
      <c r="E1395" s="75" t="inlineStr">
        <is>
          <t>KR</t>
        </is>
      </c>
      <c r="F1395" s="75" t="n">
        <v>62101000</v>
      </c>
      <c r="G1395" s="75" t="n">
        <v>1502</v>
      </c>
      <c r="H1395" s="76" t="n">
        <v>593000</v>
      </c>
      <c r="I1395" s="75" t="inlineStr">
        <is>
          <t>8월 국내출장 - M항공</t>
        </is>
      </c>
      <c r="J1395" s="75" t="inlineStr">
        <is>
          <t>V10001</t>
        </is>
      </c>
      <c r="K1395" s="75" t="inlineStr">
        <is>
          <t>M항공</t>
        </is>
      </c>
      <c r="M1395" s="9">
        <f>IF($A1395="","",VALUE($A1395&amp;"")*12+VALUE($B1395&amp;""))</f>
        <v/>
      </c>
      <c r="N1395" s="39">
        <f>IF($A1395="","",IFERROR(INDEX(부서매핑!$C$5:$C$504,MATCH($G1395&amp;"",부서매핑!$A$5:$A$504,0)),"미매핑"))</f>
        <v/>
      </c>
      <c r="O1395" s="9">
        <f>IF($A1395="","",N1395&amp;"|"&amp;$F1395)</f>
        <v/>
      </c>
      <c r="P1395" s="77">
        <f>IF($A1395="",0,$H1395*설정!$C$23)</f>
        <v/>
      </c>
      <c r="Q1395" s="39">
        <f>IF($A1395="","",IF(O1395&lt;&gt;원인분석!$C$9,"",IF(AND(M1395&gt;=원인분석!$C$10,M1395&lt;=원인분석!$C$11),"당기",IF(AND(M1395&gt;=원인분석!$C$12,M1395&lt;=원인분석!$C$13),"비교",""))))</f>
        <v/>
      </c>
      <c r="R1395" s="9">
        <f>IF(Q1395="","",$K1395&amp;"")</f>
        <v/>
      </c>
      <c r="S1395" s="9">
        <f>IF(Q1395="","",IF(MATCH(R1395,$R$5:$R$100000,0)=ROW()-4,ROW(),""))</f>
        <v/>
      </c>
      <c r="T1395" s="9">
        <f>IF(Q1395="당기",ABS(P1395)+ROW()/1000000000,"")</f>
        <v/>
      </c>
      <c r="U1395" s="9">
        <f>IF(Q1395="비교",ABS(P1395)+ROW()/1000000000,"")</f>
        <v/>
      </c>
      <c r="V1395" s="39">
        <f>IF($A1395="","",IF(COUNTIF(변동분석!$E$7:$E$506,O1395)&gt;0,"Y","N"))</f>
        <v/>
      </c>
      <c r="W1395" s="39">
        <f>IF($A1395="","",IFERROR(INDEX(계정매핑!$D$5:$D$504,MATCH($F1395&amp;"",계정매핑!$A$5:$A$504,0)),"미매핑"))</f>
        <v/>
      </c>
      <c r="X1395" s="9">
        <f>IF($A1395="","",$F1395&amp;"")</f>
        <v/>
      </c>
    </row>
    <row r="1396">
      <c r="A1396" s="75" t="n">
        <v>2025</v>
      </c>
      <c r="B1396" s="75" t="n">
        <v>8</v>
      </c>
      <c r="C1396" s="75" t="inlineStr">
        <is>
          <t>5100001392</t>
        </is>
      </c>
      <c r="D1396" s="78" t="n">
        <v>45874</v>
      </c>
      <c r="E1396" s="75" t="inlineStr">
        <is>
          <t>KR</t>
        </is>
      </c>
      <c r="F1396" s="75" t="n">
        <v>62201000</v>
      </c>
      <c r="G1396" s="75" t="n">
        <v>1501</v>
      </c>
      <c r="H1396" s="76" t="n">
        <v>272000</v>
      </c>
      <c r="I1396" s="75" t="inlineStr">
        <is>
          <t>8월 통신요금 - P통신</t>
        </is>
      </c>
      <c r="J1396" s="75" t="inlineStr">
        <is>
          <t>V10011</t>
        </is>
      </c>
      <c r="K1396" s="75" t="inlineStr">
        <is>
          <t>P통신</t>
        </is>
      </c>
      <c r="M1396" s="9">
        <f>IF($A1396="","",VALUE($A1396&amp;"")*12+VALUE($B1396&amp;""))</f>
        <v/>
      </c>
      <c r="N1396" s="39">
        <f>IF($A1396="","",IFERROR(INDEX(부서매핑!$C$5:$C$504,MATCH($G1396&amp;"",부서매핑!$A$5:$A$504,0)),"미매핑"))</f>
        <v/>
      </c>
      <c r="O1396" s="9">
        <f>IF($A1396="","",N1396&amp;"|"&amp;$F1396)</f>
        <v/>
      </c>
      <c r="P1396" s="77">
        <f>IF($A1396="",0,$H1396*설정!$C$23)</f>
        <v/>
      </c>
      <c r="Q1396" s="39">
        <f>IF($A1396="","",IF(O1396&lt;&gt;원인분석!$C$9,"",IF(AND(M1396&gt;=원인분석!$C$10,M1396&lt;=원인분석!$C$11),"당기",IF(AND(M1396&gt;=원인분석!$C$12,M1396&lt;=원인분석!$C$13),"비교",""))))</f>
        <v/>
      </c>
      <c r="R1396" s="9">
        <f>IF(Q1396="","",$K1396&amp;"")</f>
        <v/>
      </c>
      <c r="S1396" s="9">
        <f>IF(Q1396="","",IF(MATCH(R1396,$R$5:$R$100000,0)=ROW()-4,ROW(),""))</f>
        <v/>
      </c>
      <c r="T1396" s="9">
        <f>IF(Q1396="당기",ABS(P1396)+ROW()/1000000000,"")</f>
        <v/>
      </c>
      <c r="U1396" s="9">
        <f>IF(Q1396="비교",ABS(P1396)+ROW()/1000000000,"")</f>
        <v/>
      </c>
      <c r="V1396" s="39">
        <f>IF($A1396="","",IF(COUNTIF(변동분석!$E$7:$E$506,O1396)&gt;0,"Y","N"))</f>
        <v/>
      </c>
      <c r="W1396" s="39">
        <f>IF($A1396="","",IFERROR(INDEX(계정매핑!$D$5:$D$504,MATCH($F1396&amp;"",계정매핑!$A$5:$A$504,0)),"미매핑"))</f>
        <v/>
      </c>
      <c r="X1396" s="9">
        <f>IF($A1396="","",$F1396&amp;"")</f>
        <v/>
      </c>
    </row>
    <row r="1397">
      <c r="A1397" s="75" t="n">
        <v>2025</v>
      </c>
      <c r="B1397" s="75" t="n">
        <v>8</v>
      </c>
      <c r="C1397" s="75" t="inlineStr">
        <is>
          <t>5100001393</t>
        </is>
      </c>
      <c r="D1397" s="78" t="n">
        <v>45874</v>
      </c>
      <c r="E1397" s="75" t="inlineStr">
        <is>
          <t>KR</t>
        </is>
      </c>
      <c r="F1397" s="75" t="n">
        <v>62301000</v>
      </c>
      <c r="G1397" s="75" t="n">
        <v>1701</v>
      </c>
      <c r="H1397" s="76" t="n">
        <v>200000</v>
      </c>
      <c r="I1397" s="75" t="inlineStr">
        <is>
          <t>8월 소모품 구입 - R문구</t>
        </is>
      </c>
      <c r="J1397" s="75" t="inlineStr">
        <is>
          <t>V10018</t>
        </is>
      </c>
      <c r="K1397" s="75" t="inlineStr">
        <is>
          <t>R문구</t>
        </is>
      </c>
      <c r="M1397" s="9">
        <f>IF($A1397="","",VALUE($A1397&amp;"")*12+VALUE($B1397&amp;""))</f>
        <v/>
      </c>
      <c r="N1397" s="39">
        <f>IF($A1397="","",IFERROR(INDEX(부서매핑!$C$5:$C$504,MATCH($G1397&amp;"",부서매핑!$A$5:$A$504,0)),"미매핑"))</f>
        <v/>
      </c>
      <c r="O1397" s="9">
        <f>IF($A1397="","",N1397&amp;"|"&amp;$F1397)</f>
        <v/>
      </c>
      <c r="P1397" s="77">
        <f>IF($A1397="",0,$H1397*설정!$C$23)</f>
        <v/>
      </c>
      <c r="Q1397" s="39">
        <f>IF($A1397="","",IF(O1397&lt;&gt;원인분석!$C$9,"",IF(AND(M1397&gt;=원인분석!$C$10,M1397&lt;=원인분석!$C$11),"당기",IF(AND(M1397&gt;=원인분석!$C$12,M1397&lt;=원인분석!$C$13),"비교",""))))</f>
        <v/>
      </c>
      <c r="R1397" s="9">
        <f>IF(Q1397="","",$K1397&amp;"")</f>
        <v/>
      </c>
      <c r="S1397" s="9">
        <f>IF(Q1397="","",IF(MATCH(R1397,$R$5:$R$100000,0)=ROW()-4,ROW(),""))</f>
        <v/>
      </c>
      <c r="T1397" s="9">
        <f>IF(Q1397="당기",ABS(P1397)+ROW()/1000000000,"")</f>
        <v/>
      </c>
      <c r="U1397" s="9">
        <f>IF(Q1397="비교",ABS(P1397)+ROW()/1000000000,"")</f>
        <v/>
      </c>
      <c r="V1397" s="39">
        <f>IF($A1397="","",IF(COUNTIF(변동분석!$E$7:$E$506,O1397)&gt;0,"Y","N"))</f>
        <v/>
      </c>
      <c r="W1397" s="39">
        <f>IF($A1397="","",IFERROR(INDEX(계정매핑!$D$5:$D$504,MATCH($F1397&amp;"",계정매핑!$A$5:$A$504,0)),"미매핑"))</f>
        <v/>
      </c>
      <c r="X1397" s="9">
        <f>IF($A1397="","",$F1397&amp;"")</f>
        <v/>
      </c>
    </row>
    <row r="1398">
      <c r="A1398" s="75" t="n">
        <v>2025</v>
      </c>
      <c r="B1398" s="75" t="n">
        <v>8</v>
      </c>
      <c r="C1398" s="75" t="inlineStr">
        <is>
          <t>5100001394</t>
        </is>
      </c>
      <c r="D1398" s="78" t="n">
        <v>45874</v>
      </c>
      <c r="E1398" s="75" t="inlineStr">
        <is>
          <t>KR</t>
        </is>
      </c>
      <c r="F1398" s="75" t="n">
        <v>62902000</v>
      </c>
      <c r="G1398" s="75" t="n">
        <v>1201</v>
      </c>
      <c r="H1398" s="76" t="n">
        <v>4480000</v>
      </c>
      <c r="I1398" s="75" t="inlineStr">
        <is>
          <t>8월 업무 위탁 수수료 - X서비스</t>
        </is>
      </c>
      <c r="J1398" s="75" t="inlineStr">
        <is>
          <t>V10016</t>
        </is>
      </c>
      <c r="K1398" s="75" t="inlineStr">
        <is>
          <t>X서비스</t>
        </is>
      </c>
      <c r="M1398" s="9">
        <f>IF($A1398="","",VALUE($A1398&amp;"")*12+VALUE($B1398&amp;""))</f>
        <v/>
      </c>
      <c r="N1398" s="39">
        <f>IF($A1398="","",IFERROR(INDEX(부서매핑!$C$5:$C$504,MATCH($G1398&amp;"",부서매핑!$A$5:$A$504,0)),"미매핑"))</f>
        <v/>
      </c>
      <c r="O1398" s="9">
        <f>IF($A1398="","",N1398&amp;"|"&amp;$F1398)</f>
        <v/>
      </c>
      <c r="P1398" s="77">
        <f>IF($A1398="",0,$H1398*설정!$C$23)</f>
        <v/>
      </c>
      <c r="Q1398" s="39">
        <f>IF($A1398="","",IF(O1398&lt;&gt;원인분석!$C$9,"",IF(AND(M1398&gt;=원인분석!$C$10,M1398&lt;=원인분석!$C$11),"당기",IF(AND(M1398&gt;=원인분석!$C$12,M1398&lt;=원인분석!$C$13),"비교",""))))</f>
        <v/>
      </c>
      <c r="R1398" s="9">
        <f>IF(Q1398="","",$K1398&amp;"")</f>
        <v/>
      </c>
      <c r="S1398" s="9">
        <f>IF(Q1398="","",IF(MATCH(R1398,$R$5:$R$100000,0)=ROW()-4,ROW(),""))</f>
        <v/>
      </c>
      <c r="T1398" s="9">
        <f>IF(Q1398="당기",ABS(P1398)+ROW()/1000000000,"")</f>
        <v/>
      </c>
      <c r="U1398" s="9">
        <f>IF(Q1398="비교",ABS(P1398)+ROW()/1000000000,"")</f>
        <v/>
      </c>
      <c r="V1398" s="39">
        <f>IF($A1398="","",IF(COUNTIF(변동분석!$E$7:$E$506,O1398)&gt;0,"Y","N"))</f>
        <v/>
      </c>
      <c r="W1398" s="39">
        <f>IF($A1398="","",IFERROR(INDEX(계정매핑!$D$5:$D$504,MATCH($F1398&amp;"",계정매핑!$A$5:$A$504,0)),"미매핑"))</f>
        <v/>
      </c>
      <c r="X1398" s="9">
        <f>IF($A1398="","",$F1398&amp;"")</f>
        <v/>
      </c>
    </row>
    <row r="1399">
      <c r="A1399" s="75" t="n">
        <v>2025</v>
      </c>
      <c r="B1399" s="75" t="n">
        <v>8</v>
      </c>
      <c r="C1399" s="75" t="inlineStr">
        <is>
          <t>5100001395</t>
        </is>
      </c>
      <c r="D1399" s="78" t="n">
        <v>45875</v>
      </c>
      <c r="E1399" s="75" t="inlineStr">
        <is>
          <t>KR</t>
        </is>
      </c>
      <c r="F1399" s="75" t="n">
        <v>62101000</v>
      </c>
      <c r="G1399" s="75" t="n">
        <v>1502</v>
      </c>
      <c r="H1399" s="76" t="n">
        <v>516000</v>
      </c>
      <c r="I1399" s="75" t="inlineStr">
        <is>
          <t>8월 국내출장 - M항공</t>
        </is>
      </c>
      <c r="J1399" s="75" t="inlineStr">
        <is>
          <t>V10001</t>
        </is>
      </c>
      <c r="K1399" s="75" t="inlineStr">
        <is>
          <t>M항공</t>
        </is>
      </c>
      <c r="M1399" s="9">
        <f>IF($A1399="","",VALUE($A1399&amp;"")*12+VALUE($B1399&amp;""))</f>
        <v/>
      </c>
      <c r="N1399" s="39">
        <f>IF($A1399="","",IFERROR(INDEX(부서매핑!$C$5:$C$504,MATCH($G1399&amp;"",부서매핑!$A$5:$A$504,0)),"미매핑"))</f>
        <v/>
      </c>
      <c r="O1399" s="9">
        <f>IF($A1399="","",N1399&amp;"|"&amp;$F1399)</f>
        <v/>
      </c>
      <c r="P1399" s="77">
        <f>IF($A1399="",0,$H1399*설정!$C$23)</f>
        <v/>
      </c>
      <c r="Q1399" s="39">
        <f>IF($A1399="","",IF(O1399&lt;&gt;원인분석!$C$9,"",IF(AND(M1399&gt;=원인분석!$C$10,M1399&lt;=원인분석!$C$11),"당기",IF(AND(M1399&gt;=원인분석!$C$12,M1399&lt;=원인분석!$C$13),"비교",""))))</f>
        <v/>
      </c>
      <c r="R1399" s="9">
        <f>IF(Q1399="","",$K1399&amp;"")</f>
        <v/>
      </c>
      <c r="S1399" s="9">
        <f>IF(Q1399="","",IF(MATCH(R1399,$R$5:$R$100000,0)=ROW()-4,ROW(),""))</f>
        <v/>
      </c>
      <c r="T1399" s="9">
        <f>IF(Q1399="당기",ABS(P1399)+ROW()/1000000000,"")</f>
        <v/>
      </c>
      <c r="U1399" s="9">
        <f>IF(Q1399="비교",ABS(P1399)+ROW()/1000000000,"")</f>
        <v/>
      </c>
      <c r="V1399" s="39">
        <f>IF($A1399="","",IF(COUNTIF(변동분석!$E$7:$E$506,O1399)&gt;0,"Y","N"))</f>
        <v/>
      </c>
      <c r="W1399" s="39">
        <f>IF($A1399="","",IFERROR(INDEX(계정매핑!$D$5:$D$504,MATCH($F1399&amp;"",계정매핑!$A$5:$A$504,0)),"미매핑"))</f>
        <v/>
      </c>
      <c r="X1399" s="9">
        <f>IF($A1399="","",$F1399&amp;"")</f>
        <v/>
      </c>
    </row>
    <row r="1400">
      <c r="A1400" s="75" t="n">
        <v>2025</v>
      </c>
      <c r="B1400" s="75" t="n">
        <v>8</v>
      </c>
      <c r="C1400" s="75" t="inlineStr">
        <is>
          <t>5100001396</t>
        </is>
      </c>
      <c r="D1400" s="78" t="n">
        <v>45875</v>
      </c>
      <c r="E1400" s="75" t="inlineStr">
        <is>
          <t>KR</t>
        </is>
      </c>
      <c r="F1400" s="75" t="n">
        <v>62501000</v>
      </c>
      <c r="G1400" s="75" t="n">
        <v>1301</v>
      </c>
      <c r="H1400" s="76" t="n">
        <v>199000</v>
      </c>
      <c r="I1400" s="75" t="inlineStr">
        <is>
          <t>8월 회의 다과 - (법인카드)</t>
        </is>
      </c>
      <c r="J1400" s="75" t="inlineStr">
        <is>
          <t>V10008</t>
        </is>
      </c>
      <c r="K1400" s="75" t="inlineStr">
        <is>
          <t>(법인카드)</t>
        </is>
      </c>
      <c r="M1400" s="9">
        <f>IF($A1400="","",VALUE($A1400&amp;"")*12+VALUE($B1400&amp;""))</f>
        <v/>
      </c>
      <c r="N1400" s="39">
        <f>IF($A1400="","",IFERROR(INDEX(부서매핑!$C$5:$C$504,MATCH($G1400&amp;"",부서매핑!$A$5:$A$504,0)),"미매핑"))</f>
        <v/>
      </c>
      <c r="O1400" s="9">
        <f>IF($A1400="","",N1400&amp;"|"&amp;$F1400)</f>
        <v/>
      </c>
      <c r="P1400" s="77">
        <f>IF($A1400="",0,$H1400*설정!$C$23)</f>
        <v/>
      </c>
      <c r="Q1400" s="39">
        <f>IF($A1400="","",IF(O1400&lt;&gt;원인분석!$C$9,"",IF(AND(M1400&gt;=원인분석!$C$10,M1400&lt;=원인분석!$C$11),"당기",IF(AND(M1400&gt;=원인분석!$C$12,M1400&lt;=원인분석!$C$13),"비교",""))))</f>
        <v/>
      </c>
      <c r="R1400" s="9">
        <f>IF(Q1400="","",$K1400&amp;"")</f>
        <v/>
      </c>
      <c r="S1400" s="9">
        <f>IF(Q1400="","",IF(MATCH(R1400,$R$5:$R$100000,0)=ROW()-4,ROW(),""))</f>
        <v/>
      </c>
      <c r="T1400" s="9">
        <f>IF(Q1400="당기",ABS(P1400)+ROW()/1000000000,"")</f>
        <v/>
      </c>
      <c r="U1400" s="9">
        <f>IF(Q1400="비교",ABS(P1400)+ROW()/1000000000,"")</f>
        <v/>
      </c>
      <c r="V1400" s="39">
        <f>IF($A1400="","",IF(COUNTIF(변동분석!$E$7:$E$506,O1400)&gt;0,"Y","N"))</f>
        <v/>
      </c>
      <c r="W1400" s="39">
        <f>IF($A1400="","",IFERROR(INDEX(계정매핑!$D$5:$D$504,MATCH($F1400&amp;"",계정매핑!$A$5:$A$504,0)),"미매핑"))</f>
        <v/>
      </c>
      <c r="X1400" s="9">
        <f>IF($A1400="","",$F1400&amp;"")</f>
        <v/>
      </c>
    </row>
    <row r="1401">
      <c r="A1401" s="75" t="n">
        <v>2025</v>
      </c>
      <c r="B1401" s="75" t="n">
        <v>8</v>
      </c>
      <c r="C1401" s="75" t="inlineStr">
        <is>
          <t>5100001397</t>
        </is>
      </c>
      <c r="D1401" s="78" t="n">
        <v>45875</v>
      </c>
      <c r="E1401" s="75" t="inlineStr">
        <is>
          <t>KR</t>
        </is>
      </c>
      <c r="F1401" s="75" t="n">
        <v>62601000</v>
      </c>
      <c r="G1401" s="75" t="n">
        <v>1301</v>
      </c>
      <c r="H1401" s="76" t="n">
        <v>1987000</v>
      </c>
      <c r="I1401" s="75" t="inlineStr">
        <is>
          <t>8월 업무추진 - (법인카드)</t>
        </is>
      </c>
      <c r="J1401" s="75" t="inlineStr">
        <is>
          <t>V10008</t>
        </is>
      </c>
      <c r="K1401" s="75" t="inlineStr">
        <is>
          <t>(법인카드)</t>
        </is>
      </c>
      <c r="M1401" s="9">
        <f>IF($A1401="","",VALUE($A1401&amp;"")*12+VALUE($B1401&amp;""))</f>
        <v/>
      </c>
      <c r="N1401" s="39">
        <f>IF($A1401="","",IFERROR(INDEX(부서매핑!$C$5:$C$504,MATCH($G1401&amp;"",부서매핑!$A$5:$A$504,0)),"미매핑"))</f>
        <v/>
      </c>
      <c r="O1401" s="9">
        <f>IF($A1401="","",N1401&amp;"|"&amp;$F1401)</f>
        <v/>
      </c>
      <c r="P1401" s="77">
        <f>IF($A1401="",0,$H1401*설정!$C$23)</f>
        <v/>
      </c>
      <c r="Q1401" s="39">
        <f>IF($A1401="","",IF(O1401&lt;&gt;원인분석!$C$9,"",IF(AND(M1401&gt;=원인분석!$C$10,M1401&lt;=원인분석!$C$11),"당기",IF(AND(M1401&gt;=원인분석!$C$12,M1401&lt;=원인분석!$C$13),"비교",""))))</f>
        <v/>
      </c>
      <c r="R1401" s="9">
        <f>IF(Q1401="","",$K1401&amp;"")</f>
        <v/>
      </c>
      <c r="S1401" s="9">
        <f>IF(Q1401="","",IF(MATCH(R1401,$R$5:$R$100000,0)=ROW()-4,ROW(),""))</f>
        <v/>
      </c>
      <c r="T1401" s="9">
        <f>IF(Q1401="당기",ABS(P1401)+ROW()/1000000000,"")</f>
        <v/>
      </c>
      <c r="U1401" s="9">
        <f>IF(Q1401="비교",ABS(P1401)+ROW()/1000000000,"")</f>
        <v/>
      </c>
      <c r="V1401" s="39">
        <f>IF($A1401="","",IF(COUNTIF(변동분석!$E$7:$E$506,O1401)&gt;0,"Y","N"))</f>
        <v/>
      </c>
      <c r="W1401" s="39">
        <f>IF($A1401="","",IFERROR(INDEX(계정매핑!$D$5:$D$504,MATCH($F1401&amp;"",계정매핑!$A$5:$A$504,0)),"미매핑"))</f>
        <v/>
      </c>
      <c r="X1401" s="9">
        <f>IF($A1401="","",$F1401&amp;"")</f>
        <v/>
      </c>
    </row>
    <row r="1402">
      <c r="A1402" s="75" t="n">
        <v>2025</v>
      </c>
      <c r="B1402" s="75" t="n">
        <v>8</v>
      </c>
      <c r="C1402" s="75" t="inlineStr">
        <is>
          <t>5100001398</t>
        </is>
      </c>
      <c r="D1402" s="78" t="n">
        <v>45875</v>
      </c>
      <c r="E1402" s="75" t="inlineStr">
        <is>
          <t>KR</t>
        </is>
      </c>
      <c r="F1402" s="75" t="n">
        <v>62701000</v>
      </c>
      <c r="G1402" s="75" t="n">
        <v>1501</v>
      </c>
      <c r="H1402" s="76" t="n">
        <v>52546000</v>
      </c>
      <c r="I1402" s="75" t="inlineStr">
        <is>
          <t>8월 광고 집행 - E미디어</t>
        </is>
      </c>
      <c r="J1402" s="75" t="inlineStr">
        <is>
          <t>V10027</t>
        </is>
      </c>
      <c r="K1402" s="75" t="inlineStr">
        <is>
          <t>E미디어</t>
        </is>
      </c>
      <c r="M1402" s="9">
        <f>IF($A1402="","",VALUE($A1402&amp;"")*12+VALUE($B1402&amp;""))</f>
        <v/>
      </c>
      <c r="N1402" s="39">
        <f>IF($A1402="","",IFERROR(INDEX(부서매핑!$C$5:$C$504,MATCH($G1402&amp;"",부서매핑!$A$5:$A$504,0)),"미매핑"))</f>
        <v/>
      </c>
      <c r="O1402" s="9">
        <f>IF($A1402="","",N1402&amp;"|"&amp;$F1402)</f>
        <v/>
      </c>
      <c r="P1402" s="77">
        <f>IF($A1402="",0,$H1402*설정!$C$23)</f>
        <v/>
      </c>
      <c r="Q1402" s="39">
        <f>IF($A1402="","",IF(O1402&lt;&gt;원인분석!$C$9,"",IF(AND(M1402&gt;=원인분석!$C$10,M1402&lt;=원인분석!$C$11),"당기",IF(AND(M1402&gt;=원인분석!$C$12,M1402&lt;=원인분석!$C$13),"비교",""))))</f>
        <v/>
      </c>
      <c r="R1402" s="9">
        <f>IF(Q1402="","",$K1402&amp;"")</f>
        <v/>
      </c>
      <c r="S1402" s="9">
        <f>IF(Q1402="","",IF(MATCH(R1402,$R$5:$R$100000,0)=ROW()-4,ROW(),""))</f>
        <v/>
      </c>
      <c r="T1402" s="9">
        <f>IF(Q1402="당기",ABS(P1402)+ROW()/1000000000,"")</f>
        <v/>
      </c>
      <c r="U1402" s="9">
        <f>IF(Q1402="비교",ABS(P1402)+ROW()/1000000000,"")</f>
        <v/>
      </c>
      <c r="V1402" s="39">
        <f>IF($A1402="","",IF(COUNTIF(변동분석!$E$7:$E$506,O1402)&gt;0,"Y","N"))</f>
        <v/>
      </c>
      <c r="W1402" s="39">
        <f>IF($A1402="","",IFERROR(INDEX(계정매핑!$D$5:$D$504,MATCH($F1402&amp;"",계정매핑!$A$5:$A$504,0)),"미매핑"))</f>
        <v/>
      </c>
      <c r="X1402" s="9">
        <f>IF($A1402="","",$F1402&amp;"")</f>
        <v/>
      </c>
    </row>
    <row r="1403">
      <c r="A1403" s="75" t="n">
        <v>2025</v>
      </c>
      <c r="B1403" s="75" t="n">
        <v>8</v>
      </c>
      <c r="C1403" s="75" t="inlineStr">
        <is>
          <t>5100001399</t>
        </is>
      </c>
      <c r="D1403" s="78" t="n">
        <v>45875</v>
      </c>
      <c r="E1403" s="75" t="inlineStr">
        <is>
          <t>KR</t>
        </is>
      </c>
      <c r="F1403" s="75" t="n">
        <v>62902000</v>
      </c>
      <c r="G1403" s="75" t="n">
        <v>1101</v>
      </c>
      <c r="H1403" s="76" t="n">
        <v>1290000</v>
      </c>
      <c r="I1403" s="75" t="inlineStr">
        <is>
          <t>8월 업무 위탁 수수료 - J콜센터</t>
        </is>
      </c>
      <c r="J1403" s="75" t="inlineStr">
        <is>
          <t>V10013</t>
        </is>
      </c>
      <c r="K1403" s="75" t="inlineStr">
        <is>
          <t>J콜센터</t>
        </is>
      </c>
      <c r="M1403" s="9">
        <f>IF($A1403="","",VALUE($A1403&amp;"")*12+VALUE($B1403&amp;""))</f>
        <v/>
      </c>
      <c r="N1403" s="39">
        <f>IF($A1403="","",IFERROR(INDEX(부서매핑!$C$5:$C$504,MATCH($G1403&amp;"",부서매핑!$A$5:$A$504,0)),"미매핑"))</f>
        <v/>
      </c>
      <c r="O1403" s="9">
        <f>IF($A1403="","",N1403&amp;"|"&amp;$F1403)</f>
        <v/>
      </c>
      <c r="P1403" s="77">
        <f>IF($A1403="",0,$H1403*설정!$C$23)</f>
        <v/>
      </c>
      <c r="Q1403" s="39">
        <f>IF($A1403="","",IF(O1403&lt;&gt;원인분석!$C$9,"",IF(AND(M1403&gt;=원인분석!$C$10,M1403&lt;=원인분석!$C$11),"당기",IF(AND(M1403&gt;=원인분석!$C$12,M1403&lt;=원인분석!$C$13),"비교",""))))</f>
        <v/>
      </c>
      <c r="R1403" s="9">
        <f>IF(Q1403="","",$K1403&amp;"")</f>
        <v/>
      </c>
      <c r="S1403" s="9">
        <f>IF(Q1403="","",IF(MATCH(R1403,$R$5:$R$100000,0)=ROW()-4,ROW(),""))</f>
        <v/>
      </c>
      <c r="T1403" s="9">
        <f>IF(Q1403="당기",ABS(P1403)+ROW()/1000000000,"")</f>
        <v/>
      </c>
      <c r="U1403" s="9">
        <f>IF(Q1403="비교",ABS(P1403)+ROW()/1000000000,"")</f>
        <v/>
      </c>
      <c r="V1403" s="39">
        <f>IF($A1403="","",IF(COUNTIF(변동분석!$E$7:$E$506,O1403)&gt;0,"Y","N"))</f>
        <v/>
      </c>
      <c r="W1403" s="39">
        <f>IF($A1403="","",IFERROR(INDEX(계정매핑!$D$5:$D$504,MATCH($F1403&amp;"",계정매핑!$A$5:$A$504,0)),"미매핑"))</f>
        <v/>
      </c>
      <c r="X1403" s="9">
        <f>IF($A1403="","",$F1403&amp;"")</f>
        <v/>
      </c>
    </row>
    <row r="1404">
      <c r="A1404" s="75" t="n">
        <v>2025</v>
      </c>
      <c r="B1404" s="75" t="n">
        <v>8</v>
      </c>
      <c r="C1404" s="75" t="inlineStr">
        <is>
          <t>5100001400</t>
        </is>
      </c>
      <c r="D1404" s="78" t="n">
        <v>45876</v>
      </c>
      <c r="E1404" s="75" t="inlineStr">
        <is>
          <t>KR</t>
        </is>
      </c>
      <c r="F1404" s="75" t="n">
        <v>62101000</v>
      </c>
      <c r="G1404" s="75" t="n">
        <v>1101</v>
      </c>
      <c r="H1404" s="76" t="n">
        <v>435000</v>
      </c>
      <c r="I1404" s="75" t="inlineStr">
        <is>
          <t>8월 국내출장 - L여행사</t>
        </is>
      </c>
      <c r="J1404" s="75" t="inlineStr">
        <is>
          <t>V10014</t>
        </is>
      </c>
      <c r="K1404" s="75" t="inlineStr">
        <is>
          <t>L여행사</t>
        </is>
      </c>
      <c r="M1404" s="9">
        <f>IF($A1404="","",VALUE($A1404&amp;"")*12+VALUE($B1404&amp;""))</f>
        <v/>
      </c>
      <c r="N1404" s="39">
        <f>IF($A1404="","",IFERROR(INDEX(부서매핑!$C$5:$C$504,MATCH($G1404&amp;"",부서매핑!$A$5:$A$504,0)),"미매핑"))</f>
        <v/>
      </c>
      <c r="O1404" s="9">
        <f>IF($A1404="","",N1404&amp;"|"&amp;$F1404)</f>
        <v/>
      </c>
      <c r="P1404" s="77">
        <f>IF($A1404="",0,$H1404*설정!$C$23)</f>
        <v/>
      </c>
      <c r="Q1404" s="39">
        <f>IF($A1404="","",IF(O1404&lt;&gt;원인분석!$C$9,"",IF(AND(M1404&gt;=원인분석!$C$10,M1404&lt;=원인분석!$C$11),"당기",IF(AND(M1404&gt;=원인분석!$C$12,M1404&lt;=원인분석!$C$13),"비교",""))))</f>
        <v/>
      </c>
      <c r="R1404" s="9">
        <f>IF(Q1404="","",$K1404&amp;"")</f>
        <v/>
      </c>
      <c r="S1404" s="9">
        <f>IF(Q1404="","",IF(MATCH(R1404,$R$5:$R$100000,0)=ROW()-4,ROW(),""))</f>
        <v/>
      </c>
      <c r="T1404" s="9">
        <f>IF(Q1404="당기",ABS(P1404)+ROW()/1000000000,"")</f>
        <v/>
      </c>
      <c r="U1404" s="9">
        <f>IF(Q1404="비교",ABS(P1404)+ROW()/1000000000,"")</f>
        <v/>
      </c>
      <c r="V1404" s="39">
        <f>IF($A1404="","",IF(COUNTIF(변동분석!$E$7:$E$506,O1404)&gt;0,"Y","N"))</f>
        <v/>
      </c>
      <c r="W1404" s="39">
        <f>IF($A1404="","",IFERROR(INDEX(계정매핑!$D$5:$D$504,MATCH($F1404&amp;"",계정매핑!$A$5:$A$504,0)),"미매핑"))</f>
        <v/>
      </c>
      <c r="X1404" s="9">
        <f>IF($A1404="","",$F1404&amp;"")</f>
        <v/>
      </c>
    </row>
    <row r="1405">
      <c r="A1405" s="75" t="n">
        <v>2025</v>
      </c>
      <c r="B1405" s="75" t="n">
        <v>8</v>
      </c>
      <c r="C1405" s="75" t="inlineStr">
        <is>
          <t>5100001401</t>
        </is>
      </c>
      <c r="D1405" s="78" t="n">
        <v>45876</v>
      </c>
      <c r="E1405" s="75" t="inlineStr">
        <is>
          <t>KR</t>
        </is>
      </c>
      <c r="F1405" s="75" t="n">
        <v>62201000</v>
      </c>
      <c r="G1405" s="75" t="n">
        <v>1201</v>
      </c>
      <c r="H1405" s="76" t="n">
        <v>140000</v>
      </c>
      <c r="I1405" s="75" t="inlineStr">
        <is>
          <t>8월 통신요금 - O텔레콤</t>
        </is>
      </c>
      <c r="J1405" s="75" t="inlineStr">
        <is>
          <t>V10002</t>
        </is>
      </c>
      <c r="K1405" s="75" t="inlineStr">
        <is>
          <t>O텔레콤</t>
        </is>
      </c>
      <c r="M1405" s="9">
        <f>IF($A1405="","",VALUE($A1405&amp;"")*12+VALUE($B1405&amp;""))</f>
        <v/>
      </c>
      <c r="N1405" s="39">
        <f>IF($A1405="","",IFERROR(INDEX(부서매핑!$C$5:$C$504,MATCH($G1405&amp;"",부서매핑!$A$5:$A$504,0)),"미매핑"))</f>
        <v/>
      </c>
      <c r="O1405" s="9">
        <f>IF($A1405="","",N1405&amp;"|"&amp;$F1405)</f>
        <v/>
      </c>
      <c r="P1405" s="77">
        <f>IF($A1405="",0,$H1405*설정!$C$23)</f>
        <v/>
      </c>
      <c r="Q1405" s="39">
        <f>IF($A1405="","",IF(O1405&lt;&gt;원인분석!$C$9,"",IF(AND(M1405&gt;=원인분석!$C$10,M1405&lt;=원인분석!$C$11),"당기",IF(AND(M1405&gt;=원인분석!$C$12,M1405&lt;=원인분석!$C$13),"비교",""))))</f>
        <v/>
      </c>
      <c r="R1405" s="9">
        <f>IF(Q1405="","",$K1405&amp;"")</f>
        <v/>
      </c>
      <c r="S1405" s="9">
        <f>IF(Q1405="","",IF(MATCH(R1405,$R$5:$R$100000,0)=ROW()-4,ROW(),""))</f>
        <v/>
      </c>
      <c r="T1405" s="9">
        <f>IF(Q1405="당기",ABS(P1405)+ROW()/1000000000,"")</f>
        <v/>
      </c>
      <c r="U1405" s="9">
        <f>IF(Q1405="비교",ABS(P1405)+ROW()/1000000000,"")</f>
        <v/>
      </c>
      <c r="V1405" s="39">
        <f>IF($A1405="","",IF(COUNTIF(변동분석!$E$7:$E$506,O1405)&gt;0,"Y","N"))</f>
        <v/>
      </c>
      <c r="W1405" s="39">
        <f>IF($A1405="","",IFERROR(INDEX(계정매핑!$D$5:$D$504,MATCH($F1405&amp;"",계정매핑!$A$5:$A$504,0)),"미매핑"))</f>
        <v/>
      </c>
      <c r="X1405" s="9">
        <f>IF($A1405="","",$F1405&amp;"")</f>
        <v/>
      </c>
    </row>
    <row r="1406">
      <c r="A1406" s="75" t="n">
        <v>2025</v>
      </c>
      <c r="B1406" s="75" t="n">
        <v>8</v>
      </c>
      <c r="C1406" s="75" t="inlineStr">
        <is>
          <t>5100001402</t>
        </is>
      </c>
      <c r="D1406" s="78" t="n">
        <v>45876</v>
      </c>
      <c r="E1406" s="75" t="inlineStr">
        <is>
          <t>KR</t>
        </is>
      </c>
      <c r="F1406" s="75" t="n">
        <v>62201000</v>
      </c>
      <c r="G1406" s="75" t="n">
        <v>1301</v>
      </c>
      <c r="H1406" s="76" t="n">
        <v>304000</v>
      </c>
      <c r="I1406" s="75" t="inlineStr">
        <is>
          <t>8월 통신요금 - P통신</t>
        </is>
      </c>
      <c r="J1406" s="75" t="inlineStr">
        <is>
          <t>V10011</t>
        </is>
      </c>
      <c r="K1406" s="75" t="inlineStr">
        <is>
          <t>P통신</t>
        </is>
      </c>
      <c r="M1406" s="9">
        <f>IF($A1406="","",VALUE($A1406&amp;"")*12+VALUE($B1406&amp;""))</f>
        <v/>
      </c>
      <c r="N1406" s="39">
        <f>IF($A1406="","",IFERROR(INDEX(부서매핑!$C$5:$C$504,MATCH($G1406&amp;"",부서매핑!$A$5:$A$504,0)),"미매핑"))</f>
        <v/>
      </c>
      <c r="O1406" s="9">
        <f>IF($A1406="","",N1406&amp;"|"&amp;$F1406)</f>
        <v/>
      </c>
      <c r="P1406" s="77">
        <f>IF($A1406="",0,$H1406*설정!$C$23)</f>
        <v/>
      </c>
      <c r="Q1406" s="39">
        <f>IF($A1406="","",IF(O1406&lt;&gt;원인분석!$C$9,"",IF(AND(M1406&gt;=원인분석!$C$10,M1406&lt;=원인분석!$C$11),"당기",IF(AND(M1406&gt;=원인분석!$C$12,M1406&lt;=원인분석!$C$13),"비교",""))))</f>
        <v/>
      </c>
      <c r="R1406" s="9">
        <f>IF(Q1406="","",$K1406&amp;"")</f>
        <v/>
      </c>
      <c r="S1406" s="9">
        <f>IF(Q1406="","",IF(MATCH(R1406,$R$5:$R$100000,0)=ROW()-4,ROW(),""))</f>
        <v/>
      </c>
      <c r="T1406" s="9">
        <f>IF(Q1406="당기",ABS(P1406)+ROW()/1000000000,"")</f>
        <v/>
      </c>
      <c r="U1406" s="9">
        <f>IF(Q1406="비교",ABS(P1406)+ROW()/1000000000,"")</f>
        <v/>
      </c>
      <c r="V1406" s="39">
        <f>IF($A1406="","",IF(COUNTIF(변동분석!$E$7:$E$506,O1406)&gt;0,"Y","N"))</f>
        <v/>
      </c>
      <c r="W1406" s="39">
        <f>IF($A1406="","",IFERROR(INDEX(계정매핑!$D$5:$D$504,MATCH($F1406&amp;"",계정매핑!$A$5:$A$504,0)),"미매핑"))</f>
        <v/>
      </c>
      <c r="X1406" s="9">
        <f>IF($A1406="","",$F1406&amp;"")</f>
        <v/>
      </c>
    </row>
    <row r="1407">
      <c r="A1407" s="75" t="n">
        <v>2025</v>
      </c>
      <c r="B1407" s="75" t="n">
        <v>8</v>
      </c>
      <c r="C1407" s="75" t="inlineStr">
        <is>
          <t>5100001403</t>
        </is>
      </c>
      <c r="D1407" s="78" t="n">
        <v>45876</v>
      </c>
      <c r="E1407" s="75" t="inlineStr">
        <is>
          <t>KR</t>
        </is>
      </c>
      <c r="F1407" s="75" t="n">
        <v>62201000</v>
      </c>
      <c r="G1407" s="75" t="n">
        <v>1501</v>
      </c>
      <c r="H1407" s="76" t="n">
        <v>234000</v>
      </c>
      <c r="I1407" s="75" t="inlineStr">
        <is>
          <t>8월 통신요금 - O텔레콤</t>
        </is>
      </c>
      <c r="J1407" s="75" t="inlineStr">
        <is>
          <t>V10002</t>
        </is>
      </c>
      <c r="K1407" s="75" t="inlineStr">
        <is>
          <t>O텔레콤</t>
        </is>
      </c>
      <c r="M1407" s="9">
        <f>IF($A1407="","",VALUE($A1407&amp;"")*12+VALUE($B1407&amp;""))</f>
        <v/>
      </c>
      <c r="N1407" s="39">
        <f>IF($A1407="","",IFERROR(INDEX(부서매핑!$C$5:$C$504,MATCH($G1407&amp;"",부서매핑!$A$5:$A$504,0)),"미매핑"))</f>
        <v/>
      </c>
      <c r="O1407" s="9">
        <f>IF($A1407="","",N1407&amp;"|"&amp;$F1407)</f>
        <v/>
      </c>
      <c r="P1407" s="77">
        <f>IF($A1407="",0,$H1407*설정!$C$23)</f>
        <v/>
      </c>
      <c r="Q1407" s="39">
        <f>IF($A1407="","",IF(O1407&lt;&gt;원인분석!$C$9,"",IF(AND(M1407&gt;=원인분석!$C$10,M1407&lt;=원인분석!$C$11),"당기",IF(AND(M1407&gt;=원인분석!$C$12,M1407&lt;=원인분석!$C$13),"비교",""))))</f>
        <v/>
      </c>
      <c r="R1407" s="9">
        <f>IF(Q1407="","",$K1407&amp;"")</f>
        <v/>
      </c>
      <c r="S1407" s="9">
        <f>IF(Q1407="","",IF(MATCH(R1407,$R$5:$R$100000,0)=ROW()-4,ROW(),""))</f>
        <v/>
      </c>
      <c r="T1407" s="9">
        <f>IF(Q1407="당기",ABS(P1407)+ROW()/1000000000,"")</f>
        <v/>
      </c>
      <c r="U1407" s="9">
        <f>IF(Q1407="비교",ABS(P1407)+ROW()/1000000000,"")</f>
        <v/>
      </c>
      <c r="V1407" s="39">
        <f>IF($A1407="","",IF(COUNTIF(변동분석!$E$7:$E$506,O1407)&gt;0,"Y","N"))</f>
        <v/>
      </c>
      <c r="W1407" s="39">
        <f>IF($A1407="","",IFERROR(INDEX(계정매핑!$D$5:$D$504,MATCH($F1407&amp;"",계정매핑!$A$5:$A$504,0)),"미매핑"))</f>
        <v/>
      </c>
      <c r="X1407" s="9">
        <f>IF($A1407="","",$F1407&amp;"")</f>
        <v/>
      </c>
    </row>
    <row r="1408">
      <c r="A1408" s="75" t="n">
        <v>2025</v>
      </c>
      <c r="B1408" s="75" t="n">
        <v>8</v>
      </c>
      <c r="C1408" s="75" t="inlineStr">
        <is>
          <t>5100001404</t>
        </is>
      </c>
      <c r="D1408" s="78" t="n">
        <v>45876</v>
      </c>
      <c r="E1408" s="75" t="inlineStr">
        <is>
          <t>KR</t>
        </is>
      </c>
      <c r="F1408" s="75" t="n">
        <v>62301000</v>
      </c>
      <c r="G1408" s="75" t="n">
        <v>1101</v>
      </c>
      <c r="H1408" s="76" t="n">
        <v>136000</v>
      </c>
      <c r="I1408" s="75" t="inlineStr">
        <is>
          <t>8월 소모품 구입 - Q오피스</t>
        </is>
      </c>
      <c r="J1408" s="75" t="inlineStr">
        <is>
          <t>V10003</t>
        </is>
      </c>
      <c r="K1408" s="75" t="inlineStr">
        <is>
          <t>Q오피스</t>
        </is>
      </c>
      <c r="M1408" s="9">
        <f>IF($A1408="","",VALUE($A1408&amp;"")*12+VALUE($B1408&amp;""))</f>
        <v/>
      </c>
      <c r="N1408" s="39">
        <f>IF($A1408="","",IFERROR(INDEX(부서매핑!$C$5:$C$504,MATCH($G1408&amp;"",부서매핑!$A$5:$A$504,0)),"미매핑"))</f>
        <v/>
      </c>
      <c r="O1408" s="9">
        <f>IF($A1408="","",N1408&amp;"|"&amp;$F1408)</f>
        <v/>
      </c>
      <c r="P1408" s="77">
        <f>IF($A1408="",0,$H1408*설정!$C$23)</f>
        <v/>
      </c>
      <c r="Q1408" s="39">
        <f>IF($A1408="","",IF(O1408&lt;&gt;원인분석!$C$9,"",IF(AND(M1408&gt;=원인분석!$C$10,M1408&lt;=원인분석!$C$11),"당기",IF(AND(M1408&gt;=원인분석!$C$12,M1408&lt;=원인분석!$C$13),"비교",""))))</f>
        <v/>
      </c>
      <c r="R1408" s="9">
        <f>IF(Q1408="","",$K1408&amp;"")</f>
        <v/>
      </c>
      <c r="S1408" s="9">
        <f>IF(Q1408="","",IF(MATCH(R1408,$R$5:$R$100000,0)=ROW()-4,ROW(),""))</f>
        <v/>
      </c>
      <c r="T1408" s="9">
        <f>IF(Q1408="당기",ABS(P1408)+ROW()/1000000000,"")</f>
        <v/>
      </c>
      <c r="U1408" s="9">
        <f>IF(Q1408="비교",ABS(P1408)+ROW()/1000000000,"")</f>
        <v/>
      </c>
      <c r="V1408" s="39">
        <f>IF($A1408="","",IF(COUNTIF(변동분석!$E$7:$E$506,O1408)&gt;0,"Y","N"))</f>
        <v/>
      </c>
      <c r="W1408" s="39">
        <f>IF($A1408="","",IFERROR(INDEX(계정매핑!$D$5:$D$504,MATCH($F1408&amp;"",계정매핑!$A$5:$A$504,0)),"미매핑"))</f>
        <v/>
      </c>
      <c r="X1408" s="9">
        <f>IF($A1408="","",$F1408&amp;"")</f>
        <v/>
      </c>
    </row>
    <row r="1409">
      <c r="A1409" s="75" t="n">
        <v>2025</v>
      </c>
      <c r="B1409" s="75" t="n">
        <v>8</v>
      </c>
      <c r="C1409" s="75" t="inlineStr">
        <is>
          <t>5100001405</t>
        </is>
      </c>
      <c r="D1409" s="78" t="n">
        <v>45876</v>
      </c>
      <c r="E1409" s="75" t="inlineStr">
        <is>
          <t>KR</t>
        </is>
      </c>
      <c r="F1409" s="75" t="n">
        <v>62301000</v>
      </c>
      <c r="G1409" s="75" t="n">
        <v>1201</v>
      </c>
      <c r="H1409" s="76" t="n">
        <v>191000</v>
      </c>
      <c r="I1409" s="75" t="inlineStr">
        <is>
          <t>8월 소모품 구입 - R문구</t>
        </is>
      </c>
      <c r="J1409" s="75" t="inlineStr">
        <is>
          <t>V10018</t>
        </is>
      </c>
      <c r="K1409" s="75" t="inlineStr">
        <is>
          <t>R문구</t>
        </is>
      </c>
      <c r="M1409" s="9">
        <f>IF($A1409="","",VALUE($A1409&amp;"")*12+VALUE($B1409&amp;""))</f>
        <v/>
      </c>
      <c r="N1409" s="39">
        <f>IF($A1409="","",IFERROR(INDEX(부서매핑!$C$5:$C$504,MATCH($G1409&amp;"",부서매핑!$A$5:$A$504,0)),"미매핑"))</f>
        <v/>
      </c>
      <c r="O1409" s="9">
        <f>IF($A1409="","",N1409&amp;"|"&amp;$F1409)</f>
        <v/>
      </c>
      <c r="P1409" s="77">
        <f>IF($A1409="",0,$H1409*설정!$C$23)</f>
        <v/>
      </c>
      <c r="Q1409" s="39">
        <f>IF($A1409="","",IF(O1409&lt;&gt;원인분석!$C$9,"",IF(AND(M1409&gt;=원인분석!$C$10,M1409&lt;=원인분석!$C$11),"당기",IF(AND(M1409&gt;=원인분석!$C$12,M1409&lt;=원인분석!$C$13),"비교",""))))</f>
        <v/>
      </c>
      <c r="R1409" s="9">
        <f>IF(Q1409="","",$K1409&amp;"")</f>
        <v/>
      </c>
      <c r="S1409" s="9">
        <f>IF(Q1409="","",IF(MATCH(R1409,$R$5:$R$100000,0)=ROW()-4,ROW(),""))</f>
        <v/>
      </c>
      <c r="T1409" s="9">
        <f>IF(Q1409="당기",ABS(P1409)+ROW()/1000000000,"")</f>
        <v/>
      </c>
      <c r="U1409" s="9">
        <f>IF(Q1409="비교",ABS(P1409)+ROW()/1000000000,"")</f>
        <v/>
      </c>
      <c r="V1409" s="39">
        <f>IF($A1409="","",IF(COUNTIF(변동분석!$E$7:$E$506,O1409)&gt;0,"Y","N"))</f>
        <v/>
      </c>
      <c r="W1409" s="39">
        <f>IF($A1409="","",IFERROR(INDEX(계정매핑!$D$5:$D$504,MATCH($F1409&amp;"",계정매핑!$A$5:$A$504,0)),"미매핑"))</f>
        <v/>
      </c>
      <c r="X1409" s="9">
        <f>IF($A1409="","",$F1409&amp;"")</f>
        <v/>
      </c>
    </row>
    <row r="1410">
      <c r="A1410" s="75" t="n">
        <v>2025</v>
      </c>
      <c r="B1410" s="75" t="n">
        <v>8</v>
      </c>
      <c r="C1410" s="75" t="inlineStr">
        <is>
          <t>5100001406</t>
        </is>
      </c>
      <c r="D1410" s="78" t="n">
        <v>45876</v>
      </c>
      <c r="E1410" s="75" t="inlineStr">
        <is>
          <t>KR</t>
        </is>
      </c>
      <c r="F1410" s="75" t="n">
        <v>62401000</v>
      </c>
      <c r="G1410" s="75" t="n">
        <v>1801</v>
      </c>
      <c r="H1410" s="76" t="n">
        <v>2143000</v>
      </c>
      <c r="I1410" s="75" t="inlineStr">
        <is>
          <t>8월 인쇄물 제작 - G인쇄</t>
        </is>
      </c>
      <c r="J1410" s="75" t="inlineStr">
        <is>
          <t>V10004</t>
        </is>
      </c>
      <c r="K1410" s="75" t="inlineStr">
        <is>
          <t>G인쇄</t>
        </is>
      </c>
      <c r="M1410" s="9">
        <f>IF($A1410="","",VALUE($A1410&amp;"")*12+VALUE($B1410&amp;""))</f>
        <v/>
      </c>
      <c r="N1410" s="39">
        <f>IF($A1410="","",IFERROR(INDEX(부서매핑!$C$5:$C$504,MATCH($G1410&amp;"",부서매핑!$A$5:$A$504,0)),"미매핑"))</f>
        <v/>
      </c>
      <c r="O1410" s="9">
        <f>IF($A1410="","",N1410&amp;"|"&amp;$F1410)</f>
        <v/>
      </c>
      <c r="P1410" s="77">
        <f>IF($A1410="",0,$H1410*설정!$C$23)</f>
        <v/>
      </c>
      <c r="Q1410" s="39">
        <f>IF($A1410="","",IF(O1410&lt;&gt;원인분석!$C$9,"",IF(AND(M1410&gt;=원인분석!$C$10,M1410&lt;=원인분석!$C$11),"당기",IF(AND(M1410&gt;=원인분석!$C$12,M1410&lt;=원인분석!$C$13),"비교",""))))</f>
        <v/>
      </c>
      <c r="R1410" s="9">
        <f>IF(Q1410="","",$K1410&amp;"")</f>
        <v/>
      </c>
      <c r="S1410" s="9">
        <f>IF(Q1410="","",IF(MATCH(R1410,$R$5:$R$100000,0)=ROW()-4,ROW(),""))</f>
        <v/>
      </c>
      <c r="T1410" s="9">
        <f>IF(Q1410="당기",ABS(P1410)+ROW()/1000000000,"")</f>
        <v/>
      </c>
      <c r="U1410" s="9">
        <f>IF(Q1410="비교",ABS(P1410)+ROW()/1000000000,"")</f>
        <v/>
      </c>
      <c r="V1410" s="39">
        <f>IF($A1410="","",IF(COUNTIF(변동분석!$E$7:$E$506,O1410)&gt;0,"Y","N"))</f>
        <v/>
      </c>
      <c r="W1410" s="39">
        <f>IF($A1410="","",IFERROR(INDEX(계정매핑!$D$5:$D$504,MATCH($F1410&amp;"",계정매핑!$A$5:$A$504,0)),"미매핑"))</f>
        <v/>
      </c>
      <c r="X1410" s="9">
        <f>IF($A1410="","",$F1410&amp;"")</f>
        <v/>
      </c>
    </row>
    <row r="1411">
      <c r="A1411" s="75" t="n">
        <v>2025</v>
      </c>
      <c r="B1411" s="75" t="n">
        <v>8</v>
      </c>
      <c r="C1411" s="75" t="inlineStr">
        <is>
          <t>5100001407</t>
        </is>
      </c>
      <c r="D1411" s="78" t="n">
        <v>45876</v>
      </c>
      <c r="E1411" s="75" t="inlineStr">
        <is>
          <t>KR</t>
        </is>
      </c>
      <c r="F1411" s="75" t="n">
        <v>62501000</v>
      </c>
      <c r="G1411" s="75" t="n">
        <v>1602</v>
      </c>
      <c r="H1411" s="76" t="n">
        <v>672000</v>
      </c>
      <c r="I1411" s="75" t="inlineStr">
        <is>
          <t>8월 회의 다과 - (법인카드)</t>
        </is>
      </c>
      <c r="J1411" s="75" t="inlineStr">
        <is>
          <t>V10008</t>
        </is>
      </c>
      <c r="K1411" s="75" t="inlineStr">
        <is>
          <t>(법인카드)</t>
        </is>
      </c>
      <c r="M1411" s="9">
        <f>IF($A1411="","",VALUE($A1411&amp;"")*12+VALUE($B1411&amp;""))</f>
        <v/>
      </c>
      <c r="N1411" s="39">
        <f>IF($A1411="","",IFERROR(INDEX(부서매핑!$C$5:$C$504,MATCH($G1411&amp;"",부서매핑!$A$5:$A$504,0)),"미매핑"))</f>
        <v/>
      </c>
      <c r="O1411" s="9">
        <f>IF($A1411="","",N1411&amp;"|"&amp;$F1411)</f>
        <v/>
      </c>
      <c r="P1411" s="77">
        <f>IF($A1411="",0,$H1411*설정!$C$23)</f>
        <v/>
      </c>
      <c r="Q1411" s="39">
        <f>IF($A1411="","",IF(O1411&lt;&gt;원인분석!$C$9,"",IF(AND(M1411&gt;=원인분석!$C$10,M1411&lt;=원인분석!$C$11),"당기",IF(AND(M1411&gt;=원인분석!$C$12,M1411&lt;=원인분석!$C$13),"비교",""))))</f>
        <v/>
      </c>
      <c r="R1411" s="9">
        <f>IF(Q1411="","",$K1411&amp;"")</f>
        <v/>
      </c>
      <c r="S1411" s="9">
        <f>IF(Q1411="","",IF(MATCH(R1411,$R$5:$R$100000,0)=ROW()-4,ROW(),""))</f>
        <v/>
      </c>
      <c r="T1411" s="9">
        <f>IF(Q1411="당기",ABS(P1411)+ROW()/1000000000,"")</f>
        <v/>
      </c>
      <c r="U1411" s="9">
        <f>IF(Q1411="비교",ABS(P1411)+ROW()/1000000000,"")</f>
        <v/>
      </c>
      <c r="V1411" s="39">
        <f>IF($A1411="","",IF(COUNTIF(변동분석!$E$7:$E$506,O1411)&gt;0,"Y","N"))</f>
        <v/>
      </c>
      <c r="W1411" s="39">
        <f>IF($A1411="","",IFERROR(INDEX(계정매핑!$D$5:$D$504,MATCH($F1411&amp;"",계정매핑!$A$5:$A$504,0)),"미매핑"))</f>
        <v/>
      </c>
      <c r="X1411" s="9">
        <f>IF($A1411="","",$F1411&amp;"")</f>
        <v/>
      </c>
    </row>
    <row r="1412">
      <c r="A1412" s="75" t="n">
        <v>2025</v>
      </c>
      <c r="B1412" s="75" t="n">
        <v>8</v>
      </c>
      <c r="C1412" s="75" t="inlineStr">
        <is>
          <t>5100001408</t>
        </is>
      </c>
      <c r="D1412" s="78" t="n">
        <v>45876</v>
      </c>
      <c r="E1412" s="75" t="inlineStr">
        <is>
          <t>KR</t>
        </is>
      </c>
      <c r="F1412" s="75" t="n">
        <v>62701000</v>
      </c>
      <c r="G1412" s="75" t="n">
        <v>1501</v>
      </c>
      <c r="H1412" s="76" t="n">
        <v>42129000</v>
      </c>
      <c r="I1412" s="75" t="inlineStr">
        <is>
          <t>8월 광고 집행 - E미디어</t>
        </is>
      </c>
      <c r="J1412" s="75" t="inlineStr">
        <is>
          <t>V10027</t>
        </is>
      </c>
      <c r="K1412" s="75" t="inlineStr">
        <is>
          <t>E미디어</t>
        </is>
      </c>
      <c r="M1412" s="9">
        <f>IF($A1412="","",VALUE($A1412&amp;"")*12+VALUE($B1412&amp;""))</f>
        <v/>
      </c>
      <c r="N1412" s="39">
        <f>IF($A1412="","",IFERROR(INDEX(부서매핑!$C$5:$C$504,MATCH($G1412&amp;"",부서매핑!$A$5:$A$504,0)),"미매핑"))</f>
        <v/>
      </c>
      <c r="O1412" s="9">
        <f>IF($A1412="","",N1412&amp;"|"&amp;$F1412)</f>
        <v/>
      </c>
      <c r="P1412" s="77">
        <f>IF($A1412="",0,$H1412*설정!$C$23)</f>
        <v/>
      </c>
      <c r="Q1412" s="39">
        <f>IF($A1412="","",IF(O1412&lt;&gt;원인분석!$C$9,"",IF(AND(M1412&gt;=원인분석!$C$10,M1412&lt;=원인분석!$C$11),"당기",IF(AND(M1412&gt;=원인분석!$C$12,M1412&lt;=원인분석!$C$13),"비교",""))))</f>
        <v/>
      </c>
      <c r="R1412" s="9">
        <f>IF(Q1412="","",$K1412&amp;"")</f>
        <v/>
      </c>
      <c r="S1412" s="9">
        <f>IF(Q1412="","",IF(MATCH(R1412,$R$5:$R$100000,0)=ROW()-4,ROW(),""))</f>
        <v/>
      </c>
      <c r="T1412" s="9">
        <f>IF(Q1412="당기",ABS(P1412)+ROW()/1000000000,"")</f>
        <v/>
      </c>
      <c r="U1412" s="9">
        <f>IF(Q1412="비교",ABS(P1412)+ROW()/1000000000,"")</f>
        <v/>
      </c>
      <c r="V1412" s="39">
        <f>IF($A1412="","",IF(COUNTIF(변동분석!$E$7:$E$506,O1412)&gt;0,"Y","N"))</f>
        <v/>
      </c>
      <c r="W1412" s="39">
        <f>IF($A1412="","",IFERROR(INDEX(계정매핑!$D$5:$D$504,MATCH($F1412&amp;"",계정매핑!$A$5:$A$504,0)),"미매핑"))</f>
        <v/>
      </c>
      <c r="X1412" s="9">
        <f>IF($A1412="","",$F1412&amp;"")</f>
        <v/>
      </c>
    </row>
    <row r="1413">
      <c r="A1413" s="75" t="n">
        <v>2025</v>
      </c>
      <c r="B1413" s="75" t="n">
        <v>8</v>
      </c>
      <c r="C1413" s="75" t="inlineStr">
        <is>
          <t>5100001409</t>
        </is>
      </c>
      <c r="D1413" s="78" t="n">
        <v>45876</v>
      </c>
      <c r="E1413" s="75" t="inlineStr">
        <is>
          <t>KR</t>
        </is>
      </c>
      <c r="F1413" s="75" t="n">
        <v>62802000</v>
      </c>
      <c r="G1413" s="75" t="n">
        <v>1301</v>
      </c>
      <c r="H1413" s="76" t="n">
        <v>3653000</v>
      </c>
      <c r="I1413" s="75" t="inlineStr">
        <is>
          <t>8월 위탁교육 - I교육원</t>
        </is>
      </c>
      <c r="J1413" s="75" t="inlineStr">
        <is>
          <t>V10015</t>
        </is>
      </c>
      <c r="K1413" s="75" t="inlineStr">
        <is>
          <t>I교육원</t>
        </is>
      </c>
      <c r="M1413" s="9">
        <f>IF($A1413="","",VALUE($A1413&amp;"")*12+VALUE($B1413&amp;""))</f>
        <v/>
      </c>
      <c r="N1413" s="39">
        <f>IF($A1413="","",IFERROR(INDEX(부서매핑!$C$5:$C$504,MATCH($G1413&amp;"",부서매핑!$A$5:$A$504,0)),"미매핑"))</f>
        <v/>
      </c>
      <c r="O1413" s="9">
        <f>IF($A1413="","",N1413&amp;"|"&amp;$F1413)</f>
        <v/>
      </c>
      <c r="P1413" s="77">
        <f>IF($A1413="",0,$H1413*설정!$C$23)</f>
        <v/>
      </c>
      <c r="Q1413" s="39">
        <f>IF($A1413="","",IF(O1413&lt;&gt;원인분석!$C$9,"",IF(AND(M1413&gt;=원인분석!$C$10,M1413&lt;=원인분석!$C$11),"당기",IF(AND(M1413&gt;=원인분석!$C$12,M1413&lt;=원인분석!$C$13),"비교",""))))</f>
        <v/>
      </c>
      <c r="R1413" s="9">
        <f>IF(Q1413="","",$K1413&amp;"")</f>
        <v/>
      </c>
      <c r="S1413" s="9">
        <f>IF(Q1413="","",IF(MATCH(R1413,$R$5:$R$100000,0)=ROW()-4,ROW(),""))</f>
        <v/>
      </c>
      <c r="T1413" s="9">
        <f>IF(Q1413="당기",ABS(P1413)+ROW()/1000000000,"")</f>
        <v/>
      </c>
      <c r="U1413" s="9">
        <f>IF(Q1413="비교",ABS(P1413)+ROW()/1000000000,"")</f>
        <v/>
      </c>
      <c r="V1413" s="39">
        <f>IF($A1413="","",IF(COUNTIF(변동분석!$E$7:$E$506,O1413)&gt;0,"Y","N"))</f>
        <v/>
      </c>
      <c r="W1413" s="39">
        <f>IF($A1413="","",IFERROR(INDEX(계정매핑!$D$5:$D$504,MATCH($F1413&amp;"",계정매핑!$A$5:$A$504,0)),"미매핑"))</f>
        <v/>
      </c>
      <c r="X1413" s="9">
        <f>IF($A1413="","",$F1413&amp;"")</f>
        <v/>
      </c>
    </row>
    <row r="1414">
      <c r="A1414" s="75" t="n">
        <v>2025</v>
      </c>
      <c r="B1414" s="75" t="n">
        <v>8</v>
      </c>
      <c r="C1414" s="75" t="inlineStr">
        <is>
          <t>5100001410</t>
        </is>
      </c>
      <c r="D1414" s="78" t="n">
        <v>45876</v>
      </c>
      <c r="E1414" s="75" t="inlineStr">
        <is>
          <t>KR</t>
        </is>
      </c>
      <c r="F1414" s="75" t="n">
        <v>62902000</v>
      </c>
      <c r="G1414" s="75" t="n">
        <v>1101</v>
      </c>
      <c r="H1414" s="76" t="n">
        <v>1289000</v>
      </c>
      <c r="I1414" s="75" t="inlineStr">
        <is>
          <t>8월 업무 위탁 수수료 - X서비스</t>
        </is>
      </c>
      <c r="J1414" s="75" t="inlineStr">
        <is>
          <t>V10016</t>
        </is>
      </c>
      <c r="K1414" s="75" t="inlineStr">
        <is>
          <t>X서비스</t>
        </is>
      </c>
      <c r="M1414" s="9">
        <f>IF($A1414="","",VALUE($A1414&amp;"")*12+VALUE($B1414&amp;""))</f>
        <v/>
      </c>
      <c r="N1414" s="39">
        <f>IF($A1414="","",IFERROR(INDEX(부서매핑!$C$5:$C$504,MATCH($G1414&amp;"",부서매핑!$A$5:$A$504,0)),"미매핑"))</f>
        <v/>
      </c>
      <c r="O1414" s="9">
        <f>IF($A1414="","",N1414&amp;"|"&amp;$F1414)</f>
        <v/>
      </c>
      <c r="P1414" s="77">
        <f>IF($A1414="",0,$H1414*설정!$C$23)</f>
        <v/>
      </c>
      <c r="Q1414" s="39">
        <f>IF($A1414="","",IF(O1414&lt;&gt;원인분석!$C$9,"",IF(AND(M1414&gt;=원인분석!$C$10,M1414&lt;=원인분석!$C$11),"당기",IF(AND(M1414&gt;=원인분석!$C$12,M1414&lt;=원인분석!$C$13),"비교",""))))</f>
        <v/>
      </c>
      <c r="R1414" s="9">
        <f>IF(Q1414="","",$K1414&amp;"")</f>
        <v/>
      </c>
      <c r="S1414" s="9">
        <f>IF(Q1414="","",IF(MATCH(R1414,$R$5:$R$100000,0)=ROW()-4,ROW(),""))</f>
        <v/>
      </c>
      <c r="T1414" s="9">
        <f>IF(Q1414="당기",ABS(P1414)+ROW()/1000000000,"")</f>
        <v/>
      </c>
      <c r="U1414" s="9">
        <f>IF(Q1414="비교",ABS(P1414)+ROW()/1000000000,"")</f>
        <v/>
      </c>
      <c r="V1414" s="39">
        <f>IF($A1414="","",IF(COUNTIF(변동분석!$E$7:$E$506,O1414)&gt;0,"Y","N"))</f>
        <v/>
      </c>
      <c r="W1414" s="39">
        <f>IF($A1414="","",IFERROR(INDEX(계정매핑!$D$5:$D$504,MATCH($F1414&amp;"",계정매핑!$A$5:$A$504,0)),"미매핑"))</f>
        <v/>
      </c>
      <c r="X1414" s="9">
        <f>IF($A1414="","",$F1414&amp;"")</f>
        <v/>
      </c>
    </row>
    <row r="1415">
      <c r="A1415" s="75" t="n">
        <v>2025</v>
      </c>
      <c r="B1415" s="75" t="n">
        <v>8</v>
      </c>
      <c r="C1415" s="75" t="inlineStr">
        <is>
          <t>5100001411</t>
        </is>
      </c>
      <c r="D1415" s="78" t="n">
        <v>45877</v>
      </c>
      <c r="E1415" s="75" t="inlineStr">
        <is>
          <t>KR</t>
        </is>
      </c>
      <c r="F1415" s="75" t="n">
        <v>62101000</v>
      </c>
      <c r="G1415" s="75" t="n">
        <v>1501</v>
      </c>
      <c r="H1415" s="76" t="n">
        <v>733000</v>
      </c>
      <c r="I1415" s="75" t="inlineStr">
        <is>
          <t>8월 국내출장 - L여행사</t>
        </is>
      </c>
      <c r="J1415" s="75" t="inlineStr">
        <is>
          <t>V10014</t>
        </is>
      </c>
      <c r="K1415" s="75" t="inlineStr">
        <is>
          <t>L여행사</t>
        </is>
      </c>
      <c r="M1415" s="9">
        <f>IF($A1415="","",VALUE($A1415&amp;"")*12+VALUE($B1415&amp;""))</f>
        <v/>
      </c>
      <c r="N1415" s="39">
        <f>IF($A1415="","",IFERROR(INDEX(부서매핑!$C$5:$C$504,MATCH($G1415&amp;"",부서매핑!$A$5:$A$504,0)),"미매핑"))</f>
        <v/>
      </c>
      <c r="O1415" s="9">
        <f>IF($A1415="","",N1415&amp;"|"&amp;$F1415)</f>
        <v/>
      </c>
      <c r="P1415" s="77">
        <f>IF($A1415="",0,$H1415*설정!$C$23)</f>
        <v/>
      </c>
      <c r="Q1415" s="39">
        <f>IF($A1415="","",IF(O1415&lt;&gt;원인분석!$C$9,"",IF(AND(M1415&gt;=원인분석!$C$10,M1415&lt;=원인분석!$C$11),"당기",IF(AND(M1415&gt;=원인분석!$C$12,M1415&lt;=원인분석!$C$13),"비교",""))))</f>
        <v/>
      </c>
      <c r="R1415" s="9">
        <f>IF(Q1415="","",$K1415&amp;"")</f>
        <v/>
      </c>
      <c r="S1415" s="9">
        <f>IF(Q1415="","",IF(MATCH(R1415,$R$5:$R$100000,0)=ROW()-4,ROW(),""))</f>
        <v/>
      </c>
      <c r="T1415" s="9">
        <f>IF(Q1415="당기",ABS(P1415)+ROW()/1000000000,"")</f>
        <v/>
      </c>
      <c r="U1415" s="9">
        <f>IF(Q1415="비교",ABS(P1415)+ROW()/1000000000,"")</f>
        <v/>
      </c>
      <c r="V1415" s="39">
        <f>IF($A1415="","",IF(COUNTIF(변동분석!$E$7:$E$506,O1415)&gt;0,"Y","N"))</f>
        <v/>
      </c>
      <c r="W1415" s="39">
        <f>IF($A1415="","",IFERROR(INDEX(계정매핑!$D$5:$D$504,MATCH($F1415&amp;"",계정매핑!$A$5:$A$504,0)),"미매핑"))</f>
        <v/>
      </c>
      <c r="X1415" s="9">
        <f>IF($A1415="","",$F1415&amp;"")</f>
        <v/>
      </c>
    </row>
    <row r="1416">
      <c r="A1416" s="75" t="n">
        <v>2025</v>
      </c>
      <c r="B1416" s="75" t="n">
        <v>8</v>
      </c>
      <c r="C1416" s="75" t="inlineStr">
        <is>
          <t>5100001412</t>
        </is>
      </c>
      <c r="D1416" s="78" t="n">
        <v>45877</v>
      </c>
      <c r="E1416" s="75" t="inlineStr">
        <is>
          <t>KR</t>
        </is>
      </c>
      <c r="F1416" s="75" t="n">
        <v>62102000</v>
      </c>
      <c r="G1416" s="75" t="n">
        <v>1501</v>
      </c>
      <c r="H1416" s="76" t="n">
        <v>153000</v>
      </c>
      <c r="I1416" s="75" t="inlineStr">
        <is>
          <t>8월 해외출장 - M항공</t>
        </is>
      </c>
      <c r="J1416" s="75" t="inlineStr">
        <is>
          <t>V10001</t>
        </is>
      </c>
      <c r="K1416" s="75" t="inlineStr">
        <is>
          <t>M항공</t>
        </is>
      </c>
      <c r="M1416" s="9">
        <f>IF($A1416="","",VALUE($A1416&amp;"")*12+VALUE($B1416&amp;""))</f>
        <v/>
      </c>
      <c r="N1416" s="39">
        <f>IF($A1416="","",IFERROR(INDEX(부서매핑!$C$5:$C$504,MATCH($G1416&amp;"",부서매핑!$A$5:$A$504,0)),"미매핑"))</f>
        <v/>
      </c>
      <c r="O1416" s="9">
        <f>IF($A1416="","",N1416&amp;"|"&amp;$F1416)</f>
        <v/>
      </c>
      <c r="P1416" s="77">
        <f>IF($A1416="",0,$H1416*설정!$C$23)</f>
        <v/>
      </c>
      <c r="Q1416" s="39">
        <f>IF($A1416="","",IF(O1416&lt;&gt;원인분석!$C$9,"",IF(AND(M1416&gt;=원인분석!$C$10,M1416&lt;=원인분석!$C$11),"당기",IF(AND(M1416&gt;=원인분석!$C$12,M1416&lt;=원인분석!$C$13),"비교",""))))</f>
        <v/>
      </c>
      <c r="R1416" s="9">
        <f>IF(Q1416="","",$K1416&amp;"")</f>
        <v/>
      </c>
      <c r="S1416" s="9">
        <f>IF(Q1416="","",IF(MATCH(R1416,$R$5:$R$100000,0)=ROW()-4,ROW(),""))</f>
        <v/>
      </c>
      <c r="T1416" s="9">
        <f>IF(Q1416="당기",ABS(P1416)+ROW()/1000000000,"")</f>
        <v/>
      </c>
      <c r="U1416" s="9">
        <f>IF(Q1416="비교",ABS(P1416)+ROW()/1000000000,"")</f>
        <v/>
      </c>
      <c r="V1416" s="39">
        <f>IF($A1416="","",IF(COUNTIF(변동분석!$E$7:$E$506,O1416)&gt;0,"Y","N"))</f>
        <v/>
      </c>
      <c r="W1416" s="39">
        <f>IF($A1416="","",IFERROR(INDEX(계정매핑!$D$5:$D$504,MATCH($F1416&amp;"",계정매핑!$A$5:$A$504,0)),"미매핑"))</f>
        <v/>
      </c>
      <c r="X1416" s="9">
        <f>IF($A1416="","",$F1416&amp;"")</f>
        <v/>
      </c>
    </row>
    <row r="1417">
      <c r="A1417" s="75" t="n">
        <v>2025</v>
      </c>
      <c r="B1417" s="75" t="n">
        <v>8</v>
      </c>
      <c r="C1417" s="75" t="inlineStr">
        <is>
          <t>5100001413</t>
        </is>
      </c>
      <c r="D1417" s="78" t="n">
        <v>45877</v>
      </c>
      <c r="E1417" s="75" t="inlineStr">
        <is>
          <t>KR</t>
        </is>
      </c>
      <c r="F1417" s="75" t="n">
        <v>62301000</v>
      </c>
      <c r="G1417" s="75" t="n">
        <v>1502</v>
      </c>
      <c r="H1417" s="76" t="n">
        <v>131000</v>
      </c>
      <c r="I1417" s="75" t="inlineStr">
        <is>
          <t>8월 소모품 구입 - R문구</t>
        </is>
      </c>
      <c r="J1417" s="75" t="inlineStr">
        <is>
          <t>V10018</t>
        </is>
      </c>
      <c r="K1417" s="75" t="inlineStr">
        <is>
          <t>R문구</t>
        </is>
      </c>
      <c r="M1417" s="9">
        <f>IF($A1417="","",VALUE($A1417&amp;"")*12+VALUE($B1417&amp;""))</f>
        <v/>
      </c>
      <c r="N1417" s="39">
        <f>IF($A1417="","",IFERROR(INDEX(부서매핑!$C$5:$C$504,MATCH($G1417&amp;"",부서매핑!$A$5:$A$504,0)),"미매핑"))</f>
        <v/>
      </c>
      <c r="O1417" s="9">
        <f>IF($A1417="","",N1417&amp;"|"&amp;$F1417)</f>
        <v/>
      </c>
      <c r="P1417" s="77">
        <f>IF($A1417="",0,$H1417*설정!$C$23)</f>
        <v/>
      </c>
      <c r="Q1417" s="39">
        <f>IF($A1417="","",IF(O1417&lt;&gt;원인분석!$C$9,"",IF(AND(M1417&gt;=원인분석!$C$10,M1417&lt;=원인분석!$C$11),"당기",IF(AND(M1417&gt;=원인분석!$C$12,M1417&lt;=원인분석!$C$13),"비교",""))))</f>
        <v/>
      </c>
      <c r="R1417" s="9">
        <f>IF(Q1417="","",$K1417&amp;"")</f>
        <v/>
      </c>
      <c r="S1417" s="9">
        <f>IF(Q1417="","",IF(MATCH(R1417,$R$5:$R$100000,0)=ROW()-4,ROW(),""))</f>
        <v/>
      </c>
      <c r="T1417" s="9">
        <f>IF(Q1417="당기",ABS(P1417)+ROW()/1000000000,"")</f>
        <v/>
      </c>
      <c r="U1417" s="9">
        <f>IF(Q1417="비교",ABS(P1417)+ROW()/1000000000,"")</f>
        <v/>
      </c>
      <c r="V1417" s="39">
        <f>IF($A1417="","",IF(COUNTIF(변동분석!$E$7:$E$506,O1417)&gt;0,"Y","N"))</f>
        <v/>
      </c>
      <c r="W1417" s="39">
        <f>IF($A1417="","",IFERROR(INDEX(계정매핑!$D$5:$D$504,MATCH($F1417&amp;"",계정매핑!$A$5:$A$504,0)),"미매핑"))</f>
        <v/>
      </c>
      <c r="X1417" s="9">
        <f>IF($A1417="","",$F1417&amp;"")</f>
        <v/>
      </c>
    </row>
    <row r="1418">
      <c r="A1418" s="75" t="n">
        <v>2025</v>
      </c>
      <c r="B1418" s="75" t="n">
        <v>8</v>
      </c>
      <c r="C1418" s="75" t="inlineStr">
        <is>
          <t>5100001414</t>
        </is>
      </c>
      <c r="D1418" s="78" t="n">
        <v>45877</v>
      </c>
      <c r="E1418" s="75" t="inlineStr">
        <is>
          <t>KR</t>
        </is>
      </c>
      <c r="F1418" s="75" t="n">
        <v>62401000</v>
      </c>
      <c r="G1418" s="75" t="n">
        <v>1502</v>
      </c>
      <c r="H1418" s="76" t="n">
        <v>1653000</v>
      </c>
      <c r="I1418" s="75" t="inlineStr">
        <is>
          <t>8월 인쇄물 제작 - G인쇄</t>
        </is>
      </c>
      <c r="J1418" s="75" t="inlineStr">
        <is>
          <t>V10004</t>
        </is>
      </c>
      <c r="K1418" s="75" t="inlineStr">
        <is>
          <t>G인쇄</t>
        </is>
      </c>
      <c r="M1418" s="9">
        <f>IF($A1418="","",VALUE($A1418&amp;"")*12+VALUE($B1418&amp;""))</f>
        <v/>
      </c>
      <c r="N1418" s="39">
        <f>IF($A1418="","",IFERROR(INDEX(부서매핑!$C$5:$C$504,MATCH($G1418&amp;"",부서매핑!$A$5:$A$504,0)),"미매핑"))</f>
        <v/>
      </c>
      <c r="O1418" s="9">
        <f>IF($A1418="","",N1418&amp;"|"&amp;$F1418)</f>
        <v/>
      </c>
      <c r="P1418" s="77">
        <f>IF($A1418="",0,$H1418*설정!$C$23)</f>
        <v/>
      </c>
      <c r="Q1418" s="39">
        <f>IF($A1418="","",IF(O1418&lt;&gt;원인분석!$C$9,"",IF(AND(M1418&gt;=원인분석!$C$10,M1418&lt;=원인분석!$C$11),"당기",IF(AND(M1418&gt;=원인분석!$C$12,M1418&lt;=원인분석!$C$13),"비교",""))))</f>
        <v/>
      </c>
      <c r="R1418" s="9">
        <f>IF(Q1418="","",$K1418&amp;"")</f>
        <v/>
      </c>
      <c r="S1418" s="9">
        <f>IF(Q1418="","",IF(MATCH(R1418,$R$5:$R$100000,0)=ROW()-4,ROW(),""))</f>
        <v/>
      </c>
      <c r="T1418" s="9">
        <f>IF(Q1418="당기",ABS(P1418)+ROW()/1000000000,"")</f>
        <v/>
      </c>
      <c r="U1418" s="9">
        <f>IF(Q1418="비교",ABS(P1418)+ROW()/1000000000,"")</f>
        <v/>
      </c>
      <c r="V1418" s="39">
        <f>IF($A1418="","",IF(COUNTIF(변동분석!$E$7:$E$506,O1418)&gt;0,"Y","N"))</f>
        <v/>
      </c>
      <c r="W1418" s="39">
        <f>IF($A1418="","",IFERROR(INDEX(계정매핑!$D$5:$D$504,MATCH($F1418&amp;"",계정매핑!$A$5:$A$504,0)),"미매핑"))</f>
        <v/>
      </c>
      <c r="X1418" s="9">
        <f>IF($A1418="","",$F1418&amp;"")</f>
        <v/>
      </c>
    </row>
    <row r="1419">
      <c r="A1419" s="75" t="n">
        <v>2025</v>
      </c>
      <c r="B1419" s="75" t="n">
        <v>8</v>
      </c>
      <c r="C1419" s="75" t="inlineStr">
        <is>
          <t>5100001415</t>
        </is>
      </c>
      <c r="D1419" s="78" t="n">
        <v>45877</v>
      </c>
      <c r="E1419" s="75" t="inlineStr">
        <is>
          <t>KR</t>
        </is>
      </c>
      <c r="F1419" s="75" t="n">
        <v>62501000</v>
      </c>
      <c r="G1419" s="75" t="n">
        <v>1101</v>
      </c>
      <c r="H1419" s="76" t="n">
        <v>152000</v>
      </c>
      <c r="I1419" s="75" t="inlineStr">
        <is>
          <t>8월 회의 다과 - (법인카드)</t>
        </is>
      </c>
      <c r="J1419" s="75" t="inlineStr">
        <is>
          <t>V10008</t>
        </is>
      </c>
      <c r="K1419" s="75" t="inlineStr">
        <is>
          <t>(법인카드)</t>
        </is>
      </c>
      <c r="M1419" s="9">
        <f>IF($A1419="","",VALUE($A1419&amp;"")*12+VALUE($B1419&amp;""))</f>
        <v/>
      </c>
      <c r="N1419" s="39">
        <f>IF($A1419="","",IFERROR(INDEX(부서매핑!$C$5:$C$504,MATCH($G1419&amp;"",부서매핑!$A$5:$A$504,0)),"미매핑"))</f>
        <v/>
      </c>
      <c r="O1419" s="9">
        <f>IF($A1419="","",N1419&amp;"|"&amp;$F1419)</f>
        <v/>
      </c>
      <c r="P1419" s="77">
        <f>IF($A1419="",0,$H1419*설정!$C$23)</f>
        <v/>
      </c>
      <c r="Q1419" s="39">
        <f>IF($A1419="","",IF(O1419&lt;&gt;원인분석!$C$9,"",IF(AND(M1419&gt;=원인분석!$C$10,M1419&lt;=원인분석!$C$11),"당기",IF(AND(M1419&gt;=원인분석!$C$12,M1419&lt;=원인분석!$C$13),"비교",""))))</f>
        <v/>
      </c>
      <c r="R1419" s="9">
        <f>IF(Q1419="","",$K1419&amp;"")</f>
        <v/>
      </c>
      <c r="S1419" s="9">
        <f>IF(Q1419="","",IF(MATCH(R1419,$R$5:$R$100000,0)=ROW()-4,ROW(),""))</f>
        <v/>
      </c>
      <c r="T1419" s="9">
        <f>IF(Q1419="당기",ABS(P1419)+ROW()/1000000000,"")</f>
        <v/>
      </c>
      <c r="U1419" s="9">
        <f>IF(Q1419="비교",ABS(P1419)+ROW()/1000000000,"")</f>
        <v/>
      </c>
      <c r="V1419" s="39">
        <f>IF($A1419="","",IF(COUNTIF(변동분석!$E$7:$E$506,O1419)&gt;0,"Y","N"))</f>
        <v/>
      </c>
      <c r="W1419" s="39">
        <f>IF($A1419="","",IFERROR(INDEX(계정매핑!$D$5:$D$504,MATCH($F1419&amp;"",계정매핑!$A$5:$A$504,0)),"미매핑"))</f>
        <v/>
      </c>
      <c r="X1419" s="9">
        <f>IF($A1419="","",$F1419&amp;"")</f>
        <v/>
      </c>
    </row>
    <row r="1420">
      <c r="A1420" s="75" t="n">
        <v>2025</v>
      </c>
      <c r="B1420" s="75" t="n">
        <v>8</v>
      </c>
      <c r="C1420" s="75" t="inlineStr">
        <is>
          <t>5100001416</t>
        </is>
      </c>
      <c r="D1420" s="78" t="n">
        <v>45877</v>
      </c>
      <c r="E1420" s="75" t="inlineStr">
        <is>
          <t>KR</t>
        </is>
      </c>
      <c r="F1420" s="75" t="n">
        <v>62501000</v>
      </c>
      <c r="G1420" s="75" t="n">
        <v>1101</v>
      </c>
      <c r="H1420" s="76" t="n">
        <v>216000</v>
      </c>
      <c r="I1420" s="75" t="inlineStr">
        <is>
          <t>8월 회의 다과 - T케이터링</t>
        </is>
      </c>
      <c r="J1420" s="75" t="inlineStr">
        <is>
          <t>V10005</t>
        </is>
      </c>
      <c r="K1420" s="75" t="inlineStr">
        <is>
          <t>T케이터링</t>
        </is>
      </c>
      <c r="M1420" s="9">
        <f>IF($A1420="","",VALUE($A1420&amp;"")*12+VALUE($B1420&amp;""))</f>
        <v/>
      </c>
      <c r="N1420" s="39">
        <f>IF($A1420="","",IFERROR(INDEX(부서매핑!$C$5:$C$504,MATCH($G1420&amp;"",부서매핑!$A$5:$A$504,0)),"미매핑"))</f>
        <v/>
      </c>
      <c r="O1420" s="9">
        <f>IF($A1420="","",N1420&amp;"|"&amp;$F1420)</f>
        <v/>
      </c>
      <c r="P1420" s="77">
        <f>IF($A1420="",0,$H1420*설정!$C$23)</f>
        <v/>
      </c>
      <c r="Q1420" s="39">
        <f>IF($A1420="","",IF(O1420&lt;&gt;원인분석!$C$9,"",IF(AND(M1420&gt;=원인분석!$C$10,M1420&lt;=원인분석!$C$11),"당기",IF(AND(M1420&gt;=원인분석!$C$12,M1420&lt;=원인분석!$C$13),"비교",""))))</f>
        <v/>
      </c>
      <c r="R1420" s="9">
        <f>IF(Q1420="","",$K1420&amp;"")</f>
        <v/>
      </c>
      <c r="S1420" s="9">
        <f>IF(Q1420="","",IF(MATCH(R1420,$R$5:$R$100000,0)=ROW()-4,ROW(),""))</f>
        <v/>
      </c>
      <c r="T1420" s="9">
        <f>IF(Q1420="당기",ABS(P1420)+ROW()/1000000000,"")</f>
        <v/>
      </c>
      <c r="U1420" s="9">
        <f>IF(Q1420="비교",ABS(P1420)+ROW()/1000000000,"")</f>
        <v/>
      </c>
      <c r="V1420" s="39">
        <f>IF($A1420="","",IF(COUNTIF(변동분석!$E$7:$E$506,O1420)&gt;0,"Y","N"))</f>
        <v/>
      </c>
      <c r="W1420" s="39">
        <f>IF($A1420="","",IFERROR(INDEX(계정매핑!$D$5:$D$504,MATCH($F1420&amp;"",계정매핑!$A$5:$A$504,0)),"미매핑"))</f>
        <v/>
      </c>
      <c r="X1420" s="9">
        <f>IF($A1420="","",$F1420&amp;"")</f>
        <v/>
      </c>
    </row>
    <row r="1421">
      <c r="A1421" s="75" t="n">
        <v>2025</v>
      </c>
      <c r="B1421" s="75" t="n">
        <v>8</v>
      </c>
      <c r="C1421" s="75" t="inlineStr">
        <is>
          <t>5100001417</t>
        </is>
      </c>
      <c r="D1421" s="78" t="n">
        <v>45877</v>
      </c>
      <c r="E1421" s="75" t="inlineStr">
        <is>
          <t>KR</t>
        </is>
      </c>
      <c r="F1421" s="75" t="n">
        <v>63101000</v>
      </c>
      <c r="G1421" s="75" t="n">
        <v>1602</v>
      </c>
      <c r="H1421" s="76" t="n">
        <v>4547000</v>
      </c>
      <c r="I1421" s="75" t="inlineStr">
        <is>
          <t>8월 사무실 임차료 - BB부동산</t>
        </is>
      </c>
      <c r="J1421" s="75" t="inlineStr">
        <is>
          <t>V10024</t>
        </is>
      </c>
      <c r="K1421" s="75" t="inlineStr">
        <is>
          <t>BB부동산</t>
        </is>
      </c>
      <c r="M1421" s="9">
        <f>IF($A1421="","",VALUE($A1421&amp;"")*12+VALUE($B1421&amp;""))</f>
        <v/>
      </c>
      <c r="N1421" s="39">
        <f>IF($A1421="","",IFERROR(INDEX(부서매핑!$C$5:$C$504,MATCH($G1421&amp;"",부서매핑!$A$5:$A$504,0)),"미매핑"))</f>
        <v/>
      </c>
      <c r="O1421" s="9">
        <f>IF($A1421="","",N1421&amp;"|"&amp;$F1421)</f>
        <v/>
      </c>
      <c r="P1421" s="77">
        <f>IF($A1421="",0,$H1421*설정!$C$23)</f>
        <v/>
      </c>
      <c r="Q1421" s="39">
        <f>IF($A1421="","",IF(O1421&lt;&gt;원인분석!$C$9,"",IF(AND(M1421&gt;=원인분석!$C$10,M1421&lt;=원인분석!$C$11),"당기",IF(AND(M1421&gt;=원인분석!$C$12,M1421&lt;=원인분석!$C$13),"비교",""))))</f>
        <v/>
      </c>
      <c r="R1421" s="9">
        <f>IF(Q1421="","",$K1421&amp;"")</f>
        <v/>
      </c>
      <c r="S1421" s="9">
        <f>IF(Q1421="","",IF(MATCH(R1421,$R$5:$R$100000,0)=ROW()-4,ROW(),""))</f>
        <v/>
      </c>
      <c r="T1421" s="9">
        <f>IF(Q1421="당기",ABS(P1421)+ROW()/1000000000,"")</f>
        <v/>
      </c>
      <c r="U1421" s="9">
        <f>IF(Q1421="비교",ABS(P1421)+ROW()/1000000000,"")</f>
        <v/>
      </c>
      <c r="V1421" s="39">
        <f>IF($A1421="","",IF(COUNTIF(변동분석!$E$7:$E$506,O1421)&gt;0,"Y","N"))</f>
        <v/>
      </c>
      <c r="W1421" s="39">
        <f>IF($A1421="","",IFERROR(INDEX(계정매핑!$D$5:$D$504,MATCH($F1421&amp;"",계정매핑!$A$5:$A$504,0)),"미매핑"))</f>
        <v/>
      </c>
      <c r="X1421" s="9">
        <f>IF($A1421="","",$F1421&amp;"")</f>
        <v/>
      </c>
    </row>
    <row r="1422">
      <c r="A1422" s="75" t="n">
        <v>2025</v>
      </c>
      <c r="B1422" s="75" t="n">
        <v>8</v>
      </c>
      <c r="C1422" s="75" t="inlineStr">
        <is>
          <t>5100001418</t>
        </is>
      </c>
      <c r="D1422" s="78" t="n">
        <v>45878</v>
      </c>
      <c r="E1422" s="75" t="inlineStr">
        <is>
          <t>KR</t>
        </is>
      </c>
      <c r="F1422" s="75" t="n">
        <v>62201000</v>
      </c>
      <c r="G1422" s="75" t="n">
        <v>1701</v>
      </c>
      <c r="H1422" s="76" t="n">
        <v>5926000</v>
      </c>
      <c r="I1422" s="75" t="inlineStr">
        <is>
          <t>8월 통신요금 - O텔레콤</t>
        </is>
      </c>
      <c r="J1422" s="75" t="inlineStr">
        <is>
          <t>V10002</t>
        </is>
      </c>
      <c r="K1422" s="75" t="inlineStr">
        <is>
          <t>O텔레콤</t>
        </is>
      </c>
      <c r="M1422" s="9">
        <f>IF($A1422="","",VALUE($A1422&amp;"")*12+VALUE($B1422&amp;""))</f>
        <v/>
      </c>
      <c r="N1422" s="39">
        <f>IF($A1422="","",IFERROR(INDEX(부서매핑!$C$5:$C$504,MATCH($G1422&amp;"",부서매핑!$A$5:$A$504,0)),"미매핑"))</f>
        <v/>
      </c>
      <c r="O1422" s="9">
        <f>IF($A1422="","",N1422&amp;"|"&amp;$F1422)</f>
        <v/>
      </c>
      <c r="P1422" s="77">
        <f>IF($A1422="",0,$H1422*설정!$C$23)</f>
        <v/>
      </c>
      <c r="Q1422" s="39">
        <f>IF($A1422="","",IF(O1422&lt;&gt;원인분석!$C$9,"",IF(AND(M1422&gt;=원인분석!$C$10,M1422&lt;=원인분석!$C$11),"당기",IF(AND(M1422&gt;=원인분석!$C$12,M1422&lt;=원인분석!$C$13),"비교",""))))</f>
        <v/>
      </c>
      <c r="R1422" s="9">
        <f>IF(Q1422="","",$K1422&amp;"")</f>
        <v/>
      </c>
      <c r="S1422" s="9">
        <f>IF(Q1422="","",IF(MATCH(R1422,$R$5:$R$100000,0)=ROW()-4,ROW(),""))</f>
        <v/>
      </c>
      <c r="T1422" s="9">
        <f>IF(Q1422="당기",ABS(P1422)+ROW()/1000000000,"")</f>
        <v/>
      </c>
      <c r="U1422" s="9">
        <f>IF(Q1422="비교",ABS(P1422)+ROW()/1000000000,"")</f>
        <v/>
      </c>
      <c r="V1422" s="39">
        <f>IF($A1422="","",IF(COUNTIF(변동분석!$E$7:$E$506,O1422)&gt;0,"Y","N"))</f>
        <v/>
      </c>
      <c r="W1422" s="39">
        <f>IF($A1422="","",IFERROR(INDEX(계정매핑!$D$5:$D$504,MATCH($F1422&amp;"",계정매핑!$A$5:$A$504,0)),"미매핑"))</f>
        <v/>
      </c>
      <c r="X1422" s="9">
        <f>IF($A1422="","",$F1422&amp;"")</f>
        <v/>
      </c>
    </row>
    <row r="1423">
      <c r="A1423" s="75" t="n">
        <v>2025</v>
      </c>
      <c r="B1423" s="75" t="n">
        <v>8</v>
      </c>
      <c r="C1423" s="75" t="inlineStr">
        <is>
          <t>5100001419</t>
        </is>
      </c>
      <c r="D1423" s="78" t="n">
        <v>45878</v>
      </c>
      <c r="E1423" s="75" t="inlineStr">
        <is>
          <t>KR</t>
        </is>
      </c>
      <c r="F1423" s="75" t="n">
        <v>62301000</v>
      </c>
      <c r="G1423" s="75" t="n">
        <v>1501</v>
      </c>
      <c r="H1423" s="76" t="n">
        <v>251000</v>
      </c>
      <c r="I1423" s="75" t="inlineStr">
        <is>
          <t>8월 소모품 구입 - R문구</t>
        </is>
      </c>
      <c r="J1423" s="75" t="inlineStr">
        <is>
          <t>V10018</t>
        </is>
      </c>
      <c r="K1423" s="75" t="inlineStr">
        <is>
          <t>R문구</t>
        </is>
      </c>
      <c r="M1423" s="9">
        <f>IF($A1423="","",VALUE($A1423&amp;"")*12+VALUE($B1423&amp;""))</f>
        <v/>
      </c>
      <c r="N1423" s="39">
        <f>IF($A1423="","",IFERROR(INDEX(부서매핑!$C$5:$C$504,MATCH($G1423&amp;"",부서매핑!$A$5:$A$504,0)),"미매핑"))</f>
        <v/>
      </c>
      <c r="O1423" s="9">
        <f>IF($A1423="","",N1423&amp;"|"&amp;$F1423)</f>
        <v/>
      </c>
      <c r="P1423" s="77">
        <f>IF($A1423="",0,$H1423*설정!$C$23)</f>
        <v/>
      </c>
      <c r="Q1423" s="39">
        <f>IF($A1423="","",IF(O1423&lt;&gt;원인분석!$C$9,"",IF(AND(M1423&gt;=원인분석!$C$10,M1423&lt;=원인분석!$C$11),"당기",IF(AND(M1423&gt;=원인분석!$C$12,M1423&lt;=원인분석!$C$13),"비교",""))))</f>
        <v/>
      </c>
      <c r="R1423" s="9">
        <f>IF(Q1423="","",$K1423&amp;"")</f>
        <v/>
      </c>
      <c r="S1423" s="9">
        <f>IF(Q1423="","",IF(MATCH(R1423,$R$5:$R$100000,0)=ROW()-4,ROW(),""))</f>
        <v/>
      </c>
      <c r="T1423" s="9">
        <f>IF(Q1423="당기",ABS(P1423)+ROW()/1000000000,"")</f>
        <v/>
      </c>
      <c r="U1423" s="9">
        <f>IF(Q1423="비교",ABS(P1423)+ROW()/1000000000,"")</f>
        <v/>
      </c>
      <c r="V1423" s="39">
        <f>IF($A1423="","",IF(COUNTIF(변동분석!$E$7:$E$506,O1423)&gt;0,"Y","N"))</f>
        <v/>
      </c>
      <c r="W1423" s="39">
        <f>IF($A1423="","",IFERROR(INDEX(계정매핑!$D$5:$D$504,MATCH($F1423&amp;"",계정매핑!$A$5:$A$504,0)),"미매핑"))</f>
        <v/>
      </c>
      <c r="X1423" s="9">
        <f>IF($A1423="","",$F1423&amp;"")</f>
        <v/>
      </c>
    </row>
    <row r="1424">
      <c r="A1424" s="75" t="n">
        <v>2025</v>
      </c>
      <c r="B1424" s="75" t="n">
        <v>8</v>
      </c>
      <c r="C1424" s="75" t="inlineStr">
        <is>
          <t>5100001420</t>
        </is>
      </c>
      <c r="D1424" s="78" t="n">
        <v>45878</v>
      </c>
      <c r="E1424" s="75" t="inlineStr">
        <is>
          <t>KR</t>
        </is>
      </c>
      <c r="F1424" s="75" t="n">
        <v>62301000</v>
      </c>
      <c r="G1424" s="75" t="n">
        <v>1701</v>
      </c>
      <c r="H1424" s="76" t="n">
        <v>290000</v>
      </c>
      <c r="I1424" s="75" t="inlineStr">
        <is>
          <t>8월 소모품 구입 - Q오피스</t>
        </is>
      </c>
      <c r="J1424" s="75" t="inlineStr">
        <is>
          <t>V10003</t>
        </is>
      </c>
      <c r="K1424" s="75" t="inlineStr">
        <is>
          <t>Q오피스</t>
        </is>
      </c>
      <c r="M1424" s="9">
        <f>IF($A1424="","",VALUE($A1424&amp;"")*12+VALUE($B1424&amp;""))</f>
        <v/>
      </c>
      <c r="N1424" s="39">
        <f>IF($A1424="","",IFERROR(INDEX(부서매핑!$C$5:$C$504,MATCH($G1424&amp;"",부서매핑!$A$5:$A$504,0)),"미매핑"))</f>
        <v/>
      </c>
      <c r="O1424" s="9">
        <f>IF($A1424="","",N1424&amp;"|"&amp;$F1424)</f>
        <v/>
      </c>
      <c r="P1424" s="77">
        <f>IF($A1424="",0,$H1424*설정!$C$23)</f>
        <v/>
      </c>
      <c r="Q1424" s="39">
        <f>IF($A1424="","",IF(O1424&lt;&gt;원인분석!$C$9,"",IF(AND(M1424&gt;=원인분석!$C$10,M1424&lt;=원인분석!$C$11),"당기",IF(AND(M1424&gt;=원인분석!$C$12,M1424&lt;=원인분석!$C$13),"비교",""))))</f>
        <v/>
      </c>
      <c r="R1424" s="9">
        <f>IF(Q1424="","",$K1424&amp;"")</f>
        <v/>
      </c>
      <c r="S1424" s="9">
        <f>IF(Q1424="","",IF(MATCH(R1424,$R$5:$R$100000,0)=ROW()-4,ROW(),""))</f>
        <v/>
      </c>
      <c r="T1424" s="9">
        <f>IF(Q1424="당기",ABS(P1424)+ROW()/1000000000,"")</f>
        <v/>
      </c>
      <c r="U1424" s="9">
        <f>IF(Q1424="비교",ABS(P1424)+ROW()/1000000000,"")</f>
        <v/>
      </c>
      <c r="V1424" s="39">
        <f>IF($A1424="","",IF(COUNTIF(변동분석!$E$7:$E$506,O1424)&gt;0,"Y","N"))</f>
        <v/>
      </c>
      <c r="W1424" s="39">
        <f>IF($A1424="","",IFERROR(INDEX(계정매핑!$D$5:$D$504,MATCH($F1424&amp;"",계정매핑!$A$5:$A$504,0)),"미매핑"))</f>
        <v/>
      </c>
      <c r="X1424" s="9">
        <f>IF($A1424="","",$F1424&amp;"")</f>
        <v/>
      </c>
    </row>
    <row r="1425">
      <c r="A1425" s="75" t="n">
        <v>2025</v>
      </c>
      <c r="B1425" s="75" t="n">
        <v>8</v>
      </c>
      <c r="C1425" s="75" t="inlineStr">
        <is>
          <t>5100001421</t>
        </is>
      </c>
      <c r="D1425" s="78" t="n">
        <v>45878</v>
      </c>
      <c r="E1425" s="75" t="inlineStr">
        <is>
          <t>KR</t>
        </is>
      </c>
      <c r="F1425" s="75" t="n">
        <v>62401000</v>
      </c>
      <c r="G1425" s="75" t="n">
        <v>1401</v>
      </c>
      <c r="H1425" s="76" t="n">
        <v>266000</v>
      </c>
      <c r="I1425" s="75" t="inlineStr">
        <is>
          <t>8월 인쇄물 제작 - G인쇄</t>
        </is>
      </c>
      <c r="J1425" s="75" t="inlineStr">
        <is>
          <t>V10004</t>
        </is>
      </c>
      <c r="K1425" s="75" t="inlineStr">
        <is>
          <t>G인쇄</t>
        </is>
      </c>
      <c r="M1425" s="9">
        <f>IF($A1425="","",VALUE($A1425&amp;"")*12+VALUE($B1425&amp;""))</f>
        <v/>
      </c>
      <c r="N1425" s="39">
        <f>IF($A1425="","",IFERROR(INDEX(부서매핑!$C$5:$C$504,MATCH($G1425&amp;"",부서매핑!$A$5:$A$504,0)),"미매핑"))</f>
        <v/>
      </c>
      <c r="O1425" s="9">
        <f>IF($A1425="","",N1425&amp;"|"&amp;$F1425)</f>
        <v/>
      </c>
      <c r="P1425" s="77">
        <f>IF($A1425="",0,$H1425*설정!$C$23)</f>
        <v/>
      </c>
      <c r="Q1425" s="39">
        <f>IF($A1425="","",IF(O1425&lt;&gt;원인분석!$C$9,"",IF(AND(M1425&gt;=원인분석!$C$10,M1425&lt;=원인분석!$C$11),"당기",IF(AND(M1425&gt;=원인분석!$C$12,M1425&lt;=원인분석!$C$13),"비교",""))))</f>
        <v/>
      </c>
      <c r="R1425" s="9">
        <f>IF(Q1425="","",$K1425&amp;"")</f>
        <v/>
      </c>
      <c r="S1425" s="9">
        <f>IF(Q1425="","",IF(MATCH(R1425,$R$5:$R$100000,0)=ROW()-4,ROW(),""))</f>
        <v/>
      </c>
      <c r="T1425" s="9">
        <f>IF(Q1425="당기",ABS(P1425)+ROW()/1000000000,"")</f>
        <v/>
      </c>
      <c r="U1425" s="9">
        <f>IF(Q1425="비교",ABS(P1425)+ROW()/1000000000,"")</f>
        <v/>
      </c>
      <c r="V1425" s="39">
        <f>IF($A1425="","",IF(COUNTIF(변동분석!$E$7:$E$506,O1425)&gt;0,"Y","N"))</f>
        <v/>
      </c>
      <c r="W1425" s="39">
        <f>IF($A1425="","",IFERROR(INDEX(계정매핑!$D$5:$D$504,MATCH($F1425&amp;"",계정매핑!$A$5:$A$504,0)),"미매핑"))</f>
        <v/>
      </c>
      <c r="X1425" s="9">
        <f>IF($A1425="","",$F1425&amp;"")</f>
        <v/>
      </c>
    </row>
    <row r="1426">
      <c r="A1426" s="75" t="n">
        <v>2025</v>
      </c>
      <c r="B1426" s="75" t="n">
        <v>8</v>
      </c>
      <c r="C1426" s="75" t="inlineStr">
        <is>
          <t>5100001422</t>
        </is>
      </c>
      <c r="D1426" s="78" t="n">
        <v>45878</v>
      </c>
      <c r="E1426" s="75" t="inlineStr">
        <is>
          <t>KR</t>
        </is>
      </c>
      <c r="F1426" s="75" t="n">
        <v>62401000</v>
      </c>
      <c r="G1426" s="75" t="n">
        <v>1502</v>
      </c>
      <c r="H1426" s="76" t="n">
        <v>1520000</v>
      </c>
      <c r="I1426" s="75" t="inlineStr">
        <is>
          <t>8월 인쇄물 제작 - G인쇄</t>
        </is>
      </c>
      <c r="J1426" s="75" t="inlineStr">
        <is>
          <t>V10004</t>
        </is>
      </c>
      <c r="K1426" s="75" t="inlineStr">
        <is>
          <t>G인쇄</t>
        </is>
      </c>
      <c r="M1426" s="9">
        <f>IF($A1426="","",VALUE($A1426&amp;"")*12+VALUE($B1426&amp;""))</f>
        <v/>
      </c>
      <c r="N1426" s="39">
        <f>IF($A1426="","",IFERROR(INDEX(부서매핑!$C$5:$C$504,MATCH($G1426&amp;"",부서매핑!$A$5:$A$504,0)),"미매핑"))</f>
        <v/>
      </c>
      <c r="O1426" s="9">
        <f>IF($A1426="","",N1426&amp;"|"&amp;$F1426)</f>
        <v/>
      </c>
      <c r="P1426" s="77">
        <f>IF($A1426="",0,$H1426*설정!$C$23)</f>
        <v/>
      </c>
      <c r="Q1426" s="39">
        <f>IF($A1426="","",IF(O1426&lt;&gt;원인분석!$C$9,"",IF(AND(M1426&gt;=원인분석!$C$10,M1426&lt;=원인분석!$C$11),"당기",IF(AND(M1426&gt;=원인분석!$C$12,M1426&lt;=원인분석!$C$13),"비교",""))))</f>
        <v/>
      </c>
      <c r="R1426" s="9">
        <f>IF(Q1426="","",$K1426&amp;"")</f>
        <v/>
      </c>
      <c r="S1426" s="9">
        <f>IF(Q1426="","",IF(MATCH(R1426,$R$5:$R$100000,0)=ROW()-4,ROW(),""))</f>
        <v/>
      </c>
      <c r="T1426" s="9">
        <f>IF(Q1426="당기",ABS(P1426)+ROW()/1000000000,"")</f>
        <v/>
      </c>
      <c r="U1426" s="9">
        <f>IF(Q1426="비교",ABS(P1426)+ROW()/1000000000,"")</f>
        <v/>
      </c>
      <c r="V1426" s="39">
        <f>IF($A1426="","",IF(COUNTIF(변동분석!$E$7:$E$506,O1426)&gt;0,"Y","N"))</f>
        <v/>
      </c>
      <c r="W1426" s="39">
        <f>IF($A1426="","",IFERROR(INDEX(계정매핑!$D$5:$D$504,MATCH($F1426&amp;"",계정매핑!$A$5:$A$504,0)),"미매핑"))</f>
        <v/>
      </c>
      <c r="X1426" s="9">
        <f>IF($A1426="","",$F1426&amp;"")</f>
        <v/>
      </c>
    </row>
    <row r="1427">
      <c r="A1427" s="75" t="n">
        <v>2025</v>
      </c>
      <c r="B1427" s="75" t="n">
        <v>8</v>
      </c>
      <c r="C1427" s="75" t="inlineStr">
        <is>
          <t>5100001423</t>
        </is>
      </c>
      <c r="D1427" s="78" t="n">
        <v>45878</v>
      </c>
      <c r="E1427" s="75" t="inlineStr">
        <is>
          <t>KR</t>
        </is>
      </c>
      <c r="F1427" s="75" t="n">
        <v>62501000</v>
      </c>
      <c r="G1427" s="75" t="n">
        <v>1801</v>
      </c>
      <c r="H1427" s="76" t="n">
        <v>119000</v>
      </c>
      <c r="I1427" s="75" t="inlineStr">
        <is>
          <t>8월 회의 다과 - (법인카드)</t>
        </is>
      </c>
      <c r="J1427" s="75" t="inlineStr">
        <is>
          <t>V10008</t>
        </is>
      </c>
      <c r="K1427" s="75" t="inlineStr">
        <is>
          <t>(법인카드)</t>
        </is>
      </c>
      <c r="M1427" s="9">
        <f>IF($A1427="","",VALUE($A1427&amp;"")*12+VALUE($B1427&amp;""))</f>
        <v/>
      </c>
      <c r="N1427" s="39">
        <f>IF($A1427="","",IFERROR(INDEX(부서매핑!$C$5:$C$504,MATCH($G1427&amp;"",부서매핑!$A$5:$A$504,0)),"미매핑"))</f>
        <v/>
      </c>
      <c r="O1427" s="9">
        <f>IF($A1427="","",N1427&amp;"|"&amp;$F1427)</f>
        <v/>
      </c>
      <c r="P1427" s="77">
        <f>IF($A1427="",0,$H1427*설정!$C$23)</f>
        <v/>
      </c>
      <c r="Q1427" s="39">
        <f>IF($A1427="","",IF(O1427&lt;&gt;원인분석!$C$9,"",IF(AND(M1427&gt;=원인분석!$C$10,M1427&lt;=원인분석!$C$11),"당기",IF(AND(M1427&gt;=원인분석!$C$12,M1427&lt;=원인분석!$C$13),"비교",""))))</f>
        <v/>
      </c>
      <c r="R1427" s="9">
        <f>IF(Q1427="","",$K1427&amp;"")</f>
        <v/>
      </c>
      <c r="S1427" s="9">
        <f>IF(Q1427="","",IF(MATCH(R1427,$R$5:$R$100000,0)=ROW()-4,ROW(),""))</f>
        <v/>
      </c>
      <c r="T1427" s="9">
        <f>IF(Q1427="당기",ABS(P1427)+ROW()/1000000000,"")</f>
        <v/>
      </c>
      <c r="U1427" s="9">
        <f>IF(Q1427="비교",ABS(P1427)+ROW()/1000000000,"")</f>
        <v/>
      </c>
      <c r="V1427" s="39">
        <f>IF($A1427="","",IF(COUNTIF(변동분석!$E$7:$E$506,O1427)&gt;0,"Y","N"))</f>
        <v/>
      </c>
      <c r="W1427" s="39">
        <f>IF($A1427="","",IFERROR(INDEX(계정매핑!$D$5:$D$504,MATCH($F1427&amp;"",계정매핑!$A$5:$A$504,0)),"미매핑"))</f>
        <v/>
      </c>
      <c r="X1427" s="9">
        <f>IF($A1427="","",$F1427&amp;"")</f>
        <v/>
      </c>
    </row>
    <row r="1428">
      <c r="A1428" s="75" t="n">
        <v>2025</v>
      </c>
      <c r="B1428" s="75" t="n">
        <v>8</v>
      </c>
      <c r="C1428" s="75" t="inlineStr">
        <is>
          <t>5100001424</t>
        </is>
      </c>
      <c r="D1428" s="78" t="n">
        <v>45878</v>
      </c>
      <c r="E1428" s="75" t="inlineStr">
        <is>
          <t>KR</t>
        </is>
      </c>
      <c r="F1428" s="75" t="n">
        <v>62902000</v>
      </c>
      <c r="G1428" s="75" t="n">
        <v>1801</v>
      </c>
      <c r="H1428" s="76" t="n">
        <v>1776000</v>
      </c>
      <c r="I1428" s="75" t="inlineStr">
        <is>
          <t>8월 콜 위탁 수수료(건별)</t>
        </is>
      </c>
      <c r="J1428" s="75" t="inlineStr">
        <is>
          <t>V10013</t>
        </is>
      </c>
      <c r="K1428" s="75" t="inlineStr">
        <is>
          <t>J콜센터</t>
        </is>
      </c>
      <c r="M1428" s="9">
        <f>IF($A1428="","",VALUE($A1428&amp;"")*12+VALUE($B1428&amp;""))</f>
        <v/>
      </c>
      <c r="N1428" s="39">
        <f>IF($A1428="","",IFERROR(INDEX(부서매핑!$C$5:$C$504,MATCH($G1428&amp;"",부서매핑!$A$5:$A$504,0)),"미매핑"))</f>
        <v/>
      </c>
      <c r="O1428" s="9">
        <f>IF($A1428="","",N1428&amp;"|"&amp;$F1428)</f>
        <v/>
      </c>
      <c r="P1428" s="77">
        <f>IF($A1428="",0,$H1428*설정!$C$23)</f>
        <v/>
      </c>
      <c r="Q1428" s="39">
        <f>IF($A1428="","",IF(O1428&lt;&gt;원인분석!$C$9,"",IF(AND(M1428&gt;=원인분석!$C$10,M1428&lt;=원인분석!$C$11),"당기",IF(AND(M1428&gt;=원인분석!$C$12,M1428&lt;=원인분석!$C$13),"비교",""))))</f>
        <v/>
      </c>
      <c r="R1428" s="9">
        <f>IF(Q1428="","",$K1428&amp;"")</f>
        <v/>
      </c>
      <c r="S1428" s="9">
        <f>IF(Q1428="","",IF(MATCH(R1428,$R$5:$R$100000,0)=ROW()-4,ROW(),""))</f>
        <v/>
      </c>
      <c r="T1428" s="9">
        <f>IF(Q1428="당기",ABS(P1428)+ROW()/1000000000,"")</f>
        <v/>
      </c>
      <c r="U1428" s="9">
        <f>IF(Q1428="비교",ABS(P1428)+ROW()/1000000000,"")</f>
        <v/>
      </c>
      <c r="V1428" s="39">
        <f>IF($A1428="","",IF(COUNTIF(변동분석!$E$7:$E$506,O1428)&gt;0,"Y","N"))</f>
        <v/>
      </c>
      <c r="W1428" s="39">
        <f>IF($A1428="","",IFERROR(INDEX(계정매핑!$D$5:$D$504,MATCH($F1428&amp;"",계정매핑!$A$5:$A$504,0)),"미매핑"))</f>
        <v/>
      </c>
      <c r="X1428" s="9">
        <f>IF($A1428="","",$F1428&amp;"")</f>
        <v/>
      </c>
    </row>
    <row r="1429">
      <c r="A1429" s="75" t="n">
        <v>2025</v>
      </c>
      <c r="B1429" s="75" t="n">
        <v>8</v>
      </c>
      <c r="C1429" s="75" t="inlineStr">
        <is>
          <t>5100001425</t>
        </is>
      </c>
      <c r="D1429" s="78" t="n">
        <v>45879</v>
      </c>
      <c r="E1429" s="75" t="inlineStr">
        <is>
          <t>KR</t>
        </is>
      </c>
      <c r="F1429" s="75" t="n">
        <v>62201000</v>
      </c>
      <c r="G1429" s="75" t="n">
        <v>1201</v>
      </c>
      <c r="H1429" s="76" t="n">
        <v>103000</v>
      </c>
      <c r="I1429" s="75" t="inlineStr">
        <is>
          <t>8월 통신요금 - P통신</t>
        </is>
      </c>
      <c r="J1429" s="75" t="inlineStr">
        <is>
          <t>V10011</t>
        </is>
      </c>
      <c r="K1429" s="75" t="inlineStr">
        <is>
          <t>P통신</t>
        </is>
      </c>
      <c r="M1429" s="9">
        <f>IF($A1429="","",VALUE($A1429&amp;"")*12+VALUE($B1429&amp;""))</f>
        <v/>
      </c>
      <c r="N1429" s="39">
        <f>IF($A1429="","",IFERROR(INDEX(부서매핑!$C$5:$C$504,MATCH($G1429&amp;"",부서매핑!$A$5:$A$504,0)),"미매핑"))</f>
        <v/>
      </c>
      <c r="O1429" s="9">
        <f>IF($A1429="","",N1429&amp;"|"&amp;$F1429)</f>
        <v/>
      </c>
      <c r="P1429" s="77">
        <f>IF($A1429="",0,$H1429*설정!$C$23)</f>
        <v/>
      </c>
      <c r="Q1429" s="39">
        <f>IF($A1429="","",IF(O1429&lt;&gt;원인분석!$C$9,"",IF(AND(M1429&gt;=원인분석!$C$10,M1429&lt;=원인분석!$C$11),"당기",IF(AND(M1429&gt;=원인분석!$C$12,M1429&lt;=원인분석!$C$13),"비교",""))))</f>
        <v/>
      </c>
      <c r="R1429" s="9">
        <f>IF(Q1429="","",$K1429&amp;"")</f>
        <v/>
      </c>
      <c r="S1429" s="9">
        <f>IF(Q1429="","",IF(MATCH(R1429,$R$5:$R$100000,0)=ROW()-4,ROW(),""))</f>
        <v/>
      </c>
      <c r="T1429" s="9">
        <f>IF(Q1429="당기",ABS(P1429)+ROW()/1000000000,"")</f>
        <v/>
      </c>
      <c r="U1429" s="9">
        <f>IF(Q1429="비교",ABS(P1429)+ROW()/1000000000,"")</f>
        <v/>
      </c>
      <c r="V1429" s="39">
        <f>IF($A1429="","",IF(COUNTIF(변동분석!$E$7:$E$506,O1429)&gt;0,"Y","N"))</f>
        <v/>
      </c>
      <c r="W1429" s="39">
        <f>IF($A1429="","",IFERROR(INDEX(계정매핑!$D$5:$D$504,MATCH($F1429&amp;"",계정매핑!$A$5:$A$504,0)),"미매핑"))</f>
        <v/>
      </c>
      <c r="X1429" s="9">
        <f>IF($A1429="","",$F1429&amp;"")</f>
        <v/>
      </c>
    </row>
    <row r="1430">
      <c r="A1430" s="75" t="n">
        <v>2025</v>
      </c>
      <c r="B1430" s="75" t="n">
        <v>8</v>
      </c>
      <c r="C1430" s="75" t="inlineStr">
        <is>
          <t>5100001426</t>
        </is>
      </c>
      <c r="D1430" s="78" t="n">
        <v>45879</v>
      </c>
      <c r="E1430" s="75" t="inlineStr">
        <is>
          <t>KR</t>
        </is>
      </c>
      <c r="F1430" s="75" t="n">
        <v>62201000</v>
      </c>
      <c r="G1430" s="75" t="n">
        <v>1401</v>
      </c>
      <c r="H1430" s="76" t="n">
        <v>162000</v>
      </c>
      <c r="I1430" s="75" t="inlineStr">
        <is>
          <t>8월 통신요금 - O텔레콤</t>
        </is>
      </c>
      <c r="J1430" s="75" t="inlineStr">
        <is>
          <t>V10002</t>
        </is>
      </c>
      <c r="K1430" s="75" t="inlineStr">
        <is>
          <t>O텔레콤</t>
        </is>
      </c>
      <c r="M1430" s="9">
        <f>IF($A1430="","",VALUE($A1430&amp;"")*12+VALUE($B1430&amp;""))</f>
        <v/>
      </c>
      <c r="N1430" s="39">
        <f>IF($A1430="","",IFERROR(INDEX(부서매핑!$C$5:$C$504,MATCH($G1430&amp;"",부서매핑!$A$5:$A$504,0)),"미매핑"))</f>
        <v/>
      </c>
      <c r="O1430" s="9">
        <f>IF($A1430="","",N1430&amp;"|"&amp;$F1430)</f>
        <v/>
      </c>
      <c r="P1430" s="77">
        <f>IF($A1430="",0,$H1430*설정!$C$23)</f>
        <v/>
      </c>
      <c r="Q1430" s="39">
        <f>IF($A1430="","",IF(O1430&lt;&gt;원인분석!$C$9,"",IF(AND(M1430&gt;=원인분석!$C$10,M1430&lt;=원인분석!$C$11),"당기",IF(AND(M1430&gt;=원인분석!$C$12,M1430&lt;=원인분석!$C$13),"비교",""))))</f>
        <v/>
      </c>
      <c r="R1430" s="9">
        <f>IF(Q1430="","",$K1430&amp;"")</f>
        <v/>
      </c>
      <c r="S1430" s="9">
        <f>IF(Q1430="","",IF(MATCH(R1430,$R$5:$R$100000,0)=ROW()-4,ROW(),""))</f>
        <v/>
      </c>
      <c r="T1430" s="9">
        <f>IF(Q1430="당기",ABS(P1430)+ROW()/1000000000,"")</f>
        <v/>
      </c>
      <c r="U1430" s="9">
        <f>IF(Q1430="비교",ABS(P1430)+ROW()/1000000000,"")</f>
        <v/>
      </c>
      <c r="V1430" s="39">
        <f>IF($A1430="","",IF(COUNTIF(변동분석!$E$7:$E$506,O1430)&gt;0,"Y","N"))</f>
        <v/>
      </c>
      <c r="W1430" s="39">
        <f>IF($A1430="","",IFERROR(INDEX(계정매핑!$D$5:$D$504,MATCH($F1430&amp;"",계정매핑!$A$5:$A$504,0)),"미매핑"))</f>
        <v/>
      </c>
      <c r="X1430" s="9">
        <f>IF($A1430="","",$F1430&amp;"")</f>
        <v/>
      </c>
    </row>
    <row r="1431">
      <c r="A1431" s="75" t="n">
        <v>2025</v>
      </c>
      <c r="B1431" s="75" t="n">
        <v>8</v>
      </c>
      <c r="C1431" s="75" t="inlineStr">
        <is>
          <t>5100001427</t>
        </is>
      </c>
      <c r="D1431" s="78" t="n">
        <v>45879</v>
      </c>
      <c r="E1431" s="75" t="inlineStr">
        <is>
          <t>KR</t>
        </is>
      </c>
      <c r="F1431" s="75" t="n">
        <v>62201000</v>
      </c>
      <c r="G1431" s="75" t="n">
        <v>1401</v>
      </c>
      <c r="H1431" s="76" t="n">
        <v>148000</v>
      </c>
      <c r="I1431" s="75" t="inlineStr">
        <is>
          <t>8월 통신요금 - P통신</t>
        </is>
      </c>
      <c r="J1431" s="75" t="inlineStr">
        <is>
          <t>V10011</t>
        </is>
      </c>
      <c r="K1431" s="75" t="inlineStr">
        <is>
          <t>P통신</t>
        </is>
      </c>
      <c r="M1431" s="9">
        <f>IF($A1431="","",VALUE($A1431&amp;"")*12+VALUE($B1431&amp;""))</f>
        <v/>
      </c>
      <c r="N1431" s="39">
        <f>IF($A1431="","",IFERROR(INDEX(부서매핑!$C$5:$C$504,MATCH($G1431&amp;"",부서매핑!$A$5:$A$504,0)),"미매핑"))</f>
        <v/>
      </c>
      <c r="O1431" s="9">
        <f>IF($A1431="","",N1431&amp;"|"&amp;$F1431)</f>
        <v/>
      </c>
      <c r="P1431" s="77">
        <f>IF($A1431="",0,$H1431*설정!$C$23)</f>
        <v/>
      </c>
      <c r="Q1431" s="39">
        <f>IF($A1431="","",IF(O1431&lt;&gt;원인분석!$C$9,"",IF(AND(M1431&gt;=원인분석!$C$10,M1431&lt;=원인분석!$C$11),"당기",IF(AND(M1431&gt;=원인분석!$C$12,M1431&lt;=원인분석!$C$13),"비교",""))))</f>
        <v/>
      </c>
      <c r="R1431" s="9">
        <f>IF(Q1431="","",$K1431&amp;"")</f>
        <v/>
      </c>
      <c r="S1431" s="9">
        <f>IF(Q1431="","",IF(MATCH(R1431,$R$5:$R$100000,0)=ROW()-4,ROW(),""))</f>
        <v/>
      </c>
      <c r="T1431" s="9">
        <f>IF(Q1431="당기",ABS(P1431)+ROW()/1000000000,"")</f>
        <v/>
      </c>
      <c r="U1431" s="9">
        <f>IF(Q1431="비교",ABS(P1431)+ROW()/1000000000,"")</f>
        <v/>
      </c>
      <c r="V1431" s="39">
        <f>IF($A1431="","",IF(COUNTIF(변동분석!$E$7:$E$506,O1431)&gt;0,"Y","N"))</f>
        <v/>
      </c>
      <c r="W1431" s="39">
        <f>IF($A1431="","",IFERROR(INDEX(계정매핑!$D$5:$D$504,MATCH($F1431&amp;"",계정매핑!$A$5:$A$504,0)),"미매핑"))</f>
        <v/>
      </c>
      <c r="X1431" s="9">
        <f>IF($A1431="","",$F1431&amp;"")</f>
        <v/>
      </c>
    </row>
    <row r="1432">
      <c r="A1432" s="75" t="n">
        <v>2025</v>
      </c>
      <c r="B1432" s="75" t="n">
        <v>8</v>
      </c>
      <c r="C1432" s="75" t="inlineStr">
        <is>
          <t>5100001428</t>
        </is>
      </c>
      <c r="D1432" s="78" t="n">
        <v>45879</v>
      </c>
      <c r="E1432" s="75" t="inlineStr">
        <is>
          <t>KR</t>
        </is>
      </c>
      <c r="F1432" s="75" t="n">
        <v>62301000</v>
      </c>
      <c r="G1432" s="75" t="n">
        <v>1201</v>
      </c>
      <c r="H1432" s="76" t="n">
        <v>131000</v>
      </c>
      <c r="I1432" s="75" t="inlineStr">
        <is>
          <t>8월 소모품 구입 - R문구</t>
        </is>
      </c>
      <c r="J1432" s="75" t="inlineStr">
        <is>
          <t>V10018</t>
        </is>
      </c>
      <c r="K1432" s="75" t="inlineStr">
        <is>
          <t>R문구</t>
        </is>
      </c>
      <c r="M1432" s="9">
        <f>IF($A1432="","",VALUE($A1432&amp;"")*12+VALUE($B1432&amp;""))</f>
        <v/>
      </c>
      <c r="N1432" s="39">
        <f>IF($A1432="","",IFERROR(INDEX(부서매핑!$C$5:$C$504,MATCH($G1432&amp;"",부서매핑!$A$5:$A$504,0)),"미매핑"))</f>
        <v/>
      </c>
      <c r="O1432" s="9">
        <f>IF($A1432="","",N1432&amp;"|"&amp;$F1432)</f>
        <v/>
      </c>
      <c r="P1432" s="77">
        <f>IF($A1432="",0,$H1432*설정!$C$23)</f>
        <v/>
      </c>
      <c r="Q1432" s="39">
        <f>IF($A1432="","",IF(O1432&lt;&gt;원인분석!$C$9,"",IF(AND(M1432&gt;=원인분석!$C$10,M1432&lt;=원인분석!$C$11),"당기",IF(AND(M1432&gt;=원인분석!$C$12,M1432&lt;=원인분석!$C$13),"비교",""))))</f>
        <v/>
      </c>
      <c r="R1432" s="9">
        <f>IF(Q1432="","",$K1432&amp;"")</f>
        <v/>
      </c>
      <c r="S1432" s="9">
        <f>IF(Q1432="","",IF(MATCH(R1432,$R$5:$R$100000,0)=ROW()-4,ROW(),""))</f>
        <v/>
      </c>
      <c r="T1432" s="9">
        <f>IF(Q1432="당기",ABS(P1432)+ROW()/1000000000,"")</f>
        <v/>
      </c>
      <c r="U1432" s="9">
        <f>IF(Q1432="비교",ABS(P1432)+ROW()/1000000000,"")</f>
        <v/>
      </c>
      <c r="V1432" s="39">
        <f>IF($A1432="","",IF(COUNTIF(변동분석!$E$7:$E$506,O1432)&gt;0,"Y","N"))</f>
        <v/>
      </c>
      <c r="W1432" s="39">
        <f>IF($A1432="","",IFERROR(INDEX(계정매핑!$D$5:$D$504,MATCH($F1432&amp;"",계정매핑!$A$5:$A$504,0)),"미매핑"))</f>
        <v/>
      </c>
      <c r="X1432" s="9">
        <f>IF($A1432="","",$F1432&amp;"")</f>
        <v/>
      </c>
    </row>
    <row r="1433">
      <c r="A1433" s="75" t="n">
        <v>2025</v>
      </c>
      <c r="B1433" s="75" t="n">
        <v>8</v>
      </c>
      <c r="C1433" s="75" t="inlineStr">
        <is>
          <t>5100001429</t>
        </is>
      </c>
      <c r="D1433" s="78" t="n">
        <v>45879</v>
      </c>
      <c r="E1433" s="75" t="inlineStr">
        <is>
          <t>KR</t>
        </is>
      </c>
      <c r="F1433" s="75" t="n">
        <v>62301000</v>
      </c>
      <c r="G1433" s="75" t="n">
        <v>1301</v>
      </c>
      <c r="H1433" s="76" t="n">
        <v>177000</v>
      </c>
      <c r="I1433" s="75" t="inlineStr">
        <is>
          <t>8월 소모품 구입 - Q오피스</t>
        </is>
      </c>
      <c r="J1433" s="75" t="inlineStr">
        <is>
          <t>V10003</t>
        </is>
      </c>
      <c r="K1433" s="75" t="inlineStr">
        <is>
          <t>Q오피스</t>
        </is>
      </c>
      <c r="M1433" s="9">
        <f>IF($A1433="","",VALUE($A1433&amp;"")*12+VALUE($B1433&amp;""))</f>
        <v/>
      </c>
      <c r="N1433" s="39">
        <f>IF($A1433="","",IFERROR(INDEX(부서매핑!$C$5:$C$504,MATCH($G1433&amp;"",부서매핑!$A$5:$A$504,0)),"미매핑"))</f>
        <v/>
      </c>
      <c r="O1433" s="9">
        <f>IF($A1433="","",N1433&amp;"|"&amp;$F1433)</f>
        <v/>
      </c>
      <c r="P1433" s="77">
        <f>IF($A1433="",0,$H1433*설정!$C$23)</f>
        <v/>
      </c>
      <c r="Q1433" s="39">
        <f>IF($A1433="","",IF(O1433&lt;&gt;원인분석!$C$9,"",IF(AND(M1433&gt;=원인분석!$C$10,M1433&lt;=원인분석!$C$11),"당기",IF(AND(M1433&gt;=원인분석!$C$12,M1433&lt;=원인분석!$C$13),"비교",""))))</f>
        <v/>
      </c>
      <c r="R1433" s="9">
        <f>IF(Q1433="","",$K1433&amp;"")</f>
        <v/>
      </c>
      <c r="S1433" s="9">
        <f>IF(Q1433="","",IF(MATCH(R1433,$R$5:$R$100000,0)=ROW()-4,ROW(),""))</f>
        <v/>
      </c>
      <c r="T1433" s="9">
        <f>IF(Q1433="당기",ABS(P1433)+ROW()/1000000000,"")</f>
        <v/>
      </c>
      <c r="U1433" s="9">
        <f>IF(Q1433="비교",ABS(P1433)+ROW()/1000000000,"")</f>
        <v/>
      </c>
      <c r="V1433" s="39">
        <f>IF($A1433="","",IF(COUNTIF(변동분석!$E$7:$E$506,O1433)&gt;0,"Y","N"))</f>
        <v/>
      </c>
      <c r="W1433" s="39">
        <f>IF($A1433="","",IFERROR(INDEX(계정매핑!$D$5:$D$504,MATCH($F1433&amp;"",계정매핑!$A$5:$A$504,0)),"미매핑"))</f>
        <v/>
      </c>
      <c r="X1433" s="9">
        <f>IF($A1433="","",$F1433&amp;"")</f>
        <v/>
      </c>
    </row>
    <row r="1434">
      <c r="A1434" s="75" t="n">
        <v>2025</v>
      </c>
      <c r="B1434" s="75" t="n">
        <v>8</v>
      </c>
      <c r="C1434" s="75" t="inlineStr">
        <is>
          <t>5100001430</t>
        </is>
      </c>
      <c r="D1434" s="78" t="n">
        <v>45879</v>
      </c>
      <c r="E1434" s="75" t="inlineStr">
        <is>
          <t>KR</t>
        </is>
      </c>
      <c r="F1434" s="75" t="n">
        <v>62301000</v>
      </c>
      <c r="G1434" s="75" t="n">
        <v>1701</v>
      </c>
      <c r="H1434" s="76" t="n">
        <v>213000</v>
      </c>
      <c r="I1434" s="75" t="inlineStr">
        <is>
          <t>8월 소모품 구입 - Q오피스</t>
        </is>
      </c>
      <c r="J1434" s="75" t="inlineStr">
        <is>
          <t>V10003</t>
        </is>
      </c>
      <c r="K1434" s="75" t="inlineStr">
        <is>
          <t>Q오피스</t>
        </is>
      </c>
      <c r="M1434" s="9">
        <f>IF($A1434="","",VALUE($A1434&amp;"")*12+VALUE($B1434&amp;""))</f>
        <v/>
      </c>
      <c r="N1434" s="39">
        <f>IF($A1434="","",IFERROR(INDEX(부서매핑!$C$5:$C$504,MATCH($G1434&amp;"",부서매핑!$A$5:$A$504,0)),"미매핑"))</f>
        <v/>
      </c>
      <c r="O1434" s="9">
        <f>IF($A1434="","",N1434&amp;"|"&amp;$F1434)</f>
        <v/>
      </c>
      <c r="P1434" s="77">
        <f>IF($A1434="",0,$H1434*설정!$C$23)</f>
        <v/>
      </c>
      <c r="Q1434" s="39">
        <f>IF($A1434="","",IF(O1434&lt;&gt;원인분석!$C$9,"",IF(AND(M1434&gt;=원인분석!$C$10,M1434&lt;=원인분석!$C$11),"당기",IF(AND(M1434&gt;=원인분석!$C$12,M1434&lt;=원인분석!$C$13),"비교",""))))</f>
        <v/>
      </c>
      <c r="R1434" s="9">
        <f>IF(Q1434="","",$K1434&amp;"")</f>
        <v/>
      </c>
      <c r="S1434" s="9">
        <f>IF(Q1434="","",IF(MATCH(R1434,$R$5:$R$100000,0)=ROW()-4,ROW(),""))</f>
        <v/>
      </c>
      <c r="T1434" s="9">
        <f>IF(Q1434="당기",ABS(P1434)+ROW()/1000000000,"")</f>
        <v/>
      </c>
      <c r="U1434" s="9">
        <f>IF(Q1434="비교",ABS(P1434)+ROW()/1000000000,"")</f>
        <v/>
      </c>
      <c r="V1434" s="39">
        <f>IF($A1434="","",IF(COUNTIF(변동분석!$E$7:$E$506,O1434)&gt;0,"Y","N"))</f>
        <v/>
      </c>
      <c r="W1434" s="39">
        <f>IF($A1434="","",IFERROR(INDEX(계정매핑!$D$5:$D$504,MATCH($F1434&amp;"",계정매핑!$A$5:$A$504,0)),"미매핑"))</f>
        <v/>
      </c>
      <c r="X1434" s="9">
        <f>IF($A1434="","",$F1434&amp;"")</f>
        <v/>
      </c>
    </row>
    <row r="1435">
      <c r="A1435" s="75" t="n">
        <v>2025</v>
      </c>
      <c r="B1435" s="75" t="n">
        <v>8</v>
      </c>
      <c r="C1435" s="75" t="inlineStr">
        <is>
          <t>5100001431</t>
        </is>
      </c>
      <c r="D1435" s="78" t="n">
        <v>45879</v>
      </c>
      <c r="E1435" s="75" t="inlineStr">
        <is>
          <t>KR</t>
        </is>
      </c>
      <c r="F1435" s="75" t="n">
        <v>62501000</v>
      </c>
      <c r="G1435" s="75" t="n">
        <v>1201</v>
      </c>
      <c r="H1435" s="76" t="n">
        <v>86000</v>
      </c>
      <c r="I1435" s="75" t="inlineStr">
        <is>
          <t>8월 회의 다과 - (법인카드)</t>
        </is>
      </c>
      <c r="J1435" s="75" t="inlineStr">
        <is>
          <t>V10008</t>
        </is>
      </c>
      <c r="K1435" s="75" t="inlineStr">
        <is>
          <t>(법인카드)</t>
        </is>
      </c>
      <c r="M1435" s="9">
        <f>IF($A1435="","",VALUE($A1435&amp;"")*12+VALUE($B1435&amp;""))</f>
        <v/>
      </c>
      <c r="N1435" s="39">
        <f>IF($A1435="","",IFERROR(INDEX(부서매핑!$C$5:$C$504,MATCH($G1435&amp;"",부서매핑!$A$5:$A$504,0)),"미매핑"))</f>
        <v/>
      </c>
      <c r="O1435" s="9">
        <f>IF($A1435="","",N1435&amp;"|"&amp;$F1435)</f>
        <v/>
      </c>
      <c r="P1435" s="77">
        <f>IF($A1435="",0,$H1435*설정!$C$23)</f>
        <v/>
      </c>
      <c r="Q1435" s="39">
        <f>IF($A1435="","",IF(O1435&lt;&gt;원인분석!$C$9,"",IF(AND(M1435&gt;=원인분석!$C$10,M1435&lt;=원인분석!$C$11),"당기",IF(AND(M1435&gt;=원인분석!$C$12,M1435&lt;=원인분석!$C$13),"비교",""))))</f>
        <v/>
      </c>
      <c r="R1435" s="9">
        <f>IF(Q1435="","",$K1435&amp;"")</f>
        <v/>
      </c>
      <c r="S1435" s="9">
        <f>IF(Q1435="","",IF(MATCH(R1435,$R$5:$R$100000,0)=ROW()-4,ROW(),""))</f>
        <v/>
      </c>
      <c r="T1435" s="9">
        <f>IF(Q1435="당기",ABS(P1435)+ROW()/1000000000,"")</f>
        <v/>
      </c>
      <c r="U1435" s="9">
        <f>IF(Q1435="비교",ABS(P1435)+ROW()/1000000000,"")</f>
        <v/>
      </c>
      <c r="V1435" s="39">
        <f>IF($A1435="","",IF(COUNTIF(변동분석!$E$7:$E$506,O1435)&gt;0,"Y","N"))</f>
        <v/>
      </c>
      <c r="W1435" s="39">
        <f>IF($A1435="","",IFERROR(INDEX(계정매핑!$D$5:$D$504,MATCH($F1435&amp;"",계정매핑!$A$5:$A$504,0)),"미매핑"))</f>
        <v/>
      </c>
      <c r="X1435" s="9">
        <f>IF($A1435="","",$F1435&amp;"")</f>
        <v/>
      </c>
    </row>
    <row r="1436">
      <c r="A1436" s="75" t="n">
        <v>2025</v>
      </c>
      <c r="B1436" s="75" t="n">
        <v>8</v>
      </c>
      <c r="C1436" s="75" t="inlineStr">
        <is>
          <t>5100001432</t>
        </is>
      </c>
      <c r="D1436" s="78" t="n">
        <v>45880</v>
      </c>
      <c r="E1436" s="75" t="inlineStr">
        <is>
          <t>KR</t>
        </is>
      </c>
      <c r="F1436" s="75" t="n">
        <v>62101000</v>
      </c>
      <c r="G1436" s="75" t="n">
        <v>1301</v>
      </c>
      <c r="H1436" s="76" t="n">
        <v>317000</v>
      </c>
      <c r="I1436" s="75" t="inlineStr">
        <is>
          <t>8월 국내출장 - L여행사</t>
        </is>
      </c>
      <c r="J1436" s="75" t="inlineStr">
        <is>
          <t>V10014</t>
        </is>
      </c>
      <c r="K1436" s="75" t="inlineStr">
        <is>
          <t>L여행사</t>
        </is>
      </c>
      <c r="M1436" s="9">
        <f>IF($A1436="","",VALUE($A1436&amp;"")*12+VALUE($B1436&amp;""))</f>
        <v/>
      </c>
      <c r="N1436" s="39">
        <f>IF($A1436="","",IFERROR(INDEX(부서매핑!$C$5:$C$504,MATCH($G1436&amp;"",부서매핑!$A$5:$A$504,0)),"미매핑"))</f>
        <v/>
      </c>
      <c r="O1436" s="9">
        <f>IF($A1436="","",N1436&amp;"|"&amp;$F1436)</f>
        <v/>
      </c>
      <c r="P1436" s="77">
        <f>IF($A1436="",0,$H1436*설정!$C$23)</f>
        <v/>
      </c>
      <c r="Q1436" s="39">
        <f>IF($A1436="","",IF(O1436&lt;&gt;원인분석!$C$9,"",IF(AND(M1436&gt;=원인분석!$C$10,M1436&lt;=원인분석!$C$11),"당기",IF(AND(M1436&gt;=원인분석!$C$12,M1436&lt;=원인분석!$C$13),"비교",""))))</f>
        <v/>
      </c>
      <c r="R1436" s="9">
        <f>IF(Q1436="","",$K1436&amp;"")</f>
        <v/>
      </c>
      <c r="S1436" s="9">
        <f>IF(Q1436="","",IF(MATCH(R1436,$R$5:$R$100000,0)=ROW()-4,ROW(),""))</f>
        <v/>
      </c>
      <c r="T1436" s="9">
        <f>IF(Q1436="당기",ABS(P1436)+ROW()/1000000000,"")</f>
        <v/>
      </c>
      <c r="U1436" s="9">
        <f>IF(Q1436="비교",ABS(P1436)+ROW()/1000000000,"")</f>
        <v/>
      </c>
      <c r="V1436" s="39">
        <f>IF($A1436="","",IF(COUNTIF(변동분석!$E$7:$E$506,O1436)&gt;0,"Y","N"))</f>
        <v/>
      </c>
      <c r="W1436" s="39">
        <f>IF($A1436="","",IFERROR(INDEX(계정매핑!$D$5:$D$504,MATCH($F1436&amp;"",계정매핑!$A$5:$A$504,0)),"미매핑"))</f>
        <v/>
      </c>
      <c r="X1436" s="9">
        <f>IF($A1436="","",$F1436&amp;"")</f>
        <v/>
      </c>
    </row>
    <row r="1437">
      <c r="A1437" s="75" t="n">
        <v>2025</v>
      </c>
      <c r="B1437" s="75" t="n">
        <v>8</v>
      </c>
      <c r="C1437" s="75" t="inlineStr">
        <is>
          <t>5100001433</t>
        </is>
      </c>
      <c r="D1437" s="78" t="n">
        <v>45880</v>
      </c>
      <c r="E1437" s="75" t="inlineStr">
        <is>
          <t>KR</t>
        </is>
      </c>
      <c r="F1437" s="75" t="n">
        <v>62101000</v>
      </c>
      <c r="G1437" s="75" t="n">
        <v>1401</v>
      </c>
      <c r="H1437" s="76" t="n">
        <v>544000</v>
      </c>
      <c r="I1437" s="75" t="inlineStr">
        <is>
          <t>8월 국내출장 - (법인카드)</t>
        </is>
      </c>
      <c r="J1437" s="75" t="inlineStr">
        <is>
          <t>V10008</t>
        </is>
      </c>
      <c r="K1437" s="75" t="inlineStr">
        <is>
          <t>(법인카드)</t>
        </is>
      </c>
      <c r="M1437" s="9">
        <f>IF($A1437="","",VALUE($A1437&amp;"")*12+VALUE($B1437&amp;""))</f>
        <v/>
      </c>
      <c r="N1437" s="39">
        <f>IF($A1437="","",IFERROR(INDEX(부서매핑!$C$5:$C$504,MATCH($G1437&amp;"",부서매핑!$A$5:$A$504,0)),"미매핑"))</f>
        <v/>
      </c>
      <c r="O1437" s="9">
        <f>IF($A1437="","",N1437&amp;"|"&amp;$F1437)</f>
        <v/>
      </c>
      <c r="P1437" s="77">
        <f>IF($A1437="",0,$H1437*설정!$C$23)</f>
        <v/>
      </c>
      <c r="Q1437" s="39">
        <f>IF($A1437="","",IF(O1437&lt;&gt;원인분석!$C$9,"",IF(AND(M1437&gt;=원인분석!$C$10,M1437&lt;=원인분석!$C$11),"당기",IF(AND(M1437&gt;=원인분석!$C$12,M1437&lt;=원인분석!$C$13),"비교",""))))</f>
        <v/>
      </c>
      <c r="R1437" s="9">
        <f>IF(Q1437="","",$K1437&amp;"")</f>
        <v/>
      </c>
      <c r="S1437" s="9">
        <f>IF(Q1437="","",IF(MATCH(R1437,$R$5:$R$100000,0)=ROW()-4,ROW(),""))</f>
        <v/>
      </c>
      <c r="T1437" s="9">
        <f>IF(Q1437="당기",ABS(P1437)+ROW()/1000000000,"")</f>
        <v/>
      </c>
      <c r="U1437" s="9">
        <f>IF(Q1437="비교",ABS(P1437)+ROW()/1000000000,"")</f>
        <v/>
      </c>
      <c r="V1437" s="39">
        <f>IF($A1437="","",IF(COUNTIF(변동분석!$E$7:$E$506,O1437)&gt;0,"Y","N"))</f>
        <v/>
      </c>
      <c r="W1437" s="39">
        <f>IF($A1437="","",IFERROR(INDEX(계정매핑!$D$5:$D$504,MATCH($F1437&amp;"",계정매핑!$A$5:$A$504,0)),"미매핑"))</f>
        <v/>
      </c>
      <c r="X1437" s="9">
        <f>IF($A1437="","",$F1437&amp;"")</f>
        <v/>
      </c>
    </row>
    <row r="1438">
      <c r="A1438" s="75" t="n">
        <v>2025</v>
      </c>
      <c r="B1438" s="75" t="n">
        <v>8</v>
      </c>
      <c r="C1438" s="75" t="inlineStr">
        <is>
          <t>5100001434</t>
        </is>
      </c>
      <c r="D1438" s="78" t="n">
        <v>45880</v>
      </c>
      <c r="E1438" s="75" t="inlineStr">
        <is>
          <t>KR</t>
        </is>
      </c>
      <c r="F1438" s="75" t="n">
        <v>62101000</v>
      </c>
      <c r="G1438" s="75" t="n">
        <v>1701</v>
      </c>
      <c r="H1438" s="76" t="n">
        <v>243000</v>
      </c>
      <c r="I1438" s="75" t="inlineStr">
        <is>
          <t>8월 국내출장 - L여행사</t>
        </is>
      </c>
      <c r="J1438" s="75" t="inlineStr">
        <is>
          <t>V10014</t>
        </is>
      </c>
      <c r="K1438" s="75" t="inlineStr">
        <is>
          <t>L여행사</t>
        </is>
      </c>
      <c r="M1438" s="9">
        <f>IF($A1438="","",VALUE($A1438&amp;"")*12+VALUE($B1438&amp;""))</f>
        <v/>
      </c>
      <c r="N1438" s="39">
        <f>IF($A1438="","",IFERROR(INDEX(부서매핑!$C$5:$C$504,MATCH($G1438&amp;"",부서매핑!$A$5:$A$504,0)),"미매핑"))</f>
        <v/>
      </c>
      <c r="O1438" s="9">
        <f>IF($A1438="","",N1438&amp;"|"&amp;$F1438)</f>
        <v/>
      </c>
      <c r="P1438" s="77">
        <f>IF($A1438="",0,$H1438*설정!$C$23)</f>
        <v/>
      </c>
      <c r="Q1438" s="39">
        <f>IF($A1438="","",IF(O1438&lt;&gt;원인분석!$C$9,"",IF(AND(M1438&gt;=원인분석!$C$10,M1438&lt;=원인분석!$C$11),"당기",IF(AND(M1438&gt;=원인분석!$C$12,M1438&lt;=원인분석!$C$13),"비교",""))))</f>
        <v/>
      </c>
      <c r="R1438" s="9">
        <f>IF(Q1438="","",$K1438&amp;"")</f>
        <v/>
      </c>
      <c r="S1438" s="9">
        <f>IF(Q1438="","",IF(MATCH(R1438,$R$5:$R$100000,0)=ROW()-4,ROW(),""))</f>
        <v/>
      </c>
      <c r="T1438" s="9">
        <f>IF(Q1438="당기",ABS(P1438)+ROW()/1000000000,"")</f>
        <v/>
      </c>
      <c r="U1438" s="9">
        <f>IF(Q1438="비교",ABS(P1438)+ROW()/1000000000,"")</f>
        <v/>
      </c>
      <c r="V1438" s="39">
        <f>IF($A1438="","",IF(COUNTIF(변동분석!$E$7:$E$506,O1438)&gt;0,"Y","N"))</f>
        <v/>
      </c>
      <c r="W1438" s="39">
        <f>IF($A1438="","",IFERROR(INDEX(계정매핑!$D$5:$D$504,MATCH($F1438&amp;"",계정매핑!$A$5:$A$504,0)),"미매핑"))</f>
        <v/>
      </c>
      <c r="X1438" s="9">
        <f>IF($A1438="","",$F1438&amp;"")</f>
        <v/>
      </c>
    </row>
    <row r="1439">
      <c r="A1439" s="75" t="n">
        <v>2025</v>
      </c>
      <c r="B1439" s="75" t="n">
        <v>8</v>
      </c>
      <c r="C1439" s="75" t="inlineStr">
        <is>
          <t>5100001435</t>
        </is>
      </c>
      <c r="D1439" s="78" t="n">
        <v>45880</v>
      </c>
      <c r="E1439" s="75" t="inlineStr">
        <is>
          <t>KR</t>
        </is>
      </c>
      <c r="F1439" s="75" t="n">
        <v>62201000</v>
      </c>
      <c r="G1439" s="75" t="n">
        <v>1602</v>
      </c>
      <c r="H1439" s="76" t="n">
        <v>438000</v>
      </c>
      <c r="I1439" s="75" t="inlineStr">
        <is>
          <t>8월 통신요금 - O텔레콤</t>
        </is>
      </c>
      <c r="J1439" s="75" t="inlineStr">
        <is>
          <t>V10002</t>
        </is>
      </c>
      <c r="K1439" s="75" t="inlineStr">
        <is>
          <t>O텔레콤</t>
        </is>
      </c>
      <c r="M1439" s="9">
        <f>IF($A1439="","",VALUE($A1439&amp;"")*12+VALUE($B1439&amp;""))</f>
        <v/>
      </c>
      <c r="N1439" s="39">
        <f>IF($A1439="","",IFERROR(INDEX(부서매핑!$C$5:$C$504,MATCH($G1439&amp;"",부서매핑!$A$5:$A$504,0)),"미매핑"))</f>
        <v/>
      </c>
      <c r="O1439" s="9">
        <f>IF($A1439="","",N1439&amp;"|"&amp;$F1439)</f>
        <v/>
      </c>
      <c r="P1439" s="77">
        <f>IF($A1439="",0,$H1439*설정!$C$23)</f>
        <v/>
      </c>
      <c r="Q1439" s="39">
        <f>IF($A1439="","",IF(O1439&lt;&gt;원인분석!$C$9,"",IF(AND(M1439&gt;=원인분석!$C$10,M1439&lt;=원인분석!$C$11),"당기",IF(AND(M1439&gt;=원인분석!$C$12,M1439&lt;=원인분석!$C$13),"비교",""))))</f>
        <v/>
      </c>
      <c r="R1439" s="9">
        <f>IF(Q1439="","",$K1439&amp;"")</f>
        <v/>
      </c>
      <c r="S1439" s="9">
        <f>IF(Q1439="","",IF(MATCH(R1439,$R$5:$R$100000,0)=ROW()-4,ROW(),""))</f>
        <v/>
      </c>
      <c r="T1439" s="9">
        <f>IF(Q1439="당기",ABS(P1439)+ROW()/1000000000,"")</f>
        <v/>
      </c>
      <c r="U1439" s="9">
        <f>IF(Q1439="비교",ABS(P1439)+ROW()/1000000000,"")</f>
        <v/>
      </c>
      <c r="V1439" s="39">
        <f>IF($A1439="","",IF(COUNTIF(변동분석!$E$7:$E$506,O1439)&gt;0,"Y","N"))</f>
        <v/>
      </c>
      <c r="W1439" s="39">
        <f>IF($A1439="","",IFERROR(INDEX(계정매핑!$D$5:$D$504,MATCH($F1439&amp;"",계정매핑!$A$5:$A$504,0)),"미매핑"))</f>
        <v/>
      </c>
      <c r="X1439" s="9">
        <f>IF($A1439="","",$F1439&amp;"")</f>
        <v/>
      </c>
    </row>
    <row r="1440">
      <c r="A1440" s="75" t="n">
        <v>2025</v>
      </c>
      <c r="B1440" s="75" t="n">
        <v>8</v>
      </c>
      <c r="C1440" s="75" t="inlineStr">
        <is>
          <t>5100001436</t>
        </is>
      </c>
      <c r="D1440" s="78" t="n">
        <v>45880</v>
      </c>
      <c r="E1440" s="75" t="inlineStr">
        <is>
          <t>KR</t>
        </is>
      </c>
      <c r="F1440" s="75" t="n">
        <v>62301000</v>
      </c>
      <c r="G1440" s="75" t="n">
        <v>1101</v>
      </c>
      <c r="H1440" s="76" t="n">
        <v>183000</v>
      </c>
      <c r="I1440" s="75" t="inlineStr">
        <is>
          <t>8월 소모품 구입 - R문구</t>
        </is>
      </c>
      <c r="J1440" s="75" t="inlineStr">
        <is>
          <t>V10018</t>
        </is>
      </c>
      <c r="K1440" s="75" t="inlineStr">
        <is>
          <t>R문구</t>
        </is>
      </c>
      <c r="M1440" s="9">
        <f>IF($A1440="","",VALUE($A1440&amp;"")*12+VALUE($B1440&amp;""))</f>
        <v/>
      </c>
      <c r="N1440" s="39">
        <f>IF($A1440="","",IFERROR(INDEX(부서매핑!$C$5:$C$504,MATCH($G1440&amp;"",부서매핑!$A$5:$A$504,0)),"미매핑"))</f>
        <v/>
      </c>
      <c r="O1440" s="9">
        <f>IF($A1440="","",N1440&amp;"|"&amp;$F1440)</f>
        <v/>
      </c>
      <c r="P1440" s="77">
        <f>IF($A1440="",0,$H1440*설정!$C$23)</f>
        <v/>
      </c>
      <c r="Q1440" s="39">
        <f>IF($A1440="","",IF(O1440&lt;&gt;원인분석!$C$9,"",IF(AND(M1440&gt;=원인분석!$C$10,M1440&lt;=원인분석!$C$11),"당기",IF(AND(M1440&gt;=원인분석!$C$12,M1440&lt;=원인분석!$C$13),"비교",""))))</f>
        <v/>
      </c>
      <c r="R1440" s="9">
        <f>IF(Q1440="","",$K1440&amp;"")</f>
        <v/>
      </c>
      <c r="S1440" s="9">
        <f>IF(Q1440="","",IF(MATCH(R1440,$R$5:$R$100000,0)=ROW()-4,ROW(),""))</f>
        <v/>
      </c>
      <c r="T1440" s="9">
        <f>IF(Q1440="당기",ABS(P1440)+ROW()/1000000000,"")</f>
        <v/>
      </c>
      <c r="U1440" s="9">
        <f>IF(Q1440="비교",ABS(P1440)+ROW()/1000000000,"")</f>
        <v/>
      </c>
      <c r="V1440" s="39">
        <f>IF($A1440="","",IF(COUNTIF(변동분석!$E$7:$E$506,O1440)&gt;0,"Y","N"))</f>
        <v/>
      </c>
      <c r="W1440" s="39">
        <f>IF($A1440="","",IFERROR(INDEX(계정매핑!$D$5:$D$504,MATCH($F1440&amp;"",계정매핑!$A$5:$A$504,0)),"미매핑"))</f>
        <v/>
      </c>
      <c r="X1440" s="9">
        <f>IF($A1440="","",$F1440&amp;"")</f>
        <v/>
      </c>
    </row>
    <row r="1441">
      <c r="A1441" s="75" t="n">
        <v>2025</v>
      </c>
      <c r="B1441" s="75" t="n">
        <v>8</v>
      </c>
      <c r="C1441" s="75" t="inlineStr">
        <is>
          <t>5100001437</t>
        </is>
      </c>
      <c r="D1441" s="78" t="n">
        <v>45880</v>
      </c>
      <c r="E1441" s="75" t="inlineStr">
        <is>
          <t>KR</t>
        </is>
      </c>
      <c r="F1441" s="75" t="n">
        <v>62501000</v>
      </c>
      <c r="G1441" s="75" t="n">
        <v>1701</v>
      </c>
      <c r="H1441" s="76" t="n">
        <v>67000</v>
      </c>
      <c r="I1441" s="75" t="inlineStr">
        <is>
          <t>8월 회의 다과 - T케이터링</t>
        </is>
      </c>
      <c r="J1441" s="75" t="inlineStr">
        <is>
          <t>V10005</t>
        </is>
      </c>
      <c r="K1441" s="75" t="inlineStr">
        <is>
          <t>T케이터링</t>
        </is>
      </c>
      <c r="M1441" s="9">
        <f>IF($A1441="","",VALUE($A1441&amp;"")*12+VALUE($B1441&amp;""))</f>
        <v/>
      </c>
      <c r="N1441" s="39">
        <f>IF($A1441="","",IFERROR(INDEX(부서매핑!$C$5:$C$504,MATCH($G1441&amp;"",부서매핑!$A$5:$A$504,0)),"미매핑"))</f>
        <v/>
      </c>
      <c r="O1441" s="9">
        <f>IF($A1441="","",N1441&amp;"|"&amp;$F1441)</f>
        <v/>
      </c>
      <c r="P1441" s="77">
        <f>IF($A1441="",0,$H1441*설정!$C$23)</f>
        <v/>
      </c>
      <c r="Q1441" s="39">
        <f>IF($A1441="","",IF(O1441&lt;&gt;원인분석!$C$9,"",IF(AND(M1441&gt;=원인분석!$C$10,M1441&lt;=원인분석!$C$11),"당기",IF(AND(M1441&gt;=원인분석!$C$12,M1441&lt;=원인분석!$C$13),"비교",""))))</f>
        <v/>
      </c>
      <c r="R1441" s="9">
        <f>IF(Q1441="","",$K1441&amp;"")</f>
        <v/>
      </c>
      <c r="S1441" s="9">
        <f>IF(Q1441="","",IF(MATCH(R1441,$R$5:$R$100000,0)=ROW()-4,ROW(),""))</f>
        <v/>
      </c>
      <c r="T1441" s="9">
        <f>IF(Q1441="당기",ABS(P1441)+ROW()/1000000000,"")</f>
        <v/>
      </c>
      <c r="U1441" s="9">
        <f>IF(Q1441="비교",ABS(P1441)+ROW()/1000000000,"")</f>
        <v/>
      </c>
      <c r="V1441" s="39">
        <f>IF($A1441="","",IF(COUNTIF(변동분석!$E$7:$E$506,O1441)&gt;0,"Y","N"))</f>
        <v/>
      </c>
      <c r="W1441" s="39">
        <f>IF($A1441="","",IFERROR(INDEX(계정매핑!$D$5:$D$504,MATCH($F1441&amp;"",계정매핑!$A$5:$A$504,0)),"미매핑"))</f>
        <v/>
      </c>
      <c r="X1441" s="9">
        <f>IF($A1441="","",$F1441&amp;"")</f>
        <v/>
      </c>
    </row>
    <row r="1442">
      <c r="A1442" s="75" t="n">
        <v>2025</v>
      </c>
      <c r="B1442" s="75" t="n">
        <v>8</v>
      </c>
      <c r="C1442" s="75" t="inlineStr">
        <is>
          <t>5100001438</t>
        </is>
      </c>
      <c r="D1442" s="78" t="n">
        <v>45880</v>
      </c>
      <c r="E1442" s="75" t="inlineStr">
        <is>
          <t>KR</t>
        </is>
      </c>
      <c r="F1442" s="75" t="n">
        <v>62901000</v>
      </c>
      <c r="G1442" s="75" t="n">
        <v>1801</v>
      </c>
      <c r="H1442" s="76" t="n">
        <v>11910000</v>
      </c>
      <c r="I1442" s="75" t="inlineStr">
        <is>
          <t>8월 자문 수수료 - K회계법인</t>
        </is>
      </c>
      <c r="J1442" s="75" t="inlineStr">
        <is>
          <t>V10010</t>
        </is>
      </c>
      <c r="K1442" s="75" t="inlineStr">
        <is>
          <t>K회계법인</t>
        </is>
      </c>
      <c r="M1442" s="9">
        <f>IF($A1442="","",VALUE($A1442&amp;"")*12+VALUE($B1442&amp;""))</f>
        <v/>
      </c>
      <c r="N1442" s="39">
        <f>IF($A1442="","",IFERROR(INDEX(부서매핑!$C$5:$C$504,MATCH($G1442&amp;"",부서매핑!$A$5:$A$504,0)),"미매핑"))</f>
        <v/>
      </c>
      <c r="O1442" s="9">
        <f>IF($A1442="","",N1442&amp;"|"&amp;$F1442)</f>
        <v/>
      </c>
      <c r="P1442" s="77">
        <f>IF($A1442="",0,$H1442*설정!$C$23)</f>
        <v/>
      </c>
      <c r="Q1442" s="39">
        <f>IF($A1442="","",IF(O1442&lt;&gt;원인분석!$C$9,"",IF(AND(M1442&gt;=원인분석!$C$10,M1442&lt;=원인분석!$C$11),"당기",IF(AND(M1442&gt;=원인분석!$C$12,M1442&lt;=원인분석!$C$13),"비교",""))))</f>
        <v/>
      </c>
      <c r="R1442" s="9">
        <f>IF(Q1442="","",$K1442&amp;"")</f>
        <v/>
      </c>
      <c r="S1442" s="9">
        <f>IF(Q1442="","",IF(MATCH(R1442,$R$5:$R$100000,0)=ROW()-4,ROW(),""))</f>
        <v/>
      </c>
      <c r="T1442" s="9">
        <f>IF(Q1442="당기",ABS(P1442)+ROW()/1000000000,"")</f>
        <v/>
      </c>
      <c r="U1442" s="9">
        <f>IF(Q1442="비교",ABS(P1442)+ROW()/1000000000,"")</f>
        <v/>
      </c>
      <c r="V1442" s="39">
        <f>IF($A1442="","",IF(COUNTIF(변동분석!$E$7:$E$506,O1442)&gt;0,"Y","N"))</f>
        <v/>
      </c>
      <c r="W1442" s="39">
        <f>IF($A1442="","",IFERROR(INDEX(계정매핑!$D$5:$D$504,MATCH($F1442&amp;"",계정매핑!$A$5:$A$504,0)),"미매핑"))</f>
        <v/>
      </c>
      <c r="X1442" s="9">
        <f>IF($A1442="","",$F1442&amp;"")</f>
        <v/>
      </c>
    </row>
    <row r="1443">
      <c r="A1443" s="75" t="n">
        <v>2025</v>
      </c>
      <c r="B1443" s="75" t="n">
        <v>8</v>
      </c>
      <c r="C1443" s="75" t="inlineStr">
        <is>
          <t>5100001439</t>
        </is>
      </c>
      <c r="D1443" s="78" t="n">
        <v>45880</v>
      </c>
      <c r="E1443" s="75" t="inlineStr">
        <is>
          <t>KR</t>
        </is>
      </c>
      <c r="F1443" s="75" t="n">
        <v>62902000</v>
      </c>
      <c r="G1443" s="75" t="n">
        <v>1801</v>
      </c>
      <c r="H1443" s="76" t="n">
        <v>3000000</v>
      </c>
      <c r="I1443" s="75" t="inlineStr">
        <is>
          <t>8월 업무 위탁 수수료 - X서비스</t>
        </is>
      </c>
      <c r="J1443" s="75" t="inlineStr">
        <is>
          <t>V10016</t>
        </is>
      </c>
      <c r="K1443" s="75" t="inlineStr">
        <is>
          <t>X서비스</t>
        </is>
      </c>
      <c r="M1443" s="9">
        <f>IF($A1443="","",VALUE($A1443&amp;"")*12+VALUE($B1443&amp;""))</f>
        <v/>
      </c>
      <c r="N1443" s="39">
        <f>IF($A1443="","",IFERROR(INDEX(부서매핑!$C$5:$C$504,MATCH($G1443&amp;"",부서매핑!$A$5:$A$504,0)),"미매핑"))</f>
        <v/>
      </c>
      <c r="O1443" s="9">
        <f>IF($A1443="","",N1443&amp;"|"&amp;$F1443)</f>
        <v/>
      </c>
      <c r="P1443" s="77">
        <f>IF($A1443="",0,$H1443*설정!$C$23)</f>
        <v/>
      </c>
      <c r="Q1443" s="39">
        <f>IF($A1443="","",IF(O1443&lt;&gt;원인분석!$C$9,"",IF(AND(M1443&gt;=원인분석!$C$10,M1443&lt;=원인분석!$C$11),"당기",IF(AND(M1443&gt;=원인분석!$C$12,M1443&lt;=원인분석!$C$13),"비교",""))))</f>
        <v/>
      </c>
      <c r="R1443" s="9">
        <f>IF(Q1443="","",$K1443&amp;"")</f>
        <v/>
      </c>
      <c r="S1443" s="9">
        <f>IF(Q1443="","",IF(MATCH(R1443,$R$5:$R$100000,0)=ROW()-4,ROW(),""))</f>
        <v/>
      </c>
      <c r="T1443" s="9">
        <f>IF(Q1443="당기",ABS(P1443)+ROW()/1000000000,"")</f>
        <v/>
      </c>
      <c r="U1443" s="9">
        <f>IF(Q1443="비교",ABS(P1443)+ROW()/1000000000,"")</f>
        <v/>
      </c>
      <c r="V1443" s="39">
        <f>IF($A1443="","",IF(COUNTIF(변동분석!$E$7:$E$506,O1443)&gt;0,"Y","N"))</f>
        <v/>
      </c>
      <c r="W1443" s="39">
        <f>IF($A1443="","",IFERROR(INDEX(계정매핑!$D$5:$D$504,MATCH($F1443&amp;"",계정매핑!$A$5:$A$504,0)),"미매핑"))</f>
        <v/>
      </c>
      <c r="X1443" s="9">
        <f>IF($A1443="","",$F1443&amp;"")</f>
        <v/>
      </c>
    </row>
    <row r="1444">
      <c r="A1444" s="75" t="n">
        <v>2025</v>
      </c>
      <c r="B1444" s="75" t="n">
        <v>8</v>
      </c>
      <c r="C1444" s="75" t="inlineStr">
        <is>
          <t>5100001440</t>
        </is>
      </c>
      <c r="D1444" s="78" t="n">
        <v>45881</v>
      </c>
      <c r="E1444" s="75" t="inlineStr">
        <is>
          <t>KR</t>
        </is>
      </c>
      <c r="F1444" s="75" t="n">
        <v>62501000</v>
      </c>
      <c r="G1444" s="75" t="n">
        <v>1602</v>
      </c>
      <c r="H1444" s="76" t="n">
        <v>306000</v>
      </c>
      <c r="I1444" s="75" t="inlineStr">
        <is>
          <t>8월 회의 다과 - (법인카드)</t>
        </is>
      </c>
      <c r="J1444" s="75" t="inlineStr">
        <is>
          <t>V10008</t>
        </is>
      </c>
      <c r="K1444" s="75" t="inlineStr">
        <is>
          <t>(법인카드)</t>
        </is>
      </c>
      <c r="M1444" s="9">
        <f>IF($A1444="","",VALUE($A1444&amp;"")*12+VALUE($B1444&amp;""))</f>
        <v/>
      </c>
      <c r="N1444" s="39">
        <f>IF($A1444="","",IFERROR(INDEX(부서매핑!$C$5:$C$504,MATCH($G1444&amp;"",부서매핑!$A$5:$A$504,0)),"미매핑"))</f>
        <v/>
      </c>
      <c r="O1444" s="9">
        <f>IF($A1444="","",N1444&amp;"|"&amp;$F1444)</f>
        <v/>
      </c>
      <c r="P1444" s="77">
        <f>IF($A1444="",0,$H1444*설정!$C$23)</f>
        <v/>
      </c>
      <c r="Q1444" s="39">
        <f>IF($A1444="","",IF(O1444&lt;&gt;원인분석!$C$9,"",IF(AND(M1444&gt;=원인분석!$C$10,M1444&lt;=원인분석!$C$11),"당기",IF(AND(M1444&gt;=원인분석!$C$12,M1444&lt;=원인분석!$C$13),"비교",""))))</f>
        <v/>
      </c>
      <c r="R1444" s="9">
        <f>IF(Q1444="","",$K1444&amp;"")</f>
        <v/>
      </c>
      <c r="S1444" s="9">
        <f>IF(Q1444="","",IF(MATCH(R1444,$R$5:$R$100000,0)=ROW()-4,ROW(),""))</f>
        <v/>
      </c>
      <c r="T1444" s="9">
        <f>IF(Q1444="당기",ABS(P1444)+ROW()/1000000000,"")</f>
        <v/>
      </c>
      <c r="U1444" s="9">
        <f>IF(Q1444="비교",ABS(P1444)+ROW()/1000000000,"")</f>
        <v/>
      </c>
      <c r="V1444" s="39">
        <f>IF($A1444="","",IF(COUNTIF(변동분석!$E$7:$E$506,O1444)&gt;0,"Y","N"))</f>
        <v/>
      </c>
      <c r="W1444" s="39">
        <f>IF($A1444="","",IFERROR(INDEX(계정매핑!$D$5:$D$504,MATCH($F1444&amp;"",계정매핑!$A$5:$A$504,0)),"미매핑"))</f>
        <v/>
      </c>
      <c r="X1444" s="9">
        <f>IF($A1444="","",$F1444&amp;"")</f>
        <v/>
      </c>
    </row>
    <row r="1445">
      <c r="A1445" s="75" t="n">
        <v>2025</v>
      </c>
      <c r="B1445" s="75" t="n">
        <v>8</v>
      </c>
      <c r="C1445" s="75" t="inlineStr">
        <is>
          <t>5100001441</t>
        </is>
      </c>
      <c r="D1445" s="78" t="n">
        <v>45881</v>
      </c>
      <c r="E1445" s="75" t="inlineStr">
        <is>
          <t>KR</t>
        </is>
      </c>
      <c r="F1445" s="75" t="n">
        <v>62501000</v>
      </c>
      <c r="G1445" s="75" t="n">
        <v>1602</v>
      </c>
      <c r="H1445" s="76" t="n">
        <v>304000</v>
      </c>
      <c r="I1445" s="75" t="inlineStr">
        <is>
          <t>8월 회의 다과 - T케이터링</t>
        </is>
      </c>
      <c r="J1445" s="75" t="inlineStr">
        <is>
          <t>V10005</t>
        </is>
      </c>
      <c r="K1445" s="75" t="inlineStr">
        <is>
          <t>T케이터링</t>
        </is>
      </c>
      <c r="M1445" s="9">
        <f>IF($A1445="","",VALUE($A1445&amp;"")*12+VALUE($B1445&amp;""))</f>
        <v/>
      </c>
      <c r="N1445" s="39">
        <f>IF($A1445="","",IFERROR(INDEX(부서매핑!$C$5:$C$504,MATCH($G1445&amp;"",부서매핑!$A$5:$A$504,0)),"미매핑"))</f>
        <v/>
      </c>
      <c r="O1445" s="9">
        <f>IF($A1445="","",N1445&amp;"|"&amp;$F1445)</f>
        <v/>
      </c>
      <c r="P1445" s="77">
        <f>IF($A1445="",0,$H1445*설정!$C$23)</f>
        <v/>
      </c>
      <c r="Q1445" s="39">
        <f>IF($A1445="","",IF(O1445&lt;&gt;원인분석!$C$9,"",IF(AND(M1445&gt;=원인분석!$C$10,M1445&lt;=원인분석!$C$11),"당기",IF(AND(M1445&gt;=원인분석!$C$12,M1445&lt;=원인분석!$C$13),"비교",""))))</f>
        <v/>
      </c>
      <c r="R1445" s="9">
        <f>IF(Q1445="","",$K1445&amp;"")</f>
        <v/>
      </c>
      <c r="S1445" s="9">
        <f>IF(Q1445="","",IF(MATCH(R1445,$R$5:$R$100000,0)=ROW()-4,ROW(),""))</f>
        <v/>
      </c>
      <c r="T1445" s="9">
        <f>IF(Q1445="당기",ABS(P1445)+ROW()/1000000000,"")</f>
        <v/>
      </c>
      <c r="U1445" s="9">
        <f>IF(Q1445="비교",ABS(P1445)+ROW()/1000000000,"")</f>
        <v/>
      </c>
      <c r="V1445" s="39">
        <f>IF($A1445="","",IF(COUNTIF(변동분석!$E$7:$E$506,O1445)&gt;0,"Y","N"))</f>
        <v/>
      </c>
      <c r="W1445" s="39">
        <f>IF($A1445="","",IFERROR(INDEX(계정매핑!$D$5:$D$504,MATCH($F1445&amp;"",계정매핑!$A$5:$A$504,0)),"미매핑"))</f>
        <v/>
      </c>
      <c r="X1445" s="9">
        <f>IF($A1445="","",$F1445&amp;"")</f>
        <v/>
      </c>
    </row>
    <row r="1446">
      <c r="A1446" s="75" t="n">
        <v>2025</v>
      </c>
      <c r="B1446" s="75" t="n">
        <v>8</v>
      </c>
      <c r="C1446" s="75" t="inlineStr">
        <is>
          <t>5100001442</t>
        </is>
      </c>
      <c r="D1446" s="78" t="n">
        <v>45881</v>
      </c>
      <c r="E1446" s="75" t="inlineStr">
        <is>
          <t>KR</t>
        </is>
      </c>
      <c r="F1446" s="75" t="n">
        <v>62501000</v>
      </c>
      <c r="G1446" s="75" t="n">
        <v>1801</v>
      </c>
      <c r="H1446" s="76" t="n">
        <v>168000</v>
      </c>
      <c r="I1446" s="75" t="inlineStr">
        <is>
          <t>8월 회의 다과 - T케이터링</t>
        </is>
      </c>
      <c r="J1446" s="75" t="inlineStr">
        <is>
          <t>V10005</t>
        </is>
      </c>
      <c r="K1446" s="75" t="inlineStr">
        <is>
          <t>T케이터링</t>
        </is>
      </c>
      <c r="M1446" s="9">
        <f>IF($A1446="","",VALUE($A1446&amp;"")*12+VALUE($B1446&amp;""))</f>
        <v/>
      </c>
      <c r="N1446" s="39">
        <f>IF($A1446="","",IFERROR(INDEX(부서매핑!$C$5:$C$504,MATCH($G1446&amp;"",부서매핑!$A$5:$A$504,0)),"미매핑"))</f>
        <v/>
      </c>
      <c r="O1446" s="9">
        <f>IF($A1446="","",N1446&amp;"|"&amp;$F1446)</f>
        <v/>
      </c>
      <c r="P1446" s="77">
        <f>IF($A1446="",0,$H1446*설정!$C$23)</f>
        <v/>
      </c>
      <c r="Q1446" s="39">
        <f>IF($A1446="","",IF(O1446&lt;&gt;원인분석!$C$9,"",IF(AND(M1446&gt;=원인분석!$C$10,M1446&lt;=원인분석!$C$11),"당기",IF(AND(M1446&gt;=원인분석!$C$12,M1446&lt;=원인분석!$C$13),"비교",""))))</f>
        <v/>
      </c>
      <c r="R1446" s="9">
        <f>IF(Q1446="","",$K1446&amp;"")</f>
        <v/>
      </c>
      <c r="S1446" s="9">
        <f>IF(Q1446="","",IF(MATCH(R1446,$R$5:$R$100000,0)=ROW()-4,ROW(),""))</f>
        <v/>
      </c>
      <c r="T1446" s="9">
        <f>IF(Q1446="당기",ABS(P1446)+ROW()/1000000000,"")</f>
        <v/>
      </c>
      <c r="U1446" s="9">
        <f>IF(Q1446="비교",ABS(P1446)+ROW()/1000000000,"")</f>
        <v/>
      </c>
      <c r="V1446" s="39">
        <f>IF($A1446="","",IF(COUNTIF(변동분석!$E$7:$E$506,O1446)&gt;0,"Y","N"))</f>
        <v/>
      </c>
      <c r="W1446" s="39">
        <f>IF($A1446="","",IFERROR(INDEX(계정매핑!$D$5:$D$504,MATCH($F1446&amp;"",계정매핑!$A$5:$A$504,0)),"미매핑"))</f>
        <v/>
      </c>
      <c r="X1446" s="9">
        <f>IF($A1446="","",$F1446&amp;"")</f>
        <v/>
      </c>
    </row>
    <row r="1447">
      <c r="A1447" s="75" t="n">
        <v>2025</v>
      </c>
      <c r="B1447" s="75" t="n">
        <v>8</v>
      </c>
      <c r="C1447" s="75" t="inlineStr">
        <is>
          <t>5100001443</t>
        </is>
      </c>
      <c r="D1447" s="78" t="n">
        <v>45881</v>
      </c>
      <c r="E1447" s="75" t="inlineStr">
        <is>
          <t>KR</t>
        </is>
      </c>
      <c r="F1447" s="75" t="n">
        <v>62701000</v>
      </c>
      <c r="G1447" s="75" t="n">
        <v>1501</v>
      </c>
      <c r="H1447" s="76" t="n">
        <v>55325000</v>
      </c>
      <c r="I1447" s="75" t="inlineStr">
        <is>
          <t>8월 광고 집행 - F애드</t>
        </is>
      </c>
      <c r="J1447" s="75" t="inlineStr">
        <is>
          <t>V10019</t>
        </is>
      </c>
      <c r="K1447" s="75" t="inlineStr">
        <is>
          <t>F애드</t>
        </is>
      </c>
      <c r="M1447" s="9">
        <f>IF($A1447="","",VALUE($A1447&amp;"")*12+VALUE($B1447&amp;""))</f>
        <v/>
      </c>
      <c r="N1447" s="39">
        <f>IF($A1447="","",IFERROR(INDEX(부서매핑!$C$5:$C$504,MATCH($G1447&amp;"",부서매핑!$A$5:$A$504,0)),"미매핑"))</f>
        <v/>
      </c>
      <c r="O1447" s="9">
        <f>IF($A1447="","",N1447&amp;"|"&amp;$F1447)</f>
        <v/>
      </c>
      <c r="P1447" s="77">
        <f>IF($A1447="",0,$H1447*설정!$C$23)</f>
        <v/>
      </c>
      <c r="Q1447" s="39">
        <f>IF($A1447="","",IF(O1447&lt;&gt;원인분석!$C$9,"",IF(AND(M1447&gt;=원인분석!$C$10,M1447&lt;=원인분석!$C$11),"당기",IF(AND(M1447&gt;=원인분석!$C$12,M1447&lt;=원인분석!$C$13),"비교",""))))</f>
        <v/>
      </c>
      <c r="R1447" s="9">
        <f>IF(Q1447="","",$K1447&amp;"")</f>
        <v/>
      </c>
      <c r="S1447" s="9">
        <f>IF(Q1447="","",IF(MATCH(R1447,$R$5:$R$100000,0)=ROW()-4,ROW(),""))</f>
        <v/>
      </c>
      <c r="T1447" s="9">
        <f>IF(Q1447="당기",ABS(P1447)+ROW()/1000000000,"")</f>
        <v/>
      </c>
      <c r="U1447" s="9">
        <f>IF(Q1447="비교",ABS(P1447)+ROW()/1000000000,"")</f>
        <v/>
      </c>
      <c r="V1447" s="39">
        <f>IF($A1447="","",IF(COUNTIF(변동분석!$E$7:$E$506,O1447)&gt;0,"Y","N"))</f>
        <v/>
      </c>
      <c r="W1447" s="39">
        <f>IF($A1447="","",IFERROR(INDEX(계정매핑!$D$5:$D$504,MATCH($F1447&amp;"",계정매핑!$A$5:$A$504,0)),"미매핑"))</f>
        <v/>
      </c>
      <c r="X1447" s="9">
        <f>IF($A1447="","",$F1447&amp;"")</f>
        <v/>
      </c>
    </row>
    <row r="1448">
      <c r="A1448" s="75" t="n">
        <v>2025</v>
      </c>
      <c r="B1448" s="75" t="n">
        <v>8</v>
      </c>
      <c r="C1448" s="75" t="inlineStr">
        <is>
          <t>5100001444</t>
        </is>
      </c>
      <c r="D1448" s="78" t="n">
        <v>45881</v>
      </c>
      <c r="E1448" s="75" t="inlineStr">
        <is>
          <t>KR</t>
        </is>
      </c>
      <c r="F1448" s="75" t="n">
        <v>62801000</v>
      </c>
      <c r="G1448" s="75" t="n">
        <v>1301</v>
      </c>
      <c r="H1448" s="76" t="n">
        <v>3882000</v>
      </c>
      <c r="I1448" s="75" t="inlineStr">
        <is>
          <t>8월 사내교육 - U에듀</t>
        </is>
      </c>
      <c r="J1448" s="75" t="inlineStr">
        <is>
          <t>V10026</t>
        </is>
      </c>
      <c r="K1448" s="75" t="inlineStr">
        <is>
          <t>U에듀</t>
        </is>
      </c>
      <c r="M1448" s="9">
        <f>IF($A1448="","",VALUE($A1448&amp;"")*12+VALUE($B1448&amp;""))</f>
        <v/>
      </c>
      <c r="N1448" s="39">
        <f>IF($A1448="","",IFERROR(INDEX(부서매핑!$C$5:$C$504,MATCH($G1448&amp;"",부서매핑!$A$5:$A$504,0)),"미매핑"))</f>
        <v/>
      </c>
      <c r="O1448" s="9">
        <f>IF($A1448="","",N1448&amp;"|"&amp;$F1448)</f>
        <v/>
      </c>
      <c r="P1448" s="77">
        <f>IF($A1448="",0,$H1448*설정!$C$23)</f>
        <v/>
      </c>
      <c r="Q1448" s="39">
        <f>IF($A1448="","",IF(O1448&lt;&gt;원인분석!$C$9,"",IF(AND(M1448&gt;=원인분석!$C$10,M1448&lt;=원인분석!$C$11),"당기",IF(AND(M1448&gt;=원인분석!$C$12,M1448&lt;=원인분석!$C$13),"비교",""))))</f>
        <v/>
      </c>
      <c r="R1448" s="9">
        <f>IF(Q1448="","",$K1448&amp;"")</f>
        <v/>
      </c>
      <c r="S1448" s="9">
        <f>IF(Q1448="","",IF(MATCH(R1448,$R$5:$R$100000,0)=ROW()-4,ROW(),""))</f>
        <v/>
      </c>
      <c r="T1448" s="9">
        <f>IF(Q1448="당기",ABS(P1448)+ROW()/1000000000,"")</f>
        <v/>
      </c>
      <c r="U1448" s="9">
        <f>IF(Q1448="비교",ABS(P1448)+ROW()/1000000000,"")</f>
        <v/>
      </c>
      <c r="V1448" s="39">
        <f>IF($A1448="","",IF(COUNTIF(변동분석!$E$7:$E$506,O1448)&gt;0,"Y","N"))</f>
        <v/>
      </c>
      <c r="W1448" s="39">
        <f>IF($A1448="","",IFERROR(INDEX(계정매핑!$D$5:$D$504,MATCH($F1448&amp;"",계정매핑!$A$5:$A$504,0)),"미매핑"))</f>
        <v/>
      </c>
      <c r="X1448" s="9">
        <f>IF($A1448="","",$F1448&amp;"")</f>
        <v/>
      </c>
    </row>
    <row r="1449">
      <c r="A1449" s="75" t="n">
        <v>2025</v>
      </c>
      <c r="B1449" s="75" t="n">
        <v>8</v>
      </c>
      <c r="C1449" s="75" t="inlineStr">
        <is>
          <t>5100001445</t>
        </is>
      </c>
      <c r="D1449" s="78" t="n">
        <v>45881</v>
      </c>
      <c r="E1449" s="75" t="inlineStr">
        <is>
          <t>KR</t>
        </is>
      </c>
      <c r="F1449" s="75" t="n">
        <v>62902000</v>
      </c>
      <c r="G1449" s="75" t="n">
        <v>1801</v>
      </c>
      <c r="H1449" s="76" t="n">
        <v>1821000</v>
      </c>
      <c r="I1449" s="75" t="inlineStr">
        <is>
          <t>8월 콜 위탁 수수료(건별)</t>
        </is>
      </c>
      <c r="J1449" s="75" t="inlineStr">
        <is>
          <t>V10013</t>
        </is>
      </c>
      <c r="K1449" s="75" t="inlineStr">
        <is>
          <t>J콜센터</t>
        </is>
      </c>
      <c r="M1449" s="9">
        <f>IF($A1449="","",VALUE($A1449&amp;"")*12+VALUE($B1449&amp;""))</f>
        <v/>
      </c>
      <c r="N1449" s="39">
        <f>IF($A1449="","",IFERROR(INDEX(부서매핑!$C$5:$C$504,MATCH($G1449&amp;"",부서매핑!$A$5:$A$504,0)),"미매핑"))</f>
        <v/>
      </c>
      <c r="O1449" s="9">
        <f>IF($A1449="","",N1449&amp;"|"&amp;$F1449)</f>
        <v/>
      </c>
      <c r="P1449" s="77">
        <f>IF($A1449="",0,$H1449*설정!$C$23)</f>
        <v/>
      </c>
      <c r="Q1449" s="39">
        <f>IF($A1449="","",IF(O1449&lt;&gt;원인분석!$C$9,"",IF(AND(M1449&gt;=원인분석!$C$10,M1449&lt;=원인분석!$C$11),"당기",IF(AND(M1449&gt;=원인분석!$C$12,M1449&lt;=원인분석!$C$13),"비교",""))))</f>
        <v/>
      </c>
      <c r="R1449" s="9">
        <f>IF(Q1449="","",$K1449&amp;"")</f>
        <v/>
      </c>
      <c r="S1449" s="9">
        <f>IF(Q1449="","",IF(MATCH(R1449,$R$5:$R$100000,0)=ROW()-4,ROW(),""))</f>
        <v/>
      </c>
      <c r="T1449" s="9">
        <f>IF(Q1449="당기",ABS(P1449)+ROW()/1000000000,"")</f>
        <v/>
      </c>
      <c r="U1449" s="9">
        <f>IF(Q1449="비교",ABS(P1449)+ROW()/1000000000,"")</f>
        <v/>
      </c>
      <c r="V1449" s="39">
        <f>IF($A1449="","",IF(COUNTIF(변동분석!$E$7:$E$506,O1449)&gt;0,"Y","N"))</f>
        <v/>
      </c>
      <c r="W1449" s="39">
        <f>IF($A1449="","",IFERROR(INDEX(계정매핑!$D$5:$D$504,MATCH($F1449&amp;"",계정매핑!$A$5:$A$504,0)),"미매핑"))</f>
        <v/>
      </c>
      <c r="X1449" s="9">
        <f>IF($A1449="","",$F1449&amp;"")</f>
        <v/>
      </c>
    </row>
    <row r="1450">
      <c r="A1450" s="75" t="n">
        <v>2025</v>
      </c>
      <c r="B1450" s="75" t="n">
        <v>8</v>
      </c>
      <c r="C1450" s="75" t="inlineStr">
        <is>
          <t>5100001446</t>
        </is>
      </c>
      <c r="D1450" s="78" t="n">
        <v>45882</v>
      </c>
      <c r="E1450" s="75" t="inlineStr">
        <is>
          <t>KR</t>
        </is>
      </c>
      <c r="F1450" s="75" t="n">
        <v>62102000</v>
      </c>
      <c r="G1450" s="75" t="n">
        <v>1301</v>
      </c>
      <c r="H1450" s="76" t="n">
        <v>83000</v>
      </c>
      <c r="I1450" s="75" t="inlineStr">
        <is>
          <t>8월 해외출장 - N호텔</t>
        </is>
      </c>
      <c r="J1450" s="75" t="inlineStr">
        <is>
          <t>V10007</t>
        </is>
      </c>
      <c r="K1450" s="75" t="inlineStr">
        <is>
          <t>N호텔</t>
        </is>
      </c>
      <c r="M1450" s="9">
        <f>IF($A1450="","",VALUE($A1450&amp;"")*12+VALUE($B1450&amp;""))</f>
        <v/>
      </c>
      <c r="N1450" s="39">
        <f>IF($A1450="","",IFERROR(INDEX(부서매핑!$C$5:$C$504,MATCH($G1450&amp;"",부서매핑!$A$5:$A$504,0)),"미매핑"))</f>
        <v/>
      </c>
      <c r="O1450" s="9">
        <f>IF($A1450="","",N1450&amp;"|"&amp;$F1450)</f>
        <v/>
      </c>
      <c r="P1450" s="77">
        <f>IF($A1450="",0,$H1450*설정!$C$23)</f>
        <v/>
      </c>
      <c r="Q1450" s="39">
        <f>IF($A1450="","",IF(O1450&lt;&gt;원인분석!$C$9,"",IF(AND(M1450&gt;=원인분석!$C$10,M1450&lt;=원인분석!$C$11),"당기",IF(AND(M1450&gt;=원인분석!$C$12,M1450&lt;=원인분석!$C$13),"비교",""))))</f>
        <v/>
      </c>
      <c r="R1450" s="9">
        <f>IF(Q1450="","",$K1450&amp;"")</f>
        <v/>
      </c>
      <c r="S1450" s="9">
        <f>IF(Q1450="","",IF(MATCH(R1450,$R$5:$R$100000,0)=ROW()-4,ROW(),""))</f>
        <v/>
      </c>
      <c r="T1450" s="9">
        <f>IF(Q1450="당기",ABS(P1450)+ROW()/1000000000,"")</f>
        <v/>
      </c>
      <c r="U1450" s="9">
        <f>IF(Q1450="비교",ABS(P1450)+ROW()/1000000000,"")</f>
        <v/>
      </c>
      <c r="V1450" s="39">
        <f>IF($A1450="","",IF(COUNTIF(변동분석!$E$7:$E$506,O1450)&gt;0,"Y","N"))</f>
        <v/>
      </c>
      <c r="W1450" s="39">
        <f>IF($A1450="","",IFERROR(INDEX(계정매핑!$D$5:$D$504,MATCH($F1450&amp;"",계정매핑!$A$5:$A$504,0)),"미매핑"))</f>
        <v/>
      </c>
      <c r="X1450" s="9">
        <f>IF($A1450="","",$F1450&amp;"")</f>
        <v/>
      </c>
    </row>
    <row r="1451">
      <c r="A1451" s="75" t="n">
        <v>2025</v>
      </c>
      <c r="B1451" s="75" t="n">
        <v>8</v>
      </c>
      <c r="C1451" s="75" t="inlineStr">
        <is>
          <t>5100001447</t>
        </is>
      </c>
      <c r="D1451" s="78" t="n">
        <v>45882</v>
      </c>
      <c r="E1451" s="75" t="inlineStr">
        <is>
          <t>KR</t>
        </is>
      </c>
      <c r="F1451" s="75" t="n">
        <v>62102000</v>
      </c>
      <c r="G1451" s="75" t="n">
        <v>1801</v>
      </c>
      <c r="H1451" s="76" t="n">
        <v>30000</v>
      </c>
      <c r="I1451" s="75" t="inlineStr">
        <is>
          <t>8월 해외출장 - N호텔</t>
        </is>
      </c>
      <c r="J1451" s="75" t="inlineStr">
        <is>
          <t>V10007</t>
        </is>
      </c>
      <c r="K1451" s="75" t="inlineStr">
        <is>
          <t>N호텔</t>
        </is>
      </c>
      <c r="M1451" s="9">
        <f>IF($A1451="","",VALUE($A1451&amp;"")*12+VALUE($B1451&amp;""))</f>
        <v/>
      </c>
      <c r="N1451" s="39">
        <f>IF($A1451="","",IFERROR(INDEX(부서매핑!$C$5:$C$504,MATCH($G1451&amp;"",부서매핑!$A$5:$A$504,0)),"미매핑"))</f>
        <v/>
      </c>
      <c r="O1451" s="9">
        <f>IF($A1451="","",N1451&amp;"|"&amp;$F1451)</f>
        <v/>
      </c>
      <c r="P1451" s="77">
        <f>IF($A1451="",0,$H1451*설정!$C$23)</f>
        <v/>
      </c>
      <c r="Q1451" s="39">
        <f>IF($A1451="","",IF(O1451&lt;&gt;원인분석!$C$9,"",IF(AND(M1451&gt;=원인분석!$C$10,M1451&lt;=원인분석!$C$11),"당기",IF(AND(M1451&gt;=원인분석!$C$12,M1451&lt;=원인분석!$C$13),"비교",""))))</f>
        <v/>
      </c>
      <c r="R1451" s="9">
        <f>IF(Q1451="","",$K1451&amp;"")</f>
        <v/>
      </c>
      <c r="S1451" s="9">
        <f>IF(Q1451="","",IF(MATCH(R1451,$R$5:$R$100000,0)=ROW()-4,ROW(),""))</f>
        <v/>
      </c>
      <c r="T1451" s="9">
        <f>IF(Q1451="당기",ABS(P1451)+ROW()/1000000000,"")</f>
        <v/>
      </c>
      <c r="U1451" s="9">
        <f>IF(Q1451="비교",ABS(P1451)+ROW()/1000000000,"")</f>
        <v/>
      </c>
      <c r="V1451" s="39">
        <f>IF($A1451="","",IF(COUNTIF(변동분석!$E$7:$E$506,O1451)&gt;0,"Y","N"))</f>
        <v/>
      </c>
      <c r="W1451" s="39">
        <f>IF($A1451="","",IFERROR(INDEX(계정매핑!$D$5:$D$504,MATCH($F1451&amp;"",계정매핑!$A$5:$A$504,0)),"미매핑"))</f>
        <v/>
      </c>
      <c r="X1451" s="9">
        <f>IF($A1451="","",$F1451&amp;"")</f>
        <v/>
      </c>
    </row>
    <row r="1452">
      <c r="A1452" s="75" t="n">
        <v>2025</v>
      </c>
      <c r="B1452" s="75" t="n">
        <v>8</v>
      </c>
      <c r="C1452" s="75" t="inlineStr">
        <is>
          <t>5100001448</t>
        </is>
      </c>
      <c r="D1452" s="78" t="n">
        <v>45882</v>
      </c>
      <c r="E1452" s="75" t="inlineStr">
        <is>
          <t>KR</t>
        </is>
      </c>
      <c r="F1452" s="75" t="n">
        <v>62401000</v>
      </c>
      <c r="G1452" s="75" t="n">
        <v>1401</v>
      </c>
      <c r="H1452" s="76" t="n">
        <v>178000</v>
      </c>
      <c r="I1452" s="75" t="inlineStr">
        <is>
          <t>8월 인쇄물 제작 - S출판</t>
        </is>
      </c>
      <c r="J1452" s="75" t="inlineStr">
        <is>
          <t>V10012</t>
        </is>
      </c>
      <c r="K1452" s="75" t="inlineStr">
        <is>
          <t>S출판</t>
        </is>
      </c>
      <c r="M1452" s="9">
        <f>IF($A1452="","",VALUE($A1452&amp;"")*12+VALUE($B1452&amp;""))</f>
        <v/>
      </c>
      <c r="N1452" s="39">
        <f>IF($A1452="","",IFERROR(INDEX(부서매핑!$C$5:$C$504,MATCH($G1452&amp;"",부서매핑!$A$5:$A$504,0)),"미매핑"))</f>
        <v/>
      </c>
      <c r="O1452" s="9">
        <f>IF($A1452="","",N1452&amp;"|"&amp;$F1452)</f>
        <v/>
      </c>
      <c r="P1452" s="77">
        <f>IF($A1452="",0,$H1452*설정!$C$23)</f>
        <v/>
      </c>
      <c r="Q1452" s="39">
        <f>IF($A1452="","",IF(O1452&lt;&gt;원인분석!$C$9,"",IF(AND(M1452&gt;=원인분석!$C$10,M1452&lt;=원인분석!$C$11),"당기",IF(AND(M1452&gt;=원인분석!$C$12,M1452&lt;=원인분석!$C$13),"비교",""))))</f>
        <v/>
      </c>
      <c r="R1452" s="9">
        <f>IF(Q1452="","",$K1452&amp;"")</f>
        <v/>
      </c>
      <c r="S1452" s="9">
        <f>IF(Q1452="","",IF(MATCH(R1452,$R$5:$R$100000,0)=ROW()-4,ROW(),""))</f>
        <v/>
      </c>
      <c r="T1452" s="9">
        <f>IF(Q1452="당기",ABS(P1452)+ROW()/1000000000,"")</f>
        <v/>
      </c>
      <c r="U1452" s="9">
        <f>IF(Q1452="비교",ABS(P1452)+ROW()/1000000000,"")</f>
        <v/>
      </c>
      <c r="V1452" s="39">
        <f>IF($A1452="","",IF(COUNTIF(변동분석!$E$7:$E$506,O1452)&gt;0,"Y","N"))</f>
        <v/>
      </c>
      <c r="W1452" s="39">
        <f>IF($A1452="","",IFERROR(INDEX(계정매핑!$D$5:$D$504,MATCH($F1452&amp;"",계정매핑!$A$5:$A$504,0)),"미매핑"))</f>
        <v/>
      </c>
      <c r="X1452" s="9">
        <f>IF($A1452="","",$F1452&amp;"")</f>
        <v/>
      </c>
    </row>
    <row r="1453">
      <c r="A1453" s="75" t="n">
        <v>2025</v>
      </c>
      <c r="B1453" s="75" t="n">
        <v>8</v>
      </c>
      <c r="C1453" s="75" t="inlineStr">
        <is>
          <t>5100001449</t>
        </is>
      </c>
      <c r="D1453" s="78" t="n">
        <v>45882</v>
      </c>
      <c r="E1453" s="75" t="inlineStr">
        <is>
          <t>KR</t>
        </is>
      </c>
      <c r="F1453" s="75" t="n">
        <v>62401000</v>
      </c>
      <c r="G1453" s="75" t="n">
        <v>1801</v>
      </c>
      <c r="H1453" s="76" t="n">
        <v>2127000</v>
      </c>
      <c r="I1453" s="75" t="inlineStr">
        <is>
          <t>8월 인쇄물 제작 - S출판</t>
        </is>
      </c>
      <c r="J1453" s="75" t="inlineStr">
        <is>
          <t>V10012</t>
        </is>
      </c>
      <c r="K1453" s="75" t="inlineStr">
        <is>
          <t>S출판</t>
        </is>
      </c>
      <c r="M1453" s="9">
        <f>IF($A1453="","",VALUE($A1453&amp;"")*12+VALUE($B1453&amp;""))</f>
        <v/>
      </c>
      <c r="N1453" s="39">
        <f>IF($A1453="","",IFERROR(INDEX(부서매핑!$C$5:$C$504,MATCH($G1453&amp;"",부서매핑!$A$5:$A$504,0)),"미매핑"))</f>
        <v/>
      </c>
      <c r="O1453" s="9">
        <f>IF($A1453="","",N1453&amp;"|"&amp;$F1453)</f>
        <v/>
      </c>
      <c r="P1453" s="77">
        <f>IF($A1453="",0,$H1453*설정!$C$23)</f>
        <v/>
      </c>
      <c r="Q1453" s="39">
        <f>IF($A1453="","",IF(O1453&lt;&gt;원인분석!$C$9,"",IF(AND(M1453&gt;=원인분석!$C$10,M1453&lt;=원인분석!$C$11),"당기",IF(AND(M1453&gt;=원인분석!$C$12,M1453&lt;=원인분석!$C$13),"비교",""))))</f>
        <v/>
      </c>
      <c r="R1453" s="9">
        <f>IF(Q1453="","",$K1453&amp;"")</f>
        <v/>
      </c>
      <c r="S1453" s="9">
        <f>IF(Q1453="","",IF(MATCH(R1453,$R$5:$R$100000,0)=ROW()-4,ROW(),""))</f>
        <v/>
      </c>
      <c r="T1453" s="9">
        <f>IF(Q1453="당기",ABS(P1453)+ROW()/1000000000,"")</f>
        <v/>
      </c>
      <c r="U1453" s="9">
        <f>IF(Q1453="비교",ABS(P1453)+ROW()/1000000000,"")</f>
        <v/>
      </c>
      <c r="V1453" s="39">
        <f>IF($A1453="","",IF(COUNTIF(변동분석!$E$7:$E$506,O1453)&gt;0,"Y","N"))</f>
        <v/>
      </c>
      <c r="W1453" s="39">
        <f>IF($A1453="","",IFERROR(INDEX(계정매핑!$D$5:$D$504,MATCH($F1453&amp;"",계정매핑!$A$5:$A$504,0)),"미매핑"))</f>
        <v/>
      </c>
      <c r="X1453" s="9">
        <f>IF($A1453="","",$F1453&amp;"")</f>
        <v/>
      </c>
    </row>
    <row r="1454">
      <c r="A1454" s="75" t="n">
        <v>2025</v>
      </c>
      <c r="B1454" s="75" t="n">
        <v>8</v>
      </c>
      <c r="C1454" s="75" t="inlineStr">
        <is>
          <t>5100001450</t>
        </is>
      </c>
      <c r="D1454" s="78" t="n">
        <v>45882</v>
      </c>
      <c r="E1454" s="75" t="inlineStr">
        <is>
          <t>KR</t>
        </is>
      </c>
      <c r="F1454" s="75" t="n">
        <v>62501000</v>
      </c>
      <c r="G1454" s="75" t="n">
        <v>1101</v>
      </c>
      <c r="H1454" s="76" t="n">
        <v>216000</v>
      </c>
      <c r="I1454" s="75" t="inlineStr">
        <is>
          <t>8월 회의 다과 - T케이터링</t>
        </is>
      </c>
      <c r="J1454" s="75" t="inlineStr">
        <is>
          <t>V10005</t>
        </is>
      </c>
      <c r="K1454" s="75" t="inlineStr">
        <is>
          <t>T케이터링</t>
        </is>
      </c>
      <c r="M1454" s="9">
        <f>IF($A1454="","",VALUE($A1454&amp;"")*12+VALUE($B1454&amp;""))</f>
        <v/>
      </c>
      <c r="N1454" s="39">
        <f>IF($A1454="","",IFERROR(INDEX(부서매핑!$C$5:$C$504,MATCH($G1454&amp;"",부서매핑!$A$5:$A$504,0)),"미매핑"))</f>
        <v/>
      </c>
      <c r="O1454" s="9">
        <f>IF($A1454="","",N1454&amp;"|"&amp;$F1454)</f>
        <v/>
      </c>
      <c r="P1454" s="77">
        <f>IF($A1454="",0,$H1454*설정!$C$23)</f>
        <v/>
      </c>
      <c r="Q1454" s="39">
        <f>IF($A1454="","",IF(O1454&lt;&gt;원인분석!$C$9,"",IF(AND(M1454&gt;=원인분석!$C$10,M1454&lt;=원인분석!$C$11),"당기",IF(AND(M1454&gt;=원인분석!$C$12,M1454&lt;=원인분석!$C$13),"비교",""))))</f>
        <v/>
      </c>
      <c r="R1454" s="9">
        <f>IF(Q1454="","",$K1454&amp;"")</f>
        <v/>
      </c>
      <c r="S1454" s="9">
        <f>IF(Q1454="","",IF(MATCH(R1454,$R$5:$R$100000,0)=ROW()-4,ROW(),""))</f>
        <v/>
      </c>
      <c r="T1454" s="9">
        <f>IF(Q1454="당기",ABS(P1454)+ROW()/1000000000,"")</f>
        <v/>
      </c>
      <c r="U1454" s="9">
        <f>IF(Q1454="비교",ABS(P1454)+ROW()/1000000000,"")</f>
        <v/>
      </c>
      <c r="V1454" s="39">
        <f>IF($A1454="","",IF(COUNTIF(변동분석!$E$7:$E$506,O1454)&gt;0,"Y","N"))</f>
        <v/>
      </c>
      <c r="W1454" s="39">
        <f>IF($A1454="","",IFERROR(INDEX(계정매핑!$D$5:$D$504,MATCH($F1454&amp;"",계정매핑!$A$5:$A$504,0)),"미매핑"))</f>
        <v/>
      </c>
      <c r="X1454" s="9">
        <f>IF($A1454="","",$F1454&amp;"")</f>
        <v/>
      </c>
    </row>
    <row r="1455">
      <c r="A1455" s="75" t="n">
        <v>2025</v>
      </c>
      <c r="B1455" s="75" t="n">
        <v>8</v>
      </c>
      <c r="C1455" s="75" t="inlineStr">
        <is>
          <t>5100001451</t>
        </is>
      </c>
      <c r="D1455" s="78" t="n">
        <v>45882</v>
      </c>
      <c r="E1455" s="75" t="inlineStr">
        <is>
          <t>KR</t>
        </is>
      </c>
      <c r="F1455" s="75" t="n">
        <v>62501000</v>
      </c>
      <c r="G1455" s="75" t="n">
        <v>1301</v>
      </c>
      <c r="H1455" s="76" t="n">
        <v>253000</v>
      </c>
      <c r="I1455" s="75" t="inlineStr">
        <is>
          <t>8월 회의 다과 - (법인카드)</t>
        </is>
      </c>
      <c r="J1455" s="75" t="inlineStr">
        <is>
          <t>V10008</t>
        </is>
      </c>
      <c r="K1455" s="75" t="inlineStr">
        <is>
          <t>(법인카드)</t>
        </is>
      </c>
      <c r="M1455" s="9">
        <f>IF($A1455="","",VALUE($A1455&amp;"")*12+VALUE($B1455&amp;""))</f>
        <v/>
      </c>
      <c r="N1455" s="39">
        <f>IF($A1455="","",IFERROR(INDEX(부서매핑!$C$5:$C$504,MATCH($G1455&amp;"",부서매핑!$A$5:$A$504,0)),"미매핑"))</f>
        <v/>
      </c>
      <c r="O1455" s="9">
        <f>IF($A1455="","",N1455&amp;"|"&amp;$F1455)</f>
        <v/>
      </c>
      <c r="P1455" s="77">
        <f>IF($A1455="",0,$H1455*설정!$C$23)</f>
        <v/>
      </c>
      <c r="Q1455" s="39">
        <f>IF($A1455="","",IF(O1455&lt;&gt;원인분석!$C$9,"",IF(AND(M1455&gt;=원인분석!$C$10,M1455&lt;=원인분석!$C$11),"당기",IF(AND(M1455&gt;=원인분석!$C$12,M1455&lt;=원인분석!$C$13),"비교",""))))</f>
        <v/>
      </c>
      <c r="R1455" s="9">
        <f>IF(Q1455="","",$K1455&amp;"")</f>
        <v/>
      </c>
      <c r="S1455" s="9">
        <f>IF(Q1455="","",IF(MATCH(R1455,$R$5:$R$100000,0)=ROW()-4,ROW(),""))</f>
        <v/>
      </c>
      <c r="T1455" s="9">
        <f>IF(Q1455="당기",ABS(P1455)+ROW()/1000000000,"")</f>
        <v/>
      </c>
      <c r="U1455" s="9">
        <f>IF(Q1455="비교",ABS(P1455)+ROW()/1000000000,"")</f>
        <v/>
      </c>
      <c r="V1455" s="39">
        <f>IF($A1455="","",IF(COUNTIF(변동분석!$E$7:$E$506,O1455)&gt;0,"Y","N"))</f>
        <v/>
      </c>
      <c r="W1455" s="39">
        <f>IF($A1455="","",IFERROR(INDEX(계정매핑!$D$5:$D$504,MATCH($F1455&amp;"",계정매핑!$A$5:$A$504,0)),"미매핑"))</f>
        <v/>
      </c>
      <c r="X1455" s="9">
        <f>IF($A1455="","",$F1455&amp;"")</f>
        <v/>
      </c>
    </row>
    <row r="1456">
      <c r="A1456" s="75" t="n">
        <v>2025</v>
      </c>
      <c r="B1456" s="75" t="n">
        <v>8</v>
      </c>
      <c r="C1456" s="75" t="inlineStr">
        <is>
          <t>5100001452</t>
        </is>
      </c>
      <c r="D1456" s="78" t="n">
        <v>45882</v>
      </c>
      <c r="E1456" s="75" t="inlineStr">
        <is>
          <t>KR</t>
        </is>
      </c>
      <c r="F1456" s="75" t="n">
        <v>62901000</v>
      </c>
      <c r="G1456" s="75" t="n">
        <v>1101</v>
      </c>
      <c r="H1456" s="76" t="n">
        <v>4395000</v>
      </c>
      <c r="I1456" s="75" t="inlineStr">
        <is>
          <t>8월 자문 수수료 - K회계법인</t>
        </is>
      </c>
      <c r="J1456" s="75" t="inlineStr">
        <is>
          <t>V10010</t>
        </is>
      </c>
      <c r="K1456" s="75" t="inlineStr">
        <is>
          <t>K회계법인</t>
        </is>
      </c>
      <c r="M1456" s="9">
        <f>IF($A1456="","",VALUE($A1456&amp;"")*12+VALUE($B1456&amp;""))</f>
        <v/>
      </c>
      <c r="N1456" s="39">
        <f>IF($A1456="","",IFERROR(INDEX(부서매핑!$C$5:$C$504,MATCH($G1456&amp;"",부서매핑!$A$5:$A$504,0)),"미매핑"))</f>
        <v/>
      </c>
      <c r="O1456" s="9">
        <f>IF($A1456="","",N1456&amp;"|"&amp;$F1456)</f>
        <v/>
      </c>
      <c r="P1456" s="77">
        <f>IF($A1456="",0,$H1456*설정!$C$23)</f>
        <v/>
      </c>
      <c r="Q1456" s="39">
        <f>IF($A1456="","",IF(O1456&lt;&gt;원인분석!$C$9,"",IF(AND(M1456&gt;=원인분석!$C$10,M1456&lt;=원인분석!$C$11),"당기",IF(AND(M1456&gt;=원인분석!$C$12,M1456&lt;=원인분석!$C$13),"비교",""))))</f>
        <v/>
      </c>
      <c r="R1456" s="9">
        <f>IF(Q1456="","",$K1456&amp;"")</f>
        <v/>
      </c>
      <c r="S1456" s="9">
        <f>IF(Q1456="","",IF(MATCH(R1456,$R$5:$R$100000,0)=ROW()-4,ROW(),""))</f>
        <v/>
      </c>
      <c r="T1456" s="9">
        <f>IF(Q1456="당기",ABS(P1456)+ROW()/1000000000,"")</f>
        <v/>
      </c>
      <c r="U1456" s="9">
        <f>IF(Q1456="비교",ABS(P1456)+ROW()/1000000000,"")</f>
        <v/>
      </c>
      <c r="V1456" s="39">
        <f>IF($A1456="","",IF(COUNTIF(변동분석!$E$7:$E$506,O1456)&gt;0,"Y","N"))</f>
        <v/>
      </c>
      <c r="W1456" s="39">
        <f>IF($A1456="","",IFERROR(INDEX(계정매핑!$D$5:$D$504,MATCH($F1456&amp;"",계정매핑!$A$5:$A$504,0)),"미매핑"))</f>
        <v/>
      </c>
      <c r="X1456" s="9">
        <f>IF($A1456="","",$F1456&amp;"")</f>
        <v/>
      </c>
    </row>
    <row r="1457">
      <c r="A1457" s="75" t="n">
        <v>2025</v>
      </c>
      <c r="B1457" s="75" t="n">
        <v>8</v>
      </c>
      <c r="C1457" s="75" t="inlineStr">
        <is>
          <t>5100001453</t>
        </is>
      </c>
      <c r="D1457" s="78" t="n">
        <v>45882</v>
      </c>
      <c r="E1457" s="75" t="inlineStr">
        <is>
          <t>KR</t>
        </is>
      </c>
      <c r="F1457" s="75" t="n">
        <v>62901000</v>
      </c>
      <c r="G1457" s="75" t="n">
        <v>1101</v>
      </c>
      <c r="H1457" s="76" t="n">
        <v>3975000</v>
      </c>
      <c r="I1457" s="75" t="inlineStr">
        <is>
          <t>8월 자문 수수료 - W컨설팅</t>
        </is>
      </c>
      <c r="J1457" s="75" t="inlineStr">
        <is>
          <t>V10009</t>
        </is>
      </c>
      <c r="K1457" s="75" t="inlineStr">
        <is>
          <t>W컨설팅</t>
        </is>
      </c>
      <c r="M1457" s="9">
        <f>IF($A1457="","",VALUE($A1457&amp;"")*12+VALUE($B1457&amp;""))</f>
        <v/>
      </c>
      <c r="N1457" s="39">
        <f>IF($A1457="","",IFERROR(INDEX(부서매핑!$C$5:$C$504,MATCH($G1457&amp;"",부서매핑!$A$5:$A$504,0)),"미매핑"))</f>
        <v/>
      </c>
      <c r="O1457" s="9">
        <f>IF($A1457="","",N1457&amp;"|"&amp;$F1457)</f>
        <v/>
      </c>
      <c r="P1457" s="77">
        <f>IF($A1457="",0,$H1457*설정!$C$23)</f>
        <v/>
      </c>
      <c r="Q1457" s="39">
        <f>IF($A1457="","",IF(O1457&lt;&gt;원인분석!$C$9,"",IF(AND(M1457&gt;=원인분석!$C$10,M1457&lt;=원인분석!$C$11),"당기",IF(AND(M1457&gt;=원인분석!$C$12,M1457&lt;=원인분석!$C$13),"비교",""))))</f>
        <v/>
      </c>
      <c r="R1457" s="9">
        <f>IF(Q1457="","",$K1457&amp;"")</f>
        <v/>
      </c>
      <c r="S1457" s="9">
        <f>IF(Q1457="","",IF(MATCH(R1457,$R$5:$R$100000,0)=ROW()-4,ROW(),""))</f>
        <v/>
      </c>
      <c r="T1457" s="9">
        <f>IF(Q1457="당기",ABS(P1457)+ROW()/1000000000,"")</f>
        <v/>
      </c>
      <c r="U1457" s="9">
        <f>IF(Q1457="비교",ABS(P1457)+ROW()/1000000000,"")</f>
        <v/>
      </c>
      <c r="V1457" s="39">
        <f>IF($A1457="","",IF(COUNTIF(변동분석!$E$7:$E$506,O1457)&gt;0,"Y","N"))</f>
        <v/>
      </c>
      <c r="W1457" s="39">
        <f>IF($A1457="","",IFERROR(INDEX(계정매핑!$D$5:$D$504,MATCH($F1457&amp;"",계정매핑!$A$5:$A$504,0)),"미매핑"))</f>
        <v/>
      </c>
      <c r="X1457" s="9">
        <f>IF($A1457="","",$F1457&amp;"")</f>
        <v/>
      </c>
    </row>
    <row r="1458">
      <c r="A1458" s="75" t="n">
        <v>2025</v>
      </c>
      <c r="B1458" s="75" t="n">
        <v>8</v>
      </c>
      <c r="C1458" s="75" t="inlineStr">
        <is>
          <t>5100001454</t>
        </is>
      </c>
      <c r="D1458" s="78" t="n">
        <v>45883</v>
      </c>
      <c r="E1458" s="75" t="inlineStr">
        <is>
          <t>KR</t>
        </is>
      </c>
      <c r="F1458" s="75" t="n">
        <v>62101000</v>
      </c>
      <c r="G1458" s="75" t="n">
        <v>1101</v>
      </c>
      <c r="H1458" s="76" t="n">
        <v>557000</v>
      </c>
      <c r="I1458" s="75" t="inlineStr">
        <is>
          <t>8월 국내출장 - M항공</t>
        </is>
      </c>
      <c r="J1458" s="75" t="inlineStr">
        <is>
          <t>V10001</t>
        </is>
      </c>
      <c r="K1458" s="75" t="inlineStr">
        <is>
          <t>M항공</t>
        </is>
      </c>
      <c r="M1458" s="9">
        <f>IF($A1458="","",VALUE($A1458&amp;"")*12+VALUE($B1458&amp;""))</f>
        <v/>
      </c>
      <c r="N1458" s="39">
        <f>IF($A1458="","",IFERROR(INDEX(부서매핑!$C$5:$C$504,MATCH($G1458&amp;"",부서매핑!$A$5:$A$504,0)),"미매핑"))</f>
        <v/>
      </c>
      <c r="O1458" s="9">
        <f>IF($A1458="","",N1458&amp;"|"&amp;$F1458)</f>
        <v/>
      </c>
      <c r="P1458" s="77">
        <f>IF($A1458="",0,$H1458*설정!$C$23)</f>
        <v/>
      </c>
      <c r="Q1458" s="39">
        <f>IF($A1458="","",IF(O1458&lt;&gt;원인분석!$C$9,"",IF(AND(M1458&gt;=원인분석!$C$10,M1458&lt;=원인분석!$C$11),"당기",IF(AND(M1458&gt;=원인분석!$C$12,M1458&lt;=원인분석!$C$13),"비교",""))))</f>
        <v/>
      </c>
      <c r="R1458" s="9">
        <f>IF(Q1458="","",$K1458&amp;"")</f>
        <v/>
      </c>
      <c r="S1458" s="9">
        <f>IF(Q1458="","",IF(MATCH(R1458,$R$5:$R$100000,0)=ROW()-4,ROW(),""))</f>
        <v/>
      </c>
      <c r="T1458" s="9">
        <f>IF(Q1458="당기",ABS(P1458)+ROW()/1000000000,"")</f>
        <v/>
      </c>
      <c r="U1458" s="9">
        <f>IF(Q1458="비교",ABS(P1458)+ROW()/1000000000,"")</f>
        <v/>
      </c>
      <c r="V1458" s="39">
        <f>IF($A1458="","",IF(COUNTIF(변동분석!$E$7:$E$506,O1458)&gt;0,"Y","N"))</f>
        <v/>
      </c>
      <c r="W1458" s="39">
        <f>IF($A1458="","",IFERROR(INDEX(계정매핑!$D$5:$D$504,MATCH($F1458&amp;"",계정매핑!$A$5:$A$504,0)),"미매핑"))</f>
        <v/>
      </c>
      <c r="X1458" s="9">
        <f>IF($A1458="","",$F1458&amp;"")</f>
        <v/>
      </c>
    </row>
    <row r="1459">
      <c r="A1459" s="75" t="n">
        <v>2025</v>
      </c>
      <c r="B1459" s="75" t="n">
        <v>8</v>
      </c>
      <c r="C1459" s="75" t="inlineStr">
        <is>
          <t>5100001455</t>
        </is>
      </c>
      <c r="D1459" s="78" t="n">
        <v>45883</v>
      </c>
      <c r="E1459" s="75" t="inlineStr">
        <is>
          <t>KR</t>
        </is>
      </c>
      <c r="F1459" s="75" t="n">
        <v>62102000</v>
      </c>
      <c r="G1459" s="75" t="n">
        <v>1301</v>
      </c>
      <c r="H1459" s="76" t="n">
        <v>69000</v>
      </c>
      <c r="I1459" s="75" t="inlineStr">
        <is>
          <t>8월 해외출장 - M항공</t>
        </is>
      </c>
      <c r="J1459" s="75" t="inlineStr">
        <is>
          <t>V10001</t>
        </is>
      </c>
      <c r="K1459" s="75" t="inlineStr">
        <is>
          <t>M항공</t>
        </is>
      </c>
      <c r="M1459" s="9">
        <f>IF($A1459="","",VALUE($A1459&amp;"")*12+VALUE($B1459&amp;""))</f>
        <v/>
      </c>
      <c r="N1459" s="39">
        <f>IF($A1459="","",IFERROR(INDEX(부서매핑!$C$5:$C$504,MATCH($G1459&amp;"",부서매핑!$A$5:$A$504,0)),"미매핑"))</f>
        <v/>
      </c>
      <c r="O1459" s="9">
        <f>IF($A1459="","",N1459&amp;"|"&amp;$F1459)</f>
        <v/>
      </c>
      <c r="P1459" s="77">
        <f>IF($A1459="",0,$H1459*설정!$C$23)</f>
        <v/>
      </c>
      <c r="Q1459" s="39">
        <f>IF($A1459="","",IF(O1459&lt;&gt;원인분석!$C$9,"",IF(AND(M1459&gt;=원인분석!$C$10,M1459&lt;=원인분석!$C$11),"당기",IF(AND(M1459&gt;=원인분석!$C$12,M1459&lt;=원인분석!$C$13),"비교",""))))</f>
        <v/>
      </c>
      <c r="R1459" s="9">
        <f>IF(Q1459="","",$K1459&amp;"")</f>
        <v/>
      </c>
      <c r="S1459" s="9">
        <f>IF(Q1459="","",IF(MATCH(R1459,$R$5:$R$100000,0)=ROW()-4,ROW(),""))</f>
        <v/>
      </c>
      <c r="T1459" s="9">
        <f>IF(Q1459="당기",ABS(P1459)+ROW()/1000000000,"")</f>
        <v/>
      </c>
      <c r="U1459" s="9">
        <f>IF(Q1459="비교",ABS(P1459)+ROW()/1000000000,"")</f>
        <v/>
      </c>
      <c r="V1459" s="39">
        <f>IF($A1459="","",IF(COUNTIF(변동분석!$E$7:$E$506,O1459)&gt;0,"Y","N"))</f>
        <v/>
      </c>
      <c r="W1459" s="39">
        <f>IF($A1459="","",IFERROR(INDEX(계정매핑!$D$5:$D$504,MATCH($F1459&amp;"",계정매핑!$A$5:$A$504,0)),"미매핑"))</f>
        <v/>
      </c>
      <c r="X1459" s="9">
        <f>IF($A1459="","",$F1459&amp;"")</f>
        <v/>
      </c>
    </row>
    <row r="1460">
      <c r="A1460" s="75" t="n">
        <v>2025</v>
      </c>
      <c r="B1460" s="75" t="n">
        <v>8</v>
      </c>
      <c r="C1460" s="75" t="inlineStr">
        <is>
          <t>5100001456</t>
        </is>
      </c>
      <c r="D1460" s="78" t="n">
        <v>45883</v>
      </c>
      <c r="E1460" s="75" t="inlineStr">
        <is>
          <t>KR</t>
        </is>
      </c>
      <c r="F1460" s="75" t="n">
        <v>62201000</v>
      </c>
      <c r="G1460" s="75" t="n">
        <v>1701</v>
      </c>
      <c r="H1460" s="76" t="n">
        <v>8323000</v>
      </c>
      <c r="I1460" s="75" t="inlineStr">
        <is>
          <t>8월 통신요금 - P통신</t>
        </is>
      </c>
      <c r="J1460" s="75" t="inlineStr">
        <is>
          <t>V10011</t>
        </is>
      </c>
      <c r="K1460" s="75" t="inlineStr">
        <is>
          <t>P통신</t>
        </is>
      </c>
      <c r="M1460" s="9">
        <f>IF($A1460="","",VALUE($A1460&amp;"")*12+VALUE($B1460&amp;""))</f>
        <v/>
      </c>
      <c r="N1460" s="39">
        <f>IF($A1460="","",IFERROR(INDEX(부서매핑!$C$5:$C$504,MATCH($G1460&amp;"",부서매핑!$A$5:$A$504,0)),"미매핑"))</f>
        <v/>
      </c>
      <c r="O1460" s="9">
        <f>IF($A1460="","",N1460&amp;"|"&amp;$F1460)</f>
        <v/>
      </c>
      <c r="P1460" s="77">
        <f>IF($A1460="",0,$H1460*설정!$C$23)</f>
        <v/>
      </c>
      <c r="Q1460" s="39">
        <f>IF($A1460="","",IF(O1460&lt;&gt;원인분석!$C$9,"",IF(AND(M1460&gt;=원인분석!$C$10,M1460&lt;=원인분석!$C$11),"당기",IF(AND(M1460&gt;=원인분석!$C$12,M1460&lt;=원인분석!$C$13),"비교",""))))</f>
        <v/>
      </c>
      <c r="R1460" s="9">
        <f>IF(Q1460="","",$K1460&amp;"")</f>
        <v/>
      </c>
      <c r="S1460" s="9">
        <f>IF(Q1460="","",IF(MATCH(R1460,$R$5:$R$100000,0)=ROW()-4,ROW(),""))</f>
        <v/>
      </c>
      <c r="T1460" s="9">
        <f>IF(Q1460="당기",ABS(P1460)+ROW()/1000000000,"")</f>
        <v/>
      </c>
      <c r="U1460" s="9">
        <f>IF(Q1460="비교",ABS(P1460)+ROW()/1000000000,"")</f>
        <v/>
      </c>
      <c r="V1460" s="39">
        <f>IF($A1460="","",IF(COUNTIF(변동분석!$E$7:$E$506,O1460)&gt;0,"Y","N"))</f>
        <v/>
      </c>
      <c r="W1460" s="39">
        <f>IF($A1460="","",IFERROR(INDEX(계정매핑!$D$5:$D$504,MATCH($F1460&amp;"",계정매핑!$A$5:$A$504,0)),"미매핑"))</f>
        <v/>
      </c>
      <c r="X1460" s="9">
        <f>IF($A1460="","",$F1460&amp;"")</f>
        <v/>
      </c>
    </row>
    <row r="1461">
      <c r="A1461" s="75" t="n">
        <v>2025</v>
      </c>
      <c r="B1461" s="75" t="n">
        <v>8</v>
      </c>
      <c r="C1461" s="75" t="inlineStr">
        <is>
          <t>5100001457</t>
        </is>
      </c>
      <c r="D1461" s="78" t="n">
        <v>45883</v>
      </c>
      <c r="E1461" s="75" t="inlineStr">
        <is>
          <t>KR</t>
        </is>
      </c>
      <c r="F1461" s="75" t="n">
        <v>62201000</v>
      </c>
      <c r="G1461" s="75" t="n">
        <v>1801</v>
      </c>
      <c r="H1461" s="76" t="n">
        <v>5257000</v>
      </c>
      <c r="I1461" s="75" t="inlineStr">
        <is>
          <t>8월 통신요금 - P통신</t>
        </is>
      </c>
      <c r="J1461" s="75" t="inlineStr">
        <is>
          <t>V10011</t>
        </is>
      </c>
      <c r="K1461" s="75" t="inlineStr">
        <is>
          <t>P통신</t>
        </is>
      </c>
      <c r="M1461" s="9">
        <f>IF($A1461="","",VALUE($A1461&amp;"")*12+VALUE($B1461&amp;""))</f>
        <v/>
      </c>
      <c r="N1461" s="39">
        <f>IF($A1461="","",IFERROR(INDEX(부서매핑!$C$5:$C$504,MATCH($G1461&amp;"",부서매핑!$A$5:$A$504,0)),"미매핑"))</f>
        <v/>
      </c>
      <c r="O1461" s="9">
        <f>IF($A1461="","",N1461&amp;"|"&amp;$F1461)</f>
        <v/>
      </c>
      <c r="P1461" s="77">
        <f>IF($A1461="",0,$H1461*설정!$C$23)</f>
        <v/>
      </c>
      <c r="Q1461" s="39">
        <f>IF($A1461="","",IF(O1461&lt;&gt;원인분석!$C$9,"",IF(AND(M1461&gt;=원인분석!$C$10,M1461&lt;=원인분석!$C$11),"당기",IF(AND(M1461&gt;=원인분석!$C$12,M1461&lt;=원인분석!$C$13),"비교",""))))</f>
        <v/>
      </c>
      <c r="R1461" s="9">
        <f>IF(Q1461="","",$K1461&amp;"")</f>
        <v/>
      </c>
      <c r="S1461" s="9">
        <f>IF(Q1461="","",IF(MATCH(R1461,$R$5:$R$100000,0)=ROW()-4,ROW(),""))</f>
        <v/>
      </c>
      <c r="T1461" s="9">
        <f>IF(Q1461="당기",ABS(P1461)+ROW()/1000000000,"")</f>
        <v/>
      </c>
      <c r="U1461" s="9">
        <f>IF(Q1461="비교",ABS(P1461)+ROW()/1000000000,"")</f>
        <v/>
      </c>
      <c r="V1461" s="39">
        <f>IF($A1461="","",IF(COUNTIF(변동분석!$E$7:$E$506,O1461)&gt;0,"Y","N"))</f>
        <v/>
      </c>
      <c r="W1461" s="39">
        <f>IF($A1461="","",IFERROR(INDEX(계정매핑!$D$5:$D$504,MATCH($F1461&amp;"",계정매핑!$A$5:$A$504,0)),"미매핑"))</f>
        <v/>
      </c>
      <c r="X1461" s="9">
        <f>IF($A1461="","",$F1461&amp;"")</f>
        <v/>
      </c>
    </row>
    <row r="1462">
      <c r="A1462" s="75" t="n">
        <v>2025</v>
      </c>
      <c r="B1462" s="75" t="n">
        <v>8</v>
      </c>
      <c r="C1462" s="75" t="inlineStr">
        <is>
          <t>5100001458</t>
        </is>
      </c>
      <c r="D1462" s="78" t="n">
        <v>45883</v>
      </c>
      <c r="E1462" s="75" t="inlineStr">
        <is>
          <t>KR</t>
        </is>
      </c>
      <c r="F1462" s="75" t="n">
        <v>62301000</v>
      </c>
      <c r="G1462" s="75" t="n">
        <v>1101</v>
      </c>
      <c r="H1462" s="76" t="n">
        <v>181000</v>
      </c>
      <c r="I1462" s="75" t="inlineStr">
        <is>
          <t>8월 소모품 구입 - R문구</t>
        </is>
      </c>
      <c r="J1462" s="75" t="inlineStr">
        <is>
          <t>V10018</t>
        </is>
      </c>
      <c r="K1462" s="75" t="inlineStr">
        <is>
          <t>R문구</t>
        </is>
      </c>
      <c r="M1462" s="9">
        <f>IF($A1462="","",VALUE($A1462&amp;"")*12+VALUE($B1462&amp;""))</f>
        <v/>
      </c>
      <c r="N1462" s="39">
        <f>IF($A1462="","",IFERROR(INDEX(부서매핑!$C$5:$C$504,MATCH($G1462&amp;"",부서매핑!$A$5:$A$504,0)),"미매핑"))</f>
        <v/>
      </c>
      <c r="O1462" s="9">
        <f>IF($A1462="","",N1462&amp;"|"&amp;$F1462)</f>
        <v/>
      </c>
      <c r="P1462" s="77">
        <f>IF($A1462="",0,$H1462*설정!$C$23)</f>
        <v/>
      </c>
      <c r="Q1462" s="39">
        <f>IF($A1462="","",IF(O1462&lt;&gt;원인분석!$C$9,"",IF(AND(M1462&gt;=원인분석!$C$10,M1462&lt;=원인분석!$C$11),"당기",IF(AND(M1462&gt;=원인분석!$C$12,M1462&lt;=원인분석!$C$13),"비교",""))))</f>
        <v/>
      </c>
      <c r="R1462" s="9">
        <f>IF(Q1462="","",$K1462&amp;"")</f>
        <v/>
      </c>
      <c r="S1462" s="9">
        <f>IF(Q1462="","",IF(MATCH(R1462,$R$5:$R$100000,0)=ROW()-4,ROW(),""))</f>
        <v/>
      </c>
      <c r="T1462" s="9">
        <f>IF(Q1462="당기",ABS(P1462)+ROW()/1000000000,"")</f>
        <v/>
      </c>
      <c r="U1462" s="9">
        <f>IF(Q1462="비교",ABS(P1462)+ROW()/1000000000,"")</f>
        <v/>
      </c>
      <c r="V1462" s="39">
        <f>IF($A1462="","",IF(COUNTIF(변동분석!$E$7:$E$506,O1462)&gt;0,"Y","N"))</f>
        <v/>
      </c>
      <c r="W1462" s="39">
        <f>IF($A1462="","",IFERROR(INDEX(계정매핑!$D$5:$D$504,MATCH($F1462&amp;"",계정매핑!$A$5:$A$504,0)),"미매핑"))</f>
        <v/>
      </c>
      <c r="X1462" s="9">
        <f>IF($A1462="","",$F1462&amp;"")</f>
        <v/>
      </c>
    </row>
    <row r="1463">
      <c r="A1463" s="75" t="n">
        <v>2025</v>
      </c>
      <c r="B1463" s="75" t="n">
        <v>8</v>
      </c>
      <c r="C1463" s="75" t="inlineStr">
        <is>
          <t>5100001459</t>
        </is>
      </c>
      <c r="D1463" s="78" t="n">
        <v>45883</v>
      </c>
      <c r="E1463" s="75" t="inlineStr">
        <is>
          <t>KR</t>
        </is>
      </c>
      <c r="F1463" s="75" t="n">
        <v>62401000</v>
      </c>
      <c r="G1463" s="75" t="n">
        <v>1801</v>
      </c>
      <c r="H1463" s="76" t="n">
        <v>1457000</v>
      </c>
      <c r="I1463" s="75" t="inlineStr">
        <is>
          <t>8월 인쇄물 제작 - G인쇄</t>
        </is>
      </c>
      <c r="J1463" s="75" t="inlineStr">
        <is>
          <t>V10004</t>
        </is>
      </c>
      <c r="K1463" s="75" t="inlineStr">
        <is>
          <t>G인쇄</t>
        </is>
      </c>
      <c r="M1463" s="9">
        <f>IF($A1463="","",VALUE($A1463&amp;"")*12+VALUE($B1463&amp;""))</f>
        <v/>
      </c>
      <c r="N1463" s="39">
        <f>IF($A1463="","",IFERROR(INDEX(부서매핑!$C$5:$C$504,MATCH($G1463&amp;"",부서매핑!$A$5:$A$504,0)),"미매핑"))</f>
        <v/>
      </c>
      <c r="O1463" s="9">
        <f>IF($A1463="","",N1463&amp;"|"&amp;$F1463)</f>
        <v/>
      </c>
      <c r="P1463" s="77">
        <f>IF($A1463="",0,$H1463*설정!$C$23)</f>
        <v/>
      </c>
      <c r="Q1463" s="39">
        <f>IF($A1463="","",IF(O1463&lt;&gt;원인분석!$C$9,"",IF(AND(M1463&gt;=원인분석!$C$10,M1463&lt;=원인분석!$C$11),"당기",IF(AND(M1463&gt;=원인분석!$C$12,M1463&lt;=원인분석!$C$13),"비교",""))))</f>
        <v/>
      </c>
      <c r="R1463" s="9">
        <f>IF(Q1463="","",$K1463&amp;"")</f>
        <v/>
      </c>
      <c r="S1463" s="9">
        <f>IF(Q1463="","",IF(MATCH(R1463,$R$5:$R$100000,0)=ROW()-4,ROW(),""))</f>
        <v/>
      </c>
      <c r="T1463" s="9">
        <f>IF(Q1463="당기",ABS(P1463)+ROW()/1000000000,"")</f>
        <v/>
      </c>
      <c r="U1463" s="9">
        <f>IF(Q1463="비교",ABS(P1463)+ROW()/1000000000,"")</f>
        <v/>
      </c>
      <c r="V1463" s="39">
        <f>IF($A1463="","",IF(COUNTIF(변동분석!$E$7:$E$506,O1463)&gt;0,"Y","N"))</f>
        <v/>
      </c>
      <c r="W1463" s="39">
        <f>IF($A1463="","",IFERROR(INDEX(계정매핑!$D$5:$D$504,MATCH($F1463&amp;"",계정매핑!$A$5:$A$504,0)),"미매핑"))</f>
        <v/>
      </c>
      <c r="X1463" s="9">
        <f>IF($A1463="","",$F1463&amp;"")</f>
        <v/>
      </c>
    </row>
    <row r="1464">
      <c r="A1464" s="75" t="n">
        <v>2025</v>
      </c>
      <c r="B1464" s="75" t="n">
        <v>8</v>
      </c>
      <c r="C1464" s="75" t="inlineStr">
        <is>
          <t>5100001460</t>
        </is>
      </c>
      <c r="D1464" s="78" t="n">
        <v>45883</v>
      </c>
      <c r="E1464" s="75" t="inlineStr">
        <is>
          <t>KR</t>
        </is>
      </c>
      <c r="F1464" s="75" t="n">
        <v>62501000</v>
      </c>
      <c r="G1464" s="75" t="n">
        <v>1201</v>
      </c>
      <c r="H1464" s="76" t="n">
        <v>105000</v>
      </c>
      <c r="I1464" s="75" t="inlineStr">
        <is>
          <t>8월 회의 다과 - T케이터링</t>
        </is>
      </c>
      <c r="J1464" s="75" t="inlineStr">
        <is>
          <t>V10005</t>
        </is>
      </c>
      <c r="K1464" s="75" t="inlineStr">
        <is>
          <t>T케이터링</t>
        </is>
      </c>
      <c r="M1464" s="9">
        <f>IF($A1464="","",VALUE($A1464&amp;"")*12+VALUE($B1464&amp;""))</f>
        <v/>
      </c>
      <c r="N1464" s="39">
        <f>IF($A1464="","",IFERROR(INDEX(부서매핑!$C$5:$C$504,MATCH($G1464&amp;"",부서매핑!$A$5:$A$504,0)),"미매핑"))</f>
        <v/>
      </c>
      <c r="O1464" s="9">
        <f>IF($A1464="","",N1464&amp;"|"&amp;$F1464)</f>
        <v/>
      </c>
      <c r="P1464" s="77">
        <f>IF($A1464="",0,$H1464*설정!$C$23)</f>
        <v/>
      </c>
      <c r="Q1464" s="39">
        <f>IF($A1464="","",IF(O1464&lt;&gt;원인분석!$C$9,"",IF(AND(M1464&gt;=원인분석!$C$10,M1464&lt;=원인분석!$C$11),"당기",IF(AND(M1464&gt;=원인분석!$C$12,M1464&lt;=원인분석!$C$13),"비교",""))))</f>
        <v/>
      </c>
      <c r="R1464" s="9">
        <f>IF(Q1464="","",$K1464&amp;"")</f>
        <v/>
      </c>
      <c r="S1464" s="9">
        <f>IF(Q1464="","",IF(MATCH(R1464,$R$5:$R$100000,0)=ROW()-4,ROW(),""))</f>
        <v/>
      </c>
      <c r="T1464" s="9">
        <f>IF(Q1464="당기",ABS(P1464)+ROW()/1000000000,"")</f>
        <v/>
      </c>
      <c r="U1464" s="9">
        <f>IF(Q1464="비교",ABS(P1464)+ROW()/1000000000,"")</f>
        <v/>
      </c>
      <c r="V1464" s="39">
        <f>IF($A1464="","",IF(COUNTIF(변동분석!$E$7:$E$506,O1464)&gt;0,"Y","N"))</f>
        <v/>
      </c>
      <c r="W1464" s="39">
        <f>IF($A1464="","",IFERROR(INDEX(계정매핑!$D$5:$D$504,MATCH($F1464&amp;"",계정매핑!$A$5:$A$504,0)),"미매핑"))</f>
        <v/>
      </c>
      <c r="X1464" s="9">
        <f>IF($A1464="","",$F1464&amp;"")</f>
        <v/>
      </c>
    </row>
    <row r="1465">
      <c r="A1465" s="75" t="n">
        <v>2025</v>
      </c>
      <c r="B1465" s="75" t="n">
        <v>8</v>
      </c>
      <c r="C1465" s="75" t="inlineStr">
        <is>
          <t>5100001461</t>
        </is>
      </c>
      <c r="D1465" s="78" t="n">
        <v>45883</v>
      </c>
      <c r="E1465" s="75" t="inlineStr">
        <is>
          <t>KR</t>
        </is>
      </c>
      <c r="F1465" s="75" t="n">
        <v>62501000</v>
      </c>
      <c r="G1465" s="75" t="n">
        <v>1701</v>
      </c>
      <c r="H1465" s="76" t="n">
        <v>122000</v>
      </c>
      <c r="I1465" s="75" t="inlineStr">
        <is>
          <t>8월 회의 다과 - (법인카드)</t>
        </is>
      </c>
      <c r="J1465" s="75" t="inlineStr">
        <is>
          <t>V10008</t>
        </is>
      </c>
      <c r="K1465" s="75" t="inlineStr">
        <is>
          <t>(법인카드)</t>
        </is>
      </c>
      <c r="M1465" s="9">
        <f>IF($A1465="","",VALUE($A1465&amp;"")*12+VALUE($B1465&amp;""))</f>
        <v/>
      </c>
      <c r="N1465" s="39">
        <f>IF($A1465="","",IFERROR(INDEX(부서매핑!$C$5:$C$504,MATCH($G1465&amp;"",부서매핑!$A$5:$A$504,0)),"미매핑"))</f>
        <v/>
      </c>
      <c r="O1465" s="9">
        <f>IF($A1465="","",N1465&amp;"|"&amp;$F1465)</f>
        <v/>
      </c>
      <c r="P1465" s="77">
        <f>IF($A1465="",0,$H1465*설정!$C$23)</f>
        <v/>
      </c>
      <c r="Q1465" s="39">
        <f>IF($A1465="","",IF(O1465&lt;&gt;원인분석!$C$9,"",IF(AND(M1465&gt;=원인분석!$C$10,M1465&lt;=원인분석!$C$11),"당기",IF(AND(M1465&gt;=원인분석!$C$12,M1465&lt;=원인분석!$C$13),"비교",""))))</f>
        <v/>
      </c>
      <c r="R1465" s="9">
        <f>IF(Q1465="","",$K1465&amp;"")</f>
        <v/>
      </c>
      <c r="S1465" s="9">
        <f>IF(Q1465="","",IF(MATCH(R1465,$R$5:$R$100000,0)=ROW()-4,ROW(),""))</f>
        <v/>
      </c>
      <c r="T1465" s="9">
        <f>IF(Q1465="당기",ABS(P1465)+ROW()/1000000000,"")</f>
        <v/>
      </c>
      <c r="U1465" s="9">
        <f>IF(Q1465="비교",ABS(P1465)+ROW()/1000000000,"")</f>
        <v/>
      </c>
      <c r="V1465" s="39">
        <f>IF($A1465="","",IF(COUNTIF(변동분석!$E$7:$E$506,O1465)&gt;0,"Y","N"))</f>
        <v/>
      </c>
      <c r="W1465" s="39">
        <f>IF($A1465="","",IFERROR(INDEX(계정매핑!$D$5:$D$504,MATCH($F1465&amp;"",계정매핑!$A$5:$A$504,0)),"미매핑"))</f>
        <v/>
      </c>
      <c r="X1465" s="9">
        <f>IF($A1465="","",$F1465&amp;"")</f>
        <v/>
      </c>
    </row>
    <row r="1466">
      <c r="A1466" s="75" t="n">
        <v>2025</v>
      </c>
      <c r="B1466" s="75" t="n">
        <v>8</v>
      </c>
      <c r="C1466" s="75" t="inlineStr">
        <is>
          <t>5100001462</t>
        </is>
      </c>
      <c r="D1466" s="78" t="n">
        <v>45883</v>
      </c>
      <c r="E1466" s="75" t="inlineStr">
        <is>
          <t>KR</t>
        </is>
      </c>
      <c r="F1466" s="75" t="n">
        <v>62801000</v>
      </c>
      <c r="G1466" s="75" t="n">
        <v>1301</v>
      </c>
      <c r="H1466" s="76" t="n">
        <v>4290000</v>
      </c>
      <c r="I1466" s="75" t="inlineStr">
        <is>
          <t>8월 사내교육 - U에듀</t>
        </is>
      </c>
      <c r="J1466" s="75" t="inlineStr">
        <is>
          <t>V10026</t>
        </is>
      </c>
      <c r="K1466" s="75" t="inlineStr">
        <is>
          <t>U에듀</t>
        </is>
      </c>
      <c r="M1466" s="9">
        <f>IF($A1466="","",VALUE($A1466&amp;"")*12+VALUE($B1466&amp;""))</f>
        <v/>
      </c>
      <c r="N1466" s="39">
        <f>IF($A1466="","",IFERROR(INDEX(부서매핑!$C$5:$C$504,MATCH($G1466&amp;"",부서매핑!$A$5:$A$504,0)),"미매핑"))</f>
        <v/>
      </c>
      <c r="O1466" s="9">
        <f>IF($A1466="","",N1466&amp;"|"&amp;$F1466)</f>
        <v/>
      </c>
      <c r="P1466" s="77">
        <f>IF($A1466="",0,$H1466*설정!$C$23)</f>
        <v/>
      </c>
      <c r="Q1466" s="39">
        <f>IF($A1466="","",IF(O1466&lt;&gt;원인분석!$C$9,"",IF(AND(M1466&gt;=원인분석!$C$10,M1466&lt;=원인분석!$C$11),"당기",IF(AND(M1466&gt;=원인분석!$C$12,M1466&lt;=원인분석!$C$13),"비교",""))))</f>
        <v/>
      </c>
      <c r="R1466" s="9">
        <f>IF(Q1466="","",$K1466&amp;"")</f>
        <v/>
      </c>
      <c r="S1466" s="9">
        <f>IF(Q1466="","",IF(MATCH(R1466,$R$5:$R$100000,0)=ROW()-4,ROW(),""))</f>
        <v/>
      </c>
      <c r="T1466" s="9">
        <f>IF(Q1466="당기",ABS(P1466)+ROW()/1000000000,"")</f>
        <v/>
      </c>
      <c r="U1466" s="9">
        <f>IF(Q1466="비교",ABS(P1466)+ROW()/1000000000,"")</f>
        <v/>
      </c>
      <c r="V1466" s="39">
        <f>IF($A1466="","",IF(COUNTIF(변동분석!$E$7:$E$506,O1466)&gt;0,"Y","N"))</f>
        <v/>
      </c>
      <c r="W1466" s="39">
        <f>IF($A1466="","",IFERROR(INDEX(계정매핑!$D$5:$D$504,MATCH($F1466&amp;"",계정매핑!$A$5:$A$504,0)),"미매핑"))</f>
        <v/>
      </c>
      <c r="X1466" s="9">
        <f>IF($A1466="","",$F1466&amp;"")</f>
        <v/>
      </c>
    </row>
    <row r="1467">
      <c r="A1467" s="75" t="n">
        <v>2025</v>
      </c>
      <c r="B1467" s="75" t="n">
        <v>8</v>
      </c>
      <c r="C1467" s="75" t="inlineStr">
        <is>
          <t>5100001463</t>
        </is>
      </c>
      <c r="D1467" s="78" t="n">
        <v>45884</v>
      </c>
      <c r="E1467" s="75" t="inlineStr">
        <is>
          <t>KR</t>
        </is>
      </c>
      <c r="F1467" s="75" t="n">
        <v>62101000</v>
      </c>
      <c r="G1467" s="75" t="n">
        <v>1801</v>
      </c>
      <c r="H1467" s="76" t="n">
        <v>232000</v>
      </c>
      <c r="I1467" s="75" t="inlineStr">
        <is>
          <t>8월 국내출장 - M항공</t>
        </is>
      </c>
      <c r="J1467" s="75" t="inlineStr">
        <is>
          <t>V10001</t>
        </is>
      </c>
      <c r="K1467" s="75" t="inlineStr">
        <is>
          <t>M항공</t>
        </is>
      </c>
      <c r="M1467" s="9">
        <f>IF($A1467="","",VALUE($A1467&amp;"")*12+VALUE($B1467&amp;""))</f>
        <v/>
      </c>
      <c r="N1467" s="39">
        <f>IF($A1467="","",IFERROR(INDEX(부서매핑!$C$5:$C$504,MATCH($G1467&amp;"",부서매핑!$A$5:$A$504,0)),"미매핑"))</f>
        <v/>
      </c>
      <c r="O1467" s="9">
        <f>IF($A1467="","",N1467&amp;"|"&amp;$F1467)</f>
        <v/>
      </c>
      <c r="P1467" s="77">
        <f>IF($A1467="",0,$H1467*설정!$C$23)</f>
        <v/>
      </c>
      <c r="Q1467" s="39">
        <f>IF($A1467="","",IF(O1467&lt;&gt;원인분석!$C$9,"",IF(AND(M1467&gt;=원인분석!$C$10,M1467&lt;=원인분석!$C$11),"당기",IF(AND(M1467&gt;=원인분석!$C$12,M1467&lt;=원인분석!$C$13),"비교",""))))</f>
        <v/>
      </c>
      <c r="R1467" s="9">
        <f>IF(Q1467="","",$K1467&amp;"")</f>
        <v/>
      </c>
      <c r="S1467" s="9">
        <f>IF(Q1467="","",IF(MATCH(R1467,$R$5:$R$100000,0)=ROW()-4,ROW(),""))</f>
        <v/>
      </c>
      <c r="T1467" s="9">
        <f>IF(Q1467="당기",ABS(P1467)+ROW()/1000000000,"")</f>
        <v/>
      </c>
      <c r="U1467" s="9">
        <f>IF(Q1467="비교",ABS(P1467)+ROW()/1000000000,"")</f>
        <v/>
      </c>
      <c r="V1467" s="39">
        <f>IF($A1467="","",IF(COUNTIF(변동분석!$E$7:$E$506,O1467)&gt;0,"Y","N"))</f>
        <v/>
      </c>
      <c r="W1467" s="39">
        <f>IF($A1467="","",IFERROR(INDEX(계정매핑!$D$5:$D$504,MATCH($F1467&amp;"",계정매핑!$A$5:$A$504,0)),"미매핑"))</f>
        <v/>
      </c>
      <c r="X1467" s="9">
        <f>IF($A1467="","",$F1467&amp;"")</f>
        <v/>
      </c>
    </row>
    <row r="1468">
      <c r="A1468" s="75" t="n">
        <v>2025</v>
      </c>
      <c r="B1468" s="75" t="n">
        <v>8</v>
      </c>
      <c r="C1468" s="75" t="inlineStr">
        <is>
          <t>5100001464</t>
        </is>
      </c>
      <c r="D1468" s="78" t="n">
        <v>45884</v>
      </c>
      <c r="E1468" s="75" t="inlineStr">
        <is>
          <t>KR</t>
        </is>
      </c>
      <c r="F1468" s="75" t="n">
        <v>62102000</v>
      </c>
      <c r="G1468" s="75" t="n">
        <v>1101</v>
      </c>
      <c r="H1468" s="76" t="n">
        <v>127000</v>
      </c>
      <c r="I1468" s="75" t="inlineStr">
        <is>
          <t>8월 해외출장 - N호텔</t>
        </is>
      </c>
      <c r="J1468" s="75" t="inlineStr">
        <is>
          <t>V10007</t>
        </is>
      </c>
      <c r="K1468" s="75" t="inlineStr">
        <is>
          <t>N호텔</t>
        </is>
      </c>
      <c r="M1468" s="9">
        <f>IF($A1468="","",VALUE($A1468&amp;"")*12+VALUE($B1468&amp;""))</f>
        <v/>
      </c>
      <c r="N1468" s="39">
        <f>IF($A1468="","",IFERROR(INDEX(부서매핑!$C$5:$C$504,MATCH($G1468&amp;"",부서매핑!$A$5:$A$504,0)),"미매핑"))</f>
        <v/>
      </c>
      <c r="O1468" s="9">
        <f>IF($A1468="","",N1468&amp;"|"&amp;$F1468)</f>
        <v/>
      </c>
      <c r="P1468" s="77">
        <f>IF($A1468="",0,$H1468*설정!$C$23)</f>
        <v/>
      </c>
      <c r="Q1468" s="39">
        <f>IF($A1468="","",IF(O1468&lt;&gt;원인분석!$C$9,"",IF(AND(M1468&gt;=원인분석!$C$10,M1468&lt;=원인분석!$C$11),"당기",IF(AND(M1468&gt;=원인분석!$C$12,M1468&lt;=원인분석!$C$13),"비교",""))))</f>
        <v/>
      </c>
      <c r="R1468" s="9">
        <f>IF(Q1468="","",$K1468&amp;"")</f>
        <v/>
      </c>
      <c r="S1468" s="9">
        <f>IF(Q1468="","",IF(MATCH(R1468,$R$5:$R$100000,0)=ROW()-4,ROW(),""))</f>
        <v/>
      </c>
      <c r="T1468" s="9">
        <f>IF(Q1468="당기",ABS(P1468)+ROW()/1000000000,"")</f>
        <v/>
      </c>
      <c r="U1468" s="9">
        <f>IF(Q1468="비교",ABS(P1468)+ROW()/1000000000,"")</f>
        <v/>
      </c>
      <c r="V1468" s="39">
        <f>IF($A1468="","",IF(COUNTIF(변동분석!$E$7:$E$506,O1468)&gt;0,"Y","N"))</f>
        <v/>
      </c>
      <c r="W1468" s="39">
        <f>IF($A1468="","",IFERROR(INDEX(계정매핑!$D$5:$D$504,MATCH($F1468&amp;"",계정매핑!$A$5:$A$504,0)),"미매핑"))</f>
        <v/>
      </c>
      <c r="X1468" s="9">
        <f>IF($A1468="","",$F1468&amp;"")</f>
        <v/>
      </c>
    </row>
    <row r="1469">
      <c r="A1469" s="75" t="n">
        <v>2025</v>
      </c>
      <c r="B1469" s="75" t="n">
        <v>8</v>
      </c>
      <c r="C1469" s="75" t="inlineStr">
        <is>
          <t>5100001465</t>
        </is>
      </c>
      <c r="D1469" s="78" t="n">
        <v>45884</v>
      </c>
      <c r="E1469" s="75" t="inlineStr">
        <is>
          <t>KR</t>
        </is>
      </c>
      <c r="F1469" s="75" t="n">
        <v>62201000</v>
      </c>
      <c r="G1469" s="75" t="n">
        <v>1301</v>
      </c>
      <c r="H1469" s="76" t="n">
        <v>292000</v>
      </c>
      <c r="I1469" s="75" t="inlineStr">
        <is>
          <t>8월 통신요금 - O텔레콤</t>
        </is>
      </c>
      <c r="J1469" s="75" t="inlineStr">
        <is>
          <t>V10002</t>
        </is>
      </c>
      <c r="K1469" s="75" t="inlineStr">
        <is>
          <t>O텔레콤</t>
        </is>
      </c>
      <c r="M1469" s="9">
        <f>IF($A1469="","",VALUE($A1469&amp;"")*12+VALUE($B1469&amp;""))</f>
        <v/>
      </c>
      <c r="N1469" s="39">
        <f>IF($A1469="","",IFERROR(INDEX(부서매핑!$C$5:$C$504,MATCH($G1469&amp;"",부서매핑!$A$5:$A$504,0)),"미매핑"))</f>
        <v/>
      </c>
      <c r="O1469" s="9">
        <f>IF($A1469="","",N1469&amp;"|"&amp;$F1469)</f>
        <v/>
      </c>
      <c r="P1469" s="77">
        <f>IF($A1469="",0,$H1469*설정!$C$23)</f>
        <v/>
      </c>
      <c r="Q1469" s="39">
        <f>IF($A1469="","",IF(O1469&lt;&gt;원인분석!$C$9,"",IF(AND(M1469&gt;=원인분석!$C$10,M1469&lt;=원인분석!$C$11),"당기",IF(AND(M1469&gt;=원인분석!$C$12,M1469&lt;=원인분석!$C$13),"비교",""))))</f>
        <v/>
      </c>
      <c r="R1469" s="9">
        <f>IF(Q1469="","",$K1469&amp;"")</f>
        <v/>
      </c>
      <c r="S1469" s="9">
        <f>IF(Q1469="","",IF(MATCH(R1469,$R$5:$R$100000,0)=ROW()-4,ROW(),""))</f>
        <v/>
      </c>
      <c r="T1469" s="9">
        <f>IF(Q1469="당기",ABS(P1469)+ROW()/1000000000,"")</f>
        <v/>
      </c>
      <c r="U1469" s="9">
        <f>IF(Q1469="비교",ABS(P1469)+ROW()/1000000000,"")</f>
        <v/>
      </c>
      <c r="V1469" s="39">
        <f>IF($A1469="","",IF(COUNTIF(변동분석!$E$7:$E$506,O1469)&gt;0,"Y","N"))</f>
        <v/>
      </c>
      <c r="W1469" s="39">
        <f>IF($A1469="","",IFERROR(INDEX(계정매핑!$D$5:$D$504,MATCH($F1469&amp;"",계정매핑!$A$5:$A$504,0)),"미매핑"))</f>
        <v/>
      </c>
      <c r="X1469" s="9">
        <f>IF($A1469="","",$F1469&amp;"")</f>
        <v/>
      </c>
    </row>
    <row r="1470">
      <c r="A1470" s="75" t="n">
        <v>2025</v>
      </c>
      <c r="B1470" s="75" t="n">
        <v>8</v>
      </c>
      <c r="C1470" s="75" t="inlineStr">
        <is>
          <t>5100001466</t>
        </is>
      </c>
      <c r="D1470" s="78" t="n">
        <v>45884</v>
      </c>
      <c r="E1470" s="75" t="inlineStr">
        <is>
          <t>KR</t>
        </is>
      </c>
      <c r="F1470" s="75" t="n">
        <v>62201000</v>
      </c>
      <c r="G1470" s="75" t="n">
        <v>1602</v>
      </c>
      <c r="H1470" s="76" t="n">
        <v>559000</v>
      </c>
      <c r="I1470" s="75" t="inlineStr">
        <is>
          <t>8월 통신요금 - P통신</t>
        </is>
      </c>
      <c r="J1470" s="75" t="inlineStr">
        <is>
          <t>V10011</t>
        </is>
      </c>
      <c r="K1470" s="75" t="inlineStr">
        <is>
          <t>P통신</t>
        </is>
      </c>
      <c r="M1470" s="9">
        <f>IF($A1470="","",VALUE($A1470&amp;"")*12+VALUE($B1470&amp;""))</f>
        <v/>
      </c>
      <c r="N1470" s="39">
        <f>IF($A1470="","",IFERROR(INDEX(부서매핑!$C$5:$C$504,MATCH($G1470&amp;"",부서매핑!$A$5:$A$504,0)),"미매핑"))</f>
        <v/>
      </c>
      <c r="O1470" s="9">
        <f>IF($A1470="","",N1470&amp;"|"&amp;$F1470)</f>
        <v/>
      </c>
      <c r="P1470" s="77">
        <f>IF($A1470="",0,$H1470*설정!$C$23)</f>
        <v/>
      </c>
      <c r="Q1470" s="39">
        <f>IF($A1470="","",IF(O1470&lt;&gt;원인분석!$C$9,"",IF(AND(M1470&gt;=원인분석!$C$10,M1470&lt;=원인분석!$C$11),"당기",IF(AND(M1470&gt;=원인분석!$C$12,M1470&lt;=원인분석!$C$13),"비교",""))))</f>
        <v/>
      </c>
      <c r="R1470" s="9">
        <f>IF(Q1470="","",$K1470&amp;"")</f>
        <v/>
      </c>
      <c r="S1470" s="9">
        <f>IF(Q1470="","",IF(MATCH(R1470,$R$5:$R$100000,0)=ROW()-4,ROW(),""))</f>
        <v/>
      </c>
      <c r="T1470" s="9">
        <f>IF(Q1470="당기",ABS(P1470)+ROW()/1000000000,"")</f>
        <v/>
      </c>
      <c r="U1470" s="9">
        <f>IF(Q1470="비교",ABS(P1470)+ROW()/1000000000,"")</f>
        <v/>
      </c>
      <c r="V1470" s="39">
        <f>IF($A1470="","",IF(COUNTIF(변동분석!$E$7:$E$506,O1470)&gt;0,"Y","N"))</f>
        <v/>
      </c>
      <c r="W1470" s="39">
        <f>IF($A1470="","",IFERROR(INDEX(계정매핑!$D$5:$D$504,MATCH($F1470&amp;"",계정매핑!$A$5:$A$504,0)),"미매핑"))</f>
        <v/>
      </c>
      <c r="X1470" s="9">
        <f>IF($A1470="","",$F1470&amp;"")</f>
        <v/>
      </c>
    </row>
    <row r="1471">
      <c r="A1471" s="75" t="n">
        <v>2025</v>
      </c>
      <c r="B1471" s="75" t="n">
        <v>8</v>
      </c>
      <c r="C1471" s="75" t="inlineStr">
        <is>
          <t>5100001467</t>
        </is>
      </c>
      <c r="D1471" s="78" t="n">
        <v>45884</v>
      </c>
      <c r="E1471" s="75" t="inlineStr">
        <is>
          <t>KR</t>
        </is>
      </c>
      <c r="F1471" s="75" t="n">
        <v>62301000</v>
      </c>
      <c r="G1471" s="75" t="n">
        <v>1201</v>
      </c>
      <c r="H1471" s="76" t="n">
        <v>180000</v>
      </c>
      <c r="I1471" s="75" t="inlineStr">
        <is>
          <t>8월 소모품 구입 - Q오피스</t>
        </is>
      </c>
      <c r="J1471" s="75" t="inlineStr">
        <is>
          <t>V10003</t>
        </is>
      </c>
      <c r="K1471" s="75" t="inlineStr">
        <is>
          <t>Q오피스</t>
        </is>
      </c>
      <c r="M1471" s="9">
        <f>IF($A1471="","",VALUE($A1471&amp;"")*12+VALUE($B1471&amp;""))</f>
        <v/>
      </c>
      <c r="N1471" s="39">
        <f>IF($A1471="","",IFERROR(INDEX(부서매핑!$C$5:$C$504,MATCH($G1471&amp;"",부서매핑!$A$5:$A$504,0)),"미매핑"))</f>
        <v/>
      </c>
      <c r="O1471" s="9">
        <f>IF($A1471="","",N1471&amp;"|"&amp;$F1471)</f>
        <v/>
      </c>
      <c r="P1471" s="77">
        <f>IF($A1471="",0,$H1471*설정!$C$23)</f>
        <v/>
      </c>
      <c r="Q1471" s="39">
        <f>IF($A1471="","",IF(O1471&lt;&gt;원인분석!$C$9,"",IF(AND(M1471&gt;=원인분석!$C$10,M1471&lt;=원인분석!$C$11),"당기",IF(AND(M1471&gt;=원인분석!$C$12,M1471&lt;=원인분석!$C$13),"비교",""))))</f>
        <v/>
      </c>
      <c r="R1471" s="9">
        <f>IF(Q1471="","",$K1471&amp;"")</f>
        <v/>
      </c>
      <c r="S1471" s="9">
        <f>IF(Q1471="","",IF(MATCH(R1471,$R$5:$R$100000,0)=ROW()-4,ROW(),""))</f>
        <v/>
      </c>
      <c r="T1471" s="9">
        <f>IF(Q1471="당기",ABS(P1471)+ROW()/1000000000,"")</f>
        <v/>
      </c>
      <c r="U1471" s="9">
        <f>IF(Q1471="비교",ABS(P1471)+ROW()/1000000000,"")</f>
        <v/>
      </c>
      <c r="V1471" s="39">
        <f>IF($A1471="","",IF(COUNTIF(변동분석!$E$7:$E$506,O1471)&gt;0,"Y","N"))</f>
        <v/>
      </c>
      <c r="W1471" s="39">
        <f>IF($A1471="","",IFERROR(INDEX(계정매핑!$D$5:$D$504,MATCH($F1471&amp;"",계정매핑!$A$5:$A$504,0)),"미매핑"))</f>
        <v/>
      </c>
      <c r="X1471" s="9">
        <f>IF($A1471="","",$F1471&amp;"")</f>
        <v/>
      </c>
    </row>
    <row r="1472">
      <c r="A1472" s="75" t="n">
        <v>2025</v>
      </c>
      <c r="B1472" s="75" t="n">
        <v>8</v>
      </c>
      <c r="C1472" s="75" t="inlineStr">
        <is>
          <t>5100001468</t>
        </is>
      </c>
      <c r="D1472" s="78" t="n">
        <v>45884</v>
      </c>
      <c r="E1472" s="75" t="inlineStr">
        <is>
          <t>KR</t>
        </is>
      </c>
      <c r="F1472" s="75" t="n">
        <v>62301000</v>
      </c>
      <c r="G1472" s="75" t="n">
        <v>1601</v>
      </c>
      <c r="H1472" s="76" t="n">
        <v>350000</v>
      </c>
      <c r="I1472" s="75" t="inlineStr">
        <is>
          <t>8월 소모품 구입 - Q오피스</t>
        </is>
      </c>
      <c r="J1472" s="75" t="inlineStr">
        <is>
          <t>V10003</t>
        </is>
      </c>
      <c r="K1472" s="75" t="inlineStr">
        <is>
          <t>Q오피스</t>
        </is>
      </c>
      <c r="M1472" s="9">
        <f>IF($A1472="","",VALUE($A1472&amp;"")*12+VALUE($B1472&amp;""))</f>
        <v/>
      </c>
      <c r="N1472" s="39">
        <f>IF($A1472="","",IFERROR(INDEX(부서매핑!$C$5:$C$504,MATCH($G1472&amp;"",부서매핑!$A$5:$A$504,0)),"미매핑"))</f>
        <v/>
      </c>
      <c r="O1472" s="9">
        <f>IF($A1472="","",N1472&amp;"|"&amp;$F1472)</f>
        <v/>
      </c>
      <c r="P1472" s="77">
        <f>IF($A1472="",0,$H1472*설정!$C$23)</f>
        <v/>
      </c>
      <c r="Q1472" s="39">
        <f>IF($A1472="","",IF(O1472&lt;&gt;원인분석!$C$9,"",IF(AND(M1472&gt;=원인분석!$C$10,M1472&lt;=원인분석!$C$11),"당기",IF(AND(M1472&gt;=원인분석!$C$12,M1472&lt;=원인분석!$C$13),"비교",""))))</f>
        <v/>
      </c>
      <c r="R1472" s="9">
        <f>IF(Q1472="","",$K1472&amp;"")</f>
        <v/>
      </c>
      <c r="S1472" s="9">
        <f>IF(Q1472="","",IF(MATCH(R1472,$R$5:$R$100000,0)=ROW()-4,ROW(),""))</f>
        <v/>
      </c>
      <c r="T1472" s="9">
        <f>IF(Q1472="당기",ABS(P1472)+ROW()/1000000000,"")</f>
        <v/>
      </c>
      <c r="U1472" s="9">
        <f>IF(Q1472="비교",ABS(P1472)+ROW()/1000000000,"")</f>
        <v/>
      </c>
      <c r="V1472" s="39">
        <f>IF($A1472="","",IF(COUNTIF(변동분석!$E$7:$E$506,O1472)&gt;0,"Y","N"))</f>
        <v/>
      </c>
      <c r="W1472" s="39">
        <f>IF($A1472="","",IFERROR(INDEX(계정매핑!$D$5:$D$504,MATCH($F1472&amp;"",계정매핑!$A$5:$A$504,0)),"미매핑"))</f>
        <v/>
      </c>
      <c r="X1472" s="9">
        <f>IF($A1472="","",$F1472&amp;"")</f>
        <v/>
      </c>
    </row>
    <row r="1473">
      <c r="A1473" s="75" t="n">
        <v>2025</v>
      </c>
      <c r="B1473" s="75" t="n">
        <v>8</v>
      </c>
      <c r="C1473" s="75" t="inlineStr">
        <is>
          <t>5100001469</t>
        </is>
      </c>
      <c r="D1473" s="78" t="n">
        <v>45884</v>
      </c>
      <c r="E1473" s="75" t="inlineStr">
        <is>
          <t>KR</t>
        </is>
      </c>
      <c r="F1473" s="75" t="n">
        <v>62801000</v>
      </c>
      <c r="G1473" s="75" t="n">
        <v>1301</v>
      </c>
      <c r="H1473" s="76" t="n">
        <v>2983000</v>
      </c>
      <c r="I1473" s="75" t="inlineStr">
        <is>
          <t>8월 사내교육 - (사내강사료)</t>
        </is>
      </c>
      <c r="J1473" s="75" t="inlineStr">
        <is>
          <t>V10020</t>
        </is>
      </c>
      <c r="K1473" s="75" t="inlineStr">
        <is>
          <t>(사내강사료)</t>
        </is>
      </c>
      <c r="M1473" s="9">
        <f>IF($A1473="","",VALUE($A1473&amp;"")*12+VALUE($B1473&amp;""))</f>
        <v/>
      </c>
      <c r="N1473" s="39">
        <f>IF($A1473="","",IFERROR(INDEX(부서매핑!$C$5:$C$504,MATCH($G1473&amp;"",부서매핑!$A$5:$A$504,0)),"미매핑"))</f>
        <v/>
      </c>
      <c r="O1473" s="9">
        <f>IF($A1473="","",N1473&amp;"|"&amp;$F1473)</f>
        <v/>
      </c>
      <c r="P1473" s="77">
        <f>IF($A1473="",0,$H1473*설정!$C$23)</f>
        <v/>
      </c>
      <c r="Q1473" s="39">
        <f>IF($A1473="","",IF(O1473&lt;&gt;원인분석!$C$9,"",IF(AND(M1473&gt;=원인분석!$C$10,M1473&lt;=원인분석!$C$11),"당기",IF(AND(M1473&gt;=원인분석!$C$12,M1473&lt;=원인분석!$C$13),"비교",""))))</f>
        <v/>
      </c>
      <c r="R1473" s="9">
        <f>IF(Q1473="","",$K1473&amp;"")</f>
        <v/>
      </c>
      <c r="S1473" s="9">
        <f>IF(Q1473="","",IF(MATCH(R1473,$R$5:$R$100000,0)=ROW()-4,ROW(),""))</f>
        <v/>
      </c>
      <c r="T1473" s="9">
        <f>IF(Q1473="당기",ABS(P1473)+ROW()/1000000000,"")</f>
        <v/>
      </c>
      <c r="U1473" s="9">
        <f>IF(Q1473="비교",ABS(P1473)+ROW()/1000000000,"")</f>
        <v/>
      </c>
      <c r="V1473" s="39">
        <f>IF($A1473="","",IF(COUNTIF(변동분석!$E$7:$E$506,O1473)&gt;0,"Y","N"))</f>
        <v/>
      </c>
      <c r="W1473" s="39">
        <f>IF($A1473="","",IFERROR(INDEX(계정매핑!$D$5:$D$504,MATCH($F1473&amp;"",계정매핑!$A$5:$A$504,0)),"미매핑"))</f>
        <v/>
      </c>
      <c r="X1473" s="9">
        <f>IF($A1473="","",$F1473&amp;"")</f>
        <v/>
      </c>
    </row>
    <row r="1474">
      <c r="A1474" s="75" t="n">
        <v>2025</v>
      </c>
      <c r="B1474" s="75" t="n">
        <v>8</v>
      </c>
      <c r="C1474" s="75" t="inlineStr">
        <is>
          <t>5100001470</t>
        </is>
      </c>
      <c r="D1474" s="78" t="n">
        <v>45885</v>
      </c>
      <c r="E1474" s="75" t="inlineStr">
        <is>
          <t>KR</t>
        </is>
      </c>
      <c r="F1474" s="75" t="n">
        <v>62101000</v>
      </c>
      <c r="G1474" s="75" t="n">
        <v>1301</v>
      </c>
      <c r="H1474" s="76" t="n">
        <v>310000</v>
      </c>
      <c r="I1474" s="75" t="inlineStr">
        <is>
          <t>8월 국내출장 - (법인카드)</t>
        </is>
      </c>
      <c r="J1474" s="75" t="inlineStr">
        <is>
          <t>V10008</t>
        </is>
      </c>
      <c r="K1474" s="75" t="inlineStr">
        <is>
          <t>(법인카드)</t>
        </is>
      </c>
      <c r="M1474" s="9">
        <f>IF($A1474="","",VALUE($A1474&amp;"")*12+VALUE($B1474&amp;""))</f>
        <v/>
      </c>
      <c r="N1474" s="39">
        <f>IF($A1474="","",IFERROR(INDEX(부서매핑!$C$5:$C$504,MATCH($G1474&amp;"",부서매핑!$A$5:$A$504,0)),"미매핑"))</f>
        <v/>
      </c>
      <c r="O1474" s="9">
        <f>IF($A1474="","",N1474&amp;"|"&amp;$F1474)</f>
        <v/>
      </c>
      <c r="P1474" s="77">
        <f>IF($A1474="",0,$H1474*설정!$C$23)</f>
        <v/>
      </c>
      <c r="Q1474" s="39">
        <f>IF($A1474="","",IF(O1474&lt;&gt;원인분석!$C$9,"",IF(AND(M1474&gt;=원인분석!$C$10,M1474&lt;=원인분석!$C$11),"당기",IF(AND(M1474&gt;=원인분석!$C$12,M1474&lt;=원인분석!$C$13),"비교",""))))</f>
        <v/>
      </c>
      <c r="R1474" s="9">
        <f>IF(Q1474="","",$K1474&amp;"")</f>
        <v/>
      </c>
      <c r="S1474" s="9">
        <f>IF(Q1474="","",IF(MATCH(R1474,$R$5:$R$100000,0)=ROW()-4,ROW(),""))</f>
        <v/>
      </c>
      <c r="T1474" s="9">
        <f>IF(Q1474="당기",ABS(P1474)+ROW()/1000000000,"")</f>
        <v/>
      </c>
      <c r="U1474" s="9">
        <f>IF(Q1474="비교",ABS(P1474)+ROW()/1000000000,"")</f>
        <v/>
      </c>
      <c r="V1474" s="39">
        <f>IF($A1474="","",IF(COUNTIF(변동분석!$E$7:$E$506,O1474)&gt;0,"Y","N"))</f>
        <v/>
      </c>
      <c r="W1474" s="39">
        <f>IF($A1474="","",IFERROR(INDEX(계정매핑!$D$5:$D$504,MATCH($F1474&amp;"",계정매핑!$A$5:$A$504,0)),"미매핑"))</f>
        <v/>
      </c>
      <c r="X1474" s="9">
        <f>IF($A1474="","",$F1474&amp;"")</f>
        <v/>
      </c>
    </row>
    <row r="1475">
      <c r="A1475" s="75" t="n">
        <v>2025</v>
      </c>
      <c r="B1475" s="75" t="n">
        <v>8</v>
      </c>
      <c r="C1475" s="75" t="inlineStr">
        <is>
          <t>5100001471</t>
        </is>
      </c>
      <c r="D1475" s="78" t="n">
        <v>45885</v>
      </c>
      <c r="E1475" s="75" t="inlineStr">
        <is>
          <t>KR</t>
        </is>
      </c>
      <c r="F1475" s="75" t="n">
        <v>62101000</v>
      </c>
      <c r="G1475" s="75" t="n">
        <v>1602</v>
      </c>
      <c r="H1475" s="76" t="n">
        <v>751000</v>
      </c>
      <c r="I1475" s="75" t="inlineStr">
        <is>
          <t>8월 국내출장 - M항공</t>
        </is>
      </c>
      <c r="J1475" s="75" t="inlineStr">
        <is>
          <t>V10001</t>
        </is>
      </c>
      <c r="K1475" s="75" t="inlineStr">
        <is>
          <t>M항공</t>
        </is>
      </c>
      <c r="M1475" s="9">
        <f>IF($A1475="","",VALUE($A1475&amp;"")*12+VALUE($B1475&amp;""))</f>
        <v/>
      </c>
      <c r="N1475" s="39">
        <f>IF($A1475="","",IFERROR(INDEX(부서매핑!$C$5:$C$504,MATCH($G1475&amp;"",부서매핑!$A$5:$A$504,0)),"미매핑"))</f>
        <v/>
      </c>
      <c r="O1475" s="9">
        <f>IF($A1475="","",N1475&amp;"|"&amp;$F1475)</f>
        <v/>
      </c>
      <c r="P1475" s="77">
        <f>IF($A1475="",0,$H1475*설정!$C$23)</f>
        <v/>
      </c>
      <c r="Q1475" s="39">
        <f>IF($A1475="","",IF(O1475&lt;&gt;원인분석!$C$9,"",IF(AND(M1475&gt;=원인분석!$C$10,M1475&lt;=원인분석!$C$11),"당기",IF(AND(M1475&gt;=원인분석!$C$12,M1475&lt;=원인분석!$C$13),"비교",""))))</f>
        <v/>
      </c>
      <c r="R1475" s="9">
        <f>IF(Q1475="","",$K1475&amp;"")</f>
        <v/>
      </c>
      <c r="S1475" s="9">
        <f>IF(Q1475="","",IF(MATCH(R1475,$R$5:$R$100000,0)=ROW()-4,ROW(),""))</f>
        <v/>
      </c>
      <c r="T1475" s="9">
        <f>IF(Q1475="당기",ABS(P1475)+ROW()/1000000000,"")</f>
        <v/>
      </c>
      <c r="U1475" s="9">
        <f>IF(Q1475="비교",ABS(P1475)+ROW()/1000000000,"")</f>
        <v/>
      </c>
      <c r="V1475" s="39">
        <f>IF($A1475="","",IF(COUNTIF(변동분석!$E$7:$E$506,O1475)&gt;0,"Y","N"))</f>
        <v/>
      </c>
      <c r="W1475" s="39">
        <f>IF($A1475="","",IFERROR(INDEX(계정매핑!$D$5:$D$504,MATCH($F1475&amp;"",계정매핑!$A$5:$A$504,0)),"미매핑"))</f>
        <v/>
      </c>
      <c r="X1475" s="9">
        <f>IF($A1475="","",$F1475&amp;"")</f>
        <v/>
      </c>
    </row>
    <row r="1476">
      <c r="A1476" s="75" t="n">
        <v>2025</v>
      </c>
      <c r="B1476" s="75" t="n">
        <v>8</v>
      </c>
      <c r="C1476" s="75" t="inlineStr">
        <is>
          <t>5100001472</t>
        </is>
      </c>
      <c r="D1476" s="78" t="n">
        <v>45885</v>
      </c>
      <c r="E1476" s="75" t="inlineStr">
        <is>
          <t>KR</t>
        </is>
      </c>
      <c r="F1476" s="75" t="n">
        <v>62101000</v>
      </c>
      <c r="G1476" s="75" t="n">
        <v>1801</v>
      </c>
      <c r="H1476" s="76" t="n">
        <v>238000</v>
      </c>
      <c r="I1476" s="75" t="inlineStr">
        <is>
          <t>8월 국내출장 - L여행사</t>
        </is>
      </c>
      <c r="J1476" s="75" t="inlineStr">
        <is>
          <t>V10014</t>
        </is>
      </c>
      <c r="K1476" s="75" t="inlineStr">
        <is>
          <t>L여행사</t>
        </is>
      </c>
      <c r="M1476" s="9">
        <f>IF($A1476="","",VALUE($A1476&amp;"")*12+VALUE($B1476&amp;""))</f>
        <v/>
      </c>
      <c r="N1476" s="39">
        <f>IF($A1476="","",IFERROR(INDEX(부서매핑!$C$5:$C$504,MATCH($G1476&amp;"",부서매핑!$A$5:$A$504,0)),"미매핑"))</f>
        <v/>
      </c>
      <c r="O1476" s="9">
        <f>IF($A1476="","",N1476&amp;"|"&amp;$F1476)</f>
        <v/>
      </c>
      <c r="P1476" s="77">
        <f>IF($A1476="",0,$H1476*설정!$C$23)</f>
        <v/>
      </c>
      <c r="Q1476" s="39">
        <f>IF($A1476="","",IF(O1476&lt;&gt;원인분석!$C$9,"",IF(AND(M1476&gt;=원인분석!$C$10,M1476&lt;=원인분석!$C$11),"당기",IF(AND(M1476&gt;=원인분석!$C$12,M1476&lt;=원인분석!$C$13),"비교",""))))</f>
        <v/>
      </c>
      <c r="R1476" s="9">
        <f>IF(Q1476="","",$K1476&amp;"")</f>
        <v/>
      </c>
      <c r="S1476" s="9">
        <f>IF(Q1476="","",IF(MATCH(R1476,$R$5:$R$100000,0)=ROW()-4,ROW(),""))</f>
        <v/>
      </c>
      <c r="T1476" s="9">
        <f>IF(Q1476="당기",ABS(P1476)+ROW()/1000000000,"")</f>
        <v/>
      </c>
      <c r="U1476" s="9">
        <f>IF(Q1476="비교",ABS(P1476)+ROW()/1000000000,"")</f>
        <v/>
      </c>
      <c r="V1476" s="39">
        <f>IF($A1476="","",IF(COUNTIF(변동분석!$E$7:$E$506,O1476)&gt;0,"Y","N"))</f>
        <v/>
      </c>
      <c r="W1476" s="39">
        <f>IF($A1476="","",IFERROR(INDEX(계정매핑!$D$5:$D$504,MATCH($F1476&amp;"",계정매핑!$A$5:$A$504,0)),"미매핑"))</f>
        <v/>
      </c>
      <c r="X1476" s="9">
        <f>IF($A1476="","",$F1476&amp;"")</f>
        <v/>
      </c>
    </row>
    <row r="1477">
      <c r="A1477" s="75" t="n">
        <v>2025</v>
      </c>
      <c r="B1477" s="75" t="n">
        <v>8</v>
      </c>
      <c r="C1477" s="75" t="inlineStr">
        <is>
          <t>5100001473</t>
        </is>
      </c>
      <c r="D1477" s="78" t="n">
        <v>45885</v>
      </c>
      <c r="E1477" s="75" t="inlineStr">
        <is>
          <t>KR</t>
        </is>
      </c>
      <c r="F1477" s="75" t="n">
        <v>62102000</v>
      </c>
      <c r="G1477" s="75" t="n">
        <v>1602</v>
      </c>
      <c r="H1477" s="76" t="n">
        <v>282000</v>
      </c>
      <c r="I1477" s="75" t="inlineStr">
        <is>
          <t>8월 해외출장 - M항공</t>
        </is>
      </c>
      <c r="J1477" s="75" t="inlineStr">
        <is>
          <t>V10001</t>
        </is>
      </c>
      <c r="K1477" s="75" t="inlineStr">
        <is>
          <t>M항공</t>
        </is>
      </c>
      <c r="M1477" s="9">
        <f>IF($A1477="","",VALUE($A1477&amp;"")*12+VALUE($B1477&amp;""))</f>
        <v/>
      </c>
      <c r="N1477" s="39">
        <f>IF($A1477="","",IFERROR(INDEX(부서매핑!$C$5:$C$504,MATCH($G1477&amp;"",부서매핑!$A$5:$A$504,0)),"미매핑"))</f>
        <v/>
      </c>
      <c r="O1477" s="9">
        <f>IF($A1477="","",N1477&amp;"|"&amp;$F1477)</f>
        <v/>
      </c>
      <c r="P1477" s="77">
        <f>IF($A1477="",0,$H1477*설정!$C$23)</f>
        <v/>
      </c>
      <c r="Q1477" s="39">
        <f>IF($A1477="","",IF(O1477&lt;&gt;원인분석!$C$9,"",IF(AND(M1477&gt;=원인분석!$C$10,M1477&lt;=원인분석!$C$11),"당기",IF(AND(M1477&gt;=원인분석!$C$12,M1477&lt;=원인분석!$C$13),"비교",""))))</f>
        <v/>
      </c>
      <c r="R1477" s="9">
        <f>IF(Q1477="","",$K1477&amp;"")</f>
        <v/>
      </c>
      <c r="S1477" s="9">
        <f>IF(Q1477="","",IF(MATCH(R1477,$R$5:$R$100000,0)=ROW()-4,ROW(),""))</f>
        <v/>
      </c>
      <c r="T1477" s="9">
        <f>IF(Q1477="당기",ABS(P1477)+ROW()/1000000000,"")</f>
        <v/>
      </c>
      <c r="U1477" s="9">
        <f>IF(Q1477="비교",ABS(P1477)+ROW()/1000000000,"")</f>
        <v/>
      </c>
      <c r="V1477" s="39">
        <f>IF($A1477="","",IF(COUNTIF(변동분석!$E$7:$E$506,O1477)&gt;0,"Y","N"))</f>
        <v/>
      </c>
      <c r="W1477" s="39">
        <f>IF($A1477="","",IFERROR(INDEX(계정매핑!$D$5:$D$504,MATCH($F1477&amp;"",계정매핑!$A$5:$A$504,0)),"미매핑"))</f>
        <v/>
      </c>
      <c r="X1477" s="9">
        <f>IF($A1477="","",$F1477&amp;"")</f>
        <v/>
      </c>
    </row>
    <row r="1478">
      <c r="A1478" s="75" t="n">
        <v>2025</v>
      </c>
      <c r="B1478" s="75" t="n">
        <v>8</v>
      </c>
      <c r="C1478" s="75" t="inlineStr">
        <is>
          <t>5100001474</t>
        </is>
      </c>
      <c r="D1478" s="78" t="n">
        <v>45885</v>
      </c>
      <c r="E1478" s="75" t="inlineStr">
        <is>
          <t>KR</t>
        </is>
      </c>
      <c r="F1478" s="75" t="n">
        <v>62102000</v>
      </c>
      <c r="G1478" s="75" t="n">
        <v>1602</v>
      </c>
      <c r="H1478" s="76" t="n">
        <v>191000</v>
      </c>
      <c r="I1478" s="75" t="inlineStr">
        <is>
          <t>8월 해외출장 - N호텔</t>
        </is>
      </c>
      <c r="J1478" s="75" t="inlineStr">
        <is>
          <t>V10007</t>
        </is>
      </c>
      <c r="K1478" s="75" t="inlineStr">
        <is>
          <t>N호텔</t>
        </is>
      </c>
      <c r="M1478" s="9">
        <f>IF($A1478="","",VALUE($A1478&amp;"")*12+VALUE($B1478&amp;""))</f>
        <v/>
      </c>
      <c r="N1478" s="39">
        <f>IF($A1478="","",IFERROR(INDEX(부서매핑!$C$5:$C$504,MATCH($G1478&amp;"",부서매핑!$A$5:$A$504,0)),"미매핑"))</f>
        <v/>
      </c>
      <c r="O1478" s="9">
        <f>IF($A1478="","",N1478&amp;"|"&amp;$F1478)</f>
        <v/>
      </c>
      <c r="P1478" s="77">
        <f>IF($A1478="",0,$H1478*설정!$C$23)</f>
        <v/>
      </c>
      <c r="Q1478" s="39">
        <f>IF($A1478="","",IF(O1478&lt;&gt;원인분석!$C$9,"",IF(AND(M1478&gt;=원인분석!$C$10,M1478&lt;=원인분석!$C$11),"당기",IF(AND(M1478&gt;=원인분석!$C$12,M1478&lt;=원인분석!$C$13),"비교",""))))</f>
        <v/>
      </c>
      <c r="R1478" s="9">
        <f>IF(Q1478="","",$K1478&amp;"")</f>
        <v/>
      </c>
      <c r="S1478" s="9">
        <f>IF(Q1478="","",IF(MATCH(R1478,$R$5:$R$100000,0)=ROW()-4,ROW(),""))</f>
        <v/>
      </c>
      <c r="T1478" s="9">
        <f>IF(Q1478="당기",ABS(P1478)+ROW()/1000000000,"")</f>
        <v/>
      </c>
      <c r="U1478" s="9">
        <f>IF(Q1478="비교",ABS(P1478)+ROW()/1000000000,"")</f>
        <v/>
      </c>
      <c r="V1478" s="39">
        <f>IF($A1478="","",IF(COUNTIF(변동분석!$E$7:$E$506,O1478)&gt;0,"Y","N"))</f>
        <v/>
      </c>
      <c r="W1478" s="39">
        <f>IF($A1478="","",IFERROR(INDEX(계정매핑!$D$5:$D$504,MATCH($F1478&amp;"",계정매핑!$A$5:$A$504,0)),"미매핑"))</f>
        <v/>
      </c>
      <c r="X1478" s="9">
        <f>IF($A1478="","",$F1478&amp;"")</f>
        <v/>
      </c>
    </row>
    <row r="1479">
      <c r="A1479" s="75" t="n">
        <v>2025</v>
      </c>
      <c r="B1479" s="75" t="n">
        <v>8</v>
      </c>
      <c r="C1479" s="75" t="inlineStr">
        <is>
          <t>5100001475</t>
        </is>
      </c>
      <c r="D1479" s="78" t="n">
        <v>45885</v>
      </c>
      <c r="E1479" s="75" t="inlineStr">
        <is>
          <t>KR</t>
        </is>
      </c>
      <c r="F1479" s="75" t="n">
        <v>62902000</v>
      </c>
      <c r="G1479" s="75" t="n">
        <v>1801</v>
      </c>
      <c r="H1479" s="76" t="n">
        <v>1762000</v>
      </c>
      <c r="I1479" s="75" t="inlineStr">
        <is>
          <t>8월 콜 위탁 수수료(건별)</t>
        </is>
      </c>
      <c r="J1479" s="75" t="inlineStr">
        <is>
          <t>V10013</t>
        </is>
      </c>
      <c r="K1479" s="75" t="inlineStr">
        <is>
          <t>J콜센터</t>
        </is>
      </c>
      <c r="M1479" s="9">
        <f>IF($A1479="","",VALUE($A1479&amp;"")*12+VALUE($B1479&amp;""))</f>
        <v/>
      </c>
      <c r="N1479" s="39">
        <f>IF($A1479="","",IFERROR(INDEX(부서매핑!$C$5:$C$504,MATCH($G1479&amp;"",부서매핑!$A$5:$A$504,0)),"미매핑"))</f>
        <v/>
      </c>
      <c r="O1479" s="9">
        <f>IF($A1479="","",N1479&amp;"|"&amp;$F1479)</f>
        <v/>
      </c>
      <c r="P1479" s="77">
        <f>IF($A1479="",0,$H1479*설정!$C$23)</f>
        <v/>
      </c>
      <c r="Q1479" s="39">
        <f>IF($A1479="","",IF(O1479&lt;&gt;원인분석!$C$9,"",IF(AND(M1479&gt;=원인분석!$C$10,M1479&lt;=원인분석!$C$11),"당기",IF(AND(M1479&gt;=원인분석!$C$12,M1479&lt;=원인분석!$C$13),"비교",""))))</f>
        <v/>
      </c>
      <c r="R1479" s="9">
        <f>IF(Q1479="","",$K1479&amp;"")</f>
        <v/>
      </c>
      <c r="S1479" s="9">
        <f>IF(Q1479="","",IF(MATCH(R1479,$R$5:$R$100000,0)=ROW()-4,ROW(),""))</f>
        <v/>
      </c>
      <c r="T1479" s="9">
        <f>IF(Q1479="당기",ABS(P1479)+ROW()/1000000000,"")</f>
        <v/>
      </c>
      <c r="U1479" s="9">
        <f>IF(Q1479="비교",ABS(P1479)+ROW()/1000000000,"")</f>
        <v/>
      </c>
      <c r="V1479" s="39">
        <f>IF($A1479="","",IF(COUNTIF(변동분석!$E$7:$E$506,O1479)&gt;0,"Y","N"))</f>
        <v/>
      </c>
      <c r="W1479" s="39">
        <f>IF($A1479="","",IFERROR(INDEX(계정매핑!$D$5:$D$504,MATCH($F1479&amp;"",계정매핑!$A$5:$A$504,0)),"미매핑"))</f>
        <v/>
      </c>
      <c r="X1479" s="9">
        <f>IF($A1479="","",$F1479&amp;"")</f>
        <v/>
      </c>
    </row>
    <row r="1480">
      <c r="A1480" s="75" t="n">
        <v>2025</v>
      </c>
      <c r="B1480" s="75" t="n">
        <v>8</v>
      </c>
      <c r="C1480" s="75" t="inlineStr">
        <is>
          <t>5100001476</t>
        </is>
      </c>
      <c r="D1480" s="78" t="n">
        <v>45885</v>
      </c>
      <c r="E1480" s="75" t="inlineStr">
        <is>
          <t>KR</t>
        </is>
      </c>
      <c r="F1480" s="75" t="n">
        <v>63001000</v>
      </c>
      <c r="G1480" s="75" t="n">
        <v>1701</v>
      </c>
      <c r="H1480" s="76" t="n">
        <v>40081000</v>
      </c>
      <c r="I1480" s="75" t="inlineStr">
        <is>
          <t>8월 SW 유지보수 - Y소프트</t>
        </is>
      </c>
      <c r="J1480" s="75" t="inlineStr">
        <is>
          <t>V10017</t>
        </is>
      </c>
      <c r="K1480" s="75" t="inlineStr">
        <is>
          <t>Y소프트</t>
        </is>
      </c>
      <c r="M1480" s="9">
        <f>IF($A1480="","",VALUE($A1480&amp;"")*12+VALUE($B1480&amp;""))</f>
        <v/>
      </c>
      <c r="N1480" s="39">
        <f>IF($A1480="","",IFERROR(INDEX(부서매핑!$C$5:$C$504,MATCH($G1480&amp;"",부서매핑!$A$5:$A$504,0)),"미매핑"))</f>
        <v/>
      </c>
      <c r="O1480" s="9">
        <f>IF($A1480="","",N1480&amp;"|"&amp;$F1480)</f>
        <v/>
      </c>
      <c r="P1480" s="77">
        <f>IF($A1480="",0,$H1480*설정!$C$23)</f>
        <v/>
      </c>
      <c r="Q1480" s="39">
        <f>IF($A1480="","",IF(O1480&lt;&gt;원인분석!$C$9,"",IF(AND(M1480&gt;=원인분석!$C$10,M1480&lt;=원인분석!$C$11),"당기",IF(AND(M1480&gt;=원인분석!$C$12,M1480&lt;=원인분석!$C$13),"비교",""))))</f>
        <v/>
      </c>
      <c r="R1480" s="9">
        <f>IF(Q1480="","",$K1480&amp;"")</f>
        <v/>
      </c>
      <c r="S1480" s="9">
        <f>IF(Q1480="","",IF(MATCH(R1480,$R$5:$R$100000,0)=ROW()-4,ROW(),""))</f>
        <v/>
      </c>
      <c r="T1480" s="9">
        <f>IF(Q1480="당기",ABS(P1480)+ROW()/1000000000,"")</f>
        <v/>
      </c>
      <c r="U1480" s="9">
        <f>IF(Q1480="비교",ABS(P1480)+ROW()/1000000000,"")</f>
        <v/>
      </c>
      <c r="V1480" s="39">
        <f>IF($A1480="","",IF(COUNTIF(변동분석!$E$7:$E$506,O1480)&gt;0,"Y","N"))</f>
        <v/>
      </c>
      <c r="W1480" s="39">
        <f>IF($A1480="","",IFERROR(INDEX(계정매핑!$D$5:$D$504,MATCH($F1480&amp;"",계정매핑!$A$5:$A$504,0)),"미매핑"))</f>
        <v/>
      </c>
      <c r="X1480" s="9">
        <f>IF($A1480="","",$F1480&amp;"")</f>
        <v/>
      </c>
    </row>
    <row r="1481">
      <c r="A1481" s="75" t="n">
        <v>2025</v>
      </c>
      <c r="B1481" s="75" t="n">
        <v>8</v>
      </c>
      <c r="C1481" s="75" t="inlineStr">
        <is>
          <t>5100001477</t>
        </is>
      </c>
      <c r="D1481" s="78" t="n">
        <v>45886</v>
      </c>
      <c r="E1481" s="75" t="inlineStr">
        <is>
          <t>KR</t>
        </is>
      </c>
      <c r="F1481" s="75" t="n">
        <v>62101000</v>
      </c>
      <c r="G1481" s="75" t="n">
        <v>1401</v>
      </c>
      <c r="H1481" s="76" t="n">
        <v>441000</v>
      </c>
      <c r="I1481" s="75" t="inlineStr">
        <is>
          <t>8월 국내출장 - M항공</t>
        </is>
      </c>
      <c r="J1481" s="75" t="inlineStr">
        <is>
          <t>V10001</t>
        </is>
      </c>
      <c r="K1481" s="75" t="inlineStr">
        <is>
          <t>M항공</t>
        </is>
      </c>
      <c r="M1481" s="9">
        <f>IF($A1481="","",VALUE($A1481&amp;"")*12+VALUE($B1481&amp;""))</f>
        <v/>
      </c>
      <c r="N1481" s="39">
        <f>IF($A1481="","",IFERROR(INDEX(부서매핑!$C$5:$C$504,MATCH($G1481&amp;"",부서매핑!$A$5:$A$504,0)),"미매핑"))</f>
        <v/>
      </c>
      <c r="O1481" s="9">
        <f>IF($A1481="","",N1481&amp;"|"&amp;$F1481)</f>
        <v/>
      </c>
      <c r="P1481" s="77">
        <f>IF($A1481="",0,$H1481*설정!$C$23)</f>
        <v/>
      </c>
      <c r="Q1481" s="39">
        <f>IF($A1481="","",IF(O1481&lt;&gt;원인분석!$C$9,"",IF(AND(M1481&gt;=원인분석!$C$10,M1481&lt;=원인분석!$C$11),"당기",IF(AND(M1481&gt;=원인분석!$C$12,M1481&lt;=원인분석!$C$13),"비교",""))))</f>
        <v/>
      </c>
      <c r="R1481" s="9">
        <f>IF(Q1481="","",$K1481&amp;"")</f>
        <v/>
      </c>
      <c r="S1481" s="9">
        <f>IF(Q1481="","",IF(MATCH(R1481,$R$5:$R$100000,0)=ROW()-4,ROW(),""))</f>
        <v/>
      </c>
      <c r="T1481" s="9">
        <f>IF(Q1481="당기",ABS(P1481)+ROW()/1000000000,"")</f>
        <v/>
      </c>
      <c r="U1481" s="9">
        <f>IF(Q1481="비교",ABS(P1481)+ROW()/1000000000,"")</f>
        <v/>
      </c>
      <c r="V1481" s="39">
        <f>IF($A1481="","",IF(COUNTIF(변동분석!$E$7:$E$506,O1481)&gt;0,"Y","N"))</f>
        <v/>
      </c>
      <c r="W1481" s="39">
        <f>IF($A1481="","",IFERROR(INDEX(계정매핑!$D$5:$D$504,MATCH($F1481&amp;"",계정매핑!$A$5:$A$504,0)),"미매핑"))</f>
        <v/>
      </c>
      <c r="X1481" s="9">
        <f>IF($A1481="","",$F1481&amp;"")</f>
        <v/>
      </c>
    </row>
    <row r="1482">
      <c r="A1482" s="75" t="n">
        <v>2025</v>
      </c>
      <c r="B1482" s="75" t="n">
        <v>8</v>
      </c>
      <c r="C1482" s="75" t="inlineStr">
        <is>
          <t>5100001478</t>
        </is>
      </c>
      <c r="D1482" s="78" t="n">
        <v>45886</v>
      </c>
      <c r="E1482" s="75" t="inlineStr">
        <is>
          <t>KR</t>
        </is>
      </c>
      <c r="F1482" s="75" t="n">
        <v>62501000</v>
      </c>
      <c r="G1482" s="75" t="n">
        <v>1201</v>
      </c>
      <c r="H1482" s="76" t="n">
        <v>92000</v>
      </c>
      <c r="I1482" s="75" t="inlineStr">
        <is>
          <t>8월 회의 다과 - (법인카드)</t>
        </is>
      </c>
      <c r="J1482" s="75" t="inlineStr">
        <is>
          <t>V10008</t>
        </is>
      </c>
      <c r="K1482" s="75" t="inlineStr">
        <is>
          <t>(법인카드)</t>
        </is>
      </c>
      <c r="M1482" s="9">
        <f>IF($A1482="","",VALUE($A1482&amp;"")*12+VALUE($B1482&amp;""))</f>
        <v/>
      </c>
      <c r="N1482" s="39">
        <f>IF($A1482="","",IFERROR(INDEX(부서매핑!$C$5:$C$504,MATCH($G1482&amp;"",부서매핑!$A$5:$A$504,0)),"미매핑"))</f>
        <v/>
      </c>
      <c r="O1482" s="9">
        <f>IF($A1482="","",N1482&amp;"|"&amp;$F1482)</f>
        <v/>
      </c>
      <c r="P1482" s="77">
        <f>IF($A1482="",0,$H1482*설정!$C$23)</f>
        <v/>
      </c>
      <c r="Q1482" s="39">
        <f>IF($A1482="","",IF(O1482&lt;&gt;원인분석!$C$9,"",IF(AND(M1482&gt;=원인분석!$C$10,M1482&lt;=원인분석!$C$11),"당기",IF(AND(M1482&gt;=원인분석!$C$12,M1482&lt;=원인분석!$C$13),"비교",""))))</f>
        <v/>
      </c>
      <c r="R1482" s="9">
        <f>IF(Q1482="","",$K1482&amp;"")</f>
        <v/>
      </c>
      <c r="S1482" s="9">
        <f>IF(Q1482="","",IF(MATCH(R1482,$R$5:$R$100000,0)=ROW()-4,ROW(),""))</f>
        <v/>
      </c>
      <c r="T1482" s="9">
        <f>IF(Q1482="당기",ABS(P1482)+ROW()/1000000000,"")</f>
        <v/>
      </c>
      <c r="U1482" s="9">
        <f>IF(Q1482="비교",ABS(P1482)+ROW()/1000000000,"")</f>
        <v/>
      </c>
      <c r="V1482" s="39">
        <f>IF($A1482="","",IF(COUNTIF(변동분석!$E$7:$E$506,O1482)&gt;0,"Y","N"))</f>
        <v/>
      </c>
      <c r="W1482" s="39">
        <f>IF($A1482="","",IFERROR(INDEX(계정매핑!$D$5:$D$504,MATCH($F1482&amp;"",계정매핑!$A$5:$A$504,0)),"미매핑"))</f>
        <v/>
      </c>
      <c r="X1482" s="9">
        <f>IF($A1482="","",$F1482&amp;"")</f>
        <v/>
      </c>
    </row>
    <row r="1483">
      <c r="A1483" s="75" t="n">
        <v>2025</v>
      </c>
      <c r="B1483" s="75" t="n">
        <v>8</v>
      </c>
      <c r="C1483" s="75" t="inlineStr">
        <is>
          <t>5100001479</t>
        </is>
      </c>
      <c r="D1483" s="78" t="n">
        <v>45886</v>
      </c>
      <c r="E1483" s="75" t="inlineStr">
        <is>
          <t>KR</t>
        </is>
      </c>
      <c r="F1483" s="75" t="n">
        <v>62601000</v>
      </c>
      <c r="G1483" s="75" t="n">
        <v>1601</v>
      </c>
      <c r="H1483" s="76" t="n">
        <v>2821000</v>
      </c>
      <c r="I1483" s="75" t="inlineStr">
        <is>
          <t>8월 업무추진 - (법인카드)</t>
        </is>
      </c>
      <c r="J1483" s="75" t="inlineStr">
        <is>
          <t>V10008</t>
        </is>
      </c>
      <c r="K1483" s="75" t="inlineStr">
        <is>
          <t>(법인카드)</t>
        </is>
      </c>
      <c r="M1483" s="9">
        <f>IF($A1483="","",VALUE($A1483&amp;"")*12+VALUE($B1483&amp;""))</f>
        <v/>
      </c>
      <c r="N1483" s="39">
        <f>IF($A1483="","",IFERROR(INDEX(부서매핑!$C$5:$C$504,MATCH($G1483&amp;"",부서매핑!$A$5:$A$504,0)),"미매핑"))</f>
        <v/>
      </c>
      <c r="O1483" s="9">
        <f>IF($A1483="","",N1483&amp;"|"&amp;$F1483)</f>
        <v/>
      </c>
      <c r="P1483" s="77">
        <f>IF($A1483="",0,$H1483*설정!$C$23)</f>
        <v/>
      </c>
      <c r="Q1483" s="39">
        <f>IF($A1483="","",IF(O1483&lt;&gt;원인분석!$C$9,"",IF(AND(M1483&gt;=원인분석!$C$10,M1483&lt;=원인분석!$C$11),"당기",IF(AND(M1483&gt;=원인분석!$C$12,M1483&lt;=원인분석!$C$13),"비교",""))))</f>
        <v/>
      </c>
      <c r="R1483" s="9">
        <f>IF(Q1483="","",$K1483&amp;"")</f>
        <v/>
      </c>
      <c r="S1483" s="9">
        <f>IF(Q1483="","",IF(MATCH(R1483,$R$5:$R$100000,0)=ROW()-4,ROW(),""))</f>
        <v/>
      </c>
      <c r="T1483" s="9">
        <f>IF(Q1483="당기",ABS(P1483)+ROW()/1000000000,"")</f>
        <v/>
      </c>
      <c r="U1483" s="9">
        <f>IF(Q1483="비교",ABS(P1483)+ROW()/1000000000,"")</f>
        <v/>
      </c>
      <c r="V1483" s="39">
        <f>IF($A1483="","",IF(COUNTIF(변동분석!$E$7:$E$506,O1483)&gt;0,"Y","N"))</f>
        <v/>
      </c>
      <c r="W1483" s="39">
        <f>IF($A1483="","",IFERROR(INDEX(계정매핑!$D$5:$D$504,MATCH($F1483&amp;"",계정매핑!$A$5:$A$504,0)),"미매핑"))</f>
        <v/>
      </c>
      <c r="X1483" s="9">
        <f>IF($A1483="","",$F1483&amp;"")</f>
        <v/>
      </c>
    </row>
    <row r="1484">
      <c r="A1484" s="75" t="n">
        <v>2025</v>
      </c>
      <c r="B1484" s="75" t="n">
        <v>8</v>
      </c>
      <c r="C1484" s="75" t="inlineStr">
        <is>
          <t>5100001480</t>
        </is>
      </c>
      <c r="D1484" s="78" t="n">
        <v>45886</v>
      </c>
      <c r="E1484" s="75" t="inlineStr">
        <is>
          <t>KR</t>
        </is>
      </c>
      <c r="F1484" s="75" t="n">
        <v>62801000</v>
      </c>
      <c r="G1484" s="75" t="n">
        <v>1301</v>
      </c>
      <c r="H1484" s="76" t="n">
        <v>2188000</v>
      </c>
      <c r="I1484" s="75" t="inlineStr">
        <is>
          <t>8월 사내교육 - (사내강사료)</t>
        </is>
      </c>
      <c r="J1484" s="75" t="inlineStr">
        <is>
          <t>V10020</t>
        </is>
      </c>
      <c r="K1484" s="75" t="inlineStr">
        <is>
          <t>(사내강사료)</t>
        </is>
      </c>
      <c r="M1484" s="9">
        <f>IF($A1484="","",VALUE($A1484&amp;"")*12+VALUE($B1484&amp;""))</f>
        <v/>
      </c>
      <c r="N1484" s="39">
        <f>IF($A1484="","",IFERROR(INDEX(부서매핑!$C$5:$C$504,MATCH($G1484&amp;"",부서매핑!$A$5:$A$504,0)),"미매핑"))</f>
        <v/>
      </c>
      <c r="O1484" s="9">
        <f>IF($A1484="","",N1484&amp;"|"&amp;$F1484)</f>
        <v/>
      </c>
      <c r="P1484" s="77">
        <f>IF($A1484="",0,$H1484*설정!$C$23)</f>
        <v/>
      </c>
      <c r="Q1484" s="39">
        <f>IF($A1484="","",IF(O1484&lt;&gt;원인분석!$C$9,"",IF(AND(M1484&gt;=원인분석!$C$10,M1484&lt;=원인분석!$C$11),"당기",IF(AND(M1484&gt;=원인분석!$C$12,M1484&lt;=원인분석!$C$13),"비교",""))))</f>
        <v/>
      </c>
      <c r="R1484" s="9">
        <f>IF(Q1484="","",$K1484&amp;"")</f>
        <v/>
      </c>
      <c r="S1484" s="9">
        <f>IF(Q1484="","",IF(MATCH(R1484,$R$5:$R$100000,0)=ROW()-4,ROW(),""))</f>
        <v/>
      </c>
      <c r="T1484" s="9">
        <f>IF(Q1484="당기",ABS(P1484)+ROW()/1000000000,"")</f>
        <v/>
      </c>
      <c r="U1484" s="9">
        <f>IF(Q1484="비교",ABS(P1484)+ROW()/1000000000,"")</f>
        <v/>
      </c>
      <c r="V1484" s="39">
        <f>IF($A1484="","",IF(COUNTIF(변동분석!$E$7:$E$506,O1484)&gt;0,"Y","N"))</f>
        <v/>
      </c>
      <c r="W1484" s="39">
        <f>IF($A1484="","",IFERROR(INDEX(계정매핑!$D$5:$D$504,MATCH($F1484&amp;"",계정매핑!$A$5:$A$504,0)),"미매핑"))</f>
        <v/>
      </c>
      <c r="X1484" s="9">
        <f>IF($A1484="","",$F1484&amp;"")</f>
        <v/>
      </c>
    </row>
    <row r="1485">
      <c r="A1485" s="75" t="n">
        <v>2025</v>
      </c>
      <c r="B1485" s="75" t="n">
        <v>8</v>
      </c>
      <c r="C1485" s="75" t="inlineStr">
        <is>
          <t>5100001481</t>
        </is>
      </c>
      <c r="D1485" s="78" t="n">
        <v>45886</v>
      </c>
      <c r="E1485" s="75" t="inlineStr">
        <is>
          <t>KR</t>
        </is>
      </c>
      <c r="F1485" s="75" t="n">
        <v>62901000</v>
      </c>
      <c r="G1485" s="75" t="n">
        <v>1201</v>
      </c>
      <c r="H1485" s="76" t="n">
        <v>6666000</v>
      </c>
      <c r="I1485" s="75" t="inlineStr">
        <is>
          <t>8월 자문 수수료 - W컨설팅</t>
        </is>
      </c>
      <c r="J1485" s="75" t="inlineStr">
        <is>
          <t>V10009</t>
        </is>
      </c>
      <c r="K1485" s="75" t="inlineStr">
        <is>
          <t>W컨설팅</t>
        </is>
      </c>
      <c r="M1485" s="9">
        <f>IF($A1485="","",VALUE($A1485&amp;"")*12+VALUE($B1485&amp;""))</f>
        <v/>
      </c>
      <c r="N1485" s="39">
        <f>IF($A1485="","",IFERROR(INDEX(부서매핑!$C$5:$C$504,MATCH($G1485&amp;"",부서매핑!$A$5:$A$504,0)),"미매핑"))</f>
        <v/>
      </c>
      <c r="O1485" s="9">
        <f>IF($A1485="","",N1485&amp;"|"&amp;$F1485)</f>
        <v/>
      </c>
      <c r="P1485" s="77">
        <f>IF($A1485="",0,$H1485*설정!$C$23)</f>
        <v/>
      </c>
      <c r="Q1485" s="39">
        <f>IF($A1485="","",IF(O1485&lt;&gt;원인분석!$C$9,"",IF(AND(M1485&gt;=원인분석!$C$10,M1485&lt;=원인분석!$C$11),"당기",IF(AND(M1485&gt;=원인분석!$C$12,M1485&lt;=원인분석!$C$13),"비교",""))))</f>
        <v/>
      </c>
      <c r="R1485" s="9">
        <f>IF(Q1485="","",$K1485&amp;"")</f>
        <v/>
      </c>
      <c r="S1485" s="9">
        <f>IF(Q1485="","",IF(MATCH(R1485,$R$5:$R$100000,0)=ROW()-4,ROW(),""))</f>
        <v/>
      </c>
      <c r="T1485" s="9">
        <f>IF(Q1485="당기",ABS(P1485)+ROW()/1000000000,"")</f>
        <v/>
      </c>
      <c r="U1485" s="9">
        <f>IF(Q1485="비교",ABS(P1485)+ROW()/1000000000,"")</f>
        <v/>
      </c>
      <c r="V1485" s="39">
        <f>IF($A1485="","",IF(COUNTIF(변동분석!$E$7:$E$506,O1485)&gt;0,"Y","N"))</f>
        <v/>
      </c>
      <c r="W1485" s="39">
        <f>IF($A1485="","",IFERROR(INDEX(계정매핑!$D$5:$D$504,MATCH($F1485&amp;"",계정매핑!$A$5:$A$504,0)),"미매핑"))</f>
        <v/>
      </c>
      <c r="X1485" s="9">
        <f>IF($A1485="","",$F1485&amp;"")</f>
        <v/>
      </c>
    </row>
    <row r="1486">
      <c r="A1486" s="75" t="n">
        <v>2025</v>
      </c>
      <c r="B1486" s="75" t="n">
        <v>8</v>
      </c>
      <c r="C1486" s="75" t="inlineStr">
        <is>
          <t>5100001482</t>
        </is>
      </c>
      <c r="D1486" s="78" t="n">
        <v>45886</v>
      </c>
      <c r="E1486" s="75" t="inlineStr">
        <is>
          <t>KR</t>
        </is>
      </c>
      <c r="F1486" s="75" t="n">
        <v>62902000</v>
      </c>
      <c r="G1486" s="75" t="n">
        <v>1101</v>
      </c>
      <c r="H1486" s="76" t="n">
        <v>922000</v>
      </c>
      <c r="I1486" s="75" t="inlineStr">
        <is>
          <t>8월 업무 위탁 수수료 - X서비스</t>
        </is>
      </c>
      <c r="J1486" s="75" t="inlineStr">
        <is>
          <t>V10016</t>
        </is>
      </c>
      <c r="K1486" s="75" t="inlineStr">
        <is>
          <t>X서비스</t>
        </is>
      </c>
      <c r="M1486" s="9">
        <f>IF($A1486="","",VALUE($A1486&amp;"")*12+VALUE($B1486&amp;""))</f>
        <v/>
      </c>
      <c r="N1486" s="39">
        <f>IF($A1486="","",IFERROR(INDEX(부서매핑!$C$5:$C$504,MATCH($G1486&amp;"",부서매핑!$A$5:$A$504,0)),"미매핑"))</f>
        <v/>
      </c>
      <c r="O1486" s="9">
        <f>IF($A1486="","",N1486&amp;"|"&amp;$F1486)</f>
        <v/>
      </c>
      <c r="P1486" s="77">
        <f>IF($A1486="",0,$H1486*설정!$C$23)</f>
        <v/>
      </c>
      <c r="Q1486" s="39">
        <f>IF($A1486="","",IF(O1486&lt;&gt;원인분석!$C$9,"",IF(AND(M1486&gt;=원인분석!$C$10,M1486&lt;=원인분석!$C$11),"당기",IF(AND(M1486&gt;=원인분석!$C$12,M1486&lt;=원인분석!$C$13),"비교",""))))</f>
        <v/>
      </c>
      <c r="R1486" s="9">
        <f>IF(Q1486="","",$K1486&amp;"")</f>
        <v/>
      </c>
      <c r="S1486" s="9">
        <f>IF(Q1486="","",IF(MATCH(R1486,$R$5:$R$100000,0)=ROW()-4,ROW(),""))</f>
        <v/>
      </c>
      <c r="T1486" s="9">
        <f>IF(Q1486="당기",ABS(P1486)+ROW()/1000000000,"")</f>
        <v/>
      </c>
      <c r="U1486" s="9">
        <f>IF(Q1486="비교",ABS(P1486)+ROW()/1000000000,"")</f>
        <v/>
      </c>
      <c r="V1486" s="39">
        <f>IF($A1486="","",IF(COUNTIF(변동분석!$E$7:$E$506,O1486)&gt;0,"Y","N"))</f>
        <v/>
      </c>
      <c r="W1486" s="39">
        <f>IF($A1486="","",IFERROR(INDEX(계정매핑!$D$5:$D$504,MATCH($F1486&amp;"",계정매핑!$A$5:$A$504,0)),"미매핑"))</f>
        <v/>
      </c>
      <c r="X1486" s="9">
        <f>IF($A1486="","",$F1486&amp;"")</f>
        <v/>
      </c>
    </row>
    <row r="1487">
      <c r="A1487" s="75" t="n">
        <v>2025</v>
      </c>
      <c r="B1487" s="75" t="n">
        <v>8</v>
      </c>
      <c r="C1487" s="75" t="inlineStr">
        <is>
          <t>5100001483</t>
        </is>
      </c>
      <c r="D1487" s="78" t="n">
        <v>45886</v>
      </c>
      <c r="E1487" s="75" t="inlineStr">
        <is>
          <t>KR</t>
        </is>
      </c>
      <c r="F1487" s="75" t="n">
        <v>62902000</v>
      </c>
      <c r="G1487" s="75" t="n">
        <v>1801</v>
      </c>
      <c r="H1487" s="76" t="n">
        <v>1761000</v>
      </c>
      <c r="I1487" s="75" t="inlineStr">
        <is>
          <t>8월 콜 위탁 수수료(건별)</t>
        </is>
      </c>
      <c r="J1487" s="75" t="inlineStr">
        <is>
          <t>V10013</t>
        </is>
      </c>
      <c r="K1487" s="75" t="inlineStr">
        <is>
          <t>J콜센터</t>
        </is>
      </c>
      <c r="M1487" s="9">
        <f>IF($A1487="","",VALUE($A1487&amp;"")*12+VALUE($B1487&amp;""))</f>
        <v/>
      </c>
      <c r="N1487" s="39">
        <f>IF($A1487="","",IFERROR(INDEX(부서매핑!$C$5:$C$504,MATCH($G1487&amp;"",부서매핑!$A$5:$A$504,0)),"미매핑"))</f>
        <v/>
      </c>
      <c r="O1487" s="9">
        <f>IF($A1487="","",N1487&amp;"|"&amp;$F1487)</f>
        <v/>
      </c>
      <c r="P1487" s="77">
        <f>IF($A1487="",0,$H1487*설정!$C$23)</f>
        <v/>
      </c>
      <c r="Q1487" s="39">
        <f>IF($A1487="","",IF(O1487&lt;&gt;원인분석!$C$9,"",IF(AND(M1487&gt;=원인분석!$C$10,M1487&lt;=원인분석!$C$11),"당기",IF(AND(M1487&gt;=원인분석!$C$12,M1487&lt;=원인분석!$C$13),"비교",""))))</f>
        <v/>
      </c>
      <c r="R1487" s="9">
        <f>IF(Q1487="","",$K1487&amp;"")</f>
        <v/>
      </c>
      <c r="S1487" s="9">
        <f>IF(Q1487="","",IF(MATCH(R1487,$R$5:$R$100000,0)=ROW()-4,ROW(),""))</f>
        <v/>
      </c>
      <c r="T1487" s="9">
        <f>IF(Q1487="당기",ABS(P1487)+ROW()/1000000000,"")</f>
        <v/>
      </c>
      <c r="U1487" s="9">
        <f>IF(Q1487="비교",ABS(P1487)+ROW()/1000000000,"")</f>
        <v/>
      </c>
      <c r="V1487" s="39">
        <f>IF($A1487="","",IF(COUNTIF(변동분석!$E$7:$E$506,O1487)&gt;0,"Y","N"))</f>
        <v/>
      </c>
      <c r="W1487" s="39">
        <f>IF($A1487="","",IFERROR(INDEX(계정매핑!$D$5:$D$504,MATCH($F1487&amp;"",계정매핑!$A$5:$A$504,0)),"미매핑"))</f>
        <v/>
      </c>
      <c r="X1487" s="9">
        <f>IF($A1487="","",$F1487&amp;"")</f>
        <v/>
      </c>
    </row>
    <row r="1488">
      <c r="A1488" s="75" t="n">
        <v>2025</v>
      </c>
      <c r="B1488" s="75" t="n">
        <v>8</v>
      </c>
      <c r="C1488" s="75" t="inlineStr">
        <is>
          <t>5100001484</t>
        </is>
      </c>
      <c r="D1488" s="78" t="n">
        <v>45886</v>
      </c>
      <c r="E1488" s="75" t="inlineStr">
        <is>
          <t>KR</t>
        </is>
      </c>
      <c r="F1488" s="75" t="n">
        <v>62902000</v>
      </c>
      <c r="G1488" s="75" t="n">
        <v>1801</v>
      </c>
      <c r="H1488" s="76" t="n">
        <v>1782000</v>
      </c>
      <c r="I1488" s="75" t="inlineStr">
        <is>
          <t>8월 콜 위탁 수수료(건별)</t>
        </is>
      </c>
      <c r="J1488" s="75" t="inlineStr">
        <is>
          <t>V10013</t>
        </is>
      </c>
      <c r="K1488" s="75" t="inlineStr">
        <is>
          <t>J콜센터</t>
        </is>
      </c>
      <c r="M1488" s="9">
        <f>IF($A1488="","",VALUE($A1488&amp;"")*12+VALUE($B1488&amp;""))</f>
        <v/>
      </c>
      <c r="N1488" s="39">
        <f>IF($A1488="","",IFERROR(INDEX(부서매핑!$C$5:$C$504,MATCH($G1488&amp;"",부서매핑!$A$5:$A$504,0)),"미매핑"))</f>
        <v/>
      </c>
      <c r="O1488" s="9">
        <f>IF($A1488="","",N1488&amp;"|"&amp;$F1488)</f>
        <v/>
      </c>
      <c r="P1488" s="77">
        <f>IF($A1488="",0,$H1488*설정!$C$23)</f>
        <v/>
      </c>
      <c r="Q1488" s="39">
        <f>IF($A1488="","",IF(O1488&lt;&gt;원인분석!$C$9,"",IF(AND(M1488&gt;=원인분석!$C$10,M1488&lt;=원인분석!$C$11),"당기",IF(AND(M1488&gt;=원인분석!$C$12,M1488&lt;=원인분석!$C$13),"비교",""))))</f>
        <v/>
      </c>
      <c r="R1488" s="9">
        <f>IF(Q1488="","",$K1488&amp;"")</f>
        <v/>
      </c>
      <c r="S1488" s="9">
        <f>IF(Q1488="","",IF(MATCH(R1488,$R$5:$R$100000,0)=ROW()-4,ROW(),""))</f>
        <v/>
      </c>
      <c r="T1488" s="9">
        <f>IF(Q1488="당기",ABS(P1488)+ROW()/1000000000,"")</f>
        <v/>
      </c>
      <c r="U1488" s="9">
        <f>IF(Q1488="비교",ABS(P1488)+ROW()/1000000000,"")</f>
        <v/>
      </c>
      <c r="V1488" s="39">
        <f>IF($A1488="","",IF(COUNTIF(변동분석!$E$7:$E$506,O1488)&gt;0,"Y","N"))</f>
        <v/>
      </c>
      <c r="W1488" s="39">
        <f>IF($A1488="","",IFERROR(INDEX(계정매핑!$D$5:$D$504,MATCH($F1488&amp;"",계정매핑!$A$5:$A$504,0)),"미매핑"))</f>
        <v/>
      </c>
      <c r="X1488" s="9">
        <f>IF($A1488="","",$F1488&amp;"")</f>
        <v/>
      </c>
    </row>
    <row r="1489">
      <c r="A1489" s="75" t="n">
        <v>2025</v>
      </c>
      <c r="B1489" s="75" t="n">
        <v>8</v>
      </c>
      <c r="C1489" s="75" t="inlineStr">
        <is>
          <t>5100001485</t>
        </is>
      </c>
      <c r="D1489" s="78" t="n">
        <v>45887</v>
      </c>
      <c r="E1489" s="75" t="inlineStr">
        <is>
          <t>KR</t>
        </is>
      </c>
      <c r="F1489" s="75" t="n">
        <v>62101000</v>
      </c>
      <c r="G1489" s="75" t="n">
        <v>1502</v>
      </c>
      <c r="H1489" s="76" t="n">
        <v>973000</v>
      </c>
      <c r="I1489" s="75" t="inlineStr">
        <is>
          <t>8월 국내출장 - (법인카드)</t>
        </is>
      </c>
      <c r="J1489" s="75" t="inlineStr">
        <is>
          <t>V10008</t>
        </is>
      </c>
      <c r="K1489" s="75" t="inlineStr">
        <is>
          <t>(법인카드)</t>
        </is>
      </c>
      <c r="M1489" s="9">
        <f>IF($A1489="","",VALUE($A1489&amp;"")*12+VALUE($B1489&amp;""))</f>
        <v/>
      </c>
      <c r="N1489" s="39">
        <f>IF($A1489="","",IFERROR(INDEX(부서매핑!$C$5:$C$504,MATCH($G1489&amp;"",부서매핑!$A$5:$A$504,0)),"미매핑"))</f>
        <v/>
      </c>
      <c r="O1489" s="9">
        <f>IF($A1489="","",N1489&amp;"|"&amp;$F1489)</f>
        <v/>
      </c>
      <c r="P1489" s="77">
        <f>IF($A1489="",0,$H1489*설정!$C$23)</f>
        <v/>
      </c>
      <c r="Q1489" s="39">
        <f>IF($A1489="","",IF(O1489&lt;&gt;원인분석!$C$9,"",IF(AND(M1489&gt;=원인분석!$C$10,M1489&lt;=원인분석!$C$11),"당기",IF(AND(M1489&gt;=원인분석!$C$12,M1489&lt;=원인분석!$C$13),"비교",""))))</f>
        <v/>
      </c>
      <c r="R1489" s="9">
        <f>IF(Q1489="","",$K1489&amp;"")</f>
        <v/>
      </c>
      <c r="S1489" s="9">
        <f>IF(Q1489="","",IF(MATCH(R1489,$R$5:$R$100000,0)=ROW()-4,ROW(),""))</f>
        <v/>
      </c>
      <c r="T1489" s="9">
        <f>IF(Q1489="당기",ABS(P1489)+ROW()/1000000000,"")</f>
        <v/>
      </c>
      <c r="U1489" s="9">
        <f>IF(Q1489="비교",ABS(P1489)+ROW()/1000000000,"")</f>
        <v/>
      </c>
      <c r="V1489" s="39">
        <f>IF($A1489="","",IF(COUNTIF(변동분석!$E$7:$E$506,O1489)&gt;0,"Y","N"))</f>
        <v/>
      </c>
      <c r="W1489" s="39">
        <f>IF($A1489="","",IFERROR(INDEX(계정매핑!$D$5:$D$504,MATCH($F1489&amp;"",계정매핑!$A$5:$A$504,0)),"미매핑"))</f>
        <v/>
      </c>
      <c r="X1489" s="9">
        <f>IF($A1489="","",$F1489&amp;"")</f>
        <v/>
      </c>
    </row>
    <row r="1490">
      <c r="A1490" s="75" t="n">
        <v>2025</v>
      </c>
      <c r="B1490" s="75" t="n">
        <v>8</v>
      </c>
      <c r="C1490" s="75" t="inlineStr">
        <is>
          <t>5100001486</t>
        </is>
      </c>
      <c r="D1490" s="78" t="n">
        <v>45887</v>
      </c>
      <c r="E1490" s="75" t="inlineStr">
        <is>
          <t>KR</t>
        </is>
      </c>
      <c r="F1490" s="75" t="n">
        <v>62102000</v>
      </c>
      <c r="G1490" s="75" t="n">
        <v>1502</v>
      </c>
      <c r="H1490" s="76" t="n">
        <v>144000</v>
      </c>
      <c r="I1490" s="75" t="inlineStr">
        <is>
          <t>8월 해외출장 - N호텔</t>
        </is>
      </c>
      <c r="J1490" s="75" t="inlineStr">
        <is>
          <t>V10007</t>
        </is>
      </c>
      <c r="K1490" s="75" t="inlineStr">
        <is>
          <t>N호텔</t>
        </is>
      </c>
      <c r="M1490" s="9">
        <f>IF($A1490="","",VALUE($A1490&amp;"")*12+VALUE($B1490&amp;""))</f>
        <v/>
      </c>
      <c r="N1490" s="39">
        <f>IF($A1490="","",IFERROR(INDEX(부서매핑!$C$5:$C$504,MATCH($G1490&amp;"",부서매핑!$A$5:$A$504,0)),"미매핑"))</f>
        <v/>
      </c>
      <c r="O1490" s="9">
        <f>IF($A1490="","",N1490&amp;"|"&amp;$F1490)</f>
        <v/>
      </c>
      <c r="P1490" s="77">
        <f>IF($A1490="",0,$H1490*설정!$C$23)</f>
        <v/>
      </c>
      <c r="Q1490" s="39">
        <f>IF($A1490="","",IF(O1490&lt;&gt;원인분석!$C$9,"",IF(AND(M1490&gt;=원인분석!$C$10,M1490&lt;=원인분석!$C$11),"당기",IF(AND(M1490&gt;=원인분석!$C$12,M1490&lt;=원인분석!$C$13),"비교",""))))</f>
        <v/>
      </c>
      <c r="R1490" s="9">
        <f>IF(Q1490="","",$K1490&amp;"")</f>
        <v/>
      </c>
      <c r="S1490" s="9">
        <f>IF(Q1490="","",IF(MATCH(R1490,$R$5:$R$100000,0)=ROW()-4,ROW(),""))</f>
        <v/>
      </c>
      <c r="T1490" s="9">
        <f>IF(Q1490="당기",ABS(P1490)+ROW()/1000000000,"")</f>
        <v/>
      </c>
      <c r="U1490" s="9">
        <f>IF(Q1490="비교",ABS(P1490)+ROW()/1000000000,"")</f>
        <v/>
      </c>
      <c r="V1490" s="39">
        <f>IF($A1490="","",IF(COUNTIF(변동분석!$E$7:$E$506,O1490)&gt;0,"Y","N"))</f>
        <v/>
      </c>
      <c r="W1490" s="39">
        <f>IF($A1490="","",IFERROR(INDEX(계정매핑!$D$5:$D$504,MATCH($F1490&amp;"",계정매핑!$A$5:$A$504,0)),"미매핑"))</f>
        <v/>
      </c>
      <c r="X1490" s="9">
        <f>IF($A1490="","",$F1490&amp;"")</f>
        <v/>
      </c>
    </row>
    <row r="1491">
      <c r="A1491" s="75" t="n">
        <v>2025</v>
      </c>
      <c r="B1491" s="75" t="n">
        <v>8</v>
      </c>
      <c r="C1491" s="75" t="inlineStr">
        <is>
          <t>5100001487</t>
        </is>
      </c>
      <c r="D1491" s="78" t="n">
        <v>45888</v>
      </c>
      <c r="E1491" s="75" t="inlineStr">
        <is>
          <t>KR</t>
        </is>
      </c>
      <c r="F1491" s="75" t="n">
        <v>62101000</v>
      </c>
      <c r="G1491" s="75" t="n">
        <v>1101</v>
      </c>
      <c r="H1491" s="76" t="n">
        <v>401000</v>
      </c>
      <c r="I1491" s="75" t="inlineStr">
        <is>
          <t>8월 국내출장 - L여행사</t>
        </is>
      </c>
      <c r="J1491" s="75" t="inlineStr">
        <is>
          <t>V10014</t>
        </is>
      </c>
      <c r="K1491" s="75" t="inlineStr">
        <is>
          <t>L여행사</t>
        </is>
      </c>
      <c r="M1491" s="9">
        <f>IF($A1491="","",VALUE($A1491&amp;"")*12+VALUE($B1491&amp;""))</f>
        <v/>
      </c>
      <c r="N1491" s="39">
        <f>IF($A1491="","",IFERROR(INDEX(부서매핑!$C$5:$C$504,MATCH($G1491&amp;"",부서매핑!$A$5:$A$504,0)),"미매핑"))</f>
        <v/>
      </c>
      <c r="O1491" s="9">
        <f>IF($A1491="","",N1491&amp;"|"&amp;$F1491)</f>
        <v/>
      </c>
      <c r="P1491" s="77">
        <f>IF($A1491="",0,$H1491*설정!$C$23)</f>
        <v/>
      </c>
      <c r="Q1491" s="39">
        <f>IF($A1491="","",IF(O1491&lt;&gt;원인분석!$C$9,"",IF(AND(M1491&gt;=원인분석!$C$10,M1491&lt;=원인분석!$C$11),"당기",IF(AND(M1491&gt;=원인분석!$C$12,M1491&lt;=원인분석!$C$13),"비교",""))))</f>
        <v/>
      </c>
      <c r="R1491" s="9">
        <f>IF(Q1491="","",$K1491&amp;"")</f>
        <v/>
      </c>
      <c r="S1491" s="9">
        <f>IF(Q1491="","",IF(MATCH(R1491,$R$5:$R$100000,0)=ROW()-4,ROW(),""))</f>
        <v/>
      </c>
      <c r="T1491" s="9">
        <f>IF(Q1491="당기",ABS(P1491)+ROW()/1000000000,"")</f>
        <v/>
      </c>
      <c r="U1491" s="9">
        <f>IF(Q1491="비교",ABS(P1491)+ROW()/1000000000,"")</f>
        <v/>
      </c>
      <c r="V1491" s="39">
        <f>IF($A1491="","",IF(COUNTIF(변동분석!$E$7:$E$506,O1491)&gt;0,"Y","N"))</f>
        <v/>
      </c>
      <c r="W1491" s="39">
        <f>IF($A1491="","",IFERROR(INDEX(계정매핑!$D$5:$D$504,MATCH($F1491&amp;"",계정매핑!$A$5:$A$504,0)),"미매핑"))</f>
        <v/>
      </c>
      <c r="X1491" s="9">
        <f>IF($A1491="","",$F1491&amp;"")</f>
        <v/>
      </c>
    </row>
    <row r="1492">
      <c r="A1492" s="75" t="n">
        <v>2025</v>
      </c>
      <c r="B1492" s="75" t="n">
        <v>8</v>
      </c>
      <c r="C1492" s="75" t="inlineStr">
        <is>
          <t>5100001488</t>
        </is>
      </c>
      <c r="D1492" s="78" t="n">
        <v>45888</v>
      </c>
      <c r="E1492" s="75" t="inlineStr">
        <is>
          <t>KR</t>
        </is>
      </c>
      <c r="F1492" s="75" t="n">
        <v>62101000</v>
      </c>
      <c r="G1492" s="75" t="n">
        <v>1301</v>
      </c>
      <c r="H1492" s="76" t="n">
        <v>278000</v>
      </c>
      <c r="I1492" s="75" t="inlineStr">
        <is>
          <t>8월 국내출장 - M항공</t>
        </is>
      </c>
      <c r="J1492" s="75" t="inlineStr">
        <is>
          <t>V10001</t>
        </is>
      </c>
      <c r="K1492" s="75" t="inlineStr">
        <is>
          <t>M항공</t>
        </is>
      </c>
      <c r="M1492" s="9">
        <f>IF($A1492="","",VALUE($A1492&amp;"")*12+VALUE($B1492&amp;""))</f>
        <v/>
      </c>
      <c r="N1492" s="39">
        <f>IF($A1492="","",IFERROR(INDEX(부서매핑!$C$5:$C$504,MATCH($G1492&amp;"",부서매핑!$A$5:$A$504,0)),"미매핑"))</f>
        <v/>
      </c>
      <c r="O1492" s="9">
        <f>IF($A1492="","",N1492&amp;"|"&amp;$F1492)</f>
        <v/>
      </c>
      <c r="P1492" s="77">
        <f>IF($A1492="",0,$H1492*설정!$C$23)</f>
        <v/>
      </c>
      <c r="Q1492" s="39">
        <f>IF($A1492="","",IF(O1492&lt;&gt;원인분석!$C$9,"",IF(AND(M1492&gt;=원인분석!$C$10,M1492&lt;=원인분석!$C$11),"당기",IF(AND(M1492&gt;=원인분석!$C$12,M1492&lt;=원인분석!$C$13),"비교",""))))</f>
        <v/>
      </c>
      <c r="R1492" s="9">
        <f>IF(Q1492="","",$K1492&amp;"")</f>
        <v/>
      </c>
      <c r="S1492" s="9">
        <f>IF(Q1492="","",IF(MATCH(R1492,$R$5:$R$100000,0)=ROW()-4,ROW(),""))</f>
        <v/>
      </c>
      <c r="T1492" s="9">
        <f>IF(Q1492="당기",ABS(P1492)+ROW()/1000000000,"")</f>
        <v/>
      </c>
      <c r="U1492" s="9">
        <f>IF(Q1492="비교",ABS(P1492)+ROW()/1000000000,"")</f>
        <v/>
      </c>
      <c r="V1492" s="39">
        <f>IF($A1492="","",IF(COUNTIF(변동분석!$E$7:$E$506,O1492)&gt;0,"Y","N"))</f>
        <v/>
      </c>
      <c r="W1492" s="39">
        <f>IF($A1492="","",IFERROR(INDEX(계정매핑!$D$5:$D$504,MATCH($F1492&amp;"",계정매핑!$A$5:$A$504,0)),"미매핑"))</f>
        <v/>
      </c>
      <c r="X1492" s="9">
        <f>IF($A1492="","",$F1492&amp;"")</f>
        <v/>
      </c>
    </row>
    <row r="1493">
      <c r="A1493" s="75" t="n">
        <v>2025</v>
      </c>
      <c r="B1493" s="75" t="n">
        <v>8</v>
      </c>
      <c r="C1493" s="75" t="inlineStr">
        <is>
          <t>5100001489</t>
        </is>
      </c>
      <c r="D1493" s="78" t="n">
        <v>45888</v>
      </c>
      <c r="E1493" s="75" t="inlineStr">
        <is>
          <t>KR</t>
        </is>
      </c>
      <c r="F1493" s="75" t="n">
        <v>62101000</v>
      </c>
      <c r="G1493" s="75" t="n">
        <v>1801</v>
      </c>
      <c r="H1493" s="76" t="n">
        <v>139000</v>
      </c>
      <c r="I1493" s="75" t="inlineStr">
        <is>
          <t>8월 국내출장 - L여행사</t>
        </is>
      </c>
      <c r="J1493" s="75" t="inlineStr">
        <is>
          <t>V10014</t>
        </is>
      </c>
      <c r="K1493" s="75" t="inlineStr">
        <is>
          <t>L여행사</t>
        </is>
      </c>
      <c r="M1493" s="9">
        <f>IF($A1493="","",VALUE($A1493&amp;"")*12+VALUE($B1493&amp;""))</f>
        <v/>
      </c>
      <c r="N1493" s="39">
        <f>IF($A1493="","",IFERROR(INDEX(부서매핑!$C$5:$C$504,MATCH($G1493&amp;"",부서매핑!$A$5:$A$504,0)),"미매핑"))</f>
        <v/>
      </c>
      <c r="O1493" s="9">
        <f>IF($A1493="","",N1493&amp;"|"&amp;$F1493)</f>
        <v/>
      </c>
      <c r="P1493" s="77">
        <f>IF($A1493="",0,$H1493*설정!$C$23)</f>
        <v/>
      </c>
      <c r="Q1493" s="39">
        <f>IF($A1493="","",IF(O1493&lt;&gt;원인분석!$C$9,"",IF(AND(M1493&gt;=원인분석!$C$10,M1493&lt;=원인분석!$C$11),"당기",IF(AND(M1493&gt;=원인분석!$C$12,M1493&lt;=원인분석!$C$13),"비교",""))))</f>
        <v/>
      </c>
      <c r="R1493" s="9">
        <f>IF(Q1493="","",$K1493&amp;"")</f>
        <v/>
      </c>
      <c r="S1493" s="9">
        <f>IF(Q1493="","",IF(MATCH(R1493,$R$5:$R$100000,0)=ROW()-4,ROW(),""))</f>
        <v/>
      </c>
      <c r="T1493" s="9">
        <f>IF(Q1493="당기",ABS(P1493)+ROW()/1000000000,"")</f>
        <v/>
      </c>
      <c r="U1493" s="9">
        <f>IF(Q1493="비교",ABS(P1493)+ROW()/1000000000,"")</f>
        <v/>
      </c>
      <c r="V1493" s="39">
        <f>IF($A1493="","",IF(COUNTIF(변동분석!$E$7:$E$506,O1493)&gt;0,"Y","N"))</f>
        <v/>
      </c>
      <c r="W1493" s="39">
        <f>IF($A1493="","",IFERROR(INDEX(계정매핑!$D$5:$D$504,MATCH($F1493&amp;"",계정매핑!$A$5:$A$504,0)),"미매핑"))</f>
        <v/>
      </c>
      <c r="X1493" s="9">
        <f>IF($A1493="","",$F1493&amp;"")</f>
        <v/>
      </c>
    </row>
    <row r="1494">
      <c r="A1494" s="75" t="n">
        <v>2025</v>
      </c>
      <c r="B1494" s="75" t="n">
        <v>8</v>
      </c>
      <c r="C1494" s="75" t="inlineStr">
        <is>
          <t>5100001490</t>
        </is>
      </c>
      <c r="D1494" s="78" t="n">
        <v>45888</v>
      </c>
      <c r="E1494" s="75" t="inlineStr">
        <is>
          <t>KR</t>
        </is>
      </c>
      <c r="F1494" s="75" t="n">
        <v>62102000</v>
      </c>
      <c r="G1494" s="75" t="n">
        <v>1201</v>
      </c>
      <c r="H1494" s="76" t="n">
        <v>76000</v>
      </c>
      <c r="I1494" s="75" t="inlineStr">
        <is>
          <t>8월 해외출장 - M항공</t>
        </is>
      </c>
      <c r="J1494" s="75" t="inlineStr">
        <is>
          <t>V10001</t>
        </is>
      </c>
      <c r="K1494" s="75" t="inlineStr">
        <is>
          <t>M항공</t>
        </is>
      </c>
      <c r="M1494" s="9">
        <f>IF($A1494="","",VALUE($A1494&amp;"")*12+VALUE($B1494&amp;""))</f>
        <v/>
      </c>
      <c r="N1494" s="39">
        <f>IF($A1494="","",IFERROR(INDEX(부서매핑!$C$5:$C$504,MATCH($G1494&amp;"",부서매핑!$A$5:$A$504,0)),"미매핑"))</f>
        <v/>
      </c>
      <c r="O1494" s="9">
        <f>IF($A1494="","",N1494&amp;"|"&amp;$F1494)</f>
        <v/>
      </c>
      <c r="P1494" s="77">
        <f>IF($A1494="",0,$H1494*설정!$C$23)</f>
        <v/>
      </c>
      <c r="Q1494" s="39">
        <f>IF($A1494="","",IF(O1494&lt;&gt;원인분석!$C$9,"",IF(AND(M1494&gt;=원인분석!$C$10,M1494&lt;=원인분석!$C$11),"당기",IF(AND(M1494&gt;=원인분석!$C$12,M1494&lt;=원인분석!$C$13),"비교",""))))</f>
        <v/>
      </c>
      <c r="R1494" s="9">
        <f>IF(Q1494="","",$K1494&amp;"")</f>
        <v/>
      </c>
      <c r="S1494" s="9">
        <f>IF(Q1494="","",IF(MATCH(R1494,$R$5:$R$100000,0)=ROW()-4,ROW(),""))</f>
        <v/>
      </c>
      <c r="T1494" s="9">
        <f>IF(Q1494="당기",ABS(P1494)+ROW()/1000000000,"")</f>
        <v/>
      </c>
      <c r="U1494" s="9">
        <f>IF(Q1494="비교",ABS(P1494)+ROW()/1000000000,"")</f>
        <v/>
      </c>
      <c r="V1494" s="39">
        <f>IF($A1494="","",IF(COUNTIF(변동분석!$E$7:$E$506,O1494)&gt;0,"Y","N"))</f>
        <v/>
      </c>
      <c r="W1494" s="39">
        <f>IF($A1494="","",IFERROR(INDEX(계정매핑!$D$5:$D$504,MATCH($F1494&amp;"",계정매핑!$A$5:$A$504,0)),"미매핑"))</f>
        <v/>
      </c>
      <c r="X1494" s="9">
        <f>IF($A1494="","",$F1494&amp;"")</f>
        <v/>
      </c>
    </row>
    <row r="1495">
      <c r="A1495" s="75" t="n">
        <v>2025</v>
      </c>
      <c r="B1495" s="75" t="n">
        <v>8</v>
      </c>
      <c r="C1495" s="75" t="inlineStr">
        <is>
          <t>5100001491</t>
        </is>
      </c>
      <c r="D1495" s="78" t="n">
        <v>45888</v>
      </c>
      <c r="E1495" s="75" t="inlineStr">
        <is>
          <t>KR</t>
        </is>
      </c>
      <c r="F1495" s="75" t="n">
        <v>62102000</v>
      </c>
      <c r="G1495" s="75" t="n">
        <v>1401</v>
      </c>
      <c r="H1495" s="76" t="n">
        <v>86000</v>
      </c>
      <c r="I1495" s="75" t="inlineStr">
        <is>
          <t>8월 해외출장 - M항공</t>
        </is>
      </c>
      <c r="J1495" s="75" t="inlineStr">
        <is>
          <t>V10001</t>
        </is>
      </c>
      <c r="K1495" s="75" t="inlineStr">
        <is>
          <t>M항공</t>
        </is>
      </c>
      <c r="M1495" s="9">
        <f>IF($A1495="","",VALUE($A1495&amp;"")*12+VALUE($B1495&amp;""))</f>
        <v/>
      </c>
      <c r="N1495" s="39">
        <f>IF($A1495="","",IFERROR(INDEX(부서매핑!$C$5:$C$504,MATCH($G1495&amp;"",부서매핑!$A$5:$A$504,0)),"미매핑"))</f>
        <v/>
      </c>
      <c r="O1495" s="9">
        <f>IF($A1495="","",N1495&amp;"|"&amp;$F1495)</f>
        <v/>
      </c>
      <c r="P1495" s="77">
        <f>IF($A1495="",0,$H1495*설정!$C$23)</f>
        <v/>
      </c>
      <c r="Q1495" s="39">
        <f>IF($A1495="","",IF(O1495&lt;&gt;원인분석!$C$9,"",IF(AND(M1495&gt;=원인분석!$C$10,M1495&lt;=원인분석!$C$11),"당기",IF(AND(M1495&gt;=원인분석!$C$12,M1495&lt;=원인분석!$C$13),"비교",""))))</f>
        <v/>
      </c>
      <c r="R1495" s="9">
        <f>IF(Q1495="","",$K1495&amp;"")</f>
        <v/>
      </c>
      <c r="S1495" s="9">
        <f>IF(Q1495="","",IF(MATCH(R1495,$R$5:$R$100000,0)=ROW()-4,ROW(),""))</f>
        <v/>
      </c>
      <c r="T1495" s="9">
        <f>IF(Q1495="당기",ABS(P1495)+ROW()/1000000000,"")</f>
        <v/>
      </c>
      <c r="U1495" s="9">
        <f>IF(Q1495="비교",ABS(P1495)+ROW()/1000000000,"")</f>
        <v/>
      </c>
      <c r="V1495" s="39">
        <f>IF($A1495="","",IF(COUNTIF(변동분석!$E$7:$E$506,O1495)&gt;0,"Y","N"))</f>
        <v/>
      </c>
      <c r="W1495" s="39">
        <f>IF($A1495="","",IFERROR(INDEX(계정매핑!$D$5:$D$504,MATCH($F1495&amp;"",계정매핑!$A$5:$A$504,0)),"미매핑"))</f>
        <v/>
      </c>
      <c r="X1495" s="9">
        <f>IF($A1495="","",$F1495&amp;"")</f>
        <v/>
      </c>
    </row>
    <row r="1496">
      <c r="A1496" s="75" t="n">
        <v>2025</v>
      </c>
      <c r="B1496" s="75" t="n">
        <v>8</v>
      </c>
      <c r="C1496" s="75" t="inlineStr">
        <is>
          <t>5100001492</t>
        </is>
      </c>
      <c r="D1496" s="78" t="n">
        <v>45888</v>
      </c>
      <c r="E1496" s="75" t="inlineStr">
        <is>
          <t>KR</t>
        </is>
      </c>
      <c r="F1496" s="75" t="n">
        <v>62102000</v>
      </c>
      <c r="G1496" s="75" t="n">
        <v>1401</v>
      </c>
      <c r="H1496" s="76" t="n">
        <v>140000</v>
      </c>
      <c r="I1496" s="75" t="inlineStr">
        <is>
          <t>8월 해외출장 - M항공</t>
        </is>
      </c>
      <c r="J1496" s="75" t="inlineStr">
        <is>
          <t>V10001</t>
        </is>
      </c>
      <c r="K1496" s="75" t="inlineStr">
        <is>
          <t>M항공</t>
        </is>
      </c>
      <c r="M1496" s="9">
        <f>IF($A1496="","",VALUE($A1496&amp;"")*12+VALUE($B1496&amp;""))</f>
        <v/>
      </c>
      <c r="N1496" s="39">
        <f>IF($A1496="","",IFERROR(INDEX(부서매핑!$C$5:$C$504,MATCH($G1496&amp;"",부서매핑!$A$5:$A$504,0)),"미매핑"))</f>
        <v/>
      </c>
      <c r="O1496" s="9">
        <f>IF($A1496="","",N1496&amp;"|"&amp;$F1496)</f>
        <v/>
      </c>
      <c r="P1496" s="77">
        <f>IF($A1496="",0,$H1496*설정!$C$23)</f>
        <v/>
      </c>
      <c r="Q1496" s="39">
        <f>IF($A1496="","",IF(O1496&lt;&gt;원인분석!$C$9,"",IF(AND(M1496&gt;=원인분석!$C$10,M1496&lt;=원인분석!$C$11),"당기",IF(AND(M1496&gt;=원인분석!$C$12,M1496&lt;=원인분석!$C$13),"비교",""))))</f>
        <v/>
      </c>
      <c r="R1496" s="9">
        <f>IF(Q1496="","",$K1496&amp;"")</f>
        <v/>
      </c>
      <c r="S1496" s="9">
        <f>IF(Q1496="","",IF(MATCH(R1496,$R$5:$R$100000,0)=ROW()-4,ROW(),""))</f>
        <v/>
      </c>
      <c r="T1496" s="9">
        <f>IF(Q1496="당기",ABS(P1496)+ROW()/1000000000,"")</f>
        <v/>
      </c>
      <c r="U1496" s="9">
        <f>IF(Q1496="비교",ABS(P1496)+ROW()/1000000000,"")</f>
        <v/>
      </c>
      <c r="V1496" s="39">
        <f>IF($A1496="","",IF(COUNTIF(변동분석!$E$7:$E$506,O1496)&gt;0,"Y","N"))</f>
        <v/>
      </c>
      <c r="W1496" s="39">
        <f>IF($A1496="","",IFERROR(INDEX(계정매핑!$D$5:$D$504,MATCH($F1496&amp;"",계정매핑!$A$5:$A$504,0)),"미매핑"))</f>
        <v/>
      </c>
      <c r="X1496" s="9">
        <f>IF($A1496="","",$F1496&amp;"")</f>
        <v/>
      </c>
    </row>
    <row r="1497">
      <c r="A1497" s="75" t="n">
        <v>2025</v>
      </c>
      <c r="B1497" s="75" t="n">
        <v>8</v>
      </c>
      <c r="C1497" s="75" t="inlineStr">
        <is>
          <t>5100001493</t>
        </is>
      </c>
      <c r="D1497" s="78" t="n">
        <v>45888</v>
      </c>
      <c r="E1497" s="75" t="inlineStr">
        <is>
          <t>KR</t>
        </is>
      </c>
      <c r="F1497" s="75" t="n">
        <v>62301000</v>
      </c>
      <c r="G1497" s="75" t="n">
        <v>1401</v>
      </c>
      <c r="H1497" s="76" t="n">
        <v>71000</v>
      </c>
      <c r="I1497" s="75" t="inlineStr">
        <is>
          <t>8월 소모품 구입 - R문구</t>
        </is>
      </c>
      <c r="J1497" s="75" t="inlineStr">
        <is>
          <t>V10018</t>
        </is>
      </c>
      <c r="K1497" s="75" t="inlineStr">
        <is>
          <t>R문구</t>
        </is>
      </c>
      <c r="M1497" s="9">
        <f>IF($A1497="","",VALUE($A1497&amp;"")*12+VALUE($B1497&amp;""))</f>
        <v/>
      </c>
      <c r="N1497" s="39">
        <f>IF($A1497="","",IFERROR(INDEX(부서매핑!$C$5:$C$504,MATCH($G1497&amp;"",부서매핑!$A$5:$A$504,0)),"미매핑"))</f>
        <v/>
      </c>
      <c r="O1497" s="9">
        <f>IF($A1497="","",N1497&amp;"|"&amp;$F1497)</f>
        <v/>
      </c>
      <c r="P1497" s="77">
        <f>IF($A1497="",0,$H1497*설정!$C$23)</f>
        <v/>
      </c>
      <c r="Q1497" s="39">
        <f>IF($A1497="","",IF(O1497&lt;&gt;원인분석!$C$9,"",IF(AND(M1497&gt;=원인분석!$C$10,M1497&lt;=원인분석!$C$11),"당기",IF(AND(M1497&gt;=원인분석!$C$12,M1497&lt;=원인분석!$C$13),"비교",""))))</f>
        <v/>
      </c>
      <c r="R1497" s="9">
        <f>IF(Q1497="","",$K1497&amp;"")</f>
        <v/>
      </c>
      <c r="S1497" s="9">
        <f>IF(Q1497="","",IF(MATCH(R1497,$R$5:$R$100000,0)=ROW()-4,ROW(),""))</f>
        <v/>
      </c>
      <c r="T1497" s="9">
        <f>IF(Q1497="당기",ABS(P1497)+ROW()/1000000000,"")</f>
        <v/>
      </c>
      <c r="U1497" s="9">
        <f>IF(Q1497="비교",ABS(P1497)+ROW()/1000000000,"")</f>
        <v/>
      </c>
      <c r="V1497" s="39">
        <f>IF($A1497="","",IF(COUNTIF(변동분석!$E$7:$E$506,O1497)&gt;0,"Y","N"))</f>
        <v/>
      </c>
      <c r="W1497" s="39">
        <f>IF($A1497="","",IFERROR(INDEX(계정매핑!$D$5:$D$504,MATCH($F1497&amp;"",계정매핑!$A$5:$A$504,0)),"미매핑"))</f>
        <v/>
      </c>
      <c r="X1497" s="9">
        <f>IF($A1497="","",$F1497&amp;"")</f>
        <v/>
      </c>
    </row>
    <row r="1498">
      <c r="A1498" s="75" t="n">
        <v>2025</v>
      </c>
      <c r="B1498" s="75" t="n">
        <v>8</v>
      </c>
      <c r="C1498" s="75" t="inlineStr">
        <is>
          <t>5100001494</t>
        </is>
      </c>
      <c r="D1498" s="78" t="n">
        <v>45888</v>
      </c>
      <c r="E1498" s="75" t="inlineStr">
        <is>
          <t>KR</t>
        </is>
      </c>
      <c r="F1498" s="75" t="n">
        <v>62901000</v>
      </c>
      <c r="G1498" s="75" t="n">
        <v>1101</v>
      </c>
      <c r="H1498" s="76" t="n">
        <v>4210000</v>
      </c>
      <c r="I1498" s="75" t="inlineStr">
        <is>
          <t>8월 자문 수수료 - W컨설팅</t>
        </is>
      </c>
      <c r="J1498" s="75" t="inlineStr">
        <is>
          <t>V10009</t>
        </is>
      </c>
      <c r="K1498" s="75" t="inlineStr">
        <is>
          <t>W컨설팅</t>
        </is>
      </c>
      <c r="M1498" s="9">
        <f>IF($A1498="","",VALUE($A1498&amp;"")*12+VALUE($B1498&amp;""))</f>
        <v/>
      </c>
      <c r="N1498" s="39">
        <f>IF($A1498="","",IFERROR(INDEX(부서매핑!$C$5:$C$504,MATCH($G1498&amp;"",부서매핑!$A$5:$A$504,0)),"미매핑"))</f>
        <v/>
      </c>
      <c r="O1498" s="9">
        <f>IF($A1498="","",N1498&amp;"|"&amp;$F1498)</f>
        <v/>
      </c>
      <c r="P1498" s="77">
        <f>IF($A1498="",0,$H1498*설정!$C$23)</f>
        <v/>
      </c>
      <c r="Q1498" s="39">
        <f>IF($A1498="","",IF(O1498&lt;&gt;원인분석!$C$9,"",IF(AND(M1498&gt;=원인분석!$C$10,M1498&lt;=원인분석!$C$11),"당기",IF(AND(M1498&gt;=원인분석!$C$12,M1498&lt;=원인분석!$C$13),"비교",""))))</f>
        <v/>
      </c>
      <c r="R1498" s="9">
        <f>IF(Q1498="","",$K1498&amp;"")</f>
        <v/>
      </c>
      <c r="S1498" s="9">
        <f>IF(Q1498="","",IF(MATCH(R1498,$R$5:$R$100000,0)=ROW()-4,ROW(),""))</f>
        <v/>
      </c>
      <c r="T1498" s="9">
        <f>IF(Q1498="당기",ABS(P1498)+ROW()/1000000000,"")</f>
        <v/>
      </c>
      <c r="U1498" s="9">
        <f>IF(Q1498="비교",ABS(P1498)+ROW()/1000000000,"")</f>
        <v/>
      </c>
      <c r="V1498" s="39">
        <f>IF($A1498="","",IF(COUNTIF(변동분석!$E$7:$E$506,O1498)&gt;0,"Y","N"))</f>
        <v/>
      </c>
      <c r="W1498" s="39">
        <f>IF($A1498="","",IFERROR(INDEX(계정매핑!$D$5:$D$504,MATCH($F1498&amp;"",계정매핑!$A$5:$A$504,0)),"미매핑"))</f>
        <v/>
      </c>
      <c r="X1498" s="9">
        <f>IF($A1498="","",$F1498&amp;"")</f>
        <v/>
      </c>
    </row>
    <row r="1499">
      <c r="A1499" s="75" t="n">
        <v>2025</v>
      </c>
      <c r="B1499" s="75" t="n">
        <v>8</v>
      </c>
      <c r="C1499" s="75" t="inlineStr">
        <is>
          <t>5100001495</t>
        </is>
      </c>
      <c r="D1499" s="78" t="n">
        <v>45888</v>
      </c>
      <c r="E1499" s="75" t="inlineStr">
        <is>
          <t>KR</t>
        </is>
      </c>
      <c r="F1499" s="75" t="n">
        <v>62901000</v>
      </c>
      <c r="G1499" s="75" t="n">
        <v>1401</v>
      </c>
      <c r="H1499" s="76" t="n">
        <v>4790000</v>
      </c>
      <c r="I1499" s="75" t="inlineStr">
        <is>
          <t>8월 자문 수수료 - K회계법인</t>
        </is>
      </c>
      <c r="J1499" s="75" t="inlineStr">
        <is>
          <t>V10010</t>
        </is>
      </c>
      <c r="K1499" s="75" t="inlineStr">
        <is>
          <t>K회계법인</t>
        </is>
      </c>
      <c r="M1499" s="9">
        <f>IF($A1499="","",VALUE($A1499&amp;"")*12+VALUE($B1499&amp;""))</f>
        <v/>
      </c>
      <c r="N1499" s="39">
        <f>IF($A1499="","",IFERROR(INDEX(부서매핑!$C$5:$C$504,MATCH($G1499&amp;"",부서매핑!$A$5:$A$504,0)),"미매핑"))</f>
        <v/>
      </c>
      <c r="O1499" s="9">
        <f>IF($A1499="","",N1499&amp;"|"&amp;$F1499)</f>
        <v/>
      </c>
      <c r="P1499" s="77">
        <f>IF($A1499="",0,$H1499*설정!$C$23)</f>
        <v/>
      </c>
      <c r="Q1499" s="39">
        <f>IF($A1499="","",IF(O1499&lt;&gt;원인분석!$C$9,"",IF(AND(M1499&gt;=원인분석!$C$10,M1499&lt;=원인분석!$C$11),"당기",IF(AND(M1499&gt;=원인분석!$C$12,M1499&lt;=원인분석!$C$13),"비교",""))))</f>
        <v/>
      </c>
      <c r="R1499" s="9">
        <f>IF(Q1499="","",$K1499&amp;"")</f>
        <v/>
      </c>
      <c r="S1499" s="9">
        <f>IF(Q1499="","",IF(MATCH(R1499,$R$5:$R$100000,0)=ROW()-4,ROW(),""))</f>
        <v/>
      </c>
      <c r="T1499" s="9">
        <f>IF(Q1499="당기",ABS(P1499)+ROW()/1000000000,"")</f>
        <v/>
      </c>
      <c r="U1499" s="9">
        <f>IF(Q1499="비교",ABS(P1499)+ROW()/1000000000,"")</f>
        <v/>
      </c>
      <c r="V1499" s="39">
        <f>IF($A1499="","",IF(COUNTIF(변동분석!$E$7:$E$506,O1499)&gt;0,"Y","N"))</f>
        <v/>
      </c>
      <c r="W1499" s="39">
        <f>IF($A1499="","",IFERROR(INDEX(계정매핑!$D$5:$D$504,MATCH($F1499&amp;"",계정매핑!$A$5:$A$504,0)),"미매핑"))</f>
        <v/>
      </c>
      <c r="X1499" s="9">
        <f>IF($A1499="","",$F1499&amp;"")</f>
        <v/>
      </c>
    </row>
    <row r="1500">
      <c r="A1500" s="75" t="n">
        <v>2025</v>
      </c>
      <c r="B1500" s="75" t="n">
        <v>8</v>
      </c>
      <c r="C1500" s="75" t="inlineStr">
        <is>
          <t>5100001496</t>
        </is>
      </c>
      <c r="D1500" s="78" t="n">
        <v>45888</v>
      </c>
      <c r="E1500" s="75" t="inlineStr">
        <is>
          <t>KR</t>
        </is>
      </c>
      <c r="F1500" s="75" t="n">
        <v>62902000</v>
      </c>
      <c r="G1500" s="75" t="n">
        <v>1101</v>
      </c>
      <c r="H1500" s="76" t="n">
        <v>1511000</v>
      </c>
      <c r="I1500" s="75" t="inlineStr">
        <is>
          <t>8월 업무 위탁 수수료 - J콜센터</t>
        </is>
      </c>
      <c r="J1500" s="75" t="inlineStr">
        <is>
          <t>V10013</t>
        </is>
      </c>
      <c r="K1500" s="75" t="inlineStr">
        <is>
          <t>J콜센터</t>
        </is>
      </c>
      <c r="M1500" s="9">
        <f>IF($A1500="","",VALUE($A1500&amp;"")*12+VALUE($B1500&amp;""))</f>
        <v/>
      </c>
      <c r="N1500" s="39">
        <f>IF($A1500="","",IFERROR(INDEX(부서매핑!$C$5:$C$504,MATCH($G1500&amp;"",부서매핑!$A$5:$A$504,0)),"미매핑"))</f>
        <v/>
      </c>
      <c r="O1500" s="9">
        <f>IF($A1500="","",N1500&amp;"|"&amp;$F1500)</f>
        <v/>
      </c>
      <c r="P1500" s="77">
        <f>IF($A1500="",0,$H1500*설정!$C$23)</f>
        <v/>
      </c>
      <c r="Q1500" s="39">
        <f>IF($A1500="","",IF(O1500&lt;&gt;원인분석!$C$9,"",IF(AND(M1500&gt;=원인분석!$C$10,M1500&lt;=원인분석!$C$11),"당기",IF(AND(M1500&gt;=원인분석!$C$12,M1500&lt;=원인분석!$C$13),"비교",""))))</f>
        <v/>
      </c>
      <c r="R1500" s="9">
        <f>IF(Q1500="","",$K1500&amp;"")</f>
        <v/>
      </c>
      <c r="S1500" s="9">
        <f>IF(Q1500="","",IF(MATCH(R1500,$R$5:$R$100000,0)=ROW()-4,ROW(),""))</f>
        <v/>
      </c>
      <c r="T1500" s="9">
        <f>IF(Q1500="당기",ABS(P1500)+ROW()/1000000000,"")</f>
        <v/>
      </c>
      <c r="U1500" s="9">
        <f>IF(Q1500="비교",ABS(P1500)+ROW()/1000000000,"")</f>
        <v/>
      </c>
      <c r="V1500" s="39">
        <f>IF($A1500="","",IF(COUNTIF(변동분석!$E$7:$E$506,O1500)&gt;0,"Y","N"))</f>
        <v/>
      </c>
      <c r="W1500" s="39">
        <f>IF($A1500="","",IFERROR(INDEX(계정매핑!$D$5:$D$504,MATCH($F1500&amp;"",계정매핑!$A$5:$A$504,0)),"미매핑"))</f>
        <v/>
      </c>
      <c r="X1500" s="9">
        <f>IF($A1500="","",$F1500&amp;"")</f>
        <v/>
      </c>
    </row>
    <row r="1501">
      <c r="A1501" s="75" t="n">
        <v>2025</v>
      </c>
      <c r="B1501" s="75" t="n">
        <v>8</v>
      </c>
      <c r="C1501" s="75" t="inlineStr">
        <is>
          <t>5100001497</t>
        </is>
      </c>
      <c r="D1501" s="78" t="n">
        <v>45889</v>
      </c>
      <c r="E1501" s="75" t="inlineStr">
        <is>
          <t>KR</t>
        </is>
      </c>
      <c r="F1501" s="75" t="n">
        <v>62101000</v>
      </c>
      <c r="G1501" s="75" t="n">
        <v>1201</v>
      </c>
      <c r="H1501" s="76" t="n">
        <v>139000</v>
      </c>
      <c r="I1501" s="75" t="inlineStr">
        <is>
          <t>8월 국내출장 - (법인카드)</t>
        </is>
      </c>
      <c r="J1501" s="75" t="inlineStr">
        <is>
          <t>V10008</t>
        </is>
      </c>
      <c r="K1501" s="75" t="inlineStr">
        <is>
          <t>(법인카드)</t>
        </is>
      </c>
      <c r="M1501" s="9">
        <f>IF($A1501="","",VALUE($A1501&amp;"")*12+VALUE($B1501&amp;""))</f>
        <v/>
      </c>
      <c r="N1501" s="39">
        <f>IF($A1501="","",IFERROR(INDEX(부서매핑!$C$5:$C$504,MATCH($G1501&amp;"",부서매핑!$A$5:$A$504,0)),"미매핑"))</f>
        <v/>
      </c>
      <c r="O1501" s="9">
        <f>IF($A1501="","",N1501&amp;"|"&amp;$F1501)</f>
        <v/>
      </c>
      <c r="P1501" s="77">
        <f>IF($A1501="",0,$H1501*설정!$C$23)</f>
        <v/>
      </c>
      <c r="Q1501" s="39">
        <f>IF($A1501="","",IF(O1501&lt;&gt;원인분석!$C$9,"",IF(AND(M1501&gt;=원인분석!$C$10,M1501&lt;=원인분석!$C$11),"당기",IF(AND(M1501&gt;=원인분석!$C$12,M1501&lt;=원인분석!$C$13),"비교",""))))</f>
        <v/>
      </c>
      <c r="R1501" s="9">
        <f>IF(Q1501="","",$K1501&amp;"")</f>
        <v/>
      </c>
      <c r="S1501" s="9">
        <f>IF(Q1501="","",IF(MATCH(R1501,$R$5:$R$100000,0)=ROW()-4,ROW(),""))</f>
        <v/>
      </c>
      <c r="T1501" s="9">
        <f>IF(Q1501="당기",ABS(P1501)+ROW()/1000000000,"")</f>
        <v/>
      </c>
      <c r="U1501" s="9">
        <f>IF(Q1501="비교",ABS(P1501)+ROW()/1000000000,"")</f>
        <v/>
      </c>
      <c r="V1501" s="39">
        <f>IF($A1501="","",IF(COUNTIF(변동분석!$E$7:$E$506,O1501)&gt;0,"Y","N"))</f>
        <v/>
      </c>
      <c r="W1501" s="39">
        <f>IF($A1501="","",IFERROR(INDEX(계정매핑!$D$5:$D$504,MATCH($F1501&amp;"",계정매핑!$A$5:$A$504,0)),"미매핑"))</f>
        <v/>
      </c>
      <c r="X1501" s="9">
        <f>IF($A1501="","",$F1501&amp;"")</f>
        <v/>
      </c>
    </row>
    <row r="1502">
      <c r="A1502" s="75" t="n">
        <v>2025</v>
      </c>
      <c r="B1502" s="75" t="n">
        <v>8</v>
      </c>
      <c r="C1502" s="75" t="inlineStr">
        <is>
          <t>5100001498</t>
        </is>
      </c>
      <c r="D1502" s="78" t="n">
        <v>45889</v>
      </c>
      <c r="E1502" s="75" t="inlineStr">
        <is>
          <t>KR</t>
        </is>
      </c>
      <c r="F1502" s="75" t="n">
        <v>62101000</v>
      </c>
      <c r="G1502" s="75" t="n">
        <v>1701</v>
      </c>
      <c r="H1502" s="76" t="n">
        <v>221000</v>
      </c>
      <c r="I1502" s="75" t="inlineStr">
        <is>
          <t>8월 국내출장 - (법인카드)</t>
        </is>
      </c>
      <c r="J1502" s="75" t="inlineStr">
        <is>
          <t>V10008</t>
        </is>
      </c>
      <c r="K1502" s="75" t="inlineStr">
        <is>
          <t>(법인카드)</t>
        </is>
      </c>
      <c r="M1502" s="9">
        <f>IF($A1502="","",VALUE($A1502&amp;"")*12+VALUE($B1502&amp;""))</f>
        <v/>
      </c>
      <c r="N1502" s="39">
        <f>IF($A1502="","",IFERROR(INDEX(부서매핑!$C$5:$C$504,MATCH($G1502&amp;"",부서매핑!$A$5:$A$504,0)),"미매핑"))</f>
        <v/>
      </c>
      <c r="O1502" s="9">
        <f>IF($A1502="","",N1502&amp;"|"&amp;$F1502)</f>
        <v/>
      </c>
      <c r="P1502" s="77">
        <f>IF($A1502="",0,$H1502*설정!$C$23)</f>
        <v/>
      </c>
      <c r="Q1502" s="39">
        <f>IF($A1502="","",IF(O1502&lt;&gt;원인분석!$C$9,"",IF(AND(M1502&gt;=원인분석!$C$10,M1502&lt;=원인분석!$C$11),"당기",IF(AND(M1502&gt;=원인분석!$C$12,M1502&lt;=원인분석!$C$13),"비교",""))))</f>
        <v/>
      </c>
      <c r="R1502" s="9">
        <f>IF(Q1502="","",$K1502&amp;"")</f>
        <v/>
      </c>
      <c r="S1502" s="9">
        <f>IF(Q1502="","",IF(MATCH(R1502,$R$5:$R$100000,0)=ROW()-4,ROW(),""))</f>
        <v/>
      </c>
      <c r="T1502" s="9">
        <f>IF(Q1502="당기",ABS(P1502)+ROW()/1000000000,"")</f>
        <v/>
      </c>
      <c r="U1502" s="9">
        <f>IF(Q1502="비교",ABS(P1502)+ROW()/1000000000,"")</f>
        <v/>
      </c>
      <c r="V1502" s="39">
        <f>IF($A1502="","",IF(COUNTIF(변동분석!$E$7:$E$506,O1502)&gt;0,"Y","N"))</f>
        <v/>
      </c>
      <c r="W1502" s="39">
        <f>IF($A1502="","",IFERROR(INDEX(계정매핑!$D$5:$D$504,MATCH($F1502&amp;"",계정매핑!$A$5:$A$504,0)),"미매핑"))</f>
        <v/>
      </c>
      <c r="X1502" s="9">
        <f>IF($A1502="","",$F1502&amp;"")</f>
        <v/>
      </c>
    </row>
    <row r="1503">
      <c r="A1503" s="75" t="n">
        <v>2025</v>
      </c>
      <c r="B1503" s="75" t="n">
        <v>8</v>
      </c>
      <c r="C1503" s="75" t="inlineStr">
        <is>
          <t>5100001499</t>
        </is>
      </c>
      <c r="D1503" s="78" t="n">
        <v>45889</v>
      </c>
      <c r="E1503" s="75" t="inlineStr">
        <is>
          <t>KR</t>
        </is>
      </c>
      <c r="F1503" s="75" t="n">
        <v>62102000</v>
      </c>
      <c r="G1503" s="75" t="n">
        <v>1401</v>
      </c>
      <c r="H1503" s="76" t="n">
        <v>111000</v>
      </c>
      <c r="I1503" s="75" t="inlineStr">
        <is>
          <t>8월 해외출장 - N호텔</t>
        </is>
      </c>
      <c r="J1503" s="75" t="inlineStr">
        <is>
          <t>V10007</t>
        </is>
      </c>
      <c r="K1503" s="75" t="inlineStr">
        <is>
          <t>N호텔</t>
        </is>
      </c>
      <c r="M1503" s="9">
        <f>IF($A1503="","",VALUE($A1503&amp;"")*12+VALUE($B1503&amp;""))</f>
        <v/>
      </c>
      <c r="N1503" s="39">
        <f>IF($A1503="","",IFERROR(INDEX(부서매핑!$C$5:$C$504,MATCH($G1503&amp;"",부서매핑!$A$5:$A$504,0)),"미매핑"))</f>
        <v/>
      </c>
      <c r="O1503" s="9">
        <f>IF($A1503="","",N1503&amp;"|"&amp;$F1503)</f>
        <v/>
      </c>
      <c r="P1503" s="77">
        <f>IF($A1503="",0,$H1503*설정!$C$23)</f>
        <v/>
      </c>
      <c r="Q1503" s="39">
        <f>IF($A1503="","",IF(O1503&lt;&gt;원인분석!$C$9,"",IF(AND(M1503&gt;=원인분석!$C$10,M1503&lt;=원인분석!$C$11),"당기",IF(AND(M1503&gt;=원인분석!$C$12,M1503&lt;=원인분석!$C$13),"비교",""))))</f>
        <v/>
      </c>
      <c r="R1503" s="9">
        <f>IF(Q1503="","",$K1503&amp;"")</f>
        <v/>
      </c>
      <c r="S1503" s="9">
        <f>IF(Q1503="","",IF(MATCH(R1503,$R$5:$R$100000,0)=ROW()-4,ROW(),""))</f>
        <v/>
      </c>
      <c r="T1503" s="9">
        <f>IF(Q1503="당기",ABS(P1503)+ROW()/1000000000,"")</f>
        <v/>
      </c>
      <c r="U1503" s="9">
        <f>IF(Q1503="비교",ABS(P1503)+ROW()/1000000000,"")</f>
        <v/>
      </c>
      <c r="V1503" s="39">
        <f>IF($A1503="","",IF(COUNTIF(변동분석!$E$7:$E$506,O1503)&gt;0,"Y","N"))</f>
        <v/>
      </c>
      <c r="W1503" s="39">
        <f>IF($A1503="","",IFERROR(INDEX(계정매핑!$D$5:$D$504,MATCH($F1503&amp;"",계정매핑!$A$5:$A$504,0)),"미매핑"))</f>
        <v/>
      </c>
      <c r="X1503" s="9">
        <f>IF($A1503="","",$F1503&amp;"")</f>
        <v/>
      </c>
    </row>
    <row r="1504">
      <c r="A1504" s="75" t="n">
        <v>2025</v>
      </c>
      <c r="B1504" s="75" t="n">
        <v>8</v>
      </c>
      <c r="C1504" s="75" t="inlineStr">
        <is>
          <t>5100001500</t>
        </is>
      </c>
      <c r="D1504" s="78" t="n">
        <v>45889</v>
      </c>
      <c r="E1504" s="75" t="inlineStr">
        <is>
          <t>KR</t>
        </is>
      </c>
      <c r="F1504" s="75" t="n">
        <v>62102000</v>
      </c>
      <c r="G1504" s="75" t="n">
        <v>1701</v>
      </c>
      <c r="H1504" s="76" t="n">
        <v>59000</v>
      </c>
      <c r="I1504" s="75" t="inlineStr">
        <is>
          <t>8월 해외출장 - M항공</t>
        </is>
      </c>
      <c r="J1504" s="75" t="inlineStr">
        <is>
          <t>V10001</t>
        </is>
      </c>
      <c r="K1504" s="75" t="inlineStr">
        <is>
          <t>M항공</t>
        </is>
      </c>
      <c r="M1504" s="9">
        <f>IF($A1504="","",VALUE($A1504&amp;"")*12+VALUE($B1504&amp;""))</f>
        <v/>
      </c>
      <c r="N1504" s="39">
        <f>IF($A1504="","",IFERROR(INDEX(부서매핑!$C$5:$C$504,MATCH($G1504&amp;"",부서매핑!$A$5:$A$504,0)),"미매핑"))</f>
        <v/>
      </c>
      <c r="O1504" s="9">
        <f>IF($A1504="","",N1504&amp;"|"&amp;$F1504)</f>
        <v/>
      </c>
      <c r="P1504" s="77">
        <f>IF($A1504="",0,$H1504*설정!$C$23)</f>
        <v/>
      </c>
      <c r="Q1504" s="39">
        <f>IF($A1504="","",IF(O1504&lt;&gt;원인분석!$C$9,"",IF(AND(M1504&gt;=원인분석!$C$10,M1504&lt;=원인분석!$C$11),"당기",IF(AND(M1504&gt;=원인분석!$C$12,M1504&lt;=원인분석!$C$13),"비교",""))))</f>
        <v/>
      </c>
      <c r="R1504" s="9">
        <f>IF(Q1504="","",$K1504&amp;"")</f>
        <v/>
      </c>
      <c r="S1504" s="9">
        <f>IF(Q1504="","",IF(MATCH(R1504,$R$5:$R$100000,0)=ROW()-4,ROW(),""))</f>
        <v/>
      </c>
      <c r="T1504" s="9">
        <f>IF(Q1504="당기",ABS(P1504)+ROW()/1000000000,"")</f>
        <v/>
      </c>
      <c r="U1504" s="9">
        <f>IF(Q1504="비교",ABS(P1504)+ROW()/1000000000,"")</f>
        <v/>
      </c>
      <c r="V1504" s="39">
        <f>IF($A1504="","",IF(COUNTIF(변동분석!$E$7:$E$506,O1504)&gt;0,"Y","N"))</f>
        <v/>
      </c>
      <c r="W1504" s="39">
        <f>IF($A1504="","",IFERROR(INDEX(계정매핑!$D$5:$D$504,MATCH($F1504&amp;"",계정매핑!$A$5:$A$504,0)),"미매핑"))</f>
        <v/>
      </c>
      <c r="X1504" s="9">
        <f>IF($A1504="","",$F1504&amp;"")</f>
        <v/>
      </c>
    </row>
    <row r="1505">
      <c r="A1505" s="75" t="n">
        <v>2025</v>
      </c>
      <c r="B1505" s="75" t="n">
        <v>8</v>
      </c>
      <c r="C1505" s="75" t="inlineStr">
        <is>
          <t>5100001501</t>
        </is>
      </c>
      <c r="D1505" s="78" t="n">
        <v>45889</v>
      </c>
      <c r="E1505" s="75" t="inlineStr">
        <is>
          <t>KR</t>
        </is>
      </c>
      <c r="F1505" s="75" t="n">
        <v>62201000</v>
      </c>
      <c r="G1505" s="75" t="n">
        <v>1201</v>
      </c>
      <c r="H1505" s="76" t="n">
        <v>167000</v>
      </c>
      <c r="I1505" s="75" t="inlineStr">
        <is>
          <t>8월 통신요금 - P통신</t>
        </is>
      </c>
      <c r="J1505" s="75" t="inlineStr">
        <is>
          <t>V10011</t>
        </is>
      </c>
      <c r="K1505" s="75" t="inlineStr">
        <is>
          <t>P통신</t>
        </is>
      </c>
      <c r="M1505" s="9">
        <f>IF($A1505="","",VALUE($A1505&amp;"")*12+VALUE($B1505&amp;""))</f>
        <v/>
      </c>
      <c r="N1505" s="39">
        <f>IF($A1505="","",IFERROR(INDEX(부서매핑!$C$5:$C$504,MATCH($G1505&amp;"",부서매핑!$A$5:$A$504,0)),"미매핑"))</f>
        <v/>
      </c>
      <c r="O1505" s="9">
        <f>IF($A1505="","",N1505&amp;"|"&amp;$F1505)</f>
        <v/>
      </c>
      <c r="P1505" s="77">
        <f>IF($A1505="",0,$H1505*설정!$C$23)</f>
        <v/>
      </c>
      <c r="Q1505" s="39">
        <f>IF($A1505="","",IF(O1505&lt;&gt;원인분석!$C$9,"",IF(AND(M1505&gt;=원인분석!$C$10,M1505&lt;=원인분석!$C$11),"당기",IF(AND(M1505&gt;=원인분석!$C$12,M1505&lt;=원인분석!$C$13),"비교",""))))</f>
        <v/>
      </c>
      <c r="R1505" s="9">
        <f>IF(Q1505="","",$K1505&amp;"")</f>
        <v/>
      </c>
      <c r="S1505" s="9">
        <f>IF(Q1505="","",IF(MATCH(R1505,$R$5:$R$100000,0)=ROW()-4,ROW(),""))</f>
        <v/>
      </c>
      <c r="T1505" s="9">
        <f>IF(Q1505="당기",ABS(P1505)+ROW()/1000000000,"")</f>
        <v/>
      </c>
      <c r="U1505" s="9">
        <f>IF(Q1505="비교",ABS(P1505)+ROW()/1000000000,"")</f>
        <v/>
      </c>
      <c r="V1505" s="39">
        <f>IF($A1505="","",IF(COUNTIF(변동분석!$E$7:$E$506,O1505)&gt;0,"Y","N"))</f>
        <v/>
      </c>
      <c r="W1505" s="39">
        <f>IF($A1505="","",IFERROR(INDEX(계정매핑!$D$5:$D$504,MATCH($F1505&amp;"",계정매핑!$A$5:$A$504,0)),"미매핑"))</f>
        <v/>
      </c>
      <c r="X1505" s="9">
        <f>IF($A1505="","",$F1505&amp;"")</f>
        <v/>
      </c>
    </row>
    <row r="1506">
      <c r="A1506" s="75" t="n">
        <v>2025</v>
      </c>
      <c r="B1506" s="75" t="n">
        <v>8</v>
      </c>
      <c r="C1506" s="75" t="inlineStr">
        <is>
          <t>5100001502</t>
        </is>
      </c>
      <c r="D1506" s="78" t="n">
        <v>45889</v>
      </c>
      <c r="E1506" s="75" t="inlineStr">
        <is>
          <t>KR</t>
        </is>
      </c>
      <c r="F1506" s="75" t="n">
        <v>62301000</v>
      </c>
      <c r="G1506" s="75" t="n">
        <v>1501</v>
      </c>
      <c r="H1506" s="76" t="n">
        <v>199000</v>
      </c>
      <c r="I1506" s="75" t="inlineStr">
        <is>
          <t>8월 소모품 구입 - Q오피스</t>
        </is>
      </c>
      <c r="J1506" s="75" t="inlineStr">
        <is>
          <t>V10003</t>
        </is>
      </c>
      <c r="K1506" s="75" t="inlineStr">
        <is>
          <t>Q오피스</t>
        </is>
      </c>
      <c r="M1506" s="9">
        <f>IF($A1506="","",VALUE($A1506&amp;"")*12+VALUE($B1506&amp;""))</f>
        <v/>
      </c>
      <c r="N1506" s="39">
        <f>IF($A1506="","",IFERROR(INDEX(부서매핑!$C$5:$C$504,MATCH($G1506&amp;"",부서매핑!$A$5:$A$504,0)),"미매핑"))</f>
        <v/>
      </c>
      <c r="O1506" s="9">
        <f>IF($A1506="","",N1506&amp;"|"&amp;$F1506)</f>
        <v/>
      </c>
      <c r="P1506" s="77">
        <f>IF($A1506="",0,$H1506*설정!$C$23)</f>
        <v/>
      </c>
      <c r="Q1506" s="39">
        <f>IF($A1506="","",IF(O1506&lt;&gt;원인분석!$C$9,"",IF(AND(M1506&gt;=원인분석!$C$10,M1506&lt;=원인분석!$C$11),"당기",IF(AND(M1506&gt;=원인분석!$C$12,M1506&lt;=원인분석!$C$13),"비교",""))))</f>
        <v/>
      </c>
      <c r="R1506" s="9">
        <f>IF(Q1506="","",$K1506&amp;"")</f>
        <v/>
      </c>
      <c r="S1506" s="9">
        <f>IF(Q1506="","",IF(MATCH(R1506,$R$5:$R$100000,0)=ROW()-4,ROW(),""))</f>
        <v/>
      </c>
      <c r="T1506" s="9">
        <f>IF(Q1506="당기",ABS(P1506)+ROW()/1000000000,"")</f>
        <v/>
      </c>
      <c r="U1506" s="9">
        <f>IF(Q1506="비교",ABS(P1506)+ROW()/1000000000,"")</f>
        <v/>
      </c>
      <c r="V1506" s="39">
        <f>IF($A1506="","",IF(COUNTIF(변동분석!$E$7:$E$506,O1506)&gt;0,"Y","N"))</f>
        <v/>
      </c>
      <c r="W1506" s="39">
        <f>IF($A1506="","",IFERROR(INDEX(계정매핑!$D$5:$D$504,MATCH($F1506&amp;"",계정매핑!$A$5:$A$504,0)),"미매핑"))</f>
        <v/>
      </c>
      <c r="X1506" s="9">
        <f>IF($A1506="","",$F1506&amp;"")</f>
        <v/>
      </c>
    </row>
    <row r="1507">
      <c r="A1507" s="75" t="n">
        <v>2025</v>
      </c>
      <c r="B1507" s="75" t="n">
        <v>8</v>
      </c>
      <c r="C1507" s="75" t="inlineStr">
        <is>
          <t>5100001503</t>
        </is>
      </c>
      <c r="D1507" s="78" t="n">
        <v>45889</v>
      </c>
      <c r="E1507" s="75" t="inlineStr">
        <is>
          <t>KR</t>
        </is>
      </c>
      <c r="F1507" s="75" t="n">
        <v>62401000</v>
      </c>
      <c r="G1507" s="75" t="n">
        <v>1501</v>
      </c>
      <c r="H1507" s="76" t="n">
        <v>896000</v>
      </c>
      <c r="I1507" s="75" t="inlineStr">
        <is>
          <t>8월 인쇄물 제작 - S출판</t>
        </is>
      </c>
      <c r="J1507" s="75" t="inlineStr">
        <is>
          <t>V10012</t>
        </is>
      </c>
      <c r="K1507" s="75" t="inlineStr">
        <is>
          <t>S출판</t>
        </is>
      </c>
      <c r="M1507" s="9">
        <f>IF($A1507="","",VALUE($A1507&amp;"")*12+VALUE($B1507&amp;""))</f>
        <v/>
      </c>
      <c r="N1507" s="39">
        <f>IF($A1507="","",IFERROR(INDEX(부서매핑!$C$5:$C$504,MATCH($G1507&amp;"",부서매핑!$A$5:$A$504,0)),"미매핑"))</f>
        <v/>
      </c>
      <c r="O1507" s="9">
        <f>IF($A1507="","",N1507&amp;"|"&amp;$F1507)</f>
        <v/>
      </c>
      <c r="P1507" s="77">
        <f>IF($A1507="",0,$H1507*설정!$C$23)</f>
        <v/>
      </c>
      <c r="Q1507" s="39">
        <f>IF($A1507="","",IF(O1507&lt;&gt;원인분석!$C$9,"",IF(AND(M1507&gt;=원인분석!$C$10,M1507&lt;=원인분석!$C$11),"당기",IF(AND(M1507&gt;=원인분석!$C$12,M1507&lt;=원인분석!$C$13),"비교",""))))</f>
        <v/>
      </c>
      <c r="R1507" s="9">
        <f>IF(Q1507="","",$K1507&amp;"")</f>
        <v/>
      </c>
      <c r="S1507" s="9">
        <f>IF(Q1507="","",IF(MATCH(R1507,$R$5:$R$100000,0)=ROW()-4,ROW(),""))</f>
        <v/>
      </c>
      <c r="T1507" s="9">
        <f>IF(Q1507="당기",ABS(P1507)+ROW()/1000000000,"")</f>
        <v/>
      </c>
      <c r="U1507" s="9">
        <f>IF(Q1507="비교",ABS(P1507)+ROW()/1000000000,"")</f>
        <v/>
      </c>
      <c r="V1507" s="39">
        <f>IF($A1507="","",IF(COUNTIF(변동분석!$E$7:$E$506,O1507)&gt;0,"Y","N"))</f>
        <v/>
      </c>
      <c r="W1507" s="39">
        <f>IF($A1507="","",IFERROR(INDEX(계정매핑!$D$5:$D$504,MATCH($F1507&amp;"",계정매핑!$A$5:$A$504,0)),"미매핑"))</f>
        <v/>
      </c>
      <c r="X1507" s="9">
        <f>IF($A1507="","",$F1507&amp;"")</f>
        <v/>
      </c>
    </row>
    <row r="1508">
      <c r="A1508" s="75" t="n">
        <v>2025</v>
      </c>
      <c r="B1508" s="75" t="n">
        <v>8</v>
      </c>
      <c r="C1508" s="75" t="inlineStr">
        <is>
          <t>5100001504</t>
        </is>
      </c>
      <c r="D1508" s="78" t="n">
        <v>45889</v>
      </c>
      <c r="E1508" s="75" t="inlineStr">
        <is>
          <t>KR</t>
        </is>
      </c>
      <c r="F1508" s="75" t="n">
        <v>62501000</v>
      </c>
      <c r="G1508" s="75" t="n">
        <v>1201</v>
      </c>
      <c r="H1508" s="76" t="n">
        <v>85000</v>
      </c>
      <c r="I1508" s="75" t="inlineStr">
        <is>
          <t>8월 회의 다과 - T케이터링</t>
        </is>
      </c>
      <c r="J1508" s="75" t="inlineStr">
        <is>
          <t>V10005</t>
        </is>
      </c>
      <c r="K1508" s="75" t="inlineStr">
        <is>
          <t>T케이터링</t>
        </is>
      </c>
      <c r="M1508" s="9">
        <f>IF($A1508="","",VALUE($A1508&amp;"")*12+VALUE($B1508&amp;""))</f>
        <v/>
      </c>
      <c r="N1508" s="39">
        <f>IF($A1508="","",IFERROR(INDEX(부서매핑!$C$5:$C$504,MATCH($G1508&amp;"",부서매핑!$A$5:$A$504,0)),"미매핑"))</f>
        <v/>
      </c>
      <c r="O1508" s="9">
        <f>IF($A1508="","",N1508&amp;"|"&amp;$F1508)</f>
        <v/>
      </c>
      <c r="P1508" s="77">
        <f>IF($A1508="",0,$H1508*설정!$C$23)</f>
        <v/>
      </c>
      <c r="Q1508" s="39">
        <f>IF($A1508="","",IF(O1508&lt;&gt;원인분석!$C$9,"",IF(AND(M1508&gt;=원인분석!$C$10,M1508&lt;=원인분석!$C$11),"당기",IF(AND(M1508&gt;=원인분석!$C$12,M1508&lt;=원인분석!$C$13),"비교",""))))</f>
        <v/>
      </c>
      <c r="R1508" s="9">
        <f>IF(Q1508="","",$K1508&amp;"")</f>
        <v/>
      </c>
      <c r="S1508" s="9">
        <f>IF(Q1508="","",IF(MATCH(R1508,$R$5:$R$100000,0)=ROW()-4,ROW(),""))</f>
        <v/>
      </c>
      <c r="T1508" s="9">
        <f>IF(Q1508="당기",ABS(P1508)+ROW()/1000000000,"")</f>
        <v/>
      </c>
      <c r="U1508" s="9">
        <f>IF(Q1508="비교",ABS(P1508)+ROW()/1000000000,"")</f>
        <v/>
      </c>
      <c r="V1508" s="39">
        <f>IF($A1508="","",IF(COUNTIF(변동분석!$E$7:$E$506,O1508)&gt;0,"Y","N"))</f>
        <v/>
      </c>
      <c r="W1508" s="39">
        <f>IF($A1508="","",IFERROR(INDEX(계정매핑!$D$5:$D$504,MATCH($F1508&amp;"",계정매핑!$A$5:$A$504,0)),"미매핑"))</f>
        <v/>
      </c>
      <c r="X1508" s="9">
        <f>IF($A1508="","",$F1508&amp;"")</f>
        <v/>
      </c>
    </row>
    <row r="1509">
      <c r="A1509" s="75" t="n">
        <v>2025</v>
      </c>
      <c r="B1509" s="75" t="n">
        <v>8</v>
      </c>
      <c r="C1509" s="75" t="inlineStr">
        <is>
          <t>5100001505</t>
        </is>
      </c>
      <c r="D1509" s="78" t="n">
        <v>45889</v>
      </c>
      <c r="E1509" s="75" t="inlineStr">
        <is>
          <t>KR</t>
        </is>
      </c>
      <c r="F1509" s="75" t="n">
        <v>62901000</v>
      </c>
      <c r="G1509" s="75" t="n">
        <v>1401</v>
      </c>
      <c r="H1509" s="76" t="n">
        <v>6412000</v>
      </c>
      <c r="I1509" s="75" t="inlineStr">
        <is>
          <t>8월 자문 수수료 - W컨설팅</t>
        </is>
      </c>
      <c r="J1509" s="75" t="inlineStr">
        <is>
          <t>V10009</t>
        </is>
      </c>
      <c r="K1509" s="75" t="inlineStr">
        <is>
          <t>W컨설팅</t>
        </is>
      </c>
      <c r="M1509" s="9">
        <f>IF($A1509="","",VALUE($A1509&amp;"")*12+VALUE($B1509&amp;""))</f>
        <v/>
      </c>
      <c r="N1509" s="39">
        <f>IF($A1509="","",IFERROR(INDEX(부서매핑!$C$5:$C$504,MATCH($G1509&amp;"",부서매핑!$A$5:$A$504,0)),"미매핑"))</f>
        <v/>
      </c>
      <c r="O1509" s="9">
        <f>IF($A1509="","",N1509&amp;"|"&amp;$F1509)</f>
        <v/>
      </c>
      <c r="P1509" s="77">
        <f>IF($A1509="",0,$H1509*설정!$C$23)</f>
        <v/>
      </c>
      <c r="Q1509" s="39">
        <f>IF($A1509="","",IF(O1509&lt;&gt;원인분석!$C$9,"",IF(AND(M1509&gt;=원인분석!$C$10,M1509&lt;=원인분석!$C$11),"당기",IF(AND(M1509&gt;=원인분석!$C$12,M1509&lt;=원인분석!$C$13),"비교",""))))</f>
        <v/>
      </c>
      <c r="R1509" s="9">
        <f>IF(Q1509="","",$K1509&amp;"")</f>
        <v/>
      </c>
      <c r="S1509" s="9">
        <f>IF(Q1509="","",IF(MATCH(R1509,$R$5:$R$100000,0)=ROW()-4,ROW(),""))</f>
        <v/>
      </c>
      <c r="T1509" s="9">
        <f>IF(Q1509="당기",ABS(P1509)+ROW()/1000000000,"")</f>
        <v/>
      </c>
      <c r="U1509" s="9">
        <f>IF(Q1509="비교",ABS(P1509)+ROW()/1000000000,"")</f>
        <v/>
      </c>
      <c r="V1509" s="39">
        <f>IF($A1509="","",IF(COUNTIF(변동분석!$E$7:$E$506,O1509)&gt;0,"Y","N"))</f>
        <v/>
      </c>
      <c r="W1509" s="39">
        <f>IF($A1509="","",IFERROR(INDEX(계정매핑!$D$5:$D$504,MATCH($F1509&amp;"",계정매핑!$A$5:$A$504,0)),"미매핑"))</f>
        <v/>
      </c>
      <c r="X1509" s="9">
        <f>IF($A1509="","",$F1509&amp;"")</f>
        <v/>
      </c>
    </row>
    <row r="1510">
      <c r="A1510" s="75" t="n">
        <v>2025</v>
      </c>
      <c r="B1510" s="75" t="n">
        <v>8</v>
      </c>
      <c r="C1510" s="75" t="inlineStr">
        <is>
          <t>5100001506</t>
        </is>
      </c>
      <c r="D1510" s="78" t="n">
        <v>45889</v>
      </c>
      <c r="E1510" s="75" t="inlineStr">
        <is>
          <t>KR</t>
        </is>
      </c>
      <c r="F1510" s="75" t="n">
        <v>62901000</v>
      </c>
      <c r="G1510" s="75" t="n">
        <v>1801</v>
      </c>
      <c r="H1510" s="76" t="n">
        <v>6740000</v>
      </c>
      <c r="I1510" s="75" t="inlineStr">
        <is>
          <t>8월 자문 수수료 - W컨설팅</t>
        </is>
      </c>
      <c r="J1510" s="75" t="inlineStr">
        <is>
          <t>V10009</t>
        </is>
      </c>
      <c r="K1510" s="75" t="inlineStr">
        <is>
          <t>W컨설팅</t>
        </is>
      </c>
      <c r="M1510" s="9">
        <f>IF($A1510="","",VALUE($A1510&amp;"")*12+VALUE($B1510&amp;""))</f>
        <v/>
      </c>
      <c r="N1510" s="39">
        <f>IF($A1510="","",IFERROR(INDEX(부서매핑!$C$5:$C$504,MATCH($G1510&amp;"",부서매핑!$A$5:$A$504,0)),"미매핑"))</f>
        <v/>
      </c>
      <c r="O1510" s="9">
        <f>IF($A1510="","",N1510&amp;"|"&amp;$F1510)</f>
        <v/>
      </c>
      <c r="P1510" s="77">
        <f>IF($A1510="",0,$H1510*설정!$C$23)</f>
        <v/>
      </c>
      <c r="Q1510" s="39">
        <f>IF($A1510="","",IF(O1510&lt;&gt;원인분석!$C$9,"",IF(AND(M1510&gt;=원인분석!$C$10,M1510&lt;=원인분석!$C$11),"당기",IF(AND(M1510&gt;=원인분석!$C$12,M1510&lt;=원인분석!$C$13),"비교",""))))</f>
        <v/>
      </c>
      <c r="R1510" s="9">
        <f>IF(Q1510="","",$K1510&amp;"")</f>
        <v/>
      </c>
      <c r="S1510" s="9">
        <f>IF(Q1510="","",IF(MATCH(R1510,$R$5:$R$100000,0)=ROW()-4,ROW(),""))</f>
        <v/>
      </c>
      <c r="T1510" s="9">
        <f>IF(Q1510="당기",ABS(P1510)+ROW()/1000000000,"")</f>
        <v/>
      </c>
      <c r="U1510" s="9">
        <f>IF(Q1510="비교",ABS(P1510)+ROW()/1000000000,"")</f>
        <v/>
      </c>
      <c r="V1510" s="39">
        <f>IF($A1510="","",IF(COUNTIF(변동분석!$E$7:$E$506,O1510)&gt;0,"Y","N"))</f>
        <v/>
      </c>
      <c r="W1510" s="39">
        <f>IF($A1510="","",IFERROR(INDEX(계정매핑!$D$5:$D$504,MATCH($F1510&amp;"",계정매핑!$A$5:$A$504,0)),"미매핑"))</f>
        <v/>
      </c>
      <c r="X1510" s="9">
        <f>IF($A1510="","",$F1510&amp;"")</f>
        <v/>
      </c>
    </row>
    <row r="1511">
      <c r="A1511" s="75" t="n">
        <v>2025</v>
      </c>
      <c r="B1511" s="75" t="n">
        <v>8</v>
      </c>
      <c r="C1511" s="75" t="inlineStr">
        <is>
          <t>5100001507</t>
        </is>
      </c>
      <c r="D1511" s="78" t="n">
        <v>45889</v>
      </c>
      <c r="E1511" s="75" t="inlineStr">
        <is>
          <t>KR</t>
        </is>
      </c>
      <c r="F1511" s="75" t="n">
        <v>62902000</v>
      </c>
      <c r="G1511" s="75" t="n">
        <v>1201</v>
      </c>
      <c r="H1511" s="76" t="n">
        <v>2971000</v>
      </c>
      <c r="I1511" s="75" t="inlineStr">
        <is>
          <t>8월 업무 위탁 수수료 - J콜센터</t>
        </is>
      </c>
      <c r="J1511" s="75" t="inlineStr">
        <is>
          <t>V10013</t>
        </is>
      </c>
      <c r="K1511" s="75" t="inlineStr">
        <is>
          <t>J콜센터</t>
        </is>
      </c>
      <c r="M1511" s="9">
        <f>IF($A1511="","",VALUE($A1511&amp;"")*12+VALUE($B1511&amp;""))</f>
        <v/>
      </c>
      <c r="N1511" s="39">
        <f>IF($A1511="","",IFERROR(INDEX(부서매핑!$C$5:$C$504,MATCH($G1511&amp;"",부서매핑!$A$5:$A$504,0)),"미매핑"))</f>
        <v/>
      </c>
      <c r="O1511" s="9">
        <f>IF($A1511="","",N1511&amp;"|"&amp;$F1511)</f>
        <v/>
      </c>
      <c r="P1511" s="77">
        <f>IF($A1511="",0,$H1511*설정!$C$23)</f>
        <v/>
      </c>
      <c r="Q1511" s="39">
        <f>IF($A1511="","",IF(O1511&lt;&gt;원인분석!$C$9,"",IF(AND(M1511&gt;=원인분석!$C$10,M1511&lt;=원인분석!$C$11),"당기",IF(AND(M1511&gt;=원인분석!$C$12,M1511&lt;=원인분석!$C$13),"비교",""))))</f>
        <v/>
      </c>
      <c r="R1511" s="9">
        <f>IF(Q1511="","",$K1511&amp;"")</f>
        <v/>
      </c>
      <c r="S1511" s="9">
        <f>IF(Q1511="","",IF(MATCH(R1511,$R$5:$R$100000,0)=ROW()-4,ROW(),""))</f>
        <v/>
      </c>
      <c r="T1511" s="9">
        <f>IF(Q1511="당기",ABS(P1511)+ROW()/1000000000,"")</f>
        <v/>
      </c>
      <c r="U1511" s="9">
        <f>IF(Q1511="비교",ABS(P1511)+ROW()/1000000000,"")</f>
        <v/>
      </c>
      <c r="V1511" s="39">
        <f>IF($A1511="","",IF(COUNTIF(변동분석!$E$7:$E$506,O1511)&gt;0,"Y","N"))</f>
        <v/>
      </c>
      <c r="W1511" s="39">
        <f>IF($A1511="","",IFERROR(INDEX(계정매핑!$D$5:$D$504,MATCH($F1511&amp;"",계정매핑!$A$5:$A$504,0)),"미매핑"))</f>
        <v/>
      </c>
      <c r="X1511" s="9">
        <f>IF($A1511="","",$F1511&amp;"")</f>
        <v/>
      </c>
    </row>
    <row r="1512">
      <c r="A1512" s="75" t="n">
        <v>2025</v>
      </c>
      <c r="B1512" s="75" t="n">
        <v>8</v>
      </c>
      <c r="C1512" s="75" t="inlineStr">
        <is>
          <t>5100001508</t>
        </is>
      </c>
      <c r="D1512" s="78" t="n">
        <v>45889</v>
      </c>
      <c r="E1512" s="75" t="inlineStr">
        <is>
          <t>KR</t>
        </is>
      </c>
      <c r="F1512" s="75" t="n">
        <v>62902000</v>
      </c>
      <c r="G1512" s="75" t="n">
        <v>1801</v>
      </c>
      <c r="H1512" s="76" t="n">
        <v>1782000</v>
      </c>
      <c r="I1512" s="75" t="inlineStr">
        <is>
          <t>8월 콜 위탁 수수료(건별)</t>
        </is>
      </c>
      <c r="J1512" s="75" t="inlineStr">
        <is>
          <t>V10013</t>
        </is>
      </c>
      <c r="K1512" s="75" t="inlineStr">
        <is>
          <t>J콜센터</t>
        </is>
      </c>
      <c r="M1512" s="9">
        <f>IF($A1512="","",VALUE($A1512&amp;"")*12+VALUE($B1512&amp;""))</f>
        <v/>
      </c>
      <c r="N1512" s="39">
        <f>IF($A1512="","",IFERROR(INDEX(부서매핑!$C$5:$C$504,MATCH($G1512&amp;"",부서매핑!$A$5:$A$504,0)),"미매핑"))</f>
        <v/>
      </c>
      <c r="O1512" s="9">
        <f>IF($A1512="","",N1512&amp;"|"&amp;$F1512)</f>
        <v/>
      </c>
      <c r="P1512" s="77">
        <f>IF($A1512="",0,$H1512*설정!$C$23)</f>
        <v/>
      </c>
      <c r="Q1512" s="39">
        <f>IF($A1512="","",IF(O1512&lt;&gt;원인분석!$C$9,"",IF(AND(M1512&gt;=원인분석!$C$10,M1512&lt;=원인분석!$C$11),"당기",IF(AND(M1512&gt;=원인분석!$C$12,M1512&lt;=원인분석!$C$13),"비교",""))))</f>
        <v/>
      </c>
      <c r="R1512" s="9">
        <f>IF(Q1512="","",$K1512&amp;"")</f>
        <v/>
      </c>
      <c r="S1512" s="9">
        <f>IF(Q1512="","",IF(MATCH(R1512,$R$5:$R$100000,0)=ROW()-4,ROW(),""))</f>
        <v/>
      </c>
      <c r="T1512" s="9">
        <f>IF(Q1512="당기",ABS(P1512)+ROW()/1000000000,"")</f>
        <v/>
      </c>
      <c r="U1512" s="9">
        <f>IF(Q1512="비교",ABS(P1512)+ROW()/1000000000,"")</f>
        <v/>
      </c>
      <c r="V1512" s="39">
        <f>IF($A1512="","",IF(COUNTIF(변동분석!$E$7:$E$506,O1512)&gt;0,"Y","N"))</f>
        <v/>
      </c>
      <c r="W1512" s="39">
        <f>IF($A1512="","",IFERROR(INDEX(계정매핑!$D$5:$D$504,MATCH($F1512&amp;"",계정매핑!$A$5:$A$504,0)),"미매핑"))</f>
        <v/>
      </c>
      <c r="X1512" s="9">
        <f>IF($A1512="","",$F1512&amp;"")</f>
        <v/>
      </c>
    </row>
    <row r="1513">
      <c r="A1513" s="75" t="n">
        <v>2025</v>
      </c>
      <c r="B1513" s="75" t="n">
        <v>8</v>
      </c>
      <c r="C1513" s="75" t="inlineStr">
        <is>
          <t>5100001509</t>
        </is>
      </c>
      <c r="D1513" s="78" t="n">
        <v>45890</v>
      </c>
      <c r="E1513" s="75" t="inlineStr">
        <is>
          <t>KR</t>
        </is>
      </c>
      <c r="F1513" s="75" t="n">
        <v>62101000</v>
      </c>
      <c r="G1513" s="75" t="n">
        <v>1101</v>
      </c>
      <c r="H1513" s="76" t="n">
        <v>605000</v>
      </c>
      <c r="I1513" s="75" t="inlineStr">
        <is>
          <t>8월 국내출장 - (법인카드)</t>
        </is>
      </c>
      <c r="J1513" s="75" t="inlineStr">
        <is>
          <t>V10008</t>
        </is>
      </c>
      <c r="K1513" s="75" t="inlineStr">
        <is>
          <t>(법인카드)</t>
        </is>
      </c>
      <c r="M1513" s="9">
        <f>IF($A1513="","",VALUE($A1513&amp;"")*12+VALUE($B1513&amp;""))</f>
        <v/>
      </c>
      <c r="N1513" s="39">
        <f>IF($A1513="","",IFERROR(INDEX(부서매핑!$C$5:$C$504,MATCH($G1513&amp;"",부서매핑!$A$5:$A$504,0)),"미매핑"))</f>
        <v/>
      </c>
      <c r="O1513" s="9">
        <f>IF($A1513="","",N1513&amp;"|"&amp;$F1513)</f>
        <v/>
      </c>
      <c r="P1513" s="77">
        <f>IF($A1513="",0,$H1513*설정!$C$23)</f>
        <v/>
      </c>
      <c r="Q1513" s="39">
        <f>IF($A1513="","",IF(O1513&lt;&gt;원인분석!$C$9,"",IF(AND(M1513&gt;=원인분석!$C$10,M1513&lt;=원인분석!$C$11),"당기",IF(AND(M1513&gt;=원인분석!$C$12,M1513&lt;=원인분석!$C$13),"비교",""))))</f>
        <v/>
      </c>
      <c r="R1513" s="9">
        <f>IF(Q1513="","",$K1513&amp;"")</f>
        <v/>
      </c>
      <c r="S1513" s="9">
        <f>IF(Q1513="","",IF(MATCH(R1513,$R$5:$R$100000,0)=ROW()-4,ROW(),""))</f>
        <v/>
      </c>
      <c r="T1513" s="9">
        <f>IF(Q1513="당기",ABS(P1513)+ROW()/1000000000,"")</f>
        <v/>
      </c>
      <c r="U1513" s="9">
        <f>IF(Q1513="비교",ABS(P1513)+ROW()/1000000000,"")</f>
        <v/>
      </c>
      <c r="V1513" s="39">
        <f>IF($A1513="","",IF(COUNTIF(변동분석!$E$7:$E$506,O1513)&gt;0,"Y","N"))</f>
        <v/>
      </c>
      <c r="W1513" s="39">
        <f>IF($A1513="","",IFERROR(INDEX(계정매핑!$D$5:$D$504,MATCH($F1513&amp;"",계정매핑!$A$5:$A$504,0)),"미매핑"))</f>
        <v/>
      </c>
      <c r="X1513" s="9">
        <f>IF($A1513="","",$F1513&amp;"")</f>
        <v/>
      </c>
    </row>
    <row r="1514">
      <c r="A1514" s="75" t="n">
        <v>2025</v>
      </c>
      <c r="B1514" s="75" t="n">
        <v>8</v>
      </c>
      <c r="C1514" s="75" t="inlineStr">
        <is>
          <t>5100001510</t>
        </is>
      </c>
      <c r="D1514" s="78" t="n">
        <v>45890</v>
      </c>
      <c r="E1514" s="75" t="inlineStr">
        <is>
          <t>KR</t>
        </is>
      </c>
      <c r="F1514" s="75" t="n">
        <v>62101000</v>
      </c>
      <c r="G1514" s="75" t="n">
        <v>1301</v>
      </c>
      <c r="H1514" s="76" t="n">
        <v>389000</v>
      </c>
      <c r="I1514" s="75" t="inlineStr">
        <is>
          <t>8월 국내출장 - (법인카드)</t>
        </is>
      </c>
      <c r="J1514" s="75" t="inlineStr">
        <is>
          <t>V10008</t>
        </is>
      </c>
      <c r="K1514" s="75" t="inlineStr">
        <is>
          <t>(법인카드)</t>
        </is>
      </c>
      <c r="M1514" s="9">
        <f>IF($A1514="","",VALUE($A1514&amp;"")*12+VALUE($B1514&amp;""))</f>
        <v/>
      </c>
      <c r="N1514" s="39">
        <f>IF($A1514="","",IFERROR(INDEX(부서매핑!$C$5:$C$504,MATCH($G1514&amp;"",부서매핑!$A$5:$A$504,0)),"미매핑"))</f>
        <v/>
      </c>
      <c r="O1514" s="9">
        <f>IF($A1514="","",N1514&amp;"|"&amp;$F1514)</f>
        <v/>
      </c>
      <c r="P1514" s="77">
        <f>IF($A1514="",0,$H1514*설정!$C$23)</f>
        <v/>
      </c>
      <c r="Q1514" s="39">
        <f>IF($A1514="","",IF(O1514&lt;&gt;원인분석!$C$9,"",IF(AND(M1514&gt;=원인분석!$C$10,M1514&lt;=원인분석!$C$11),"당기",IF(AND(M1514&gt;=원인분석!$C$12,M1514&lt;=원인분석!$C$13),"비교",""))))</f>
        <v/>
      </c>
      <c r="R1514" s="9">
        <f>IF(Q1514="","",$K1514&amp;"")</f>
        <v/>
      </c>
      <c r="S1514" s="9">
        <f>IF(Q1514="","",IF(MATCH(R1514,$R$5:$R$100000,0)=ROW()-4,ROW(),""))</f>
        <v/>
      </c>
      <c r="T1514" s="9">
        <f>IF(Q1514="당기",ABS(P1514)+ROW()/1000000000,"")</f>
        <v/>
      </c>
      <c r="U1514" s="9">
        <f>IF(Q1514="비교",ABS(P1514)+ROW()/1000000000,"")</f>
        <v/>
      </c>
      <c r="V1514" s="39">
        <f>IF($A1514="","",IF(COUNTIF(변동분석!$E$7:$E$506,O1514)&gt;0,"Y","N"))</f>
        <v/>
      </c>
      <c r="W1514" s="39">
        <f>IF($A1514="","",IFERROR(INDEX(계정매핑!$D$5:$D$504,MATCH($F1514&amp;"",계정매핑!$A$5:$A$504,0)),"미매핑"))</f>
        <v/>
      </c>
      <c r="X1514" s="9">
        <f>IF($A1514="","",$F1514&amp;"")</f>
        <v/>
      </c>
    </row>
    <row r="1515">
      <c r="A1515" s="75" t="n">
        <v>2025</v>
      </c>
      <c r="B1515" s="75" t="n">
        <v>8</v>
      </c>
      <c r="C1515" s="75" t="inlineStr">
        <is>
          <t>5100001511</t>
        </is>
      </c>
      <c r="D1515" s="78" t="n">
        <v>45890</v>
      </c>
      <c r="E1515" s="75" t="inlineStr">
        <is>
          <t>KR</t>
        </is>
      </c>
      <c r="F1515" s="75" t="n">
        <v>62101000</v>
      </c>
      <c r="G1515" s="75" t="n">
        <v>1601</v>
      </c>
      <c r="H1515" s="76" t="n">
        <v>837000</v>
      </c>
      <c r="I1515" s="75" t="inlineStr">
        <is>
          <t>8월 국내출장 - L여행사</t>
        </is>
      </c>
      <c r="J1515" s="75" t="inlineStr">
        <is>
          <t>V10014</t>
        </is>
      </c>
      <c r="K1515" s="75" t="inlineStr">
        <is>
          <t>L여행사</t>
        </is>
      </c>
      <c r="M1515" s="9">
        <f>IF($A1515="","",VALUE($A1515&amp;"")*12+VALUE($B1515&amp;""))</f>
        <v/>
      </c>
      <c r="N1515" s="39">
        <f>IF($A1515="","",IFERROR(INDEX(부서매핑!$C$5:$C$504,MATCH($G1515&amp;"",부서매핑!$A$5:$A$504,0)),"미매핑"))</f>
        <v/>
      </c>
      <c r="O1515" s="9">
        <f>IF($A1515="","",N1515&amp;"|"&amp;$F1515)</f>
        <v/>
      </c>
      <c r="P1515" s="77">
        <f>IF($A1515="",0,$H1515*설정!$C$23)</f>
        <v/>
      </c>
      <c r="Q1515" s="39">
        <f>IF($A1515="","",IF(O1515&lt;&gt;원인분석!$C$9,"",IF(AND(M1515&gt;=원인분석!$C$10,M1515&lt;=원인분석!$C$11),"당기",IF(AND(M1515&gt;=원인분석!$C$12,M1515&lt;=원인분석!$C$13),"비교",""))))</f>
        <v/>
      </c>
      <c r="R1515" s="9">
        <f>IF(Q1515="","",$K1515&amp;"")</f>
        <v/>
      </c>
      <c r="S1515" s="9">
        <f>IF(Q1515="","",IF(MATCH(R1515,$R$5:$R$100000,0)=ROW()-4,ROW(),""))</f>
        <v/>
      </c>
      <c r="T1515" s="9">
        <f>IF(Q1515="당기",ABS(P1515)+ROW()/1000000000,"")</f>
        <v/>
      </c>
      <c r="U1515" s="9">
        <f>IF(Q1515="비교",ABS(P1515)+ROW()/1000000000,"")</f>
        <v/>
      </c>
      <c r="V1515" s="39">
        <f>IF($A1515="","",IF(COUNTIF(변동분석!$E$7:$E$506,O1515)&gt;0,"Y","N"))</f>
        <v/>
      </c>
      <c r="W1515" s="39">
        <f>IF($A1515="","",IFERROR(INDEX(계정매핑!$D$5:$D$504,MATCH($F1515&amp;"",계정매핑!$A$5:$A$504,0)),"미매핑"))</f>
        <v/>
      </c>
      <c r="X1515" s="9">
        <f>IF($A1515="","",$F1515&amp;"")</f>
        <v/>
      </c>
    </row>
    <row r="1516">
      <c r="A1516" s="75" t="n">
        <v>2025</v>
      </c>
      <c r="B1516" s="75" t="n">
        <v>8</v>
      </c>
      <c r="C1516" s="75" t="inlineStr">
        <is>
          <t>5100001512</t>
        </is>
      </c>
      <c r="D1516" s="78" t="n">
        <v>45890</v>
      </c>
      <c r="E1516" s="75" t="inlineStr">
        <is>
          <t>KR</t>
        </is>
      </c>
      <c r="F1516" s="75" t="n">
        <v>62101000</v>
      </c>
      <c r="G1516" s="75" t="n">
        <v>1701</v>
      </c>
      <c r="H1516" s="76" t="n">
        <v>185000</v>
      </c>
      <c r="I1516" s="75" t="inlineStr">
        <is>
          <t>8월 국내출장 - L여행사</t>
        </is>
      </c>
      <c r="J1516" s="75" t="inlineStr">
        <is>
          <t>V10014</t>
        </is>
      </c>
      <c r="K1516" s="75" t="inlineStr">
        <is>
          <t>L여행사</t>
        </is>
      </c>
      <c r="M1516" s="9">
        <f>IF($A1516="","",VALUE($A1516&amp;"")*12+VALUE($B1516&amp;""))</f>
        <v/>
      </c>
      <c r="N1516" s="39">
        <f>IF($A1516="","",IFERROR(INDEX(부서매핑!$C$5:$C$504,MATCH($G1516&amp;"",부서매핑!$A$5:$A$504,0)),"미매핑"))</f>
        <v/>
      </c>
      <c r="O1516" s="9">
        <f>IF($A1516="","",N1516&amp;"|"&amp;$F1516)</f>
        <v/>
      </c>
      <c r="P1516" s="77">
        <f>IF($A1516="",0,$H1516*설정!$C$23)</f>
        <v/>
      </c>
      <c r="Q1516" s="39">
        <f>IF($A1516="","",IF(O1516&lt;&gt;원인분석!$C$9,"",IF(AND(M1516&gt;=원인분석!$C$10,M1516&lt;=원인분석!$C$11),"당기",IF(AND(M1516&gt;=원인분석!$C$12,M1516&lt;=원인분석!$C$13),"비교",""))))</f>
        <v/>
      </c>
      <c r="R1516" s="9">
        <f>IF(Q1516="","",$K1516&amp;"")</f>
        <v/>
      </c>
      <c r="S1516" s="9">
        <f>IF(Q1516="","",IF(MATCH(R1516,$R$5:$R$100000,0)=ROW()-4,ROW(),""))</f>
        <v/>
      </c>
      <c r="T1516" s="9">
        <f>IF(Q1516="당기",ABS(P1516)+ROW()/1000000000,"")</f>
        <v/>
      </c>
      <c r="U1516" s="9">
        <f>IF(Q1516="비교",ABS(P1516)+ROW()/1000000000,"")</f>
        <v/>
      </c>
      <c r="V1516" s="39">
        <f>IF($A1516="","",IF(COUNTIF(변동분석!$E$7:$E$506,O1516)&gt;0,"Y","N"))</f>
        <v/>
      </c>
      <c r="W1516" s="39">
        <f>IF($A1516="","",IFERROR(INDEX(계정매핑!$D$5:$D$504,MATCH($F1516&amp;"",계정매핑!$A$5:$A$504,0)),"미매핑"))</f>
        <v/>
      </c>
      <c r="X1516" s="9">
        <f>IF($A1516="","",$F1516&amp;"")</f>
        <v/>
      </c>
    </row>
    <row r="1517">
      <c r="A1517" s="75" t="n">
        <v>2025</v>
      </c>
      <c r="B1517" s="75" t="n">
        <v>8</v>
      </c>
      <c r="C1517" s="75" t="inlineStr">
        <is>
          <t>5100001513</t>
        </is>
      </c>
      <c r="D1517" s="78" t="n">
        <v>45890</v>
      </c>
      <c r="E1517" s="75" t="inlineStr">
        <is>
          <t>KR</t>
        </is>
      </c>
      <c r="F1517" s="75" t="n">
        <v>62102000</v>
      </c>
      <c r="G1517" s="75" t="n">
        <v>1101</v>
      </c>
      <c r="H1517" s="76" t="n">
        <v>143000</v>
      </c>
      <c r="I1517" s="75" t="inlineStr">
        <is>
          <t>8월 해외출장 - N호텔</t>
        </is>
      </c>
      <c r="J1517" s="75" t="inlineStr">
        <is>
          <t>V10007</t>
        </is>
      </c>
      <c r="K1517" s="75" t="inlineStr">
        <is>
          <t>N호텔</t>
        </is>
      </c>
      <c r="M1517" s="9">
        <f>IF($A1517="","",VALUE($A1517&amp;"")*12+VALUE($B1517&amp;""))</f>
        <v/>
      </c>
      <c r="N1517" s="39">
        <f>IF($A1517="","",IFERROR(INDEX(부서매핑!$C$5:$C$504,MATCH($G1517&amp;"",부서매핑!$A$5:$A$504,0)),"미매핑"))</f>
        <v/>
      </c>
      <c r="O1517" s="9">
        <f>IF($A1517="","",N1517&amp;"|"&amp;$F1517)</f>
        <v/>
      </c>
      <c r="P1517" s="77">
        <f>IF($A1517="",0,$H1517*설정!$C$23)</f>
        <v/>
      </c>
      <c r="Q1517" s="39">
        <f>IF($A1517="","",IF(O1517&lt;&gt;원인분석!$C$9,"",IF(AND(M1517&gt;=원인분석!$C$10,M1517&lt;=원인분석!$C$11),"당기",IF(AND(M1517&gt;=원인분석!$C$12,M1517&lt;=원인분석!$C$13),"비교",""))))</f>
        <v/>
      </c>
      <c r="R1517" s="9">
        <f>IF(Q1517="","",$K1517&amp;"")</f>
        <v/>
      </c>
      <c r="S1517" s="9">
        <f>IF(Q1517="","",IF(MATCH(R1517,$R$5:$R$100000,0)=ROW()-4,ROW(),""))</f>
        <v/>
      </c>
      <c r="T1517" s="9">
        <f>IF(Q1517="당기",ABS(P1517)+ROW()/1000000000,"")</f>
        <v/>
      </c>
      <c r="U1517" s="9">
        <f>IF(Q1517="비교",ABS(P1517)+ROW()/1000000000,"")</f>
        <v/>
      </c>
      <c r="V1517" s="39">
        <f>IF($A1517="","",IF(COUNTIF(변동분석!$E$7:$E$506,O1517)&gt;0,"Y","N"))</f>
        <v/>
      </c>
      <c r="W1517" s="39">
        <f>IF($A1517="","",IFERROR(INDEX(계정매핑!$D$5:$D$504,MATCH($F1517&amp;"",계정매핑!$A$5:$A$504,0)),"미매핑"))</f>
        <v/>
      </c>
      <c r="X1517" s="9">
        <f>IF($A1517="","",$F1517&amp;"")</f>
        <v/>
      </c>
    </row>
    <row r="1518">
      <c r="A1518" s="75" t="n">
        <v>2025</v>
      </c>
      <c r="B1518" s="75" t="n">
        <v>8</v>
      </c>
      <c r="C1518" s="75" t="inlineStr">
        <is>
          <t>5100001514</t>
        </is>
      </c>
      <c r="D1518" s="78" t="n">
        <v>45890</v>
      </c>
      <c r="E1518" s="75" t="inlineStr">
        <is>
          <t>KR</t>
        </is>
      </c>
      <c r="F1518" s="75" t="n">
        <v>62201000</v>
      </c>
      <c r="G1518" s="75" t="n">
        <v>1502</v>
      </c>
      <c r="H1518" s="76" t="n">
        <v>280000</v>
      </c>
      <c r="I1518" s="75" t="inlineStr">
        <is>
          <t>8월 통신요금 - O텔레콤</t>
        </is>
      </c>
      <c r="J1518" s="75" t="inlineStr">
        <is>
          <t>V10002</t>
        </is>
      </c>
      <c r="K1518" s="75" t="inlineStr">
        <is>
          <t>O텔레콤</t>
        </is>
      </c>
      <c r="M1518" s="9">
        <f>IF($A1518="","",VALUE($A1518&amp;"")*12+VALUE($B1518&amp;""))</f>
        <v/>
      </c>
      <c r="N1518" s="39">
        <f>IF($A1518="","",IFERROR(INDEX(부서매핑!$C$5:$C$504,MATCH($G1518&amp;"",부서매핑!$A$5:$A$504,0)),"미매핑"))</f>
        <v/>
      </c>
      <c r="O1518" s="9">
        <f>IF($A1518="","",N1518&amp;"|"&amp;$F1518)</f>
        <v/>
      </c>
      <c r="P1518" s="77">
        <f>IF($A1518="",0,$H1518*설정!$C$23)</f>
        <v/>
      </c>
      <c r="Q1518" s="39">
        <f>IF($A1518="","",IF(O1518&lt;&gt;원인분석!$C$9,"",IF(AND(M1518&gt;=원인분석!$C$10,M1518&lt;=원인분석!$C$11),"당기",IF(AND(M1518&gt;=원인분석!$C$12,M1518&lt;=원인분석!$C$13),"비교",""))))</f>
        <v/>
      </c>
      <c r="R1518" s="9">
        <f>IF(Q1518="","",$K1518&amp;"")</f>
        <v/>
      </c>
      <c r="S1518" s="9">
        <f>IF(Q1518="","",IF(MATCH(R1518,$R$5:$R$100000,0)=ROW()-4,ROW(),""))</f>
        <v/>
      </c>
      <c r="T1518" s="9">
        <f>IF(Q1518="당기",ABS(P1518)+ROW()/1000000000,"")</f>
        <v/>
      </c>
      <c r="U1518" s="9">
        <f>IF(Q1518="비교",ABS(P1518)+ROW()/1000000000,"")</f>
        <v/>
      </c>
      <c r="V1518" s="39">
        <f>IF($A1518="","",IF(COUNTIF(변동분석!$E$7:$E$506,O1518)&gt;0,"Y","N"))</f>
        <v/>
      </c>
      <c r="W1518" s="39">
        <f>IF($A1518="","",IFERROR(INDEX(계정매핑!$D$5:$D$504,MATCH($F1518&amp;"",계정매핑!$A$5:$A$504,0)),"미매핑"))</f>
        <v/>
      </c>
      <c r="X1518" s="9">
        <f>IF($A1518="","",$F1518&amp;"")</f>
        <v/>
      </c>
    </row>
    <row r="1519">
      <c r="A1519" s="75" t="n">
        <v>2025</v>
      </c>
      <c r="B1519" s="75" t="n">
        <v>8</v>
      </c>
      <c r="C1519" s="75" t="inlineStr">
        <is>
          <t>5100001515</t>
        </is>
      </c>
      <c r="D1519" s="78" t="n">
        <v>45890</v>
      </c>
      <c r="E1519" s="75" t="inlineStr">
        <is>
          <t>KR</t>
        </is>
      </c>
      <c r="F1519" s="75" t="n">
        <v>62201000</v>
      </c>
      <c r="G1519" s="75" t="n">
        <v>1601</v>
      </c>
      <c r="H1519" s="76" t="n">
        <v>752000</v>
      </c>
      <c r="I1519" s="75" t="inlineStr">
        <is>
          <t>8월 통신요금 - P통신</t>
        </is>
      </c>
      <c r="J1519" s="75" t="inlineStr">
        <is>
          <t>V10011</t>
        </is>
      </c>
      <c r="K1519" s="75" t="inlineStr">
        <is>
          <t>P통신</t>
        </is>
      </c>
      <c r="M1519" s="9">
        <f>IF($A1519="","",VALUE($A1519&amp;"")*12+VALUE($B1519&amp;""))</f>
        <v/>
      </c>
      <c r="N1519" s="39">
        <f>IF($A1519="","",IFERROR(INDEX(부서매핑!$C$5:$C$504,MATCH($G1519&amp;"",부서매핑!$A$5:$A$504,0)),"미매핑"))</f>
        <v/>
      </c>
      <c r="O1519" s="9">
        <f>IF($A1519="","",N1519&amp;"|"&amp;$F1519)</f>
        <v/>
      </c>
      <c r="P1519" s="77">
        <f>IF($A1519="",0,$H1519*설정!$C$23)</f>
        <v/>
      </c>
      <c r="Q1519" s="39">
        <f>IF($A1519="","",IF(O1519&lt;&gt;원인분석!$C$9,"",IF(AND(M1519&gt;=원인분석!$C$10,M1519&lt;=원인분석!$C$11),"당기",IF(AND(M1519&gt;=원인분석!$C$12,M1519&lt;=원인분석!$C$13),"비교",""))))</f>
        <v/>
      </c>
      <c r="R1519" s="9">
        <f>IF(Q1519="","",$K1519&amp;"")</f>
        <v/>
      </c>
      <c r="S1519" s="9">
        <f>IF(Q1519="","",IF(MATCH(R1519,$R$5:$R$100000,0)=ROW()-4,ROW(),""))</f>
        <v/>
      </c>
      <c r="T1519" s="9">
        <f>IF(Q1519="당기",ABS(P1519)+ROW()/1000000000,"")</f>
        <v/>
      </c>
      <c r="U1519" s="9">
        <f>IF(Q1519="비교",ABS(P1519)+ROW()/1000000000,"")</f>
        <v/>
      </c>
      <c r="V1519" s="39">
        <f>IF($A1519="","",IF(COUNTIF(변동분석!$E$7:$E$506,O1519)&gt;0,"Y","N"))</f>
        <v/>
      </c>
      <c r="W1519" s="39">
        <f>IF($A1519="","",IFERROR(INDEX(계정매핑!$D$5:$D$504,MATCH($F1519&amp;"",계정매핑!$A$5:$A$504,0)),"미매핑"))</f>
        <v/>
      </c>
      <c r="X1519" s="9">
        <f>IF($A1519="","",$F1519&amp;"")</f>
        <v/>
      </c>
    </row>
    <row r="1520">
      <c r="A1520" s="75" t="n">
        <v>2025</v>
      </c>
      <c r="B1520" s="75" t="n">
        <v>8</v>
      </c>
      <c r="C1520" s="75" t="inlineStr">
        <is>
          <t>5100001516</t>
        </is>
      </c>
      <c r="D1520" s="78" t="n">
        <v>45890</v>
      </c>
      <c r="E1520" s="75" t="inlineStr">
        <is>
          <t>KR</t>
        </is>
      </c>
      <c r="F1520" s="75" t="n">
        <v>62401000</v>
      </c>
      <c r="G1520" s="75" t="n">
        <v>1501</v>
      </c>
      <c r="H1520" s="76" t="n">
        <v>1510000</v>
      </c>
      <c r="I1520" s="75" t="inlineStr">
        <is>
          <t>8월 인쇄물 제작 - S출판</t>
        </is>
      </c>
      <c r="J1520" s="75" t="inlineStr">
        <is>
          <t>V10012</t>
        </is>
      </c>
      <c r="K1520" s="75" t="inlineStr">
        <is>
          <t>S출판</t>
        </is>
      </c>
      <c r="M1520" s="9">
        <f>IF($A1520="","",VALUE($A1520&amp;"")*12+VALUE($B1520&amp;""))</f>
        <v/>
      </c>
      <c r="N1520" s="39">
        <f>IF($A1520="","",IFERROR(INDEX(부서매핑!$C$5:$C$504,MATCH($G1520&amp;"",부서매핑!$A$5:$A$504,0)),"미매핑"))</f>
        <v/>
      </c>
      <c r="O1520" s="9">
        <f>IF($A1520="","",N1520&amp;"|"&amp;$F1520)</f>
        <v/>
      </c>
      <c r="P1520" s="77">
        <f>IF($A1520="",0,$H1520*설정!$C$23)</f>
        <v/>
      </c>
      <c r="Q1520" s="39">
        <f>IF($A1520="","",IF(O1520&lt;&gt;원인분석!$C$9,"",IF(AND(M1520&gt;=원인분석!$C$10,M1520&lt;=원인분석!$C$11),"당기",IF(AND(M1520&gt;=원인분석!$C$12,M1520&lt;=원인분석!$C$13),"비교",""))))</f>
        <v/>
      </c>
      <c r="R1520" s="9">
        <f>IF(Q1520="","",$K1520&amp;"")</f>
        <v/>
      </c>
      <c r="S1520" s="9">
        <f>IF(Q1520="","",IF(MATCH(R1520,$R$5:$R$100000,0)=ROW()-4,ROW(),""))</f>
        <v/>
      </c>
      <c r="T1520" s="9">
        <f>IF(Q1520="당기",ABS(P1520)+ROW()/1000000000,"")</f>
        <v/>
      </c>
      <c r="U1520" s="9">
        <f>IF(Q1520="비교",ABS(P1520)+ROW()/1000000000,"")</f>
        <v/>
      </c>
      <c r="V1520" s="39">
        <f>IF($A1520="","",IF(COUNTIF(변동분석!$E$7:$E$506,O1520)&gt;0,"Y","N"))</f>
        <v/>
      </c>
      <c r="W1520" s="39">
        <f>IF($A1520="","",IFERROR(INDEX(계정매핑!$D$5:$D$504,MATCH($F1520&amp;"",계정매핑!$A$5:$A$504,0)),"미매핑"))</f>
        <v/>
      </c>
      <c r="X1520" s="9">
        <f>IF($A1520="","",$F1520&amp;"")</f>
        <v/>
      </c>
    </row>
    <row r="1521">
      <c r="A1521" s="75" t="n">
        <v>2025</v>
      </c>
      <c r="B1521" s="75" t="n">
        <v>8</v>
      </c>
      <c r="C1521" s="75" t="inlineStr">
        <is>
          <t>5100001517</t>
        </is>
      </c>
      <c r="D1521" s="78" t="n">
        <v>45890</v>
      </c>
      <c r="E1521" s="75" t="inlineStr">
        <is>
          <t>KR</t>
        </is>
      </c>
      <c r="F1521" s="75" t="n">
        <v>62501000</v>
      </c>
      <c r="G1521" s="75" t="n">
        <v>1801</v>
      </c>
      <c r="H1521" s="76" t="n">
        <v>94000</v>
      </c>
      <c r="I1521" s="75" t="inlineStr">
        <is>
          <t>8월 회의 다과 - T케이터링</t>
        </is>
      </c>
      <c r="J1521" s="75" t="inlineStr">
        <is>
          <t>V10005</t>
        </is>
      </c>
      <c r="K1521" s="75" t="inlineStr">
        <is>
          <t>T케이터링</t>
        </is>
      </c>
      <c r="M1521" s="9">
        <f>IF($A1521="","",VALUE($A1521&amp;"")*12+VALUE($B1521&amp;""))</f>
        <v/>
      </c>
      <c r="N1521" s="39">
        <f>IF($A1521="","",IFERROR(INDEX(부서매핑!$C$5:$C$504,MATCH($G1521&amp;"",부서매핑!$A$5:$A$504,0)),"미매핑"))</f>
        <v/>
      </c>
      <c r="O1521" s="9">
        <f>IF($A1521="","",N1521&amp;"|"&amp;$F1521)</f>
        <v/>
      </c>
      <c r="P1521" s="77">
        <f>IF($A1521="",0,$H1521*설정!$C$23)</f>
        <v/>
      </c>
      <c r="Q1521" s="39">
        <f>IF($A1521="","",IF(O1521&lt;&gt;원인분석!$C$9,"",IF(AND(M1521&gt;=원인분석!$C$10,M1521&lt;=원인분석!$C$11),"당기",IF(AND(M1521&gt;=원인분석!$C$12,M1521&lt;=원인분석!$C$13),"비교",""))))</f>
        <v/>
      </c>
      <c r="R1521" s="9">
        <f>IF(Q1521="","",$K1521&amp;"")</f>
        <v/>
      </c>
      <c r="S1521" s="9">
        <f>IF(Q1521="","",IF(MATCH(R1521,$R$5:$R$100000,0)=ROW()-4,ROW(),""))</f>
        <v/>
      </c>
      <c r="T1521" s="9">
        <f>IF(Q1521="당기",ABS(P1521)+ROW()/1000000000,"")</f>
        <v/>
      </c>
      <c r="U1521" s="9">
        <f>IF(Q1521="비교",ABS(P1521)+ROW()/1000000000,"")</f>
        <v/>
      </c>
      <c r="V1521" s="39">
        <f>IF($A1521="","",IF(COUNTIF(변동분석!$E$7:$E$506,O1521)&gt;0,"Y","N"))</f>
        <v/>
      </c>
      <c r="W1521" s="39">
        <f>IF($A1521="","",IFERROR(INDEX(계정매핑!$D$5:$D$504,MATCH($F1521&amp;"",계정매핑!$A$5:$A$504,0)),"미매핑"))</f>
        <v/>
      </c>
      <c r="X1521" s="9">
        <f>IF($A1521="","",$F1521&amp;"")</f>
        <v/>
      </c>
    </row>
    <row r="1522">
      <c r="A1522" s="75" t="n">
        <v>2025</v>
      </c>
      <c r="B1522" s="75" t="n">
        <v>8</v>
      </c>
      <c r="C1522" s="75" t="inlineStr">
        <is>
          <t>5100001518</t>
        </is>
      </c>
      <c r="D1522" s="78" t="n">
        <v>45890</v>
      </c>
      <c r="E1522" s="75" t="inlineStr">
        <is>
          <t>KR</t>
        </is>
      </c>
      <c r="F1522" s="75" t="n">
        <v>62601000</v>
      </c>
      <c r="G1522" s="75" t="n">
        <v>1101</v>
      </c>
      <c r="H1522" s="76" t="n">
        <v>2870000</v>
      </c>
      <c r="I1522" s="75" t="inlineStr">
        <is>
          <t>8월 업무추진 - (법인카드)</t>
        </is>
      </c>
      <c r="J1522" s="75" t="inlineStr">
        <is>
          <t>V10008</t>
        </is>
      </c>
      <c r="K1522" s="75" t="inlineStr">
        <is>
          <t>(법인카드)</t>
        </is>
      </c>
      <c r="M1522" s="9">
        <f>IF($A1522="","",VALUE($A1522&amp;"")*12+VALUE($B1522&amp;""))</f>
        <v/>
      </c>
      <c r="N1522" s="39">
        <f>IF($A1522="","",IFERROR(INDEX(부서매핑!$C$5:$C$504,MATCH($G1522&amp;"",부서매핑!$A$5:$A$504,0)),"미매핑"))</f>
        <v/>
      </c>
      <c r="O1522" s="9">
        <f>IF($A1522="","",N1522&amp;"|"&amp;$F1522)</f>
        <v/>
      </c>
      <c r="P1522" s="77">
        <f>IF($A1522="",0,$H1522*설정!$C$23)</f>
        <v/>
      </c>
      <c r="Q1522" s="39">
        <f>IF($A1522="","",IF(O1522&lt;&gt;원인분석!$C$9,"",IF(AND(M1522&gt;=원인분석!$C$10,M1522&lt;=원인분석!$C$11),"당기",IF(AND(M1522&gt;=원인분석!$C$12,M1522&lt;=원인분석!$C$13),"비교",""))))</f>
        <v/>
      </c>
      <c r="R1522" s="9">
        <f>IF(Q1522="","",$K1522&amp;"")</f>
        <v/>
      </c>
      <c r="S1522" s="9">
        <f>IF(Q1522="","",IF(MATCH(R1522,$R$5:$R$100000,0)=ROW()-4,ROW(),""))</f>
        <v/>
      </c>
      <c r="T1522" s="9">
        <f>IF(Q1522="당기",ABS(P1522)+ROW()/1000000000,"")</f>
        <v/>
      </c>
      <c r="U1522" s="9">
        <f>IF(Q1522="비교",ABS(P1522)+ROW()/1000000000,"")</f>
        <v/>
      </c>
      <c r="V1522" s="39">
        <f>IF($A1522="","",IF(COUNTIF(변동분석!$E$7:$E$506,O1522)&gt;0,"Y","N"))</f>
        <v/>
      </c>
      <c r="W1522" s="39">
        <f>IF($A1522="","",IFERROR(INDEX(계정매핑!$D$5:$D$504,MATCH($F1522&amp;"",계정매핑!$A$5:$A$504,0)),"미매핑"))</f>
        <v/>
      </c>
      <c r="X1522" s="9">
        <f>IF($A1522="","",$F1522&amp;"")</f>
        <v/>
      </c>
    </row>
    <row r="1523">
      <c r="A1523" s="75" t="n">
        <v>2025</v>
      </c>
      <c r="B1523" s="75" t="n">
        <v>8</v>
      </c>
      <c r="C1523" s="75" t="inlineStr">
        <is>
          <t>5100001519</t>
        </is>
      </c>
      <c r="D1523" s="78" t="n">
        <v>45890</v>
      </c>
      <c r="E1523" s="75" t="inlineStr">
        <is>
          <t>KR</t>
        </is>
      </c>
      <c r="F1523" s="75" t="n">
        <v>62601000</v>
      </c>
      <c r="G1523" s="75" t="n">
        <v>1502</v>
      </c>
      <c r="H1523" s="76" t="n">
        <v>2521000</v>
      </c>
      <c r="I1523" s="75" t="inlineStr">
        <is>
          <t>8월 업무추진 - (법인카드)</t>
        </is>
      </c>
      <c r="J1523" s="75" t="inlineStr">
        <is>
          <t>V10008</t>
        </is>
      </c>
      <c r="K1523" s="75" t="inlineStr">
        <is>
          <t>(법인카드)</t>
        </is>
      </c>
      <c r="M1523" s="9">
        <f>IF($A1523="","",VALUE($A1523&amp;"")*12+VALUE($B1523&amp;""))</f>
        <v/>
      </c>
      <c r="N1523" s="39">
        <f>IF($A1523="","",IFERROR(INDEX(부서매핑!$C$5:$C$504,MATCH($G1523&amp;"",부서매핑!$A$5:$A$504,0)),"미매핑"))</f>
        <v/>
      </c>
      <c r="O1523" s="9">
        <f>IF($A1523="","",N1523&amp;"|"&amp;$F1523)</f>
        <v/>
      </c>
      <c r="P1523" s="77">
        <f>IF($A1523="",0,$H1523*설정!$C$23)</f>
        <v/>
      </c>
      <c r="Q1523" s="39">
        <f>IF($A1523="","",IF(O1523&lt;&gt;원인분석!$C$9,"",IF(AND(M1523&gt;=원인분석!$C$10,M1523&lt;=원인분석!$C$11),"당기",IF(AND(M1523&gt;=원인분석!$C$12,M1523&lt;=원인분석!$C$13),"비교",""))))</f>
        <v/>
      </c>
      <c r="R1523" s="9">
        <f>IF(Q1523="","",$K1523&amp;"")</f>
        <v/>
      </c>
      <c r="S1523" s="9">
        <f>IF(Q1523="","",IF(MATCH(R1523,$R$5:$R$100000,0)=ROW()-4,ROW(),""))</f>
        <v/>
      </c>
      <c r="T1523" s="9">
        <f>IF(Q1523="당기",ABS(P1523)+ROW()/1000000000,"")</f>
        <v/>
      </c>
      <c r="U1523" s="9">
        <f>IF(Q1523="비교",ABS(P1523)+ROW()/1000000000,"")</f>
        <v/>
      </c>
      <c r="V1523" s="39">
        <f>IF($A1523="","",IF(COUNTIF(변동분석!$E$7:$E$506,O1523)&gt;0,"Y","N"))</f>
        <v/>
      </c>
      <c r="W1523" s="39">
        <f>IF($A1523="","",IFERROR(INDEX(계정매핑!$D$5:$D$504,MATCH($F1523&amp;"",계정매핑!$A$5:$A$504,0)),"미매핑"))</f>
        <v/>
      </c>
      <c r="X1523" s="9">
        <f>IF($A1523="","",$F1523&amp;"")</f>
        <v/>
      </c>
    </row>
    <row r="1524">
      <c r="A1524" s="75" t="n">
        <v>2025</v>
      </c>
      <c r="B1524" s="75" t="n">
        <v>8</v>
      </c>
      <c r="C1524" s="75" t="inlineStr">
        <is>
          <t>5100001520</t>
        </is>
      </c>
      <c r="D1524" s="78" t="n">
        <v>45891</v>
      </c>
      <c r="E1524" s="75" t="inlineStr">
        <is>
          <t>KR</t>
        </is>
      </c>
      <c r="F1524" s="75" t="n">
        <v>62101000</v>
      </c>
      <c r="G1524" s="75" t="n">
        <v>1701</v>
      </c>
      <c r="H1524" s="76" t="n">
        <v>356000</v>
      </c>
      <c r="I1524" s="75" t="inlineStr">
        <is>
          <t>8월 국내출장 - M항공</t>
        </is>
      </c>
      <c r="J1524" s="75" t="inlineStr">
        <is>
          <t>V10001</t>
        </is>
      </c>
      <c r="K1524" s="75" t="inlineStr">
        <is>
          <t>M항공</t>
        </is>
      </c>
      <c r="M1524" s="9">
        <f>IF($A1524="","",VALUE($A1524&amp;"")*12+VALUE($B1524&amp;""))</f>
        <v/>
      </c>
      <c r="N1524" s="39">
        <f>IF($A1524="","",IFERROR(INDEX(부서매핑!$C$5:$C$504,MATCH($G1524&amp;"",부서매핑!$A$5:$A$504,0)),"미매핑"))</f>
        <v/>
      </c>
      <c r="O1524" s="9">
        <f>IF($A1524="","",N1524&amp;"|"&amp;$F1524)</f>
        <v/>
      </c>
      <c r="P1524" s="77">
        <f>IF($A1524="",0,$H1524*설정!$C$23)</f>
        <v/>
      </c>
      <c r="Q1524" s="39">
        <f>IF($A1524="","",IF(O1524&lt;&gt;원인분석!$C$9,"",IF(AND(M1524&gt;=원인분석!$C$10,M1524&lt;=원인분석!$C$11),"당기",IF(AND(M1524&gt;=원인분석!$C$12,M1524&lt;=원인분석!$C$13),"비교",""))))</f>
        <v/>
      </c>
      <c r="R1524" s="9">
        <f>IF(Q1524="","",$K1524&amp;"")</f>
        <v/>
      </c>
      <c r="S1524" s="9">
        <f>IF(Q1524="","",IF(MATCH(R1524,$R$5:$R$100000,0)=ROW()-4,ROW(),""))</f>
        <v/>
      </c>
      <c r="T1524" s="9">
        <f>IF(Q1524="당기",ABS(P1524)+ROW()/1000000000,"")</f>
        <v/>
      </c>
      <c r="U1524" s="9">
        <f>IF(Q1524="비교",ABS(P1524)+ROW()/1000000000,"")</f>
        <v/>
      </c>
      <c r="V1524" s="39">
        <f>IF($A1524="","",IF(COUNTIF(변동분석!$E$7:$E$506,O1524)&gt;0,"Y","N"))</f>
        <v/>
      </c>
      <c r="W1524" s="39">
        <f>IF($A1524="","",IFERROR(INDEX(계정매핑!$D$5:$D$504,MATCH($F1524&amp;"",계정매핑!$A$5:$A$504,0)),"미매핑"))</f>
        <v/>
      </c>
      <c r="X1524" s="9">
        <f>IF($A1524="","",$F1524&amp;"")</f>
        <v/>
      </c>
    </row>
    <row r="1525">
      <c r="A1525" s="75" t="n">
        <v>2025</v>
      </c>
      <c r="B1525" s="75" t="n">
        <v>8</v>
      </c>
      <c r="C1525" s="75" t="inlineStr">
        <is>
          <t>5100001521</t>
        </is>
      </c>
      <c r="D1525" s="78" t="n">
        <v>45891</v>
      </c>
      <c r="E1525" s="75" t="inlineStr">
        <is>
          <t>KR</t>
        </is>
      </c>
      <c r="F1525" s="75" t="n">
        <v>62201000</v>
      </c>
      <c r="G1525" s="75" t="n">
        <v>1101</v>
      </c>
      <c r="H1525" s="76" t="n">
        <v>287000</v>
      </c>
      <c r="I1525" s="75" t="inlineStr">
        <is>
          <t>8월 통신요금 - O텔레콤</t>
        </is>
      </c>
      <c r="J1525" s="75" t="inlineStr">
        <is>
          <t>V10002</t>
        </is>
      </c>
      <c r="K1525" s="75" t="inlineStr">
        <is>
          <t>O텔레콤</t>
        </is>
      </c>
      <c r="M1525" s="9">
        <f>IF($A1525="","",VALUE($A1525&amp;"")*12+VALUE($B1525&amp;""))</f>
        <v/>
      </c>
      <c r="N1525" s="39">
        <f>IF($A1525="","",IFERROR(INDEX(부서매핑!$C$5:$C$504,MATCH($G1525&amp;"",부서매핑!$A$5:$A$504,0)),"미매핑"))</f>
        <v/>
      </c>
      <c r="O1525" s="9">
        <f>IF($A1525="","",N1525&amp;"|"&amp;$F1525)</f>
        <v/>
      </c>
      <c r="P1525" s="77">
        <f>IF($A1525="",0,$H1525*설정!$C$23)</f>
        <v/>
      </c>
      <c r="Q1525" s="39">
        <f>IF($A1525="","",IF(O1525&lt;&gt;원인분석!$C$9,"",IF(AND(M1525&gt;=원인분석!$C$10,M1525&lt;=원인분석!$C$11),"당기",IF(AND(M1525&gt;=원인분석!$C$12,M1525&lt;=원인분석!$C$13),"비교",""))))</f>
        <v/>
      </c>
      <c r="R1525" s="9">
        <f>IF(Q1525="","",$K1525&amp;"")</f>
        <v/>
      </c>
      <c r="S1525" s="9">
        <f>IF(Q1525="","",IF(MATCH(R1525,$R$5:$R$100000,0)=ROW()-4,ROW(),""))</f>
        <v/>
      </c>
      <c r="T1525" s="9">
        <f>IF(Q1525="당기",ABS(P1525)+ROW()/1000000000,"")</f>
        <v/>
      </c>
      <c r="U1525" s="9">
        <f>IF(Q1525="비교",ABS(P1525)+ROW()/1000000000,"")</f>
        <v/>
      </c>
      <c r="V1525" s="39">
        <f>IF($A1525="","",IF(COUNTIF(변동분석!$E$7:$E$506,O1525)&gt;0,"Y","N"))</f>
        <v/>
      </c>
      <c r="W1525" s="39">
        <f>IF($A1525="","",IFERROR(INDEX(계정매핑!$D$5:$D$504,MATCH($F1525&amp;"",계정매핑!$A$5:$A$504,0)),"미매핑"))</f>
        <v/>
      </c>
      <c r="X1525" s="9">
        <f>IF($A1525="","",$F1525&amp;"")</f>
        <v/>
      </c>
    </row>
    <row r="1526">
      <c r="A1526" s="75" t="n">
        <v>2025</v>
      </c>
      <c r="B1526" s="75" t="n">
        <v>8</v>
      </c>
      <c r="C1526" s="75" t="inlineStr">
        <is>
          <t>5100001522</t>
        </is>
      </c>
      <c r="D1526" s="78" t="n">
        <v>45891</v>
      </c>
      <c r="E1526" s="75" t="inlineStr">
        <is>
          <t>KR</t>
        </is>
      </c>
      <c r="F1526" s="75" t="n">
        <v>62301000</v>
      </c>
      <c r="G1526" s="75" t="n">
        <v>1501</v>
      </c>
      <c r="H1526" s="76" t="n">
        <v>131000</v>
      </c>
      <c r="I1526" s="75" t="inlineStr">
        <is>
          <t>8월 소모품 구입 - Q오피스</t>
        </is>
      </c>
      <c r="J1526" s="75" t="inlineStr">
        <is>
          <t>V10003</t>
        </is>
      </c>
      <c r="K1526" s="75" t="inlineStr">
        <is>
          <t>Q오피스</t>
        </is>
      </c>
      <c r="M1526" s="9">
        <f>IF($A1526="","",VALUE($A1526&amp;"")*12+VALUE($B1526&amp;""))</f>
        <v/>
      </c>
      <c r="N1526" s="39">
        <f>IF($A1526="","",IFERROR(INDEX(부서매핑!$C$5:$C$504,MATCH($G1526&amp;"",부서매핑!$A$5:$A$504,0)),"미매핑"))</f>
        <v/>
      </c>
      <c r="O1526" s="9">
        <f>IF($A1526="","",N1526&amp;"|"&amp;$F1526)</f>
        <v/>
      </c>
      <c r="P1526" s="77">
        <f>IF($A1526="",0,$H1526*설정!$C$23)</f>
        <v/>
      </c>
      <c r="Q1526" s="39">
        <f>IF($A1526="","",IF(O1526&lt;&gt;원인분석!$C$9,"",IF(AND(M1526&gt;=원인분석!$C$10,M1526&lt;=원인분석!$C$11),"당기",IF(AND(M1526&gt;=원인분석!$C$12,M1526&lt;=원인분석!$C$13),"비교",""))))</f>
        <v/>
      </c>
      <c r="R1526" s="9">
        <f>IF(Q1526="","",$K1526&amp;"")</f>
        <v/>
      </c>
      <c r="S1526" s="9">
        <f>IF(Q1526="","",IF(MATCH(R1526,$R$5:$R$100000,0)=ROW()-4,ROW(),""))</f>
        <v/>
      </c>
      <c r="T1526" s="9">
        <f>IF(Q1526="당기",ABS(P1526)+ROW()/1000000000,"")</f>
        <v/>
      </c>
      <c r="U1526" s="9">
        <f>IF(Q1526="비교",ABS(P1526)+ROW()/1000000000,"")</f>
        <v/>
      </c>
      <c r="V1526" s="39">
        <f>IF($A1526="","",IF(COUNTIF(변동분석!$E$7:$E$506,O1526)&gt;0,"Y","N"))</f>
        <v/>
      </c>
      <c r="W1526" s="39">
        <f>IF($A1526="","",IFERROR(INDEX(계정매핑!$D$5:$D$504,MATCH($F1526&amp;"",계정매핑!$A$5:$A$504,0)),"미매핑"))</f>
        <v/>
      </c>
      <c r="X1526" s="9">
        <f>IF($A1526="","",$F1526&amp;"")</f>
        <v/>
      </c>
    </row>
    <row r="1527">
      <c r="A1527" s="75" t="n">
        <v>2025</v>
      </c>
      <c r="B1527" s="75" t="n">
        <v>8</v>
      </c>
      <c r="C1527" s="75" t="inlineStr">
        <is>
          <t>5100001523</t>
        </is>
      </c>
      <c r="D1527" s="78" t="n">
        <v>45892</v>
      </c>
      <c r="E1527" s="75" t="inlineStr">
        <is>
          <t>KR</t>
        </is>
      </c>
      <c r="F1527" s="75" t="n">
        <v>62101000</v>
      </c>
      <c r="G1527" s="75" t="n">
        <v>1602</v>
      </c>
      <c r="H1527" s="76" t="n">
        <v>842000</v>
      </c>
      <c r="I1527" s="75" t="inlineStr">
        <is>
          <t>8월 국내출장 - M항공</t>
        </is>
      </c>
      <c r="J1527" s="75" t="inlineStr">
        <is>
          <t>V10001</t>
        </is>
      </c>
      <c r="K1527" s="75" t="inlineStr">
        <is>
          <t>M항공</t>
        </is>
      </c>
      <c r="M1527" s="9">
        <f>IF($A1527="","",VALUE($A1527&amp;"")*12+VALUE($B1527&amp;""))</f>
        <v/>
      </c>
      <c r="N1527" s="39">
        <f>IF($A1527="","",IFERROR(INDEX(부서매핑!$C$5:$C$504,MATCH($G1527&amp;"",부서매핑!$A$5:$A$504,0)),"미매핑"))</f>
        <v/>
      </c>
      <c r="O1527" s="9">
        <f>IF($A1527="","",N1527&amp;"|"&amp;$F1527)</f>
        <v/>
      </c>
      <c r="P1527" s="77">
        <f>IF($A1527="",0,$H1527*설정!$C$23)</f>
        <v/>
      </c>
      <c r="Q1527" s="39">
        <f>IF($A1527="","",IF(O1527&lt;&gt;원인분석!$C$9,"",IF(AND(M1527&gt;=원인분석!$C$10,M1527&lt;=원인분석!$C$11),"당기",IF(AND(M1527&gt;=원인분석!$C$12,M1527&lt;=원인분석!$C$13),"비교",""))))</f>
        <v/>
      </c>
      <c r="R1527" s="9">
        <f>IF(Q1527="","",$K1527&amp;"")</f>
        <v/>
      </c>
      <c r="S1527" s="9">
        <f>IF(Q1527="","",IF(MATCH(R1527,$R$5:$R$100000,0)=ROW()-4,ROW(),""))</f>
        <v/>
      </c>
      <c r="T1527" s="9">
        <f>IF(Q1527="당기",ABS(P1527)+ROW()/1000000000,"")</f>
        <v/>
      </c>
      <c r="U1527" s="9">
        <f>IF(Q1527="비교",ABS(P1527)+ROW()/1000000000,"")</f>
        <v/>
      </c>
      <c r="V1527" s="39">
        <f>IF($A1527="","",IF(COUNTIF(변동분석!$E$7:$E$506,O1527)&gt;0,"Y","N"))</f>
        <v/>
      </c>
      <c r="W1527" s="39">
        <f>IF($A1527="","",IFERROR(INDEX(계정매핑!$D$5:$D$504,MATCH($F1527&amp;"",계정매핑!$A$5:$A$504,0)),"미매핑"))</f>
        <v/>
      </c>
      <c r="X1527" s="9">
        <f>IF($A1527="","",$F1527&amp;"")</f>
        <v/>
      </c>
    </row>
    <row r="1528">
      <c r="A1528" s="75" t="n">
        <v>2025</v>
      </c>
      <c r="B1528" s="75" t="n">
        <v>8</v>
      </c>
      <c r="C1528" s="75" t="inlineStr">
        <is>
          <t>5100001524</t>
        </is>
      </c>
      <c r="D1528" s="78" t="n">
        <v>45892</v>
      </c>
      <c r="E1528" s="75" t="inlineStr">
        <is>
          <t>KR</t>
        </is>
      </c>
      <c r="F1528" s="75" t="n">
        <v>62102000</v>
      </c>
      <c r="G1528" s="75" t="n">
        <v>1601</v>
      </c>
      <c r="H1528" s="76" t="n">
        <v>237000</v>
      </c>
      <c r="I1528" s="75" t="inlineStr">
        <is>
          <t>8월 해외출장 - M항공</t>
        </is>
      </c>
      <c r="J1528" s="75" t="inlineStr">
        <is>
          <t>V10001</t>
        </is>
      </c>
      <c r="K1528" s="75" t="inlineStr">
        <is>
          <t>M항공</t>
        </is>
      </c>
      <c r="M1528" s="9">
        <f>IF($A1528="","",VALUE($A1528&amp;"")*12+VALUE($B1528&amp;""))</f>
        <v/>
      </c>
      <c r="N1528" s="39">
        <f>IF($A1528="","",IFERROR(INDEX(부서매핑!$C$5:$C$504,MATCH($G1528&amp;"",부서매핑!$A$5:$A$504,0)),"미매핑"))</f>
        <v/>
      </c>
      <c r="O1528" s="9">
        <f>IF($A1528="","",N1528&amp;"|"&amp;$F1528)</f>
        <v/>
      </c>
      <c r="P1528" s="77">
        <f>IF($A1528="",0,$H1528*설정!$C$23)</f>
        <v/>
      </c>
      <c r="Q1528" s="39">
        <f>IF($A1528="","",IF(O1528&lt;&gt;원인분석!$C$9,"",IF(AND(M1528&gt;=원인분석!$C$10,M1528&lt;=원인분석!$C$11),"당기",IF(AND(M1528&gt;=원인분석!$C$12,M1528&lt;=원인분석!$C$13),"비교",""))))</f>
        <v/>
      </c>
      <c r="R1528" s="9">
        <f>IF(Q1528="","",$K1528&amp;"")</f>
        <v/>
      </c>
      <c r="S1528" s="9">
        <f>IF(Q1528="","",IF(MATCH(R1528,$R$5:$R$100000,0)=ROW()-4,ROW(),""))</f>
        <v/>
      </c>
      <c r="T1528" s="9">
        <f>IF(Q1528="당기",ABS(P1528)+ROW()/1000000000,"")</f>
        <v/>
      </c>
      <c r="U1528" s="9">
        <f>IF(Q1528="비교",ABS(P1528)+ROW()/1000000000,"")</f>
        <v/>
      </c>
      <c r="V1528" s="39">
        <f>IF($A1528="","",IF(COUNTIF(변동분석!$E$7:$E$506,O1528)&gt;0,"Y","N"))</f>
        <v/>
      </c>
      <c r="W1528" s="39">
        <f>IF($A1528="","",IFERROR(INDEX(계정매핑!$D$5:$D$504,MATCH($F1528&amp;"",계정매핑!$A$5:$A$504,0)),"미매핑"))</f>
        <v/>
      </c>
      <c r="X1528" s="9">
        <f>IF($A1528="","",$F1528&amp;"")</f>
        <v/>
      </c>
    </row>
    <row r="1529">
      <c r="A1529" s="75" t="n">
        <v>2025</v>
      </c>
      <c r="B1529" s="75" t="n">
        <v>8</v>
      </c>
      <c r="C1529" s="75" t="inlineStr">
        <is>
          <t>5100001525</t>
        </is>
      </c>
      <c r="D1529" s="78" t="n">
        <v>45892</v>
      </c>
      <c r="E1529" s="75" t="inlineStr">
        <is>
          <t>KR</t>
        </is>
      </c>
      <c r="F1529" s="75" t="n">
        <v>62201000</v>
      </c>
      <c r="G1529" s="75" t="n">
        <v>1101</v>
      </c>
      <c r="H1529" s="76" t="n">
        <v>180000</v>
      </c>
      <c r="I1529" s="75" t="inlineStr">
        <is>
          <t>8월 통신요금 - P통신</t>
        </is>
      </c>
      <c r="J1529" s="75" t="inlineStr">
        <is>
          <t>V10011</t>
        </is>
      </c>
      <c r="K1529" s="75" t="inlineStr">
        <is>
          <t>P통신</t>
        </is>
      </c>
      <c r="M1529" s="9">
        <f>IF($A1529="","",VALUE($A1529&amp;"")*12+VALUE($B1529&amp;""))</f>
        <v/>
      </c>
      <c r="N1529" s="39">
        <f>IF($A1529="","",IFERROR(INDEX(부서매핑!$C$5:$C$504,MATCH($G1529&amp;"",부서매핑!$A$5:$A$504,0)),"미매핑"))</f>
        <v/>
      </c>
      <c r="O1529" s="9">
        <f>IF($A1529="","",N1529&amp;"|"&amp;$F1529)</f>
        <v/>
      </c>
      <c r="P1529" s="77">
        <f>IF($A1529="",0,$H1529*설정!$C$23)</f>
        <v/>
      </c>
      <c r="Q1529" s="39">
        <f>IF($A1529="","",IF(O1529&lt;&gt;원인분석!$C$9,"",IF(AND(M1529&gt;=원인분석!$C$10,M1529&lt;=원인분석!$C$11),"당기",IF(AND(M1529&gt;=원인분석!$C$12,M1529&lt;=원인분석!$C$13),"비교",""))))</f>
        <v/>
      </c>
      <c r="R1529" s="9">
        <f>IF(Q1529="","",$K1529&amp;"")</f>
        <v/>
      </c>
      <c r="S1529" s="9">
        <f>IF(Q1529="","",IF(MATCH(R1529,$R$5:$R$100000,0)=ROW()-4,ROW(),""))</f>
        <v/>
      </c>
      <c r="T1529" s="9">
        <f>IF(Q1529="당기",ABS(P1529)+ROW()/1000000000,"")</f>
        <v/>
      </c>
      <c r="U1529" s="9">
        <f>IF(Q1529="비교",ABS(P1529)+ROW()/1000000000,"")</f>
        <v/>
      </c>
      <c r="V1529" s="39">
        <f>IF($A1529="","",IF(COUNTIF(변동분석!$E$7:$E$506,O1529)&gt;0,"Y","N"))</f>
        <v/>
      </c>
      <c r="W1529" s="39">
        <f>IF($A1529="","",IFERROR(INDEX(계정매핑!$D$5:$D$504,MATCH($F1529&amp;"",계정매핑!$A$5:$A$504,0)),"미매핑"))</f>
        <v/>
      </c>
      <c r="X1529" s="9">
        <f>IF($A1529="","",$F1529&amp;"")</f>
        <v/>
      </c>
    </row>
    <row r="1530">
      <c r="A1530" s="75" t="n">
        <v>2025</v>
      </c>
      <c r="B1530" s="75" t="n">
        <v>8</v>
      </c>
      <c r="C1530" s="75" t="inlineStr">
        <is>
          <t>5100001526</t>
        </is>
      </c>
      <c r="D1530" s="78" t="n">
        <v>45892</v>
      </c>
      <c r="E1530" s="75" t="inlineStr">
        <is>
          <t>KR</t>
        </is>
      </c>
      <c r="F1530" s="75" t="n">
        <v>62301000</v>
      </c>
      <c r="G1530" s="75" t="n">
        <v>1401</v>
      </c>
      <c r="H1530" s="76" t="n">
        <v>86000</v>
      </c>
      <c r="I1530" s="75" t="inlineStr">
        <is>
          <t>8월 소모품 구입 - Q오피스</t>
        </is>
      </c>
      <c r="J1530" s="75" t="inlineStr">
        <is>
          <t>V10003</t>
        </is>
      </c>
      <c r="K1530" s="75" t="inlineStr">
        <is>
          <t>Q오피스</t>
        </is>
      </c>
      <c r="M1530" s="9">
        <f>IF($A1530="","",VALUE($A1530&amp;"")*12+VALUE($B1530&amp;""))</f>
        <v/>
      </c>
      <c r="N1530" s="39">
        <f>IF($A1530="","",IFERROR(INDEX(부서매핑!$C$5:$C$504,MATCH($G1530&amp;"",부서매핑!$A$5:$A$504,0)),"미매핑"))</f>
        <v/>
      </c>
      <c r="O1530" s="9">
        <f>IF($A1530="","",N1530&amp;"|"&amp;$F1530)</f>
        <v/>
      </c>
      <c r="P1530" s="77">
        <f>IF($A1530="",0,$H1530*설정!$C$23)</f>
        <v/>
      </c>
      <c r="Q1530" s="39">
        <f>IF($A1530="","",IF(O1530&lt;&gt;원인분석!$C$9,"",IF(AND(M1530&gt;=원인분석!$C$10,M1530&lt;=원인분석!$C$11),"당기",IF(AND(M1530&gt;=원인분석!$C$12,M1530&lt;=원인분석!$C$13),"비교",""))))</f>
        <v/>
      </c>
      <c r="R1530" s="9">
        <f>IF(Q1530="","",$K1530&amp;"")</f>
        <v/>
      </c>
      <c r="S1530" s="9">
        <f>IF(Q1530="","",IF(MATCH(R1530,$R$5:$R$100000,0)=ROW()-4,ROW(),""))</f>
        <v/>
      </c>
      <c r="T1530" s="9">
        <f>IF(Q1530="당기",ABS(P1530)+ROW()/1000000000,"")</f>
        <v/>
      </c>
      <c r="U1530" s="9">
        <f>IF(Q1530="비교",ABS(P1530)+ROW()/1000000000,"")</f>
        <v/>
      </c>
      <c r="V1530" s="39">
        <f>IF($A1530="","",IF(COUNTIF(변동분석!$E$7:$E$506,O1530)&gt;0,"Y","N"))</f>
        <v/>
      </c>
      <c r="W1530" s="39">
        <f>IF($A1530="","",IFERROR(INDEX(계정매핑!$D$5:$D$504,MATCH($F1530&amp;"",계정매핑!$A$5:$A$504,0)),"미매핑"))</f>
        <v/>
      </c>
      <c r="X1530" s="9">
        <f>IF($A1530="","",$F1530&amp;"")</f>
        <v/>
      </c>
    </row>
    <row r="1531">
      <c r="A1531" s="75" t="n">
        <v>2025</v>
      </c>
      <c r="B1531" s="75" t="n">
        <v>8</v>
      </c>
      <c r="C1531" s="75" t="inlineStr">
        <is>
          <t>5100001527</t>
        </is>
      </c>
      <c r="D1531" s="78" t="n">
        <v>45892</v>
      </c>
      <c r="E1531" s="75" t="inlineStr">
        <is>
          <t>KR</t>
        </is>
      </c>
      <c r="F1531" s="75" t="n">
        <v>62301000</v>
      </c>
      <c r="G1531" s="75" t="n">
        <v>1602</v>
      </c>
      <c r="H1531" s="76" t="n">
        <v>625000</v>
      </c>
      <c r="I1531" s="75" t="inlineStr">
        <is>
          <t>8월 소모품 구입 - R문구</t>
        </is>
      </c>
      <c r="J1531" s="75" t="inlineStr">
        <is>
          <t>V10018</t>
        </is>
      </c>
      <c r="K1531" s="75" t="inlineStr">
        <is>
          <t>R문구</t>
        </is>
      </c>
      <c r="M1531" s="9">
        <f>IF($A1531="","",VALUE($A1531&amp;"")*12+VALUE($B1531&amp;""))</f>
        <v/>
      </c>
      <c r="N1531" s="39">
        <f>IF($A1531="","",IFERROR(INDEX(부서매핑!$C$5:$C$504,MATCH($G1531&amp;"",부서매핑!$A$5:$A$504,0)),"미매핑"))</f>
        <v/>
      </c>
      <c r="O1531" s="9">
        <f>IF($A1531="","",N1531&amp;"|"&amp;$F1531)</f>
        <v/>
      </c>
      <c r="P1531" s="77">
        <f>IF($A1531="",0,$H1531*설정!$C$23)</f>
        <v/>
      </c>
      <c r="Q1531" s="39">
        <f>IF($A1531="","",IF(O1531&lt;&gt;원인분석!$C$9,"",IF(AND(M1531&gt;=원인분석!$C$10,M1531&lt;=원인분석!$C$11),"당기",IF(AND(M1531&gt;=원인분석!$C$12,M1531&lt;=원인분석!$C$13),"비교",""))))</f>
        <v/>
      </c>
      <c r="R1531" s="9">
        <f>IF(Q1531="","",$K1531&amp;"")</f>
        <v/>
      </c>
      <c r="S1531" s="9">
        <f>IF(Q1531="","",IF(MATCH(R1531,$R$5:$R$100000,0)=ROW()-4,ROW(),""))</f>
        <v/>
      </c>
      <c r="T1531" s="9">
        <f>IF(Q1531="당기",ABS(P1531)+ROW()/1000000000,"")</f>
        <v/>
      </c>
      <c r="U1531" s="9">
        <f>IF(Q1531="비교",ABS(P1531)+ROW()/1000000000,"")</f>
        <v/>
      </c>
      <c r="V1531" s="39">
        <f>IF($A1531="","",IF(COUNTIF(변동분석!$E$7:$E$506,O1531)&gt;0,"Y","N"))</f>
        <v/>
      </c>
      <c r="W1531" s="39">
        <f>IF($A1531="","",IFERROR(INDEX(계정매핑!$D$5:$D$504,MATCH($F1531&amp;"",계정매핑!$A$5:$A$504,0)),"미매핑"))</f>
        <v/>
      </c>
      <c r="X1531" s="9">
        <f>IF($A1531="","",$F1531&amp;"")</f>
        <v/>
      </c>
    </row>
    <row r="1532">
      <c r="A1532" s="75" t="n">
        <v>2025</v>
      </c>
      <c r="B1532" s="75" t="n">
        <v>8</v>
      </c>
      <c r="C1532" s="75" t="inlineStr">
        <is>
          <t>5100001528</t>
        </is>
      </c>
      <c r="D1532" s="78" t="n">
        <v>45892</v>
      </c>
      <c r="E1532" s="75" t="inlineStr">
        <is>
          <t>KR</t>
        </is>
      </c>
      <c r="F1532" s="75" t="n">
        <v>62501000</v>
      </c>
      <c r="G1532" s="75" t="n">
        <v>1701</v>
      </c>
      <c r="H1532" s="76" t="n">
        <v>119000</v>
      </c>
      <c r="I1532" s="75" t="inlineStr">
        <is>
          <t>8월 회의 다과 - (법인카드)</t>
        </is>
      </c>
      <c r="J1532" s="75" t="inlineStr">
        <is>
          <t>V10008</t>
        </is>
      </c>
      <c r="K1532" s="75" t="inlineStr">
        <is>
          <t>(법인카드)</t>
        </is>
      </c>
      <c r="M1532" s="9">
        <f>IF($A1532="","",VALUE($A1532&amp;"")*12+VALUE($B1532&amp;""))</f>
        <v/>
      </c>
      <c r="N1532" s="39">
        <f>IF($A1532="","",IFERROR(INDEX(부서매핑!$C$5:$C$504,MATCH($G1532&amp;"",부서매핑!$A$5:$A$504,0)),"미매핑"))</f>
        <v/>
      </c>
      <c r="O1532" s="9">
        <f>IF($A1532="","",N1532&amp;"|"&amp;$F1532)</f>
        <v/>
      </c>
      <c r="P1532" s="77">
        <f>IF($A1532="",0,$H1532*설정!$C$23)</f>
        <v/>
      </c>
      <c r="Q1532" s="39">
        <f>IF($A1532="","",IF(O1532&lt;&gt;원인분석!$C$9,"",IF(AND(M1532&gt;=원인분석!$C$10,M1532&lt;=원인분석!$C$11),"당기",IF(AND(M1532&gt;=원인분석!$C$12,M1532&lt;=원인분석!$C$13),"비교",""))))</f>
        <v/>
      </c>
      <c r="R1532" s="9">
        <f>IF(Q1532="","",$K1532&amp;"")</f>
        <v/>
      </c>
      <c r="S1532" s="9">
        <f>IF(Q1532="","",IF(MATCH(R1532,$R$5:$R$100000,0)=ROW()-4,ROW(),""))</f>
        <v/>
      </c>
      <c r="T1532" s="9">
        <f>IF(Q1532="당기",ABS(P1532)+ROW()/1000000000,"")</f>
        <v/>
      </c>
      <c r="U1532" s="9">
        <f>IF(Q1532="비교",ABS(P1532)+ROW()/1000000000,"")</f>
        <v/>
      </c>
      <c r="V1532" s="39">
        <f>IF($A1532="","",IF(COUNTIF(변동분석!$E$7:$E$506,O1532)&gt;0,"Y","N"))</f>
        <v/>
      </c>
      <c r="W1532" s="39">
        <f>IF($A1532="","",IFERROR(INDEX(계정매핑!$D$5:$D$504,MATCH($F1532&amp;"",계정매핑!$A$5:$A$504,0)),"미매핑"))</f>
        <v/>
      </c>
      <c r="X1532" s="9">
        <f>IF($A1532="","",$F1532&amp;"")</f>
        <v/>
      </c>
    </row>
    <row r="1533">
      <c r="A1533" s="75" t="n">
        <v>2025</v>
      </c>
      <c r="B1533" s="75" t="n">
        <v>8</v>
      </c>
      <c r="C1533" s="75" t="inlineStr">
        <is>
          <t>5100001529</t>
        </is>
      </c>
      <c r="D1533" s="78" t="n">
        <v>45892</v>
      </c>
      <c r="E1533" s="75" t="inlineStr">
        <is>
          <t>KR</t>
        </is>
      </c>
      <c r="F1533" s="75" t="n">
        <v>62802000</v>
      </c>
      <c r="G1533" s="75" t="n">
        <v>1301</v>
      </c>
      <c r="H1533" s="76" t="n">
        <v>5600000</v>
      </c>
      <c r="I1533" s="75" t="inlineStr">
        <is>
          <t>8월 위탁교육 - I교육원</t>
        </is>
      </c>
      <c r="J1533" s="75" t="inlineStr">
        <is>
          <t>V10015</t>
        </is>
      </c>
      <c r="K1533" s="75" t="inlineStr">
        <is>
          <t>I교육원</t>
        </is>
      </c>
      <c r="M1533" s="9">
        <f>IF($A1533="","",VALUE($A1533&amp;"")*12+VALUE($B1533&amp;""))</f>
        <v/>
      </c>
      <c r="N1533" s="39">
        <f>IF($A1533="","",IFERROR(INDEX(부서매핑!$C$5:$C$504,MATCH($G1533&amp;"",부서매핑!$A$5:$A$504,0)),"미매핑"))</f>
        <v/>
      </c>
      <c r="O1533" s="9">
        <f>IF($A1533="","",N1533&amp;"|"&amp;$F1533)</f>
        <v/>
      </c>
      <c r="P1533" s="77">
        <f>IF($A1533="",0,$H1533*설정!$C$23)</f>
        <v/>
      </c>
      <c r="Q1533" s="39">
        <f>IF($A1533="","",IF(O1533&lt;&gt;원인분석!$C$9,"",IF(AND(M1533&gt;=원인분석!$C$10,M1533&lt;=원인분석!$C$11),"당기",IF(AND(M1533&gt;=원인분석!$C$12,M1533&lt;=원인분석!$C$13),"비교",""))))</f>
        <v/>
      </c>
      <c r="R1533" s="9">
        <f>IF(Q1533="","",$K1533&amp;"")</f>
        <v/>
      </c>
      <c r="S1533" s="9">
        <f>IF(Q1533="","",IF(MATCH(R1533,$R$5:$R$100000,0)=ROW()-4,ROW(),""))</f>
        <v/>
      </c>
      <c r="T1533" s="9">
        <f>IF(Q1533="당기",ABS(P1533)+ROW()/1000000000,"")</f>
        <v/>
      </c>
      <c r="U1533" s="9">
        <f>IF(Q1533="비교",ABS(P1533)+ROW()/1000000000,"")</f>
        <v/>
      </c>
      <c r="V1533" s="39">
        <f>IF($A1533="","",IF(COUNTIF(변동분석!$E$7:$E$506,O1533)&gt;0,"Y","N"))</f>
        <v/>
      </c>
      <c r="W1533" s="39">
        <f>IF($A1533="","",IFERROR(INDEX(계정매핑!$D$5:$D$504,MATCH($F1533&amp;"",계정매핑!$A$5:$A$504,0)),"미매핑"))</f>
        <v/>
      </c>
      <c r="X1533" s="9">
        <f>IF($A1533="","",$F1533&amp;"")</f>
        <v/>
      </c>
    </row>
    <row r="1534">
      <c r="A1534" s="75" t="n">
        <v>2025</v>
      </c>
      <c r="B1534" s="75" t="n">
        <v>8</v>
      </c>
      <c r="C1534" s="75" t="inlineStr">
        <is>
          <t>5100001530</t>
        </is>
      </c>
      <c r="D1534" s="78" t="n">
        <v>45893</v>
      </c>
      <c r="E1534" s="75" t="inlineStr">
        <is>
          <t>KR</t>
        </is>
      </c>
      <c r="F1534" s="75" t="n">
        <v>62101000</v>
      </c>
      <c r="G1534" s="75" t="n">
        <v>1602</v>
      </c>
      <c r="H1534" s="76" t="n">
        <v>1520000</v>
      </c>
      <c r="I1534" s="75" t="inlineStr">
        <is>
          <t>8월 국내출장 - L여행사</t>
        </is>
      </c>
      <c r="J1534" s="75" t="inlineStr">
        <is>
          <t>V10014</t>
        </is>
      </c>
      <c r="K1534" s="75" t="inlineStr">
        <is>
          <t>L여행사</t>
        </is>
      </c>
      <c r="M1534" s="9">
        <f>IF($A1534="","",VALUE($A1534&amp;"")*12+VALUE($B1534&amp;""))</f>
        <v/>
      </c>
      <c r="N1534" s="39">
        <f>IF($A1534="","",IFERROR(INDEX(부서매핑!$C$5:$C$504,MATCH($G1534&amp;"",부서매핑!$A$5:$A$504,0)),"미매핑"))</f>
        <v/>
      </c>
      <c r="O1534" s="9">
        <f>IF($A1534="","",N1534&amp;"|"&amp;$F1534)</f>
        <v/>
      </c>
      <c r="P1534" s="77">
        <f>IF($A1534="",0,$H1534*설정!$C$23)</f>
        <v/>
      </c>
      <c r="Q1534" s="39">
        <f>IF($A1534="","",IF(O1534&lt;&gt;원인분석!$C$9,"",IF(AND(M1534&gt;=원인분석!$C$10,M1534&lt;=원인분석!$C$11),"당기",IF(AND(M1534&gt;=원인분석!$C$12,M1534&lt;=원인분석!$C$13),"비교",""))))</f>
        <v/>
      </c>
      <c r="R1534" s="9">
        <f>IF(Q1534="","",$K1534&amp;"")</f>
        <v/>
      </c>
      <c r="S1534" s="9">
        <f>IF(Q1534="","",IF(MATCH(R1534,$R$5:$R$100000,0)=ROW()-4,ROW(),""))</f>
        <v/>
      </c>
      <c r="T1534" s="9">
        <f>IF(Q1534="당기",ABS(P1534)+ROW()/1000000000,"")</f>
        <v/>
      </c>
      <c r="U1534" s="9">
        <f>IF(Q1534="비교",ABS(P1534)+ROW()/1000000000,"")</f>
        <v/>
      </c>
      <c r="V1534" s="39">
        <f>IF($A1534="","",IF(COUNTIF(변동분석!$E$7:$E$506,O1534)&gt;0,"Y","N"))</f>
        <v/>
      </c>
      <c r="W1534" s="39">
        <f>IF($A1534="","",IFERROR(INDEX(계정매핑!$D$5:$D$504,MATCH($F1534&amp;"",계정매핑!$A$5:$A$504,0)),"미매핑"))</f>
        <v/>
      </c>
      <c r="X1534" s="9">
        <f>IF($A1534="","",$F1534&amp;"")</f>
        <v/>
      </c>
    </row>
    <row r="1535">
      <c r="A1535" s="75" t="n">
        <v>2025</v>
      </c>
      <c r="B1535" s="75" t="n">
        <v>8</v>
      </c>
      <c r="C1535" s="75" t="inlineStr">
        <is>
          <t>5100001531</t>
        </is>
      </c>
      <c r="D1535" s="78" t="n">
        <v>45893</v>
      </c>
      <c r="E1535" s="75" t="inlineStr">
        <is>
          <t>KR</t>
        </is>
      </c>
      <c r="F1535" s="75" t="n">
        <v>62102000</v>
      </c>
      <c r="G1535" s="75" t="n">
        <v>1801</v>
      </c>
      <c r="H1535" s="76" t="n">
        <v>39000</v>
      </c>
      <c r="I1535" s="75" t="inlineStr">
        <is>
          <t>8월 해외출장 - M항공</t>
        </is>
      </c>
      <c r="J1535" s="75" t="inlineStr">
        <is>
          <t>V10001</t>
        </is>
      </c>
      <c r="K1535" s="75" t="inlineStr">
        <is>
          <t>M항공</t>
        </is>
      </c>
      <c r="M1535" s="9">
        <f>IF($A1535="","",VALUE($A1535&amp;"")*12+VALUE($B1535&amp;""))</f>
        <v/>
      </c>
      <c r="N1535" s="39">
        <f>IF($A1535="","",IFERROR(INDEX(부서매핑!$C$5:$C$504,MATCH($G1535&amp;"",부서매핑!$A$5:$A$504,0)),"미매핑"))</f>
        <v/>
      </c>
      <c r="O1535" s="9">
        <f>IF($A1535="","",N1535&amp;"|"&amp;$F1535)</f>
        <v/>
      </c>
      <c r="P1535" s="77">
        <f>IF($A1535="",0,$H1535*설정!$C$23)</f>
        <v/>
      </c>
      <c r="Q1535" s="39">
        <f>IF($A1535="","",IF(O1535&lt;&gt;원인분석!$C$9,"",IF(AND(M1535&gt;=원인분석!$C$10,M1535&lt;=원인분석!$C$11),"당기",IF(AND(M1535&gt;=원인분석!$C$12,M1535&lt;=원인분석!$C$13),"비교",""))))</f>
        <v/>
      </c>
      <c r="R1535" s="9">
        <f>IF(Q1535="","",$K1535&amp;"")</f>
        <v/>
      </c>
      <c r="S1535" s="9">
        <f>IF(Q1535="","",IF(MATCH(R1535,$R$5:$R$100000,0)=ROW()-4,ROW(),""))</f>
        <v/>
      </c>
      <c r="T1535" s="9">
        <f>IF(Q1535="당기",ABS(P1535)+ROW()/1000000000,"")</f>
        <v/>
      </c>
      <c r="U1535" s="9">
        <f>IF(Q1535="비교",ABS(P1535)+ROW()/1000000000,"")</f>
        <v/>
      </c>
      <c r="V1535" s="39">
        <f>IF($A1535="","",IF(COUNTIF(변동분석!$E$7:$E$506,O1535)&gt;0,"Y","N"))</f>
        <v/>
      </c>
      <c r="W1535" s="39">
        <f>IF($A1535="","",IFERROR(INDEX(계정매핑!$D$5:$D$504,MATCH($F1535&amp;"",계정매핑!$A$5:$A$504,0)),"미매핑"))</f>
        <v/>
      </c>
      <c r="X1535" s="9">
        <f>IF($A1535="","",$F1535&amp;"")</f>
        <v/>
      </c>
    </row>
    <row r="1536">
      <c r="A1536" s="75" t="n">
        <v>2025</v>
      </c>
      <c r="B1536" s="75" t="n">
        <v>8</v>
      </c>
      <c r="C1536" s="75" t="inlineStr">
        <is>
          <t>5100001532</t>
        </is>
      </c>
      <c r="D1536" s="78" t="n">
        <v>45893</v>
      </c>
      <c r="E1536" s="75" t="inlineStr">
        <is>
          <t>KR</t>
        </is>
      </c>
      <c r="F1536" s="75" t="n">
        <v>62102000</v>
      </c>
      <c r="G1536" s="75" t="n">
        <v>1801</v>
      </c>
      <c r="H1536" s="76" t="n">
        <v>24000</v>
      </c>
      <c r="I1536" s="75" t="inlineStr">
        <is>
          <t>8월 해외출장 - N호텔</t>
        </is>
      </c>
      <c r="J1536" s="75" t="inlineStr">
        <is>
          <t>V10007</t>
        </is>
      </c>
      <c r="K1536" s="75" t="inlineStr">
        <is>
          <t>N호텔</t>
        </is>
      </c>
      <c r="M1536" s="9">
        <f>IF($A1536="","",VALUE($A1536&amp;"")*12+VALUE($B1536&amp;""))</f>
        <v/>
      </c>
      <c r="N1536" s="39">
        <f>IF($A1536="","",IFERROR(INDEX(부서매핑!$C$5:$C$504,MATCH($G1536&amp;"",부서매핑!$A$5:$A$504,0)),"미매핑"))</f>
        <v/>
      </c>
      <c r="O1536" s="9">
        <f>IF($A1536="","",N1536&amp;"|"&amp;$F1536)</f>
        <v/>
      </c>
      <c r="P1536" s="77">
        <f>IF($A1536="",0,$H1536*설정!$C$23)</f>
        <v/>
      </c>
      <c r="Q1536" s="39">
        <f>IF($A1536="","",IF(O1536&lt;&gt;원인분석!$C$9,"",IF(AND(M1536&gt;=원인분석!$C$10,M1536&lt;=원인분석!$C$11),"당기",IF(AND(M1536&gt;=원인분석!$C$12,M1536&lt;=원인분석!$C$13),"비교",""))))</f>
        <v/>
      </c>
      <c r="R1536" s="9">
        <f>IF(Q1536="","",$K1536&amp;"")</f>
        <v/>
      </c>
      <c r="S1536" s="9">
        <f>IF(Q1536="","",IF(MATCH(R1536,$R$5:$R$100000,0)=ROW()-4,ROW(),""))</f>
        <v/>
      </c>
      <c r="T1536" s="9">
        <f>IF(Q1536="당기",ABS(P1536)+ROW()/1000000000,"")</f>
        <v/>
      </c>
      <c r="U1536" s="9">
        <f>IF(Q1536="비교",ABS(P1536)+ROW()/1000000000,"")</f>
        <v/>
      </c>
      <c r="V1536" s="39">
        <f>IF($A1536="","",IF(COUNTIF(변동분석!$E$7:$E$506,O1536)&gt;0,"Y","N"))</f>
        <v/>
      </c>
      <c r="W1536" s="39">
        <f>IF($A1536="","",IFERROR(INDEX(계정매핑!$D$5:$D$504,MATCH($F1536&amp;"",계정매핑!$A$5:$A$504,0)),"미매핑"))</f>
        <v/>
      </c>
      <c r="X1536" s="9">
        <f>IF($A1536="","",$F1536&amp;"")</f>
        <v/>
      </c>
    </row>
    <row r="1537">
      <c r="A1537" s="75" t="n">
        <v>2025</v>
      </c>
      <c r="B1537" s="75" t="n">
        <v>8</v>
      </c>
      <c r="C1537" s="75" t="inlineStr">
        <is>
          <t>5100001533</t>
        </is>
      </c>
      <c r="D1537" s="78" t="n">
        <v>45893</v>
      </c>
      <c r="E1537" s="75" t="inlineStr">
        <is>
          <t>KR</t>
        </is>
      </c>
      <c r="F1537" s="75" t="n">
        <v>62301000</v>
      </c>
      <c r="G1537" s="75" t="n">
        <v>1301</v>
      </c>
      <c r="H1537" s="76" t="n">
        <v>233000</v>
      </c>
      <c r="I1537" s="75" t="inlineStr">
        <is>
          <t>8월 소모품 구입 - Q오피스</t>
        </is>
      </c>
      <c r="J1537" s="75" t="inlineStr">
        <is>
          <t>V10003</t>
        </is>
      </c>
      <c r="K1537" s="75" t="inlineStr">
        <is>
          <t>Q오피스</t>
        </is>
      </c>
      <c r="M1537" s="9">
        <f>IF($A1537="","",VALUE($A1537&amp;"")*12+VALUE($B1537&amp;""))</f>
        <v/>
      </c>
      <c r="N1537" s="39">
        <f>IF($A1537="","",IFERROR(INDEX(부서매핑!$C$5:$C$504,MATCH($G1537&amp;"",부서매핑!$A$5:$A$504,0)),"미매핑"))</f>
        <v/>
      </c>
      <c r="O1537" s="9">
        <f>IF($A1537="","",N1537&amp;"|"&amp;$F1537)</f>
        <v/>
      </c>
      <c r="P1537" s="77">
        <f>IF($A1537="",0,$H1537*설정!$C$23)</f>
        <v/>
      </c>
      <c r="Q1537" s="39">
        <f>IF($A1537="","",IF(O1537&lt;&gt;원인분석!$C$9,"",IF(AND(M1537&gt;=원인분석!$C$10,M1537&lt;=원인분석!$C$11),"당기",IF(AND(M1537&gt;=원인분석!$C$12,M1537&lt;=원인분석!$C$13),"비교",""))))</f>
        <v/>
      </c>
      <c r="R1537" s="9">
        <f>IF(Q1537="","",$K1537&amp;"")</f>
        <v/>
      </c>
      <c r="S1537" s="9">
        <f>IF(Q1537="","",IF(MATCH(R1537,$R$5:$R$100000,0)=ROW()-4,ROW(),""))</f>
        <v/>
      </c>
      <c r="T1537" s="9">
        <f>IF(Q1537="당기",ABS(P1537)+ROW()/1000000000,"")</f>
        <v/>
      </c>
      <c r="U1537" s="9">
        <f>IF(Q1537="비교",ABS(P1537)+ROW()/1000000000,"")</f>
        <v/>
      </c>
      <c r="V1537" s="39">
        <f>IF($A1537="","",IF(COUNTIF(변동분석!$E$7:$E$506,O1537)&gt;0,"Y","N"))</f>
        <v/>
      </c>
      <c r="W1537" s="39">
        <f>IF($A1537="","",IFERROR(INDEX(계정매핑!$D$5:$D$504,MATCH($F1537&amp;"",계정매핑!$A$5:$A$504,0)),"미매핑"))</f>
        <v/>
      </c>
      <c r="X1537" s="9">
        <f>IF($A1537="","",$F1537&amp;"")</f>
        <v/>
      </c>
    </row>
    <row r="1538">
      <c r="A1538" s="75" t="n">
        <v>2025</v>
      </c>
      <c r="B1538" s="75" t="n">
        <v>8</v>
      </c>
      <c r="C1538" s="75" t="inlineStr">
        <is>
          <t>5100001534</t>
        </is>
      </c>
      <c r="D1538" s="78" t="n">
        <v>45893</v>
      </c>
      <c r="E1538" s="75" t="inlineStr">
        <is>
          <t>KR</t>
        </is>
      </c>
      <c r="F1538" s="75" t="n">
        <v>62301000</v>
      </c>
      <c r="G1538" s="75" t="n">
        <v>1301</v>
      </c>
      <c r="H1538" s="76" t="n">
        <v>188000</v>
      </c>
      <c r="I1538" s="75" t="inlineStr">
        <is>
          <t>8월 소모품 구입 - R문구</t>
        </is>
      </c>
      <c r="J1538" s="75" t="inlineStr">
        <is>
          <t>V10018</t>
        </is>
      </c>
      <c r="K1538" s="75" t="inlineStr">
        <is>
          <t>R문구</t>
        </is>
      </c>
      <c r="M1538" s="9">
        <f>IF($A1538="","",VALUE($A1538&amp;"")*12+VALUE($B1538&amp;""))</f>
        <v/>
      </c>
      <c r="N1538" s="39">
        <f>IF($A1538="","",IFERROR(INDEX(부서매핑!$C$5:$C$504,MATCH($G1538&amp;"",부서매핑!$A$5:$A$504,0)),"미매핑"))</f>
        <v/>
      </c>
      <c r="O1538" s="9">
        <f>IF($A1538="","",N1538&amp;"|"&amp;$F1538)</f>
        <v/>
      </c>
      <c r="P1538" s="77">
        <f>IF($A1538="",0,$H1538*설정!$C$23)</f>
        <v/>
      </c>
      <c r="Q1538" s="39">
        <f>IF($A1538="","",IF(O1538&lt;&gt;원인분석!$C$9,"",IF(AND(M1538&gt;=원인분석!$C$10,M1538&lt;=원인분석!$C$11),"당기",IF(AND(M1538&gt;=원인분석!$C$12,M1538&lt;=원인분석!$C$13),"비교",""))))</f>
        <v/>
      </c>
      <c r="R1538" s="9">
        <f>IF(Q1538="","",$K1538&amp;"")</f>
        <v/>
      </c>
      <c r="S1538" s="9">
        <f>IF(Q1538="","",IF(MATCH(R1538,$R$5:$R$100000,0)=ROW()-4,ROW(),""))</f>
        <v/>
      </c>
      <c r="T1538" s="9">
        <f>IF(Q1538="당기",ABS(P1538)+ROW()/1000000000,"")</f>
        <v/>
      </c>
      <c r="U1538" s="9">
        <f>IF(Q1538="비교",ABS(P1538)+ROW()/1000000000,"")</f>
        <v/>
      </c>
      <c r="V1538" s="39">
        <f>IF($A1538="","",IF(COUNTIF(변동분석!$E$7:$E$506,O1538)&gt;0,"Y","N"))</f>
        <v/>
      </c>
      <c r="W1538" s="39">
        <f>IF($A1538="","",IFERROR(INDEX(계정매핑!$D$5:$D$504,MATCH($F1538&amp;"",계정매핑!$A$5:$A$504,0)),"미매핑"))</f>
        <v/>
      </c>
      <c r="X1538" s="9">
        <f>IF($A1538="","",$F1538&amp;"")</f>
        <v/>
      </c>
    </row>
    <row r="1539">
      <c r="A1539" s="75" t="n">
        <v>2025</v>
      </c>
      <c r="B1539" s="75" t="n">
        <v>8</v>
      </c>
      <c r="C1539" s="75" t="inlineStr">
        <is>
          <t>5100001535</t>
        </is>
      </c>
      <c r="D1539" s="78" t="n">
        <v>45893</v>
      </c>
      <c r="E1539" s="75" t="inlineStr">
        <is>
          <t>KR</t>
        </is>
      </c>
      <c r="F1539" s="75" t="n">
        <v>62501000</v>
      </c>
      <c r="G1539" s="75" t="n">
        <v>1101</v>
      </c>
      <c r="H1539" s="76" t="n">
        <v>126000</v>
      </c>
      <c r="I1539" s="75" t="inlineStr">
        <is>
          <t>8월 회의 다과 - (법인카드)</t>
        </is>
      </c>
      <c r="J1539" s="75" t="inlineStr">
        <is>
          <t>V10008</t>
        </is>
      </c>
      <c r="K1539" s="75" t="inlineStr">
        <is>
          <t>(법인카드)</t>
        </is>
      </c>
      <c r="M1539" s="9">
        <f>IF($A1539="","",VALUE($A1539&amp;"")*12+VALUE($B1539&amp;""))</f>
        <v/>
      </c>
      <c r="N1539" s="39">
        <f>IF($A1539="","",IFERROR(INDEX(부서매핑!$C$5:$C$504,MATCH($G1539&amp;"",부서매핑!$A$5:$A$504,0)),"미매핑"))</f>
        <v/>
      </c>
      <c r="O1539" s="9">
        <f>IF($A1539="","",N1539&amp;"|"&amp;$F1539)</f>
        <v/>
      </c>
      <c r="P1539" s="77">
        <f>IF($A1539="",0,$H1539*설정!$C$23)</f>
        <v/>
      </c>
      <c r="Q1539" s="39">
        <f>IF($A1539="","",IF(O1539&lt;&gt;원인분석!$C$9,"",IF(AND(M1539&gt;=원인분석!$C$10,M1539&lt;=원인분석!$C$11),"당기",IF(AND(M1539&gt;=원인분석!$C$12,M1539&lt;=원인분석!$C$13),"비교",""))))</f>
        <v/>
      </c>
      <c r="R1539" s="9">
        <f>IF(Q1539="","",$K1539&amp;"")</f>
        <v/>
      </c>
      <c r="S1539" s="9">
        <f>IF(Q1539="","",IF(MATCH(R1539,$R$5:$R$100000,0)=ROW()-4,ROW(),""))</f>
        <v/>
      </c>
      <c r="T1539" s="9">
        <f>IF(Q1539="당기",ABS(P1539)+ROW()/1000000000,"")</f>
        <v/>
      </c>
      <c r="U1539" s="9">
        <f>IF(Q1539="비교",ABS(P1539)+ROW()/1000000000,"")</f>
        <v/>
      </c>
      <c r="V1539" s="39">
        <f>IF($A1539="","",IF(COUNTIF(변동분석!$E$7:$E$506,O1539)&gt;0,"Y","N"))</f>
        <v/>
      </c>
      <c r="W1539" s="39">
        <f>IF($A1539="","",IFERROR(INDEX(계정매핑!$D$5:$D$504,MATCH($F1539&amp;"",계정매핑!$A$5:$A$504,0)),"미매핑"))</f>
        <v/>
      </c>
      <c r="X1539" s="9">
        <f>IF($A1539="","",$F1539&amp;"")</f>
        <v/>
      </c>
    </row>
    <row r="1540">
      <c r="A1540" s="75" t="n">
        <v>2025</v>
      </c>
      <c r="B1540" s="75" t="n">
        <v>8</v>
      </c>
      <c r="C1540" s="75" t="inlineStr">
        <is>
          <t>5100001536</t>
        </is>
      </c>
      <c r="D1540" s="78" t="n">
        <v>45893</v>
      </c>
      <c r="E1540" s="75" t="inlineStr">
        <is>
          <t>KR</t>
        </is>
      </c>
      <c r="F1540" s="75" t="n">
        <v>62501000</v>
      </c>
      <c r="G1540" s="75" t="n">
        <v>1301</v>
      </c>
      <c r="H1540" s="76" t="n">
        <v>331000</v>
      </c>
      <c r="I1540" s="75" t="inlineStr">
        <is>
          <t>8월 회의 다과 - T케이터링</t>
        </is>
      </c>
      <c r="J1540" s="75" t="inlineStr">
        <is>
          <t>V10005</t>
        </is>
      </c>
      <c r="K1540" s="75" t="inlineStr">
        <is>
          <t>T케이터링</t>
        </is>
      </c>
      <c r="M1540" s="9">
        <f>IF($A1540="","",VALUE($A1540&amp;"")*12+VALUE($B1540&amp;""))</f>
        <v/>
      </c>
      <c r="N1540" s="39">
        <f>IF($A1540="","",IFERROR(INDEX(부서매핑!$C$5:$C$504,MATCH($G1540&amp;"",부서매핑!$A$5:$A$504,0)),"미매핑"))</f>
        <v/>
      </c>
      <c r="O1540" s="9">
        <f>IF($A1540="","",N1540&amp;"|"&amp;$F1540)</f>
        <v/>
      </c>
      <c r="P1540" s="77">
        <f>IF($A1540="",0,$H1540*설정!$C$23)</f>
        <v/>
      </c>
      <c r="Q1540" s="39">
        <f>IF($A1540="","",IF(O1540&lt;&gt;원인분석!$C$9,"",IF(AND(M1540&gt;=원인분석!$C$10,M1540&lt;=원인분석!$C$11),"당기",IF(AND(M1540&gt;=원인분석!$C$12,M1540&lt;=원인분석!$C$13),"비교",""))))</f>
        <v/>
      </c>
      <c r="R1540" s="9">
        <f>IF(Q1540="","",$K1540&amp;"")</f>
        <v/>
      </c>
      <c r="S1540" s="9">
        <f>IF(Q1540="","",IF(MATCH(R1540,$R$5:$R$100000,0)=ROW()-4,ROW(),""))</f>
        <v/>
      </c>
      <c r="T1540" s="9">
        <f>IF(Q1540="당기",ABS(P1540)+ROW()/1000000000,"")</f>
        <v/>
      </c>
      <c r="U1540" s="9">
        <f>IF(Q1540="비교",ABS(P1540)+ROW()/1000000000,"")</f>
        <v/>
      </c>
      <c r="V1540" s="39">
        <f>IF($A1540="","",IF(COUNTIF(변동분석!$E$7:$E$506,O1540)&gt;0,"Y","N"))</f>
        <v/>
      </c>
      <c r="W1540" s="39">
        <f>IF($A1540="","",IFERROR(INDEX(계정매핑!$D$5:$D$504,MATCH($F1540&amp;"",계정매핑!$A$5:$A$504,0)),"미매핑"))</f>
        <v/>
      </c>
      <c r="X1540" s="9">
        <f>IF($A1540="","",$F1540&amp;"")</f>
        <v/>
      </c>
    </row>
    <row r="1541">
      <c r="A1541" s="75" t="n">
        <v>2025</v>
      </c>
      <c r="B1541" s="75" t="n">
        <v>8</v>
      </c>
      <c r="C1541" s="75" t="inlineStr">
        <is>
          <t>5100001537</t>
        </is>
      </c>
      <c r="D1541" s="78" t="n">
        <v>45893</v>
      </c>
      <c r="E1541" s="75" t="inlineStr">
        <is>
          <t>KR</t>
        </is>
      </c>
      <c r="F1541" s="75" t="n">
        <v>62501000</v>
      </c>
      <c r="G1541" s="75" t="n">
        <v>1401</v>
      </c>
      <c r="H1541" s="76" t="n">
        <v>200000</v>
      </c>
      <c r="I1541" s="75" t="inlineStr">
        <is>
          <t>8월 회의 다과 - T케이터링</t>
        </is>
      </c>
      <c r="J1541" s="75" t="inlineStr">
        <is>
          <t>V10005</t>
        </is>
      </c>
      <c r="K1541" s="75" t="inlineStr">
        <is>
          <t>T케이터링</t>
        </is>
      </c>
      <c r="M1541" s="9">
        <f>IF($A1541="","",VALUE($A1541&amp;"")*12+VALUE($B1541&amp;""))</f>
        <v/>
      </c>
      <c r="N1541" s="39">
        <f>IF($A1541="","",IFERROR(INDEX(부서매핑!$C$5:$C$504,MATCH($G1541&amp;"",부서매핑!$A$5:$A$504,0)),"미매핑"))</f>
        <v/>
      </c>
      <c r="O1541" s="9">
        <f>IF($A1541="","",N1541&amp;"|"&amp;$F1541)</f>
        <v/>
      </c>
      <c r="P1541" s="77">
        <f>IF($A1541="",0,$H1541*설정!$C$23)</f>
        <v/>
      </c>
      <c r="Q1541" s="39">
        <f>IF($A1541="","",IF(O1541&lt;&gt;원인분석!$C$9,"",IF(AND(M1541&gt;=원인분석!$C$10,M1541&lt;=원인분석!$C$11),"당기",IF(AND(M1541&gt;=원인분석!$C$12,M1541&lt;=원인분석!$C$13),"비교",""))))</f>
        <v/>
      </c>
      <c r="R1541" s="9">
        <f>IF(Q1541="","",$K1541&amp;"")</f>
        <v/>
      </c>
      <c r="S1541" s="9">
        <f>IF(Q1541="","",IF(MATCH(R1541,$R$5:$R$100000,0)=ROW()-4,ROW(),""))</f>
        <v/>
      </c>
      <c r="T1541" s="9">
        <f>IF(Q1541="당기",ABS(P1541)+ROW()/1000000000,"")</f>
        <v/>
      </c>
      <c r="U1541" s="9">
        <f>IF(Q1541="비교",ABS(P1541)+ROW()/1000000000,"")</f>
        <v/>
      </c>
      <c r="V1541" s="39">
        <f>IF($A1541="","",IF(COUNTIF(변동분석!$E$7:$E$506,O1541)&gt;0,"Y","N"))</f>
        <v/>
      </c>
      <c r="W1541" s="39">
        <f>IF($A1541="","",IFERROR(INDEX(계정매핑!$D$5:$D$504,MATCH($F1541&amp;"",계정매핑!$A$5:$A$504,0)),"미매핑"))</f>
        <v/>
      </c>
      <c r="X1541" s="9">
        <f>IF($A1541="","",$F1541&amp;"")</f>
        <v/>
      </c>
    </row>
    <row r="1542">
      <c r="A1542" s="75" t="n">
        <v>2025</v>
      </c>
      <c r="B1542" s="75" t="n">
        <v>8</v>
      </c>
      <c r="C1542" s="75" t="inlineStr">
        <is>
          <t>5100001538</t>
        </is>
      </c>
      <c r="D1542" s="78" t="n">
        <v>45893</v>
      </c>
      <c r="E1542" s="75" t="inlineStr">
        <is>
          <t>KR</t>
        </is>
      </c>
      <c r="F1542" s="75" t="n">
        <v>62902000</v>
      </c>
      <c r="G1542" s="75" t="n">
        <v>1401</v>
      </c>
      <c r="H1542" s="76" t="n">
        <v>3786000</v>
      </c>
      <c r="I1542" s="75" t="inlineStr">
        <is>
          <t>8월 업무 위탁 수수료 - X서비스</t>
        </is>
      </c>
      <c r="J1542" s="75" t="inlineStr">
        <is>
          <t>V10016</t>
        </is>
      </c>
      <c r="K1542" s="75" t="inlineStr">
        <is>
          <t>X서비스</t>
        </is>
      </c>
      <c r="M1542" s="9">
        <f>IF($A1542="","",VALUE($A1542&amp;"")*12+VALUE($B1542&amp;""))</f>
        <v/>
      </c>
      <c r="N1542" s="39">
        <f>IF($A1542="","",IFERROR(INDEX(부서매핑!$C$5:$C$504,MATCH($G1542&amp;"",부서매핑!$A$5:$A$504,0)),"미매핑"))</f>
        <v/>
      </c>
      <c r="O1542" s="9">
        <f>IF($A1542="","",N1542&amp;"|"&amp;$F1542)</f>
        <v/>
      </c>
      <c r="P1542" s="77">
        <f>IF($A1542="",0,$H1542*설정!$C$23)</f>
        <v/>
      </c>
      <c r="Q1542" s="39">
        <f>IF($A1542="","",IF(O1542&lt;&gt;원인분석!$C$9,"",IF(AND(M1542&gt;=원인분석!$C$10,M1542&lt;=원인분석!$C$11),"당기",IF(AND(M1542&gt;=원인분석!$C$12,M1542&lt;=원인분석!$C$13),"비교",""))))</f>
        <v/>
      </c>
      <c r="R1542" s="9">
        <f>IF(Q1542="","",$K1542&amp;"")</f>
        <v/>
      </c>
      <c r="S1542" s="9">
        <f>IF(Q1542="","",IF(MATCH(R1542,$R$5:$R$100000,0)=ROW()-4,ROW(),""))</f>
        <v/>
      </c>
      <c r="T1542" s="9">
        <f>IF(Q1542="당기",ABS(P1542)+ROW()/1000000000,"")</f>
        <v/>
      </c>
      <c r="U1542" s="9">
        <f>IF(Q1542="비교",ABS(P1542)+ROW()/1000000000,"")</f>
        <v/>
      </c>
      <c r="V1542" s="39">
        <f>IF($A1542="","",IF(COUNTIF(변동분석!$E$7:$E$506,O1542)&gt;0,"Y","N"))</f>
        <v/>
      </c>
      <c r="W1542" s="39">
        <f>IF($A1542="","",IFERROR(INDEX(계정매핑!$D$5:$D$504,MATCH($F1542&amp;"",계정매핑!$A$5:$A$504,0)),"미매핑"))</f>
        <v/>
      </c>
      <c r="X1542" s="9">
        <f>IF($A1542="","",$F1542&amp;"")</f>
        <v/>
      </c>
    </row>
    <row r="1543">
      <c r="A1543" s="75" t="n">
        <v>2025</v>
      </c>
      <c r="B1543" s="75" t="n">
        <v>8</v>
      </c>
      <c r="C1543" s="75" t="inlineStr">
        <is>
          <t>5100001539</t>
        </is>
      </c>
      <c r="D1543" s="78" t="n">
        <v>45893</v>
      </c>
      <c r="E1543" s="75" t="inlineStr">
        <is>
          <t>KR</t>
        </is>
      </c>
      <c r="F1543" s="75" t="n">
        <v>62902000</v>
      </c>
      <c r="G1543" s="75" t="n">
        <v>1801</v>
      </c>
      <c r="H1543" s="76" t="n">
        <v>1839000</v>
      </c>
      <c r="I1543" s="75" t="inlineStr">
        <is>
          <t>8월 콜 위탁 수수료(건별)</t>
        </is>
      </c>
      <c r="J1543" s="75" t="inlineStr">
        <is>
          <t>V10013</t>
        </is>
      </c>
      <c r="K1543" s="75" t="inlineStr">
        <is>
          <t>J콜센터</t>
        </is>
      </c>
      <c r="M1543" s="9">
        <f>IF($A1543="","",VALUE($A1543&amp;"")*12+VALUE($B1543&amp;""))</f>
        <v/>
      </c>
      <c r="N1543" s="39">
        <f>IF($A1543="","",IFERROR(INDEX(부서매핑!$C$5:$C$504,MATCH($G1543&amp;"",부서매핑!$A$5:$A$504,0)),"미매핑"))</f>
        <v/>
      </c>
      <c r="O1543" s="9">
        <f>IF($A1543="","",N1543&amp;"|"&amp;$F1543)</f>
        <v/>
      </c>
      <c r="P1543" s="77">
        <f>IF($A1543="",0,$H1543*설정!$C$23)</f>
        <v/>
      </c>
      <c r="Q1543" s="39">
        <f>IF($A1543="","",IF(O1543&lt;&gt;원인분석!$C$9,"",IF(AND(M1543&gt;=원인분석!$C$10,M1543&lt;=원인분석!$C$11),"당기",IF(AND(M1543&gt;=원인분석!$C$12,M1543&lt;=원인분석!$C$13),"비교",""))))</f>
        <v/>
      </c>
      <c r="R1543" s="9">
        <f>IF(Q1543="","",$K1543&amp;"")</f>
        <v/>
      </c>
      <c r="S1543" s="9">
        <f>IF(Q1543="","",IF(MATCH(R1543,$R$5:$R$100000,0)=ROW()-4,ROW(),""))</f>
        <v/>
      </c>
      <c r="T1543" s="9">
        <f>IF(Q1543="당기",ABS(P1543)+ROW()/1000000000,"")</f>
        <v/>
      </c>
      <c r="U1543" s="9">
        <f>IF(Q1543="비교",ABS(P1543)+ROW()/1000000000,"")</f>
        <v/>
      </c>
      <c r="V1543" s="39">
        <f>IF($A1543="","",IF(COUNTIF(변동분석!$E$7:$E$506,O1543)&gt;0,"Y","N"))</f>
        <v/>
      </c>
      <c r="W1543" s="39">
        <f>IF($A1543="","",IFERROR(INDEX(계정매핑!$D$5:$D$504,MATCH($F1543&amp;"",계정매핑!$A$5:$A$504,0)),"미매핑"))</f>
        <v/>
      </c>
      <c r="X1543" s="9">
        <f>IF($A1543="","",$F1543&amp;"")</f>
        <v/>
      </c>
    </row>
    <row r="1544">
      <c r="A1544" s="75" t="n">
        <v>2025</v>
      </c>
      <c r="B1544" s="75" t="n">
        <v>8</v>
      </c>
      <c r="C1544" s="75" t="inlineStr">
        <is>
          <t>5100001540</t>
        </is>
      </c>
      <c r="D1544" s="78" t="n">
        <v>45893</v>
      </c>
      <c r="E1544" s="75" t="inlineStr">
        <is>
          <t>KR</t>
        </is>
      </c>
      <c r="F1544" s="75" t="n">
        <v>63101000</v>
      </c>
      <c r="G1544" s="75" t="n">
        <v>1601</v>
      </c>
      <c r="H1544" s="76" t="n">
        <v>5817000</v>
      </c>
      <c r="I1544" s="75" t="inlineStr">
        <is>
          <t>8월 사무실 임차료 - BB부동산</t>
        </is>
      </c>
      <c r="J1544" s="75" t="inlineStr">
        <is>
          <t>V10024</t>
        </is>
      </c>
      <c r="K1544" s="75" t="inlineStr">
        <is>
          <t>BB부동산</t>
        </is>
      </c>
      <c r="M1544" s="9">
        <f>IF($A1544="","",VALUE($A1544&amp;"")*12+VALUE($B1544&amp;""))</f>
        <v/>
      </c>
      <c r="N1544" s="39">
        <f>IF($A1544="","",IFERROR(INDEX(부서매핑!$C$5:$C$504,MATCH($G1544&amp;"",부서매핑!$A$5:$A$504,0)),"미매핑"))</f>
        <v/>
      </c>
      <c r="O1544" s="9">
        <f>IF($A1544="","",N1544&amp;"|"&amp;$F1544)</f>
        <v/>
      </c>
      <c r="P1544" s="77">
        <f>IF($A1544="",0,$H1544*설정!$C$23)</f>
        <v/>
      </c>
      <c r="Q1544" s="39">
        <f>IF($A1544="","",IF(O1544&lt;&gt;원인분석!$C$9,"",IF(AND(M1544&gt;=원인분석!$C$10,M1544&lt;=원인분석!$C$11),"당기",IF(AND(M1544&gt;=원인분석!$C$12,M1544&lt;=원인분석!$C$13),"비교",""))))</f>
        <v/>
      </c>
      <c r="R1544" s="9">
        <f>IF(Q1544="","",$K1544&amp;"")</f>
        <v/>
      </c>
      <c r="S1544" s="9">
        <f>IF(Q1544="","",IF(MATCH(R1544,$R$5:$R$100000,0)=ROW()-4,ROW(),""))</f>
        <v/>
      </c>
      <c r="T1544" s="9">
        <f>IF(Q1544="당기",ABS(P1544)+ROW()/1000000000,"")</f>
        <v/>
      </c>
      <c r="U1544" s="9">
        <f>IF(Q1544="비교",ABS(P1544)+ROW()/1000000000,"")</f>
        <v/>
      </c>
      <c r="V1544" s="39">
        <f>IF($A1544="","",IF(COUNTIF(변동분석!$E$7:$E$506,O1544)&gt;0,"Y","N"))</f>
        <v/>
      </c>
      <c r="W1544" s="39">
        <f>IF($A1544="","",IFERROR(INDEX(계정매핑!$D$5:$D$504,MATCH($F1544&amp;"",계정매핑!$A$5:$A$504,0)),"미매핑"))</f>
        <v/>
      </c>
      <c r="X1544" s="9">
        <f>IF($A1544="","",$F1544&amp;"")</f>
        <v/>
      </c>
    </row>
    <row r="1545">
      <c r="A1545" s="75" t="n">
        <v>2025</v>
      </c>
      <c r="B1545" s="75" t="n">
        <v>8</v>
      </c>
      <c r="C1545" s="75" t="inlineStr">
        <is>
          <t>5100001541</t>
        </is>
      </c>
      <c r="D1545" s="78" t="n">
        <v>45894</v>
      </c>
      <c r="E1545" s="75" t="inlineStr">
        <is>
          <t>KR</t>
        </is>
      </c>
      <c r="F1545" s="75" t="n">
        <v>62102000</v>
      </c>
      <c r="G1545" s="75" t="n">
        <v>1201</v>
      </c>
      <c r="H1545" s="76" t="n">
        <v>42000</v>
      </c>
      <c r="I1545" s="75" t="inlineStr">
        <is>
          <t>8월 해외출장 - N호텔</t>
        </is>
      </c>
      <c r="J1545" s="75" t="inlineStr">
        <is>
          <t>V10007</t>
        </is>
      </c>
      <c r="K1545" s="75" t="inlineStr">
        <is>
          <t>N호텔</t>
        </is>
      </c>
      <c r="M1545" s="9">
        <f>IF($A1545="","",VALUE($A1545&amp;"")*12+VALUE($B1545&amp;""))</f>
        <v/>
      </c>
      <c r="N1545" s="39">
        <f>IF($A1545="","",IFERROR(INDEX(부서매핑!$C$5:$C$504,MATCH($G1545&amp;"",부서매핑!$A$5:$A$504,0)),"미매핑"))</f>
        <v/>
      </c>
      <c r="O1545" s="9">
        <f>IF($A1545="","",N1545&amp;"|"&amp;$F1545)</f>
        <v/>
      </c>
      <c r="P1545" s="77">
        <f>IF($A1545="",0,$H1545*설정!$C$23)</f>
        <v/>
      </c>
      <c r="Q1545" s="39">
        <f>IF($A1545="","",IF(O1545&lt;&gt;원인분석!$C$9,"",IF(AND(M1545&gt;=원인분석!$C$10,M1545&lt;=원인분석!$C$11),"당기",IF(AND(M1545&gt;=원인분석!$C$12,M1545&lt;=원인분석!$C$13),"비교",""))))</f>
        <v/>
      </c>
      <c r="R1545" s="9">
        <f>IF(Q1545="","",$K1545&amp;"")</f>
        <v/>
      </c>
      <c r="S1545" s="9">
        <f>IF(Q1545="","",IF(MATCH(R1545,$R$5:$R$100000,0)=ROW()-4,ROW(),""))</f>
        <v/>
      </c>
      <c r="T1545" s="9">
        <f>IF(Q1545="당기",ABS(P1545)+ROW()/1000000000,"")</f>
        <v/>
      </c>
      <c r="U1545" s="9">
        <f>IF(Q1545="비교",ABS(P1545)+ROW()/1000000000,"")</f>
        <v/>
      </c>
      <c r="V1545" s="39">
        <f>IF($A1545="","",IF(COUNTIF(변동분석!$E$7:$E$506,O1545)&gt;0,"Y","N"))</f>
        <v/>
      </c>
      <c r="W1545" s="39">
        <f>IF($A1545="","",IFERROR(INDEX(계정매핑!$D$5:$D$504,MATCH($F1545&amp;"",계정매핑!$A$5:$A$504,0)),"미매핑"))</f>
        <v/>
      </c>
      <c r="X1545" s="9">
        <f>IF($A1545="","",$F1545&amp;"")</f>
        <v/>
      </c>
    </row>
    <row r="1546">
      <c r="A1546" s="75" t="n">
        <v>2025</v>
      </c>
      <c r="B1546" s="75" t="n">
        <v>8</v>
      </c>
      <c r="C1546" s="75" t="inlineStr">
        <is>
          <t>5100001542</t>
        </is>
      </c>
      <c r="D1546" s="78" t="n">
        <v>45894</v>
      </c>
      <c r="E1546" s="75" t="inlineStr">
        <is>
          <t>KR</t>
        </is>
      </c>
      <c r="F1546" s="75" t="n">
        <v>62102000</v>
      </c>
      <c r="G1546" s="75" t="n">
        <v>1501</v>
      </c>
      <c r="H1546" s="76" t="n">
        <v>138000</v>
      </c>
      <c r="I1546" s="75" t="inlineStr">
        <is>
          <t>8월 해외출장 - M항공</t>
        </is>
      </c>
      <c r="J1546" s="75" t="inlineStr">
        <is>
          <t>V10001</t>
        </is>
      </c>
      <c r="K1546" s="75" t="inlineStr">
        <is>
          <t>M항공</t>
        </is>
      </c>
      <c r="M1546" s="9">
        <f>IF($A1546="","",VALUE($A1546&amp;"")*12+VALUE($B1546&amp;""))</f>
        <v/>
      </c>
      <c r="N1546" s="39">
        <f>IF($A1546="","",IFERROR(INDEX(부서매핑!$C$5:$C$504,MATCH($G1546&amp;"",부서매핑!$A$5:$A$504,0)),"미매핑"))</f>
        <v/>
      </c>
      <c r="O1546" s="9">
        <f>IF($A1546="","",N1546&amp;"|"&amp;$F1546)</f>
        <v/>
      </c>
      <c r="P1546" s="77">
        <f>IF($A1546="",0,$H1546*설정!$C$23)</f>
        <v/>
      </c>
      <c r="Q1546" s="39">
        <f>IF($A1546="","",IF(O1546&lt;&gt;원인분석!$C$9,"",IF(AND(M1546&gt;=원인분석!$C$10,M1546&lt;=원인분석!$C$11),"당기",IF(AND(M1546&gt;=원인분석!$C$12,M1546&lt;=원인분석!$C$13),"비교",""))))</f>
        <v/>
      </c>
      <c r="R1546" s="9">
        <f>IF(Q1546="","",$K1546&amp;"")</f>
        <v/>
      </c>
      <c r="S1546" s="9">
        <f>IF(Q1546="","",IF(MATCH(R1546,$R$5:$R$100000,0)=ROW()-4,ROW(),""))</f>
        <v/>
      </c>
      <c r="T1546" s="9">
        <f>IF(Q1546="당기",ABS(P1546)+ROW()/1000000000,"")</f>
        <v/>
      </c>
      <c r="U1546" s="9">
        <f>IF(Q1546="비교",ABS(P1546)+ROW()/1000000000,"")</f>
        <v/>
      </c>
      <c r="V1546" s="39">
        <f>IF($A1546="","",IF(COUNTIF(변동분석!$E$7:$E$506,O1546)&gt;0,"Y","N"))</f>
        <v/>
      </c>
      <c r="W1546" s="39">
        <f>IF($A1546="","",IFERROR(INDEX(계정매핑!$D$5:$D$504,MATCH($F1546&amp;"",계정매핑!$A$5:$A$504,0)),"미매핑"))</f>
        <v/>
      </c>
      <c r="X1546" s="9">
        <f>IF($A1546="","",$F1546&amp;"")</f>
        <v/>
      </c>
    </row>
    <row r="1547">
      <c r="A1547" s="75" t="n">
        <v>2025</v>
      </c>
      <c r="B1547" s="75" t="n">
        <v>8</v>
      </c>
      <c r="C1547" s="75" t="inlineStr">
        <is>
          <t>5100001543</t>
        </is>
      </c>
      <c r="D1547" s="78" t="n">
        <v>45894</v>
      </c>
      <c r="E1547" s="75" t="inlineStr">
        <is>
          <t>KR</t>
        </is>
      </c>
      <c r="F1547" s="75" t="n">
        <v>62201000</v>
      </c>
      <c r="G1547" s="75" t="n">
        <v>1801</v>
      </c>
      <c r="H1547" s="76" t="n">
        <v>5096000</v>
      </c>
      <c r="I1547" s="75" t="inlineStr">
        <is>
          <t>8월 통신요금 - P통신</t>
        </is>
      </c>
      <c r="J1547" s="75" t="inlineStr">
        <is>
          <t>V10011</t>
        </is>
      </c>
      <c r="K1547" s="75" t="inlineStr">
        <is>
          <t>P통신</t>
        </is>
      </c>
      <c r="M1547" s="9">
        <f>IF($A1547="","",VALUE($A1547&amp;"")*12+VALUE($B1547&amp;""))</f>
        <v/>
      </c>
      <c r="N1547" s="39">
        <f>IF($A1547="","",IFERROR(INDEX(부서매핑!$C$5:$C$504,MATCH($G1547&amp;"",부서매핑!$A$5:$A$504,0)),"미매핑"))</f>
        <v/>
      </c>
      <c r="O1547" s="9">
        <f>IF($A1547="","",N1547&amp;"|"&amp;$F1547)</f>
        <v/>
      </c>
      <c r="P1547" s="77">
        <f>IF($A1547="",0,$H1547*설정!$C$23)</f>
        <v/>
      </c>
      <c r="Q1547" s="39">
        <f>IF($A1547="","",IF(O1547&lt;&gt;원인분석!$C$9,"",IF(AND(M1547&gt;=원인분석!$C$10,M1547&lt;=원인분석!$C$11),"당기",IF(AND(M1547&gt;=원인분석!$C$12,M1547&lt;=원인분석!$C$13),"비교",""))))</f>
        <v/>
      </c>
      <c r="R1547" s="9">
        <f>IF(Q1547="","",$K1547&amp;"")</f>
        <v/>
      </c>
      <c r="S1547" s="9">
        <f>IF(Q1547="","",IF(MATCH(R1547,$R$5:$R$100000,0)=ROW()-4,ROW(),""))</f>
        <v/>
      </c>
      <c r="T1547" s="9">
        <f>IF(Q1547="당기",ABS(P1547)+ROW()/1000000000,"")</f>
        <v/>
      </c>
      <c r="U1547" s="9">
        <f>IF(Q1547="비교",ABS(P1547)+ROW()/1000000000,"")</f>
        <v/>
      </c>
      <c r="V1547" s="39">
        <f>IF($A1547="","",IF(COUNTIF(변동분석!$E$7:$E$506,O1547)&gt;0,"Y","N"))</f>
        <v/>
      </c>
      <c r="W1547" s="39">
        <f>IF($A1547="","",IFERROR(INDEX(계정매핑!$D$5:$D$504,MATCH($F1547&amp;"",계정매핑!$A$5:$A$504,0)),"미매핑"))</f>
        <v/>
      </c>
      <c r="X1547" s="9">
        <f>IF($A1547="","",$F1547&amp;"")</f>
        <v/>
      </c>
    </row>
    <row r="1548">
      <c r="A1548" s="75" t="n">
        <v>2025</v>
      </c>
      <c r="B1548" s="75" t="n">
        <v>8</v>
      </c>
      <c r="C1548" s="75" t="inlineStr">
        <is>
          <t>5100001544</t>
        </is>
      </c>
      <c r="D1548" s="78" t="n">
        <v>45894</v>
      </c>
      <c r="E1548" s="75" t="inlineStr">
        <is>
          <t>KR</t>
        </is>
      </c>
      <c r="F1548" s="75" t="n">
        <v>62301000</v>
      </c>
      <c r="G1548" s="75" t="n">
        <v>1401</v>
      </c>
      <c r="H1548" s="76" t="n">
        <v>112000</v>
      </c>
      <c r="I1548" s="75" t="inlineStr">
        <is>
          <t>8월 소모품 구입 - R문구</t>
        </is>
      </c>
      <c r="J1548" s="75" t="inlineStr">
        <is>
          <t>V10018</t>
        </is>
      </c>
      <c r="K1548" s="75" t="inlineStr">
        <is>
          <t>R문구</t>
        </is>
      </c>
      <c r="M1548" s="9">
        <f>IF($A1548="","",VALUE($A1548&amp;"")*12+VALUE($B1548&amp;""))</f>
        <v/>
      </c>
      <c r="N1548" s="39">
        <f>IF($A1548="","",IFERROR(INDEX(부서매핑!$C$5:$C$504,MATCH($G1548&amp;"",부서매핑!$A$5:$A$504,0)),"미매핑"))</f>
        <v/>
      </c>
      <c r="O1548" s="9">
        <f>IF($A1548="","",N1548&amp;"|"&amp;$F1548)</f>
        <v/>
      </c>
      <c r="P1548" s="77">
        <f>IF($A1548="",0,$H1548*설정!$C$23)</f>
        <v/>
      </c>
      <c r="Q1548" s="39">
        <f>IF($A1548="","",IF(O1548&lt;&gt;원인분석!$C$9,"",IF(AND(M1548&gt;=원인분석!$C$10,M1548&lt;=원인분석!$C$11),"당기",IF(AND(M1548&gt;=원인분석!$C$12,M1548&lt;=원인분석!$C$13),"비교",""))))</f>
        <v/>
      </c>
      <c r="R1548" s="9">
        <f>IF(Q1548="","",$K1548&amp;"")</f>
        <v/>
      </c>
      <c r="S1548" s="9">
        <f>IF(Q1548="","",IF(MATCH(R1548,$R$5:$R$100000,0)=ROW()-4,ROW(),""))</f>
        <v/>
      </c>
      <c r="T1548" s="9">
        <f>IF(Q1548="당기",ABS(P1548)+ROW()/1000000000,"")</f>
        <v/>
      </c>
      <c r="U1548" s="9">
        <f>IF(Q1548="비교",ABS(P1548)+ROW()/1000000000,"")</f>
        <v/>
      </c>
      <c r="V1548" s="39">
        <f>IF($A1548="","",IF(COUNTIF(변동분석!$E$7:$E$506,O1548)&gt;0,"Y","N"))</f>
        <v/>
      </c>
      <c r="W1548" s="39">
        <f>IF($A1548="","",IFERROR(INDEX(계정매핑!$D$5:$D$504,MATCH($F1548&amp;"",계정매핑!$A$5:$A$504,0)),"미매핑"))</f>
        <v/>
      </c>
      <c r="X1548" s="9">
        <f>IF($A1548="","",$F1548&amp;"")</f>
        <v/>
      </c>
    </row>
    <row r="1549">
      <c r="A1549" s="75" t="n">
        <v>2025</v>
      </c>
      <c r="B1549" s="75" t="n">
        <v>8</v>
      </c>
      <c r="C1549" s="75" t="inlineStr">
        <is>
          <t>5100001545</t>
        </is>
      </c>
      <c r="D1549" s="78" t="n">
        <v>45894</v>
      </c>
      <c r="E1549" s="75" t="inlineStr">
        <is>
          <t>KR</t>
        </is>
      </c>
      <c r="F1549" s="75" t="n">
        <v>62401000</v>
      </c>
      <c r="G1549" s="75" t="n">
        <v>1801</v>
      </c>
      <c r="H1549" s="76" t="n">
        <v>1660000</v>
      </c>
      <c r="I1549" s="75" t="inlineStr">
        <is>
          <t>8월 인쇄물 제작 - S출판</t>
        </is>
      </c>
      <c r="J1549" s="75" t="inlineStr">
        <is>
          <t>V10012</t>
        </is>
      </c>
      <c r="K1549" s="75" t="inlineStr">
        <is>
          <t>S출판</t>
        </is>
      </c>
      <c r="M1549" s="9">
        <f>IF($A1549="","",VALUE($A1549&amp;"")*12+VALUE($B1549&amp;""))</f>
        <v/>
      </c>
      <c r="N1549" s="39">
        <f>IF($A1549="","",IFERROR(INDEX(부서매핑!$C$5:$C$504,MATCH($G1549&amp;"",부서매핑!$A$5:$A$504,0)),"미매핑"))</f>
        <v/>
      </c>
      <c r="O1549" s="9">
        <f>IF($A1549="","",N1549&amp;"|"&amp;$F1549)</f>
        <v/>
      </c>
      <c r="P1549" s="77">
        <f>IF($A1549="",0,$H1549*설정!$C$23)</f>
        <v/>
      </c>
      <c r="Q1549" s="39">
        <f>IF($A1549="","",IF(O1549&lt;&gt;원인분석!$C$9,"",IF(AND(M1549&gt;=원인분석!$C$10,M1549&lt;=원인분석!$C$11),"당기",IF(AND(M1549&gt;=원인분석!$C$12,M1549&lt;=원인분석!$C$13),"비교",""))))</f>
        <v/>
      </c>
      <c r="R1549" s="9">
        <f>IF(Q1549="","",$K1549&amp;"")</f>
        <v/>
      </c>
      <c r="S1549" s="9">
        <f>IF(Q1549="","",IF(MATCH(R1549,$R$5:$R$100000,0)=ROW()-4,ROW(),""))</f>
        <v/>
      </c>
      <c r="T1549" s="9">
        <f>IF(Q1549="당기",ABS(P1549)+ROW()/1000000000,"")</f>
        <v/>
      </c>
      <c r="U1549" s="9">
        <f>IF(Q1549="비교",ABS(P1549)+ROW()/1000000000,"")</f>
        <v/>
      </c>
      <c r="V1549" s="39">
        <f>IF($A1549="","",IF(COUNTIF(변동분석!$E$7:$E$506,O1549)&gt;0,"Y","N"))</f>
        <v/>
      </c>
      <c r="W1549" s="39">
        <f>IF($A1549="","",IFERROR(INDEX(계정매핑!$D$5:$D$504,MATCH($F1549&amp;"",계정매핑!$A$5:$A$504,0)),"미매핑"))</f>
        <v/>
      </c>
      <c r="X1549" s="9">
        <f>IF($A1549="","",$F1549&amp;"")</f>
        <v/>
      </c>
    </row>
    <row r="1550">
      <c r="A1550" s="75" t="n">
        <v>2025</v>
      </c>
      <c r="B1550" s="75" t="n">
        <v>8</v>
      </c>
      <c r="C1550" s="75" t="inlineStr">
        <is>
          <t>5100001546</t>
        </is>
      </c>
      <c r="D1550" s="78" t="n">
        <v>45894</v>
      </c>
      <c r="E1550" s="75" t="inlineStr">
        <is>
          <t>KR</t>
        </is>
      </c>
      <c r="F1550" s="75" t="n">
        <v>62501000</v>
      </c>
      <c r="G1550" s="75" t="n">
        <v>1401</v>
      </c>
      <c r="H1550" s="76" t="n">
        <v>185000</v>
      </c>
      <c r="I1550" s="75" t="inlineStr">
        <is>
          <t>8월 회의 다과 - T케이터링</t>
        </is>
      </c>
      <c r="J1550" s="75" t="inlineStr">
        <is>
          <t>V10005</t>
        </is>
      </c>
      <c r="K1550" s="75" t="inlineStr">
        <is>
          <t>T케이터링</t>
        </is>
      </c>
      <c r="M1550" s="9">
        <f>IF($A1550="","",VALUE($A1550&amp;"")*12+VALUE($B1550&amp;""))</f>
        <v/>
      </c>
      <c r="N1550" s="39">
        <f>IF($A1550="","",IFERROR(INDEX(부서매핑!$C$5:$C$504,MATCH($G1550&amp;"",부서매핑!$A$5:$A$504,0)),"미매핑"))</f>
        <v/>
      </c>
      <c r="O1550" s="9">
        <f>IF($A1550="","",N1550&amp;"|"&amp;$F1550)</f>
        <v/>
      </c>
      <c r="P1550" s="77">
        <f>IF($A1550="",0,$H1550*설정!$C$23)</f>
        <v/>
      </c>
      <c r="Q1550" s="39">
        <f>IF($A1550="","",IF(O1550&lt;&gt;원인분석!$C$9,"",IF(AND(M1550&gt;=원인분석!$C$10,M1550&lt;=원인분석!$C$11),"당기",IF(AND(M1550&gt;=원인분석!$C$12,M1550&lt;=원인분석!$C$13),"비교",""))))</f>
        <v/>
      </c>
      <c r="R1550" s="9">
        <f>IF(Q1550="","",$K1550&amp;"")</f>
        <v/>
      </c>
      <c r="S1550" s="9">
        <f>IF(Q1550="","",IF(MATCH(R1550,$R$5:$R$100000,0)=ROW()-4,ROW(),""))</f>
        <v/>
      </c>
      <c r="T1550" s="9">
        <f>IF(Q1550="당기",ABS(P1550)+ROW()/1000000000,"")</f>
        <v/>
      </c>
      <c r="U1550" s="9">
        <f>IF(Q1550="비교",ABS(P1550)+ROW()/1000000000,"")</f>
        <v/>
      </c>
      <c r="V1550" s="39">
        <f>IF($A1550="","",IF(COUNTIF(변동분석!$E$7:$E$506,O1550)&gt;0,"Y","N"))</f>
        <v/>
      </c>
      <c r="W1550" s="39">
        <f>IF($A1550="","",IFERROR(INDEX(계정매핑!$D$5:$D$504,MATCH($F1550&amp;"",계정매핑!$A$5:$A$504,0)),"미매핑"))</f>
        <v/>
      </c>
      <c r="X1550" s="9">
        <f>IF($A1550="","",$F1550&amp;"")</f>
        <v/>
      </c>
    </row>
    <row r="1551">
      <c r="A1551" s="75" t="n">
        <v>2025</v>
      </c>
      <c r="B1551" s="75" t="n">
        <v>8</v>
      </c>
      <c r="C1551" s="75" t="inlineStr">
        <is>
          <t>5100001547</t>
        </is>
      </c>
      <c r="D1551" s="78" t="n">
        <v>45894</v>
      </c>
      <c r="E1551" s="75" t="inlineStr">
        <is>
          <t>KR</t>
        </is>
      </c>
      <c r="F1551" s="75" t="n">
        <v>62902000</v>
      </c>
      <c r="G1551" s="75" t="n">
        <v>1801</v>
      </c>
      <c r="H1551" s="76" t="n">
        <v>1828000</v>
      </c>
      <c r="I1551" s="75" t="inlineStr">
        <is>
          <t>8월 콜 위탁 수수료(건별)</t>
        </is>
      </c>
      <c r="J1551" s="75" t="inlineStr">
        <is>
          <t>V10013</t>
        </is>
      </c>
      <c r="K1551" s="75" t="inlineStr">
        <is>
          <t>J콜센터</t>
        </is>
      </c>
      <c r="M1551" s="9">
        <f>IF($A1551="","",VALUE($A1551&amp;"")*12+VALUE($B1551&amp;""))</f>
        <v/>
      </c>
      <c r="N1551" s="39">
        <f>IF($A1551="","",IFERROR(INDEX(부서매핑!$C$5:$C$504,MATCH($G1551&amp;"",부서매핑!$A$5:$A$504,0)),"미매핑"))</f>
        <v/>
      </c>
      <c r="O1551" s="9">
        <f>IF($A1551="","",N1551&amp;"|"&amp;$F1551)</f>
        <v/>
      </c>
      <c r="P1551" s="77">
        <f>IF($A1551="",0,$H1551*설정!$C$23)</f>
        <v/>
      </c>
      <c r="Q1551" s="39">
        <f>IF($A1551="","",IF(O1551&lt;&gt;원인분석!$C$9,"",IF(AND(M1551&gt;=원인분석!$C$10,M1551&lt;=원인분석!$C$11),"당기",IF(AND(M1551&gt;=원인분석!$C$12,M1551&lt;=원인분석!$C$13),"비교",""))))</f>
        <v/>
      </c>
      <c r="R1551" s="9">
        <f>IF(Q1551="","",$K1551&amp;"")</f>
        <v/>
      </c>
      <c r="S1551" s="9">
        <f>IF(Q1551="","",IF(MATCH(R1551,$R$5:$R$100000,0)=ROW()-4,ROW(),""))</f>
        <v/>
      </c>
      <c r="T1551" s="9">
        <f>IF(Q1551="당기",ABS(P1551)+ROW()/1000000000,"")</f>
        <v/>
      </c>
      <c r="U1551" s="9">
        <f>IF(Q1551="비교",ABS(P1551)+ROW()/1000000000,"")</f>
        <v/>
      </c>
      <c r="V1551" s="39">
        <f>IF($A1551="","",IF(COUNTIF(변동분석!$E$7:$E$506,O1551)&gt;0,"Y","N"))</f>
        <v/>
      </c>
      <c r="W1551" s="39">
        <f>IF($A1551="","",IFERROR(INDEX(계정매핑!$D$5:$D$504,MATCH($F1551&amp;"",계정매핑!$A$5:$A$504,0)),"미매핑"))</f>
        <v/>
      </c>
      <c r="X1551" s="9">
        <f>IF($A1551="","",$F1551&amp;"")</f>
        <v/>
      </c>
    </row>
    <row r="1552">
      <c r="A1552" s="75" t="n">
        <v>2025</v>
      </c>
      <c r="B1552" s="75" t="n">
        <v>8</v>
      </c>
      <c r="C1552" s="75" t="inlineStr">
        <is>
          <t>5100001548</t>
        </is>
      </c>
      <c r="D1552" s="78" t="n">
        <v>45894</v>
      </c>
      <c r="E1552" s="75" t="inlineStr">
        <is>
          <t>KR</t>
        </is>
      </c>
      <c r="F1552" s="75" t="n">
        <v>63002000</v>
      </c>
      <c r="G1552" s="75" t="n">
        <v>1701</v>
      </c>
      <c r="H1552" s="76" t="n">
        <v>69000000</v>
      </c>
      <c r="I1552" s="75" t="inlineStr">
        <is>
          <t>8월 클라우드 사용료 - C클라우드</t>
        </is>
      </c>
      <c r="J1552" s="75" t="inlineStr">
        <is>
          <t>V10028</t>
        </is>
      </c>
      <c r="K1552" s="75" t="inlineStr">
        <is>
          <t>C클라우드</t>
        </is>
      </c>
      <c r="M1552" s="9">
        <f>IF($A1552="","",VALUE($A1552&amp;"")*12+VALUE($B1552&amp;""))</f>
        <v/>
      </c>
      <c r="N1552" s="39">
        <f>IF($A1552="","",IFERROR(INDEX(부서매핑!$C$5:$C$504,MATCH($G1552&amp;"",부서매핑!$A$5:$A$504,0)),"미매핑"))</f>
        <v/>
      </c>
      <c r="O1552" s="9">
        <f>IF($A1552="","",N1552&amp;"|"&amp;$F1552)</f>
        <v/>
      </c>
      <c r="P1552" s="77">
        <f>IF($A1552="",0,$H1552*설정!$C$23)</f>
        <v/>
      </c>
      <c r="Q1552" s="39">
        <f>IF($A1552="","",IF(O1552&lt;&gt;원인분석!$C$9,"",IF(AND(M1552&gt;=원인분석!$C$10,M1552&lt;=원인분석!$C$11),"당기",IF(AND(M1552&gt;=원인분석!$C$12,M1552&lt;=원인분석!$C$13),"비교",""))))</f>
        <v/>
      </c>
      <c r="R1552" s="9">
        <f>IF(Q1552="","",$K1552&amp;"")</f>
        <v/>
      </c>
      <c r="S1552" s="9">
        <f>IF(Q1552="","",IF(MATCH(R1552,$R$5:$R$100000,0)=ROW()-4,ROW(),""))</f>
        <v/>
      </c>
      <c r="T1552" s="9">
        <f>IF(Q1552="당기",ABS(P1552)+ROW()/1000000000,"")</f>
        <v/>
      </c>
      <c r="U1552" s="9">
        <f>IF(Q1552="비교",ABS(P1552)+ROW()/1000000000,"")</f>
        <v/>
      </c>
      <c r="V1552" s="39">
        <f>IF($A1552="","",IF(COUNTIF(변동분석!$E$7:$E$506,O1552)&gt;0,"Y","N"))</f>
        <v/>
      </c>
      <c r="W1552" s="39">
        <f>IF($A1552="","",IFERROR(INDEX(계정매핑!$D$5:$D$504,MATCH($F1552&amp;"",계정매핑!$A$5:$A$504,0)),"미매핑"))</f>
        <v/>
      </c>
      <c r="X1552" s="9">
        <f>IF($A1552="","",$F1552&amp;"")</f>
        <v/>
      </c>
    </row>
    <row r="1553">
      <c r="A1553" s="75" t="n">
        <v>2025</v>
      </c>
      <c r="B1553" s="75" t="n">
        <v>8</v>
      </c>
      <c r="C1553" s="75" t="inlineStr">
        <is>
          <t>5100001549</t>
        </is>
      </c>
      <c r="D1553" s="78" t="n">
        <v>45894</v>
      </c>
      <c r="E1553" s="75" t="inlineStr">
        <is>
          <t>KR</t>
        </is>
      </c>
      <c r="F1553" s="75" t="n">
        <v>63201000</v>
      </c>
      <c r="G1553" s="75" t="n">
        <v>1602</v>
      </c>
      <c r="H1553" s="76" t="n">
        <v>5363000</v>
      </c>
      <c r="I1553" s="75" t="inlineStr">
        <is>
          <t>8월 차량 유지 - D정비</t>
        </is>
      </c>
      <c r="J1553" s="75" t="inlineStr">
        <is>
          <t>V10022</t>
        </is>
      </c>
      <c r="K1553" s="75" t="inlineStr">
        <is>
          <t>D정비</t>
        </is>
      </c>
      <c r="M1553" s="9">
        <f>IF($A1553="","",VALUE($A1553&amp;"")*12+VALUE($B1553&amp;""))</f>
        <v/>
      </c>
      <c r="N1553" s="39">
        <f>IF($A1553="","",IFERROR(INDEX(부서매핑!$C$5:$C$504,MATCH($G1553&amp;"",부서매핑!$A$5:$A$504,0)),"미매핑"))</f>
        <v/>
      </c>
      <c r="O1553" s="9">
        <f>IF($A1553="","",N1553&amp;"|"&amp;$F1553)</f>
        <v/>
      </c>
      <c r="P1553" s="77">
        <f>IF($A1553="",0,$H1553*설정!$C$23)</f>
        <v/>
      </c>
      <c r="Q1553" s="39">
        <f>IF($A1553="","",IF(O1553&lt;&gt;원인분석!$C$9,"",IF(AND(M1553&gt;=원인분석!$C$10,M1553&lt;=원인분석!$C$11),"당기",IF(AND(M1553&gt;=원인분석!$C$12,M1553&lt;=원인분석!$C$13),"비교",""))))</f>
        <v/>
      </c>
      <c r="R1553" s="9">
        <f>IF(Q1553="","",$K1553&amp;"")</f>
        <v/>
      </c>
      <c r="S1553" s="9">
        <f>IF(Q1553="","",IF(MATCH(R1553,$R$5:$R$100000,0)=ROW()-4,ROW(),""))</f>
        <v/>
      </c>
      <c r="T1553" s="9">
        <f>IF(Q1553="당기",ABS(P1553)+ROW()/1000000000,"")</f>
        <v/>
      </c>
      <c r="U1553" s="9">
        <f>IF(Q1553="비교",ABS(P1553)+ROW()/1000000000,"")</f>
        <v/>
      </c>
      <c r="V1553" s="39">
        <f>IF($A1553="","",IF(COUNTIF(변동분석!$E$7:$E$506,O1553)&gt;0,"Y","N"))</f>
        <v/>
      </c>
      <c r="W1553" s="39">
        <f>IF($A1553="","",IFERROR(INDEX(계정매핑!$D$5:$D$504,MATCH($F1553&amp;"",계정매핑!$A$5:$A$504,0)),"미매핑"))</f>
        <v/>
      </c>
      <c r="X1553" s="9">
        <f>IF($A1553="","",$F1553&amp;"")</f>
        <v/>
      </c>
    </row>
    <row r="1554">
      <c r="A1554" s="75" t="n">
        <v>2025</v>
      </c>
      <c r="B1554" s="75" t="n">
        <v>8</v>
      </c>
      <c r="C1554" s="75" t="inlineStr">
        <is>
          <t>5100001550</t>
        </is>
      </c>
      <c r="D1554" s="78" t="n">
        <v>45895</v>
      </c>
      <c r="E1554" s="75" t="inlineStr">
        <is>
          <t>KR</t>
        </is>
      </c>
      <c r="F1554" s="75" t="n">
        <v>62101000</v>
      </c>
      <c r="G1554" s="75" t="n">
        <v>1201</v>
      </c>
      <c r="H1554" s="76" t="n">
        <v>165000</v>
      </c>
      <c r="I1554" s="75" t="inlineStr">
        <is>
          <t>8월 국내출장 - M항공</t>
        </is>
      </c>
      <c r="J1554" s="75" t="inlineStr">
        <is>
          <t>V10001</t>
        </is>
      </c>
      <c r="K1554" s="75" t="inlineStr">
        <is>
          <t>M항공</t>
        </is>
      </c>
      <c r="M1554" s="9">
        <f>IF($A1554="","",VALUE($A1554&amp;"")*12+VALUE($B1554&amp;""))</f>
        <v/>
      </c>
      <c r="N1554" s="39">
        <f>IF($A1554="","",IFERROR(INDEX(부서매핑!$C$5:$C$504,MATCH($G1554&amp;"",부서매핑!$A$5:$A$504,0)),"미매핑"))</f>
        <v/>
      </c>
      <c r="O1554" s="9">
        <f>IF($A1554="","",N1554&amp;"|"&amp;$F1554)</f>
        <v/>
      </c>
      <c r="P1554" s="77">
        <f>IF($A1554="",0,$H1554*설정!$C$23)</f>
        <v/>
      </c>
      <c r="Q1554" s="39">
        <f>IF($A1554="","",IF(O1554&lt;&gt;원인분석!$C$9,"",IF(AND(M1554&gt;=원인분석!$C$10,M1554&lt;=원인분석!$C$11),"당기",IF(AND(M1554&gt;=원인분석!$C$12,M1554&lt;=원인분석!$C$13),"비교",""))))</f>
        <v/>
      </c>
      <c r="R1554" s="9">
        <f>IF(Q1554="","",$K1554&amp;"")</f>
        <v/>
      </c>
      <c r="S1554" s="9">
        <f>IF(Q1554="","",IF(MATCH(R1554,$R$5:$R$100000,0)=ROW()-4,ROW(),""))</f>
        <v/>
      </c>
      <c r="T1554" s="9">
        <f>IF(Q1554="당기",ABS(P1554)+ROW()/1000000000,"")</f>
        <v/>
      </c>
      <c r="U1554" s="9">
        <f>IF(Q1554="비교",ABS(P1554)+ROW()/1000000000,"")</f>
        <v/>
      </c>
      <c r="V1554" s="39">
        <f>IF($A1554="","",IF(COUNTIF(변동분석!$E$7:$E$506,O1554)&gt;0,"Y","N"))</f>
        <v/>
      </c>
      <c r="W1554" s="39">
        <f>IF($A1554="","",IFERROR(INDEX(계정매핑!$D$5:$D$504,MATCH($F1554&amp;"",계정매핑!$A$5:$A$504,0)),"미매핑"))</f>
        <v/>
      </c>
      <c r="X1554" s="9">
        <f>IF($A1554="","",$F1554&amp;"")</f>
        <v/>
      </c>
    </row>
    <row r="1555">
      <c r="A1555" s="75" t="n">
        <v>2025</v>
      </c>
      <c r="B1555" s="75" t="n">
        <v>8</v>
      </c>
      <c r="C1555" s="75" t="inlineStr">
        <is>
          <t>5100001551</t>
        </is>
      </c>
      <c r="D1555" s="78" t="n">
        <v>45895</v>
      </c>
      <c r="E1555" s="75" t="inlineStr">
        <is>
          <t>KR</t>
        </is>
      </c>
      <c r="F1555" s="75" t="n">
        <v>62301000</v>
      </c>
      <c r="G1555" s="75" t="n">
        <v>1801</v>
      </c>
      <c r="H1555" s="76" t="n">
        <v>509000</v>
      </c>
      <c r="I1555" s="75" t="inlineStr">
        <is>
          <t>8월 소모품 구입 - Q오피스</t>
        </is>
      </c>
      <c r="J1555" s="75" t="inlineStr">
        <is>
          <t>V10003</t>
        </is>
      </c>
      <c r="K1555" s="75" t="inlineStr">
        <is>
          <t>Q오피스</t>
        </is>
      </c>
      <c r="M1555" s="9">
        <f>IF($A1555="","",VALUE($A1555&amp;"")*12+VALUE($B1555&amp;""))</f>
        <v/>
      </c>
      <c r="N1555" s="39">
        <f>IF($A1555="","",IFERROR(INDEX(부서매핑!$C$5:$C$504,MATCH($G1555&amp;"",부서매핑!$A$5:$A$504,0)),"미매핑"))</f>
        <v/>
      </c>
      <c r="O1555" s="9">
        <f>IF($A1555="","",N1555&amp;"|"&amp;$F1555)</f>
        <v/>
      </c>
      <c r="P1555" s="77">
        <f>IF($A1555="",0,$H1555*설정!$C$23)</f>
        <v/>
      </c>
      <c r="Q1555" s="39">
        <f>IF($A1555="","",IF(O1555&lt;&gt;원인분석!$C$9,"",IF(AND(M1555&gt;=원인분석!$C$10,M1555&lt;=원인분석!$C$11),"당기",IF(AND(M1555&gt;=원인분석!$C$12,M1555&lt;=원인분석!$C$13),"비교",""))))</f>
        <v/>
      </c>
      <c r="R1555" s="9">
        <f>IF(Q1555="","",$K1555&amp;"")</f>
        <v/>
      </c>
      <c r="S1555" s="9">
        <f>IF(Q1555="","",IF(MATCH(R1555,$R$5:$R$100000,0)=ROW()-4,ROW(),""))</f>
        <v/>
      </c>
      <c r="T1555" s="9">
        <f>IF(Q1555="당기",ABS(P1555)+ROW()/1000000000,"")</f>
        <v/>
      </c>
      <c r="U1555" s="9">
        <f>IF(Q1555="비교",ABS(P1555)+ROW()/1000000000,"")</f>
        <v/>
      </c>
      <c r="V1555" s="39">
        <f>IF($A1555="","",IF(COUNTIF(변동분석!$E$7:$E$506,O1555)&gt;0,"Y","N"))</f>
        <v/>
      </c>
      <c r="W1555" s="39">
        <f>IF($A1555="","",IFERROR(INDEX(계정매핑!$D$5:$D$504,MATCH($F1555&amp;"",계정매핑!$A$5:$A$504,0)),"미매핑"))</f>
        <v/>
      </c>
      <c r="X1555" s="9">
        <f>IF($A1555="","",$F1555&amp;"")</f>
        <v/>
      </c>
    </row>
    <row r="1556">
      <c r="A1556" s="75" t="n">
        <v>2025</v>
      </c>
      <c r="B1556" s="75" t="n">
        <v>8</v>
      </c>
      <c r="C1556" s="75" t="inlineStr">
        <is>
          <t>5100001552</t>
        </is>
      </c>
      <c r="D1556" s="78" t="n">
        <v>45895</v>
      </c>
      <c r="E1556" s="75" t="inlineStr">
        <is>
          <t>KR</t>
        </is>
      </c>
      <c r="F1556" s="75" t="n">
        <v>62401000</v>
      </c>
      <c r="G1556" s="75" t="n">
        <v>1401</v>
      </c>
      <c r="H1556" s="76" t="n">
        <v>158000</v>
      </c>
      <c r="I1556" s="75" t="inlineStr">
        <is>
          <t>8월 인쇄물 제작 - G인쇄</t>
        </is>
      </c>
      <c r="J1556" s="75" t="inlineStr">
        <is>
          <t>V10004</t>
        </is>
      </c>
      <c r="K1556" s="75" t="inlineStr">
        <is>
          <t>G인쇄</t>
        </is>
      </c>
      <c r="M1556" s="9">
        <f>IF($A1556="","",VALUE($A1556&amp;"")*12+VALUE($B1556&amp;""))</f>
        <v/>
      </c>
      <c r="N1556" s="39">
        <f>IF($A1556="","",IFERROR(INDEX(부서매핑!$C$5:$C$504,MATCH($G1556&amp;"",부서매핑!$A$5:$A$504,0)),"미매핑"))</f>
        <v/>
      </c>
      <c r="O1556" s="9">
        <f>IF($A1556="","",N1556&amp;"|"&amp;$F1556)</f>
        <v/>
      </c>
      <c r="P1556" s="77">
        <f>IF($A1556="",0,$H1556*설정!$C$23)</f>
        <v/>
      </c>
      <c r="Q1556" s="39">
        <f>IF($A1556="","",IF(O1556&lt;&gt;원인분석!$C$9,"",IF(AND(M1556&gt;=원인분석!$C$10,M1556&lt;=원인분석!$C$11),"당기",IF(AND(M1556&gt;=원인분석!$C$12,M1556&lt;=원인분석!$C$13),"비교",""))))</f>
        <v/>
      </c>
      <c r="R1556" s="9">
        <f>IF(Q1556="","",$K1556&amp;"")</f>
        <v/>
      </c>
      <c r="S1556" s="9">
        <f>IF(Q1556="","",IF(MATCH(R1556,$R$5:$R$100000,0)=ROW()-4,ROW(),""))</f>
        <v/>
      </c>
      <c r="T1556" s="9">
        <f>IF(Q1556="당기",ABS(P1556)+ROW()/1000000000,"")</f>
        <v/>
      </c>
      <c r="U1556" s="9">
        <f>IF(Q1556="비교",ABS(P1556)+ROW()/1000000000,"")</f>
        <v/>
      </c>
      <c r="V1556" s="39">
        <f>IF($A1556="","",IF(COUNTIF(변동분석!$E$7:$E$506,O1556)&gt;0,"Y","N"))</f>
        <v/>
      </c>
      <c r="W1556" s="39">
        <f>IF($A1556="","",IFERROR(INDEX(계정매핑!$D$5:$D$504,MATCH($F1556&amp;"",계정매핑!$A$5:$A$504,0)),"미매핑"))</f>
        <v/>
      </c>
      <c r="X1556" s="9">
        <f>IF($A1556="","",$F1556&amp;"")</f>
        <v/>
      </c>
    </row>
    <row r="1557">
      <c r="A1557" s="75" t="n">
        <v>2025</v>
      </c>
      <c r="B1557" s="75" t="n">
        <v>8</v>
      </c>
      <c r="C1557" s="75" t="inlineStr">
        <is>
          <t>5100001553</t>
        </is>
      </c>
      <c r="D1557" s="78" t="n">
        <v>45895</v>
      </c>
      <c r="E1557" s="75" t="inlineStr">
        <is>
          <t>KR</t>
        </is>
      </c>
      <c r="F1557" s="75" t="n">
        <v>62902000</v>
      </c>
      <c r="G1557" s="75" t="n">
        <v>1201</v>
      </c>
      <c r="H1557" s="76" t="n">
        <v>2549000</v>
      </c>
      <c r="I1557" s="75" t="inlineStr">
        <is>
          <t>8월 업무 위탁 수수료 - X서비스</t>
        </is>
      </c>
      <c r="J1557" s="75" t="inlineStr">
        <is>
          <t>V10016</t>
        </is>
      </c>
      <c r="K1557" s="75" t="inlineStr">
        <is>
          <t>X서비스</t>
        </is>
      </c>
      <c r="M1557" s="9">
        <f>IF($A1557="","",VALUE($A1557&amp;"")*12+VALUE($B1557&amp;""))</f>
        <v/>
      </c>
      <c r="N1557" s="39">
        <f>IF($A1557="","",IFERROR(INDEX(부서매핑!$C$5:$C$504,MATCH($G1557&amp;"",부서매핑!$A$5:$A$504,0)),"미매핑"))</f>
        <v/>
      </c>
      <c r="O1557" s="9">
        <f>IF($A1557="","",N1557&amp;"|"&amp;$F1557)</f>
        <v/>
      </c>
      <c r="P1557" s="77">
        <f>IF($A1557="",0,$H1557*설정!$C$23)</f>
        <v/>
      </c>
      <c r="Q1557" s="39">
        <f>IF($A1557="","",IF(O1557&lt;&gt;원인분석!$C$9,"",IF(AND(M1557&gt;=원인분석!$C$10,M1557&lt;=원인분석!$C$11),"당기",IF(AND(M1557&gt;=원인분석!$C$12,M1557&lt;=원인분석!$C$13),"비교",""))))</f>
        <v/>
      </c>
      <c r="R1557" s="9">
        <f>IF(Q1557="","",$K1557&amp;"")</f>
        <v/>
      </c>
      <c r="S1557" s="9">
        <f>IF(Q1557="","",IF(MATCH(R1557,$R$5:$R$100000,0)=ROW()-4,ROW(),""))</f>
        <v/>
      </c>
      <c r="T1557" s="9">
        <f>IF(Q1557="당기",ABS(P1557)+ROW()/1000000000,"")</f>
        <v/>
      </c>
      <c r="U1557" s="9">
        <f>IF(Q1557="비교",ABS(P1557)+ROW()/1000000000,"")</f>
        <v/>
      </c>
      <c r="V1557" s="39">
        <f>IF($A1557="","",IF(COUNTIF(변동분석!$E$7:$E$506,O1557)&gt;0,"Y","N"))</f>
        <v/>
      </c>
      <c r="W1557" s="39">
        <f>IF($A1557="","",IFERROR(INDEX(계정매핑!$D$5:$D$504,MATCH($F1557&amp;"",계정매핑!$A$5:$A$504,0)),"미매핑"))</f>
        <v/>
      </c>
      <c r="X1557" s="9">
        <f>IF($A1557="","",$F1557&amp;"")</f>
        <v/>
      </c>
    </row>
    <row r="1558">
      <c r="A1558" s="75" t="n">
        <v>2025</v>
      </c>
      <c r="B1558" s="75" t="n">
        <v>8</v>
      </c>
      <c r="C1558" s="75" t="inlineStr">
        <is>
          <t>5100001554</t>
        </is>
      </c>
      <c r="D1558" s="78" t="n">
        <v>45895</v>
      </c>
      <c r="E1558" s="75" t="inlineStr">
        <is>
          <t>KR</t>
        </is>
      </c>
      <c r="F1558" s="75" t="n">
        <v>62902000</v>
      </c>
      <c r="G1558" s="75" t="n">
        <v>1401</v>
      </c>
      <c r="H1558" s="76" t="n">
        <v>4030000</v>
      </c>
      <c r="I1558" s="75" t="inlineStr">
        <is>
          <t>8월 업무 위탁 수수료 - J콜센터</t>
        </is>
      </c>
      <c r="J1558" s="75" t="inlineStr">
        <is>
          <t>V10013</t>
        </is>
      </c>
      <c r="K1558" s="75" t="inlineStr">
        <is>
          <t>J콜센터</t>
        </is>
      </c>
      <c r="M1558" s="9">
        <f>IF($A1558="","",VALUE($A1558&amp;"")*12+VALUE($B1558&amp;""))</f>
        <v/>
      </c>
      <c r="N1558" s="39">
        <f>IF($A1558="","",IFERROR(INDEX(부서매핑!$C$5:$C$504,MATCH($G1558&amp;"",부서매핑!$A$5:$A$504,0)),"미매핑"))</f>
        <v/>
      </c>
      <c r="O1558" s="9">
        <f>IF($A1558="","",N1558&amp;"|"&amp;$F1558)</f>
        <v/>
      </c>
      <c r="P1558" s="77">
        <f>IF($A1558="",0,$H1558*설정!$C$23)</f>
        <v/>
      </c>
      <c r="Q1558" s="39">
        <f>IF($A1558="","",IF(O1558&lt;&gt;원인분석!$C$9,"",IF(AND(M1558&gt;=원인분석!$C$10,M1558&lt;=원인분석!$C$11),"당기",IF(AND(M1558&gt;=원인분석!$C$12,M1558&lt;=원인분석!$C$13),"비교",""))))</f>
        <v/>
      </c>
      <c r="R1558" s="9">
        <f>IF(Q1558="","",$K1558&amp;"")</f>
        <v/>
      </c>
      <c r="S1558" s="9">
        <f>IF(Q1558="","",IF(MATCH(R1558,$R$5:$R$100000,0)=ROW()-4,ROW(),""))</f>
        <v/>
      </c>
      <c r="T1558" s="9">
        <f>IF(Q1558="당기",ABS(P1558)+ROW()/1000000000,"")</f>
        <v/>
      </c>
      <c r="U1558" s="9">
        <f>IF(Q1558="비교",ABS(P1558)+ROW()/1000000000,"")</f>
        <v/>
      </c>
      <c r="V1558" s="39">
        <f>IF($A1558="","",IF(COUNTIF(변동분석!$E$7:$E$506,O1558)&gt;0,"Y","N"))</f>
        <v/>
      </c>
      <c r="W1558" s="39">
        <f>IF($A1558="","",IFERROR(INDEX(계정매핑!$D$5:$D$504,MATCH($F1558&amp;"",계정매핑!$A$5:$A$504,0)),"미매핑"))</f>
        <v/>
      </c>
      <c r="X1558" s="9">
        <f>IF($A1558="","",$F1558&amp;"")</f>
        <v/>
      </c>
    </row>
    <row r="1559">
      <c r="A1559" s="75" t="n">
        <v>2025</v>
      </c>
      <c r="B1559" s="75" t="n">
        <v>8</v>
      </c>
      <c r="C1559" s="75" t="inlineStr">
        <is>
          <t>5100001555</t>
        </is>
      </c>
      <c r="D1559" s="78" t="n">
        <v>45895</v>
      </c>
      <c r="E1559" s="75" t="inlineStr">
        <is>
          <t>KR</t>
        </is>
      </c>
      <c r="F1559" s="75" t="n">
        <v>63101000</v>
      </c>
      <c r="G1559" s="75" t="n">
        <v>1602</v>
      </c>
      <c r="H1559" s="76" t="n">
        <v>5310000</v>
      </c>
      <c r="I1559" s="75" t="inlineStr">
        <is>
          <t>8월 사무실 임차료 - AA빌딩</t>
        </is>
      </c>
      <c r="J1559" s="75" t="inlineStr">
        <is>
          <t>V10006</t>
        </is>
      </c>
      <c r="K1559" s="75" t="inlineStr">
        <is>
          <t>AA빌딩</t>
        </is>
      </c>
      <c r="M1559" s="9">
        <f>IF($A1559="","",VALUE($A1559&amp;"")*12+VALUE($B1559&amp;""))</f>
        <v/>
      </c>
      <c r="N1559" s="39">
        <f>IF($A1559="","",IFERROR(INDEX(부서매핑!$C$5:$C$504,MATCH($G1559&amp;"",부서매핑!$A$5:$A$504,0)),"미매핑"))</f>
        <v/>
      </c>
      <c r="O1559" s="9">
        <f>IF($A1559="","",N1559&amp;"|"&amp;$F1559)</f>
        <v/>
      </c>
      <c r="P1559" s="77">
        <f>IF($A1559="",0,$H1559*설정!$C$23)</f>
        <v/>
      </c>
      <c r="Q1559" s="39">
        <f>IF($A1559="","",IF(O1559&lt;&gt;원인분석!$C$9,"",IF(AND(M1559&gt;=원인분석!$C$10,M1559&lt;=원인분석!$C$11),"당기",IF(AND(M1559&gt;=원인분석!$C$12,M1559&lt;=원인분석!$C$13),"비교",""))))</f>
        <v/>
      </c>
      <c r="R1559" s="9">
        <f>IF(Q1559="","",$K1559&amp;"")</f>
        <v/>
      </c>
      <c r="S1559" s="9">
        <f>IF(Q1559="","",IF(MATCH(R1559,$R$5:$R$100000,0)=ROW()-4,ROW(),""))</f>
        <v/>
      </c>
      <c r="T1559" s="9">
        <f>IF(Q1559="당기",ABS(P1559)+ROW()/1000000000,"")</f>
        <v/>
      </c>
      <c r="U1559" s="9">
        <f>IF(Q1559="비교",ABS(P1559)+ROW()/1000000000,"")</f>
        <v/>
      </c>
      <c r="V1559" s="39">
        <f>IF($A1559="","",IF(COUNTIF(변동분석!$E$7:$E$506,O1559)&gt;0,"Y","N"))</f>
        <v/>
      </c>
      <c r="W1559" s="39">
        <f>IF($A1559="","",IFERROR(INDEX(계정매핑!$D$5:$D$504,MATCH($F1559&amp;"",계정매핑!$A$5:$A$504,0)),"미매핑"))</f>
        <v/>
      </c>
      <c r="X1559" s="9">
        <f>IF($A1559="","",$F1559&amp;"")</f>
        <v/>
      </c>
    </row>
    <row r="1560">
      <c r="A1560" s="75" t="n">
        <v>2025</v>
      </c>
      <c r="B1560" s="75" t="n">
        <v>8</v>
      </c>
      <c r="C1560" s="75" t="inlineStr">
        <is>
          <t>5100001556</t>
        </is>
      </c>
      <c r="D1560" s="78" t="n">
        <v>45896</v>
      </c>
      <c r="E1560" s="75" t="inlineStr">
        <is>
          <t>KR</t>
        </is>
      </c>
      <c r="F1560" s="75" t="n">
        <v>62101000</v>
      </c>
      <c r="G1560" s="75" t="n">
        <v>1201</v>
      </c>
      <c r="H1560" s="76" t="n">
        <v>161000</v>
      </c>
      <c r="I1560" s="75" t="inlineStr">
        <is>
          <t>8월 국내출장 - (법인카드)</t>
        </is>
      </c>
      <c r="J1560" s="75" t="inlineStr">
        <is>
          <t>V10008</t>
        </is>
      </c>
      <c r="K1560" s="75" t="inlineStr">
        <is>
          <t>(법인카드)</t>
        </is>
      </c>
      <c r="M1560" s="9">
        <f>IF($A1560="","",VALUE($A1560&amp;"")*12+VALUE($B1560&amp;""))</f>
        <v/>
      </c>
      <c r="N1560" s="39">
        <f>IF($A1560="","",IFERROR(INDEX(부서매핑!$C$5:$C$504,MATCH($G1560&amp;"",부서매핑!$A$5:$A$504,0)),"미매핑"))</f>
        <v/>
      </c>
      <c r="O1560" s="9">
        <f>IF($A1560="","",N1560&amp;"|"&amp;$F1560)</f>
        <v/>
      </c>
      <c r="P1560" s="77">
        <f>IF($A1560="",0,$H1560*설정!$C$23)</f>
        <v/>
      </c>
      <c r="Q1560" s="39">
        <f>IF($A1560="","",IF(O1560&lt;&gt;원인분석!$C$9,"",IF(AND(M1560&gt;=원인분석!$C$10,M1560&lt;=원인분석!$C$11),"당기",IF(AND(M1560&gt;=원인분석!$C$12,M1560&lt;=원인분석!$C$13),"비교",""))))</f>
        <v/>
      </c>
      <c r="R1560" s="9">
        <f>IF(Q1560="","",$K1560&amp;"")</f>
        <v/>
      </c>
      <c r="S1560" s="9">
        <f>IF(Q1560="","",IF(MATCH(R1560,$R$5:$R$100000,0)=ROW()-4,ROW(),""))</f>
        <v/>
      </c>
      <c r="T1560" s="9">
        <f>IF(Q1560="당기",ABS(P1560)+ROW()/1000000000,"")</f>
        <v/>
      </c>
      <c r="U1560" s="9">
        <f>IF(Q1560="비교",ABS(P1560)+ROW()/1000000000,"")</f>
        <v/>
      </c>
      <c r="V1560" s="39">
        <f>IF($A1560="","",IF(COUNTIF(변동분석!$E$7:$E$506,O1560)&gt;0,"Y","N"))</f>
        <v/>
      </c>
      <c r="W1560" s="39">
        <f>IF($A1560="","",IFERROR(INDEX(계정매핑!$D$5:$D$504,MATCH($F1560&amp;"",계정매핑!$A$5:$A$504,0)),"미매핑"))</f>
        <v/>
      </c>
      <c r="X1560" s="9">
        <f>IF($A1560="","",$F1560&amp;"")</f>
        <v/>
      </c>
    </row>
    <row r="1561">
      <c r="A1561" s="75" t="n">
        <v>2025</v>
      </c>
      <c r="B1561" s="75" t="n">
        <v>8</v>
      </c>
      <c r="C1561" s="75" t="inlineStr">
        <is>
          <t>5100001557</t>
        </is>
      </c>
      <c r="D1561" s="78" t="n">
        <v>45896</v>
      </c>
      <c r="E1561" s="75" t="inlineStr">
        <is>
          <t>KR</t>
        </is>
      </c>
      <c r="F1561" s="75" t="n">
        <v>62101000</v>
      </c>
      <c r="G1561" s="75" t="n">
        <v>1401</v>
      </c>
      <c r="H1561" s="76" t="n">
        <v>508000</v>
      </c>
      <c r="I1561" s="75" t="inlineStr">
        <is>
          <t>8월 국내출장 - (법인카드)</t>
        </is>
      </c>
      <c r="J1561" s="75" t="inlineStr">
        <is>
          <t>V10008</t>
        </is>
      </c>
      <c r="K1561" s="75" t="inlineStr">
        <is>
          <t>(법인카드)</t>
        </is>
      </c>
      <c r="M1561" s="9">
        <f>IF($A1561="","",VALUE($A1561&amp;"")*12+VALUE($B1561&amp;""))</f>
        <v/>
      </c>
      <c r="N1561" s="39">
        <f>IF($A1561="","",IFERROR(INDEX(부서매핑!$C$5:$C$504,MATCH($G1561&amp;"",부서매핑!$A$5:$A$504,0)),"미매핑"))</f>
        <v/>
      </c>
      <c r="O1561" s="9">
        <f>IF($A1561="","",N1561&amp;"|"&amp;$F1561)</f>
        <v/>
      </c>
      <c r="P1561" s="77">
        <f>IF($A1561="",0,$H1561*설정!$C$23)</f>
        <v/>
      </c>
      <c r="Q1561" s="39">
        <f>IF($A1561="","",IF(O1561&lt;&gt;원인분석!$C$9,"",IF(AND(M1561&gt;=원인분석!$C$10,M1561&lt;=원인분석!$C$11),"당기",IF(AND(M1561&gt;=원인분석!$C$12,M1561&lt;=원인분석!$C$13),"비교",""))))</f>
        <v/>
      </c>
      <c r="R1561" s="9">
        <f>IF(Q1561="","",$K1561&amp;"")</f>
        <v/>
      </c>
      <c r="S1561" s="9">
        <f>IF(Q1561="","",IF(MATCH(R1561,$R$5:$R$100000,0)=ROW()-4,ROW(),""))</f>
        <v/>
      </c>
      <c r="T1561" s="9">
        <f>IF(Q1561="당기",ABS(P1561)+ROW()/1000000000,"")</f>
        <v/>
      </c>
      <c r="U1561" s="9">
        <f>IF(Q1561="비교",ABS(P1561)+ROW()/1000000000,"")</f>
        <v/>
      </c>
      <c r="V1561" s="39">
        <f>IF($A1561="","",IF(COUNTIF(변동분석!$E$7:$E$506,O1561)&gt;0,"Y","N"))</f>
        <v/>
      </c>
      <c r="W1561" s="39">
        <f>IF($A1561="","",IFERROR(INDEX(계정매핑!$D$5:$D$504,MATCH($F1561&amp;"",계정매핑!$A$5:$A$504,0)),"미매핑"))</f>
        <v/>
      </c>
      <c r="X1561" s="9">
        <f>IF($A1561="","",$F1561&amp;"")</f>
        <v/>
      </c>
    </row>
    <row r="1562">
      <c r="A1562" s="75" t="n">
        <v>2025</v>
      </c>
      <c r="B1562" s="75" t="n">
        <v>8</v>
      </c>
      <c r="C1562" s="75" t="inlineStr">
        <is>
          <t>5100001558</t>
        </is>
      </c>
      <c r="D1562" s="78" t="n">
        <v>45896</v>
      </c>
      <c r="E1562" s="75" t="inlineStr">
        <is>
          <t>KR</t>
        </is>
      </c>
      <c r="F1562" s="75" t="n">
        <v>62101000</v>
      </c>
      <c r="G1562" s="75" t="n">
        <v>1801</v>
      </c>
      <c r="H1562" s="76" t="n">
        <v>144000</v>
      </c>
      <c r="I1562" s="75" t="inlineStr">
        <is>
          <t>8월 국내출장 - (법인카드)</t>
        </is>
      </c>
      <c r="J1562" s="75" t="inlineStr">
        <is>
          <t>V10008</t>
        </is>
      </c>
      <c r="K1562" s="75" t="inlineStr">
        <is>
          <t>(법인카드)</t>
        </is>
      </c>
      <c r="M1562" s="9">
        <f>IF($A1562="","",VALUE($A1562&amp;"")*12+VALUE($B1562&amp;""))</f>
        <v/>
      </c>
      <c r="N1562" s="39">
        <f>IF($A1562="","",IFERROR(INDEX(부서매핑!$C$5:$C$504,MATCH($G1562&amp;"",부서매핑!$A$5:$A$504,0)),"미매핑"))</f>
        <v/>
      </c>
      <c r="O1562" s="9">
        <f>IF($A1562="","",N1562&amp;"|"&amp;$F1562)</f>
        <v/>
      </c>
      <c r="P1562" s="77">
        <f>IF($A1562="",0,$H1562*설정!$C$23)</f>
        <v/>
      </c>
      <c r="Q1562" s="39">
        <f>IF($A1562="","",IF(O1562&lt;&gt;원인분석!$C$9,"",IF(AND(M1562&gt;=원인분석!$C$10,M1562&lt;=원인분석!$C$11),"당기",IF(AND(M1562&gt;=원인분석!$C$12,M1562&lt;=원인분석!$C$13),"비교",""))))</f>
        <v/>
      </c>
      <c r="R1562" s="9">
        <f>IF(Q1562="","",$K1562&amp;"")</f>
        <v/>
      </c>
      <c r="S1562" s="9">
        <f>IF(Q1562="","",IF(MATCH(R1562,$R$5:$R$100000,0)=ROW()-4,ROW(),""))</f>
        <v/>
      </c>
      <c r="T1562" s="9">
        <f>IF(Q1562="당기",ABS(P1562)+ROW()/1000000000,"")</f>
        <v/>
      </c>
      <c r="U1562" s="9">
        <f>IF(Q1562="비교",ABS(P1562)+ROW()/1000000000,"")</f>
        <v/>
      </c>
      <c r="V1562" s="39">
        <f>IF($A1562="","",IF(COUNTIF(변동분석!$E$7:$E$506,O1562)&gt;0,"Y","N"))</f>
        <v/>
      </c>
      <c r="W1562" s="39">
        <f>IF($A1562="","",IFERROR(INDEX(계정매핑!$D$5:$D$504,MATCH($F1562&amp;"",계정매핑!$A$5:$A$504,0)),"미매핑"))</f>
        <v/>
      </c>
      <c r="X1562" s="9">
        <f>IF($A1562="","",$F1562&amp;"")</f>
        <v/>
      </c>
    </row>
    <row r="1563">
      <c r="A1563" s="75" t="n">
        <v>2025</v>
      </c>
      <c r="B1563" s="75" t="n">
        <v>8</v>
      </c>
      <c r="C1563" s="75" t="inlineStr">
        <is>
          <t>5100001559</t>
        </is>
      </c>
      <c r="D1563" s="78" t="n">
        <v>45896</v>
      </c>
      <c r="E1563" s="75" t="inlineStr">
        <is>
          <t>KR</t>
        </is>
      </c>
      <c r="F1563" s="75" t="n">
        <v>62102000</v>
      </c>
      <c r="G1563" s="75" t="n">
        <v>1801</v>
      </c>
      <c r="H1563" s="76" t="n">
        <v>30000</v>
      </c>
      <c r="I1563" s="75" t="inlineStr">
        <is>
          <t>8월 해외출장 - M항공</t>
        </is>
      </c>
      <c r="J1563" s="75" t="inlineStr">
        <is>
          <t>V10001</t>
        </is>
      </c>
      <c r="K1563" s="75" t="inlineStr">
        <is>
          <t>M항공</t>
        </is>
      </c>
      <c r="M1563" s="9">
        <f>IF($A1563="","",VALUE($A1563&amp;"")*12+VALUE($B1563&amp;""))</f>
        <v/>
      </c>
      <c r="N1563" s="39">
        <f>IF($A1563="","",IFERROR(INDEX(부서매핑!$C$5:$C$504,MATCH($G1563&amp;"",부서매핑!$A$5:$A$504,0)),"미매핑"))</f>
        <v/>
      </c>
      <c r="O1563" s="9">
        <f>IF($A1563="","",N1563&amp;"|"&amp;$F1563)</f>
        <v/>
      </c>
      <c r="P1563" s="77">
        <f>IF($A1563="",0,$H1563*설정!$C$23)</f>
        <v/>
      </c>
      <c r="Q1563" s="39">
        <f>IF($A1563="","",IF(O1563&lt;&gt;원인분석!$C$9,"",IF(AND(M1563&gt;=원인분석!$C$10,M1563&lt;=원인분석!$C$11),"당기",IF(AND(M1563&gt;=원인분석!$C$12,M1563&lt;=원인분석!$C$13),"비교",""))))</f>
        <v/>
      </c>
      <c r="R1563" s="9">
        <f>IF(Q1563="","",$K1563&amp;"")</f>
        <v/>
      </c>
      <c r="S1563" s="9">
        <f>IF(Q1563="","",IF(MATCH(R1563,$R$5:$R$100000,0)=ROW()-4,ROW(),""))</f>
        <v/>
      </c>
      <c r="T1563" s="9">
        <f>IF(Q1563="당기",ABS(P1563)+ROW()/1000000000,"")</f>
        <v/>
      </c>
      <c r="U1563" s="9">
        <f>IF(Q1563="비교",ABS(P1563)+ROW()/1000000000,"")</f>
        <v/>
      </c>
      <c r="V1563" s="39">
        <f>IF($A1563="","",IF(COUNTIF(변동분석!$E$7:$E$506,O1563)&gt;0,"Y","N"))</f>
        <v/>
      </c>
      <c r="W1563" s="39">
        <f>IF($A1563="","",IFERROR(INDEX(계정매핑!$D$5:$D$504,MATCH($F1563&amp;"",계정매핑!$A$5:$A$504,0)),"미매핑"))</f>
        <v/>
      </c>
      <c r="X1563" s="9">
        <f>IF($A1563="","",$F1563&amp;"")</f>
        <v/>
      </c>
    </row>
    <row r="1564">
      <c r="A1564" s="75" t="n">
        <v>2025</v>
      </c>
      <c r="B1564" s="75" t="n">
        <v>8</v>
      </c>
      <c r="C1564" s="75" t="inlineStr">
        <is>
          <t>5100001560</t>
        </is>
      </c>
      <c r="D1564" s="78" t="n">
        <v>45896</v>
      </c>
      <c r="E1564" s="75" t="inlineStr">
        <is>
          <t>KR</t>
        </is>
      </c>
      <c r="F1564" s="75" t="n">
        <v>62201000</v>
      </c>
      <c r="G1564" s="75" t="n">
        <v>1401</v>
      </c>
      <c r="H1564" s="76" t="n">
        <v>175000</v>
      </c>
      <c r="I1564" s="75" t="inlineStr">
        <is>
          <t>8월 통신요금 - O텔레콤</t>
        </is>
      </c>
      <c r="J1564" s="75" t="inlineStr">
        <is>
          <t>V10002</t>
        </is>
      </c>
      <c r="K1564" s="75" t="inlineStr">
        <is>
          <t>O텔레콤</t>
        </is>
      </c>
      <c r="M1564" s="9">
        <f>IF($A1564="","",VALUE($A1564&amp;"")*12+VALUE($B1564&amp;""))</f>
        <v/>
      </c>
      <c r="N1564" s="39">
        <f>IF($A1564="","",IFERROR(INDEX(부서매핑!$C$5:$C$504,MATCH($G1564&amp;"",부서매핑!$A$5:$A$504,0)),"미매핑"))</f>
        <v/>
      </c>
      <c r="O1564" s="9">
        <f>IF($A1564="","",N1564&amp;"|"&amp;$F1564)</f>
        <v/>
      </c>
      <c r="P1564" s="77">
        <f>IF($A1564="",0,$H1564*설정!$C$23)</f>
        <v/>
      </c>
      <c r="Q1564" s="39">
        <f>IF($A1564="","",IF(O1564&lt;&gt;원인분석!$C$9,"",IF(AND(M1564&gt;=원인분석!$C$10,M1564&lt;=원인분석!$C$11),"당기",IF(AND(M1564&gt;=원인분석!$C$12,M1564&lt;=원인분석!$C$13),"비교",""))))</f>
        <v/>
      </c>
      <c r="R1564" s="9">
        <f>IF(Q1564="","",$K1564&amp;"")</f>
        <v/>
      </c>
      <c r="S1564" s="9">
        <f>IF(Q1564="","",IF(MATCH(R1564,$R$5:$R$100000,0)=ROW()-4,ROW(),""))</f>
        <v/>
      </c>
      <c r="T1564" s="9">
        <f>IF(Q1564="당기",ABS(P1564)+ROW()/1000000000,"")</f>
        <v/>
      </c>
      <c r="U1564" s="9">
        <f>IF(Q1564="비교",ABS(P1564)+ROW()/1000000000,"")</f>
        <v/>
      </c>
      <c r="V1564" s="39">
        <f>IF($A1564="","",IF(COUNTIF(변동분석!$E$7:$E$506,O1564)&gt;0,"Y","N"))</f>
        <v/>
      </c>
      <c r="W1564" s="39">
        <f>IF($A1564="","",IFERROR(INDEX(계정매핑!$D$5:$D$504,MATCH($F1564&amp;"",계정매핑!$A$5:$A$504,0)),"미매핑"))</f>
        <v/>
      </c>
      <c r="X1564" s="9">
        <f>IF($A1564="","",$F1564&amp;"")</f>
        <v/>
      </c>
    </row>
    <row r="1565">
      <c r="A1565" s="75" t="n">
        <v>2025</v>
      </c>
      <c r="B1565" s="75" t="n">
        <v>8</v>
      </c>
      <c r="C1565" s="75" t="inlineStr">
        <is>
          <t>5100001561</t>
        </is>
      </c>
      <c r="D1565" s="78" t="n">
        <v>45896</v>
      </c>
      <c r="E1565" s="75" t="inlineStr">
        <is>
          <t>KR</t>
        </is>
      </c>
      <c r="F1565" s="75" t="n">
        <v>62301000</v>
      </c>
      <c r="G1565" s="75" t="n">
        <v>1701</v>
      </c>
      <c r="H1565" s="76" t="n">
        <v>199000</v>
      </c>
      <c r="I1565" s="75" t="inlineStr">
        <is>
          <t>8월 소모품 구입 - R문구</t>
        </is>
      </c>
      <c r="J1565" s="75" t="inlineStr">
        <is>
          <t>V10018</t>
        </is>
      </c>
      <c r="K1565" s="75" t="inlineStr">
        <is>
          <t>R문구</t>
        </is>
      </c>
      <c r="M1565" s="9">
        <f>IF($A1565="","",VALUE($A1565&amp;"")*12+VALUE($B1565&amp;""))</f>
        <v/>
      </c>
      <c r="N1565" s="39">
        <f>IF($A1565="","",IFERROR(INDEX(부서매핑!$C$5:$C$504,MATCH($G1565&amp;"",부서매핑!$A$5:$A$504,0)),"미매핑"))</f>
        <v/>
      </c>
      <c r="O1565" s="9">
        <f>IF($A1565="","",N1565&amp;"|"&amp;$F1565)</f>
        <v/>
      </c>
      <c r="P1565" s="77">
        <f>IF($A1565="",0,$H1565*설정!$C$23)</f>
        <v/>
      </c>
      <c r="Q1565" s="39">
        <f>IF($A1565="","",IF(O1565&lt;&gt;원인분석!$C$9,"",IF(AND(M1565&gt;=원인분석!$C$10,M1565&lt;=원인분석!$C$11),"당기",IF(AND(M1565&gt;=원인분석!$C$12,M1565&lt;=원인분석!$C$13),"비교",""))))</f>
        <v/>
      </c>
      <c r="R1565" s="9">
        <f>IF(Q1565="","",$K1565&amp;"")</f>
        <v/>
      </c>
      <c r="S1565" s="9">
        <f>IF(Q1565="","",IF(MATCH(R1565,$R$5:$R$100000,0)=ROW()-4,ROW(),""))</f>
        <v/>
      </c>
      <c r="T1565" s="9">
        <f>IF(Q1565="당기",ABS(P1565)+ROW()/1000000000,"")</f>
        <v/>
      </c>
      <c r="U1565" s="9">
        <f>IF(Q1565="비교",ABS(P1565)+ROW()/1000000000,"")</f>
        <v/>
      </c>
      <c r="V1565" s="39">
        <f>IF($A1565="","",IF(COUNTIF(변동분석!$E$7:$E$506,O1565)&gt;0,"Y","N"))</f>
        <v/>
      </c>
      <c r="W1565" s="39">
        <f>IF($A1565="","",IFERROR(INDEX(계정매핑!$D$5:$D$504,MATCH($F1565&amp;"",계정매핑!$A$5:$A$504,0)),"미매핑"))</f>
        <v/>
      </c>
      <c r="X1565" s="9">
        <f>IF($A1565="","",$F1565&amp;"")</f>
        <v/>
      </c>
    </row>
    <row r="1566">
      <c r="A1566" s="75" t="n">
        <v>2025</v>
      </c>
      <c r="B1566" s="75" t="n">
        <v>8</v>
      </c>
      <c r="C1566" s="75" t="inlineStr">
        <is>
          <t>5100001562</t>
        </is>
      </c>
      <c r="D1566" s="78" t="n">
        <v>45896</v>
      </c>
      <c r="E1566" s="75" t="inlineStr">
        <is>
          <t>KR</t>
        </is>
      </c>
      <c r="F1566" s="75" t="n">
        <v>62301000</v>
      </c>
      <c r="G1566" s="75" t="n">
        <v>1801</v>
      </c>
      <c r="H1566" s="76" t="n">
        <v>632000</v>
      </c>
      <c r="I1566" s="75" t="inlineStr">
        <is>
          <t>8월 소모품 구입 - R문구</t>
        </is>
      </c>
      <c r="J1566" s="75" t="inlineStr">
        <is>
          <t>V10018</t>
        </is>
      </c>
      <c r="K1566" s="75" t="inlineStr">
        <is>
          <t>R문구</t>
        </is>
      </c>
      <c r="M1566" s="9">
        <f>IF($A1566="","",VALUE($A1566&amp;"")*12+VALUE($B1566&amp;""))</f>
        <v/>
      </c>
      <c r="N1566" s="39">
        <f>IF($A1566="","",IFERROR(INDEX(부서매핑!$C$5:$C$504,MATCH($G1566&amp;"",부서매핑!$A$5:$A$504,0)),"미매핑"))</f>
        <v/>
      </c>
      <c r="O1566" s="9">
        <f>IF($A1566="","",N1566&amp;"|"&amp;$F1566)</f>
        <v/>
      </c>
      <c r="P1566" s="77">
        <f>IF($A1566="",0,$H1566*설정!$C$23)</f>
        <v/>
      </c>
      <c r="Q1566" s="39">
        <f>IF($A1566="","",IF(O1566&lt;&gt;원인분석!$C$9,"",IF(AND(M1566&gt;=원인분석!$C$10,M1566&lt;=원인분석!$C$11),"당기",IF(AND(M1566&gt;=원인분석!$C$12,M1566&lt;=원인분석!$C$13),"비교",""))))</f>
        <v/>
      </c>
      <c r="R1566" s="9">
        <f>IF(Q1566="","",$K1566&amp;"")</f>
        <v/>
      </c>
      <c r="S1566" s="9">
        <f>IF(Q1566="","",IF(MATCH(R1566,$R$5:$R$100000,0)=ROW()-4,ROW(),""))</f>
        <v/>
      </c>
      <c r="T1566" s="9">
        <f>IF(Q1566="당기",ABS(P1566)+ROW()/1000000000,"")</f>
        <v/>
      </c>
      <c r="U1566" s="9">
        <f>IF(Q1566="비교",ABS(P1566)+ROW()/1000000000,"")</f>
        <v/>
      </c>
      <c r="V1566" s="39">
        <f>IF($A1566="","",IF(COUNTIF(변동분석!$E$7:$E$506,O1566)&gt;0,"Y","N"))</f>
        <v/>
      </c>
      <c r="W1566" s="39">
        <f>IF($A1566="","",IFERROR(INDEX(계정매핑!$D$5:$D$504,MATCH($F1566&amp;"",계정매핑!$A$5:$A$504,0)),"미매핑"))</f>
        <v/>
      </c>
      <c r="X1566" s="9">
        <f>IF($A1566="","",$F1566&amp;"")</f>
        <v/>
      </c>
    </row>
    <row r="1567">
      <c r="A1567" s="75" t="n">
        <v>2025</v>
      </c>
      <c r="B1567" s="75" t="n">
        <v>8</v>
      </c>
      <c r="C1567" s="75" t="inlineStr">
        <is>
          <t>5100001563</t>
        </is>
      </c>
      <c r="D1567" s="78" t="n">
        <v>45896</v>
      </c>
      <c r="E1567" s="75" t="inlineStr">
        <is>
          <t>KR</t>
        </is>
      </c>
      <c r="F1567" s="75" t="n">
        <v>62401000</v>
      </c>
      <c r="G1567" s="75" t="n">
        <v>1401</v>
      </c>
      <c r="H1567" s="76" t="n">
        <v>233000</v>
      </c>
      <c r="I1567" s="75" t="inlineStr">
        <is>
          <t>8월 인쇄물 제작 - S출판</t>
        </is>
      </c>
      <c r="J1567" s="75" t="inlineStr">
        <is>
          <t>V10012</t>
        </is>
      </c>
      <c r="K1567" s="75" t="inlineStr">
        <is>
          <t>S출판</t>
        </is>
      </c>
      <c r="M1567" s="9">
        <f>IF($A1567="","",VALUE($A1567&amp;"")*12+VALUE($B1567&amp;""))</f>
        <v/>
      </c>
      <c r="N1567" s="39">
        <f>IF($A1567="","",IFERROR(INDEX(부서매핑!$C$5:$C$504,MATCH($G1567&amp;"",부서매핑!$A$5:$A$504,0)),"미매핑"))</f>
        <v/>
      </c>
      <c r="O1567" s="9">
        <f>IF($A1567="","",N1567&amp;"|"&amp;$F1567)</f>
        <v/>
      </c>
      <c r="P1567" s="77">
        <f>IF($A1567="",0,$H1567*설정!$C$23)</f>
        <v/>
      </c>
      <c r="Q1567" s="39">
        <f>IF($A1567="","",IF(O1567&lt;&gt;원인분석!$C$9,"",IF(AND(M1567&gt;=원인분석!$C$10,M1567&lt;=원인분석!$C$11),"당기",IF(AND(M1567&gt;=원인분석!$C$12,M1567&lt;=원인분석!$C$13),"비교",""))))</f>
        <v/>
      </c>
      <c r="R1567" s="9">
        <f>IF(Q1567="","",$K1567&amp;"")</f>
        <v/>
      </c>
      <c r="S1567" s="9">
        <f>IF(Q1567="","",IF(MATCH(R1567,$R$5:$R$100000,0)=ROW()-4,ROW(),""))</f>
        <v/>
      </c>
      <c r="T1567" s="9">
        <f>IF(Q1567="당기",ABS(P1567)+ROW()/1000000000,"")</f>
        <v/>
      </c>
      <c r="U1567" s="9">
        <f>IF(Q1567="비교",ABS(P1567)+ROW()/1000000000,"")</f>
        <v/>
      </c>
      <c r="V1567" s="39">
        <f>IF($A1567="","",IF(COUNTIF(변동분석!$E$7:$E$506,O1567)&gt;0,"Y","N"))</f>
        <v/>
      </c>
      <c r="W1567" s="39">
        <f>IF($A1567="","",IFERROR(INDEX(계정매핑!$D$5:$D$504,MATCH($F1567&amp;"",계정매핑!$A$5:$A$504,0)),"미매핑"))</f>
        <v/>
      </c>
      <c r="X1567" s="9">
        <f>IF($A1567="","",$F1567&amp;"")</f>
        <v/>
      </c>
    </row>
    <row r="1568">
      <c r="A1568" s="75" t="n">
        <v>2025</v>
      </c>
      <c r="B1568" s="75" t="n">
        <v>8</v>
      </c>
      <c r="C1568" s="75" t="inlineStr">
        <is>
          <t>5100001564</t>
        </is>
      </c>
      <c r="D1568" s="78" t="n">
        <v>45896</v>
      </c>
      <c r="E1568" s="75" t="inlineStr">
        <is>
          <t>KR</t>
        </is>
      </c>
      <c r="F1568" s="75" t="n">
        <v>62802000</v>
      </c>
      <c r="G1568" s="75" t="n">
        <v>1301</v>
      </c>
      <c r="H1568" s="76" t="n">
        <v>5080000</v>
      </c>
      <c r="I1568" s="75" t="inlineStr">
        <is>
          <t>8월 위탁교육 - V아카데미</t>
        </is>
      </c>
      <c r="J1568" s="75" t="inlineStr">
        <is>
          <t>V10023</t>
        </is>
      </c>
      <c r="K1568" s="75" t="inlineStr">
        <is>
          <t>V아카데미</t>
        </is>
      </c>
      <c r="M1568" s="9">
        <f>IF($A1568="","",VALUE($A1568&amp;"")*12+VALUE($B1568&amp;""))</f>
        <v/>
      </c>
      <c r="N1568" s="39">
        <f>IF($A1568="","",IFERROR(INDEX(부서매핑!$C$5:$C$504,MATCH($G1568&amp;"",부서매핑!$A$5:$A$504,0)),"미매핑"))</f>
        <v/>
      </c>
      <c r="O1568" s="9">
        <f>IF($A1568="","",N1568&amp;"|"&amp;$F1568)</f>
        <v/>
      </c>
      <c r="P1568" s="77">
        <f>IF($A1568="",0,$H1568*설정!$C$23)</f>
        <v/>
      </c>
      <c r="Q1568" s="39">
        <f>IF($A1568="","",IF(O1568&lt;&gt;원인분석!$C$9,"",IF(AND(M1568&gt;=원인분석!$C$10,M1568&lt;=원인분석!$C$11),"당기",IF(AND(M1568&gt;=원인분석!$C$12,M1568&lt;=원인분석!$C$13),"비교",""))))</f>
        <v/>
      </c>
      <c r="R1568" s="9">
        <f>IF(Q1568="","",$K1568&amp;"")</f>
        <v/>
      </c>
      <c r="S1568" s="9">
        <f>IF(Q1568="","",IF(MATCH(R1568,$R$5:$R$100000,0)=ROW()-4,ROW(),""))</f>
        <v/>
      </c>
      <c r="T1568" s="9">
        <f>IF(Q1568="당기",ABS(P1568)+ROW()/1000000000,"")</f>
        <v/>
      </c>
      <c r="U1568" s="9">
        <f>IF(Q1568="비교",ABS(P1568)+ROW()/1000000000,"")</f>
        <v/>
      </c>
      <c r="V1568" s="39">
        <f>IF($A1568="","",IF(COUNTIF(변동분석!$E$7:$E$506,O1568)&gt;0,"Y","N"))</f>
        <v/>
      </c>
      <c r="W1568" s="39">
        <f>IF($A1568="","",IFERROR(INDEX(계정매핑!$D$5:$D$504,MATCH($F1568&amp;"",계정매핑!$A$5:$A$504,0)),"미매핑"))</f>
        <v/>
      </c>
      <c r="X1568" s="9">
        <f>IF($A1568="","",$F1568&amp;"")</f>
        <v/>
      </c>
    </row>
    <row r="1569">
      <c r="A1569" s="75" t="n">
        <v>2025</v>
      </c>
      <c r="B1569" s="75" t="n">
        <v>8</v>
      </c>
      <c r="C1569" s="75" t="inlineStr">
        <is>
          <t>5100001565</t>
        </is>
      </c>
      <c r="D1569" s="78" t="n">
        <v>45896</v>
      </c>
      <c r="E1569" s="75" t="inlineStr">
        <is>
          <t>KR</t>
        </is>
      </c>
      <c r="F1569" s="75" t="n">
        <v>62901000</v>
      </c>
      <c r="G1569" s="75" t="n">
        <v>1201</v>
      </c>
      <c r="H1569" s="76" t="n">
        <v>4541000</v>
      </c>
      <c r="I1569" s="75" t="inlineStr">
        <is>
          <t>8월 자문 수수료 - W컨설팅</t>
        </is>
      </c>
      <c r="J1569" s="75" t="inlineStr">
        <is>
          <t>V10009</t>
        </is>
      </c>
      <c r="K1569" s="75" t="inlineStr">
        <is>
          <t>W컨설팅</t>
        </is>
      </c>
      <c r="M1569" s="9">
        <f>IF($A1569="","",VALUE($A1569&amp;"")*12+VALUE($B1569&amp;""))</f>
        <v/>
      </c>
      <c r="N1569" s="39">
        <f>IF($A1569="","",IFERROR(INDEX(부서매핑!$C$5:$C$504,MATCH($G1569&amp;"",부서매핑!$A$5:$A$504,0)),"미매핑"))</f>
        <v/>
      </c>
      <c r="O1569" s="9">
        <f>IF($A1569="","",N1569&amp;"|"&amp;$F1569)</f>
        <v/>
      </c>
      <c r="P1569" s="77">
        <f>IF($A1569="",0,$H1569*설정!$C$23)</f>
        <v/>
      </c>
      <c r="Q1569" s="39">
        <f>IF($A1569="","",IF(O1569&lt;&gt;원인분석!$C$9,"",IF(AND(M1569&gt;=원인분석!$C$10,M1569&lt;=원인분석!$C$11),"당기",IF(AND(M1569&gt;=원인분석!$C$12,M1569&lt;=원인분석!$C$13),"비교",""))))</f>
        <v/>
      </c>
      <c r="R1569" s="9">
        <f>IF(Q1569="","",$K1569&amp;"")</f>
        <v/>
      </c>
      <c r="S1569" s="9">
        <f>IF(Q1569="","",IF(MATCH(R1569,$R$5:$R$100000,0)=ROW()-4,ROW(),""))</f>
        <v/>
      </c>
      <c r="T1569" s="9">
        <f>IF(Q1569="당기",ABS(P1569)+ROW()/1000000000,"")</f>
        <v/>
      </c>
      <c r="U1569" s="9">
        <f>IF(Q1569="비교",ABS(P1569)+ROW()/1000000000,"")</f>
        <v/>
      </c>
      <c r="V1569" s="39">
        <f>IF($A1569="","",IF(COUNTIF(변동분석!$E$7:$E$506,O1569)&gt;0,"Y","N"))</f>
        <v/>
      </c>
      <c r="W1569" s="39">
        <f>IF($A1569="","",IFERROR(INDEX(계정매핑!$D$5:$D$504,MATCH($F1569&amp;"",계정매핑!$A$5:$A$504,0)),"미매핑"))</f>
        <v/>
      </c>
      <c r="X1569" s="9">
        <f>IF($A1569="","",$F1569&amp;"")</f>
        <v/>
      </c>
    </row>
    <row r="1570">
      <c r="A1570" s="75" t="n">
        <v>2025</v>
      </c>
      <c r="B1570" s="75" t="n">
        <v>9</v>
      </c>
      <c r="C1570" s="75" t="inlineStr">
        <is>
          <t>5100001566</t>
        </is>
      </c>
      <c r="D1570" s="78" t="n">
        <v>45902</v>
      </c>
      <c r="E1570" s="75" t="inlineStr">
        <is>
          <t>KR</t>
        </is>
      </c>
      <c r="F1570" s="75" t="n">
        <v>62102000</v>
      </c>
      <c r="G1570" s="75" t="n">
        <v>1401</v>
      </c>
      <c r="H1570" s="76" t="n">
        <v>96000</v>
      </c>
      <c r="I1570" s="75" t="inlineStr">
        <is>
          <t>9월 해외출장 - M항공</t>
        </is>
      </c>
      <c r="J1570" s="75" t="inlineStr">
        <is>
          <t>V10001</t>
        </is>
      </c>
      <c r="K1570" s="75" t="inlineStr">
        <is>
          <t>M항공</t>
        </is>
      </c>
      <c r="M1570" s="9">
        <f>IF($A1570="","",VALUE($A1570&amp;"")*12+VALUE($B1570&amp;""))</f>
        <v/>
      </c>
      <c r="N1570" s="39">
        <f>IF($A1570="","",IFERROR(INDEX(부서매핑!$C$5:$C$504,MATCH($G1570&amp;"",부서매핑!$A$5:$A$504,0)),"미매핑"))</f>
        <v/>
      </c>
      <c r="O1570" s="9">
        <f>IF($A1570="","",N1570&amp;"|"&amp;$F1570)</f>
        <v/>
      </c>
      <c r="P1570" s="77">
        <f>IF($A1570="",0,$H1570*설정!$C$23)</f>
        <v/>
      </c>
      <c r="Q1570" s="39">
        <f>IF($A1570="","",IF(O1570&lt;&gt;원인분석!$C$9,"",IF(AND(M1570&gt;=원인분석!$C$10,M1570&lt;=원인분석!$C$11),"당기",IF(AND(M1570&gt;=원인분석!$C$12,M1570&lt;=원인분석!$C$13),"비교",""))))</f>
        <v/>
      </c>
      <c r="R1570" s="9">
        <f>IF(Q1570="","",$K1570&amp;"")</f>
        <v/>
      </c>
      <c r="S1570" s="9">
        <f>IF(Q1570="","",IF(MATCH(R1570,$R$5:$R$100000,0)=ROW()-4,ROW(),""))</f>
        <v/>
      </c>
      <c r="T1570" s="9">
        <f>IF(Q1570="당기",ABS(P1570)+ROW()/1000000000,"")</f>
        <v/>
      </c>
      <c r="U1570" s="9">
        <f>IF(Q1570="비교",ABS(P1570)+ROW()/1000000000,"")</f>
        <v/>
      </c>
      <c r="V1570" s="39">
        <f>IF($A1570="","",IF(COUNTIF(변동분석!$E$7:$E$506,O1570)&gt;0,"Y","N"))</f>
        <v/>
      </c>
      <c r="W1570" s="39">
        <f>IF($A1570="","",IFERROR(INDEX(계정매핑!$D$5:$D$504,MATCH($F1570&amp;"",계정매핑!$A$5:$A$504,0)),"미매핑"))</f>
        <v/>
      </c>
      <c r="X1570" s="9">
        <f>IF($A1570="","",$F1570&amp;"")</f>
        <v/>
      </c>
    </row>
    <row r="1571">
      <c r="A1571" s="75" t="n">
        <v>2025</v>
      </c>
      <c r="B1571" s="75" t="n">
        <v>9</v>
      </c>
      <c r="C1571" s="75" t="inlineStr">
        <is>
          <t>5100001567</t>
        </is>
      </c>
      <c r="D1571" s="78" t="n">
        <v>45902</v>
      </c>
      <c r="E1571" s="75" t="inlineStr">
        <is>
          <t>KR</t>
        </is>
      </c>
      <c r="F1571" s="75" t="n">
        <v>62201000</v>
      </c>
      <c r="G1571" s="75" t="n">
        <v>1701</v>
      </c>
      <c r="H1571" s="76" t="n">
        <v>6935000</v>
      </c>
      <c r="I1571" s="75" t="inlineStr">
        <is>
          <t>9월 통신요금 - O텔레콤</t>
        </is>
      </c>
      <c r="J1571" s="75" t="inlineStr">
        <is>
          <t>V10002</t>
        </is>
      </c>
      <c r="K1571" s="75" t="inlineStr">
        <is>
          <t>O텔레콤</t>
        </is>
      </c>
      <c r="M1571" s="9">
        <f>IF($A1571="","",VALUE($A1571&amp;"")*12+VALUE($B1571&amp;""))</f>
        <v/>
      </c>
      <c r="N1571" s="39">
        <f>IF($A1571="","",IFERROR(INDEX(부서매핑!$C$5:$C$504,MATCH($G1571&amp;"",부서매핑!$A$5:$A$504,0)),"미매핑"))</f>
        <v/>
      </c>
      <c r="O1571" s="9">
        <f>IF($A1571="","",N1571&amp;"|"&amp;$F1571)</f>
        <v/>
      </c>
      <c r="P1571" s="77">
        <f>IF($A1571="",0,$H1571*설정!$C$23)</f>
        <v/>
      </c>
      <c r="Q1571" s="39">
        <f>IF($A1571="","",IF(O1571&lt;&gt;원인분석!$C$9,"",IF(AND(M1571&gt;=원인분석!$C$10,M1571&lt;=원인분석!$C$11),"당기",IF(AND(M1571&gt;=원인분석!$C$12,M1571&lt;=원인분석!$C$13),"비교",""))))</f>
        <v/>
      </c>
      <c r="R1571" s="9">
        <f>IF(Q1571="","",$K1571&amp;"")</f>
        <v/>
      </c>
      <c r="S1571" s="9">
        <f>IF(Q1571="","",IF(MATCH(R1571,$R$5:$R$100000,0)=ROW()-4,ROW(),""))</f>
        <v/>
      </c>
      <c r="T1571" s="9">
        <f>IF(Q1571="당기",ABS(P1571)+ROW()/1000000000,"")</f>
        <v/>
      </c>
      <c r="U1571" s="9">
        <f>IF(Q1571="비교",ABS(P1571)+ROW()/1000000000,"")</f>
        <v/>
      </c>
      <c r="V1571" s="39">
        <f>IF($A1571="","",IF(COUNTIF(변동분석!$E$7:$E$506,O1571)&gt;0,"Y","N"))</f>
        <v/>
      </c>
      <c r="W1571" s="39">
        <f>IF($A1571="","",IFERROR(INDEX(계정매핑!$D$5:$D$504,MATCH($F1571&amp;"",계정매핑!$A$5:$A$504,0)),"미매핑"))</f>
        <v/>
      </c>
      <c r="X1571" s="9">
        <f>IF($A1571="","",$F1571&amp;"")</f>
        <v/>
      </c>
    </row>
    <row r="1572">
      <c r="A1572" s="75" t="n">
        <v>2025</v>
      </c>
      <c r="B1572" s="75" t="n">
        <v>9</v>
      </c>
      <c r="C1572" s="75" t="inlineStr">
        <is>
          <t>5100001568</t>
        </is>
      </c>
      <c r="D1572" s="78" t="n">
        <v>45902</v>
      </c>
      <c r="E1572" s="75" t="inlineStr">
        <is>
          <t>KR</t>
        </is>
      </c>
      <c r="F1572" s="75" t="n">
        <v>62401000</v>
      </c>
      <c r="G1572" s="75" t="n">
        <v>1401</v>
      </c>
      <c r="H1572" s="76" t="n">
        <v>305000</v>
      </c>
      <c r="I1572" s="75" t="inlineStr">
        <is>
          <t>9월 인쇄물 제작 - S출판</t>
        </is>
      </c>
      <c r="J1572" s="75" t="inlineStr">
        <is>
          <t>V10012</t>
        </is>
      </c>
      <c r="K1572" s="75" t="inlineStr">
        <is>
          <t>S출판</t>
        </is>
      </c>
      <c r="M1572" s="9">
        <f>IF($A1572="","",VALUE($A1572&amp;"")*12+VALUE($B1572&amp;""))</f>
        <v/>
      </c>
      <c r="N1572" s="39">
        <f>IF($A1572="","",IFERROR(INDEX(부서매핑!$C$5:$C$504,MATCH($G1572&amp;"",부서매핑!$A$5:$A$504,0)),"미매핑"))</f>
        <v/>
      </c>
      <c r="O1572" s="9">
        <f>IF($A1572="","",N1572&amp;"|"&amp;$F1572)</f>
        <v/>
      </c>
      <c r="P1572" s="77">
        <f>IF($A1572="",0,$H1572*설정!$C$23)</f>
        <v/>
      </c>
      <c r="Q1572" s="39">
        <f>IF($A1572="","",IF(O1572&lt;&gt;원인분석!$C$9,"",IF(AND(M1572&gt;=원인분석!$C$10,M1572&lt;=원인분석!$C$11),"당기",IF(AND(M1572&gt;=원인분석!$C$12,M1572&lt;=원인분석!$C$13),"비교",""))))</f>
        <v/>
      </c>
      <c r="R1572" s="9">
        <f>IF(Q1572="","",$K1572&amp;"")</f>
        <v/>
      </c>
      <c r="S1572" s="9">
        <f>IF(Q1572="","",IF(MATCH(R1572,$R$5:$R$100000,0)=ROW()-4,ROW(),""))</f>
        <v/>
      </c>
      <c r="T1572" s="9">
        <f>IF(Q1572="당기",ABS(P1572)+ROW()/1000000000,"")</f>
        <v/>
      </c>
      <c r="U1572" s="9">
        <f>IF(Q1572="비교",ABS(P1572)+ROW()/1000000000,"")</f>
        <v/>
      </c>
      <c r="V1572" s="39">
        <f>IF($A1572="","",IF(COUNTIF(변동분석!$E$7:$E$506,O1572)&gt;0,"Y","N"))</f>
        <v/>
      </c>
      <c r="W1572" s="39">
        <f>IF($A1572="","",IFERROR(INDEX(계정매핑!$D$5:$D$504,MATCH($F1572&amp;"",계정매핑!$A$5:$A$504,0)),"미매핑"))</f>
        <v/>
      </c>
      <c r="X1572" s="9">
        <f>IF($A1572="","",$F1572&amp;"")</f>
        <v/>
      </c>
    </row>
    <row r="1573">
      <c r="A1573" s="75" t="n">
        <v>2025</v>
      </c>
      <c r="B1573" s="75" t="n">
        <v>9</v>
      </c>
      <c r="C1573" s="75" t="inlineStr">
        <is>
          <t>5100001569</t>
        </is>
      </c>
      <c r="D1573" s="78" t="n">
        <v>45902</v>
      </c>
      <c r="E1573" s="75" t="inlineStr">
        <is>
          <t>KR</t>
        </is>
      </c>
      <c r="F1573" s="75" t="n">
        <v>62501000</v>
      </c>
      <c r="G1573" s="75" t="n">
        <v>1201</v>
      </c>
      <c r="H1573" s="76" t="n">
        <v>112000</v>
      </c>
      <c r="I1573" s="75" t="inlineStr">
        <is>
          <t>9월 회의 다과 - T케이터링</t>
        </is>
      </c>
      <c r="J1573" s="75" t="inlineStr">
        <is>
          <t>V10005</t>
        </is>
      </c>
      <c r="K1573" s="75" t="inlineStr">
        <is>
          <t>T케이터링</t>
        </is>
      </c>
      <c r="M1573" s="9">
        <f>IF($A1573="","",VALUE($A1573&amp;"")*12+VALUE($B1573&amp;""))</f>
        <v/>
      </c>
      <c r="N1573" s="39">
        <f>IF($A1573="","",IFERROR(INDEX(부서매핑!$C$5:$C$504,MATCH($G1573&amp;"",부서매핑!$A$5:$A$504,0)),"미매핑"))</f>
        <v/>
      </c>
      <c r="O1573" s="9">
        <f>IF($A1573="","",N1573&amp;"|"&amp;$F1573)</f>
        <v/>
      </c>
      <c r="P1573" s="77">
        <f>IF($A1573="",0,$H1573*설정!$C$23)</f>
        <v/>
      </c>
      <c r="Q1573" s="39">
        <f>IF($A1573="","",IF(O1573&lt;&gt;원인분석!$C$9,"",IF(AND(M1573&gt;=원인분석!$C$10,M1573&lt;=원인분석!$C$11),"당기",IF(AND(M1573&gt;=원인분석!$C$12,M1573&lt;=원인분석!$C$13),"비교",""))))</f>
        <v/>
      </c>
      <c r="R1573" s="9">
        <f>IF(Q1573="","",$K1573&amp;"")</f>
        <v/>
      </c>
      <c r="S1573" s="9">
        <f>IF(Q1573="","",IF(MATCH(R1573,$R$5:$R$100000,0)=ROW()-4,ROW(),""))</f>
        <v/>
      </c>
      <c r="T1573" s="9">
        <f>IF(Q1573="당기",ABS(P1573)+ROW()/1000000000,"")</f>
        <v/>
      </c>
      <c r="U1573" s="9">
        <f>IF(Q1573="비교",ABS(P1573)+ROW()/1000000000,"")</f>
        <v/>
      </c>
      <c r="V1573" s="39">
        <f>IF($A1573="","",IF(COUNTIF(변동분석!$E$7:$E$506,O1573)&gt;0,"Y","N"))</f>
        <v/>
      </c>
      <c r="W1573" s="39">
        <f>IF($A1573="","",IFERROR(INDEX(계정매핑!$D$5:$D$504,MATCH($F1573&amp;"",계정매핑!$A$5:$A$504,0)),"미매핑"))</f>
        <v/>
      </c>
      <c r="X1573" s="9">
        <f>IF($A1573="","",$F1573&amp;"")</f>
        <v/>
      </c>
    </row>
    <row r="1574">
      <c r="A1574" s="75" t="n">
        <v>2025</v>
      </c>
      <c r="B1574" s="75" t="n">
        <v>9</v>
      </c>
      <c r="C1574" s="75" t="inlineStr">
        <is>
          <t>5100001570</t>
        </is>
      </c>
      <c r="D1574" s="78" t="n">
        <v>45902</v>
      </c>
      <c r="E1574" s="75" t="inlineStr">
        <is>
          <t>KR</t>
        </is>
      </c>
      <c r="F1574" s="75" t="n">
        <v>62501000</v>
      </c>
      <c r="G1574" s="75" t="n">
        <v>1602</v>
      </c>
      <c r="H1574" s="76" t="n">
        <v>355000</v>
      </c>
      <c r="I1574" s="75" t="inlineStr">
        <is>
          <t>9월 회의 다과 - (법인카드)</t>
        </is>
      </c>
      <c r="J1574" s="75" t="inlineStr">
        <is>
          <t>V10008</t>
        </is>
      </c>
      <c r="K1574" s="75" t="inlineStr">
        <is>
          <t>(법인카드)</t>
        </is>
      </c>
      <c r="M1574" s="9">
        <f>IF($A1574="","",VALUE($A1574&amp;"")*12+VALUE($B1574&amp;""))</f>
        <v/>
      </c>
      <c r="N1574" s="39">
        <f>IF($A1574="","",IFERROR(INDEX(부서매핑!$C$5:$C$504,MATCH($G1574&amp;"",부서매핑!$A$5:$A$504,0)),"미매핑"))</f>
        <v/>
      </c>
      <c r="O1574" s="9">
        <f>IF($A1574="","",N1574&amp;"|"&amp;$F1574)</f>
        <v/>
      </c>
      <c r="P1574" s="77">
        <f>IF($A1574="",0,$H1574*설정!$C$23)</f>
        <v/>
      </c>
      <c r="Q1574" s="39">
        <f>IF($A1574="","",IF(O1574&lt;&gt;원인분석!$C$9,"",IF(AND(M1574&gt;=원인분석!$C$10,M1574&lt;=원인분석!$C$11),"당기",IF(AND(M1574&gt;=원인분석!$C$12,M1574&lt;=원인분석!$C$13),"비교",""))))</f>
        <v/>
      </c>
      <c r="R1574" s="9">
        <f>IF(Q1574="","",$K1574&amp;"")</f>
        <v/>
      </c>
      <c r="S1574" s="9">
        <f>IF(Q1574="","",IF(MATCH(R1574,$R$5:$R$100000,0)=ROW()-4,ROW(),""))</f>
        <v/>
      </c>
      <c r="T1574" s="9">
        <f>IF(Q1574="당기",ABS(P1574)+ROW()/1000000000,"")</f>
        <v/>
      </c>
      <c r="U1574" s="9">
        <f>IF(Q1574="비교",ABS(P1574)+ROW()/1000000000,"")</f>
        <v/>
      </c>
      <c r="V1574" s="39">
        <f>IF($A1574="","",IF(COUNTIF(변동분석!$E$7:$E$506,O1574)&gt;0,"Y","N"))</f>
        <v/>
      </c>
      <c r="W1574" s="39">
        <f>IF($A1574="","",IFERROR(INDEX(계정매핑!$D$5:$D$504,MATCH($F1574&amp;"",계정매핑!$A$5:$A$504,0)),"미매핑"))</f>
        <v/>
      </c>
      <c r="X1574" s="9">
        <f>IF($A1574="","",$F1574&amp;"")</f>
        <v/>
      </c>
    </row>
    <row r="1575">
      <c r="A1575" s="75" t="n">
        <v>2025</v>
      </c>
      <c r="B1575" s="75" t="n">
        <v>9</v>
      </c>
      <c r="C1575" s="75" t="inlineStr">
        <is>
          <t>5100001571</t>
        </is>
      </c>
      <c r="D1575" s="78" t="n">
        <v>45902</v>
      </c>
      <c r="E1575" s="75" t="inlineStr">
        <is>
          <t>KR</t>
        </is>
      </c>
      <c r="F1575" s="75" t="n">
        <v>62501000</v>
      </c>
      <c r="G1575" s="75" t="n">
        <v>1701</v>
      </c>
      <c r="H1575" s="76" t="n">
        <v>174000</v>
      </c>
      <c r="I1575" s="75" t="inlineStr">
        <is>
          <t>9월 회의 다과 - T케이터링</t>
        </is>
      </c>
      <c r="J1575" s="75" t="inlineStr">
        <is>
          <t>V10005</t>
        </is>
      </c>
      <c r="K1575" s="75" t="inlineStr">
        <is>
          <t>T케이터링</t>
        </is>
      </c>
      <c r="M1575" s="9">
        <f>IF($A1575="","",VALUE($A1575&amp;"")*12+VALUE($B1575&amp;""))</f>
        <v/>
      </c>
      <c r="N1575" s="39">
        <f>IF($A1575="","",IFERROR(INDEX(부서매핑!$C$5:$C$504,MATCH($G1575&amp;"",부서매핑!$A$5:$A$504,0)),"미매핑"))</f>
        <v/>
      </c>
      <c r="O1575" s="9">
        <f>IF($A1575="","",N1575&amp;"|"&amp;$F1575)</f>
        <v/>
      </c>
      <c r="P1575" s="77">
        <f>IF($A1575="",0,$H1575*설정!$C$23)</f>
        <v/>
      </c>
      <c r="Q1575" s="39">
        <f>IF($A1575="","",IF(O1575&lt;&gt;원인분석!$C$9,"",IF(AND(M1575&gt;=원인분석!$C$10,M1575&lt;=원인분석!$C$11),"당기",IF(AND(M1575&gt;=원인분석!$C$12,M1575&lt;=원인분석!$C$13),"비교",""))))</f>
        <v/>
      </c>
      <c r="R1575" s="9">
        <f>IF(Q1575="","",$K1575&amp;"")</f>
        <v/>
      </c>
      <c r="S1575" s="9">
        <f>IF(Q1575="","",IF(MATCH(R1575,$R$5:$R$100000,0)=ROW()-4,ROW(),""))</f>
        <v/>
      </c>
      <c r="T1575" s="9">
        <f>IF(Q1575="당기",ABS(P1575)+ROW()/1000000000,"")</f>
        <v/>
      </c>
      <c r="U1575" s="9">
        <f>IF(Q1575="비교",ABS(P1575)+ROW()/1000000000,"")</f>
        <v/>
      </c>
      <c r="V1575" s="39">
        <f>IF($A1575="","",IF(COUNTIF(변동분석!$E$7:$E$506,O1575)&gt;0,"Y","N"))</f>
        <v/>
      </c>
      <c r="W1575" s="39">
        <f>IF($A1575="","",IFERROR(INDEX(계정매핑!$D$5:$D$504,MATCH($F1575&amp;"",계정매핑!$A$5:$A$504,0)),"미매핑"))</f>
        <v/>
      </c>
      <c r="X1575" s="9">
        <f>IF($A1575="","",$F1575&amp;"")</f>
        <v/>
      </c>
    </row>
    <row r="1576">
      <c r="A1576" s="75" t="n">
        <v>2025</v>
      </c>
      <c r="B1576" s="75" t="n">
        <v>9</v>
      </c>
      <c r="C1576" s="75" t="inlineStr">
        <is>
          <t>5100001572</t>
        </is>
      </c>
      <c r="D1576" s="78" t="n">
        <v>45902</v>
      </c>
      <c r="E1576" s="75" t="inlineStr">
        <is>
          <t>KR</t>
        </is>
      </c>
      <c r="F1576" s="75" t="n">
        <v>62501000</v>
      </c>
      <c r="G1576" s="75" t="n">
        <v>1801</v>
      </c>
      <c r="H1576" s="76" t="n">
        <v>209000</v>
      </c>
      <c r="I1576" s="75" t="inlineStr">
        <is>
          <t>9월 회의 다과 - T케이터링</t>
        </is>
      </c>
      <c r="J1576" s="75" t="inlineStr">
        <is>
          <t>V10005</t>
        </is>
      </c>
      <c r="K1576" s="75" t="inlineStr">
        <is>
          <t>T케이터링</t>
        </is>
      </c>
      <c r="M1576" s="9">
        <f>IF($A1576="","",VALUE($A1576&amp;"")*12+VALUE($B1576&amp;""))</f>
        <v/>
      </c>
      <c r="N1576" s="39">
        <f>IF($A1576="","",IFERROR(INDEX(부서매핑!$C$5:$C$504,MATCH($G1576&amp;"",부서매핑!$A$5:$A$504,0)),"미매핑"))</f>
        <v/>
      </c>
      <c r="O1576" s="9">
        <f>IF($A1576="","",N1576&amp;"|"&amp;$F1576)</f>
        <v/>
      </c>
      <c r="P1576" s="77">
        <f>IF($A1576="",0,$H1576*설정!$C$23)</f>
        <v/>
      </c>
      <c r="Q1576" s="39">
        <f>IF($A1576="","",IF(O1576&lt;&gt;원인분석!$C$9,"",IF(AND(M1576&gt;=원인분석!$C$10,M1576&lt;=원인분석!$C$11),"당기",IF(AND(M1576&gt;=원인분석!$C$12,M1576&lt;=원인분석!$C$13),"비교",""))))</f>
        <v/>
      </c>
      <c r="R1576" s="9">
        <f>IF(Q1576="","",$K1576&amp;"")</f>
        <v/>
      </c>
      <c r="S1576" s="9">
        <f>IF(Q1576="","",IF(MATCH(R1576,$R$5:$R$100000,0)=ROW()-4,ROW(),""))</f>
        <v/>
      </c>
      <c r="T1576" s="9">
        <f>IF(Q1576="당기",ABS(P1576)+ROW()/1000000000,"")</f>
        <v/>
      </c>
      <c r="U1576" s="9">
        <f>IF(Q1576="비교",ABS(P1576)+ROW()/1000000000,"")</f>
        <v/>
      </c>
      <c r="V1576" s="39">
        <f>IF($A1576="","",IF(COUNTIF(변동분석!$E$7:$E$506,O1576)&gt;0,"Y","N"))</f>
        <v/>
      </c>
      <c r="W1576" s="39">
        <f>IF($A1576="","",IFERROR(INDEX(계정매핑!$D$5:$D$504,MATCH($F1576&amp;"",계정매핑!$A$5:$A$504,0)),"미매핑"))</f>
        <v/>
      </c>
      <c r="X1576" s="9">
        <f>IF($A1576="","",$F1576&amp;"")</f>
        <v/>
      </c>
    </row>
    <row r="1577">
      <c r="A1577" s="75" t="n">
        <v>2025</v>
      </c>
      <c r="B1577" s="75" t="n">
        <v>9</v>
      </c>
      <c r="C1577" s="75" t="inlineStr">
        <is>
          <t>5100001573</t>
        </is>
      </c>
      <c r="D1577" s="78" t="n">
        <v>45902</v>
      </c>
      <c r="E1577" s="75" t="inlineStr">
        <is>
          <t>KR</t>
        </is>
      </c>
      <c r="F1577" s="75" t="n">
        <v>62901000</v>
      </c>
      <c r="G1577" s="75" t="n">
        <v>1201</v>
      </c>
      <c r="H1577" s="76" t="n">
        <v>2839000</v>
      </c>
      <c r="I1577" s="75" t="inlineStr">
        <is>
          <t>9월 자문 수수료 - K회계법인</t>
        </is>
      </c>
      <c r="J1577" s="75" t="inlineStr">
        <is>
          <t>V10010</t>
        </is>
      </c>
      <c r="K1577" s="75" t="inlineStr">
        <is>
          <t>K회계법인</t>
        </is>
      </c>
      <c r="M1577" s="9">
        <f>IF($A1577="","",VALUE($A1577&amp;"")*12+VALUE($B1577&amp;""))</f>
        <v/>
      </c>
      <c r="N1577" s="39">
        <f>IF($A1577="","",IFERROR(INDEX(부서매핑!$C$5:$C$504,MATCH($G1577&amp;"",부서매핑!$A$5:$A$504,0)),"미매핑"))</f>
        <v/>
      </c>
      <c r="O1577" s="9">
        <f>IF($A1577="","",N1577&amp;"|"&amp;$F1577)</f>
        <v/>
      </c>
      <c r="P1577" s="77">
        <f>IF($A1577="",0,$H1577*설정!$C$23)</f>
        <v/>
      </c>
      <c r="Q1577" s="39">
        <f>IF($A1577="","",IF(O1577&lt;&gt;원인분석!$C$9,"",IF(AND(M1577&gt;=원인분석!$C$10,M1577&lt;=원인분석!$C$11),"당기",IF(AND(M1577&gt;=원인분석!$C$12,M1577&lt;=원인분석!$C$13),"비교",""))))</f>
        <v/>
      </c>
      <c r="R1577" s="9">
        <f>IF(Q1577="","",$K1577&amp;"")</f>
        <v/>
      </c>
      <c r="S1577" s="9">
        <f>IF(Q1577="","",IF(MATCH(R1577,$R$5:$R$100000,0)=ROW()-4,ROW(),""))</f>
        <v/>
      </c>
      <c r="T1577" s="9">
        <f>IF(Q1577="당기",ABS(P1577)+ROW()/1000000000,"")</f>
        <v/>
      </c>
      <c r="U1577" s="9">
        <f>IF(Q1577="비교",ABS(P1577)+ROW()/1000000000,"")</f>
        <v/>
      </c>
      <c r="V1577" s="39">
        <f>IF($A1577="","",IF(COUNTIF(변동분석!$E$7:$E$506,O1577)&gt;0,"Y","N"))</f>
        <v/>
      </c>
      <c r="W1577" s="39">
        <f>IF($A1577="","",IFERROR(INDEX(계정매핑!$D$5:$D$504,MATCH($F1577&amp;"",계정매핑!$A$5:$A$504,0)),"미매핑"))</f>
        <v/>
      </c>
      <c r="X1577" s="9">
        <f>IF($A1577="","",$F1577&amp;"")</f>
        <v/>
      </c>
    </row>
    <row r="1578">
      <c r="A1578" s="75" t="n">
        <v>2025</v>
      </c>
      <c r="B1578" s="75" t="n">
        <v>9</v>
      </c>
      <c r="C1578" s="75" t="inlineStr">
        <is>
          <t>5100001574</t>
        </is>
      </c>
      <c r="D1578" s="78" t="n">
        <v>45902</v>
      </c>
      <c r="E1578" s="75" t="inlineStr">
        <is>
          <t>KR</t>
        </is>
      </c>
      <c r="F1578" s="75" t="n">
        <v>62902000</v>
      </c>
      <c r="G1578" s="75" t="n">
        <v>1401</v>
      </c>
      <c r="H1578" s="76" t="n">
        <v>3521000</v>
      </c>
      <c r="I1578" s="75" t="inlineStr">
        <is>
          <t>9월 업무 위탁 수수료 - J콜센터</t>
        </is>
      </c>
      <c r="J1578" s="75" t="inlineStr">
        <is>
          <t>V10013</t>
        </is>
      </c>
      <c r="K1578" s="75" t="inlineStr">
        <is>
          <t>J콜센터</t>
        </is>
      </c>
      <c r="M1578" s="9">
        <f>IF($A1578="","",VALUE($A1578&amp;"")*12+VALUE($B1578&amp;""))</f>
        <v/>
      </c>
      <c r="N1578" s="39">
        <f>IF($A1578="","",IFERROR(INDEX(부서매핑!$C$5:$C$504,MATCH($G1578&amp;"",부서매핑!$A$5:$A$504,0)),"미매핑"))</f>
        <v/>
      </c>
      <c r="O1578" s="9">
        <f>IF($A1578="","",N1578&amp;"|"&amp;$F1578)</f>
        <v/>
      </c>
      <c r="P1578" s="77">
        <f>IF($A1578="",0,$H1578*설정!$C$23)</f>
        <v/>
      </c>
      <c r="Q1578" s="39">
        <f>IF($A1578="","",IF(O1578&lt;&gt;원인분석!$C$9,"",IF(AND(M1578&gt;=원인분석!$C$10,M1578&lt;=원인분석!$C$11),"당기",IF(AND(M1578&gt;=원인분석!$C$12,M1578&lt;=원인분석!$C$13),"비교",""))))</f>
        <v/>
      </c>
      <c r="R1578" s="9">
        <f>IF(Q1578="","",$K1578&amp;"")</f>
        <v/>
      </c>
      <c r="S1578" s="9">
        <f>IF(Q1578="","",IF(MATCH(R1578,$R$5:$R$100000,0)=ROW()-4,ROW(),""))</f>
        <v/>
      </c>
      <c r="T1578" s="9">
        <f>IF(Q1578="당기",ABS(P1578)+ROW()/1000000000,"")</f>
        <v/>
      </c>
      <c r="U1578" s="9">
        <f>IF(Q1578="비교",ABS(P1578)+ROW()/1000000000,"")</f>
        <v/>
      </c>
      <c r="V1578" s="39">
        <f>IF($A1578="","",IF(COUNTIF(변동분석!$E$7:$E$506,O1578)&gt;0,"Y","N"))</f>
        <v/>
      </c>
      <c r="W1578" s="39">
        <f>IF($A1578="","",IFERROR(INDEX(계정매핑!$D$5:$D$504,MATCH($F1578&amp;"",계정매핑!$A$5:$A$504,0)),"미매핑"))</f>
        <v/>
      </c>
      <c r="X1578" s="9">
        <f>IF($A1578="","",$F1578&amp;"")</f>
        <v/>
      </c>
    </row>
    <row r="1579">
      <c r="A1579" s="75" t="n">
        <v>2025</v>
      </c>
      <c r="B1579" s="75" t="n">
        <v>9</v>
      </c>
      <c r="C1579" s="75" t="inlineStr">
        <is>
          <t>5100001575</t>
        </is>
      </c>
      <c r="D1579" s="78" t="n">
        <v>45903</v>
      </c>
      <c r="E1579" s="75" t="inlineStr">
        <is>
          <t>KR</t>
        </is>
      </c>
      <c r="F1579" s="75" t="n">
        <v>62201000</v>
      </c>
      <c r="G1579" s="75" t="n">
        <v>1801</v>
      </c>
      <c r="H1579" s="76" t="n">
        <v>3917000</v>
      </c>
      <c r="I1579" s="75" t="inlineStr">
        <is>
          <t>9월 통신요금 - P통신</t>
        </is>
      </c>
      <c r="J1579" s="75" t="inlineStr">
        <is>
          <t>V10011</t>
        </is>
      </c>
      <c r="K1579" s="75" t="inlineStr">
        <is>
          <t>P통신</t>
        </is>
      </c>
      <c r="M1579" s="9">
        <f>IF($A1579="","",VALUE($A1579&amp;"")*12+VALUE($B1579&amp;""))</f>
        <v/>
      </c>
      <c r="N1579" s="39">
        <f>IF($A1579="","",IFERROR(INDEX(부서매핑!$C$5:$C$504,MATCH($G1579&amp;"",부서매핑!$A$5:$A$504,0)),"미매핑"))</f>
        <v/>
      </c>
      <c r="O1579" s="9">
        <f>IF($A1579="","",N1579&amp;"|"&amp;$F1579)</f>
        <v/>
      </c>
      <c r="P1579" s="77">
        <f>IF($A1579="",0,$H1579*설정!$C$23)</f>
        <v/>
      </c>
      <c r="Q1579" s="39">
        <f>IF($A1579="","",IF(O1579&lt;&gt;원인분석!$C$9,"",IF(AND(M1579&gt;=원인분석!$C$10,M1579&lt;=원인분석!$C$11),"당기",IF(AND(M1579&gt;=원인분석!$C$12,M1579&lt;=원인분석!$C$13),"비교",""))))</f>
        <v/>
      </c>
      <c r="R1579" s="9">
        <f>IF(Q1579="","",$K1579&amp;"")</f>
        <v/>
      </c>
      <c r="S1579" s="9">
        <f>IF(Q1579="","",IF(MATCH(R1579,$R$5:$R$100000,0)=ROW()-4,ROW(),""))</f>
        <v/>
      </c>
      <c r="T1579" s="9">
        <f>IF(Q1579="당기",ABS(P1579)+ROW()/1000000000,"")</f>
        <v/>
      </c>
      <c r="U1579" s="9">
        <f>IF(Q1579="비교",ABS(P1579)+ROW()/1000000000,"")</f>
        <v/>
      </c>
      <c r="V1579" s="39">
        <f>IF($A1579="","",IF(COUNTIF(변동분석!$E$7:$E$506,O1579)&gt;0,"Y","N"))</f>
        <v/>
      </c>
      <c r="W1579" s="39">
        <f>IF($A1579="","",IFERROR(INDEX(계정매핑!$D$5:$D$504,MATCH($F1579&amp;"",계정매핑!$A$5:$A$504,0)),"미매핑"))</f>
        <v/>
      </c>
      <c r="X1579" s="9">
        <f>IF($A1579="","",$F1579&amp;"")</f>
        <v/>
      </c>
    </row>
    <row r="1580">
      <c r="A1580" s="75" t="n">
        <v>2025</v>
      </c>
      <c r="B1580" s="75" t="n">
        <v>9</v>
      </c>
      <c r="C1580" s="75" t="inlineStr">
        <is>
          <t>5100001576</t>
        </is>
      </c>
      <c r="D1580" s="78" t="n">
        <v>45903</v>
      </c>
      <c r="E1580" s="75" t="inlineStr">
        <is>
          <t>KR</t>
        </is>
      </c>
      <c r="F1580" s="75" t="n">
        <v>62301000</v>
      </c>
      <c r="G1580" s="75" t="n">
        <v>1301</v>
      </c>
      <c r="H1580" s="76" t="n">
        <v>370000</v>
      </c>
      <c r="I1580" s="75" t="inlineStr">
        <is>
          <t>9월 소모품 구입 - R문구</t>
        </is>
      </c>
      <c r="J1580" s="75" t="inlineStr">
        <is>
          <t>V10018</t>
        </is>
      </c>
      <c r="K1580" s="75" t="inlineStr">
        <is>
          <t>R문구</t>
        </is>
      </c>
      <c r="M1580" s="9">
        <f>IF($A1580="","",VALUE($A1580&amp;"")*12+VALUE($B1580&amp;""))</f>
        <v/>
      </c>
      <c r="N1580" s="39">
        <f>IF($A1580="","",IFERROR(INDEX(부서매핑!$C$5:$C$504,MATCH($G1580&amp;"",부서매핑!$A$5:$A$504,0)),"미매핑"))</f>
        <v/>
      </c>
      <c r="O1580" s="9">
        <f>IF($A1580="","",N1580&amp;"|"&amp;$F1580)</f>
        <v/>
      </c>
      <c r="P1580" s="77">
        <f>IF($A1580="",0,$H1580*설정!$C$23)</f>
        <v/>
      </c>
      <c r="Q1580" s="39">
        <f>IF($A1580="","",IF(O1580&lt;&gt;원인분석!$C$9,"",IF(AND(M1580&gt;=원인분석!$C$10,M1580&lt;=원인분석!$C$11),"당기",IF(AND(M1580&gt;=원인분석!$C$12,M1580&lt;=원인분석!$C$13),"비교",""))))</f>
        <v/>
      </c>
      <c r="R1580" s="9">
        <f>IF(Q1580="","",$K1580&amp;"")</f>
        <v/>
      </c>
      <c r="S1580" s="9">
        <f>IF(Q1580="","",IF(MATCH(R1580,$R$5:$R$100000,0)=ROW()-4,ROW(),""))</f>
        <v/>
      </c>
      <c r="T1580" s="9">
        <f>IF(Q1580="당기",ABS(P1580)+ROW()/1000000000,"")</f>
        <v/>
      </c>
      <c r="U1580" s="9">
        <f>IF(Q1580="비교",ABS(P1580)+ROW()/1000000000,"")</f>
        <v/>
      </c>
      <c r="V1580" s="39">
        <f>IF($A1580="","",IF(COUNTIF(변동분석!$E$7:$E$506,O1580)&gt;0,"Y","N"))</f>
        <v/>
      </c>
      <c r="W1580" s="39">
        <f>IF($A1580="","",IFERROR(INDEX(계정매핑!$D$5:$D$504,MATCH($F1580&amp;"",계정매핑!$A$5:$A$504,0)),"미매핑"))</f>
        <v/>
      </c>
      <c r="X1580" s="9">
        <f>IF($A1580="","",$F1580&amp;"")</f>
        <v/>
      </c>
    </row>
    <row r="1581">
      <c r="A1581" s="75" t="n">
        <v>2025</v>
      </c>
      <c r="B1581" s="75" t="n">
        <v>9</v>
      </c>
      <c r="C1581" s="75" t="inlineStr">
        <is>
          <t>5100001577</t>
        </is>
      </c>
      <c r="D1581" s="78" t="n">
        <v>45903</v>
      </c>
      <c r="E1581" s="75" t="inlineStr">
        <is>
          <t>KR</t>
        </is>
      </c>
      <c r="F1581" s="75" t="n">
        <v>62501000</v>
      </c>
      <c r="G1581" s="75" t="n">
        <v>1101</v>
      </c>
      <c r="H1581" s="76" t="n">
        <v>259000</v>
      </c>
      <c r="I1581" s="75" t="inlineStr">
        <is>
          <t>9월 회의 다과 - (법인카드)</t>
        </is>
      </c>
      <c r="J1581" s="75" t="inlineStr">
        <is>
          <t>V10008</t>
        </is>
      </c>
      <c r="K1581" s="75" t="inlineStr">
        <is>
          <t>(법인카드)</t>
        </is>
      </c>
      <c r="M1581" s="9">
        <f>IF($A1581="","",VALUE($A1581&amp;"")*12+VALUE($B1581&amp;""))</f>
        <v/>
      </c>
      <c r="N1581" s="39">
        <f>IF($A1581="","",IFERROR(INDEX(부서매핑!$C$5:$C$504,MATCH($G1581&amp;"",부서매핑!$A$5:$A$504,0)),"미매핑"))</f>
        <v/>
      </c>
      <c r="O1581" s="9">
        <f>IF($A1581="","",N1581&amp;"|"&amp;$F1581)</f>
        <v/>
      </c>
      <c r="P1581" s="77">
        <f>IF($A1581="",0,$H1581*설정!$C$23)</f>
        <v/>
      </c>
      <c r="Q1581" s="39">
        <f>IF($A1581="","",IF(O1581&lt;&gt;원인분석!$C$9,"",IF(AND(M1581&gt;=원인분석!$C$10,M1581&lt;=원인분석!$C$11),"당기",IF(AND(M1581&gt;=원인분석!$C$12,M1581&lt;=원인분석!$C$13),"비교",""))))</f>
        <v/>
      </c>
      <c r="R1581" s="9">
        <f>IF(Q1581="","",$K1581&amp;"")</f>
        <v/>
      </c>
      <c r="S1581" s="9">
        <f>IF(Q1581="","",IF(MATCH(R1581,$R$5:$R$100000,0)=ROW()-4,ROW(),""))</f>
        <v/>
      </c>
      <c r="T1581" s="9">
        <f>IF(Q1581="당기",ABS(P1581)+ROW()/1000000000,"")</f>
        <v/>
      </c>
      <c r="U1581" s="9">
        <f>IF(Q1581="비교",ABS(P1581)+ROW()/1000000000,"")</f>
        <v/>
      </c>
      <c r="V1581" s="39">
        <f>IF($A1581="","",IF(COUNTIF(변동분석!$E$7:$E$506,O1581)&gt;0,"Y","N"))</f>
        <v/>
      </c>
      <c r="W1581" s="39">
        <f>IF($A1581="","",IFERROR(INDEX(계정매핑!$D$5:$D$504,MATCH($F1581&amp;"",계정매핑!$A$5:$A$504,0)),"미매핑"))</f>
        <v/>
      </c>
      <c r="X1581" s="9">
        <f>IF($A1581="","",$F1581&amp;"")</f>
        <v/>
      </c>
    </row>
    <row r="1582">
      <c r="A1582" s="75" t="n">
        <v>2025</v>
      </c>
      <c r="B1582" s="75" t="n">
        <v>9</v>
      </c>
      <c r="C1582" s="75" t="inlineStr">
        <is>
          <t>5100001578</t>
        </is>
      </c>
      <c r="D1582" s="78" t="n">
        <v>45903</v>
      </c>
      <c r="E1582" s="75" t="inlineStr">
        <is>
          <t>KR</t>
        </is>
      </c>
      <c r="F1582" s="75" t="n">
        <v>62601000</v>
      </c>
      <c r="G1582" s="75" t="n">
        <v>1601</v>
      </c>
      <c r="H1582" s="76" t="n">
        <v>2994000</v>
      </c>
      <c r="I1582" s="75" t="inlineStr">
        <is>
          <t>9월 업무추진 - (법인카드)</t>
        </is>
      </c>
      <c r="J1582" s="75" t="inlineStr">
        <is>
          <t>V10008</t>
        </is>
      </c>
      <c r="K1582" s="75" t="inlineStr">
        <is>
          <t>(법인카드)</t>
        </is>
      </c>
      <c r="M1582" s="9">
        <f>IF($A1582="","",VALUE($A1582&amp;"")*12+VALUE($B1582&amp;""))</f>
        <v/>
      </c>
      <c r="N1582" s="39">
        <f>IF($A1582="","",IFERROR(INDEX(부서매핑!$C$5:$C$504,MATCH($G1582&amp;"",부서매핑!$A$5:$A$504,0)),"미매핑"))</f>
        <v/>
      </c>
      <c r="O1582" s="9">
        <f>IF($A1582="","",N1582&amp;"|"&amp;$F1582)</f>
        <v/>
      </c>
      <c r="P1582" s="77">
        <f>IF($A1582="",0,$H1582*설정!$C$23)</f>
        <v/>
      </c>
      <c r="Q1582" s="39">
        <f>IF($A1582="","",IF(O1582&lt;&gt;원인분석!$C$9,"",IF(AND(M1582&gt;=원인분석!$C$10,M1582&lt;=원인분석!$C$11),"당기",IF(AND(M1582&gt;=원인분석!$C$12,M1582&lt;=원인분석!$C$13),"비교",""))))</f>
        <v/>
      </c>
      <c r="R1582" s="9">
        <f>IF(Q1582="","",$K1582&amp;"")</f>
        <v/>
      </c>
      <c r="S1582" s="9">
        <f>IF(Q1582="","",IF(MATCH(R1582,$R$5:$R$100000,0)=ROW()-4,ROW(),""))</f>
        <v/>
      </c>
      <c r="T1582" s="9">
        <f>IF(Q1582="당기",ABS(P1582)+ROW()/1000000000,"")</f>
        <v/>
      </c>
      <c r="U1582" s="9">
        <f>IF(Q1582="비교",ABS(P1582)+ROW()/1000000000,"")</f>
        <v/>
      </c>
      <c r="V1582" s="39">
        <f>IF($A1582="","",IF(COUNTIF(변동분석!$E$7:$E$506,O1582)&gt;0,"Y","N"))</f>
        <v/>
      </c>
      <c r="W1582" s="39">
        <f>IF($A1582="","",IFERROR(INDEX(계정매핑!$D$5:$D$504,MATCH($F1582&amp;"",계정매핑!$A$5:$A$504,0)),"미매핑"))</f>
        <v/>
      </c>
      <c r="X1582" s="9">
        <f>IF($A1582="","",$F1582&amp;"")</f>
        <v/>
      </c>
    </row>
    <row r="1583">
      <c r="A1583" s="75" t="n">
        <v>2025</v>
      </c>
      <c r="B1583" s="75" t="n">
        <v>9</v>
      </c>
      <c r="C1583" s="75" t="inlineStr">
        <is>
          <t>5100001579</t>
        </is>
      </c>
      <c r="D1583" s="78" t="n">
        <v>45903</v>
      </c>
      <c r="E1583" s="75" t="inlineStr">
        <is>
          <t>KR</t>
        </is>
      </c>
      <c r="F1583" s="75" t="n">
        <v>62902000</v>
      </c>
      <c r="G1583" s="75" t="n">
        <v>1101</v>
      </c>
      <c r="H1583" s="76" t="n">
        <v>2434000</v>
      </c>
      <c r="I1583" s="75" t="inlineStr">
        <is>
          <t>9월 업무 위탁 수수료 - X서비스</t>
        </is>
      </c>
      <c r="J1583" s="75" t="inlineStr">
        <is>
          <t>V10016</t>
        </is>
      </c>
      <c r="K1583" s="75" t="inlineStr">
        <is>
          <t>X서비스</t>
        </is>
      </c>
      <c r="M1583" s="9">
        <f>IF($A1583="","",VALUE($A1583&amp;"")*12+VALUE($B1583&amp;""))</f>
        <v/>
      </c>
      <c r="N1583" s="39">
        <f>IF($A1583="","",IFERROR(INDEX(부서매핑!$C$5:$C$504,MATCH($G1583&amp;"",부서매핑!$A$5:$A$504,0)),"미매핑"))</f>
        <v/>
      </c>
      <c r="O1583" s="9">
        <f>IF($A1583="","",N1583&amp;"|"&amp;$F1583)</f>
        <v/>
      </c>
      <c r="P1583" s="77">
        <f>IF($A1583="",0,$H1583*설정!$C$23)</f>
        <v/>
      </c>
      <c r="Q1583" s="39">
        <f>IF($A1583="","",IF(O1583&lt;&gt;원인분석!$C$9,"",IF(AND(M1583&gt;=원인분석!$C$10,M1583&lt;=원인분석!$C$11),"당기",IF(AND(M1583&gt;=원인분석!$C$12,M1583&lt;=원인분석!$C$13),"비교",""))))</f>
        <v/>
      </c>
      <c r="R1583" s="9">
        <f>IF(Q1583="","",$K1583&amp;"")</f>
        <v/>
      </c>
      <c r="S1583" s="9">
        <f>IF(Q1583="","",IF(MATCH(R1583,$R$5:$R$100000,0)=ROW()-4,ROW(),""))</f>
        <v/>
      </c>
      <c r="T1583" s="9">
        <f>IF(Q1583="당기",ABS(P1583)+ROW()/1000000000,"")</f>
        <v/>
      </c>
      <c r="U1583" s="9">
        <f>IF(Q1583="비교",ABS(P1583)+ROW()/1000000000,"")</f>
        <v/>
      </c>
      <c r="V1583" s="39">
        <f>IF($A1583="","",IF(COUNTIF(변동분석!$E$7:$E$506,O1583)&gt;0,"Y","N"))</f>
        <v/>
      </c>
      <c r="W1583" s="39">
        <f>IF($A1583="","",IFERROR(INDEX(계정매핑!$D$5:$D$504,MATCH($F1583&amp;"",계정매핑!$A$5:$A$504,0)),"미매핑"))</f>
        <v/>
      </c>
      <c r="X1583" s="9">
        <f>IF($A1583="","",$F1583&amp;"")</f>
        <v/>
      </c>
    </row>
    <row r="1584">
      <c r="A1584" s="75" t="n">
        <v>2025</v>
      </c>
      <c r="B1584" s="75" t="n">
        <v>9</v>
      </c>
      <c r="C1584" s="75" t="inlineStr">
        <is>
          <t>5100001580</t>
        </is>
      </c>
      <c r="D1584" s="78" t="n">
        <v>45904</v>
      </c>
      <c r="E1584" s="75" t="inlineStr">
        <is>
          <t>KR</t>
        </is>
      </c>
      <c r="F1584" s="75" t="n">
        <v>62101000</v>
      </c>
      <c r="G1584" s="75" t="n">
        <v>1801</v>
      </c>
      <c r="H1584" s="76" t="n">
        <v>179000</v>
      </c>
      <c r="I1584" s="75" t="inlineStr">
        <is>
          <t>9월 국내출장 - L여행사</t>
        </is>
      </c>
      <c r="J1584" s="75" t="inlineStr">
        <is>
          <t>V10014</t>
        </is>
      </c>
      <c r="K1584" s="75" t="inlineStr">
        <is>
          <t>L여행사</t>
        </is>
      </c>
      <c r="M1584" s="9">
        <f>IF($A1584="","",VALUE($A1584&amp;"")*12+VALUE($B1584&amp;""))</f>
        <v/>
      </c>
      <c r="N1584" s="39">
        <f>IF($A1584="","",IFERROR(INDEX(부서매핑!$C$5:$C$504,MATCH($G1584&amp;"",부서매핑!$A$5:$A$504,0)),"미매핑"))</f>
        <v/>
      </c>
      <c r="O1584" s="9">
        <f>IF($A1584="","",N1584&amp;"|"&amp;$F1584)</f>
        <v/>
      </c>
      <c r="P1584" s="77">
        <f>IF($A1584="",0,$H1584*설정!$C$23)</f>
        <v/>
      </c>
      <c r="Q1584" s="39">
        <f>IF($A1584="","",IF(O1584&lt;&gt;원인분석!$C$9,"",IF(AND(M1584&gt;=원인분석!$C$10,M1584&lt;=원인분석!$C$11),"당기",IF(AND(M1584&gt;=원인분석!$C$12,M1584&lt;=원인분석!$C$13),"비교",""))))</f>
        <v/>
      </c>
      <c r="R1584" s="9">
        <f>IF(Q1584="","",$K1584&amp;"")</f>
        <v/>
      </c>
      <c r="S1584" s="9">
        <f>IF(Q1584="","",IF(MATCH(R1584,$R$5:$R$100000,0)=ROW()-4,ROW(),""))</f>
        <v/>
      </c>
      <c r="T1584" s="9">
        <f>IF(Q1584="당기",ABS(P1584)+ROW()/1000000000,"")</f>
        <v/>
      </c>
      <c r="U1584" s="9">
        <f>IF(Q1584="비교",ABS(P1584)+ROW()/1000000000,"")</f>
        <v/>
      </c>
      <c r="V1584" s="39">
        <f>IF($A1584="","",IF(COUNTIF(변동분석!$E$7:$E$506,O1584)&gt;0,"Y","N"))</f>
        <v/>
      </c>
      <c r="W1584" s="39">
        <f>IF($A1584="","",IFERROR(INDEX(계정매핑!$D$5:$D$504,MATCH($F1584&amp;"",계정매핑!$A$5:$A$504,0)),"미매핑"))</f>
        <v/>
      </c>
      <c r="X1584" s="9">
        <f>IF($A1584="","",$F1584&amp;"")</f>
        <v/>
      </c>
    </row>
    <row r="1585">
      <c r="A1585" s="75" t="n">
        <v>2025</v>
      </c>
      <c r="B1585" s="75" t="n">
        <v>9</v>
      </c>
      <c r="C1585" s="75" t="inlineStr">
        <is>
          <t>5100001581</t>
        </is>
      </c>
      <c r="D1585" s="78" t="n">
        <v>45904</v>
      </c>
      <c r="E1585" s="75" t="inlineStr">
        <is>
          <t>KR</t>
        </is>
      </c>
      <c r="F1585" s="75" t="n">
        <v>62101000</v>
      </c>
      <c r="G1585" s="75" t="n">
        <v>1801</v>
      </c>
      <c r="H1585" s="76" t="n">
        <v>203000</v>
      </c>
      <c r="I1585" s="75" t="inlineStr">
        <is>
          <t>9월 국내출장 - M항공</t>
        </is>
      </c>
      <c r="J1585" s="75" t="inlineStr">
        <is>
          <t>V10001</t>
        </is>
      </c>
      <c r="K1585" s="75" t="inlineStr">
        <is>
          <t>M항공</t>
        </is>
      </c>
      <c r="M1585" s="9">
        <f>IF($A1585="","",VALUE($A1585&amp;"")*12+VALUE($B1585&amp;""))</f>
        <v/>
      </c>
      <c r="N1585" s="39">
        <f>IF($A1585="","",IFERROR(INDEX(부서매핑!$C$5:$C$504,MATCH($G1585&amp;"",부서매핑!$A$5:$A$504,0)),"미매핑"))</f>
        <v/>
      </c>
      <c r="O1585" s="9">
        <f>IF($A1585="","",N1585&amp;"|"&amp;$F1585)</f>
        <v/>
      </c>
      <c r="P1585" s="77">
        <f>IF($A1585="",0,$H1585*설정!$C$23)</f>
        <v/>
      </c>
      <c r="Q1585" s="39">
        <f>IF($A1585="","",IF(O1585&lt;&gt;원인분석!$C$9,"",IF(AND(M1585&gt;=원인분석!$C$10,M1585&lt;=원인분석!$C$11),"당기",IF(AND(M1585&gt;=원인분석!$C$12,M1585&lt;=원인분석!$C$13),"비교",""))))</f>
        <v/>
      </c>
      <c r="R1585" s="9">
        <f>IF(Q1585="","",$K1585&amp;"")</f>
        <v/>
      </c>
      <c r="S1585" s="9">
        <f>IF(Q1585="","",IF(MATCH(R1585,$R$5:$R$100000,0)=ROW()-4,ROW(),""))</f>
        <v/>
      </c>
      <c r="T1585" s="9">
        <f>IF(Q1585="당기",ABS(P1585)+ROW()/1000000000,"")</f>
        <v/>
      </c>
      <c r="U1585" s="9">
        <f>IF(Q1585="비교",ABS(P1585)+ROW()/1000000000,"")</f>
        <v/>
      </c>
      <c r="V1585" s="39">
        <f>IF($A1585="","",IF(COUNTIF(변동분석!$E$7:$E$506,O1585)&gt;0,"Y","N"))</f>
        <v/>
      </c>
      <c r="W1585" s="39">
        <f>IF($A1585="","",IFERROR(INDEX(계정매핑!$D$5:$D$504,MATCH($F1585&amp;"",계정매핑!$A$5:$A$504,0)),"미매핑"))</f>
        <v/>
      </c>
      <c r="X1585" s="9">
        <f>IF($A1585="","",$F1585&amp;"")</f>
        <v/>
      </c>
    </row>
    <row r="1586">
      <c r="A1586" s="75" t="n">
        <v>2025</v>
      </c>
      <c r="B1586" s="75" t="n">
        <v>9</v>
      </c>
      <c r="C1586" s="75" t="inlineStr">
        <is>
          <t>5100001582</t>
        </is>
      </c>
      <c r="D1586" s="78" t="n">
        <v>45904</v>
      </c>
      <c r="E1586" s="75" t="inlineStr">
        <is>
          <t>KR</t>
        </is>
      </c>
      <c r="F1586" s="75" t="n">
        <v>62201000</v>
      </c>
      <c r="G1586" s="75" t="n">
        <v>1101</v>
      </c>
      <c r="H1586" s="76" t="n">
        <v>261000</v>
      </c>
      <c r="I1586" s="75" t="inlineStr">
        <is>
          <t>9월 통신요금 - O텔레콤</t>
        </is>
      </c>
      <c r="J1586" s="75" t="inlineStr">
        <is>
          <t>V10002</t>
        </is>
      </c>
      <c r="K1586" s="75" t="inlineStr">
        <is>
          <t>O텔레콤</t>
        </is>
      </c>
      <c r="M1586" s="9">
        <f>IF($A1586="","",VALUE($A1586&amp;"")*12+VALUE($B1586&amp;""))</f>
        <v/>
      </c>
      <c r="N1586" s="39">
        <f>IF($A1586="","",IFERROR(INDEX(부서매핑!$C$5:$C$504,MATCH($G1586&amp;"",부서매핑!$A$5:$A$504,0)),"미매핑"))</f>
        <v/>
      </c>
      <c r="O1586" s="9">
        <f>IF($A1586="","",N1586&amp;"|"&amp;$F1586)</f>
        <v/>
      </c>
      <c r="P1586" s="77">
        <f>IF($A1586="",0,$H1586*설정!$C$23)</f>
        <v/>
      </c>
      <c r="Q1586" s="39">
        <f>IF($A1586="","",IF(O1586&lt;&gt;원인분석!$C$9,"",IF(AND(M1586&gt;=원인분석!$C$10,M1586&lt;=원인분석!$C$11),"당기",IF(AND(M1586&gt;=원인분석!$C$12,M1586&lt;=원인분석!$C$13),"비교",""))))</f>
        <v/>
      </c>
      <c r="R1586" s="9">
        <f>IF(Q1586="","",$K1586&amp;"")</f>
        <v/>
      </c>
      <c r="S1586" s="9">
        <f>IF(Q1586="","",IF(MATCH(R1586,$R$5:$R$100000,0)=ROW()-4,ROW(),""))</f>
        <v/>
      </c>
      <c r="T1586" s="9">
        <f>IF(Q1586="당기",ABS(P1586)+ROW()/1000000000,"")</f>
        <v/>
      </c>
      <c r="U1586" s="9">
        <f>IF(Q1586="비교",ABS(P1586)+ROW()/1000000000,"")</f>
        <v/>
      </c>
      <c r="V1586" s="39">
        <f>IF($A1586="","",IF(COUNTIF(변동분석!$E$7:$E$506,O1586)&gt;0,"Y","N"))</f>
        <v/>
      </c>
      <c r="W1586" s="39">
        <f>IF($A1586="","",IFERROR(INDEX(계정매핑!$D$5:$D$504,MATCH($F1586&amp;"",계정매핑!$A$5:$A$504,0)),"미매핑"))</f>
        <v/>
      </c>
      <c r="X1586" s="9">
        <f>IF($A1586="","",$F1586&amp;"")</f>
        <v/>
      </c>
    </row>
    <row r="1587">
      <c r="A1587" s="75" t="n">
        <v>2025</v>
      </c>
      <c r="B1587" s="75" t="n">
        <v>9</v>
      </c>
      <c r="C1587" s="75" t="inlineStr">
        <is>
          <t>5100001583</t>
        </is>
      </c>
      <c r="D1587" s="78" t="n">
        <v>45904</v>
      </c>
      <c r="E1587" s="75" t="inlineStr">
        <is>
          <t>KR</t>
        </is>
      </c>
      <c r="F1587" s="75" t="n">
        <v>62201000</v>
      </c>
      <c r="G1587" s="75" t="n">
        <v>1602</v>
      </c>
      <c r="H1587" s="76" t="n">
        <v>660000</v>
      </c>
      <c r="I1587" s="75" t="inlineStr">
        <is>
          <t>9월 통신요금 - P통신</t>
        </is>
      </c>
      <c r="J1587" s="75" t="inlineStr">
        <is>
          <t>V10011</t>
        </is>
      </c>
      <c r="K1587" s="75" t="inlineStr">
        <is>
          <t>P통신</t>
        </is>
      </c>
      <c r="M1587" s="9">
        <f>IF($A1587="","",VALUE($A1587&amp;"")*12+VALUE($B1587&amp;""))</f>
        <v/>
      </c>
      <c r="N1587" s="39">
        <f>IF($A1587="","",IFERROR(INDEX(부서매핑!$C$5:$C$504,MATCH($G1587&amp;"",부서매핑!$A$5:$A$504,0)),"미매핑"))</f>
        <v/>
      </c>
      <c r="O1587" s="9">
        <f>IF($A1587="","",N1587&amp;"|"&amp;$F1587)</f>
        <v/>
      </c>
      <c r="P1587" s="77">
        <f>IF($A1587="",0,$H1587*설정!$C$23)</f>
        <v/>
      </c>
      <c r="Q1587" s="39">
        <f>IF($A1587="","",IF(O1587&lt;&gt;원인분석!$C$9,"",IF(AND(M1587&gt;=원인분석!$C$10,M1587&lt;=원인분석!$C$11),"당기",IF(AND(M1587&gt;=원인분석!$C$12,M1587&lt;=원인분석!$C$13),"비교",""))))</f>
        <v/>
      </c>
      <c r="R1587" s="9">
        <f>IF(Q1587="","",$K1587&amp;"")</f>
        <v/>
      </c>
      <c r="S1587" s="9">
        <f>IF(Q1587="","",IF(MATCH(R1587,$R$5:$R$100000,0)=ROW()-4,ROW(),""))</f>
        <v/>
      </c>
      <c r="T1587" s="9">
        <f>IF(Q1587="당기",ABS(P1587)+ROW()/1000000000,"")</f>
        <v/>
      </c>
      <c r="U1587" s="9">
        <f>IF(Q1587="비교",ABS(P1587)+ROW()/1000000000,"")</f>
        <v/>
      </c>
      <c r="V1587" s="39">
        <f>IF($A1587="","",IF(COUNTIF(변동분석!$E$7:$E$506,O1587)&gt;0,"Y","N"))</f>
        <v/>
      </c>
      <c r="W1587" s="39">
        <f>IF($A1587="","",IFERROR(INDEX(계정매핑!$D$5:$D$504,MATCH($F1587&amp;"",계정매핑!$A$5:$A$504,0)),"미매핑"))</f>
        <v/>
      </c>
      <c r="X1587" s="9">
        <f>IF($A1587="","",$F1587&amp;"")</f>
        <v/>
      </c>
    </row>
    <row r="1588">
      <c r="A1588" s="75" t="n">
        <v>2025</v>
      </c>
      <c r="B1588" s="75" t="n">
        <v>9</v>
      </c>
      <c r="C1588" s="75" t="inlineStr">
        <is>
          <t>5100001584</t>
        </is>
      </c>
      <c r="D1588" s="78" t="n">
        <v>45904</v>
      </c>
      <c r="E1588" s="75" t="inlineStr">
        <is>
          <t>KR</t>
        </is>
      </c>
      <c r="F1588" s="75" t="n">
        <v>62201000</v>
      </c>
      <c r="G1588" s="75" t="n">
        <v>1701</v>
      </c>
      <c r="H1588" s="76" t="n">
        <v>6236000</v>
      </c>
      <c r="I1588" s="75" t="inlineStr">
        <is>
          <t>9월 통신요금 - P통신</t>
        </is>
      </c>
      <c r="J1588" s="75" t="inlineStr">
        <is>
          <t>V10011</t>
        </is>
      </c>
      <c r="K1588" s="75" t="inlineStr">
        <is>
          <t>P통신</t>
        </is>
      </c>
      <c r="M1588" s="9">
        <f>IF($A1588="","",VALUE($A1588&amp;"")*12+VALUE($B1588&amp;""))</f>
        <v/>
      </c>
      <c r="N1588" s="39">
        <f>IF($A1588="","",IFERROR(INDEX(부서매핑!$C$5:$C$504,MATCH($G1588&amp;"",부서매핑!$A$5:$A$504,0)),"미매핑"))</f>
        <v/>
      </c>
      <c r="O1588" s="9">
        <f>IF($A1588="","",N1588&amp;"|"&amp;$F1588)</f>
        <v/>
      </c>
      <c r="P1588" s="77">
        <f>IF($A1588="",0,$H1588*설정!$C$23)</f>
        <v/>
      </c>
      <c r="Q1588" s="39">
        <f>IF($A1588="","",IF(O1588&lt;&gt;원인분석!$C$9,"",IF(AND(M1588&gt;=원인분석!$C$10,M1588&lt;=원인분석!$C$11),"당기",IF(AND(M1588&gt;=원인분석!$C$12,M1588&lt;=원인분석!$C$13),"비교",""))))</f>
        <v/>
      </c>
      <c r="R1588" s="9">
        <f>IF(Q1588="","",$K1588&amp;"")</f>
        <v/>
      </c>
      <c r="S1588" s="9">
        <f>IF(Q1588="","",IF(MATCH(R1588,$R$5:$R$100000,0)=ROW()-4,ROW(),""))</f>
        <v/>
      </c>
      <c r="T1588" s="9">
        <f>IF(Q1588="당기",ABS(P1588)+ROW()/1000000000,"")</f>
        <v/>
      </c>
      <c r="U1588" s="9">
        <f>IF(Q1588="비교",ABS(P1588)+ROW()/1000000000,"")</f>
        <v/>
      </c>
      <c r="V1588" s="39">
        <f>IF($A1588="","",IF(COUNTIF(변동분석!$E$7:$E$506,O1588)&gt;0,"Y","N"))</f>
        <v/>
      </c>
      <c r="W1588" s="39">
        <f>IF($A1588="","",IFERROR(INDEX(계정매핑!$D$5:$D$504,MATCH($F1588&amp;"",계정매핑!$A$5:$A$504,0)),"미매핑"))</f>
        <v/>
      </c>
      <c r="X1588" s="9">
        <f>IF($A1588="","",$F1588&amp;"")</f>
        <v/>
      </c>
    </row>
    <row r="1589">
      <c r="A1589" s="75" t="n">
        <v>2025</v>
      </c>
      <c r="B1589" s="75" t="n">
        <v>9</v>
      </c>
      <c r="C1589" s="75" t="inlineStr">
        <is>
          <t>5100001585</t>
        </is>
      </c>
      <c r="D1589" s="78" t="n">
        <v>45904</v>
      </c>
      <c r="E1589" s="75" t="inlineStr">
        <is>
          <t>KR</t>
        </is>
      </c>
      <c r="F1589" s="75" t="n">
        <v>62401000</v>
      </c>
      <c r="G1589" s="75" t="n">
        <v>1801</v>
      </c>
      <c r="H1589" s="76" t="n">
        <v>2194000</v>
      </c>
      <c r="I1589" s="75" t="inlineStr">
        <is>
          <t>9월 인쇄물 제작 - S출판</t>
        </is>
      </c>
      <c r="J1589" s="75" t="inlineStr">
        <is>
          <t>V10012</t>
        </is>
      </c>
      <c r="K1589" s="75" t="inlineStr">
        <is>
          <t>S출판</t>
        </is>
      </c>
      <c r="M1589" s="9">
        <f>IF($A1589="","",VALUE($A1589&amp;"")*12+VALUE($B1589&amp;""))</f>
        <v/>
      </c>
      <c r="N1589" s="39">
        <f>IF($A1589="","",IFERROR(INDEX(부서매핑!$C$5:$C$504,MATCH($G1589&amp;"",부서매핑!$A$5:$A$504,0)),"미매핑"))</f>
        <v/>
      </c>
      <c r="O1589" s="9">
        <f>IF($A1589="","",N1589&amp;"|"&amp;$F1589)</f>
        <v/>
      </c>
      <c r="P1589" s="77">
        <f>IF($A1589="",0,$H1589*설정!$C$23)</f>
        <v/>
      </c>
      <c r="Q1589" s="39">
        <f>IF($A1589="","",IF(O1589&lt;&gt;원인분석!$C$9,"",IF(AND(M1589&gt;=원인분석!$C$10,M1589&lt;=원인분석!$C$11),"당기",IF(AND(M1589&gt;=원인분석!$C$12,M1589&lt;=원인분석!$C$13),"비교",""))))</f>
        <v/>
      </c>
      <c r="R1589" s="9">
        <f>IF(Q1589="","",$K1589&amp;"")</f>
        <v/>
      </c>
      <c r="S1589" s="9">
        <f>IF(Q1589="","",IF(MATCH(R1589,$R$5:$R$100000,0)=ROW()-4,ROW(),""))</f>
        <v/>
      </c>
      <c r="T1589" s="9">
        <f>IF(Q1589="당기",ABS(P1589)+ROW()/1000000000,"")</f>
        <v/>
      </c>
      <c r="U1589" s="9">
        <f>IF(Q1589="비교",ABS(P1589)+ROW()/1000000000,"")</f>
        <v/>
      </c>
      <c r="V1589" s="39">
        <f>IF($A1589="","",IF(COUNTIF(변동분석!$E$7:$E$506,O1589)&gt;0,"Y","N"))</f>
        <v/>
      </c>
      <c r="W1589" s="39">
        <f>IF($A1589="","",IFERROR(INDEX(계정매핑!$D$5:$D$504,MATCH($F1589&amp;"",계정매핑!$A$5:$A$504,0)),"미매핑"))</f>
        <v/>
      </c>
      <c r="X1589" s="9">
        <f>IF($A1589="","",$F1589&amp;"")</f>
        <v/>
      </c>
    </row>
    <row r="1590">
      <c r="A1590" s="75" t="n">
        <v>2025</v>
      </c>
      <c r="B1590" s="75" t="n">
        <v>9</v>
      </c>
      <c r="C1590" s="75" t="inlineStr">
        <is>
          <t>5100001586</t>
        </is>
      </c>
      <c r="D1590" s="78" t="n">
        <v>45904</v>
      </c>
      <c r="E1590" s="75" t="inlineStr">
        <is>
          <t>KR</t>
        </is>
      </c>
      <c r="F1590" s="75" t="n">
        <v>62901000</v>
      </c>
      <c r="G1590" s="75" t="n">
        <v>1101</v>
      </c>
      <c r="H1590" s="76" t="n">
        <v>2820000</v>
      </c>
      <c r="I1590" s="75" t="inlineStr">
        <is>
          <t>9월 자문 수수료 - K회계법인</t>
        </is>
      </c>
      <c r="J1590" s="75" t="inlineStr">
        <is>
          <t>V10010</t>
        </is>
      </c>
      <c r="K1590" s="75" t="inlineStr">
        <is>
          <t>K회계법인</t>
        </is>
      </c>
      <c r="M1590" s="9">
        <f>IF($A1590="","",VALUE($A1590&amp;"")*12+VALUE($B1590&amp;""))</f>
        <v/>
      </c>
      <c r="N1590" s="39">
        <f>IF($A1590="","",IFERROR(INDEX(부서매핑!$C$5:$C$504,MATCH($G1590&amp;"",부서매핑!$A$5:$A$504,0)),"미매핑"))</f>
        <v/>
      </c>
      <c r="O1590" s="9">
        <f>IF($A1590="","",N1590&amp;"|"&amp;$F1590)</f>
        <v/>
      </c>
      <c r="P1590" s="77">
        <f>IF($A1590="",0,$H1590*설정!$C$23)</f>
        <v/>
      </c>
      <c r="Q1590" s="39">
        <f>IF($A1590="","",IF(O1590&lt;&gt;원인분석!$C$9,"",IF(AND(M1590&gt;=원인분석!$C$10,M1590&lt;=원인분석!$C$11),"당기",IF(AND(M1590&gt;=원인분석!$C$12,M1590&lt;=원인분석!$C$13),"비교",""))))</f>
        <v/>
      </c>
      <c r="R1590" s="9">
        <f>IF(Q1590="","",$K1590&amp;"")</f>
        <v/>
      </c>
      <c r="S1590" s="9">
        <f>IF(Q1590="","",IF(MATCH(R1590,$R$5:$R$100000,0)=ROW()-4,ROW(),""))</f>
        <v/>
      </c>
      <c r="T1590" s="9">
        <f>IF(Q1590="당기",ABS(P1590)+ROW()/1000000000,"")</f>
        <v/>
      </c>
      <c r="U1590" s="9">
        <f>IF(Q1590="비교",ABS(P1590)+ROW()/1000000000,"")</f>
        <v/>
      </c>
      <c r="V1590" s="39">
        <f>IF($A1590="","",IF(COUNTIF(변동분석!$E$7:$E$506,O1590)&gt;0,"Y","N"))</f>
        <v/>
      </c>
      <c r="W1590" s="39">
        <f>IF($A1590="","",IFERROR(INDEX(계정매핑!$D$5:$D$504,MATCH($F1590&amp;"",계정매핑!$A$5:$A$504,0)),"미매핑"))</f>
        <v/>
      </c>
      <c r="X1590" s="9">
        <f>IF($A1590="","",$F1590&amp;"")</f>
        <v/>
      </c>
    </row>
    <row r="1591">
      <c r="A1591" s="75" t="n">
        <v>2025</v>
      </c>
      <c r="B1591" s="75" t="n">
        <v>9</v>
      </c>
      <c r="C1591" s="75" t="inlineStr">
        <is>
          <t>5100001587</t>
        </is>
      </c>
      <c r="D1591" s="78" t="n">
        <v>45904</v>
      </c>
      <c r="E1591" s="75" t="inlineStr">
        <is>
          <t>KR</t>
        </is>
      </c>
      <c r="F1591" s="75" t="n">
        <v>62901000</v>
      </c>
      <c r="G1591" s="75" t="n">
        <v>1201</v>
      </c>
      <c r="H1591" s="76" t="n">
        <v>5054000</v>
      </c>
      <c r="I1591" s="75" t="inlineStr">
        <is>
          <t>9월 자문 수수료 - W컨설팅</t>
        </is>
      </c>
      <c r="J1591" s="75" t="inlineStr">
        <is>
          <t>V10009</t>
        </is>
      </c>
      <c r="K1591" s="75" t="inlineStr">
        <is>
          <t>W컨설팅</t>
        </is>
      </c>
      <c r="M1591" s="9">
        <f>IF($A1591="","",VALUE($A1591&amp;"")*12+VALUE($B1591&amp;""))</f>
        <v/>
      </c>
      <c r="N1591" s="39">
        <f>IF($A1591="","",IFERROR(INDEX(부서매핑!$C$5:$C$504,MATCH($G1591&amp;"",부서매핑!$A$5:$A$504,0)),"미매핑"))</f>
        <v/>
      </c>
      <c r="O1591" s="9">
        <f>IF($A1591="","",N1591&amp;"|"&amp;$F1591)</f>
        <v/>
      </c>
      <c r="P1591" s="77">
        <f>IF($A1591="",0,$H1591*설정!$C$23)</f>
        <v/>
      </c>
      <c r="Q1591" s="39">
        <f>IF($A1591="","",IF(O1591&lt;&gt;원인분석!$C$9,"",IF(AND(M1591&gt;=원인분석!$C$10,M1591&lt;=원인분석!$C$11),"당기",IF(AND(M1591&gt;=원인분석!$C$12,M1591&lt;=원인분석!$C$13),"비교",""))))</f>
        <v/>
      </c>
      <c r="R1591" s="9">
        <f>IF(Q1591="","",$K1591&amp;"")</f>
        <v/>
      </c>
      <c r="S1591" s="9">
        <f>IF(Q1591="","",IF(MATCH(R1591,$R$5:$R$100000,0)=ROW()-4,ROW(),""))</f>
        <v/>
      </c>
      <c r="T1591" s="9">
        <f>IF(Q1591="당기",ABS(P1591)+ROW()/1000000000,"")</f>
        <v/>
      </c>
      <c r="U1591" s="9">
        <f>IF(Q1591="비교",ABS(P1591)+ROW()/1000000000,"")</f>
        <v/>
      </c>
      <c r="V1591" s="39">
        <f>IF($A1591="","",IF(COUNTIF(변동분석!$E$7:$E$506,O1591)&gt;0,"Y","N"))</f>
        <v/>
      </c>
      <c r="W1591" s="39">
        <f>IF($A1591="","",IFERROR(INDEX(계정매핑!$D$5:$D$504,MATCH($F1591&amp;"",계정매핑!$A$5:$A$504,0)),"미매핑"))</f>
        <v/>
      </c>
      <c r="X1591" s="9">
        <f>IF($A1591="","",$F1591&amp;"")</f>
        <v/>
      </c>
    </row>
    <row r="1592">
      <c r="A1592" s="75" t="n">
        <v>2025</v>
      </c>
      <c r="B1592" s="75" t="n">
        <v>9</v>
      </c>
      <c r="C1592" s="75" t="inlineStr">
        <is>
          <t>5100001588</t>
        </is>
      </c>
      <c r="D1592" s="78" t="n">
        <v>45904</v>
      </c>
      <c r="E1592" s="75" t="inlineStr">
        <is>
          <t>KR</t>
        </is>
      </c>
      <c r="F1592" s="75" t="n">
        <v>62902000</v>
      </c>
      <c r="G1592" s="75" t="n">
        <v>1401</v>
      </c>
      <c r="H1592" s="76" t="n">
        <v>2423000</v>
      </c>
      <c r="I1592" s="75" t="inlineStr">
        <is>
          <t>9월 업무 위탁 수수료 - X서비스</t>
        </is>
      </c>
      <c r="J1592" s="75" t="inlineStr">
        <is>
          <t>V10016</t>
        </is>
      </c>
      <c r="K1592" s="75" t="inlineStr">
        <is>
          <t>X서비스</t>
        </is>
      </c>
      <c r="M1592" s="9">
        <f>IF($A1592="","",VALUE($A1592&amp;"")*12+VALUE($B1592&amp;""))</f>
        <v/>
      </c>
      <c r="N1592" s="39">
        <f>IF($A1592="","",IFERROR(INDEX(부서매핑!$C$5:$C$504,MATCH($G1592&amp;"",부서매핑!$A$5:$A$504,0)),"미매핑"))</f>
        <v/>
      </c>
      <c r="O1592" s="9">
        <f>IF($A1592="","",N1592&amp;"|"&amp;$F1592)</f>
        <v/>
      </c>
      <c r="P1592" s="77">
        <f>IF($A1592="",0,$H1592*설정!$C$23)</f>
        <v/>
      </c>
      <c r="Q1592" s="39">
        <f>IF($A1592="","",IF(O1592&lt;&gt;원인분석!$C$9,"",IF(AND(M1592&gt;=원인분석!$C$10,M1592&lt;=원인분석!$C$11),"당기",IF(AND(M1592&gt;=원인분석!$C$12,M1592&lt;=원인분석!$C$13),"비교",""))))</f>
        <v/>
      </c>
      <c r="R1592" s="9">
        <f>IF(Q1592="","",$K1592&amp;"")</f>
        <v/>
      </c>
      <c r="S1592" s="9">
        <f>IF(Q1592="","",IF(MATCH(R1592,$R$5:$R$100000,0)=ROW()-4,ROW(),""))</f>
        <v/>
      </c>
      <c r="T1592" s="9">
        <f>IF(Q1592="당기",ABS(P1592)+ROW()/1000000000,"")</f>
        <v/>
      </c>
      <c r="U1592" s="9">
        <f>IF(Q1592="비교",ABS(P1592)+ROW()/1000000000,"")</f>
        <v/>
      </c>
      <c r="V1592" s="39">
        <f>IF($A1592="","",IF(COUNTIF(변동분석!$E$7:$E$506,O1592)&gt;0,"Y","N"))</f>
        <v/>
      </c>
      <c r="W1592" s="39">
        <f>IF($A1592="","",IFERROR(INDEX(계정매핑!$D$5:$D$504,MATCH($F1592&amp;"",계정매핑!$A$5:$A$504,0)),"미매핑"))</f>
        <v/>
      </c>
      <c r="X1592" s="9">
        <f>IF($A1592="","",$F1592&amp;"")</f>
        <v/>
      </c>
    </row>
    <row r="1593">
      <c r="A1593" s="75" t="n">
        <v>2025</v>
      </c>
      <c r="B1593" s="75" t="n">
        <v>9</v>
      </c>
      <c r="C1593" s="75" t="inlineStr">
        <is>
          <t>5100001589</t>
        </is>
      </c>
      <c r="D1593" s="78" t="n">
        <v>45904</v>
      </c>
      <c r="E1593" s="75" t="inlineStr">
        <is>
          <t>KR</t>
        </is>
      </c>
      <c r="F1593" s="75" t="n">
        <v>63101000</v>
      </c>
      <c r="G1593" s="75" t="n">
        <v>1601</v>
      </c>
      <c r="H1593" s="76" t="n">
        <v>3826000</v>
      </c>
      <c r="I1593" s="75" t="inlineStr">
        <is>
          <t>9월 사무실 임차료 - BB부동산</t>
        </is>
      </c>
      <c r="J1593" s="75" t="inlineStr">
        <is>
          <t>V10024</t>
        </is>
      </c>
      <c r="K1593" s="75" t="inlineStr">
        <is>
          <t>BB부동산</t>
        </is>
      </c>
      <c r="M1593" s="9">
        <f>IF($A1593="","",VALUE($A1593&amp;"")*12+VALUE($B1593&amp;""))</f>
        <v/>
      </c>
      <c r="N1593" s="39">
        <f>IF($A1593="","",IFERROR(INDEX(부서매핑!$C$5:$C$504,MATCH($G1593&amp;"",부서매핑!$A$5:$A$504,0)),"미매핑"))</f>
        <v/>
      </c>
      <c r="O1593" s="9">
        <f>IF($A1593="","",N1593&amp;"|"&amp;$F1593)</f>
        <v/>
      </c>
      <c r="P1593" s="77">
        <f>IF($A1593="",0,$H1593*설정!$C$23)</f>
        <v/>
      </c>
      <c r="Q1593" s="39">
        <f>IF($A1593="","",IF(O1593&lt;&gt;원인분석!$C$9,"",IF(AND(M1593&gt;=원인분석!$C$10,M1593&lt;=원인분석!$C$11),"당기",IF(AND(M1593&gt;=원인분석!$C$12,M1593&lt;=원인분석!$C$13),"비교",""))))</f>
        <v/>
      </c>
      <c r="R1593" s="9">
        <f>IF(Q1593="","",$K1593&amp;"")</f>
        <v/>
      </c>
      <c r="S1593" s="9">
        <f>IF(Q1593="","",IF(MATCH(R1593,$R$5:$R$100000,0)=ROW()-4,ROW(),""))</f>
        <v/>
      </c>
      <c r="T1593" s="9">
        <f>IF(Q1593="당기",ABS(P1593)+ROW()/1000000000,"")</f>
        <v/>
      </c>
      <c r="U1593" s="9">
        <f>IF(Q1593="비교",ABS(P1593)+ROW()/1000000000,"")</f>
        <v/>
      </c>
      <c r="V1593" s="39">
        <f>IF($A1593="","",IF(COUNTIF(변동분석!$E$7:$E$506,O1593)&gt;0,"Y","N"))</f>
        <v/>
      </c>
      <c r="W1593" s="39">
        <f>IF($A1593="","",IFERROR(INDEX(계정매핑!$D$5:$D$504,MATCH($F1593&amp;"",계정매핑!$A$5:$A$504,0)),"미매핑"))</f>
        <v/>
      </c>
      <c r="X1593" s="9">
        <f>IF($A1593="","",$F1593&amp;"")</f>
        <v/>
      </c>
    </row>
    <row r="1594">
      <c r="A1594" s="75" t="n">
        <v>2025</v>
      </c>
      <c r="B1594" s="75" t="n">
        <v>9</v>
      </c>
      <c r="C1594" s="75" t="inlineStr">
        <is>
          <t>5100001590</t>
        </is>
      </c>
      <c r="D1594" s="78" t="n">
        <v>45905</v>
      </c>
      <c r="E1594" s="75" t="inlineStr">
        <is>
          <t>KR</t>
        </is>
      </c>
      <c r="F1594" s="75" t="n">
        <v>62102000</v>
      </c>
      <c r="G1594" s="75" t="n">
        <v>1601</v>
      </c>
      <c r="H1594" s="76" t="n">
        <v>373000</v>
      </c>
      <c r="I1594" s="75" t="inlineStr">
        <is>
          <t>9월 해외출장 - N호텔</t>
        </is>
      </c>
      <c r="J1594" s="75" t="inlineStr">
        <is>
          <t>V10007</t>
        </is>
      </c>
      <c r="K1594" s="75" t="inlineStr">
        <is>
          <t>N호텔</t>
        </is>
      </c>
      <c r="M1594" s="9">
        <f>IF($A1594="","",VALUE($A1594&amp;"")*12+VALUE($B1594&amp;""))</f>
        <v/>
      </c>
      <c r="N1594" s="39">
        <f>IF($A1594="","",IFERROR(INDEX(부서매핑!$C$5:$C$504,MATCH($G1594&amp;"",부서매핑!$A$5:$A$504,0)),"미매핑"))</f>
        <v/>
      </c>
      <c r="O1594" s="9">
        <f>IF($A1594="","",N1594&amp;"|"&amp;$F1594)</f>
        <v/>
      </c>
      <c r="P1594" s="77">
        <f>IF($A1594="",0,$H1594*설정!$C$23)</f>
        <v/>
      </c>
      <c r="Q1594" s="39">
        <f>IF($A1594="","",IF(O1594&lt;&gt;원인분석!$C$9,"",IF(AND(M1594&gt;=원인분석!$C$10,M1594&lt;=원인분석!$C$11),"당기",IF(AND(M1594&gt;=원인분석!$C$12,M1594&lt;=원인분석!$C$13),"비교",""))))</f>
        <v/>
      </c>
      <c r="R1594" s="9">
        <f>IF(Q1594="","",$K1594&amp;"")</f>
        <v/>
      </c>
      <c r="S1594" s="9">
        <f>IF(Q1594="","",IF(MATCH(R1594,$R$5:$R$100000,0)=ROW()-4,ROW(),""))</f>
        <v/>
      </c>
      <c r="T1594" s="9">
        <f>IF(Q1594="당기",ABS(P1594)+ROW()/1000000000,"")</f>
        <v/>
      </c>
      <c r="U1594" s="9">
        <f>IF(Q1594="비교",ABS(P1594)+ROW()/1000000000,"")</f>
        <v/>
      </c>
      <c r="V1594" s="39">
        <f>IF($A1594="","",IF(COUNTIF(변동분석!$E$7:$E$506,O1594)&gt;0,"Y","N"))</f>
        <v/>
      </c>
      <c r="W1594" s="39">
        <f>IF($A1594="","",IFERROR(INDEX(계정매핑!$D$5:$D$504,MATCH($F1594&amp;"",계정매핑!$A$5:$A$504,0)),"미매핑"))</f>
        <v/>
      </c>
      <c r="X1594" s="9">
        <f>IF($A1594="","",$F1594&amp;"")</f>
        <v/>
      </c>
    </row>
    <row r="1595">
      <c r="A1595" s="75" t="n">
        <v>2025</v>
      </c>
      <c r="B1595" s="75" t="n">
        <v>9</v>
      </c>
      <c r="C1595" s="75" t="inlineStr">
        <is>
          <t>5100001591</t>
        </is>
      </c>
      <c r="D1595" s="78" t="n">
        <v>45905</v>
      </c>
      <c r="E1595" s="75" t="inlineStr">
        <is>
          <t>KR</t>
        </is>
      </c>
      <c r="F1595" s="75" t="n">
        <v>62201000</v>
      </c>
      <c r="G1595" s="75" t="n">
        <v>1201</v>
      </c>
      <c r="H1595" s="76" t="n">
        <v>263000</v>
      </c>
      <c r="I1595" s="75" t="inlineStr">
        <is>
          <t>9월 통신요금 - O텔레콤</t>
        </is>
      </c>
      <c r="J1595" s="75" t="inlineStr">
        <is>
          <t>V10002</t>
        </is>
      </c>
      <c r="K1595" s="75" t="inlineStr">
        <is>
          <t>O텔레콤</t>
        </is>
      </c>
      <c r="M1595" s="9">
        <f>IF($A1595="","",VALUE($A1595&amp;"")*12+VALUE($B1595&amp;""))</f>
        <v/>
      </c>
      <c r="N1595" s="39">
        <f>IF($A1595="","",IFERROR(INDEX(부서매핑!$C$5:$C$504,MATCH($G1595&amp;"",부서매핑!$A$5:$A$504,0)),"미매핑"))</f>
        <v/>
      </c>
      <c r="O1595" s="9">
        <f>IF($A1595="","",N1595&amp;"|"&amp;$F1595)</f>
        <v/>
      </c>
      <c r="P1595" s="77">
        <f>IF($A1595="",0,$H1595*설정!$C$23)</f>
        <v/>
      </c>
      <c r="Q1595" s="39">
        <f>IF($A1595="","",IF(O1595&lt;&gt;원인분석!$C$9,"",IF(AND(M1595&gt;=원인분석!$C$10,M1595&lt;=원인분석!$C$11),"당기",IF(AND(M1595&gt;=원인분석!$C$12,M1595&lt;=원인분석!$C$13),"비교",""))))</f>
        <v/>
      </c>
      <c r="R1595" s="9">
        <f>IF(Q1595="","",$K1595&amp;"")</f>
        <v/>
      </c>
      <c r="S1595" s="9">
        <f>IF(Q1595="","",IF(MATCH(R1595,$R$5:$R$100000,0)=ROW()-4,ROW(),""))</f>
        <v/>
      </c>
      <c r="T1595" s="9">
        <f>IF(Q1595="당기",ABS(P1595)+ROW()/1000000000,"")</f>
        <v/>
      </c>
      <c r="U1595" s="9">
        <f>IF(Q1595="비교",ABS(P1595)+ROW()/1000000000,"")</f>
        <v/>
      </c>
      <c r="V1595" s="39">
        <f>IF($A1595="","",IF(COUNTIF(변동분석!$E$7:$E$506,O1595)&gt;0,"Y","N"))</f>
        <v/>
      </c>
      <c r="W1595" s="39">
        <f>IF($A1595="","",IFERROR(INDEX(계정매핑!$D$5:$D$504,MATCH($F1595&amp;"",계정매핑!$A$5:$A$504,0)),"미매핑"))</f>
        <v/>
      </c>
      <c r="X1595" s="9">
        <f>IF($A1595="","",$F1595&amp;"")</f>
        <v/>
      </c>
    </row>
    <row r="1596">
      <c r="A1596" s="75" t="n">
        <v>2025</v>
      </c>
      <c r="B1596" s="75" t="n">
        <v>9</v>
      </c>
      <c r="C1596" s="75" t="inlineStr">
        <is>
          <t>5100001592</t>
        </is>
      </c>
      <c r="D1596" s="78" t="n">
        <v>45905</v>
      </c>
      <c r="E1596" s="75" t="inlineStr">
        <is>
          <t>KR</t>
        </is>
      </c>
      <c r="F1596" s="75" t="n">
        <v>62301000</v>
      </c>
      <c r="G1596" s="75" t="n">
        <v>1101</v>
      </c>
      <c r="H1596" s="76" t="n">
        <v>109000</v>
      </c>
      <c r="I1596" s="75" t="inlineStr">
        <is>
          <t>9월 소모품 구입 - R문구</t>
        </is>
      </c>
      <c r="J1596" s="75" t="inlineStr">
        <is>
          <t>V10018</t>
        </is>
      </c>
      <c r="K1596" s="75" t="inlineStr">
        <is>
          <t>R문구</t>
        </is>
      </c>
      <c r="M1596" s="9">
        <f>IF($A1596="","",VALUE($A1596&amp;"")*12+VALUE($B1596&amp;""))</f>
        <v/>
      </c>
      <c r="N1596" s="39">
        <f>IF($A1596="","",IFERROR(INDEX(부서매핑!$C$5:$C$504,MATCH($G1596&amp;"",부서매핑!$A$5:$A$504,0)),"미매핑"))</f>
        <v/>
      </c>
      <c r="O1596" s="9">
        <f>IF($A1596="","",N1596&amp;"|"&amp;$F1596)</f>
        <v/>
      </c>
      <c r="P1596" s="77">
        <f>IF($A1596="",0,$H1596*설정!$C$23)</f>
        <v/>
      </c>
      <c r="Q1596" s="39">
        <f>IF($A1596="","",IF(O1596&lt;&gt;원인분석!$C$9,"",IF(AND(M1596&gt;=원인분석!$C$10,M1596&lt;=원인분석!$C$11),"당기",IF(AND(M1596&gt;=원인분석!$C$12,M1596&lt;=원인분석!$C$13),"비교",""))))</f>
        <v/>
      </c>
      <c r="R1596" s="9">
        <f>IF(Q1596="","",$K1596&amp;"")</f>
        <v/>
      </c>
      <c r="S1596" s="9">
        <f>IF(Q1596="","",IF(MATCH(R1596,$R$5:$R$100000,0)=ROW()-4,ROW(),""))</f>
        <v/>
      </c>
      <c r="T1596" s="9">
        <f>IF(Q1596="당기",ABS(P1596)+ROW()/1000000000,"")</f>
        <v/>
      </c>
      <c r="U1596" s="9">
        <f>IF(Q1596="비교",ABS(P1596)+ROW()/1000000000,"")</f>
        <v/>
      </c>
      <c r="V1596" s="39">
        <f>IF($A1596="","",IF(COUNTIF(변동분석!$E$7:$E$506,O1596)&gt;0,"Y","N"))</f>
        <v/>
      </c>
      <c r="W1596" s="39">
        <f>IF($A1596="","",IFERROR(INDEX(계정매핑!$D$5:$D$504,MATCH($F1596&amp;"",계정매핑!$A$5:$A$504,0)),"미매핑"))</f>
        <v/>
      </c>
      <c r="X1596" s="9">
        <f>IF($A1596="","",$F1596&amp;"")</f>
        <v/>
      </c>
    </row>
    <row r="1597">
      <c r="A1597" s="75" t="n">
        <v>2025</v>
      </c>
      <c r="B1597" s="75" t="n">
        <v>9</v>
      </c>
      <c r="C1597" s="75" t="inlineStr">
        <is>
          <t>5100001593</t>
        </is>
      </c>
      <c r="D1597" s="78" t="n">
        <v>45905</v>
      </c>
      <c r="E1597" s="75" t="inlineStr">
        <is>
          <t>KR</t>
        </is>
      </c>
      <c r="F1597" s="75" t="n">
        <v>62901000</v>
      </c>
      <c r="G1597" s="75" t="n">
        <v>1401</v>
      </c>
      <c r="H1597" s="76" t="n">
        <v>3620000</v>
      </c>
      <c r="I1597" s="75" t="inlineStr">
        <is>
          <t>9월 자문 수수료 - K회계법인</t>
        </is>
      </c>
      <c r="J1597" s="75" t="inlineStr">
        <is>
          <t>V10010</t>
        </is>
      </c>
      <c r="K1597" s="75" t="inlineStr">
        <is>
          <t>K회계법인</t>
        </is>
      </c>
      <c r="M1597" s="9">
        <f>IF($A1597="","",VALUE($A1597&amp;"")*12+VALUE($B1597&amp;""))</f>
        <v/>
      </c>
      <c r="N1597" s="39">
        <f>IF($A1597="","",IFERROR(INDEX(부서매핑!$C$5:$C$504,MATCH($G1597&amp;"",부서매핑!$A$5:$A$504,0)),"미매핑"))</f>
        <v/>
      </c>
      <c r="O1597" s="9">
        <f>IF($A1597="","",N1597&amp;"|"&amp;$F1597)</f>
        <v/>
      </c>
      <c r="P1597" s="77">
        <f>IF($A1597="",0,$H1597*설정!$C$23)</f>
        <v/>
      </c>
      <c r="Q1597" s="39">
        <f>IF($A1597="","",IF(O1597&lt;&gt;원인분석!$C$9,"",IF(AND(M1597&gt;=원인분석!$C$10,M1597&lt;=원인분석!$C$11),"당기",IF(AND(M1597&gt;=원인분석!$C$12,M1597&lt;=원인분석!$C$13),"비교",""))))</f>
        <v/>
      </c>
      <c r="R1597" s="9">
        <f>IF(Q1597="","",$K1597&amp;"")</f>
        <v/>
      </c>
      <c r="S1597" s="9">
        <f>IF(Q1597="","",IF(MATCH(R1597,$R$5:$R$100000,0)=ROW()-4,ROW(),""))</f>
        <v/>
      </c>
      <c r="T1597" s="9">
        <f>IF(Q1597="당기",ABS(P1597)+ROW()/1000000000,"")</f>
        <v/>
      </c>
      <c r="U1597" s="9">
        <f>IF(Q1597="비교",ABS(P1597)+ROW()/1000000000,"")</f>
        <v/>
      </c>
      <c r="V1597" s="39">
        <f>IF($A1597="","",IF(COUNTIF(변동분석!$E$7:$E$506,O1597)&gt;0,"Y","N"))</f>
        <v/>
      </c>
      <c r="W1597" s="39">
        <f>IF($A1597="","",IFERROR(INDEX(계정매핑!$D$5:$D$504,MATCH($F1597&amp;"",계정매핑!$A$5:$A$504,0)),"미매핑"))</f>
        <v/>
      </c>
      <c r="X1597" s="9">
        <f>IF($A1597="","",$F1597&amp;"")</f>
        <v/>
      </c>
    </row>
    <row r="1598">
      <c r="A1598" s="75" t="n">
        <v>2025</v>
      </c>
      <c r="B1598" s="75" t="n">
        <v>9</v>
      </c>
      <c r="C1598" s="75" t="inlineStr">
        <is>
          <t>5100001594</t>
        </is>
      </c>
      <c r="D1598" s="78" t="n">
        <v>45906</v>
      </c>
      <c r="E1598" s="75" t="inlineStr">
        <is>
          <t>KR</t>
        </is>
      </c>
      <c r="F1598" s="75" t="n">
        <v>62101000</v>
      </c>
      <c r="G1598" s="75" t="n">
        <v>1101</v>
      </c>
      <c r="H1598" s="76" t="n">
        <v>611000</v>
      </c>
      <c r="I1598" s="75" t="inlineStr">
        <is>
          <t>9월 국내출장 - (법인카드)</t>
        </is>
      </c>
      <c r="J1598" s="75" t="inlineStr">
        <is>
          <t>V10008</t>
        </is>
      </c>
      <c r="K1598" s="75" t="inlineStr">
        <is>
          <t>(법인카드)</t>
        </is>
      </c>
      <c r="M1598" s="9">
        <f>IF($A1598="","",VALUE($A1598&amp;"")*12+VALUE($B1598&amp;""))</f>
        <v/>
      </c>
      <c r="N1598" s="39">
        <f>IF($A1598="","",IFERROR(INDEX(부서매핑!$C$5:$C$504,MATCH($G1598&amp;"",부서매핑!$A$5:$A$504,0)),"미매핑"))</f>
        <v/>
      </c>
      <c r="O1598" s="9">
        <f>IF($A1598="","",N1598&amp;"|"&amp;$F1598)</f>
        <v/>
      </c>
      <c r="P1598" s="77">
        <f>IF($A1598="",0,$H1598*설정!$C$23)</f>
        <v/>
      </c>
      <c r="Q1598" s="39">
        <f>IF($A1598="","",IF(O1598&lt;&gt;원인분석!$C$9,"",IF(AND(M1598&gt;=원인분석!$C$10,M1598&lt;=원인분석!$C$11),"당기",IF(AND(M1598&gt;=원인분석!$C$12,M1598&lt;=원인분석!$C$13),"비교",""))))</f>
        <v/>
      </c>
      <c r="R1598" s="9">
        <f>IF(Q1598="","",$K1598&amp;"")</f>
        <v/>
      </c>
      <c r="S1598" s="9">
        <f>IF(Q1598="","",IF(MATCH(R1598,$R$5:$R$100000,0)=ROW()-4,ROW(),""))</f>
        <v/>
      </c>
      <c r="T1598" s="9">
        <f>IF(Q1598="당기",ABS(P1598)+ROW()/1000000000,"")</f>
        <v/>
      </c>
      <c r="U1598" s="9">
        <f>IF(Q1598="비교",ABS(P1598)+ROW()/1000000000,"")</f>
        <v/>
      </c>
      <c r="V1598" s="39">
        <f>IF($A1598="","",IF(COUNTIF(변동분석!$E$7:$E$506,O1598)&gt;0,"Y","N"))</f>
        <v/>
      </c>
      <c r="W1598" s="39">
        <f>IF($A1598="","",IFERROR(INDEX(계정매핑!$D$5:$D$504,MATCH($F1598&amp;"",계정매핑!$A$5:$A$504,0)),"미매핑"))</f>
        <v/>
      </c>
      <c r="X1598" s="9">
        <f>IF($A1598="","",$F1598&amp;"")</f>
        <v/>
      </c>
    </row>
    <row r="1599">
      <c r="A1599" s="75" t="n">
        <v>2025</v>
      </c>
      <c r="B1599" s="75" t="n">
        <v>9</v>
      </c>
      <c r="C1599" s="75" t="inlineStr">
        <is>
          <t>5100001595</t>
        </is>
      </c>
      <c r="D1599" s="78" t="n">
        <v>45906</v>
      </c>
      <c r="E1599" s="75" t="inlineStr">
        <is>
          <t>KR</t>
        </is>
      </c>
      <c r="F1599" s="75" t="n">
        <v>62101000</v>
      </c>
      <c r="G1599" s="75" t="n">
        <v>1201</v>
      </c>
      <c r="H1599" s="76" t="n">
        <v>231000</v>
      </c>
      <c r="I1599" s="75" t="inlineStr">
        <is>
          <t>9월 국내출장 - L여행사</t>
        </is>
      </c>
      <c r="J1599" s="75" t="inlineStr">
        <is>
          <t>V10014</t>
        </is>
      </c>
      <c r="K1599" s="75" t="inlineStr">
        <is>
          <t>L여행사</t>
        </is>
      </c>
      <c r="M1599" s="9">
        <f>IF($A1599="","",VALUE($A1599&amp;"")*12+VALUE($B1599&amp;""))</f>
        <v/>
      </c>
      <c r="N1599" s="39">
        <f>IF($A1599="","",IFERROR(INDEX(부서매핑!$C$5:$C$504,MATCH($G1599&amp;"",부서매핑!$A$5:$A$504,0)),"미매핑"))</f>
        <v/>
      </c>
      <c r="O1599" s="9">
        <f>IF($A1599="","",N1599&amp;"|"&amp;$F1599)</f>
        <v/>
      </c>
      <c r="P1599" s="77">
        <f>IF($A1599="",0,$H1599*설정!$C$23)</f>
        <v/>
      </c>
      <c r="Q1599" s="39">
        <f>IF($A1599="","",IF(O1599&lt;&gt;원인분석!$C$9,"",IF(AND(M1599&gt;=원인분석!$C$10,M1599&lt;=원인분석!$C$11),"당기",IF(AND(M1599&gt;=원인분석!$C$12,M1599&lt;=원인분석!$C$13),"비교",""))))</f>
        <v/>
      </c>
      <c r="R1599" s="9">
        <f>IF(Q1599="","",$K1599&amp;"")</f>
        <v/>
      </c>
      <c r="S1599" s="9">
        <f>IF(Q1599="","",IF(MATCH(R1599,$R$5:$R$100000,0)=ROW()-4,ROW(),""))</f>
        <v/>
      </c>
      <c r="T1599" s="9">
        <f>IF(Q1599="당기",ABS(P1599)+ROW()/1000000000,"")</f>
        <v/>
      </c>
      <c r="U1599" s="9">
        <f>IF(Q1599="비교",ABS(P1599)+ROW()/1000000000,"")</f>
        <v/>
      </c>
      <c r="V1599" s="39">
        <f>IF($A1599="","",IF(COUNTIF(변동분석!$E$7:$E$506,O1599)&gt;0,"Y","N"))</f>
        <v/>
      </c>
      <c r="W1599" s="39">
        <f>IF($A1599="","",IFERROR(INDEX(계정매핑!$D$5:$D$504,MATCH($F1599&amp;"",계정매핑!$A$5:$A$504,0)),"미매핑"))</f>
        <v/>
      </c>
      <c r="X1599" s="9">
        <f>IF($A1599="","",$F1599&amp;"")</f>
        <v/>
      </c>
    </row>
    <row r="1600">
      <c r="A1600" s="75" t="n">
        <v>2025</v>
      </c>
      <c r="B1600" s="75" t="n">
        <v>9</v>
      </c>
      <c r="C1600" s="75" t="inlineStr">
        <is>
          <t>5100001596</t>
        </is>
      </c>
      <c r="D1600" s="78" t="n">
        <v>45906</v>
      </c>
      <c r="E1600" s="75" t="inlineStr">
        <is>
          <t>KR</t>
        </is>
      </c>
      <c r="F1600" s="75" t="n">
        <v>62101000</v>
      </c>
      <c r="G1600" s="75" t="n">
        <v>1301</v>
      </c>
      <c r="H1600" s="76" t="n">
        <v>537000</v>
      </c>
      <c r="I1600" s="75" t="inlineStr">
        <is>
          <t>9월 국내출장 - M항공</t>
        </is>
      </c>
      <c r="J1600" s="75" t="inlineStr">
        <is>
          <t>V10001</t>
        </is>
      </c>
      <c r="K1600" s="75" t="inlineStr">
        <is>
          <t>M항공</t>
        </is>
      </c>
      <c r="M1600" s="9">
        <f>IF($A1600="","",VALUE($A1600&amp;"")*12+VALUE($B1600&amp;""))</f>
        <v/>
      </c>
      <c r="N1600" s="39">
        <f>IF($A1600="","",IFERROR(INDEX(부서매핑!$C$5:$C$504,MATCH($G1600&amp;"",부서매핑!$A$5:$A$504,0)),"미매핑"))</f>
        <v/>
      </c>
      <c r="O1600" s="9">
        <f>IF($A1600="","",N1600&amp;"|"&amp;$F1600)</f>
        <v/>
      </c>
      <c r="P1600" s="77">
        <f>IF($A1600="",0,$H1600*설정!$C$23)</f>
        <v/>
      </c>
      <c r="Q1600" s="39">
        <f>IF($A1600="","",IF(O1600&lt;&gt;원인분석!$C$9,"",IF(AND(M1600&gt;=원인분석!$C$10,M1600&lt;=원인분석!$C$11),"당기",IF(AND(M1600&gt;=원인분석!$C$12,M1600&lt;=원인분석!$C$13),"비교",""))))</f>
        <v/>
      </c>
      <c r="R1600" s="9">
        <f>IF(Q1600="","",$K1600&amp;"")</f>
        <v/>
      </c>
      <c r="S1600" s="9">
        <f>IF(Q1600="","",IF(MATCH(R1600,$R$5:$R$100000,0)=ROW()-4,ROW(),""))</f>
        <v/>
      </c>
      <c r="T1600" s="9">
        <f>IF(Q1600="당기",ABS(P1600)+ROW()/1000000000,"")</f>
        <v/>
      </c>
      <c r="U1600" s="9">
        <f>IF(Q1600="비교",ABS(P1600)+ROW()/1000000000,"")</f>
        <v/>
      </c>
      <c r="V1600" s="39">
        <f>IF($A1600="","",IF(COUNTIF(변동분석!$E$7:$E$506,O1600)&gt;0,"Y","N"))</f>
        <v/>
      </c>
      <c r="W1600" s="39">
        <f>IF($A1600="","",IFERROR(INDEX(계정매핑!$D$5:$D$504,MATCH($F1600&amp;"",계정매핑!$A$5:$A$504,0)),"미매핑"))</f>
        <v/>
      </c>
      <c r="X1600" s="9">
        <f>IF($A1600="","",$F1600&amp;"")</f>
        <v/>
      </c>
    </row>
    <row r="1601">
      <c r="A1601" s="75" t="n">
        <v>2025</v>
      </c>
      <c r="B1601" s="75" t="n">
        <v>9</v>
      </c>
      <c r="C1601" s="75" t="inlineStr">
        <is>
          <t>5100001597</t>
        </is>
      </c>
      <c r="D1601" s="78" t="n">
        <v>45906</v>
      </c>
      <c r="E1601" s="75" t="inlineStr">
        <is>
          <t>KR</t>
        </is>
      </c>
      <c r="F1601" s="75" t="n">
        <v>62102000</v>
      </c>
      <c r="G1601" s="75" t="n">
        <v>1101</v>
      </c>
      <c r="H1601" s="76" t="n">
        <v>201000</v>
      </c>
      <c r="I1601" s="75" t="inlineStr">
        <is>
          <t>9월 해외출장 - M항공</t>
        </is>
      </c>
      <c r="J1601" s="75" t="inlineStr">
        <is>
          <t>V10001</t>
        </is>
      </c>
      <c r="K1601" s="75" t="inlineStr">
        <is>
          <t>M항공</t>
        </is>
      </c>
      <c r="M1601" s="9">
        <f>IF($A1601="","",VALUE($A1601&amp;"")*12+VALUE($B1601&amp;""))</f>
        <v/>
      </c>
      <c r="N1601" s="39">
        <f>IF($A1601="","",IFERROR(INDEX(부서매핑!$C$5:$C$504,MATCH($G1601&amp;"",부서매핑!$A$5:$A$504,0)),"미매핑"))</f>
        <v/>
      </c>
      <c r="O1601" s="9">
        <f>IF($A1601="","",N1601&amp;"|"&amp;$F1601)</f>
        <v/>
      </c>
      <c r="P1601" s="77">
        <f>IF($A1601="",0,$H1601*설정!$C$23)</f>
        <v/>
      </c>
      <c r="Q1601" s="39">
        <f>IF($A1601="","",IF(O1601&lt;&gt;원인분석!$C$9,"",IF(AND(M1601&gt;=원인분석!$C$10,M1601&lt;=원인분석!$C$11),"당기",IF(AND(M1601&gt;=원인분석!$C$12,M1601&lt;=원인분석!$C$13),"비교",""))))</f>
        <v/>
      </c>
      <c r="R1601" s="9">
        <f>IF(Q1601="","",$K1601&amp;"")</f>
        <v/>
      </c>
      <c r="S1601" s="9">
        <f>IF(Q1601="","",IF(MATCH(R1601,$R$5:$R$100000,0)=ROW()-4,ROW(),""))</f>
        <v/>
      </c>
      <c r="T1601" s="9">
        <f>IF(Q1601="당기",ABS(P1601)+ROW()/1000000000,"")</f>
        <v/>
      </c>
      <c r="U1601" s="9">
        <f>IF(Q1601="비교",ABS(P1601)+ROW()/1000000000,"")</f>
        <v/>
      </c>
      <c r="V1601" s="39">
        <f>IF($A1601="","",IF(COUNTIF(변동분석!$E$7:$E$506,O1601)&gt;0,"Y","N"))</f>
        <v/>
      </c>
      <c r="W1601" s="39">
        <f>IF($A1601="","",IFERROR(INDEX(계정매핑!$D$5:$D$504,MATCH($F1601&amp;"",계정매핑!$A$5:$A$504,0)),"미매핑"))</f>
        <v/>
      </c>
      <c r="X1601" s="9">
        <f>IF($A1601="","",$F1601&amp;"")</f>
        <v/>
      </c>
    </row>
    <row r="1602">
      <c r="A1602" s="75" t="n">
        <v>2025</v>
      </c>
      <c r="B1602" s="75" t="n">
        <v>9</v>
      </c>
      <c r="C1602" s="75" t="inlineStr">
        <is>
          <t>5100001598</t>
        </is>
      </c>
      <c r="D1602" s="78" t="n">
        <v>45906</v>
      </c>
      <c r="E1602" s="75" t="inlineStr">
        <is>
          <t>KR</t>
        </is>
      </c>
      <c r="F1602" s="75" t="n">
        <v>62102000</v>
      </c>
      <c r="G1602" s="75" t="n">
        <v>1201</v>
      </c>
      <c r="H1602" s="76" t="n">
        <v>47000</v>
      </c>
      <c r="I1602" s="75" t="inlineStr">
        <is>
          <t>9월 해외출장 - N호텔</t>
        </is>
      </c>
      <c r="J1602" s="75" t="inlineStr">
        <is>
          <t>V10007</t>
        </is>
      </c>
      <c r="K1602" s="75" t="inlineStr">
        <is>
          <t>N호텔</t>
        </is>
      </c>
      <c r="M1602" s="9">
        <f>IF($A1602="","",VALUE($A1602&amp;"")*12+VALUE($B1602&amp;""))</f>
        <v/>
      </c>
      <c r="N1602" s="39">
        <f>IF($A1602="","",IFERROR(INDEX(부서매핑!$C$5:$C$504,MATCH($G1602&amp;"",부서매핑!$A$5:$A$504,0)),"미매핑"))</f>
        <v/>
      </c>
      <c r="O1602" s="9">
        <f>IF($A1602="","",N1602&amp;"|"&amp;$F1602)</f>
        <v/>
      </c>
      <c r="P1602" s="77">
        <f>IF($A1602="",0,$H1602*설정!$C$23)</f>
        <v/>
      </c>
      <c r="Q1602" s="39">
        <f>IF($A1602="","",IF(O1602&lt;&gt;원인분석!$C$9,"",IF(AND(M1602&gt;=원인분석!$C$10,M1602&lt;=원인분석!$C$11),"당기",IF(AND(M1602&gt;=원인분석!$C$12,M1602&lt;=원인분석!$C$13),"비교",""))))</f>
        <v/>
      </c>
      <c r="R1602" s="9">
        <f>IF(Q1602="","",$K1602&amp;"")</f>
        <v/>
      </c>
      <c r="S1602" s="9">
        <f>IF(Q1602="","",IF(MATCH(R1602,$R$5:$R$100000,0)=ROW()-4,ROW(),""))</f>
        <v/>
      </c>
      <c r="T1602" s="9">
        <f>IF(Q1602="당기",ABS(P1602)+ROW()/1000000000,"")</f>
        <v/>
      </c>
      <c r="U1602" s="9">
        <f>IF(Q1602="비교",ABS(P1602)+ROW()/1000000000,"")</f>
        <v/>
      </c>
      <c r="V1602" s="39">
        <f>IF($A1602="","",IF(COUNTIF(변동분석!$E$7:$E$506,O1602)&gt;0,"Y","N"))</f>
        <v/>
      </c>
      <c r="W1602" s="39">
        <f>IF($A1602="","",IFERROR(INDEX(계정매핑!$D$5:$D$504,MATCH($F1602&amp;"",계정매핑!$A$5:$A$504,0)),"미매핑"))</f>
        <v/>
      </c>
      <c r="X1602" s="9">
        <f>IF($A1602="","",$F1602&amp;"")</f>
        <v/>
      </c>
    </row>
    <row r="1603">
      <c r="A1603" s="75" t="n">
        <v>2025</v>
      </c>
      <c r="B1603" s="75" t="n">
        <v>9</v>
      </c>
      <c r="C1603" s="75" t="inlineStr">
        <is>
          <t>5100001599</t>
        </is>
      </c>
      <c r="D1603" s="78" t="n">
        <v>45906</v>
      </c>
      <c r="E1603" s="75" t="inlineStr">
        <is>
          <t>KR</t>
        </is>
      </c>
      <c r="F1603" s="75" t="n">
        <v>62102000</v>
      </c>
      <c r="G1603" s="75" t="n">
        <v>1601</v>
      </c>
      <c r="H1603" s="76" t="n">
        <v>343000</v>
      </c>
      <c r="I1603" s="75" t="inlineStr">
        <is>
          <t>9월 해외출장 - M항공</t>
        </is>
      </c>
      <c r="J1603" s="75" t="inlineStr">
        <is>
          <t>V10001</t>
        </is>
      </c>
      <c r="K1603" s="75" t="inlineStr">
        <is>
          <t>M항공</t>
        </is>
      </c>
      <c r="M1603" s="9">
        <f>IF($A1603="","",VALUE($A1603&amp;"")*12+VALUE($B1603&amp;""))</f>
        <v/>
      </c>
      <c r="N1603" s="39">
        <f>IF($A1603="","",IFERROR(INDEX(부서매핑!$C$5:$C$504,MATCH($G1603&amp;"",부서매핑!$A$5:$A$504,0)),"미매핑"))</f>
        <v/>
      </c>
      <c r="O1603" s="9">
        <f>IF($A1603="","",N1603&amp;"|"&amp;$F1603)</f>
        <v/>
      </c>
      <c r="P1603" s="77">
        <f>IF($A1603="",0,$H1603*설정!$C$23)</f>
        <v/>
      </c>
      <c r="Q1603" s="39">
        <f>IF($A1603="","",IF(O1603&lt;&gt;원인분석!$C$9,"",IF(AND(M1603&gt;=원인분석!$C$10,M1603&lt;=원인분석!$C$11),"당기",IF(AND(M1603&gt;=원인분석!$C$12,M1603&lt;=원인분석!$C$13),"비교",""))))</f>
        <v/>
      </c>
      <c r="R1603" s="9">
        <f>IF(Q1603="","",$K1603&amp;"")</f>
        <v/>
      </c>
      <c r="S1603" s="9">
        <f>IF(Q1603="","",IF(MATCH(R1603,$R$5:$R$100000,0)=ROW()-4,ROW(),""))</f>
        <v/>
      </c>
      <c r="T1603" s="9">
        <f>IF(Q1603="당기",ABS(P1603)+ROW()/1000000000,"")</f>
        <v/>
      </c>
      <c r="U1603" s="9">
        <f>IF(Q1603="비교",ABS(P1603)+ROW()/1000000000,"")</f>
        <v/>
      </c>
      <c r="V1603" s="39">
        <f>IF($A1603="","",IF(COUNTIF(변동분석!$E$7:$E$506,O1603)&gt;0,"Y","N"))</f>
        <v/>
      </c>
      <c r="W1603" s="39">
        <f>IF($A1603="","",IFERROR(INDEX(계정매핑!$D$5:$D$504,MATCH($F1603&amp;"",계정매핑!$A$5:$A$504,0)),"미매핑"))</f>
        <v/>
      </c>
      <c r="X1603" s="9">
        <f>IF($A1603="","",$F1603&amp;"")</f>
        <v/>
      </c>
    </row>
    <row r="1604">
      <c r="A1604" s="75" t="n">
        <v>2025</v>
      </c>
      <c r="B1604" s="75" t="n">
        <v>9</v>
      </c>
      <c r="C1604" s="75" t="inlineStr">
        <is>
          <t>5100001600</t>
        </is>
      </c>
      <c r="D1604" s="78" t="n">
        <v>45906</v>
      </c>
      <c r="E1604" s="75" t="inlineStr">
        <is>
          <t>KR</t>
        </is>
      </c>
      <c r="F1604" s="75" t="n">
        <v>62301000</v>
      </c>
      <c r="G1604" s="75" t="n">
        <v>1601</v>
      </c>
      <c r="H1604" s="76" t="n">
        <v>577000</v>
      </c>
      <c r="I1604" s="75" t="inlineStr">
        <is>
          <t>9월 소모품 구입 - Q오피스</t>
        </is>
      </c>
      <c r="J1604" s="75" t="inlineStr">
        <is>
          <t>V10003</t>
        </is>
      </c>
      <c r="K1604" s="75" t="inlineStr">
        <is>
          <t>Q오피스</t>
        </is>
      </c>
      <c r="M1604" s="9">
        <f>IF($A1604="","",VALUE($A1604&amp;"")*12+VALUE($B1604&amp;""))</f>
        <v/>
      </c>
      <c r="N1604" s="39">
        <f>IF($A1604="","",IFERROR(INDEX(부서매핑!$C$5:$C$504,MATCH($G1604&amp;"",부서매핑!$A$5:$A$504,0)),"미매핑"))</f>
        <v/>
      </c>
      <c r="O1604" s="9">
        <f>IF($A1604="","",N1604&amp;"|"&amp;$F1604)</f>
        <v/>
      </c>
      <c r="P1604" s="77">
        <f>IF($A1604="",0,$H1604*설정!$C$23)</f>
        <v/>
      </c>
      <c r="Q1604" s="39">
        <f>IF($A1604="","",IF(O1604&lt;&gt;원인분석!$C$9,"",IF(AND(M1604&gt;=원인분석!$C$10,M1604&lt;=원인분석!$C$11),"당기",IF(AND(M1604&gt;=원인분석!$C$12,M1604&lt;=원인분석!$C$13),"비교",""))))</f>
        <v/>
      </c>
      <c r="R1604" s="9">
        <f>IF(Q1604="","",$K1604&amp;"")</f>
        <v/>
      </c>
      <c r="S1604" s="9">
        <f>IF(Q1604="","",IF(MATCH(R1604,$R$5:$R$100000,0)=ROW()-4,ROW(),""))</f>
        <v/>
      </c>
      <c r="T1604" s="9">
        <f>IF(Q1604="당기",ABS(P1604)+ROW()/1000000000,"")</f>
        <v/>
      </c>
      <c r="U1604" s="9">
        <f>IF(Q1604="비교",ABS(P1604)+ROW()/1000000000,"")</f>
        <v/>
      </c>
      <c r="V1604" s="39">
        <f>IF($A1604="","",IF(COUNTIF(변동분석!$E$7:$E$506,O1604)&gt;0,"Y","N"))</f>
        <v/>
      </c>
      <c r="W1604" s="39">
        <f>IF($A1604="","",IFERROR(INDEX(계정매핑!$D$5:$D$504,MATCH($F1604&amp;"",계정매핑!$A$5:$A$504,0)),"미매핑"))</f>
        <v/>
      </c>
      <c r="X1604" s="9">
        <f>IF($A1604="","",$F1604&amp;"")</f>
        <v/>
      </c>
    </row>
    <row r="1605">
      <c r="A1605" s="75" t="n">
        <v>2025</v>
      </c>
      <c r="B1605" s="75" t="n">
        <v>9</v>
      </c>
      <c r="C1605" s="75" t="inlineStr">
        <is>
          <t>5100001601</t>
        </is>
      </c>
      <c r="D1605" s="78" t="n">
        <v>45906</v>
      </c>
      <c r="E1605" s="75" t="inlineStr">
        <is>
          <t>KR</t>
        </is>
      </c>
      <c r="F1605" s="75" t="n">
        <v>62801000</v>
      </c>
      <c r="G1605" s="75" t="n">
        <v>1301</v>
      </c>
      <c r="H1605" s="76" t="n">
        <v>2897000</v>
      </c>
      <c r="I1605" s="75" t="inlineStr">
        <is>
          <t>9월 사내교육 - (사내강사료)</t>
        </is>
      </c>
      <c r="J1605" s="75" t="inlineStr">
        <is>
          <t>V10020</t>
        </is>
      </c>
      <c r="K1605" s="75" t="inlineStr">
        <is>
          <t>(사내강사료)</t>
        </is>
      </c>
      <c r="M1605" s="9">
        <f>IF($A1605="","",VALUE($A1605&amp;"")*12+VALUE($B1605&amp;""))</f>
        <v/>
      </c>
      <c r="N1605" s="39">
        <f>IF($A1605="","",IFERROR(INDEX(부서매핑!$C$5:$C$504,MATCH($G1605&amp;"",부서매핑!$A$5:$A$504,0)),"미매핑"))</f>
        <v/>
      </c>
      <c r="O1605" s="9">
        <f>IF($A1605="","",N1605&amp;"|"&amp;$F1605)</f>
        <v/>
      </c>
      <c r="P1605" s="77">
        <f>IF($A1605="",0,$H1605*설정!$C$23)</f>
        <v/>
      </c>
      <c r="Q1605" s="39">
        <f>IF($A1605="","",IF(O1605&lt;&gt;원인분석!$C$9,"",IF(AND(M1605&gt;=원인분석!$C$10,M1605&lt;=원인분석!$C$11),"당기",IF(AND(M1605&gt;=원인분석!$C$12,M1605&lt;=원인분석!$C$13),"비교",""))))</f>
        <v/>
      </c>
      <c r="R1605" s="9">
        <f>IF(Q1605="","",$K1605&amp;"")</f>
        <v/>
      </c>
      <c r="S1605" s="9">
        <f>IF(Q1605="","",IF(MATCH(R1605,$R$5:$R$100000,0)=ROW()-4,ROW(),""))</f>
        <v/>
      </c>
      <c r="T1605" s="9">
        <f>IF(Q1605="당기",ABS(P1605)+ROW()/1000000000,"")</f>
        <v/>
      </c>
      <c r="U1605" s="9">
        <f>IF(Q1605="비교",ABS(P1605)+ROW()/1000000000,"")</f>
        <v/>
      </c>
      <c r="V1605" s="39">
        <f>IF($A1605="","",IF(COUNTIF(변동분석!$E$7:$E$506,O1605)&gt;0,"Y","N"))</f>
        <v/>
      </c>
      <c r="W1605" s="39">
        <f>IF($A1605="","",IFERROR(INDEX(계정매핑!$D$5:$D$504,MATCH($F1605&amp;"",계정매핑!$A$5:$A$504,0)),"미매핑"))</f>
        <v/>
      </c>
      <c r="X1605" s="9">
        <f>IF($A1605="","",$F1605&amp;"")</f>
        <v/>
      </c>
    </row>
    <row r="1606">
      <c r="A1606" s="75" t="n">
        <v>2025</v>
      </c>
      <c r="B1606" s="75" t="n">
        <v>9</v>
      </c>
      <c r="C1606" s="75" t="inlineStr">
        <is>
          <t>5100001602</t>
        </is>
      </c>
      <c r="D1606" s="78" t="n">
        <v>45906</v>
      </c>
      <c r="E1606" s="75" t="inlineStr">
        <is>
          <t>KR</t>
        </is>
      </c>
      <c r="F1606" s="75" t="n">
        <v>62802000</v>
      </c>
      <c r="G1606" s="75" t="n">
        <v>1301</v>
      </c>
      <c r="H1606" s="76" t="n">
        <v>8244000</v>
      </c>
      <c r="I1606" s="75" t="inlineStr">
        <is>
          <t>9월 위탁교육 - I교육원</t>
        </is>
      </c>
      <c r="J1606" s="75" t="inlineStr">
        <is>
          <t>V10015</t>
        </is>
      </c>
      <c r="K1606" s="75" t="inlineStr">
        <is>
          <t>I교육원</t>
        </is>
      </c>
      <c r="M1606" s="9">
        <f>IF($A1606="","",VALUE($A1606&amp;"")*12+VALUE($B1606&amp;""))</f>
        <v/>
      </c>
      <c r="N1606" s="39">
        <f>IF($A1606="","",IFERROR(INDEX(부서매핑!$C$5:$C$504,MATCH($G1606&amp;"",부서매핑!$A$5:$A$504,0)),"미매핑"))</f>
        <v/>
      </c>
      <c r="O1606" s="9">
        <f>IF($A1606="","",N1606&amp;"|"&amp;$F1606)</f>
        <v/>
      </c>
      <c r="P1606" s="77">
        <f>IF($A1606="",0,$H1606*설정!$C$23)</f>
        <v/>
      </c>
      <c r="Q1606" s="39">
        <f>IF($A1606="","",IF(O1606&lt;&gt;원인분석!$C$9,"",IF(AND(M1606&gt;=원인분석!$C$10,M1606&lt;=원인분석!$C$11),"당기",IF(AND(M1606&gt;=원인분석!$C$12,M1606&lt;=원인분석!$C$13),"비교",""))))</f>
        <v/>
      </c>
      <c r="R1606" s="9">
        <f>IF(Q1606="","",$K1606&amp;"")</f>
        <v/>
      </c>
      <c r="S1606" s="9">
        <f>IF(Q1606="","",IF(MATCH(R1606,$R$5:$R$100000,0)=ROW()-4,ROW(),""))</f>
        <v/>
      </c>
      <c r="T1606" s="9">
        <f>IF(Q1606="당기",ABS(P1606)+ROW()/1000000000,"")</f>
        <v/>
      </c>
      <c r="U1606" s="9">
        <f>IF(Q1606="비교",ABS(P1606)+ROW()/1000000000,"")</f>
        <v/>
      </c>
      <c r="V1606" s="39">
        <f>IF($A1606="","",IF(COUNTIF(변동분석!$E$7:$E$506,O1606)&gt;0,"Y","N"))</f>
        <v/>
      </c>
      <c r="W1606" s="39">
        <f>IF($A1606="","",IFERROR(INDEX(계정매핑!$D$5:$D$504,MATCH($F1606&amp;"",계정매핑!$A$5:$A$504,0)),"미매핑"))</f>
        <v/>
      </c>
      <c r="X1606" s="9">
        <f>IF($A1606="","",$F1606&amp;"")</f>
        <v/>
      </c>
    </row>
    <row r="1607">
      <c r="A1607" s="75" t="n">
        <v>2025</v>
      </c>
      <c r="B1607" s="75" t="n">
        <v>9</v>
      </c>
      <c r="C1607" s="75" t="inlineStr">
        <is>
          <t>5100001603</t>
        </is>
      </c>
      <c r="D1607" s="78" t="n">
        <v>45907</v>
      </c>
      <c r="E1607" s="75" t="inlineStr">
        <is>
          <t>KR</t>
        </is>
      </c>
      <c r="F1607" s="75" t="n">
        <v>62101000</v>
      </c>
      <c r="G1607" s="75" t="n">
        <v>1401</v>
      </c>
      <c r="H1607" s="76" t="n">
        <v>262000</v>
      </c>
      <c r="I1607" s="75" t="inlineStr">
        <is>
          <t>9월 국내출장 - L여행사</t>
        </is>
      </c>
      <c r="J1607" s="75" t="inlineStr">
        <is>
          <t>V10014</t>
        </is>
      </c>
      <c r="K1607" s="75" t="inlineStr">
        <is>
          <t>L여행사</t>
        </is>
      </c>
      <c r="M1607" s="9">
        <f>IF($A1607="","",VALUE($A1607&amp;"")*12+VALUE($B1607&amp;""))</f>
        <v/>
      </c>
      <c r="N1607" s="39">
        <f>IF($A1607="","",IFERROR(INDEX(부서매핑!$C$5:$C$504,MATCH($G1607&amp;"",부서매핑!$A$5:$A$504,0)),"미매핑"))</f>
        <v/>
      </c>
      <c r="O1607" s="9">
        <f>IF($A1607="","",N1607&amp;"|"&amp;$F1607)</f>
        <v/>
      </c>
      <c r="P1607" s="77">
        <f>IF($A1607="",0,$H1607*설정!$C$23)</f>
        <v/>
      </c>
      <c r="Q1607" s="39">
        <f>IF($A1607="","",IF(O1607&lt;&gt;원인분석!$C$9,"",IF(AND(M1607&gt;=원인분석!$C$10,M1607&lt;=원인분석!$C$11),"당기",IF(AND(M1607&gt;=원인분석!$C$12,M1607&lt;=원인분석!$C$13),"비교",""))))</f>
        <v/>
      </c>
      <c r="R1607" s="9">
        <f>IF(Q1607="","",$K1607&amp;"")</f>
        <v/>
      </c>
      <c r="S1607" s="9">
        <f>IF(Q1607="","",IF(MATCH(R1607,$R$5:$R$100000,0)=ROW()-4,ROW(),""))</f>
        <v/>
      </c>
      <c r="T1607" s="9">
        <f>IF(Q1607="당기",ABS(P1607)+ROW()/1000000000,"")</f>
        <v/>
      </c>
      <c r="U1607" s="9">
        <f>IF(Q1607="비교",ABS(P1607)+ROW()/1000000000,"")</f>
        <v/>
      </c>
      <c r="V1607" s="39">
        <f>IF($A1607="","",IF(COUNTIF(변동분석!$E$7:$E$506,O1607)&gt;0,"Y","N"))</f>
        <v/>
      </c>
      <c r="W1607" s="39">
        <f>IF($A1607="","",IFERROR(INDEX(계정매핑!$D$5:$D$504,MATCH($F1607&amp;"",계정매핑!$A$5:$A$504,0)),"미매핑"))</f>
        <v/>
      </c>
      <c r="X1607" s="9">
        <f>IF($A1607="","",$F1607&amp;"")</f>
        <v/>
      </c>
    </row>
    <row r="1608">
      <c r="A1608" s="75" t="n">
        <v>2025</v>
      </c>
      <c r="B1608" s="75" t="n">
        <v>9</v>
      </c>
      <c r="C1608" s="75" t="inlineStr">
        <is>
          <t>5100001604</t>
        </is>
      </c>
      <c r="D1608" s="78" t="n">
        <v>45907</v>
      </c>
      <c r="E1608" s="75" t="inlineStr">
        <is>
          <t>KR</t>
        </is>
      </c>
      <c r="F1608" s="75" t="n">
        <v>62201000</v>
      </c>
      <c r="G1608" s="75" t="n">
        <v>1401</v>
      </c>
      <c r="H1608" s="76" t="n">
        <v>204000</v>
      </c>
      <c r="I1608" s="75" t="inlineStr">
        <is>
          <t>9월 통신요금 - P통신</t>
        </is>
      </c>
      <c r="J1608" s="75" t="inlineStr">
        <is>
          <t>V10011</t>
        </is>
      </c>
      <c r="K1608" s="75" t="inlineStr">
        <is>
          <t>P통신</t>
        </is>
      </c>
      <c r="M1608" s="9">
        <f>IF($A1608="","",VALUE($A1608&amp;"")*12+VALUE($B1608&amp;""))</f>
        <v/>
      </c>
      <c r="N1608" s="39">
        <f>IF($A1608="","",IFERROR(INDEX(부서매핑!$C$5:$C$504,MATCH($G1608&amp;"",부서매핑!$A$5:$A$504,0)),"미매핑"))</f>
        <v/>
      </c>
      <c r="O1608" s="9">
        <f>IF($A1608="","",N1608&amp;"|"&amp;$F1608)</f>
        <v/>
      </c>
      <c r="P1608" s="77">
        <f>IF($A1608="",0,$H1608*설정!$C$23)</f>
        <v/>
      </c>
      <c r="Q1608" s="39">
        <f>IF($A1608="","",IF(O1608&lt;&gt;원인분석!$C$9,"",IF(AND(M1608&gt;=원인분석!$C$10,M1608&lt;=원인분석!$C$11),"당기",IF(AND(M1608&gt;=원인분석!$C$12,M1608&lt;=원인분석!$C$13),"비교",""))))</f>
        <v/>
      </c>
      <c r="R1608" s="9">
        <f>IF(Q1608="","",$K1608&amp;"")</f>
        <v/>
      </c>
      <c r="S1608" s="9">
        <f>IF(Q1608="","",IF(MATCH(R1608,$R$5:$R$100000,0)=ROW()-4,ROW(),""))</f>
        <v/>
      </c>
      <c r="T1608" s="9">
        <f>IF(Q1608="당기",ABS(P1608)+ROW()/1000000000,"")</f>
        <v/>
      </c>
      <c r="U1608" s="9">
        <f>IF(Q1608="비교",ABS(P1608)+ROW()/1000000000,"")</f>
        <v/>
      </c>
      <c r="V1608" s="39">
        <f>IF($A1608="","",IF(COUNTIF(변동분석!$E$7:$E$506,O1608)&gt;0,"Y","N"))</f>
        <v/>
      </c>
      <c r="W1608" s="39">
        <f>IF($A1608="","",IFERROR(INDEX(계정매핑!$D$5:$D$504,MATCH($F1608&amp;"",계정매핑!$A$5:$A$504,0)),"미매핑"))</f>
        <v/>
      </c>
      <c r="X1608" s="9">
        <f>IF($A1608="","",$F1608&amp;"")</f>
        <v/>
      </c>
    </row>
    <row r="1609">
      <c r="A1609" s="75" t="n">
        <v>2025</v>
      </c>
      <c r="B1609" s="75" t="n">
        <v>9</v>
      </c>
      <c r="C1609" s="75" t="inlineStr">
        <is>
          <t>5100001605</t>
        </is>
      </c>
      <c r="D1609" s="78" t="n">
        <v>45907</v>
      </c>
      <c r="E1609" s="75" t="inlineStr">
        <is>
          <t>KR</t>
        </is>
      </c>
      <c r="F1609" s="75" t="n">
        <v>62201000</v>
      </c>
      <c r="G1609" s="75" t="n">
        <v>1801</v>
      </c>
      <c r="H1609" s="76" t="n">
        <v>3942000</v>
      </c>
      <c r="I1609" s="75" t="inlineStr">
        <is>
          <t>9월 통신요금 - O텔레콤</t>
        </is>
      </c>
      <c r="J1609" s="75" t="inlineStr">
        <is>
          <t>V10002</t>
        </is>
      </c>
      <c r="K1609" s="75" t="inlineStr">
        <is>
          <t>O텔레콤</t>
        </is>
      </c>
      <c r="M1609" s="9">
        <f>IF($A1609="","",VALUE($A1609&amp;"")*12+VALUE($B1609&amp;""))</f>
        <v/>
      </c>
      <c r="N1609" s="39">
        <f>IF($A1609="","",IFERROR(INDEX(부서매핑!$C$5:$C$504,MATCH($G1609&amp;"",부서매핑!$A$5:$A$504,0)),"미매핑"))</f>
        <v/>
      </c>
      <c r="O1609" s="9">
        <f>IF($A1609="","",N1609&amp;"|"&amp;$F1609)</f>
        <v/>
      </c>
      <c r="P1609" s="77">
        <f>IF($A1609="",0,$H1609*설정!$C$23)</f>
        <v/>
      </c>
      <c r="Q1609" s="39">
        <f>IF($A1609="","",IF(O1609&lt;&gt;원인분석!$C$9,"",IF(AND(M1609&gt;=원인분석!$C$10,M1609&lt;=원인분석!$C$11),"당기",IF(AND(M1609&gt;=원인분석!$C$12,M1609&lt;=원인분석!$C$13),"비교",""))))</f>
        <v/>
      </c>
      <c r="R1609" s="9">
        <f>IF(Q1609="","",$K1609&amp;"")</f>
        <v/>
      </c>
      <c r="S1609" s="9">
        <f>IF(Q1609="","",IF(MATCH(R1609,$R$5:$R$100000,0)=ROW()-4,ROW(),""))</f>
        <v/>
      </c>
      <c r="T1609" s="9">
        <f>IF(Q1609="당기",ABS(P1609)+ROW()/1000000000,"")</f>
        <v/>
      </c>
      <c r="U1609" s="9">
        <f>IF(Q1609="비교",ABS(P1609)+ROW()/1000000000,"")</f>
        <v/>
      </c>
      <c r="V1609" s="39">
        <f>IF($A1609="","",IF(COUNTIF(변동분석!$E$7:$E$506,O1609)&gt;0,"Y","N"))</f>
        <v/>
      </c>
      <c r="W1609" s="39">
        <f>IF($A1609="","",IFERROR(INDEX(계정매핑!$D$5:$D$504,MATCH($F1609&amp;"",계정매핑!$A$5:$A$504,0)),"미매핑"))</f>
        <v/>
      </c>
      <c r="X1609" s="9">
        <f>IF($A1609="","",$F1609&amp;"")</f>
        <v/>
      </c>
    </row>
    <row r="1610">
      <c r="A1610" s="75" t="n">
        <v>2025</v>
      </c>
      <c r="B1610" s="75" t="n">
        <v>9</v>
      </c>
      <c r="C1610" s="75" t="inlineStr">
        <is>
          <t>5100001606</t>
        </is>
      </c>
      <c r="D1610" s="78" t="n">
        <v>45907</v>
      </c>
      <c r="E1610" s="75" t="inlineStr">
        <is>
          <t>KR</t>
        </is>
      </c>
      <c r="F1610" s="75" t="n">
        <v>62301000</v>
      </c>
      <c r="G1610" s="75" t="n">
        <v>1602</v>
      </c>
      <c r="H1610" s="76" t="n">
        <v>529000</v>
      </c>
      <c r="I1610" s="75" t="inlineStr">
        <is>
          <t>9월 소모품 구입 - R문구</t>
        </is>
      </c>
      <c r="J1610" s="75" t="inlineStr">
        <is>
          <t>V10018</t>
        </is>
      </c>
      <c r="K1610" s="75" t="inlineStr">
        <is>
          <t>R문구</t>
        </is>
      </c>
      <c r="M1610" s="9">
        <f>IF($A1610="","",VALUE($A1610&amp;"")*12+VALUE($B1610&amp;""))</f>
        <v/>
      </c>
      <c r="N1610" s="39">
        <f>IF($A1610="","",IFERROR(INDEX(부서매핑!$C$5:$C$504,MATCH($G1610&amp;"",부서매핑!$A$5:$A$504,0)),"미매핑"))</f>
        <v/>
      </c>
      <c r="O1610" s="9">
        <f>IF($A1610="","",N1610&amp;"|"&amp;$F1610)</f>
        <v/>
      </c>
      <c r="P1610" s="77">
        <f>IF($A1610="",0,$H1610*설정!$C$23)</f>
        <v/>
      </c>
      <c r="Q1610" s="39">
        <f>IF($A1610="","",IF(O1610&lt;&gt;원인분석!$C$9,"",IF(AND(M1610&gt;=원인분석!$C$10,M1610&lt;=원인분석!$C$11),"당기",IF(AND(M1610&gt;=원인분석!$C$12,M1610&lt;=원인분석!$C$13),"비교",""))))</f>
        <v/>
      </c>
      <c r="R1610" s="9">
        <f>IF(Q1610="","",$K1610&amp;"")</f>
        <v/>
      </c>
      <c r="S1610" s="9">
        <f>IF(Q1610="","",IF(MATCH(R1610,$R$5:$R$100000,0)=ROW()-4,ROW(),""))</f>
        <v/>
      </c>
      <c r="T1610" s="9">
        <f>IF(Q1610="당기",ABS(P1610)+ROW()/1000000000,"")</f>
        <v/>
      </c>
      <c r="U1610" s="9">
        <f>IF(Q1610="비교",ABS(P1610)+ROW()/1000000000,"")</f>
        <v/>
      </c>
      <c r="V1610" s="39">
        <f>IF($A1610="","",IF(COUNTIF(변동분석!$E$7:$E$506,O1610)&gt;0,"Y","N"))</f>
        <v/>
      </c>
      <c r="W1610" s="39">
        <f>IF($A1610="","",IFERROR(INDEX(계정매핑!$D$5:$D$504,MATCH($F1610&amp;"",계정매핑!$A$5:$A$504,0)),"미매핑"))</f>
        <v/>
      </c>
      <c r="X1610" s="9">
        <f>IF($A1610="","",$F1610&amp;"")</f>
        <v/>
      </c>
    </row>
    <row r="1611">
      <c r="A1611" s="75" t="n">
        <v>2025</v>
      </c>
      <c r="B1611" s="75" t="n">
        <v>9</v>
      </c>
      <c r="C1611" s="75" t="inlineStr">
        <is>
          <t>5100001607</t>
        </is>
      </c>
      <c r="D1611" s="78" t="n">
        <v>45907</v>
      </c>
      <c r="E1611" s="75" t="inlineStr">
        <is>
          <t>KR</t>
        </is>
      </c>
      <c r="F1611" s="75" t="n">
        <v>62501000</v>
      </c>
      <c r="G1611" s="75" t="n">
        <v>1301</v>
      </c>
      <c r="H1611" s="76" t="n">
        <v>190000</v>
      </c>
      <c r="I1611" s="75" t="inlineStr">
        <is>
          <t>9월 회의 다과 - (법인카드)</t>
        </is>
      </c>
      <c r="J1611" s="75" t="inlineStr">
        <is>
          <t>V10008</t>
        </is>
      </c>
      <c r="K1611" s="75" t="inlineStr">
        <is>
          <t>(법인카드)</t>
        </is>
      </c>
      <c r="M1611" s="9">
        <f>IF($A1611="","",VALUE($A1611&amp;"")*12+VALUE($B1611&amp;""))</f>
        <v/>
      </c>
      <c r="N1611" s="39">
        <f>IF($A1611="","",IFERROR(INDEX(부서매핑!$C$5:$C$504,MATCH($G1611&amp;"",부서매핑!$A$5:$A$504,0)),"미매핑"))</f>
        <v/>
      </c>
      <c r="O1611" s="9">
        <f>IF($A1611="","",N1611&amp;"|"&amp;$F1611)</f>
        <v/>
      </c>
      <c r="P1611" s="77">
        <f>IF($A1611="",0,$H1611*설정!$C$23)</f>
        <v/>
      </c>
      <c r="Q1611" s="39">
        <f>IF($A1611="","",IF(O1611&lt;&gt;원인분석!$C$9,"",IF(AND(M1611&gt;=원인분석!$C$10,M1611&lt;=원인분석!$C$11),"당기",IF(AND(M1611&gt;=원인분석!$C$12,M1611&lt;=원인분석!$C$13),"비교",""))))</f>
        <v/>
      </c>
      <c r="R1611" s="9">
        <f>IF(Q1611="","",$K1611&amp;"")</f>
        <v/>
      </c>
      <c r="S1611" s="9">
        <f>IF(Q1611="","",IF(MATCH(R1611,$R$5:$R$100000,0)=ROW()-4,ROW(),""))</f>
        <v/>
      </c>
      <c r="T1611" s="9">
        <f>IF(Q1611="당기",ABS(P1611)+ROW()/1000000000,"")</f>
        <v/>
      </c>
      <c r="U1611" s="9">
        <f>IF(Q1611="비교",ABS(P1611)+ROW()/1000000000,"")</f>
        <v/>
      </c>
      <c r="V1611" s="39">
        <f>IF($A1611="","",IF(COUNTIF(변동분석!$E$7:$E$506,O1611)&gt;0,"Y","N"))</f>
        <v/>
      </c>
      <c r="W1611" s="39">
        <f>IF($A1611="","",IFERROR(INDEX(계정매핑!$D$5:$D$504,MATCH($F1611&amp;"",계정매핑!$A$5:$A$504,0)),"미매핑"))</f>
        <v/>
      </c>
      <c r="X1611" s="9">
        <f>IF($A1611="","",$F1611&amp;"")</f>
        <v/>
      </c>
    </row>
    <row r="1612">
      <c r="A1612" s="75" t="n">
        <v>2025</v>
      </c>
      <c r="B1612" s="75" t="n">
        <v>9</v>
      </c>
      <c r="C1612" s="75" t="inlineStr">
        <is>
          <t>5100001608</t>
        </is>
      </c>
      <c r="D1612" s="78" t="n">
        <v>45907</v>
      </c>
      <c r="E1612" s="75" t="inlineStr">
        <is>
          <t>KR</t>
        </is>
      </c>
      <c r="F1612" s="75" t="n">
        <v>62601000</v>
      </c>
      <c r="G1612" s="75" t="n">
        <v>1101</v>
      </c>
      <c r="H1612" s="76" t="n">
        <v>1412000</v>
      </c>
      <c r="I1612" s="75" t="inlineStr">
        <is>
          <t>9월 업무추진 - (법인카드)</t>
        </is>
      </c>
      <c r="J1612" s="75" t="inlineStr">
        <is>
          <t>V10008</t>
        </is>
      </c>
      <c r="K1612" s="75" t="inlineStr">
        <is>
          <t>(법인카드)</t>
        </is>
      </c>
      <c r="M1612" s="9">
        <f>IF($A1612="","",VALUE($A1612&amp;"")*12+VALUE($B1612&amp;""))</f>
        <v/>
      </c>
      <c r="N1612" s="39">
        <f>IF($A1612="","",IFERROR(INDEX(부서매핑!$C$5:$C$504,MATCH($G1612&amp;"",부서매핑!$A$5:$A$504,0)),"미매핑"))</f>
        <v/>
      </c>
      <c r="O1612" s="9">
        <f>IF($A1612="","",N1612&amp;"|"&amp;$F1612)</f>
        <v/>
      </c>
      <c r="P1612" s="77">
        <f>IF($A1612="",0,$H1612*설정!$C$23)</f>
        <v/>
      </c>
      <c r="Q1612" s="39">
        <f>IF($A1612="","",IF(O1612&lt;&gt;원인분석!$C$9,"",IF(AND(M1612&gt;=원인분석!$C$10,M1612&lt;=원인분석!$C$11),"당기",IF(AND(M1612&gt;=원인분석!$C$12,M1612&lt;=원인분석!$C$13),"비교",""))))</f>
        <v/>
      </c>
      <c r="R1612" s="9">
        <f>IF(Q1612="","",$K1612&amp;"")</f>
        <v/>
      </c>
      <c r="S1612" s="9">
        <f>IF(Q1612="","",IF(MATCH(R1612,$R$5:$R$100000,0)=ROW()-4,ROW(),""))</f>
        <v/>
      </c>
      <c r="T1612" s="9">
        <f>IF(Q1612="당기",ABS(P1612)+ROW()/1000000000,"")</f>
        <v/>
      </c>
      <c r="U1612" s="9">
        <f>IF(Q1612="비교",ABS(P1612)+ROW()/1000000000,"")</f>
        <v/>
      </c>
      <c r="V1612" s="39">
        <f>IF($A1612="","",IF(COUNTIF(변동분석!$E$7:$E$506,O1612)&gt;0,"Y","N"))</f>
        <v/>
      </c>
      <c r="W1612" s="39">
        <f>IF($A1612="","",IFERROR(INDEX(계정매핑!$D$5:$D$504,MATCH($F1612&amp;"",계정매핑!$A$5:$A$504,0)),"미매핑"))</f>
        <v/>
      </c>
      <c r="X1612" s="9">
        <f>IF($A1612="","",$F1612&amp;"")</f>
        <v/>
      </c>
    </row>
    <row r="1613">
      <c r="A1613" s="75" t="n">
        <v>2025</v>
      </c>
      <c r="B1613" s="75" t="n">
        <v>9</v>
      </c>
      <c r="C1613" s="75" t="inlineStr">
        <is>
          <t>5100001609</t>
        </is>
      </c>
      <c r="D1613" s="78" t="n">
        <v>45908</v>
      </c>
      <c r="E1613" s="75" t="inlineStr">
        <is>
          <t>KR</t>
        </is>
      </c>
      <c r="F1613" s="75" t="n">
        <v>62101000</v>
      </c>
      <c r="G1613" s="75" t="n">
        <v>1301</v>
      </c>
      <c r="H1613" s="76" t="n">
        <v>359000</v>
      </c>
      <c r="I1613" s="75" t="inlineStr">
        <is>
          <t>9월 국내출장 - L여행사</t>
        </is>
      </c>
      <c r="J1613" s="75" t="inlineStr">
        <is>
          <t>V10014</t>
        </is>
      </c>
      <c r="K1613" s="75" t="inlineStr">
        <is>
          <t>L여행사</t>
        </is>
      </c>
      <c r="M1613" s="9">
        <f>IF($A1613="","",VALUE($A1613&amp;"")*12+VALUE($B1613&amp;""))</f>
        <v/>
      </c>
      <c r="N1613" s="39">
        <f>IF($A1613="","",IFERROR(INDEX(부서매핑!$C$5:$C$504,MATCH($G1613&amp;"",부서매핑!$A$5:$A$504,0)),"미매핑"))</f>
        <v/>
      </c>
      <c r="O1613" s="9">
        <f>IF($A1613="","",N1613&amp;"|"&amp;$F1613)</f>
        <v/>
      </c>
      <c r="P1613" s="77">
        <f>IF($A1613="",0,$H1613*설정!$C$23)</f>
        <v/>
      </c>
      <c r="Q1613" s="39">
        <f>IF($A1613="","",IF(O1613&lt;&gt;원인분석!$C$9,"",IF(AND(M1613&gt;=원인분석!$C$10,M1613&lt;=원인분석!$C$11),"당기",IF(AND(M1613&gt;=원인분석!$C$12,M1613&lt;=원인분석!$C$13),"비교",""))))</f>
        <v/>
      </c>
      <c r="R1613" s="9">
        <f>IF(Q1613="","",$K1613&amp;"")</f>
        <v/>
      </c>
      <c r="S1613" s="9">
        <f>IF(Q1613="","",IF(MATCH(R1613,$R$5:$R$100000,0)=ROW()-4,ROW(),""))</f>
        <v/>
      </c>
      <c r="T1613" s="9">
        <f>IF(Q1613="당기",ABS(P1613)+ROW()/1000000000,"")</f>
        <v/>
      </c>
      <c r="U1613" s="9">
        <f>IF(Q1613="비교",ABS(P1613)+ROW()/1000000000,"")</f>
        <v/>
      </c>
      <c r="V1613" s="39">
        <f>IF($A1613="","",IF(COUNTIF(변동분석!$E$7:$E$506,O1613)&gt;0,"Y","N"))</f>
        <v/>
      </c>
      <c r="W1613" s="39">
        <f>IF($A1613="","",IFERROR(INDEX(계정매핑!$D$5:$D$504,MATCH($F1613&amp;"",계정매핑!$A$5:$A$504,0)),"미매핑"))</f>
        <v/>
      </c>
      <c r="X1613" s="9">
        <f>IF($A1613="","",$F1613&amp;"")</f>
        <v/>
      </c>
    </row>
    <row r="1614">
      <c r="A1614" s="75" t="n">
        <v>2025</v>
      </c>
      <c r="B1614" s="75" t="n">
        <v>9</v>
      </c>
      <c r="C1614" s="75" t="inlineStr">
        <is>
          <t>5100001610</t>
        </is>
      </c>
      <c r="D1614" s="78" t="n">
        <v>45908</v>
      </c>
      <c r="E1614" s="75" t="inlineStr">
        <is>
          <t>KR</t>
        </is>
      </c>
      <c r="F1614" s="75" t="n">
        <v>62201000</v>
      </c>
      <c r="G1614" s="75" t="n">
        <v>1201</v>
      </c>
      <c r="H1614" s="76" t="n">
        <v>258000</v>
      </c>
      <c r="I1614" s="75" t="inlineStr">
        <is>
          <t>9월 통신요금 - P통신</t>
        </is>
      </c>
      <c r="J1614" s="75" t="inlineStr">
        <is>
          <t>V10011</t>
        </is>
      </c>
      <c r="K1614" s="75" t="inlineStr">
        <is>
          <t>P통신</t>
        </is>
      </c>
      <c r="M1614" s="9">
        <f>IF($A1614="","",VALUE($A1614&amp;"")*12+VALUE($B1614&amp;""))</f>
        <v/>
      </c>
      <c r="N1614" s="39">
        <f>IF($A1614="","",IFERROR(INDEX(부서매핑!$C$5:$C$504,MATCH($G1614&amp;"",부서매핑!$A$5:$A$504,0)),"미매핑"))</f>
        <v/>
      </c>
      <c r="O1614" s="9">
        <f>IF($A1614="","",N1614&amp;"|"&amp;$F1614)</f>
        <v/>
      </c>
      <c r="P1614" s="77">
        <f>IF($A1614="",0,$H1614*설정!$C$23)</f>
        <v/>
      </c>
      <c r="Q1614" s="39">
        <f>IF($A1614="","",IF(O1614&lt;&gt;원인분석!$C$9,"",IF(AND(M1614&gt;=원인분석!$C$10,M1614&lt;=원인분석!$C$11),"당기",IF(AND(M1614&gt;=원인분석!$C$12,M1614&lt;=원인분석!$C$13),"비교",""))))</f>
        <v/>
      </c>
      <c r="R1614" s="9">
        <f>IF(Q1614="","",$K1614&amp;"")</f>
        <v/>
      </c>
      <c r="S1614" s="9">
        <f>IF(Q1614="","",IF(MATCH(R1614,$R$5:$R$100000,0)=ROW()-4,ROW(),""))</f>
        <v/>
      </c>
      <c r="T1614" s="9">
        <f>IF(Q1614="당기",ABS(P1614)+ROW()/1000000000,"")</f>
        <v/>
      </c>
      <c r="U1614" s="9">
        <f>IF(Q1614="비교",ABS(P1614)+ROW()/1000000000,"")</f>
        <v/>
      </c>
      <c r="V1614" s="39">
        <f>IF($A1614="","",IF(COUNTIF(변동분석!$E$7:$E$506,O1614)&gt;0,"Y","N"))</f>
        <v/>
      </c>
      <c r="W1614" s="39">
        <f>IF($A1614="","",IFERROR(INDEX(계정매핑!$D$5:$D$504,MATCH($F1614&amp;"",계정매핑!$A$5:$A$504,0)),"미매핑"))</f>
        <v/>
      </c>
      <c r="X1614" s="9">
        <f>IF($A1614="","",$F1614&amp;"")</f>
        <v/>
      </c>
    </row>
    <row r="1615">
      <c r="A1615" s="75" t="n">
        <v>2025</v>
      </c>
      <c r="B1615" s="75" t="n">
        <v>9</v>
      </c>
      <c r="C1615" s="75" t="inlineStr">
        <is>
          <t>5100001611</t>
        </is>
      </c>
      <c r="D1615" s="78" t="n">
        <v>45908</v>
      </c>
      <c r="E1615" s="75" t="inlineStr">
        <is>
          <t>KR</t>
        </is>
      </c>
      <c r="F1615" s="75" t="n">
        <v>62201000</v>
      </c>
      <c r="G1615" s="75" t="n">
        <v>1601</v>
      </c>
      <c r="H1615" s="76" t="n">
        <v>738000</v>
      </c>
      <c r="I1615" s="75" t="inlineStr">
        <is>
          <t>9월 통신요금 - P통신</t>
        </is>
      </c>
      <c r="J1615" s="75" t="inlineStr">
        <is>
          <t>V10011</t>
        </is>
      </c>
      <c r="K1615" s="75" t="inlineStr">
        <is>
          <t>P통신</t>
        </is>
      </c>
      <c r="M1615" s="9">
        <f>IF($A1615="","",VALUE($A1615&amp;"")*12+VALUE($B1615&amp;""))</f>
        <v/>
      </c>
      <c r="N1615" s="39">
        <f>IF($A1615="","",IFERROR(INDEX(부서매핑!$C$5:$C$504,MATCH($G1615&amp;"",부서매핑!$A$5:$A$504,0)),"미매핑"))</f>
        <v/>
      </c>
      <c r="O1615" s="9">
        <f>IF($A1615="","",N1615&amp;"|"&amp;$F1615)</f>
        <v/>
      </c>
      <c r="P1615" s="77">
        <f>IF($A1615="",0,$H1615*설정!$C$23)</f>
        <v/>
      </c>
      <c r="Q1615" s="39">
        <f>IF($A1615="","",IF(O1615&lt;&gt;원인분석!$C$9,"",IF(AND(M1615&gt;=원인분석!$C$10,M1615&lt;=원인분석!$C$11),"당기",IF(AND(M1615&gt;=원인분석!$C$12,M1615&lt;=원인분석!$C$13),"비교",""))))</f>
        <v/>
      </c>
      <c r="R1615" s="9">
        <f>IF(Q1615="","",$K1615&amp;"")</f>
        <v/>
      </c>
      <c r="S1615" s="9">
        <f>IF(Q1615="","",IF(MATCH(R1615,$R$5:$R$100000,0)=ROW()-4,ROW(),""))</f>
        <v/>
      </c>
      <c r="T1615" s="9">
        <f>IF(Q1615="당기",ABS(P1615)+ROW()/1000000000,"")</f>
        <v/>
      </c>
      <c r="U1615" s="9">
        <f>IF(Q1615="비교",ABS(P1615)+ROW()/1000000000,"")</f>
        <v/>
      </c>
      <c r="V1615" s="39">
        <f>IF($A1615="","",IF(COUNTIF(변동분석!$E$7:$E$506,O1615)&gt;0,"Y","N"))</f>
        <v/>
      </c>
      <c r="W1615" s="39">
        <f>IF($A1615="","",IFERROR(INDEX(계정매핑!$D$5:$D$504,MATCH($F1615&amp;"",계정매핑!$A$5:$A$504,0)),"미매핑"))</f>
        <v/>
      </c>
      <c r="X1615" s="9">
        <f>IF($A1615="","",$F1615&amp;"")</f>
        <v/>
      </c>
    </row>
    <row r="1616">
      <c r="A1616" s="75" t="n">
        <v>2025</v>
      </c>
      <c r="B1616" s="75" t="n">
        <v>9</v>
      </c>
      <c r="C1616" s="75" t="inlineStr">
        <is>
          <t>5100001612</t>
        </is>
      </c>
      <c r="D1616" s="78" t="n">
        <v>45908</v>
      </c>
      <c r="E1616" s="75" t="inlineStr">
        <is>
          <t>KR</t>
        </is>
      </c>
      <c r="F1616" s="75" t="n">
        <v>62301000</v>
      </c>
      <c r="G1616" s="75" t="n">
        <v>1501</v>
      </c>
      <c r="H1616" s="76" t="n">
        <v>233000</v>
      </c>
      <c r="I1616" s="75" t="inlineStr">
        <is>
          <t>9월 소모품 구입 - Q오피스</t>
        </is>
      </c>
      <c r="J1616" s="75" t="inlineStr">
        <is>
          <t>V10003</t>
        </is>
      </c>
      <c r="K1616" s="75" t="inlineStr">
        <is>
          <t>Q오피스</t>
        </is>
      </c>
      <c r="M1616" s="9">
        <f>IF($A1616="","",VALUE($A1616&amp;"")*12+VALUE($B1616&amp;""))</f>
        <v/>
      </c>
      <c r="N1616" s="39">
        <f>IF($A1616="","",IFERROR(INDEX(부서매핑!$C$5:$C$504,MATCH($G1616&amp;"",부서매핑!$A$5:$A$504,0)),"미매핑"))</f>
        <v/>
      </c>
      <c r="O1616" s="9">
        <f>IF($A1616="","",N1616&amp;"|"&amp;$F1616)</f>
        <v/>
      </c>
      <c r="P1616" s="77">
        <f>IF($A1616="",0,$H1616*설정!$C$23)</f>
        <v/>
      </c>
      <c r="Q1616" s="39">
        <f>IF($A1616="","",IF(O1616&lt;&gt;원인분석!$C$9,"",IF(AND(M1616&gt;=원인분석!$C$10,M1616&lt;=원인분석!$C$11),"당기",IF(AND(M1616&gt;=원인분석!$C$12,M1616&lt;=원인분석!$C$13),"비교",""))))</f>
        <v/>
      </c>
      <c r="R1616" s="9">
        <f>IF(Q1616="","",$K1616&amp;"")</f>
        <v/>
      </c>
      <c r="S1616" s="9">
        <f>IF(Q1616="","",IF(MATCH(R1616,$R$5:$R$100000,0)=ROW()-4,ROW(),""))</f>
        <v/>
      </c>
      <c r="T1616" s="9">
        <f>IF(Q1616="당기",ABS(P1616)+ROW()/1000000000,"")</f>
        <v/>
      </c>
      <c r="U1616" s="9">
        <f>IF(Q1616="비교",ABS(P1616)+ROW()/1000000000,"")</f>
        <v/>
      </c>
      <c r="V1616" s="39">
        <f>IF($A1616="","",IF(COUNTIF(변동분석!$E$7:$E$506,O1616)&gt;0,"Y","N"))</f>
        <v/>
      </c>
      <c r="W1616" s="39">
        <f>IF($A1616="","",IFERROR(INDEX(계정매핑!$D$5:$D$504,MATCH($F1616&amp;"",계정매핑!$A$5:$A$504,0)),"미매핑"))</f>
        <v/>
      </c>
      <c r="X1616" s="9">
        <f>IF($A1616="","",$F1616&amp;"")</f>
        <v/>
      </c>
    </row>
    <row r="1617">
      <c r="A1617" s="75" t="n">
        <v>2025</v>
      </c>
      <c r="B1617" s="75" t="n">
        <v>9</v>
      </c>
      <c r="C1617" s="75" t="inlineStr">
        <is>
          <t>5100001613</t>
        </is>
      </c>
      <c r="D1617" s="78" t="n">
        <v>45908</v>
      </c>
      <c r="E1617" s="75" t="inlineStr">
        <is>
          <t>KR</t>
        </is>
      </c>
      <c r="F1617" s="75" t="n">
        <v>62501000</v>
      </c>
      <c r="G1617" s="75" t="n">
        <v>1502</v>
      </c>
      <c r="H1617" s="76" t="n">
        <v>400000</v>
      </c>
      <c r="I1617" s="75" t="inlineStr">
        <is>
          <t>9월 회의 다과 - (법인카드)</t>
        </is>
      </c>
      <c r="J1617" s="75" t="inlineStr">
        <is>
          <t>V10008</t>
        </is>
      </c>
      <c r="K1617" s="75" t="inlineStr">
        <is>
          <t>(법인카드)</t>
        </is>
      </c>
      <c r="M1617" s="9">
        <f>IF($A1617="","",VALUE($A1617&amp;"")*12+VALUE($B1617&amp;""))</f>
        <v/>
      </c>
      <c r="N1617" s="39">
        <f>IF($A1617="","",IFERROR(INDEX(부서매핑!$C$5:$C$504,MATCH($G1617&amp;"",부서매핑!$A$5:$A$504,0)),"미매핑"))</f>
        <v/>
      </c>
      <c r="O1617" s="9">
        <f>IF($A1617="","",N1617&amp;"|"&amp;$F1617)</f>
        <v/>
      </c>
      <c r="P1617" s="77">
        <f>IF($A1617="",0,$H1617*설정!$C$23)</f>
        <v/>
      </c>
      <c r="Q1617" s="39">
        <f>IF($A1617="","",IF(O1617&lt;&gt;원인분석!$C$9,"",IF(AND(M1617&gt;=원인분석!$C$10,M1617&lt;=원인분석!$C$11),"당기",IF(AND(M1617&gt;=원인분석!$C$12,M1617&lt;=원인분석!$C$13),"비교",""))))</f>
        <v/>
      </c>
      <c r="R1617" s="9">
        <f>IF(Q1617="","",$K1617&amp;"")</f>
        <v/>
      </c>
      <c r="S1617" s="9">
        <f>IF(Q1617="","",IF(MATCH(R1617,$R$5:$R$100000,0)=ROW()-4,ROW(),""))</f>
        <v/>
      </c>
      <c r="T1617" s="9">
        <f>IF(Q1617="당기",ABS(P1617)+ROW()/1000000000,"")</f>
        <v/>
      </c>
      <c r="U1617" s="9">
        <f>IF(Q1617="비교",ABS(P1617)+ROW()/1000000000,"")</f>
        <v/>
      </c>
      <c r="V1617" s="39">
        <f>IF($A1617="","",IF(COUNTIF(변동분석!$E$7:$E$506,O1617)&gt;0,"Y","N"))</f>
        <v/>
      </c>
      <c r="W1617" s="39">
        <f>IF($A1617="","",IFERROR(INDEX(계정매핑!$D$5:$D$504,MATCH($F1617&amp;"",계정매핑!$A$5:$A$504,0)),"미매핑"))</f>
        <v/>
      </c>
      <c r="X1617" s="9">
        <f>IF($A1617="","",$F1617&amp;"")</f>
        <v/>
      </c>
    </row>
    <row r="1618">
      <c r="A1618" s="75" t="n">
        <v>2025</v>
      </c>
      <c r="B1618" s="75" t="n">
        <v>9</v>
      </c>
      <c r="C1618" s="75" t="inlineStr">
        <is>
          <t>5100001614</t>
        </is>
      </c>
      <c r="D1618" s="78" t="n">
        <v>45908</v>
      </c>
      <c r="E1618" s="75" t="inlineStr">
        <is>
          <t>KR</t>
        </is>
      </c>
      <c r="F1618" s="75" t="n">
        <v>62501000</v>
      </c>
      <c r="G1618" s="75" t="n">
        <v>1701</v>
      </c>
      <c r="H1618" s="76" t="n">
        <v>164000</v>
      </c>
      <c r="I1618" s="75" t="inlineStr">
        <is>
          <t>9월 회의 다과 - (법인카드)</t>
        </is>
      </c>
      <c r="J1618" s="75" t="inlineStr">
        <is>
          <t>V10008</t>
        </is>
      </c>
      <c r="K1618" s="75" t="inlineStr">
        <is>
          <t>(법인카드)</t>
        </is>
      </c>
      <c r="M1618" s="9">
        <f>IF($A1618="","",VALUE($A1618&amp;"")*12+VALUE($B1618&amp;""))</f>
        <v/>
      </c>
      <c r="N1618" s="39">
        <f>IF($A1618="","",IFERROR(INDEX(부서매핑!$C$5:$C$504,MATCH($G1618&amp;"",부서매핑!$A$5:$A$504,0)),"미매핑"))</f>
        <v/>
      </c>
      <c r="O1618" s="9">
        <f>IF($A1618="","",N1618&amp;"|"&amp;$F1618)</f>
        <v/>
      </c>
      <c r="P1618" s="77">
        <f>IF($A1618="",0,$H1618*설정!$C$23)</f>
        <v/>
      </c>
      <c r="Q1618" s="39">
        <f>IF($A1618="","",IF(O1618&lt;&gt;원인분석!$C$9,"",IF(AND(M1618&gt;=원인분석!$C$10,M1618&lt;=원인분석!$C$11),"당기",IF(AND(M1618&gt;=원인분석!$C$12,M1618&lt;=원인분석!$C$13),"비교",""))))</f>
        <v/>
      </c>
      <c r="R1618" s="9">
        <f>IF(Q1618="","",$K1618&amp;"")</f>
        <v/>
      </c>
      <c r="S1618" s="9">
        <f>IF(Q1618="","",IF(MATCH(R1618,$R$5:$R$100000,0)=ROW()-4,ROW(),""))</f>
        <v/>
      </c>
      <c r="T1618" s="9">
        <f>IF(Q1618="당기",ABS(P1618)+ROW()/1000000000,"")</f>
        <v/>
      </c>
      <c r="U1618" s="9">
        <f>IF(Q1618="비교",ABS(P1618)+ROW()/1000000000,"")</f>
        <v/>
      </c>
      <c r="V1618" s="39">
        <f>IF($A1618="","",IF(COUNTIF(변동분석!$E$7:$E$506,O1618)&gt;0,"Y","N"))</f>
        <v/>
      </c>
      <c r="W1618" s="39">
        <f>IF($A1618="","",IFERROR(INDEX(계정매핑!$D$5:$D$504,MATCH($F1618&amp;"",계정매핑!$A$5:$A$504,0)),"미매핑"))</f>
        <v/>
      </c>
      <c r="X1618" s="9">
        <f>IF($A1618="","",$F1618&amp;"")</f>
        <v/>
      </c>
    </row>
    <row r="1619">
      <c r="A1619" s="75" t="n">
        <v>2025</v>
      </c>
      <c r="B1619" s="75" t="n">
        <v>9</v>
      </c>
      <c r="C1619" s="75" t="inlineStr">
        <is>
          <t>5100001615</t>
        </is>
      </c>
      <c r="D1619" s="78" t="n">
        <v>45908</v>
      </c>
      <c r="E1619" s="75" t="inlineStr">
        <is>
          <t>KR</t>
        </is>
      </c>
      <c r="F1619" s="75" t="n">
        <v>62601000</v>
      </c>
      <c r="G1619" s="75" t="n">
        <v>1101</v>
      </c>
      <c r="H1619" s="76" t="n">
        <v>1567000</v>
      </c>
      <c r="I1619" s="75" t="inlineStr">
        <is>
          <t>9월 업무추진 - (법인카드)</t>
        </is>
      </c>
      <c r="J1619" s="75" t="inlineStr">
        <is>
          <t>V10008</t>
        </is>
      </c>
      <c r="K1619" s="75" t="inlineStr">
        <is>
          <t>(법인카드)</t>
        </is>
      </c>
      <c r="M1619" s="9">
        <f>IF($A1619="","",VALUE($A1619&amp;"")*12+VALUE($B1619&amp;""))</f>
        <v/>
      </c>
      <c r="N1619" s="39">
        <f>IF($A1619="","",IFERROR(INDEX(부서매핑!$C$5:$C$504,MATCH($G1619&amp;"",부서매핑!$A$5:$A$504,0)),"미매핑"))</f>
        <v/>
      </c>
      <c r="O1619" s="9">
        <f>IF($A1619="","",N1619&amp;"|"&amp;$F1619)</f>
        <v/>
      </c>
      <c r="P1619" s="77">
        <f>IF($A1619="",0,$H1619*설정!$C$23)</f>
        <v/>
      </c>
      <c r="Q1619" s="39">
        <f>IF($A1619="","",IF(O1619&lt;&gt;원인분석!$C$9,"",IF(AND(M1619&gt;=원인분석!$C$10,M1619&lt;=원인분석!$C$11),"당기",IF(AND(M1619&gt;=원인분석!$C$12,M1619&lt;=원인분석!$C$13),"비교",""))))</f>
        <v/>
      </c>
      <c r="R1619" s="9">
        <f>IF(Q1619="","",$K1619&amp;"")</f>
        <v/>
      </c>
      <c r="S1619" s="9">
        <f>IF(Q1619="","",IF(MATCH(R1619,$R$5:$R$100000,0)=ROW()-4,ROW(),""))</f>
        <v/>
      </c>
      <c r="T1619" s="9">
        <f>IF(Q1619="당기",ABS(P1619)+ROW()/1000000000,"")</f>
        <v/>
      </c>
      <c r="U1619" s="9">
        <f>IF(Q1619="비교",ABS(P1619)+ROW()/1000000000,"")</f>
        <v/>
      </c>
      <c r="V1619" s="39">
        <f>IF($A1619="","",IF(COUNTIF(변동분석!$E$7:$E$506,O1619)&gt;0,"Y","N"))</f>
        <v/>
      </c>
      <c r="W1619" s="39">
        <f>IF($A1619="","",IFERROR(INDEX(계정매핑!$D$5:$D$504,MATCH($F1619&amp;"",계정매핑!$A$5:$A$504,0)),"미매핑"))</f>
        <v/>
      </c>
      <c r="X1619" s="9">
        <f>IF($A1619="","",$F1619&amp;"")</f>
        <v/>
      </c>
    </row>
    <row r="1620">
      <c r="A1620" s="75" t="n">
        <v>2025</v>
      </c>
      <c r="B1620" s="75" t="n">
        <v>9</v>
      </c>
      <c r="C1620" s="75" t="inlineStr">
        <is>
          <t>5100001616</t>
        </is>
      </c>
      <c r="D1620" s="78" t="n">
        <v>45909</v>
      </c>
      <c r="E1620" s="75" t="inlineStr">
        <is>
          <t>KR</t>
        </is>
      </c>
      <c r="F1620" s="75" t="n">
        <v>62101000</v>
      </c>
      <c r="G1620" s="75" t="n">
        <v>1701</v>
      </c>
      <c r="H1620" s="76" t="n">
        <v>149000</v>
      </c>
      <c r="I1620" s="75" t="inlineStr">
        <is>
          <t>9월 국내출장 - L여행사</t>
        </is>
      </c>
      <c r="J1620" s="75" t="inlineStr">
        <is>
          <t>V10014</t>
        </is>
      </c>
      <c r="K1620" s="75" t="inlineStr">
        <is>
          <t>L여행사</t>
        </is>
      </c>
      <c r="M1620" s="9">
        <f>IF($A1620="","",VALUE($A1620&amp;"")*12+VALUE($B1620&amp;""))</f>
        <v/>
      </c>
      <c r="N1620" s="39">
        <f>IF($A1620="","",IFERROR(INDEX(부서매핑!$C$5:$C$504,MATCH($G1620&amp;"",부서매핑!$A$5:$A$504,0)),"미매핑"))</f>
        <v/>
      </c>
      <c r="O1620" s="9">
        <f>IF($A1620="","",N1620&amp;"|"&amp;$F1620)</f>
        <v/>
      </c>
      <c r="P1620" s="77">
        <f>IF($A1620="",0,$H1620*설정!$C$23)</f>
        <v/>
      </c>
      <c r="Q1620" s="39">
        <f>IF($A1620="","",IF(O1620&lt;&gt;원인분석!$C$9,"",IF(AND(M1620&gt;=원인분석!$C$10,M1620&lt;=원인분석!$C$11),"당기",IF(AND(M1620&gt;=원인분석!$C$12,M1620&lt;=원인분석!$C$13),"비교",""))))</f>
        <v/>
      </c>
      <c r="R1620" s="9">
        <f>IF(Q1620="","",$K1620&amp;"")</f>
        <v/>
      </c>
      <c r="S1620" s="9">
        <f>IF(Q1620="","",IF(MATCH(R1620,$R$5:$R$100000,0)=ROW()-4,ROW(),""))</f>
        <v/>
      </c>
      <c r="T1620" s="9">
        <f>IF(Q1620="당기",ABS(P1620)+ROW()/1000000000,"")</f>
        <v/>
      </c>
      <c r="U1620" s="9">
        <f>IF(Q1620="비교",ABS(P1620)+ROW()/1000000000,"")</f>
        <v/>
      </c>
      <c r="V1620" s="39">
        <f>IF($A1620="","",IF(COUNTIF(변동분석!$E$7:$E$506,O1620)&gt;0,"Y","N"))</f>
        <v/>
      </c>
      <c r="W1620" s="39">
        <f>IF($A1620="","",IFERROR(INDEX(계정매핑!$D$5:$D$504,MATCH($F1620&amp;"",계정매핑!$A$5:$A$504,0)),"미매핑"))</f>
        <v/>
      </c>
      <c r="X1620" s="9">
        <f>IF($A1620="","",$F1620&amp;"")</f>
        <v/>
      </c>
    </row>
    <row r="1621">
      <c r="A1621" s="75" t="n">
        <v>2025</v>
      </c>
      <c r="B1621" s="75" t="n">
        <v>9</v>
      </c>
      <c r="C1621" s="75" t="inlineStr">
        <is>
          <t>5100001617</t>
        </is>
      </c>
      <c r="D1621" s="78" t="n">
        <v>45909</v>
      </c>
      <c r="E1621" s="75" t="inlineStr">
        <is>
          <t>KR</t>
        </is>
      </c>
      <c r="F1621" s="75" t="n">
        <v>62101000</v>
      </c>
      <c r="G1621" s="75" t="n">
        <v>1701</v>
      </c>
      <c r="H1621" s="76" t="n">
        <v>220000</v>
      </c>
      <c r="I1621" s="75" t="inlineStr">
        <is>
          <t>9월 국내출장 - M항공</t>
        </is>
      </c>
      <c r="J1621" s="75" t="inlineStr">
        <is>
          <t>V10001</t>
        </is>
      </c>
      <c r="K1621" s="75" t="inlineStr">
        <is>
          <t>M항공</t>
        </is>
      </c>
      <c r="M1621" s="9">
        <f>IF($A1621="","",VALUE($A1621&amp;"")*12+VALUE($B1621&amp;""))</f>
        <v/>
      </c>
      <c r="N1621" s="39">
        <f>IF($A1621="","",IFERROR(INDEX(부서매핑!$C$5:$C$504,MATCH($G1621&amp;"",부서매핑!$A$5:$A$504,0)),"미매핑"))</f>
        <v/>
      </c>
      <c r="O1621" s="9">
        <f>IF($A1621="","",N1621&amp;"|"&amp;$F1621)</f>
        <v/>
      </c>
      <c r="P1621" s="77">
        <f>IF($A1621="",0,$H1621*설정!$C$23)</f>
        <v/>
      </c>
      <c r="Q1621" s="39">
        <f>IF($A1621="","",IF(O1621&lt;&gt;원인분석!$C$9,"",IF(AND(M1621&gt;=원인분석!$C$10,M1621&lt;=원인분석!$C$11),"당기",IF(AND(M1621&gt;=원인분석!$C$12,M1621&lt;=원인분석!$C$13),"비교",""))))</f>
        <v/>
      </c>
      <c r="R1621" s="9">
        <f>IF(Q1621="","",$K1621&amp;"")</f>
        <v/>
      </c>
      <c r="S1621" s="9">
        <f>IF(Q1621="","",IF(MATCH(R1621,$R$5:$R$100000,0)=ROW()-4,ROW(),""))</f>
        <v/>
      </c>
      <c r="T1621" s="9">
        <f>IF(Q1621="당기",ABS(P1621)+ROW()/1000000000,"")</f>
        <v/>
      </c>
      <c r="U1621" s="9">
        <f>IF(Q1621="비교",ABS(P1621)+ROW()/1000000000,"")</f>
        <v/>
      </c>
      <c r="V1621" s="39">
        <f>IF($A1621="","",IF(COUNTIF(변동분석!$E$7:$E$506,O1621)&gt;0,"Y","N"))</f>
        <v/>
      </c>
      <c r="W1621" s="39">
        <f>IF($A1621="","",IFERROR(INDEX(계정매핑!$D$5:$D$504,MATCH($F1621&amp;"",계정매핑!$A$5:$A$504,0)),"미매핑"))</f>
        <v/>
      </c>
      <c r="X1621" s="9">
        <f>IF($A1621="","",$F1621&amp;"")</f>
        <v/>
      </c>
    </row>
    <row r="1622">
      <c r="A1622" s="75" t="n">
        <v>2025</v>
      </c>
      <c r="B1622" s="75" t="n">
        <v>9</v>
      </c>
      <c r="C1622" s="75" t="inlineStr">
        <is>
          <t>5100001618</t>
        </is>
      </c>
      <c r="D1622" s="78" t="n">
        <v>45909</v>
      </c>
      <c r="E1622" s="75" t="inlineStr">
        <is>
          <t>KR</t>
        </is>
      </c>
      <c r="F1622" s="75" t="n">
        <v>62102000</v>
      </c>
      <c r="G1622" s="75" t="n">
        <v>1701</v>
      </c>
      <c r="H1622" s="76" t="n">
        <v>89000</v>
      </c>
      <c r="I1622" s="75" t="inlineStr">
        <is>
          <t>9월 해외출장 - M항공</t>
        </is>
      </c>
      <c r="J1622" s="75" t="inlineStr">
        <is>
          <t>V10001</t>
        </is>
      </c>
      <c r="K1622" s="75" t="inlineStr">
        <is>
          <t>M항공</t>
        </is>
      </c>
      <c r="M1622" s="9">
        <f>IF($A1622="","",VALUE($A1622&amp;"")*12+VALUE($B1622&amp;""))</f>
        <v/>
      </c>
      <c r="N1622" s="39">
        <f>IF($A1622="","",IFERROR(INDEX(부서매핑!$C$5:$C$504,MATCH($G1622&amp;"",부서매핑!$A$5:$A$504,0)),"미매핑"))</f>
        <v/>
      </c>
      <c r="O1622" s="9">
        <f>IF($A1622="","",N1622&amp;"|"&amp;$F1622)</f>
        <v/>
      </c>
      <c r="P1622" s="77">
        <f>IF($A1622="",0,$H1622*설정!$C$23)</f>
        <v/>
      </c>
      <c r="Q1622" s="39">
        <f>IF($A1622="","",IF(O1622&lt;&gt;원인분석!$C$9,"",IF(AND(M1622&gt;=원인분석!$C$10,M1622&lt;=원인분석!$C$11),"당기",IF(AND(M1622&gt;=원인분석!$C$12,M1622&lt;=원인분석!$C$13),"비교",""))))</f>
        <v/>
      </c>
      <c r="R1622" s="9">
        <f>IF(Q1622="","",$K1622&amp;"")</f>
        <v/>
      </c>
      <c r="S1622" s="9">
        <f>IF(Q1622="","",IF(MATCH(R1622,$R$5:$R$100000,0)=ROW()-4,ROW(),""))</f>
        <v/>
      </c>
      <c r="T1622" s="9">
        <f>IF(Q1622="당기",ABS(P1622)+ROW()/1000000000,"")</f>
        <v/>
      </c>
      <c r="U1622" s="9">
        <f>IF(Q1622="비교",ABS(P1622)+ROW()/1000000000,"")</f>
        <v/>
      </c>
      <c r="V1622" s="39">
        <f>IF($A1622="","",IF(COUNTIF(변동분석!$E$7:$E$506,O1622)&gt;0,"Y","N"))</f>
        <v/>
      </c>
      <c r="W1622" s="39">
        <f>IF($A1622="","",IFERROR(INDEX(계정매핑!$D$5:$D$504,MATCH($F1622&amp;"",계정매핑!$A$5:$A$504,0)),"미매핑"))</f>
        <v/>
      </c>
      <c r="X1622" s="9">
        <f>IF($A1622="","",$F1622&amp;"")</f>
        <v/>
      </c>
    </row>
    <row r="1623">
      <c r="A1623" s="75" t="n">
        <v>2025</v>
      </c>
      <c r="B1623" s="75" t="n">
        <v>9</v>
      </c>
      <c r="C1623" s="75" t="inlineStr">
        <is>
          <t>5100001619</t>
        </is>
      </c>
      <c r="D1623" s="78" t="n">
        <v>45909</v>
      </c>
      <c r="E1623" s="75" t="inlineStr">
        <is>
          <t>KR</t>
        </is>
      </c>
      <c r="F1623" s="75" t="n">
        <v>62102000</v>
      </c>
      <c r="G1623" s="75" t="n">
        <v>1801</v>
      </c>
      <c r="H1623" s="76" t="n">
        <v>70000</v>
      </c>
      <c r="I1623" s="75" t="inlineStr">
        <is>
          <t>9월 해외출장 - N호텔</t>
        </is>
      </c>
      <c r="J1623" s="75" t="inlineStr">
        <is>
          <t>V10007</t>
        </is>
      </c>
      <c r="K1623" s="75" t="inlineStr">
        <is>
          <t>N호텔</t>
        </is>
      </c>
      <c r="M1623" s="9">
        <f>IF($A1623="","",VALUE($A1623&amp;"")*12+VALUE($B1623&amp;""))</f>
        <v/>
      </c>
      <c r="N1623" s="39">
        <f>IF($A1623="","",IFERROR(INDEX(부서매핑!$C$5:$C$504,MATCH($G1623&amp;"",부서매핑!$A$5:$A$504,0)),"미매핑"))</f>
        <v/>
      </c>
      <c r="O1623" s="9">
        <f>IF($A1623="","",N1623&amp;"|"&amp;$F1623)</f>
        <v/>
      </c>
      <c r="P1623" s="77">
        <f>IF($A1623="",0,$H1623*설정!$C$23)</f>
        <v/>
      </c>
      <c r="Q1623" s="39">
        <f>IF($A1623="","",IF(O1623&lt;&gt;원인분석!$C$9,"",IF(AND(M1623&gt;=원인분석!$C$10,M1623&lt;=원인분석!$C$11),"당기",IF(AND(M1623&gt;=원인분석!$C$12,M1623&lt;=원인분석!$C$13),"비교",""))))</f>
        <v/>
      </c>
      <c r="R1623" s="9">
        <f>IF(Q1623="","",$K1623&amp;"")</f>
        <v/>
      </c>
      <c r="S1623" s="9">
        <f>IF(Q1623="","",IF(MATCH(R1623,$R$5:$R$100000,0)=ROW()-4,ROW(),""))</f>
        <v/>
      </c>
      <c r="T1623" s="9">
        <f>IF(Q1623="당기",ABS(P1623)+ROW()/1000000000,"")</f>
        <v/>
      </c>
      <c r="U1623" s="9">
        <f>IF(Q1623="비교",ABS(P1623)+ROW()/1000000000,"")</f>
        <v/>
      </c>
      <c r="V1623" s="39">
        <f>IF($A1623="","",IF(COUNTIF(변동분석!$E$7:$E$506,O1623)&gt;0,"Y","N"))</f>
        <v/>
      </c>
      <c r="W1623" s="39">
        <f>IF($A1623="","",IFERROR(INDEX(계정매핑!$D$5:$D$504,MATCH($F1623&amp;"",계정매핑!$A$5:$A$504,0)),"미매핑"))</f>
        <v/>
      </c>
      <c r="X1623" s="9">
        <f>IF($A1623="","",$F1623&amp;"")</f>
        <v/>
      </c>
    </row>
    <row r="1624">
      <c r="A1624" s="75" t="n">
        <v>2025</v>
      </c>
      <c r="B1624" s="75" t="n">
        <v>9</v>
      </c>
      <c r="C1624" s="75" t="inlineStr">
        <is>
          <t>5100001620</t>
        </is>
      </c>
      <c r="D1624" s="78" t="n">
        <v>45909</v>
      </c>
      <c r="E1624" s="75" t="inlineStr">
        <is>
          <t>KR</t>
        </is>
      </c>
      <c r="F1624" s="75" t="n">
        <v>62301000</v>
      </c>
      <c r="G1624" s="75" t="n">
        <v>1201</v>
      </c>
      <c r="H1624" s="76" t="n">
        <v>184000</v>
      </c>
      <c r="I1624" s="75" t="inlineStr">
        <is>
          <t>9월 소모품 구입 - R문구</t>
        </is>
      </c>
      <c r="J1624" s="75" t="inlineStr">
        <is>
          <t>V10018</t>
        </is>
      </c>
      <c r="K1624" s="75" t="inlineStr">
        <is>
          <t>R문구</t>
        </is>
      </c>
      <c r="M1624" s="9">
        <f>IF($A1624="","",VALUE($A1624&amp;"")*12+VALUE($B1624&amp;""))</f>
        <v/>
      </c>
      <c r="N1624" s="39">
        <f>IF($A1624="","",IFERROR(INDEX(부서매핑!$C$5:$C$504,MATCH($G1624&amp;"",부서매핑!$A$5:$A$504,0)),"미매핑"))</f>
        <v/>
      </c>
      <c r="O1624" s="9">
        <f>IF($A1624="","",N1624&amp;"|"&amp;$F1624)</f>
        <v/>
      </c>
      <c r="P1624" s="77">
        <f>IF($A1624="",0,$H1624*설정!$C$23)</f>
        <v/>
      </c>
      <c r="Q1624" s="39">
        <f>IF($A1624="","",IF(O1624&lt;&gt;원인분석!$C$9,"",IF(AND(M1624&gt;=원인분석!$C$10,M1624&lt;=원인분석!$C$11),"당기",IF(AND(M1624&gt;=원인분석!$C$12,M1624&lt;=원인분석!$C$13),"비교",""))))</f>
        <v/>
      </c>
      <c r="R1624" s="9">
        <f>IF(Q1624="","",$K1624&amp;"")</f>
        <v/>
      </c>
      <c r="S1624" s="9">
        <f>IF(Q1624="","",IF(MATCH(R1624,$R$5:$R$100000,0)=ROW()-4,ROW(),""))</f>
        <v/>
      </c>
      <c r="T1624" s="9">
        <f>IF(Q1624="당기",ABS(P1624)+ROW()/1000000000,"")</f>
        <v/>
      </c>
      <c r="U1624" s="9">
        <f>IF(Q1624="비교",ABS(P1624)+ROW()/1000000000,"")</f>
        <v/>
      </c>
      <c r="V1624" s="39">
        <f>IF($A1624="","",IF(COUNTIF(변동분석!$E$7:$E$506,O1624)&gt;0,"Y","N"))</f>
        <v/>
      </c>
      <c r="W1624" s="39">
        <f>IF($A1624="","",IFERROR(INDEX(계정매핑!$D$5:$D$504,MATCH($F1624&amp;"",계정매핑!$A$5:$A$504,0)),"미매핑"))</f>
        <v/>
      </c>
      <c r="X1624" s="9">
        <f>IF($A1624="","",$F1624&amp;"")</f>
        <v/>
      </c>
    </row>
    <row r="1625">
      <c r="A1625" s="75" t="n">
        <v>2025</v>
      </c>
      <c r="B1625" s="75" t="n">
        <v>9</v>
      </c>
      <c r="C1625" s="75" t="inlineStr">
        <is>
          <t>5100001621</t>
        </is>
      </c>
      <c r="D1625" s="78" t="n">
        <v>45909</v>
      </c>
      <c r="E1625" s="75" t="inlineStr">
        <is>
          <t>KR</t>
        </is>
      </c>
      <c r="F1625" s="75" t="n">
        <v>62401000</v>
      </c>
      <c r="G1625" s="75" t="n">
        <v>1801</v>
      </c>
      <c r="H1625" s="76" t="n">
        <v>3103000</v>
      </c>
      <c r="I1625" s="75" t="inlineStr">
        <is>
          <t>9월 인쇄물 제작 - G인쇄</t>
        </is>
      </c>
      <c r="J1625" s="75" t="inlineStr">
        <is>
          <t>V10004</t>
        </is>
      </c>
      <c r="K1625" s="75" t="inlineStr">
        <is>
          <t>G인쇄</t>
        </is>
      </c>
      <c r="M1625" s="9">
        <f>IF($A1625="","",VALUE($A1625&amp;"")*12+VALUE($B1625&amp;""))</f>
        <v/>
      </c>
      <c r="N1625" s="39">
        <f>IF($A1625="","",IFERROR(INDEX(부서매핑!$C$5:$C$504,MATCH($G1625&amp;"",부서매핑!$A$5:$A$504,0)),"미매핑"))</f>
        <v/>
      </c>
      <c r="O1625" s="9">
        <f>IF($A1625="","",N1625&amp;"|"&amp;$F1625)</f>
        <v/>
      </c>
      <c r="P1625" s="77">
        <f>IF($A1625="",0,$H1625*설정!$C$23)</f>
        <v/>
      </c>
      <c r="Q1625" s="39">
        <f>IF($A1625="","",IF(O1625&lt;&gt;원인분석!$C$9,"",IF(AND(M1625&gt;=원인분석!$C$10,M1625&lt;=원인분석!$C$11),"당기",IF(AND(M1625&gt;=원인분석!$C$12,M1625&lt;=원인분석!$C$13),"비교",""))))</f>
        <v/>
      </c>
      <c r="R1625" s="9">
        <f>IF(Q1625="","",$K1625&amp;"")</f>
        <v/>
      </c>
      <c r="S1625" s="9">
        <f>IF(Q1625="","",IF(MATCH(R1625,$R$5:$R$100000,0)=ROW()-4,ROW(),""))</f>
        <v/>
      </c>
      <c r="T1625" s="9">
        <f>IF(Q1625="당기",ABS(P1625)+ROW()/1000000000,"")</f>
        <v/>
      </c>
      <c r="U1625" s="9">
        <f>IF(Q1625="비교",ABS(P1625)+ROW()/1000000000,"")</f>
        <v/>
      </c>
      <c r="V1625" s="39">
        <f>IF($A1625="","",IF(COUNTIF(변동분석!$E$7:$E$506,O1625)&gt;0,"Y","N"))</f>
        <v/>
      </c>
      <c r="W1625" s="39">
        <f>IF($A1625="","",IFERROR(INDEX(계정매핑!$D$5:$D$504,MATCH($F1625&amp;"",계정매핑!$A$5:$A$504,0)),"미매핑"))</f>
        <v/>
      </c>
      <c r="X1625" s="9">
        <f>IF($A1625="","",$F1625&amp;"")</f>
        <v/>
      </c>
    </row>
    <row r="1626">
      <c r="A1626" s="75" t="n">
        <v>2025</v>
      </c>
      <c r="B1626" s="75" t="n">
        <v>9</v>
      </c>
      <c r="C1626" s="75" t="inlineStr">
        <is>
          <t>5100001622</t>
        </is>
      </c>
      <c r="D1626" s="78" t="n">
        <v>45909</v>
      </c>
      <c r="E1626" s="75" t="inlineStr">
        <is>
          <t>KR</t>
        </is>
      </c>
      <c r="F1626" s="75" t="n">
        <v>62501000</v>
      </c>
      <c r="G1626" s="75" t="n">
        <v>1301</v>
      </c>
      <c r="H1626" s="76" t="n">
        <v>157000</v>
      </c>
      <c r="I1626" s="75" t="inlineStr">
        <is>
          <t>9월 회의 다과 - T케이터링</t>
        </is>
      </c>
      <c r="J1626" s="75" t="inlineStr">
        <is>
          <t>V10005</t>
        </is>
      </c>
      <c r="K1626" s="75" t="inlineStr">
        <is>
          <t>T케이터링</t>
        </is>
      </c>
      <c r="M1626" s="9">
        <f>IF($A1626="","",VALUE($A1626&amp;"")*12+VALUE($B1626&amp;""))</f>
        <v/>
      </c>
      <c r="N1626" s="39">
        <f>IF($A1626="","",IFERROR(INDEX(부서매핑!$C$5:$C$504,MATCH($G1626&amp;"",부서매핑!$A$5:$A$504,0)),"미매핑"))</f>
        <v/>
      </c>
      <c r="O1626" s="9">
        <f>IF($A1626="","",N1626&amp;"|"&amp;$F1626)</f>
        <v/>
      </c>
      <c r="P1626" s="77">
        <f>IF($A1626="",0,$H1626*설정!$C$23)</f>
        <v/>
      </c>
      <c r="Q1626" s="39">
        <f>IF($A1626="","",IF(O1626&lt;&gt;원인분석!$C$9,"",IF(AND(M1626&gt;=원인분석!$C$10,M1626&lt;=원인분석!$C$11),"당기",IF(AND(M1626&gt;=원인분석!$C$12,M1626&lt;=원인분석!$C$13),"비교",""))))</f>
        <v/>
      </c>
      <c r="R1626" s="9">
        <f>IF(Q1626="","",$K1626&amp;"")</f>
        <v/>
      </c>
      <c r="S1626" s="9">
        <f>IF(Q1626="","",IF(MATCH(R1626,$R$5:$R$100000,0)=ROW()-4,ROW(),""))</f>
        <v/>
      </c>
      <c r="T1626" s="9">
        <f>IF(Q1626="당기",ABS(P1626)+ROW()/1000000000,"")</f>
        <v/>
      </c>
      <c r="U1626" s="9">
        <f>IF(Q1626="비교",ABS(P1626)+ROW()/1000000000,"")</f>
        <v/>
      </c>
      <c r="V1626" s="39">
        <f>IF($A1626="","",IF(COUNTIF(변동분석!$E$7:$E$506,O1626)&gt;0,"Y","N"))</f>
        <v/>
      </c>
      <c r="W1626" s="39">
        <f>IF($A1626="","",IFERROR(INDEX(계정매핑!$D$5:$D$504,MATCH($F1626&amp;"",계정매핑!$A$5:$A$504,0)),"미매핑"))</f>
        <v/>
      </c>
      <c r="X1626" s="9">
        <f>IF($A1626="","",$F1626&amp;"")</f>
        <v/>
      </c>
    </row>
    <row r="1627">
      <c r="A1627" s="75" t="n">
        <v>2025</v>
      </c>
      <c r="B1627" s="75" t="n">
        <v>9</v>
      </c>
      <c r="C1627" s="75" t="inlineStr">
        <is>
          <t>5100001623</t>
        </is>
      </c>
      <c r="D1627" s="78" t="n">
        <v>45909</v>
      </c>
      <c r="E1627" s="75" t="inlineStr">
        <is>
          <t>KR</t>
        </is>
      </c>
      <c r="F1627" s="75" t="n">
        <v>62501000</v>
      </c>
      <c r="G1627" s="75" t="n">
        <v>1501</v>
      </c>
      <c r="H1627" s="76" t="n">
        <v>645000</v>
      </c>
      <c r="I1627" s="75" t="inlineStr">
        <is>
          <t>9월 회의 다과 - T케이터링</t>
        </is>
      </c>
      <c r="J1627" s="75" t="inlineStr">
        <is>
          <t>V10005</t>
        </is>
      </c>
      <c r="K1627" s="75" t="inlineStr">
        <is>
          <t>T케이터링</t>
        </is>
      </c>
      <c r="M1627" s="9">
        <f>IF($A1627="","",VALUE($A1627&amp;"")*12+VALUE($B1627&amp;""))</f>
        <v/>
      </c>
      <c r="N1627" s="39">
        <f>IF($A1627="","",IFERROR(INDEX(부서매핑!$C$5:$C$504,MATCH($G1627&amp;"",부서매핑!$A$5:$A$504,0)),"미매핑"))</f>
        <v/>
      </c>
      <c r="O1627" s="9">
        <f>IF($A1627="","",N1627&amp;"|"&amp;$F1627)</f>
        <v/>
      </c>
      <c r="P1627" s="77">
        <f>IF($A1627="",0,$H1627*설정!$C$23)</f>
        <v/>
      </c>
      <c r="Q1627" s="39">
        <f>IF($A1627="","",IF(O1627&lt;&gt;원인분석!$C$9,"",IF(AND(M1627&gt;=원인분석!$C$10,M1627&lt;=원인분석!$C$11),"당기",IF(AND(M1627&gt;=원인분석!$C$12,M1627&lt;=원인분석!$C$13),"비교",""))))</f>
        <v/>
      </c>
      <c r="R1627" s="9">
        <f>IF(Q1627="","",$K1627&amp;"")</f>
        <v/>
      </c>
      <c r="S1627" s="9">
        <f>IF(Q1627="","",IF(MATCH(R1627,$R$5:$R$100000,0)=ROW()-4,ROW(),""))</f>
        <v/>
      </c>
      <c r="T1627" s="9">
        <f>IF(Q1627="당기",ABS(P1627)+ROW()/1000000000,"")</f>
        <v/>
      </c>
      <c r="U1627" s="9">
        <f>IF(Q1627="비교",ABS(P1627)+ROW()/1000000000,"")</f>
        <v/>
      </c>
      <c r="V1627" s="39">
        <f>IF($A1627="","",IF(COUNTIF(변동분석!$E$7:$E$506,O1627)&gt;0,"Y","N"))</f>
        <v/>
      </c>
      <c r="W1627" s="39">
        <f>IF($A1627="","",IFERROR(INDEX(계정매핑!$D$5:$D$504,MATCH($F1627&amp;"",계정매핑!$A$5:$A$504,0)),"미매핑"))</f>
        <v/>
      </c>
      <c r="X1627" s="9">
        <f>IF($A1627="","",$F1627&amp;"")</f>
        <v/>
      </c>
    </row>
    <row r="1628">
      <c r="A1628" s="75" t="n">
        <v>2025</v>
      </c>
      <c r="B1628" s="75" t="n">
        <v>9</v>
      </c>
      <c r="C1628" s="75" t="inlineStr">
        <is>
          <t>5100001624</t>
        </is>
      </c>
      <c r="D1628" s="78" t="n">
        <v>45909</v>
      </c>
      <c r="E1628" s="75" t="inlineStr">
        <is>
          <t>KR</t>
        </is>
      </c>
      <c r="F1628" s="75" t="n">
        <v>62501000</v>
      </c>
      <c r="G1628" s="75" t="n">
        <v>1602</v>
      </c>
      <c r="H1628" s="76" t="n">
        <v>361000</v>
      </c>
      <c r="I1628" s="75" t="inlineStr">
        <is>
          <t>9월 회의 다과 - T케이터링</t>
        </is>
      </c>
      <c r="J1628" s="75" t="inlineStr">
        <is>
          <t>V10005</t>
        </is>
      </c>
      <c r="K1628" s="75" t="inlineStr">
        <is>
          <t>T케이터링</t>
        </is>
      </c>
      <c r="M1628" s="9">
        <f>IF($A1628="","",VALUE($A1628&amp;"")*12+VALUE($B1628&amp;""))</f>
        <v/>
      </c>
      <c r="N1628" s="39">
        <f>IF($A1628="","",IFERROR(INDEX(부서매핑!$C$5:$C$504,MATCH($G1628&amp;"",부서매핑!$A$5:$A$504,0)),"미매핑"))</f>
        <v/>
      </c>
      <c r="O1628" s="9">
        <f>IF($A1628="","",N1628&amp;"|"&amp;$F1628)</f>
        <v/>
      </c>
      <c r="P1628" s="77">
        <f>IF($A1628="",0,$H1628*설정!$C$23)</f>
        <v/>
      </c>
      <c r="Q1628" s="39">
        <f>IF($A1628="","",IF(O1628&lt;&gt;원인분석!$C$9,"",IF(AND(M1628&gt;=원인분석!$C$10,M1628&lt;=원인분석!$C$11),"당기",IF(AND(M1628&gt;=원인분석!$C$12,M1628&lt;=원인분석!$C$13),"비교",""))))</f>
        <v/>
      </c>
      <c r="R1628" s="9">
        <f>IF(Q1628="","",$K1628&amp;"")</f>
        <v/>
      </c>
      <c r="S1628" s="9">
        <f>IF(Q1628="","",IF(MATCH(R1628,$R$5:$R$100000,0)=ROW()-4,ROW(),""))</f>
        <v/>
      </c>
      <c r="T1628" s="9">
        <f>IF(Q1628="당기",ABS(P1628)+ROW()/1000000000,"")</f>
        <v/>
      </c>
      <c r="U1628" s="9">
        <f>IF(Q1628="비교",ABS(P1628)+ROW()/1000000000,"")</f>
        <v/>
      </c>
      <c r="V1628" s="39">
        <f>IF($A1628="","",IF(COUNTIF(변동분석!$E$7:$E$506,O1628)&gt;0,"Y","N"))</f>
        <v/>
      </c>
      <c r="W1628" s="39">
        <f>IF($A1628="","",IFERROR(INDEX(계정매핑!$D$5:$D$504,MATCH($F1628&amp;"",계정매핑!$A$5:$A$504,0)),"미매핑"))</f>
        <v/>
      </c>
      <c r="X1628" s="9">
        <f>IF($A1628="","",$F1628&amp;"")</f>
        <v/>
      </c>
    </row>
    <row r="1629">
      <c r="A1629" s="75" t="n">
        <v>2025</v>
      </c>
      <c r="B1629" s="75" t="n">
        <v>9</v>
      </c>
      <c r="C1629" s="75" t="inlineStr">
        <is>
          <t>5100001625</t>
        </is>
      </c>
      <c r="D1629" s="78" t="n">
        <v>45910</v>
      </c>
      <c r="E1629" s="75" t="inlineStr">
        <is>
          <t>KR</t>
        </is>
      </c>
      <c r="F1629" s="75" t="n">
        <v>62102000</v>
      </c>
      <c r="G1629" s="75" t="n">
        <v>1401</v>
      </c>
      <c r="H1629" s="76" t="n">
        <v>45000</v>
      </c>
      <c r="I1629" s="75" t="inlineStr">
        <is>
          <t>9월 해외출장 - M항공</t>
        </is>
      </c>
      <c r="J1629" s="75" t="inlineStr">
        <is>
          <t>V10001</t>
        </is>
      </c>
      <c r="K1629" s="75" t="inlineStr">
        <is>
          <t>M항공</t>
        </is>
      </c>
      <c r="M1629" s="9">
        <f>IF($A1629="","",VALUE($A1629&amp;"")*12+VALUE($B1629&amp;""))</f>
        <v/>
      </c>
      <c r="N1629" s="39">
        <f>IF($A1629="","",IFERROR(INDEX(부서매핑!$C$5:$C$504,MATCH($G1629&amp;"",부서매핑!$A$5:$A$504,0)),"미매핑"))</f>
        <v/>
      </c>
      <c r="O1629" s="9">
        <f>IF($A1629="","",N1629&amp;"|"&amp;$F1629)</f>
        <v/>
      </c>
      <c r="P1629" s="77">
        <f>IF($A1629="",0,$H1629*설정!$C$23)</f>
        <v/>
      </c>
      <c r="Q1629" s="39">
        <f>IF($A1629="","",IF(O1629&lt;&gt;원인분석!$C$9,"",IF(AND(M1629&gt;=원인분석!$C$10,M1629&lt;=원인분석!$C$11),"당기",IF(AND(M1629&gt;=원인분석!$C$12,M1629&lt;=원인분석!$C$13),"비교",""))))</f>
        <v/>
      </c>
      <c r="R1629" s="9">
        <f>IF(Q1629="","",$K1629&amp;"")</f>
        <v/>
      </c>
      <c r="S1629" s="9">
        <f>IF(Q1629="","",IF(MATCH(R1629,$R$5:$R$100000,0)=ROW()-4,ROW(),""))</f>
        <v/>
      </c>
      <c r="T1629" s="9">
        <f>IF(Q1629="당기",ABS(P1629)+ROW()/1000000000,"")</f>
        <v/>
      </c>
      <c r="U1629" s="9">
        <f>IF(Q1629="비교",ABS(P1629)+ROW()/1000000000,"")</f>
        <v/>
      </c>
      <c r="V1629" s="39">
        <f>IF($A1629="","",IF(COUNTIF(변동분석!$E$7:$E$506,O1629)&gt;0,"Y","N"))</f>
        <v/>
      </c>
      <c r="W1629" s="39">
        <f>IF($A1629="","",IFERROR(INDEX(계정매핑!$D$5:$D$504,MATCH($F1629&amp;"",계정매핑!$A$5:$A$504,0)),"미매핑"))</f>
        <v/>
      </c>
      <c r="X1629" s="9">
        <f>IF($A1629="","",$F1629&amp;"")</f>
        <v/>
      </c>
    </row>
    <row r="1630">
      <c r="A1630" s="75" t="n">
        <v>2025</v>
      </c>
      <c r="B1630" s="75" t="n">
        <v>9</v>
      </c>
      <c r="C1630" s="75" t="inlineStr">
        <is>
          <t>5100001626</t>
        </is>
      </c>
      <c r="D1630" s="78" t="n">
        <v>45910</v>
      </c>
      <c r="E1630" s="75" t="inlineStr">
        <is>
          <t>KR</t>
        </is>
      </c>
      <c r="F1630" s="75" t="n">
        <v>62201000</v>
      </c>
      <c r="G1630" s="75" t="n">
        <v>1401</v>
      </c>
      <c r="H1630" s="76" t="n">
        <v>198000</v>
      </c>
      <c r="I1630" s="75" t="inlineStr">
        <is>
          <t>9월 통신요금 - O텔레콤</t>
        </is>
      </c>
      <c r="J1630" s="75" t="inlineStr">
        <is>
          <t>V10002</t>
        </is>
      </c>
      <c r="K1630" s="75" t="inlineStr">
        <is>
          <t>O텔레콤</t>
        </is>
      </c>
      <c r="M1630" s="9">
        <f>IF($A1630="","",VALUE($A1630&amp;"")*12+VALUE($B1630&amp;""))</f>
        <v/>
      </c>
      <c r="N1630" s="39">
        <f>IF($A1630="","",IFERROR(INDEX(부서매핑!$C$5:$C$504,MATCH($G1630&amp;"",부서매핑!$A$5:$A$504,0)),"미매핑"))</f>
        <v/>
      </c>
      <c r="O1630" s="9">
        <f>IF($A1630="","",N1630&amp;"|"&amp;$F1630)</f>
        <v/>
      </c>
      <c r="P1630" s="77">
        <f>IF($A1630="",0,$H1630*설정!$C$23)</f>
        <v/>
      </c>
      <c r="Q1630" s="39">
        <f>IF($A1630="","",IF(O1630&lt;&gt;원인분석!$C$9,"",IF(AND(M1630&gt;=원인분석!$C$10,M1630&lt;=원인분석!$C$11),"당기",IF(AND(M1630&gt;=원인분석!$C$12,M1630&lt;=원인분석!$C$13),"비교",""))))</f>
        <v/>
      </c>
      <c r="R1630" s="9">
        <f>IF(Q1630="","",$K1630&amp;"")</f>
        <v/>
      </c>
      <c r="S1630" s="9">
        <f>IF(Q1630="","",IF(MATCH(R1630,$R$5:$R$100000,0)=ROW()-4,ROW(),""))</f>
        <v/>
      </c>
      <c r="T1630" s="9">
        <f>IF(Q1630="당기",ABS(P1630)+ROW()/1000000000,"")</f>
        <v/>
      </c>
      <c r="U1630" s="9">
        <f>IF(Q1630="비교",ABS(P1630)+ROW()/1000000000,"")</f>
        <v/>
      </c>
      <c r="V1630" s="39">
        <f>IF($A1630="","",IF(COUNTIF(변동분석!$E$7:$E$506,O1630)&gt;0,"Y","N"))</f>
        <v/>
      </c>
      <c r="W1630" s="39">
        <f>IF($A1630="","",IFERROR(INDEX(계정매핑!$D$5:$D$504,MATCH($F1630&amp;"",계정매핑!$A$5:$A$504,0)),"미매핑"))</f>
        <v/>
      </c>
      <c r="X1630" s="9">
        <f>IF($A1630="","",$F1630&amp;"")</f>
        <v/>
      </c>
    </row>
    <row r="1631">
      <c r="A1631" s="75" t="n">
        <v>2025</v>
      </c>
      <c r="B1631" s="75" t="n">
        <v>9</v>
      </c>
      <c r="C1631" s="75" t="inlineStr">
        <is>
          <t>5100001627</t>
        </is>
      </c>
      <c r="D1631" s="78" t="n">
        <v>45910</v>
      </c>
      <c r="E1631" s="75" t="inlineStr">
        <is>
          <t>KR</t>
        </is>
      </c>
      <c r="F1631" s="75" t="n">
        <v>62301000</v>
      </c>
      <c r="G1631" s="75" t="n">
        <v>1801</v>
      </c>
      <c r="H1631" s="76" t="n">
        <v>248000</v>
      </c>
      <c r="I1631" s="75" t="inlineStr">
        <is>
          <t>9월 소모품 구입 - R문구</t>
        </is>
      </c>
      <c r="J1631" s="75" t="inlineStr">
        <is>
          <t>V10018</t>
        </is>
      </c>
      <c r="K1631" s="75" t="inlineStr">
        <is>
          <t>R문구</t>
        </is>
      </c>
      <c r="M1631" s="9">
        <f>IF($A1631="","",VALUE($A1631&amp;"")*12+VALUE($B1631&amp;""))</f>
        <v/>
      </c>
      <c r="N1631" s="39">
        <f>IF($A1631="","",IFERROR(INDEX(부서매핑!$C$5:$C$504,MATCH($G1631&amp;"",부서매핑!$A$5:$A$504,0)),"미매핑"))</f>
        <v/>
      </c>
      <c r="O1631" s="9">
        <f>IF($A1631="","",N1631&amp;"|"&amp;$F1631)</f>
        <v/>
      </c>
      <c r="P1631" s="77">
        <f>IF($A1631="",0,$H1631*설정!$C$23)</f>
        <v/>
      </c>
      <c r="Q1631" s="39">
        <f>IF($A1631="","",IF(O1631&lt;&gt;원인분석!$C$9,"",IF(AND(M1631&gt;=원인분석!$C$10,M1631&lt;=원인분석!$C$11),"당기",IF(AND(M1631&gt;=원인분석!$C$12,M1631&lt;=원인분석!$C$13),"비교",""))))</f>
        <v/>
      </c>
      <c r="R1631" s="9">
        <f>IF(Q1631="","",$K1631&amp;"")</f>
        <v/>
      </c>
      <c r="S1631" s="9">
        <f>IF(Q1631="","",IF(MATCH(R1631,$R$5:$R$100000,0)=ROW()-4,ROW(),""))</f>
        <v/>
      </c>
      <c r="T1631" s="9">
        <f>IF(Q1631="당기",ABS(P1631)+ROW()/1000000000,"")</f>
        <v/>
      </c>
      <c r="U1631" s="9">
        <f>IF(Q1631="비교",ABS(P1631)+ROW()/1000000000,"")</f>
        <v/>
      </c>
      <c r="V1631" s="39">
        <f>IF($A1631="","",IF(COUNTIF(변동분석!$E$7:$E$506,O1631)&gt;0,"Y","N"))</f>
        <v/>
      </c>
      <c r="W1631" s="39">
        <f>IF($A1631="","",IFERROR(INDEX(계정매핑!$D$5:$D$504,MATCH($F1631&amp;"",계정매핑!$A$5:$A$504,0)),"미매핑"))</f>
        <v/>
      </c>
      <c r="X1631" s="9">
        <f>IF($A1631="","",$F1631&amp;"")</f>
        <v/>
      </c>
    </row>
    <row r="1632">
      <c r="A1632" s="75" t="n">
        <v>2025</v>
      </c>
      <c r="B1632" s="75" t="n">
        <v>9</v>
      </c>
      <c r="C1632" s="75" t="inlineStr">
        <is>
          <t>5100001628</t>
        </is>
      </c>
      <c r="D1632" s="78" t="n">
        <v>45910</v>
      </c>
      <c r="E1632" s="75" t="inlineStr">
        <is>
          <t>KR</t>
        </is>
      </c>
      <c r="F1632" s="75" t="n">
        <v>62501000</v>
      </c>
      <c r="G1632" s="75" t="n">
        <v>1201</v>
      </c>
      <c r="H1632" s="76" t="n">
        <v>108000</v>
      </c>
      <c r="I1632" s="75" t="inlineStr">
        <is>
          <t>9월 회의 다과 - T케이터링</t>
        </is>
      </c>
      <c r="J1632" s="75" t="inlineStr">
        <is>
          <t>V10005</t>
        </is>
      </c>
      <c r="K1632" s="75" t="inlineStr">
        <is>
          <t>T케이터링</t>
        </is>
      </c>
      <c r="M1632" s="9">
        <f>IF($A1632="","",VALUE($A1632&amp;"")*12+VALUE($B1632&amp;""))</f>
        <v/>
      </c>
      <c r="N1632" s="39">
        <f>IF($A1632="","",IFERROR(INDEX(부서매핑!$C$5:$C$504,MATCH($G1632&amp;"",부서매핑!$A$5:$A$504,0)),"미매핑"))</f>
        <v/>
      </c>
      <c r="O1632" s="9">
        <f>IF($A1632="","",N1632&amp;"|"&amp;$F1632)</f>
        <v/>
      </c>
      <c r="P1632" s="77">
        <f>IF($A1632="",0,$H1632*설정!$C$23)</f>
        <v/>
      </c>
      <c r="Q1632" s="39">
        <f>IF($A1632="","",IF(O1632&lt;&gt;원인분석!$C$9,"",IF(AND(M1632&gt;=원인분석!$C$10,M1632&lt;=원인분석!$C$11),"당기",IF(AND(M1632&gt;=원인분석!$C$12,M1632&lt;=원인분석!$C$13),"비교",""))))</f>
        <v/>
      </c>
      <c r="R1632" s="9">
        <f>IF(Q1632="","",$K1632&amp;"")</f>
        <v/>
      </c>
      <c r="S1632" s="9">
        <f>IF(Q1632="","",IF(MATCH(R1632,$R$5:$R$100000,0)=ROW()-4,ROW(),""))</f>
        <v/>
      </c>
      <c r="T1632" s="9">
        <f>IF(Q1632="당기",ABS(P1632)+ROW()/1000000000,"")</f>
        <v/>
      </c>
      <c r="U1632" s="9">
        <f>IF(Q1632="비교",ABS(P1632)+ROW()/1000000000,"")</f>
        <v/>
      </c>
      <c r="V1632" s="39">
        <f>IF($A1632="","",IF(COUNTIF(변동분석!$E$7:$E$506,O1632)&gt;0,"Y","N"))</f>
        <v/>
      </c>
      <c r="W1632" s="39">
        <f>IF($A1632="","",IFERROR(INDEX(계정매핑!$D$5:$D$504,MATCH($F1632&amp;"",계정매핑!$A$5:$A$504,0)),"미매핑"))</f>
        <v/>
      </c>
      <c r="X1632" s="9">
        <f>IF($A1632="","",$F1632&amp;"")</f>
        <v/>
      </c>
    </row>
    <row r="1633">
      <c r="A1633" s="75" t="n">
        <v>2025</v>
      </c>
      <c r="B1633" s="75" t="n">
        <v>9</v>
      </c>
      <c r="C1633" s="75" t="inlineStr">
        <is>
          <t>5100001629</t>
        </is>
      </c>
      <c r="D1633" s="78" t="n">
        <v>45910</v>
      </c>
      <c r="E1633" s="75" t="inlineStr">
        <is>
          <t>KR</t>
        </is>
      </c>
      <c r="F1633" s="75" t="n">
        <v>62902000</v>
      </c>
      <c r="G1633" s="75" t="n">
        <v>1101</v>
      </c>
      <c r="H1633" s="76" t="n">
        <v>2986000</v>
      </c>
      <c r="I1633" s="75" t="inlineStr">
        <is>
          <t>9월 업무 위탁 수수료 - J콜센터</t>
        </is>
      </c>
      <c r="J1633" s="75" t="inlineStr">
        <is>
          <t>V10013</t>
        </is>
      </c>
      <c r="K1633" s="75" t="inlineStr">
        <is>
          <t>J콜센터</t>
        </is>
      </c>
      <c r="M1633" s="9">
        <f>IF($A1633="","",VALUE($A1633&amp;"")*12+VALUE($B1633&amp;""))</f>
        <v/>
      </c>
      <c r="N1633" s="39">
        <f>IF($A1633="","",IFERROR(INDEX(부서매핑!$C$5:$C$504,MATCH($G1633&amp;"",부서매핑!$A$5:$A$504,0)),"미매핑"))</f>
        <v/>
      </c>
      <c r="O1633" s="9">
        <f>IF($A1633="","",N1633&amp;"|"&amp;$F1633)</f>
        <v/>
      </c>
      <c r="P1633" s="77">
        <f>IF($A1633="",0,$H1633*설정!$C$23)</f>
        <v/>
      </c>
      <c r="Q1633" s="39">
        <f>IF($A1633="","",IF(O1633&lt;&gt;원인분석!$C$9,"",IF(AND(M1633&gt;=원인분석!$C$10,M1633&lt;=원인분석!$C$11),"당기",IF(AND(M1633&gt;=원인분석!$C$12,M1633&lt;=원인분석!$C$13),"비교",""))))</f>
        <v/>
      </c>
      <c r="R1633" s="9">
        <f>IF(Q1633="","",$K1633&amp;"")</f>
        <v/>
      </c>
      <c r="S1633" s="9">
        <f>IF(Q1633="","",IF(MATCH(R1633,$R$5:$R$100000,0)=ROW()-4,ROW(),""))</f>
        <v/>
      </c>
      <c r="T1633" s="9">
        <f>IF(Q1633="당기",ABS(P1633)+ROW()/1000000000,"")</f>
        <v/>
      </c>
      <c r="U1633" s="9">
        <f>IF(Q1633="비교",ABS(P1633)+ROW()/1000000000,"")</f>
        <v/>
      </c>
      <c r="V1633" s="39">
        <f>IF($A1633="","",IF(COUNTIF(변동분석!$E$7:$E$506,O1633)&gt;0,"Y","N"))</f>
        <v/>
      </c>
      <c r="W1633" s="39">
        <f>IF($A1633="","",IFERROR(INDEX(계정매핑!$D$5:$D$504,MATCH($F1633&amp;"",계정매핑!$A$5:$A$504,0)),"미매핑"))</f>
        <v/>
      </c>
      <c r="X1633" s="9">
        <f>IF($A1633="","",$F1633&amp;"")</f>
        <v/>
      </c>
    </row>
    <row r="1634">
      <c r="A1634" s="75" t="n">
        <v>2025</v>
      </c>
      <c r="B1634" s="75" t="n">
        <v>9</v>
      </c>
      <c r="C1634" s="75" t="inlineStr">
        <is>
          <t>5100001630</t>
        </is>
      </c>
      <c r="D1634" s="78" t="n">
        <v>45910</v>
      </c>
      <c r="E1634" s="75" t="inlineStr">
        <is>
          <t>KR</t>
        </is>
      </c>
      <c r="F1634" s="75" t="n">
        <v>62902000</v>
      </c>
      <c r="G1634" s="75" t="n">
        <v>1201</v>
      </c>
      <c r="H1634" s="76" t="n">
        <v>3776000</v>
      </c>
      <c r="I1634" s="75" t="inlineStr">
        <is>
          <t>9월 업무 위탁 수수료 - J콜센터</t>
        </is>
      </c>
      <c r="J1634" s="75" t="inlineStr">
        <is>
          <t>V10013</t>
        </is>
      </c>
      <c r="K1634" s="75" t="inlineStr">
        <is>
          <t>J콜센터</t>
        </is>
      </c>
      <c r="M1634" s="9">
        <f>IF($A1634="","",VALUE($A1634&amp;"")*12+VALUE($B1634&amp;""))</f>
        <v/>
      </c>
      <c r="N1634" s="39">
        <f>IF($A1634="","",IFERROR(INDEX(부서매핑!$C$5:$C$504,MATCH($G1634&amp;"",부서매핑!$A$5:$A$504,0)),"미매핑"))</f>
        <v/>
      </c>
      <c r="O1634" s="9">
        <f>IF($A1634="","",N1634&amp;"|"&amp;$F1634)</f>
        <v/>
      </c>
      <c r="P1634" s="77">
        <f>IF($A1634="",0,$H1634*설정!$C$23)</f>
        <v/>
      </c>
      <c r="Q1634" s="39">
        <f>IF($A1634="","",IF(O1634&lt;&gt;원인분석!$C$9,"",IF(AND(M1634&gt;=원인분석!$C$10,M1634&lt;=원인분석!$C$11),"당기",IF(AND(M1634&gt;=원인분석!$C$12,M1634&lt;=원인분석!$C$13),"비교",""))))</f>
        <v/>
      </c>
      <c r="R1634" s="9">
        <f>IF(Q1634="","",$K1634&amp;"")</f>
        <v/>
      </c>
      <c r="S1634" s="9">
        <f>IF(Q1634="","",IF(MATCH(R1634,$R$5:$R$100000,0)=ROW()-4,ROW(),""))</f>
        <v/>
      </c>
      <c r="T1634" s="9">
        <f>IF(Q1634="당기",ABS(P1634)+ROW()/1000000000,"")</f>
        <v/>
      </c>
      <c r="U1634" s="9">
        <f>IF(Q1634="비교",ABS(P1634)+ROW()/1000000000,"")</f>
        <v/>
      </c>
      <c r="V1634" s="39">
        <f>IF($A1634="","",IF(COUNTIF(변동분석!$E$7:$E$506,O1634)&gt;0,"Y","N"))</f>
        <v/>
      </c>
      <c r="W1634" s="39">
        <f>IF($A1634="","",IFERROR(INDEX(계정매핑!$D$5:$D$504,MATCH($F1634&amp;"",계정매핑!$A$5:$A$504,0)),"미매핑"))</f>
        <v/>
      </c>
      <c r="X1634" s="9">
        <f>IF($A1634="","",$F1634&amp;"")</f>
        <v/>
      </c>
    </row>
    <row r="1635">
      <c r="A1635" s="75" t="n">
        <v>2025</v>
      </c>
      <c r="B1635" s="75" t="n">
        <v>9</v>
      </c>
      <c r="C1635" s="75" t="inlineStr">
        <is>
          <t>5100001631</t>
        </is>
      </c>
      <c r="D1635" s="78" t="n">
        <v>45911</v>
      </c>
      <c r="E1635" s="75" t="inlineStr">
        <is>
          <t>KR</t>
        </is>
      </c>
      <c r="F1635" s="75" t="n">
        <v>62101000</v>
      </c>
      <c r="G1635" s="75" t="n">
        <v>1201</v>
      </c>
      <c r="H1635" s="76" t="n">
        <v>280000</v>
      </c>
      <c r="I1635" s="75" t="inlineStr">
        <is>
          <t>9월 국내출장 - M항공</t>
        </is>
      </c>
      <c r="J1635" s="75" t="inlineStr">
        <is>
          <t>V10001</t>
        </is>
      </c>
      <c r="K1635" s="75" t="inlineStr">
        <is>
          <t>M항공</t>
        </is>
      </c>
      <c r="M1635" s="9">
        <f>IF($A1635="","",VALUE($A1635&amp;"")*12+VALUE($B1635&amp;""))</f>
        <v/>
      </c>
      <c r="N1635" s="39">
        <f>IF($A1635="","",IFERROR(INDEX(부서매핑!$C$5:$C$504,MATCH($G1635&amp;"",부서매핑!$A$5:$A$504,0)),"미매핑"))</f>
        <v/>
      </c>
      <c r="O1635" s="9">
        <f>IF($A1635="","",N1635&amp;"|"&amp;$F1635)</f>
        <v/>
      </c>
      <c r="P1635" s="77">
        <f>IF($A1635="",0,$H1635*설정!$C$23)</f>
        <v/>
      </c>
      <c r="Q1635" s="39">
        <f>IF($A1635="","",IF(O1635&lt;&gt;원인분석!$C$9,"",IF(AND(M1635&gt;=원인분석!$C$10,M1635&lt;=원인분석!$C$11),"당기",IF(AND(M1635&gt;=원인분석!$C$12,M1635&lt;=원인분석!$C$13),"비교",""))))</f>
        <v/>
      </c>
      <c r="R1635" s="9">
        <f>IF(Q1635="","",$K1635&amp;"")</f>
        <v/>
      </c>
      <c r="S1635" s="9">
        <f>IF(Q1635="","",IF(MATCH(R1635,$R$5:$R$100000,0)=ROW()-4,ROW(),""))</f>
        <v/>
      </c>
      <c r="T1635" s="9">
        <f>IF(Q1635="당기",ABS(P1635)+ROW()/1000000000,"")</f>
        <v/>
      </c>
      <c r="U1635" s="9">
        <f>IF(Q1635="비교",ABS(P1635)+ROW()/1000000000,"")</f>
        <v/>
      </c>
      <c r="V1635" s="39">
        <f>IF($A1635="","",IF(COUNTIF(변동분석!$E$7:$E$506,O1635)&gt;0,"Y","N"))</f>
        <v/>
      </c>
      <c r="W1635" s="39">
        <f>IF($A1635="","",IFERROR(INDEX(계정매핑!$D$5:$D$504,MATCH($F1635&amp;"",계정매핑!$A$5:$A$504,0)),"미매핑"))</f>
        <v/>
      </c>
      <c r="X1635" s="9">
        <f>IF($A1635="","",$F1635&amp;"")</f>
        <v/>
      </c>
    </row>
    <row r="1636">
      <c r="A1636" s="75" t="n">
        <v>2025</v>
      </c>
      <c r="B1636" s="75" t="n">
        <v>9</v>
      </c>
      <c r="C1636" s="75" t="inlineStr">
        <is>
          <t>5100001632</t>
        </is>
      </c>
      <c r="D1636" s="78" t="n">
        <v>45911</v>
      </c>
      <c r="E1636" s="75" t="inlineStr">
        <is>
          <t>KR</t>
        </is>
      </c>
      <c r="F1636" s="75" t="n">
        <v>62101000</v>
      </c>
      <c r="G1636" s="75" t="n">
        <v>1501</v>
      </c>
      <c r="H1636" s="76" t="n">
        <v>907000</v>
      </c>
      <c r="I1636" s="75" t="inlineStr">
        <is>
          <t>9월 국내출장 - L여행사</t>
        </is>
      </c>
      <c r="J1636" s="75" t="inlineStr">
        <is>
          <t>V10014</t>
        </is>
      </c>
      <c r="K1636" s="75" t="inlineStr">
        <is>
          <t>L여행사</t>
        </is>
      </c>
      <c r="M1636" s="9">
        <f>IF($A1636="","",VALUE($A1636&amp;"")*12+VALUE($B1636&amp;""))</f>
        <v/>
      </c>
      <c r="N1636" s="39">
        <f>IF($A1636="","",IFERROR(INDEX(부서매핑!$C$5:$C$504,MATCH($G1636&amp;"",부서매핑!$A$5:$A$504,0)),"미매핑"))</f>
        <v/>
      </c>
      <c r="O1636" s="9">
        <f>IF($A1636="","",N1636&amp;"|"&amp;$F1636)</f>
        <v/>
      </c>
      <c r="P1636" s="77">
        <f>IF($A1636="",0,$H1636*설정!$C$23)</f>
        <v/>
      </c>
      <c r="Q1636" s="39">
        <f>IF($A1636="","",IF(O1636&lt;&gt;원인분석!$C$9,"",IF(AND(M1636&gt;=원인분석!$C$10,M1636&lt;=원인분석!$C$11),"당기",IF(AND(M1636&gt;=원인분석!$C$12,M1636&lt;=원인분석!$C$13),"비교",""))))</f>
        <v/>
      </c>
      <c r="R1636" s="9">
        <f>IF(Q1636="","",$K1636&amp;"")</f>
        <v/>
      </c>
      <c r="S1636" s="9">
        <f>IF(Q1636="","",IF(MATCH(R1636,$R$5:$R$100000,0)=ROW()-4,ROW(),""))</f>
        <v/>
      </c>
      <c r="T1636" s="9">
        <f>IF(Q1636="당기",ABS(P1636)+ROW()/1000000000,"")</f>
        <v/>
      </c>
      <c r="U1636" s="9">
        <f>IF(Q1636="비교",ABS(P1636)+ROW()/1000000000,"")</f>
        <v/>
      </c>
      <c r="V1636" s="39">
        <f>IF($A1636="","",IF(COUNTIF(변동분석!$E$7:$E$506,O1636)&gt;0,"Y","N"))</f>
        <v/>
      </c>
      <c r="W1636" s="39">
        <f>IF($A1636="","",IFERROR(INDEX(계정매핑!$D$5:$D$504,MATCH($F1636&amp;"",계정매핑!$A$5:$A$504,0)),"미매핑"))</f>
        <v/>
      </c>
      <c r="X1636" s="9">
        <f>IF($A1636="","",$F1636&amp;"")</f>
        <v/>
      </c>
    </row>
    <row r="1637">
      <c r="A1637" s="75" t="n">
        <v>2025</v>
      </c>
      <c r="B1637" s="75" t="n">
        <v>9</v>
      </c>
      <c r="C1637" s="75" t="inlineStr">
        <is>
          <t>5100001633</t>
        </is>
      </c>
      <c r="D1637" s="78" t="n">
        <v>45911</v>
      </c>
      <c r="E1637" s="75" t="inlineStr">
        <is>
          <t>KR</t>
        </is>
      </c>
      <c r="F1637" s="75" t="n">
        <v>62102000</v>
      </c>
      <c r="G1637" s="75" t="n">
        <v>1301</v>
      </c>
      <c r="H1637" s="76" t="n">
        <v>133000</v>
      </c>
      <c r="I1637" s="75" t="inlineStr">
        <is>
          <t>9월 해외출장 - M항공</t>
        </is>
      </c>
      <c r="J1637" s="75" t="inlineStr">
        <is>
          <t>V10001</t>
        </is>
      </c>
      <c r="K1637" s="75" t="inlineStr">
        <is>
          <t>M항공</t>
        </is>
      </c>
      <c r="M1637" s="9">
        <f>IF($A1637="","",VALUE($A1637&amp;"")*12+VALUE($B1637&amp;""))</f>
        <v/>
      </c>
      <c r="N1637" s="39">
        <f>IF($A1637="","",IFERROR(INDEX(부서매핑!$C$5:$C$504,MATCH($G1637&amp;"",부서매핑!$A$5:$A$504,0)),"미매핑"))</f>
        <v/>
      </c>
      <c r="O1637" s="9">
        <f>IF($A1637="","",N1637&amp;"|"&amp;$F1637)</f>
        <v/>
      </c>
      <c r="P1637" s="77">
        <f>IF($A1637="",0,$H1637*설정!$C$23)</f>
        <v/>
      </c>
      <c r="Q1637" s="39">
        <f>IF($A1637="","",IF(O1637&lt;&gt;원인분석!$C$9,"",IF(AND(M1637&gt;=원인분석!$C$10,M1637&lt;=원인분석!$C$11),"당기",IF(AND(M1637&gt;=원인분석!$C$12,M1637&lt;=원인분석!$C$13),"비교",""))))</f>
        <v/>
      </c>
      <c r="R1637" s="9">
        <f>IF(Q1637="","",$K1637&amp;"")</f>
        <v/>
      </c>
      <c r="S1637" s="9">
        <f>IF(Q1637="","",IF(MATCH(R1637,$R$5:$R$100000,0)=ROW()-4,ROW(),""))</f>
        <v/>
      </c>
      <c r="T1637" s="9">
        <f>IF(Q1637="당기",ABS(P1637)+ROW()/1000000000,"")</f>
        <v/>
      </c>
      <c r="U1637" s="9">
        <f>IF(Q1637="비교",ABS(P1637)+ROW()/1000000000,"")</f>
        <v/>
      </c>
      <c r="V1637" s="39">
        <f>IF($A1637="","",IF(COUNTIF(변동분석!$E$7:$E$506,O1637)&gt;0,"Y","N"))</f>
        <v/>
      </c>
      <c r="W1637" s="39">
        <f>IF($A1637="","",IFERROR(INDEX(계정매핑!$D$5:$D$504,MATCH($F1637&amp;"",계정매핑!$A$5:$A$504,0)),"미매핑"))</f>
        <v/>
      </c>
      <c r="X1637" s="9">
        <f>IF($A1637="","",$F1637&amp;"")</f>
        <v/>
      </c>
    </row>
    <row r="1638">
      <c r="A1638" s="75" t="n">
        <v>2025</v>
      </c>
      <c r="B1638" s="75" t="n">
        <v>9</v>
      </c>
      <c r="C1638" s="75" t="inlineStr">
        <is>
          <t>5100001634</t>
        </is>
      </c>
      <c r="D1638" s="78" t="n">
        <v>45911</v>
      </c>
      <c r="E1638" s="75" t="inlineStr">
        <is>
          <t>KR</t>
        </is>
      </c>
      <c r="F1638" s="75" t="n">
        <v>62102000</v>
      </c>
      <c r="G1638" s="75" t="n">
        <v>1401</v>
      </c>
      <c r="H1638" s="76" t="n">
        <v>89000</v>
      </c>
      <c r="I1638" s="75" t="inlineStr">
        <is>
          <t>9월 해외출장 - N호텔</t>
        </is>
      </c>
      <c r="J1638" s="75" t="inlineStr">
        <is>
          <t>V10007</t>
        </is>
      </c>
      <c r="K1638" s="75" t="inlineStr">
        <is>
          <t>N호텔</t>
        </is>
      </c>
      <c r="M1638" s="9">
        <f>IF($A1638="","",VALUE($A1638&amp;"")*12+VALUE($B1638&amp;""))</f>
        <v/>
      </c>
      <c r="N1638" s="39">
        <f>IF($A1638="","",IFERROR(INDEX(부서매핑!$C$5:$C$504,MATCH($G1638&amp;"",부서매핑!$A$5:$A$504,0)),"미매핑"))</f>
        <v/>
      </c>
      <c r="O1638" s="9">
        <f>IF($A1638="","",N1638&amp;"|"&amp;$F1638)</f>
        <v/>
      </c>
      <c r="P1638" s="77">
        <f>IF($A1638="",0,$H1638*설정!$C$23)</f>
        <v/>
      </c>
      <c r="Q1638" s="39">
        <f>IF($A1638="","",IF(O1638&lt;&gt;원인분석!$C$9,"",IF(AND(M1638&gt;=원인분석!$C$10,M1638&lt;=원인분석!$C$11),"당기",IF(AND(M1638&gt;=원인분석!$C$12,M1638&lt;=원인분석!$C$13),"비교",""))))</f>
        <v/>
      </c>
      <c r="R1638" s="9">
        <f>IF(Q1638="","",$K1638&amp;"")</f>
        <v/>
      </c>
      <c r="S1638" s="9">
        <f>IF(Q1638="","",IF(MATCH(R1638,$R$5:$R$100000,0)=ROW()-4,ROW(),""))</f>
        <v/>
      </c>
      <c r="T1638" s="9">
        <f>IF(Q1638="당기",ABS(P1638)+ROW()/1000000000,"")</f>
        <v/>
      </c>
      <c r="U1638" s="9">
        <f>IF(Q1638="비교",ABS(P1638)+ROW()/1000000000,"")</f>
        <v/>
      </c>
      <c r="V1638" s="39">
        <f>IF($A1638="","",IF(COUNTIF(변동분석!$E$7:$E$506,O1638)&gt;0,"Y","N"))</f>
        <v/>
      </c>
      <c r="W1638" s="39">
        <f>IF($A1638="","",IFERROR(INDEX(계정매핑!$D$5:$D$504,MATCH($F1638&amp;"",계정매핑!$A$5:$A$504,0)),"미매핑"))</f>
        <v/>
      </c>
      <c r="X1638" s="9">
        <f>IF($A1638="","",$F1638&amp;"")</f>
        <v/>
      </c>
    </row>
    <row r="1639">
      <c r="A1639" s="75" t="n">
        <v>2025</v>
      </c>
      <c r="B1639" s="75" t="n">
        <v>9</v>
      </c>
      <c r="C1639" s="75" t="inlineStr">
        <is>
          <t>5100001635</t>
        </is>
      </c>
      <c r="D1639" s="78" t="n">
        <v>45911</v>
      </c>
      <c r="E1639" s="75" t="inlineStr">
        <is>
          <t>KR</t>
        </is>
      </c>
      <c r="F1639" s="75" t="n">
        <v>62501000</v>
      </c>
      <c r="G1639" s="75" t="n">
        <v>1101</v>
      </c>
      <c r="H1639" s="76" t="n">
        <v>448000</v>
      </c>
      <c r="I1639" s="75" t="inlineStr">
        <is>
          <t>9월 회의 다과 - T케이터링</t>
        </is>
      </c>
      <c r="J1639" s="75" t="inlineStr">
        <is>
          <t>V10005</t>
        </is>
      </c>
      <c r="K1639" s="75" t="inlineStr">
        <is>
          <t>T케이터링</t>
        </is>
      </c>
      <c r="M1639" s="9">
        <f>IF($A1639="","",VALUE($A1639&amp;"")*12+VALUE($B1639&amp;""))</f>
        <v/>
      </c>
      <c r="N1639" s="39">
        <f>IF($A1639="","",IFERROR(INDEX(부서매핑!$C$5:$C$504,MATCH($G1639&amp;"",부서매핑!$A$5:$A$504,0)),"미매핑"))</f>
        <v/>
      </c>
      <c r="O1639" s="9">
        <f>IF($A1639="","",N1639&amp;"|"&amp;$F1639)</f>
        <v/>
      </c>
      <c r="P1639" s="77">
        <f>IF($A1639="",0,$H1639*설정!$C$23)</f>
        <v/>
      </c>
      <c r="Q1639" s="39">
        <f>IF($A1639="","",IF(O1639&lt;&gt;원인분석!$C$9,"",IF(AND(M1639&gt;=원인분석!$C$10,M1639&lt;=원인분석!$C$11),"당기",IF(AND(M1639&gt;=원인분석!$C$12,M1639&lt;=원인분석!$C$13),"비교",""))))</f>
        <v/>
      </c>
      <c r="R1639" s="9">
        <f>IF(Q1639="","",$K1639&amp;"")</f>
        <v/>
      </c>
      <c r="S1639" s="9">
        <f>IF(Q1639="","",IF(MATCH(R1639,$R$5:$R$100000,0)=ROW()-4,ROW(),""))</f>
        <v/>
      </c>
      <c r="T1639" s="9">
        <f>IF(Q1639="당기",ABS(P1639)+ROW()/1000000000,"")</f>
        <v/>
      </c>
      <c r="U1639" s="9">
        <f>IF(Q1639="비교",ABS(P1639)+ROW()/1000000000,"")</f>
        <v/>
      </c>
      <c r="V1639" s="39">
        <f>IF($A1639="","",IF(COUNTIF(변동분석!$E$7:$E$506,O1639)&gt;0,"Y","N"))</f>
        <v/>
      </c>
      <c r="W1639" s="39">
        <f>IF($A1639="","",IFERROR(INDEX(계정매핑!$D$5:$D$504,MATCH($F1639&amp;"",계정매핑!$A$5:$A$504,0)),"미매핑"))</f>
        <v/>
      </c>
      <c r="X1639" s="9">
        <f>IF($A1639="","",$F1639&amp;"")</f>
        <v/>
      </c>
    </row>
    <row r="1640">
      <c r="A1640" s="75" t="n">
        <v>2025</v>
      </c>
      <c r="B1640" s="75" t="n">
        <v>9</v>
      </c>
      <c r="C1640" s="75" t="inlineStr">
        <is>
          <t>5100001636</t>
        </is>
      </c>
      <c r="D1640" s="78" t="n">
        <v>45911</v>
      </c>
      <c r="E1640" s="75" t="inlineStr">
        <is>
          <t>KR</t>
        </is>
      </c>
      <c r="F1640" s="75" t="n">
        <v>62902000</v>
      </c>
      <c r="G1640" s="75" t="n">
        <v>1801</v>
      </c>
      <c r="H1640" s="76" t="n">
        <v>1854000</v>
      </c>
      <c r="I1640" s="75" t="inlineStr">
        <is>
          <t>9월 콜 위탁 수수료(건별)</t>
        </is>
      </c>
      <c r="J1640" s="75" t="inlineStr">
        <is>
          <t>V10013</t>
        </is>
      </c>
      <c r="K1640" s="75" t="inlineStr">
        <is>
          <t>J콜센터</t>
        </is>
      </c>
      <c r="M1640" s="9">
        <f>IF($A1640="","",VALUE($A1640&amp;"")*12+VALUE($B1640&amp;""))</f>
        <v/>
      </c>
      <c r="N1640" s="39">
        <f>IF($A1640="","",IFERROR(INDEX(부서매핑!$C$5:$C$504,MATCH($G1640&amp;"",부서매핑!$A$5:$A$504,0)),"미매핑"))</f>
        <v/>
      </c>
      <c r="O1640" s="9">
        <f>IF($A1640="","",N1640&amp;"|"&amp;$F1640)</f>
        <v/>
      </c>
      <c r="P1640" s="77">
        <f>IF($A1640="",0,$H1640*설정!$C$23)</f>
        <v/>
      </c>
      <c r="Q1640" s="39">
        <f>IF($A1640="","",IF(O1640&lt;&gt;원인분석!$C$9,"",IF(AND(M1640&gt;=원인분석!$C$10,M1640&lt;=원인분석!$C$11),"당기",IF(AND(M1640&gt;=원인분석!$C$12,M1640&lt;=원인분석!$C$13),"비교",""))))</f>
        <v/>
      </c>
      <c r="R1640" s="9">
        <f>IF(Q1640="","",$K1640&amp;"")</f>
        <v/>
      </c>
      <c r="S1640" s="9">
        <f>IF(Q1640="","",IF(MATCH(R1640,$R$5:$R$100000,0)=ROW()-4,ROW(),""))</f>
        <v/>
      </c>
      <c r="T1640" s="9">
        <f>IF(Q1640="당기",ABS(P1640)+ROW()/1000000000,"")</f>
        <v/>
      </c>
      <c r="U1640" s="9">
        <f>IF(Q1640="비교",ABS(P1640)+ROW()/1000000000,"")</f>
        <v/>
      </c>
      <c r="V1640" s="39">
        <f>IF($A1640="","",IF(COUNTIF(변동분석!$E$7:$E$506,O1640)&gt;0,"Y","N"))</f>
        <v/>
      </c>
      <c r="W1640" s="39">
        <f>IF($A1640="","",IFERROR(INDEX(계정매핑!$D$5:$D$504,MATCH($F1640&amp;"",계정매핑!$A$5:$A$504,0)),"미매핑"))</f>
        <v/>
      </c>
      <c r="X1640" s="9">
        <f>IF($A1640="","",$F1640&amp;"")</f>
        <v/>
      </c>
    </row>
    <row r="1641">
      <c r="A1641" s="75" t="n">
        <v>2025</v>
      </c>
      <c r="B1641" s="75" t="n">
        <v>9</v>
      </c>
      <c r="C1641" s="75" t="inlineStr">
        <is>
          <t>5100001637</t>
        </is>
      </c>
      <c r="D1641" s="78" t="n">
        <v>45911</v>
      </c>
      <c r="E1641" s="75" t="inlineStr">
        <is>
          <t>KR</t>
        </is>
      </c>
      <c r="F1641" s="75" t="n">
        <v>62902000</v>
      </c>
      <c r="G1641" s="75" t="n">
        <v>1801</v>
      </c>
      <c r="H1641" s="76" t="n">
        <v>3000000</v>
      </c>
      <c r="I1641" s="75" t="inlineStr">
        <is>
          <t>9월 업무 위탁 수수료 - X서비스</t>
        </is>
      </c>
      <c r="J1641" s="75" t="inlineStr">
        <is>
          <t>V10016</t>
        </is>
      </c>
      <c r="K1641" s="75" t="inlineStr">
        <is>
          <t>X서비스</t>
        </is>
      </c>
      <c r="M1641" s="9">
        <f>IF($A1641="","",VALUE($A1641&amp;"")*12+VALUE($B1641&amp;""))</f>
        <v/>
      </c>
      <c r="N1641" s="39">
        <f>IF($A1641="","",IFERROR(INDEX(부서매핑!$C$5:$C$504,MATCH($G1641&amp;"",부서매핑!$A$5:$A$504,0)),"미매핑"))</f>
        <v/>
      </c>
      <c r="O1641" s="9">
        <f>IF($A1641="","",N1641&amp;"|"&amp;$F1641)</f>
        <v/>
      </c>
      <c r="P1641" s="77">
        <f>IF($A1641="",0,$H1641*설정!$C$23)</f>
        <v/>
      </c>
      <c r="Q1641" s="39">
        <f>IF($A1641="","",IF(O1641&lt;&gt;원인분석!$C$9,"",IF(AND(M1641&gt;=원인분석!$C$10,M1641&lt;=원인분석!$C$11),"당기",IF(AND(M1641&gt;=원인분석!$C$12,M1641&lt;=원인분석!$C$13),"비교",""))))</f>
        <v/>
      </c>
      <c r="R1641" s="9">
        <f>IF(Q1641="","",$K1641&amp;"")</f>
        <v/>
      </c>
      <c r="S1641" s="9">
        <f>IF(Q1641="","",IF(MATCH(R1641,$R$5:$R$100000,0)=ROW()-4,ROW(),""))</f>
        <v/>
      </c>
      <c r="T1641" s="9">
        <f>IF(Q1641="당기",ABS(P1641)+ROW()/1000000000,"")</f>
        <v/>
      </c>
      <c r="U1641" s="9">
        <f>IF(Q1641="비교",ABS(P1641)+ROW()/1000000000,"")</f>
        <v/>
      </c>
      <c r="V1641" s="39">
        <f>IF($A1641="","",IF(COUNTIF(변동분석!$E$7:$E$506,O1641)&gt;0,"Y","N"))</f>
        <v/>
      </c>
      <c r="W1641" s="39">
        <f>IF($A1641="","",IFERROR(INDEX(계정매핑!$D$5:$D$504,MATCH($F1641&amp;"",계정매핑!$A$5:$A$504,0)),"미매핑"))</f>
        <v/>
      </c>
      <c r="X1641" s="9">
        <f>IF($A1641="","",$F1641&amp;"")</f>
        <v/>
      </c>
    </row>
    <row r="1642">
      <c r="A1642" s="75" t="n">
        <v>2025</v>
      </c>
      <c r="B1642" s="75" t="n">
        <v>9</v>
      </c>
      <c r="C1642" s="75" t="inlineStr">
        <is>
          <t>5100001638</t>
        </is>
      </c>
      <c r="D1642" s="78" t="n">
        <v>45911</v>
      </c>
      <c r="E1642" s="75" t="inlineStr">
        <is>
          <t>KR</t>
        </is>
      </c>
      <c r="F1642" s="75" t="n">
        <v>63001000</v>
      </c>
      <c r="G1642" s="75" t="n">
        <v>1701</v>
      </c>
      <c r="H1642" s="76" t="n">
        <v>48246000</v>
      </c>
      <c r="I1642" s="75" t="inlineStr">
        <is>
          <t>9월 SW 유지보수 - Z시스템</t>
        </is>
      </c>
      <c r="J1642" s="75" t="inlineStr">
        <is>
          <t>V10021</t>
        </is>
      </c>
      <c r="K1642" s="75" t="inlineStr">
        <is>
          <t>Z시스템</t>
        </is>
      </c>
      <c r="M1642" s="9">
        <f>IF($A1642="","",VALUE($A1642&amp;"")*12+VALUE($B1642&amp;""))</f>
        <v/>
      </c>
      <c r="N1642" s="39">
        <f>IF($A1642="","",IFERROR(INDEX(부서매핑!$C$5:$C$504,MATCH($G1642&amp;"",부서매핑!$A$5:$A$504,0)),"미매핑"))</f>
        <v/>
      </c>
      <c r="O1642" s="9">
        <f>IF($A1642="","",N1642&amp;"|"&amp;$F1642)</f>
        <v/>
      </c>
      <c r="P1642" s="77">
        <f>IF($A1642="",0,$H1642*설정!$C$23)</f>
        <v/>
      </c>
      <c r="Q1642" s="39">
        <f>IF($A1642="","",IF(O1642&lt;&gt;원인분석!$C$9,"",IF(AND(M1642&gt;=원인분석!$C$10,M1642&lt;=원인분석!$C$11),"당기",IF(AND(M1642&gt;=원인분석!$C$12,M1642&lt;=원인분석!$C$13),"비교",""))))</f>
        <v/>
      </c>
      <c r="R1642" s="9">
        <f>IF(Q1642="","",$K1642&amp;"")</f>
        <v/>
      </c>
      <c r="S1642" s="9">
        <f>IF(Q1642="","",IF(MATCH(R1642,$R$5:$R$100000,0)=ROW()-4,ROW(),""))</f>
        <v/>
      </c>
      <c r="T1642" s="9">
        <f>IF(Q1642="당기",ABS(P1642)+ROW()/1000000000,"")</f>
        <v/>
      </c>
      <c r="U1642" s="9">
        <f>IF(Q1642="비교",ABS(P1642)+ROW()/1000000000,"")</f>
        <v/>
      </c>
      <c r="V1642" s="39">
        <f>IF($A1642="","",IF(COUNTIF(변동분석!$E$7:$E$506,O1642)&gt;0,"Y","N"))</f>
        <v/>
      </c>
      <c r="W1642" s="39">
        <f>IF($A1642="","",IFERROR(INDEX(계정매핑!$D$5:$D$504,MATCH($F1642&amp;"",계정매핑!$A$5:$A$504,0)),"미매핑"))</f>
        <v/>
      </c>
      <c r="X1642" s="9">
        <f>IF($A1642="","",$F1642&amp;"")</f>
        <v/>
      </c>
    </row>
    <row r="1643">
      <c r="A1643" s="75" t="n">
        <v>2025</v>
      </c>
      <c r="B1643" s="75" t="n">
        <v>9</v>
      </c>
      <c r="C1643" s="75" t="inlineStr">
        <is>
          <t>5100001639</t>
        </is>
      </c>
      <c r="D1643" s="78" t="n">
        <v>45912</v>
      </c>
      <c r="E1643" s="75" t="inlineStr">
        <is>
          <t>KR</t>
        </is>
      </c>
      <c r="F1643" s="75" t="n">
        <v>62101000</v>
      </c>
      <c r="G1643" s="75" t="n">
        <v>1201</v>
      </c>
      <c r="H1643" s="76" t="n">
        <v>167000</v>
      </c>
      <c r="I1643" s="75" t="inlineStr">
        <is>
          <t>9월 국내출장 - L여행사</t>
        </is>
      </c>
      <c r="J1643" s="75" t="inlineStr">
        <is>
          <t>V10014</t>
        </is>
      </c>
      <c r="K1643" s="75" t="inlineStr">
        <is>
          <t>L여행사</t>
        </is>
      </c>
      <c r="M1643" s="9">
        <f>IF($A1643="","",VALUE($A1643&amp;"")*12+VALUE($B1643&amp;""))</f>
        <v/>
      </c>
      <c r="N1643" s="39">
        <f>IF($A1643="","",IFERROR(INDEX(부서매핑!$C$5:$C$504,MATCH($G1643&amp;"",부서매핑!$A$5:$A$504,0)),"미매핑"))</f>
        <v/>
      </c>
      <c r="O1643" s="9">
        <f>IF($A1643="","",N1643&amp;"|"&amp;$F1643)</f>
        <v/>
      </c>
      <c r="P1643" s="77">
        <f>IF($A1643="",0,$H1643*설정!$C$23)</f>
        <v/>
      </c>
      <c r="Q1643" s="39">
        <f>IF($A1643="","",IF(O1643&lt;&gt;원인분석!$C$9,"",IF(AND(M1643&gt;=원인분석!$C$10,M1643&lt;=원인분석!$C$11),"당기",IF(AND(M1643&gt;=원인분석!$C$12,M1643&lt;=원인분석!$C$13),"비교",""))))</f>
        <v/>
      </c>
      <c r="R1643" s="9">
        <f>IF(Q1643="","",$K1643&amp;"")</f>
        <v/>
      </c>
      <c r="S1643" s="9">
        <f>IF(Q1643="","",IF(MATCH(R1643,$R$5:$R$100000,0)=ROW()-4,ROW(),""))</f>
        <v/>
      </c>
      <c r="T1643" s="9">
        <f>IF(Q1643="당기",ABS(P1643)+ROW()/1000000000,"")</f>
        <v/>
      </c>
      <c r="U1643" s="9">
        <f>IF(Q1643="비교",ABS(P1643)+ROW()/1000000000,"")</f>
        <v/>
      </c>
      <c r="V1643" s="39">
        <f>IF($A1643="","",IF(COUNTIF(변동분석!$E$7:$E$506,O1643)&gt;0,"Y","N"))</f>
        <v/>
      </c>
      <c r="W1643" s="39">
        <f>IF($A1643="","",IFERROR(INDEX(계정매핑!$D$5:$D$504,MATCH($F1643&amp;"",계정매핑!$A$5:$A$504,0)),"미매핑"))</f>
        <v/>
      </c>
      <c r="X1643" s="9">
        <f>IF($A1643="","",$F1643&amp;"")</f>
        <v/>
      </c>
    </row>
    <row r="1644">
      <c r="A1644" s="75" t="n">
        <v>2025</v>
      </c>
      <c r="B1644" s="75" t="n">
        <v>9</v>
      </c>
      <c r="C1644" s="75" t="inlineStr">
        <is>
          <t>5100001640</t>
        </is>
      </c>
      <c r="D1644" s="78" t="n">
        <v>45912</v>
      </c>
      <c r="E1644" s="75" t="inlineStr">
        <is>
          <t>KR</t>
        </is>
      </c>
      <c r="F1644" s="75" t="n">
        <v>62101000</v>
      </c>
      <c r="G1644" s="75" t="n">
        <v>1401</v>
      </c>
      <c r="H1644" s="76" t="n">
        <v>353000</v>
      </c>
      <c r="I1644" s="75" t="inlineStr">
        <is>
          <t>9월 국내출장 - L여행사</t>
        </is>
      </c>
      <c r="J1644" s="75" t="inlineStr">
        <is>
          <t>V10014</t>
        </is>
      </c>
      <c r="K1644" s="75" t="inlineStr">
        <is>
          <t>L여행사</t>
        </is>
      </c>
      <c r="M1644" s="9">
        <f>IF($A1644="","",VALUE($A1644&amp;"")*12+VALUE($B1644&amp;""))</f>
        <v/>
      </c>
      <c r="N1644" s="39">
        <f>IF($A1644="","",IFERROR(INDEX(부서매핑!$C$5:$C$504,MATCH($G1644&amp;"",부서매핑!$A$5:$A$504,0)),"미매핑"))</f>
        <v/>
      </c>
      <c r="O1644" s="9">
        <f>IF($A1644="","",N1644&amp;"|"&amp;$F1644)</f>
        <v/>
      </c>
      <c r="P1644" s="77">
        <f>IF($A1644="",0,$H1644*설정!$C$23)</f>
        <v/>
      </c>
      <c r="Q1644" s="39">
        <f>IF($A1644="","",IF(O1644&lt;&gt;원인분석!$C$9,"",IF(AND(M1644&gt;=원인분석!$C$10,M1644&lt;=원인분석!$C$11),"당기",IF(AND(M1644&gt;=원인분석!$C$12,M1644&lt;=원인분석!$C$13),"비교",""))))</f>
        <v/>
      </c>
      <c r="R1644" s="9">
        <f>IF(Q1644="","",$K1644&amp;"")</f>
        <v/>
      </c>
      <c r="S1644" s="9">
        <f>IF(Q1644="","",IF(MATCH(R1644,$R$5:$R$100000,0)=ROW()-4,ROW(),""))</f>
        <v/>
      </c>
      <c r="T1644" s="9">
        <f>IF(Q1644="당기",ABS(P1644)+ROW()/1000000000,"")</f>
        <v/>
      </c>
      <c r="U1644" s="9">
        <f>IF(Q1644="비교",ABS(P1644)+ROW()/1000000000,"")</f>
        <v/>
      </c>
      <c r="V1644" s="39">
        <f>IF($A1644="","",IF(COUNTIF(변동분석!$E$7:$E$506,O1644)&gt;0,"Y","N"))</f>
        <v/>
      </c>
      <c r="W1644" s="39">
        <f>IF($A1644="","",IFERROR(INDEX(계정매핑!$D$5:$D$504,MATCH($F1644&amp;"",계정매핑!$A$5:$A$504,0)),"미매핑"))</f>
        <v/>
      </c>
      <c r="X1644" s="9">
        <f>IF($A1644="","",$F1644&amp;"")</f>
        <v/>
      </c>
    </row>
    <row r="1645">
      <c r="A1645" s="75" t="n">
        <v>2025</v>
      </c>
      <c r="B1645" s="75" t="n">
        <v>9</v>
      </c>
      <c r="C1645" s="75" t="inlineStr">
        <is>
          <t>5100001641</t>
        </is>
      </c>
      <c r="D1645" s="78" t="n">
        <v>45912</v>
      </c>
      <c r="E1645" s="75" t="inlineStr">
        <is>
          <t>KR</t>
        </is>
      </c>
      <c r="F1645" s="75" t="n">
        <v>62102000</v>
      </c>
      <c r="G1645" s="75" t="n">
        <v>1201</v>
      </c>
      <c r="H1645" s="76" t="n">
        <v>44000</v>
      </c>
      <c r="I1645" s="75" t="inlineStr">
        <is>
          <t>9월 해외출장 - N호텔</t>
        </is>
      </c>
      <c r="J1645" s="75" t="inlineStr">
        <is>
          <t>V10007</t>
        </is>
      </c>
      <c r="K1645" s="75" t="inlineStr">
        <is>
          <t>N호텔</t>
        </is>
      </c>
      <c r="M1645" s="9">
        <f>IF($A1645="","",VALUE($A1645&amp;"")*12+VALUE($B1645&amp;""))</f>
        <v/>
      </c>
      <c r="N1645" s="39">
        <f>IF($A1645="","",IFERROR(INDEX(부서매핑!$C$5:$C$504,MATCH($G1645&amp;"",부서매핑!$A$5:$A$504,0)),"미매핑"))</f>
        <v/>
      </c>
      <c r="O1645" s="9">
        <f>IF($A1645="","",N1645&amp;"|"&amp;$F1645)</f>
        <v/>
      </c>
      <c r="P1645" s="77">
        <f>IF($A1645="",0,$H1645*설정!$C$23)</f>
        <v/>
      </c>
      <c r="Q1645" s="39">
        <f>IF($A1645="","",IF(O1645&lt;&gt;원인분석!$C$9,"",IF(AND(M1645&gt;=원인분석!$C$10,M1645&lt;=원인분석!$C$11),"당기",IF(AND(M1645&gt;=원인분석!$C$12,M1645&lt;=원인분석!$C$13),"비교",""))))</f>
        <v/>
      </c>
      <c r="R1645" s="9">
        <f>IF(Q1645="","",$K1645&amp;"")</f>
        <v/>
      </c>
      <c r="S1645" s="9">
        <f>IF(Q1645="","",IF(MATCH(R1645,$R$5:$R$100000,0)=ROW()-4,ROW(),""))</f>
        <v/>
      </c>
      <c r="T1645" s="9">
        <f>IF(Q1645="당기",ABS(P1645)+ROW()/1000000000,"")</f>
        <v/>
      </c>
      <c r="U1645" s="9">
        <f>IF(Q1645="비교",ABS(P1645)+ROW()/1000000000,"")</f>
        <v/>
      </c>
      <c r="V1645" s="39">
        <f>IF($A1645="","",IF(COUNTIF(변동분석!$E$7:$E$506,O1645)&gt;0,"Y","N"))</f>
        <v/>
      </c>
      <c r="W1645" s="39">
        <f>IF($A1645="","",IFERROR(INDEX(계정매핑!$D$5:$D$504,MATCH($F1645&amp;"",계정매핑!$A$5:$A$504,0)),"미매핑"))</f>
        <v/>
      </c>
      <c r="X1645" s="9">
        <f>IF($A1645="","",$F1645&amp;"")</f>
        <v/>
      </c>
    </row>
    <row r="1646">
      <c r="A1646" s="75" t="n">
        <v>2025</v>
      </c>
      <c r="B1646" s="75" t="n">
        <v>9</v>
      </c>
      <c r="C1646" s="75" t="inlineStr">
        <is>
          <t>5100001642</t>
        </is>
      </c>
      <c r="D1646" s="78" t="n">
        <v>45912</v>
      </c>
      <c r="E1646" s="75" t="inlineStr">
        <is>
          <t>KR</t>
        </is>
      </c>
      <c r="F1646" s="75" t="n">
        <v>62301000</v>
      </c>
      <c r="G1646" s="75" t="n">
        <v>1301</v>
      </c>
      <c r="H1646" s="76" t="n">
        <v>233000</v>
      </c>
      <c r="I1646" s="75" t="inlineStr">
        <is>
          <t>9월 소모품 구입 - Q오피스</t>
        </is>
      </c>
      <c r="J1646" s="75" t="inlineStr">
        <is>
          <t>V10003</t>
        </is>
      </c>
      <c r="K1646" s="75" t="inlineStr">
        <is>
          <t>Q오피스</t>
        </is>
      </c>
      <c r="M1646" s="9">
        <f>IF($A1646="","",VALUE($A1646&amp;"")*12+VALUE($B1646&amp;""))</f>
        <v/>
      </c>
      <c r="N1646" s="39">
        <f>IF($A1646="","",IFERROR(INDEX(부서매핑!$C$5:$C$504,MATCH($G1646&amp;"",부서매핑!$A$5:$A$504,0)),"미매핑"))</f>
        <v/>
      </c>
      <c r="O1646" s="9">
        <f>IF($A1646="","",N1646&amp;"|"&amp;$F1646)</f>
        <v/>
      </c>
      <c r="P1646" s="77">
        <f>IF($A1646="",0,$H1646*설정!$C$23)</f>
        <v/>
      </c>
      <c r="Q1646" s="39">
        <f>IF($A1646="","",IF(O1646&lt;&gt;원인분석!$C$9,"",IF(AND(M1646&gt;=원인분석!$C$10,M1646&lt;=원인분석!$C$11),"당기",IF(AND(M1646&gt;=원인분석!$C$12,M1646&lt;=원인분석!$C$13),"비교",""))))</f>
        <v/>
      </c>
      <c r="R1646" s="9">
        <f>IF(Q1646="","",$K1646&amp;"")</f>
        <v/>
      </c>
      <c r="S1646" s="9">
        <f>IF(Q1646="","",IF(MATCH(R1646,$R$5:$R$100000,0)=ROW()-4,ROW(),""))</f>
        <v/>
      </c>
      <c r="T1646" s="9">
        <f>IF(Q1646="당기",ABS(P1646)+ROW()/1000000000,"")</f>
        <v/>
      </c>
      <c r="U1646" s="9">
        <f>IF(Q1646="비교",ABS(P1646)+ROW()/1000000000,"")</f>
        <v/>
      </c>
      <c r="V1646" s="39">
        <f>IF($A1646="","",IF(COUNTIF(변동분석!$E$7:$E$506,O1646)&gt;0,"Y","N"))</f>
        <v/>
      </c>
      <c r="W1646" s="39">
        <f>IF($A1646="","",IFERROR(INDEX(계정매핑!$D$5:$D$504,MATCH($F1646&amp;"",계정매핑!$A$5:$A$504,0)),"미매핑"))</f>
        <v/>
      </c>
      <c r="X1646" s="9">
        <f>IF($A1646="","",$F1646&amp;"")</f>
        <v/>
      </c>
    </row>
    <row r="1647">
      <c r="A1647" s="75" t="n">
        <v>2025</v>
      </c>
      <c r="B1647" s="75" t="n">
        <v>9</v>
      </c>
      <c r="C1647" s="75" t="inlineStr">
        <is>
          <t>5100001643</t>
        </is>
      </c>
      <c r="D1647" s="78" t="n">
        <v>45912</v>
      </c>
      <c r="E1647" s="75" t="inlineStr">
        <is>
          <t>KR</t>
        </is>
      </c>
      <c r="F1647" s="75" t="n">
        <v>62501000</v>
      </c>
      <c r="G1647" s="75" t="n">
        <v>1401</v>
      </c>
      <c r="H1647" s="76" t="n">
        <v>185000</v>
      </c>
      <c r="I1647" s="75" t="inlineStr">
        <is>
          <t>9월 회의 다과 - (법인카드)</t>
        </is>
      </c>
      <c r="J1647" s="75" t="inlineStr">
        <is>
          <t>V10008</t>
        </is>
      </c>
      <c r="K1647" s="75" t="inlineStr">
        <is>
          <t>(법인카드)</t>
        </is>
      </c>
      <c r="M1647" s="9">
        <f>IF($A1647="","",VALUE($A1647&amp;"")*12+VALUE($B1647&amp;""))</f>
        <v/>
      </c>
      <c r="N1647" s="39">
        <f>IF($A1647="","",IFERROR(INDEX(부서매핑!$C$5:$C$504,MATCH($G1647&amp;"",부서매핑!$A$5:$A$504,0)),"미매핑"))</f>
        <v/>
      </c>
      <c r="O1647" s="9">
        <f>IF($A1647="","",N1647&amp;"|"&amp;$F1647)</f>
        <v/>
      </c>
      <c r="P1647" s="77">
        <f>IF($A1647="",0,$H1647*설정!$C$23)</f>
        <v/>
      </c>
      <c r="Q1647" s="39">
        <f>IF($A1647="","",IF(O1647&lt;&gt;원인분석!$C$9,"",IF(AND(M1647&gt;=원인분석!$C$10,M1647&lt;=원인분석!$C$11),"당기",IF(AND(M1647&gt;=원인분석!$C$12,M1647&lt;=원인분석!$C$13),"비교",""))))</f>
        <v/>
      </c>
      <c r="R1647" s="9">
        <f>IF(Q1647="","",$K1647&amp;"")</f>
        <v/>
      </c>
      <c r="S1647" s="9">
        <f>IF(Q1647="","",IF(MATCH(R1647,$R$5:$R$100000,0)=ROW()-4,ROW(),""))</f>
        <v/>
      </c>
      <c r="T1647" s="9">
        <f>IF(Q1647="당기",ABS(P1647)+ROW()/1000000000,"")</f>
        <v/>
      </c>
      <c r="U1647" s="9">
        <f>IF(Q1647="비교",ABS(P1647)+ROW()/1000000000,"")</f>
        <v/>
      </c>
      <c r="V1647" s="39">
        <f>IF($A1647="","",IF(COUNTIF(변동분석!$E$7:$E$506,O1647)&gt;0,"Y","N"))</f>
        <v/>
      </c>
      <c r="W1647" s="39">
        <f>IF($A1647="","",IFERROR(INDEX(계정매핑!$D$5:$D$504,MATCH($F1647&amp;"",계정매핑!$A$5:$A$504,0)),"미매핑"))</f>
        <v/>
      </c>
      <c r="X1647" s="9">
        <f>IF($A1647="","",$F1647&amp;"")</f>
        <v/>
      </c>
    </row>
    <row r="1648">
      <c r="A1648" s="75" t="n">
        <v>2025</v>
      </c>
      <c r="B1648" s="75" t="n">
        <v>9</v>
      </c>
      <c r="C1648" s="75" t="inlineStr">
        <is>
          <t>5100001644</t>
        </is>
      </c>
      <c r="D1648" s="78" t="n">
        <v>45912</v>
      </c>
      <c r="E1648" s="75" t="inlineStr">
        <is>
          <t>KR</t>
        </is>
      </c>
      <c r="F1648" s="75" t="n">
        <v>62501000</v>
      </c>
      <c r="G1648" s="75" t="n">
        <v>1801</v>
      </c>
      <c r="H1648" s="76" t="n">
        <v>240000</v>
      </c>
      <c r="I1648" s="75" t="inlineStr">
        <is>
          <t>9월 회의 다과 - (법인카드)</t>
        </is>
      </c>
      <c r="J1648" s="75" t="inlineStr">
        <is>
          <t>V10008</t>
        </is>
      </c>
      <c r="K1648" s="75" t="inlineStr">
        <is>
          <t>(법인카드)</t>
        </is>
      </c>
      <c r="M1648" s="9">
        <f>IF($A1648="","",VALUE($A1648&amp;"")*12+VALUE($B1648&amp;""))</f>
        <v/>
      </c>
      <c r="N1648" s="39">
        <f>IF($A1648="","",IFERROR(INDEX(부서매핑!$C$5:$C$504,MATCH($G1648&amp;"",부서매핑!$A$5:$A$504,0)),"미매핑"))</f>
        <v/>
      </c>
      <c r="O1648" s="9">
        <f>IF($A1648="","",N1648&amp;"|"&amp;$F1648)</f>
        <v/>
      </c>
      <c r="P1648" s="77">
        <f>IF($A1648="",0,$H1648*설정!$C$23)</f>
        <v/>
      </c>
      <c r="Q1648" s="39">
        <f>IF($A1648="","",IF(O1648&lt;&gt;원인분석!$C$9,"",IF(AND(M1648&gt;=원인분석!$C$10,M1648&lt;=원인분석!$C$11),"당기",IF(AND(M1648&gt;=원인분석!$C$12,M1648&lt;=원인분석!$C$13),"비교",""))))</f>
        <v/>
      </c>
      <c r="R1648" s="9">
        <f>IF(Q1648="","",$K1648&amp;"")</f>
        <v/>
      </c>
      <c r="S1648" s="9">
        <f>IF(Q1648="","",IF(MATCH(R1648,$R$5:$R$100000,0)=ROW()-4,ROW(),""))</f>
        <v/>
      </c>
      <c r="T1648" s="9">
        <f>IF(Q1648="당기",ABS(P1648)+ROW()/1000000000,"")</f>
        <v/>
      </c>
      <c r="U1648" s="9">
        <f>IF(Q1648="비교",ABS(P1648)+ROW()/1000000000,"")</f>
        <v/>
      </c>
      <c r="V1648" s="39">
        <f>IF($A1648="","",IF(COUNTIF(변동분석!$E$7:$E$506,O1648)&gt;0,"Y","N"))</f>
        <v/>
      </c>
      <c r="W1648" s="39">
        <f>IF($A1648="","",IFERROR(INDEX(계정매핑!$D$5:$D$504,MATCH($F1648&amp;"",계정매핑!$A$5:$A$504,0)),"미매핑"))</f>
        <v/>
      </c>
      <c r="X1648" s="9">
        <f>IF($A1648="","",$F1648&amp;"")</f>
        <v/>
      </c>
    </row>
    <row r="1649">
      <c r="A1649" s="75" t="n">
        <v>2025</v>
      </c>
      <c r="B1649" s="75" t="n">
        <v>9</v>
      </c>
      <c r="C1649" s="75" t="inlineStr">
        <is>
          <t>5100001645</t>
        </is>
      </c>
      <c r="D1649" s="78" t="n">
        <v>45912</v>
      </c>
      <c r="E1649" s="75" t="inlineStr">
        <is>
          <t>KR</t>
        </is>
      </c>
      <c r="F1649" s="75" t="n">
        <v>62601000</v>
      </c>
      <c r="G1649" s="75" t="n">
        <v>1501</v>
      </c>
      <c r="H1649" s="76" t="n">
        <v>2878000</v>
      </c>
      <c r="I1649" s="75" t="inlineStr">
        <is>
          <t>9월 업무추진 - (법인카드)</t>
        </is>
      </c>
      <c r="J1649" s="75" t="inlineStr">
        <is>
          <t>V10008</t>
        </is>
      </c>
      <c r="K1649" s="75" t="inlineStr">
        <is>
          <t>(법인카드)</t>
        </is>
      </c>
      <c r="M1649" s="9">
        <f>IF($A1649="","",VALUE($A1649&amp;"")*12+VALUE($B1649&amp;""))</f>
        <v/>
      </c>
      <c r="N1649" s="39">
        <f>IF($A1649="","",IFERROR(INDEX(부서매핑!$C$5:$C$504,MATCH($G1649&amp;"",부서매핑!$A$5:$A$504,0)),"미매핑"))</f>
        <v/>
      </c>
      <c r="O1649" s="9">
        <f>IF($A1649="","",N1649&amp;"|"&amp;$F1649)</f>
        <v/>
      </c>
      <c r="P1649" s="77">
        <f>IF($A1649="",0,$H1649*설정!$C$23)</f>
        <v/>
      </c>
      <c r="Q1649" s="39">
        <f>IF($A1649="","",IF(O1649&lt;&gt;원인분석!$C$9,"",IF(AND(M1649&gt;=원인분석!$C$10,M1649&lt;=원인분석!$C$11),"당기",IF(AND(M1649&gt;=원인분석!$C$12,M1649&lt;=원인분석!$C$13),"비교",""))))</f>
        <v/>
      </c>
      <c r="R1649" s="9">
        <f>IF(Q1649="","",$K1649&amp;"")</f>
        <v/>
      </c>
      <c r="S1649" s="9">
        <f>IF(Q1649="","",IF(MATCH(R1649,$R$5:$R$100000,0)=ROW()-4,ROW(),""))</f>
        <v/>
      </c>
      <c r="T1649" s="9">
        <f>IF(Q1649="당기",ABS(P1649)+ROW()/1000000000,"")</f>
        <v/>
      </c>
      <c r="U1649" s="9">
        <f>IF(Q1649="비교",ABS(P1649)+ROW()/1000000000,"")</f>
        <v/>
      </c>
      <c r="V1649" s="39">
        <f>IF($A1649="","",IF(COUNTIF(변동분석!$E$7:$E$506,O1649)&gt;0,"Y","N"))</f>
        <v/>
      </c>
      <c r="W1649" s="39">
        <f>IF($A1649="","",IFERROR(INDEX(계정매핑!$D$5:$D$504,MATCH($F1649&amp;"",계정매핑!$A$5:$A$504,0)),"미매핑"))</f>
        <v/>
      </c>
      <c r="X1649" s="9">
        <f>IF($A1649="","",$F1649&amp;"")</f>
        <v/>
      </c>
    </row>
    <row r="1650">
      <c r="A1650" s="75" t="n">
        <v>2025</v>
      </c>
      <c r="B1650" s="75" t="n">
        <v>9</v>
      </c>
      <c r="C1650" s="75" t="inlineStr">
        <is>
          <t>5100001646</t>
        </is>
      </c>
      <c r="D1650" s="78" t="n">
        <v>45912</v>
      </c>
      <c r="E1650" s="75" t="inlineStr">
        <is>
          <t>KR</t>
        </is>
      </c>
      <c r="F1650" s="75" t="n">
        <v>62901000</v>
      </c>
      <c r="G1650" s="75" t="n">
        <v>1201</v>
      </c>
      <c r="H1650" s="76" t="n">
        <v>5383000</v>
      </c>
      <c r="I1650" s="75" t="inlineStr">
        <is>
          <t>9월 자문 수수료 - K회계법인</t>
        </is>
      </c>
      <c r="J1650" s="75" t="inlineStr">
        <is>
          <t>V10010</t>
        </is>
      </c>
      <c r="K1650" s="75" t="inlineStr">
        <is>
          <t>K회계법인</t>
        </is>
      </c>
      <c r="M1650" s="9">
        <f>IF($A1650="","",VALUE($A1650&amp;"")*12+VALUE($B1650&amp;""))</f>
        <v/>
      </c>
      <c r="N1650" s="39">
        <f>IF($A1650="","",IFERROR(INDEX(부서매핑!$C$5:$C$504,MATCH($G1650&amp;"",부서매핑!$A$5:$A$504,0)),"미매핑"))</f>
        <v/>
      </c>
      <c r="O1650" s="9">
        <f>IF($A1650="","",N1650&amp;"|"&amp;$F1650)</f>
        <v/>
      </c>
      <c r="P1650" s="77">
        <f>IF($A1650="",0,$H1650*설정!$C$23)</f>
        <v/>
      </c>
      <c r="Q1650" s="39">
        <f>IF($A1650="","",IF(O1650&lt;&gt;원인분석!$C$9,"",IF(AND(M1650&gt;=원인분석!$C$10,M1650&lt;=원인분석!$C$11),"당기",IF(AND(M1650&gt;=원인분석!$C$12,M1650&lt;=원인분석!$C$13),"비교",""))))</f>
        <v/>
      </c>
      <c r="R1650" s="9">
        <f>IF(Q1650="","",$K1650&amp;"")</f>
        <v/>
      </c>
      <c r="S1650" s="9">
        <f>IF(Q1650="","",IF(MATCH(R1650,$R$5:$R$100000,0)=ROW()-4,ROW(),""))</f>
        <v/>
      </c>
      <c r="T1650" s="9">
        <f>IF(Q1650="당기",ABS(P1650)+ROW()/1000000000,"")</f>
        <v/>
      </c>
      <c r="U1650" s="9">
        <f>IF(Q1650="비교",ABS(P1650)+ROW()/1000000000,"")</f>
        <v/>
      </c>
      <c r="V1650" s="39">
        <f>IF($A1650="","",IF(COUNTIF(변동분석!$E$7:$E$506,O1650)&gt;0,"Y","N"))</f>
        <v/>
      </c>
      <c r="W1650" s="39">
        <f>IF($A1650="","",IFERROR(INDEX(계정매핑!$D$5:$D$504,MATCH($F1650&amp;"",계정매핑!$A$5:$A$504,0)),"미매핑"))</f>
        <v/>
      </c>
      <c r="X1650" s="9">
        <f>IF($A1650="","",$F1650&amp;"")</f>
        <v/>
      </c>
    </row>
    <row r="1651">
      <c r="A1651" s="75" t="n">
        <v>2025</v>
      </c>
      <c r="B1651" s="75" t="n">
        <v>9</v>
      </c>
      <c r="C1651" s="75" t="inlineStr">
        <is>
          <t>5100001647</t>
        </is>
      </c>
      <c r="D1651" s="78" t="n">
        <v>45912</v>
      </c>
      <c r="E1651" s="75" t="inlineStr">
        <is>
          <t>KR</t>
        </is>
      </c>
      <c r="F1651" s="75" t="n">
        <v>62902000</v>
      </c>
      <c r="G1651" s="75" t="n">
        <v>1801</v>
      </c>
      <c r="H1651" s="76" t="n">
        <v>1786000</v>
      </c>
      <c r="I1651" s="75" t="inlineStr">
        <is>
          <t>9월 콜 위탁 수수료(건별)</t>
        </is>
      </c>
      <c r="J1651" s="75" t="inlineStr">
        <is>
          <t>V10013</t>
        </is>
      </c>
      <c r="K1651" s="75" t="inlineStr">
        <is>
          <t>J콜센터</t>
        </is>
      </c>
      <c r="M1651" s="9">
        <f>IF($A1651="","",VALUE($A1651&amp;"")*12+VALUE($B1651&amp;""))</f>
        <v/>
      </c>
      <c r="N1651" s="39">
        <f>IF($A1651="","",IFERROR(INDEX(부서매핑!$C$5:$C$504,MATCH($G1651&amp;"",부서매핑!$A$5:$A$504,0)),"미매핑"))</f>
        <v/>
      </c>
      <c r="O1651" s="9">
        <f>IF($A1651="","",N1651&amp;"|"&amp;$F1651)</f>
        <v/>
      </c>
      <c r="P1651" s="77">
        <f>IF($A1651="",0,$H1651*설정!$C$23)</f>
        <v/>
      </c>
      <c r="Q1651" s="39">
        <f>IF($A1651="","",IF(O1651&lt;&gt;원인분석!$C$9,"",IF(AND(M1651&gt;=원인분석!$C$10,M1651&lt;=원인분석!$C$11),"당기",IF(AND(M1651&gt;=원인분석!$C$12,M1651&lt;=원인분석!$C$13),"비교",""))))</f>
        <v/>
      </c>
      <c r="R1651" s="9">
        <f>IF(Q1651="","",$K1651&amp;"")</f>
        <v/>
      </c>
      <c r="S1651" s="9">
        <f>IF(Q1651="","",IF(MATCH(R1651,$R$5:$R$100000,0)=ROW()-4,ROW(),""))</f>
        <v/>
      </c>
      <c r="T1651" s="9">
        <f>IF(Q1651="당기",ABS(P1651)+ROW()/1000000000,"")</f>
        <v/>
      </c>
      <c r="U1651" s="9">
        <f>IF(Q1651="비교",ABS(P1651)+ROW()/1000000000,"")</f>
        <v/>
      </c>
      <c r="V1651" s="39">
        <f>IF($A1651="","",IF(COUNTIF(변동분석!$E$7:$E$506,O1651)&gt;0,"Y","N"))</f>
        <v/>
      </c>
      <c r="W1651" s="39">
        <f>IF($A1651="","",IFERROR(INDEX(계정매핑!$D$5:$D$504,MATCH($F1651&amp;"",계정매핑!$A$5:$A$504,0)),"미매핑"))</f>
        <v/>
      </c>
      <c r="X1651" s="9">
        <f>IF($A1651="","",$F1651&amp;"")</f>
        <v/>
      </c>
    </row>
    <row r="1652">
      <c r="A1652" s="75" t="n">
        <v>2025</v>
      </c>
      <c r="B1652" s="75" t="n">
        <v>9</v>
      </c>
      <c r="C1652" s="75" t="inlineStr">
        <is>
          <t>5100001648</t>
        </is>
      </c>
      <c r="D1652" s="78" t="n">
        <v>45912</v>
      </c>
      <c r="E1652" s="75" t="inlineStr">
        <is>
          <t>KR</t>
        </is>
      </c>
      <c r="F1652" s="75" t="n">
        <v>62902000</v>
      </c>
      <c r="G1652" s="75" t="n">
        <v>1801</v>
      </c>
      <c r="H1652" s="76" t="n">
        <v>1765000</v>
      </c>
      <c r="I1652" s="75" t="inlineStr">
        <is>
          <t>9월 콜 위탁 수수료(건별)</t>
        </is>
      </c>
      <c r="J1652" s="75" t="inlineStr">
        <is>
          <t>V10013</t>
        </is>
      </c>
      <c r="K1652" s="75" t="inlineStr">
        <is>
          <t>J콜센터</t>
        </is>
      </c>
      <c r="M1652" s="9">
        <f>IF($A1652="","",VALUE($A1652&amp;"")*12+VALUE($B1652&amp;""))</f>
        <v/>
      </c>
      <c r="N1652" s="39">
        <f>IF($A1652="","",IFERROR(INDEX(부서매핑!$C$5:$C$504,MATCH($G1652&amp;"",부서매핑!$A$5:$A$504,0)),"미매핑"))</f>
        <v/>
      </c>
      <c r="O1652" s="9">
        <f>IF($A1652="","",N1652&amp;"|"&amp;$F1652)</f>
        <v/>
      </c>
      <c r="P1652" s="77">
        <f>IF($A1652="",0,$H1652*설정!$C$23)</f>
        <v/>
      </c>
      <c r="Q1652" s="39">
        <f>IF($A1652="","",IF(O1652&lt;&gt;원인분석!$C$9,"",IF(AND(M1652&gt;=원인분석!$C$10,M1652&lt;=원인분석!$C$11),"당기",IF(AND(M1652&gt;=원인분석!$C$12,M1652&lt;=원인분석!$C$13),"비교",""))))</f>
        <v/>
      </c>
      <c r="R1652" s="9">
        <f>IF(Q1652="","",$K1652&amp;"")</f>
        <v/>
      </c>
      <c r="S1652" s="9">
        <f>IF(Q1652="","",IF(MATCH(R1652,$R$5:$R$100000,0)=ROW()-4,ROW(),""))</f>
        <v/>
      </c>
      <c r="T1652" s="9">
        <f>IF(Q1652="당기",ABS(P1652)+ROW()/1000000000,"")</f>
        <v/>
      </c>
      <c r="U1652" s="9">
        <f>IF(Q1652="비교",ABS(P1652)+ROW()/1000000000,"")</f>
        <v/>
      </c>
      <c r="V1652" s="39">
        <f>IF($A1652="","",IF(COUNTIF(변동분석!$E$7:$E$506,O1652)&gt;0,"Y","N"))</f>
        <v/>
      </c>
      <c r="W1652" s="39">
        <f>IF($A1652="","",IFERROR(INDEX(계정매핑!$D$5:$D$504,MATCH($F1652&amp;"",계정매핑!$A$5:$A$504,0)),"미매핑"))</f>
        <v/>
      </c>
      <c r="X1652" s="9">
        <f>IF($A1652="","",$F1652&amp;"")</f>
        <v/>
      </c>
    </row>
    <row r="1653">
      <c r="A1653" s="75" t="n">
        <v>2025</v>
      </c>
      <c r="B1653" s="75" t="n">
        <v>9</v>
      </c>
      <c r="C1653" s="75" t="inlineStr">
        <is>
          <t>5100001649</t>
        </is>
      </c>
      <c r="D1653" s="78" t="n">
        <v>45913</v>
      </c>
      <c r="E1653" s="75" t="inlineStr">
        <is>
          <t>KR</t>
        </is>
      </c>
      <c r="F1653" s="75" t="n">
        <v>62101000</v>
      </c>
      <c r="G1653" s="75" t="n">
        <v>1501</v>
      </c>
      <c r="H1653" s="76" t="n">
        <v>564000</v>
      </c>
      <c r="I1653" s="75" t="inlineStr">
        <is>
          <t>9월 국내출장 - M항공</t>
        </is>
      </c>
      <c r="J1653" s="75" t="inlineStr">
        <is>
          <t>V10001</t>
        </is>
      </c>
      <c r="K1653" s="75" t="inlineStr">
        <is>
          <t>M항공</t>
        </is>
      </c>
      <c r="M1653" s="9">
        <f>IF($A1653="","",VALUE($A1653&amp;"")*12+VALUE($B1653&amp;""))</f>
        <v/>
      </c>
      <c r="N1653" s="39">
        <f>IF($A1653="","",IFERROR(INDEX(부서매핑!$C$5:$C$504,MATCH($G1653&amp;"",부서매핑!$A$5:$A$504,0)),"미매핑"))</f>
        <v/>
      </c>
      <c r="O1653" s="9">
        <f>IF($A1653="","",N1653&amp;"|"&amp;$F1653)</f>
        <v/>
      </c>
      <c r="P1653" s="77">
        <f>IF($A1653="",0,$H1653*설정!$C$23)</f>
        <v/>
      </c>
      <c r="Q1653" s="39">
        <f>IF($A1653="","",IF(O1653&lt;&gt;원인분석!$C$9,"",IF(AND(M1653&gt;=원인분석!$C$10,M1653&lt;=원인분석!$C$11),"당기",IF(AND(M1653&gt;=원인분석!$C$12,M1653&lt;=원인분석!$C$13),"비교",""))))</f>
        <v/>
      </c>
      <c r="R1653" s="9">
        <f>IF(Q1653="","",$K1653&amp;"")</f>
        <v/>
      </c>
      <c r="S1653" s="9">
        <f>IF(Q1653="","",IF(MATCH(R1653,$R$5:$R$100000,0)=ROW()-4,ROW(),""))</f>
        <v/>
      </c>
      <c r="T1653" s="9">
        <f>IF(Q1653="당기",ABS(P1653)+ROW()/1000000000,"")</f>
        <v/>
      </c>
      <c r="U1653" s="9">
        <f>IF(Q1653="비교",ABS(P1653)+ROW()/1000000000,"")</f>
        <v/>
      </c>
      <c r="V1653" s="39">
        <f>IF($A1653="","",IF(COUNTIF(변동분석!$E$7:$E$506,O1653)&gt;0,"Y","N"))</f>
        <v/>
      </c>
      <c r="W1653" s="39">
        <f>IF($A1653="","",IFERROR(INDEX(계정매핑!$D$5:$D$504,MATCH($F1653&amp;"",계정매핑!$A$5:$A$504,0)),"미매핑"))</f>
        <v/>
      </c>
      <c r="X1653" s="9">
        <f>IF($A1653="","",$F1653&amp;"")</f>
        <v/>
      </c>
    </row>
    <row r="1654">
      <c r="A1654" s="75" t="n">
        <v>2025</v>
      </c>
      <c r="B1654" s="75" t="n">
        <v>9</v>
      </c>
      <c r="C1654" s="75" t="inlineStr">
        <is>
          <t>5100001650</t>
        </is>
      </c>
      <c r="D1654" s="78" t="n">
        <v>45913</v>
      </c>
      <c r="E1654" s="75" t="inlineStr">
        <is>
          <t>KR</t>
        </is>
      </c>
      <c r="F1654" s="75" t="n">
        <v>62101000</v>
      </c>
      <c r="G1654" s="75" t="n">
        <v>1502</v>
      </c>
      <c r="H1654" s="76" t="n">
        <v>634000</v>
      </c>
      <c r="I1654" s="75" t="inlineStr">
        <is>
          <t>9월 국내출장 - M항공</t>
        </is>
      </c>
      <c r="J1654" s="75" t="inlineStr">
        <is>
          <t>V10001</t>
        </is>
      </c>
      <c r="K1654" s="75" t="inlineStr">
        <is>
          <t>M항공</t>
        </is>
      </c>
      <c r="M1654" s="9">
        <f>IF($A1654="","",VALUE($A1654&amp;"")*12+VALUE($B1654&amp;""))</f>
        <v/>
      </c>
      <c r="N1654" s="39">
        <f>IF($A1654="","",IFERROR(INDEX(부서매핑!$C$5:$C$504,MATCH($G1654&amp;"",부서매핑!$A$5:$A$504,0)),"미매핑"))</f>
        <v/>
      </c>
      <c r="O1654" s="9">
        <f>IF($A1654="","",N1654&amp;"|"&amp;$F1654)</f>
        <v/>
      </c>
      <c r="P1654" s="77">
        <f>IF($A1654="",0,$H1654*설정!$C$23)</f>
        <v/>
      </c>
      <c r="Q1654" s="39">
        <f>IF($A1654="","",IF(O1654&lt;&gt;원인분석!$C$9,"",IF(AND(M1654&gt;=원인분석!$C$10,M1654&lt;=원인분석!$C$11),"당기",IF(AND(M1654&gt;=원인분석!$C$12,M1654&lt;=원인분석!$C$13),"비교",""))))</f>
        <v/>
      </c>
      <c r="R1654" s="9">
        <f>IF(Q1654="","",$K1654&amp;"")</f>
        <v/>
      </c>
      <c r="S1654" s="9">
        <f>IF(Q1654="","",IF(MATCH(R1654,$R$5:$R$100000,0)=ROW()-4,ROW(),""))</f>
        <v/>
      </c>
      <c r="T1654" s="9">
        <f>IF(Q1654="당기",ABS(P1654)+ROW()/1000000000,"")</f>
        <v/>
      </c>
      <c r="U1654" s="9">
        <f>IF(Q1654="비교",ABS(P1654)+ROW()/1000000000,"")</f>
        <v/>
      </c>
      <c r="V1654" s="39">
        <f>IF($A1654="","",IF(COUNTIF(변동분석!$E$7:$E$506,O1654)&gt;0,"Y","N"))</f>
        <v/>
      </c>
      <c r="W1654" s="39">
        <f>IF($A1654="","",IFERROR(INDEX(계정매핑!$D$5:$D$504,MATCH($F1654&amp;"",계정매핑!$A$5:$A$504,0)),"미매핑"))</f>
        <v/>
      </c>
      <c r="X1654" s="9">
        <f>IF($A1654="","",$F1654&amp;"")</f>
        <v/>
      </c>
    </row>
    <row r="1655">
      <c r="A1655" s="75" t="n">
        <v>2025</v>
      </c>
      <c r="B1655" s="75" t="n">
        <v>9</v>
      </c>
      <c r="C1655" s="75" t="inlineStr">
        <is>
          <t>5100001651</t>
        </is>
      </c>
      <c r="D1655" s="78" t="n">
        <v>45913</v>
      </c>
      <c r="E1655" s="75" t="inlineStr">
        <is>
          <t>KR</t>
        </is>
      </c>
      <c r="F1655" s="75" t="n">
        <v>62101000</v>
      </c>
      <c r="G1655" s="75" t="n">
        <v>1601</v>
      </c>
      <c r="H1655" s="76" t="n">
        <v>651000</v>
      </c>
      <c r="I1655" s="75" t="inlineStr">
        <is>
          <t>9월 국내출장 - M항공</t>
        </is>
      </c>
      <c r="J1655" s="75" t="inlineStr">
        <is>
          <t>V10001</t>
        </is>
      </c>
      <c r="K1655" s="75" t="inlineStr">
        <is>
          <t>M항공</t>
        </is>
      </c>
      <c r="M1655" s="9">
        <f>IF($A1655="","",VALUE($A1655&amp;"")*12+VALUE($B1655&amp;""))</f>
        <v/>
      </c>
      <c r="N1655" s="39">
        <f>IF($A1655="","",IFERROR(INDEX(부서매핑!$C$5:$C$504,MATCH($G1655&amp;"",부서매핑!$A$5:$A$504,0)),"미매핑"))</f>
        <v/>
      </c>
      <c r="O1655" s="9">
        <f>IF($A1655="","",N1655&amp;"|"&amp;$F1655)</f>
        <v/>
      </c>
      <c r="P1655" s="77">
        <f>IF($A1655="",0,$H1655*설정!$C$23)</f>
        <v/>
      </c>
      <c r="Q1655" s="39">
        <f>IF($A1655="","",IF(O1655&lt;&gt;원인분석!$C$9,"",IF(AND(M1655&gt;=원인분석!$C$10,M1655&lt;=원인분석!$C$11),"당기",IF(AND(M1655&gt;=원인분석!$C$12,M1655&lt;=원인분석!$C$13),"비교",""))))</f>
        <v/>
      </c>
      <c r="R1655" s="9">
        <f>IF(Q1655="","",$K1655&amp;"")</f>
        <v/>
      </c>
      <c r="S1655" s="9">
        <f>IF(Q1655="","",IF(MATCH(R1655,$R$5:$R$100000,0)=ROW()-4,ROW(),""))</f>
        <v/>
      </c>
      <c r="T1655" s="9">
        <f>IF(Q1655="당기",ABS(P1655)+ROW()/1000000000,"")</f>
        <v/>
      </c>
      <c r="U1655" s="9">
        <f>IF(Q1655="비교",ABS(P1655)+ROW()/1000000000,"")</f>
        <v/>
      </c>
      <c r="V1655" s="39">
        <f>IF($A1655="","",IF(COUNTIF(변동분석!$E$7:$E$506,O1655)&gt;0,"Y","N"))</f>
        <v/>
      </c>
      <c r="W1655" s="39">
        <f>IF($A1655="","",IFERROR(INDEX(계정매핑!$D$5:$D$504,MATCH($F1655&amp;"",계정매핑!$A$5:$A$504,0)),"미매핑"))</f>
        <v/>
      </c>
      <c r="X1655" s="9">
        <f>IF($A1655="","",$F1655&amp;"")</f>
        <v/>
      </c>
    </row>
    <row r="1656">
      <c r="A1656" s="75" t="n">
        <v>2025</v>
      </c>
      <c r="B1656" s="75" t="n">
        <v>9</v>
      </c>
      <c r="C1656" s="75" t="inlineStr">
        <is>
          <t>5100001652</t>
        </is>
      </c>
      <c r="D1656" s="78" t="n">
        <v>45913</v>
      </c>
      <c r="E1656" s="75" t="inlineStr">
        <is>
          <t>KR</t>
        </is>
      </c>
      <c r="F1656" s="75" t="n">
        <v>62101000</v>
      </c>
      <c r="G1656" s="75" t="n">
        <v>1601</v>
      </c>
      <c r="H1656" s="76" t="n">
        <v>1191000</v>
      </c>
      <c r="I1656" s="75" t="inlineStr">
        <is>
          <t>9월 국내출장 - (법인카드)</t>
        </is>
      </c>
      <c r="J1656" s="75" t="inlineStr">
        <is>
          <t>V10008</t>
        </is>
      </c>
      <c r="K1656" s="75" t="inlineStr">
        <is>
          <t>(법인카드)</t>
        </is>
      </c>
      <c r="M1656" s="9">
        <f>IF($A1656="","",VALUE($A1656&amp;"")*12+VALUE($B1656&amp;""))</f>
        <v/>
      </c>
      <c r="N1656" s="39">
        <f>IF($A1656="","",IFERROR(INDEX(부서매핑!$C$5:$C$504,MATCH($G1656&amp;"",부서매핑!$A$5:$A$504,0)),"미매핑"))</f>
        <v/>
      </c>
      <c r="O1656" s="9">
        <f>IF($A1656="","",N1656&amp;"|"&amp;$F1656)</f>
        <v/>
      </c>
      <c r="P1656" s="77">
        <f>IF($A1656="",0,$H1656*설정!$C$23)</f>
        <v/>
      </c>
      <c r="Q1656" s="39">
        <f>IF($A1656="","",IF(O1656&lt;&gt;원인분석!$C$9,"",IF(AND(M1656&gt;=원인분석!$C$10,M1656&lt;=원인분석!$C$11),"당기",IF(AND(M1656&gt;=원인분석!$C$12,M1656&lt;=원인분석!$C$13),"비교",""))))</f>
        <v/>
      </c>
      <c r="R1656" s="9">
        <f>IF(Q1656="","",$K1656&amp;"")</f>
        <v/>
      </c>
      <c r="S1656" s="9">
        <f>IF(Q1656="","",IF(MATCH(R1656,$R$5:$R$100000,0)=ROW()-4,ROW(),""))</f>
        <v/>
      </c>
      <c r="T1656" s="9">
        <f>IF(Q1656="당기",ABS(P1656)+ROW()/1000000000,"")</f>
        <v/>
      </c>
      <c r="U1656" s="9">
        <f>IF(Q1656="비교",ABS(P1656)+ROW()/1000000000,"")</f>
        <v/>
      </c>
      <c r="V1656" s="39">
        <f>IF($A1656="","",IF(COUNTIF(변동분석!$E$7:$E$506,O1656)&gt;0,"Y","N"))</f>
        <v/>
      </c>
      <c r="W1656" s="39">
        <f>IF($A1656="","",IFERROR(INDEX(계정매핑!$D$5:$D$504,MATCH($F1656&amp;"",계정매핑!$A$5:$A$504,0)),"미매핑"))</f>
        <v/>
      </c>
      <c r="X1656" s="9">
        <f>IF($A1656="","",$F1656&amp;"")</f>
        <v/>
      </c>
    </row>
    <row r="1657">
      <c r="A1657" s="75" t="n">
        <v>2025</v>
      </c>
      <c r="B1657" s="75" t="n">
        <v>9</v>
      </c>
      <c r="C1657" s="75" t="inlineStr">
        <is>
          <t>5100001653</t>
        </is>
      </c>
      <c r="D1657" s="78" t="n">
        <v>45913</v>
      </c>
      <c r="E1657" s="75" t="inlineStr">
        <is>
          <t>KR</t>
        </is>
      </c>
      <c r="F1657" s="75" t="n">
        <v>62102000</v>
      </c>
      <c r="G1657" s="75" t="n">
        <v>1801</v>
      </c>
      <c r="H1657" s="76" t="n">
        <v>58000</v>
      </c>
      <c r="I1657" s="75" t="inlineStr">
        <is>
          <t>9월 해외출장 - M항공</t>
        </is>
      </c>
      <c r="J1657" s="75" t="inlineStr">
        <is>
          <t>V10001</t>
        </is>
      </c>
      <c r="K1657" s="75" t="inlineStr">
        <is>
          <t>M항공</t>
        </is>
      </c>
      <c r="M1657" s="9">
        <f>IF($A1657="","",VALUE($A1657&amp;"")*12+VALUE($B1657&amp;""))</f>
        <v/>
      </c>
      <c r="N1657" s="39">
        <f>IF($A1657="","",IFERROR(INDEX(부서매핑!$C$5:$C$504,MATCH($G1657&amp;"",부서매핑!$A$5:$A$504,0)),"미매핑"))</f>
        <v/>
      </c>
      <c r="O1657" s="9">
        <f>IF($A1657="","",N1657&amp;"|"&amp;$F1657)</f>
        <v/>
      </c>
      <c r="P1657" s="77">
        <f>IF($A1657="",0,$H1657*설정!$C$23)</f>
        <v/>
      </c>
      <c r="Q1657" s="39">
        <f>IF($A1657="","",IF(O1657&lt;&gt;원인분석!$C$9,"",IF(AND(M1657&gt;=원인분석!$C$10,M1657&lt;=원인분석!$C$11),"당기",IF(AND(M1657&gt;=원인분석!$C$12,M1657&lt;=원인분석!$C$13),"비교",""))))</f>
        <v/>
      </c>
      <c r="R1657" s="9">
        <f>IF(Q1657="","",$K1657&amp;"")</f>
        <v/>
      </c>
      <c r="S1657" s="9">
        <f>IF(Q1657="","",IF(MATCH(R1657,$R$5:$R$100000,0)=ROW()-4,ROW(),""))</f>
        <v/>
      </c>
      <c r="T1657" s="9">
        <f>IF(Q1657="당기",ABS(P1657)+ROW()/1000000000,"")</f>
        <v/>
      </c>
      <c r="U1657" s="9">
        <f>IF(Q1657="비교",ABS(P1657)+ROW()/1000000000,"")</f>
        <v/>
      </c>
      <c r="V1657" s="39">
        <f>IF($A1657="","",IF(COUNTIF(변동분석!$E$7:$E$506,O1657)&gt;0,"Y","N"))</f>
        <v/>
      </c>
      <c r="W1657" s="39">
        <f>IF($A1657="","",IFERROR(INDEX(계정매핑!$D$5:$D$504,MATCH($F1657&amp;"",계정매핑!$A$5:$A$504,0)),"미매핑"))</f>
        <v/>
      </c>
      <c r="X1657" s="9">
        <f>IF($A1657="","",$F1657&amp;"")</f>
        <v/>
      </c>
    </row>
    <row r="1658">
      <c r="A1658" s="75" t="n">
        <v>2025</v>
      </c>
      <c r="B1658" s="75" t="n">
        <v>9</v>
      </c>
      <c r="C1658" s="75" t="inlineStr">
        <is>
          <t>5100001654</t>
        </is>
      </c>
      <c r="D1658" s="78" t="n">
        <v>45913</v>
      </c>
      <c r="E1658" s="75" t="inlineStr">
        <is>
          <t>KR</t>
        </is>
      </c>
      <c r="F1658" s="75" t="n">
        <v>62601000</v>
      </c>
      <c r="G1658" s="75" t="n">
        <v>1301</v>
      </c>
      <c r="H1658" s="76" t="n">
        <v>1708000</v>
      </c>
      <c r="I1658" s="75" t="inlineStr">
        <is>
          <t>9월 업무추진 - (법인카드)</t>
        </is>
      </c>
      <c r="J1658" s="75" t="inlineStr">
        <is>
          <t>V10008</t>
        </is>
      </c>
      <c r="K1658" s="75" t="inlineStr">
        <is>
          <t>(법인카드)</t>
        </is>
      </c>
      <c r="M1658" s="9">
        <f>IF($A1658="","",VALUE($A1658&amp;"")*12+VALUE($B1658&amp;""))</f>
        <v/>
      </c>
      <c r="N1658" s="39">
        <f>IF($A1658="","",IFERROR(INDEX(부서매핑!$C$5:$C$504,MATCH($G1658&amp;"",부서매핑!$A$5:$A$504,0)),"미매핑"))</f>
        <v/>
      </c>
      <c r="O1658" s="9">
        <f>IF($A1658="","",N1658&amp;"|"&amp;$F1658)</f>
        <v/>
      </c>
      <c r="P1658" s="77">
        <f>IF($A1658="",0,$H1658*설정!$C$23)</f>
        <v/>
      </c>
      <c r="Q1658" s="39">
        <f>IF($A1658="","",IF(O1658&lt;&gt;원인분석!$C$9,"",IF(AND(M1658&gt;=원인분석!$C$10,M1658&lt;=원인분석!$C$11),"당기",IF(AND(M1658&gt;=원인분석!$C$12,M1658&lt;=원인분석!$C$13),"비교",""))))</f>
        <v/>
      </c>
      <c r="R1658" s="9">
        <f>IF(Q1658="","",$K1658&amp;"")</f>
        <v/>
      </c>
      <c r="S1658" s="9">
        <f>IF(Q1658="","",IF(MATCH(R1658,$R$5:$R$100000,0)=ROW()-4,ROW(),""))</f>
        <v/>
      </c>
      <c r="T1658" s="9">
        <f>IF(Q1658="당기",ABS(P1658)+ROW()/1000000000,"")</f>
        <v/>
      </c>
      <c r="U1658" s="9">
        <f>IF(Q1658="비교",ABS(P1658)+ROW()/1000000000,"")</f>
        <v/>
      </c>
      <c r="V1658" s="39">
        <f>IF($A1658="","",IF(COUNTIF(변동분석!$E$7:$E$506,O1658)&gt;0,"Y","N"))</f>
        <v/>
      </c>
      <c r="W1658" s="39">
        <f>IF($A1658="","",IFERROR(INDEX(계정매핑!$D$5:$D$504,MATCH($F1658&amp;"",계정매핑!$A$5:$A$504,0)),"미매핑"))</f>
        <v/>
      </c>
      <c r="X1658" s="9">
        <f>IF($A1658="","",$F1658&amp;"")</f>
        <v/>
      </c>
    </row>
    <row r="1659">
      <c r="A1659" s="75" t="n">
        <v>2025</v>
      </c>
      <c r="B1659" s="75" t="n">
        <v>9</v>
      </c>
      <c r="C1659" s="75" t="inlineStr">
        <is>
          <t>5100001655</t>
        </is>
      </c>
      <c r="D1659" s="78" t="n">
        <v>45913</v>
      </c>
      <c r="E1659" s="75" t="inlineStr">
        <is>
          <t>KR</t>
        </is>
      </c>
      <c r="F1659" s="75" t="n">
        <v>62902000</v>
      </c>
      <c r="G1659" s="75" t="n">
        <v>1801</v>
      </c>
      <c r="H1659" s="76" t="n">
        <v>1795000</v>
      </c>
      <c r="I1659" s="75" t="inlineStr">
        <is>
          <t>9월 콜 위탁 수수료(건별)</t>
        </is>
      </c>
      <c r="J1659" s="75" t="inlineStr">
        <is>
          <t>V10013</t>
        </is>
      </c>
      <c r="K1659" s="75" t="inlineStr">
        <is>
          <t>J콜센터</t>
        </is>
      </c>
      <c r="M1659" s="9">
        <f>IF($A1659="","",VALUE($A1659&amp;"")*12+VALUE($B1659&amp;""))</f>
        <v/>
      </c>
      <c r="N1659" s="39">
        <f>IF($A1659="","",IFERROR(INDEX(부서매핑!$C$5:$C$504,MATCH($G1659&amp;"",부서매핑!$A$5:$A$504,0)),"미매핑"))</f>
        <v/>
      </c>
      <c r="O1659" s="9">
        <f>IF($A1659="","",N1659&amp;"|"&amp;$F1659)</f>
        <v/>
      </c>
      <c r="P1659" s="77">
        <f>IF($A1659="",0,$H1659*설정!$C$23)</f>
        <v/>
      </c>
      <c r="Q1659" s="39">
        <f>IF($A1659="","",IF(O1659&lt;&gt;원인분석!$C$9,"",IF(AND(M1659&gt;=원인분석!$C$10,M1659&lt;=원인분석!$C$11),"당기",IF(AND(M1659&gt;=원인분석!$C$12,M1659&lt;=원인분석!$C$13),"비교",""))))</f>
        <v/>
      </c>
      <c r="R1659" s="9">
        <f>IF(Q1659="","",$K1659&amp;"")</f>
        <v/>
      </c>
      <c r="S1659" s="9">
        <f>IF(Q1659="","",IF(MATCH(R1659,$R$5:$R$100000,0)=ROW()-4,ROW(),""))</f>
        <v/>
      </c>
      <c r="T1659" s="9">
        <f>IF(Q1659="당기",ABS(P1659)+ROW()/1000000000,"")</f>
        <v/>
      </c>
      <c r="U1659" s="9">
        <f>IF(Q1659="비교",ABS(P1659)+ROW()/1000000000,"")</f>
        <v/>
      </c>
      <c r="V1659" s="39">
        <f>IF($A1659="","",IF(COUNTIF(변동분석!$E$7:$E$506,O1659)&gt;0,"Y","N"))</f>
        <v/>
      </c>
      <c r="W1659" s="39">
        <f>IF($A1659="","",IFERROR(INDEX(계정매핑!$D$5:$D$504,MATCH($F1659&amp;"",계정매핑!$A$5:$A$504,0)),"미매핑"))</f>
        <v/>
      </c>
      <c r="X1659" s="9">
        <f>IF($A1659="","",$F1659&amp;"")</f>
        <v/>
      </c>
    </row>
    <row r="1660">
      <c r="A1660" s="75" t="n">
        <v>2025</v>
      </c>
      <c r="B1660" s="75" t="n">
        <v>9</v>
      </c>
      <c r="C1660" s="75" t="inlineStr">
        <is>
          <t>5100001656</t>
        </is>
      </c>
      <c r="D1660" s="78" t="n">
        <v>45914</v>
      </c>
      <c r="E1660" s="75" t="inlineStr">
        <is>
          <t>KR</t>
        </is>
      </c>
      <c r="F1660" s="75" t="n">
        <v>62102000</v>
      </c>
      <c r="G1660" s="75" t="n">
        <v>1401</v>
      </c>
      <c r="H1660" s="76" t="n">
        <v>97000</v>
      </c>
      <c r="I1660" s="75" t="inlineStr">
        <is>
          <t>9월 해외출장 - N호텔</t>
        </is>
      </c>
      <c r="J1660" s="75" t="inlineStr">
        <is>
          <t>V10007</t>
        </is>
      </c>
      <c r="K1660" s="75" t="inlineStr">
        <is>
          <t>N호텔</t>
        </is>
      </c>
      <c r="M1660" s="9">
        <f>IF($A1660="","",VALUE($A1660&amp;"")*12+VALUE($B1660&amp;""))</f>
        <v/>
      </c>
      <c r="N1660" s="39">
        <f>IF($A1660="","",IFERROR(INDEX(부서매핑!$C$5:$C$504,MATCH($G1660&amp;"",부서매핑!$A$5:$A$504,0)),"미매핑"))</f>
        <v/>
      </c>
      <c r="O1660" s="9">
        <f>IF($A1660="","",N1660&amp;"|"&amp;$F1660)</f>
        <v/>
      </c>
      <c r="P1660" s="77">
        <f>IF($A1660="",0,$H1660*설정!$C$23)</f>
        <v/>
      </c>
      <c r="Q1660" s="39">
        <f>IF($A1660="","",IF(O1660&lt;&gt;원인분석!$C$9,"",IF(AND(M1660&gt;=원인분석!$C$10,M1660&lt;=원인분석!$C$11),"당기",IF(AND(M1660&gt;=원인분석!$C$12,M1660&lt;=원인분석!$C$13),"비교",""))))</f>
        <v/>
      </c>
      <c r="R1660" s="9">
        <f>IF(Q1660="","",$K1660&amp;"")</f>
        <v/>
      </c>
      <c r="S1660" s="9">
        <f>IF(Q1660="","",IF(MATCH(R1660,$R$5:$R$100000,0)=ROW()-4,ROW(),""))</f>
        <v/>
      </c>
      <c r="T1660" s="9">
        <f>IF(Q1660="당기",ABS(P1660)+ROW()/1000000000,"")</f>
        <v/>
      </c>
      <c r="U1660" s="9">
        <f>IF(Q1660="비교",ABS(P1660)+ROW()/1000000000,"")</f>
        <v/>
      </c>
      <c r="V1660" s="39">
        <f>IF($A1660="","",IF(COUNTIF(변동분석!$E$7:$E$506,O1660)&gt;0,"Y","N"))</f>
        <v/>
      </c>
      <c r="W1660" s="39">
        <f>IF($A1660="","",IFERROR(INDEX(계정매핑!$D$5:$D$504,MATCH($F1660&amp;"",계정매핑!$A$5:$A$504,0)),"미매핑"))</f>
        <v/>
      </c>
      <c r="X1660" s="9">
        <f>IF($A1660="","",$F1660&amp;"")</f>
        <v/>
      </c>
    </row>
    <row r="1661">
      <c r="A1661" s="75" t="n">
        <v>2025</v>
      </c>
      <c r="B1661" s="75" t="n">
        <v>9</v>
      </c>
      <c r="C1661" s="75" t="inlineStr">
        <is>
          <t>5100001657</t>
        </is>
      </c>
      <c r="D1661" s="78" t="n">
        <v>45914</v>
      </c>
      <c r="E1661" s="75" t="inlineStr">
        <is>
          <t>KR</t>
        </is>
      </c>
      <c r="F1661" s="75" t="n">
        <v>62301000</v>
      </c>
      <c r="G1661" s="75" t="n">
        <v>1101</v>
      </c>
      <c r="H1661" s="76" t="n">
        <v>141000</v>
      </c>
      <c r="I1661" s="75" t="inlineStr">
        <is>
          <t>9월 소모품 구입 - Q오피스</t>
        </is>
      </c>
      <c r="J1661" s="75" t="inlineStr">
        <is>
          <t>V10003</t>
        </is>
      </c>
      <c r="K1661" s="75" t="inlineStr">
        <is>
          <t>Q오피스</t>
        </is>
      </c>
      <c r="M1661" s="9">
        <f>IF($A1661="","",VALUE($A1661&amp;"")*12+VALUE($B1661&amp;""))</f>
        <v/>
      </c>
      <c r="N1661" s="39">
        <f>IF($A1661="","",IFERROR(INDEX(부서매핑!$C$5:$C$504,MATCH($G1661&amp;"",부서매핑!$A$5:$A$504,0)),"미매핑"))</f>
        <v/>
      </c>
      <c r="O1661" s="9">
        <f>IF($A1661="","",N1661&amp;"|"&amp;$F1661)</f>
        <v/>
      </c>
      <c r="P1661" s="77">
        <f>IF($A1661="",0,$H1661*설정!$C$23)</f>
        <v/>
      </c>
      <c r="Q1661" s="39">
        <f>IF($A1661="","",IF(O1661&lt;&gt;원인분석!$C$9,"",IF(AND(M1661&gt;=원인분석!$C$10,M1661&lt;=원인분석!$C$11),"당기",IF(AND(M1661&gt;=원인분석!$C$12,M1661&lt;=원인분석!$C$13),"비교",""))))</f>
        <v/>
      </c>
      <c r="R1661" s="9">
        <f>IF(Q1661="","",$K1661&amp;"")</f>
        <v/>
      </c>
      <c r="S1661" s="9">
        <f>IF(Q1661="","",IF(MATCH(R1661,$R$5:$R$100000,0)=ROW()-4,ROW(),""))</f>
        <v/>
      </c>
      <c r="T1661" s="9">
        <f>IF(Q1661="당기",ABS(P1661)+ROW()/1000000000,"")</f>
        <v/>
      </c>
      <c r="U1661" s="9">
        <f>IF(Q1661="비교",ABS(P1661)+ROW()/1000000000,"")</f>
        <v/>
      </c>
      <c r="V1661" s="39">
        <f>IF($A1661="","",IF(COUNTIF(변동분석!$E$7:$E$506,O1661)&gt;0,"Y","N"))</f>
        <v/>
      </c>
      <c r="W1661" s="39">
        <f>IF($A1661="","",IFERROR(INDEX(계정매핑!$D$5:$D$504,MATCH($F1661&amp;"",계정매핑!$A$5:$A$504,0)),"미매핑"))</f>
        <v/>
      </c>
      <c r="X1661" s="9">
        <f>IF($A1661="","",$F1661&amp;"")</f>
        <v/>
      </c>
    </row>
    <row r="1662">
      <c r="A1662" s="75" t="n">
        <v>2025</v>
      </c>
      <c r="B1662" s="75" t="n">
        <v>9</v>
      </c>
      <c r="C1662" s="75" t="inlineStr">
        <is>
          <t>5100001658</t>
        </is>
      </c>
      <c r="D1662" s="78" t="n">
        <v>45914</v>
      </c>
      <c r="E1662" s="75" t="inlineStr">
        <is>
          <t>KR</t>
        </is>
      </c>
      <c r="F1662" s="75" t="n">
        <v>62401000</v>
      </c>
      <c r="G1662" s="75" t="n">
        <v>1501</v>
      </c>
      <c r="H1662" s="76" t="n">
        <v>1920000</v>
      </c>
      <c r="I1662" s="75" t="inlineStr">
        <is>
          <t>9월 인쇄물 제작 - S출판</t>
        </is>
      </c>
      <c r="J1662" s="75" t="inlineStr">
        <is>
          <t>V10012</t>
        </is>
      </c>
      <c r="K1662" s="75" t="inlineStr">
        <is>
          <t>S출판</t>
        </is>
      </c>
      <c r="M1662" s="9">
        <f>IF($A1662="","",VALUE($A1662&amp;"")*12+VALUE($B1662&amp;""))</f>
        <v/>
      </c>
      <c r="N1662" s="39">
        <f>IF($A1662="","",IFERROR(INDEX(부서매핑!$C$5:$C$504,MATCH($G1662&amp;"",부서매핑!$A$5:$A$504,0)),"미매핑"))</f>
        <v/>
      </c>
      <c r="O1662" s="9">
        <f>IF($A1662="","",N1662&amp;"|"&amp;$F1662)</f>
        <v/>
      </c>
      <c r="P1662" s="77">
        <f>IF($A1662="",0,$H1662*설정!$C$23)</f>
        <v/>
      </c>
      <c r="Q1662" s="39">
        <f>IF($A1662="","",IF(O1662&lt;&gt;원인분석!$C$9,"",IF(AND(M1662&gt;=원인분석!$C$10,M1662&lt;=원인분석!$C$11),"당기",IF(AND(M1662&gt;=원인분석!$C$12,M1662&lt;=원인분석!$C$13),"비교",""))))</f>
        <v/>
      </c>
      <c r="R1662" s="9">
        <f>IF(Q1662="","",$K1662&amp;"")</f>
        <v/>
      </c>
      <c r="S1662" s="9">
        <f>IF(Q1662="","",IF(MATCH(R1662,$R$5:$R$100000,0)=ROW()-4,ROW(),""))</f>
        <v/>
      </c>
      <c r="T1662" s="9">
        <f>IF(Q1662="당기",ABS(P1662)+ROW()/1000000000,"")</f>
        <v/>
      </c>
      <c r="U1662" s="9">
        <f>IF(Q1662="비교",ABS(P1662)+ROW()/1000000000,"")</f>
        <v/>
      </c>
      <c r="V1662" s="39">
        <f>IF($A1662="","",IF(COUNTIF(변동분석!$E$7:$E$506,O1662)&gt;0,"Y","N"))</f>
        <v/>
      </c>
      <c r="W1662" s="39">
        <f>IF($A1662="","",IFERROR(INDEX(계정매핑!$D$5:$D$504,MATCH($F1662&amp;"",계정매핑!$A$5:$A$504,0)),"미매핑"))</f>
        <v/>
      </c>
      <c r="X1662" s="9">
        <f>IF($A1662="","",$F1662&amp;"")</f>
        <v/>
      </c>
    </row>
    <row r="1663">
      <c r="A1663" s="75" t="n">
        <v>2025</v>
      </c>
      <c r="B1663" s="75" t="n">
        <v>9</v>
      </c>
      <c r="C1663" s="75" t="inlineStr">
        <is>
          <t>5100001659</t>
        </is>
      </c>
      <c r="D1663" s="78" t="n">
        <v>45914</v>
      </c>
      <c r="E1663" s="75" t="inlineStr">
        <is>
          <t>KR</t>
        </is>
      </c>
      <c r="F1663" s="75" t="n">
        <v>62902000</v>
      </c>
      <c r="G1663" s="75" t="n">
        <v>1801</v>
      </c>
      <c r="H1663" s="76" t="n">
        <v>1807000</v>
      </c>
      <c r="I1663" s="75" t="inlineStr">
        <is>
          <t>9월 콜 위탁 수수료(건별)</t>
        </is>
      </c>
      <c r="J1663" s="75" t="inlineStr">
        <is>
          <t>V10013</t>
        </is>
      </c>
      <c r="K1663" s="75" t="inlineStr">
        <is>
          <t>J콜센터</t>
        </is>
      </c>
      <c r="M1663" s="9">
        <f>IF($A1663="","",VALUE($A1663&amp;"")*12+VALUE($B1663&amp;""))</f>
        <v/>
      </c>
      <c r="N1663" s="39">
        <f>IF($A1663="","",IFERROR(INDEX(부서매핑!$C$5:$C$504,MATCH($G1663&amp;"",부서매핑!$A$5:$A$504,0)),"미매핑"))</f>
        <v/>
      </c>
      <c r="O1663" s="9">
        <f>IF($A1663="","",N1663&amp;"|"&amp;$F1663)</f>
        <v/>
      </c>
      <c r="P1663" s="77">
        <f>IF($A1663="",0,$H1663*설정!$C$23)</f>
        <v/>
      </c>
      <c r="Q1663" s="39">
        <f>IF($A1663="","",IF(O1663&lt;&gt;원인분석!$C$9,"",IF(AND(M1663&gt;=원인분석!$C$10,M1663&lt;=원인분석!$C$11),"당기",IF(AND(M1663&gt;=원인분석!$C$12,M1663&lt;=원인분석!$C$13),"비교",""))))</f>
        <v/>
      </c>
      <c r="R1663" s="9">
        <f>IF(Q1663="","",$K1663&amp;"")</f>
        <v/>
      </c>
      <c r="S1663" s="9">
        <f>IF(Q1663="","",IF(MATCH(R1663,$R$5:$R$100000,0)=ROW()-4,ROW(),""))</f>
        <v/>
      </c>
      <c r="T1663" s="9">
        <f>IF(Q1663="당기",ABS(P1663)+ROW()/1000000000,"")</f>
        <v/>
      </c>
      <c r="U1663" s="9">
        <f>IF(Q1663="비교",ABS(P1663)+ROW()/1000000000,"")</f>
        <v/>
      </c>
      <c r="V1663" s="39">
        <f>IF($A1663="","",IF(COUNTIF(변동분석!$E$7:$E$506,O1663)&gt;0,"Y","N"))</f>
        <v/>
      </c>
      <c r="W1663" s="39">
        <f>IF($A1663="","",IFERROR(INDEX(계정매핑!$D$5:$D$504,MATCH($F1663&amp;"",계정매핑!$A$5:$A$504,0)),"미매핑"))</f>
        <v/>
      </c>
      <c r="X1663" s="9">
        <f>IF($A1663="","",$F1663&amp;"")</f>
        <v/>
      </c>
    </row>
    <row r="1664">
      <c r="A1664" s="75" t="n">
        <v>2025</v>
      </c>
      <c r="B1664" s="75" t="n">
        <v>9</v>
      </c>
      <c r="C1664" s="75" t="inlineStr">
        <is>
          <t>5100001660</t>
        </is>
      </c>
      <c r="D1664" s="78" t="n">
        <v>45914</v>
      </c>
      <c r="E1664" s="75" t="inlineStr">
        <is>
          <t>KR</t>
        </is>
      </c>
      <c r="F1664" s="75" t="n">
        <v>63101000</v>
      </c>
      <c r="G1664" s="75" t="n">
        <v>1602</v>
      </c>
      <c r="H1664" s="76" t="n">
        <v>5173000</v>
      </c>
      <c r="I1664" s="75" t="inlineStr">
        <is>
          <t>9월 사무실 임차료 - BB부동산</t>
        </is>
      </c>
      <c r="J1664" s="75" t="inlineStr">
        <is>
          <t>V10024</t>
        </is>
      </c>
      <c r="K1664" s="75" t="inlineStr">
        <is>
          <t>BB부동산</t>
        </is>
      </c>
      <c r="M1664" s="9">
        <f>IF($A1664="","",VALUE($A1664&amp;"")*12+VALUE($B1664&amp;""))</f>
        <v/>
      </c>
      <c r="N1664" s="39">
        <f>IF($A1664="","",IFERROR(INDEX(부서매핑!$C$5:$C$504,MATCH($G1664&amp;"",부서매핑!$A$5:$A$504,0)),"미매핑"))</f>
        <v/>
      </c>
      <c r="O1664" s="9">
        <f>IF($A1664="","",N1664&amp;"|"&amp;$F1664)</f>
        <v/>
      </c>
      <c r="P1664" s="77">
        <f>IF($A1664="",0,$H1664*설정!$C$23)</f>
        <v/>
      </c>
      <c r="Q1664" s="39">
        <f>IF($A1664="","",IF(O1664&lt;&gt;원인분석!$C$9,"",IF(AND(M1664&gt;=원인분석!$C$10,M1664&lt;=원인분석!$C$11),"당기",IF(AND(M1664&gt;=원인분석!$C$12,M1664&lt;=원인분석!$C$13),"비교",""))))</f>
        <v/>
      </c>
      <c r="R1664" s="9">
        <f>IF(Q1664="","",$K1664&amp;"")</f>
        <v/>
      </c>
      <c r="S1664" s="9">
        <f>IF(Q1664="","",IF(MATCH(R1664,$R$5:$R$100000,0)=ROW()-4,ROW(),""))</f>
        <v/>
      </c>
      <c r="T1664" s="9">
        <f>IF(Q1664="당기",ABS(P1664)+ROW()/1000000000,"")</f>
        <v/>
      </c>
      <c r="U1664" s="9">
        <f>IF(Q1664="비교",ABS(P1664)+ROW()/1000000000,"")</f>
        <v/>
      </c>
      <c r="V1664" s="39">
        <f>IF($A1664="","",IF(COUNTIF(변동분석!$E$7:$E$506,O1664)&gt;0,"Y","N"))</f>
        <v/>
      </c>
      <c r="W1664" s="39">
        <f>IF($A1664="","",IFERROR(INDEX(계정매핑!$D$5:$D$504,MATCH($F1664&amp;"",계정매핑!$A$5:$A$504,0)),"미매핑"))</f>
        <v/>
      </c>
      <c r="X1664" s="9">
        <f>IF($A1664="","",$F1664&amp;"")</f>
        <v/>
      </c>
    </row>
    <row r="1665">
      <c r="A1665" s="75" t="n">
        <v>2025</v>
      </c>
      <c r="B1665" s="75" t="n">
        <v>9</v>
      </c>
      <c r="C1665" s="75" t="inlineStr">
        <is>
          <t>5100001661</t>
        </is>
      </c>
      <c r="D1665" s="78" t="n">
        <v>45915</v>
      </c>
      <c r="E1665" s="75" t="inlineStr">
        <is>
          <t>KR</t>
        </is>
      </c>
      <c r="F1665" s="75" t="n">
        <v>62101000</v>
      </c>
      <c r="G1665" s="75" t="n">
        <v>1502</v>
      </c>
      <c r="H1665" s="76" t="n">
        <v>657000</v>
      </c>
      <c r="I1665" s="75" t="inlineStr">
        <is>
          <t>9월 국내출장 - (법인카드)</t>
        </is>
      </c>
      <c r="J1665" s="75" t="inlineStr">
        <is>
          <t>V10008</t>
        </is>
      </c>
      <c r="K1665" s="75" t="inlineStr">
        <is>
          <t>(법인카드)</t>
        </is>
      </c>
      <c r="M1665" s="9">
        <f>IF($A1665="","",VALUE($A1665&amp;"")*12+VALUE($B1665&amp;""))</f>
        <v/>
      </c>
      <c r="N1665" s="39">
        <f>IF($A1665="","",IFERROR(INDEX(부서매핑!$C$5:$C$504,MATCH($G1665&amp;"",부서매핑!$A$5:$A$504,0)),"미매핑"))</f>
        <v/>
      </c>
      <c r="O1665" s="9">
        <f>IF($A1665="","",N1665&amp;"|"&amp;$F1665)</f>
        <v/>
      </c>
      <c r="P1665" s="77">
        <f>IF($A1665="",0,$H1665*설정!$C$23)</f>
        <v/>
      </c>
      <c r="Q1665" s="39">
        <f>IF($A1665="","",IF(O1665&lt;&gt;원인분석!$C$9,"",IF(AND(M1665&gt;=원인분석!$C$10,M1665&lt;=원인분석!$C$11),"당기",IF(AND(M1665&gt;=원인분석!$C$12,M1665&lt;=원인분석!$C$13),"비교",""))))</f>
        <v/>
      </c>
      <c r="R1665" s="9">
        <f>IF(Q1665="","",$K1665&amp;"")</f>
        <v/>
      </c>
      <c r="S1665" s="9">
        <f>IF(Q1665="","",IF(MATCH(R1665,$R$5:$R$100000,0)=ROW()-4,ROW(),""))</f>
        <v/>
      </c>
      <c r="T1665" s="9">
        <f>IF(Q1665="당기",ABS(P1665)+ROW()/1000000000,"")</f>
        <v/>
      </c>
      <c r="U1665" s="9">
        <f>IF(Q1665="비교",ABS(P1665)+ROW()/1000000000,"")</f>
        <v/>
      </c>
      <c r="V1665" s="39">
        <f>IF($A1665="","",IF(COUNTIF(변동분석!$E$7:$E$506,O1665)&gt;0,"Y","N"))</f>
        <v/>
      </c>
      <c r="W1665" s="39">
        <f>IF($A1665="","",IFERROR(INDEX(계정매핑!$D$5:$D$504,MATCH($F1665&amp;"",계정매핑!$A$5:$A$504,0)),"미매핑"))</f>
        <v/>
      </c>
      <c r="X1665" s="9">
        <f>IF($A1665="","",$F1665&amp;"")</f>
        <v/>
      </c>
    </row>
    <row r="1666">
      <c r="A1666" s="75" t="n">
        <v>2025</v>
      </c>
      <c r="B1666" s="75" t="n">
        <v>9</v>
      </c>
      <c r="C1666" s="75" t="inlineStr">
        <is>
          <t>5100001662</t>
        </is>
      </c>
      <c r="D1666" s="78" t="n">
        <v>45915</v>
      </c>
      <c r="E1666" s="75" t="inlineStr">
        <is>
          <t>KR</t>
        </is>
      </c>
      <c r="F1666" s="75" t="n">
        <v>62102000</v>
      </c>
      <c r="G1666" s="75" t="n">
        <v>1701</v>
      </c>
      <c r="H1666" s="76" t="n">
        <v>68000</v>
      </c>
      <c r="I1666" s="75" t="inlineStr">
        <is>
          <t>9월 해외출장 - N호텔</t>
        </is>
      </c>
      <c r="J1666" s="75" t="inlineStr">
        <is>
          <t>V10007</t>
        </is>
      </c>
      <c r="K1666" s="75" t="inlineStr">
        <is>
          <t>N호텔</t>
        </is>
      </c>
      <c r="M1666" s="9">
        <f>IF($A1666="","",VALUE($A1666&amp;"")*12+VALUE($B1666&amp;""))</f>
        <v/>
      </c>
      <c r="N1666" s="39">
        <f>IF($A1666="","",IFERROR(INDEX(부서매핑!$C$5:$C$504,MATCH($G1666&amp;"",부서매핑!$A$5:$A$504,0)),"미매핑"))</f>
        <v/>
      </c>
      <c r="O1666" s="9">
        <f>IF($A1666="","",N1666&amp;"|"&amp;$F1666)</f>
        <v/>
      </c>
      <c r="P1666" s="77">
        <f>IF($A1666="",0,$H1666*설정!$C$23)</f>
        <v/>
      </c>
      <c r="Q1666" s="39">
        <f>IF($A1666="","",IF(O1666&lt;&gt;원인분석!$C$9,"",IF(AND(M1666&gt;=원인분석!$C$10,M1666&lt;=원인분석!$C$11),"당기",IF(AND(M1666&gt;=원인분석!$C$12,M1666&lt;=원인분석!$C$13),"비교",""))))</f>
        <v/>
      </c>
      <c r="R1666" s="9">
        <f>IF(Q1666="","",$K1666&amp;"")</f>
        <v/>
      </c>
      <c r="S1666" s="9">
        <f>IF(Q1666="","",IF(MATCH(R1666,$R$5:$R$100000,0)=ROW()-4,ROW(),""))</f>
        <v/>
      </c>
      <c r="T1666" s="9">
        <f>IF(Q1666="당기",ABS(P1666)+ROW()/1000000000,"")</f>
        <v/>
      </c>
      <c r="U1666" s="9">
        <f>IF(Q1666="비교",ABS(P1666)+ROW()/1000000000,"")</f>
        <v/>
      </c>
      <c r="V1666" s="39">
        <f>IF($A1666="","",IF(COUNTIF(변동분석!$E$7:$E$506,O1666)&gt;0,"Y","N"))</f>
        <v/>
      </c>
      <c r="W1666" s="39">
        <f>IF($A1666="","",IFERROR(INDEX(계정매핑!$D$5:$D$504,MATCH($F1666&amp;"",계정매핑!$A$5:$A$504,0)),"미매핑"))</f>
        <v/>
      </c>
      <c r="X1666" s="9">
        <f>IF($A1666="","",$F1666&amp;"")</f>
        <v/>
      </c>
    </row>
    <row r="1667">
      <c r="A1667" s="75" t="n">
        <v>2025</v>
      </c>
      <c r="B1667" s="75" t="n">
        <v>9</v>
      </c>
      <c r="C1667" s="75" t="inlineStr">
        <is>
          <t>5100001663</t>
        </is>
      </c>
      <c r="D1667" s="78" t="n">
        <v>45915</v>
      </c>
      <c r="E1667" s="75" t="inlineStr">
        <is>
          <t>KR</t>
        </is>
      </c>
      <c r="F1667" s="75" t="n">
        <v>62301000</v>
      </c>
      <c r="G1667" s="75" t="n">
        <v>1701</v>
      </c>
      <c r="H1667" s="76" t="n">
        <v>303000</v>
      </c>
      <c r="I1667" s="75" t="inlineStr">
        <is>
          <t>9월 소모품 구입 - R문구</t>
        </is>
      </c>
      <c r="J1667" s="75" t="inlineStr">
        <is>
          <t>V10018</t>
        </is>
      </c>
      <c r="K1667" s="75" t="inlineStr">
        <is>
          <t>R문구</t>
        </is>
      </c>
      <c r="M1667" s="9">
        <f>IF($A1667="","",VALUE($A1667&amp;"")*12+VALUE($B1667&amp;""))</f>
        <v/>
      </c>
      <c r="N1667" s="39">
        <f>IF($A1667="","",IFERROR(INDEX(부서매핑!$C$5:$C$504,MATCH($G1667&amp;"",부서매핑!$A$5:$A$504,0)),"미매핑"))</f>
        <v/>
      </c>
      <c r="O1667" s="9">
        <f>IF($A1667="","",N1667&amp;"|"&amp;$F1667)</f>
        <v/>
      </c>
      <c r="P1667" s="77">
        <f>IF($A1667="",0,$H1667*설정!$C$23)</f>
        <v/>
      </c>
      <c r="Q1667" s="39">
        <f>IF($A1667="","",IF(O1667&lt;&gt;원인분석!$C$9,"",IF(AND(M1667&gt;=원인분석!$C$10,M1667&lt;=원인분석!$C$11),"당기",IF(AND(M1667&gt;=원인분석!$C$12,M1667&lt;=원인분석!$C$13),"비교",""))))</f>
        <v/>
      </c>
      <c r="R1667" s="9">
        <f>IF(Q1667="","",$K1667&amp;"")</f>
        <v/>
      </c>
      <c r="S1667" s="9">
        <f>IF(Q1667="","",IF(MATCH(R1667,$R$5:$R$100000,0)=ROW()-4,ROW(),""))</f>
        <v/>
      </c>
      <c r="T1667" s="9">
        <f>IF(Q1667="당기",ABS(P1667)+ROW()/1000000000,"")</f>
        <v/>
      </c>
      <c r="U1667" s="9">
        <f>IF(Q1667="비교",ABS(P1667)+ROW()/1000000000,"")</f>
        <v/>
      </c>
      <c r="V1667" s="39">
        <f>IF($A1667="","",IF(COUNTIF(변동분석!$E$7:$E$506,O1667)&gt;0,"Y","N"))</f>
        <v/>
      </c>
      <c r="W1667" s="39">
        <f>IF($A1667="","",IFERROR(INDEX(계정매핑!$D$5:$D$504,MATCH($F1667&amp;"",계정매핑!$A$5:$A$504,0)),"미매핑"))</f>
        <v/>
      </c>
      <c r="X1667" s="9">
        <f>IF($A1667="","",$F1667&amp;"")</f>
        <v/>
      </c>
    </row>
    <row r="1668">
      <c r="A1668" s="75" t="n">
        <v>2025</v>
      </c>
      <c r="B1668" s="75" t="n">
        <v>9</v>
      </c>
      <c r="C1668" s="75" t="inlineStr">
        <is>
          <t>5100001664</t>
        </is>
      </c>
      <c r="D1668" s="78" t="n">
        <v>45915</v>
      </c>
      <c r="E1668" s="75" t="inlineStr">
        <is>
          <t>KR</t>
        </is>
      </c>
      <c r="F1668" s="75" t="n">
        <v>62401000</v>
      </c>
      <c r="G1668" s="75" t="n">
        <v>1501</v>
      </c>
      <c r="H1668" s="76" t="n">
        <v>1184000</v>
      </c>
      <c r="I1668" s="75" t="inlineStr">
        <is>
          <t>9월 인쇄물 제작 - G인쇄</t>
        </is>
      </c>
      <c r="J1668" s="75" t="inlineStr">
        <is>
          <t>V10004</t>
        </is>
      </c>
      <c r="K1668" s="75" t="inlineStr">
        <is>
          <t>G인쇄</t>
        </is>
      </c>
      <c r="M1668" s="9">
        <f>IF($A1668="","",VALUE($A1668&amp;"")*12+VALUE($B1668&amp;""))</f>
        <v/>
      </c>
      <c r="N1668" s="39">
        <f>IF($A1668="","",IFERROR(INDEX(부서매핑!$C$5:$C$504,MATCH($G1668&amp;"",부서매핑!$A$5:$A$504,0)),"미매핑"))</f>
        <v/>
      </c>
      <c r="O1668" s="9">
        <f>IF($A1668="","",N1668&amp;"|"&amp;$F1668)</f>
        <v/>
      </c>
      <c r="P1668" s="77">
        <f>IF($A1668="",0,$H1668*설정!$C$23)</f>
        <v/>
      </c>
      <c r="Q1668" s="39">
        <f>IF($A1668="","",IF(O1668&lt;&gt;원인분석!$C$9,"",IF(AND(M1668&gt;=원인분석!$C$10,M1668&lt;=원인분석!$C$11),"당기",IF(AND(M1668&gt;=원인분석!$C$12,M1668&lt;=원인분석!$C$13),"비교",""))))</f>
        <v/>
      </c>
      <c r="R1668" s="9">
        <f>IF(Q1668="","",$K1668&amp;"")</f>
        <v/>
      </c>
      <c r="S1668" s="9">
        <f>IF(Q1668="","",IF(MATCH(R1668,$R$5:$R$100000,0)=ROW()-4,ROW(),""))</f>
        <v/>
      </c>
      <c r="T1668" s="9">
        <f>IF(Q1668="당기",ABS(P1668)+ROW()/1000000000,"")</f>
        <v/>
      </c>
      <c r="U1668" s="9">
        <f>IF(Q1668="비교",ABS(P1668)+ROW()/1000000000,"")</f>
        <v/>
      </c>
      <c r="V1668" s="39">
        <f>IF($A1668="","",IF(COUNTIF(변동분석!$E$7:$E$506,O1668)&gt;0,"Y","N"))</f>
        <v/>
      </c>
      <c r="W1668" s="39">
        <f>IF($A1668="","",IFERROR(INDEX(계정매핑!$D$5:$D$504,MATCH($F1668&amp;"",계정매핑!$A$5:$A$504,0)),"미매핑"))</f>
        <v/>
      </c>
      <c r="X1668" s="9">
        <f>IF($A1668="","",$F1668&amp;"")</f>
        <v/>
      </c>
    </row>
    <row r="1669">
      <c r="A1669" s="75" t="n">
        <v>2025</v>
      </c>
      <c r="B1669" s="75" t="n">
        <v>9</v>
      </c>
      <c r="C1669" s="75" t="inlineStr">
        <is>
          <t>5100001665</t>
        </is>
      </c>
      <c r="D1669" s="78" t="n">
        <v>45915</v>
      </c>
      <c r="E1669" s="75" t="inlineStr">
        <is>
          <t>KR</t>
        </is>
      </c>
      <c r="F1669" s="75" t="n">
        <v>62701000</v>
      </c>
      <c r="G1669" s="75" t="n">
        <v>1502</v>
      </c>
      <c r="H1669" s="76" t="n">
        <v>83506000</v>
      </c>
      <c r="I1669" s="75" t="inlineStr">
        <is>
          <t>9월 광고 집행 - F애드</t>
        </is>
      </c>
      <c r="J1669" s="75" t="inlineStr">
        <is>
          <t>V10019</t>
        </is>
      </c>
      <c r="K1669" s="75" t="inlineStr">
        <is>
          <t>F애드</t>
        </is>
      </c>
      <c r="M1669" s="9">
        <f>IF($A1669="","",VALUE($A1669&amp;"")*12+VALUE($B1669&amp;""))</f>
        <v/>
      </c>
      <c r="N1669" s="39">
        <f>IF($A1669="","",IFERROR(INDEX(부서매핑!$C$5:$C$504,MATCH($G1669&amp;"",부서매핑!$A$5:$A$504,0)),"미매핑"))</f>
        <v/>
      </c>
      <c r="O1669" s="9">
        <f>IF($A1669="","",N1669&amp;"|"&amp;$F1669)</f>
        <v/>
      </c>
      <c r="P1669" s="77">
        <f>IF($A1669="",0,$H1669*설정!$C$23)</f>
        <v/>
      </c>
      <c r="Q1669" s="39">
        <f>IF($A1669="","",IF(O1669&lt;&gt;원인분석!$C$9,"",IF(AND(M1669&gt;=원인분석!$C$10,M1669&lt;=원인분석!$C$11),"당기",IF(AND(M1669&gt;=원인분석!$C$12,M1669&lt;=원인분석!$C$13),"비교",""))))</f>
        <v/>
      </c>
      <c r="R1669" s="9">
        <f>IF(Q1669="","",$K1669&amp;"")</f>
        <v/>
      </c>
      <c r="S1669" s="9">
        <f>IF(Q1669="","",IF(MATCH(R1669,$R$5:$R$100000,0)=ROW()-4,ROW(),""))</f>
        <v/>
      </c>
      <c r="T1669" s="9">
        <f>IF(Q1669="당기",ABS(P1669)+ROW()/1000000000,"")</f>
        <v/>
      </c>
      <c r="U1669" s="9">
        <f>IF(Q1669="비교",ABS(P1669)+ROW()/1000000000,"")</f>
        <v/>
      </c>
      <c r="V1669" s="39">
        <f>IF($A1669="","",IF(COUNTIF(변동분석!$E$7:$E$506,O1669)&gt;0,"Y","N"))</f>
        <v/>
      </c>
      <c r="W1669" s="39">
        <f>IF($A1669="","",IFERROR(INDEX(계정매핑!$D$5:$D$504,MATCH($F1669&amp;"",계정매핑!$A$5:$A$504,0)),"미매핑"))</f>
        <v/>
      </c>
      <c r="X1669" s="9">
        <f>IF($A1669="","",$F1669&amp;"")</f>
        <v/>
      </c>
    </row>
    <row r="1670">
      <c r="A1670" s="75" t="n">
        <v>2025</v>
      </c>
      <c r="B1670" s="75" t="n">
        <v>9</v>
      </c>
      <c r="C1670" s="75" t="inlineStr">
        <is>
          <t>5100001666</t>
        </is>
      </c>
      <c r="D1670" s="78" t="n">
        <v>45915</v>
      </c>
      <c r="E1670" s="75" t="inlineStr">
        <is>
          <t>KR</t>
        </is>
      </c>
      <c r="F1670" s="75" t="n">
        <v>62801000</v>
      </c>
      <c r="G1670" s="75" t="n">
        <v>1301</v>
      </c>
      <c r="H1670" s="76" t="n">
        <v>5111000</v>
      </c>
      <c r="I1670" s="75" t="inlineStr">
        <is>
          <t>9월 사내교육 - U에듀</t>
        </is>
      </c>
      <c r="J1670" s="75" t="inlineStr">
        <is>
          <t>V10026</t>
        </is>
      </c>
      <c r="K1670" s="75" t="inlineStr">
        <is>
          <t>U에듀</t>
        </is>
      </c>
      <c r="M1670" s="9">
        <f>IF($A1670="","",VALUE($A1670&amp;"")*12+VALUE($B1670&amp;""))</f>
        <v/>
      </c>
      <c r="N1670" s="39">
        <f>IF($A1670="","",IFERROR(INDEX(부서매핑!$C$5:$C$504,MATCH($G1670&amp;"",부서매핑!$A$5:$A$504,0)),"미매핑"))</f>
        <v/>
      </c>
      <c r="O1670" s="9">
        <f>IF($A1670="","",N1670&amp;"|"&amp;$F1670)</f>
        <v/>
      </c>
      <c r="P1670" s="77">
        <f>IF($A1670="",0,$H1670*설정!$C$23)</f>
        <v/>
      </c>
      <c r="Q1670" s="39">
        <f>IF($A1670="","",IF(O1670&lt;&gt;원인분석!$C$9,"",IF(AND(M1670&gt;=원인분석!$C$10,M1670&lt;=원인분석!$C$11),"당기",IF(AND(M1670&gt;=원인분석!$C$12,M1670&lt;=원인분석!$C$13),"비교",""))))</f>
        <v/>
      </c>
      <c r="R1670" s="9">
        <f>IF(Q1670="","",$K1670&amp;"")</f>
        <v/>
      </c>
      <c r="S1670" s="9">
        <f>IF(Q1670="","",IF(MATCH(R1670,$R$5:$R$100000,0)=ROW()-4,ROW(),""))</f>
        <v/>
      </c>
      <c r="T1670" s="9">
        <f>IF(Q1670="당기",ABS(P1670)+ROW()/1000000000,"")</f>
        <v/>
      </c>
      <c r="U1670" s="9">
        <f>IF(Q1670="비교",ABS(P1670)+ROW()/1000000000,"")</f>
        <v/>
      </c>
      <c r="V1670" s="39">
        <f>IF($A1670="","",IF(COUNTIF(변동분석!$E$7:$E$506,O1670)&gt;0,"Y","N"))</f>
        <v/>
      </c>
      <c r="W1670" s="39">
        <f>IF($A1670="","",IFERROR(INDEX(계정매핑!$D$5:$D$504,MATCH($F1670&amp;"",계정매핑!$A$5:$A$504,0)),"미매핑"))</f>
        <v/>
      </c>
      <c r="X1670" s="9">
        <f>IF($A1670="","",$F1670&amp;"")</f>
        <v/>
      </c>
    </row>
    <row r="1671">
      <c r="A1671" s="75" t="n">
        <v>2025</v>
      </c>
      <c r="B1671" s="75" t="n">
        <v>9</v>
      </c>
      <c r="C1671" s="75" t="inlineStr">
        <is>
          <t>5100001667</t>
        </is>
      </c>
      <c r="D1671" s="78" t="n">
        <v>45915</v>
      </c>
      <c r="E1671" s="75" t="inlineStr">
        <is>
          <t>KR</t>
        </is>
      </c>
      <c r="F1671" s="75" t="n">
        <v>62901000</v>
      </c>
      <c r="G1671" s="75" t="n">
        <v>1801</v>
      </c>
      <c r="H1671" s="76" t="n">
        <v>6768000</v>
      </c>
      <c r="I1671" s="75" t="inlineStr">
        <is>
          <t>9월 자문 수수료 - K회계법인</t>
        </is>
      </c>
      <c r="J1671" s="75" t="inlineStr">
        <is>
          <t>V10010</t>
        </is>
      </c>
      <c r="K1671" s="75" t="inlineStr">
        <is>
          <t>K회계법인</t>
        </is>
      </c>
      <c r="M1671" s="9">
        <f>IF($A1671="","",VALUE($A1671&amp;"")*12+VALUE($B1671&amp;""))</f>
        <v/>
      </c>
      <c r="N1671" s="39">
        <f>IF($A1671="","",IFERROR(INDEX(부서매핑!$C$5:$C$504,MATCH($G1671&amp;"",부서매핑!$A$5:$A$504,0)),"미매핑"))</f>
        <v/>
      </c>
      <c r="O1671" s="9">
        <f>IF($A1671="","",N1671&amp;"|"&amp;$F1671)</f>
        <v/>
      </c>
      <c r="P1671" s="77">
        <f>IF($A1671="",0,$H1671*설정!$C$23)</f>
        <v/>
      </c>
      <c r="Q1671" s="39">
        <f>IF($A1671="","",IF(O1671&lt;&gt;원인분석!$C$9,"",IF(AND(M1671&gt;=원인분석!$C$10,M1671&lt;=원인분석!$C$11),"당기",IF(AND(M1671&gt;=원인분석!$C$12,M1671&lt;=원인분석!$C$13),"비교",""))))</f>
        <v/>
      </c>
      <c r="R1671" s="9">
        <f>IF(Q1671="","",$K1671&amp;"")</f>
        <v/>
      </c>
      <c r="S1671" s="9">
        <f>IF(Q1671="","",IF(MATCH(R1671,$R$5:$R$100000,0)=ROW()-4,ROW(),""))</f>
        <v/>
      </c>
      <c r="T1671" s="9">
        <f>IF(Q1671="당기",ABS(P1671)+ROW()/1000000000,"")</f>
        <v/>
      </c>
      <c r="U1671" s="9">
        <f>IF(Q1671="비교",ABS(P1671)+ROW()/1000000000,"")</f>
        <v/>
      </c>
      <c r="V1671" s="39">
        <f>IF($A1671="","",IF(COUNTIF(변동분석!$E$7:$E$506,O1671)&gt;0,"Y","N"))</f>
        <v/>
      </c>
      <c r="W1671" s="39">
        <f>IF($A1671="","",IFERROR(INDEX(계정매핑!$D$5:$D$504,MATCH($F1671&amp;"",계정매핑!$A$5:$A$504,0)),"미매핑"))</f>
        <v/>
      </c>
      <c r="X1671" s="9">
        <f>IF($A1671="","",$F1671&amp;"")</f>
        <v/>
      </c>
    </row>
    <row r="1672">
      <c r="A1672" s="75" t="n">
        <v>2025</v>
      </c>
      <c r="B1672" s="75" t="n">
        <v>9</v>
      </c>
      <c r="C1672" s="75" t="inlineStr">
        <is>
          <t>5100001668</t>
        </is>
      </c>
      <c r="D1672" s="78" t="n">
        <v>45915</v>
      </c>
      <c r="E1672" s="75" t="inlineStr">
        <is>
          <t>KR</t>
        </is>
      </c>
      <c r="F1672" s="75" t="n">
        <v>62902000</v>
      </c>
      <c r="G1672" s="75" t="n">
        <v>1201</v>
      </c>
      <c r="H1672" s="76" t="n">
        <v>2592000</v>
      </c>
      <c r="I1672" s="75" t="inlineStr">
        <is>
          <t>9월 업무 위탁 수수료 - X서비스</t>
        </is>
      </c>
      <c r="J1672" s="75" t="inlineStr">
        <is>
          <t>V10016</t>
        </is>
      </c>
      <c r="K1672" s="75" t="inlineStr">
        <is>
          <t>X서비스</t>
        </is>
      </c>
      <c r="M1672" s="9">
        <f>IF($A1672="","",VALUE($A1672&amp;"")*12+VALUE($B1672&amp;""))</f>
        <v/>
      </c>
      <c r="N1672" s="39">
        <f>IF($A1672="","",IFERROR(INDEX(부서매핑!$C$5:$C$504,MATCH($G1672&amp;"",부서매핑!$A$5:$A$504,0)),"미매핑"))</f>
        <v/>
      </c>
      <c r="O1672" s="9">
        <f>IF($A1672="","",N1672&amp;"|"&amp;$F1672)</f>
        <v/>
      </c>
      <c r="P1672" s="77">
        <f>IF($A1672="",0,$H1672*설정!$C$23)</f>
        <v/>
      </c>
      <c r="Q1672" s="39">
        <f>IF($A1672="","",IF(O1672&lt;&gt;원인분석!$C$9,"",IF(AND(M1672&gt;=원인분석!$C$10,M1672&lt;=원인분석!$C$11),"당기",IF(AND(M1672&gt;=원인분석!$C$12,M1672&lt;=원인분석!$C$13),"비교",""))))</f>
        <v/>
      </c>
      <c r="R1672" s="9">
        <f>IF(Q1672="","",$K1672&amp;"")</f>
        <v/>
      </c>
      <c r="S1672" s="9">
        <f>IF(Q1672="","",IF(MATCH(R1672,$R$5:$R$100000,0)=ROW()-4,ROW(),""))</f>
        <v/>
      </c>
      <c r="T1672" s="9">
        <f>IF(Q1672="당기",ABS(P1672)+ROW()/1000000000,"")</f>
        <v/>
      </c>
      <c r="U1672" s="9">
        <f>IF(Q1672="비교",ABS(P1672)+ROW()/1000000000,"")</f>
        <v/>
      </c>
      <c r="V1672" s="39">
        <f>IF($A1672="","",IF(COUNTIF(변동분석!$E$7:$E$506,O1672)&gt;0,"Y","N"))</f>
        <v/>
      </c>
      <c r="W1672" s="39">
        <f>IF($A1672="","",IFERROR(INDEX(계정매핑!$D$5:$D$504,MATCH($F1672&amp;"",계정매핑!$A$5:$A$504,0)),"미매핑"))</f>
        <v/>
      </c>
      <c r="X1672" s="9">
        <f>IF($A1672="","",$F1672&amp;"")</f>
        <v/>
      </c>
    </row>
    <row r="1673">
      <c r="A1673" s="75" t="n">
        <v>2025</v>
      </c>
      <c r="B1673" s="75" t="n">
        <v>9</v>
      </c>
      <c r="C1673" s="75" t="inlineStr">
        <is>
          <t>5100001669</t>
        </is>
      </c>
      <c r="D1673" s="78" t="n">
        <v>45915</v>
      </c>
      <c r="E1673" s="75" t="inlineStr">
        <is>
          <t>KR</t>
        </is>
      </c>
      <c r="F1673" s="75" t="n">
        <v>62902000</v>
      </c>
      <c r="G1673" s="75" t="n">
        <v>1401</v>
      </c>
      <c r="H1673" s="76" t="n">
        <v>2090000</v>
      </c>
      <c r="I1673" s="75" t="inlineStr">
        <is>
          <t>9월 업무 위탁 수수료 - X서비스</t>
        </is>
      </c>
      <c r="J1673" s="75" t="inlineStr">
        <is>
          <t>V10016</t>
        </is>
      </c>
      <c r="K1673" s="75" t="inlineStr">
        <is>
          <t>X서비스</t>
        </is>
      </c>
      <c r="M1673" s="9">
        <f>IF($A1673="","",VALUE($A1673&amp;"")*12+VALUE($B1673&amp;""))</f>
        <v/>
      </c>
      <c r="N1673" s="39">
        <f>IF($A1673="","",IFERROR(INDEX(부서매핑!$C$5:$C$504,MATCH($G1673&amp;"",부서매핑!$A$5:$A$504,0)),"미매핑"))</f>
        <v/>
      </c>
      <c r="O1673" s="9">
        <f>IF($A1673="","",N1673&amp;"|"&amp;$F1673)</f>
        <v/>
      </c>
      <c r="P1673" s="77">
        <f>IF($A1673="",0,$H1673*설정!$C$23)</f>
        <v/>
      </c>
      <c r="Q1673" s="39">
        <f>IF($A1673="","",IF(O1673&lt;&gt;원인분석!$C$9,"",IF(AND(M1673&gt;=원인분석!$C$10,M1673&lt;=원인분석!$C$11),"당기",IF(AND(M1673&gt;=원인분석!$C$12,M1673&lt;=원인분석!$C$13),"비교",""))))</f>
        <v/>
      </c>
      <c r="R1673" s="9">
        <f>IF(Q1673="","",$K1673&amp;"")</f>
        <v/>
      </c>
      <c r="S1673" s="9">
        <f>IF(Q1673="","",IF(MATCH(R1673,$R$5:$R$100000,0)=ROW()-4,ROW(),""))</f>
        <v/>
      </c>
      <c r="T1673" s="9">
        <f>IF(Q1673="당기",ABS(P1673)+ROW()/1000000000,"")</f>
        <v/>
      </c>
      <c r="U1673" s="9">
        <f>IF(Q1673="비교",ABS(P1673)+ROW()/1000000000,"")</f>
        <v/>
      </c>
      <c r="V1673" s="39">
        <f>IF($A1673="","",IF(COUNTIF(변동분석!$E$7:$E$506,O1673)&gt;0,"Y","N"))</f>
        <v/>
      </c>
      <c r="W1673" s="39">
        <f>IF($A1673="","",IFERROR(INDEX(계정매핑!$D$5:$D$504,MATCH($F1673&amp;"",계정매핑!$A$5:$A$504,0)),"미매핑"))</f>
        <v/>
      </c>
      <c r="X1673" s="9">
        <f>IF($A1673="","",$F1673&amp;"")</f>
        <v/>
      </c>
    </row>
    <row r="1674">
      <c r="A1674" s="75" t="n">
        <v>2025</v>
      </c>
      <c r="B1674" s="75" t="n">
        <v>9</v>
      </c>
      <c r="C1674" s="75" t="inlineStr">
        <is>
          <t>5100001670</t>
        </is>
      </c>
      <c r="D1674" s="78" t="n">
        <v>45916</v>
      </c>
      <c r="E1674" s="75" t="inlineStr">
        <is>
          <t>KR</t>
        </is>
      </c>
      <c r="F1674" s="75" t="n">
        <v>62102000</v>
      </c>
      <c r="G1674" s="75" t="n">
        <v>1301</v>
      </c>
      <c r="H1674" s="76" t="n">
        <v>98000</v>
      </c>
      <c r="I1674" s="75" t="inlineStr">
        <is>
          <t>9월 해외출장 - N호텔</t>
        </is>
      </c>
      <c r="J1674" s="75" t="inlineStr">
        <is>
          <t>V10007</t>
        </is>
      </c>
      <c r="K1674" s="75" t="inlineStr">
        <is>
          <t>N호텔</t>
        </is>
      </c>
      <c r="M1674" s="9">
        <f>IF($A1674="","",VALUE($A1674&amp;"")*12+VALUE($B1674&amp;""))</f>
        <v/>
      </c>
      <c r="N1674" s="39">
        <f>IF($A1674="","",IFERROR(INDEX(부서매핑!$C$5:$C$504,MATCH($G1674&amp;"",부서매핑!$A$5:$A$504,0)),"미매핑"))</f>
        <v/>
      </c>
      <c r="O1674" s="9">
        <f>IF($A1674="","",N1674&amp;"|"&amp;$F1674)</f>
        <v/>
      </c>
      <c r="P1674" s="77">
        <f>IF($A1674="",0,$H1674*설정!$C$23)</f>
        <v/>
      </c>
      <c r="Q1674" s="39">
        <f>IF($A1674="","",IF(O1674&lt;&gt;원인분석!$C$9,"",IF(AND(M1674&gt;=원인분석!$C$10,M1674&lt;=원인분석!$C$11),"당기",IF(AND(M1674&gt;=원인분석!$C$12,M1674&lt;=원인분석!$C$13),"비교",""))))</f>
        <v/>
      </c>
      <c r="R1674" s="9">
        <f>IF(Q1674="","",$K1674&amp;"")</f>
        <v/>
      </c>
      <c r="S1674" s="9">
        <f>IF(Q1674="","",IF(MATCH(R1674,$R$5:$R$100000,0)=ROW()-4,ROW(),""))</f>
        <v/>
      </c>
      <c r="T1674" s="9">
        <f>IF(Q1674="당기",ABS(P1674)+ROW()/1000000000,"")</f>
        <v/>
      </c>
      <c r="U1674" s="9">
        <f>IF(Q1674="비교",ABS(P1674)+ROW()/1000000000,"")</f>
        <v/>
      </c>
      <c r="V1674" s="39">
        <f>IF($A1674="","",IF(COUNTIF(변동분석!$E$7:$E$506,O1674)&gt;0,"Y","N"))</f>
        <v/>
      </c>
      <c r="W1674" s="39">
        <f>IF($A1674="","",IFERROR(INDEX(계정매핑!$D$5:$D$504,MATCH($F1674&amp;"",계정매핑!$A$5:$A$504,0)),"미매핑"))</f>
        <v/>
      </c>
      <c r="X1674" s="9">
        <f>IF($A1674="","",$F1674&amp;"")</f>
        <v/>
      </c>
    </row>
    <row r="1675">
      <c r="A1675" s="75" t="n">
        <v>2025</v>
      </c>
      <c r="B1675" s="75" t="n">
        <v>9</v>
      </c>
      <c r="C1675" s="75" t="inlineStr">
        <is>
          <t>5100001671</t>
        </is>
      </c>
      <c r="D1675" s="78" t="n">
        <v>45916</v>
      </c>
      <c r="E1675" s="75" t="inlineStr">
        <is>
          <t>KR</t>
        </is>
      </c>
      <c r="F1675" s="75" t="n">
        <v>62102000</v>
      </c>
      <c r="G1675" s="75" t="n">
        <v>1502</v>
      </c>
      <c r="H1675" s="76" t="n">
        <v>151000</v>
      </c>
      <c r="I1675" s="75" t="inlineStr">
        <is>
          <t>9월 해외출장 - N호텔</t>
        </is>
      </c>
      <c r="J1675" s="75" t="inlineStr">
        <is>
          <t>V10007</t>
        </is>
      </c>
      <c r="K1675" s="75" t="inlineStr">
        <is>
          <t>N호텔</t>
        </is>
      </c>
      <c r="M1675" s="9">
        <f>IF($A1675="","",VALUE($A1675&amp;"")*12+VALUE($B1675&amp;""))</f>
        <v/>
      </c>
      <c r="N1675" s="39">
        <f>IF($A1675="","",IFERROR(INDEX(부서매핑!$C$5:$C$504,MATCH($G1675&amp;"",부서매핑!$A$5:$A$504,0)),"미매핑"))</f>
        <v/>
      </c>
      <c r="O1675" s="9">
        <f>IF($A1675="","",N1675&amp;"|"&amp;$F1675)</f>
        <v/>
      </c>
      <c r="P1675" s="77">
        <f>IF($A1675="",0,$H1675*설정!$C$23)</f>
        <v/>
      </c>
      <c r="Q1675" s="39">
        <f>IF($A1675="","",IF(O1675&lt;&gt;원인분석!$C$9,"",IF(AND(M1675&gt;=원인분석!$C$10,M1675&lt;=원인분석!$C$11),"당기",IF(AND(M1675&gt;=원인분석!$C$12,M1675&lt;=원인분석!$C$13),"비교",""))))</f>
        <v/>
      </c>
      <c r="R1675" s="9">
        <f>IF(Q1675="","",$K1675&amp;"")</f>
        <v/>
      </c>
      <c r="S1675" s="9">
        <f>IF(Q1675="","",IF(MATCH(R1675,$R$5:$R$100000,0)=ROW()-4,ROW(),""))</f>
        <v/>
      </c>
      <c r="T1675" s="9">
        <f>IF(Q1675="당기",ABS(P1675)+ROW()/1000000000,"")</f>
        <v/>
      </c>
      <c r="U1675" s="9">
        <f>IF(Q1675="비교",ABS(P1675)+ROW()/1000000000,"")</f>
        <v/>
      </c>
      <c r="V1675" s="39">
        <f>IF($A1675="","",IF(COUNTIF(변동분석!$E$7:$E$506,O1675)&gt;0,"Y","N"))</f>
        <v/>
      </c>
      <c r="W1675" s="39">
        <f>IF($A1675="","",IFERROR(INDEX(계정매핑!$D$5:$D$504,MATCH($F1675&amp;"",계정매핑!$A$5:$A$504,0)),"미매핑"))</f>
        <v/>
      </c>
      <c r="X1675" s="9">
        <f>IF($A1675="","",$F1675&amp;"")</f>
        <v/>
      </c>
    </row>
    <row r="1676">
      <c r="A1676" s="75" t="n">
        <v>2025</v>
      </c>
      <c r="B1676" s="75" t="n">
        <v>9</v>
      </c>
      <c r="C1676" s="75" t="inlineStr">
        <is>
          <t>5100001672</t>
        </is>
      </c>
      <c r="D1676" s="78" t="n">
        <v>45916</v>
      </c>
      <c r="E1676" s="75" t="inlineStr">
        <is>
          <t>KR</t>
        </is>
      </c>
      <c r="F1676" s="75" t="n">
        <v>62201000</v>
      </c>
      <c r="G1676" s="75" t="n">
        <v>1601</v>
      </c>
      <c r="H1676" s="76" t="n">
        <v>364000</v>
      </c>
      <c r="I1676" s="75" t="inlineStr">
        <is>
          <t>9월 통신요금 - O텔레콤</t>
        </is>
      </c>
      <c r="J1676" s="75" t="inlineStr">
        <is>
          <t>V10002</t>
        </is>
      </c>
      <c r="K1676" s="75" t="inlineStr">
        <is>
          <t>O텔레콤</t>
        </is>
      </c>
      <c r="M1676" s="9">
        <f>IF($A1676="","",VALUE($A1676&amp;"")*12+VALUE($B1676&amp;""))</f>
        <v/>
      </c>
      <c r="N1676" s="39">
        <f>IF($A1676="","",IFERROR(INDEX(부서매핑!$C$5:$C$504,MATCH($G1676&amp;"",부서매핑!$A$5:$A$504,0)),"미매핑"))</f>
        <v/>
      </c>
      <c r="O1676" s="9">
        <f>IF($A1676="","",N1676&amp;"|"&amp;$F1676)</f>
        <v/>
      </c>
      <c r="P1676" s="77">
        <f>IF($A1676="",0,$H1676*설정!$C$23)</f>
        <v/>
      </c>
      <c r="Q1676" s="39">
        <f>IF($A1676="","",IF(O1676&lt;&gt;원인분석!$C$9,"",IF(AND(M1676&gt;=원인분석!$C$10,M1676&lt;=원인분석!$C$11),"당기",IF(AND(M1676&gt;=원인분석!$C$12,M1676&lt;=원인분석!$C$13),"비교",""))))</f>
        <v/>
      </c>
      <c r="R1676" s="9">
        <f>IF(Q1676="","",$K1676&amp;"")</f>
        <v/>
      </c>
      <c r="S1676" s="9">
        <f>IF(Q1676="","",IF(MATCH(R1676,$R$5:$R$100000,0)=ROW()-4,ROW(),""))</f>
        <v/>
      </c>
      <c r="T1676" s="9">
        <f>IF(Q1676="당기",ABS(P1676)+ROW()/1000000000,"")</f>
        <v/>
      </c>
      <c r="U1676" s="9">
        <f>IF(Q1676="비교",ABS(P1676)+ROW()/1000000000,"")</f>
        <v/>
      </c>
      <c r="V1676" s="39">
        <f>IF($A1676="","",IF(COUNTIF(변동분석!$E$7:$E$506,O1676)&gt;0,"Y","N"))</f>
        <v/>
      </c>
      <c r="W1676" s="39">
        <f>IF($A1676="","",IFERROR(INDEX(계정매핑!$D$5:$D$504,MATCH($F1676&amp;"",계정매핑!$A$5:$A$504,0)),"미매핑"))</f>
        <v/>
      </c>
      <c r="X1676" s="9">
        <f>IF($A1676="","",$F1676&amp;"")</f>
        <v/>
      </c>
    </row>
    <row r="1677">
      <c r="A1677" s="75" t="n">
        <v>2025</v>
      </c>
      <c r="B1677" s="75" t="n">
        <v>9</v>
      </c>
      <c r="C1677" s="75" t="inlineStr">
        <is>
          <t>5100001673</t>
        </is>
      </c>
      <c r="D1677" s="78" t="n">
        <v>45916</v>
      </c>
      <c r="E1677" s="75" t="inlineStr">
        <is>
          <t>KR</t>
        </is>
      </c>
      <c r="F1677" s="75" t="n">
        <v>62901000</v>
      </c>
      <c r="G1677" s="75" t="n">
        <v>1101</v>
      </c>
      <c r="H1677" s="76" t="n">
        <v>2881000</v>
      </c>
      <c r="I1677" s="75" t="inlineStr">
        <is>
          <t>9월 자문 수수료 - W컨설팅</t>
        </is>
      </c>
      <c r="J1677" s="75" t="inlineStr">
        <is>
          <t>V10009</t>
        </is>
      </c>
      <c r="K1677" s="75" t="inlineStr">
        <is>
          <t>W컨설팅</t>
        </is>
      </c>
      <c r="M1677" s="9">
        <f>IF($A1677="","",VALUE($A1677&amp;"")*12+VALUE($B1677&amp;""))</f>
        <v/>
      </c>
      <c r="N1677" s="39">
        <f>IF($A1677="","",IFERROR(INDEX(부서매핑!$C$5:$C$504,MATCH($G1677&amp;"",부서매핑!$A$5:$A$504,0)),"미매핑"))</f>
        <v/>
      </c>
      <c r="O1677" s="9">
        <f>IF($A1677="","",N1677&amp;"|"&amp;$F1677)</f>
        <v/>
      </c>
      <c r="P1677" s="77">
        <f>IF($A1677="",0,$H1677*설정!$C$23)</f>
        <v/>
      </c>
      <c r="Q1677" s="39">
        <f>IF($A1677="","",IF(O1677&lt;&gt;원인분석!$C$9,"",IF(AND(M1677&gt;=원인분석!$C$10,M1677&lt;=원인분석!$C$11),"당기",IF(AND(M1677&gt;=원인분석!$C$12,M1677&lt;=원인분석!$C$13),"비교",""))))</f>
        <v/>
      </c>
      <c r="R1677" s="9">
        <f>IF(Q1677="","",$K1677&amp;"")</f>
        <v/>
      </c>
      <c r="S1677" s="9">
        <f>IF(Q1677="","",IF(MATCH(R1677,$R$5:$R$100000,0)=ROW()-4,ROW(),""))</f>
        <v/>
      </c>
      <c r="T1677" s="9">
        <f>IF(Q1677="당기",ABS(P1677)+ROW()/1000000000,"")</f>
        <v/>
      </c>
      <c r="U1677" s="9">
        <f>IF(Q1677="비교",ABS(P1677)+ROW()/1000000000,"")</f>
        <v/>
      </c>
      <c r="V1677" s="39">
        <f>IF($A1677="","",IF(COUNTIF(변동분석!$E$7:$E$506,O1677)&gt;0,"Y","N"))</f>
        <v/>
      </c>
      <c r="W1677" s="39">
        <f>IF($A1677="","",IFERROR(INDEX(계정매핑!$D$5:$D$504,MATCH($F1677&amp;"",계정매핑!$A$5:$A$504,0)),"미매핑"))</f>
        <v/>
      </c>
      <c r="X1677" s="9">
        <f>IF($A1677="","",$F1677&amp;"")</f>
        <v/>
      </c>
    </row>
    <row r="1678">
      <c r="A1678" s="75" t="n">
        <v>2025</v>
      </c>
      <c r="B1678" s="75" t="n">
        <v>9</v>
      </c>
      <c r="C1678" s="75" t="inlineStr">
        <is>
          <t>5100001674</t>
        </is>
      </c>
      <c r="D1678" s="78" t="n">
        <v>45916</v>
      </c>
      <c r="E1678" s="75" t="inlineStr">
        <is>
          <t>KR</t>
        </is>
      </c>
      <c r="F1678" s="75" t="n">
        <v>62901000</v>
      </c>
      <c r="G1678" s="75" t="n">
        <v>1401</v>
      </c>
      <c r="H1678" s="76" t="n">
        <v>6277000</v>
      </c>
      <c r="I1678" s="75" t="inlineStr">
        <is>
          <t>9월 자문 수수료 - W컨설팅</t>
        </is>
      </c>
      <c r="J1678" s="75" t="inlineStr">
        <is>
          <t>V10009</t>
        </is>
      </c>
      <c r="K1678" s="75" t="inlineStr">
        <is>
          <t>W컨설팅</t>
        </is>
      </c>
      <c r="M1678" s="9">
        <f>IF($A1678="","",VALUE($A1678&amp;"")*12+VALUE($B1678&amp;""))</f>
        <v/>
      </c>
      <c r="N1678" s="39">
        <f>IF($A1678="","",IFERROR(INDEX(부서매핑!$C$5:$C$504,MATCH($G1678&amp;"",부서매핑!$A$5:$A$504,0)),"미매핑"))</f>
        <v/>
      </c>
      <c r="O1678" s="9">
        <f>IF($A1678="","",N1678&amp;"|"&amp;$F1678)</f>
        <v/>
      </c>
      <c r="P1678" s="77">
        <f>IF($A1678="",0,$H1678*설정!$C$23)</f>
        <v/>
      </c>
      <c r="Q1678" s="39">
        <f>IF($A1678="","",IF(O1678&lt;&gt;원인분석!$C$9,"",IF(AND(M1678&gt;=원인분석!$C$10,M1678&lt;=원인분석!$C$11),"당기",IF(AND(M1678&gt;=원인분석!$C$12,M1678&lt;=원인분석!$C$13),"비교",""))))</f>
        <v/>
      </c>
      <c r="R1678" s="9">
        <f>IF(Q1678="","",$K1678&amp;"")</f>
        <v/>
      </c>
      <c r="S1678" s="9">
        <f>IF(Q1678="","",IF(MATCH(R1678,$R$5:$R$100000,0)=ROW()-4,ROW(),""))</f>
        <v/>
      </c>
      <c r="T1678" s="9">
        <f>IF(Q1678="당기",ABS(P1678)+ROW()/1000000000,"")</f>
        <v/>
      </c>
      <c r="U1678" s="9">
        <f>IF(Q1678="비교",ABS(P1678)+ROW()/1000000000,"")</f>
        <v/>
      </c>
      <c r="V1678" s="39">
        <f>IF($A1678="","",IF(COUNTIF(변동분석!$E$7:$E$506,O1678)&gt;0,"Y","N"))</f>
        <v/>
      </c>
      <c r="W1678" s="39">
        <f>IF($A1678="","",IFERROR(INDEX(계정매핑!$D$5:$D$504,MATCH($F1678&amp;"",계정매핑!$A$5:$A$504,0)),"미매핑"))</f>
        <v/>
      </c>
      <c r="X1678" s="9">
        <f>IF($A1678="","",$F1678&amp;"")</f>
        <v/>
      </c>
    </row>
    <row r="1679">
      <c r="A1679" s="75" t="n">
        <v>2025</v>
      </c>
      <c r="B1679" s="75" t="n">
        <v>9</v>
      </c>
      <c r="C1679" s="75" t="inlineStr">
        <is>
          <t>5100001675</t>
        </is>
      </c>
      <c r="D1679" s="78" t="n">
        <v>45916</v>
      </c>
      <c r="E1679" s="75" t="inlineStr">
        <is>
          <t>KR</t>
        </is>
      </c>
      <c r="F1679" s="75" t="n">
        <v>63201000</v>
      </c>
      <c r="G1679" s="75" t="n">
        <v>1602</v>
      </c>
      <c r="H1679" s="76" t="n">
        <v>5389000</v>
      </c>
      <c r="I1679" s="75" t="inlineStr">
        <is>
          <t>9월 차량 유지 - D정비</t>
        </is>
      </c>
      <c r="J1679" s="75" t="inlineStr">
        <is>
          <t>V10022</t>
        </is>
      </c>
      <c r="K1679" s="75" t="inlineStr">
        <is>
          <t>D정비</t>
        </is>
      </c>
      <c r="M1679" s="9">
        <f>IF($A1679="","",VALUE($A1679&amp;"")*12+VALUE($B1679&amp;""))</f>
        <v/>
      </c>
      <c r="N1679" s="39">
        <f>IF($A1679="","",IFERROR(INDEX(부서매핑!$C$5:$C$504,MATCH($G1679&amp;"",부서매핑!$A$5:$A$504,0)),"미매핑"))</f>
        <v/>
      </c>
      <c r="O1679" s="9">
        <f>IF($A1679="","",N1679&amp;"|"&amp;$F1679)</f>
        <v/>
      </c>
      <c r="P1679" s="77">
        <f>IF($A1679="",0,$H1679*설정!$C$23)</f>
        <v/>
      </c>
      <c r="Q1679" s="39">
        <f>IF($A1679="","",IF(O1679&lt;&gt;원인분석!$C$9,"",IF(AND(M1679&gt;=원인분석!$C$10,M1679&lt;=원인분석!$C$11),"당기",IF(AND(M1679&gt;=원인분석!$C$12,M1679&lt;=원인분석!$C$13),"비교",""))))</f>
        <v/>
      </c>
      <c r="R1679" s="9">
        <f>IF(Q1679="","",$K1679&amp;"")</f>
        <v/>
      </c>
      <c r="S1679" s="9">
        <f>IF(Q1679="","",IF(MATCH(R1679,$R$5:$R$100000,0)=ROW()-4,ROW(),""))</f>
        <v/>
      </c>
      <c r="T1679" s="9">
        <f>IF(Q1679="당기",ABS(P1679)+ROW()/1000000000,"")</f>
        <v/>
      </c>
      <c r="U1679" s="9">
        <f>IF(Q1679="비교",ABS(P1679)+ROW()/1000000000,"")</f>
        <v/>
      </c>
      <c r="V1679" s="39">
        <f>IF($A1679="","",IF(COUNTIF(변동분석!$E$7:$E$506,O1679)&gt;0,"Y","N"))</f>
        <v/>
      </c>
      <c r="W1679" s="39">
        <f>IF($A1679="","",IFERROR(INDEX(계정매핑!$D$5:$D$504,MATCH($F1679&amp;"",계정매핑!$A$5:$A$504,0)),"미매핑"))</f>
        <v/>
      </c>
      <c r="X1679" s="9">
        <f>IF($A1679="","",$F1679&amp;"")</f>
        <v/>
      </c>
    </row>
    <row r="1680">
      <c r="A1680" s="75" t="n">
        <v>2025</v>
      </c>
      <c r="B1680" s="75" t="n">
        <v>9</v>
      </c>
      <c r="C1680" s="75" t="inlineStr">
        <is>
          <t>5100001676</t>
        </is>
      </c>
      <c r="D1680" s="78" t="n">
        <v>45917</v>
      </c>
      <c r="E1680" s="75" t="inlineStr">
        <is>
          <t>KR</t>
        </is>
      </c>
      <c r="F1680" s="75" t="n">
        <v>62101000</v>
      </c>
      <c r="G1680" s="75" t="n">
        <v>1301</v>
      </c>
      <c r="H1680" s="76" t="n">
        <v>522000</v>
      </c>
      <c r="I1680" s="75" t="inlineStr">
        <is>
          <t>9월 국내출장 - (법인카드)</t>
        </is>
      </c>
      <c r="J1680" s="75" t="inlineStr">
        <is>
          <t>V10008</t>
        </is>
      </c>
      <c r="K1680" s="75" t="inlineStr">
        <is>
          <t>(법인카드)</t>
        </is>
      </c>
      <c r="M1680" s="9">
        <f>IF($A1680="","",VALUE($A1680&amp;"")*12+VALUE($B1680&amp;""))</f>
        <v/>
      </c>
      <c r="N1680" s="39">
        <f>IF($A1680="","",IFERROR(INDEX(부서매핑!$C$5:$C$504,MATCH($G1680&amp;"",부서매핑!$A$5:$A$504,0)),"미매핑"))</f>
        <v/>
      </c>
      <c r="O1680" s="9">
        <f>IF($A1680="","",N1680&amp;"|"&amp;$F1680)</f>
        <v/>
      </c>
      <c r="P1680" s="77">
        <f>IF($A1680="",0,$H1680*설정!$C$23)</f>
        <v/>
      </c>
      <c r="Q1680" s="39">
        <f>IF($A1680="","",IF(O1680&lt;&gt;원인분석!$C$9,"",IF(AND(M1680&gt;=원인분석!$C$10,M1680&lt;=원인분석!$C$11),"당기",IF(AND(M1680&gt;=원인분석!$C$12,M1680&lt;=원인분석!$C$13),"비교",""))))</f>
        <v/>
      </c>
      <c r="R1680" s="9">
        <f>IF(Q1680="","",$K1680&amp;"")</f>
        <v/>
      </c>
      <c r="S1680" s="9">
        <f>IF(Q1680="","",IF(MATCH(R1680,$R$5:$R$100000,0)=ROW()-4,ROW(),""))</f>
        <v/>
      </c>
      <c r="T1680" s="9">
        <f>IF(Q1680="당기",ABS(P1680)+ROW()/1000000000,"")</f>
        <v/>
      </c>
      <c r="U1680" s="9">
        <f>IF(Q1680="비교",ABS(P1680)+ROW()/1000000000,"")</f>
        <v/>
      </c>
      <c r="V1680" s="39">
        <f>IF($A1680="","",IF(COUNTIF(변동분석!$E$7:$E$506,O1680)&gt;0,"Y","N"))</f>
        <v/>
      </c>
      <c r="W1680" s="39">
        <f>IF($A1680="","",IFERROR(INDEX(계정매핑!$D$5:$D$504,MATCH($F1680&amp;"",계정매핑!$A$5:$A$504,0)),"미매핑"))</f>
        <v/>
      </c>
      <c r="X1680" s="9">
        <f>IF($A1680="","",$F1680&amp;"")</f>
        <v/>
      </c>
    </row>
    <row r="1681">
      <c r="A1681" s="75" t="n">
        <v>2025</v>
      </c>
      <c r="B1681" s="75" t="n">
        <v>9</v>
      </c>
      <c r="C1681" s="75" t="inlineStr">
        <is>
          <t>5100001677</t>
        </is>
      </c>
      <c r="D1681" s="78" t="n">
        <v>45917</v>
      </c>
      <c r="E1681" s="75" t="inlineStr">
        <is>
          <t>KR</t>
        </is>
      </c>
      <c r="F1681" s="75" t="n">
        <v>62101000</v>
      </c>
      <c r="G1681" s="75" t="n">
        <v>1401</v>
      </c>
      <c r="H1681" s="76" t="n">
        <v>386000</v>
      </c>
      <c r="I1681" s="75" t="inlineStr">
        <is>
          <t>9월 국내출장 - (법인카드)</t>
        </is>
      </c>
      <c r="J1681" s="75" t="inlineStr">
        <is>
          <t>V10008</t>
        </is>
      </c>
      <c r="K1681" s="75" t="inlineStr">
        <is>
          <t>(법인카드)</t>
        </is>
      </c>
      <c r="M1681" s="9">
        <f>IF($A1681="","",VALUE($A1681&amp;"")*12+VALUE($B1681&amp;""))</f>
        <v/>
      </c>
      <c r="N1681" s="39">
        <f>IF($A1681="","",IFERROR(INDEX(부서매핑!$C$5:$C$504,MATCH($G1681&amp;"",부서매핑!$A$5:$A$504,0)),"미매핑"))</f>
        <v/>
      </c>
      <c r="O1681" s="9">
        <f>IF($A1681="","",N1681&amp;"|"&amp;$F1681)</f>
        <v/>
      </c>
      <c r="P1681" s="77">
        <f>IF($A1681="",0,$H1681*설정!$C$23)</f>
        <v/>
      </c>
      <c r="Q1681" s="39">
        <f>IF($A1681="","",IF(O1681&lt;&gt;원인분석!$C$9,"",IF(AND(M1681&gt;=원인분석!$C$10,M1681&lt;=원인분석!$C$11),"당기",IF(AND(M1681&gt;=원인분석!$C$12,M1681&lt;=원인분석!$C$13),"비교",""))))</f>
        <v/>
      </c>
      <c r="R1681" s="9">
        <f>IF(Q1681="","",$K1681&amp;"")</f>
        <v/>
      </c>
      <c r="S1681" s="9">
        <f>IF(Q1681="","",IF(MATCH(R1681,$R$5:$R$100000,0)=ROW()-4,ROW(),""))</f>
        <v/>
      </c>
      <c r="T1681" s="9">
        <f>IF(Q1681="당기",ABS(P1681)+ROW()/1000000000,"")</f>
        <v/>
      </c>
      <c r="U1681" s="9">
        <f>IF(Q1681="비교",ABS(P1681)+ROW()/1000000000,"")</f>
        <v/>
      </c>
      <c r="V1681" s="39">
        <f>IF($A1681="","",IF(COUNTIF(변동분석!$E$7:$E$506,O1681)&gt;0,"Y","N"))</f>
        <v/>
      </c>
      <c r="W1681" s="39">
        <f>IF($A1681="","",IFERROR(INDEX(계정매핑!$D$5:$D$504,MATCH($F1681&amp;"",계정매핑!$A$5:$A$504,0)),"미매핑"))</f>
        <v/>
      </c>
      <c r="X1681" s="9">
        <f>IF($A1681="","",$F1681&amp;"")</f>
        <v/>
      </c>
    </row>
    <row r="1682">
      <c r="A1682" s="75" t="n">
        <v>2025</v>
      </c>
      <c r="B1682" s="75" t="n">
        <v>9</v>
      </c>
      <c r="C1682" s="75" t="inlineStr">
        <is>
          <t>5100001678</t>
        </is>
      </c>
      <c r="D1682" s="78" t="n">
        <v>45917</v>
      </c>
      <c r="E1682" s="75" t="inlineStr">
        <is>
          <t>KR</t>
        </is>
      </c>
      <c r="F1682" s="75" t="n">
        <v>62101000</v>
      </c>
      <c r="G1682" s="75" t="n">
        <v>1601</v>
      </c>
      <c r="H1682" s="76" t="n">
        <v>1310000</v>
      </c>
      <c r="I1682" s="75" t="inlineStr">
        <is>
          <t>9월 국내출장 - (법인카드)</t>
        </is>
      </c>
      <c r="J1682" s="75" t="inlineStr">
        <is>
          <t>V10008</t>
        </is>
      </c>
      <c r="K1682" s="75" t="inlineStr">
        <is>
          <t>(법인카드)</t>
        </is>
      </c>
      <c r="M1682" s="9">
        <f>IF($A1682="","",VALUE($A1682&amp;"")*12+VALUE($B1682&amp;""))</f>
        <v/>
      </c>
      <c r="N1682" s="39">
        <f>IF($A1682="","",IFERROR(INDEX(부서매핑!$C$5:$C$504,MATCH($G1682&amp;"",부서매핑!$A$5:$A$504,0)),"미매핑"))</f>
        <v/>
      </c>
      <c r="O1682" s="9">
        <f>IF($A1682="","",N1682&amp;"|"&amp;$F1682)</f>
        <v/>
      </c>
      <c r="P1682" s="77">
        <f>IF($A1682="",0,$H1682*설정!$C$23)</f>
        <v/>
      </c>
      <c r="Q1682" s="39">
        <f>IF($A1682="","",IF(O1682&lt;&gt;원인분석!$C$9,"",IF(AND(M1682&gt;=원인분석!$C$10,M1682&lt;=원인분석!$C$11),"당기",IF(AND(M1682&gt;=원인분석!$C$12,M1682&lt;=원인분석!$C$13),"비교",""))))</f>
        <v/>
      </c>
      <c r="R1682" s="9">
        <f>IF(Q1682="","",$K1682&amp;"")</f>
        <v/>
      </c>
      <c r="S1682" s="9">
        <f>IF(Q1682="","",IF(MATCH(R1682,$R$5:$R$100000,0)=ROW()-4,ROW(),""))</f>
        <v/>
      </c>
      <c r="T1682" s="9">
        <f>IF(Q1682="당기",ABS(P1682)+ROW()/1000000000,"")</f>
        <v/>
      </c>
      <c r="U1682" s="9">
        <f>IF(Q1682="비교",ABS(P1682)+ROW()/1000000000,"")</f>
        <v/>
      </c>
      <c r="V1682" s="39">
        <f>IF($A1682="","",IF(COUNTIF(변동분석!$E$7:$E$506,O1682)&gt;0,"Y","N"))</f>
        <v/>
      </c>
      <c r="W1682" s="39">
        <f>IF($A1682="","",IFERROR(INDEX(계정매핑!$D$5:$D$504,MATCH($F1682&amp;"",계정매핑!$A$5:$A$504,0)),"미매핑"))</f>
        <v/>
      </c>
      <c r="X1682" s="9">
        <f>IF($A1682="","",$F1682&amp;"")</f>
        <v/>
      </c>
    </row>
    <row r="1683">
      <c r="A1683" s="75" t="n">
        <v>2025</v>
      </c>
      <c r="B1683" s="75" t="n">
        <v>9</v>
      </c>
      <c r="C1683" s="75" t="inlineStr">
        <is>
          <t>5100001679</t>
        </is>
      </c>
      <c r="D1683" s="78" t="n">
        <v>45917</v>
      </c>
      <c r="E1683" s="75" t="inlineStr">
        <is>
          <t>KR</t>
        </is>
      </c>
      <c r="F1683" s="75" t="n">
        <v>62102000</v>
      </c>
      <c r="G1683" s="75" t="n">
        <v>1201</v>
      </c>
      <c r="H1683" s="76" t="n">
        <v>81000</v>
      </c>
      <c r="I1683" s="75" t="inlineStr">
        <is>
          <t>9월 해외출장 - M항공</t>
        </is>
      </c>
      <c r="J1683" s="75" t="inlineStr">
        <is>
          <t>V10001</t>
        </is>
      </c>
      <c r="K1683" s="75" t="inlineStr">
        <is>
          <t>M항공</t>
        </is>
      </c>
      <c r="M1683" s="9">
        <f>IF($A1683="","",VALUE($A1683&amp;"")*12+VALUE($B1683&amp;""))</f>
        <v/>
      </c>
      <c r="N1683" s="39">
        <f>IF($A1683="","",IFERROR(INDEX(부서매핑!$C$5:$C$504,MATCH($G1683&amp;"",부서매핑!$A$5:$A$504,0)),"미매핑"))</f>
        <v/>
      </c>
      <c r="O1683" s="9">
        <f>IF($A1683="","",N1683&amp;"|"&amp;$F1683)</f>
        <v/>
      </c>
      <c r="P1683" s="77">
        <f>IF($A1683="",0,$H1683*설정!$C$23)</f>
        <v/>
      </c>
      <c r="Q1683" s="39">
        <f>IF($A1683="","",IF(O1683&lt;&gt;원인분석!$C$9,"",IF(AND(M1683&gt;=원인분석!$C$10,M1683&lt;=원인분석!$C$11),"당기",IF(AND(M1683&gt;=원인분석!$C$12,M1683&lt;=원인분석!$C$13),"비교",""))))</f>
        <v/>
      </c>
      <c r="R1683" s="9">
        <f>IF(Q1683="","",$K1683&amp;"")</f>
        <v/>
      </c>
      <c r="S1683" s="9">
        <f>IF(Q1683="","",IF(MATCH(R1683,$R$5:$R$100000,0)=ROW()-4,ROW(),""))</f>
        <v/>
      </c>
      <c r="T1683" s="9">
        <f>IF(Q1683="당기",ABS(P1683)+ROW()/1000000000,"")</f>
        <v/>
      </c>
      <c r="U1683" s="9">
        <f>IF(Q1683="비교",ABS(P1683)+ROW()/1000000000,"")</f>
        <v/>
      </c>
      <c r="V1683" s="39">
        <f>IF($A1683="","",IF(COUNTIF(변동분석!$E$7:$E$506,O1683)&gt;0,"Y","N"))</f>
        <v/>
      </c>
      <c r="W1683" s="39">
        <f>IF($A1683="","",IFERROR(INDEX(계정매핑!$D$5:$D$504,MATCH($F1683&amp;"",계정매핑!$A$5:$A$504,0)),"미매핑"))</f>
        <v/>
      </c>
      <c r="X1683" s="9">
        <f>IF($A1683="","",$F1683&amp;"")</f>
        <v/>
      </c>
    </row>
    <row r="1684">
      <c r="A1684" s="75" t="n">
        <v>2025</v>
      </c>
      <c r="B1684" s="75" t="n">
        <v>9</v>
      </c>
      <c r="C1684" s="75" t="inlineStr">
        <is>
          <t>5100001680</t>
        </is>
      </c>
      <c r="D1684" s="78" t="n">
        <v>45917</v>
      </c>
      <c r="E1684" s="75" t="inlineStr">
        <is>
          <t>KR</t>
        </is>
      </c>
      <c r="F1684" s="75" t="n">
        <v>62102000</v>
      </c>
      <c r="G1684" s="75" t="n">
        <v>1601</v>
      </c>
      <c r="H1684" s="76" t="n">
        <v>281000</v>
      </c>
      <c r="I1684" s="75" t="inlineStr">
        <is>
          <t>9월 해외출장 - N호텔</t>
        </is>
      </c>
      <c r="J1684" s="75" t="inlineStr">
        <is>
          <t>V10007</t>
        </is>
      </c>
      <c r="K1684" s="75" t="inlineStr">
        <is>
          <t>N호텔</t>
        </is>
      </c>
      <c r="M1684" s="9">
        <f>IF($A1684="","",VALUE($A1684&amp;"")*12+VALUE($B1684&amp;""))</f>
        <v/>
      </c>
      <c r="N1684" s="39">
        <f>IF($A1684="","",IFERROR(INDEX(부서매핑!$C$5:$C$504,MATCH($G1684&amp;"",부서매핑!$A$5:$A$504,0)),"미매핑"))</f>
        <v/>
      </c>
      <c r="O1684" s="9">
        <f>IF($A1684="","",N1684&amp;"|"&amp;$F1684)</f>
        <v/>
      </c>
      <c r="P1684" s="77">
        <f>IF($A1684="",0,$H1684*설정!$C$23)</f>
        <v/>
      </c>
      <c r="Q1684" s="39">
        <f>IF($A1684="","",IF(O1684&lt;&gt;원인분석!$C$9,"",IF(AND(M1684&gt;=원인분석!$C$10,M1684&lt;=원인분석!$C$11),"당기",IF(AND(M1684&gt;=원인분석!$C$12,M1684&lt;=원인분석!$C$13),"비교",""))))</f>
        <v/>
      </c>
      <c r="R1684" s="9">
        <f>IF(Q1684="","",$K1684&amp;"")</f>
        <v/>
      </c>
      <c r="S1684" s="9">
        <f>IF(Q1684="","",IF(MATCH(R1684,$R$5:$R$100000,0)=ROW()-4,ROW(),""))</f>
        <v/>
      </c>
      <c r="T1684" s="9">
        <f>IF(Q1684="당기",ABS(P1684)+ROW()/1000000000,"")</f>
        <v/>
      </c>
      <c r="U1684" s="9">
        <f>IF(Q1684="비교",ABS(P1684)+ROW()/1000000000,"")</f>
        <v/>
      </c>
      <c r="V1684" s="39">
        <f>IF($A1684="","",IF(COUNTIF(변동분석!$E$7:$E$506,O1684)&gt;0,"Y","N"))</f>
        <v/>
      </c>
      <c r="W1684" s="39">
        <f>IF($A1684="","",IFERROR(INDEX(계정매핑!$D$5:$D$504,MATCH($F1684&amp;"",계정매핑!$A$5:$A$504,0)),"미매핑"))</f>
        <v/>
      </c>
      <c r="X1684" s="9">
        <f>IF($A1684="","",$F1684&amp;"")</f>
        <v/>
      </c>
    </row>
    <row r="1685">
      <c r="A1685" s="75" t="n">
        <v>2025</v>
      </c>
      <c r="B1685" s="75" t="n">
        <v>9</v>
      </c>
      <c r="C1685" s="75" t="inlineStr">
        <is>
          <t>5100001681</t>
        </is>
      </c>
      <c r="D1685" s="78" t="n">
        <v>45917</v>
      </c>
      <c r="E1685" s="75" t="inlineStr">
        <is>
          <t>KR</t>
        </is>
      </c>
      <c r="F1685" s="75" t="n">
        <v>62201000</v>
      </c>
      <c r="G1685" s="75" t="n">
        <v>1502</v>
      </c>
      <c r="H1685" s="76" t="n">
        <v>628000</v>
      </c>
      <c r="I1685" s="75" t="inlineStr">
        <is>
          <t>9월 통신요금 - P통신</t>
        </is>
      </c>
      <c r="J1685" s="75" t="inlineStr">
        <is>
          <t>V10011</t>
        </is>
      </c>
      <c r="K1685" s="75" t="inlineStr">
        <is>
          <t>P통신</t>
        </is>
      </c>
      <c r="M1685" s="9">
        <f>IF($A1685="","",VALUE($A1685&amp;"")*12+VALUE($B1685&amp;""))</f>
        <v/>
      </c>
      <c r="N1685" s="39">
        <f>IF($A1685="","",IFERROR(INDEX(부서매핑!$C$5:$C$504,MATCH($G1685&amp;"",부서매핑!$A$5:$A$504,0)),"미매핑"))</f>
        <v/>
      </c>
      <c r="O1685" s="9">
        <f>IF($A1685="","",N1685&amp;"|"&amp;$F1685)</f>
        <v/>
      </c>
      <c r="P1685" s="77">
        <f>IF($A1685="",0,$H1685*설정!$C$23)</f>
        <v/>
      </c>
      <c r="Q1685" s="39">
        <f>IF($A1685="","",IF(O1685&lt;&gt;원인분석!$C$9,"",IF(AND(M1685&gt;=원인분석!$C$10,M1685&lt;=원인분석!$C$11),"당기",IF(AND(M1685&gt;=원인분석!$C$12,M1685&lt;=원인분석!$C$13),"비교",""))))</f>
        <v/>
      </c>
      <c r="R1685" s="9">
        <f>IF(Q1685="","",$K1685&amp;"")</f>
        <v/>
      </c>
      <c r="S1685" s="9">
        <f>IF(Q1685="","",IF(MATCH(R1685,$R$5:$R$100000,0)=ROW()-4,ROW(),""))</f>
        <v/>
      </c>
      <c r="T1685" s="9">
        <f>IF(Q1685="당기",ABS(P1685)+ROW()/1000000000,"")</f>
        <v/>
      </c>
      <c r="U1685" s="9">
        <f>IF(Q1685="비교",ABS(P1685)+ROW()/1000000000,"")</f>
        <v/>
      </c>
      <c r="V1685" s="39">
        <f>IF($A1685="","",IF(COUNTIF(변동분석!$E$7:$E$506,O1685)&gt;0,"Y","N"))</f>
        <v/>
      </c>
      <c r="W1685" s="39">
        <f>IF($A1685="","",IFERROR(INDEX(계정매핑!$D$5:$D$504,MATCH($F1685&amp;"",계정매핑!$A$5:$A$504,0)),"미매핑"))</f>
        <v/>
      </c>
      <c r="X1685" s="9">
        <f>IF($A1685="","",$F1685&amp;"")</f>
        <v/>
      </c>
    </row>
    <row r="1686">
      <c r="A1686" s="75" t="n">
        <v>2025</v>
      </c>
      <c r="B1686" s="75" t="n">
        <v>9</v>
      </c>
      <c r="C1686" s="75" t="inlineStr">
        <is>
          <t>5100001682</t>
        </is>
      </c>
      <c r="D1686" s="78" t="n">
        <v>45917</v>
      </c>
      <c r="E1686" s="75" t="inlineStr">
        <is>
          <t>KR</t>
        </is>
      </c>
      <c r="F1686" s="75" t="n">
        <v>62201000</v>
      </c>
      <c r="G1686" s="75" t="n">
        <v>1801</v>
      </c>
      <c r="H1686" s="76" t="n">
        <v>5959000</v>
      </c>
      <c r="I1686" s="75" t="inlineStr">
        <is>
          <t>9월 통신요금 - O텔레콤</t>
        </is>
      </c>
      <c r="J1686" s="75" t="inlineStr">
        <is>
          <t>V10002</t>
        </is>
      </c>
      <c r="K1686" s="75" t="inlineStr">
        <is>
          <t>O텔레콤</t>
        </is>
      </c>
      <c r="M1686" s="9">
        <f>IF($A1686="","",VALUE($A1686&amp;"")*12+VALUE($B1686&amp;""))</f>
        <v/>
      </c>
      <c r="N1686" s="39">
        <f>IF($A1686="","",IFERROR(INDEX(부서매핑!$C$5:$C$504,MATCH($G1686&amp;"",부서매핑!$A$5:$A$504,0)),"미매핑"))</f>
        <v/>
      </c>
      <c r="O1686" s="9">
        <f>IF($A1686="","",N1686&amp;"|"&amp;$F1686)</f>
        <v/>
      </c>
      <c r="P1686" s="77">
        <f>IF($A1686="",0,$H1686*설정!$C$23)</f>
        <v/>
      </c>
      <c r="Q1686" s="39">
        <f>IF($A1686="","",IF(O1686&lt;&gt;원인분석!$C$9,"",IF(AND(M1686&gt;=원인분석!$C$10,M1686&lt;=원인분석!$C$11),"당기",IF(AND(M1686&gt;=원인분석!$C$12,M1686&lt;=원인분석!$C$13),"비교",""))))</f>
        <v/>
      </c>
      <c r="R1686" s="9">
        <f>IF(Q1686="","",$K1686&amp;"")</f>
        <v/>
      </c>
      <c r="S1686" s="9">
        <f>IF(Q1686="","",IF(MATCH(R1686,$R$5:$R$100000,0)=ROW()-4,ROW(),""))</f>
        <v/>
      </c>
      <c r="T1686" s="9">
        <f>IF(Q1686="당기",ABS(P1686)+ROW()/1000000000,"")</f>
        <v/>
      </c>
      <c r="U1686" s="9">
        <f>IF(Q1686="비교",ABS(P1686)+ROW()/1000000000,"")</f>
        <v/>
      </c>
      <c r="V1686" s="39">
        <f>IF($A1686="","",IF(COUNTIF(변동분석!$E$7:$E$506,O1686)&gt;0,"Y","N"))</f>
        <v/>
      </c>
      <c r="W1686" s="39">
        <f>IF($A1686="","",IFERROR(INDEX(계정매핑!$D$5:$D$504,MATCH($F1686&amp;"",계정매핑!$A$5:$A$504,0)),"미매핑"))</f>
        <v/>
      </c>
      <c r="X1686" s="9">
        <f>IF($A1686="","",$F1686&amp;"")</f>
        <v/>
      </c>
    </row>
    <row r="1687">
      <c r="A1687" s="75" t="n">
        <v>2025</v>
      </c>
      <c r="B1687" s="75" t="n">
        <v>9</v>
      </c>
      <c r="C1687" s="75" t="inlineStr">
        <is>
          <t>5100001683</t>
        </is>
      </c>
      <c r="D1687" s="78" t="n">
        <v>45917</v>
      </c>
      <c r="E1687" s="75" t="inlineStr">
        <is>
          <t>KR</t>
        </is>
      </c>
      <c r="F1687" s="75" t="n">
        <v>62301000</v>
      </c>
      <c r="G1687" s="75" t="n">
        <v>1801</v>
      </c>
      <c r="H1687" s="76" t="n">
        <v>362000</v>
      </c>
      <c r="I1687" s="75" t="inlineStr">
        <is>
          <t>9월 소모품 구입 - R문구</t>
        </is>
      </c>
      <c r="J1687" s="75" t="inlineStr">
        <is>
          <t>V10018</t>
        </is>
      </c>
      <c r="K1687" s="75" t="inlineStr">
        <is>
          <t>R문구</t>
        </is>
      </c>
      <c r="M1687" s="9">
        <f>IF($A1687="","",VALUE($A1687&amp;"")*12+VALUE($B1687&amp;""))</f>
        <v/>
      </c>
      <c r="N1687" s="39">
        <f>IF($A1687="","",IFERROR(INDEX(부서매핑!$C$5:$C$504,MATCH($G1687&amp;"",부서매핑!$A$5:$A$504,0)),"미매핑"))</f>
        <v/>
      </c>
      <c r="O1687" s="9">
        <f>IF($A1687="","",N1687&amp;"|"&amp;$F1687)</f>
        <v/>
      </c>
      <c r="P1687" s="77">
        <f>IF($A1687="",0,$H1687*설정!$C$23)</f>
        <v/>
      </c>
      <c r="Q1687" s="39">
        <f>IF($A1687="","",IF(O1687&lt;&gt;원인분석!$C$9,"",IF(AND(M1687&gt;=원인분석!$C$10,M1687&lt;=원인분석!$C$11),"당기",IF(AND(M1687&gt;=원인분석!$C$12,M1687&lt;=원인분석!$C$13),"비교",""))))</f>
        <v/>
      </c>
      <c r="R1687" s="9">
        <f>IF(Q1687="","",$K1687&amp;"")</f>
        <v/>
      </c>
      <c r="S1687" s="9">
        <f>IF(Q1687="","",IF(MATCH(R1687,$R$5:$R$100000,0)=ROW()-4,ROW(),""))</f>
        <v/>
      </c>
      <c r="T1687" s="9">
        <f>IF(Q1687="당기",ABS(P1687)+ROW()/1000000000,"")</f>
        <v/>
      </c>
      <c r="U1687" s="9">
        <f>IF(Q1687="비교",ABS(P1687)+ROW()/1000000000,"")</f>
        <v/>
      </c>
      <c r="V1687" s="39">
        <f>IF($A1687="","",IF(COUNTIF(변동분석!$E$7:$E$506,O1687)&gt;0,"Y","N"))</f>
        <v/>
      </c>
      <c r="W1687" s="39">
        <f>IF($A1687="","",IFERROR(INDEX(계정매핑!$D$5:$D$504,MATCH($F1687&amp;"",계정매핑!$A$5:$A$504,0)),"미매핑"))</f>
        <v/>
      </c>
      <c r="X1687" s="9">
        <f>IF($A1687="","",$F1687&amp;"")</f>
        <v/>
      </c>
    </row>
    <row r="1688">
      <c r="A1688" s="75" t="n">
        <v>2025</v>
      </c>
      <c r="B1688" s="75" t="n">
        <v>9</v>
      </c>
      <c r="C1688" s="75" t="inlineStr">
        <is>
          <t>5100001684</t>
        </is>
      </c>
      <c r="D1688" s="78" t="n">
        <v>45917</v>
      </c>
      <c r="E1688" s="75" t="inlineStr">
        <is>
          <t>KR</t>
        </is>
      </c>
      <c r="F1688" s="75" t="n">
        <v>62401000</v>
      </c>
      <c r="G1688" s="75" t="n">
        <v>1401</v>
      </c>
      <c r="H1688" s="76" t="n">
        <v>459000</v>
      </c>
      <c r="I1688" s="75" t="inlineStr">
        <is>
          <t>9월 인쇄물 제작 - G인쇄</t>
        </is>
      </c>
      <c r="J1688" s="75" t="inlineStr">
        <is>
          <t>V10004</t>
        </is>
      </c>
      <c r="K1688" s="75" t="inlineStr">
        <is>
          <t>G인쇄</t>
        </is>
      </c>
      <c r="M1688" s="9">
        <f>IF($A1688="","",VALUE($A1688&amp;"")*12+VALUE($B1688&amp;""))</f>
        <v/>
      </c>
      <c r="N1688" s="39">
        <f>IF($A1688="","",IFERROR(INDEX(부서매핑!$C$5:$C$504,MATCH($G1688&amp;"",부서매핑!$A$5:$A$504,0)),"미매핑"))</f>
        <v/>
      </c>
      <c r="O1688" s="9">
        <f>IF($A1688="","",N1688&amp;"|"&amp;$F1688)</f>
        <v/>
      </c>
      <c r="P1688" s="77">
        <f>IF($A1688="",0,$H1688*설정!$C$23)</f>
        <v/>
      </c>
      <c r="Q1688" s="39">
        <f>IF($A1688="","",IF(O1688&lt;&gt;원인분석!$C$9,"",IF(AND(M1688&gt;=원인분석!$C$10,M1688&lt;=원인분석!$C$11),"당기",IF(AND(M1688&gt;=원인분석!$C$12,M1688&lt;=원인분석!$C$13),"비교",""))))</f>
        <v/>
      </c>
      <c r="R1688" s="9">
        <f>IF(Q1688="","",$K1688&amp;"")</f>
        <v/>
      </c>
      <c r="S1688" s="9">
        <f>IF(Q1688="","",IF(MATCH(R1688,$R$5:$R$100000,0)=ROW()-4,ROW(),""))</f>
        <v/>
      </c>
      <c r="T1688" s="9">
        <f>IF(Q1688="당기",ABS(P1688)+ROW()/1000000000,"")</f>
        <v/>
      </c>
      <c r="U1688" s="9">
        <f>IF(Q1688="비교",ABS(P1688)+ROW()/1000000000,"")</f>
        <v/>
      </c>
      <c r="V1688" s="39">
        <f>IF($A1688="","",IF(COUNTIF(변동분석!$E$7:$E$506,O1688)&gt;0,"Y","N"))</f>
        <v/>
      </c>
      <c r="W1688" s="39">
        <f>IF($A1688="","",IFERROR(INDEX(계정매핑!$D$5:$D$504,MATCH($F1688&amp;"",계정매핑!$A$5:$A$504,0)),"미매핑"))</f>
        <v/>
      </c>
      <c r="X1688" s="9">
        <f>IF($A1688="","",$F1688&amp;"")</f>
        <v/>
      </c>
    </row>
    <row r="1689">
      <c r="A1689" s="75" t="n">
        <v>2025</v>
      </c>
      <c r="B1689" s="75" t="n">
        <v>9</v>
      </c>
      <c r="C1689" s="75" t="inlineStr">
        <is>
          <t>5100001685</t>
        </is>
      </c>
      <c r="D1689" s="78" t="n">
        <v>45917</v>
      </c>
      <c r="E1689" s="75" t="inlineStr">
        <is>
          <t>KR</t>
        </is>
      </c>
      <c r="F1689" s="75" t="n">
        <v>62902000</v>
      </c>
      <c r="G1689" s="75" t="n">
        <v>1801</v>
      </c>
      <c r="H1689" s="76" t="n">
        <v>1780000</v>
      </c>
      <c r="I1689" s="75" t="inlineStr">
        <is>
          <t>9월 콜 위탁 수수료(건별)</t>
        </is>
      </c>
      <c r="J1689" s="75" t="inlineStr">
        <is>
          <t>V10013</t>
        </is>
      </c>
      <c r="K1689" s="75" t="inlineStr">
        <is>
          <t>J콜센터</t>
        </is>
      </c>
      <c r="M1689" s="9">
        <f>IF($A1689="","",VALUE($A1689&amp;"")*12+VALUE($B1689&amp;""))</f>
        <v/>
      </c>
      <c r="N1689" s="39">
        <f>IF($A1689="","",IFERROR(INDEX(부서매핑!$C$5:$C$504,MATCH($G1689&amp;"",부서매핑!$A$5:$A$504,0)),"미매핑"))</f>
        <v/>
      </c>
      <c r="O1689" s="9">
        <f>IF($A1689="","",N1689&amp;"|"&amp;$F1689)</f>
        <v/>
      </c>
      <c r="P1689" s="77">
        <f>IF($A1689="",0,$H1689*설정!$C$23)</f>
        <v/>
      </c>
      <c r="Q1689" s="39">
        <f>IF($A1689="","",IF(O1689&lt;&gt;원인분석!$C$9,"",IF(AND(M1689&gt;=원인분석!$C$10,M1689&lt;=원인분석!$C$11),"당기",IF(AND(M1689&gt;=원인분석!$C$12,M1689&lt;=원인분석!$C$13),"비교",""))))</f>
        <v/>
      </c>
      <c r="R1689" s="9">
        <f>IF(Q1689="","",$K1689&amp;"")</f>
        <v/>
      </c>
      <c r="S1689" s="9">
        <f>IF(Q1689="","",IF(MATCH(R1689,$R$5:$R$100000,0)=ROW()-4,ROW(),""))</f>
        <v/>
      </c>
      <c r="T1689" s="9">
        <f>IF(Q1689="당기",ABS(P1689)+ROW()/1000000000,"")</f>
        <v/>
      </c>
      <c r="U1689" s="9">
        <f>IF(Q1689="비교",ABS(P1689)+ROW()/1000000000,"")</f>
        <v/>
      </c>
      <c r="V1689" s="39">
        <f>IF($A1689="","",IF(COUNTIF(변동분석!$E$7:$E$506,O1689)&gt;0,"Y","N"))</f>
        <v/>
      </c>
      <c r="W1689" s="39">
        <f>IF($A1689="","",IFERROR(INDEX(계정매핑!$D$5:$D$504,MATCH($F1689&amp;"",계정매핑!$A$5:$A$504,0)),"미매핑"))</f>
        <v/>
      </c>
      <c r="X1689" s="9">
        <f>IF($A1689="","",$F1689&amp;"")</f>
        <v/>
      </c>
    </row>
    <row r="1690">
      <c r="A1690" s="75" t="n">
        <v>2025</v>
      </c>
      <c r="B1690" s="75" t="n">
        <v>9</v>
      </c>
      <c r="C1690" s="75" t="inlineStr">
        <is>
          <t>5100001686</t>
        </is>
      </c>
      <c r="D1690" s="78" t="n">
        <v>45917</v>
      </c>
      <c r="E1690" s="75" t="inlineStr">
        <is>
          <t>KR</t>
        </is>
      </c>
      <c r="F1690" s="75" t="n">
        <v>62902000</v>
      </c>
      <c r="G1690" s="75" t="n">
        <v>1801</v>
      </c>
      <c r="H1690" s="76" t="n">
        <v>1845000</v>
      </c>
      <c r="I1690" s="75" t="inlineStr">
        <is>
          <t>9월 콜 위탁 수수료(건별)</t>
        </is>
      </c>
      <c r="J1690" s="75" t="inlineStr">
        <is>
          <t>V10013</t>
        </is>
      </c>
      <c r="K1690" s="75" t="inlineStr">
        <is>
          <t>J콜센터</t>
        </is>
      </c>
      <c r="M1690" s="9">
        <f>IF($A1690="","",VALUE($A1690&amp;"")*12+VALUE($B1690&amp;""))</f>
        <v/>
      </c>
      <c r="N1690" s="39">
        <f>IF($A1690="","",IFERROR(INDEX(부서매핑!$C$5:$C$504,MATCH($G1690&amp;"",부서매핑!$A$5:$A$504,0)),"미매핑"))</f>
        <v/>
      </c>
      <c r="O1690" s="9">
        <f>IF($A1690="","",N1690&amp;"|"&amp;$F1690)</f>
        <v/>
      </c>
      <c r="P1690" s="77">
        <f>IF($A1690="",0,$H1690*설정!$C$23)</f>
        <v/>
      </c>
      <c r="Q1690" s="39">
        <f>IF($A1690="","",IF(O1690&lt;&gt;원인분석!$C$9,"",IF(AND(M1690&gt;=원인분석!$C$10,M1690&lt;=원인분석!$C$11),"당기",IF(AND(M1690&gt;=원인분석!$C$12,M1690&lt;=원인분석!$C$13),"비교",""))))</f>
        <v/>
      </c>
      <c r="R1690" s="9">
        <f>IF(Q1690="","",$K1690&amp;"")</f>
        <v/>
      </c>
      <c r="S1690" s="9">
        <f>IF(Q1690="","",IF(MATCH(R1690,$R$5:$R$100000,0)=ROW()-4,ROW(),""))</f>
        <v/>
      </c>
      <c r="T1690" s="9">
        <f>IF(Q1690="당기",ABS(P1690)+ROW()/1000000000,"")</f>
        <v/>
      </c>
      <c r="U1690" s="9">
        <f>IF(Q1690="비교",ABS(P1690)+ROW()/1000000000,"")</f>
        <v/>
      </c>
      <c r="V1690" s="39">
        <f>IF($A1690="","",IF(COUNTIF(변동분석!$E$7:$E$506,O1690)&gt;0,"Y","N"))</f>
        <v/>
      </c>
      <c r="W1690" s="39">
        <f>IF($A1690="","",IFERROR(INDEX(계정매핑!$D$5:$D$504,MATCH($F1690&amp;"",계정매핑!$A$5:$A$504,0)),"미매핑"))</f>
        <v/>
      </c>
      <c r="X1690" s="9">
        <f>IF($A1690="","",$F1690&amp;"")</f>
        <v/>
      </c>
    </row>
    <row r="1691">
      <c r="A1691" s="75" t="n">
        <v>2025</v>
      </c>
      <c r="B1691" s="75" t="n">
        <v>9</v>
      </c>
      <c r="C1691" s="75" t="inlineStr">
        <is>
          <t>5100001687</t>
        </is>
      </c>
      <c r="D1691" s="78" t="n">
        <v>45918</v>
      </c>
      <c r="E1691" s="75" t="inlineStr">
        <is>
          <t>KR</t>
        </is>
      </c>
      <c r="F1691" s="75" t="n">
        <v>62101000</v>
      </c>
      <c r="G1691" s="75" t="n">
        <v>1101</v>
      </c>
      <c r="H1691" s="76" t="n">
        <v>565000</v>
      </c>
      <c r="I1691" s="75" t="inlineStr">
        <is>
          <t>9월 국내출장 - M항공</t>
        </is>
      </c>
      <c r="J1691" s="75" t="inlineStr">
        <is>
          <t>V10001</t>
        </is>
      </c>
      <c r="K1691" s="75" t="inlineStr">
        <is>
          <t>M항공</t>
        </is>
      </c>
      <c r="M1691" s="9">
        <f>IF($A1691="","",VALUE($A1691&amp;"")*12+VALUE($B1691&amp;""))</f>
        <v/>
      </c>
      <c r="N1691" s="39">
        <f>IF($A1691="","",IFERROR(INDEX(부서매핑!$C$5:$C$504,MATCH($G1691&amp;"",부서매핑!$A$5:$A$504,0)),"미매핑"))</f>
        <v/>
      </c>
      <c r="O1691" s="9">
        <f>IF($A1691="","",N1691&amp;"|"&amp;$F1691)</f>
        <v/>
      </c>
      <c r="P1691" s="77">
        <f>IF($A1691="",0,$H1691*설정!$C$23)</f>
        <v/>
      </c>
      <c r="Q1691" s="39">
        <f>IF($A1691="","",IF(O1691&lt;&gt;원인분석!$C$9,"",IF(AND(M1691&gt;=원인분석!$C$10,M1691&lt;=원인분석!$C$11),"당기",IF(AND(M1691&gt;=원인분석!$C$12,M1691&lt;=원인분석!$C$13),"비교",""))))</f>
        <v/>
      </c>
      <c r="R1691" s="9">
        <f>IF(Q1691="","",$K1691&amp;"")</f>
        <v/>
      </c>
      <c r="S1691" s="9">
        <f>IF(Q1691="","",IF(MATCH(R1691,$R$5:$R$100000,0)=ROW()-4,ROW(),""))</f>
        <v/>
      </c>
      <c r="T1691" s="9">
        <f>IF(Q1691="당기",ABS(P1691)+ROW()/1000000000,"")</f>
        <v/>
      </c>
      <c r="U1691" s="9">
        <f>IF(Q1691="비교",ABS(P1691)+ROW()/1000000000,"")</f>
        <v/>
      </c>
      <c r="V1691" s="39">
        <f>IF($A1691="","",IF(COUNTIF(변동분석!$E$7:$E$506,O1691)&gt;0,"Y","N"))</f>
        <v/>
      </c>
      <c r="W1691" s="39">
        <f>IF($A1691="","",IFERROR(INDEX(계정매핑!$D$5:$D$504,MATCH($F1691&amp;"",계정매핑!$A$5:$A$504,0)),"미매핑"))</f>
        <v/>
      </c>
      <c r="X1691" s="9">
        <f>IF($A1691="","",$F1691&amp;"")</f>
        <v/>
      </c>
    </row>
    <row r="1692">
      <c r="A1692" s="75" t="n">
        <v>2025</v>
      </c>
      <c r="B1692" s="75" t="n">
        <v>9</v>
      </c>
      <c r="C1692" s="75" t="inlineStr">
        <is>
          <t>5100001688</t>
        </is>
      </c>
      <c r="D1692" s="78" t="n">
        <v>45918</v>
      </c>
      <c r="E1692" s="75" t="inlineStr">
        <is>
          <t>KR</t>
        </is>
      </c>
      <c r="F1692" s="75" t="n">
        <v>62101000</v>
      </c>
      <c r="G1692" s="75" t="n">
        <v>1401</v>
      </c>
      <c r="H1692" s="76" t="n">
        <v>377000</v>
      </c>
      <c r="I1692" s="75" t="inlineStr">
        <is>
          <t>9월 국내출장 - (법인카드)</t>
        </is>
      </c>
      <c r="J1692" s="75" t="inlineStr">
        <is>
          <t>V10008</t>
        </is>
      </c>
      <c r="K1692" s="75" t="inlineStr">
        <is>
          <t>(법인카드)</t>
        </is>
      </c>
      <c r="M1692" s="9">
        <f>IF($A1692="","",VALUE($A1692&amp;"")*12+VALUE($B1692&amp;""))</f>
        <v/>
      </c>
      <c r="N1692" s="39">
        <f>IF($A1692="","",IFERROR(INDEX(부서매핑!$C$5:$C$504,MATCH($G1692&amp;"",부서매핑!$A$5:$A$504,0)),"미매핑"))</f>
        <v/>
      </c>
      <c r="O1692" s="9">
        <f>IF($A1692="","",N1692&amp;"|"&amp;$F1692)</f>
        <v/>
      </c>
      <c r="P1692" s="77">
        <f>IF($A1692="",0,$H1692*설정!$C$23)</f>
        <v/>
      </c>
      <c r="Q1692" s="39">
        <f>IF($A1692="","",IF(O1692&lt;&gt;원인분석!$C$9,"",IF(AND(M1692&gt;=원인분석!$C$10,M1692&lt;=원인분석!$C$11),"당기",IF(AND(M1692&gt;=원인분석!$C$12,M1692&lt;=원인분석!$C$13),"비교",""))))</f>
        <v/>
      </c>
      <c r="R1692" s="9">
        <f>IF(Q1692="","",$K1692&amp;"")</f>
        <v/>
      </c>
      <c r="S1692" s="9">
        <f>IF(Q1692="","",IF(MATCH(R1692,$R$5:$R$100000,0)=ROW()-4,ROW(),""))</f>
        <v/>
      </c>
      <c r="T1692" s="9">
        <f>IF(Q1692="당기",ABS(P1692)+ROW()/1000000000,"")</f>
        <v/>
      </c>
      <c r="U1692" s="9">
        <f>IF(Q1692="비교",ABS(P1692)+ROW()/1000000000,"")</f>
        <v/>
      </c>
      <c r="V1692" s="39">
        <f>IF($A1692="","",IF(COUNTIF(변동분석!$E$7:$E$506,O1692)&gt;0,"Y","N"))</f>
        <v/>
      </c>
      <c r="W1692" s="39">
        <f>IF($A1692="","",IFERROR(INDEX(계정매핑!$D$5:$D$504,MATCH($F1692&amp;"",계정매핑!$A$5:$A$504,0)),"미매핑"))</f>
        <v/>
      </c>
      <c r="X1692" s="9">
        <f>IF($A1692="","",$F1692&amp;"")</f>
        <v/>
      </c>
    </row>
    <row r="1693">
      <c r="A1693" s="75" t="n">
        <v>2025</v>
      </c>
      <c r="B1693" s="75" t="n">
        <v>9</v>
      </c>
      <c r="C1693" s="75" t="inlineStr">
        <is>
          <t>5100001689</t>
        </is>
      </c>
      <c r="D1693" s="78" t="n">
        <v>45918</v>
      </c>
      <c r="E1693" s="75" t="inlineStr">
        <is>
          <t>KR</t>
        </is>
      </c>
      <c r="F1693" s="75" t="n">
        <v>62101000</v>
      </c>
      <c r="G1693" s="75" t="n">
        <v>1701</v>
      </c>
      <c r="H1693" s="76" t="n">
        <v>163000</v>
      </c>
      <c r="I1693" s="75" t="inlineStr">
        <is>
          <t>9월 국내출장 - M항공</t>
        </is>
      </c>
      <c r="J1693" s="75" t="inlineStr">
        <is>
          <t>V10001</t>
        </is>
      </c>
      <c r="K1693" s="75" t="inlineStr">
        <is>
          <t>M항공</t>
        </is>
      </c>
      <c r="M1693" s="9">
        <f>IF($A1693="","",VALUE($A1693&amp;"")*12+VALUE($B1693&amp;""))</f>
        <v/>
      </c>
      <c r="N1693" s="39">
        <f>IF($A1693="","",IFERROR(INDEX(부서매핑!$C$5:$C$504,MATCH($G1693&amp;"",부서매핑!$A$5:$A$504,0)),"미매핑"))</f>
        <v/>
      </c>
      <c r="O1693" s="9">
        <f>IF($A1693="","",N1693&amp;"|"&amp;$F1693)</f>
        <v/>
      </c>
      <c r="P1693" s="77">
        <f>IF($A1693="",0,$H1693*설정!$C$23)</f>
        <v/>
      </c>
      <c r="Q1693" s="39">
        <f>IF($A1693="","",IF(O1693&lt;&gt;원인분석!$C$9,"",IF(AND(M1693&gt;=원인분석!$C$10,M1693&lt;=원인분석!$C$11),"당기",IF(AND(M1693&gt;=원인분석!$C$12,M1693&lt;=원인분석!$C$13),"비교",""))))</f>
        <v/>
      </c>
      <c r="R1693" s="9">
        <f>IF(Q1693="","",$K1693&amp;"")</f>
        <v/>
      </c>
      <c r="S1693" s="9">
        <f>IF(Q1693="","",IF(MATCH(R1693,$R$5:$R$100000,0)=ROW()-4,ROW(),""))</f>
        <v/>
      </c>
      <c r="T1693" s="9">
        <f>IF(Q1693="당기",ABS(P1693)+ROW()/1000000000,"")</f>
        <v/>
      </c>
      <c r="U1693" s="9">
        <f>IF(Q1693="비교",ABS(P1693)+ROW()/1000000000,"")</f>
        <v/>
      </c>
      <c r="V1693" s="39">
        <f>IF($A1693="","",IF(COUNTIF(변동분석!$E$7:$E$506,O1693)&gt;0,"Y","N"))</f>
        <v/>
      </c>
      <c r="W1693" s="39">
        <f>IF($A1693="","",IFERROR(INDEX(계정매핑!$D$5:$D$504,MATCH($F1693&amp;"",계정매핑!$A$5:$A$504,0)),"미매핑"))</f>
        <v/>
      </c>
      <c r="X1693" s="9">
        <f>IF($A1693="","",$F1693&amp;"")</f>
        <v/>
      </c>
    </row>
    <row r="1694">
      <c r="A1694" s="75" t="n">
        <v>2025</v>
      </c>
      <c r="B1694" s="75" t="n">
        <v>9</v>
      </c>
      <c r="C1694" s="75" t="inlineStr">
        <is>
          <t>5100001690</t>
        </is>
      </c>
      <c r="D1694" s="78" t="n">
        <v>45918</v>
      </c>
      <c r="E1694" s="75" t="inlineStr">
        <is>
          <t>KR</t>
        </is>
      </c>
      <c r="F1694" s="75" t="n">
        <v>62102000</v>
      </c>
      <c r="G1694" s="75" t="n">
        <v>1502</v>
      </c>
      <c r="H1694" s="76" t="n">
        <v>143000</v>
      </c>
      <c r="I1694" s="75" t="inlineStr">
        <is>
          <t>9월 해외출장 - N호텔</t>
        </is>
      </c>
      <c r="J1694" s="75" t="inlineStr">
        <is>
          <t>V10007</t>
        </is>
      </c>
      <c r="K1694" s="75" t="inlineStr">
        <is>
          <t>N호텔</t>
        </is>
      </c>
      <c r="M1694" s="9">
        <f>IF($A1694="","",VALUE($A1694&amp;"")*12+VALUE($B1694&amp;""))</f>
        <v/>
      </c>
      <c r="N1694" s="39">
        <f>IF($A1694="","",IFERROR(INDEX(부서매핑!$C$5:$C$504,MATCH($G1694&amp;"",부서매핑!$A$5:$A$504,0)),"미매핑"))</f>
        <v/>
      </c>
      <c r="O1694" s="9">
        <f>IF($A1694="","",N1694&amp;"|"&amp;$F1694)</f>
        <v/>
      </c>
      <c r="P1694" s="77">
        <f>IF($A1694="",0,$H1694*설정!$C$23)</f>
        <v/>
      </c>
      <c r="Q1694" s="39">
        <f>IF($A1694="","",IF(O1694&lt;&gt;원인분석!$C$9,"",IF(AND(M1694&gt;=원인분석!$C$10,M1694&lt;=원인분석!$C$11),"당기",IF(AND(M1694&gt;=원인분석!$C$12,M1694&lt;=원인분석!$C$13),"비교",""))))</f>
        <v/>
      </c>
      <c r="R1694" s="9">
        <f>IF(Q1694="","",$K1694&amp;"")</f>
        <v/>
      </c>
      <c r="S1694" s="9">
        <f>IF(Q1694="","",IF(MATCH(R1694,$R$5:$R$100000,0)=ROW()-4,ROW(),""))</f>
        <v/>
      </c>
      <c r="T1694" s="9">
        <f>IF(Q1694="당기",ABS(P1694)+ROW()/1000000000,"")</f>
        <v/>
      </c>
      <c r="U1694" s="9">
        <f>IF(Q1694="비교",ABS(P1694)+ROW()/1000000000,"")</f>
        <v/>
      </c>
      <c r="V1694" s="39">
        <f>IF($A1694="","",IF(COUNTIF(변동분석!$E$7:$E$506,O1694)&gt;0,"Y","N"))</f>
        <v/>
      </c>
      <c r="W1694" s="39">
        <f>IF($A1694="","",IFERROR(INDEX(계정매핑!$D$5:$D$504,MATCH($F1694&amp;"",계정매핑!$A$5:$A$504,0)),"미매핑"))</f>
        <v/>
      </c>
      <c r="X1694" s="9">
        <f>IF($A1694="","",$F1694&amp;"")</f>
        <v/>
      </c>
    </row>
    <row r="1695">
      <c r="A1695" s="75" t="n">
        <v>2025</v>
      </c>
      <c r="B1695" s="75" t="n">
        <v>9</v>
      </c>
      <c r="C1695" s="75" t="inlineStr">
        <is>
          <t>5100001691</t>
        </is>
      </c>
      <c r="D1695" s="78" t="n">
        <v>45918</v>
      </c>
      <c r="E1695" s="75" t="inlineStr">
        <is>
          <t>KR</t>
        </is>
      </c>
      <c r="F1695" s="75" t="n">
        <v>62301000</v>
      </c>
      <c r="G1695" s="75" t="n">
        <v>1801</v>
      </c>
      <c r="H1695" s="76" t="n">
        <v>403000</v>
      </c>
      <c r="I1695" s="75" t="inlineStr">
        <is>
          <t>9월 소모품 구입 - Q오피스</t>
        </is>
      </c>
      <c r="J1695" s="75" t="inlineStr">
        <is>
          <t>V10003</t>
        </is>
      </c>
      <c r="K1695" s="75" t="inlineStr">
        <is>
          <t>Q오피스</t>
        </is>
      </c>
      <c r="M1695" s="9">
        <f>IF($A1695="","",VALUE($A1695&amp;"")*12+VALUE($B1695&amp;""))</f>
        <v/>
      </c>
      <c r="N1695" s="39">
        <f>IF($A1695="","",IFERROR(INDEX(부서매핑!$C$5:$C$504,MATCH($G1695&amp;"",부서매핑!$A$5:$A$504,0)),"미매핑"))</f>
        <v/>
      </c>
      <c r="O1695" s="9">
        <f>IF($A1695="","",N1695&amp;"|"&amp;$F1695)</f>
        <v/>
      </c>
      <c r="P1695" s="77">
        <f>IF($A1695="",0,$H1695*설정!$C$23)</f>
        <v/>
      </c>
      <c r="Q1695" s="39">
        <f>IF($A1695="","",IF(O1695&lt;&gt;원인분석!$C$9,"",IF(AND(M1695&gt;=원인분석!$C$10,M1695&lt;=원인분석!$C$11),"당기",IF(AND(M1695&gt;=원인분석!$C$12,M1695&lt;=원인분석!$C$13),"비교",""))))</f>
        <v/>
      </c>
      <c r="R1695" s="9">
        <f>IF(Q1695="","",$K1695&amp;"")</f>
        <v/>
      </c>
      <c r="S1695" s="9">
        <f>IF(Q1695="","",IF(MATCH(R1695,$R$5:$R$100000,0)=ROW()-4,ROW(),""))</f>
        <v/>
      </c>
      <c r="T1695" s="9">
        <f>IF(Q1695="당기",ABS(P1695)+ROW()/1000000000,"")</f>
        <v/>
      </c>
      <c r="U1695" s="9">
        <f>IF(Q1695="비교",ABS(P1695)+ROW()/1000000000,"")</f>
        <v/>
      </c>
      <c r="V1695" s="39">
        <f>IF($A1695="","",IF(COUNTIF(변동분석!$E$7:$E$506,O1695)&gt;0,"Y","N"))</f>
        <v/>
      </c>
      <c r="W1695" s="39">
        <f>IF($A1695="","",IFERROR(INDEX(계정매핑!$D$5:$D$504,MATCH($F1695&amp;"",계정매핑!$A$5:$A$504,0)),"미매핑"))</f>
        <v/>
      </c>
      <c r="X1695" s="9">
        <f>IF($A1695="","",$F1695&amp;"")</f>
        <v/>
      </c>
    </row>
    <row r="1696">
      <c r="A1696" s="75" t="n">
        <v>2025</v>
      </c>
      <c r="B1696" s="75" t="n">
        <v>9</v>
      </c>
      <c r="C1696" s="75" t="inlineStr">
        <is>
          <t>5100001692</t>
        </is>
      </c>
      <c r="D1696" s="78" t="n">
        <v>45918</v>
      </c>
      <c r="E1696" s="75" t="inlineStr">
        <is>
          <t>KR</t>
        </is>
      </c>
      <c r="F1696" s="75" t="n">
        <v>62501000</v>
      </c>
      <c r="G1696" s="75" t="n">
        <v>1602</v>
      </c>
      <c r="H1696" s="76" t="n">
        <v>176000</v>
      </c>
      <c r="I1696" s="75" t="inlineStr">
        <is>
          <t>9월 회의 다과 - T케이터링</t>
        </is>
      </c>
      <c r="J1696" s="75" t="inlineStr">
        <is>
          <t>V10005</t>
        </is>
      </c>
      <c r="K1696" s="75" t="inlineStr">
        <is>
          <t>T케이터링</t>
        </is>
      </c>
      <c r="M1696" s="9">
        <f>IF($A1696="","",VALUE($A1696&amp;"")*12+VALUE($B1696&amp;""))</f>
        <v/>
      </c>
      <c r="N1696" s="39">
        <f>IF($A1696="","",IFERROR(INDEX(부서매핑!$C$5:$C$504,MATCH($G1696&amp;"",부서매핑!$A$5:$A$504,0)),"미매핑"))</f>
        <v/>
      </c>
      <c r="O1696" s="9">
        <f>IF($A1696="","",N1696&amp;"|"&amp;$F1696)</f>
        <v/>
      </c>
      <c r="P1696" s="77">
        <f>IF($A1696="",0,$H1696*설정!$C$23)</f>
        <v/>
      </c>
      <c r="Q1696" s="39">
        <f>IF($A1696="","",IF(O1696&lt;&gt;원인분석!$C$9,"",IF(AND(M1696&gt;=원인분석!$C$10,M1696&lt;=원인분석!$C$11),"당기",IF(AND(M1696&gt;=원인분석!$C$12,M1696&lt;=원인분석!$C$13),"비교",""))))</f>
        <v/>
      </c>
      <c r="R1696" s="9">
        <f>IF(Q1696="","",$K1696&amp;"")</f>
        <v/>
      </c>
      <c r="S1696" s="9">
        <f>IF(Q1696="","",IF(MATCH(R1696,$R$5:$R$100000,0)=ROW()-4,ROW(),""))</f>
        <v/>
      </c>
      <c r="T1696" s="9">
        <f>IF(Q1696="당기",ABS(P1696)+ROW()/1000000000,"")</f>
        <v/>
      </c>
      <c r="U1696" s="9">
        <f>IF(Q1696="비교",ABS(P1696)+ROW()/1000000000,"")</f>
        <v/>
      </c>
      <c r="V1696" s="39">
        <f>IF($A1696="","",IF(COUNTIF(변동분석!$E$7:$E$506,O1696)&gt;0,"Y","N"))</f>
        <v/>
      </c>
      <c r="W1696" s="39">
        <f>IF($A1696="","",IFERROR(INDEX(계정매핑!$D$5:$D$504,MATCH($F1696&amp;"",계정매핑!$A$5:$A$504,0)),"미매핑"))</f>
        <v/>
      </c>
      <c r="X1696" s="9">
        <f>IF($A1696="","",$F1696&amp;"")</f>
        <v/>
      </c>
    </row>
    <row r="1697">
      <c r="A1697" s="75" t="n">
        <v>2025</v>
      </c>
      <c r="B1697" s="75" t="n">
        <v>9</v>
      </c>
      <c r="C1697" s="75" t="inlineStr">
        <is>
          <t>5100001693</t>
        </is>
      </c>
      <c r="D1697" s="78" t="n">
        <v>45919</v>
      </c>
      <c r="E1697" s="75" t="inlineStr">
        <is>
          <t>KR</t>
        </is>
      </c>
      <c r="F1697" s="75" t="n">
        <v>62201000</v>
      </c>
      <c r="G1697" s="75" t="n">
        <v>1301</v>
      </c>
      <c r="H1697" s="76" t="n">
        <v>149000</v>
      </c>
      <c r="I1697" s="75" t="inlineStr">
        <is>
          <t>9월 통신요금 - P통신</t>
        </is>
      </c>
      <c r="J1697" s="75" t="inlineStr">
        <is>
          <t>V10011</t>
        </is>
      </c>
      <c r="K1697" s="75" t="inlineStr">
        <is>
          <t>P통신</t>
        </is>
      </c>
      <c r="M1697" s="9">
        <f>IF($A1697="","",VALUE($A1697&amp;"")*12+VALUE($B1697&amp;""))</f>
        <v/>
      </c>
      <c r="N1697" s="39">
        <f>IF($A1697="","",IFERROR(INDEX(부서매핑!$C$5:$C$504,MATCH($G1697&amp;"",부서매핑!$A$5:$A$504,0)),"미매핑"))</f>
        <v/>
      </c>
      <c r="O1697" s="9">
        <f>IF($A1697="","",N1697&amp;"|"&amp;$F1697)</f>
        <v/>
      </c>
      <c r="P1697" s="77">
        <f>IF($A1697="",0,$H1697*설정!$C$23)</f>
        <v/>
      </c>
      <c r="Q1697" s="39">
        <f>IF($A1697="","",IF(O1697&lt;&gt;원인분석!$C$9,"",IF(AND(M1697&gt;=원인분석!$C$10,M1697&lt;=원인분석!$C$11),"당기",IF(AND(M1697&gt;=원인분석!$C$12,M1697&lt;=원인분석!$C$13),"비교",""))))</f>
        <v/>
      </c>
      <c r="R1697" s="9">
        <f>IF(Q1697="","",$K1697&amp;"")</f>
        <v/>
      </c>
      <c r="S1697" s="9">
        <f>IF(Q1697="","",IF(MATCH(R1697,$R$5:$R$100000,0)=ROW()-4,ROW(),""))</f>
        <v/>
      </c>
      <c r="T1697" s="9">
        <f>IF(Q1697="당기",ABS(P1697)+ROW()/1000000000,"")</f>
        <v/>
      </c>
      <c r="U1697" s="9">
        <f>IF(Q1697="비교",ABS(P1697)+ROW()/1000000000,"")</f>
        <v/>
      </c>
      <c r="V1697" s="39">
        <f>IF($A1697="","",IF(COUNTIF(변동분석!$E$7:$E$506,O1697)&gt;0,"Y","N"))</f>
        <v/>
      </c>
      <c r="W1697" s="39">
        <f>IF($A1697="","",IFERROR(INDEX(계정매핑!$D$5:$D$504,MATCH($F1697&amp;"",계정매핑!$A$5:$A$504,0)),"미매핑"))</f>
        <v/>
      </c>
      <c r="X1697" s="9">
        <f>IF($A1697="","",$F1697&amp;"")</f>
        <v/>
      </c>
    </row>
    <row r="1698">
      <c r="A1698" s="75" t="n">
        <v>2025</v>
      </c>
      <c r="B1698" s="75" t="n">
        <v>9</v>
      </c>
      <c r="C1698" s="75" t="inlineStr">
        <is>
          <t>5100001694</t>
        </is>
      </c>
      <c r="D1698" s="78" t="n">
        <v>45920</v>
      </c>
      <c r="E1698" s="75" t="inlineStr">
        <is>
          <t>KR</t>
        </is>
      </c>
      <c r="F1698" s="75" t="n">
        <v>62101000</v>
      </c>
      <c r="G1698" s="75" t="n">
        <v>1601</v>
      </c>
      <c r="H1698" s="76" t="n">
        <v>1310000</v>
      </c>
      <c r="I1698" s="75" t="inlineStr">
        <is>
          <t>9월 국내출장 - L여행사</t>
        </is>
      </c>
      <c r="J1698" s="75" t="inlineStr">
        <is>
          <t>V10014</t>
        </is>
      </c>
      <c r="K1698" s="75" t="inlineStr">
        <is>
          <t>L여행사</t>
        </is>
      </c>
      <c r="M1698" s="9">
        <f>IF($A1698="","",VALUE($A1698&amp;"")*12+VALUE($B1698&amp;""))</f>
        <v/>
      </c>
      <c r="N1698" s="39">
        <f>IF($A1698="","",IFERROR(INDEX(부서매핑!$C$5:$C$504,MATCH($G1698&amp;"",부서매핑!$A$5:$A$504,0)),"미매핑"))</f>
        <v/>
      </c>
      <c r="O1698" s="9">
        <f>IF($A1698="","",N1698&amp;"|"&amp;$F1698)</f>
        <v/>
      </c>
      <c r="P1698" s="77">
        <f>IF($A1698="",0,$H1698*설정!$C$23)</f>
        <v/>
      </c>
      <c r="Q1698" s="39">
        <f>IF($A1698="","",IF(O1698&lt;&gt;원인분석!$C$9,"",IF(AND(M1698&gt;=원인분석!$C$10,M1698&lt;=원인분석!$C$11),"당기",IF(AND(M1698&gt;=원인분석!$C$12,M1698&lt;=원인분석!$C$13),"비교",""))))</f>
        <v/>
      </c>
      <c r="R1698" s="9">
        <f>IF(Q1698="","",$K1698&amp;"")</f>
        <v/>
      </c>
      <c r="S1698" s="9">
        <f>IF(Q1698="","",IF(MATCH(R1698,$R$5:$R$100000,0)=ROW()-4,ROW(),""))</f>
        <v/>
      </c>
      <c r="T1698" s="9">
        <f>IF(Q1698="당기",ABS(P1698)+ROW()/1000000000,"")</f>
        <v/>
      </c>
      <c r="U1698" s="9">
        <f>IF(Q1698="비교",ABS(P1698)+ROW()/1000000000,"")</f>
        <v/>
      </c>
      <c r="V1698" s="39">
        <f>IF($A1698="","",IF(COUNTIF(변동분석!$E$7:$E$506,O1698)&gt;0,"Y","N"))</f>
        <v/>
      </c>
      <c r="W1698" s="39">
        <f>IF($A1698="","",IFERROR(INDEX(계정매핑!$D$5:$D$504,MATCH($F1698&amp;"",계정매핑!$A$5:$A$504,0)),"미매핑"))</f>
        <v/>
      </c>
      <c r="X1698" s="9">
        <f>IF($A1698="","",$F1698&amp;"")</f>
        <v/>
      </c>
    </row>
    <row r="1699">
      <c r="A1699" s="75" t="n">
        <v>2025</v>
      </c>
      <c r="B1699" s="75" t="n">
        <v>9</v>
      </c>
      <c r="C1699" s="75" t="inlineStr">
        <is>
          <t>5100001695</t>
        </is>
      </c>
      <c r="D1699" s="78" t="n">
        <v>45920</v>
      </c>
      <c r="E1699" s="75" t="inlineStr">
        <is>
          <t>KR</t>
        </is>
      </c>
      <c r="F1699" s="75" t="n">
        <v>62101000</v>
      </c>
      <c r="G1699" s="75" t="n">
        <v>1701</v>
      </c>
      <c r="H1699" s="76" t="n">
        <v>179000</v>
      </c>
      <c r="I1699" s="75" t="inlineStr">
        <is>
          <t>9월 국내출장 - (법인카드)</t>
        </is>
      </c>
      <c r="J1699" s="75" t="inlineStr">
        <is>
          <t>V10008</t>
        </is>
      </c>
      <c r="K1699" s="75" t="inlineStr">
        <is>
          <t>(법인카드)</t>
        </is>
      </c>
      <c r="M1699" s="9">
        <f>IF($A1699="","",VALUE($A1699&amp;"")*12+VALUE($B1699&amp;""))</f>
        <v/>
      </c>
      <c r="N1699" s="39">
        <f>IF($A1699="","",IFERROR(INDEX(부서매핑!$C$5:$C$504,MATCH($G1699&amp;"",부서매핑!$A$5:$A$504,0)),"미매핑"))</f>
        <v/>
      </c>
      <c r="O1699" s="9">
        <f>IF($A1699="","",N1699&amp;"|"&amp;$F1699)</f>
        <v/>
      </c>
      <c r="P1699" s="77">
        <f>IF($A1699="",0,$H1699*설정!$C$23)</f>
        <v/>
      </c>
      <c r="Q1699" s="39">
        <f>IF($A1699="","",IF(O1699&lt;&gt;원인분석!$C$9,"",IF(AND(M1699&gt;=원인분석!$C$10,M1699&lt;=원인분석!$C$11),"당기",IF(AND(M1699&gt;=원인분석!$C$12,M1699&lt;=원인분석!$C$13),"비교",""))))</f>
        <v/>
      </c>
      <c r="R1699" s="9">
        <f>IF(Q1699="","",$K1699&amp;"")</f>
        <v/>
      </c>
      <c r="S1699" s="9">
        <f>IF(Q1699="","",IF(MATCH(R1699,$R$5:$R$100000,0)=ROW()-4,ROW(),""))</f>
        <v/>
      </c>
      <c r="T1699" s="9">
        <f>IF(Q1699="당기",ABS(P1699)+ROW()/1000000000,"")</f>
        <v/>
      </c>
      <c r="U1699" s="9">
        <f>IF(Q1699="비교",ABS(P1699)+ROW()/1000000000,"")</f>
        <v/>
      </c>
      <c r="V1699" s="39">
        <f>IF($A1699="","",IF(COUNTIF(변동분석!$E$7:$E$506,O1699)&gt;0,"Y","N"))</f>
        <v/>
      </c>
      <c r="W1699" s="39">
        <f>IF($A1699="","",IFERROR(INDEX(계정매핑!$D$5:$D$504,MATCH($F1699&amp;"",계정매핑!$A$5:$A$504,0)),"미매핑"))</f>
        <v/>
      </c>
      <c r="X1699" s="9">
        <f>IF($A1699="","",$F1699&amp;"")</f>
        <v/>
      </c>
    </row>
    <row r="1700">
      <c r="A1700" s="75" t="n">
        <v>2025</v>
      </c>
      <c r="B1700" s="75" t="n">
        <v>9</v>
      </c>
      <c r="C1700" s="75" t="inlineStr">
        <is>
          <t>5100001696</t>
        </is>
      </c>
      <c r="D1700" s="78" t="n">
        <v>45920</v>
      </c>
      <c r="E1700" s="75" t="inlineStr">
        <is>
          <t>KR</t>
        </is>
      </c>
      <c r="F1700" s="75" t="n">
        <v>62201000</v>
      </c>
      <c r="G1700" s="75" t="n">
        <v>1301</v>
      </c>
      <c r="H1700" s="76" t="n">
        <v>222000</v>
      </c>
      <c r="I1700" s="75" t="inlineStr">
        <is>
          <t>9월 통신요금 - O텔레콤</t>
        </is>
      </c>
      <c r="J1700" s="75" t="inlineStr">
        <is>
          <t>V10002</t>
        </is>
      </c>
      <c r="K1700" s="75" t="inlineStr">
        <is>
          <t>O텔레콤</t>
        </is>
      </c>
      <c r="M1700" s="9">
        <f>IF($A1700="","",VALUE($A1700&amp;"")*12+VALUE($B1700&amp;""))</f>
        <v/>
      </c>
      <c r="N1700" s="39">
        <f>IF($A1700="","",IFERROR(INDEX(부서매핑!$C$5:$C$504,MATCH($G1700&amp;"",부서매핑!$A$5:$A$504,0)),"미매핑"))</f>
        <v/>
      </c>
      <c r="O1700" s="9">
        <f>IF($A1700="","",N1700&amp;"|"&amp;$F1700)</f>
        <v/>
      </c>
      <c r="P1700" s="77">
        <f>IF($A1700="",0,$H1700*설정!$C$23)</f>
        <v/>
      </c>
      <c r="Q1700" s="39">
        <f>IF($A1700="","",IF(O1700&lt;&gt;원인분석!$C$9,"",IF(AND(M1700&gt;=원인분석!$C$10,M1700&lt;=원인분석!$C$11),"당기",IF(AND(M1700&gt;=원인분석!$C$12,M1700&lt;=원인분석!$C$13),"비교",""))))</f>
        <v/>
      </c>
      <c r="R1700" s="9">
        <f>IF(Q1700="","",$K1700&amp;"")</f>
        <v/>
      </c>
      <c r="S1700" s="9">
        <f>IF(Q1700="","",IF(MATCH(R1700,$R$5:$R$100000,0)=ROW()-4,ROW(),""))</f>
        <v/>
      </c>
      <c r="T1700" s="9">
        <f>IF(Q1700="당기",ABS(P1700)+ROW()/1000000000,"")</f>
        <v/>
      </c>
      <c r="U1700" s="9">
        <f>IF(Q1700="비교",ABS(P1700)+ROW()/1000000000,"")</f>
        <v/>
      </c>
      <c r="V1700" s="39">
        <f>IF($A1700="","",IF(COUNTIF(변동분석!$E$7:$E$506,O1700)&gt;0,"Y","N"))</f>
        <v/>
      </c>
      <c r="W1700" s="39">
        <f>IF($A1700="","",IFERROR(INDEX(계정매핑!$D$5:$D$504,MATCH($F1700&amp;"",계정매핑!$A$5:$A$504,0)),"미매핑"))</f>
        <v/>
      </c>
      <c r="X1700" s="9">
        <f>IF($A1700="","",$F1700&amp;"")</f>
        <v/>
      </c>
    </row>
    <row r="1701">
      <c r="A1701" s="75" t="n">
        <v>2025</v>
      </c>
      <c r="B1701" s="75" t="n">
        <v>9</v>
      </c>
      <c r="C1701" s="75" t="inlineStr">
        <is>
          <t>5100001697</t>
        </is>
      </c>
      <c r="D1701" s="78" t="n">
        <v>45920</v>
      </c>
      <c r="E1701" s="75" t="inlineStr">
        <is>
          <t>KR</t>
        </is>
      </c>
      <c r="F1701" s="75" t="n">
        <v>62501000</v>
      </c>
      <c r="G1701" s="75" t="n">
        <v>1602</v>
      </c>
      <c r="H1701" s="76" t="n">
        <v>372000</v>
      </c>
      <c r="I1701" s="75" t="inlineStr">
        <is>
          <t>9월 회의 다과 - (법인카드)</t>
        </is>
      </c>
      <c r="J1701" s="75" t="inlineStr">
        <is>
          <t>V10008</t>
        </is>
      </c>
      <c r="K1701" s="75" t="inlineStr">
        <is>
          <t>(법인카드)</t>
        </is>
      </c>
      <c r="M1701" s="9">
        <f>IF($A1701="","",VALUE($A1701&amp;"")*12+VALUE($B1701&amp;""))</f>
        <v/>
      </c>
      <c r="N1701" s="39">
        <f>IF($A1701="","",IFERROR(INDEX(부서매핑!$C$5:$C$504,MATCH($G1701&amp;"",부서매핑!$A$5:$A$504,0)),"미매핑"))</f>
        <v/>
      </c>
      <c r="O1701" s="9">
        <f>IF($A1701="","",N1701&amp;"|"&amp;$F1701)</f>
        <v/>
      </c>
      <c r="P1701" s="77">
        <f>IF($A1701="",0,$H1701*설정!$C$23)</f>
        <v/>
      </c>
      <c r="Q1701" s="39">
        <f>IF($A1701="","",IF(O1701&lt;&gt;원인분석!$C$9,"",IF(AND(M1701&gt;=원인분석!$C$10,M1701&lt;=원인분석!$C$11),"당기",IF(AND(M1701&gt;=원인분석!$C$12,M1701&lt;=원인분석!$C$13),"비교",""))))</f>
        <v/>
      </c>
      <c r="R1701" s="9">
        <f>IF(Q1701="","",$K1701&amp;"")</f>
        <v/>
      </c>
      <c r="S1701" s="9">
        <f>IF(Q1701="","",IF(MATCH(R1701,$R$5:$R$100000,0)=ROW()-4,ROW(),""))</f>
        <v/>
      </c>
      <c r="T1701" s="9">
        <f>IF(Q1701="당기",ABS(P1701)+ROW()/1000000000,"")</f>
        <v/>
      </c>
      <c r="U1701" s="9">
        <f>IF(Q1701="비교",ABS(P1701)+ROW()/1000000000,"")</f>
        <v/>
      </c>
      <c r="V1701" s="39">
        <f>IF($A1701="","",IF(COUNTIF(변동분석!$E$7:$E$506,O1701)&gt;0,"Y","N"))</f>
        <v/>
      </c>
      <c r="W1701" s="39">
        <f>IF($A1701="","",IFERROR(INDEX(계정매핑!$D$5:$D$504,MATCH($F1701&amp;"",계정매핑!$A$5:$A$504,0)),"미매핑"))</f>
        <v/>
      </c>
      <c r="X1701" s="9">
        <f>IF($A1701="","",$F1701&amp;"")</f>
        <v/>
      </c>
    </row>
    <row r="1702">
      <c r="A1702" s="75" t="n">
        <v>2025</v>
      </c>
      <c r="B1702" s="75" t="n">
        <v>9</v>
      </c>
      <c r="C1702" s="75" t="inlineStr">
        <is>
          <t>5100001698</t>
        </is>
      </c>
      <c r="D1702" s="78" t="n">
        <v>45920</v>
      </c>
      <c r="E1702" s="75" t="inlineStr">
        <is>
          <t>KR</t>
        </is>
      </c>
      <c r="F1702" s="75" t="n">
        <v>62901000</v>
      </c>
      <c r="G1702" s="75" t="n">
        <v>1401</v>
      </c>
      <c r="H1702" s="76" t="n">
        <v>3712000</v>
      </c>
      <c r="I1702" s="75" t="inlineStr">
        <is>
          <t>9월 자문 수수료 - K회계법인</t>
        </is>
      </c>
      <c r="J1702" s="75" t="inlineStr">
        <is>
          <t>V10010</t>
        </is>
      </c>
      <c r="K1702" s="75" t="inlineStr">
        <is>
          <t>K회계법인</t>
        </is>
      </c>
      <c r="M1702" s="9">
        <f>IF($A1702="","",VALUE($A1702&amp;"")*12+VALUE($B1702&amp;""))</f>
        <v/>
      </c>
      <c r="N1702" s="39">
        <f>IF($A1702="","",IFERROR(INDEX(부서매핑!$C$5:$C$504,MATCH($G1702&amp;"",부서매핑!$A$5:$A$504,0)),"미매핑"))</f>
        <v/>
      </c>
      <c r="O1702" s="9">
        <f>IF($A1702="","",N1702&amp;"|"&amp;$F1702)</f>
        <v/>
      </c>
      <c r="P1702" s="77">
        <f>IF($A1702="",0,$H1702*설정!$C$23)</f>
        <v/>
      </c>
      <c r="Q1702" s="39">
        <f>IF($A1702="","",IF(O1702&lt;&gt;원인분석!$C$9,"",IF(AND(M1702&gt;=원인분석!$C$10,M1702&lt;=원인분석!$C$11),"당기",IF(AND(M1702&gt;=원인분석!$C$12,M1702&lt;=원인분석!$C$13),"비교",""))))</f>
        <v/>
      </c>
      <c r="R1702" s="9">
        <f>IF(Q1702="","",$K1702&amp;"")</f>
        <v/>
      </c>
      <c r="S1702" s="9">
        <f>IF(Q1702="","",IF(MATCH(R1702,$R$5:$R$100000,0)=ROW()-4,ROW(),""))</f>
        <v/>
      </c>
      <c r="T1702" s="9">
        <f>IF(Q1702="당기",ABS(P1702)+ROW()/1000000000,"")</f>
        <v/>
      </c>
      <c r="U1702" s="9">
        <f>IF(Q1702="비교",ABS(P1702)+ROW()/1000000000,"")</f>
        <v/>
      </c>
      <c r="V1702" s="39">
        <f>IF($A1702="","",IF(COUNTIF(변동분석!$E$7:$E$506,O1702)&gt;0,"Y","N"))</f>
        <v/>
      </c>
      <c r="W1702" s="39">
        <f>IF($A1702="","",IFERROR(INDEX(계정매핑!$D$5:$D$504,MATCH($F1702&amp;"",계정매핑!$A$5:$A$504,0)),"미매핑"))</f>
        <v/>
      </c>
      <c r="X1702" s="9">
        <f>IF($A1702="","",$F1702&amp;"")</f>
        <v/>
      </c>
    </row>
    <row r="1703">
      <c r="A1703" s="75" t="n">
        <v>2025</v>
      </c>
      <c r="B1703" s="75" t="n">
        <v>9</v>
      </c>
      <c r="C1703" s="75" t="inlineStr">
        <is>
          <t>5100001699</t>
        </is>
      </c>
      <c r="D1703" s="78" t="n">
        <v>45921</v>
      </c>
      <c r="E1703" s="75" t="inlineStr">
        <is>
          <t>KR</t>
        </is>
      </c>
      <c r="F1703" s="75" t="n">
        <v>62101000</v>
      </c>
      <c r="G1703" s="75" t="n">
        <v>1101</v>
      </c>
      <c r="H1703" s="76" t="n">
        <v>384000</v>
      </c>
      <c r="I1703" s="75" t="inlineStr">
        <is>
          <t>9월 국내출장 - L여행사</t>
        </is>
      </c>
      <c r="J1703" s="75" t="inlineStr">
        <is>
          <t>V10014</t>
        </is>
      </c>
      <c r="K1703" s="75" t="inlineStr">
        <is>
          <t>L여행사</t>
        </is>
      </c>
      <c r="M1703" s="9">
        <f>IF($A1703="","",VALUE($A1703&amp;"")*12+VALUE($B1703&amp;""))</f>
        <v/>
      </c>
      <c r="N1703" s="39">
        <f>IF($A1703="","",IFERROR(INDEX(부서매핑!$C$5:$C$504,MATCH($G1703&amp;"",부서매핑!$A$5:$A$504,0)),"미매핑"))</f>
        <v/>
      </c>
      <c r="O1703" s="9">
        <f>IF($A1703="","",N1703&amp;"|"&amp;$F1703)</f>
        <v/>
      </c>
      <c r="P1703" s="77">
        <f>IF($A1703="",0,$H1703*설정!$C$23)</f>
        <v/>
      </c>
      <c r="Q1703" s="39">
        <f>IF($A1703="","",IF(O1703&lt;&gt;원인분석!$C$9,"",IF(AND(M1703&gt;=원인분석!$C$10,M1703&lt;=원인분석!$C$11),"당기",IF(AND(M1703&gt;=원인분석!$C$12,M1703&lt;=원인분석!$C$13),"비교",""))))</f>
        <v/>
      </c>
      <c r="R1703" s="9">
        <f>IF(Q1703="","",$K1703&amp;"")</f>
        <v/>
      </c>
      <c r="S1703" s="9">
        <f>IF(Q1703="","",IF(MATCH(R1703,$R$5:$R$100000,0)=ROW()-4,ROW(),""))</f>
        <v/>
      </c>
      <c r="T1703" s="9">
        <f>IF(Q1703="당기",ABS(P1703)+ROW()/1000000000,"")</f>
        <v/>
      </c>
      <c r="U1703" s="9">
        <f>IF(Q1703="비교",ABS(P1703)+ROW()/1000000000,"")</f>
        <v/>
      </c>
      <c r="V1703" s="39">
        <f>IF($A1703="","",IF(COUNTIF(변동분석!$E$7:$E$506,O1703)&gt;0,"Y","N"))</f>
        <v/>
      </c>
      <c r="W1703" s="39">
        <f>IF($A1703="","",IFERROR(INDEX(계정매핑!$D$5:$D$504,MATCH($F1703&amp;"",계정매핑!$A$5:$A$504,0)),"미매핑"))</f>
        <v/>
      </c>
      <c r="X1703" s="9">
        <f>IF($A1703="","",$F1703&amp;"")</f>
        <v/>
      </c>
    </row>
    <row r="1704">
      <c r="A1704" s="75" t="n">
        <v>2025</v>
      </c>
      <c r="B1704" s="75" t="n">
        <v>9</v>
      </c>
      <c r="C1704" s="75" t="inlineStr">
        <is>
          <t>5100001700</t>
        </is>
      </c>
      <c r="D1704" s="78" t="n">
        <v>45921</v>
      </c>
      <c r="E1704" s="75" t="inlineStr">
        <is>
          <t>KR</t>
        </is>
      </c>
      <c r="F1704" s="75" t="n">
        <v>62301000</v>
      </c>
      <c r="G1704" s="75" t="n">
        <v>1401</v>
      </c>
      <c r="H1704" s="76" t="n">
        <v>93000</v>
      </c>
      <c r="I1704" s="75" t="inlineStr">
        <is>
          <t>9월 소모품 구입 - R문구</t>
        </is>
      </c>
      <c r="J1704" s="75" t="inlineStr">
        <is>
          <t>V10018</t>
        </is>
      </c>
      <c r="K1704" s="75" t="inlineStr">
        <is>
          <t>R문구</t>
        </is>
      </c>
      <c r="M1704" s="9">
        <f>IF($A1704="","",VALUE($A1704&amp;"")*12+VALUE($B1704&amp;""))</f>
        <v/>
      </c>
      <c r="N1704" s="39">
        <f>IF($A1704="","",IFERROR(INDEX(부서매핑!$C$5:$C$504,MATCH($G1704&amp;"",부서매핑!$A$5:$A$504,0)),"미매핑"))</f>
        <v/>
      </c>
      <c r="O1704" s="9">
        <f>IF($A1704="","",N1704&amp;"|"&amp;$F1704)</f>
        <v/>
      </c>
      <c r="P1704" s="77">
        <f>IF($A1704="",0,$H1704*설정!$C$23)</f>
        <v/>
      </c>
      <c r="Q1704" s="39">
        <f>IF($A1704="","",IF(O1704&lt;&gt;원인분석!$C$9,"",IF(AND(M1704&gt;=원인분석!$C$10,M1704&lt;=원인분석!$C$11),"당기",IF(AND(M1704&gt;=원인분석!$C$12,M1704&lt;=원인분석!$C$13),"비교",""))))</f>
        <v/>
      </c>
      <c r="R1704" s="9">
        <f>IF(Q1704="","",$K1704&amp;"")</f>
        <v/>
      </c>
      <c r="S1704" s="9">
        <f>IF(Q1704="","",IF(MATCH(R1704,$R$5:$R$100000,0)=ROW()-4,ROW(),""))</f>
        <v/>
      </c>
      <c r="T1704" s="9">
        <f>IF(Q1704="당기",ABS(P1704)+ROW()/1000000000,"")</f>
        <v/>
      </c>
      <c r="U1704" s="9">
        <f>IF(Q1704="비교",ABS(P1704)+ROW()/1000000000,"")</f>
        <v/>
      </c>
      <c r="V1704" s="39">
        <f>IF($A1704="","",IF(COUNTIF(변동분석!$E$7:$E$506,O1704)&gt;0,"Y","N"))</f>
        <v/>
      </c>
      <c r="W1704" s="39">
        <f>IF($A1704="","",IFERROR(INDEX(계정매핑!$D$5:$D$504,MATCH($F1704&amp;"",계정매핑!$A$5:$A$504,0)),"미매핑"))</f>
        <v/>
      </c>
      <c r="X1704" s="9">
        <f>IF($A1704="","",$F1704&amp;"")</f>
        <v/>
      </c>
    </row>
    <row r="1705">
      <c r="A1705" s="75" t="n">
        <v>2025</v>
      </c>
      <c r="B1705" s="75" t="n">
        <v>9</v>
      </c>
      <c r="C1705" s="75" t="inlineStr">
        <is>
          <t>5100001701</t>
        </is>
      </c>
      <c r="D1705" s="78" t="n">
        <v>45921</v>
      </c>
      <c r="E1705" s="75" t="inlineStr">
        <is>
          <t>KR</t>
        </is>
      </c>
      <c r="F1705" s="75" t="n">
        <v>62301000</v>
      </c>
      <c r="G1705" s="75" t="n">
        <v>1501</v>
      </c>
      <c r="H1705" s="76" t="n">
        <v>197000</v>
      </c>
      <c r="I1705" s="75" t="inlineStr">
        <is>
          <t>9월 소모품 구입 - Q오피스</t>
        </is>
      </c>
      <c r="J1705" s="75" t="inlineStr">
        <is>
          <t>V10003</t>
        </is>
      </c>
      <c r="K1705" s="75" t="inlineStr">
        <is>
          <t>Q오피스</t>
        </is>
      </c>
      <c r="M1705" s="9">
        <f>IF($A1705="","",VALUE($A1705&amp;"")*12+VALUE($B1705&amp;""))</f>
        <v/>
      </c>
      <c r="N1705" s="39">
        <f>IF($A1705="","",IFERROR(INDEX(부서매핑!$C$5:$C$504,MATCH($G1705&amp;"",부서매핑!$A$5:$A$504,0)),"미매핑"))</f>
        <v/>
      </c>
      <c r="O1705" s="9">
        <f>IF($A1705="","",N1705&amp;"|"&amp;$F1705)</f>
        <v/>
      </c>
      <c r="P1705" s="77">
        <f>IF($A1705="",0,$H1705*설정!$C$23)</f>
        <v/>
      </c>
      <c r="Q1705" s="39">
        <f>IF($A1705="","",IF(O1705&lt;&gt;원인분석!$C$9,"",IF(AND(M1705&gt;=원인분석!$C$10,M1705&lt;=원인분석!$C$11),"당기",IF(AND(M1705&gt;=원인분석!$C$12,M1705&lt;=원인분석!$C$13),"비교",""))))</f>
        <v/>
      </c>
      <c r="R1705" s="9">
        <f>IF(Q1705="","",$K1705&amp;"")</f>
        <v/>
      </c>
      <c r="S1705" s="9">
        <f>IF(Q1705="","",IF(MATCH(R1705,$R$5:$R$100000,0)=ROW()-4,ROW(),""))</f>
        <v/>
      </c>
      <c r="T1705" s="9">
        <f>IF(Q1705="당기",ABS(P1705)+ROW()/1000000000,"")</f>
        <v/>
      </c>
      <c r="U1705" s="9">
        <f>IF(Q1705="비교",ABS(P1705)+ROW()/1000000000,"")</f>
        <v/>
      </c>
      <c r="V1705" s="39">
        <f>IF($A1705="","",IF(COUNTIF(변동분석!$E$7:$E$506,O1705)&gt;0,"Y","N"))</f>
        <v/>
      </c>
      <c r="W1705" s="39">
        <f>IF($A1705="","",IFERROR(INDEX(계정매핑!$D$5:$D$504,MATCH($F1705&amp;"",계정매핑!$A$5:$A$504,0)),"미매핑"))</f>
        <v/>
      </c>
      <c r="X1705" s="9">
        <f>IF($A1705="","",$F1705&amp;"")</f>
        <v/>
      </c>
    </row>
    <row r="1706">
      <c r="A1706" s="75" t="n">
        <v>2025</v>
      </c>
      <c r="B1706" s="75" t="n">
        <v>9</v>
      </c>
      <c r="C1706" s="75" t="inlineStr">
        <is>
          <t>5100001702</t>
        </is>
      </c>
      <c r="D1706" s="78" t="n">
        <v>45921</v>
      </c>
      <c r="E1706" s="75" t="inlineStr">
        <is>
          <t>KR</t>
        </is>
      </c>
      <c r="F1706" s="75" t="n">
        <v>62501000</v>
      </c>
      <c r="G1706" s="75" t="n">
        <v>1201</v>
      </c>
      <c r="H1706" s="76" t="n">
        <v>144000</v>
      </c>
      <c r="I1706" s="75" t="inlineStr">
        <is>
          <t>9월 회의 다과 - (법인카드)</t>
        </is>
      </c>
      <c r="J1706" s="75" t="inlineStr">
        <is>
          <t>V10008</t>
        </is>
      </c>
      <c r="K1706" s="75" t="inlineStr">
        <is>
          <t>(법인카드)</t>
        </is>
      </c>
      <c r="M1706" s="9">
        <f>IF($A1706="","",VALUE($A1706&amp;"")*12+VALUE($B1706&amp;""))</f>
        <v/>
      </c>
      <c r="N1706" s="39">
        <f>IF($A1706="","",IFERROR(INDEX(부서매핑!$C$5:$C$504,MATCH($G1706&amp;"",부서매핑!$A$5:$A$504,0)),"미매핑"))</f>
        <v/>
      </c>
      <c r="O1706" s="9">
        <f>IF($A1706="","",N1706&amp;"|"&amp;$F1706)</f>
        <v/>
      </c>
      <c r="P1706" s="77">
        <f>IF($A1706="",0,$H1706*설정!$C$23)</f>
        <v/>
      </c>
      <c r="Q1706" s="39">
        <f>IF($A1706="","",IF(O1706&lt;&gt;원인분석!$C$9,"",IF(AND(M1706&gt;=원인분석!$C$10,M1706&lt;=원인분석!$C$11),"당기",IF(AND(M1706&gt;=원인분석!$C$12,M1706&lt;=원인분석!$C$13),"비교",""))))</f>
        <v/>
      </c>
      <c r="R1706" s="9">
        <f>IF(Q1706="","",$K1706&amp;"")</f>
        <v/>
      </c>
      <c r="S1706" s="9">
        <f>IF(Q1706="","",IF(MATCH(R1706,$R$5:$R$100000,0)=ROW()-4,ROW(),""))</f>
        <v/>
      </c>
      <c r="T1706" s="9">
        <f>IF(Q1706="당기",ABS(P1706)+ROW()/1000000000,"")</f>
        <v/>
      </c>
      <c r="U1706" s="9">
        <f>IF(Q1706="비교",ABS(P1706)+ROW()/1000000000,"")</f>
        <v/>
      </c>
      <c r="V1706" s="39">
        <f>IF($A1706="","",IF(COUNTIF(변동분석!$E$7:$E$506,O1706)&gt;0,"Y","N"))</f>
        <v/>
      </c>
      <c r="W1706" s="39">
        <f>IF($A1706="","",IFERROR(INDEX(계정매핑!$D$5:$D$504,MATCH($F1706&amp;"",계정매핑!$A$5:$A$504,0)),"미매핑"))</f>
        <v/>
      </c>
      <c r="X1706" s="9">
        <f>IF($A1706="","",$F1706&amp;"")</f>
        <v/>
      </c>
    </row>
    <row r="1707">
      <c r="A1707" s="75" t="n">
        <v>2025</v>
      </c>
      <c r="B1707" s="75" t="n">
        <v>9</v>
      </c>
      <c r="C1707" s="75" t="inlineStr">
        <is>
          <t>5100001703</t>
        </is>
      </c>
      <c r="D1707" s="78" t="n">
        <v>45921</v>
      </c>
      <c r="E1707" s="75" t="inlineStr">
        <is>
          <t>KR</t>
        </is>
      </c>
      <c r="F1707" s="75" t="n">
        <v>62802000</v>
      </c>
      <c r="G1707" s="75" t="n">
        <v>1301</v>
      </c>
      <c r="H1707" s="76" t="n">
        <v>5819000</v>
      </c>
      <c r="I1707" s="75" t="inlineStr">
        <is>
          <t>9월 위탁교육 - V아카데미</t>
        </is>
      </c>
      <c r="J1707" s="75" t="inlineStr">
        <is>
          <t>V10023</t>
        </is>
      </c>
      <c r="K1707" s="75" t="inlineStr">
        <is>
          <t>V아카데미</t>
        </is>
      </c>
      <c r="M1707" s="9">
        <f>IF($A1707="","",VALUE($A1707&amp;"")*12+VALUE($B1707&amp;""))</f>
        <v/>
      </c>
      <c r="N1707" s="39">
        <f>IF($A1707="","",IFERROR(INDEX(부서매핑!$C$5:$C$504,MATCH($G1707&amp;"",부서매핑!$A$5:$A$504,0)),"미매핑"))</f>
        <v/>
      </c>
      <c r="O1707" s="9">
        <f>IF($A1707="","",N1707&amp;"|"&amp;$F1707)</f>
        <v/>
      </c>
      <c r="P1707" s="77">
        <f>IF($A1707="",0,$H1707*설정!$C$23)</f>
        <v/>
      </c>
      <c r="Q1707" s="39">
        <f>IF($A1707="","",IF(O1707&lt;&gt;원인분석!$C$9,"",IF(AND(M1707&gt;=원인분석!$C$10,M1707&lt;=원인분석!$C$11),"당기",IF(AND(M1707&gt;=원인분석!$C$12,M1707&lt;=원인분석!$C$13),"비교",""))))</f>
        <v/>
      </c>
      <c r="R1707" s="9">
        <f>IF(Q1707="","",$K1707&amp;"")</f>
        <v/>
      </c>
      <c r="S1707" s="9">
        <f>IF(Q1707="","",IF(MATCH(R1707,$R$5:$R$100000,0)=ROW()-4,ROW(),""))</f>
        <v/>
      </c>
      <c r="T1707" s="9">
        <f>IF(Q1707="당기",ABS(P1707)+ROW()/1000000000,"")</f>
        <v/>
      </c>
      <c r="U1707" s="9">
        <f>IF(Q1707="비교",ABS(P1707)+ROW()/1000000000,"")</f>
        <v/>
      </c>
      <c r="V1707" s="39">
        <f>IF($A1707="","",IF(COUNTIF(변동분석!$E$7:$E$506,O1707)&gt;0,"Y","N"))</f>
        <v/>
      </c>
      <c r="W1707" s="39">
        <f>IF($A1707="","",IFERROR(INDEX(계정매핑!$D$5:$D$504,MATCH($F1707&amp;"",계정매핑!$A$5:$A$504,0)),"미매핑"))</f>
        <v/>
      </c>
      <c r="X1707" s="9">
        <f>IF($A1707="","",$F1707&amp;"")</f>
        <v/>
      </c>
    </row>
    <row r="1708">
      <c r="A1708" s="75" t="n">
        <v>2025</v>
      </c>
      <c r="B1708" s="75" t="n">
        <v>9</v>
      </c>
      <c r="C1708" s="75" t="inlineStr">
        <is>
          <t>5100001704</t>
        </is>
      </c>
      <c r="D1708" s="78" t="n">
        <v>45921</v>
      </c>
      <c r="E1708" s="75" t="inlineStr">
        <is>
          <t>KR</t>
        </is>
      </c>
      <c r="F1708" s="75" t="n">
        <v>62901000</v>
      </c>
      <c r="G1708" s="75" t="n">
        <v>1801</v>
      </c>
      <c r="H1708" s="76" t="n">
        <v>5808000</v>
      </c>
      <c r="I1708" s="75" t="inlineStr">
        <is>
          <t>9월 자문 수수료 - K회계법인</t>
        </is>
      </c>
      <c r="J1708" s="75" t="inlineStr">
        <is>
          <t>V10010</t>
        </is>
      </c>
      <c r="K1708" s="75" t="inlineStr">
        <is>
          <t>K회계법인</t>
        </is>
      </c>
      <c r="M1708" s="9">
        <f>IF($A1708="","",VALUE($A1708&amp;"")*12+VALUE($B1708&amp;""))</f>
        <v/>
      </c>
      <c r="N1708" s="39">
        <f>IF($A1708="","",IFERROR(INDEX(부서매핑!$C$5:$C$504,MATCH($G1708&amp;"",부서매핑!$A$5:$A$504,0)),"미매핑"))</f>
        <v/>
      </c>
      <c r="O1708" s="9">
        <f>IF($A1708="","",N1708&amp;"|"&amp;$F1708)</f>
        <v/>
      </c>
      <c r="P1708" s="77">
        <f>IF($A1708="",0,$H1708*설정!$C$23)</f>
        <v/>
      </c>
      <c r="Q1708" s="39">
        <f>IF($A1708="","",IF(O1708&lt;&gt;원인분석!$C$9,"",IF(AND(M1708&gt;=원인분석!$C$10,M1708&lt;=원인분석!$C$11),"당기",IF(AND(M1708&gt;=원인분석!$C$12,M1708&lt;=원인분석!$C$13),"비교",""))))</f>
        <v/>
      </c>
      <c r="R1708" s="9">
        <f>IF(Q1708="","",$K1708&amp;"")</f>
        <v/>
      </c>
      <c r="S1708" s="9">
        <f>IF(Q1708="","",IF(MATCH(R1708,$R$5:$R$100000,0)=ROW()-4,ROW(),""))</f>
        <v/>
      </c>
      <c r="T1708" s="9">
        <f>IF(Q1708="당기",ABS(P1708)+ROW()/1000000000,"")</f>
        <v/>
      </c>
      <c r="U1708" s="9">
        <f>IF(Q1708="비교",ABS(P1708)+ROW()/1000000000,"")</f>
        <v/>
      </c>
      <c r="V1708" s="39">
        <f>IF($A1708="","",IF(COUNTIF(변동분석!$E$7:$E$506,O1708)&gt;0,"Y","N"))</f>
        <v/>
      </c>
      <c r="W1708" s="39">
        <f>IF($A1708="","",IFERROR(INDEX(계정매핑!$D$5:$D$504,MATCH($F1708&amp;"",계정매핑!$A$5:$A$504,0)),"미매핑"))</f>
        <v/>
      </c>
      <c r="X1708" s="9">
        <f>IF($A1708="","",$F1708&amp;"")</f>
        <v/>
      </c>
    </row>
    <row r="1709">
      <c r="A1709" s="75" t="n">
        <v>2025</v>
      </c>
      <c r="B1709" s="75" t="n">
        <v>9</v>
      </c>
      <c r="C1709" s="75" t="inlineStr">
        <is>
          <t>5100001705</t>
        </is>
      </c>
      <c r="D1709" s="78" t="n">
        <v>45921</v>
      </c>
      <c r="E1709" s="75" t="inlineStr">
        <is>
          <t>KR</t>
        </is>
      </c>
      <c r="F1709" s="75" t="n">
        <v>62902000</v>
      </c>
      <c r="G1709" s="75" t="n">
        <v>1801</v>
      </c>
      <c r="H1709" s="76" t="n">
        <v>1768000</v>
      </c>
      <c r="I1709" s="75" t="inlineStr">
        <is>
          <t>9월 콜 위탁 수수료(건별)</t>
        </is>
      </c>
      <c r="J1709" s="75" t="inlineStr">
        <is>
          <t>V10013</t>
        </is>
      </c>
      <c r="K1709" s="75" t="inlineStr">
        <is>
          <t>J콜센터</t>
        </is>
      </c>
      <c r="M1709" s="9">
        <f>IF($A1709="","",VALUE($A1709&amp;"")*12+VALUE($B1709&amp;""))</f>
        <v/>
      </c>
      <c r="N1709" s="39">
        <f>IF($A1709="","",IFERROR(INDEX(부서매핑!$C$5:$C$504,MATCH($G1709&amp;"",부서매핑!$A$5:$A$504,0)),"미매핑"))</f>
        <v/>
      </c>
      <c r="O1709" s="9">
        <f>IF($A1709="","",N1709&amp;"|"&amp;$F1709)</f>
        <v/>
      </c>
      <c r="P1709" s="77">
        <f>IF($A1709="",0,$H1709*설정!$C$23)</f>
        <v/>
      </c>
      <c r="Q1709" s="39">
        <f>IF($A1709="","",IF(O1709&lt;&gt;원인분석!$C$9,"",IF(AND(M1709&gt;=원인분석!$C$10,M1709&lt;=원인분석!$C$11),"당기",IF(AND(M1709&gt;=원인분석!$C$12,M1709&lt;=원인분석!$C$13),"비교",""))))</f>
        <v/>
      </c>
      <c r="R1709" s="9">
        <f>IF(Q1709="","",$K1709&amp;"")</f>
        <v/>
      </c>
      <c r="S1709" s="9">
        <f>IF(Q1709="","",IF(MATCH(R1709,$R$5:$R$100000,0)=ROW()-4,ROW(),""))</f>
        <v/>
      </c>
      <c r="T1709" s="9">
        <f>IF(Q1709="당기",ABS(P1709)+ROW()/1000000000,"")</f>
        <v/>
      </c>
      <c r="U1709" s="9">
        <f>IF(Q1709="비교",ABS(P1709)+ROW()/1000000000,"")</f>
        <v/>
      </c>
      <c r="V1709" s="39">
        <f>IF($A1709="","",IF(COUNTIF(변동분석!$E$7:$E$506,O1709)&gt;0,"Y","N"))</f>
        <v/>
      </c>
      <c r="W1709" s="39">
        <f>IF($A1709="","",IFERROR(INDEX(계정매핑!$D$5:$D$504,MATCH($F1709&amp;"",계정매핑!$A$5:$A$504,0)),"미매핑"))</f>
        <v/>
      </c>
      <c r="X1709" s="9">
        <f>IF($A1709="","",$F1709&amp;"")</f>
        <v/>
      </c>
    </row>
    <row r="1710">
      <c r="A1710" s="75" t="n">
        <v>2025</v>
      </c>
      <c r="B1710" s="75" t="n">
        <v>9</v>
      </c>
      <c r="C1710" s="75" t="inlineStr">
        <is>
          <t>5100001706</t>
        </is>
      </c>
      <c r="D1710" s="78" t="n">
        <v>45922</v>
      </c>
      <c r="E1710" s="75" t="inlineStr">
        <is>
          <t>KR</t>
        </is>
      </c>
      <c r="F1710" s="75" t="n">
        <v>62101000</v>
      </c>
      <c r="G1710" s="75" t="n">
        <v>1601</v>
      </c>
      <c r="H1710" s="76" t="n">
        <v>629000</v>
      </c>
      <c r="I1710" s="75" t="inlineStr">
        <is>
          <t>9월 국내출장 - M항공</t>
        </is>
      </c>
      <c r="J1710" s="75" t="inlineStr">
        <is>
          <t>V10001</t>
        </is>
      </c>
      <c r="K1710" s="75" t="inlineStr">
        <is>
          <t>M항공</t>
        </is>
      </c>
      <c r="M1710" s="9">
        <f>IF($A1710="","",VALUE($A1710&amp;"")*12+VALUE($B1710&amp;""))</f>
        <v/>
      </c>
      <c r="N1710" s="39">
        <f>IF($A1710="","",IFERROR(INDEX(부서매핑!$C$5:$C$504,MATCH($G1710&amp;"",부서매핑!$A$5:$A$504,0)),"미매핑"))</f>
        <v/>
      </c>
      <c r="O1710" s="9">
        <f>IF($A1710="","",N1710&amp;"|"&amp;$F1710)</f>
        <v/>
      </c>
      <c r="P1710" s="77">
        <f>IF($A1710="",0,$H1710*설정!$C$23)</f>
        <v/>
      </c>
      <c r="Q1710" s="39">
        <f>IF($A1710="","",IF(O1710&lt;&gt;원인분석!$C$9,"",IF(AND(M1710&gt;=원인분석!$C$10,M1710&lt;=원인분석!$C$11),"당기",IF(AND(M1710&gt;=원인분석!$C$12,M1710&lt;=원인분석!$C$13),"비교",""))))</f>
        <v/>
      </c>
      <c r="R1710" s="9">
        <f>IF(Q1710="","",$K1710&amp;"")</f>
        <v/>
      </c>
      <c r="S1710" s="9">
        <f>IF(Q1710="","",IF(MATCH(R1710,$R$5:$R$100000,0)=ROW()-4,ROW(),""))</f>
        <v/>
      </c>
      <c r="T1710" s="9">
        <f>IF(Q1710="당기",ABS(P1710)+ROW()/1000000000,"")</f>
        <v/>
      </c>
      <c r="U1710" s="9">
        <f>IF(Q1710="비교",ABS(P1710)+ROW()/1000000000,"")</f>
        <v/>
      </c>
      <c r="V1710" s="39">
        <f>IF($A1710="","",IF(COUNTIF(변동분석!$E$7:$E$506,O1710)&gt;0,"Y","N"))</f>
        <v/>
      </c>
      <c r="W1710" s="39">
        <f>IF($A1710="","",IFERROR(INDEX(계정매핑!$D$5:$D$504,MATCH($F1710&amp;"",계정매핑!$A$5:$A$504,0)),"미매핑"))</f>
        <v/>
      </c>
      <c r="X1710" s="9">
        <f>IF($A1710="","",$F1710&amp;"")</f>
        <v/>
      </c>
    </row>
    <row r="1711">
      <c r="A1711" s="75" t="n">
        <v>2025</v>
      </c>
      <c r="B1711" s="75" t="n">
        <v>9</v>
      </c>
      <c r="C1711" s="75" t="inlineStr">
        <is>
          <t>5100001707</t>
        </is>
      </c>
      <c r="D1711" s="78" t="n">
        <v>45922</v>
      </c>
      <c r="E1711" s="75" t="inlineStr">
        <is>
          <t>KR</t>
        </is>
      </c>
      <c r="F1711" s="75" t="n">
        <v>62101000</v>
      </c>
      <c r="G1711" s="75" t="n">
        <v>1801</v>
      </c>
      <c r="H1711" s="76" t="n">
        <v>176000</v>
      </c>
      <c r="I1711" s="75" t="inlineStr">
        <is>
          <t>9월 국내출장 - L여행사</t>
        </is>
      </c>
      <c r="J1711" s="75" t="inlineStr">
        <is>
          <t>V10014</t>
        </is>
      </c>
      <c r="K1711" s="75" t="inlineStr">
        <is>
          <t>L여행사</t>
        </is>
      </c>
      <c r="M1711" s="9">
        <f>IF($A1711="","",VALUE($A1711&amp;"")*12+VALUE($B1711&amp;""))</f>
        <v/>
      </c>
      <c r="N1711" s="39">
        <f>IF($A1711="","",IFERROR(INDEX(부서매핑!$C$5:$C$504,MATCH($G1711&amp;"",부서매핑!$A$5:$A$504,0)),"미매핑"))</f>
        <v/>
      </c>
      <c r="O1711" s="9">
        <f>IF($A1711="","",N1711&amp;"|"&amp;$F1711)</f>
        <v/>
      </c>
      <c r="P1711" s="77">
        <f>IF($A1711="",0,$H1711*설정!$C$23)</f>
        <v/>
      </c>
      <c r="Q1711" s="39">
        <f>IF($A1711="","",IF(O1711&lt;&gt;원인분석!$C$9,"",IF(AND(M1711&gt;=원인분석!$C$10,M1711&lt;=원인분석!$C$11),"당기",IF(AND(M1711&gt;=원인분석!$C$12,M1711&lt;=원인분석!$C$13),"비교",""))))</f>
        <v/>
      </c>
      <c r="R1711" s="9">
        <f>IF(Q1711="","",$K1711&amp;"")</f>
        <v/>
      </c>
      <c r="S1711" s="9">
        <f>IF(Q1711="","",IF(MATCH(R1711,$R$5:$R$100000,0)=ROW()-4,ROW(),""))</f>
        <v/>
      </c>
      <c r="T1711" s="9">
        <f>IF(Q1711="당기",ABS(P1711)+ROW()/1000000000,"")</f>
        <v/>
      </c>
      <c r="U1711" s="9">
        <f>IF(Q1711="비교",ABS(P1711)+ROW()/1000000000,"")</f>
        <v/>
      </c>
      <c r="V1711" s="39">
        <f>IF($A1711="","",IF(COUNTIF(변동분석!$E$7:$E$506,O1711)&gt;0,"Y","N"))</f>
        <v/>
      </c>
      <c r="W1711" s="39">
        <f>IF($A1711="","",IFERROR(INDEX(계정매핑!$D$5:$D$504,MATCH($F1711&amp;"",계정매핑!$A$5:$A$504,0)),"미매핑"))</f>
        <v/>
      </c>
      <c r="X1711" s="9">
        <f>IF($A1711="","",$F1711&amp;"")</f>
        <v/>
      </c>
    </row>
    <row r="1712">
      <c r="A1712" s="75" t="n">
        <v>2025</v>
      </c>
      <c r="B1712" s="75" t="n">
        <v>9</v>
      </c>
      <c r="C1712" s="75" t="inlineStr">
        <is>
          <t>5100001708</t>
        </is>
      </c>
      <c r="D1712" s="78" t="n">
        <v>45922</v>
      </c>
      <c r="E1712" s="75" t="inlineStr">
        <is>
          <t>KR</t>
        </is>
      </c>
      <c r="F1712" s="75" t="n">
        <v>62201000</v>
      </c>
      <c r="G1712" s="75" t="n">
        <v>1801</v>
      </c>
      <c r="H1712" s="76" t="n">
        <v>4559000</v>
      </c>
      <c r="I1712" s="75" t="inlineStr">
        <is>
          <t>9월 통신요금 - P통신</t>
        </is>
      </c>
      <c r="J1712" s="75" t="inlineStr">
        <is>
          <t>V10011</t>
        </is>
      </c>
      <c r="K1712" s="75" t="inlineStr">
        <is>
          <t>P통신</t>
        </is>
      </c>
      <c r="M1712" s="9">
        <f>IF($A1712="","",VALUE($A1712&amp;"")*12+VALUE($B1712&amp;""))</f>
        <v/>
      </c>
      <c r="N1712" s="39">
        <f>IF($A1712="","",IFERROR(INDEX(부서매핑!$C$5:$C$504,MATCH($G1712&amp;"",부서매핑!$A$5:$A$504,0)),"미매핑"))</f>
        <v/>
      </c>
      <c r="O1712" s="9">
        <f>IF($A1712="","",N1712&amp;"|"&amp;$F1712)</f>
        <v/>
      </c>
      <c r="P1712" s="77">
        <f>IF($A1712="",0,$H1712*설정!$C$23)</f>
        <v/>
      </c>
      <c r="Q1712" s="39">
        <f>IF($A1712="","",IF(O1712&lt;&gt;원인분석!$C$9,"",IF(AND(M1712&gt;=원인분석!$C$10,M1712&lt;=원인분석!$C$11),"당기",IF(AND(M1712&gt;=원인분석!$C$12,M1712&lt;=원인분석!$C$13),"비교",""))))</f>
        <v/>
      </c>
      <c r="R1712" s="9">
        <f>IF(Q1712="","",$K1712&amp;"")</f>
        <v/>
      </c>
      <c r="S1712" s="9">
        <f>IF(Q1712="","",IF(MATCH(R1712,$R$5:$R$100000,0)=ROW()-4,ROW(),""))</f>
        <v/>
      </c>
      <c r="T1712" s="9">
        <f>IF(Q1712="당기",ABS(P1712)+ROW()/1000000000,"")</f>
        <v/>
      </c>
      <c r="U1712" s="9">
        <f>IF(Q1712="비교",ABS(P1712)+ROW()/1000000000,"")</f>
        <v/>
      </c>
      <c r="V1712" s="39">
        <f>IF($A1712="","",IF(COUNTIF(변동분석!$E$7:$E$506,O1712)&gt;0,"Y","N"))</f>
        <v/>
      </c>
      <c r="W1712" s="39">
        <f>IF($A1712="","",IFERROR(INDEX(계정매핑!$D$5:$D$504,MATCH($F1712&amp;"",계정매핑!$A$5:$A$504,0)),"미매핑"))</f>
        <v/>
      </c>
      <c r="X1712" s="9">
        <f>IF($A1712="","",$F1712&amp;"")</f>
        <v/>
      </c>
    </row>
    <row r="1713">
      <c r="A1713" s="75" t="n">
        <v>2025</v>
      </c>
      <c r="B1713" s="75" t="n">
        <v>9</v>
      </c>
      <c r="C1713" s="75" t="inlineStr">
        <is>
          <t>5100001709</t>
        </is>
      </c>
      <c r="D1713" s="78" t="n">
        <v>45922</v>
      </c>
      <c r="E1713" s="75" t="inlineStr">
        <is>
          <t>KR</t>
        </is>
      </c>
      <c r="F1713" s="75" t="n">
        <v>62301000</v>
      </c>
      <c r="G1713" s="75" t="n">
        <v>1801</v>
      </c>
      <c r="H1713" s="76" t="n">
        <v>331000</v>
      </c>
      <c r="I1713" s="75" t="inlineStr">
        <is>
          <t>9월 소모품 구입 - Q오피스</t>
        </is>
      </c>
      <c r="J1713" s="75" t="inlineStr">
        <is>
          <t>V10003</t>
        </is>
      </c>
      <c r="K1713" s="75" t="inlineStr">
        <is>
          <t>Q오피스</t>
        </is>
      </c>
      <c r="M1713" s="9">
        <f>IF($A1713="","",VALUE($A1713&amp;"")*12+VALUE($B1713&amp;""))</f>
        <v/>
      </c>
      <c r="N1713" s="39">
        <f>IF($A1713="","",IFERROR(INDEX(부서매핑!$C$5:$C$504,MATCH($G1713&amp;"",부서매핑!$A$5:$A$504,0)),"미매핑"))</f>
        <v/>
      </c>
      <c r="O1713" s="9">
        <f>IF($A1713="","",N1713&amp;"|"&amp;$F1713)</f>
        <v/>
      </c>
      <c r="P1713" s="77">
        <f>IF($A1713="",0,$H1713*설정!$C$23)</f>
        <v/>
      </c>
      <c r="Q1713" s="39">
        <f>IF($A1713="","",IF(O1713&lt;&gt;원인분석!$C$9,"",IF(AND(M1713&gt;=원인분석!$C$10,M1713&lt;=원인분석!$C$11),"당기",IF(AND(M1713&gt;=원인분석!$C$12,M1713&lt;=원인분석!$C$13),"비교",""))))</f>
        <v/>
      </c>
      <c r="R1713" s="9">
        <f>IF(Q1713="","",$K1713&amp;"")</f>
        <v/>
      </c>
      <c r="S1713" s="9">
        <f>IF(Q1713="","",IF(MATCH(R1713,$R$5:$R$100000,0)=ROW()-4,ROW(),""))</f>
        <v/>
      </c>
      <c r="T1713" s="9">
        <f>IF(Q1713="당기",ABS(P1713)+ROW()/1000000000,"")</f>
        <v/>
      </c>
      <c r="U1713" s="9">
        <f>IF(Q1713="비교",ABS(P1713)+ROW()/1000000000,"")</f>
        <v/>
      </c>
      <c r="V1713" s="39">
        <f>IF($A1713="","",IF(COUNTIF(변동분석!$E$7:$E$506,O1713)&gt;0,"Y","N"))</f>
        <v/>
      </c>
      <c r="W1713" s="39">
        <f>IF($A1713="","",IFERROR(INDEX(계정매핑!$D$5:$D$504,MATCH($F1713&amp;"",계정매핑!$A$5:$A$504,0)),"미매핑"))</f>
        <v/>
      </c>
      <c r="X1713" s="9">
        <f>IF($A1713="","",$F1713&amp;"")</f>
        <v/>
      </c>
    </row>
    <row r="1714">
      <c r="A1714" s="75" t="n">
        <v>2025</v>
      </c>
      <c r="B1714" s="75" t="n">
        <v>9</v>
      </c>
      <c r="C1714" s="75" t="inlineStr">
        <is>
          <t>5100001710</t>
        </is>
      </c>
      <c r="D1714" s="78" t="n">
        <v>45922</v>
      </c>
      <c r="E1714" s="75" t="inlineStr">
        <is>
          <t>KR</t>
        </is>
      </c>
      <c r="F1714" s="75" t="n">
        <v>62401000</v>
      </c>
      <c r="G1714" s="75" t="n">
        <v>1501</v>
      </c>
      <c r="H1714" s="76" t="n">
        <v>1122000</v>
      </c>
      <c r="I1714" s="75" t="inlineStr">
        <is>
          <t>9월 인쇄물 제작 - S출판</t>
        </is>
      </c>
      <c r="J1714" s="75" t="inlineStr">
        <is>
          <t>V10012</t>
        </is>
      </c>
      <c r="K1714" s="75" t="inlineStr">
        <is>
          <t>S출판</t>
        </is>
      </c>
      <c r="M1714" s="9">
        <f>IF($A1714="","",VALUE($A1714&amp;"")*12+VALUE($B1714&amp;""))</f>
        <v/>
      </c>
      <c r="N1714" s="39">
        <f>IF($A1714="","",IFERROR(INDEX(부서매핑!$C$5:$C$504,MATCH($G1714&amp;"",부서매핑!$A$5:$A$504,0)),"미매핑"))</f>
        <v/>
      </c>
      <c r="O1714" s="9">
        <f>IF($A1714="","",N1714&amp;"|"&amp;$F1714)</f>
        <v/>
      </c>
      <c r="P1714" s="77">
        <f>IF($A1714="",0,$H1714*설정!$C$23)</f>
        <v/>
      </c>
      <c r="Q1714" s="39">
        <f>IF($A1714="","",IF(O1714&lt;&gt;원인분석!$C$9,"",IF(AND(M1714&gt;=원인분석!$C$10,M1714&lt;=원인분석!$C$11),"당기",IF(AND(M1714&gt;=원인분석!$C$12,M1714&lt;=원인분석!$C$13),"비교",""))))</f>
        <v/>
      </c>
      <c r="R1714" s="9">
        <f>IF(Q1714="","",$K1714&amp;"")</f>
        <v/>
      </c>
      <c r="S1714" s="9">
        <f>IF(Q1714="","",IF(MATCH(R1714,$R$5:$R$100000,0)=ROW()-4,ROW(),""))</f>
        <v/>
      </c>
      <c r="T1714" s="9">
        <f>IF(Q1714="당기",ABS(P1714)+ROW()/1000000000,"")</f>
        <v/>
      </c>
      <c r="U1714" s="9">
        <f>IF(Q1714="비교",ABS(P1714)+ROW()/1000000000,"")</f>
        <v/>
      </c>
      <c r="V1714" s="39">
        <f>IF($A1714="","",IF(COUNTIF(변동분석!$E$7:$E$506,O1714)&gt;0,"Y","N"))</f>
        <v/>
      </c>
      <c r="W1714" s="39">
        <f>IF($A1714="","",IFERROR(INDEX(계정매핑!$D$5:$D$504,MATCH($F1714&amp;"",계정매핑!$A$5:$A$504,0)),"미매핑"))</f>
        <v/>
      </c>
      <c r="X1714" s="9">
        <f>IF($A1714="","",$F1714&amp;"")</f>
        <v/>
      </c>
    </row>
    <row r="1715">
      <c r="A1715" s="75" t="n">
        <v>2025</v>
      </c>
      <c r="B1715" s="75" t="n">
        <v>9</v>
      </c>
      <c r="C1715" s="75" t="inlineStr">
        <is>
          <t>5100001711</t>
        </is>
      </c>
      <c r="D1715" s="78" t="n">
        <v>45922</v>
      </c>
      <c r="E1715" s="75" t="inlineStr">
        <is>
          <t>KR</t>
        </is>
      </c>
      <c r="F1715" s="75" t="n">
        <v>62501000</v>
      </c>
      <c r="G1715" s="75" t="n">
        <v>1301</v>
      </c>
      <c r="H1715" s="76" t="n">
        <v>105000</v>
      </c>
      <c r="I1715" s="75" t="inlineStr">
        <is>
          <t>9월 회의 다과 - (법인카드)</t>
        </is>
      </c>
      <c r="J1715" s="75" t="inlineStr">
        <is>
          <t>V10008</t>
        </is>
      </c>
      <c r="K1715" s="75" t="inlineStr">
        <is>
          <t>(법인카드)</t>
        </is>
      </c>
      <c r="M1715" s="9">
        <f>IF($A1715="","",VALUE($A1715&amp;"")*12+VALUE($B1715&amp;""))</f>
        <v/>
      </c>
      <c r="N1715" s="39">
        <f>IF($A1715="","",IFERROR(INDEX(부서매핑!$C$5:$C$504,MATCH($G1715&amp;"",부서매핑!$A$5:$A$504,0)),"미매핑"))</f>
        <v/>
      </c>
      <c r="O1715" s="9">
        <f>IF($A1715="","",N1715&amp;"|"&amp;$F1715)</f>
        <v/>
      </c>
      <c r="P1715" s="77">
        <f>IF($A1715="",0,$H1715*설정!$C$23)</f>
        <v/>
      </c>
      <c r="Q1715" s="39">
        <f>IF($A1715="","",IF(O1715&lt;&gt;원인분석!$C$9,"",IF(AND(M1715&gt;=원인분석!$C$10,M1715&lt;=원인분석!$C$11),"당기",IF(AND(M1715&gt;=원인분석!$C$12,M1715&lt;=원인분석!$C$13),"비교",""))))</f>
        <v/>
      </c>
      <c r="R1715" s="9">
        <f>IF(Q1715="","",$K1715&amp;"")</f>
        <v/>
      </c>
      <c r="S1715" s="9">
        <f>IF(Q1715="","",IF(MATCH(R1715,$R$5:$R$100000,0)=ROW()-4,ROW(),""))</f>
        <v/>
      </c>
      <c r="T1715" s="9">
        <f>IF(Q1715="당기",ABS(P1715)+ROW()/1000000000,"")</f>
        <v/>
      </c>
      <c r="U1715" s="9">
        <f>IF(Q1715="비교",ABS(P1715)+ROW()/1000000000,"")</f>
        <v/>
      </c>
      <c r="V1715" s="39">
        <f>IF($A1715="","",IF(COUNTIF(변동분석!$E$7:$E$506,O1715)&gt;0,"Y","N"))</f>
        <v/>
      </c>
      <c r="W1715" s="39">
        <f>IF($A1715="","",IFERROR(INDEX(계정매핑!$D$5:$D$504,MATCH($F1715&amp;"",계정매핑!$A$5:$A$504,0)),"미매핑"))</f>
        <v/>
      </c>
      <c r="X1715" s="9">
        <f>IF($A1715="","",$F1715&amp;"")</f>
        <v/>
      </c>
    </row>
    <row r="1716">
      <c r="A1716" s="75" t="n">
        <v>2025</v>
      </c>
      <c r="B1716" s="75" t="n">
        <v>9</v>
      </c>
      <c r="C1716" s="75" t="inlineStr">
        <is>
          <t>5100001712</t>
        </is>
      </c>
      <c r="D1716" s="78" t="n">
        <v>45922</v>
      </c>
      <c r="E1716" s="75" t="inlineStr">
        <is>
          <t>KR</t>
        </is>
      </c>
      <c r="F1716" s="75" t="n">
        <v>62501000</v>
      </c>
      <c r="G1716" s="75" t="n">
        <v>1301</v>
      </c>
      <c r="H1716" s="76" t="n">
        <v>208000</v>
      </c>
      <c r="I1716" s="75" t="inlineStr">
        <is>
          <t>9월 회의 다과 - T케이터링</t>
        </is>
      </c>
      <c r="J1716" s="75" t="inlineStr">
        <is>
          <t>V10005</t>
        </is>
      </c>
      <c r="K1716" s="75" t="inlineStr">
        <is>
          <t>T케이터링</t>
        </is>
      </c>
      <c r="M1716" s="9">
        <f>IF($A1716="","",VALUE($A1716&amp;"")*12+VALUE($B1716&amp;""))</f>
        <v/>
      </c>
      <c r="N1716" s="39">
        <f>IF($A1716="","",IFERROR(INDEX(부서매핑!$C$5:$C$504,MATCH($G1716&amp;"",부서매핑!$A$5:$A$504,0)),"미매핑"))</f>
        <v/>
      </c>
      <c r="O1716" s="9">
        <f>IF($A1716="","",N1716&amp;"|"&amp;$F1716)</f>
        <v/>
      </c>
      <c r="P1716" s="77">
        <f>IF($A1716="",0,$H1716*설정!$C$23)</f>
        <v/>
      </c>
      <c r="Q1716" s="39">
        <f>IF($A1716="","",IF(O1716&lt;&gt;원인분석!$C$9,"",IF(AND(M1716&gt;=원인분석!$C$10,M1716&lt;=원인분석!$C$11),"당기",IF(AND(M1716&gt;=원인분석!$C$12,M1716&lt;=원인분석!$C$13),"비교",""))))</f>
        <v/>
      </c>
      <c r="R1716" s="9">
        <f>IF(Q1716="","",$K1716&amp;"")</f>
        <v/>
      </c>
      <c r="S1716" s="9">
        <f>IF(Q1716="","",IF(MATCH(R1716,$R$5:$R$100000,0)=ROW()-4,ROW(),""))</f>
        <v/>
      </c>
      <c r="T1716" s="9">
        <f>IF(Q1716="당기",ABS(P1716)+ROW()/1000000000,"")</f>
        <v/>
      </c>
      <c r="U1716" s="9">
        <f>IF(Q1716="비교",ABS(P1716)+ROW()/1000000000,"")</f>
        <v/>
      </c>
      <c r="V1716" s="39">
        <f>IF($A1716="","",IF(COUNTIF(변동분석!$E$7:$E$506,O1716)&gt;0,"Y","N"))</f>
        <v/>
      </c>
      <c r="W1716" s="39">
        <f>IF($A1716="","",IFERROR(INDEX(계정매핑!$D$5:$D$504,MATCH($F1716&amp;"",계정매핑!$A$5:$A$504,0)),"미매핑"))</f>
        <v/>
      </c>
      <c r="X1716" s="9">
        <f>IF($A1716="","",$F1716&amp;"")</f>
        <v/>
      </c>
    </row>
    <row r="1717">
      <c r="A1717" s="75" t="n">
        <v>2025</v>
      </c>
      <c r="B1717" s="75" t="n">
        <v>9</v>
      </c>
      <c r="C1717" s="75" t="inlineStr">
        <is>
          <t>5100001713</t>
        </is>
      </c>
      <c r="D1717" s="78" t="n">
        <v>45922</v>
      </c>
      <c r="E1717" s="75" t="inlineStr">
        <is>
          <t>KR</t>
        </is>
      </c>
      <c r="F1717" s="75" t="n">
        <v>62901000</v>
      </c>
      <c r="G1717" s="75" t="n">
        <v>1801</v>
      </c>
      <c r="H1717" s="76" t="n">
        <v>7087000</v>
      </c>
      <c r="I1717" s="75" t="inlineStr">
        <is>
          <t>9월 자문 수수료 - W컨설팅</t>
        </is>
      </c>
      <c r="J1717" s="75" t="inlineStr">
        <is>
          <t>V10009</t>
        </is>
      </c>
      <c r="K1717" s="75" t="inlineStr">
        <is>
          <t>W컨설팅</t>
        </is>
      </c>
      <c r="M1717" s="9">
        <f>IF($A1717="","",VALUE($A1717&amp;"")*12+VALUE($B1717&amp;""))</f>
        <v/>
      </c>
      <c r="N1717" s="39">
        <f>IF($A1717="","",IFERROR(INDEX(부서매핑!$C$5:$C$504,MATCH($G1717&amp;"",부서매핑!$A$5:$A$504,0)),"미매핑"))</f>
        <v/>
      </c>
      <c r="O1717" s="9">
        <f>IF($A1717="","",N1717&amp;"|"&amp;$F1717)</f>
        <v/>
      </c>
      <c r="P1717" s="77">
        <f>IF($A1717="",0,$H1717*설정!$C$23)</f>
        <v/>
      </c>
      <c r="Q1717" s="39">
        <f>IF($A1717="","",IF(O1717&lt;&gt;원인분석!$C$9,"",IF(AND(M1717&gt;=원인분석!$C$10,M1717&lt;=원인분석!$C$11),"당기",IF(AND(M1717&gt;=원인분석!$C$12,M1717&lt;=원인분석!$C$13),"비교",""))))</f>
        <v/>
      </c>
      <c r="R1717" s="9">
        <f>IF(Q1717="","",$K1717&amp;"")</f>
        <v/>
      </c>
      <c r="S1717" s="9">
        <f>IF(Q1717="","",IF(MATCH(R1717,$R$5:$R$100000,0)=ROW()-4,ROW(),""))</f>
        <v/>
      </c>
      <c r="T1717" s="9">
        <f>IF(Q1717="당기",ABS(P1717)+ROW()/1000000000,"")</f>
        <v/>
      </c>
      <c r="U1717" s="9">
        <f>IF(Q1717="비교",ABS(P1717)+ROW()/1000000000,"")</f>
        <v/>
      </c>
      <c r="V1717" s="39">
        <f>IF($A1717="","",IF(COUNTIF(변동분석!$E$7:$E$506,O1717)&gt;0,"Y","N"))</f>
        <v/>
      </c>
      <c r="W1717" s="39">
        <f>IF($A1717="","",IFERROR(INDEX(계정매핑!$D$5:$D$504,MATCH($F1717&amp;"",계정매핑!$A$5:$A$504,0)),"미매핑"))</f>
        <v/>
      </c>
      <c r="X1717" s="9">
        <f>IF($A1717="","",$F1717&amp;"")</f>
        <v/>
      </c>
    </row>
    <row r="1718">
      <c r="A1718" s="75" t="n">
        <v>2025</v>
      </c>
      <c r="B1718" s="75" t="n">
        <v>9</v>
      </c>
      <c r="C1718" s="75" t="inlineStr">
        <is>
          <t>5100001714</t>
        </is>
      </c>
      <c r="D1718" s="78" t="n">
        <v>45923</v>
      </c>
      <c r="E1718" s="75" t="inlineStr">
        <is>
          <t>KR</t>
        </is>
      </c>
      <c r="F1718" s="75" t="n">
        <v>62201000</v>
      </c>
      <c r="G1718" s="75" t="n">
        <v>1101</v>
      </c>
      <c r="H1718" s="76" t="n">
        <v>395000</v>
      </c>
      <c r="I1718" s="75" t="inlineStr">
        <is>
          <t>9월 통신요금 - P통신</t>
        </is>
      </c>
      <c r="J1718" s="75" t="inlineStr">
        <is>
          <t>V10011</t>
        </is>
      </c>
      <c r="K1718" s="75" t="inlineStr">
        <is>
          <t>P통신</t>
        </is>
      </c>
      <c r="M1718" s="9">
        <f>IF($A1718="","",VALUE($A1718&amp;"")*12+VALUE($B1718&amp;""))</f>
        <v/>
      </c>
      <c r="N1718" s="39">
        <f>IF($A1718="","",IFERROR(INDEX(부서매핑!$C$5:$C$504,MATCH($G1718&amp;"",부서매핑!$A$5:$A$504,0)),"미매핑"))</f>
        <v/>
      </c>
      <c r="O1718" s="9">
        <f>IF($A1718="","",N1718&amp;"|"&amp;$F1718)</f>
        <v/>
      </c>
      <c r="P1718" s="77">
        <f>IF($A1718="",0,$H1718*설정!$C$23)</f>
        <v/>
      </c>
      <c r="Q1718" s="39">
        <f>IF($A1718="","",IF(O1718&lt;&gt;원인분석!$C$9,"",IF(AND(M1718&gt;=원인분석!$C$10,M1718&lt;=원인분석!$C$11),"당기",IF(AND(M1718&gt;=원인분석!$C$12,M1718&lt;=원인분석!$C$13),"비교",""))))</f>
        <v/>
      </c>
      <c r="R1718" s="9">
        <f>IF(Q1718="","",$K1718&amp;"")</f>
        <v/>
      </c>
      <c r="S1718" s="9">
        <f>IF(Q1718="","",IF(MATCH(R1718,$R$5:$R$100000,0)=ROW()-4,ROW(),""))</f>
        <v/>
      </c>
      <c r="T1718" s="9">
        <f>IF(Q1718="당기",ABS(P1718)+ROW()/1000000000,"")</f>
        <v/>
      </c>
      <c r="U1718" s="9">
        <f>IF(Q1718="비교",ABS(P1718)+ROW()/1000000000,"")</f>
        <v/>
      </c>
      <c r="V1718" s="39">
        <f>IF($A1718="","",IF(COUNTIF(변동분석!$E$7:$E$506,O1718)&gt;0,"Y","N"))</f>
        <v/>
      </c>
      <c r="W1718" s="39">
        <f>IF($A1718="","",IFERROR(INDEX(계정매핑!$D$5:$D$504,MATCH($F1718&amp;"",계정매핑!$A$5:$A$504,0)),"미매핑"))</f>
        <v/>
      </c>
      <c r="X1718" s="9">
        <f>IF($A1718="","",$F1718&amp;"")</f>
        <v/>
      </c>
    </row>
    <row r="1719">
      <c r="A1719" s="75" t="n">
        <v>2025</v>
      </c>
      <c r="B1719" s="75" t="n">
        <v>9</v>
      </c>
      <c r="C1719" s="75" t="inlineStr">
        <is>
          <t>5100001715</t>
        </is>
      </c>
      <c r="D1719" s="78" t="n">
        <v>45923</v>
      </c>
      <c r="E1719" s="75" t="inlineStr">
        <is>
          <t>KR</t>
        </is>
      </c>
      <c r="F1719" s="75" t="n">
        <v>62301000</v>
      </c>
      <c r="G1719" s="75" t="n">
        <v>1701</v>
      </c>
      <c r="H1719" s="76" t="n">
        <v>301000</v>
      </c>
      <c r="I1719" s="75" t="inlineStr">
        <is>
          <t>9월 소모품 구입 - Q오피스</t>
        </is>
      </c>
      <c r="J1719" s="75" t="inlineStr">
        <is>
          <t>V10003</t>
        </is>
      </c>
      <c r="K1719" s="75" t="inlineStr">
        <is>
          <t>Q오피스</t>
        </is>
      </c>
      <c r="M1719" s="9">
        <f>IF($A1719="","",VALUE($A1719&amp;"")*12+VALUE($B1719&amp;""))</f>
        <v/>
      </c>
      <c r="N1719" s="39">
        <f>IF($A1719="","",IFERROR(INDEX(부서매핑!$C$5:$C$504,MATCH($G1719&amp;"",부서매핑!$A$5:$A$504,0)),"미매핑"))</f>
        <v/>
      </c>
      <c r="O1719" s="9">
        <f>IF($A1719="","",N1719&amp;"|"&amp;$F1719)</f>
        <v/>
      </c>
      <c r="P1719" s="77">
        <f>IF($A1719="",0,$H1719*설정!$C$23)</f>
        <v/>
      </c>
      <c r="Q1719" s="39">
        <f>IF($A1719="","",IF(O1719&lt;&gt;원인분석!$C$9,"",IF(AND(M1719&gt;=원인분석!$C$10,M1719&lt;=원인분석!$C$11),"당기",IF(AND(M1719&gt;=원인분석!$C$12,M1719&lt;=원인분석!$C$13),"비교",""))))</f>
        <v/>
      </c>
      <c r="R1719" s="9">
        <f>IF(Q1719="","",$K1719&amp;"")</f>
        <v/>
      </c>
      <c r="S1719" s="9">
        <f>IF(Q1719="","",IF(MATCH(R1719,$R$5:$R$100000,0)=ROW()-4,ROW(),""))</f>
        <v/>
      </c>
      <c r="T1719" s="9">
        <f>IF(Q1719="당기",ABS(P1719)+ROW()/1000000000,"")</f>
        <v/>
      </c>
      <c r="U1719" s="9">
        <f>IF(Q1719="비교",ABS(P1719)+ROW()/1000000000,"")</f>
        <v/>
      </c>
      <c r="V1719" s="39">
        <f>IF($A1719="","",IF(COUNTIF(변동분석!$E$7:$E$506,O1719)&gt;0,"Y","N"))</f>
        <v/>
      </c>
      <c r="W1719" s="39">
        <f>IF($A1719="","",IFERROR(INDEX(계정매핑!$D$5:$D$504,MATCH($F1719&amp;"",계정매핑!$A$5:$A$504,0)),"미매핑"))</f>
        <v/>
      </c>
      <c r="X1719" s="9">
        <f>IF($A1719="","",$F1719&amp;"")</f>
        <v/>
      </c>
    </row>
    <row r="1720">
      <c r="A1720" s="75" t="n">
        <v>2025</v>
      </c>
      <c r="B1720" s="75" t="n">
        <v>9</v>
      </c>
      <c r="C1720" s="75" t="inlineStr">
        <is>
          <t>5100001716</t>
        </is>
      </c>
      <c r="D1720" s="78" t="n">
        <v>45923</v>
      </c>
      <c r="E1720" s="75" t="inlineStr">
        <is>
          <t>KR</t>
        </is>
      </c>
      <c r="F1720" s="75" t="n">
        <v>62501000</v>
      </c>
      <c r="G1720" s="75" t="n">
        <v>1401</v>
      </c>
      <c r="H1720" s="76" t="n">
        <v>134000</v>
      </c>
      <c r="I1720" s="75" t="inlineStr">
        <is>
          <t>9월 회의 다과 - T케이터링</t>
        </is>
      </c>
      <c r="J1720" s="75" t="inlineStr">
        <is>
          <t>V10005</t>
        </is>
      </c>
      <c r="K1720" s="75" t="inlineStr">
        <is>
          <t>T케이터링</t>
        </is>
      </c>
      <c r="M1720" s="9">
        <f>IF($A1720="","",VALUE($A1720&amp;"")*12+VALUE($B1720&amp;""))</f>
        <v/>
      </c>
      <c r="N1720" s="39">
        <f>IF($A1720="","",IFERROR(INDEX(부서매핑!$C$5:$C$504,MATCH($G1720&amp;"",부서매핑!$A$5:$A$504,0)),"미매핑"))</f>
        <v/>
      </c>
      <c r="O1720" s="9">
        <f>IF($A1720="","",N1720&amp;"|"&amp;$F1720)</f>
        <v/>
      </c>
      <c r="P1720" s="77">
        <f>IF($A1720="",0,$H1720*설정!$C$23)</f>
        <v/>
      </c>
      <c r="Q1720" s="39">
        <f>IF($A1720="","",IF(O1720&lt;&gt;원인분석!$C$9,"",IF(AND(M1720&gt;=원인분석!$C$10,M1720&lt;=원인분석!$C$11),"당기",IF(AND(M1720&gt;=원인분석!$C$12,M1720&lt;=원인분석!$C$13),"비교",""))))</f>
        <v/>
      </c>
      <c r="R1720" s="9">
        <f>IF(Q1720="","",$K1720&amp;"")</f>
        <v/>
      </c>
      <c r="S1720" s="9">
        <f>IF(Q1720="","",IF(MATCH(R1720,$R$5:$R$100000,0)=ROW()-4,ROW(),""))</f>
        <v/>
      </c>
      <c r="T1720" s="9">
        <f>IF(Q1720="당기",ABS(P1720)+ROW()/1000000000,"")</f>
        <v/>
      </c>
      <c r="U1720" s="9">
        <f>IF(Q1720="비교",ABS(P1720)+ROW()/1000000000,"")</f>
        <v/>
      </c>
      <c r="V1720" s="39">
        <f>IF($A1720="","",IF(COUNTIF(변동분석!$E$7:$E$506,O1720)&gt;0,"Y","N"))</f>
        <v/>
      </c>
      <c r="W1720" s="39">
        <f>IF($A1720="","",IFERROR(INDEX(계정매핑!$D$5:$D$504,MATCH($F1720&amp;"",계정매핑!$A$5:$A$504,0)),"미매핑"))</f>
        <v/>
      </c>
      <c r="X1720" s="9">
        <f>IF($A1720="","",$F1720&amp;"")</f>
        <v/>
      </c>
    </row>
    <row r="1721">
      <c r="A1721" s="75" t="n">
        <v>2025</v>
      </c>
      <c r="B1721" s="75" t="n">
        <v>9</v>
      </c>
      <c r="C1721" s="75" t="inlineStr">
        <is>
          <t>5100001717</t>
        </is>
      </c>
      <c r="D1721" s="78" t="n">
        <v>45923</v>
      </c>
      <c r="E1721" s="75" t="inlineStr">
        <is>
          <t>KR</t>
        </is>
      </c>
      <c r="F1721" s="75" t="n">
        <v>62901000</v>
      </c>
      <c r="G1721" s="75" t="n">
        <v>1101</v>
      </c>
      <c r="H1721" s="76" t="n">
        <v>3152000</v>
      </c>
      <c r="I1721" s="75" t="inlineStr">
        <is>
          <t>9월 자문 수수료 - W컨설팅</t>
        </is>
      </c>
      <c r="J1721" s="75" t="inlineStr">
        <is>
          <t>V10009</t>
        </is>
      </c>
      <c r="K1721" s="75" t="inlineStr">
        <is>
          <t>W컨설팅</t>
        </is>
      </c>
      <c r="M1721" s="9">
        <f>IF($A1721="","",VALUE($A1721&amp;"")*12+VALUE($B1721&amp;""))</f>
        <v/>
      </c>
      <c r="N1721" s="39">
        <f>IF($A1721="","",IFERROR(INDEX(부서매핑!$C$5:$C$504,MATCH($G1721&amp;"",부서매핑!$A$5:$A$504,0)),"미매핑"))</f>
        <v/>
      </c>
      <c r="O1721" s="9">
        <f>IF($A1721="","",N1721&amp;"|"&amp;$F1721)</f>
        <v/>
      </c>
      <c r="P1721" s="77">
        <f>IF($A1721="",0,$H1721*설정!$C$23)</f>
        <v/>
      </c>
      <c r="Q1721" s="39">
        <f>IF($A1721="","",IF(O1721&lt;&gt;원인분석!$C$9,"",IF(AND(M1721&gt;=원인분석!$C$10,M1721&lt;=원인분석!$C$11),"당기",IF(AND(M1721&gt;=원인분석!$C$12,M1721&lt;=원인분석!$C$13),"비교",""))))</f>
        <v/>
      </c>
      <c r="R1721" s="9">
        <f>IF(Q1721="","",$K1721&amp;"")</f>
        <v/>
      </c>
      <c r="S1721" s="9">
        <f>IF(Q1721="","",IF(MATCH(R1721,$R$5:$R$100000,0)=ROW()-4,ROW(),""))</f>
        <v/>
      </c>
      <c r="T1721" s="9">
        <f>IF(Q1721="당기",ABS(P1721)+ROW()/1000000000,"")</f>
        <v/>
      </c>
      <c r="U1721" s="9">
        <f>IF(Q1721="비교",ABS(P1721)+ROW()/1000000000,"")</f>
        <v/>
      </c>
      <c r="V1721" s="39">
        <f>IF($A1721="","",IF(COUNTIF(변동분석!$E$7:$E$506,O1721)&gt;0,"Y","N"))</f>
        <v/>
      </c>
      <c r="W1721" s="39">
        <f>IF($A1721="","",IFERROR(INDEX(계정매핑!$D$5:$D$504,MATCH($F1721&amp;"",계정매핑!$A$5:$A$504,0)),"미매핑"))</f>
        <v/>
      </c>
      <c r="X1721" s="9">
        <f>IF($A1721="","",$F1721&amp;"")</f>
        <v/>
      </c>
    </row>
    <row r="1722">
      <c r="A1722" s="75" t="n">
        <v>2025</v>
      </c>
      <c r="B1722" s="75" t="n">
        <v>9</v>
      </c>
      <c r="C1722" s="75" t="inlineStr">
        <is>
          <t>5100001718</t>
        </is>
      </c>
      <c r="D1722" s="78" t="n">
        <v>45923</v>
      </c>
      <c r="E1722" s="75" t="inlineStr">
        <is>
          <t>KR</t>
        </is>
      </c>
      <c r="F1722" s="75" t="n">
        <v>62902000</v>
      </c>
      <c r="G1722" s="75" t="n">
        <v>1801</v>
      </c>
      <c r="H1722" s="76" t="n">
        <v>1819000</v>
      </c>
      <c r="I1722" s="75" t="inlineStr">
        <is>
          <t>9월 콜 위탁 수수료(건별)</t>
        </is>
      </c>
      <c r="J1722" s="75" t="inlineStr">
        <is>
          <t>V10013</t>
        </is>
      </c>
      <c r="K1722" s="75" t="inlineStr">
        <is>
          <t>J콜센터</t>
        </is>
      </c>
      <c r="M1722" s="9">
        <f>IF($A1722="","",VALUE($A1722&amp;"")*12+VALUE($B1722&amp;""))</f>
        <v/>
      </c>
      <c r="N1722" s="39">
        <f>IF($A1722="","",IFERROR(INDEX(부서매핑!$C$5:$C$504,MATCH($G1722&amp;"",부서매핑!$A$5:$A$504,0)),"미매핑"))</f>
        <v/>
      </c>
      <c r="O1722" s="9">
        <f>IF($A1722="","",N1722&amp;"|"&amp;$F1722)</f>
        <v/>
      </c>
      <c r="P1722" s="77">
        <f>IF($A1722="",0,$H1722*설정!$C$23)</f>
        <v/>
      </c>
      <c r="Q1722" s="39">
        <f>IF($A1722="","",IF(O1722&lt;&gt;원인분석!$C$9,"",IF(AND(M1722&gt;=원인분석!$C$10,M1722&lt;=원인분석!$C$11),"당기",IF(AND(M1722&gt;=원인분석!$C$12,M1722&lt;=원인분석!$C$13),"비교",""))))</f>
        <v/>
      </c>
      <c r="R1722" s="9">
        <f>IF(Q1722="","",$K1722&amp;"")</f>
        <v/>
      </c>
      <c r="S1722" s="9">
        <f>IF(Q1722="","",IF(MATCH(R1722,$R$5:$R$100000,0)=ROW()-4,ROW(),""))</f>
        <v/>
      </c>
      <c r="T1722" s="9">
        <f>IF(Q1722="당기",ABS(P1722)+ROW()/1000000000,"")</f>
        <v/>
      </c>
      <c r="U1722" s="9">
        <f>IF(Q1722="비교",ABS(P1722)+ROW()/1000000000,"")</f>
        <v/>
      </c>
      <c r="V1722" s="39">
        <f>IF($A1722="","",IF(COUNTIF(변동분석!$E$7:$E$506,O1722)&gt;0,"Y","N"))</f>
        <v/>
      </c>
      <c r="W1722" s="39">
        <f>IF($A1722="","",IFERROR(INDEX(계정매핑!$D$5:$D$504,MATCH($F1722&amp;"",계정매핑!$A$5:$A$504,0)),"미매핑"))</f>
        <v/>
      </c>
      <c r="X1722" s="9">
        <f>IF($A1722="","",$F1722&amp;"")</f>
        <v/>
      </c>
    </row>
    <row r="1723">
      <c r="A1723" s="75" t="n">
        <v>2025</v>
      </c>
      <c r="B1723" s="75" t="n">
        <v>9</v>
      </c>
      <c r="C1723" s="75" t="inlineStr">
        <is>
          <t>5100001719</t>
        </is>
      </c>
      <c r="D1723" s="78" t="n">
        <v>45923</v>
      </c>
      <c r="E1723" s="75" t="inlineStr">
        <is>
          <t>KR</t>
        </is>
      </c>
      <c r="F1723" s="75" t="n">
        <v>63001000</v>
      </c>
      <c r="G1723" s="75" t="n">
        <v>1701</v>
      </c>
      <c r="H1723" s="76" t="n">
        <v>46057000</v>
      </c>
      <c r="I1723" s="75" t="inlineStr">
        <is>
          <t>9월 SW 유지보수 - Y소프트</t>
        </is>
      </c>
      <c r="J1723" s="75" t="inlineStr">
        <is>
          <t>V10017</t>
        </is>
      </c>
      <c r="K1723" s="75" t="inlineStr">
        <is>
          <t>Y소프트</t>
        </is>
      </c>
      <c r="M1723" s="9">
        <f>IF($A1723="","",VALUE($A1723&amp;"")*12+VALUE($B1723&amp;""))</f>
        <v/>
      </c>
      <c r="N1723" s="39">
        <f>IF($A1723="","",IFERROR(INDEX(부서매핑!$C$5:$C$504,MATCH($G1723&amp;"",부서매핑!$A$5:$A$504,0)),"미매핑"))</f>
        <v/>
      </c>
      <c r="O1723" s="9">
        <f>IF($A1723="","",N1723&amp;"|"&amp;$F1723)</f>
        <v/>
      </c>
      <c r="P1723" s="77">
        <f>IF($A1723="",0,$H1723*설정!$C$23)</f>
        <v/>
      </c>
      <c r="Q1723" s="39">
        <f>IF($A1723="","",IF(O1723&lt;&gt;원인분석!$C$9,"",IF(AND(M1723&gt;=원인분석!$C$10,M1723&lt;=원인분석!$C$11),"당기",IF(AND(M1723&gt;=원인분석!$C$12,M1723&lt;=원인분석!$C$13),"비교",""))))</f>
        <v/>
      </c>
      <c r="R1723" s="9">
        <f>IF(Q1723="","",$K1723&amp;"")</f>
        <v/>
      </c>
      <c r="S1723" s="9">
        <f>IF(Q1723="","",IF(MATCH(R1723,$R$5:$R$100000,0)=ROW()-4,ROW(),""))</f>
        <v/>
      </c>
      <c r="T1723" s="9">
        <f>IF(Q1723="당기",ABS(P1723)+ROW()/1000000000,"")</f>
        <v/>
      </c>
      <c r="U1723" s="9">
        <f>IF(Q1723="비교",ABS(P1723)+ROW()/1000000000,"")</f>
        <v/>
      </c>
      <c r="V1723" s="39">
        <f>IF($A1723="","",IF(COUNTIF(변동분석!$E$7:$E$506,O1723)&gt;0,"Y","N"))</f>
        <v/>
      </c>
      <c r="W1723" s="39">
        <f>IF($A1723="","",IFERROR(INDEX(계정매핑!$D$5:$D$504,MATCH($F1723&amp;"",계정매핑!$A$5:$A$504,0)),"미매핑"))</f>
        <v/>
      </c>
      <c r="X1723" s="9">
        <f>IF($A1723="","",$F1723&amp;"")</f>
        <v/>
      </c>
    </row>
    <row r="1724">
      <c r="A1724" s="75" t="n">
        <v>2025</v>
      </c>
      <c r="B1724" s="75" t="n">
        <v>9</v>
      </c>
      <c r="C1724" s="75" t="inlineStr">
        <is>
          <t>5100001720</t>
        </is>
      </c>
      <c r="D1724" s="78" t="n">
        <v>45924</v>
      </c>
      <c r="E1724" s="75" t="inlineStr">
        <is>
          <t>KR</t>
        </is>
      </c>
      <c r="F1724" s="75" t="n">
        <v>62101000</v>
      </c>
      <c r="G1724" s="75" t="n">
        <v>1401</v>
      </c>
      <c r="H1724" s="76" t="n">
        <v>361000</v>
      </c>
      <c r="I1724" s="75" t="inlineStr">
        <is>
          <t>9월 국내출장 - M항공</t>
        </is>
      </c>
      <c r="J1724" s="75" t="inlineStr">
        <is>
          <t>V10001</t>
        </is>
      </c>
      <c r="K1724" s="75" t="inlineStr">
        <is>
          <t>M항공</t>
        </is>
      </c>
      <c r="M1724" s="9">
        <f>IF($A1724="","",VALUE($A1724&amp;"")*12+VALUE($B1724&amp;""))</f>
        <v/>
      </c>
      <c r="N1724" s="39">
        <f>IF($A1724="","",IFERROR(INDEX(부서매핑!$C$5:$C$504,MATCH($G1724&amp;"",부서매핑!$A$5:$A$504,0)),"미매핑"))</f>
        <v/>
      </c>
      <c r="O1724" s="9">
        <f>IF($A1724="","",N1724&amp;"|"&amp;$F1724)</f>
        <v/>
      </c>
      <c r="P1724" s="77">
        <f>IF($A1724="",0,$H1724*설정!$C$23)</f>
        <v/>
      </c>
      <c r="Q1724" s="39">
        <f>IF($A1724="","",IF(O1724&lt;&gt;원인분석!$C$9,"",IF(AND(M1724&gt;=원인분석!$C$10,M1724&lt;=원인분석!$C$11),"당기",IF(AND(M1724&gt;=원인분석!$C$12,M1724&lt;=원인분석!$C$13),"비교",""))))</f>
        <v/>
      </c>
      <c r="R1724" s="9">
        <f>IF(Q1724="","",$K1724&amp;"")</f>
        <v/>
      </c>
      <c r="S1724" s="9">
        <f>IF(Q1724="","",IF(MATCH(R1724,$R$5:$R$100000,0)=ROW()-4,ROW(),""))</f>
        <v/>
      </c>
      <c r="T1724" s="9">
        <f>IF(Q1724="당기",ABS(P1724)+ROW()/1000000000,"")</f>
        <v/>
      </c>
      <c r="U1724" s="9">
        <f>IF(Q1724="비교",ABS(P1724)+ROW()/1000000000,"")</f>
        <v/>
      </c>
      <c r="V1724" s="39">
        <f>IF($A1724="","",IF(COUNTIF(변동분석!$E$7:$E$506,O1724)&gt;0,"Y","N"))</f>
        <v/>
      </c>
      <c r="W1724" s="39">
        <f>IF($A1724="","",IFERROR(INDEX(계정매핑!$D$5:$D$504,MATCH($F1724&amp;"",계정매핑!$A$5:$A$504,0)),"미매핑"))</f>
        <v/>
      </c>
      <c r="X1724" s="9">
        <f>IF($A1724="","",$F1724&amp;"")</f>
        <v/>
      </c>
    </row>
    <row r="1725">
      <c r="A1725" s="75" t="n">
        <v>2025</v>
      </c>
      <c r="B1725" s="75" t="n">
        <v>9</v>
      </c>
      <c r="C1725" s="75" t="inlineStr">
        <is>
          <t>5100001721</t>
        </is>
      </c>
      <c r="D1725" s="78" t="n">
        <v>45924</v>
      </c>
      <c r="E1725" s="75" t="inlineStr">
        <is>
          <t>KR</t>
        </is>
      </c>
      <c r="F1725" s="75" t="n">
        <v>62101000</v>
      </c>
      <c r="G1725" s="75" t="n">
        <v>1701</v>
      </c>
      <c r="H1725" s="76" t="n">
        <v>314000</v>
      </c>
      <c r="I1725" s="75" t="inlineStr">
        <is>
          <t>9월 국내출장 - (법인카드)</t>
        </is>
      </c>
      <c r="J1725" s="75" t="inlineStr">
        <is>
          <t>V10008</t>
        </is>
      </c>
      <c r="K1725" s="75" t="inlineStr">
        <is>
          <t>(법인카드)</t>
        </is>
      </c>
      <c r="M1725" s="9">
        <f>IF($A1725="","",VALUE($A1725&amp;"")*12+VALUE($B1725&amp;""))</f>
        <v/>
      </c>
      <c r="N1725" s="39">
        <f>IF($A1725="","",IFERROR(INDEX(부서매핑!$C$5:$C$504,MATCH($G1725&amp;"",부서매핑!$A$5:$A$504,0)),"미매핑"))</f>
        <v/>
      </c>
      <c r="O1725" s="9">
        <f>IF($A1725="","",N1725&amp;"|"&amp;$F1725)</f>
        <v/>
      </c>
      <c r="P1725" s="77">
        <f>IF($A1725="",0,$H1725*설정!$C$23)</f>
        <v/>
      </c>
      <c r="Q1725" s="39">
        <f>IF($A1725="","",IF(O1725&lt;&gt;원인분석!$C$9,"",IF(AND(M1725&gt;=원인분석!$C$10,M1725&lt;=원인분석!$C$11),"당기",IF(AND(M1725&gt;=원인분석!$C$12,M1725&lt;=원인분석!$C$13),"비교",""))))</f>
        <v/>
      </c>
      <c r="R1725" s="9">
        <f>IF(Q1725="","",$K1725&amp;"")</f>
        <v/>
      </c>
      <c r="S1725" s="9">
        <f>IF(Q1725="","",IF(MATCH(R1725,$R$5:$R$100000,0)=ROW()-4,ROW(),""))</f>
        <v/>
      </c>
      <c r="T1725" s="9">
        <f>IF(Q1725="당기",ABS(P1725)+ROW()/1000000000,"")</f>
        <v/>
      </c>
      <c r="U1725" s="9">
        <f>IF(Q1725="비교",ABS(P1725)+ROW()/1000000000,"")</f>
        <v/>
      </c>
      <c r="V1725" s="39">
        <f>IF($A1725="","",IF(COUNTIF(변동분석!$E$7:$E$506,O1725)&gt;0,"Y","N"))</f>
        <v/>
      </c>
      <c r="W1725" s="39">
        <f>IF($A1725="","",IFERROR(INDEX(계정매핑!$D$5:$D$504,MATCH($F1725&amp;"",계정매핑!$A$5:$A$504,0)),"미매핑"))</f>
        <v/>
      </c>
      <c r="X1725" s="9">
        <f>IF($A1725="","",$F1725&amp;"")</f>
        <v/>
      </c>
    </row>
    <row r="1726">
      <c r="A1726" s="75" t="n">
        <v>2025</v>
      </c>
      <c r="B1726" s="75" t="n">
        <v>9</v>
      </c>
      <c r="C1726" s="75" t="inlineStr">
        <is>
          <t>5100001722</t>
        </is>
      </c>
      <c r="D1726" s="78" t="n">
        <v>45924</v>
      </c>
      <c r="E1726" s="75" t="inlineStr">
        <is>
          <t>KR</t>
        </is>
      </c>
      <c r="F1726" s="75" t="n">
        <v>62101000</v>
      </c>
      <c r="G1726" s="75" t="n">
        <v>1801</v>
      </c>
      <c r="H1726" s="76" t="n">
        <v>92000</v>
      </c>
      <c r="I1726" s="75" t="inlineStr">
        <is>
          <t>9월 국내출장 - (법인카드)</t>
        </is>
      </c>
      <c r="J1726" s="75" t="inlineStr">
        <is>
          <t>V10008</t>
        </is>
      </c>
      <c r="K1726" s="75" t="inlineStr">
        <is>
          <t>(법인카드)</t>
        </is>
      </c>
      <c r="M1726" s="9">
        <f>IF($A1726="","",VALUE($A1726&amp;"")*12+VALUE($B1726&amp;""))</f>
        <v/>
      </c>
      <c r="N1726" s="39">
        <f>IF($A1726="","",IFERROR(INDEX(부서매핑!$C$5:$C$504,MATCH($G1726&amp;"",부서매핑!$A$5:$A$504,0)),"미매핑"))</f>
        <v/>
      </c>
      <c r="O1726" s="9">
        <f>IF($A1726="","",N1726&amp;"|"&amp;$F1726)</f>
        <v/>
      </c>
      <c r="P1726" s="77">
        <f>IF($A1726="",0,$H1726*설정!$C$23)</f>
        <v/>
      </c>
      <c r="Q1726" s="39">
        <f>IF($A1726="","",IF(O1726&lt;&gt;원인분석!$C$9,"",IF(AND(M1726&gt;=원인분석!$C$10,M1726&lt;=원인분석!$C$11),"당기",IF(AND(M1726&gt;=원인분석!$C$12,M1726&lt;=원인분석!$C$13),"비교",""))))</f>
        <v/>
      </c>
      <c r="R1726" s="9">
        <f>IF(Q1726="","",$K1726&amp;"")</f>
        <v/>
      </c>
      <c r="S1726" s="9">
        <f>IF(Q1726="","",IF(MATCH(R1726,$R$5:$R$100000,0)=ROW()-4,ROW(),""))</f>
        <v/>
      </c>
      <c r="T1726" s="9">
        <f>IF(Q1726="당기",ABS(P1726)+ROW()/1000000000,"")</f>
        <v/>
      </c>
      <c r="U1726" s="9">
        <f>IF(Q1726="비교",ABS(P1726)+ROW()/1000000000,"")</f>
        <v/>
      </c>
      <c r="V1726" s="39">
        <f>IF($A1726="","",IF(COUNTIF(변동분석!$E$7:$E$506,O1726)&gt;0,"Y","N"))</f>
        <v/>
      </c>
      <c r="W1726" s="39">
        <f>IF($A1726="","",IFERROR(INDEX(계정매핑!$D$5:$D$504,MATCH($F1726&amp;"",계정매핑!$A$5:$A$504,0)),"미매핑"))</f>
        <v/>
      </c>
      <c r="X1726" s="9">
        <f>IF($A1726="","",$F1726&amp;"")</f>
        <v/>
      </c>
    </row>
    <row r="1727">
      <c r="A1727" s="75" t="n">
        <v>2025</v>
      </c>
      <c r="B1727" s="75" t="n">
        <v>9</v>
      </c>
      <c r="C1727" s="75" t="inlineStr">
        <is>
          <t>5100001723</t>
        </is>
      </c>
      <c r="D1727" s="78" t="n">
        <v>45924</v>
      </c>
      <c r="E1727" s="75" t="inlineStr">
        <is>
          <t>KR</t>
        </is>
      </c>
      <c r="F1727" s="75" t="n">
        <v>62301000</v>
      </c>
      <c r="G1727" s="75" t="n">
        <v>1201</v>
      </c>
      <c r="H1727" s="76" t="n">
        <v>185000</v>
      </c>
      <c r="I1727" s="75" t="inlineStr">
        <is>
          <t>9월 소모품 구입 - R문구</t>
        </is>
      </c>
      <c r="J1727" s="75" t="inlineStr">
        <is>
          <t>V10018</t>
        </is>
      </c>
      <c r="K1727" s="75" t="inlineStr">
        <is>
          <t>R문구</t>
        </is>
      </c>
      <c r="M1727" s="9">
        <f>IF($A1727="","",VALUE($A1727&amp;"")*12+VALUE($B1727&amp;""))</f>
        <v/>
      </c>
      <c r="N1727" s="39">
        <f>IF($A1727="","",IFERROR(INDEX(부서매핑!$C$5:$C$504,MATCH($G1727&amp;"",부서매핑!$A$5:$A$504,0)),"미매핑"))</f>
        <v/>
      </c>
      <c r="O1727" s="9">
        <f>IF($A1727="","",N1727&amp;"|"&amp;$F1727)</f>
        <v/>
      </c>
      <c r="P1727" s="77">
        <f>IF($A1727="",0,$H1727*설정!$C$23)</f>
        <v/>
      </c>
      <c r="Q1727" s="39">
        <f>IF($A1727="","",IF(O1727&lt;&gt;원인분석!$C$9,"",IF(AND(M1727&gt;=원인분석!$C$10,M1727&lt;=원인분석!$C$11),"당기",IF(AND(M1727&gt;=원인분석!$C$12,M1727&lt;=원인분석!$C$13),"비교",""))))</f>
        <v/>
      </c>
      <c r="R1727" s="9">
        <f>IF(Q1727="","",$K1727&amp;"")</f>
        <v/>
      </c>
      <c r="S1727" s="9">
        <f>IF(Q1727="","",IF(MATCH(R1727,$R$5:$R$100000,0)=ROW()-4,ROW(),""))</f>
        <v/>
      </c>
      <c r="T1727" s="9">
        <f>IF(Q1727="당기",ABS(P1727)+ROW()/1000000000,"")</f>
        <v/>
      </c>
      <c r="U1727" s="9">
        <f>IF(Q1727="비교",ABS(P1727)+ROW()/1000000000,"")</f>
        <v/>
      </c>
      <c r="V1727" s="39">
        <f>IF($A1727="","",IF(COUNTIF(변동분석!$E$7:$E$506,O1727)&gt;0,"Y","N"))</f>
        <v/>
      </c>
      <c r="W1727" s="39">
        <f>IF($A1727="","",IFERROR(INDEX(계정매핑!$D$5:$D$504,MATCH($F1727&amp;"",계정매핑!$A$5:$A$504,0)),"미매핑"))</f>
        <v/>
      </c>
      <c r="X1727" s="9">
        <f>IF($A1727="","",$F1727&amp;"")</f>
        <v/>
      </c>
    </row>
    <row r="1728">
      <c r="A1728" s="75" t="n">
        <v>2025</v>
      </c>
      <c r="B1728" s="75" t="n">
        <v>9</v>
      </c>
      <c r="C1728" s="75" t="inlineStr">
        <is>
          <t>5100001724</t>
        </is>
      </c>
      <c r="D1728" s="78" t="n">
        <v>45924</v>
      </c>
      <c r="E1728" s="75" t="inlineStr">
        <is>
          <t>KR</t>
        </is>
      </c>
      <c r="F1728" s="75" t="n">
        <v>62701000</v>
      </c>
      <c r="G1728" s="75" t="n">
        <v>1501</v>
      </c>
      <c r="H1728" s="76" t="n">
        <v>96494000</v>
      </c>
      <c r="I1728" s="75" t="inlineStr">
        <is>
          <t>9월 광고 집행 - E미디어</t>
        </is>
      </c>
      <c r="J1728" s="75" t="inlineStr">
        <is>
          <t>V10027</t>
        </is>
      </c>
      <c r="K1728" s="75" t="inlineStr">
        <is>
          <t>E미디어</t>
        </is>
      </c>
      <c r="M1728" s="9">
        <f>IF($A1728="","",VALUE($A1728&amp;"")*12+VALUE($B1728&amp;""))</f>
        <v/>
      </c>
      <c r="N1728" s="39">
        <f>IF($A1728="","",IFERROR(INDEX(부서매핑!$C$5:$C$504,MATCH($G1728&amp;"",부서매핑!$A$5:$A$504,0)),"미매핑"))</f>
        <v/>
      </c>
      <c r="O1728" s="9">
        <f>IF($A1728="","",N1728&amp;"|"&amp;$F1728)</f>
        <v/>
      </c>
      <c r="P1728" s="77">
        <f>IF($A1728="",0,$H1728*설정!$C$23)</f>
        <v/>
      </c>
      <c r="Q1728" s="39">
        <f>IF($A1728="","",IF(O1728&lt;&gt;원인분석!$C$9,"",IF(AND(M1728&gt;=원인분석!$C$10,M1728&lt;=원인분석!$C$11),"당기",IF(AND(M1728&gt;=원인분석!$C$12,M1728&lt;=원인분석!$C$13),"비교",""))))</f>
        <v/>
      </c>
      <c r="R1728" s="9">
        <f>IF(Q1728="","",$K1728&amp;"")</f>
        <v/>
      </c>
      <c r="S1728" s="9">
        <f>IF(Q1728="","",IF(MATCH(R1728,$R$5:$R$100000,0)=ROW()-4,ROW(),""))</f>
        <v/>
      </c>
      <c r="T1728" s="9">
        <f>IF(Q1728="당기",ABS(P1728)+ROW()/1000000000,"")</f>
        <v/>
      </c>
      <c r="U1728" s="9">
        <f>IF(Q1728="비교",ABS(P1728)+ROW()/1000000000,"")</f>
        <v/>
      </c>
      <c r="V1728" s="39">
        <f>IF($A1728="","",IF(COUNTIF(변동분석!$E$7:$E$506,O1728)&gt;0,"Y","N"))</f>
        <v/>
      </c>
      <c r="W1728" s="39">
        <f>IF($A1728="","",IFERROR(INDEX(계정매핑!$D$5:$D$504,MATCH($F1728&amp;"",계정매핑!$A$5:$A$504,0)),"미매핑"))</f>
        <v/>
      </c>
      <c r="X1728" s="9">
        <f>IF($A1728="","",$F1728&amp;"")</f>
        <v/>
      </c>
    </row>
    <row r="1729">
      <c r="A1729" s="75" t="n">
        <v>2025</v>
      </c>
      <c r="B1729" s="75" t="n">
        <v>9</v>
      </c>
      <c r="C1729" s="75" t="inlineStr">
        <is>
          <t>5100001725</t>
        </is>
      </c>
      <c r="D1729" s="78" t="n">
        <v>45924</v>
      </c>
      <c r="E1729" s="75" t="inlineStr">
        <is>
          <t>KR</t>
        </is>
      </c>
      <c r="F1729" s="75" t="n">
        <v>62901000</v>
      </c>
      <c r="G1729" s="75" t="n">
        <v>1101</v>
      </c>
      <c r="H1729" s="76" t="n">
        <v>3229000</v>
      </c>
      <c r="I1729" s="75" t="inlineStr">
        <is>
          <t>9월 자문 수수료 - K회계법인</t>
        </is>
      </c>
      <c r="J1729" s="75" t="inlineStr">
        <is>
          <t>V10010</t>
        </is>
      </c>
      <c r="K1729" s="75" t="inlineStr">
        <is>
          <t>K회계법인</t>
        </is>
      </c>
      <c r="M1729" s="9">
        <f>IF($A1729="","",VALUE($A1729&amp;"")*12+VALUE($B1729&amp;""))</f>
        <v/>
      </c>
      <c r="N1729" s="39">
        <f>IF($A1729="","",IFERROR(INDEX(부서매핑!$C$5:$C$504,MATCH($G1729&amp;"",부서매핑!$A$5:$A$504,0)),"미매핑"))</f>
        <v/>
      </c>
      <c r="O1729" s="9">
        <f>IF($A1729="","",N1729&amp;"|"&amp;$F1729)</f>
        <v/>
      </c>
      <c r="P1729" s="77">
        <f>IF($A1729="",0,$H1729*설정!$C$23)</f>
        <v/>
      </c>
      <c r="Q1729" s="39">
        <f>IF($A1729="","",IF(O1729&lt;&gt;원인분석!$C$9,"",IF(AND(M1729&gt;=원인분석!$C$10,M1729&lt;=원인분석!$C$11),"당기",IF(AND(M1729&gt;=원인분석!$C$12,M1729&lt;=원인분석!$C$13),"비교",""))))</f>
        <v/>
      </c>
      <c r="R1729" s="9">
        <f>IF(Q1729="","",$K1729&amp;"")</f>
        <v/>
      </c>
      <c r="S1729" s="9">
        <f>IF(Q1729="","",IF(MATCH(R1729,$R$5:$R$100000,0)=ROW()-4,ROW(),""))</f>
        <v/>
      </c>
      <c r="T1729" s="9">
        <f>IF(Q1729="당기",ABS(P1729)+ROW()/1000000000,"")</f>
        <v/>
      </c>
      <c r="U1729" s="9">
        <f>IF(Q1729="비교",ABS(P1729)+ROW()/1000000000,"")</f>
        <v/>
      </c>
      <c r="V1729" s="39">
        <f>IF($A1729="","",IF(COUNTIF(변동분석!$E$7:$E$506,O1729)&gt;0,"Y","N"))</f>
        <v/>
      </c>
      <c r="W1729" s="39">
        <f>IF($A1729="","",IFERROR(INDEX(계정매핑!$D$5:$D$504,MATCH($F1729&amp;"",계정매핑!$A$5:$A$504,0)),"미매핑"))</f>
        <v/>
      </c>
      <c r="X1729" s="9">
        <f>IF($A1729="","",$F1729&amp;"")</f>
        <v/>
      </c>
    </row>
    <row r="1730">
      <c r="A1730" s="75" t="n">
        <v>2025</v>
      </c>
      <c r="B1730" s="75" t="n">
        <v>9</v>
      </c>
      <c r="C1730" s="75" t="inlineStr">
        <is>
          <t>5100001726</t>
        </is>
      </c>
      <c r="D1730" s="78" t="n">
        <v>45924</v>
      </c>
      <c r="E1730" s="75" t="inlineStr">
        <is>
          <t>KR</t>
        </is>
      </c>
      <c r="F1730" s="75" t="n">
        <v>62901000</v>
      </c>
      <c r="G1730" s="75" t="n">
        <v>1801</v>
      </c>
      <c r="H1730" s="76" t="n">
        <v>8286000</v>
      </c>
      <c r="I1730" s="75" t="inlineStr">
        <is>
          <t>9월 자문 수수료 - W컨설팅</t>
        </is>
      </c>
      <c r="J1730" s="75" t="inlineStr">
        <is>
          <t>V10009</t>
        </is>
      </c>
      <c r="K1730" s="75" t="inlineStr">
        <is>
          <t>W컨설팅</t>
        </is>
      </c>
      <c r="M1730" s="9">
        <f>IF($A1730="","",VALUE($A1730&amp;"")*12+VALUE($B1730&amp;""))</f>
        <v/>
      </c>
      <c r="N1730" s="39">
        <f>IF($A1730="","",IFERROR(INDEX(부서매핑!$C$5:$C$504,MATCH($G1730&amp;"",부서매핑!$A$5:$A$504,0)),"미매핑"))</f>
        <v/>
      </c>
      <c r="O1730" s="9">
        <f>IF($A1730="","",N1730&amp;"|"&amp;$F1730)</f>
        <v/>
      </c>
      <c r="P1730" s="77">
        <f>IF($A1730="",0,$H1730*설정!$C$23)</f>
        <v/>
      </c>
      <c r="Q1730" s="39">
        <f>IF($A1730="","",IF(O1730&lt;&gt;원인분석!$C$9,"",IF(AND(M1730&gt;=원인분석!$C$10,M1730&lt;=원인분석!$C$11),"당기",IF(AND(M1730&gt;=원인분석!$C$12,M1730&lt;=원인분석!$C$13),"비교",""))))</f>
        <v/>
      </c>
      <c r="R1730" s="9">
        <f>IF(Q1730="","",$K1730&amp;"")</f>
        <v/>
      </c>
      <c r="S1730" s="9">
        <f>IF(Q1730="","",IF(MATCH(R1730,$R$5:$R$100000,0)=ROW()-4,ROW(),""))</f>
        <v/>
      </c>
      <c r="T1730" s="9">
        <f>IF(Q1730="당기",ABS(P1730)+ROW()/1000000000,"")</f>
        <v/>
      </c>
      <c r="U1730" s="9">
        <f>IF(Q1730="비교",ABS(P1730)+ROW()/1000000000,"")</f>
        <v/>
      </c>
      <c r="V1730" s="39">
        <f>IF($A1730="","",IF(COUNTIF(변동분석!$E$7:$E$506,O1730)&gt;0,"Y","N"))</f>
        <v/>
      </c>
      <c r="W1730" s="39">
        <f>IF($A1730="","",IFERROR(INDEX(계정매핑!$D$5:$D$504,MATCH($F1730&amp;"",계정매핑!$A$5:$A$504,0)),"미매핑"))</f>
        <v/>
      </c>
      <c r="X1730" s="9">
        <f>IF($A1730="","",$F1730&amp;"")</f>
        <v/>
      </c>
    </row>
    <row r="1731">
      <c r="A1731" s="75" t="n">
        <v>2025</v>
      </c>
      <c r="B1731" s="75" t="n">
        <v>9</v>
      </c>
      <c r="C1731" s="75" t="inlineStr">
        <is>
          <t>5100001727</t>
        </is>
      </c>
      <c r="D1731" s="78" t="n">
        <v>45924</v>
      </c>
      <c r="E1731" s="75" t="inlineStr">
        <is>
          <t>KR</t>
        </is>
      </c>
      <c r="F1731" s="75" t="n">
        <v>62902000</v>
      </c>
      <c r="G1731" s="75" t="n">
        <v>1201</v>
      </c>
      <c r="H1731" s="76" t="n">
        <v>2476000</v>
      </c>
      <c r="I1731" s="75" t="inlineStr">
        <is>
          <t>9월 업무 위탁 수수료 - J콜센터</t>
        </is>
      </c>
      <c r="J1731" s="75" t="inlineStr">
        <is>
          <t>V10013</t>
        </is>
      </c>
      <c r="K1731" s="75" t="inlineStr">
        <is>
          <t>J콜센터</t>
        </is>
      </c>
      <c r="M1731" s="9">
        <f>IF($A1731="","",VALUE($A1731&amp;"")*12+VALUE($B1731&amp;""))</f>
        <v/>
      </c>
      <c r="N1731" s="39">
        <f>IF($A1731="","",IFERROR(INDEX(부서매핑!$C$5:$C$504,MATCH($G1731&amp;"",부서매핑!$A$5:$A$504,0)),"미매핑"))</f>
        <v/>
      </c>
      <c r="O1731" s="9">
        <f>IF($A1731="","",N1731&amp;"|"&amp;$F1731)</f>
        <v/>
      </c>
      <c r="P1731" s="77">
        <f>IF($A1731="",0,$H1731*설정!$C$23)</f>
        <v/>
      </c>
      <c r="Q1731" s="39">
        <f>IF($A1731="","",IF(O1731&lt;&gt;원인분석!$C$9,"",IF(AND(M1731&gt;=원인분석!$C$10,M1731&lt;=원인분석!$C$11),"당기",IF(AND(M1731&gt;=원인분석!$C$12,M1731&lt;=원인분석!$C$13),"비교",""))))</f>
        <v/>
      </c>
      <c r="R1731" s="9">
        <f>IF(Q1731="","",$K1731&amp;"")</f>
        <v/>
      </c>
      <c r="S1731" s="9">
        <f>IF(Q1731="","",IF(MATCH(R1731,$R$5:$R$100000,0)=ROW()-4,ROW(),""))</f>
        <v/>
      </c>
      <c r="T1731" s="9">
        <f>IF(Q1731="당기",ABS(P1731)+ROW()/1000000000,"")</f>
        <v/>
      </c>
      <c r="U1731" s="9">
        <f>IF(Q1731="비교",ABS(P1731)+ROW()/1000000000,"")</f>
        <v/>
      </c>
      <c r="V1731" s="39">
        <f>IF($A1731="","",IF(COUNTIF(변동분석!$E$7:$E$506,O1731)&gt;0,"Y","N"))</f>
        <v/>
      </c>
      <c r="W1731" s="39">
        <f>IF($A1731="","",IFERROR(INDEX(계정매핑!$D$5:$D$504,MATCH($F1731&amp;"",계정매핑!$A$5:$A$504,0)),"미매핑"))</f>
        <v/>
      </c>
      <c r="X1731" s="9">
        <f>IF($A1731="","",$F1731&amp;"")</f>
        <v/>
      </c>
    </row>
    <row r="1732">
      <c r="A1732" s="75" t="n">
        <v>2025</v>
      </c>
      <c r="B1732" s="75" t="n">
        <v>9</v>
      </c>
      <c r="C1732" s="75" t="inlineStr">
        <is>
          <t>5100001728</t>
        </is>
      </c>
      <c r="D1732" s="78" t="n">
        <v>45925</v>
      </c>
      <c r="E1732" s="75" t="inlineStr">
        <is>
          <t>KR</t>
        </is>
      </c>
      <c r="F1732" s="75" t="n">
        <v>62101000</v>
      </c>
      <c r="G1732" s="75" t="n">
        <v>1101</v>
      </c>
      <c r="H1732" s="76" t="n">
        <v>391000</v>
      </c>
      <c r="I1732" s="75" t="inlineStr">
        <is>
          <t>9월 국내출장 - (법인카드)</t>
        </is>
      </c>
      <c r="J1732" s="75" t="inlineStr">
        <is>
          <t>V10008</t>
        </is>
      </c>
      <c r="K1732" s="75" t="inlineStr">
        <is>
          <t>(법인카드)</t>
        </is>
      </c>
      <c r="M1732" s="9">
        <f>IF($A1732="","",VALUE($A1732&amp;"")*12+VALUE($B1732&amp;""))</f>
        <v/>
      </c>
      <c r="N1732" s="39">
        <f>IF($A1732="","",IFERROR(INDEX(부서매핑!$C$5:$C$504,MATCH($G1732&amp;"",부서매핑!$A$5:$A$504,0)),"미매핑"))</f>
        <v/>
      </c>
      <c r="O1732" s="9">
        <f>IF($A1732="","",N1732&amp;"|"&amp;$F1732)</f>
        <v/>
      </c>
      <c r="P1732" s="77">
        <f>IF($A1732="",0,$H1732*설정!$C$23)</f>
        <v/>
      </c>
      <c r="Q1732" s="39">
        <f>IF($A1732="","",IF(O1732&lt;&gt;원인분석!$C$9,"",IF(AND(M1732&gt;=원인분석!$C$10,M1732&lt;=원인분석!$C$11),"당기",IF(AND(M1732&gt;=원인분석!$C$12,M1732&lt;=원인분석!$C$13),"비교",""))))</f>
        <v/>
      </c>
      <c r="R1732" s="9">
        <f>IF(Q1732="","",$K1732&amp;"")</f>
        <v/>
      </c>
      <c r="S1732" s="9">
        <f>IF(Q1732="","",IF(MATCH(R1732,$R$5:$R$100000,0)=ROW()-4,ROW(),""))</f>
        <v/>
      </c>
      <c r="T1732" s="9">
        <f>IF(Q1732="당기",ABS(P1732)+ROW()/1000000000,"")</f>
        <v/>
      </c>
      <c r="U1732" s="9">
        <f>IF(Q1732="비교",ABS(P1732)+ROW()/1000000000,"")</f>
        <v/>
      </c>
      <c r="V1732" s="39">
        <f>IF($A1732="","",IF(COUNTIF(변동분석!$E$7:$E$506,O1732)&gt;0,"Y","N"))</f>
        <v/>
      </c>
      <c r="W1732" s="39">
        <f>IF($A1732="","",IFERROR(INDEX(계정매핑!$D$5:$D$504,MATCH($F1732&amp;"",계정매핑!$A$5:$A$504,0)),"미매핑"))</f>
        <v/>
      </c>
      <c r="X1732" s="9">
        <f>IF($A1732="","",$F1732&amp;"")</f>
        <v/>
      </c>
    </row>
    <row r="1733">
      <c r="A1733" s="75" t="n">
        <v>2025</v>
      </c>
      <c r="B1733" s="75" t="n">
        <v>9</v>
      </c>
      <c r="C1733" s="75" t="inlineStr">
        <is>
          <t>5100001729</t>
        </is>
      </c>
      <c r="D1733" s="78" t="n">
        <v>45925</v>
      </c>
      <c r="E1733" s="75" t="inlineStr">
        <is>
          <t>KR</t>
        </is>
      </c>
      <c r="F1733" s="75" t="n">
        <v>62102000</v>
      </c>
      <c r="G1733" s="75" t="n">
        <v>1101</v>
      </c>
      <c r="H1733" s="76" t="n">
        <v>171000</v>
      </c>
      <c r="I1733" s="75" t="inlineStr">
        <is>
          <t>9월 해외출장 - N호텔</t>
        </is>
      </c>
      <c r="J1733" s="75" t="inlineStr">
        <is>
          <t>V10007</t>
        </is>
      </c>
      <c r="K1733" s="75" t="inlineStr">
        <is>
          <t>N호텔</t>
        </is>
      </c>
      <c r="M1733" s="9">
        <f>IF($A1733="","",VALUE($A1733&amp;"")*12+VALUE($B1733&amp;""))</f>
        <v/>
      </c>
      <c r="N1733" s="39">
        <f>IF($A1733="","",IFERROR(INDEX(부서매핑!$C$5:$C$504,MATCH($G1733&amp;"",부서매핑!$A$5:$A$504,0)),"미매핑"))</f>
        <v/>
      </c>
      <c r="O1733" s="9">
        <f>IF($A1733="","",N1733&amp;"|"&amp;$F1733)</f>
        <v/>
      </c>
      <c r="P1733" s="77">
        <f>IF($A1733="",0,$H1733*설정!$C$23)</f>
        <v/>
      </c>
      <c r="Q1733" s="39">
        <f>IF($A1733="","",IF(O1733&lt;&gt;원인분석!$C$9,"",IF(AND(M1733&gt;=원인분석!$C$10,M1733&lt;=원인분석!$C$11),"당기",IF(AND(M1733&gt;=원인분석!$C$12,M1733&lt;=원인분석!$C$13),"비교",""))))</f>
        <v/>
      </c>
      <c r="R1733" s="9">
        <f>IF(Q1733="","",$K1733&amp;"")</f>
        <v/>
      </c>
      <c r="S1733" s="9">
        <f>IF(Q1733="","",IF(MATCH(R1733,$R$5:$R$100000,0)=ROW()-4,ROW(),""))</f>
        <v/>
      </c>
      <c r="T1733" s="9">
        <f>IF(Q1733="당기",ABS(P1733)+ROW()/1000000000,"")</f>
        <v/>
      </c>
      <c r="U1733" s="9">
        <f>IF(Q1733="비교",ABS(P1733)+ROW()/1000000000,"")</f>
        <v/>
      </c>
      <c r="V1733" s="39">
        <f>IF($A1733="","",IF(COUNTIF(변동분석!$E$7:$E$506,O1733)&gt;0,"Y","N"))</f>
        <v/>
      </c>
      <c r="W1733" s="39">
        <f>IF($A1733="","",IFERROR(INDEX(계정매핑!$D$5:$D$504,MATCH($F1733&amp;"",계정매핑!$A$5:$A$504,0)),"미매핑"))</f>
        <v/>
      </c>
      <c r="X1733" s="9">
        <f>IF($A1733="","",$F1733&amp;"")</f>
        <v/>
      </c>
    </row>
    <row r="1734">
      <c r="A1734" s="75" t="n">
        <v>2025</v>
      </c>
      <c r="B1734" s="75" t="n">
        <v>9</v>
      </c>
      <c r="C1734" s="75" t="inlineStr">
        <is>
          <t>5100001730</t>
        </is>
      </c>
      <c r="D1734" s="78" t="n">
        <v>45925</v>
      </c>
      <c r="E1734" s="75" t="inlineStr">
        <is>
          <t>KR</t>
        </is>
      </c>
      <c r="F1734" s="75" t="n">
        <v>62301000</v>
      </c>
      <c r="G1734" s="75" t="n">
        <v>1101</v>
      </c>
      <c r="H1734" s="76" t="n">
        <v>183000</v>
      </c>
      <c r="I1734" s="75" t="inlineStr">
        <is>
          <t>9월 소모품 구입 - Q오피스</t>
        </is>
      </c>
      <c r="J1734" s="75" t="inlineStr">
        <is>
          <t>V10003</t>
        </is>
      </c>
      <c r="K1734" s="75" t="inlineStr">
        <is>
          <t>Q오피스</t>
        </is>
      </c>
      <c r="M1734" s="9">
        <f>IF($A1734="","",VALUE($A1734&amp;"")*12+VALUE($B1734&amp;""))</f>
        <v/>
      </c>
      <c r="N1734" s="39">
        <f>IF($A1734="","",IFERROR(INDEX(부서매핑!$C$5:$C$504,MATCH($G1734&amp;"",부서매핑!$A$5:$A$504,0)),"미매핑"))</f>
        <v/>
      </c>
      <c r="O1734" s="9">
        <f>IF($A1734="","",N1734&amp;"|"&amp;$F1734)</f>
        <v/>
      </c>
      <c r="P1734" s="77">
        <f>IF($A1734="",0,$H1734*설정!$C$23)</f>
        <v/>
      </c>
      <c r="Q1734" s="39">
        <f>IF($A1734="","",IF(O1734&lt;&gt;원인분석!$C$9,"",IF(AND(M1734&gt;=원인분석!$C$10,M1734&lt;=원인분석!$C$11),"당기",IF(AND(M1734&gt;=원인분석!$C$12,M1734&lt;=원인분석!$C$13),"비교",""))))</f>
        <v/>
      </c>
      <c r="R1734" s="9">
        <f>IF(Q1734="","",$K1734&amp;"")</f>
        <v/>
      </c>
      <c r="S1734" s="9">
        <f>IF(Q1734="","",IF(MATCH(R1734,$R$5:$R$100000,0)=ROW()-4,ROW(),""))</f>
        <v/>
      </c>
      <c r="T1734" s="9">
        <f>IF(Q1734="당기",ABS(P1734)+ROW()/1000000000,"")</f>
        <v/>
      </c>
      <c r="U1734" s="9">
        <f>IF(Q1734="비교",ABS(P1734)+ROW()/1000000000,"")</f>
        <v/>
      </c>
      <c r="V1734" s="39">
        <f>IF($A1734="","",IF(COUNTIF(변동분석!$E$7:$E$506,O1734)&gt;0,"Y","N"))</f>
        <v/>
      </c>
      <c r="W1734" s="39">
        <f>IF($A1734="","",IFERROR(INDEX(계정매핑!$D$5:$D$504,MATCH($F1734&amp;"",계정매핑!$A$5:$A$504,0)),"미매핑"))</f>
        <v/>
      </c>
      <c r="X1734" s="9">
        <f>IF($A1734="","",$F1734&amp;"")</f>
        <v/>
      </c>
    </row>
    <row r="1735">
      <c r="A1735" s="75" t="n">
        <v>2025</v>
      </c>
      <c r="B1735" s="75" t="n">
        <v>9</v>
      </c>
      <c r="C1735" s="75" t="inlineStr">
        <is>
          <t>5100001731</t>
        </is>
      </c>
      <c r="D1735" s="78" t="n">
        <v>45925</v>
      </c>
      <c r="E1735" s="75" t="inlineStr">
        <is>
          <t>KR</t>
        </is>
      </c>
      <c r="F1735" s="75" t="n">
        <v>62301000</v>
      </c>
      <c r="G1735" s="75" t="n">
        <v>1401</v>
      </c>
      <c r="H1735" s="76" t="n">
        <v>119000</v>
      </c>
      <c r="I1735" s="75" t="inlineStr">
        <is>
          <t>9월 소모품 구입 - Q오피스</t>
        </is>
      </c>
      <c r="J1735" s="75" t="inlineStr">
        <is>
          <t>V10003</t>
        </is>
      </c>
      <c r="K1735" s="75" t="inlineStr">
        <is>
          <t>Q오피스</t>
        </is>
      </c>
      <c r="M1735" s="9">
        <f>IF($A1735="","",VALUE($A1735&amp;"")*12+VALUE($B1735&amp;""))</f>
        <v/>
      </c>
      <c r="N1735" s="39">
        <f>IF($A1735="","",IFERROR(INDEX(부서매핑!$C$5:$C$504,MATCH($G1735&amp;"",부서매핑!$A$5:$A$504,0)),"미매핑"))</f>
        <v/>
      </c>
      <c r="O1735" s="9">
        <f>IF($A1735="","",N1735&amp;"|"&amp;$F1735)</f>
        <v/>
      </c>
      <c r="P1735" s="77">
        <f>IF($A1735="",0,$H1735*설정!$C$23)</f>
        <v/>
      </c>
      <c r="Q1735" s="39">
        <f>IF($A1735="","",IF(O1735&lt;&gt;원인분석!$C$9,"",IF(AND(M1735&gt;=원인분석!$C$10,M1735&lt;=원인분석!$C$11),"당기",IF(AND(M1735&gt;=원인분석!$C$12,M1735&lt;=원인분석!$C$13),"비교",""))))</f>
        <v/>
      </c>
      <c r="R1735" s="9">
        <f>IF(Q1735="","",$K1735&amp;"")</f>
        <v/>
      </c>
      <c r="S1735" s="9">
        <f>IF(Q1735="","",IF(MATCH(R1735,$R$5:$R$100000,0)=ROW()-4,ROW(),""))</f>
        <v/>
      </c>
      <c r="T1735" s="9">
        <f>IF(Q1735="당기",ABS(P1735)+ROW()/1000000000,"")</f>
        <v/>
      </c>
      <c r="U1735" s="9">
        <f>IF(Q1735="비교",ABS(P1735)+ROW()/1000000000,"")</f>
        <v/>
      </c>
      <c r="V1735" s="39">
        <f>IF($A1735="","",IF(COUNTIF(변동분석!$E$7:$E$506,O1735)&gt;0,"Y","N"))</f>
        <v/>
      </c>
      <c r="W1735" s="39">
        <f>IF($A1735="","",IFERROR(INDEX(계정매핑!$D$5:$D$504,MATCH($F1735&amp;"",계정매핑!$A$5:$A$504,0)),"미매핑"))</f>
        <v/>
      </c>
      <c r="X1735" s="9">
        <f>IF($A1735="","",$F1735&amp;"")</f>
        <v/>
      </c>
    </row>
    <row r="1736">
      <c r="A1736" s="75" t="n">
        <v>2025</v>
      </c>
      <c r="B1736" s="75" t="n">
        <v>9</v>
      </c>
      <c r="C1736" s="75" t="inlineStr">
        <is>
          <t>5100001732</t>
        </is>
      </c>
      <c r="D1736" s="78" t="n">
        <v>45925</v>
      </c>
      <c r="E1736" s="75" t="inlineStr">
        <is>
          <t>KR</t>
        </is>
      </c>
      <c r="F1736" s="75" t="n">
        <v>62301000</v>
      </c>
      <c r="G1736" s="75" t="n">
        <v>1401</v>
      </c>
      <c r="H1736" s="76" t="n">
        <v>144000</v>
      </c>
      <c r="I1736" s="75" t="inlineStr">
        <is>
          <t>9월 소모품 구입 - R문구</t>
        </is>
      </c>
      <c r="J1736" s="75" t="inlineStr">
        <is>
          <t>V10018</t>
        </is>
      </c>
      <c r="K1736" s="75" t="inlineStr">
        <is>
          <t>R문구</t>
        </is>
      </c>
      <c r="M1736" s="9">
        <f>IF($A1736="","",VALUE($A1736&amp;"")*12+VALUE($B1736&amp;""))</f>
        <v/>
      </c>
      <c r="N1736" s="39">
        <f>IF($A1736="","",IFERROR(INDEX(부서매핑!$C$5:$C$504,MATCH($G1736&amp;"",부서매핑!$A$5:$A$504,0)),"미매핑"))</f>
        <v/>
      </c>
      <c r="O1736" s="9">
        <f>IF($A1736="","",N1736&amp;"|"&amp;$F1736)</f>
        <v/>
      </c>
      <c r="P1736" s="77">
        <f>IF($A1736="",0,$H1736*설정!$C$23)</f>
        <v/>
      </c>
      <c r="Q1736" s="39">
        <f>IF($A1736="","",IF(O1736&lt;&gt;원인분석!$C$9,"",IF(AND(M1736&gt;=원인분석!$C$10,M1736&lt;=원인분석!$C$11),"당기",IF(AND(M1736&gt;=원인분석!$C$12,M1736&lt;=원인분석!$C$13),"비교",""))))</f>
        <v/>
      </c>
      <c r="R1736" s="9">
        <f>IF(Q1736="","",$K1736&amp;"")</f>
        <v/>
      </c>
      <c r="S1736" s="9">
        <f>IF(Q1736="","",IF(MATCH(R1736,$R$5:$R$100000,0)=ROW()-4,ROW(),""))</f>
        <v/>
      </c>
      <c r="T1736" s="9">
        <f>IF(Q1736="당기",ABS(P1736)+ROW()/1000000000,"")</f>
        <v/>
      </c>
      <c r="U1736" s="9">
        <f>IF(Q1736="비교",ABS(P1736)+ROW()/1000000000,"")</f>
        <v/>
      </c>
      <c r="V1736" s="39">
        <f>IF($A1736="","",IF(COUNTIF(변동분석!$E$7:$E$506,O1736)&gt;0,"Y","N"))</f>
        <v/>
      </c>
      <c r="W1736" s="39">
        <f>IF($A1736="","",IFERROR(INDEX(계정매핑!$D$5:$D$504,MATCH($F1736&amp;"",계정매핑!$A$5:$A$504,0)),"미매핑"))</f>
        <v/>
      </c>
      <c r="X1736" s="9">
        <f>IF($A1736="","",$F1736&amp;"")</f>
        <v/>
      </c>
    </row>
    <row r="1737">
      <c r="A1737" s="75" t="n">
        <v>2025</v>
      </c>
      <c r="B1737" s="75" t="n">
        <v>9</v>
      </c>
      <c r="C1737" s="75" t="inlineStr">
        <is>
          <t>5100001733</t>
        </is>
      </c>
      <c r="D1737" s="78" t="n">
        <v>45925</v>
      </c>
      <c r="E1737" s="75" t="inlineStr">
        <is>
          <t>KR</t>
        </is>
      </c>
      <c r="F1737" s="75" t="n">
        <v>62401000</v>
      </c>
      <c r="G1737" s="75" t="n">
        <v>1801</v>
      </c>
      <c r="H1737" s="76" t="n">
        <v>2567000</v>
      </c>
      <c r="I1737" s="75" t="inlineStr">
        <is>
          <t>9월 인쇄물 제작 - S출판</t>
        </is>
      </c>
      <c r="J1737" s="75" t="inlineStr">
        <is>
          <t>V10012</t>
        </is>
      </c>
      <c r="K1737" s="75" t="inlineStr">
        <is>
          <t>S출판</t>
        </is>
      </c>
      <c r="M1737" s="9">
        <f>IF($A1737="","",VALUE($A1737&amp;"")*12+VALUE($B1737&amp;""))</f>
        <v/>
      </c>
      <c r="N1737" s="39">
        <f>IF($A1737="","",IFERROR(INDEX(부서매핑!$C$5:$C$504,MATCH($G1737&amp;"",부서매핑!$A$5:$A$504,0)),"미매핑"))</f>
        <v/>
      </c>
      <c r="O1737" s="9">
        <f>IF($A1737="","",N1737&amp;"|"&amp;$F1737)</f>
        <v/>
      </c>
      <c r="P1737" s="77">
        <f>IF($A1737="",0,$H1737*설정!$C$23)</f>
        <v/>
      </c>
      <c r="Q1737" s="39">
        <f>IF($A1737="","",IF(O1737&lt;&gt;원인분석!$C$9,"",IF(AND(M1737&gt;=원인분석!$C$10,M1737&lt;=원인분석!$C$11),"당기",IF(AND(M1737&gt;=원인분석!$C$12,M1737&lt;=원인분석!$C$13),"비교",""))))</f>
        <v/>
      </c>
      <c r="R1737" s="9">
        <f>IF(Q1737="","",$K1737&amp;"")</f>
        <v/>
      </c>
      <c r="S1737" s="9">
        <f>IF(Q1737="","",IF(MATCH(R1737,$R$5:$R$100000,0)=ROW()-4,ROW(),""))</f>
        <v/>
      </c>
      <c r="T1737" s="9">
        <f>IF(Q1737="당기",ABS(P1737)+ROW()/1000000000,"")</f>
        <v/>
      </c>
      <c r="U1737" s="9">
        <f>IF(Q1737="비교",ABS(P1737)+ROW()/1000000000,"")</f>
        <v/>
      </c>
      <c r="V1737" s="39">
        <f>IF($A1737="","",IF(COUNTIF(변동분석!$E$7:$E$506,O1737)&gt;0,"Y","N"))</f>
        <v/>
      </c>
      <c r="W1737" s="39">
        <f>IF($A1737="","",IFERROR(INDEX(계정매핑!$D$5:$D$504,MATCH($F1737&amp;"",계정매핑!$A$5:$A$504,0)),"미매핑"))</f>
        <v/>
      </c>
      <c r="X1737" s="9">
        <f>IF($A1737="","",$F1737&amp;"")</f>
        <v/>
      </c>
    </row>
    <row r="1738">
      <c r="A1738" s="75" t="n">
        <v>2025</v>
      </c>
      <c r="B1738" s="75" t="n">
        <v>9</v>
      </c>
      <c r="C1738" s="75" t="inlineStr">
        <is>
          <t>5100001734</t>
        </is>
      </c>
      <c r="D1738" s="78" t="n">
        <v>45925</v>
      </c>
      <c r="E1738" s="75" t="inlineStr">
        <is>
          <t>KR</t>
        </is>
      </c>
      <c r="F1738" s="75" t="n">
        <v>62501000</v>
      </c>
      <c r="G1738" s="75" t="n">
        <v>1401</v>
      </c>
      <c r="H1738" s="76" t="n">
        <v>253000</v>
      </c>
      <c r="I1738" s="75" t="inlineStr">
        <is>
          <t>9월 회의 다과 - T케이터링</t>
        </is>
      </c>
      <c r="J1738" s="75" t="inlineStr">
        <is>
          <t>V10005</t>
        </is>
      </c>
      <c r="K1738" s="75" t="inlineStr">
        <is>
          <t>T케이터링</t>
        </is>
      </c>
      <c r="M1738" s="9">
        <f>IF($A1738="","",VALUE($A1738&amp;"")*12+VALUE($B1738&amp;""))</f>
        <v/>
      </c>
      <c r="N1738" s="39">
        <f>IF($A1738="","",IFERROR(INDEX(부서매핑!$C$5:$C$504,MATCH($G1738&amp;"",부서매핑!$A$5:$A$504,0)),"미매핑"))</f>
        <v/>
      </c>
      <c r="O1738" s="9">
        <f>IF($A1738="","",N1738&amp;"|"&amp;$F1738)</f>
        <v/>
      </c>
      <c r="P1738" s="77">
        <f>IF($A1738="",0,$H1738*설정!$C$23)</f>
        <v/>
      </c>
      <c r="Q1738" s="39">
        <f>IF($A1738="","",IF(O1738&lt;&gt;원인분석!$C$9,"",IF(AND(M1738&gt;=원인분석!$C$10,M1738&lt;=원인분석!$C$11),"당기",IF(AND(M1738&gt;=원인분석!$C$12,M1738&lt;=원인분석!$C$13),"비교",""))))</f>
        <v/>
      </c>
      <c r="R1738" s="9">
        <f>IF(Q1738="","",$K1738&amp;"")</f>
        <v/>
      </c>
      <c r="S1738" s="9">
        <f>IF(Q1738="","",IF(MATCH(R1738,$R$5:$R$100000,0)=ROW()-4,ROW(),""))</f>
        <v/>
      </c>
      <c r="T1738" s="9">
        <f>IF(Q1738="당기",ABS(P1738)+ROW()/1000000000,"")</f>
        <v/>
      </c>
      <c r="U1738" s="9">
        <f>IF(Q1738="비교",ABS(P1738)+ROW()/1000000000,"")</f>
        <v/>
      </c>
      <c r="V1738" s="39">
        <f>IF($A1738="","",IF(COUNTIF(변동분석!$E$7:$E$506,O1738)&gt;0,"Y","N"))</f>
        <v/>
      </c>
      <c r="W1738" s="39">
        <f>IF($A1738="","",IFERROR(INDEX(계정매핑!$D$5:$D$504,MATCH($F1738&amp;"",계정매핑!$A$5:$A$504,0)),"미매핑"))</f>
        <v/>
      </c>
      <c r="X1738" s="9">
        <f>IF($A1738="","",$F1738&amp;"")</f>
        <v/>
      </c>
    </row>
    <row r="1739">
      <c r="A1739" s="75" t="n">
        <v>2025</v>
      </c>
      <c r="B1739" s="75" t="n">
        <v>9</v>
      </c>
      <c r="C1739" s="75" t="inlineStr">
        <is>
          <t>5100001735</t>
        </is>
      </c>
      <c r="D1739" s="78" t="n">
        <v>45925</v>
      </c>
      <c r="E1739" s="75" t="inlineStr">
        <is>
          <t>KR</t>
        </is>
      </c>
      <c r="F1739" s="75" t="n">
        <v>62901000</v>
      </c>
      <c r="G1739" s="75" t="n">
        <v>1201</v>
      </c>
      <c r="H1739" s="76" t="n">
        <v>5651000</v>
      </c>
      <c r="I1739" s="75" t="inlineStr">
        <is>
          <t>9월 자문 수수료 - W컨설팅</t>
        </is>
      </c>
      <c r="J1739" s="75" t="inlineStr">
        <is>
          <t>V10009</t>
        </is>
      </c>
      <c r="K1739" s="75" t="inlineStr">
        <is>
          <t>W컨설팅</t>
        </is>
      </c>
      <c r="M1739" s="9">
        <f>IF($A1739="","",VALUE($A1739&amp;"")*12+VALUE($B1739&amp;""))</f>
        <v/>
      </c>
      <c r="N1739" s="39">
        <f>IF($A1739="","",IFERROR(INDEX(부서매핑!$C$5:$C$504,MATCH($G1739&amp;"",부서매핑!$A$5:$A$504,0)),"미매핑"))</f>
        <v/>
      </c>
      <c r="O1739" s="9">
        <f>IF($A1739="","",N1739&amp;"|"&amp;$F1739)</f>
        <v/>
      </c>
      <c r="P1739" s="77">
        <f>IF($A1739="",0,$H1739*설정!$C$23)</f>
        <v/>
      </c>
      <c r="Q1739" s="39">
        <f>IF($A1739="","",IF(O1739&lt;&gt;원인분석!$C$9,"",IF(AND(M1739&gt;=원인분석!$C$10,M1739&lt;=원인분석!$C$11),"당기",IF(AND(M1739&gt;=원인분석!$C$12,M1739&lt;=원인분석!$C$13),"비교",""))))</f>
        <v/>
      </c>
      <c r="R1739" s="9">
        <f>IF(Q1739="","",$K1739&amp;"")</f>
        <v/>
      </c>
      <c r="S1739" s="9">
        <f>IF(Q1739="","",IF(MATCH(R1739,$R$5:$R$100000,0)=ROW()-4,ROW(),""))</f>
        <v/>
      </c>
      <c r="T1739" s="9">
        <f>IF(Q1739="당기",ABS(P1739)+ROW()/1000000000,"")</f>
        <v/>
      </c>
      <c r="U1739" s="9">
        <f>IF(Q1739="비교",ABS(P1739)+ROW()/1000000000,"")</f>
        <v/>
      </c>
      <c r="V1739" s="39">
        <f>IF($A1739="","",IF(COUNTIF(변동분석!$E$7:$E$506,O1739)&gt;0,"Y","N"))</f>
        <v/>
      </c>
      <c r="W1739" s="39">
        <f>IF($A1739="","",IFERROR(INDEX(계정매핑!$D$5:$D$504,MATCH($F1739&amp;"",계정매핑!$A$5:$A$504,0)),"미매핑"))</f>
        <v/>
      </c>
      <c r="X1739" s="9">
        <f>IF($A1739="","",$F1739&amp;"")</f>
        <v/>
      </c>
    </row>
    <row r="1740">
      <c r="A1740" s="75" t="n">
        <v>2025</v>
      </c>
      <c r="B1740" s="75" t="n">
        <v>9</v>
      </c>
      <c r="C1740" s="75" t="inlineStr">
        <is>
          <t>5100001736</t>
        </is>
      </c>
      <c r="D1740" s="78" t="n">
        <v>45925</v>
      </c>
      <c r="E1740" s="75" t="inlineStr">
        <is>
          <t>KR</t>
        </is>
      </c>
      <c r="F1740" s="75" t="n">
        <v>63002000</v>
      </c>
      <c r="G1740" s="75" t="n">
        <v>1701</v>
      </c>
      <c r="H1740" s="76" t="n">
        <v>70000000</v>
      </c>
      <c r="I1740" s="75" t="inlineStr">
        <is>
          <t>9월 클라우드 사용료 - C클라우드</t>
        </is>
      </c>
      <c r="J1740" s="75" t="inlineStr">
        <is>
          <t>V10028</t>
        </is>
      </c>
      <c r="K1740" s="75" t="inlineStr">
        <is>
          <t>C클라우드</t>
        </is>
      </c>
      <c r="M1740" s="9">
        <f>IF($A1740="","",VALUE($A1740&amp;"")*12+VALUE($B1740&amp;""))</f>
        <v/>
      </c>
      <c r="N1740" s="39">
        <f>IF($A1740="","",IFERROR(INDEX(부서매핑!$C$5:$C$504,MATCH($G1740&amp;"",부서매핑!$A$5:$A$504,0)),"미매핑"))</f>
        <v/>
      </c>
      <c r="O1740" s="9">
        <f>IF($A1740="","",N1740&amp;"|"&amp;$F1740)</f>
        <v/>
      </c>
      <c r="P1740" s="77">
        <f>IF($A1740="",0,$H1740*설정!$C$23)</f>
        <v/>
      </c>
      <c r="Q1740" s="39">
        <f>IF($A1740="","",IF(O1740&lt;&gt;원인분석!$C$9,"",IF(AND(M1740&gt;=원인분석!$C$10,M1740&lt;=원인분석!$C$11),"당기",IF(AND(M1740&gt;=원인분석!$C$12,M1740&lt;=원인분석!$C$13),"비교",""))))</f>
        <v/>
      </c>
      <c r="R1740" s="9">
        <f>IF(Q1740="","",$K1740&amp;"")</f>
        <v/>
      </c>
      <c r="S1740" s="9">
        <f>IF(Q1740="","",IF(MATCH(R1740,$R$5:$R$100000,0)=ROW()-4,ROW(),""))</f>
        <v/>
      </c>
      <c r="T1740" s="9">
        <f>IF(Q1740="당기",ABS(P1740)+ROW()/1000000000,"")</f>
        <v/>
      </c>
      <c r="U1740" s="9">
        <f>IF(Q1740="비교",ABS(P1740)+ROW()/1000000000,"")</f>
        <v/>
      </c>
      <c r="V1740" s="39">
        <f>IF($A1740="","",IF(COUNTIF(변동분석!$E$7:$E$506,O1740)&gt;0,"Y","N"))</f>
        <v/>
      </c>
      <c r="W1740" s="39">
        <f>IF($A1740="","",IFERROR(INDEX(계정매핑!$D$5:$D$504,MATCH($F1740&amp;"",계정매핑!$A$5:$A$504,0)),"미매핑"))</f>
        <v/>
      </c>
      <c r="X1740" s="9">
        <f>IF($A1740="","",$F1740&amp;"")</f>
        <v/>
      </c>
    </row>
    <row r="1741">
      <c r="A1741" s="75" t="n">
        <v>2025</v>
      </c>
      <c r="B1741" s="75" t="n">
        <v>9</v>
      </c>
      <c r="C1741" s="75" t="inlineStr">
        <is>
          <t>5100001737</t>
        </is>
      </c>
      <c r="D1741" s="78" t="n">
        <v>45925</v>
      </c>
      <c r="E1741" s="75" t="inlineStr">
        <is>
          <t>KR</t>
        </is>
      </c>
      <c r="F1741" s="75" t="n">
        <v>63101000</v>
      </c>
      <c r="G1741" s="75" t="n">
        <v>1602</v>
      </c>
      <c r="H1741" s="76" t="n">
        <v>6471000</v>
      </c>
      <c r="I1741" s="75" t="inlineStr">
        <is>
          <t>9월 사무실 임차료 - AA빌딩</t>
        </is>
      </c>
      <c r="J1741" s="75" t="inlineStr">
        <is>
          <t>V10006</t>
        </is>
      </c>
      <c r="K1741" s="75" t="inlineStr">
        <is>
          <t>AA빌딩</t>
        </is>
      </c>
      <c r="M1741" s="9">
        <f>IF($A1741="","",VALUE($A1741&amp;"")*12+VALUE($B1741&amp;""))</f>
        <v/>
      </c>
      <c r="N1741" s="39">
        <f>IF($A1741="","",IFERROR(INDEX(부서매핑!$C$5:$C$504,MATCH($G1741&amp;"",부서매핑!$A$5:$A$504,0)),"미매핑"))</f>
        <v/>
      </c>
      <c r="O1741" s="9">
        <f>IF($A1741="","",N1741&amp;"|"&amp;$F1741)</f>
        <v/>
      </c>
      <c r="P1741" s="77">
        <f>IF($A1741="",0,$H1741*설정!$C$23)</f>
        <v/>
      </c>
      <c r="Q1741" s="39">
        <f>IF($A1741="","",IF(O1741&lt;&gt;원인분석!$C$9,"",IF(AND(M1741&gt;=원인분석!$C$10,M1741&lt;=원인분석!$C$11),"당기",IF(AND(M1741&gt;=원인분석!$C$12,M1741&lt;=원인분석!$C$13),"비교",""))))</f>
        <v/>
      </c>
      <c r="R1741" s="9">
        <f>IF(Q1741="","",$K1741&amp;"")</f>
        <v/>
      </c>
      <c r="S1741" s="9">
        <f>IF(Q1741="","",IF(MATCH(R1741,$R$5:$R$100000,0)=ROW()-4,ROW(),""))</f>
        <v/>
      </c>
      <c r="T1741" s="9">
        <f>IF(Q1741="당기",ABS(P1741)+ROW()/1000000000,"")</f>
        <v/>
      </c>
      <c r="U1741" s="9">
        <f>IF(Q1741="비교",ABS(P1741)+ROW()/1000000000,"")</f>
        <v/>
      </c>
      <c r="V1741" s="39">
        <f>IF($A1741="","",IF(COUNTIF(변동분석!$E$7:$E$506,O1741)&gt;0,"Y","N"))</f>
        <v/>
      </c>
      <c r="W1741" s="39">
        <f>IF($A1741="","",IFERROR(INDEX(계정매핑!$D$5:$D$504,MATCH($F1741&amp;"",계정매핑!$A$5:$A$504,0)),"미매핑"))</f>
        <v/>
      </c>
      <c r="X1741" s="9">
        <f>IF($A1741="","",$F1741&amp;"")</f>
        <v/>
      </c>
    </row>
    <row r="1742">
      <c r="A1742" s="75" t="n">
        <v>2025</v>
      </c>
      <c r="B1742" s="75" t="n">
        <v>9</v>
      </c>
      <c r="C1742" s="75" t="inlineStr">
        <is>
          <t>5100001738</t>
        </is>
      </c>
      <c r="D1742" s="78" t="n">
        <v>45926</v>
      </c>
      <c r="E1742" s="75" t="inlineStr">
        <is>
          <t>KR</t>
        </is>
      </c>
      <c r="F1742" s="75" t="n">
        <v>62101000</v>
      </c>
      <c r="G1742" s="75" t="n">
        <v>1201</v>
      </c>
      <c r="H1742" s="76" t="n">
        <v>256000</v>
      </c>
      <c r="I1742" s="75" t="inlineStr">
        <is>
          <t>9월 국내출장 - (법인카드)</t>
        </is>
      </c>
      <c r="J1742" s="75" t="inlineStr">
        <is>
          <t>V10008</t>
        </is>
      </c>
      <c r="K1742" s="75" t="inlineStr">
        <is>
          <t>(법인카드)</t>
        </is>
      </c>
      <c r="M1742" s="9">
        <f>IF($A1742="","",VALUE($A1742&amp;"")*12+VALUE($B1742&amp;""))</f>
        <v/>
      </c>
      <c r="N1742" s="39">
        <f>IF($A1742="","",IFERROR(INDEX(부서매핑!$C$5:$C$504,MATCH($G1742&amp;"",부서매핑!$A$5:$A$504,0)),"미매핑"))</f>
        <v/>
      </c>
      <c r="O1742" s="9">
        <f>IF($A1742="","",N1742&amp;"|"&amp;$F1742)</f>
        <v/>
      </c>
      <c r="P1742" s="77">
        <f>IF($A1742="",0,$H1742*설정!$C$23)</f>
        <v/>
      </c>
      <c r="Q1742" s="39">
        <f>IF($A1742="","",IF(O1742&lt;&gt;원인분석!$C$9,"",IF(AND(M1742&gt;=원인분석!$C$10,M1742&lt;=원인분석!$C$11),"당기",IF(AND(M1742&gt;=원인분석!$C$12,M1742&lt;=원인분석!$C$13),"비교",""))))</f>
        <v/>
      </c>
      <c r="R1742" s="9">
        <f>IF(Q1742="","",$K1742&amp;"")</f>
        <v/>
      </c>
      <c r="S1742" s="9">
        <f>IF(Q1742="","",IF(MATCH(R1742,$R$5:$R$100000,0)=ROW()-4,ROW(),""))</f>
        <v/>
      </c>
      <c r="T1742" s="9">
        <f>IF(Q1742="당기",ABS(P1742)+ROW()/1000000000,"")</f>
        <v/>
      </c>
      <c r="U1742" s="9">
        <f>IF(Q1742="비교",ABS(P1742)+ROW()/1000000000,"")</f>
        <v/>
      </c>
      <c r="V1742" s="39">
        <f>IF($A1742="","",IF(COUNTIF(변동분석!$E$7:$E$506,O1742)&gt;0,"Y","N"))</f>
        <v/>
      </c>
      <c r="W1742" s="39">
        <f>IF($A1742="","",IFERROR(INDEX(계정매핑!$D$5:$D$504,MATCH($F1742&amp;"",계정매핑!$A$5:$A$504,0)),"미매핑"))</f>
        <v/>
      </c>
      <c r="X1742" s="9">
        <f>IF($A1742="","",$F1742&amp;"")</f>
        <v/>
      </c>
    </row>
    <row r="1743">
      <c r="A1743" s="75" t="n">
        <v>2025</v>
      </c>
      <c r="B1743" s="75" t="n">
        <v>9</v>
      </c>
      <c r="C1743" s="75" t="inlineStr">
        <is>
          <t>5100001739</t>
        </is>
      </c>
      <c r="D1743" s="78" t="n">
        <v>45926</v>
      </c>
      <c r="E1743" s="75" t="inlineStr">
        <is>
          <t>KR</t>
        </is>
      </c>
      <c r="F1743" s="75" t="n">
        <v>62102000</v>
      </c>
      <c r="G1743" s="75" t="n">
        <v>1502</v>
      </c>
      <c r="H1743" s="76" t="n">
        <v>215000</v>
      </c>
      <c r="I1743" s="75" t="inlineStr">
        <is>
          <t>9월 해외출장 - M항공</t>
        </is>
      </c>
      <c r="J1743" s="75" t="inlineStr">
        <is>
          <t>V10001</t>
        </is>
      </c>
      <c r="K1743" s="75" t="inlineStr">
        <is>
          <t>M항공</t>
        </is>
      </c>
      <c r="M1743" s="9">
        <f>IF($A1743="","",VALUE($A1743&amp;"")*12+VALUE($B1743&amp;""))</f>
        <v/>
      </c>
      <c r="N1743" s="39">
        <f>IF($A1743="","",IFERROR(INDEX(부서매핑!$C$5:$C$504,MATCH($G1743&amp;"",부서매핑!$A$5:$A$504,0)),"미매핑"))</f>
        <v/>
      </c>
      <c r="O1743" s="9">
        <f>IF($A1743="","",N1743&amp;"|"&amp;$F1743)</f>
        <v/>
      </c>
      <c r="P1743" s="77">
        <f>IF($A1743="",0,$H1743*설정!$C$23)</f>
        <v/>
      </c>
      <c r="Q1743" s="39">
        <f>IF($A1743="","",IF(O1743&lt;&gt;원인분석!$C$9,"",IF(AND(M1743&gt;=원인분석!$C$10,M1743&lt;=원인분석!$C$11),"당기",IF(AND(M1743&gt;=원인분석!$C$12,M1743&lt;=원인분석!$C$13),"비교",""))))</f>
        <v/>
      </c>
      <c r="R1743" s="9">
        <f>IF(Q1743="","",$K1743&amp;"")</f>
        <v/>
      </c>
      <c r="S1743" s="9">
        <f>IF(Q1743="","",IF(MATCH(R1743,$R$5:$R$100000,0)=ROW()-4,ROW(),""))</f>
        <v/>
      </c>
      <c r="T1743" s="9">
        <f>IF(Q1743="당기",ABS(P1743)+ROW()/1000000000,"")</f>
        <v/>
      </c>
      <c r="U1743" s="9">
        <f>IF(Q1743="비교",ABS(P1743)+ROW()/1000000000,"")</f>
        <v/>
      </c>
      <c r="V1743" s="39">
        <f>IF($A1743="","",IF(COUNTIF(변동분석!$E$7:$E$506,O1743)&gt;0,"Y","N"))</f>
        <v/>
      </c>
      <c r="W1743" s="39">
        <f>IF($A1743="","",IFERROR(INDEX(계정매핑!$D$5:$D$504,MATCH($F1743&amp;"",계정매핑!$A$5:$A$504,0)),"미매핑"))</f>
        <v/>
      </c>
      <c r="X1743" s="9">
        <f>IF($A1743="","",$F1743&amp;"")</f>
        <v/>
      </c>
    </row>
    <row r="1744">
      <c r="A1744" s="75" t="n">
        <v>2025</v>
      </c>
      <c r="B1744" s="75" t="n">
        <v>9</v>
      </c>
      <c r="C1744" s="75" t="inlineStr">
        <is>
          <t>5100001740</t>
        </is>
      </c>
      <c r="D1744" s="78" t="n">
        <v>45926</v>
      </c>
      <c r="E1744" s="75" t="inlineStr">
        <is>
          <t>KR</t>
        </is>
      </c>
      <c r="F1744" s="75" t="n">
        <v>62201000</v>
      </c>
      <c r="G1744" s="75" t="n">
        <v>1301</v>
      </c>
      <c r="H1744" s="76" t="n">
        <v>229000</v>
      </c>
      <c r="I1744" s="75" t="inlineStr">
        <is>
          <t>9월 통신요금 - P통신</t>
        </is>
      </c>
      <c r="J1744" s="75" t="inlineStr">
        <is>
          <t>V10011</t>
        </is>
      </c>
      <c r="K1744" s="75" t="inlineStr">
        <is>
          <t>P통신</t>
        </is>
      </c>
      <c r="M1744" s="9">
        <f>IF($A1744="","",VALUE($A1744&amp;"")*12+VALUE($B1744&amp;""))</f>
        <v/>
      </c>
      <c r="N1744" s="39">
        <f>IF($A1744="","",IFERROR(INDEX(부서매핑!$C$5:$C$504,MATCH($G1744&amp;"",부서매핑!$A$5:$A$504,0)),"미매핑"))</f>
        <v/>
      </c>
      <c r="O1744" s="9">
        <f>IF($A1744="","",N1744&amp;"|"&amp;$F1744)</f>
        <v/>
      </c>
      <c r="P1744" s="77">
        <f>IF($A1744="",0,$H1744*설정!$C$23)</f>
        <v/>
      </c>
      <c r="Q1744" s="39">
        <f>IF($A1744="","",IF(O1744&lt;&gt;원인분석!$C$9,"",IF(AND(M1744&gt;=원인분석!$C$10,M1744&lt;=원인분석!$C$11),"당기",IF(AND(M1744&gt;=원인분석!$C$12,M1744&lt;=원인분석!$C$13),"비교",""))))</f>
        <v/>
      </c>
      <c r="R1744" s="9">
        <f>IF(Q1744="","",$K1744&amp;"")</f>
        <v/>
      </c>
      <c r="S1744" s="9">
        <f>IF(Q1744="","",IF(MATCH(R1744,$R$5:$R$100000,0)=ROW()-4,ROW(),""))</f>
        <v/>
      </c>
      <c r="T1744" s="9">
        <f>IF(Q1744="당기",ABS(P1744)+ROW()/1000000000,"")</f>
        <v/>
      </c>
      <c r="U1744" s="9">
        <f>IF(Q1744="비교",ABS(P1744)+ROW()/1000000000,"")</f>
        <v/>
      </c>
      <c r="V1744" s="39">
        <f>IF($A1744="","",IF(COUNTIF(변동분석!$E$7:$E$506,O1744)&gt;0,"Y","N"))</f>
        <v/>
      </c>
      <c r="W1744" s="39">
        <f>IF($A1744="","",IFERROR(INDEX(계정매핑!$D$5:$D$504,MATCH($F1744&amp;"",계정매핑!$A$5:$A$504,0)),"미매핑"))</f>
        <v/>
      </c>
      <c r="X1744" s="9">
        <f>IF($A1744="","",$F1744&amp;"")</f>
        <v/>
      </c>
    </row>
    <row r="1745">
      <c r="A1745" s="75" t="n">
        <v>2025</v>
      </c>
      <c r="B1745" s="75" t="n">
        <v>9</v>
      </c>
      <c r="C1745" s="75" t="inlineStr">
        <is>
          <t>5100001741</t>
        </is>
      </c>
      <c r="D1745" s="78" t="n">
        <v>45926</v>
      </c>
      <c r="E1745" s="75" t="inlineStr">
        <is>
          <t>KR</t>
        </is>
      </c>
      <c r="F1745" s="75" t="n">
        <v>62201000</v>
      </c>
      <c r="G1745" s="75" t="n">
        <v>1401</v>
      </c>
      <c r="H1745" s="76" t="n">
        <v>153000</v>
      </c>
      <c r="I1745" s="75" t="inlineStr">
        <is>
          <t>9월 통신요금 - O텔레콤</t>
        </is>
      </c>
      <c r="J1745" s="75" t="inlineStr">
        <is>
          <t>V10002</t>
        </is>
      </c>
      <c r="K1745" s="75" t="inlineStr">
        <is>
          <t>O텔레콤</t>
        </is>
      </c>
      <c r="M1745" s="9">
        <f>IF($A1745="","",VALUE($A1745&amp;"")*12+VALUE($B1745&amp;""))</f>
        <v/>
      </c>
      <c r="N1745" s="39">
        <f>IF($A1745="","",IFERROR(INDEX(부서매핑!$C$5:$C$504,MATCH($G1745&amp;"",부서매핑!$A$5:$A$504,0)),"미매핑"))</f>
        <v/>
      </c>
      <c r="O1745" s="9">
        <f>IF($A1745="","",N1745&amp;"|"&amp;$F1745)</f>
        <v/>
      </c>
      <c r="P1745" s="77">
        <f>IF($A1745="",0,$H1745*설정!$C$23)</f>
        <v/>
      </c>
      <c r="Q1745" s="39">
        <f>IF($A1745="","",IF(O1745&lt;&gt;원인분석!$C$9,"",IF(AND(M1745&gt;=원인분석!$C$10,M1745&lt;=원인분석!$C$11),"당기",IF(AND(M1745&gt;=원인분석!$C$12,M1745&lt;=원인분석!$C$13),"비교",""))))</f>
        <v/>
      </c>
      <c r="R1745" s="9">
        <f>IF(Q1745="","",$K1745&amp;"")</f>
        <v/>
      </c>
      <c r="S1745" s="9">
        <f>IF(Q1745="","",IF(MATCH(R1745,$R$5:$R$100000,0)=ROW()-4,ROW(),""))</f>
        <v/>
      </c>
      <c r="T1745" s="9">
        <f>IF(Q1745="당기",ABS(P1745)+ROW()/1000000000,"")</f>
        <v/>
      </c>
      <c r="U1745" s="9">
        <f>IF(Q1745="비교",ABS(P1745)+ROW()/1000000000,"")</f>
        <v/>
      </c>
      <c r="V1745" s="39">
        <f>IF($A1745="","",IF(COUNTIF(변동분석!$E$7:$E$506,O1745)&gt;0,"Y","N"))</f>
        <v/>
      </c>
      <c r="W1745" s="39">
        <f>IF($A1745="","",IFERROR(INDEX(계정매핑!$D$5:$D$504,MATCH($F1745&amp;"",계정매핑!$A$5:$A$504,0)),"미매핑"))</f>
        <v/>
      </c>
      <c r="X1745" s="9">
        <f>IF($A1745="","",$F1745&amp;"")</f>
        <v/>
      </c>
    </row>
    <row r="1746">
      <c r="A1746" s="75" t="n">
        <v>2025</v>
      </c>
      <c r="B1746" s="75" t="n">
        <v>9</v>
      </c>
      <c r="C1746" s="75" t="inlineStr">
        <is>
          <t>5100001742</t>
        </is>
      </c>
      <c r="D1746" s="78" t="n">
        <v>45926</v>
      </c>
      <c r="E1746" s="75" t="inlineStr">
        <is>
          <t>KR</t>
        </is>
      </c>
      <c r="F1746" s="75" t="n">
        <v>62201000</v>
      </c>
      <c r="G1746" s="75" t="n">
        <v>1501</v>
      </c>
      <c r="H1746" s="76" t="n">
        <v>307000</v>
      </c>
      <c r="I1746" s="75" t="inlineStr">
        <is>
          <t>9월 통신요금 - O텔레콤</t>
        </is>
      </c>
      <c r="J1746" s="75" t="inlineStr">
        <is>
          <t>V10002</t>
        </is>
      </c>
      <c r="K1746" s="75" t="inlineStr">
        <is>
          <t>O텔레콤</t>
        </is>
      </c>
      <c r="M1746" s="9">
        <f>IF($A1746="","",VALUE($A1746&amp;"")*12+VALUE($B1746&amp;""))</f>
        <v/>
      </c>
      <c r="N1746" s="39">
        <f>IF($A1746="","",IFERROR(INDEX(부서매핑!$C$5:$C$504,MATCH($G1746&amp;"",부서매핑!$A$5:$A$504,0)),"미매핑"))</f>
        <v/>
      </c>
      <c r="O1746" s="9">
        <f>IF($A1746="","",N1746&amp;"|"&amp;$F1746)</f>
        <v/>
      </c>
      <c r="P1746" s="77">
        <f>IF($A1746="",0,$H1746*설정!$C$23)</f>
        <v/>
      </c>
      <c r="Q1746" s="39">
        <f>IF($A1746="","",IF(O1746&lt;&gt;원인분석!$C$9,"",IF(AND(M1746&gt;=원인분석!$C$10,M1746&lt;=원인분석!$C$11),"당기",IF(AND(M1746&gt;=원인분석!$C$12,M1746&lt;=원인분석!$C$13),"비교",""))))</f>
        <v/>
      </c>
      <c r="R1746" s="9">
        <f>IF(Q1746="","",$K1746&amp;"")</f>
        <v/>
      </c>
      <c r="S1746" s="9">
        <f>IF(Q1746="","",IF(MATCH(R1746,$R$5:$R$100000,0)=ROW()-4,ROW(),""))</f>
        <v/>
      </c>
      <c r="T1746" s="9">
        <f>IF(Q1746="당기",ABS(P1746)+ROW()/1000000000,"")</f>
        <v/>
      </c>
      <c r="U1746" s="9">
        <f>IF(Q1746="비교",ABS(P1746)+ROW()/1000000000,"")</f>
        <v/>
      </c>
      <c r="V1746" s="39">
        <f>IF($A1746="","",IF(COUNTIF(변동분석!$E$7:$E$506,O1746)&gt;0,"Y","N"))</f>
        <v/>
      </c>
      <c r="W1746" s="39">
        <f>IF($A1746="","",IFERROR(INDEX(계정매핑!$D$5:$D$504,MATCH($F1746&amp;"",계정매핑!$A$5:$A$504,0)),"미매핑"))</f>
        <v/>
      </c>
      <c r="X1746" s="9">
        <f>IF($A1746="","",$F1746&amp;"")</f>
        <v/>
      </c>
    </row>
    <row r="1747">
      <c r="A1747" s="75" t="n">
        <v>2025</v>
      </c>
      <c r="B1747" s="75" t="n">
        <v>9</v>
      </c>
      <c r="C1747" s="75" t="inlineStr">
        <is>
          <t>5100001743</t>
        </is>
      </c>
      <c r="D1747" s="78" t="n">
        <v>45926</v>
      </c>
      <c r="E1747" s="75" t="inlineStr">
        <is>
          <t>KR</t>
        </is>
      </c>
      <c r="F1747" s="75" t="n">
        <v>62301000</v>
      </c>
      <c r="G1747" s="75" t="n">
        <v>1501</v>
      </c>
      <c r="H1747" s="76" t="n">
        <v>302000</v>
      </c>
      <c r="I1747" s="75" t="inlineStr">
        <is>
          <t>9월 소모품 구입 - R문구</t>
        </is>
      </c>
      <c r="J1747" s="75" t="inlineStr">
        <is>
          <t>V10018</t>
        </is>
      </c>
      <c r="K1747" s="75" t="inlineStr">
        <is>
          <t>R문구</t>
        </is>
      </c>
      <c r="M1747" s="9">
        <f>IF($A1747="","",VALUE($A1747&amp;"")*12+VALUE($B1747&amp;""))</f>
        <v/>
      </c>
      <c r="N1747" s="39">
        <f>IF($A1747="","",IFERROR(INDEX(부서매핑!$C$5:$C$504,MATCH($G1747&amp;"",부서매핑!$A$5:$A$504,0)),"미매핑"))</f>
        <v/>
      </c>
      <c r="O1747" s="9">
        <f>IF($A1747="","",N1747&amp;"|"&amp;$F1747)</f>
        <v/>
      </c>
      <c r="P1747" s="77">
        <f>IF($A1747="",0,$H1747*설정!$C$23)</f>
        <v/>
      </c>
      <c r="Q1747" s="39">
        <f>IF($A1747="","",IF(O1747&lt;&gt;원인분석!$C$9,"",IF(AND(M1747&gt;=원인분석!$C$10,M1747&lt;=원인분석!$C$11),"당기",IF(AND(M1747&gt;=원인분석!$C$12,M1747&lt;=원인분석!$C$13),"비교",""))))</f>
        <v/>
      </c>
      <c r="R1747" s="9">
        <f>IF(Q1747="","",$K1747&amp;"")</f>
        <v/>
      </c>
      <c r="S1747" s="9">
        <f>IF(Q1747="","",IF(MATCH(R1747,$R$5:$R$100000,0)=ROW()-4,ROW(),""))</f>
        <v/>
      </c>
      <c r="T1747" s="9">
        <f>IF(Q1747="당기",ABS(P1747)+ROW()/1000000000,"")</f>
        <v/>
      </c>
      <c r="U1747" s="9">
        <f>IF(Q1747="비교",ABS(P1747)+ROW()/1000000000,"")</f>
        <v/>
      </c>
      <c r="V1747" s="39">
        <f>IF($A1747="","",IF(COUNTIF(변동분석!$E$7:$E$506,O1747)&gt;0,"Y","N"))</f>
        <v/>
      </c>
      <c r="W1747" s="39">
        <f>IF($A1747="","",IFERROR(INDEX(계정매핑!$D$5:$D$504,MATCH($F1747&amp;"",계정매핑!$A$5:$A$504,0)),"미매핑"))</f>
        <v/>
      </c>
      <c r="X1747" s="9">
        <f>IF($A1747="","",$F1747&amp;"")</f>
        <v/>
      </c>
    </row>
    <row r="1748">
      <c r="A1748" s="75" t="n">
        <v>2025</v>
      </c>
      <c r="B1748" s="75" t="n">
        <v>9</v>
      </c>
      <c r="C1748" s="75" t="inlineStr">
        <is>
          <t>5100001744</t>
        </is>
      </c>
      <c r="D1748" s="78" t="n">
        <v>45926</v>
      </c>
      <c r="E1748" s="75" t="inlineStr">
        <is>
          <t>KR</t>
        </is>
      </c>
      <c r="F1748" s="75" t="n">
        <v>62301000</v>
      </c>
      <c r="G1748" s="75" t="n">
        <v>1701</v>
      </c>
      <c r="H1748" s="76" t="n">
        <v>300000</v>
      </c>
      <c r="I1748" s="75" t="inlineStr">
        <is>
          <t>9월 소모품 구입 - R문구</t>
        </is>
      </c>
      <c r="J1748" s="75" t="inlineStr">
        <is>
          <t>V10018</t>
        </is>
      </c>
      <c r="K1748" s="75" t="inlineStr">
        <is>
          <t>R문구</t>
        </is>
      </c>
      <c r="M1748" s="9">
        <f>IF($A1748="","",VALUE($A1748&amp;"")*12+VALUE($B1748&amp;""))</f>
        <v/>
      </c>
      <c r="N1748" s="39">
        <f>IF($A1748="","",IFERROR(INDEX(부서매핑!$C$5:$C$504,MATCH($G1748&amp;"",부서매핑!$A$5:$A$504,0)),"미매핑"))</f>
        <v/>
      </c>
      <c r="O1748" s="9">
        <f>IF($A1748="","",N1748&amp;"|"&amp;$F1748)</f>
        <v/>
      </c>
      <c r="P1748" s="77">
        <f>IF($A1748="",0,$H1748*설정!$C$23)</f>
        <v/>
      </c>
      <c r="Q1748" s="39">
        <f>IF($A1748="","",IF(O1748&lt;&gt;원인분석!$C$9,"",IF(AND(M1748&gt;=원인분석!$C$10,M1748&lt;=원인분석!$C$11),"당기",IF(AND(M1748&gt;=원인분석!$C$12,M1748&lt;=원인분석!$C$13),"비교",""))))</f>
        <v/>
      </c>
      <c r="R1748" s="9">
        <f>IF(Q1748="","",$K1748&amp;"")</f>
        <v/>
      </c>
      <c r="S1748" s="9">
        <f>IF(Q1748="","",IF(MATCH(R1748,$R$5:$R$100000,0)=ROW()-4,ROW(),""))</f>
        <v/>
      </c>
      <c r="T1748" s="9">
        <f>IF(Q1748="당기",ABS(P1748)+ROW()/1000000000,"")</f>
        <v/>
      </c>
      <c r="U1748" s="9">
        <f>IF(Q1748="비교",ABS(P1748)+ROW()/1000000000,"")</f>
        <v/>
      </c>
      <c r="V1748" s="39">
        <f>IF($A1748="","",IF(COUNTIF(변동분석!$E$7:$E$506,O1748)&gt;0,"Y","N"))</f>
        <v/>
      </c>
      <c r="W1748" s="39">
        <f>IF($A1748="","",IFERROR(INDEX(계정매핑!$D$5:$D$504,MATCH($F1748&amp;"",계정매핑!$A$5:$A$504,0)),"미매핑"))</f>
        <v/>
      </c>
      <c r="X1748" s="9">
        <f>IF($A1748="","",$F1748&amp;"")</f>
        <v/>
      </c>
    </row>
    <row r="1749">
      <c r="A1749" s="75" t="n">
        <v>2025</v>
      </c>
      <c r="B1749" s="75" t="n">
        <v>9</v>
      </c>
      <c r="C1749" s="75" t="inlineStr">
        <is>
          <t>5100001745</t>
        </is>
      </c>
      <c r="D1749" s="78" t="n">
        <v>45926</v>
      </c>
      <c r="E1749" s="75" t="inlineStr">
        <is>
          <t>KR</t>
        </is>
      </c>
      <c r="F1749" s="75" t="n">
        <v>62401000</v>
      </c>
      <c r="G1749" s="75" t="n">
        <v>1501</v>
      </c>
      <c r="H1749" s="76" t="n">
        <v>1388000</v>
      </c>
      <c r="I1749" s="75" t="inlineStr">
        <is>
          <t>9월 인쇄물 제작 - G인쇄</t>
        </is>
      </c>
      <c r="J1749" s="75" t="inlineStr">
        <is>
          <t>V10004</t>
        </is>
      </c>
      <c r="K1749" s="75" t="inlineStr">
        <is>
          <t>G인쇄</t>
        </is>
      </c>
      <c r="M1749" s="9">
        <f>IF($A1749="","",VALUE($A1749&amp;"")*12+VALUE($B1749&amp;""))</f>
        <v/>
      </c>
      <c r="N1749" s="39">
        <f>IF($A1749="","",IFERROR(INDEX(부서매핑!$C$5:$C$504,MATCH($G1749&amp;"",부서매핑!$A$5:$A$504,0)),"미매핑"))</f>
        <v/>
      </c>
      <c r="O1749" s="9">
        <f>IF($A1749="","",N1749&amp;"|"&amp;$F1749)</f>
        <v/>
      </c>
      <c r="P1749" s="77">
        <f>IF($A1749="",0,$H1749*설정!$C$23)</f>
        <v/>
      </c>
      <c r="Q1749" s="39">
        <f>IF($A1749="","",IF(O1749&lt;&gt;원인분석!$C$9,"",IF(AND(M1749&gt;=원인분석!$C$10,M1749&lt;=원인분석!$C$11),"당기",IF(AND(M1749&gt;=원인분석!$C$12,M1749&lt;=원인분석!$C$13),"비교",""))))</f>
        <v/>
      </c>
      <c r="R1749" s="9">
        <f>IF(Q1749="","",$K1749&amp;"")</f>
        <v/>
      </c>
      <c r="S1749" s="9">
        <f>IF(Q1749="","",IF(MATCH(R1749,$R$5:$R$100000,0)=ROW()-4,ROW(),""))</f>
        <v/>
      </c>
      <c r="T1749" s="9">
        <f>IF(Q1749="당기",ABS(P1749)+ROW()/1000000000,"")</f>
        <v/>
      </c>
      <c r="U1749" s="9">
        <f>IF(Q1749="비교",ABS(P1749)+ROW()/1000000000,"")</f>
        <v/>
      </c>
      <c r="V1749" s="39">
        <f>IF($A1749="","",IF(COUNTIF(변동분석!$E$7:$E$506,O1749)&gt;0,"Y","N"))</f>
        <v/>
      </c>
      <c r="W1749" s="39">
        <f>IF($A1749="","",IFERROR(INDEX(계정매핑!$D$5:$D$504,MATCH($F1749&amp;"",계정매핑!$A$5:$A$504,0)),"미매핑"))</f>
        <v/>
      </c>
      <c r="X1749" s="9">
        <f>IF($A1749="","",$F1749&amp;"")</f>
        <v/>
      </c>
    </row>
    <row r="1750">
      <c r="A1750" s="75" t="n">
        <v>2025</v>
      </c>
      <c r="B1750" s="75" t="n">
        <v>9</v>
      </c>
      <c r="C1750" s="75" t="inlineStr">
        <is>
          <t>5100001746</t>
        </is>
      </c>
      <c r="D1750" s="78" t="n">
        <v>45926</v>
      </c>
      <c r="E1750" s="75" t="inlineStr">
        <is>
          <t>KR</t>
        </is>
      </c>
      <c r="F1750" s="75" t="n">
        <v>62801000</v>
      </c>
      <c r="G1750" s="75" t="n">
        <v>1301</v>
      </c>
      <c r="H1750" s="76" t="n">
        <v>5123000</v>
      </c>
      <c r="I1750" s="75" t="inlineStr">
        <is>
          <t>9월 사내교육 - (사내강사료)</t>
        </is>
      </c>
      <c r="J1750" s="75" t="inlineStr">
        <is>
          <t>V10020</t>
        </is>
      </c>
      <c r="K1750" s="75" t="inlineStr">
        <is>
          <t>(사내강사료)</t>
        </is>
      </c>
      <c r="M1750" s="9">
        <f>IF($A1750="","",VALUE($A1750&amp;"")*12+VALUE($B1750&amp;""))</f>
        <v/>
      </c>
      <c r="N1750" s="39">
        <f>IF($A1750="","",IFERROR(INDEX(부서매핑!$C$5:$C$504,MATCH($G1750&amp;"",부서매핑!$A$5:$A$504,0)),"미매핑"))</f>
        <v/>
      </c>
      <c r="O1750" s="9">
        <f>IF($A1750="","",N1750&amp;"|"&amp;$F1750)</f>
        <v/>
      </c>
      <c r="P1750" s="77">
        <f>IF($A1750="",0,$H1750*설정!$C$23)</f>
        <v/>
      </c>
      <c r="Q1750" s="39">
        <f>IF($A1750="","",IF(O1750&lt;&gt;원인분석!$C$9,"",IF(AND(M1750&gt;=원인분석!$C$10,M1750&lt;=원인분석!$C$11),"당기",IF(AND(M1750&gt;=원인분석!$C$12,M1750&lt;=원인분석!$C$13),"비교",""))))</f>
        <v/>
      </c>
      <c r="R1750" s="9">
        <f>IF(Q1750="","",$K1750&amp;"")</f>
        <v/>
      </c>
      <c r="S1750" s="9">
        <f>IF(Q1750="","",IF(MATCH(R1750,$R$5:$R$100000,0)=ROW()-4,ROW(),""))</f>
        <v/>
      </c>
      <c r="T1750" s="9">
        <f>IF(Q1750="당기",ABS(P1750)+ROW()/1000000000,"")</f>
        <v/>
      </c>
      <c r="U1750" s="9">
        <f>IF(Q1750="비교",ABS(P1750)+ROW()/1000000000,"")</f>
        <v/>
      </c>
      <c r="V1750" s="39">
        <f>IF($A1750="","",IF(COUNTIF(변동분석!$E$7:$E$506,O1750)&gt;0,"Y","N"))</f>
        <v/>
      </c>
      <c r="W1750" s="39">
        <f>IF($A1750="","",IFERROR(INDEX(계정매핑!$D$5:$D$504,MATCH($F1750&amp;"",계정매핑!$A$5:$A$504,0)),"미매핑"))</f>
        <v/>
      </c>
      <c r="X1750" s="9">
        <f>IF($A1750="","",$F1750&amp;"")</f>
        <v/>
      </c>
    </row>
    <row r="1751">
      <c r="A1751" s="75" t="n">
        <v>2025</v>
      </c>
      <c r="B1751" s="75" t="n">
        <v>9</v>
      </c>
      <c r="C1751" s="75" t="inlineStr">
        <is>
          <t>5100001747</t>
        </is>
      </c>
      <c r="D1751" s="78" t="n">
        <v>45926</v>
      </c>
      <c r="E1751" s="75" t="inlineStr">
        <is>
          <t>KR</t>
        </is>
      </c>
      <c r="F1751" s="75" t="n">
        <v>63201000</v>
      </c>
      <c r="G1751" s="75" t="n">
        <v>1602</v>
      </c>
      <c r="H1751" s="76" t="n">
        <v>1783000</v>
      </c>
      <c r="I1751" s="75" t="inlineStr">
        <is>
          <t>9월 차량 유지 - H에너지</t>
        </is>
      </c>
      <c r="J1751" s="75" t="inlineStr">
        <is>
          <t>V10025</t>
        </is>
      </c>
      <c r="K1751" s="75" t="inlineStr">
        <is>
          <t>H에너지</t>
        </is>
      </c>
      <c r="M1751" s="9">
        <f>IF($A1751="","",VALUE($A1751&amp;"")*12+VALUE($B1751&amp;""))</f>
        <v/>
      </c>
      <c r="N1751" s="39">
        <f>IF($A1751="","",IFERROR(INDEX(부서매핑!$C$5:$C$504,MATCH($G1751&amp;"",부서매핑!$A$5:$A$504,0)),"미매핑"))</f>
        <v/>
      </c>
      <c r="O1751" s="9">
        <f>IF($A1751="","",N1751&amp;"|"&amp;$F1751)</f>
        <v/>
      </c>
      <c r="P1751" s="77">
        <f>IF($A1751="",0,$H1751*설정!$C$23)</f>
        <v/>
      </c>
      <c r="Q1751" s="39">
        <f>IF($A1751="","",IF(O1751&lt;&gt;원인분석!$C$9,"",IF(AND(M1751&gt;=원인분석!$C$10,M1751&lt;=원인분석!$C$11),"당기",IF(AND(M1751&gt;=원인분석!$C$12,M1751&lt;=원인분석!$C$13),"비교",""))))</f>
        <v/>
      </c>
      <c r="R1751" s="9">
        <f>IF(Q1751="","",$K1751&amp;"")</f>
        <v/>
      </c>
      <c r="S1751" s="9">
        <f>IF(Q1751="","",IF(MATCH(R1751,$R$5:$R$100000,0)=ROW()-4,ROW(),""))</f>
        <v/>
      </c>
      <c r="T1751" s="9">
        <f>IF(Q1751="당기",ABS(P1751)+ROW()/1000000000,"")</f>
        <v/>
      </c>
      <c r="U1751" s="9">
        <f>IF(Q1751="비교",ABS(P1751)+ROW()/1000000000,"")</f>
        <v/>
      </c>
      <c r="V1751" s="39">
        <f>IF($A1751="","",IF(COUNTIF(변동분석!$E$7:$E$506,O1751)&gt;0,"Y","N"))</f>
        <v/>
      </c>
      <c r="W1751" s="39">
        <f>IF($A1751="","",IFERROR(INDEX(계정매핑!$D$5:$D$504,MATCH($F1751&amp;"",계정매핑!$A$5:$A$504,0)),"미매핑"))</f>
        <v/>
      </c>
      <c r="X1751" s="9">
        <f>IF($A1751="","",$F1751&amp;"")</f>
        <v/>
      </c>
    </row>
    <row r="1752">
      <c r="A1752" s="75" t="n">
        <v>2025</v>
      </c>
      <c r="B1752" s="75" t="n">
        <v>9</v>
      </c>
      <c r="C1752" s="75" t="inlineStr">
        <is>
          <t>5100001748</t>
        </is>
      </c>
      <c r="D1752" s="78" t="n">
        <v>45927</v>
      </c>
      <c r="E1752" s="75" t="inlineStr">
        <is>
          <t>KR</t>
        </is>
      </c>
      <c r="F1752" s="75" t="n">
        <v>62101000</v>
      </c>
      <c r="G1752" s="75" t="n">
        <v>1201</v>
      </c>
      <c r="H1752" s="76" t="n">
        <v>135000</v>
      </c>
      <c r="I1752" s="75" t="inlineStr">
        <is>
          <t>9월 국내출장 - M항공</t>
        </is>
      </c>
      <c r="J1752" s="75" t="inlineStr">
        <is>
          <t>V10001</t>
        </is>
      </c>
      <c r="K1752" s="75" t="inlineStr">
        <is>
          <t>M항공</t>
        </is>
      </c>
      <c r="M1752" s="9">
        <f>IF($A1752="","",VALUE($A1752&amp;"")*12+VALUE($B1752&amp;""))</f>
        <v/>
      </c>
      <c r="N1752" s="39">
        <f>IF($A1752="","",IFERROR(INDEX(부서매핑!$C$5:$C$504,MATCH($G1752&amp;"",부서매핑!$A$5:$A$504,0)),"미매핑"))</f>
        <v/>
      </c>
      <c r="O1752" s="9">
        <f>IF($A1752="","",N1752&amp;"|"&amp;$F1752)</f>
        <v/>
      </c>
      <c r="P1752" s="77">
        <f>IF($A1752="",0,$H1752*설정!$C$23)</f>
        <v/>
      </c>
      <c r="Q1752" s="39">
        <f>IF($A1752="","",IF(O1752&lt;&gt;원인분석!$C$9,"",IF(AND(M1752&gt;=원인분석!$C$10,M1752&lt;=원인분석!$C$11),"당기",IF(AND(M1752&gt;=원인분석!$C$12,M1752&lt;=원인분석!$C$13),"비교",""))))</f>
        <v/>
      </c>
      <c r="R1752" s="9">
        <f>IF(Q1752="","",$K1752&amp;"")</f>
        <v/>
      </c>
      <c r="S1752" s="9">
        <f>IF(Q1752="","",IF(MATCH(R1752,$R$5:$R$100000,0)=ROW()-4,ROW(),""))</f>
        <v/>
      </c>
      <c r="T1752" s="9">
        <f>IF(Q1752="당기",ABS(P1752)+ROW()/1000000000,"")</f>
        <v/>
      </c>
      <c r="U1752" s="9">
        <f>IF(Q1752="비교",ABS(P1752)+ROW()/1000000000,"")</f>
        <v/>
      </c>
      <c r="V1752" s="39">
        <f>IF($A1752="","",IF(COUNTIF(변동분석!$E$7:$E$506,O1752)&gt;0,"Y","N"))</f>
        <v/>
      </c>
      <c r="W1752" s="39">
        <f>IF($A1752="","",IFERROR(INDEX(계정매핑!$D$5:$D$504,MATCH($F1752&amp;"",계정매핑!$A$5:$A$504,0)),"미매핑"))</f>
        <v/>
      </c>
      <c r="X1752" s="9">
        <f>IF($A1752="","",$F1752&amp;"")</f>
        <v/>
      </c>
    </row>
    <row r="1753">
      <c r="A1753" s="75" t="n">
        <v>2025</v>
      </c>
      <c r="B1753" s="75" t="n">
        <v>9</v>
      </c>
      <c r="C1753" s="75" t="inlineStr">
        <is>
          <t>5100001749</t>
        </is>
      </c>
      <c r="D1753" s="78" t="n">
        <v>45927</v>
      </c>
      <c r="E1753" s="75" t="inlineStr">
        <is>
          <t>KR</t>
        </is>
      </c>
      <c r="F1753" s="75" t="n">
        <v>62101000</v>
      </c>
      <c r="G1753" s="75" t="n">
        <v>1801</v>
      </c>
      <c r="H1753" s="76" t="n">
        <v>118000</v>
      </c>
      <c r="I1753" s="75" t="inlineStr">
        <is>
          <t>9월 국내출장 - (법인카드)</t>
        </is>
      </c>
      <c r="J1753" s="75" t="inlineStr">
        <is>
          <t>V10008</t>
        </is>
      </c>
      <c r="K1753" s="75" t="inlineStr">
        <is>
          <t>(법인카드)</t>
        </is>
      </c>
      <c r="M1753" s="9">
        <f>IF($A1753="","",VALUE($A1753&amp;"")*12+VALUE($B1753&amp;""))</f>
        <v/>
      </c>
      <c r="N1753" s="39">
        <f>IF($A1753="","",IFERROR(INDEX(부서매핑!$C$5:$C$504,MATCH($G1753&amp;"",부서매핑!$A$5:$A$504,0)),"미매핑"))</f>
        <v/>
      </c>
      <c r="O1753" s="9">
        <f>IF($A1753="","",N1753&amp;"|"&amp;$F1753)</f>
        <v/>
      </c>
      <c r="P1753" s="77">
        <f>IF($A1753="",0,$H1753*설정!$C$23)</f>
        <v/>
      </c>
      <c r="Q1753" s="39">
        <f>IF($A1753="","",IF(O1753&lt;&gt;원인분석!$C$9,"",IF(AND(M1753&gt;=원인분석!$C$10,M1753&lt;=원인분석!$C$11),"당기",IF(AND(M1753&gt;=원인분석!$C$12,M1753&lt;=원인분석!$C$13),"비교",""))))</f>
        <v/>
      </c>
      <c r="R1753" s="9">
        <f>IF(Q1753="","",$K1753&amp;"")</f>
        <v/>
      </c>
      <c r="S1753" s="9">
        <f>IF(Q1753="","",IF(MATCH(R1753,$R$5:$R$100000,0)=ROW()-4,ROW(),""))</f>
        <v/>
      </c>
      <c r="T1753" s="9">
        <f>IF(Q1753="당기",ABS(P1753)+ROW()/1000000000,"")</f>
        <v/>
      </c>
      <c r="U1753" s="9">
        <f>IF(Q1753="비교",ABS(P1753)+ROW()/1000000000,"")</f>
        <v/>
      </c>
      <c r="V1753" s="39">
        <f>IF($A1753="","",IF(COUNTIF(변동분석!$E$7:$E$506,O1753)&gt;0,"Y","N"))</f>
        <v/>
      </c>
      <c r="W1753" s="39">
        <f>IF($A1753="","",IFERROR(INDEX(계정매핑!$D$5:$D$504,MATCH($F1753&amp;"",계정매핑!$A$5:$A$504,0)),"미매핑"))</f>
        <v/>
      </c>
      <c r="X1753" s="9">
        <f>IF($A1753="","",$F1753&amp;"")</f>
        <v/>
      </c>
    </row>
    <row r="1754">
      <c r="A1754" s="75" t="n">
        <v>2025</v>
      </c>
      <c r="B1754" s="75" t="n">
        <v>9</v>
      </c>
      <c r="C1754" s="75" t="inlineStr">
        <is>
          <t>5100001750</t>
        </is>
      </c>
      <c r="D1754" s="78" t="n">
        <v>45927</v>
      </c>
      <c r="E1754" s="75" t="inlineStr">
        <is>
          <t>KR</t>
        </is>
      </c>
      <c r="F1754" s="75" t="n">
        <v>62301000</v>
      </c>
      <c r="G1754" s="75" t="n">
        <v>1201</v>
      </c>
      <c r="H1754" s="76" t="n">
        <v>147000</v>
      </c>
      <c r="I1754" s="75" t="inlineStr">
        <is>
          <t>9월 소모품 구입 - Q오피스</t>
        </is>
      </c>
      <c r="J1754" s="75" t="inlineStr">
        <is>
          <t>V10003</t>
        </is>
      </c>
      <c r="K1754" s="75" t="inlineStr">
        <is>
          <t>Q오피스</t>
        </is>
      </c>
      <c r="M1754" s="9">
        <f>IF($A1754="","",VALUE($A1754&amp;"")*12+VALUE($B1754&amp;""))</f>
        <v/>
      </c>
      <c r="N1754" s="39">
        <f>IF($A1754="","",IFERROR(INDEX(부서매핑!$C$5:$C$504,MATCH($G1754&amp;"",부서매핑!$A$5:$A$504,0)),"미매핑"))</f>
        <v/>
      </c>
      <c r="O1754" s="9">
        <f>IF($A1754="","",N1754&amp;"|"&amp;$F1754)</f>
        <v/>
      </c>
      <c r="P1754" s="77">
        <f>IF($A1754="",0,$H1754*설정!$C$23)</f>
        <v/>
      </c>
      <c r="Q1754" s="39">
        <f>IF($A1754="","",IF(O1754&lt;&gt;원인분석!$C$9,"",IF(AND(M1754&gt;=원인분석!$C$10,M1754&lt;=원인분석!$C$11),"당기",IF(AND(M1754&gt;=원인분석!$C$12,M1754&lt;=원인분석!$C$13),"비교",""))))</f>
        <v/>
      </c>
      <c r="R1754" s="9">
        <f>IF(Q1754="","",$K1754&amp;"")</f>
        <v/>
      </c>
      <c r="S1754" s="9">
        <f>IF(Q1754="","",IF(MATCH(R1754,$R$5:$R$100000,0)=ROW()-4,ROW(),""))</f>
        <v/>
      </c>
      <c r="T1754" s="9">
        <f>IF(Q1754="당기",ABS(P1754)+ROW()/1000000000,"")</f>
        <v/>
      </c>
      <c r="U1754" s="9">
        <f>IF(Q1754="비교",ABS(P1754)+ROW()/1000000000,"")</f>
        <v/>
      </c>
      <c r="V1754" s="39">
        <f>IF($A1754="","",IF(COUNTIF(변동분석!$E$7:$E$506,O1754)&gt;0,"Y","N"))</f>
        <v/>
      </c>
      <c r="W1754" s="39">
        <f>IF($A1754="","",IFERROR(INDEX(계정매핑!$D$5:$D$504,MATCH($F1754&amp;"",계정매핑!$A$5:$A$504,0)),"미매핑"))</f>
        <v/>
      </c>
      <c r="X1754" s="9">
        <f>IF($A1754="","",$F1754&amp;"")</f>
        <v/>
      </c>
    </row>
    <row r="1755">
      <c r="A1755" s="75" t="n">
        <v>2025</v>
      </c>
      <c r="B1755" s="75" t="n">
        <v>9</v>
      </c>
      <c r="C1755" s="75" t="inlineStr">
        <is>
          <t>5100001751</t>
        </is>
      </c>
      <c r="D1755" s="78" t="n">
        <v>45927</v>
      </c>
      <c r="E1755" s="75" t="inlineStr">
        <is>
          <t>KR</t>
        </is>
      </c>
      <c r="F1755" s="75" t="n">
        <v>62301000</v>
      </c>
      <c r="G1755" s="75" t="n">
        <v>1301</v>
      </c>
      <c r="H1755" s="76" t="n">
        <v>179000</v>
      </c>
      <c r="I1755" s="75" t="inlineStr">
        <is>
          <t>9월 소모품 구입 - R문구</t>
        </is>
      </c>
      <c r="J1755" s="75" t="inlineStr">
        <is>
          <t>V10018</t>
        </is>
      </c>
      <c r="K1755" s="75" t="inlineStr">
        <is>
          <t>R문구</t>
        </is>
      </c>
      <c r="M1755" s="9">
        <f>IF($A1755="","",VALUE($A1755&amp;"")*12+VALUE($B1755&amp;""))</f>
        <v/>
      </c>
      <c r="N1755" s="39">
        <f>IF($A1755="","",IFERROR(INDEX(부서매핑!$C$5:$C$504,MATCH($G1755&amp;"",부서매핑!$A$5:$A$504,0)),"미매핑"))</f>
        <v/>
      </c>
      <c r="O1755" s="9">
        <f>IF($A1755="","",N1755&amp;"|"&amp;$F1755)</f>
        <v/>
      </c>
      <c r="P1755" s="77">
        <f>IF($A1755="",0,$H1755*설정!$C$23)</f>
        <v/>
      </c>
      <c r="Q1755" s="39">
        <f>IF($A1755="","",IF(O1755&lt;&gt;원인분석!$C$9,"",IF(AND(M1755&gt;=원인분석!$C$10,M1755&lt;=원인분석!$C$11),"당기",IF(AND(M1755&gt;=원인분석!$C$12,M1755&lt;=원인분석!$C$13),"비교",""))))</f>
        <v/>
      </c>
      <c r="R1755" s="9">
        <f>IF(Q1755="","",$K1755&amp;"")</f>
        <v/>
      </c>
      <c r="S1755" s="9">
        <f>IF(Q1755="","",IF(MATCH(R1755,$R$5:$R$100000,0)=ROW()-4,ROW(),""))</f>
        <v/>
      </c>
      <c r="T1755" s="9">
        <f>IF(Q1755="당기",ABS(P1755)+ROW()/1000000000,"")</f>
        <v/>
      </c>
      <c r="U1755" s="9">
        <f>IF(Q1755="비교",ABS(P1755)+ROW()/1000000000,"")</f>
        <v/>
      </c>
      <c r="V1755" s="39">
        <f>IF($A1755="","",IF(COUNTIF(변동분석!$E$7:$E$506,O1755)&gt;0,"Y","N"))</f>
        <v/>
      </c>
      <c r="W1755" s="39">
        <f>IF($A1755="","",IFERROR(INDEX(계정매핑!$D$5:$D$504,MATCH($F1755&amp;"",계정매핑!$A$5:$A$504,0)),"미매핑"))</f>
        <v/>
      </c>
      <c r="X1755" s="9">
        <f>IF($A1755="","",$F1755&amp;"")</f>
        <v/>
      </c>
    </row>
    <row r="1756">
      <c r="A1756" s="75" t="n">
        <v>2025</v>
      </c>
      <c r="B1756" s="75" t="n">
        <v>9</v>
      </c>
      <c r="C1756" s="75" t="inlineStr">
        <is>
          <t>5100001752</t>
        </is>
      </c>
      <c r="D1756" s="78" t="n">
        <v>45927</v>
      </c>
      <c r="E1756" s="75" t="inlineStr">
        <is>
          <t>KR</t>
        </is>
      </c>
      <c r="F1756" s="75" t="n">
        <v>62901000</v>
      </c>
      <c r="G1756" s="75" t="n">
        <v>1401</v>
      </c>
      <c r="H1756" s="76" t="n">
        <v>5139000</v>
      </c>
      <c r="I1756" s="75" t="inlineStr">
        <is>
          <t>9월 자문 수수료 - W컨설팅</t>
        </is>
      </c>
      <c r="J1756" s="75" t="inlineStr">
        <is>
          <t>V10009</t>
        </is>
      </c>
      <c r="K1756" s="75" t="inlineStr">
        <is>
          <t>W컨설팅</t>
        </is>
      </c>
      <c r="M1756" s="9">
        <f>IF($A1756="","",VALUE($A1756&amp;"")*12+VALUE($B1756&amp;""))</f>
        <v/>
      </c>
      <c r="N1756" s="39">
        <f>IF($A1756="","",IFERROR(INDEX(부서매핑!$C$5:$C$504,MATCH($G1756&amp;"",부서매핑!$A$5:$A$504,0)),"미매핑"))</f>
        <v/>
      </c>
      <c r="O1756" s="9">
        <f>IF($A1756="","",N1756&amp;"|"&amp;$F1756)</f>
        <v/>
      </c>
      <c r="P1756" s="77">
        <f>IF($A1756="",0,$H1756*설정!$C$23)</f>
        <v/>
      </c>
      <c r="Q1756" s="39">
        <f>IF($A1756="","",IF(O1756&lt;&gt;원인분석!$C$9,"",IF(AND(M1756&gt;=원인분석!$C$10,M1756&lt;=원인분석!$C$11),"당기",IF(AND(M1756&gt;=원인분석!$C$12,M1756&lt;=원인분석!$C$13),"비교",""))))</f>
        <v/>
      </c>
      <c r="R1756" s="9">
        <f>IF(Q1756="","",$K1756&amp;"")</f>
        <v/>
      </c>
      <c r="S1756" s="9">
        <f>IF(Q1756="","",IF(MATCH(R1756,$R$5:$R$100000,0)=ROW()-4,ROW(),""))</f>
        <v/>
      </c>
      <c r="T1756" s="9">
        <f>IF(Q1756="당기",ABS(P1756)+ROW()/1000000000,"")</f>
        <v/>
      </c>
      <c r="U1756" s="9">
        <f>IF(Q1756="비교",ABS(P1756)+ROW()/1000000000,"")</f>
        <v/>
      </c>
      <c r="V1756" s="39">
        <f>IF($A1756="","",IF(COUNTIF(변동분석!$E$7:$E$506,O1756)&gt;0,"Y","N"))</f>
        <v/>
      </c>
      <c r="W1756" s="39">
        <f>IF($A1756="","",IFERROR(INDEX(계정매핑!$D$5:$D$504,MATCH($F1756&amp;"",계정매핑!$A$5:$A$504,0)),"미매핑"))</f>
        <v/>
      </c>
      <c r="X1756" s="9">
        <f>IF($A1756="","",$F1756&amp;"")</f>
        <v/>
      </c>
    </row>
    <row r="1757">
      <c r="A1757" s="75" t="n">
        <v>2025</v>
      </c>
      <c r="B1757" s="75" t="n">
        <v>10</v>
      </c>
      <c r="C1757" s="75" t="inlineStr">
        <is>
          <t>5100001753</t>
        </is>
      </c>
      <c r="D1757" s="78" t="n">
        <v>45932</v>
      </c>
      <c r="E1757" s="75" t="inlineStr">
        <is>
          <t>KR</t>
        </is>
      </c>
      <c r="F1757" s="75" t="n">
        <v>62102000</v>
      </c>
      <c r="G1757" s="75" t="n">
        <v>1801</v>
      </c>
      <c r="H1757" s="76" t="n">
        <v>59000</v>
      </c>
      <c r="I1757" s="75" t="inlineStr">
        <is>
          <t>10월 해외출장 - N호텔</t>
        </is>
      </c>
      <c r="J1757" s="75" t="inlineStr">
        <is>
          <t>V10007</t>
        </is>
      </c>
      <c r="K1757" s="75" t="inlineStr">
        <is>
          <t>N호텔</t>
        </is>
      </c>
      <c r="M1757" s="9">
        <f>IF($A1757="","",VALUE($A1757&amp;"")*12+VALUE($B1757&amp;""))</f>
        <v/>
      </c>
      <c r="N1757" s="39">
        <f>IF($A1757="","",IFERROR(INDEX(부서매핑!$C$5:$C$504,MATCH($G1757&amp;"",부서매핑!$A$5:$A$504,0)),"미매핑"))</f>
        <v/>
      </c>
      <c r="O1757" s="9">
        <f>IF($A1757="","",N1757&amp;"|"&amp;$F1757)</f>
        <v/>
      </c>
      <c r="P1757" s="77">
        <f>IF($A1757="",0,$H1757*설정!$C$23)</f>
        <v/>
      </c>
      <c r="Q1757" s="39">
        <f>IF($A1757="","",IF(O1757&lt;&gt;원인분석!$C$9,"",IF(AND(M1757&gt;=원인분석!$C$10,M1757&lt;=원인분석!$C$11),"당기",IF(AND(M1757&gt;=원인분석!$C$12,M1757&lt;=원인분석!$C$13),"비교",""))))</f>
        <v/>
      </c>
      <c r="R1757" s="9">
        <f>IF(Q1757="","",$K1757&amp;"")</f>
        <v/>
      </c>
      <c r="S1757" s="9">
        <f>IF(Q1757="","",IF(MATCH(R1757,$R$5:$R$100000,0)=ROW()-4,ROW(),""))</f>
        <v/>
      </c>
      <c r="T1757" s="9">
        <f>IF(Q1757="당기",ABS(P1757)+ROW()/1000000000,"")</f>
        <v/>
      </c>
      <c r="U1757" s="9">
        <f>IF(Q1757="비교",ABS(P1757)+ROW()/1000000000,"")</f>
        <v/>
      </c>
      <c r="V1757" s="39">
        <f>IF($A1757="","",IF(COUNTIF(변동분석!$E$7:$E$506,O1757)&gt;0,"Y","N"))</f>
        <v/>
      </c>
      <c r="W1757" s="39">
        <f>IF($A1757="","",IFERROR(INDEX(계정매핑!$D$5:$D$504,MATCH($F1757&amp;"",계정매핑!$A$5:$A$504,0)),"미매핑"))</f>
        <v/>
      </c>
      <c r="X1757" s="9">
        <f>IF($A1757="","",$F1757&amp;"")</f>
        <v/>
      </c>
    </row>
    <row r="1758">
      <c r="A1758" s="75" t="n">
        <v>2025</v>
      </c>
      <c r="B1758" s="75" t="n">
        <v>10</v>
      </c>
      <c r="C1758" s="75" t="inlineStr">
        <is>
          <t>5100001754</t>
        </is>
      </c>
      <c r="D1758" s="78" t="n">
        <v>45932</v>
      </c>
      <c r="E1758" s="75" t="inlineStr">
        <is>
          <t>KR</t>
        </is>
      </c>
      <c r="F1758" s="75" t="n">
        <v>62201000</v>
      </c>
      <c r="G1758" s="75" t="n">
        <v>1301</v>
      </c>
      <c r="H1758" s="76" t="n">
        <v>124000</v>
      </c>
      <c r="I1758" s="75" t="inlineStr">
        <is>
          <t>10월 통신요금 - P통신</t>
        </is>
      </c>
      <c r="J1758" s="75" t="inlineStr">
        <is>
          <t>V10011</t>
        </is>
      </c>
      <c r="K1758" s="75" t="inlineStr">
        <is>
          <t>P통신</t>
        </is>
      </c>
      <c r="M1758" s="9">
        <f>IF($A1758="","",VALUE($A1758&amp;"")*12+VALUE($B1758&amp;""))</f>
        <v/>
      </c>
      <c r="N1758" s="39">
        <f>IF($A1758="","",IFERROR(INDEX(부서매핑!$C$5:$C$504,MATCH($G1758&amp;"",부서매핑!$A$5:$A$504,0)),"미매핑"))</f>
        <v/>
      </c>
      <c r="O1758" s="9">
        <f>IF($A1758="","",N1758&amp;"|"&amp;$F1758)</f>
        <v/>
      </c>
      <c r="P1758" s="77">
        <f>IF($A1758="",0,$H1758*설정!$C$23)</f>
        <v/>
      </c>
      <c r="Q1758" s="39">
        <f>IF($A1758="","",IF(O1758&lt;&gt;원인분석!$C$9,"",IF(AND(M1758&gt;=원인분석!$C$10,M1758&lt;=원인분석!$C$11),"당기",IF(AND(M1758&gt;=원인분석!$C$12,M1758&lt;=원인분석!$C$13),"비교",""))))</f>
        <v/>
      </c>
      <c r="R1758" s="9">
        <f>IF(Q1758="","",$K1758&amp;"")</f>
        <v/>
      </c>
      <c r="S1758" s="9">
        <f>IF(Q1758="","",IF(MATCH(R1758,$R$5:$R$100000,0)=ROW()-4,ROW(),""))</f>
        <v/>
      </c>
      <c r="T1758" s="9">
        <f>IF(Q1758="당기",ABS(P1758)+ROW()/1000000000,"")</f>
        <v/>
      </c>
      <c r="U1758" s="9">
        <f>IF(Q1758="비교",ABS(P1758)+ROW()/1000000000,"")</f>
        <v/>
      </c>
      <c r="V1758" s="39">
        <f>IF($A1758="","",IF(COUNTIF(변동분석!$E$7:$E$506,O1758)&gt;0,"Y","N"))</f>
        <v/>
      </c>
      <c r="W1758" s="39">
        <f>IF($A1758="","",IFERROR(INDEX(계정매핑!$D$5:$D$504,MATCH($F1758&amp;"",계정매핑!$A$5:$A$504,0)),"미매핑"))</f>
        <v/>
      </c>
      <c r="X1758" s="9">
        <f>IF($A1758="","",$F1758&amp;"")</f>
        <v/>
      </c>
    </row>
    <row r="1759">
      <c r="A1759" s="75" t="n">
        <v>2025</v>
      </c>
      <c r="B1759" s="75" t="n">
        <v>10</v>
      </c>
      <c r="C1759" s="75" t="inlineStr">
        <is>
          <t>5100001755</t>
        </is>
      </c>
      <c r="D1759" s="78" t="n">
        <v>45932</v>
      </c>
      <c r="E1759" s="75" t="inlineStr">
        <is>
          <t>KR</t>
        </is>
      </c>
      <c r="F1759" s="75" t="n">
        <v>62501000</v>
      </c>
      <c r="G1759" s="75" t="n">
        <v>1201</v>
      </c>
      <c r="H1759" s="76" t="n">
        <v>111000</v>
      </c>
      <c r="I1759" s="75" t="inlineStr">
        <is>
          <t>10월 회의 다과 - (법인카드)</t>
        </is>
      </c>
      <c r="J1759" s="75" t="inlineStr">
        <is>
          <t>V10008</t>
        </is>
      </c>
      <c r="K1759" s="75" t="inlineStr">
        <is>
          <t>(법인카드)</t>
        </is>
      </c>
      <c r="M1759" s="9">
        <f>IF($A1759="","",VALUE($A1759&amp;"")*12+VALUE($B1759&amp;""))</f>
        <v/>
      </c>
      <c r="N1759" s="39">
        <f>IF($A1759="","",IFERROR(INDEX(부서매핑!$C$5:$C$504,MATCH($G1759&amp;"",부서매핑!$A$5:$A$504,0)),"미매핑"))</f>
        <v/>
      </c>
      <c r="O1759" s="9">
        <f>IF($A1759="","",N1759&amp;"|"&amp;$F1759)</f>
        <v/>
      </c>
      <c r="P1759" s="77">
        <f>IF($A1759="",0,$H1759*설정!$C$23)</f>
        <v/>
      </c>
      <c r="Q1759" s="39">
        <f>IF($A1759="","",IF(O1759&lt;&gt;원인분석!$C$9,"",IF(AND(M1759&gt;=원인분석!$C$10,M1759&lt;=원인분석!$C$11),"당기",IF(AND(M1759&gt;=원인분석!$C$12,M1759&lt;=원인분석!$C$13),"비교",""))))</f>
        <v/>
      </c>
      <c r="R1759" s="9">
        <f>IF(Q1759="","",$K1759&amp;"")</f>
        <v/>
      </c>
      <c r="S1759" s="9">
        <f>IF(Q1759="","",IF(MATCH(R1759,$R$5:$R$100000,0)=ROW()-4,ROW(),""))</f>
        <v/>
      </c>
      <c r="T1759" s="9">
        <f>IF(Q1759="당기",ABS(P1759)+ROW()/1000000000,"")</f>
        <v/>
      </c>
      <c r="U1759" s="9">
        <f>IF(Q1759="비교",ABS(P1759)+ROW()/1000000000,"")</f>
        <v/>
      </c>
      <c r="V1759" s="39">
        <f>IF($A1759="","",IF(COUNTIF(변동분석!$E$7:$E$506,O1759)&gt;0,"Y","N"))</f>
        <v/>
      </c>
      <c r="W1759" s="39">
        <f>IF($A1759="","",IFERROR(INDEX(계정매핑!$D$5:$D$504,MATCH($F1759&amp;"",계정매핑!$A$5:$A$504,0)),"미매핑"))</f>
        <v/>
      </c>
      <c r="X1759" s="9">
        <f>IF($A1759="","",$F1759&amp;"")</f>
        <v/>
      </c>
    </row>
    <row r="1760">
      <c r="A1760" s="75" t="n">
        <v>2025</v>
      </c>
      <c r="B1760" s="75" t="n">
        <v>10</v>
      </c>
      <c r="C1760" s="75" t="inlineStr">
        <is>
          <t>5100001756</t>
        </is>
      </c>
      <c r="D1760" s="78" t="n">
        <v>45932</v>
      </c>
      <c r="E1760" s="75" t="inlineStr">
        <is>
          <t>KR</t>
        </is>
      </c>
      <c r="F1760" s="75" t="n">
        <v>62901000</v>
      </c>
      <c r="G1760" s="75" t="n">
        <v>1401</v>
      </c>
      <c r="H1760" s="76" t="n">
        <v>4866000</v>
      </c>
      <c r="I1760" s="75" t="inlineStr">
        <is>
          <t>10월 자문 수수료 - K회계법인</t>
        </is>
      </c>
      <c r="J1760" s="75" t="inlineStr">
        <is>
          <t>V10010</t>
        </is>
      </c>
      <c r="K1760" s="75" t="inlineStr">
        <is>
          <t>K회계법인</t>
        </is>
      </c>
      <c r="M1760" s="9">
        <f>IF($A1760="","",VALUE($A1760&amp;"")*12+VALUE($B1760&amp;""))</f>
        <v/>
      </c>
      <c r="N1760" s="39">
        <f>IF($A1760="","",IFERROR(INDEX(부서매핑!$C$5:$C$504,MATCH($G1760&amp;"",부서매핑!$A$5:$A$504,0)),"미매핑"))</f>
        <v/>
      </c>
      <c r="O1760" s="9">
        <f>IF($A1760="","",N1760&amp;"|"&amp;$F1760)</f>
        <v/>
      </c>
      <c r="P1760" s="77">
        <f>IF($A1760="",0,$H1760*설정!$C$23)</f>
        <v/>
      </c>
      <c r="Q1760" s="39">
        <f>IF($A1760="","",IF(O1760&lt;&gt;원인분석!$C$9,"",IF(AND(M1760&gt;=원인분석!$C$10,M1760&lt;=원인분석!$C$11),"당기",IF(AND(M1760&gt;=원인분석!$C$12,M1760&lt;=원인분석!$C$13),"비교",""))))</f>
        <v/>
      </c>
      <c r="R1760" s="9">
        <f>IF(Q1760="","",$K1760&amp;"")</f>
        <v/>
      </c>
      <c r="S1760" s="9">
        <f>IF(Q1760="","",IF(MATCH(R1760,$R$5:$R$100000,0)=ROW()-4,ROW(),""))</f>
        <v/>
      </c>
      <c r="T1760" s="9">
        <f>IF(Q1760="당기",ABS(P1760)+ROW()/1000000000,"")</f>
        <v/>
      </c>
      <c r="U1760" s="9">
        <f>IF(Q1760="비교",ABS(P1760)+ROW()/1000000000,"")</f>
        <v/>
      </c>
      <c r="V1760" s="39">
        <f>IF($A1760="","",IF(COUNTIF(변동분석!$E$7:$E$506,O1760)&gt;0,"Y","N"))</f>
        <v/>
      </c>
      <c r="W1760" s="39">
        <f>IF($A1760="","",IFERROR(INDEX(계정매핑!$D$5:$D$504,MATCH($F1760&amp;"",계정매핑!$A$5:$A$504,0)),"미매핑"))</f>
        <v/>
      </c>
      <c r="X1760" s="9">
        <f>IF($A1760="","",$F1760&amp;"")</f>
        <v/>
      </c>
    </row>
    <row r="1761">
      <c r="A1761" s="75" t="n">
        <v>2025</v>
      </c>
      <c r="B1761" s="75" t="n">
        <v>10</v>
      </c>
      <c r="C1761" s="75" t="inlineStr">
        <is>
          <t>5100001757</t>
        </is>
      </c>
      <c r="D1761" s="78" t="n">
        <v>45933</v>
      </c>
      <c r="E1761" s="75" t="inlineStr">
        <is>
          <t>KR</t>
        </is>
      </c>
      <c r="F1761" s="75" t="n">
        <v>62101000</v>
      </c>
      <c r="G1761" s="75" t="n">
        <v>1101</v>
      </c>
      <c r="H1761" s="76" t="n">
        <v>481000</v>
      </c>
      <c r="I1761" s="75" t="inlineStr">
        <is>
          <t>10월 국내출장 - M항공</t>
        </is>
      </c>
      <c r="J1761" s="75" t="inlineStr">
        <is>
          <t>V10001</t>
        </is>
      </c>
      <c r="K1761" s="75" t="inlineStr">
        <is>
          <t>M항공</t>
        </is>
      </c>
      <c r="M1761" s="9">
        <f>IF($A1761="","",VALUE($A1761&amp;"")*12+VALUE($B1761&amp;""))</f>
        <v/>
      </c>
      <c r="N1761" s="39">
        <f>IF($A1761="","",IFERROR(INDEX(부서매핑!$C$5:$C$504,MATCH($G1761&amp;"",부서매핑!$A$5:$A$504,0)),"미매핑"))</f>
        <v/>
      </c>
      <c r="O1761" s="9">
        <f>IF($A1761="","",N1761&amp;"|"&amp;$F1761)</f>
        <v/>
      </c>
      <c r="P1761" s="77">
        <f>IF($A1761="",0,$H1761*설정!$C$23)</f>
        <v/>
      </c>
      <c r="Q1761" s="39">
        <f>IF($A1761="","",IF(O1761&lt;&gt;원인분석!$C$9,"",IF(AND(M1761&gt;=원인분석!$C$10,M1761&lt;=원인분석!$C$11),"당기",IF(AND(M1761&gt;=원인분석!$C$12,M1761&lt;=원인분석!$C$13),"비교",""))))</f>
        <v/>
      </c>
      <c r="R1761" s="9">
        <f>IF(Q1761="","",$K1761&amp;"")</f>
        <v/>
      </c>
      <c r="S1761" s="9">
        <f>IF(Q1761="","",IF(MATCH(R1761,$R$5:$R$100000,0)=ROW()-4,ROW(),""))</f>
        <v/>
      </c>
      <c r="T1761" s="9">
        <f>IF(Q1761="당기",ABS(P1761)+ROW()/1000000000,"")</f>
        <v/>
      </c>
      <c r="U1761" s="9">
        <f>IF(Q1761="비교",ABS(P1761)+ROW()/1000000000,"")</f>
        <v/>
      </c>
      <c r="V1761" s="39">
        <f>IF($A1761="","",IF(COUNTIF(변동분석!$E$7:$E$506,O1761)&gt;0,"Y","N"))</f>
        <v/>
      </c>
      <c r="W1761" s="39">
        <f>IF($A1761="","",IFERROR(INDEX(계정매핑!$D$5:$D$504,MATCH($F1761&amp;"",계정매핑!$A$5:$A$504,0)),"미매핑"))</f>
        <v/>
      </c>
      <c r="X1761" s="9">
        <f>IF($A1761="","",$F1761&amp;"")</f>
        <v/>
      </c>
    </row>
    <row r="1762">
      <c r="A1762" s="75" t="n">
        <v>2025</v>
      </c>
      <c r="B1762" s="75" t="n">
        <v>10</v>
      </c>
      <c r="C1762" s="75" t="inlineStr">
        <is>
          <t>5100001758</t>
        </is>
      </c>
      <c r="D1762" s="78" t="n">
        <v>45933</v>
      </c>
      <c r="E1762" s="75" t="inlineStr">
        <is>
          <t>KR</t>
        </is>
      </c>
      <c r="F1762" s="75" t="n">
        <v>62102000</v>
      </c>
      <c r="G1762" s="75" t="n">
        <v>1401</v>
      </c>
      <c r="H1762" s="76" t="n">
        <v>86000</v>
      </c>
      <c r="I1762" s="75" t="inlineStr">
        <is>
          <t>10월 해외출장 - M항공</t>
        </is>
      </c>
      <c r="J1762" s="75" t="inlineStr">
        <is>
          <t>V10001</t>
        </is>
      </c>
      <c r="K1762" s="75" t="inlineStr">
        <is>
          <t>M항공</t>
        </is>
      </c>
      <c r="M1762" s="9">
        <f>IF($A1762="","",VALUE($A1762&amp;"")*12+VALUE($B1762&amp;""))</f>
        <v/>
      </c>
      <c r="N1762" s="39">
        <f>IF($A1762="","",IFERROR(INDEX(부서매핑!$C$5:$C$504,MATCH($G1762&amp;"",부서매핑!$A$5:$A$504,0)),"미매핑"))</f>
        <v/>
      </c>
      <c r="O1762" s="9">
        <f>IF($A1762="","",N1762&amp;"|"&amp;$F1762)</f>
        <v/>
      </c>
      <c r="P1762" s="77">
        <f>IF($A1762="",0,$H1762*설정!$C$23)</f>
        <v/>
      </c>
      <c r="Q1762" s="39">
        <f>IF($A1762="","",IF(O1762&lt;&gt;원인분석!$C$9,"",IF(AND(M1762&gt;=원인분석!$C$10,M1762&lt;=원인분석!$C$11),"당기",IF(AND(M1762&gt;=원인분석!$C$12,M1762&lt;=원인분석!$C$13),"비교",""))))</f>
        <v/>
      </c>
      <c r="R1762" s="9">
        <f>IF(Q1762="","",$K1762&amp;"")</f>
        <v/>
      </c>
      <c r="S1762" s="9">
        <f>IF(Q1762="","",IF(MATCH(R1762,$R$5:$R$100000,0)=ROW()-4,ROW(),""))</f>
        <v/>
      </c>
      <c r="T1762" s="9">
        <f>IF(Q1762="당기",ABS(P1762)+ROW()/1000000000,"")</f>
        <v/>
      </c>
      <c r="U1762" s="9">
        <f>IF(Q1762="비교",ABS(P1762)+ROW()/1000000000,"")</f>
        <v/>
      </c>
      <c r="V1762" s="39">
        <f>IF($A1762="","",IF(COUNTIF(변동분석!$E$7:$E$506,O1762)&gt;0,"Y","N"))</f>
        <v/>
      </c>
      <c r="W1762" s="39">
        <f>IF($A1762="","",IFERROR(INDEX(계정매핑!$D$5:$D$504,MATCH($F1762&amp;"",계정매핑!$A$5:$A$504,0)),"미매핑"))</f>
        <v/>
      </c>
      <c r="X1762" s="9">
        <f>IF($A1762="","",$F1762&amp;"")</f>
        <v/>
      </c>
    </row>
    <row r="1763">
      <c r="A1763" s="75" t="n">
        <v>2025</v>
      </c>
      <c r="B1763" s="75" t="n">
        <v>10</v>
      </c>
      <c r="C1763" s="75" t="inlineStr">
        <is>
          <t>5100001759</t>
        </is>
      </c>
      <c r="D1763" s="78" t="n">
        <v>45933</v>
      </c>
      <c r="E1763" s="75" t="inlineStr">
        <is>
          <t>KR</t>
        </is>
      </c>
      <c r="F1763" s="75" t="n">
        <v>62301000</v>
      </c>
      <c r="G1763" s="75" t="n">
        <v>1201</v>
      </c>
      <c r="H1763" s="76" t="n">
        <v>152000</v>
      </c>
      <c r="I1763" s="75" t="inlineStr">
        <is>
          <t>10월 소모품 구입 - R문구</t>
        </is>
      </c>
      <c r="J1763" s="75" t="inlineStr">
        <is>
          <t>V10018</t>
        </is>
      </c>
      <c r="K1763" s="75" t="inlineStr">
        <is>
          <t>R문구</t>
        </is>
      </c>
      <c r="M1763" s="9">
        <f>IF($A1763="","",VALUE($A1763&amp;"")*12+VALUE($B1763&amp;""))</f>
        <v/>
      </c>
      <c r="N1763" s="39">
        <f>IF($A1763="","",IFERROR(INDEX(부서매핑!$C$5:$C$504,MATCH($G1763&amp;"",부서매핑!$A$5:$A$504,0)),"미매핑"))</f>
        <v/>
      </c>
      <c r="O1763" s="9">
        <f>IF($A1763="","",N1763&amp;"|"&amp;$F1763)</f>
        <v/>
      </c>
      <c r="P1763" s="77">
        <f>IF($A1763="",0,$H1763*설정!$C$23)</f>
        <v/>
      </c>
      <c r="Q1763" s="39">
        <f>IF($A1763="","",IF(O1763&lt;&gt;원인분석!$C$9,"",IF(AND(M1763&gt;=원인분석!$C$10,M1763&lt;=원인분석!$C$11),"당기",IF(AND(M1763&gt;=원인분석!$C$12,M1763&lt;=원인분석!$C$13),"비교",""))))</f>
        <v/>
      </c>
      <c r="R1763" s="9">
        <f>IF(Q1763="","",$K1763&amp;"")</f>
        <v/>
      </c>
      <c r="S1763" s="9">
        <f>IF(Q1763="","",IF(MATCH(R1763,$R$5:$R$100000,0)=ROW()-4,ROW(),""))</f>
        <v/>
      </c>
      <c r="T1763" s="9">
        <f>IF(Q1763="당기",ABS(P1763)+ROW()/1000000000,"")</f>
        <v/>
      </c>
      <c r="U1763" s="9">
        <f>IF(Q1763="비교",ABS(P1763)+ROW()/1000000000,"")</f>
        <v/>
      </c>
      <c r="V1763" s="39">
        <f>IF($A1763="","",IF(COUNTIF(변동분석!$E$7:$E$506,O1763)&gt;0,"Y","N"))</f>
        <v/>
      </c>
      <c r="W1763" s="39">
        <f>IF($A1763="","",IFERROR(INDEX(계정매핑!$D$5:$D$504,MATCH($F1763&amp;"",계정매핑!$A$5:$A$504,0)),"미매핑"))</f>
        <v/>
      </c>
      <c r="X1763" s="9">
        <f>IF($A1763="","",$F1763&amp;"")</f>
        <v/>
      </c>
    </row>
    <row r="1764">
      <c r="A1764" s="75" t="n">
        <v>2025</v>
      </c>
      <c r="B1764" s="75" t="n">
        <v>10</v>
      </c>
      <c r="C1764" s="75" t="inlineStr">
        <is>
          <t>5100001760</t>
        </is>
      </c>
      <c r="D1764" s="78" t="n">
        <v>45933</v>
      </c>
      <c r="E1764" s="75" t="inlineStr">
        <is>
          <t>KR</t>
        </is>
      </c>
      <c r="F1764" s="75" t="n">
        <v>62301000</v>
      </c>
      <c r="G1764" s="75" t="n">
        <v>1201</v>
      </c>
      <c r="H1764" s="76" t="n">
        <v>135000</v>
      </c>
      <c r="I1764" s="75" t="inlineStr">
        <is>
          <t>10월 소모품 구입 - R문구</t>
        </is>
      </c>
      <c r="J1764" s="75" t="inlineStr">
        <is>
          <t>V10018</t>
        </is>
      </c>
      <c r="K1764" s="75" t="inlineStr">
        <is>
          <t>R문구</t>
        </is>
      </c>
      <c r="M1764" s="9">
        <f>IF($A1764="","",VALUE($A1764&amp;"")*12+VALUE($B1764&amp;""))</f>
        <v/>
      </c>
      <c r="N1764" s="39">
        <f>IF($A1764="","",IFERROR(INDEX(부서매핑!$C$5:$C$504,MATCH($G1764&amp;"",부서매핑!$A$5:$A$504,0)),"미매핑"))</f>
        <v/>
      </c>
      <c r="O1764" s="9">
        <f>IF($A1764="","",N1764&amp;"|"&amp;$F1764)</f>
        <v/>
      </c>
      <c r="P1764" s="77">
        <f>IF($A1764="",0,$H1764*설정!$C$23)</f>
        <v/>
      </c>
      <c r="Q1764" s="39">
        <f>IF($A1764="","",IF(O1764&lt;&gt;원인분석!$C$9,"",IF(AND(M1764&gt;=원인분석!$C$10,M1764&lt;=원인분석!$C$11),"당기",IF(AND(M1764&gt;=원인분석!$C$12,M1764&lt;=원인분석!$C$13),"비교",""))))</f>
        <v/>
      </c>
      <c r="R1764" s="9">
        <f>IF(Q1764="","",$K1764&amp;"")</f>
        <v/>
      </c>
      <c r="S1764" s="9">
        <f>IF(Q1764="","",IF(MATCH(R1764,$R$5:$R$100000,0)=ROW()-4,ROW(),""))</f>
        <v/>
      </c>
      <c r="T1764" s="9">
        <f>IF(Q1764="당기",ABS(P1764)+ROW()/1000000000,"")</f>
        <v/>
      </c>
      <c r="U1764" s="9">
        <f>IF(Q1764="비교",ABS(P1764)+ROW()/1000000000,"")</f>
        <v/>
      </c>
      <c r="V1764" s="39">
        <f>IF($A1764="","",IF(COUNTIF(변동분석!$E$7:$E$506,O1764)&gt;0,"Y","N"))</f>
        <v/>
      </c>
      <c r="W1764" s="39">
        <f>IF($A1764="","",IFERROR(INDEX(계정매핑!$D$5:$D$504,MATCH($F1764&amp;"",계정매핑!$A$5:$A$504,0)),"미매핑"))</f>
        <v/>
      </c>
      <c r="X1764" s="9">
        <f>IF($A1764="","",$F1764&amp;"")</f>
        <v/>
      </c>
    </row>
    <row r="1765">
      <c r="A1765" s="75" t="n">
        <v>2025</v>
      </c>
      <c r="B1765" s="75" t="n">
        <v>10</v>
      </c>
      <c r="C1765" s="75" t="inlineStr">
        <is>
          <t>5100001761</t>
        </is>
      </c>
      <c r="D1765" s="78" t="n">
        <v>45933</v>
      </c>
      <c r="E1765" s="75" t="inlineStr">
        <is>
          <t>KR</t>
        </is>
      </c>
      <c r="F1765" s="75" t="n">
        <v>62401000</v>
      </c>
      <c r="G1765" s="75" t="n">
        <v>1801</v>
      </c>
      <c r="H1765" s="76" t="n">
        <v>3260000</v>
      </c>
      <c r="I1765" s="75" t="inlineStr">
        <is>
          <t>10월 인쇄물 제작 - G인쇄</t>
        </is>
      </c>
      <c r="J1765" s="75" t="inlineStr">
        <is>
          <t>V10004</t>
        </is>
      </c>
      <c r="K1765" s="75" t="inlineStr">
        <is>
          <t>G인쇄</t>
        </is>
      </c>
      <c r="M1765" s="9">
        <f>IF($A1765="","",VALUE($A1765&amp;"")*12+VALUE($B1765&amp;""))</f>
        <v/>
      </c>
      <c r="N1765" s="39">
        <f>IF($A1765="","",IFERROR(INDEX(부서매핑!$C$5:$C$504,MATCH($G1765&amp;"",부서매핑!$A$5:$A$504,0)),"미매핑"))</f>
        <v/>
      </c>
      <c r="O1765" s="9">
        <f>IF($A1765="","",N1765&amp;"|"&amp;$F1765)</f>
        <v/>
      </c>
      <c r="P1765" s="77">
        <f>IF($A1765="",0,$H1765*설정!$C$23)</f>
        <v/>
      </c>
      <c r="Q1765" s="39">
        <f>IF($A1765="","",IF(O1765&lt;&gt;원인분석!$C$9,"",IF(AND(M1765&gt;=원인분석!$C$10,M1765&lt;=원인분석!$C$11),"당기",IF(AND(M1765&gt;=원인분석!$C$12,M1765&lt;=원인분석!$C$13),"비교",""))))</f>
        <v/>
      </c>
      <c r="R1765" s="9">
        <f>IF(Q1765="","",$K1765&amp;"")</f>
        <v/>
      </c>
      <c r="S1765" s="9">
        <f>IF(Q1765="","",IF(MATCH(R1765,$R$5:$R$100000,0)=ROW()-4,ROW(),""))</f>
        <v/>
      </c>
      <c r="T1765" s="9">
        <f>IF(Q1765="당기",ABS(P1765)+ROW()/1000000000,"")</f>
        <v/>
      </c>
      <c r="U1765" s="9">
        <f>IF(Q1765="비교",ABS(P1765)+ROW()/1000000000,"")</f>
        <v/>
      </c>
      <c r="V1765" s="39">
        <f>IF($A1765="","",IF(COUNTIF(변동분석!$E$7:$E$506,O1765)&gt;0,"Y","N"))</f>
        <v/>
      </c>
      <c r="W1765" s="39">
        <f>IF($A1765="","",IFERROR(INDEX(계정매핑!$D$5:$D$504,MATCH($F1765&amp;"",계정매핑!$A$5:$A$504,0)),"미매핑"))</f>
        <v/>
      </c>
      <c r="X1765" s="9">
        <f>IF($A1765="","",$F1765&amp;"")</f>
        <v/>
      </c>
    </row>
    <row r="1766">
      <c r="A1766" s="75" t="n">
        <v>2025</v>
      </c>
      <c r="B1766" s="75" t="n">
        <v>10</v>
      </c>
      <c r="C1766" s="75" t="inlineStr">
        <is>
          <t>5100001762</t>
        </is>
      </c>
      <c r="D1766" s="78" t="n">
        <v>45933</v>
      </c>
      <c r="E1766" s="75" t="inlineStr">
        <is>
          <t>KR</t>
        </is>
      </c>
      <c r="F1766" s="75" t="n">
        <v>63201000</v>
      </c>
      <c r="G1766" s="75" t="n">
        <v>1602</v>
      </c>
      <c r="H1766" s="76" t="n">
        <v>1794000</v>
      </c>
      <c r="I1766" s="75" t="inlineStr">
        <is>
          <t>10월 차량 유지 - H에너지</t>
        </is>
      </c>
      <c r="J1766" s="75" t="inlineStr">
        <is>
          <t>V10025</t>
        </is>
      </c>
      <c r="K1766" s="75" t="inlineStr">
        <is>
          <t>H에너지</t>
        </is>
      </c>
      <c r="M1766" s="9">
        <f>IF($A1766="","",VALUE($A1766&amp;"")*12+VALUE($B1766&amp;""))</f>
        <v/>
      </c>
      <c r="N1766" s="39">
        <f>IF($A1766="","",IFERROR(INDEX(부서매핑!$C$5:$C$504,MATCH($G1766&amp;"",부서매핑!$A$5:$A$504,0)),"미매핑"))</f>
        <v/>
      </c>
      <c r="O1766" s="9">
        <f>IF($A1766="","",N1766&amp;"|"&amp;$F1766)</f>
        <v/>
      </c>
      <c r="P1766" s="77">
        <f>IF($A1766="",0,$H1766*설정!$C$23)</f>
        <v/>
      </c>
      <c r="Q1766" s="39">
        <f>IF($A1766="","",IF(O1766&lt;&gt;원인분석!$C$9,"",IF(AND(M1766&gt;=원인분석!$C$10,M1766&lt;=원인분석!$C$11),"당기",IF(AND(M1766&gt;=원인분석!$C$12,M1766&lt;=원인분석!$C$13),"비교",""))))</f>
        <v/>
      </c>
      <c r="R1766" s="9">
        <f>IF(Q1766="","",$K1766&amp;"")</f>
        <v/>
      </c>
      <c r="S1766" s="9">
        <f>IF(Q1766="","",IF(MATCH(R1766,$R$5:$R$100000,0)=ROW()-4,ROW(),""))</f>
        <v/>
      </c>
      <c r="T1766" s="9">
        <f>IF(Q1766="당기",ABS(P1766)+ROW()/1000000000,"")</f>
        <v/>
      </c>
      <c r="U1766" s="9">
        <f>IF(Q1766="비교",ABS(P1766)+ROW()/1000000000,"")</f>
        <v/>
      </c>
      <c r="V1766" s="39">
        <f>IF($A1766="","",IF(COUNTIF(변동분석!$E$7:$E$506,O1766)&gt;0,"Y","N"))</f>
        <v/>
      </c>
      <c r="W1766" s="39">
        <f>IF($A1766="","",IFERROR(INDEX(계정매핑!$D$5:$D$504,MATCH($F1766&amp;"",계정매핑!$A$5:$A$504,0)),"미매핑"))</f>
        <v/>
      </c>
      <c r="X1766" s="9">
        <f>IF($A1766="","",$F1766&amp;"")</f>
        <v/>
      </c>
    </row>
    <row r="1767">
      <c r="A1767" s="75" t="n">
        <v>2025</v>
      </c>
      <c r="B1767" s="75" t="n">
        <v>10</v>
      </c>
      <c r="C1767" s="75" t="inlineStr">
        <is>
          <t>5100001763</t>
        </is>
      </c>
      <c r="D1767" s="78" t="n">
        <v>45934</v>
      </c>
      <c r="E1767" s="75" t="inlineStr">
        <is>
          <t>KR</t>
        </is>
      </c>
      <c r="F1767" s="75" t="n">
        <v>62101000</v>
      </c>
      <c r="G1767" s="75" t="n">
        <v>1201</v>
      </c>
      <c r="H1767" s="76" t="n">
        <v>283000</v>
      </c>
      <c r="I1767" s="75" t="inlineStr">
        <is>
          <t>10월 국내출장 - (법인카드)</t>
        </is>
      </c>
      <c r="J1767" s="75" t="inlineStr">
        <is>
          <t>V10008</t>
        </is>
      </c>
      <c r="K1767" s="75" t="inlineStr">
        <is>
          <t>(법인카드)</t>
        </is>
      </c>
      <c r="M1767" s="9">
        <f>IF($A1767="","",VALUE($A1767&amp;"")*12+VALUE($B1767&amp;""))</f>
        <v/>
      </c>
      <c r="N1767" s="39">
        <f>IF($A1767="","",IFERROR(INDEX(부서매핑!$C$5:$C$504,MATCH($G1767&amp;"",부서매핑!$A$5:$A$504,0)),"미매핑"))</f>
        <v/>
      </c>
      <c r="O1767" s="9">
        <f>IF($A1767="","",N1767&amp;"|"&amp;$F1767)</f>
        <v/>
      </c>
      <c r="P1767" s="77">
        <f>IF($A1767="",0,$H1767*설정!$C$23)</f>
        <v/>
      </c>
      <c r="Q1767" s="39">
        <f>IF($A1767="","",IF(O1767&lt;&gt;원인분석!$C$9,"",IF(AND(M1767&gt;=원인분석!$C$10,M1767&lt;=원인분석!$C$11),"당기",IF(AND(M1767&gt;=원인분석!$C$12,M1767&lt;=원인분석!$C$13),"비교",""))))</f>
        <v/>
      </c>
      <c r="R1767" s="9">
        <f>IF(Q1767="","",$K1767&amp;"")</f>
        <v/>
      </c>
      <c r="S1767" s="9">
        <f>IF(Q1767="","",IF(MATCH(R1767,$R$5:$R$100000,0)=ROW()-4,ROW(),""))</f>
        <v/>
      </c>
      <c r="T1767" s="9">
        <f>IF(Q1767="당기",ABS(P1767)+ROW()/1000000000,"")</f>
        <v/>
      </c>
      <c r="U1767" s="9">
        <f>IF(Q1767="비교",ABS(P1767)+ROW()/1000000000,"")</f>
        <v/>
      </c>
      <c r="V1767" s="39">
        <f>IF($A1767="","",IF(COUNTIF(변동분석!$E$7:$E$506,O1767)&gt;0,"Y","N"))</f>
        <v/>
      </c>
      <c r="W1767" s="39">
        <f>IF($A1767="","",IFERROR(INDEX(계정매핑!$D$5:$D$504,MATCH($F1767&amp;"",계정매핑!$A$5:$A$504,0)),"미매핑"))</f>
        <v/>
      </c>
      <c r="X1767" s="9">
        <f>IF($A1767="","",$F1767&amp;"")</f>
        <v/>
      </c>
    </row>
    <row r="1768">
      <c r="A1768" s="75" t="n">
        <v>2025</v>
      </c>
      <c r="B1768" s="75" t="n">
        <v>10</v>
      </c>
      <c r="C1768" s="75" t="inlineStr">
        <is>
          <t>5100001764</t>
        </is>
      </c>
      <c r="D1768" s="78" t="n">
        <v>45934</v>
      </c>
      <c r="E1768" s="75" t="inlineStr">
        <is>
          <t>KR</t>
        </is>
      </c>
      <c r="F1768" s="75" t="n">
        <v>62101000</v>
      </c>
      <c r="G1768" s="75" t="n">
        <v>1601</v>
      </c>
      <c r="H1768" s="76" t="n">
        <v>1373000</v>
      </c>
      <c r="I1768" s="75" t="inlineStr">
        <is>
          <t>10월 국내출장 - (법인카드)</t>
        </is>
      </c>
      <c r="J1768" s="75" t="inlineStr">
        <is>
          <t>V10008</t>
        </is>
      </c>
      <c r="K1768" s="75" t="inlineStr">
        <is>
          <t>(법인카드)</t>
        </is>
      </c>
      <c r="M1768" s="9">
        <f>IF($A1768="","",VALUE($A1768&amp;"")*12+VALUE($B1768&amp;""))</f>
        <v/>
      </c>
      <c r="N1768" s="39">
        <f>IF($A1768="","",IFERROR(INDEX(부서매핑!$C$5:$C$504,MATCH($G1768&amp;"",부서매핑!$A$5:$A$504,0)),"미매핑"))</f>
        <v/>
      </c>
      <c r="O1768" s="9">
        <f>IF($A1768="","",N1768&amp;"|"&amp;$F1768)</f>
        <v/>
      </c>
      <c r="P1768" s="77">
        <f>IF($A1768="",0,$H1768*설정!$C$23)</f>
        <v/>
      </c>
      <c r="Q1768" s="39">
        <f>IF($A1768="","",IF(O1768&lt;&gt;원인분석!$C$9,"",IF(AND(M1768&gt;=원인분석!$C$10,M1768&lt;=원인분석!$C$11),"당기",IF(AND(M1768&gt;=원인분석!$C$12,M1768&lt;=원인분석!$C$13),"비교",""))))</f>
        <v/>
      </c>
      <c r="R1768" s="9">
        <f>IF(Q1768="","",$K1768&amp;"")</f>
        <v/>
      </c>
      <c r="S1768" s="9">
        <f>IF(Q1768="","",IF(MATCH(R1768,$R$5:$R$100000,0)=ROW()-4,ROW(),""))</f>
        <v/>
      </c>
      <c r="T1768" s="9">
        <f>IF(Q1768="당기",ABS(P1768)+ROW()/1000000000,"")</f>
        <v/>
      </c>
      <c r="U1768" s="9">
        <f>IF(Q1768="비교",ABS(P1768)+ROW()/1000000000,"")</f>
        <v/>
      </c>
      <c r="V1768" s="39">
        <f>IF($A1768="","",IF(COUNTIF(변동분석!$E$7:$E$506,O1768)&gt;0,"Y","N"))</f>
        <v/>
      </c>
      <c r="W1768" s="39">
        <f>IF($A1768="","",IFERROR(INDEX(계정매핑!$D$5:$D$504,MATCH($F1768&amp;"",계정매핑!$A$5:$A$504,0)),"미매핑"))</f>
        <v/>
      </c>
      <c r="X1768" s="9">
        <f>IF($A1768="","",$F1768&amp;"")</f>
        <v/>
      </c>
    </row>
    <row r="1769">
      <c r="A1769" s="75" t="n">
        <v>2025</v>
      </c>
      <c r="B1769" s="75" t="n">
        <v>10</v>
      </c>
      <c r="C1769" s="75" t="inlineStr">
        <is>
          <t>5100001765</t>
        </is>
      </c>
      <c r="D1769" s="78" t="n">
        <v>45934</v>
      </c>
      <c r="E1769" s="75" t="inlineStr">
        <is>
          <t>KR</t>
        </is>
      </c>
      <c r="F1769" s="75" t="n">
        <v>62101000</v>
      </c>
      <c r="G1769" s="75" t="n">
        <v>1801</v>
      </c>
      <c r="H1769" s="76" t="n">
        <v>148000</v>
      </c>
      <c r="I1769" s="75" t="inlineStr">
        <is>
          <t>10월 국내출장 - (법인카드)</t>
        </is>
      </c>
      <c r="J1769" s="75" t="inlineStr">
        <is>
          <t>V10008</t>
        </is>
      </c>
      <c r="K1769" s="75" t="inlineStr">
        <is>
          <t>(법인카드)</t>
        </is>
      </c>
      <c r="M1769" s="9">
        <f>IF($A1769="","",VALUE($A1769&amp;"")*12+VALUE($B1769&amp;""))</f>
        <v/>
      </c>
      <c r="N1769" s="39">
        <f>IF($A1769="","",IFERROR(INDEX(부서매핑!$C$5:$C$504,MATCH($G1769&amp;"",부서매핑!$A$5:$A$504,0)),"미매핑"))</f>
        <v/>
      </c>
      <c r="O1769" s="9">
        <f>IF($A1769="","",N1769&amp;"|"&amp;$F1769)</f>
        <v/>
      </c>
      <c r="P1769" s="77">
        <f>IF($A1769="",0,$H1769*설정!$C$23)</f>
        <v/>
      </c>
      <c r="Q1769" s="39">
        <f>IF($A1769="","",IF(O1769&lt;&gt;원인분석!$C$9,"",IF(AND(M1769&gt;=원인분석!$C$10,M1769&lt;=원인분석!$C$11),"당기",IF(AND(M1769&gt;=원인분석!$C$12,M1769&lt;=원인분석!$C$13),"비교",""))))</f>
        <v/>
      </c>
      <c r="R1769" s="9">
        <f>IF(Q1769="","",$K1769&amp;"")</f>
        <v/>
      </c>
      <c r="S1769" s="9">
        <f>IF(Q1769="","",IF(MATCH(R1769,$R$5:$R$100000,0)=ROW()-4,ROW(),""))</f>
        <v/>
      </c>
      <c r="T1769" s="9">
        <f>IF(Q1769="당기",ABS(P1769)+ROW()/1000000000,"")</f>
        <v/>
      </c>
      <c r="U1769" s="9">
        <f>IF(Q1769="비교",ABS(P1769)+ROW()/1000000000,"")</f>
        <v/>
      </c>
      <c r="V1769" s="39">
        <f>IF($A1769="","",IF(COUNTIF(변동분석!$E$7:$E$506,O1769)&gt;0,"Y","N"))</f>
        <v/>
      </c>
      <c r="W1769" s="39">
        <f>IF($A1769="","",IFERROR(INDEX(계정매핑!$D$5:$D$504,MATCH($F1769&amp;"",계정매핑!$A$5:$A$504,0)),"미매핑"))</f>
        <v/>
      </c>
      <c r="X1769" s="9">
        <f>IF($A1769="","",$F1769&amp;"")</f>
        <v/>
      </c>
    </row>
    <row r="1770">
      <c r="A1770" s="75" t="n">
        <v>2025</v>
      </c>
      <c r="B1770" s="75" t="n">
        <v>10</v>
      </c>
      <c r="C1770" s="75" t="inlineStr">
        <is>
          <t>5100001766</t>
        </is>
      </c>
      <c r="D1770" s="78" t="n">
        <v>45934</v>
      </c>
      <c r="E1770" s="75" t="inlineStr">
        <is>
          <t>KR</t>
        </is>
      </c>
      <c r="F1770" s="75" t="n">
        <v>62201000</v>
      </c>
      <c r="G1770" s="75" t="n">
        <v>1101</v>
      </c>
      <c r="H1770" s="76" t="n">
        <v>167000</v>
      </c>
      <c r="I1770" s="75" t="inlineStr">
        <is>
          <t>10월 통신요금 - O텔레콤</t>
        </is>
      </c>
      <c r="J1770" s="75" t="inlineStr">
        <is>
          <t>V10002</t>
        </is>
      </c>
      <c r="K1770" s="75" t="inlineStr">
        <is>
          <t>O텔레콤</t>
        </is>
      </c>
      <c r="M1770" s="9">
        <f>IF($A1770="","",VALUE($A1770&amp;"")*12+VALUE($B1770&amp;""))</f>
        <v/>
      </c>
      <c r="N1770" s="39">
        <f>IF($A1770="","",IFERROR(INDEX(부서매핑!$C$5:$C$504,MATCH($G1770&amp;"",부서매핑!$A$5:$A$504,0)),"미매핑"))</f>
        <v/>
      </c>
      <c r="O1770" s="9">
        <f>IF($A1770="","",N1770&amp;"|"&amp;$F1770)</f>
        <v/>
      </c>
      <c r="P1770" s="77">
        <f>IF($A1770="",0,$H1770*설정!$C$23)</f>
        <v/>
      </c>
      <c r="Q1770" s="39">
        <f>IF($A1770="","",IF(O1770&lt;&gt;원인분석!$C$9,"",IF(AND(M1770&gt;=원인분석!$C$10,M1770&lt;=원인분석!$C$11),"당기",IF(AND(M1770&gt;=원인분석!$C$12,M1770&lt;=원인분석!$C$13),"비교",""))))</f>
        <v/>
      </c>
      <c r="R1770" s="9">
        <f>IF(Q1770="","",$K1770&amp;"")</f>
        <v/>
      </c>
      <c r="S1770" s="9">
        <f>IF(Q1770="","",IF(MATCH(R1770,$R$5:$R$100000,0)=ROW()-4,ROW(),""))</f>
        <v/>
      </c>
      <c r="T1770" s="9">
        <f>IF(Q1770="당기",ABS(P1770)+ROW()/1000000000,"")</f>
        <v/>
      </c>
      <c r="U1770" s="9">
        <f>IF(Q1770="비교",ABS(P1770)+ROW()/1000000000,"")</f>
        <v/>
      </c>
      <c r="V1770" s="39">
        <f>IF($A1770="","",IF(COUNTIF(변동분석!$E$7:$E$506,O1770)&gt;0,"Y","N"))</f>
        <v/>
      </c>
      <c r="W1770" s="39">
        <f>IF($A1770="","",IFERROR(INDEX(계정매핑!$D$5:$D$504,MATCH($F1770&amp;"",계정매핑!$A$5:$A$504,0)),"미매핑"))</f>
        <v/>
      </c>
      <c r="X1770" s="9">
        <f>IF($A1770="","",$F1770&amp;"")</f>
        <v/>
      </c>
    </row>
    <row r="1771">
      <c r="A1771" s="75" t="n">
        <v>2025</v>
      </c>
      <c r="B1771" s="75" t="n">
        <v>10</v>
      </c>
      <c r="C1771" s="75" t="inlineStr">
        <is>
          <t>5100001767</t>
        </is>
      </c>
      <c r="D1771" s="78" t="n">
        <v>45934</v>
      </c>
      <c r="E1771" s="75" t="inlineStr">
        <is>
          <t>KR</t>
        </is>
      </c>
      <c r="F1771" s="75" t="n">
        <v>62301000</v>
      </c>
      <c r="G1771" s="75" t="n">
        <v>1801</v>
      </c>
      <c r="H1771" s="76" t="n">
        <v>544000</v>
      </c>
      <c r="I1771" s="75" t="inlineStr">
        <is>
          <t>10월 소모품 구입 - Q오피스</t>
        </is>
      </c>
      <c r="J1771" s="75" t="inlineStr">
        <is>
          <t>V10003</t>
        </is>
      </c>
      <c r="K1771" s="75" t="inlineStr">
        <is>
          <t>Q오피스</t>
        </is>
      </c>
      <c r="M1771" s="9">
        <f>IF($A1771="","",VALUE($A1771&amp;"")*12+VALUE($B1771&amp;""))</f>
        <v/>
      </c>
      <c r="N1771" s="39">
        <f>IF($A1771="","",IFERROR(INDEX(부서매핑!$C$5:$C$504,MATCH($G1771&amp;"",부서매핑!$A$5:$A$504,0)),"미매핑"))</f>
        <v/>
      </c>
      <c r="O1771" s="9">
        <f>IF($A1771="","",N1771&amp;"|"&amp;$F1771)</f>
        <v/>
      </c>
      <c r="P1771" s="77">
        <f>IF($A1771="",0,$H1771*설정!$C$23)</f>
        <v/>
      </c>
      <c r="Q1771" s="39">
        <f>IF($A1771="","",IF(O1771&lt;&gt;원인분석!$C$9,"",IF(AND(M1771&gt;=원인분석!$C$10,M1771&lt;=원인분석!$C$11),"당기",IF(AND(M1771&gt;=원인분석!$C$12,M1771&lt;=원인분석!$C$13),"비교",""))))</f>
        <v/>
      </c>
      <c r="R1771" s="9">
        <f>IF(Q1771="","",$K1771&amp;"")</f>
        <v/>
      </c>
      <c r="S1771" s="9">
        <f>IF(Q1771="","",IF(MATCH(R1771,$R$5:$R$100000,0)=ROW()-4,ROW(),""))</f>
        <v/>
      </c>
      <c r="T1771" s="9">
        <f>IF(Q1771="당기",ABS(P1771)+ROW()/1000000000,"")</f>
        <v/>
      </c>
      <c r="U1771" s="9">
        <f>IF(Q1771="비교",ABS(P1771)+ROW()/1000000000,"")</f>
        <v/>
      </c>
      <c r="V1771" s="39">
        <f>IF($A1771="","",IF(COUNTIF(변동분석!$E$7:$E$506,O1771)&gt;0,"Y","N"))</f>
        <v/>
      </c>
      <c r="W1771" s="39">
        <f>IF($A1771="","",IFERROR(INDEX(계정매핑!$D$5:$D$504,MATCH($F1771&amp;"",계정매핑!$A$5:$A$504,0)),"미매핑"))</f>
        <v/>
      </c>
      <c r="X1771" s="9">
        <f>IF($A1771="","",$F1771&amp;"")</f>
        <v/>
      </c>
    </row>
    <row r="1772">
      <c r="A1772" s="75" t="n">
        <v>2025</v>
      </c>
      <c r="B1772" s="75" t="n">
        <v>10</v>
      </c>
      <c r="C1772" s="75" t="inlineStr">
        <is>
          <t>5100001768</t>
        </is>
      </c>
      <c r="D1772" s="78" t="n">
        <v>45934</v>
      </c>
      <c r="E1772" s="75" t="inlineStr">
        <is>
          <t>KR</t>
        </is>
      </c>
      <c r="F1772" s="75" t="n">
        <v>62501000</v>
      </c>
      <c r="G1772" s="75" t="n">
        <v>1401</v>
      </c>
      <c r="H1772" s="76" t="n">
        <v>260000</v>
      </c>
      <c r="I1772" s="75" t="inlineStr">
        <is>
          <t>10월 회의 다과 - (법인카드)</t>
        </is>
      </c>
      <c r="J1772" s="75" t="inlineStr">
        <is>
          <t>V10008</t>
        </is>
      </c>
      <c r="K1772" s="75" t="inlineStr">
        <is>
          <t>(법인카드)</t>
        </is>
      </c>
      <c r="M1772" s="9">
        <f>IF($A1772="","",VALUE($A1772&amp;"")*12+VALUE($B1772&amp;""))</f>
        <v/>
      </c>
      <c r="N1772" s="39">
        <f>IF($A1772="","",IFERROR(INDEX(부서매핑!$C$5:$C$504,MATCH($G1772&amp;"",부서매핑!$A$5:$A$504,0)),"미매핑"))</f>
        <v/>
      </c>
      <c r="O1772" s="9">
        <f>IF($A1772="","",N1772&amp;"|"&amp;$F1772)</f>
        <v/>
      </c>
      <c r="P1772" s="77">
        <f>IF($A1772="",0,$H1772*설정!$C$23)</f>
        <v/>
      </c>
      <c r="Q1772" s="39">
        <f>IF($A1772="","",IF(O1772&lt;&gt;원인분석!$C$9,"",IF(AND(M1772&gt;=원인분석!$C$10,M1772&lt;=원인분석!$C$11),"당기",IF(AND(M1772&gt;=원인분석!$C$12,M1772&lt;=원인분석!$C$13),"비교",""))))</f>
        <v/>
      </c>
      <c r="R1772" s="9">
        <f>IF(Q1772="","",$K1772&amp;"")</f>
        <v/>
      </c>
      <c r="S1772" s="9">
        <f>IF(Q1772="","",IF(MATCH(R1772,$R$5:$R$100000,0)=ROW()-4,ROW(),""))</f>
        <v/>
      </c>
      <c r="T1772" s="9">
        <f>IF(Q1772="당기",ABS(P1772)+ROW()/1000000000,"")</f>
        <v/>
      </c>
      <c r="U1772" s="9">
        <f>IF(Q1772="비교",ABS(P1772)+ROW()/1000000000,"")</f>
        <v/>
      </c>
      <c r="V1772" s="39">
        <f>IF($A1772="","",IF(COUNTIF(변동분석!$E$7:$E$506,O1772)&gt;0,"Y","N"))</f>
        <v/>
      </c>
      <c r="W1772" s="39">
        <f>IF($A1772="","",IFERROR(INDEX(계정매핑!$D$5:$D$504,MATCH($F1772&amp;"",계정매핑!$A$5:$A$504,0)),"미매핑"))</f>
        <v/>
      </c>
      <c r="X1772" s="9">
        <f>IF($A1772="","",$F1772&amp;"")</f>
        <v/>
      </c>
    </row>
    <row r="1773">
      <c r="A1773" s="75" t="n">
        <v>2025</v>
      </c>
      <c r="B1773" s="75" t="n">
        <v>10</v>
      </c>
      <c r="C1773" s="75" t="inlineStr">
        <is>
          <t>5100001769</t>
        </is>
      </c>
      <c r="D1773" s="78" t="n">
        <v>45934</v>
      </c>
      <c r="E1773" s="75" t="inlineStr">
        <is>
          <t>KR</t>
        </is>
      </c>
      <c r="F1773" s="75" t="n">
        <v>62501000</v>
      </c>
      <c r="G1773" s="75" t="n">
        <v>1801</v>
      </c>
      <c r="H1773" s="76" t="n">
        <v>79000</v>
      </c>
      <c r="I1773" s="75" t="inlineStr">
        <is>
          <t>10월 회의 다과 - T케이터링</t>
        </is>
      </c>
      <c r="J1773" s="75" t="inlineStr">
        <is>
          <t>V10005</t>
        </is>
      </c>
      <c r="K1773" s="75" t="inlineStr">
        <is>
          <t>T케이터링</t>
        </is>
      </c>
      <c r="M1773" s="9">
        <f>IF($A1773="","",VALUE($A1773&amp;"")*12+VALUE($B1773&amp;""))</f>
        <v/>
      </c>
      <c r="N1773" s="39">
        <f>IF($A1773="","",IFERROR(INDEX(부서매핑!$C$5:$C$504,MATCH($G1773&amp;"",부서매핑!$A$5:$A$504,0)),"미매핑"))</f>
        <v/>
      </c>
      <c r="O1773" s="9">
        <f>IF($A1773="","",N1773&amp;"|"&amp;$F1773)</f>
        <v/>
      </c>
      <c r="P1773" s="77">
        <f>IF($A1773="",0,$H1773*설정!$C$23)</f>
        <v/>
      </c>
      <c r="Q1773" s="39">
        <f>IF($A1773="","",IF(O1773&lt;&gt;원인분석!$C$9,"",IF(AND(M1773&gt;=원인분석!$C$10,M1773&lt;=원인분석!$C$11),"당기",IF(AND(M1773&gt;=원인분석!$C$12,M1773&lt;=원인분석!$C$13),"비교",""))))</f>
        <v/>
      </c>
      <c r="R1773" s="9">
        <f>IF(Q1773="","",$K1773&amp;"")</f>
        <v/>
      </c>
      <c r="S1773" s="9">
        <f>IF(Q1773="","",IF(MATCH(R1773,$R$5:$R$100000,0)=ROW()-4,ROW(),""))</f>
        <v/>
      </c>
      <c r="T1773" s="9">
        <f>IF(Q1773="당기",ABS(P1773)+ROW()/1000000000,"")</f>
        <v/>
      </c>
      <c r="U1773" s="9">
        <f>IF(Q1773="비교",ABS(P1773)+ROW()/1000000000,"")</f>
        <v/>
      </c>
      <c r="V1773" s="39">
        <f>IF($A1773="","",IF(COUNTIF(변동분석!$E$7:$E$506,O1773)&gt;0,"Y","N"))</f>
        <v/>
      </c>
      <c r="W1773" s="39">
        <f>IF($A1773="","",IFERROR(INDEX(계정매핑!$D$5:$D$504,MATCH($F1773&amp;"",계정매핑!$A$5:$A$504,0)),"미매핑"))</f>
        <v/>
      </c>
      <c r="X1773" s="9">
        <f>IF($A1773="","",$F1773&amp;"")</f>
        <v/>
      </c>
    </row>
    <row r="1774">
      <c r="A1774" s="75" t="n">
        <v>2025</v>
      </c>
      <c r="B1774" s="75" t="n">
        <v>10</v>
      </c>
      <c r="C1774" s="75" t="inlineStr">
        <is>
          <t>5100001770</t>
        </is>
      </c>
      <c r="D1774" s="78" t="n">
        <v>45934</v>
      </c>
      <c r="E1774" s="75" t="inlineStr">
        <is>
          <t>KR</t>
        </is>
      </c>
      <c r="F1774" s="75" t="n">
        <v>62801000</v>
      </c>
      <c r="G1774" s="75" t="n">
        <v>1301</v>
      </c>
      <c r="H1774" s="76" t="n">
        <v>6459000</v>
      </c>
      <c r="I1774" s="75" t="inlineStr">
        <is>
          <t>10월 사내교육 - U에듀</t>
        </is>
      </c>
      <c r="J1774" s="75" t="inlineStr">
        <is>
          <t>V10026</t>
        </is>
      </c>
      <c r="K1774" s="75" t="inlineStr">
        <is>
          <t>U에듀</t>
        </is>
      </c>
      <c r="M1774" s="9">
        <f>IF($A1774="","",VALUE($A1774&amp;"")*12+VALUE($B1774&amp;""))</f>
        <v/>
      </c>
      <c r="N1774" s="39">
        <f>IF($A1774="","",IFERROR(INDEX(부서매핑!$C$5:$C$504,MATCH($G1774&amp;"",부서매핑!$A$5:$A$504,0)),"미매핑"))</f>
        <v/>
      </c>
      <c r="O1774" s="9">
        <f>IF($A1774="","",N1774&amp;"|"&amp;$F1774)</f>
        <v/>
      </c>
      <c r="P1774" s="77">
        <f>IF($A1774="",0,$H1774*설정!$C$23)</f>
        <v/>
      </c>
      <c r="Q1774" s="39">
        <f>IF($A1774="","",IF(O1774&lt;&gt;원인분석!$C$9,"",IF(AND(M1774&gt;=원인분석!$C$10,M1774&lt;=원인분석!$C$11),"당기",IF(AND(M1774&gt;=원인분석!$C$12,M1774&lt;=원인분석!$C$13),"비교",""))))</f>
        <v/>
      </c>
      <c r="R1774" s="9">
        <f>IF(Q1774="","",$K1774&amp;"")</f>
        <v/>
      </c>
      <c r="S1774" s="9">
        <f>IF(Q1774="","",IF(MATCH(R1774,$R$5:$R$100000,0)=ROW()-4,ROW(),""))</f>
        <v/>
      </c>
      <c r="T1774" s="9">
        <f>IF(Q1774="당기",ABS(P1774)+ROW()/1000000000,"")</f>
        <v/>
      </c>
      <c r="U1774" s="9">
        <f>IF(Q1774="비교",ABS(P1774)+ROW()/1000000000,"")</f>
        <v/>
      </c>
      <c r="V1774" s="39">
        <f>IF($A1774="","",IF(COUNTIF(변동분석!$E$7:$E$506,O1774)&gt;0,"Y","N"))</f>
        <v/>
      </c>
      <c r="W1774" s="39">
        <f>IF($A1774="","",IFERROR(INDEX(계정매핑!$D$5:$D$504,MATCH($F1774&amp;"",계정매핑!$A$5:$A$504,0)),"미매핑"))</f>
        <v/>
      </c>
      <c r="X1774" s="9">
        <f>IF($A1774="","",$F1774&amp;"")</f>
        <v/>
      </c>
    </row>
    <row r="1775">
      <c r="A1775" s="75" t="n">
        <v>2025</v>
      </c>
      <c r="B1775" s="75" t="n">
        <v>10</v>
      </c>
      <c r="C1775" s="75" t="inlineStr">
        <is>
          <t>5100001771</t>
        </is>
      </c>
      <c r="D1775" s="78" t="n">
        <v>45934</v>
      </c>
      <c r="E1775" s="75" t="inlineStr">
        <is>
          <t>KR</t>
        </is>
      </c>
      <c r="F1775" s="75" t="n">
        <v>62901000</v>
      </c>
      <c r="G1775" s="75" t="n">
        <v>1401</v>
      </c>
      <c r="H1775" s="76" t="n">
        <v>7157000</v>
      </c>
      <c r="I1775" s="75" t="inlineStr">
        <is>
          <t>10월 자문 수수료 - W컨설팅</t>
        </is>
      </c>
      <c r="J1775" s="75" t="inlineStr">
        <is>
          <t>V10009</t>
        </is>
      </c>
      <c r="K1775" s="75" t="inlineStr">
        <is>
          <t>W컨설팅</t>
        </is>
      </c>
      <c r="M1775" s="9">
        <f>IF($A1775="","",VALUE($A1775&amp;"")*12+VALUE($B1775&amp;""))</f>
        <v/>
      </c>
      <c r="N1775" s="39">
        <f>IF($A1775="","",IFERROR(INDEX(부서매핑!$C$5:$C$504,MATCH($G1775&amp;"",부서매핑!$A$5:$A$504,0)),"미매핑"))</f>
        <v/>
      </c>
      <c r="O1775" s="9">
        <f>IF($A1775="","",N1775&amp;"|"&amp;$F1775)</f>
        <v/>
      </c>
      <c r="P1775" s="77">
        <f>IF($A1775="",0,$H1775*설정!$C$23)</f>
        <v/>
      </c>
      <c r="Q1775" s="39">
        <f>IF($A1775="","",IF(O1775&lt;&gt;원인분석!$C$9,"",IF(AND(M1775&gt;=원인분석!$C$10,M1775&lt;=원인분석!$C$11),"당기",IF(AND(M1775&gt;=원인분석!$C$12,M1775&lt;=원인분석!$C$13),"비교",""))))</f>
        <v/>
      </c>
      <c r="R1775" s="9">
        <f>IF(Q1775="","",$K1775&amp;"")</f>
        <v/>
      </c>
      <c r="S1775" s="9">
        <f>IF(Q1775="","",IF(MATCH(R1775,$R$5:$R$100000,0)=ROW()-4,ROW(),""))</f>
        <v/>
      </c>
      <c r="T1775" s="9">
        <f>IF(Q1775="당기",ABS(P1775)+ROW()/1000000000,"")</f>
        <v/>
      </c>
      <c r="U1775" s="9">
        <f>IF(Q1775="비교",ABS(P1775)+ROW()/1000000000,"")</f>
        <v/>
      </c>
      <c r="V1775" s="39">
        <f>IF($A1775="","",IF(COUNTIF(변동분석!$E$7:$E$506,O1775)&gt;0,"Y","N"))</f>
        <v/>
      </c>
      <c r="W1775" s="39">
        <f>IF($A1775="","",IFERROR(INDEX(계정매핑!$D$5:$D$504,MATCH($F1775&amp;"",계정매핑!$A$5:$A$504,0)),"미매핑"))</f>
        <v/>
      </c>
      <c r="X1775" s="9">
        <f>IF($A1775="","",$F1775&amp;"")</f>
        <v/>
      </c>
    </row>
    <row r="1776">
      <c r="A1776" s="75" t="n">
        <v>2025</v>
      </c>
      <c r="B1776" s="75" t="n">
        <v>10</v>
      </c>
      <c r="C1776" s="75" t="inlineStr">
        <is>
          <t>5100001772</t>
        </is>
      </c>
      <c r="D1776" s="78" t="n">
        <v>45934</v>
      </c>
      <c r="E1776" s="75" t="inlineStr">
        <is>
          <t>KR</t>
        </is>
      </c>
      <c r="F1776" s="75" t="n">
        <v>62901000</v>
      </c>
      <c r="G1776" s="75" t="n">
        <v>1401</v>
      </c>
      <c r="H1776" s="76" t="n">
        <v>6888000</v>
      </c>
      <c r="I1776" s="75" t="inlineStr">
        <is>
          <t>10월 자문 수수료 - W컨설팅</t>
        </is>
      </c>
      <c r="J1776" s="75" t="inlineStr">
        <is>
          <t>V10009</t>
        </is>
      </c>
      <c r="K1776" s="75" t="inlineStr">
        <is>
          <t>W컨설팅</t>
        </is>
      </c>
      <c r="M1776" s="9">
        <f>IF($A1776="","",VALUE($A1776&amp;"")*12+VALUE($B1776&amp;""))</f>
        <v/>
      </c>
      <c r="N1776" s="39">
        <f>IF($A1776="","",IFERROR(INDEX(부서매핑!$C$5:$C$504,MATCH($G1776&amp;"",부서매핑!$A$5:$A$504,0)),"미매핑"))</f>
        <v/>
      </c>
      <c r="O1776" s="9">
        <f>IF($A1776="","",N1776&amp;"|"&amp;$F1776)</f>
        <v/>
      </c>
      <c r="P1776" s="77">
        <f>IF($A1776="",0,$H1776*설정!$C$23)</f>
        <v/>
      </c>
      <c r="Q1776" s="39">
        <f>IF($A1776="","",IF(O1776&lt;&gt;원인분석!$C$9,"",IF(AND(M1776&gt;=원인분석!$C$10,M1776&lt;=원인분석!$C$11),"당기",IF(AND(M1776&gt;=원인분석!$C$12,M1776&lt;=원인분석!$C$13),"비교",""))))</f>
        <v/>
      </c>
      <c r="R1776" s="9">
        <f>IF(Q1776="","",$K1776&amp;"")</f>
        <v/>
      </c>
      <c r="S1776" s="9">
        <f>IF(Q1776="","",IF(MATCH(R1776,$R$5:$R$100000,0)=ROW()-4,ROW(),""))</f>
        <v/>
      </c>
      <c r="T1776" s="9">
        <f>IF(Q1776="당기",ABS(P1776)+ROW()/1000000000,"")</f>
        <v/>
      </c>
      <c r="U1776" s="9">
        <f>IF(Q1776="비교",ABS(P1776)+ROW()/1000000000,"")</f>
        <v/>
      </c>
      <c r="V1776" s="39">
        <f>IF($A1776="","",IF(COUNTIF(변동분석!$E$7:$E$506,O1776)&gt;0,"Y","N"))</f>
        <v/>
      </c>
      <c r="W1776" s="39">
        <f>IF($A1776="","",IFERROR(INDEX(계정매핑!$D$5:$D$504,MATCH($F1776&amp;"",계정매핑!$A$5:$A$504,0)),"미매핑"))</f>
        <v/>
      </c>
      <c r="X1776" s="9">
        <f>IF($A1776="","",$F1776&amp;"")</f>
        <v/>
      </c>
    </row>
    <row r="1777">
      <c r="A1777" s="75" t="n">
        <v>2025</v>
      </c>
      <c r="B1777" s="75" t="n">
        <v>10</v>
      </c>
      <c r="C1777" s="75" t="inlineStr">
        <is>
          <t>5100001773</t>
        </is>
      </c>
      <c r="D1777" s="78" t="n">
        <v>45934</v>
      </c>
      <c r="E1777" s="75" t="inlineStr">
        <is>
          <t>KR</t>
        </is>
      </c>
      <c r="F1777" s="75" t="n">
        <v>62902000</v>
      </c>
      <c r="G1777" s="75" t="n">
        <v>1801</v>
      </c>
      <c r="H1777" s="76" t="n">
        <v>1755000</v>
      </c>
      <c r="I1777" s="75" t="inlineStr">
        <is>
          <t>10월 콜 위탁 수수료(건별)</t>
        </is>
      </c>
      <c r="J1777" s="75" t="inlineStr">
        <is>
          <t>V10013</t>
        </is>
      </c>
      <c r="K1777" s="75" t="inlineStr">
        <is>
          <t>J콜센터</t>
        </is>
      </c>
      <c r="M1777" s="9">
        <f>IF($A1777="","",VALUE($A1777&amp;"")*12+VALUE($B1777&amp;""))</f>
        <v/>
      </c>
      <c r="N1777" s="39">
        <f>IF($A1777="","",IFERROR(INDEX(부서매핑!$C$5:$C$504,MATCH($G1777&amp;"",부서매핑!$A$5:$A$504,0)),"미매핑"))</f>
        <v/>
      </c>
      <c r="O1777" s="9">
        <f>IF($A1777="","",N1777&amp;"|"&amp;$F1777)</f>
        <v/>
      </c>
      <c r="P1777" s="77">
        <f>IF($A1777="",0,$H1777*설정!$C$23)</f>
        <v/>
      </c>
      <c r="Q1777" s="39">
        <f>IF($A1777="","",IF(O1777&lt;&gt;원인분석!$C$9,"",IF(AND(M1777&gt;=원인분석!$C$10,M1777&lt;=원인분석!$C$11),"당기",IF(AND(M1777&gt;=원인분석!$C$12,M1777&lt;=원인분석!$C$13),"비교",""))))</f>
        <v/>
      </c>
      <c r="R1777" s="9">
        <f>IF(Q1777="","",$K1777&amp;"")</f>
        <v/>
      </c>
      <c r="S1777" s="9">
        <f>IF(Q1777="","",IF(MATCH(R1777,$R$5:$R$100000,0)=ROW()-4,ROW(),""))</f>
        <v/>
      </c>
      <c r="T1777" s="9">
        <f>IF(Q1777="당기",ABS(P1777)+ROW()/1000000000,"")</f>
        <v/>
      </c>
      <c r="U1777" s="9">
        <f>IF(Q1777="비교",ABS(P1777)+ROW()/1000000000,"")</f>
        <v/>
      </c>
      <c r="V1777" s="39">
        <f>IF($A1777="","",IF(COUNTIF(변동분석!$E$7:$E$506,O1777)&gt;0,"Y","N"))</f>
        <v/>
      </c>
      <c r="W1777" s="39">
        <f>IF($A1777="","",IFERROR(INDEX(계정매핑!$D$5:$D$504,MATCH($F1777&amp;"",계정매핑!$A$5:$A$504,0)),"미매핑"))</f>
        <v/>
      </c>
      <c r="X1777" s="9">
        <f>IF($A1777="","",$F1777&amp;"")</f>
        <v/>
      </c>
    </row>
    <row r="1778">
      <c r="A1778" s="75" t="n">
        <v>2025</v>
      </c>
      <c r="B1778" s="75" t="n">
        <v>10</v>
      </c>
      <c r="C1778" s="75" t="inlineStr">
        <is>
          <t>5100001774</t>
        </is>
      </c>
      <c r="D1778" s="78" t="n">
        <v>45934</v>
      </c>
      <c r="E1778" s="75" t="inlineStr">
        <is>
          <t>KR</t>
        </is>
      </c>
      <c r="F1778" s="75" t="n">
        <v>62902000</v>
      </c>
      <c r="G1778" s="75" t="n">
        <v>1801</v>
      </c>
      <c r="H1778" s="76" t="n">
        <v>1763000</v>
      </c>
      <c r="I1778" s="75" t="inlineStr">
        <is>
          <t>10월 콜 위탁 수수료(건별)</t>
        </is>
      </c>
      <c r="J1778" s="75" t="inlineStr">
        <is>
          <t>V10013</t>
        </is>
      </c>
      <c r="K1778" s="75" t="inlineStr">
        <is>
          <t>J콜센터</t>
        </is>
      </c>
      <c r="M1778" s="9">
        <f>IF($A1778="","",VALUE($A1778&amp;"")*12+VALUE($B1778&amp;""))</f>
        <v/>
      </c>
      <c r="N1778" s="39">
        <f>IF($A1778="","",IFERROR(INDEX(부서매핑!$C$5:$C$504,MATCH($G1778&amp;"",부서매핑!$A$5:$A$504,0)),"미매핑"))</f>
        <v/>
      </c>
      <c r="O1778" s="9">
        <f>IF($A1778="","",N1778&amp;"|"&amp;$F1778)</f>
        <v/>
      </c>
      <c r="P1778" s="77">
        <f>IF($A1778="",0,$H1778*설정!$C$23)</f>
        <v/>
      </c>
      <c r="Q1778" s="39">
        <f>IF($A1778="","",IF(O1778&lt;&gt;원인분석!$C$9,"",IF(AND(M1778&gt;=원인분석!$C$10,M1778&lt;=원인분석!$C$11),"당기",IF(AND(M1778&gt;=원인분석!$C$12,M1778&lt;=원인분석!$C$13),"비교",""))))</f>
        <v/>
      </c>
      <c r="R1778" s="9">
        <f>IF(Q1778="","",$K1778&amp;"")</f>
        <v/>
      </c>
      <c r="S1778" s="9">
        <f>IF(Q1778="","",IF(MATCH(R1778,$R$5:$R$100000,0)=ROW()-4,ROW(),""))</f>
        <v/>
      </c>
      <c r="T1778" s="9">
        <f>IF(Q1778="당기",ABS(P1778)+ROW()/1000000000,"")</f>
        <v/>
      </c>
      <c r="U1778" s="9">
        <f>IF(Q1778="비교",ABS(P1778)+ROW()/1000000000,"")</f>
        <v/>
      </c>
      <c r="V1778" s="39">
        <f>IF($A1778="","",IF(COUNTIF(변동분석!$E$7:$E$506,O1778)&gt;0,"Y","N"))</f>
        <v/>
      </c>
      <c r="W1778" s="39">
        <f>IF($A1778="","",IFERROR(INDEX(계정매핑!$D$5:$D$504,MATCH($F1778&amp;"",계정매핑!$A$5:$A$504,0)),"미매핑"))</f>
        <v/>
      </c>
      <c r="X1778" s="9">
        <f>IF($A1778="","",$F1778&amp;"")</f>
        <v/>
      </c>
    </row>
    <row r="1779">
      <c r="A1779" s="75" t="n">
        <v>2025</v>
      </c>
      <c r="B1779" s="75" t="n">
        <v>10</v>
      </c>
      <c r="C1779" s="75" t="inlineStr">
        <is>
          <t>5100001775</t>
        </is>
      </c>
      <c r="D1779" s="78" t="n">
        <v>45934</v>
      </c>
      <c r="E1779" s="75" t="inlineStr">
        <is>
          <t>KR</t>
        </is>
      </c>
      <c r="F1779" s="75" t="n">
        <v>62902000</v>
      </c>
      <c r="G1779" s="75" t="n">
        <v>1801</v>
      </c>
      <c r="H1779" s="76" t="n">
        <v>3000000</v>
      </c>
      <c r="I1779" s="75" t="inlineStr">
        <is>
          <t>10월 업무 위탁 수수료 - X서비스</t>
        </is>
      </c>
      <c r="J1779" s="75" t="inlineStr">
        <is>
          <t>V10016</t>
        </is>
      </c>
      <c r="K1779" s="75" t="inlineStr">
        <is>
          <t>X서비스</t>
        </is>
      </c>
      <c r="M1779" s="9">
        <f>IF($A1779="","",VALUE($A1779&amp;"")*12+VALUE($B1779&amp;""))</f>
        <v/>
      </c>
      <c r="N1779" s="39">
        <f>IF($A1779="","",IFERROR(INDEX(부서매핑!$C$5:$C$504,MATCH($G1779&amp;"",부서매핑!$A$5:$A$504,0)),"미매핑"))</f>
        <v/>
      </c>
      <c r="O1779" s="9">
        <f>IF($A1779="","",N1779&amp;"|"&amp;$F1779)</f>
        <v/>
      </c>
      <c r="P1779" s="77">
        <f>IF($A1779="",0,$H1779*설정!$C$23)</f>
        <v/>
      </c>
      <c r="Q1779" s="39">
        <f>IF($A1779="","",IF(O1779&lt;&gt;원인분석!$C$9,"",IF(AND(M1779&gt;=원인분석!$C$10,M1779&lt;=원인분석!$C$11),"당기",IF(AND(M1779&gt;=원인분석!$C$12,M1779&lt;=원인분석!$C$13),"비교",""))))</f>
        <v/>
      </c>
      <c r="R1779" s="9">
        <f>IF(Q1779="","",$K1779&amp;"")</f>
        <v/>
      </c>
      <c r="S1779" s="9">
        <f>IF(Q1779="","",IF(MATCH(R1779,$R$5:$R$100000,0)=ROW()-4,ROW(),""))</f>
        <v/>
      </c>
      <c r="T1779" s="9">
        <f>IF(Q1779="당기",ABS(P1779)+ROW()/1000000000,"")</f>
        <v/>
      </c>
      <c r="U1779" s="9">
        <f>IF(Q1779="비교",ABS(P1779)+ROW()/1000000000,"")</f>
        <v/>
      </c>
      <c r="V1779" s="39">
        <f>IF($A1779="","",IF(COUNTIF(변동분석!$E$7:$E$506,O1779)&gt;0,"Y","N"))</f>
        <v/>
      </c>
      <c r="W1779" s="39">
        <f>IF($A1779="","",IFERROR(INDEX(계정매핑!$D$5:$D$504,MATCH($F1779&amp;"",계정매핑!$A$5:$A$504,0)),"미매핑"))</f>
        <v/>
      </c>
      <c r="X1779" s="9">
        <f>IF($A1779="","",$F1779&amp;"")</f>
        <v/>
      </c>
    </row>
    <row r="1780">
      <c r="A1780" s="75" t="n">
        <v>2025</v>
      </c>
      <c r="B1780" s="75" t="n">
        <v>10</v>
      </c>
      <c r="C1780" s="75" t="inlineStr">
        <is>
          <t>5100001776</t>
        </is>
      </c>
      <c r="D1780" s="78" t="n">
        <v>45935</v>
      </c>
      <c r="E1780" s="75" t="inlineStr">
        <is>
          <t>KR</t>
        </is>
      </c>
      <c r="F1780" s="75" t="n">
        <v>62102000</v>
      </c>
      <c r="G1780" s="75" t="n">
        <v>1101</v>
      </c>
      <c r="H1780" s="76" t="n">
        <v>160000</v>
      </c>
      <c r="I1780" s="75" t="inlineStr">
        <is>
          <t>10월 해외출장 - N호텔</t>
        </is>
      </c>
      <c r="J1780" s="75" t="inlineStr">
        <is>
          <t>V10007</t>
        </is>
      </c>
      <c r="K1780" s="75" t="inlineStr">
        <is>
          <t>N호텔</t>
        </is>
      </c>
      <c r="M1780" s="9">
        <f>IF($A1780="","",VALUE($A1780&amp;"")*12+VALUE($B1780&amp;""))</f>
        <v/>
      </c>
      <c r="N1780" s="39">
        <f>IF($A1780="","",IFERROR(INDEX(부서매핑!$C$5:$C$504,MATCH($G1780&amp;"",부서매핑!$A$5:$A$504,0)),"미매핑"))</f>
        <v/>
      </c>
      <c r="O1780" s="9">
        <f>IF($A1780="","",N1780&amp;"|"&amp;$F1780)</f>
        <v/>
      </c>
      <c r="P1780" s="77">
        <f>IF($A1780="",0,$H1780*설정!$C$23)</f>
        <v/>
      </c>
      <c r="Q1780" s="39">
        <f>IF($A1780="","",IF(O1780&lt;&gt;원인분석!$C$9,"",IF(AND(M1780&gt;=원인분석!$C$10,M1780&lt;=원인분석!$C$11),"당기",IF(AND(M1780&gt;=원인분석!$C$12,M1780&lt;=원인분석!$C$13),"비교",""))))</f>
        <v/>
      </c>
      <c r="R1780" s="9">
        <f>IF(Q1780="","",$K1780&amp;"")</f>
        <v/>
      </c>
      <c r="S1780" s="9">
        <f>IF(Q1780="","",IF(MATCH(R1780,$R$5:$R$100000,0)=ROW()-4,ROW(),""))</f>
        <v/>
      </c>
      <c r="T1780" s="9">
        <f>IF(Q1780="당기",ABS(P1780)+ROW()/1000000000,"")</f>
        <v/>
      </c>
      <c r="U1780" s="9">
        <f>IF(Q1780="비교",ABS(P1780)+ROW()/1000000000,"")</f>
        <v/>
      </c>
      <c r="V1780" s="39">
        <f>IF($A1780="","",IF(COUNTIF(변동분석!$E$7:$E$506,O1780)&gt;0,"Y","N"))</f>
        <v/>
      </c>
      <c r="W1780" s="39">
        <f>IF($A1780="","",IFERROR(INDEX(계정매핑!$D$5:$D$504,MATCH($F1780&amp;"",계정매핑!$A$5:$A$504,0)),"미매핑"))</f>
        <v/>
      </c>
      <c r="X1780" s="9">
        <f>IF($A1780="","",$F1780&amp;"")</f>
        <v/>
      </c>
    </row>
    <row r="1781">
      <c r="A1781" s="75" t="n">
        <v>2025</v>
      </c>
      <c r="B1781" s="75" t="n">
        <v>10</v>
      </c>
      <c r="C1781" s="75" t="inlineStr">
        <is>
          <t>5100001777</t>
        </is>
      </c>
      <c r="D1781" s="78" t="n">
        <v>45935</v>
      </c>
      <c r="E1781" s="75" t="inlineStr">
        <is>
          <t>KR</t>
        </is>
      </c>
      <c r="F1781" s="75" t="n">
        <v>62102000</v>
      </c>
      <c r="G1781" s="75" t="n">
        <v>1301</v>
      </c>
      <c r="H1781" s="76" t="n">
        <v>73000</v>
      </c>
      <c r="I1781" s="75" t="inlineStr">
        <is>
          <t>10월 해외출장 - N호텔</t>
        </is>
      </c>
      <c r="J1781" s="75" t="inlineStr">
        <is>
          <t>V10007</t>
        </is>
      </c>
      <c r="K1781" s="75" t="inlineStr">
        <is>
          <t>N호텔</t>
        </is>
      </c>
      <c r="M1781" s="9">
        <f>IF($A1781="","",VALUE($A1781&amp;"")*12+VALUE($B1781&amp;""))</f>
        <v/>
      </c>
      <c r="N1781" s="39">
        <f>IF($A1781="","",IFERROR(INDEX(부서매핑!$C$5:$C$504,MATCH($G1781&amp;"",부서매핑!$A$5:$A$504,0)),"미매핑"))</f>
        <v/>
      </c>
      <c r="O1781" s="9">
        <f>IF($A1781="","",N1781&amp;"|"&amp;$F1781)</f>
        <v/>
      </c>
      <c r="P1781" s="77">
        <f>IF($A1781="",0,$H1781*설정!$C$23)</f>
        <v/>
      </c>
      <c r="Q1781" s="39">
        <f>IF($A1781="","",IF(O1781&lt;&gt;원인분석!$C$9,"",IF(AND(M1781&gt;=원인분석!$C$10,M1781&lt;=원인분석!$C$11),"당기",IF(AND(M1781&gt;=원인분석!$C$12,M1781&lt;=원인분석!$C$13),"비교",""))))</f>
        <v/>
      </c>
      <c r="R1781" s="9">
        <f>IF(Q1781="","",$K1781&amp;"")</f>
        <v/>
      </c>
      <c r="S1781" s="9">
        <f>IF(Q1781="","",IF(MATCH(R1781,$R$5:$R$100000,0)=ROW()-4,ROW(),""))</f>
        <v/>
      </c>
      <c r="T1781" s="9">
        <f>IF(Q1781="당기",ABS(P1781)+ROW()/1000000000,"")</f>
        <v/>
      </c>
      <c r="U1781" s="9">
        <f>IF(Q1781="비교",ABS(P1781)+ROW()/1000000000,"")</f>
        <v/>
      </c>
      <c r="V1781" s="39">
        <f>IF($A1781="","",IF(COUNTIF(변동분석!$E$7:$E$506,O1781)&gt;0,"Y","N"))</f>
        <v/>
      </c>
      <c r="W1781" s="39">
        <f>IF($A1781="","",IFERROR(INDEX(계정매핑!$D$5:$D$504,MATCH($F1781&amp;"",계정매핑!$A$5:$A$504,0)),"미매핑"))</f>
        <v/>
      </c>
      <c r="X1781" s="9">
        <f>IF($A1781="","",$F1781&amp;"")</f>
        <v/>
      </c>
    </row>
    <row r="1782">
      <c r="A1782" s="75" t="n">
        <v>2025</v>
      </c>
      <c r="B1782" s="75" t="n">
        <v>10</v>
      </c>
      <c r="C1782" s="75" t="inlineStr">
        <is>
          <t>5100001778</t>
        </is>
      </c>
      <c r="D1782" s="78" t="n">
        <v>45935</v>
      </c>
      <c r="E1782" s="75" t="inlineStr">
        <is>
          <t>KR</t>
        </is>
      </c>
      <c r="F1782" s="75" t="n">
        <v>62301000</v>
      </c>
      <c r="G1782" s="75" t="n">
        <v>1602</v>
      </c>
      <c r="H1782" s="76" t="n">
        <v>317000</v>
      </c>
      <c r="I1782" s="75" t="inlineStr">
        <is>
          <t>10월 소모품 구입 - R문구</t>
        </is>
      </c>
      <c r="J1782" s="75" t="inlineStr">
        <is>
          <t>V10018</t>
        </is>
      </c>
      <c r="K1782" s="75" t="inlineStr">
        <is>
          <t>R문구</t>
        </is>
      </c>
      <c r="M1782" s="9">
        <f>IF($A1782="","",VALUE($A1782&amp;"")*12+VALUE($B1782&amp;""))</f>
        <v/>
      </c>
      <c r="N1782" s="39">
        <f>IF($A1782="","",IFERROR(INDEX(부서매핑!$C$5:$C$504,MATCH($G1782&amp;"",부서매핑!$A$5:$A$504,0)),"미매핑"))</f>
        <v/>
      </c>
      <c r="O1782" s="9">
        <f>IF($A1782="","",N1782&amp;"|"&amp;$F1782)</f>
        <v/>
      </c>
      <c r="P1782" s="77">
        <f>IF($A1782="",0,$H1782*설정!$C$23)</f>
        <v/>
      </c>
      <c r="Q1782" s="39">
        <f>IF($A1782="","",IF(O1782&lt;&gt;원인분석!$C$9,"",IF(AND(M1782&gt;=원인분석!$C$10,M1782&lt;=원인분석!$C$11),"당기",IF(AND(M1782&gt;=원인분석!$C$12,M1782&lt;=원인분석!$C$13),"비교",""))))</f>
        <v/>
      </c>
      <c r="R1782" s="9">
        <f>IF(Q1782="","",$K1782&amp;"")</f>
        <v/>
      </c>
      <c r="S1782" s="9">
        <f>IF(Q1782="","",IF(MATCH(R1782,$R$5:$R$100000,0)=ROW()-4,ROW(),""))</f>
        <v/>
      </c>
      <c r="T1782" s="9">
        <f>IF(Q1782="당기",ABS(P1782)+ROW()/1000000000,"")</f>
        <v/>
      </c>
      <c r="U1782" s="9">
        <f>IF(Q1782="비교",ABS(P1782)+ROW()/1000000000,"")</f>
        <v/>
      </c>
      <c r="V1782" s="39">
        <f>IF($A1782="","",IF(COUNTIF(변동분석!$E$7:$E$506,O1782)&gt;0,"Y","N"))</f>
        <v/>
      </c>
      <c r="W1782" s="39">
        <f>IF($A1782="","",IFERROR(INDEX(계정매핑!$D$5:$D$504,MATCH($F1782&amp;"",계정매핑!$A$5:$A$504,0)),"미매핑"))</f>
        <v/>
      </c>
      <c r="X1782" s="9">
        <f>IF($A1782="","",$F1782&amp;"")</f>
        <v/>
      </c>
    </row>
    <row r="1783">
      <c r="A1783" s="75" t="n">
        <v>2025</v>
      </c>
      <c r="B1783" s="75" t="n">
        <v>10</v>
      </c>
      <c r="C1783" s="75" t="inlineStr">
        <is>
          <t>5100001779</t>
        </is>
      </c>
      <c r="D1783" s="78" t="n">
        <v>45935</v>
      </c>
      <c r="E1783" s="75" t="inlineStr">
        <is>
          <t>KR</t>
        </is>
      </c>
      <c r="F1783" s="75" t="n">
        <v>62501000</v>
      </c>
      <c r="G1783" s="75" t="n">
        <v>1601</v>
      </c>
      <c r="H1783" s="76" t="n">
        <v>476000</v>
      </c>
      <c r="I1783" s="75" t="inlineStr">
        <is>
          <t>10월 회의 다과 - T케이터링</t>
        </is>
      </c>
      <c r="J1783" s="75" t="inlineStr">
        <is>
          <t>V10005</t>
        </is>
      </c>
      <c r="K1783" s="75" t="inlineStr">
        <is>
          <t>T케이터링</t>
        </is>
      </c>
      <c r="M1783" s="9">
        <f>IF($A1783="","",VALUE($A1783&amp;"")*12+VALUE($B1783&amp;""))</f>
        <v/>
      </c>
      <c r="N1783" s="39">
        <f>IF($A1783="","",IFERROR(INDEX(부서매핑!$C$5:$C$504,MATCH($G1783&amp;"",부서매핑!$A$5:$A$504,0)),"미매핑"))</f>
        <v/>
      </c>
      <c r="O1783" s="9">
        <f>IF($A1783="","",N1783&amp;"|"&amp;$F1783)</f>
        <v/>
      </c>
      <c r="P1783" s="77">
        <f>IF($A1783="",0,$H1783*설정!$C$23)</f>
        <v/>
      </c>
      <c r="Q1783" s="39">
        <f>IF($A1783="","",IF(O1783&lt;&gt;원인분석!$C$9,"",IF(AND(M1783&gt;=원인분석!$C$10,M1783&lt;=원인분석!$C$11),"당기",IF(AND(M1783&gt;=원인분석!$C$12,M1783&lt;=원인분석!$C$13),"비교",""))))</f>
        <v/>
      </c>
      <c r="R1783" s="9">
        <f>IF(Q1783="","",$K1783&amp;"")</f>
        <v/>
      </c>
      <c r="S1783" s="9">
        <f>IF(Q1783="","",IF(MATCH(R1783,$R$5:$R$100000,0)=ROW()-4,ROW(),""))</f>
        <v/>
      </c>
      <c r="T1783" s="9">
        <f>IF(Q1783="당기",ABS(P1783)+ROW()/1000000000,"")</f>
        <v/>
      </c>
      <c r="U1783" s="9">
        <f>IF(Q1783="비교",ABS(P1783)+ROW()/1000000000,"")</f>
        <v/>
      </c>
      <c r="V1783" s="39">
        <f>IF($A1783="","",IF(COUNTIF(변동분석!$E$7:$E$506,O1783)&gt;0,"Y","N"))</f>
        <v/>
      </c>
      <c r="W1783" s="39">
        <f>IF($A1783="","",IFERROR(INDEX(계정매핑!$D$5:$D$504,MATCH($F1783&amp;"",계정매핑!$A$5:$A$504,0)),"미매핑"))</f>
        <v/>
      </c>
      <c r="X1783" s="9">
        <f>IF($A1783="","",$F1783&amp;"")</f>
        <v/>
      </c>
    </row>
    <row r="1784">
      <c r="A1784" s="75" t="n">
        <v>2025</v>
      </c>
      <c r="B1784" s="75" t="n">
        <v>10</v>
      </c>
      <c r="C1784" s="75" t="inlineStr">
        <is>
          <t>5100001780</t>
        </is>
      </c>
      <c r="D1784" s="78" t="n">
        <v>45935</v>
      </c>
      <c r="E1784" s="75" t="inlineStr">
        <is>
          <t>KR</t>
        </is>
      </c>
      <c r="F1784" s="75" t="n">
        <v>62601000</v>
      </c>
      <c r="G1784" s="75" t="n">
        <v>1601</v>
      </c>
      <c r="H1784" s="76" t="n">
        <v>1244000</v>
      </c>
      <c r="I1784" s="75" t="inlineStr">
        <is>
          <t>10월 업무추진 - (법인카드)</t>
        </is>
      </c>
      <c r="J1784" s="75" t="inlineStr">
        <is>
          <t>V10008</t>
        </is>
      </c>
      <c r="K1784" s="75" t="inlineStr">
        <is>
          <t>(법인카드)</t>
        </is>
      </c>
      <c r="M1784" s="9">
        <f>IF($A1784="","",VALUE($A1784&amp;"")*12+VALUE($B1784&amp;""))</f>
        <v/>
      </c>
      <c r="N1784" s="39">
        <f>IF($A1784="","",IFERROR(INDEX(부서매핑!$C$5:$C$504,MATCH($G1784&amp;"",부서매핑!$A$5:$A$504,0)),"미매핑"))</f>
        <v/>
      </c>
      <c r="O1784" s="9">
        <f>IF($A1784="","",N1784&amp;"|"&amp;$F1784)</f>
        <v/>
      </c>
      <c r="P1784" s="77">
        <f>IF($A1784="",0,$H1784*설정!$C$23)</f>
        <v/>
      </c>
      <c r="Q1784" s="39">
        <f>IF($A1784="","",IF(O1784&lt;&gt;원인분석!$C$9,"",IF(AND(M1784&gt;=원인분석!$C$10,M1784&lt;=원인분석!$C$11),"당기",IF(AND(M1784&gt;=원인분석!$C$12,M1784&lt;=원인분석!$C$13),"비교",""))))</f>
        <v/>
      </c>
      <c r="R1784" s="9">
        <f>IF(Q1784="","",$K1784&amp;"")</f>
        <v/>
      </c>
      <c r="S1784" s="9">
        <f>IF(Q1784="","",IF(MATCH(R1784,$R$5:$R$100000,0)=ROW()-4,ROW(),""))</f>
        <v/>
      </c>
      <c r="T1784" s="9">
        <f>IF(Q1784="당기",ABS(P1784)+ROW()/1000000000,"")</f>
        <v/>
      </c>
      <c r="U1784" s="9">
        <f>IF(Q1784="비교",ABS(P1784)+ROW()/1000000000,"")</f>
        <v/>
      </c>
      <c r="V1784" s="39">
        <f>IF($A1784="","",IF(COUNTIF(변동분석!$E$7:$E$506,O1784)&gt;0,"Y","N"))</f>
        <v/>
      </c>
      <c r="W1784" s="39">
        <f>IF($A1784="","",IFERROR(INDEX(계정매핑!$D$5:$D$504,MATCH($F1784&amp;"",계정매핑!$A$5:$A$504,0)),"미매핑"))</f>
        <v/>
      </c>
      <c r="X1784" s="9">
        <f>IF($A1784="","",$F1784&amp;"")</f>
        <v/>
      </c>
    </row>
    <row r="1785">
      <c r="A1785" s="75" t="n">
        <v>2025</v>
      </c>
      <c r="B1785" s="75" t="n">
        <v>10</v>
      </c>
      <c r="C1785" s="75" t="inlineStr">
        <is>
          <t>5100001781</t>
        </is>
      </c>
      <c r="D1785" s="78" t="n">
        <v>45935</v>
      </c>
      <c r="E1785" s="75" t="inlineStr">
        <is>
          <t>KR</t>
        </is>
      </c>
      <c r="F1785" s="75" t="n">
        <v>62902000</v>
      </c>
      <c r="G1785" s="75" t="n">
        <v>1101</v>
      </c>
      <c r="H1785" s="76" t="n">
        <v>909000</v>
      </c>
      <c r="I1785" s="75" t="inlineStr">
        <is>
          <t>10월 업무 위탁 수수료 - J콜센터</t>
        </is>
      </c>
      <c r="J1785" s="75" t="inlineStr">
        <is>
          <t>V10013</t>
        </is>
      </c>
      <c r="K1785" s="75" t="inlineStr">
        <is>
          <t>J콜센터</t>
        </is>
      </c>
      <c r="M1785" s="9">
        <f>IF($A1785="","",VALUE($A1785&amp;"")*12+VALUE($B1785&amp;""))</f>
        <v/>
      </c>
      <c r="N1785" s="39">
        <f>IF($A1785="","",IFERROR(INDEX(부서매핑!$C$5:$C$504,MATCH($G1785&amp;"",부서매핑!$A$5:$A$504,0)),"미매핑"))</f>
        <v/>
      </c>
      <c r="O1785" s="9">
        <f>IF($A1785="","",N1785&amp;"|"&amp;$F1785)</f>
        <v/>
      </c>
      <c r="P1785" s="77">
        <f>IF($A1785="",0,$H1785*설정!$C$23)</f>
        <v/>
      </c>
      <c r="Q1785" s="39">
        <f>IF($A1785="","",IF(O1785&lt;&gt;원인분석!$C$9,"",IF(AND(M1785&gt;=원인분석!$C$10,M1785&lt;=원인분석!$C$11),"당기",IF(AND(M1785&gt;=원인분석!$C$12,M1785&lt;=원인분석!$C$13),"비교",""))))</f>
        <v/>
      </c>
      <c r="R1785" s="9">
        <f>IF(Q1785="","",$K1785&amp;"")</f>
        <v/>
      </c>
      <c r="S1785" s="9">
        <f>IF(Q1785="","",IF(MATCH(R1785,$R$5:$R$100000,0)=ROW()-4,ROW(),""))</f>
        <v/>
      </c>
      <c r="T1785" s="9">
        <f>IF(Q1785="당기",ABS(P1785)+ROW()/1000000000,"")</f>
        <v/>
      </c>
      <c r="U1785" s="9">
        <f>IF(Q1785="비교",ABS(P1785)+ROW()/1000000000,"")</f>
        <v/>
      </c>
      <c r="V1785" s="39">
        <f>IF($A1785="","",IF(COUNTIF(변동분석!$E$7:$E$506,O1785)&gt;0,"Y","N"))</f>
        <v/>
      </c>
      <c r="W1785" s="39">
        <f>IF($A1785="","",IFERROR(INDEX(계정매핑!$D$5:$D$504,MATCH($F1785&amp;"",계정매핑!$A$5:$A$504,0)),"미매핑"))</f>
        <v/>
      </c>
      <c r="X1785" s="9">
        <f>IF($A1785="","",$F1785&amp;"")</f>
        <v/>
      </c>
    </row>
    <row r="1786">
      <c r="A1786" s="75" t="n">
        <v>2025</v>
      </c>
      <c r="B1786" s="75" t="n">
        <v>10</v>
      </c>
      <c r="C1786" s="75" t="inlineStr">
        <is>
          <t>5100001782</t>
        </is>
      </c>
      <c r="D1786" s="78" t="n">
        <v>45936</v>
      </c>
      <c r="E1786" s="75" t="inlineStr">
        <is>
          <t>KR</t>
        </is>
      </c>
      <c r="F1786" s="75" t="n">
        <v>62101000</v>
      </c>
      <c r="G1786" s="75" t="n">
        <v>1101</v>
      </c>
      <c r="H1786" s="76" t="n">
        <v>513000</v>
      </c>
      <c r="I1786" s="75" t="inlineStr">
        <is>
          <t>10월 국내출장 - (법인카드)</t>
        </is>
      </c>
      <c r="J1786" s="75" t="inlineStr">
        <is>
          <t>V10008</t>
        </is>
      </c>
      <c r="K1786" s="75" t="inlineStr">
        <is>
          <t>(법인카드)</t>
        </is>
      </c>
      <c r="M1786" s="9">
        <f>IF($A1786="","",VALUE($A1786&amp;"")*12+VALUE($B1786&amp;""))</f>
        <v/>
      </c>
      <c r="N1786" s="39">
        <f>IF($A1786="","",IFERROR(INDEX(부서매핑!$C$5:$C$504,MATCH($G1786&amp;"",부서매핑!$A$5:$A$504,0)),"미매핑"))</f>
        <v/>
      </c>
      <c r="O1786" s="9">
        <f>IF($A1786="","",N1786&amp;"|"&amp;$F1786)</f>
        <v/>
      </c>
      <c r="P1786" s="77">
        <f>IF($A1786="",0,$H1786*설정!$C$23)</f>
        <v/>
      </c>
      <c r="Q1786" s="39">
        <f>IF($A1786="","",IF(O1786&lt;&gt;원인분석!$C$9,"",IF(AND(M1786&gt;=원인분석!$C$10,M1786&lt;=원인분석!$C$11),"당기",IF(AND(M1786&gt;=원인분석!$C$12,M1786&lt;=원인분석!$C$13),"비교",""))))</f>
        <v/>
      </c>
      <c r="R1786" s="9">
        <f>IF(Q1786="","",$K1786&amp;"")</f>
        <v/>
      </c>
      <c r="S1786" s="9">
        <f>IF(Q1786="","",IF(MATCH(R1786,$R$5:$R$100000,0)=ROW()-4,ROW(),""))</f>
        <v/>
      </c>
      <c r="T1786" s="9">
        <f>IF(Q1786="당기",ABS(P1786)+ROW()/1000000000,"")</f>
        <v/>
      </c>
      <c r="U1786" s="9">
        <f>IF(Q1786="비교",ABS(P1786)+ROW()/1000000000,"")</f>
        <v/>
      </c>
      <c r="V1786" s="39">
        <f>IF($A1786="","",IF(COUNTIF(변동분석!$E$7:$E$506,O1786)&gt;0,"Y","N"))</f>
        <v/>
      </c>
      <c r="W1786" s="39">
        <f>IF($A1786="","",IFERROR(INDEX(계정매핑!$D$5:$D$504,MATCH($F1786&amp;"",계정매핑!$A$5:$A$504,0)),"미매핑"))</f>
        <v/>
      </c>
      <c r="X1786" s="9">
        <f>IF($A1786="","",$F1786&amp;"")</f>
        <v/>
      </c>
    </row>
    <row r="1787">
      <c r="A1787" s="75" t="n">
        <v>2025</v>
      </c>
      <c r="B1787" s="75" t="n">
        <v>10</v>
      </c>
      <c r="C1787" s="75" t="inlineStr">
        <is>
          <t>5100001783</t>
        </is>
      </c>
      <c r="D1787" s="78" t="n">
        <v>45936</v>
      </c>
      <c r="E1787" s="75" t="inlineStr">
        <is>
          <t>KR</t>
        </is>
      </c>
      <c r="F1787" s="75" t="n">
        <v>62101000</v>
      </c>
      <c r="G1787" s="75" t="n">
        <v>1401</v>
      </c>
      <c r="H1787" s="76" t="n">
        <v>353000</v>
      </c>
      <c r="I1787" s="75" t="inlineStr">
        <is>
          <t>10월 국내출장 - (법인카드)</t>
        </is>
      </c>
      <c r="J1787" s="75" t="inlineStr">
        <is>
          <t>V10008</t>
        </is>
      </c>
      <c r="K1787" s="75" t="inlineStr">
        <is>
          <t>(법인카드)</t>
        </is>
      </c>
      <c r="M1787" s="9">
        <f>IF($A1787="","",VALUE($A1787&amp;"")*12+VALUE($B1787&amp;""))</f>
        <v/>
      </c>
      <c r="N1787" s="39">
        <f>IF($A1787="","",IFERROR(INDEX(부서매핑!$C$5:$C$504,MATCH($G1787&amp;"",부서매핑!$A$5:$A$504,0)),"미매핑"))</f>
        <v/>
      </c>
      <c r="O1787" s="9">
        <f>IF($A1787="","",N1787&amp;"|"&amp;$F1787)</f>
        <v/>
      </c>
      <c r="P1787" s="77">
        <f>IF($A1787="",0,$H1787*설정!$C$23)</f>
        <v/>
      </c>
      <c r="Q1787" s="39">
        <f>IF($A1787="","",IF(O1787&lt;&gt;원인분석!$C$9,"",IF(AND(M1787&gt;=원인분석!$C$10,M1787&lt;=원인분석!$C$11),"당기",IF(AND(M1787&gt;=원인분석!$C$12,M1787&lt;=원인분석!$C$13),"비교",""))))</f>
        <v/>
      </c>
      <c r="R1787" s="9">
        <f>IF(Q1787="","",$K1787&amp;"")</f>
        <v/>
      </c>
      <c r="S1787" s="9">
        <f>IF(Q1787="","",IF(MATCH(R1787,$R$5:$R$100000,0)=ROW()-4,ROW(),""))</f>
        <v/>
      </c>
      <c r="T1787" s="9">
        <f>IF(Q1787="당기",ABS(P1787)+ROW()/1000000000,"")</f>
        <v/>
      </c>
      <c r="U1787" s="9">
        <f>IF(Q1787="비교",ABS(P1787)+ROW()/1000000000,"")</f>
        <v/>
      </c>
      <c r="V1787" s="39">
        <f>IF($A1787="","",IF(COUNTIF(변동분석!$E$7:$E$506,O1787)&gt;0,"Y","N"))</f>
        <v/>
      </c>
      <c r="W1787" s="39">
        <f>IF($A1787="","",IFERROR(INDEX(계정매핑!$D$5:$D$504,MATCH($F1787&amp;"",계정매핑!$A$5:$A$504,0)),"미매핑"))</f>
        <v/>
      </c>
      <c r="X1787" s="9">
        <f>IF($A1787="","",$F1787&amp;"")</f>
        <v/>
      </c>
    </row>
    <row r="1788">
      <c r="A1788" s="75" t="n">
        <v>2025</v>
      </c>
      <c r="B1788" s="75" t="n">
        <v>10</v>
      </c>
      <c r="C1788" s="75" t="inlineStr">
        <is>
          <t>5100001784</t>
        </is>
      </c>
      <c r="D1788" s="78" t="n">
        <v>45936</v>
      </c>
      <c r="E1788" s="75" t="inlineStr">
        <is>
          <t>KR</t>
        </is>
      </c>
      <c r="F1788" s="75" t="n">
        <v>62101000</v>
      </c>
      <c r="G1788" s="75" t="n">
        <v>1801</v>
      </c>
      <c r="H1788" s="76" t="n">
        <v>134000</v>
      </c>
      <c r="I1788" s="75" t="inlineStr">
        <is>
          <t>10월 국내출장 - M항공</t>
        </is>
      </c>
      <c r="J1788" s="75" t="inlineStr">
        <is>
          <t>V10001</t>
        </is>
      </c>
      <c r="K1788" s="75" t="inlineStr">
        <is>
          <t>M항공</t>
        </is>
      </c>
      <c r="M1788" s="9">
        <f>IF($A1788="","",VALUE($A1788&amp;"")*12+VALUE($B1788&amp;""))</f>
        <v/>
      </c>
      <c r="N1788" s="39">
        <f>IF($A1788="","",IFERROR(INDEX(부서매핑!$C$5:$C$504,MATCH($G1788&amp;"",부서매핑!$A$5:$A$504,0)),"미매핑"))</f>
        <v/>
      </c>
      <c r="O1788" s="9">
        <f>IF($A1788="","",N1788&amp;"|"&amp;$F1788)</f>
        <v/>
      </c>
      <c r="P1788" s="77">
        <f>IF($A1788="",0,$H1788*설정!$C$23)</f>
        <v/>
      </c>
      <c r="Q1788" s="39">
        <f>IF($A1788="","",IF(O1788&lt;&gt;원인분석!$C$9,"",IF(AND(M1788&gt;=원인분석!$C$10,M1788&lt;=원인분석!$C$11),"당기",IF(AND(M1788&gt;=원인분석!$C$12,M1788&lt;=원인분석!$C$13),"비교",""))))</f>
        <v/>
      </c>
      <c r="R1788" s="9">
        <f>IF(Q1788="","",$K1788&amp;"")</f>
        <v/>
      </c>
      <c r="S1788" s="9">
        <f>IF(Q1788="","",IF(MATCH(R1788,$R$5:$R$100000,0)=ROW()-4,ROW(),""))</f>
        <v/>
      </c>
      <c r="T1788" s="9">
        <f>IF(Q1788="당기",ABS(P1788)+ROW()/1000000000,"")</f>
        <v/>
      </c>
      <c r="U1788" s="9">
        <f>IF(Q1788="비교",ABS(P1788)+ROW()/1000000000,"")</f>
        <v/>
      </c>
      <c r="V1788" s="39">
        <f>IF($A1788="","",IF(COUNTIF(변동분석!$E$7:$E$506,O1788)&gt;0,"Y","N"))</f>
        <v/>
      </c>
      <c r="W1788" s="39">
        <f>IF($A1788="","",IFERROR(INDEX(계정매핑!$D$5:$D$504,MATCH($F1788&amp;"",계정매핑!$A$5:$A$504,0)),"미매핑"))</f>
        <v/>
      </c>
      <c r="X1788" s="9">
        <f>IF($A1788="","",$F1788&amp;"")</f>
        <v/>
      </c>
    </row>
    <row r="1789">
      <c r="A1789" s="75" t="n">
        <v>2025</v>
      </c>
      <c r="B1789" s="75" t="n">
        <v>10</v>
      </c>
      <c r="C1789" s="75" t="inlineStr">
        <is>
          <t>5100001785</t>
        </is>
      </c>
      <c r="D1789" s="78" t="n">
        <v>45936</v>
      </c>
      <c r="E1789" s="75" t="inlineStr">
        <is>
          <t>KR</t>
        </is>
      </c>
      <c r="F1789" s="75" t="n">
        <v>62102000</v>
      </c>
      <c r="G1789" s="75" t="n">
        <v>1601</v>
      </c>
      <c r="H1789" s="76" t="n">
        <v>200000</v>
      </c>
      <c r="I1789" s="75" t="inlineStr">
        <is>
          <t>10월 해외출장 - N호텔</t>
        </is>
      </c>
      <c r="J1789" s="75" t="inlineStr">
        <is>
          <t>V10007</t>
        </is>
      </c>
      <c r="K1789" s="75" t="inlineStr">
        <is>
          <t>N호텔</t>
        </is>
      </c>
      <c r="M1789" s="9">
        <f>IF($A1789="","",VALUE($A1789&amp;"")*12+VALUE($B1789&amp;""))</f>
        <v/>
      </c>
      <c r="N1789" s="39">
        <f>IF($A1789="","",IFERROR(INDEX(부서매핑!$C$5:$C$504,MATCH($G1789&amp;"",부서매핑!$A$5:$A$504,0)),"미매핑"))</f>
        <v/>
      </c>
      <c r="O1789" s="9">
        <f>IF($A1789="","",N1789&amp;"|"&amp;$F1789)</f>
        <v/>
      </c>
      <c r="P1789" s="77">
        <f>IF($A1789="",0,$H1789*설정!$C$23)</f>
        <v/>
      </c>
      <c r="Q1789" s="39">
        <f>IF($A1789="","",IF(O1789&lt;&gt;원인분석!$C$9,"",IF(AND(M1789&gt;=원인분석!$C$10,M1789&lt;=원인분석!$C$11),"당기",IF(AND(M1789&gt;=원인분석!$C$12,M1789&lt;=원인분석!$C$13),"비교",""))))</f>
        <v/>
      </c>
      <c r="R1789" s="9">
        <f>IF(Q1789="","",$K1789&amp;"")</f>
        <v/>
      </c>
      <c r="S1789" s="9">
        <f>IF(Q1789="","",IF(MATCH(R1789,$R$5:$R$100000,0)=ROW()-4,ROW(),""))</f>
        <v/>
      </c>
      <c r="T1789" s="9">
        <f>IF(Q1789="당기",ABS(P1789)+ROW()/1000000000,"")</f>
        <v/>
      </c>
      <c r="U1789" s="9">
        <f>IF(Q1789="비교",ABS(P1789)+ROW()/1000000000,"")</f>
        <v/>
      </c>
      <c r="V1789" s="39">
        <f>IF($A1789="","",IF(COUNTIF(변동분석!$E$7:$E$506,O1789)&gt;0,"Y","N"))</f>
        <v/>
      </c>
      <c r="W1789" s="39">
        <f>IF($A1789="","",IFERROR(INDEX(계정매핑!$D$5:$D$504,MATCH($F1789&amp;"",계정매핑!$A$5:$A$504,0)),"미매핑"))</f>
        <v/>
      </c>
      <c r="X1789" s="9">
        <f>IF($A1789="","",$F1789&amp;"")</f>
        <v/>
      </c>
    </row>
    <row r="1790">
      <c r="A1790" s="75" t="n">
        <v>2025</v>
      </c>
      <c r="B1790" s="75" t="n">
        <v>10</v>
      </c>
      <c r="C1790" s="75" t="inlineStr">
        <is>
          <t>5100001786</t>
        </is>
      </c>
      <c r="D1790" s="78" t="n">
        <v>45936</v>
      </c>
      <c r="E1790" s="75" t="inlineStr">
        <is>
          <t>KR</t>
        </is>
      </c>
      <c r="F1790" s="75" t="n">
        <v>62201000</v>
      </c>
      <c r="G1790" s="75" t="n">
        <v>1201</v>
      </c>
      <c r="H1790" s="76" t="n">
        <v>368000</v>
      </c>
      <c r="I1790" s="75" t="inlineStr">
        <is>
          <t>10월 통신요금 - P통신</t>
        </is>
      </c>
      <c r="J1790" s="75" t="inlineStr">
        <is>
          <t>V10011</t>
        </is>
      </c>
      <c r="K1790" s="75" t="inlineStr">
        <is>
          <t>P통신</t>
        </is>
      </c>
      <c r="M1790" s="9">
        <f>IF($A1790="","",VALUE($A1790&amp;"")*12+VALUE($B1790&amp;""))</f>
        <v/>
      </c>
      <c r="N1790" s="39">
        <f>IF($A1790="","",IFERROR(INDEX(부서매핑!$C$5:$C$504,MATCH($G1790&amp;"",부서매핑!$A$5:$A$504,0)),"미매핑"))</f>
        <v/>
      </c>
      <c r="O1790" s="9">
        <f>IF($A1790="","",N1790&amp;"|"&amp;$F1790)</f>
        <v/>
      </c>
      <c r="P1790" s="77">
        <f>IF($A1790="",0,$H1790*설정!$C$23)</f>
        <v/>
      </c>
      <c r="Q1790" s="39">
        <f>IF($A1790="","",IF(O1790&lt;&gt;원인분석!$C$9,"",IF(AND(M1790&gt;=원인분석!$C$10,M1790&lt;=원인분석!$C$11),"당기",IF(AND(M1790&gt;=원인분석!$C$12,M1790&lt;=원인분석!$C$13),"비교",""))))</f>
        <v/>
      </c>
      <c r="R1790" s="9">
        <f>IF(Q1790="","",$K1790&amp;"")</f>
        <v/>
      </c>
      <c r="S1790" s="9">
        <f>IF(Q1790="","",IF(MATCH(R1790,$R$5:$R$100000,0)=ROW()-4,ROW(),""))</f>
        <v/>
      </c>
      <c r="T1790" s="9">
        <f>IF(Q1790="당기",ABS(P1790)+ROW()/1000000000,"")</f>
        <v/>
      </c>
      <c r="U1790" s="9">
        <f>IF(Q1790="비교",ABS(P1790)+ROW()/1000000000,"")</f>
        <v/>
      </c>
      <c r="V1790" s="39">
        <f>IF($A1790="","",IF(COUNTIF(변동분석!$E$7:$E$506,O1790)&gt;0,"Y","N"))</f>
        <v/>
      </c>
      <c r="W1790" s="39">
        <f>IF($A1790="","",IFERROR(INDEX(계정매핑!$D$5:$D$504,MATCH($F1790&amp;"",계정매핑!$A$5:$A$504,0)),"미매핑"))</f>
        <v/>
      </c>
      <c r="X1790" s="9">
        <f>IF($A1790="","",$F1790&amp;"")</f>
        <v/>
      </c>
    </row>
    <row r="1791">
      <c r="A1791" s="75" t="n">
        <v>2025</v>
      </c>
      <c r="B1791" s="75" t="n">
        <v>10</v>
      </c>
      <c r="C1791" s="75" t="inlineStr">
        <is>
          <t>5100001787</t>
        </is>
      </c>
      <c r="D1791" s="78" t="n">
        <v>45936</v>
      </c>
      <c r="E1791" s="75" t="inlineStr">
        <is>
          <t>KR</t>
        </is>
      </c>
      <c r="F1791" s="75" t="n">
        <v>62201000</v>
      </c>
      <c r="G1791" s="75" t="n">
        <v>1801</v>
      </c>
      <c r="H1791" s="76" t="n">
        <v>9570000</v>
      </c>
      <c r="I1791" s="75" t="inlineStr">
        <is>
          <t>10월 통신요금 - P통신</t>
        </is>
      </c>
      <c r="J1791" s="75" t="inlineStr">
        <is>
          <t>V10011</t>
        </is>
      </c>
      <c r="K1791" s="75" t="inlineStr">
        <is>
          <t>P통신</t>
        </is>
      </c>
      <c r="M1791" s="9">
        <f>IF($A1791="","",VALUE($A1791&amp;"")*12+VALUE($B1791&amp;""))</f>
        <v/>
      </c>
      <c r="N1791" s="39">
        <f>IF($A1791="","",IFERROR(INDEX(부서매핑!$C$5:$C$504,MATCH($G1791&amp;"",부서매핑!$A$5:$A$504,0)),"미매핑"))</f>
        <v/>
      </c>
      <c r="O1791" s="9">
        <f>IF($A1791="","",N1791&amp;"|"&amp;$F1791)</f>
        <v/>
      </c>
      <c r="P1791" s="77">
        <f>IF($A1791="",0,$H1791*설정!$C$23)</f>
        <v/>
      </c>
      <c r="Q1791" s="39">
        <f>IF($A1791="","",IF(O1791&lt;&gt;원인분석!$C$9,"",IF(AND(M1791&gt;=원인분석!$C$10,M1791&lt;=원인분석!$C$11),"당기",IF(AND(M1791&gt;=원인분석!$C$12,M1791&lt;=원인분석!$C$13),"비교",""))))</f>
        <v/>
      </c>
      <c r="R1791" s="9">
        <f>IF(Q1791="","",$K1791&amp;"")</f>
        <v/>
      </c>
      <c r="S1791" s="9">
        <f>IF(Q1791="","",IF(MATCH(R1791,$R$5:$R$100000,0)=ROW()-4,ROW(),""))</f>
        <v/>
      </c>
      <c r="T1791" s="9">
        <f>IF(Q1791="당기",ABS(P1791)+ROW()/1000000000,"")</f>
        <v/>
      </c>
      <c r="U1791" s="9">
        <f>IF(Q1791="비교",ABS(P1791)+ROW()/1000000000,"")</f>
        <v/>
      </c>
      <c r="V1791" s="39">
        <f>IF($A1791="","",IF(COUNTIF(변동분석!$E$7:$E$506,O1791)&gt;0,"Y","N"))</f>
        <v/>
      </c>
      <c r="W1791" s="39">
        <f>IF($A1791="","",IFERROR(INDEX(계정매핑!$D$5:$D$504,MATCH($F1791&amp;"",계정매핑!$A$5:$A$504,0)),"미매핑"))</f>
        <v/>
      </c>
      <c r="X1791" s="9">
        <f>IF($A1791="","",$F1791&amp;"")</f>
        <v/>
      </c>
    </row>
    <row r="1792">
      <c r="A1792" s="75" t="n">
        <v>2025</v>
      </c>
      <c r="B1792" s="75" t="n">
        <v>10</v>
      </c>
      <c r="C1792" s="75" t="inlineStr">
        <is>
          <t>5100001788</t>
        </is>
      </c>
      <c r="D1792" s="78" t="n">
        <v>45936</v>
      </c>
      <c r="E1792" s="75" t="inlineStr">
        <is>
          <t>KR</t>
        </is>
      </c>
      <c r="F1792" s="75" t="n">
        <v>62501000</v>
      </c>
      <c r="G1792" s="75" t="n">
        <v>1601</v>
      </c>
      <c r="H1792" s="76" t="n">
        <v>308000</v>
      </c>
      <c r="I1792" s="75" t="inlineStr">
        <is>
          <t>10월 회의 다과 - T케이터링</t>
        </is>
      </c>
      <c r="J1792" s="75" t="inlineStr">
        <is>
          <t>V10005</t>
        </is>
      </c>
      <c r="K1792" s="75" t="inlineStr">
        <is>
          <t>T케이터링</t>
        </is>
      </c>
      <c r="M1792" s="9">
        <f>IF($A1792="","",VALUE($A1792&amp;"")*12+VALUE($B1792&amp;""))</f>
        <v/>
      </c>
      <c r="N1792" s="39">
        <f>IF($A1792="","",IFERROR(INDEX(부서매핑!$C$5:$C$504,MATCH($G1792&amp;"",부서매핑!$A$5:$A$504,0)),"미매핑"))</f>
        <v/>
      </c>
      <c r="O1792" s="9">
        <f>IF($A1792="","",N1792&amp;"|"&amp;$F1792)</f>
        <v/>
      </c>
      <c r="P1792" s="77">
        <f>IF($A1792="",0,$H1792*설정!$C$23)</f>
        <v/>
      </c>
      <c r="Q1792" s="39">
        <f>IF($A1792="","",IF(O1792&lt;&gt;원인분석!$C$9,"",IF(AND(M1792&gt;=원인분석!$C$10,M1792&lt;=원인분석!$C$11),"당기",IF(AND(M1792&gt;=원인분석!$C$12,M1792&lt;=원인분석!$C$13),"비교",""))))</f>
        <v/>
      </c>
      <c r="R1792" s="9">
        <f>IF(Q1792="","",$K1792&amp;"")</f>
        <v/>
      </c>
      <c r="S1792" s="9">
        <f>IF(Q1792="","",IF(MATCH(R1792,$R$5:$R$100000,0)=ROW()-4,ROW(),""))</f>
        <v/>
      </c>
      <c r="T1792" s="9">
        <f>IF(Q1792="당기",ABS(P1792)+ROW()/1000000000,"")</f>
        <v/>
      </c>
      <c r="U1792" s="9">
        <f>IF(Q1792="비교",ABS(P1792)+ROW()/1000000000,"")</f>
        <v/>
      </c>
      <c r="V1792" s="39">
        <f>IF($A1792="","",IF(COUNTIF(변동분석!$E$7:$E$506,O1792)&gt;0,"Y","N"))</f>
        <v/>
      </c>
      <c r="W1792" s="39">
        <f>IF($A1792="","",IFERROR(INDEX(계정매핑!$D$5:$D$504,MATCH($F1792&amp;"",계정매핑!$A$5:$A$504,0)),"미매핑"))</f>
        <v/>
      </c>
      <c r="X1792" s="9">
        <f>IF($A1792="","",$F1792&amp;"")</f>
        <v/>
      </c>
    </row>
    <row r="1793">
      <c r="A1793" s="75" t="n">
        <v>2025</v>
      </c>
      <c r="B1793" s="75" t="n">
        <v>10</v>
      </c>
      <c r="C1793" s="75" t="inlineStr">
        <is>
          <t>5100001789</t>
        </is>
      </c>
      <c r="D1793" s="78" t="n">
        <v>45936</v>
      </c>
      <c r="E1793" s="75" t="inlineStr">
        <is>
          <t>KR</t>
        </is>
      </c>
      <c r="F1793" s="75" t="n">
        <v>62802000</v>
      </c>
      <c r="G1793" s="75" t="n">
        <v>1301</v>
      </c>
      <c r="H1793" s="76" t="n">
        <v>4542000</v>
      </c>
      <c r="I1793" s="75" t="inlineStr">
        <is>
          <t>10월 위탁교육 - V아카데미</t>
        </is>
      </c>
      <c r="J1793" s="75" t="inlineStr">
        <is>
          <t>V10023</t>
        </is>
      </c>
      <c r="K1793" s="75" t="inlineStr">
        <is>
          <t>V아카데미</t>
        </is>
      </c>
      <c r="M1793" s="9">
        <f>IF($A1793="","",VALUE($A1793&amp;"")*12+VALUE($B1793&amp;""))</f>
        <v/>
      </c>
      <c r="N1793" s="39">
        <f>IF($A1793="","",IFERROR(INDEX(부서매핑!$C$5:$C$504,MATCH($G1793&amp;"",부서매핑!$A$5:$A$504,0)),"미매핑"))</f>
        <v/>
      </c>
      <c r="O1793" s="9">
        <f>IF($A1793="","",N1793&amp;"|"&amp;$F1793)</f>
        <v/>
      </c>
      <c r="P1793" s="77">
        <f>IF($A1793="",0,$H1793*설정!$C$23)</f>
        <v/>
      </c>
      <c r="Q1793" s="39">
        <f>IF($A1793="","",IF(O1793&lt;&gt;원인분석!$C$9,"",IF(AND(M1793&gt;=원인분석!$C$10,M1793&lt;=원인분석!$C$11),"당기",IF(AND(M1793&gt;=원인분석!$C$12,M1793&lt;=원인분석!$C$13),"비교",""))))</f>
        <v/>
      </c>
      <c r="R1793" s="9">
        <f>IF(Q1793="","",$K1793&amp;"")</f>
        <v/>
      </c>
      <c r="S1793" s="9">
        <f>IF(Q1793="","",IF(MATCH(R1793,$R$5:$R$100000,0)=ROW()-4,ROW(),""))</f>
        <v/>
      </c>
      <c r="T1793" s="9">
        <f>IF(Q1793="당기",ABS(P1793)+ROW()/1000000000,"")</f>
        <v/>
      </c>
      <c r="U1793" s="9">
        <f>IF(Q1793="비교",ABS(P1793)+ROW()/1000000000,"")</f>
        <v/>
      </c>
      <c r="V1793" s="39">
        <f>IF($A1793="","",IF(COUNTIF(변동분석!$E$7:$E$506,O1793)&gt;0,"Y","N"))</f>
        <v/>
      </c>
      <c r="W1793" s="39">
        <f>IF($A1793="","",IFERROR(INDEX(계정매핑!$D$5:$D$504,MATCH($F1793&amp;"",계정매핑!$A$5:$A$504,0)),"미매핑"))</f>
        <v/>
      </c>
      <c r="X1793" s="9">
        <f>IF($A1793="","",$F1793&amp;"")</f>
        <v/>
      </c>
    </row>
    <row r="1794">
      <c r="A1794" s="75" t="n">
        <v>2025</v>
      </c>
      <c r="B1794" s="75" t="n">
        <v>10</v>
      </c>
      <c r="C1794" s="75" t="inlineStr">
        <is>
          <t>5100001790</t>
        </is>
      </c>
      <c r="D1794" s="78" t="n">
        <v>45936</v>
      </c>
      <c r="E1794" s="75" t="inlineStr">
        <is>
          <t>KR</t>
        </is>
      </c>
      <c r="F1794" s="75" t="n">
        <v>62901000</v>
      </c>
      <c r="G1794" s="75" t="n">
        <v>1201</v>
      </c>
      <c r="H1794" s="76" t="n">
        <v>4165000</v>
      </c>
      <c r="I1794" s="75" t="inlineStr">
        <is>
          <t>10월 자문 수수료 - K회계법인</t>
        </is>
      </c>
      <c r="J1794" s="75" t="inlineStr">
        <is>
          <t>V10010</t>
        </is>
      </c>
      <c r="K1794" s="75" t="inlineStr">
        <is>
          <t>K회계법인</t>
        </is>
      </c>
      <c r="M1794" s="9">
        <f>IF($A1794="","",VALUE($A1794&amp;"")*12+VALUE($B1794&amp;""))</f>
        <v/>
      </c>
      <c r="N1794" s="39">
        <f>IF($A1794="","",IFERROR(INDEX(부서매핑!$C$5:$C$504,MATCH($G1794&amp;"",부서매핑!$A$5:$A$504,0)),"미매핑"))</f>
        <v/>
      </c>
      <c r="O1794" s="9">
        <f>IF($A1794="","",N1794&amp;"|"&amp;$F1794)</f>
        <v/>
      </c>
      <c r="P1794" s="77">
        <f>IF($A1794="",0,$H1794*설정!$C$23)</f>
        <v/>
      </c>
      <c r="Q1794" s="39">
        <f>IF($A1794="","",IF(O1794&lt;&gt;원인분석!$C$9,"",IF(AND(M1794&gt;=원인분석!$C$10,M1794&lt;=원인분석!$C$11),"당기",IF(AND(M1794&gt;=원인분석!$C$12,M1794&lt;=원인분석!$C$13),"비교",""))))</f>
        <v/>
      </c>
      <c r="R1794" s="9">
        <f>IF(Q1794="","",$K1794&amp;"")</f>
        <v/>
      </c>
      <c r="S1794" s="9">
        <f>IF(Q1794="","",IF(MATCH(R1794,$R$5:$R$100000,0)=ROW()-4,ROW(),""))</f>
        <v/>
      </c>
      <c r="T1794" s="9">
        <f>IF(Q1794="당기",ABS(P1794)+ROW()/1000000000,"")</f>
        <v/>
      </c>
      <c r="U1794" s="9">
        <f>IF(Q1794="비교",ABS(P1794)+ROW()/1000000000,"")</f>
        <v/>
      </c>
      <c r="V1794" s="39">
        <f>IF($A1794="","",IF(COUNTIF(변동분석!$E$7:$E$506,O1794)&gt;0,"Y","N"))</f>
        <v/>
      </c>
      <c r="W1794" s="39">
        <f>IF($A1794="","",IFERROR(INDEX(계정매핑!$D$5:$D$504,MATCH($F1794&amp;"",계정매핑!$A$5:$A$504,0)),"미매핑"))</f>
        <v/>
      </c>
      <c r="X1794" s="9">
        <f>IF($A1794="","",$F1794&amp;"")</f>
        <v/>
      </c>
    </row>
    <row r="1795">
      <c r="A1795" s="75" t="n">
        <v>2025</v>
      </c>
      <c r="B1795" s="75" t="n">
        <v>10</v>
      </c>
      <c r="C1795" s="75" t="inlineStr">
        <is>
          <t>5100001791</t>
        </is>
      </c>
      <c r="D1795" s="78" t="n">
        <v>45936</v>
      </c>
      <c r="E1795" s="75" t="inlineStr">
        <is>
          <t>KR</t>
        </is>
      </c>
      <c r="F1795" s="75" t="n">
        <v>62902000</v>
      </c>
      <c r="G1795" s="75" t="n">
        <v>1801</v>
      </c>
      <c r="H1795" s="76" t="n">
        <v>1753000</v>
      </c>
      <c r="I1795" s="75" t="inlineStr">
        <is>
          <t>10월 콜 위탁 수수료(건별)</t>
        </is>
      </c>
      <c r="J1795" s="75" t="inlineStr">
        <is>
          <t>V10013</t>
        </is>
      </c>
      <c r="K1795" s="75" t="inlineStr">
        <is>
          <t>J콜센터</t>
        </is>
      </c>
      <c r="M1795" s="9">
        <f>IF($A1795="","",VALUE($A1795&amp;"")*12+VALUE($B1795&amp;""))</f>
        <v/>
      </c>
      <c r="N1795" s="39">
        <f>IF($A1795="","",IFERROR(INDEX(부서매핑!$C$5:$C$504,MATCH($G1795&amp;"",부서매핑!$A$5:$A$504,0)),"미매핑"))</f>
        <v/>
      </c>
      <c r="O1795" s="9">
        <f>IF($A1795="","",N1795&amp;"|"&amp;$F1795)</f>
        <v/>
      </c>
      <c r="P1795" s="77">
        <f>IF($A1795="",0,$H1795*설정!$C$23)</f>
        <v/>
      </c>
      <c r="Q1795" s="39">
        <f>IF($A1795="","",IF(O1795&lt;&gt;원인분석!$C$9,"",IF(AND(M1795&gt;=원인분석!$C$10,M1795&lt;=원인분석!$C$11),"당기",IF(AND(M1795&gt;=원인분석!$C$12,M1795&lt;=원인분석!$C$13),"비교",""))))</f>
        <v/>
      </c>
      <c r="R1795" s="9">
        <f>IF(Q1795="","",$K1795&amp;"")</f>
        <v/>
      </c>
      <c r="S1795" s="9">
        <f>IF(Q1795="","",IF(MATCH(R1795,$R$5:$R$100000,0)=ROW()-4,ROW(),""))</f>
        <v/>
      </c>
      <c r="T1795" s="9">
        <f>IF(Q1795="당기",ABS(P1795)+ROW()/1000000000,"")</f>
        <v/>
      </c>
      <c r="U1795" s="9">
        <f>IF(Q1795="비교",ABS(P1795)+ROW()/1000000000,"")</f>
        <v/>
      </c>
      <c r="V1795" s="39">
        <f>IF($A1795="","",IF(COUNTIF(변동분석!$E$7:$E$506,O1795)&gt;0,"Y","N"))</f>
        <v/>
      </c>
      <c r="W1795" s="39">
        <f>IF($A1795="","",IFERROR(INDEX(계정매핑!$D$5:$D$504,MATCH($F1795&amp;"",계정매핑!$A$5:$A$504,0)),"미매핑"))</f>
        <v/>
      </c>
      <c r="X1795" s="9">
        <f>IF($A1795="","",$F1795&amp;"")</f>
        <v/>
      </c>
    </row>
    <row r="1796">
      <c r="A1796" s="75" t="n">
        <v>2025</v>
      </c>
      <c r="B1796" s="75" t="n">
        <v>10</v>
      </c>
      <c r="C1796" s="75" t="inlineStr">
        <is>
          <t>5100001792</t>
        </is>
      </c>
      <c r="D1796" s="78" t="n">
        <v>45937</v>
      </c>
      <c r="E1796" s="75" t="inlineStr">
        <is>
          <t>KR</t>
        </is>
      </c>
      <c r="F1796" s="75" t="n">
        <v>62101000</v>
      </c>
      <c r="G1796" s="75" t="n">
        <v>1602</v>
      </c>
      <c r="H1796" s="76" t="n">
        <v>654000</v>
      </c>
      <c r="I1796" s="75" t="inlineStr">
        <is>
          <t>10월 국내출장 - (법인카드)</t>
        </is>
      </c>
      <c r="J1796" s="75" t="inlineStr">
        <is>
          <t>V10008</t>
        </is>
      </c>
      <c r="K1796" s="75" t="inlineStr">
        <is>
          <t>(법인카드)</t>
        </is>
      </c>
      <c r="M1796" s="9">
        <f>IF($A1796="","",VALUE($A1796&amp;"")*12+VALUE($B1796&amp;""))</f>
        <v/>
      </c>
      <c r="N1796" s="39">
        <f>IF($A1796="","",IFERROR(INDEX(부서매핑!$C$5:$C$504,MATCH($G1796&amp;"",부서매핑!$A$5:$A$504,0)),"미매핑"))</f>
        <v/>
      </c>
      <c r="O1796" s="9">
        <f>IF($A1796="","",N1796&amp;"|"&amp;$F1796)</f>
        <v/>
      </c>
      <c r="P1796" s="77">
        <f>IF($A1796="",0,$H1796*설정!$C$23)</f>
        <v/>
      </c>
      <c r="Q1796" s="39">
        <f>IF($A1796="","",IF(O1796&lt;&gt;원인분석!$C$9,"",IF(AND(M1796&gt;=원인분석!$C$10,M1796&lt;=원인분석!$C$11),"당기",IF(AND(M1796&gt;=원인분석!$C$12,M1796&lt;=원인분석!$C$13),"비교",""))))</f>
        <v/>
      </c>
      <c r="R1796" s="9">
        <f>IF(Q1796="","",$K1796&amp;"")</f>
        <v/>
      </c>
      <c r="S1796" s="9">
        <f>IF(Q1796="","",IF(MATCH(R1796,$R$5:$R$100000,0)=ROW()-4,ROW(),""))</f>
        <v/>
      </c>
      <c r="T1796" s="9">
        <f>IF(Q1796="당기",ABS(P1796)+ROW()/1000000000,"")</f>
        <v/>
      </c>
      <c r="U1796" s="9">
        <f>IF(Q1796="비교",ABS(P1796)+ROW()/1000000000,"")</f>
        <v/>
      </c>
      <c r="V1796" s="39">
        <f>IF($A1796="","",IF(COUNTIF(변동분석!$E$7:$E$506,O1796)&gt;0,"Y","N"))</f>
        <v/>
      </c>
      <c r="W1796" s="39">
        <f>IF($A1796="","",IFERROR(INDEX(계정매핑!$D$5:$D$504,MATCH($F1796&amp;"",계정매핑!$A$5:$A$504,0)),"미매핑"))</f>
        <v/>
      </c>
      <c r="X1796" s="9">
        <f>IF($A1796="","",$F1796&amp;"")</f>
        <v/>
      </c>
    </row>
    <row r="1797">
      <c r="A1797" s="75" t="n">
        <v>2025</v>
      </c>
      <c r="B1797" s="75" t="n">
        <v>10</v>
      </c>
      <c r="C1797" s="75" t="inlineStr">
        <is>
          <t>5100001793</t>
        </is>
      </c>
      <c r="D1797" s="78" t="n">
        <v>45937</v>
      </c>
      <c r="E1797" s="75" t="inlineStr">
        <is>
          <t>KR</t>
        </is>
      </c>
      <c r="F1797" s="75" t="n">
        <v>62102000</v>
      </c>
      <c r="G1797" s="75" t="n">
        <v>1401</v>
      </c>
      <c r="H1797" s="76" t="n">
        <v>61000</v>
      </c>
      <c r="I1797" s="75" t="inlineStr">
        <is>
          <t>10월 해외출장 - M항공</t>
        </is>
      </c>
      <c r="J1797" s="75" t="inlineStr">
        <is>
          <t>V10001</t>
        </is>
      </c>
      <c r="K1797" s="75" t="inlineStr">
        <is>
          <t>M항공</t>
        </is>
      </c>
      <c r="M1797" s="9">
        <f>IF($A1797="","",VALUE($A1797&amp;"")*12+VALUE($B1797&amp;""))</f>
        <v/>
      </c>
      <c r="N1797" s="39">
        <f>IF($A1797="","",IFERROR(INDEX(부서매핑!$C$5:$C$504,MATCH($G1797&amp;"",부서매핑!$A$5:$A$504,0)),"미매핑"))</f>
        <v/>
      </c>
      <c r="O1797" s="9">
        <f>IF($A1797="","",N1797&amp;"|"&amp;$F1797)</f>
        <v/>
      </c>
      <c r="P1797" s="77">
        <f>IF($A1797="",0,$H1797*설정!$C$23)</f>
        <v/>
      </c>
      <c r="Q1797" s="39">
        <f>IF($A1797="","",IF(O1797&lt;&gt;원인분석!$C$9,"",IF(AND(M1797&gt;=원인분석!$C$10,M1797&lt;=원인분석!$C$11),"당기",IF(AND(M1797&gt;=원인분석!$C$12,M1797&lt;=원인분석!$C$13),"비교",""))))</f>
        <v/>
      </c>
      <c r="R1797" s="9">
        <f>IF(Q1797="","",$K1797&amp;"")</f>
        <v/>
      </c>
      <c r="S1797" s="9">
        <f>IF(Q1797="","",IF(MATCH(R1797,$R$5:$R$100000,0)=ROW()-4,ROW(),""))</f>
        <v/>
      </c>
      <c r="T1797" s="9">
        <f>IF(Q1797="당기",ABS(P1797)+ROW()/1000000000,"")</f>
        <v/>
      </c>
      <c r="U1797" s="9">
        <f>IF(Q1797="비교",ABS(P1797)+ROW()/1000000000,"")</f>
        <v/>
      </c>
      <c r="V1797" s="39">
        <f>IF($A1797="","",IF(COUNTIF(변동분석!$E$7:$E$506,O1797)&gt;0,"Y","N"))</f>
        <v/>
      </c>
      <c r="W1797" s="39">
        <f>IF($A1797="","",IFERROR(INDEX(계정매핑!$D$5:$D$504,MATCH($F1797&amp;"",계정매핑!$A$5:$A$504,0)),"미매핑"))</f>
        <v/>
      </c>
      <c r="X1797" s="9">
        <f>IF($A1797="","",$F1797&amp;"")</f>
        <v/>
      </c>
    </row>
    <row r="1798">
      <c r="A1798" s="75" t="n">
        <v>2025</v>
      </c>
      <c r="B1798" s="75" t="n">
        <v>10</v>
      </c>
      <c r="C1798" s="75" t="inlineStr">
        <is>
          <t>5100001794</t>
        </is>
      </c>
      <c r="D1798" s="78" t="n">
        <v>45937</v>
      </c>
      <c r="E1798" s="75" t="inlineStr">
        <is>
          <t>KR</t>
        </is>
      </c>
      <c r="F1798" s="75" t="n">
        <v>62102000</v>
      </c>
      <c r="G1798" s="75" t="n">
        <v>1701</v>
      </c>
      <c r="H1798" s="76" t="n">
        <v>47000</v>
      </c>
      <c r="I1798" s="75" t="inlineStr">
        <is>
          <t>10월 해외출장 - N호텔</t>
        </is>
      </c>
      <c r="J1798" s="75" t="inlineStr">
        <is>
          <t>V10007</t>
        </is>
      </c>
      <c r="K1798" s="75" t="inlineStr">
        <is>
          <t>N호텔</t>
        </is>
      </c>
      <c r="M1798" s="9">
        <f>IF($A1798="","",VALUE($A1798&amp;"")*12+VALUE($B1798&amp;""))</f>
        <v/>
      </c>
      <c r="N1798" s="39">
        <f>IF($A1798="","",IFERROR(INDEX(부서매핑!$C$5:$C$504,MATCH($G1798&amp;"",부서매핑!$A$5:$A$504,0)),"미매핑"))</f>
        <v/>
      </c>
      <c r="O1798" s="9">
        <f>IF($A1798="","",N1798&amp;"|"&amp;$F1798)</f>
        <v/>
      </c>
      <c r="P1798" s="77">
        <f>IF($A1798="",0,$H1798*설정!$C$23)</f>
        <v/>
      </c>
      <c r="Q1798" s="39">
        <f>IF($A1798="","",IF(O1798&lt;&gt;원인분석!$C$9,"",IF(AND(M1798&gt;=원인분석!$C$10,M1798&lt;=원인분석!$C$11),"당기",IF(AND(M1798&gt;=원인분석!$C$12,M1798&lt;=원인분석!$C$13),"비교",""))))</f>
        <v/>
      </c>
      <c r="R1798" s="9">
        <f>IF(Q1798="","",$K1798&amp;"")</f>
        <v/>
      </c>
      <c r="S1798" s="9">
        <f>IF(Q1798="","",IF(MATCH(R1798,$R$5:$R$100000,0)=ROW()-4,ROW(),""))</f>
        <v/>
      </c>
      <c r="T1798" s="9">
        <f>IF(Q1798="당기",ABS(P1798)+ROW()/1000000000,"")</f>
        <v/>
      </c>
      <c r="U1798" s="9">
        <f>IF(Q1798="비교",ABS(P1798)+ROW()/1000000000,"")</f>
        <v/>
      </c>
      <c r="V1798" s="39">
        <f>IF($A1798="","",IF(COUNTIF(변동분석!$E$7:$E$506,O1798)&gt;0,"Y","N"))</f>
        <v/>
      </c>
      <c r="W1798" s="39">
        <f>IF($A1798="","",IFERROR(INDEX(계정매핑!$D$5:$D$504,MATCH($F1798&amp;"",계정매핑!$A$5:$A$504,0)),"미매핑"))</f>
        <v/>
      </c>
      <c r="X1798" s="9">
        <f>IF($A1798="","",$F1798&amp;"")</f>
        <v/>
      </c>
    </row>
    <row r="1799">
      <c r="A1799" s="75" t="n">
        <v>2025</v>
      </c>
      <c r="B1799" s="75" t="n">
        <v>10</v>
      </c>
      <c r="C1799" s="75" t="inlineStr">
        <is>
          <t>5100001795</t>
        </is>
      </c>
      <c r="D1799" s="78" t="n">
        <v>45937</v>
      </c>
      <c r="E1799" s="75" t="inlineStr">
        <is>
          <t>KR</t>
        </is>
      </c>
      <c r="F1799" s="75" t="n">
        <v>62301000</v>
      </c>
      <c r="G1799" s="75" t="n">
        <v>1301</v>
      </c>
      <c r="H1799" s="76" t="n">
        <v>249000</v>
      </c>
      <c r="I1799" s="75" t="inlineStr">
        <is>
          <t>10월 소모품 구입 - Q오피스</t>
        </is>
      </c>
      <c r="J1799" s="75" t="inlineStr">
        <is>
          <t>V10003</t>
        </is>
      </c>
      <c r="K1799" s="75" t="inlineStr">
        <is>
          <t>Q오피스</t>
        </is>
      </c>
      <c r="M1799" s="9">
        <f>IF($A1799="","",VALUE($A1799&amp;"")*12+VALUE($B1799&amp;""))</f>
        <v/>
      </c>
      <c r="N1799" s="39">
        <f>IF($A1799="","",IFERROR(INDEX(부서매핑!$C$5:$C$504,MATCH($G1799&amp;"",부서매핑!$A$5:$A$504,0)),"미매핑"))</f>
        <v/>
      </c>
      <c r="O1799" s="9">
        <f>IF($A1799="","",N1799&amp;"|"&amp;$F1799)</f>
        <v/>
      </c>
      <c r="P1799" s="77">
        <f>IF($A1799="",0,$H1799*설정!$C$23)</f>
        <v/>
      </c>
      <c r="Q1799" s="39">
        <f>IF($A1799="","",IF(O1799&lt;&gt;원인분석!$C$9,"",IF(AND(M1799&gt;=원인분석!$C$10,M1799&lt;=원인분석!$C$11),"당기",IF(AND(M1799&gt;=원인분석!$C$12,M1799&lt;=원인분석!$C$13),"비교",""))))</f>
        <v/>
      </c>
      <c r="R1799" s="9">
        <f>IF(Q1799="","",$K1799&amp;"")</f>
        <v/>
      </c>
      <c r="S1799" s="9">
        <f>IF(Q1799="","",IF(MATCH(R1799,$R$5:$R$100000,0)=ROW()-4,ROW(),""))</f>
        <v/>
      </c>
      <c r="T1799" s="9">
        <f>IF(Q1799="당기",ABS(P1799)+ROW()/1000000000,"")</f>
        <v/>
      </c>
      <c r="U1799" s="9">
        <f>IF(Q1799="비교",ABS(P1799)+ROW()/1000000000,"")</f>
        <v/>
      </c>
      <c r="V1799" s="39">
        <f>IF($A1799="","",IF(COUNTIF(변동분석!$E$7:$E$506,O1799)&gt;0,"Y","N"))</f>
        <v/>
      </c>
      <c r="W1799" s="39">
        <f>IF($A1799="","",IFERROR(INDEX(계정매핑!$D$5:$D$504,MATCH($F1799&amp;"",계정매핑!$A$5:$A$504,0)),"미매핑"))</f>
        <v/>
      </c>
      <c r="X1799" s="9">
        <f>IF($A1799="","",$F1799&amp;"")</f>
        <v/>
      </c>
    </row>
    <row r="1800">
      <c r="A1800" s="75" t="n">
        <v>2025</v>
      </c>
      <c r="B1800" s="75" t="n">
        <v>10</v>
      </c>
      <c r="C1800" s="75" t="inlineStr">
        <is>
          <t>5100001796</t>
        </is>
      </c>
      <c r="D1800" s="78" t="n">
        <v>45937</v>
      </c>
      <c r="E1800" s="75" t="inlineStr">
        <is>
          <t>KR</t>
        </is>
      </c>
      <c r="F1800" s="75" t="n">
        <v>62301000</v>
      </c>
      <c r="G1800" s="75" t="n">
        <v>1301</v>
      </c>
      <c r="H1800" s="76" t="n">
        <v>175000</v>
      </c>
      <c r="I1800" s="75" t="inlineStr">
        <is>
          <t>10월 소모품 구입 - Q오피스</t>
        </is>
      </c>
      <c r="J1800" s="75" t="inlineStr">
        <is>
          <t>V10003</t>
        </is>
      </c>
      <c r="K1800" s="75" t="inlineStr">
        <is>
          <t>Q오피스</t>
        </is>
      </c>
      <c r="M1800" s="9">
        <f>IF($A1800="","",VALUE($A1800&amp;"")*12+VALUE($B1800&amp;""))</f>
        <v/>
      </c>
      <c r="N1800" s="39">
        <f>IF($A1800="","",IFERROR(INDEX(부서매핑!$C$5:$C$504,MATCH($G1800&amp;"",부서매핑!$A$5:$A$504,0)),"미매핑"))</f>
        <v/>
      </c>
      <c r="O1800" s="9">
        <f>IF($A1800="","",N1800&amp;"|"&amp;$F1800)</f>
        <v/>
      </c>
      <c r="P1800" s="77">
        <f>IF($A1800="",0,$H1800*설정!$C$23)</f>
        <v/>
      </c>
      <c r="Q1800" s="39">
        <f>IF($A1800="","",IF(O1800&lt;&gt;원인분석!$C$9,"",IF(AND(M1800&gt;=원인분석!$C$10,M1800&lt;=원인분석!$C$11),"당기",IF(AND(M1800&gt;=원인분석!$C$12,M1800&lt;=원인분석!$C$13),"비교",""))))</f>
        <v/>
      </c>
      <c r="R1800" s="9">
        <f>IF(Q1800="","",$K1800&amp;"")</f>
        <v/>
      </c>
      <c r="S1800" s="9">
        <f>IF(Q1800="","",IF(MATCH(R1800,$R$5:$R$100000,0)=ROW()-4,ROW(),""))</f>
        <v/>
      </c>
      <c r="T1800" s="9">
        <f>IF(Q1800="당기",ABS(P1800)+ROW()/1000000000,"")</f>
        <v/>
      </c>
      <c r="U1800" s="9">
        <f>IF(Q1800="비교",ABS(P1800)+ROW()/1000000000,"")</f>
        <v/>
      </c>
      <c r="V1800" s="39">
        <f>IF($A1800="","",IF(COUNTIF(변동분석!$E$7:$E$506,O1800)&gt;0,"Y","N"))</f>
        <v/>
      </c>
      <c r="W1800" s="39">
        <f>IF($A1800="","",IFERROR(INDEX(계정매핑!$D$5:$D$504,MATCH($F1800&amp;"",계정매핑!$A$5:$A$504,0)),"미매핑"))</f>
        <v/>
      </c>
      <c r="X1800" s="9">
        <f>IF($A1800="","",$F1800&amp;"")</f>
        <v/>
      </c>
    </row>
    <row r="1801">
      <c r="A1801" s="75" t="n">
        <v>2025</v>
      </c>
      <c r="B1801" s="75" t="n">
        <v>10</v>
      </c>
      <c r="C1801" s="75" t="inlineStr">
        <is>
          <t>5100001797</t>
        </is>
      </c>
      <c r="D1801" s="78" t="n">
        <v>45937</v>
      </c>
      <c r="E1801" s="75" t="inlineStr">
        <is>
          <t>KR</t>
        </is>
      </c>
      <c r="F1801" s="75" t="n">
        <v>62401000</v>
      </c>
      <c r="G1801" s="75" t="n">
        <v>1401</v>
      </c>
      <c r="H1801" s="76" t="n">
        <v>274000</v>
      </c>
      <c r="I1801" s="75" t="inlineStr">
        <is>
          <t>10월 인쇄물 제작 - S출판</t>
        </is>
      </c>
      <c r="J1801" s="75" t="inlineStr">
        <is>
          <t>V10012</t>
        </is>
      </c>
      <c r="K1801" s="75" t="inlineStr">
        <is>
          <t>S출판</t>
        </is>
      </c>
      <c r="M1801" s="9">
        <f>IF($A1801="","",VALUE($A1801&amp;"")*12+VALUE($B1801&amp;""))</f>
        <v/>
      </c>
      <c r="N1801" s="39">
        <f>IF($A1801="","",IFERROR(INDEX(부서매핑!$C$5:$C$504,MATCH($G1801&amp;"",부서매핑!$A$5:$A$504,0)),"미매핑"))</f>
        <v/>
      </c>
      <c r="O1801" s="9">
        <f>IF($A1801="","",N1801&amp;"|"&amp;$F1801)</f>
        <v/>
      </c>
      <c r="P1801" s="77">
        <f>IF($A1801="",0,$H1801*설정!$C$23)</f>
        <v/>
      </c>
      <c r="Q1801" s="39">
        <f>IF($A1801="","",IF(O1801&lt;&gt;원인분석!$C$9,"",IF(AND(M1801&gt;=원인분석!$C$10,M1801&lt;=원인분석!$C$11),"당기",IF(AND(M1801&gt;=원인분석!$C$12,M1801&lt;=원인분석!$C$13),"비교",""))))</f>
        <v/>
      </c>
      <c r="R1801" s="9">
        <f>IF(Q1801="","",$K1801&amp;"")</f>
        <v/>
      </c>
      <c r="S1801" s="9">
        <f>IF(Q1801="","",IF(MATCH(R1801,$R$5:$R$100000,0)=ROW()-4,ROW(),""))</f>
        <v/>
      </c>
      <c r="T1801" s="9">
        <f>IF(Q1801="당기",ABS(P1801)+ROW()/1000000000,"")</f>
        <v/>
      </c>
      <c r="U1801" s="9">
        <f>IF(Q1801="비교",ABS(P1801)+ROW()/1000000000,"")</f>
        <v/>
      </c>
      <c r="V1801" s="39">
        <f>IF($A1801="","",IF(COUNTIF(변동분석!$E$7:$E$506,O1801)&gt;0,"Y","N"))</f>
        <v/>
      </c>
      <c r="W1801" s="39">
        <f>IF($A1801="","",IFERROR(INDEX(계정매핑!$D$5:$D$504,MATCH($F1801&amp;"",계정매핑!$A$5:$A$504,0)),"미매핑"))</f>
        <v/>
      </c>
      <c r="X1801" s="9">
        <f>IF($A1801="","",$F1801&amp;"")</f>
        <v/>
      </c>
    </row>
    <row r="1802">
      <c r="A1802" s="75" t="n">
        <v>2025</v>
      </c>
      <c r="B1802" s="75" t="n">
        <v>10</v>
      </c>
      <c r="C1802" s="75" t="inlineStr">
        <is>
          <t>5100001798</t>
        </is>
      </c>
      <c r="D1802" s="78" t="n">
        <v>45937</v>
      </c>
      <c r="E1802" s="75" t="inlineStr">
        <is>
          <t>KR</t>
        </is>
      </c>
      <c r="F1802" s="75" t="n">
        <v>62401000</v>
      </c>
      <c r="G1802" s="75" t="n">
        <v>1502</v>
      </c>
      <c r="H1802" s="76" t="n">
        <v>2060000</v>
      </c>
      <c r="I1802" s="75" t="inlineStr">
        <is>
          <t>10월 인쇄물 제작 - G인쇄</t>
        </is>
      </c>
      <c r="J1802" s="75" t="inlineStr">
        <is>
          <t>V10004</t>
        </is>
      </c>
      <c r="K1802" s="75" t="inlineStr">
        <is>
          <t>G인쇄</t>
        </is>
      </c>
      <c r="M1802" s="9">
        <f>IF($A1802="","",VALUE($A1802&amp;"")*12+VALUE($B1802&amp;""))</f>
        <v/>
      </c>
      <c r="N1802" s="39">
        <f>IF($A1802="","",IFERROR(INDEX(부서매핑!$C$5:$C$504,MATCH($G1802&amp;"",부서매핑!$A$5:$A$504,0)),"미매핑"))</f>
        <v/>
      </c>
      <c r="O1802" s="9">
        <f>IF($A1802="","",N1802&amp;"|"&amp;$F1802)</f>
        <v/>
      </c>
      <c r="P1802" s="77">
        <f>IF($A1802="",0,$H1802*설정!$C$23)</f>
        <v/>
      </c>
      <c r="Q1802" s="39">
        <f>IF($A1802="","",IF(O1802&lt;&gt;원인분석!$C$9,"",IF(AND(M1802&gt;=원인분석!$C$10,M1802&lt;=원인분석!$C$11),"당기",IF(AND(M1802&gt;=원인분석!$C$12,M1802&lt;=원인분석!$C$13),"비교",""))))</f>
        <v/>
      </c>
      <c r="R1802" s="9">
        <f>IF(Q1802="","",$K1802&amp;"")</f>
        <v/>
      </c>
      <c r="S1802" s="9">
        <f>IF(Q1802="","",IF(MATCH(R1802,$R$5:$R$100000,0)=ROW()-4,ROW(),""))</f>
        <v/>
      </c>
      <c r="T1802" s="9">
        <f>IF(Q1802="당기",ABS(P1802)+ROW()/1000000000,"")</f>
        <v/>
      </c>
      <c r="U1802" s="9">
        <f>IF(Q1802="비교",ABS(P1802)+ROW()/1000000000,"")</f>
        <v/>
      </c>
      <c r="V1802" s="39">
        <f>IF($A1802="","",IF(COUNTIF(변동분석!$E$7:$E$506,O1802)&gt;0,"Y","N"))</f>
        <v/>
      </c>
      <c r="W1802" s="39">
        <f>IF($A1802="","",IFERROR(INDEX(계정매핑!$D$5:$D$504,MATCH($F1802&amp;"",계정매핑!$A$5:$A$504,0)),"미매핑"))</f>
        <v/>
      </c>
      <c r="X1802" s="9">
        <f>IF($A1802="","",$F1802&amp;"")</f>
        <v/>
      </c>
    </row>
    <row r="1803">
      <c r="A1803" s="75" t="n">
        <v>2025</v>
      </c>
      <c r="B1803" s="75" t="n">
        <v>10</v>
      </c>
      <c r="C1803" s="75" t="inlineStr">
        <is>
          <t>5100001799</t>
        </is>
      </c>
      <c r="D1803" s="78" t="n">
        <v>45937</v>
      </c>
      <c r="E1803" s="75" t="inlineStr">
        <is>
          <t>KR</t>
        </is>
      </c>
      <c r="F1803" s="75" t="n">
        <v>62501000</v>
      </c>
      <c r="G1803" s="75" t="n">
        <v>1101</v>
      </c>
      <c r="H1803" s="76" t="n">
        <v>123000</v>
      </c>
      <c r="I1803" s="75" t="inlineStr">
        <is>
          <t>10월 회의 다과 - (법인카드)</t>
        </is>
      </c>
      <c r="J1803" s="75" t="inlineStr">
        <is>
          <t>V10008</t>
        </is>
      </c>
      <c r="K1803" s="75" t="inlineStr">
        <is>
          <t>(법인카드)</t>
        </is>
      </c>
      <c r="M1803" s="9">
        <f>IF($A1803="","",VALUE($A1803&amp;"")*12+VALUE($B1803&amp;""))</f>
        <v/>
      </c>
      <c r="N1803" s="39">
        <f>IF($A1803="","",IFERROR(INDEX(부서매핑!$C$5:$C$504,MATCH($G1803&amp;"",부서매핑!$A$5:$A$504,0)),"미매핑"))</f>
        <v/>
      </c>
      <c r="O1803" s="9">
        <f>IF($A1803="","",N1803&amp;"|"&amp;$F1803)</f>
        <v/>
      </c>
      <c r="P1803" s="77">
        <f>IF($A1803="",0,$H1803*설정!$C$23)</f>
        <v/>
      </c>
      <c r="Q1803" s="39">
        <f>IF($A1803="","",IF(O1803&lt;&gt;원인분석!$C$9,"",IF(AND(M1803&gt;=원인분석!$C$10,M1803&lt;=원인분석!$C$11),"당기",IF(AND(M1803&gt;=원인분석!$C$12,M1803&lt;=원인분석!$C$13),"비교",""))))</f>
        <v/>
      </c>
      <c r="R1803" s="9">
        <f>IF(Q1803="","",$K1803&amp;"")</f>
        <v/>
      </c>
      <c r="S1803" s="9">
        <f>IF(Q1803="","",IF(MATCH(R1803,$R$5:$R$100000,0)=ROW()-4,ROW(),""))</f>
        <v/>
      </c>
      <c r="T1803" s="9">
        <f>IF(Q1803="당기",ABS(P1803)+ROW()/1000000000,"")</f>
        <v/>
      </c>
      <c r="U1803" s="9">
        <f>IF(Q1803="비교",ABS(P1803)+ROW()/1000000000,"")</f>
        <v/>
      </c>
      <c r="V1803" s="39">
        <f>IF($A1803="","",IF(COUNTIF(변동분석!$E$7:$E$506,O1803)&gt;0,"Y","N"))</f>
        <v/>
      </c>
      <c r="W1803" s="39">
        <f>IF($A1803="","",IFERROR(INDEX(계정매핑!$D$5:$D$504,MATCH($F1803&amp;"",계정매핑!$A$5:$A$504,0)),"미매핑"))</f>
        <v/>
      </c>
      <c r="X1803" s="9">
        <f>IF($A1803="","",$F1803&amp;"")</f>
        <v/>
      </c>
    </row>
    <row r="1804">
      <c r="A1804" s="75" t="n">
        <v>2025</v>
      </c>
      <c r="B1804" s="75" t="n">
        <v>10</v>
      </c>
      <c r="C1804" s="75" t="inlineStr">
        <is>
          <t>5100001800</t>
        </is>
      </c>
      <c r="D1804" s="78" t="n">
        <v>45937</v>
      </c>
      <c r="E1804" s="75" t="inlineStr">
        <is>
          <t>KR</t>
        </is>
      </c>
      <c r="F1804" s="75" t="n">
        <v>62601000</v>
      </c>
      <c r="G1804" s="75" t="n">
        <v>1602</v>
      </c>
      <c r="H1804" s="76" t="n">
        <v>1799000</v>
      </c>
      <c r="I1804" s="75" t="inlineStr">
        <is>
          <t>10월 업무추진 - (법인카드)</t>
        </is>
      </c>
      <c r="J1804" s="75" t="inlineStr">
        <is>
          <t>V10008</t>
        </is>
      </c>
      <c r="K1804" s="75" t="inlineStr">
        <is>
          <t>(법인카드)</t>
        </is>
      </c>
      <c r="M1804" s="9">
        <f>IF($A1804="","",VALUE($A1804&amp;"")*12+VALUE($B1804&amp;""))</f>
        <v/>
      </c>
      <c r="N1804" s="39">
        <f>IF($A1804="","",IFERROR(INDEX(부서매핑!$C$5:$C$504,MATCH($G1804&amp;"",부서매핑!$A$5:$A$504,0)),"미매핑"))</f>
        <v/>
      </c>
      <c r="O1804" s="9">
        <f>IF($A1804="","",N1804&amp;"|"&amp;$F1804)</f>
        <v/>
      </c>
      <c r="P1804" s="77">
        <f>IF($A1804="",0,$H1804*설정!$C$23)</f>
        <v/>
      </c>
      <c r="Q1804" s="39">
        <f>IF($A1804="","",IF(O1804&lt;&gt;원인분석!$C$9,"",IF(AND(M1804&gt;=원인분석!$C$10,M1804&lt;=원인분석!$C$11),"당기",IF(AND(M1804&gt;=원인분석!$C$12,M1804&lt;=원인분석!$C$13),"비교",""))))</f>
        <v/>
      </c>
      <c r="R1804" s="9">
        <f>IF(Q1804="","",$K1804&amp;"")</f>
        <v/>
      </c>
      <c r="S1804" s="9">
        <f>IF(Q1804="","",IF(MATCH(R1804,$R$5:$R$100000,0)=ROW()-4,ROW(),""))</f>
        <v/>
      </c>
      <c r="T1804" s="9">
        <f>IF(Q1804="당기",ABS(P1804)+ROW()/1000000000,"")</f>
        <v/>
      </c>
      <c r="U1804" s="9">
        <f>IF(Q1804="비교",ABS(P1804)+ROW()/1000000000,"")</f>
        <v/>
      </c>
      <c r="V1804" s="39">
        <f>IF($A1804="","",IF(COUNTIF(변동분석!$E$7:$E$506,O1804)&gt;0,"Y","N"))</f>
        <v/>
      </c>
      <c r="W1804" s="39">
        <f>IF($A1804="","",IFERROR(INDEX(계정매핑!$D$5:$D$504,MATCH($F1804&amp;"",계정매핑!$A$5:$A$504,0)),"미매핑"))</f>
        <v/>
      </c>
      <c r="X1804" s="9">
        <f>IF($A1804="","",$F1804&amp;"")</f>
        <v/>
      </c>
    </row>
    <row r="1805">
      <c r="A1805" s="75" t="n">
        <v>2025</v>
      </c>
      <c r="B1805" s="75" t="n">
        <v>10</v>
      </c>
      <c r="C1805" s="75" t="inlineStr">
        <is>
          <t>5100001801</t>
        </is>
      </c>
      <c r="D1805" s="78" t="n">
        <v>45937</v>
      </c>
      <c r="E1805" s="75" t="inlineStr">
        <is>
          <t>KR</t>
        </is>
      </c>
      <c r="F1805" s="75" t="n">
        <v>62901000</v>
      </c>
      <c r="G1805" s="75" t="n">
        <v>1101</v>
      </c>
      <c r="H1805" s="76" t="n">
        <v>3597000</v>
      </c>
      <c r="I1805" s="75" t="inlineStr">
        <is>
          <t>10월 자문 수수료 - W컨설팅</t>
        </is>
      </c>
      <c r="J1805" s="75" t="inlineStr">
        <is>
          <t>V10009</t>
        </is>
      </c>
      <c r="K1805" s="75" t="inlineStr">
        <is>
          <t>W컨설팅</t>
        </is>
      </c>
      <c r="M1805" s="9">
        <f>IF($A1805="","",VALUE($A1805&amp;"")*12+VALUE($B1805&amp;""))</f>
        <v/>
      </c>
      <c r="N1805" s="39">
        <f>IF($A1805="","",IFERROR(INDEX(부서매핑!$C$5:$C$504,MATCH($G1805&amp;"",부서매핑!$A$5:$A$504,0)),"미매핑"))</f>
        <v/>
      </c>
      <c r="O1805" s="9">
        <f>IF($A1805="","",N1805&amp;"|"&amp;$F1805)</f>
        <v/>
      </c>
      <c r="P1805" s="77">
        <f>IF($A1805="",0,$H1805*설정!$C$23)</f>
        <v/>
      </c>
      <c r="Q1805" s="39">
        <f>IF($A1805="","",IF(O1805&lt;&gt;원인분석!$C$9,"",IF(AND(M1805&gt;=원인분석!$C$10,M1805&lt;=원인분석!$C$11),"당기",IF(AND(M1805&gt;=원인분석!$C$12,M1805&lt;=원인분석!$C$13),"비교",""))))</f>
        <v/>
      </c>
      <c r="R1805" s="9">
        <f>IF(Q1805="","",$K1805&amp;"")</f>
        <v/>
      </c>
      <c r="S1805" s="9">
        <f>IF(Q1805="","",IF(MATCH(R1805,$R$5:$R$100000,0)=ROW()-4,ROW(),""))</f>
        <v/>
      </c>
      <c r="T1805" s="9">
        <f>IF(Q1805="당기",ABS(P1805)+ROW()/1000000000,"")</f>
        <v/>
      </c>
      <c r="U1805" s="9">
        <f>IF(Q1805="비교",ABS(P1805)+ROW()/1000000000,"")</f>
        <v/>
      </c>
      <c r="V1805" s="39">
        <f>IF($A1805="","",IF(COUNTIF(변동분석!$E$7:$E$506,O1805)&gt;0,"Y","N"))</f>
        <v/>
      </c>
      <c r="W1805" s="39">
        <f>IF($A1805="","",IFERROR(INDEX(계정매핑!$D$5:$D$504,MATCH($F1805&amp;"",계정매핑!$A$5:$A$504,0)),"미매핑"))</f>
        <v/>
      </c>
      <c r="X1805" s="9">
        <f>IF($A1805="","",$F1805&amp;"")</f>
        <v/>
      </c>
    </row>
    <row r="1806">
      <c r="A1806" s="75" t="n">
        <v>2025</v>
      </c>
      <c r="B1806" s="75" t="n">
        <v>10</v>
      </c>
      <c r="C1806" s="75" t="inlineStr">
        <is>
          <t>5100001802</t>
        </is>
      </c>
      <c r="D1806" s="78" t="n">
        <v>45937</v>
      </c>
      <c r="E1806" s="75" t="inlineStr">
        <is>
          <t>KR</t>
        </is>
      </c>
      <c r="F1806" s="75" t="n">
        <v>62902000</v>
      </c>
      <c r="G1806" s="75" t="n">
        <v>1801</v>
      </c>
      <c r="H1806" s="76" t="n">
        <v>1824000</v>
      </c>
      <c r="I1806" s="75" t="inlineStr">
        <is>
          <t>10월 콜 위탁 수수료(건별)</t>
        </is>
      </c>
      <c r="J1806" s="75" t="inlineStr">
        <is>
          <t>V10013</t>
        </is>
      </c>
      <c r="K1806" s="75" t="inlineStr">
        <is>
          <t>J콜센터</t>
        </is>
      </c>
      <c r="M1806" s="9">
        <f>IF($A1806="","",VALUE($A1806&amp;"")*12+VALUE($B1806&amp;""))</f>
        <v/>
      </c>
      <c r="N1806" s="39">
        <f>IF($A1806="","",IFERROR(INDEX(부서매핑!$C$5:$C$504,MATCH($G1806&amp;"",부서매핑!$A$5:$A$504,0)),"미매핑"))</f>
        <v/>
      </c>
      <c r="O1806" s="9">
        <f>IF($A1806="","",N1806&amp;"|"&amp;$F1806)</f>
        <v/>
      </c>
      <c r="P1806" s="77">
        <f>IF($A1806="",0,$H1806*설정!$C$23)</f>
        <v/>
      </c>
      <c r="Q1806" s="39">
        <f>IF($A1806="","",IF(O1806&lt;&gt;원인분석!$C$9,"",IF(AND(M1806&gt;=원인분석!$C$10,M1806&lt;=원인분석!$C$11),"당기",IF(AND(M1806&gt;=원인분석!$C$12,M1806&lt;=원인분석!$C$13),"비교",""))))</f>
        <v/>
      </c>
      <c r="R1806" s="9">
        <f>IF(Q1806="","",$K1806&amp;"")</f>
        <v/>
      </c>
      <c r="S1806" s="9">
        <f>IF(Q1806="","",IF(MATCH(R1806,$R$5:$R$100000,0)=ROW()-4,ROW(),""))</f>
        <v/>
      </c>
      <c r="T1806" s="9">
        <f>IF(Q1806="당기",ABS(P1806)+ROW()/1000000000,"")</f>
        <v/>
      </c>
      <c r="U1806" s="9">
        <f>IF(Q1806="비교",ABS(P1806)+ROW()/1000000000,"")</f>
        <v/>
      </c>
      <c r="V1806" s="39">
        <f>IF($A1806="","",IF(COUNTIF(변동분석!$E$7:$E$506,O1806)&gt;0,"Y","N"))</f>
        <v/>
      </c>
      <c r="W1806" s="39">
        <f>IF($A1806="","",IFERROR(INDEX(계정매핑!$D$5:$D$504,MATCH($F1806&amp;"",계정매핑!$A$5:$A$504,0)),"미매핑"))</f>
        <v/>
      </c>
      <c r="X1806" s="9">
        <f>IF($A1806="","",$F1806&amp;"")</f>
        <v/>
      </c>
    </row>
    <row r="1807">
      <c r="A1807" s="75" t="n">
        <v>2025</v>
      </c>
      <c r="B1807" s="75" t="n">
        <v>10</v>
      </c>
      <c r="C1807" s="75" t="inlineStr">
        <is>
          <t>5100001803</t>
        </is>
      </c>
      <c r="D1807" s="78" t="n">
        <v>45938</v>
      </c>
      <c r="E1807" s="75" t="inlineStr">
        <is>
          <t>KR</t>
        </is>
      </c>
      <c r="F1807" s="75" t="n">
        <v>62102000</v>
      </c>
      <c r="G1807" s="75" t="n">
        <v>1801</v>
      </c>
      <c r="H1807" s="76" t="n">
        <v>69000</v>
      </c>
      <c r="I1807" s="75" t="inlineStr">
        <is>
          <t>10월 해외출장 - M항공</t>
        </is>
      </c>
      <c r="J1807" s="75" t="inlineStr">
        <is>
          <t>V10001</t>
        </is>
      </c>
      <c r="K1807" s="75" t="inlineStr">
        <is>
          <t>M항공</t>
        </is>
      </c>
      <c r="M1807" s="9">
        <f>IF($A1807="","",VALUE($A1807&amp;"")*12+VALUE($B1807&amp;""))</f>
        <v/>
      </c>
      <c r="N1807" s="39">
        <f>IF($A1807="","",IFERROR(INDEX(부서매핑!$C$5:$C$504,MATCH($G1807&amp;"",부서매핑!$A$5:$A$504,0)),"미매핑"))</f>
        <v/>
      </c>
      <c r="O1807" s="9">
        <f>IF($A1807="","",N1807&amp;"|"&amp;$F1807)</f>
        <v/>
      </c>
      <c r="P1807" s="77">
        <f>IF($A1807="",0,$H1807*설정!$C$23)</f>
        <v/>
      </c>
      <c r="Q1807" s="39">
        <f>IF($A1807="","",IF(O1807&lt;&gt;원인분석!$C$9,"",IF(AND(M1807&gt;=원인분석!$C$10,M1807&lt;=원인분석!$C$11),"당기",IF(AND(M1807&gt;=원인분석!$C$12,M1807&lt;=원인분석!$C$13),"비교",""))))</f>
        <v/>
      </c>
      <c r="R1807" s="9">
        <f>IF(Q1807="","",$K1807&amp;"")</f>
        <v/>
      </c>
      <c r="S1807" s="9">
        <f>IF(Q1807="","",IF(MATCH(R1807,$R$5:$R$100000,0)=ROW()-4,ROW(),""))</f>
        <v/>
      </c>
      <c r="T1807" s="9">
        <f>IF(Q1807="당기",ABS(P1807)+ROW()/1000000000,"")</f>
        <v/>
      </c>
      <c r="U1807" s="9">
        <f>IF(Q1807="비교",ABS(P1807)+ROW()/1000000000,"")</f>
        <v/>
      </c>
      <c r="V1807" s="39">
        <f>IF($A1807="","",IF(COUNTIF(변동분석!$E$7:$E$506,O1807)&gt;0,"Y","N"))</f>
        <v/>
      </c>
      <c r="W1807" s="39">
        <f>IF($A1807="","",IFERROR(INDEX(계정매핑!$D$5:$D$504,MATCH($F1807&amp;"",계정매핑!$A$5:$A$504,0)),"미매핑"))</f>
        <v/>
      </c>
      <c r="X1807" s="9">
        <f>IF($A1807="","",$F1807&amp;"")</f>
        <v/>
      </c>
    </row>
    <row r="1808">
      <c r="A1808" s="75" t="n">
        <v>2025</v>
      </c>
      <c r="B1808" s="75" t="n">
        <v>10</v>
      </c>
      <c r="C1808" s="75" t="inlineStr">
        <is>
          <t>5100001804</t>
        </is>
      </c>
      <c r="D1808" s="78" t="n">
        <v>45938</v>
      </c>
      <c r="E1808" s="75" t="inlineStr">
        <is>
          <t>KR</t>
        </is>
      </c>
      <c r="F1808" s="75" t="n">
        <v>62902000</v>
      </c>
      <c r="G1808" s="75" t="n">
        <v>1801</v>
      </c>
      <c r="H1808" s="76" t="n">
        <v>1760000</v>
      </c>
      <c r="I1808" s="75" t="inlineStr">
        <is>
          <t>10월 콜 위탁 수수료(건별)</t>
        </is>
      </c>
      <c r="J1808" s="75" t="inlineStr">
        <is>
          <t>V10013</t>
        </is>
      </c>
      <c r="K1808" s="75" t="inlineStr">
        <is>
          <t>J콜센터</t>
        </is>
      </c>
      <c r="M1808" s="9">
        <f>IF($A1808="","",VALUE($A1808&amp;"")*12+VALUE($B1808&amp;""))</f>
        <v/>
      </c>
      <c r="N1808" s="39">
        <f>IF($A1808="","",IFERROR(INDEX(부서매핑!$C$5:$C$504,MATCH($G1808&amp;"",부서매핑!$A$5:$A$504,0)),"미매핑"))</f>
        <v/>
      </c>
      <c r="O1808" s="9">
        <f>IF($A1808="","",N1808&amp;"|"&amp;$F1808)</f>
        <v/>
      </c>
      <c r="P1808" s="77">
        <f>IF($A1808="",0,$H1808*설정!$C$23)</f>
        <v/>
      </c>
      <c r="Q1808" s="39">
        <f>IF($A1808="","",IF(O1808&lt;&gt;원인분석!$C$9,"",IF(AND(M1808&gt;=원인분석!$C$10,M1808&lt;=원인분석!$C$11),"당기",IF(AND(M1808&gt;=원인분석!$C$12,M1808&lt;=원인분석!$C$13),"비교",""))))</f>
        <v/>
      </c>
      <c r="R1808" s="9">
        <f>IF(Q1808="","",$K1808&amp;"")</f>
        <v/>
      </c>
      <c r="S1808" s="9">
        <f>IF(Q1808="","",IF(MATCH(R1808,$R$5:$R$100000,0)=ROW()-4,ROW(),""))</f>
        <v/>
      </c>
      <c r="T1808" s="9">
        <f>IF(Q1808="당기",ABS(P1808)+ROW()/1000000000,"")</f>
        <v/>
      </c>
      <c r="U1808" s="9">
        <f>IF(Q1808="비교",ABS(P1808)+ROW()/1000000000,"")</f>
        <v/>
      </c>
      <c r="V1808" s="39">
        <f>IF($A1808="","",IF(COUNTIF(변동분석!$E$7:$E$506,O1808)&gt;0,"Y","N"))</f>
        <v/>
      </c>
      <c r="W1808" s="39">
        <f>IF($A1808="","",IFERROR(INDEX(계정매핑!$D$5:$D$504,MATCH($F1808&amp;"",계정매핑!$A$5:$A$504,0)),"미매핑"))</f>
        <v/>
      </c>
      <c r="X1808" s="9">
        <f>IF($A1808="","",$F1808&amp;"")</f>
        <v/>
      </c>
    </row>
    <row r="1809">
      <c r="A1809" s="75" t="n">
        <v>2025</v>
      </c>
      <c r="B1809" s="75" t="n">
        <v>10</v>
      </c>
      <c r="C1809" s="75" t="inlineStr">
        <is>
          <t>5100001805</t>
        </is>
      </c>
      <c r="D1809" s="78" t="n">
        <v>45939</v>
      </c>
      <c r="E1809" s="75" t="inlineStr">
        <is>
          <t>KR</t>
        </is>
      </c>
      <c r="F1809" s="75" t="n">
        <v>62102000</v>
      </c>
      <c r="G1809" s="75" t="n">
        <v>1101</v>
      </c>
      <c r="H1809" s="76" t="n">
        <v>92000</v>
      </c>
      <c r="I1809" s="75" t="inlineStr">
        <is>
          <t>10월 해외출장 - N호텔</t>
        </is>
      </c>
      <c r="J1809" s="75" t="inlineStr">
        <is>
          <t>V10007</t>
        </is>
      </c>
      <c r="K1809" s="75" t="inlineStr">
        <is>
          <t>N호텔</t>
        </is>
      </c>
      <c r="M1809" s="9">
        <f>IF($A1809="","",VALUE($A1809&amp;"")*12+VALUE($B1809&amp;""))</f>
        <v/>
      </c>
      <c r="N1809" s="39">
        <f>IF($A1809="","",IFERROR(INDEX(부서매핑!$C$5:$C$504,MATCH($G1809&amp;"",부서매핑!$A$5:$A$504,0)),"미매핑"))</f>
        <v/>
      </c>
      <c r="O1809" s="9">
        <f>IF($A1809="","",N1809&amp;"|"&amp;$F1809)</f>
        <v/>
      </c>
      <c r="P1809" s="77">
        <f>IF($A1809="",0,$H1809*설정!$C$23)</f>
        <v/>
      </c>
      <c r="Q1809" s="39">
        <f>IF($A1809="","",IF(O1809&lt;&gt;원인분석!$C$9,"",IF(AND(M1809&gt;=원인분석!$C$10,M1809&lt;=원인분석!$C$11),"당기",IF(AND(M1809&gt;=원인분석!$C$12,M1809&lt;=원인분석!$C$13),"비교",""))))</f>
        <v/>
      </c>
      <c r="R1809" s="9">
        <f>IF(Q1809="","",$K1809&amp;"")</f>
        <v/>
      </c>
      <c r="S1809" s="9">
        <f>IF(Q1809="","",IF(MATCH(R1809,$R$5:$R$100000,0)=ROW()-4,ROW(),""))</f>
        <v/>
      </c>
      <c r="T1809" s="9">
        <f>IF(Q1809="당기",ABS(P1809)+ROW()/1000000000,"")</f>
        <v/>
      </c>
      <c r="U1809" s="9">
        <f>IF(Q1809="비교",ABS(P1809)+ROW()/1000000000,"")</f>
        <v/>
      </c>
      <c r="V1809" s="39">
        <f>IF($A1809="","",IF(COUNTIF(변동분석!$E$7:$E$506,O1809)&gt;0,"Y","N"))</f>
        <v/>
      </c>
      <c r="W1809" s="39">
        <f>IF($A1809="","",IFERROR(INDEX(계정매핑!$D$5:$D$504,MATCH($F1809&amp;"",계정매핑!$A$5:$A$504,0)),"미매핑"))</f>
        <v/>
      </c>
      <c r="X1809" s="9">
        <f>IF($A1809="","",$F1809&amp;"")</f>
        <v/>
      </c>
    </row>
    <row r="1810">
      <c r="A1810" s="75" t="n">
        <v>2025</v>
      </c>
      <c r="B1810" s="75" t="n">
        <v>10</v>
      </c>
      <c r="C1810" s="75" t="inlineStr">
        <is>
          <t>5100001806</t>
        </is>
      </c>
      <c r="D1810" s="78" t="n">
        <v>45939</v>
      </c>
      <c r="E1810" s="75" t="inlineStr">
        <is>
          <t>KR</t>
        </is>
      </c>
      <c r="F1810" s="75" t="n">
        <v>62102000</v>
      </c>
      <c r="G1810" s="75" t="n">
        <v>1201</v>
      </c>
      <c r="H1810" s="76" t="n">
        <v>82000</v>
      </c>
      <c r="I1810" s="75" t="inlineStr">
        <is>
          <t>10월 해외출장 - M항공</t>
        </is>
      </c>
      <c r="J1810" s="75" t="inlineStr">
        <is>
          <t>V10001</t>
        </is>
      </c>
      <c r="K1810" s="75" t="inlineStr">
        <is>
          <t>M항공</t>
        </is>
      </c>
      <c r="M1810" s="9">
        <f>IF($A1810="","",VALUE($A1810&amp;"")*12+VALUE($B1810&amp;""))</f>
        <v/>
      </c>
      <c r="N1810" s="39">
        <f>IF($A1810="","",IFERROR(INDEX(부서매핑!$C$5:$C$504,MATCH($G1810&amp;"",부서매핑!$A$5:$A$504,0)),"미매핑"))</f>
        <v/>
      </c>
      <c r="O1810" s="9">
        <f>IF($A1810="","",N1810&amp;"|"&amp;$F1810)</f>
        <v/>
      </c>
      <c r="P1810" s="77">
        <f>IF($A1810="",0,$H1810*설정!$C$23)</f>
        <v/>
      </c>
      <c r="Q1810" s="39">
        <f>IF($A1810="","",IF(O1810&lt;&gt;원인분석!$C$9,"",IF(AND(M1810&gt;=원인분석!$C$10,M1810&lt;=원인분석!$C$11),"당기",IF(AND(M1810&gt;=원인분석!$C$12,M1810&lt;=원인분석!$C$13),"비교",""))))</f>
        <v/>
      </c>
      <c r="R1810" s="9">
        <f>IF(Q1810="","",$K1810&amp;"")</f>
        <v/>
      </c>
      <c r="S1810" s="9">
        <f>IF(Q1810="","",IF(MATCH(R1810,$R$5:$R$100000,0)=ROW()-4,ROW(),""))</f>
        <v/>
      </c>
      <c r="T1810" s="9">
        <f>IF(Q1810="당기",ABS(P1810)+ROW()/1000000000,"")</f>
        <v/>
      </c>
      <c r="U1810" s="9">
        <f>IF(Q1810="비교",ABS(P1810)+ROW()/1000000000,"")</f>
        <v/>
      </c>
      <c r="V1810" s="39">
        <f>IF($A1810="","",IF(COUNTIF(변동분석!$E$7:$E$506,O1810)&gt;0,"Y","N"))</f>
        <v/>
      </c>
      <c r="W1810" s="39">
        <f>IF($A1810="","",IFERROR(INDEX(계정매핑!$D$5:$D$504,MATCH($F1810&amp;"",계정매핑!$A$5:$A$504,0)),"미매핑"))</f>
        <v/>
      </c>
      <c r="X1810" s="9">
        <f>IF($A1810="","",$F1810&amp;"")</f>
        <v/>
      </c>
    </row>
    <row r="1811">
      <c r="A1811" s="75" t="n">
        <v>2025</v>
      </c>
      <c r="B1811" s="75" t="n">
        <v>10</v>
      </c>
      <c r="C1811" s="75" t="inlineStr">
        <is>
          <t>5100001807</t>
        </is>
      </c>
      <c r="D1811" s="78" t="n">
        <v>45939</v>
      </c>
      <c r="E1811" s="75" t="inlineStr">
        <is>
          <t>KR</t>
        </is>
      </c>
      <c r="F1811" s="75" t="n">
        <v>62102000</v>
      </c>
      <c r="G1811" s="75" t="n">
        <v>1601</v>
      </c>
      <c r="H1811" s="76" t="n">
        <v>217000</v>
      </c>
      <c r="I1811" s="75" t="inlineStr">
        <is>
          <t>10월 해외출장 - M항공</t>
        </is>
      </c>
      <c r="J1811" s="75" t="inlineStr">
        <is>
          <t>V10001</t>
        </is>
      </c>
      <c r="K1811" s="75" t="inlineStr">
        <is>
          <t>M항공</t>
        </is>
      </c>
      <c r="M1811" s="9">
        <f>IF($A1811="","",VALUE($A1811&amp;"")*12+VALUE($B1811&amp;""))</f>
        <v/>
      </c>
      <c r="N1811" s="39">
        <f>IF($A1811="","",IFERROR(INDEX(부서매핑!$C$5:$C$504,MATCH($G1811&amp;"",부서매핑!$A$5:$A$504,0)),"미매핑"))</f>
        <v/>
      </c>
      <c r="O1811" s="9">
        <f>IF($A1811="","",N1811&amp;"|"&amp;$F1811)</f>
        <v/>
      </c>
      <c r="P1811" s="77">
        <f>IF($A1811="",0,$H1811*설정!$C$23)</f>
        <v/>
      </c>
      <c r="Q1811" s="39">
        <f>IF($A1811="","",IF(O1811&lt;&gt;원인분석!$C$9,"",IF(AND(M1811&gt;=원인분석!$C$10,M1811&lt;=원인분석!$C$11),"당기",IF(AND(M1811&gt;=원인분석!$C$12,M1811&lt;=원인분석!$C$13),"비교",""))))</f>
        <v/>
      </c>
      <c r="R1811" s="9">
        <f>IF(Q1811="","",$K1811&amp;"")</f>
        <v/>
      </c>
      <c r="S1811" s="9">
        <f>IF(Q1811="","",IF(MATCH(R1811,$R$5:$R$100000,0)=ROW()-4,ROW(),""))</f>
        <v/>
      </c>
      <c r="T1811" s="9">
        <f>IF(Q1811="당기",ABS(P1811)+ROW()/1000000000,"")</f>
        <v/>
      </c>
      <c r="U1811" s="9">
        <f>IF(Q1811="비교",ABS(P1811)+ROW()/1000000000,"")</f>
        <v/>
      </c>
      <c r="V1811" s="39">
        <f>IF($A1811="","",IF(COUNTIF(변동분석!$E$7:$E$506,O1811)&gt;0,"Y","N"))</f>
        <v/>
      </c>
      <c r="W1811" s="39">
        <f>IF($A1811="","",IFERROR(INDEX(계정매핑!$D$5:$D$504,MATCH($F1811&amp;"",계정매핑!$A$5:$A$504,0)),"미매핑"))</f>
        <v/>
      </c>
      <c r="X1811" s="9">
        <f>IF($A1811="","",$F1811&amp;"")</f>
        <v/>
      </c>
    </row>
    <row r="1812">
      <c r="A1812" s="75" t="n">
        <v>2025</v>
      </c>
      <c r="B1812" s="75" t="n">
        <v>10</v>
      </c>
      <c r="C1812" s="75" t="inlineStr">
        <is>
          <t>5100001808</t>
        </is>
      </c>
      <c r="D1812" s="78" t="n">
        <v>45939</v>
      </c>
      <c r="E1812" s="75" t="inlineStr">
        <is>
          <t>KR</t>
        </is>
      </c>
      <c r="F1812" s="75" t="n">
        <v>62102000</v>
      </c>
      <c r="G1812" s="75" t="n">
        <v>1701</v>
      </c>
      <c r="H1812" s="76" t="n">
        <v>39000</v>
      </c>
      <c r="I1812" s="75" t="inlineStr">
        <is>
          <t>10월 해외출장 - N호텔</t>
        </is>
      </c>
      <c r="J1812" s="75" t="inlineStr">
        <is>
          <t>V10007</t>
        </is>
      </c>
      <c r="K1812" s="75" t="inlineStr">
        <is>
          <t>N호텔</t>
        </is>
      </c>
      <c r="M1812" s="9">
        <f>IF($A1812="","",VALUE($A1812&amp;"")*12+VALUE($B1812&amp;""))</f>
        <v/>
      </c>
      <c r="N1812" s="39">
        <f>IF($A1812="","",IFERROR(INDEX(부서매핑!$C$5:$C$504,MATCH($G1812&amp;"",부서매핑!$A$5:$A$504,0)),"미매핑"))</f>
        <v/>
      </c>
      <c r="O1812" s="9">
        <f>IF($A1812="","",N1812&amp;"|"&amp;$F1812)</f>
        <v/>
      </c>
      <c r="P1812" s="77">
        <f>IF($A1812="",0,$H1812*설정!$C$23)</f>
        <v/>
      </c>
      <c r="Q1812" s="39">
        <f>IF($A1812="","",IF(O1812&lt;&gt;원인분석!$C$9,"",IF(AND(M1812&gt;=원인분석!$C$10,M1812&lt;=원인분석!$C$11),"당기",IF(AND(M1812&gt;=원인분석!$C$12,M1812&lt;=원인분석!$C$13),"비교",""))))</f>
        <v/>
      </c>
      <c r="R1812" s="9">
        <f>IF(Q1812="","",$K1812&amp;"")</f>
        <v/>
      </c>
      <c r="S1812" s="9">
        <f>IF(Q1812="","",IF(MATCH(R1812,$R$5:$R$100000,0)=ROW()-4,ROW(),""))</f>
        <v/>
      </c>
      <c r="T1812" s="9">
        <f>IF(Q1812="당기",ABS(P1812)+ROW()/1000000000,"")</f>
        <v/>
      </c>
      <c r="U1812" s="9">
        <f>IF(Q1812="비교",ABS(P1812)+ROW()/1000000000,"")</f>
        <v/>
      </c>
      <c r="V1812" s="39">
        <f>IF($A1812="","",IF(COUNTIF(변동분석!$E$7:$E$506,O1812)&gt;0,"Y","N"))</f>
        <v/>
      </c>
      <c r="W1812" s="39">
        <f>IF($A1812="","",IFERROR(INDEX(계정매핑!$D$5:$D$504,MATCH($F1812&amp;"",계정매핑!$A$5:$A$504,0)),"미매핑"))</f>
        <v/>
      </c>
      <c r="X1812" s="9">
        <f>IF($A1812="","",$F1812&amp;"")</f>
        <v/>
      </c>
    </row>
    <row r="1813">
      <c r="A1813" s="75" t="n">
        <v>2025</v>
      </c>
      <c r="B1813" s="75" t="n">
        <v>10</v>
      </c>
      <c r="C1813" s="75" t="inlineStr">
        <is>
          <t>5100001809</t>
        </is>
      </c>
      <c r="D1813" s="78" t="n">
        <v>45939</v>
      </c>
      <c r="E1813" s="75" t="inlineStr">
        <is>
          <t>KR</t>
        </is>
      </c>
      <c r="F1813" s="75" t="n">
        <v>62201000</v>
      </c>
      <c r="G1813" s="75" t="n">
        <v>1501</v>
      </c>
      <c r="H1813" s="76" t="n">
        <v>261000</v>
      </c>
      <c r="I1813" s="75" t="inlineStr">
        <is>
          <t>10월 통신요금 - P통신</t>
        </is>
      </c>
      <c r="J1813" s="75" t="inlineStr">
        <is>
          <t>V10011</t>
        </is>
      </c>
      <c r="K1813" s="75" t="inlineStr">
        <is>
          <t>P통신</t>
        </is>
      </c>
      <c r="M1813" s="9">
        <f>IF($A1813="","",VALUE($A1813&amp;"")*12+VALUE($B1813&amp;""))</f>
        <v/>
      </c>
      <c r="N1813" s="39">
        <f>IF($A1813="","",IFERROR(INDEX(부서매핑!$C$5:$C$504,MATCH($G1813&amp;"",부서매핑!$A$5:$A$504,0)),"미매핑"))</f>
        <v/>
      </c>
      <c r="O1813" s="9">
        <f>IF($A1813="","",N1813&amp;"|"&amp;$F1813)</f>
        <v/>
      </c>
      <c r="P1813" s="77">
        <f>IF($A1813="",0,$H1813*설정!$C$23)</f>
        <v/>
      </c>
      <c r="Q1813" s="39">
        <f>IF($A1813="","",IF(O1813&lt;&gt;원인분석!$C$9,"",IF(AND(M1813&gt;=원인분석!$C$10,M1813&lt;=원인분석!$C$11),"당기",IF(AND(M1813&gt;=원인분석!$C$12,M1813&lt;=원인분석!$C$13),"비교",""))))</f>
        <v/>
      </c>
      <c r="R1813" s="9">
        <f>IF(Q1813="","",$K1813&amp;"")</f>
        <v/>
      </c>
      <c r="S1813" s="9">
        <f>IF(Q1813="","",IF(MATCH(R1813,$R$5:$R$100000,0)=ROW()-4,ROW(),""))</f>
        <v/>
      </c>
      <c r="T1813" s="9">
        <f>IF(Q1813="당기",ABS(P1813)+ROW()/1000000000,"")</f>
        <v/>
      </c>
      <c r="U1813" s="9">
        <f>IF(Q1813="비교",ABS(P1813)+ROW()/1000000000,"")</f>
        <v/>
      </c>
      <c r="V1813" s="39">
        <f>IF($A1813="","",IF(COUNTIF(변동분석!$E$7:$E$506,O1813)&gt;0,"Y","N"))</f>
        <v/>
      </c>
      <c r="W1813" s="39">
        <f>IF($A1813="","",IFERROR(INDEX(계정매핑!$D$5:$D$504,MATCH($F1813&amp;"",계정매핑!$A$5:$A$504,0)),"미매핑"))</f>
        <v/>
      </c>
      <c r="X1813" s="9">
        <f>IF($A1813="","",$F1813&amp;"")</f>
        <v/>
      </c>
    </row>
    <row r="1814">
      <c r="A1814" s="75" t="n">
        <v>2025</v>
      </c>
      <c r="B1814" s="75" t="n">
        <v>10</v>
      </c>
      <c r="C1814" s="75" t="inlineStr">
        <is>
          <t>5100001810</t>
        </is>
      </c>
      <c r="D1814" s="78" t="n">
        <v>45939</v>
      </c>
      <c r="E1814" s="75" t="inlineStr">
        <is>
          <t>KR</t>
        </is>
      </c>
      <c r="F1814" s="75" t="n">
        <v>62301000</v>
      </c>
      <c r="G1814" s="75" t="n">
        <v>1201</v>
      </c>
      <c r="H1814" s="76" t="n">
        <v>104000</v>
      </c>
      <c r="I1814" s="75" t="inlineStr">
        <is>
          <t>10월 소모품 구입 - Q오피스</t>
        </is>
      </c>
      <c r="J1814" s="75" t="inlineStr">
        <is>
          <t>V10003</t>
        </is>
      </c>
      <c r="K1814" s="75" t="inlineStr">
        <is>
          <t>Q오피스</t>
        </is>
      </c>
      <c r="M1814" s="9">
        <f>IF($A1814="","",VALUE($A1814&amp;"")*12+VALUE($B1814&amp;""))</f>
        <v/>
      </c>
      <c r="N1814" s="39">
        <f>IF($A1814="","",IFERROR(INDEX(부서매핑!$C$5:$C$504,MATCH($G1814&amp;"",부서매핑!$A$5:$A$504,0)),"미매핑"))</f>
        <v/>
      </c>
      <c r="O1814" s="9">
        <f>IF($A1814="","",N1814&amp;"|"&amp;$F1814)</f>
        <v/>
      </c>
      <c r="P1814" s="77">
        <f>IF($A1814="",0,$H1814*설정!$C$23)</f>
        <v/>
      </c>
      <c r="Q1814" s="39">
        <f>IF($A1814="","",IF(O1814&lt;&gt;원인분석!$C$9,"",IF(AND(M1814&gt;=원인분석!$C$10,M1814&lt;=원인분석!$C$11),"당기",IF(AND(M1814&gt;=원인분석!$C$12,M1814&lt;=원인분석!$C$13),"비교",""))))</f>
        <v/>
      </c>
      <c r="R1814" s="9">
        <f>IF(Q1814="","",$K1814&amp;"")</f>
        <v/>
      </c>
      <c r="S1814" s="9">
        <f>IF(Q1814="","",IF(MATCH(R1814,$R$5:$R$100000,0)=ROW()-4,ROW(),""))</f>
        <v/>
      </c>
      <c r="T1814" s="9">
        <f>IF(Q1814="당기",ABS(P1814)+ROW()/1000000000,"")</f>
        <v/>
      </c>
      <c r="U1814" s="9">
        <f>IF(Q1814="비교",ABS(P1814)+ROW()/1000000000,"")</f>
        <v/>
      </c>
      <c r="V1814" s="39">
        <f>IF($A1814="","",IF(COUNTIF(변동분석!$E$7:$E$506,O1814)&gt;0,"Y","N"))</f>
        <v/>
      </c>
      <c r="W1814" s="39">
        <f>IF($A1814="","",IFERROR(INDEX(계정매핑!$D$5:$D$504,MATCH($F1814&amp;"",계정매핑!$A$5:$A$504,0)),"미매핑"))</f>
        <v/>
      </c>
      <c r="X1814" s="9">
        <f>IF($A1814="","",$F1814&amp;"")</f>
        <v/>
      </c>
    </row>
    <row r="1815">
      <c r="A1815" s="75" t="n">
        <v>2025</v>
      </c>
      <c r="B1815" s="75" t="n">
        <v>10</v>
      </c>
      <c r="C1815" s="75" t="inlineStr">
        <is>
          <t>5100001811</t>
        </is>
      </c>
      <c r="D1815" s="78" t="n">
        <v>45939</v>
      </c>
      <c r="E1815" s="75" t="inlineStr">
        <is>
          <t>KR</t>
        </is>
      </c>
      <c r="F1815" s="75" t="n">
        <v>62501000</v>
      </c>
      <c r="G1815" s="75" t="n">
        <v>1301</v>
      </c>
      <c r="H1815" s="76" t="n">
        <v>204000</v>
      </c>
      <c r="I1815" s="75" t="inlineStr">
        <is>
          <t>10월 회의 다과 - T케이터링</t>
        </is>
      </c>
      <c r="J1815" s="75" t="inlineStr">
        <is>
          <t>V10005</t>
        </is>
      </c>
      <c r="K1815" s="75" t="inlineStr">
        <is>
          <t>T케이터링</t>
        </is>
      </c>
      <c r="M1815" s="9">
        <f>IF($A1815="","",VALUE($A1815&amp;"")*12+VALUE($B1815&amp;""))</f>
        <v/>
      </c>
      <c r="N1815" s="39">
        <f>IF($A1815="","",IFERROR(INDEX(부서매핑!$C$5:$C$504,MATCH($G1815&amp;"",부서매핑!$A$5:$A$504,0)),"미매핑"))</f>
        <v/>
      </c>
      <c r="O1815" s="9">
        <f>IF($A1815="","",N1815&amp;"|"&amp;$F1815)</f>
        <v/>
      </c>
      <c r="P1815" s="77">
        <f>IF($A1815="",0,$H1815*설정!$C$23)</f>
        <v/>
      </c>
      <c r="Q1815" s="39">
        <f>IF($A1815="","",IF(O1815&lt;&gt;원인분석!$C$9,"",IF(AND(M1815&gt;=원인분석!$C$10,M1815&lt;=원인분석!$C$11),"당기",IF(AND(M1815&gt;=원인분석!$C$12,M1815&lt;=원인분석!$C$13),"비교",""))))</f>
        <v/>
      </c>
      <c r="R1815" s="9">
        <f>IF(Q1815="","",$K1815&amp;"")</f>
        <v/>
      </c>
      <c r="S1815" s="9">
        <f>IF(Q1815="","",IF(MATCH(R1815,$R$5:$R$100000,0)=ROW()-4,ROW(),""))</f>
        <v/>
      </c>
      <c r="T1815" s="9">
        <f>IF(Q1815="당기",ABS(P1815)+ROW()/1000000000,"")</f>
        <v/>
      </c>
      <c r="U1815" s="9">
        <f>IF(Q1815="비교",ABS(P1815)+ROW()/1000000000,"")</f>
        <v/>
      </c>
      <c r="V1815" s="39">
        <f>IF($A1815="","",IF(COUNTIF(변동분석!$E$7:$E$506,O1815)&gt;0,"Y","N"))</f>
        <v/>
      </c>
      <c r="W1815" s="39">
        <f>IF($A1815="","",IFERROR(INDEX(계정매핑!$D$5:$D$504,MATCH($F1815&amp;"",계정매핑!$A$5:$A$504,0)),"미매핑"))</f>
        <v/>
      </c>
      <c r="X1815" s="9">
        <f>IF($A1815="","",$F1815&amp;"")</f>
        <v/>
      </c>
    </row>
    <row r="1816">
      <c r="A1816" s="75" t="n">
        <v>2025</v>
      </c>
      <c r="B1816" s="75" t="n">
        <v>10</v>
      </c>
      <c r="C1816" s="75" t="inlineStr">
        <is>
          <t>5100001812</t>
        </is>
      </c>
      <c r="D1816" s="78" t="n">
        <v>45939</v>
      </c>
      <c r="E1816" s="75" t="inlineStr">
        <is>
          <t>KR</t>
        </is>
      </c>
      <c r="F1816" s="75" t="n">
        <v>62601000</v>
      </c>
      <c r="G1816" s="75" t="n">
        <v>1301</v>
      </c>
      <c r="H1816" s="76" t="n">
        <v>1799000</v>
      </c>
      <c r="I1816" s="75" t="inlineStr">
        <is>
          <t>10월 업무추진 - (법인카드)</t>
        </is>
      </c>
      <c r="J1816" s="75" t="inlineStr">
        <is>
          <t>V10008</t>
        </is>
      </c>
      <c r="K1816" s="75" t="inlineStr">
        <is>
          <t>(법인카드)</t>
        </is>
      </c>
      <c r="M1816" s="9">
        <f>IF($A1816="","",VALUE($A1816&amp;"")*12+VALUE($B1816&amp;""))</f>
        <v/>
      </c>
      <c r="N1816" s="39">
        <f>IF($A1816="","",IFERROR(INDEX(부서매핑!$C$5:$C$504,MATCH($G1816&amp;"",부서매핑!$A$5:$A$504,0)),"미매핑"))</f>
        <v/>
      </c>
      <c r="O1816" s="9">
        <f>IF($A1816="","",N1816&amp;"|"&amp;$F1816)</f>
        <v/>
      </c>
      <c r="P1816" s="77">
        <f>IF($A1816="",0,$H1816*설정!$C$23)</f>
        <v/>
      </c>
      <c r="Q1816" s="39">
        <f>IF($A1816="","",IF(O1816&lt;&gt;원인분석!$C$9,"",IF(AND(M1816&gt;=원인분석!$C$10,M1816&lt;=원인분석!$C$11),"당기",IF(AND(M1816&gt;=원인분석!$C$12,M1816&lt;=원인분석!$C$13),"비교",""))))</f>
        <v/>
      </c>
      <c r="R1816" s="9">
        <f>IF(Q1816="","",$K1816&amp;"")</f>
        <v/>
      </c>
      <c r="S1816" s="9">
        <f>IF(Q1816="","",IF(MATCH(R1816,$R$5:$R$100000,0)=ROW()-4,ROW(),""))</f>
        <v/>
      </c>
      <c r="T1816" s="9">
        <f>IF(Q1816="당기",ABS(P1816)+ROW()/1000000000,"")</f>
        <v/>
      </c>
      <c r="U1816" s="9">
        <f>IF(Q1816="비교",ABS(P1816)+ROW()/1000000000,"")</f>
        <v/>
      </c>
      <c r="V1816" s="39">
        <f>IF($A1816="","",IF(COUNTIF(변동분석!$E$7:$E$506,O1816)&gt;0,"Y","N"))</f>
        <v/>
      </c>
      <c r="W1816" s="39">
        <f>IF($A1816="","",IFERROR(INDEX(계정매핑!$D$5:$D$504,MATCH($F1816&amp;"",계정매핑!$A$5:$A$504,0)),"미매핑"))</f>
        <v/>
      </c>
      <c r="X1816" s="9">
        <f>IF($A1816="","",$F1816&amp;"")</f>
        <v/>
      </c>
    </row>
    <row r="1817">
      <c r="A1817" s="75" t="n">
        <v>2025</v>
      </c>
      <c r="B1817" s="75" t="n">
        <v>10</v>
      </c>
      <c r="C1817" s="75" t="inlineStr">
        <is>
          <t>5100001813</t>
        </is>
      </c>
      <c r="D1817" s="78" t="n">
        <v>45939</v>
      </c>
      <c r="E1817" s="75" t="inlineStr">
        <is>
          <t>KR</t>
        </is>
      </c>
      <c r="F1817" s="75" t="n">
        <v>62902000</v>
      </c>
      <c r="G1817" s="75" t="n">
        <v>1101</v>
      </c>
      <c r="H1817" s="76" t="n">
        <v>1473000</v>
      </c>
      <c r="I1817" s="75" t="inlineStr">
        <is>
          <t>10월 업무 위탁 수수료 - X서비스</t>
        </is>
      </c>
      <c r="J1817" s="75" t="inlineStr">
        <is>
          <t>V10016</t>
        </is>
      </c>
      <c r="K1817" s="75" t="inlineStr">
        <is>
          <t>X서비스</t>
        </is>
      </c>
      <c r="M1817" s="9">
        <f>IF($A1817="","",VALUE($A1817&amp;"")*12+VALUE($B1817&amp;""))</f>
        <v/>
      </c>
      <c r="N1817" s="39">
        <f>IF($A1817="","",IFERROR(INDEX(부서매핑!$C$5:$C$504,MATCH($G1817&amp;"",부서매핑!$A$5:$A$504,0)),"미매핑"))</f>
        <v/>
      </c>
      <c r="O1817" s="9">
        <f>IF($A1817="","",N1817&amp;"|"&amp;$F1817)</f>
        <v/>
      </c>
      <c r="P1817" s="77">
        <f>IF($A1817="",0,$H1817*설정!$C$23)</f>
        <v/>
      </c>
      <c r="Q1817" s="39">
        <f>IF($A1817="","",IF(O1817&lt;&gt;원인분석!$C$9,"",IF(AND(M1817&gt;=원인분석!$C$10,M1817&lt;=원인분석!$C$11),"당기",IF(AND(M1817&gt;=원인분석!$C$12,M1817&lt;=원인분석!$C$13),"비교",""))))</f>
        <v/>
      </c>
      <c r="R1817" s="9">
        <f>IF(Q1817="","",$K1817&amp;"")</f>
        <v/>
      </c>
      <c r="S1817" s="9">
        <f>IF(Q1817="","",IF(MATCH(R1817,$R$5:$R$100000,0)=ROW()-4,ROW(),""))</f>
        <v/>
      </c>
      <c r="T1817" s="9">
        <f>IF(Q1817="당기",ABS(P1817)+ROW()/1000000000,"")</f>
        <v/>
      </c>
      <c r="U1817" s="9">
        <f>IF(Q1817="비교",ABS(P1817)+ROW()/1000000000,"")</f>
        <v/>
      </c>
      <c r="V1817" s="39">
        <f>IF($A1817="","",IF(COUNTIF(변동분석!$E$7:$E$506,O1817)&gt;0,"Y","N"))</f>
        <v/>
      </c>
      <c r="W1817" s="39">
        <f>IF($A1817="","",IFERROR(INDEX(계정매핑!$D$5:$D$504,MATCH($F1817&amp;"",계정매핑!$A$5:$A$504,0)),"미매핑"))</f>
        <v/>
      </c>
      <c r="X1817" s="9">
        <f>IF($A1817="","",$F1817&amp;"")</f>
        <v/>
      </c>
    </row>
    <row r="1818">
      <c r="A1818" s="75" t="n">
        <v>2025</v>
      </c>
      <c r="B1818" s="75" t="n">
        <v>10</v>
      </c>
      <c r="C1818" s="75" t="inlineStr">
        <is>
          <t>5100001814</t>
        </is>
      </c>
      <c r="D1818" s="78" t="n">
        <v>45939</v>
      </c>
      <c r="E1818" s="75" t="inlineStr">
        <is>
          <t>KR</t>
        </is>
      </c>
      <c r="F1818" s="75" t="n">
        <v>63201000</v>
      </c>
      <c r="G1818" s="75" t="n">
        <v>1601</v>
      </c>
      <c r="H1818" s="76" t="n">
        <v>5694000</v>
      </c>
      <c r="I1818" s="75" t="inlineStr">
        <is>
          <t>10월 차량 유지 - D정비</t>
        </is>
      </c>
      <c r="J1818" s="75" t="inlineStr">
        <is>
          <t>V10022</t>
        </is>
      </c>
      <c r="K1818" s="75" t="inlineStr">
        <is>
          <t>D정비</t>
        </is>
      </c>
      <c r="M1818" s="9">
        <f>IF($A1818="","",VALUE($A1818&amp;"")*12+VALUE($B1818&amp;""))</f>
        <v/>
      </c>
      <c r="N1818" s="39">
        <f>IF($A1818="","",IFERROR(INDEX(부서매핑!$C$5:$C$504,MATCH($G1818&amp;"",부서매핑!$A$5:$A$504,0)),"미매핑"))</f>
        <v/>
      </c>
      <c r="O1818" s="9">
        <f>IF($A1818="","",N1818&amp;"|"&amp;$F1818)</f>
        <v/>
      </c>
      <c r="P1818" s="77">
        <f>IF($A1818="",0,$H1818*설정!$C$23)</f>
        <v/>
      </c>
      <c r="Q1818" s="39">
        <f>IF($A1818="","",IF(O1818&lt;&gt;원인분석!$C$9,"",IF(AND(M1818&gt;=원인분석!$C$10,M1818&lt;=원인분석!$C$11),"당기",IF(AND(M1818&gt;=원인분석!$C$12,M1818&lt;=원인분석!$C$13),"비교",""))))</f>
        <v/>
      </c>
      <c r="R1818" s="9">
        <f>IF(Q1818="","",$K1818&amp;"")</f>
        <v/>
      </c>
      <c r="S1818" s="9">
        <f>IF(Q1818="","",IF(MATCH(R1818,$R$5:$R$100000,0)=ROW()-4,ROW(),""))</f>
        <v/>
      </c>
      <c r="T1818" s="9">
        <f>IF(Q1818="당기",ABS(P1818)+ROW()/1000000000,"")</f>
        <v/>
      </c>
      <c r="U1818" s="9">
        <f>IF(Q1818="비교",ABS(P1818)+ROW()/1000000000,"")</f>
        <v/>
      </c>
      <c r="V1818" s="39">
        <f>IF($A1818="","",IF(COUNTIF(변동분석!$E$7:$E$506,O1818)&gt;0,"Y","N"))</f>
        <v/>
      </c>
      <c r="W1818" s="39">
        <f>IF($A1818="","",IFERROR(INDEX(계정매핑!$D$5:$D$504,MATCH($F1818&amp;"",계정매핑!$A$5:$A$504,0)),"미매핑"))</f>
        <v/>
      </c>
      <c r="X1818" s="9">
        <f>IF($A1818="","",$F1818&amp;"")</f>
        <v/>
      </c>
    </row>
    <row r="1819">
      <c r="A1819" s="75" t="n">
        <v>2025</v>
      </c>
      <c r="B1819" s="75" t="n">
        <v>10</v>
      </c>
      <c r="C1819" s="75" t="inlineStr">
        <is>
          <t>5100001815</t>
        </is>
      </c>
      <c r="D1819" s="78" t="n">
        <v>45940</v>
      </c>
      <c r="E1819" s="75" t="inlineStr">
        <is>
          <t>KR</t>
        </is>
      </c>
      <c r="F1819" s="75" t="n">
        <v>62102000</v>
      </c>
      <c r="G1819" s="75" t="n">
        <v>1401</v>
      </c>
      <c r="H1819" s="76" t="n">
        <v>97000</v>
      </c>
      <c r="I1819" s="75" t="inlineStr">
        <is>
          <t>10월 해외출장 - N호텔</t>
        </is>
      </c>
      <c r="J1819" s="75" t="inlineStr">
        <is>
          <t>V10007</t>
        </is>
      </c>
      <c r="K1819" s="75" t="inlineStr">
        <is>
          <t>N호텔</t>
        </is>
      </c>
      <c r="M1819" s="9">
        <f>IF($A1819="","",VALUE($A1819&amp;"")*12+VALUE($B1819&amp;""))</f>
        <v/>
      </c>
      <c r="N1819" s="39">
        <f>IF($A1819="","",IFERROR(INDEX(부서매핑!$C$5:$C$504,MATCH($G1819&amp;"",부서매핑!$A$5:$A$504,0)),"미매핑"))</f>
        <v/>
      </c>
      <c r="O1819" s="9">
        <f>IF($A1819="","",N1819&amp;"|"&amp;$F1819)</f>
        <v/>
      </c>
      <c r="P1819" s="77">
        <f>IF($A1819="",0,$H1819*설정!$C$23)</f>
        <v/>
      </c>
      <c r="Q1819" s="39">
        <f>IF($A1819="","",IF(O1819&lt;&gt;원인분석!$C$9,"",IF(AND(M1819&gt;=원인분석!$C$10,M1819&lt;=원인분석!$C$11),"당기",IF(AND(M1819&gt;=원인분석!$C$12,M1819&lt;=원인분석!$C$13),"비교",""))))</f>
        <v/>
      </c>
      <c r="R1819" s="9">
        <f>IF(Q1819="","",$K1819&amp;"")</f>
        <v/>
      </c>
      <c r="S1819" s="9">
        <f>IF(Q1819="","",IF(MATCH(R1819,$R$5:$R$100000,0)=ROW()-4,ROW(),""))</f>
        <v/>
      </c>
      <c r="T1819" s="9">
        <f>IF(Q1819="당기",ABS(P1819)+ROW()/1000000000,"")</f>
        <v/>
      </c>
      <c r="U1819" s="9">
        <f>IF(Q1819="비교",ABS(P1819)+ROW()/1000000000,"")</f>
        <v/>
      </c>
      <c r="V1819" s="39">
        <f>IF($A1819="","",IF(COUNTIF(변동분석!$E$7:$E$506,O1819)&gt;0,"Y","N"))</f>
        <v/>
      </c>
      <c r="W1819" s="39">
        <f>IF($A1819="","",IFERROR(INDEX(계정매핑!$D$5:$D$504,MATCH($F1819&amp;"",계정매핑!$A$5:$A$504,0)),"미매핑"))</f>
        <v/>
      </c>
      <c r="X1819" s="9">
        <f>IF($A1819="","",$F1819&amp;"")</f>
        <v/>
      </c>
    </row>
    <row r="1820">
      <c r="A1820" s="75" t="n">
        <v>2025</v>
      </c>
      <c r="B1820" s="75" t="n">
        <v>10</v>
      </c>
      <c r="C1820" s="75" t="inlineStr">
        <is>
          <t>5100001816</t>
        </is>
      </c>
      <c r="D1820" s="78" t="n">
        <v>45940</v>
      </c>
      <c r="E1820" s="75" t="inlineStr">
        <is>
          <t>KR</t>
        </is>
      </c>
      <c r="F1820" s="75" t="n">
        <v>62201000</v>
      </c>
      <c r="G1820" s="75" t="n">
        <v>1301</v>
      </c>
      <c r="H1820" s="76" t="n">
        <v>184000</v>
      </c>
      <c r="I1820" s="75" t="inlineStr">
        <is>
          <t>10월 통신요금 - O텔레콤</t>
        </is>
      </c>
      <c r="J1820" s="75" t="inlineStr">
        <is>
          <t>V10002</t>
        </is>
      </c>
      <c r="K1820" s="75" t="inlineStr">
        <is>
          <t>O텔레콤</t>
        </is>
      </c>
      <c r="M1820" s="9">
        <f>IF($A1820="","",VALUE($A1820&amp;"")*12+VALUE($B1820&amp;""))</f>
        <v/>
      </c>
      <c r="N1820" s="39">
        <f>IF($A1820="","",IFERROR(INDEX(부서매핑!$C$5:$C$504,MATCH($G1820&amp;"",부서매핑!$A$5:$A$504,0)),"미매핑"))</f>
        <v/>
      </c>
      <c r="O1820" s="9">
        <f>IF($A1820="","",N1820&amp;"|"&amp;$F1820)</f>
        <v/>
      </c>
      <c r="P1820" s="77">
        <f>IF($A1820="",0,$H1820*설정!$C$23)</f>
        <v/>
      </c>
      <c r="Q1820" s="39">
        <f>IF($A1820="","",IF(O1820&lt;&gt;원인분석!$C$9,"",IF(AND(M1820&gt;=원인분석!$C$10,M1820&lt;=원인분석!$C$11),"당기",IF(AND(M1820&gt;=원인분석!$C$12,M1820&lt;=원인분석!$C$13),"비교",""))))</f>
        <v/>
      </c>
      <c r="R1820" s="9">
        <f>IF(Q1820="","",$K1820&amp;"")</f>
        <v/>
      </c>
      <c r="S1820" s="9">
        <f>IF(Q1820="","",IF(MATCH(R1820,$R$5:$R$100000,0)=ROW()-4,ROW(),""))</f>
        <v/>
      </c>
      <c r="T1820" s="9">
        <f>IF(Q1820="당기",ABS(P1820)+ROW()/1000000000,"")</f>
        <v/>
      </c>
      <c r="U1820" s="9">
        <f>IF(Q1820="비교",ABS(P1820)+ROW()/1000000000,"")</f>
        <v/>
      </c>
      <c r="V1820" s="39">
        <f>IF($A1820="","",IF(COUNTIF(변동분석!$E$7:$E$506,O1820)&gt;0,"Y","N"))</f>
        <v/>
      </c>
      <c r="W1820" s="39">
        <f>IF($A1820="","",IFERROR(INDEX(계정매핑!$D$5:$D$504,MATCH($F1820&amp;"",계정매핑!$A$5:$A$504,0)),"미매핑"))</f>
        <v/>
      </c>
      <c r="X1820" s="9">
        <f>IF($A1820="","",$F1820&amp;"")</f>
        <v/>
      </c>
    </row>
    <row r="1821">
      <c r="A1821" s="75" t="n">
        <v>2025</v>
      </c>
      <c r="B1821" s="75" t="n">
        <v>10</v>
      </c>
      <c r="C1821" s="75" t="inlineStr">
        <is>
          <t>5100001817</t>
        </is>
      </c>
      <c r="D1821" s="78" t="n">
        <v>45940</v>
      </c>
      <c r="E1821" s="75" t="inlineStr">
        <is>
          <t>KR</t>
        </is>
      </c>
      <c r="F1821" s="75" t="n">
        <v>62301000</v>
      </c>
      <c r="G1821" s="75" t="n">
        <v>1401</v>
      </c>
      <c r="H1821" s="76" t="n">
        <v>97000</v>
      </c>
      <c r="I1821" s="75" t="inlineStr">
        <is>
          <t>10월 소모품 구입 - Q오피스</t>
        </is>
      </c>
      <c r="J1821" s="75" t="inlineStr">
        <is>
          <t>V10003</t>
        </is>
      </c>
      <c r="K1821" s="75" t="inlineStr">
        <is>
          <t>Q오피스</t>
        </is>
      </c>
      <c r="M1821" s="9">
        <f>IF($A1821="","",VALUE($A1821&amp;"")*12+VALUE($B1821&amp;""))</f>
        <v/>
      </c>
      <c r="N1821" s="39">
        <f>IF($A1821="","",IFERROR(INDEX(부서매핑!$C$5:$C$504,MATCH($G1821&amp;"",부서매핑!$A$5:$A$504,0)),"미매핑"))</f>
        <v/>
      </c>
      <c r="O1821" s="9">
        <f>IF($A1821="","",N1821&amp;"|"&amp;$F1821)</f>
        <v/>
      </c>
      <c r="P1821" s="77">
        <f>IF($A1821="",0,$H1821*설정!$C$23)</f>
        <v/>
      </c>
      <c r="Q1821" s="39">
        <f>IF($A1821="","",IF(O1821&lt;&gt;원인분석!$C$9,"",IF(AND(M1821&gt;=원인분석!$C$10,M1821&lt;=원인분석!$C$11),"당기",IF(AND(M1821&gt;=원인분석!$C$12,M1821&lt;=원인분석!$C$13),"비교",""))))</f>
        <v/>
      </c>
      <c r="R1821" s="9">
        <f>IF(Q1821="","",$K1821&amp;"")</f>
        <v/>
      </c>
      <c r="S1821" s="9">
        <f>IF(Q1821="","",IF(MATCH(R1821,$R$5:$R$100000,0)=ROW()-4,ROW(),""))</f>
        <v/>
      </c>
      <c r="T1821" s="9">
        <f>IF(Q1821="당기",ABS(P1821)+ROW()/1000000000,"")</f>
        <v/>
      </c>
      <c r="U1821" s="9">
        <f>IF(Q1821="비교",ABS(P1821)+ROW()/1000000000,"")</f>
        <v/>
      </c>
      <c r="V1821" s="39">
        <f>IF($A1821="","",IF(COUNTIF(변동분석!$E$7:$E$506,O1821)&gt;0,"Y","N"))</f>
        <v/>
      </c>
      <c r="W1821" s="39">
        <f>IF($A1821="","",IFERROR(INDEX(계정매핑!$D$5:$D$504,MATCH($F1821&amp;"",계정매핑!$A$5:$A$504,0)),"미매핑"))</f>
        <v/>
      </c>
      <c r="X1821" s="9">
        <f>IF($A1821="","",$F1821&amp;"")</f>
        <v/>
      </c>
    </row>
    <row r="1822">
      <c r="A1822" s="75" t="n">
        <v>2025</v>
      </c>
      <c r="B1822" s="75" t="n">
        <v>10</v>
      </c>
      <c r="C1822" s="75" t="inlineStr">
        <is>
          <t>5100001818</t>
        </is>
      </c>
      <c r="D1822" s="78" t="n">
        <v>45940</v>
      </c>
      <c r="E1822" s="75" t="inlineStr">
        <is>
          <t>KR</t>
        </is>
      </c>
      <c r="F1822" s="75" t="n">
        <v>62701000</v>
      </c>
      <c r="G1822" s="75" t="n">
        <v>1501</v>
      </c>
      <c r="H1822" s="76" t="n">
        <v>117416000</v>
      </c>
      <c r="I1822" s="75" t="inlineStr">
        <is>
          <t>10월 광고 집행 - F애드</t>
        </is>
      </c>
      <c r="J1822" s="75" t="inlineStr">
        <is>
          <t>V10019</t>
        </is>
      </c>
      <c r="K1822" s="75" t="inlineStr">
        <is>
          <t>F애드</t>
        </is>
      </c>
      <c r="M1822" s="9">
        <f>IF($A1822="","",VALUE($A1822&amp;"")*12+VALUE($B1822&amp;""))</f>
        <v/>
      </c>
      <c r="N1822" s="39">
        <f>IF($A1822="","",IFERROR(INDEX(부서매핑!$C$5:$C$504,MATCH($G1822&amp;"",부서매핑!$A$5:$A$504,0)),"미매핑"))</f>
        <v/>
      </c>
      <c r="O1822" s="9">
        <f>IF($A1822="","",N1822&amp;"|"&amp;$F1822)</f>
        <v/>
      </c>
      <c r="P1822" s="77">
        <f>IF($A1822="",0,$H1822*설정!$C$23)</f>
        <v/>
      </c>
      <c r="Q1822" s="39">
        <f>IF($A1822="","",IF(O1822&lt;&gt;원인분석!$C$9,"",IF(AND(M1822&gt;=원인분석!$C$10,M1822&lt;=원인분석!$C$11),"당기",IF(AND(M1822&gt;=원인분석!$C$12,M1822&lt;=원인분석!$C$13),"비교",""))))</f>
        <v/>
      </c>
      <c r="R1822" s="9">
        <f>IF(Q1822="","",$K1822&amp;"")</f>
        <v/>
      </c>
      <c r="S1822" s="9">
        <f>IF(Q1822="","",IF(MATCH(R1822,$R$5:$R$100000,0)=ROW()-4,ROW(),""))</f>
        <v/>
      </c>
      <c r="T1822" s="9">
        <f>IF(Q1822="당기",ABS(P1822)+ROW()/1000000000,"")</f>
        <v/>
      </c>
      <c r="U1822" s="9">
        <f>IF(Q1822="비교",ABS(P1822)+ROW()/1000000000,"")</f>
        <v/>
      </c>
      <c r="V1822" s="39">
        <f>IF($A1822="","",IF(COUNTIF(변동분석!$E$7:$E$506,O1822)&gt;0,"Y","N"))</f>
        <v/>
      </c>
      <c r="W1822" s="39">
        <f>IF($A1822="","",IFERROR(INDEX(계정매핑!$D$5:$D$504,MATCH($F1822&amp;"",계정매핑!$A$5:$A$504,0)),"미매핑"))</f>
        <v/>
      </c>
      <c r="X1822" s="9">
        <f>IF($A1822="","",$F1822&amp;"")</f>
        <v/>
      </c>
    </row>
    <row r="1823">
      <c r="A1823" s="75" t="n">
        <v>2025</v>
      </c>
      <c r="B1823" s="75" t="n">
        <v>10</v>
      </c>
      <c r="C1823" s="75" t="inlineStr">
        <is>
          <t>5100001819</t>
        </is>
      </c>
      <c r="D1823" s="78" t="n">
        <v>45940</v>
      </c>
      <c r="E1823" s="75" t="inlineStr">
        <is>
          <t>KR</t>
        </is>
      </c>
      <c r="F1823" s="75" t="n">
        <v>62902000</v>
      </c>
      <c r="G1823" s="75" t="n">
        <v>1801</v>
      </c>
      <c r="H1823" s="76" t="n">
        <v>1842000</v>
      </c>
      <c r="I1823" s="75" t="inlineStr">
        <is>
          <t>10월 콜 위탁 수수료(건별)</t>
        </is>
      </c>
      <c r="J1823" s="75" t="inlineStr">
        <is>
          <t>V10013</t>
        </is>
      </c>
      <c r="K1823" s="75" t="inlineStr">
        <is>
          <t>J콜센터</t>
        </is>
      </c>
      <c r="M1823" s="9">
        <f>IF($A1823="","",VALUE($A1823&amp;"")*12+VALUE($B1823&amp;""))</f>
        <v/>
      </c>
      <c r="N1823" s="39">
        <f>IF($A1823="","",IFERROR(INDEX(부서매핑!$C$5:$C$504,MATCH($G1823&amp;"",부서매핑!$A$5:$A$504,0)),"미매핑"))</f>
        <v/>
      </c>
      <c r="O1823" s="9">
        <f>IF($A1823="","",N1823&amp;"|"&amp;$F1823)</f>
        <v/>
      </c>
      <c r="P1823" s="77">
        <f>IF($A1823="",0,$H1823*설정!$C$23)</f>
        <v/>
      </c>
      <c r="Q1823" s="39">
        <f>IF($A1823="","",IF(O1823&lt;&gt;원인분석!$C$9,"",IF(AND(M1823&gt;=원인분석!$C$10,M1823&lt;=원인분석!$C$11),"당기",IF(AND(M1823&gt;=원인분석!$C$12,M1823&lt;=원인분석!$C$13),"비교",""))))</f>
        <v/>
      </c>
      <c r="R1823" s="9">
        <f>IF(Q1823="","",$K1823&amp;"")</f>
        <v/>
      </c>
      <c r="S1823" s="9">
        <f>IF(Q1823="","",IF(MATCH(R1823,$R$5:$R$100000,0)=ROW()-4,ROW(),""))</f>
        <v/>
      </c>
      <c r="T1823" s="9">
        <f>IF(Q1823="당기",ABS(P1823)+ROW()/1000000000,"")</f>
        <v/>
      </c>
      <c r="U1823" s="9">
        <f>IF(Q1823="비교",ABS(P1823)+ROW()/1000000000,"")</f>
        <v/>
      </c>
      <c r="V1823" s="39">
        <f>IF($A1823="","",IF(COUNTIF(변동분석!$E$7:$E$506,O1823)&gt;0,"Y","N"))</f>
        <v/>
      </c>
      <c r="W1823" s="39">
        <f>IF($A1823="","",IFERROR(INDEX(계정매핑!$D$5:$D$504,MATCH($F1823&amp;"",계정매핑!$A$5:$A$504,0)),"미매핑"))</f>
        <v/>
      </c>
      <c r="X1823" s="9">
        <f>IF($A1823="","",$F1823&amp;"")</f>
        <v/>
      </c>
    </row>
    <row r="1824">
      <c r="A1824" s="75" t="n">
        <v>2025</v>
      </c>
      <c r="B1824" s="75" t="n">
        <v>10</v>
      </c>
      <c r="C1824" s="75" t="inlineStr">
        <is>
          <t>5100001820</t>
        </is>
      </c>
      <c r="D1824" s="78" t="n">
        <v>45941</v>
      </c>
      <c r="E1824" s="75" t="inlineStr">
        <is>
          <t>KR</t>
        </is>
      </c>
      <c r="F1824" s="75" t="n">
        <v>62101000</v>
      </c>
      <c r="G1824" s="75" t="n">
        <v>1502</v>
      </c>
      <c r="H1824" s="76" t="n">
        <v>630000</v>
      </c>
      <c r="I1824" s="75" t="inlineStr">
        <is>
          <t>10월 국내출장 - L여행사</t>
        </is>
      </c>
      <c r="J1824" s="75" t="inlineStr">
        <is>
          <t>V10014</t>
        </is>
      </c>
      <c r="K1824" s="75" t="inlineStr">
        <is>
          <t>L여행사</t>
        </is>
      </c>
      <c r="M1824" s="9">
        <f>IF($A1824="","",VALUE($A1824&amp;"")*12+VALUE($B1824&amp;""))</f>
        <v/>
      </c>
      <c r="N1824" s="39">
        <f>IF($A1824="","",IFERROR(INDEX(부서매핑!$C$5:$C$504,MATCH($G1824&amp;"",부서매핑!$A$5:$A$504,0)),"미매핑"))</f>
        <v/>
      </c>
      <c r="O1824" s="9">
        <f>IF($A1824="","",N1824&amp;"|"&amp;$F1824)</f>
        <v/>
      </c>
      <c r="P1824" s="77">
        <f>IF($A1824="",0,$H1824*설정!$C$23)</f>
        <v/>
      </c>
      <c r="Q1824" s="39">
        <f>IF($A1824="","",IF(O1824&lt;&gt;원인분석!$C$9,"",IF(AND(M1824&gt;=원인분석!$C$10,M1824&lt;=원인분석!$C$11),"당기",IF(AND(M1824&gt;=원인분석!$C$12,M1824&lt;=원인분석!$C$13),"비교",""))))</f>
        <v/>
      </c>
      <c r="R1824" s="9">
        <f>IF(Q1824="","",$K1824&amp;"")</f>
        <v/>
      </c>
      <c r="S1824" s="9">
        <f>IF(Q1824="","",IF(MATCH(R1824,$R$5:$R$100000,0)=ROW()-4,ROW(),""))</f>
        <v/>
      </c>
      <c r="T1824" s="9">
        <f>IF(Q1824="당기",ABS(P1824)+ROW()/1000000000,"")</f>
        <v/>
      </c>
      <c r="U1824" s="9">
        <f>IF(Q1824="비교",ABS(P1824)+ROW()/1000000000,"")</f>
        <v/>
      </c>
      <c r="V1824" s="39">
        <f>IF($A1824="","",IF(COUNTIF(변동분석!$E$7:$E$506,O1824)&gt;0,"Y","N"))</f>
        <v/>
      </c>
      <c r="W1824" s="39">
        <f>IF($A1824="","",IFERROR(INDEX(계정매핑!$D$5:$D$504,MATCH($F1824&amp;"",계정매핑!$A$5:$A$504,0)),"미매핑"))</f>
        <v/>
      </c>
      <c r="X1824" s="9">
        <f>IF($A1824="","",$F1824&amp;"")</f>
        <v/>
      </c>
    </row>
    <row r="1825">
      <c r="A1825" s="75" t="n">
        <v>2025</v>
      </c>
      <c r="B1825" s="75" t="n">
        <v>10</v>
      </c>
      <c r="C1825" s="75" t="inlineStr">
        <is>
          <t>5100001821</t>
        </is>
      </c>
      <c r="D1825" s="78" t="n">
        <v>45941</v>
      </c>
      <c r="E1825" s="75" t="inlineStr">
        <is>
          <t>KR</t>
        </is>
      </c>
      <c r="F1825" s="75" t="n">
        <v>62102000</v>
      </c>
      <c r="G1825" s="75" t="n">
        <v>1301</v>
      </c>
      <c r="H1825" s="76" t="n">
        <v>96000</v>
      </c>
      <c r="I1825" s="75" t="inlineStr">
        <is>
          <t>10월 해외출장 - M항공</t>
        </is>
      </c>
      <c r="J1825" s="75" t="inlineStr">
        <is>
          <t>V10001</t>
        </is>
      </c>
      <c r="K1825" s="75" t="inlineStr">
        <is>
          <t>M항공</t>
        </is>
      </c>
      <c r="M1825" s="9">
        <f>IF($A1825="","",VALUE($A1825&amp;"")*12+VALUE($B1825&amp;""))</f>
        <v/>
      </c>
      <c r="N1825" s="39">
        <f>IF($A1825="","",IFERROR(INDEX(부서매핑!$C$5:$C$504,MATCH($G1825&amp;"",부서매핑!$A$5:$A$504,0)),"미매핑"))</f>
        <v/>
      </c>
      <c r="O1825" s="9">
        <f>IF($A1825="","",N1825&amp;"|"&amp;$F1825)</f>
        <v/>
      </c>
      <c r="P1825" s="77">
        <f>IF($A1825="",0,$H1825*설정!$C$23)</f>
        <v/>
      </c>
      <c r="Q1825" s="39">
        <f>IF($A1825="","",IF(O1825&lt;&gt;원인분석!$C$9,"",IF(AND(M1825&gt;=원인분석!$C$10,M1825&lt;=원인분석!$C$11),"당기",IF(AND(M1825&gt;=원인분석!$C$12,M1825&lt;=원인분석!$C$13),"비교",""))))</f>
        <v/>
      </c>
      <c r="R1825" s="9">
        <f>IF(Q1825="","",$K1825&amp;"")</f>
        <v/>
      </c>
      <c r="S1825" s="9">
        <f>IF(Q1825="","",IF(MATCH(R1825,$R$5:$R$100000,0)=ROW()-4,ROW(),""))</f>
        <v/>
      </c>
      <c r="T1825" s="9">
        <f>IF(Q1825="당기",ABS(P1825)+ROW()/1000000000,"")</f>
        <v/>
      </c>
      <c r="U1825" s="9">
        <f>IF(Q1825="비교",ABS(P1825)+ROW()/1000000000,"")</f>
        <v/>
      </c>
      <c r="V1825" s="39">
        <f>IF($A1825="","",IF(COUNTIF(변동분석!$E$7:$E$506,O1825)&gt;0,"Y","N"))</f>
        <v/>
      </c>
      <c r="W1825" s="39">
        <f>IF($A1825="","",IFERROR(INDEX(계정매핑!$D$5:$D$504,MATCH($F1825&amp;"",계정매핑!$A$5:$A$504,0)),"미매핑"))</f>
        <v/>
      </c>
      <c r="X1825" s="9">
        <f>IF($A1825="","",$F1825&amp;"")</f>
        <v/>
      </c>
    </row>
    <row r="1826">
      <c r="A1826" s="75" t="n">
        <v>2025</v>
      </c>
      <c r="B1826" s="75" t="n">
        <v>10</v>
      </c>
      <c r="C1826" s="75" t="inlineStr">
        <is>
          <t>5100001822</t>
        </is>
      </c>
      <c r="D1826" s="78" t="n">
        <v>45941</v>
      </c>
      <c r="E1826" s="75" t="inlineStr">
        <is>
          <t>KR</t>
        </is>
      </c>
      <c r="F1826" s="75" t="n">
        <v>62301000</v>
      </c>
      <c r="G1826" s="75" t="n">
        <v>1201</v>
      </c>
      <c r="H1826" s="76" t="n">
        <v>115000</v>
      </c>
      <c r="I1826" s="75" t="inlineStr">
        <is>
          <t>10월 소모품 구입 - Q오피스</t>
        </is>
      </c>
      <c r="J1826" s="75" t="inlineStr">
        <is>
          <t>V10003</t>
        </is>
      </c>
      <c r="K1826" s="75" t="inlineStr">
        <is>
          <t>Q오피스</t>
        </is>
      </c>
      <c r="M1826" s="9">
        <f>IF($A1826="","",VALUE($A1826&amp;"")*12+VALUE($B1826&amp;""))</f>
        <v/>
      </c>
      <c r="N1826" s="39">
        <f>IF($A1826="","",IFERROR(INDEX(부서매핑!$C$5:$C$504,MATCH($G1826&amp;"",부서매핑!$A$5:$A$504,0)),"미매핑"))</f>
        <v/>
      </c>
      <c r="O1826" s="9">
        <f>IF($A1826="","",N1826&amp;"|"&amp;$F1826)</f>
        <v/>
      </c>
      <c r="P1826" s="77">
        <f>IF($A1826="",0,$H1826*설정!$C$23)</f>
        <v/>
      </c>
      <c r="Q1826" s="39">
        <f>IF($A1826="","",IF(O1826&lt;&gt;원인분석!$C$9,"",IF(AND(M1826&gt;=원인분석!$C$10,M1826&lt;=원인분석!$C$11),"당기",IF(AND(M1826&gt;=원인분석!$C$12,M1826&lt;=원인분석!$C$13),"비교",""))))</f>
        <v/>
      </c>
      <c r="R1826" s="9">
        <f>IF(Q1826="","",$K1826&amp;"")</f>
        <v/>
      </c>
      <c r="S1826" s="9">
        <f>IF(Q1826="","",IF(MATCH(R1826,$R$5:$R$100000,0)=ROW()-4,ROW(),""))</f>
        <v/>
      </c>
      <c r="T1826" s="9">
        <f>IF(Q1826="당기",ABS(P1826)+ROW()/1000000000,"")</f>
        <v/>
      </c>
      <c r="U1826" s="9">
        <f>IF(Q1826="비교",ABS(P1826)+ROW()/1000000000,"")</f>
        <v/>
      </c>
      <c r="V1826" s="39">
        <f>IF($A1826="","",IF(COUNTIF(변동분석!$E$7:$E$506,O1826)&gt;0,"Y","N"))</f>
        <v/>
      </c>
      <c r="W1826" s="39">
        <f>IF($A1826="","",IFERROR(INDEX(계정매핑!$D$5:$D$504,MATCH($F1826&amp;"",계정매핑!$A$5:$A$504,0)),"미매핑"))</f>
        <v/>
      </c>
      <c r="X1826" s="9">
        <f>IF($A1826="","",$F1826&amp;"")</f>
        <v/>
      </c>
    </row>
    <row r="1827">
      <c r="A1827" s="75" t="n">
        <v>2025</v>
      </c>
      <c r="B1827" s="75" t="n">
        <v>10</v>
      </c>
      <c r="C1827" s="75" t="inlineStr">
        <is>
          <t>5100001823</t>
        </is>
      </c>
      <c r="D1827" s="78" t="n">
        <v>45941</v>
      </c>
      <c r="E1827" s="75" t="inlineStr">
        <is>
          <t>KR</t>
        </is>
      </c>
      <c r="F1827" s="75" t="n">
        <v>62301000</v>
      </c>
      <c r="G1827" s="75" t="n">
        <v>1602</v>
      </c>
      <c r="H1827" s="76" t="n">
        <v>345000</v>
      </c>
      <c r="I1827" s="75" t="inlineStr">
        <is>
          <t>10월 소모품 구입 - Q오피스</t>
        </is>
      </c>
      <c r="J1827" s="75" t="inlineStr">
        <is>
          <t>V10003</t>
        </is>
      </c>
      <c r="K1827" s="75" t="inlineStr">
        <is>
          <t>Q오피스</t>
        </is>
      </c>
      <c r="M1827" s="9">
        <f>IF($A1827="","",VALUE($A1827&amp;"")*12+VALUE($B1827&amp;""))</f>
        <v/>
      </c>
      <c r="N1827" s="39">
        <f>IF($A1827="","",IFERROR(INDEX(부서매핑!$C$5:$C$504,MATCH($G1827&amp;"",부서매핑!$A$5:$A$504,0)),"미매핑"))</f>
        <v/>
      </c>
      <c r="O1827" s="9">
        <f>IF($A1827="","",N1827&amp;"|"&amp;$F1827)</f>
        <v/>
      </c>
      <c r="P1827" s="77">
        <f>IF($A1827="",0,$H1827*설정!$C$23)</f>
        <v/>
      </c>
      <c r="Q1827" s="39">
        <f>IF($A1827="","",IF(O1827&lt;&gt;원인분석!$C$9,"",IF(AND(M1827&gt;=원인분석!$C$10,M1827&lt;=원인분석!$C$11),"당기",IF(AND(M1827&gt;=원인분석!$C$12,M1827&lt;=원인분석!$C$13),"비교",""))))</f>
        <v/>
      </c>
      <c r="R1827" s="9">
        <f>IF(Q1827="","",$K1827&amp;"")</f>
        <v/>
      </c>
      <c r="S1827" s="9">
        <f>IF(Q1827="","",IF(MATCH(R1827,$R$5:$R$100000,0)=ROW()-4,ROW(),""))</f>
        <v/>
      </c>
      <c r="T1827" s="9">
        <f>IF(Q1827="당기",ABS(P1827)+ROW()/1000000000,"")</f>
        <v/>
      </c>
      <c r="U1827" s="9">
        <f>IF(Q1827="비교",ABS(P1827)+ROW()/1000000000,"")</f>
        <v/>
      </c>
      <c r="V1827" s="39">
        <f>IF($A1827="","",IF(COUNTIF(변동분석!$E$7:$E$506,O1827)&gt;0,"Y","N"))</f>
        <v/>
      </c>
      <c r="W1827" s="39">
        <f>IF($A1827="","",IFERROR(INDEX(계정매핑!$D$5:$D$504,MATCH($F1827&amp;"",계정매핑!$A$5:$A$504,0)),"미매핑"))</f>
        <v/>
      </c>
      <c r="X1827" s="9">
        <f>IF($A1827="","",$F1827&amp;"")</f>
        <v/>
      </c>
    </row>
    <row r="1828">
      <c r="A1828" s="75" t="n">
        <v>2025</v>
      </c>
      <c r="B1828" s="75" t="n">
        <v>10</v>
      </c>
      <c r="C1828" s="75" t="inlineStr">
        <is>
          <t>5100001824</t>
        </is>
      </c>
      <c r="D1828" s="78" t="n">
        <v>45941</v>
      </c>
      <c r="E1828" s="75" t="inlineStr">
        <is>
          <t>KR</t>
        </is>
      </c>
      <c r="F1828" s="75" t="n">
        <v>62501000</v>
      </c>
      <c r="G1828" s="75" t="n">
        <v>1101</v>
      </c>
      <c r="H1828" s="76" t="n">
        <v>202000</v>
      </c>
      <c r="I1828" s="75" t="inlineStr">
        <is>
          <t>10월 회의 다과 - T케이터링</t>
        </is>
      </c>
      <c r="J1828" s="75" t="inlineStr">
        <is>
          <t>V10005</t>
        </is>
      </c>
      <c r="K1828" s="75" t="inlineStr">
        <is>
          <t>T케이터링</t>
        </is>
      </c>
      <c r="M1828" s="9">
        <f>IF($A1828="","",VALUE($A1828&amp;"")*12+VALUE($B1828&amp;""))</f>
        <v/>
      </c>
      <c r="N1828" s="39">
        <f>IF($A1828="","",IFERROR(INDEX(부서매핑!$C$5:$C$504,MATCH($G1828&amp;"",부서매핑!$A$5:$A$504,0)),"미매핑"))</f>
        <v/>
      </c>
      <c r="O1828" s="9">
        <f>IF($A1828="","",N1828&amp;"|"&amp;$F1828)</f>
        <v/>
      </c>
      <c r="P1828" s="77">
        <f>IF($A1828="",0,$H1828*설정!$C$23)</f>
        <v/>
      </c>
      <c r="Q1828" s="39">
        <f>IF($A1828="","",IF(O1828&lt;&gt;원인분석!$C$9,"",IF(AND(M1828&gt;=원인분석!$C$10,M1828&lt;=원인분석!$C$11),"당기",IF(AND(M1828&gt;=원인분석!$C$12,M1828&lt;=원인분석!$C$13),"비교",""))))</f>
        <v/>
      </c>
      <c r="R1828" s="9">
        <f>IF(Q1828="","",$K1828&amp;"")</f>
        <v/>
      </c>
      <c r="S1828" s="9">
        <f>IF(Q1828="","",IF(MATCH(R1828,$R$5:$R$100000,0)=ROW()-4,ROW(),""))</f>
        <v/>
      </c>
      <c r="T1828" s="9">
        <f>IF(Q1828="당기",ABS(P1828)+ROW()/1000000000,"")</f>
        <v/>
      </c>
      <c r="U1828" s="9">
        <f>IF(Q1828="비교",ABS(P1828)+ROW()/1000000000,"")</f>
        <v/>
      </c>
      <c r="V1828" s="39">
        <f>IF($A1828="","",IF(COUNTIF(변동분석!$E$7:$E$506,O1828)&gt;0,"Y","N"))</f>
        <v/>
      </c>
      <c r="W1828" s="39">
        <f>IF($A1828="","",IFERROR(INDEX(계정매핑!$D$5:$D$504,MATCH($F1828&amp;"",계정매핑!$A$5:$A$504,0)),"미매핑"))</f>
        <v/>
      </c>
      <c r="X1828" s="9">
        <f>IF($A1828="","",$F1828&amp;"")</f>
        <v/>
      </c>
    </row>
    <row r="1829">
      <c r="A1829" s="75" t="n">
        <v>2025</v>
      </c>
      <c r="B1829" s="75" t="n">
        <v>10</v>
      </c>
      <c r="C1829" s="75" t="inlineStr">
        <is>
          <t>5100001825</t>
        </is>
      </c>
      <c r="D1829" s="78" t="n">
        <v>45941</v>
      </c>
      <c r="E1829" s="75" t="inlineStr">
        <is>
          <t>KR</t>
        </is>
      </c>
      <c r="F1829" s="75" t="n">
        <v>62501000</v>
      </c>
      <c r="G1829" s="75" t="n">
        <v>1502</v>
      </c>
      <c r="H1829" s="76" t="n">
        <v>299000</v>
      </c>
      <c r="I1829" s="75" t="inlineStr">
        <is>
          <t>10월 회의 다과 - (법인카드)</t>
        </is>
      </c>
      <c r="J1829" s="75" t="inlineStr">
        <is>
          <t>V10008</t>
        </is>
      </c>
      <c r="K1829" s="75" t="inlineStr">
        <is>
          <t>(법인카드)</t>
        </is>
      </c>
      <c r="M1829" s="9">
        <f>IF($A1829="","",VALUE($A1829&amp;"")*12+VALUE($B1829&amp;""))</f>
        <v/>
      </c>
      <c r="N1829" s="39">
        <f>IF($A1829="","",IFERROR(INDEX(부서매핑!$C$5:$C$504,MATCH($G1829&amp;"",부서매핑!$A$5:$A$504,0)),"미매핑"))</f>
        <v/>
      </c>
      <c r="O1829" s="9">
        <f>IF($A1829="","",N1829&amp;"|"&amp;$F1829)</f>
        <v/>
      </c>
      <c r="P1829" s="77">
        <f>IF($A1829="",0,$H1829*설정!$C$23)</f>
        <v/>
      </c>
      <c r="Q1829" s="39">
        <f>IF($A1829="","",IF(O1829&lt;&gt;원인분석!$C$9,"",IF(AND(M1829&gt;=원인분석!$C$10,M1829&lt;=원인분석!$C$11),"당기",IF(AND(M1829&gt;=원인분석!$C$12,M1829&lt;=원인분석!$C$13),"비교",""))))</f>
        <v/>
      </c>
      <c r="R1829" s="9">
        <f>IF(Q1829="","",$K1829&amp;"")</f>
        <v/>
      </c>
      <c r="S1829" s="9">
        <f>IF(Q1829="","",IF(MATCH(R1829,$R$5:$R$100000,0)=ROW()-4,ROW(),""))</f>
        <v/>
      </c>
      <c r="T1829" s="9">
        <f>IF(Q1829="당기",ABS(P1829)+ROW()/1000000000,"")</f>
        <v/>
      </c>
      <c r="U1829" s="9">
        <f>IF(Q1829="비교",ABS(P1829)+ROW()/1000000000,"")</f>
        <v/>
      </c>
      <c r="V1829" s="39">
        <f>IF($A1829="","",IF(COUNTIF(변동분석!$E$7:$E$506,O1829)&gt;0,"Y","N"))</f>
        <v/>
      </c>
      <c r="W1829" s="39">
        <f>IF($A1829="","",IFERROR(INDEX(계정매핑!$D$5:$D$504,MATCH($F1829&amp;"",계정매핑!$A$5:$A$504,0)),"미매핑"))</f>
        <v/>
      </c>
      <c r="X1829" s="9">
        <f>IF($A1829="","",$F1829&amp;"")</f>
        <v/>
      </c>
    </row>
    <row r="1830">
      <c r="A1830" s="75" t="n">
        <v>2025</v>
      </c>
      <c r="B1830" s="75" t="n">
        <v>10</v>
      </c>
      <c r="C1830" s="75" t="inlineStr">
        <is>
          <t>5100001826</t>
        </is>
      </c>
      <c r="D1830" s="78" t="n">
        <v>45941</v>
      </c>
      <c r="E1830" s="75" t="inlineStr">
        <is>
          <t>KR</t>
        </is>
      </c>
      <c r="F1830" s="75" t="n">
        <v>62501000</v>
      </c>
      <c r="G1830" s="75" t="n">
        <v>1801</v>
      </c>
      <c r="H1830" s="76" t="n">
        <v>85000</v>
      </c>
      <c r="I1830" s="75" t="inlineStr">
        <is>
          <t>10월 회의 다과 - T케이터링</t>
        </is>
      </c>
      <c r="J1830" s="75" t="inlineStr">
        <is>
          <t>V10005</t>
        </is>
      </c>
      <c r="K1830" s="75" t="inlineStr">
        <is>
          <t>T케이터링</t>
        </is>
      </c>
      <c r="M1830" s="9">
        <f>IF($A1830="","",VALUE($A1830&amp;"")*12+VALUE($B1830&amp;""))</f>
        <v/>
      </c>
      <c r="N1830" s="39">
        <f>IF($A1830="","",IFERROR(INDEX(부서매핑!$C$5:$C$504,MATCH($G1830&amp;"",부서매핑!$A$5:$A$504,0)),"미매핑"))</f>
        <v/>
      </c>
      <c r="O1830" s="9">
        <f>IF($A1830="","",N1830&amp;"|"&amp;$F1830)</f>
        <v/>
      </c>
      <c r="P1830" s="77">
        <f>IF($A1830="",0,$H1830*설정!$C$23)</f>
        <v/>
      </c>
      <c r="Q1830" s="39">
        <f>IF($A1830="","",IF(O1830&lt;&gt;원인분석!$C$9,"",IF(AND(M1830&gt;=원인분석!$C$10,M1830&lt;=원인분석!$C$11),"당기",IF(AND(M1830&gt;=원인분석!$C$12,M1830&lt;=원인분석!$C$13),"비교",""))))</f>
        <v/>
      </c>
      <c r="R1830" s="9">
        <f>IF(Q1830="","",$K1830&amp;"")</f>
        <v/>
      </c>
      <c r="S1830" s="9">
        <f>IF(Q1830="","",IF(MATCH(R1830,$R$5:$R$100000,0)=ROW()-4,ROW(),""))</f>
        <v/>
      </c>
      <c r="T1830" s="9">
        <f>IF(Q1830="당기",ABS(P1830)+ROW()/1000000000,"")</f>
        <v/>
      </c>
      <c r="U1830" s="9">
        <f>IF(Q1830="비교",ABS(P1830)+ROW()/1000000000,"")</f>
        <v/>
      </c>
      <c r="V1830" s="39">
        <f>IF($A1830="","",IF(COUNTIF(변동분석!$E$7:$E$506,O1830)&gt;0,"Y","N"))</f>
        <v/>
      </c>
      <c r="W1830" s="39">
        <f>IF($A1830="","",IFERROR(INDEX(계정매핑!$D$5:$D$504,MATCH($F1830&amp;"",계정매핑!$A$5:$A$504,0)),"미매핑"))</f>
        <v/>
      </c>
      <c r="X1830" s="9">
        <f>IF($A1830="","",$F1830&amp;"")</f>
        <v/>
      </c>
    </row>
    <row r="1831">
      <c r="A1831" s="75" t="n">
        <v>2025</v>
      </c>
      <c r="B1831" s="75" t="n">
        <v>10</v>
      </c>
      <c r="C1831" s="75" t="inlineStr">
        <is>
          <t>5100001827</t>
        </is>
      </c>
      <c r="D1831" s="78" t="n">
        <v>45941</v>
      </c>
      <c r="E1831" s="75" t="inlineStr">
        <is>
          <t>KR</t>
        </is>
      </c>
      <c r="F1831" s="75" t="n">
        <v>63101000</v>
      </c>
      <c r="G1831" s="75" t="n">
        <v>1601</v>
      </c>
      <c r="H1831" s="76" t="n">
        <v>9212000</v>
      </c>
      <c r="I1831" s="75" t="inlineStr">
        <is>
          <t>10월 사무실 임차료 - BB부동산</t>
        </is>
      </c>
      <c r="J1831" s="75" t="inlineStr">
        <is>
          <t>V10024</t>
        </is>
      </c>
      <c r="K1831" s="75" t="inlineStr">
        <is>
          <t>BB부동산</t>
        </is>
      </c>
      <c r="M1831" s="9">
        <f>IF($A1831="","",VALUE($A1831&amp;"")*12+VALUE($B1831&amp;""))</f>
        <v/>
      </c>
      <c r="N1831" s="39">
        <f>IF($A1831="","",IFERROR(INDEX(부서매핑!$C$5:$C$504,MATCH($G1831&amp;"",부서매핑!$A$5:$A$504,0)),"미매핑"))</f>
        <v/>
      </c>
      <c r="O1831" s="9">
        <f>IF($A1831="","",N1831&amp;"|"&amp;$F1831)</f>
        <v/>
      </c>
      <c r="P1831" s="77">
        <f>IF($A1831="",0,$H1831*설정!$C$23)</f>
        <v/>
      </c>
      <c r="Q1831" s="39">
        <f>IF($A1831="","",IF(O1831&lt;&gt;원인분석!$C$9,"",IF(AND(M1831&gt;=원인분석!$C$10,M1831&lt;=원인분석!$C$11),"당기",IF(AND(M1831&gt;=원인분석!$C$12,M1831&lt;=원인분석!$C$13),"비교",""))))</f>
        <v/>
      </c>
      <c r="R1831" s="9">
        <f>IF(Q1831="","",$K1831&amp;"")</f>
        <v/>
      </c>
      <c r="S1831" s="9">
        <f>IF(Q1831="","",IF(MATCH(R1831,$R$5:$R$100000,0)=ROW()-4,ROW(),""))</f>
        <v/>
      </c>
      <c r="T1831" s="9">
        <f>IF(Q1831="당기",ABS(P1831)+ROW()/1000000000,"")</f>
        <v/>
      </c>
      <c r="U1831" s="9">
        <f>IF(Q1831="비교",ABS(P1831)+ROW()/1000000000,"")</f>
        <v/>
      </c>
      <c r="V1831" s="39">
        <f>IF($A1831="","",IF(COUNTIF(변동분석!$E$7:$E$506,O1831)&gt;0,"Y","N"))</f>
        <v/>
      </c>
      <c r="W1831" s="39">
        <f>IF($A1831="","",IFERROR(INDEX(계정매핑!$D$5:$D$504,MATCH($F1831&amp;"",계정매핑!$A$5:$A$504,0)),"미매핑"))</f>
        <v/>
      </c>
      <c r="X1831" s="9">
        <f>IF($A1831="","",$F1831&amp;"")</f>
        <v/>
      </c>
    </row>
    <row r="1832">
      <c r="A1832" s="75" t="n">
        <v>2025</v>
      </c>
      <c r="B1832" s="75" t="n">
        <v>10</v>
      </c>
      <c r="C1832" s="75" t="inlineStr">
        <is>
          <t>5100001828</t>
        </is>
      </c>
      <c r="D1832" s="78" t="n">
        <v>45942</v>
      </c>
      <c r="E1832" s="75" t="inlineStr">
        <is>
          <t>KR</t>
        </is>
      </c>
      <c r="F1832" s="75" t="n">
        <v>62101000</v>
      </c>
      <c r="G1832" s="75" t="n">
        <v>1201</v>
      </c>
      <c r="H1832" s="76" t="n">
        <v>317000</v>
      </c>
      <c r="I1832" s="75" t="inlineStr">
        <is>
          <t>10월 국내출장 - (법인카드)</t>
        </is>
      </c>
      <c r="J1832" s="75" t="inlineStr">
        <is>
          <t>V10008</t>
        </is>
      </c>
      <c r="K1832" s="75" t="inlineStr">
        <is>
          <t>(법인카드)</t>
        </is>
      </c>
      <c r="M1832" s="9">
        <f>IF($A1832="","",VALUE($A1832&amp;"")*12+VALUE($B1832&amp;""))</f>
        <v/>
      </c>
      <c r="N1832" s="39">
        <f>IF($A1832="","",IFERROR(INDEX(부서매핑!$C$5:$C$504,MATCH($G1832&amp;"",부서매핑!$A$5:$A$504,0)),"미매핑"))</f>
        <v/>
      </c>
      <c r="O1832" s="9">
        <f>IF($A1832="","",N1832&amp;"|"&amp;$F1832)</f>
        <v/>
      </c>
      <c r="P1832" s="77">
        <f>IF($A1832="",0,$H1832*설정!$C$23)</f>
        <v/>
      </c>
      <c r="Q1832" s="39">
        <f>IF($A1832="","",IF(O1832&lt;&gt;원인분석!$C$9,"",IF(AND(M1832&gt;=원인분석!$C$10,M1832&lt;=원인분석!$C$11),"당기",IF(AND(M1832&gt;=원인분석!$C$12,M1832&lt;=원인분석!$C$13),"비교",""))))</f>
        <v/>
      </c>
      <c r="R1832" s="9">
        <f>IF(Q1832="","",$K1832&amp;"")</f>
        <v/>
      </c>
      <c r="S1832" s="9">
        <f>IF(Q1832="","",IF(MATCH(R1832,$R$5:$R$100000,0)=ROW()-4,ROW(),""))</f>
        <v/>
      </c>
      <c r="T1832" s="9">
        <f>IF(Q1832="당기",ABS(P1832)+ROW()/1000000000,"")</f>
        <v/>
      </c>
      <c r="U1832" s="9">
        <f>IF(Q1832="비교",ABS(P1832)+ROW()/1000000000,"")</f>
        <v/>
      </c>
      <c r="V1832" s="39">
        <f>IF($A1832="","",IF(COUNTIF(변동분석!$E$7:$E$506,O1832)&gt;0,"Y","N"))</f>
        <v/>
      </c>
      <c r="W1832" s="39">
        <f>IF($A1832="","",IFERROR(INDEX(계정매핑!$D$5:$D$504,MATCH($F1832&amp;"",계정매핑!$A$5:$A$504,0)),"미매핑"))</f>
        <v/>
      </c>
      <c r="X1832" s="9">
        <f>IF($A1832="","",$F1832&amp;"")</f>
        <v/>
      </c>
    </row>
    <row r="1833">
      <c r="A1833" s="75" t="n">
        <v>2025</v>
      </c>
      <c r="B1833" s="75" t="n">
        <v>10</v>
      </c>
      <c r="C1833" s="75" t="inlineStr">
        <is>
          <t>5100001829</t>
        </is>
      </c>
      <c r="D1833" s="78" t="n">
        <v>45942</v>
      </c>
      <c r="E1833" s="75" t="inlineStr">
        <is>
          <t>KR</t>
        </is>
      </c>
      <c r="F1833" s="75" t="n">
        <v>62101000</v>
      </c>
      <c r="G1833" s="75" t="n">
        <v>1701</v>
      </c>
      <c r="H1833" s="76" t="n">
        <v>192000</v>
      </c>
      <c r="I1833" s="75" t="inlineStr">
        <is>
          <t>10월 국내출장 - L여행사</t>
        </is>
      </c>
      <c r="J1833" s="75" t="inlineStr">
        <is>
          <t>V10014</t>
        </is>
      </c>
      <c r="K1833" s="75" t="inlineStr">
        <is>
          <t>L여행사</t>
        </is>
      </c>
      <c r="M1833" s="9">
        <f>IF($A1833="","",VALUE($A1833&amp;"")*12+VALUE($B1833&amp;""))</f>
        <v/>
      </c>
      <c r="N1833" s="39">
        <f>IF($A1833="","",IFERROR(INDEX(부서매핑!$C$5:$C$504,MATCH($G1833&amp;"",부서매핑!$A$5:$A$504,0)),"미매핑"))</f>
        <v/>
      </c>
      <c r="O1833" s="9">
        <f>IF($A1833="","",N1833&amp;"|"&amp;$F1833)</f>
        <v/>
      </c>
      <c r="P1833" s="77">
        <f>IF($A1833="",0,$H1833*설정!$C$23)</f>
        <v/>
      </c>
      <c r="Q1833" s="39">
        <f>IF($A1833="","",IF(O1833&lt;&gt;원인분석!$C$9,"",IF(AND(M1833&gt;=원인분석!$C$10,M1833&lt;=원인분석!$C$11),"당기",IF(AND(M1833&gt;=원인분석!$C$12,M1833&lt;=원인분석!$C$13),"비교",""))))</f>
        <v/>
      </c>
      <c r="R1833" s="9">
        <f>IF(Q1833="","",$K1833&amp;"")</f>
        <v/>
      </c>
      <c r="S1833" s="9">
        <f>IF(Q1833="","",IF(MATCH(R1833,$R$5:$R$100000,0)=ROW()-4,ROW(),""))</f>
        <v/>
      </c>
      <c r="T1833" s="9">
        <f>IF(Q1833="당기",ABS(P1833)+ROW()/1000000000,"")</f>
        <v/>
      </c>
      <c r="U1833" s="9">
        <f>IF(Q1833="비교",ABS(P1833)+ROW()/1000000000,"")</f>
        <v/>
      </c>
      <c r="V1833" s="39">
        <f>IF($A1833="","",IF(COUNTIF(변동분석!$E$7:$E$506,O1833)&gt;0,"Y","N"))</f>
        <v/>
      </c>
      <c r="W1833" s="39">
        <f>IF($A1833="","",IFERROR(INDEX(계정매핑!$D$5:$D$504,MATCH($F1833&amp;"",계정매핑!$A$5:$A$504,0)),"미매핑"))</f>
        <v/>
      </c>
      <c r="X1833" s="9">
        <f>IF($A1833="","",$F1833&amp;"")</f>
        <v/>
      </c>
    </row>
    <row r="1834">
      <c r="A1834" s="75" t="n">
        <v>2025</v>
      </c>
      <c r="B1834" s="75" t="n">
        <v>10</v>
      </c>
      <c r="C1834" s="75" t="inlineStr">
        <is>
          <t>5100001830</t>
        </is>
      </c>
      <c r="D1834" s="78" t="n">
        <v>45942</v>
      </c>
      <c r="E1834" s="75" t="inlineStr">
        <is>
          <t>KR</t>
        </is>
      </c>
      <c r="F1834" s="75" t="n">
        <v>62201000</v>
      </c>
      <c r="G1834" s="75" t="n">
        <v>1401</v>
      </c>
      <c r="H1834" s="76" t="n">
        <v>196000</v>
      </c>
      <c r="I1834" s="75" t="inlineStr">
        <is>
          <t>10월 통신요금 - O텔레콤</t>
        </is>
      </c>
      <c r="J1834" s="75" t="inlineStr">
        <is>
          <t>V10002</t>
        </is>
      </c>
      <c r="K1834" s="75" t="inlineStr">
        <is>
          <t>O텔레콤</t>
        </is>
      </c>
      <c r="M1834" s="9">
        <f>IF($A1834="","",VALUE($A1834&amp;"")*12+VALUE($B1834&amp;""))</f>
        <v/>
      </c>
      <c r="N1834" s="39">
        <f>IF($A1834="","",IFERROR(INDEX(부서매핑!$C$5:$C$504,MATCH($G1834&amp;"",부서매핑!$A$5:$A$504,0)),"미매핑"))</f>
        <v/>
      </c>
      <c r="O1834" s="9">
        <f>IF($A1834="","",N1834&amp;"|"&amp;$F1834)</f>
        <v/>
      </c>
      <c r="P1834" s="77">
        <f>IF($A1834="",0,$H1834*설정!$C$23)</f>
        <v/>
      </c>
      <c r="Q1834" s="39">
        <f>IF($A1834="","",IF(O1834&lt;&gt;원인분석!$C$9,"",IF(AND(M1834&gt;=원인분석!$C$10,M1834&lt;=원인분석!$C$11),"당기",IF(AND(M1834&gt;=원인분석!$C$12,M1834&lt;=원인분석!$C$13),"비교",""))))</f>
        <v/>
      </c>
      <c r="R1834" s="9">
        <f>IF(Q1834="","",$K1834&amp;"")</f>
        <v/>
      </c>
      <c r="S1834" s="9">
        <f>IF(Q1834="","",IF(MATCH(R1834,$R$5:$R$100000,0)=ROW()-4,ROW(),""))</f>
        <v/>
      </c>
      <c r="T1834" s="9">
        <f>IF(Q1834="당기",ABS(P1834)+ROW()/1000000000,"")</f>
        <v/>
      </c>
      <c r="U1834" s="9">
        <f>IF(Q1834="비교",ABS(P1834)+ROW()/1000000000,"")</f>
        <v/>
      </c>
      <c r="V1834" s="39">
        <f>IF($A1834="","",IF(COUNTIF(변동분석!$E$7:$E$506,O1834)&gt;0,"Y","N"))</f>
        <v/>
      </c>
      <c r="W1834" s="39">
        <f>IF($A1834="","",IFERROR(INDEX(계정매핑!$D$5:$D$504,MATCH($F1834&amp;"",계정매핑!$A$5:$A$504,0)),"미매핑"))</f>
        <v/>
      </c>
      <c r="X1834" s="9">
        <f>IF($A1834="","",$F1834&amp;"")</f>
        <v/>
      </c>
    </row>
    <row r="1835">
      <c r="A1835" s="75" t="n">
        <v>2025</v>
      </c>
      <c r="B1835" s="75" t="n">
        <v>10</v>
      </c>
      <c r="C1835" s="75" t="inlineStr">
        <is>
          <t>5100001831</t>
        </is>
      </c>
      <c r="D1835" s="78" t="n">
        <v>45942</v>
      </c>
      <c r="E1835" s="75" t="inlineStr">
        <is>
          <t>KR</t>
        </is>
      </c>
      <c r="F1835" s="75" t="n">
        <v>62301000</v>
      </c>
      <c r="G1835" s="75" t="n">
        <v>1502</v>
      </c>
      <c r="H1835" s="76" t="n">
        <v>290000</v>
      </c>
      <c r="I1835" s="75" t="inlineStr">
        <is>
          <t>10월 소모품 구입 - R문구</t>
        </is>
      </c>
      <c r="J1835" s="75" t="inlineStr">
        <is>
          <t>V10018</t>
        </is>
      </c>
      <c r="K1835" s="75" t="inlineStr">
        <is>
          <t>R문구</t>
        </is>
      </c>
      <c r="M1835" s="9">
        <f>IF($A1835="","",VALUE($A1835&amp;"")*12+VALUE($B1835&amp;""))</f>
        <v/>
      </c>
      <c r="N1835" s="39">
        <f>IF($A1835="","",IFERROR(INDEX(부서매핑!$C$5:$C$504,MATCH($G1835&amp;"",부서매핑!$A$5:$A$504,0)),"미매핑"))</f>
        <v/>
      </c>
      <c r="O1835" s="9">
        <f>IF($A1835="","",N1835&amp;"|"&amp;$F1835)</f>
        <v/>
      </c>
      <c r="P1835" s="77">
        <f>IF($A1835="",0,$H1835*설정!$C$23)</f>
        <v/>
      </c>
      <c r="Q1835" s="39">
        <f>IF($A1835="","",IF(O1835&lt;&gt;원인분석!$C$9,"",IF(AND(M1835&gt;=원인분석!$C$10,M1835&lt;=원인분석!$C$11),"당기",IF(AND(M1835&gt;=원인분석!$C$12,M1835&lt;=원인분석!$C$13),"비교",""))))</f>
        <v/>
      </c>
      <c r="R1835" s="9">
        <f>IF(Q1835="","",$K1835&amp;"")</f>
        <v/>
      </c>
      <c r="S1835" s="9">
        <f>IF(Q1835="","",IF(MATCH(R1835,$R$5:$R$100000,0)=ROW()-4,ROW(),""))</f>
        <v/>
      </c>
      <c r="T1835" s="9">
        <f>IF(Q1835="당기",ABS(P1835)+ROW()/1000000000,"")</f>
        <v/>
      </c>
      <c r="U1835" s="9">
        <f>IF(Q1835="비교",ABS(P1835)+ROW()/1000000000,"")</f>
        <v/>
      </c>
      <c r="V1835" s="39">
        <f>IF($A1835="","",IF(COUNTIF(변동분석!$E$7:$E$506,O1835)&gt;0,"Y","N"))</f>
        <v/>
      </c>
      <c r="W1835" s="39">
        <f>IF($A1835="","",IFERROR(INDEX(계정매핑!$D$5:$D$504,MATCH($F1835&amp;"",계정매핑!$A$5:$A$504,0)),"미매핑"))</f>
        <v/>
      </c>
      <c r="X1835" s="9">
        <f>IF($A1835="","",$F1835&amp;"")</f>
        <v/>
      </c>
    </row>
    <row r="1836">
      <c r="A1836" s="75" t="n">
        <v>2025</v>
      </c>
      <c r="B1836" s="75" t="n">
        <v>10</v>
      </c>
      <c r="C1836" s="75" t="inlineStr">
        <is>
          <t>5100001832</t>
        </is>
      </c>
      <c r="D1836" s="78" t="n">
        <v>45942</v>
      </c>
      <c r="E1836" s="75" t="inlineStr">
        <is>
          <t>KR</t>
        </is>
      </c>
      <c r="F1836" s="75" t="n">
        <v>62401000</v>
      </c>
      <c r="G1836" s="75" t="n">
        <v>1801</v>
      </c>
      <c r="H1836" s="76" t="n">
        <v>4209000</v>
      </c>
      <c r="I1836" s="75" t="inlineStr">
        <is>
          <t>10월 인쇄물 제작 - S출판</t>
        </is>
      </c>
      <c r="J1836" s="75" t="inlineStr">
        <is>
          <t>V10012</t>
        </is>
      </c>
      <c r="K1836" s="75" t="inlineStr">
        <is>
          <t>S출판</t>
        </is>
      </c>
      <c r="M1836" s="9">
        <f>IF($A1836="","",VALUE($A1836&amp;"")*12+VALUE($B1836&amp;""))</f>
        <v/>
      </c>
      <c r="N1836" s="39">
        <f>IF($A1836="","",IFERROR(INDEX(부서매핑!$C$5:$C$504,MATCH($G1836&amp;"",부서매핑!$A$5:$A$504,0)),"미매핑"))</f>
        <v/>
      </c>
      <c r="O1836" s="9">
        <f>IF($A1836="","",N1836&amp;"|"&amp;$F1836)</f>
        <v/>
      </c>
      <c r="P1836" s="77">
        <f>IF($A1836="",0,$H1836*설정!$C$23)</f>
        <v/>
      </c>
      <c r="Q1836" s="39">
        <f>IF($A1836="","",IF(O1836&lt;&gt;원인분석!$C$9,"",IF(AND(M1836&gt;=원인분석!$C$10,M1836&lt;=원인분석!$C$11),"당기",IF(AND(M1836&gt;=원인분석!$C$12,M1836&lt;=원인분석!$C$13),"비교",""))))</f>
        <v/>
      </c>
      <c r="R1836" s="9">
        <f>IF(Q1836="","",$K1836&amp;"")</f>
        <v/>
      </c>
      <c r="S1836" s="9">
        <f>IF(Q1836="","",IF(MATCH(R1836,$R$5:$R$100000,0)=ROW()-4,ROW(),""))</f>
        <v/>
      </c>
      <c r="T1836" s="9">
        <f>IF(Q1836="당기",ABS(P1836)+ROW()/1000000000,"")</f>
        <v/>
      </c>
      <c r="U1836" s="9">
        <f>IF(Q1836="비교",ABS(P1836)+ROW()/1000000000,"")</f>
        <v/>
      </c>
      <c r="V1836" s="39">
        <f>IF($A1836="","",IF(COUNTIF(변동분석!$E$7:$E$506,O1836)&gt;0,"Y","N"))</f>
        <v/>
      </c>
      <c r="W1836" s="39">
        <f>IF($A1836="","",IFERROR(INDEX(계정매핑!$D$5:$D$504,MATCH($F1836&amp;"",계정매핑!$A$5:$A$504,0)),"미매핑"))</f>
        <v/>
      </c>
      <c r="X1836" s="9">
        <f>IF($A1836="","",$F1836&amp;"")</f>
        <v/>
      </c>
    </row>
    <row r="1837">
      <c r="A1837" s="75" t="n">
        <v>2025</v>
      </c>
      <c r="B1837" s="75" t="n">
        <v>10</v>
      </c>
      <c r="C1837" s="75" t="inlineStr">
        <is>
          <t>5100001833</t>
        </is>
      </c>
      <c r="D1837" s="78" t="n">
        <v>45942</v>
      </c>
      <c r="E1837" s="75" t="inlineStr">
        <is>
          <t>KR</t>
        </is>
      </c>
      <c r="F1837" s="75" t="n">
        <v>62501000</v>
      </c>
      <c r="G1837" s="75" t="n">
        <v>1201</v>
      </c>
      <c r="H1837" s="76" t="n">
        <v>127000</v>
      </c>
      <c r="I1837" s="75" t="inlineStr">
        <is>
          <t>10월 회의 다과 - T케이터링</t>
        </is>
      </c>
      <c r="J1837" s="75" t="inlineStr">
        <is>
          <t>V10005</t>
        </is>
      </c>
      <c r="K1837" s="75" t="inlineStr">
        <is>
          <t>T케이터링</t>
        </is>
      </c>
      <c r="M1837" s="9">
        <f>IF($A1837="","",VALUE($A1837&amp;"")*12+VALUE($B1837&amp;""))</f>
        <v/>
      </c>
      <c r="N1837" s="39">
        <f>IF($A1837="","",IFERROR(INDEX(부서매핑!$C$5:$C$504,MATCH($G1837&amp;"",부서매핑!$A$5:$A$504,0)),"미매핑"))</f>
        <v/>
      </c>
      <c r="O1837" s="9">
        <f>IF($A1837="","",N1837&amp;"|"&amp;$F1837)</f>
        <v/>
      </c>
      <c r="P1837" s="77">
        <f>IF($A1837="",0,$H1837*설정!$C$23)</f>
        <v/>
      </c>
      <c r="Q1837" s="39">
        <f>IF($A1837="","",IF(O1837&lt;&gt;원인분석!$C$9,"",IF(AND(M1837&gt;=원인분석!$C$10,M1837&lt;=원인분석!$C$11),"당기",IF(AND(M1837&gt;=원인분석!$C$12,M1837&lt;=원인분석!$C$13),"비교",""))))</f>
        <v/>
      </c>
      <c r="R1837" s="9">
        <f>IF(Q1837="","",$K1837&amp;"")</f>
        <v/>
      </c>
      <c r="S1837" s="9">
        <f>IF(Q1837="","",IF(MATCH(R1837,$R$5:$R$100000,0)=ROW()-4,ROW(),""))</f>
        <v/>
      </c>
      <c r="T1837" s="9">
        <f>IF(Q1837="당기",ABS(P1837)+ROW()/1000000000,"")</f>
        <v/>
      </c>
      <c r="U1837" s="9">
        <f>IF(Q1837="비교",ABS(P1837)+ROW()/1000000000,"")</f>
        <v/>
      </c>
      <c r="V1837" s="39">
        <f>IF($A1837="","",IF(COUNTIF(변동분석!$E$7:$E$506,O1837)&gt;0,"Y","N"))</f>
        <v/>
      </c>
      <c r="W1837" s="39">
        <f>IF($A1837="","",IFERROR(INDEX(계정매핑!$D$5:$D$504,MATCH($F1837&amp;"",계정매핑!$A$5:$A$504,0)),"미매핑"))</f>
        <v/>
      </c>
      <c r="X1837" s="9">
        <f>IF($A1837="","",$F1837&amp;"")</f>
        <v/>
      </c>
    </row>
    <row r="1838">
      <c r="A1838" s="75" t="n">
        <v>2025</v>
      </c>
      <c r="B1838" s="75" t="n">
        <v>10</v>
      </c>
      <c r="C1838" s="75" t="inlineStr">
        <is>
          <t>5100001834</t>
        </is>
      </c>
      <c r="D1838" s="78" t="n">
        <v>45942</v>
      </c>
      <c r="E1838" s="75" t="inlineStr">
        <is>
          <t>KR</t>
        </is>
      </c>
      <c r="F1838" s="75" t="n">
        <v>62902000</v>
      </c>
      <c r="G1838" s="75" t="n">
        <v>1201</v>
      </c>
      <c r="H1838" s="76" t="n">
        <v>3810000</v>
      </c>
      <c r="I1838" s="75" t="inlineStr">
        <is>
          <t>10월 업무 위탁 수수료 - J콜센터</t>
        </is>
      </c>
      <c r="J1838" s="75" t="inlineStr">
        <is>
          <t>V10013</t>
        </is>
      </c>
      <c r="K1838" s="75" t="inlineStr">
        <is>
          <t>J콜센터</t>
        </is>
      </c>
      <c r="M1838" s="9">
        <f>IF($A1838="","",VALUE($A1838&amp;"")*12+VALUE($B1838&amp;""))</f>
        <v/>
      </c>
      <c r="N1838" s="39">
        <f>IF($A1838="","",IFERROR(INDEX(부서매핑!$C$5:$C$504,MATCH($G1838&amp;"",부서매핑!$A$5:$A$504,0)),"미매핑"))</f>
        <v/>
      </c>
      <c r="O1838" s="9">
        <f>IF($A1838="","",N1838&amp;"|"&amp;$F1838)</f>
        <v/>
      </c>
      <c r="P1838" s="77">
        <f>IF($A1838="",0,$H1838*설정!$C$23)</f>
        <v/>
      </c>
      <c r="Q1838" s="39">
        <f>IF($A1838="","",IF(O1838&lt;&gt;원인분석!$C$9,"",IF(AND(M1838&gt;=원인분석!$C$10,M1838&lt;=원인분석!$C$11),"당기",IF(AND(M1838&gt;=원인분석!$C$12,M1838&lt;=원인분석!$C$13),"비교",""))))</f>
        <v/>
      </c>
      <c r="R1838" s="9">
        <f>IF(Q1838="","",$K1838&amp;"")</f>
        <v/>
      </c>
      <c r="S1838" s="9">
        <f>IF(Q1838="","",IF(MATCH(R1838,$R$5:$R$100000,0)=ROW()-4,ROW(),""))</f>
        <v/>
      </c>
      <c r="T1838" s="9">
        <f>IF(Q1838="당기",ABS(P1838)+ROW()/1000000000,"")</f>
        <v/>
      </c>
      <c r="U1838" s="9">
        <f>IF(Q1838="비교",ABS(P1838)+ROW()/1000000000,"")</f>
        <v/>
      </c>
      <c r="V1838" s="39">
        <f>IF($A1838="","",IF(COUNTIF(변동분석!$E$7:$E$506,O1838)&gt;0,"Y","N"))</f>
        <v/>
      </c>
      <c r="W1838" s="39">
        <f>IF($A1838="","",IFERROR(INDEX(계정매핑!$D$5:$D$504,MATCH($F1838&amp;"",계정매핑!$A$5:$A$504,0)),"미매핑"))</f>
        <v/>
      </c>
      <c r="X1838" s="9">
        <f>IF($A1838="","",$F1838&amp;"")</f>
        <v/>
      </c>
    </row>
    <row r="1839">
      <c r="A1839" s="75" t="n">
        <v>2025</v>
      </c>
      <c r="B1839" s="75" t="n">
        <v>10</v>
      </c>
      <c r="C1839" s="75" t="inlineStr">
        <is>
          <t>5100001835</t>
        </is>
      </c>
      <c r="D1839" s="78" t="n">
        <v>45943</v>
      </c>
      <c r="E1839" s="75" t="inlineStr">
        <is>
          <t>KR</t>
        </is>
      </c>
      <c r="F1839" s="75" t="n">
        <v>62101000</v>
      </c>
      <c r="G1839" s="75" t="n">
        <v>1101</v>
      </c>
      <c r="H1839" s="76" t="n">
        <v>386000</v>
      </c>
      <c r="I1839" s="75" t="inlineStr">
        <is>
          <t>10월 국내출장 - M항공</t>
        </is>
      </c>
      <c r="J1839" s="75" t="inlineStr">
        <is>
          <t>V10001</t>
        </is>
      </c>
      <c r="K1839" s="75" t="inlineStr">
        <is>
          <t>M항공</t>
        </is>
      </c>
      <c r="M1839" s="9">
        <f>IF($A1839="","",VALUE($A1839&amp;"")*12+VALUE($B1839&amp;""))</f>
        <v/>
      </c>
      <c r="N1839" s="39">
        <f>IF($A1839="","",IFERROR(INDEX(부서매핑!$C$5:$C$504,MATCH($G1839&amp;"",부서매핑!$A$5:$A$504,0)),"미매핑"))</f>
        <v/>
      </c>
      <c r="O1839" s="9">
        <f>IF($A1839="","",N1839&amp;"|"&amp;$F1839)</f>
        <v/>
      </c>
      <c r="P1839" s="77">
        <f>IF($A1839="",0,$H1839*설정!$C$23)</f>
        <v/>
      </c>
      <c r="Q1839" s="39">
        <f>IF($A1839="","",IF(O1839&lt;&gt;원인분석!$C$9,"",IF(AND(M1839&gt;=원인분석!$C$10,M1839&lt;=원인분석!$C$11),"당기",IF(AND(M1839&gt;=원인분석!$C$12,M1839&lt;=원인분석!$C$13),"비교",""))))</f>
        <v/>
      </c>
      <c r="R1839" s="9">
        <f>IF(Q1839="","",$K1839&amp;"")</f>
        <v/>
      </c>
      <c r="S1839" s="9">
        <f>IF(Q1839="","",IF(MATCH(R1839,$R$5:$R$100000,0)=ROW()-4,ROW(),""))</f>
        <v/>
      </c>
      <c r="T1839" s="9">
        <f>IF(Q1839="당기",ABS(P1839)+ROW()/1000000000,"")</f>
        <v/>
      </c>
      <c r="U1839" s="9">
        <f>IF(Q1839="비교",ABS(P1839)+ROW()/1000000000,"")</f>
        <v/>
      </c>
      <c r="V1839" s="39">
        <f>IF($A1839="","",IF(COUNTIF(변동분석!$E$7:$E$506,O1839)&gt;0,"Y","N"))</f>
        <v/>
      </c>
      <c r="W1839" s="39">
        <f>IF($A1839="","",IFERROR(INDEX(계정매핑!$D$5:$D$504,MATCH($F1839&amp;"",계정매핑!$A$5:$A$504,0)),"미매핑"))</f>
        <v/>
      </c>
      <c r="X1839" s="9">
        <f>IF($A1839="","",$F1839&amp;"")</f>
        <v/>
      </c>
    </row>
    <row r="1840">
      <c r="A1840" s="75" t="n">
        <v>2025</v>
      </c>
      <c r="B1840" s="75" t="n">
        <v>10</v>
      </c>
      <c r="C1840" s="75" t="inlineStr">
        <is>
          <t>5100001836</t>
        </is>
      </c>
      <c r="D1840" s="78" t="n">
        <v>45943</v>
      </c>
      <c r="E1840" s="75" t="inlineStr">
        <is>
          <t>KR</t>
        </is>
      </c>
      <c r="F1840" s="75" t="n">
        <v>62101000</v>
      </c>
      <c r="G1840" s="75" t="n">
        <v>1301</v>
      </c>
      <c r="H1840" s="76" t="n">
        <v>439000</v>
      </c>
      <c r="I1840" s="75" t="inlineStr">
        <is>
          <t>10월 국내출장 - L여행사</t>
        </is>
      </c>
      <c r="J1840" s="75" t="inlineStr">
        <is>
          <t>V10014</t>
        </is>
      </c>
      <c r="K1840" s="75" t="inlineStr">
        <is>
          <t>L여행사</t>
        </is>
      </c>
      <c r="M1840" s="9">
        <f>IF($A1840="","",VALUE($A1840&amp;"")*12+VALUE($B1840&amp;""))</f>
        <v/>
      </c>
      <c r="N1840" s="39">
        <f>IF($A1840="","",IFERROR(INDEX(부서매핑!$C$5:$C$504,MATCH($G1840&amp;"",부서매핑!$A$5:$A$504,0)),"미매핑"))</f>
        <v/>
      </c>
      <c r="O1840" s="9">
        <f>IF($A1840="","",N1840&amp;"|"&amp;$F1840)</f>
        <v/>
      </c>
      <c r="P1840" s="77">
        <f>IF($A1840="",0,$H1840*설정!$C$23)</f>
        <v/>
      </c>
      <c r="Q1840" s="39">
        <f>IF($A1840="","",IF(O1840&lt;&gt;원인분석!$C$9,"",IF(AND(M1840&gt;=원인분석!$C$10,M1840&lt;=원인분석!$C$11),"당기",IF(AND(M1840&gt;=원인분석!$C$12,M1840&lt;=원인분석!$C$13),"비교",""))))</f>
        <v/>
      </c>
      <c r="R1840" s="9">
        <f>IF(Q1840="","",$K1840&amp;"")</f>
        <v/>
      </c>
      <c r="S1840" s="9">
        <f>IF(Q1840="","",IF(MATCH(R1840,$R$5:$R$100000,0)=ROW()-4,ROW(),""))</f>
        <v/>
      </c>
      <c r="T1840" s="9">
        <f>IF(Q1840="당기",ABS(P1840)+ROW()/1000000000,"")</f>
        <v/>
      </c>
      <c r="U1840" s="9">
        <f>IF(Q1840="비교",ABS(P1840)+ROW()/1000000000,"")</f>
        <v/>
      </c>
      <c r="V1840" s="39">
        <f>IF($A1840="","",IF(COUNTIF(변동분석!$E$7:$E$506,O1840)&gt;0,"Y","N"))</f>
        <v/>
      </c>
      <c r="W1840" s="39">
        <f>IF($A1840="","",IFERROR(INDEX(계정매핑!$D$5:$D$504,MATCH($F1840&amp;"",계정매핑!$A$5:$A$504,0)),"미매핑"))</f>
        <v/>
      </c>
      <c r="X1840" s="9">
        <f>IF($A1840="","",$F1840&amp;"")</f>
        <v/>
      </c>
    </row>
    <row r="1841">
      <c r="A1841" s="75" t="n">
        <v>2025</v>
      </c>
      <c r="B1841" s="75" t="n">
        <v>10</v>
      </c>
      <c r="C1841" s="75" t="inlineStr">
        <is>
          <t>5100001837</t>
        </is>
      </c>
      <c r="D1841" s="78" t="n">
        <v>45943</v>
      </c>
      <c r="E1841" s="75" t="inlineStr">
        <is>
          <t>KR</t>
        </is>
      </c>
      <c r="F1841" s="75" t="n">
        <v>62101000</v>
      </c>
      <c r="G1841" s="75" t="n">
        <v>1301</v>
      </c>
      <c r="H1841" s="76" t="n">
        <v>265000</v>
      </c>
      <c r="I1841" s="75" t="inlineStr">
        <is>
          <t>10월 국내출장 - L여행사</t>
        </is>
      </c>
      <c r="J1841" s="75" t="inlineStr">
        <is>
          <t>V10014</t>
        </is>
      </c>
      <c r="K1841" s="75" t="inlineStr">
        <is>
          <t>L여행사</t>
        </is>
      </c>
      <c r="M1841" s="9">
        <f>IF($A1841="","",VALUE($A1841&amp;"")*12+VALUE($B1841&amp;""))</f>
        <v/>
      </c>
      <c r="N1841" s="39">
        <f>IF($A1841="","",IFERROR(INDEX(부서매핑!$C$5:$C$504,MATCH($G1841&amp;"",부서매핑!$A$5:$A$504,0)),"미매핑"))</f>
        <v/>
      </c>
      <c r="O1841" s="9">
        <f>IF($A1841="","",N1841&amp;"|"&amp;$F1841)</f>
        <v/>
      </c>
      <c r="P1841" s="77">
        <f>IF($A1841="",0,$H1841*설정!$C$23)</f>
        <v/>
      </c>
      <c r="Q1841" s="39">
        <f>IF($A1841="","",IF(O1841&lt;&gt;원인분석!$C$9,"",IF(AND(M1841&gt;=원인분석!$C$10,M1841&lt;=원인분석!$C$11),"당기",IF(AND(M1841&gt;=원인분석!$C$12,M1841&lt;=원인분석!$C$13),"비교",""))))</f>
        <v/>
      </c>
      <c r="R1841" s="9">
        <f>IF(Q1841="","",$K1841&amp;"")</f>
        <v/>
      </c>
      <c r="S1841" s="9">
        <f>IF(Q1841="","",IF(MATCH(R1841,$R$5:$R$100000,0)=ROW()-4,ROW(),""))</f>
        <v/>
      </c>
      <c r="T1841" s="9">
        <f>IF(Q1841="당기",ABS(P1841)+ROW()/1000000000,"")</f>
        <v/>
      </c>
      <c r="U1841" s="9">
        <f>IF(Q1841="비교",ABS(P1841)+ROW()/1000000000,"")</f>
        <v/>
      </c>
      <c r="V1841" s="39">
        <f>IF($A1841="","",IF(COUNTIF(변동분석!$E$7:$E$506,O1841)&gt;0,"Y","N"))</f>
        <v/>
      </c>
      <c r="W1841" s="39">
        <f>IF($A1841="","",IFERROR(INDEX(계정매핑!$D$5:$D$504,MATCH($F1841&amp;"",계정매핑!$A$5:$A$504,0)),"미매핑"))</f>
        <v/>
      </c>
      <c r="X1841" s="9">
        <f>IF($A1841="","",$F1841&amp;"")</f>
        <v/>
      </c>
    </row>
    <row r="1842">
      <c r="A1842" s="75" t="n">
        <v>2025</v>
      </c>
      <c r="B1842" s="75" t="n">
        <v>10</v>
      </c>
      <c r="C1842" s="75" t="inlineStr">
        <is>
          <t>5100001838</t>
        </is>
      </c>
      <c r="D1842" s="78" t="n">
        <v>45943</v>
      </c>
      <c r="E1842" s="75" t="inlineStr">
        <is>
          <t>KR</t>
        </is>
      </c>
      <c r="F1842" s="75" t="n">
        <v>62101000</v>
      </c>
      <c r="G1842" s="75" t="n">
        <v>1301</v>
      </c>
      <c r="H1842" s="76" t="n">
        <v>207000</v>
      </c>
      <c r="I1842" s="75" t="inlineStr">
        <is>
          <t>10월 국내출장 - (법인카드)</t>
        </is>
      </c>
      <c r="J1842" s="75" t="inlineStr">
        <is>
          <t>V10008</t>
        </is>
      </c>
      <c r="K1842" s="75" t="inlineStr">
        <is>
          <t>(법인카드)</t>
        </is>
      </c>
      <c r="M1842" s="9">
        <f>IF($A1842="","",VALUE($A1842&amp;"")*12+VALUE($B1842&amp;""))</f>
        <v/>
      </c>
      <c r="N1842" s="39">
        <f>IF($A1842="","",IFERROR(INDEX(부서매핑!$C$5:$C$504,MATCH($G1842&amp;"",부서매핑!$A$5:$A$504,0)),"미매핑"))</f>
        <v/>
      </c>
      <c r="O1842" s="9">
        <f>IF($A1842="","",N1842&amp;"|"&amp;$F1842)</f>
        <v/>
      </c>
      <c r="P1842" s="77">
        <f>IF($A1842="",0,$H1842*설정!$C$23)</f>
        <v/>
      </c>
      <c r="Q1842" s="39">
        <f>IF($A1842="","",IF(O1842&lt;&gt;원인분석!$C$9,"",IF(AND(M1842&gt;=원인분석!$C$10,M1842&lt;=원인분석!$C$11),"당기",IF(AND(M1842&gt;=원인분석!$C$12,M1842&lt;=원인분석!$C$13),"비교",""))))</f>
        <v/>
      </c>
      <c r="R1842" s="9">
        <f>IF(Q1842="","",$K1842&amp;"")</f>
        <v/>
      </c>
      <c r="S1842" s="9">
        <f>IF(Q1842="","",IF(MATCH(R1842,$R$5:$R$100000,0)=ROW()-4,ROW(),""))</f>
        <v/>
      </c>
      <c r="T1842" s="9">
        <f>IF(Q1842="당기",ABS(P1842)+ROW()/1000000000,"")</f>
        <v/>
      </c>
      <c r="U1842" s="9">
        <f>IF(Q1842="비교",ABS(P1842)+ROW()/1000000000,"")</f>
        <v/>
      </c>
      <c r="V1842" s="39">
        <f>IF($A1842="","",IF(COUNTIF(변동분석!$E$7:$E$506,O1842)&gt;0,"Y","N"))</f>
        <v/>
      </c>
      <c r="W1842" s="39">
        <f>IF($A1842="","",IFERROR(INDEX(계정매핑!$D$5:$D$504,MATCH($F1842&amp;"",계정매핑!$A$5:$A$504,0)),"미매핑"))</f>
        <v/>
      </c>
      <c r="X1842" s="9">
        <f>IF($A1842="","",$F1842&amp;"")</f>
        <v/>
      </c>
    </row>
    <row r="1843">
      <c r="A1843" s="75" t="n">
        <v>2025</v>
      </c>
      <c r="B1843" s="75" t="n">
        <v>10</v>
      </c>
      <c r="C1843" s="75" t="inlineStr">
        <is>
          <t>5100001839</t>
        </is>
      </c>
      <c r="D1843" s="78" t="n">
        <v>45943</v>
      </c>
      <c r="E1843" s="75" t="inlineStr">
        <is>
          <t>KR</t>
        </is>
      </c>
      <c r="F1843" s="75" t="n">
        <v>62101000</v>
      </c>
      <c r="G1843" s="75" t="n">
        <v>1701</v>
      </c>
      <c r="H1843" s="76" t="n">
        <v>199000</v>
      </c>
      <c r="I1843" s="75" t="inlineStr">
        <is>
          <t>10월 국내출장 - M항공</t>
        </is>
      </c>
      <c r="J1843" s="75" t="inlineStr">
        <is>
          <t>V10001</t>
        </is>
      </c>
      <c r="K1843" s="75" t="inlineStr">
        <is>
          <t>M항공</t>
        </is>
      </c>
      <c r="M1843" s="9">
        <f>IF($A1843="","",VALUE($A1843&amp;"")*12+VALUE($B1843&amp;""))</f>
        <v/>
      </c>
      <c r="N1843" s="39">
        <f>IF($A1843="","",IFERROR(INDEX(부서매핑!$C$5:$C$504,MATCH($G1843&amp;"",부서매핑!$A$5:$A$504,0)),"미매핑"))</f>
        <v/>
      </c>
      <c r="O1843" s="9">
        <f>IF($A1843="","",N1843&amp;"|"&amp;$F1843)</f>
        <v/>
      </c>
      <c r="P1843" s="77">
        <f>IF($A1843="",0,$H1843*설정!$C$23)</f>
        <v/>
      </c>
      <c r="Q1843" s="39">
        <f>IF($A1843="","",IF(O1843&lt;&gt;원인분석!$C$9,"",IF(AND(M1843&gt;=원인분석!$C$10,M1843&lt;=원인분석!$C$11),"당기",IF(AND(M1843&gt;=원인분석!$C$12,M1843&lt;=원인분석!$C$13),"비교",""))))</f>
        <v/>
      </c>
      <c r="R1843" s="9">
        <f>IF(Q1843="","",$K1843&amp;"")</f>
        <v/>
      </c>
      <c r="S1843" s="9">
        <f>IF(Q1843="","",IF(MATCH(R1843,$R$5:$R$100000,0)=ROW()-4,ROW(),""))</f>
        <v/>
      </c>
      <c r="T1843" s="9">
        <f>IF(Q1843="당기",ABS(P1843)+ROW()/1000000000,"")</f>
        <v/>
      </c>
      <c r="U1843" s="9">
        <f>IF(Q1843="비교",ABS(P1843)+ROW()/1000000000,"")</f>
        <v/>
      </c>
      <c r="V1843" s="39">
        <f>IF($A1843="","",IF(COUNTIF(변동분석!$E$7:$E$506,O1843)&gt;0,"Y","N"))</f>
        <v/>
      </c>
      <c r="W1843" s="39">
        <f>IF($A1843="","",IFERROR(INDEX(계정매핑!$D$5:$D$504,MATCH($F1843&amp;"",계정매핑!$A$5:$A$504,0)),"미매핑"))</f>
        <v/>
      </c>
      <c r="X1843" s="9">
        <f>IF($A1843="","",$F1843&amp;"")</f>
        <v/>
      </c>
    </row>
    <row r="1844">
      <c r="A1844" s="75" t="n">
        <v>2025</v>
      </c>
      <c r="B1844" s="75" t="n">
        <v>10</v>
      </c>
      <c r="C1844" s="75" t="inlineStr">
        <is>
          <t>5100001840</t>
        </is>
      </c>
      <c r="D1844" s="78" t="n">
        <v>45943</v>
      </c>
      <c r="E1844" s="75" t="inlineStr">
        <is>
          <t>KR</t>
        </is>
      </c>
      <c r="F1844" s="75" t="n">
        <v>62101000</v>
      </c>
      <c r="G1844" s="75" t="n">
        <v>1801</v>
      </c>
      <c r="H1844" s="76" t="n">
        <v>145000</v>
      </c>
      <c r="I1844" s="75" t="inlineStr">
        <is>
          <t>10월 국내출장 - L여행사</t>
        </is>
      </c>
      <c r="J1844" s="75" t="inlineStr">
        <is>
          <t>V10014</t>
        </is>
      </c>
      <c r="K1844" s="75" t="inlineStr">
        <is>
          <t>L여행사</t>
        </is>
      </c>
      <c r="M1844" s="9">
        <f>IF($A1844="","",VALUE($A1844&amp;"")*12+VALUE($B1844&amp;""))</f>
        <v/>
      </c>
      <c r="N1844" s="39">
        <f>IF($A1844="","",IFERROR(INDEX(부서매핑!$C$5:$C$504,MATCH($G1844&amp;"",부서매핑!$A$5:$A$504,0)),"미매핑"))</f>
        <v/>
      </c>
      <c r="O1844" s="9">
        <f>IF($A1844="","",N1844&amp;"|"&amp;$F1844)</f>
        <v/>
      </c>
      <c r="P1844" s="77">
        <f>IF($A1844="",0,$H1844*설정!$C$23)</f>
        <v/>
      </c>
      <c r="Q1844" s="39">
        <f>IF($A1844="","",IF(O1844&lt;&gt;원인분석!$C$9,"",IF(AND(M1844&gt;=원인분석!$C$10,M1844&lt;=원인분석!$C$11),"당기",IF(AND(M1844&gt;=원인분석!$C$12,M1844&lt;=원인분석!$C$13),"비교",""))))</f>
        <v/>
      </c>
      <c r="R1844" s="9">
        <f>IF(Q1844="","",$K1844&amp;"")</f>
        <v/>
      </c>
      <c r="S1844" s="9">
        <f>IF(Q1844="","",IF(MATCH(R1844,$R$5:$R$100000,0)=ROW()-4,ROW(),""))</f>
        <v/>
      </c>
      <c r="T1844" s="9">
        <f>IF(Q1844="당기",ABS(P1844)+ROW()/1000000000,"")</f>
        <v/>
      </c>
      <c r="U1844" s="9">
        <f>IF(Q1844="비교",ABS(P1844)+ROW()/1000000000,"")</f>
        <v/>
      </c>
      <c r="V1844" s="39">
        <f>IF($A1844="","",IF(COUNTIF(변동분석!$E$7:$E$506,O1844)&gt;0,"Y","N"))</f>
        <v/>
      </c>
      <c r="W1844" s="39">
        <f>IF($A1844="","",IFERROR(INDEX(계정매핑!$D$5:$D$504,MATCH($F1844&amp;"",계정매핑!$A$5:$A$504,0)),"미매핑"))</f>
        <v/>
      </c>
      <c r="X1844" s="9">
        <f>IF($A1844="","",$F1844&amp;"")</f>
        <v/>
      </c>
    </row>
    <row r="1845">
      <c r="A1845" s="75" t="n">
        <v>2025</v>
      </c>
      <c r="B1845" s="75" t="n">
        <v>10</v>
      </c>
      <c r="C1845" s="75" t="inlineStr">
        <is>
          <t>5100001841</t>
        </is>
      </c>
      <c r="D1845" s="78" t="n">
        <v>45943</v>
      </c>
      <c r="E1845" s="75" t="inlineStr">
        <is>
          <t>KR</t>
        </is>
      </c>
      <c r="F1845" s="75" t="n">
        <v>62102000</v>
      </c>
      <c r="G1845" s="75" t="n">
        <v>1301</v>
      </c>
      <c r="H1845" s="76" t="n">
        <v>110000</v>
      </c>
      <c r="I1845" s="75" t="inlineStr">
        <is>
          <t>10월 해외출장 - M항공</t>
        </is>
      </c>
      <c r="J1845" s="75" t="inlineStr">
        <is>
          <t>V10001</t>
        </is>
      </c>
      <c r="K1845" s="75" t="inlineStr">
        <is>
          <t>M항공</t>
        </is>
      </c>
      <c r="M1845" s="9">
        <f>IF($A1845="","",VALUE($A1845&amp;"")*12+VALUE($B1845&amp;""))</f>
        <v/>
      </c>
      <c r="N1845" s="39">
        <f>IF($A1845="","",IFERROR(INDEX(부서매핑!$C$5:$C$504,MATCH($G1845&amp;"",부서매핑!$A$5:$A$504,0)),"미매핑"))</f>
        <v/>
      </c>
      <c r="O1845" s="9">
        <f>IF($A1845="","",N1845&amp;"|"&amp;$F1845)</f>
        <v/>
      </c>
      <c r="P1845" s="77">
        <f>IF($A1845="",0,$H1845*설정!$C$23)</f>
        <v/>
      </c>
      <c r="Q1845" s="39">
        <f>IF($A1845="","",IF(O1845&lt;&gt;원인분석!$C$9,"",IF(AND(M1845&gt;=원인분석!$C$10,M1845&lt;=원인분석!$C$11),"당기",IF(AND(M1845&gt;=원인분석!$C$12,M1845&lt;=원인분석!$C$13),"비교",""))))</f>
        <v/>
      </c>
      <c r="R1845" s="9">
        <f>IF(Q1845="","",$K1845&amp;"")</f>
        <v/>
      </c>
      <c r="S1845" s="9">
        <f>IF(Q1845="","",IF(MATCH(R1845,$R$5:$R$100000,0)=ROW()-4,ROW(),""))</f>
        <v/>
      </c>
      <c r="T1845" s="9">
        <f>IF(Q1845="당기",ABS(P1845)+ROW()/1000000000,"")</f>
        <v/>
      </c>
      <c r="U1845" s="9">
        <f>IF(Q1845="비교",ABS(P1845)+ROW()/1000000000,"")</f>
        <v/>
      </c>
      <c r="V1845" s="39">
        <f>IF($A1845="","",IF(COUNTIF(변동분석!$E$7:$E$506,O1845)&gt;0,"Y","N"))</f>
        <v/>
      </c>
      <c r="W1845" s="39">
        <f>IF($A1845="","",IFERROR(INDEX(계정매핑!$D$5:$D$504,MATCH($F1845&amp;"",계정매핑!$A$5:$A$504,0)),"미매핑"))</f>
        <v/>
      </c>
      <c r="X1845" s="9">
        <f>IF($A1845="","",$F1845&amp;"")</f>
        <v/>
      </c>
    </row>
    <row r="1846">
      <c r="A1846" s="75" t="n">
        <v>2025</v>
      </c>
      <c r="B1846" s="75" t="n">
        <v>10</v>
      </c>
      <c r="C1846" s="75" t="inlineStr">
        <is>
          <t>5100001842</t>
        </is>
      </c>
      <c r="D1846" s="78" t="n">
        <v>45943</v>
      </c>
      <c r="E1846" s="75" t="inlineStr">
        <is>
          <t>KR</t>
        </is>
      </c>
      <c r="F1846" s="75" t="n">
        <v>62102000</v>
      </c>
      <c r="G1846" s="75" t="n">
        <v>1501</v>
      </c>
      <c r="H1846" s="76" t="n">
        <v>122000</v>
      </c>
      <c r="I1846" s="75" t="inlineStr">
        <is>
          <t>10월 해외출장 - M항공</t>
        </is>
      </c>
      <c r="J1846" s="75" t="inlineStr">
        <is>
          <t>V10001</t>
        </is>
      </c>
      <c r="K1846" s="75" t="inlineStr">
        <is>
          <t>M항공</t>
        </is>
      </c>
      <c r="M1846" s="9">
        <f>IF($A1846="","",VALUE($A1846&amp;"")*12+VALUE($B1846&amp;""))</f>
        <v/>
      </c>
      <c r="N1846" s="39">
        <f>IF($A1846="","",IFERROR(INDEX(부서매핑!$C$5:$C$504,MATCH($G1846&amp;"",부서매핑!$A$5:$A$504,0)),"미매핑"))</f>
        <v/>
      </c>
      <c r="O1846" s="9">
        <f>IF($A1846="","",N1846&amp;"|"&amp;$F1846)</f>
        <v/>
      </c>
      <c r="P1846" s="77">
        <f>IF($A1846="",0,$H1846*설정!$C$23)</f>
        <v/>
      </c>
      <c r="Q1846" s="39">
        <f>IF($A1846="","",IF(O1846&lt;&gt;원인분석!$C$9,"",IF(AND(M1846&gt;=원인분석!$C$10,M1846&lt;=원인분석!$C$11),"당기",IF(AND(M1846&gt;=원인분석!$C$12,M1846&lt;=원인분석!$C$13),"비교",""))))</f>
        <v/>
      </c>
      <c r="R1846" s="9">
        <f>IF(Q1846="","",$K1846&amp;"")</f>
        <v/>
      </c>
      <c r="S1846" s="9">
        <f>IF(Q1846="","",IF(MATCH(R1846,$R$5:$R$100000,0)=ROW()-4,ROW(),""))</f>
        <v/>
      </c>
      <c r="T1846" s="9">
        <f>IF(Q1846="당기",ABS(P1846)+ROW()/1000000000,"")</f>
        <v/>
      </c>
      <c r="U1846" s="9">
        <f>IF(Q1846="비교",ABS(P1846)+ROW()/1000000000,"")</f>
        <v/>
      </c>
      <c r="V1846" s="39">
        <f>IF($A1846="","",IF(COUNTIF(변동분석!$E$7:$E$506,O1846)&gt;0,"Y","N"))</f>
        <v/>
      </c>
      <c r="W1846" s="39">
        <f>IF($A1846="","",IFERROR(INDEX(계정매핑!$D$5:$D$504,MATCH($F1846&amp;"",계정매핑!$A$5:$A$504,0)),"미매핑"))</f>
        <v/>
      </c>
      <c r="X1846" s="9">
        <f>IF($A1846="","",$F1846&amp;"")</f>
        <v/>
      </c>
    </row>
    <row r="1847">
      <c r="A1847" s="75" t="n">
        <v>2025</v>
      </c>
      <c r="B1847" s="75" t="n">
        <v>10</v>
      </c>
      <c r="C1847" s="75" t="inlineStr">
        <is>
          <t>5100001843</t>
        </is>
      </c>
      <c r="D1847" s="78" t="n">
        <v>45943</v>
      </c>
      <c r="E1847" s="75" t="inlineStr">
        <is>
          <t>KR</t>
        </is>
      </c>
      <c r="F1847" s="75" t="n">
        <v>62501000</v>
      </c>
      <c r="G1847" s="75" t="n">
        <v>1501</v>
      </c>
      <c r="H1847" s="76" t="n">
        <v>428000</v>
      </c>
      <c r="I1847" s="75" t="inlineStr">
        <is>
          <t>10월 회의 다과 - (법인카드)</t>
        </is>
      </c>
      <c r="J1847" s="75" t="inlineStr">
        <is>
          <t>V10008</t>
        </is>
      </c>
      <c r="K1847" s="75" t="inlineStr">
        <is>
          <t>(법인카드)</t>
        </is>
      </c>
      <c r="M1847" s="9">
        <f>IF($A1847="","",VALUE($A1847&amp;"")*12+VALUE($B1847&amp;""))</f>
        <v/>
      </c>
      <c r="N1847" s="39">
        <f>IF($A1847="","",IFERROR(INDEX(부서매핑!$C$5:$C$504,MATCH($G1847&amp;"",부서매핑!$A$5:$A$504,0)),"미매핑"))</f>
        <v/>
      </c>
      <c r="O1847" s="9">
        <f>IF($A1847="","",N1847&amp;"|"&amp;$F1847)</f>
        <v/>
      </c>
      <c r="P1847" s="77">
        <f>IF($A1847="",0,$H1847*설정!$C$23)</f>
        <v/>
      </c>
      <c r="Q1847" s="39">
        <f>IF($A1847="","",IF(O1847&lt;&gt;원인분석!$C$9,"",IF(AND(M1847&gt;=원인분석!$C$10,M1847&lt;=원인분석!$C$11),"당기",IF(AND(M1847&gt;=원인분석!$C$12,M1847&lt;=원인분석!$C$13),"비교",""))))</f>
        <v/>
      </c>
      <c r="R1847" s="9">
        <f>IF(Q1847="","",$K1847&amp;"")</f>
        <v/>
      </c>
      <c r="S1847" s="9">
        <f>IF(Q1847="","",IF(MATCH(R1847,$R$5:$R$100000,0)=ROW()-4,ROW(),""))</f>
        <v/>
      </c>
      <c r="T1847" s="9">
        <f>IF(Q1847="당기",ABS(P1847)+ROW()/1000000000,"")</f>
        <v/>
      </c>
      <c r="U1847" s="9">
        <f>IF(Q1847="비교",ABS(P1847)+ROW()/1000000000,"")</f>
        <v/>
      </c>
      <c r="V1847" s="39">
        <f>IF($A1847="","",IF(COUNTIF(변동분석!$E$7:$E$506,O1847)&gt;0,"Y","N"))</f>
        <v/>
      </c>
      <c r="W1847" s="39">
        <f>IF($A1847="","",IFERROR(INDEX(계정매핑!$D$5:$D$504,MATCH($F1847&amp;"",계정매핑!$A$5:$A$504,0)),"미매핑"))</f>
        <v/>
      </c>
      <c r="X1847" s="9">
        <f>IF($A1847="","",$F1847&amp;"")</f>
        <v/>
      </c>
    </row>
    <row r="1848">
      <c r="A1848" s="75" t="n">
        <v>2025</v>
      </c>
      <c r="B1848" s="75" t="n">
        <v>10</v>
      </c>
      <c r="C1848" s="75" t="inlineStr">
        <is>
          <t>5100001844</t>
        </is>
      </c>
      <c r="D1848" s="78" t="n">
        <v>45943</v>
      </c>
      <c r="E1848" s="75" t="inlineStr">
        <is>
          <t>KR</t>
        </is>
      </c>
      <c r="F1848" s="75" t="n">
        <v>62501000</v>
      </c>
      <c r="G1848" s="75" t="n">
        <v>1501</v>
      </c>
      <c r="H1848" s="76" t="n">
        <v>235000</v>
      </c>
      <c r="I1848" s="75" t="inlineStr">
        <is>
          <t>10월 회의 다과 - T케이터링</t>
        </is>
      </c>
      <c r="J1848" s="75" t="inlineStr">
        <is>
          <t>V10005</t>
        </is>
      </c>
      <c r="K1848" s="75" t="inlineStr">
        <is>
          <t>T케이터링</t>
        </is>
      </c>
      <c r="M1848" s="9">
        <f>IF($A1848="","",VALUE($A1848&amp;"")*12+VALUE($B1848&amp;""))</f>
        <v/>
      </c>
      <c r="N1848" s="39">
        <f>IF($A1848="","",IFERROR(INDEX(부서매핑!$C$5:$C$504,MATCH($G1848&amp;"",부서매핑!$A$5:$A$504,0)),"미매핑"))</f>
        <v/>
      </c>
      <c r="O1848" s="9">
        <f>IF($A1848="","",N1848&amp;"|"&amp;$F1848)</f>
        <v/>
      </c>
      <c r="P1848" s="77">
        <f>IF($A1848="",0,$H1848*설정!$C$23)</f>
        <v/>
      </c>
      <c r="Q1848" s="39">
        <f>IF($A1848="","",IF(O1848&lt;&gt;원인분석!$C$9,"",IF(AND(M1848&gt;=원인분석!$C$10,M1848&lt;=원인분석!$C$11),"당기",IF(AND(M1848&gt;=원인분석!$C$12,M1848&lt;=원인분석!$C$13),"비교",""))))</f>
        <v/>
      </c>
      <c r="R1848" s="9">
        <f>IF(Q1848="","",$K1848&amp;"")</f>
        <v/>
      </c>
      <c r="S1848" s="9">
        <f>IF(Q1848="","",IF(MATCH(R1848,$R$5:$R$100000,0)=ROW()-4,ROW(),""))</f>
        <v/>
      </c>
      <c r="T1848" s="9">
        <f>IF(Q1848="당기",ABS(P1848)+ROW()/1000000000,"")</f>
        <v/>
      </c>
      <c r="U1848" s="9">
        <f>IF(Q1848="비교",ABS(P1848)+ROW()/1000000000,"")</f>
        <v/>
      </c>
      <c r="V1848" s="39">
        <f>IF($A1848="","",IF(COUNTIF(변동분석!$E$7:$E$506,O1848)&gt;0,"Y","N"))</f>
        <v/>
      </c>
      <c r="W1848" s="39">
        <f>IF($A1848="","",IFERROR(INDEX(계정매핑!$D$5:$D$504,MATCH($F1848&amp;"",계정매핑!$A$5:$A$504,0)),"미매핑"))</f>
        <v/>
      </c>
      <c r="X1848" s="9">
        <f>IF($A1848="","",$F1848&amp;"")</f>
        <v/>
      </c>
    </row>
    <row r="1849">
      <c r="A1849" s="75" t="n">
        <v>2025</v>
      </c>
      <c r="B1849" s="75" t="n">
        <v>10</v>
      </c>
      <c r="C1849" s="75" t="inlineStr">
        <is>
          <t>5100001845</t>
        </is>
      </c>
      <c r="D1849" s="78" t="n">
        <v>45943</v>
      </c>
      <c r="E1849" s="75" t="inlineStr">
        <is>
          <t>KR</t>
        </is>
      </c>
      <c r="F1849" s="75" t="n">
        <v>62601000</v>
      </c>
      <c r="G1849" s="75" t="n">
        <v>1101</v>
      </c>
      <c r="H1849" s="76" t="n">
        <v>3061000</v>
      </c>
      <c r="I1849" s="75" t="inlineStr">
        <is>
          <t>10월 업무추진 - (법인카드)</t>
        </is>
      </c>
      <c r="J1849" s="75" t="inlineStr">
        <is>
          <t>V10008</t>
        </is>
      </c>
      <c r="K1849" s="75" t="inlineStr">
        <is>
          <t>(법인카드)</t>
        </is>
      </c>
      <c r="M1849" s="9">
        <f>IF($A1849="","",VALUE($A1849&amp;"")*12+VALUE($B1849&amp;""))</f>
        <v/>
      </c>
      <c r="N1849" s="39">
        <f>IF($A1849="","",IFERROR(INDEX(부서매핑!$C$5:$C$504,MATCH($G1849&amp;"",부서매핑!$A$5:$A$504,0)),"미매핑"))</f>
        <v/>
      </c>
      <c r="O1849" s="9">
        <f>IF($A1849="","",N1849&amp;"|"&amp;$F1849)</f>
        <v/>
      </c>
      <c r="P1849" s="77">
        <f>IF($A1849="",0,$H1849*설정!$C$23)</f>
        <v/>
      </c>
      <c r="Q1849" s="39">
        <f>IF($A1849="","",IF(O1849&lt;&gt;원인분석!$C$9,"",IF(AND(M1849&gt;=원인분석!$C$10,M1849&lt;=원인분석!$C$11),"당기",IF(AND(M1849&gt;=원인분석!$C$12,M1849&lt;=원인분석!$C$13),"비교",""))))</f>
        <v/>
      </c>
      <c r="R1849" s="9">
        <f>IF(Q1849="","",$K1849&amp;"")</f>
        <v/>
      </c>
      <c r="S1849" s="9">
        <f>IF(Q1849="","",IF(MATCH(R1849,$R$5:$R$100000,0)=ROW()-4,ROW(),""))</f>
        <v/>
      </c>
      <c r="T1849" s="9">
        <f>IF(Q1849="당기",ABS(P1849)+ROW()/1000000000,"")</f>
        <v/>
      </c>
      <c r="U1849" s="9">
        <f>IF(Q1849="비교",ABS(P1849)+ROW()/1000000000,"")</f>
        <v/>
      </c>
      <c r="V1849" s="39">
        <f>IF($A1849="","",IF(COUNTIF(변동분석!$E$7:$E$506,O1849)&gt;0,"Y","N"))</f>
        <v/>
      </c>
      <c r="W1849" s="39">
        <f>IF($A1849="","",IFERROR(INDEX(계정매핑!$D$5:$D$504,MATCH($F1849&amp;"",계정매핑!$A$5:$A$504,0)),"미매핑"))</f>
        <v/>
      </c>
      <c r="X1849" s="9">
        <f>IF($A1849="","",$F1849&amp;"")</f>
        <v/>
      </c>
    </row>
    <row r="1850">
      <c r="A1850" s="75" t="n">
        <v>2025</v>
      </c>
      <c r="B1850" s="75" t="n">
        <v>10</v>
      </c>
      <c r="C1850" s="75" t="inlineStr">
        <is>
          <t>5100001846</t>
        </is>
      </c>
      <c r="D1850" s="78" t="n">
        <v>45943</v>
      </c>
      <c r="E1850" s="75" t="inlineStr">
        <is>
          <t>KR</t>
        </is>
      </c>
      <c r="F1850" s="75" t="n">
        <v>62901000</v>
      </c>
      <c r="G1850" s="75" t="n">
        <v>1201</v>
      </c>
      <c r="H1850" s="76" t="n">
        <v>5252000</v>
      </c>
      <c r="I1850" s="75" t="inlineStr">
        <is>
          <t>10월 자문 수수료 - K회계법인</t>
        </is>
      </c>
      <c r="J1850" s="75" t="inlineStr">
        <is>
          <t>V10010</t>
        </is>
      </c>
      <c r="K1850" s="75" t="inlineStr">
        <is>
          <t>K회계법인</t>
        </is>
      </c>
      <c r="M1850" s="9">
        <f>IF($A1850="","",VALUE($A1850&amp;"")*12+VALUE($B1850&amp;""))</f>
        <v/>
      </c>
      <c r="N1850" s="39">
        <f>IF($A1850="","",IFERROR(INDEX(부서매핑!$C$5:$C$504,MATCH($G1850&amp;"",부서매핑!$A$5:$A$504,0)),"미매핑"))</f>
        <v/>
      </c>
      <c r="O1850" s="9">
        <f>IF($A1850="","",N1850&amp;"|"&amp;$F1850)</f>
        <v/>
      </c>
      <c r="P1850" s="77">
        <f>IF($A1850="",0,$H1850*설정!$C$23)</f>
        <v/>
      </c>
      <c r="Q1850" s="39">
        <f>IF($A1850="","",IF(O1850&lt;&gt;원인분석!$C$9,"",IF(AND(M1850&gt;=원인분석!$C$10,M1850&lt;=원인분석!$C$11),"당기",IF(AND(M1850&gt;=원인분석!$C$12,M1850&lt;=원인분석!$C$13),"비교",""))))</f>
        <v/>
      </c>
      <c r="R1850" s="9">
        <f>IF(Q1850="","",$K1850&amp;"")</f>
        <v/>
      </c>
      <c r="S1850" s="9">
        <f>IF(Q1850="","",IF(MATCH(R1850,$R$5:$R$100000,0)=ROW()-4,ROW(),""))</f>
        <v/>
      </c>
      <c r="T1850" s="9">
        <f>IF(Q1850="당기",ABS(P1850)+ROW()/1000000000,"")</f>
        <v/>
      </c>
      <c r="U1850" s="9">
        <f>IF(Q1850="비교",ABS(P1850)+ROW()/1000000000,"")</f>
        <v/>
      </c>
      <c r="V1850" s="39">
        <f>IF($A1850="","",IF(COUNTIF(변동분석!$E$7:$E$506,O1850)&gt;0,"Y","N"))</f>
        <v/>
      </c>
      <c r="W1850" s="39">
        <f>IF($A1850="","",IFERROR(INDEX(계정매핑!$D$5:$D$504,MATCH($F1850&amp;"",계정매핑!$A$5:$A$504,0)),"미매핑"))</f>
        <v/>
      </c>
      <c r="X1850" s="9">
        <f>IF($A1850="","",$F1850&amp;"")</f>
        <v/>
      </c>
    </row>
    <row r="1851">
      <c r="A1851" s="75" t="n">
        <v>2025</v>
      </c>
      <c r="B1851" s="75" t="n">
        <v>10</v>
      </c>
      <c r="C1851" s="75" t="inlineStr">
        <is>
          <t>5100001847</t>
        </is>
      </c>
      <c r="D1851" s="78" t="n">
        <v>45943</v>
      </c>
      <c r="E1851" s="75" t="inlineStr">
        <is>
          <t>KR</t>
        </is>
      </c>
      <c r="F1851" s="75" t="n">
        <v>62902000</v>
      </c>
      <c r="G1851" s="75" t="n">
        <v>1801</v>
      </c>
      <c r="H1851" s="76" t="n">
        <v>1753000</v>
      </c>
      <c r="I1851" s="75" t="inlineStr">
        <is>
          <t>10월 콜 위탁 수수료(건별)</t>
        </is>
      </c>
      <c r="J1851" s="75" t="inlineStr">
        <is>
          <t>V10013</t>
        </is>
      </c>
      <c r="K1851" s="75" t="inlineStr">
        <is>
          <t>J콜센터</t>
        </is>
      </c>
      <c r="M1851" s="9">
        <f>IF($A1851="","",VALUE($A1851&amp;"")*12+VALUE($B1851&amp;""))</f>
        <v/>
      </c>
      <c r="N1851" s="39">
        <f>IF($A1851="","",IFERROR(INDEX(부서매핑!$C$5:$C$504,MATCH($G1851&amp;"",부서매핑!$A$5:$A$504,0)),"미매핑"))</f>
        <v/>
      </c>
      <c r="O1851" s="9">
        <f>IF($A1851="","",N1851&amp;"|"&amp;$F1851)</f>
        <v/>
      </c>
      <c r="P1851" s="77">
        <f>IF($A1851="",0,$H1851*설정!$C$23)</f>
        <v/>
      </c>
      <c r="Q1851" s="39">
        <f>IF($A1851="","",IF(O1851&lt;&gt;원인분석!$C$9,"",IF(AND(M1851&gt;=원인분석!$C$10,M1851&lt;=원인분석!$C$11),"당기",IF(AND(M1851&gt;=원인분석!$C$12,M1851&lt;=원인분석!$C$13),"비교",""))))</f>
        <v/>
      </c>
      <c r="R1851" s="9">
        <f>IF(Q1851="","",$K1851&amp;"")</f>
        <v/>
      </c>
      <c r="S1851" s="9">
        <f>IF(Q1851="","",IF(MATCH(R1851,$R$5:$R$100000,0)=ROW()-4,ROW(),""))</f>
        <v/>
      </c>
      <c r="T1851" s="9">
        <f>IF(Q1851="당기",ABS(P1851)+ROW()/1000000000,"")</f>
        <v/>
      </c>
      <c r="U1851" s="9">
        <f>IF(Q1851="비교",ABS(P1851)+ROW()/1000000000,"")</f>
        <v/>
      </c>
      <c r="V1851" s="39">
        <f>IF($A1851="","",IF(COUNTIF(변동분석!$E$7:$E$506,O1851)&gt;0,"Y","N"))</f>
        <v/>
      </c>
      <c r="W1851" s="39">
        <f>IF($A1851="","",IFERROR(INDEX(계정매핑!$D$5:$D$504,MATCH($F1851&amp;"",계정매핑!$A$5:$A$504,0)),"미매핑"))</f>
        <v/>
      </c>
      <c r="X1851" s="9">
        <f>IF($A1851="","",$F1851&amp;"")</f>
        <v/>
      </c>
    </row>
    <row r="1852">
      <c r="A1852" s="75" t="n">
        <v>2025</v>
      </c>
      <c r="B1852" s="75" t="n">
        <v>10</v>
      </c>
      <c r="C1852" s="75" t="inlineStr">
        <is>
          <t>5100001848</t>
        </is>
      </c>
      <c r="D1852" s="78" t="n">
        <v>45944</v>
      </c>
      <c r="E1852" s="75" t="inlineStr">
        <is>
          <t>KR</t>
        </is>
      </c>
      <c r="F1852" s="75" t="n">
        <v>62101000</v>
      </c>
      <c r="G1852" s="75" t="n">
        <v>1501</v>
      </c>
      <c r="H1852" s="76" t="n">
        <v>501000</v>
      </c>
      <c r="I1852" s="75" t="inlineStr">
        <is>
          <t>10월 국내출장 - M항공</t>
        </is>
      </c>
      <c r="J1852" s="75" t="inlineStr">
        <is>
          <t>V10001</t>
        </is>
      </c>
      <c r="K1852" s="75" t="inlineStr">
        <is>
          <t>M항공</t>
        </is>
      </c>
      <c r="M1852" s="9">
        <f>IF($A1852="","",VALUE($A1852&amp;"")*12+VALUE($B1852&amp;""))</f>
        <v/>
      </c>
      <c r="N1852" s="39">
        <f>IF($A1852="","",IFERROR(INDEX(부서매핑!$C$5:$C$504,MATCH($G1852&amp;"",부서매핑!$A$5:$A$504,0)),"미매핑"))</f>
        <v/>
      </c>
      <c r="O1852" s="9">
        <f>IF($A1852="","",N1852&amp;"|"&amp;$F1852)</f>
        <v/>
      </c>
      <c r="P1852" s="77">
        <f>IF($A1852="",0,$H1852*설정!$C$23)</f>
        <v/>
      </c>
      <c r="Q1852" s="39">
        <f>IF($A1852="","",IF(O1852&lt;&gt;원인분석!$C$9,"",IF(AND(M1852&gt;=원인분석!$C$10,M1852&lt;=원인분석!$C$11),"당기",IF(AND(M1852&gt;=원인분석!$C$12,M1852&lt;=원인분석!$C$13),"비교",""))))</f>
        <v/>
      </c>
      <c r="R1852" s="9">
        <f>IF(Q1852="","",$K1852&amp;"")</f>
        <v/>
      </c>
      <c r="S1852" s="9">
        <f>IF(Q1852="","",IF(MATCH(R1852,$R$5:$R$100000,0)=ROW()-4,ROW(),""))</f>
        <v/>
      </c>
      <c r="T1852" s="9">
        <f>IF(Q1852="당기",ABS(P1852)+ROW()/1000000000,"")</f>
        <v/>
      </c>
      <c r="U1852" s="9">
        <f>IF(Q1852="비교",ABS(P1852)+ROW()/1000000000,"")</f>
        <v/>
      </c>
      <c r="V1852" s="39">
        <f>IF($A1852="","",IF(COUNTIF(변동분석!$E$7:$E$506,O1852)&gt;0,"Y","N"))</f>
        <v/>
      </c>
      <c r="W1852" s="39">
        <f>IF($A1852="","",IFERROR(INDEX(계정매핑!$D$5:$D$504,MATCH($F1852&amp;"",계정매핑!$A$5:$A$504,0)),"미매핑"))</f>
        <v/>
      </c>
      <c r="X1852" s="9">
        <f>IF($A1852="","",$F1852&amp;"")</f>
        <v/>
      </c>
    </row>
    <row r="1853">
      <c r="A1853" s="75" t="n">
        <v>2025</v>
      </c>
      <c r="B1853" s="75" t="n">
        <v>10</v>
      </c>
      <c r="C1853" s="75" t="inlineStr">
        <is>
          <t>5100001849</t>
        </is>
      </c>
      <c r="D1853" s="78" t="n">
        <v>45944</v>
      </c>
      <c r="E1853" s="75" t="inlineStr">
        <is>
          <t>KR</t>
        </is>
      </c>
      <c r="F1853" s="75" t="n">
        <v>62101000</v>
      </c>
      <c r="G1853" s="75" t="n">
        <v>1701</v>
      </c>
      <c r="H1853" s="76" t="n">
        <v>177000</v>
      </c>
      <c r="I1853" s="75" t="inlineStr">
        <is>
          <t>10월 국내출장 - (법인카드)</t>
        </is>
      </c>
      <c r="J1853" s="75" t="inlineStr">
        <is>
          <t>V10008</t>
        </is>
      </c>
      <c r="K1853" s="75" t="inlineStr">
        <is>
          <t>(법인카드)</t>
        </is>
      </c>
      <c r="M1853" s="9">
        <f>IF($A1853="","",VALUE($A1853&amp;"")*12+VALUE($B1853&amp;""))</f>
        <v/>
      </c>
      <c r="N1853" s="39">
        <f>IF($A1853="","",IFERROR(INDEX(부서매핑!$C$5:$C$504,MATCH($G1853&amp;"",부서매핑!$A$5:$A$504,0)),"미매핑"))</f>
        <v/>
      </c>
      <c r="O1853" s="9">
        <f>IF($A1853="","",N1853&amp;"|"&amp;$F1853)</f>
        <v/>
      </c>
      <c r="P1853" s="77">
        <f>IF($A1853="",0,$H1853*설정!$C$23)</f>
        <v/>
      </c>
      <c r="Q1853" s="39">
        <f>IF($A1853="","",IF(O1853&lt;&gt;원인분석!$C$9,"",IF(AND(M1853&gt;=원인분석!$C$10,M1853&lt;=원인분석!$C$11),"당기",IF(AND(M1853&gt;=원인분석!$C$12,M1853&lt;=원인분석!$C$13),"비교",""))))</f>
        <v/>
      </c>
      <c r="R1853" s="9">
        <f>IF(Q1853="","",$K1853&amp;"")</f>
        <v/>
      </c>
      <c r="S1853" s="9">
        <f>IF(Q1853="","",IF(MATCH(R1853,$R$5:$R$100000,0)=ROW()-4,ROW(),""))</f>
        <v/>
      </c>
      <c r="T1853" s="9">
        <f>IF(Q1853="당기",ABS(P1853)+ROW()/1000000000,"")</f>
        <v/>
      </c>
      <c r="U1853" s="9">
        <f>IF(Q1853="비교",ABS(P1853)+ROW()/1000000000,"")</f>
        <v/>
      </c>
      <c r="V1853" s="39">
        <f>IF($A1853="","",IF(COUNTIF(변동분석!$E$7:$E$506,O1853)&gt;0,"Y","N"))</f>
        <v/>
      </c>
      <c r="W1853" s="39">
        <f>IF($A1853="","",IFERROR(INDEX(계정매핑!$D$5:$D$504,MATCH($F1853&amp;"",계정매핑!$A$5:$A$504,0)),"미매핑"))</f>
        <v/>
      </c>
      <c r="X1853" s="9">
        <f>IF($A1853="","",$F1853&amp;"")</f>
        <v/>
      </c>
    </row>
    <row r="1854">
      <c r="A1854" s="75" t="n">
        <v>2025</v>
      </c>
      <c r="B1854" s="75" t="n">
        <v>10</v>
      </c>
      <c r="C1854" s="75" t="inlineStr">
        <is>
          <t>5100001850</t>
        </is>
      </c>
      <c r="D1854" s="78" t="n">
        <v>45944</v>
      </c>
      <c r="E1854" s="75" t="inlineStr">
        <is>
          <t>KR</t>
        </is>
      </c>
      <c r="F1854" s="75" t="n">
        <v>62301000</v>
      </c>
      <c r="G1854" s="75" t="n">
        <v>1401</v>
      </c>
      <c r="H1854" s="76" t="n">
        <v>82000</v>
      </c>
      <c r="I1854" s="75" t="inlineStr">
        <is>
          <t>10월 소모품 구입 - R문구</t>
        </is>
      </c>
      <c r="J1854" s="75" t="inlineStr">
        <is>
          <t>V10018</t>
        </is>
      </c>
      <c r="K1854" s="75" t="inlineStr">
        <is>
          <t>R문구</t>
        </is>
      </c>
      <c r="M1854" s="9">
        <f>IF($A1854="","",VALUE($A1854&amp;"")*12+VALUE($B1854&amp;""))</f>
        <v/>
      </c>
      <c r="N1854" s="39">
        <f>IF($A1854="","",IFERROR(INDEX(부서매핑!$C$5:$C$504,MATCH($G1854&amp;"",부서매핑!$A$5:$A$504,0)),"미매핑"))</f>
        <v/>
      </c>
      <c r="O1854" s="9">
        <f>IF($A1854="","",N1854&amp;"|"&amp;$F1854)</f>
        <v/>
      </c>
      <c r="P1854" s="77">
        <f>IF($A1854="",0,$H1854*설정!$C$23)</f>
        <v/>
      </c>
      <c r="Q1854" s="39">
        <f>IF($A1854="","",IF(O1854&lt;&gt;원인분석!$C$9,"",IF(AND(M1854&gt;=원인분석!$C$10,M1854&lt;=원인분석!$C$11),"당기",IF(AND(M1854&gt;=원인분석!$C$12,M1854&lt;=원인분석!$C$13),"비교",""))))</f>
        <v/>
      </c>
      <c r="R1854" s="9">
        <f>IF(Q1854="","",$K1854&amp;"")</f>
        <v/>
      </c>
      <c r="S1854" s="9">
        <f>IF(Q1854="","",IF(MATCH(R1854,$R$5:$R$100000,0)=ROW()-4,ROW(),""))</f>
        <v/>
      </c>
      <c r="T1854" s="9">
        <f>IF(Q1854="당기",ABS(P1854)+ROW()/1000000000,"")</f>
        <v/>
      </c>
      <c r="U1854" s="9">
        <f>IF(Q1854="비교",ABS(P1854)+ROW()/1000000000,"")</f>
        <v/>
      </c>
      <c r="V1854" s="39">
        <f>IF($A1854="","",IF(COUNTIF(변동분석!$E$7:$E$506,O1854)&gt;0,"Y","N"))</f>
        <v/>
      </c>
      <c r="W1854" s="39">
        <f>IF($A1854="","",IFERROR(INDEX(계정매핑!$D$5:$D$504,MATCH($F1854&amp;"",계정매핑!$A$5:$A$504,0)),"미매핑"))</f>
        <v/>
      </c>
      <c r="X1854" s="9">
        <f>IF($A1854="","",$F1854&amp;"")</f>
        <v/>
      </c>
    </row>
    <row r="1855">
      <c r="A1855" s="75" t="n">
        <v>2025</v>
      </c>
      <c r="B1855" s="75" t="n">
        <v>10</v>
      </c>
      <c r="C1855" s="75" t="inlineStr">
        <is>
          <t>5100001851</t>
        </is>
      </c>
      <c r="D1855" s="78" t="n">
        <v>45944</v>
      </c>
      <c r="E1855" s="75" t="inlineStr">
        <is>
          <t>KR</t>
        </is>
      </c>
      <c r="F1855" s="75" t="n">
        <v>62301000</v>
      </c>
      <c r="G1855" s="75" t="n">
        <v>1701</v>
      </c>
      <c r="H1855" s="76" t="n">
        <v>285000</v>
      </c>
      <c r="I1855" s="75" t="inlineStr">
        <is>
          <t>10월 소모품 구입 - Q오피스</t>
        </is>
      </c>
      <c r="J1855" s="75" t="inlineStr">
        <is>
          <t>V10003</t>
        </is>
      </c>
      <c r="K1855" s="75" t="inlineStr">
        <is>
          <t>Q오피스</t>
        </is>
      </c>
      <c r="M1855" s="9">
        <f>IF($A1855="","",VALUE($A1855&amp;"")*12+VALUE($B1855&amp;""))</f>
        <v/>
      </c>
      <c r="N1855" s="39">
        <f>IF($A1855="","",IFERROR(INDEX(부서매핑!$C$5:$C$504,MATCH($G1855&amp;"",부서매핑!$A$5:$A$504,0)),"미매핑"))</f>
        <v/>
      </c>
      <c r="O1855" s="9">
        <f>IF($A1855="","",N1855&amp;"|"&amp;$F1855)</f>
        <v/>
      </c>
      <c r="P1855" s="77">
        <f>IF($A1855="",0,$H1855*설정!$C$23)</f>
        <v/>
      </c>
      <c r="Q1855" s="39">
        <f>IF($A1855="","",IF(O1855&lt;&gt;원인분석!$C$9,"",IF(AND(M1855&gt;=원인분석!$C$10,M1855&lt;=원인분석!$C$11),"당기",IF(AND(M1855&gt;=원인분석!$C$12,M1855&lt;=원인분석!$C$13),"비교",""))))</f>
        <v/>
      </c>
      <c r="R1855" s="9">
        <f>IF(Q1855="","",$K1855&amp;"")</f>
        <v/>
      </c>
      <c r="S1855" s="9">
        <f>IF(Q1855="","",IF(MATCH(R1855,$R$5:$R$100000,0)=ROW()-4,ROW(),""))</f>
        <v/>
      </c>
      <c r="T1855" s="9">
        <f>IF(Q1855="당기",ABS(P1855)+ROW()/1000000000,"")</f>
        <v/>
      </c>
      <c r="U1855" s="9">
        <f>IF(Q1855="비교",ABS(P1855)+ROW()/1000000000,"")</f>
        <v/>
      </c>
      <c r="V1855" s="39">
        <f>IF($A1855="","",IF(COUNTIF(변동분석!$E$7:$E$506,O1855)&gt;0,"Y","N"))</f>
        <v/>
      </c>
      <c r="W1855" s="39">
        <f>IF($A1855="","",IFERROR(INDEX(계정매핑!$D$5:$D$504,MATCH($F1855&amp;"",계정매핑!$A$5:$A$504,0)),"미매핑"))</f>
        <v/>
      </c>
      <c r="X1855" s="9">
        <f>IF($A1855="","",$F1855&amp;"")</f>
        <v/>
      </c>
    </row>
    <row r="1856">
      <c r="A1856" s="75" t="n">
        <v>2025</v>
      </c>
      <c r="B1856" s="75" t="n">
        <v>10</v>
      </c>
      <c r="C1856" s="75" t="inlineStr">
        <is>
          <t>5100001852</t>
        </is>
      </c>
      <c r="D1856" s="78" t="n">
        <v>45944</v>
      </c>
      <c r="E1856" s="75" t="inlineStr">
        <is>
          <t>KR</t>
        </is>
      </c>
      <c r="F1856" s="75" t="n">
        <v>62901000</v>
      </c>
      <c r="G1856" s="75" t="n">
        <v>1101</v>
      </c>
      <c r="H1856" s="76" t="n">
        <v>1869000</v>
      </c>
      <c r="I1856" s="75" t="inlineStr">
        <is>
          <t>10월 자문 수수료 - K회계법인</t>
        </is>
      </c>
      <c r="J1856" s="75" t="inlineStr">
        <is>
          <t>V10010</t>
        </is>
      </c>
      <c r="K1856" s="75" t="inlineStr">
        <is>
          <t>K회계법인</t>
        </is>
      </c>
      <c r="M1856" s="9">
        <f>IF($A1856="","",VALUE($A1856&amp;"")*12+VALUE($B1856&amp;""))</f>
        <v/>
      </c>
      <c r="N1856" s="39">
        <f>IF($A1856="","",IFERROR(INDEX(부서매핑!$C$5:$C$504,MATCH($G1856&amp;"",부서매핑!$A$5:$A$504,0)),"미매핑"))</f>
        <v/>
      </c>
      <c r="O1856" s="9">
        <f>IF($A1856="","",N1856&amp;"|"&amp;$F1856)</f>
        <v/>
      </c>
      <c r="P1856" s="77">
        <f>IF($A1856="",0,$H1856*설정!$C$23)</f>
        <v/>
      </c>
      <c r="Q1856" s="39">
        <f>IF($A1856="","",IF(O1856&lt;&gt;원인분석!$C$9,"",IF(AND(M1856&gt;=원인분석!$C$10,M1856&lt;=원인분석!$C$11),"당기",IF(AND(M1856&gt;=원인분석!$C$12,M1856&lt;=원인분석!$C$13),"비교",""))))</f>
        <v/>
      </c>
      <c r="R1856" s="9">
        <f>IF(Q1856="","",$K1856&amp;"")</f>
        <v/>
      </c>
      <c r="S1856" s="9">
        <f>IF(Q1856="","",IF(MATCH(R1856,$R$5:$R$100000,0)=ROW()-4,ROW(),""))</f>
        <v/>
      </c>
      <c r="T1856" s="9">
        <f>IF(Q1856="당기",ABS(P1856)+ROW()/1000000000,"")</f>
        <v/>
      </c>
      <c r="U1856" s="9">
        <f>IF(Q1856="비교",ABS(P1856)+ROW()/1000000000,"")</f>
        <v/>
      </c>
      <c r="V1856" s="39">
        <f>IF($A1856="","",IF(COUNTIF(변동분석!$E$7:$E$506,O1856)&gt;0,"Y","N"))</f>
        <v/>
      </c>
      <c r="W1856" s="39">
        <f>IF($A1856="","",IFERROR(INDEX(계정매핑!$D$5:$D$504,MATCH($F1856&amp;"",계정매핑!$A$5:$A$504,0)),"미매핑"))</f>
        <v/>
      </c>
      <c r="X1856" s="9">
        <f>IF($A1856="","",$F1856&amp;"")</f>
        <v/>
      </c>
    </row>
    <row r="1857">
      <c r="A1857" s="75" t="n">
        <v>2025</v>
      </c>
      <c r="B1857" s="75" t="n">
        <v>10</v>
      </c>
      <c r="C1857" s="75" t="inlineStr">
        <is>
          <t>5100001853</t>
        </is>
      </c>
      <c r="D1857" s="78" t="n">
        <v>45945</v>
      </c>
      <c r="E1857" s="75" t="inlineStr">
        <is>
          <t>KR</t>
        </is>
      </c>
      <c r="F1857" s="75" t="n">
        <v>62101000</v>
      </c>
      <c r="G1857" s="75" t="n">
        <v>1301</v>
      </c>
      <c r="H1857" s="76" t="n">
        <v>253000</v>
      </c>
      <c r="I1857" s="75" t="inlineStr">
        <is>
          <t>10월 국내출장 - M항공</t>
        </is>
      </c>
      <c r="J1857" s="75" t="inlineStr">
        <is>
          <t>V10001</t>
        </is>
      </c>
      <c r="K1857" s="75" t="inlineStr">
        <is>
          <t>M항공</t>
        </is>
      </c>
      <c r="M1857" s="9">
        <f>IF($A1857="","",VALUE($A1857&amp;"")*12+VALUE($B1857&amp;""))</f>
        <v/>
      </c>
      <c r="N1857" s="39">
        <f>IF($A1857="","",IFERROR(INDEX(부서매핑!$C$5:$C$504,MATCH($G1857&amp;"",부서매핑!$A$5:$A$504,0)),"미매핑"))</f>
        <v/>
      </c>
      <c r="O1857" s="9">
        <f>IF($A1857="","",N1857&amp;"|"&amp;$F1857)</f>
        <v/>
      </c>
      <c r="P1857" s="77">
        <f>IF($A1857="",0,$H1857*설정!$C$23)</f>
        <v/>
      </c>
      <c r="Q1857" s="39">
        <f>IF($A1857="","",IF(O1857&lt;&gt;원인분석!$C$9,"",IF(AND(M1857&gt;=원인분석!$C$10,M1857&lt;=원인분석!$C$11),"당기",IF(AND(M1857&gt;=원인분석!$C$12,M1857&lt;=원인분석!$C$13),"비교",""))))</f>
        <v/>
      </c>
      <c r="R1857" s="9">
        <f>IF(Q1857="","",$K1857&amp;"")</f>
        <v/>
      </c>
      <c r="S1857" s="9">
        <f>IF(Q1857="","",IF(MATCH(R1857,$R$5:$R$100000,0)=ROW()-4,ROW(),""))</f>
        <v/>
      </c>
      <c r="T1857" s="9">
        <f>IF(Q1857="당기",ABS(P1857)+ROW()/1000000000,"")</f>
        <v/>
      </c>
      <c r="U1857" s="9">
        <f>IF(Q1857="비교",ABS(P1857)+ROW()/1000000000,"")</f>
        <v/>
      </c>
      <c r="V1857" s="39">
        <f>IF($A1857="","",IF(COUNTIF(변동분석!$E$7:$E$506,O1857)&gt;0,"Y","N"))</f>
        <v/>
      </c>
      <c r="W1857" s="39">
        <f>IF($A1857="","",IFERROR(INDEX(계정매핑!$D$5:$D$504,MATCH($F1857&amp;"",계정매핑!$A$5:$A$504,0)),"미매핑"))</f>
        <v/>
      </c>
      <c r="X1857" s="9">
        <f>IF($A1857="","",$F1857&amp;"")</f>
        <v/>
      </c>
    </row>
    <row r="1858">
      <c r="A1858" s="75" t="n">
        <v>2025</v>
      </c>
      <c r="B1858" s="75" t="n">
        <v>10</v>
      </c>
      <c r="C1858" s="75" t="inlineStr">
        <is>
          <t>5100001854</t>
        </is>
      </c>
      <c r="D1858" s="78" t="n">
        <v>45945</v>
      </c>
      <c r="E1858" s="75" t="inlineStr">
        <is>
          <t>KR</t>
        </is>
      </c>
      <c r="F1858" s="75" t="n">
        <v>62102000</v>
      </c>
      <c r="G1858" s="75" t="n">
        <v>1602</v>
      </c>
      <c r="H1858" s="76" t="n">
        <v>364000</v>
      </c>
      <c r="I1858" s="75" t="inlineStr">
        <is>
          <t>10월 해외출장 - N호텔</t>
        </is>
      </c>
      <c r="J1858" s="75" t="inlineStr">
        <is>
          <t>V10007</t>
        </is>
      </c>
      <c r="K1858" s="75" t="inlineStr">
        <is>
          <t>N호텔</t>
        </is>
      </c>
      <c r="M1858" s="9">
        <f>IF($A1858="","",VALUE($A1858&amp;"")*12+VALUE($B1858&amp;""))</f>
        <v/>
      </c>
      <c r="N1858" s="39">
        <f>IF($A1858="","",IFERROR(INDEX(부서매핑!$C$5:$C$504,MATCH($G1858&amp;"",부서매핑!$A$5:$A$504,0)),"미매핑"))</f>
        <v/>
      </c>
      <c r="O1858" s="9">
        <f>IF($A1858="","",N1858&amp;"|"&amp;$F1858)</f>
        <v/>
      </c>
      <c r="P1858" s="77">
        <f>IF($A1858="",0,$H1858*설정!$C$23)</f>
        <v/>
      </c>
      <c r="Q1858" s="39">
        <f>IF($A1858="","",IF(O1858&lt;&gt;원인분석!$C$9,"",IF(AND(M1858&gt;=원인분석!$C$10,M1858&lt;=원인분석!$C$11),"당기",IF(AND(M1858&gt;=원인분석!$C$12,M1858&lt;=원인분석!$C$13),"비교",""))))</f>
        <v/>
      </c>
      <c r="R1858" s="9">
        <f>IF(Q1858="","",$K1858&amp;"")</f>
        <v/>
      </c>
      <c r="S1858" s="9">
        <f>IF(Q1858="","",IF(MATCH(R1858,$R$5:$R$100000,0)=ROW()-4,ROW(),""))</f>
        <v/>
      </c>
      <c r="T1858" s="9">
        <f>IF(Q1858="당기",ABS(P1858)+ROW()/1000000000,"")</f>
        <v/>
      </c>
      <c r="U1858" s="9">
        <f>IF(Q1858="비교",ABS(P1858)+ROW()/1000000000,"")</f>
        <v/>
      </c>
      <c r="V1858" s="39">
        <f>IF($A1858="","",IF(COUNTIF(변동분석!$E$7:$E$506,O1858)&gt;0,"Y","N"))</f>
        <v/>
      </c>
      <c r="W1858" s="39">
        <f>IF($A1858="","",IFERROR(INDEX(계정매핑!$D$5:$D$504,MATCH($F1858&amp;"",계정매핑!$A$5:$A$504,0)),"미매핑"))</f>
        <v/>
      </c>
      <c r="X1858" s="9">
        <f>IF($A1858="","",$F1858&amp;"")</f>
        <v/>
      </c>
    </row>
    <row r="1859">
      <c r="A1859" s="75" t="n">
        <v>2025</v>
      </c>
      <c r="B1859" s="75" t="n">
        <v>10</v>
      </c>
      <c r="C1859" s="75" t="inlineStr">
        <is>
          <t>5100001855</t>
        </is>
      </c>
      <c r="D1859" s="78" t="n">
        <v>45945</v>
      </c>
      <c r="E1859" s="75" t="inlineStr">
        <is>
          <t>KR</t>
        </is>
      </c>
      <c r="F1859" s="75" t="n">
        <v>62201000</v>
      </c>
      <c r="G1859" s="75" t="n">
        <v>1301</v>
      </c>
      <c r="H1859" s="76" t="n">
        <v>133000</v>
      </c>
      <c r="I1859" s="75" t="inlineStr">
        <is>
          <t>10월 통신요금 - P통신</t>
        </is>
      </c>
      <c r="J1859" s="75" t="inlineStr">
        <is>
          <t>V10011</t>
        </is>
      </c>
      <c r="K1859" s="75" t="inlineStr">
        <is>
          <t>P통신</t>
        </is>
      </c>
      <c r="M1859" s="9">
        <f>IF($A1859="","",VALUE($A1859&amp;"")*12+VALUE($B1859&amp;""))</f>
        <v/>
      </c>
      <c r="N1859" s="39">
        <f>IF($A1859="","",IFERROR(INDEX(부서매핑!$C$5:$C$504,MATCH($G1859&amp;"",부서매핑!$A$5:$A$504,0)),"미매핑"))</f>
        <v/>
      </c>
      <c r="O1859" s="9">
        <f>IF($A1859="","",N1859&amp;"|"&amp;$F1859)</f>
        <v/>
      </c>
      <c r="P1859" s="77">
        <f>IF($A1859="",0,$H1859*설정!$C$23)</f>
        <v/>
      </c>
      <c r="Q1859" s="39">
        <f>IF($A1859="","",IF(O1859&lt;&gt;원인분석!$C$9,"",IF(AND(M1859&gt;=원인분석!$C$10,M1859&lt;=원인분석!$C$11),"당기",IF(AND(M1859&gt;=원인분석!$C$12,M1859&lt;=원인분석!$C$13),"비교",""))))</f>
        <v/>
      </c>
      <c r="R1859" s="9">
        <f>IF(Q1859="","",$K1859&amp;"")</f>
        <v/>
      </c>
      <c r="S1859" s="9">
        <f>IF(Q1859="","",IF(MATCH(R1859,$R$5:$R$100000,0)=ROW()-4,ROW(),""))</f>
        <v/>
      </c>
      <c r="T1859" s="9">
        <f>IF(Q1859="당기",ABS(P1859)+ROW()/1000000000,"")</f>
        <v/>
      </c>
      <c r="U1859" s="9">
        <f>IF(Q1859="비교",ABS(P1859)+ROW()/1000000000,"")</f>
        <v/>
      </c>
      <c r="V1859" s="39">
        <f>IF($A1859="","",IF(COUNTIF(변동분석!$E$7:$E$506,O1859)&gt;0,"Y","N"))</f>
        <v/>
      </c>
      <c r="W1859" s="39">
        <f>IF($A1859="","",IFERROR(INDEX(계정매핑!$D$5:$D$504,MATCH($F1859&amp;"",계정매핑!$A$5:$A$504,0)),"미매핑"))</f>
        <v/>
      </c>
      <c r="X1859" s="9">
        <f>IF($A1859="","",$F1859&amp;"")</f>
        <v/>
      </c>
    </row>
    <row r="1860">
      <c r="A1860" s="75" t="n">
        <v>2025</v>
      </c>
      <c r="B1860" s="75" t="n">
        <v>10</v>
      </c>
      <c r="C1860" s="75" t="inlineStr">
        <is>
          <t>5100001856</t>
        </is>
      </c>
      <c r="D1860" s="78" t="n">
        <v>45945</v>
      </c>
      <c r="E1860" s="75" t="inlineStr">
        <is>
          <t>KR</t>
        </is>
      </c>
      <c r="F1860" s="75" t="n">
        <v>62201000</v>
      </c>
      <c r="G1860" s="75" t="n">
        <v>1502</v>
      </c>
      <c r="H1860" s="76" t="n">
        <v>309000</v>
      </c>
      <c r="I1860" s="75" t="inlineStr">
        <is>
          <t>10월 통신요금 - P통신</t>
        </is>
      </c>
      <c r="J1860" s="75" t="inlineStr">
        <is>
          <t>V10011</t>
        </is>
      </c>
      <c r="K1860" s="75" t="inlineStr">
        <is>
          <t>P통신</t>
        </is>
      </c>
      <c r="M1860" s="9">
        <f>IF($A1860="","",VALUE($A1860&amp;"")*12+VALUE($B1860&amp;""))</f>
        <v/>
      </c>
      <c r="N1860" s="39">
        <f>IF($A1860="","",IFERROR(INDEX(부서매핑!$C$5:$C$504,MATCH($G1860&amp;"",부서매핑!$A$5:$A$504,0)),"미매핑"))</f>
        <v/>
      </c>
      <c r="O1860" s="9">
        <f>IF($A1860="","",N1860&amp;"|"&amp;$F1860)</f>
        <v/>
      </c>
      <c r="P1860" s="77">
        <f>IF($A1860="",0,$H1860*설정!$C$23)</f>
        <v/>
      </c>
      <c r="Q1860" s="39">
        <f>IF($A1860="","",IF(O1860&lt;&gt;원인분석!$C$9,"",IF(AND(M1860&gt;=원인분석!$C$10,M1860&lt;=원인분석!$C$11),"당기",IF(AND(M1860&gt;=원인분석!$C$12,M1860&lt;=원인분석!$C$13),"비교",""))))</f>
        <v/>
      </c>
      <c r="R1860" s="9">
        <f>IF(Q1860="","",$K1860&amp;"")</f>
        <v/>
      </c>
      <c r="S1860" s="9">
        <f>IF(Q1860="","",IF(MATCH(R1860,$R$5:$R$100000,0)=ROW()-4,ROW(),""))</f>
        <v/>
      </c>
      <c r="T1860" s="9">
        <f>IF(Q1860="당기",ABS(P1860)+ROW()/1000000000,"")</f>
        <v/>
      </c>
      <c r="U1860" s="9">
        <f>IF(Q1860="비교",ABS(P1860)+ROW()/1000000000,"")</f>
        <v/>
      </c>
      <c r="V1860" s="39">
        <f>IF($A1860="","",IF(COUNTIF(변동분석!$E$7:$E$506,O1860)&gt;0,"Y","N"))</f>
        <v/>
      </c>
      <c r="W1860" s="39">
        <f>IF($A1860="","",IFERROR(INDEX(계정매핑!$D$5:$D$504,MATCH($F1860&amp;"",계정매핑!$A$5:$A$504,0)),"미매핑"))</f>
        <v/>
      </c>
      <c r="X1860" s="9">
        <f>IF($A1860="","",$F1860&amp;"")</f>
        <v/>
      </c>
    </row>
    <row r="1861">
      <c r="A1861" s="75" t="n">
        <v>2025</v>
      </c>
      <c r="B1861" s="75" t="n">
        <v>10</v>
      </c>
      <c r="C1861" s="75" t="inlineStr">
        <is>
          <t>5100001857</t>
        </is>
      </c>
      <c r="D1861" s="78" t="n">
        <v>45945</v>
      </c>
      <c r="E1861" s="75" t="inlineStr">
        <is>
          <t>KR</t>
        </is>
      </c>
      <c r="F1861" s="75" t="n">
        <v>62801000</v>
      </c>
      <c r="G1861" s="75" t="n">
        <v>1301</v>
      </c>
      <c r="H1861" s="76" t="n">
        <v>5454000</v>
      </c>
      <c r="I1861" s="75" t="inlineStr">
        <is>
          <t>10월 사내교육 - (사내강사료)</t>
        </is>
      </c>
      <c r="J1861" s="75" t="inlineStr">
        <is>
          <t>V10020</t>
        </is>
      </c>
      <c r="K1861" s="75" t="inlineStr">
        <is>
          <t>(사내강사료)</t>
        </is>
      </c>
      <c r="M1861" s="9">
        <f>IF($A1861="","",VALUE($A1861&amp;"")*12+VALUE($B1861&amp;""))</f>
        <v/>
      </c>
      <c r="N1861" s="39">
        <f>IF($A1861="","",IFERROR(INDEX(부서매핑!$C$5:$C$504,MATCH($G1861&amp;"",부서매핑!$A$5:$A$504,0)),"미매핑"))</f>
        <v/>
      </c>
      <c r="O1861" s="9">
        <f>IF($A1861="","",N1861&amp;"|"&amp;$F1861)</f>
        <v/>
      </c>
      <c r="P1861" s="77">
        <f>IF($A1861="",0,$H1861*설정!$C$23)</f>
        <v/>
      </c>
      <c r="Q1861" s="39">
        <f>IF($A1861="","",IF(O1861&lt;&gt;원인분석!$C$9,"",IF(AND(M1861&gt;=원인분석!$C$10,M1861&lt;=원인분석!$C$11),"당기",IF(AND(M1861&gt;=원인분석!$C$12,M1861&lt;=원인분석!$C$13),"비교",""))))</f>
        <v/>
      </c>
      <c r="R1861" s="9">
        <f>IF(Q1861="","",$K1861&amp;"")</f>
        <v/>
      </c>
      <c r="S1861" s="9">
        <f>IF(Q1861="","",IF(MATCH(R1861,$R$5:$R$100000,0)=ROW()-4,ROW(),""))</f>
        <v/>
      </c>
      <c r="T1861" s="9">
        <f>IF(Q1861="당기",ABS(P1861)+ROW()/1000000000,"")</f>
        <v/>
      </c>
      <c r="U1861" s="9">
        <f>IF(Q1861="비교",ABS(P1861)+ROW()/1000000000,"")</f>
        <v/>
      </c>
      <c r="V1861" s="39">
        <f>IF($A1861="","",IF(COUNTIF(변동분석!$E$7:$E$506,O1861)&gt;0,"Y","N"))</f>
        <v/>
      </c>
      <c r="W1861" s="39">
        <f>IF($A1861="","",IFERROR(INDEX(계정매핑!$D$5:$D$504,MATCH($F1861&amp;"",계정매핑!$A$5:$A$504,0)),"미매핑"))</f>
        <v/>
      </c>
      <c r="X1861" s="9">
        <f>IF($A1861="","",$F1861&amp;"")</f>
        <v/>
      </c>
    </row>
    <row r="1862">
      <c r="A1862" s="75" t="n">
        <v>2025</v>
      </c>
      <c r="B1862" s="75" t="n">
        <v>10</v>
      </c>
      <c r="C1862" s="75" t="inlineStr">
        <is>
          <t>5100001858</t>
        </is>
      </c>
      <c r="D1862" s="78" t="n">
        <v>45946</v>
      </c>
      <c r="E1862" s="75" t="inlineStr">
        <is>
          <t>KR</t>
        </is>
      </c>
      <c r="F1862" s="75" t="n">
        <v>62101000</v>
      </c>
      <c r="G1862" s="75" t="n">
        <v>1101</v>
      </c>
      <c r="H1862" s="76" t="n">
        <v>840000</v>
      </c>
      <c r="I1862" s="75" t="inlineStr">
        <is>
          <t>10월 국내출장 - L여행사</t>
        </is>
      </c>
      <c r="J1862" s="75" t="inlineStr">
        <is>
          <t>V10014</t>
        </is>
      </c>
      <c r="K1862" s="75" t="inlineStr">
        <is>
          <t>L여행사</t>
        </is>
      </c>
      <c r="M1862" s="9">
        <f>IF($A1862="","",VALUE($A1862&amp;"")*12+VALUE($B1862&amp;""))</f>
        <v/>
      </c>
      <c r="N1862" s="39">
        <f>IF($A1862="","",IFERROR(INDEX(부서매핑!$C$5:$C$504,MATCH($G1862&amp;"",부서매핑!$A$5:$A$504,0)),"미매핑"))</f>
        <v/>
      </c>
      <c r="O1862" s="9">
        <f>IF($A1862="","",N1862&amp;"|"&amp;$F1862)</f>
        <v/>
      </c>
      <c r="P1862" s="77">
        <f>IF($A1862="",0,$H1862*설정!$C$23)</f>
        <v/>
      </c>
      <c r="Q1862" s="39">
        <f>IF($A1862="","",IF(O1862&lt;&gt;원인분석!$C$9,"",IF(AND(M1862&gt;=원인분석!$C$10,M1862&lt;=원인분석!$C$11),"당기",IF(AND(M1862&gt;=원인분석!$C$12,M1862&lt;=원인분석!$C$13),"비교",""))))</f>
        <v/>
      </c>
      <c r="R1862" s="9">
        <f>IF(Q1862="","",$K1862&amp;"")</f>
        <v/>
      </c>
      <c r="S1862" s="9">
        <f>IF(Q1862="","",IF(MATCH(R1862,$R$5:$R$100000,0)=ROW()-4,ROW(),""))</f>
        <v/>
      </c>
      <c r="T1862" s="9">
        <f>IF(Q1862="당기",ABS(P1862)+ROW()/1000000000,"")</f>
        <v/>
      </c>
      <c r="U1862" s="9">
        <f>IF(Q1862="비교",ABS(P1862)+ROW()/1000000000,"")</f>
        <v/>
      </c>
      <c r="V1862" s="39">
        <f>IF($A1862="","",IF(COUNTIF(변동분석!$E$7:$E$506,O1862)&gt;0,"Y","N"))</f>
        <v/>
      </c>
      <c r="W1862" s="39">
        <f>IF($A1862="","",IFERROR(INDEX(계정매핑!$D$5:$D$504,MATCH($F1862&amp;"",계정매핑!$A$5:$A$504,0)),"미매핑"))</f>
        <v/>
      </c>
      <c r="X1862" s="9">
        <f>IF($A1862="","",$F1862&amp;"")</f>
        <v/>
      </c>
    </row>
    <row r="1863">
      <c r="A1863" s="75" t="n">
        <v>2025</v>
      </c>
      <c r="B1863" s="75" t="n">
        <v>10</v>
      </c>
      <c r="C1863" s="75" t="inlineStr">
        <is>
          <t>5100001859</t>
        </is>
      </c>
      <c r="D1863" s="78" t="n">
        <v>45946</v>
      </c>
      <c r="E1863" s="75" t="inlineStr">
        <is>
          <t>KR</t>
        </is>
      </c>
      <c r="F1863" s="75" t="n">
        <v>62101000</v>
      </c>
      <c r="G1863" s="75" t="n">
        <v>1501</v>
      </c>
      <c r="H1863" s="76" t="n">
        <v>387000</v>
      </c>
      <c r="I1863" s="75" t="inlineStr">
        <is>
          <t>10월 국내출장 - M항공</t>
        </is>
      </c>
      <c r="J1863" s="75" t="inlineStr">
        <is>
          <t>V10001</t>
        </is>
      </c>
      <c r="K1863" s="75" t="inlineStr">
        <is>
          <t>M항공</t>
        </is>
      </c>
      <c r="M1863" s="9">
        <f>IF($A1863="","",VALUE($A1863&amp;"")*12+VALUE($B1863&amp;""))</f>
        <v/>
      </c>
      <c r="N1863" s="39">
        <f>IF($A1863="","",IFERROR(INDEX(부서매핑!$C$5:$C$504,MATCH($G1863&amp;"",부서매핑!$A$5:$A$504,0)),"미매핑"))</f>
        <v/>
      </c>
      <c r="O1863" s="9">
        <f>IF($A1863="","",N1863&amp;"|"&amp;$F1863)</f>
        <v/>
      </c>
      <c r="P1863" s="77">
        <f>IF($A1863="",0,$H1863*설정!$C$23)</f>
        <v/>
      </c>
      <c r="Q1863" s="39">
        <f>IF($A1863="","",IF(O1863&lt;&gt;원인분석!$C$9,"",IF(AND(M1863&gt;=원인분석!$C$10,M1863&lt;=원인분석!$C$11),"당기",IF(AND(M1863&gt;=원인분석!$C$12,M1863&lt;=원인분석!$C$13),"비교",""))))</f>
        <v/>
      </c>
      <c r="R1863" s="9">
        <f>IF(Q1863="","",$K1863&amp;"")</f>
        <v/>
      </c>
      <c r="S1863" s="9">
        <f>IF(Q1863="","",IF(MATCH(R1863,$R$5:$R$100000,0)=ROW()-4,ROW(),""))</f>
        <v/>
      </c>
      <c r="T1863" s="9">
        <f>IF(Q1863="당기",ABS(P1863)+ROW()/1000000000,"")</f>
        <v/>
      </c>
      <c r="U1863" s="9">
        <f>IF(Q1863="비교",ABS(P1863)+ROW()/1000000000,"")</f>
        <v/>
      </c>
      <c r="V1863" s="39">
        <f>IF($A1863="","",IF(COUNTIF(변동분석!$E$7:$E$506,O1863)&gt;0,"Y","N"))</f>
        <v/>
      </c>
      <c r="W1863" s="39">
        <f>IF($A1863="","",IFERROR(INDEX(계정매핑!$D$5:$D$504,MATCH($F1863&amp;"",계정매핑!$A$5:$A$504,0)),"미매핑"))</f>
        <v/>
      </c>
      <c r="X1863" s="9">
        <f>IF($A1863="","",$F1863&amp;"")</f>
        <v/>
      </c>
    </row>
    <row r="1864">
      <c r="A1864" s="75" t="n">
        <v>2025</v>
      </c>
      <c r="B1864" s="75" t="n">
        <v>10</v>
      </c>
      <c r="C1864" s="75" t="inlineStr">
        <is>
          <t>5100001860</t>
        </is>
      </c>
      <c r="D1864" s="78" t="n">
        <v>45946</v>
      </c>
      <c r="E1864" s="75" t="inlineStr">
        <is>
          <t>KR</t>
        </is>
      </c>
      <c r="F1864" s="75" t="n">
        <v>62101000</v>
      </c>
      <c r="G1864" s="75" t="n">
        <v>1701</v>
      </c>
      <c r="H1864" s="76" t="n">
        <v>142000</v>
      </c>
      <c r="I1864" s="75" t="inlineStr">
        <is>
          <t>10월 국내출장 - (법인카드)</t>
        </is>
      </c>
      <c r="J1864" s="75" t="inlineStr">
        <is>
          <t>V10008</t>
        </is>
      </c>
      <c r="K1864" s="75" t="inlineStr">
        <is>
          <t>(법인카드)</t>
        </is>
      </c>
      <c r="M1864" s="9">
        <f>IF($A1864="","",VALUE($A1864&amp;"")*12+VALUE($B1864&amp;""))</f>
        <v/>
      </c>
      <c r="N1864" s="39">
        <f>IF($A1864="","",IFERROR(INDEX(부서매핑!$C$5:$C$504,MATCH($G1864&amp;"",부서매핑!$A$5:$A$504,0)),"미매핑"))</f>
        <v/>
      </c>
      <c r="O1864" s="9">
        <f>IF($A1864="","",N1864&amp;"|"&amp;$F1864)</f>
        <v/>
      </c>
      <c r="P1864" s="77">
        <f>IF($A1864="",0,$H1864*설정!$C$23)</f>
        <v/>
      </c>
      <c r="Q1864" s="39">
        <f>IF($A1864="","",IF(O1864&lt;&gt;원인분석!$C$9,"",IF(AND(M1864&gt;=원인분석!$C$10,M1864&lt;=원인분석!$C$11),"당기",IF(AND(M1864&gt;=원인분석!$C$12,M1864&lt;=원인분석!$C$13),"비교",""))))</f>
        <v/>
      </c>
      <c r="R1864" s="9">
        <f>IF(Q1864="","",$K1864&amp;"")</f>
        <v/>
      </c>
      <c r="S1864" s="9">
        <f>IF(Q1864="","",IF(MATCH(R1864,$R$5:$R$100000,0)=ROW()-4,ROW(),""))</f>
        <v/>
      </c>
      <c r="T1864" s="9">
        <f>IF(Q1864="당기",ABS(P1864)+ROW()/1000000000,"")</f>
        <v/>
      </c>
      <c r="U1864" s="9">
        <f>IF(Q1864="비교",ABS(P1864)+ROW()/1000000000,"")</f>
        <v/>
      </c>
      <c r="V1864" s="39">
        <f>IF($A1864="","",IF(COUNTIF(변동분석!$E$7:$E$506,O1864)&gt;0,"Y","N"))</f>
        <v/>
      </c>
      <c r="W1864" s="39">
        <f>IF($A1864="","",IFERROR(INDEX(계정매핑!$D$5:$D$504,MATCH($F1864&amp;"",계정매핑!$A$5:$A$504,0)),"미매핑"))</f>
        <v/>
      </c>
      <c r="X1864" s="9">
        <f>IF($A1864="","",$F1864&amp;"")</f>
        <v/>
      </c>
    </row>
    <row r="1865">
      <c r="A1865" s="75" t="n">
        <v>2025</v>
      </c>
      <c r="B1865" s="75" t="n">
        <v>10</v>
      </c>
      <c r="C1865" s="75" t="inlineStr">
        <is>
          <t>5100001861</t>
        </is>
      </c>
      <c r="D1865" s="78" t="n">
        <v>45946</v>
      </c>
      <c r="E1865" s="75" t="inlineStr">
        <is>
          <t>KR</t>
        </is>
      </c>
      <c r="F1865" s="75" t="n">
        <v>62101000</v>
      </c>
      <c r="G1865" s="75" t="n">
        <v>1801</v>
      </c>
      <c r="H1865" s="76" t="n">
        <v>138000</v>
      </c>
      <c r="I1865" s="75" t="inlineStr">
        <is>
          <t>10월 국내출장 - (법인카드)</t>
        </is>
      </c>
      <c r="J1865" s="75" t="inlineStr">
        <is>
          <t>V10008</t>
        </is>
      </c>
      <c r="K1865" s="75" t="inlineStr">
        <is>
          <t>(법인카드)</t>
        </is>
      </c>
      <c r="M1865" s="9">
        <f>IF($A1865="","",VALUE($A1865&amp;"")*12+VALUE($B1865&amp;""))</f>
        <v/>
      </c>
      <c r="N1865" s="39">
        <f>IF($A1865="","",IFERROR(INDEX(부서매핑!$C$5:$C$504,MATCH($G1865&amp;"",부서매핑!$A$5:$A$504,0)),"미매핑"))</f>
        <v/>
      </c>
      <c r="O1865" s="9">
        <f>IF($A1865="","",N1865&amp;"|"&amp;$F1865)</f>
        <v/>
      </c>
      <c r="P1865" s="77">
        <f>IF($A1865="",0,$H1865*설정!$C$23)</f>
        <v/>
      </c>
      <c r="Q1865" s="39">
        <f>IF($A1865="","",IF(O1865&lt;&gt;원인분석!$C$9,"",IF(AND(M1865&gt;=원인분석!$C$10,M1865&lt;=원인분석!$C$11),"당기",IF(AND(M1865&gt;=원인분석!$C$12,M1865&lt;=원인분석!$C$13),"비교",""))))</f>
        <v/>
      </c>
      <c r="R1865" s="9">
        <f>IF(Q1865="","",$K1865&amp;"")</f>
        <v/>
      </c>
      <c r="S1865" s="9">
        <f>IF(Q1865="","",IF(MATCH(R1865,$R$5:$R$100000,0)=ROW()-4,ROW(),""))</f>
        <v/>
      </c>
      <c r="T1865" s="9">
        <f>IF(Q1865="당기",ABS(P1865)+ROW()/1000000000,"")</f>
        <v/>
      </c>
      <c r="U1865" s="9">
        <f>IF(Q1865="비교",ABS(P1865)+ROW()/1000000000,"")</f>
        <v/>
      </c>
      <c r="V1865" s="39">
        <f>IF($A1865="","",IF(COUNTIF(변동분석!$E$7:$E$506,O1865)&gt;0,"Y","N"))</f>
        <v/>
      </c>
      <c r="W1865" s="39">
        <f>IF($A1865="","",IFERROR(INDEX(계정매핑!$D$5:$D$504,MATCH($F1865&amp;"",계정매핑!$A$5:$A$504,0)),"미매핑"))</f>
        <v/>
      </c>
      <c r="X1865" s="9">
        <f>IF($A1865="","",$F1865&amp;"")</f>
        <v/>
      </c>
    </row>
    <row r="1866">
      <c r="A1866" s="75" t="n">
        <v>2025</v>
      </c>
      <c r="B1866" s="75" t="n">
        <v>10</v>
      </c>
      <c r="C1866" s="75" t="inlineStr">
        <is>
          <t>5100001862</t>
        </is>
      </c>
      <c r="D1866" s="78" t="n">
        <v>45946</v>
      </c>
      <c r="E1866" s="75" t="inlineStr">
        <is>
          <t>KR</t>
        </is>
      </c>
      <c r="F1866" s="75" t="n">
        <v>62201000</v>
      </c>
      <c r="G1866" s="75" t="n">
        <v>1101</v>
      </c>
      <c r="H1866" s="76" t="n">
        <v>131000</v>
      </c>
      <c r="I1866" s="75" t="inlineStr">
        <is>
          <t>10월 통신요금 - O텔레콤</t>
        </is>
      </c>
      <c r="J1866" s="75" t="inlineStr">
        <is>
          <t>V10002</t>
        </is>
      </c>
      <c r="K1866" s="75" t="inlineStr">
        <is>
          <t>O텔레콤</t>
        </is>
      </c>
      <c r="M1866" s="9">
        <f>IF($A1866="","",VALUE($A1866&amp;"")*12+VALUE($B1866&amp;""))</f>
        <v/>
      </c>
      <c r="N1866" s="39">
        <f>IF($A1866="","",IFERROR(INDEX(부서매핑!$C$5:$C$504,MATCH($G1866&amp;"",부서매핑!$A$5:$A$504,0)),"미매핑"))</f>
        <v/>
      </c>
      <c r="O1866" s="9">
        <f>IF($A1866="","",N1866&amp;"|"&amp;$F1866)</f>
        <v/>
      </c>
      <c r="P1866" s="77">
        <f>IF($A1866="",0,$H1866*설정!$C$23)</f>
        <v/>
      </c>
      <c r="Q1866" s="39">
        <f>IF($A1866="","",IF(O1866&lt;&gt;원인분석!$C$9,"",IF(AND(M1866&gt;=원인분석!$C$10,M1866&lt;=원인분석!$C$11),"당기",IF(AND(M1866&gt;=원인분석!$C$12,M1866&lt;=원인분석!$C$13),"비교",""))))</f>
        <v/>
      </c>
      <c r="R1866" s="9">
        <f>IF(Q1866="","",$K1866&amp;"")</f>
        <v/>
      </c>
      <c r="S1866" s="9">
        <f>IF(Q1866="","",IF(MATCH(R1866,$R$5:$R$100000,0)=ROW()-4,ROW(),""))</f>
        <v/>
      </c>
      <c r="T1866" s="9">
        <f>IF(Q1866="당기",ABS(P1866)+ROW()/1000000000,"")</f>
        <v/>
      </c>
      <c r="U1866" s="9">
        <f>IF(Q1866="비교",ABS(P1866)+ROW()/1000000000,"")</f>
        <v/>
      </c>
      <c r="V1866" s="39">
        <f>IF($A1866="","",IF(COUNTIF(변동분석!$E$7:$E$506,O1866)&gt;0,"Y","N"))</f>
        <v/>
      </c>
      <c r="W1866" s="39">
        <f>IF($A1866="","",IFERROR(INDEX(계정매핑!$D$5:$D$504,MATCH($F1866&amp;"",계정매핑!$A$5:$A$504,0)),"미매핑"))</f>
        <v/>
      </c>
      <c r="X1866" s="9">
        <f>IF($A1866="","",$F1866&amp;"")</f>
        <v/>
      </c>
    </row>
    <row r="1867">
      <c r="A1867" s="75" t="n">
        <v>2025</v>
      </c>
      <c r="B1867" s="75" t="n">
        <v>10</v>
      </c>
      <c r="C1867" s="75" t="inlineStr">
        <is>
          <t>5100001863</t>
        </is>
      </c>
      <c r="D1867" s="78" t="n">
        <v>45946</v>
      </c>
      <c r="E1867" s="75" t="inlineStr">
        <is>
          <t>KR</t>
        </is>
      </c>
      <c r="F1867" s="75" t="n">
        <v>62501000</v>
      </c>
      <c r="G1867" s="75" t="n">
        <v>1101</v>
      </c>
      <c r="H1867" s="76" t="n">
        <v>204000</v>
      </c>
      <c r="I1867" s="75" t="inlineStr">
        <is>
          <t>10월 회의 다과 - (법인카드)</t>
        </is>
      </c>
      <c r="J1867" s="75" t="inlineStr">
        <is>
          <t>V10008</t>
        </is>
      </c>
      <c r="K1867" s="75" t="inlineStr">
        <is>
          <t>(법인카드)</t>
        </is>
      </c>
      <c r="M1867" s="9">
        <f>IF($A1867="","",VALUE($A1867&amp;"")*12+VALUE($B1867&amp;""))</f>
        <v/>
      </c>
      <c r="N1867" s="39">
        <f>IF($A1867="","",IFERROR(INDEX(부서매핑!$C$5:$C$504,MATCH($G1867&amp;"",부서매핑!$A$5:$A$504,0)),"미매핑"))</f>
        <v/>
      </c>
      <c r="O1867" s="9">
        <f>IF($A1867="","",N1867&amp;"|"&amp;$F1867)</f>
        <v/>
      </c>
      <c r="P1867" s="77">
        <f>IF($A1867="",0,$H1867*설정!$C$23)</f>
        <v/>
      </c>
      <c r="Q1867" s="39">
        <f>IF($A1867="","",IF(O1867&lt;&gt;원인분석!$C$9,"",IF(AND(M1867&gt;=원인분석!$C$10,M1867&lt;=원인분석!$C$11),"당기",IF(AND(M1867&gt;=원인분석!$C$12,M1867&lt;=원인분석!$C$13),"비교",""))))</f>
        <v/>
      </c>
      <c r="R1867" s="9">
        <f>IF(Q1867="","",$K1867&amp;"")</f>
        <v/>
      </c>
      <c r="S1867" s="9">
        <f>IF(Q1867="","",IF(MATCH(R1867,$R$5:$R$100000,0)=ROW()-4,ROW(),""))</f>
        <v/>
      </c>
      <c r="T1867" s="9">
        <f>IF(Q1867="당기",ABS(P1867)+ROW()/1000000000,"")</f>
        <v/>
      </c>
      <c r="U1867" s="9">
        <f>IF(Q1867="비교",ABS(P1867)+ROW()/1000000000,"")</f>
        <v/>
      </c>
      <c r="V1867" s="39">
        <f>IF($A1867="","",IF(COUNTIF(변동분석!$E$7:$E$506,O1867)&gt;0,"Y","N"))</f>
        <v/>
      </c>
      <c r="W1867" s="39">
        <f>IF($A1867="","",IFERROR(INDEX(계정매핑!$D$5:$D$504,MATCH($F1867&amp;"",계정매핑!$A$5:$A$504,0)),"미매핑"))</f>
        <v/>
      </c>
      <c r="X1867" s="9">
        <f>IF($A1867="","",$F1867&amp;"")</f>
        <v/>
      </c>
    </row>
    <row r="1868">
      <c r="A1868" s="75" t="n">
        <v>2025</v>
      </c>
      <c r="B1868" s="75" t="n">
        <v>10</v>
      </c>
      <c r="C1868" s="75" t="inlineStr">
        <is>
          <t>5100001864</t>
        </is>
      </c>
      <c r="D1868" s="78" t="n">
        <v>45946</v>
      </c>
      <c r="E1868" s="75" t="inlineStr">
        <is>
          <t>KR</t>
        </is>
      </c>
      <c r="F1868" s="75" t="n">
        <v>62601000</v>
      </c>
      <c r="G1868" s="75" t="n">
        <v>1502</v>
      </c>
      <c r="H1868" s="76" t="n">
        <v>2818000</v>
      </c>
      <c r="I1868" s="75" t="inlineStr">
        <is>
          <t>10월 업무추진 - (법인카드)</t>
        </is>
      </c>
      <c r="J1868" s="75" t="inlineStr">
        <is>
          <t>V10008</t>
        </is>
      </c>
      <c r="K1868" s="75" t="inlineStr">
        <is>
          <t>(법인카드)</t>
        </is>
      </c>
      <c r="M1868" s="9">
        <f>IF($A1868="","",VALUE($A1868&amp;"")*12+VALUE($B1868&amp;""))</f>
        <v/>
      </c>
      <c r="N1868" s="39">
        <f>IF($A1868="","",IFERROR(INDEX(부서매핑!$C$5:$C$504,MATCH($G1868&amp;"",부서매핑!$A$5:$A$504,0)),"미매핑"))</f>
        <v/>
      </c>
      <c r="O1868" s="9">
        <f>IF($A1868="","",N1868&amp;"|"&amp;$F1868)</f>
        <v/>
      </c>
      <c r="P1868" s="77">
        <f>IF($A1868="",0,$H1868*설정!$C$23)</f>
        <v/>
      </c>
      <c r="Q1868" s="39">
        <f>IF($A1868="","",IF(O1868&lt;&gt;원인분석!$C$9,"",IF(AND(M1868&gt;=원인분석!$C$10,M1868&lt;=원인분석!$C$11),"당기",IF(AND(M1868&gt;=원인분석!$C$12,M1868&lt;=원인분석!$C$13),"비교",""))))</f>
        <v/>
      </c>
      <c r="R1868" s="9">
        <f>IF(Q1868="","",$K1868&amp;"")</f>
        <v/>
      </c>
      <c r="S1868" s="9">
        <f>IF(Q1868="","",IF(MATCH(R1868,$R$5:$R$100000,0)=ROW()-4,ROW(),""))</f>
        <v/>
      </c>
      <c r="T1868" s="9">
        <f>IF(Q1868="당기",ABS(P1868)+ROW()/1000000000,"")</f>
        <v/>
      </c>
      <c r="U1868" s="9">
        <f>IF(Q1868="비교",ABS(P1868)+ROW()/1000000000,"")</f>
        <v/>
      </c>
      <c r="V1868" s="39">
        <f>IF($A1868="","",IF(COUNTIF(변동분석!$E$7:$E$506,O1868)&gt;0,"Y","N"))</f>
        <v/>
      </c>
      <c r="W1868" s="39">
        <f>IF($A1868="","",IFERROR(INDEX(계정매핑!$D$5:$D$504,MATCH($F1868&amp;"",계정매핑!$A$5:$A$504,0)),"미매핑"))</f>
        <v/>
      </c>
      <c r="X1868" s="9">
        <f>IF($A1868="","",$F1868&amp;"")</f>
        <v/>
      </c>
    </row>
    <row r="1869">
      <c r="A1869" s="75" t="n">
        <v>2025</v>
      </c>
      <c r="B1869" s="75" t="n">
        <v>10</v>
      </c>
      <c r="C1869" s="75" t="inlineStr">
        <is>
          <t>5100001865</t>
        </is>
      </c>
      <c r="D1869" s="78" t="n">
        <v>45946</v>
      </c>
      <c r="E1869" s="75" t="inlineStr">
        <is>
          <t>KR</t>
        </is>
      </c>
      <c r="F1869" s="75" t="n">
        <v>63101000</v>
      </c>
      <c r="G1869" s="75" t="n">
        <v>1602</v>
      </c>
      <c r="H1869" s="76" t="n">
        <v>6585000</v>
      </c>
      <c r="I1869" s="75" t="inlineStr">
        <is>
          <t>10월 사무실 임차료 - AA빌딩</t>
        </is>
      </c>
      <c r="J1869" s="75" t="inlineStr">
        <is>
          <t>V10006</t>
        </is>
      </c>
      <c r="K1869" s="75" t="inlineStr">
        <is>
          <t>AA빌딩</t>
        </is>
      </c>
      <c r="M1869" s="9">
        <f>IF($A1869="","",VALUE($A1869&amp;"")*12+VALUE($B1869&amp;""))</f>
        <v/>
      </c>
      <c r="N1869" s="39">
        <f>IF($A1869="","",IFERROR(INDEX(부서매핑!$C$5:$C$504,MATCH($G1869&amp;"",부서매핑!$A$5:$A$504,0)),"미매핑"))</f>
        <v/>
      </c>
      <c r="O1869" s="9">
        <f>IF($A1869="","",N1869&amp;"|"&amp;$F1869)</f>
        <v/>
      </c>
      <c r="P1869" s="77">
        <f>IF($A1869="",0,$H1869*설정!$C$23)</f>
        <v/>
      </c>
      <c r="Q1869" s="39">
        <f>IF($A1869="","",IF(O1869&lt;&gt;원인분석!$C$9,"",IF(AND(M1869&gt;=원인분석!$C$10,M1869&lt;=원인분석!$C$11),"당기",IF(AND(M1869&gt;=원인분석!$C$12,M1869&lt;=원인분석!$C$13),"비교",""))))</f>
        <v/>
      </c>
      <c r="R1869" s="9">
        <f>IF(Q1869="","",$K1869&amp;"")</f>
        <v/>
      </c>
      <c r="S1869" s="9">
        <f>IF(Q1869="","",IF(MATCH(R1869,$R$5:$R$100000,0)=ROW()-4,ROW(),""))</f>
        <v/>
      </c>
      <c r="T1869" s="9">
        <f>IF(Q1869="당기",ABS(P1869)+ROW()/1000000000,"")</f>
        <v/>
      </c>
      <c r="U1869" s="9">
        <f>IF(Q1869="비교",ABS(P1869)+ROW()/1000000000,"")</f>
        <v/>
      </c>
      <c r="V1869" s="39">
        <f>IF($A1869="","",IF(COUNTIF(변동분석!$E$7:$E$506,O1869)&gt;0,"Y","N"))</f>
        <v/>
      </c>
      <c r="W1869" s="39">
        <f>IF($A1869="","",IFERROR(INDEX(계정매핑!$D$5:$D$504,MATCH($F1869&amp;"",계정매핑!$A$5:$A$504,0)),"미매핑"))</f>
        <v/>
      </c>
      <c r="X1869" s="9">
        <f>IF($A1869="","",$F1869&amp;"")</f>
        <v/>
      </c>
    </row>
    <row r="1870">
      <c r="A1870" s="75" t="n">
        <v>2025</v>
      </c>
      <c r="B1870" s="75" t="n">
        <v>10</v>
      </c>
      <c r="C1870" s="75" t="inlineStr">
        <is>
          <t>5100001866</t>
        </is>
      </c>
      <c r="D1870" s="78" t="n">
        <v>45947</v>
      </c>
      <c r="E1870" s="75" t="inlineStr">
        <is>
          <t>KR</t>
        </is>
      </c>
      <c r="F1870" s="75" t="n">
        <v>62102000</v>
      </c>
      <c r="G1870" s="75" t="n">
        <v>1501</v>
      </c>
      <c r="H1870" s="76" t="n">
        <v>174000</v>
      </c>
      <c r="I1870" s="75" t="inlineStr">
        <is>
          <t>10월 해외출장 - M항공</t>
        </is>
      </c>
      <c r="J1870" s="75" t="inlineStr">
        <is>
          <t>V10001</t>
        </is>
      </c>
      <c r="K1870" s="75" t="inlineStr">
        <is>
          <t>M항공</t>
        </is>
      </c>
      <c r="M1870" s="9">
        <f>IF($A1870="","",VALUE($A1870&amp;"")*12+VALUE($B1870&amp;""))</f>
        <v/>
      </c>
      <c r="N1870" s="39">
        <f>IF($A1870="","",IFERROR(INDEX(부서매핑!$C$5:$C$504,MATCH($G1870&amp;"",부서매핑!$A$5:$A$504,0)),"미매핑"))</f>
        <v/>
      </c>
      <c r="O1870" s="9">
        <f>IF($A1870="","",N1870&amp;"|"&amp;$F1870)</f>
        <v/>
      </c>
      <c r="P1870" s="77">
        <f>IF($A1870="",0,$H1870*설정!$C$23)</f>
        <v/>
      </c>
      <c r="Q1870" s="39">
        <f>IF($A1870="","",IF(O1870&lt;&gt;원인분석!$C$9,"",IF(AND(M1870&gt;=원인분석!$C$10,M1870&lt;=원인분석!$C$11),"당기",IF(AND(M1870&gt;=원인분석!$C$12,M1870&lt;=원인분석!$C$13),"비교",""))))</f>
        <v/>
      </c>
      <c r="R1870" s="9">
        <f>IF(Q1870="","",$K1870&amp;"")</f>
        <v/>
      </c>
      <c r="S1870" s="9">
        <f>IF(Q1870="","",IF(MATCH(R1870,$R$5:$R$100000,0)=ROW()-4,ROW(),""))</f>
        <v/>
      </c>
      <c r="T1870" s="9">
        <f>IF(Q1870="당기",ABS(P1870)+ROW()/1000000000,"")</f>
        <v/>
      </c>
      <c r="U1870" s="9">
        <f>IF(Q1870="비교",ABS(P1870)+ROW()/1000000000,"")</f>
        <v/>
      </c>
      <c r="V1870" s="39">
        <f>IF($A1870="","",IF(COUNTIF(변동분석!$E$7:$E$506,O1870)&gt;0,"Y","N"))</f>
        <v/>
      </c>
      <c r="W1870" s="39">
        <f>IF($A1870="","",IFERROR(INDEX(계정매핑!$D$5:$D$504,MATCH($F1870&amp;"",계정매핑!$A$5:$A$504,0)),"미매핑"))</f>
        <v/>
      </c>
      <c r="X1870" s="9">
        <f>IF($A1870="","",$F1870&amp;"")</f>
        <v/>
      </c>
    </row>
    <row r="1871">
      <c r="A1871" s="75" t="n">
        <v>2025</v>
      </c>
      <c r="B1871" s="75" t="n">
        <v>10</v>
      </c>
      <c r="C1871" s="75" t="inlineStr">
        <is>
          <t>5100001867</t>
        </is>
      </c>
      <c r="D1871" s="78" t="n">
        <v>45947</v>
      </c>
      <c r="E1871" s="75" t="inlineStr">
        <is>
          <t>KR</t>
        </is>
      </c>
      <c r="F1871" s="75" t="n">
        <v>62301000</v>
      </c>
      <c r="G1871" s="75" t="n">
        <v>1301</v>
      </c>
      <c r="H1871" s="76" t="n">
        <v>328000</v>
      </c>
      <c r="I1871" s="75" t="inlineStr">
        <is>
          <t>10월 소모품 구입 - R문구</t>
        </is>
      </c>
      <c r="J1871" s="75" t="inlineStr">
        <is>
          <t>V10018</t>
        </is>
      </c>
      <c r="K1871" s="75" t="inlineStr">
        <is>
          <t>R문구</t>
        </is>
      </c>
      <c r="M1871" s="9">
        <f>IF($A1871="","",VALUE($A1871&amp;"")*12+VALUE($B1871&amp;""))</f>
        <v/>
      </c>
      <c r="N1871" s="39">
        <f>IF($A1871="","",IFERROR(INDEX(부서매핑!$C$5:$C$504,MATCH($G1871&amp;"",부서매핑!$A$5:$A$504,0)),"미매핑"))</f>
        <v/>
      </c>
      <c r="O1871" s="9">
        <f>IF($A1871="","",N1871&amp;"|"&amp;$F1871)</f>
        <v/>
      </c>
      <c r="P1871" s="77">
        <f>IF($A1871="",0,$H1871*설정!$C$23)</f>
        <v/>
      </c>
      <c r="Q1871" s="39">
        <f>IF($A1871="","",IF(O1871&lt;&gt;원인분석!$C$9,"",IF(AND(M1871&gt;=원인분석!$C$10,M1871&lt;=원인분석!$C$11),"당기",IF(AND(M1871&gt;=원인분석!$C$12,M1871&lt;=원인분석!$C$13),"비교",""))))</f>
        <v/>
      </c>
      <c r="R1871" s="9">
        <f>IF(Q1871="","",$K1871&amp;"")</f>
        <v/>
      </c>
      <c r="S1871" s="9">
        <f>IF(Q1871="","",IF(MATCH(R1871,$R$5:$R$100000,0)=ROW()-4,ROW(),""))</f>
        <v/>
      </c>
      <c r="T1871" s="9">
        <f>IF(Q1871="당기",ABS(P1871)+ROW()/1000000000,"")</f>
        <v/>
      </c>
      <c r="U1871" s="9">
        <f>IF(Q1871="비교",ABS(P1871)+ROW()/1000000000,"")</f>
        <v/>
      </c>
      <c r="V1871" s="39">
        <f>IF($A1871="","",IF(COUNTIF(변동분석!$E$7:$E$506,O1871)&gt;0,"Y","N"))</f>
        <v/>
      </c>
      <c r="W1871" s="39">
        <f>IF($A1871="","",IFERROR(INDEX(계정매핑!$D$5:$D$504,MATCH($F1871&amp;"",계정매핑!$A$5:$A$504,0)),"미매핑"))</f>
        <v/>
      </c>
      <c r="X1871" s="9">
        <f>IF($A1871="","",$F1871&amp;"")</f>
        <v/>
      </c>
    </row>
    <row r="1872">
      <c r="A1872" s="75" t="n">
        <v>2025</v>
      </c>
      <c r="B1872" s="75" t="n">
        <v>10</v>
      </c>
      <c r="C1872" s="75" t="inlineStr">
        <is>
          <t>5100001868</t>
        </is>
      </c>
      <c r="D1872" s="78" t="n">
        <v>45947</v>
      </c>
      <c r="E1872" s="75" t="inlineStr">
        <is>
          <t>KR</t>
        </is>
      </c>
      <c r="F1872" s="75" t="n">
        <v>62401000</v>
      </c>
      <c r="G1872" s="75" t="n">
        <v>1401</v>
      </c>
      <c r="H1872" s="76" t="n">
        <v>201000</v>
      </c>
      <c r="I1872" s="75" t="inlineStr">
        <is>
          <t>10월 인쇄물 제작 - G인쇄</t>
        </is>
      </c>
      <c r="J1872" s="75" t="inlineStr">
        <is>
          <t>V10004</t>
        </is>
      </c>
      <c r="K1872" s="75" t="inlineStr">
        <is>
          <t>G인쇄</t>
        </is>
      </c>
      <c r="M1872" s="9">
        <f>IF($A1872="","",VALUE($A1872&amp;"")*12+VALUE($B1872&amp;""))</f>
        <v/>
      </c>
      <c r="N1872" s="39">
        <f>IF($A1872="","",IFERROR(INDEX(부서매핑!$C$5:$C$504,MATCH($G1872&amp;"",부서매핑!$A$5:$A$504,0)),"미매핑"))</f>
        <v/>
      </c>
      <c r="O1872" s="9">
        <f>IF($A1872="","",N1872&amp;"|"&amp;$F1872)</f>
        <v/>
      </c>
      <c r="P1872" s="77">
        <f>IF($A1872="",0,$H1872*설정!$C$23)</f>
        <v/>
      </c>
      <c r="Q1872" s="39">
        <f>IF($A1872="","",IF(O1872&lt;&gt;원인분석!$C$9,"",IF(AND(M1872&gt;=원인분석!$C$10,M1872&lt;=원인분석!$C$11),"당기",IF(AND(M1872&gt;=원인분석!$C$12,M1872&lt;=원인분석!$C$13),"비교",""))))</f>
        <v/>
      </c>
      <c r="R1872" s="9">
        <f>IF(Q1872="","",$K1872&amp;"")</f>
        <v/>
      </c>
      <c r="S1872" s="9">
        <f>IF(Q1872="","",IF(MATCH(R1872,$R$5:$R$100000,0)=ROW()-4,ROW(),""))</f>
        <v/>
      </c>
      <c r="T1872" s="9">
        <f>IF(Q1872="당기",ABS(P1872)+ROW()/1000000000,"")</f>
        <v/>
      </c>
      <c r="U1872" s="9">
        <f>IF(Q1872="비교",ABS(P1872)+ROW()/1000000000,"")</f>
        <v/>
      </c>
      <c r="V1872" s="39">
        <f>IF($A1872="","",IF(COUNTIF(변동분석!$E$7:$E$506,O1872)&gt;0,"Y","N"))</f>
        <v/>
      </c>
      <c r="W1872" s="39">
        <f>IF($A1872="","",IFERROR(INDEX(계정매핑!$D$5:$D$504,MATCH($F1872&amp;"",계정매핑!$A$5:$A$504,0)),"미매핑"))</f>
        <v/>
      </c>
      <c r="X1872" s="9">
        <f>IF($A1872="","",$F1872&amp;"")</f>
        <v/>
      </c>
    </row>
    <row r="1873">
      <c r="A1873" s="75" t="n">
        <v>2025</v>
      </c>
      <c r="B1873" s="75" t="n">
        <v>10</v>
      </c>
      <c r="C1873" s="75" t="inlineStr">
        <is>
          <t>5100001869</t>
        </is>
      </c>
      <c r="D1873" s="78" t="n">
        <v>45947</v>
      </c>
      <c r="E1873" s="75" t="inlineStr">
        <is>
          <t>KR</t>
        </is>
      </c>
      <c r="F1873" s="75" t="n">
        <v>62501000</v>
      </c>
      <c r="G1873" s="75" t="n">
        <v>1801</v>
      </c>
      <c r="H1873" s="76" t="n">
        <v>77000</v>
      </c>
      <c r="I1873" s="75" t="inlineStr">
        <is>
          <t>10월 회의 다과 - (법인카드)</t>
        </is>
      </c>
      <c r="J1873" s="75" t="inlineStr">
        <is>
          <t>V10008</t>
        </is>
      </c>
      <c r="K1873" s="75" t="inlineStr">
        <is>
          <t>(법인카드)</t>
        </is>
      </c>
      <c r="M1873" s="9">
        <f>IF($A1873="","",VALUE($A1873&amp;"")*12+VALUE($B1873&amp;""))</f>
        <v/>
      </c>
      <c r="N1873" s="39">
        <f>IF($A1873="","",IFERROR(INDEX(부서매핑!$C$5:$C$504,MATCH($G1873&amp;"",부서매핑!$A$5:$A$504,0)),"미매핑"))</f>
        <v/>
      </c>
      <c r="O1873" s="9">
        <f>IF($A1873="","",N1873&amp;"|"&amp;$F1873)</f>
        <v/>
      </c>
      <c r="P1873" s="77">
        <f>IF($A1873="",0,$H1873*설정!$C$23)</f>
        <v/>
      </c>
      <c r="Q1873" s="39">
        <f>IF($A1873="","",IF(O1873&lt;&gt;원인분석!$C$9,"",IF(AND(M1873&gt;=원인분석!$C$10,M1873&lt;=원인분석!$C$11),"당기",IF(AND(M1873&gt;=원인분석!$C$12,M1873&lt;=원인분석!$C$13),"비교",""))))</f>
        <v/>
      </c>
      <c r="R1873" s="9">
        <f>IF(Q1873="","",$K1873&amp;"")</f>
        <v/>
      </c>
      <c r="S1873" s="9">
        <f>IF(Q1873="","",IF(MATCH(R1873,$R$5:$R$100000,0)=ROW()-4,ROW(),""))</f>
        <v/>
      </c>
      <c r="T1873" s="9">
        <f>IF(Q1873="당기",ABS(P1873)+ROW()/1000000000,"")</f>
        <v/>
      </c>
      <c r="U1873" s="9">
        <f>IF(Q1873="비교",ABS(P1873)+ROW()/1000000000,"")</f>
        <v/>
      </c>
      <c r="V1873" s="39">
        <f>IF($A1873="","",IF(COUNTIF(변동분석!$E$7:$E$506,O1873)&gt;0,"Y","N"))</f>
        <v/>
      </c>
      <c r="W1873" s="39">
        <f>IF($A1873="","",IFERROR(INDEX(계정매핑!$D$5:$D$504,MATCH($F1873&amp;"",계정매핑!$A$5:$A$504,0)),"미매핑"))</f>
        <v/>
      </c>
      <c r="X1873" s="9">
        <f>IF($A1873="","",$F1873&amp;"")</f>
        <v/>
      </c>
    </row>
    <row r="1874">
      <c r="A1874" s="75" t="n">
        <v>2025</v>
      </c>
      <c r="B1874" s="75" t="n">
        <v>10</v>
      </c>
      <c r="C1874" s="75" t="inlineStr">
        <is>
          <t>5100001870</t>
        </is>
      </c>
      <c r="D1874" s="78" t="n">
        <v>45947</v>
      </c>
      <c r="E1874" s="75" t="inlineStr">
        <is>
          <t>KR</t>
        </is>
      </c>
      <c r="F1874" s="75" t="n">
        <v>62902000</v>
      </c>
      <c r="G1874" s="75" t="n">
        <v>1401</v>
      </c>
      <c r="H1874" s="76" t="n">
        <v>3196000</v>
      </c>
      <c r="I1874" s="75" t="inlineStr">
        <is>
          <t>10월 업무 위탁 수수료 - J콜센터</t>
        </is>
      </c>
      <c r="J1874" s="75" t="inlineStr">
        <is>
          <t>V10013</t>
        </is>
      </c>
      <c r="K1874" s="75" t="inlineStr">
        <is>
          <t>J콜센터</t>
        </is>
      </c>
      <c r="M1874" s="9">
        <f>IF($A1874="","",VALUE($A1874&amp;"")*12+VALUE($B1874&amp;""))</f>
        <v/>
      </c>
      <c r="N1874" s="39">
        <f>IF($A1874="","",IFERROR(INDEX(부서매핑!$C$5:$C$504,MATCH($G1874&amp;"",부서매핑!$A$5:$A$504,0)),"미매핑"))</f>
        <v/>
      </c>
      <c r="O1874" s="9">
        <f>IF($A1874="","",N1874&amp;"|"&amp;$F1874)</f>
        <v/>
      </c>
      <c r="P1874" s="77">
        <f>IF($A1874="",0,$H1874*설정!$C$23)</f>
        <v/>
      </c>
      <c r="Q1874" s="39">
        <f>IF($A1874="","",IF(O1874&lt;&gt;원인분석!$C$9,"",IF(AND(M1874&gt;=원인분석!$C$10,M1874&lt;=원인분석!$C$11),"당기",IF(AND(M1874&gt;=원인분석!$C$12,M1874&lt;=원인분석!$C$13),"비교",""))))</f>
        <v/>
      </c>
      <c r="R1874" s="9">
        <f>IF(Q1874="","",$K1874&amp;"")</f>
        <v/>
      </c>
      <c r="S1874" s="9">
        <f>IF(Q1874="","",IF(MATCH(R1874,$R$5:$R$100000,0)=ROW()-4,ROW(),""))</f>
        <v/>
      </c>
      <c r="T1874" s="9">
        <f>IF(Q1874="당기",ABS(P1874)+ROW()/1000000000,"")</f>
        <v/>
      </c>
      <c r="U1874" s="9">
        <f>IF(Q1874="비교",ABS(P1874)+ROW()/1000000000,"")</f>
        <v/>
      </c>
      <c r="V1874" s="39">
        <f>IF($A1874="","",IF(COUNTIF(변동분석!$E$7:$E$506,O1874)&gt;0,"Y","N"))</f>
        <v/>
      </c>
      <c r="W1874" s="39">
        <f>IF($A1874="","",IFERROR(INDEX(계정매핑!$D$5:$D$504,MATCH($F1874&amp;"",계정매핑!$A$5:$A$504,0)),"미매핑"))</f>
        <v/>
      </c>
      <c r="X1874" s="9">
        <f>IF($A1874="","",$F1874&amp;"")</f>
        <v/>
      </c>
    </row>
    <row r="1875">
      <c r="A1875" s="75" t="n">
        <v>2025</v>
      </c>
      <c r="B1875" s="75" t="n">
        <v>10</v>
      </c>
      <c r="C1875" s="75" t="inlineStr">
        <is>
          <t>5100001871</t>
        </is>
      </c>
      <c r="D1875" s="78" t="n">
        <v>45947</v>
      </c>
      <c r="E1875" s="75" t="inlineStr">
        <is>
          <t>KR</t>
        </is>
      </c>
      <c r="F1875" s="75" t="n">
        <v>63001000</v>
      </c>
      <c r="G1875" s="75" t="n">
        <v>1701</v>
      </c>
      <c r="H1875" s="76" t="n">
        <v>46452000</v>
      </c>
      <c r="I1875" s="75" t="inlineStr">
        <is>
          <t>10월 SW 유지보수 - Z시스템</t>
        </is>
      </c>
      <c r="J1875" s="75" t="inlineStr">
        <is>
          <t>V10021</t>
        </is>
      </c>
      <c r="K1875" s="75" t="inlineStr">
        <is>
          <t>Z시스템</t>
        </is>
      </c>
      <c r="M1875" s="9">
        <f>IF($A1875="","",VALUE($A1875&amp;"")*12+VALUE($B1875&amp;""))</f>
        <v/>
      </c>
      <c r="N1875" s="39">
        <f>IF($A1875="","",IFERROR(INDEX(부서매핑!$C$5:$C$504,MATCH($G1875&amp;"",부서매핑!$A$5:$A$504,0)),"미매핑"))</f>
        <v/>
      </c>
      <c r="O1875" s="9">
        <f>IF($A1875="","",N1875&amp;"|"&amp;$F1875)</f>
        <v/>
      </c>
      <c r="P1875" s="77">
        <f>IF($A1875="",0,$H1875*설정!$C$23)</f>
        <v/>
      </c>
      <c r="Q1875" s="39">
        <f>IF($A1875="","",IF(O1875&lt;&gt;원인분석!$C$9,"",IF(AND(M1875&gt;=원인분석!$C$10,M1875&lt;=원인분석!$C$11),"당기",IF(AND(M1875&gt;=원인분석!$C$12,M1875&lt;=원인분석!$C$13),"비교",""))))</f>
        <v/>
      </c>
      <c r="R1875" s="9">
        <f>IF(Q1875="","",$K1875&amp;"")</f>
        <v/>
      </c>
      <c r="S1875" s="9">
        <f>IF(Q1875="","",IF(MATCH(R1875,$R$5:$R$100000,0)=ROW()-4,ROW(),""))</f>
        <v/>
      </c>
      <c r="T1875" s="9">
        <f>IF(Q1875="당기",ABS(P1875)+ROW()/1000000000,"")</f>
        <v/>
      </c>
      <c r="U1875" s="9">
        <f>IF(Q1875="비교",ABS(P1875)+ROW()/1000000000,"")</f>
        <v/>
      </c>
      <c r="V1875" s="39">
        <f>IF($A1875="","",IF(COUNTIF(변동분석!$E$7:$E$506,O1875)&gt;0,"Y","N"))</f>
        <v/>
      </c>
      <c r="W1875" s="39">
        <f>IF($A1875="","",IFERROR(INDEX(계정매핑!$D$5:$D$504,MATCH($F1875&amp;"",계정매핑!$A$5:$A$504,0)),"미매핑"))</f>
        <v/>
      </c>
      <c r="X1875" s="9">
        <f>IF($A1875="","",$F1875&amp;"")</f>
        <v/>
      </c>
    </row>
    <row r="1876">
      <c r="A1876" s="75" t="n">
        <v>2025</v>
      </c>
      <c r="B1876" s="75" t="n">
        <v>10</v>
      </c>
      <c r="C1876" s="75" t="inlineStr">
        <is>
          <t>5100001872</t>
        </is>
      </c>
      <c r="D1876" s="78" t="n">
        <v>45948</v>
      </c>
      <c r="E1876" s="75" t="inlineStr">
        <is>
          <t>KR</t>
        </is>
      </c>
      <c r="F1876" s="75" t="n">
        <v>62101000</v>
      </c>
      <c r="G1876" s="75" t="n">
        <v>1502</v>
      </c>
      <c r="H1876" s="76" t="n">
        <v>644000</v>
      </c>
      <c r="I1876" s="75" t="inlineStr">
        <is>
          <t>10월 국내출장 - L여행사</t>
        </is>
      </c>
      <c r="J1876" s="75" t="inlineStr">
        <is>
          <t>V10014</t>
        </is>
      </c>
      <c r="K1876" s="75" t="inlineStr">
        <is>
          <t>L여행사</t>
        </is>
      </c>
      <c r="M1876" s="9">
        <f>IF($A1876="","",VALUE($A1876&amp;"")*12+VALUE($B1876&amp;""))</f>
        <v/>
      </c>
      <c r="N1876" s="39">
        <f>IF($A1876="","",IFERROR(INDEX(부서매핑!$C$5:$C$504,MATCH($G1876&amp;"",부서매핑!$A$5:$A$504,0)),"미매핑"))</f>
        <v/>
      </c>
      <c r="O1876" s="9">
        <f>IF($A1876="","",N1876&amp;"|"&amp;$F1876)</f>
        <v/>
      </c>
      <c r="P1876" s="77">
        <f>IF($A1876="",0,$H1876*설정!$C$23)</f>
        <v/>
      </c>
      <c r="Q1876" s="39">
        <f>IF($A1876="","",IF(O1876&lt;&gt;원인분석!$C$9,"",IF(AND(M1876&gt;=원인분석!$C$10,M1876&lt;=원인분석!$C$11),"당기",IF(AND(M1876&gt;=원인분석!$C$12,M1876&lt;=원인분석!$C$13),"비교",""))))</f>
        <v/>
      </c>
      <c r="R1876" s="9">
        <f>IF(Q1876="","",$K1876&amp;"")</f>
        <v/>
      </c>
      <c r="S1876" s="9">
        <f>IF(Q1876="","",IF(MATCH(R1876,$R$5:$R$100000,0)=ROW()-4,ROW(),""))</f>
        <v/>
      </c>
      <c r="T1876" s="9">
        <f>IF(Q1876="당기",ABS(P1876)+ROW()/1000000000,"")</f>
        <v/>
      </c>
      <c r="U1876" s="9">
        <f>IF(Q1876="비교",ABS(P1876)+ROW()/1000000000,"")</f>
        <v/>
      </c>
      <c r="V1876" s="39">
        <f>IF($A1876="","",IF(COUNTIF(변동분석!$E$7:$E$506,O1876)&gt;0,"Y","N"))</f>
        <v/>
      </c>
      <c r="W1876" s="39">
        <f>IF($A1876="","",IFERROR(INDEX(계정매핑!$D$5:$D$504,MATCH($F1876&amp;"",계정매핑!$A$5:$A$504,0)),"미매핑"))</f>
        <v/>
      </c>
      <c r="X1876" s="9">
        <f>IF($A1876="","",$F1876&amp;"")</f>
        <v/>
      </c>
    </row>
    <row r="1877">
      <c r="A1877" s="75" t="n">
        <v>2025</v>
      </c>
      <c r="B1877" s="75" t="n">
        <v>10</v>
      </c>
      <c r="C1877" s="75" t="inlineStr">
        <is>
          <t>5100001873</t>
        </is>
      </c>
      <c r="D1877" s="78" t="n">
        <v>45948</v>
      </c>
      <c r="E1877" s="75" t="inlineStr">
        <is>
          <t>KR</t>
        </is>
      </c>
      <c r="F1877" s="75" t="n">
        <v>62201000</v>
      </c>
      <c r="G1877" s="75" t="n">
        <v>1502</v>
      </c>
      <c r="H1877" s="76" t="n">
        <v>257000</v>
      </c>
      <c r="I1877" s="75" t="inlineStr">
        <is>
          <t>10월 통신요금 - O텔레콤</t>
        </is>
      </c>
      <c r="J1877" s="75" t="inlineStr">
        <is>
          <t>V10002</t>
        </is>
      </c>
      <c r="K1877" s="75" t="inlineStr">
        <is>
          <t>O텔레콤</t>
        </is>
      </c>
      <c r="M1877" s="9">
        <f>IF($A1877="","",VALUE($A1877&amp;"")*12+VALUE($B1877&amp;""))</f>
        <v/>
      </c>
      <c r="N1877" s="39">
        <f>IF($A1877="","",IFERROR(INDEX(부서매핑!$C$5:$C$504,MATCH($G1877&amp;"",부서매핑!$A$5:$A$504,0)),"미매핑"))</f>
        <v/>
      </c>
      <c r="O1877" s="9">
        <f>IF($A1877="","",N1877&amp;"|"&amp;$F1877)</f>
        <v/>
      </c>
      <c r="P1877" s="77">
        <f>IF($A1877="",0,$H1877*설정!$C$23)</f>
        <v/>
      </c>
      <c r="Q1877" s="39">
        <f>IF($A1877="","",IF(O1877&lt;&gt;원인분석!$C$9,"",IF(AND(M1877&gt;=원인분석!$C$10,M1877&lt;=원인분석!$C$11),"당기",IF(AND(M1877&gt;=원인분석!$C$12,M1877&lt;=원인분석!$C$13),"비교",""))))</f>
        <v/>
      </c>
      <c r="R1877" s="9">
        <f>IF(Q1877="","",$K1877&amp;"")</f>
        <v/>
      </c>
      <c r="S1877" s="9">
        <f>IF(Q1877="","",IF(MATCH(R1877,$R$5:$R$100000,0)=ROW()-4,ROW(),""))</f>
        <v/>
      </c>
      <c r="T1877" s="9">
        <f>IF(Q1877="당기",ABS(P1877)+ROW()/1000000000,"")</f>
        <v/>
      </c>
      <c r="U1877" s="9">
        <f>IF(Q1877="비교",ABS(P1877)+ROW()/1000000000,"")</f>
        <v/>
      </c>
      <c r="V1877" s="39">
        <f>IF($A1877="","",IF(COUNTIF(변동분석!$E$7:$E$506,O1877)&gt;0,"Y","N"))</f>
        <v/>
      </c>
      <c r="W1877" s="39">
        <f>IF($A1877="","",IFERROR(INDEX(계정매핑!$D$5:$D$504,MATCH($F1877&amp;"",계정매핑!$A$5:$A$504,0)),"미매핑"))</f>
        <v/>
      </c>
      <c r="X1877" s="9">
        <f>IF($A1877="","",$F1877&amp;"")</f>
        <v/>
      </c>
    </row>
    <row r="1878">
      <c r="A1878" s="75" t="n">
        <v>2025</v>
      </c>
      <c r="B1878" s="75" t="n">
        <v>10</v>
      </c>
      <c r="C1878" s="75" t="inlineStr">
        <is>
          <t>5100001874</t>
        </is>
      </c>
      <c r="D1878" s="78" t="n">
        <v>45948</v>
      </c>
      <c r="E1878" s="75" t="inlineStr">
        <is>
          <t>KR</t>
        </is>
      </c>
      <c r="F1878" s="75" t="n">
        <v>62201000</v>
      </c>
      <c r="G1878" s="75" t="n">
        <v>1601</v>
      </c>
      <c r="H1878" s="76" t="n">
        <v>751000</v>
      </c>
      <c r="I1878" s="75" t="inlineStr">
        <is>
          <t>10월 통신요금 - O텔레콤</t>
        </is>
      </c>
      <c r="J1878" s="75" t="inlineStr">
        <is>
          <t>V10002</t>
        </is>
      </c>
      <c r="K1878" s="75" t="inlineStr">
        <is>
          <t>O텔레콤</t>
        </is>
      </c>
      <c r="M1878" s="9">
        <f>IF($A1878="","",VALUE($A1878&amp;"")*12+VALUE($B1878&amp;""))</f>
        <v/>
      </c>
      <c r="N1878" s="39">
        <f>IF($A1878="","",IFERROR(INDEX(부서매핑!$C$5:$C$504,MATCH($G1878&amp;"",부서매핑!$A$5:$A$504,0)),"미매핑"))</f>
        <v/>
      </c>
      <c r="O1878" s="9">
        <f>IF($A1878="","",N1878&amp;"|"&amp;$F1878)</f>
        <v/>
      </c>
      <c r="P1878" s="77">
        <f>IF($A1878="",0,$H1878*설정!$C$23)</f>
        <v/>
      </c>
      <c r="Q1878" s="39">
        <f>IF($A1878="","",IF(O1878&lt;&gt;원인분석!$C$9,"",IF(AND(M1878&gt;=원인분석!$C$10,M1878&lt;=원인분석!$C$11),"당기",IF(AND(M1878&gt;=원인분석!$C$12,M1878&lt;=원인분석!$C$13),"비교",""))))</f>
        <v/>
      </c>
      <c r="R1878" s="9">
        <f>IF(Q1878="","",$K1878&amp;"")</f>
        <v/>
      </c>
      <c r="S1878" s="9">
        <f>IF(Q1878="","",IF(MATCH(R1878,$R$5:$R$100000,0)=ROW()-4,ROW(),""))</f>
        <v/>
      </c>
      <c r="T1878" s="9">
        <f>IF(Q1878="당기",ABS(P1878)+ROW()/1000000000,"")</f>
        <v/>
      </c>
      <c r="U1878" s="9">
        <f>IF(Q1878="비교",ABS(P1878)+ROW()/1000000000,"")</f>
        <v/>
      </c>
      <c r="V1878" s="39">
        <f>IF($A1878="","",IF(COUNTIF(변동분석!$E$7:$E$506,O1878)&gt;0,"Y","N"))</f>
        <v/>
      </c>
      <c r="W1878" s="39">
        <f>IF($A1878="","",IFERROR(INDEX(계정매핑!$D$5:$D$504,MATCH($F1878&amp;"",계정매핑!$A$5:$A$504,0)),"미매핑"))</f>
        <v/>
      </c>
      <c r="X1878" s="9">
        <f>IF($A1878="","",$F1878&amp;"")</f>
        <v/>
      </c>
    </row>
    <row r="1879">
      <c r="A1879" s="75" t="n">
        <v>2025</v>
      </c>
      <c r="B1879" s="75" t="n">
        <v>10</v>
      </c>
      <c r="C1879" s="75" t="inlineStr">
        <is>
          <t>5100001875</t>
        </is>
      </c>
      <c r="D1879" s="78" t="n">
        <v>45948</v>
      </c>
      <c r="E1879" s="75" t="inlineStr">
        <is>
          <t>KR</t>
        </is>
      </c>
      <c r="F1879" s="75" t="n">
        <v>62301000</v>
      </c>
      <c r="G1879" s="75" t="n">
        <v>1801</v>
      </c>
      <c r="H1879" s="76" t="n">
        <v>439000</v>
      </c>
      <c r="I1879" s="75" t="inlineStr">
        <is>
          <t>10월 소모품 구입 - Q오피스</t>
        </is>
      </c>
      <c r="J1879" s="75" t="inlineStr">
        <is>
          <t>V10003</t>
        </is>
      </c>
      <c r="K1879" s="75" t="inlineStr">
        <is>
          <t>Q오피스</t>
        </is>
      </c>
      <c r="M1879" s="9">
        <f>IF($A1879="","",VALUE($A1879&amp;"")*12+VALUE($B1879&amp;""))</f>
        <v/>
      </c>
      <c r="N1879" s="39">
        <f>IF($A1879="","",IFERROR(INDEX(부서매핑!$C$5:$C$504,MATCH($G1879&amp;"",부서매핑!$A$5:$A$504,0)),"미매핑"))</f>
        <v/>
      </c>
      <c r="O1879" s="9">
        <f>IF($A1879="","",N1879&amp;"|"&amp;$F1879)</f>
        <v/>
      </c>
      <c r="P1879" s="77">
        <f>IF($A1879="",0,$H1879*설정!$C$23)</f>
        <v/>
      </c>
      <c r="Q1879" s="39">
        <f>IF($A1879="","",IF(O1879&lt;&gt;원인분석!$C$9,"",IF(AND(M1879&gt;=원인분석!$C$10,M1879&lt;=원인분석!$C$11),"당기",IF(AND(M1879&gt;=원인분석!$C$12,M1879&lt;=원인분석!$C$13),"비교",""))))</f>
        <v/>
      </c>
      <c r="R1879" s="9">
        <f>IF(Q1879="","",$K1879&amp;"")</f>
        <v/>
      </c>
      <c r="S1879" s="9">
        <f>IF(Q1879="","",IF(MATCH(R1879,$R$5:$R$100000,0)=ROW()-4,ROW(),""))</f>
        <v/>
      </c>
      <c r="T1879" s="9">
        <f>IF(Q1879="당기",ABS(P1879)+ROW()/1000000000,"")</f>
        <v/>
      </c>
      <c r="U1879" s="9">
        <f>IF(Q1879="비교",ABS(P1879)+ROW()/1000000000,"")</f>
        <v/>
      </c>
      <c r="V1879" s="39">
        <f>IF($A1879="","",IF(COUNTIF(변동분석!$E$7:$E$506,O1879)&gt;0,"Y","N"))</f>
        <v/>
      </c>
      <c r="W1879" s="39">
        <f>IF($A1879="","",IFERROR(INDEX(계정매핑!$D$5:$D$504,MATCH($F1879&amp;"",계정매핑!$A$5:$A$504,0)),"미매핑"))</f>
        <v/>
      </c>
      <c r="X1879" s="9">
        <f>IF($A1879="","",$F1879&amp;"")</f>
        <v/>
      </c>
    </row>
    <row r="1880">
      <c r="A1880" s="75" t="n">
        <v>2025</v>
      </c>
      <c r="B1880" s="75" t="n">
        <v>10</v>
      </c>
      <c r="C1880" s="75" t="inlineStr">
        <is>
          <t>5100001876</t>
        </is>
      </c>
      <c r="D1880" s="78" t="n">
        <v>45948</v>
      </c>
      <c r="E1880" s="75" t="inlineStr">
        <is>
          <t>KR</t>
        </is>
      </c>
      <c r="F1880" s="75" t="n">
        <v>62902000</v>
      </c>
      <c r="G1880" s="75" t="n">
        <v>1801</v>
      </c>
      <c r="H1880" s="76" t="n">
        <v>1811000</v>
      </c>
      <c r="I1880" s="75" t="inlineStr">
        <is>
          <t>10월 콜 위탁 수수료(건별)</t>
        </is>
      </c>
      <c r="J1880" s="75" t="inlineStr">
        <is>
          <t>V10013</t>
        </is>
      </c>
      <c r="K1880" s="75" t="inlineStr">
        <is>
          <t>J콜센터</t>
        </is>
      </c>
      <c r="M1880" s="9">
        <f>IF($A1880="","",VALUE($A1880&amp;"")*12+VALUE($B1880&amp;""))</f>
        <v/>
      </c>
      <c r="N1880" s="39">
        <f>IF($A1880="","",IFERROR(INDEX(부서매핑!$C$5:$C$504,MATCH($G1880&amp;"",부서매핑!$A$5:$A$504,0)),"미매핑"))</f>
        <v/>
      </c>
      <c r="O1880" s="9">
        <f>IF($A1880="","",N1880&amp;"|"&amp;$F1880)</f>
        <v/>
      </c>
      <c r="P1880" s="77">
        <f>IF($A1880="",0,$H1880*설정!$C$23)</f>
        <v/>
      </c>
      <c r="Q1880" s="39">
        <f>IF($A1880="","",IF(O1880&lt;&gt;원인분석!$C$9,"",IF(AND(M1880&gt;=원인분석!$C$10,M1880&lt;=원인분석!$C$11),"당기",IF(AND(M1880&gt;=원인분석!$C$12,M1880&lt;=원인분석!$C$13),"비교",""))))</f>
        <v/>
      </c>
      <c r="R1880" s="9">
        <f>IF(Q1880="","",$K1880&amp;"")</f>
        <v/>
      </c>
      <c r="S1880" s="9">
        <f>IF(Q1880="","",IF(MATCH(R1880,$R$5:$R$100000,0)=ROW()-4,ROW(),""))</f>
        <v/>
      </c>
      <c r="T1880" s="9">
        <f>IF(Q1880="당기",ABS(P1880)+ROW()/1000000000,"")</f>
        <v/>
      </c>
      <c r="U1880" s="9">
        <f>IF(Q1880="비교",ABS(P1880)+ROW()/1000000000,"")</f>
        <v/>
      </c>
      <c r="V1880" s="39">
        <f>IF($A1880="","",IF(COUNTIF(변동분석!$E$7:$E$506,O1880)&gt;0,"Y","N"))</f>
        <v/>
      </c>
      <c r="W1880" s="39">
        <f>IF($A1880="","",IFERROR(INDEX(계정매핑!$D$5:$D$504,MATCH($F1880&amp;"",계정매핑!$A$5:$A$504,0)),"미매핑"))</f>
        <v/>
      </c>
      <c r="X1880" s="9">
        <f>IF($A1880="","",$F1880&amp;"")</f>
        <v/>
      </c>
    </row>
    <row r="1881">
      <c r="A1881" s="75" t="n">
        <v>2025</v>
      </c>
      <c r="B1881" s="75" t="n">
        <v>10</v>
      </c>
      <c r="C1881" s="75" t="inlineStr">
        <is>
          <t>5100001877</t>
        </is>
      </c>
      <c r="D1881" s="78" t="n">
        <v>45949</v>
      </c>
      <c r="E1881" s="75" t="inlineStr">
        <is>
          <t>KR</t>
        </is>
      </c>
      <c r="F1881" s="75" t="n">
        <v>62101000</v>
      </c>
      <c r="G1881" s="75" t="n">
        <v>1701</v>
      </c>
      <c r="H1881" s="76" t="n">
        <v>164000</v>
      </c>
      <c r="I1881" s="75" t="inlineStr">
        <is>
          <t>10월 국내출장 - M항공</t>
        </is>
      </c>
      <c r="J1881" s="75" t="inlineStr">
        <is>
          <t>V10001</t>
        </is>
      </c>
      <c r="K1881" s="75" t="inlineStr">
        <is>
          <t>M항공</t>
        </is>
      </c>
      <c r="M1881" s="9">
        <f>IF($A1881="","",VALUE($A1881&amp;"")*12+VALUE($B1881&amp;""))</f>
        <v/>
      </c>
      <c r="N1881" s="39">
        <f>IF($A1881="","",IFERROR(INDEX(부서매핑!$C$5:$C$504,MATCH($G1881&amp;"",부서매핑!$A$5:$A$504,0)),"미매핑"))</f>
        <v/>
      </c>
      <c r="O1881" s="9">
        <f>IF($A1881="","",N1881&amp;"|"&amp;$F1881)</f>
        <v/>
      </c>
      <c r="P1881" s="77">
        <f>IF($A1881="",0,$H1881*설정!$C$23)</f>
        <v/>
      </c>
      <c r="Q1881" s="39">
        <f>IF($A1881="","",IF(O1881&lt;&gt;원인분석!$C$9,"",IF(AND(M1881&gt;=원인분석!$C$10,M1881&lt;=원인분석!$C$11),"당기",IF(AND(M1881&gt;=원인분석!$C$12,M1881&lt;=원인분석!$C$13),"비교",""))))</f>
        <v/>
      </c>
      <c r="R1881" s="9">
        <f>IF(Q1881="","",$K1881&amp;"")</f>
        <v/>
      </c>
      <c r="S1881" s="9">
        <f>IF(Q1881="","",IF(MATCH(R1881,$R$5:$R$100000,0)=ROW()-4,ROW(),""))</f>
        <v/>
      </c>
      <c r="T1881" s="9">
        <f>IF(Q1881="당기",ABS(P1881)+ROW()/1000000000,"")</f>
        <v/>
      </c>
      <c r="U1881" s="9">
        <f>IF(Q1881="비교",ABS(P1881)+ROW()/1000000000,"")</f>
        <v/>
      </c>
      <c r="V1881" s="39">
        <f>IF($A1881="","",IF(COUNTIF(변동분석!$E$7:$E$506,O1881)&gt;0,"Y","N"))</f>
        <v/>
      </c>
      <c r="W1881" s="39">
        <f>IF($A1881="","",IFERROR(INDEX(계정매핑!$D$5:$D$504,MATCH($F1881&amp;"",계정매핑!$A$5:$A$504,0)),"미매핑"))</f>
        <v/>
      </c>
      <c r="X1881" s="9">
        <f>IF($A1881="","",$F1881&amp;"")</f>
        <v/>
      </c>
    </row>
    <row r="1882">
      <c r="A1882" s="75" t="n">
        <v>2025</v>
      </c>
      <c r="B1882" s="75" t="n">
        <v>10</v>
      </c>
      <c r="C1882" s="75" t="inlineStr">
        <is>
          <t>5100001878</t>
        </is>
      </c>
      <c r="D1882" s="78" t="n">
        <v>45949</v>
      </c>
      <c r="E1882" s="75" t="inlineStr">
        <is>
          <t>KR</t>
        </is>
      </c>
      <c r="F1882" s="75" t="n">
        <v>62201000</v>
      </c>
      <c r="G1882" s="75" t="n">
        <v>1301</v>
      </c>
      <c r="H1882" s="76" t="n">
        <v>163000</v>
      </c>
      <c r="I1882" s="75" t="inlineStr">
        <is>
          <t>10월 통신요금 - O텔레콤</t>
        </is>
      </c>
      <c r="J1882" s="75" t="inlineStr">
        <is>
          <t>V10002</t>
        </is>
      </c>
      <c r="K1882" s="75" t="inlineStr">
        <is>
          <t>O텔레콤</t>
        </is>
      </c>
      <c r="M1882" s="9">
        <f>IF($A1882="","",VALUE($A1882&amp;"")*12+VALUE($B1882&amp;""))</f>
        <v/>
      </c>
      <c r="N1882" s="39">
        <f>IF($A1882="","",IFERROR(INDEX(부서매핑!$C$5:$C$504,MATCH($G1882&amp;"",부서매핑!$A$5:$A$504,0)),"미매핑"))</f>
        <v/>
      </c>
      <c r="O1882" s="9">
        <f>IF($A1882="","",N1882&amp;"|"&amp;$F1882)</f>
        <v/>
      </c>
      <c r="P1882" s="77">
        <f>IF($A1882="",0,$H1882*설정!$C$23)</f>
        <v/>
      </c>
      <c r="Q1882" s="39">
        <f>IF($A1882="","",IF(O1882&lt;&gt;원인분석!$C$9,"",IF(AND(M1882&gt;=원인분석!$C$10,M1882&lt;=원인분석!$C$11),"당기",IF(AND(M1882&gt;=원인분석!$C$12,M1882&lt;=원인분석!$C$13),"비교",""))))</f>
        <v/>
      </c>
      <c r="R1882" s="9">
        <f>IF(Q1882="","",$K1882&amp;"")</f>
        <v/>
      </c>
      <c r="S1882" s="9">
        <f>IF(Q1882="","",IF(MATCH(R1882,$R$5:$R$100000,0)=ROW()-4,ROW(),""))</f>
        <v/>
      </c>
      <c r="T1882" s="9">
        <f>IF(Q1882="당기",ABS(P1882)+ROW()/1000000000,"")</f>
        <v/>
      </c>
      <c r="U1882" s="9">
        <f>IF(Q1882="비교",ABS(P1882)+ROW()/1000000000,"")</f>
        <v/>
      </c>
      <c r="V1882" s="39">
        <f>IF($A1882="","",IF(COUNTIF(변동분석!$E$7:$E$506,O1882)&gt;0,"Y","N"))</f>
        <v/>
      </c>
      <c r="W1882" s="39">
        <f>IF($A1882="","",IFERROR(INDEX(계정매핑!$D$5:$D$504,MATCH($F1882&amp;"",계정매핑!$A$5:$A$504,0)),"미매핑"))</f>
        <v/>
      </c>
      <c r="X1882" s="9">
        <f>IF($A1882="","",$F1882&amp;"")</f>
        <v/>
      </c>
    </row>
    <row r="1883">
      <c r="A1883" s="75" t="n">
        <v>2025</v>
      </c>
      <c r="B1883" s="75" t="n">
        <v>10</v>
      </c>
      <c r="C1883" s="75" t="inlineStr">
        <is>
          <t>5100001879</t>
        </is>
      </c>
      <c r="D1883" s="78" t="n">
        <v>45949</v>
      </c>
      <c r="E1883" s="75" t="inlineStr">
        <is>
          <t>KR</t>
        </is>
      </c>
      <c r="F1883" s="75" t="n">
        <v>62201000</v>
      </c>
      <c r="G1883" s="75" t="n">
        <v>1701</v>
      </c>
      <c r="H1883" s="76" t="n">
        <v>5781000</v>
      </c>
      <c r="I1883" s="75" t="inlineStr">
        <is>
          <t>10월 통신요금 - P통신</t>
        </is>
      </c>
      <c r="J1883" s="75" t="inlineStr">
        <is>
          <t>V10011</t>
        </is>
      </c>
      <c r="K1883" s="75" t="inlineStr">
        <is>
          <t>P통신</t>
        </is>
      </c>
      <c r="M1883" s="9">
        <f>IF($A1883="","",VALUE($A1883&amp;"")*12+VALUE($B1883&amp;""))</f>
        <v/>
      </c>
      <c r="N1883" s="39">
        <f>IF($A1883="","",IFERROR(INDEX(부서매핑!$C$5:$C$504,MATCH($G1883&amp;"",부서매핑!$A$5:$A$504,0)),"미매핑"))</f>
        <v/>
      </c>
      <c r="O1883" s="9">
        <f>IF($A1883="","",N1883&amp;"|"&amp;$F1883)</f>
        <v/>
      </c>
      <c r="P1883" s="77">
        <f>IF($A1883="",0,$H1883*설정!$C$23)</f>
        <v/>
      </c>
      <c r="Q1883" s="39">
        <f>IF($A1883="","",IF(O1883&lt;&gt;원인분석!$C$9,"",IF(AND(M1883&gt;=원인분석!$C$10,M1883&lt;=원인분석!$C$11),"당기",IF(AND(M1883&gt;=원인분석!$C$12,M1883&lt;=원인분석!$C$13),"비교",""))))</f>
        <v/>
      </c>
      <c r="R1883" s="9">
        <f>IF(Q1883="","",$K1883&amp;"")</f>
        <v/>
      </c>
      <c r="S1883" s="9">
        <f>IF(Q1883="","",IF(MATCH(R1883,$R$5:$R$100000,0)=ROW()-4,ROW(),""))</f>
        <v/>
      </c>
      <c r="T1883" s="9">
        <f>IF(Q1883="당기",ABS(P1883)+ROW()/1000000000,"")</f>
        <v/>
      </c>
      <c r="U1883" s="9">
        <f>IF(Q1883="비교",ABS(P1883)+ROW()/1000000000,"")</f>
        <v/>
      </c>
      <c r="V1883" s="39">
        <f>IF($A1883="","",IF(COUNTIF(변동분석!$E$7:$E$506,O1883)&gt;0,"Y","N"))</f>
        <v/>
      </c>
      <c r="W1883" s="39">
        <f>IF($A1883="","",IFERROR(INDEX(계정매핑!$D$5:$D$504,MATCH($F1883&amp;"",계정매핑!$A$5:$A$504,0)),"미매핑"))</f>
        <v/>
      </c>
      <c r="X1883" s="9">
        <f>IF($A1883="","",$F1883&amp;"")</f>
        <v/>
      </c>
    </row>
    <row r="1884">
      <c r="A1884" s="75" t="n">
        <v>2025</v>
      </c>
      <c r="B1884" s="75" t="n">
        <v>10</v>
      </c>
      <c r="C1884" s="75" t="inlineStr">
        <is>
          <t>5100001880</t>
        </is>
      </c>
      <c r="D1884" s="78" t="n">
        <v>45949</v>
      </c>
      <c r="E1884" s="75" t="inlineStr">
        <is>
          <t>KR</t>
        </is>
      </c>
      <c r="F1884" s="75" t="n">
        <v>62301000</v>
      </c>
      <c r="G1884" s="75" t="n">
        <v>1101</v>
      </c>
      <c r="H1884" s="76" t="n">
        <v>71000</v>
      </c>
      <c r="I1884" s="75" t="inlineStr">
        <is>
          <t>10월 소모품 구입 - R문구</t>
        </is>
      </c>
      <c r="J1884" s="75" t="inlineStr">
        <is>
          <t>V10018</t>
        </is>
      </c>
      <c r="K1884" s="75" t="inlineStr">
        <is>
          <t>R문구</t>
        </is>
      </c>
      <c r="M1884" s="9">
        <f>IF($A1884="","",VALUE($A1884&amp;"")*12+VALUE($B1884&amp;""))</f>
        <v/>
      </c>
      <c r="N1884" s="39">
        <f>IF($A1884="","",IFERROR(INDEX(부서매핑!$C$5:$C$504,MATCH($G1884&amp;"",부서매핑!$A$5:$A$504,0)),"미매핑"))</f>
        <v/>
      </c>
      <c r="O1884" s="9">
        <f>IF($A1884="","",N1884&amp;"|"&amp;$F1884)</f>
        <v/>
      </c>
      <c r="P1884" s="77">
        <f>IF($A1884="",0,$H1884*설정!$C$23)</f>
        <v/>
      </c>
      <c r="Q1884" s="39">
        <f>IF($A1884="","",IF(O1884&lt;&gt;원인분석!$C$9,"",IF(AND(M1884&gt;=원인분석!$C$10,M1884&lt;=원인분석!$C$11),"당기",IF(AND(M1884&gt;=원인분석!$C$12,M1884&lt;=원인분석!$C$13),"비교",""))))</f>
        <v/>
      </c>
      <c r="R1884" s="9">
        <f>IF(Q1884="","",$K1884&amp;"")</f>
        <v/>
      </c>
      <c r="S1884" s="9">
        <f>IF(Q1884="","",IF(MATCH(R1884,$R$5:$R$100000,0)=ROW()-4,ROW(),""))</f>
        <v/>
      </c>
      <c r="T1884" s="9">
        <f>IF(Q1884="당기",ABS(P1884)+ROW()/1000000000,"")</f>
        <v/>
      </c>
      <c r="U1884" s="9">
        <f>IF(Q1884="비교",ABS(P1884)+ROW()/1000000000,"")</f>
        <v/>
      </c>
      <c r="V1884" s="39">
        <f>IF($A1884="","",IF(COUNTIF(변동분석!$E$7:$E$506,O1884)&gt;0,"Y","N"))</f>
        <v/>
      </c>
      <c r="W1884" s="39">
        <f>IF($A1884="","",IFERROR(INDEX(계정매핑!$D$5:$D$504,MATCH($F1884&amp;"",계정매핑!$A$5:$A$504,0)),"미매핑"))</f>
        <v/>
      </c>
      <c r="X1884" s="9">
        <f>IF($A1884="","",$F1884&amp;"")</f>
        <v/>
      </c>
    </row>
    <row r="1885">
      <c r="A1885" s="75" t="n">
        <v>2025</v>
      </c>
      <c r="B1885" s="75" t="n">
        <v>10</v>
      </c>
      <c r="C1885" s="75" t="inlineStr">
        <is>
          <t>5100001881</t>
        </is>
      </c>
      <c r="D1885" s="78" t="n">
        <v>45949</v>
      </c>
      <c r="E1885" s="75" t="inlineStr">
        <is>
          <t>KR</t>
        </is>
      </c>
      <c r="F1885" s="75" t="n">
        <v>62301000</v>
      </c>
      <c r="G1885" s="75" t="n">
        <v>1501</v>
      </c>
      <c r="H1885" s="76" t="n">
        <v>380000</v>
      </c>
      <c r="I1885" s="75" t="inlineStr">
        <is>
          <t>10월 소모품 구입 - Q오피스</t>
        </is>
      </c>
      <c r="J1885" s="75" t="inlineStr">
        <is>
          <t>V10003</t>
        </is>
      </c>
      <c r="K1885" s="75" t="inlineStr">
        <is>
          <t>Q오피스</t>
        </is>
      </c>
      <c r="M1885" s="9">
        <f>IF($A1885="","",VALUE($A1885&amp;"")*12+VALUE($B1885&amp;""))</f>
        <v/>
      </c>
      <c r="N1885" s="39">
        <f>IF($A1885="","",IFERROR(INDEX(부서매핑!$C$5:$C$504,MATCH($G1885&amp;"",부서매핑!$A$5:$A$504,0)),"미매핑"))</f>
        <v/>
      </c>
      <c r="O1885" s="9">
        <f>IF($A1885="","",N1885&amp;"|"&amp;$F1885)</f>
        <v/>
      </c>
      <c r="P1885" s="77">
        <f>IF($A1885="",0,$H1885*설정!$C$23)</f>
        <v/>
      </c>
      <c r="Q1885" s="39">
        <f>IF($A1885="","",IF(O1885&lt;&gt;원인분석!$C$9,"",IF(AND(M1885&gt;=원인분석!$C$10,M1885&lt;=원인분석!$C$11),"당기",IF(AND(M1885&gt;=원인분석!$C$12,M1885&lt;=원인분석!$C$13),"비교",""))))</f>
        <v/>
      </c>
      <c r="R1885" s="9">
        <f>IF(Q1885="","",$K1885&amp;"")</f>
        <v/>
      </c>
      <c r="S1885" s="9">
        <f>IF(Q1885="","",IF(MATCH(R1885,$R$5:$R$100000,0)=ROW()-4,ROW(),""))</f>
        <v/>
      </c>
      <c r="T1885" s="9">
        <f>IF(Q1885="당기",ABS(P1885)+ROW()/1000000000,"")</f>
        <v/>
      </c>
      <c r="U1885" s="9">
        <f>IF(Q1885="비교",ABS(P1885)+ROW()/1000000000,"")</f>
        <v/>
      </c>
      <c r="V1885" s="39">
        <f>IF($A1885="","",IF(COUNTIF(변동분석!$E$7:$E$506,O1885)&gt;0,"Y","N"))</f>
        <v/>
      </c>
      <c r="W1885" s="39">
        <f>IF($A1885="","",IFERROR(INDEX(계정매핑!$D$5:$D$504,MATCH($F1885&amp;"",계정매핑!$A$5:$A$504,0)),"미매핑"))</f>
        <v/>
      </c>
      <c r="X1885" s="9">
        <f>IF($A1885="","",$F1885&amp;"")</f>
        <v/>
      </c>
    </row>
    <row r="1886">
      <c r="A1886" s="75" t="n">
        <v>2025</v>
      </c>
      <c r="B1886" s="75" t="n">
        <v>10</v>
      </c>
      <c r="C1886" s="75" t="inlineStr">
        <is>
          <t>5100001882</t>
        </is>
      </c>
      <c r="D1886" s="78" t="n">
        <v>45949</v>
      </c>
      <c r="E1886" s="75" t="inlineStr">
        <is>
          <t>KR</t>
        </is>
      </c>
      <c r="F1886" s="75" t="n">
        <v>62501000</v>
      </c>
      <c r="G1886" s="75" t="n">
        <v>1301</v>
      </c>
      <c r="H1886" s="76" t="n">
        <v>376000</v>
      </c>
      <c r="I1886" s="75" t="inlineStr">
        <is>
          <t>10월 회의 다과 - (법인카드)</t>
        </is>
      </c>
      <c r="J1886" s="75" t="inlineStr">
        <is>
          <t>V10008</t>
        </is>
      </c>
      <c r="K1886" s="75" t="inlineStr">
        <is>
          <t>(법인카드)</t>
        </is>
      </c>
      <c r="M1886" s="9">
        <f>IF($A1886="","",VALUE($A1886&amp;"")*12+VALUE($B1886&amp;""))</f>
        <v/>
      </c>
      <c r="N1886" s="39">
        <f>IF($A1886="","",IFERROR(INDEX(부서매핑!$C$5:$C$504,MATCH($G1886&amp;"",부서매핑!$A$5:$A$504,0)),"미매핑"))</f>
        <v/>
      </c>
      <c r="O1886" s="9">
        <f>IF($A1886="","",N1886&amp;"|"&amp;$F1886)</f>
        <v/>
      </c>
      <c r="P1886" s="77">
        <f>IF($A1886="",0,$H1886*설정!$C$23)</f>
        <v/>
      </c>
      <c r="Q1886" s="39">
        <f>IF($A1886="","",IF(O1886&lt;&gt;원인분석!$C$9,"",IF(AND(M1886&gt;=원인분석!$C$10,M1886&lt;=원인분석!$C$11),"당기",IF(AND(M1886&gt;=원인분석!$C$12,M1886&lt;=원인분석!$C$13),"비교",""))))</f>
        <v/>
      </c>
      <c r="R1886" s="9">
        <f>IF(Q1886="","",$K1886&amp;"")</f>
        <v/>
      </c>
      <c r="S1886" s="9">
        <f>IF(Q1886="","",IF(MATCH(R1886,$R$5:$R$100000,0)=ROW()-4,ROW(),""))</f>
        <v/>
      </c>
      <c r="T1886" s="9">
        <f>IF(Q1886="당기",ABS(P1886)+ROW()/1000000000,"")</f>
        <v/>
      </c>
      <c r="U1886" s="9">
        <f>IF(Q1886="비교",ABS(P1886)+ROW()/1000000000,"")</f>
        <v/>
      </c>
      <c r="V1886" s="39">
        <f>IF($A1886="","",IF(COUNTIF(변동분석!$E$7:$E$506,O1886)&gt;0,"Y","N"))</f>
        <v/>
      </c>
      <c r="W1886" s="39">
        <f>IF($A1886="","",IFERROR(INDEX(계정매핑!$D$5:$D$504,MATCH($F1886&amp;"",계정매핑!$A$5:$A$504,0)),"미매핑"))</f>
        <v/>
      </c>
      <c r="X1886" s="9">
        <f>IF($A1886="","",$F1886&amp;"")</f>
        <v/>
      </c>
    </row>
    <row r="1887">
      <c r="A1887" s="75" t="n">
        <v>2025</v>
      </c>
      <c r="B1887" s="75" t="n">
        <v>10</v>
      </c>
      <c r="C1887" s="75" t="inlineStr">
        <is>
          <t>5100001883</t>
        </is>
      </c>
      <c r="D1887" s="78" t="n">
        <v>45949</v>
      </c>
      <c r="E1887" s="75" t="inlineStr">
        <is>
          <t>KR</t>
        </is>
      </c>
      <c r="F1887" s="75" t="n">
        <v>62501000</v>
      </c>
      <c r="G1887" s="75" t="n">
        <v>1401</v>
      </c>
      <c r="H1887" s="76" t="n">
        <v>294000</v>
      </c>
      <c r="I1887" s="75" t="inlineStr">
        <is>
          <t>10월 회의 다과 - T케이터링</t>
        </is>
      </c>
      <c r="J1887" s="75" t="inlineStr">
        <is>
          <t>V10005</t>
        </is>
      </c>
      <c r="K1887" s="75" t="inlineStr">
        <is>
          <t>T케이터링</t>
        </is>
      </c>
      <c r="M1887" s="9">
        <f>IF($A1887="","",VALUE($A1887&amp;"")*12+VALUE($B1887&amp;""))</f>
        <v/>
      </c>
      <c r="N1887" s="39">
        <f>IF($A1887="","",IFERROR(INDEX(부서매핑!$C$5:$C$504,MATCH($G1887&amp;"",부서매핑!$A$5:$A$504,0)),"미매핑"))</f>
        <v/>
      </c>
      <c r="O1887" s="9">
        <f>IF($A1887="","",N1887&amp;"|"&amp;$F1887)</f>
        <v/>
      </c>
      <c r="P1887" s="77">
        <f>IF($A1887="",0,$H1887*설정!$C$23)</f>
        <v/>
      </c>
      <c r="Q1887" s="39">
        <f>IF($A1887="","",IF(O1887&lt;&gt;원인분석!$C$9,"",IF(AND(M1887&gt;=원인분석!$C$10,M1887&lt;=원인분석!$C$11),"당기",IF(AND(M1887&gt;=원인분석!$C$12,M1887&lt;=원인분석!$C$13),"비교",""))))</f>
        <v/>
      </c>
      <c r="R1887" s="9">
        <f>IF(Q1887="","",$K1887&amp;"")</f>
        <v/>
      </c>
      <c r="S1887" s="9">
        <f>IF(Q1887="","",IF(MATCH(R1887,$R$5:$R$100000,0)=ROW()-4,ROW(),""))</f>
        <v/>
      </c>
      <c r="T1887" s="9">
        <f>IF(Q1887="당기",ABS(P1887)+ROW()/1000000000,"")</f>
        <v/>
      </c>
      <c r="U1887" s="9">
        <f>IF(Q1887="비교",ABS(P1887)+ROW()/1000000000,"")</f>
        <v/>
      </c>
      <c r="V1887" s="39">
        <f>IF($A1887="","",IF(COUNTIF(변동분석!$E$7:$E$506,O1887)&gt;0,"Y","N"))</f>
        <v/>
      </c>
      <c r="W1887" s="39">
        <f>IF($A1887="","",IFERROR(INDEX(계정매핑!$D$5:$D$504,MATCH($F1887&amp;"",계정매핑!$A$5:$A$504,0)),"미매핑"))</f>
        <v/>
      </c>
      <c r="X1887" s="9">
        <f>IF($A1887="","",$F1887&amp;"")</f>
        <v/>
      </c>
    </row>
    <row r="1888">
      <c r="A1888" s="75" t="n">
        <v>2025</v>
      </c>
      <c r="B1888" s="75" t="n">
        <v>10</v>
      </c>
      <c r="C1888" s="75" t="inlineStr">
        <is>
          <t>5100001884</t>
        </is>
      </c>
      <c r="D1888" s="78" t="n">
        <v>45949</v>
      </c>
      <c r="E1888" s="75" t="inlineStr">
        <is>
          <t>KR</t>
        </is>
      </c>
      <c r="F1888" s="75" t="n">
        <v>62902000</v>
      </c>
      <c r="G1888" s="75" t="n">
        <v>1801</v>
      </c>
      <c r="H1888" s="76" t="n">
        <v>1807000</v>
      </c>
      <c r="I1888" s="75" t="inlineStr">
        <is>
          <t>10월 콜 위탁 수수료(건별)</t>
        </is>
      </c>
      <c r="J1888" s="75" t="inlineStr">
        <is>
          <t>V10013</t>
        </is>
      </c>
      <c r="K1888" s="75" t="inlineStr">
        <is>
          <t>J콜센터</t>
        </is>
      </c>
      <c r="M1888" s="9">
        <f>IF($A1888="","",VALUE($A1888&amp;"")*12+VALUE($B1888&amp;""))</f>
        <v/>
      </c>
      <c r="N1888" s="39">
        <f>IF($A1888="","",IFERROR(INDEX(부서매핑!$C$5:$C$504,MATCH($G1888&amp;"",부서매핑!$A$5:$A$504,0)),"미매핑"))</f>
        <v/>
      </c>
      <c r="O1888" s="9">
        <f>IF($A1888="","",N1888&amp;"|"&amp;$F1888)</f>
        <v/>
      </c>
      <c r="P1888" s="77">
        <f>IF($A1888="",0,$H1888*설정!$C$23)</f>
        <v/>
      </c>
      <c r="Q1888" s="39">
        <f>IF($A1888="","",IF(O1888&lt;&gt;원인분석!$C$9,"",IF(AND(M1888&gt;=원인분석!$C$10,M1888&lt;=원인분석!$C$11),"당기",IF(AND(M1888&gt;=원인분석!$C$12,M1888&lt;=원인분석!$C$13),"비교",""))))</f>
        <v/>
      </c>
      <c r="R1888" s="9">
        <f>IF(Q1888="","",$K1888&amp;"")</f>
        <v/>
      </c>
      <c r="S1888" s="9">
        <f>IF(Q1888="","",IF(MATCH(R1888,$R$5:$R$100000,0)=ROW()-4,ROW(),""))</f>
        <v/>
      </c>
      <c r="T1888" s="9">
        <f>IF(Q1888="당기",ABS(P1888)+ROW()/1000000000,"")</f>
        <v/>
      </c>
      <c r="U1888" s="9">
        <f>IF(Q1888="비교",ABS(P1888)+ROW()/1000000000,"")</f>
        <v/>
      </c>
      <c r="V1888" s="39">
        <f>IF($A1888="","",IF(COUNTIF(변동분석!$E$7:$E$506,O1888)&gt;0,"Y","N"))</f>
        <v/>
      </c>
      <c r="W1888" s="39">
        <f>IF($A1888="","",IFERROR(INDEX(계정매핑!$D$5:$D$504,MATCH($F1888&amp;"",계정매핑!$A$5:$A$504,0)),"미매핑"))</f>
        <v/>
      </c>
      <c r="X1888" s="9">
        <f>IF($A1888="","",$F1888&amp;"")</f>
        <v/>
      </c>
    </row>
    <row r="1889">
      <c r="A1889" s="75" t="n">
        <v>2025</v>
      </c>
      <c r="B1889" s="75" t="n">
        <v>10</v>
      </c>
      <c r="C1889" s="75" t="inlineStr">
        <is>
          <t>5100001885</t>
        </is>
      </c>
      <c r="D1889" s="78" t="n">
        <v>45950</v>
      </c>
      <c r="E1889" s="75" t="inlineStr">
        <is>
          <t>KR</t>
        </is>
      </c>
      <c r="F1889" s="75" t="n">
        <v>62101000</v>
      </c>
      <c r="G1889" s="75" t="n">
        <v>1201</v>
      </c>
      <c r="H1889" s="76" t="n">
        <v>262000</v>
      </c>
      <c r="I1889" s="75" t="inlineStr">
        <is>
          <t>10월 국내출장 - L여행사</t>
        </is>
      </c>
      <c r="J1889" s="75" t="inlineStr">
        <is>
          <t>V10014</t>
        </is>
      </c>
      <c r="K1889" s="75" t="inlineStr">
        <is>
          <t>L여행사</t>
        </is>
      </c>
      <c r="M1889" s="9">
        <f>IF($A1889="","",VALUE($A1889&amp;"")*12+VALUE($B1889&amp;""))</f>
        <v/>
      </c>
      <c r="N1889" s="39">
        <f>IF($A1889="","",IFERROR(INDEX(부서매핑!$C$5:$C$504,MATCH($G1889&amp;"",부서매핑!$A$5:$A$504,0)),"미매핑"))</f>
        <v/>
      </c>
      <c r="O1889" s="9">
        <f>IF($A1889="","",N1889&amp;"|"&amp;$F1889)</f>
        <v/>
      </c>
      <c r="P1889" s="77">
        <f>IF($A1889="",0,$H1889*설정!$C$23)</f>
        <v/>
      </c>
      <c r="Q1889" s="39">
        <f>IF($A1889="","",IF(O1889&lt;&gt;원인분석!$C$9,"",IF(AND(M1889&gt;=원인분석!$C$10,M1889&lt;=원인분석!$C$11),"당기",IF(AND(M1889&gt;=원인분석!$C$12,M1889&lt;=원인분석!$C$13),"비교",""))))</f>
        <v/>
      </c>
      <c r="R1889" s="9">
        <f>IF(Q1889="","",$K1889&amp;"")</f>
        <v/>
      </c>
      <c r="S1889" s="9">
        <f>IF(Q1889="","",IF(MATCH(R1889,$R$5:$R$100000,0)=ROW()-4,ROW(),""))</f>
        <v/>
      </c>
      <c r="T1889" s="9">
        <f>IF(Q1889="당기",ABS(P1889)+ROW()/1000000000,"")</f>
        <v/>
      </c>
      <c r="U1889" s="9">
        <f>IF(Q1889="비교",ABS(P1889)+ROW()/1000000000,"")</f>
        <v/>
      </c>
      <c r="V1889" s="39">
        <f>IF($A1889="","",IF(COUNTIF(변동분석!$E$7:$E$506,O1889)&gt;0,"Y","N"))</f>
        <v/>
      </c>
      <c r="W1889" s="39">
        <f>IF($A1889="","",IFERROR(INDEX(계정매핑!$D$5:$D$504,MATCH($F1889&amp;"",계정매핑!$A$5:$A$504,0)),"미매핑"))</f>
        <v/>
      </c>
      <c r="X1889" s="9">
        <f>IF($A1889="","",$F1889&amp;"")</f>
        <v/>
      </c>
    </row>
    <row r="1890">
      <c r="A1890" s="75" t="n">
        <v>2025</v>
      </c>
      <c r="B1890" s="75" t="n">
        <v>10</v>
      </c>
      <c r="C1890" s="75" t="inlineStr">
        <is>
          <t>5100001886</t>
        </is>
      </c>
      <c r="D1890" s="78" t="n">
        <v>45950</v>
      </c>
      <c r="E1890" s="75" t="inlineStr">
        <is>
          <t>KR</t>
        </is>
      </c>
      <c r="F1890" s="75" t="n">
        <v>62102000</v>
      </c>
      <c r="G1890" s="75" t="n">
        <v>1701</v>
      </c>
      <c r="H1890" s="76" t="n">
        <v>29000</v>
      </c>
      <c r="I1890" s="75" t="inlineStr">
        <is>
          <t>10월 해외출장 - M항공</t>
        </is>
      </c>
      <c r="J1890" s="75" t="inlineStr">
        <is>
          <t>V10001</t>
        </is>
      </c>
      <c r="K1890" s="75" t="inlineStr">
        <is>
          <t>M항공</t>
        </is>
      </c>
      <c r="M1890" s="9">
        <f>IF($A1890="","",VALUE($A1890&amp;"")*12+VALUE($B1890&amp;""))</f>
        <v/>
      </c>
      <c r="N1890" s="39">
        <f>IF($A1890="","",IFERROR(INDEX(부서매핑!$C$5:$C$504,MATCH($G1890&amp;"",부서매핑!$A$5:$A$504,0)),"미매핑"))</f>
        <v/>
      </c>
      <c r="O1890" s="9">
        <f>IF($A1890="","",N1890&amp;"|"&amp;$F1890)</f>
        <v/>
      </c>
      <c r="P1890" s="77">
        <f>IF($A1890="",0,$H1890*설정!$C$23)</f>
        <v/>
      </c>
      <c r="Q1890" s="39">
        <f>IF($A1890="","",IF(O1890&lt;&gt;원인분석!$C$9,"",IF(AND(M1890&gt;=원인분석!$C$10,M1890&lt;=원인분석!$C$11),"당기",IF(AND(M1890&gt;=원인분석!$C$12,M1890&lt;=원인분석!$C$13),"비교",""))))</f>
        <v/>
      </c>
      <c r="R1890" s="9">
        <f>IF(Q1890="","",$K1890&amp;"")</f>
        <v/>
      </c>
      <c r="S1890" s="9">
        <f>IF(Q1890="","",IF(MATCH(R1890,$R$5:$R$100000,0)=ROW()-4,ROW(),""))</f>
        <v/>
      </c>
      <c r="T1890" s="9">
        <f>IF(Q1890="당기",ABS(P1890)+ROW()/1000000000,"")</f>
        <v/>
      </c>
      <c r="U1890" s="9">
        <f>IF(Q1890="비교",ABS(P1890)+ROW()/1000000000,"")</f>
        <v/>
      </c>
      <c r="V1890" s="39">
        <f>IF($A1890="","",IF(COUNTIF(변동분석!$E$7:$E$506,O1890)&gt;0,"Y","N"))</f>
        <v/>
      </c>
      <c r="W1890" s="39">
        <f>IF($A1890="","",IFERROR(INDEX(계정매핑!$D$5:$D$504,MATCH($F1890&amp;"",계정매핑!$A$5:$A$504,0)),"미매핑"))</f>
        <v/>
      </c>
      <c r="X1890" s="9">
        <f>IF($A1890="","",$F1890&amp;"")</f>
        <v/>
      </c>
    </row>
    <row r="1891">
      <c r="A1891" s="75" t="n">
        <v>2025</v>
      </c>
      <c r="B1891" s="75" t="n">
        <v>10</v>
      </c>
      <c r="C1891" s="75" t="inlineStr">
        <is>
          <t>5100001887</t>
        </is>
      </c>
      <c r="D1891" s="78" t="n">
        <v>45950</v>
      </c>
      <c r="E1891" s="75" t="inlineStr">
        <is>
          <t>KR</t>
        </is>
      </c>
      <c r="F1891" s="75" t="n">
        <v>62201000</v>
      </c>
      <c r="G1891" s="75" t="n">
        <v>1401</v>
      </c>
      <c r="H1891" s="76" t="n">
        <v>251000</v>
      </c>
      <c r="I1891" s="75" t="inlineStr">
        <is>
          <t>10월 통신요금 - O텔레콤</t>
        </is>
      </c>
      <c r="J1891" s="75" t="inlineStr">
        <is>
          <t>V10002</t>
        </is>
      </c>
      <c r="K1891" s="75" t="inlineStr">
        <is>
          <t>O텔레콤</t>
        </is>
      </c>
      <c r="M1891" s="9">
        <f>IF($A1891="","",VALUE($A1891&amp;"")*12+VALUE($B1891&amp;""))</f>
        <v/>
      </c>
      <c r="N1891" s="39">
        <f>IF($A1891="","",IFERROR(INDEX(부서매핑!$C$5:$C$504,MATCH($G1891&amp;"",부서매핑!$A$5:$A$504,0)),"미매핑"))</f>
        <v/>
      </c>
      <c r="O1891" s="9">
        <f>IF($A1891="","",N1891&amp;"|"&amp;$F1891)</f>
        <v/>
      </c>
      <c r="P1891" s="77">
        <f>IF($A1891="",0,$H1891*설정!$C$23)</f>
        <v/>
      </c>
      <c r="Q1891" s="39">
        <f>IF($A1891="","",IF(O1891&lt;&gt;원인분석!$C$9,"",IF(AND(M1891&gt;=원인분석!$C$10,M1891&lt;=원인분석!$C$11),"당기",IF(AND(M1891&gt;=원인분석!$C$12,M1891&lt;=원인분석!$C$13),"비교",""))))</f>
        <v/>
      </c>
      <c r="R1891" s="9">
        <f>IF(Q1891="","",$K1891&amp;"")</f>
        <v/>
      </c>
      <c r="S1891" s="9">
        <f>IF(Q1891="","",IF(MATCH(R1891,$R$5:$R$100000,0)=ROW()-4,ROW(),""))</f>
        <v/>
      </c>
      <c r="T1891" s="9">
        <f>IF(Q1891="당기",ABS(P1891)+ROW()/1000000000,"")</f>
        <v/>
      </c>
      <c r="U1891" s="9">
        <f>IF(Q1891="비교",ABS(P1891)+ROW()/1000000000,"")</f>
        <v/>
      </c>
      <c r="V1891" s="39">
        <f>IF($A1891="","",IF(COUNTIF(변동분석!$E$7:$E$506,O1891)&gt;0,"Y","N"))</f>
        <v/>
      </c>
      <c r="W1891" s="39">
        <f>IF($A1891="","",IFERROR(INDEX(계정매핑!$D$5:$D$504,MATCH($F1891&amp;"",계정매핑!$A$5:$A$504,0)),"미매핑"))</f>
        <v/>
      </c>
      <c r="X1891" s="9">
        <f>IF($A1891="","",$F1891&amp;"")</f>
        <v/>
      </c>
    </row>
    <row r="1892">
      <c r="A1892" s="75" t="n">
        <v>2025</v>
      </c>
      <c r="B1892" s="75" t="n">
        <v>10</v>
      </c>
      <c r="C1892" s="75" t="inlineStr">
        <is>
          <t>5100001888</t>
        </is>
      </c>
      <c r="D1892" s="78" t="n">
        <v>45950</v>
      </c>
      <c r="E1892" s="75" t="inlineStr">
        <is>
          <t>KR</t>
        </is>
      </c>
      <c r="F1892" s="75" t="n">
        <v>62201000</v>
      </c>
      <c r="G1892" s="75" t="n">
        <v>1602</v>
      </c>
      <c r="H1892" s="76" t="n">
        <v>367000</v>
      </c>
      <c r="I1892" s="75" t="inlineStr">
        <is>
          <t>10월 통신요금 - P통신</t>
        </is>
      </c>
      <c r="J1892" s="75" t="inlineStr">
        <is>
          <t>V10011</t>
        </is>
      </c>
      <c r="K1892" s="75" t="inlineStr">
        <is>
          <t>P통신</t>
        </is>
      </c>
      <c r="M1892" s="9">
        <f>IF($A1892="","",VALUE($A1892&amp;"")*12+VALUE($B1892&amp;""))</f>
        <v/>
      </c>
      <c r="N1892" s="39">
        <f>IF($A1892="","",IFERROR(INDEX(부서매핑!$C$5:$C$504,MATCH($G1892&amp;"",부서매핑!$A$5:$A$504,0)),"미매핑"))</f>
        <v/>
      </c>
      <c r="O1892" s="9">
        <f>IF($A1892="","",N1892&amp;"|"&amp;$F1892)</f>
        <v/>
      </c>
      <c r="P1892" s="77">
        <f>IF($A1892="",0,$H1892*설정!$C$23)</f>
        <v/>
      </c>
      <c r="Q1892" s="39">
        <f>IF($A1892="","",IF(O1892&lt;&gt;원인분석!$C$9,"",IF(AND(M1892&gt;=원인분석!$C$10,M1892&lt;=원인분석!$C$11),"당기",IF(AND(M1892&gt;=원인분석!$C$12,M1892&lt;=원인분석!$C$13),"비교",""))))</f>
        <v/>
      </c>
      <c r="R1892" s="9">
        <f>IF(Q1892="","",$K1892&amp;"")</f>
        <v/>
      </c>
      <c r="S1892" s="9">
        <f>IF(Q1892="","",IF(MATCH(R1892,$R$5:$R$100000,0)=ROW()-4,ROW(),""))</f>
        <v/>
      </c>
      <c r="T1892" s="9">
        <f>IF(Q1892="당기",ABS(P1892)+ROW()/1000000000,"")</f>
        <v/>
      </c>
      <c r="U1892" s="9">
        <f>IF(Q1892="비교",ABS(P1892)+ROW()/1000000000,"")</f>
        <v/>
      </c>
      <c r="V1892" s="39">
        <f>IF($A1892="","",IF(COUNTIF(변동분석!$E$7:$E$506,O1892)&gt;0,"Y","N"))</f>
        <v/>
      </c>
      <c r="W1892" s="39">
        <f>IF($A1892="","",IFERROR(INDEX(계정매핑!$D$5:$D$504,MATCH($F1892&amp;"",계정매핑!$A$5:$A$504,0)),"미매핑"))</f>
        <v/>
      </c>
      <c r="X1892" s="9">
        <f>IF($A1892="","",$F1892&amp;"")</f>
        <v/>
      </c>
    </row>
    <row r="1893">
      <c r="A1893" s="75" t="n">
        <v>2025</v>
      </c>
      <c r="B1893" s="75" t="n">
        <v>10</v>
      </c>
      <c r="C1893" s="75" t="inlineStr">
        <is>
          <t>5100001889</t>
        </is>
      </c>
      <c r="D1893" s="78" t="n">
        <v>45950</v>
      </c>
      <c r="E1893" s="75" t="inlineStr">
        <is>
          <t>KR</t>
        </is>
      </c>
      <c r="F1893" s="75" t="n">
        <v>62301000</v>
      </c>
      <c r="G1893" s="75" t="n">
        <v>1401</v>
      </c>
      <c r="H1893" s="76" t="n">
        <v>78000</v>
      </c>
      <c r="I1893" s="75" t="inlineStr">
        <is>
          <t>10월 소모품 구입 - R문구</t>
        </is>
      </c>
      <c r="J1893" s="75" t="inlineStr">
        <is>
          <t>V10018</t>
        </is>
      </c>
      <c r="K1893" s="75" t="inlineStr">
        <is>
          <t>R문구</t>
        </is>
      </c>
      <c r="M1893" s="9">
        <f>IF($A1893="","",VALUE($A1893&amp;"")*12+VALUE($B1893&amp;""))</f>
        <v/>
      </c>
      <c r="N1893" s="39">
        <f>IF($A1893="","",IFERROR(INDEX(부서매핑!$C$5:$C$504,MATCH($G1893&amp;"",부서매핑!$A$5:$A$504,0)),"미매핑"))</f>
        <v/>
      </c>
      <c r="O1893" s="9">
        <f>IF($A1893="","",N1893&amp;"|"&amp;$F1893)</f>
        <v/>
      </c>
      <c r="P1893" s="77">
        <f>IF($A1893="",0,$H1893*설정!$C$23)</f>
        <v/>
      </c>
      <c r="Q1893" s="39">
        <f>IF($A1893="","",IF(O1893&lt;&gt;원인분석!$C$9,"",IF(AND(M1893&gt;=원인분석!$C$10,M1893&lt;=원인분석!$C$11),"당기",IF(AND(M1893&gt;=원인분석!$C$12,M1893&lt;=원인분석!$C$13),"비교",""))))</f>
        <v/>
      </c>
      <c r="R1893" s="9">
        <f>IF(Q1893="","",$K1893&amp;"")</f>
        <v/>
      </c>
      <c r="S1893" s="9">
        <f>IF(Q1893="","",IF(MATCH(R1893,$R$5:$R$100000,0)=ROW()-4,ROW(),""))</f>
        <v/>
      </c>
      <c r="T1893" s="9">
        <f>IF(Q1893="당기",ABS(P1893)+ROW()/1000000000,"")</f>
        <v/>
      </c>
      <c r="U1893" s="9">
        <f>IF(Q1893="비교",ABS(P1893)+ROW()/1000000000,"")</f>
        <v/>
      </c>
      <c r="V1893" s="39">
        <f>IF($A1893="","",IF(COUNTIF(변동분석!$E$7:$E$506,O1893)&gt;0,"Y","N"))</f>
        <v/>
      </c>
      <c r="W1893" s="39">
        <f>IF($A1893="","",IFERROR(INDEX(계정매핑!$D$5:$D$504,MATCH($F1893&amp;"",계정매핑!$A$5:$A$504,0)),"미매핑"))</f>
        <v/>
      </c>
      <c r="X1893" s="9">
        <f>IF($A1893="","",$F1893&amp;"")</f>
        <v/>
      </c>
    </row>
    <row r="1894">
      <c r="A1894" s="75" t="n">
        <v>2025</v>
      </c>
      <c r="B1894" s="75" t="n">
        <v>10</v>
      </c>
      <c r="C1894" s="75" t="inlineStr">
        <is>
          <t>5100001890</t>
        </is>
      </c>
      <c r="D1894" s="78" t="n">
        <v>45950</v>
      </c>
      <c r="E1894" s="75" t="inlineStr">
        <is>
          <t>KR</t>
        </is>
      </c>
      <c r="F1894" s="75" t="n">
        <v>62301000</v>
      </c>
      <c r="G1894" s="75" t="n">
        <v>1701</v>
      </c>
      <c r="H1894" s="76" t="n">
        <v>200000</v>
      </c>
      <c r="I1894" s="75" t="inlineStr">
        <is>
          <t>10월 소모품 구입 - R문구</t>
        </is>
      </c>
      <c r="J1894" s="75" t="inlineStr">
        <is>
          <t>V10018</t>
        </is>
      </c>
      <c r="K1894" s="75" t="inlineStr">
        <is>
          <t>R문구</t>
        </is>
      </c>
      <c r="M1894" s="9">
        <f>IF($A1894="","",VALUE($A1894&amp;"")*12+VALUE($B1894&amp;""))</f>
        <v/>
      </c>
      <c r="N1894" s="39">
        <f>IF($A1894="","",IFERROR(INDEX(부서매핑!$C$5:$C$504,MATCH($G1894&amp;"",부서매핑!$A$5:$A$504,0)),"미매핑"))</f>
        <v/>
      </c>
      <c r="O1894" s="9">
        <f>IF($A1894="","",N1894&amp;"|"&amp;$F1894)</f>
        <v/>
      </c>
      <c r="P1894" s="77">
        <f>IF($A1894="",0,$H1894*설정!$C$23)</f>
        <v/>
      </c>
      <c r="Q1894" s="39">
        <f>IF($A1894="","",IF(O1894&lt;&gt;원인분석!$C$9,"",IF(AND(M1894&gt;=원인분석!$C$10,M1894&lt;=원인분석!$C$11),"당기",IF(AND(M1894&gt;=원인분석!$C$12,M1894&lt;=원인분석!$C$13),"비교",""))))</f>
        <v/>
      </c>
      <c r="R1894" s="9">
        <f>IF(Q1894="","",$K1894&amp;"")</f>
        <v/>
      </c>
      <c r="S1894" s="9">
        <f>IF(Q1894="","",IF(MATCH(R1894,$R$5:$R$100000,0)=ROW()-4,ROW(),""))</f>
        <v/>
      </c>
      <c r="T1894" s="9">
        <f>IF(Q1894="당기",ABS(P1894)+ROW()/1000000000,"")</f>
        <v/>
      </c>
      <c r="U1894" s="9">
        <f>IF(Q1894="비교",ABS(P1894)+ROW()/1000000000,"")</f>
        <v/>
      </c>
      <c r="V1894" s="39">
        <f>IF($A1894="","",IF(COUNTIF(변동분석!$E$7:$E$506,O1894)&gt;0,"Y","N"))</f>
        <v/>
      </c>
      <c r="W1894" s="39">
        <f>IF($A1894="","",IFERROR(INDEX(계정매핑!$D$5:$D$504,MATCH($F1894&amp;"",계정매핑!$A$5:$A$504,0)),"미매핑"))</f>
        <v/>
      </c>
      <c r="X1894" s="9">
        <f>IF($A1894="","",$F1894&amp;"")</f>
        <v/>
      </c>
    </row>
    <row r="1895">
      <c r="A1895" s="75" t="n">
        <v>2025</v>
      </c>
      <c r="B1895" s="75" t="n">
        <v>10</v>
      </c>
      <c r="C1895" s="75" t="inlineStr">
        <is>
          <t>5100001891</t>
        </is>
      </c>
      <c r="D1895" s="78" t="n">
        <v>45950</v>
      </c>
      <c r="E1895" s="75" t="inlineStr">
        <is>
          <t>KR</t>
        </is>
      </c>
      <c r="F1895" s="75" t="n">
        <v>62901000</v>
      </c>
      <c r="G1895" s="75" t="n">
        <v>1201</v>
      </c>
      <c r="H1895" s="76" t="n">
        <v>4560000</v>
      </c>
      <c r="I1895" s="75" t="inlineStr">
        <is>
          <t>10월 자문 수수료 - W컨설팅</t>
        </is>
      </c>
      <c r="J1895" s="75" t="inlineStr">
        <is>
          <t>V10009</t>
        </is>
      </c>
      <c r="K1895" s="75" t="inlineStr">
        <is>
          <t>W컨설팅</t>
        </is>
      </c>
      <c r="M1895" s="9">
        <f>IF($A1895="","",VALUE($A1895&amp;"")*12+VALUE($B1895&amp;""))</f>
        <v/>
      </c>
      <c r="N1895" s="39">
        <f>IF($A1895="","",IFERROR(INDEX(부서매핑!$C$5:$C$504,MATCH($G1895&amp;"",부서매핑!$A$5:$A$504,0)),"미매핑"))</f>
        <v/>
      </c>
      <c r="O1895" s="9">
        <f>IF($A1895="","",N1895&amp;"|"&amp;$F1895)</f>
        <v/>
      </c>
      <c r="P1895" s="77">
        <f>IF($A1895="",0,$H1895*설정!$C$23)</f>
        <v/>
      </c>
      <c r="Q1895" s="39">
        <f>IF($A1895="","",IF(O1895&lt;&gt;원인분석!$C$9,"",IF(AND(M1895&gt;=원인분석!$C$10,M1895&lt;=원인분석!$C$11),"당기",IF(AND(M1895&gt;=원인분석!$C$12,M1895&lt;=원인분석!$C$13),"비교",""))))</f>
        <v/>
      </c>
      <c r="R1895" s="9">
        <f>IF(Q1895="","",$K1895&amp;"")</f>
        <v/>
      </c>
      <c r="S1895" s="9">
        <f>IF(Q1895="","",IF(MATCH(R1895,$R$5:$R$100000,0)=ROW()-4,ROW(),""))</f>
        <v/>
      </c>
      <c r="T1895" s="9">
        <f>IF(Q1895="당기",ABS(P1895)+ROW()/1000000000,"")</f>
        <v/>
      </c>
      <c r="U1895" s="9">
        <f>IF(Q1895="비교",ABS(P1895)+ROW()/1000000000,"")</f>
        <v/>
      </c>
      <c r="V1895" s="39">
        <f>IF($A1895="","",IF(COUNTIF(변동분석!$E$7:$E$506,O1895)&gt;0,"Y","N"))</f>
        <v/>
      </c>
      <c r="W1895" s="39">
        <f>IF($A1895="","",IFERROR(INDEX(계정매핑!$D$5:$D$504,MATCH($F1895&amp;"",계정매핑!$A$5:$A$504,0)),"미매핑"))</f>
        <v/>
      </c>
      <c r="X1895" s="9">
        <f>IF($A1895="","",$F1895&amp;"")</f>
        <v/>
      </c>
    </row>
    <row r="1896">
      <c r="A1896" s="75" t="n">
        <v>2025</v>
      </c>
      <c r="B1896" s="75" t="n">
        <v>10</v>
      </c>
      <c r="C1896" s="75" t="inlineStr">
        <is>
          <t>5100001892</t>
        </is>
      </c>
      <c r="D1896" s="78" t="n">
        <v>45950</v>
      </c>
      <c r="E1896" s="75" t="inlineStr">
        <is>
          <t>KR</t>
        </is>
      </c>
      <c r="F1896" s="75" t="n">
        <v>62902000</v>
      </c>
      <c r="G1896" s="75" t="n">
        <v>1201</v>
      </c>
      <c r="H1896" s="76" t="n">
        <v>5979000</v>
      </c>
      <c r="I1896" s="75" t="inlineStr">
        <is>
          <t>10월 업무 위탁 수수료 - X서비스</t>
        </is>
      </c>
      <c r="J1896" s="75" t="inlineStr">
        <is>
          <t>V10016</t>
        </is>
      </c>
      <c r="K1896" s="75" t="inlineStr">
        <is>
          <t>X서비스</t>
        </is>
      </c>
      <c r="M1896" s="9">
        <f>IF($A1896="","",VALUE($A1896&amp;"")*12+VALUE($B1896&amp;""))</f>
        <v/>
      </c>
      <c r="N1896" s="39">
        <f>IF($A1896="","",IFERROR(INDEX(부서매핑!$C$5:$C$504,MATCH($G1896&amp;"",부서매핑!$A$5:$A$504,0)),"미매핑"))</f>
        <v/>
      </c>
      <c r="O1896" s="9">
        <f>IF($A1896="","",N1896&amp;"|"&amp;$F1896)</f>
        <v/>
      </c>
      <c r="P1896" s="77">
        <f>IF($A1896="",0,$H1896*설정!$C$23)</f>
        <v/>
      </c>
      <c r="Q1896" s="39">
        <f>IF($A1896="","",IF(O1896&lt;&gt;원인분석!$C$9,"",IF(AND(M1896&gt;=원인분석!$C$10,M1896&lt;=원인분석!$C$11),"당기",IF(AND(M1896&gt;=원인분석!$C$12,M1896&lt;=원인분석!$C$13),"비교",""))))</f>
        <v/>
      </c>
      <c r="R1896" s="9">
        <f>IF(Q1896="","",$K1896&amp;"")</f>
        <v/>
      </c>
      <c r="S1896" s="9">
        <f>IF(Q1896="","",IF(MATCH(R1896,$R$5:$R$100000,0)=ROW()-4,ROW(),""))</f>
        <v/>
      </c>
      <c r="T1896" s="9">
        <f>IF(Q1896="당기",ABS(P1896)+ROW()/1000000000,"")</f>
        <v/>
      </c>
      <c r="U1896" s="9">
        <f>IF(Q1896="비교",ABS(P1896)+ROW()/1000000000,"")</f>
        <v/>
      </c>
      <c r="V1896" s="39">
        <f>IF($A1896="","",IF(COUNTIF(변동분석!$E$7:$E$506,O1896)&gt;0,"Y","N"))</f>
        <v/>
      </c>
      <c r="W1896" s="39">
        <f>IF($A1896="","",IFERROR(INDEX(계정매핑!$D$5:$D$504,MATCH($F1896&amp;"",계정매핑!$A$5:$A$504,0)),"미매핑"))</f>
        <v/>
      </c>
      <c r="X1896" s="9">
        <f>IF($A1896="","",$F1896&amp;"")</f>
        <v/>
      </c>
    </row>
    <row r="1897">
      <c r="A1897" s="75" t="n">
        <v>2025</v>
      </c>
      <c r="B1897" s="75" t="n">
        <v>10</v>
      </c>
      <c r="C1897" s="75" t="inlineStr">
        <is>
          <t>5100001893</t>
        </is>
      </c>
      <c r="D1897" s="78" t="n">
        <v>45951</v>
      </c>
      <c r="E1897" s="75" t="inlineStr">
        <is>
          <t>KR</t>
        </is>
      </c>
      <c r="F1897" s="75" t="n">
        <v>62101000</v>
      </c>
      <c r="G1897" s="75" t="n">
        <v>1401</v>
      </c>
      <c r="H1897" s="76" t="n">
        <v>639000</v>
      </c>
      <c r="I1897" s="75" t="inlineStr">
        <is>
          <t>10월 국내출장 - M항공</t>
        </is>
      </c>
      <c r="J1897" s="75" t="inlineStr">
        <is>
          <t>V10001</t>
        </is>
      </c>
      <c r="K1897" s="75" t="inlineStr">
        <is>
          <t>M항공</t>
        </is>
      </c>
      <c r="M1897" s="9">
        <f>IF($A1897="","",VALUE($A1897&amp;"")*12+VALUE($B1897&amp;""))</f>
        <v/>
      </c>
      <c r="N1897" s="39">
        <f>IF($A1897="","",IFERROR(INDEX(부서매핑!$C$5:$C$504,MATCH($G1897&amp;"",부서매핑!$A$5:$A$504,0)),"미매핑"))</f>
        <v/>
      </c>
      <c r="O1897" s="9">
        <f>IF($A1897="","",N1897&amp;"|"&amp;$F1897)</f>
        <v/>
      </c>
      <c r="P1897" s="77">
        <f>IF($A1897="",0,$H1897*설정!$C$23)</f>
        <v/>
      </c>
      <c r="Q1897" s="39">
        <f>IF($A1897="","",IF(O1897&lt;&gt;원인분석!$C$9,"",IF(AND(M1897&gt;=원인분석!$C$10,M1897&lt;=원인분석!$C$11),"당기",IF(AND(M1897&gt;=원인분석!$C$12,M1897&lt;=원인분석!$C$13),"비교",""))))</f>
        <v/>
      </c>
      <c r="R1897" s="9">
        <f>IF(Q1897="","",$K1897&amp;"")</f>
        <v/>
      </c>
      <c r="S1897" s="9">
        <f>IF(Q1897="","",IF(MATCH(R1897,$R$5:$R$100000,0)=ROW()-4,ROW(),""))</f>
        <v/>
      </c>
      <c r="T1897" s="9">
        <f>IF(Q1897="당기",ABS(P1897)+ROW()/1000000000,"")</f>
        <v/>
      </c>
      <c r="U1897" s="9">
        <f>IF(Q1897="비교",ABS(P1897)+ROW()/1000000000,"")</f>
        <v/>
      </c>
      <c r="V1897" s="39">
        <f>IF($A1897="","",IF(COUNTIF(변동분석!$E$7:$E$506,O1897)&gt;0,"Y","N"))</f>
        <v/>
      </c>
      <c r="W1897" s="39">
        <f>IF($A1897="","",IFERROR(INDEX(계정매핑!$D$5:$D$504,MATCH($F1897&amp;"",계정매핑!$A$5:$A$504,0)),"미매핑"))</f>
        <v/>
      </c>
      <c r="X1897" s="9">
        <f>IF($A1897="","",$F1897&amp;"")</f>
        <v/>
      </c>
    </row>
    <row r="1898">
      <c r="A1898" s="75" t="n">
        <v>2025</v>
      </c>
      <c r="B1898" s="75" t="n">
        <v>10</v>
      </c>
      <c r="C1898" s="75" t="inlineStr">
        <is>
          <t>5100001894</t>
        </is>
      </c>
      <c r="D1898" s="78" t="n">
        <v>45951</v>
      </c>
      <c r="E1898" s="75" t="inlineStr">
        <is>
          <t>KR</t>
        </is>
      </c>
      <c r="F1898" s="75" t="n">
        <v>62101000</v>
      </c>
      <c r="G1898" s="75" t="n">
        <v>1601</v>
      </c>
      <c r="H1898" s="76" t="n">
        <v>1150000</v>
      </c>
      <c r="I1898" s="75" t="inlineStr">
        <is>
          <t>10월 국내출장 - L여행사</t>
        </is>
      </c>
      <c r="J1898" s="75" t="inlineStr">
        <is>
          <t>V10014</t>
        </is>
      </c>
      <c r="K1898" s="75" t="inlineStr">
        <is>
          <t>L여행사</t>
        </is>
      </c>
      <c r="M1898" s="9">
        <f>IF($A1898="","",VALUE($A1898&amp;"")*12+VALUE($B1898&amp;""))</f>
        <v/>
      </c>
      <c r="N1898" s="39">
        <f>IF($A1898="","",IFERROR(INDEX(부서매핑!$C$5:$C$504,MATCH($G1898&amp;"",부서매핑!$A$5:$A$504,0)),"미매핑"))</f>
        <v/>
      </c>
      <c r="O1898" s="9">
        <f>IF($A1898="","",N1898&amp;"|"&amp;$F1898)</f>
        <v/>
      </c>
      <c r="P1898" s="77">
        <f>IF($A1898="",0,$H1898*설정!$C$23)</f>
        <v/>
      </c>
      <c r="Q1898" s="39">
        <f>IF($A1898="","",IF(O1898&lt;&gt;원인분석!$C$9,"",IF(AND(M1898&gt;=원인분석!$C$10,M1898&lt;=원인분석!$C$11),"당기",IF(AND(M1898&gt;=원인분석!$C$12,M1898&lt;=원인분석!$C$13),"비교",""))))</f>
        <v/>
      </c>
      <c r="R1898" s="9">
        <f>IF(Q1898="","",$K1898&amp;"")</f>
        <v/>
      </c>
      <c r="S1898" s="9">
        <f>IF(Q1898="","",IF(MATCH(R1898,$R$5:$R$100000,0)=ROW()-4,ROW(),""))</f>
        <v/>
      </c>
      <c r="T1898" s="9">
        <f>IF(Q1898="당기",ABS(P1898)+ROW()/1000000000,"")</f>
        <v/>
      </c>
      <c r="U1898" s="9">
        <f>IF(Q1898="비교",ABS(P1898)+ROW()/1000000000,"")</f>
        <v/>
      </c>
      <c r="V1898" s="39">
        <f>IF($A1898="","",IF(COUNTIF(변동분석!$E$7:$E$506,O1898)&gt;0,"Y","N"))</f>
        <v/>
      </c>
      <c r="W1898" s="39">
        <f>IF($A1898="","",IFERROR(INDEX(계정매핑!$D$5:$D$504,MATCH($F1898&amp;"",계정매핑!$A$5:$A$504,0)),"미매핑"))</f>
        <v/>
      </c>
      <c r="X1898" s="9">
        <f>IF($A1898="","",$F1898&amp;"")</f>
        <v/>
      </c>
    </row>
    <row r="1899">
      <c r="A1899" s="75" t="n">
        <v>2025</v>
      </c>
      <c r="B1899" s="75" t="n">
        <v>10</v>
      </c>
      <c r="C1899" s="75" t="inlineStr">
        <is>
          <t>5100001895</t>
        </is>
      </c>
      <c r="D1899" s="78" t="n">
        <v>45951</v>
      </c>
      <c r="E1899" s="75" t="inlineStr">
        <is>
          <t>KR</t>
        </is>
      </c>
      <c r="F1899" s="75" t="n">
        <v>62201000</v>
      </c>
      <c r="G1899" s="75" t="n">
        <v>1101</v>
      </c>
      <c r="H1899" s="76" t="n">
        <v>149000</v>
      </c>
      <c r="I1899" s="75" t="inlineStr">
        <is>
          <t>10월 통신요금 - P통신</t>
        </is>
      </c>
      <c r="J1899" s="75" t="inlineStr">
        <is>
          <t>V10011</t>
        </is>
      </c>
      <c r="K1899" s="75" t="inlineStr">
        <is>
          <t>P통신</t>
        </is>
      </c>
      <c r="M1899" s="9">
        <f>IF($A1899="","",VALUE($A1899&amp;"")*12+VALUE($B1899&amp;""))</f>
        <v/>
      </c>
      <c r="N1899" s="39">
        <f>IF($A1899="","",IFERROR(INDEX(부서매핑!$C$5:$C$504,MATCH($G1899&amp;"",부서매핑!$A$5:$A$504,0)),"미매핑"))</f>
        <v/>
      </c>
      <c r="O1899" s="9">
        <f>IF($A1899="","",N1899&amp;"|"&amp;$F1899)</f>
        <v/>
      </c>
      <c r="P1899" s="77">
        <f>IF($A1899="",0,$H1899*설정!$C$23)</f>
        <v/>
      </c>
      <c r="Q1899" s="39">
        <f>IF($A1899="","",IF(O1899&lt;&gt;원인분석!$C$9,"",IF(AND(M1899&gt;=원인분석!$C$10,M1899&lt;=원인분석!$C$11),"당기",IF(AND(M1899&gt;=원인분석!$C$12,M1899&lt;=원인분석!$C$13),"비교",""))))</f>
        <v/>
      </c>
      <c r="R1899" s="9">
        <f>IF(Q1899="","",$K1899&amp;"")</f>
        <v/>
      </c>
      <c r="S1899" s="9">
        <f>IF(Q1899="","",IF(MATCH(R1899,$R$5:$R$100000,0)=ROW()-4,ROW(),""))</f>
        <v/>
      </c>
      <c r="T1899" s="9">
        <f>IF(Q1899="당기",ABS(P1899)+ROW()/1000000000,"")</f>
        <v/>
      </c>
      <c r="U1899" s="9">
        <f>IF(Q1899="비교",ABS(P1899)+ROW()/1000000000,"")</f>
        <v/>
      </c>
      <c r="V1899" s="39">
        <f>IF($A1899="","",IF(COUNTIF(변동분석!$E$7:$E$506,O1899)&gt;0,"Y","N"))</f>
        <v/>
      </c>
      <c r="W1899" s="39">
        <f>IF($A1899="","",IFERROR(INDEX(계정매핑!$D$5:$D$504,MATCH($F1899&amp;"",계정매핑!$A$5:$A$504,0)),"미매핑"))</f>
        <v/>
      </c>
      <c r="X1899" s="9">
        <f>IF($A1899="","",$F1899&amp;"")</f>
        <v/>
      </c>
    </row>
    <row r="1900">
      <c r="A1900" s="75" t="n">
        <v>2025</v>
      </c>
      <c r="B1900" s="75" t="n">
        <v>10</v>
      </c>
      <c r="C1900" s="75" t="inlineStr">
        <is>
          <t>5100001896</t>
        </is>
      </c>
      <c r="D1900" s="78" t="n">
        <v>45951</v>
      </c>
      <c r="E1900" s="75" t="inlineStr">
        <is>
          <t>KR</t>
        </is>
      </c>
      <c r="F1900" s="75" t="n">
        <v>62201000</v>
      </c>
      <c r="G1900" s="75" t="n">
        <v>1201</v>
      </c>
      <c r="H1900" s="76" t="n">
        <v>228000</v>
      </c>
      <c r="I1900" s="75" t="inlineStr">
        <is>
          <t>10월 통신요금 - O텔레콤</t>
        </is>
      </c>
      <c r="J1900" s="75" t="inlineStr">
        <is>
          <t>V10002</t>
        </is>
      </c>
      <c r="K1900" s="75" t="inlineStr">
        <is>
          <t>O텔레콤</t>
        </is>
      </c>
      <c r="M1900" s="9">
        <f>IF($A1900="","",VALUE($A1900&amp;"")*12+VALUE($B1900&amp;""))</f>
        <v/>
      </c>
      <c r="N1900" s="39">
        <f>IF($A1900="","",IFERROR(INDEX(부서매핑!$C$5:$C$504,MATCH($G1900&amp;"",부서매핑!$A$5:$A$504,0)),"미매핑"))</f>
        <v/>
      </c>
      <c r="O1900" s="9">
        <f>IF($A1900="","",N1900&amp;"|"&amp;$F1900)</f>
        <v/>
      </c>
      <c r="P1900" s="77">
        <f>IF($A1900="",0,$H1900*설정!$C$23)</f>
        <v/>
      </c>
      <c r="Q1900" s="39">
        <f>IF($A1900="","",IF(O1900&lt;&gt;원인분석!$C$9,"",IF(AND(M1900&gt;=원인분석!$C$10,M1900&lt;=원인분석!$C$11),"당기",IF(AND(M1900&gt;=원인분석!$C$12,M1900&lt;=원인분석!$C$13),"비교",""))))</f>
        <v/>
      </c>
      <c r="R1900" s="9">
        <f>IF(Q1900="","",$K1900&amp;"")</f>
        <v/>
      </c>
      <c r="S1900" s="9">
        <f>IF(Q1900="","",IF(MATCH(R1900,$R$5:$R$100000,0)=ROW()-4,ROW(),""))</f>
        <v/>
      </c>
      <c r="T1900" s="9">
        <f>IF(Q1900="당기",ABS(P1900)+ROW()/1000000000,"")</f>
        <v/>
      </c>
      <c r="U1900" s="9">
        <f>IF(Q1900="비교",ABS(P1900)+ROW()/1000000000,"")</f>
        <v/>
      </c>
      <c r="V1900" s="39">
        <f>IF($A1900="","",IF(COUNTIF(변동분석!$E$7:$E$506,O1900)&gt;0,"Y","N"))</f>
        <v/>
      </c>
      <c r="W1900" s="39">
        <f>IF($A1900="","",IFERROR(INDEX(계정매핑!$D$5:$D$504,MATCH($F1900&amp;"",계정매핑!$A$5:$A$504,0)),"미매핑"))</f>
        <v/>
      </c>
      <c r="X1900" s="9">
        <f>IF($A1900="","",$F1900&amp;"")</f>
        <v/>
      </c>
    </row>
    <row r="1901">
      <c r="A1901" s="75" t="n">
        <v>2025</v>
      </c>
      <c r="B1901" s="75" t="n">
        <v>10</v>
      </c>
      <c r="C1901" s="75" t="inlineStr">
        <is>
          <t>5100001897</t>
        </is>
      </c>
      <c r="D1901" s="78" t="n">
        <v>45951</v>
      </c>
      <c r="E1901" s="75" t="inlineStr">
        <is>
          <t>KR</t>
        </is>
      </c>
      <c r="F1901" s="75" t="n">
        <v>62201000</v>
      </c>
      <c r="G1901" s="75" t="n">
        <v>1701</v>
      </c>
      <c r="H1901" s="76" t="n">
        <v>3312000</v>
      </c>
      <c r="I1901" s="75" t="inlineStr">
        <is>
          <t>10월 통신요금 - O텔레콤</t>
        </is>
      </c>
      <c r="J1901" s="75" t="inlineStr">
        <is>
          <t>V10002</t>
        </is>
      </c>
      <c r="K1901" s="75" t="inlineStr">
        <is>
          <t>O텔레콤</t>
        </is>
      </c>
      <c r="M1901" s="9">
        <f>IF($A1901="","",VALUE($A1901&amp;"")*12+VALUE($B1901&amp;""))</f>
        <v/>
      </c>
      <c r="N1901" s="39">
        <f>IF($A1901="","",IFERROR(INDEX(부서매핑!$C$5:$C$504,MATCH($G1901&amp;"",부서매핑!$A$5:$A$504,0)),"미매핑"))</f>
        <v/>
      </c>
      <c r="O1901" s="9">
        <f>IF($A1901="","",N1901&amp;"|"&amp;$F1901)</f>
        <v/>
      </c>
      <c r="P1901" s="77">
        <f>IF($A1901="",0,$H1901*설정!$C$23)</f>
        <v/>
      </c>
      <c r="Q1901" s="39">
        <f>IF($A1901="","",IF(O1901&lt;&gt;원인분석!$C$9,"",IF(AND(M1901&gt;=원인분석!$C$10,M1901&lt;=원인분석!$C$11),"당기",IF(AND(M1901&gt;=원인분석!$C$12,M1901&lt;=원인분석!$C$13),"비교",""))))</f>
        <v/>
      </c>
      <c r="R1901" s="9">
        <f>IF(Q1901="","",$K1901&amp;"")</f>
        <v/>
      </c>
      <c r="S1901" s="9">
        <f>IF(Q1901="","",IF(MATCH(R1901,$R$5:$R$100000,0)=ROW()-4,ROW(),""))</f>
        <v/>
      </c>
      <c r="T1901" s="9">
        <f>IF(Q1901="당기",ABS(P1901)+ROW()/1000000000,"")</f>
        <v/>
      </c>
      <c r="U1901" s="9">
        <f>IF(Q1901="비교",ABS(P1901)+ROW()/1000000000,"")</f>
        <v/>
      </c>
      <c r="V1901" s="39">
        <f>IF($A1901="","",IF(COUNTIF(변동분석!$E$7:$E$506,O1901)&gt;0,"Y","N"))</f>
        <v/>
      </c>
      <c r="W1901" s="39">
        <f>IF($A1901="","",IFERROR(INDEX(계정매핑!$D$5:$D$504,MATCH($F1901&amp;"",계정매핑!$A$5:$A$504,0)),"미매핑"))</f>
        <v/>
      </c>
      <c r="X1901" s="9">
        <f>IF($A1901="","",$F1901&amp;"")</f>
        <v/>
      </c>
    </row>
    <row r="1902">
      <c r="A1902" s="75" t="n">
        <v>2025</v>
      </c>
      <c r="B1902" s="75" t="n">
        <v>10</v>
      </c>
      <c r="C1902" s="75" t="inlineStr">
        <is>
          <t>5100001898</t>
        </is>
      </c>
      <c r="D1902" s="78" t="n">
        <v>45951</v>
      </c>
      <c r="E1902" s="75" t="inlineStr">
        <is>
          <t>KR</t>
        </is>
      </c>
      <c r="F1902" s="75" t="n">
        <v>62201000</v>
      </c>
      <c r="G1902" s="75" t="n">
        <v>1801</v>
      </c>
      <c r="H1902" s="76" t="n">
        <v>9123000</v>
      </c>
      <c r="I1902" s="75" t="inlineStr">
        <is>
          <t>10월 통신요금 - O텔레콤</t>
        </is>
      </c>
      <c r="J1902" s="75" t="inlineStr">
        <is>
          <t>V10002</t>
        </is>
      </c>
      <c r="K1902" s="75" t="inlineStr">
        <is>
          <t>O텔레콤</t>
        </is>
      </c>
      <c r="M1902" s="9">
        <f>IF($A1902="","",VALUE($A1902&amp;"")*12+VALUE($B1902&amp;""))</f>
        <v/>
      </c>
      <c r="N1902" s="39">
        <f>IF($A1902="","",IFERROR(INDEX(부서매핑!$C$5:$C$504,MATCH($G1902&amp;"",부서매핑!$A$5:$A$504,0)),"미매핑"))</f>
        <v/>
      </c>
      <c r="O1902" s="9">
        <f>IF($A1902="","",N1902&amp;"|"&amp;$F1902)</f>
        <v/>
      </c>
      <c r="P1902" s="77">
        <f>IF($A1902="",0,$H1902*설정!$C$23)</f>
        <v/>
      </c>
      <c r="Q1902" s="39">
        <f>IF($A1902="","",IF(O1902&lt;&gt;원인분석!$C$9,"",IF(AND(M1902&gt;=원인분석!$C$10,M1902&lt;=원인분석!$C$11),"당기",IF(AND(M1902&gt;=원인분석!$C$12,M1902&lt;=원인분석!$C$13),"비교",""))))</f>
        <v/>
      </c>
      <c r="R1902" s="9">
        <f>IF(Q1902="","",$K1902&amp;"")</f>
        <v/>
      </c>
      <c r="S1902" s="9">
        <f>IF(Q1902="","",IF(MATCH(R1902,$R$5:$R$100000,0)=ROW()-4,ROW(),""))</f>
        <v/>
      </c>
      <c r="T1902" s="9">
        <f>IF(Q1902="당기",ABS(P1902)+ROW()/1000000000,"")</f>
        <v/>
      </c>
      <c r="U1902" s="9">
        <f>IF(Q1902="비교",ABS(P1902)+ROW()/1000000000,"")</f>
        <v/>
      </c>
      <c r="V1902" s="39">
        <f>IF($A1902="","",IF(COUNTIF(변동분석!$E$7:$E$506,O1902)&gt;0,"Y","N"))</f>
        <v/>
      </c>
      <c r="W1902" s="39">
        <f>IF($A1902="","",IFERROR(INDEX(계정매핑!$D$5:$D$504,MATCH($F1902&amp;"",계정매핑!$A$5:$A$504,0)),"미매핑"))</f>
        <v/>
      </c>
      <c r="X1902" s="9">
        <f>IF($A1902="","",$F1902&amp;"")</f>
        <v/>
      </c>
    </row>
    <row r="1903">
      <c r="A1903" s="75" t="n">
        <v>2025</v>
      </c>
      <c r="B1903" s="75" t="n">
        <v>10</v>
      </c>
      <c r="C1903" s="75" t="inlineStr">
        <is>
          <t>5100001899</t>
        </is>
      </c>
      <c r="D1903" s="78" t="n">
        <v>45951</v>
      </c>
      <c r="E1903" s="75" t="inlineStr">
        <is>
          <t>KR</t>
        </is>
      </c>
      <c r="F1903" s="75" t="n">
        <v>62301000</v>
      </c>
      <c r="G1903" s="75" t="n">
        <v>1101</v>
      </c>
      <c r="H1903" s="76" t="n">
        <v>123000</v>
      </c>
      <c r="I1903" s="75" t="inlineStr">
        <is>
          <t>10월 소모품 구입 - Q오피스</t>
        </is>
      </c>
      <c r="J1903" s="75" t="inlineStr">
        <is>
          <t>V10003</t>
        </is>
      </c>
      <c r="K1903" s="75" t="inlineStr">
        <is>
          <t>Q오피스</t>
        </is>
      </c>
      <c r="M1903" s="9">
        <f>IF($A1903="","",VALUE($A1903&amp;"")*12+VALUE($B1903&amp;""))</f>
        <v/>
      </c>
      <c r="N1903" s="39">
        <f>IF($A1903="","",IFERROR(INDEX(부서매핑!$C$5:$C$504,MATCH($G1903&amp;"",부서매핑!$A$5:$A$504,0)),"미매핑"))</f>
        <v/>
      </c>
      <c r="O1903" s="9">
        <f>IF($A1903="","",N1903&amp;"|"&amp;$F1903)</f>
        <v/>
      </c>
      <c r="P1903" s="77">
        <f>IF($A1903="",0,$H1903*설정!$C$23)</f>
        <v/>
      </c>
      <c r="Q1903" s="39">
        <f>IF($A1903="","",IF(O1903&lt;&gt;원인분석!$C$9,"",IF(AND(M1903&gt;=원인분석!$C$10,M1903&lt;=원인분석!$C$11),"당기",IF(AND(M1903&gt;=원인분석!$C$12,M1903&lt;=원인분석!$C$13),"비교",""))))</f>
        <v/>
      </c>
      <c r="R1903" s="9">
        <f>IF(Q1903="","",$K1903&amp;"")</f>
        <v/>
      </c>
      <c r="S1903" s="9">
        <f>IF(Q1903="","",IF(MATCH(R1903,$R$5:$R$100000,0)=ROW()-4,ROW(),""))</f>
        <v/>
      </c>
      <c r="T1903" s="9">
        <f>IF(Q1903="당기",ABS(P1903)+ROW()/1000000000,"")</f>
        <v/>
      </c>
      <c r="U1903" s="9">
        <f>IF(Q1903="비교",ABS(P1903)+ROW()/1000000000,"")</f>
        <v/>
      </c>
      <c r="V1903" s="39">
        <f>IF($A1903="","",IF(COUNTIF(변동분석!$E$7:$E$506,O1903)&gt;0,"Y","N"))</f>
        <v/>
      </c>
      <c r="W1903" s="39">
        <f>IF($A1903="","",IFERROR(INDEX(계정매핑!$D$5:$D$504,MATCH($F1903&amp;"",계정매핑!$A$5:$A$504,0)),"미매핑"))</f>
        <v/>
      </c>
      <c r="X1903" s="9">
        <f>IF($A1903="","",$F1903&amp;"")</f>
        <v/>
      </c>
    </row>
    <row r="1904">
      <c r="A1904" s="75" t="n">
        <v>2025</v>
      </c>
      <c r="B1904" s="75" t="n">
        <v>10</v>
      </c>
      <c r="C1904" s="75" t="inlineStr">
        <is>
          <t>5100001900</t>
        </is>
      </c>
      <c r="D1904" s="78" t="n">
        <v>45951</v>
      </c>
      <c r="E1904" s="75" t="inlineStr">
        <is>
          <t>KR</t>
        </is>
      </c>
      <c r="F1904" s="75" t="n">
        <v>62501000</v>
      </c>
      <c r="G1904" s="75" t="n">
        <v>1601</v>
      </c>
      <c r="H1904" s="76" t="n">
        <v>399000</v>
      </c>
      <c r="I1904" s="75" t="inlineStr">
        <is>
          <t>10월 회의 다과 - (법인카드)</t>
        </is>
      </c>
      <c r="J1904" s="75" t="inlineStr">
        <is>
          <t>V10008</t>
        </is>
      </c>
      <c r="K1904" s="75" t="inlineStr">
        <is>
          <t>(법인카드)</t>
        </is>
      </c>
      <c r="M1904" s="9">
        <f>IF($A1904="","",VALUE($A1904&amp;"")*12+VALUE($B1904&amp;""))</f>
        <v/>
      </c>
      <c r="N1904" s="39">
        <f>IF($A1904="","",IFERROR(INDEX(부서매핑!$C$5:$C$504,MATCH($G1904&amp;"",부서매핑!$A$5:$A$504,0)),"미매핑"))</f>
        <v/>
      </c>
      <c r="O1904" s="9">
        <f>IF($A1904="","",N1904&amp;"|"&amp;$F1904)</f>
        <v/>
      </c>
      <c r="P1904" s="77">
        <f>IF($A1904="",0,$H1904*설정!$C$23)</f>
        <v/>
      </c>
      <c r="Q1904" s="39">
        <f>IF($A1904="","",IF(O1904&lt;&gt;원인분석!$C$9,"",IF(AND(M1904&gt;=원인분석!$C$10,M1904&lt;=원인분석!$C$11),"당기",IF(AND(M1904&gt;=원인분석!$C$12,M1904&lt;=원인분석!$C$13),"비교",""))))</f>
        <v/>
      </c>
      <c r="R1904" s="9">
        <f>IF(Q1904="","",$K1904&amp;"")</f>
        <v/>
      </c>
      <c r="S1904" s="9">
        <f>IF(Q1904="","",IF(MATCH(R1904,$R$5:$R$100000,0)=ROW()-4,ROW(),""))</f>
        <v/>
      </c>
      <c r="T1904" s="9">
        <f>IF(Q1904="당기",ABS(P1904)+ROW()/1000000000,"")</f>
        <v/>
      </c>
      <c r="U1904" s="9">
        <f>IF(Q1904="비교",ABS(P1904)+ROW()/1000000000,"")</f>
        <v/>
      </c>
      <c r="V1904" s="39">
        <f>IF($A1904="","",IF(COUNTIF(변동분석!$E$7:$E$506,O1904)&gt;0,"Y","N"))</f>
        <v/>
      </c>
      <c r="W1904" s="39">
        <f>IF($A1904="","",IFERROR(INDEX(계정매핑!$D$5:$D$504,MATCH($F1904&amp;"",계정매핑!$A$5:$A$504,0)),"미매핑"))</f>
        <v/>
      </c>
      <c r="X1904" s="9">
        <f>IF($A1904="","",$F1904&amp;"")</f>
        <v/>
      </c>
    </row>
    <row r="1905">
      <c r="A1905" s="75" t="n">
        <v>2025</v>
      </c>
      <c r="B1905" s="75" t="n">
        <v>10</v>
      </c>
      <c r="C1905" s="75" t="inlineStr">
        <is>
          <t>5100001901</t>
        </is>
      </c>
      <c r="D1905" s="78" t="n">
        <v>45951</v>
      </c>
      <c r="E1905" s="75" t="inlineStr">
        <is>
          <t>KR</t>
        </is>
      </c>
      <c r="F1905" s="75" t="n">
        <v>62501000</v>
      </c>
      <c r="G1905" s="75" t="n">
        <v>1801</v>
      </c>
      <c r="H1905" s="76" t="n">
        <v>137000</v>
      </c>
      <c r="I1905" s="75" t="inlineStr">
        <is>
          <t>10월 회의 다과 - (법인카드)</t>
        </is>
      </c>
      <c r="J1905" s="75" t="inlineStr">
        <is>
          <t>V10008</t>
        </is>
      </c>
      <c r="K1905" s="75" t="inlineStr">
        <is>
          <t>(법인카드)</t>
        </is>
      </c>
      <c r="M1905" s="9">
        <f>IF($A1905="","",VALUE($A1905&amp;"")*12+VALUE($B1905&amp;""))</f>
        <v/>
      </c>
      <c r="N1905" s="39">
        <f>IF($A1905="","",IFERROR(INDEX(부서매핑!$C$5:$C$504,MATCH($G1905&amp;"",부서매핑!$A$5:$A$504,0)),"미매핑"))</f>
        <v/>
      </c>
      <c r="O1905" s="9">
        <f>IF($A1905="","",N1905&amp;"|"&amp;$F1905)</f>
        <v/>
      </c>
      <c r="P1905" s="77">
        <f>IF($A1905="",0,$H1905*설정!$C$23)</f>
        <v/>
      </c>
      <c r="Q1905" s="39">
        <f>IF($A1905="","",IF(O1905&lt;&gt;원인분석!$C$9,"",IF(AND(M1905&gt;=원인분석!$C$10,M1905&lt;=원인분석!$C$11),"당기",IF(AND(M1905&gt;=원인분석!$C$12,M1905&lt;=원인분석!$C$13),"비교",""))))</f>
        <v/>
      </c>
      <c r="R1905" s="9">
        <f>IF(Q1905="","",$K1905&amp;"")</f>
        <v/>
      </c>
      <c r="S1905" s="9">
        <f>IF(Q1905="","",IF(MATCH(R1905,$R$5:$R$100000,0)=ROW()-4,ROW(),""))</f>
        <v/>
      </c>
      <c r="T1905" s="9">
        <f>IF(Q1905="당기",ABS(P1905)+ROW()/1000000000,"")</f>
        <v/>
      </c>
      <c r="U1905" s="9">
        <f>IF(Q1905="비교",ABS(P1905)+ROW()/1000000000,"")</f>
        <v/>
      </c>
      <c r="V1905" s="39">
        <f>IF($A1905="","",IF(COUNTIF(변동분석!$E$7:$E$506,O1905)&gt;0,"Y","N"))</f>
        <v/>
      </c>
      <c r="W1905" s="39">
        <f>IF($A1905="","",IFERROR(INDEX(계정매핑!$D$5:$D$504,MATCH($F1905&amp;"",계정매핑!$A$5:$A$504,0)),"미매핑"))</f>
        <v/>
      </c>
      <c r="X1905" s="9">
        <f>IF($A1905="","",$F1905&amp;"")</f>
        <v/>
      </c>
    </row>
    <row r="1906">
      <c r="A1906" s="75" t="n">
        <v>2025</v>
      </c>
      <c r="B1906" s="75" t="n">
        <v>10</v>
      </c>
      <c r="C1906" s="75" t="inlineStr">
        <is>
          <t>5100001902</t>
        </is>
      </c>
      <c r="D1906" s="78" t="n">
        <v>45951</v>
      </c>
      <c r="E1906" s="75" t="inlineStr">
        <is>
          <t>KR</t>
        </is>
      </c>
      <c r="F1906" s="75" t="n">
        <v>62802000</v>
      </c>
      <c r="G1906" s="75" t="n">
        <v>1301</v>
      </c>
      <c r="H1906" s="76" t="n">
        <v>5900000</v>
      </c>
      <c r="I1906" s="75" t="inlineStr">
        <is>
          <t>10월 위탁교육 - I교육원</t>
        </is>
      </c>
      <c r="J1906" s="75" t="inlineStr">
        <is>
          <t>V10015</t>
        </is>
      </c>
      <c r="K1906" s="75" t="inlineStr">
        <is>
          <t>I교육원</t>
        </is>
      </c>
      <c r="M1906" s="9">
        <f>IF($A1906="","",VALUE($A1906&amp;"")*12+VALUE($B1906&amp;""))</f>
        <v/>
      </c>
      <c r="N1906" s="39">
        <f>IF($A1906="","",IFERROR(INDEX(부서매핑!$C$5:$C$504,MATCH($G1906&amp;"",부서매핑!$A$5:$A$504,0)),"미매핑"))</f>
        <v/>
      </c>
      <c r="O1906" s="9">
        <f>IF($A1906="","",N1906&amp;"|"&amp;$F1906)</f>
        <v/>
      </c>
      <c r="P1906" s="77">
        <f>IF($A1906="",0,$H1906*설정!$C$23)</f>
        <v/>
      </c>
      <c r="Q1906" s="39">
        <f>IF($A1906="","",IF(O1906&lt;&gt;원인분석!$C$9,"",IF(AND(M1906&gt;=원인분석!$C$10,M1906&lt;=원인분석!$C$11),"당기",IF(AND(M1906&gt;=원인분석!$C$12,M1906&lt;=원인분석!$C$13),"비교",""))))</f>
        <v/>
      </c>
      <c r="R1906" s="9">
        <f>IF(Q1906="","",$K1906&amp;"")</f>
        <v/>
      </c>
      <c r="S1906" s="9">
        <f>IF(Q1906="","",IF(MATCH(R1906,$R$5:$R$100000,0)=ROW()-4,ROW(),""))</f>
        <v/>
      </c>
      <c r="T1906" s="9">
        <f>IF(Q1906="당기",ABS(P1906)+ROW()/1000000000,"")</f>
        <v/>
      </c>
      <c r="U1906" s="9">
        <f>IF(Q1906="비교",ABS(P1906)+ROW()/1000000000,"")</f>
        <v/>
      </c>
      <c r="V1906" s="39">
        <f>IF($A1906="","",IF(COUNTIF(변동분석!$E$7:$E$506,O1906)&gt;0,"Y","N"))</f>
        <v/>
      </c>
      <c r="W1906" s="39">
        <f>IF($A1906="","",IFERROR(INDEX(계정매핑!$D$5:$D$504,MATCH($F1906&amp;"",계정매핑!$A$5:$A$504,0)),"미매핑"))</f>
        <v/>
      </c>
      <c r="X1906" s="9">
        <f>IF($A1906="","",$F1906&amp;"")</f>
        <v/>
      </c>
    </row>
    <row r="1907">
      <c r="A1907" s="75" t="n">
        <v>2025</v>
      </c>
      <c r="B1907" s="75" t="n">
        <v>10</v>
      </c>
      <c r="C1907" s="75" t="inlineStr">
        <is>
          <t>5100001903</t>
        </is>
      </c>
      <c r="D1907" s="78" t="n">
        <v>45952</v>
      </c>
      <c r="E1907" s="75" t="inlineStr">
        <is>
          <t>KR</t>
        </is>
      </c>
      <c r="F1907" s="75" t="n">
        <v>62101000</v>
      </c>
      <c r="G1907" s="75" t="n">
        <v>1401</v>
      </c>
      <c r="H1907" s="76" t="n">
        <v>518000</v>
      </c>
      <c r="I1907" s="75" t="inlineStr">
        <is>
          <t>10월 국내출장 - L여행사</t>
        </is>
      </c>
      <c r="J1907" s="75" t="inlineStr">
        <is>
          <t>V10014</t>
        </is>
      </c>
      <c r="K1907" s="75" t="inlineStr">
        <is>
          <t>L여행사</t>
        </is>
      </c>
      <c r="M1907" s="9">
        <f>IF($A1907="","",VALUE($A1907&amp;"")*12+VALUE($B1907&amp;""))</f>
        <v/>
      </c>
      <c r="N1907" s="39">
        <f>IF($A1907="","",IFERROR(INDEX(부서매핑!$C$5:$C$504,MATCH($G1907&amp;"",부서매핑!$A$5:$A$504,0)),"미매핑"))</f>
        <v/>
      </c>
      <c r="O1907" s="9">
        <f>IF($A1907="","",N1907&amp;"|"&amp;$F1907)</f>
        <v/>
      </c>
      <c r="P1907" s="77">
        <f>IF($A1907="",0,$H1907*설정!$C$23)</f>
        <v/>
      </c>
      <c r="Q1907" s="39">
        <f>IF($A1907="","",IF(O1907&lt;&gt;원인분석!$C$9,"",IF(AND(M1907&gt;=원인분석!$C$10,M1907&lt;=원인분석!$C$11),"당기",IF(AND(M1907&gt;=원인분석!$C$12,M1907&lt;=원인분석!$C$13),"비교",""))))</f>
        <v/>
      </c>
      <c r="R1907" s="9">
        <f>IF(Q1907="","",$K1907&amp;"")</f>
        <v/>
      </c>
      <c r="S1907" s="9">
        <f>IF(Q1907="","",IF(MATCH(R1907,$R$5:$R$100000,0)=ROW()-4,ROW(),""))</f>
        <v/>
      </c>
      <c r="T1907" s="9">
        <f>IF(Q1907="당기",ABS(P1907)+ROW()/1000000000,"")</f>
        <v/>
      </c>
      <c r="U1907" s="9">
        <f>IF(Q1907="비교",ABS(P1907)+ROW()/1000000000,"")</f>
        <v/>
      </c>
      <c r="V1907" s="39">
        <f>IF($A1907="","",IF(COUNTIF(변동분석!$E$7:$E$506,O1907)&gt;0,"Y","N"))</f>
        <v/>
      </c>
      <c r="W1907" s="39">
        <f>IF($A1907="","",IFERROR(INDEX(계정매핑!$D$5:$D$504,MATCH($F1907&amp;"",계정매핑!$A$5:$A$504,0)),"미매핑"))</f>
        <v/>
      </c>
      <c r="X1907" s="9">
        <f>IF($A1907="","",$F1907&amp;"")</f>
        <v/>
      </c>
    </row>
    <row r="1908">
      <c r="A1908" s="75" t="n">
        <v>2025</v>
      </c>
      <c r="B1908" s="75" t="n">
        <v>10</v>
      </c>
      <c r="C1908" s="75" t="inlineStr">
        <is>
          <t>5100001904</t>
        </is>
      </c>
      <c r="D1908" s="78" t="n">
        <v>45952</v>
      </c>
      <c r="E1908" s="75" t="inlineStr">
        <is>
          <t>KR</t>
        </is>
      </c>
      <c r="F1908" s="75" t="n">
        <v>62102000</v>
      </c>
      <c r="G1908" s="75" t="n">
        <v>1602</v>
      </c>
      <c r="H1908" s="76" t="n">
        <v>196000</v>
      </c>
      <c r="I1908" s="75" t="inlineStr">
        <is>
          <t>10월 해외출장 - M항공</t>
        </is>
      </c>
      <c r="J1908" s="75" t="inlineStr">
        <is>
          <t>V10001</t>
        </is>
      </c>
      <c r="K1908" s="75" t="inlineStr">
        <is>
          <t>M항공</t>
        </is>
      </c>
      <c r="M1908" s="9">
        <f>IF($A1908="","",VALUE($A1908&amp;"")*12+VALUE($B1908&amp;""))</f>
        <v/>
      </c>
      <c r="N1908" s="39">
        <f>IF($A1908="","",IFERROR(INDEX(부서매핑!$C$5:$C$504,MATCH($G1908&amp;"",부서매핑!$A$5:$A$504,0)),"미매핑"))</f>
        <v/>
      </c>
      <c r="O1908" s="9">
        <f>IF($A1908="","",N1908&amp;"|"&amp;$F1908)</f>
        <v/>
      </c>
      <c r="P1908" s="77">
        <f>IF($A1908="",0,$H1908*설정!$C$23)</f>
        <v/>
      </c>
      <c r="Q1908" s="39">
        <f>IF($A1908="","",IF(O1908&lt;&gt;원인분석!$C$9,"",IF(AND(M1908&gt;=원인분석!$C$10,M1908&lt;=원인분석!$C$11),"당기",IF(AND(M1908&gt;=원인분석!$C$12,M1908&lt;=원인분석!$C$13),"비교",""))))</f>
        <v/>
      </c>
      <c r="R1908" s="9">
        <f>IF(Q1908="","",$K1908&amp;"")</f>
        <v/>
      </c>
      <c r="S1908" s="9">
        <f>IF(Q1908="","",IF(MATCH(R1908,$R$5:$R$100000,0)=ROW()-4,ROW(),""))</f>
        <v/>
      </c>
      <c r="T1908" s="9">
        <f>IF(Q1908="당기",ABS(P1908)+ROW()/1000000000,"")</f>
        <v/>
      </c>
      <c r="U1908" s="9">
        <f>IF(Q1908="비교",ABS(P1908)+ROW()/1000000000,"")</f>
        <v/>
      </c>
      <c r="V1908" s="39">
        <f>IF($A1908="","",IF(COUNTIF(변동분석!$E$7:$E$506,O1908)&gt;0,"Y","N"))</f>
        <v/>
      </c>
      <c r="W1908" s="39">
        <f>IF($A1908="","",IFERROR(INDEX(계정매핑!$D$5:$D$504,MATCH($F1908&amp;"",계정매핑!$A$5:$A$504,0)),"미매핑"))</f>
        <v/>
      </c>
      <c r="X1908" s="9">
        <f>IF($A1908="","",$F1908&amp;"")</f>
        <v/>
      </c>
    </row>
    <row r="1909">
      <c r="A1909" s="75" t="n">
        <v>2025</v>
      </c>
      <c r="B1909" s="75" t="n">
        <v>10</v>
      </c>
      <c r="C1909" s="75" t="inlineStr">
        <is>
          <t>5100001905</t>
        </is>
      </c>
      <c r="D1909" s="78" t="n">
        <v>45952</v>
      </c>
      <c r="E1909" s="75" t="inlineStr">
        <is>
          <t>KR</t>
        </is>
      </c>
      <c r="F1909" s="75" t="n">
        <v>62301000</v>
      </c>
      <c r="G1909" s="75" t="n">
        <v>1101</v>
      </c>
      <c r="H1909" s="76" t="n">
        <v>113000</v>
      </c>
      <c r="I1909" s="75" t="inlineStr">
        <is>
          <t>10월 소모품 구입 - R문구</t>
        </is>
      </c>
      <c r="J1909" s="75" t="inlineStr">
        <is>
          <t>V10018</t>
        </is>
      </c>
      <c r="K1909" s="75" t="inlineStr">
        <is>
          <t>R문구</t>
        </is>
      </c>
      <c r="M1909" s="9">
        <f>IF($A1909="","",VALUE($A1909&amp;"")*12+VALUE($B1909&amp;""))</f>
        <v/>
      </c>
      <c r="N1909" s="39">
        <f>IF($A1909="","",IFERROR(INDEX(부서매핑!$C$5:$C$504,MATCH($G1909&amp;"",부서매핑!$A$5:$A$504,0)),"미매핑"))</f>
        <v/>
      </c>
      <c r="O1909" s="9">
        <f>IF($A1909="","",N1909&amp;"|"&amp;$F1909)</f>
        <v/>
      </c>
      <c r="P1909" s="77">
        <f>IF($A1909="",0,$H1909*설정!$C$23)</f>
        <v/>
      </c>
      <c r="Q1909" s="39">
        <f>IF($A1909="","",IF(O1909&lt;&gt;원인분석!$C$9,"",IF(AND(M1909&gt;=원인분석!$C$10,M1909&lt;=원인분석!$C$11),"당기",IF(AND(M1909&gt;=원인분석!$C$12,M1909&lt;=원인분석!$C$13),"비교",""))))</f>
        <v/>
      </c>
      <c r="R1909" s="9">
        <f>IF(Q1909="","",$K1909&amp;"")</f>
        <v/>
      </c>
      <c r="S1909" s="9">
        <f>IF(Q1909="","",IF(MATCH(R1909,$R$5:$R$100000,0)=ROW()-4,ROW(),""))</f>
        <v/>
      </c>
      <c r="T1909" s="9">
        <f>IF(Q1909="당기",ABS(P1909)+ROW()/1000000000,"")</f>
        <v/>
      </c>
      <c r="U1909" s="9">
        <f>IF(Q1909="비교",ABS(P1909)+ROW()/1000000000,"")</f>
        <v/>
      </c>
      <c r="V1909" s="39">
        <f>IF($A1909="","",IF(COUNTIF(변동분석!$E$7:$E$506,O1909)&gt;0,"Y","N"))</f>
        <v/>
      </c>
      <c r="W1909" s="39">
        <f>IF($A1909="","",IFERROR(INDEX(계정매핑!$D$5:$D$504,MATCH($F1909&amp;"",계정매핑!$A$5:$A$504,0)),"미매핑"))</f>
        <v/>
      </c>
      <c r="X1909" s="9">
        <f>IF($A1909="","",$F1909&amp;"")</f>
        <v/>
      </c>
    </row>
    <row r="1910">
      <c r="A1910" s="75" t="n">
        <v>2025</v>
      </c>
      <c r="B1910" s="75" t="n">
        <v>10</v>
      </c>
      <c r="C1910" s="75" t="inlineStr">
        <is>
          <t>5100001906</t>
        </is>
      </c>
      <c r="D1910" s="78" t="n">
        <v>45952</v>
      </c>
      <c r="E1910" s="75" t="inlineStr">
        <is>
          <t>KR</t>
        </is>
      </c>
      <c r="F1910" s="75" t="n">
        <v>62401000</v>
      </c>
      <c r="G1910" s="75" t="n">
        <v>1501</v>
      </c>
      <c r="H1910" s="76" t="n">
        <v>2000000</v>
      </c>
      <c r="I1910" s="75" t="inlineStr">
        <is>
          <t>10월 인쇄물 제작 - S출판</t>
        </is>
      </c>
      <c r="J1910" s="75" t="inlineStr">
        <is>
          <t>V10012</t>
        </is>
      </c>
      <c r="K1910" s="75" t="inlineStr">
        <is>
          <t>S출판</t>
        </is>
      </c>
      <c r="M1910" s="9">
        <f>IF($A1910="","",VALUE($A1910&amp;"")*12+VALUE($B1910&amp;""))</f>
        <v/>
      </c>
      <c r="N1910" s="39">
        <f>IF($A1910="","",IFERROR(INDEX(부서매핑!$C$5:$C$504,MATCH($G1910&amp;"",부서매핑!$A$5:$A$504,0)),"미매핑"))</f>
        <v/>
      </c>
      <c r="O1910" s="9">
        <f>IF($A1910="","",N1910&amp;"|"&amp;$F1910)</f>
        <v/>
      </c>
      <c r="P1910" s="77">
        <f>IF($A1910="",0,$H1910*설정!$C$23)</f>
        <v/>
      </c>
      <c r="Q1910" s="39">
        <f>IF($A1910="","",IF(O1910&lt;&gt;원인분석!$C$9,"",IF(AND(M1910&gt;=원인분석!$C$10,M1910&lt;=원인분석!$C$11),"당기",IF(AND(M1910&gt;=원인분석!$C$12,M1910&lt;=원인분석!$C$13),"비교",""))))</f>
        <v/>
      </c>
      <c r="R1910" s="9">
        <f>IF(Q1910="","",$K1910&amp;"")</f>
        <v/>
      </c>
      <c r="S1910" s="9">
        <f>IF(Q1910="","",IF(MATCH(R1910,$R$5:$R$100000,0)=ROW()-4,ROW(),""))</f>
        <v/>
      </c>
      <c r="T1910" s="9">
        <f>IF(Q1910="당기",ABS(P1910)+ROW()/1000000000,"")</f>
        <v/>
      </c>
      <c r="U1910" s="9">
        <f>IF(Q1910="비교",ABS(P1910)+ROW()/1000000000,"")</f>
        <v/>
      </c>
      <c r="V1910" s="39">
        <f>IF($A1910="","",IF(COUNTIF(변동분석!$E$7:$E$506,O1910)&gt;0,"Y","N"))</f>
        <v/>
      </c>
      <c r="W1910" s="39">
        <f>IF($A1910="","",IFERROR(INDEX(계정매핑!$D$5:$D$504,MATCH($F1910&amp;"",계정매핑!$A$5:$A$504,0)),"미매핑"))</f>
        <v/>
      </c>
      <c r="X1910" s="9">
        <f>IF($A1910="","",$F1910&amp;"")</f>
        <v/>
      </c>
    </row>
    <row r="1911">
      <c r="A1911" s="75" t="n">
        <v>2025</v>
      </c>
      <c r="B1911" s="75" t="n">
        <v>10</v>
      </c>
      <c r="C1911" s="75" t="inlineStr">
        <is>
          <t>5100001907</t>
        </is>
      </c>
      <c r="D1911" s="78" t="n">
        <v>45952</v>
      </c>
      <c r="E1911" s="75" t="inlineStr">
        <is>
          <t>KR</t>
        </is>
      </c>
      <c r="F1911" s="75" t="n">
        <v>62501000</v>
      </c>
      <c r="G1911" s="75" t="n">
        <v>1301</v>
      </c>
      <c r="H1911" s="76" t="n">
        <v>206000</v>
      </c>
      <c r="I1911" s="75" t="inlineStr">
        <is>
          <t>10월 회의 다과 - (법인카드)</t>
        </is>
      </c>
      <c r="J1911" s="75" t="inlineStr">
        <is>
          <t>V10008</t>
        </is>
      </c>
      <c r="K1911" s="75" t="inlineStr">
        <is>
          <t>(법인카드)</t>
        </is>
      </c>
      <c r="M1911" s="9">
        <f>IF($A1911="","",VALUE($A1911&amp;"")*12+VALUE($B1911&amp;""))</f>
        <v/>
      </c>
      <c r="N1911" s="39">
        <f>IF($A1911="","",IFERROR(INDEX(부서매핑!$C$5:$C$504,MATCH($G1911&amp;"",부서매핑!$A$5:$A$504,0)),"미매핑"))</f>
        <v/>
      </c>
      <c r="O1911" s="9">
        <f>IF($A1911="","",N1911&amp;"|"&amp;$F1911)</f>
        <v/>
      </c>
      <c r="P1911" s="77">
        <f>IF($A1911="",0,$H1911*설정!$C$23)</f>
        <v/>
      </c>
      <c r="Q1911" s="39">
        <f>IF($A1911="","",IF(O1911&lt;&gt;원인분석!$C$9,"",IF(AND(M1911&gt;=원인분석!$C$10,M1911&lt;=원인분석!$C$11),"당기",IF(AND(M1911&gt;=원인분석!$C$12,M1911&lt;=원인분석!$C$13),"비교",""))))</f>
        <v/>
      </c>
      <c r="R1911" s="9">
        <f>IF(Q1911="","",$K1911&amp;"")</f>
        <v/>
      </c>
      <c r="S1911" s="9">
        <f>IF(Q1911="","",IF(MATCH(R1911,$R$5:$R$100000,0)=ROW()-4,ROW(),""))</f>
        <v/>
      </c>
      <c r="T1911" s="9">
        <f>IF(Q1911="당기",ABS(P1911)+ROW()/1000000000,"")</f>
        <v/>
      </c>
      <c r="U1911" s="9">
        <f>IF(Q1911="비교",ABS(P1911)+ROW()/1000000000,"")</f>
        <v/>
      </c>
      <c r="V1911" s="39">
        <f>IF($A1911="","",IF(COUNTIF(변동분석!$E$7:$E$506,O1911)&gt;0,"Y","N"))</f>
        <v/>
      </c>
      <c r="W1911" s="39">
        <f>IF($A1911="","",IFERROR(INDEX(계정매핑!$D$5:$D$504,MATCH($F1911&amp;"",계정매핑!$A$5:$A$504,0)),"미매핑"))</f>
        <v/>
      </c>
      <c r="X1911" s="9">
        <f>IF($A1911="","",$F1911&amp;"")</f>
        <v/>
      </c>
    </row>
    <row r="1912">
      <c r="A1912" s="75" t="n">
        <v>2025</v>
      </c>
      <c r="B1912" s="75" t="n">
        <v>10</v>
      </c>
      <c r="C1912" s="75" t="inlineStr">
        <is>
          <t>5100001908</t>
        </is>
      </c>
      <c r="D1912" s="78" t="n">
        <v>45952</v>
      </c>
      <c r="E1912" s="75" t="inlineStr">
        <is>
          <t>KR</t>
        </is>
      </c>
      <c r="F1912" s="75" t="n">
        <v>62802000</v>
      </c>
      <c r="G1912" s="75" t="n">
        <v>1301</v>
      </c>
      <c r="H1912" s="76" t="n">
        <v>3868000</v>
      </c>
      <c r="I1912" s="75" t="inlineStr">
        <is>
          <t>10월 위탁교육 - I교육원</t>
        </is>
      </c>
      <c r="J1912" s="75" t="inlineStr">
        <is>
          <t>V10015</t>
        </is>
      </c>
      <c r="K1912" s="75" t="inlineStr">
        <is>
          <t>I교육원</t>
        </is>
      </c>
      <c r="M1912" s="9">
        <f>IF($A1912="","",VALUE($A1912&amp;"")*12+VALUE($B1912&amp;""))</f>
        <v/>
      </c>
      <c r="N1912" s="39">
        <f>IF($A1912="","",IFERROR(INDEX(부서매핑!$C$5:$C$504,MATCH($G1912&amp;"",부서매핑!$A$5:$A$504,0)),"미매핑"))</f>
        <v/>
      </c>
      <c r="O1912" s="9">
        <f>IF($A1912="","",N1912&amp;"|"&amp;$F1912)</f>
        <v/>
      </c>
      <c r="P1912" s="77">
        <f>IF($A1912="",0,$H1912*설정!$C$23)</f>
        <v/>
      </c>
      <c r="Q1912" s="39">
        <f>IF($A1912="","",IF(O1912&lt;&gt;원인분석!$C$9,"",IF(AND(M1912&gt;=원인분석!$C$10,M1912&lt;=원인분석!$C$11),"당기",IF(AND(M1912&gt;=원인분석!$C$12,M1912&lt;=원인분석!$C$13),"비교",""))))</f>
        <v/>
      </c>
      <c r="R1912" s="9">
        <f>IF(Q1912="","",$K1912&amp;"")</f>
        <v/>
      </c>
      <c r="S1912" s="9">
        <f>IF(Q1912="","",IF(MATCH(R1912,$R$5:$R$100000,0)=ROW()-4,ROW(),""))</f>
        <v/>
      </c>
      <c r="T1912" s="9">
        <f>IF(Q1912="당기",ABS(P1912)+ROW()/1000000000,"")</f>
        <v/>
      </c>
      <c r="U1912" s="9">
        <f>IF(Q1912="비교",ABS(P1912)+ROW()/1000000000,"")</f>
        <v/>
      </c>
      <c r="V1912" s="39">
        <f>IF($A1912="","",IF(COUNTIF(변동분석!$E$7:$E$506,O1912)&gt;0,"Y","N"))</f>
        <v/>
      </c>
      <c r="W1912" s="39">
        <f>IF($A1912="","",IFERROR(INDEX(계정매핑!$D$5:$D$504,MATCH($F1912&amp;"",계정매핑!$A$5:$A$504,0)),"미매핑"))</f>
        <v/>
      </c>
      <c r="X1912" s="9">
        <f>IF($A1912="","",$F1912&amp;"")</f>
        <v/>
      </c>
    </row>
    <row r="1913">
      <c r="A1913" s="75" t="n">
        <v>2025</v>
      </c>
      <c r="B1913" s="75" t="n">
        <v>10</v>
      </c>
      <c r="C1913" s="75" t="inlineStr">
        <is>
          <t>5100001909</t>
        </is>
      </c>
      <c r="D1913" s="78" t="n">
        <v>45952</v>
      </c>
      <c r="E1913" s="75" t="inlineStr">
        <is>
          <t>KR</t>
        </is>
      </c>
      <c r="F1913" s="75" t="n">
        <v>62901000</v>
      </c>
      <c r="G1913" s="75" t="n">
        <v>1101</v>
      </c>
      <c r="H1913" s="76" t="n">
        <v>2335000</v>
      </c>
      <c r="I1913" s="75" t="inlineStr">
        <is>
          <t>10월 자문 수수료 - K회계법인</t>
        </is>
      </c>
      <c r="J1913" s="75" t="inlineStr">
        <is>
          <t>V10010</t>
        </is>
      </c>
      <c r="K1913" s="75" t="inlineStr">
        <is>
          <t>K회계법인</t>
        </is>
      </c>
      <c r="M1913" s="9">
        <f>IF($A1913="","",VALUE($A1913&amp;"")*12+VALUE($B1913&amp;""))</f>
        <v/>
      </c>
      <c r="N1913" s="39">
        <f>IF($A1913="","",IFERROR(INDEX(부서매핑!$C$5:$C$504,MATCH($G1913&amp;"",부서매핑!$A$5:$A$504,0)),"미매핑"))</f>
        <v/>
      </c>
      <c r="O1913" s="9">
        <f>IF($A1913="","",N1913&amp;"|"&amp;$F1913)</f>
        <v/>
      </c>
      <c r="P1913" s="77">
        <f>IF($A1913="",0,$H1913*설정!$C$23)</f>
        <v/>
      </c>
      <c r="Q1913" s="39">
        <f>IF($A1913="","",IF(O1913&lt;&gt;원인분석!$C$9,"",IF(AND(M1913&gt;=원인분석!$C$10,M1913&lt;=원인분석!$C$11),"당기",IF(AND(M1913&gt;=원인분석!$C$12,M1913&lt;=원인분석!$C$13),"비교",""))))</f>
        <v/>
      </c>
      <c r="R1913" s="9">
        <f>IF(Q1913="","",$K1913&amp;"")</f>
        <v/>
      </c>
      <c r="S1913" s="9">
        <f>IF(Q1913="","",IF(MATCH(R1913,$R$5:$R$100000,0)=ROW()-4,ROW(),""))</f>
        <v/>
      </c>
      <c r="T1913" s="9">
        <f>IF(Q1913="당기",ABS(P1913)+ROW()/1000000000,"")</f>
        <v/>
      </c>
      <c r="U1913" s="9">
        <f>IF(Q1913="비교",ABS(P1913)+ROW()/1000000000,"")</f>
        <v/>
      </c>
      <c r="V1913" s="39">
        <f>IF($A1913="","",IF(COUNTIF(변동분석!$E$7:$E$506,O1913)&gt;0,"Y","N"))</f>
        <v/>
      </c>
      <c r="W1913" s="39">
        <f>IF($A1913="","",IFERROR(INDEX(계정매핑!$D$5:$D$504,MATCH($F1913&amp;"",계정매핑!$A$5:$A$504,0)),"미매핑"))</f>
        <v/>
      </c>
      <c r="X1913" s="9">
        <f>IF($A1913="","",$F1913&amp;"")</f>
        <v/>
      </c>
    </row>
    <row r="1914">
      <c r="A1914" s="75" t="n">
        <v>2025</v>
      </c>
      <c r="B1914" s="75" t="n">
        <v>10</v>
      </c>
      <c r="C1914" s="75" t="inlineStr">
        <is>
          <t>5100001910</t>
        </is>
      </c>
      <c r="D1914" s="78" t="n">
        <v>45952</v>
      </c>
      <c r="E1914" s="75" t="inlineStr">
        <is>
          <t>KR</t>
        </is>
      </c>
      <c r="F1914" s="75" t="n">
        <v>62901000</v>
      </c>
      <c r="G1914" s="75" t="n">
        <v>1801</v>
      </c>
      <c r="H1914" s="76" t="n">
        <v>14980000</v>
      </c>
      <c r="I1914" s="75" t="inlineStr">
        <is>
          <t>10월 자문 수수료 - W컨설팅</t>
        </is>
      </c>
      <c r="J1914" s="75" t="inlineStr">
        <is>
          <t>V10009</t>
        </is>
      </c>
      <c r="K1914" s="75" t="inlineStr">
        <is>
          <t>W컨설팅</t>
        </is>
      </c>
      <c r="M1914" s="9">
        <f>IF($A1914="","",VALUE($A1914&amp;"")*12+VALUE($B1914&amp;""))</f>
        <v/>
      </c>
      <c r="N1914" s="39">
        <f>IF($A1914="","",IFERROR(INDEX(부서매핑!$C$5:$C$504,MATCH($G1914&amp;"",부서매핑!$A$5:$A$504,0)),"미매핑"))</f>
        <v/>
      </c>
      <c r="O1914" s="9">
        <f>IF($A1914="","",N1914&amp;"|"&amp;$F1914)</f>
        <v/>
      </c>
      <c r="P1914" s="77">
        <f>IF($A1914="",0,$H1914*설정!$C$23)</f>
        <v/>
      </c>
      <c r="Q1914" s="39">
        <f>IF($A1914="","",IF(O1914&lt;&gt;원인분석!$C$9,"",IF(AND(M1914&gt;=원인분석!$C$10,M1914&lt;=원인분석!$C$11),"당기",IF(AND(M1914&gt;=원인분석!$C$12,M1914&lt;=원인분석!$C$13),"비교",""))))</f>
        <v/>
      </c>
      <c r="R1914" s="9">
        <f>IF(Q1914="","",$K1914&amp;"")</f>
        <v/>
      </c>
      <c r="S1914" s="9">
        <f>IF(Q1914="","",IF(MATCH(R1914,$R$5:$R$100000,0)=ROW()-4,ROW(),""))</f>
        <v/>
      </c>
      <c r="T1914" s="9">
        <f>IF(Q1914="당기",ABS(P1914)+ROW()/1000000000,"")</f>
        <v/>
      </c>
      <c r="U1914" s="9">
        <f>IF(Q1914="비교",ABS(P1914)+ROW()/1000000000,"")</f>
        <v/>
      </c>
      <c r="V1914" s="39">
        <f>IF($A1914="","",IF(COUNTIF(변동분석!$E$7:$E$506,O1914)&gt;0,"Y","N"))</f>
        <v/>
      </c>
      <c r="W1914" s="39">
        <f>IF($A1914="","",IFERROR(INDEX(계정매핑!$D$5:$D$504,MATCH($F1914&amp;"",계정매핑!$A$5:$A$504,0)),"미매핑"))</f>
        <v/>
      </c>
      <c r="X1914" s="9">
        <f>IF($A1914="","",$F1914&amp;"")</f>
        <v/>
      </c>
    </row>
    <row r="1915">
      <c r="A1915" s="75" t="n">
        <v>2025</v>
      </c>
      <c r="B1915" s="75" t="n">
        <v>10</v>
      </c>
      <c r="C1915" s="75" t="inlineStr">
        <is>
          <t>5100001911</t>
        </is>
      </c>
      <c r="D1915" s="78" t="n">
        <v>45952</v>
      </c>
      <c r="E1915" s="75" t="inlineStr">
        <is>
          <t>KR</t>
        </is>
      </c>
      <c r="F1915" s="75" t="n">
        <v>62902000</v>
      </c>
      <c r="G1915" s="75" t="n">
        <v>1101</v>
      </c>
      <c r="H1915" s="76" t="n">
        <v>1138000</v>
      </c>
      <c r="I1915" s="75" t="inlineStr">
        <is>
          <t>10월 업무 위탁 수수료 - J콜센터</t>
        </is>
      </c>
      <c r="J1915" s="75" t="inlineStr">
        <is>
          <t>V10013</t>
        </is>
      </c>
      <c r="K1915" s="75" t="inlineStr">
        <is>
          <t>J콜센터</t>
        </is>
      </c>
      <c r="M1915" s="9">
        <f>IF($A1915="","",VALUE($A1915&amp;"")*12+VALUE($B1915&amp;""))</f>
        <v/>
      </c>
      <c r="N1915" s="39">
        <f>IF($A1915="","",IFERROR(INDEX(부서매핑!$C$5:$C$504,MATCH($G1915&amp;"",부서매핑!$A$5:$A$504,0)),"미매핑"))</f>
        <v/>
      </c>
      <c r="O1915" s="9">
        <f>IF($A1915="","",N1915&amp;"|"&amp;$F1915)</f>
        <v/>
      </c>
      <c r="P1915" s="77">
        <f>IF($A1915="",0,$H1915*설정!$C$23)</f>
        <v/>
      </c>
      <c r="Q1915" s="39">
        <f>IF($A1915="","",IF(O1915&lt;&gt;원인분석!$C$9,"",IF(AND(M1915&gt;=원인분석!$C$10,M1915&lt;=원인분석!$C$11),"당기",IF(AND(M1915&gt;=원인분석!$C$12,M1915&lt;=원인분석!$C$13),"비교",""))))</f>
        <v/>
      </c>
      <c r="R1915" s="9">
        <f>IF(Q1915="","",$K1915&amp;"")</f>
        <v/>
      </c>
      <c r="S1915" s="9">
        <f>IF(Q1915="","",IF(MATCH(R1915,$R$5:$R$100000,0)=ROW()-4,ROW(),""))</f>
        <v/>
      </c>
      <c r="T1915" s="9">
        <f>IF(Q1915="당기",ABS(P1915)+ROW()/1000000000,"")</f>
        <v/>
      </c>
      <c r="U1915" s="9">
        <f>IF(Q1915="비교",ABS(P1915)+ROW()/1000000000,"")</f>
        <v/>
      </c>
      <c r="V1915" s="39">
        <f>IF($A1915="","",IF(COUNTIF(변동분석!$E$7:$E$506,O1915)&gt;0,"Y","N"))</f>
        <v/>
      </c>
      <c r="W1915" s="39">
        <f>IF($A1915="","",IFERROR(INDEX(계정매핑!$D$5:$D$504,MATCH($F1915&amp;"",계정매핑!$A$5:$A$504,0)),"미매핑"))</f>
        <v/>
      </c>
      <c r="X1915" s="9">
        <f>IF($A1915="","",$F1915&amp;"")</f>
        <v/>
      </c>
    </row>
    <row r="1916">
      <c r="A1916" s="75" t="n">
        <v>2025</v>
      </c>
      <c r="B1916" s="75" t="n">
        <v>10</v>
      </c>
      <c r="C1916" s="75" t="inlineStr">
        <is>
          <t>5100001912</t>
        </is>
      </c>
      <c r="D1916" s="78" t="n">
        <v>45952</v>
      </c>
      <c r="E1916" s="75" t="inlineStr">
        <is>
          <t>KR</t>
        </is>
      </c>
      <c r="F1916" s="75" t="n">
        <v>62902000</v>
      </c>
      <c r="G1916" s="75" t="n">
        <v>1401</v>
      </c>
      <c r="H1916" s="76" t="n">
        <v>4266000</v>
      </c>
      <c r="I1916" s="75" t="inlineStr">
        <is>
          <t>10월 업무 위탁 수수료 - X서비스</t>
        </is>
      </c>
      <c r="J1916" s="75" t="inlineStr">
        <is>
          <t>V10016</t>
        </is>
      </c>
      <c r="K1916" s="75" t="inlineStr">
        <is>
          <t>X서비스</t>
        </is>
      </c>
      <c r="M1916" s="9">
        <f>IF($A1916="","",VALUE($A1916&amp;"")*12+VALUE($B1916&amp;""))</f>
        <v/>
      </c>
      <c r="N1916" s="39">
        <f>IF($A1916="","",IFERROR(INDEX(부서매핑!$C$5:$C$504,MATCH($G1916&amp;"",부서매핑!$A$5:$A$504,0)),"미매핑"))</f>
        <v/>
      </c>
      <c r="O1916" s="9">
        <f>IF($A1916="","",N1916&amp;"|"&amp;$F1916)</f>
        <v/>
      </c>
      <c r="P1916" s="77">
        <f>IF($A1916="",0,$H1916*설정!$C$23)</f>
        <v/>
      </c>
      <c r="Q1916" s="39">
        <f>IF($A1916="","",IF(O1916&lt;&gt;원인분석!$C$9,"",IF(AND(M1916&gt;=원인분석!$C$10,M1916&lt;=원인분석!$C$11),"당기",IF(AND(M1916&gt;=원인분석!$C$12,M1916&lt;=원인분석!$C$13),"비교",""))))</f>
        <v/>
      </c>
      <c r="R1916" s="9">
        <f>IF(Q1916="","",$K1916&amp;"")</f>
        <v/>
      </c>
      <c r="S1916" s="9">
        <f>IF(Q1916="","",IF(MATCH(R1916,$R$5:$R$100000,0)=ROW()-4,ROW(),""))</f>
        <v/>
      </c>
      <c r="T1916" s="9">
        <f>IF(Q1916="당기",ABS(P1916)+ROW()/1000000000,"")</f>
        <v/>
      </c>
      <c r="U1916" s="9">
        <f>IF(Q1916="비교",ABS(P1916)+ROW()/1000000000,"")</f>
        <v/>
      </c>
      <c r="V1916" s="39">
        <f>IF($A1916="","",IF(COUNTIF(변동분석!$E$7:$E$506,O1916)&gt;0,"Y","N"))</f>
        <v/>
      </c>
      <c r="W1916" s="39">
        <f>IF($A1916="","",IFERROR(INDEX(계정매핑!$D$5:$D$504,MATCH($F1916&amp;"",계정매핑!$A$5:$A$504,0)),"미매핑"))</f>
        <v/>
      </c>
      <c r="X1916" s="9">
        <f>IF($A1916="","",$F1916&amp;"")</f>
        <v/>
      </c>
    </row>
    <row r="1917">
      <c r="A1917" s="75" t="n">
        <v>2025</v>
      </c>
      <c r="B1917" s="75" t="n">
        <v>10</v>
      </c>
      <c r="C1917" s="75" t="inlineStr">
        <is>
          <t>5100001913</t>
        </is>
      </c>
      <c r="D1917" s="78" t="n">
        <v>45953</v>
      </c>
      <c r="E1917" s="75" t="inlineStr">
        <is>
          <t>KR</t>
        </is>
      </c>
      <c r="F1917" s="75" t="n">
        <v>62101000</v>
      </c>
      <c r="G1917" s="75" t="n">
        <v>1301</v>
      </c>
      <c r="H1917" s="76" t="n">
        <v>393000</v>
      </c>
      <c r="I1917" s="75" t="inlineStr">
        <is>
          <t>10월 국내출장 - (법인카드)</t>
        </is>
      </c>
      <c r="J1917" s="75" t="inlineStr">
        <is>
          <t>V10008</t>
        </is>
      </c>
      <c r="K1917" s="75" t="inlineStr">
        <is>
          <t>(법인카드)</t>
        </is>
      </c>
      <c r="M1917" s="9">
        <f>IF($A1917="","",VALUE($A1917&amp;"")*12+VALUE($B1917&amp;""))</f>
        <v/>
      </c>
      <c r="N1917" s="39">
        <f>IF($A1917="","",IFERROR(INDEX(부서매핑!$C$5:$C$504,MATCH($G1917&amp;"",부서매핑!$A$5:$A$504,0)),"미매핑"))</f>
        <v/>
      </c>
      <c r="O1917" s="9">
        <f>IF($A1917="","",N1917&amp;"|"&amp;$F1917)</f>
        <v/>
      </c>
      <c r="P1917" s="77">
        <f>IF($A1917="",0,$H1917*설정!$C$23)</f>
        <v/>
      </c>
      <c r="Q1917" s="39">
        <f>IF($A1917="","",IF(O1917&lt;&gt;원인분석!$C$9,"",IF(AND(M1917&gt;=원인분석!$C$10,M1917&lt;=원인분석!$C$11),"당기",IF(AND(M1917&gt;=원인분석!$C$12,M1917&lt;=원인분석!$C$13),"비교",""))))</f>
        <v/>
      </c>
      <c r="R1917" s="9">
        <f>IF(Q1917="","",$K1917&amp;"")</f>
        <v/>
      </c>
      <c r="S1917" s="9">
        <f>IF(Q1917="","",IF(MATCH(R1917,$R$5:$R$100000,0)=ROW()-4,ROW(),""))</f>
        <v/>
      </c>
      <c r="T1917" s="9">
        <f>IF(Q1917="당기",ABS(P1917)+ROW()/1000000000,"")</f>
        <v/>
      </c>
      <c r="U1917" s="9">
        <f>IF(Q1917="비교",ABS(P1917)+ROW()/1000000000,"")</f>
        <v/>
      </c>
      <c r="V1917" s="39">
        <f>IF($A1917="","",IF(COUNTIF(변동분석!$E$7:$E$506,O1917)&gt;0,"Y","N"))</f>
        <v/>
      </c>
      <c r="W1917" s="39">
        <f>IF($A1917="","",IFERROR(INDEX(계정매핑!$D$5:$D$504,MATCH($F1917&amp;"",계정매핑!$A$5:$A$504,0)),"미매핑"))</f>
        <v/>
      </c>
      <c r="X1917" s="9">
        <f>IF($A1917="","",$F1917&amp;"")</f>
        <v/>
      </c>
    </row>
    <row r="1918">
      <c r="A1918" s="75" t="n">
        <v>2025</v>
      </c>
      <c r="B1918" s="75" t="n">
        <v>10</v>
      </c>
      <c r="C1918" s="75" t="inlineStr">
        <is>
          <t>5100001914</t>
        </is>
      </c>
      <c r="D1918" s="78" t="n">
        <v>45953</v>
      </c>
      <c r="E1918" s="75" t="inlineStr">
        <is>
          <t>KR</t>
        </is>
      </c>
      <c r="F1918" s="75" t="n">
        <v>62102000</v>
      </c>
      <c r="G1918" s="75" t="n">
        <v>1701</v>
      </c>
      <c r="H1918" s="76" t="n">
        <v>30000</v>
      </c>
      <c r="I1918" s="75" t="inlineStr">
        <is>
          <t>10월 해외출장 - M항공</t>
        </is>
      </c>
      <c r="J1918" s="75" t="inlineStr">
        <is>
          <t>V10001</t>
        </is>
      </c>
      <c r="K1918" s="75" t="inlineStr">
        <is>
          <t>M항공</t>
        </is>
      </c>
      <c r="M1918" s="9">
        <f>IF($A1918="","",VALUE($A1918&amp;"")*12+VALUE($B1918&amp;""))</f>
        <v/>
      </c>
      <c r="N1918" s="39">
        <f>IF($A1918="","",IFERROR(INDEX(부서매핑!$C$5:$C$504,MATCH($G1918&amp;"",부서매핑!$A$5:$A$504,0)),"미매핑"))</f>
        <v/>
      </c>
      <c r="O1918" s="9">
        <f>IF($A1918="","",N1918&amp;"|"&amp;$F1918)</f>
        <v/>
      </c>
      <c r="P1918" s="77">
        <f>IF($A1918="",0,$H1918*설정!$C$23)</f>
        <v/>
      </c>
      <c r="Q1918" s="39">
        <f>IF($A1918="","",IF(O1918&lt;&gt;원인분석!$C$9,"",IF(AND(M1918&gt;=원인분석!$C$10,M1918&lt;=원인분석!$C$11),"당기",IF(AND(M1918&gt;=원인분석!$C$12,M1918&lt;=원인분석!$C$13),"비교",""))))</f>
        <v/>
      </c>
      <c r="R1918" s="9">
        <f>IF(Q1918="","",$K1918&amp;"")</f>
        <v/>
      </c>
      <c r="S1918" s="9">
        <f>IF(Q1918="","",IF(MATCH(R1918,$R$5:$R$100000,0)=ROW()-4,ROW(),""))</f>
        <v/>
      </c>
      <c r="T1918" s="9">
        <f>IF(Q1918="당기",ABS(P1918)+ROW()/1000000000,"")</f>
        <v/>
      </c>
      <c r="U1918" s="9">
        <f>IF(Q1918="비교",ABS(P1918)+ROW()/1000000000,"")</f>
        <v/>
      </c>
      <c r="V1918" s="39">
        <f>IF($A1918="","",IF(COUNTIF(변동분석!$E$7:$E$506,O1918)&gt;0,"Y","N"))</f>
        <v/>
      </c>
      <c r="W1918" s="39">
        <f>IF($A1918="","",IFERROR(INDEX(계정매핑!$D$5:$D$504,MATCH($F1918&amp;"",계정매핑!$A$5:$A$504,0)),"미매핑"))</f>
        <v/>
      </c>
      <c r="X1918" s="9">
        <f>IF($A1918="","",$F1918&amp;"")</f>
        <v/>
      </c>
    </row>
    <row r="1919">
      <c r="A1919" s="75" t="n">
        <v>2025</v>
      </c>
      <c r="B1919" s="75" t="n">
        <v>10</v>
      </c>
      <c r="C1919" s="75" t="inlineStr">
        <is>
          <t>5100001915</t>
        </is>
      </c>
      <c r="D1919" s="78" t="n">
        <v>45953</v>
      </c>
      <c r="E1919" s="75" t="inlineStr">
        <is>
          <t>KR</t>
        </is>
      </c>
      <c r="F1919" s="75" t="n">
        <v>62501000</v>
      </c>
      <c r="G1919" s="75" t="n">
        <v>1701</v>
      </c>
      <c r="H1919" s="76" t="n">
        <v>114000</v>
      </c>
      <c r="I1919" s="75" t="inlineStr">
        <is>
          <t>10월 회의 다과 - (법인카드)</t>
        </is>
      </c>
      <c r="J1919" s="75" t="inlineStr">
        <is>
          <t>V10008</t>
        </is>
      </c>
      <c r="K1919" s="75" t="inlineStr">
        <is>
          <t>(법인카드)</t>
        </is>
      </c>
      <c r="M1919" s="9">
        <f>IF($A1919="","",VALUE($A1919&amp;"")*12+VALUE($B1919&amp;""))</f>
        <v/>
      </c>
      <c r="N1919" s="39">
        <f>IF($A1919="","",IFERROR(INDEX(부서매핑!$C$5:$C$504,MATCH($G1919&amp;"",부서매핑!$A$5:$A$504,0)),"미매핑"))</f>
        <v/>
      </c>
      <c r="O1919" s="9">
        <f>IF($A1919="","",N1919&amp;"|"&amp;$F1919)</f>
        <v/>
      </c>
      <c r="P1919" s="77">
        <f>IF($A1919="",0,$H1919*설정!$C$23)</f>
        <v/>
      </c>
      <c r="Q1919" s="39">
        <f>IF($A1919="","",IF(O1919&lt;&gt;원인분석!$C$9,"",IF(AND(M1919&gt;=원인분석!$C$10,M1919&lt;=원인분석!$C$11),"당기",IF(AND(M1919&gt;=원인분석!$C$12,M1919&lt;=원인분석!$C$13),"비교",""))))</f>
        <v/>
      </c>
      <c r="R1919" s="9">
        <f>IF(Q1919="","",$K1919&amp;"")</f>
        <v/>
      </c>
      <c r="S1919" s="9">
        <f>IF(Q1919="","",IF(MATCH(R1919,$R$5:$R$100000,0)=ROW()-4,ROW(),""))</f>
        <v/>
      </c>
      <c r="T1919" s="9">
        <f>IF(Q1919="당기",ABS(P1919)+ROW()/1000000000,"")</f>
        <v/>
      </c>
      <c r="U1919" s="9">
        <f>IF(Q1919="비교",ABS(P1919)+ROW()/1000000000,"")</f>
        <v/>
      </c>
      <c r="V1919" s="39">
        <f>IF($A1919="","",IF(COUNTIF(변동분석!$E$7:$E$506,O1919)&gt;0,"Y","N"))</f>
        <v/>
      </c>
      <c r="W1919" s="39">
        <f>IF($A1919="","",IFERROR(INDEX(계정매핑!$D$5:$D$504,MATCH($F1919&amp;"",계정매핑!$A$5:$A$504,0)),"미매핑"))</f>
        <v/>
      </c>
      <c r="X1919" s="9">
        <f>IF($A1919="","",$F1919&amp;"")</f>
        <v/>
      </c>
    </row>
    <row r="1920">
      <c r="A1920" s="75" t="n">
        <v>2025</v>
      </c>
      <c r="B1920" s="75" t="n">
        <v>10</v>
      </c>
      <c r="C1920" s="75" t="inlineStr">
        <is>
          <t>5100001916</t>
        </is>
      </c>
      <c r="D1920" s="78" t="n">
        <v>45953</v>
      </c>
      <c r="E1920" s="75" t="inlineStr">
        <is>
          <t>KR</t>
        </is>
      </c>
      <c r="F1920" s="75" t="n">
        <v>62501000</v>
      </c>
      <c r="G1920" s="75" t="n">
        <v>1701</v>
      </c>
      <c r="H1920" s="76" t="n">
        <v>96000</v>
      </c>
      <c r="I1920" s="75" t="inlineStr">
        <is>
          <t>10월 회의 다과 - T케이터링</t>
        </is>
      </c>
      <c r="J1920" s="75" t="inlineStr">
        <is>
          <t>V10005</t>
        </is>
      </c>
      <c r="K1920" s="75" t="inlineStr">
        <is>
          <t>T케이터링</t>
        </is>
      </c>
      <c r="M1920" s="9">
        <f>IF($A1920="","",VALUE($A1920&amp;"")*12+VALUE($B1920&amp;""))</f>
        <v/>
      </c>
      <c r="N1920" s="39">
        <f>IF($A1920="","",IFERROR(INDEX(부서매핑!$C$5:$C$504,MATCH($G1920&amp;"",부서매핑!$A$5:$A$504,0)),"미매핑"))</f>
        <v/>
      </c>
      <c r="O1920" s="9">
        <f>IF($A1920="","",N1920&amp;"|"&amp;$F1920)</f>
        <v/>
      </c>
      <c r="P1920" s="77">
        <f>IF($A1920="",0,$H1920*설정!$C$23)</f>
        <v/>
      </c>
      <c r="Q1920" s="39">
        <f>IF($A1920="","",IF(O1920&lt;&gt;원인분석!$C$9,"",IF(AND(M1920&gt;=원인분석!$C$10,M1920&lt;=원인분석!$C$11),"당기",IF(AND(M1920&gt;=원인분석!$C$12,M1920&lt;=원인분석!$C$13),"비교",""))))</f>
        <v/>
      </c>
      <c r="R1920" s="9">
        <f>IF(Q1920="","",$K1920&amp;"")</f>
        <v/>
      </c>
      <c r="S1920" s="9">
        <f>IF(Q1920="","",IF(MATCH(R1920,$R$5:$R$100000,0)=ROW()-4,ROW(),""))</f>
        <v/>
      </c>
      <c r="T1920" s="9">
        <f>IF(Q1920="당기",ABS(P1920)+ROW()/1000000000,"")</f>
        <v/>
      </c>
      <c r="U1920" s="9">
        <f>IF(Q1920="비교",ABS(P1920)+ROW()/1000000000,"")</f>
        <v/>
      </c>
      <c r="V1920" s="39">
        <f>IF($A1920="","",IF(COUNTIF(변동분석!$E$7:$E$506,O1920)&gt;0,"Y","N"))</f>
        <v/>
      </c>
      <c r="W1920" s="39">
        <f>IF($A1920="","",IFERROR(INDEX(계정매핑!$D$5:$D$504,MATCH($F1920&amp;"",계정매핑!$A$5:$A$504,0)),"미매핑"))</f>
        <v/>
      </c>
      <c r="X1920" s="9">
        <f>IF($A1920="","",$F1920&amp;"")</f>
        <v/>
      </c>
    </row>
    <row r="1921">
      <c r="A1921" s="75" t="n">
        <v>2025</v>
      </c>
      <c r="B1921" s="75" t="n">
        <v>10</v>
      </c>
      <c r="C1921" s="75" t="inlineStr">
        <is>
          <t>5100001917</t>
        </is>
      </c>
      <c r="D1921" s="78" t="n">
        <v>45954</v>
      </c>
      <c r="E1921" s="75" t="inlineStr">
        <is>
          <t>KR</t>
        </is>
      </c>
      <c r="F1921" s="75" t="n">
        <v>62101000</v>
      </c>
      <c r="G1921" s="75" t="n">
        <v>1501</v>
      </c>
      <c r="H1921" s="76" t="n">
        <v>644000</v>
      </c>
      <c r="I1921" s="75" t="inlineStr">
        <is>
          <t>10월 국내출장 - (법인카드)</t>
        </is>
      </c>
      <c r="J1921" s="75" t="inlineStr">
        <is>
          <t>V10008</t>
        </is>
      </c>
      <c r="K1921" s="75" t="inlineStr">
        <is>
          <t>(법인카드)</t>
        </is>
      </c>
      <c r="M1921" s="9">
        <f>IF($A1921="","",VALUE($A1921&amp;"")*12+VALUE($B1921&amp;""))</f>
        <v/>
      </c>
      <c r="N1921" s="39">
        <f>IF($A1921="","",IFERROR(INDEX(부서매핑!$C$5:$C$504,MATCH($G1921&amp;"",부서매핑!$A$5:$A$504,0)),"미매핑"))</f>
        <v/>
      </c>
      <c r="O1921" s="9">
        <f>IF($A1921="","",N1921&amp;"|"&amp;$F1921)</f>
        <v/>
      </c>
      <c r="P1921" s="77">
        <f>IF($A1921="",0,$H1921*설정!$C$23)</f>
        <v/>
      </c>
      <c r="Q1921" s="39">
        <f>IF($A1921="","",IF(O1921&lt;&gt;원인분석!$C$9,"",IF(AND(M1921&gt;=원인분석!$C$10,M1921&lt;=원인분석!$C$11),"당기",IF(AND(M1921&gt;=원인분석!$C$12,M1921&lt;=원인분석!$C$13),"비교",""))))</f>
        <v/>
      </c>
      <c r="R1921" s="9">
        <f>IF(Q1921="","",$K1921&amp;"")</f>
        <v/>
      </c>
      <c r="S1921" s="9">
        <f>IF(Q1921="","",IF(MATCH(R1921,$R$5:$R$100000,0)=ROW()-4,ROW(),""))</f>
        <v/>
      </c>
      <c r="T1921" s="9">
        <f>IF(Q1921="당기",ABS(P1921)+ROW()/1000000000,"")</f>
        <v/>
      </c>
      <c r="U1921" s="9">
        <f>IF(Q1921="비교",ABS(P1921)+ROW()/1000000000,"")</f>
        <v/>
      </c>
      <c r="V1921" s="39">
        <f>IF($A1921="","",IF(COUNTIF(변동분석!$E$7:$E$506,O1921)&gt;0,"Y","N"))</f>
        <v/>
      </c>
      <c r="W1921" s="39">
        <f>IF($A1921="","",IFERROR(INDEX(계정매핑!$D$5:$D$504,MATCH($F1921&amp;"",계정매핑!$A$5:$A$504,0)),"미매핑"))</f>
        <v/>
      </c>
      <c r="X1921" s="9">
        <f>IF($A1921="","",$F1921&amp;"")</f>
        <v/>
      </c>
    </row>
    <row r="1922">
      <c r="A1922" s="75" t="n">
        <v>2025</v>
      </c>
      <c r="B1922" s="75" t="n">
        <v>10</v>
      </c>
      <c r="C1922" s="75" t="inlineStr">
        <is>
          <t>5100001918</t>
        </is>
      </c>
      <c r="D1922" s="78" t="n">
        <v>45954</v>
      </c>
      <c r="E1922" s="75" t="inlineStr">
        <is>
          <t>KR</t>
        </is>
      </c>
      <c r="F1922" s="75" t="n">
        <v>62101000</v>
      </c>
      <c r="G1922" s="75" t="n">
        <v>1602</v>
      </c>
      <c r="H1922" s="76" t="n">
        <v>1190000</v>
      </c>
      <c r="I1922" s="75" t="inlineStr">
        <is>
          <t>10월 국내출장 - M항공</t>
        </is>
      </c>
      <c r="J1922" s="75" t="inlineStr">
        <is>
          <t>V10001</t>
        </is>
      </c>
      <c r="K1922" s="75" t="inlineStr">
        <is>
          <t>M항공</t>
        </is>
      </c>
      <c r="M1922" s="9">
        <f>IF($A1922="","",VALUE($A1922&amp;"")*12+VALUE($B1922&amp;""))</f>
        <v/>
      </c>
      <c r="N1922" s="39">
        <f>IF($A1922="","",IFERROR(INDEX(부서매핑!$C$5:$C$504,MATCH($G1922&amp;"",부서매핑!$A$5:$A$504,0)),"미매핑"))</f>
        <v/>
      </c>
      <c r="O1922" s="9">
        <f>IF($A1922="","",N1922&amp;"|"&amp;$F1922)</f>
        <v/>
      </c>
      <c r="P1922" s="77">
        <f>IF($A1922="",0,$H1922*설정!$C$23)</f>
        <v/>
      </c>
      <c r="Q1922" s="39">
        <f>IF($A1922="","",IF(O1922&lt;&gt;원인분석!$C$9,"",IF(AND(M1922&gt;=원인분석!$C$10,M1922&lt;=원인분석!$C$11),"당기",IF(AND(M1922&gt;=원인분석!$C$12,M1922&lt;=원인분석!$C$13),"비교",""))))</f>
        <v/>
      </c>
      <c r="R1922" s="9">
        <f>IF(Q1922="","",$K1922&amp;"")</f>
        <v/>
      </c>
      <c r="S1922" s="9">
        <f>IF(Q1922="","",IF(MATCH(R1922,$R$5:$R$100000,0)=ROW()-4,ROW(),""))</f>
        <v/>
      </c>
      <c r="T1922" s="9">
        <f>IF(Q1922="당기",ABS(P1922)+ROW()/1000000000,"")</f>
        <v/>
      </c>
      <c r="U1922" s="9">
        <f>IF(Q1922="비교",ABS(P1922)+ROW()/1000000000,"")</f>
        <v/>
      </c>
      <c r="V1922" s="39">
        <f>IF($A1922="","",IF(COUNTIF(변동분석!$E$7:$E$506,O1922)&gt;0,"Y","N"))</f>
        <v/>
      </c>
      <c r="W1922" s="39">
        <f>IF($A1922="","",IFERROR(INDEX(계정매핑!$D$5:$D$504,MATCH($F1922&amp;"",계정매핑!$A$5:$A$504,0)),"미매핑"))</f>
        <v/>
      </c>
      <c r="X1922" s="9">
        <f>IF($A1922="","",$F1922&amp;"")</f>
        <v/>
      </c>
    </row>
    <row r="1923">
      <c r="A1923" s="75" t="n">
        <v>2025</v>
      </c>
      <c r="B1923" s="75" t="n">
        <v>10</v>
      </c>
      <c r="C1923" s="75" t="inlineStr">
        <is>
          <t>5100001919</t>
        </is>
      </c>
      <c r="D1923" s="78" t="n">
        <v>45954</v>
      </c>
      <c r="E1923" s="75" t="inlineStr">
        <is>
          <t>KR</t>
        </is>
      </c>
      <c r="F1923" s="75" t="n">
        <v>62102000</v>
      </c>
      <c r="G1923" s="75" t="n">
        <v>1501</v>
      </c>
      <c r="H1923" s="76" t="n">
        <v>117000</v>
      </c>
      <c r="I1923" s="75" t="inlineStr">
        <is>
          <t>10월 해외출장 - N호텔</t>
        </is>
      </c>
      <c r="J1923" s="75" t="inlineStr">
        <is>
          <t>V10007</t>
        </is>
      </c>
      <c r="K1923" s="75" t="inlineStr">
        <is>
          <t>N호텔</t>
        </is>
      </c>
      <c r="M1923" s="9">
        <f>IF($A1923="","",VALUE($A1923&amp;"")*12+VALUE($B1923&amp;""))</f>
        <v/>
      </c>
      <c r="N1923" s="39">
        <f>IF($A1923="","",IFERROR(INDEX(부서매핑!$C$5:$C$504,MATCH($G1923&amp;"",부서매핑!$A$5:$A$504,0)),"미매핑"))</f>
        <v/>
      </c>
      <c r="O1923" s="9">
        <f>IF($A1923="","",N1923&amp;"|"&amp;$F1923)</f>
        <v/>
      </c>
      <c r="P1923" s="77">
        <f>IF($A1923="",0,$H1923*설정!$C$23)</f>
        <v/>
      </c>
      <c r="Q1923" s="39">
        <f>IF($A1923="","",IF(O1923&lt;&gt;원인분석!$C$9,"",IF(AND(M1923&gt;=원인분석!$C$10,M1923&lt;=원인분석!$C$11),"당기",IF(AND(M1923&gt;=원인분석!$C$12,M1923&lt;=원인분석!$C$13),"비교",""))))</f>
        <v/>
      </c>
      <c r="R1923" s="9">
        <f>IF(Q1923="","",$K1923&amp;"")</f>
        <v/>
      </c>
      <c r="S1923" s="9">
        <f>IF(Q1923="","",IF(MATCH(R1923,$R$5:$R$100000,0)=ROW()-4,ROW(),""))</f>
        <v/>
      </c>
      <c r="T1923" s="9">
        <f>IF(Q1923="당기",ABS(P1923)+ROW()/1000000000,"")</f>
        <v/>
      </c>
      <c r="U1923" s="9">
        <f>IF(Q1923="비교",ABS(P1923)+ROW()/1000000000,"")</f>
        <v/>
      </c>
      <c r="V1923" s="39">
        <f>IF($A1923="","",IF(COUNTIF(변동분석!$E$7:$E$506,O1923)&gt;0,"Y","N"))</f>
        <v/>
      </c>
      <c r="W1923" s="39">
        <f>IF($A1923="","",IFERROR(INDEX(계정매핑!$D$5:$D$504,MATCH($F1923&amp;"",계정매핑!$A$5:$A$504,0)),"미매핑"))</f>
        <v/>
      </c>
      <c r="X1923" s="9">
        <f>IF($A1923="","",$F1923&amp;"")</f>
        <v/>
      </c>
    </row>
    <row r="1924">
      <c r="A1924" s="75" t="n">
        <v>2025</v>
      </c>
      <c r="B1924" s="75" t="n">
        <v>10</v>
      </c>
      <c r="C1924" s="75" t="inlineStr">
        <is>
          <t>5100001920</t>
        </is>
      </c>
      <c r="D1924" s="78" t="n">
        <v>45954</v>
      </c>
      <c r="E1924" s="75" t="inlineStr">
        <is>
          <t>KR</t>
        </is>
      </c>
      <c r="F1924" s="75" t="n">
        <v>62301000</v>
      </c>
      <c r="G1924" s="75" t="n">
        <v>1601</v>
      </c>
      <c r="H1924" s="76" t="n">
        <v>361000</v>
      </c>
      <c r="I1924" s="75" t="inlineStr">
        <is>
          <t>10월 소모품 구입 - Q오피스</t>
        </is>
      </c>
      <c r="J1924" s="75" t="inlineStr">
        <is>
          <t>V10003</t>
        </is>
      </c>
      <c r="K1924" s="75" t="inlineStr">
        <is>
          <t>Q오피스</t>
        </is>
      </c>
      <c r="M1924" s="9">
        <f>IF($A1924="","",VALUE($A1924&amp;"")*12+VALUE($B1924&amp;""))</f>
        <v/>
      </c>
      <c r="N1924" s="39">
        <f>IF($A1924="","",IFERROR(INDEX(부서매핑!$C$5:$C$504,MATCH($G1924&amp;"",부서매핑!$A$5:$A$504,0)),"미매핑"))</f>
        <v/>
      </c>
      <c r="O1924" s="9">
        <f>IF($A1924="","",N1924&amp;"|"&amp;$F1924)</f>
        <v/>
      </c>
      <c r="P1924" s="77">
        <f>IF($A1924="",0,$H1924*설정!$C$23)</f>
        <v/>
      </c>
      <c r="Q1924" s="39">
        <f>IF($A1924="","",IF(O1924&lt;&gt;원인분석!$C$9,"",IF(AND(M1924&gt;=원인분석!$C$10,M1924&lt;=원인분석!$C$11),"당기",IF(AND(M1924&gt;=원인분석!$C$12,M1924&lt;=원인분석!$C$13),"비교",""))))</f>
        <v/>
      </c>
      <c r="R1924" s="9">
        <f>IF(Q1924="","",$K1924&amp;"")</f>
        <v/>
      </c>
      <c r="S1924" s="9">
        <f>IF(Q1924="","",IF(MATCH(R1924,$R$5:$R$100000,0)=ROW()-4,ROW(),""))</f>
        <v/>
      </c>
      <c r="T1924" s="9">
        <f>IF(Q1924="당기",ABS(P1924)+ROW()/1000000000,"")</f>
        <v/>
      </c>
      <c r="U1924" s="9">
        <f>IF(Q1924="비교",ABS(P1924)+ROW()/1000000000,"")</f>
        <v/>
      </c>
      <c r="V1924" s="39">
        <f>IF($A1924="","",IF(COUNTIF(변동분석!$E$7:$E$506,O1924)&gt;0,"Y","N"))</f>
        <v/>
      </c>
      <c r="W1924" s="39">
        <f>IF($A1924="","",IFERROR(INDEX(계정매핑!$D$5:$D$504,MATCH($F1924&amp;"",계정매핑!$A$5:$A$504,0)),"미매핑"))</f>
        <v/>
      </c>
      <c r="X1924" s="9">
        <f>IF($A1924="","",$F1924&amp;"")</f>
        <v/>
      </c>
    </row>
    <row r="1925">
      <c r="A1925" s="75" t="n">
        <v>2025</v>
      </c>
      <c r="B1925" s="75" t="n">
        <v>10</v>
      </c>
      <c r="C1925" s="75" t="inlineStr">
        <is>
          <t>5100001921</t>
        </is>
      </c>
      <c r="D1925" s="78" t="n">
        <v>45954</v>
      </c>
      <c r="E1925" s="75" t="inlineStr">
        <is>
          <t>KR</t>
        </is>
      </c>
      <c r="F1925" s="75" t="n">
        <v>62301000</v>
      </c>
      <c r="G1925" s="75" t="n">
        <v>1701</v>
      </c>
      <c r="H1925" s="76" t="n">
        <v>177000</v>
      </c>
      <c r="I1925" s="75" t="inlineStr">
        <is>
          <t>10월 소모품 구입 - R문구</t>
        </is>
      </c>
      <c r="J1925" s="75" t="inlineStr">
        <is>
          <t>V10018</t>
        </is>
      </c>
      <c r="K1925" s="75" t="inlineStr">
        <is>
          <t>R문구</t>
        </is>
      </c>
      <c r="M1925" s="9">
        <f>IF($A1925="","",VALUE($A1925&amp;"")*12+VALUE($B1925&amp;""))</f>
        <v/>
      </c>
      <c r="N1925" s="39">
        <f>IF($A1925="","",IFERROR(INDEX(부서매핑!$C$5:$C$504,MATCH($G1925&amp;"",부서매핑!$A$5:$A$504,0)),"미매핑"))</f>
        <v/>
      </c>
      <c r="O1925" s="9">
        <f>IF($A1925="","",N1925&amp;"|"&amp;$F1925)</f>
        <v/>
      </c>
      <c r="P1925" s="77">
        <f>IF($A1925="",0,$H1925*설정!$C$23)</f>
        <v/>
      </c>
      <c r="Q1925" s="39">
        <f>IF($A1925="","",IF(O1925&lt;&gt;원인분석!$C$9,"",IF(AND(M1925&gt;=원인분석!$C$10,M1925&lt;=원인분석!$C$11),"당기",IF(AND(M1925&gt;=원인분석!$C$12,M1925&lt;=원인분석!$C$13),"비교",""))))</f>
        <v/>
      </c>
      <c r="R1925" s="9">
        <f>IF(Q1925="","",$K1925&amp;"")</f>
        <v/>
      </c>
      <c r="S1925" s="9">
        <f>IF(Q1925="","",IF(MATCH(R1925,$R$5:$R$100000,0)=ROW()-4,ROW(),""))</f>
        <v/>
      </c>
      <c r="T1925" s="9">
        <f>IF(Q1925="당기",ABS(P1925)+ROW()/1000000000,"")</f>
        <v/>
      </c>
      <c r="U1925" s="9">
        <f>IF(Q1925="비교",ABS(P1925)+ROW()/1000000000,"")</f>
        <v/>
      </c>
      <c r="V1925" s="39">
        <f>IF($A1925="","",IF(COUNTIF(변동분석!$E$7:$E$506,O1925)&gt;0,"Y","N"))</f>
        <v/>
      </c>
      <c r="W1925" s="39">
        <f>IF($A1925="","",IFERROR(INDEX(계정매핑!$D$5:$D$504,MATCH($F1925&amp;"",계정매핑!$A$5:$A$504,0)),"미매핑"))</f>
        <v/>
      </c>
      <c r="X1925" s="9">
        <f>IF($A1925="","",$F1925&amp;"")</f>
        <v/>
      </c>
    </row>
    <row r="1926">
      <c r="A1926" s="75" t="n">
        <v>2025</v>
      </c>
      <c r="B1926" s="75" t="n">
        <v>10</v>
      </c>
      <c r="C1926" s="75" t="inlineStr">
        <is>
          <t>5100001922</t>
        </is>
      </c>
      <c r="D1926" s="78" t="n">
        <v>45954</v>
      </c>
      <c r="E1926" s="75" t="inlineStr">
        <is>
          <t>KR</t>
        </is>
      </c>
      <c r="F1926" s="75" t="n">
        <v>62501000</v>
      </c>
      <c r="G1926" s="75" t="n">
        <v>1101</v>
      </c>
      <c r="H1926" s="76" t="n">
        <v>235000</v>
      </c>
      <c r="I1926" s="75" t="inlineStr">
        <is>
          <t>10월 회의 다과 - T케이터링</t>
        </is>
      </c>
      <c r="J1926" s="75" t="inlineStr">
        <is>
          <t>V10005</t>
        </is>
      </c>
      <c r="K1926" s="75" t="inlineStr">
        <is>
          <t>T케이터링</t>
        </is>
      </c>
      <c r="M1926" s="9">
        <f>IF($A1926="","",VALUE($A1926&amp;"")*12+VALUE($B1926&amp;""))</f>
        <v/>
      </c>
      <c r="N1926" s="39">
        <f>IF($A1926="","",IFERROR(INDEX(부서매핑!$C$5:$C$504,MATCH($G1926&amp;"",부서매핑!$A$5:$A$504,0)),"미매핑"))</f>
        <v/>
      </c>
      <c r="O1926" s="9">
        <f>IF($A1926="","",N1926&amp;"|"&amp;$F1926)</f>
        <v/>
      </c>
      <c r="P1926" s="77">
        <f>IF($A1926="",0,$H1926*설정!$C$23)</f>
        <v/>
      </c>
      <c r="Q1926" s="39">
        <f>IF($A1926="","",IF(O1926&lt;&gt;원인분석!$C$9,"",IF(AND(M1926&gt;=원인분석!$C$10,M1926&lt;=원인분석!$C$11),"당기",IF(AND(M1926&gt;=원인분석!$C$12,M1926&lt;=원인분석!$C$13),"비교",""))))</f>
        <v/>
      </c>
      <c r="R1926" s="9">
        <f>IF(Q1926="","",$K1926&amp;"")</f>
        <v/>
      </c>
      <c r="S1926" s="9">
        <f>IF(Q1926="","",IF(MATCH(R1926,$R$5:$R$100000,0)=ROW()-4,ROW(),""))</f>
        <v/>
      </c>
      <c r="T1926" s="9">
        <f>IF(Q1926="당기",ABS(P1926)+ROW()/1000000000,"")</f>
        <v/>
      </c>
      <c r="U1926" s="9">
        <f>IF(Q1926="비교",ABS(P1926)+ROW()/1000000000,"")</f>
        <v/>
      </c>
      <c r="V1926" s="39">
        <f>IF($A1926="","",IF(COUNTIF(변동분석!$E$7:$E$506,O1926)&gt;0,"Y","N"))</f>
        <v/>
      </c>
      <c r="W1926" s="39">
        <f>IF($A1926="","",IFERROR(INDEX(계정매핑!$D$5:$D$504,MATCH($F1926&amp;"",계정매핑!$A$5:$A$504,0)),"미매핑"))</f>
        <v/>
      </c>
      <c r="X1926" s="9">
        <f>IF($A1926="","",$F1926&amp;"")</f>
        <v/>
      </c>
    </row>
    <row r="1927">
      <c r="A1927" s="75" t="n">
        <v>2025</v>
      </c>
      <c r="B1927" s="75" t="n">
        <v>10</v>
      </c>
      <c r="C1927" s="75" t="inlineStr">
        <is>
          <t>5100001923</t>
        </is>
      </c>
      <c r="D1927" s="78" t="n">
        <v>45954</v>
      </c>
      <c r="E1927" s="75" t="inlineStr">
        <is>
          <t>KR</t>
        </is>
      </c>
      <c r="F1927" s="75" t="n">
        <v>62501000</v>
      </c>
      <c r="G1927" s="75" t="n">
        <v>1201</v>
      </c>
      <c r="H1927" s="76" t="n">
        <v>153000</v>
      </c>
      <c r="I1927" s="75" t="inlineStr">
        <is>
          <t>10월 회의 다과 - T케이터링</t>
        </is>
      </c>
      <c r="J1927" s="75" t="inlineStr">
        <is>
          <t>V10005</t>
        </is>
      </c>
      <c r="K1927" s="75" t="inlineStr">
        <is>
          <t>T케이터링</t>
        </is>
      </c>
      <c r="M1927" s="9">
        <f>IF($A1927="","",VALUE($A1927&amp;"")*12+VALUE($B1927&amp;""))</f>
        <v/>
      </c>
      <c r="N1927" s="39">
        <f>IF($A1927="","",IFERROR(INDEX(부서매핑!$C$5:$C$504,MATCH($G1927&amp;"",부서매핑!$A$5:$A$504,0)),"미매핑"))</f>
        <v/>
      </c>
      <c r="O1927" s="9">
        <f>IF($A1927="","",N1927&amp;"|"&amp;$F1927)</f>
        <v/>
      </c>
      <c r="P1927" s="77">
        <f>IF($A1927="",0,$H1927*설정!$C$23)</f>
        <v/>
      </c>
      <c r="Q1927" s="39">
        <f>IF($A1927="","",IF(O1927&lt;&gt;원인분석!$C$9,"",IF(AND(M1927&gt;=원인분석!$C$10,M1927&lt;=원인분석!$C$11),"당기",IF(AND(M1927&gt;=원인분석!$C$12,M1927&lt;=원인분석!$C$13),"비교",""))))</f>
        <v/>
      </c>
      <c r="R1927" s="9">
        <f>IF(Q1927="","",$K1927&amp;"")</f>
        <v/>
      </c>
      <c r="S1927" s="9">
        <f>IF(Q1927="","",IF(MATCH(R1927,$R$5:$R$100000,0)=ROW()-4,ROW(),""))</f>
        <v/>
      </c>
      <c r="T1927" s="9">
        <f>IF(Q1927="당기",ABS(P1927)+ROW()/1000000000,"")</f>
        <v/>
      </c>
      <c r="U1927" s="9">
        <f>IF(Q1927="비교",ABS(P1927)+ROW()/1000000000,"")</f>
        <v/>
      </c>
      <c r="V1927" s="39">
        <f>IF($A1927="","",IF(COUNTIF(변동분석!$E$7:$E$506,O1927)&gt;0,"Y","N"))</f>
        <v/>
      </c>
      <c r="W1927" s="39">
        <f>IF($A1927="","",IFERROR(INDEX(계정매핑!$D$5:$D$504,MATCH($F1927&amp;"",계정매핑!$A$5:$A$504,0)),"미매핑"))</f>
        <v/>
      </c>
      <c r="X1927" s="9">
        <f>IF($A1927="","",$F1927&amp;"")</f>
        <v/>
      </c>
    </row>
    <row r="1928">
      <c r="A1928" s="75" t="n">
        <v>2025</v>
      </c>
      <c r="B1928" s="75" t="n">
        <v>10</v>
      </c>
      <c r="C1928" s="75" t="inlineStr">
        <is>
          <t>5100001924</t>
        </is>
      </c>
      <c r="D1928" s="78" t="n">
        <v>45954</v>
      </c>
      <c r="E1928" s="75" t="inlineStr">
        <is>
          <t>KR</t>
        </is>
      </c>
      <c r="F1928" s="75" t="n">
        <v>62701000</v>
      </c>
      <c r="G1928" s="75" t="n">
        <v>1502</v>
      </c>
      <c r="H1928" s="76" t="n">
        <v>72584000</v>
      </c>
      <c r="I1928" s="75" t="inlineStr">
        <is>
          <t>10월 광고 집행 - E미디어</t>
        </is>
      </c>
      <c r="J1928" s="75" t="inlineStr">
        <is>
          <t>V10027</t>
        </is>
      </c>
      <c r="K1928" s="75" t="inlineStr">
        <is>
          <t>E미디어</t>
        </is>
      </c>
      <c r="M1928" s="9">
        <f>IF($A1928="","",VALUE($A1928&amp;"")*12+VALUE($B1928&amp;""))</f>
        <v/>
      </c>
      <c r="N1928" s="39">
        <f>IF($A1928="","",IFERROR(INDEX(부서매핑!$C$5:$C$504,MATCH($G1928&amp;"",부서매핑!$A$5:$A$504,0)),"미매핑"))</f>
        <v/>
      </c>
      <c r="O1928" s="9">
        <f>IF($A1928="","",N1928&amp;"|"&amp;$F1928)</f>
        <v/>
      </c>
      <c r="P1928" s="77">
        <f>IF($A1928="",0,$H1928*설정!$C$23)</f>
        <v/>
      </c>
      <c r="Q1928" s="39">
        <f>IF($A1928="","",IF(O1928&lt;&gt;원인분석!$C$9,"",IF(AND(M1928&gt;=원인분석!$C$10,M1928&lt;=원인분석!$C$11),"당기",IF(AND(M1928&gt;=원인분석!$C$12,M1928&lt;=원인분석!$C$13),"비교",""))))</f>
        <v/>
      </c>
      <c r="R1928" s="9">
        <f>IF(Q1928="","",$K1928&amp;"")</f>
        <v/>
      </c>
      <c r="S1928" s="9">
        <f>IF(Q1928="","",IF(MATCH(R1928,$R$5:$R$100000,0)=ROW()-4,ROW(),""))</f>
        <v/>
      </c>
      <c r="T1928" s="9">
        <f>IF(Q1928="당기",ABS(P1928)+ROW()/1000000000,"")</f>
        <v/>
      </c>
      <c r="U1928" s="9">
        <f>IF(Q1928="비교",ABS(P1928)+ROW()/1000000000,"")</f>
        <v/>
      </c>
      <c r="V1928" s="39">
        <f>IF($A1928="","",IF(COUNTIF(변동분석!$E$7:$E$506,O1928)&gt;0,"Y","N"))</f>
        <v/>
      </c>
      <c r="W1928" s="39">
        <f>IF($A1928="","",IFERROR(INDEX(계정매핑!$D$5:$D$504,MATCH($F1928&amp;"",계정매핑!$A$5:$A$504,0)),"미매핑"))</f>
        <v/>
      </c>
      <c r="X1928" s="9">
        <f>IF($A1928="","",$F1928&amp;"")</f>
        <v/>
      </c>
    </row>
    <row r="1929">
      <c r="A1929" s="75" t="n">
        <v>2025</v>
      </c>
      <c r="B1929" s="75" t="n">
        <v>10</v>
      </c>
      <c r="C1929" s="75" t="inlineStr">
        <is>
          <t>5100001925</t>
        </is>
      </c>
      <c r="D1929" s="78" t="n">
        <v>45954</v>
      </c>
      <c r="E1929" s="75" t="inlineStr">
        <is>
          <t>KR</t>
        </is>
      </c>
      <c r="F1929" s="75" t="n">
        <v>62901000</v>
      </c>
      <c r="G1929" s="75" t="n">
        <v>1101</v>
      </c>
      <c r="H1929" s="76" t="n">
        <v>2925000</v>
      </c>
      <c r="I1929" s="75" t="inlineStr">
        <is>
          <t>10월 자문 수수료 - W컨설팅</t>
        </is>
      </c>
      <c r="J1929" s="75" t="inlineStr">
        <is>
          <t>V10009</t>
        </is>
      </c>
      <c r="K1929" s="75" t="inlineStr">
        <is>
          <t>W컨설팅</t>
        </is>
      </c>
      <c r="M1929" s="9">
        <f>IF($A1929="","",VALUE($A1929&amp;"")*12+VALUE($B1929&amp;""))</f>
        <v/>
      </c>
      <c r="N1929" s="39">
        <f>IF($A1929="","",IFERROR(INDEX(부서매핑!$C$5:$C$504,MATCH($G1929&amp;"",부서매핑!$A$5:$A$504,0)),"미매핑"))</f>
        <v/>
      </c>
      <c r="O1929" s="9">
        <f>IF($A1929="","",N1929&amp;"|"&amp;$F1929)</f>
        <v/>
      </c>
      <c r="P1929" s="77">
        <f>IF($A1929="",0,$H1929*설정!$C$23)</f>
        <v/>
      </c>
      <c r="Q1929" s="39">
        <f>IF($A1929="","",IF(O1929&lt;&gt;원인분석!$C$9,"",IF(AND(M1929&gt;=원인분석!$C$10,M1929&lt;=원인분석!$C$11),"당기",IF(AND(M1929&gt;=원인분석!$C$12,M1929&lt;=원인분석!$C$13),"비교",""))))</f>
        <v/>
      </c>
      <c r="R1929" s="9">
        <f>IF(Q1929="","",$K1929&amp;"")</f>
        <v/>
      </c>
      <c r="S1929" s="9">
        <f>IF(Q1929="","",IF(MATCH(R1929,$R$5:$R$100000,0)=ROW()-4,ROW(),""))</f>
        <v/>
      </c>
      <c r="T1929" s="9">
        <f>IF(Q1929="당기",ABS(P1929)+ROW()/1000000000,"")</f>
        <v/>
      </c>
      <c r="U1929" s="9">
        <f>IF(Q1929="비교",ABS(P1929)+ROW()/1000000000,"")</f>
        <v/>
      </c>
      <c r="V1929" s="39">
        <f>IF($A1929="","",IF(COUNTIF(변동분석!$E$7:$E$506,O1929)&gt;0,"Y","N"))</f>
        <v/>
      </c>
      <c r="W1929" s="39">
        <f>IF($A1929="","",IFERROR(INDEX(계정매핑!$D$5:$D$504,MATCH($F1929&amp;"",계정매핑!$A$5:$A$504,0)),"미매핑"))</f>
        <v/>
      </c>
      <c r="X1929" s="9">
        <f>IF($A1929="","",$F1929&amp;"")</f>
        <v/>
      </c>
    </row>
    <row r="1930">
      <c r="A1930" s="75" t="n">
        <v>2025</v>
      </c>
      <c r="B1930" s="75" t="n">
        <v>10</v>
      </c>
      <c r="C1930" s="75" t="inlineStr">
        <is>
          <t>5100001926</t>
        </is>
      </c>
      <c r="D1930" s="78" t="n">
        <v>45955</v>
      </c>
      <c r="E1930" s="75" t="inlineStr">
        <is>
          <t>KR</t>
        </is>
      </c>
      <c r="F1930" s="75" t="n">
        <v>62101000</v>
      </c>
      <c r="G1930" s="75" t="n">
        <v>1201</v>
      </c>
      <c r="H1930" s="76" t="n">
        <v>145000</v>
      </c>
      <c r="I1930" s="75" t="inlineStr">
        <is>
          <t>10월 국내출장 - M항공</t>
        </is>
      </c>
      <c r="J1930" s="75" t="inlineStr">
        <is>
          <t>V10001</t>
        </is>
      </c>
      <c r="K1930" s="75" t="inlineStr">
        <is>
          <t>M항공</t>
        </is>
      </c>
      <c r="M1930" s="9">
        <f>IF($A1930="","",VALUE($A1930&amp;"")*12+VALUE($B1930&amp;""))</f>
        <v/>
      </c>
      <c r="N1930" s="39">
        <f>IF($A1930="","",IFERROR(INDEX(부서매핑!$C$5:$C$504,MATCH($G1930&amp;"",부서매핑!$A$5:$A$504,0)),"미매핑"))</f>
        <v/>
      </c>
      <c r="O1930" s="9">
        <f>IF($A1930="","",N1930&amp;"|"&amp;$F1930)</f>
        <v/>
      </c>
      <c r="P1930" s="77">
        <f>IF($A1930="",0,$H1930*설정!$C$23)</f>
        <v/>
      </c>
      <c r="Q1930" s="39">
        <f>IF($A1930="","",IF(O1930&lt;&gt;원인분석!$C$9,"",IF(AND(M1930&gt;=원인분석!$C$10,M1930&lt;=원인분석!$C$11),"당기",IF(AND(M1930&gt;=원인분석!$C$12,M1930&lt;=원인분석!$C$13),"비교",""))))</f>
        <v/>
      </c>
      <c r="R1930" s="9">
        <f>IF(Q1930="","",$K1930&amp;"")</f>
        <v/>
      </c>
      <c r="S1930" s="9">
        <f>IF(Q1930="","",IF(MATCH(R1930,$R$5:$R$100000,0)=ROW()-4,ROW(),""))</f>
        <v/>
      </c>
      <c r="T1930" s="9">
        <f>IF(Q1930="당기",ABS(P1930)+ROW()/1000000000,"")</f>
        <v/>
      </c>
      <c r="U1930" s="9">
        <f>IF(Q1930="비교",ABS(P1930)+ROW()/1000000000,"")</f>
        <v/>
      </c>
      <c r="V1930" s="39">
        <f>IF($A1930="","",IF(COUNTIF(변동분석!$E$7:$E$506,O1930)&gt;0,"Y","N"))</f>
        <v/>
      </c>
      <c r="W1930" s="39">
        <f>IF($A1930="","",IFERROR(INDEX(계정매핑!$D$5:$D$504,MATCH($F1930&amp;"",계정매핑!$A$5:$A$504,0)),"미매핑"))</f>
        <v/>
      </c>
      <c r="X1930" s="9">
        <f>IF($A1930="","",$F1930&amp;"")</f>
        <v/>
      </c>
    </row>
    <row r="1931">
      <c r="A1931" s="75" t="n">
        <v>2025</v>
      </c>
      <c r="B1931" s="75" t="n">
        <v>10</v>
      </c>
      <c r="C1931" s="75" t="inlineStr">
        <is>
          <t>5100001927</t>
        </is>
      </c>
      <c r="D1931" s="78" t="n">
        <v>45955</v>
      </c>
      <c r="E1931" s="75" t="inlineStr">
        <is>
          <t>KR</t>
        </is>
      </c>
      <c r="F1931" s="75" t="n">
        <v>62101000</v>
      </c>
      <c r="G1931" s="75" t="n">
        <v>1401</v>
      </c>
      <c r="H1931" s="76" t="n">
        <v>384000</v>
      </c>
      <c r="I1931" s="75" t="inlineStr">
        <is>
          <t>10월 국내출장 - L여행사</t>
        </is>
      </c>
      <c r="J1931" s="75" t="inlineStr">
        <is>
          <t>V10014</t>
        </is>
      </c>
      <c r="K1931" s="75" t="inlineStr">
        <is>
          <t>L여행사</t>
        </is>
      </c>
      <c r="M1931" s="9">
        <f>IF($A1931="","",VALUE($A1931&amp;"")*12+VALUE($B1931&amp;""))</f>
        <v/>
      </c>
      <c r="N1931" s="39">
        <f>IF($A1931="","",IFERROR(INDEX(부서매핑!$C$5:$C$504,MATCH($G1931&amp;"",부서매핑!$A$5:$A$504,0)),"미매핑"))</f>
        <v/>
      </c>
      <c r="O1931" s="9">
        <f>IF($A1931="","",N1931&amp;"|"&amp;$F1931)</f>
        <v/>
      </c>
      <c r="P1931" s="77">
        <f>IF($A1931="",0,$H1931*설정!$C$23)</f>
        <v/>
      </c>
      <c r="Q1931" s="39">
        <f>IF($A1931="","",IF(O1931&lt;&gt;원인분석!$C$9,"",IF(AND(M1931&gt;=원인분석!$C$10,M1931&lt;=원인분석!$C$11),"당기",IF(AND(M1931&gt;=원인분석!$C$12,M1931&lt;=원인분석!$C$13),"비교",""))))</f>
        <v/>
      </c>
      <c r="R1931" s="9">
        <f>IF(Q1931="","",$K1931&amp;"")</f>
        <v/>
      </c>
      <c r="S1931" s="9">
        <f>IF(Q1931="","",IF(MATCH(R1931,$R$5:$R$100000,0)=ROW()-4,ROW(),""))</f>
        <v/>
      </c>
      <c r="T1931" s="9">
        <f>IF(Q1931="당기",ABS(P1931)+ROW()/1000000000,"")</f>
        <v/>
      </c>
      <c r="U1931" s="9">
        <f>IF(Q1931="비교",ABS(P1931)+ROW()/1000000000,"")</f>
        <v/>
      </c>
      <c r="V1931" s="39">
        <f>IF($A1931="","",IF(COUNTIF(변동분석!$E$7:$E$506,O1931)&gt;0,"Y","N"))</f>
        <v/>
      </c>
      <c r="W1931" s="39">
        <f>IF($A1931="","",IFERROR(INDEX(계정매핑!$D$5:$D$504,MATCH($F1931&amp;"",계정매핑!$A$5:$A$504,0)),"미매핑"))</f>
        <v/>
      </c>
      <c r="X1931" s="9">
        <f>IF($A1931="","",$F1931&amp;"")</f>
        <v/>
      </c>
    </row>
    <row r="1932">
      <c r="A1932" s="75" t="n">
        <v>2025</v>
      </c>
      <c r="B1932" s="75" t="n">
        <v>10</v>
      </c>
      <c r="C1932" s="75" t="inlineStr">
        <is>
          <t>5100001928</t>
        </is>
      </c>
      <c r="D1932" s="78" t="n">
        <v>45955</v>
      </c>
      <c r="E1932" s="75" t="inlineStr">
        <is>
          <t>KR</t>
        </is>
      </c>
      <c r="F1932" s="75" t="n">
        <v>62101000</v>
      </c>
      <c r="G1932" s="75" t="n">
        <v>1602</v>
      </c>
      <c r="H1932" s="76" t="n">
        <v>1205000</v>
      </c>
      <c r="I1932" s="75" t="inlineStr">
        <is>
          <t>10월 국내출장 - M항공</t>
        </is>
      </c>
      <c r="J1932" s="75" t="inlineStr">
        <is>
          <t>V10001</t>
        </is>
      </c>
      <c r="K1932" s="75" t="inlineStr">
        <is>
          <t>M항공</t>
        </is>
      </c>
      <c r="M1932" s="9">
        <f>IF($A1932="","",VALUE($A1932&amp;"")*12+VALUE($B1932&amp;""))</f>
        <v/>
      </c>
      <c r="N1932" s="39">
        <f>IF($A1932="","",IFERROR(INDEX(부서매핑!$C$5:$C$504,MATCH($G1932&amp;"",부서매핑!$A$5:$A$504,0)),"미매핑"))</f>
        <v/>
      </c>
      <c r="O1932" s="9">
        <f>IF($A1932="","",N1932&amp;"|"&amp;$F1932)</f>
        <v/>
      </c>
      <c r="P1932" s="77">
        <f>IF($A1932="",0,$H1932*설정!$C$23)</f>
        <v/>
      </c>
      <c r="Q1932" s="39">
        <f>IF($A1932="","",IF(O1932&lt;&gt;원인분석!$C$9,"",IF(AND(M1932&gt;=원인분석!$C$10,M1932&lt;=원인분석!$C$11),"당기",IF(AND(M1932&gt;=원인분석!$C$12,M1932&lt;=원인분석!$C$13),"비교",""))))</f>
        <v/>
      </c>
      <c r="R1932" s="9">
        <f>IF(Q1932="","",$K1932&amp;"")</f>
        <v/>
      </c>
      <c r="S1932" s="9">
        <f>IF(Q1932="","",IF(MATCH(R1932,$R$5:$R$100000,0)=ROW()-4,ROW(),""))</f>
        <v/>
      </c>
      <c r="T1932" s="9">
        <f>IF(Q1932="당기",ABS(P1932)+ROW()/1000000000,"")</f>
        <v/>
      </c>
      <c r="U1932" s="9">
        <f>IF(Q1932="비교",ABS(P1932)+ROW()/1000000000,"")</f>
        <v/>
      </c>
      <c r="V1932" s="39">
        <f>IF($A1932="","",IF(COUNTIF(변동분석!$E$7:$E$506,O1932)&gt;0,"Y","N"))</f>
        <v/>
      </c>
      <c r="W1932" s="39">
        <f>IF($A1932="","",IFERROR(INDEX(계정매핑!$D$5:$D$504,MATCH($F1932&amp;"",계정매핑!$A$5:$A$504,0)),"미매핑"))</f>
        <v/>
      </c>
      <c r="X1932" s="9">
        <f>IF($A1932="","",$F1932&amp;"")</f>
        <v/>
      </c>
    </row>
    <row r="1933">
      <c r="A1933" s="75" t="n">
        <v>2025</v>
      </c>
      <c r="B1933" s="75" t="n">
        <v>10</v>
      </c>
      <c r="C1933" s="75" t="inlineStr">
        <is>
          <t>5100001929</t>
        </is>
      </c>
      <c r="D1933" s="78" t="n">
        <v>45955</v>
      </c>
      <c r="E1933" s="75" t="inlineStr">
        <is>
          <t>KR</t>
        </is>
      </c>
      <c r="F1933" s="75" t="n">
        <v>62102000</v>
      </c>
      <c r="G1933" s="75" t="n">
        <v>1201</v>
      </c>
      <c r="H1933" s="76" t="n">
        <v>121000</v>
      </c>
      <c r="I1933" s="75" t="inlineStr">
        <is>
          <t>10월 해외출장 - N호텔</t>
        </is>
      </c>
      <c r="J1933" s="75" t="inlineStr">
        <is>
          <t>V10007</t>
        </is>
      </c>
      <c r="K1933" s="75" t="inlineStr">
        <is>
          <t>N호텔</t>
        </is>
      </c>
      <c r="M1933" s="9">
        <f>IF($A1933="","",VALUE($A1933&amp;"")*12+VALUE($B1933&amp;""))</f>
        <v/>
      </c>
      <c r="N1933" s="39">
        <f>IF($A1933="","",IFERROR(INDEX(부서매핑!$C$5:$C$504,MATCH($G1933&amp;"",부서매핑!$A$5:$A$504,0)),"미매핑"))</f>
        <v/>
      </c>
      <c r="O1933" s="9">
        <f>IF($A1933="","",N1933&amp;"|"&amp;$F1933)</f>
        <v/>
      </c>
      <c r="P1933" s="77">
        <f>IF($A1933="",0,$H1933*설정!$C$23)</f>
        <v/>
      </c>
      <c r="Q1933" s="39">
        <f>IF($A1933="","",IF(O1933&lt;&gt;원인분석!$C$9,"",IF(AND(M1933&gt;=원인분석!$C$10,M1933&lt;=원인분석!$C$11),"당기",IF(AND(M1933&gt;=원인분석!$C$12,M1933&lt;=원인분석!$C$13),"비교",""))))</f>
        <v/>
      </c>
      <c r="R1933" s="9">
        <f>IF(Q1933="","",$K1933&amp;"")</f>
        <v/>
      </c>
      <c r="S1933" s="9">
        <f>IF(Q1933="","",IF(MATCH(R1933,$R$5:$R$100000,0)=ROW()-4,ROW(),""))</f>
        <v/>
      </c>
      <c r="T1933" s="9">
        <f>IF(Q1933="당기",ABS(P1933)+ROW()/1000000000,"")</f>
        <v/>
      </c>
      <c r="U1933" s="9">
        <f>IF(Q1933="비교",ABS(P1933)+ROW()/1000000000,"")</f>
        <v/>
      </c>
      <c r="V1933" s="39">
        <f>IF($A1933="","",IF(COUNTIF(변동분석!$E$7:$E$506,O1933)&gt;0,"Y","N"))</f>
        <v/>
      </c>
      <c r="W1933" s="39">
        <f>IF($A1933="","",IFERROR(INDEX(계정매핑!$D$5:$D$504,MATCH($F1933&amp;"",계정매핑!$A$5:$A$504,0)),"미매핑"))</f>
        <v/>
      </c>
      <c r="X1933" s="9">
        <f>IF($A1933="","",$F1933&amp;"")</f>
        <v/>
      </c>
    </row>
    <row r="1934">
      <c r="A1934" s="75" t="n">
        <v>2025</v>
      </c>
      <c r="B1934" s="75" t="n">
        <v>10</v>
      </c>
      <c r="C1934" s="75" t="inlineStr">
        <is>
          <t>5100001930</t>
        </is>
      </c>
      <c r="D1934" s="78" t="n">
        <v>45955</v>
      </c>
      <c r="E1934" s="75" t="inlineStr">
        <is>
          <t>KR</t>
        </is>
      </c>
      <c r="F1934" s="75" t="n">
        <v>62102000</v>
      </c>
      <c r="G1934" s="75" t="n">
        <v>1502</v>
      </c>
      <c r="H1934" s="76" t="n">
        <v>114000</v>
      </c>
      <c r="I1934" s="75" t="inlineStr">
        <is>
          <t>10월 해외출장 - N호텔</t>
        </is>
      </c>
      <c r="J1934" s="75" t="inlineStr">
        <is>
          <t>V10007</t>
        </is>
      </c>
      <c r="K1934" s="75" t="inlineStr">
        <is>
          <t>N호텔</t>
        </is>
      </c>
      <c r="M1934" s="9">
        <f>IF($A1934="","",VALUE($A1934&amp;"")*12+VALUE($B1934&amp;""))</f>
        <v/>
      </c>
      <c r="N1934" s="39">
        <f>IF($A1934="","",IFERROR(INDEX(부서매핑!$C$5:$C$504,MATCH($G1934&amp;"",부서매핑!$A$5:$A$504,0)),"미매핑"))</f>
        <v/>
      </c>
      <c r="O1934" s="9">
        <f>IF($A1934="","",N1934&amp;"|"&amp;$F1934)</f>
        <v/>
      </c>
      <c r="P1934" s="77">
        <f>IF($A1934="",0,$H1934*설정!$C$23)</f>
        <v/>
      </c>
      <c r="Q1934" s="39">
        <f>IF($A1934="","",IF(O1934&lt;&gt;원인분석!$C$9,"",IF(AND(M1934&gt;=원인분석!$C$10,M1934&lt;=원인분석!$C$11),"당기",IF(AND(M1934&gt;=원인분석!$C$12,M1934&lt;=원인분석!$C$13),"비교",""))))</f>
        <v/>
      </c>
      <c r="R1934" s="9">
        <f>IF(Q1934="","",$K1934&amp;"")</f>
        <v/>
      </c>
      <c r="S1934" s="9">
        <f>IF(Q1934="","",IF(MATCH(R1934,$R$5:$R$100000,0)=ROW()-4,ROW(),""))</f>
        <v/>
      </c>
      <c r="T1934" s="9">
        <f>IF(Q1934="당기",ABS(P1934)+ROW()/1000000000,"")</f>
        <v/>
      </c>
      <c r="U1934" s="9">
        <f>IF(Q1934="비교",ABS(P1934)+ROW()/1000000000,"")</f>
        <v/>
      </c>
      <c r="V1934" s="39">
        <f>IF($A1934="","",IF(COUNTIF(변동분석!$E$7:$E$506,O1934)&gt;0,"Y","N"))</f>
        <v/>
      </c>
      <c r="W1934" s="39">
        <f>IF($A1934="","",IFERROR(INDEX(계정매핑!$D$5:$D$504,MATCH($F1934&amp;"",계정매핑!$A$5:$A$504,0)),"미매핑"))</f>
        <v/>
      </c>
      <c r="X1934" s="9">
        <f>IF($A1934="","",$F1934&amp;"")</f>
        <v/>
      </c>
    </row>
    <row r="1935">
      <c r="A1935" s="75" t="n">
        <v>2025</v>
      </c>
      <c r="B1935" s="75" t="n">
        <v>10</v>
      </c>
      <c r="C1935" s="75" t="inlineStr">
        <is>
          <t>5100001931</t>
        </is>
      </c>
      <c r="D1935" s="78" t="n">
        <v>45955</v>
      </c>
      <c r="E1935" s="75" t="inlineStr">
        <is>
          <t>KR</t>
        </is>
      </c>
      <c r="F1935" s="75" t="n">
        <v>62201000</v>
      </c>
      <c r="G1935" s="75" t="n">
        <v>1602</v>
      </c>
      <c r="H1935" s="76" t="n">
        <v>674000</v>
      </c>
      <c r="I1935" s="75" t="inlineStr">
        <is>
          <t>10월 통신요금 - P통신</t>
        </is>
      </c>
      <c r="J1935" s="75" t="inlineStr">
        <is>
          <t>V10011</t>
        </is>
      </c>
      <c r="K1935" s="75" t="inlineStr">
        <is>
          <t>P통신</t>
        </is>
      </c>
      <c r="M1935" s="9">
        <f>IF($A1935="","",VALUE($A1935&amp;"")*12+VALUE($B1935&amp;""))</f>
        <v/>
      </c>
      <c r="N1935" s="39">
        <f>IF($A1935="","",IFERROR(INDEX(부서매핑!$C$5:$C$504,MATCH($G1935&amp;"",부서매핑!$A$5:$A$504,0)),"미매핑"))</f>
        <v/>
      </c>
      <c r="O1935" s="9">
        <f>IF($A1935="","",N1935&amp;"|"&amp;$F1935)</f>
        <v/>
      </c>
      <c r="P1935" s="77">
        <f>IF($A1935="",0,$H1935*설정!$C$23)</f>
        <v/>
      </c>
      <c r="Q1935" s="39">
        <f>IF($A1935="","",IF(O1935&lt;&gt;원인분석!$C$9,"",IF(AND(M1935&gt;=원인분석!$C$10,M1935&lt;=원인분석!$C$11),"당기",IF(AND(M1935&gt;=원인분석!$C$12,M1935&lt;=원인분석!$C$13),"비교",""))))</f>
        <v/>
      </c>
      <c r="R1935" s="9">
        <f>IF(Q1935="","",$K1935&amp;"")</f>
        <v/>
      </c>
      <c r="S1935" s="9">
        <f>IF(Q1935="","",IF(MATCH(R1935,$R$5:$R$100000,0)=ROW()-4,ROW(),""))</f>
        <v/>
      </c>
      <c r="T1935" s="9">
        <f>IF(Q1935="당기",ABS(P1935)+ROW()/1000000000,"")</f>
        <v/>
      </c>
      <c r="U1935" s="9">
        <f>IF(Q1935="비교",ABS(P1935)+ROW()/1000000000,"")</f>
        <v/>
      </c>
      <c r="V1935" s="39">
        <f>IF($A1935="","",IF(COUNTIF(변동분석!$E$7:$E$506,O1935)&gt;0,"Y","N"))</f>
        <v/>
      </c>
      <c r="W1935" s="39">
        <f>IF($A1935="","",IFERROR(INDEX(계정매핑!$D$5:$D$504,MATCH($F1935&amp;"",계정매핑!$A$5:$A$504,0)),"미매핑"))</f>
        <v/>
      </c>
      <c r="X1935" s="9">
        <f>IF($A1935="","",$F1935&amp;"")</f>
        <v/>
      </c>
    </row>
    <row r="1936">
      <c r="A1936" s="75" t="n">
        <v>2025</v>
      </c>
      <c r="B1936" s="75" t="n">
        <v>10</v>
      </c>
      <c r="C1936" s="75" t="inlineStr">
        <is>
          <t>5100001932</t>
        </is>
      </c>
      <c r="D1936" s="78" t="n">
        <v>45955</v>
      </c>
      <c r="E1936" s="75" t="inlineStr">
        <is>
          <t>KR</t>
        </is>
      </c>
      <c r="F1936" s="75" t="n">
        <v>62201000</v>
      </c>
      <c r="G1936" s="75" t="n">
        <v>1701</v>
      </c>
      <c r="H1936" s="76" t="n">
        <v>4936000</v>
      </c>
      <c r="I1936" s="75" t="inlineStr">
        <is>
          <t>10월 통신요금 - P통신</t>
        </is>
      </c>
      <c r="J1936" s="75" t="inlineStr">
        <is>
          <t>V10011</t>
        </is>
      </c>
      <c r="K1936" s="75" t="inlineStr">
        <is>
          <t>P통신</t>
        </is>
      </c>
      <c r="M1936" s="9">
        <f>IF($A1936="","",VALUE($A1936&amp;"")*12+VALUE($B1936&amp;""))</f>
        <v/>
      </c>
      <c r="N1936" s="39">
        <f>IF($A1936="","",IFERROR(INDEX(부서매핑!$C$5:$C$504,MATCH($G1936&amp;"",부서매핑!$A$5:$A$504,0)),"미매핑"))</f>
        <v/>
      </c>
      <c r="O1936" s="9">
        <f>IF($A1936="","",N1936&amp;"|"&amp;$F1936)</f>
        <v/>
      </c>
      <c r="P1936" s="77">
        <f>IF($A1936="",0,$H1936*설정!$C$23)</f>
        <v/>
      </c>
      <c r="Q1936" s="39">
        <f>IF($A1936="","",IF(O1936&lt;&gt;원인분석!$C$9,"",IF(AND(M1936&gt;=원인분석!$C$10,M1936&lt;=원인분석!$C$11),"당기",IF(AND(M1936&gt;=원인분석!$C$12,M1936&lt;=원인분석!$C$13),"비교",""))))</f>
        <v/>
      </c>
      <c r="R1936" s="9">
        <f>IF(Q1936="","",$K1936&amp;"")</f>
        <v/>
      </c>
      <c r="S1936" s="9">
        <f>IF(Q1936="","",IF(MATCH(R1936,$R$5:$R$100000,0)=ROW()-4,ROW(),""))</f>
        <v/>
      </c>
      <c r="T1936" s="9">
        <f>IF(Q1936="당기",ABS(P1936)+ROW()/1000000000,"")</f>
        <v/>
      </c>
      <c r="U1936" s="9">
        <f>IF(Q1936="비교",ABS(P1936)+ROW()/1000000000,"")</f>
        <v/>
      </c>
      <c r="V1936" s="39">
        <f>IF($A1936="","",IF(COUNTIF(변동분석!$E$7:$E$506,O1936)&gt;0,"Y","N"))</f>
        <v/>
      </c>
      <c r="W1936" s="39">
        <f>IF($A1936="","",IFERROR(INDEX(계정매핑!$D$5:$D$504,MATCH($F1936&amp;"",계정매핑!$A$5:$A$504,0)),"미매핑"))</f>
        <v/>
      </c>
      <c r="X1936" s="9">
        <f>IF($A1936="","",$F1936&amp;"")</f>
        <v/>
      </c>
    </row>
    <row r="1937">
      <c r="A1937" s="75" t="n">
        <v>2025</v>
      </c>
      <c r="B1937" s="75" t="n">
        <v>10</v>
      </c>
      <c r="C1937" s="75" t="inlineStr">
        <is>
          <t>5100001933</t>
        </is>
      </c>
      <c r="D1937" s="78" t="n">
        <v>45955</v>
      </c>
      <c r="E1937" s="75" t="inlineStr">
        <is>
          <t>KR</t>
        </is>
      </c>
      <c r="F1937" s="75" t="n">
        <v>62401000</v>
      </c>
      <c r="G1937" s="75" t="n">
        <v>1401</v>
      </c>
      <c r="H1937" s="76" t="n">
        <v>390000</v>
      </c>
      <c r="I1937" s="75" t="inlineStr">
        <is>
          <t>10월 인쇄물 제작 - G인쇄</t>
        </is>
      </c>
      <c r="J1937" s="75" t="inlineStr">
        <is>
          <t>V10004</t>
        </is>
      </c>
      <c r="K1937" s="75" t="inlineStr">
        <is>
          <t>G인쇄</t>
        </is>
      </c>
      <c r="M1937" s="9">
        <f>IF($A1937="","",VALUE($A1937&amp;"")*12+VALUE($B1937&amp;""))</f>
        <v/>
      </c>
      <c r="N1937" s="39">
        <f>IF($A1937="","",IFERROR(INDEX(부서매핑!$C$5:$C$504,MATCH($G1937&amp;"",부서매핑!$A$5:$A$504,0)),"미매핑"))</f>
        <v/>
      </c>
      <c r="O1937" s="9">
        <f>IF($A1937="","",N1937&amp;"|"&amp;$F1937)</f>
        <v/>
      </c>
      <c r="P1937" s="77">
        <f>IF($A1937="",0,$H1937*설정!$C$23)</f>
        <v/>
      </c>
      <c r="Q1937" s="39">
        <f>IF($A1937="","",IF(O1937&lt;&gt;원인분석!$C$9,"",IF(AND(M1937&gt;=원인분석!$C$10,M1937&lt;=원인분석!$C$11),"당기",IF(AND(M1937&gt;=원인분석!$C$12,M1937&lt;=원인분석!$C$13),"비교",""))))</f>
        <v/>
      </c>
      <c r="R1937" s="9">
        <f>IF(Q1937="","",$K1937&amp;"")</f>
        <v/>
      </c>
      <c r="S1937" s="9">
        <f>IF(Q1937="","",IF(MATCH(R1937,$R$5:$R$100000,0)=ROW()-4,ROW(),""))</f>
        <v/>
      </c>
      <c r="T1937" s="9">
        <f>IF(Q1937="당기",ABS(P1937)+ROW()/1000000000,"")</f>
        <v/>
      </c>
      <c r="U1937" s="9">
        <f>IF(Q1937="비교",ABS(P1937)+ROW()/1000000000,"")</f>
        <v/>
      </c>
      <c r="V1937" s="39">
        <f>IF($A1937="","",IF(COUNTIF(변동분석!$E$7:$E$506,O1937)&gt;0,"Y","N"))</f>
        <v/>
      </c>
      <c r="W1937" s="39">
        <f>IF($A1937="","",IFERROR(INDEX(계정매핑!$D$5:$D$504,MATCH($F1937&amp;"",계정매핑!$A$5:$A$504,0)),"미매핑"))</f>
        <v/>
      </c>
      <c r="X1937" s="9">
        <f>IF($A1937="","",$F1937&amp;"")</f>
        <v/>
      </c>
    </row>
    <row r="1938">
      <c r="A1938" s="75" t="n">
        <v>2025</v>
      </c>
      <c r="B1938" s="75" t="n">
        <v>10</v>
      </c>
      <c r="C1938" s="75" t="inlineStr">
        <is>
          <t>5100001934</t>
        </is>
      </c>
      <c r="D1938" s="78" t="n">
        <v>45955</v>
      </c>
      <c r="E1938" s="75" t="inlineStr">
        <is>
          <t>KR</t>
        </is>
      </c>
      <c r="F1938" s="75" t="n">
        <v>62501000</v>
      </c>
      <c r="G1938" s="75" t="n">
        <v>1701</v>
      </c>
      <c r="H1938" s="76" t="n">
        <v>106000</v>
      </c>
      <c r="I1938" s="75" t="inlineStr">
        <is>
          <t>10월 회의 다과 - T케이터링</t>
        </is>
      </c>
      <c r="J1938" s="75" t="inlineStr">
        <is>
          <t>V10005</t>
        </is>
      </c>
      <c r="K1938" s="75" t="inlineStr">
        <is>
          <t>T케이터링</t>
        </is>
      </c>
      <c r="M1938" s="9">
        <f>IF($A1938="","",VALUE($A1938&amp;"")*12+VALUE($B1938&amp;""))</f>
        <v/>
      </c>
      <c r="N1938" s="39">
        <f>IF($A1938="","",IFERROR(INDEX(부서매핑!$C$5:$C$504,MATCH($G1938&amp;"",부서매핑!$A$5:$A$504,0)),"미매핑"))</f>
        <v/>
      </c>
      <c r="O1938" s="9">
        <f>IF($A1938="","",N1938&amp;"|"&amp;$F1938)</f>
        <v/>
      </c>
      <c r="P1938" s="77">
        <f>IF($A1938="",0,$H1938*설정!$C$23)</f>
        <v/>
      </c>
      <c r="Q1938" s="39">
        <f>IF($A1938="","",IF(O1938&lt;&gt;원인분석!$C$9,"",IF(AND(M1938&gt;=원인분석!$C$10,M1938&lt;=원인분석!$C$11),"당기",IF(AND(M1938&gt;=원인분석!$C$12,M1938&lt;=원인분석!$C$13),"비교",""))))</f>
        <v/>
      </c>
      <c r="R1938" s="9">
        <f>IF(Q1938="","",$K1938&amp;"")</f>
        <v/>
      </c>
      <c r="S1938" s="9">
        <f>IF(Q1938="","",IF(MATCH(R1938,$R$5:$R$100000,0)=ROW()-4,ROW(),""))</f>
        <v/>
      </c>
      <c r="T1938" s="9">
        <f>IF(Q1938="당기",ABS(P1938)+ROW()/1000000000,"")</f>
        <v/>
      </c>
      <c r="U1938" s="9">
        <f>IF(Q1938="비교",ABS(P1938)+ROW()/1000000000,"")</f>
        <v/>
      </c>
      <c r="V1938" s="39">
        <f>IF($A1938="","",IF(COUNTIF(변동분석!$E$7:$E$506,O1938)&gt;0,"Y","N"))</f>
        <v/>
      </c>
      <c r="W1938" s="39">
        <f>IF($A1938="","",IFERROR(INDEX(계정매핑!$D$5:$D$504,MATCH($F1938&amp;"",계정매핑!$A$5:$A$504,0)),"미매핑"))</f>
        <v/>
      </c>
      <c r="X1938" s="9">
        <f>IF($A1938="","",$F1938&amp;"")</f>
        <v/>
      </c>
    </row>
    <row r="1939">
      <c r="A1939" s="75" t="n">
        <v>2025</v>
      </c>
      <c r="B1939" s="75" t="n">
        <v>10</v>
      </c>
      <c r="C1939" s="75" t="inlineStr">
        <is>
          <t>5100001935</t>
        </is>
      </c>
      <c r="D1939" s="78" t="n">
        <v>45955</v>
      </c>
      <c r="E1939" s="75" t="inlineStr">
        <is>
          <t>KR</t>
        </is>
      </c>
      <c r="F1939" s="75" t="n">
        <v>62901000</v>
      </c>
      <c r="G1939" s="75" t="n">
        <v>1801</v>
      </c>
      <c r="H1939" s="76" t="n">
        <v>17836000</v>
      </c>
      <c r="I1939" s="75" t="inlineStr">
        <is>
          <t>10월 자문 수수료 - K회계법인</t>
        </is>
      </c>
      <c r="J1939" s="75" t="inlineStr">
        <is>
          <t>V10010</t>
        </is>
      </c>
      <c r="K1939" s="75" t="inlineStr">
        <is>
          <t>K회계법인</t>
        </is>
      </c>
      <c r="M1939" s="9">
        <f>IF($A1939="","",VALUE($A1939&amp;"")*12+VALUE($B1939&amp;""))</f>
        <v/>
      </c>
      <c r="N1939" s="39">
        <f>IF($A1939="","",IFERROR(INDEX(부서매핑!$C$5:$C$504,MATCH($G1939&amp;"",부서매핑!$A$5:$A$504,0)),"미매핑"))</f>
        <v/>
      </c>
      <c r="O1939" s="9">
        <f>IF($A1939="","",N1939&amp;"|"&amp;$F1939)</f>
        <v/>
      </c>
      <c r="P1939" s="77">
        <f>IF($A1939="",0,$H1939*설정!$C$23)</f>
        <v/>
      </c>
      <c r="Q1939" s="39">
        <f>IF($A1939="","",IF(O1939&lt;&gt;원인분석!$C$9,"",IF(AND(M1939&gt;=원인분석!$C$10,M1939&lt;=원인분석!$C$11),"당기",IF(AND(M1939&gt;=원인분석!$C$12,M1939&lt;=원인분석!$C$13),"비교",""))))</f>
        <v/>
      </c>
      <c r="R1939" s="9">
        <f>IF(Q1939="","",$K1939&amp;"")</f>
        <v/>
      </c>
      <c r="S1939" s="9">
        <f>IF(Q1939="","",IF(MATCH(R1939,$R$5:$R$100000,0)=ROW()-4,ROW(),""))</f>
        <v/>
      </c>
      <c r="T1939" s="9">
        <f>IF(Q1939="당기",ABS(P1939)+ROW()/1000000000,"")</f>
        <v/>
      </c>
      <c r="U1939" s="9">
        <f>IF(Q1939="비교",ABS(P1939)+ROW()/1000000000,"")</f>
        <v/>
      </c>
      <c r="V1939" s="39">
        <f>IF($A1939="","",IF(COUNTIF(변동분석!$E$7:$E$506,O1939)&gt;0,"Y","N"))</f>
        <v/>
      </c>
      <c r="W1939" s="39">
        <f>IF($A1939="","",IFERROR(INDEX(계정매핑!$D$5:$D$504,MATCH($F1939&amp;"",계정매핑!$A$5:$A$504,0)),"미매핑"))</f>
        <v/>
      </c>
      <c r="X1939" s="9">
        <f>IF($A1939="","",$F1939&amp;"")</f>
        <v/>
      </c>
    </row>
    <row r="1940">
      <c r="A1940" s="75" t="n">
        <v>2025</v>
      </c>
      <c r="B1940" s="75" t="n">
        <v>10</v>
      </c>
      <c r="C1940" s="75" t="inlineStr">
        <is>
          <t>5100001936</t>
        </is>
      </c>
      <c r="D1940" s="78" t="n">
        <v>45955</v>
      </c>
      <c r="E1940" s="75" t="inlineStr">
        <is>
          <t>KR</t>
        </is>
      </c>
      <c r="F1940" s="75" t="n">
        <v>63001000</v>
      </c>
      <c r="G1940" s="75" t="n">
        <v>1701</v>
      </c>
      <c r="H1940" s="76" t="n">
        <v>51312000</v>
      </c>
      <c r="I1940" s="75" t="inlineStr">
        <is>
          <t>10월 SW 유지보수 - Y소프트</t>
        </is>
      </c>
      <c r="J1940" s="75" t="inlineStr">
        <is>
          <t>V10017</t>
        </is>
      </c>
      <c r="K1940" s="75" t="inlineStr">
        <is>
          <t>Y소프트</t>
        </is>
      </c>
      <c r="M1940" s="9">
        <f>IF($A1940="","",VALUE($A1940&amp;"")*12+VALUE($B1940&amp;""))</f>
        <v/>
      </c>
      <c r="N1940" s="39">
        <f>IF($A1940="","",IFERROR(INDEX(부서매핑!$C$5:$C$504,MATCH($G1940&amp;"",부서매핑!$A$5:$A$504,0)),"미매핑"))</f>
        <v/>
      </c>
      <c r="O1940" s="9">
        <f>IF($A1940="","",N1940&amp;"|"&amp;$F1940)</f>
        <v/>
      </c>
      <c r="P1940" s="77">
        <f>IF($A1940="",0,$H1940*설정!$C$23)</f>
        <v/>
      </c>
      <c r="Q1940" s="39">
        <f>IF($A1940="","",IF(O1940&lt;&gt;원인분석!$C$9,"",IF(AND(M1940&gt;=원인분석!$C$10,M1940&lt;=원인분석!$C$11),"당기",IF(AND(M1940&gt;=원인분석!$C$12,M1940&lt;=원인분석!$C$13),"비교",""))))</f>
        <v/>
      </c>
      <c r="R1940" s="9">
        <f>IF(Q1940="","",$K1940&amp;"")</f>
        <v/>
      </c>
      <c r="S1940" s="9">
        <f>IF(Q1940="","",IF(MATCH(R1940,$R$5:$R$100000,0)=ROW()-4,ROW(),""))</f>
        <v/>
      </c>
      <c r="T1940" s="9">
        <f>IF(Q1940="당기",ABS(P1940)+ROW()/1000000000,"")</f>
        <v/>
      </c>
      <c r="U1940" s="9">
        <f>IF(Q1940="비교",ABS(P1940)+ROW()/1000000000,"")</f>
        <v/>
      </c>
      <c r="V1940" s="39">
        <f>IF($A1940="","",IF(COUNTIF(변동분석!$E$7:$E$506,O1940)&gt;0,"Y","N"))</f>
        <v/>
      </c>
      <c r="W1940" s="39">
        <f>IF($A1940="","",IFERROR(INDEX(계정매핑!$D$5:$D$504,MATCH($F1940&amp;"",계정매핑!$A$5:$A$504,0)),"미매핑"))</f>
        <v/>
      </c>
      <c r="X1940" s="9">
        <f>IF($A1940="","",$F1940&amp;"")</f>
        <v/>
      </c>
    </row>
    <row r="1941">
      <c r="A1941" s="75" t="n">
        <v>2025</v>
      </c>
      <c r="B1941" s="75" t="n">
        <v>10</v>
      </c>
      <c r="C1941" s="75" t="inlineStr">
        <is>
          <t>5100001937</t>
        </is>
      </c>
      <c r="D1941" s="78" t="n">
        <v>45955</v>
      </c>
      <c r="E1941" s="75" t="inlineStr">
        <is>
          <t>KR</t>
        </is>
      </c>
      <c r="F1941" s="75" t="n">
        <v>63002000</v>
      </c>
      <c r="G1941" s="75" t="n">
        <v>1701</v>
      </c>
      <c r="H1941" s="76" t="n">
        <v>70000000</v>
      </c>
      <c r="I1941" s="75" t="inlineStr">
        <is>
          <t>10월 클라우드 사용료 - C클라우드</t>
        </is>
      </c>
      <c r="J1941" s="75" t="inlineStr">
        <is>
          <t>V10028</t>
        </is>
      </c>
      <c r="K1941" s="75" t="inlineStr">
        <is>
          <t>C클라우드</t>
        </is>
      </c>
      <c r="M1941" s="9">
        <f>IF($A1941="","",VALUE($A1941&amp;"")*12+VALUE($B1941&amp;""))</f>
        <v/>
      </c>
      <c r="N1941" s="39">
        <f>IF($A1941="","",IFERROR(INDEX(부서매핑!$C$5:$C$504,MATCH($G1941&amp;"",부서매핑!$A$5:$A$504,0)),"미매핑"))</f>
        <v/>
      </c>
      <c r="O1941" s="9">
        <f>IF($A1941="","",N1941&amp;"|"&amp;$F1941)</f>
        <v/>
      </c>
      <c r="P1941" s="77">
        <f>IF($A1941="",0,$H1941*설정!$C$23)</f>
        <v/>
      </c>
      <c r="Q1941" s="39">
        <f>IF($A1941="","",IF(O1941&lt;&gt;원인분석!$C$9,"",IF(AND(M1941&gt;=원인분석!$C$10,M1941&lt;=원인분석!$C$11),"당기",IF(AND(M1941&gt;=원인분석!$C$12,M1941&lt;=원인분석!$C$13),"비교",""))))</f>
        <v/>
      </c>
      <c r="R1941" s="9">
        <f>IF(Q1941="","",$K1941&amp;"")</f>
        <v/>
      </c>
      <c r="S1941" s="9">
        <f>IF(Q1941="","",IF(MATCH(R1941,$R$5:$R$100000,0)=ROW()-4,ROW(),""))</f>
        <v/>
      </c>
      <c r="T1941" s="9">
        <f>IF(Q1941="당기",ABS(P1941)+ROW()/1000000000,"")</f>
        <v/>
      </c>
      <c r="U1941" s="9">
        <f>IF(Q1941="비교",ABS(P1941)+ROW()/1000000000,"")</f>
        <v/>
      </c>
      <c r="V1941" s="39">
        <f>IF($A1941="","",IF(COUNTIF(변동분석!$E$7:$E$506,O1941)&gt;0,"Y","N"))</f>
        <v/>
      </c>
      <c r="W1941" s="39">
        <f>IF($A1941="","",IFERROR(INDEX(계정매핑!$D$5:$D$504,MATCH($F1941&amp;"",계정매핑!$A$5:$A$504,0)),"미매핑"))</f>
        <v/>
      </c>
      <c r="X1941" s="9">
        <f>IF($A1941="","",$F1941&amp;"")</f>
        <v/>
      </c>
    </row>
    <row r="1942">
      <c r="A1942" s="75" t="n">
        <v>2025</v>
      </c>
      <c r="B1942" s="75" t="n">
        <v>10</v>
      </c>
      <c r="C1942" s="75" t="inlineStr">
        <is>
          <t>5100001938</t>
        </is>
      </c>
      <c r="D1942" s="78" t="n">
        <v>45956</v>
      </c>
      <c r="E1942" s="75" t="inlineStr">
        <is>
          <t>KR</t>
        </is>
      </c>
      <c r="F1942" s="75" t="n">
        <v>62102000</v>
      </c>
      <c r="G1942" s="75" t="n">
        <v>1101</v>
      </c>
      <c r="H1942" s="76" t="n">
        <v>132000</v>
      </c>
      <c r="I1942" s="75" t="inlineStr">
        <is>
          <t>10월 해외출장 - M항공</t>
        </is>
      </c>
      <c r="J1942" s="75" t="inlineStr">
        <is>
          <t>V10001</t>
        </is>
      </c>
      <c r="K1942" s="75" t="inlineStr">
        <is>
          <t>M항공</t>
        </is>
      </c>
      <c r="M1942" s="9">
        <f>IF($A1942="","",VALUE($A1942&amp;"")*12+VALUE($B1942&amp;""))</f>
        <v/>
      </c>
      <c r="N1942" s="39">
        <f>IF($A1942="","",IFERROR(INDEX(부서매핑!$C$5:$C$504,MATCH($G1942&amp;"",부서매핑!$A$5:$A$504,0)),"미매핑"))</f>
        <v/>
      </c>
      <c r="O1942" s="9">
        <f>IF($A1942="","",N1942&amp;"|"&amp;$F1942)</f>
        <v/>
      </c>
      <c r="P1942" s="77">
        <f>IF($A1942="",0,$H1942*설정!$C$23)</f>
        <v/>
      </c>
      <c r="Q1942" s="39">
        <f>IF($A1942="","",IF(O1942&lt;&gt;원인분석!$C$9,"",IF(AND(M1942&gt;=원인분석!$C$10,M1942&lt;=원인분석!$C$11),"당기",IF(AND(M1942&gt;=원인분석!$C$12,M1942&lt;=원인분석!$C$13),"비교",""))))</f>
        <v/>
      </c>
      <c r="R1942" s="9">
        <f>IF(Q1942="","",$K1942&amp;"")</f>
        <v/>
      </c>
      <c r="S1942" s="9">
        <f>IF(Q1942="","",IF(MATCH(R1942,$R$5:$R$100000,0)=ROW()-4,ROW(),""))</f>
        <v/>
      </c>
      <c r="T1942" s="9">
        <f>IF(Q1942="당기",ABS(P1942)+ROW()/1000000000,"")</f>
        <v/>
      </c>
      <c r="U1942" s="9">
        <f>IF(Q1942="비교",ABS(P1942)+ROW()/1000000000,"")</f>
        <v/>
      </c>
      <c r="V1942" s="39">
        <f>IF($A1942="","",IF(COUNTIF(변동분석!$E$7:$E$506,O1942)&gt;0,"Y","N"))</f>
        <v/>
      </c>
      <c r="W1942" s="39">
        <f>IF($A1942="","",IFERROR(INDEX(계정매핑!$D$5:$D$504,MATCH($F1942&amp;"",계정매핑!$A$5:$A$504,0)),"미매핑"))</f>
        <v/>
      </c>
      <c r="X1942" s="9">
        <f>IF($A1942="","",$F1942&amp;"")</f>
        <v/>
      </c>
    </row>
    <row r="1943">
      <c r="A1943" s="75" t="n">
        <v>2025</v>
      </c>
      <c r="B1943" s="75" t="n">
        <v>10</v>
      </c>
      <c r="C1943" s="75" t="inlineStr">
        <is>
          <t>5100001939</t>
        </is>
      </c>
      <c r="D1943" s="78" t="n">
        <v>45956</v>
      </c>
      <c r="E1943" s="75" t="inlineStr">
        <is>
          <t>KR</t>
        </is>
      </c>
      <c r="F1943" s="75" t="n">
        <v>62102000</v>
      </c>
      <c r="G1943" s="75" t="n">
        <v>1401</v>
      </c>
      <c r="H1943" s="76" t="n">
        <v>46000</v>
      </c>
      <c r="I1943" s="75" t="inlineStr">
        <is>
          <t>10월 해외출장 - N호텔</t>
        </is>
      </c>
      <c r="J1943" s="75" t="inlineStr">
        <is>
          <t>V10007</t>
        </is>
      </c>
      <c r="K1943" s="75" t="inlineStr">
        <is>
          <t>N호텔</t>
        </is>
      </c>
      <c r="M1943" s="9">
        <f>IF($A1943="","",VALUE($A1943&amp;"")*12+VALUE($B1943&amp;""))</f>
        <v/>
      </c>
      <c r="N1943" s="39">
        <f>IF($A1943="","",IFERROR(INDEX(부서매핑!$C$5:$C$504,MATCH($G1943&amp;"",부서매핑!$A$5:$A$504,0)),"미매핑"))</f>
        <v/>
      </c>
      <c r="O1943" s="9">
        <f>IF($A1943="","",N1943&amp;"|"&amp;$F1943)</f>
        <v/>
      </c>
      <c r="P1943" s="77">
        <f>IF($A1943="",0,$H1943*설정!$C$23)</f>
        <v/>
      </c>
      <c r="Q1943" s="39">
        <f>IF($A1943="","",IF(O1943&lt;&gt;원인분석!$C$9,"",IF(AND(M1943&gt;=원인분석!$C$10,M1943&lt;=원인분석!$C$11),"당기",IF(AND(M1943&gt;=원인분석!$C$12,M1943&lt;=원인분석!$C$13),"비교",""))))</f>
        <v/>
      </c>
      <c r="R1943" s="9">
        <f>IF(Q1943="","",$K1943&amp;"")</f>
        <v/>
      </c>
      <c r="S1943" s="9">
        <f>IF(Q1943="","",IF(MATCH(R1943,$R$5:$R$100000,0)=ROW()-4,ROW(),""))</f>
        <v/>
      </c>
      <c r="T1943" s="9">
        <f>IF(Q1943="당기",ABS(P1943)+ROW()/1000000000,"")</f>
        <v/>
      </c>
      <c r="U1943" s="9">
        <f>IF(Q1943="비교",ABS(P1943)+ROW()/1000000000,"")</f>
        <v/>
      </c>
      <c r="V1943" s="39">
        <f>IF($A1943="","",IF(COUNTIF(변동분석!$E$7:$E$506,O1943)&gt;0,"Y","N"))</f>
        <v/>
      </c>
      <c r="W1943" s="39">
        <f>IF($A1943="","",IFERROR(INDEX(계정매핑!$D$5:$D$504,MATCH($F1943&amp;"",계정매핑!$A$5:$A$504,0)),"미매핑"))</f>
        <v/>
      </c>
      <c r="X1943" s="9">
        <f>IF($A1943="","",$F1943&amp;"")</f>
        <v/>
      </c>
    </row>
    <row r="1944">
      <c r="A1944" s="75" t="n">
        <v>2025</v>
      </c>
      <c r="B1944" s="75" t="n">
        <v>10</v>
      </c>
      <c r="C1944" s="75" t="inlineStr">
        <is>
          <t>5100001940</t>
        </is>
      </c>
      <c r="D1944" s="78" t="n">
        <v>45956</v>
      </c>
      <c r="E1944" s="75" t="inlineStr">
        <is>
          <t>KR</t>
        </is>
      </c>
      <c r="F1944" s="75" t="n">
        <v>62201000</v>
      </c>
      <c r="G1944" s="75" t="n">
        <v>1101</v>
      </c>
      <c r="H1944" s="76" t="n">
        <v>204000</v>
      </c>
      <c r="I1944" s="75" t="inlineStr">
        <is>
          <t>10월 통신요금 - P통신</t>
        </is>
      </c>
      <c r="J1944" s="75" t="inlineStr">
        <is>
          <t>V10011</t>
        </is>
      </c>
      <c r="K1944" s="75" t="inlineStr">
        <is>
          <t>P통신</t>
        </is>
      </c>
      <c r="M1944" s="9">
        <f>IF($A1944="","",VALUE($A1944&amp;"")*12+VALUE($B1944&amp;""))</f>
        <v/>
      </c>
      <c r="N1944" s="39">
        <f>IF($A1944="","",IFERROR(INDEX(부서매핑!$C$5:$C$504,MATCH($G1944&amp;"",부서매핑!$A$5:$A$504,0)),"미매핑"))</f>
        <v/>
      </c>
      <c r="O1944" s="9">
        <f>IF($A1944="","",N1944&amp;"|"&amp;$F1944)</f>
        <v/>
      </c>
      <c r="P1944" s="77">
        <f>IF($A1944="",0,$H1944*설정!$C$23)</f>
        <v/>
      </c>
      <c r="Q1944" s="39">
        <f>IF($A1944="","",IF(O1944&lt;&gt;원인분석!$C$9,"",IF(AND(M1944&gt;=원인분석!$C$10,M1944&lt;=원인분석!$C$11),"당기",IF(AND(M1944&gt;=원인분석!$C$12,M1944&lt;=원인분석!$C$13),"비교",""))))</f>
        <v/>
      </c>
      <c r="R1944" s="9">
        <f>IF(Q1944="","",$K1944&amp;"")</f>
        <v/>
      </c>
      <c r="S1944" s="9">
        <f>IF(Q1944="","",IF(MATCH(R1944,$R$5:$R$100000,0)=ROW()-4,ROW(),""))</f>
        <v/>
      </c>
      <c r="T1944" s="9">
        <f>IF(Q1944="당기",ABS(P1944)+ROW()/1000000000,"")</f>
        <v/>
      </c>
      <c r="U1944" s="9">
        <f>IF(Q1944="비교",ABS(P1944)+ROW()/1000000000,"")</f>
        <v/>
      </c>
      <c r="V1944" s="39">
        <f>IF($A1944="","",IF(COUNTIF(변동분석!$E$7:$E$506,O1944)&gt;0,"Y","N"))</f>
        <v/>
      </c>
      <c r="W1944" s="39">
        <f>IF($A1944="","",IFERROR(INDEX(계정매핑!$D$5:$D$504,MATCH($F1944&amp;"",계정매핑!$A$5:$A$504,0)),"미매핑"))</f>
        <v/>
      </c>
      <c r="X1944" s="9">
        <f>IF($A1944="","",$F1944&amp;"")</f>
        <v/>
      </c>
    </row>
    <row r="1945">
      <c r="A1945" s="75" t="n">
        <v>2025</v>
      </c>
      <c r="B1945" s="75" t="n">
        <v>10</v>
      </c>
      <c r="C1945" s="75" t="inlineStr">
        <is>
          <t>5100001941</t>
        </is>
      </c>
      <c r="D1945" s="78" t="n">
        <v>45956</v>
      </c>
      <c r="E1945" s="75" t="inlineStr">
        <is>
          <t>KR</t>
        </is>
      </c>
      <c r="F1945" s="75" t="n">
        <v>62201000</v>
      </c>
      <c r="G1945" s="75" t="n">
        <v>1401</v>
      </c>
      <c r="H1945" s="76" t="n">
        <v>148000</v>
      </c>
      <c r="I1945" s="75" t="inlineStr">
        <is>
          <t>10월 통신요금 - P통신</t>
        </is>
      </c>
      <c r="J1945" s="75" t="inlineStr">
        <is>
          <t>V10011</t>
        </is>
      </c>
      <c r="K1945" s="75" t="inlineStr">
        <is>
          <t>P통신</t>
        </is>
      </c>
      <c r="M1945" s="9">
        <f>IF($A1945="","",VALUE($A1945&amp;"")*12+VALUE($B1945&amp;""))</f>
        <v/>
      </c>
      <c r="N1945" s="39">
        <f>IF($A1945="","",IFERROR(INDEX(부서매핑!$C$5:$C$504,MATCH($G1945&amp;"",부서매핑!$A$5:$A$504,0)),"미매핑"))</f>
        <v/>
      </c>
      <c r="O1945" s="9">
        <f>IF($A1945="","",N1945&amp;"|"&amp;$F1945)</f>
        <v/>
      </c>
      <c r="P1945" s="77">
        <f>IF($A1945="",0,$H1945*설정!$C$23)</f>
        <v/>
      </c>
      <c r="Q1945" s="39">
        <f>IF($A1945="","",IF(O1945&lt;&gt;원인분석!$C$9,"",IF(AND(M1945&gt;=원인분석!$C$10,M1945&lt;=원인분석!$C$11),"당기",IF(AND(M1945&gt;=원인분석!$C$12,M1945&lt;=원인분석!$C$13),"비교",""))))</f>
        <v/>
      </c>
      <c r="R1945" s="9">
        <f>IF(Q1945="","",$K1945&amp;"")</f>
        <v/>
      </c>
      <c r="S1945" s="9">
        <f>IF(Q1945="","",IF(MATCH(R1945,$R$5:$R$100000,0)=ROW()-4,ROW(),""))</f>
        <v/>
      </c>
      <c r="T1945" s="9">
        <f>IF(Q1945="당기",ABS(P1945)+ROW()/1000000000,"")</f>
        <v/>
      </c>
      <c r="U1945" s="9">
        <f>IF(Q1945="비교",ABS(P1945)+ROW()/1000000000,"")</f>
        <v/>
      </c>
      <c r="V1945" s="39">
        <f>IF($A1945="","",IF(COUNTIF(변동분석!$E$7:$E$506,O1945)&gt;0,"Y","N"))</f>
        <v/>
      </c>
      <c r="W1945" s="39">
        <f>IF($A1945="","",IFERROR(INDEX(계정매핑!$D$5:$D$504,MATCH($F1945&amp;"",계정매핑!$A$5:$A$504,0)),"미매핑"))</f>
        <v/>
      </c>
      <c r="X1945" s="9">
        <f>IF($A1945="","",$F1945&amp;"")</f>
        <v/>
      </c>
    </row>
    <row r="1946">
      <c r="A1946" s="75" t="n">
        <v>2025</v>
      </c>
      <c r="B1946" s="75" t="n">
        <v>10</v>
      </c>
      <c r="C1946" s="75" t="inlineStr">
        <is>
          <t>5100001942</t>
        </is>
      </c>
      <c r="D1946" s="78" t="n">
        <v>45956</v>
      </c>
      <c r="E1946" s="75" t="inlineStr">
        <is>
          <t>KR</t>
        </is>
      </c>
      <c r="F1946" s="75" t="n">
        <v>62301000</v>
      </c>
      <c r="G1946" s="75" t="n">
        <v>1401</v>
      </c>
      <c r="H1946" s="76" t="n">
        <v>97000</v>
      </c>
      <c r="I1946" s="75" t="inlineStr">
        <is>
          <t>10월 소모품 구입 - Q오피스</t>
        </is>
      </c>
      <c r="J1946" s="75" t="inlineStr">
        <is>
          <t>V10003</t>
        </is>
      </c>
      <c r="K1946" s="75" t="inlineStr">
        <is>
          <t>Q오피스</t>
        </is>
      </c>
      <c r="M1946" s="9">
        <f>IF($A1946="","",VALUE($A1946&amp;"")*12+VALUE($B1946&amp;""))</f>
        <v/>
      </c>
      <c r="N1946" s="39">
        <f>IF($A1946="","",IFERROR(INDEX(부서매핑!$C$5:$C$504,MATCH($G1946&amp;"",부서매핑!$A$5:$A$504,0)),"미매핑"))</f>
        <v/>
      </c>
      <c r="O1946" s="9">
        <f>IF($A1946="","",N1946&amp;"|"&amp;$F1946)</f>
        <v/>
      </c>
      <c r="P1946" s="77">
        <f>IF($A1946="",0,$H1946*설정!$C$23)</f>
        <v/>
      </c>
      <c r="Q1946" s="39">
        <f>IF($A1946="","",IF(O1946&lt;&gt;원인분석!$C$9,"",IF(AND(M1946&gt;=원인분석!$C$10,M1946&lt;=원인분석!$C$11),"당기",IF(AND(M1946&gt;=원인분석!$C$12,M1946&lt;=원인분석!$C$13),"비교",""))))</f>
        <v/>
      </c>
      <c r="R1946" s="9">
        <f>IF(Q1946="","",$K1946&amp;"")</f>
        <v/>
      </c>
      <c r="S1946" s="9">
        <f>IF(Q1946="","",IF(MATCH(R1946,$R$5:$R$100000,0)=ROW()-4,ROW(),""))</f>
        <v/>
      </c>
      <c r="T1946" s="9">
        <f>IF(Q1946="당기",ABS(P1946)+ROW()/1000000000,"")</f>
        <v/>
      </c>
      <c r="U1946" s="9">
        <f>IF(Q1946="비교",ABS(P1946)+ROW()/1000000000,"")</f>
        <v/>
      </c>
      <c r="V1946" s="39">
        <f>IF($A1946="","",IF(COUNTIF(변동분석!$E$7:$E$506,O1946)&gt;0,"Y","N"))</f>
        <v/>
      </c>
      <c r="W1946" s="39">
        <f>IF($A1946="","",IFERROR(INDEX(계정매핑!$D$5:$D$504,MATCH($F1946&amp;"",계정매핑!$A$5:$A$504,0)),"미매핑"))</f>
        <v/>
      </c>
      <c r="X1946" s="9">
        <f>IF($A1946="","",$F1946&amp;"")</f>
        <v/>
      </c>
    </row>
    <row r="1947">
      <c r="A1947" s="75" t="n">
        <v>2025</v>
      </c>
      <c r="B1947" s="75" t="n">
        <v>10</v>
      </c>
      <c r="C1947" s="75" t="inlineStr">
        <is>
          <t>5100001943</t>
        </is>
      </c>
      <c r="D1947" s="78" t="n">
        <v>45956</v>
      </c>
      <c r="E1947" s="75" t="inlineStr">
        <is>
          <t>KR</t>
        </is>
      </c>
      <c r="F1947" s="75" t="n">
        <v>62301000</v>
      </c>
      <c r="G1947" s="75" t="n">
        <v>1701</v>
      </c>
      <c r="H1947" s="76" t="n">
        <v>270000</v>
      </c>
      <c r="I1947" s="75" t="inlineStr">
        <is>
          <t>10월 소모품 구입 - Q오피스</t>
        </is>
      </c>
      <c r="J1947" s="75" t="inlineStr">
        <is>
          <t>V10003</t>
        </is>
      </c>
      <c r="K1947" s="75" t="inlineStr">
        <is>
          <t>Q오피스</t>
        </is>
      </c>
      <c r="M1947" s="9">
        <f>IF($A1947="","",VALUE($A1947&amp;"")*12+VALUE($B1947&amp;""))</f>
        <v/>
      </c>
      <c r="N1947" s="39">
        <f>IF($A1947="","",IFERROR(INDEX(부서매핑!$C$5:$C$504,MATCH($G1947&amp;"",부서매핑!$A$5:$A$504,0)),"미매핑"))</f>
        <v/>
      </c>
      <c r="O1947" s="9">
        <f>IF($A1947="","",N1947&amp;"|"&amp;$F1947)</f>
        <v/>
      </c>
      <c r="P1947" s="77">
        <f>IF($A1947="",0,$H1947*설정!$C$23)</f>
        <v/>
      </c>
      <c r="Q1947" s="39">
        <f>IF($A1947="","",IF(O1947&lt;&gt;원인분석!$C$9,"",IF(AND(M1947&gt;=원인분석!$C$10,M1947&lt;=원인분석!$C$11),"당기",IF(AND(M1947&gt;=원인분석!$C$12,M1947&lt;=원인분석!$C$13),"비교",""))))</f>
        <v/>
      </c>
      <c r="R1947" s="9">
        <f>IF(Q1947="","",$K1947&amp;"")</f>
        <v/>
      </c>
      <c r="S1947" s="9">
        <f>IF(Q1947="","",IF(MATCH(R1947,$R$5:$R$100000,0)=ROW()-4,ROW(),""))</f>
        <v/>
      </c>
      <c r="T1947" s="9">
        <f>IF(Q1947="당기",ABS(P1947)+ROW()/1000000000,"")</f>
        <v/>
      </c>
      <c r="U1947" s="9">
        <f>IF(Q1947="비교",ABS(P1947)+ROW()/1000000000,"")</f>
        <v/>
      </c>
      <c r="V1947" s="39">
        <f>IF($A1947="","",IF(COUNTIF(변동분석!$E$7:$E$506,O1947)&gt;0,"Y","N"))</f>
        <v/>
      </c>
      <c r="W1947" s="39">
        <f>IF($A1947="","",IFERROR(INDEX(계정매핑!$D$5:$D$504,MATCH($F1947&amp;"",계정매핑!$A$5:$A$504,0)),"미매핑"))</f>
        <v/>
      </c>
      <c r="X1947" s="9">
        <f>IF($A1947="","",$F1947&amp;"")</f>
        <v/>
      </c>
    </row>
    <row r="1948">
      <c r="A1948" s="75" t="n">
        <v>2025</v>
      </c>
      <c r="B1948" s="75" t="n">
        <v>10</v>
      </c>
      <c r="C1948" s="75" t="inlineStr">
        <is>
          <t>5100001944</t>
        </is>
      </c>
      <c r="D1948" s="78" t="n">
        <v>45956</v>
      </c>
      <c r="E1948" s="75" t="inlineStr">
        <is>
          <t>KR</t>
        </is>
      </c>
      <c r="F1948" s="75" t="n">
        <v>62901000</v>
      </c>
      <c r="G1948" s="75" t="n">
        <v>1201</v>
      </c>
      <c r="H1948" s="76" t="n">
        <v>3056000</v>
      </c>
      <c r="I1948" s="75" t="inlineStr">
        <is>
          <t>10월 자문 수수료 - W컨설팅</t>
        </is>
      </c>
      <c r="J1948" s="75" t="inlineStr">
        <is>
          <t>V10009</t>
        </is>
      </c>
      <c r="K1948" s="75" t="inlineStr">
        <is>
          <t>W컨설팅</t>
        </is>
      </c>
      <c r="M1948" s="9">
        <f>IF($A1948="","",VALUE($A1948&amp;"")*12+VALUE($B1948&amp;""))</f>
        <v/>
      </c>
      <c r="N1948" s="39">
        <f>IF($A1948="","",IFERROR(INDEX(부서매핑!$C$5:$C$504,MATCH($G1948&amp;"",부서매핑!$A$5:$A$504,0)),"미매핑"))</f>
        <v/>
      </c>
      <c r="O1948" s="9">
        <f>IF($A1948="","",N1948&amp;"|"&amp;$F1948)</f>
        <v/>
      </c>
      <c r="P1948" s="77">
        <f>IF($A1948="",0,$H1948*설정!$C$23)</f>
        <v/>
      </c>
      <c r="Q1948" s="39">
        <f>IF($A1948="","",IF(O1948&lt;&gt;원인분석!$C$9,"",IF(AND(M1948&gt;=원인분석!$C$10,M1948&lt;=원인분석!$C$11),"당기",IF(AND(M1948&gt;=원인분석!$C$12,M1948&lt;=원인분석!$C$13),"비교",""))))</f>
        <v/>
      </c>
      <c r="R1948" s="9">
        <f>IF(Q1948="","",$K1948&amp;"")</f>
        <v/>
      </c>
      <c r="S1948" s="9">
        <f>IF(Q1948="","",IF(MATCH(R1948,$R$5:$R$100000,0)=ROW()-4,ROW(),""))</f>
        <v/>
      </c>
      <c r="T1948" s="9">
        <f>IF(Q1948="당기",ABS(P1948)+ROW()/1000000000,"")</f>
        <v/>
      </c>
      <c r="U1948" s="9">
        <f>IF(Q1948="비교",ABS(P1948)+ROW()/1000000000,"")</f>
        <v/>
      </c>
      <c r="V1948" s="39">
        <f>IF($A1948="","",IF(COUNTIF(변동분석!$E$7:$E$506,O1948)&gt;0,"Y","N"))</f>
        <v/>
      </c>
      <c r="W1948" s="39">
        <f>IF($A1948="","",IFERROR(INDEX(계정매핑!$D$5:$D$504,MATCH($F1948&amp;"",계정매핑!$A$5:$A$504,0)),"미매핑"))</f>
        <v/>
      </c>
      <c r="X1948" s="9">
        <f>IF($A1948="","",$F1948&amp;"")</f>
        <v/>
      </c>
    </row>
    <row r="1949">
      <c r="A1949" s="75" t="n">
        <v>2025</v>
      </c>
      <c r="B1949" s="75" t="n">
        <v>10</v>
      </c>
      <c r="C1949" s="75" t="inlineStr">
        <is>
          <t>5100001945</t>
        </is>
      </c>
      <c r="D1949" s="78" t="n">
        <v>45957</v>
      </c>
      <c r="E1949" s="75" t="inlineStr">
        <is>
          <t>KR</t>
        </is>
      </c>
      <c r="F1949" s="75" t="n">
        <v>62101000</v>
      </c>
      <c r="G1949" s="75" t="n">
        <v>1801</v>
      </c>
      <c r="H1949" s="76" t="n">
        <v>99000</v>
      </c>
      <c r="I1949" s="75" t="inlineStr">
        <is>
          <t>10월 국내출장 - L여행사</t>
        </is>
      </c>
      <c r="J1949" s="75" t="inlineStr">
        <is>
          <t>V10014</t>
        </is>
      </c>
      <c r="K1949" s="75" t="inlineStr">
        <is>
          <t>L여행사</t>
        </is>
      </c>
      <c r="M1949" s="9">
        <f>IF($A1949="","",VALUE($A1949&amp;"")*12+VALUE($B1949&amp;""))</f>
        <v/>
      </c>
      <c r="N1949" s="39">
        <f>IF($A1949="","",IFERROR(INDEX(부서매핑!$C$5:$C$504,MATCH($G1949&amp;"",부서매핑!$A$5:$A$504,0)),"미매핑"))</f>
        <v/>
      </c>
      <c r="O1949" s="9">
        <f>IF($A1949="","",N1949&amp;"|"&amp;$F1949)</f>
        <v/>
      </c>
      <c r="P1949" s="77">
        <f>IF($A1949="",0,$H1949*설정!$C$23)</f>
        <v/>
      </c>
      <c r="Q1949" s="39">
        <f>IF($A1949="","",IF(O1949&lt;&gt;원인분석!$C$9,"",IF(AND(M1949&gt;=원인분석!$C$10,M1949&lt;=원인분석!$C$11),"당기",IF(AND(M1949&gt;=원인분석!$C$12,M1949&lt;=원인분석!$C$13),"비교",""))))</f>
        <v/>
      </c>
      <c r="R1949" s="9">
        <f>IF(Q1949="","",$K1949&amp;"")</f>
        <v/>
      </c>
      <c r="S1949" s="9">
        <f>IF(Q1949="","",IF(MATCH(R1949,$R$5:$R$100000,0)=ROW()-4,ROW(),""))</f>
        <v/>
      </c>
      <c r="T1949" s="9">
        <f>IF(Q1949="당기",ABS(P1949)+ROW()/1000000000,"")</f>
        <v/>
      </c>
      <c r="U1949" s="9">
        <f>IF(Q1949="비교",ABS(P1949)+ROW()/1000000000,"")</f>
        <v/>
      </c>
      <c r="V1949" s="39">
        <f>IF($A1949="","",IF(COUNTIF(변동분석!$E$7:$E$506,O1949)&gt;0,"Y","N"))</f>
        <v/>
      </c>
      <c r="W1949" s="39">
        <f>IF($A1949="","",IFERROR(INDEX(계정매핑!$D$5:$D$504,MATCH($F1949&amp;"",계정매핑!$A$5:$A$504,0)),"미매핑"))</f>
        <v/>
      </c>
      <c r="X1949" s="9">
        <f>IF($A1949="","",$F1949&amp;"")</f>
        <v/>
      </c>
    </row>
    <row r="1950">
      <c r="A1950" s="75" t="n">
        <v>2025</v>
      </c>
      <c r="B1950" s="75" t="n">
        <v>10</v>
      </c>
      <c r="C1950" s="75" t="inlineStr">
        <is>
          <t>5100001946</t>
        </is>
      </c>
      <c r="D1950" s="78" t="n">
        <v>45957</v>
      </c>
      <c r="E1950" s="75" t="inlineStr">
        <is>
          <t>KR</t>
        </is>
      </c>
      <c r="F1950" s="75" t="n">
        <v>62301000</v>
      </c>
      <c r="G1950" s="75" t="n">
        <v>1101</v>
      </c>
      <c r="H1950" s="76" t="n">
        <v>93000</v>
      </c>
      <c r="I1950" s="75" t="inlineStr">
        <is>
          <t>10월 소모품 구입 - Q오피스</t>
        </is>
      </c>
      <c r="J1950" s="75" t="inlineStr">
        <is>
          <t>V10003</t>
        </is>
      </c>
      <c r="K1950" s="75" t="inlineStr">
        <is>
          <t>Q오피스</t>
        </is>
      </c>
      <c r="M1950" s="9">
        <f>IF($A1950="","",VALUE($A1950&amp;"")*12+VALUE($B1950&amp;""))</f>
        <v/>
      </c>
      <c r="N1950" s="39">
        <f>IF($A1950="","",IFERROR(INDEX(부서매핑!$C$5:$C$504,MATCH($G1950&amp;"",부서매핑!$A$5:$A$504,0)),"미매핑"))</f>
        <v/>
      </c>
      <c r="O1950" s="9">
        <f>IF($A1950="","",N1950&amp;"|"&amp;$F1950)</f>
        <v/>
      </c>
      <c r="P1950" s="77">
        <f>IF($A1950="",0,$H1950*설정!$C$23)</f>
        <v/>
      </c>
      <c r="Q1950" s="39">
        <f>IF($A1950="","",IF(O1950&lt;&gt;원인분석!$C$9,"",IF(AND(M1950&gt;=원인분석!$C$10,M1950&lt;=원인분석!$C$11),"당기",IF(AND(M1950&gt;=원인분석!$C$12,M1950&lt;=원인분석!$C$13),"비교",""))))</f>
        <v/>
      </c>
      <c r="R1950" s="9">
        <f>IF(Q1950="","",$K1950&amp;"")</f>
        <v/>
      </c>
      <c r="S1950" s="9">
        <f>IF(Q1950="","",IF(MATCH(R1950,$R$5:$R$100000,0)=ROW()-4,ROW(),""))</f>
        <v/>
      </c>
      <c r="T1950" s="9">
        <f>IF(Q1950="당기",ABS(P1950)+ROW()/1000000000,"")</f>
        <v/>
      </c>
      <c r="U1950" s="9">
        <f>IF(Q1950="비교",ABS(P1950)+ROW()/1000000000,"")</f>
        <v/>
      </c>
      <c r="V1950" s="39">
        <f>IF($A1950="","",IF(COUNTIF(변동분석!$E$7:$E$506,O1950)&gt;0,"Y","N"))</f>
        <v/>
      </c>
      <c r="W1950" s="39">
        <f>IF($A1950="","",IFERROR(INDEX(계정매핑!$D$5:$D$504,MATCH($F1950&amp;"",계정매핑!$A$5:$A$504,0)),"미매핑"))</f>
        <v/>
      </c>
      <c r="X1950" s="9">
        <f>IF($A1950="","",$F1950&amp;"")</f>
        <v/>
      </c>
    </row>
    <row r="1951">
      <c r="A1951" s="75" t="n">
        <v>2025</v>
      </c>
      <c r="B1951" s="75" t="n">
        <v>10</v>
      </c>
      <c r="C1951" s="75" t="inlineStr">
        <is>
          <t>5100001947</t>
        </is>
      </c>
      <c r="D1951" s="78" t="n">
        <v>45957</v>
      </c>
      <c r="E1951" s="75" t="inlineStr">
        <is>
          <t>KR</t>
        </is>
      </c>
      <c r="F1951" s="75" t="n">
        <v>62301000</v>
      </c>
      <c r="G1951" s="75" t="n">
        <v>1801</v>
      </c>
      <c r="H1951" s="76" t="n">
        <v>550000</v>
      </c>
      <c r="I1951" s="75" t="inlineStr">
        <is>
          <t>10월 소모품 구입 - R문구</t>
        </is>
      </c>
      <c r="J1951" s="75" t="inlineStr">
        <is>
          <t>V10018</t>
        </is>
      </c>
      <c r="K1951" s="75" t="inlineStr">
        <is>
          <t>R문구</t>
        </is>
      </c>
      <c r="M1951" s="9">
        <f>IF($A1951="","",VALUE($A1951&amp;"")*12+VALUE($B1951&amp;""))</f>
        <v/>
      </c>
      <c r="N1951" s="39">
        <f>IF($A1951="","",IFERROR(INDEX(부서매핑!$C$5:$C$504,MATCH($G1951&amp;"",부서매핑!$A$5:$A$504,0)),"미매핑"))</f>
        <v/>
      </c>
      <c r="O1951" s="9">
        <f>IF($A1951="","",N1951&amp;"|"&amp;$F1951)</f>
        <v/>
      </c>
      <c r="P1951" s="77">
        <f>IF($A1951="",0,$H1951*설정!$C$23)</f>
        <v/>
      </c>
      <c r="Q1951" s="39">
        <f>IF($A1951="","",IF(O1951&lt;&gt;원인분석!$C$9,"",IF(AND(M1951&gt;=원인분석!$C$10,M1951&lt;=원인분석!$C$11),"당기",IF(AND(M1951&gt;=원인분석!$C$12,M1951&lt;=원인분석!$C$13),"비교",""))))</f>
        <v/>
      </c>
      <c r="R1951" s="9">
        <f>IF(Q1951="","",$K1951&amp;"")</f>
        <v/>
      </c>
      <c r="S1951" s="9">
        <f>IF(Q1951="","",IF(MATCH(R1951,$R$5:$R$100000,0)=ROW()-4,ROW(),""))</f>
        <v/>
      </c>
      <c r="T1951" s="9">
        <f>IF(Q1951="당기",ABS(P1951)+ROW()/1000000000,"")</f>
        <v/>
      </c>
      <c r="U1951" s="9">
        <f>IF(Q1951="비교",ABS(P1951)+ROW()/1000000000,"")</f>
        <v/>
      </c>
      <c r="V1951" s="39">
        <f>IF($A1951="","",IF(COUNTIF(변동분석!$E$7:$E$506,O1951)&gt;0,"Y","N"))</f>
        <v/>
      </c>
      <c r="W1951" s="39">
        <f>IF($A1951="","",IFERROR(INDEX(계정매핑!$D$5:$D$504,MATCH($F1951&amp;"",계정매핑!$A$5:$A$504,0)),"미매핑"))</f>
        <v/>
      </c>
      <c r="X1951" s="9">
        <f>IF($A1951="","",$F1951&amp;"")</f>
        <v/>
      </c>
    </row>
    <row r="1952">
      <c r="A1952" s="75" t="n">
        <v>2025</v>
      </c>
      <c r="B1952" s="75" t="n">
        <v>10</v>
      </c>
      <c r="C1952" s="75" t="inlineStr">
        <is>
          <t>5100001948</t>
        </is>
      </c>
      <c r="D1952" s="78" t="n">
        <v>45957</v>
      </c>
      <c r="E1952" s="75" t="inlineStr">
        <is>
          <t>KR</t>
        </is>
      </c>
      <c r="F1952" s="75" t="n">
        <v>62401000</v>
      </c>
      <c r="G1952" s="75" t="n">
        <v>1501</v>
      </c>
      <c r="H1952" s="76" t="n">
        <v>1305000</v>
      </c>
      <c r="I1952" s="75" t="inlineStr">
        <is>
          <t>10월 인쇄물 제작 - S출판</t>
        </is>
      </c>
      <c r="J1952" s="75" t="inlineStr">
        <is>
          <t>V10012</t>
        </is>
      </c>
      <c r="K1952" s="75" t="inlineStr">
        <is>
          <t>S출판</t>
        </is>
      </c>
      <c r="M1952" s="9">
        <f>IF($A1952="","",VALUE($A1952&amp;"")*12+VALUE($B1952&amp;""))</f>
        <v/>
      </c>
      <c r="N1952" s="39">
        <f>IF($A1952="","",IFERROR(INDEX(부서매핑!$C$5:$C$504,MATCH($G1952&amp;"",부서매핑!$A$5:$A$504,0)),"미매핑"))</f>
        <v/>
      </c>
      <c r="O1952" s="9">
        <f>IF($A1952="","",N1952&amp;"|"&amp;$F1952)</f>
        <v/>
      </c>
      <c r="P1952" s="77">
        <f>IF($A1952="",0,$H1952*설정!$C$23)</f>
        <v/>
      </c>
      <c r="Q1952" s="39">
        <f>IF($A1952="","",IF(O1952&lt;&gt;원인분석!$C$9,"",IF(AND(M1952&gt;=원인분석!$C$10,M1952&lt;=원인분석!$C$11),"당기",IF(AND(M1952&gt;=원인분석!$C$12,M1952&lt;=원인분석!$C$13),"비교",""))))</f>
        <v/>
      </c>
      <c r="R1952" s="9">
        <f>IF(Q1952="","",$K1952&amp;"")</f>
        <v/>
      </c>
      <c r="S1952" s="9">
        <f>IF(Q1952="","",IF(MATCH(R1952,$R$5:$R$100000,0)=ROW()-4,ROW(),""))</f>
        <v/>
      </c>
      <c r="T1952" s="9">
        <f>IF(Q1952="당기",ABS(P1952)+ROW()/1000000000,"")</f>
        <v/>
      </c>
      <c r="U1952" s="9">
        <f>IF(Q1952="비교",ABS(P1952)+ROW()/1000000000,"")</f>
        <v/>
      </c>
      <c r="V1952" s="39">
        <f>IF($A1952="","",IF(COUNTIF(변동분석!$E$7:$E$506,O1952)&gt;0,"Y","N"))</f>
        <v/>
      </c>
      <c r="W1952" s="39">
        <f>IF($A1952="","",IFERROR(INDEX(계정매핑!$D$5:$D$504,MATCH($F1952&amp;"",계정매핑!$A$5:$A$504,0)),"미매핑"))</f>
        <v/>
      </c>
      <c r="X1952" s="9">
        <f>IF($A1952="","",$F1952&amp;"")</f>
        <v/>
      </c>
    </row>
    <row r="1953">
      <c r="A1953" s="75" t="n">
        <v>2025</v>
      </c>
      <c r="B1953" s="75" t="n">
        <v>10</v>
      </c>
      <c r="C1953" s="75" t="inlineStr">
        <is>
          <t>5100001949</t>
        </is>
      </c>
      <c r="D1953" s="78" t="n">
        <v>45957</v>
      </c>
      <c r="E1953" s="75" t="inlineStr">
        <is>
          <t>KR</t>
        </is>
      </c>
      <c r="F1953" s="75" t="n">
        <v>62902000</v>
      </c>
      <c r="G1953" s="75" t="n">
        <v>1101</v>
      </c>
      <c r="H1953" s="76" t="n">
        <v>1399000</v>
      </c>
      <c r="I1953" s="75" t="inlineStr">
        <is>
          <t>10월 업무 위탁 수수료 - X서비스</t>
        </is>
      </c>
      <c r="J1953" s="75" t="inlineStr">
        <is>
          <t>V10016</t>
        </is>
      </c>
      <c r="K1953" s="75" t="inlineStr">
        <is>
          <t>X서비스</t>
        </is>
      </c>
      <c r="M1953" s="9">
        <f>IF($A1953="","",VALUE($A1953&amp;"")*12+VALUE($B1953&amp;""))</f>
        <v/>
      </c>
      <c r="N1953" s="39">
        <f>IF($A1953="","",IFERROR(INDEX(부서매핑!$C$5:$C$504,MATCH($G1953&amp;"",부서매핑!$A$5:$A$504,0)),"미매핑"))</f>
        <v/>
      </c>
      <c r="O1953" s="9">
        <f>IF($A1953="","",N1953&amp;"|"&amp;$F1953)</f>
        <v/>
      </c>
      <c r="P1953" s="77">
        <f>IF($A1953="",0,$H1953*설정!$C$23)</f>
        <v/>
      </c>
      <c r="Q1953" s="39">
        <f>IF($A1953="","",IF(O1953&lt;&gt;원인분석!$C$9,"",IF(AND(M1953&gt;=원인분석!$C$10,M1953&lt;=원인분석!$C$11),"당기",IF(AND(M1953&gt;=원인분석!$C$12,M1953&lt;=원인분석!$C$13),"비교",""))))</f>
        <v/>
      </c>
      <c r="R1953" s="9">
        <f>IF(Q1953="","",$K1953&amp;"")</f>
        <v/>
      </c>
      <c r="S1953" s="9">
        <f>IF(Q1953="","",IF(MATCH(R1953,$R$5:$R$100000,0)=ROW()-4,ROW(),""))</f>
        <v/>
      </c>
      <c r="T1953" s="9">
        <f>IF(Q1953="당기",ABS(P1953)+ROW()/1000000000,"")</f>
        <v/>
      </c>
      <c r="U1953" s="9">
        <f>IF(Q1953="비교",ABS(P1953)+ROW()/1000000000,"")</f>
        <v/>
      </c>
      <c r="V1953" s="39">
        <f>IF($A1953="","",IF(COUNTIF(변동분석!$E$7:$E$506,O1953)&gt;0,"Y","N"))</f>
        <v/>
      </c>
      <c r="W1953" s="39">
        <f>IF($A1953="","",IFERROR(INDEX(계정매핑!$D$5:$D$504,MATCH($F1953&amp;"",계정매핑!$A$5:$A$504,0)),"미매핑"))</f>
        <v/>
      </c>
      <c r="X1953" s="9">
        <f>IF($A1953="","",$F1953&amp;"")</f>
        <v/>
      </c>
    </row>
    <row r="1954">
      <c r="A1954" s="75" t="n">
        <v>2025</v>
      </c>
      <c r="B1954" s="75" t="n">
        <v>11</v>
      </c>
      <c r="C1954" s="75" t="inlineStr">
        <is>
          <t>5100001950</t>
        </is>
      </c>
      <c r="D1954" s="78" t="n">
        <v>45963</v>
      </c>
      <c r="E1954" s="75" t="inlineStr">
        <is>
          <t>KR</t>
        </is>
      </c>
      <c r="F1954" s="75" t="n">
        <v>62101000</v>
      </c>
      <c r="G1954" s="75" t="n">
        <v>1401</v>
      </c>
      <c r="H1954" s="76" t="n">
        <v>381000</v>
      </c>
      <c r="I1954" s="75" t="inlineStr">
        <is>
          <t>11월 국내출장 - L여행사</t>
        </is>
      </c>
      <c r="J1954" s="75" t="inlineStr">
        <is>
          <t>V10014</t>
        </is>
      </c>
      <c r="K1954" s="75" t="inlineStr">
        <is>
          <t>L여행사</t>
        </is>
      </c>
      <c r="M1954" s="9">
        <f>IF($A1954="","",VALUE($A1954&amp;"")*12+VALUE($B1954&amp;""))</f>
        <v/>
      </c>
      <c r="N1954" s="39">
        <f>IF($A1954="","",IFERROR(INDEX(부서매핑!$C$5:$C$504,MATCH($G1954&amp;"",부서매핑!$A$5:$A$504,0)),"미매핑"))</f>
        <v/>
      </c>
      <c r="O1954" s="9">
        <f>IF($A1954="","",N1954&amp;"|"&amp;$F1954)</f>
        <v/>
      </c>
      <c r="P1954" s="77">
        <f>IF($A1954="",0,$H1954*설정!$C$23)</f>
        <v/>
      </c>
      <c r="Q1954" s="39">
        <f>IF($A1954="","",IF(O1954&lt;&gt;원인분석!$C$9,"",IF(AND(M1954&gt;=원인분석!$C$10,M1954&lt;=원인분석!$C$11),"당기",IF(AND(M1954&gt;=원인분석!$C$12,M1954&lt;=원인분석!$C$13),"비교",""))))</f>
        <v/>
      </c>
      <c r="R1954" s="9">
        <f>IF(Q1954="","",$K1954&amp;"")</f>
        <v/>
      </c>
      <c r="S1954" s="9">
        <f>IF(Q1954="","",IF(MATCH(R1954,$R$5:$R$100000,0)=ROW()-4,ROW(),""))</f>
        <v/>
      </c>
      <c r="T1954" s="9">
        <f>IF(Q1954="당기",ABS(P1954)+ROW()/1000000000,"")</f>
        <v/>
      </c>
      <c r="U1954" s="9">
        <f>IF(Q1954="비교",ABS(P1954)+ROW()/1000000000,"")</f>
        <v/>
      </c>
      <c r="V1954" s="39">
        <f>IF($A1954="","",IF(COUNTIF(변동분석!$E$7:$E$506,O1954)&gt;0,"Y","N"))</f>
        <v/>
      </c>
      <c r="W1954" s="39">
        <f>IF($A1954="","",IFERROR(INDEX(계정매핑!$D$5:$D$504,MATCH($F1954&amp;"",계정매핑!$A$5:$A$504,0)),"미매핑"))</f>
        <v/>
      </c>
      <c r="X1954" s="9">
        <f>IF($A1954="","",$F1954&amp;"")</f>
        <v/>
      </c>
    </row>
    <row r="1955">
      <c r="A1955" s="75" t="n">
        <v>2025</v>
      </c>
      <c r="B1955" s="75" t="n">
        <v>11</v>
      </c>
      <c r="C1955" s="75" t="inlineStr">
        <is>
          <t>5100001951</t>
        </is>
      </c>
      <c r="D1955" s="78" t="n">
        <v>45963</v>
      </c>
      <c r="E1955" s="75" t="inlineStr">
        <is>
          <t>KR</t>
        </is>
      </c>
      <c r="F1955" s="75" t="n">
        <v>62401000</v>
      </c>
      <c r="G1955" s="75" t="n">
        <v>1801</v>
      </c>
      <c r="H1955" s="76" t="n">
        <v>2087000</v>
      </c>
      <c r="I1955" s="75" t="inlineStr">
        <is>
          <t>11월 인쇄물 제작 - S출판</t>
        </is>
      </c>
      <c r="J1955" s="75" t="inlineStr">
        <is>
          <t>V10012</t>
        </is>
      </c>
      <c r="K1955" s="75" t="inlineStr">
        <is>
          <t>S출판</t>
        </is>
      </c>
      <c r="M1955" s="9">
        <f>IF($A1955="","",VALUE($A1955&amp;"")*12+VALUE($B1955&amp;""))</f>
        <v/>
      </c>
      <c r="N1955" s="39">
        <f>IF($A1955="","",IFERROR(INDEX(부서매핑!$C$5:$C$504,MATCH($G1955&amp;"",부서매핑!$A$5:$A$504,0)),"미매핑"))</f>
        <v/>
      </c>
      <c r="O1955" s="9">
        <f>IF($A1955="","",N1955&amp;"|"&amp;$F1955)</f>
        <v/>
      </c>
      <c r="P1955" s="77">
        <f>IF($A1955="",0,$H1955*설정!$C$23)</f>
        <v/>
      </c>
      <c r="Q1955" s="39">
        <f>IF($A1955="","",IF(O1955&lt;&gt;원인분석!$C$9,"",IF(AND(M1955&gt;=원인분석!$C$10,M1955&lt;=원인분석!$C$11),"당기",IF(AND(M1955&gt;=원인분석!$C$12,M1955&lt;=원인분석!$C$13),"비교",""))))</f>
        <v/>
      </c>
      <c r="R1955" s="9">
        <f>IF(Q1955="","",$K1955&amp;"")</f>
        <v/>
      </c>
      <c r="S1955" s="9">
        <f>IF(Q1955="","",IF(MATCH(R1955,$R$5:$R$100000,0)=ROW()-4,ROW(),""))</f>
        <v/>
      </c>
      <c r="T1955" s="9">
        <f>IF(Q1955="당기",ABS(P1955)+ROW()/1000000000,"")</f>
        <v/>
      </c>
      <c r="U1955" s="9">
        <f>IF(Q1955="비교",ABS(P1955)+ROW()/1000000000,"")</f>
        <v/>
      </c>
      <c r="V1955" s="39">
        <f>IF($A1955="","",IF(COUNTIF(변동분석!$E$7:$E$506,O1955)&gt;0,"Y","N"))</f>
        <v/>
      </c>
      <c r="W1955" s="39">
        <f>IF($A1955="","",IFERROR(INDEX(계정매핑!$D$5:$D$504,MATCH($F1955&amp;"",계정매핑!$A$5:$A$504,0)),"미매핑"))</f>
        <v/>
      </c>
      <c r="X1955" s="9">
        <f>IF($A1955="","",$F1955&amp;"")</f>
        <v/>
      </c>
    </row>
    <row r="1956">
      <c r="A1956" s="75" t="n">
        <v>2025</v>
      </c>
      <c r="B1956" s="75" t="n">
        <v>11</v>
      </c>
      <c r="C1956" s="75" t="inlineStr">
        <is>
          <t>5100001952</t>
        </is>
      </c>
      <c r="D1956" s="78" t="n">
        <v>45963</v>
      </c>
      <c r="E1956" s="75" t="inlineStr">
        <is>
          <t>KR</t>
        </is>
      </c>
      <c r="F1956" s="75" t="n">
        <v>62902000</v>
      </c>
      <c r="G1956" s="75" t="n">
        <v>1801</v>
      </c>
      <c r="H1956" s="76" t="n">
        <v>1809000</v>
      </c>
      <c r="I1956" s="75" t="inlineStr">
        <is>
          <t>11월 콜 위탁 수수료(건별)</t>
        </is>
      </c>
      <c r="J1956" s="75" t="inlineStr">
        <is>
          <t>V10013</t>
        </is>
      </c>
      <c r="K1956" s="75" t="inlineStr">
        <is>
          <t>J콜센터</t>
        </is>
      </c>
      <c r="M1956" s="9">
        <f>IF($A1956="","",VALUE($A1956&amp;"")*12+VALUE($B1956&amp;""))</f>
        <v/>
      </c>
      <c r="N1956" s="39">
        <f>IF($A1956="","",IFERROR(INDEX(부서매핑!$C$5:$C$504,MATCH($G1956&amp;"",부서매핑!$A$5:$A$504,0)),"미매핑"))</f>
        <v/>
      </c>
      <c r="O1956" s="9">
        <f>IF($A1956="","",N1956&amp;"|"&amp;$F1956)</f>
        <v/>
      </c>
      <c r="P1956" s="77">
        <f>IF($A1956="",0,$H1956*설정!$C$23)</f>
        <v/>
      </c>
      <c r="Q1956" s="39">
        <f>IF($A1956="","",IF(O1956&lt;&gt;원인분석!$C$9,"",IF(AND(M1956&gt;=원인분석!$C$10,M1956&lt;=원인분석!$C$11),"당기",IF(AND(M1956&gt;=원인분석!$C$12,M1956&lt;=원인분석!$C$13),"비교",""))))</f>
        <v/>
      </c>
      <c r="R1956" s="9">
        <f>IF(Q1956="","",$K1956&amp;"")</f>
        <v/>
      </c>
      <c r="S1956" s="9">
        <f>IF(Q1956="","",IF(MATCH(R1956,$R$5:$R$100000,0)=ROW()-4,ROW(),""))</f>
        <v/>
      </c>
      <c r="T1956" s="9">
        <f>IF(Q1956="당기",ABS(P1956)+ROW()/1000000000,"")</f>
        <v/>
      </c>
      <c r="U1956" s="9">
        <f>IF(Q1956="비교",ABS(P1956)+ROW()/1000000000,"")</f>
        <v/>
      </c>
      <c r="V1956" s="39">
        <f>IF($A1956="","",IF(COUNTIF(변동분석!$E$7:$E$506,O1956)&gt;0,"Y","N"))</f>
        <v/>
      </c>
      <c r="W1956" s="39">
        <f>IF($A1956="","",IFERROR(INDEX(계정매핑!$D$5:$D$504,MATCH($F1956&amp;"",계정매핑!$A$5:$A$504,0)),"미매핑"))</f>
        <v/>
      </c>
      <c r="X1956" s="9">
        <f>IF($A1956="","",$F1956&amp;"")</f>
        <v/>
      </c>
    </row>
    <row r="1957">
      <c r="A1957" s="75" t="n">
        <v>2025</v>
      </c>
      <c r="B1957" s="75" t="n">
        <v>11</v>
      </c>
      <c r="C1957" s="75" t="inlineStr">
        <is>
          <t>5100001953</t>
        </is>
      </c>
      <c r="D1957" s="78" t="n">
        <v>45964</v>
      </c>
      <c r="E1957" s="75" t="inlineStr">
        <is>
          <t>KR</t>
        </is>
      </c>
      <c r="F1957" s="75" t="n">
        <v>62101000</v>
      </c>
      <c r="G1957" s="75" t="n">
        <v>1101</v>
      </c>
      <c r="H1957" s="76" t="n">
        <v>418000</v>
      </c>
      <c r="I1957" s="75" t="inlineStr">
        <is>
          <t>11월 국내출장 - L여행사</t>
        </is>
      </c>
      <c r="J1957" s="75" t="inlineStr">
        <is>
          <t>V10014</t>
        </is>
      </c>
      <c r="K1957" s="75" t="inlineStr">
        <is>
          <t>L여행사</t>
        </is>
      </c>
      <c r="M1957" s="9">
        <f>IF($A1957="","",VALUE($A1957&amp;"")*12+VALUE($B1957&amp;""))</f>
        <v/>
      </c>
      <c r="N1957" s="39">
        <f>IF($A1957="","",IFERROR(INDEX(부서매핑!$C$5:$C$504,MATCH($G1957&amp;"",부서매핑!$A$5:$A$504,0)),"미매핑"))</f>
        <v/>
      </c>
      <c r="O1957" s="9">
        <f>IF($A1957="","",N1957&amp;"|"&amp;$F1957)</f>
        <v/>
      </c>
      <c r="P1957" s="77">
        <f>IF($A1957="",0,$H1957*설정!$C$23)</f>
        <v/>
      </c>
      <c r="Q1957" s="39">
        <f>IF($A1957="","",IF(O1957&lt;&gt;원인분석!$C$9,"",IF(AND(M1957&gt;=원인분석!$C$10,M1957&lt;=원인분석!$C$11),"당기",IF(AND(M1957&gt;=원인분석!$C$12,M1957&lt;=원인분석!$C$13),"비교",""))))</f>
        <v/>
      </c>
      <c r="R1957" s="9">
        <f>IF(Q1957="","",$K1957&amp;"")</f>
        <v/>
      </c>
      <c r="S1957" s="9">
        <f>IF(Q1957="","",IF(MATCH(R1957,$R$5:$R$100000,0)=ROW()-4,ROW(),""))</f>
        <v/>
      </c>
      <c r="T1957" s="9">
        <f>IF(Q1957="당기",ABS(P1957)+ROW()/1000000000,"")</f>
        <v/>
      </c>
      <c r="U1957" s="9">
        <f>IF(Q1957="비교",ABS(P1957)+ROW()/1000000000,"")</f>
        <v/>
      </c>
      <c r="V1957" s="39">
        <f>IF($A1957="","",IF(COUNTIF(변동분석!$E$7:$E$506,O1957)&gt;0,"Y","N"))</f>
        <v/>
      </c>
      <c r="W1957" s="39">
        <f>IF($A1957="","",IFERROR(INDEX(계정매핑!$D$5:$D$504,MATCH($F1957&amp;"",계정매핑!$A$5:$A$504,0)),"미매핑"))</f>
        <v/>
      </c>
      <c r="X1957" s="9">
        <f>IF($A1957="","",$F1957&amp;"")</f>
        <v/>
      </c>
    </row>
    <row r="1958">
      <c r="A1958" s="75" t="n">
        <v>2025</v>
      </c>
      <c r="B1958" s="75" t="n">
        <v>11</v>
      </c>
      <c r="C1958" s="75" t="inlineStr">
        <is>
          <t>5100001954</t>
        </is>
      </c>
      <c r="D1958" s="78" t="n">
        <v>45964</v>
      </c>
      <c r="E1958" s="75" t="inlineStr">
        <is>
          <t>KR</t>
        </is>
      </c>
      <c r="F1958" s="75" t="n">
        <v>62102000</v>
      </c>
      <c r="G1958" s="75" t="n">
        <v>1301</v>
      </c>
      <c r="H1958" s="76" t="n">
        <v>91000</v>
      </c>
      <c r="I1958" s="75" t="inlineStr">
        <is>
          <t>11월 해외출장 - N호텔</t>
        </is>
      </c>
      <c r="J1958" s="75" t="inlineStr">
        <is>
          <t>V10007</t>
        </is>
      </c>
      <c r="K1958" s="75" t="inlineStr">
        <is>
          <t>N호텔</t>
        </is>
      </c>
      <c r="M1958" s="9">
        <f>IF($A1958="","",VALUE($A1958&amp;"")*12+VALUE($B1958&amp;""))</f>
        <v/>
      </c>
      <c r="N1958" s="39">
        <f>IF($A1958="","",IFERROR(INDEX(부서매핑!$C$5:$C$504,MATCH($G1958&amp;"",부서매핑!$A$5:$A$504,0)),"미매핑"))</f>
        <v/>
      </c>
      <c r="O1958" s="9">
        <f>IF($A1958="","",N1958&amp;"|"&amp;$F1958)</f>
        <v/>
      </c>
      <c r="P1958" s="77">
        <f>IF($A1958="",0,$H1958*설정!$C$23)</f>
        <v/>
      </c>
      <c r="Q1958" s="39">
        <f>IF($A1958="","",IF(O1958&lt;&gt;원인분석!$C$9,"",IF(AND(M1958&gt;=원인분석!$C$10,M1958&lt;=원인분석!$C$11),"당기",IF(AND(M1958&gt;=원인분석!$C$12,M1958&lt;=원인분석!$C$13),"비교",""))))</f>
        <v/>
      </c>
      <c r="R1958" s="9">
        <f>IF(Q1958="","",$K1958&amp;"")</f>
        <v/>
      </c>
      <c r="S1958" s="9">
        <f>IF(Q1958="","",IF(MATCH(R1958,$R$5:$R$100000,0)=ROW()-4,ROW(),""))</f>
        <v/>
      </c>
      <c r="T1958" s="9">
        <f>IF(Q1958="당기",ABS(P1958)+ROW()/1000000000,"")</f>
        <v/>
      </c>
      <c r="U1958" s="9">
        <f>IF(Q1958="비교",ABS(P1958)+ROW()/1000000000,"")</f>
        <v/>
      </c>
      <c r="V1958" s="39">
        <f>IF($A1958="","",IF(COUNTIF(변동분석!$E$7:$E$506,O1958)&gt;0,"Y","N"))</f>
        <v/>
      </c>
      <c r="W1958" s="39">
        <f>IF($A1958="","",IFERROR(INDEX(계정매핑!$D$5:$D$504,MATCH($F1958&amp;"",계정매핑!$A$5:$A$504,0)),"미매핑"))</f>
        <v/>
      </c>
      <c r="X1958" s="9">
        <f>IF($A1958="","",$F1958&amp;"")</f>
        <v/>
      </c>
    </row>
    <row r="1959">
      <c r="A1959" s="75" t="n">
        <v>2025</v>
      </c>
      <c r="B1959" s="75" t="n">
        <v>11</v>
      </c>
      <c r="C1959" s="75" t="inlineStr">
        <is>
          <t>5100001955</t>
        </is>
      </c>
      <c r="D1959" s="78" t="n">
        <v>45964</v>
      </c>
      <c r="E1959" s="75" t="inlineStr">
        <is>
          <t>KR</t>
        </is>
      </c>
      <c r="F1959" s="75" t="n">
        <v>62401000</v>
      </c>
      <c r="G1959" s="75" t="n">
        <v>1801</v>
      </c>
      <c r="H1959" s="76" t="n">
        <v>1653000</v>
      </c>
      <c r="I1959" s="75" t="inlineStr">
        <is>
          <t>11월 인쇄물 제작 - G인쇄</t>
        </is>
      </c>
      <c r="J1959" s="75" t="inlineStr">
        <is>
          <t>V10004</t>
        </is>
      </c>
      <c r="K1959" s="75" t="inlineStr">
        <is>
          <t>G인쇄</t>
        </is>
      </c>
      <c r="M1959" s="9">
        <f>IF($A1959="","",VALUE($A1959&amp;"")*12+VALUE($B1959&amp;""))</f>
        <v/>
      </c>
      <c r="N1959" s="39">
        <f>IF($A1959="","",IFERROR(INDEX(부서매핑!$C$5:$C$504,MATCH($G1959&amp;"",부서매핑!$A$5:$A$504,0)),"미매핑"))</f>
        <v/>
      </c>
      <c r="O1959" s="9">
        <f>IF($A1959="","",N1959&amp;"|"&amp;$F1959)</f>
        <v/>
      </c>
      <c r="P1959" s="77">
        <f>IF($A1959="",0,$H1959*설정!$C$23)</f>
        <v/>
      </c>
      <c r="Q1959" s="39">
        <f>IF($A1959="","",IF(O1959&lt;&gt;원인분석!$C$9,"",IF(AND(M1959&gt;=원인분석!$C$10,M1959&lt;=원인분석!$C$11),"당기",IF(AND(M1959&gt;=원인분석!$C$12,M1959&lt;=원인분석!$C$13),"비교",""))))</f>
        <v/>
      </c>
      <c r="R1959" s="9">
        <f>IF(Q1959="","",$K1959&amp;"")</f>
        <v/>
      </c>
      <c r="S1959" s="9">
        <f>IF(Q1959="","",IF(MATCH(R1959,$R$5:$R$100000,0)=ROW()-4,ROW(),""))</f>
        <v/>
      </c>
      <c r="T1959" s="9">
        <f>IF(Q1959="당기",ABS(P1959)+ROW()/1000000000,"")</f>
        <v/>
      </c>
      <c r="U1959" s="9">
        <f>IF(Q1959="비교",ABS(P1959)+ROW()/1000000000,"")</f>
        <v/>
      </c>
      <c r="V1959" s="39">
        <f>IF($A1959="","",IF(COUNTIF(변동분석!$E$7:$E$506,O1959)&gt;0,"Y","N"))</f>
        <v/>
      </c>
      <c r="W1959" s="39">
        <f>IF($A1959="","",IFERROR(INDEX(계정매핑!$D$5:$D$504,MATCH($F1959&amp;"",계정매핑!$A$5:$A$504,0)),"미매핑"))</f>
        <v/>
      </c>
      <c r="X1959" s="9">
        <f>IF($A1959="","",$F1959&amp;"")</f>
        <v/>
      </c>
    </row>
    <row r="1960">
      <c r="A1960" s="75" t="n">
        <v>2025</v>
      </c>
      <c r="B1960" s="75" t="n">
        <v>11</v>
      </c>
      <c r="C1960" s="75" t="inlineStr">
        <is>
          <t>5100001956</t>
        </is>
      </c>
      <c r="D1960" s="78" t="n">
        <v>45964</v>
      </c>
      <c r="E1960" s="75" t="inlineStr">
        <is>
          <t>KR</t>
        </is>
      </c>
      <c r="F1960" s="75" t="n">
        <v>62701000</v>
      </c>
      <c r="G1960" s="75" t="n">
        <v>1502</v>
      </c>
      <c r="H1960" s="76" t="n">
        <v>76199000</v>
      </c>
      <c r="I1960" s="75" t="inlineStr">
        <is>
          <t>11월 광고 집행 - E미디어</t>
        </is>
      </c>
      <c r="J1960" s="75" t="inlineStr">
        <is>
          <t>V10027</t>
        </is>
      </c>
      <c r="K1960" s="75" t="inlineStr">
        <is>
          <t>E미디어</t>
        </is>
      </c>
      <c r="M1960" s="9">
        <f>IF($A1960="","",VALUE($A1960&amp;"")*12+VALUE($B1960&amp;""))</f>
        <v/>
      </c>
      <c r="N1960" s="39">
        <f>IF($A1960="","",IFERROR(INDEX(부서매핑!$C$5:$C$504,MATCH($G1960&amp;"",부서매핑!$A$5:$A$504,0)),"미매핑"))</f>
        <v/>
      </c>
      <c r="O1960" s="9">
        <f>IF($A1960="","",N1960&amp;"|"&amp;$F1960)</f>
        <v/>
      </c>
      <c r="P1960" s="77">
        <f>IF($A1960="",0,$H1960*설정!$C$23)</f>
        <v/>
      </c>
      <c r="Q1960" s="39">
        <f>IF($A1960="","",IF(O1960&lt;&gt;원인분석!$C$9,"",IF(AND(M1960&gt;=원인분석!$C$10,M1960&lt;=원인분석!$C$11),"당기",IF(AND(M1960&gt;=원인분석!$C$12,M1960&lt;=원인분석!$C$13),"비교",""))))</f>
        <v/>
      </c>
      <c r="R1960" s="9">
        <f>IF(Q1960="","",$K1960&amp;"")</f>
        <v/>
      </c>
      <c r="S1960" s="9">
        <f>IF(Q1960="","",IF(MATCH(R1960,$R$5:$R$100000,0)=ROW()-4,ROW(),""))</f>
        <v/>
      </c>
      <c r="T1960" s="9">
        <f>IF(Q1960="당기",ABS(P1960)+ROW()/1000000000,"")</f>
        <v/>
      </c>
      <c r="U1960" s="9">
        <f>IF(Q1960="비교",ABS(P1960)+ROW()/1000000000,"")</f>
        <v/>
      </c>
      <c r="V1960" s="39">
        <f>IF($A1960="","",IF(COUNTIF(변동분석!$E$7:$E$506,O1960)&gt;0,"Y","N"))</f>
        <v/>
      </c>
      <c r="W1960" s="39">
        <f>IF($A1960="","",IFERROR(INDEX(계정매핑!$D$5:$D$504,MATCH($F1960&amp;"",계정매핑!$A$5:$A$504,0)),"미매핑"))</f>
        <v/>
      </c>
      <c r="X1960" s="9">
        <f>IF($A1960="","",$F1960&amp;"")</f>
        <v/>
      </c>
    </row>
    <row r="1961">
      <c r="A1961" s="75" t="n">
        <v>2025</v>
      </c>
      <c r="B1961" s="75" t="n">
        <v>11</v>
      </c>
      <c r="C1961" s="75" t="inlineStr">
        <is>
          <t>5100001957</t>
        </is>
      </c>
      <c r="D1961" s="78" t="n">
        <v>45965</v>
      </c>
      <c r="E1961" s="75" t="inlineStr">
        <is>
          <t>KR</t>
        </is>
      </c>
      <c r="F1961" s="75" t="n">
        <v>62101000</v>
      </c>
      <c r="G1961" s="75" t="n">
        <v>1101</v>
      </c>
      <c r="H1961" s="76" t="n">
        <v>382000</v>
      </c>
      <c r="I1961" s="75" t="inlineStr">
        <is>
          <t>11월 국내출장 - M항공</t>
        </is>
      </c>
      <c r="J1961" s="75" t="inlineStr">
        <is>
          <t>V10001</t>
        </is>
      </c>
      <c r="K1961" s="75" t="inlineStr">
        <is>
          <t>M항공</t>
        </is>
      </c>
      <c r="M1961" s="9">
        <f>IF($A1961="","",VALUE($A1961&amp;"")*12+VALUE($B1961&amp;""))</f>
        <v/>
      </c>
      <c r="N1961" s="39">
        <f>IF($A1961="","",IFERROR(INDEX(부서매핑!$C$5:$C$504,MATCH($G1961&amp;"",부서매핑!$A$5:$A$504,0)),"미매핑"))</f>
        <v/>
      </c>
      <c r="O1961" s="9">
        <f>IF($A1961="","",N1961&amp;"|"&amp;$F1961)</f>
        <v/>
      </c>
      <c r="P1961" s="77">
        <f>IF($A1961="",0,$H1961*설정!$C$23)</f>
        <v/>
      </c>
      <c r="Q1961" s="39">
        <f>IF($A1961="","",IF(O1961&lt;&gt;원인분석!$C$9,"",IF(AND(M1961&gt;=원인분석!$C$10,M1961&lt;=원인분석!$C$11),"당기",IF(AND(M1961&gt;=원인분석!$C$12,M1961&lt;=원인분석!$C$13),"비교",""))))</f>
        <v/>
      </c>
      <c r="R1961" s="9">
        <f>IF(Q1961="","",$K1961&amp;"")</f>
        <v/>
      </c>
      <c r="S1961" s="9">
        <f>IF(Q1961="","",IF(MATCH(R1961,$R$5:$R$100000,0)=ROW()-4,ROW(),""))</f>
        <v/>
      </c>
      <c r="T1961" s="9">
        <f>IF(Q1961="당기",ABS(P1961)+ROW()/1000000000,"")</f>
        <v/>
      </c>
      <c r="U1961" s="9">
        <f>IF(Q1961="비교",ABS(P1961)+ROW()/1000000000,"")</f>
        <v/>
      </c>
      <c r="V1961" s="39">
        <f>IF($A1961="","",IF(COUNTIF(변동분석!$E$7:$E$506,O1961)&gt;0,"Y","N"))</f>
        <v/>
      </c>
      <c r="W1961" s="39">
        <f>IF($A1961="","",IFERROR(INDEX(계정매핑!$D$5:$D$504,MATCH($F1961&amp;"",계정매핑!$A$5:$A$504,0)),"미매핑"))</f>
        <v/>
      </c>
      <c r="X1961" s="9">
        <f>IF($A1961="","",$F1961&amp;"")</f>
        <v/>
      </c>
    </row>
    <row r="1962">
      <c r="A1962" s="75" t="n">
        <v>2025</v>
      </c>
      <c r="B1962" s="75" t="n">
        <v>11</v>
      </c>
      <c r="C1962" s="75" t="inlineStr">
        <is>
          <t>5100001958</t>
        </is>
      </c>
      <c r="D1962" s="78" t="n">
        <v>45965</v>
      </c>
      <c r="E1962" s="75" t="inlineStr">
        <is>
          <t>KR</t>
        </is>
      </c>
      <c r="F1962" s="75" t="n">
        <v>62101000</v>
      </c>
      <c r="G1962" s="75" t="n">
        <v>1101</v>
      </c>
      <c r="H1962" s="76" t="n">
        <v>331000</v>
      </c>
      <c r="I1962" s="75" t="inlineStr">
        <is>
          <t>11월 국내출장 - (법인카드)</t>
        </is>
      </c>
      <c r="J1962" s="75" t="inlineStr">
        <is>
          <t>V10008</t>
        </is>
      </c>
      <c r="K1962" s="75" t="inlineStr">
        <is>
          <t>(법인카드)</t>
        </is>
      </c>
      <c r="M1962" s="9">
        <f>IF($A1962="","",VALUE($A1962&amp;"")*12+VALUE($B1962&amp;""))</f>
        <v/>
      </c>
      <c r="N1962" s="39">
        <f>IF($A1962="","",IFERROR(INDEX(부서매핑!$C$5:$C$504,MATCH($G1962&amp;"",부서매핑!$A$5:$A$504,0)),"미매핑"))</f>
        <v/>
      </c>
      <c r="O1962" s="9">
        <f>IF($A1962="","",N1962&amp;"|"&amp;$F1962)</f>
        <v/>
      </c>
      <c r="P1962" s="77">
        <f>IF($A1962="",0,$H1962*설정!$C$23)</f>
        <v/>
      </c>
      <c r="Q1962" s="39">
        <f>IF($A1962="","",IF(O1962&lt;&gt;원인분석!$C$9,"",IF(AND(M1962&gt;=원인분석!$C$10,M1962&lt;=원인분석!$C$11),"당기",IF(AND(M1962&gt;=원인분석!$C$12,M1962&lt;=원인분석!$C$13),"비교",""))))</f>
        <v/>
      </c>
      <c r="R1962" s="9">
        <f>IF(Q1962="","",$K1962&amp;"")</f>
        <v/>
      </c>
      <c r="S1962" s="9">
        <f>IF(Q1962="","",IF(MATCH(R1962,$R$5:$R$100000,0)=ROW()-4,ROW(),""))</f>
        <v/>
      </c>
      <c r="T1962" s="9">
        <f>IF(Q1962="당기",ABS(P1962)+ROW()/1000000000,"")</f>
        <v/>
      </c>
      <c r="U1962" s="9">
        <f>IF(Q1962="비교",ABS(P1962)+ROW()/1000000000,"")</f>
        <v/>
      </c>
      <c r="V1962" s="39">
        <f>IF($A1962="","",IF(COUNTIF(변동분석!$E$7:$E$506,O1962)&gt;0,"Y","N"))</f>
        <v/>
      </c>
      <c r="W1962" s="39">
        <f>IF($A1962="","",IFERROR(INDEX(계정매핑!$D$5:$D$504,MATCH($F1962&amp;"",계정매핑!$A$5:$A$504,0)),"미매핑"))</f>
        <v/>
      </c>
      <c r="X1962" s="9">
        <f>IF($A1962="","",$F1962&amp;"")</f>
        <v/>
      </c>
    </row>
    <row r="1963">
      <c r="A1963" s="75" t="n">
        <v>2025</v>
      </c>
      <c r="B1963" s="75" t="n">
        <v>11</v>
      </c>
      <c r="C1963" s="75" t="inlineStr">
        <is>
          <t>5100001959</t>
        </is>
      </c>
      <c r="D1963" s="78" t="n">
        <v>45965</v>
      </c>
      <c r="E1963" s="75" t="inlineStr">
        <is>
          <t>KR</t>
        </is>
      </c>
      <c r="F1963" s="75" t="n">
        <v>62102000</v>
      </c>
      <c r="G1963" s="75" t="n">
        <v>1401</v>
      </c>
      <c r="H1963" s="76" t="n">
        <v>92000</v>
      </c>
      <c r="I1963" s="75" t="inlineStr">
        <is>
          <t>11월 해외출장 - M항공</t>
        </is>
      </c>
      <c r="J1963" s="75" t="inlineStr">
        <is>
          <t>V10001</t>
        </is>
      </c>
      <c r="K1963" s="75" t="inlineStr">
        <is>
          <t>M항공</t>
        </is>
      </c>
      <c r="M1963" s="9">
        <f>IF($A1963="","",VALUE($A1963&amp;"")*12+VALUE($B1963&amp;""))</f>
        <v/>
      </c>
      <c r="N1963" s="39">
        <f>IF($A1963="","",IFERROR(INDEX(부서매핑!$C$5:$C$504,MATCH($G1963&amp;"",부서매핑!$A$5:$A$504,0)),"미매핑"))</f>
        <v/>
      </c>
      <c r="O1963" s="9">
        <f>IF($A1963="","",N1963&amp;"|"&amp;$F1963)</f>
        <v/>
      </c>
      <c r="P1963" s="77">
        <f>IF($A1963="",0,$H1963*설정!$C$23)</f>
        <v/>
      </c>
      <c r="Q1963" s="39">
        <f>IF($A1963="","",IF(O1963&lt;&gt;원인분석!$C$9,"",IF(AND(M1963&gt;=원인분석!$C$10,M1963&lt;=원인분석!$C$11),"당기",IF(AND(M1963&gt;=원인분석!$C$12,M1963&lt;=원인분석!$C$13),"비교",""))))</f>
        <v/>
      </c>
      <c r="R1963" s="9">
        <f>IF(Q1963="","",$K1963&amp;"")</f>
        <v/>
      </c>
      <c r="S1963" s="9">
        <f>IF(Q1963="","",IF(MATCH(R1963,$R$5:$R$100000,0)=ROW()-4,ROW(),""))</f>
        <v/>
      </c>
      <c r="T1963" s="9">
        <f>IF(Q1963="당기",ABS(P1963)+ROW()/1000000000,"")</f>
        <v/>
      </c>
      <c r="U1963" s="9">
        <f>IF(Q1963="비교",ABS(P1963)+ROW()/1000000000,"")</f>
        <v/>
      </c>
      <c r="V1963" s="39">
        <f>IF($A1963="","",IF(COUNTIF(변동분석!$E$7:$E$506,O1963)&gt;0,"Y","N"))</f>
        <v/>
      </c>
      <c r="W1963" s="39">
        <f>IF($A1963="","",IFERROR(INDEX(계정매핑!$D$5:$D$504,MATCH($F1963&amp;"",계정매핑!$A$5:$A$504,0)),"미매핑"))</f>
        <v/>
      </c>
      <c r="X1963" s="9">
        <f>IF($A1963="","",$F1963&amp;"")</f>
        <v/>
      </c>
    </row>
    <row r="1964">
      <c r="A1964" s="75" t="n">
        <v>2025</v>
      </c>
      <c r="B1964" s="75" t="n">
        <v>11</v>
      </c>
      <c r="C1964" s="75" t="inlineStr">
        <is>
          <t>5100001960</t>
        </is>
      </c>
      <c r="D1964" s="78" t="n">
        <v>45965</v>
      </c>
      <c r="E1964" s="75" t="inlineStr">
        <is>
          <t>KR</t>
        </is>
      </c>
      <c r="F1964" s="75" t="n">
        <v>62102000</v>
      </c>
      <c r="G1964" s="75" t="n">
        <v>1501</v>
      </c>
      <c r="H1964" s="76" t="n">
        <v>253000</v>
      </c>
      <c r="I1964" s="75" t="inlineStr">
        <is>
          <t>11월 해외출장 - N호텔</t>
        </is>
      </c>
      <c r="J1964" s="75" t="inlineStr">
        <is>
          <t>V10007</t>
        </is>
      </c>
      <c r="K1964" s="75" t="inlineStr">
        <is>
          <t>N호텔</t>
        </is>
      </c>
      <c r="M1964" s="9">
        <f>IF($A1964="","",VALUE($A1964&amp;"")*12+VALUE($B1964&amp;""))</f>
        <v/>
      </c>
      <c r="N1964" s="39">
        <f>IF($A1964="","",IFERROR(INDEX(부서매핑!$C$5:$C$504,MATCH($G1964&amp;"",부서매핑!$A$5:$A$504,0)),"미매핑"))</f>
        <v/>
      </c>
      <c r="O1964" s="9">
        <f>IF($A1964="","",N1964&amp;"|"&amp;$F1964)</f>
        <v/>
      </c>
      <c r="P1964" s="77">
        <f>IF($A1964="",0,$H1964*설정!$C$23)</f>
        <v/>
      </c>
      <c r="Q1964" s="39">
        <f>IF($A1964="","",IF(O1964&lt;&gt;원인분석!$C$9,"",IF(AND(M1964&gt;=원인분석!$C$10,M1964&lt;=원인분석!$C$11),"당기",IF(AND(M1964&gt;=원인분석!$C$12,M1964&lt;=원인분석!$C$13),"비교",""))))</f>
        <v/>
      </c>
      <c r="R1964" s="9">
        <f>IF(Q1964="","",$K1964&amp;"")</f>
        <v/>
      </c>
      <c r="S1964" s="9">
        <f>IF(Q1964="","",IF(MATCH(R1964,$R$5:$R$100000,0)=ROW()-4,ROW(),""))</f>
        <v/>
      </c>
      <c r="T1964" s="9">
        <f>IF(Q1964="당기",ABS(P1964)+ROW()/1000000000,"")</f>
        <v/>
      </c>
      <c r="U1964" s="9">
        <f>IF(Q1964="비교",ABS(P1964)+ROW()/1000000000,"")</f>
        <v/>
      </c>
      <c r="V1964" s="39">
        <f>IF($A1964="","",IF(COUNTIF(변동분석!$E$7:$E$506,O1964)&gt;0,"Y","N"))</f>
        <v/>
      </c>
      <c r="W1964" s="39">
        <f>IF($A1964="","",IFERROR(INDEX(계정매핑!$D$5:$D$504,MATCH($F1964&amp;"",계정매핑!$A$5:$A$504,0)),"미매핑"))</f>
        <v/>
      </c>
      <c r="X1964" s="9">
        <f>IF($A1964="","",$F1964&amp;"")</f>
        <v/>
      </c>
    </row>
    <row r="1965">
      <c r="A1965" s="75" t="n">
        <v>2025</v>
      </c>
      <c r="B1965" s="75" t="n">
        <v>11</v>
      </c>
      <c r="C1965" s="75" t="inlineStr">
        <is>
          <t>5100001961</t>
        </is>
      </c>
      <c r="D1965" s="78" t="n">
        <v>45965</v>
      </c>
      <c r="E1965" s="75" t="inlineStr">
        <is>
          <t>KR</t>
        </is>
      </c>
      <c r="F1965" s="75" t="n">
        <v>62201000</v>
      </c>
      <c r="G1965" s="75" t="n">
        <v>1502</v>
      </c>
      <c r="H1965" s="76" t="n">
        <v>228000</v>
      </c>
      <c r="I1965" s="75" t="inlineStr">
        <is>
          <t>11월 통신요금 - O텔레콤</t>
        </is>
      </c>
      <c r="J1965" s="75" t="inlineStr">
        <is>
          <t>V10002</t>
        </is>
      </c>
      <c r="K1965" s="75" t="inlineStr">
        <is>
          <t>O텔레콤</t>
        </is>
      </c>
      <c r="M1965" s="9">
        <f>IF($A1965="","",VALUE($A1965&amp;"")*12+VALUE($B1965&amp;""))</f>
        <v/>
      </c>
      <c r="N1965" s="39">
        <f>IF($A1965="","",IFERROR(INDEX(부서매핑!$C$5:$C$504,MATCH($G1965&amp;"",부서매핑!$A$5:$A$504,0)),"미매핑"))</f>
        <v/>
      </c>
      <c r="O1965" s="9">
        <f>IF($A1965="","",N1965&amp;"|"&amp;$F1965)</f>
        <v/>
      </c>
      <c r="P1965" s="77">
        <f>IF($A1965="",0,$H1965*설정!$C$23)</f>
        <v/>
      </c>
      <c r="Q1965" s="39">
        <f>IF($A1965="","",IF(O1965&lt;&gt;원인분석!$C$9,"",IF(AND(M1965&gt;=원인분석!$C$10,M1965&lt;=원인분석!$C$11),"당기",IF(AND(M1965&gt;=원인분석!$C$12,M1965&lt;=원인분석!$C$13),"비교",""))))</f>
        <v/>
      </c>
      <c r="R1965" s="9">
        <f>IF(Q1965="","",$K1965&amp;"")</f>
        <v/>
      </c>
      <c r="S1965" s="9">
        <f>IF(Q1965="","",IF(MATCH(R1965,$R$5:$R$100000,0)=ROW()-4,ROW(),""))</f>
        <v/>
      </c>
      <c r="T1965" s="9">
        <f>IF(Q1965="당기",ABS(P1965)+ROW()/1000000000,"")</f>
        <v/>
      </c>
      <c r="U1965" s="9">
        <f>IF(Q1965="비교",ABS(P1965)+ROW()/1000000000,"")</f>
        <v/>
      </c>
      <c r="V1965" s="39">
        <f>IF($A1965="","",IF(COUNTIF(변동분석!$E$7:$E$506,O1965)&gt;0,"Y","N"))</f>
        <v/>
      </c>
      <c r="W1965" s="39">
        <f>IF($A1965="","",IFERROR(INDEX(계정매핑!$D$5:$D$504,MATCH($F1965&amp;"",계정매핑!$A$5:$A$504,0)),"미매핑"))</f>
        <v/>
      </c>
      <c r="X1965" s="9">
        <f>IF($A1965="","",$F1965&amp;"")</f>
        <v/>
      </c>
    </row>
    <row r="1966">
      <c r="A1966" s="75" t="n">
        <v>2025</v>
      </c>
      <c r="B1966" s="75" t="n">
        <v>11</v>
      </c>
      <c r="C1966" s="75" t="inlineStr">
        <is>
          <t>5100001962</t>
        </is>
      </c>
      <c r="D1966" s="78" t="n">
        <v>45965</v>
      </c>
      <c r="E1966" s="75" t="inlineStr">
        <is>
          <t>KR</t>
        </is>
      </c>
      <c r="F1966" s="75" t="n">
        <v>62301000</v>
      </c>
      <c r="G1966" s="75" t="n">
        <v>1701</v>
      </c>
      <c r="H1966" s="76" t="n">
        <v>197000</v>
      </c>
      <c r="I1966" s="75" t="inlineStr">
        <is>
          <t>11월 소모품 구입 - Q오피스</t>
        </is>
      </c>
      <c r="J1966" s="75" t="inlineStr">
        <is>
          <t>V10003</t>
        </is>
      </c>
      <c r="K1966" s="75" t="inlineStr">
        <is>
          <t>Q오피스</t>
        </is>
      </c>
      <c r="M1966" s="9">
        <f>IF($A1966="","",VALUE($A1966&amp;"")*12+VALUE($B1966&amp;""))</f>
        <v/>
      </c>
      <c r="N1966" s="39">
        <f>IF($A1966="","",IFERROR(INDEX(부서매핑!$C$5:$C$504,MATCH($G1966&amp;"",부서매핑!$A$5:$A$504,0)),"미매핑"))</f>
        <v/>
      </c>
      <c r="O1966" s="9">
        <f>IF($A1966="","",N1966&amp;"|"&amp;$F1966)</f>
        <v/>
      </c>
      <c r="P1966" s="77">
        <f>IF($A1966="",0,$H1966*설정!$C$23)</f>
        <v/>
      </c>
      <c r="Q1966" s="39">
        <f>IF($A1966="","",IF(O1966&lt;&gt;원인분석!$C$9,"",IF(AND(M1966&gt;=원인분석!$C$10,M1966&lt;=원인분석!$C$11),"당기",IF(AND(M1966&gt;=원인분석!$C$12,M1966&lt;=원인분석!$C$13),"비교",""))))</f>
        <v/>
      </c>
      <c r="R1966" s="9">
        <f>IF(Q1966="","",$K1966&amp;"")</f>
        <v/>
      </c>
      <c r="S1966" s="9">
        <f>IF(Q1966="","",IF(MATCH(R1966,$R$5:$R$100000,0)=ROW()-4,ROW(),""))</f>
        <v/>
      </c>
      <c r="T1966" s="9">
        <f>IF(Q1966="당기",ABS(P1966)+ROW()/1000000000,"")</f>
        <v/>
      </c>
      <c r="U1966" s="9">
        <f>IF(Q1966="비교",ABS(P1966)+ROW()/1000000000,"")</f>
        <v/>
      </c>
      <c r="V1966" s="39">
        <f>IF($A1966="","",IF(COUNTIF(변동분석!$E$7:$E$506,O1966)&gt;0,"Y","N"))</f>
        <v/>
      </c>
      <c r="W1966" s="39">
        <f>IF($A1966="","",IFERROR(INDEX(계정매핑!$D$5:$D$504,MATCH($F1966&amp;"",계정매핑!$A$5:$A$504,0)),"미매핑"))</f>
        <v/>
      </c>
      <c r="X1966" s="9">
        <f>IF($A1966="","",$F1966&amp;"")</f>
        <v/>
      </c>
    </row>
    <row r="1967">
      <c r="A1967" s="75" t="n">
        <v>2025</v>
      </c>
      <c r="B1967" s="75" t="n">
        <v>11</v>
      </c>
      <c r="C1967" s="75" t="inlineStr">
        <is>
          <t>5100001963</t>
        </is>
      </c>
      <c r="D1967" s="78" t="n">
        <v>45965</v>
      </c>
      <c r="E1967" s="75" t="inlineStr">
        <is>
          <t>KR</t>
        </is>
      </c>
      <c r="F1967" s="75" t="n">
        <v>62501000</v>
      </c>
      <c r="G1967" s="75" t="n">
        <v>1501</v>
      </c>
      <c r="H1967" s="76" t="n">
        <v>297000</v>
      </c>
      <c r="I1967" s="75" t="inlineStr">
        <is>
          <t>11월 회의 다과 - T케이터링</t>
        </is>
      </c>
      <c r="J1967" s="75" t="inlineStr">
        <is>
          <t>V10005</t>
        </is>
      </c>
      <c r="K1967" s="75" t="inlineStr">
        <is>
          <t>T케이터링</t>
        </is>
      </c>
      <c r="M1967" s="9">
        <f>IF($A1967="","",VALUE($A1967&amp;"")*12+VALUE($B1967&amp;""))</f>
        <v/>
      </c>
      <c r="N1967" s="39">
        <f>IF($A1967="","",IFERROR(INDEX(부서매핑!$C$5:$C$504,MATCH($G1967&amp;"",부서매핑!$A$5:$A$504,0)),"미매핑"))</f>
        <v/>
      </c>
      <c r="O1967" s="9">
        <f>IF($A1967="","",N1967&amp;"|"&amp;$F1967)</f>
        <v/>
      </c>
      <c r="P1967" s="77">
        <f>IF($A1967="",0,$H1967*설정!$C$23)</f>
        <v/>
      </c>
      <c r="Q1967" s="39">
        <f>IF($A1967="","",IF(O1967&lt;&gt;원인분석!$C$9,"",IF(AND(M1967&gt;=원인분석!$C$10,M1967&lt;=원인분석!$C$11),"당기",IF(AND(M1967&gt;=원인분석!$C$12,M1967&lt;=원인분석!$C$13),"비교",""))))</f>
        <v/>
      </c>
      <c r="R1967" s="9">
        <f>IF(Q1967="","",$K1967&amp;"")</f>
        <v/>
      </c>
      <c r="S1967" s="9">
        <f>IF(Q1967="","",IF(MATCH(R1967,$R$5:$R$100000,0)=ROW()-4,ROW(),""))</f>
        <v/>
      </c>
      <c r="T1967" s="9">
        <f>IF(Q1967="당기",ABS(P1967)+ROW()/1000000000,"")</f>
        <v/>
      </c>
      <c r="U1967" s="9">
        <f>IF(Q1967="비교",ABS(P1967)+ROW()/1000000000,"")</f>
        <v/>
      </c>
      <c r="V1967" s="39">
        <f>IF($A1967="","",IF(COUNTIF(변동분석!$E$7:$E$506,O1967)&gt;0,"Y","N"))</f>
        <v/>
      </c>
      <c r="W1967" s="39">
        <f>IF($A1967="","",IFERROR(INDEX(계정매핑!$D$5:$D$504,MATCH($F1967&amp;"",계정매핑!$A$5:$A$504,0)),"미매핑"))</f>
        <v/>
      </c>
      <c r="X1967" s="9">
        <f>IF($A1967="","",$F1967&amp;"")</f>
        <v/>
      </c>
    </row>
    <row r="1968">
      <c r="A1968" s="75" t="n">
        <v>2025</v>
      </c>
      <c r="B1968" s="75" t="n">
        <v>11</v>
      </c>
      <c r="C1968" s="75" t="inlineStr">
        <is>
          <t>5100001964</t>
        </is>
      </c>
      <c r="D1968" s="78" t="n">
        <v>45965</v>
      </c>
      <c r="E1968" s="75" t="inlineStr">
        <is>
          <t>KR</t>
        </is>
      </c>
      <c r="F1968" s="75" t="n">
        <v>62901000</v>
      </c>
      <c r="G1968" s="75" t="n">
        <v>1201</v>
      </c>
      <c r="H1968" s="76" t="n">
        <v>11252000</v>
      </c>
      <c r="I1968" s="75" t="inlineStr">
        <is>
          <t>11월 자문 수수료 - K회계법인</t>
        </is>
      </c>
      <c r="J1968" s="75" t="inlineStr">
        <is>
          <t>V10010</t>
        </is>
      </c>
      <c r="K1968" s="75" t="inlineStr">
        <is>
          <t>K회계법인</t>
        </is>
      </c>
      <c r="M1968" s="9">
        <f>IF($A1968="","",VALUE($A1968&amp;"")*12+VALUE($B1968&amp;""))</f>
        <v/>
      </c>
      <c r="N1968" s="39">
        <f>IF($A1968="","",IFERROR(INDEX(부서매핑!$C$5:$C$504,MATCH($G1968&amp;"",부서매핑!$A$5:$A$504,0)),"미매핑"))</f>
        <v/>
      </c>
      <c r="O1968" s="9">
        <f>IF($A1968="","",N1968&amp;"|"&amp;$F1968)</f>
        <v/>
      </c>
      <c r="P1968" s="77">
        <f>IF($A1968="",0,$H1968*설정!$C$23)</f>
        <v/>
      </c>
      <c r="Q1968" s="39">
        <f>IF($A1968="","",IF(O1968&lt;&gt;원인분석!$C$9,"",IF(AND(M1968&gt;=원인분석!$C$10,M1968&lt;=원인분석!$C$11),"당기",IF(AND(M1968&gt;=원인분석!$C$12,M1968&lt;=원인분석!$C$13),"비교",""))))</f>
        <v/>
      </c>
      <c r="R1968" s="9">
        <f>IF(Q1968="","",$K1968&amp;"")</f>
        <v/>
      </c>
      <c r="S1968" s="9">
        <f>IF(Q1968="","",IF(MATCH(R1968,$R$5:$R$100000,0)=ROW()-4,ROW(),""))</f>
        <v/>
      </c>
      <c r="T1968" s="9">
        <f>IF(Q1968="당기",ABS(P1968)+ROW()/1000000000,"")</f>
        <v/>
      </c>
      <c r="U1968" s="9">
        <f>IF(Q1968="비교",ABS(P1968)+ROW()/1000000000,"")</f>
        <v/>
      </c>
      <c r="V1968" s="39">
        <f>IF($A1968="","",IF(COUNTIF(변동분석!$E$7:$E$506,O1968)&gt;0,"Y","N"))</f>
        <v/>
      </c>
      <c r="W1968" s="39">
        <f>IF($A1968="","",IFERROR(INDEX(계정매핑!$D$5:$D$504,MATCH($F1968&amp;"",계정매핑!$A$5:$A$504,0)),"미매핑"))</f>
        <v/>
      </c>
      <c r="X1968" s="9">
        <f>IF($A1968="","",$F1968&amp;"")</f>
        <v/>
      </c>
    </row>
    <row r="1969">
      <c r="A1969" s="75" t="n">
        <v>2025</v>
      </c>
      <c r="B1969" s="75" t="n">
        <v>11</v>
      </c>
      <c r="C1969" s="75" t="inlineStr">
        <is>
          <t>5100001965</t>
        </is>
      </c>
      <c r="D1969" s="78" t="n">
        <v>45965</v>
      </c>
      <c r="E1969" s="75" t="inlineStr">
        <is>
          <t>KR</t>
        </is>
      </c>
      <c r="F1969" s="75" t="n">
        <v>62902000</v>
      </c>
      <c r="G1969" s="75" t="n">
        <v>1801</v>
      </c>
      <c r="H1969" s="76" t="n">
        <v>1760000</v>
      </c>
      <c r="I1969" s="75" t="inlineStr">
        <is>
          <t>11월 콜 위탁 수수료(건별)</t>
        </is>
      </c>
      <c r="J1969" s="75" t="inlineStr">
        <is>
          <t>V10013</t>
        </is>
      </c>
      <c r="K1969" s="75" t="inlineStr">
        <is>
          <t>J콜센터</t>
        </is>
      </c>
      <c r="M1969" s="9">
        <f>IF($A1969="","",VALUE($A1969&amp;"")*12+VALUE($B1969&amp;""))</f>
        <v/>
      </c>
      <c r="N1969" s="39">
        <f>IF($A1969="","",IFERROR(INDEX(부서매핑!$C$5:$C$504,MATCH($G1969&amp;"",부서매핑!$A$5:$A$504,0)),"미매핑"))</f>
        <v/>
      </c>
      <c r="O1969" s="9">
        <f>IF($A1969="","",N1969&amp;"|"&amp;$F1969)</f>
        <v/>
      </c>
      <c r="P1969" s="77">
        <f>IF($A1969="",0,$H1969*설정!$C$23)</f>
        <v/>
      </c>
      <c r="Q1969" s="39">
        <f>IF($A1969="","",IF(O1969&lt;&gt;원인분석!$C$9,"",IF(AND(M1969&gt;=원인분석!$C$10,M1969&lt;=원인분석!$C$11),"당기",IF(AND(M1969&gt;=원인분석!$C$12,M1969&lt;=원인분석!$C$13),"비교",""))))</f>
        <v/>
      </c>
      <c r="R1969" s="9">
        <f>IF(Q1969="","",$K1969&amp;"")</f>
        <v/>
      </c>
      <c r="S1969" s="9">
        <f>IF(Q1969="","",IF(MATCH(R1969,$R$5:$R$100000,0)=ROW()-4,ROW(),""))</f>
        <v/>
      </c>
      <c r="T1969" s="9">
        <f>IF(Q1969="당기",ABS(P1969)+ROW()/1000000000,"")</f>
        <v/>
      </c>
      <c r="U1969" s="9">
        <f>IF(Q1969="비교",ABS(P1969)+ROW()/1000000000,"")</f>
        <v/>
      </c>
      <c r="V1969" s="39">
        <f>IF($A1969="","",IF(COUNTIF(변동분석!$E$7:$E$506,O1969)&gt;0,"Y","N"))</f>
        <v/>
      </c>
      <c r="W1969" s="39">
        <f>IF($A1969="","",IFERROR(INDEX(계정매핑!$D$5:$D$504,MATCH($F1969&amp;"",계정매핑!$A$5:$A$504,0)),"미매핑"))</f>
        <v/>
      </c>
      <c r="X1969" s="9">
        <f>IF($A1969="","",$F1969&amp;"")</f>
        <v/>
      </c>
    </row>
    <row r="1970">
      <c r="A1970" s="75" t="n">
        <v>2025</v>
      </c>
      <c r="B1970" s="75" t="n">
        <v>11</v>
      </c>
      <c r="C1970" s="75" t="inlineStr">
        <is>
          <t>5100001966</t>
        </is>
      </c>
      <c r="D1970" s="78" t="n">
        <v>45966</v>
      </c>
      <c r="E1970" s="75" t="inlineStr">
        <is>
          <t>KR</t>
        </is>
      </c>
      <c r="F1970" s="75" t="n">
        <v>62101000</v>
      </c>
      <c r="G1970" s="75" t="n">
        <v>1201</v>
      </c>
      <c r="H1970" s="76" t="n">
        <v>182000</v>
      </c>
      <c r="I1970" s="75" t="inlineStr">
        <is>
          <t>11월 국내출장 - L여행사</t>
        </is>
      </c>
      <c r="J1970" s="75" t="inlineStr">
        <is>
          <t>V10014</t>
        </is>
      </c>
      <c r="K1970" s="75" t="inlineStr">
        <is>
          <t>L여행사</t>
        </is>
      </c>
      <c r="M1970" s="9">
        <f>IF($A1970="","",VALUE($A1970&amp;"")*12+VALUE($B1970&amp;""))</f>
        <v/>
      </c>
      <c r="N1970" s="39">
        <f>IF($A1970="","",IFERROR(INDEX(부서매핑!$C$5:$C$504,MATCH($G1970&amp;"",부서매핑!$A$5:$A$504,0)),"미매핑"))</f>
        <v/>
      </c>
      <c r="O1970" s="9">
        <f>IF($A1970="","",N1970&amp;"|"&amp;$F1970)</f>
        <v/>
      </c>
      <c r="P1970" s="77">
        <f>IF($A1970="",0,$H1970*설정!$C$23)</f>
        <v/>
      </c>
      <c r="Q1970" s="39">
        <f>IF($A1970="","",IF(O1970&lt;&gt;원인분석!$C$9,"",IF(AND(M1970&gt;=원인분석!$C$10,M1970&lt;=원인분석!$C$11),"당기",IF(AND(M1970&gt;=원인분석!$C$12,M1970&lt;=원인분석!$C$13),"비교",""))))</f>
        <v/>
      </c>
      <c r="R1970" s="9">
        <f>IF(Q1970="","",$K1970&amp;"")</f>
        <v/>
      </c>
      <c r="S1970" s="9">
        <f>IF(Q1970="","",IF(MATCH(R1970,$R$5:$R$100000,0)=ROW()-4,ROW(),""))</f>
        <v/>
      </c>
      <c r="T1970" s="9">
        <f>IF(Q1970="당기",ABS(P1970)+ROW()/1000000000,"")</f>
        <v/>
      </c>
      <c r="U1970" s="9">
        <f>IF(Q1970="비교",ABS(P1970)+ROW()/1000000000,"")</f>
        <v/>
      </c>
      <c r="V1970" s="39">
        <f>IF($A1970="","",IF(COUNTIF(변동분석!$E$7:$E$506,O1970)&gt;0,"Y","N"))</f>
        <v/>
      </c>
      <c r="W1970" s="39">
        <f>IF($A1970="","",IFERROR(INDEX(계정매핑!$D$5:$D$504,MATCH($F1970&amp;"",계정매핑!$A$5:$A$504,0)),"미매핑"))</f>
        <v/>
      </c>
      <c r="X1970" s="9">
        <f>IF($A1970="","",$F1970&amp;"")</f>
        <v/>
      </c>
    </row>
    <row r="1971">
      <c r="A1971" s="75" t="n">
        <v>2025</v>
      </c>
      <c r="B1971" s="75" t="n">
        <v>11</v>
      </c>
      <c r="C1971" s="75" t="inlineStr">
        <is>
          <t>5100001967</t>
        </is>
      </c>
      <c r="D1971" s="78" t="n">
        <v>45966</v>
      </c>
      <c r="E1971" s="75" t="inlineStr">
        <is>
          <t>KR</t>
        </is>
      </c>
      <c r="F1971" s="75" t="n">
        <v>62201000</v>
      </c>
      <c r="G1971" s="75" t="n">
        <v>1801</v>
      </c>
      <c r="H1971" s="76" t="n">
        <v>5173000</v>
      </c>
      <c r="I1971" s="75" t="inlineStr">
        <is>
          <t>11월 통신요금 - O텔레콤</t>
        </is>
      </c>
      <c r="J1971" s="75" t="inlineStr">
        <is>
          <t>V10002</t>
        </is>
      </c>
      <c r="K1971" s="75" t="inlineStr">
        <is>
          <t>O텔레콤</t>
        </is>
      </c>
      <c r="M1971" s="9">
        <f>IF($A1971="","",VALUE($A1971&amp;"")*12+VALUE($B1971&amp;""))</f>
        <v/>
      </c>
      <c r="N1971" s="39">
        <f>IF($A1971="","",IFERROR(INDEX(부서매핑!$C$5:$C$504,MATCH($G1971&amp;"",부서매핑!$A$5:$A$504,0)),"미매핑"))</f>
        <v/>
      </c>
      <c r="O1971" s="9">
        <f>IF($A1971="","",N1971&amp;"|"&amp;$F1971)</f>
        <v/>
      </c>
      <c r="P1971" s="77">
        <f>IF($A1971="",0,$H1971*설정!$C$23)</f>
        <v/>
      </c>
      <c r="Q1971" s="39">
        <f>IF($A1971="","",IF(O1971&lt;&gt;원인분석!$C$9,"",IF(AND(M1971&gt;=원인분석!$C$10,M1971&lt;=원인분석!$C$11),"당기",IF(AND(M1971&gt;=원인분석!$C$12,M1971&lt;=원인분석!$C$13),"비교",""))))</f>
        <v/>
      </c>
      <c r="R1971" s="9">
        <f>IF(Q1971="","",$K1971&amp;"")</f>
        <v/>
      </c>
      <c r="S1971" s="9">
        <f>IF(Q1971="","",IF(MATCH(R1971,$R$5:$R$100000,0)=ROW()-4,ROW(),""))</f>
        <v/>
      </c>
      <c r="T1971" s="9">
        <f>IF(Q1971="당기",ABS(P1971)+ROW()/1000000000,"")</f>
        <v/>
      </c>
      <c r="U1971" s="9">
        <f>IF(Q1971="비교",ABS(P1971)+ROW()/1000000000,"")</f>
        <v/>
      </c>
      <c r="V1971" s="39">
        <f>IF($A1971="","",IF(COUNTIF(변동분석!$E$7:$E$506,O1971)&gt;0,"Y","N"))</f>
        <v/>
      </c>
      <c r="W1971" s="39">
        <f>IF($A1971="","",IFERROR(INDEX(계정매핑!$D$5:$D$504,MATCH($F1971&amp;"",계정매핑!$A$5:$A$504,0)),"미매핑"))</f>
        <v/>
      </c>
      <c r="X1971" s="9">
        <f>IF($A1971="","",$F1971&amp;"")</f>
        <v/>
      </c>
    </row>
    <row r="1972">
      <c r="A1972" s="75" t="n">
        <v>2025</v>
      </c>
      <c r="B1972" s="75" t="n">
        <v>11</v>
      </c>
      <c r="C1972" s="75" t="inlineStr">
        <is>
          <t>5100001968</t>
        </is>
      </c>
      <c r="D1972" s="78" t="n">
        <v>45966</v>
      </c>
      <c r="E1972" s="75" t="inlineStr">
        <is>
          <t>KR</t>
        </is>
      </c>
      <c r="F1972" s="75" t="n">
        <v>62501000</v>
      </c>
      <c r="G1972" s="75" t="n">
        <v>1101</v>
      </c>
      <c r="H1972" s="76" t="n">
        <v>279000</v>
      </c>
      <c r="I1972" s="75" t="inlineStr">
        <is>
          <t>11월 회의 다과 - (법인카드)</t>
        </is>
      </c>
      <c r="J1972" s="75" t="inlineStr">
        <is>
          <t>V10008</t>
        </is>
      </c>
      <c r="K1972" s="75" t="inlineStr">
        <is>
          <t>(법인카드)</t>
        </is>
      </c>
      <c r="M1972" s="9">
        <f>IF($A1972="","",VALUE($A1972&amp;"")*12+VALUE($B1972&amp;""))</f>
        <v/>
      </c>
      <c r="N1972" s="39">
        <f>IF($A1972="","",IFERROR(INDEX(부서매핑!$C$5:$C$504,MATCH($G1972&amp;"",부서매핑!$A$5:$A$504,0)),"미매핑"))</f>
        <v/>
      </c>
      <c r="O1972" s="9">
        <f>IF($A1972="","",N1972&amp;"|"&amp;$F1972)</f>
        <v/>
      </c>
      <c r="P1972" s="77">
        <f>IF($A1972="",0,$H1972*설정!$C$23)</f>
        <v/>
      </c>
      <c r="Q1972" s="39">
        <f>IF($A1972="","",IF(O1972&lt;&gt;원인분석!$C$9,"",IF(AND(M1972&gt;=원인분석!$C$10,M1972&lt;=원인분석!$C$11),"당기",IF(AND(M1972&gt;=원인분석!$C$12,M1972&lt;=원인분석!$C$13),"비교",""))))</f>
        <v/>
      </c>
      <c r="R1972" s="9">
        <f>IF(Q1972="","",$K1972&amp;"")</f>
        <v/>
      </c>
      <c r="S1972" s="9">
        <f>IF(Q1972="","",IF(MATCH(R1972,$R$5:$R$100000,0)=ROW()-4,ROW(),""))</f>
        <v/>
      </c>
      <c r="T1972" s="9">
        <f>IF(Q1972="당기",ABS(P1972)+ROW()/1000000000,"")</f>
        <v/>
      </c>
      <c r="U1972" s="9">
        <f>IF(Q1972="비교",ABS(P1972)+ROW()/1000000000,"")</f>
        <v/>
      </c>
      <c r="V1972" s="39">
        <f>IF($A1972="","",IF(COUNTIF(변동분석!$E$7:$E$506,O1972)&gt;0,"Y","N"))</f>
        <v/>
      </c>
      <c r="W1972" s="39">
        <f>IF($A1972="","",IFERROR(INDEX(계정매핑!$D$5:$D$504,MATCH($F1972&amp;"",계정매핑!$A$5:$A$504,0)),"미매핑"))</f>
        <v/>
      </c>
      <c r="X1972" s="9">
        <f>IF($A1972="","",$F1972&amp;"")</f>
        <v/>
      </c>
    </row>
    <row r="1973">
      <c r="A1973" s="75" t="n">
        <v>2025</v>
      </c>
      <c r="B1973" s="75" t="n">
        <v>11</v>
      </c>
      <c r="C1973" s="75" t="inlineStr">
        <is>
          <t>5100001969</t>
        </is>
      </c>
      <c r="D1973" s="78" t="n">
        <v>45966</v>
      </c>
      <c r="E1973" s="75" t="inlineStr">
        <is>
          <t>KR</t>
        </is>
      </c>
      <c r="F1973" s="75" t="n">
        <v>62501000</v>
      </c>
      <c r="G1973" s="75" t="n">
        <v>1601</v>
      </c>
      <c r="H1973" s="76" t="n">
        <v>354000</v>
      </c>
      <c r="I1973" s="75" t="inlineStr">
        <is>
          <t>11월 회의 다과 - T케이터링</t>
        </is>
      </c>
      <c r="J1973" s="75" t="inlineStr">
        <is>
          <t>V10005</t>
        </is>
      </c>
      <c r="K1973" s="75" t="inlineStr">
        <is>
          <t>T케이터링</t>
        </is>
      </c>
      <c r="M1973" s="9">
        <f>IF($A1973="","",VALUE($A1973&amp;"")*12+VALUE($B1973&amp;""))</f>
        <v/>
      </c>
      <c r="N1973" s="39">
        <f>IF($A1973="","",IFERROR(INDEX(부서매핑!$C$5:$C$504,MATCH($G1973&amp;"",부서매핑!$A$5:$A$504,0)),"미매핑"))</f>
        <v/>
      </c>
      <c r="O1973" s="9">
        <f>IF($A1973="","",N1973&amp;"|"&amp;$F1973)</f>
        <v/>
      </c>
      <c r="P1973" s="77">
        <f>IF($A1973="",0,$H1973*설정!$C$23)</f>
        <v/>
      </c>
      <c r="Q1973" s="39">
        <f>IF($A1973="","",IF(O1973&lt;&gt;원인분석!$C$9,"",IF(AND(M1973&gt;=원인분석!$C$10,M1973&lt;=원인분석!$C$11),"당기",IF(AND(M1973&gt;=원인분석!$C$12,M1973&lt;=원인분석!$C$13),"비교",""))))</f>
        <v/>
      </c>
      <c r="R1973" s="9">
        <f>IF(Q1973="","",$K1973&amp;"")</f>
        <v/>
      </c>
      <c r="S1973" s="9">
        <f>IF(Q1973="","",IF(MATCH(R1973,$R$5:$R$100000,0)=ROW()-4,ROW(),""))</f>
        <v/>
      </c>
      <c r="T1973" s="9">
        <f>IF(Q1973="당기",ABS(P1973)+ROW()/1000000000,"")</f>
        <v/>
      </c>
      <c r="U1973" s="9">
        <f>IF(Q1973="비교",ABS(P1973)+ROW()/1000000000,"")</f>
        <v/>
      </c>
      <c r="V1973" s="39">
        <f>IF($A1973="","",IF(COUNTIF(변동분석!$E$7:$E$506,O1973)&gt;0,"Y","N"))</f>
        <v/>
      </c>
      <c r="W1973" s="39">
        <f>IF($A1973="","",IFERROR(INDEX(계정매핑!$D$5:$D$504,MATCH($F1973&amp;"",계정매핑!$A$5:$A$504,0)),"미매핑"))</f>
        <v/>
      </c>
      <c r="X1973" s="9">
        <f>IF($A1973="","",$F1973&amp;"")</f>
        <v/>
      </c>
    </row>
    <row r="1974">
      <c r="A1974" s="75" t="n">
        <v>2025</v>
      </c>
      <c r="B1974" s="75" t="n">
        <v>11</v>
      </c>
      <c r="C1974" s="75" t="inlineStr">
        <is>
          <t>5100001970</t>
        </is>
      </c>
      <c r="D1974" s="78" t="n">
        <v>45966</v>
      </c>
      <c r="E1974" s="75" t="inlineStr">
        <is>
          <t>KR</t>
        </is>
      </c>
      <c r="F1974" s="75" t="n">
        <v>62901000</v>
      </c>
      <c r="G1974" s="75" t="n">
        <v>1401</v>
      </c>
      <c r="H1974" s="76" t="n">
        <v>3985000</v>
      </c>
      <c r="I1974" s="75" t="inlineStr">
        <is>
          <t>11월 자문 수수료 - W컨설팅</t>
        </is>
      </c>
      <c r="J1974" s="75" t="inlineStr">
        <is>
          <t>V10009</t>
        </is>
      </c>
      <c r="K1974" s="75" t="inlineStr">
        <is>
          <t>W컨설팅</t>
        </is>
      </c>
      <c r="M1974" s="9">
        <f>IF($A1974="","",VALUE($A1974&amp;"")*12+VALUE($B1974&amp;""))</f>
        <v/>
      </c>
      <c r="N1974" s="39">
        <f>IF($A1974="","",IFERROR(INDEX(부서매핑!$C$5:$C$504,MATCH($G1974&amp;"",부서매핑!$A$5:$A$504,0)),"미매핑"))</f>
        <v/>
      </c>
      <c r="O1974" s="9">
        <f>IF($A1974="","",N1974&amp;"|"&amp;$F1974)</f>
        <v/>
      </c>
      <c r="P1974" s="77">
        <f>IF($A1974="",0,$H1974*설정!$C$23)</f>
        <v/>
      </c>
      <c r="Q1974" s="39">
        <f>IF($A1974="","",IF(O1974&lt;&gt;원인분석!$C$9,"",IF(AND(M1974&gt;=원인분석!$C$10,M1974&lt;=원인분석!$C$11),"당기",IF(AND(M1974&gt;=원인분석!$C$12,M1974&lt;=원인분석!$C$13),"비교",""))))</f>
        <v/>
      </c>
      <c r="R1974" s="9">
        <f>IF(Q1974="","",$K1974&amp;"")</f>
        <v/>
      </c>
      <c r="S1974" s="9">
        <f>IF(Q1974="","",IF(MATCH(R1974,$R$5:$R$100000,0)=ROW()-4,ROW(),""))</f>
        <v/>
      </c>
      <c r="T1974" s="9">
        <f>IF(Q1974="당기",ABS(P1974)+ROW()/1000000000,"")</f>
        <v/>
      </c>
      <c r="U1974" s="9">
        <f>IF(Q1974="비교",ABS(P1974)+ROW()/1000000000,"")</f>
        <v/>
      </c>
      <c r="V1974" s="39">
        <f>IF($A1974="","",IF(COUNTIF(변동분석!$E$7:$E$506,O1974)&gt;0,"Y","N"))</f>
        <v/>
      </c>
      <c r="W1974" s="39">
        <f>IF($A1974="","",IFERROR(INDEX(계정매핑!$D$5:$D$504,MATCH($F1974&amp;"",계정매핑!$A$5:$A$504,0)),"미매핑"))</f>
        <v/>
      </c>
      <c r="X1974" s="9">
        <f>IF($A1974="","",$F1974&amp;"")</f>
        <v/>
      </c>
    </row>
    <row r="1975">
      <c r="A1975" s="75" t="n">
        <v>2025</v>
      </c>
      <c r="B1975" s="75" t="n">
        <v>11</v>
      </c>
      <c r="C1975" s="75" t="inlineStr">
        <is>
          <t>5100001971</t>
        </is>
      </c>
      <c r="D1975" s="78" t="n">
        <v>45967</v>
      </c>
      <c r="E1975" s="75" t="inlineStr">
        <is>
          <t>KR</t>
        </is>
      </c>
      <c r="F1975" s="75" t="n">
        <v>62101000</v>
      </c>
      <c r="G1975" s="75" t="n">
        <v>1801</v>
      </c>
      <c r="H1975" s="76" t="n">
        <v>104000</v>
      </c>
      <c r="I1975" s="75" t="inlineStr">
        <is>
          <t>11월 국내출장 - (법인카드)</t>
        </is>
      </c>
      <c r="J1975" s="75" t="inlineStr">
        <is>
          <t>V10008</t>
        </is>
      </c>
      <c r="K1975" s="75" t="inlineStr">
        <is>
          <t>(법인카드)</t>
        </is>
      </c>
      <c r="M1975" s="9">
        <f>IF($A1975="","",VALUE($A1975&amp;"")*12+VALUE($B1975&amp;""))</f>
        <v/>
      </c>
      <c r="N1975" s="39">
        <f>IF($A1975="","",IFERROR(INDEX(부서매핑!$C$5:$C$504,MATCH($G1975&amp;"",부서매핑!$A$5:$A$504,0)),"미매핑"))</f>
        <v/>
      </c>
      <c r="O1975" s="9">
        <f>IF($A1975="","",N1975&amp;"|"&amp;$F1975)</f>
        <v/>
      </c>
      <c r="P1975" s="77">
        <f>IF($A1975="",0,$H1975*설정!$C$23)</f>
        <v/>
      </c>
      <c r="Q1975" s="39">
        <f>IF($A1975="","",IF(O1975&lt;&gt;원인분석!$C$9,"",IF(AND(M1975&gt;=원인분석!$C$10,M1975&lt;=원인분석!$C$11),"당기",IF(AND(M1975&gt;=원인분석!$C$12,M1975&lt;=원인분석!$C$13),"비교",""))))</f>
        <v/>
      </c>
      <c r="R1975" s="9">
        <f>IF(Q1975="","",$K1975&amp;"")</f>
        <v/>
      </c>
      <c r="S1975" s="9">
        <f>IF(Q1975="","",IF(MATCH(R1975,$R$5:$R$100000,0)=ROW()-4,ROW(),""))</f>
        <v/>
      </c>
      <c r="T1975" s="9">
        <f>IF(Q1975="당기",ABS(P1975)+ROW()/1000000000,"")</f>
        <v/>
      </c>
      <c r="U1975" s="9">
        <f>IF(Q1975="비교",ABS(P1975)+ROW()/1000000000,"")</f>
        <v/>
      </c>
      <c r="V1975" s="39">
        <f>IF($A1975="","",IF(COUNTIF(변동분석!$E$7:$E$506,O1975)&gt;0,"Y","N"))</f>
        <v/>
      </c>
      <c r="W1975" s="39">
        <f>IF($A1975="","",IFERROR(INDEX(계정매핑!$D$5:$D$504,MATCH($F1975&amp;"",계정매핑!$A$5:$A$504,0)),"미매핑"))</f>
        <v/>
      </c>
      <c r="X1975" s="9">
        <f>IF($A1975="","",$F1975&amp;"")</f>
        <v/>
      </c>
    </row>
    <row r="1976">
      <c r="A1976" s="75" t="n">
        <v>2025</v>
      </c>
      <c r="B1976" s="75" t="n">
        <v>11</v>
      </c>
      <c r="C1976" s="75" t="inlineStr">
        <is>
          <t>5100001972</t>
        </is>
      </c>
      <c r="D1976" s="78" t="n">
        <v>45967</v>
      </c>
      <c r="E1976" s="75" t="inlineStr">
        <is>
          <t>KR</t>
        </is>
      </c>
      <c r="F1976" s="75" t="n">
        <v>62301000</v>
      </c>
      <c r="G1976" s="75" t="n">
        <v>1701</v>
      </c>
      <c r="H1976" s="76" t="n">
        <v>335000</v>
      </c>
      <c r="I1976" s="75" t="inlineStr">
        <is>
          <t>11월 소모품 구입 - R문구</t>
        </is>
      </c>
      <c r="J1976" s="75" t="inlineStr">
        <is>
          <t>V10018</t>
        </is>
      </c>
      <c r="K1976" s="75" t="inlineStr">
        <is>
          <t>R문구</t>
        </is>
      </c>
      <c r="M1976" s="9">
        <f>IF($A1976="","",VALUE($A1976&amp;"")*12+VALUE($B1976&amp;""))</f>
        <v/>
      </c>
      <c r="N1976" s="39">
        <f>IF($A1976="","",IFERROR(INDEX(부서매핑!$C$5:$C$504,MATCH($G1976&amp;"",부서매핑!$A$5:$A$504,0)),"미매핑"))</f>
        <v/>
      </c>
      <c r="O1976" s="9">
        <f>IF($A1976="","",N1976&amp;"|"&amp;$F1976)</f>
        <v/>
      </c>
      <c r="P1976" s="77">
        <f>IF($A1976="",0,$H1976*설정!$C$23)</f>
        <v/>
      </c>
      <c r="Q1976" s="39">
        <f>IF($A1976="","",IF(O1976&lt;&gt;원인분석!$C$9,"",IF(AND(M1976&gt;=원인분석!$C$10,M1976&lt;=원인분석!$C$11),"당기",IF(AND(M1976&gt;=원인분석!$C$12,M1976&lt;=원인분석!$C$13),"비교",""))))</f>
        <v/>
      </c>
      <c r="R1976" s="9">
        <f>IF(Q1976="","",$K1976&amp;"")</f>
        <v/>
      </c>
      <c r="S1976" s="9">
        <f>IF(Q1976="","",IF(MATCH(R1976,$R$5:$R$100000,0)=ROW()-4,ROW(),""))</f>
        <v/>
      </c>
      <c r="T1976" s="9">
        <f>IF(Q1976="당기",ABS(P1976)+ROW()/1000000000,"")</f>
        <v/>
      </c>
      <c r="U1976" s="9">
        <f>IF(Q1976="비교",ABS(P1976)+ROW()/1000000000,"")</f>
        <v/>
      </c>
      <c r="V1976" s="39">
        <f>IF($A1976="","",IF(COUNTIF(변동분석!$E$7:$E$506,O1976)&gt;0,"Y","N"))</f>
        <v/>
      </c>
      <c r="W1976" s="39">
        <f>IF($A1976="","",IFERROR(INDEX(계정매핑!$D$5:$D$504,MATCH($F1976&amp;"",계정매핑!$A$5:$A$504,0)),"미매핑"))</f>
        <v/>
      </c>
      <c r="X1976" s="9">
        <f>IF($A1976="","",$F1976&amp;"")</f>
        <v/>
      </c>
    </row>
    <row r="1977">
      <c r="A1977" s="75" t="n">
        <v>2025</v>
      </c>
      <c r="B1977" s="75" t="n">
        <v>11</v>
      </c>
      <c r="C1977" s="75" t="inlineStr">
        <is>
          <t>5100001973</t>
        </is>
      </c>
      <c r="D1977" s="78" t="n">
        <v>45967</v>
      </c>
      <c r="E1977" s="75" t="inlineStr">
        <is>
          <t>KR</t>
        </is>
      </c>
      <c r="F1977" s="75" t="n">
        <v>62401000</v>
      </c>
      <c r="G1977" s="75" t="n">
        <v>1401</v>
      </c>
      <c r="H1977" s="76" t="n">
        <v>213000</v>
      </c>
      <c r="I1977" s="75" t="inlineStr">
        <is>
          <t>11월 인쇄물 제작 - G인쇄</t>
        </is>
      </c>
      <c r="J1977" s="75" t="inlineStr">
        <is>
          <t>V10004</t>
        </is>
      </c>
      <c r="K1977" s="75" t="inlineStr">
        <is>
          <t>G인쇄</t>
        </is>
      </c>
      <c r="M1977" s="9">
        <f>IF($A1977="","",VALUE($A1977&amp;"")*12+VALUE($B1977&amp;""))</f>
        <v/>
      </c>
      <c r="N1977" s="39">
        <f>IF($A1977="","",IFERROR(INDEX(부서매핑!$C$5:$C$504,MATCH($G1977&amp;"",부서매핑!$A$5:$A$504,0)),"미매핑"))</f>
        <v/>
      </c>
      <c r="O1977" s="9">
        <f>IF($A1977="","",N1977&amp;"|"&amp;$F1977)</f>
        <v/>
      </c>
      <c r="P1977" s="77">
        <f>IF($A1977="",0,$H1977*설정!$C$23)</f>
        <v/>
      </c>
      <c r="Q1977" s="39">
        <f>IF($A1977="","",IF(O1977&lt;&gt;원인분석!$C$9,"",IF(AND(M1977&gt;=원인분석!$C$10,M1977&lt;=원인분석!$C$11),"당기",IF(AND(M1977&gt;=원인분석!$C$12,M1977&lt;=원인분석!$C$13),"비교",""))))</f>
        <v/>
      </c>
      <c r="R1977" s="9">
        <f>IF(Q1977="","",$K1977&amp;"")</f>
        <v/>
      </c>
      <c r="S1977" s="9">
        <f>IF(Q1977="","",IF(MATCH(R1977,$R$5:$R$100000,0)=ROW()-4,ROW(),""))</f>
        <v/>
      </c>
      <c r="T1977" s="9">
        <f>IF(Q1977="당기",ABS(P1977)+ROW()/1000000000,"")</f>
        <v/>
      </c>
      <c r="U1977" s="9">
        <f>IF(Q1977="비교",ABS(P1977)+ROW()/1000000000,"")</f>
        <v/>
      </c>
      <c r="V1977" s="39">
        <f>IF($A1977="","",IF(COUNTIF(변동분석!$E$7:$E$506,O1977)&gt;0,"Y","N"))</f>
        <v/>
      </c>
      <c r="W1977" s="39">
        <f>IF($A1977="","",IFERROR(INDEX(계정매핑!$D$5:$D$504,MATCH($F1977&amp;"",계정매핑!$A$5:$A$504,0)),"미매핑"))</f>
        <v/>
      </c>
      <c r="X1977" s="9">
        <f>IF($A1977="","",$F1977&amp;"")</f>
        <v/>
      </c>
    </row>
    <row r="1978">
      <c r="A1978" s="75" t="n">
        <v>2025</v>
      </c>
      <c r="B1978" s="75" t="n">
        <v>11</v>
      </c>
      <c r="C1978" s="75" t="inlineStr">
        <is>
          <t>5100001974</t>
        </is>
      </c>
      <c r="D1978" s="78" t="n">
        <v>45967</v>
      </c>
      <c r="E1978" s="75" t="inlineStr">
        <is>
          <t>KR</t>
        </is>
      </c>
      <c r="F1978" s="75" t="n">
        <v>62401000</v>
      </c>
      <c r="G1978" s="75" t="n">
        <v>1401</v>
      </c>
      <c r="H1978" s="76" t="n">
        <v>152000</v>
      </c>
      <c r="I1978" s="75" t="inlineStr">
        <is>
          <t>11월 인쇄물 제작 - G인쇄</t>
        </is>
      </c>
      <c r="J1978" s="75" t="inlineStr">
        <is>
          <t>V10004</t>
        </is>
      </c>
      <c r="K1978" s="75" t="inlineStr">
        <is>
          <t>G인쇄</t>
        </is>
      </c>
      <c r="M1978" s="9">
        <f>IF($A1978="","",VALUE($A1978&amp;"")*12+VALUE($B1978&amp;""))</f>
        <v/>
      </c>
      <c r="N1978" s="39">
        <f>IF($A1978="","",IFERROR(INDEX(부서매핑!$C$5:$C$504,MATCH($G1978&amp;"",부서매핑!$A$5:$A$504,0)),"미매핑"))</f>
        <v/>
      </c>
      <c r="O1978" s="9">
        <f>IF($A1978="","",N1978&amp;"|"&amp;$F1978)</f>
        <v/>
      </c>
      <c r="P1978" s="77">
        <f>IF($A1978="",0,$H1978*설정!$C$23)</f>
        <v/>
      </c>
      <c r="Q1978" s="39">
        <f>IF($A1978="","",IF(O1978&lt;&gt;원인분석!$C$9,"",IF(AND(M1978&gt;=원인분석!$C$10,M1978&lt;=원인분석!$C$11),"당기",IF(AND(M1978&gt;=원인분석!$C$12,M1978&lt;=원인분석!$C$13),"비교",""))))</f>
        <v/>
      </c>
      <c r="R1978" s="9">
        <f>IF(Q1978="","",$K1978&amp;"")</f>
        <v/>
      </c>
      <c r="S1978" s="9">
        <f>IF(Q1978="","",IF(MATCH(R1978,$R$5:$R$100000,0)=ROW()-4,ROW(),""))</f>
        <v/>
      </c>
      <c r="T1978" s="9">
        <f>IF(Q1978="당기",ABS(P1978)+ROW()/1000000000,"")</f>
        <v/>
      </c>
      <c r="U1978" s="9">
        <f>IF(Q1978="비교",ABS(P1978)+ROW()/1000000000,"")</f>
        <v/>
      </c>
      <c r="V1978" s="39">
        <f>IF($A1978="","",IF(COUNTIF(변동분석!$E$7:$E$506,O1978)&gt;0,"Y","N"))</f>
        <v/>
      </c>
      <c r="W1978" s="39">
        <f>IF($A1978="","",IFERROR(INDEX(계정매핑!$D$5:$D$504,MATCH($F1978&amp;"",계정매핑!$A$5:$A$504,0)),"미매핑"))</f>
        <v/>
      </c>
      <c r="X1978" s="9">
        <f>IF($A1978="","",$F1978&amp;"")</f>
        <v/>
      </c>
    </row>
    <row r="1979">
      <c r="A1979" s="75" t="n">
        <v>2025</v>
      </c>
      <c r="B1979" s="75" t="n">
        <v>11</v>
      </c>
      <c r="C1979" s="75" t="inlineStr">
        <is>
          <t>5100001975</t>
        </is>
      </c>
      <c r="D1979" s="78" t="n">
        <v>45967</v>
      </c>
      <c r="E1979" s="75" t="inlineStr">
        <is>
          <t>KR</t>
        </is>
      </c>
      <c r="F1979" s="75" t="n">
        <v>62501000</v>
      </c>
      <c r="G1979" s="75" t="n">
        <v>1701</v>
      </c>
      <c r="H1979" s="76" t="n">
        <v>161000</v>
      </c>
      <c r="I1979" s="75" t="inlineStr">
        <is>
          <t>11월 회의 다과 - T케이터링</t>
        </is>
      </c>
      <c r="J1979" s="75" t="inlineStr">
        <is>
          <t>V10005</t>
        </is>
      </c>
      <c r="K1979" s="75" t="inlineStr">
        <is>
          <t>T케이터링</t>
        </is>
      </c>
      <c r="M1979" s="9">
        <f>IF($A1979="","",VALUE($A1979&amp;"")*12+VALUE($B1979&amp;""))</f>
        <v/>
      </c>
      <c r="N1979" s="39">
        <f>IF($A1979="","",IFERROR(INDEX(부서매핑!$C$5:$C$504,MATCH($G1979&amp;"",부서매핑!$A$5:$A$504,0)),"미매핑"))</f>
        <v/>
      </c>
      <c r="O1979" s="9">
        <f>IF($A1979="","",N1979&amp;"|"&amp;$F1979)</f>
        <v/>
      </c>
      <c r="P1979" s="77">
        <f>IF($A1979="",0,$H1979*설정!$C$23)</f>
        <v/>
      </c>
      <c r="Q1979" s="39">
        <f>IF($A1979="","",IF(O1979&lt;&gt;원인분석!$C$9,"",IF(AND(M1979&gt;=원인분석!$C$10,M1979&lt;=원인분석!$C$11),"당기",IF(AND(M1979&gt;=원인분석!$C$12,M1979&lt;=원인분석!$C$13),"비교",""))))</f>
        <v/>
      </c>
      <c r="R1979" s="9">
        <f>IF(Q1979="","",$K1979&amp;"")</f>
        <v/>
      </c>
      <c r="S1979" s="9">
        <f>IF(Q1979="","",IF(MATCH(R1979,$R$5:$R$100000,0)=ROW()-4,ROW(),""))</f>
        <v/>
      </c>
      <c r="T1979" s="9">
        <f>IF(Q1979="당기",ABS(P1979)+ROW()/1000000000,"")</f>
        <v/>
      </c>
      <c r="U1979" s="9">
        <f>IF(Q1979="비교",ABS(P1979)+ROW()/1000000000,"")</f>
        <v/>
      </c>
      <c r="V1979" s="39">
        <f>IF($A1979="","",IF(COUNTIF(변동분석!$E$7:$E$506,O1979)&gt;0,"Y","N"))</f>
        <v/>
      </c>
      <c r="W1979" s="39">
        <f>IF($A1979="","",IFERROR(INDEX(계정매핑!$D$5:$D$504,MATCH($F1979&amp;"",계정매핑!$A$5:$A$504,0)),"미매핑"))</f>
        <v/>
      </c>
      <c r="X1979" s="9">
        <f>IF($A1979="","",$F1979&amp;"")</f>
        <v/>
      </c>
    </row>
    <row r="1980">
      <c r="A1980" s="75" t="n">
        <v>2025</v>
      </c>
      <c r="B1980" s="75" t="n">
        <v>11</v>
      </c>
      <c r="C1980" s="75" t="inlineStr">
        <is>
          <t>5100001976</t>
        </is>
      </c>
      <c r="D1980" s="78" t="n">
        <v>45967</v>
      </c>
      <c r="E1980" s="75" t="inlineStr">
        <is>
          <t>KR</t>
        </is>
      </c>
      <c r="F1980" s="75" t="n">
        <v>62501000</v>
      </c>
      <c r="G1980" s="75" t="n">
        <v>1801</v>
      </c>
      <c r="H1980" s="76" t="n">
        <v>166000</v>
      </c>
      <c r="I1980" s="75" t="inlineStr">
        <is>
          <t>11월 회의 다과 - (법인카드)</t>
        </is>
      </c>
      <c r="J1980" s="75" t="inlineStr">
        <is>
          <t>V10008</t>
        </is>
      </c>
      <c r="K1980" s="75" t="inlineStr">
        <is>
          <t>(법인카드)</t>
        </is>
      </c>
      <c r="M1980" s="9">
        <f>IF($A1980="","",VALUE($A1980&amp;"")*12+VALUE($B1980&amp;""))</f>
        <v/>
      </c>
      <c r="N1980" s="39">
        <f>IF($A1980="","",IFERROR(INDEX(부서매핑!$C$5:$C$504,MATCH($G1980&amp;"",부서매핑!$A$5:$A$504,0)),"미매핑"))</f>
        <v/>
      </c>
      <c r="O1980" s="9">
        <f>IF($A1980="","",N1980&amp;"|"&amp;$F1980)</f>
        <v/>
      </c>
      <c r="P1980" s="77">
        <f>IF($A1980="",0,$H1980*설정!$C$23)</f>
        <v/>
      </c>
      <c r="Q1980" s="39">
        <f>IF($A1980="","",IF(O1980&lt;&gt;원인분석!$C$9,"",IF(AND(M1980&gt;=원인분석!$C$10,M1980&lt;=원인분석!$C$11),"당기",IF(AND(M1980&gt;=원인분석!$C$12,M1980&lt;=원인분석!$C$13),"비교",""))))</f>
        <v/>
      </c>
      <c r="R1980" s="9">
        <f>IF(Q1980="","",$K1980&amp;"")</f>
        <v/>
      </c>
      <c r="S1980" s="9">
        <f>IF(Q1980="","",IF(MATCH(R1980,$R$5:$R$100000,0)=ROW()-4,ROW(),""))</f>
        <v/>
      </c>
      <c r="T1980" s="9">
        <f>IF(Q1980="당기",ABS(P1980)+ROW()/1000000000,"")</f>
        <v/>
      </c>
      <c r="U1980" s="9">
        <f>IF(Q1980="비교",ABS(P1980)+ROW()/1000000000,"")</f>
        <v/>
      </c>
      <c r="V1980" s="39">
        <f>IF($A1980="","",IF(COUNTIF(변동분석!$E$7:$E$506,O1980)&gt;0,"Y","N"))</f>
        <v/>
      </c>
      <c r="W1980" s="39">
        <f>IF($A1980="","",IFERROR(INDEX(계정매핑!$D$5:$D$504,MATCH($F1980&amp;"",계정매핑!$A$5:$A$504,0)),"미매핑"))</f>
        <v/>
      </c>
      <c r="X1980" s="9">
        <f>IF($A1980="","",$F1980&amp;"")</f>
        <v/>
      </c>
    </row>
    <row r="1981">
      <c r="A1981" s="75" t="n">
        <v>2025</v>
      </c>
      <c r="B1981" s="75" t="n">
        <v>11</v>
      </c>
      <c r="C1981" s="75" t="inlineStr">
        <is>
          <t>5100001977</t>
        </is>
      </c>
      <c r="D1981" s="78" t="n">
        <v>45967</v>
      </c>
      <c r="E1981" s="75" t="inlineStr">
        <is>
          <t>KR</t>
        </is>
      </c>
      <c r="F1981" s="75" t="n">
        <v>62901000</v>
      </c>
      <c r="G1981" s="75" t="n">
        <v>1101</v>
      </c>
      <c r="H1981" s="76" t="n">
        <v>2889000</v>
      </c>
      <c r="I1981" s="75" t="inlineStr">
        <is>
          <t>11월 자문 수수료 - W컨설팅</t>
        </is>
      </c>
      <c r="J1981" s="75" t="inlineStr">
        <is>
          <t>V10009</t>
        </is>
      </c>
      <c r="K1981" s="75" t="inlineStr">
        <is>
          <t>W컨설팅</t>
        </is>
      </c>
      <c r="M1981" s="9">
        <f>IF($A1981="","",VALUE($A1981&amp;"")*12+VALUE($B1981&amp;""))</f>
        <v/>
      </c>
      <c r="N1981" s="39">
        <f>IF($A1981="","",IFERROR(INDEX(부서매핑!$C$5:$C$504,MATCH($G1981&amp;"",부서매핑!$A$5:$A$504,0)),"미매핑"))</f>
        <v/>
      </c>
      <c r="O1981" s="9">
        <f>IF($A1981="","",N1981&amp;"|"&amp;$F1981)</f>
        <v/>
      </c>
      <c r="P1981" s="77">
        <f>IF($A1981="",0,$H1981*설정!$C$23)</f>
        <v/>
      </c>
      <c r="Q1981" s="39">
        <f>IF($A1981="","",IF(O1981&lt;&gt;원인분석!$C$9,"",IF(AND(M1981&gt;=원인분석!$C$10,M1981&lt;=원인분석!$C$11),"당기",IF(AND(M1981&gt;=원인분석!$C$12,M1981&lt;=원인분석!$C$13),"비교",""))))</f>
        <v/>
      </c>
      <c r="R1981" s="9">
        <f>IF(Q1981="","",$K1981&amp;"")</f>
        <v/>
      </c>
      <c r="S1981" s="9">
        <f>IF(Q1981="","",IF(MATCH(R1981,$R$5:$R$100000,0)=ROW()-4,ROW(),""))</f>
        <v/>
      </c>
      <c r="T1981" s="9">
        <f>IF(Q1981="당기",ABS(P1981)+ROW()/1000000000,"")</f>
        <v/>
      </c>
      <c r="U1981" s="9">
        <f>IF(Q1981="비교",ABS(P1981)+ROW()/1000000000,"")</f>
        <v/>
      </c>
      <c r="V1981" s="39">
        <f>IF($A1981="","",IF(COUNTIF(변동분석!$E$7:$E$506,O1981)&gt;0,"Y","N"))</f>
        <v/>
      </c>
      <c r="W1981" s="39">
        <f>IF($A1981="","",IFERROR(INDEX(계정매핑!$D$5:$D$504,MATCH($F1981&amp;"",계정매핑!$A$5:$A$504,0)),"미매핑"))</f>
        <v/>
      </c>
      <c r="X1981" s="9">
        <f>IF($A1981="","",$F1981&amp;"")</f>
        <v/>
      </c>
    </row>
    <row r="1982">
      <c r="A1982" s="75" t="n">
        <v>2025</v>
      </c>
      <c r="B1982" s="75" t="n">
        <v>11</v>
      </c>
      <c r="C1982" s="75" t="inlineStr">
        <is>
          <t>5100001978</t>
        </is>
      </c>
      <c r="D1982" s="78" t="n">
        <v>45967</v>
      </c>
      <c r="E1982" s="75" t="inlineStr">
        <is>
          <t>KR</t>
        </is>
      </c>
      <c r="F1982" s="75" t="n">
        <v>62902000</v>
      </c>
      <c r="G1982" s="75" t="n">
        <v>1401</v>
      </c>
      <c r="H1982" s="76" t="n">
        <v>2464000</v>
      </c>
      <c r="I1982" s="75" t="inlineStr">
        <is>
          <t>11월 업무 위탁 수수료 - X서비스</t>
        </is>
      </c>
      <c r="J1982" s="75" t="inlineStr">
        <is>
          <t>V10016</t>
        </is>
      </c>
      <c r="K1982" s="75" t="inlineStr">
        <is>
          <t>X서비스</t>
        </is>
      </c>
      <c r="M1982" s="9">
        <f>IF($A1982="","",VALUE($A1982&amp;"")*12+VALUE($B1982&amp;""))</f>
        <v/>
      </c>
      <c r="N1982" s="39">
        <f>IF($A1982="","",IFERROR(INDEX(부서매핑!$C$5:$C$504,MATCH($G1982&amp;"",부서매핑!$A$5:$A$504,0)),"미매핑"))</f>
        <v/>
      </c>
      <c r="O1982" s="9">
        <f>IF($A1982="","",N1982&amp;"|"&amp;$F1982)</f>
        <v/>
      </c>
      <c r="P1982" s="77">
        <f>IF($A1982="",0,$H1982*설정!$C$23)</f>
        <v/>
      </c>
      <c r="Q1982" s="39">
        <f>IF($A1982="","",IF(O1982&lt;&gt;원인분석!$C$9,"",IF(AND(M1982&gt;=원인분석!$C$10,M1982&lt;=원인분석!$C$11),"당기",IF(AND(M1982&gt;=원인분석!$C$12,M1982&lt;=원인분석!$C$13),"비교",""))))</f>
        <v/>
      </c>
      <c r="R1982" s="9">
        <f>IF(Q1982="","",$K1982&amp;"")</f>
        <v/>
      </c>
      <c r="S1982" s="9">
        <f>IF(Q1982="","",IF(MATCH(R1982,$R$5:$R$100000,0)=ROW()-4,ROW(),""))</f>
        <v/>
      </c>
      <c r="T1982" s="9">
        <f>IF(Q1982="당기",ABS(P1982)+ROW()/1000000000,"")</f>
        <v/>
      </c>
      <c r="U1982" s="9">
        <f>IF(Q1982="비교",ABS(P1982)+ROW()/1000000000,"")</f>
        <v/>
      </c>
      <c r="V1982" s="39">
        <f>IF($A1982="","",IF(COUNTIF(변동분석!$E$7:$E$506,O1982)&gt;0,"Y","N"))</f>
        <v/>
      </c>
      <c r="W1982" s="39">
        <f>IF($A1982="","",IFERROR(INDEX(계정매핑!$D$5:$D$504,MATCH($F1982&amp;"",계정매핑!$A$5:$A$504,0)),"미매핑"))</f>
        <v/>
      </c>
      <c r="X1982" s="9">
        <f>IF($A1982="","",$F1982&amp;"")</f>
        <v/>
      </c>
    </row>
    <row r="1983">
      <c r="A1983" s="75" t="n">
        <v>2025</v>
      </c>
      <c r="B1983" s="75" t="n">
        <v>11</v>
      </c>
      <c r="C1983" s="75" t="inlineStr">
        <is>
          <t>5100001979</t>
        </is>
      </c>
      <c r="D1983" s="78" t="n">
        <v>45968</v>
      </c>
      <c r="E1983" s="75" t="inlineStr">
        <is>
          <t>KR</t>
        </is>
      </c>
      <c r="F1983" s="75" t="n">
        <v>62102000</v>
      </c>
      <c r="G1983" s="75" t="n">
        <v>1201</v>
      </c>
      <c r="H1983" s="76" t="n">
        <v>52000</v>
      </c>
      <c r="I1983" s="75" t="inlineStr">
        <is>
          <t>11월 해외출장 - M항공</t>
        </is>
      </c>
      <c r="J1983" s="75" t="inlineStr">
        <is>
          <t>V10001</t>
        </is>
      </c>
      <c r="K1983" s="75" t="inlineStr">
        <is>
          <t>M항공</t>
        </is>
      </c>
      <c r="M1983" s="9">
        <f>IF($A1983="","",VALUE($A1983&amp;"")*12+VALUE($B1983&amp;""))</f>
        <v/>
      </c>
      <c r="N1983" s="39">
        <f>IF($A1983="","",IFERROR(INDEX(부서매핑!$C$5:$C$504,MATCH($G1983&amp;"",부서매핑!$A$5:$A$504,0)),"미매핑"))</f>
        <v/>
      </c>
      <c r="O1983" s="9">
        <f>IF($A1983="","",N1983&amp;"|"&amp;$F1983)</f>
        <v/>
      </c>
      <c r="P1983" s="77">
        <f>IF($A1983="",0,$H1983*설정!$C$23)</f>
        <v/>
      </c>
      <c r="Q1983" s="39">
        <f>IF($A1983="","",IF(O1983&lt;&gt;원인분석!$C$9,"",IF(AND(M1983&gt;=원인분석!$C$10,M1983&lt;=원인분석!$C$11),"당기",IF(AND(M1983&gt;=원인분석!$C$12,M1983&lt;=원인분석!$C$13),"비교",""))))</f>
        <v/>
      </c>
      <c r="R1983" s="9">
        <f>IF(Q1983="","",$K1983&amp;"")</f>
        <v/>
      </c>
      <c r="S1983" s="9">
        <f>IF(Q1983="","",IF(MATCH(R1983,$R$5:$R$100000,0)=ROW()-4,ROW(),""))</f>
        <v/>
      </c>
      <c r="T1983" s="9">
        <f>IF(Q1983="당기",ABS(P1983)+ROW()/1000000000,"")</f>
        <v/>
      </c>
      <c r="U1983" s="9">
        <f>IF(Q1983="비교",ABS(P1983)+ROW()/1000000000,"")</f>
        <v/>
      </c>
      <c r="V1983" s="39">
        <f>IF($A1983="","",IF(COUNTIF(변동분석!$E$7:$E$506,O1983)&gt;0,"Y","N"))</f>
        <v/>
      </c>
      <c r="W1983" s="39">
        <f>IF($A1983="","",IFERROR(INDEX(계정매핑!$D$5:$D$504,MATCH($F1983&amp;"",계정매핑!$A$5:$A$504,0)),"미매핑"))</f>
        <v/>
      </c>
      <c r="X1983" s="9">
        <f>IF($A1983="","",$F1983&amp;"")</f>
        <v/>
      </c>
    </row>
    <row r="1984">
      <c r="A1984" s="75" t="n">
        <v>2025</v>
      </c>
      <c r="B1984" s="75" t="n">
        <v>11</v>
      </c>
      <c r="C1984" s="75" t="inlineStr">
        <is>
          <t>5100001980</t>
        </is>
      </c>
      <c r="D1984" s="78" t="n">
        <v>45968</v>
      </c>
      <c r="E1984" s="75" t="inlineStr">
        <is>
          <t>KR</t>
        </is>
      </c>
      <c r="F1984" s="75" t="n">
        <v>62201000</v>
      </c>
      <c r="G1984" s="75" t="n">
        <v>1101</v>
      </c>
      <c r="H1984" s="76" t="n">
        <v>165000</v>
      </c>
      <c r="I1984" s="75" t="inlineStr">
        <is>
          <t>11월 통신요금 - P통신</t>
        </is>
      </c>
      <c r="J1984" s="75" t="inlineStr">
        <is>
          <t>V10011</t>
        </is>
      </c>
      <c r="K1984" s="75" t="inlineStr">
        <is>
          <t>P통신</t>
        </is>
      </c>
      <c r="M1984" s="9">
        <f>IF($A1984="","",VALUE($A1984&amp;"")*12+VALUE($B1984&amp;""))</f>
        <v/>
      </c>
      <c r="N1984" s="39">
        <f>IF($A1984="","",IFERROR(INDEX(부서매핑!$C$5:$C$504,MATCH($G1984&amp;"",부서매핑!$A$5:$A$504,0)),"미매핑"))</f>
        <v/>
      </c>
      <c r="O1984" s="9">
        <f>IF($A1984="","",N1984&amp;"|"&amp;$F1984)</f>
        <v/>
      </c>
      <c r="P1984" s="77">
        <f>IF($A1984="",0,$H1984*설정!$C$23)</f>
        <v/>
      </c>
      <c r="Q1984" s="39">
        <f>IF($A1984="","",IF(O1984&lt;&gt;원인분석!$C$9,"",IF(AND(M1984&gt;=원인분석!$C$10,M1984&lt;=원인분석!$C$11),"당기",IF(AND(M1984&gt;=원인분석!$C$12,M1984&lt;=원인분석!$C$13),"비교",""))))</f>
        <v/>
      </c>
      <c r="R1984" s="9">
        <f>IF(Q1984="","",$K1984&amp;"")</f>
        <v/>
      </c>
      <c r="S1984" s="9">
        <f>IF(Q1984="","",IF(MATCH(R1984,$R$5:$R$100000,0)=ROW()-4,ROW(),""))</f>
        <v/>
      </c>
      <c r="T1984" s="9">
        <f>IF(Q1984="당기",ABS(P1984)+ROW()/1000000000,"")</f>
        <v/>
      </c>
      <c r="U1984" s="9">
        <f>IF(Q1984="비교",ABS(P1984)+ROW()/1000000000,"")</f>
        <v/>
      </c>
      <c r="V1984" s="39">
        <f>IF($A1984="","",IF(COUNTIF(변동분석!$E$7:$E$506,O1984)&gt;0,"Y","N"))</f>
        <v/>
      </c>
      <c r="W1984" s="39">
        <f>IF($A1984="","",IFERROR(INDEX(계정매핑!$D$5:$D$504,MATCH($F1984&amp;"",계정매핑!$A$5:$A$504,0)),"미매핑"))</f>
        <v/>
      </c>
      <c r="X1984" s="9">
        <f>IF($A1984="","",$F1984&amp;"")</f>
        <v/>
      </c>
    </row>
    <row r="1985">
      <c r="A1985" s="75" t="n">
        <v>2025</v>
      </c>
      <c r="B1985" s="75" t="n">
        <v>11</v>
      </c>
      <c r="C1985" s="75" t="inlineStr">
        <is>
          <t>5100001981</t>
        </is>
      </c>
      <c r="D1985" s="78" t="n">
        <v>45968</v>
      </c>
      <c r="E1985" s="75" t="inlineStr">
        <is>
          <t>KR</t>
        </is>
      </c>
      <c r="F1985" s="75" t="n">
        <v>62201000</v>
      </c>
      <c r="G1985" s="75" t="n">
        <v>1401</v>
      </c>
      <c r="H1985" s="76" t="n">
        <v>195000</v>
      </c>
      <c r="I1985" s="75" t="inlineStr">
        <is>
          <t>11월 통신요금 - O텔레콤</t>
        </is>
      </c>
      <c r="J1985" s="75" t="inlineStr">
        <is>
          <t>V10002</t>
        </is>
      </c>
      <c r="K1985" s="75" t="inlineStr">
        <is>
          <t>O텔레콤</t>
        </is>
      </c>
      <c r="M1985" s="9">
        <f>IF($A1985="","",VALUE($A1985&amp;"")*12+VALUE($B1985&amp;""))</f>
        <v/>
      </c>
      <c r="N1985" s="39">
        <f>IF($A1985="","",IFERROR(INDEX(부서매핑!$C$5:$C$504,MATCH($G1985&amp;"",부서매핑!$A$5:$A$504,0)),"미매핑"))</f>
        <v/>
      </c>
      <c r="O1985" s="9">
        <f>IF($A1985="","",N1985&amp;"|"&amp;$F1985)</f>
        <v/>
      </c>
      <c r="P1985" s="77">
        <f>IF($A1985="",0,$H1985*설정!$C$23)</f>
        <v/>
      </c>
      <c r="Q1985" s="39">
        <f>IF($A1985="","",IF(O1985&lt;&gt;원인분석!$C$9,"",IF(AND(M1985&gt;=원인분석!$C$10,M1985&lt;=원인분석!$C$11),"당기",IF(AND(M1985&gt;=원인분석!$C$12,M1985&lt;=원인분석!$C$13),"비교",""))))</f>
        <v/>
      </c>
      <c r="R1985" s="9">
        <f>IF(Q1985="","",$K1985&amp;"")</f>
        <v/>
      </c>
      <c r="S1985" s="9">
        <f>IF(Q1985="","",IF(MATCH(R1985,$R$5:$R$100000,0)=ROW()-4,ROW(),""))</f>
        <v/>
      </c>
      <c r="T1985" s="9">
        <f>IF(Q1985="당기",ABS(P1985)+ROW()/1000000000,"")</f>
        <v/>
      </c>
      <c r="U1985" s="9">
        <f>IF(Q1985="비교",ABS(P1985)+ROW()/1000000000,"")</f>
        <v/>
      </c>
      <c r="V1985" s="39">
        <f>IF($A1985="","",IF(COUNTIF(변동분석!$E$7:$E$506,O1985)&gt;0,"Y","N"))</f>
        <v/>
      </c>
      <c r="W1985" s="39">
        <f>IF($A1985="","",IFERROR(INDEX(계정매핑!$D$5:$D$504,MATCH($F1985&amp;"",계정매핑!$A$5:$A$504,0)),"미매핑"))</f>
        <v/>
      </c>
      <c r="X1985" s="9">
        <f>IF($A1985="","",$F1985&amp;"")</f>
        <v/>
      </c>
    </row>
    <row r="1986">
      <c r="A1986" s="75" t="n">
        <v>2025</v>
      </c>
      <c r="B1986" s="75" t="n">
        <v>11</v>
      </c>
      <c r="C1986" s="75" t="inlineStr">
        <is>
          <t>5100001982</t>
        </is>
      </c>
      <c r="D1986" s="78" t="n">
        <v>45968</v>
      </c>
      <c r="E1986" s="75" t="inlineStr">
        <is>
          <t>KR</t>
        </is>
      </c>
      <c r="F1986" s="75" t="n">
        <v>62201000</v>
      </c>
      <c r="G1986" s="75" t="n">
        <v>1602</v>
      </c>
      <c r="H1986" s="76" t="n">
        <v>809000</v>
      </c>
      <c r="I1986" s="75" t="inlineStr">
        <is>
          <t>11월 통신요금 - P통신</t>
        </is>
      </c>
      <c r="J1986" s="75" t="inlineStr">
        <is>
          <t>V10011</t>
        </is>
      </c>
      <c r="K1986" s="75" t="inlineStr">
        <is>
          <t>P통신</t>
        </is>
      </c>
      <c r="M1986" s="9">
        <f>IF($A1986="","",VALUE($A1986&amp;"")*12+VALUE($B1986&amp;""))</f>
        <v/>
      </c>
      <c r="N1986" s="39">
        <f>IF($A1986="","",IFERROR(INDEX(부서매핑!$C$5:$C$504,MATCH($G1986&amp;"",부서매핑!$A$5:$A$504,0)),"미매핑"))</f>
        <v/>
      </c>
      <c r="O1986" s="9">
        <f>IF($A1986="","",N1986&amp;"|"&amp;$F1986)</f>
        <v/>
      </c>
      <c r="P1986" s="77">
        <f>IF($A1986="",0,$H1986*설정!$C$23)</f>
        <v/>
      </c>
      <c r="Q1986" s="39">
        <f>IF($A1986="","",IF(O1986&lt;&gt;원인분석!$C$9,"",IF(AND(M1986&gt;=원인분석!$C$10,M1986&lt;=원인분석!$C$11),"당기",IF(AND(M1986&gt;=원인분석!$C$12,M1986&lt;=원인분석!$C$13),"비교",""))))</f>
        <v/>
      </c>
      <c r="R1986" s="9">
        <f>IF(Q1986="","",$K1986&amp;"")</f>
        <v/>
      </c>
      <c r="S1986" s="9">
        <f>IF(Q1986="","",IF(MATCH(R1986,$R$5:$R$100000,0)=ROW()-4,ROW(),""))</f>
        <v/>
      </c>
      <c r="T1986" s="9">
        <f>IF(Q1986="당기",ABS(P1986)+ROW()/1000000000,"")</f>
        <v/>
      </c>
      <c r="U1986" s="9">
        <f>IF(Q1986="비교",ABS(P1986)+ROW()/1000000000,"")</f>
        <v/>
      </c>
      <c r="V1986" s="39">
        <f>IF($A1986="","",IF(COUNTIF(변동분석!$E$7:$E$506,O1986)&gt;0,"Y","N"))</f>
        <v/>
      </c>
      <c r="W1986" s="39">
        <f>IF($A1986="","",IFERROR(INDEX(계정매핑!$D$5:$D$504,MATCH($F1986&amp;"",계정매핑!$A$5:$A$504,0)),"미매핑"))</f>
        <v/>
      </c>
      <c r="X1986" s="9">
        <f>IF($A1986="","",$F1986&amp;"")</f>
        <v/>
      </c>
    </row>
    <row r="1987">
      <c r="A1987" s="75" t="n">
        <v>2025</v>
      </c>
      <c r="B1987" s="75" t="n">
        <v>11</v>
      </c>
      <c r="C1987" s="75" t="inlineStr">
        <is>
          <t>5100001983</t>
        </is>
      </c>
      <c r="D1987" s="78" t="n">
        <v>45968</v>
      </c>
      <c r="E1987" s="75" t="inlineStr">
        <is>
          <t>KR</t>
        </is>
      </c>
      <c r="F1987" s="75" t="n">
        <v>62501000</v>
      </c>
      <c r="G1987" s="75" t="n">
        <v>1101</v>
      </c>
      <c r="H1987" s="76" t="n">
        <v>256000</v>
      </c>
      <c r="I1987" s="75" t="inlineStr">
        <is>
          <t>11월 회의 다과 - T케이터링</t>
        </is>
      </c>
      <c r="J1987" s="75" t="inlineStr">
        <is>
          <t>V10005</t>
        </is>
      </c>
      <c r="K1987" s="75" t="inlineStr">
        <is>
          <t>T케이터링</t>
        </is>
      </c>
      <c r="M1987" s="9">
        <f>IF($A1987="","",VALUE($A1987&amp;"")*12+VALUE($B1987&amp;""))</f>
        <v/>
      </c>
      <c r="N1987" s="39">
        <f>IF($A1987="","",IFERROR(INDEX(부서매핑!$C$5:$C$504,MATCH($G1987&amp;"",부서매핑!$A$5:$A$504,0)),"미매핑"))</f>
        <v/>
      </c>
      <c r="O1987" s="9">
        <f>IF($A1987="","",N1987&amp;"|"&amp;$F1987)</f>
        <v/>
      </c>
      <c r="P1987" s="77">
        <f>IF($A1987="",0,$H1987*설정!$C$23)</f>
        <v/>
      </c>
      <c r="Q1987" s="39">
        <f>IF($A1987="","",IF(O1987&lt;&gt;원인분석!$C$9,"",IF(AND(M1987&gt;=원인분석!$C$10,M1987&lt;=원인분석!$C$11),"당기",IF(AND(M1987&gt;=원인분석!$C$12,M1987&lt;=원인분석!$C$13),"비교",""))))</f>
        <v/>
      </c>
      <c r="R1987" s="9">
        <f>IF(Q1987="","",$K1987&amp;"")</f>
        <v/>
      </c>
      <c r="S1987" s="9">
        <f>IF(Q1987="","",IF(MATCH(R1987,$R$5:$R$100000,0)=ROW()-4,ROW(),""))</f>
        <v/>
      </c>
      <c r="T1987" s="9">
        <f>IF(Q1987="당기",ABS(P1987)+ROW()/1000000000,"")</f>
        <v/>
      </c>
      <c r="U1987" s="9">
        <f>IF(Q1987="비교",ABS(P1987)+ROW()/1000000000,"")</f>
        <v/>
      </c>
      <c r="V1987" s="39">
        <f>IF($A1987="","",IF(COUNTIF(변동분석!$E$7:$E$506,O1987)&gt;0,"Y","N"))</f>
        <v/>
      </c>
      <c r="W1987" s="39">
        <f>IF($A1987="","",IFERROR(INDEX(계정매핑!$D$5:$D$504,MATCH($F1987&amp;"",계정매핑!$A$5:$A$504,0)),"미매핑"))</f>
        <v/>
      </c>
      <c r="X1987" s="9">
        <f>IF($A1987="","",$F1987&amp;"")</f>
        <v/>
      </c>
    </row>
    <row r="1988">
      <c r="A1988" s="75" t="n">
        <v>2025</v>
      </c>
      <c r="B1988" s="75" t="n">
        <v>11</v>
      </c>
      <c r="C1988" s="75" t="inlineStr">
        <is>
          <t>5100001984</t>
        </is>
      </c>
      <c r="D1988" s="78" t="n">
        <v>45968</v>
      </c>
      <c r="E1988" s="75" t="inlineStr">
        <is>
          <t>KR</t>
        </is>
      </c>
      <c r="F1988" s="75" t="n">
        <v>62601000</v>
      </c>
      <c r="G1988" s="75" t="n">
        <v>1501</v>
      </c>
      <c r="H1988" s="76" t="n">
        <v>2551000</v>
      </c>
      <c r="I1988" s="75" t="inlineStr">
        <is>
          <t>11월 업무추진 - (법인카드)</t>
        </is>
      </c>
      <c r="J1988" s="75" t="inlineStr">
        <is>
          <t>V10008</t>
        </is>
      </c>
      <c r="K1988" s="75" t="inlineStr">
        <is>
          <t>(법인카드)</t>
        </is>
      </c>
      <c r="M1988" s="9">
        <f>IF($A1988="","",VALUE($A1988&amp;"")*12+VALUE($B1988&amp;""))</f>
        <v/>
      </c>
      <c r="N1988" s="39">
        <f>IF($A1988="","",IFERROR(INDEX(부서매핑!$C$5:$C$504,MATCH($G1988&amp;"",부서매핑!$A$5:$A$504,0)),"미매핑"))</f>
        <v/>
      </c>
      <c r="O1988" s="9">
        <f>IF($A1988="","",N1988&amp;"|"&amp;$F1988)</f>
        <v/>
      </c>
      <c r="P1988" s="77">
        <f>IF($A1988="",0,$H1988*설정!$C$23)</f>
        <v/>
      </c>
      <c r="Q1988" s="39">
        <f>IF($A1988="","",IF(O1988&lt;&gt;원인분석!$C$9,"",IF(AND(M1988&gt;=원인분석!$C$10,M1988&lt;=원인분석!$C$11),"당기",IF(AND(M1988&gt;=원인분석!$C$12,M1988&lt;=원인분석!$C$13),"비교",""))))</f>
        <v/>
      </c>
      <c r="R1988" s="9">
        <f>IF(Q1988="","",$K1988&amp;"")</f>
        <v/>
      </c>
      <c r="S1988" s="9">
        <f>IF(Q1988="","",IF(MATCH(R1988,$R$5:$R$100000,0)=ROW()-4,ROW(),""))</f>
        <v/>
      </c>
      <c r="T1988" s="9">
        <f>IF(Q1988="당기",ABS(P1988)+ROW()/1000000000,"")</f>
        <v/>
      </c>
      <c r="U1988" s="9">
        <f>IF(Q1988="비교",ABS(P1988)+ROW()/1000000000,"")</f>
        <v/>
      </c>
      <c r="V1988" s="39">
        <f>IF($A1988="","",IF(COUNTIF(변동분석!$E$7:$E$506,O1988)&gt;0,"Y","N"))</f>
        <v/>
      </c>
      <c r="W1988" s="39">
        <f>IF($A1988="","",IFERROR(INDEX(계정매핑!$D$5:$D$504,MATCH($F1988&amp;"",계정매핑!$A$5:$A$504,0)),"미매핑"))</f>
        <v/>
      </c>
      <c r="X1988" s="9">
        <f>IF($A1988="","",$F1988&amp;"")</f>
        <v/>
      </c>
    </row>
    <row r="1989">
      <c r="A1989" s="75" t="n">
        <v>2025</v>
      </c>
      <c r="B1989" s="75" t="n">
        <v>11</v>
      </c>
      <c r="C1989" s="75" t="inlineStr">
        <is>
          <t>5100001985</t>
        </is>
      </c>
      <c r="D1989" s="78" t="n">
        <v>45968</v>
      </c>
      <c r="E1989" s="75" t="inlineStr">
        <is>
          <t>KR</t>
        </is>
      </c>
      <c r="F1989" s="75" t="n">
        <v>62901000</v>
      </c>
      <c r="G1989" s="75" t="n">
        <v>1801</v>
      </c>
      <c r="H1989" s="76" t="n">
        <v>6766000</v>
      </c>
      <c r="I1989" s="75" t="inlineStr">
        <is>
          <t>11월 자문 수수료 - K회계법인</t>
        </is>
      </c>
      <c r="J1989" s="75" t="inlineStr">
        <is>
          <t>V10010</t>
        </is>
      </c>
      <c r="K1989" s="75" t="inlineStr">
        <is>
          <t>K회계법인</t>
        </is>
      </c>
      <c r="M1989" s="9">
        <f>IF($A1989="","",VALUE($A1989&amp;"")*12+VALUE($B1989&amp;""))</f>
        <v/>
      </c>
      <c r="N1989" s="39">
        <f>IF($A1989="","",IFERROR(INDEX(부서매핑!$C$5:$C$504,MATCH($G1989&amp;"",부서매핑!$A$5:$A$504,0)),"미매핑"))</f>
        <v/>
      </c>
      <c r="O1989" s="9">
        <f>IF($A1989="","",N1989&amp;"|"&amp;$F1989)</f>
        <v/>
      </c>
      <c r="P1989" s="77">
        <f>IF($A1989="",0,$H1989*설정!$C$23)</f>
        <v/>
      </c>
      <c r="Q1989" s="39">
        <f>IF($A1989="","",IF(O1989&lt;&gt;원인분석!$C$9,"",IF(AND(M1989&gt;=원인분석!$C$10,M1989&lt;=원인분석!$C$11),"당기",IF(AND(M1989&gt;=원인분석!$C$12,M1989&lt;=원인분석!$C$13),"비교",""))))</f>
        <v/>
      </c>
      <c r="R1989" s="9">
        <f>IF(Q1989="","",$K1989&amp;"")</f>
        <v/>
      </c>
      <c r="S1989" s="9">
        <f>IF(Q1989="","",IF(MATCH(R1989,$R$5:$R$100000,0)=ROW()-4,ROW(),""))</f>
        <v/>
      </c>
      <c r="T1989" s="9">
        <f>IF(Q1989="당기",ABS(P1989)+ROW()/1000000000,"")</f>
        <v/>
      </c>
      <c r="U1989" s="9">
        <f>IF(Q1989="비교",ABS(P1989)+ROW()/1000000000,"")</f>
        <v/>
      </c>
      <c r="V1989" s="39">
        <f>IF($A1989="","",IF(COUNTIF(변동분석!$E$7:$E$506,O1989)&gt;0,"Y","N"))</f>
        <v/>
      </c>
      <c r="W1989" s="39">
        <f>IF($A1989="","",IFERROR(INDEX(계정매핑!$D$5:$D$504,MATCH($F1989&amp;"",계정매핑!$A$5:$A$504,0)),"미매핑"))</f>
        <v/>
      </c>
      <c r="X1989" s="9">
        <f>IF($A1989="","",$F1989&amp;"")</f>
        <v/>
      </c>
    </row>
    <row r="1990">
      <c r="A1990" s="75" t="n">
        <v>2025</v>
      </c>
      <c r="B1990" s="75" t="n">
        <v>11</v>
      </c>
      <c r="C1990" s="75" t="inlineStr">
        <is>
          <t>5100001986</t>
        </is>
      </c>
      <c r="D1990" s="78" t="n">
        <v>45968</v>
      </c>
      <c r="E1990" s="75" t="inlineStr">
        <is>
          <t>KR</t>
        </is>
      </c>
      <c r="F1990" s="75" t="n">
        <v>62902000</v>
      </c>
      <c r="G1990" s="75" t="n">
        <v>1201</v>
      </c>
      <c r="H1990" s="76" t="n">
        <v>2614000</v>
      </c>
      <c r="I1990" s="75" t="inlineStr">
        <is>
          <t>11월 업무 위탁 수수료 - J콜센터</t>
        </is>
      </c>
      <c r="J1990" s="75" t="inlineStr">
        <is>
          <t>V10013</t>
        </is>
      </c>
      <c r="K1990" s="75" t="inlineStr">
        <is>
          <t>J콜센터</t>
        </is>
      </c>
      <c r="M1990" s="9">
        <f>IF($A1990="","",VALUE($A1990&amp;"")*12+VALUE($B1990&amp;""))</f>
        <v/>
      </c>
      <c r="N1990" s="39">
        <f>IF($A1990="","",IFERROR(INDEX(부서매핑!$C$5:$C$504,MATCH($G1990&amp;"",부서매핑!$A$5:$A$504,0)),"미매핑"))</f>
        <v/>
      </c>
      <c r="O1990" s="9">
        <f>IF($A1990="","",N1990&amp;"|"&amp;$F1990)</f>
        <v/>
      </c>
      <c r="P1990" s="77">
        <f>IF($A1990="",0,$H1990*설정!$C$23)</f>
        <v/>
      </c>
      <c r="Q1990" s="39">
        <f>IF($A1990="","",IF(O1990&lt;&gt;원인분석!$C$9,"",IF(AND(M1990&gt;=원인분석!$C$10,M1990&lt;=원인분석!$C$11),"당기",IF(AND(M1990&gt;=원인분석!$C$12,M1990&lt;=원인분석!$C$13),"비교",""))))</f>
        <v/>
      </c>
      <c r="R1990" s="9">
        <f>IF(Q1990="","",$K1990&amp;"")</f>
        <v/>
      </c>
      <c r="S1990" s="9">
        <f>IF(Q1990="","",IF(MATCH(R1990,$R$5:$R$100000,0)=ROW()-4,ROW(),""))</f>
        <v/>
      </c>
      <c r="T1990" s="9">
        <f>IF(Q1990="당기",ABS(P1990)+ROW()/1000000000,"")</f>
        <v/>
      </c>
      <c r="U1990" s="9">
        <f>IF(Q1990="비교",ABS(P1990)+ROW()/1000000000,"")</f>
        <v/>
      </c>
      <c r="V1990" s="39">
        <f>IF($A1990="","",IF(COUNTIF(변동분석!$E$7:$E$506,O1990)&gt;0,"Y","N"))</f>
        <v/>
      </c>
      <c r="W1990" s="39">
        <f>IF($A1990="","",IFERROR(INDEX(계정매핑!$D$5:$D$504,MATCH($F1990&amp;"",계정매핑!$A$5:$A$504,0)),"미매핑"))</f>
        <v/>
      </c>
      <c r="X1990" s="9">
        <f>IF($A1990="","",$F1990&amp;"")</f>
        <v/>
      </c>
    </row>
    <row r="1991">
      <c r="A1991" s="75" t="n">
        <v>2025</v>
      </c>
      <c r="B1991" s="75" t="n">
        <v>11</v>
      </c>
      <c r="C1991" s="75" t="inlineStr">
        <is>
          <t>5100001987</t>
        </is>
      </c>
      <c r="D1991" s="78" t="n">
        <v>45968</v>
      </c>
      <c r="E1991" s="75" t="inlineStr">
        <is>
          <t>KR</t>
        </is>
      </c>
      <c r="F1991" s="75" t="n">
        <v>62902000</v>
      </c>
      <c r="G1991" s="75" t="n">
        <v>1801</v>
      </c>
      <c r="H1991" s="76" t="n">
        <v>1763000</v>
      </c>
      <c r="I1991" s="75" t="inlineStr">
        <is>
          <t>11월 콜 위탁 수수료(건별)</t>
        </is>
      </c>
      <c r="J1991" s="75" t="inlineStr">
        <is>
          <t>V10013</t>
        </is>
      </c>
      <c r="K1991" s="75" t="inlineStr">
        <is>
          <t>J콜센터</t>
        </is>
      </c>
      <c r="M1991" s="9">
        <f>IF($A1991="","",VALUE($A1991&amp;"")*12+VALUE($B1991&amp;""))</f>
        <v/>
      </c>
      <c r="N1991" s="39">
        <f>IF($A1991="","",IFERROR(INDEX(부서매핑!$C$5:$C$504,MATCH($G1991&amp;"",부서매핑!$A$5:$A$504,0)),"미매핑"))</f>
        <v/>
      </c>
      <c r="O1991" s="9">
        <f>IF($A1991="","",N1991&amp;"|"&amp;$F1991)</f>
        <v/>
      </c>
      <c r="P1991" s="77">
        <f>IF($A1991="",0,$H1991*설정!$C$23)</f>
        <v/>
      </c>
      <c r="Q1991" s="39">
        <f>IF($A1991="","",IF(O1991&lt;&gt;원인분석!$C$9,"",IF(AND(M1991&gt;=원인분석!$C$10,M1991&lt;=원인분석!$C$11),"당기",IF(AND(M1991&gt;=원인분석!$C$12,M1991&lt;=원인분석!$C$13),"비교",""))))</f>
        <v/>
      </c>
      <c r="R1991" s="9">
        <f>IF(Q1991="","",$K1991&amp;"")</f>
        <v/>
      </c>
      <c r="S1991" s="9">
        <f>IF(Q1991="","",IF(MATCH(R1991,$R$5:$R$100000,0)=ROW()-4,ROW(),""))</f>
        <v/>
      </c>
      <c r="T1991" s="9">
        <f>IF(Q1991="당기",ABS(P1991)+ROW()/1000000000,"")</f>
        <v/>
      </c>
      <c r="U1991" s="9">
        <f>IF(Q1991="비교",ABS(P1991)+ROW()/1000000000,"")</f>
        <v/>
      </c>
      <c r="V1991" s="39">
        <f>IF($A1991="","",IF(COUNTIF(변동분석!$E$7:$E$506,O1991)&gt;0,"Y","N"))</f>
        <v/>
      </c>
      <c r="W1991" s="39">
        <f>IF($A1991="","",IFERROR(INDEX(계정매핑!$D$5:$D$504,MATCH($F1991&amp;"",계정매핑!$A$5:$A$504,0)),"미매핑"))</f>
        <v/>
      </c>
      <c r="X1991" s="9">
        <f>IF($A1991="","",$F1991&amp;"")</f>
        <v/>
      </c>
    </row>
    <row r="1992">
      <c r="A1992" s="75" t="n">
        <v>2025</v>
      </c>
      <c r="B1992" s="75" t="n">
        <v>11</v>
      </c>
      <c r="C1992" s="75" t="inlineStr">
        <is>
          <t>5100001988</t>
        </is>
      </c>
      <c r="D1992" s="78" t="n">
        <v>45968</v>
      </c>
      <c r="E1992" s="75" t="inlineStr">
        <is>
          <t>KR</t>
        </is>
      </c>
      <c r="F1992" s="75" t="n">
        <v>63201000</v>
      </c>
      <c r="G1992" s="75" t="n">
        <v>1602</v>
      </c>
      <c r="H1992" s="76" t="n">
        <v>5597000</v>
      </c>
      <c r="I1992" s="75" t="inlineStr">
        <is>
          <t>11월 차량 유지 - D정비</t>
        </is>
      </c>
      <c r="J1992" s="75" t="inlineStr">
        <is>
          <t>V10022</t>
        </is>
      </c>
      <c r="K1992" s="75" t="inlineStr">
        <is>
          <t>D정비</t>
        </is>
      </c>
      <c r="M1992" s="9">
        <f>IF($A1992="","",VALUE($A1992&amp;"")*12+VALUE($B1992&amp;""))</f>
        <v/>
      </c>
      <c r="N1992" s="39">
        <f>IF($A1992="","",IFERROR(INDEX(부서매핑!$C$5:$C$504,MATCH($G1992&amp;"",부서매핑!$A$5:$A$504,0)),"미매핑"))</f>
        <v/>
      </c>
      <c r="O1992" s="9">
        <f>IF($A1992="","",N1992&amp;"|"&amp;$F1992)</f>
        <v/>
      </c>
      <c r="P1992" s="77">
        <f>IF($A1992="",0,$H1992*설정!$C$23)</f>
        <v/>
      </c>
      <c r="Q1992" s="39">
        <f>IF($A1992="","",IF(O1992&lt;&gt;원인분석!$C$9,"",IF(AND(M1992&gt;=원인분석!$C$10,M1992&lt;=원인분석!$C$11),"당기",IF(AND(M1992&gt;=원인분석!$C$12,M1992&lt;=원인분석!$C$13),"비교",""))))</f>
        <v/>
      </c>
      <c r="R1992" s="9">
        <f>IF(Q1992="","",$K1992&amp;"")</f>
        <v/>
      </c>
      <c r="S1992" s="9">
        <f>IF(Q1992="","",IF(MATCH(R1992,$R$5:$R$100000,0)=ROW()-4,ROW(),""))</f>
        <v/>
      </c>
      <c r="T1992" s="9">
        <f>IF(Q1992="당기",ABS(P1992)+ROW()/1000000000,"")</f>
        <v/>
      </c>
      <c r="U1992" s="9">
        <f>IF(Q1992="비교",ABS(P1992)+ROW()/1000000000,"")</f>
        <v/>
      </c>
      <c r="V1992" s="39">
        <f>IF($A1992="","",IF(COUNTIF(변동분석!$E$7:$E$506,O1992)&gt;0,"Y","N"))</f>
        <v/>
      </c>
      <c r="W1992" s="39">
        <f>IF($A1992="","",IFERROR(INDEX(계정매핑!$D$5:$D$504,MATCH($F1992&amp;"",계정매핑!$A$5:$A$504,0)),"미매핑"))</f>
        <v/>
      </c>
      <c r="X1992" s="9">
        <f>IF($A1992="","",$F1992&amp;"")</f>
        <v/>
      </c>
    </row>
    <row r="1993">
      <c r="A1993" s="75" t="n">
        <v>2025</v>
      </c>
      <c r="B1993" s="75" t="n">
        <v>11</v>
      </c>
      <c r="C1993" s="75" t="inlineStr">
        <is>
          <t>5100001989</t>
        </is>
      </c>
      <c r="D1993" s="78" t="n">
        <v>45969</v>
      </c>
      <c r="E1993" s="75" t="inlineStr">
        <is>
          <t>KR</t>
        </is>
      </c>
      <c r="F1993" s="75" t="n">
        <v>62101000</v>
      </c>
      <c r="G1993" s="75" t="n">
        <v>1301</v>
      </c>
      <c r="H1993" s="76" t="n">
        <v>214000</v>
      </c>
      <c r="I1993" s="75" t="inlineStr">
        <is>
          <t>11월 국내출장 - (법인카드)</t>
        </is>
      </c>
      <c r="J1993" s="75" t="inlineStr">
        <is>
          <t>V10008</t>
        </is>
      </c>
      <c r="K1993" s="75" t="inlineStr">
        <is>
          <t>(법인카드)</t>
        </is>
      </c>
      <c r="M1993" s="9">
        <f>IF($A1993="","",VALUE($A1993&amp;"")*12+VALUE($B1993&amp;""))</f>
        <v/>
      </c>
      <c r="N1993" s="39">
        <f>IF($A1993="","",IFERROR(INDEX(부서매핑!$C$5:$C$504,MATCH($G1993&amp;"",부서매핑!$A$5:$A$504,0)),"미매핑"))</f>
        <v/>
      </c>
      <c r="O1993" s="9">
        <f>IF($A1993="","",N1993&amp;"|"&amp;$F1993)</f>
        <v/>
      </c>
      <c r="P1993" s="77">
        <f>IF($A1993="",0,$H1993*설정!$C$23)</f>
        <v/>
      </c>
      <c r="Q1993" s="39">
        <f>IF($A1993="","",IF(O1993&lt;&gt;원인분석!$C$9,"",IF(AND(M1993&gt;=원인분석!$C$10,M1993&lt;=원인분석!$C$11),"당기",IF(AND(M1993&gt;=원인분석!$C$12,M1993&lt;=원인분석!$C$13),"비교",""))))</f>
        <v/>
      </c>
      <c r="R1993" s="9">
        <f>IF(Q1993="","",$K1993&amp;"")</f>
        <v/>
      </c>
      <c r="S1993" s="9">
        <f>IF(Q1993="","",IF(MATCH(R1993,$R$5:$R$100000,0)=ROW()-4,ROW(),""))</f>
        <v/>
      </c>
      <c r="T1993" s="9">
        <f>IF(Q1993="당기",ABS(P1993)+ROW()/1000000000,"")</f>
        <v/>
      </c>
      <c r="U1993" s="9">
        <f>IF(Q1993="비교",ABS(P1993)+ROW()/1000000000,"")</f>
        <v/>
      </c>
      <c r="V1993" s="39">
        <f>IF($A1993="","",IF(COUNTIF(변동분석!$E$7:$E$506,O1993)&gt;0,"Y","N"))</f>
        <v/>
      </c>
      <c r="W1993" s="39">
        <f>IF($A1993="","",IFERROR(INDEX(계정매핑!$D$5:$D$504,MATCH($F1993&amp;"",계정매핑!$A$5:$A$504,0)),"미매핑"))</f>
        <v/>
      </c>
      <c r="X1993" s="9">
        <f>IF($A1993="","",$F1993&amp;"")</f>
        <v/>
      </c>
    </row>
    <row r="1994">
      <c r="A1994" s="75" t="n">
        <v>2025</v>
      </c>
      <c r="B1994" s="75" t="n">
        <v>11</v>
      </c>
      <c r="C1994" s="75" t="inlineStr">
        <is>
          <t>5100001990</t>
        </is>
      </c>
      <c r="D1994" s="78" t="n">
        <v>45969</v>
      </c>
      <c r="E1994" s="75" t="inlineStr">
        <is>
          <t>KR</t>
        </is>
      </c>
      <c r="F1994" s="75" t="n">
        <v>62301000</v>
      </c>
      <c r="G1994" s="75" t="n">
        <v>1501</v>
      </c>
      <c r="H1994" s="76" t="n">
        <v>243000</v>
      </c>
      <c r="I1994" s="75" t="inlineStr">
        <is>
          <t>11월 소모품 구입 - R문구</t>
        </is>
      </c>
      <c r="J1994" s="75" t="inlineStr">
        <is>
          <t>V10018</t>
        </is>
      </c>
      <c r="K1994" s="75" t="inlineStr">
        <is>
          <t>R문구</t>
        </is>
      </c>
      <c r="M1994" s="9">
        <f>IF($A1994="","",VALUE($A1994&amp;"")*12+VALUE($B1994&amp;""))</f>
        <v/>
      </c>
      <c r="N1994" s="39">
        <f>IF($A1994="","",IFERROR(INDEX(부서매핑!$C$5:$C$504,MATCH($G1994&amp;"",부서매핑!$A$5:$A$504,0)),"미매핑"))</f>
        <v/>
      </c>
      <c r="O1994" s="9">
        <f>IF($A1994="","",N1994&amp;"|"&amp;$F1994)</f>
        <v/>
      </c>
      <c r="P1994" s="77">
        <f>IF($A1994="",0,$H1994*설정!$C$23)</f>
        <v/>
      </c>
      <c r="Q1994" s="39">
        <f>IF($A1994="","",IF(O1994&lt;&gt;원인분석!$C$9,"",IF(AND(M1994&gt;=원인분석!$C$10,M1994&lt;=원인분석!$C$11),"당기",IF(AND(M1994&gt;=원인분석!$C$12,M1994&lt;=원인분석!$C$13),"비교",""))))</f>
        <v/>
      </c>
      <c r="R1994" s="9">
        <f>IF(Q1994="","",$K1994&amp;"")</f>
        <v/>
      </c>
      <c r="S1994" s="9">
        <f>IF(Q1994="","",IF(MATCH(R1994,$R$5:$R$100000,0)=ROW()-4,ROW(),""))</f>
        <v/>
      </c>
      <c r="T1994" s="9">
        <f>IF(Q1994="당기",ABS(P1994)+ROW()/1000000000,"")</f>
        <v/>
      </c>
      <c r="U1994" s="9">
        <f>IF(Q1994="비교",ABS(P1994)+ROW()/1000000000,"")</f>
        <v/>
      </c>
      <c r="V1994" s="39">
        <f>IF($A1994="","",IF(COUNTIF(변동분석!$E$7:$E$506,O1994)&gt;0,"Y","N"))</f>
        <v/>
      </c>
      <c r="W1994" s="39">
        <f>IF($A1994="","",IFERROR(INDEX(계정매핑!$D$5:$D$504,MATCH($F1994&amp;"",계정매핑!$A$5:$A$504,0)),"미매핑"))</f>
        <v/>
      </c>
      <c r="X1994" s="9">
        <f>IF($A1994="","",$F1994&amp;"")</f>
        <v/>
      </c>
    </row>
    <row r="1995">
      <c r="A1995" s="75" t="n">
        <v>2025</v>
      </c>
      <c r="B1995" s="75" t="n">
        <v>11</v>
      </c>
      <c r="C1995" s="75" t="inlineStr">
        <is>
          <t>5100001991</t>
        </is>
      </c>
      <c r="D1995" s="78" t="n">
        <v>45969</v>
      </c>
      <c r="E1995" s="75" t="inlineStr">
        <is>
          <t>KR</t>
        </is>
      </c>
      <c r="F1995" s="75" t="n">
        <v>62501000</v>
      </c>
      <c r="G1995" s="75" t="n">
        <v>1301</v>
      </c>
      <c r="H1995" s="76" t="n">
        <v>335000</v>
      </c>
      <c r="I1995" s="75" t="inlineStr">
        <is>
          <t>11월 회의 다과 - (법인카드)</t>
        </is>
      </c>
      <c r="J1995" s="75" t="inlineStr">
        <is>
          <t>V10008</t>
        </is>
      </c>
      <c r="K1995" s="75" t="inlineStr">
        <is>
          <t>(법인카드)</t>
        </is>
      </c>
      <c r="M1995" s="9">
        <f>IF($A1995="","",VALUE($A1995&amp;"")*12+VALUE($B1995&amp;""))</f>
        <v/>
      </c>
      <c r="N1995" s="39">
        <f>IF($A1995="","",IFERROR(INDEX(부서매핑!$C$5:$C$504,MATCH($G1995&amp;"",부서매핑!$A$5:$A$504,0)),"미매핑"))</f>
        <v/>
      </c>
      <c r="O1995" s="9">
        <f>IF($A1995="","",N1995&amp;"|"&amp;$F1995)</f>
        <v/>
      </c>
      <c r="P1995" s="77">
        <f>IF($A1995="",0,$H1995*설정!$C$23)</f>
        <v/>
      </c>
      <c r="Q1995" s="39">
        <f>IF($A1995="","",IF(O1995&lt;&gt;원인분석!$C$9,"",IF(AND(M1995&gt;=원인분석!$C$10,M1995&lt;=원인분석!$C$11),"당기",IF(AND(M1995&gt;=원인분석!$C$12,M1995&lt;=원인분석!$C$13),"비교",""))))</f>
        <v/>
      </c>
      <c r="R1995" s="9">
        <f>IF(Q1995="","",$K1995&amp;"")</f>
        <v/>
      </c>
      <c r="S1995" s="9">
        <f>IF(Q1995="","",IF(MATCH(R1995,$R$5:$R$100000,0)=ROW()-4,ROW(),""))</f>
        <v/>
      </c>
      <c r="T1995" s="9">
        <f>IF(Q1995="당기",ABS(P1995)+ROW()/1000000000,"")</f>
        <v/>
      </c>
      <c r="U1995" s="9">
        <f>IF(Q1995="비교",ABS(P1995)+ROW()/1000000000,"")</f>
        <v/>
      </c>
      <c r="V1995" s="39">
        <f>IF($A1995="","",IF(COUNTIF(변동분석!$E$7:$E$506,O1995)&gt;0,"Y","N"))</f>
        <v/>
      </c>
      <c r="W1995" s="39">
        <f>IF($A1995="","",IFERROR(INDEX(계정매핑!$D$5:$D$504,MATCH($F1995&amp;"",계정매핑!$A$5:$A$504,0)),"미매핑"))</f>
        <v/>
      </c>
      <c r="X1995" s="9">
        <f>IF($A1995="","",$F1995&amp;"")</f>
        <v/>
      </c>
    </row>
    <row r="1996">
      <c r="A1996" s="75" t="n">
        <v>2025</v>
      </c>
      <c r="B1996" s="75" t="n">
        <v>11</v>
      </c>
      <c r="C1996" s="75" t="inlineStr">
        <is>
          <t>5100001992</t>
        </is>
      </c>
      <c r="D1996" s="78" t="n">
        <v>45969</v>
      </c>
      <c r="E1996" s="75" t="inlineStr">
        <is>
          <t>KR</t>
        </is>
      </c>
      <c r="F1996" s="75" t="n">
        <v>62501000</v>
      </c>
      <c r="G1996" s="75" t="n">
        <v>1401</v>
      </c>
      <c r="H1996" s="76" t="n">
        <v>113000</v>
      </c>
      <c r="I1996" s="75" t="inlineStr">
        <is>
          <t>11월 회의 다과 - (법인카드)</t>
        </is>
      </c>
      <c r="J1996" s="75" t="inlineStr">
        <is>
          <t>V10008</t>
        </is>
      </c>
      <c r="K1996" s="75" t="inlineStr">
        <is>
          <t>(법인카드)</t>
        </is>
      </c>
      <c r="M1996" s="9">
        <f>IF($A1996="","",VALUE($A1996&amp;"")*12+VALUE($B1996&amp;""))</f>
        <v/>
      </c>
      <c r="N1996" s="39">
        <f>IF($A1996="","",IFERROR(INDEX(부서매핑!$C$5:$C$504,MATCH($G1996&amp;"",부서매핑!$A$5:$A$504,0)),"미매핑"))</f>
        <v/>
      </c>
      <c r="O1996" s="9">
        <f>IF($A1996="","",N1996&amp;"|"&amp;$F1996)</f>
        <v/>
      </c>
      <c r="P1996" s="77">
        <f>IF($A1996="",0,$H1996*설정!$C$23)</f>
        <v/>
      </c>
      <c r="Q1996" s="39">
        <f>IF($A1996="","",IF(O1996&lt;&gt;원인분석!$C$9,"",IF(AND(M1996&gt;=원인분석!$C$10,M1996&lt;=원인분석!$C$11),"당기",IF(AND(M1996&gt;=원인분석!$C$12,M1996&lt;=원인분석!$C$13),"비교",""))))</f>
        <v/>
      </c>
      <c r="R1996" s="9">
        <f>IF(Q1996="","",$K1996&amp;"")</f>
        <v/>
      </c>
      <c r="S1996" s="9">
        <f>IF(Q1996="","",IF(MATCH(R1996,$R$5:$R$100000,0)=ROW()-4,ROW(),""))</f>
        <v/>
      </c>
      <c r="T1996" s="9">
        <f>IF(Q1996="당기",ABS(P1996)+ROW()/1000000000,"")</f>
        <v/>
      </c>
      <c r="U1996" s="9">
        <f>IF(Q1996="비교",ABS(P1996)+ROW()/1000000000,"")</f>
        <v/>
      </c>
      <c r="V1996" s="39">
        <f>IF($A1996="","",IF(COUNTIF(변동분석!$E$7:$E$506,O1996)&gt;0,"Y","N"))</f>
        <v/>
      </c>
      <c r="W1996" s="39">
        <f>IF($A1996="","",IFERROR(INDEX(계정매핑!$D$5:$D$504,MATCH($F1996&amp;"",계정매핑!$A$5:$A$504,0)),"미매핑"))</f>
        <v/>
      </c>
      <c r="X1996" s="9">
        <f>IF($A1996="","",$F1996&amp;"")</f>
        <v/>
      </c>
    </row>
    <row r="1997">
      <c r="A1997" s="75" t="n">
        <v>2025</v>
      </c>
      <c r="B1997" s="75" t="n">
        <v>11</v>
      </c>
      <c r="C1997" s="75" t="inlineStr">
        <is>
          <t>5100001993</t>
        </is>
      </c>
      <c r="D1997" s="78" t="n">
        <v>45969</v>
      </c>
      <c r="E1997" s="75" t="inlineStr">
        <is>
          <t>KR</t>
        </is>
      </c>
      <c r="F1997" s="75" t="n">
        <v>62901000</v>
      </c>
      <c r="G1997" s="75" t="n">
        <v>1401</v>
      </c>
      <c r="H1997" s="76" t="n">
        <v>4824000</v>
      </c>
      <c r="I1997" s="75" t="inlineStr">
        <is>
          <t>11월 자문 수수료 - W컨설팅</t>
        </is>
      </c>
      <c r="J1997" s="75" t="inlineStr">
        <is>
          <t>V10009</t>
        </is>
      </c>
      <c r="K1997" s="75" t="inlineStr">
        <is>
          <t>W컨설팅</t>
        </is>
      </c>
      <c r="M1997" s="9">
        <f>IF($A1997="","",VALUE($A1997&amp;"")*12+VALUE($B1997&amp;""))</f>
        <v/>
      </c>
      <c r="N1997" s="39">
        <f>IF($A1997="","",IFERROR(INDEX(부서매핑!$C$5:$C$504,MATCH($G1997&amp;"",부서매핑!$A$5:$A$504,0)),"미매핑"))</f>
        <v/>
      </c>
      <c r="O1997" s="9">
        <f>IF($A1997="","",N1997&amp;"|"&amp;$F1997)</f>
        <v/>
      </c>
      <c r="P1997" s="77">
        <f>IF($A1997="",0,$H1997*설정!$C$23)</f>
        <v/>
      </c>
      <c r="Q1997" s="39">
        <f>IF($A1997="","",IF(O1997&lt;&gt;원인분석!$C$9,"",IF(AND(M1997&gt;=원인분석!$C$10,M1997&lt;=원인분석!$C$11),"당기",IF(AND(M1997&gt;=원인분석!$C$12,M1997&lt;=원인분석!$C$13),"비교",""))))</f>
        <v/>
      </c>
      <c r="R1997" s="9">
        <f>IF(Q1997="","",$K1997&amp;"")</f>
        <v/>
      </c>
      <c r="S1997" s="9">
        <f>IF(Q1997="","",IF(MATCH(R1997,$R$5:$R$100000,0)=ROW()-4,ROW(),""))</f>
        <v/>
      </c>
      <c r="T1997" s="9">
        <f>IF(Q1997="당기",ABS(P1997)+ROW()/1000000000,"")</f>
        <v/>
      </c>
      <c r="U1997" s="9">
        <f>IF(Q1997="비교",ABS(P1997)+ROW()/1000000000,"")</f>
        <v/>
      </c>
      <c r="V1997" s="39">
        <f>IF($A1997="","",IF(COUNTIF(변동분석!$E$7:$E$506,O1997)&gt;0,"Y","N"))</f>
        <v/>
      </c>
      <c r="W1997" s="39">
        <f>IF($A1997="","",IFERROR(INDEX(계정매핑!$D$5:$D$504,MATCH($F1997&amp;"",계정매핑!$A$5:$A$504,0)),"미매핑"))</f>
        <v/>
      </c>
      <c r="X1997" s="9">
        <f>IF($A1997="","",$F1997&amp;"")</f>
        <v/>
      </c>
    </row>
    <row r="1998">
      <c r="A1998" s="75" t="n">
        <v>2025</v>
      </c>
      <c r="B1998" s="75" t="n">
        <v>11</v>
      </c>
      <c r="C1998" s="75" t="inlineStr">
        <is>
          <t>5100001994</t>
        </is>
      </c>
      <c r="D1998" s="78" t="n">
        <v>45970</v>
      </c>
      <c r="E1998" s="75" t="inlineStr">
        <is>
          <t>KR</t>
        </is>
      </c>
      <c r="F1998" s="75" t="n">
        <v>62101000</v>
      </c>
      <c r="G1998" s="75" t="n">
        <v>1701</v>
      </c>
      <c r="H1998" s="76" t="n">
        <v>159000</v>
      </c>
      <c r="I1998" s="75" t="inlineStr">
        <is>
          <t>11월 국내출장 - L여행사</t>
        </is>
      </c>
      <c r="J1998" s="75" t="inlineStr">
        <is>
          <t>V10014</t>
        </is>
      </c>
      <c r="K1998" s="75" t="inlineStr">
        <is>
          <t>L여행사</t>
        </is>
      </c>
      <c r="M1998" s="9">
        <f>IF($A1998="","",VALUE($A1998&amp;"")*12+VALUE($B1998&amp;""))</f>
        <v/>
      </c>
      <c r="N1998" s="39">
        <f>IF($A1998="","",IFERROR(INDEX(부서매핑!$C$5:$C$504,MATCH($G1998&amp;"",부서매핑!$A$5:$A$504,0)),"미매핑"))</f>
        <v/>
      </c>
      <c r="O1998" s="9">
        <f>IF($A1998="","",N1998&amp;"|"&amp;$F1998)</f>
        <v/>
      </c>
      <c r="P1998" s="77">
        <f>IF($A1998="",0,$H1998*설정!$C$23)</f>
        <v/>
      </c>
      <c r="Q1998" s="39">
        <f>IF($A1998="","",IF(O1998&lt;&gt;원인분석!$C$9,"",IF(AND(M1998&gt;=원인분석!$C$10,M1998&lt;=원인분석!$C$11),"당기",IF(AND(M1998&gt;=원인분석!$C$12,M1998&lt;=원인분석!$C$13),"비교",""))))</f>
        <v/>
      </c>
      <c r="R1998" s="9">
        <f>IF(Q1998="","",$K1998&amp;"")</f>
        <v/>
      </c>
      <c r="S1998" s="9">
        <f>IF(Q1998="","",IF(MATCH(R1998,$R$5:$R$100000,0)=ROW()-4,ROW(),""))</f>
        <v/>
      </c>
      <c r="T1998" s="9">
        <f>IF(Q1998="당기",ABS(P1998)+ROW()/1000000000,"")</f>
        <v/>
      </c>
      <c r="U1998" s="9">
        <f>IF(Q1998="비교",ABS(P1998)+ROW()/1000000000,"")</f>
        <v/>
      </c>
      <c r="V1998" s="39">
        <f>IF($A1998="","",IF(COUNTIF(변동분석!$E$7:$E$506,O1998)&gt;0,"Y","N"))</f>
        <v/>
      </c>
      <c r="W1998" s="39">
        <f>IF($A1998="","",IFERROR(INDEX(계정매핑!$D$5:$D$504,MATCH($F1998&amp;"",계정매핑!$A$5:$A$504,0)),"미매핑"))</f>
        <v/>
      </c>
      <c r="X1998" s="9">
        <f>IF($A1998="","",$F1998&amp;"")</f>
        <v/>
      </c>
    </row>
    <row r="1999">
      <c r="A1999" s="75" t="n">
        <v>2025</v>
      </c>
      <c r="B1999" s="75" t="n">
        <v>11</v>
      </c>
      <c r="C1999" s="75" t="inlineStr">
        <is>
          <t>5100001995</t>
        </is>
      </c>
      <c r="D1999" s="78" t="n">
        <v>45970</v>
      </c>
      <c r="E1999" s="75" t="inlineStr">
        <is>
          <t>KR</t>
        </is>
      </c>
      <c r="F1999" s="75" t="n">
        <v>62101000</v>
      </c>
      <c r="G1999" s="75" t="n">
        <v>1701</v>
      </c>
      <c r="H1999" s="76" t="n">
        <v>137000</v>
      </c>
      <c r="I1999" s="75" t="inlineStr">
        <is>
          <t>11월 국내출장 - M항공</t>
        </is>
      </c>
      <c r="J1999" s="75" t="inlineStr">
        <is>
          <t>V10001</t>
        </is>
      </c>
      <c r="K1999" s="75" t="inlineStr">
        <is>
          <t>M항공</t>
        </is>
      </c>
      <c r="M1999" s="9">
        <f>IF($A1999="","",VALUE($A1999&amp;"")*12+VALUE($B1999&amp;""))</f>
        <v/>
      </c>
      <c r="N1999" s="39">
        <f>IF($A1999="","",IFERROR(INDEX(부서매핑!$C$5:$C$504,MATCH($G1999&amp;"",부서매핑!$A$5:$A$504,0)),"미매핑"))</f>
        <v/>
      </c>
      <c r="O1999" s="9">
        <f>IF($A1999="","",N1999&amp;"|"&amp;$F1999)</f>
        <v/>
      </c>
      <c r="P1999" s="77">
        <f>IF($A1999="",0,$H1999*설정!$C$23)</f>
        <v/>
      </c>
      <c r="Q1999" s="39">
        <f>IF($A1999="","",IF(O1999&lt;&gt;원인분석!$C$9,"",IF(AND(M1999&gt;=원인분석!$C$10,M1999&lt;=원인분석!$C$11),"당기",IF(AND(M1999&gt;=원인분석!$C$12,M1999&lt;=원인분석!$C$13),"비교",""))))</f>
        <v/>
      </c>
      <c r="R1999" s="9">
        <f>IF(Q1999="","",$K1999&amp;"")</f>
        <v/>
      </c>
      <c r="S1999" s="9">
        <f>IF(Q1999="","",IF(MATCH(R1999,$R$5:$R$100000,0)=ROW()-4,ROW(),""))</f>
        <v/>
      </c>
      <c r="T1999" s="9">
        <f>IF(Q1999="당기",ABS(P1999)+ROW()/1000000000,"")</f>
        <v/>
      </c>
      <c r="U1999" s="9">
        <f>IF(Q1999="비교",ABS(P1999)+ROW()/1000000000,"")</f>
        <v/>
      </c>
      <c r="V1999" s="39">
        <f>IF($A1999="","",IF(COUNTIF(변동분석!$E$7:$E$506,O1999)&gt;0,"Y","N"))</f>
        <v/>
      </c>
      <c r="W1999" s="39">
        <f>IF($A1999="","",IFERROR(INDEX(계정매핑!$D$5:$D$504,MATCH($F1999&amp;"",계정매핑!$A$5:$A$504,0)),"미매핑"))</f>
        <v/>
      </c>
      <c r="X1999" s="9">
        <f>IF($A1999="","",$F1999&amp;"")</f>
        <v/>
      </c>
    </row>
    <row r="2000">
      <c r="A2000" s="75" t="n">
        <v>2025</v>
      </c>
      <c r="B2000" s="75" t="n">
        <v>11</v>
      </c>
      <c r="C2000" s="75" t="inlineStr">
        <is>
          <t>5100001996</t>
        </is>
      </c>
      <c r="D2000" s="78" t="n">
        <v>45970</v>
      </c>
      <c r="E2000" s="75" t="inlineStr">
        <is>
          <t>KR</t>
        </is>
      </c>
      <c r="F2000" s="75" t="n">
        <v>62102000</v>
      </c>
      <c r="G2000" s="75" t="n">
        <v>1601</v>
      </c>
      <c r="H2000" s="76" t="n">
        <v>433000</v>
      </c>
      <c r="I2000" s="75" t="inlineStr">
        <is>
          <t>11월 해외출장 - N호텔</t>
        </is>
      </c>
      <c r="J2000" s="75" t="inlineStr">
        <is>
          <t>V10007</t>
        </is>
      </c>
      <c r="K2000" s="75" t="inlineStr">
        <is>
          <t>N호텔</t>
        </is>
      </c>
      <c r="M2000" s="9">
        <f>IF($A2000="","",VALUE($A2000&amp;"")*12+VALUE($B2000&amp;""))</f>
        <v/>
      </c>
      <c r="N2000" s="39">
        <f>IF($A2000="","",IFERROR(INDEX(부서매핑!$C$5:$C$504,MATCH($G2000&amp;"",부서매핑!$A$5:$A$504,0)),"미매핑"))</f>
        <v/>
      </c>
      <c r="O2000" s="9">
        <f>IF($A2000="","",N2000&amp;"|"&amp;$F2000)</f>
        <v/>
      </c>
      <c r="P2000" s="77">
        <f>IF($A2000="",0,$H2000*설정!$C$23)</f>
        <v/>
      </c>
      <c r="Q2000" s="39">
        <f>IF($A2000="","",IF(O2000&lt;&gt;원인분석!$C$9,"",IF(AND(M2000&gt;=원인분석!$C$10,M2000&lt;=원인분석!$C$11),"당기",IF(AND(M2000&gt;=원인분석!$C$12,M2000&lt;=원인분석!$C$13),"비교",""))))</f>
        <v/>
      </c>
      <c r="R2000" s="9">
        <f>IF(Q2000="","",$K2000&amp;"")</f>
        <v/>
      </c>
      <c r="S2000" s="9">
        <f>IF(Q2000="","",IF(MATCH(R2000,$R$5:$R$100000,0)=ROW()-4,ROW(),""))</f>
        <v/>
      </c>
      <c r="T2000" s="9">
        <f>IF(Q2000="당기",ABS(P2000)+ROW()/1000000000,"")</f>
        <v/>
      </c>
      <c r="U2000" s="9">
        <f>IF(Q2000="비교",ABS(P2000)+ROW()/1000000000,"")</f>
        <v/>
      </c>
      <c r="V2000" s="39">
        <f>IF($A2000="","",IF(COUNTIF(변동분석!$E$7:$E$506,O2000)&gt;0,"Y","N"))</f>
        <v/>
      </c>
      <c r="W2000" s="39">
        <f>IF($A2000="","",IFERROR(INDEX(계정매핑!$D$5:$D$504,MATCH($F2000&amp;"",계정매핑!$A$5:$A$504,0)),"미매핑"))</f>
        <v/>
      </c>
      <c r="X2000" s="9">
        <f>IF($A2000="","",$F2000&amp;"")</f>
        <v/>
      </c>
    </row>
    <row r="2001">
      <c r="A2001" s="75" t="n">
        <v>2025</v>
      </c>
      <c r="B2001" s="75" t="n">
        <v>11</v>
      </c>
      <c r="C2001" s="75" t="inlineStr">
        <is>
          <t>5100001997</t>
        </is>
      </c>
      <c r="D2001" s="78" t="n">
        <v>45970</v>
      </c>
      <c r="E2001" s="75" t="inlineStr">
        <is>
          <t>KR</t>
        </is>
      </c>
      <c r="F2001" s="75" t="n">
        <v>62201000</v>
      </c>
      <c r="G2001" s="75" t="n">
        <v>1201</v>
      </c>
      <c r="H2001" s="76" t="n">
        <v>211000</v>
      </c>
      <c r="I2001" s="75" t="inlineStr">
        <is>
          <t>11월 통신요금 - P통신</t>
        </is>
      </c>
      <c r="J2001" s="75" t="inlineStr">
        <is>
          <t>V10011</t>
        </is>
      </c>
      <c r="K2001" s="75" t="inlineStr">
        <is>
          <t>P통신</t>
        </is>
      </c>
      <c r="M2001" s="9">
        <f>IF($A2001="","",VALUE($A2001&amp;"")*12+VALUE($B2001&amp;""))</f>
        <v/>
      </c>
      <c r="N2001" s="39">
        <f>IF($A2001="","",IFERROR(INDEX(부서매핑!$C$5:$C$504,MATCH($G2001&amp;"",부서매핑!$A$5:$A$504,0)),"미매핑"))</f>
        <v/>
      </c>
      <c r="O2001" s="9">
        <f>IF($A2001="","",N2001&amp;"|"&amp;$F2001)</f>
        <v/>
      </c>
      <c r="P2001" s="77">
        <f>IF($A2001="",0,$H2001*설정!$C$23)</f>
        <v/>
      </c>
      <c r="Q2001" s="39">
        <f>IF($A2001="","",IF(O2001&lt;&gt;원인분석!$C$9,"",IF(AND(M2001&gt;=원인분석!$C$10,M2001&lt;=원인분석!$C$11),"당기",IF(AND(M2001&gt;=원인분석!$C$12,M2001&lt;=원인분석!$C$13),"비교",""))))</f>
        <v/>
      </c>
      <c r="R2001" s="9">
        <f>IF(Q2001="","",$K2001&amp;"")</f>
        <v/>
      </c>
      <c r="S2001" s="9">
        <f>IF(Q2001="","",IF(MATCH(R2001,$R$5:$R$100000,0)=ROW()-4,ROW(),""))</f>
        <v/>
      </c>
      <c r="T2001" s="9">
        <f>IF(Q2001="당기",ABS(P2001)+ROW()/1000000000,"")</f>
        <v/>
      </c>
      <c r="U2001" s="9">
        <f>IF(Q2001="비교",ABS(P2001)+ROW()/1000000000,"")</f>
        <v/>
      </c>
      <c r="V2001" s="39">
        <f>IF($A2001="","",IF(COUNTIF(변동분석!$E$7:$E$506,O2001)&gt;0,"Y","N"))</f>
        <v/>
      </c>
      <c r="W2001" s="39">
        <f>IF($A2001="","",IFERROR(INDEX(계정매핑!$D$5:$D$504,MATCH($F2001&amp;"",계정매핑!$A$5:$A$504,0)),"미매핑"))</f>
        <v/>
      </c>
      <c r="X2001" s="9">
        <f>IF($A2001="","",$F2001&amp;"")</f>
        <v/>
      </c>
    </row>
    <row r="2002">
      <c r="A2002" s="75" t="n">
        <v>2025</v>
      </c>
      <c r="B2002" s="75" t="n">
        <v>11</v>
      </c>
      <c r="C2002" s="75" t="inlineStr">
        <is>
          <t>5100001998</t>
        </is>
      </c>
      <c r="D2002" s="78" t="n">
        <v>45970</v>
      </c>
      <c r="E2002" s="75" t="inlineStr">
        <is>
          <t>KR</t>
        </is>
      </c>
      <c r="F2002" s="75" t="n">
        <v>62201000</v>
      </c>
      <c r="G2002" s="75" t="n">
        <v>1701</v>
      </c>
      <c r="H2002" s="76" t="n">
        <v>7280000</v>
      </c>
      <c r="I2002" s="75" t="inlineStr">
        <is>
          <t>11월 통신요금 - O텔레콤</t>
        </is>
      </c>
      <c r="J2002" s="75" t="inlineStr">
        <is>
          <t>V10002</t>
        </is>
      </c>
      <c r="K2002" s="75" t="inlineStr">
        <is>
          <t>O텔레콤</t>
        </is>
      </c>
      <c r="M2002" s="9">
        <f>IF($A2002="","",VALUE($A2002&amp;"")*12+VALUE($B2002&amp;""))</f>
        <v/>
      </c>
      <c r="N2002" s="39">
        <f>IF($A2002="","",IFERROR(INDEX(부서매핑!$C$5:$C$504,MATCH($G2002&amp;"",부서매핑!$A$5:$A$504,0)),"미매핑"))</f>
        <v/>
      </c>
      <c r="O2002" s="9">
        <f>IF($A2002="","",N2002&amp;"|"&amp;$F2002)</f>
        <v/>
      </c>
      <c r="P2002" s="77">
        <f>IF($A2002="",0,$H2002*설정!$C$23)</f>
        <v/>
      </c>
      <c r="Q2002" s="39">
        <f>IF($A2002="","",IF(O2002&lt;&gt;원인분석!$C$9,"",IF(AND(M2002&gt;=원인분석!$C$10,M2002&lt;=원인분석!$C$11),"당기",IF(AND(M2002&gt;=원인분석!$C$12,M2002&lt;=원인분석!$C$13),"비교",""))))</f>
        <v/>
      </c>
      <c r="R2002" s="9">
        <f>IF(Q2002="","",$K2002&amp;"")</f>
        <v/>
      </c>
      <c r="S2002" s="9">
        <f>IF(Q2002="","",IF(MATCH(R2002,$R$5:$R$100000,0)=ROW()-4,ROW(),""))</f>
        <v/>
      </c>
      <c r="T2002" s="9">
        <f>IF(Q2002="당기",ABS(P2002)+ROW()/1000000000,"")</f>
        <v/>
      </c>
      <c r="U2002" s="9">
        <f>IF(Q2002="비교",ABS(P2002)+ROW()/1000000000,"")</f>
        <v/>
      </c>
      <c r="V2002" s="39">
        <f>IF($A2002="","",IF(COUNTIF(변동분석!$E$7:$E$506,O2002)&gt;0,"Y","N"))</f>
        <v/>
      </c>
      <c r="W2002" s="39">
        <f>IF($A2002="","",IFERROR(INDEX(계정매핑!$D$5:$D$504,MATCH($F2002&amp;"",계정매핑!$A$5:$A$504,0)),"미매핑"))</f>
        <v/>
      </c>
      <c r="X2002" s="9">
        <f>IF($A2002="","",$F2002&amp;"")</f>
        <v/>
      </c>
    </row>
    <row r="2003">
      <c r="A2003" s="75" t="n">
        <v>2025</v>
      </c>
      <c r="B2003" s="75" t="n">
        <v>11</v>
      </c>
      <c r="C2003" s="75" t="inlineStr">
        <is>
          <t>5100001999</t>
        </is>
      </c>
      <c r="D2003" s="78" t="n">
        <v>45970</v>
      </c>
      <c r="E2003" s="75" t="inlineStr">
        <is>
          <t>KR</t>
        </is>
      </c>
      <c r="F2003" s="75" t="n">
        <v>62401000</v>
      </c>
      <c r="G2003" s="75" t="n">
        <v>1501</v>
      </c>
      <c r="H2003" s="76" t="n">
        <v>2977000</v>
      </c>
      <c r="I2003" s="75" t="inlineStr">
        <is>
          <t>11월 인쇄물 제작 - G인쇄</t>
        </is>
      </c>
      <c r="J2003" s="75" t="inlineStr">
        <is>
          <t>V10004</t>
        </is>
      </c>
      <c r="K2003" s="75" t="inlineStr">
        <is>
          <t>G인쇄</t>
        </is>
      </c>
      <c r="M2003" s="9">
        <f>IF($A2003="","",VALUE($A2003&amp;"")*12+VALUE($B2003&amp;""))</f>
        <v/>
      </c>
      <c r="N2003" s="39">
        <f>IF($A2003="","",IFERROR(INDEX(부서매핑!$C$5:$C$504,MATCH($G2003&amp;"",부서매핑!$A$5:$A$504,0)),"미매핑"))</f>
        <v/>
      </c>
      <c r="O2003" s="9">
        <f>IF($A2003="","",N2003&amp;"|"&amp;$F2003)</f>
        <v/>
      </c>
      <c r="P2003" s="77">
        <f>IF($A2003="",0,$H2003*설정!$C$23)</f>
        <v/>
      </c>
      <c r="Q2003" s="39">
        <f>IF($A2003="","",IF(O2003&lt;&gt;원인분석!$C$9,"",IF(AND(M2003&gt;=원인분석!$C$10,M2003&lt;=원인분석!$C$11),"당기",IF(AND(M2003&gt;=원인분석!$C$12,M2003&lt;=원인분석!$C$13),"비교",""))))</f>
        <v/>
      </c>
      <c r="R2003" s="9">
        <f>IF(Q2003="","",$K2003&amp;"")</f>
        <v/>
      </c>
      <c r="S2003" s="9">
        <f>IF(Q2003="","",IF(MATCH(R2003,$R$5:$R$100000,0)=ROW()-4,ROW(),""))</f>
        <v/>
      </c>
      <c r="T2003" s="9">
        <f>IF(Q2003="당기",ABS(P2003)+ROW()/1000000000,"")</f>
        <v/>
      </c>
      <c r="U2003" s="9">
        <f>IF(Q2003="비교",ABS(P2003)+ROW()/1000000000,"")</f>
        <v/>
      </c>
      <c r="V2003" s="39">
        <f>IF($A2003="","",IF(COUNTIF(변동분석!$E$7:$E$506,O2003)&gt;0,"Y","N"))</f>
        <v/>
      </c>
      <c r="W2003" s="39">
        <f>IF($A2003="","",IFERROR(INDEX(계정매핑!$D$5:$D$504,MATCH($F2003&amp;"",계정매핑!$A$5:$A$504,0)),"미매핑"))</f>
        <v/>
      </c>
      <c r="X2003" s="9">
        <f>IF($A2003="","",$F2003&amp;"")</f>
        <v/>
      </c>
    </row>
    <row r="2004">
      <c r="A2004" s="75" t="n">
        <v>2025</v>
      </c>
      <c r="B2004" s="75" t="n">
        <v>11</v>
      </c>
      <c r="C2004" s="75" t="inlineStr">
        <is>
          <t>5100002000</t>
        </is>
      </c>
      <c r="D2004" s="78" t="n">
        <v>45970</v>
      </c>
      <c r="E2004" s="75" t="inlineStr">
        <is>
          <t>KR</t>
        </is>
      </c>
      <c r="F2004" s="75" t="n">
        <v>62501000</v>
      </c>
      <c r="G2004" s="75" t="n">
        <v>1101</v>
      </c>
      <c r="H2004" s="76" t="n">
        <v>204000</v>
      </c>
      <c r="I2004" s="75" t="inlineStr">
        <is>
          <t>11월 회의 다과 - T케이터링</t>
        </is>
      </c>
      <c r="J2004" s="75" t="inlineStr">
        <is>
          <t>V10005</t>
        </is>
      </c>
      <c r="K2004" s="75" t="inlineStr">
        <is>
          <t>T케이터링</t>
        </is>
      </c>
      <c r="M2004" s="9">
        <f>IF($A2004="","",VALUE($A2004&amp;"")*12+VALUE($B2004&amp;""))</f>
        <v/>
      </c>
      <c r="N2004" s="39">
        <f>IF($A2004="","",IFERROR(INDEX(부서매핑!$C$5:$C$504,MATCH($G2004&amp;"",부서매핑!$A$5:$A$504,0)),"미매핑"))</f>
        <v/>
      </c>
      <c r="O2004" s="9">
        <f>IF($A2004="","",N2004&amp;"|"&amp;$F2004)</f>
        <v/>
      </c>
      <c r="P2004" s="77">
        <f>IF($A2004="",0,$H2004*설정!$C$23)</f>
        <v/>
      </c>
      <c r="Q2004" s="39">
        <f>IF($A2004="","",IF(O2004&lt;&gt;원인분석!$C$9,"",IF(AND(M2004&gt;=원인분석!$C$10,M2004&lt;=원인분석!$C$11),"당기",IF(AND(M2004&gt;=원인분석!$C$12,M2004&lt;=원인분석!$C$13),"비교",""))))</f>
        <v/>
      </c>
      <c r="R2004" s="9">
        <f>IF(Q2004="","",$K2004&amp;"")</f>
        <v/>
      </c>
      <c r="S2004" s="9">
        <f>IF(Q2004="","",IF(MATCH(R2004,$R$5:$R$100000,0)=ROW()-4,ROW(),""))</f>
        <v/>
      </c>
      <c r="T2004" s="9">
        <f>IF(Q2004="당기",ABS(P2004)+ROW()/1000000000,"")</f>
        <v/>
      </c>
      <c r="U2004" s="9">
        <f>IF(Q2004="비교",ABS(P2004)+ROW()/1000000000,"")</f>
        <v/>
      </c>
      <c r="V2004" s="39">
        <f>IF($A2004="","",IF(COUNTIF(변동분석!$E$7:$E$506,O2004)&gt;0,"Y","N"))</f>
        <v/>
      </c>
      <c r="W2004" s="39">
        <f>IF($A2004="","",IFERROR(INDEX(계정매핑!$D$5:$D$504,MATCH($F2004&amp;"",계정매핑!$A$5:$A$504,0)),"미매핑"))</f>
        <v/>
      </c>
      <c r="X2004" s="9">
        <f>IF($A2004="","",$F2004&amp;"")</f>
        <v/>
      </c>
    </row>
    <row r="2005">
      <c r="A2005" s="75" t="n">
        <v>2025</v>
      </c>
      <c r="B2005" s="75" t="n">
        <v>11</v>
      </c>
      <c r="C2005" s="75" t="inlineStr">
        <is>
          <t>5100002001</t>
        </is>
      </c>
      <c r="D2005" s="78" t="n">
        <v>45970</v>
      </c>
      <c r="E2005" s="75" t="inlineStr">
        <is>
          <t>KR</t>
        </is>
      </c>
      <c r="F2005" s="75" t="n">
        <v>62501000</v>
      </c>
      <c r="G2005" s="75" t="n">
        <v>1701</v>
      </c>
      <c r="H2005" s="76" t="n">
        <v>171000</v>
      </c>
      <c r="I2005" s="75" t="inlineStr">
        <is>
          <t>11월 회의 다과 - (법인카드)</t>
        </is>
      </c>
      <c r="J2005" s="75" t="inlineStr">
        <is>
          <t>V10008</t>
        </is>
      </c>
      <c r="K2005" s="75" t="inlineStr">
        <is>
          <t>(법인카드)</t>
        </is>
      </c>
      <c r="M2005" s="9">
        <f>IF($A2005="","",VALUE($A2005&amp;"")*12+VALUE($B2005&amp;""))</f>
        <v/>
      </c>
      <c r="N2005" s="39">
        <f>IF($A2005="","",IFERROR(INDEX(부서매핑!$C$5:$C$504,MATCH($G2005&amp;"",부서매핑!$A$5:$A$504,0)),"미매핑"))</f>
        <v/>
      </c>
      <c r="O2005" s="9">
        <f>IF($A2005="","",N2005&amp;"|"&amp;$F2005)</f>
        <v/>
      </c>
      <c r="P2005" s="77">
        <f>IF($A2005="",0,$H2005*설정!$C$23)</f>
        <v/>
      </c>
      <c r="Q2005" s="39">
        <f>IF($A2005="","",IF(O2005&lt;&gt;원인분석!$C$9,"",IF(AND(M2005&gt;=원인분석!$C$10,M2005&lt;=원인분석!$C$11),"당기",IF(AND(M2005&gt;=원인분석!$C$12,M2005&lt;=원인분석!$C$13),"비교",""))))</f>
        <v/>
      </c>
      <c r="R2005" s="9">
        <f>IF(Q2005="","",$K2005&amp;"")</f>
        <v/>
      </c>
      <c r="S2005" s="9">
        <f>IF(Q2005="","",IF(MATCH(R2005,$R$5:$R$100000,0)=ROW()-4,ROW(),""))</f>
        <v/>
      </c>
      <c r="T2005" s="9">
        <f>IF(Q2005="당기",ABS(P2005)+ROW()/1000000000,"")</f>
        <v/>
      </c>
      <c r="U2005" s="9">
        <f>IF(Q2005="비교",ABS(P2005)+ROW()/1000000000,"")</f>
        <v/>
      </c>
      <c r="V2005" s="39">
        <f>IF($A2005="","",IF(COUNTIF(변동분석!$E$7:$E$506,O2005)&gt;0,"Y","N"))</f>
        <v/>
      </c>
      <c r="W2005" s="39">
        <f>IF($A2005="","",IFERROR(INDEX(계정매핑!$D$5:$D$504,MATCH($F2005&amp;"",계정매핑!$A$5:$A$504,0)),"미매핑"))</f>
        <v/>
      </c>
      <c r="X2005" s="9">
        <f>IF($A2005="","",$F2005&amp;"")</f>
        <v/>
      </c>
    </row>
    <row r="2006">
      <c r="A2006" s="75" t="n">
        <v>2025</v>
      </c>
      <c r="B2006" s="75" t="n">
        <v>11</v>
      </c>
      <c r="C2006" s="75" t="inlineStr">
        <is>
          <t>5100002002</t>
        </is>
      </c>
      <c r="D2006" s="78" t="n">
        <v>45970</v>
      </c>
      <c r="E2006" s="75" t="inlineStr">
        <is>
          <t>KR</t>
        </is>
      </c>
      <c r="F2006" s="75" t="n">
        <v>62801000</v>
      </c>
      <c r="G2006" s="75" t="n">
        <v>1301</v>
      </c>
      <c r="H2006" s="76" t="n">
        <v>4072000</v>
      </c>
      <c r="I2006" s="75" t="inlineStr">
        <is>
          <t>11월 사내교육 - (사내강사료)</t>
        </is>
      </c>
      <c r="J2006" s="75" t="inlineStr">
        <is>
          <t>V10020</t>
        </is>
      </c>
      <c r="K2006" s="75" t="inlineStr">
        <is>
          <t>(사내강사료)</t>
        </is>
      </c>
      <c r="M2006" s="9">
        <f>IF($A2006="","",VALUE($A2006&amp;"")*12+VALUE($B2006&amp;""))</f>
        <v/>
      </c>
      <c r="N2006" s="39">
        <f>IF($A2006="","",IFERROR(INDEX(부서매핑!$C$5:$C$504,MATCH($G2006&amp;"",부서매핑!$A$5:$A$504,0)),"미매핑"))</f>
        <v/>
      </c>
      <c r="O2006" s="9">
        <f>IF($A2006="","",N2006&amp;"|"&amp;$F2006)</f>
        <v/>
      </c>
      <c r="P2006" s="77">
        <f>IF($A2006="",0,$H2006*설정!$C$23)</f>
        <v/>
      </c>
      <c r="Q2006" s="39">
        <f>IF($A2006="","",IF(O2006&lt;&gt;원인분석!$C$9,"",IF(AND(M2006&gt;=원인분석!$C$10,M2006&lt;=원인분석!$C$11),"당기",IF(AND(M2006&gt;=원인분석!$C$12,M2006&lt;=원인분석!$C$13),"비교",""))))</f>
        <v/>
      </c>
      <c r="R2006" s="9">
        <f>IF(Q2006="","",$K2006&amp;"")</f>
        <v/>
      </c>
      <c r="S2006" s="9">
        <f>IF(Q2006="","",IF(MATCH(R2006,$R$5:$R$100000,0)=ROW()-4,ROW(),""))</f>
        <v/>
      </c>
      <c r="T2006" s="9">
        <f>IF(Q2006="당기",ABS(P2006)+ROW()/1000000000,"")</f>
        <v/>
      </c>
      <c r="U2006" s="9">
        <f>IF(Q2006="비교",ABS(P2006)+ROW()/1000000000,"")</f>
        <v/>
      </c>
      <c r="V2006" s="39">
        <f>IF($A2006="","",IF(COUNTIF(변동분석!$E$7:$E$506,O2006)&gt;0,"Y","N"))</f>
        <v/>
      </c>
      <c r="W2006" s="39">
        <f>IF($A2006="","",IFERROR(INDEX(계정매핑!$D$5:$D$504,MATCH($F2006&amp;"",계정매핑!$A$5:$A$504,0)),"미매핑"))</f>
        <v/>
      </c>
      <c r="X2006" s="9">
        <f>IF($A2006="","",$F2006&amp;"")</f>
        <v/>
      </c>
    </row>
    <row r="2007">
      <c r="A2007" s="75" t="n">
        <v>2025</v>
      </c>
      <c r="B2007" s="75" t="n">
        <v>11</v>
      </c>
      <c r="C2007" s="75" t="inlineStr">
        <is>
          <t>5100002003</t>
        </is>
      </c>
      <c r="D2007" s="78" t="n">
        <v>45970</v>
      </c>
      <c r="E2007" s="75" t="inlineStr">
        <is>
          <t>KR</t>
        </is>
      </c>
      <c r="F2007" s="75" t="n">
        <v>62901000</v>
      </c>
      <c r="G2007" s="75" t="n">
        <v>1801</v>
      </c>
      <c r="H2007" s="76" t="n">
        <v>7793000</v>
      </c>
      <c r="I2007" s="75" t="inlineStr">
        <is>
          <t>11월 자문 수수료 - K회계법인</t>
        </is>
      </c>
      <c r="J2007" s="75" t="inlineStr">
        <is>
          <t>V10010</t>
        </is>
      </c>
      <c r="K2007" s="75" t="inlineStr">
        <is>
          <t>K회계법인</t>
        </is>
      </c>
      <c r="M2007" s="9">
        <f>IF($A2007="","",VALUE($A2007&amp;"")*12+VALUE($B2007&amp;""))</f>
        <v/>
      </c>
      <c r="N2007" s="39">
        <f>IF($A2007="","",IFERROR(INDEX(부서매핑!$C$5:$C$504,MATCH($G2007&amp;"",부서매핑!$A$5:$A$504,0)),"미매핑"))</f>
        <v/>
      </c>
      <c r="O2007" s="9">
        <f>IF($A2007="","",N2007&amp;"|"&amp;$F2007)</f>
        <v/>
      </c>
      <c r="P2007" s="77">
        <f>IF($A2007="",0,$H2007*설정!$C$23)</f>
        <v/>
      </c>
      <c r="Q2007" s="39">
        <f>IF($A2007="","",IF(O2007&lt;&gt;원인분석!$C$9,"",IF(AND(M2007&gt;=원인분석!$C$10,M2007&lt;=원인분석!$C$11),"당기",IF(AND(M2007&gt;=원인분석!$C$12,M2007&lt;=원인분석!$C$13),"비교",""))))</f>
        <v/>
      </c>
      <c r="R2007" s="9">
        <f>IF(Q2007="","",$K2007&amp;"")</f>
        <v/>
      </c>
      <c r="S2007" s="9">
        <f>IF(Q2007="","",IF(MATCH(R2007,$R$5:$R$100000,0)=ROW()-4,ROW(),""))</f>
        <v/>
      </c>
      <c r="T2007" s="9">
        <f>IF(Q2007="당기",ABS(P2007)+ROW()/1000000000,"")</f>
        <v/>
      </c>
      <c r="U2007" s="9">
        <f>IF(Q2007="비교",ABS(P2007)+ROW()/1000000000,"")</f>
        <v/>
      </c>
      <c r="V2007" s="39">
        <f>IF($A2007="","",IF(COUNTIF(변동분석!$E$7:$E$506,O2007)&gt;0,"Y","N"))</f>
        <v/>
      </c>
      <c r="W2007" s="39">
        <f>IF($A2007="","",IFERROR(INDEX(계정매핑!$D$5:$D$504,MATCH($F2007&amp;"",계정매핑!$A$5:$A$504,0)),"미매핑"))</f>
        <v/>
      </c>
      <c r="X2007" s="9">
        <f>IF($A2007="","",$F2007&amp;"")</f>
        <v/>
      </c>
    </row>
    <row r="2008">
      <c r="A2008" s="75" t="n">
        <v>2025</v>
      </c>
      <c r="B2008" s="75" t="n">
        <v>11</v>
      </c>
      <c r="C2008" s="75" t="inlineStr">
        <is>
          <t>5100002004</t>
        </is>
      </c>
      <c r="D2008" s="78" t="n">
        <v>45970</v>
      </c>
      <c r="E2008" s="75" t="inlineStr">
        <is>
          <t>KR</t>
        </is>
      </c>
      <c r="F2008" s="75" t="n">
        <v>62902000</v>
      </c>
      <c r="G2008" s="75" t="n">
        <v>1401</v>
      </c>
      <c r="H2008" s="76" t="n">
        <v>2166000</v>
      </c>
      <c r="I2008" s="75" t="inlineStr">
        <is>
          <t>11월 업무 위탁 수수료 - X서비스</t>
        </is>
      </c>
      <c r="J2008" s="75" t="inlineStr">
        <is>
          <t>V10016</t>
        </is>
      </c>
      <c r="K2008" s="75" t="inlineStr">
        <is>
          <t>X서비스</t>
        </is>
      </c>
      <c r="M2008" s="9">
        <f>IF($A2008="","",VALUE($A2008&amp;"")*12+VALUE($B2008&amp;""))</f>
        <v/>
      </c>
      <c r="N2008" s="39">
        <f>IF($A2008="","",IFERROR(INDEX(부서매핑!$C$5:$C$504,MATCH($G2008&amp;"",부서매핑!$A$5:$A$504,0)),"미매핑"))</f>
        <v/>
      </c>
      <c r="O2008" s="9">
        <f>IF($A2008="","",N2008&amp;"|"&amp;$F2008)</f>
        <v/>
      </c>
      <c r="P2008" s="77">
        <f>IF($A2008="",0,$H2008*설정!$C$23)</f>
        <v/>
      </c>
      <c r="Q2008" s="39">
        <f>IF($A2008="","",IF(O2008&lt;&gt;원인분석!$C$9,"",IF(AND(M2008&gt;=원인분석!$C$10,M2008&lt;=원인분석!$C$11),"당기",IF(AND(M2008&gt;=원인분석!$C$12,M2008&lt;=원인분석!$C$13),"비교",""))))</f>
        <v/>
      </c>
      <c r="R2008" s="9">
        <f>IF(Q2008="","",$K2008&amp;"")</f>
        <v/>
      </c>
      <c r="S2008" s="9">
        <f>IF(Q2008="","",IF(MATCH(R2008,$R$5:$R$100000,0)=ROW()-4,ROW(),""))</f>
        <v/>
      </c>
      <c r="T2008" s="9">
        <f>IF(Q2008="당기",ABS(P2008)+ROW()/1000000000,"")</f>
        <v/>
      </c>
      <c r="U2008" s="9">
        <f>IF(Q2008="비교",ABS(P2008)+ROW()/1000000000,"")</f>
        <v/>
      </c>
      <c r="V2008" s="39">
        <f>IF($A2008="","",IF(COUNTIF(변동분석!$E$7:$E$506,O2008)&gt;0,"Y","N"))</f>
        <v/>
      </c>
      <c r="W2008" s="39">
        <f>IF($A2008="","",IFERROR(INDEX(계정매핑!$D$5:$D$504,MATCH($F2008&amp;"",계정매핑!$A$5:$A$504,0)),"미매핑"))</f>
        <v/>
      </c>
      <c r="X2008" s="9">
        <f>IF($A2008="","",$F2008&amp;"")</f>
        <v/>
      </c>
    </row>
    <row r="2009">
      <c r="A2009" s="75" t="n">
        <v>2025</v>
      </c>
      <c r="B2009" s="75" t="n">
        <v>11</v>
      </c>
      <c r="C2009" s="75" t="inlineStr">
        <is>
          <t>5100002005</t>
        </is>
      </c>
      <c r="D2009" s="78" t="n">
        <v>45971</v>
      </c>
      <c r="E2009" s="75" t="inlineStr">
        <is>
          <t>KR</t>
        </is>
      </c>
      <c r="F2009" s="75" t="n">
        <v>62102000</v>
      </c>
      <c r="G2009" s="75" t="n">
        <v>1301</v>
      </c>
      <c r="H2009" s="76" t="n">
        <v>73000</v>
      </c>
      <c r="I2009" s="75" t="inlineStr">
        <is>
          <t>11월 해외출장 - M항공</t>
        </is>
      </c>
      <c r="J2009" s="75" t="inlineStr">
        <is>
          <t>V10001</t>
        </is>
      </c>
      <c r="K2009" s="75" t="inlineStr">
        <is>
          <t>M항공</t>
        </is>
      </c>
      <c r="M2009" s="9">
        <f>IF($A2009="","",VALUE($A2009&amp;"")*12+VALUE($B2009&amp;""))</f>
        <v/>
      </c>
      <c r="N2009" s="39">
        <f>IF($A2009="","",IFERROR(INDEX(부서매핑!$C$5:$C$504,MATCH($G2009&amp;"",부서매핑!$A$5:$A$504,0)),"미매핑"))</f>
        <v/>
      </c>
      <c r="O2009" s="9">
        <f>IF($A2009="","",N2009&amp;"|"&amp;$F2009)</f>
        <v/>
      </c>
      <c r="P2009" s="77">
        <f>IF($A2009="",0,$H2009*설정!$C$23)</f>
        <v/>
      </c>
      <c r="Q2009" s="39">
        <f>IF($A2009="","",IF(O2009&lt;&gt;원인분석!$C$9,"",IF(AND(M2009&gt;=원인분석!$C$10,M2009&lt;=원인분석!$C$11),"당기",IF(AND(M2009&gt;=원인분석!$C$12,M2009&lt;=원인분석!$C$13),"비교",""))))</f>
        <v/>
      </c>
      <c r="R2009" s="9">
        <f>IF(Q2009="","",$K2009&amp;"")</f>
        <v/>
      </c>
      <c r="S2009" s="9">
        <f>IF(Q2009="","",IF(MATCH(R2009,$R$5:$R$100000,0)=ROW()-4,ROW(),""))</f>
        <v/>
      </c>
      <c r="T2009" s="9">
        <f>IF(Q2009="당기",ABS(P2009)+ROW()/1000000000,"")</f>
        <v/>
      </c>
      <c r="U2009" s="9">
        <f>IF(Q2009="비교",ABS(P2009)+ROW()/1000000000,"")</f>
        <v/>
      </c>
      <c r="V2009" s="39">
        <f>IF($A2009="","",IF(COUNTIF(변동분석!$E$7:$E$506,O2009)&gt;0,"Y","N"))</f>
        <v/>
      </c>
      <c r="W2009" s="39">
        <f>IF($A2009="","",IFERROR(INDEX(계정매핑!$D$5:$D$504,MATCH($F2009&amp;"",계정매핑!$A$5:$A$504,0)),"미매핑"))</f>
        <v/>
      </c>
      <c r="X2009" s="9">
        <f>IF($A2009="","",$F2009&amp;"")</f>
        <v/>
      </c>
    </row>
    <row r="2010">
      <c r="A2010" s="75" t="n">
        <v>2025</v>
      </c>
      <c r="B2010" s="75" t="n">
        <v>11</v>
      </c>
      <c r="C2010" s="75" t="inlineStr">
        <is>
          <t>5100002006</t>
        </is>
      </c>
      <c r="D2010" s="78" t="n">
        <v>45971</v>
      </c>
      <c r="E2010" s="75" t="inlineStr">
        <is>
          <t>KR</t>
        </is>
      </c>
      <c r="F2010" s="75" t="n">
        <v>62301000</v>
      </c>
      <c r="G2010" s="75" t="n">
        <v>1101</v>
      </c>
      <c r="H2010" s="76" t="n">
        <v>139000</v>
      </c>
      <c r="I2010" s="75" t="inlineStr">
        <is>
          <t>11월 소모품 구입 - Q오피스</t>
        </is>
      </c>
      <c r="J2010" s="75" t="inlineStr">
        <is>
          <t>V10003</t>
        </is>
      </c>
      <c r="K2010" s="75" t="inlineStr">
        <is>
          <t>Q오피스</t>
        </is>
      </c>
      <c r="M2010" s="9">
        <f>IF($A2010="","",VALUE($A2010&amp;"")*12+VALUE($B2010&amp;""))</f>
        <v/>
      </c>
      <c r="N2010" s="39">
        <f>IF($A2010="","",IFERROR(INDEX(부서매핑!$C$5:$C$504,MATCH($G2010&amp;"",부서매핑!$A$5:$A$504,0)),"미매핑"))</f>
        <v/>
      </c>
      <c r="O2010" s="9">
        <f>IF($A2010="","",N2010&amp;"|"&amp;$F2010)</f>
        <v/>
      </c>
      <c r="P2010" s="77">
        <f>IF($A2010="",0,$H2010*설정!$C$23)</f>
        <v/>
      </c>
      <c r="Q2010" s="39">
        <f>IF($A2010="","",IF(O2010&lt;&gt;원인분석!$C$9,"",IF(AND(M2010&gt;=원인분석!$C$10,M2010&lt;=원인분석!$C$11),"당기",IF(AND(M2010&gt;=원인분석!$C$12,M2010&lt;=원인분석!$C$13),"비교",""))))</f>
        <v/>
      </c>
      <c r="R2010" s="9">
        <f>IF(Q2010="","",$K2010&amp;"")</f>
        <v/>
      </c>
      <c r="S2010" s="9">
        <f>IF(Q2010="","",IF(MATCH(R2010,$R$5:$R$100000,0)=ROW()-4,ROW(),""))</f>
        <v/>
      </c>
      <c r="T2010" s="9">
        <f>IF(Q2010="당기",ABS(P2010)+ROW()/1000000000,"")</f>
        <v/>
      </c>
      <c r="U2010" s="9">
        <f>IF(Q2010="비교",ABS(P2010)+ROW()/1000000000,"")</f>
        <v/>
      </c>
      <c r="V2010" s="39">
        <f>IF($A2010="","",IF(COUNTIF(변동분석!$E$7:$E$506,O2010)&gt;0,"Y","N"))</f>
        <v/>
      </c>
      <c r="W2010" s="39">
        <f>IF($A2010="","",IFERROR(INDEX(계정매핑!$D$5:$D$504,MATCH($F2010&amp;"",계정매핑!$A$5:$A$504,0)),"미매핑"))</f>
        <v/>
      </c>
      <c r="X2010" s="9">
        <f>IF($A2010="","",$F2010&amp;"")</f>
        <v/>
      </c>
    </row>
    <row r="2011">
      <c r="A2011" s="75" t="n">
        <v>2025</v>
      </c>
      <c r="B2011" s="75" t="n">
        <v>11</v>
      </c>
      <c r="C2011" s="75" t="inlineStr">
        <is>
          <t>5100002007</t>
        </is>
      </c>
      <c r="D2011" s="78" t="n">
        <v>45971</v>
      </c>
      <c r="E2011" s="75" t="inlineStr">
        <is>
          <t>KR</t>
        </is>
      </c>
      <c r="F2011" s="75" t="n">
        <v>62301000</v>
      </c>
      <c r="G2011" s="75" t="n">
        <v>1401</v>
      </c>
      <c r="H2011" s="76" t="n">
        <v>133000</v>
      </c>
      <c r="I2011" s="75" t="inlineStr">
        <is>
          <t>11월 소모품 구입 - Q오피스</t>
        </is>
      </c>
      <c r="J2011" s="75" t="inlineStr">
        <is>
          <t>V10003</t>
        </is>
      </c>
      <c r="K2011" s="75" t="inlineStr">
        <is>
          <t>Q오피스</t>
        </is>
      </c>
      <c r="M2011" s="9">
        <f>IF($A2011="","",VALUE($A2011&amp;"")*12+VALUE($B2011&amp;""))</f>
        <v/>
      </c>
      <c r="N2011" s="39">
        <f>IF($A2011="","",IFERROR(INDEX(부서매핑!$C$5:$C$504,MATCH($G2011&amp;"",부서매핑!$A$5:$A$504,0)),"미매핑"))</f>
        <v/>
      </c>
      <c r="O2011" s="9">
        <f>IF($A2011="","",N2011&amp;"|"&amp;$F2011)</f>
        <v/>
      </c>
      <c r="P2011" s="77">
        <f>IF($A2011="",0,$H2011*설정!$C$23)</f>
        <v/>
      </c>
      <c r="Q2011" s="39">
        <f>IF($A2011="","",IF(O2011&lt;&gt;원인분석!$C$9,"",IF(AND(M2011&gt;=원인분석!$C$10,M2011&lt;=원인분석!$C$11),"당기",IF(AND(M2011&gt;=원인분석!$C$12,M2011&lt;=원인분석!$C$13),"비교",""))))</f>
        <v/>
      </c>
      <c r="R2011" s="9">
        <f>IF(Q2011="","",$K2011&amp;"")</f>
        <v/>
      </c>
      <c r="S2011" s="9">
        <f>IF(Q2011="","",IF(MATCH(R2011,$R$5:$R$100000,0)=ROW()-4,ROW(),""))</f>
        <v/>
      </c>
      <c r="T2011" s="9">
        <f>IF(Q2011="당기",ABS(P2011)+ROW()/1000000000,"")</f>
        <v/>
      </c>
      <c r="U2011" s="9">
        <f>IF(Q2011="비교",ABS(P2011)+ROW()/1000000000,"")</f>
        <v/>
      </c>
      <c r="V2011" s="39">
        <f>IF($A2011="","",IF(COUNTIF(변동분석!$E$7:$E$506,O2011)&gt;0,"Y","N"))</f>
        <v/>
      </c>
      <c r="W2011" s="39">
        <f>IF($A2011="","",IFERROR(INDEX(계정매핑!$D$5:$D$504,MATCH($F2011&amp;"",계정매핑!$A$5:$A$504,0)),"미매핑"))</f>
        <v/>
      </c>
      <c r="X2011" s="9">
        <f>IF($A2011="","",$F2011&amp;"")</f>
        <v/>
      </c>
    </row>
    <row r="2012">
      <c r="A2012" s="75" t="n">
        <v>2025</v>
      </c>
      <c r="B2012" s="75" t="n">
        <v>11</v>
      </c>
      <c r="C2012" s="75" t="inlineStr">
        <is>
          <t>5100002008</t>
        </is>
      </c>
      <c r="D2012" s="78" t="n">
        <v>45971</v>
      </c>
      <c r="E2012" s="75" t="inlineStr">
        <is>
          <t>KR</t>
        </is>
      </c>
      <c r="F2012" s="75" t="n">
        <v>62901000</v>
      </c>
      <c r="G2012" s="75" t="n">
        <v>1101</v>
      </c>
      <c r="H2012" s="76" t="n">
        <v>4591000</v>
      </c>
      <c r="I2012" s="75" t="inlineStr">
        <is>
          <t>11월 자문 수수료 - K회계법인</t>
        </is>
      </c>
      <c r="J2012" s="75" t="inlineStr">
        <is>
          <t>V10010</t>
        </is>
      </c>
      <c r="K2012" s="75" t="inlineStr">
        <is>
          <t>K회계법인</t>
        </is>
      </c>
      <c r="M2012" s="9">
        <f>IF($A2012="","",VALUE($A2012&amp;"")*12+VALUE($B2012&amp;""))</f>
        <v/>
      </c>
      <c r="N2012" s="39">
        <f>IF($A2012="","",IFERROR(INDEX(부서매핑!$C$5:$C$504,MATCH($G2012&amp;"",부서매핑!$A$5:$A$504,0)),"미매핑"))</f>
        <v/>
      </c>
      <c r="O2012" s="9">
        <f>IF($A2012="","",N2012&amp;"|"&amp;$F2012)</f>
        <v/>
      </c>
      <c r="P2012" s="77">
        <f>IF($A2012="",0,$H2012*설정!$C$23)</f>
        <v/>
      </c>
      <c r="Q2012" s="39">
        <f>IF($A2012="","",IF(O2012&lt;&gt;원인분석!$C$9,"",IF(AND(M2012&gt;=원인분석!$C$10,M2012&lt;=원인분석!$C$11),"당기",IF(AND(M2012&gt;=원인분석!$C$12,M2012&lt;=원인분석!$C$13),"비교",""))))</f>
        <v/>
      </c>
      <c r="R2012" s="9">
        <f>IF(Q2012="","",$K2012&amp;"")</f>
        <v/>
      </c>
      <c r="S2012" s="9">
        <f>IF(Q2012="","",IF(MATCH(R2012,$R$5:$R$100000,0)=ROW()-4,ROW(),""))</f>
        <v/>
      </c>
      <c r="T2012" s="9">
        <f>IF(Q2012="당기",ABS(P2012)+ROW()/1000000000,"")</f>
        <v/>
      </c>
      <c r="U2012" s="9">
        <f>IF(Q2012="비교",ABS(P2012)+ROW()/1000000000,"")</f>
        <v/>
      </c>
      <c r="V2012" s="39">
        <f>IF($A2012="","",IF(COUNTIF(변동분석!$E$7:$E$506,O2012)&gt;0,"Y","N"))</f>
        <v/>
      </c>
      <c r="W2012" s="39">
        <f>IF($A2012="","",IFERROR(INDEX(계정매핑!$D$5:$D$504,MATCH($F2012&amp;"",계정매핑!$A$5:$A$504,0)),"미매핑"))</f>
        <v/>
      </c>
      <c r="X2012" s="9">
        <f>IF($A2012="","",$F2012&amp;"")</f>
        <v/>
      </c>
    </row>
    <row r="2013">
      <c r="A2013" s="75" t="n">
        <v>2025</v>
      </c>
      <c r="B2013" s="75" t="n">
        <v>11</v>
      </c>
      <c r="C2013" s="75" t="inlineStr">
        <is>
          <t>5100002009</t>
        </is>
      </c>
      <c r="D2013" s="78" t="n">
        <v>45971</v>
      </c>
      <c r="E2013" s="75" t="inlineStr">
        <is>
          <t>KR</t>
        </is>
      </c>
      <c r="F2013" s="75" t="n">
        <v>62902000</v>
      </c>
      <c r="G2013" s="75" t="n">
        <v>1801</v>
      </c>
      <c r="H2013" s="76" t="n">
        <v>3000000</v>
      </c>
      <c r="I2013" s="75" t="inlineStr">
        <is>
          <t>11월 업무 위탁 수수료 - X서비스</t>
        </is>
      </c>
      <c r="J2013" s="75" t="inlineStr">
        <is>
          <t>V10016</t>
        </is>
      </c>
      <c r="K2013" s="75" t="inlineStr">
        <is>
          <t>X서비스</t>
        </is>
      </c>
      <c r="M2013" s="9">
        <f>IF($A2013="","",VALUE($A2013&amp;"")*12+VALUE($B2013&amp;""))</f>
        <v/>
      </c>
      <c r="N2013" s="39">
        <f>IF($A2013="","",IFERROR(INDEX(부서매핑!$C$5:$C$504,MATCH($G2013&amp;"",부서매핑!$A$5:$A$504,0)),"미매핑"))</f>
        <v/>
      </c>
      <c r="O2013" s="9">
        <f>IF($A2013="","",N2013&amp;"|"&amp;$F2013)</f>
        <v/>
      </c>
      <c r="P2013" s="77">
        <f>IF($A2013="",0,$H2013*설정!$C$23)</f>
        <v/>
      </c>
      <c r="Q2013" s="39">
        <f>IF($A2013="","",IF(O2013&lt;&gt;원인분석!$C$9,"",IF(AND(M2013&gt;=원인분석!$C$10,M2013&lt;=원인분석!$C$11),"당기",IF(AND(M2013&gt;=원인분석!$C$12,M2013&lt;=원인분석!$C$13),"비교",""))))</f>
        <v/>
      </c>
      <c r="R2013" s="9">
        <f>IF(Q2013="","",$K2013&amp;"")</f>
        <v/>
      </c>
      <c r="S2013" s="9">
        <f>IF(Q2013="","",IF(MATCH(R2013,$R$5:$R$100000,0)=ROW()-4,ROW(),""))</f>
        <v/>
      </c>
      <c r="T2013" s="9">
        <f>IF(Q2013="당기",ABS(P2013)+ROW()/1000000000,"")</f>
        <v/>
      </c>
      <c r="U2013" s="9">
        <f>IF(Q2013="비교",ABS(P2013)+ROW()/1000000000,"")</f>
        <v/>
      </c>
      <c r="V2013" s="39">
        <f>IF($A2013="","",IF(COUNTIF(변동분석!$E$7:$E$506,O2013)&gt;0,"Y","N"))</f>
        <v/>
      </c>
      <c r="W2013" s="39">
        <f>IF($A2013="","",IFERROR(INDEX(계정매핑!$D$5:$D$504,MATCH($F2013&amp;"",계정매핑!$A$5:$A$504,0)),"미매핑"))</f>
        <v/>
      </c>
      <c r="X2013" s="9">
        <f>IF($A2013="","",$F2013&amp;"")</f>
        <v/>
      </c>
    </row>
    <row r="2014">
      <c r="A2014" s="75" t="n">
        <v>2025</v>
      </c>
      <c r="B2014" s="75" t="n">
        <v>11</v>
      </c>
      <c r="C2014" s="75" t="inlineStr">
        <is>
          <t>5100002010</t>
        </is>
      </c>
      <c r="D2014" s="78" t="n">
        <v>45972</v>
      </c>
      <c r="E2014" s="75" t="inlineStr">
        <is>
          <t>KR</t>
        </is>
      </c>
      <c r="F2014" s="75" t="n">
        <v>62101000</v>
      </c>
      <c r="G2014" s="75" t="n">
        <v>1201</v>
      </c>
      <c r="H2014" s="76" t="n">
        <v>188000</v>
      </c>
      <c r="I2014" s="75" t="inlineStr">
        <is>
          <t>11월 국내출장 - (법인카드)</t>
        </is>
      </c>
      <c r="J2014" s="75" t="inlineStr">
        <is>
          <t>V10008</t>
        </is>
      </c>
      <c r="K2014" s="75" t="inlineStr">
        <is>
          <t>(법인카드)</t>
        </is>
      </c>
      <c r="M2014" s="9">
        <f>IF($A2014="","",VALUE($A2014&amp;"")*12+VALUE($B2014&amp;""))</f>
        <v/>
      </c>
      <c r="N2014" s="39">
        <f>IF($A2014="","",IFERROR(INDEX(부서매핑!$C$5:$C$504,MATCH($G2014&amp;"",부서매핑!$A$5:$A$504,0)),"미매핑"))</f>
        <v/>
      </c>
      <c r="O2014" s="9">
        <f>IF($A2014="","",N2014&amp;"|"&amp;$F2014)</f>
        <v/>
      </c>
      <c r="P2014" s="77">
        <f>IF($A2014="",0,$H2014*설정!$C$23)</f>
        <v/>
      </c>
      <c r="Q2014" s="39">
        <f>IF($A2014="","",IF(O2014&lt;&gt;원인분석!$C$9,"",IF(AND(M2014&gt;=원인분석!$C$10,M2014&lt;=원인분석!$C$11),"당기",IF(AND(M2014&gt;=원인분석!$C$12,M2014&lt;=원인분석!$C$13),"비교",""))))</f>
        <v/>
      </c>
      <c r="R2014" s="9">
        <f>IF(Q2014="","",$K2014&amp;"")</f>
        <v/>
      </c>
      <c r="S2014" s="9">
        <f>IF(Q2014="","",IF(MATCH(R2014,$R$5:$R$100000,0)=ROW()-4,ROW(),""))</f>
        <v/>
      </c>
      <c r="T2014" s="9">
        <f>IF(Q2014="당기",ABS(P2014)+ROW()/1000000000,"")</f>
        <v/>
      </c>
      <c r="U2014" s="9">
        <f>IF(Q2014="비교",ABS(P2014)+ROW()/1000000000,"")</f>
        <v/>
      </c>
      <c r="V2014" s="39">
        <f>IF($A2014="","",IF(COUNTIF(변동분석!$E$7:$E$506,O2014)&gt;0,"Y","N"))</f>
        <v/>
      </c>
      <c r="W2014" s="39">
        <f>IF($A2014="","",IFERROR(INDEX(계정매핑!$D$5:$D$504,MATCH($F2014&amp;"",계정매핑!$A$5:$A$504,0)),"미매핑"))</f>
        <v/>
      </c>
      <c r="X2014" s="9">
        <f>IF($A2014="","",$F2014&amp;"")</f>
        <v/>
      </c>
    </row>
    <row r="2015">
      <c r="A2015" s="75" t="n">
        <v>2025</v>
      </c>
      <c r="B2015" s="75" t="n">
        <v>11</v>
      </c>
      <c r="C2015" s="75" t="inlineStr">
        <is>
          <t>5100002011</t>
        </is>
      </c>
      <c r="D2015" s="78" t="n">
        <v>45972</v>
      </c>
      <c r="E2015" s="75" t="inlineStr">
        <is>
          <t>KR</t>
        </is>
      </c>
      <c r="F2015" s="75" t="n">
        <v>62102000</v>
      </c>
      <c r="G2015" s="75" t="n">
        <v>1201</v>
      </c>
      <c r="H2015" s="76" t="n">
        <v>32000</v>
      </c>
      <c r="I2015" s="75" t="inlineStr">
        <is>
          <t>11월 해외출장 - N호텔</t>
        </is>
      </c>
      <c r="J2015" s="75" t="inlineStr">
        <is>
          <t>V10007</t>
        </is>
      </c>
      <c r="K2015" s="75" t="inlineStr">
        <is>
          <t>N호텔</t>
        </is>
      </c>
      <c r="M2015" s="9">
        <f>IF($A2015="","",VALUE($A2015&amp;"")*12+VALUE($B2015&amp;""))</f>
        <v/>
      </c>
      <c r="N2015" s="39">
        <f>IF($A2015="","",IFERROR(INDEX(부서매핑!$C$5:$C$504,MATCH($G2015&amp;"",부서매핑!$A$5:$A$504,0)),"미매핑"))</f>
        <v/>
      </c>
      <c r="O2015" s="9">
        <f>IF($A2015="","",N2015&amp;"|"&amp;$F2015)</f>
        <v/>
      </c>
      <c r="P2015" s="77">
        <f>IF($A2015="",0,$H2015*설정!$C$23)</f>
        <v/>
      </c>
      <c r="Q2015" s="39">
        <f>IF($A2015="","",IF(O2015&lt;&gt;원인분석!$C$9,"",IF(AND(M2015&gt;=원인분석!$C$10,M2015&lt;=원인분석!$C$11),"당기",IF(AND(M2015&gt;=원인분석!$C$12,M2015&lt;=원인분석!$C$13),"비교",""))))</f>
        <v/>
      </c>
      <c r="R2015" s="9">
        <f>IF(Q2015="","",$K2015&amp;"")</f>
        <v/>
      </c>
      <c r="S2015" s="9">
        <f>IF(Q2015="","",IF(MATCH(R2015,$R$5:$R$100000,0)=ROW()-4,ROW(),""))</f>
        <v/>
      </c>
      <c r="T2015" s="9">
        <f>IF(Q2015="당기",ABS(P2015)+ROW()/1000000000,"")</f>
        <v/>
      </c>
      <c r="U2015" s="9">
        <f>IF(Q2015="비교",ABS(P2015)+ROW()/1000000000,"")</f>
        <v/>
      </c>
      <c r="V2015" s="39">
        <f>IF($A2015="","",IF(COUNTIF(변동분석!$E$7:$E$506,O2015)&gt;0,"Y","N"))</f>
        <v/>
      </c>
      <c r="W2015" s="39">
        <f>IF($A2015="","",IFERROR(INDEX(계정매핑!$D$5:$D$504,MATCH($F2015&amp;"",계정매핑!$A$5:$A$504,0)),"미매핑"))</f>
        <v/>
      </c>
      <c r="X2015" s="9">
        <f>IF($A2015="","",$F2015&amp;"")</f>
        <v/>
      </c>
    </row>
    <row r="2016">
      <c r="A2016" s="75" t="n">
        <v>2025</v>
      </c>
      <c r="B2016" s="75" t="n">
        <v>11</v>
      </c>
      <c r="C2016" s="75" t="inlineStr">
        <is>
          <t>5100002012</t>
        </is>
      </c>
      <c r="D2016" s="78" t="n">
        <v>45972</v>
      </c>
      <c r="E2016" s="75" t="inlineStr">
        <is>
          <t>KR</t>
        </is>
      </c>
      <c r="F2016" s="75" t="n">
        <v>62301000</v>
      </c>
      <c r="G2016" s="75" t="n">
        <v>1701</v>
      </c>
      <c r="H2016" s="76" t="n">
        <v>285000</v>
      </c>
      <c r="I2016" s="75" t="inlineStr">
        <is>
          <t>11월 소모품 구입 - R문구</t>
        </is>
      </c>
      <c r="J2016" s="75" t="inlineStr">
        <is>
          <t>V10018</t>
        </is>
      </c>
      <c r="K2016" s="75" t="inlineStr">
        <is>
          <t>R문구</t>
        </is>
      </c>
      <c r="M2016" s="9">
        <f>IF($A2016="","",VALUE($A2016&amp;"")*12+VALUE($B2016&amp;""))</f>
        <v/>
      </c>
      <c r="N2016" s="39">
        <f>IF($A2016="","",IFERROR(INDEX(부서매핑!$C$5:$C$504,MATCH($G2016&amp;"",부서매핑!$A$5:$A$504,0)),"미매핑"))</f>
        <v/>
      </c>
      <c r="O2016" s="9">
        <f>IF($A2016="","",N2016&amp;"|"&amp;$F2016)</f>
        <v/>
      </c>
      <c r="P2016" s="77">
        <f>IF($A2016="",0,$H2016*설정!$C$23)</f>
        <v/>
      </c>
      <c r="Q2016" s="39">
        <f>IF($A2016="","",IF(O2016&lt;&gt;원인분석!$C$9,"",IF(AND(M2016&gt;=원인분석!$C$10,M2016&lt;=원인분석!$C$11),"당기",IF(AND(M2016&gt;=원인분석!$C$12,M2016&lt;=원인분석!$C$13),"비교",""))))</f>
        <v/>
      </c>
      <c r="R2016" s="9">
        <f>IF(Q2016="","",$K2016&amp;"")</f>
        <v/>
      </c>
      <c r="S2016" s="9">
        <f>IF(Q2016="","",IF(MATCH(R2016,$R$5:$R$100000,0)=ROW()-4,ROW(),""))</f>
        <v/>
      </c>
      <c r="T2016" s="9">
        <f>IF(Q2016="당기",ABS(P2016)+ROW()/1000000000,"")</f>
        <v/>
      </c>
      <c r="U2016" s="9">
        <f>IF(Q2016="비교",ABS(P2016)+ROW()/1000000000,"")</f>
        <v/>
      </c>
      <c r="V2016" s="39">
        <f>IF($A2016="","",IF(COUNTIF(변동분석!$E$7:$E$506,O2016)&gt;0,"Y","N"))</f>
        <v/>
      </c>
      <c r="W2016" s="39">
        <f>IF($A2016="","",IFERROR(INDEX(계정매핑!$D$5:$D$504,MATCH($F2016&amp;"",계정매핑!$A$5:$A$504,0)),"미매핑"))</f>
        <v/>
      </c>
      <c r="X2016" s="9">
        <f>IF($A2016="","",$F2016&amp;"")</f>
        <v/>
      </c>
    </row>
    <row r="2017">
      <c r="A2017" s="75" t="n">
        <v>2025</v>
      </c>
      <c r="B2017" s="75" t="n">
        <v>11</v>
      </c>
      <c r="C2017" s="75" t="inlineStr">
        <is>
          <t>5100002013</t>
        </is>
      </c>
      <c r="D2017" s="78" t="n">
        <v>45972</v>
      </c>
      <c r="E2017" s="75" t="inlineStr">
        <is>
          <t>KR</t>
        </is>
      </c>
      <c r="F2017" s="75" t="n">
        <v>62401000</v>
      </c>
      <c r="G2017" s="75" t="n">
        <v>1501</v>
      </c>
      <c r="H2017" s="76" t="n">
        <v>1492000</v>
      </c>
      <c r="I2017" s="75" t="inlineStr">
        <is>
          <t>11월 인쇄물 제작 - G인쇄</t>
        </is>
      </c>
      <c r="J2017" s="75" t="inlineStr">
        <is>
          <t>V10004</t>
        </is>
      </c>
      <c r="K2017" s="75" t="inlineStr">
        <is>
          <t>G인쇄</t>
        </is>
      </c>
      <c r="M2017" s="9">
        <f>IF($A2017="","",VALUE($A2017&amp;"")*12+VALUE($B2017&amp;""))</f>
        <v/>
      </c>
      <c r="N2017" s="39">
        <f>IF($A2017="","",IFERROR(INDEX(부서매핑!$C$5:$C$504,MATCH($G2017&amp;"",부서매핑!$A$5:$A$504,0)),"미매핑"))</f>
        <v/>
      </c>
      <c r="O2017" s="9">
        <f>IF($A2017="","",N2017&amp;"|"&amp;$F2017)</f>
        <v/>
      </c>
      <c r="P2017" s="77">
        <f>IF($A2017="",0,$H2017*설정!$C$23)</f>
        <v/>
      </c>
      <c r="Q2017" s="39">
        <f>IF($A2017="","",IF(O2017&lt;&gt;원인분석!$C$9,"",IF(AND(M2017&gt;=원인분석!$C$10,M2017&lt;=원인분석!$C$11),"당기",IF(AND(M2017&gt;=원인분석!$C$12,M2017&lt;=원인분석!$C$13),"비교",""))))</f>
        <v/>
      </c>
      <c r="R2017" s="9">
        <f>IF(Q2017="","",$K2017&amp;"")</f>
        <v/>
      </c>
      <c r="S2017" s="9">
        <f>IF(Q2017="","",IF(MATCH(R2017,$R$5:$R$100000,0)=ROW()-4,ROW(),""))</f>
        <v/>
      </c>
      <c r="T2017" s="9">
        <f>IF(Q2017="당기",ABS(P2017)+ROW()/1000000000,"")</f>
        <v/>
      </c>
      <c r="U2017" s="9">
        <f>IF(Q2017="비교",ABS(P2017)+ROW()/1000000000,"")</f>
        <v/>
      </c>
      <c r="V2017" s="39">
        <f>IF($A2017="","",IF(COUNTIF(변동분석!$E$7:$E$506,O2017)&gt;0,"Y","N"))</f>
        <v/>
      </c>
      <c r="W2017" s="39">
        <f>IF($A2017="","",IFERROR(INDEX(계정매핑!$D$5:$D$504,MATCH($F2017&amp;"",계정매핑!$A$5:$A$504,0)),"미매핑"))</f>
        <v/>
      </c>
      <c r="X2017" s="9">
        <f>IF($A2017="","",$F2017&amp;"")</f>
        <v/>
      </c>
    </row>
    <row r="2018">
      <c r="A2018" s="75" t="n">
        <v>2025</v>
      </c>
      <c r="B2018" s="75" t="n">
        <v>11</v>
      </c>
      <c r="C2018" s="75" t="inlineStr">
        <is>
          <t>5100002014</t>
        </is>
      </c>
      <c r="D2018" s="78" t="n">
        <v>45972</v>
      </c>
      <c r="E2018" s="75" t="inlineStr">
        <is>
          <t>KR</t>
        </is>
      </c>
      <c r="F2018" s="75" t="n">
        <v>62501000</v>
      </c>
      <c r="G2018" s="75" t="n">
        <v>1501</v>
      </c>
      <c r="H2018" s="76" t="n">
        <v>238000</v>
      </c>
      <c r="I2018" s="75" t="inlineStr">
        <is>
          <t>11월 회의 다과 - (법인카드)</t>
        </is>
      </c>
      <c r="J2018" s="75" t="inlineStr">
        <is>
          <t>V10008</t>
        </is>
      </c>
      <c r="K2018" s="75" t="inlineStr">
        <is>
          <t>(법인카드)</t>
        </is>
      </c>
      <c r="M2018" s="9">
        <f>IF($A2018="","",VALUE($A2018&amp;"")*12+VALUE($B2018&amp;""))</f>
        <v/>
      </c>
      <c r="N2018" s="39">
        <f>IF($A2018="","",IFERROR(INDEX(부서매핑!$C$5:$C$504,MATCH($G2018&amp;"",부서매핑!$A$5:$A$504,0)),"미매핑"))</f>
        <v/>
      </c>
      <c r="O2018" s="9">
        <f>IF($A2018="","",N2018&amp;"|"&amp;$F2018)</f>
        <v/>
      </c>
      <c r="P2018" s="77">
        <f>IF($A2018="",0,$H2018*설정!$C$23)</f>
        <v/>
      </c>
      <c r="Q2018" s="39">
        <f>IF($A2018="","",IF(O2018&lt;&gt;원인분석!$C$9,"",IF(AND(M2018&gt;=원인분석!$C$10,M2018&lt;=원인분석!$C$11),"당기",IF(AND(M2018&gt;=원인분석!$C$12,M2018&lt;=원인분석!$C$13),"비교",""))))</f>
        <v/>
      </c>
      <c r="R2018" s="9">
        <f>IF(Q2018="","",$K2018&amp;"")</f>
        <v/>
      </c>
      <c r="S2018" s="9">
        <f>IF(Q2018="","",IF(MATCH(R2018,$R$5:$R$100000,0)=ROW()-4,ROW(),""))</f>
        <v/>
      </c>
      <c r="T2018" s="9">
        <f>IF(Q2018="당기",ABS(P2018)+ROW()/1000000000,"")</f>
        <v/>
      </c>
      <c r="U2018" s="9">
        <f>IF(Q2018="비교",ABS(P2018)+ROW()/1000000000,"")</f>
        <v/>
      </c>
      <c r="V2018" s="39">
        <f>IF($A2018="","",IF(COUNTIF(변동분석!$E$7:$E$506,O2018)&gt;0,"Y","N"))</f>
        <v/>
      </c>
      <c r="W2018" s="39">
        <f>IF($A2018="","",IFERROR(INDEX(계정매핑!$D$5:$D$504,MATCH($F2018&amp;"",계정매핑!$A$5:$A$504,0)),"미매핑"))</f>
        <v/>
      </c>
      <c r="X2018" s="9">
        <f>IF($A2018="","",$F2018&amp;"")</f>
        <v/>
      </c>
    </row>
    <row r="2019">
      <c r="A2019" s="75" t="n">
        <v>2025</v>
      </c>
      <c r="B2019" s="75" t="n">
        <v>11</v>
      </c>
      <c r="C2019" s="75" t="inlineStr">
        <is>
          <t>5100002015</t>
        </is>
      </c>
      <c r="D2019" s="78" t="n">
        <v>45972</v>
      </c>
      <c r="E2019" s="75" t="inlineStr">
        <is>
          <t>KR</t>
        </is>
      </c>
      <c r="F2019" s="75" t="n">
        <v>62501000</v>
      </c>
      <c r="G2019" s="75" t="n">
        <v>1502</v>
      </c>
      <c r="H2019" s="76" t="n">
        <v>421000</v>
      </c>
      <c r="I2019" s="75" t="inlineStr">
        <is>
          <t>11월 회의 다과 - T케이터링</t>
        </is>
      </c>
      <c r="J2019" s="75" t="inlineStr">
        <is>
          <t>V10005</t>
        </is>
      </c>
      <c r="K2019" s="75" t="inlineStr">
        <is>
          <t>T케이터링</t>
        </is>
      </c>
      <c r="M2019" s="9">
        <f>IF($A2019="","",VALUE($A2019&amp;"")*12+VALUE($B2019&amp;""))</f>
        <v/>
      </c>
      <c r="N2019" s="39">
        <f>IF($A2019="","",IFERROR(INDEX(부서매핑!$C$5:$C$504,MATCH($G2019&amp;"",부서매핑!$A$5:$A$504,0)),"미매핑"))</f>
        <v/>
      </c>
      <c r="O2019" s="9">
        <f>IF($A2019="","",N2019&amp;"|"&amp;$F2019)</f>
        <v/>
      </c>
      <c r="P2019" s="77">
        <f>IF($A2019="",0,$H2019*설정!$C$23)</f>
        <v/>
      </c>
      <c r="Q2019" s="39">
        <f>IF($A2019="","",IF(O2019&lt;&gt;원인분석!$C$9,"",IF(AND(M2019&gt;=원인분석!$C$10,M2019&lt;=원인분석!$C$11),"당기",IF(AND(M2019&gt;=원인분석!$C$12,M2019&lt;=원인분석!$C$13),"비교",""))))</f>
        <v/>
      </c>
      <c r="R2019" s="9">
        <f>IF(Q2019="","",$K2019&amp;"")</f>
        <v/>
      </c>
      <c r="S2019" s="9">
        <f>IF(Q2019="","",IF(MATCH(R2019,$R$5:$R$100000,0)=ROW()-4,ROW(),""))</f>
        <v/>
      </c>
      <c r="T2019" s="9">
        <f>IF(Q2019="당기",ABS(P2019)+ROW()/1000000000,"")</f>
        <v/>
      </c>
      <c r="U2019" s="9">
        <f>IF(Q2019="비교",ABS(P2019)+ROW()/1000000000,"")</f>
        <v/>
      </c>
      <c r="V2019" s="39">
        <f>IF($A2019="","",IF(COUNTIF(변동분석!$E$7:$E$506,O2019)&gt;0,"Y","N"))</f>
        <v/>
      </c>
      <c r="W2019" s="39">
        <f>IF($A2019="","",IFERROR(INDEX(계정매핑!$D$5:$D$504,MATCH($F2019&amp;"",계정매핑!$A$5:$A$504,0)),"미매핑"))</f>
        <v/>
      </c>
      <c r="X2019" s="9">
        <f>IF($A2019="","",$F2019&amp;"")</f>
        <v/>
      </c>
    </row>
    <row r="2020">
      <c r="A2020" s="75" t="n">
        <v>2025</v>
      </c>
      <c r="B2020" s="75" t="n">
        <v>11</v>
      </c>
      <c r="C2020" s="75" t="inlineStr">
        <is>
          <t>5100002016</t>
        </is>
      </c>
      <c r="D2020" s="78" t="n">
        <v>45973</v>
      </c>
      <c r="E2020" s="75" t="inlineStr">
        <is>
          <t>KR</t>
        </is>
      </c>
      <c r="F2020" s="75" t="n">
        <v>62101000</v>
      </c>
      <c r="G2020" s="75" t="n">
        <v>1101</v>
      </c>
      <c r="H2020" s="76" t="n">
        <v>345000</v>
      </c>
      <c r="I2020" s="75" t="inlineStr">
        <is>
          <t>11월 국내출장 - M항공</t>
        </is>
      </c>
      <c r="J2020" s="75" t="inlineStr">
        <is>
          <t>V10001</t>
        </is>
      </c>
      <c r="K2020" s="75" t="inlineStr">
        <is>
          <t>M항공</t>
        </is>
      </c>
      <c r="M2020" s="9">
        <f>IF($A2020="","",VALUE($A2020&amp;"")*12+VALUE($B2020&amp;""))</f>
        <v/>
      </c>
      <c r="N2020" s="39">
        <f>IF($A2020="","",IFERROR(INDEX(부서매핑!$C$5:$C$504,MATCH($G2020&amp;"",부서매핑!$A$5:$A$504,0)),"미매핑"))</f>
        <v/>
      </c>
      <c r="O2020" s="9">
        <f>IF($A2020="","",N2020&amp;"|"&amp;$F2020)</f>
        <v/>
      </c>
      <c r="P2020" s="77">
        <f>IF($A2020="",0,$H2020*설정!$C$23)</f>
        <v/>
      </c>
      <c r="Q2020" s="39">
        <f>IF($A2020="","",IF(O2020&lt;&gt;원인분석!$C$9,"",IF(AND(M2020&gt;=원인분석!$C$10,M2020&lt;=원인분석!$C$11),"당기",IF(AND(M2020&gt;=원인분석!$C$12,M2020&lt;=원인분석!$C$13),"비교",""))))</f>
        <v/>
      </c>
      <c r="R2020" s="9">
        <f>IF(Q2020="","",$K2020&amp;"")</f>
        <v/>
      </c>
      <c r="S2020" s="9">
        <f>IF(Q2020="","",IF(MATCH(R2020,$R$5:$R$100000,0)=ROW()-4,ROW(),""))</f>
        <v/>
      </c>
      <c r="T2020" s="9">
        <f>IF(Q2020="당기",ABS(P2020)+ROW()/1000000000,"")</f>
        <v/>
      </c>
      <c r="U2020" s="9">
        <f>IF(Q2020="비교",ABS(P2020)+ROW()/1000000000,"")</f>
        <v/>
      </c>
      <c r="V2020" s="39">
        <f>IF($A2020="","",IF(COUNTIF(변동분석!$E$7:$E$506,O2020)&gt;0,"Y","N"))</f>
        <v/>
      </c>
      <c r="W2020" s="39">
        <f>IF($A2020="","",IFERROR(INDEX(계정매핑!$D$5:$D$504,MATCH($F2020&amp;"",계정매핑!$A$5:$A$504,0)),"미매핑"))</f>
        <v/>
      </c>
      <c r="X2020" s="9">
        <f>IF($A2020="","",$F2020&amp;"")</f>
        <v/>
      </c>
    </row>
    <row r="2021">
      <c r="A2021" s="75" t="n">
        <v>2025</v>
      </c>
      <c r="B2021" s="75" t="n">
        <v>11</v>
      </c>
      <c r="C2021" s="75" t="inlineStr">
        <is>
          <t>5100002017</t>
        </is>
      </c>
      <c r="D2021" s="78" t="n">
        <v>45973</v>
      </c>
      <c r="E2021" s="75" t="inlineStr">
        <is>
          <t>KR</t>
        </is>
      </c>
      <c r="F2021" s="75" t="n">
        <v>62101000</v>
      </c>
      <c r="G2021" s="75" t="n">
        <v>1701</v>
      </c>
      <c r="H2021" s="76" t="n">
        <v>144000</v>
      </c>
      <c r="I2021" s="75" t="inlineStr">
        <is>
          <t>11월 국내출장 - M항공</t>
        </is>
      </c>
      <c r="J2021" s="75" t="inlineStr">
        <is>
          <t>V10001</t>
        </is>
      </c>
      <c r="K2021" s="75" t="inlineStr">
        <is>
          <t>M항공</t>
        </is>
      </c>
      <c r="M2021" s="9">
        <f>IF($A2021="","",VALUE($A2021&amp;"")*12+VALUE($B2021&amp;""))</f>
        <v/>
      </c>
      <c r="N2021" s="39">
        <f>IF($A2021="","",IFERROR(INDEX(부서매핑!$C$5:$C$504,MATCH($G2021&amp;"",부서매핑!$A$5:$A$504,0)),"미매핑"))</f>
        <v/>
      </c>
      <c r="O2021" s="9">
        <f>IF($A2021="","",N2021&amp;"|"&amp;$F2021)</f>
        <v/>
      </c>
      <c r="P2021" s="77">
        <f>IF($A2021="",0,$H2021*설정!$C$23)</f>
        <v/>
      </c>
      <c r="Q2021" s="39">
        <f>IF($A2021="","",IF(O2021&lt;&gt;원인분석!$C$9,"",IF(AND(M2021&gt;=원인분석!$C$10,M2021&lt;=원인분석!$C$11),"당기",IF(AND(M2021&gt;=원인분석!$C$12,M2021&lt;=원인분석!$C$13),"비교",""))))</f>
        <v/>
      </c>
      <c r="R2021" s="9">
        <f>IF(Q2021="","",$K2021&amp;"")</f>
        <v/>
      </c>
      <c r="S2021" s="9">
        <f>IF(Q2021="","",IF(MATCH(R2021,$R$5:$R$100000,0)=ROW()-4,ROW(),""))</f>
        <v/>
      </c>
      <c r="T2021" s="9">
        <f>IF(Q2021="당기",ABS(P2021)+ROW()/1000000000,"")</f>
        <v/>
      </c>
      <c r="U2021" s="9">
        <f>IF(Q2021="비교",ABS(P2021)+ROW()/1000000000,"")</f>
        <v/>
      </c>
      <c r="V2021" s="39">
        <f>IF($A2021="","",IF(COUNTIF(변동분석!$E$7:$E$506,O2021)&gt;0,"Y","N"))</f>
        <v/>
      </c>
      <c r="W2021" s="39">
        <f>IF($A2021="","",IFERROR(INDEX(계정매핑!$D$5:$D$504,MATCH($F2021&amp;"",계정매핑!$A$5:$A$504,0)),"미매핑"))</f>
        <v/>
      </c>
      <c r="X2021" s="9">
        <f>IF($A2021="","",$F2021&amp;"")</f>
        <v/>
      </c>
    </row>
    <row r="2022">
      <c r="A2022" s="75" t="n">
        <v>2025</v>
      </c>
      <c r="B2022" s="75" t="n">
        <v>11</v>
      </c>
      <c r="C2022" s="75" t="inlineStr">
        <is>
          <t>5100002018</t>
        </is>
      </c>
      <c r="D2022" s="78" t="n">
        <v>45973</v>
      </c>
      <c r="E2022" s="75" t="inlineStr">
        <is>
          <t>KR</t>
        </is>
      </c>
      <c r="F2022" s="75" t="n">
        <v>62201000</v>
      </c>
      <c r="G2022" s="75" t="n">
        <v>1101</v>
      </c>
      <c r="H2022" s="76" t="n">
        <v>183000</v>
      </c>
      <c r="I2022" s="75" t="inlineStr">
        <is>
          <t>11월 통신요금 - O텔레콤</t>
        </is>
      </c>
      <c r="J2022" s="75" t="inlineStr">
        <is>
          <t>V10002</t>
        </is>
      </c>
      <c r="K2022" s="75" t="inlineStr">
        <is>
          <t>O텔레콤</t>
        </is>
      </c>
      <c r="M2022" s="9">
        <f>IF($A2022="","",VALUE($A2022&amp;"")*12+VALUE($B2022&amp;""))</f>
        <v/>
      </c>
      <c r="N2022" s="39">
        <f>IF($A2022="","",IFERROR(INDEX(부서매핑!$C$5:$C$504,MATCH($G2022&amp;"",부서매핑!$A$5:$A$504,0)),"미매핑"))</f>
        <v/>
      </c>
      <c r="O2022" s="9">
        <f>IF($A2022="","",N2022&amp;"|"&amp;$F2022)</f>
        <v/>
      </c>
      <c r="P2022" s="77">
        <f>IF($A2022="",0,$H2022*설정!$C$23)</f>
        <v/>
      </c>
      <c r="Q2022" s="39">
        <f>IF($A2022="","",IF(O2022&lt;&gt;원인분석!$C$9,"",IF(AND(M2022&gt;=원인분석!$C$10,M2022&lt;=원인분석!$C$11),"당기",IF(AND(M2022&gt;=원인분석!$C$12,M2022&lt;=원인분석!$C$13),"비교",""))))</f>
        <v/>
      </c>
      <c r="R2022" s="9">
        <f>IF(Q2022="","",$K2022&amp;"")</f>
        <v/>
      </c>
      <c r="S2022" s="9">
        <f>IF(Q2022="","",IF(MATCH(R2022,$R$5:$R$100000,0)=ROW()-4,ROW(),""))</f>
        <v/>
      </c>
      <c r="T2022" s="9">
        <f>IF(Q2022="당기",ABS(P2022)+ROW()/1000000000,"")</f>
        <v/>
      </c>
      <c r="U2022" s="9">
        <f>IF(Q2022="비교",ABS(P2022)+ROW()/1000000000,"")</f>
        <v/>
      </c>
      <c r="V2022" s="39">
        <f>IF($A2022="","",IF(COUNTIF(변동분석!$E$7:$E$506,O2022)&gt;0,"Y","N"))</f>
        <v/>
      </c>
      <c r="W2022" s="39">
        <f>IF($A2022="","",IFERROR(INDEX(계정매핑!$D$5:$D$504,MATCH($F2022&amp;"",계정매핑!$A$5:$A$504,0)),"미매핑"))</f>
        <v/>
      </c>
      <c r="X2022" s="9">
        <f>IF($A2022="","",$F2022&amp;"")</f>
        <v/>
      </c>
    </row>
    <row r="2023">
      <c r="A2023" s="75" t="n">
        <v>2025</v>
      </c>
      <c r="B2023" s="75" t="n">
        <v>11</v>
      </c>
      <c r="C2023" s="75" t="inlineStr">
        <is>
          <t>5100002019</t>
        </is>
      </c>
      <c r="D2023" s="78" t="n">
        <v>45973</v>
      </c>
      <c r="E2023" s="75" t="inlineStr">
        <is>
          <t>KR</t>
        </is>
      </c>
      <c r="F2023" s="75" t="n">
        <v>62201000</v>
      </c>
      <c r="G2023" s="75" t="n">
        <v>1501</v>
      </c>
      <c r="H2023" s="76" t="n">
        <v>143000</v>
      </c>
      <c r="I2023" s="75" t="inlineStr">
        <is>
          <t>11월 통신요금 - O텔레콤</t>
        </is>
      </c>
      <c r="J2023" s="75" t="inlineStr">
        <is>
          <t>V10002</t>
        </is>
      </c>
      <c r="K2023" s="75" t="inlineStr">
        <is>
          <t>O텔레콤</t>
        </is>
      </c>
      <c r="M2023" s="9">
        <f>IF($A2023="","",VALUE($A2023&amp;"")*12+VALUE($B2023&amp;""))</f>
        <v/>
      </c>
      <c r="N2023" s="39">
        <f>IF($A2023="","",IFERROR(INDEX(부서매핑!$C$5:$C$504,MATCH($G2023&amp;"",부서매핑!$A$5:$A$504,0)),"미매핑"))</f>
        <v/>
      </c>
      <c r="O2023" s="9">
        <f>IF($A2023="","",N2023&amp;"|"&amp;$F2023)</f>
        <v/>
      </c>
      <c r="P2023" s="77">
        <f>IF($A2023="",0,$H2023*설정!$C$23)</f>
        <v/>
      </c>
      <c r="Q2023" s="39">
        <f>IF($A2023="","",IF(O2023&lt;&gt;원인분석!$C$9,"",IF(AND(M2023&gt;=원인분석!$C$10,M2023&lt;=원인분석!$C$11),"당기",IF(AND(M2023&gt;=원인분석!$C$12,M2023&lt;=원인분석!$C$13),"비교",""))))</f>
        <v/>
      </c>
      <c r="R2023" s="9">
        <f>IF(Q2023="","",$K2023&amp;"")</f>
        <v/>
      </c>
      <c r="S2023" s="9">
        <f>IF(Q2023="","",IF(MATCH(R2023,$R$5:$R$100000,0)=ROW()-4,ROW(),""))</f>
        <v/>
      </c>
      <c r="T2023" s="9">
        <f>IF(Q2023="당기",ABS(P2023)+ROW()/1000000000,"")</f>
        <v/>
      </c>
      <c r="U2023" s="9">
        <f>IF(Q2023="비교",ABS(P2023)+ROW()/1000000000,"")</f>
        <v/>
      </c>
      <c r="V2023" s="39">
        <f>IF($A2023="","",IF(COUNTIF(변동분석!$E$7:$E$506,O2023)&gt;0,"Y","N"))</f>
        <v/>
      </c>
      <c r="W2023" s="39">
        <f>IF($A2023="","",IFERROR(INDEX(계정매핑!$D$5:$D$504,MATCH($F2023&amp;"",계정매핑!$A$5:$A$504,0)),"미매핑"))</f>
        <v/>
      </c>
      <c r="X2023" s="9">
        <f>IF($A2023="","",$F2023&amp;"")</f>
        <v/>
      </c>
    </row>
    <row r="2024">
      <c r="A2024" s="75" t="n">
        <v>2025</v>
      </c>
      <c r="B2024" s="75" t="n">
        <v>11</v>
      </c>
      <c r="C2024" s="75" t="inlineStr">
        <is>
          <t>5100002020</t>
        </is>
      </c>
      <c r="D2024" s="78" t="n">
        <v>45973</v>
      </c>
      <c r="E2024" s="75" t="inlineStr">
        <is>
          <t>KR</t>
        </is>
      </c>
      <c r="F2024" s="75" t="n">
        <v>62201000</v>
      </c>
      <c r="G2024" s="75" t="n">
        <v>1701</v>
      </c>
      <c r="H2024" s="76" t="n">
        <v>6630000</v>
      </c>
      <c r="I2024" s="75" t="inlineStr">
        <is>
          <t>11월 통신요금 - P통신</t>
        </is>
      </c>
      <c r="J2024" s="75" t="inlineStr">
        <is>
          <t>V10011</t>
        </is>
      </c>
      <c r="K2024" s="75" t="inlineStr">
        <is>
          <t>P통신</t>
        </is>
      </c>
      <c r="M2024" s="9">
        <f>IF($A2024="","",VALUE($A2024&amp;"")*12+VALUE($B2024&amp;""))</f>
        <v/>
      </c>
      <c r="N2024" s="39">
        <f>IF($A2024="","",IFERROR(INDEX(부서매핑!$C$5:$C$504,MATCH($G2024&amp;"",부서매핑!$A$5:$A$504,0)),"미매핑"))</f>
        <v/>
      </c>
      <c r="O2024" s="9">
        <f>IF($A2024="","",N2024&amp;"|"&amp;$F2024)</f>
        <v/>
      </c>
      <c r="P2024" s="77">
        <f>IF($A2024="",0,$H2024*설정!$C$23)</f>
        <v/>
      </c>
      <c r="Q2024" s="39">
        <f>IF($A2024="","",IF(O2024&lt;&gt;원인분석!$C$9,"",IF(AND(M2024&gt;=원인분석!$C$10,M2024&lt;=원인분석!$C$11),"당기",IF(AND(M2024&gt;=원인분석!$C$12,M2024&lt;=원인분석!$C$13),"비교",""))))</f>
        <v/>
      </c>
      <c r="R2024" s="9">
        <f>IF(Q2024="","",$K2024&amp;"")</f>
        <v/>
      </c>
      <c r="S2024" s="9">
        <f>IF(Q2024="","",IF(MATCH(R2024,$R$5:$R$100000,0)=ROW()-4,ROW(),""))</f>
        <v/>
      </c>
      <c r="T2024" s="9">
        <f>IF(Q2024="당기",ABS(P2024)+ROW()/1000000000,"")</f>
        <v/>
      </c>
      <c r="U2024" s="9">
        <f>IF(Q2024="비교",ABS(P2024)+ROW()/1000000000,"")</f>
        <v/>
      </c>
      <c r="V2024" s="39">
        <f>IF($A2024="","",IF(COUNTIF(변동분석!$E$7:$E$506,O2024)&gt;0,"Y","N"))</f>
        <v/>
      </c>
      <c r="W2024" s="39">
        <f>IF($A2024="","",IFERROR(INDEX(계정매핑!$D$5:$D$504,MATCH($F2024&amp;"",계정매핑!$A$5:$A$504,0)),"미매핑"))</f>
        <v/>
      </c>
      <c r="X2024" s="9">
        <f>IF($A2024="","",$F2024&amp;"")</f>
        <v/>
      </c>
    </row>
    <row r="2025">
      <c r="A2025" s="75" t="n">
        <v>2025</v>
      </c>
      <c r="B2025" s="75" t="n">
        <v>11</v>
      </c>
      <c r="C2025" s="75" t="inlineStr">
        <is>
          <t>5100002021</t>
        </is>
      </c>
      <c r="D2025" s="78" t="n">
        <v>45973</v>
      </c>
      <c r="E2025" s="75" t="inlineStr">
        <is>
          <t>KR</t>
        </is>
      </c>
      <c r="F2025" s="75" t="n">
        <v>62301000</v>
      </c>
      <c r="G2025" s="75" t="n">
        <v>1101</v>
      </c>
      <c r="H2025" s="76" t="n">
        <v>147000</v>
      </c>
      <c r="I2025" s="75" t="inlineStr">
        <is>
          <t>11월 소모품 구입 - Q오피스</t>
        </is>
      </c>
      <c r="J2025" s="75" t="inlineStr">
        <is>
          <t>V10003</t>
        </is>
      </c>
      <c r="K2025" s="75" t="inlineStr">
        <is>
          <t>Q오피스</t>
        </is>
      </c>
      <c r="M2025" s="9">
        <f>IF($A2025="","",VALUE($A2025&amp;"")*12+VALUE($B2025&amp;""))</f>
        <v/>
      </c>
      <c r="N2025" s="39">
        <f>IF($A2025="","",IFERROR(INDEX(부서매핑!$C$5:$C$504,MATCH($G2025&amp;"",부서매핑!$A$5:$A$504,0)),"미매핑"))</f>
        <v/>
      </c>
      <c r="O2025" s="9">
        <f>IF($A2025="","",N2025&amp;"|"&amp;$F2025)</f>
        <v/>
      </c>
      <c r="P2025" s="77">
        <f>IF($A2025="",0,$H2025*설정!$C$23)</f>
        <v/>
      </c>
      <c r="Q2025" s="39">
        <f>IF($A2025="","",IF(O2025&lt;&gt;원인분석!$C$9,"",IF(AND(M2025&gt;=원인분석!$C$10,M2025&lt;=원인분석!$C$11),"당기",IF(AND(M2025&gt;=원인분석!$C$12,M2025&lt;=원인분석!$C$13),"비교",""))))</f>
        <v/>
      </c>
      <c r="R2025" s="9">
        <f>IF(Q2025="","",$K2025&amp;"")</f>
        <v/>
      </c>
      <c r="S2025" s="9">
        <f>IF(Q2025="","",IF(MATCH(R2025,$R$5:$R$100000,0)=ROW()-4,ROW(),""))</f>
        <v/>
      </c>
      <c r="T2025" s="9">
        <f>IF(Q2025="당기",ABS(P2025)+ROW()/1000000000,"")</f>
        <v/>
      </c>
      <c r="U2025" s="9">
        <f>IF(Q2025="비교",ABS(P2025)+ROW()/1000000000,"")</f>
        <v/>
      </c>
      <c r="V2025" s="39">
        <f>IF($A2025="","",IF(COUNTIF(변동분석!$E$7:$E$506,O2025)&gt;0,"Y","N"))</f>
        <v/>
      </c>
      <c r="W2025" s="39">
        <f>IF($A2025="","",IFERROR(INDEX(계정매핑!$D$5:$D$504,MATCH($F2025&amp;"",계정매핑!$A$5:$A$504,0)),"미매핑"))</f>
        <v/>
      </c>
      <c r="X2025" s="9">
        <f>IF($A2025="","",$F2025&amp;"")</f>
        <v/>
      </c>
    </row>
    <row r="2026">
      <c r="A2026" s="75" t="n">
        <v>2025</v>
      </c>
      <c r="B2026" s="75" t="n">
        <v>11</v>
      </c>
      <c r="C2026" s="75" t="inlineStr">
        <is>
          <t>5100002022</t>
        </is>
      </c>
      <c r="D2026" s="78" t="n">
        <v>45973</v>
      </c>
      <c r="E2026" s="75" t="inlineStr">
        <is>
          <t>KR</t>
        </is>
      </c>
      <c r="F2026" s="75" t="n">
        <v>62902000</v>
      </c>
      <c r="G2026" s="75" t="n">
        <v>1101</v>
      </c>
      <c r="H2026" s="76" t="n">
        <v>1925000</v>
      </c>
      <c r="I2026" s="75" t="inlineStr">
        <is>
          <t>11월 업무 위탁 수수료 - X서비스</t>
        </is>
      </c>
      <c r="J2026" s="75" t="inlineStr">
        <is>
          <t>V10016</t>
        </is>
      </c>
      <c r="K2026" s="75" t="inlineStr">
        <is>
          <t>X서비스</t>
        </is>
      </c>
      <c r="M2026" s="9">
        <f>IF($A2026="","",VALUE($A2026&amp;"")*12+VALUE($B2026&amp;""))</f>
        <v/>
      </c>
      <c r="N2026" s="39">
        <f>IF($A2026="","",IFERROR(INDEX(부서매핑!$C$5:$C$504,MATCH($G2026&amp;"",부서매핑!$A$5:$A$504,0)),"미매핑"))</f>
        <v/>
      </c>
      <c r="O2026" s="9">
        <f>IF($A2026="","",N2026&amp;"|"&amp;$F2026)</f>
        <v/>
      </c>
      <c r="P2026" s="77">
        <f>IF($A2026="",0,$H2026*설정!$C$23)</f>
        <v/>
      </c>
      <c r="Q2026" s="39">
        <f>IF($A2026="","",IF(O2026&lt;&gt;원인분석!$C$9,"",IF(AND(M2026&gt;=원인분석!$C$10,M2026&lt;=원인분석!$C$11),"당기",IF(AND(M2026&gt;=원인분석!$C$12,M2026&lt;=원인분석!$C$13),"비교",""))))</f>
        <v/>
      </c>
      <c r="R2026" s="9">
        <f>IF(Q2026="","",$K2026&amp;"")</f>
        <v/>
      </c>
      <c r="S2026" s="9">
        <f>IF(Q2026="","",IF(MATCH(R2026,$R$5:$R$100000,0)=ROW()-4,ROW(),""))</f>
        <v/>
      </c>
      <c r="T2026" s="9">
        <f>IF(Q2026="당기",ABS(P2026)+ROW()/1000000000,"")</f>
        <v/>
      </c>
      <c r="U2026" s="9">
        <f>IF(Q2026="비교",ABS(P2026)+ROW()/1000000000,"")</f>
        <v/>
      </c>
      <c r="V2026" s="39">
        <f>IF($A2026="","",IF(COUNTIF(변동분석!$E$7:$E$506,O2026)&gt;0,"Y","N"))</f>
        <v/>
      </c>
      <c r="W2026" s="39">
        <f>IF($A2026="","",IFERROR(INDEX(계정매핑!$D$5:$D$504,MATCH($F2026&amp;"",계정매핑!$A$5:$A$504,0)),"미매핑"))</f>
        <v/>
      </c>
      <c r="X2026" s="9">
        <f>IF($A2026="","",$F2026&amp;"")</f>
        <v/>
      </c>
    </row>
    <row r="2027">
      <c r="A2027" s="75" t="n">
        <v>2025</v>
      </c>
      <c r="B2027" s="75" t="n">
        <v>11</v>
      </c>
      <c r="C2027" s="75" t="inlineStr">
        <is>
          <t>5100002023</t>
        </is>
      </c>
      <c r="D2027" s="78" t="n">
        <v>45974</v>
      </c>
      <c r="E2027" s="75" t="inlineStr">
        <is>
          <t>KR</t>
        </is>
      </c>
      <c r="F2027" s="75" t="n">
        <v>62101000</v>
      </c>
      <c r="G2027" s="75" t="n">
        <v>1201</v>
      </c>
      <c r="H2027" s="76" t="n">
        <v>198000</v>
      </c>
      <c r="I2027" s="75" t="inlineStr">
        <is>
          <t>11월 국내출장 - M항공</t>
        </is>
      </c>
      <c r="J2027" s="75" t="inlineStr">
        <is>
          <t>V10001</t>
        </is>
      </c>
      <c r="K2027" s="75" t="inlineStr">
        <is>
          <t>M항공</t>
        </is>
      </c>
      <c r="M2027" s="9">
        <f>IF($A2027="","",VALUE($A2027&amp;"")*12+VALUE($B2027&amp;""))</f>
        <v/>
      </c>
      <c r="N2027" s="39">
        <f>IF($A2027="","",IFERROR(INDEX(부서매핑!$C$5:$C$504,MATCH($G2027&amp;"",부서매핑!$A$5:$A$504,0)),"미매핑"))</f>
        <v/>
      </c>
      <c r="O2027" s="9">
        <f>IF($A2027="","",N2027&amp;"|"&amp;$F2027)</f>
        <v/>
      </c>
      <c r="P2027" s="77">
        <f>IF($A2027="",0,$H2027*설정!$C$23)</f>
        <v/>
      </c>
      <c r="Q2027" s="39">
        <f>IF($A2027="","",IF(O2027&lt;&gt;원인분석!$C$9,"",IF(AND(M2027&gt;=원인분석!$C$10,M2027&lt;=원인분석!$C$11),"당기",IF(AND(M2027&gt;=원인분석!$C$12,M2027&lt;=원인분석!$C$13),"비교",""))))</f>
        <v/>
      </c>
      <c r="R2027" s="9">
        <f>IF(Q2027="","",$K2027&amp;"")</f>
        <v/>
      </c>
      <c r="S2027" s="9">
        <f>IF(Q2027="","",IF(MATCH(R2027,$R$5:$R$100000,0)=ROW()-4,ROW(),""))</f>
        <v/>
      </c>
      <c r="T2027" s="9">
        <f>IF(Q2027="당기",ABS(P2027)+ROW()/1000000000,"")</f>
        <v/>
      </c>
      <c r="U2027" s="9">
        <f>IF(Q2027="비교",ABS(P2027)+ROW()/1000000000,"")</f>
        <v/>
      </c>
      <c r="V2027" s="39">
        <f>IF($A2027="","",IF(COUNTIF(변동분석!$E$7:$E$506,O2027)&gt;0,"Y","N"))</f>
        <v/>
      </c>
      <c r="W2027" s="39">
        <f>IF($A2027="","",IFERROR(INDEX(계정매핑!$D$5:$D$504,MATCH($F2027&amp;"",계정매핑!$A$5:$A$504,0)),"미매핑"))</f>
        <v/>
      </c>
      <c r="X2027" s="9">
        <f>IF($A2027="","",$F2027&amp;"")</f>
        <v/>
      </c>
    </row>
    <row r="2028">
      <c r="A2028" s="75" t="n">
        <v>2025</v>
      </c>
      <c r="B2028" s="75" t="n">
        <v>11</v>
      </c>
      <c r="C2028" s="75" t="inlineStr">
        <is>
          <t>5100002024</t>
        </is>
      </c>
      <c r="D2028" s="78" t="n">
        <v>45974</v>
      </c>
      <c r="E2028" s="75" t="inlineStr">
        <is>
          <t>KR</t>
        </is>
      </c>
      <c r="F2028" s="75" t="n">
        <v>62101000</v>
      </c>
      <c r="G2028" s="75" t="n">
        <v>1701</v>
      </c>
      <c r="H2028" s="76" t="n">
        <v>236000</v>
      </c>
      <c r="I2028" s="75" t="inlineStr">
        <is>
          <t>11월 국내출장 - L여행사</t>
        </is>
      </c>
      <c r="J2028" s="75" t="inlineStr">
        <is>
          <t>V10014</t>
        </is>
      </c>
      <c r="K2028" s="75" t="inlineStr">
        <is>
          <t>L여행사</t>
        </is>
      </c>
      <c r="M2028" s="9">
        <f>IF($A2028="","",VALUE($A2028&amp;"")*12+VALUE($B2028&amp;""))</f>
        <v/>
      </c>
      <c r="N2028" s="39">
        <f>IF($A2028="","",IFERROR(INDEX(부서매핑!$C$5:$C$504,MATCH($G2028&amp;"",부서매핑!$A$5:$A$504,0)),"미매핑"))</f>
        <v/>
      </c>
      <c r="O2028" s="9">
        <f>IF($A2028="","",N2028&amp;"|"&amp;$F2028)</f>
        <v/>
      </c>
      <c r="P2028" s="77">
        <f>IF($A2028="",0,$H2028*설정!$C$23)</f>
        <v/>
      </c>
      <c r="Q2028" s="39">
        <f>IF($A2028="","",IF(O2028&lt;&gt;원인분석!$C$9,"",IF(AND(M2028&gt;=원인분석!$C$10,M2028&lt;=원인분석!$C$11),"당기",IF(AND(M2028&gt;=원인분석!$C$12,M2028&lt;=원인분석!$C$13),"비교",""))))</f>
        <v/>
      </c>
      <c r="R2028" s="9">
        <f>IF(Q2028="","",$K2028&amp;"")</f>
        <v/>
      </c>
      <c r="S2028" s="9">
        <f>IF(Q2028="","",IF(MATCH(R2028,$R$5:$R$100000,0)=ROW()-4,ROW(),""))</f>
        <v/>
      </c>
      <c r="T2028" s="9">
        <f>IF(Q2028="당기",ABS(P2028)+ROW()/1000000000,"")</f>
        <v/>
      </c>
      <c r="U2028" s="9">
        <f>IF(Q2028="비교",ABS(P2028)+ROW()/1000000000,"")</f>
        <v/>
      </c>
      <c r="V2028" s="39">
        <f>IF($A2028="","",IF(COUNTIF(변동분석!$E$7:$E$506,O2028)&gt;0,"Y","N"))</f>
        <v/>
      </c>
      <c r="W2028" s="39">
        <f>IF($A2028="","",IFERROR(INDEX(계정매핑!$D$5:$D$504,MATCH($F2028&amp;"",계정매핑!$A$5:$A$504,0)),"미매핑"))</f>
        <v/>
      </c>
      <c r="X2028" s="9">
        <f>IF($A2028="","",$F2028&amp;"")</f>
        <v/>
      </c>
    </row>
    <row r="2029">
      <c r="A2029" s="75" t="n">
        <v>2025</v>
      </c>
      <c r="B2029" s="75" t="n">
        <v>11</v>
      </c>
      <c r="C2029" s="75" t="inlineStr">
        <is>
          <t>5100002025</t>
        </is>
      </c>
      <c r="D2029" s="78" t="n">
        <v>45974</v>
      </c>
      <c r="E2029" s="75" t="inlineStr">
        <is>
          <t>KR</t>
        </is>
      </c>
      <c r="F2029" s="75" t="n">
        <v>62101000</v>
      </c>
      <c r="G2029" s="75" t="n">
        <v>1801</v>
      </c>
      <c r="H2029" s="76" t="n">
        <v>154000</v>
      </c>
      <c r="I2029" s="75" t="inlineStr">
        <is>
          <t>11월 국내출장 - L여행사</t>
        </is>
      </c>
      <c r="J2029" s="75" t="inlineStr">
        <is>
          <t>V10014</t>
        </is>
      </c>
      <c r="K2029" s="75" t="inlineStr">
        <is>
          <t>L여행사</t>
        </is>
      </c>
      <c r="M2029" s="9">
        <f>IF($A2029="","",VALUE($A2029&amp;"")*12+VALUE($B2029&amp;""))</f>
        <v/>
      </c>
      <c r="N2029" s="39">
        <f>IF($A2029="","",IFERROR(INDEX(부서매핑!$C$5:$C$504,MATCH($G2029&amp;"",부서매핑!$A$5:$A$504,0)),"미매핑"))</f>
        <v/>
      </c>
      <c r="O2029" s="9">
        <f>IF($A2029="","",N2029&amp;"|"&amp;$F2029)</f>
        <v/>
      </c>
      <c r="P2029" s="77">
        <f>IF($A2029="",0,$H2029*설정!$C$23)</f>
        <v/>
      </c>
      <c r="Q2029" s="39">
        <f>IF($A2029="","",IF(O2029&lt;&gt;원인분석!$C$9,"",IF(AND(M2029&gt;=원인분석!$C$10,M2029&lt;=원인분석!$C$11),"당기",IF(AND(M2029&gt;=원인분석!$C$12,M2029&lt;=원인분석!$C$13),"비교",""))))</f>
        <v/>
      </c>
      <c r="R2029" s="9">
        <f>IF(Q2029="","",$K2029&amp;"")</f>
        <v/>
      </c>
      <c r="S2029" s="9">
        <f>IF(Q2029="","",IF(MATCH(R2029,$R$5:$R$100000,0)=ROW()-4,ROW(),""))</f>
        <v/>
      </c>
      <c r="T2029" s="9">
        <f>IF(Q2029="당기",ABS(P2029)+ROW()/1000000000,"")</f>
        <v/>
      </c>
      <c r="U2029" s="9">
        <f>IF(Q2029="비교",ABS(P2029)+ROW()/1000000000,"")</f>
        <v/>
      </c>
      <c r="V2029" s="39">
        <f>IF($A2029="","",IF(COUNTIF(변동분석!$E$7:$E$506,O2029)&gt;0,"Y","N"))</f>
        <v/>
      </c>
      <c r="W2029" s="39">
        <f>IF($A2029="","",IFERROR(INDEX(계정매핑!$D$5:$D$504,MATCH($F2029&amp;"",계정매핑!$A$5:$A$504,0)),"미매핑"))</f>
        <v/>
      </c>
      <c r="X2029" s="9">
        <f>IF($A2029="","",$F2029&amp;"")</f>
        <v/>
      </c>
    </row>
    <row r="2030">
      <c r="A2030" s="75" t="n">
        <v>2025</v>
      </c>
      <c r="B2030" s="75" t="n">
        <v>11</v>
      </c>
      <c r="C2030" s="75" t="inlineStr">
        <is>
          <t>5100002026</t>
        </is>
      </c>
      <c r="D2030" s="78" t="n">
        <v>45974</v>
      </c>
      <c r="E2030" s="75" t="inlineStr">
        <is>
          <t>KR</t>
        </is>
      </c>
      <c r="F2030" s="75" t="n">
        <v>62101000</v>
      </c>
      <c r="G2030" s="75" t="n">
        <v>1801</v>
      </c>
      <c r="H2030" s="76" t="n">
        <v>117000</v>
      </c>
      <c r="I2030" s="75" t="inlineStr">
        <is>
          <t>11월 국내출장 - M항공</t>
        </is>
      </c>
      <c r="J2030" s="75" t="inlineStr">
        <is>
          <t>V10001</t>
        </is>
      </c>
      <c r="K2030" s="75" t="inlineStr">
        <is>
          <t>M항공</t>
        </is>
      </c>
      <c r="M2030" s="9">
        <f>IF($A2030="","",VALUE($A2030&amp;"")*12+VALUE($B2030&amp;""))</f>
        <v/>
      </c>
      <c r="N2030" s="39">
        <f>IF($A2030="","",IFERROR(INDEX(부서매핑!$C$5:$C$504,MATCH($G2030&amp;"",부서매핑!$A$5:$A$504,0)),"미매핑"))</f>
        <v/>
      </c>
      <c r="O2030" s="9">
        <f>IF($A2030="","",N2030&amp;"|"&amp;$F2030)</f>
        <v/>
      </c>
      <c r="P2030" s="77">
        <f>IF($A2030="",0,$H2030*설정!$C$23)</f>
        <v/>
      </c>
      <c r="Q2030" s="39">
        <f>IF($A2030="","",IF(O2030&lt;&gt;원인분석!$C$9,"",IF(AND(M2030&gt;=원인분석!$C$10,M2030&lt;=원인분석!$C$11),"당기",IF(AND(M2030&gt;=원인분석!$C$12,M2030&lt;=원인분석!$C$13),"비교",""))))</f>
        <v/>
      </c>
      <c r="R2030" s="9">
        <f>IF(Q2030="","",$K2030&amp;"")</f>
        <v/>
      </c>
      <c r="S2030" s="9">
        <f>IF(Q2030="","",IF(MATCH(R2030,$R$5:$R$100000,0)=ROW()-4,ROW(),""))</f>
        <v/>
      </c>
      <c r="T2030" s="9">
        <f>IF(Q2030="당기",ABS(P2030)+ROW()/1000000000,"")</f>
        <v/>
      </c>
      <c r="U2030" s="9">
        <f>IF(Q2030="비교",ABS(P2030)+ROW()/1000000000,"")</f>
        <v/>
      </c>
      <c r="V2030" s="39">
        <f>IF($A2030="","",IF(COUNTIF(변동분석!$E$7:$E$506,O2030)&gt;0,"Y","N"))</f>
        <v/>
      </c>
      <c r="W2030" s="39">
        <f>IF($A2030="","",IFERROR(INDEX(계정매핑!$D$5:$D$504,MATCH($F2030&amp;"",계정매핑!$A$5:$A$504,0)),"미매핑"))</f>
        <v/>
      </c>
      <c r="X2030" s="9">
        <f>IF($A2030="","",$F2030&amp;"")</f>
        <v/>
      </c>
    </row>
    <row r="2031">
      <c r="A2031" s="75" t="n">
        <v>2025</v>
      </c>
      <c r="B2031" s="75" t="n">
        <v>11</v>
      </c>
      <c r="C2031" s="75" t="inlineStr">
        <is>
          <t>5100002027</t>
        </is>
      </c>
      <c r="D2031" s="78" t="n">
        <v>45974</v>
      </c>
      <c r="E2031" s="75" t="inlineStr">
        <is>
          <t>KR</t>
        </is>
      </c>
      <c r="F2031" s="75" t="n">
        <v>62201000</v>
      </c>
      <c r="G2031" s="75" t="n">
        <v>1101</v>
      </c>
      <c r="H2031" s="76" t="n">
        <v>204000</v>
      </c>
      <c r="I2031" s="75" t="inlineStr">
        <is>
          <t>11월 통신요금 - P통신</t>
        </is>
      </c>
      <c r="J2031" s="75" t="inlineStr">
        <is>
          <t>V10011</t>
        </is>
      </c>
      <c r="K2031" s="75" t="inlineStr">
        <is>
          <t>P통신</t>
        </is>
      </c>
      <c r="M2031" s="9">
        <f>IF($A2031="","",VALUE($A2031&amp;"")*12+VALUE($B2031&amp;""))</f>
        <v/>
      </c>
      <c r="N2031" s="39">
        <f>IF($A2031="","",IFERROR(INDEX(부서매핑!$C$5:$C$504,MATCH($G2031&amp;"",부서매핑!$A$5:$A$504,0)),"미매핑"))</f>
        <v/>
      </c>
      <c r="O2031" s="9">
        <f>IF($A2031="","",N2031&amp;"|"&amp;$F2031)</f>
        <v/>
      </c>
      <c r="P2031" s="77">
        <f>IF($A2031="",0,$H2031*설정!$C$23)</f>
        <v/>
      </c>
      <c r="Q2031" s="39">
        <f>IF($A2031="","",IF(O2031&lt;&gt;원인분석!$C$9,"",IF(AND(M2031&gt;=원인분석!$C$10,M2031&lt;=원인분석!$C$11),"당기",IF(AND(M2031&gt;=원인분석!$C$12,M2031&lt;=원인분석!$C$13),"비교",""))))</f>
        <v/>
      </c>
      <c r="R2031" s="9">
        <f>IF(Q2031="","",$K2031&amp;"")</f>
        <v/>
      </c>
      <c r="S2031" s="9">
        <f>IF(Q2031="","",IF(MATCH(R2031,$R$5:$R$100000,0)=ROW()-4,ROW(),""))</f>
        <v/>
      </c>
      <c r="T2031" s="9">
        <f>IF(Q2031="당기",ABS(P2031)+ROW()/1000000000,"")</f>
        <v/>
      </c>
      <c r="U2031" s="9">
        <f>IF(Q2031="비교",ABS(P2031)+ROW()/1000000000,"")</f>
        <v/>
      </c>
      <c r="V2031" s="39">
        <f>IF($A2031="","",IF(COUNTIF(변동분석!$E$7:$E$506,O2031)&gt;0,"Y","N"))</f>
        <v/>
      </c>
      <c r="W2031" s="39">
        <f>IF($A2031="","",IFERROR(INDEX(계정매핑!$D$5:$D$504,MATCH($F2031&amp;"",계정매핑!$A$5:$A$504,0)),"미매핑"))</f>
        <v/>
      </c>
      <c r="X2031" s="9">
        <f>IF($A2031="","",$F2031&amp;"")</f>
        <v/>
      </c>
    </row>
    <row r="2032">
      <c r="A2032" s="75" t="n">
        <v>2025</v>
      </c>
      <c r="B2032" s="75" t="n">
        <v>11</v>
      </c>
      <c r="C2032" s="75" t="inlineStr">
        <is>
          <t>5100002028</t>
        </is>
      </c>
      <c r="D2032" s="78" t="n">
        <v>45974</v>
      </c>
      <c r="E2032" s="75" t="inlineStr">
        <is>
          <t>KR</t>
        </is>
      </c>
      <c r="F2032" s="75" t="n">
        <v>62301000</v>
      </c>
      <c r="G2032" s="75" t="n">
        <v>1401</v>
      </c>
      <c r="H2032" s="76" t="n">
        <v>154000</v>
      </c>
      <c r="I2032" s="75" t="inlineStr">
        <is>
          <t>11월 소모품 구입 - R문구</t>
        </is>
      </c>
      <c r="J2032" s="75" t="inlineStr">
        <is>
          <t>V10018</t>
        </is>
      </c>
      <c r="K2032" s="75" t="inlineStr">
        <is>
          <t>R문구</t>
        </is>
      </c>
      <c r="M2032" s="9">
        <f>IF($A2032="","",VALUE($A2032&amp;"")*12+VALUE($B2032&amp;""))</f>
        <v/>
      </c>
      <c r="N2032" s="39">
        <f>IF($A2032="","",IFERROR(INDEX(부서매핑!$C$5:$C$504,MATCH($G2032&amp;"",부서매핑!$A$5:$A$504,0)),"미매핑"))</f>
        <v/>
      </c>
      <c r="O2032" s="9">
        <f>IF($A2032="","",N2032&amp;"|"&amp;$F2032)</f>
        <v/>
      </c>
      <c r="P2032" s="77">
        <f>IF($A2032="",0,$H2032*설정!$C$23)</f>
        <v/>
      </c>
      <c r="Q2032" s="39">
        <f>IF($A2032="","",IF(O2032&lt;&gt;원인분석!$C$9,"",IF(AND(M2032&gt;=원인분석!$C$10,M2032&lt;=원인분석!$C$11),"당기",IF(AND(M2032&gt;=원인분석!$C$12,M2032&lt;=원인분석!$C$13),"비교",""))))</f>
        <v/>
      </c>
      <c r="R2032" s="9">
        <f>IF(Q2032="","",$K2032&amp;"")</f>
        <v/>
      </c>
      <c r="S2032" s="9">
        <f>IF(Q2032="","",IF(MATCH(R2032,$R$5:$R$100000,0)=ROW()-4,ROW(),""))</f>
        <v/>
      </c>
      <c r="T2032" s="9">
        <f>IF(Q2032="당기",ABS(P2032)+ROW()/1000000000,"")</f>
        <v/>
      </c>
      <c r="U2032" s="9">
        <f>IF(Q2032="비교",ABS(P2032)+ROW()/1000000000,"")</f>
        <v/>
      </c>
      <c r="V2032" s="39">
        <f>IF($A2032="","",IF(COUNTIF(변동분석!$E$7:$E$506,O2032)&gt;0,"Y","N"))</f>
        <v/>
      </c>
      <c r="W2032" s="39">
        <f>IF($A2032="","",IFERROR(INDEX(계정매핑!$D$5:$D$504,MATCH($F2032&amp;"",계정매핑!$A$5:$A$504,0)),"미매핑"))</f>
        <v/>
      </c>
      <c r="X2032" s="9">
        <f>IF($A2032="","",$F2032&amp;"")</f>
        <v/>
      </c>
    </row>
    <row r="2033">
      <c r="A2033" s="75" t="n">
        <v>2025</v>
      </c>
      <c r="B2033" s="75" t="n">
        <v>11</v>
      </c>
      <c r="C2033" s="75" t="inlineStr">
        <is>
          <t>5100002029</t>
        </is>
      </c>
      <c r="D2033" s="78" t="n">
        <v>45974</v>
      </c>
      <c r="E2033" s="75" t="inlineStr">
        <is>
          <t>KR</t>
        </is>
      </c>
      <c r="F2033" s="75" t="n">
        <v>62902000</v>
      </c>
      <c r="G2033" s="75" t="n">
        <v>1101</v>
      </c>
      <c r="H2033" s="76" t="n">
        <v>3302000</v>
      </c>
      <c r="I2033" s="75" t="inlineStr">
        <is>
          <t>11월 업무 위탁 수수료 - J콜센터</t>
        </is>
      </c>
      <c r="J2033" s="75" t="inlineStr">
        <is>
          <t>V10013</t>
        </is>
      </c>
      <c r="K2033" s="75" t="inlineStr">
        <is>
          <t>J콜센터</t>
        </is>
      </c>
      <c r="M2033" s="9">
        <f>IF($A2033="","",VALUE($A2033&amp;"")*12+VALUE($B2033&amp;""))</f>
        <v/>
      </c>
      <c r="N2033" s="39">
        <f>IF($A2033="","",IFERROR(INDEX(부서매핑!$C$5:$C$504,MATCH($G2033&amp;"",부서매핑!$A$5:$A$504,0)),"미매핑"))</f>
        <v/>
      </c>
      <c r="O2033" s="9">
        <f>IF($A2033="","",N2033&amp;"|"&amp;$F2033)</f>
        <v/>
      </c>
      <c r="P2033" s="77">
        <f>IF($A2033="",0,$H2033*설정!$C$23)</f>
        <v/>
      </c>
      <c r="Q2033" s="39">
        <f>IF($A2033="","",IF(O2033&lt;&gt;원인분석!$C$9,"",IF(AND(M2033&gt;=원인분석!$C$10,M2033&lt;=원인분석!$C$11),"당기",IF(AND(M2033&gt;=원인분석!$C$12,M2033&lt;=원인분석!$C$13),"비교",""))))</f>
        <v/>
      </c>
      <c r="R2033" s="9">
        <f>IF(Q2033="","",$K2033&amp;"")</f>
        <v/>
      </c>
      <c r="S2033" s="9">
        <f>IF(Q2033="","",IF(MATCH(R2033,$R$5:$R$100000,0)=ROW()-4,ROW(),""))</f>
        <v/>
      </c>
      <c r="T2033" s="9">
        <f>IF(Q2033="당기",ABS(P2033)+ROW()/1000000000,"")</f>
        <v/>
      </c>
      <c r="U2033" s="9">
        <f>IF(Q2033="비교",ABS(P2033)+ROW()/1000000000,"")</f>
        <v/>
      </c>
      <c r="V2033" s="39">
        <f>IF($A2033="","",IF(COUNTIF(변동분석!$E$7:$E$506,O2033)&gt;0,"Y","N"))</f>
        <v/>
      </c>
      <c r="W2033" s="39">
        <f>IF($A2033="","",IFERROR(INDEX(계정매핑!$D$5:$D$504,MATCH($F2033&amp;"",계정매핑!$A$5:$A$504,0)),"미매핑"))</f>
        <v/>
      </c>
      <c r="X2033" s="9">
        <f>IF($A2033="","",$F2033&amp;"")</f>
        <v/>
      </c>
    </row>
    <row r="2034">
      <c r="A2034" s="75" t="n">
        <v>2025</v>
      </c>
      <c r="B2034" s="75" t="n">
        <v>11</v>
      </c>
      <c r="C2034" s="75" t="inlineStr">
        <is>
          <t>5100002030</t>
        </is>
      </c>
      <c r="D2034" s="78" t="n">
        <v>45975</v>
      </c>
      <c r="E2034" s="75" t="inlineStr">
        <is>
          <t>KR</t>
        </is>
      </c>
      <c r="F2034" s="75" t="n">
        <v>62101000</v>
      </c>
      <c r="G2034" s="75" t="n">
        <v>1501</v>
      </c>
      <c r="H2034" s="76" t="n">
        <v>501000</v>
      </c>
      <c r="I2034" s="75" t="inlineStr">
        <is>
          <t>11월 국내출장 - (법인카드)</t>
        </is>
      </c>
      <c r="J2034" s="75" t="inlineStr">
        <is>
          <t>V10008</t>
        </is>
      </c>
      <c r="K2034" s="75" t="inlineStr">
        <is>
          <t>(법인카드)</t>
        </is>
      </c>
      <c r="M2034" s="9">
        <f>IF($A2034="","",VALUE($A2034&amp;"")*12+VALUE($B2034&amp;""))</f>
        <v/>
      </c>
      <c r="N2034" s="39">
        <f>IF($A2034="","",IFERROR(INDEX(부서매핑!$C$5:$C$504,MATCH($G2034&amp;"",부서매핑!$A$5:$A$504,0)),"미매핑"))</f>
        <v/>
      </c>
      <c r="O2034" s="9">
        <f>IF($A2034="","",N2034&amp;"|"&amp;$F2034)</f>
        <v/>
      </c>
      <c r="P2034" s="77">
        <f>IF($A2034="",0,$H2034*설정!$C$23)</f>
        <v/>
      </c>
      <c r="Q2034" s="39">
        <f>IF($A2034="","",IF(O2034&lt;&gt;원인분석!$C$9,"",IF(AND(M2034&gt;=원인분석!$C$10,M2034&lt;=원인분석!$C$11),"당기",IF(AND(M2034&gt;=원인분석!$C$12,M2034&lt;=원인분석!$C$13),"비교",""))))</f>
        <v/>
      </c>
      <c r="R2034" s="9">
        <f>IF(Q2034="","",$K2034&amp;"")</f>
        <v/>
      </c>
      <c r="S2034" s="9">
        <f>IF(Q2034="","",IF(MATCH(R2034,$R$5:$R$100000,0)=ROW()-4,ROW(),""))</f>
        <v/>
      </c>
      <c r="T2034" s="9">
        <f>IF(Q2034="당기",ABS(P2034)+ROW()/1000000000,"")</f>
        <v/>
      </c>
      <c r="U2034" s="9">
        <f>IF(Q2034="비교",ABS(P2034)+ROW()/1000000000,"")</f>
        <v/>
      </c>
      <c r="V2034" s="39">
        <f>IF($A2034="","",IF(COUNTIF(변동분석!$E$7:$E$506,O2034)&gt;0,"Y","N"))</f>
        <v/>
      </c>
      <c r="W2034" s="39">
        <f>IF($A2034="","",IFERROR(INDEX(계정매핑!$D$5:$D$504,MATCH($F2034&amp;"",계정매핑!$A$5:$A$504,0)),"미매핑"))</f>
        <v/>
      </c>
      <c r="X2034" s="9">
        <f>IF($A2034="","",$F2034&amp;"")</f>
        <v/>
      </c>
    </row>
    <row r="2035">
      <c r="A2035" s="75" t="n">
        <v>2025</v>
      </c>
      <c r="B2035" s="75" t="n">
        <v>11</v>
      </c>
      <c r="C2035" s="75" t="inlineStr">
        <is>
          <t>5100002031</t>
        </is>
      </c>
      <c r="D2035" s="78" t="n">
        <v>45975</v>
      </c>
      <c r="E2035" s="75" t="inlineStr">
        <is>
          <t>KR</t>
        </is>
      </c>
      <c r="F2035" s="75" t="n">
        <v>62102000</v>
      </c>
      <c r="G2035" s="75" t="n">
        <v>1101</v>
      </c>
      <c r="H2035" s="76" t="n">
        <v>146000</v>
      </c>
      <c r="I2035" s="75" t="inlineStr">
        <is>
          <t>11월 해외출장 - M항공</t>
        </is>
      </c>
      <c r="J2035" s="75" t="inlineStr">
        <is>
          <t>V10001</t>
        </is>
      </c>
      <c r="K2035" s="75" t="inlineStr">
        <is>
          <t>M항공</t>
        </is>
      </c>
      <c r="M2035" s="9">
        <f>IF($A2035="","",VALUE($A2035&amp;"")*12+VALUE($B2035&amp;""))</f>
        <v/>
      </c>
      <c r="N2035" s="39">
        <f>IF($A2035="","",IFERROR(INDEX(부서매핑!$C$5:$C$504,MATCH($G2035&amp;"",부서매핑!$A$5:$A$504,0)),"미매핑"))</f>
        <v/>
      </c>
      <c r="O2035" s="9">
        <f>IF($A2035="","",N2035&amp;"|"&amp;$F2035)</f>
        <v/>
      </c>
      <c r="P2035" s="77">
        <f>IF($A2035="",0,$H2035*설정!$C$23)</f>
        <v/>
      </c>
      <c r="Q2035" s="39">
        <f>IF($A2035="","",IF(O2035&lt;&gt;원인분석!$C$9,"",IF(AND(M2035&gt;=원인분석!$C$10,M2035&lt;=원인분석!$C$11),"당기",IF(AND(M2035&gt;=원인분석!$C$12,M2035&lt;=원인분석!$C$13),"비교",""))))</f>
        <v/>
      </c>
      <c r="R2035" s="9">
        <f>IF(Q2035="","",$K2035&amp;"")</f>
        <v/>
      </c>
      <c r="S2035" s="9">
        <f>IF(Q2035="","",IF(MATCH(R2035,$R$5:$R$100000,0)=ROW()-4,ROW(),""))</f>
        <v/>
      </c>
      <c r="T2035" s="9">
        <f>IF(Q2035="당기",ABS(P2035)+ROW()/1000000000,"")</f>
        <v/>
      </c>
      <c r="U2035" s="9">
        <f>IF(Q2035="비교",ABS(P2035)+ROW()/1000000000,"")</f>
        <v/>
      </c>
      <c r="V2035" s="39">
        <f>IF($A2035="","",IF(COUNTIF(변동분석!$E$7:$E$506,O2035)&gt;0,"Y","N"))</f>
        <v/>
      </c>
      <c r="W2035" s="39">
        <f>IF($A2035="","",IFERROR(INDEX(계정매핑!$D$5:$D$504,MATCH($F2035&amp;"",계정매핑!$A$5:$A$504,0)),"미매핑"))</f>
        <v/>
      </c>
      <c r="X2035" s="9">
        <f>IF($A2035="","",$F2035&amp;"")</f>
        <v/>
      </c>
    </row>
    <row r="2036">
      <c r="A2036" s="75" t="n">
        <v>2025</v>
      </c>
      <c r="B2036" s="75" t="n">
        <v>11</v>
      </c>
      <c r="C2036" s="75" t="inlineStr">
        <is>
          <t>5100002032</t>
        </is>
      </c>
      <c r="D2036" s="78" t="n">
        <v>45975</v>
      </c>
      <c r="E2036" s="75" t="inlineStr">
        <is>
          <t>KR</t>
        </is>
      </c>
      <c r="F2036" s="75" t="n">
        <v>62102000</v>
      </c>
      <c r="G2036" s="75" t="n">
        <v>1401</v>
      </c>
      <c r="H2036" s="76" t="n">
        <v>76000</v>
      </c>
      <c r="I2036" s="75" t="inlineStr">
        <is>
          <t>11월 해외출장 - N호텔</t>
        </is>
      </c>
      <c r="J2036" s="75" t="inlineStr">
        <is>
          <t>V10007</t>
        </is>
      </c>
      <c r="K2036" s="75" t="inlineStr">
        <is>
          <t>N호텔</t>
        </is>
      </c>
      <c r="M2036" s="9">
        <f>IF($A2036="","",VALUE($A2036&amp;"")*12+VALUE($B2036&amp;""))</f>
        <v/>
      </c>
      <c r="N2036" s="39">
        <f>IF($A2036="","",IFERROR(INDEX(부서매핑!$C$5:$C$504,MATCH($G2036&amp;"",부서매핑!$A$5:$A$504,0)),"미매핑"))</f>
        <v/>
      </c>
      <c r="O2036" s="9">
        <f>IF($A2036="","",N2036&amp;"|"&amp;$F2036)</f>
        <v/>
      </c>
      <c r="P2036" s="77">
        <f>IF($A2036="",0,$H2036*설정!$C$23)</f>
        <v/>
      </c>
      <c r="Q2036" s="39">
        <f>IF($A2036="","",IF(O2036&lt;&gt;원인분석!$C$9,"",IF(AND(M2036&gt;=원인분석!$C$10,M2036&lt;=원인분석!$C$11),"당기",IF(AND(M2036&gt;=원인분석!$C$12,M2036&lt;=원인분석!$C$13),"비교",""))))</f>
        <v/>
      </c>
      <c r="R2036" s="9">
        <f>IF(Q2036="","",$K2036&amp;"")</f>
        <v/>
      </c>
      <c r="S2036" s="9">
        <f>IF(Q2036="","",IF(MATCH(R2036,$R$5:$R$100000,0)=ROW()-4,ROW(),""))</f>
        <v/>
      </c>
      <c r="T2036" s="9">
        <f>IF(Q2036="당기",ABS(P2036)+ROW()/1000000000,"")</f>
        <v/>
      </c>
      <c r="U2036" s="9">
        <f>IF(Q2036="비교",ABS(P2036)+ROW()/1000000000,"")</f>
        <v/>
      </c>
      <c r="V2036" s="39">
        <f>IF($A2036="","",IF(COUNTIF(변동분석!$E$7:$E$506,O2036)&gt;0,"Y","N"))</f>
        <v/>
      </c>
      <c r="W2036" s="39">
        <f>IF($A2036="","",IFERROR(INDEX(계정매핑!$D$5:$D$504,MATCH($F2036&amp;"",계정매핑!$A$5:$A$504,0)),"미매핑"))</f>
        <v/>
      </c>
      <c r="X2036" s="9">
        <f>IF($A2036="","",$F2036&amp;"")</f>
        <v/>
      </c>
    </row>
    <row r="2037">
      <c r="A2037" s="75" t="n">
        <v>2025</v>
      </c>
      <c r="B2037" s="75" t="n">
        <v>11</v>
      </c>
      <c r="C2037" s="75" t="inlineStr">
        <is>
          <t>5100002033</t>
        </is>
      </c>
      <c r="D2037" s="78" t="n">
        <v>45975</v>
      </c>
      <c r="E2037" s="75" t="inlineStr">
        <is>
          <t>KR</t>
        </is>
      </c>
      <c r="F2037" s="75" t="n">
        <v>62102000</v>
      </c>
      <c r="G2037" s="75" t="n">
        <v>1801</v>
      </c>
      <c r="H2037" s="76" t="n">
        <v>37000</v>
      </c>
      <c r="I2037" s="75" t="inlineStr">
        <is>
          <t>11월 해외출장 - M항공</t>
        </is>
      </c>
      <c r="J2037" s="75" t="inlineStr">
        <is>
          <t>V10001</t>
        </is>
      </c>
      <c r="K2037" s="75" t="inlineStr">
        <is>
          <t>M항공</t>
        </is>
      </c>
      <c r="M2037" s="9">
        <f>IF($A2037="","",VALUE($A2037&amp;"")*12+VALUE($B2037&amp;""))</f>
        <v/>
      </c>
      <c r="N2037" s="39">
        <f>IF($A2037="","",IFERROR(INDEX(부서매핑!$C$5:$C$504,MATCH($G2037&amp;"",부서매핑!$A$5:$A$504,0)),"미매핑"))</f>
        <v/>
      </c>
      <c r="O2037" s="9">
        <f>IF($A2037="","",N2037&amp;"|"&amp;$F2037)</f>
        <v/>
      </c>
      <c r="P2037" s="77">
        <f>IF($A2037="",0,$H2037*설정!$C$23)</f>
        <v/>
      </c>
      <c r="Q2037" s="39">
        <f>IF($A2037="","",IF(O2037&lt;&gt;원인분석!$C$9,"",IF(AND(M2037&gt;=원인분석!$C$10,M2037&lt;=원인분석!$C$11),"당기",IF(AND(M2037&gt;=원인분석!$C$12,M2037&lt;=원인분석!$C$13),"비교",""))))</f>
        <v/>
      </c>
      <c r="R2037" s="9">
        <f>IF(Q2037="","",$K2037&amp;"")</f>
        <v/>
      </c>
      <c r="S2037" s="9">
        <f>IF(Q2037="","",IF(MATCH(R2037,$R$5:$R$100000,0)=ROW()-4,ROW(),""))</f>
        <v/>
      </c>
      <c r="T2037" s="9">
        <f>IF(Q2037="당기",ABS(P2037)+ROW()/1000000000,"")</f>
        <v/>
      </c>
      <c r="U2037" s="9">
        <f>IF(Q2037="비교",ABS(P2037)+ROW()/1000000000,"")</f>
        <v/>
      </c>
      <c r="V2037" s="39">
        <f>IF($A2037="","",IF(COUNTIF(변동분석!$E$7:$E$506,O2037)&gt;0,"Y","N"))</f>
        <v/>
      </c>
      <c r="W2037" s="39">
        <f>IF($A2037="","",IFERROR(INDEX(계정매핑!$D$5:$D$504,MATCH($F2037&amp;"",계정매핑!$A$5:$A$504,0)),"미매핑"))</f>
        <v/>
      </c>
      <c r="X2037" s="9">
        <f>IF($A2037="","",$F2037&amp;"")</f>
        <v/>
      </c>
    </row>
    <row r="2038">
      <c r="A2038" s="75" t="n">
        <v>2025</v>
      </c>
      <c r="B2038" s="75" t="n">
        <v>11</v>
      </c>
      <c r="C2038" s="75" t="inlineStr">
        <is>
          <t>5100002034</t>
        </is>
      </c>
      <c r="D2038" s="78" t="n">
        <v>45975</v>
      </c>
      <c r="E2038" s="75" t="inlineStr">
        <is>
          <t>KR</t>
        </is>
      </c>
      <c r="F2038" s="75" t="n">
        <v>62201000</v>
      </c>
      <c r="G2038" s="75" t="n">
        <v>1801</v>
      </c>
      <c r="H2038" s="76" t="n">
        <v>3518000</v>
      </c>
      <c r="I2038" s="75" t="inlineStr">
        <is>
          <t>11월 통신요금 - O텔레콤</t>
        </is>
      </c>
      <c r="J2038" s="75" t="inlineStr">
        <is>
          <t>V10002</t>
        </is>
      </c>
      <c r="K2038" s="75" t="inlineStr">
        <is>
          <t>O텔레콤</t>
        </is>
      </c>
      <c r="M2038" s="9">
        <f>IF($A2038="","",VALUE($A2038&amp;"")*12+VALUE($B2038&amp;""))</f>
        <v/>
      </c>
      <c r="N2038" s="39">
        <f>IF($A2038="","",IFERROR(INDEX(부서매핑!$C$5:$C$504,MATCH($G2038&amp;"",부서매핑!$A$5:$A$504,0)),"미매핑"))</f>
        <v/>
      </c>
      <c r="O2038" s="9">
        <f>IF($A2038="","",N2038&amp;"|"&amp;$F2038)</f>
        <v/>
      </c>
      <c r="P2038" s="77">
        <f>IF($A2038="",0,$H2038*설정!$C$23)</f>
        <v/>
      </c>
      <c r="Q2038" s="39">
        <f>IF($A2038="","",IF(O2038&lt;&gt;원인분석!$C$9,"",IF(AND(M2038&gt;=원인분석!$C$10,M2038&lt;=원인분석!$C$11),"당기",IF(AND(M2038&gt;=원인분석!$C$12,M2038&lt;=원인분석!$C$13),"비교",""))))</f>
        <v/>
      </c>
      <c r="R2038" s="9">
        <f>IF(Q2038="","",$K2038&amp;"")</f>
        <v/>
      </c>
      <c r="S2038" s="9">
        <f>IF(Q2038="","",IF(MATCH(R2038,$R$5:$R$100000,0)=ROW()-4,ROW(),""))</f>
        <v/>
      </c>
      <c r="T2038" s="9">
        <f>IF(Q2038="당기",ABS(P2038)+ROW()/1000000000,"")</f>
        <v/>
      </c>
      <c r="U2038" s="9">
        <f>IF(Q2038="비교",ABS(P2038)+ROW()/1000000000,"")</f>
        <v/>
      </c>
      <c r="V2038" s="39">
        <f>IF($A2038="","",IF(COUNTIF(변동분석!$E$7:$E$506,O2038)&gt;0,"Y","N"))</f>
        <v/>
      </c>
      <c r="W2038" s="39">
        <f>IF($A2038="","",IFERROR(INDEX(계정매핑!$D$5:$D$504,MATCH($F2038&amp;"",계정매핑!$A$5:$A$504,0)),"미매핑"))</f>
        <v/>
      </c>
      <c r="X2038" s="9">
        <f>IF($A2038="","",$F2038&amp;"")</f>
        <v/>
      </c>
    </row>
    <row r="2039">
      <c r="A2039" s="75" t="n">
        <v>2025</v>
      </c>
      <c r="B2039" s="75" t="n">
        <v>11</v>
      </c>
      <c r="C2039" s="75" t="inlineStr">
        <is>
          <t>5100002035</t>
        </is>
      </c>
      <c r="D2039" s="78" t="n">
        <v>45975</v>
      </c>
      <c r="E2039" s="75" t="inlineStr">
        <is>
          <t>KR</t>
        </is>
      </c>
      <c r="F2039" s="75" t="n">
        <v>62301000</v>
      </c>
      <c r="G2039" s="75" t="n">
        <v>1601</v>
      </c>
      <c r="H2039" s="76" t="n">
        <v>641000</v>
      </c>
      <c r="I2039" s="75" t="inlineStr">
        <is>
          <t>11월 소모품 구입 - R문구</t>
        </is>
      </c>
      <c r="J2039" s="75" t="inlineStr">
        <is>
          <t>V10018</t>
        </is>
      </c>
      <c r="K2039" s="75" t="inlineStr">
        <is>
          <t>R문구</t>
        </is>
      </c>
      <c r="M2039" s="9">
        <f>IF($A2039="","",VALUE($A2039&amp;"")*12+VALUE($B2039&amp;""))</f>
        <v/>
      </c>
      <c r="N2039" s="39">
        <f>IF($A2039="","",IFERROR(INDEX(부서매핑!$C$5:$C$504,MATCH($G2039&amp;"",부서매핑!$A$5:$A$504,0)),"미매핑"))</f>
        <v/>
      </c>
      <c r="O2039" s="9">
        <f>IF($A2039="","",N2039&amp;"|"&amp;$F2039)</f>
        <v/>
      </c>
      <c r="P2039" s="77">
        <f>IF($A2039="",0,$H2039*설정!$C$23)</f>
        <v/>
      </c>
      <c r="Q2039" s="39">
        <f>IF($A2039="","",IF(O2039&lt;&gt;원인분석!$C$9,"",IF(AND(M2039&gt;=원인분석!$C$10,M2039&lt;=원인분석!$C$11),"당기",IF(AND(M2039&gt;=원인분석!$C$12,M2039&lt;=원인분석!$C$13),"비교",""))))</f>
        <v/>
      </c>
      <c r="R2039" s="9">
        <f>IF(Q2039="","",$K2039&amp;"")</f>
        <v/>
      </c>
      <c r="S2039" s="9">
        <f>IF(Q2039="","",IF(MATCH(R2039,$R$5:$R$100000,0)=ROW()-4,ROW(),""))</f>
        <v/>
      </c>
      <c r="T2039" s="9">
        <f>IF(Q2039="당기",ABS(P2039)+ROW()/1000000000,"")</f>
        <v/>
      </c>
      <c r="U2039" s="9">
        <f>IF(Q2039="비교",ABS(P2039)+ROW()/1000000000,"")</f>
        <v/>
      </c>
      <c r="V2039" s="39">
        <f>IF($A2039="","",IF(COUNTIF(변동분석!$E$7:$E$506,O2039)&gt;0,"Y","N"))</f>
        <v/>
      </c>
      <c r="W2039" s="39">
        <f>IF($A2039="","",IFERROR(INDEX(계정매핑!$D$5:$D$504,MATCH($F2039&amp;"",계정매핑!$A$5:$A$504,0)),"미매핑"))</f>
        <v/>
      </c>
      <c r="X2039" s="9">
        <f>IF($A2039="","",$F2039&amp;"")</f>
        <v/>
      </c>
    </row>
    <row r="2040">
      <c r="A2040" s="75" t="n">
        <v>2025</v>
      </c>
      <c r="B2040" s="75" t="n">
        <v>11</v>
      </c>
      <c r="C2040" s="75" t="inlineStr">
        <is>
          <t>5100002036</t>
        </is>
      </c>
      <c r="D2040" s="78" t="n">
        <v>45975</v>
      </c>
      <c r="E2040" s="75" t="inlineStr">
        <is>
          <t>KR</t>
        </is>
      </c>
      <c r="F2040" s="75" t="n">
        <v>62401000</v>
      </c>
      <c r="G2040" s="75" t="n">
        <v>1801</v>
      </c>
      <c r="H2040" s="76" t="n">
        <v>2118000</v>
      </c>
      <c r="I2040" s="75" t="inlineStr">
        <is>
          <t>11월 인쇄물 제작 - G인쇄</t>
        </is>
      </c>
      <c r="J2040" s="75" t="inlineStr">
        <is>
          <t>V10004</t>
        </is>
      </c>
      <c r="K2040" s="75" t="inlineStr">
        <is>
          <t>G인쇄</t>
        </is>
      </c>
      <c r="M2040" s="9">
        <f>IF($A2040="","",VALUE($A2040&amp;"")*12+VALUE($B2040&amp;""))</f>
        <v/>
      </c>
      <c r="N2040" s="39">
        <f>IF($A2040="","",IFERROR(INDEX(부서매핑!$C$5:$C$504,MATCH($G2040&amp;"",부서매핑!$A$5:$A$504,0)),"미매핑"))</f>
        <v/>
      </c>
      <c r="O2040" s="9">
        <f>IF($A2040="","",N2040&amp;"|"&amp;$F2040)</f>
        <v/>
      </c>
      <c r="P2040" s="77">
        <f>IF($A2040="",0,$H2040*설정!$C$23)</f>
        <v/>
      </c>
      <c r="Q2040" s="39">
        <f>IF($A2040="","",IF(O2040&lt;&gt;원인분석!$C$9,"",IF(AND(M2040&gt;=원인분석!$C$10,M2040&lt;=원인분석!$C$11),"당기",IF(AND(M2040&gt;=원인분석!$C$12,M2040&lt;=원인분석!$C$13),"비교",""))))</f>
        <v/>
      </c>
      <c r="R2040" s="9">
        <f>IF(Q2040="","",$K2040&amp;"")</f>
        <v/>
      </c>
      <c r="S2040" s="9">
        <f>IF(Q2040="","",IF(MATCH(R2040,$R$5:$R$100000,0)=ROW()-4,ROW(),""))</f>
        <v/>
      </c>
      <c r="T2040" s="9">
        <f>IF(Q2040="당기",ABS(P2040)+ROW()/1000000000,"")</f>
        <v/>
      </c>
      <c r="U2040" s="9">
        <f>IF(Q2040="비교",ABS(P2040)+ROW()/1000000000,"")</f>
        <v/>
      </c>
      <c r="V2040" s="39">
        <f>IF($A2040="","",IF(COUNTIF(변동분석!$E$7:$E$506,O2040)&gt;0,"Y","N"))</f>
        <v/>
      </c>
      <c r="W2040" s="39">
        <f>IF($A2040="","",IFERROR(INDEX(계정매핑!$D$5:$D$504,MATCH($F2040&amp;"",계정매핑!$A$5:$A$504,0)),"미매핑"))</f>
        <v/>
      </c>
      <c r="X2040" s="9">
        <f>IF($A2040="","",$F2040&amp;"")</f>
        <v/>
      </c>
    </row>
    <row r="2041">
      <c r="A2041" s="75" t="n">
        <v>2025</v>
      </c>
      <c r="B2041" s="75" t="n">
        <v>11</v>
      </c>
      <c r="C2041" s="75" t="inlineStr">
        <is>
          <t>5100002037</t>
        </is>
      </c>
      <c r="D2041" s="78" t="n">
        <v>45975</v>
      </c>
      <c r="E2041" s="75" t="inlineStr">
        <is>
          <t>KR</t>
        </is>
      </c>
      <c r="F2041" s="75" t="n">
        <v>62601000</v>
      </c>
      <c r="G2041" s="75" t="n">
        <v>1301</v>
      </c>
      <c r="H2041" s="76" t="n">
        <v>1639000</v>
      </c>
      <c r="I2041" s="75" t="inlineStr">
        <is>
          <t>11월 업무추진 - (법인카드)</t>
        </is>
      </c>
      <c r="J2041" s="75" t="inlineStr">
        <is>
          <t>V10008</t>
        </is>
      </c>
      <c r="K2041" s="75" t="inlineStr">
        <is>
          <t>(법인카드)</t>
        </is>
      </c>
      <c r="M2041" s="9">
        <f>IF($A2041="","",VALUE($A2041&amp;"")*12+VALUE($B2041&amp;""))</f>
        <v/>
      </c>
      <c r="N2041" s="39">
        <f>IF($A2041="","",IFERROR(INDEX(부서매핑!$C$5:$C$504,MATCH($G2041&amp;"",부서매핑!$A$5:$A$504,0)),"미매핑"))</f>
        <v/>
      </c>
      <c r="O2041" s="9">
        <f>IF($A2041="","",N2041&amp;"|"&amp;$F2041)</f>
        <v/>
      </c>
      <c r="P2041" s="77">
        <f>IF($A2041="",0,$H2041*설정!$C$23)</f>
        <v/>
      </c>
      <c r="Q2041" s="39">
        <f>IF($A2041="","",IF(O2041&lt;&gt;원인분석!$C$9,"",IF(AND(M2041&gt;=원인분석!$C$10,M2041&lt;=원인분석!$C$11),"당기",IF(AND(M2041&gt;=원인분석!$C$12,M2041&lt;=원인분석!$C$13),"비교",""))))</f>
        <v/>
      </c>
      <c r="R2041" s="9">
        <f>IF(Q2041="","",$K2041&amp;"")</f>
        <v/>
      </c>
      <c r="S2041" s="9">
        <f>IF(Q2041="","",IF(MATCH(R2041,$R$5:$R$100000,0)=ROW()-4,ROW(),""))</f>
        <v/>
      </c>
      <c r="T2041" s="9">
        <f>IF(Q2041="당기",ABS(P2041)+ROW()/1000000000,"")</f>
        <v/>
      </c>
      <c r="U2041" s="9">
        <f>IF(Q2041="비교",ABS(P2041)+ROW()/1000000000,"")</f>
        <v/>
      </c>
      <c r="V2041" s="39">
        <f>IF($A2041="","",IF(COUNTIF(변동분석!$E$7:$E$506,O2041)&gt;0,"Y","N"))</f>
        <v/>
      </c>
      <c r="W2041" s="39">
        <f>IF($A2041="","",IFERROR(INDEX(계정매핑!$D$5:$D$504,MATCH($F2041&amp;"",계정매핑!$A$5:$A$504,0)),"미매핑"))</f>
        <v/>
      </c>
      <c r="X2041" s="9">
        <f>IF($A2041="","",$F2041&amp;"")</f>
        <v/>
      </c>
    </row>
    <row r="2042">
      <c r="A2042" s="75" t="n">
        <v>2025</v>
      </c>
      <c r="B2042" s="75" t="n">
        <v>11</v>
      </c>
      <c r="C2042" s="75" t="inlineStr">
        <is>
          <t>5100002038</t>
        </is>
      </c>
      <c r="D2042" s="78" t="n">
        <v>45975</v>
      </c>
      <c r="E2042" s="75" t="inlineStr">
        <is>
          <t>KR</t>
        </is>
      </c>
      <c r="F2042" s="75" t="n">
        <v>62901000</v>
      </c>
      <c r="G2042" s="75" t="n">
        <v>1401</v>
      </c>
      <c r="H2042" s="76" t="n">
        <v>3631000</v>
      </c>
      <c r="I2042" s="75" t="inlineStr">
        <is>
          <t>11월 자문 수수료 - K회계법인</t>
        </is>
      </c>
      <c r="J2042" s="75" t="inlineStr">
        <is>
          <t>V10010</t>
        </is>
      </c>
      <c r="K2042" s="75" t="inlineStr">
        <is>
          <t>K회계법인</t>
        </is>
      </c>
      <c r="M2042" s="9">
        <f>IF($A2042="","",VALUE($A2042&amp;"")*12+VALUE($B2042&amp;""))</f>
        <v/>
      </c>
      <c r="N2042" s="39">
        <f>IF($A2042="","",IFERROR(INDEX(부서매핑!$C$5:$C$504,MATCH($G2042&amp;"",부서매핑!$A$5:$A$504,0)),"미매핑"))</f>
        <v/>
      </c>
      <c r="O2042" s="9">
        <f>IF($A2042="","",N2042&amp;"|"&amp;$F2042)</f>
        <v/>
      </c>
      <c r="P2042" s="77">
        <f>IF($A2042="",0,$H2042*설정!$C$23)</f>
        <v/>
      </c>
      <c r="Q2042" s="39">
        <f>IF($A2042="","",IF(O2042&lt;&gt;원인분석!$C$9,"",IF(AND(M2042&gt;=원인분석!$C$10,M2042&lt;=원인분석!$C$11),"당기",IF(AND(M2042&gt;=원인분석!$C$12,M2042&lt;=원인분석!$C$13),"비교",""))))</f>
        <v/>
      </c>
      <c r="R2042" s="9">
        <f>IF(Q2042="","",$K2042&amp;"")</f>
        <v/>
      </c>
      <c r="S2042" s="9">
        <f>IF(Q2042="","",IF(MATCH(R2042,$R$5:$R$100000,0)=ROW()-4,ROW(),""))</f>
        <v/>
      </c>
      <c r="T2042" s="9">
        <f>IF(Q2042="당기",ABS(P2042)+ROW()/1000000000,"")</f>
        <v/>
      </c>
      <c r="U2042" s="9">
        <f>IF(Q2042="비교",ABS(P2042)+ROW()/1000000000,"")</f>
        <v/>
      </c>
      <c r="V2042" s="39">
        <f>IF($A2042="","",IF(COUNTIF(변동분석!$E$7:$E$506,O2042)&gt;0,"Y","N"))</f>
        <v/>
      </c>
      <c r="W2042" s="39">
        <f>IF($A2042="","",IFERROR(INDEX(계정매핑!$D$5:$D$504,MATCH($F2042&amp;"",계정매핑!$A$5:$A$504,0)),"미매핑"))</f>
        <v/>
      </c>
      <c r="X2042" s="9">
        <f>IF($A2042="","",$F2042&amp;"")</f>
        <v/>
      </c>
    </row>
    <row r="2043">
      <c r="A2043" s="75" t="n">
        <v>2025</v>
      </c>
      <c r="B2043" s="75" t="n">
        <v>11</v>
      </c>
      <c r="C2043" s="75" t="inlineStr">
        <is>
          <t>5100002039</t>
        </is>
      </c>
      <c r="D2043" s="78" t="n">
        <v>45975</v>
      </c>
      <c r="E2043" s="75" t="inlineStr">
        <is>
          <t>KR</t>
        </is>
      </c>
      <c r="F2043" s="75" t="n">
        <v>62901000</v>
      </c>
      <c r="G2043" s="75" t="n">
        <v>1801</v>
      </c>
      <c r="H2043" s="76" t="n">
        <v>7700000</v>
      </c>
      <c r="I2043" s="75" t="inlineStr">
        <is>
          <t>11월 자문 수수료 - W컨설팅</t>
        </is>
      </c>
      <c r="J2043" s="75" t="inlineStr">
        <is>
          <t>V10009</t>
        </is>
      </c>
      <c r="K2043" s="75" t="inlineStr">
        <is>
          <t>W컨설팅</t>
        </is>
      </c>
      <c r="M2043" s="9">
        <f>IF($A2043="","",VALUE($A2043&amp;"")*12+VALUE($B2043&amp;""))</f>
        <v/>
      </c>
      <c r="N2043" s="39">
        <f>IF($A2043="","",IFERROR(INDEX(부서매핑!$C$5:$C$504,MATCH($G2043&amp;"",부서매핑!$A$5:$A$504,0)),"미매핑"))</f>
        <v/>
      </c>
      <c r="O2043" s="9">
        <f>IF($A2043="","",N2043&amp;"|"&amp;$F2043)</f>
        <v/>
      </c>
      <c r="P2043" s="77">
        <f>IF($A2043="",0,$H2043*설정!$C$23)</f>
        <v/>
      </c>
      <c r="Q2043" s="39">
        <f>IF($A2043="","",IF(O2043&lt;&gt;원인분석!$C$9,"",IF(AND(M2043&gt;=원인분석!$C$10,M2043&lt;=원인분석!$C$11),"당기",IF(AND(M2043&gt;=원인분석!$C$12,M2043&lt;=원인분석!$C$13),"비교",""))))</f>
        <v/>
      </c>
      <c r="R2043" s="9">
        <f>IF(Q2043="","",$K2043&amp;"")</f>
        <v/>
      </c>
      <c r="S2043" s="9">
        <f>IF(Q2043="","",IF(MATCH(R2043,$R$5:$R$100000,0)=ROW()-4,ROW(),""))</f>
        <v/>
      </c>
      <c r="T2043" s="9">
        <f>IF(Q2043="당기",ABS(P2043)+ROW()/1000000000,"")</f>
        <v/>
      </c>
      <c r="U2043" s="9">
        <f>IF(Q2043="비교",ABS(P2043)+ROW()/1000000000,"")</f>
        <v/>
      </c>
      <c r="V2043" s="39">
        <f>IF($A2043="","",IF(COUNTIF(변동분석!$E$7:$E$506,O2043)&gt;0,"Y","N"))</f>
        <v/>
      </c>
      <c r="W2043" s="39">
        <f>IF($A2043="","",IFERROR(INDEX(계정매핑!$D$5:$D$504,MATCH($F2043&amp;"",계정매핑!$A$5:$A$504,0)),"미매핑"))</f>
        <v/>
      </c>
      <c r="X2043" s="9">
        <f>IF($A2043="","",$F2043&amp;"")</f>
        <v/>
      </c>
    </row>
    <row r="2044">
      <c r="A2044" s="75" t="n">
        <v>2025</v>
      </c>
      <c r="B2044" s="75" t="n">
        <v>11</v>
      </c>
      <c r="C2044" s="75" t="inlineStr">
        <is>
          <t>5100002040</t>
        </is>
      </c>
      <c r="D2044" s="78" t="n">
        <v>45976</v>
      </c>
      <c r="E2044" s="75" t="inlineStr">
        <is>
          <t>KR</t>
        </is>
      </c>
      <c r="F2044" s="75" t="n">
        <v>62201000</v>
      </c>
      <c r="G2044" s="75" t="n">
        <v>1201</v>
      </c>
      <c r="H2044" s="76" t="n">
        <v>205000</v>
      </c>
      <c r="I2044" s="75" t="inlineStr">
        <is>
          <t>11월 통신요금 - O텔레콤</t>
        </is>
      </c>
      <c r="J2044" s="75" t="inlineStr">
        <is>
          <t>V10002</t>
        </is>
      </c>
      <c r="K2044" s="75" t="inlineStr">
        <is>
          <t>O텔레콤</t>
        </is>
      </c>
      <c r="M2044" s="9">
        <f>IF($A2044="","",VALUE($A2044&amp;"")*12+VALUE($B2044&amp;""))</f>
        <v/>
      </c>
      <c r="N2044" s="39">
        <f>IF($A2044="","",IFERROR(INDEX(부서매핑!$C$5:$C$504,MATCH($G2044&amp;"",부서매핑!$A$5:$A$504,0)),"미매핑"))</f>
        <v/>
      </c>
      <c r="O2044" s="9">
        <f>IF($A2044="","",N2044&amp;"|"&amp;$F2044)</f>
        <v/>
      </c>
      <c r="P2044" s="77">
        <f>IF($A2044="",0,$H2044*설정!$C$23)</f>
        <v/>
      </c>
      <c r="Q2044" s="39">
        <f>IF($A2044="","",IF(O2044&lt;&gt;원인분석!$C$9,"",IF(AND(M2044&gt;=원인분석!$C$10,M2044&lt;=원인분석!$C$11),"당기",IF(AND(M2044&gt;=원인분석!$C$12,M2044&lt;=원인분석!$C$13),"비교",""))))</f>
        <v/>
      </c>
      <c r="R2044" s="9">
        <f>IF(Q2044="","",$K2044&amp;"")</f>
        <v/>
      </c>
      <c r="S2044" s="9">
        <f>IF(Q2044="","",IF(MATCH(R2044,$R$5:$R$100000,0)=ROW()-4,ROW(),""))</f>
        <v/>
      </c>
      <c r="T2044" s="9">
        <f>IF(Q2044="당기",ABS(P2044)+ROW()/1000000000,"")</f>
        <v/>
      </c>
      <c r="U2044" s="9">
        <f>IF(Q2044="비교",ABS(P2044)+ROW()/1000000000,"")</f>
        <v/>
      </c>
      <c r="V2044" s="39">
        <f>IF($A2044="","",IF(COUNTIF(변동분석!$E$7:$E$506,O2044)&gt;0,"Y","N"))</f>
        <v/>
      </c>
      <c r="W2044" s="39">
        <f>IF($A2044="","",IFERROR(INDEX(계정매핑!$D$5:$D$504,MATCH($F2044&amp;"",계정매핑!$A$5:$A$504,0)),"미매핑"))</f>
        <v/>
      </c>
      <c r="X2044" s="9">
        <f>IF($A2044="","",$F2044&amp;"")</f>
        <v/>
      </c>
    </row>
    <row r="2045">
      <c r="A2045" s="75" t="n">
        <v>2025</v>
      </c>
      <c r="B2045" s="75" t="n">
        <v>11</v>
      </c>
      <c r="C2045" s="75" t="inlineStr">
        <is>
          <t>5100002041</t>
        </is>
      </c>
      <c r="D2045" s="78" t="n">
        <v>45976</v>
      </c>
      <c r="E2045" s="75" t="inlineStr">
        <is>
          <t>KR</t>
        </is>
      </c>
      <c r="F2045" s="75" t="n">
        <v>62201000</v>
      </c>
      <c r="G2045" s="75" t="n">
        <v>1801</v>
      </c>
      <c r="H2045" s="76" t="n">
        <v>4008000</v>
      </c>
      <c r="I2045" s="75" t="inlineStr">
        <is>
          <t>11월 통신요금 - P통신</t>
        </is>
      </c>
      <c r="J2045" s="75" t="inlineStr">
        <is>
          <t>V10011</t>
        </is>
      </c>
      <c r="K2045" s="75" t="inlineStr">
        <is>
          <t>P통신</t>
        </is>
      </c>
      <c r="M2045" s="9">
        <f>IF($A2045="","",VALUE($A2045&amp;"")*12+VALUE($B2045&amp;""))</f>
        <v/>
      </c>
      <c r="N2045" s="39">
        <f>IF($A2045="","",IFERROR(INDEX(부서매핑!$C$5:$C$504,MATCH($G2045&amp;"",부서매핑!$A$5:$A$504,0)),"미매핑"))</f>
        <v/>
      </c>
      <c r="O2045" s="9">
        <f>IF($A2045="","",N2045&amp;"|"&amp;$F2045)</f>
        <v/>
      </c>
      <c r="P2045" s="77">
        <f>IF($A2045="",0,$H2045*설정!$C$23)</f>
        <v/>
      </c>
      <c r="Q2045" s="39">
        <f>IF($A2045="","",IF(O2045&lt;&gt;원인분석!$C$9,"",IF(AND(M2045&gt;=원인분석!$C$10,M2045&lt;=원인분석!$C$11),"당기",IF(AND(M2045&gt;=원인분석!$C$12,M2045&lt;=원인분석!$C$13),"비교",""))))</f>
        <v/>
      </c>
      <c r="R2045" s="9">
        <f>IF(Q2045="","",$K2045&amp;"")</f>
        <v/>
      </c>
      <c r="S2045" s="9">
        <f>IF(Q2045="","",IF(MATCH(R2045,$R$5:$R$100000,0)=ROW()-4,ROW(),""))</f>
        <v/>
      </c>
      <c r="T2045" s="9">
        <f>IF(Q2045="당기",ABS(P2045)+ROW()/1000000000,"")</f>
        <v/>
      </c>
      <c r="U2045" s="9">
        <f>IF(Q2045="비교",ABS(P2045)+ROW()/1000000000,"")</f>
        <v/>
      </c>
      <c r="V2045" s="39">
        <f>IF($A2045="","",IF(COUNTIF(변동분석!$E$7:$E$506,O2045)&gt;0,"Y","N"))</f>
        <v/>
      </c>
      <c r="W2045" s="39">
        <f>IF($A2045="","",IFERROR(INDEX(계정매핑!$D$5:$D$504,MATCH($F2045&amp;"",계정매핑!$A$5:$A$504,0)),"미매핑"))</f>
        <v/>
      </c>
      <c r="X2045" s="9">
        <f>IF($A2045="","",$F2045&amp;"")</f>
        <v/>
      </c>
    </row>
    <row r="2046">
      <c r="A2046" s="75" t="n">
        <v>2025</v>
      </c>
      <c r="B2046" s="75" t="n">
        <v>11</v>
      </c>
      <c r="C2046" s="75" t="inlineStr">
        <is>
          <t>5100002042</t>
        </is>
      </c>
      <c r="D2046" s="78" t="n">
        <v>45976</v>
      </c>
      <c r="E2046" s="75" t="inlineStr">
        <is>
          <t>KR</t>
        </is>
      </c>
      <c r="F2046" s="75" t="n">
        <v>62301000</v>
      </c>
      <c r="G2046" s="75" t="n">
        <v>1602</v>
      </c>
      <c r="H2046" s="76" t="n">
        <v>361000</v>
      </c>
      <c r="I2046" s="75" t="inlineStr">
        <is>
          <t>11월 소모품 구입 - Q오피스</t>
        </is>
      </c>
      <c r="J2046" s="75" t="inlineStr">
        <is>
          <t>V10003</t>
        </is>
      </c>
      <c r="K2046" s="75" t="inlineStr">
        <is>
          <t>Q오피스</t>
        </is>
      </c>
      <c r="M2046" s="9">
        <f>IF($A2046="","",VALUE($A2046&amp;"")*12+VALUE($B2046&amp;""))</f>
        <v/>
      </c>
      <c r="N2046" s="39">
        <f>IF($A2046="","",IFERROR(INDEX(부서매핑!$C$5:$C$504,MATCH($G2046&amp;"",부서매핑!$A$5:$A$504,0)),"미매핑"))</f>
        <v/>
      </c>
      <c r="O2046" s="9">
        <f>IF($A2046="","",N2046&amp;"|"&amp;$F2046)</f>
        <v/>
      </c>
      <c r="P2046" s="77">
        <f>IF($A2046="",0,$H2046*설정!$C$23)</f>
        <v/>
      </c>
      <c r="Q2046" s="39">
        <f>IF($A2046="","",IF(O2046&lt;&gt;원인분석!$C$9,"",IF(AND(M2046&gt;=원인분석!$C$10,M2046&lt;=원인분석!$C$11),"당기",IF(AND(M2046&gt;=원인분석!$C$12,M2046&lt;=원인분석!$C$13),"비교",""))))</f>
        <v/>
      </c>
      <c r="R2046" s="9">
        <f>IF(Q2046="","",$K2046&amp;"")</f>
        <v/>
      </c>
      <c r="S2046" s="9">
        <f>IF(Q2046="","",IF(MATCH(R2046,$R$5:$R$100000,0)=ROW()-4,ROW(),""))</f>
        <v/>
      </c>
      <c r="T2046" s="9">
        <f>IF(Q2046="당기",ABS(P2046)+ROW()/1000000000,"")</f>
        <v/>
      </c>
      <c r="U2046" s="9">
        <f>IF(Q2046="비교",ABS(P2046)+ROW()/1000000000,"")</f>
        <v/>
      </c>
      <c r="V2046" s="39">
        <f>IF($A2046="","",IF(COUNTIF(변동분석!$E$7:$E$506,O2046)&gt;0,"Y","N"))</f>
        <v/>
      </c>
      <c r="W2046" s="39">
        <f>IF($A2046="","",IFERROR(INDEX(계정매핑!$D$5:$D$504,MATCH($F2046&amp;"",계정매핑!$A$5:$A$504,0)),"미매핑"))</f>
        <v/>
      </c>
      <c r="X2046" s="9">
        <f>IF($A2046="","",$F2046&amp;"")</f>
        <v/>
      </c>
    </row>
    <row r="2047">
      <c r="A2047" s="75" t="n">
        <v>2025</v>
      </c>
      <c r="B2047" s="75" t="n">
        <v>11</v>
      </c>
      <c r="C2047" s="75" t="inlineStr">
        <is>
          <t>5100002043</t>
        </is>
      </c>
      <c r="D2047" s="78" t="n">
        <v>45976</v>
      </c>
      <c r="E2047" s="75" t="inlineStr">
        <is>
          <t>KR</t>
        </is>
      </c>
      <c r="F2047" s="75" t="n">
        <v>62501000</v>
      </c>
      <c r="G2047" s="75" t="n">
        <v>1601</v>
      </c>
      <c r="H2047" s="76" t="n">
        <v>342000</v>
      </c>
      <c r="I2047" s="75" t="inlineStr">
        <is>
          <t>11월 회의 다과 - T케이터링</t>
        </is>
      </c>
      <c r="J2047" s="75" t="inlineStr">
        <is>
          <t>V10005</t>
        </is>
      </c>
      <c r="K2047" s="75" t="inlineStr">
        <is>
          <t>T케이터링</t>
        </is>
      </c>
      <c r="M2047" s="9">
        <f>IF($A2047="","",VALUE($A2047&amp;"")*12+VALUE($B2047&amp;""))</f>
        <v/>
      </c>
      <c r="N2047" s="39">
        <f>IF($A2047="","",IFERROR(INDEX(부서매핑!$C$5:$C$504,MATCH($G2047&amp;"",부서매핑!$A$5:$A$504,0)),"미매핑"))</f>
        <v/>
      </c>
      <c r="O2047" s="9">
        <f>IF($A2047="","",N2047&amp;"|"&amp;$F2047)</f>
        <v/>
      </c>
      <c r="P2047" s="77">
        <f>IF($A2047="",0,$H2047*설정!$C$23)</f>
        <v/>
      </c>
      <c r="Q2047" s="39">
        <f>IF($A2047="","",IF(O2047&lt;&gt;원인분석!$C$9,"",IF(AND(M2047&gt;=원인분석!$C$10,M2047&lt;=원인분석!$C$11),"당기",IF(AND(M2047&gt;=원인분석!$C$12,M2047&lt;=원인분석!$C$13),"비교",""))))</f>
        <v/>
      </c>
      <c r="R2047" s="9">
        <f>IF(Q2047="","",$K2047&amp;"")</f>
        <v/>
      </c>
      <c r="S2047" s="9">
        <f>IF(Q2047="","",IF(MATCH(R2047,$R$5:$R$100000,0)=ROW()-4,ROW(),""))</f>
        <v/>
      </c>
      <c r="T2047" s="9">
        <f>IF(Q2047="당기",ABS(P2047)+ROW()/1000000000,"")</f>
        <v/>
      </c>
      <c r="U2047" s="9">
        <f>IF(Q2047="비교",ABS(P2047)+ROW()/1000000000,"")</f>
        <v/>
      </c>
      <c r="V2047" s="39">
        <f>IF($A2047="","",IF(COUNTIF(변동분석!$E$7:$E$506,O2047)&gt;0,"Y","N"))</f>
        <v/>
      </c>
      <c r="W2047" s="39">
        <f>IF($A2047="","",IFERROR(INDEX(계정매핑!$D$5:$D$504,MATCH($F2047&amp;"",계정매핑!$A$5:$A$504,0)),"미매핑"))</f>
        <v/>
      </c>
      <c r="X2047" s="9">
        <f>IF($A2047="","",$F2047&amp;"")</f>
        <v/>
      </c>
    </row>
    <row r="2048">
      <c r="A2048" s="75" t="n">
        <v>2025</v>
      </c>
      <c r="B2048" s="75" t="n">
        <v>11</v>
      </c>
      <c r="C2048" s="75" t="inlineStr">
        <is>
          <t>5100002044</t>
        </is>
      </c>
      <c r="D2048" s="78" t="n">
        <v>45976</v>
      </c>
      <c r="E2048" s="75" t="inlineStr">
        <is>
          <t>KR</t>
        </is>
      </c>
      <c r="F2048" s="75" t="n">
        <v>62801000</v>
      </c>
      <c r="G2048" s="75" t="n">
        <v>1301</v>
      </c>
      <c r="H2048" s="76" t="n">
        <v>4415000</v>
      </c>
      <c r="I2048" s="75" t="inlineStr">
        <is>
          <t>11월 사내교육 - U에듀</t>
        </is>
      </c>
      <c r="J2048" s="75" t="inlineStr">
        <is>
          <t>V10026</t>
        </is>
      </c>
      <c r="K2048" s="75" t="inlineStr">
        <is>
          <t>U에듀</t>
        </is>
      </c>
      <c r="M2048" s="9">
        <f>IF($A2048="","",VALUE($A2048&amp;"")*12+VALUE($B2048&amp;""))</f>
        <v/>
      </c>
      <c r="N2048" s="39">
        <f>IF($A2048="","",IFERROR(INDEX(부서매핑!$C$5:$C$504,MATCH($G2048&amp;"",부서매핑!$A$5:$A$504,0)),"미매핑"))</f>
        <v/>
      </c>
      <c r="O2048" s="9">
        <f>IF($A2048="","",N2048&amp;"|"&amp;$F2048)</f>
        <v/>
      </c>
      <c r="P2048" s="77">
        <f>IF($A2048="",0,$H2048*설정!$C$23)</f>
        <v/>
      </c>
      <c r="Q2048" s="39">
        <f>IF($A2048="","",IF(O2048&lt;&gt;원인분석!$C$9,"",IF(AND(M2048&gt;=원인분석!$C$10,M2048&lt;=원인분석!$C$11),"당기",IF(AND(M2048&gt;=원인분석!$C$12,M2048&lt;=원인분석!$C$13),"비교",""))))</f>
        <v/>
      </c>
      <c r="R2048" s="9">
        <f>IF(Q2048="","",$K2048&amp;"")</f>
        <v/>
      </c>
      <c r="S2048" s="9">
        <f>IF(Q2048="","",IF(MATCH(R2048,$R$5:$R$100000,0)=ROW()-4,ROW(),""))</f>
        <v/>
      </c>
      <c r="T2048" s="9">
        <f>IF(Q2048="당기",ABS(P2048)+ROW()/1000000000,"")</f>
        <v/>
      </c>
      <c r="U2048" s="9">
        <f>IF(Q2048="비교",ABS(P2048)+ROW()/1000000000,"")</f>
        <v/>
      </c>
      <c r="V2048" s="39">
        <f>IF($A2048="","",IF(COUNTIF(변동분석!$E$7:$E$506,O2048)&gt;0,"Y","N"))</f>
        <v/>
      </c>
      <c r="W2048" s="39">
        <f>IF($A2048="","",IFERROR(INDEX(계정매핑!$D$5:$D$504,MATCH($F2048&amp;"",계정매핑!$A$5:$A$504,0)),"미매핑"))</f>
        <v/>
      </c>
      <c r="X2048" s="9">
        <f>IF($A2048="","",$F2048&amp;"")</f>
        <v/>
      </c>
    </row>
    <row r="2049">
      <c r="A2049" s="75" t="n">
        <v>2025</v>
      </c>
      <c r="B2049" s="75" t="n">
        <v>11</v>
      </c>
      <c r="C2049" s="75" t="inlineStr">
        <is>
          <t>5100002045</t>
        </is>
      </c>
      <c r="D2049" s="78" t="n">
        <v>45976</v>
      </c>
      <c r="E2049" s="75" t="inlineStr">
        <is>
          <t>KR</t>
        </is>
      </c>
      <c r="F2049" s="75" t="n">
        <v>62901000</v>
      </c>
      <c r="G2049" s="75" t="n">
        <v>1801</v>
      </c>
      <c r="H2049" s="76" t="n">
        <v>7496000</v>
      </c>
      <c r="I2049" s="75" t="inlineStr">
        <is>
          <t>11월 자문 수수료 - W컨설팅</t>
        </is>
      </c>
      <c r="J2049" s="75" t="inlineStr">
        <is>
          <t>V10009</t>
        </is>
      </c>
      <c r="K2049" s="75" t="inlineStr">
        <is>
          <t>W컨설팅</t>
        </is>
      </c>
      <c r="M2049" s="9">
        <f>IF($A2049="","",VALUE($A2049&amp;"")*12+VALUE($B2049&amp;""))</f>
        <v/>
      </c>
      <c r="N2049" s="39">
        <f>IF($A2049="","",IFERROR(INDEX(부서매핑!$C$5:$C$504,MATCH($G2049&amp;"",부서매핑!$A$5:$A$504,0)),"미매핑"))</f>
        <v/>
      </c>
      <c r="O2049" s="9">
        <f>IF($A2049="","",N2049&amp;"|"&amp;$F2049)</f>
        <v/>
      </c>
      <c r="P2049" s="77">
        <f>IF($A2049="",0,$H2049*설정!$C$23)</f>
        <v/>
      </c>
      <c r="Q2049" s="39">
        <f>IF($A2049="","",IF(O2049&lt;&gt;원인분석!$C$9,"",IF(AND(M2049&gt;=원인분석!$C$10,M2049&lt;=원인분석!$C$11),"당기",IF(AND(M2049&gt;=원인분석!$C$12,M2049&lt;=원인분석!$C$13),"비교",""))))</f>
        <v/>
      </c>
      <c r="R2049" s="9">
        <f>IF(Q2049="","",$K2049&amp;"")</f>
        <v/>
      </c>
      <c r="S2049" s="9">
        <f>IF(Q2049="","",IF(MATCH(R2049,$R$5:$R$100000,0)=ROW()-4,ROW(),""))</f>
        <v/>
      </c>
      <c r="T2049" s="9">
        <f>IF(Q2049="당기",ABS(P2049)+ROW()/1000000000,"")</f>
        <v/>
      </c>
      <c r="U2049" s="9">
        <f>IF(Q2049="비교",ABS(P2049)+ROW()/1000000000,"")</f>
        <v/>
      </c>
      <c r="V2049" s="39">
        <f>IF($A2049="","",IF(COUNTIF(변동분석!$E$7:$E$506,O2049)&gt;0,"Y","N"))</f>
        <v/>
      </c>
      <c r="W2049" s="39">
        <f>IF($A2049="","",IFERROR(INDEX(계정매핑!$D$5:$D$504,MATCH($F2049&amp;"",계정매핑!$A$5:$A$504,0)),"미매핑"))</f>
        <v/>
      </c>
      <c r="X2049" s="9">
        <f>IF($A2049="","",$F2049&amp;"")</f>
        <v/>
      </c>
    </row>
    <row r="2050">
      <c r="A2050" s="75" t="n">
        <v>2025</v>
      </c>
      <c r="B2050" s="75" t="n">
        <v>11</v>
      </c>
      <c r="C2050" s="75" t="inlineStr">
        <is>
          <t>5100002046</t>
        </is>
      </c>
      <c r="D2050" s="78" t="n">
        <v>45976</v>
      </c>
      <c r="E2050" s="75" t="inlineStr">
        <is>
          <t>KR</t>
        </is>
      </c>
      <c r="F2050" s="75" t="n">
        <v>62902000</v>
      </c>
      <c r="G2050" s="75" t="n">
        <v>1201</v>
      </c>
      <c r="H2050" s="76" t="n">
        <v>3890000</v>
      </c>
      <c r="I2050" s="75" t="inlineStr">
        <is>
          <t>11월 업무 위탁 수수료 - X서비스</t>
        </is>
      </c>
      <c r="J2050" s="75" t="inlineStr">
        <is>
          <t>V10016</t>
        </is>
      </c>
      <c r="K2050" s="75" t="inlineStr">
        <is>
          <t>X서비스</t>
        </is>
      </c>
      <c r="M2050" s="9">
        <f>IF($A2050="","",VALUE($A2050&amp;"")*12+VALUE($B2050&amp;""))</f>
        <v/>
      </c>
      <c r="N2050" s="39">
        <f>IF($A2050="","",IFERROR(INDEX(부서매핑!$C$5:$C$504,MATCH($G2050&amp;"",부서매핑!$A$5:$A$504,0)),"미매핑"))</f>
        <v/>
      </c>
      <c r="O2050" s="9">
        <f>IF($A2050="","",N2050&amp;"|"&amp;$F2050)</f>
        <v/>
      </c>
      <c r="P2050" s="77">
        <f>IF($A2050="",0,$H2050*설정!$C$23)</f>
        <v/>
      </c>
      <c r="Q2050" s="39">
        <f>IF($A2050="","",IF(O2050&lt;&gt;원인분석!$C$9,"",IF(AND(M2050&gt;=원인분석!$C$10,M2050&lt;=원인분석!$C$11),"당기",IF(AND(M2050&gt;=원인분석!$C$12,M2050&lt;=원인분석!$C$13),"비교",""))))</f>
        <v/>
      </c>
      <c r="R2050" s="9">
        <f>IF(Q2050="","",$K2050&amp;"")</f>
        <v/>
      </c>
      <c r="S2050" s="9">
        <f>IF(Q2050="","",IF(MATCH(R2050,$R$5:$R$100000,0)=ROW()-4,ROW(),""))</f>
        <v/>
      </c>
      <c r="T2050" s="9">
        <f>IF(Q2050="당기",ABS(P2050)+ROW()/1000000000,"")</f>
        <v/>
      </c>
      <c r="U2050" s="9">
        <f>IF(Q2050="비교",ABS(P2050)+ROW()/1000000000,"")</f>
        <v/>
      </c>
      <c r="V2050" s="39">
        <f>IF($A2050="","",IF(COUNTIF(변동분석!$E$7:$E$506,O2050)&gt;0,"Y","N"))</f>
        <v/>
      </c>
      <c r="W2050" s="39">
        <f>IF($A2050="","",IFERROR(INDEX(계정매핑!$D$5:$D$504,MATCH($F2050&amp;"",계정매핑!$A$5:$A$504,0)),"미매핑"))</f>
        <v/>
      </c>
      <c r="X2050" s="9">
        <f>IF($A2050="","",$F2050&amp;"")</f>
        <v/>
      </c>
    </row>
    <row r="2051">
      <c r="A2051" s="75" t="n">
        <v>2025</v>
      </c>
      <c r="B2051" s="75" t="n">
        <v>11</v>
      </c>
      <c r="C2051" s="75" t="inlineStr">
        <is>
          <t>5100002047</t>
        </is>
      </c>
      <c r="D2051" s="78" t="n">
        <v>45976</v>
      </c>
      <c r="E2051" s="75" t="inlineStr">
        <is>
          <t>KR</t>
        </is>
      </c>
      <c r="F2051" s="75" t="n">
        <v>62902000</v>
      </c>
      <c r="G2051" s="75" t="n">
        <v>1801</v>
      </c>
      <c r="H2051" s="76" t="n">
        <v>1766000</v>
      </c>
      <c r="I2051" s="75" t="inlineStr">
        <is>
          <t>11월 콜 위탁 수수료(건별)</t>
        </is>
      </c>
      <c r="J2051" s="75" t="inlineStr">
        <is>
          <t>V10013</t>
        </is>
      </c>
      <c r="K2051" s="75" t="inlineStr">
        <is>
          <t>J콜센터</t>
        </is>
      </c>
      <c r="M2051" s="9">
        <f>IF($A2051="","",VALUE($A2051&amp;"")*12+VALUE($B2051&amp;""))</f>
        <v/>
      </c>
      <c r="N2051" s="39">
        <f>IF($A2051="","",IFERROR(INDEX(부서매핑!$C$5:$C$504,MATCH($G2051&amp;"",부서매핑!$A$5:$A$504,0)),"미매핑"))</f>
        <v/>
      </c>
      <c r="O2051" s="9">
        <f>IF($A2051="","",N2051&amp;"|"&amp;$F2051)</f>
        <v/>
      </c>
      <c r="P2051" s="77">
        <f>IF($A2051="",0,$H2051*설정!$C$23)</f>
        <v/>
      </c>
      <c r="Q2051" s="39">
        <f>IF($A2051="","",IF(O2051&lt;&gt;원인분석!$C$9,"",IF(AND(M2051&gt;=원인분석!$C$10,M2051&lt;=원인분석!$C$11),"당기",IF(AND(M2051&gt;=원인분석!$C$12,M2051&lt;=원인분석!$C$13),"비교",""))))</f>
        <v/>
      </c>
      <c r="R2051" s="9">
        <f>IF(Q2051="","",$K2051&amp;"")</f>
        <v/>
      </c>
      <c r="S2051" s="9">
        <f>IF(Q2051="","",IF(MATCH(R2051,$R$5:$R$100000,0)=ROW()-4,ROW(),""))</f>
        <v/>
      </c>
      <c r="T2051" s="9">
        <f>IF(Q2051="당기",ABS(P2051)+ROW()/1000000000,"")</f>
        <v/>
      </c>
      <c r="U2051" s="9">
        <f>IF(Q2051="비교",ABS(P2051)+ROW()/1000000000,"")</f>
        <v/>
      </c>
      <c r="V2051" s="39">
        <f>IF($A2051="","",IF(COUNTIF(변동분석!$E$7:$E$506,O2051)&gt;0,"Y","N"))</f>
        <v/>
      </c>
      <c r="W2051" s="39">
        <f>IF($A2051="","",IFERROR(INDEX(계정매핑!$D$5:$D$504,MATCH($F2051&amp;"",계정매핑!$A$5:$A$504,0)),"미매핑"))</f>
        <v/>
      </c>
      <c r="X2051" s="9">
        <f>IF($A2051="","",$F2051&amp;"")</f>
        <v/>
      </c>
    </row>
    <row r="2052">
      <c r="A2052" s="75" t="n">
        <v>2025</v>
      </c>
      <c r="B2052" s="75" t="n">
        <v>11</v>
      </c>
      <c r="C2052" s="75" t="inlineStr">
        <is>
          <t>5100002048</t>
        </is>
      </c>
      <c r="D2052" s="78" t="n">
        <v>45977</v>
      </c>
      <c r="E2052" s="75" t="inlineStr">
        <is>
          <t>KR</t>
        </is>
      </c>
      <c r="F2052" s="75" t="n">
        <v>62101000</v>
      </c>
      <c r="G2052" s="75" t="n">
        <v>1301</v>
      </c>
      <c r="H2052" s="76" t="n">
        <v>280000</v>
      </c>
      <c r="I2052" s="75" t="inlineStr">
        <is>
          <t>11월 국내출장 - M항공</t>
        </is>
      </c>
      <c r="J2052" s="75" t="inlineStr">
        <is>
          <t>V10001</t>
        </is>
      </c>
      <c r="K2052" s="75" t="inlineStr">
        <is>
          <t>M항공</t>
        </is>
      </c>
      <c r="M2052" s="9">
        <f>IF($A2052="","",VALUE($A2052&amp;"")*12+VALUE($B2052&amp;""))</f>
        <v/>
      </c>
      <c r="N2052" s="39">
        <f>IF($A2052="","",IFERROR(INDEX(부서매핑!$C$5:$C$504,MATCH($G2052&amp;"",부서매핑!$A$5:$A$504,0)),"미매핑"))</f>
        <v/>
      </c>
      <c r="O2052" s="9">
        <f>IF($A2052="","",N2052&amp;"|"&amp;$F2052)</f>
        <v/>
      </c>
      <c r="P2052" s="77">
        <f>IF($A2052="",0,$H2052*설정!$C$23)</f>
        <v/>
      </c>
      <c r="Q2052" s="39">
        <f>IF($A2052="","",IF(O2052&lt;&gt;원인분석!$C$9,"",IF(AND(M2052&gt;=원인분석!$C$10,M2052&lt;=원인분석!$C$11),"당기",IF(AND(M2052&gt;=원인분석!$C$12,M2052&lt;=원인분석!$C$13),"비교",""))))</f>
        <v/>
      </c>
      <c r="R2052" s="9">
        <f>IF(Q2052="","",$K2052&amp;"")</f>
        <v/>
      </c>
      <c r="S2052" s="9">
        <f>IF(Q2052="","",IF(MATCH(R2052,$R$5:$R$100000,0)=ROW()-4,ROW(),""))</f>
        <v/>
      </c>
      <c r="T2052" s="9">
        <f>IF(Q2052="당기",ABS(P2052)+ROW()/1000000000,"")</f>
        <v/>
      </c>
      <c r="U2052" s="9">
        <f>IF(Q2052="비교",ABS(P2052)+ROW()/1000000000,"")</f>
        <v/>
      </c>
      <c r="V2052" s="39">
        <f>IF($A2052="","",IF(COUNTIF(변동분석!$E$7:$E$506,O2052)&gt;0,"Y","N"))</f>
        <v/>
      </c>
      <c r="W2052" s="39">
        <f>IF($A2052="","",IFERROR(INDEX(계정매핑!$D$5:$D$504,MATCH($F2052&amp;"",계정매핑!$A$5:$A$504,0)),"미매핑"))</f>
        <v/>
      </c>
      <c r="X2052" s="9">
        <f>IF($A2052="","",$F2052&amp;"")</f>
        <v/>
      </c>
    </row>
    <row r="2053">
      <c r="A2053" s="75" t="n">
        <v>2025</v>
      </c>
      <c r="B2053" s="75" t="n">
        <v>11</v>
      </c>
      <c r="C2053" s="75" t="inlineStr">
        <is>
          <t>5100002049</t>
        </is>
      </c>
      <c r="D2053" s="78" t="n">
        <v>45977</v>
      </c>
      <c r="E2053" s="75" t="inlineStr">
        <is>
          <t>KR</t>
        </is>
      </c>
      <c r="F2053" s="75" t="n">
        <v>62101000</v>
      </c>
      <c r="G2053" s="75" t="n">
        <v>1502</v>
      </c>
      <c r="H2053" s="76" t="n">
        <v>831000</v>
      </c>
      <c r="I2053" s="75" t="inlineStr">
        <is>
          <t>11월 국내출장 - L여행사</t>
        </is>
      </c>
      <c r="J2053" s="75" t="inlineStr">
        <is>
          <t>V10014</t>
        </is>
      </c>
      <c r="K2053" s="75" t="inlineStr">
        <is>
          <t>L여행사</t>
        </is>
      </c>
      <c r="M2053" s="9">
        <f>IF($A2053="","",VALUE($A2053&amp;"")*12+VALUE($B2053&amp;""))</f>
        <v/>
      </c>
      <c r="N2053" s="39">
        <f>IF($A2053="","",IFERROR(INDEX(부서매핑!$C$5:$C$504,MATCH($G2053&amp;"",부서매핑!$A$5:$A$504,0)),"미매핑"))</f>
        <v/>
      </c>
      <c r="O2053" s="9">
        <f>IF($A2053="","",N2053&amp;"|"&amp;$F2053)</f>
        <v/>
      </c>
      <c r="P2053" s="77">
        <f>IF($A2053="",0,$H2053*설정!$C$23)</f>
        <v/>
      </c>
      <c r="Q2053" s="39">
        <f>IF($A2053="","",IF(O2053&lt;&gt;원인분석!$C$9,"",IF(AND(M2053&gt;=원인분석!$C$10,M2053&lt;=원인분석!$C$11),"당기",IF(AND(M2053&gt;=원인분석!$C$12,M2053&lt;=원인분석!$C$13),"비교",""))))</f>
        <v/>
      </c>
      <c r="R2053" s="9">
        <f>IF(Q2053="","",$K2053&amp;"")</f>
        <v/>
      </c>
      <c r="S2053" s="9">
        <f>IF(Q2053="","",IF(MATCH(R2053,$R$5:$R$100000,0)=ROW()-4,ROW(),""))</f>
        <v/>
      </c>
      <c r="T2053" s="9">
        <f>IF(Q2053="당기",ABS(P2053)+ROW()/1000000000,"")</f>
        <v/>
      </c>
      <c r="U2053" s="9">
        <f>IF(Q2053="비교",ABS(P2053)+ROW()/1000000000,"")</f>
        <v/>
      </c>
      <c r="V2053" s="39">
        <f>IF($A2053="","",IF(COUNTIF(변동분석!$E$7:$E$506,O2053)&gt;0,"Y","N"))</f>
        <v/>
      </c>
      <c r="W2053" s="39">
        <f>IF($A2053="","",IFERROR(INDEX(계정매핑!$D$5:$D$504,MATCH($F2053&amp;"",계정매핑!$A$5:$A$504,0)),"미매핑"))</f>
        <v/>
      </c>
      <c r="X2053" s="9">
        <f>IF($A2053="","",$F2053&amp;"")</f>
        <v/>
      </c>
    </row>
    <row r="2054">
      <c r="A2054" s="75" t="n">
        <v>2025</v>
      </c>
      <c r="B2054" s="75" t="n">
        <v>11</v>
      </c>
      <c r="C2054" s="75" t="inlineStr">
        <is>
          <t>5100002050</t>
        </is>
      </c>
      <c r="D2054" s="78" t="n">
        <v>45977</v>
      </c>
      <c r="E2054" s="75" t="inlineStr">
        <is>
          <t>KR</t>
        </is>
      </c>
      <c r="F2054" s="75" t="n">
        <v>62101000</v>
      </c>
      <c r="G2054" s="75" t="n">
        <v>1601</v>
      </c>
      <c r="H2054" s="76" t="n">
        <v>1476000</v>
      </c>
      <c r="I2054" s="75" t="inlineStr">
        <is>
          <t>11월 국내출장 - L여행사</t>
        </is>
      </c>
      <c r="J2054" s="75" t="inlineStr">
        <is>
          <t>V10014</t>
        </is>
      </c>
      <c r="K2054" s="75" t="inlineStr">
        <is>
          <t>L여행사</t>
        </is>
      </c>
      <c r="M2054" s="9">
        <f>IF($A2054="","",VALUE($A2054&amp;"")*12+VALUE($B2054&amp;""))</f>
        <v/>
      </c>
      <c r="N2054" s="39">
        <f>IF($A2054="","",IFERROR(INDEX(부서매핑!$C$5:$C$504,MATCH($G2054&amp;"",부서매핑!$A$5:$A$504,0)),"미매핑"))</f>
        <v/>
      </c>
      <c r="O2054" s="9">
        <f>IF($A2054="","",N2054&amp;"|"&amp;$F2054)</f>
        <v/>
      </c>
      <c r="P2054" s="77">
        <f>IF($A2054="",0,$H2054*설정!$C$23)</f>
        <v/>
      </c>
      <c r="Q2054" s="39">
        <f>IF($A2054="","",IF(O2054&lt;&gt;원인분석!$C$9,"",IF(AND(M2054&gt;=원인분석!$C$10,M2054&lt;=원인분석!$C$11),"당기",IF(AND(M2054&gt;=원인분석!$C$12,M2054&lt;=원인분석!$C$13),"비교",""))))</f>
        <v/>
      </c>
      <c r="R2054" s="9">
        <f>IF(Q2054="","",$K2054&amp;"")</f>
        <v/>
      </c>
      <c r="S2054" s="9">
        <f>IF(Q2054="","",IF(MATCH(R2054,$R$5:$R$100000,0)=ROW()-4,ROW(),""))</f>
        <v/>
      </c>
      <c r="T2054" s="9">
        <f>IF(Q2054="당기",ABS(P2054)+ROW()/1000000000,"")</f>
        <v/>
      </c>
      <c r="U2054" s="9">
        <f>IF(Q2054="비교",ABS(P2054)+ROW()/1000000000,"")</f>
        <v/>
      </c>
      <c r="V2054" s="39">
        <f>IF($A2054="","",IF(COUNTIF(변동분석!$E$7:$E$506,O2054)&gt;0,"Y","N"))</f>
        <v/>
      </c>
      <c r="W2054" s="39">
        <f>IF($A2054="","",IFERROR(INDEX(계정매핑!$D$5:$D$504,MATCH($F2054&amp;"",계정매핑!$A$5:$A$504,0)),"미매핑"))</f>
        <v/>
      </c>
      <c r="X2054" s="9">
        <f>IF($A2054="","",$F2054&amp;"")</f>
        <v/>
      </c>
    </row>
    <row r="2055">
      <c r="A2055" s="75" t="n">
        <v>2025</v>
      </c>
      <c r="B2055" s="75" t="n">
        <v>11</v>
      </c>
      <c r="C2055" s="75" t="inlineStr">
        <is>
          <t>5100002051</t>
        </is>
      </c>
      <c r="D2055" s="78" t="n">
        <v>45977</v>
      </c>
      <c r="E2055" s="75" t="inlineStr">
        <is>
          <t>KR</t>
        </is>
      </c>
      <c r="F2055" s="75" t="n">
        <v>62101000</v>
      </c>
      <c r="G2055" s="75" t="n">
        <v>1801</v>
      </c>
      <c r="H2055" s="76" t="n">
        <v>129000</v>
      </c>
      <c r="I2055" s="75" t="inlineStr">
        <is>
          <t>11월 국내출장 - (법인카드)</t>
        </is>
      </c>
      <c r="J2055" s="75" t="inlineStr">
        <is>
          <t>V10008</t>
        </is>
      </c>
      <c r="K2055" s="75" t="inlineStr">
        <is>
          <t>(법인카드)</t>
        </is>
      </c>
      <c r="M2055" s="9">
        <f>IF($A2055="","",VALUE($A2055&amp;"")*12+VALUE($B2055&amp;""))</f>
        <v/>
      </c>
      <c r="N2055" s="39">
        <f>IF($A2055="","",IFERROR(INDEX(부서매핑!$C$5:$C$504,MATCH($G2055&amp;"",부서매핑!$A$5:$A$504,0)),"미매핑"))</f>
        <v/>
      </c>
      <c r="O2055" s="9">
        <f>IF($A2055="","",N2055&amp;"|"&amp;$F2055)</f>
        <v/>
      </c>
      <c r="P2055" s="77">
        <f>IF($A2055="",0,$H2055*설정!$C$23)</f>
        <v/>
      </c>
      <c r="Q2055" s="39">
        <f>IF($A2055="","",IF(O2055&lt;&gt;원인분석!$C$9,"",IF(AND(M2055&gt;=원인분석!$C$10,M2055&lt;=원인분석!$C$11),"당기",IF(AND(M2055&gt;=원인분석!$C$12,M2055&lt;=원인분석!$C$13),"비교",""))))</f>
        <v/>
      </c>
      <c r="R2055" s="9">
        <f>IF(Q2055="","",$K2055&amp;"")</f>
        <v/>
      </c>
      <c r="S2055" s="9">
        <f>IF(Q2055="","",IF(MATCH(R2055,$R$5:$R$100000,0)=ROW()-4,ROW(),""))</f>
        <v/>
      </c>
      <c r="T2055" s="9">
        <f>IF(Q2055="당기",ABS(P2055)+ROW()/1000000000,"")</f>
        <v/>
      </c>
      <c r="U2055" s="9">
        <f>IF(Q2055="비교",ABS(P2055)+ROW()/1000000000,"")</f>
        <v/>
      </c>
      <c r="V2055" s="39">
        <f>IF($A2055="","",IF(COUNTIF(변동분석!$E$7:$E$506,O2055)&gt;0,"Y","N"))</f>
        <v/>
      </c>
      <c r="W2055" s="39">
        <f>IF($A2055="","",IFERROR(INDEX(계정매핑!$D$5:$D$504,MATCH($F2055&amp;"",계정매핑!$A$5:$A$504,0)),"미매핑"))</f>
        <v/>
      </c>
      <c r="X2055" s="9">
        <f>IF($A2055="","",$F2055&amp;"")</f>
        <v/>
      </c>
    </row>
    <row r="2056">
      <c r="A2056" s="75" t="n">
        <v>2025</v>
      </c>
      <c r="B2056" s="75" t="n">
        <v>11</v>
      </c>
      <c r="C2056" s="75" t="inlineStr">
        <is>
          <t>5100002052</t>
        </is>
      </c>
      <c r="D2056" s="78" t="n">
        <v>45977</v>
      </c>
      <c r="E2056" s="75" t="inlineStr">
        <is>
          <t>KR</t>
        </is>
      </c>
      <c r="F2056" s="75" t="n">
        <v>62102000</v>
      </c>
      <c r="G2056" s="75" t="n">
        <v>1601</v>
      </c>
      <c r="H2056" s="76" t="n">
        <v>296000</v>
      </c>
      <c r="I2056" s="75" t="inlineStr">
        <is>
          <t>11월 해외출장 - N호텔</t>
        </is>
      </c>
      <c r="J2056" s="75" t="inlineStr">
        <is>
          <t>V10007</t>
        </is>
      </c>
      <c r="K2056" s="75" t="inlineStr">
        <is>
          <t>N호텔</t>
        </is>
      </c>
      <c r="M2056" s="9">
        <f>IF($A2056="","",VALUE($A2056&amp;"")*12+VALUE($B2056&amp;""))</f>
        <v/>
      </c>
      <c r="N2056" s="39">
        <f>IF($A2056="","",IFERROR(INDEX(부서매핑!$C$5:$C$504,MATCH($G2056&amp;"",부서매핑!$A$5:$A$504,0)),"미매핑"))</f>
        <v/>
      </c>
      <c r="O2056" s="9">
        <f>IF($A2056="","",N2056&amp;"|"&amp;$F2056)</f>
        <v/>
      </c>
      <c r="P2056" s="77">
        <f>IF($A2056="",0,$H2056*설정!$C$23)</f>
        <v/>
      </c>
      <c r="Q2056" s="39">
        <f>IF($A2056="","",IF(O2056&lt;&gt;원인분석!$C$9,"",IF(AND(M2056&gt;=원인분석!$C$10,M2056&lt;=원인분석!$C$11),"당기",IF(AND(M2056&gt;=원인분석!$C$12,M2056&lt;=원인분석!$C$13),"비교",""))))</f>
        <v/>
      </c>
      <c r="R2056" s="9">
        <f>IF(Q2056="","",$K2056&amp;"")</f>
        <v/>
      </c>
      <c r="S2056" s="9">
        <f>IF(Q2056="","",IF(MATCH(R2056,$R$5:$R$100000,0)=ROW()-4,ROW(),""))</f>
        <v/>
      </c>
      <c r="T2056" s="9">
        <f>IF(Q2056="당기",ABS(P2056)+ROW()/1000000000,"")</f>
        <v/>
      </c>
      <c r="U2056" s="9">
        <f>IF(Q2056="비교",ABS(P2056)+ROW()/1000000000,"")</f>
        <v/>
      </c>
      <c r="V2056" s="39">
        <f>IF($A2056="","",IF(COUNTIF(변동분석!$E$7:$E$506,O2056)&gt;0,"Y","N"))</f>
        <v/>
      </c>
      <c r="W2056" s="39">
        <f>IF($A2056="","",IFERROR(INDEX(계정매핑!$D$5:$D$504,MATCH($F2056&amp;"",계정매핑!$A$5:$A$504,0)),"미매핑"))</f>
        <v/>
      </c>
      <c r="X2056" s="9">
        <f>IF($A2056="","",$F2056&amp;"")</f>
        <v/>
      </c>
    </row>
    <row r="2057">
      <c r="A2057" s="75" t="n">
        <v>2025</v>
      </c>
      <c r="B2057" s="75" t="n">
        <v>11</v>
      </c>
      <c r="C2057" s="75" t="inlineStr">
        <is>
          <t>5100002053</t>
        </is>
      </c>
      <c r="D2057" s="78" t="n">
        <v>45977</v>
      </c>
      <c r="E2057" s="75" t="inlineStr">
        <is>
          <t>KR</t>
        </is>
      </c>
      <c r="F2057" s="75" t="n">
        <v>62102000</v>
      </c>
      <c r="G2057" s="75" t="n">
        <v>1801</v>
      </c>
      <c r="H2057" s="76" t="n">
        <v>46000</v>
      </c>
      <c r="I2057" s="75" t="inlineStr">
        <is>
          <t>11월 해외출장 - N호텔</t>
        </is>
      </c>
      <c r="J2057" s="75" t="inlineStr">
        <is>
          <t>V10007</t>
        </is>
      </c>
      <c r="K2057" s="75" t="inlineStr">
        <is>
          <t>N호텔</t>
        </is>
      </c>
      <c r="M2057" s="9">
        <f>IF($A2057="","",VALUE($A2057&amp;"")*12+VALUE($B2057&amp;""))</f>
        <v/>
      </c>
      <c r="N2057" s="39">
        <f>IF($A2057="","",IFERROR(INDEX(부서매핑!$C$5:$C$504,MATCH($G2057&amp;"",부서매핑!$A$5:$A$504,0)),"미매핑"))</f>
        <v/>
      </c>
      <c r="O2057" s="9">
        <f>IF($A2057="","",N2057&amp;"|"&amp;$F2057)</f>
        <v/>
      </c>
      <c r="P2057" s="77">
        <f>IF($A2057="",0,$H2057*설정!$C$23)</f>
        <v/>
      </c>
      <c r="Q2057" s="39">
        <f>IF($A2057="","",IF(O2057&lt;&gt;원인분석!$C$9,"",IF(AND(M2057&gt;=원인분석!$C$10,M2057&lt;=원인분석!$C$11),"당기",IF(AND(M2057&gt;=원인분석!$C$12,M2057&lt;=원인분석!$C$13),"비교",""))))</f>
        <v/>
      </c>
      <c r="R2057" s="9">
        <f>IF(Q2057="","",$K2057&amp;"")</f>
        <v/>
      </c>
      <c r="S2057" s="9">
        <f>IF(Q2057="","",IF(MATCH(R2057,$R$5:$R$100000,0)=ROW()-4,ROW(),""))</f>
        <v/>
      </c>
      <c r="T2057" s="9">
        <f>IF(Q2057="당기",ABS(P2057)+ROW()/1000000000,"")</f>
        <v/>
      </c>
      <c r="U2057" s="9">
        <f>IF(Q2057="비교",ABS(P2057)+ROW()/1000000000,"")</f>
        <v/>
      </c>
      <c r="V2057" s="39">
        <f>IF($A2057="","",IF(COUNTIF(변동분석!$E$7:$E$506,O2057)&gt;0,"Y","N"))</f>
        <v/>
      </c>
      <c r="W2057" s="39">
        <f>IF($A2057="","",IFERROR(INDEX(계정매핑!$D$5:$D$504,MATCH($F2057&amp;"",계정매핑!$A$5:$A$504,0)),"미매핑"))</f>
        <v/>
      </c>
      <c r="X2057" s="9">
        <f>IF($A2057="","",$F2057&amp;"")</f>
        <v/>
      </c>
    </row>
    <row r="2058">
      <c r="A2058" s="75" t="n">
        <v>2025</v>
      </c>
      <c r="B2058" s="75" t="n">
        <v>11</v>
      </c>
      <c r="C2058" s="75" t="inlineStr">
        <is>
          <t>5100002054</t>
        </is>
      </c>
      <c r="D2058" s="78" t="n">
        <v>45977</v>
      </c>
      <c r="E2058" s="75" t="inlineStr">
        <is>
          <t>KR</t>
        </is>
      </c>
      <c r="F2058" s="75" t="n">
        <v>62301000</v>
      </c>
      <c r="G2058" s="75" t="n">
        <v>1201</v>
      </c>
      <c r="H2058" s="76" t="n">
        <v>168000</v>
      </c>
      <c r="I2058" s="75" t="inlineStr">
        <is>
          <t>11월 소모품 구입 - R문구</t>
        </is>
      </c>
      <c r="J2058" s="75" t="inlineStr">
        <is>
          <t>V10018</t>
        </is>
      </c>
      <c r="K2058" s="75" t="inlineStr">
        <is>
          <t>R문구</t>
        </is>
      </c>
      <c r="M2058" s="9">
        <f>IF($A2058="","",VALUE($A2058&amp;"")*12+VALUE($B2058&amp;""))</f>
        <v/>
      </c>
      <c r="N2058" s="39">
        <f>IF($A2058="","",IFERROR(INDEX(부서매핑!$C$5:$C$504,MATCH($G2058&amp;"",부서매핑!$A$5:$A$504,0)),"미매핑"))</f>
        <v/>
      </c>
      <c r="O2058" s="9">
        <f>IF($A2058="","",N2058&amp;"|"&amp;$F2058)</f>
        <v/>
      </c>
      <c r="P2058" s="77">
        <f>IF($A2058="",0,$H2058*설정!$C$23)</f>
        <v/>
      </c>
      <c r="Q2058" s="39">
        <f>IF($A2058="","",IF(O2058&lt;&gt;원인분석!$C$9,"",IF(AND(M2058&gt;=원인분석!$C$10,M2058&lt;=원인분석!$C$11),"당기",IF(AND(M2058&gt;=원인분석!$C$12,M2058&lt;=원인분석!$C$13),"비교",""))))</f>
        <v/>
      </c>
      <c r="R2058" s="9">
        <f>IF(Q2058="","",$K2058&amp;"")</f>
        <v/>
      </c>
      <c r="S2058" s="9">
        <f>IF(Q2058="","",IF(MATCH(R2058,$R$5:$R$100000,0)=ROW()-4,ROW(),""))</f>
        <v/>
      </c>
      <c r="T2058" s="9">
        <f>IF(Q2058="당기",ABS(P2058)+ROW()/1000000000,"")</f>
        <v/>
      </c>
      <c r="U2058" s="9">
        <f>IF(Q2058="비교",ABS(P2058)+ROW()/1000000000,"")</f>
        <v/>
      </c>
      <c r="V2058" s="39">
        <f>IF($A2058="","",IF(COUNTIF(변동분석!$E$7:$E$506,O2058)&gt;0,"Y","N"))</f>
        <v/>
      </c>
      <c r="W2058" s="39">
        <f>IF($A2058="","",IFERROR(INDEX(계정매핑!$D$5:$D$504,MATCH($F2058&amp;"",계정매핑!$A$5:$A$504,0)),"미매핑"))</f>
        <v/>
      </c>
      <c r="X2058" s="9">
        <f>IF($A2058="","",$F2058&amp;"")</f>
        <v/>
      </c>
    </row>
    <row r="2059">
      <c r="A2059" s="75" t="n">
        <v>2025</v>
      </c>
      <c r="B2059" s="75" t="n">
        <v>11</v>
      </c>
      <c r="C2059" s="75" t="inlineStr">
        <is>
          <t>5100002055</t>
        </is>
      </c>
      <c r="D2059" s="78" t="n">
        <v>45977</v>
      </c>
      <c r="E2059" s="75" t="inlineStr">
        <is>
          <t>KR</t>
        </is>
      </c>
      <c r="F2059" s="75" t="n">
        <v>62301000</v>
      </c>
      <c r="G2059" s="75" t="n">
        <v>1301</v>
      </c>
      <c r="H2059" s="76" t="n">
        <v>273000</v>
      </c>
      <c r="I2059" s="75" t="inlineStr">
        <is>
          <t>11월 소모품 구입 - R문구</t>
        </is>
      </c>
      <c r="J2059" s="75" t="inlineStr">
        <is>
          <t>V10018</t>
        </is>
      </c>
      <c r="K2059" s="75" t="inlineStr">
        <is>
          <t>R문구</t>
        </is>
      </c>
      <c r="M2059" s="9">
        <f>IF($A2059="","",VALUE($A2059&amp;"")*12+VALUE($B2059&amp;""))</f>
        <v/>
      </c>
      <c r="N2059" s="39">
        <f>IF($A2059="","",IFERROR(INDEX(부서매핑!$C$5:$C$504,MATCH($G2059&amp;"",부서매핑!$A$5:$A$504,0)),"미매핑"))</f>
        <v/>
      </c>
      <c r="O2059" s="9">
        <f>IF($A2059="","",N2059&amp;"|"&amp;$F2059)</f>
        <v/>
      </c>
      <c r="P2059" s="77">
        <f>IF($A2059="",0,$H2059*설정!$C$23)</f>
        <v/>
      </c>
      <c r="Q2059" s="39">
        <f>IF($A2059="","",IF(O2059&lt;&gt;원인분석!$C$9,"",IF(AND(M2059&gt;=원인분석!$C$10,M2059&lt;=원인분석!$C$11),"당기",IF(AND(M2059&gt;=원인분석!$C$12,M2059&lt;=원인분석!$C$13),"비교",""))))</f>
        <v/>
      </c>
      <c r="R2059" s="9">
        <f>IF(Q2059="","",$K2059&amp;"")</f>
        <v/>
      </c>
      <c r="S2059" s="9">
        <f>IF(Q2059="","",IF(MATCH(R2059,$R$5:$R$100000,0)=ROW()-4,ROW(),""))</f>
        <v/>
      </c>
      <c r="T2059" s="9">
        <f>IF(Q2059="당기",ABS(P2059)+ROW()/1000000000,"")</f>
        <v/>
      </c>
      <c r="U2059" s="9">
        <f>IF(Q2059="비교",ABS(P2059)+ROW()/1000000000,"")</f>
        <v/>
      </c>
      <c r="V2059" s="39">
        <f>IF($A2059="","",IF(COUNTIF(변동분석!$E$7:$E$506,O2059)&gt;0,"Y","N"))</f>
        <v/>
      </c>
      <c r="W2059" s="39">
        <f>IF($A2059="","",IFERROR(INDEX(계정매핑!$D$5:$D$504,MATCH($F2059&amp;"",계정매핑!$A$5:$A$504,0)),"미매핑"))</f>
        <v/>
      </c>
      <c r="X2059" s="9">
        <f>IF($A2059="","",$F2059&amp;"")</f>
        <v/>
      </c>
    </row>
    <row r="2060">
      <c r="A2060" s="75" t="n">
        <v>2025</v>
      </c>
      <c r="B2060" s="75" t="n">
        <v>11</v>
      </c>
      <c r="C2060" s="75" t="inlineStr">
        <is>
          <t>5100002056</t>
        </is>
      </c>
      <c r="D2060" s="78" t="n">
        <v>45977</v>
      </c>
      <c r="E2060" s="75" t="inlineStr">
        <is>
          <t>KR</t>
        </is>
      </c>
      <c r="F2060" s="75" t="n">
        <v>63001000</v>
      </c>
      <c r="G2060" s="75" t="n">
        <v>1701</v>
      </c>
      <c r="H2060" s="76" t="n">
        <v>43319000</v>
      </c>
      <c r="I2060" s="75" t="inlineStr">
        <is>
          <t>11월 SW 유지보수 - Y소프트</t>
        </is>
      </c>
      <c r="J2060" s="75" t="inlineStr">
        <is>
          <t>V10017</t>
        </is>
      </c>
      <c r="K2060" s="75" t="inlineStr">
        <is>
          <t>Y소프트</t>
        </is>
      </c>
      <c r="M2060" s="9">
        <f>IF($A2060="","",VALUE($A2060&amp;"")*12+VALUE($B2060&amp;""))</f>
        <v/>
      </c>
      <c r="N2060" s="39">
        <f>IF($A2060="","",IFERROR(INDEX(부서매핑!$C$5:$C$504,MATCH($G2060&amp;"",부서매핑!$A$5:$A$504,0)),"미매핑"))</f>
        <v/>
      </c>
      <c r="O2060" s="9">
        <f>IF($A2060="","",N2060&amp;"|"&amp;$F2060)</f>
        <v/>
      </c>
      <c r="P2060" s="77">
        <f>IF($A2060="",0,$H2060*설정!$C$23)</f>
        <v/>
      </c>
      <c r="Q2060" s="39">
        <f>IF($A2060="","",IF(O2060&lt;&gt;원인분석!$C$9,"",IF(AND(M2060&gt;=원인분석!$C$10,M2060&lt;=원인분석!$C$11),"당기",IF(AND(M2060&gt;=원인분석!$C$12,M2060&lt;=원인분석!$C$13),"비교",""))))</f>
        <v/>
      </c>
      <c r="R2060" s="9">
        <f>IF(Q2060="","",$K2060&amp;"")</f>
        <v/>
      </c>
      <c r="S2060" s="9">
        <f>IF(Q2060="","",IF(MATCH(R2060,$R$5:$R$100000,0)=ROW()-4,ROW(),""))</f>
        <v/>
      </c>
      <c r="T2060" s="9">
        <f>IF(Q2060="당기",ABS(P2060)+ROW()/1000000000,"")</f>
        <v/>
      </c>
      <c r="U2060" s="9">
        <f>IF(Q2060="비교",ABS(P2060)+ROW()/1000000000,"")</f>
        <v/>
      </c>
      <c r="V2060" s="39">
        <f>IF($A2060="","",IF(COUNTIF(변동분석!$E$7:$E$506,O2060)&gt;0,"Y","N"))</f>
        <v/>
      </c>
      <c r="W2060" s="39">
        <f>IF($A2060="","",IFERROR(INDEX(계정매핑!$D$5:$D$504,MATCH($F2060&amp;"",계정매핑!$A$5:$A$504,0)),"미매핑"))</f>
        <v/>
      </c>
      <c r="X2060" s="9">
        <f>IF($A2060="","",$F2060&amp;"")</f>
        <v/>
      </c>
    </row>
    <row r="2061">
      <c r="A2061" s="75" t="n">
        <v>2025</v>
      </c>
      <c r="B2061" s="75" t="n">
        <v>11</v>
      </c>
      <c r="C2061" s="75" t="inlineStr">
        <is>
          <t>5100002057</t>
        </is>
      </c>
      <c r="D2061" s="78" t="n">
        <v>45978</v>
      </c>
      <c r="E2061" s="75" t="inlineStr">
        <is>
          <t>KR</t>
        </is>
      </c>
      <c r="F2061" s="75" t="n">
        <v>62101000</v>
      </c>
      <c r="G2061" s="75" t="n">
        <v>1401</v>
      </c>
      <c r="H2061" s="76" t="n">
        <v>290000</v>
      </c>
      <c r="I2061" s="75" t="inlineStr">
        <is>
          <t>11월 국내출장 - M항공</t>
        </is>
      </c>
      <c r="J2061" s="75" t="inlineStr">
        <is>
          <t>V10001</t>
        </is>
      </c>
      <c r="K2061" s="75" t="inlineStr">
        <is>
          <t>M항공</t>
        </is>
      </c>
      <c r="M2061" s="9">
        <f>IF($A2061="","",VALUE($A2061&amp;"")*12+VALUE($B2061&amp;""))</f>
        <v/>
      </c>
      <c r="N2061" s="39">
        <f>IF($A2061="","",IFERROR(INDEX(부서매핑!$C$5:$C$504,MATCH($G2061&amp;"",부서매핑!$A$5:$A$504,0)),"미매핑"))</f>
        <v/>
      </c>
      <c r="O2061" s="9">
        <f>IF($A2061="","",N2061&amp;"|"&amp;$F2061)</f>
        <v/>
      </c>
      <c r="P2061" s="77">
        <f>IF($A2061="",0,$H2061*설정!$C$23)</f>
        <v/>
      </c>
      <c r="Q2061" s="39">
        <f>IF($A2061="","",IF(O2061&lt;&gt;원인분석!$C$9,"",IF(AND(M2061&gt;=원인분석!$C$10,M2061&lt;=원인분석!$C$11),"당기",IF(AND(M2061&gt;=원인분석!$C$12,M2061&lt;=원인분석!$C$13),"비교",""))))</f>
        <v/>
      </c>
      <c r="R2061" s="9">
        <f>IF(Q2061="","",$K2061&amp;"")</f>
        <v/>
      </c>
      <c r="S2061" s="9">
        <f>IF(Q2061="","",IF(MATCH(R2061,$R$5:$R$100000,0)=ROW()-4,ROW(),""))</f>
        <v/>
      </c>
      <c r="T2061" s="9">
        <f>IF(Q2061="당기",ABS(P2061)+ROW()/1000000000,"")</f>
        <v/>
      </c>
      <c r="U2061" s="9">
        <f>IF(Q2061="비교",ABS(P2061)+ROW()/1000000000,"")</f>
        <v/>
      </c>
      <c r="V2061" s="39">
        <f>IF($A2061="","",IF(COUNTIF(변동분석!$E$7:$E$506,O2061)&gt;0,"Y","N"))</f>
        <v/>
      </c>
      <c r="W2061" s="39">
        <f>IF($A2061="","",IFERROR(INDEX(계정매핑!$D$5:$D$504,MATCH($F2061&amp;"",계정매핑!$A$5:$A$504,0)),"미매핑"))</f>
        <v/>
      </c>
      <c r="X2061" s="9">
        <f>IF($A2061="","",$F2061&amp;"")</f>
        <v/>
      </c>
    </row>
    <row r="2062">
      <c r="A2062" s="75" t="n">
        <v>2025</v>
      </c>
      <c r="B2062" s="75" t="n">
        <v>11</v>
      </c>
      <c r="C2062" s="75" t="inlineStr">
        <is>
          <t>5100002058</t>
        </is>
      </c>
      <c r="D2062" s="78" t="n">
        <v>45978</v>
      </c>
      <c r="E2062" s="75" t="inlineStr">
        <is>
          <t>KR</t>
        </is>
      </c>
      <c r="F2062" s="75" t="n">
        <v>62601000</v>
      </c>
      <c r="G2062" s="75" t="n">
        <v>1602</v>
      </c>
      <c r="H2062" s="76" t="n">
        <v>2856000</v>
      </c>
      <c r="I2062" s="75" t="inlineStr">
        <is>
          <t>11월 업무추진 - (법인카드)</t>
        </is>
      </c>
      <c r="J2062" s="75" t="inlineStr">
        <is>
          <t>V10008</t>
        </is>
      </c>
      <c r="K2062" s="75" t="inlineStr">
        <is>
          <t>(법인카드)</t>
        </is>
      </c>
      <c r="M2062" s="9">
        <f>IF($A2062="","",VALUE($A2062&amp;"")*12+VALUE($B2062&amp;""))</f>
        <v/>
      </c>
      <c r="N2062" s="39">
        <f>IF($A2062="","",IFERROR(INDEX(부서매핑!$C$5:$C$504,MATCH($G2062&amp;"",부서매핑!$A$5:$A$504,0)),"미매핑"))</f>
        <v/>
      </c>
      <c r="O2062" s="9">
        <f>IF($A2062="","",N2062&amp;"|"&amp;$F2062)</f>
        <v/>
      </c>
      <c r="P2062" s="77">
        <f>IF($A2062="",0,$H2062*설정!$C$23)</f>
        <v/>
      </c>
      <c r="Q2062" s="39">
        <f>IF($A2062="","",IF(O2062&lt;&gt;원인분석!$C$9,"",IF(AND(M2062&gt;=원인분석!$C$10,M2062&lt;=원인분석!$C$11),"당기",IF(AND(M2062&gt;=원인분석!$C$12,M2062&lt;=원인분석!$C$13),"비교",""))))</f>
        <v/>
      </c>
      <c r="R2062" s="9">
        <f>IF(Q2062="","",$K2062&amp;"")</f>
        <v/>
      </c>
      <c r="S2062" s="9">
        <f>IF(Q2062="","",IF(MATCH(R2062,$R$5:$R$100000,0)=ROW()-4,ROW(),""))</f>
        <v/>
      </c>
      <c r="T2062" s="9">
        <f>IF(Q2062="당기",ABS(P2062)+ROW()/1000000000,"")</f>
        <v/>
      </c>
      <c r="U2062" s="9">
        <f>IF(Q2062="비교",ABS(P2062)+ROW()/1000000000,"")</f>
        <v/>
      </c>
      <c r="V2062" s="39">
        <f>IF($A2062="","",IF(COUNTIF(변동분석!$E$7:$E$506,O2062)&gt;0,"Y","N"))</f>
        <v/>
      </c>
      <c r="W2062" s="39">
        <f>IF($A2062="","",IFERROR(INDEX(계정매핑!$D$5:$D$504,MATCH($F2062&amp;"",계정매핑!$A$5:$A$504,0)),"미매핑"))</f>
        <v/>
      </c>
      <c r="X2062" s="9">
        <f>IF($A2062="","",$F2062&amp;"")</f>
        <v/>
      </c>
    </row>
    <row r="2063">
      <c r="A2063" s="75" t="n">
        <v>2025</v>
      </c>
      <c r="B2063" s="75" t="n">
        <v>11</v>
      </c>
      <c r="C2063" s="75" t="inlineStr">
        <is>
          <t>5100002059</t>
        </is>
      </c>
      <c r="D2063" s="78" t="n">
        <v>45978</v>
      </c>
      <c r="E2063" s="75" t="inlineStr">
        <is>
          <t>KR</t>
        </is>
      </c>
      <c r="F2063" s="75" t="n">
        <v>62802000</v>
      </c>
      <c r="G2063" s="75" t="n">
        <v>1301</v>
      </c>
      <c r="H2063" s="76" t="n">
        <v>6292000</v>
      </c>
      <c r="I2063" s="75" t="inlineStr">
        <is>
          <t>11월 위탁교육 - I교육원</t>
        </is>
      </c>
      <c r="J2063" s="75" t="inlineStr">
        <is>
          <t>V10015</t>
        </is>
      </c>
      <c r="K2063" s="75" t="inlineStr">
        <is>
          <t>I교육원</t>
        </is>
      </c>
      <c r="M2063" s="9">
        <f>IF($A2063="","",VALUE($A2063&amp;"")*12+VALUE($B2063&amp;""))</f>
        <v/>
      </c>
      <c r="N2063" s="39">
        <f>IF($A2063="","",IFERROR(INDEX(부서매핑!$C$5:$C$504,MATCH($G2063&amp;"",부서매핑!$A$5:$A$504,0)),"미매핑"))</f>
        <v/>
      </c>
      <c r="O2063" s="9">
        <f>IF($A2063="","",N2063&amp;"|"&amp;$F2063)</f>
        <v/>
      </c>
      <c r="P2063" s="77">
        <f>IF($A2063="",0,$H2063*설정!$C$23)</f>
        <v/>
      </c>
      <c r="Q2063" s="39">
        <f>IF($A2063="","",IF(O2063&lt;&gt;원인분석!$C$9,"",IF(AND(M2063&gt;=원인분석!$C$10,M2063&lt;=원인분석!$C$11),"당기",IF(AND(M2063&gt;=원인분석!$C$12,M2063&lt;=원인분석!$C$13),"비교",""))))</f>
        <v/>
      </c>
      <c r="R2063" s="9">
        <f>IF(Q2063="","",$K2063&amp;"")</f>
        <v/>
      </c>
      <c r="S2063" s="9">
        <f>IF(Q2063="","",IF(MATCH(R2063,$R$5:$R$100000,0)=ROW()-4,ROW(),""))</f>
        <v/>
      </c>
      <c r="T2063" s="9">
        <f>IF(Q2063="당기",ABS(P2063)+ROW()/1000000000,"")</f>
        <v/>
      </c>
      <c r="U2063" s="9">
        <f>IF(Q2063="비교",ABS(P2063)+ROW()/1000000000,"")</f>
        <v/>
      </c>
      <c r="V2063" s="39">
        <f>IF($A2063="","",IF(COUNTIF(변동분석!$E$7:$E$506,O2063)&gt;0,"Y","N"))</f>
        <v/>
      </c>
      <c r="W2063" s="39">
        <f>IF($A2063="","",IFERROR(INDEX(계정매핑!$D$5:$D$504,MATCH($F2063&amp;"",계정매핑!$A$5:$A$504,0)),"미매핑"))</f>
        <v/>
      </c>
      <c r="X2063" s="9">
        <f>IF($A2063="","",$F2063&amp;"")</f>
        <v/>
      </c>
    </row>
    <row r="2064">
      <c r="A2064" s="75" t="n">
        <v>2025</v>
      </c>
      <c r="B2064" s="75" t="n">
        <v>11</v>
      </c>
      <c r="C2064" s="75" t="inlineStr">
        <is>
          <t>5100002060</t>
        </is>
      </c>
      <c r="D2064" s="78" t="n">
        <v>45978</v>
      </c>
      <c r="E2064" s="75" t="inlineStr">
        <is>
          <t>KR</t>
        </is>
      </c>
      <c r="F2064" s="75" t="n">
        <v>62902000</v>
      </c>
      <c r="G2064" s="75" t="n">
        <v>1801</v>
      </c>
      <c r="H2064" s="76" t="n">
        <v>1795000</v>
      </c>
      <c r="I2064" s="75" t="inlineStr">
        <is>
          <t>11월 콜 위탁 수수료(건별)</t>
        </is>
      </c>
      <c r="J2064" s="75" t="inlineStr">
        <is>
          <t>V10013</t>
        </is>
      </c>
      <c r="K2064" s="75" t="inlineStr">
        <is>
          <t>J콜센터</t>
        </is>
      </c>
      <c r="M2064" s="9">
        <f>IF($A2064="","",VALUE($A2064&amp;"")*12+VALUE($B2064&amp;""))</f>
        <v/>
      </c>
      <c r="N2064" s="39">
        <f>IF($A2064="","",IFERROR(INDEX(부서매핑!$C$5:$C$504,MATCH($G2064&amp;"",부서매핑!$A$5:$A$504,0)),"미매핑"))</f>
        <v/>
      </c>
      <c r="O2064" s="9">
        <f>IF($A2064="","",N2064&amp;"|"&amp;$F2064)</f>
        <v/>
      </c>
      <c r="P2064" s="77">
        <f>IF($A2064="",0,$H2064*설정!$C$23)</f>
        <v/>
      </c>
      <c r="Q2064" s="39">
        <f>IF($A2064="","",IF(O2064&lt;&gt;원인분석!$C$9,"",IF(AND(M2064&gt;=원인분석!$C$10,M2064&lt;=원인분석!$C$11),"당기",IF(AND(M2064&gt;=원인분석!$C$12,M2064&lt;=원인분석!$C$13),"비교",""))))</f>
        <v/>
      </c>
      <c r="R2064" s="9">
        <f>IF(Q2064="","",$K2064&amp;"")</f>
        <v/>
      </c>
      <c r="S2064" s="9">
        <f>IF(Q2064="","",IF(MATCH(R2064,$R$5:$R$100000,0)=ROW()-4,ROW(),""))</f>
        <v/>
      </c>
      <c r="T2064" s="9">
        <f>IF(Q2064="당기",ABS(P2064)+ROW()/1000000000,"")</f>
        <v/>
      </c>
      <c r="U2064" s="9">
        <f>IF(Q2064="비교",ABS(P2064)+ROW()/1000000000,"")</f>
        <v/>
      </c>
      <c r="V2064" s="39">
        <f>IF($A2064="","",IF(COUNTIF(변동분석!$E$7:$E$506,O2064)&gt;0,"Y","N"))</f>
        <v/>
      </c>
      <c r="W2064" s="39">
        <f>IF($A2064="","",IFERROR(INDEX(계정매핑!$D$5:$D$504,MATCH($F2064&amp;"",계정매핑!$A$5:$A$504,0)),"미매핑"))</f>
        <v/>
      </c>
      <c r="X2064" s="9">
        <f>IF($A2064="","",$F2064&amp;"")</f>
        <v/>
      </c>
    </row>
    <row r="2065">
      <c r="A2065" s="75" t="n">
        <v>2025</v>
      </c>
      <c r="B2065" s="75" t="n">
        <v>11</v>
      </c>
      <c r="C2065" s="75" t="inlineStr">
        <is>
          <t>5100002061</t>
        </is>
      </c>
      <c r="D2065" s="78" t="n">
        <v>45978</v>
      </c>
      <c r="E2065" s="75" t="inlineStr">
        <is>
          <t>KR</t>
        </is>
      </c>
      <c r="F2065" s="75" t="n">
        <v>62902000</v>
      </c>
      <c r="G2065" s="75" t="n">
        <v>1801</v>
      </c>
      <c r="H2065" s="76" t="n">
        <v>1850000</v>
      </c>
      <c r="I2065" s="75" t="inlineStr">
        <is>
          <t>11월 콜 위탁 수수료(건별)</t>
        </is>
      </c>
      <c r="J2065" s="75" t="inlineStr">
        <is>
          <t>V10013</t>
        </is>
      </c>
      <c r="K2065" s="75" t="inlineStr">
        <is>
          <t>J콜센터</t>
        </is>
      </c>
      <c r="M2065" s="9">
        <f>IF($A2065="","",VALUE($A2065&amp;"")*12+VALUE($B2065&amp;""))</f>
        <v/>
      </c>
      <c r="N2065" s="39">
        <f>IF($A2065="","",IFERROR(INDEX(부서매핑!$C$5:$C$504,MATCH($G2065&amp;"",부서매핑!$A$5:$A$504,0)),"미매핑"))</f>
        <v/>
      </c>
      <c r="O2065" s="9">
        <f>IF($A2065="","",N2065&amp;"|"&amp;$F2065)</f>
        <v/>
      </c>
      <c r="P2065" s="77">
        <f>IF($A2065="",0,$H2065*설정!$C$23)</f>
        <v/>
      </c>
      <c r="Q2065" s="39">
        <f>IF($A2065="","",IF(O2065&lt;&gt;원인분석!$C$9,"",IF(AND(M2065&gt;=원인분석!$C$10,M2065&lt;=원인분석!$C$11),"당기",IF(AND(M2065&gt;=원인분석!$C$12,M2065&lt;=원인분석!$C$13),"비교",""))))</f>
        <v/>
      </c>
      <c r="R2065" s="9">
        <f>IF(Q2065="","",$K2065&amp;"")</f>
        <v/>
      </c>
      <c r="S2065" s="9">
        <f>IF(Q2065="","",IF(MATCH(R2065,$R$5:$R$100000,0)=ROW()-4,ROW(),""))</f>
        <v/>
      </c>
      <c r="T2065" s="9">
        <f>IF(Q2065="당기",ABS(P2065)+ROW()/1000000000,"")</f>
        <v/>
      </c>
      <c r="U2065" s="9">
        <f>IF(Q2065="비교",ABS(P2065)+ROW()/1000000000,"")</f>
        <v/>
      </c>
      <c r="V2065" s="39">
        <f>IF($A2065="","",IF(COUNTIF(변동분석!$E$7:$E$506,O2065)&gt;0,"Y","N"))</f>
        <v/>
      </c>
      <c r="W2065" s="39">
        <f>IF($A2065="","",IFERROR(INDEX(계정매핑!$D$5:$D$504,MATCH($F2065&amp;"",계정매핑!$A$5:$A$504,0)),"미매핑"))</f>
        <v/>
      </c>
      <c r="X2065" s="9">
        <f>IF($A2065="","",$F2065&amp;"")</f>
        <v/>
      </c>
    </row>
    <row r="2066">
      <c r="A2066" s="75" t="n">
        <v>2025</v>
      </c>
      <c r="B2066" s="75" t="n">
        <v>11</v>
      </c>
      <c r="C2066" s="75" t="inlineStr">
        <is>
          <t>5100002062</t>
        </is>
      </c>
      <c r="D2066" s="78" t="n">
        <v>45978</v>
      </c>
      <c r="E2066" s="75" t="inlineStr">
        <is>
          <t>KR</t>
        </is>
      </c>
      <c r="F2066" s="75" t="n">
        <v>63201000</v>
      </c>
      <c r="G2066" s="75" t="n">
        <v>1602</v>
      </c>
      <c r="H2066" s="76" t="n">
        <v>1813000</v>
      </c>
      <c r="I2066" s="75" t="inlineStr">
        <is>
          <t>11월 차량 유지 - H에너지</t>
        </is>
      </c>
      <c r="J2066" s="75" t="inlineStr">
        <is>
          <t>V10025</t>
        </is>
      </c>
      <c r="K2066" s="75" t="inlineStr">
        <is>
          <t>H에너지</t>
        </is>
      </c>
      <c r="M2066" s="9">
        <f>IF($A2066="","",VALUE($A2066&amp;"")*12+VALUE($B2066&amp;""))</f>
        <v/>
      </c>
      <c r="N2066" s="39">
        <f>IF($A2066="","",IFERROR(INDEX(부서매핑!$C$5:$C$504,MATCH($G2066&amp;"",부서매핑!$A$5:$A$504,0)),"미매핑"))</f>
        <v/>
      </c>
      <c r="O2066" s="9">
        <f>IF($A2066="","",N2066&amp;"|"&amp;$F2066)</f>
        <v/>
      </c>
      <c r="P2066" s="77">
        <f>IF($A2066="",0,$H2066*설정!$C$23)</f>
        <v/>
      </c>
      <c r="Q2066" s="39">
        <f>IF($A2066="","",IF(O2066&lt;&gt;원인분석!$C$9,"",IF(AND(M2066&gt;=원인분석!$C$10,M2066&lt;=원인분석!$C$11),"당기",IF(AND(M2066&gt;=원인분석!$C$12,M2066&lt;=원인분석!$C$13),"비교",""))))</f>
        <v/>
      </c>
      <c r="R2066" s="9">
        <f>IF(Q2066="","",$K2066&amp;"")</f>
        <v/>
      </c>
      <c r="S2066" s="9">
        <f>IF(Q2066="","",IF(MATCH(R2066,$R$5:$R$100000,0)=ROW()-4,ROW(),""))</f>
        <v/>
      </c>
      <c r="T2066" s="9">
        <f>IF(Q2066="당기",ABS(P2066)+ROW()/1000000000,"")</f>
        <v/>
      </c>
      <c r="U2066" s="9">
        <f>IF(Q2066="비교",ABS(P2066)+ROW()/1000000000,"")</f>
        <v/>
      </c>
      <c r="V2066" s="39">
        <f>IF($A2066="","",IF(COUNTIF(변동분석!$E$7:$E$506,O2066)&gt;0,"Y","N"))</f>
        <v/>
      </c>
      <c r="W2066" s="39">
        <f>IF($A2066="","",IFERROR(INDEX(계정매핑!$D$5:$D$504,MATCH($F2066&amp;"",계정매핑!$A$5:$A$504,0)),"미매핑"))</f>
        <v/>
      </c>
      <c r="X2066" s="9">
        <f>IF($A2066="","",$F2066&amp;"")</f>
        <v/>
      </c>
    </row>
    <row r="2067">
      <c r="A2067" s="75" t="n">
        <v>2025</v>
      </c>
      <c r="B2067" s="75" t="n">
        <v>11</v>
      </c>
      <c r="C2067" s="75" t="inlineStr">
        <is>
          <t>5100002063</t>
        </is>
      </c>
      <c r="D2067" s="78" t="n">
        <v>45979</v>
      </c>
      <c r="E2067" s="75" t="inlineStr">
        <is>
          <t>KR</t>
        </is>
      </c>
      <c r="F2067" s="75" t="n">
        <v>62101000</v>
      </c>
      <c r="G2067" s="75" t="n">
        <v>1601</v>
      </c>
      <c r="H2067" s="76" t="n">
        <v>1369000</v>
      </c>
      <c r="I2067" s="75" t="inlineStr">
        <is>
          <t>11월 국내출장 - M항공</t>
        </is>
      </c>
      <c r="J2067" s="75" t="inlineStr">
        <is>
          <t>V10001</t>
        </is>
      </c>
      <c r="K2067" s="75" t="inlineStr">
        <is>
          <t>M항공</t>
        </is>
      </c>
      <c r="M2067" s="9">
        <f>IF($A2067="","",VALUE($A2067&amp;"")*12+VALUE($B2067&amp;""))</f>
        <v/>
      </c>
      <c r="N2067" s="39">
        <f>IF($A2067="","",IFERROR(INDEX(부서매핑!$C$5:$C$504,MATCH($G2067&amp;"",부서매핑!$A$5:$A$504,0)),"미매핑"))</f>
        <v/>
      </c>
      <c r="O2067" s="9">
        <f>IF($A2067="","",N2067&amp;"|"&amp;$F2067)</f>
        <v/>
      </c>
      <c r="P2067" s="77">
        <f>IF($A2067="",0,$H2067*설정!$C$23)</f>
        <v/>
      </c>
      <c r="Q2067" s="39">
        <f>IF($A2067="","",IF(O2067&lt;&gt;원인분석!$C$9,"",IF(AND(M2067&gt;=원인분석!$C$10,M2067&lt;=원인분석!$C$11),"당기",IF(AND(M2067&gt;=원인분석!$C$12,M2067&lt;=원인분석!$C$13),"비교",""))))</f>
        <v/>
      </c>
      <c r="R2067" s="9">
        <f>IF(Q2067="","",$K2067&amp;"")</f>
        <v/>
      </c>
      <c r="S2067" s="9">
        <f>IF(Q2067="","",IF(MATCH(R2067,$R$5:$R$100000,0)=ROW()-4,ROW(),""))</f>
        <v/>
      </c>
      <c r="T2067" s="9">
        <f>IF(Q2067="당기",ABS(P2067)+ROW()/1000000000,"")</f>
        <v/>
      </c>
      <c r="U2067" s="9">
        <f>IF(Q2067="비교",ABS(P2067)+ROW()/1000000000,"")</f>
        <v/>
      </c>
      <c r="V2067" s="39">
        <f>IF($A2067="","",IF(COUNTIF(변동분석!$E$7:$E$506,O2067)&gt;0,"Y","N"))</f>
        <v/>
      </c>
      <c r="W2067" s="39">
        <f>IF($A2067="","",IFERROR(INDEX(계정매핑!$D$5:$D$504,MATCH($F2067&amp;"",계정매핑!$A$5:$A$504,0)),"미매핑"))</f>
        <v/>
      </c>
      <c r="X2067" s="9">
        <f>IF($A2067="","",$F2067&amp;"")</f>
        <v/>
      </c>
    </row>
    <row r="2068">
      <c r="A2068" s="75" t="n">
        <v>2025</v>
      </c>
      <c r="B2068" s="75" t="n">
        <v>11</v>
      </c>
      <c r="C2068" s="75" t="inlineStr">
        <is>
          <t>5100002064</t>
        </is>
      </c>
      <c r="D2068" s="78" t="n">
        <v>45979</v>
      </c>
      <c r="E2068" s="75" t="inlineStr">
        <is>
          <t>KR</t>
        </is>
      </c>
      <c r="F2068" s="75" t="n">
        <v>62101000</v>
      </c>
      <c r="G2068" s="75" t="n">
        <v>1601</v>
      </c>
      <c r="H2068" s="76" t="n">
        <v>1104000</v>
      </c>
      <c r="I2068" s="75" t="inlineStr">
        <is>
          <t>11월 국내출장 - M항공</t>
        </is>
      </c>
      <c r="J2068" s="75" t="inlineStr">
        <is>
          <t>V10001</t>
        </is>
      </c>
      <c r="K2068" s="75" t="inlineStr">
        <is>
          <t>M항공</t>
        </is>
      </c>
      <c r="M2068" s="9">
        <f>IF($A2068="","",VALUE($A2068&amp;"")*12+VALUE($B2068&amp;""))</f>
        <v/>
      </c>
      <c r="N2068" s="39">
        <f>IF($A2068="","",IFERROR(INDEX(부서매핑!$C$5:$C$504,MATCH($G2068&amp;"",부서매핑!$A$5:$A$504,0)),"미매핑"))</f>
        <v/>
      </c>
      <c r="O2068" s="9">
        <f>IF($A2068="","",N2068&amp;"|"&amp;$F2068)</f>
        <v/>
      </c>
      <c r="P2068" s="77">
        <f>IF($A2068="",0,$H2068*설정!$C$23)</f>
        <v/>
      </c>
      <c r="Q2068" s="39">
        <f>IF($A2068="","",IF(O2068&lt;&gt;원인분석!$C$9,"",IF(AND(M2068&gt;=원인분석!$C$10,M2068&lt;=원인분석!$C$11),"당기",IF(AND(M2068&gt;=원인분석!$C$12,M2068&lt;=원인분석!$C$13),"비교",""))))</f>
        <v/>
      </c>
      <c r="R2068" s="9">
        <f>IF(Q2068="","",$K2068&amp;"")</f>
        <v/>
      </c>
      <c r="S2068" s="9">
        <f>IF(Q2068="","",IF(MATCH(R2068,$R$5:$R$100000,0)=ROW()-4,ROW(),""))</f>
        <v/>
      </c>
      <c r="T2068" s="9">
        <f>IF(Q2068="당기",ABS(P2068)+ROW()/1000000000,"")</f>
        <v/>
      </c>
      <c r="U2068" s="9">
        <f>IF(Q2068="비교",ABS(P2068)+ROW()/1000000000,"")</f>
        <v/>
      </c>
      <c r="V2068" s="39">
        <f>IF($A2068="","",IF(COUNTIF(변동분석!$E$7:$E$506,O2068)&gt;0,"Y","N"))</f>
        <v/>
      </c>
      <c r="W2068" s="39">
        <f>IF($A2068="","",IFERROR(INDEX(계정매핑!$D$5:$D$504,MATCH($F2068&amp;"",계정매핑!$A$5:$A$504,0)),"미매핑"))</f>
        <v/>
      </c>
      <c r="X2068" s="9">
        <f>IF($A2068="","",$F2068&amp;"")</f>
        <v/>
      </c>
    </row>
    <row r="2069">
      <c r="A2069" s="75" t="n">
        <v>2025</v>
      </c>
      <c r="B2069" s="75" t="n">
        <v>11</v>
      </c>
      <c r="C2069" s="75" t="inlineStr">
        <is>
          <t>5100002065</t>
        </is>
      </c>
      <c r="D2069" s="78" t="n">
        <v>45979</v>
      </c>
      <c r="E2069" s="75" t="inlineStr">
        <is>
          <t>KR</t>
        </is>
      </c>
      <c r="F2069" s="75" t="n">
        <v>62101000</v>
      </c>
      <c r="G2069" s="75" t="n">
        <v>1602</v>
      </c>
      <c r="H2069" s="76" t="n">
        <v>1147000</v>
      </c>
      <c r="I2069" s="75" t="inlineStr">
        <is>
          <t>11월 국내출장 - (법인카드)</t>
        </is>
      </c>
      <c r="J2069" s="75" t="inlineStr">
        <is>
          <t>V10008</t>
        </is>
      </c>
      <c r="K2069" s="75" t="inlineStr">
        <is>
          <t>(법인카드)</t>
        </is>
      </c>
      <c r="M2069" s="9">
        <f>IF($A2069="","",VALUE($A2069&amp;"")*12+VALUE($B2069&amp;""))</f>
        <v/>
      </c>
      <c r="N2069" s="39">
        <f>IF($A2069="","",IFERROR(INDEX(부서매핑!$C$5:$C$504,MATCH($G2069&amp;"",부서매핑!$A$5:$A$504,0)),"미매핑"))</f>
        <v/>
      </c>
      <c r="O2069" s="9">
        <f>IF($A2069="","",N2069&amp;"|"&amp;$F2069)</f>
        <v/>
      </c>
      <c r="P2069" s="77">
        <f>IF($A2069="",0,$H2069*설정!$C$23)</f>
        <v/>
      </c>
      <c r="Q2069" s="39">
        <f>IF($A2069="","",IF(O2069&lt;&gt;원인분석!$C$9,"",IF(AND(M2069&gt;=원인분석!$C$10,M2069&lt;=원인분석!$C$11),"당기",IF(AND(M2069&gt;=원인분석!$C$12,M2069&lt;=원인분석!$C$13),"비교",""))))</f>
        <v/>
      </c>
      <c r="R2069" s="9">
        <f>IF(Q2069="","",$K2069&amp;"")</f>
        <v/>
      </c>
      <c r="S2069" s="9">
        <f>IF(Q2069="","",IF(MATCH(R2069,$R$5:$R$100000,0)=ROW()-4,ROW(),""))</f>
        <v/>
      </c>
      <c r="T2069" s="9">
        <f>IF(Q2069="당기",ABS(P2069)+ROW()/1000000000,"")</f>
        <v/>
      </c>
      <c r="U2069" s="9">
        <f>IF(Q2069="비교",ABS(P2069)+ROW()/1000000000,"")</f>
        <v/>
      </c>
      <c r="V2069" s="39">
        <f>IF($A2069="","",IF(COUNTIF(변동분석!$E$7:$E$506,O2069)&gt;0,"Y","N"))</f>
        <v/>
      </c>
      <c r="W2069" s="39">
        <f>IF($A2069="","",IFERROR(INDEX(계정매핑!$D$5:$D$504,MATCH($F2069&amp;"",계정매핑!$A$5:$A$504,0)),"미매핑"))</f>
        <v/>
      </c>
      <c r="X2069" s="9">
        <f>IF($A2069="","",$F2069&amp;"")</f>
        <v/>
      </c>
    </row>
    <row r="2070">
      <c r="A2070" s="75" t="n">
        <v>2025</v>
      </c>
      <c r="B2070" s="75" t="n">
        <v>11</v>
      </c>
      <c r="C2070" s="75" t="inlineStr">
        <is>
          <t>5100002066</t>
        </is>
      </c>
      <c r="D2070" s="78" t="n">
        <v>45979</v>
      </c>
      <c r="E2070" s="75" t="inlineStr">
        <is>
          <t>KR</t>
        </is>
      </c>
      <c r="F2070" s="75" t="n">
        <v>62102000</v>
      </c>
      <c r="G2070" s="75" t="n">
        <v>1301</v>
      </c>
      <c r="H2070" s="76" t="n">
        <v>115000</v>
      </c>
      <c r="I2070" s="75" t="inlineStr">
        <is>
          <t>11월 해외출장 - N호텔</t>
        </is>
      </c>
      <c r="J2070" s="75" t="inlineStr">
        <is>
          <t>V10007</t>
        </is>
      </c>
      <c r="K2070" s="75" t="inlineStr">
        <is>
          <t>N호텔</t>
        </is>
      </c>
      <c r="M2070" s="9">
        <f>IF($A2070="","",VALUE($A2070&amp;"")*12+VALUE($B2070&amp;""))</f>
        <v/>
      </c>
      <c r="N2070" s="39">
        <f>IF($A2070="","",IFERROR(INDEX(부서매핑!$C$5:$C$504,MATCH($G2070&amp;"",부서매핑!$A$5:$A$504,0)),"미매핑"))</f>
        <v/>
      </c>
      <c r="O2070" s="9">
        <f>IF($A2070="","",N2070&amp;"|"&amp;$F2070)</f>
        <v/>
      </c>
      <c r="P2070" s="77">
        <f>IF($A2070="",0,$H2070*설정!$C$23)</f>
        <v/>
      </c>
      <c r="Q2070" s="39">
        <f>IF($A2070="","",IF(O2070&lt;&gt;원인분석!$C$9,"",IF(AND(M2070&gt;=원인분석!$C$10,M2070&lt;=원인분석!$C$11),"당기",IF(AND(M2070&gt;=원인분석!$C$12,M2070&lt;=원인분석!$C$13),"비교",""))))</f>
        <v/>
      </c>
      <c r="R2070" s="9">
        <f>IF(Q2070="","",$K2070&amp;"")</f>
        <v/>
      </c>
      <c r="S2070" s="9">
        <f>IF(Q2070="","",IF(MATCH(R2070,$R$5:$R$100000,0)=ROW()-4,ROW(),""))</f>
        <v/>
      </c>
      <c r="T2070" s="9">
        <f>IF(Q2070="당기",ABS(P2070)+ROW()/1000000000,"")</f>
        <v/>
      </c>
      <c r="U2070" s="9">
        <f>IF(Q2070="비교",ABS(P2070)+ROW()/1000000000,"")</f>
        <v/>
      </c>
      <c r="V2070" s="39">
        <f>IF($A2070="","",IF(COUNTIF(변동분석!$E$7:$E$506,O2070)&gt;0,"Y","N"))</f>
        <v/>
      </c>
      <c r="W2070" s="39">
        <f>IF($A2070="","",IFERROR(INDEX(계정매핑!$D$5:$D$504,MATCH($F2070&amp;"",계정매핑!$A$5:$A$504,0)),"미매핑"))</f>
        <v/>
      </c>
      <c r="X2070" s="9">
        <f>IF($A2070="","",$F2070&amp;"")</f>
        <v/>
      </c>
    </row>
    <row r="2071">
      <c r="A2071" s="75" t="n">
        <v>2025</v>
      </c>
      <c r="B2071" s="75" t="n">
        <v>11</v>
      </c>
      <c r="C2071" s="75" t="inlineStr">
        <is>
          <t>5100002067</t>
        </is>
      </c>
      <c r="D2071" s="78" t="n">
        <v>45979</v>
      </c>
      <c r="E2071" s="75" t="inlineStr">
        <is>
          <t>KR</t>
        </is>
      </c>
      <c r="F2071" s="75" t="n">
        <v>62102000</v>
      </c>
      <c r="G2071" s="75" t="n">
        <v>1401</v>
      </c>
      <c r="H2071" s="76" t="n">
        <v>58000</v>
      </c>
      <c r="I2071" s="75" t="inlineStr">
        <is>
          <t>11월 해외출장 - N호텔</t>
        </is>
      </c>
      <c r="J2071" s="75" t="inlineStr">
        <is>
          <t>V10007</t>
        </is>
      </c>
      <c r="K2071" s="75" t="inlineStr">
        <is>
          <t>N호텔</t>
        </is>
      </c>
      <c r="M2071" s="9">
        <f>IF($A2071="","",VALUE($A2071&amp;"")*12+VALUE($B2071&amp;""))</f>
        <v/>
      </c>
      <c r="N2071" s="39">
        <f>IF($A2071="","",IFERROR(INDEX(부서매핑!$C$5:$C$504,MATCH($G2071&amp;"",부서매핑!$A$5:$A$504,0)),"미매핑"))</f>
        <v/>
      </c>
      <c r="O2071" s="9">
        <f>IF($A2071="","",N2071&amp;"|"&amp;$F2071)</f>
        <v/>
      </c>
      <c r="P2071" s="77">
        <f>IF($A2071="",0,$H2071*설정!$C$23)</f>
        <v/>
      </c>
      <c r="Q2071" s="39">
        <f>IF($A2071="","",IF(O2071&lt;&gt;원인분석!$C$9,"",IF(AND(M2071&gt;=원인분석!$C$10,M2071&lt;=원인분석!$C$11),"당기",IF(AND(M2071&gt;=원인분석!$C$12,M2071&lt;=원인분석!$C$13),"비교",""))))</f>
        <v/>
      </c>
      <c r="R2071" s="9">
        <f>IF(Q2071="","",$K2071&amp;"")</f>
        <v/>
      </c>
      <c r="S2071" s="9">
        <f>IF(Q2071="","",IF(MATCH(R2071,$R$5:$R$100000,0)=ROW()-4,ROW(),""))</f>
        <v/>
      </c>
      <c r="T2071" s="9">
        <f>IF(Q2071="당기",ABS(P2071)+ROW()/1000000000,"")</f>
        <v/>
      </c>
      <c r="U2071" s="9">
        <f>IF(Q2071="비교",ABS(P2071)+ROW()/1000000000,"")</f>
        <v/>
      </c>
      <c r="V2071" s="39">
        <f>IF($A2071="","",IF(COUNTIF(변동분석!$E$7:$E$506,O2071)&gt;0,"Y","N"))</f>
        <v/>
      </c>
      <c r="W2071" s="39">
        <f>IF($A2071="","",IFERROR(INDEX(계정매핑!$D$5:$D$504,MATCH($F2071&amp;"",계정매핑!$A$5:$A$504,0)),"미매핑"))</f>
        <v/>
      </c>
      <c r="X2071" s="9">
        <f>IF($A2071="","",$F2071&amp;"")</f>
        <v/>
      </c>
    </row>
    <row r="2072">
      <c r="A2072" s="75" t="n">
        <v>2025</v>
      </c>
      <c r="B2072" s="75" t="n">
        <v>11</v>
      </c>
      <c r="C2072" s="75" t="inlineStr">
        <is>
          <t>5100002068</t>
        </is>
      </c>
      <c r="D2072" s="78" t="n">
        <v>45979</v>
      </c>
      <c r="E2072" s="75" t="inlineStr">
        <is>
          <t>KR</t>
        </is>
      </c>
      <c r="F2072" s="75" t="n">
        <v>62201000</v>
      </c>
      <c r="G2072" s="75" t="n">
        <v>1401</v>
      </c>
      <c r="H2072" s="76" t="n">
        <v>161000</v>
      </c>
      <c r="I2072" s="75" t="inlineStr">
        <is>
          <t>11월 통신요금 - P통신</t>
        </is>
      </c>
      <c r="J2072" s="75" t="inlineStr">
        <is>
          <t>V10011</t>
        </is>
      </c>
      <c r="K2072" s="75" t="inlineStr">
        <is>
          <t>P통신</t>
        </is>
      </c>
      <c r="M2072" s="9">
        <f>IF($A2072="","",VALUE($A2072&amp;"")*12+VALUE($B2072&amp;""))</f>
        <v/>
      </c>
      <c r="N2072" s="39">
        <f>IF($A2072="","",IFERROR(INDEX(부서매핑!$C$5:$C$504,MATCH($G2072&amp;"",부서매핑!$A$5:$A$504,0)),"미매핑"))</f>
        <v/>
      </c>
      <c r="O2072" s="9">
        <f>IF($A2072="","",N2072&amp;"|"&amp;$F2072)</f>
        <v/>
      </c>
      <c r="P2072" s="77">
        <f>IF($A2072="",0,$H2072*설정!$C$23)</f>
        <v/>
      </c>
      <c r="Q2072" s="39">
        <f>IF($A2072="","",IF(O2072&lt;&gt;원인분석!$C$9,"",IF(AND(M2072&gt;=원인분석!$C$10,M2072&lt;=원인분석!$C$11),"당기",IF(AND(M2072&gt;=원인분석!$C$12,M2072&lt;=원인분석!$C$13),"비교",""))))</f>
        <v/>
      </c>
      <c r="R2072" s="9">
        <f>IF(Q2072="","",$K2072&amp;"")</f>
        <v/>
      </c>
      <c r="S2072" s="9">
        <f>IF(Q2072="","",IF(MATCH(R2072,$R$5:$R$100000,0)=ROW()-4,ROW(),""))</f>
        <v/>
      </c>
      <c r="T2072" s="9">
        <f>IF(Q2072="당기",ABS(P2072)+ROW()/1000000000,"")</f>
        <v/>
      </c>
      <c r="U2072" s="9">
        <f>IF(Q2072="비교",ABS(P2072)+ROW()/1000000000,"")</f>
        <v/>
      </c>
      <c r="V2072" s="39">
        <f>IF($A2072="","",IF(COUNTIF(변동분석!$E$7:$E$506,O2072)&gt;0,"Y","N"))</f>
        <v/>
      </c>
      <c r="W2072" s="39">
        <f>IF($A2072="","",IFERROR(INDEX(계정매핑!$D$5:$D$504,MATCH($F2072&amp;"",계정매핑!$A$5:$A$504,0)),"미매핑"))</f>
        <v/>
      </c>
      <c r="X2072" s="9">
        <f>IF($A2072="","",$F2072&amp;"")</f>
        <v/>
      </c>
    </row>
    <row r="2073">
      <c r="A2073" s="75" t="n">
        <v>2025</v>
      </c>
      <c r="B2073" s="75" t="n">
        <v>11</v>
      </c>
      <c r="C2073" s="75" t="inlineStr">
        <is>
          <t>5100002069</t>
        </is>
      </c>
      <c r="D2073" s="78" t="n">
        <v>45979</v>
      </c>
      <c r="E2073" s="75" t="inlineStr">
        <is>
          <t>KR</t>
        </is>
      </c>
      <c r="F2073" s="75" t="n">
        <v>62201000</v>
      </c>
      <c r="G2073" s="75" t="n">
        <v>1602</v>
      </c>
      <c r="H2073" s="76" t="n">
        <v>420000</v>
      </c>
      <c r="I2073" s="75" t="inlineStr">
        <is>
          <t>11월 통신요금 - P통신</t>
        </is>
      </c>
      <c r="J2073" s="75" t="inlineStr">
        <is>
          <t>V10011</t>
        </is>
      </c>
      <c r="K2073" s="75" t="inlineStr">
        <is>
          <t>P통신</t>
        </is>
      </c>
      <c r="M2073" s="9">
        <f>IF($A2073="","",VALUE($A2073&amp;"")*12+VALUE($B2073&amp;""))</f>
        <v/>
      </c>
      <c r="N2073" s="39">
        <f>IF($A2073="","",IFERROR(INDEX(부서매핑!$C$5:$C$504,MATCH($G2073&amp;"",부서매핑!$A$5:$A$504,0)),"미매핑"))</f>
        <v/>
      </c>
      <c r="O2073" s="9">
        <f>IF($A2073="","",N2073&amp;"|"&amp;$F2073)</f>
        <v/>
      </c>
      <c r="P2073" s="77">
        <f>IF($A2073="",0,$H2073*설정!$C$23)</f>
        <v/>
      </c>
      <c r="Q2073" s="39">
        <f>IF($A2073="","",IF(O2073&lt;&gt;원인분석!$C$9,"",IF(AND(M2073&gt;=원인분석!$C$10,M2073&lt;=원인분석!$C$11),"당기",IF(AND(M2073&gt;=원인분석!$C$12,M2073&lt;=원인분석!$C$13),"비교",""))))</f>
        <v/>
      </c>
      <c r="R2073" s="9">
        <f>IF(Q2073="","",$K2073&amp;"")</f>
        <v/>
      </c>
      <c r="S2073" s="9">
        <f>IF(Q2073="","",IF(MATCH(R2073,$R$5:$R$100000,0)=ROW()-4,ROW(),""))</f>
        <v/>
      </c>
      <c r="T2073" s="9">
        <f>IF(Q2073="당기",ABS(P2073)+ROW()/1000000000,"")</f>
        <v/>
      </c>
      <c r="U2073" s="9">
        <f>IF(Q2073="비교",ABS(P2073)+ROW()/1000000000,"")</f>
        <v/>
      </c>
      <c r="V2073" s="39">
        <f>IF($A2073="","",IF(COUNTIF(변동분석!$E$7:$E$506,O2073)&gt;0,"Y","N"))</f>
        <v/>
      </c>
      <c r="W2073" s="39">
        <f>IF($A2073="","",IFERROR(INDEX(계정매핑!$D$5:$D$504,MATCH($F2073&amp;"",계정매핑!$A$5:$A$504,0)),"미매핑"))</f>
        <v/>
      </c>
      <c r="X2073" s="9">
        <f>IF($A2073="","",$F2073&amp;"")</f>
        <v/>
      </c>
    </row>
    <row r="2074">
      <c r="A2074" s="75" t="n">
        <v>2025</v>
      </c>
      <c r="B2074" s="75" t="n">
        <v>11</v>
      </c>
      <c r="C2074" s="75" t="inlineStr">
        <is>
          <t>5100002070</t>
        </is>
      </c>
      <c r="D2074" s="78" t="n">
        <v>45979</v>
      </c>
      <c r="E2074" s="75" t="inlineStr">
        <is>
          <t>KR</t>
        </is>
      </c>
      <c r="F2074" s="75" t="n">
        <v>62301000</v>
      </c>
      <c r="G2074" s="75" t="n">
        <v>1201</v>
      </c>
      <c r="H2074" s="76" t="n">
        <v>152000</v>
      </c>
      <c r="I2074" s="75" t="inlineStr">
        <is>
          <t>11월 소모품 구입 - R문구</t>
        </is>
      </c>
      <c r="J2074" s="75" t="inlineStr">
        <is>
          <t>V10018</t>
        </is>
      </c>
      <c r="K2074" s="75" t="inlineStr">
        <is>
          <t>R문구</t>
        </is>
      </c>
      <c r="M2074" s="9">
        <f>IF($A2074="","",VALUE($A2074&amp;"")*12+VALUE($B2074&amp;""))</f>
        <v/>
      </c>
      <c r="N2074" s="39">
        <f>IF($A2074="","",IFERROR(INDEX(부서매핑!$C$5:$C$504,MATCH($G2074&amp;"",부서매핑!$A$5:$A$504,0)),"미매핑"))</f>
        <v/>
      </c>
      <c r="O2074" s="9">
        <f>IF($A2074="","",N2074&amp;"|"&amp;$F2074)</f>
        <v/>
      </c>
      <c r="P2074" s="77">
        <f>IF($A2074="",0,$H2074*설정!$C$23)</f>
        <v/>
      </c>
      <c r="Q2074" s="39">
        <f>IF($A2074="","",IF(O2074&lt;&gt;원인분석!$C$9,"",IF(AND(M2074&gt;=원인분석!$C$10,M2074&lt;=원인분석!$C$11),"당기",IF(AND(M2074&gt;=원인분석!$C$12,M2074&lt;=원인분석!$C$13),"비교",""))))</f>
        <v/>
      </c>
      <c r="R2074" s="9">
        <f>IF(Q2074="","",$K2074&amp;"")</f>
        <v/>
      </c>
      <c r="S2074" s="9">
        <f>IF(Q2074="","",IF(MATCH(R2074,$R$5:$R$100000,0)=ROW()-4,ROW(),""))</f>
        <v/>
      </c>
      <c r="T2074" s="9">
        <f>IF(Q2074="당기",ABS(P2074)+ROW()/1000000000,"")</f>
        <v/>
      </c>
      <c r="U2074" s="9">
        <f>IF(Q2074="비교",ABS(P2074)+ROW()/1000000000,"")</f>
        <v/>
      </c>
      <c r="V2074" s="39">
        <f>IF($A2074="","",IF(COUNTIF(변동분석!$E$7:$E$506,O2074)&gt;0,"Y","N"))</f>
        <v/>
      </c>
      <c r="W2074" s="39">
        <f>IF($A2074="","",IFERROR(INDEX(계정매핑!$D$5:$D$504,MATCH($F2074&amp;"",계정매핑!$A$5:$A$504,0)),"미매핑"))</f>
        <v/>
      </c>
      <c r="X2074" s="9">
        <f>IF($A2074="","",$F2074&amp;"")</f>
        <v/>
      </c>
    </row>
    <row r="2075">
      <c r="A2075" s="75" t="n">
        <v>2025</v>
      </c>
      <c r="B2075" s="75" t="n">
        <v>11</v>
      </c>
      <c r="C2075" s="75" t="inlineStr">
        <is>
          <t>5100002071</t>
        </is>
      </c>
      <c r="D2075" s="78" t="n">
        <v>45979</v>
      </c>
      <c r="E2075" s="75" t="inlineStr">
        <is>
          <t>KR</t>
        </is>
      </c>
      <c r="F2075" s="75" t="n">
        <v>62301000</v>
      </c>
      <c r="G2075" s="75" t="n">
        <v>1502</v>
      </c>
      <c r="H2075" s="76" t="n">
        <v>218000</v>
      </c>
      <c r="I2075" s="75" t="inlineStr">
        <is>
          <t>11월 소모품 구입 - Q오피스</t>
        </is>
      </c>
      <c r="J2075" s="75" t="inlineStr">
        <is>
          <t>V10003</t>
        </is>
      </c>
      <c r="K2075" s="75" t="inlineStr">
        <is>
          <t>Q오피스</t>
        </is>
      </c>
      <c r="M2075" s="9">
        <f>IF($A2075="","",VALUE($A2075&amp;"")*12+VALUE($B2075&amp;""))</f>
        <v/>
      </c>
      <c r="N2075" s="39">
        <f>IF($A2075="","",IFERROR(INDEX(부서매핑!$C$5:$C$504,MATCH($G2075&amp;"",부서매핑!$A$5:$A$504,0)),"미매핑"))</f>
        <v/>
      </c>
      <c r="O2075" s="9">
        <f>IF($A2075="","",N2075&amp;"|"&amp;$F2075)</f>
        <v/>
      </c>
      <c r="P2075" s="77">
        <f>IF($A2075="",0,$H2075*설정!$C$23)</f>
        <v/>
      </c>
      <c r="Q2075" s="39">
        <f>IF($A2075="","",IF(O2075&lt;&gt;원인분석!$C$9,"",IF(AND(M2075&gt;=원인분석!$C$10,M2075&lt;=원인분석!$C$11),"당기",IF(AND(M2075&gt;=원인분석!$C$12,M2075&lt;=원인분석!$C$13),"비교",""))))</f>
        <v/>
      </c>
      <c r="R2075" s="9">
        <f>IF(Q2075="","",$K2075&amp;"")</f>
        <v/>
      </c>
      <c r="S2075" s="9">
        <f>IF(Q2075="","",IF(MATCH(R2075,$R$5:$R$100000,0)=ROW()-4,ROW(),""))</f>
        <v/>
      </c>
      <c r="T2075" s="9">
        <f>IF(Q2075="당기",ABS(P2075)+ROW()/1000000000,"")</f>
        <v/>
      </c>
      <c r="U2075" s="9">
        <f>IF(Q2075="비교",ABS(P2075)+ROW()/1000000000,"")</f>
        <v/>
      </c>
      <c r="V2075" s="39">
        <f>IF($A2075="","",IF(COUNTIF(변동분석!$E$7:$E$506,O2075)&gt;0,"Y","N"))</f>
        <v/>
      </c>
      <c r="W2075" s="39">
        <f>IF($A2075="","",IFERROR(INDEX(계정매핑!$D$5:$D$504,MATCH($F2075&amp;"",계정매핑!$A$5:$A$504,0)),"미매핑"))</f>
        <v/>
      </c>
      <c r="X2075" s="9">
        <f>IF($A2075="","",$F2075&amp;"")</f>
        <v/>
      </c>
    </row>
    <row r="2076">
      <c r="A2076" s="75" t="n">
        <v>2025</v>
      </c>
      <c r="B2076" s="75" t="n">
        <v>11</v>
      </c>
      <c r="C2076" s="75" t="inlineStr">
        <is>
          <t>5100002072</t>
        </is>
      </c>
      <c r="D2076" s="78" t="n">
        <v>45979</v>
      </c>
      <c r="E2076" s="75" t="inlineStr">
        <is>
          <t>KR</t>
        </is>
      </c>
      <c r="F2076" s="75" t="n">
        <v>62501000</v>
      </c>
      <c r="G2076" s="75" t="n">
        <v>1401</v>
      </c>
      <c r="H2076" s="76" t="n">
        <v>129000</v>
      </c>
      <c r="I2076" s="75" t="inlineStr">
        <is>
          <t>11월 회의 다과 - T케이터링</t>
        </is>
      </c>
      <c r="J2076" s="75" t="inlineStr">
        <is>
          <t>V10005</t>
        </is>
      </c>
      <c r="K2076" s="75" t="inlineStr">
        <is>
          <t>T케이터링</t>
        </is>
      </c>
      <c r="M2076" s="9">
        <f>IF($A2076="","",VALUE($A2076&amp;"")*12+VALUE($B2076&amp;""))</f>
        <v/>
      </c>
      <c r="N2076" s="39">
        <f>IF($A2076="","",IFERROR(INDEX(부서매핑!$C$5:$C$504,MATCH($G2076&amp;"",부서매핑!$A$5:$A$504,0)),"미매핑"))</f>
        <v/>
      </c>
      <c r="O2076" s="9">
        <f>IF($A2076="","",N2076&amp;"|"&amp;$F2076)</f>
        <v/>
      </c>
      <c r="P2076" s="77">
        <f>IF($A2076="",0,$H2076*설정!$C$23)</f>
        <v/>
      </c>
      <c r="Q2076" s="39">
        <f>IF($A2076="","",IF(O2076&lt;&gt;원인분석!$C$9,"",IF(AND(M2076&gt;=원인분석!$C$10,M2076&lt;=원인분석!$C$11),"당기",IF(AND(M2076&gt;=원인분석!$C$12,M2076&lt;=원인분석!$C$13),"비교",""))))</f>
        <v/>
      </c>
      <c r="R2076" s="9">
        <f>IF(Q2076="","",$K2076&amp;"")</f>
        <v/>
      </c>
      <c r="S2076" s="9">
        <f>IF(Q2076="","",IF(MATCH(R2076,$R$5:$R$100000,0)=ROW()-4,ROW(),""))</f>
        <v/>
      </c>
      <c r="T2076" s="9">
        <f>IF(Q2076="당기",ABS(P2076)+ROW()/1000000000,"")</f>
        <v/>
      </c>
      <c r="U2076" s="9">
        <f>IF(Q2076="비교",ABS(P2076)+ROW()/1000000000,"")</f>
        <v/>
      </c>
      <c r="V2076" s="39">
        <f>IF($A2076="","",IF(COUNTIF(변동분석!$E$7:$E$506,O2076)&gt;0,"Y","N"))</f>
        <v/>
      </c>
      <c r="W2076" s="39">
        <f>IF($A2076="","",IFERROR(INDEX(계정매핑!$D$5:$D$504,MATCH($F2076&amp;"",계정매핑!$A$5:$A$504,0)),"미매핑"))</f>
        <v/>
      </c>
      <c r="X2076" s="9">
        <f>IF($A2076="","",$F2076&amp;"")</f>
        <v/>
      </c>
    </row>
    <row r="2077">
      <c r="A2077" s="75" t="n">
        <v>2025</v>
      </c>
      <c r="B2077" s="75" t="n">
        <v>11</v>
      </c>
      <c r="C2077" s="75" t="inlineStr">
        <is>
          <t>5100002073</t>
        </is>
      </c>
      <c r="D2077" s="78" t="n">
        <v>45979</v>
      </c>
      <c r="E2077" s="75" t="inlineStr">
        <is>
          <t>KR</t>
        </is>
      </c>
      <c r="F2077" s="75" t="n">
        <v>62601000</v>
      </c>
      <c r="G2077" s="75" t="n">
        <v>1101</v>
      </c>
      <c r="H2077" s="76" t="n">
        <v>3213000</v>
      </c>
      <c r="I2077" s="75" t="inlineStr">
        <is>
          <t>11월 업무추진 - (법인카드)</t>
        </is>
      </c>
      <c r="J2077" s="75" t="inlineStr">
        <is>
          <t>V10008</t>
        </is>
      </c>
      <c r="K2077" s="75" t="inlineStr">
        <is>
          <t>(법인카드)</t>
        </is>
      </c>
      <c r="M2077" s="9">
        <f>IF($A2077="","",VALUE($A2077&amp;"")*12+VALUE($B2077&amp;""))</f>
        <v/>
      </c>
      <c r="N2077" s="39">
        <f>IF($A2077="","",IFERROR(INDEX(부서매핑!$C$5:$C$504,MATCH($G2077&amp;"",부서매핑!$A$5:$A$504,0)),"미매핑"))</f>
        <v/>
      </c>
      <c r="O2077" s="9">
        <f>IF($A2077="","",N2077&amp;"|"&amp;$F2077)</f>
        <v/>
      </c>
      <c r="P2077" s="77">
        <f>IF($A2077="",0,$H2077*설정!$C$23)</f>
        <v/>
      </c>
      <c r="Q2077" s="39">
        <f>IF($A2077="","",IF(O2077&lt;&gt;원인분석!$C$9,"",IF(AND(M2077&gt;=원인분석!$C$10,M2077&lt;=원인분석!$C$11),"당기",IF(AND(M2077&gt;=원인분석!$C$12,M2077&lt;=원인분석!$C$13),"비교",""))))</f>
        <v/>
      </c>
      <c r="R2077" s="9">
        <f>IF(Q2077="","",$K2077&amp;"")</f>
        <v/>
      </c>
      <c r="S2077" s="9">
        <f>IF(Q2077="","",IF(MATCH(R2077,$R$5:$R$100000,0)=ROW()-4,ROW(),""))</f>
        <v/>
      </c>
      <c r="T2077" s="9">
        <f>IF(Q2077="당기",ABS(P2077)+ROW()/1000000000,"")</f>
        <v/>
      </c>
      <c r="U2077" s="9">
        <f>IF(Q2077="비교",ABS(P2077)+ROW()/1000000000,"")</f>
        <v/>
      </c>
      <c r="V2077" s="39">
        <f>IF($A2077="","",IF(COUNTIF(변동분석!$E$7:$E$506,O2077)&gt;0,"Y","N"))</f>
        <v/>
      </c>
      <c r="W2077" s="39">
        <f>IF($A2077="","",IFERROR(INDEX(계정매핑!$D$5:$D$504,MATCH($F2077&amp;"",계정매핑!$A$5:$A$504,0)),"미매핑"))</f>
        <v/>
      </c>
      <c r="X2077" s="9">
        <f>IF($A2077="","",$F2077&amp;"")</f>
        <v/>
      </c>
    </row>
    <row r="2078">
      <c r="A2078" s="75" t="n">
        <v>2025</v>
      </c>
      <c r="B2078" s="75" t="n">
        <v>11</v>
      </c>
      <c r="C2078" s="75" t="inlineStr">
        <is>
          <t>5100002074</t>
        </is>
      </c>
      <c r="D2078" s="78" t="n">
        <v>45979</v>
      </c>
      <c r="E2078" s="75" t="inlineStr">
        <is>
          <t>KR</t>
        </is>
      </c>
      <c r="F2078" s="75" t="n">
        <v>62902000</v>
      </c>
      <c r="G2078" s="75" t="n">
        <v>1201</v>
      </c>
      <c r="H2078" s="76" t="n">
        <v>3736000</v>
      </c>
      <c r="I2078" s="75" t="inlineStr">
        <is>
          <t>11월 업무 위탁 수수료 - X서비스</t>
        </is>
      </c>
      <c r="J2078" s="75" t="inlineStr">
        <is>
          <t>V10016</t>
        </is>
      </c>
      <c r="K2078" s="75" t="inlineStr">
        <is>
          <t>X서비스</t>
        </is>
      </c>
      <c r="M2078" s="9">
        <f>IF($A2078="","",VALUE($A2078&amp;"")*12+VALUE($B2078&amp;""))</f>
        <v/>
      </c>
      <c r="N2078" s="39">
        <f>IF($A2078="","",IFERROR(INDEX(부서매핑!$C$5:$C$504,MATCH($G2078&amp;"",부서매핑!$A$5:$A$504,0)),"미매핑"))</f>
        <v/>
      </c>
      <c r="O2078" s="9">
        <f>IF($A2078="","",N2078&amp;"|"&amp;$F2078)</f>
        <v/>
      </c>
      <c r="P2078" s="77">
        <f>IF($A2078="",0,$H2078*설정!$C$23)</f>
        <v/>
      </c>
      <c r="Q2078" s="39">
        <f>IF($A2078="","",IF(O2078&lt;&gt;원인분석!$C$9,"",IF(AND(M2078&gt;=원인분석!$C$10,M2078&lt;=원인분석!$C$11),"당기",IF(AND(M2078&gt;=원인분석!$C$12,M2078&lt;=원인분석!$C$13),"비교",""))))</f>
        <v/>
      </c>
      <c r="R2078" s="9">
        <f>IF(Q2078="","",$K2078&amp;"")</f>
        <v/>
      </c>
      <c r="S2078" s="9">
        <f>IF(Q2078="","",IF(MATCH(R2078,$R$5:$R$100000,0)=ROW()-4,ROW(),""))</f>
        <v/>
      </c>
      <c r="T2078" s="9">
        <f>IF(Q2078="당기",ABS(P2078)+ROW()/1000000000,"")</f>
        <v/>
      </c>
      <c r="U2078" s="9">
        <f>IF(Q2078="비교",ABS(P2078)+ROW()/1000000000,"")</f>
        <v/>
      </c>
      <c r="V2078" s="39">
        <f>IF($A2078="","",IF(COUNTIF(변동분석!$E$7:$E$506,O2078)&gt;0,"Y","N"))</f>
        <v/>
      </c>
      <c r="W2078" s="39">
        <f>IF($A2078="","",IFERROR(INDEX(계정매핑!$D$5:$D$504,MATCH($F2078&amp;"",계정매핑!$A$5:$A$504,0)),"미매핑"))</f>
        <v/>
      </c>
      <c r="X2078" s="9">
        <f>IF($A2078="","",$F2078&amp;"")</f>
        <v/>
      </c>
    </row>
    <row r="2079">
      <c r="A2079" s="75" t="n">
        <v>2025</v>
      </c>
      <c r="B2079" s="75" t="n">
        <v>11</v>
      </c>
      <c r="C2079" s="75" t="inlineStr">
        <is>
          <t>5100002075</t>
        </is>
      </c>
      <c r="D2079" s="78" t="n">
        <v>45980</v>
      </c>
      <c r="E2079" s="75" t="inlineStr">
        <is>
          <t>KR</t>
        </is>
      </c>
      <c r="F2079" s="75" t="n">
        <v>62101000</v>
      </c>
      <c r="G2079" s="75" t="n">
        <v>1201</v>
      </c>
      <c r="H2079" s="76" t="n">
        <v>152000</v>
      </c>
      <c r="I2079" s="75" t="inlineStr">
        <is>
          <t>11월 국내출장 - M항공</t>
        </is>
      </c>
      <c r="J2079" s="75" t="inlineStr">
        <is>
          <t>V10001</t>
        </is>
      </c>
      <c r="K2079" s="75" t="inlineStr">
        <is>
          <t>M항공</t>
        </is>
      </c>
      <c r="M2079" s="9">
        <f>IF($A2079="","",VALUE($A2079&amp;"")*12+VALUE($B2079&amp;""))</f>
        <v/>
      </c>
      <c r="N2079" s="39">
        <f>IF($A2079="","",IFERROR(INDEX(부서매핑!$C$5:$C$504,MATCH($G2079&amp;"",부서매핑!$A$5:$A$504,0)),"미매핑"))</f>
        <v/>
      </c>
      <c r="O2079" s="9">
        <f>IF($A2079="","",N2079&amp;"|"&amp;$F2079)</f>
        <v/>
      </c>
      <c r="P2079" s="77">
        <f>IF($A2079="",0,$H2079*설정!$C$23)</f>
        <v/>
      </c>
      <c r="Q2079" s="39">
        <f>IF($A2079="","",IF(O2079&lt;&gt;원인분석!$C$9,"",IF(AND(M2079&gt;=원인분석!$C$10,M2079&lt;=원인분석!$C$11),"당기",IF(AND(M2079&gt;=원인분석!$C$12,M2079&lt;=원인분석!$C$13),"비교",""))))</f>
        <v/>
      </c>
      <c r="R2079" s="9">
        <f>IF(Q2079="","",$K2079&amp;"")</f>
        <v/>
      </c>
      <c r="S2079" s="9">
        <f>IF(Q2079="","",IF(MATCH(R2079,$R$5:$R$100000,0)=ROW()-4,ROW(),""))</f>
        <v/>
      </c>
      <c r="T2079" s="9">
        <f>IF(Q2079="당기",ABS(P2079)+ROW()/1000000000,"")</f>
        <v/>
      </c>
      <c r="U2079" s="9">
        <f>IF(Q2079="비교",ABS(P2079)+ROW()/1000000000,"")</f>
        <v/>
      </c>
      <c r="V2079" s="39">
        <f>IF($A2079="","",IF(COUNTIF(변동분석!$E$7:$E$506,O2079)&gt;0,"Y","N"))</f>
        <v/>
      </c>
      <c r="W2079" s="39">
        <f>IF($A2079="","",IFERROR(INDEX(계정매핑!$D$5:$D$504,MATCH($F2079&amp;"",계정매핑!$A$5:$A$504,0)),"미매핑"))</f>
        <v/>
      </c>
      <c r="X2079" s="9">
        <f>IF($A2079="","",$F2079&amp;"")</f>
        <v/>
      </c>
    </row>
    <row r="2080">
      <c r="A2080" s="75" t="n">
        <v>2025</v>
      </c>
      <c r="B2080" s="75" t="n">
        <v>11</v>
      </c>
      <c r="C2080" s="75" t="inlineStr">
        <is>
          <t>5100002076</t>
        </is>
      </c>
      <c r="D2080" s="78" t="n">
        <v>45980</v>
      </c>
      <c r="E2080" s="75" t="inlineStr">
        <is>
          <t>KR</t>
        </is>
      </c>
      <c r="F2080" s="75" t="n">
        <v>62101000</v>
      </c>
      <c r="G2080" s="75" t="n">
        <v>1301</v>
      </c>
      <c r="H2080" s="76" t="n">
        <v>251000</v>
      </c>
      <c r="I2080" s="75" t="inlineStr">
        <is>
          <t>11월 국내출장 - L여행사</t>
        </is>
      </c>
      <c r="J2080" s="75" t="inlineStr">
        <is>
          <t>V10014</t>
        </is>
      </c>
      <c r="K2080" s="75" t="inlineStr">
        <is>
          <t>L여행사</t>
        </is>
      </c>
      <c r="M2080" s="9">
        <f>IF($A2080="","",VALUE($A2080&amp;"")*12+VALUE($B2080&amp;""))</f>
        <v/>
      </c>
      <c r="N2080" s="39">
        <f>IF($A2080="","",IFERROR(INDEX(부서매핑!$C$5:$C$504,MATCH($G2080&amp;"",부서매핑!$A$5:$A$504,0)),"미매핑"))</f>
        <v/>
      </c>
      <c r="O2080" s="9">
        <f>IF($A2080="","",N2080&amp;"|"&amp;$F2080)</f>
        <v/>
      </c>
      <c r="P2080" s="77">
        <f>IF($A2080="",0,$H2080*설정!$C$23)</f>
        <v/>
      </c>
      <c r="Q2080" s="39">
        <f>IF($A2080="","",IF(O2080&lt;&gt;원인분석!$C$9,"",IF(AND(M2080&gt;=원인분석!$C$10,M2080&lt;=원인분석!$C$11),"당기",IF(AND(M2080&gt;=원인분석!$C$12,M2080&lt;=원인분석!$C$13),"비교",""))))</f>
        <v/>
      </c>
      <c r="R2080" s="9">
        <f>IF(Q2080="","",$K2080&amp;"")</f>
        <v/>
      </c>
      <c r="S2080" s="9">
        <f>IF(Q2080="","",IF(MATCH(R2080,$R$5:$R$100000,0)=ROW()-4,ROW(),""))</f>
        <v/>
      </c>
      <c r="T2080" s="9">
        <f>IF(Q2080="당기",ABS(P2080)+ROW()/1000000000,"")</f>
        <v/>
      </c>
      <c r="U2080" s="9">
        <f>IF(Q2080="비교",ABS(P2080)+ROW()/1000000000,"")</f>
        <v/>
      </c>
      <c r="V2080" s="39">
        <f>IF($A2080="","",IF(COUNTIF(변동분석!$E$7:$E$506,O2080)&gt;0,"Y","N"))</f>
        <v/>
      </c>
      <c r="W2080" s="39">
        <f>IF($A2080="","",IFERROR(INDEX(계정매핑!$D$5:$D$504,MATCH($F2080&amp;"",계정매핑!$A$5:$A$504,0)),"미매핑"))</f>
        <v/>
      </c>
      <c r="X2080" s="9">
        <f>IF($A2080="","",$F2080&amp;"")</f>
        <v/>
      </c>
    </row>
    <row r="2081">
      <c r="A2081" s="75" t="n">
        <v>2025</v>
      </c>
      <c r="B2081" s="75" t="n">
        <v>11</v>
      </c>
      <c r="C2081" s="75" t="inlineStr">
        <is>
          <t>5100002077</t>
        </is>
      </c>
      <c r="D2081" s="78" t="n">
        <v>45980</v>
      </c>
      <c r="E2081" s="75" t="inlineStr">
        <is>
          <t>KR</t>
        </is>
      </c>
      <c r="F2081" s="75" t="n">
        <v>62101000</v>
      </c>
      <c r="G2081" s="75" t="n">
        <v>1301</v>
      </c>
      <c r="H2081" s="76" t="n">
        <v>185000</v>
      </c>
      <c r="I2081" s="75" t="inlineStr">
        <is>
          <t>11월 국내출장 - L여행사</t>
        </is>
      </c>
      <c r="J2081" s="75" t="inlineStr">
        <is>
          <t>V10014</t>
        </is>
      </c>
      <c r="K2081" s="75" t="inlineStr">
        <is>
          <t>L여행사</t>
        </is>
      </c>
      <c r="M2081" s="9">
        <f>IF($A2081="","",VALUE($A2081&amp;"")*12+VALUE($B2081&amp;""))</f>
        <v/>
      </c>
      <c r="N2081" s="39">
        <f>IF($A2081="","",IFERROR(INDEX(부서매핑!$C$5:$C$504,MATCH($G2081&amp;"",부서매핑!$A$5:$A$504,0)),"미매핑"))</f>
        <v/>
      </c>
      <c r="O2081" s="9">
        <f>IF($A2081="","",N2081&amp;"|"&amp;$F2081)</f>
        <v/>
      </c>
      <c r="P2081" s="77">
        <f>IF($A2081="",0,$H2081*설정!$C$23)</f>
        <v/>
      </c>
      <c r="Q2081" s="39">
        <f>IF($A2081="","",IF(O2081&lt;&gt;원인분석!$C$9,"",IF(AND(M2081&gt;=원인분석!$C$10,M2081&lt;=원인분석!$C$11),"당기",IF(AND(M2081&gt;=원인분석!$C$12,M2081&lt;=원인분석!$C$13),"비교",""))))</f>
        <v/>
      </c>
      <c r="R2081" s="9">
        <f>IF(Q2081="","",$K2081&amp;"")</f>
        <v/>
      </c>
      <c r="S2081" s="9">
        <f>IF(Q2081="","",IF(MATCH(R2081,$R$5:$R$100000,0)=ROW()-4,ROW(),""))</f>
        <v/>
      </c>
      <c r="T2081" s="9">
        <f>IF(Q2081="당기",ABS(P2081)+ROW()/1000000000,"")</f>
        <v/>
      </c>
      <c r="U2081" s="9">
        <f>IF(Q2081="비교",ABS(P2081)+ROW()/1000000000,"")</f>
        <v/>
      </c>
      <c r="V2081" s="39">
        <f>IF($A2081="","",IF(COUNTIF(변동분석!$E$7:$E$506,O2081)&gt;0,"Y","N"))</f>
        <v/>
      </c>
      <c r="W2081" s="39">
        <f>IF($A2081="","",IFERROR(INDEX(계정매핑!$D$5:$D$504,MATCH($F2081&amp;"",계정매핑!$A$5:$A$504,0)),"미매핑"))</f>
        <v/>
      </c>
      <c r="X2081" s="9">
        <f>IF($A2081="","",$F2081&amp;"")</f>
        <v/>
      </c>
    </row>
    <row r="2082">
      <c r="A2082" s="75" t="n">
        <v>2025</v>
      </c>
      <c r="B2082" s="75" t="n">
        <v>11</v>
      </c>
      <c r="C2082" s="75" t="inlineStr">
        <is>
          <t>5100002078</t>
        </is>
      </c>
      <c r="D2082" s="78" t="n">
        <v>45980</v>
      </c>
      <c r="E2082" s="75" t="inlineStr">
        <is>
          <t>KR</t>
        </is>
      </c>
      <c r="F2082" s="75" t="n">
        <v>62101000</v>
      </c>
      <c r="G2082" s="75" t="n">
        <v>1501</v>
      </c>
      <c r="H2082" s="76" t="n">
        <v>528000</v>
      </c>
      <c r="I2082" s="75" t="inlineStr">
        <is>
          <t>11월 국내출장 - L여행사</t>
        </is>
      </c>
      <c r="J2082" s="75" t="inlineStr">
        <is>
          <t>V10014</t>
        </is>
      </c>
      <c r="K2082" s="75" t="inlineStr">
        <is>
          <t>L여행사</t>
        </is>
      </c>
      <c r="M2082" s="9">
        <f>IF($A2082="","",VALUE($A2082&amp;"")*12+VALUE($B2082&amp;""))</f>
        <v/>
      </c>
      <c r="N2082" s="39">
        <f>IF($A2082="","",IFERROR(INDEX(부서매핑!$C$5:$C$504,MATCH($G2082&amp;"",부서매핑!$A$5:$A$504,0)),"미매핑"))</f>
        <v/>
      </c>
      <c r="O2082" s="9">
        <f>IF($A2082="","",N2082&amp;"|"&amp;$F2082)</f>
        <v/>
      </c>
      <c r="P2082" s="77">
        <f>IF($A2082="",0,$H2082*설정!$C$23)</f>
        <v/>
      </c>
      <c r="Q2082" s="39">
        <f>IF($A2082="","",IF(O2082&lt;&gt;원인분석!$C$9,"",IF(AND(M2082&gt;=원인분석!$C$10,M2082&lt;=원인분석!$C$11),"당기",IF(AND(M2082&gt;=원인분석!$C$12,M2082&lt;=원인분석!$C$13),"비교",""))))</f>
        <v/>
      </c>
      <c r="R2082" s="9">
        <f>IF(Q2082="","",$K2082&amp;"")</f>
        <v/>
      </c>
      <c r="S2082" s="9">
        <f>IF(Q2082="","",IF(MATCH(R2082,$R$5:$R$100000,0)=ROW()-4,ROW(),""))</f>
        <v/>
      </c>
      <c r="T2082" s="9">
        <f>IF(Q2082="당기",ABS(P2082)+ROW()/1000000000,"")</f>
        <v/>
      </c>
      <c r="U2082" s="9">
        <f>IF(Q2082="비교",ABS(P2082)+ROW()/1000000000,"")</f>
        <v/>
      </c>
      <c r="V2082" s="39">
        <f>IF($A2082="","",IF(COUNTIF(변동분석!$E$7:$E$506,O2082)&gt;0,"Y","N"))</f>
        <v/>
      </c>
      <c r="W2082" s="39">
        <f>IF($A2082="","",IFERROR(INDEX(계정매핑!$D$5:$D$504,MATCH($F2082&amp;"",계정매핑!$A$5:$A$504,0)),"미매핑"))</f>
        <v/>
      </c>
      <c r="X2082" s="9">
        <f>IF($A2082="","",$F2082&amp;"")</f>
        <v/>
      </c>
    </row>
    <row r="2083">
      <c r="A2083" s="75" t="n">
        <v>2025</v>
      </c>
      <c r="B2083" s="75" t="n">
        <v>11</v>
      </c>
      <c r="C2083" s="75" t="inlineStr">
        <is>
          <t>5100002079</t>
        </is>
      </c>
      <c r="D2083" s="78" t="n">
        <v>45980</v>
      </c>
      <c r="E2083" s="75" t="inlineStr">
        <is>
          <t>KR</t>
        </is>
      </c>
      <c r="F2083" s="75" t="n">
        <v>62301000</v>
      </c>
      <c r="G2083" s="75" t="n">
        <v>1501</v>
      </c>
      <c r="H2083" s="76" t="n">
        <v>274000</v>
      </c>
      <c r="I2083" s="75" t="inlineStr">
        <is>
          <t>11월 소모품 구입 - R문구</t>
        </is>
      </c>
      <c r="J2083" s="75" t="inlineStr">
        <is>
          <t>V10018</t>
        </is>
      </c>
      <c r="K2083" s="75" t="inlineStr">
        <is>
          <t>R문구</t>
        </is>
      </c>
      <c r="M2083" s="9">
        <f>IF($A2083="","",VALUE($A2083&amp;"")*12+VALUE($B2083&amp;""))</f>
        <v/>
      </c>
      <c r="N2083" s="39">
        <f>IF($A2083="","",IFERROR(INDEX(부서매핑!$C$5:$C$504,MATCH($G2083&amp;"",부서매핑!$A$5:$A$504,0)),"미매핑"))</f>
        <v/>
      </c>
      <c r="O2083" s="9">
        <f>IF($A2083="","",N2083&amp;"|"&amp;$F2083)</f>
        <v/>
      </c>
      <c r="P2083" s="77">
        <f>IF($A2083="",0,$H2083*설정!$C$23)</f>
        <v/>
      </c>
      <c r="Q2083" s="39">
        <f>IF($A2083="","",IF(O2083&lt;&gt;원인분석!$C$9,"",IF(AND(M2083&gt;=원인분석!$C$10,M2083&lt;=원인분석!$C$11),"당기",IF(AND(M2083&gt;=원인분석!$C$12,M2083&lt;=원인분석!$C$13),"비교",""))))</f>
        <v/>
      </c>
      <c r="R2083" s="9">
        <f>IF(Q2083="","",$K2083&amp;"")</f>
        <v/>
      </c>
      <c r="S2083" s="9">
        <f>IF(Q2083="","",IF(MATCH(R2083,$R$5:$R$100000,0)=ROW()-4,ROW(),""))</f>
        <v/>
      </c>
      <c r="T2083" s="9">
        <f>IF(Q2083="당기",ABS(P2083)+ROW()/1000000000,"")</f>
        <v/>
      </c>
      <c r="U2083" s="9">
        <f>IF(Q2083="비교",ABS(P2083)+ROW()/1000000000,"")</f>
        <v/>
      </c>
      <c r="V2083" s="39">
        <f>IF($A2083="","",IF(COUNTIF(변동분석!$E$7:$E$506,O2083)&gt;0,"Y","N"))</f>
        <v/>
      </c>
      <c r="W2083" s="39">
        <f>IF($A2083="","",IFERROR(INDEX(계정매핑!$D$5:$D$504,MATCH($F2083&amp;"",계정매핑!$A$5:$A$504,0)),"미매핑"))</f>
        <v/>
      </c>
      <c r="X2083" s="9">
        <f>IF($A2083="","",$F2083&amp;"")</f>
        <v/>
      </c>
    </row>
    <row r="2084">
      <c r="A2084" s="75" t="n">
        <v>2025</v>
      </c>
      <c r="B2084" s="75" t="n">
        <v>11</v>
      </c>
      <c r="C2084" s="75" t="inlineStr">
        <is>
          <t>5100002080</t>
        </is>
      </c>
      <c r="D2084" s="78" t="n">
        <v>45980</v>
      </c>
      <c r="E2084" s="75" t="inlineStr">
        <is>
          <t>KR</t>
        </is>
      </c>
      <c r="F2084" s="75" t="n">
        <v>62501000</v>
      </c>
      <c r="G2084" s="75" t="n">
        <v>1602</v>
      </c>
      <c r="H2084" s="76" t="n">
        <v>619000</v>
      </c>
      <c r="I2084" s="75" t="inlineStr">
        <is>
          <t>11월 회의 다과 - (법인카드)</t>
        </is>
      </c>
      <c r="J2084" s="75" t="inlineStr">
        <is>
          <t>V10008</t>
        </is>
      </c>
      <c r="K2084" s="75" t="inlineStr">
        <is>
          <t>(법인카드)</t>
        </is>
      </c>
      <c r="M2084" s="9">
        <f>IF($A2084="","",VALUE($A2084&amp;"")*12+VALUE($B2084&amp;""))</f>
        <v/>
      </c>
      <c r="N2084" s="39">
        <f>IF($A2084="","",IFERROR(INDEX(부서매핑!$C$5:$C$504,MATCH($G2084&amp;"",부서매핑!$A$5:$A$504,0)),"미매핑"))</f>
        <v/>
      </c>
      <c r="O2084" s="9">
        <f>IF($A2084="","",N2084&amp;"|"&amp;$F2084)</f>
        <v/>
      </c>
      <c r="P2084" s="77">
        <f>IF($A2084="",0,$H2084*설정!$C$23)</f>
        <v/>
      </c>
      <c r="Q2084" s="39">
        <f>IF($A2084="","",IF(O2084&lt;&gt;원인분석!$C$9,"",IF(AND(M2084&gt;=원인분석!$C$10,M2084&lt;=원인분석!$C$11),"당기",IF(AND(M2084&gt;=원인분석!$C$12,M2084&lt;=원인분석!$C$13),"비교",""))))</f>
        <v/>
      </c>
      <c r="R2084" s="9">
        <f>IF(Q2084="","",$K2084&amp;"")</f>
        <v/>
      </c>
      <c r="S2084" s="9">
        <f>IF(Q2084="","",IF(MATCH(R2084,$R$5:$R$100000,0)=ROW()-4,ROW(),""))</f>
        <v/>
      </c>
      <c r="T2084" s="9">
        <f>IF(Q2084="당기",ABS(P2084)+ROW()/1000000000,"")</f>
        <v/>
      </c>
      <c r="U2084" s="9">
        <f>IF(Q2084="비교",ABS(P2084)+ROW()/1000000000,"")</f>
        <v/>
      </c>
      <c r="V2084" s="39">
        <f>IF($A2084="","",IF(COUNTIF(변동분석!$E$7:$E$506,O2084)&gt;0,"Y","N"))</f>
        <v/>
      </c>
      <c r="W2084" s="39">
        <f>IF($A2084="","",IFERROR(INDEX(계정매핑!$D$5:$D$504,MATCH($F2084&amp;"",계정매핑!$A$5:$A$504,0)),"미매핑"))</f>
        <v/>
      </c>
      <c r="X2084" s="9">
        <f>IF($A2084="","",$F2084&amp;"")</f>
        <v/>
      </c>
    </row>
    <row r="2085">
      <c r="A2085" s="75" t="n">
        <v>2025</v>
      </c>
      <c r="B2085" s="75" t="n">
        <v>11</v>
      </c>
      <c r="C2085" s="75" t="inlineStr">
        <is>
          <t>5100002081</t>
        </is>
      </c>
      <c r="D2085" s="78" t="n">
        <v>45980</v>
      </c>
      <c r="E2085" s="75" t="inlineStr">
        <is>
          <t>KR</t>
        </is>
      </c>
      <c r="F2085" s="75" t="n">
        <v>62902000</v>
      </c>
      <c r="G2085" s="75" t="n">
        <v>1401</v>
      </c>
      <c r="H2085" s="76" t="n">
        <v>1870000</v>
      </c>
      <c r="I2085" s="75" t="inlineStr">
        <is>
          <t>11월 업무 위탁 수수료 - J콜센터</t>
        </is>
      </c>
      <c r="J2085" s="75" t="inlineStr">
        <is>
          <t>V10013</t>
        </is>
      </c>
      <c r="K2085" s="75" t="inlineStr">
        <is>
          <t>J콜센터</t>
        </is>
      </c>
      <c r="M2085" s="9">
        <f>IF($A2085="","",VALUE($A2085&amp;"")*12+VALUE($B2085&amp;""))</f>
        <v/>
      </c>
      <c r="N2085" s="39">
        <f>IF($A2085="","",IFERROR(INDEX(부서매핑!$C$5:$C$504,MATCH($G2085&amp;"",부서매핑!$A$5:$A$504,0)),"미매핑"))</f>
        <v/>
      </c>
      <c r="O2085" s="9">
        <f>IF($A2085="","",N2085&amp;"|"&amp;$F2085)</f>
        <v/>
      </c>
      <c r="P2085" s="77">
        <f>IF($A2085="",0,$H2085*설정!$C$23)</f>
        <v/>
      </c>
      <c r="Q2085" s="39">
        <f>IF($A2085="","",IF(O2085&lt;&gt;원인분석!$C$9,"",IF(AND(M2085&gt;=원인분석!$C$10,M2085&lt;=원인분석!$C$11),"당기",IF(AND(M2085&gt;=원인분석!$C$12,M2085&lt;=원인분석!$C$13),"비교",""))))</f>
        <v/>
      </c>
      <c r="R2085" s="9">
        <f>IF(Q2085="","",$K2085&amp;"")</f>
        <v/>
      </c>
      <c r="S2085" s="9">
        <f>IF(Q2085="","",IF(MATCH(R2085,$R$5:$R$100000,0)=ROW()-4,ROW(),""))</f>
        <v/>
      </c>
      <c r="T2085" s="9">
        <f>IF(Q2085="당기",ABS(P2085)+ROW()/1000000000,"")</f>
        <v/>
      </c>
      <c r="U2085" s="9">
        <f>IF(Q2085="비교",ABS(P2085)+ROW()/1000000000,"")</f>
        <v/>
      </c>
      <c r="V2085" s="39">
        <f>IF($A2085="","",IF(COUNTIF(변동분석!$E$7:$E$506,O2085)&gt;0,"Y","N"))</f>
        <v/>
      </c>
      <c r="W2085" s="39">
        <f>IF($A2085="","",IFERROR(INDEX(계정매핑!$D$5:$D$504,MATCH($F2085&amp;"",계정매핑!$A$5:$A$504,0)),"미매핑"))</f>
        <v/>
      </c>
      <c r="X2085" s="9">
        <f>IF($A2085="","",$F2085&amp;"")</f>
        <v/>
      </c>
    </row>
    <row r="2086">
      <c r="A2086" s="75" t="n">
        <v>2025</v>
      </c>
      <c r="B2086" s="75" t="n">
        <v>11</v>
      </c>
      <c r="C2086" s="75" t="inlineStr">
        <is>
          <t>5100002082</t>
        </is>
      </c>
      <c r="D2086" s="78" t="n">
        <v>45981</v>
      </c>
      <c r="E2086" s="75" t="inlineStr">
        <is>
          <t>KR</t>
        </is>
      </c>
      <c r="F2086" s="75" t="n">
        <v>62101000</v>
      </c>
      <c r="G2086" s="75" t="n">
        <v>1401</v>
      </c>
      <c r="H2086" s="76" t="n">
        <v>461000</v>
      </c>
      <c r="I2086" s="75" t="inlineStr">
        <is>
          <t>11월 국내출장 - M항공</t>
        </is>
      </c>
      <c r="J2086" s="75" t="inlineStr">
        <is>
          <t>V10001</t>
        </is>
      </c>
      <c r="K2086" s="75" t="inlineStr">
        <is>
          <t>M항공</t>
        </is>
      </c>
      <c r="M2086" s="9">
        <f>IF($A2086="","",VALUE($A2086&amp;"")*12+VALUE($B2086&amp;""))</f>
        <v/>
      </c>
      <c r="N2086" s="39">
        <f>IF($A2086="","",IFERROR(INDEX(부서매핑!$C$5:$C$504,MATCH($G2086&amp;"",부서매핑!$A$5:$A$504,0)),"미매핑"))</f>
        <v/>
      </c>
      <c r="O2086" s="9">
        <f>IF($A2086="","",N2086&amp;"|"&amp;$F2086)</f>
        <v/>
      </c>
      <c r="P2086" s="77">
        <f>IF($A2086="",0,$H2086*설정!$C$23)</f>
        <v/>
      </c>
      <c r="Q2086" s="39">
        <f>IF($A2086="","",IF(O2086&lt;&gt;원인분석!$C$9,"",IF(AND(M2086&gt;=원인분석!$C$10,M2086&lt;=원인분석!$C$11),"당기",IF(AND(M2086&gt;=원인분석!$C$12,M2086&lt;=원인분석!$C$13),"비교",""))))</f>
        <v/>
      </c>
      <c r="R2086" s="9">
        <f>IF(Q2086="","",$K2086&amp;"")</f>
        <v/>
      </c>
      <c r="S2086" s="9">
        <f>IF(Q2086="","",IF(MATCH(R2086,$R$5:$R$100000,0)=ROW()-4,ROW(),""))</f>
        <v/>
      </c>
      <c r="T2086" s="9">
        <f>IF(Q2086="당기",ABS(P2086)+ROW()/1000000000,"")</f>
        <v/>
      </c>
      <c r="U2086" s="9">
        <f>IF(Q2086="비교",ABS(P2086)+ROW()/1000000000,"")</f>
        <v/>
      </c>
      <c r="V2086" s="39">
        <f>IF($A2086="","",IF(COUNTIF(변동분석!$E$7:$E$506,O2086)&gt;0,"Y","N"))</f>
        <v/>
      </c>
      <c r="W2086" s="39">
        <f>IF($A2086="","",IFERROR(INDEX(계정매핑!$D$5:$D$504,MATCH($F2086&amp;"",계정매핑!$A$5:$A$504,0)),"미매핑"))</f>
        <v/>
      </c>
      <c r="X2086" s="9">
        <f>IF($A2086="","",$F2086&amp;"")</f>
        <v/>
      </c>
    </row>
    <row r="2087">
      <c r="A2087" s="75" t="n">
        <v>2025</v>
      </c>
      <c r="B2087" s="75" t="n">
        <v>11</v>
      </c>
      <c r="C2087" s="75" t="inlineStr">
        <is>
          <t>5100002083</t>
        </is>
      </c>
      <c r="D2087" s="78" t="n">
        <v>45981</v>
      </c>
      <c r="E2087" s="75" t="inlineStr">
        <is>
          <t>KR</t>
        </is>
      </c>
      <c r="F2087" s="75" t="n">
        <v>62101000</v>
      </c>
      <c r="G2087" s="75" t="n">
        <v>1401</v>
      </c>
      <c r="H2087" s="76" t="n">
        <v>371000</v>
      </c>
      <c r="I2087" s="75" t="inlineStr">
        <is>
          <t>11월 국내출장 - (법인카드)</t>
        </is>
      </c>
      <c r="J2087" s="75" t="inlineStr">
        <is>
          <t>V10008</t>
        </is>
      </c>
      <c r="K2087" s="75" t="inlineStr">
        <is>
          <t>(법인카드)</t>
        </is>
      </c>
      <c r="M2087" s="9">
        <f>IF($A2087="","",VALUE($A2087&amp;"")*12+VALUE($B2087&amp;""))</f>
        <v/>
      </c>
      <c r="N2087" s="39">
        <f>IF($A2087="","",IFERROR(INDEX(부서매핑!$C$5:$C$504,MATCH($G2087&amp;"",부서매핑!$A$5:$A$504,0)),"미매핑"))</f>
        <v/>
      </c>
      <c r="O2087" s="9">
        <f>IF($A2087="","",N2087&amp;"|"&amp;$F2087)</f>
        <v/>
      </c>
      <c r="P2087" s="77">
        <f>IF($A2087="",0,$H2087*설정!$C$23)</f>
        <v/>
      </c>
      <c r="Q2087" s="39">
        <f>IF($A2087="","",IF(O2087&lt;&gt;원인분석!$C$9,"",IF(AND(M2087&gt;=원인분석!$C$10,M2087&lt;=원인분석!$C$11),"당기",IF(AND(M2087&gt;=원인분석!$C$12,M2087&lt;=원인분석!$C$13),"비교",""))))</f>
        <v/>
      </c>
      <c r="R2087" s="9">
        <f>IF(Q2087="","",$K2087&amp;"")</f>
        <v/>
      </c>
      <c r="S2087" s="9">
        <f>IF(Q2087="","",IF(MATCH(R2087,$R$5:$R$100000,0)=ROW()-4,ROW(),""))</f>
        <v/>
      </c>
      <c r="T2087" s="9">
        <f>IF(Q2087="당기",ABS(P2087)+ROW()/1000000000,"")</f>
        <v/>
      </c>
      <c r="U2087" s="9">
        <f>IF(Q2087="비교",ABS(P2087)+ROW()/1000000000,"")</f>
        <v/>
      </c>
      <c r="V2087" s="39">
        <f>IF($A2087="","",IF(COUNTIF(변동분석!$E$7:$E$506,O2087)&gt;0,"Y","N"))</f>
        <v/>
      </c>
      <c r="W2087" s="39">
        <f>IF($A2087="","",IFERROR(INDEX(계정매핑!$D$5:$D$504,MATCH($F2087&amp;"",계정매핑!$A$5:$A$504,0)),"미매핑"))</f>
        <v/>
      </c>
      <c r="X2087" s="9">
        <f>IF($A2087="","",$F2087&amp;"")</f>
        <v/>
      </c>
    </row>
    <row r="2088">
      <c r="A2088" s="75" t="n">
        <v>2025</v>
      </c>
      <c r="B2088" s="75" t="n">
        <v>11</v>
      </c>
      <c r="C2088" s="75" t="inlineStr">
        <is>
          <t>5100002084</t>
        </is>
      </c>
      <c r="D2088" s="78" t="n">
        <v>45981</v>
      </c>
      <c r="E2088" s="75" t="inlineStr">
        <is>
          <t>KR</t>
        </is>
      </c>
      <c r="F2088" s="75" t="n">
        <v>62101000</v>
      </c>
      <c r="G2088" s="75" t="n">
        <v>1701</v>
      </c>
      <c r="H2088" s="76" t="n">
        <v>134000</v>
      </c>
      <c r="I2088" s="75" t="inlineStr">
        <is>
          <t>11월 국내출장 - (법인카드)</t>
        </is>
      </c>
      <c r="J2088" s="75" t="inlineStr">
        <is>
          <t>V10008</t>
        </is>
      </c>
      <c r="K2088" s="75" t="inlineStr">
        <is>
          <t>(법인카드)</t>
        </is>
      </c>
      <c r="M2088" s="9">
        <f>IF($A2088="","",VALUE($A2088&amp;"")*12+VALUE($B2088&amp;""))</f>
        <v/>
      </c>
      <c r="N2088" s="39">
        <f>IF($A2088="","",IFERROR(INDEX(부서매핑!$C$5:$C$504,MATCH($G2088&amp;"",부서매핑!$A$5:$A$504,0)),"미매핑"))</f>
        <v/>
      </c>
      <c r="O2088" s="9">
        <f>IF($A2088="","",N2088&amp;"|"&amp;$F2088)</f>
        <v/>
      </c>
      <c r="P2088" s="77">
        <f>IF($A2088="",0,$H2088*설정!$C$23)</f>
        <v/>
      </c>
      <c r="Q2088" s="39">
        <f>IF($A2088="","",IF(O2088&lt;&gt;원인분석!$C$9,"",IF(AND(M2088&gt;=원인분석!$C$10,M2088&lt;=원인분석!$C$11),"당기",IF(AND(M2088&gt;=원인분석!$C$12,M2088&lt;=원인분석!$C$13),"비교",""))))</f>
        <v/>
      </c>
      <c r="R2088" s="9">
        <f>IF(Q2088="","",$K2088&amp;"")</f>
        <v/>
      </c>
      <c r="S2088" s="9">
        <f>IF(Q2088="","",IF(MATCH(R2088,$R$5:$R$100000,0)=ROW()-4,ROW(),""))</f>
        <v/>
      </c>
      <c r="T2088" s="9">
        <f>IF(Q2088="당기",ABS(P2088)+ROW()/1000000000,"")</f>
        <v/>
      </c>
      <c r="U2088" s="9">
        <f>IF(Q2088="비교",ABS(P2088)+ROW()/1000000000,"")</f>
        <v/>
      </c>
      <c r="V2088" s="39">
        <f>IF($A2088="","",IF(COUNTIF(변동분석!$E$7:$E$506,O2088)&gt;0,"Y","N"))</f>
        <v/>
      </c>
      <c r="W2088" s="39">
        <f>IF($A2088="","",IFERROR(INDEX(계정매핑!$D$5:$D$504,MATCH($F2088&amp;"",계정매핑!$A$5:$A$504,0)),"미매핑"))</f>
        <v/>
      </c>
      <c r="X2088" s="9">
        <f>IF($A2088="","",$F2088&amp;"")</f>
        <v/>
      </c>
    </row>
    <row r="2089">
      <c r="A2089" s="75" t="n">
        <v>2025</v>
      </c>
      <c r="B2089" s="75" t="n">
        <v>11</v>
      </c>
      <c r="C2089" s="75" t="inlineStr">
        <is>
          <t>5100002085</t>
        </is>
      </c>
      <c r="D2089" s="78" t="n">
        <v>45981</v>
      </c>
      <c r="E2089" s="75" t="inlineStr">
        <is>
          <t>KR</t>
        </is>
      </c>
      <c r="F2089" s="75" t="n">
        <v>62101000</v>
      </c>
      <c r="G2089" s="75" t="n">
        <v>1801</v>
      </c>
      <c r="H2089" s="76" t="n">
        <v>181000</v>
      </c>
      <c r="I2089" s="75" t="inlineStr">
        <is>
          <t>11월 국내출장 - L여행사</t>
        </is>
      </c>
      <c r="J2089" s="75" t="inlineStr">
        <is>
          <t>V10014</t>
        </is>
      </c>
      <c r="K2089" s="75" t="inlineStr">
        <is>
          <t>L여행사</t>
        </is>
      </c>
      <c r="M2089" s="9">
        <f>IF($A2089="","",VALUE($A2089&amp;"")*12+VALUE($B2089&amp;""))</f>
        <v/>
      </c>
      <c r="N2089" s="39">
        <f>IF($A2089="","",IFERROR(INDEX(부서매핑!$C$5:$C$504,MATCH($G2089&amp;"",부서매핑!$A$5:$A$504,0)),"미매핑"))</f>
        <v/>
      </c>
      <c r="O2089" s="9">
        <f>IF($A2089="","",N2089&amp;"|"&amp;$F2089)</f>
        <v/>
      </c>
      <c r="P2089" s="77">
        <f>IF($A2089="",0,$H2089*설정!$C$23)</f>
        <v/>
      </c>
      <c r="Q2089" s="39">
        <f>IF($A2089="","",IF(O2089&lt;&gt;원인분석!$C$9,"",IF(AND(M2089&gt;=원인분석!$C$10,M2089&lt;=원인분석!$C$11),"당기",IF(AND(M2089&gt;=원인분석!$C$12,M2089&lt;=원인분석!$C$13),"비교",""))))</f>
        <v/>
      </c>
      <c r="R2089" s="9">
        <f>IF(Q2089="","",$K2089&amp;"")</f>
        <v/>
      </c>
      <c r="S2089" s="9">
        <f>IF(Q2089="","",IF(MATCH(R2089,$R$5:$R$100000,0)=ROW()-4,ROW(),""))</f>
        <v/>
      </c>
      <c r="T2089" s="9">
        <f>IF(Q2089="당기",ABS(P2089)+ROW()/1000000000,"")</f>
        <v/>
      </c>
      <c r="U2089" s="9">
        <f>IF(Q2089="비교",ABS(P2089)+ROW()/1000000000,"")</f>
        <v/>
      </c>
      <c r="V2089" s="39">
        <f>IF($A2089="","",IF(COUNTIF(변동분석!$E$7:$E$506,O2089)&gt;0,"Y","N"))</f>
        <v/>
      </c>
      <c r="W2089" s="39">
        <f>IF($A2089="","",IFERROR(INDEX(계정매핑!$D$5:$D$504,MATCH($F2089&amp;"",계정매핑!$A$5:$A$504,0)),"미매핑"))</f>
        <v/>
      </c>
      <c r="X2089" s="9">
        <f>IF($A2089="","",$F2089&amp;"")</f>
        <v/>
      </c>
    </row>
    <row r="2090">
      <c r="A2090" s="75" t="n">
        <v>2025</v>
      </c>
      <c r="B2090" s="75" t="n">
        <v>11</v>
      </c>
      <c r="C2090" s="75" t="inlineStr">
        <is>
          <t>5100002086</t>
        </is>
      </c>
      <c r="D2090" s="78" t="n">
        <v>45981</v>
      </c>
      <c r="E2090" s="75" t="inlineStr">
        <is>
          <t>KR</t>
        </is>
      </c>
      <c r="F2090" s="75" t="n">
        <v>62102000</v>
      </c>
      <c r="G2090" s="75" t="n">
        <v>1201</v>
      </c>
      <c r="H2090" s="76" t="n">
        <v>57000</v>
      </c>
      <c r="I2090" s="75" t="inlineStr">
        <is>
          <t>11월 해외출장 - N호텔</t>
        </is>
      </c>
      <c r="J2090" s="75" t="inlineStr">
        <is>
          <t>V10007</t>
        </is>
      </c>
      <c r="K2090" s="75" t="inlineStr">
        <is>
          <t>N호텔</t>
        </is>
      </c>
      <c r="M2090" s="9">
        <f>IF($A2090="","",VALUE($A2090&amp;"")*12+VALUE($B2090&amp;""))</f>
        <v/>
      </c>
      <c r="N2090" s="39">
        <f>IF($A2090="","",IFERROR(INDEX(부서매핑!$C$5:$C$504,MATCH($G2090&amp;"",부서매핑!$A$5:$A$504,0)),"미매핑"))</f>
        <v/>
      </c>
      <c r="O2090" s="9">
        <f>IF($A2090="","",N2090&amp;"|"&amp;$F2090)</f>
        <v/>
      </c>
      <c r="P2090" s="77">
        <f>IF($A2090="",0,$H2090*설정!$C$23)</f>
        <v/>
      </c>
      <c r="Q2090" s="39">
        <f>IF($A2090="","",IF(O2090&lt;&gt;원인분석!$C$9,"",IF(AND(M2090&gt;=원인분석!$C$10,M2090&lt;=원인분석!$C$11),"당기",IF(AND(M2090&gt;=원인분석!$C$12,M2090&lt;=원인분석!$C$13),"비교",""))))</f>
        <v/>
      </c>
      <c r="R2090" s="9">
        <f>IF(Q2090="","",$K2090&amp;"")</f>
        <v/>
      </c>
      <c r="S2090" s="9">
        <f>IF(Q2090="","",IF(MATCH(R2090,$R$5:$R$100000,0)=ROW()-4,ROW(),""))</f>
        <v/>
      </c>
      <c r="T2090" s="9">
        <f>IF(Q2090="당기",ABS(P2090)+ROW()/1000000000,"")</f>
        <v/>
      </c>
      <c r="U2090" s="9">
        <f>IF(Q2090="비교",ABS(P2090)+ROW()/1000000000,"")</f>
        <v/>
      </c>
      <c r="V2090" s="39">
        <f>IF($A2090="","",IF(COUNTIF(변동분석!$E$7:$E$506,O2090)&gt;0,"Y","N"))</f>
        <v/>
      </c>
      <c r="W2090" s="39">
        <f>IF($A2090="","",IFERROR(INDEX(계정매핑!$D$5:$D$504,MATCH($F2090&amp;"",계정매핑!$A$5:$A$504,0)),"미매핑"))</f>
        <v/>
      </c>
      <c r="X2090" s="9">
        <f>IF($A2090="","",$F2090&amp;"")</f>
        <v/>
      </c>
    </row>
    <row r="2091">
      <c r="A2091" s="75" t="n">
        <v>2025</v>
      </c>
      <c r="B2091" s="75" t="n">
        <v>11</v>
      </c>
      <c r="C2091" s="75" t="inlineStr">
        <is>
          <t>5100002087</t>
        </is>
      </c>
      <c r="D2091" s="78" t="n">
        <v>45981</v>
      </c>
      <c r="E2091" s="75" t="inlineStr">
        <is>
          <t>KR</t>
        </is>
      </c>
      <c r="F2091" s="75" t="n">
        <v>62102000</v>
      </c>
      <c r="G2091" s="75" t="n">
        <v>1401</v>
      </c>
      <c r="H2091" s="76" t="n">
        <v>81000</v>
      </c>
      <c r="I2091" s="75" t="inlineStr">
        <is>
          <t>11월 해외출장 - M항공</t>
        </is>
      </c>
      <c r="J2091" s="75" t="inlineStr">
        <is>
          <t>V10001</t>
        </is>
      </c>
      <c r="K2091" s="75" t="inlineStr">
        <is>
          <t>M항공</t>
        </is>
      </c>
      <c r="M2091" s="9">
        <f>IF($A2091="","",VALUE($A2091&amp;"")*12+VALUE($B2091&amp;""))</f>
        <v/>
      </c>
      <c r="N2091" s="39">
        <f>IF($A2091="","",IFERROR(INDEX(부서매핑!$C$5:$C$504,MATCH($G2091&amp;"",부서매핑!$A$5:$A$504,0)),"미매핑"))</f>
        <v/>
      </c>
      <c r="O2091" s="9">
        <f>IF($A2091="","",N2091&amp;"|"&amp;$F2091)</f>
        <v/>
      </c>
      <c r="P2091" s="77">
        <f>IF($A2091="",0,$H2091*설정!$C$23)</f>
        <v/>
      </c>
      <c r="Q2091" s="39">
        <f>IF($A2091="","",IF(O2091&lt;&gt;원인분석!$C$9,"",IF(AND(M2091&gt;=원인분석!$C$10,M2091&lt;=원인분석!$C$11),"당기",IF(AND(M2091&gt;=원인분석!$C$12,M2091&lt;=원인분석!$C$13),"비교",""))))</f>
        <v/>
      </c>
      <c r="R2091" s="9">
        <f>IF(Q2091="","",$K2091&amp;"")</f>
        <v/>
      </c>
      <c r="S2091" s="9">
        <f>IF(Q2091="","",IF(MATCH(R2091,$R$5:$R$100000,0)=ROW()-4,ROW(),""))</f>
        <v/>
      </c>
      <c r="T2091" s="9">
        <f>IF(Q2091="당기",ABS(P2091)+ROW()/1000000000,"")</f>
        <v/>
      </c>
      <c r="U2091" s="9">
        <f>IF(Q2091="비교",ABS(P2091)+ROW()/1000000000,"")</f>
        <v/>
      </c>
      <c r="V2091" s="39">
        <f>IF($A2091="","",IF(COUNTIF(변동분석!$E$7:$E$506,O2091)&gt;0,"Y","N"))</f>
        <v/>
      </c>
      <c r="W2091" s="39">
        <f>IF($A2091="","",IFERROR(INDEX(계정매핑!$D$5:$D$504,MATCH($F2091&amp;"",계정매핑!$A$5:$A$504,0)),"미매핑"))</f>
        <v/>
      </c>
      <c r="X2091" s="9">
        <f>IF($A2091="","",$F2091&amp;"")</f>
        <v/>
      </c>
    </row>
    <row r="2092">
      <c r="A2092" s="75" t="n">
        <v>2025</v>
      </c>
      <c r="B2092" s="75" t="n">
        <v>11</v>
      </c>
      <c r="C2092" s="75" t="inlineStr">
        <is>
          <t>5100002088</t>
        </is>
      </c>
      <c r="D2092" s="78" t="n">
        <v>45981</v>
      </c>
      <c r="E2092" s="75" t="inlineStr">
        <is>
          <t>KR</t>
        </is>
      </c>
      <c r="F2092" s="75" t="n">
        <v>62201000</v>
      </c>
      <c r="G2092" s="75" t="n">
        <v>1601</v>
      </c>
      <c r="H2092" s="76" t="n">
        <v>805000</v>
      </c>
      <c r="I2092" s="75" t="inlineStr">
        <is>
          <t>11월 통신요금 - O텔레콤</t>
        </is>
      </c>
      <c r="J2092" s="75" t="inlineStr">
        <is>
          <t>V10002</t>
        </is>
      </c>
      <c r="K2092" s="75" t="inlineStr">
        <is>
          <t>O텔레콤</t>
        </is>
      </c>
      <c r="M2092" s="9">
        <f>IF($A2092="","",VALUE($A2092&amp;"")*12+VALUE($B2092&amp;""))</f>
        <v/>
      </c>
      <c r="N2092" s="39">
        <f>IF($A2092="","",IFERROR(INDEX(부서매핑!$C$5:$C$504,MATCH($G2092&amp;"",부서매핑!$A$5:$A$504,0)),"미매핑"))</f>
        <v/>
      </c>
      <c r="O2092" s="9">
        <f>IF($A2092="","",N2092&amp;"|"&amp;$F2092)</f>
        <v/>
      </c>
      <c r="P2092" s="77">
        <f>IF($A2092="",0,$H2092*설정!$C$23)</f>
        <v/>
      </c>
      <c r="Q2092" s="39">
        <f>IF($A2092="","",IF(O2092&lt;&gt;원인분석!$C$9,"",IF(AND(M2092&gt;=원인분석!$C$10,M2092&lt;=원인분석!$C$11),"당기",IF(AND(M2092&gt;=원인분석!$C$12,M2092&lt;=원인분석!$C$13),"비교",""))))</f>
        <v/>
      </c>
      <c r="R2092" s="9">
        <f>IF(Q2092="","",$K2092&amp;"")</f>
        <v/>
      </c>
      <c r="S2092" s="9">
        <f>IF(Q2092="","",IF(MATCH(R2092,$R$5:$R$100000,0)=ROW()-4,ROW(),""))</f>
        <v/>
      </c>
      <c r="T2092" s="9">
        <f>IF(Q2092="당기",ABS(P2092)+ROW()/1000000000,"")</f>
        <v/>
      </c>
      <c r="U2092" s="9">
        <f>IF(Q2092="비교",ABS(P2092)+ROW()/1000000000,"")</f>
        <v/>
      </c>
      <c r="V2092" s="39">
        <f>IF($A2092="","",IF(COUNTIF(변동분석!$E$7:$E$506,O2092)&gt;0,"Y","N"))</f>
        <v/>
      </c>
      <c r="W2092" s="39">
        <f>IF($A2092="","",IFERROR(INDEX(계정매핑!$D$5:$D$504,MATCH($F2092&amp;"",계정매핑!$A$5:$A$504,0)),"미매핑"))</f>
        <v/>
      </c>
      <c r="X2092" s="9">
        <f>IF($A2092="","",$F2092&amp;"")</f>
        <v/>
      </c>
    </row>
    <row r="2093">
      <c r="A2093" s="75" t="n">
        <v>2025</v>
      </c>
      <c r="B2093" s="75" t="n">
        <v>11</v>
      </c>
      <c r="C2093" s="75" t="inlineStr">
        <is>
          <t>5100002089</t>
        </is>
      </c>
      <c r="D2093" s="78" t="n">
        <v>45981</v>
      </c>
      <c r="E2093" s="75" t="inlineStr">
        <is>
          <t>KR</t>
        </is>
      </c>
      <c r="F2093" s="75" t="n">
        <v>62301000</v>
      </c>
      <c r="G2093" s="75" t="n">
        <v>1801</v>
      </c>
      <c r="H2093" s="76" t="n">
        <v>431000</v>
      </c>
      <c r="I2093" s="75" t="inlineStr">
        <is>
          <t>11월 소모품 구입 - Q오피스</t>
        </is>
      </c>
      <c r="J2093" s="75" t="inlineStr">
        <is>
          <t>V10003</t>
        </is>
      </c>
      <c r="K2093" s="75" t="inlineStr">
        <is>
          <t>Q오피스</t>
        </is>
      </c>
      <c r="M2093" s="9">
        <f>IF($A2093="","",VALUE($A2093&amp;"")*12+VALUE($B2093&amp;""))</f>
        <v/>
      </c>
      <c r="N2093" s="39">
        <f>IF($A2093="","",IFERROR(INDEX(부서매핑!$C$5:$C$504,MATCH($G2093&amp;"",부서매핑!$A$5:$A$504,0)),"미매핑"))</f>
        <v/>
      </c>
      <c r="O2093" s="9">
        <f>IF($A2093="","",N2093&amp;"|"&amp;$F2093)</f>
        <v/>
      </c>
      <c r="P2093" s="77">
        <f>IF($A2093="",0,$H2093*설정!$C$23)</f>
        <v/>
      </c>
      <c r="Q2093" s="39">
        <f>IF($A2093="","",IF(O2093&lt;&gt;원인분석!$C$9,"",IF(AND(M2093&gt;=원인분석!$C$10,M2093&lt;=원인분석!$C$11),"당기",IF(AND(M2093&gt;=원인분석!$C$12,M2093&lt;=원인분석!$C$13),"비교",""))))</f>
        <v/>
      </c>
      <c r="R2093" s="9">
        <f>IF(Q2093="","",$K2093&amp;"")</f>
        <v/>
      </c>
      <c r="S2093" s="9">
        <f>IF(Q2093="","",IF(MATCH(R2093,$R$5:$R$100000,0)=ROW()-4,ROW(),""))</f>
        <v/>
      </c>
      <c r="T2093" s="9">
        <f>IF(Q2093="당기",ABS(P2093)+ROW()/1000000000,"")</f>
        <v/>
      </c>
      <c r="U2093" s="9">
        <f>IF(Q2093="비교",ABS(P2093)+ROW()/1000000000,"")</f>
        <v/>
      </c>
      <c r="V2093" s="39">
        <f>IF($A2093="","",IF(COUNTIF(변동분석!$E$7:$E$506,O2093)&gt;0,"Y","N"))</f>
        <v/>
      </c>
      <c r="W2093" s="39">
        <f>IF($A2093="","",IFERROR(INDEX(계정매핑!$D$5:$D$504,MATCH($F2093&amp;"",계정매핑!$A$5:$A$504,0)),"미매핑"))</f>
        <v/>
      </c>
      <c r="X2093" s="9">
        <f>IF($A2093="","",$F2093&amp;"")</f>
        <v/>
      </c>
    </row>
    <row r="2094">
      <c r="A2094" s="75" t="n">
        <v>2025</v>
      </c>
      <c r="B2094" s="75" t="n">
        <v>11</v>
      </c>
      <c r="C2094" s="75" t="inlineStr">
        <is>
          <t>5100002090</t>
        </is>
      </c>
      <c r="D2094" s="78" t="n">
        <v>45981</v>
      </c>
      <c r="E2094" s="75" t="inlineStr">
        <is>
          <t>KR</t>
        </is>
      </c>
      <c r="F2094" s="75" t="n">
        <v>62401000</v>
      </c>
      <c r="G2094" s="75" t="n">
        <v>1801</v>
      </c>
      <c r="H2094" s="76" t="n">
        <v>2032000</v>
      </c>
      <c r="I2094" s="75" t="inlineStr">
        <is>
          <t>11월 인쇄물 제작 - S출판</t>
        </is>
      </c>
      <c r="J2094" s="75" t="inlineStr">
        <is>
          <t>V10012</t>
        </is>
      </c>
      <c r="K2094" s="75" t="inlineStr">
        <is>
          <t>S출판</t>
        </is>
      </c>
      <c r="M2094" s="9">
        <f>IF($A2094="","",VALUE($A2094&amp;"")*12+VALUE($B2094&amp;""))</f>
        <v/>
      </c>
      <c r="N2094" s="39">
        <f>IF($A2094="","",IFERROR(INDEX(부서매핑!$C$5:$C$504,MATCH($G2094&amp;"",부서매핑!$A$5:$A$504,0)),"미매핑"))</f>
        <v/>
      </c>
      <c r="O2094" s="9">
        <f>IF($A2094="","",N2094&amp;"|"&amp;$F2094)</f>
        <v/>
      </c>
      <c r="P2094" s="77">
        <f>IF($A2094="",0,$H2094*설정!$C$23)</f>
        <v/>
      </c>
      <c r="Q2094" s="39">
        <f>IF($A2094="","",IF(O2094&lt;&gt;원인분석!$C$9,"",IF(AND(M2094&gt;=원인분석!$C$10,M2094&lt;=원인분석!$C$11),"당기",IF(AND(M2094&gt;=원인분석!$C$12,M2094&lt;=원인분석!$C$13),"비교",""))))</f>
        <v/>
      </c>
      <c r="R2094" s="9">
        <f>IF(Q2094="","",$K2094&amp;"")</f>
        <v/>
      </c>
      <c r="S2094" s="9">
        <f>IF(Q2094="","",IF(MATCH(R2094,$R$5:$R$100000,0)=ROW()-4,ROW(),""))</f>
        <v/>
      </c>
      <c r="T2094" s="9">
        <f>IF(Q2094="당기",ABS(P2094)+ROW()/1000000000,"")</f>
        <v/>
      </c>
      <c r="U2094" s="9">
        <f>IF(Q2094="비교",ABS(P2094)+ROW()/1000000000,"")</f>
        <v/>
      </c>
      <c r="V2094" s="39">
        <f>IF($A2094="","",IF(COUNTIF(변동분석!$E$7:$E$506,O2094)&gt;0,"Y","N"))</f>
        <v/>
      </c>
      <c r="W2094" s="39">
        <f>IF($A2094="","",IFERROR(INDEX(계정매핑!$D$5:$D$504,MATCH($F2094&amp;"",계정매핑!$A$5:$A$504,0)),"미매핑"))</f>
        <v/>
      </c>
      <c r="X2094" s="9">
        <f>IF($A2094="","",$F2094&amp;"")</f>
        <v/>
      </c>
    </row>
    <row r="2095">
      <c r="A2095" s="75" t="n">
        <v>2025</v>
      </c>
      <c r="B2095" s="75" t="n">
        <v>11</v>
      </c>
      <c r="C2095" s="75" t="inlineStr">
        <is>
          <t>5100002091</t>
        </is>
      </c>
      <c r="D2095" s="78" t="n">
        <v>45981</v>
      </c>
      <c r="E2095" s="75" t="inlineStr">
        <is>
          <t>KR</t>
        </is>
      </c>
      <c r="F2095" s="75" t="n">
        <v>62801000</v>
      </c>
      <c r="G2095" s="75" t="n">
        <v>1301</v>
      </c>
      <c r="H2095" s="76" t="n">
        <v>4035000</v>
      </c>
      <c r="I2095" s="75" t="inlineStr">
        <is>
          <t>11월 사내교육 - (사내강사료)</t>
        </is>
      </c>
      <c r="J2095" s="75" t="inlineStr">
        <is>
          <t>V10020</t>
        </is>
      </c>
      <c r="K2095" s="75" t="inlineStr">
        <is>
          <t>(사내강사료)</t>
        </is>
      </c>
      <c r="M2095" s="9">
        <f>IF($A2095="","",VALUE($A2095&amp;"")*12+VALUE($B2095&amp;""))</f>
        <v/>
      </c>
      <c r="N2095" s="39">
        <f>IF($A2095="","",IFERROR(INDEX(부서매핑!$C$5:$C$504,MATCH($G2095&amp;"",부서매핑!$A$5:$A$504,0)),"미매핑"))</f>
        <v/>
      </c>
      <c r="O2095" s="9">
        <f>IF($A2095="","",N2095&amp;"|"&amp;$F2095)</f>
        <v/>
      </c>
      <c r="P2095" s="77">
        <f>IF($A2095="",0,$H2095*설정!$C$23)</f>
        <v/>
      </c>
      <c r="Q2095" s="39">
        <f>IF($A2095="","",IF(O2095&lt;&gt;원인분석!$C$9,"",IF(AND(M2095&gt;=원인분석!$C$10,M2095&lt;=원인분석!$C$11),"당기",IF(AND(M2095&gt;=원인분석!$C$12,M2095&lt;=원인분석!$C$13),"비교",""))))</f>
        <v/>
      </c>
      <c r="R2095" s="9">
        <f>IF(Q2095="","",$K2095&amp;"")</f>
        <v/>
      </c>
      <c r="S2095" s="9">
        <f>IF(Q2095="","",IF(MATCH(R2095,$R$5:$R$100000,0)=ROW()-4,ROW(),""))</f>
        <v/>
      </c>
      <c r="T2095" s="9">
        <f>IF(Q2095="당기",ABS(P2095)+ROW()/1000000000,"")</f>
        <v/>
      </c>
      <c r="U2095" s="9">
        <f>IF(Q2095="비교",ABS(P2095)+ROW()/1000000000,"")</f>
        <v/>
      </c>
      <c r="V2095" s="39">
        <f>IF($A2095="","",IF(COUNTIF(변동분석!$E$7:$E$506,O2095)&gt;0,"Y","N"))</f>
        <v/>
      </c>
      <c r="W2095" s="39">
        <f>IF($A2095="","",IFERROR(INDEX(계정매핑!$D$5:$D$504,MATCH($F2095&amp;"",계정매핑!$A$5:$A$504,0)),"미매핑"))</f>
        <v/>
      </c>
      <c r="X2095" s="9">
        <f>IF($A2095="","",$F2095&amp;"")</f>
        <v/>
      </c>
    </row>
    <row r="2096">
      <c r="A2096" s="75" t="n">
        <v>2025</v>
      </c>
      <c r="B2096" s="75" t="n">
        <v>11</v>
      </c>
      <c r="C2096" s="75" t="inlineStr">
        <is>
          <t>5100002092</t>
        </is>
      </c>
      <c r="D2096" s="78" t="n">
        <v>45982</v>
      </c>
      <c r="E2096" s="75" t="inlineStr">
        <is>
          <t>KR</t>
        </is>
      </c>
      <c r="F2096" s="75" t="n">
        <v>62101000</v>
      </c>
      <c r="G2096" s="75" t="n">
        <v>1501</v>
      </c>
      <c r="H2096" s="76" t="n">
        <v>560000</v>
      </c>
      <c r="I2096" s="75" t="inlineStr">
        <is>
          <t>11월 국내출장 - M항공</t>
        </is>
      </c>
      <c r="J2096" s="75" t="inlineStr">
        <is>
          <t>V10001</t>
        </is>
      </c>
      <c r="K2096" s="75" t="inlineStr">
        <is>
          <t>M항공</t>
        </is>
      </c>
      <c r="M2096" s="9">
        <f>IF($A2096="","",VALUE($A2096&amp;"")*12+VALUE($B2096&amp;""))</f>
        <v/>
      </c>
      <c r="N2096" s="39">
        <f>IF($A2096="","",IFERROR(INDEX(부서매핑!$C$5:$C$504,MATCH($G2096&amp;"",부서매핑!$A$5:$A$504,0)),"미매핑"))</f>
        <v/>
      </c>
      <c r="O2096" s="9">
        <f>IF($A2096="","",N2096&amp;"|"&amp;$F2096)</f>
        <v/>
      </c>
      <c r="P2096" s="77">
        <f>IF($A2096="",0,$H2096*설정!$C$23)</f>
        <v/>
      </c>
      <c r="Q2096" s="39">
        <f>IF($A2096="","",IF(O2096&lt;&gt;원인분석!$C$9,"",IF(AND(M2096&gt;=원인분석!$C$10,M2096&lt;=원인분석!$C$11),"당기",IF(AND(M2096&gt;=원인분석!$C$12,M2096&lt;=원인분석!$C$13),"비교",""))))</f>
        <v/>
      </c>
      <c r="R2096" s="9">
        <f>IF(Q2096="","",$K2096&amp;"")</f>
        <v/>
      </c>
      <c r="S2096" s="9">
        <f>IF(Q2096="","",IF(MATCH(R2096,$R$5:$R$100000,0)=ROW()-4,ROW(),""))</f>
        <v/>
      </c>
      <c r="T2096" s="9">
        <f>IF(Q2096="당기",ABS(P2096)+ROW()/1000000000,"")</f>
        <v/>
      </c>
      <c r="U2096" s="9">
        <f>IF(Q2096="비교",ABS(P2096)+ROW()/1000000000,"")</f>
        <v/>
      </c>
      <c r="V2096" s="39">
        <f>IF($A2096="","",IF(COUNTIF(변동분석!$E$7:$E$506,O2096)&gt;0,"Y","N"))</f>
        <v/>
      </c>
      <c r="W2096" s="39">
        <f>IF($A2096="","",IFERROR(INDEX(계정매핑!$D$5:$D$504,MATCH($F2096&amp;"",계정매핑!$A$5:$A$504,0)),"미매핑"))</f>
        <v/>
      </c>
      <c r="X2096" s="9">
        <f>IF($A2096="","",$F2096&amp;"")</f>
        <v/>
      </c>
    </row>
    <row r="2097">
      <c r="A2097" s="75" t="n">
        <v>2025</v>
      </c>
      <c r="B2097" s="75" t="n">
        <v>11</v>
      </c>
      <c r="C2097" s="75" t="inlineStr">
        <is>
          <t>5100002093</t>
        </is>
      </c>
      <c r="D2097" s="78" t="n">
        <v>45982</v>
      </c>
      <c r="E2097" s="75" t="inlineStr">
        <is>
          <t>KR</t>
        </is>
      </c>
      <c r="F2097" s="75" t="n">
        <v>62102000</v>
      </c>
      <c r="G2097" s="75" t="n">
        <v>1601</v>
      </c>
      <c r="H2097" s="76" t="n">
        <v>356000</v>
      </c>
      <c r="I2097" s="75" t="inlineStr">
        <is>
          <t>11월 해외출장 - M항공</t>
        </is>
      </c>
      <c r="J2097" s="75" t="inlineStr">
        <is>
          <t>V10001</t>
        </is>
      </c>
      <c r="K2097" s="75" t="inlineStr">
        <is>
          <t>M항공</t>
        </is>
      </c>
      <c r="M2097" s="9">
        <f>IF($A2097="","",VALUE($A2097&amp;"")*12+VALUE($B2097&amp;""))</f>
        <v/>
      </c>
      <c r="N2097" s="39">
        <f>IF($A2097="","",IFERROR(INDEX(부서매핑!$C$5:$C$504,MATCH($G2097&amp;"",부서매핑!$A$5:$A$504,0)),"미매핑"))</f>
        <v/>
      </c>
      <c r="O2097" s="9">
        <f>IF($A2097="","",N2097&amp;"|"&amp;$F2097)</f>
        <v/>
      </c>
      <c r="P2097" s="77">
        <f>IF($A2097="",0,$H2097*설정!$C$23)</f>
        <v/>
      </c>
      <c r="Q2097" s="39">
        <f>IF($A2097="","",IF(O2097&lt;&gt;원인분석!$C$9,"",IF(AND(M2097&gt;=원인분석!$C$10,M2097&lt;=원인분석!$C$11),"당기",IF(AND(M2097&gt;=원인분석!$C$12,M2097&lt;=원인분석!$C$13),"비교",""))))</f>
        <v/>
      </c>
      <c r="R2097" s="9">
        <f>IF(Q2097="","",$K2097&amp;"")</f>
        <v/>
      </c>
      <c r="S2097" s="9">
        <f>IF(Q2097="","",IF(MATCH(R2097,$R$5:$R$100000,0)=ROW()-4,ROW(),""))</f>
        <v/>
      </c>
      <c r="T2097" s="9">
        <f>IF(Q2097="당기",ABS(P2097)+ROW()/1000000000,"")</f>
        <v/>
      </c>
      <c r="U2097" s="9">
        <f>IF(Q2097="비교",ABS(P2097)+ROW()/1000000000,"")</f>
        <v/>
      </c>
      <c r="V2097" s="39">
        <f>IF($A2097="","",IF(COUNTIF(변동분석!$E$7:$E$506,O2097)&gt;0,"Y","N"))</f>
        <v/>
      </c>
      <c r="W2097" s="39">
        <f>IF($A2097="","",IFERROR(INDEX(계정매핑!$D$5:$D$504,MATCH($F2097&amp;"",계정매핑!$A$5:$A$504,0)),"미매핑"))</f>
        <v/>
      </c>
      <c r="X2097" s="9">
        <f>IF($A2097="","",$F2097&amp;"")</f>
        <v/>
      </c>
    </row>
    <row r="2098">
      <c r="A2098" s="75" t="n">
        <v>2025</v>
      </c>
      <c r="B2098" s="75" t="n">
        <v>11</v>
      </c>
      <c r="C2098" s="75" t="inlineStr">
        <is>
          <t>5100002094</t>
        </is>
      </c>
      <c r="D2098" s="78" t="n">
        <v>45982</v>
      </c>
      <c r="E2098" s="75" t="inlineStr">
        <is>
          <t>KR</t>
        </is>
      </c>
      <c r="F2098" s="75" t="n">
        <v>62201000</v>
      </c>
      <c r="G2098" s="75" t="n">
        <v>1801</v>
      </c>
      <c r="H2098" s="76" t="n">
        <v>2366000</v>
      </c>
      <c r="I2098" s="75" t="inlineStr">
        <is>
          <t>11월 통신요금 - P통신</t>
        </is>
      </c>
      <c r="J2098" s="75" t="inlineStr">
        <is>
          <t>V10011</t>
        </is>
      </c>
      <c r="K2098" s="75" t="inlineStr">
        <is>
          <t>P통신</t>
        </is>
      </c>
      <c r="M2098" s="9">
        <f>IF($A2098="","",VALUE($A2098&amp;"")*12+VALUE($B2098&amp;""))</f>
        <v/>
      </c>
      <c r="N2098" s="39">
        <f>IF($A2098="","",IFERROR(INDEX(부서매핑!$C$5:$C$504,MATCH($G2098&amp;"",부서매핑!$A$5:$A$504,0)),"미매핑"))</f>
        <v/>
      </c>
      <c r="O2098" s="9">
        <f>IF($A2098="","",N2098&amp;"|"&amp;$F2098)</f>
        <v/>
      </c>
      <c r="P2098" s="77">
        <f>IF($A2098="",0,$H2098*설정!$C$23)</f>
        <v/>
      </c>
      <c r="Q2098" s="39">
        <f>IF($A2098="","",IF(O2098&lt;&gt;원인분석!$C$9,"",IF(AND(M2098&gt;=원인분석!$C$10,M2098&lt;=원인분석!$C$11),"당기",IF(AND(M2098&gt;=원인분석!$C$12,M2098&lt;=원인분석!$C$13),"비교",""))))</f>
        <v/>
      </c>
      <c r="R2098" s="9">
        <f>IF(Q2098="","",$K2098&amp;"")</f>
        <v/>
      </c>
      <c r="S2098" s="9">
        <f>IF(Q2098="","",IF(MATCH(R2098,$R$5:$R$100000,0)=ROW()-4,ROW(),""))</f>
        <v/>
      </c>
      <c r="T2098" s="9">
        <f>IF(Q2098="당기",ABS(P2098)+ROW()/1000000000,"")</f>
        <v/>
      </c>
      <c r="U2098" s="9">
        <f>IF(Q2098="비교",ABS(P2098)+ROW()/1000000000,"")</f>
        <v/>
      </c>
      <c r="V2098" s="39">
        <f>IF($A2098="","",IF(COUNTIF(변동분석!$E$7:$E$506,O2098)&gt;0,"Y","N"))</f>
        <v/>
      </c>
      <c r="W2098" s="39">
        <f>IF($A2098="","",IFERROR(INDEX(계정매핑!$D$5:$D$504,MATCH($F2098&amp;"",계정매핑!$A$5:$A$504,0)),"미매핑"))</f>
        <v/>
      </c>
      <c r="X2098" s="9">
        <f>IF($A2098="","",$F2098&amp;"")</f>
        <v/>
      </c>
    </row>
    <row r="2099">
      <c r="A2099" s="75" t="n">
        <v>2025</v>
      </c>
      <c r="B2099" s="75" t="n">
        <v>11</v>
      </c>
      <c r="C2099" s="75" t="inlineStr">
        <is>
          <t>5100002095</t>
        </is>
      </c>
      <c r="D2099" s="78" t="n">
        <v>45982</v>
      </c>
      <c r="E2099" s="75" t="inlineStr">
        <is>
          <t>KR</t>
        </is>
      </c>
      <c r="F2099" s="75" t="n">
        <v>62301000</v>
      </c>
      <c r="G2099" s="75" t="n">
        <v>1801</v>
      </c>
      <c r="H2099" s="76" t="n">
        <v>395000</v>
      </c>
      <c r="I2099" s="75" t="inlineStr">
        <is>
          <t>11월 소모품 구입 - Q오피스</t>
        </is>
      </c>
      <c r="J2099" s="75" t="inlineStr">
        <is>
          <t>V10003</t>
        </is>
      </c>
      <c r="K2099" s="75" t="inlineStr">
        <is>
          <t>Q오피스</t>
        </is>
      </c>
      <c r="M2099" s="9">
        <f>IF($A2099="","",VALUE($A2099&amp;"")*12+VALUE($B2099&amp;""))</f>
        <v/>
      </c>
      <c r="N2099" s="39">
        <f>IF($A2099="","",IFERROR(INDEX(부서매핑!$C$5:$C$504,MATCH($G2099&amp;"",부서매핑!$A$5:$A$504,0)),"미매핑"))</f>
        <v/>
      </c>
      <c r="O2099" s="9">
        <f>IF($A2099="","",N2099&amp;"|"&amp;$F2099)</f>
        <v/>
      </c>
      <c r="P2099" s="77">
        <f>IF($A2099="",0,$H2099*설정!$C$23)</f>
        <v/>
      </c>
      <c r="Q2099" s="39">
        <f>IF($A2099="","",IF(O2099&lt;&gt;원인분석!$C$9,"",IF(AND(M2099&gt;=원인분석!$C$10,M2099&lt;=원인분석!$C$11),"당기",IF(AND(M2099&gt;=원인분석!$C$12,M2099&lt;=원인분석!$C$13),"비교",""))))</f>
        <v/>
      </c>
      <c r="R2099" s="9">
        <f>IF(Q2099="","",$K2099&amp;"")</f>
        <v/>
      </c>
      <c r="S2099" s="9">
        <f>IF(Q2099="","",IF(MATCH(R2099,$R$5:$R$100000,0)=ROW()-4,ROW(),""))</f>
        <v/>
      </c>
      <c r="T2099" s="9">
        <f>IF(Q2099="당기",ABS(P2099)+ROW()/1000000000,"")</f>
        <v/>
      </c>
      <c r="U2099" s="9">
        <f>IF(Q2099="비교",ABS(P2099)+ROW()/1000000000,"")</f>
        <v/>
      </c>
      <c r="V2099" s="39">
        <f>IF($A2099="","",IF(COUNTIF(변동분석!$E$7:$E$506,O2099)&gt;0,"Y","N"))</f>
        <v/>
      </c>
      <c r="W2099" s="39">
        <f>IF($A2099="","",IFERROR(INDEX(계정매핑!$D$5:$D$504,MATCH($F2099&amp;"",계정매핑!$A$5:$A$504,0)),"미매핑"))</f>
        <v/>
      </c>
      <c r="X2099" s="9">
        <f>IF($A2099="","",$F2099&amp;"")</f>
        <v/>
      </c>
    </row>
    <row r="2100">
      <c r="A2100" s="75" t="n">
        <v>2025</v>
      </c>
      <c r="B2100" s="75" t="n">
        <v>11</v>
      </c>
      <c r="C2100" s="75" t="inlineStr">
        <is>
          <t>5100002096</t>
        </is>
      </c>
      <c r="D2100" s="78" t="n">
        <v>45982</v>
      </c>
      <c r="E2100" s="75" t="inlineStr">
        <is>
          <t>KR</t>
        </is>
      </c>
      <c r="F2100" s="75" t="n">
        <v>62501000</v>
      </c>
      <c r="G2100" s="75" t="n">
        <v>1801</v>
      </c>
      <c r="H2100" s="76" t="n">
        <v>78000</v>
      </c>
      <c r="I2100" s="75" t="inlineStr">
        <is>
          <t>11월 회의 다과 - T케이터링</t>
        </is>
      </c>
      <c r="J2100" s="75" t="inlineStr">
        <is>
          <t>V10005</t>
        </is>
      </c>
      <c r="K2100" s="75" t="inlineStr">
        <is>
          <t>T케이터링</t>
        </is>
      </c>
      <c r="M2100" s="9">
        <f>IF($A2100="","",VALUE($A2100&amp;"")*12+VALUE($B2100&amp;""))</f>
        <v/>
      </c>
      <c r="N2100" s="39">
        <f>IF($A2100="","",IFERROR(INDEX(부서매핑!$C$5:$C$504,MATCH($G2100&amp;"",부서매핑!$A$5:$A$504,0)),"미매핑"))</f>
        <v/>
      </c>
      <c r="O2100" s="9">
        <f>IF($A2100="","",N2100&amp;"|"&amp;$F2100)</f>
        <v/>
      </c>
      <c r="P2100" s="77">
        <f>IF($A2100="",0,$H2100*설정!$C$23)</f>
        <v/>
      </c>
      <c r="Q2100" s="39">
        <f>IF($A2100="","",IF(O2100&lt;&gt;원인분석!$C$9,"",IF(AND(M2100&gt;=원인분석!$C$10,M2100&lt;=원인분석!$C$11),"당기",IF(AND(M2100&gt;=원인분석!$C$12,M2100&lt;=원인분석!$C$13),"비교",""))))</f>
        <v/>
      </c>
      <c r="R2100" s="9">
        <f>IF(Q2100="","",$K2100&amp;"")</f>
        <v/>
      </c>
      <c r="S2100" s="9">
        <f>IF(Q2100="","",IF(MATCH(R2100,$R$5:$R$100000,0)=ROW()-4,ROW(),""))</f>
        <v/>
      </c>
      <c r="T2100" s="9">
        <f>IF(Q2100="당기",ABS(P2100)+ROW()/1000000000,"")</f>
        <v/>
      </c>
      <c r="U2100" s="9">
        <f>IF(Q2100="비교",ABS(P2100)+ROW()/1000000000,"")</f>
        <v/>
      </c>
      <c r="V2100" s="39">
        <f>IF($A2100="","",IF(COUNTIF(변동분석!$E$7:$E$506,O2100)&gt;0,"Y","N"))</f>
        <v/>
      </c>
      <c r="W2100" s="39">
        <f>IF($A2100="","",IFERROR(INDEX(계정매핑!$D$5:$D$504,MATCH($F2100&amp;"",계정매핑!$A$5:$A$504,0)),"미매핑"))</f>
        <v/>
      </c>
      <c r="X2100" s="9">
        <f>IF($A2100="","",$F2100&amp;"")</f>
        <v/>
      </c>
    </row>
    <row r="2101">
      <c r="A2101" s="75" t="n">
        <v>2025</v>
      </c>
      <c r="B2101" s="75" t="n">
        <v>11</v>
      </c>
      <c r="C2101" s="75" t="inlineStr">
        <is>
          <t>5100002097</t>
        </is>
      </c>
      <c r="D2101" s="78" t="n">
        <v>45982</v>
      </c>
      <c r="E2101" s="75" t="inlineStr">
        <is>
          <t>KR</t>
        </is>
      </c>
      <c r="F2101" s="75" t="n">
        <v>62901000</v>
      </c>
      <c r="G2101" s="75" t="n">
        <v>1101</v>
      </c>
      <c r="H2101" s="76" t="n">
        <v>4918000</v>
      </c>
      <c r="I2101" s="75" t="inlineStr">
        <is>
          <t>11월 자문 수수료 - W컨설팅</t>
        </is>
      </c>
      <c r="J2101" s="75" t="inlineStr">
        <is>
          <t>V10009</t>
        </is>
      </c>
      <c r="K2101" s="75" t="inlineStr">
        <is>
          <t>W컨설팅</t>
        </is>
      </c>
      <c r="M2101" s="9">
        <f>IF($A2101="","",VALUE($A2101&amp;"")*12+VALUE($B2101&amp;""))</f>
        <v/>
      </c>
      <c r="N2101" s="39">
        <f>IF($A2101="","",IFERROR(INDEX(부서매핑!$C$5:$C$504,MATCH($G2101&amp;"",부서매핑!$A$5:$A$504,0)),"미매핑"))</f>
        <v/>
      </c>
      <c r="O2101" s="9">
        <f>IF($A2101="","",N2101&amp;"|"&amp;$F2101)</f>
        <v/>
      </c>
      <c r="P2101" s="77">
        <f>IF($A2101="",0,$H2101*설정!$C$23)</f>
        <v/>
      </c>
      <c r="Q2101" s="39">
        <f>IF($A2101="","",IF(O2101&lt;&gt;원인분석!$C$9,"",IF(AND(M2101&gt;=원인분석!$C$10,M2101&lt;=원인분석!$C$11),"당기",IF(AND(M2101&gt;=원인분석!$C$12,M2101&lt;=원인분석!$C$13),"비교",""))))</f>
        <v/>
      </c>
      <c r="R2101" s="9">
        <f>IF(Q2101="","",$K2101&amp;"")</f>
        <v/>
      </c>
      <c r="S2101" s="9">
        <f>IF(Q2101="","",IF(MATCH(R2101,$R$5:$R$100000,0)=ROW()-4,ROW(),""))</f>
        <v/>
      </c>
      <c r="T2101" s="9">
        <f>IF(Q2101="당기",ABS(P2101)+ROW()/1000000000,"")</f>
        <v/>
      </c>
      <c r="U2101" s="9">
        <f>IF(Q2101="비교",ABS(P2101)+ROW()/1000000000,"")</f>
        <v/>
      </c>
      <c r="V2101" s="39">
        <f>IF($A2101="","",IF(COUNTIF(변동분석!$E$7:$E$506,O2101)&gt;0,"Y","N"))</f>
        <v/>
      </c>
      <c r="W2101" s="39">
        <f>IF($A2101="","",IFERROR(INDEX(계정매핑!$D$5:$D$504,MATCH($F2101&amp;"",계정매핑!$A$5:$A$504,0)),"미매핑"))</f>
        <v/>
      </c>
      <c r="X2101" s="9">
        <f>IF($A2101="","",$F2101&amp;"")</f>
        <v/>
      </c>
    </row>
    <row r="2102">
      <c r="A2102" s="75" t="n">
        <v>2025</v>
      </c>
      <c r="B2102" s="75" t="n">
        <v>11</v>
      </c>
      <c r="C2102" s="75" t="inlineStr">
        <is>
          <t>5100002098</t>
        </is>
      </c>
      <c r="D2102" s="78" t="n">
        <v>45982</v>
      </c>
      <c r="E2102" s="75" t="inlineStr">
        <is>
          <t>KR</t>
        </is>
      </c>
      <c r="F2102" s="75" t="n">
        <v>62901000</v>
      </c>
      <c r="G2102" s="75" t="n">
        <v>1201</v>
      </c>
      <c r="H2102" s="76" t="n">
        <v>7293000</v>
      </c>
      <c r="I2102" s="75" t="inlineStr">
        <is>
          <t>11월 자문 수수료 - W컨설팅</t>
        </is>
      </c>
      <c r="J2102" s="75" t="inlineStr">
        <is>
          <t>V10009</t>
        </is>
      </c>
      <c r="K2102" s="75" t="inlineStr">
        <is>
          <t>W컨설팅</t>
        </is>
      </c>
      <c r="M2102" s="9">
        <f>IF($A2102="","",VALUE($A2102&amp;"")*12+VALUE($B2102&amp;""))</f>
        <v/>
      </c>
      <c r="N2102" s="39">
        <f>IF($A2102="","",IFERROR(INDEX(부서매핑!$C$5:$C$504,MATCH($G2102&amp;"",부서매핑!$A$5:$A$504,0)),"미매핑"))</f>
        <v/>
      </c>
      <c r="O2102" s="9">
        <f>IF($A2102="","",N2102&amp;"|"&amp;$F2102)</f>
        <v/>
      </c>
      <c r="P2102" s="77">
        <f>IF($A2102="",0,$H2102*설정!$C$23)</f>
        <v/>
      </c>
      <c r="Q2102" s="39">
        <f>IF($A2102="","",IF(O2102&lt;&gt;원인분석!$C$9,"",IF(AND(M2102&gt;=원인분석!$C$10,M2102&lt;=원인분석!$C$11),"당기",IF(AND(M2102&gt;=원인분석!$C$12,M2102&lt;=원인분석!$C$13),"비교",""))))</f>
        <v/>
      </c>
      <c r="R2102" s="9">
        <f>IF(Q2102="","",$K2102&amp;"")</f>
        <v/>
      </c>
      <c r="S2102" s="9">
        <f>IF(Q2102="","",IF(MATCH(R2102,$R$5:$R$100000,0)=ROW()-4,ROW(),""))</f>
        <v/>
      </c>
      <c r="T2102" s="9">
        <f>IF(Q2102="당기",ABS(P2102)+ROW()/1000000000,"")</f>
        <v/>
      </c>
      <c r="U2102" s="9">
        <f>IF(Q2102="비교",ABS(P2102)+ROW()/1000000000,"")</f>
        <v/>
      </c>
      <c r="V2102" s="39">
        <f>IF($A2102="","",IF(COUNTIF(변동분석!$E$7:$E$506,O2102)&gt;0,"Y","N"))</f>
        <v/>
      </c>
      <c r="W2102" s="39">
        <f>IF($A2102="","",IFERROR(INDEX(계정매핑!$D$5:$D$504,MATCH($F2102&amp;"",계정매핑!$A$5:$A$504,0)),"미매핑"))</f>
        <v/>
      </c>
      <c r="X2102" s="9">
        <f>IF($A2102="","",$F2102&amp;"")</f>
        <v/>
      </c>
    </row>
    <row r="2103">
      <c r="A2103" s="75" t="n">
        <v>2025</v>
      </c>
      <c r="B2103" s="75" t="n">
        <v>11</v>
      </c>
      <c r="C2103" s="75" t="inlineStr">
        <is>
          <t>5100002099</t>
        </is>
      </c>
      <c r="D2103" s="78" t="n">
        <v>45982</v>
      </c>
      <c r="E2103" s="75" t="inlineStr">
        <is>
          <t>KR</t>
        </is>
      </c>
      <c r="F2103" s="75" t="n">
        <v>62902000</v>
      </c>
      <c r="G2103" s="75" t="n">
        <v>1801</v>
      </c>
      <c r="H2103" s="76" t="n">
        <v>1843000</v>
      </c>
      <c r="I2103" s="75" t="inlineStr">
        <is>
          <t>11월 콜 위탁 수수료(건별)</t>
        </is>
      </c>
      <c r="J2103" s="75" t="inlineStr">
        <is>
          <t>V10013</t>
        </is>
      </c>
      <c r="K2103" s="75" t="inlineStr">
        <is>
          <t>J콜센터</t>
        </is>
      </c>
      <c r="M2103" s="9">
        <f>IF($A2103="","",VALUE($A2103&amp;"")*12+VALUE($B2103&amp;""))</f>
        <v/>
      </c>
      <c r="N2103" s="39">
        <f>IF($A2103="","",IFERROR(INDEX(부서매핑!$C$5:$C$504,MATCH($G2103&amp;"",부서매핑!$A$5:$A$504,0)),"미매핑"))</f>
        <v/>
      </c>
      <c r="O2103" s="9">
        <f>IF($A2103="","",N2103&amp;"|"&amp;$F2103)</f>
        <v/>
      </c>
      <c r="P2103" s="77">
        <f>IF($A2103="",0,$H2103*설정!$C$23)</f>
        <v/>
      </c>
      <c r="Q2103" s="39">
        <f>IF($A2103="","",IF(O2103&lt;&gt;원인분석!$C$9,"",IF(AND(M2103&gt;=원인분석!$C$10,M2103&lt;=원인분석!$C$11),"당기",IF(AND(M2103&gt;=원인분석!$C$12,M2103&lt;=원인분석!$C$13),"비교",""))))</f>
        <v/>
      </c>
      <c r="R2103" s="9">
        <f>IF(Q2103="","",$K2103&amp;"")</f>
        <v/>
      </c>
      <c r="S2103" s="9">
        <f>IF(Q2103="","",IF(MATCH(R2103,$R$5:$R$100000,0)=ROW()-4,ROW(),""))</f>
        <v/>
      </c>
      <c r="T2103" s="9">
        <f>IF(Q2103="당기",ABS(P2103)+ROW()/1000000000,"")</f>
        <v/>
      </c>
      <c r="U2103" s="9">
        <f>IF(Q2103="비교",ABS(P2103)+ROW()/1000000000,"")</f>
        <v/>
      </c>
      <c r="V2103" s="39">
        <f>IF($A2103="","",IF(COUNTIF(변동분석!$E$7:$E$506,O2103)&gt;0,"Y","N"))</f>
        <v/>
      </c>
      <c r="W2103" s="39">
        <f>IF($A2103="","",IFERROR(INDEX(계정매핑!$D$5:$D$504,MATCH($F2103&amp;"",계정매핑!$A$5:$A$504,0)),"미매핑"))</f>
        <v/>
      </c>
      <c r="X2103" s="9">
        <f>IF($A2103="","",$F2103&amp;"")</f>
        <v/>
      </c>
    </row>
    <row r="2104">
      <c r="A2104" s="75" t="n">
        <v>2025</v>
      </c>
      <c r="B2104" s="75" t="n">
        <v>11</v>
      </c>
      <c r="C2104" s="75" t="inlineStr">
        <is>
          <t>5100002100</t>
        </is>
      </c>
      <c r="D2104" s="78" t="n">
        <v>45982</v>
      </c>
      <c r="E2104" s="75" t="inlineStr">
        <is>
          <t>KR</t>
        </is>
      </c>
      <c r="F2104" s="75" t="n">
        <v>63101000</v>
      </c>
      <c r="G2104" s="75" t="n">
        <v>1601</v>
      </c>
      <c r="H2104" s="76" t="n">
        <v>5354000</v>
      </c>
      <c r="I2104" s="75" t="inlineStr">
        <is>
          <t>11월 사무실 임차료 - BB부동산</t>
        </is>
      </c>
      <c r="J2104" s="75" t="inlineStr">
        <is>
          <t>V10024</t>
        </is>
      </c>
      <c r="K2104" s="75" t="inlineStr">
        <is>
          <t>BB부동산</t>
        </is>
      </c>
      <c r="M2104" s="9">
        <f>IF($A2104="","",VALUE($A2104&amp;"")*12+VALUE($B2104&amp;""))</f>
        <v/>
      </c>
      <c r="N2104" s="39">
        <f>IF($A2104="","",IFERROR(INDEX(부서매핑!$C$5:$C$504,MATCH($G2104&amp;"",부서매핑!$A$5:$A$504,0)),"미매핑"))</f>
        <v/>
      </c>
      <c r="O2104" s="9">
        <f>IF($A2104="","",N2104&amp;"|"&amp;$F2104)</f>
        <v/>
      </c>
      <c r="P2104" s="77">
        <f>IF($A2104="",0,$H2104*설정!$C$23)</f>
        <v/>
      </c>
      <c r="Q2104" s="39">
        <f>IF($A2104="","",IF(O2104&lt;&gt;원인분석!$C$9,"",IF(AND(M2104&gt;=원인분석!$C$10,M2104&lt;=원인분석!$C$11),"당기",IF(AND(M2104&gt;=원인분석!$C$12,M2104&lt;=원인분석!$C$13),"비교",""))))</f>
        <v/>
      </c>
      <c r="R2104" s="9">
        <f>IF(Q2104="","",$K2104&amp;"")</f>
        <v/>
      </c>
      <c r="S2104" s="9">
        <f>IF(Q2104="","",IF(MATCH(R2104,$R$5:$R$100000,0)=ROW()-4,ROW(),""))</f>
        <v/>
      </c>
      <c r="T2104" s="9">
        <f>IF(Q2104="당기",ABS(P2104)+ROW()/1000000000,"")</f>
        <v/>
      </c>
      <c r="U2104" s="9">
        <f>IF(Q2104="비교",ABS(P2104)+ROW()/1000000000,"")</f>
        <v/>
      </c>
      <c r="V2104" s="39">
        <f>IF($A2104="","",IF(COUNTIF(변동분석!$E$7:$E$506,O2104)&gt;0,"Y","N"))</f>
        <v/>
      </c>
      <c r="W2104" s="39">
        <f>IF($A2104="","",IFERROR(INDEX(계정매핑!$D$5:$D$504,MATCH($F2104&amp;"",계정매핑!$A$5:$A$504,0)),"미매핑"))</f>
        <v/>
      </c>
      <c r="X2104" s="9">
        <f>IF($A2104="","",$F2104&amp;"")</f>
        <v/>
      </c>
    </row>
    <row r="2105">
      <c r="A2105" s="75" t="n">
        <v>2025</v>
      </c>
      <c r="B2105" s="75" t="n">
        <v>11</v>
      </c>
      <c r="C2105" s="75" t="inlineStr">
        <is>
          <t>5100002101</t>
        </is>
      </c>
      <c r="D2105" s="78" t="n">
        <v>45983</v>
      </c>
      <c r="E2105" s="75" t="inlineStr">
        <is>
          <t>KR</t>
        </is>
      </c>
      <c r="F2105" s="75" t="n">
        <v>62101000</v>
      </c>
      <c r="G2105" s="75" t="n">
        <v>1101</v>
      </c>
      <c r="H2105" s="76" t="n">
        <v>522000</v>
      </c>
      <c r="I2105" s="75" t="inlineStr">
        <is>
          <t>11월 국내출장 - L여행사</t>
        </is>
      </c>
      <c r="J2105" s="75" t="inlineStr">
        <is>
          <t>V10014</t>
        </is>
      </c>
      <c r="K2105" s="75" t="inlineStr">
        <is>
          <t>L여행사</t>
        </is>
      </c>
      <c r="M2105" s="9">
        <f>IF($A2105="","",VALUE($A2105&amp;"")*12+VALUE($B2105&amp;""))</f>
        <v/>
      </c>
      <c r="N2105" s="39">
        <f>IF($A2105="","",IFERROR(INDEX(부서매핑!$C$5:$C$504,MATCH($G2105&amp;"",부서매핑!$A$5:$A$504,0)),"미매핑"))</f>
        <v/>
      </c>
      <c r="O2105" s="9">
        <f>IF($A2105="","",N2105&amp;"|"&amp;$F2105)</f>
        <v/>
      </c>
      <c r="P2105" s="77">
        <f>IF($A2105="",0,$H2105*설정!$C$23)</f>
        <v/>
      </c>
      <c r="Q2105" s="39">
        <f>IF($A2105="","",IF(O2105&lt;&gt;원인분석!$C$9,"",IF(AND(M2105&gt;=원인분석!$C$10,M2105&lt;=원인분석!$C$11),"당기",IF(AND(M2105&gt;=원인분석!$C$12,M2105&lt;=원인분석!$C$13),"비교",""))))</f>
        <v/>
      </c>
      <c r="R2105" s="9">
        <f>IF(Q2105="","",$K2105&amp;"")</f>
        <v/>
      </c>
      <c r="S2105" s="9">
        <f>IF(Q2105="","",IF(MATCH(R2105,$R$5:$R$100000,0)=ROW()-4,ROW(),""))</f>
        <v/>
      </c>
      <c r="T2105" s="9">
        <f>IF(Q2105="당기",ABS(P2105)+ROW()/1000000000,"")</f>
        <v/>
      </c>
      <c r="U2105" s="9">
        <f>IF(Q2105="비교",ABS(P2105)+ROW()/1000000000,"")</f>
        <v/>
      </c>
      <c r="V2105" s="39">
        <f>IF($A2105="","",IF(COUNTIF(변동분석!$E$7:$E$506,O2105)&gt;0,"Y","N"))</f>
        <v/>
      </c>
      <c r="W2105" s="39">
        <f>IF($A2105="","",IFERROR(INDEX(계정매핑!$D$5:$D$504,MATCH($F2105&amp;"",계정매핑!$A$5:$A$504,0)),"미매핑"))</f>
        <v/>
      </c>
      <c r="X2105" s="9">
        <f>IF($A2105="","",$F2105&amp;"")</f>
        <v/>
      </c>
    </row>
    <row r="2106">
      <c r="A2106" s="75" t="n">
        <v>2025</v>
      </c>
      <c r="B2106" s="75" t="n">
        <v>11</v>
      </c>
      <c r="C2106" s="75" t="inlineStr">
        <is>
          <t>5100002102</t>
        </is>
      </c>
      <c r="D2106" s="78" t="n">
        <v>45983</v>
      </c>
      <c r="E2106" s="75" t="inlineStr">
        <is>
          <t>KR</t>
        </is>
      </c>
      <c r="F2106" s="75" t="n">
        <v>62102000</v>
      </c>
      <c r="G2106" s="75" t="n">
        <v>1701</v>
      </c>
      <c r="H2106" s="76" t="n">
        <v>49000</v>
      </c>
      <c r="I2106" s="75" t="inlineStr">
        <is>
          <t>11월 해외출장 - M항공</t>
        </is>
      </c>
      <c r="J2106" s="75" t="inlineStr">
        <is>
          <t>V10001</t>
        </is>
      </c>
      <c r="K2106" s="75" t="inlineStr">
        <is>
          <t>M항공</t>
        </is>
      </c>
      <c r="M2106" s="9">
        <f>IF($A2106="","",VALUE($A2106&amp;"")*12+VALUE($B2106&amp;""))</f>
        <v/>
      </c>
      <c r="N2106" s="39">
        <f>IF($A2106="","",IFERROR(INDEX(부서매핑!$C$5:$C$504,MATCH($G2106&amp;"",부서매핑!$A$5:$A$504,0)),"미매핑"))</f>
        <v/>
      </c>
      <c r="O2106" s="9">
        <f>IF($A2106="","",N2106&amp;"|"&amp;$F2106)</f>
        <v/>
      </c>
      <c r="P2106" s="77">
        <f>IF($A2106="",0,$H2106*설정!$C$23)</f>
        <v/>
      </c>
      <c r="Q2106" s="39">
        <f>IF($A2106="","",IF(O2106&lt;&gt;원인분석!$C$9,"",IF(AND(M2106&gt;=원인분석!$C$10,M2106&lt;=원인분석!$C$11),"당기",IF(AND(M2106&gt;=원인분석!$C$12,M2106&lt;=원인분석!$C$13),"비교",""))))</f>
        <v/>
      </c>
      <c r="R2106" s="9">
        <f>IF(Q2106="","",$K2106&amp;"")</f>
        <v/>
      </c>
      <c r="S2106" s="9">
        <f>IF(Q2106="","",IF(MATCH(R2106,$R$5:$R$100000,0)=ROW()-4,ROW(),""))</f>
        <v/>
      </c>
      <c r="T2106" s="9">
        <f>IF(Q2106="당기",ABS(P2106)+ROW()/1000000000,"")</f>
        <v/>
      </c>
      <c r="U2106" s="9">
        <f>IF(Q2106="비교",ABS(P2106)+ROW()/1000000000,"")</f>
        <v/>
      </c>
      <c r="V2106" s="39">
        <f>IF($A2106="","",IF(COUNTIF(변동분석!$E$7:$E$506,O2106)&gt;0,"Y","N"))</f>
        <v/>
      </c>
      <c r="W2106" s="39">
        <f>IF($A2106="","",IFERROR(INDEX(계정매핑!$D$5:$D$504,MATCH($F2106&amp;"",계정매핑!$A$5:$A$504,0)),"미매핑"))</f>
        <v/>
      </c>
      <c r="X2106" s="9">
        <f>IF($A2106="","",$F2106&amp;"")</f>
        <v/>
      </c>
    </row>
    <row r="2107">
      <c r="A2107" s="75" t="n">
        <v>2025</v>
      </c>
      <c r="B2107" s="75" t="n">
        <v>11</v>
      </c>
      <c r="C2107" s="75" t="inlineStr">
        <is>
          <t>5100002103</t>
        </is>
      </c>
      <c r="D2107" s="78" t="n">
        <v>45983</v>
      </c>
      <c r="E2107" s="75" t="inlineStr">
        <is>
          <t>KR</t>
        </is>
      </c>
      <c r="F2107" s="75" t="n">
        <v>62301000</v>
      </c>
      <c r="G2107" s="75" t="n">
        <v>1801</v>
      </c>
      <c r="H2107" s="76" t="n">
        <v>518000</v>
      </c>
      <c r="I2107" s="75" t="inlineStr">
        <is>
          <t>11월 소모품 구입 - R문구</t>
        </is>
      </c>
      <c r="J2107" s="75" t="inlineStr">
        <is>
          <t>V10018</t>
        </is>
      </c>
      <c r="K2107" s="75" t="inlineStr">
        <is>
          <t>R문구</t>
        </is>
      </c>
      <c r="M2107" s="9">
        <f>IF($A2107="","",VALUE($A2107&amp;"")*12+VALUE($B2107&amp;""))</f>
        <v/>
      </c>
      <c r="N2107" s="39">
        <f>IF($A2107="","",IFERROR(INDEX(부서매핑!$C$5:$C$504,MATCH($G2107&amp;"",부서매핑!$A$5:$A$504,0)),"미매핑"))</f>
        <v/>
      </c>
      <c r="O2107" s="9">
        <f>IF($A2107="","",N2107&amp;"|"&amp;$F2107)</f>
        <v/>
      </c>
      <c r="P2107" s="77">
        <f>IF($A2107="",0,$H2107*설정!$C$23)</f>
        <v/>
      </c>
      <c r="Q2107" s="39">
        <f>IF($A2107="","",IF(O2107&lt;&gt;원인분석!$C$9,"",IF(AND(M2107&gt;=원인분석!$C$10,M2107&lt;=원인분석!$C$11),"당기",IF(AND(M2107&gt;=원인분석!$C$12,M2107&lt;=원인분석!$C$13),"비교",""))))</f>
        <v/>
      </c>
      <c r="R2107" s="9">
        <f>IF(Q2107="","",$K2107&amp;"")</f>
        <v/>
      </c>
      <c r="S2107" s="9">
        <f>IF(Q2107="","",IF(MATCH(R2107,$R$5:$R$100000,0)=ROW()-4,ROW(),""))</f>
        <v/>
      </c>
      <c r="T2107" s="9">
        <f>IF(Q2107="당기",ABS(P2107)+ROW()/1000000000,"")</f>
        <v/>
      </c>
      <c r="U2107" s="9">
        <f>IF(Q2107="비교",ABS(P2107)+ROW()/1000000000,"")</f>
        <v/>
      </c>
      <c r="V2107" s="39">
        <f>IF($A2107="","",IF(COUNTIF(변동분석!$E$7:$E$506,O2107)&gt;0,"Y","N"))</f>
        <v/>
      </c>
      <c r="W2107" s="39">
        <f>IF($A2107="","",IFERROR(INDEX(계정매핑!$D$5:$D$504,MATCH($F2107&amp;"",계정매핑!$A$5:$A$504,0)),"미매핑"))</f>
        <v/>
      </c>
      <c r="X2107" s="9">
        <f>IF($A2107="","",$F2107&amp;"")</f>
        <v/>
      </c>
    </row>
    <row r="2108">
      <c r="A2108" s="75" t="n">
        <v>2025</v>
      </c>
      <c r="B2108" s="75" t="n">
        <v>11</v>
      </c>
      <c r="C2108" s="75" t="inlineStr">
        <is>
          <t>5100002104</t>
        </is>
      </c>
      <c r="D2108" s="78" t="n">
        <v>45983</v>
      </c>
      <c r="E2108" s="75" t="inlineStr">
        <is>
          <t>KR</t>
        </is>
      </c>
      <c r="F2108" s="75" t="n">
        <v>62902000</v>
      </c>
      <c r="G2108" s="75" t="n">
        <v>1801</v>
      </c>
      <c r="H2108" s="76" t="n">
        <v>1802000</v>
      </c>
      <c r="I2108" s="75" t="inlineStr">
        <is>
          <t>11월 콜 위탁 수수료(건별)</t>
        </is>
      </c>
      <c r="J2108" s="75" t="inlineStr">
        <is>
          <t>V10013</t>
        </is>
      </c>
      <c r="K2108" s="75" t="inlineStr">
        <is>
          <t>J콜센터</t>
        </is>
      </c>
      <c r="M2108" s="9">
        <f>IF($A2108="","",VALUE($A2108&amp;"")*12+VALUE($B2108&amp;""))</f>
        <v/>
      </c>
      <c r="N2108" s="39">
        <f>IF($A2108="","",IFERROR(INDEX(부서매핑!$C$5:$C$504,MATCH($G2108&amp;"",부서매핑!$A$5:$A$504,0)),"미매핑"))</f>
        <v/>
      </c>
      <c r="O2108" s="9">
        <f>IF($A2108="","",N2108&amp;"|"&amp;$F2108)</f>
        <v/>
      </c>
      <c r="P2108" s="77">
        <f>IF($A2108="",0,$H2108*설정!$C$23)</f>
        <v/>
      </c>
      <c r="Q2108" s="39">
        <f>IF($A2108="","",IF(O2108&lt;&gt;원인분석!$C$9,"",IF(AND(M2108&gt;=원인분석!$C$10,M2108&lt;=원인분석!$C$11),"당기",IF(AND(M2108&gt;=원인분석!$C$12,M2108&lt;=원인분석!$C$13),"비교",""))))</f>
        <v/>
      </c>
      <c r="R2108" s="9">
        <f>IF(Q2108="","",$K2108&amp;"")</f>
        <v/>
      </c>
      <c r="S2108" s="9">
        <f>IF(Q2108="","",IF(MATCH(R2108,$R$5:$R$100000,0)=ROW()-4,ROW(),""))</f>
        <v/>
      </c>
      <c r="T2108" s="9">
        <f>IF(Q2108="당기",ABS(P2108)+ROW()/1000000000,"")</f>
        <v/>
      </c>
      <c r="U2108" s="9">
        <f>IF(Q2108="비교",ABS(P2108)+ROW()/1000000000,"")</f>
        <v/>
      </c>
      <c r="V2108" s="39">
        <f>IF($A2108="","",IF(COUNTIF(변동분석!$E$7:$E$506,O2108)&gt;0,"Y","N"))</f>
        <v/>
      </c>
      <c r="W2108" s="39">
        <f>IF($A2108="","",IFERROR(INDEX(계정매핑!$D$5:$D$504,MATCH($F2108&amp;"",계정매핑!$A$5:$A$504,0)),"미매핑"))</f>
        <v/>
      </c>
      <c r="X2108" s="9">
        <f>IF($A2108="","",$F2108&amp;"")</f>
        <v/>
      </c>
    </row>
    <row r="2109">
      <c r="A2109" s="75" t="n">
        <v>2025</v>
      </c>
      <c r="B2109" s="75" t="n">
        <v>11</v>
      </c>
      <c r="C2109" s="75" t="inlineStr">
        <is>
          <t>5100002105</t>
        </is>
      </c>
      <c r="D2109" s="78" t="n">
        <v>45984</v>
      </c>
      <c r="E2109" s="75" t="inlineStr">
        <is>
          <t>KR</t>
        </is>
      </c>
      <c r="F2109" s="75" t="n">
        <v>62101000</v>
      </c>
      <c r="G2109" s="75" t="n">
        <v>1701</v>
      </c>
      <c r="H2109" s="76" t="n">
        <v>224000</v>
      </c>
      <c r="I2109" s="75" t="inlineStr">
        <is>
          <t>11월 국내출장 - (법인카드)</t>
        </is>
      </c>
      <c r="J2109" s="75" t="inlineStr">
        <is>
          <t>V10008</t>
        </is>
      </c>
      <c r="K2109" s="75" t="inlineStr">
        <is>
          <t>(법인카드)</t>
        </is>
      </c>
      <c r="M2109" s="9">
        <f>IF($A2109="","",VALUE($A2109&amp;"")*12+VALUE($B2109&amp;""))</f>
        <v/>
      </c>
      <c r="N2109" s="39">
        <f>IF($A2109="","",IFERROR(INDEX(부서매핑!$C$5:$C$504,MATCH($G2109&amp;"",부서매핑!$A$5:$A$504,0)),"미매핑"))</f>
        <v/>
      </c>
      <c r="O2109" s="9">
        <f>IF($A2109="","",N2109&amp;"|"&amp;$F2109)</f>
        <v/>
      </c>
      <c r="P2109" s="77">
        <f>IF($A2109="",0,$H2109*설정!$C$23)</f>
        <v/>
      </c>
      <c r="Q2109" s="39">
        <f>IF($A2109="","",IF(O2109&lt;&gt;원인분석!$C$9,"",IF(AND(M2109&gt;=원인분석!$C$10,M2109&lt;=원인분석!$C$11),"당기",IF(AND(M2109&gt;=원인분석!$C$12,M2109&lt;=원인분석!$C$13),"비교",""))))</f>
        <v/>
      </c>
      <c r="R2109" s="9">
        <f>IF(Q2109="","",$K2109&amp;"")</f>
        <v/>
      </c>
      <c r="S2109" s="9">
        <f>IF(Q2109="","",IF(MATCH(R2109,$R$5:$R$100000,0)=ROW()-4,ROW(),""))</f>
        <v/>
      </c>
      <c r="T2109" s="9">
        <f>IF(Q2109="당기",ABS(P2109)+ROW()/1000000000,"")</f>
        <v/>
      </c>
      <c r="U2109" s="9">
        <f>IF(Q2109="비교",ABS(P2109)+ROW()/1000000000,"")</f>
        <v/>
      </c>
      <c r="V2109" s="39">
        <f>IF($A2109="","",IF(COUNTIF(변동분석!$E$7:$E$506,O2109)&gt;0,"Y","N"))</f>
        <v/>
      </c>
      <c r="W2109" s="39">
        <f>IF($A2109="","",IFERROR(INDEX(계정매핑!$D$5:$D$504,MATCH($F2109&amp;"",계정매핑!$A$5:$A$504,0)),"미매핑"))</f>
        <v/>
      </c>
      <c r="X2109" s="9">
        <f>IF($A2109="","",$F2109&amp;"")</f>
        <v/>
      </c>
    </row>
    <row r="2110">
      <c r="A2110" s="75" t="n">
        <v>2025</v>
      </c>
      <c r="B2110" s="75" t="n">
        <v>11</v>
      </c>
      <c r="C2110" s="75" t="inlineStr">
        <is>
          <t>5100002106</t>
        </is>
      </c>
      <c r="D2110" s="78" t="n">
        <v>45984</v>
      </c>
      <c r="E2110" s="75" t="inlineStr">
        <is>
          <t>KR</t>
        </is>
      </c>
      <c r="F2110" s="75" t="n">
        <v>62102000</v>
      </c>
      <c r="G2110" s="75" t="n">
        <v>1201</v>
      </c>
      <c r="H2110" s="76" t="n">
        <v>59000</v>
      </c>
      <c r="I2110" s="75" t="inlineStr">
        <is>
          <t>11월 해외출장 - M항공</t>
        </is>
      </c>
      <c r="J2110" s="75" t="inlineStr">
        <is>
          <t>V10001</t>
        </is>
      </c>
      <c r="K2110" s="75" t="inlineStr">
        <is>
          <t>M항공</t>
        </is>
      </c>
      <c r="M2110" s="9">
        <f>IF($A2110="","",VALUE($A2110&amp;"")*12+VALUE($B2110&amp;""))</f>
        <v/>
      </c>
      <c r="N2110" s="39">
        <f>IF($A2110="","",IFERROR(INDEX(부서매핑!$C$5:$C$504,MATCH($G2110&amp;"",부서매핑!$A$5:$A$504,0)),"미매핑"))</f>
        <v/>
      </c>
      <c r="O2110" s="9">
        <f>IF($A2110="","",N2110&amp;"|"&amp;$F2110)</f>
        <v/>
      </c>
      <c r="P2110" s="77">
        <f>IF($A2110="",0,$H2110*설정!$C$23)</f>
        <v/>
      </c>
      <c r="Q2110" s="39">
        <f>IF($A2110="","",IF(O2110&lt;&gt;원인분석!$C$9,"",IF(AND(M2110&gt;=원인분석!$C$10,M2110&lt;=원인분석!$C$11),"당기",IF(AND(M2110&gt;=원인분석!$C$12,M2110&lt;=원인분석!$C$13),"비교",""))))</f>
        <v/>
      </c>
      <c r="R2110" s="9">
        <f>IF(Q2110="","",$K2110&amp;"")</f>
        <v/>
      </c>
      <c r="S2110" s="9">
        <f>IF(Q2110="","",IF(MATCH(R2110,$R$5:$R$100000,0)=ROW()-4,ROW(),""))</f>
        <v/>
      </c>
      <c r="T2110" s="9">
        <f>IF(Q2110="당기",ABS(P2110)+ROW()/1000000000,"")</f>
        <v/>
      </c>
      <c r="U2110" s="9">
        <f>IF(Q2110="비교",ABS(P2110)+ROW()/1000000000,"")</f>
        <v/>
      </c>
      <c r="V2110" s="39">
        <f>IF($A2110="","",IF(COUNTIF(변동분석!$E$7:$E$506,O2110)&gt;0,"Y","N"))</f>
        <v/>
      </c>
      <c r="W2110" s="39">
        <f>IF($A2110="","",IFERROR(INDEX(계정매핑!$D$5:$D$504,MATCH($F2110&amp;"",계정매핑!$A$5:$A$504,0)),"미매핑"))</f>
        <v/>
      </c>
      <c r="X2110" s="9">
        <f>IF($A2110="","",$F2110&amp;"")</f>
        <v/>
      </c>
    </row>
    <row r="2111">
      <c r="A2111" s="75" t="n">
        <v>2025</v>
      </c>
      <c r="B2111" s="75" t="n">
        <v>11</v>
      </c>
      <c r="C2111" s="75" t="inlineStr">
        <is>
          <t>5100002107</t>
        </is>
      </c>
      <c r="D2111" s="78" t="n">
        <v>45984</v>
      </c>
      <c r="E2111" s="75" t="inlineStr">
        <is>
          <t>KR</t>
        </is>
      </c>
      <c r="F2111" s="75" t="n">
        <v>62201000</v>
      </c>
      <c r="G2111" s="75" t="n">
        <v>1501</v>
      </c>
      <c r="H2111" s="76" t="n">
        <v>194000</v>
      </c>
      <c r="I2111" s="75" t="inlineStr">
        <is>
          <t>11월 통신요금 - P통신</t>
        </is>
      </c>
      <c r="J2111" s="75" t="inlineStr">
        <is>
          <t>V10011</t>
        </is>
      </c>
      <c r="K2111" s="75" t="inlineStr">
        <is>
          <t>P통신</t>
        </is>
      </c>
      <c r="M2111" s="9">
        <f>IF($A2111="","",VALUE($A2111&amp;"")*12+VALUE($B2111&amp;""))</f>
        <v/>
      </c>
      <c r="N2111" s="39">
        <f>IF($A2111="","",IFERROR(INDEX(부서매핑!$C$5:$C$504,MATCH($G2111&amp;"",부서매핑!$A$5:$A$504,0)),"미매핑"))</f>
        <v/>
      </c>
      <c r="O2111" s="9">
        <f>IF($A2111="","",N2111&amp;"|"&amp;$F2111)</f>
        <v/>
      </c>
      <c r="P2111" s="77">
        <f>IF($A2111="",0,$H2111*설정!$C$23)</f>
        <v/>
      </c>
      <c r="Q2111" s="39">
        <f>IF($A2111="","",IF(O2111&lt;&gt;원인분석!$C$9,"",IF(AND(M2111&gt;=원인분석!$C$10,M2111&lt;=원인분석!$C$11),"당기",IF(AND(M2111&gt;=원인분석!$C$12,M2111&lt;=원인분석!$C$13),"비교",""))))</f>
        <v/>
      </c>
      <c r="R2111" s="9">
        <f>IF(Q2111="","",$K2111&amp;"")</f>
        <v/>
      </c>
      <c r="S2111" s="9">
        <f>IF(Q2111="","",IF(MATCH(R2111,$R$5:$R$100000,0)=ROW()-4,ROW(),""))</f>
        <v/>
      </c>
      <c r="T2111" s="9">
        <f>IF(Q2111="당기",ABS(P2111)+ROW()/1000000000,"")</f>
        <v/>
      </c>
      <c r="U2111" s="9">
        <f>IF(Q2111="비교",ABS(P2111)+ROW()/1000000000,"")</f>
        <v/>
      </c>
      <c r="V2111" s="39">
        <f>IF($A2111="","",IF(COUNTIF(변동분석!$E$7:$E$506,O2111)&gt;0,"Y","N"))</f>
        <v/>
      </c>
      <c r="W2111" s="39">
        <f>IF($A2111="","",IFERROR(INDEX(계정매핑!$D$5:$D$504,MATCH($F2111&amp;"",계정매핑!$A$5:$A$504,0)),"미매핑"))</f>
        <v/>
      </c>
      <c r="X2111" s="9">
        <f>IF($A2111="","",$F2111&amp;"")</f>
        <v/>
      </c>
    </row>
    <row r="2112">
      <c r="A2112" s="75" t="n">
        <v>2025</v>
      </c>
      <c r="B2112" s="75" t="n">
        <v>11</v>
      </c>
      <c r="C2112" s="75" t="inlineStr">
        <is>
          <t>5100002108</t>
        </is>
      </c>
      <c r="D2112" s="78" t="n">
        <v>45984</v>
      </c>
      <c r="E2112" s="75" t="inlineStr">
        <is>
          <t>KR</t>
        </is>
      </c>
      <c r="F2112" s="75" t="n">
        <v>62301000</v>
      </c>
      <c r="G2112" s="75" t="n">
        <v>1301</v>
      </c>
      <c r="H2112" s="76" t="n">
        <v>386000</v>
      </c>
      <c r="I2112" s="75" t="inlineStr">
        <is>
          <t>11월 소모품 구입 - Q오피스</t>
        </is>
      </c>
      <c r="J2112" s="75" t="inlineStr">
        <is>
          <t>V10003</t>
        </is>
      </c>
      <c r="K2112" s="75" t="inlineStr">
        <is>
          <t>Q오피스</t>
        </is>
      </c>
      <c r="M2112" s="9">
        <f>IF($A2112="","",VALUE($A2112&amp;"")*12+VALUE($B2112&amp;""))</f>
        <v/>
      </c>
      <c r="N2112" s="39">
        <f>IF($A2112="","",IFERROR(INDEX(부서매핑!$C$5:$C$504,MATCH($G2112&amp;"",부서매핑!$A$5:$A$504,0)),"미매핑"))</f>
        <v/>
      </c>
      <c r="O2112" s="9">
        <f>IF($A2112="","",N2112&amp;"|"&amp;$F2112)</f>
        <v/>
      </c>
      <c r="P2112" s="77">
        <f>IF($A2112="",0,$H2112*설정!$C$23)</f>
        <v/>
      </c>
      <c r="Q2112" s="39">
        <f>IF($A2112="","",IF(O2112&lt;&gt;원인분석!$C$9,"",IF(AND(M2112&gt;=원인분석!$C$10,M2112&lt;=원인분석!$C$11),"당기",IF(AND(M2112&gt;=원인분석!$C$12,M2112&lt;=원인분석!$C$13),"비교",""))))</f>
        <v/>
      </c>
      <c r="R2112" s="9">
        <f>IF(Q2112="","",$K2112&amp;"")</f>
        <v/>
      </c>
      <c r="S2112" s="9">
        <f>IF(Q2112="","",IF(MATCH(R2112,$R$5:$R$100000,0)=ROW()-4,ROW(),""))</f>
        <v/>
      </c>
      <c r="T2112" s="9">
        <f>IF(Q2112="당기",ABS(P2112)+ROW()/1000000000,"")</f>
        <v/>
      </c>
      <c r="U2112" s="9">
        <f>IF(Q2112="비교",ABS(P2112)+ROW()/1000000000,"")</f>
        <v/>
      </c>
      <c r="V2112" s="39">
        <f>IF($A2112="","",IF(COUNTIF(변동분석!$E$7:$E$506,O2112)&gt;0,"Y","N"))</f>
        <v/>
      </c>
      <c r="W2112" s="39">
        <f>IF($A2112="","",IFERROR(INDEX(계정매핑!$D$5:$D$504,MATCH($F2112&amp;"",계정매핑!$A$5:$A$504,0)),"미매핑"))</f>
        <v/>
      </c>
      <c r="X2112" s="9">
        <f>IF($A2112="","",$F2112&amp;"")</f>
        <v/>
      </c>
    </row>
    <row r="2113">
      <c r="A2113" s="75" t="n">
        <v>2025</v>
      </c>
      <c r="B2113" s="75" t="n">
        <v>11</v>
      </c>
      <c r="C2113" s="75" t="inlineStr">
        <is>
          <t>5100002109</t>
        </is>
      </c>
      <c r="D2113" s="78" t="n">
        <v>45984</v>
      </c>
      <c r="E2113" s="75" t="inlineStr">
        <is>
          <t>KR</t>
        </is>
      </c>
      <c r="F2113" s="75" t="n">
        <v>62501000</v>
      </c>
      <c r="G2113" s="75" t="n">
        <v>1301</v>
      </c>
      <c r="H2113" s="76" t="n">
        <v>322000</v>
      </c>
      <c r="I2113" s="75" t="inlineStr">
        <is>
          <t>11월 회의 다과 - T케이터링</t>
        </is>
      </c>
      <c r="J2113" s="75" t="inlineStr">
        <is>
          <t>V10005</t>
        </is>
      </c>
      <c r="K2113" s="75" t="inlineStr">
        <is>
          <t>T케이터링</t>
        </is>
      </c>
      <c r="M2113" s="9">
        <f>IF($A2113="","",VALUE($A2113&amp;"")*12+VALUE($B2113&amp;""))</f>
        <v/>
      </c>
      <c r="N2113" s="39">
        <f>IF($A2113="","",IFERROR(INDEX(부서매핑!$C$5:$C$504,MATCH($G2113&amp;"",부서매핑!$A$5:$A$504,0)),"미매핑"))</f>
        <v/>
      </c>
      <c r="O2113" s="9">
        <f>IF($A2113="","",N2113&amp;"|"&amp;$F2113)</f>
        <v/>
      </c>
      <c r="P2113" s="77">
        <f>IF($A2113="",0,$H2113*설정!$C$23)</f>
        <v/>
      </c>
      <c r="Q2113" s="39">
        <f>IF($A2113="","",IF(O2113&lt;&gt;원인분석!$C$9,"",IF(AND(M2113&gt;=원인분석!$C$10,M2113&lt;=원인분석!$C$11),"당기",IF(AND(M2113&gt;=원인분석!$C$12,M2113&lt;=원인분석!$C$13),"비교",""))))</f>
        <v/>
      </c>
      <c r="R2113" s="9">
        <f>IF(Q2113="","",$K2113&amp;"")</f>
        <v/>
      </c>
      <c r="S2113" s="9">
        <f>IF(Q2113="","",IF(MATCH(R2113,$R$5:$R$100000,0)=ROW()-4,ROW(),""))</f>
        <v/>
      </c>
      <c r="T2113" s="9">
        <f>IF(Q2113="당기",ABS(P2113)+ROW()/1000000000,"")</f>
        <v/>
      </c>
      <c r="U2113" s="9">
        <f>IF(Q2113="비교",ABS(P2113)+ROW()/1000000000,"")</f>
        <v/>
      </c>
      <c r="V2113" s="39">
        <f>IF($A2113="","",IF(COUNTIF(변동분석!$E$7:$E$506,O2113)&gt;0,"Y","N"))</f>
        <v/>
      </c>
      <c r="W2113" s="39">
        <f>IF($A2113="","",IFERROR(INDEX(계정매핑!$D$5:$D$504,MATCH($F2113&amp;"",계정매핑!$A$5:$A$504,0)),"미매핑"))</f>
        <v/>
      </c>
      <c r="X2113" s="9">
        <f>IF($A2113="","",$F2113&amp;"")</f>
        <v/>
      </c>
    </row>
    <row r="2114">
      <c r="A2114" s="75" t="n">
        <v>2025</v>
      </c>
      <c r="B2114" s="75" t="n">
        <v>11</v>
      </c>
      <c r="C2114" s="75" t="inlineStr">
        <is>
          <t>5100002110</t>
        </is>
      </c>
      <c r="D2114" s="78" t="n">
        <v>45984</v>
      </c>
      <c r="E2114" s="75" t="inlineStr">
        <is>
          <t>KR</t>
        </is>
      </c>
      <c r="F2114" s="75" t="n">
        <v>62501000</v>
      </c>
      <c r="G2114" s="75" t="n">
        <v>1401</v>
      </c>
      <c r="H2114" s="76" t="n">
        <v>104000</v>
      </c>
      <c r="I2114" s="75" t="inlineStr">
        <is>
          <t>11월 회의 다과 - T케이터링</t>
        </is>
      </c>
      <c r="J2114" s="75" t="inlineStr">
        <is>
          <t>V10005</t>
        </is>
      </c>
      <c r="K2114" s="75" t="inlineStr">
        <is>
          <t>T케이터링</t>
        </is>
      </c>
      <c r="M2114" s="9">
        <f>IF($A2114="","",VALUE($A2114&amp;"")*12+VALUE($B2114&amp;""))</f>
        <v/>
      </c>
      <c r="N2114" s="39">
        <f>IF($A2114="","",IFERROR(INDEX(부서매핑!$C$5:$C$504,MATCH($G2114&amp;"",부서매핑!$A$5:$A$504,0)),"미매핑"))</f>
        <v/>
      </c>
      <c r="O2114" s="9">
        <f>IF($A2114="","",N2114&amp;"|"&amp;$F2114)</f>
        <v/>
      </c>
      <c r="P2114" s="77">
        <f>IF($A2114="",0,$H2114*설정!$C$23)</f>
        <v/>
      </c>
      <c r="Q2114" s="39">
        <f>IF($A2114="","",IF(O2114&lt;&gt;원인분석!$C$9,"",IF(AND(M2114&gt;=원인분석!$C$10,M2114&lt;=원인분석!$C$11),"당기",IF(AND(M2114&gt;=원인분석!$C$12,M2114&lt;=원인분석!$C$13),"비교",""))))</f>
        <v/>
      </c>
      <c r="R2114" s="9">
        <f>IF(Q2114="","",$K2114&amp;"")</f>
        <v/>
      </c>
      <c r="S2114" s="9">
        <f>IF(Q2114="","",IF(MATCH(R2114,$R$5:$R$100000,0)=ROW()-4,ROW(),""))</f>
        <v/>
      </c>
      <c r="T2114" s="9">
        <f>IF(Q2114="당기",ABS(P2114)+ROW()/1000000000,"")</f>
        <v/>
      </c>
      <c r="U2114" s="9">
        <f>IF(Q2114="비교",ABS(P2114)+ROW()/1000000000,"")</f>
        <v/>
      </c>
      <c r="V2114" s="39">
        <f>IF($A2114="","",IF(COUNTIF(변동분석!$E$7:$E$506,O2114)&gt;0,"Y","N"))</f>
        <v/>
      </c>
      <c r="W2114" s="39">
        <f>IF($A2114="","",IFERROR(INDEX(계정매핑!$D$5:$D$504,MATCH($F2114&amp;"",계정매핑!$A$5:$A$504,0)),"미매핑"))</f>
        <v/>
      </c>
      <c r="X2114" s="9">
        <f>IF($A2114="","",$F2114&amp;"")</f>
        <v/>
      </c>
    </row>
    <row r="2115">
      <c r="A2115" s="75" t="n">
        <v>2025</v>
      </c>
      <c r="B2115" s="75" t="n">
        <v>11</v>
      </c>
      <c r="C2115" s="75" t="inlineStr">
        <is>
          <t>5100002111</t>
        </is>
      </c>
      <c r="D2115" s="78" t="n">
        <v>45984</v>
      </c>
      <c r="E2115" s="75" t="inlineStr">
        <is>
          <t>KR</t>
        </is>
      </c>
      <c r="F2115" s="75" t="n">
        <v>63001000</v>
      </c>
      <c r="G2115" s="75" t="n">
        <v>1701</v>
      </c>
      <c r="H2115" s="76" t="n">
        <v>45241000</v>
      </c>
      <c r="I2115" s="75" t="inlineStr">
        <is>
          <t>11월 SW 유지보수 - Z시스템</t>
        </is>
      </c>
      <c r="J2115" s="75" t="inlineStr">
        <is>
          <t>V10021</t>
        </is>
      </c>
      <c r="K2115" s="75" t="inlineStr">
        <is>
          <t>Z시스템</t>
        </is>
      </c>
      <c r="M2115" s="9">
        <f>IF($A2115="","",VALUE($A2115&amp;"")*12+VALUE($B2115&amp;""))</f>
        <v/>
      </c>
      <c r="N2115" s="39">
        <f>IF($A2115="","",IFERROR(INDEX(부서매핑!$C$5:$C$504,MATCH($G2115&amp;"",부서매핑!$A$5:$A$504,0)),"미매핑"))</f>
        <v/>
      </c>
      <c r="O2115" s="9">
        <f>IF($A2115="","",N2115&amp;"|"&amp;$F2115)</f>
        <v/>
      </c>
      <c r="P2115" s="77">
        <f>IF($A2115="",0,$H2115*설정!$C$23)</f>
        <v/>
      </c>
      <c r="Q2115" s="39">
        <f>IF($A2115="","",IF(O2115&lt;&gt;원인분석!$C$9,"",IF(AND(M2115&gt;=원인분석!$C$10,M2115&lt;=원인분석!$C$11),"당기",IF(AND(M2115&gt;=원인분석!$C$12,M2115&lt;=원인분석!$C$13),"비교",""))))</f>
        <v/>
      </c>
      <c r="R2115" s="9">
        <f>IF(Q2115="","",$K2115&amp;"")</f>
        <v/>
      </c>
      <c r="S2115" s="9">
        <f>IF(Q2115="","",IF(MATCH(R2115,$R$5:$R$100000,0)=ROW()-4,ROW(),""))</f>
        <v/>
      </c>
      <c r="T2115" s="9">
        <f>IF(Q2115="당기",ABS(P2115)+ROW()/1000000000,"")</f>
        <v/>
      </c>
      <c r="U2115" s="9">
        <f>IF(Q2115="비교",ABS(P2115)+ROW()/1000000000,"")</f>
        <v/>
      </c>
      <c r="V2115" s="39">
        <f>IF($A2115="","",IF(COUNTIF(변동분석!$E$7:$E$506,O2115)&gt;0,"Y","N"))</f>
        <v/>
      </c>
      <c r="W2115" s="39">
        <f>IF($A2115="","",IFERROR(INDEX(계정매핑!$D$5:$D$504,MATCH($F2115&amp;"",계정매핑!$A$5:$A$504,0)),"미매핑"))</f>
        <v/>
      </c>
      <c r="X2115" s="9">
        <f>IF($A2115="","",$F2115&amp;"")</f>
        <v/>
      </c>
    </row>
    <row r="2116">
      <c r="A2116" s="75" t="n">
        <v>2025</v>
      </c>
      <c r="B2116" s="75" t="n">
        <v>11</v>
      </c>
      <c r="C2116" s="75" t="inlineStr">
        <is>
          <t>5100002112</t>
        </is>
      </c>
      <c r="D2116" s="78" t="n">
        <v>45985</v>
      </c>
      <c r="E2116" s="75" t="inlineStr">
        <is>
          <t>KR</t>
        </is>
      </c>
      <c r="F2116" s="75" t="n">
        <v>62101000</v>
      </c>
      <c r="G2116" s="75" t="n">
        <v>1201</v>
      </c>
      <c r="H2116" s="76" t="n">
        <v>210000</v>
      </c>
      <c r="I2116" s="75" t="inlineStr">
        <is>
          <t>11월 국내출장 - (법인카드)</t>
        </is>
      </c>
      <c r="J2116" s="75" t="inlineStr">
        <is>
          <t>V10008</t>
        </is>
      </c>
      <c r="K2116" s="75" t="inlineStr">
        <is>
          <t>(법인카드)</t>
        </is>
      </c>
      <c r="M2116" s="9">
        <f>IF($A2116="","",VALUE($A2116&amp;"")*12+VALUE($B2116&amp;""))</f>
        <v/>
      </c>
      <c r="N2116" s="39">
        <f>IF($A2116="","",IFERROR(INDEX(부서매핑!$C$5:$C$504,MATCH($G2116&amp;"",부서매핑!$A$5:$A$504,0)),"미매핑"))</f>
        <v/>
      </c>
      <c r="O2116" s="9">
        <f>IF($A2116="","",N2116&amp;"|"&amp;$F2116)</f>
        <v/>
      </c>
      <c r="P2116" s="77">
        <f>IF($A2116="",0,$H2116*설정!$C$23)</f>
        <v/>
      </c>
      <c r="Q2116" s="39">
        <f>IF($A2116="","",IF(O2116&lt;&gt;원인분석!$C$9,"",IF(AND(M2116&gt;=원인분석!$C$10,M2116&lt;=원인분석!$C$11),"당기",IF(AND(M2116&gt;=원인분석!$C$12,M2116&lt;=원인분석!$C$13),"비교",""))))</f>
        <v/>
      </c>
      <c r="R2116" s="9">
        <f>IF(Q2116="","",$K2116&amp;"")</f>
        <v/>
      </c>
      <c r="S2116" s="9">
        <f>IF(Q2116="","",IF(MATCH(R2116,$R$5:$R$100000,0)=ROW()-4,ROW(),""))</f>
        <v/>
      </c>
      <c r="T2116" s="9">
        <f>IF(Q2116="당기",ABS(P2116)+ROW()/1000000000,"")</f>
        <v/>
      </c>
      <c r="U2116" s="9">
        <f>IF(Q2116="비교",ABS(P2116)+ROW()/1000000000,"")</f>
        <v/>
      </c>
      <c r="V2116" s="39">
        <f>IF($A2116="","",IF(COUNTIF(변동분석!$E$7:$E$506,O2116)&gt;0,"Y","N"))</f>
        <v/>
      </c>
      <c r="W2116" s="39">
        <f>IF($A2116="","",IFERROR(INDEX(계정매핑!$D$5:$D$504,MATCH($F2116&amp;"",계정매핑!$A$5:$A$504,0)),"미매핑"))</f>
        <v/>
      </c>
      <c r="X2116" s="9">
        <f>IF($A2116="","",$F2116&amp;"")</f>
        <v/>
      </c>
    </row>
    <row r="2117">
      <c r="A2117" s="75" t="n">
        <v>2025</v>
      </c>
      <c r="B2117" s="75" t="n">
        <v>11</v>
      </c>
      <c r="C2117" s="75" t="inlineStr">
        <is>
          <t>5100002113</t>
        </is>
      </c>
      <c r="D2117" s="78" t="n">
        <v>45985</v>
      </c>
      <c r="E2117" s="75" t="inlineStr">
        <is>
          <t>KR</t>
        </is>
      </c>
      <c r="F2117" s="75" t="n">
        <v>62101000</v>
      </c>
      <c r="G2117" s="75" t="n">
        <v>1301</v>
      </c>
      <c r="H2117" s="76" t="n">
        <v>332000</v>
      </c>
      <c r="I2117" s="75" t="inlineStr">
        <is>
          <t>11월 국내출장 - (법인카드)</t>
        </is>
      </c>
      <c r="J2117" s="75" t="inlineStr">
        <is>
          <t>V10008</t>
        </is>
      </c>
      <c r="K2117" s="75" t="inlineStr">
        <is>
          <t>(법인카드)</t>
        </is>
      </c>
      <c r="M2117" s="9">
        <f>IF($A2117="","",VALUE($A2117&amp;"")*12+VALUE($B2117&amp;""))</f>
        <v/>
      </c>
      <c r="N2117" s="39">
        <f>IF($A2117="","",IFERROR(INDEX(부서매핑!$C$5:$C$504,MATCH($G2117&amp;"",부서매핑!$A$5:$A$504,0)),"미매핑"))</f>
        <v/>
      </c>
      <c r="O2117" s="9">
        <f>IF($A2117="","",N2117&amp;"|"&amp;$F2117)</f>
        <v/>
      </c>
      <c r="P2117" s="77">
        <f>IF($A2117="",0,$H2117*설정!$C$23)</f>
        <v/>
      </c>
      <c r="Q2117" s="39">
        <f>IF($A2117="","",IF(O2117&lt;&gt;원인분석!$C$9,"",IF(AND(M2117&gt;=원인분석!$C$10,M2117&lt;=원인분석!$C$11),"당기",IF(AND(M2117&gt;=원인분석!$C$12,M2117&lt;=원인분석!$C$13),"비교",""))))</f>
        <v/>
      </c>
      <c r="R2117" s="9">
        <f>IF(Q2117="","",$K2117&amp;"")</f>
        <v/>
      </c>
      <c r="S2117" s="9">
        <f>IF(Q2117="","",IF(MATCH(R2117,$R$5:$R$100000,0)=ROW()-4,ROW(),""))</f>
        <v/>
      </c>
      <c r="T2117" s="9">
        <f>IF(Q2117="당기",ABS(P2117)+ROW()/1000000000,"")</f>
        <v/>
      </c>
      <c r="U2117" s="9">
        <f>IF(Q2117="비교",ABS(P2117)+ROW()/1000000000,"")</f>
        <v/>
      </c>
      <c r="V2117" s="39">
        <f>IF($A2117="","",IF(COUNTIF(변동분석!$E$7:$E$506,O2117)&gt;0,"Y","N"))</f>
        <v/>
      </c>
      <c r="W2117" s="39">
        <f>IF($A2117="","",IFERROR(INDEX(계정매핑!$D$5:$D$504,MATCH($F2117&amp;"",계정매핑!$A$5:$A$504,0)),"미매핑"))</f>
        <v/>
      </c>
      <c r="X2117" s="9">
        <f>IF($A2117="","",$F2117&amp;"")</f>
        <v/>
      </c>
    </row>
    <row r="2118">
      <c r="A2118" s="75" t="n">
        <v>2025</v>
      </c>
      <c r="B2118" s="75" t="n">
        <v>11</v>
      </c>
      <c r="C2118" s="75" t="inlineStr">
        <is>
          <t>5100002114</t>
        </is>
      </c>
      <c r="D2118" s="78" t="n">
        <v>45985</v>
      </c>
      <c r="E2118" s="75" t="inlineStr">
        <is>
          <t>KR</t>
        </is>
      </c>
      <c r="F2118" s="75" t="n">
        <v>62102000</v>
      </c>
      <c r="G2118" s="75" t="n">
        <v>1101</v>
      </c>
      <c r="H2118" s="76" t="n">
        <v>102000</v>
      </c>
      <c r="I2118" s="75" t="inlineStr">
        <is>
          <t>11월 해외출장 - M항공</t>
        </is>
      </c>
      <c r="J2118" s="75" t="inlineStr">
        <is>
          <t>V10001</t>
        </is>
      </c>
      <c r="K2118" s="75" t="inlineStr">
        <is>
          <t>M항공</t>
        </is>
      </c>
      <c r="M2118" s="9">
        <f>IF($A2118="","",VALUE($A2118&amp;"")*12+VALUE($B2118&amp;""))</f>
        <v/>
      </c>
      <c r="N2118" s="39">
        <f>IF($A2118="","",IFERROR(INDEX(부서매핑!$C$5:$C$504,MATCH($G2118&amp;"",부서매핑!$A$5:$A$504,0)),"미매핑"))</f>
        <v/>
      </c>
      <c r="O2118" s="9">
        <f>IF($A2118="","",N2118&amp;"|"&amp;$F2118)</f>
        <v/>
      </c>
      <c r="P2118" s="77">
        <f>IF($A2118="",0,$H2118*설정!$C$23)</f>
        <v/>
      </c>
      <c r="Q2118" s="39">
        <f>IF($A2118="","",IF(O2118&lt;&gt;원인분석!$C$9,"",IF(AND(M2118&gt;=원인분석!$C$10,M2118&lt;=원인분석!$C$11),"당기",IF(AND(M2118&gt;=원인분석!$C$12,M2118&lt;=원인분석!$C$13),"비교",""))))</f>
        <v/>
      </c>
      <c r="R2118" s="9">
        <f>IF(Q2118="","",$K2118&amp;"")</f>
        <v/>
      </c>
      <c r="S2118" s="9">
        <f>IF(Q2118="","",IF(MATCH(R2118,$R$5:$R$100000,0)=ROW()-4,ROW(),""))</f>
        <v/>
      </c>
      <c r="T2118" s="9">
        <f>IF(Q2118="당기",ABS(P2118)+ROW()/1000000000,"")</f>
        <v/>
      </c>
      <c r="U2118" s="9">
        <f>IF(Q2118="비교",ABS(P2118)+ROW()/1000000000,"")</f>
        <v/>
      </c>
      <c r="V2118" s="39">
        <f>IF($A2118="","",IF(COUNTIF(변동분석!$E$7:$E$506,O2118)&gt;0,"Y","N"))</f>
        <v/>
      </c>
      <c r="W2118" s="39">
        <f>IF($A2118="","",IFERROR(INDEX(계정매핑!$D$5:$D$504,MATCH($F2118&amp;"",계정매핑!$A$5:$A$504,0)),"미매핑"))</f>
        <v/>
      </c>
      <c r="X2118" s="9">
        <f>IF($A2118="","",$F2118&amp;"")</f>
        <v/>
      </c>
    </row>
    <row r="2119">
      <c r="A2119" s="75" t="n">
        <v>2025</v>
      </c>
      <c r="B2119" s="75" t="n">
        <v>11</v>
      </c>
      <c r="C2119" s="75" t="inlineStr">
        <is>
          <t>5100002115</t>
        </is>
      </c>
      <c r="D2119" s="78" t="n">
        <v>45985</v>
      </c>
      <c r="E2119" s="75" t="inlineStr">
        <is>
          <t>KR</t>
        </is>
      </c>
      <c r="F2119" s="75" t="n">
        <v>62201000</v>
      </c>
      <c r="G2119" s="75" t="n">
        <v>1201</v>
      </c>
      <c r="H2119" s="76" t="n">
        <v>129000</v>
      </c>
      <c r="I2119" s="75" t="inlineStr">
        <is>
          <t>11월 통신요금 - P통신</t>
        </is>
      </c>
      <c r="J2119" s="75" t="inlineStr">
        <is>
          <t>V10011</t>
        </is>
      </c>
      <c r="K2119" s="75" t="inlineStr">
        <is>
          <t>P통신</t>
        </is>
      </c>
      <c r="M2119" s="9">
        <f>IF($A2119="","",VALUE($A2119&amp;"")*12+VALUE($B2119&amp;""))</f>
        <v/>
      </c>
      <c r="N2119" s="39">
        <f>IF($A2119="","",IFERROR(INDEX(부서매핑!$C$5:$C$504,MATCH($G2119&amp;"",부서매핑!$A$5:$A$504,0)),"미매핑"))</f>
        <v/>
      </c>
      <c r="O2119" s="9">
        <f>IF($A2119="","",N2119&amp;"|"&amp;$F2119)</f>
        <v/>
      </c>
      <c r="P2119" s="77">
        <f>IF($A2119="",0,$H2119*설정!$C$23)</f>
        <v/>
      </c>
      <c r="Q2119" s="39">
        <f>IF($A2119="","",IF(O2119&lt;&gt;원인분석!$C$9,"",IF(AND(M2119&gt;=원인분석!$C$10,M2119&lt;=원인분석!$C$11),"당기",IF(AND(M2119&gt;=원인분석!$C$12,M2119&lt;=원인분석!$C$13),"비교",""))))</f>
        <v/>
      </c>
      <c r="R2119" s="9">
        <f>IF(Q2119="","",$K2119&amp;"")</f>
        <v/>
      </c>
      <c r="S2119" s="9">
        <f>IF(Q2119="","",IF(MATCH(R2119,$R$5:$R$100000,0)=ROW()-4,ROW(),""))</f>
        <v/>
      </c>
      <c r="T2119" s="9">
        <f>IF(Q2119="당기",ABS(P2119)+ROW()/1000000000,"")</f>
        <v/>
      </c>
      <c r="U2119" s="9">
        <f>IF(Q2119="비교",ABS(P2119)+ROW()/1000000000,"")</f>
        <v/>
      </c>
      <c r="V2119" s="39">
        <f>IF($A2119="","",IF(COUNTIF(변동분석!$E$7:$E$506,O2119)&gt;0,"Y","N"))</f>
        <v/>
      </c>
      <c r="W2119" s="39">
        <f>IF($A2119="","",IFERROR(INDEX(계정매핑!$D$5:$D$504,MATCH($F2119&amp;"",계정매핑!$A$5:$A$504,0)),"미매핑"))</f>
        <v/>
      </c>
      <c r="X2119" s="9">
        <f>IF($A2119="","",$F2119&amp;"")</f>
        <v/>
      </c>
    </row>
    <row r="2120">
      <c r="A2120" s="75" t="n">
        <v>2025</v>
      </c>
      <c r="B2120" s="75" t="n">
        <v>11</v>
      </c>
      <c r="C2120" s="75" t="inlineStr">
        <is>
          <t>5100002116</t>
        </is>
      </c>
      <c r="D2120" s="78" t="n">
        <v>45985</v>
      </c>
      <c r="E2120" s="75" t="inlineStr">
        <is>
          <t>KR</t>
        </is>
      </c>
      <c r="F2120" s="75" t="n">
        <v>62301000</v>
      </c>
      <c r="G2120" s="75" t="n">
        <v>1201</v>
      </c>
      <c r="H2120" s="76" t="n">
        <v>172000</v>
      </c>
      <c r="I2120" s="75" t="inlineStr">
        <is>
          <t>11월 소모품 구입 - Q오피스</t>
        </is>
      </c>
      <c r="J2120" s="75" t="inlineStr">
        <is>
          <t>V10003</t>
        </is>
      </c>
      <c r="K2120" s="75" t="inlineStr">
        <is>
          <t>Q오피스</t>
        </is>
      </c>
      <c r="M2120" s="9">
        <f>IF($A2120="","",VALUE($A2120&amp;"")*12+VALUE($B2120&amp;""))</f>
        <v/>
      </c>
      <c r="N2120" s="39">
        <f>IF($A2120="","",IFERROR(INDEX(부서매핑!$C$5:$C$504,MATCH($G2120&amp;"",부서매핑!$A$5:$A$504,0)),"미매핑"))</f>
        <v/>
      </c>
      <c r="O2120" s="9">
        <f>IF($A2120="","",N2120&amp;"|"&amp;$F2120)</f>
        <v/>
      </c>
      <c r="P2120" s="77">
        <f>IF($A2120="",0,$H2120*설정!$C$23)</f>
        <v/>
      </c>
      <c r="Q2120" s="39">
        <f>IF($A2120="","",IF(O2120&lt;&gt;원인분석!$C$9,"",IF(AND(M2120&gt;=원인분석!$C$10,M2120&lt;=원인분석!$C$11),"당기",IF(AND(M2120&gt;=원인분석!$C$12,M2120&lt;=원인분석!$C$13),"비교",""))))</f>
        <v/>
      </c>
      <c r="R2120" s="9">
        <f>IF(Q2120="","",$K2120&amp;"")</f>
        <v/>
      </c>
      <c r="S2120" s="9">
        <f>IF(Q2120="","",IF(MATCH(R2120,$R$5:$R$100000,0)=ROW()-4,ROW(),""))</f>
        <v/>
      </c>
      <c r="T2120" s="9">
        <f>IF(Q2120="당기",ABS(P2120)+ROW()/1000000000,"")</f>
        <v/>
      </c>
      <c r="U2120" s="9">
        <f>IF(Q2120="비교",ABS(P2120)+ROW()/1000000000,"")</f>
        <v/>
      </c>
      <c r="V2120" s="39">
        <f>IF($A2120="","",IF(COUNTIF(변동분석!$E$7:$E$506,O2120)&gt;0,"Y","N"))</f>
        <v/>
      </c>
      <c r="W2120" s="39">
        <f>IF($A2120="","",IFERROR(INDEX(계정매핑!$D$5:$D$504,MATCH($F2120&amp;"",계정매핑!$A$5:$A$504,0)),"미매핑"))</f>
        <v/>
      </c>
      <c r="X2120" s="9">
        <f>IF($A2120="","",$F2120&amp;"")</f>
        <v/>
      </c>
    </row>
    <row r="2121">
      <c r="A2121" s="75" t="n">
        <v>2025</v>
      </c>
      <c r="B2121" s="75" t="n">
        <v>11</v>
      </c>
      <c r="C2121" s="75" t="inlineStr">
        <is>
          <t>5100002117</t>
        </is>
      </c>
      <c r="D2121" s="78" t="n">
        <v>45985</v>
      </c>
      <c r="E2121" s="75" t="inlineStr">
        <is>
          <t>KR</t>
        </is>
      </c>
      <c r="F2121" s="75" t="n">
        <v>62401000</v>
      </c>
      <c r="G2121" s="75" t="n">
        <v>1401</v>
      </c>
      <c r="H2121" s="76" t="n">
        <v>248000</v>
      </c>
      <c r="I2121" s="75" t="inlineStr">
        <is>
          <t>11월 인쇄물 제작 - S출판</t>
        </is>
      </c>
      <c r="J2121" s="75" t="inlineStr">
        <is>
          <t>V10012</t>
        </is>
      </c>
      <c r="K2121" s="75" t="inlineStr">
        <is>
          <t>S출판</t>
        </is>
      </c>
      <c r="M2121" s="9">
        <f>IF($A2121="","",VALUE($A2121&amp;"")*12+VALUE($B2121&amp;""))</f>
        <v/>
      </c>
      <c r="N2121" s="39">
        <f>IF($A2121="","",IFERROR(INDEX(부서매핑!$C$5:$C$504,MATCH($G2121&amp;"",부서매핑!$A$5:$A$504,0)),"미매핑"))</f>
        <v/>
      </c>
      <c r="O2121" s="9">
        <f>IF($A2121="","",N2121&amp;"|"&amp;$F2121)</f>
        <v/>
      </c>
      <c r="P2121" s="77">
        <f>IF($A2121="",0,$H2121*설정!$C$23)</f>
        <v/>
      </c>
      <c r="Q2121" s="39">
        <f>IF($A2121="","",IF(O2121&lt;&gt;원인분석!$C$9,"",IF(AND(M2121&gt;=원인분석!$C$10,M2121&lt;=원인분석!$C$11),"당기",IF(AND(M2121&gt;=원인분석!$C$12,M2121&lt;=원인분석!$C$13),"비교",""))))</f>
        <v/>
      </c>
      <c r="R2121" s="9">
        <f>IF(Q2121="","",$K2121&amp;"")</f>
        <v/>
      </c>
      <c r="S2121" s="9">
        <f>IF(Q2121="","",IF(MATCH(R2121,$R$5:$R$100000,0)=ROW()-4,ROW(),""))</f>
        <v/>
      </c>
      <c r="T2121" s="9">
        <f>IF(Q2121="당기",ABS(P2121)+ROW()/1000000000,"")</f>
        <v/>
      </c>
      <c r="U2121" s="9">
        <f>IF(Q2121="비교",ABS(P2121)+ROW()/1000000000,"")</f>
        <v/>
      </c>
      <c r="V2121" s="39">
        <f>IF($A2121="","",IF(COUNTIF(변동분석!$E$7:$E$506,O2121)&gt;0,"Y","N"))</f>
        <v/>
      </c>
      <c r="W2121" s="39">
        <f>IF($A2121="","",IFERROR(INDEX(계정매핑!$D$5:$D$504,MATCH($F2121&amp;"",계정매핑!$A$5:$A$504,0)),"미매핑"))</f>
        <v/>
      </c>
      <c r="X2121" s="9">
        <f>IF($A2121="","",$F2121&amp;"")</f>
        <v/>
      </c>
    </row>
    <row r="2122">
      <c r="A2122" s="75" t="n">
        <v>2025</v>
      </c>
      <c r="B2122" s="75" t="n">
        <v>11</v>
      </c>
      <c r="C2122" s="75" t="inlineStr">
        <is>
          <t>5100002118</t>
        </is>
      </c>
      <c r="D2122" s="78" t="n">
        <v>45985</v>
      </c>
      <c r="E2122" s="75" t="inlineStr">
        <is>
          <t>KR</t>
        </is>
      </c>
      <c r="F2122" s="75" t="n">
        <v>62501000</v>
      </c>
      <c r="G2122" s="75" t="n">
        <v>1801</v>
      </c>
      <c r="H2122" s="76" t="n">
        <v>156000</v>
      </c>
      <c r="I2122" s="75" t="inlineStr">
        <is>
          <t>11월 회의 다과 - (법인카드)</t>
        </is>
      </c>
      <c r="J2122" s="75" t="inlineStr">
        <is>
          <t>V10008</t>
        </is>
      </c>
      <c r="K2122" s="75" t="inlineStr">
        <is>
          <t>(법인카드)</t>
        </is>
      </c>
      <c r="M2122" s="9">
        <f>IF($A2122="","",VALUE($A2122&amp;"")*12+VALUE($B2122&amp;""))</f>
        <v/>
      </c>
      <c r="N2122" s="39">
        <f>IF($A2122="","",IFERROR(INDEX(부서매핑!$C$5:$C$504,MATCH($G2122&amp;"",부서매핑!$A$5:$A$504,0)),"미매핑"))</f>
        <v/>
      </c>
      <c r="O2122" s="9">
        <f>IF($A2122="","",N2122&amp;"|"&amp;$F2122)</f>
        <v/>
      </c>
      <c r="P2122" s="77">
        <f>IF($A2122="",0,$H2122*설정!$C$23)</f>
        <v/>
      </c>
      <c r="Q2122" s="39">
        <f>IF($A2122="","",IF(O2122&lt;&gt;원인분석!$C$9,"",IF(AND(M2122&gt;=원인분석!$C$10,M2122&lt;=원인분석!$C$11),"당기",IF(AND(M2122&gt;=원인분석!$C$12,M2122&lt;=원인분석!$C$13),"비교",""))))</f>
        <v/>
      </c>
      <c r="R2122" s="9">
        <f>IF(Q2122="","",$K2122&amp;"")</f>
        <v/>
      </c>
      <c r="S2122" s="9">
        <f>IF(Q2122="","",IF(MATCH(R2122,$R$5:$R$100000,0)=ROW()-4,ROW(),""))</f>
        <v/>
      </c>
      <c r="T2122" s="9">
        <f>IF(Q2122="당기",ABS(P2122)+ROW()/1000000000,"")</f>
        <v/>
      </c>
      <c r="U2122" s="9">
        <f>IF(Q2122="비교",ABS(P2122)+ROW()/1000000000,"")</f>
        <v/>
      </c>
      <c r="V2122" s="39">
        <f>IF($A2122="","",IF(COUNTIF(변동분석!$E$7:$E$506,O2122)&gt;0,"Y","N"))</f>
        <v/>
      </c>
      <c r="W2122" s="39">
        <f>IF($A2122="","",IFERROR(INDEX(계정매핑!$D$5:$D$504,MATCH($F2122&amp;"",계정매핑!$A$5:$A$504,0)),"미매핑"))</f>
        <v/>
      </c>
      <c r="X2122" s="9">
        <f>IF($A2122="","",$F2122&amp;"")</f>
        <v/>
      </c>
    </row>
    <row r="2123">
      <c r="A2123" s="75" t="n">
        <v>2025</v>
      </c>
      <c r="B2123" s="75" t="n">
        <v>11</v>
      </c>
      <c r="C2123" s="75" t="inlineStr">
        <is>
          <t>5100002119</t>
        </is>
      </c>
      <c r="D2123" s="78" t="n">
        <v>45985</v>
      </c>
      <c r="E2123" s="75" t="inlineStr">
        <is>
          <t>KR</t>
        </is>
      </c>
      <c r="F2123" s="75" t="n">
        <v>62701000</v>
      </c>
      <c r="G2123" s="75" t="n">
        <v>1502</v>
      </c>
      <c r="H2123" s="76" t="n">
        <v>46222000</v>
      </c>
      <c r="I2123" s="75" t="inlineStr">
        <is>
          <t>11월 광고 집행 - F애드</t>
        </is>
      </c>
      <c r="J2123" s="75" t="inlineStr">
        <is>
          <t>V10019</t>
        </is>
      </c>
      <c r="K2123" s="75" t="inlineStr">
        <is>
          <t>F애드</t>
        </is>
      </c>
      <c r="M2123" s="9">
        <f>IF($A2123="","",VALUE($A2123&amp;"")*12+VALUE($B2123&amp;""))</f>
        <v/>
      </c>
      <c r="N2123" s="39">
        <f>IF($A2123="","",IFERROR(INDEX(부서매핑!$C$5:$C$504,MATCH($G2123&amp;"",부서매핑!$A$5:$A$504,0)),"미매핑"))</f>
        <v/>
      </c>
      <c r="O2123" s="9">
        <f>IF($A2123="","",N2123&amp;"|"&amp;$F2123)</f>
        <v/>
      </c>
      <c r="P2123" s="77">
        <f>IF($A2123="",0,$H2123*설정!$C$23)</f>
        <v/>
      </c>
      <c r="Q2123" s="39">
        <f>IF($A2123="","",IF(O2123&lt;&gt;원인분석!$C$9,"",IF(AND(M2123&gt;=원인분석!$C$10,M2123&lt;=원인분석!$C$11),"당기",IF(AND(M2123&gt;=원인분석!$C$12,M2123&lt;=원인분석!$C$13),"비교",""))))</f>
        <v/>
      </c>
      <c r="R2123" s="9">
        <f>IF(Q2123="","",$K2123&amp;"")</f>
        <v/>
      </c>
      <c r="S2123" s="9">
        <f>IF(Q2123="","",IF(MATCH(R2123,$R$5:$R$100000,0)=ROW()-4,ROW(),""))</f>
        <v/>
      </c>
      <c r="T2123" s="9">
        <f>IF(Q2123="당기",ABS(P2123)+ROW()/1000000000,"")</f>
        <v/>
      </c>
      <c r="U2123" s="9">
        <f>IF(Q2123="비교",ABS(P2123)+ROW()/1000000000,"")</f>
        <v/>
      </c>
      <c r="V2123" s="39">
        <f>IF($A2123="","",IF(COUNTIF(변동분석!$E$7:$E$506,O2123)&gt;0,"Y","N"))</f>
        <v/>
      </c>
      <c r="W2123" s="39">
        <f>IF($A2123="","",IFERROR(INDEX(계정매핑!$D$5:$D$504,MATCH($F2123&amp;"",계정매핑!$A$5:$A$504,0)),"미매핑"))</f>
        <v/>
      </c>
      <c r="X2123" s="9">
        <f>IF($A2123="","",$F2123&amp;"")</f>
        <v/>
      </c>
    </row>
    <row r="2124">
      <c r="A2124" s="75" t="n">
        <v>2025</v>
      </c>
      <c r="B2124" s="75" t="n">
        <v>11</v>
      </c>
      <c r="C2124" s="75" t="inlineStr">
        <is>
          <t>5100002120</t>
        </is>
      </c>
      <c r="D2124" s="78" t="n">
        <v>45985</v>
      </c>
      <c r="E2124" s="75" t="inlineStr">
        <is>
          <t>KR</t>
        </is>
      </c>
      <c r="F2124" s="75" t="n">
        <v>62802000</v>
      </c>
      <c r="G2124" s="75" t="n">
        <v>1301</v>
      </c>
      <c r="H2124" s="76" t="n">
        <v>6967000</v>
      </c>
      <c r="I2124" s="75" t="inlineStr">
        <is>
          <t>11월 위탁교육 - V아카데미</t>
        </is>
      </c>
      <c r="J2124" s="75" t="inlineStr">
        <is>
          <t>V10023</t>
        </is>
      </c>
      <c r="K2124" s="75" t="inlineStr">
        <is>
          <t>V아카데미</t>
        </is>
      </c>
      <c r="M2124" s="9">
        <f>IF($A2124="","",VALUE($A2124&amp;"")*12+VALUE($B2124&amp;""))</f>
        <v/>
      </c>
      <c r="N2124" s="39">
        <f>IF($A2124="","",IFERROR(INDEX(부서매핑!$C$5:$C$504,MATCH($G2124&amp;"",부서매핑!$A$5:$A$504,0)),"미매핑"))</f>
        <v/>
      </c>
      <c r="O2124" s="9">
        <f>IF($A2124="","",N2124&amp;"|"&amp;$F2124)</f>
        <v/>
      </c>
      <c r="P2124" s="77">
        <f>IF($A2124="",0,$H2124*설정!$C$23)</f>
        <v/>
      </c>
      <c r="Q2124" s="39">
        <f>IF($A2124="","",IF(O2124&lt;&gt;원인분석!$C$9,"",IF(AND(M2124&gt;=원인분석!$C$10,M2124&lt;=원인분석!$C$11),"당기",IF(AND(M2124&gt;=원인분석!$C$12,M2124&lt;=원인분석!$C$13),"비교",""))))</f>
        <v/>
      </c>
      <c r="R2124" s="9">
        <f>IF(Q2124="","",$K2124&amp;"")</f>
        <v/>
      </c>
      <c r="S2124" s="9">
        <f>IF(Q2124="","",IF(MATCH(R2124,$R$5:$R$100000,0)=ROW()-4,ROW(),""))</f>
        <v/>
      </c>
      <c r="T2124" s="9">
        <f>IF(Q2124="당기",ABS(P2124)+ROW()/1000000000,"")</f>
        <v/>
      </c>
      <c r="U2124" s="9">
        <f>IF(Q2124="비교",ABS(P2124)+ROW()/1000000000,"")</f>
        <v/>
      </c>
      <c r="V2124" s="39">
        <f>IF($A2124="","",IF(COUNTIF(변동분석!$E$7:$E$506,O2124)&gt;0,"Y","N"))</f>
        <v/>
      </c>
      <c r="W2124" s="39">
        <f>IF($A2124="","",IFERROR(INDEX(계정매핑!$D$5:$D$504,MATCH($F2124&amp;"",계정매핑!$A$5:$A$504,0)),"미매핑"))</f>
        <v/>
      </c>
      <c r="X2124" s="9">
        <f>IF($A2124="","",$F2124&amp;"")</f>
        <v/>
      </c>
    </row>
    <row r="2125">
      <c r="A2125" s="75" t="n">
        <v>2025</v>
      </c>
      <c r="B2125" s="75" t="n">
        <v>11</v>
      </c>
      <c r="C2125" s="75" t="inlineStr">
        <is>
          <t>5100002121</t>
        </is>
      </c>
      <c r="D2125" s="78" t="n">
        <v>45986</v>
      </c>
      <c r="E2125" s="75" t="inlineStr">
        <is>
          <t>KR</t>
        </is>
      </c>
      <c r="F2125" s="75" t="n">
        <v>62102000</v>
      </c>
      <c r="G2125" s="75" t="n">
        <v>1701</v>
      </c>
      <c r="H2125" s="76" t="n">
        <v>75000</v>
      </c>
      <c r="I2125" s="75" t="inlineStr">
        <is>
          <t>11월 해외출장 - N호텔</t>
        </is>
      </c>
      <c r="J2125" s="75" t="inlineStr">
        <is>
          <t>V10007</t>
        </is>
      </c>
      <c r="K2125" s="75" t="inlineStr">
        <is>
          <t>N호텔</t>
        </is>
      </c>
      <c r="M2125" s="9">
        <f>IF($A2125="","",VALUE($A2125&amp;"")*12+VALUE($B2125&amp;""))</f>
        <v/>
      </c>
      <c r="N2125" s="39">
        <f>IF($A2125="","",IFERROR(INDEX(부서매핑!$C$5:$C$504,MATCH($G2125&amp;"",부서매핑!$A$5:$A$504,0)),"미매핑"))</f>
        <v/>
      </c>
      <c r="O2125" s="9">
        <f>IF($A2125="","",N2125&amp;"|"&amp;$F2125)</f>
        <v/>
      </c>
      <c r="P2125" s="77">
        <f>IF($A2125="",0,$H2125*설정!$C$23)</f>
        <v/>
      </c>
      <c r="Q2125" s="39">
        <f>IF($A2125="","",IF(O2125&lt;&gt;원인분석!$C$9,"",IF(AND(M2125&gt;=원인분석!$C$10,M2125&lt;=원인분석!$C$11),"당기",IF(AND(M2125&gt;=원인분석!$C$12,M2125&lt;=원인분석!$C$13),"비교",""))))</f>
        <v/>
      </c>
      <c r="R2125" s="9">
        <f>IF(Q2125="","",$K2125&amp;"")</f>
        <v/>
      </c>
      <c r="S2125" s="9">
        <f>IF(Q2125="","",IF(MATCH(R2125,$R$5:$R$100000,0)=ROW()-4,ROW(),""))</f>
        <v/>
      </c>
      <c r="T2125" s="9">
        <f>IF(Q2125="당기",ABS(P2125)+ROW()/1000000000,"")</f>
        <v/>
      </c>
      <c r="U2125" s="9">
        <f>IF(Q2125="비교",ABS(P2125)+ROW()/1000000000,"")</f>
        <v/>
      </c>
      <c r="V2125" s="39">
        <f>IF($A2125="","",IF(COUNTIF(변동분석!$E$7:$E$506,O2125)&gt;0,"Y","N"))</f>
        <v/>
      </c>
      <c r="W2125" s="39">
        <f>IF($A2125="","",IFERROR(INDEX(계정매핑!$D$5:$D$504,MATCH($F2125&amp;"",계정매핑!$A$5:$A$504,0)),"미매핑"))</f>
        <v/>
      </c>
      <c r="X2125" s="9">
        <f>IF($A2125="","",$F2125&amp;"")</f>
        <v/>
      </c>
    </row>
    <row r="2126">
      <c r="A2126" s="75" t="n">
        <v>2025</v>
      </c>
      <c r="B2126" s="75" t="n">
        <v>11</v>
      </c>
      <c r="C2126" s="75" t="inlineStr">
        <is>
          <t>5100002122</t>
        </is>
      </c>
      <c r="D2126" s="78" t="n">
        <v>45986</v>
      </c>
      <c r="E2126" s="75" t="inlineStr">
        <is>
          <t>KR</t>
        </is>
      </c>
      <c r="F2126" s="75" t="n">
        <v>62102000</v>
      </c>
      <c r="G2126" s="75" t="n">
        <v>1801</v>
      </c>
      <c r="H2126" s="76" t="n">
        <v>36000</v>
      </c>
      <c r="I2126" s="75" t="inlineStr">
        <is>
          <t>11월 해외출장 - M항공</t>
        </is>
      </c>
      <c r="J2126" s="75" t="inlineStr">
        <is>
          <t>V10001</t>
        </is>
      </c>
      <c r="K2126" s="75" t="inlineStr">
        <is>
          <t>M항공</t>
        </is>
      </c>
      <c r="M2126" s="9">
        <f>IF($A2126="","",VALUE($A2126&amp;"")*12+VALUE($B2126&amp;""))</f>
        <v/>
      </c>
      <c r="N2126" s="39">
        <f>IF($A2126="","",IFERROR(INDEX(부서매핑!$C$5:$C$504,MATCH($G2126&amp;"",부서매핑!$A$5:$A$504,0)),"미매핑"))</f>
        <v/>
      </c>
      <c r="O2126" s="9">
        <f>IF($A2126="","",N2126&amp;"|"&amp;$F2126)</f>
        <v/>
      </c>
      <c r="P2126" s="77">
        <f>IF($A2126="",0,$H2126*설정!$C$23)</f>
        <v/>
      </c>
      <c r="Q2126" s="39">
        <f>IF($A2126="","",IF(O2126&lt;&gt;원인분석!$C$9,"",IF(AND(M2126&gt;=원인분석!$C$10,M2126&lt;=원인분석!$C$11),"당기",IF(AND(M2126&gt;=원인분석!$C$12,M2126&lt;=원인분석!$C$13),"비교",""))))</f>
        <v/>
      </c>
      <c r="R2126" s="9">
        <f>IF(Q2126="","",$K2126&amp;"")</f>
        <v/>
      </c>
      <c r="S2126" s="9">
        <f>IF(Q2126="","",IF(MATCH(R2126,$R$5:$R$100000,0)=ROW()-4,ROW(),""))</f>
        <v/>
      </c>
      <c r="T2126" s="9">
        <f>IF(Q2126="당기",ABS(P2126)+ROW()/1000000000,"")</f>
        <v/>
      </c>
      <c r="U2126" s="9">
        <f>IF(Q2126="비교",ABS(P2126)+ROW()/1000000000,"")</f>
        <v/>
      </c>
      <c r="V2126" s="39">
        <f>IF($A2126="","",IF(COUNTIF(변동분석!$E$7:$E$506,O2126)&gt;0,"Y","N"))</f>
        <v/>
      </c>
      <c r="W2126" s="39">
        <f>IF($A2126="","",IFERROR(INDEX(계정매핑!$D$5:$D$504,MATCH($F2126&amp;"",계정매핑!$A$5:$A$504,0)),"미매핑"))</f>
        <v/>
      </c>
      <c r="X2126" s="9">
        <f>IF($A2126="","",$F2126&amp;"")</f>
        <v/>
      </c>
    </row>
    <row r="2127">
      <c r="A2127" s="75" t="n">
        <v>2025</v>
      </c>
      <c r="B2127" s="75" t="n">
        <v>11</v>
      </c>
      <c r="C2127" s="75" t="inlineStr">
        <is>
          <t>5100002123</t>
        </is>
      </c>
      <c r="D2127" s="78" t="n">
        <v>45986</v>
      </c>
      <c r="E2127" s="75" t="inlineStr">
        <is>
          <t>KR</t>
        </is>
      </c>
      <c r="F2127" s="75" t="n">
        <v>62301000</v>
      </c>
      <c r="G2127" s="75" t="n">
        <v>1101</v>
      </c>
      <c r="H2127" s="76" t="n">
        <v>217000</v>
      </c>
      <c r="I2127" s="75" t="inlineStr">
        <is>
          <t>11월 소모품 구입 - R문구</t>
        </is>
      </c>
      <c r="J2127" s="75" t="inlineStr">
        <is>
          <t>V10018</t>
        </is>
      </c>
      <c r="K2127" s="75" t="inlineStr">
        <is>
          <t>R문구</t>
        </is>
      </c>
      <c r="M2127" s="9">
        <f>IF($A2127="","",VALUE($A2127&amp;"")*12+VALUE($B2127&amp;""))</f>
        <v/>
      </c>
      <c r="N2127" s="39">
        <f>IF($A2127="","",IFERROR(INDEX(부서매핑!$C$5:$C$504,MATCH($G2127&amp;"",부서매핑!$A$5:$A$504,0)),"미매핑"))</f>
        <v/>
      </c>
      <c r="O2127" s="9">
        <f>IF($A2127="","",N2127&amp;"|"&amp;$F2127)</f>
        <v/>
      </c>
      <c r="P2127" s="77">
        <f>IF($A2127="",0,$H2127*설정!$C$23)</f>
        <v/>
      </c>
      <c r="Q2127" s="39">
        <f>IF($A2127="","",IF(O2127&lt;&gt;원인분석!$C$9,"",IF(AND(M2127&gt;=원인분석!$C$10,M2127&lt;=원인분석!$C$11),"당기",IF(AND(M2127&gt;=원인분석!$C$12,M2127&lt;=원인분석!$C$13),"비교",""))))</f>
        <v/>
      </c>
      <c r="R2127" s="9">
        <f>IF(Q2127="","",$K2127&amp;"")</f>
        <v/>
      </c>
      <c r="S2127" s="9">
        <f>IF(Q2127="","",IF(MATCH(R2127,$R$5:$R$100000,0)=ROW()-4,ROW(),""))</f>
        <v/>
      </c>
      <c r="T2127" s="9">
        <f>IF(Q2127="당기",ABS(P2127)+ROW()/1000000000,"")</f>
        <v/>
      </c>
      <c r="U2127" s="9">
        <f>IF(Q2127="비교",ABS(P2127)+ROW()/1000000000,"")</f>
        <v/>
      </c>
      <c r="V2127" s="39">
        <f>IF($A2127="","",IF(COUNTIF(변동분석!$E$7:$E$506,O2127)&gt;0,"Y","N"))</f>
        <v/>
      </c>
      <c r="W2127" s="39">
        <f>IF($A2127="","",IFERROR(INDEX(계정매핑!$D$5:$D$504,MATCH($F2127&amp;"",계정매핑!$A$5:$A$504,0)),"미매핑"))</f>
        <v/>
      </c>
      <c r="X2127" s="9">
        <f>IF($A2127="","",$F2127&amp;"")</f>
        <v/>
      </c>
    </row>
    <row r="2128">
      <c r="A2128" s="75" t="n">
        <v>2025</v>
      </c>
      <c r="B2128" s="75" t="n">
        <v>11</v>
      </c>
      <c r="C2128" s="75" t="inlineStr">
        <is>
          <t>5100002124</t>
        </is>
      </c>
      <c r="D2128" s="78" t="n">
        <v>45986</v>
      </c>
      <c r="E2128" s="75" t="inlineStr">
        <is>
          <t>KR</t>
        </is>
      </c>
      <c r="F2128" s="75" t="n">
        <v>62401000</v>
      </c>
      <c r="G2128" s="75" t="n">
        <v>1501</v>
      </c>
      <c r="H2128" s="76" t="n">
        <v>2048000</v>
      </c>
      <c r="I2128" s="75" t="inlineStr">
        <is>
          <t>11월 인쇄물 제작 - S출판</t>
        </is>
      </c>
      <c r="J2128" s="75" t="inlineStr">
        <is>
          <t>V10012</t>
        </is>
      </c>
      <c r="K2128" s="75" t="inlineStr">
        <is>
          <t>S출판</t>
        </is>
      </c>
      <c r="M2128" s="9">
        <f>IF($A2128="","",VALUE($A2128&amp;"")*12+VALUE($B2128&amp;""))</f>
        <v/>
      </c>
      <c r="N2128" s="39">
        <f>IF($A2128="","",IFERROR(INDEX(부서매핑!$C$5:$C$504,MATCH($G2128&amp;"",부서매핑!$A$5:$A$504,0)),"미매핑"))</f>
        <v/>
      </c>
      <c r="O2128" s="9">
        <f>IF($A2128="","",N2128&amp;"|"&amp;$F2128)</f>
        <v/>
      </c>
      <c r="P2128" s="77">
        <f>IF($A2128="",0,$H2128*설정!$C$23)</f>
        <v/>
      </c>
      <c r="Q2128" s="39">
        <f>IF($A2128="","",IF(O2128&lt;&gt;원인분석!$C$9,"",IF(AND(M2128&gt;=원인분석!$C$10,M2128&lt;=원인분석!$C$11),"당기",IF(AND(M2128&gt;=원인분석!$C$12,M2128&lt;=원인분석!$C$13),"비교",""))))</f>
        <v/>
      </c>
      <c r="R2128" s="9">
        <f>IF(Q2128="","",$K2128&amp;"")</f>
        <v/>
      </c>
      <c r="S2128" s="9">
        <f>IF(Q2128="","",IF(MATCH(R2128,$R$5:$R$100000,0)=ROW()-4,ROW(),""))</f>
        <v/>
      </c>
      <c r="T2128" s="9">
        <f>IF(Q2128="당기",ABS(P2128)+ROW()/1000000000,"")</f>
        <v/>
      </c>
      <c r="U2128" s="9">
        <f>IF(Q2128="비교",ABS(P2128)+ROW()/1000000000,"")</f>
        <v/>
      </c>
      <c r="V2128" s="39">
        <f>IF($A2128="","",IF(COUNTIF(변동분석!$E$7:$E$506,O2128)&gt;0,"Y","N"))</f>
        <v/>
      </c>
      <c r="W2128" s="39">
        <f>IF($A2128="","",IFERROR(INDEX(계정매핑!$D$5:$D$504,MATCH($F2128&amp;"",계정매핑!$A$5:$A$504,0)),"미매핑"))</f>
        <v/>
      </c>
      <c r="X2128" s="9">
        <f>IF($A2128="","",$F2128&amp;"")</f>
        <v/>
      </c>
    </row>
    <row r="2129">
      <c r="A2129" s="75" t="n">
        <v>2025</v>
      </c>
      <c r="B2129" s="75" t="n">
        <v>11</v>
      </c>
      <c r="C2129" s="75" t="inlineStr">
        <is>
          <t>5100002125</t>
        </is>
      </c>
      <c r="D2129" s="78" t="n">
        <v>45986</v>
      </c>
      <c r="E2129" s="75" t="inlineStr">
        <is>
          <t>KR</t>
        </is>
      </c>
      <c r="F2129" s="75" t="n">
        <v>62501000</v>
      </c>
      <c r="G2129" s="75" t="n">
        <v>1201</v>
      </c>
      <c r="H2129" s="76" t="n">
        <v>235000</v>
      </c>
      <c r="I2129" s="75" t="inlineStr">
        <is>
          <t>11월 회의 다과 - T케이터링</t>
        </is>
      </c>
      <c r="J2129" s="75" t="inlineStr">
        <is>
          <t>V10005</t>
        </is>
      </c>
      <c r="K2129" s="75" t="inlineStr">
        <is>
          <t>T케이터링</t>
        </is>
      </c>
      <c r="M2129" s="9">
        <f>IF($A2129="","",VALUE($A2129&amp;"")*12+VALUE($B2129&amp;""))</f>
        <v/>
      </c>
      <c r="N2129" s="39">
        <f>IF($A2129="","",IFERROR(INDEX(부서매핑!$C$5:$C$504,MATCH($G2129&amp;"",부서매핑!$A$5:$A$504,0)),"미매핑"))</f>
        <v/>
      </c>
      <c r="O2129" s="9">
        <f>IF($A2129="","",N2129&amp;"|"&amp;$F2129)</f>
        <v/>
      </c>
      <c r="P2129" s="77">
        <f>IF($A2129="",0,$H2129*설정!$C$23)</f>
        <v/>
      </c>
      <c r="Q2129" s="39">
        <f>IF($A2129="","",IF(O2129&lt;&gt;원인분석!$C$9,"",IF(AND(M2129&gt;=원인분석!$C$10,M2129&lt;=원인분석!$C$11),"당기",IF(AND(M2129&gt;=원인분석!$C$12,M2129&lt;=원인분석!$C$13),"비교",""))))</f>
        <v/>
      </c>
      <c r="R2129" s="9">
        <f>IF(Q2129="","",$K2129&amp;"")</f>
        <v/>
      </c>
      <c r="S2129" s="9">
        <f>IF(Q2129="","",IF(MATCH(R2129,$R$5:$R$100000,0)=ROW()-4,ROW(),""))</f>
        <v/>
      </c>
      <c r="T2129" s="9">
        <f>IF(Q2129="당기",ABS(P2129)+ROW()/1000000000,"")</f>
        <v/>
      </c>
      <c r="U2129" s="9">
        <f>IF(Q2129="비교",ABS(P2129)+ROW()/1000000000,"")</f>
        <v/>
      </c>
      <c r="V2129" s="39">
        <f>IF($A2129="","",IF(COUNTIF(변동분석!$E$7:$E$506,O2129)&gt;0,"Y","N"))</f>
        <v/>
      </c>
      <c r="W2129" s="39">
        <f>IF($A2129="","",IFERROR(INDEX(계정매핑!$D$5:$D$504,MATCH($F2129&amp;"",계정매핑!$A$5:$A$504,0)),"미매핑"))</f>
        <v/>
      </c>
      <c r="X2129" s="9">
        <f>IF($A2129="","",$F2129&amp;"")</f>
        <v/>
      </c>
    </row>
    <row r="2130">
      <c r="A2130" s="75" t="n">
        <v>2025</v>
      </c>
      <c r="B2130" s="75" t="n">
        <v>11</v>
      </c>
      <c r="C2130" s="75" t="inlineStr">
        <is>
          <t>5100002126</t>
        </is>
      </c>
      <c r="D2130" s="78" t="n">
        <v>45986</v>
      </c>
      <c r="E2130" s="75" t="inlineStr">
        <is>
          <t>KR</t>
        </is>
      </c>
      <c r="F2130" s="75" t="n">
        <v>63002000</v>
      </c>
      <c r="G2130" s="75" t="n">
        <v>1701</v>
      </c>
      <c r="H2130" s="76" t="n">
        <v>71000000</v>
      </c>
      <c r="I2130" s="75" t="inlineStr">
        <is>
          <t>11월 클라우드 사용료 - C클라우드</t>
        </is>
      </c>
      <c r="J2130" s="75" t="inlineStr">
        <is>
          <t>V10028</t>
        </is>
      </c>
      <c r="K2130" s="75" t="inlineStr">
        <is>
          <t>C클라우드</t>
        </is>
      </c>
      <c r="M2130" s="9">
        <f>IF($A2130="","",VALUE($A2130&amp;"")*12+VALUE($B2130&amp;""))</f>
        <v/>
      </c>
      <c r="N2130" s="39">
        <f>IF($A2130="","",IFERROR(INDEX(부서매핑!$C$5:$C$504,MATCH($G2130&amp;"",부서매핑!$A$5:$A$504,0)),"미매핑"))</f>
        <v/>
      </c>
      <c r="O2130" s="9">
        <f>IF($A2130="","",N2130&amp;"|"&amp;$F2130)</f>
        <v/>
      </c>
      <c r="P2130" s="77">
        <f>IF($A2130="",0,$H2130*설정!$C$23)</f>
        <v/>
      </c>
      <c r="Q2130" s="39">
        <f>IF($A2130="","",IF(O2130&lt;&gt;원인분석!$C$9,"",IF(AND(M2130&gt;=원인분석!$C$10,M2130&lt;=원인분석!$C$11),"당기",IF(AND(M2130&gt;=원인분석!$C$12,M2130&lt;=원인분석!$C$13),"비교",""))))</f>
        <v/>
      </c>
      <c r="R2130" s="9">
        <f>IF(Q2130="","",$K2130&amp;"")</f>
        <v/>
      </c>
      <c r="S2130" s="9">
        <f>IF(Q2130="","",IF(MATCH(R2130,$R$5:$R$100000,0)=ROW()-4,ROW(),""))</f>
        <v/>
      </c>
      <c r="T2130" s="9">
        <f>IF(Q2130="당기",ABS(P2130)+ROW()/1000000000,"")</f>
        <v/>
      </c>
      <c r="U2130" s="9">
        <f>IF(Q2130="비교",ABS(P2130)+ROW()/1000000000,"")</f>
        <v/>
      </c>
      <c r="V2130" s="39">
        <f>IF($A2130="","",IF(COUNTIF(변동분석!$E$7:$E$506,O2130)&gt;0,"Y","N"))</f>
        <v/>
      </c>
      <c r="W2130" s="39">
        <f>IF($A2130="","",IFERROR(INDEX(계정매핑!$D$5:$D$504,MATCH($F2130&amp;"",계정매핑!$A$5:$A$504,0)),"미매핑"))</f>
        <v/>
      </c>
      <c r="X2130" s="9">
        <f>IF($A2130="","",$F2130&amp;"")</f>
        <v/>
      </c>
    </row>
    <row r="2131">
      <c r="A2131" s="75" t="n">
        <v>2025</v>
      </c>
      <c r="B2131" s="75" t="n">
        <v>11</v>
      </c>
      <c r="C2131" s="75" t="inlineStr">
        <is>
          <t>5100002127</t>
        </is>
      </c>
      <c r="D2131" s="78" t="n">
        <v>45986</v>
      </c>
      <c r="E2131" s="75" t="inlineStr">
        <is>
          <t>KR</t>
        </is>
      </c>
      <c r="F2131" s="75" t="n">
        <v>63101000</v>
      </c>
      <c r="G2131" s="75" t="n">
        <v>1602</v>
      </c>
      <c r="H2131" s="76" t="n">
        <v>6556000</v>
      </c>
      <c r="I2131" s="75" t="inlineStr">
        <is>
          <t>11월 사무실 임차료 - AA빌딩</t>
        </is>
      </c>
      <c r="J2131" s="75" t="inlineStr">
        <is>
          <t>V10006</t>
        </is>
      </c>
      <c r="K2131" s="75" t="inlineStr">
        <is>
          <t>AA빌딩</t>
        </is>
      </c>
      <c r="M2131" s="9">
        <f>IF($A2131="","",VALUE($A2131&amp;"")*12+VALUE($B2131&amp;""))</f>
        <v/>
      </c>
      <c r="N2131" s="39">
        <f>IF($A2131="","",IFERROR(INDEX(부서매핑!$C$5:$C$504,MATCH($G2131&amp;"",부서매핑!$A$5:$A$504,0)),"미매핑"))</f>
        <v/>
      </c>
      <c r="O2131" s="9">
        <f>IF($A2131="","",N2131&amp;"|"&amp;$F2131)</f>
        <v/>
      </c>
      <c r="P2131" s="77">
        <f>IF($A2131="",0,$H2131*설정!$C$23)</f>
        <v/>
      </c>
      <c r="Q2131" s="39">
        <f>IF($A2131="","",IF(O2131&lt;&gt;원인분석!$C$9,"",IF(AND(M2131&gt;=원인분석!$C$10,M2131&lt;=원인분석!$C$11),"당기",IF(AND(M2131&gt;=원인분석!$C$12,M2131&lt;=원인분석!$C$13),"비교",""))))</f>
        <v/>
      </c>
      <c r="R2131" s="9">
        <f>IF(Q2131="","",$K2131&amp;"")</f>
        <v/>
      </c>
      <c r="S2131" s="9">
        <f>IF(Q2131="","",IF(MATCH(R2131,$R$5:$R$100000,0)=ROW()-4,ROW(),""))</f>
        <v/>
      </c>
      <c r="T2131" s="9">
        <f>IF(Q2131="당기",ABS(P2131)+ROW()/1000000000,"")</f>
        <v/>
      </c>
      <c r="U2131" s="9">
        <f>IF(Q2131="비교",ABS(P2131)+ROW()/1000000000,"")</f>
        <v/>
      </c>
      <c r="V2131" s="39">
        <f>IF($A2131="","",IF(COUNTIF(변동분석!$E$7:$E$506,O2131)&gt;0,"Y","N"))</f>
        <v/>
      </c>
      <c r="W2131" s="39">
        <f>IF($A2131="","",IFERROR(INDEX(계정매핑!$D$5:$D$504,MATCH($F2131&amp;"",계정매핑!$A$5:$A$504,0)),"미매핑"))</f>
        <v/>
      </c>
      <c r="X2131" s="9">
        <f>IF($A2131="","",$F2131&amp;"")</f>
        <v/>
      </c>
    </row>
    <row r="2132">
      <c r="A2132" s="75" t="n">
        <v>2025</v>
      </c>
      <c r="B2132" s="75" t="n">
        <v>11</v>
      </c>
      <c r="C2132" s="75" t="inlineStr">
        <is>
          <t>5100002128</t>
        </is>
      </c>
      <c r="D2132" s="78" t="n">
        <v>45987</v>
      </c>
      <c r="E2132" s="75" t="inlineStr">
        <is>
          <t>KR</t>
        </is>
      </c>
      <c r="F2132" s="75" t="n">
        <v>62101000</v>
      </c>
      <c r="G2132" s="75" t="n">
        <v>1401</v>
      </c>
      <c r="H2132" s="76" t="n">
        <v>493000</v>
      </c>
      <c r="I2132" s="75" t="inlineStr">
        <is>
          <t>11월 국내출장 - (법인카드)</t>
        </is>
      </c>
      <c r="J2132" s="75" t="inlineStr">
        <is>
          <t>V10008</t>
        </is>
      </c>
      <c r="K2132" s="75" t="inlineStr">
        <is>
          <t>(법인카드)</t>
        </is>
      </c>
      <c r="M2132" s="9">
        <f>IF($A2132="","",VALUE($A2132&amp;"")*12+VALUE($B2132&amp;""))</f>
        <v/>
      </c>
      <c r="N2132" s="39">
        <f>IF($A2132="","",IFERROR(INDEX(부서매핑!$C$5:$C$504,MATCH($G2132&amp;"",부서매핑!$A$5:$A$504,0)),"미매핑"))</f>
        <v/>
      </c>
      <c r="O2132" s="9">
        <f>IF($A2132="","",N2132&amp;"|"&amp;$F2132)</f>
        <v/>
      </c>
      <c r="P2132" s="77">
        <f>IF($A2132="",0,$H2132*설정!$C$23)</f>
        <v/>
      </c>
      <c r="Q2132" s="39">
        <f>IF($A2132="","",IF(O2132&lt;&gt;원인분석!$C$9,"",IF(AND(M2132&gt;=원인분석!$C$10,M2132&lt;=원인분석!$C$11),"당기",IF(AND(M2132&gt;=원인분석!$C$12,M2132&lt;=원인분석!$C$13),"비교",""))))</f>
        <v/>
      </c>
      <c r="R2132" s="9">
        <f>IF(Q2132="","",$K2132&amp;"")</f>
        <v/>
      </c>
      <c r="S2132" s="9">
        <f>IF(Q2132="","",IF(MATCH(R2132,$R$5:$R$100000,0)=ROW()-4,ROW(),""))</f>
        <v/>
      </c>
      <c r="T2132" s="9">
        <f>IF(Q2132="당기",ABS(P2132)+ROW()/1000000000,"")</f>
        <v/>
      </c>
      <c r="U2132" s="9">
        <f>IF(Q2132="비교",ABS(P2132)+ROW()/1000000000,"")</f>
        <v/>
      </c>
      <c r="V2132" s="39">
        <f>IF($A2132="","",IF(COUNTIF(변동분석!$E$7:$E$506,O2132)&gt;0,"Y","N"))</f>
        <v/>
      </c>
      <c r="W2132" s="39">
        <f>IF($A2132="","",IFERROR(INDEX(계정매핑!$D$5:$D$504,MATCH($F2132&amp;"",계정매핑!$A$5:$A$504,0)),"미매핑"))</f>
        <v/>
      </c>
      <c r="X2132" s="9">
        <f>IF($A2132="","",$F2132&amp;"")</f>
        <v/>
      </c>
    </row>
    <row r="2133">
      <c r="A2133" s="75" t="n">
        <v>2025</v>
      </c>
      <c r="B2133" s="75" t="n">
        <v>11</v>
      </c>
      <c r="C2133" s="75" t="inlineStr">
        <is>
          <t>5100002129</t>
        </is>
      </c>
      <c r="D2133" s="78" t="n">
        <v>45987</v>
      </c>
      <c r="E2133" s="75" t="inlineStr">
        <is>
          <t>KR</t>
        </is>
      </c>
      <c r="F2133" s="75" t="n">
        <v>62101000</v>
      </c>
      <c r="G2133" s="75" t="n">
        <v>1501</v>
      </c>
      <c r="H2133" s="76" t="n">
        <v>475000</v>
      </c>
      <c r="I2133" s="75" t="inlineStr">
        <is>
          <t>11월 국내출장 - (법인카드)</t>
        </is>
      </c>
      <c r="J2133" s="75" t="inlineStr">
        <is>
          <t>V10008</t>
        </is>
      </c>
      <c r="K2133" s="75" t="inlineStr">
        <is>
          <t>(법인카드)</t>
        </is>
      </c>
      <c r="M2133" s="9">
        <f>IF($A2133="","",VALUE($A2133&amp;"")*12+VALUE($B2133&amp;""))</f>
        <v/>
      </c>
      <c r="N2133" s="39">
        <f>IF($A2133="","",IFERROR(INDEX(부서매핑!$C$5:$C$504,MATCH($G2133&amp;"",부서매핑!$A$5:$A$504,0)),"미매핑"))</f>
        <v/>
      </c>
      <c r="O2133" s="9">
        <f>IF($A2133="","",N2133&amp;"|"&amp;$F2133)</f>
        <v/>
      </c>
      <c r="P2133" s="77">
        <f>IF($A2133="",0,$H2133*설정!$C$23)</f>
        <v/>
      </c>
      <c r="Q2133" s="39">
        <f>IF($A2133="","",IF(O2133&lt;&gt;원인분석!$C$9,"",IF(AND(M2133&gt;=원인분석!$C$10,M2133&lt;=원인분석!$C$11),"당기",IF(AND(M2133&gt;=원인분석!$C$12,M2133&lt;=원인분석!$C$13),"비교",""))))</f>
        <v/>
      </c>
      <c r="R2133" s="9">
        <f>IF(Q2133="","",$K2133&amp;"")</f>
        <v/>
      </c>
      <c r="S2133" s="9">
        <f>IF(Q2133="","",IF(MATCH(R2133,$R$5:$R$100000,0)=ROW()-4,ROW(),""))</f>
        <v/>
      </c>
      <c r="T2133" s="9">
        <f>IF(Q2133="당기",ABS(P2133)+ROW()/1000000000,"")</f>
        <v/>
      </c>
      <c r="U2133" s="9">
        <f>IF(Q2133="비교",ABS(P2133)+ROW()/1000000000,"")</f>
        <v/>
      </c>
      <c r="V2133" s="39">
        <f>IF($A2133="","",IF(COUNTIF(변동분석!$E$7:$E$506,O2133)&gt;0,"Y","N"))</f>
        <v/>
      </c>
      <c r="W2133" s="39">
        <f>IF($A2133="","",IFERROR(INDEX(계정매핑!$D$5:$D$504,MATCH($F2133&amp;"",계정매핑!$A$5:$A$504,0)),"미매핑"))</f>
        <v/>
      </c>
      <c r="X2133" s="9">
        <f>IF($A2133="","",$F2133&amp;"")</f>
        <v/>
      </c>
    </row>
    <row r="2134">
      <c r="A2134" s="75" t="n">
        <v>2025</v>
      </c>
      <c r="B2134" s="75" t="n">
        <v>11</v>
      </c>
      <c r="C2134" s="75" t="inlineStr">
        <is>
          <t>5100002130</t>
        </is>
      </c>
      <c r="D2134" s="78" t="n">
        <v>45987</v>
      </c>
      <c r="E2134" s="75" t="inlineStr">
        <is>
          <t>KR</t>
        </is>
      </c>
      <c r="F2134" s="75" t="n">
        <v>62102000</v>
      </c>
      <c r="G2134" s="75" t="n">
        <v>1502</v>
      </c>
      <c r="H2134" s="76" t="n">
        <v>237000</v>
      </c>
      <c r="I2134" s="75" t="inlineStr">
        <is>
          <t>11월 해외출장 - M항공</t>
        </is>
      </c>
      <c r="J2134" s="75" t="inlineStr">
        <is>
          <t>V10001</t>
        </is>
      </c>
      <c r="K2134" s="75" t="inlineStr">
        <is>
          <t>M항공</t>
        </is>
      </c>
      <c r="M2134" s="9">
        <f>IF($A2134="","",VALUE($A2134&amp;"")*12+VALUE($B2134&amp;""))</f>
        <v/>
      </c>
      <c r="N2134" s="39">
        <f>IF($A2134="","",IFERROR(INDEX(부서매핑!$C$5:$C$504,MATCH($G2134&amp;"",부서매핑!$A$5:$A$504,0)),"미매핑"))</f>
        <v/>
      </c>
      <c r="O2134" s="9">
        <f>IF($A2134="","",N2134&amp;"|"&amp;$F2134)</f>
        <v/>
      </c>
      <c r="P2134" s="77">
        <f>IF($A2134="",0,$H2134*설정!$C$23)</f>
        <v/>
      </c>
      <c r="Q2134" s="39">
        <f>IF($A2134="","",IF(O2134&lt;&gt;원인분석!$C$9,"",IF(AND(M2134&gt;=원인분석!$C$10,M2134&lt;=원인분석!$C$11),"당기",IF(AND(M2134&gt;=원인분석!$C$12,M2134&lt;=원인분석!$C$13),"비교",""))))</f>
        <v/>
      </c>
      <c r="R2134" s="9">
        <f>IF(Q2134="","",$K2134&amp;"")</f>
        <v/>
      </c>
      <c r="S2134" s="9">
        <f>IF(Q2134="","",IF(MATCH(R2134,$R$5:$R$100000,0)=ROW()-4,ROW(),""))</f>
        <v/>
      </c>
      <c r="T2134" s="9">
        <f>IF(Q2134="당기",ABS(P2134)+ROW()/1000000000,"")</f>
        <v/>
      </c>
      <c r="U2134" s="9">
        <f>IF(Q2134="비교",ABS(P2134)+ROW()/1000000000,"")</f>
        <v/>
      </c>
      <c r="V2134" s="39">
        <f>IF($A2134="","",IF(COUNTIF(변동분석!$E$7:$E$506,O2134)&gt;0,"Y","N"))</f>
        <v/>
      </c>
      <c r="W2134" s="39">
        <f>IF($A2134="","",IFERROR(INDEX(계정매핑!$D$5:$D$504,MATCH($F2134&amp;"",계정매핑!$A$5:$A$504,0)),"미매핑"))</f>
        <v/>
      </c>
      <c r="X2134" s="9">
        <f>IF($A2134="","",$F2134&amp;"")</f>
        <v/>
      </c>
    </row>
    <row r="2135">
      <c r="A2135" s="75" t="n">
        <v>2025</v>
      </c>
      <c r="B2135" s="75" t="n">
        <v>11</v>
      </c>
      <c r="C2135" s="75" t="inlineStr">
        <is>
          <t>5100002131</t>
        </is>
      </c>
      <c r="D2135" s="78" t="n">
        <v>45987</v>
      </c>
      <c r="E2135" s="75" t="inlineStr">
        <is>
          <t>KR</t>
        </is>
      </c>
      <c r="F2135" s="75" t="n">
        <v>62201000</v>
      </c>
      <c r="G2135" s="75" t="n">
        <v>1101</v>
      </c>
      <c r="H2135" s="76" t="n">
        <v>131000</v>
      </c>
      <c r="I2135" s="75" t="inlineStr">
        <is>
          <t>11월 통신요금 - O텔레콤</t>
        </is>
      </c>
      <c r="J2135" s="75" t="inlineStr">
        <is>
          <t>V10002</t>
        </is>
      </c>
      <c r="K2135" s="75" t="inlineStr">
        <is>
          <t>O텔레콤</t>
        </is>
      </c>
      <c r="M2135" s="9">
        <f>IF($A2135="","",VALUE($A2135&amp;"")*12+VALUE($B2135&amp;""))</f>
        <v/>
      </c>
      <c r="N2135" s="39">
        <f>IF($A2135="","",IFERROR(INDEX(부서매핑!$C$5:$C$504,MATCH($G2135&amp;"",부서매핑!$A$5:$A$504,0)),"미매핑"))</f>
        <v/>
      </c>
      <c r="O2135" s="9">
        <f>IF($A2135="","",N2135&amp;"|"&amp;$F2135)</f>
        <v/>
      </c>
      <c r="P2135" s="77">
        <f>IF($A2135="",0,$H2135*설정!$C$23)</f>
        <v/>
      </c>
      <c r="Q2135" s="39">
        <f>IF($A2135="","",IF(O2135&lt;&gt;원인분석!$C$9,"",IF(AND(M2135&gt;=원인분석!$C$10,M2135&lt;=원인분석!$C$11),"당기",IF(AND(M2135&gt;=원인분석!$C$12,M2135&lt;=원인분석!$C$13),"비교",""))))</f>
        <v/>
      </c>
      <c r="R2135" s="9">
        <f>IF(Q2135="","",$K2135&amp;"")</f>
        <v/>
      </c>
      <c r="S2135" s="9">
        <f>IF(Q2135="","",IF(MATCH(R2135,$R$5:$R$100000,0)=ROW()-4,ROW(),""))</f>
        <v/>
      </c>
      <c r="T2135" s="9">
        <f>IF(Q2135="당기",ABS(P2135)+ROW()/1000000000,"")</f>
        <v/>
      </c>
      <c r="U2135" s="9">
        <f>IF(Q2135="비교",ABS(P2135)+ROW()/1000000000,"")</f>
        <v/>
      </c>
      <c r="V2135" s="39">
        <f>IF($A2135="","",IF(COUNTIF(변동분석!$E$7:$E$506,O2135)&gt;0,"Y","N"))</f>
        <v/>
      </c>
      <c r="W2135" s="39">
        <f>IF($A2135="","",IFERROR(INDEX(계정매핑!$D$5:$D$504,MATCH($F2135&amp;"",계정매핑!$A$5:$A$504,0)),"미매핑"))</f>
        <v/>
      </c>
      <c r="X2135" s="9">
        <f>IF($A2135="","",$F2135&amp;"")</f>
        <v/>
      </c>
    </row>
    <row r="2136">
      <c r="A2136" s="75" t="n">
        <v>2025</v>
      </c>
      <c r="B2136" s="75" t="n">
        <v>11</v>
      </c>
      <c r="C2136" s="75" t="inlineStr">
        <is>
          <t>5100002132</t>
        </is>
      </c>
      <c r="D2136" s="78" t="n">
        <v>45987</v>
      </c>
      <c r="E2136" s="75" t="inlineStr">
        <is>
          <t>KR</t>
        </is>
      </c>
      <c r="F2136" s="75" t="n">
        <v>62201000</v>
      </c>
      <c r="G2136" s="75" t="n">
        <v>1401</v>
      </c>
      <c r="H2136" s="76" t="n">
        <v>234000</v>
      </c>
      <c r="I2136" s="75" t="inlineStr">
        <is>
          <t>11월 통신요금 - P통신</t>
        </is>
      </c>
      <c r="J2136" s="75" t="inlineStr">
        <is>
          <t>V10011</t>
        </is>
      </c>
      <c r="K2136" s="75" t="inlineStr">
        <is>
          <t>P통신</t>
        </is>
      </c>
      <c r="M2136" s="9">
        <f>IF($A2136="","",VALUE($A2136&amp;"")*12+VALUE($B2136&amp;""))</f>
        <v/>
      </c>
      <c r="N2136" s="39">
        <f>IF($A2136="","",IFERROR(INDEX(부서매핑!$C$5:$C$504,MATCH($G2136&amp;"",부서매핑!$A$5:$A$504,0)),"미매핑"))</f>
        <v/>
      </c>
      <c r="O2136" s="9">
        <f>IF($A2136="","",N2136&amp;"|"&amp;$F2136)</f>
        <v/>
      </c>
      <c r="P2136" s="77">
        <f>IF($A2136="",0,$H2136*설정!$C$23)</f>
        <v/>
      </c>
      <c r="Q2136" s="39">
        <f>IF($A2136="","",IF(O2136&lt;&gt;원인분석!$C$9,"",IF(AND(M2136&gt;=원인분석!$C$10,M2136&lt;=원인분석!$C$11),"당기",IF(AND(M2136&gt;=원인분석!$C$12,M2136&lt;=원인분석!$C$13),"비교",""))))</f>
        <v/>
      </c>
      <c r="R2136" s="9">
        <f>IF(Q2136="","",$K2136&amp;"")</f>
        <v/>
      </c>
      <c r="S2136" s="9">
        <f>IF(Q2136="","",IF(MATCH(R2136,$R$5:$R$100000,0)=ROW()-4,ROW(),""))</f>
        <v/>
      </c>
      <c r="T2136" s="9">
        <f>IF(Q2136="당기",ABS(P2136)+ROW()/1000000000,"")</f>
        <v/>
      </c>
      <c r="U2136" s="9">
        <f>IF(Q2136="비교",ABS(P2136)+ROW()/1000000000,"")</f>
        <v/>
      </c>
      <c r="V2136" s="39">
        <f>IF($A2136="","",IF(COUNTIF(변동분석!$E$7:$E$506,O2136)&gt;0,"Y","N"))</f>
        <v/>
      </c>
      <c r="W2136" s="39">
        <f>IF($A2136="","",IFERROR(INDEX(계정매핑!$D$5:$D$504,MATCH($F2136&amp;"",계정매핑!$A$5:$A$504,0)),"미매핑"))</f>
        <v/>
      </c>
      <c r="X2136" s="9">
        <f>IF($A2136="","",$F2136&amp;"")</f>
        <v/>
      </c>
    </row>
    <row r="2137">
      <c r="A2137" s="75" t="n">
        <v>2025</v>
      </c>
      <c r="B2137" s="75" t="n">
        <v>11</v>
      </c>
      <c r="C2137" s="75" t="inlineStr">
        <is>
          <t>5100002133</t>
        </is>
      </c>
      <c r="D2137" s="78" t="n">
        <v>45987</v>
      </c>
      <c r="E2137" s="75" t="inlineStr">
        <is>
          <t>KR</t>
        </is>
      </c>
      <c r="F2137" s="75" t="n">
        <v>62201000</v>
      </c>
      <c r="G2137" s="75" t="n">
        <v>1502</v>
      </c>
      <c r="H2137" s="76" t="n">
        <v>249000</v>
      </c>
      <c r="I2137" s="75" t="inlineStr">
        <is>
          <t>11월 통신요금 - P통신</t>
        </is>
      </c>
      <c r="J2137" s="75" t="inlineStr">
        <is>
          <t>V10011</t>
        </is>
      </c>
      <c r="K2137" s="75" t="inlineStr">
        <is>
          <t>P통신</t>
        </is>
      </c>
      <c r="M2137" s="9">
        <f>IF($A2137="","",VALUE($A2137&amp;"")*12+VALUE($B2137&amp;""))</f>
        <v/>
      </c>
      <c r="N2137" s="39">
        <f>IF($A2137="","",IFERROR(INDEX(부서매핑!$C$5:$C$504,MATCH($G2137&amp;"",부서매핑!$A$5:$A$504,0)),"미매핑"))</f>
        <v/>
      </c>
      <c r="O2137" s="9">
        <f>IF($A2137="","",N2137&amp;"|"&amp;$F2137)</f>
        <v/>
      </c>
      <c r="P2137" s="77">
        <f>IF($A2137="",0,$H2137*설정!$C$23)</f>
        <v/>
      </c>
      <c r="Q2137" s="39">
        <f>IF($A2137="","",IF(O2137&lt;&gt;원인분석!$C$9,"",IF(AND(M2137&gt;=원인분석!$C$10,M2137&lt;=원인분석!$C$11),"당기",IF(AND(M2137&gt;=원인분석!$C$12,M2137&lt;=원인분석!$C$13),"비교",""))))</f>
        <v/>
      </c>
      <c r="R2137" s="9">
        <f>IF(Q2137="","",$K2137&amp;"")</f>
        <v/>
      </c>
      <c r="S2137" s="9">
        <f>IF(Q2137="","",IF(MATCH(R2137,$R$5:$R$100000,0)=ROW()-4,ROW(),""))</f>
        <v/>
      </c>
      <c r="T2137" s="9">
        <f>IF(Q2137="당기",ABS(P2137)+ROW()/1000000000,"")</f>
        <v/>
      </c>
      <c r="U2137" s="9">
        <f>IF(Q2137="비교",ABS(P2137)+ROW()/1000000000,"")</f>
        <v/>
      </c>
      <c r="V2137" s="39">
        <f>IF($A2137="","",IF(COUNTIF(변동분석!$E$7:$E$506,O2137)&gt;0,"Y","N"))</f>
        <v/>
      </c>
      <c r="W2137" s="39">
        <f>IF($A2137="","",IFERROR(INDEX(계정매핑!$D$5:$D$504,MATCH($F2137&amp;"",계정매핑!$A$5:$A$504,0)),"미매핑"))</f>
        <v/>
      </c>
      <c r="X2137" s="9">
        <f>IF($A2137="","",$F2137&amp;"")</f>
        <v/>
      </c>
    </row>
    <row r="2138">
      <c r="A2138" s="75" t="n">
        <v>2025</v>
      </c>
      <c r="B2138" s="75" t="n">
        <v>11</v>
      </c>
      <c r="C2138" s="75" t="inlineStr">
        <is>
          <t>5100002134</t>
        </is>
      </c>
      <c r="D2138" s="78" t="n">
        <v>45987</v>
      </c>
      <c r="E2138" s="75" t="inlineStr">
        <is>
          <t>KR</t>
        </is>
      </c>
      <c r="F2138" s="75" t="n">
        <v>63101000</v>
      </c>
      <c r="G2138" s="75" t="n">
        <v>1601</v>
      </c>
      <c r="H2138" s="76" t="n">
        <v>4488000</v>
      </c>
      <c r="I2138" s="75" t="inlineStr">
        <is>
          <t>11월 사무실 임차료 - BB부동산</t>
        </is>
      </c>
      <c r="J2138" s="75" t="inlineStr">
        <is>
          <t>V10024</t>
        </is>
      </c>
      <c r="K2138" s="75" t="inlineStr">
        <is>
          <t>BB부동산</t>
        </is>
      </c>
      <c r="M2138" s="9">
        <f>IF($A2138="","",VALUE($A2138&amp;"")*12+VALUE($B2138&amp;""))</f>
        <v/>
      </c>
      <c r="N2138" s="39">
        <f>IF($A2138="","",IFERROR(INDEX(부서매핑!$C$5:$C$504,MATCH($G2138&amp;"",부서매핑!$A$5:$A$504,0)),"미매핑"))</f>
        <v/>
      </c>
      <c r="O2138" s="9">
        <f>IF($A2138="","",N2138&amp;"|"&amp;$F2138)</f>
        <v/>
      </c>
      <c r="P2138" s="77">
        <f>IF($A2138="",0,$H2138*설정!$C$23)</f>
        <v/>
      </c>
      <c r="Q2138" s="39">
        <f>IF($A2138="","",IF(O2138&lt;&gt;원인분석!$C$9,"",IF(AND(M2138&gt;=원인분석!$C$10,M2138&lt;=원인분석!$C$11),"당기",IF(AND(M2138&gt;=원인분석!$C$12,M2138&lt;=원인분석!$C$13),"비교",""))))</f>
        <v/>
      </c>
      <c r="R2138" s="9">
        <f>IF(Q2138="","",$K2138&amp;"")</f>
        <v/>
      </c>
      <c r="S2138" s="9">
        <f>IF(Q2138="","",IF(MATCH(R2138,$R$5:$R$100000,0)=ROW()-4,ROW(),""))</f>
        <v/>
      </c>
      <c r="T2138" s="9">
        <f>IF(Q2138="당기",ABS(P2138)+ROW()/1000000000,"")</f>
        <v/>
      </c>
      <c r="U2138" s="9">
        <f>IF(Q2138="비교",ABS(P2138)+ROW()/1000000000,"")</f>
        <v/>
      </c>
      <c r="V2138" s="39">
        <f>IF($A2138="","",IF(COUNTIF(변동분석!$E$7:$E$506,O2138)&gt;0,"Y","N"))</f>
        <v/>
      </c>
      <c r="W2138" s="39">
        <f>IF($A2138="","",IFERROR(INDEX(계정매핑!$D$5:$D$504,MATCH($F2138&amp;"",계정매핑!$A$5:$A$504,0)),"미매핑"))</f>
        <v/>
      </c>
      <c r="X2138" s="9">
        <f>IF($A2138="","",$F2138&amp;"")</f>
        <v/>
      </c>
    </row>
    <row r="2139">
      <c r="A2139" s="75" t="n">
        <v>2025</v>
      </c>
      <c r="B2139" s="75" t="n">
        <v>11</v>
      </c>
      <c r="C2139" s="75" t="inlineStr">
        <is>
          <t>5100002135</t>
        </is>
      </c>
      <c r="D2139" s="78" t="n">
        <v>45988</v>
      </c>
      <c r="E2139" s="75" t="inlineStr">
        <is>
          <t>KR</t>
        </is>
      </c>
      <c r="F2139" s="75" t="n">
        <v>62102000</v>
      </c>
      <c r="G2139" s="75" t="n">
        <v>1101</v>
      </c>
      <c r="H2139" s="76" t="n">
        <v>112000</v>
      </c>
      <c r="I2139" s="75" t="inlineStr">
        <is>
          <t>11월 해외출장 - N호텔</t>
        </is>
      </c>
      <c r="J2139" s="75" t="inlineStr">
        <is>
          <t>V10007</t>
        </is>
      </c>
      <c r="K2139" s="75" t="inlineStr">
        <is>
          <t>N호텔</t>
        </is>
      </c>
      <c r="M2139" s="9">
        <f>IF($A2139="","",VALUE($A2139&amp;"")*12+VALUE($B2139&amp;""))</f>
        <v/>
      </c>
      <c r="N2139" s="39">
        <f>IF($A2139="","",IFERROR(INDEX(부서매핑!$C$5:$C$504,MATCH($G2139&amp;"",부서매핑!$A$5:$A$504,0)),"미매핑"))</f>
        <v/>
      </c>
      <c r="O2139" s="9">
        <f>IF($A2139="","",N2139&amp;"|"&amp;$F2139)</f>
        <v/>
      </c>
      <c r="P2139" s="77">
        <f>IF($A2139="",0,$H2139*설정!$C$23)</f>
        <v/>
      </c>
      <c r="Q2139" s="39">
        <f>IF($A2139="","",IF(O2139&lt;&gt;원인분석!$C$9,"",IF(AND(M2139&gt;=원인분석!$C$10,M2139&lt;=원인분석!$C$11),"당기",IF(AND(M2139&gt;=원인분석!$C$12,M2139&lt;=원인분석!$C$13),"비교",""))))</f>
        <v/>
      </c>
      <c r="R2139" s="9">
        <f>IF(Q2139="","",$K2139&amp;"")</f>
        <v/>
      </c>
      <c r="S2139" s="9">
        <f>IF(Q2139="","",IF(MATCH(R2139,$R$5:$R$100000,0)=ROW()-4,ROW(),""))</f>
        <v/>
      </c>
      <c r="T2139" s="9">
        <f>IF(Q2139="당기",ABS(P2139)+ROW()/1000000000,"")</f>
        <v/>
      </c>
      <c r="U2139" s="9">
        <f>IF(Q2139="비교",ABS(P2139)+ROW()/1000000000,"")</f>
        <v/>
      </c>
      <c r="V2139" s="39">
        <f>IF($A2139="","",IF(COUNTIF(변동분석!$E$7:$E$506,O2139)&gt;0,"Y","N"))</f>
        <v/>
      </c>
      <c r="W2139" s="39">
        <f>IF($A2139="","",IFERROR(INDEX(계정매핑!$D$5:$D$504,MATCH($F2139&amp;"",계정매핑!$A$5:$A$504,0)),"미매핑"))</f>
        <v/>
      </c>
      <c r="X2139" s="9">
        <f>IF($A2139="","",$F2139&amp;"")</f>
        <v/>
      </c>
    </row>
    <row r="2140">
      <c r="A2140" s="75" t="n">
        <v>2025</v>
      </c>
      <c r="B2140" s="75" t="n">
        <v>11</v>
      </c>
      <c r="C2140" s="75" t="inlineStr">
        <is>
          <t>5100002136</t>
        </is>
      </c>
      <c r="D2140" s="78" t="n">
        <v>45988</v>
      </c>
      <c r="E2140" s="75" t="inlineStr">
        <is>
          <t>KR</t>
        </is>
      </c>
      <c r="F2140" s="75" t="n">
        <v>62102000</v>
      </c>
      <c r="G2140" s="75" t="n">
        <v>1701</v>
      </c>
      <c r="H2140" s="76" t="n">
        <v>34000</v>
      </c>
      <c r="I2140" s="75" t="inlineStr">
        <is>
          <t>11월 해외출장 - M항공</t>
        </is>
      </c>
      <c r="J2140" s="75" t="inlineStr">
        <is>
          <t>V10001</t>
        </is>
      </c>
      <c r="K2140" s="75" t="inlineStr">
        <is>
          <t>M항공</t>
        </is>
      </c>
      <c r="M2140" s="9">
        <f>IF($A2140="","",VALUE($A2140&amp;"")*12+VALUE($B2140&amp;""))</f>
        <v/>
      </c>
      <c r="N2140" s="39">
        <f>IF($A2140="","",IFERROR(INDEX(부서매핑!$C$5:$C$504,MATCH($G2140&amp;"",부서매핑!$A$5:$A$504,0)),"미매핑"))</f>
        <v/>
      </c>
      <c r="O2140" s="9">
        <f>IF($A2140="","",N2140&amp;"|"&amp;$F2140)</f>
        <v/>
      </c>
      <c r="P2140" s="77">
        <f>IF($A2140="",0,$H2140*설정!$C$23)</f>
        <v/>
      </c>
      <c r="Q2140" s="39">
        <f>IF($A2140="","",IF(O2140&lt;&gt;원인분석!$C$9,"",IF(AND(M2140&gt;=원인분석!$C$10,M2140&lt;=원인분석!$C$11),"당기",IF(AND(M2140&gt;=원인분석!$C$12,M2140&lt;=원인분석!$C$13),"비교",""))))</f>
        <v/>
      </c>
      <c r="R2140" s="9">
        <f>IF(Q2140="","",$K2140&amp;"")</f>
        <v/>
      </c>
      <c r="S2140" s="9">
        <f>IF(Q2140="","",IF(MATCH(R2140,$R$5:$R$100000,0)=ROW()-4,ROW(),""))</f>
        <v/>
      </c>
      <c r="T2140" s="9">
        <f>IF(Q2140="당기",ABS(P2140)+ROW()/1000000000,"")</f>
        <v/>
      </c>
      <c r="U2140" s="9">
        <f>IF(Q2140="비교",ABS(P2140)+ROW()/1000000000,"")</f>
        <v/>
      </c>
      <c r="V2140" s="39">
        <f>IF($A2140="","",IF(COUNTIF(변동분석!$E$7:$E$506,O2140)&gt;0,"Y","N"))</f>
        <v/>
      </c>
      <c r="W2140" s="39">
        <f>IF($A2140="","",IFERROR(INDEX(계정매핑!$D$5:$D$504,MATCH($F2140&amp;"",계정매핑!$A$5:$A$504,0)),"미매핑"))</f>
        <v/>
      </c>
      <c r="X2140" s="9">
        <f>IF($A2140="","",$F2140&amp;"")</f>
        <v/>
      </c>
    </row>
    <row r="2141">
      <c r="A2141" s="75" t="n">
        <v>2025</v>
      </c>
      <c r="B2141" s="75" t="n">
        <v>11</v>
      </c>
      <c r="C2141" s="75" t="inlineStr">
        <is>
          <t>5100002137</t>
        </is>
      </c>
      <c r="D2141" s="78" t="n">
        <v>45988</v>
      </c>
      <c r="E2141" s="75" t="inlineStr">
        <is>
          <t>KR</t>
        </is>
      </c>
      <c r="F2141" s="75" t="n">
        <v>62201000</v>
      </c>
      <c r="G2141" s="75" t="n">
        <v>1301</v>
      </c>
      <c r="H2141" s="76" t="n">
        <v>291000</v>
      </c>
      <c r="I2141" s="75" t="inlineStr">
        <is>
          <t>11월 통신요금 - O텔레콤</t>
        </is>
      </c>
      <c r="J2141" s="75" t="inlineStr">
        <is>
          <t>V10002</t>
        </is>
      </c>
      <c r="K2141" s="75" t="inlineStr">
        <is>
          <t>O텔레콤</t>
        </is>
      </c>
      <c r="M2141" s="9">
        <f>IF($A2141="","",VALUE($A2141&amp;"")*12+VALUE($B2141&amp;""))</f>
        <v/>
      </c>
      <c r="N2141" s="39">
        <f>IF($A2141="","",IFERROR(INDEX(부서매핑!$C$5:$C$504,MATCH($G2141&amp;"",부서매핑!$A$5:$A$504,0)),"미매핑"))</f>
        <v/>
      </c>
      <c r="O2141" s="9">
        <f>IF($A2141="","",N2141&amp;"|"&amp;$F2141)</f>
        <v/>
      </c>
      <c r="P2141" s="77">
        <f>IF($A2141="",0,$H2141*설정!$C$23)</f>
        <v/>
      </c>
      <c r="Q2141" s="39">
        <f>IF($A2141="","",IF(O2141&lt;&gt;원인분석!$C$9,"",IF(AND(M2141&gt;=원인분석!$C$10,M2141&lt;=원인분석!$C$11),"당기",IF(AND(M2141&gt;=원인분석!$C$12,M2141&lt;=원인분석!$C$13),"비교",""))))</f>
        <v/>
      </c>
      <c r="R2141" s="9">
        <f>IF(Q2141="","",$K2141&amp;"")</f>
        <v/>
      </c>
      <c r="S2141" s="9">
        <f>IF(Q2141="","",IF(MATCH(R2141,$R$5:$R$100000,0)=ROW()-4,ROW(),""))</f>
        <v/>
      </c>
      <c r="T2141" s="9">
        <f>IF(Q2141="당기",ABS(P2141)+ROW()/1000000000,"")</f>
        <v/>
      </c>
      <c r="U2141" s="9">
        <f>IF(Q2141="비교",ABS(P2141)+ROW()/1000000000,"")</f>
        <v/>
      </c>
      <c r="V2141" s="39">
        <f>IF($A2141="","",IF(COUNTIF(변동분석!$E$7:$E$506,O2141)&gt;0,"Y","N"))</f>
        <v/>
      </c>
      <c r="W2141" s="39">
        <f>IF($A2141="","",IFERROR(INDEX(계정매핑!$D$5:$D$504,MATCH($F2141&amp;"",계정매핑!$A$5:$A$504,0)),"미매핑"))</f>
        <v/>
      </c>
      <c r="X2141" s="9">
        <f>IF($A2141="","",$F2141&amp;"")</f>
        <v/>
      </c>
    </row>
    <row r="2142">
      <c r="A2142" s="75" t="n">
        <v>2025</v>
      </c>
      <c r="B2142" s="75" t="n">
        <v>11</v>
      </c>
      <c r="C2142" s="75" t="inlineStr">
        <is>
          <t>5100002138</t>
        </is>
      </c>
      <c r="D2142" s="78" t="n">
        <v>45988</v>
      </c>
      <c r="E2142" s="75" t="inlineStr">
        <is>
          <t>KR</t>
        </is>
      </c>
      <c r="F2142" s="75" t="n">
        <v>62201000</v>
      </c>
      <c r="G2142" s="75" t="n">
        <v>1301</v>
      </c>
      <c r="H2142" s="76" t="n">
        <v>304000</v>
      </c>
      <c r="I2142" s="75" t="inlineStr">
        <is>
          <t>11월 통신요금 - P통신</t>
        </is>
      </c>
      <c r="J2142" s="75" t="inlineStr">
        <is>
          <t>V10011</t>
        </is>
      </c>
      <c r="K2142" s="75" t="inlineStr">
        <is>
          <t>P통신</t>
        </is>
      </c>
      <c r="M2142" s="9">
        <f>IF($A2142="","",VALUE($A2142&amp;"")*12+VALUE($B2142&amp;""))</f>
        <v/>
      </c>
      <c r="N2142" s="39">
        <f>IF($A2142="","",IFERROR(INDEX(부서매핑!$C$5:$C$504,MATCH($G2142&amp;"",부서매핑!$A$5:$A$504,0)),"미매핑"))</f>
        <v/>
      </c>
      <c r="O2142" s="9">
        <f>IF($A2142="","",N2142&amp;"|"&amp;$F2142)</f>
        <v/>
      </c>
      <c r="P2142" s="77">
        <f>IF($A2142="",0,$H2142*설정!$C$23)</f>
        <v/>
      </c>
      <c r="Q2142" s="39">
        <f>IF($A2142="","",IF(O2142&lt;&gt;원인분석!$C$9,"",IF(AND(M2142&gt;=원인분석!$C$10,M2142&lt;=원인분석!$C$11),"당기",IF(AND(M2142&gt;=원인분석!$C$12,M2142&lt;=원인분석!$C$13),"비교",""))))</f>
        <v/>
      </c>
      <c r="R2142" s="9">
        <f>IF(Q2142="","",$K2142&amp;"")</f>
        <v/>
      </c>
      <c r="S2142" s="9">
        <f>IF(Q2142="","",IF(MATCH(R2142,$R$5:$R$100000,0)=ROW()-4,ROW(),""))</f>
        <v/>
      </c>
      <c r="T2142" s="9">
        <f>IF(Q2142="당기",ABS(P2142)+ROW()/1000000000,"")</f>
        <v/>
      </c>
      <c r="U2142" s="9">
        <f>IF(Q2142="비교",ABS(P2142)+ROW()/1000000000,"")</f>
        <v/>
      </c>
      <c r="V2142" s="39">
        <f>IF($A2142="","",IF(COUNTIF(변동분석!$E$7:$E$506,O2142)&gt;0,"Y","N"))</f>
        <v/>
      </c>
      <c r="W2142" s="39">
        <f>IF($A2142="","",IFERROR(INDEX(계정매핑!$D$5:$D$504,MATCH($F2142&amp;"",계정매핑!$A$5:$A$504,0)),"미매핑"))</f>
        <v/>
      </c>
      <c r="X2142" s="9">
        <f>IF($A2142="","",$F2142&amp;"")</f>
        <v/>
      </c>
    </row>
    <row r="2143">
      <c r="A2143" s="75" t="n">
        <v>2025</v>
      </c>
      <c r="B2143" s="75" t="n">
        <v>11</v>
      </c>
      <c r="C2143" s="75" t="inlineStr">
        <is>
          <t>5100002139</t>
        </is>
      </c>
      <c r="D2143" s="78" t="n">
        <v>45988</v>
      </c>
      <c r="E2143" s="75" t="inlineStr">
        <is>
          <t>KR</t>
        </is>
      </c>
      <c r="F2143" s="75" t="n">
        <v>62401000</v>
      </c>
      <c r="G2143" s="75" t="n">
        <v>1401</v>
      </c>
      <c r="H2143" s="76" t="n">
        <v>140000</v>
      </c>
      <c r="I2143" s="75" t="inlineStr">
        <is>
          <t>11월 인쇄물 제작 - S출판</t>
        </is>
      </c>
      <c r="J2143" s="75" t="inlineStr">
        <is>
          <t>V10012</t>
        </is>
      </c>
      <c r="K2143" s="75" t="inlineStr">
        <is>
          <t>S출판</t>
        </is>
      </c>
      <c r="M2143" s="9">
        <f>IF($A2143="","",VALUE($A2143&amp;"")*12+VALUE($B2143&amp;""))</f>
        <v/>
      </c>
      <c r="N2143" s="39">
        <f>IF($A2143="","",IFERROR(INDEX(부서매핑!$C$5:$C$504,MATCH($G2143&amp;"",부서매핑!$A$5:$A$504,0)),"미매핑"))</f>
        <v/>
      </c>
      <c r="O2143" s="9">
        <f>IF($A2143="","",N2143&amp;"|"&amp;$F2143)</f>
        <v/>
      </c>
      <c r="P2143" s="77">
        <f>IF($A2143="",0,$H2143*설정!$C$23)</f>
        <v/>
      </c>
      <c r="Q2143" s="39">
        <f>IF($A2143="","",IF(O2143&lt;&gt;원인분석!$C$9,"",IF(AND(M2143&gt;=원인분석!$C$10,M2143&lt;=원인분석!$C$11),"당기",IF(AND(M2143&gt;=원인분석!$C$12,M2143&lt;=원인분석!$C$13),"비교",""))))</f>
        <v/>
      </c>
      <c r="R2143" s="9">
        <f>IF(Q2143="","",$K2143&amp;"")</f>
        <v/>
      </c>
      <c r="S2143" s="9">
        <f>IF(Q2143="","",IF(MATCH(R2143,$R$5:$R$100000,0)=ROW()-4,ROW(),""))</f>
        <v/>
      </c>
      <c r="T2143" s="9">
        <f>IF(Q2143="당기",ABS(P2143)+ROW()/1000000000,"")</f>
        <v/>
      </c>
      <c r="U2143" s="9">
        <f>IF(Q2143="비교",ABS(P2143)+ROW()/1000000000,"")</f>
        <v/>
      </c>
      <c r="V2143" s="39">
        <f>IF($A2143="","",IF(COUNTIF(변동분석!$E$7:$E$506,O2143)&gt;0,"Y","N"))</f>
        <v/>
      </c>
      <c r="W2143" s="39">
        <f>IF($A2143="","",IFERROR(INDEX(계정매핑!$D$5:$D$504,MATCH($F2143&amp;"",계정매핑!$A$5:$A$504,0)),"미매핑"))</f>
        <v/>
      </c>
      <c r="X2143" s="9">
        <f>IF($A2143="","",$F2143&amp;"")</f>
        <v/>
      </c>
    </row>
    <row r="2144">
      <c r="A2144" s="75" t="n">
        <v>2025</v>
      </c>
      <c r="B2144" s="75" t="n">
        <v>11</v>
      </c>
      <c r="C2144" s="75" t="inlineStr">
        <is>
          <t>5100002140</t>
        </is>
      </c>
      <c r="D2144" s="78" t="n">
        <v>45988</v>
      </c>
      <c r="E2144" s="75" t="inlineStr">
        <is>
          <t>KR</t>
        </is>
      </c>
      <c r="F2144" s="75" t="n">
        <v>62501000</v>
      </c>
      <c r="G2144" s="75" t="n">
        <v>1201</v>
      </c>
      <c r="H2144" s="76" t="n">
        <v>166000</v>
      </c>
      <c r="I2144" s="75" t="inlineStr">
        <is>
          <t>11월 회의 다과 - (법인카드)</t>
        </is>
      </c>
      <c r="J2144" s="75" t="inlineStr">
        <is>
          <t>V10008</t>
        </is>
      </c>
      <c r="K2144" s="75" t="inlineStr">
        <is>
          <t>(법인카드)</t>
        </is>
      </c>
      <c r="M2144" s="9">
        <f>IF($A2144="","",VALUE($A2144&amp;"")*12+VALUE($B2144&amp;""))</f>
        <v/>
      </c>
      <c r="N2144" s="39">
        <f>IF($A2144="","",IFERROR(INDEX(부서매핑!$C$5:$C$504,MATCH($G2144&amp;"",부서매핑!$A$5:$A$504,0)),"미매핑"))</f>
        <v/>
      </c>
      <c r="O2144" s="9">
        <f>IF($A2144="","",N2144&amp;"|"&amp;$F2144)</f>
        <v/>
      </c>
      <c r="P2144" s="77">
        <f>IF($A2144="",0,$H2144*설정!$C$23)</f>
        <v/>
      </c>
      <c r="Q2144" s="39">
        <f>IF($A2144="","",IF(O2144&lt;&gt;원인분석!$C$9,"",IF(AND(M2144&gt;=원인분석!$C$10,M2144&lt;=원인분석!$C$11),"당기",IF(AND(M2144&gt;=원인분석!$C$12,M2144&lt;=원인분석!$C$13),"비교",""))))</f>
        <v/>
      </c>
      <c r="R2144" s="9">
        <f>IF(Q2144="","",$K2144&amp;"")</f>
        <v/>
      </c>
      <c r="S2144" s="9">
        <f>IF(Q2144="","",IF(MATCH(R2144,$R$5:$R$100000,0)=ROW()-4,ROW(),""))</f>
        <v/>
      </c>
      <c r="T2144" s="9">
        <f>IF(Q2144="당기",ABS(P2144)+ROW()/1000000000,"")</f>
        <v/>
      </c>
      <c r="U2144" s="9">
        <f>IF(Q2144="비교",ABS(P2144)+ROW()/1000000000,"")</f>
        <v/>
      </c>
      <c r="V2144" s="39">
        <f>IF($A2144="","",IF(COUNTIF(변동분석!$E$7:$E$506,O2144)&gt;0,"Y","N"))</f>
        <v/>
      </c>
      <c r="W2144" s="39">
        <f>IF($A2144="","",IFERROR(INDEX(계정매핑!$D$5:$D$504,MATCH($F2144&amp;"",계정매핑!$A$5:$A$504,0)),"미매핑"))</f>
        <v/>
      </c>
      <c r="X2144" s="9">
        <f>IF($A2144="","",$F2144&amp;"")</f>
        <v/>
      </c>
    </row>
    <row r="2145">
      <c r="A2145" s="75" t="n">
        <v>2025</v>
      </c>
      <c r="B2145" s="75" t="n">
        <v>11</v>
      </c>
      <c r="C2145" s="75" t="inlineStr">
        <is>
          <t>5100002141</t>
        </is>
      </c>
      <c r="D2145" s="78" t="n">
        <v>45988</v>
      </c>
      <c r="E2145" s="75" t="inlineStr">
        <is>
          <t>KR</t>
        </is>
      </c>
      <c r="F2145" s="75" t="n">
        <v>62501000</v>
      </c>
      <c r="G2145" s="75" t="n">
        <v>1401</v>
      </c>
      <c r="H2145" s="76" t="n">
        <v>117000</v>
      </c>
      <c r="I2145" s="75" t="inlineStr">
        <is>
          <t>11월 회의 다과 - (법인카드)</t>
        </is>
      </c>
      <c r="J2145" s="75" t="inlineStr">
        <is>
          <t>V10008</t>
        </is>
      </c>
      <c r="K2145" s="75" t="inlineStr">
        <is>
          <t>(법인카드)</t>
        </is>
      </c>
      <c r="M2145" s="9">
        <f>IF($A2145="","",VALUE($A2145&amp;"")*12+VALUE($B2145&amp;""))</f>
        <v/>
      </c>
      <c r="N2145" s="39">
        <f>IF($A2145="","",IFERROR(INDEX(부서매핑!$C$5:$C$504,MATCH($G2145&amp;"",부서매핑!$A$5:$A$504,0)),"미매핑"))</f>
        <v/>
      </c>
      <c r="O2145" s="9">
        <f>IF($A2145="","",N2145&amp;"|"&amp;$F2145)</f>
        <v/>
      </c>
      <c r="P2145" s="77">
        <f>IF($A2145="",0,$H2145*설정!$C$23)</f>
        <v/>
      </c>
      <c r="Q2145" s="39">
        <f>IF($A2145="","",IF(O2145&lt;&gt;원인분석!$C$9,"",IF(AND(M2145&gt;=원인분석!$C$10,M2145&lt;=원인분석!$C$11),"당기",IF(AND(M2145&gt;=원인분석!$C$12,M2145&lt;=원인분석!$C$13),"비교",""))))</f>
        <v/>
      </c>
      <c r="R2145" s="9">
        <f>IF(Q2145="","",$K2145&amp;"")</f>
        <v/>
      </c>
      <c r="S2145" s="9">
        <f>IF(Q2145="","",IF(MATCH(R2145,$R$5:$R$100000,0)=ROW()-4,ROW(),""))</f>
        <v/>
      </c>
      <c r="T2145" s="9">
        <f>IF(Q2145="당기",ABS(P2145)+ROW()/1000000000,"")</f>
        <v/>
      </c>
      <c r="U2145" s="9">
        <f>IF(Q2145="비교",ABS(P2145)+ROW()/1000000000,"")</f>
        <v/>
      </c>
      <c r="V2145" s="39">
        <f>IF($A2145="","",IF(COUNTIF(변동분석!$E$7:$E$506,O2145)&gt;0,"Y","N"))</f>
        <v/>
      </c>
      <c r="W2145" s="39">
        <f>IF($A2145="","",IFERROR(INDEX(계정매핑!$D$5:$D$504,MATCH($F2145&amp;"",계정매핑!$A$5:$A$504,0)),"미매핑"))</f>
        <v/>
      </c>
      <c r="X2145" s="9">
        <f>IF($A2145="","",$F2145&amp;"")</f>
        <v/>
      </c>
    </row>
    <row r="2146">
      <c r="A2146" s="75" t="n">
        <v>2025</v>
      </c>
      <c r="B2146" s="75" t="n">
        <v>11</v>
      </c>
      <c r="C2146" s="75" t="inlineStr">
        <is>
          <t>5100002142</t>
        </is>
      </c>
      <c r="D2146" s="78" t="n">
        <v>45988</v>
      </c>
      <c r="E2146" s="75" t="inlineStr">
        <is>
          <t>KR</t>
        </is>
      </c>
      <c r="F2146" s="75" t="n">
        <v>62701000</v>
      </c>
      <c r="G2146" s="75" t="n">
        <v>1502</v>
      </c>
      <c r="H2146" s="76" t="n">
        <v>77578000</v>
      </c>
      <c r="I2146" s="75" t="inlineStr">
        <is>
          <t>11월 광고 집행 - F애드</t>
        </is>
      </c>
      <c r="J2146" s="75" t="inlineStr">
        <is>
          <t>V10019</t>
        </is>
      </c>
      <c r="K2146" s="75" t="inlineStr">
        <is>
          <t>F애드</t>
        </is>
      </c>
      <c r="M2146" s="9">
        <f>IF($A2146="","",VALUE($A2146&amp;"")*12+VALUE($B2146&amp;""))</f>
        <v/>
      </c>
      <c r="N2146" s="39">
        <f>IF($A2146="","",IFERROR(INDEX(부서매핑!$C$5:$C$504,MATCH($G2146&amp;"",부서매핑!$A$5:$A$504,0)),"미매핑"))</f>
        <v/>
      </c>
      <c r="O2146" s="9">
        <f>IF($A2146="","",N2146&amp;"|"&amp;$F2146)</f>
        <v/>
      </c>
      <c r="P2146" s="77">
        <f>IF($A2146="",0,$H2146*설정!$C$23)</f>
        <v/>
      </c>
      <c r="Q2146" s="39">
        <f>IF($A2146="","",IF(O2146&lt;&gt;원인분석!$C$9,"",IF(AND(M2146&gt;=원인분석!$C$10,M2146&lt;=원인분석!$C$11),"당기",IF(AND(M2146&gt;=원인분석!$C$12,M2146&lt;=원인분석!$C$13),"비교",""))))</f>
        <v/>
      </c>
      <c r="R2146" s="9">
        <f>IF(Q2146="","",$K2146&amp;"")</f>
        <v/>
      </c>
      <c r="S2146" s="9">
        <f>IF(Q2146="","",IF(MATCH(R2146,$R$5:$R$100000,0)=ROW()-4,ROW(),""))</f>
        <v/>
      </c>
      <c r="T2146" s="9">
        <f>IF(Q2146="당기",ABS(P2146)+ROW()/1000000000,"")</f>
        <v/>
      </c>
      <c r="U2146" s="9">
        <f>IF(Q2146="비교",ABS(P2146)+ROW()/1000000000,"")</f>
        <v/>
      </c>
      <c r="V2146" s="39">
        <f>IF($A2146="","",IF(COUNTIF(변동분석!$E$7:$E$506,O2146)&gt;0,"Y","N"))</f>
        <v/>
      </c>
      <c r="W2146" s="39">
        <f>IF($A2146="","",IFERROR(INDEX(계정매핑!$D$5:$D$504,MATCH($F2146&amp;"",계정매핑!$A$5:$A$504,0)),"미매핑"))</f>
        <v/>
      </c>
      <c r="X2146" s="9">
        <f>IF($A2146="","",$F2146&amp;"")</f>
        <v/>
      </c>
    </row>
    <row r="2147">
      <c r="A2147" s="75" t="n">
        <v>2025</v>
      </c>
      <c r="B2147" s="75" t="n">
        <v>11</v>
      </c>
      <c r="C2147" s="75" t="inlineStr">
        <is>
          <t>5100002143</t>
        </is>
      </c>
      <c r="D2147" s="78" t="n">
        <v>45988</v>
      </c>
      <c r="E2147" s="75" t="inlineStr">
        <is>
          <t>KR</t>
        </is>
      </c>
      <c r="F2147" s="75" t="n">
        <v>62901000</v>
      </c>
      <c r="G2147" s="75" t="n">
        <v>1401</v>
      </c>
      <c r="H2147" s="76" t="n">
        <v>4358000</v>
      </c>
      <c r="I2147" s="75" t="inlineStr">
        <is>
          <t>11월 자문 수수료 - K회계법인</t>
        </is>
      </c>
      <c r="J2147" s="75" t="inlineStr">
        <is>
          <t>V10010</t>
        </is>
      </c>
      <c r="K2147" s="75" t="inlineStr">
        <is>
          <t>K회계법인</t>
        </is>
      </c>
      <c r="M2147" s="9">
        <f>IF($A2147="","",VALUE($A2147&amp;"")*12+VALUE($B2147&amp;""))</f>
        <v/>
      </c>
      <c r="N2147" s="39">
        <f>IF($A2147="","",IFERROR(INDEX(부서매핑!$C$5:$C$504,MATCH($G2147&amp;"",부서매핑!$A$5:$A$504,0)),"미매핑"))</f>
        <v/>
      </c>
      <c r="O2147" s="9">
        <f>IF($A2147="","",N2147&amp;"|"&amp;$F2147)</f>
        <v/>
      </c>
      <c r="P2147" s="77">
        <f>IF($A2147="",0,$H2147*설정!$C$23)</f>
        <v/>
      </c>
      <c r="Q2147" s="39">
        <f>IF($A2147="","",IF(O2147&lt;&gt;원인분석!$C$9,"",IF(AND(M2147&gt;=원인분석!$C$10,M2147&lt;=원인분석!$C$11),"당기",IF(AND(M2147&gt;=원인분석!$C$12,M2147&lt;=원인분석!$C$13),"비교",""))))</f>
        <v/>
      </c>
      <c r="R2147" s="9">
        <f>IF(Q2147="","",$K2147&amp;"")</f>
        <v/>
      </c>
      <c r="S2147" s="9">
        <f>IF(Q2147="","",IF(MATCH(R2147,$R$5:$R$100000,0)=ROW()-4,ROW(),""))</f>
        <v/>
      </c>
      <c r="T2147" s="9">
        <f>IF(Q2147="당기",ABS(P2147)+ROW()/1000000000,"")</f>
        <v/>
      </c>
      <c r="U2147" s="9">
        <f>IF(Q2147="비교",ABS(P2147)+ROW()/1000000000,"")</f>
        <v/>
      </c>
      <c r="V2147" s="39">
        <f>IF($A2147="","",IF(COUNTIF(변동분석!$E$7:$E$506,O2147)&gt;0,"Y","N"))</f>
        <v/>
      </c>
      <c r="W2147" s="39">
        <f>IF($A2147="","",IFERROR(INDEX(계정매핑!$D$5:$D$504,MATCH($F2147&amp;"",계정매핑!$A$5:$A$504,0)),"미매핑"))</f>
        <v/>
      </c>
      <c r="X2147" s="9">
        <f>IF($A2147="","",$F2147&amp;"")</f>
        <v/>
      </c>
    </row>
    <row r="2148">
      <c r="A2148" s="75" t="n">
        <v>2025</v>
      </c>
      <c r="B2148" s="75" t="n">
        <v>11</v>
      </c>
      <c r="C2148" s="75" t="inlineStr">
        <is>
          <t>5100002144</t>
        </is>
      </c>
      <c r="D2148" s="78" t="n">
        <v>45988</v>
      </c>
      <c r="E2148" s="75" t="inlineStr">
        <is>
          <t>KR</t>
        </is>
      </c>
      <c r="F2148" s="75" t="n">
        <v>62902000</v>
      </c>
      <c r="G2148" s="75" t="n">
        <v>1801</v>
      </c>
      <c r="H2148" s="76" t="n">
        <v>1780000</v>
      </c>
      <c r="I2148" s="75" t="inlineStr">
        <is>
          <t>11월 콜 위탁 수수료(건별)</t>
        </is>
      </c>
      <c r="J2148" s="75" t="inlineStr">
        <is>
          <t>V10013</t>
        </is>
      </c>
      <c r="K2148" s="75" t="inlineStr">
        <is>
          <t>J콜센터</t>
        </is>
      </c>
      <c r="M2148" s="9">
        <f>IF($A2148="","",VALUE($A2148&amp;"")*12+VALUE($B2148&amp;""))</f>
        <v/>
      </c>
      <c r="N2148" s="39">
        <f>IF($A2148="","",IFERROR(INDEX(부서매핑!$C$5:$C$504,MATCH($G2148&amp;"",부서매핑!$A$5:$A$504,0)),"미매핑"))</f>
        <v/>
      </c>
      <c r="O2148" s="9">
        <f>IF($A2148="","",N2148&amp;"|"&amp;$F2148)</f>
        <v/>
      </c>
      <c r="P2148" s="77">
        <f>IF($A2148="",0,$H2148*설정!$C$23)</f>
        <v/>
      </c>
      <c r="Q2148" s="39">
        <f>IF($A2148="","",IF(O2148&lt;&gt;원인분석!$C$9,"",IF(AND(M2148&gt;=원인분석!$C$10,M2148&lt;=원인분석!$C$11),"당기",IF(AND(M2148&gt;=원인분석!$C$12,M2148&lt;=원인분석!$C$13),"비교",""))))</f>
        <v/>
      </c>
      <c r="R2148" s="9">
        <f>IF(Q2148="","",$K2148&amp;"")</f>
        <v/>
      </c>
      <c r="S2148" s="9">
        <f>IF(Q2148="","",IF(MATCH(R2148,$R$5:$R$100000,0)=ROW()-4,ROW(),""))</f>
        <v/>
      </c>
      <c r="T2148" s="9">
        <f>IF(Q2148="당기",ABS(P2148)+ROW()/1000000000,"")</f>
        <v/>
      </c>
      <c r="U2148" s="9">
        <f>IF(Q2148="비교",ABS(P2148)+ROW()/1000000000,"")</f>
        <v/>
      </c>
      <c r="V2148" s="39">
        <f>IF($A2148="","",IF(COUNTIF(변동분석!$E$7:$E$506,O2148)&gt;0,"Y","N"))</f>
        <v/>
      </c>
      <c r="W2148" s="39">
        <f>IF($A2148="","",IFERROR(INDEX(계정매핑!$D$5:$D$504,MATCH($F2148&amp;"",계정매핑!$A$5:$A$504,0)),"미매핑"))</f>
        <v/>
      </c>
      <c r="X2148" s="9">
        <f>IF($A2148="","",$F2148&amp;"")</f>
        <v/>
      </c>
    </row>
    <row r="2149">
      <c r="A2149" s="75" t="n">
        <v>2025</v>
      </c>
      <c r="B2149" s="75" t="n">
        <v>12</v>
      </c>
      <c r="C2149" s="75" t="inlineStr">
        <is>
          <t>5100002145</t>
        </is>
      </c>
      <c r="D2149" s="78" t="n">
        <v>45993</v>
      </c>
      <c r="E2149" s="75" t="inlineStr">
        <is>
          <t>KR</t>
        </is>
      </c>
      <c r="F2149" s="75" t="n">
        <v>62101000</v>
      </c>
      <c r="G2149" s="75" t="n">
        <v>1101</v>
      </c>
      <c r="H2149" s="76" t="n">
        <v>547000</v>
      </c>
      <c r="I2149" s="75" t="inlineStr">
        <is>
          <t>12월 국내출장 - M항공</t>
        </is>
      </c>
      <c r="J2149" s="75" t="inlineStr">
        <is>
          <t>V10001</t>
        </is>
      </c>
      <c r="K2149" s="75" t="inlineStr">
        <is>
          <t>M항공</t>
        </is>
      </c>
      <c r="M2149" s="9">
        <f>IF($A2149="","",VALUE($A2149&amp;"")*12+VALUE($B2149&amp;""))</f>
        <v/>
      </c>
      <c r="N2149" s="39">
        <f>IF($A2149="","",IFERROR(INDEX(부서매핑!$C$5:$C$504,MATCH($G2149&amp;"",부서매핑!$A$5:$A$504,0)),"미매핑"))</f>
        <v/>
      </c>
      <c r="O2149" s="9">
        <f>IF($A2149="","",N2149&amp;"|"&amp;$F2149)</f>
        <v/>
      </c>
      <c r="P2149" s="77">
        <f>IF($A2149="",0,$H2149*설정!$C$23)</f>
        <v/>
      </c>
      <c r="Q2149" s="39">
        <f>IF($A2149="","",IF(O2149&lt;&gt;원인분석!$C$9,"",IF(AND(M2149&gt;=원인분석!$C$10,M2149&lt;=원인분석!$C$11),"당기",IF(AND(M2149&gt;=원인분석!$C$12,M2149&lt;=원인분석!$C$13),"비교",""))))</f>
        <v/>
      </c>
      <c r="R2149" s="9">
        <f>IF(Q2149="","",$K2149&amp;"")</f>
        <v/>
      </c>
      <c r="S2149" s="9">
        <f>IF(Q2149="","",IF(MATCH(R2149,$R$5:$R$100000,0)=ROW()-4,ROW(),""))</f>
        <v/>
      </c>
      <c r="T2149" s="9">
        <f>IF(Q2149="당기",ABS(P2149)+ROW()/1000000000,"")</f>
        <v/>
      </c>
      <c r="U2149" s="9">
        <f>IF(Q2149="비교",ABS(P2149)+ROW()/1000000000,"")</f>
        <v/>
      </c>
      <c r="V2149" s="39">
        <f>IF($A2149="","",IF(COUNTIF(변동분석!$E$7:$E$506,O2149)&gt;0,"Y","N"))</f>
        <v/>
      </c>
      <c r="W2149" s="39">
        <f>IF($A2149="","",IFERROR(INDEX(계정매핑!$D$5:$D$504,MATCH($F2149&amp;"",계정매핑!$A$5:$A$504,0)),"미매핑"))</f>
        <v/>
      </c>
      <c r="X2149" s="9">
        <f>IF($A2149="","",$F2149&amp;"")</f>
        <v/>
      </c>
    </row>
    <row r="2150">
      <c r="A2150" s="75" t="n">
        <v>2025</v>
      </c>
      <c r="B2150" s="75" t="n">
        <v>12</v>
      </c>
      <c r="C2150" s="75" t="inlineStr">
        <is>
          <t>5100002146</t>
        </is>
      </c>
      <c r="D2150" s="78" t="n">
        <v>45993</v>
      </c>
      <c r="E2150" s="75" t="inlineStr">
        <is>
          <t>KR</t>
        </is>
      </c>
      <c r="F2150" s="75" t="n">
        <v>62501000</v>
      </c>
      <c r="G2150" s="75" t="n">
        <v>1101</v>
      </c>
      <c r="H2150" s="76" t="n">
        <v>215000</v>
      </c>
      <c r="I2150" s="75" t="inlineStr">
        <is>
          <t>12월 회의 다과 - T케이터링</t>
        </is>
      </c>
      <c r="J2150" s="75" t="inlineStr">
        <is>
          <t>V10005</t>
        </is>
      </c>
      <c r="K2150" s="75" t="inlineStr">
        <is>
          <t>T케이터링</t>
        </is>
      </c>
      <c r="M2150" s="9">
        <f>IF($A2150="","",VALUE($A2150&amp;"")*12+VALUE($B2150&amp;""))</f>
        <v/>
      </c>
      <c r="N2150" s="39">
        <f>IF($A2150="","",IFERROR(INDEX(부서매핑!$C$5:$C$504,MATCH($G2150&amp;"",부서매핑!$A$5:$A$504,0)),"미매핑"))</f>
        <v/>
      </c>
      <c r="O2150" s="9">
        <f>IF($A2150="","",N2150&amp;"|"&amp;$F2150)</f>
        <v/>
      </c>
      <c r="P2150" s="77">
        <f>IF($A2150="",0,$H2150*설정!$C$23)</f>
        <v/>
      </c>
      <c r="Q2150" s="39">
        <f>IF($A2150="","",IF(O2150&lt;&gt;원인분석!$C$9,"",IF(AND(M2150&gt;=원인분석!$C$10,M2150&lt;=원인분석!$C$11),"당기",IF(AND(M2150&gt;=원인분석!$C$12,M2150&lt;=원인분석!$C$13),"비교",""))))</f>
        <v/>
      </c>
      <c r="R2150" s="9">
        <f>IF(Q2150="","",$K2150&amp;"")</f>
        <v/>
      </c>
      <c r="S2150" s="9">
        <f>IF(Q2150="","",IF(MATCH(R2150,$R$5:$R$100000,0)=ROW()-4,ROW(),""))</f>
        <v/>
      </c>
      <c r="T2150" s="9">
        <f>IF(Q2150="당기",ABS(P2150)+ROW()/1000000000,"")</f>
        <v/>
      </c>
      <c r="U2150" s="9">
        <f>IF(Q2150="비교",ABS(P2150)+ROW()/1000000000,"")</f>
        <v/>
      </c>
      <c r="V2150" s="39">
        <f>IF($A2150="","",IF(COUNTIF(변동분석!$E$7:$E$506,O2150)&gt;0,"Y","N"))</f>
        <v/>
      </c>
      <c r="W2150" s="39">
        <f>IF($A2150="","",IFERROR(INDEX(계정매핑!$D$5:$D$504,MATCH($F2150&amp;"",계정매핑!$A$5:$A$504,0)),"미매핑"))</f>
        <v/>
      </c>
      <c r="X2150" s="9">
        <f>IF($A2150="","",$F2150&amp;"")</f>
        <v/>
      </c>
    </row>
    <row r="2151">
      <c r="A2151" s="75" t="n">
        <v>2025</v>
      </c>
      <c r="B2151" s="75" t="n">
        <v>12</v>
      </c>
      <c r="C2151" s="75" t="inlineStr">
        <is>
          <t>5100002147</t>
        </is>
      </c>
      <c r="D2151" s="78" t="n">
        <v>45993</v>
      </c>
      <c r="E2151" s="75" t="inlineStr">
        <is>
          <t>KR</t>
        </is>
      </c>
      <c r="F2151" s="75" t="n">
        <v>62501000</v>
      </c>
      <c r="G2151" s="75" t="n">
        <v>1701</v>
      </c>
      <c r="H2151" s="76" t="n">
        <v>156000</v>
      </c>
      <c r="I2151" s="75" t="inlineStr">
        <is>
          <t>12월 회의 다과 - T케이터링</t>
        </is>
      </c>
      <c r="J2151" s="75" t="inlineStr">
        <is>
          <t>V10005</t>
        </is>
      </c>
      <c r="K2151" s="75" t="inlineStr">
        <is>
          <t>T케이터링</t>
        </is>
      </c>
      <c r="M2151" s="9">
        <f>IF($A2151="","",VALUE($A2151&amp;"")*12+VALUE($B2151&amp;""))</f>
        <v/>
      </c>
      <c r="N2151" s="39">
        <f>IF($A2151="","",IFERROR(INDEX(부서매핑!$C$5:$C$504,MATCH($G2151&amp;"",부서매핑!$A$5:$A$504,0)),"미매핑"))</f>
        <v/>
      </c>
      <c r="O2151" s="9">
        <f>IF($A2151="","",N2151&amp;"|"&amp;$F2151)</f>
        <v/>
      </c>
      <c r="P2151" s="77">
        <f>IF($A2151="",0,$H2151*설정!$C$23)</f>
        <v/>
      </c>
      <c r="Q2151" s="39">
        <f>IF($A2151="","",IF(O2151&lt;&gt;원인분석!$C$9,"",IF(AND(M2151&gt;=원인분석!$C$10,M2151&lt;=원인분석!$C$11),"당기",IF(AND(M2151&gt;=원인분석!$C$12,M2151&lt;=원인분석!$C$13),"비교",""))))</f>
        <v/>
      </c>
      <c r="R2151" s="9">
        <f>IF(Q2151="","",$K2151&amp;"")</f>
        <v/>
      </c>
      <c r="S2151" s="9">
        <f>IF(Q2151="","",IF(MATCH(R2151,$R$5:$R$100000,0)=ROW()-4,ROW(),""))</f>
        <v/>
      </c>
      <c r="T2151" s="9">
        <f>IF(Q2151="당기",ABS(P2151)+ROW()/1000000000,"")</f>
        <v/>
      </c>
      <c r="U2151" s="9">
        <f>IF(Q2151="비교",ABS(P2151)+ROW()/1000000000,"")</f>
        <v/>
      </c>
      <c r="V2151" s="39">
        <f>IF($A2151="","",IF(COUNTIF(변동분석!$E$7:$E$506,O2151)&gt;0,"Y","N"))</f>
        <v/>
      </c>
      <c r="W2151" s="39">
        <f>IF($A2151="","",IFERROR(INDEX(계정매핑!$D$5:$D$504,MATCH($F2151&amp;"",계정매핑!$A$5:$A$504,0)),"미매핑"))</f>
        <v/>
      </c>
      <c r="X2151" s="9">
        <f>IF($A2151="","",$F2151&amp;"")</f>
        <v/>
      </c>
    </row>
    <row r="2152">
      <c r="A2152" s="75" t="n">
        <v>2025</v>
      </c>
      <c r="B2152" s="75" t="n">
        <v>12</v>
      </c>
      <c r="C2152" s="75" t="inlineStr">
        <is>
          <t>5100002148</t>
        </is>
      </c>
      <c r="D2152" s="78" t="n">
        <v>45994</v>
      </c>
      <c r="E2152" s="75" t="inlineStr">
        <is>
          <t>KR</t>
        </is>
      </c>
      <c r="F2152" s="75" t="n">
        <v>62101000</v>
      </c>
      <c r="G2152" s="75" t="n">
        <v>1201</v>
      </c>
      <c r="H2152" s="76" t="n">
        <v>421000</v>
      </c>
      <c r="I2152" s="75" t="inlineStr">
        <is>
          <t>12월 국내출장 - (법인카드)</t>
        </is>
      </c>
      <c r="J2152" s="75" t="inlineStr">
        <is>
          <t>V10008</t>
        </is>
      </c>
      <c r="K2152" s="75" t="inlineStr">
        <is>
          <t>(법인카드)</t>
        </is>
      </c>
      <c r="M2152" s="9">
        <f>IF($A2152="","",VALUE($A2152&amp;"")*12+VALUE($B2152&amp;""))</f>
        <v/>
      </c>
      <c r="N2152" s="39">
        <f>IF($A2152="","",IFERROR(INDEX(부서매핑!$C$5:$C$504,MATCH($G2152&amp;"",부서매핑!$A$5:$A$504,0)),"미매핑"))</f>
        <v/>
      </c>
      <c r="O2152" s="9">
        <f>IF($A2152="","",N2152&amp;"|"&amp;$F2152)</f>
        <v/>
      </c>
      <c r="P2152" s="77">
        <f>IF($A2152="",0,$H2152*설정!$C$23)</f>
        <v/>
      </c>
      <c r="Q2152" s="39">
        <f>IF($A2152="","",IF(O2152&lt;&gt;원인분석!$C$9,"",IF(AND(M2152&gt;=원인분석!$C$10,M2152&lt;=원인분석!$C$11),"당기",IF(AND(M2152&gt;=원인분석!$C$12,M2152&lt;=원인분석!$C$13),"비교",""))))</f>
        <v/>
      </c>
      <c r="R2152" s="9">
        <f>IF(Q2152="","",$K2152&amp;"")</f>
        <v/>
      </c>
      <c r="S2152" s="9">
        <f>IF(Q2152="","",IF(MATCH(R2152,$R$5:$R$100000,0)=ROW()-4,ROW(),""))</f>
        <v/>
      </c>
      <c r="T2152" s="9">
        <f>IF(Q2152="당기",ABS(P2152)+ROW()/1000000000,"")</f>
        <v/>
      </c>
      <c r="U2152" s="9">
        <f>IF(Q2152="비교",ABS(P2152)+ROW()/1000000000,"")</f>
        <v/>
      </c>
      <c r="V2152" s="39">
        <f>IF($A2152="","",IF(COUNTIF(변동분석!$E$7:$E$506,O2152)&gt;0,"Y","N"))</f>
        <v/>
      </c>
      <c r="W2152" s="39">
        <f>IF($A2152="","",IFERROR(INDEX(계정매핑!$D$5:$D$504,MATCH($F2152&amp;"",계정매핑!$A$5:$A$504,0)),"미매핑"))</f>
        <v/>
      </c>
      <c r="X2152" s="9">
        <f>IF($A2152="","",$F2152&amp;"")</f>
        <v/>
      </c>
    </row>
    <row r="2153">
      <c r="A2153" s="75" t="n">
        <v>2025</v>
      </c>
      <c r="B2153" s="75" t="n">
        <v>12</v>
      </c>
      <c r="C2153" s="75" t="inlineStr">
        <is>
          <t>5100002149</t>
        </is>
      </c>
      <c r="D2153" s="78" t="n">
        <v>45994</v>
      </c>
      <c r="E2153" s="75" t="inlineStr">
        <is>
          <t>KR</t>
        </is>
      </c>
      <c r="F2153" s="75" t="n">
        <v>62101000</v>
      </c>
      <c r="G2153" s="75" t="n">
        <v>1602</v>
      </c>
      <c r="H2153" s="76" t="n">
        <v>1192000</v>
      </c>
      <c r="I2153" s="75" t="inlineStr">
        <is>
          <t>12월 국내출장 - L여행사</t>
        </is>
      </c>
      <c r="J2153" s="75" t="inlineStr">
        <is>
          <t>V10014</t>
        </is>
      </c>
      <c r="K2153" s="75" t="inlineStr">
        <is>
          <t>L여행사</t>
        </is>
      </c>
      <c r="M2153" s="9">
        <f>IF($A2153="","",VALUE($A2153&amp;"")*12+VALUE($B2153&amp;""))</f>
        <v/>
      </c>
      <c r="N2153" s="39">
        <f>IF($A2153="","",IFERROR(INDEX(부서매핑!$C$5:$C$504,MATCH($G2153&amp;"",부서매핑!$A$5:$A$504,0)),"미매핑"))</f>
        <v/>
      </c>
      <c r="O2153" s="9">
        <f>IF($A2153="","",N2153&amp;"|"&amp;$F2153)</f>
        <v/>
      </c>
      <c r="P2153" s="77">
        <f>IF($A2153="",0,$H2153*설정!$C$23)</f>
        <v/>
      </c>
      <c r="Q2153" s="39">
        <f>IF($A2153="","",IF(O2153&lt;&gt;원인분석!$C$9,"",IF(AND(M2153&gt;=원인분석!$C$10,M2153&lt;=원인분석!$C$11),"당기",IF(AND(M2153&gt;=원인분석!$C$12,M2153&lt;=원인분석!$C$13),"비교",""))))</f>
        <v/>
      </c>
      <c r="R2153" s="9">
        <f>IF(Q2153="","",$K2153&amp;"")</f>
        <v/>
      </c>
      <c r="S2153" s="9">
        <f>IF(Q2153="","",IF(MATCH(R2153,$R$5:$R$100000,0)=ROW()-4,ROW(),""))</f>
        <v/>
      </c>
      <c r="T2153" s="9">
        <f>IF(Q2153="당기",ABS(P2153)+ROW()/1000000000,"")</f>
        <v/>
      </c>
      <c r="U2153" s="9">
        <f>IF(Q2153="비교",ABS(P2153)+ROW()/1000000000,"")</f>
        <v/>
      </c>
      <c r="V2153" s="39">
        <f>IF($A2153="","",IF(COUNTIF(변동분석!$E$7:$E$506,O2153)&gt;0,"Y","N"))</f>
        <v/>
      </c>
      <c r="W2153" s="39">
        <f>IF($A2153="","",IFERROR(INDEX(계정매핑!$D$5:$D$504,MATCH($F2153&amp;"",계정매핑!$A$5:$A$504,0)),"미매핑"))</f>
        <v/>
      </c>
      <c r="X2153" s="9">
        <f>IF($A2153="","",$F2153&amp;"")</f>
        <v/>
      </c>
    </row>
    <row r="2154">
      <c r="A2154" s="75" t="n">
        <v>2025</v>
      </c>
      <c r="B2154" s="75" t="n">
        <v>12</v>
      </c>
      <c r="C2154" s="75" t="inlineStr">
        <is>
          <t>5100002150</t>
        </is>
      </c>
      <c r="D2154" s="78" t="n">
        <v>45994</v>
      </c>
      <c r="E2154" s="75" t="inlineStr">
        <is>
          <t>KR</t>
        </is>
      </c>
      <c r="F2154" s="75" t="n">
        <v>62301000</v>
      </c>
      <c r="G2154" s="75" t="n">
        <v>1101</v>
      </c>
      <c r="H2154" s="76" t="n">
        <v>127000</v>
      </c>
      <c r="I2154" s="75" t="inlineStr">
        <is>
          <t>12월 소모품 구입 - R문구</t>
        </is>
      </c>
      <c r="J2154" s="75" t="inlineStr">
        <is>
          <t>V10018</t>
        </is>
      </c>
      <c r="K2154" s="75" t="inlineStr">
        <is>
          <t>R문구</t>
        </is>
      </c>
      <c r="M2154" s="9">
        <f>IF($A2154="","",VALUE($A2154&amp;"")*12+VALUE($B2154&amp;""))</f>
        <v/>
      </c>
      <c r="N2154" s="39">
        <f>IF($A2154="","",IFERROR(INDEX(부서매핑!$C$5:$C$504,MATCH($G2154&amp;"",부서매핑!$A$5:$A$504,0)),"미매핑"))</f>
        <v/>
      </c>
      <c r="O2154" s="9">
        <f>IF($A2154="","",N2154&amp;"|"&amp;$F2154)</f>
        <v/>
      </c>
      <c r="P2154" s="77">
        <f>IF($A2154="",0,$H2154*설정!$C$23)</f>
        <v/>
      </c>
      <c r="Q2154" s="39">
        <f>IF($A2154="","",IF(O2154&lt;&gt;원인분석!$C$9,"",IF(AND(M2154&gt;=원인분석!$C$10,M2154&lt;=원인분석!$C$11),"당기",IF(AND(M2154&gt;=원인분석!$C$12,M2154&lt;=원인분석!$C$13),"비교",""))))</f>
        <v/>
      </c>
      <c r="R2154" s="9">
        <f>IF(Q2154="","",$K2154&amp;"")</f>
        <v/>
      </c>
      <c r="S2154" s="9">
        <f>IF(Q2154="","",IF(MATCH(R2154,$R$5:$R$100000,0)=ROW()-4,ROW(),""))</f>
        <v/>
      </c>
      <c r="T2154" s="9">
        <f>IF(Q2154="당기",ABS(P2154)+ROW()/1000000000,"")</f>
        <v/>
      </c>
      <c r="U2154" s="9">
        <f>IF(Q2154="비교",ABS(P2154)+ROW()/1000000000,"")</f>
        <v/>
      </c>
      <c r="V2154" s="39">
        <f>IF($A2154="","",IF(COUNTIF(변동분석!$E$7:$E$506,O2154)&gt;0,"Y","N"))</f>
        <v/>
      </c>
      <c r="W2154" s="39">
        <f>IF($A2154="","",IFERROR(INDEX(계정매핑!$D$5:$D$504,MATCH($F2154&amp;"",계정매핑!$A$5:$A$504,0)),"미매핑"))</f>
        <v/>
      </c>
      <c r="X2154" s="9">
        <f>IF($A2154="","",$F2154&amp;"")</f>
        <v/>
      </c>
    </row>
    <row r="2155">
      <c r="A2155" s="75" t="n">
        <v>2025</v>
      </c>
      <c r="B2155" s="75" t="n">
        <v>12</v>
      </c>
      <c r="C2155" s="75" t="inlineStr">
        <is>
          <t>5100002151</t>
        </is>
      </c>
      <c r="D2155" s="78" t="n">
        <v>45994</v>
      </c>
      <c r="E2155" s="75" t="inlineStr">
        <is>
          <t>KR</t>
        </is>
      </c>
      <c r="F2155" s="75" t="n">
        <v>62301000</v>
      </c>
      <c r="G2155" s="75" t="n">
        <v>1301</v>
      </c>
      <c r="H2155" s="76" t="n">
        <v>222000</v>
      </c>
      <c r="I2155" s="75" t="inlineStr">
        <is>
          <t>12월 소모품 구입 - Q오피스</t>
        </is>
      </c>
      <c r="J2155" s="75" t="inlineStr">
        <is>
          <t>V10003</t>
        </is>
      </c>
      <c r="K2155" s="75" t="inlineStr">
        <is>
          <t>Q오피스</t>
        </is>
      </c>
      <c r="M2155" s="9">
        <f>IF($A2155="","",VALUE($A2155&amp;"")*12+VALUE($B2155&amp;""))</f>
        <v/>
      </c>
      <c r="N2155" s="39">
        <f>IF($A2155="","",IFERROR(INDEX(부서매핑!$C$5:$C$504,MATCH($G2155&amp;"",부서매핑!$A$5:$A$504,0)),"미매핑"))</f>
        <v/>
      </c>
      <c r="O2155" s="9">
        <f>IF($A2155="","",N2155&amp;"|"&amp;$F2155)</f>
        <v/>
      </c>
      <c r="P2155" s="77">
        <f>IF($A2155="",0,$H2155*설정!$C$23)</f>
        <v/>
      </c>
      <c r="Q2155" s="39">
        <f>IF($A2155="","",IF(O2155&lt;&gt;원인분석!$C$9,"",IF(AND(M2155&gt;=원인분석!$C$10,M2155&lt;=원인분석!$C$11),"당기",IF(AND(M2155&gt;=원인분석!$C$12,M2155&lt;=원인분석!$C$13),"비교",""))))</f>
        <v/>
      </c>
      <c r="R2155" s="9">
        <f>IF(Q2155="","",$K2155&amp;"")</f>
        <v/>
      </c>
      <c r="S2155" s="9">
        <f>IF(Q2155="","",IF(MATCH(R2155,$R$5:$R$100000,0)=ROW()-4,ROW(),""))</f>
        <v/>
      </c>
      <c r="T2155" s="9">
        <f>IF(Q2155="당기",ABS(P2155)+ROW()/1000000000,"")</f>
        <v/>
      </c>
      <c r="U2155" s="9">
        <f>IF(Q2155="비교",ABS(P2155)+ROW()/1000000000,"")</f>
        <v/>
      </c>
      <c r="V2155" s="39">
        <f>IF($A2155="","",IF(COUNTIF(변동분석!$E$7:$E$506,O2155)&gt;0,"Y","N"))</f>
        <v/>
      </c>
      <c r="W2155" s="39">
        <f>IF($A2155="","",IFERROR(INDEX(계정매핑!$D$5:$D$504,MATCH($F2155&amp;"",계정매핑!$A$5:$A$504,0)),"미매핑"))</f>
        <v/>
      </c>
      <c r="X2155" s="9">
        <f>IF($A2155="","",$F2155&amp;"")</f>
        <v/>
      </c>
    </row>
    <row r="2156">
      <c r="A2156" s="75" t="n">
        <v>2025</v>
      </c>
      <c r="B2156" s="75" t="n">
        <v>12</v>
      </c>
      <c r="C2156" s="75" t="inlineStr">
        <is>
          <t>5100002152</t>
        </is>
      </c>
      <c r="D2156" s="78" t="n">
        <v>45994</v>
      </c>
      <c r="E2156" s="75" t="inlineStr">
        <is>
          <t>KR</t>
        </is>
      </c>
      <c r="F2156" s="75" t="n">
        <v>62301000</v>
      </c>
      <c r="G2156" s="75" t="n">
        <v>1301</v>
      </c>
      <c r="H2156" s="76" t="n">
        <v>109000</v>
      </c>
      <c r="I2156" s="75" t="inlineStr">
        <is>
          <t>12월 소모품 구입 - R문구</t>
        </is>
      </c>
      <c r="J2156" s="75" t="inlineStr">
        <is>
          <t>V10018</t>
        </is>
      </c>
      <c r="K2156" s="75" t="inlineStr">
        <is>
          <t>R문구</t>
        </is>
      </c>
      <c r="M2156" s="9">
        <f>IF($A2156="","",VALUE($A2156&amp;"")*12+VALUE($B2156&amp;""))</f>
        <v/>
      </c>
      <c r="N2156" s="39">
        <f>IF($A2156="","",IFERROR(INDEX(부서매핑!$C$5:$C$504,MATCH($G2156&amp;"",부서매핑!$A$5:$A$504,0)),"미매핑"))</f>
        <v/>
      </c>
      <c r="O2156" s="9">
        <f>IF($A2156="","",N2156&amp;"|"&amp;$F2156)</f>
        <v/>
      </c>
      <c r="P2156" s="77">
        <f>IF($A2156="",0,$H2156*설정!$C$23)</f>
        <v/>
      </c>
      <c r="Q2156" s="39">
        <f>IF($A2156="","",IF(O2156&lt;&gt;원인분석!$C$9,"",IF(AND(M2156&gt;=원인분석!$C$10,M2156&lt;=원인분석!$C$11),"당기",IF(AND(M2156&gt;=원인분석!$C$12,M2156&lt;=원인분석!$C$13),"비교",""))))</f>
        <v/>
      </c>
      <c r="R2156" s="9">
        <f>IF(Q2156="","",$K2156&amp;"")</f>
        <v/>
      </c>
      <c r="S2156" s="9">
        <f>IF(Q2156="","",IF(MATCH(R2156,$R$5:$R$100000,0)=ROW()-4,ROW(),""))</f>
        <v/>
      </c>
      <c r="T2156" s="9">
        <f>IF(Q2156="당기",ABS(P2156)+ROW()/1000000000,"")</f>
        <v/>
      </c>
      <c r="U2156" s="9">
        <f>IF(Q2156="비교",ABS(P2156)+ROW()/1000000000,"")</f>
        <v/>
      </c>
      <c r="V2156" s="39">
        <f>IF($A2156="","",IF(COUNTIF(변동분석!$E$7:$E$506,O2156)&gt;0,"Y","N"))</f>
        <v/>
      </c>
      <c r="W2156" s="39">
        <f>IF($A2156="","",IFERROR(INDEX(계정매핑!$D$5:$D$504,MATCH($F2156&amp;"",계정매핑!$A$5:$A$504,0)),"미매핑"))</f>
        <v/>
      </c>
      <c r="X2156" s="9">
        <f>IF($A2156="","",$F2156&amp;"")</f>
        <v/>
      </c>
    </row>
    <row r="2157">
      <c r="A2157" s="75" t="n">
        <v>2025</v>
      </c>
      <c r="B2157" s="75" t="n">
        <v>12</v>
      </c>
      <c r="C2157" s="75" t="inlineStr">
        <is>
          <t>5100002153</t>
        </is>
      </c>
      <c r="D2157" s="78" t="n">
        <v>45994</v>
      </c>
      <c r="E2157" s="75" t="inlineStr">
        <is>
          <t>KR</t>
        </is>
      </c>
      <c r="F2157" s="75" t="n">
        <v>62301000</v>
      </c>
      <c r="G2157" s="75" t="n">
        <v>1502</v>
      </c>
      <c r="H2157" s="76" t="n">
        <v>241000</v>
      </c>
      <c r="I2157" s="75" t="inlineStr">
        <is>
          <t>12월 소모품 구입 - Q오피스</t>
        </is>
      </c>
      <c r="J2157" s="75" t="inlineStr">
        <is>
          <t>V10003</t>
        </is>
      </c>
      <c r="K2157" s="75" t="inlineStr">
        <is>
          <t>Q오피스</t>
        </is>
      </c>
      <c r="M2157" s="9">
        <f>IF($A2157="","",VALUE($A2157&amp;"")*12+VALUE($B2157&amp;""))</f>
        <v/>
      </c>
      <c r="N2157" s="39">
        <f>IF($A2157="","",IFERROR(INDEX(부서매핑!$C$5:$C$504,MATCH($G2157&amp;"",부서매핑!$A$5:$A$504,0)),"미매핑"))</f>
        <v/>
      </c>
      <c r="O2157" s="9">
        <f>IF($A2157="","",N2157&amp;"|"&amp;$F2157)</f>
        <v/>
      </c>
      <c r="P2157" s="77">
        <f>IF($A2157="",0,$H2157*설정!$C$23)</f>
        <v/>
      </c>
      <c r="Q2157" s="39">
        <f>IF($A2157="","",IF(O2157&lt;&gt;원인분석!$C$9,"",IF(AND(M2157&gt;=원인분석!$C$10,M2157&lt;=원인분석!$C$11),"당기",IF(AND(M2157&gt;=원인분석!$C$12,M2157&lt;=원인분석!$C$13),"비교",""))))</f>
        <v/>
      </c>
      <c r="R2157" s="9">
        <f>IF(Q2157="","",$K2157&amp;"")</f>
        <v/>
      </c>
      <c r="S2157" s="9">
        <f>IF(Q2157="","",IF(MATCH(R2157,$R$5:$R$100000,0)=ROW()-4,ROW(),""))</f>
        <v/>
      </c>
      <c r="T2157" s="9">
        <f>IF(Q2157="당기",ABS(P2157)+ROW()/1000000000,"")</f>
        <v/>
      </c>
      <c r="U2157" s="9">
        <f>IF(Q2157="비교",ABS(P2157)+ROW()/1000000000,"")</f>
        <v/>
      </c>
      <c r="V2157" s="39">
        <f>IF($A2157="","",IF(COUNTIF(변동분석!$E$7:$E$506,O2157)&gt;0,"Y","N"))</f>
        <v/>
      </c>
      <c r="W2157" s="39">
        <f>IF($A2157="","",IFERROR(INDEX(계정매핑!$D$5:$D$504,MATCH($F2157&amp;"",계정매핑!$A$5:$A$504,0)),"미매핑"))</f>
        <v/>
      </c>
      <c r="X2157" s="9">
        <f>IF($A2157="","",$F2157&amp;"")</f>
        <v/>
      </c>
    </row>
    <row r="2158">
      <c r="A2158" s="75" t="n">
        <v>2025</v>
      </c>
      <c r="B2158" s="75" t="n">
        <v>12</v>
      </c>
      <c r="C2158" s="75" t="inlineStr">
        <is>
          <t>5100002154</t>
        </is>
      </c>
      <c r="D2158" s="78" t="n">
        <v>45994</v>
      </c>
      <c r="E2158" s="75" t="inlineStr">
        <is>
          <t>KR</t>
        </is>
      </c>
      <c r="F2158" s="75" t="n">
        <v>62801000</v>
      </c>
      <c r="G2158" s="75" t="n">
        <v>1301</v>
      </c>
      <c r="H2158" s="76" t="n">
        <v>3803000</v>
      </c>
      <c r="I2158" s="75" t="inlineStr">
        <is>
          <t>12월 사내교육 - U에듀</t>
        </is>
      </c>
      <c r="J2158" s="75" t="inlineStr">
        <is>
          <t>V10026</t>
        </is>
      </c>
      <c r="K2158" s="75" t="inlineStr">
        <is>
          <t>U에듀</t>
        </is>
      </c>
      <c r="M2158" s="9">
        <f>IF($A2158="","",VALUE($A2158&amp;"")*12+VALUE($B2158&amp;""))</f>
        <v/>
      </c>
      <c r="N2158" s="39">
        <f>IF($A2158="","",IFERROR(INDEX(부서매핑!$C$5:$C$504,MATCH($G2158&amp;"",부서매핑!$A$5:$A$504,0)),"미매핑"))</f>
        <v/>
      </c>
      <c r="O2158" s="9">
        <f>IF($A2158="","",N2158&amp;"|"&amp;$F2158)</f>
        <v/>
      </c>
      <c r="P2158" s="77">
        <f>IF($A2158="",0,$H2158*설정!$C$23)</f>
        <v/>
      </c>
      <c r="Q2158" s="39">
        <f>IF($A2158="","",IF(O2158&lt;&gt;원인분석!$C$9,"",IF(AND(M2158&gt;=원인분석!$C$10,M2158&lt;=원인분석!$C$11),"당기",IF(AND(M2158&gt;=원인분석!$C$12,M2158&lt;=원인분석!$C$13),"비교",""))))</f>
        <v/>
      </c>
      <c r="R2158" s="9">
        <f>IF(Q2158="","",$K2158&amp;"")</f>
        <v/>
      </c>
      <c r="S2158" s="9">
        <f>IF(Q2158="","",IF(MATCH(R2158,$R$5:$R$100000,0)=ROW()-4,ROW(),""))</f>
        <v/>
      </c>
      <c r="T2158" s="9">
        <f>IF(Q2158="당기",ABS(P2158)+ROW()/1000000000,"")</f>
        <v/>
      </c>
      <c r="U2158" s="9">
        <f>IF(Q2158="비교",ABS(P2158)+ROW()/1000000000,"")</f>
        <v/>
      </c>
      <c r="V2158" s="39">
        <f>IF($A2158="","",IF(COUNTIF(변동분석!$E$7:$E$506,O2158)&gt;0,"Y","N"))</f>
        <v/>
      </c>
      <c r="W2158" s="39">
        <f>IF($A2158="","",IFERROR(INDEX(계정매핑!$D$5:$D$504,MATCH($F2158&amp;"",계정매핑!$A$5:$A$504,0)),"미매핑"))</f>
        <v/>
      </c>
      <c r="X2158" s="9">
        <f>IF($A2158="","",$F2158&amp;"")</f>
        <v/>
      </c>
    </row>
    <row r="2159">
      <c r="A2159" s="75" t="n">
        <v>2025</v>
      </c>
      <c r="B2159" s="75" t="n">
        <v>12</v>
      </c>
      <c r="C2159" s="75" t="inlineStr">
        <is>
          <t>5100002155</t>
        </is>
      </c>
      <c r="D2159" s="78" t="n">
        <v>45995</v>
      </c>
      <c r="E2159" s="75" t="inlineStr">
        <is>
          <t>KR</t>
        </is>
      </c>
      <c r="F2159" s="75" t="n">
        <v>62102000</v>
      </c>
      <c r="G2159" s="75" t="n">
        <v>1601</v>
      </c>
      <c r="H2159" s="76" t="n">
        <v>194000</v>
      </c>
      <c r="I2159" s="75" t="inlineStr">
        <is>
          <t>12월 해외출장 - N호텔</t>
        </is>
      </c>
      <c r="J2159" s="75" t="inlineStr">
        <is>
          <t>V10007</t>
        </is>
      </c>
      <c r="K2159" s="75" t="inlineStr">
        <is>
          <t>N호텔</t>
        </is>
      </c>
      <c r="M2159" s="9">
        <f>IF($A2159="","",VALUE($A2159&amp;"")*12+VALUE($B2159&amp;""))</f>
        <v/>
      </c>
      <c r="N2159" s="39">
        <f>IF($A2159="","",IFERROR(INDEX(부서매핑!$C$5:$C$504,MATCH($G2159&amp;"",부서매핑!$A$5:$A$504,0)),"미매핑"))</f>
        <v/>
      </c>
      <c r="O2159" s="9">
        <f>IF($A2159="","",N2159&amp;"|"&amp;$F2159)</f>
        <v/>
      </c>
      <c r="P2159" s="77">
        <f>IF($A2159="",0,$H2159*설정!$C$23)</f>
        <v/>
      </c>
      <c r="Q2159" s="39">
        <f>IF($A2159="","",IF(O2159&lt;&gt;원인분석!$C$9,"",IF(AND(M2159&gt;=원인분석!$C$10,M2159&lt;=원인분석!$C$11),"당기",IF(AND(M2159&gt;=원인분석!$C$12,M2159&lt;=원인분석!$C$13),"비교",""))))</f>
        <v/>
      </c>
      <c r="R2159" s="9">
        <f>IF(Q2159="","",$K2159&amp;"")</f>
        <v/>
      </c>
      <c r="S2159" s="9">
        <f>IF(Q2159="","",IF(MATCH(R2159,$R$5:$R$100000,0)=ROW()-4,ROW(),""))</f>
        <v/>
      </c>
      <c r="T2159" s="9">
        <f>IF(Q2159="당기",ABS(P2159)+ROW()/1000000000,"")</f>
        <v/>
      </c>
      <c r="U2159" s="9">
        <f>IF(Q2159="비교",ABS(P2159)+ROW()/1000000000,"")</f>
        <v/>
      </c>
      <c r="V2159" s="39">
        <f>IF($A2159="","",IF(COUNTIF(변동분석!$E$7:$E$506,O2159)&gt;0,"Y","N"))</f>
        <v/>
      </c>
      <c r="W2159" s="39">
        <f>IF($A2159="","",IFERROR(INDEX(계정매핑!$D$5:$D$504,MATCH($F2159&amp;"",계정매핑!$A$5:$A$504,0)),"미매핑"))</f>
        <v/>
      </c>
      <c r="X2159" s="9">
        <f>IF($A2159="","",$F2159&amp;"")</f>
        <v/>
      </c>
    </row>
    <row r="2160">
      <c r="A2160" s="75" t="n">
        <v>2025</v>
      </c>
      <c r="B2160" s="75" t="n">
        <v>12</v>
      </c>
      <c r="C2160" s="75" t="inlineStr">
        <is>
          <t>5100002156</t>
        </is>
      </c>
      <c r="D2160" s="78" t="n">
        <v>45995</v>
      </c>
      <c r="E2160" s="75" t="inlineStr">
        <is>
          <t>KR</t>
        </is>
      </c>
      <c r="F2160" s="75" t="n">
        <v>62401000</v>
      </c>
      <c r="G2160" s="75" t="n">
        <v>1401</v>
      </c>
      <c r="H2160" s="76" t="n">
        <v>203000</v>
      </c>
      <c r="I2160" s="75" t="inlineStr">
        <is>
          <t>12월 인쇄물 제작 - G인쇄</t>
        </is>
      </c>
      <c r="J2160" s="75" t="inlineStr">
        <is>
          <t>V10004</t>
        </is>
      </c>
      <c r="K2160" s="75" t="inlineStr">
        <is>
          <t>G인쇄</t>
        </is>
      </c>
      <c r="M2160" s="9">
        <f>IF($A2160="","",VALUE($A2160&amp;"")*12+VALUE($B2160&amp;""))</f>
        <v/>
      </c>
      <c r="N2160" s="39">
        <f>IF($A2160="","",IFERROR(INDEX(부서매핑!$C$5:$C$504,MATCH($G2160&amp;"",부서매핑!$A$5:$A$504,0)),"미매핑"))</f>
        <v/>
      </c>
      <c r="O2160" s="9">
        <f>IF($A2160="","",N2160&amp;"|"&amp;$F2160)</f>
        <v/>
      </c>
      <c r="P2160" s="77">
        <f>IF($A2160="",0,$H2160*설정!$C$23)</f>
        <v/>
      </c>
      <c r="Q2160" s="39">
        <f>IF($A2160="","",IF(O2160&lt;&gt;원인분석!$C$9,"",IF(AND(M2160&gt;=원인분석!$C$10,M2160&lt;=원인분석!$C$11),"당기",IF(AND(M2160&gt;=원인분석!$C$12,M2160&lt;=원인분석!$C$13),"비교",""))))</f>
        <v/>
      </c>
      <c r="R2160" s="9">
        <f>IF(Q2160="","",$K2160&amp;"")</f>
        <v/>
      </c>
      <c r="S2160" s="9">
        <f>IF(Q2160="","",IF(MATCH(R2160,$R$5:$R$100000,0)=ROW()-4,ROW(),""))</f>
        <v/>
      </c>
      <c r="T2160" s="9">
        <f>IF(Q2160="당기",ABS(P2160)+ROW()/1000000000,"")</f>
        <v/>
      </c>
      <c r="U2160" s="9">
        <f>IF(Q2160="비교",ABS(P2160)+ROW()/1000000000,"")</f>
        <v/>
      </c>
      <c r="V2160" s="39">
        <f>IF($A2160="","",IF(COUNTIF(변동분석!$E$7:$E$506,O2160)&gt;0,"Y","N"))</f>
        <v/>
      </c>
      <c r="W2160" s="39">
        <f>IF($A2160="","",IFERROR(INDEX(계정매핑!$D$5:$D$504,MATCH($F2160&amp;"",계정매핑!$A$5:$A$504,0)),"미매핑"))</f>
        <v/>
      </c>
      <c r="X2160" s="9">
        <f>IF($A2160="","",$F2160&amp;"")</f>
        <v/>
      </c>
    </row>
    <row r="2161">
      <c r="A2161" s="75" t="n">
        <v>2025</v>
      </c>
      <c r="B2161" s="75" t="n">
        <v>12</v>
      </c>
      <c r="C2161" s="75" t="inlineStr">
        <is>
          <t>5100002157</t>
        </is>
      </c>
      <c r="D2161" s="78" t="n">
        <v>45995</v>
      </c>
      <c r="E2161" s="75" t="inlineStr">
        <is>
          <t>KR</t>
        </is>
      </c>
      <c r="F2161" s="75" t="n">
        <v>62501000</v>
      </c>
      <c r="G2161" s="75" t="n">
        <v>1301</v>
      </c>
      <c r="H2161" s="76" t="n">
        <v>266000</v>
      </c>
      <c r="I2161" s="75" t="inlineStr">
        <is>
          <t>12월 회의 다과 - (법인카드)</t>
        </is>
      </c>
      <c r="J2161" s="75" t="inlineStr">
        <is>
          <t>V10008</t>
        </is>
      </c>
      <c r="K2161" s="75" t="inlineStr">
        <is>
          <t>(법인카드)</t>
        </is>
      </c>
      <c r="M2161" s="9">
        <f>IF($A2161="","",VALUE($A2161&amp;"")*12+VALUE($B2161&amp;""))</f>
        <v/>
      </c>
      <c r="N2161" s="39">
        <f>IF($A2161="","",IFERROR(INDEX(부서매핑!$C$5:$C$504,MATCH($G2161&amp;"",부서매핑!$A$5:$A$504,0)),"미매핑"))</f>
        <v/>
      </c>
      <c r="O2161" s="9">
        <f>IF($A2161="","",N2161&amp;"|"&amp;$F2161)</f>
        <v/>
      </c>
      <c r="P2161" s="77">
        <f>IF($A2161="",0,$H2161*설정!$C$23)</f>
        <v/>
      </c>
      <c r="Q2161" s="39">
        <f>IF($A2161="","",IF(O2161&lt;&gt;원인분석!$C$9,"",IF(AND(M2161&gt;=원인분석!$C$10,M2161&lt;=원인분석!$C$11),"당기",IF(AND(M2161&gt;=원인분석!$C$12,M2161&lt;=원인분석!$C$13),"비교",""))))</f>
        <v/>
      </c>
      <c r="R2161" s="9">
        <f>IF(Q2161="","",$K2161&amp;"")</f>
        <v/>
      </c>
      <c r="S2161" s="9">
        <f>IF(Q2161="","",IF(MATCH(R2161,$R$5:$R$100000,0)=ROW()-4,ROW(),""))</f>
        <v/>
      </c>
      <c r="T2161" s="9">
        <f>IF(Q2161="당기",ABS(P2161)+ROW()/1000000000,"")</f>
        <v/>
      </c>
      <c r="U2161" s="9">
        <f>IF(Q2161="비교",ABS(P2161)+ROW()/1000000000,"")</f>
        <v/>
      </c>
      <c r="V2161" s="39">
        <f>IF($A2161="","",IF(COUNTIF(변동분석!$E$7:$E$506,O2161)&gt;0,"Y","N"))</f>
        <v/>
      </c>
      <c r="W2161" s="39">
        <f>IF($A2161="","",IFERROR(INDEX(계정매핑!$D$5:$D$504,MATCH($F2161&amp;"",계정매핑!$A$5:$A$504,0)),"미매핑"))</f>
        <v/>
      </c>
      <c r="X2161" s="9">
        <f>IF($A2161="","",$F2161&amp;"")</f>
        <v/>
      </c>
    </row>
    <row r="2162">
      <c r="A2162" s="75" t="n">
        <v>2025</v>
      </c>
      <c r="B2162" s="75" t="n">
        <v>12</v>
      </c>
      <c r="C2162" s="75" t="inlineStr">
        <is>
          <t>5100002158</t>
        </is>
      </c>
      <c r="D2162" s="78" t="n">
        <v>45995</v>
      </c>
      <c r="E2162" s="75" t="inlineStr">
        <is>
          <t>KR</t>
        </is>
      </c>
      <c r="F2162" s="75" t="n">
        <v>62501000</v>
      </c>
      <c r="G2162" s="75" t="n">
        <v>1401</v>
      </c>
      <c r="H2162" s="76" t="n">
        <v>369000</v>
      </c>
      <c r="I2162" s="75" t="inlineStr">
        <is>
          <t>12월 회의 다과 - T케이터링</t>
        </is>
      </c>
      <c r="J2162" s="75" t="inlineStr">
        <is>
          <t>V10005</t>
        </is>
      </c>
      <c r="K2162" s="75" t="inlineStr">
        <is>
          <t>T케이터링</t>
        </is>
      </c>
      <c r="M2162" s="9">
        <f>IF($A2162="","",VALUE($A2162&amp;"")*12+VALUE($B2162&amp;""))</f>
        <v/>
      </c>
      <c r="N2162" s="39">
        <f>IF($A2162="","",IFERROR(INDEX(부서매핑!$C$5:$C$504,MATCH($G2162&amp;"",부서매핑!$A$5:$A$504,0)),"미매핑"))</f>
        <v/>
      </c>
      <c r="O2162" s="9">
        <f>IF($A2162="","",N2162&amp;"|"&amp;$F2162)</f>
        <v/>
      </c>
      <c r="P2162" s="77">
        <f>IF($A2162="",0,$H2162*설정!$C$23)</f>
        <v/>
      </c>
      <c r="Q2162" s="39">
        <f>IF($A2162="","",IF(O2162&lt;&gt;원인분석!$C$9,"",IF(AND(M2162&gt;=원인분석!$C$10,M2162&lt;=원인분석!$C$11),"당기",IF(AND(M2162&gt;=원인분석!$C$12,M2162&lt;=원인분석!$C$13),"비교",""))))</f>
        <v/>
      </c>
      <c r="R2162" s="9">
        <f>IF(Q2162="","",$K2162&amp;"")</f>
        <v/>
      </c>
      <c r="S2162" s="9">
        <f>IF(Q2162="","",IF(MATCH(R2162,$R$5:$R$100000,0)=ROW()-4,ROW(),""))</f>
        <v/>
      </c>
      <c r="T2162" s="9">
        <f>IF(Q2162="당기",ABS(P2162)+ROW()/1000000000,"")</f>
        <v/>
      </c>
      <c r="U2162" s="9">
        <f>IF(Q2162="비교",ABS(P2162)+ROW()/1000000000,"")</f>
        <v/>
      </c>
      <c r="V2162" s="39">
        <f>IF($A2162="","",IF(COUNTIF(변동분석!$E$7:$E$506,O2162)&gt;0,"Y","N"))</f>
        <v/>
      </c>
      <c r="W2162" s="39">
        <f>IF($A2162="","",IFERROR(INDEX(계정매핑!$D$5:$D$504,MATCH($F2162&amp;"",계정매핑!$A$5:$A$504,0)),"미매핑"))</f>
        <v/>
      </c>
      <c r="X2162" s="9">
        <f>IF($A2162="","",$F2162&amp;"")</f>
        <v/>
      </c>
    </row>
    <row r="2163">
      <c r="A2163" s="75" t="n">
        <v>2025</v>
      </c>
      <c r="B2163" s="75" t="n">
        <v>12</v>
      </c>
      <c r="C2163" s="75" t="inlineStr">
        <is>
          <t>5100002159</t>
        </is>
      </c>
      <c r="D2163" s="78" t="n">
        <v>45995</v>
      </c>
      <c r="E2163" s="75" t="inlineStr">
        <is>
          <t>KR</t>
        </is>
      </c>
      <c r="F2163" s="75" t="n">
        <v>62501000</v>
      </c>
      <c r="G2163" s="75" t="n">
        <v>1501</v>
      </c>
      <c r="H2163" s="76" t="n">
        <v>232000</v>
      </c>
      <c r="I2163" s="75" t="inlineStr">
        <is>
          <t>12월 회의 다과 - (법인카드)</t>
        </is>
      </c>
      <c r="J2163" s="75" t="inlineStr">
        <is>
          <t>V10008</t>
        </is>
      </c>
      <c r="K2163" s="75" t="inlineStr">
        <is>
          <t>(법인카드)</t>
        </is>
      </c>
      <c r="M2163" s="9">
        <f>IF($A2163="","",VALUE($A2163&amp;"")*12+VALUE($B2163&amp;""))</f>
        <v/>
      </c>
      <c r="N2163" s="39">
        <f>IF($A2163="","",IFERROR(INDEX(부서매핑!$C$5:$C$504,MATCH($G2163&amp;"",부서매핑!$A$5:$A$504,0)),"미매핑"))</f>
        <v/>
      </c>
      <c r="O2163" s="9">
        <f>IF($A2163="","",N2163&amp;"|"&amp;$F2163)</f>
        <v/>
      </c>
      <c r="P2163" s="77">
        <f>IF($A2163="",0,$H2163*설정!$C$23)</f>
        <v/>
      </c>
      <c r="Q2163" s="39">
        <f>IF($A2163="","",IF(O2163&lt;&gt;원인분석!$C$9,"",IF(AND(M2163&gt;=원인분석!$C$10,M2163&lt;=원인분석!$C$11),"당기",IF(AND(M2163&gt;=원인분석!$C$12,M2163&lt;=원인분석!$C$13),"비교",""))))</f>
        <v/>
      </c>
      <c r="R2163" s="9">
        <f>IF(Q2163="","",$K2163&amp;"")</f>
        <v/>
      </c>
      <c r="S2163" s="9">
        <f>IF(Q2163="","",IF(MATCH(R2163,$R$5:$R$100000,0)=ROW()-4,ROW(),""))</f>
        <v/>
      </c>
      <c r="T2163" s="9">
        <f>IF(Q2163="당기",ABS(P2163)+ROW()/1000000000,"")</f>
        <v/>
      </c>
      <c r="U2163" s="9">
        <f>IF(Q2163="비교",ABS(P2163)+ROW()/1000000000,"")</f>
        <v/>
      </c>
      <c r="V2163" s="39">
        <f>IF($A2163="","",IF(COUNTIF(변동분석!$E$7:$E$506,O2163)&gt;0,"Y","N"))</f>
        <v/>
      </c>
      <c r="W2163" s="39">
        <f>IF($A2163="","",IFERROR(INDEX(계정매핑!$D$5:$D$504,MATCH($F2163&amp;"",계정매핑!$A$5:$A$504,0)),"미매핑"))</f>
        <v/>
      </c>
      <c r="X2163" s="9">
        <f>IF($A2163="","",$F2163&amp;"")</f>
        <v/>
      </c>
    </row>
    <row r="2164">
      <c r="A2164" s="75" t="n">
        <v>2025</v>
      </c>
      <c r="B2164" s="75" t="n">
        <v>12</v>
      </c>
      <c r="C2164" s="75" t="inlineStr">
        <is>
          <t>5100002160</t>
        </is>
      </c>
      <c r="D2164" s="78" t="n">
        <v>45996</v>
      </c>
      <c r="E2164" s="75" t="inlineStr">
        <is>
          <t>KR</t>
        </is>
      </c>
      <c r="F2164" s="75" t="n">
        <v>62101000</v>
      </c>
      <c r="G2164" s="75" t="n">
        <v>1201</v>
      </c>
      <c r="H2164" s="76" t="n">
        <v>309000</v>
      </c>
      <c r="I2164" s="75" t="inlineStr">
        <is>
          <t>12월 국내출장 - L여행사</t>
        </is>
      </c>
      <c r="J2164" s="75" t="inlineStr">
        <is>
          <t>V10014</t>
        </is>
      </c>
      <c r="K2164" s="75" t="inlineStr">
        <is>
          <t>L여행사</t>
        </is>
      </c>
      <c r="M2164" s="9">
        <f>IF($A2164="","",VALUE($A2164&amp;"")*12+VALUE($B2164&amp;""))</f>
        <v/>
      </c>
      <c r="N2164" s="39">
        <f>IF($A2164="","",IFERROR(INDEX(부서매핑!$C$5:$C$504,MATCH($G2164&amp;"",부서매핑!$A$5:$A$504,0)),"미매핑"))</f>
        <v/>
      </c>
      <c r="O2164" s="9">
        <f>IF($A2164="","",N2164&amp;"|"&amp;$F2164)</f>
        <v/>
      </c>
      <c r="P2164" s="77">
        <f>IF($A2164="",0,$H2164*설정!$C$23)</f>
        <v/>
      </c>
      <c r="Q2164" s="39">
        <f>IF($A2164="","",IF(O2164&lt;&gt;원인분석!$C$9,"",IF(AND(M2164&gt;=원인분석!$C$10,M2164&lt;=원인분석!$C$11),"당기",IF(AND(M2164&gt;=원인분석!$C$12,M2164&lt;=원인분석!$C$13),"비교",""))))</f>
        <v/>
      </c>
      <c r="R2164" s="9">
        <f>IF(Q2164="","",$K2164&amp;"")</f>
        <v/>
      </c>
      <c r="S2164" s="9">
        <f>IF(Q2164="","",IF(MATCH(R2164,$R$5:$R$100000,0)=ROW()-4,ROW(),""))</f>
        <v/>
      </c>
      <c r="T2164" s="9">
        <f>IF(Q2164="당기",ABS(P2164)+ROW()/1000000000,"")</f>
        <v/>
      </c>
      <c r="U2164" s="9">
        <f>IF(Q2164="비교",ABS(P2164)+ROW()/1000000000,"")</f>
        <v/>
      </c>
      <c r="V2164" s="39">
        <f>IF($A2164="","",IF(COUNTIF(변동분석!$E$7:$E$506,O2164)&gt;0,"Y","N"))</f>
        <v/>
      </c>
      <c r="W2164" s="39">
        <f>IF($A2164="","",IFERROR(INDEX(계정매핑!$D$5:$D$504,MATCH($F2164&amp;"",계정매핑!$A$5:$A$504,0)),"미매핑"))</f>
        <v/>
      </c>
      <c r="X2164" s="9">
        <f>IF($A2164="","",$F2164&amp;"")</f>
        <v/>
      </c>
    </row>
    <row r="2165">
      <c r="A2165" s="75" t="n">
        <v>2025</v>
      </c>
      <c r="B2165" s="75" t="n">
        <v>12</v>
      </c>
      <c r="C2165" s="75" t="inlineStr">
        <is>
          <t>5100002161</t>
        </is>
      </c>
      <c r="D2165" s="78" t="n">
        <v>45996</v>
      </c>
      <c r="E2165" s="75" t="inlineStr">
        <is>
          <t>KR</t>
        </is>
      </c>
      <c r="F2165" s="75" t="n">
        <v>62101000</v>
      </c>
      <c r="G2165" s="75" t="n">
        <v>1601</v>
      </c>
      <c r="H2165" s="76" t="n">
        <v>737000</v>
      </c>
      <c r="I2165" s="75" t="inlineStr">
        <is>
          <t>12월 국내출장 - M항공</t>
        </is>
      </c>
      <c r="J2165" s="75" t="inlineStr">
        <is>
          <t>V10001</t>
        </is>
      </c>
      <c r="K2165" s="75" t="inlineStr">
        <is>
          <t>M항공</t>
        </is>
      </c>
      <c r="M2165" s="9">
        <f>IF($A2165="","",VALUE($A2165&amp;"")*12+VALUE($B2165&amp;""))</f>
        <v/>
      </c>
      <c r="N2165" s="39">
        <f>IF($A2165="","",IFERROR(INDEX(부서매핑!$C$5:$C$504,MATCH($G2165&amp;"",부서매핑!$A$5:$A$504,0)),"미매핑"))</f>
        <v/>
      </c>
      <c r="O2165" s="9">
        <f>IF($A2165="","",N2165&amp;"|"&amp;$F2165)</f>
        <v/>
      </c>
      <c r="P2165" s="77">
        <f>IF($A2165="",0,$H2165*설정!$C$23)</f>
        <v/>
      </c>
      <c r="Q2165" s="39">
        <f>IF($A2165="","",IF(O2165&lt;&gt;원인분석!$C$9,"",IF(AND(M2165&gt;=원인분석!$C$10,M2165&lt;=원인분석!$C$11),"당기",IF(AND(M2165&gt;=원인분석!$C$12,M2165&lt;=원인분석!$C$13),"비교",""))))</f>
        <v/>
      </c>
      <c r="R2165" s="9">
        <f>IF(Q2165="","",$K2165&amp;"")</f>
        <v/>
      </c>
      <c r="S2165" s="9">
        <f>IF(Q2165="","",IF(MATCH(R2165,$R$5:$R$100000,0)=ROW()-4,ROW(),""))</f>
        <v/>
      </c>
      <c r="T2165" s="9">
        <f>IF(Q2165="당기",ABS(P2165)+ROW()/1000000000,"")</f>
        <v/>
      </c>
      <c r="U2165" s="9">
        <f>IF(Q2165="비교",ABS(P2165)+ROW()/1000000000,"")</f>
        <v/>
      </c>
      <c r="V2165" s="39">
        <f>IF($A2165="","",IF(COUNTIF(변동분석!$E$7:$E$506,O2165)&gt;0,"Y","N"))</f>
        <v/>
      </c>
      <c r="W2165" s="39">
        <f>IF($A2165="","",IFERROR(INDEX(계정매핑!$D$5:$D$504,MATCH($F2165&amp;"",계정매핑!$A$5:$A$504,0)),"미매핑"))</f>
        <v/>
      </c>
      <c r="X2165" s="9">
        <f>IF($A2165="","",$F2165&amp;"")</f>
        <v/>
      </c>
    </row>
    <row r="2166">
      <c r="A2166" s="75" t="n">
        <v>2025</v>
      </c>
      <c r="B2166" s="75" t="n">
        <v>12</v>
      </c>
      <c r="C2166" s="75" t="inlineStr">
        <is>
          <t>5100002162</t>
        </is>
      </c>
      <c r="D2166" s="78" t="n">
        <v>45996</v>
      </c>
      <c r="E2166" s="75" t="inlineStr">
        <is>
          <t>KR</t>
        </is>
      </c>
      <c r="F2166" s="75" t="n">
        <v>62102000</v>
      </c>
      <c r="G2166" s="75" t="n">
        <v>1101</v>
      </c>
      <c r="H2166" s="76" t="n">
        <v>115000</v>
      </c>
      <c r="I2166" s="75" t="inlineStr">
        <is>
          <t>12월 해외출장 - N호텔</t>
        </is>
      </c>
      <c r="J2166" s="75" t="inlineStr">
        <is>
          <t>V10007</t>
        </is>
      </c>
      <c r="K2166" s="75" t="inlineStr">
        <is>
          <t>N호텔</t>
        </is>
      </c>
      <c r="M2166" s="9">
        <f>IF($A2166="","",VALUE($A2166&amp;"")*12+VALUE($B2166&amp;""))</f>
        <v/>
      </c>
      <c r="N2166" s="39">
        <f>IF($A2166="","",IFERROR(INDEX(부서매핑!$C$5:$C$504,MATCH($G2166&amp;"",부서매핑!$A$5:$A$504,0)),"미매핑"))</f>
        <v/>
      </c>
      <c r="O2166" s="9">
        <f>IF($A2166="","",N2166&amp;"|"&amp;$F2166)</f>
        <v/>
      </c>
      <c r="P2166" s="77">
        <f>IF($A2166="",0,$H2166*설정!$C$23)</f>
        <v/>
      </c>
      <c r="Q2166" s="39">
        <f>IF($A2166="","",IF(O2166&lt;&gt;원인분석!$C$9,"",IF(AND(M2166&gt;=원인분석!$C$10,M2166&lt;=원인분석!$C$11),"당기",IF(AND(M2166&gt;=원인분석!$C$12,M2166&lt;=원인분석!$C$13),"비교",""))))</f>
        <v/>
      </c>
      <c r="R2166" s="9">
        <f>IF(Q2166="","",$K2166&amp;"")</f>
        <v/>
      </c>
      <c r="S2166" s="9">
        <f>IF(Q2166="","",IF(MATCH(R2166,$R$5:$R$100000,0)=ROW()-4,ROW(),""))</f>
        <v/>
      </c>
      <c r="T2166" s="9">
        <f>IF(Q2166="당기",ABS(P2166)+ROW()/1000000000,"")</f>
        <v/>
      </c>
      <c r="U2166" s="9">
        <f>IF(Q2166="비교",ABS(P2166)+ROW()/1000000000,"")</f>
        <v/>
      </c>
      <c r="V2166" s="39">
        <f>IF($A2166="","",IF(COUNTIF(변동분석!$E$7:$E$506,O2166)&gt;0,"Y","N"))</f>
        <v/>
      </c>
      <c r="W2166" s="39">
        <f>IF($A2166="","",IFERROR(INDEX(계정매핑!$D$5:$D$504,MATCH($F2166&amp;"",계정매핑!$A$5:$A$504,0)),"미매핑"))</f>
        <v/>
      </c>
      <c r="X2166" s="9">
        <f>IF($A2166="","",$F2166&amp;"")</f>
        <v/>
      </c>
    </row>
    <row r="2167">
      <c r="A2167" s="75" t="n">
        <v>2025</v>
      </c>
      <c r="B2167" s="75" t="n">
        <v>12</v>
      </c>
      <c r="C2167" s="75" t="inlineStr">
        <is>
          <t>5100002163</t>
        </is>
      </c>
      <c r="D2167" s="78" t="n">
        <v>45996</v>
      </c>
      <c r="E2167" s="75" t="inlineStr">
        <is>
          <t>KR</t>
        </is>
      </c>
      <c r="F2167" s="75" t="n">
        <v>62102000</v>
      </c>
      <c r="G2167" s="75" t="n">
        <v>1502</v>
      </c>
      <c r="H2167" s="76" t="n">
        <v>185000</v>
      </c>
      <c r="I2167" s="75" t="inlineStr">
        <is>
          <t>12월 해외출장 - N호텔</t>
        </is>
      </c>
      <c r="J2167" s="75" t="inlineStr">
        <is>
          <t>V10007</t>
        </is>
      </c>
      <c r="K2167" s="75" t="inlineStr">
        <is>
          <t>N호텔</t>
        </is>
      </c>
      <c r="M2167" s="9">
        <f>IF($A2167="","",VALUE($A2167&amp;"")*12+VALUE($B2167&amp;""))</f>
        <v/>
      </c>
      <c r="N2167" s="39">
        <f>IF($A2167="","",IFERROR(INDEX(부서매핑!$C$5:$C$504,MATCH($G2167&amp;"",부서매핑!$A$5:$A$504,0)),"미매핑"))</f>
        <v/>
      </c>
      <c r="O2167" s="9">
        <f>IF($A2167="","",N2167&amp;"|"&amp;$F2167)</f>
        <v/>
      </c>
      <c r="P2167" s="77">
        <f>IF($A2167="",0,$H2167*설정!$C$23)</f>
        <v/>
      </c>
      <c r="Q2167" s="39">
        <f>IF($A2167="","",IF(O2167&lt;&gt;원인분석!$C$9,"",IF(AND(M2167&gt;=원인분석!$C$10,M2167&lt;=원인분석!$C$11),"당기",IF(AND(M2167&gt;=원인분석!$C$12,M2167&lt;=원인분석!$C$13),"비교",""))))</f>
        <v/>
      </c>
      <c r="R2167" s="9">
        <f>IF(Q2167="","",$K2167&amp;"")</f>
        <v/>
      </c>
      <c r="S2167" s="9">
        <f>IF(Q2167="","",IF(MATCH(R2167,$R$5:$R$100000,0)=ROW()-4,ROW(),""))</f>
        <v/>
      </c>
      <c r="T2167" s="9">
        <f>IF(Q2167="당기",ABS(P2167)+ROW()/1000000000,"")</f>
        <v/>
      </c>
      <c r="U2167" s="9">
        <f>IF(Q2167="비교",ABS(P2167)+ROW()/1000000000,"")</f>
        <v/>
      </c>
      <c r="V2167" s="39">
        <f>IF($A2167="","",IF(COUNTIF(변동분석!$E$7:$E$506,O2167)&gt;0,"Y","N"))</f>
        <v/>
      </c>
      <c r="W2167" s="39">
        <f>IF($A2167="","",IFERROR(INDEX(계정매핑!$D$5:$D$504,MATCH($F2167&amp;"",계정매핑!$A$5:$A$504,0)),"미매핑"))</f>
        <v/>
      </c>
      <c r="X2167" s="9">
        <f>IF($A2167="","",$F2167&amp;"")</f>
        <v/>
      </c>
    </row>
    <row r="2168">
      <c r="A2168" s="75" t="n">
        <v>2025</v>
      </c>
      <c r="B2168" s="75" t="n">
        <v>12</v>
      </c>
      <c r="C2168" s="75" t="inlineStr">
        <is>
          <t>5100002164</t>
        </is>
      </c>
      <c r="D2168" s="78" t="n">
        <v>45996</v>
      </c>
      <c r="E2168" s="75" t="inlineStr">
        <is>
          <t>KR</t>
        </is>
      </c>
      <c r="F2168" s="75" t="n">
        <v>62102000</v>
      </c>
      <c r="G2168" s="75" t="n">
        <v>1701</v>
      </c>
      <c r="H2168" s="76" t="n">
        <v>26000</v>
      </c>
      <c r="I2168" s="75" t="inlineStr">
        <is>
          <t>12월 해외출장 - M항공</t>
        </is>
      </c>
      <c r="J2168" s="75" t="inlineStr">
        <is>
          <t>V10001</t>
        </is>
      </c>
      <c r="K2168" s="75" t="inlineStr">
        <is>
          <t>M항공</t>
        </is>
      </c>
      <c r="M2168" s="9">
        <f>IF($A2168="","",VALUE($A2168&amp;"")*12+VALUE($B2168&amp;""))</f>
        <v/>
      </c>
      <c r="N2168" s="39">
        <f>IF($A2168="","",IFERROR(INDEX(부서매핑!$C$5:$C$504,MATCH($G2168&amp;"",부서매핑!$A$5:$A$504,0)),"미매핑"))</f>
        <v/>
      </c>
      <c r="O2168" s="9">
        <f>IF($A2168="","",N2168&amp;"|"&amp;$F2168)</f>
        <v/>
      </c>
      <c r="P2168" s="77">
        <f>IF($A2168="",0,$H2168*설정!$C$23)</f>
        <v/>
      </c>
      <c r="Q2168" s="39">
        <f>IF($A2168="","",IF(O2168&lt;&gt;원인분석!$C$9,"",IF(AND(M2168&gt;=원인분석!$C$10,M2168&lt;=원인분석!$C$11),"당기",IF(AND(M2168&gt;=원인분석!$C$12,M2168&lt;=원인분석!$C$13),"비교",""))))</f>
        <v/>
      </c>
      <c r="R2168" s="9">
        <f>IF(Q2168="","",$K2168&amp;"")</f>
        <v/>
      </c>
      <c r="S2168" s="9">
        <f>IF(Q2168="","",IF(MATCH(R2168,$R$5:$R$100000,0)=ROW()-4,ROW(),""))</f>
        <v/>
      </c>
      <c r="T2168" s="9">
        <f>IF(Q2168="당기",ABS(P2168)+ROW()/1000000000,"")</f>
        <v/>
      </c>
      <c r="U2168" s="9">
        <f>IF(Q2168="비교",ABS(P2168)+ROW()/1000000000,"")</f>
        <v/>
      </c>
      <c r="V2168" s="39">
        <f>IF($A2168="","",IF(COUNTIF(변동분석!$E$7:$E$506,O2168)&gt;0,"Y","N"))</f>
        <v/>
      </c>
      <c r="W2168" s="39">
        <f>IF($A2168="","",IFERROR(INDEX(계정매핑!$D$5:$D$504,MATCH($F2168&amp;"",계정매핑!$A$5:$A$504,0)),"미매핑"))</f>
        <v/>
      </c>
      <c r="X2168" s="9">
        <f>IF($A2168="","",$F2168&amp;"")</f>
        <v/>
      </c>
    </row>
    <row r="2169">
      <c r="A2169" s="75" t="n">
        <v>2025</v>
      </c>
      <c r="B2169" s="75" t="n">
        <v>12</v>
      </c>
      <c r="C2169" s="75" t="inlineStr">
        <is>
          <t>5100002165</t>
        </is>
      </c>
      <c r="D2169" s="78" t="n">
        <v>45996</v>
      </c>
      <c r="E2169" s="75" t="inlineStr">
        <is>
          <t>KR</t>
        </is>
      </c>
      <c r="F2169" s="75" t="n">
        <v>62201000</v>
      </c>
      <c r="G2169" s="75" t="n">
        <v>1201</v>
      </c>
      <c r="H2169" s="76" t="n">
        <v>140000</v>
      </c>
      <c r="I2169" s="75" t="inlineStr">
        <is>
          <t>12월 통신요금 - O텔레콤</t>
        </is>
      </c>
      <c r="J2169" s="75" t="inlineStr">
        <is>
          <t>V10002</t>
        </is>
      </c>
      <c r="K2169" s="75" t="inlineStr">
        <is>
          <t>O텔레콤</t>
        </is>
      </c>
      <c r="M2169" s="9">
        <f>IF($A2169="","",VALUE($A2169&amp;"")*12+VALUE($B2169&amp;""))</f>
        <v/>
      </c>
      <c r="N2169" s="39">
        <f>IF($A2169="","",IFERROR(INDEX(부서매핑!$C$5:$C$504,MATCH($G2169&amp;"",부서매핑!$A$5:$A$504,0)),"미매핑"))</f>
        <v/>
      </c>
      <c r="O2169" s="9">
        <f>IF($A2169="","",N2169&amp;"|"&amp;$F2169)</f>
        <v/>
      </c>
      <c r="P2169" s="77">
        <f>IF($A2169="",0,$H2169*설정!$C$23)</f>
        <v/>
      </c>
      <c r="Q2169" s="39">
        <f>IF($A2169="","",IF(O2169&lt;&gt;원인분석!$C$9,"",IF(AND(M2169&gt;=원인분석!$C$10,M2169&lt;=원인분석!$C$11),"당기",IF(AND(M2169&gt;=원인분석!$C$12,M2169&lt;=원인분석!$C$13),"비교",""))))</f>
        <v/>
      </c>
      <c r="R2169" s="9">
        <f>IF(Q2169="","",$K2169&amp;"")</f>
        <v/>
      </c>
      <c r="S2169" s="9">
        <f>IF(Q2169="","",IF(MATCH(R2169,$R$5:$R$100000,0)=ROW()-4,ROW(),""))</f>
        <v/>
      </c>
      <c r="T2169" s="9">
        <f>IF(Q2169="당기",ABS(P2169)+ROW()/1000000000,"")</f>
        <v/>
      </c>
      <c r="U2169" s="9">
        <f>IF(Q2169="비교",ABS(P2169)+ROW()/1000000000,"")</f>
        <v/>
      </c>
      <c r="V2169" s="39">
        <f>IF($A2169="","",IF(COUNTIF(변동분석!$E$7:$E$506,O2169)&gt;0,"Y","N"))</f>
        <v/>
      </c>
      <c r="W2169" s="39">
        <f>IF($A2169="","",IFERROR(INDEX(계정매핑!$D$5:$D$504,MATCH($F2169&amp;"",계정매핑!$A$5:$A$504,0)),"미매핑"))</f>
        <v/>
      </c>
      <c r="X2169" s="9">
        <f>IF($A2169="","",$F2169&amp;"")</f>
        <v/>
      </c>
    </row>
    <row r="2170">
      <c r="A2170" s="75" t="n">
        <v>2025</v>
      </c>
      <c r="B2170" s="75" t="n">
        <v>12</v>
      </c>
      <c r="C2170" s="75" t="inlineStr">
        <is>
          <t>5100002166</t>
        </is>
      </c>
      <c r="D2170" s="78" t="n">
        <v>45996</v>
      </c>
      <c r="E2170" s="75" t="inlineStr">
        <is>
          <t>KR</t>
        </is>
      </c>
      <c r="F2170" s="75" t="n">
        <v>62201000</v>
      </c>
      <c r="G2170" s="75" t="n">
        <v>1301</v>
      </c>
      <c r="H2170" s="76" t="n">
        <v>212000</v>
      </c>
      <c r="I2170" s="75" t="inlineStr">
        <is>
          <t>12월 통신요금 - P통신</t>
        </is>
      </c>
      <c r="J2170" s="75" t="inlineStr">
        <is>
          <t>V10011</t>
        </is>
      </c>
      <c r="K2170" s="75" t="inlineStr">
        <is>
          <t>P통신</t>
        </is>
      </c>
      <c r="M2170" s="9">
        <f>IF($A2170="","",VALUE($A2170&amp;"")*12+VALUE($B2170&amp;""))</f>
        <v/>
      </c>
      <c r="N2170" s="39">
        <f>IF($A2170="","",IFERROR(INDEX(부서매핑!$C$5:$C$504,MATCH($G2170&amp;"",부서매핑!$A$5:$A$504,0)),"미매핑"))</f>
        <v/>
      </c>
      <c r="O2170" s="9">
        <f>IF($A2170="","",N2170&amp;"|"&amp;$F2170)</f>
        <v/>
      </c>
      <c r="P2170" s="77">
        <f>IF($A2170="",0,$H2170*설정!$C$23)</f>
        <v/>
      </c>
      <c r="Q2170" s="39">
        <f>IF($A2170="","",IF(O2170&lt;&gt;원인분석!$C$9,"",IF(AND(M2170&gt;=원인분석!$C$10,M2170&lt;=원인분석!$C$11),"당기",IF(AND(M2170&gt;=원인분석!$C$12,M2170&lt;=원인분석!$C$13),"비교",""))))</f>
        <v/>
      </c>
      <c r="R2170" s="9">
        <f>IF(Q2170="","",$K2170&amp;"")</f>
        <v/>
      </c>
      <c r="S2170" s="9">
        <f>IF(Q2170="","",IF(MATCH(R2170,$R$5:$R$100000,0)=ROW()-4,ROW(),""))</f>
        <v/>
      </c>
      <c r="T2170" s="9">
        <f>IF(Q2170="당기",ABS(P2170)+ROW()/1000000000,"")</f>
        <v/>
      </c>
      <c r="U2170" s="9">
        <f>IF(Q2170="비교",ABS(P2170)+ROW()/1000000000,"")</f>
        <v/>
      </c>
      <c r="V2170" s="39">
        <f>IF($A2170="","",IF(COUNTIF(변동분석!$E$7:$E$506,O2170)&gt;0,"Y","N"))</f>
        <v/>
      </c>
      <c r="W2170" s="39">
        <f>IF($A2170="","",IFERROR(INDEX(계정매핑!$D$5:$D$504,MATCH($F2170&amp;"",계정매핑!$A$5:$A$504,0)),"미매핑"))</f>
        <v/>
      </c>
      <c r="X2170" s="9">
        <f>IF($A2170="","",$F2170&amp;"")</f>
        <v/>
      </c>
    </row>
    <row r="2171">
      <c r="A2171" s="75" t="n">
        <v>2025</v>
      </c>
      <c r="B2171" s="75" t="n">
        <v>12</v>
      </c>
      <c r="C2171" s="75" t="inlineStr">
        <is>
          <t>5100002167</t>
        </is>
      </c>
      <c r="D2171" s="78" t="n">
        <v>45996</v>
      </c>
      <c r="E2171" s="75" t="inlineStr">
        <is>
          <t>KR</t>
        </is>
      </c>
      <c r="F2171" s="75" t="n">
        <v>62401000</v>
      </c>
      <c r="G2171" s="75" t="n">
        <v>1401</v>
      </c>
      <c r="H2171" s="76" t="n">
        <v>195000</v>
      </c>
      <c r="I2171" s="75" t="inlineStr">
        <is>
          <t>12월 인쇄물 제작 - S출판</t>
        </is>
      </c>
      <c r="J2171" s="75" t="inlineStr">
        <is>
          <t>V10012</t>
        </is>
      </c>
      <c r="K2171" s="75" t="inlineStr">
        <is>
          <t>S출판</t>
        </is>
      </c>
      <c r="M2171" s="9">
        <f>IF($A2171="","",VALUE($A2171&amp;"")*12+VALUE($B2171&amp;""))</f>
        <v/>
      </c>
      <c r="N2171" s="39">
        <f>IF($A2171="","",IFERROR(INDEX(부서매핑!$C$5:$C$504,MATCH($G2171&amp;"",부서매핑!$A$5:$A$504,0)),"미매핑"))</f>
        <v/>
      </c>
      <c r="O2171" s="9">
        <f>IF($A2171="","",N2171&amp;"|"&amp;$F2171)</f>
        <v/>
      </c>
      <c r="P2171" s="77">
        <f>IF($A2171="",0,$H2171*설정!$C$23)</f>
        <v/>
      </c>
      <c r="Q2171" s="39">
        <f>IF($A2171="","",IF(O2171&lt;&gt;원인분석!$C$9,"",IF(AND(M2171&gt;=원인분석!$C$10,M2171&lt;=원인분석!$C$11),"당기",IF(AND(M2171&gt;=원인분석!$C$12,M2171&lt;=원인분석!$C$13),"비교",""))))</f>
        <v/>
      </c>
      <c r="R2171" s="9">
        <f>IF(Q2171="","",$K2171&amp;"")</f>
        <v/>
      </c>
      <c r="S2171" s="9">
        <f>IF(Q2171="","",IF(MATCH(R2171,$R$5:$R$100000,0)=ROW()-4,ROW(),""))</f>
        <v/>
      </c>
      <c r="T2171" s="9">
        <f>IF(Q2171="당기",ABS(P2171)+ROW()/1000000000,"")</f>
        <v/>
      </c>
      <c r="U2171" s="9">
        <f>IF(Q2171="비교",ABS(P2171)+ROW()/1000000000,"")</f>
        <v/>
      </c>
      <c r="V2171" s="39">
        <f>IF($A2171="","",IF(COUNTIF(변동분석!$E$7:$E$506,O2171)&gt;0,"Y","N"))</f>
        <v/>
      </c>
      <c r="W2171" s="39">
        <f>IF($A2171="","",IFERROR(INDEX(계정매핑!$D$5:$D$504,MATCH($F2171&amp;"",계정매핑!$A$5:$A$504,0)),"미매핑"))</f>
        <v/>
      </c>
      <c r="X2171" s="9">
        <f>IF($A2171="","",$F2171&amp;"")</f>
        <v/>
      </c>
    </row>
    <row r="2172">
      <c r="A2172" s="75" t="n">
        <v>2025</v>
      </c>
      <c r="B2172" s="75" t="n">
        <v>12</v>
      </c>
      <c r="C2172" s="75" t="inlineStr">
        <is>
          <t>5100002168</t>
        </is>
      </c>
      <c r="D2172" s="78" t="n">
        <v>45996</v>
      </c>
      <c r="E2172" s="75" t="inlineStr">
        <is>
          <t>KR</t>
        </is>
      </c>
      <c r="F2172" s="75" t="n">
        <v>62401000</v>
      </c>
      <c r="G2172" s="75" t="n">
        <v>1801</v>
      </c>
      <c r="H2172" s="76" t="n">
        <v>1560000</v>
      </c>
      <c r="I2172" s="75" t="inlineStr">
        <is>
          <t>12월 인쇄물 제작 - G인쇄</t>
        </is>
      </c>
      <c r="J2172" s="75" t="inlineStr">
        <is>
          <t>V10004</t>
        </is>
      </c>
      <c r="K2172" s="75" t="inlineStr">
        <is>
          <t>G인쇄</t>
        </is>
      </c>
      <c r="M2172" s="9">
        <f>IF($A2172="","",VALUE($A2172&amp;"")*12+VALUE($B2172&amp;""))</f>
        <v/>
      </c>
      <c r="N2172" s="39">
        <f>IF($A2172="","",IFERROR(INDEX(부서매핑!$C$5:$C$504,MATCH($G2172&amp;"",부서매핑!$A$5:$A$504,0)),"미매핑"))</f>
        <v/>
      </c>
      <c r="O2172" s="9">
        <f>IF($A2172="","",N2172&amp;"|"&amp;$F2172)</f>
        <v/>
      </c>
      <c r="P2172" s="77">
        <f>IF($A2172="",0,$H2172*설정!$C$23)</f>
        <v/>
      </c>
      <c r="Q2172" s="39">
        <f>IF($A2172="","",IF(O2172&lt;&gt;원인분석!$C$9,"",IF(AND(M2172&gt;=원인분석!$C$10,M2172&lt;=원인분석!$C$11),"당기",IF(AND(M2172&gt;=원인분석!$C$12,M2172&lt;=원인분석!$C$13),"비교",""))))</f>
        <v/>
      </c>
      <c r="R2172" s="9">
        <f>IF(Q2172="","",$K2172&amp;"")</f>
        <v/>
      </c>
      <c r="S2172" s="9">
        <f>IF(Q2172="","",IF(MATCH(R2172,$R$5:$R$100000,0)=ROW()-4,ROW(),""))</f>
        <v/>
      </c>
      <c r="T2172" s="9">
        <f>IF(Q2172="당기",ABS(P2172)+ROW()/1000000000,"")</f>
        <v/>
      </c>
      <c r="U2172" s="9">
        <f>IF(Q2172="비교",ABS(P2172)+ROW()/1000000000,"")</f>
        <v/>
      </c>
      <c r="V2172" s="39">
        <f>IF($A2172="","",IF(COUNTIF(변동분석!$E$7:$E$506,O2172)&gt;0,"Y","N"))</f>
        <v/>
      </c>
      <c r="W2172" s="39">
        <f>IF($A2172="","",IFERROR(INDEX(계정매핑!$D$5:$D$504,MATCH($F2172&amp;"",계정매핑!$A$5:$A$504,0)),"미매핑"))</f>
        <v/>
      </c>
      <c r="X2172" s="9">
        <f>IF($A2172="","",$F2172&amp;"")</f>
        <v/>
      </c>
    </row>
    <row r="2173">
      <c r="A2173" s="75" t="n">
        <v>2025</v>
      </c>
      <c r="B2173" s="75" t="n">
        <v>12</v>
      </c>
      <c r="C2173" s="75" t="inlineStr">
        <is>
          <t>5100002169</t>
        </is>
      </c>
      <c r="D2173" s="78" t="n">
        <v>45996</v>
      </c>
      <c r="E2173" s="75" t="inlineStr">
        <is>
          <t>KR</t>
        </is>
      </c>
      <c r="F2173" s="75" t="n">
        <v>62501000</v>
      </c>
      <c r="G2173" s="75" t="n">
        <v>1601</v>
      </c>
      <c r="H2173" s="76" t="n">
        <v>406000</v>
      </c>
      <c r="I2173" s="75" t="inlineStr">
        <is>
          <t>12월 회의 다과 - (법인카드)</t>
        </is>
      </c>
      <c r="J2173" s="75" t="inlineStr">
        <is>
          <t>V10008</t>
        </is>
      </c>
      <c r="K2173" s="75" t="inlineStr">
        <is>
          <t>(법인카드)</t>
        </is>
      </c>
      <c r="M2173" s="9">
        <f>IF($A2173="","",VALUE($A2173&amp;"")*12+VALUE($B2173&amp;""))</f>
        <v/>
      </c>
      <c r="N2173" s="39">
        <f>IF($A2173="","",IFERROR(INDEX(부서매핑!$C$5:$C$504,MATCH($G2173&amp;"",부서매핑!$A$5:$A$504,0)),"미매핑"))</f>
        <v/>
      </c>
      <c r="O2173" s="9">
        <f>IF($A2173="","",N2173&amp;"|"&amp;$F2173)</f>
        <v/>
      </c>
      <c r="P2173" s="77">
        <f>IF($A2173="",0,$H2173*설정!$C$23)</f>
        <v/>
      </c>
      <c r="Q2173" s="39">
        <f>IF($A2173="","",IF(O2173&lt;&gt;원인분석!$C$9,"",IF(AND(M2173&gt;=원인분석!$C$10,M2173&lt;=원인분석!$C$11),"당기",IF(AND(M2173&gt;=원인분석!$C$12,M2173&lt;=원인분석!$C$13),"비교",""))))</f>
        <v/>
      </c>
      <c r="R2173" s="9">
        <f>IF(Q2173="","",$K2173&amp;"")</f>
        <v/>
      </c>
      <c r="S2173" s="9">
        <f>IF(Q2173="","",IF(MATCH(R2173,$R$5:$R$100000,0)=ROW()-4,ROW(),""))</f>
        <v/>
      </c>
      <c r="T2173" s="9">
        <f>IF(Q2173="당기",ABS(P2173)+ROW()/1000000000,"")</f>
        <v/>
      </c>
      <c r="U2173" s="9">
        <f>IF(Q2173="비교",ABS(P2173)+ROW()/1000000000,"")</f>
        <v/>
      </c>
      <c r="V2173" s="39">
        <f>IF($A2173="","",IF(COUNTIF(변동분석!$E$7:$E$506,O2173)&gt;0,"Y","N"))</f>
        <v/>
      </c>
      <c r="W2173" s="39">
        <f>IF($A2173="","",IFERROR(INDEX(계정매핑!$D$5:$D$504,MATCH($F2173&amp;"",계정매핑!$A$5:$A$504,0)),"미매핑"))</f>
        <v/>
      </c>
      <c r="X2173" s="9">
        <f>IF($A2173="","",$F2173&amp;"")</f>
        <v/>
      </c>
    </row>
    <row r="2174">
      <c r="A2174" s="75" t="n">
        <v>2025</v>
      </c>
      <c r="B2174" s="75" t="n">
        <v>12</v>
      </c>
      <c r="C2174" s="75" t="inlineStr">
        <is>
          <t>5100002170</t>
        </is>
      </c>
      <c r="D2174" s="78" t="n">
        <v>45996</v>
      </c>
      <c r="E2174" s="75" t="inlineStr">
        <is>
          <t>KR</t>
        </is>
      </c>
      <c r="F2174" s="75" t="n">
        <v>62801000</v>
      </c>
      <c r="G2174" s="75" t="n">
        <v>1301</v>
      </c>
      <c r="H2174" s="76" t="n">
        <v>4298000</v>
      </c>
      <c r="I2174" s="75" t="inlineStr">
        <is>
          <t>12월 사내교육 - U에듀</t>
        </is>
      </c>
      <c r="J2174" s="75" t="inlineStr">
        <is>
          <t>V10026</t>
        </is>
      </c>
      <c r="K2174" s="75" t="inlineStr">
        <is>
          <t>U에듀</t>
        </is>
      </c>
      <c r="M2174" s="9">
        <f>IF($A2174="","",VALUE($A2174&amp;"")*12+VALUE($B2174&amp;""))</f>
        <v/>
      </c>
      <c r="N2174" s="39">
        <f>IF($A2174="","",IFERROR(INDEX(부서매핑!$C$5:$C$504,MATCH($G2174&amp;"",부서매핑!$A$5:$A$504,0)),"미매핑"))</f>
        <v/>
      </c>
      <c r="O2174" s="9">
        <f>IF($A2174="","",N2174&amp;"|"&amp;$F2174)</f>
        <v/>
      </c>
      <c r="P2174" s="77">
        <f>IF($A2174="",0,$H2174*설정!$C$23)</f>
        <v/>
      </c>
      <c r="Q2174" s="39">
        <f>IF($A2174="","",IF(O2174&lt;&gt;원인분석!$C$9,"",IF(AND(M2174&gt;=원인분석!$C$10,M2174&lt;=원인분석!$C$11),"당기",IF(AND(M2174&gt;=원인분석!$C$12,M2174&lt;=원인분석!$C$13),"비교",""))))</f>
        <v/>
      </c>
      <c r="R2174" s="9">
        <f>IF(Q2174="","",$K2174&amp;"")</f>
        <v/>
      </c>
      <c r="S2174" s="9">
        <f>IF(Q2174="","",IF(MATCH(R2174,$R$5:$R$100000,0)=ROW()-4,ROW(),""))</f>
        <v/>
      </c>
      <c r="T2174" s="9">
        <f>IF(Q2174="당기",ABS(P2174)+ROW()/1000000000,"")</f>
        <v/>
      </c>
      <c r="U2174" s="9">
        <f>IF(Q2174="비교",ABS(P2174)+ROW()/1000000000,"")</f>
        <v/>
      </c>
      <c r="V2174" s="39">
        <f>IF($A2174="","",IF(COUNTIF(변동분석!$E$7:$E$506,O2174)&gt;0,"Y","N"))</f>
        <v/>
      </c>
      <c r="W2174" s="39">
        <f>IF($A2174="","",IFERROR(INDEX(계정매핑!$D$5:$D$504,MATCH($F2174&amp;"",계정매핑!$A$5:$A$504,0)),"미매핑"))</f>
        <v/>
      </c>
      <c r="X2174" s="9">
        <f>IF($A2174="","",$F2174&amp;"")</f>
        <v/>
      </c>
    </row>
    <row r="2175">
      <c r="A2175" s="75" t="n">
        <v>2025</v>
      </c>
      <c r="B2175" s="75" t="n">
        <v>12</v>
      </c>
      <c r="C2175" s="75" t="inlineStr">
        <is>
          <t>5100002171</t>
        </is>
      </c>
      <c r="D2175" s="78" t="n">
        <v>45996</v>
      </c>
      <c r="E2175" s="75" t="inlineStr">
        <is>
          <t>KR</t>
        </is>
      </c>
      <c r="F2175" s="75" t="n">
        <v>62901000</v>
      </c>
      <c r="G2175" s="75" t="n">
        <v>1201</v>
      </c>
      <c r="H2175" s="76" t="n">
        <v>5572000</v>
      </c>
      <c r="I2175" s="75" t="inlineStr">
        <is>
          <t>12월 자문 수수료 - K회계법인</t>
        </is>
      </c>
      <c r="J2175" s="75" t="inlineStr">
        <is>
          <t>V10010</t>
        </is>
      </c>
      <c r="K2175" s="75" t="inlineStr">
        <is>
          <t>K회계법인</t>
        </is>
      </c>
      <c r="M2175" s="9">
        <f>IF($A2175="","",VALUE($A2175&amp;"")*12+VALUE($B2175&amp;""))</f>
        <v/>
      </c>
      <c r="N2175" s="39">
        <f>IF($A2175="","",IFERROR(INDEX(부서매핑!$C$5:$C$504,MATCH($G2175&amp;"",부서매핑!$A$5:$A$504,0)),"미매핑"))</f>
        <v/>
      </c>
      <c r="O2175" s="9">
        <f>IF($A2175="","",N2175&amp;"|"&amp;$F2175)</f>
        <v/>
      </c>
      <c r="P2175" s="77">
        <f>IF($A2175="",0,$H2175*설정!$C$23)</f>
        <v/>
      </c>
      <c r="Q2175" s="39">
        <f>IF($A2175="","",IF(O2175&lt;&gt;원인분석!$C$9,"",IF(AND(M2175&gt;=원인분석!$C$10,M2175&lt;=원인분석!$C$11),"당기",IF(AND(M2175&gt;=원인분석!$C$12,M2175&lt;=원인분석!$C$13),"비교",""))))</f>
        <v/>
      </c>
      <c r="R2175" s="9">
        <f>IF(Q2175="","",$K2175&amp;"")</f>
        <v/>
      </c>
      <c r="S2175" s="9">
        <f>IF(Q2175="","",IF(MATCH(R2175,$R$5:$R$100000,0)=ROW()-4,ROW(),""))</f>
        <v/>
      </c>
      <c r="T2175" s="9">
        <f>IF(Q2175="당기",ABS(P2175)+ROW()/1000000000,"")</f>
        <v/>
      </c>
      <c r="U2175" s="9">
        <f>IF(Q2175="비교",ABS(P2175)+ROW()/1000000000,"")</f>
        <v/>
      </c>
      <c r="V2175" s="39">
        <f>IF($A2175="","",IF(COUNTIF(변동분석!$E$7:$E$506,O2175)&gt;0,"Y","N"))</f>
        <v/>
      </c>
      <c r="W2175" s="39">
        <f>IF($A2175="","",IFERROR(INDEX(계정매핑!$D$5:$D$504,MATCH($F2175&amp;"",계정매핑!$A$5:$A$504,0)),"미매핑"))</f>
        <v/>
      </c>
      <c r="X2175" s="9">
        <f>IF($A2175="","",$F2175&amp;"")</f>
        <v/>
      </c>
    </row>
    <row r="2176">
      <c r="A2176" s="75" t="n">
        <v>2025</v>
      </c>
      <c r="B2176" s="75" t="n">
        <v>12</v>
      </c>
      <c r="C2176" s="75" t="inlineStr">
        <is>
          <t>5100002172</t>
        </is>
      </c>
      <c r="D2176" s="78" t="n">
        <v>45996</v>
      </c>
      <c r="E2176" s="75" t="inlineStr">
        <is>
          <t>KR</t>
        </is>
      </c>
      <c r="F2176" s="75" t="n">
        <v>62901000</v>
      </c>
      <c r="G2176" s="75" t="n">
        <v>1801</v>
      </c>
      <c r="H2176" s="76" t="n">
        <v>9800000</v>
      </c>
      <c r="I2176" s="75" t="inlineStr">
        <is>
          <t>12월 자문 수수료 - W컨설팅</t>
        </is>
      </c>
      <c r="J2176" s="75" t="inlineStr">
        <is>
          <t>V10009</t>
        </is>
      </c>
      <c r="K2176" s="75" t="inlineStr">
        <is>
          <t>W컨설팅</t>
        </is>
      </c>
      <c r="M2176" s="9">
        <f>IF($A2176="","",VALUE($A2176&amp;"")*12+VALUE($B2176&amp;""))</f>
        <v/>
      </c>
      <c r="N2176" s="39">
        <f>IF($A2176="","",IFERROR(INDEX(부서매핑!$C$5:$C$504,MATCH($G2176&amp;"",부서매핑!$A$5:$A$504,0)),"미매핑"))</f>
        <v/>
      </c>
      <c r="O2176" s="9">
        <f>IF($A2176="","",N2176&amp;"|"&amp;$F2176)</f>
        <v/>
      </c>
      <c r="P2176" s="77">
        <f>IF($A2176="",0,$H2176*설정!$C$23)</f>
        <v/>
      </c>
      <c r="Q2176" s="39">
        <f>IF($A2176="","",IF(O2176&lt;&gt;원인분석!$C$9,"",IF(AND(M2176&gt;=원인분석!$C$10,M2176&lt;=원인분석!$C$11),"당기",IF(AND(M2176&gt;=원인분석!$C$12,M2176&lt;=원인분석!$C$13),"비교",""))))</f>
        <v/>
      </c>
      <c r="R2176" s="9">
        <f>IF(Q2176="","",$K2176&amp;"")</f>
        <v/>
      </c>
      <c r="S2176" s="9">
        <f>IF(Q2176="","",IF(MATCH(R2176,$R$5:$R$100000,0)=ROW()-4,ROW(),""))</f>
        <v/>
      </c>
      <c r="T2176" s="9">
        <f>IF(Q2176="당기",ABS(P2176)+ROW()/1000000000,"")</f>
        <v/>
      </c>
      <c r="U2176" s="9">
        <f>IF(Q2176="비교",ABS(P2176)+ROW()/1000000000,"")</f>
        <v/>
      </c>
      <c r="V2176" s="39">
        <f>IF($A2176="","",IF(COUNTIF(변동분석!$E$7:$E$506,O2176)&gt;0,"Y","N"))</f>
        <v/>
      </c>
      <c r="W2176" s="39">
        <f>IF($A2176="","",IFERROR(INDEX(계정매핑!$D$5:$D$504,MATCH($F2176&amp;"",계정매핑!$A$5:$A$504,0)),"미매핑"))</f>
        <v/>
      </c>
      <c r="X2176" s="9">
        <f>IF($A2176="","",$F2176&amp;"")</f>
        <v/>
      </c>
    </row>
    <row r="2177">
      <c r="A2177" s="75" t="n">
        <v>2025</v>
      </c>
      <c r="B2177" s="75" t="n">
        <v>12</v>
      </c>
      <c r="C2177" s="75" t="inlineStr">
        <is>
          <t>5100002173</t>
        </is>
      </c>
      <c r="D2177" s="78" t="n">
        <v>45997</v>
      </c>
      <c r="E2177" s="75" t="inlineStr">
        <is>
          <t>KR</t>
        </is>
      </c>
      <c r="F2177" s="75" t="n">
        <v>62201000</v>
      </c>
      <c r="G2177" s="75" t="n">
        <v>1601</v>
      </c>
      <c r="H2177" s="76" t="n">
        <v>766000</v>
      </c>
      <c r="I2177" s="75" t="inlineStr">
        <is>
          <t>12월 통신요금 - O텔레콤</t>
        </is>
      </c>
      <c r="J2177" s="75" t="inlineStr">
        <is>
          <t>V10002</t>
        </is>
      </c>
      <c r="K2177" s="75" t="inlineStr">
        <is>
          <t>O텔레콤</t>
        </is>
      </c>
      <c r="M2177" s="9">
        <f>IF($A2177="","",VALUE($A2177&amp;"")*12+VALUE($B2177&amp;""))</f>
        <v/>
      </c>
      <c r="N2177" s="39">
        <f>IF($A2177="","",IFERROR(INDEX(부서매핑!$C$5:$C$504,MATCH($G2177&amp;"",부서매핑!$A$5:$A$504,0)),"미매핑"))</f>
        <v/>
      </c>
      <c r="O2177" s="9">
        <f>IF($A2177="","",N2177&amp;"|"&amp;$F2177)</f>
        <v/>
      </c>
      <c r="P2177" s="77">
        <f>IF($A2177="",0,$H2177*설정!$C$23)</f>
        <v/>
      </c>
      <c r="Q2177" s="39">
        <f>IF($A2177="","",IF(O2177&lt;&gt;원인분석!$C$9,"",IF(AND(M2177&gt;=원인분석!$C$10,M2177&lt;=원인분석!$C$11),"당기",IF(AND(M2177&gt;=원인분석!$C$12,M2177&lt;=원인분석!$C$13),"비교",""))))</f>
        <v/>
      </c>
      <c r="R2177" s="9">
        <f>IF(Q2177="","",$K2177&amp;"")</f>
        <v/>
      </c>
      <c r="S2177" s="9">
        <f>IF(Q2177="","",IF(MATCH(R2177,$R$5:$R$100000,0)=ROW()-4,ROW(),""))</f>
        <v/>
      </c>
      <c r="T2177" s="9">
        <f>IF(Q2177="당기",ABS(P2177)+ROW()/1000000000,"")</f>
        <v/>
      </c>
      <c r="U2177" s="9">
        <f>IF(Q2177="비교",ABS(P2177)+ROW()/1000000000,"")</f>
        <v/>
      </c>
      <c r="V2177" s="39">
        <f>IF($A2177="","",IF(COUNTIF(변동분석!$E$7:$E$506,O2177)&gt;0,"Y","N"))</f>
        <v/>
      </c>
      <c r="W2177" s="39">
        <f>IF($A2177="","",IFERROR(INDEX(계정매핑!$D$5:$D$504,MATCH($F2177&amp;"",계정매핑!$A$5:$A$504,0)),"미매핑"))</f>
        <v/>
      </c>
      <c r="X2177" s="9">
        <f>IF($A2177="","",$F2177&amp;"")</f>
        <v/>
      </c>
    </row>
    <row r="2178">
      <c r="A2178" s="75" t="n">
        <v>2025</v>
      </c>
      <c r="B2178" s="75" t="n">
        <v>12</v>
      </c>
      <c r="C2178" s="75" t="inlineStr">
        <is>
          <t>5100002174</t>
        </is>
      </c>
      <c r="D2178" s="78" t="n">
        <v>45997</v>
      </c>
      <c r="E2178" s="75" t="inlineStr">
        <is>
          <t>KR</t>
        </is>
      </c>
      <c r="F2178" s="75" t="n">
        <v>62201000</v>
      </c>
      <c r="G2178" s="75" t="n">
        <v>1601</v>
      </c>
      <c r="H2178" s="76" t="n">
        <v>590000</v>
      </c>
      <c r="I2178" s="75" t="inlineStr">
        <is>
          <t>12월 통신요금 - P통신</t>
        </is>
      </c>
      <c r="J2178" s="75" t="inlineStr">
        <is>
          <t>V10011</t>
        </is>
      </c>
      <c r="K2178" s="75" t="inlineStr">
        <is>
          <t>P통신</t>
        </is>
      </c>
      <c r="M2178" s="9">
        <f>IF($A2178="","",VALUE($A2178&amp;"")*12+VALUE($B2178&amp;""))</f>
        <v/>
      </c>
      <c r="N2178" s="39">
        <f>IF($A2178="","",IFERROR(INDEX(부서매핑!$C$5:$C$504,MATCH($G2178&amp;"",부서매핑!$A$5:$A$504,0)),"미매핑"))</f>
        <v/>
      </c>
      <c r="O2178" s="9">
        <f>IF($A2178="","",N2178&amp;"|"&amp;$F2178)</f>
        <v/>
      </c>
      <c r="P2178" s="77">
        <f>IF($A2178="",0,$H2178*설정!$C$23)</f>
        <v/>
      </c>
      <c r="Q2178" s="39">
        <f>IF($A2178="","",IF(O2178&lt;&gt;원인분석!$C$9,"",IF(AND(M2178&gt;=원인분석!$C$10,M2178&lt;=원인분석!$C$11),"당기",IF(AND(M2178&gt;=원인분석!$C$12,M2178&lt;=원인분석!$C$13),"비교",""))))</f>
        <v/>
      </c>
      <c r="R2178" s="9">
        <f>IF(Q2178="","",$K2178&amp;"")</f>
        <v/>
      </c>
      <c r="S2178" s="9">
        <f>IF(Q2178="","",IF(MATCH(R2178,$R$5:$R$100000,0)=ROW()-4,ROW(),""))</f>
        <v/>
      </c>
      <c r="T2178" s="9">
        <f>IF(Q2178="당기",ABS(P2178)+ROW()/1000000000,"")</f>
        <v/>
      </c>
      <c r="U2178" s="9">
        <f>IF(Q2178="비교",ABS(P2178)+ROW()/1000000000,"")</f>
        <v/>
      </c>
      <c r="V2178" s="39">
        <f>IF($A2178="","",IF(COUNTIF(변동분석!$E$7:$E$506,O2178)&gt;0,"Y","N"))</f>
        <v/>
      </c>
      <c r="W2178" s="39">
        <f>IF($A2178="","",IFERROR(INDEX(계정매핑!$D$5:$D$504,MATCH($F2178&amp;"",계정매핑!$A$5:$A$504,0)),"미매핑"))</f>
        <v/>
      </c>
      <c r="X2178" s="9">
        <f>IF($A2178="","",$F2178&amp;"")</f>
        <v/>
      </c>
    </row>
    <row r="2179">
      <c r="A2179" s="75" t="n">
        <v>2025</v>
      </c>
      <c r="B2179" s="75" t="n">
        <v>12</v>
      </c>
      <c r="C2179" s="75" t="inlineStr">
        <is>
          <t>5100002175</t>
        </is>
      </c>
      <c r="D2179" s="78" t="n">
        <v>45997</v>
      </c>
      <c r="E2179" s="75" t="inlineStr">
        <is>
          <t>KR</t>
        </is>
      </c>
      <c r="F2179" s="75" t="n">
        <v>62301000</v>
      </c>
      <c r="G2179" s="75" t="n">
        <v>1602</v>
      </c>
      <c r="H2179" s="76" t="n">
        <v>307000</v>
      </c>
      <c r="I2179" s="75" t="inlineStr">
        <is>
          <t>12월 소모품 구입 - R문구</t>
        </is>
      </c>
      <c r="J2179" s="75" t="inlineStr">
        <is>
          <t>V10018</t>
        </is>
      </c>
      <c r="K2179" s="75" t="inlineStr">
        <is>
          <t>R문구</t>
        </is>
      </c>
      <c r="M2179" s="9">
        <f>IF($A2179="","",VALUE($A2179&amp;"")*12+VALUE($B2179&amp;""))</f>
        <v/>
      </c>
      <c r="N2179" s="39">
        <f>IF($A2179="","",IFERROR(INDEX(부서매핑!$C$5:$C$504,MATCH($G2179&amp;"",부서매핑!$A$5:$A$504,0)),"미매핑"))</f>
        <v/>
      </c>
      <c r="O2179" s="9">
        <f>IF($A2179="","",N2179&amp;"|"&amp;$F2179)</f>
        <v/>
      </c>
      <c r="P2179" s="77">
        <f>IF($A2179="",0,$H2179*설정!$C$23)</f>
        <v/>
      </c>
      <c r="Q2179" s="39">
        <f>IF($A2179="","",IF(O2179&lt;&gt;원인분석!$C$9,"",IF(AND(M2179&gt;=원인분석!$C$10,M2179&lt;=원인분석!$C$11),"당기",IF(AND(M2179&gt;=원인분석!$C$12,M2179&lt;=원인분석!$C$13),"비교",""))))</f>
        <v/>
      </c>
      <c r="R2179" s="9">
        <f>IF(Q2179="","",$K2179&amp;"")</f>
        <v/>
      </c>
      <c r="S2179" s="9">
        <f>IF(Q2179="","",IF(MATCH(R2179,$R$5:$R$100000,0)=ROW()-4,ROW(),""))</f>
        <v/>
      </c>
      <c r="T2179" s="9">
        <f>IF(Q2179="당기",ABS(P2179)+ROW()/1000000000,"")</f>
        <v/>
      </c>
      <c r="U2179" s="9">
        <f>IF(Q2179="비교",ABS(P2179)+ROW()/1000000000,"")</f>
        <v/>
      </c>
      <c r="V2179" s="39">
        <f>IF($A2179="","",IF(COUNTIF(변동분석!$E$7:$E$506,O2179)&gt;0,"Y","N"))</f>
        <v/>
      </c>
      <c r="W2179" s="39">
        <f>IF($A2179="","",IFERROR(INDEX(계정매핑!$D$5:$D$504,MATCH($F2179&amp;"",계정매핑!$A$5:$A$504,0)),"미매핑"))</f>
        <v/>
      </c>
      <c r="X2179" s="9">
        <f>IF($A2179="","",$F2179&amp;"")</f>
        <v/>
      </c>
    </row>
    <row r="2180">
      <c r="A2180" s="75" t="n">
        <v>2025</v>
      </c>
      <c r="B2180" s="75" t="n">
        <v>12</v>
      </c>
      <c r="C2180" s="75" t="inlineStr">
        <is>
          <t>5100002176</t>
        </is>
      </c>
      <c r="D2180" s="78" t="n">
        <v>45997</v>
      </c>
      <c r="E2180" s="75" t="inlineStr">
        <is>
          <t>KR</t>
        </is>
      </c>
      <c r="F2180" s="75" t="n">
        <v>62401000</v>
      </c>
      <c r="G2180" s="75" t="n">
        <v>1501</v>
      </c>
      <c r="H2180" s="76" t="n">
        <v>1720000</v>
      </c>
      <c r="I2180" s="75" t="inlineStr">
        <is>
          <t>12월 인쇄물 제작 - G인쇄</t>
        </is>
      </c>
      <c r="J2180" s="75" t="inlineStr">
        <is>
          <t>V10004</t>
        </is>
      </c>
      <c r="K2180" s="75" t="inlineStr">
        <is>
          <t>G인쇄</t>
        </is>
      </c>
      <c r="M2180" s="9">
        <f>IF($A2180="","",VALUE($A2180&amp;"")*12+VALUE($B2180&amp;""))</f>
        <v/>
      </c>
      <c r="N2180" s="39">
        <f>IF($A2180="","",IFERROR(INDEX(부서매핑!$C$5:$C$504,MATCH($G2180&amp;"",부서매핑!$A$5:$A$504,0)),"미매핑"))</f>
        <v/>
      </c>
      <c r="O2180" s="9">
        <f>IF($A2180="","",N2180&amp;"|"&amp;$F2180)</f>
        <v/>
      </c>
      <c r="P2180" s="77">
        <f>IF($A2180="",0,$H2180*설정!$C$23)</f>
        <v/>
      </c>
      <c r="Q2180" s="39">
        <f>IF($A2180="","",IF(O2180&lt;&gt;원인분석!$C$9,"",IF(AND(M2180&gt;=원인분석!$C$10,M2180&lt;=원인분석!$C$11),"당기",IF(AND(M2180&gt;=원인분석!$C$12,M2180&lt;=원인분석!$C$13),"비교",""))))</f>
        <v/>
      </c>
      <c r="R2180" s="9">
        <f>IF(Q2180="","",$K2180&amp;"")</f>
        <v/>
      </c>
      <c r="S2180" s="9">
        <f>IF(Q2180="","",IF(MATCH(R2180,$R$5:$R$100000,0)=ROW()-4,ROW(),""))</f>
        <v/>
      </c>
      <c r="T2180" s="9">
        <f>IF(Q2180="당기",ABS(P2180)+ROW()/1000000000,"")</f>
        <v/>
      </c>
      <c r="U2180" s="9">
        <f>IF(Q2180="비교",ABS(P2180)+ROW()/1000000000,"")</f>
        <v/>
      </c>
      <c r="V2180" s="39">
        <f>IF($A2180="","",IF(COUNTIF(변동분석!$E$7:$E$506,O2180)&gt;0,"Y","N"))</f>
        <v/>
      </c>
      <c r="W2180" s="39">
        <f>IF($A2180="","",IFERROR(INDEX(계정매핑!$D$5:$D$504,MATCH($F2180&amp;"",계정매핑!$A$5:$A$504,0)),"미매핑"))</f>
        <v/>
      </c>
      <c r="X2180" s="9">
        <f>IF($A2180="","",$F2180&amp;"")</f>
        <v/>
      </c>
    </row>
    <row r="2181">
      <c r="A2181" s="75" t="n">
        <v>2025</v>
      </c>
      <c r="B2181" s="75" t="n">
        <v>12</v>
      </c>
      <c r="C2181" s="75" t="inlineStr">
        <is>
          <t>5100002177</t>
        </is>
      </c>
      <c r="D2181" s="78" t="n">
        <v>45997</v>
      </c>
      <c r="E2181" s="75" t="inlineStr">
        <is>
          <t>KR</t>
        </is>
      </c>
      <c r="F2181" s="75" t="n">
        <v>62501000</v>
      </c>
      <c r="G2181" s="75" t="n">
        <v>1301</v>
      </c>
      <c r="H2181" s="76" t="n">
        <v>216000</v>
      </c>
      <c r="I2181" s="75" t="inlineStr">
        <is>
          <t>12월 회의 다과 - T케이터링</t>
        </is>
      </c>
      <c r="J2181" s="75" t="inlineStr">
        <is>
          <t>V10005</t>
        </is>
      </c>
      <c r="K2181" s="75" t="inlineStr">
        <is>
          <t>T케이터링</t>
        </is>
      </c>
      <c r="M2181" s="9">
        <f>IF($A2181="","",VALUE($A2181&amp;"")*12+VALUE($B2181&amp;""))</f>
        <v/>
      </c>
      <c r="N2181" s="39">
        <f>IF($A2181="","",IFERROR(INDEX(부서매핑!$C$5:$C$504,MATCH($G2181&amp;"",부서매핑!$A$5:$A$504,0)),"미매핑"))</f>
        <v/>
      </c>
      <c r="O2181" s="9">
        <f>IF($A2181="","",N2181&amp;"|"&amp;$F2181)</f>
        <v/>
      </c>
      <c r="P2181" s="77">
        <f>IF($A2181="",0,$H2181*설정!$C$23)</f>
        <v/>
      </c>
      <c r="Q2181" s="39">
        <f>IF($A2181="","",IF(O2181&lt;&gt;원인분석!$C$9,"",IF(AND(M2181&gt;=원인분석!$C$10,M2181&lt;=원인분석!$C$11),"당기",IF(AND(M2181&gt;=원인분석!$C$12,M2181&lt;=원인분석!$C$13),"비교",""))))</f>
        <v/>
      </c>
      <c r="R2181" s="9">
        <f>IF(Q2181="","",$K2181&amp;"")</f>
        <v/>
      </c>
      <c r="S2181" s="9">
        <f>IF(Q2181="","",IF(MATCH(R2181,$R$5:$R$100000,0)=ROW()-4,ROW(),""))</f>
        <v/>
      </c>
      <c r="T2181" s="9">
        <f>IF(Q2181="당기",ABS(P2181)+ROW()/1000000000,"")</f>
        <v/>
      </c>
      <c r="U2181" s="9">
        <f>IF(Q2181="비교",ABS(P2181)+ROW()/1000000000,"")</f>
        <v/>
      </c>
      <c r="V2181" s="39">
        <f>IF($A2181="","",IF(COUNTIF(변동분석!$E$7:$E$506,O2181)&gt;0,"Y","N"))</f>
        <v/>
      </c>
      <c r="W2181" s="39">
        <f>IF($A2181="","",IFERROR(INDEX(계정매핑!$D$5:$D$504,MATCH($F2181&amp;"",계정매핑!$A$5:$A$504,0)),"미매핑"))</f>
        <v/>
      </c>
      <c r="X2181" s="9">
        <f>IF($A2181="","",$F2181&amp;"")</f>
        <v/>
      </c>
    </row>
    <row r="2182">
      <c r="A2182" s="75" t="n">
        <v>2025</v>
      </c>
      <c r="B2182" s="75" t="n">
        <v>12</v>
      </c>
      <c r="C2182" s="75" t="inlineStr">
        <is>
          <t>5100002178</t>
        </is>
      </c>
      <c r="D2182" s="78" t="n">
        <v>45997</v>
      </c>
      <c r="E2182" s="75" t="inlineStr">
        <is>
          <t>KR</t>
        </is>
      </c>
      <c r="F2182" s="75" t="n">
        <v>62501000</v>
      </c>
      <c r="G2182" s="75" t="n">
        <v>1602</v>
      </c>
      <c r="H2182" s="76" t="n">
        <v>236000</v>
      </c>
      <c r="I2182" s="75" t="inlineStr">
        <is>
          <t>12월 회의 다과 - T케이터링</t>
        </is>
      </c>
      <c r="J2182" s="75" t="inlineStr">
        <is>
          <t>V10005</t>
        </is>
      </c>
      <c r="K2182" s="75" t="inlineStr">
        <is>
          <t>T케이터링</t>
        </is>
      </c>
      <c r="M2182" s="9">
        <f>IF($A2182="","",VALUE($A2182&amp;"")*12+VALUE($B2182&amp;""))</f>
        <v/>
      </c>
      <c r="N2182" s="39">
        <f>IF($A2182="","",IFERROR(INDEX(부서매핑!$C$5:$C$504,MATCH($G2182&amp;"",부서매핑!$A$5:$A$504,0)),"미매핑"))</f>
        <v/>
      </c>
      <c r="O2182" s="9">
        <f>IF($A2182="","",N2182&amp;"|"&amp;$F2182)</f>
        <v/>
      </c>
      <c r="P2182" s="77">
        <f>IF($A2182="",0,$H2182*설정!$C$23)</f>
        <v/>
      </c>
      <c r="Q2182" s="39">
        <f>IF($A2182="","",IF(O2182&lt;&gt;원인분석!$C$9,"",IF(AND(M2182&gt;=원인분석!$C$10,M2182&lt;=원인분석!$C$11),"당기",IF(AND(M2182&gt;=원인분석!$C$12,M2182&lt;=원인분석!$C$13),"비교",""))))</f>
        <v/>
      </c>
      <c r="R2182" s="9">
        <f>IF(Q2182="","",$K2182&amp;"")</f>
        <v/>
      </c>
      <c r="S2182" s="9">
        <f>IF(Q2182="","",IF(MATCH(R2182,$R$5:$R$100000,0)=ROW()-4,ROW(),""))</f>
        <v/>
      </c>
      <c r="T2182" s="9">
        <f>IF(Q2182="당기",ABS(P2182)+ROW()/1000000000,"")</f>
        <v/>
      </c>
      <c r="U2182" s="9">
        <f>IF(Q2182="비교",ABS(P2182)+ROW()/1000000000,"")</f>
        <v/>
      </c>
      <c r="V2182" s="39">
        <f>IF($A2182="","",IF(COUNTIF(변동분석!$E$7:$E$506,O2182)&gt;0,"Y","N"))</f>
        <v/>
      </c>
      <c r="W2182" s="39">
        <f>IF($A2182="","",IFERROR(INDEX(계정매핑!$D$5:$D$504,MATCH($F2182&amp;"",계정매핑!$A$5:$A$504,0)),"미매핑"))</f>
        <v/>
      </c>
      <c r="X2182" s="9">
        <f>IF($A2182="","",$F2182&amp;"")</f>
        <v/>
      </c>
    </row>
    <row r="2183">
      <c r="A2183" s="75" t="n">
        <v>2025</v>
      </c>
      <c r="B2183" s="75" t="n">
        <v>12</v>
      </c>
      <c r="C2183" s="75" t="inlineStr">
        <is>
          <t>5100002179</t>
        </is>
      </c>
      <c r="D2183" s="78" t="n">
        <v>45997</v>
      </c>
      <c r="E2183" s="75" t="inlineStr">
        <is>
          <t>KR</t>
        </is>
      </c>
      <c r="F2183" s="75" t="n">
        <v>62901000</v>
      </c>
      <c r="G2183" s="75" t="n">
        <v>1101</v>
      </c>
      <c r="H2183" s="76" t="n">
        <v>5914000</v>
      </c>
      <c r="I2183" s="75" t="inlineStr">
        <is>
          <t>12월 자문 수수료 - W컨설팅</t>
        </is>
      </c>
      <c r="J2183" s="75" t="inlineStr">
        <is>
          <t>V10009</t>
        </is>
      </c>
      <c r="K2183" s="75" t="inlineStr">
        <is>
          <t>W컨설팅</t>
        </is>
      </c>
      <c r="M2183" s="9">
        <f>IF($A2183="","",VALUE($A2183&amp;"")*12+VALUE($B2183&amp;""))</f>
        <v/>
      </c>
      <c r="N2183" s="39">
        <f>IF($A2183="","",IFERROR(INDEX(부서매핑!$C$5:$C$504,MATCH($G2183&amp;"",부서매핑!$A$5:$A$504,0)),"미매핑"))</f>
        <v/>
      </c>
      <c r="O2183" s="9">
        <f>IF($A2183="","",N2183&amp;"|"&amp;$F2183)</f>
        <v/>
      </c>
      <c r="P2183" s="77">
        <f>IF($A2183="",0,$H2183*설정!$C$23)</f>
        <v/>
      </c>
      <c r="Q2183" s="39">
        <f>IF($A2183="","",IF(O2183&lt;&gt;원인분석!$C$9,"",IF(AND(M2183&gt;=원인분석!$C$10,M2183&lt;=원인분석!$C$11),"당기",IF(AND(M2183&gt;=원인분석!$C$12,M2183&lt;=원인분석!$C$13),"비교",""))))</f>
        <v/>
      </c>
      <c r="R2183" s="9">
        <f>IF(Q2183="","",$K2183&amp;"")</f>
        <v/>
      </c>
      <c r="S2183" s="9">
        <f>IF(Q2183="","",IF(MATCH(R2183,$R$5:$R$100000,0)=ROW()-4,ROW(),""))</f>
        <v/>
      </c>
      <c r="T2183" s="9">
        <f>IF(Q2183="당기",ABS(P2183)+ROW()/1000000000,"")</f>
        <v/>
      </c>
      <c r="U2183" s="9">
        <f>IF(Q2183="비교",ABS(P2183)+ROW()/1000000000,"")</f>
        <v/>
      </c>
      <c r="V2183" s="39">
        <f>IF($A2183="","",IF(COUNTIF(변동분석!$E$7:$E$506,O2183)&gt;0,"Y","N"))</f>
        <v/>
      </c>
      <c r="W2183" s="39">
        <f>IF($A2183="","",IFERROR(INDEX(계정매핑!$D$5:$D$504,MATCH($F2183&amp;"",계정매핑!$A$5:$A$504,0)),"미매핑"))</f>
        <v/>
      </c>
      <c r="X2183" s="9">
        <f>IF($A2183="","",$F2183&amp;"")</f>
        <v/>
      </c>
    </row>
    <row r="2184">
      <c r="A2184" s="75" t="n">
        <v>2025</v>
      </c>
      <c r="B2184" s="75" t="n">
        <v>12</v>
      </c>
      <c r="C2184" s="75" t="inlineStr">
        <is>
          <t>5100002180</t>
        </is>
      </c>
      <c r="D2184" s="78" t="n">
        <v>45997</v>
      </c>
      <c r="E2184" s="75" t="inlineStr">
        <is>
          <t>KR</t>
        </is>
      </c>
      <c r="F2184" s="75" t="n">
        <v>62901000</v>
      </c>
      <c r="G2184" s="75" t="n">
        <v>1801</v>
      </c>
      <c r="H2184" s="76" t="n">
        <v>7921000</v>
      </c>
      <c r="I2184" s="75" t="inlineStr">
        <is>
          <t>12월 자문 수수료 - K회계법인</t>
        </is>
      </c>
      <c r="J2184" s="75" t="inlineStr">
        <is>
          <t>V10010</t>
        </is>
      </c>
      <c r="K2184" s="75" t="inlineStr">
        <is>
          <t>K회계법인</t>
        </is>
      </c>
      <c r="M2184" s="9">
        <f>IF($A2184="","",VALUE($A2184&amp;"")*12+VALUE($B2184&amp;""))</f>
        <v/>
      </c>
      <c r="N2184" s="39">
        <f>IF($A2184="","",IFERROR(INDEX(부서매핑!$C$5:$C$504,MATCH($G2184&amp;"",부서매핑!$A$5:$A$504,0)),"미매핑"))</f>
        <v/>
      </c>
      <c r="O2184" s="9">
        <f>IF($A2184="","",N2184&amp;"|"&amp;$F2184)</f>
        <v/>
      </c>
      <c r="P2184" s="77">
        <f>IF($A2184="",0,$H2184*설정!$C$23)</f>
        <v/>
      </c>
      <c r="Q2184" s="39">
        <f>IF($A2184="","",IF(O2184&lt;&gt;원인분석!$C$9,"",IF(AND(M2184&gt;=원인분석!$C$10,M2184&lt;=원인분석!$C$11),"당기",IF(AND(M2184&gt;=원인분석!$C$12,M2184&lt;=원인분석!$C$13),"비교",""))))</f>
        <v/>
      </c>
      <c r="R2184" s="9">
        <f>IF(Q2184="","",$K2184&amp;"")</f>
        <v/>
      </c>
      <c r="S2184" s="9">
        <f>IF(Q2184="","",IF(MATCH(R2184,$R$5:$R$100000,0)=ROW()-4,ROW(),""))</f>
        <v/>
      </c>
      <c r="T2184" s="9">
        <f>IF(Q2184="당기",ABS(P2184)+ROW()/1000000000,"")</f>
        <v/>
      </c>
      <c r="U2184" s="9">
        <f>IF(Q2184="비교",ABS(P2184)+ROW()/1000000000,"")</f>
        <v/>
      </c>
      <c r="V2184" s="39">
        <f>IF($A2184="","",IF(COUNTIF(변동분석!$E$7:$E$506,O2184)&gt;0,"Y","N"))</f>
        <v/>
      </c>
      <c r="W2184" s="39">
        <f>IF($A2184="","",IFERROR(INDEX(계정매핑!$D$5:$D$504,MATCH($F2184&amp;"",계정매핑!$A$5:$A$504,0)),"미매핑"))</f>
        <v/>
      </c>
      <c r="X2184" s="9">
        <f>IF($A2184="","",$F2184&amp;"")</f>
        <v/>
      </c>
    </row>
    <row r="2185">
      <c r="A2185" s="75" t="n">
        <v>2025</v>
      </c>
      <c r="B2185" s="75" t="n">
        <v>12</v>
      </c>
      <c r="C2185" s="75" t="inlineStr">
        <is>
          <t>5100002181</t>
        </is>
      </c>
      <c r="D2185" s="78" t="n">
        <v>45998</v>
      </c>
      <c r="E2185" s="75" t="inlineStr">
        <is>
          <t>KR</t>
        </is>
      </c>
      <c r="F2185" s="75" t="n">
        <v>62101000</v>
      </c>
      <c r="G2185" s="75" t="n">
        <v>1401</v>
      </c>
      <c r="H2185" s="76" t="n">
        <v>438000</v>
      </c>
      <c r="I2185" s="75" t="inlineStr">
        <is>
          <t>12월 국내출장 - M항공</t>
        </is>
      </c>
      <c r="J2185" s="75" t="inlineStr">
        <is>
          <t>V10001</t>
        </is>
      </c>
      <c r="K2185" s="75" t="inlineStr">
        <is>
          <t>M항공</t>
        </is>
      </c>
      <c r="M2185" s="9">
        <f>IF($A2185="","",VALUE($A2185&amp;"")*12+VALUE($B2185&amp;""))</f>
        <v/>
      </c>
      <c r="N2185" s="39">
        <f>IF($A2185="","",IFERROR(INDEX(부서매핑!$C$5:$C$504,MATCH($G2185&amp;"",부서매핑!$A$5:$A$504,0)),"미매핑"))</f>
        <v/>
      </c>
      <c r="O2185" s="9">
        <f>IF($A2185="","",N2185&amp;"|"&amp;$F2185)</f>
        <v/>
      </c>
      <c r="P2185" s="77">
        <f>IF($A2185="",0,$H2185*설정!$C$23)</f>
        <v/>
      </c>
      <c r="Q2185" s="39">
        <f>IF($A2185="","",IF(O2185&lt;&gt;원인분석!$C$9,"",IF(AND(M2185&gt;=원인분석!$C$10,M2185&lt;=원인분석!$C$11),"당기",IF(AND(M2185&gt;=원인분석!$C$12,M2185&lt;=원인분석!$C$13),"비교",""))))</f>
        <v/>
      </c>
      <c r="R2185" s="9">
        <f>IF(Q2185="","",$K2185&amp;"")</f>
        <v/>
      </c>
      <c r="S2185" s="9">
        <f>IF(Q2185="","",IF(MATCH(R2185,$R$5:$R$100000,0)=ROW()-4,ROW(),""))</f>
        <v/>
      </c>
      <c r="T2185" s="9">
        <f>IF(Q2185="당기",ABS(P2185)+ROW()/1000000000,"")</f>
        <v/>
      </c>
      <c r="U2185" s="9">
        <f>IF(Q2185="비교",ABS(P2185)+ROW()/1000000000,"")</f>
        <v/>
      </c>
      <c r="V2185" s="39">
        <f>IF($A2185="","",IF(COUNTIF(변동분석!$E$7:$E$506,O2185)&gt;0,"Y","N"))</f>
        <v/>
      </c>
      <c r="W2185" s="39">
        <f>IF($A2185="","",IFERROR(INDEX(계정매핑!$D$5:$D$504,MATCH($F2185&amp;"",계정매핑!$A$5:$A$504,0)),"미매핑"))</f>
        <v/>
      </c>
      <c r="X2185" s="9">
        <f>IF($A2185="","",$F2185&amp;"")</f>
        <v/>
      </c>
    </row>
    <row r="2186">
      <c r="A2186" s="75" t="n">
        <v>2025</v>
      </c>
      <c r="B2186" s="75" t="n">
        <v>12</v>
      </c>
      <c r="C2186" s="75" t="inlineStr">
        <is>
          <t>5100002182</t>
        </is>
      </c>
      <c r="D2186" s="78" t="n">
        <v>45998</v>
      </c>
      <c r="E2186" s="75" t="inlineStr">
        <is>
          <t>KR</t>
        </is>
      </c>
      <c r="F2186" s="75" t="n">
        <v>62101000</v>
      </c>
      <c r="G2186" s="75" t="n">
        <v>1701</v>
      </c>
      <c r="H2186" s="76" t="n">
        <v>156000</v>
      </c>
      <c r="I2186" s="75" t="inlineStr">
        <is>
          <t>12월 국내출장 - L여행사</t>
        </is>
      </c>
      <c r="J2186" s="75" t="inlineStr">
        <is>
          <t>V10014</t>
        </is>
      </c>
      <c r="K2186" s="75" t="inlineStr">
        <is>
          <t>L여행사</t>
        </is>
      </c>
      <c r="M2186" s="9">
        <f>IF($A2186="","",VALUE($A2186&amp;"")*12+VALUE($B2186&amp;""))</f>
        <v/>
      </c>
      <c r="N2186" s="39">
        <f>IF($A2186="","",IFERROR(INDEX(부서매핑!$C$5:$C$504,MATCH($G2186&amp;"",부서매핑!$A$5:$A$504,0)),"미매핑"))</f>
        <v/>
      </c>
      <c r="O2186" s="9">
        <f>IF($A2186="","",N2186&amp;"|"&amp;$F2186)</f>
        <v/>
      </c>
      <c r="P2186" s="77">
        <f>IF($A2186="",0,$H2186*설정!$C$23)</f>
        <v/>
      </c>
      <c r="Q2186" s="39">
        <f>IF($A2186="","",IF(O2186&lt;&gt;원인분석!$C$9,"",IF(AND(M2186&gt;=원인분석!$C$10,M2186&lt;=원인분석!$C$11),"당기",IF(AND(M2186&gt;=원인분석!$C$12,M2186&lt;=원인분석!$C$13),"비교",""))))</f>
        <v/>
      </c>
      <c r="R2186" s="9">
        <f>IF(Q2186="","",$K2186&amp;"")</f>
        <v/>
      </c>
      <c r="S2186" s="9">
        <f>IF(Q2186="","",IF(MATCH(R2186,$R$5:$R$100000,0)=ROW()-4,ROW(),""))</f>
        <v/>
      </c>
      <c r="T2186" s="9">
        <f>IF(Q2186="당기",ABS(P2186)+ROW()/1000000000,"")</f>
        <v/>
      </c>
      <c r="U2186" s="9">
        <f>IF(Q2186="비교",ABS(P2186)+ROW()/1000000000,"")</f>
        <v/>
      </c>
      <c r="V2186" s="39">
        <f>IF($A2186="","",IF(COUNTIF(변동분석!$E$7:$E$506,O2186)&gt;0,"Y","N"))</f>
        <v/>
      </c>
      <c r="W2186" s="39">
        <f>IF($A2186="","",IFERROR(INDEX(계정매핑!$D$5:$D$504,MATCH($F2186&amp;"",계정매핑!$A$5:$A$504,0)),"미매핑"))</f>
        <v/>
      </c>
      <c r="X2186" s="9">
        <f>IF($A2186="","",$F2186&amp;"")</f>
        <v/>
      </c>
    </row>
    <row r="2187">
      <c r="A2187" s="75" t="n">
        <v>2025</v>
      </c>
      <c r="B2187" s="75" t="n">
        <v>12</v>
      </c>
      <c r="C2187" s="75" t="inlineStr">
        <is>
          <t>5100002183</t>
        </is>
      </c>
      <c r="D2187" s="78" t="n">
        <v>45998</v>
      </c>
      <c r="E2187" s="75" t="inlineStr">
        <is>
          <t>KR</t>
        </is>
      </c>
      <c r="F2187" s="75" t="n">
        <v>62101000</v>
      </c>
      <c r="G2187" s="75" t="n">
        <v>1801</v>
      </c>
      <c r="H2187" s="76" t="n">
        <v>116000</v>
      </c>
      <c r="I2187" s="75" t="inlineStr">
        <is>
          <t>12월 국내출장 - M항공</t>
        </is>
      </c>
      <c r="J2187" s="75" t="inlineStr">
        <is>
          <t>V10001</t>
        </is>
      </c>
      <c r="K2187" s="75" t="inlineStr">
        <is>
          <t>M항공</t>
        </is>
      </c>
      <c r="M2187" s="9">
        <f>IF($A2187="","",VALUE($A2187&amp;"")*12+VALUE($B2187&amp;""))</f>
        <v/>
      </c>
      <c r="N2187" s="39">
        <f>IF($A2187="","",IFERROR(INDEX(부서매핑!$C$5:$C$504,MATCH($G2187&amp;"",부서매핑!$A$5:$A$504,0)),"미매핑"))</f>
        <v/>
      </c>
      <c r="O2187" s="9">
        <f>IF($A2187="","",N2187&amp;"|"&amp;$F2187)</f>
        <v/>
      </c>
      <c r="P2187" s="77">
        <f>IF($A2187="",0,$H2187*설정!$C$23)</f>
        <v/>
      </c>
      <c r="Q2187" s="39">
        <f>IF($A2187="","",IF(O2187&lt;&gt;원인분석!$C$9,"",IF(AND(M2187&gt;=원인분석!$C$10,M2187&lt;=원인분석!$C$11),"당기",IF(AND(M2187&gt;=원인분석!$C$12,M2187&lt;=원인분석!$C$13),"비교",""))))</f>
        <v/>
      </c>
      <c r="R2187" s="9">
        <f>IF(Q2187="","",$K2187&amp;"")</f>
        <v/>
      </c>
      <c r="S2187" s="9">
        <f>IF(Q2187="","",IF(MATCH(R2187,$R$5:$R$100000,0)=ROW()-4,ROW(),""))</f>
        <v/>
      </c>
      <c r="T2187" s="9">
        <f>IF(Q2187="당기",ABS(P2187)+ROW()/1000000000,"")</f>
        <v/>
      </c>
      <c r="U2187" s="9">
        <f>IF(Q2187="비교",ABS(P2187)+ROW()/1000000000,"")</f>
        <v/>
      </c>
      <c r="V2187" s="39">
        <f>IF($A2187="","",IF(COUNTIF(변동분석!$E$7:$E$506,O2187)&gt;0,"Y","N"))</f>
        <v/>
      </c>
      <c r="W2187" s="39">
        <f>IF($A2187="","",IFERROR(INDEX(계정매핑!$D$5:$D$504,MATCH($F2187&amp;"",계정매핑!$A$5:$A$504,0)),"미매핑"))</f>
        <v/>
      </c>
      <c r="X2187" s="9">
        <f>IF($A2187="","",$F2187&amp;"")</f>
        <v/>
      </c>
    </row>
    <row r="2188">
      <c r="A2188" s="75" t="n">
        <v>2025</v>
      </c>
      <c r="B2188" s="75" t="n">
        <v>12</v>
      </c>
      <c r="C2188" s="75" t="inlineStr">
        <is>
          <t>5100002184</t>
        </is>
      </c>
      <c r="D2188" s="78" t="n">
        <v>45998</v>
      </c>
      <c r="E2188" s="75" t="inlineStr">
        <is>
          <t>KR</t>
        </is>
      </c>
      <c r="F2188" s="75" t="n">
        <v>62102000</v>
      </c>
      <c r="G2188" s="75" t="n">
        <v>1201</v>
      </c>
      <c r="H2188" s="76" t="n">
        <v>44000</v>
      </c>
      <c r="I2188" s="75" t="inlineStr">
        <is>
          <t>12월 해외출장 - N호텔</t>
        </is>
      </c>
      <c r="J2188" s="75" t="inlineStr">
        <is>
          <t>V10007</t>
        </is>
      </c>
      <c r="K2188" s="75" t="inlineStr">
        <is>
          <t>N호텔</t>
        </is>
      </c>
      <c r="M2188" s="9">
        <f>IF($A2188="","",VALUE($A2188&amp;"")*12+VALUE($B2188&amp;""))</f>
        <v/>
      </c>
      <c r="N2188" s="39">
        <f>IF($A2188="","",IFERROR(INDEX(부서매핑!$C$5:$C$504,MATCH($G2188&amp;"",부서매핑!$A$5:$A$504,0)),"미매핑"))</f>
        <v/>
      </c>
      <c r="O2188" s="9">
        <f>IF($A2188="","",N2188&amp;"|"&amp;$F2188)</f>
        <v/>
      </c>
      <c r="P2188" s="77">
        <f>IF($A2188="",0,$H2188*설정!$C$23)</f>
        <v/>
      </c>
      <c r="Q2188" s="39">
        <f>IF($A2188="","",IF(O2188&lt;&gt;원인분석!$C$9,"",IF(AND(M2188&gt;=원인분석!$C$10,M2188&lt;=원인분석!$C$11),"당기",IF(AND(M2188&gt;=원인분석!$C$12,M2188&lt;=원인분석!$C$13),"비교",""))))</f>
        <v/>
      </c>
      <c r="R2188" s="9">
        <f>IF(Q2188="","",$K2188&amp;"")</f>
        <v/>
      </c>
      <c r="S2188" s="9">
        <f>IF(Q2188="","",IF(MATCH(R2188,$R$5:$R$100000,0)=ROW()-4,ROW(),""))</f>
        <v/>
      </c>
      <c r="T2188" s="9">
        <f>IF(Q2188="당기",ABS(P2188)+ROW()/1000000000,"")</f>
        <v/>
      </c>
      <c r="U2188" s="9">
        <f>IF(Q2188="비교",ABS(P2188)+ROW()/1000000000,"")</f>
        <v/>
      </c>
      <c r="V2188" s="39">
        <f>IF($A2188="","",IF(COUNTIF(변동분석!$E$7:$E$506,O2188)&gt;0,"Y","N"))</f>
        <v/>
      </c>
      <c r="W2188" s="39">
        <f>IF($A2188="","",IFERROR(INDEX(계정매핑!$D$5:$D$504,MATCH($F2188&amp;"",계정매핑!$A$5:$A$504,0)),"미매핑"))</f>
        <v/>
      </c>
      <c r="X2188" s="9">
        <f>IF($A2188="","",$F2188&amp;"")</f>
        <v/>
      </c>
    </row>
    <row r="2189">
      <c r="A2189" s="75" t="n">
        <v>2025</v>
      </c>
      <c r="B2189" s="75" t="n">
        <v>12</v>
      </c>
      <c r="C2189" s="75" t="inlineStr">
        <is>
          <t>5100002185</t>
        </is>
      </c>
      <c r="D2189" s="78" t="n">
        <v>45998</v>
      </c>
      <c r="E2189" s="75" t="inlineStr">
        <is>
          <t>KR</t>
        </is>
      </c>
      <c r="F2189" s="75" t="n">
        <v>62201000</v>
      </c>
      <c r="G2189" s="75" t="n">
        <v>1301</v>
      </c>
      <c r="H2189" s="76" t="n">
        <v>232000</v>
      </c>
      <c r="I2189" s="75" t="inlineStr">
        <is>
          <t>12월 통신요금 - P통신</t>
        </is>
      </c>
      <c r="J2189" s="75" t="inlineStr">
        <is>
          <t>V10011</t>
        </is>
      </c>
      <c r="K2189" s="75" t="inlineStr">
        <is>
          <t>P통신</t>
        </is>
      </c>
      <c r="M2189" s="9">
        <f>IF($A2189="","",VALUE($A2189&amp;"")*12+VALUE($B2189&amp;""))</f>
        <v/>
      </c>
      <c r="N2189" s="39">
        <f>IF($A2189="","",IFERROR(INDEX(부서매핑!$C$5:$C$504,MATCH($G2189&amp;"",부서매핑!$A$5:$A$504,0)),"미매핑"))</f>
        <v/>
      </c>
      <c r="O2189" s="9">
        <f>IF($A2189="","",N2189&amp;"|"&amp;$F2189)</f>
        <v/>
      </c>
      <c r="P2189" s="77">
        <f>IF($A2189="",0,$H2189*설정!$C$23)</f>
        <v/>
      </c>
      <c r="Q2189" s="39">
        <f>IF($A2189="","",IF(O2189&lt;&gt;원인분석!$C$9,"",IF(AND(M2189&gt;=원인분석!$C$10,M2189&lt;=원인분석!$C$11),"당기",IF(AND(M2189&gt;=원인분석!$C$12,M2189&lt;=원인분석!$C$13),"비교",""))))</f>
        <v/>
      </c>
      <c r="R2189" s="9">
        <f>IF(Q2189="","",$K2189&amp;"")</f>
        <v/>
      </c>
      <c r="S2189" s="9">
        <f>IF(Q2189="","",IF(MATCH(R2189,$R$5:$R$100000,0)=ROW()-4,ROW(),""))</f>
        <v/>
      </c>
      <c r="T2189" s="9">
        <f>IF(Q2189="당기",ABS(P2189)+ROW()/1000000000,"")</f>
        <v/>
      </c>
      <c r="U2189" s="9">
        <f>IF(Q2189="비교",ABS(P2189)+ROW()/1000000000,"")</f>
        <v/>
      </c>
      <c r="V2189" s="39">
        <f>IF($A2189="","",IF(COUNTIF(변동분석!$E$7:$E$506,O2189)&gt;0,"Y","N"))</f>
        <v/>
      </c>
      <c r="W2189" s="39">
        <f>IF($A2189="","",IFERROR(INDEX(계정매핑!$D$5:$D$504,MATCH($F2189&amp;"",계정매핑!$A$5:$A$504,0)),"미매핑"))</f>
        <v/>
      </c>
      <c r="X2189" s="9">
        <f>IF($A2189="","",$F2189&amp;"")</f>
        <v/>
      </c>
    </row>
    <row r="2190">
      <c r="A2190" s="75" t="n">
        <v>2025</v>
      </c>
      <c r="B2190" s="75" t="n">
        <v>12</v>
      </c>
      <c r="C2190" s="75" t="inlineStr">
        <is>
          <t>5100002186</t>
        </is>
      </c>
      <c r="D2190" s="78" t="n">
        <v>45998</v>
      </c>
      <c r="E2190" s="75" t="inlineStr">
        <is>
          <t>KR</t>
        </is>
      </c>
      <c r="F2190" s="75" t="n">
        <v>62301000</v>
      </c>
      <c r="G2190" s="75" t="n">
        <v>1101</v>
      </c>
      <c r="H2190" s="76" t="n">
        <v>198000</v>
      </c>
      <c r="I2190" s="75" t="inlineStr">
        <is>
          <t>12월 소모품 구입 - Q오피스</t>
        </is>
      </c>
      <c r="J2190" s="75" t="inlineStr">
        <is>
          <t>V10003</t>
        </is>
      </c>
      <c r="K2190" s="75" t="inlineStr">
        <is>
          <t>Q오피스</t>
        </is>
      </c>
      <c r="M2190" s="9">
        <f>IF($A2190="","",VALUE($A2190&amp;"")*12+VALUE($B2190&amp;""))</f>
        <v/>
      </c>
      <c r="N2190" s="39">
        <f>IF($A2190="","",IFERROR(INDEX(부서매핑!$C$5:$C$504,MATCH($G2190&amp;"",부서매핑!$A$5:$A$504,0)),"미매핑"))</f>
        <v/>
      </c>
      <c r="O2190" s="9">
        <f>IF($A2190="","",N2190&amp;"|"&amp;$F2190)</f>
        <v/>
      </c>
      <c r="P2190" s="77">
        <f>IF($A2190="",0,$H2190*설정!$C$23)</f>
        <v/>
      </c>
      <c r="Q2190" s="39">
        <f>IF($A2190="","",IF(O2190&lt;&gt;원인분석!$C$9,"",IF(AND(M2190&gt;=원인분석!$C$10,M2190&lt;=원인분석!$C$11),"당기",IF(AND(M2190&gt;=원인분석!$C$12,M2190&lt;=원인분석!$C$13),"비교",""))))</f>
        <v/>
      </c>
      <c r="R2190" s="9">
        <f>IF(Q2190="","",$K2190&amp;"")</f>
        <v/>
      </c>
      <c r="S2190" s="9">
        <f>IF(Q2190="","",IF(MATCH(R2190,$R$5:$R$100000,0)=ROW()-4,ROW(),""))</f>
        <v/>
      </c>
      <c r="T2190" s="9">
        <f>IF(Q2190="당기",ABS(P2190)+ROW()/1000000000,"")</f>
        <v/>
      </c>
      <c r="U2190" s="9">
        <f>IF(Q2190="비교",ABS(P2190)+ROW()/1000000000,"")</f>
        <v/>
      </c>
      <c r="V2190" s="39">
        <f>IF($A2190="","",IF(COUNTIF(변동분석!$E$7:$E$506,O2190)&gt;0,"Y","N"))</f>
        <v/>
      </c>
      <c r="W2190" s="39">
        <f>IF($A2190="","",IFERROR(INDEX(계정매핑!$D$5:$D$504,MATCH($F2190&amp;"",계정매핑!$A$5:$A$504,0)),"미매핑"))</f>
        <v/>
      </c>
      <c r="X2190" s="9">
        <f>IF($A2190="","",$F2190&amp;"")</f>
        <v/>
      </c>
    </row>
    <row r="2191">
      <c r="A2191" s="75" t="n">
        <v>2025</v>
      </c>
      <c r="B2191" s="75" t="n">
        <v>12</v>
      </c>
      <c r="C2191" s="75" t="inlineStr">
        <is>
          <t>5100002187</t>
        </is>
      </c>
      <c r="D2191" s="78" t="n">
        <v>45998</v>
      </c>
      <c r="E2191" s="75" t="inlineStr">
        <is>
          <t>KR</t>
        </is>
      </c>
      <c r="F2191" s="75" t="n">
        <v>62301000</v>
      </c>
      <c r="G2191" s="75" t="n">
        <v>1401</v>
      </c>
      <c r="H2191" s="76" t="n">
        <v>65000</v>
      </c>
      <c r="I2191" s="75" t="inlineStr">
        <is>
          <t>12월 소모품 구입 - Q오피스</t>
        </is>
      </c>
      <c r="J2191" s="75" t="inlineStr">
        <is>
          <t>V10003</t>
        </is>
      </c>
      <c r="K2191" s="75" t="inlineStr">
        <is>
          <t>Q오피스</t>
        </is>
      </c>
      <c r="M2191" s="9">
        <f>IF($A2191="","",VALUE($A2191&amp;"")*12+VALUE($B2191&amp;""))</f>
        <v/>
      </c>
      <c r="N2191" s="39">
        <f>IF($A2191="","",IFERROR(INDEX(부서매핑!$C$5:$C$504,MATCH($G2191&amp;"",부서매핑!$A$5:$A$504,0)),"미매핑"))</f>
        <v/>
      </c>
      <c r="O2191" s="9">
        <f>IF($A2191="","",N2191&amp;"|"&amp;$F2191)</f>
        <v/>
      </c>
      <c r="P2191" s="77">
        <f>IF($A2191="",0,$H2191*설정!$C$23)</f>
        <v/>
      </c>
      <c r="Q2191" s="39">
        <f>IF($A2191="","",IF(O2191&lt;&gt;원인분석!$C$9,"",IF(AND(M2191&gt;=원인분석!$C$10,M2191&lt;=원인분석!$C$11),"당기",IF(AND(M2191&gt;=원인분석!$C$12,M2191&lt;=원인분석!$C$13),"비교",""))))</f>
        <v/>
      </c>
      <c r="R2191" s="9">
        <f>IF(Q2191="","",$K2191&amp;"")</f>
        <v/>
      </c>
      <c r="S2191" s="9">
        <f>IF(Q2191="","",IF(MATCH(R2191,$R$5:$R$100000,0)=ROW()-4,ROW(),""))</f>
        <v/>
      </c>
      <c r="T2191" s="9">
        <f>IF(Q2191="당기",ABS(P2191)+ROW()/1000000000,"")</f>
        <v/>
      </c>
      <c r="U2191" s="9">
        <f>IF(Q2191="비교",ABS(P2191)+ROW()/1000000000,"")</f>
        <v/>
      </c>
      <c r="V2191" s="39">
        <f>IF($A2191="","",IF(COUNTIF(변동분석!$E$7:$E$506,O2191)&gt;0,"Y","N"))</f>
        <v/>
      </c>
      <c r="W2191" s="39">
        <f>IF($A2191="","",IFERROR(INDEX(계정매핑!$D$5:$D$504,MATCH($F2191&amp;"",계정매핑!$A$5:$A$504,0)),"미매핑"))</f>
        <v/>
      </c>
      <c r="X2191" s="9">
        <f>IF($A2191="","",$F2191&amp;"")</f>
        <v/>
      </c>
    </row>
    <row r="2192">
      <c r="A2192" s="75" t="n">
        <v>2025</v>
      </c>
      <c r="B2192" s="75" t="n">
        <v>12</v>
      </c>
      <c r="C2192" s="75" t="inlineStr">
        <is>
          <t>5100002188</t>
        </is>
      </c>
      <c r="D2192" s="78" t="n">
        <v>45998</v>
      </c>
      <c r="E2192" s="75" t="inlineStr">
        <is>
          <t>KR</t>
        </is>
      </c>
      <c r="F2192" s="75" t="n">
        <v>62401000</v>
      </c>
      <c r="G2192" s="75" t="n">
        <v>1401</v>
      </c>
      <c r="H2192" s="76" t="n">
        <v>162000</v>
      </c>
      <c r="I2192" s="75" t="inlineStr">
        <is>
          <t>12월 인쇄물 제작 - G인쇄</t>
        </is>
      </c>
      <c r="J2192" s="75" t="inlineStr">
        <is>
          <t>V10004</t>
        </is>
      </c>
      <c r="K2192" s="75" t="inlineStr">
        <is>
          <t>G인쇄</t>
        </is>
      </c>
      <c r="M2192" s="9">
        <f>IF($A2192="","",VALUE($A2192&amp;"")*12+VALUE($B2192&amp;""))</f>
        <v/>
      </c>
      <c r="N2192" s="39">
        <f>IF($A2192="","",IFERROR(INDEX(부서매핑!$C$5:$C$504,MATCH($G2192&amp;"",부서매핑!$A$5:$A$504,0)),"미매핑"))</f>
        <v/>
      </c>
      <c r="O2192" s="9">
        <f>IF($A2192="","",N2192&amp;"|"&amp;$F2192)</f>
        <v/>
      </c>
      <c r="P2192" s="77">
        <f>IF($A2192="",0,$H2192*설정!$C$23)</f>
        <v/>
      </c>
      <c r="Q2192" s="39">
        <f>IF($A2192="","",IF(O2192&lt;&gt;원인분석!$C$9,"",IF(AND(M2192&gt;=원인분석!$C$10,M2192&lt;=원인분석!$C$11),"당기",IF(AND(M2192&gt;=원인분석!$C$12,M2192&lt;=원인분석!$C$13),"비교",""))))</f>
        <v/>
      </c>
      <c r="R2192" s="9">
        <f>IF(Q2192="","",$K2192&amp;"")</f>
        <v/>
      </c>
      <c r="S2192" s="9">
        <f>IF(Q2192="","",IF(MATCH(R2192,$R$5:$R$100000,0)=ROW()-4,ROW(),""))</f>
        <v/>
      </c>
      <c r="T2192" s="9">
        <f>IF(Q2192="당기",ABS(P2192)+ROW()/1000000000,"")</f>
        <v/>
      </c>
      <c r="U2192" s="9">
        <f>IF(Q2192="비교",ABS(P2192)+ROW()/1000000000,"")</f>
        <v/>
      </c>
      <c r="V2192" s="39">
        <f>IF($A2192="","",IF(COUNTIF(변동분석!$E$7:$E$506,O2192)&gt;0,"Y","N"))</f>
        <v/>
      </c>
      <c r="W2192" s="39">
        <f>IF($A2192="","",IFERROR(INDEX(계정매핑!$D$5:$D$504,MATCH($F2192&amp;"",계정매핑!$A$5:$A$504,0)),"미매핑"))</f>
        <v/>
      </c>
      <c r="X2192" s="9">
        <f>IF($A2192="","",$F2192&amp;"")</f>
        <v/>
      </c>
    </row>
    <row r="2193">
      <c r="A2193" s="75" t="n">
        <v>2025</v>
      </c>
      <c r="B2193" s="75" t="n">
        <v>12</v>
      </c>
      <c r="C2193" s="75" t="inlineStr">
        <is>
          <t>5100002189</t>
        </is>
      </c>
      <c r="D2193" s="78" t="n">
        <v>45998</v>
      </c>
      <c r="E2193" s="75" t="inlineStr">
        <is>
          <t>KR</t>
        </is>
      </c>
      <c r="F2193" s="75" t="n">
        <v>62501000</v>
      </c>
      <c r="G2193" s="75" t="n">
        <v>1401</v>
      </c>
      <c r="H2193" s="76" t="n">
        <v>183000</v>
      </c>
      <c r="I2193" s="75" t="inlineStr">
        <is>
          <t>12월 회의 다과 - (법인카드)</t>
        </is>
      </c>
      <c r="J2193" s="75" t="inlineStr">
        <is>
          <t>V10008</t>
        </is>
      </c>
      <c r="K2193" s="75" t="inlineStr">
        <is>
          <t>(법인카드)</t>
        </is>
      </c>
      <c r="M2193" s="9">
        <f>IF($A2193="","",VALUE($A2193&amp;"")*12+VALUE($B2193&amp;""))</f>
        <v/>
      </c>
      <c r="N2193" s="39">
        <f>IF($A2193="","",IFERROR(INDEX(부서매핑!$C$5:$C$504,MATCH($G2193&amp;"",부서매핑!$A$5:$A$504,0)),"미매핑"))</f>
        <v/>
      </c>
      <c r="O2193" s="9">
        <f>IF($A2193="","",N2193&amp;"|"&amp;$F2193)</f>
        <v/>
      </c>
      <c r="P2193" s="77">
        <f>IF($A2193="",0,$H2193*설정!$C$23)</f>
        <v/>
      </c>
      <c r="Q2193" s="39">
        <f>IF($A2193="","",IF(O2193&lt;&gt;원인분석!$C$9,"",IF(AND(M2193&gt;=원인분석!$C$10,M2193&lt;=원인분석!$C$11),"당기",IF(AND(M2193&gt;=원인분석!$C$12,M2193&lt;=원인분석!$C$13),"비교",""))))</f>
        <v/>
      </c>
      <c r="R2193" s="9">
        <f>IF(Q2193="","",$K2193&amp;"")</f>
        <v/>
      </c>
      <c r="S2193" s="9">
        <f>IF(Q2193="","",IF(MATCH(R2193,$R$5:$R$100000,0)=ROW()-4,ROW(),""))</f>
        <v/>
      </c>
      <c r="T2193" s="9">
        <f>IF(Q2193="당기",ABS(P2193)+ROW()/1000000000,"")</f>
        <v/>
      </c>
      <c r="U2193" s="9">
        <f>IF(Q2193="비교",ABS(P2193)+ROW()/1000000000,"")</f>
        <v/>
      </c>
      <c r="V2193" s="39">
        <f>IF($A2193="","",IF(COUNTIF(변동분석!$E$7:$E$506,O2193)&gt;0,"Y","N"))</f>
        <v/>
      </c>
      <c r="W2193" s="39">
        <f>IF($A2193="","",IFERROR(INDEX(계정매핑!$D$5:$D$504,MATCH($F2193&amp;"",계정매핑!$A$5:$A$504,0)),"미매핑"))</f>
        <v/>
      </c>
      <c r="X2193" s="9">
        <f>IF($A2193="","",$F2193&amp;"")</f>
        <v/>
      </c>
    </row>
    <row r="2194">
      <c r="A2194" s="75" t="n">
        <v>2025</v>
      </c>
      <c r="B2194" s="75" t="n">
        <v>12</v>
      </c>
      <c r="C2194" s="75" t="inlineStr">
        <is>
          <t>5100002190</t>
        </is>
      </c>
      <c r="D2194" s="78" t="n">
        <v>45998</v>
      </c>
      <c r="E2194" s="75" t="inlineStr">
        <is>
          <t>KR</t>
        </is>
      </c>
      <c r="F2194" s="75" t="n">
        <v>62701000</v>
      </c>
      <c r="G2194" s="75" t="n">
        <v>1501</v>
      </c>
      <c r="H2194" s="76" t="n">
        <v>71423000</v>
      </c>
      <c r="I2194" s="75" t="inlineStr">
        <is>
          <t>12월 광고 집행 - F애드</t>
        </is>
      </c>
      <c r="J2194" s="75" t="inlineStr">
        <is>
          <t>V10019</t>
        </is>
      </c>
      <c r="K2194" s="75" t="inlineStr">
        <is>
          <t>F애드</t>
        </is>
      </c>
      <c r="M2194" s="9">
        <f>IF($A2194="","",VALUE($A2194&amp;"")*12+VALUE($B2194&amp;""))</f>
        <v/>
      </c>
      <c r="N2194" s="39">
        <f>IF($A2194="","",IFERROR(INDEX(부서매핑!$C$5:$C$504,MATCH($G2194&amp;"",부서매핑!$A$5:$A$504,0)),"미매핑"))</f>
        <v/>
      </c>
      <c r="O2194" s="9">
        <f>IF($A2194="","",N2194&amp;"|"&amp;$F2194)</f>
        <v/>
      </c>
      <c r="P2194" s="77">
        <f>IF($A2194="",0,$H2194*설정!$C$23)</f>
        <v/>
      </c>
      <c r="Q2194" s="39">
        <f>IF($A2194="","",IF(O2194&lt;&gt;원인분석!$C$9,"",IF(AND(M2194&gt;=원인분석!$C$10,M2194&lt;=원인분석!$C$11),"당기",IF(AND(M2194&gt;=원인분석!$C$12,M2194&lt;=원인분석!$C$13),"비교",""))))</f>
        <v/>
      </c>
      <c r="R2194" s="9">
        <f>IF(Q2194="","",$K2194&amp;"")</f>
        <v/>
      </c>
      <c r="S2194" s="9">
        <f>IF(Q2194="","",IF(MATCH(R2194,$R$5:$R$100000,0)=ROW()-4,ROW(),""))</f>
        <v/>
      </c>
      <c r="T2194" s="9">
        <f>IF(Q2194="당기",ABS(P2194)+ROW()/1000000000,"")</f>
        <v/>
      </c>
      <c r="U2194" s="9">
        <f>IF(Q2194="비교",ABS(P2194)+ROW()/1000000000,"")</f>
        <v/>
      </c>
      <c r="V2194" s="39">
        <f>IF($A2194="","",IF(COUNTIF(변동분석!$E$7:$E$506,O2194)&gt;0,"Y","N"))</f>
        <v/>
      </c>
      <c r="W2194" s="39">
        <f>IF($A2194="","",IFERROR(INDEX(계정매핑!$D$5:$D$504,MATCH($F2194&amp;"",계정매핑!$A$5:$A$504,0)),"미매핑"))</f>
        <v/>
      </c>
      <c r="X2194" s="9">
        <f>IF($A2194="","",$F2194&amp;"")</f>
        <v/>
      </c>
    </row>
    <row r="2195">
      <c r="A2195" s="75" t="n">
        <v>2025</v>
      </c>
      <c r="B2195" s="75" t="n">
        <v>12</v>
      </c>
      <c r="C2195" s="75" t="inlineStr">
        <is>
          <t>5100002191</t>
        </is>
      </c>
      <c r="D2195" s="78" t="n">
        <v>45998</v>
      </c>
      <c r="E2195" s="75" t="inlineStr">
        <is>
          <t>KR</t>
        </is>
      </c>
      <c r="F2195" s="75" t="n">
        <v>62901000</v>
      </c>
      <c r="G2195" s="75" t="n">
        <v>1401</v>
      </c>
      <c r="H2195" s="76" t="n">
        <v>7396000</v>
      </c>
      <c r="I2195" s="75" t="inlineStr">
        <is>
          <t>12월 자문 수수료 - W컨설팅</t>
        </is>
      </c>
      <c r="J2195" s="75" t="inlineStr">
        <is>
          <t>V10009</t>
        </is>
      </c>
      <c r="K2195" s="75" t="inlineStr">
        <is>
          <t>W컨설팅</t>
        </is>
      </c>
      <c r="M2195" s="9">
        <f>IF($A2195="","",VALUE($A2195&amp;"")*12+VALUE($B2195&amp;""))</f>
        <v/>
      </c>
      <c r="N2195" s="39">
        <f>IF($A2195="","",IFERROR(INDEX(부서매핑!$C$5:$C$504,MATCH($G2195&amp;"",부서매핑!$A$5:$A$504,0)),"미매핑"))</f>
        <v/>
      </c>
      <c r="O2195" s="9">
        <f>IF($A2195="","",N2195&amp;"|"&amp;$F2195)</f>
        <v/>
      </c>
      <c r="P2195" s="77">
        <f>IF($A2195="",0,$H2195*설정!$C$23)</f>
        <v/>
      </c>
      <c r="Q2195" s="39">
        <f>IF($A2195="","",IF(O2195&lt;&gt;원인분석!$C$9,"",IF(AND(M2195&gt;=원인분석!$C$10,M2195&lt;=원인분석!$C$11),"당기",IF(AND(M2195&gt;=원인분석!$C$12,M2195&lt;=원인분석!$C$13),"비교",""))))</f>
        <v/>
      </c>
      <c r="R2195" s="9">
        <f>IF(Q2195="","",$K2195&amp;"")</f>
        <v/>
      </c>
      <c r="S2195" s="9">
        <f>IF(Q2195="","",IF(MATCH(R2195,$R$5:$R$100000,0)=ROW()-4,ROW(),""))</f>
        <v/>
      </c>
      <c r="T2195" s="9">
        <f>IF(Q2195="당기",ABS(P2195)+ROW()/1000000000,"")</f>
        <v/>
      </c>
      <c r="U2195" s="9">
        <f>IF(Q2195="비교",ABS(P2195)+ROW()/1000000000,"")</f>
        <v/>
      </c>
      <c r="V2195" s="39">
        <f>IF($A2195="","",IF(COUNTIF(변동분석!$E$7:$E$506,O2195)&gt;0,"Y","N"))</f>
        <v/>
      </c>
      <c r="W2195" s="39">
        <f>IF($A2195="","",IFERROR(INDEX(계정매핑!$D$5:$D$504,MATCH($F2195&amp;"",계정매핑!$A$5:$A$504,0)),"미매핑"))</f>
        <v/>
      </c>
      <c r="X2195" s="9">
        <f>IF($A2195="","",$F2195&amp;"")</f>
        <v/>
      </c>
    </row>
    <row r="2196">
      <c r="A2196" s="75" t="n">
        <v>2025</v>
      </c>
      <c r="B2196" s="75" t="n">
        <v>12</v>
      </c>
      <c r="C2196" s="75" t="inlineStr">
        <is>
          <t>5100002192</t>
        </is>
      </c>
      <c r="D2196" s="78" t="n">
        <v>45999</v>
      </c>
      <c r="E2196" s="75" t="inlineStr">
        <is>
          <t>KR</t>
        </is>
      </c>
      <c r="F2196" s="75" t="n">
        <v>62201000</v>
      </c>
      <c r="G2196" s="75" t="n">
        <v>1601</v>
      </c>
      <c r="H2196" s="76" t="n">
        <v>584000</v>
      </c>
      <c r="I2196" s="75" t="inlineStr">
        <is>
          <t>12월 통신요금 - O텔레콤</t>
        </is>
      </c>
      <c r="J2196" s="75" t="inlineStr">
        <is>
          <t>V10002</t>
        </is>
      </c>
      <c r="K2196" s="75" t="inlineStr">
        <is>
          <t>O텔레콤</t>
        </is>
      </c>
      <c r="M2196" s="9">
        <f>IF($A2196="","",VALUE($A2196&amp;"")*12+VALUE($B2196&amp;""))</f>
        <v/>
      </c>
      <c r="N2196" s="39">
        <f>IF($A2196="","",IFERROR(INDEX(부서매핑!$C$5:$C$504,MATCH($G2196&amp;"",부서매핑!$A$5:$A$504,0)),"미매핑"))</f>
        <v/>
      </c>
      <c r="O2196" s="9">
        <f>IF($A2196="","",N2196&amp;"|"&amp;$F2196)</f>
        <v/>
      </c>
      <c r="P2196" s="77">
        <f>IF($A2196="",0,$H2196*설정!$C$23)</f>
        <v/>
      </c>
      <c r="Q2196" s="39">
        <f>IF($A2196="","",IF(O2196&lt;&gt;원인분석!$C$9,"",IF(AND(M2196&gt;=원인분석!$C$10,M2196&lt;=원인분석!$C$11),"당기",IF(AND(M2196&gt;=원인분석!$C$12,M2196&lt;=원인분석!$C$13),"비교",""))))</f>
        <v/>
      </c>
      <c r="R2196" s="9">
        <f>IF(Q2196="","",$K2196&amp;"")</f>
        <v/>
      </c>
      <c r="S2196" s="9">
        <f>IF(Q2196="","",IF(MATCH(R2196,$R$5:$R$100000,0)=ROW()-4,ROW(),""))</f>
        <v/>
      </c>
      <c r="T2196" s="9">
        <f>IF(Q2196="당기",ABS(P2196)+ROW()/1000000000,"")</f>
        <v/>
      </c>
      <c r="U2196" s="9">
        <f>IF(Q2196="비교",ABS(P2196)+ROW()/1000000000,"")</f>
        <v/>
      </c>
      <c r="V2196" s="39">
        <f>IF($A2196="","",IF(COUNTIF(변동분석!$E$7:$E$506,O2196)&gt;0,"Y","N"))</f>
        <v/>
      </c>
      <c r="W2196" s="39">
        <f>IF($A2196="","",IFERROR(INDEX(계정매핑!$D$5:$D$504,MATCH($F2196&amp;"",계정매핑!$A$5:$A$504,0)),"미매핑"))</f>
        <v/>
      </c>
      <c r="X2196" s="9">
        <f>IF($A2196="","",$F2196&amp;"")</f>
        <v/>
      </c>
    </row>
    <row r="2197">
      <c r="A2197" s="75" t="n">
        <v>2025</v>
      </c>
      <c r="B2197" s="75" t="n">
        <v>12</v>
      </c>
      <c r="C2197" s="75" t="inlineStr">
        <is>
          <t>5100002193</t>
        </is>
      </c>
      <c r="D2197" s="78" t="n">
        <v>45999</v>
      </c>
      <c r="E2197" s="75" t="inlineStr">
        <is>
          <t>KR</t>
        </is>
      </c>
      <c r="F2197" s="75" t="n">
        <v>62201000</v>
      </c>
      <c r="G2197" s="75" t="n">
        <v>1801</v>
      </c>
      <c r="H2197" s="76" t="n">
        <v>8550000</v>
      </c>
      <c r="I2197" s="75" t="inlineStr">
        <is>
          <t>12월 통신요금 - P통신</t>
        </is>
      </c>
      <c r="J2197" s="75" t="inlineStr">
        <is>
          <t>V10011</t>
        </is>
      </c>
      <c r="K2197" s="75" t="inlineStr">
        <is>
          <t>P통신</t>
        </is>
      </c>
      <c r="M2197" s="9">
        <f>IF($A2197="","",VALUE($A2197&amp;"")*12+VALUE($B2197&amp;""))</f>
        <v/>
      </c>
      <c r="N2197" s="39">
        <f>IF($A2197="","",IFERROR(INDEX(부서매핑!$C$5:$C$504,MATCH($G2197&amp;"",부서매핑!$A$5:$A$504,0)),"미매핑"))</f>
        <v/>
      </c>
      <c r="O2197" s="9">
        <f>IF($A2197="","",N2197&amp;"|"&amp;$F2197)</f>
        <v/>
      </c>
      <c r="P2197" s="77">
        <f>IF($A2197="",0,$H2197*설정!$C$23)</f>
        <v/>
      </c>
      <c r="Q2197" s="39">
        <f>IF($A2197="","",IF(O2197&lt;&gt;원인분석!$C$9,"",IF(AND(M2197&gt;=원인분석!$C$10,M2197&lt;=원인분석!$C$11),"당기",IF(AND(M2197&gt;=원인분석!$C$12,M2197&lt;=원인분석!$C$13),"비교",""))))</f>
        <v/>
      </c>
      <c r="R2197" s="9">
        <f>IF(Q2197="","",$K2197&amp;"")</f>
        <v/>
      </c>
      <c r="S2197" s="9">
        <f>IF(Q2197="","",IF(MATCH(R2197,$R$5:$R$100000,0)=ROW()-4,ROW(),""))</f>
        <v/>
      </c>
      <c r="T2197" s="9">
        <f>IF(Q2197="당기",ABS(P2197)+ROW()/1000000000,"")</f>
        <v/>
      </c>
      <c r="U2197" s="9">
        <f>IF(Q2197="비교",ABS(P2197)+ROW()/1000000000,"")</f>
        <v/>
      </c>
      <c r="V2197" s="39">
        <f>IF($A2197="","",IF(COUNTIF(변동분석!$E$7:$E$506,O2197)&gt;0,"Y","N"))</f>
        <v/>
      </c>
      <c r="W2197" s="39">
        <f>IF($A2197="","",IFERROR(INDEX(계정매핑!$D$5:$D$504,MATCH($F2197&amp;"",계정매핑!$A$5:$A$504,0)),"미매핑"))</f>
        <v/>
      </c>
      <c r="X2197" s="9">
        <f>IF($A2197="","",$F2197&amp;"")</f>
        <v/>
      </c>
    </row>
    <row r="2198">
      <c r="A2198" s="75" t="n">
        <v>2025</v>
      </c>
      <c r="B2198" s="75" t="n">
        <v>12</v>
      </c>
      <c r="C2198" s="75" t="inlineStr">
        <is>
          <t>5100002194</t>
        </is>
      </c>
      <c r="D2198" s="78" t="n">
        <v>45999</v>
      </c>
      <c r="E2198" s="75" t="inlineStr">
        <is>
          <t>KR</t>
        </is>
      </c>
      <c r="F2198" s="75" t="n">
        <v>62301000</v>
      </c>
      <c r="G2198" s="75" t="n">
        <v>1401</v>
      </c>
      <c r="H2198" s="76" t="n">
        <v>87000</v>
      </c>
      <c r="I2198" s="75" t="inlineStr">
        <is>
          <t>12월 소모품 구입 - Q오피스</t>
        </is>
      </c>
      <c r="J2198" s="75" t="inlineStr">
        <is>
          <t>V10003</t>
        </is>
      </c>
      <c r="K2198" s="75" t="inlineStr">
        <is>
          <t>Q오피스</t>
        </is>
      </c>
      <c r="M2198" s="9">
        <f>IF($A2198="","",VALUE($A2198&amp;"")*12+VALUE($B2198&amp;""))</f>
        <v/>
      </c>
      <c r="N2198" s="39">
        <f>IF($A2198="","",IFERROR(INDEX(부서매핑!$C$5:$C$504,MATCH($G2198&amp;"",부서매핑!$A$5:$A$504,0)),"미매핑"))</f>
        <v/>
      </c>
      <c r="O2198" s="9">
        <f>IF($A2198="","",N2198&amp;"|"&amp;$F2198)</f>
        <v/>
      </c>
      <c r="P2198" s="77">
        <f>IF($A2198="",0,$H2198*설정!$C$23)</f>
        <v/>
      </c>
      <c r="Q2198" s="39">
        <f>IF($A2198="","",IF(O2198&lt;&gt;원인분석!$C$9,"",IF(AND(M2198&gt;=원인분석!$C$10,M2198&lt;=원인분석!$C$11),"당기",IF(AND(M2198&gt;=원인분석!$C$12,M2198&lt;=원인분석!$C$13),"비교",""))))</f>
        <v/>
      </c>
      <c r="R2198" s="9">
        <f>IF(Q2198="","",$K2198&amp;"")</f>
        <v/>
      </c>
      <c r="S2198" s="9">
        <f>IF(Q2198="","",IF(MATCH(R2198,$R$5:$R$100000,0)=ROW()-4,ROW(),""))</f>
        <v/>
      </c>
      <c r="T2198" s="9">
        <f>IF(Q2198="당기",ABS(P2198)+ROW()/1000000000,"")</f>
        <v/>
      </c>
      <c r="U2198" s="9">
        <f>IF(Q2198="비교",ABS(P2198)+ROW()/1000000000,"")</f>
        <v/>
      </c>
      <c r="V2198" s="39">
        <f>IF($A2198="","",IF(COUNTIF(변동분석!$E$7:$E$506,O2198)&gt;0,"Y","N"))</f>
        <v/>
      </c>
      <c r="W2198" s="39">
        <f>IF($A2198="","",IFERROR(INDEX(계정매핑!$D$5:$D$504,MATCH($F2198&amp;"",계정매핑!$A$5:$A$504,0)),"미매핑"))</f>
        <v/>
      </c>
      <c r="X2198" s="9">
        <f>IF($A2198="","",$F2198&amp;"")</f>
        <v/>
      </c>
    </row>
    <row r="2199">
      <c r="A2199" s="75" t="n">
        <v>2025</v>
      </c>
      <c r="B2199" s="75" t="n">
        <v>12</v>
      </c>
      <c r="C2199" s="75" t="inlineStr">
        <is>
          <t>5100002195</t>
        </is>
      </c>
      <c r="D2199" s="78" t="n">
        <v>45999</v>
      </c>
      <c r="E2199" s="75" t="inlineStr">
        <is>
          <t>KR</t>
        </is>
      </c>
      <c r="F2199" s="75" t="n">
        <v>62501000</v>
      </c>
      <c r="G2199" s="75" t="n">
        <v>1201</v>
      </c>
      <c r="H2199" s="76" t="n">
        <v>126000</v>
      </c>
      <c r="I2199" s="75" t="inlineStr">
        <is>
          <t>12월 회의 다과 - T케이터링</t>
        </is>
      </c>
      <c r="J2199" s="75" t="inlineStr">
        <is>
          <t>V10005</t>
        </is>
      </c>
      <c r="K2199" s="75" t="inlineStr">
        <is>
          <t>T케이터링</t>
        </is>
      </c>
      <c r="M2199" s="9">
        <f>IF($A2199="","",VALUE($A2199&amp;"")*12+VALUE($B2199&amp;""))</f>
        <v/>
      </c>
      <c r="N2199" s="39">
        <f>IF($A2199="","",IFERROR(INDEX(부서매핑!$C$5:$C$504,MATCH($G2199&amp;"",부서매핑!$A$5:$A$504,0)),"미매핑"))</f>
        <v/>
      </c>
      <c r="O2199" s="9">
        <f>IF($A2199="","",N2199&amp;"|"&amp;$F2199)</f>
        <v/>
      </c>
      <c r="P2199" s="77">
        <f>IF($A2199="",0,$H2199*설정!$C$23)</f>
        <v/>
      </c>
      <c r="Q2199" s="39">
        <f>IF($A2199="","",IF(O2199&lt;&gt;원인분석!$C$9,"",IF(AND(M2199&gt;=원인분석!$C$10,M2199&lt;=원인분석!$C$11),"당기",IF(AND(M2199&gt;=원인분석!$C$12,M2199&lt;=원인분석!$C$13),"비교",""))))</f>
        <v/>
      </c>
      <c r="R2199" s="9">
        <f>IF(Q2199="","",$K2199&amp;"")</f>
        <v/>
      </c>
      <c r="S2199" s="9">
        <f>IF(Q2199="","",IF(MATCH(R2199,$R$5:$R$100000,0)=ROW()-4,ROW(),""))</f>
        <v/>
      </c>
      <c r="T2199" s="9">
        <f>IF(Q2199="당기",ABS(P2199)+ROW()/1000000000,"")</f>
        <v/>
      </c>
      <c r="U2199" s="9">
        <f>IF(Q2199="비교",ABS(P2199)+ROW()/1000000000,"")</f>
        <v/>
      </c>
      <c r="V2199" s="39">
        <f>IF($A2199="","",IF(COUNTIF(변동분석!$E$7:$E$506,O2199)&gt;0,"Y","N"))</f>
        <v/>
      </c>
      <c r="W2199" s="39">
        <f>IF($A2199="","",IFERROR(INDEX(계정매핑!$D$5:$D$504,MATCH($F2199&amp;"",계정매핑!$A$5:$A$504,0)),"미매핑"))</f>
        <v/>
      </c>
      <c r="X2199" s="9">
        <f>IF($A2199="","",$F2199&amp;"")</f>
        <v/>
      </c>
    </row>
    <row r="2200">
      <c r="A2200" s="75" t="n">
        <v>2025</v>
      </c>
      <c r="B2200" s="75" t="n">
        <v>12</v>
      </c>
      <c r="C2200" s="75" t="inlineStr">
        <is>
          <t>5100002196</t>
        </is>
      </c>
      <c r="D2200" s="78" t="n">
        <v>45999</v>
      </c>
      <c r="E2200" s="75" t="inlineStr">
        <is>
          <t>KR</t>
        </is>
      </c>
      <c r="F2200" s="75" t="n">
        <v>62902000</v>
      </c>
      <c r="G2200" s="75" t="n">
        <v>1801</v>
      </c>
      <c r="H2200" s="76" t="n">
        <v>1841000</v>
      </c>
      <c r="I2200" s="75" t="inlineStr">
        <is>
          <t>12월 콜 위탁 수수료(건별)</t>
        </is>
      </c>
      <c r="J2200" s="75" t="inlineStr">
        <is>
          <t>V10013</t>
        </is>
      </c>
      <c r="K2200" s="75" t="inlineStr">
        <is>
          <t>J콜센터</t>
        </is>
      </c>
      <c r="M2200" s="9">
        <f>IF($A2200="","",VALUE($A2200&amp;"")*12+VALUE($B2200&amp;""))</f>
        <v/>
      </c>
      <c r="N2200" s="39">
        <f>IF($A2200="","",IFERROR(INDEX(부서매핑!$C$5:$C$504,MATCH($G2200&amp;"",부서매핑!$A$5:$A$504,0)),"미매핑"))</f>
        <v/>
      </c>
      <c r="O2200" s="9">
        <f>IF($A2200="","",N2200&amp;"|"&amp;$F2200)</f>
        <v/>
      </c>
      <c r="P2200" s="77">
        <f>IF($A2200="",0,$H2200*설정!$C$23)</f>
        <v/>
      </c>
      <c r="Q2200" s="39">
        <f>IF($A2200="","",IF(O2200&lt;&gt;원인분석!$C$9,"",IF(AND(M2200&gt;=원인분석!$C$10,M2200&lt;=원인분석!$C$11),"당기",IF(AND(M2200&gt;=원인분석!$C$12,M2200&lt;=원인분석!$C$13),"비교",""))))</f>
        <v/>
      </c>
      <c r="R2200" s="9">
        <f>IF(Q2200="","",$K2200&amp;"")</f>
        <v/>
      </c>
      <c r="S2200" s="9">
        <f>IF(Q2200="","",IF(MATCH(R2200,$R$5:$R$100000,0)=ROW()-4,ROW(),""))</f>
        <v/>
      </c>
      <c r="T2200" s="9">
        <f>IF(Q2200="당기",ABS(P2200)+ROW()/1000000000,"")</f>
        <v/>
      </c>
      <c r="U2200" s="9">
        <f>IF(Q2200="비교",ABS(P2200)+ROW()/1000000000,"")</f>
        <v/>
      </c>
      <c r="V2200" s="39">
        <f>IF($A2200="","",IF(COUNTIF(변동분석!$E$7:$E$506,O2200)&gt;0,"Y","N"))</f>
        <v/>
      </c>
      <c r="W2200" s="39">
        <f>IF($A2200="","",IFERROR(INDEX(계정매핑!$D$5:$D$504,MATCH($F2200&amp;"",계정매핑!$A$5:$A$504,0)),"미매핑"))</f>
        <v/>
      </c>
      <c r="X2200" s="9">
        <f>IF($A2200="","",$F2200&amp;"")</f>
        <v/>
      </c>
    </row>
    <row r="2201">
      <c r="A2201" s="75" t="n">
        <v>2025</v>
      </c>
      <c r="B2201" s="75" t="n">
        <v>12</v>
      </c>
      <c r="C2201" s="75" t="inlineStr">
        <is>
          <t>5100002197</t>
        </is>
      </c>
      <c r="D2201" s="78" t="n">
        <v>45999</v>
      </c>
      <c r="E2201" s="75" t="inlineStr">
        <is>
          <t>KR</t>
        </is>
      </c>
      <c r="F2201" s="75" t="n">
        <v>62902000</v>
      </c>
      <c r="G2201" s="75" t="n">
        <v>1801</v>
      </c>
      <c r="H2201" s="76" t="n">
        <v>1838000</v>
      </c>
      <c r="I2201" s="75" t="inlineStr">
        <is>
          <t>12월 콜 위탁 수수료(건별)</t>
        </is>
      </c>
      <c r="J2201" s="75" t="inlineStr">
        <is>
          <t>V10013</t>
        </is>
      </c>
      <c r="K2201" s="75" t="inlineStr">
        <is>
          <t>J콜센터</t>
        </is>
      </c>
      <c r="M2201" s="9">
        <f>IF($A2201="","",VALUE($A2201&amp;"")*12+VALUE($B2201&amp;""))</f>
        <v/>
      </c>
      <c r="N2201" s="39">
        <f>IF($A2201="","",IFERROR(INDEX(부서매핑!$C$5:$C$504,MATCH($G2201&amp;"",부서매핑!$A$5:$A$504,0)),"미매핑"))</f>
        <v/>
      </c>
      <c r="O2201" s="9">
        <f>IF($A2201="","",N2201&amp;"|"&amp;$F2201)</f>
        <v/>
      </c>
      <c r="P2201" s="77">
        <f>IF($A2201="",0,$H2201*설정!$C$23)</f>
        <v/>
      </c>
      <c r="Q2201" s="39">
        <f>IF($A2201="","",IF(O2201&lt;&gt;원인분석!$C$9,"",IF(AND(M2201&gt;=원인분석!$C$10,M2201&lt;=원인분석!$C$11),"당기",IF(AND(M2201&gt;=원인분석!$C$12,M2201&lt;=원인분석!$C$13),"비교",""))))</f>
        <v/>
      </c>
      <c r="R2201" s="9">
        <f>IF(Q2201="","",$K2201&amp;"")</f>
        <v/>
      </c>
      <c r="S2201" s="9">
        <f>IF(Q2201="","",IF(MATCH(R2201,$R$5:$R$100000,0)=ROW()-4,ROW(),""))</f>
        <v/>
      </c>
      <c r="T2201" s="9">
        <f>IF(Q2201="당기",ABS(P2201)+ROW()/1000000000,"")</f>
        <v/>
      </c>
      <c r="U2201" s="9">
        <f>IF(Q2201="비교",ABS(P2201)+ROW()/1000000000,"")</f>
        <v/>
      </c>
      <c r="V2201" s="39">
        <f>IF($A2201="","",IF(COUNTIF(변동분석!$E$7:$E$506,O2201)&gt;0,"Y","N"))</f>
        <v/>
      </c>
      <c r="W2201" s="39">
        <f>IF($A2201="","",IFERROR(INDEX(계정매핑!$D$5:$D$504,MATCH($F2201&amp;"",계정매핑!$A$5:$A$504,0)),"미매핑"))</f>
        <v/>
      </c>
      <c r="X2201" s="9">
        <f>IF($A2201="","",$F2201&amp;"")</f>
        <v/>
      </c>
    </row>
    <row r="2202">
      <c r="A2202" s="75" t="n">
        <v>2025</v>
      </c>
      <c r="B2202" s="75" t="n">
        <v>12</v>
      </c>
      <c r="C2202" s="75" t="inlineStr">
        <is>
          <t>5100002198</t>
        </is>
      </c>
      <c r="D2202" s="78" t="n">
        <v>46000</v>
      </c>
      <c r="E2202" s="75" t="inlineStr">
        <is>
          <t>KR</t>
        </is>
      </c>
      <c r="F2202" s="75" t="n">
        <v>62101000</v>
      </c>
      <c r="G2202" s="75" t="n">
        <v>1301</v>
      </c>
      <c r="H2202" s="76" t="n">
        <v>295000</v>
      </c>
      <c r="I2202" s="75" t="inlineStr">
        <is>
          <t>12월 국내출장 - (법인카드)</t>
        </is>
      </c>
      <c r="J2202" s="75" t="inlineStr">
        <is>
          <t>V10008</t>
        </is>
      </c>
      <c r="K2202" s="75" t="inlineStr">
        <is>
          <t>(법인카드)</t>
        </is>
      </c>
      <c r="M2202" s="9">
        <f>IF($A2202="","",VALUE($A2202&amp;"")*12+VALUE($B2202&amp;""))</f>
        <v/>
      </c>
      <c r="N2202" s="39">
        <f>IF($A2202="","",IFERROR(INDEX(부서매핑!$C$5:$C$504,MATCH($G2202&amp;"",부서매핑!$A$5:$A$504,0)),"미매핑"))</f>
        <v/>
      </c>
      <c r="O2202" s="9">
        <f>IF($A2202="","",N2202&amp;"|"&amp;$F2202)</f>
        <v/>
      </c>
      <c r="P2202" s="77">
        <f>IF($A2202="",0,$H2202*설정!$C$23)</f>
        <v/>
      </c>
      <c r="Q2202" s="39">
        <f>IF($A2202="","",IF(O2202&lt;&gt;원인분석!$C$9,"",IF(AND(M2202&gt;=원인분석!$C$10,M2202&lt;=원인분석!$C$11),"당기",IF(AND(M2202&gt;=원인분석!$C$12,M2202&lt;=원인분석!$C$13),"비교",""))))</f>
        <v/>
      </c>
      <c r="R2202" s="9">
        <f>IF(Q2202="","",$K2202&amp;"")</f>
        <v/>
      </c>
      <c r="S2202" s="9">
        <f>IF(Q2202="","",IF(MATCH(R2202,$R$5:$R$100000,0)=ROW()-4,ROW(),""))</f>
        <v/>
      </c>
      <c r="T2202" s="9">
        <f>IF(Q2202="당기",ABS(P2202)+ROW()/1000000000,"")</f>
        <v/>
      </c>
      <c r="U2202" s="9">
        <f>IF(Q2202="비교",ABS(P2202)+ROW()/1000000000,"")</f>
        <v/>
      </c>
      <c r="V2202" s="39">
        <f>IF($A2202="","",IF(COUNTIF(변동분석!$E$7:$E$506,O2202)&gt;0,"Y","N"))</f>
        <v/>
      </c>
      <c r="W2202" s="39">
        <f>IF($A2202="","",IFERROR(INDEX(계정매핑!$D$5:$D$504,MATCH($F2202&amp;"",계정매핑!$A$5:$A$504,0)),"미매핑"))</f>
        <v/>
      </c>
      <c r="X2202" s="9">
        <f>IF($A2202="","",$F2202&amp;"")</f>
        <v/>
      </c>
    </row>
    <row r="2203">
      <c r="A2203" s="75" t="n">
        <v>2025</v>
      </c>
      <c r="B2203" s="75" t="n">
        <v>12</v>
      </c>
      <c r="C2203" s="75" t="inlineStr">
        <is>
          <t>5100002199</t>
        </is>
      </c>
      <c r="D2203" s="78" t="n">
        <v>46000</v>
      </c>
      <c r="E2203" s="75" t="inlineStr">
        <is>
          <t>KR</t>
        </is>
      </c>
      <c r="F2203" s="75" t="n">
        <v>62201000</v>
      </c>
      <c r="G2203" s="75" t="n">
        <v>1201</v>
      </c>
      <c r="H2203" s="76" t="n">
        <v>194000</v>
      </c>
      <c r="I2203" s="75" t="inlineStr">
        <is>
          <t>12월 통신요금 - P통신</t>
        </is>
      </c>
      <c r="J2203" s="75" t="inlineStr">
        <is>
          <t>V10011</t>
        </is>
      </c>
      <c r="K2203" s="75" t="inlineStr">
        <is>
          <t>P통신</t>
        </is>
      </c>
      <c r="M2203" s="9">
        <f>IF($A2203="","",VALUE($A2203&amp;"")*12+VALUE($B2203&amp;""))</f>
        <v/>
      </c>
      <c r="N2203" s="39">
        <f>IF($A2203="","",IFERROR(INDEX(부서매핑!$C$5:$C$504,MATCH($G2203&amp;"",부서매핑!$A$5:$A$504,0)),"미매핑"))</f>
        <v/>
      </c>
      <c r="O2203" s="9">
        <f>IF($A2203="","",N2203&amp;"|"&amp;$F2203)</f>
        <v/>
      </c>
      <c r="P2203" s="77">
        <f>IF($A2203="",0,$H2203*설정!$C$23)</f>
        <v/>
      </c>
      <c r="Q2203" s="39">
        <f>IF($A2203="","",IF(O2203&lt;&gt;원인분석!$C$9,"",IF(AND(M2203&gt;=원인분석!$C$10,M2203&lt;=원인분석!$C$11),"당기",IF(AND(M2203&gt;=원인분석!$C$12,M2203&lt;=원인분석!$C$13),"비교",""))))</f>
        <v/>
      </c>
      <c r="R2203" s="9">
        <f>IF(Q2203="","",$K2203&amp;"")</f>
        <v/>
      </c>
      <c r="S2203" s="9">
        <f>IF(Q2203="","",IF(MATCH(R2203,$R$5:$R$100000,0)=ROW()-4,ROW(),""))</f>
        <v/>
      </c>
      <c r="T2203" s="9">
        <f>IF(Q2203="당기",ABS(P2203)+ROW()/1000000000,"")</f>
        <v/>
      </c>
      <c r="U2203" s="9">
        <f>IF(Q2203="비교",ABS(P2203)+ROW()/1000000000,"")</f>
        <v/>
      </c>
      <c r="V2203" s="39">
        <f>IF($A2203="","",IF(COUNTIF(변동분석!$E$7:$E$506,O2203)&gt;0,"Y","N"))</f>
        <v/>
      </c>
      <c r="W2203" s="39">
        <f>IF($A2203="","",IFERROR(INDEX(계정매핑!$D$5:$D$504,MATCH($F2203&amp;"",계정매핑!$A$5:$A$504,0)),"미매핑"))</f>
        <v/>
      </c>
      <c r="X2203" s="9">
        <f>IF($A2203="","",$F2203&amp;"")</f>
        <v/>
      </c>
    </row>
    <row r="2204">
      <c r="A2204" s="75" t="n">
        <v>2025</v>
      </c>
      <c r="B2204" s="75" t="n">
        <v>12</v>
      </c>
      <c r="C2204" s="75" t="inlineStr">
        <is>
          <t>5100002200</t>
        </is>
      </c>
      <c r="D2204" s="78" t="n">
        <v>46000</v>
      </c>
      <c r="E2204" s="75" t="inlineStr">
        <is>
          <t>KR</t>
        </is>
      </c>
      <c r="F2204" s="75" t="n">
        <v>62301000</v>
      </c>
      <c r="G2204" s="75" t="n">
        <v>1501</v>
      </c>
      <c r="H2204" s="76" t="n">
        <v>241000</v>
      </c>
      <c r="I2204" s="75" t="inlineStr">
        <is>
          <t>12월 소모품 구입 - R문구</t>
        </is>
      </c>
      <c r="J2204" s="75" t="inlineStr">
        <is>
          <t>V10018</t>
        </is>
      </c>
      <c r="K2204" s="75" t="inlineStr">
        <is>
          <t>R문구</t>
        </is>
      </c>
      <c r="M2204" s="9">
        <f>IF($A2204="","",VALUE($A2204&amp;"")*12+VALUE($B2204&amp;""))</f>
        <v/>
      </c>
      <c r="N2204" s="39">
        <f>IF($A2204="","",IFERROR(INDEX(부서매핑!$C$5:$C$504,MATCH($G2204&amp;"",부서매핑!$A$5:$A$504,0)),"미매핑"))</f>
        <v/>
      </c>
      <c r="O2204" s="9">
        <f>IF($A2204="","",N2204&amp;"|"&amp;$F2204)</f>
        <v/>
      </c>
      <c r="P2204" s="77">
        <f>IF($A2204="",0,$H2204*설정!$C$23)</f>
        <v/>
      </c>
      <c r="Q2204" s="39">
        <f>IF($A2204="","",IF(O2204&lt;&gt;원인분석!$C$9,"",IF(AND(M2204&gt;=원인분석!$C$10,M2204&lt;=원인분석!$C$11),"당기",IF(AND(M2204&gt;=원인분석!$C$12,M2204&lt;=원인분석!$C$13),"비교",""))))</f>
        <v/>
      </c>
      <c r="R2204" s="9">
        <f>IF(Q2204="","",$K2204&amp;"")</f>
        <v/>
      </c>
      <c r="S2204" s="9">
        <f>IF(Q2204="","",IF(MATCH(R2204,$R$5:$R$100000,0)=ROW()-4,ROW(),""))</f>
        <v/>
      </c>
      <c r="T2204" s="9">
        <f>IF(Q2204="당기",ABS(P2204)+ROW()/1000000000,"")</f>
        <v/>
      </c>
      <c r="U2204" s="9">
        <f>IF(Q2204="비교",ABS(P2204)+ROW()/1000000000,"")</f>
        <v/>
      </c>
      <c r="V2204" s="39">
        <f>IF($A2204="","",IF(COUNTIF(변동분석!$E$7:$E$506,O2204)&gt;0,"Y","N"))</f>
        <v/>
      </c>
      <c r="W2204" s="39">
        <f>IF($A2204="","",IFERROR(INDEX(계정매핑!$D$5:$D$504,MATCH($F2204&amp;"",계정매핑!$A$5:$A$504,0)),"미매핑"))</f>
        <v/>
      </c>
      <c r="X2204" s="9">
        <f>IF($A2204="","",$F2204&amp;"")</f>
        <v/>
      </c>
    </row>
    <row r="2205">
      <c r="A2205" s="75" t="n">
        <v>2025</v>
      </c>
      <c r="B2205" s="75" t="n">
        <v>12</v>
      </c>
      <c r="C2205" s="75" t="inlineStr">
        <is>
          <t>5100002201</t>
        </is>
      </c>
      <c r="D2205" s="78" t="n">
        <v>46001</v>
      </c>
      <c r="E2205" s="75" t="inlineStr">
        <is>
          <t>KR</t>
        </is>
      </c>
      <c r="F2205" s="75" t="n">
        <v>62101000</v>
      </c>
      <c r="G2205" s="75" t="n">
        <v>1201</v>
      </c>
      <c r="H2205" s="76" t="n">
        <v>341000</v>
      </c>
      <c r="I2205" s="75" t="inlineStr">
        <is>
          <t>12월 국내출장 - M항공</t>
        </is>
      </c>
      <c r="J2205" s="75" t="inlineStr">
        <is>
          <t>V10001</t>
        </is>
      </c>
      <c r="K2205" s="75" t="inlineStr">
        <is>
          <t>M항공</t>
        </is>
      </c>
      <c r="M2205" s="9">
        <f>IF($A2205="","",VALUE($A2205&amp;"")*12+VALUE($B2205&amp;""))</f>
        <v/>
      </c>
      <c r="N2205" s="39">
        <f>IF($A2205="","",IFERROR(INDEX(부서매핑!$C$5:$C$504,MATCH($G2205&amp;"",부서매핑!$A$5:$A$504,0)),"미매핑"))</f>
        <v/>
      </c>
      <c r="O2205" s="9">
        <f>IF($A2205="","",N2205&amp;"|"&amp;$F2205)</f>
        <v/>
      </c>
      <c r="P2205" s="77">
        <f>IF($A2205="",0,$H2205*설정!$C$23)</f>
        <v/>
      </c>
      <c r="Q2205" s="39">
        <f>IF($A2205="","",IF(O2205&lt;&gt;원인분석!$C$9,"",IF(AND(M2205&gt;=원인분석!$C$10,M2205&lt;=원인분석!$C$11),"당기",IF(AND(M2205&gt;=원인분석!$C$12,M2205&lt;=원인분석!$C$13),"비교",""))))</f>
        <v/>
      </c>
      <c r="R2205" s="9">
        <f>IF(Q2205="","",$K2205&amp;"")</f>
        <v/>
      </c>
      <c r="S2205" s="9">
        <f>IF(Q2205="","",IF(MATCH(R2205,$R$5:$R$100000,0)=ROW()-4,ROW(),""))</f>
        <v/>
      </c>
      <c r="T2205" s="9">
        <f>IF(Q2205="당기",ABS(P2205)+ROW()/1000000000,"")</f>
        <v/>
      </c>
      <c r="U2205" s="9">
        <f>IF(Q2205="비교",ABS(P2205)+ROW()/1000000000,"")</f>
        <v/>
      </c>
      <c r="V2205" s="39">
        <f>IF($A2205="","",IF(COUNTIF(변동분석!$E$7:$E$506,O2205)&gt;0,"Y","N"))</f>
        <v/>
      </c>
      <c r="W2205" s="39">
        <f>IF($A2205="","",IFERROR(INDEX(계정매핑!$D$5:$D$504,MATCH($F2205&amp;"",계정매핑!$A$5:$A$504,0)),"미매핑"))</f>
        <v/>
      </c>
      <c r="X2205" s="9">
        <f>IF($A2205="","",$F2205&amp;"")</f>
        <v/>
      </c>
    </row>
    <row r="2206">
      <c r="A2206" s="75" t="n">
        <v>2025</v>
      </c>
      <c r="B2206" s="75" t="n">
        <v>12</v>
      </c>
      <c r="C2206" s="75" t="inlineStr">
        <is>
          <t>5100002202</t>
        </is>
      </c>
      <c r="D2206" s="78" t="n">
        <v>46001</v>
      </c>
      <c r="E2206" s="75" t="inlineStr">
        <is>
          <t>KR</t>
        </is>
      </c>
      <c r="F2206" s="75" t="n">
        <v>62102000</v>
      </c>
      <c r="G2206" s="75" t="n">
        <v>1301</v>
      </c>
      <c r="H2206" s="76" t="n">
        <v>64000</v>
      </c>
      <c r="I2206" s="75" t="inlineStr">
        <is>
          <t>12월 해외출장 - M항공</t>
        </is>
      </c>
      <c r="J2206" s="75" t="inlineStr">
        <is>
          <t>V10001</t>
        </is>
      </c>
      <c r="K2206" s="75" t="inlineStr">
        <is>
          <t>M항공</t>
        </is>
      </c>
      <c r="M2206" s="9">
        <f>IF($A2206="","",VALUE($A2206&amp;"")*12+VALUE($B2206&amp;""))</f>
        <v/>
      </c>
      <c r="N2206" s="39">
        <f>IF($A2206="","",IFERROR(INDEX(부서매핑!$C$5:$C$504,MATCH($G2206&amp;"",부서매핑!$A$5:$A$504,0)),"미매핑"))</f>
        <v/>
      </c>
      <c r="O2206" s="9">
        <f>IF($A2206="","",N2206&amp;"|"&amp;$F2206)</f>
        <v/>
      </c>
      <c r="P2206" s="77">
        <f>IF($A2206="",0,$H2206*설정!$C$23)</f>
        <v/>
      </c>
      <c r="Q2206" s="39">
        <f>IF($A2206="","",IF(O2206&lt;&gt;원인분석!$C$9,"",IF(AND(M2206&gt;=원인분석!$C$10,M2206&lt;=원인분석!$C$11),"당기",IF(AND(M2206&gt;=원인분석!$C$12,M2206&lt;=원인분석!$C$13),"비교",""))))</f>
        <v/>
      </c>
      <c r="R2206" s="9">
        <f>IF(Q2206="","",$K2206&amp;"")</f>
        <v/>
      </c>
      <c r="S2206" s="9">
        <f>IF(Q2206="","",IF(MATCH(R2206,$R$5:$R$100000,0)=ROW()-4,ROW(),""))</f>
        <v/>
      </c>
      <c r="T2206" s="9">
        <f>IF(Q2206="당기",ABS(P2206)+ROW()/1000000000,"")</f>
        <v/>
      </c>
      <c r="U2206" s="9">
        <f>IF(Q2206="비교",ABS(P2206)+ROW()/1000000000,"")</f>
        <v/>
      </c>
      <c r="V2206" s="39">
        <f>IF($A2206="","",IF(COUNTIF(변동분석!$E$7:$E$506,O2206)&gt;0,"Y","N"))</f>
        <v/>
      </c>
      <c r="W2206" s="39">
        <f>IF($A2206="","",IFERROR(INDEX(계정매핑!$D$5:$D$504,MATCH($F2206&amp;"",계정매핑!$A$5:$A$504,0)),"미매핑"))</f>
        <v/>
      </c>
      <c r="X2206" s="9">
        <f>IF($A2206="","",$F2206&amp;"")</f>
        <v/>
      </c>
    </row>
    <row r="2207">
      <c r="A2207" s="75" t="n">
        <v>2025</v>
      </c>
      <c r="B2207" s="75" t="n">
        <v>12</v>
      </c>
      <c r="C2207" s="75" t="inlineStr">
        <is>
          <t>5100002203</t>
        </is>
      </c>
      <c r="D2207" s="78" t="n">
        <v>46001</v>
      </c>
      <c r="E2207" s="75" t="inlineStr">
        <is>
          <t>KR</t>
        </is>
      </c>
      <c r="F2207" s="75" t="n">
        <v>62902000</v>
      </c>
      <c r="G2207" s="75" t="n">
        <v>1801</v>
      </c>
      <c r="H2207" s="76" t="n">
        <v>1836000</v>
      </c>
      <c r="I2207" s="75" t="inlineStr">
        <is>
          <t>12월 콜 위탁 수수료(건별)</t>
        </is>
      </c>
      <c r="J2207" s="75" t="inlineStr">
        <is>
          <t>V10013</t>
        </is>
      </c>
      <c r="K2207" s="75" t="inlineStr">
        <is>
          <t>J콜센터</t>
        </is>
      </c>
      <c r="M2207" s="9">
        <f>IF($A2207="","",VALUE($A2207&amp;"")*12+VALUE($B2207&amp;""))</f>
        <v/>
      </c>
      <c r="N2207" s="39">
        <f>IF($A2207="","",IFERROR(INDEX(부서매핑!$C$5:$C$504,MATCH($G2207&amp;"",부서매핑!$A$5:$A$504,0)),"미매핑"))</f>
        <v/>
      </c>
      <c r="O2207" s="9">
        <f>IF($A2207="","",N2207&amp;"|"&amp;$F2207)</f>
        <v/>
      </c>
      <c r="P2207" s="77">
        <f>IF($A2207="",0,$H2207*설정!$C$23)</f>
        <v/>
      </c>
      <c r="Q2207" s="39">
        <f>IF($A2207="","",IF(O2207&lt;&gt;원인분석!$C$9,"",IF(AND(M2207&gt;=원인분석!$C$10,M2207&lt;=원인분석!$C$11),"당기",IF(AND(M2207&gt;=원인분석!$C$12,M2207&lt;=원인분석!$C$13),"비교",""))))</f>
        <v/>
      </c>
      <c r="R2207" s="9">
        <f>IF(Q2207="","",$K2207&amp;"")</f>
        <v/>
      </c>
      <c r="S2207" s="9">
        <f>IF(Q2207="","",IF(MATCH(R2207,$R$5:$R$100000,0)=ROW()-4,ROW(),""))</f>
        <v/>
      </c>
      <c r="T2207" s="9">
        <f>IF(Q2207="당기",ABS(P2207)+ROW()/1000000000,"")</f>
        <v/>
      </c>
      <c r="U2207" s="9">
        <f>IF(Q2207="비교",ABS(P2207)+ROW()/1000000000,"")</f>
        <v/>
      </c>
      <c r="V2207" s="39">
        <f>IF($A2207="","",IF(COUNTIF(변동분석!$E$7:$E$506,O2207)&gt;0,"Y","N"))</f>
        <v/>
      </c>
      <c r="W2207" s="39">
        <f>IF($A2207="","",IFERROR(INDEX(계정매핑!$D$5:$D$504,MATCH($F2207&amp;"",계정매핑!$A$5:$A$504,0)),"미매핑"))</f>
        <v/>
      </c>
      <c r="X2207" s="9">
        <f>IF($A2207="","",$F2207&amp;"")</f>
        <v/>
      </c>
    </row>
    <row r="2208">
      <c r="A2208" s="75" t="n">
        <v>2025</v>
      </c>
      <c r="B2208" s="75" t="n">
        <v>12</v>
      </c>
      <c r="C2208" s="75" t="inlineStr">
        <is>
          <t>5100002204</t>
        </is>
      </c>
      <c r="D2208" s="78" t="n">
        <v>46001</v>
      </c>
      <c r="E2208" s="75" t="inlineStr">
        <is>
          <t>KR</t>
        </is>
      </c>
      <c r="F2208" s="75" t="n">
        <v>62902000</v>
      </c>
      <c r="G2208" s="75" t="n">
        <v>1801</v>
      </c>
      <c r="H2208" s="76" t="n">
        <v>1823000</v>
      </c>
      <c r="I2208" s="75" t="inlineStr">
        <is>
          <t>12월 콜 위탁 수수료(건별)</t>
        </is>
      </c>
      <c r="J2208" s="75" t="inlineStr">
        <is>
          <t>V10013</t>
        </is>
      </c>
      <c r="K2208" s="75" t="inlineStr">
        <is>
          <t>J콜센터</t>
        </is>
      </c>
      <c r="M2208" s="9">
        <f>IF($A2208="","",VALUE($A2208&amp;"")*12+VALUE($B2208&amp;""))</f>
        <v/>
      </c>
      <c r="N2208" s="39">
        <f>IF($A2208="","",IFERROR(INDEX(부서매핑!$C$5:$C$504,MATCH($G2208&amp;"",부서매핑!$A$5:$A$504,0)),"미매핑"))</f>
        <v/>
      </c>
      <c r="O2208" s="9">
        <f>IF($A2208="","",N2208&amp;"|"&amp;$F2208)</f>
        <v/>
      </c>
      <c r="P2208" s="77">
        <f>IF($A2208="",0,$H2208*설정!$C$23)</f>
        <v/>
      </c>
      <c r="Q2208" s="39">
        <f>IF($A2208="","",IF(O2208&lt;&gt;원인분석!$C$9,"",IF(AND(M2208&gt;=원인분석!$C$10,M2208&lt;=원인분석!$C$11),"당기",IF(AND(M2208&gt;=원인분석!$C$12,M2208&lt;=원인분석!$C$13),"비교",""))))</f>
        <v/>
      </c>
      <c r="R2208" s="9">
        <f>IF(Q2208="","",$K2208&amp;"")</f>
        <v/>
      </c>
      <c r="S2208" s="9">
        <f>IF(Q2208="","",IF(MATCH(R2208,$R$5:$R$100000,0)=ROW()-4,ROW(),""))</f>
        <v/>
      </c>
      <c r="T2208" s="9">
        <f>IF(Q2208="당기",ABS(P2208)+ROW()/1000000000,"")</f>
        <v/>
      </c>
      <c r="U2208" s="9">
        <f>IF(Q2208="비교",ABS(P2208)+ROW()/1000000000,"")</f>
        <v/>
      </c>
      <c r="V2208" s="39">
        <f>IF($A2208="","",IF(COUNTIF(변동분석!$E$7:$E$506,O2208)&gt;0,"Y","N"))</f>
        <v/>
      </c>
      <c r="W2208" s="39">
        <f>IF($A2208="","",IFERROR(INDEX(계정매핑!$D$5:$D$504,MATCH($F2208&amp;"",계정매핑!$A$5:$A$504,0)),"미매핑"))</f>
        <v/>
      </c>
      <c r="X2208" s="9">
        <f>IF($A2208="","",$F2208&amp;"")</f>
        <v/>
      </c>
    </row>
    <row r="2209">
      <c r="A2209" s="75" t="n">
        <v>2025</v>
      </c>
      <c r="B2209" s="75" t="n">
        <v>12</v>
      </c>
      <c r="C2209" s="75" t="inlineStr">
        <is>
          <t>5100002205</t>
        </is>
      </c>
      <c r="D2209" s="78" t="n">
        <v>46002</v>
      </c>
      <c r="E2209" s="75" t="inlineStr">
        <is>
          <t>KR</t>
        </is>
      </c>
      <c r="F2209" s="75" t="n">
        <v>62101000</v>
      </c>
      <c r="G2209" s="75" t="n">
        <v>1501</v>
      </c>
      <c r="H2209" s="76" t="n">
        <v>744000</v>
      </c>
      <c r="I2209" s="75" t="inlineStr">
        <is>
          <t>12월 국내출장 - L여행사</t>
        </is>
      </c>
      <c r="J2209" s="75" t="inlineStr">
        <is>
          <t>V10014</t>
        </is>
      </c>
      <c r="K2209" s="75" t="inlineStr">
        <is>
          <t>L여행사</t>
        </is>
      </c>
      <c r="M2209" s="9">
        <f>IF($A2209="","",VALUE($A2209&amp;"")*12+VALUE($B2209&amp;""))</f>
        <v/>
      </c>
      <c r="N2209" s="39">
        <f>IF($A2209="","",IFERROR(INDEX(부서매핑!$C$5:$C$504,MATCH($G2209&amp;"",부서매핑!$A$5:$A$504,0)),"미매핑"))</f>
        <v/>
      </c>
      <c r="O2209" s="9">
        <f>IF($A2209="","",N2209&amp;"|"&amp;$F2209)</f>
        <v/>
      </c>
      <c r="P2209" s="77">
        <f>IF($A2209="",0,$H2209*설정!$C$23)</f>
        <v/>
      </c>
      <c r="Q2209" s="39">
        <f>IF($A2209="","",IF(O2209&lt;&gt;원인분석!$C$9,"",IF(AND(M2209&gt;=원인분석!$C$10,M2209&lt;=원인분석!$C$11),"당기",IF(AND(M2209&gt;=원인분석!$C$12,M2209&lt;=원인분석!$C$13),"비교",""))))</f>
        <v/>
      </c>
      <c r="R2209" s="9">
        <f>IF(Q2209="","",$K2209&amp;"")</f>
        <v/>
      </c>
      <c r="S2209" s="9">
        <f>IF(Q2209="","",IF(MATCH(R2209,$R$5:$R$100000,0)=ROW()-4,ROW(),""))</f>
        <v/>
      </c>
      <c r="T2209" s="9">
        <f>IF(Q2209="당기",ABS(P2209)+ROW()/1000000000,"")</f>
        <v/>
      </c>
      <c r="U2209" s="9">
        <f>IF(Q2209="비교",ABS(P2209)+ROW()/1000000000,"")</f>
        <v/>
      </c>
      <c r="V2209" s="39">
        <f>IF($A2209="","",IF(COUNTIF(변동분석!$E$7:$E$506,O2209)&gt;0,"Y","N"))</f>
        <v/>
      </c>
      <c r="W2209" s="39">
        <f>IF($A2209="","",IFERROR(INDEX(계정매핑!$D$5:$D$504,MATCH($F2209&amp;"",계정매핑!$A$5:$A$504,0)),"미매핑"))</f>
        <v/>
      </c>
      <c r="X2209" s="9">
        <f>IF($A2209="","",$F2209&amp;"")</f>
        <v/>
      </c>
    </row>
    <row r="2210">
      <c r="A2210" s="75" t="n">
        <v>2025</v>
      </c>
      <c r="B2210" s="75" t="n">
        <v>12</v>
      </c>
      <c r="C2210" s="75" t="inlineStr">
        <is>
          <t>5100002206</t>
        </is>
      </c>
      <c r="D2210" s="78" t="n">
        <v>46002</v>
      </c>
      <c r="E2210" s="75" t="inlineStr">
        <is>
          <t>KR</t>
        </is>
      </c>
      <c r="F2210" s="75" t="n">
        <v>62101000</v>
      </c>
      <c r="G2210" s="75" t="n">
        <v>1502</v>
      </c>
      <c r="H2210" s="76" t="n">
        <v>672000</v>
      </c>
      <c r="I2210" s="75" t="inlineStr">
        <is>
          <t>12월 국내출장 - (법인카드)</t>
        </is>
      </c>
      <c r="J2210" s="75" t="inlineStr">
        <is>
          <t>V10008</t>
        </is>
      </c>
      <c r="K2210" s="75" t="inlineStr">
        <is>
          <t>(법인카드)</t>
        </is>
      </c>
      <c r="M2210" s="9">
        <f>IF($A2210="","",VALUE($A2210&amp;"")*12+VALUE($B2210&amp;""))</f>
        <v/>
      </c>
      <c r="N2210" s="39">
        <f>IF($A2210="","",IFERROR(INDEX(부서매핑!$C$5:$C$504,MATCH($G2210&amp;"",부서매핑!$A$5:$A$504,0)),"미매핑"))</f>
        <v/>
      </c>
      <c r="O2210" s="9">
        <f>IF($A2210="","",N2210&amp;"|"&amp;$F2210)</f>
        <v/>
      </c>
      <c r="P2210" s="77">
        <f>IF($A2210="",0,$H2210*설정!$C$23)</f>
        <v/>
      </c>
      <c r="Q2210" s="39">
        <f>IF($A2210="","",IF(O2210&lt;&gt;원인분석!$C$9,"",IF(AND(M2210&gt;=원인분석!$C$10,M2210&lt;=원인분석!$C$11),"당기",IF(AND(M2210&gt;=원인분석!$C$12,M2210&lt;=원인분석!$C$13),"비교",""))))</f>
        <v/>
      </c>
      <c r="R2210" s="9">
        <f>IF(Q2210="","",$K2210&amp;"")</f>
        <v/>
      </c>
      <c r="S2210" s="9">
        <f>IF(Q2210="","",IF(MATCH(R2210,$R$5:$R$100000,0)=ROW()-4,ROW(),""))</f>
        <v/>
      </c>
      <c r="T2210" s="9">
        <f>IF(Q2210="당기",ABS(P2210)+ROW()/1000000000,"")</f>
        <v/>
      </c>
      <c r="U2210" s="9">
        <f>IF(Q2210="비교",ABS(P2210)+ROW()/1000000000,"")</f>
        <v/>
      </c>
      <c r="V2210" s="39">
        <f>IF($A2210="","",IF(COUNTIF(변동분석!$E$7:$E$506,O2210)&gt;0,"Y","N"))</f>
        <v/>
      </c>
      <c r="W2210" s="39">
        <f>IF($A2210="","",IFERROR(INDEX(계정매핑!$D$5:$D$504,MATCH($F2210&amp;"",계정매핑!$A$5:$A$504,0)),"미매핑"))</f>
        <v/>
      </c>
      <c r="X2210" s="9">
        <f>IF($A2210="","",$F2210&amp;"")</f>
        <v/>
      </c>
    </row>
    <row r="2211">
      <c r="A2211" s="75" t="n">
        <v>2025</v>
      </c>
      <c r="B2211" s="75" t="n">
        <v>12</v>
      </c>
      <c r="C2211" s="75" t="inlineStr">
        <is>
          <t>5100002207</t>
        </is>
      </c>
      <c r="D2211" s="78" t="n">
        <v>46002</v>
      </c>
      <c r="E2211" s="75" t="inlineStr">
        <is>
          <t>KR</t>
        </is>
      </c>
      <c r="F2211" s="75" t="n">
        <v>62102000</v>
      </c>
      <c r="G2211" s="75" t="n">
        <v>1201</v>
      </c>
      <c r="H2211" s="76" t="n">
        <v>76000</v>
      </c>
      <c r="I2211" s="75" t="inlineStr">
        <is>
          <t>12월 해외출장 - M항공</t>
        </is>
      </c>
      <c r="J2211" s="75" t="inlineStr">
        <is>
          <t>V10001</t>
        </is>
      </c>
      <c r="K2211" s="75" t="inlineStr">
        <is>
          <t>M항공</t>
        </is>
      </c>
      <c r="M2211" s="9">
        <f>IF($A2211="","",VALUE($A2211&amp;"")*12+VALUE($B2211&amp;""))</f>
        <v/>
      </c>
      <c r="N2211" s="39">
        <f>IF($A2211="","",IFERROR(INDEX(부서매핑!$C$5:$C$504,MATCH($G2211&amp;"",부서매핑!$A$5:$A$504,0)),"미매핑"))</f>
        <v/>
      </c>
      <c r="O2211" s="9">
        <f>IF($A2211="","",N2211&amp;"|"&amp;$F2211)</f>
        <v/>
      </c>
      <c r="P2211" s="77">
        <f>IF($A2211="",0,$H2211*설정!$C$23)</f>
        <v/>
      </c>
      <c r="Q2211" s="39">
        <f>IF($A2211="","",IF(O2211&lt;&gt;원인분석!$C$9,"",IF(AND(M2211&gt;=원인분석!$C$10,M2211&lt;=원인분석!$C$11),"당기",IF(AND(M2211&gt;=원인분석!$C$12,M2211&lt;=원인분석!$C$13),"비교",""))))</f>
        <v/>
      </c>
      <c r="R2211" s="9">
        <f>IF(Q2211="","",$K2211&amp;"")</f>
        <v/>
      </c>
      <c r="S2211" s="9">
        <f>IF(Q2211="","",IF(MATCH(R2211,$R$5:$R$100000,0)=ROW()-4,ROW(),""))</f>
        <v/>
      </c>
      <c r="T2211" s="9">
        <f>IF(Q2211="당기",ABS(P2211)+ROW()/1000000000,"")</f>
        <v/>
      </c>
      <c r="U2211" s="9">
        <f>IF(Q2211="비교",ABS(P2211)+ROW()/1000000000,"")</f>
        <v/>
      </c>
      <c r="V2211" s="39">
        <f>IF($A2211="","",IF(COUNTIF(변동분석!$E$7:$E$506,O2211)&gt;0,"Y","N"))</f>
        <v/>
      </c>
      <c r="W2211" s="39">
        <f>IF($A2211="","",IFERROR(INDEX(계정매핑!$D$5:$D$504,MATCH($F2211&amp;"",계정매핑!$A$5:$A$504,0)),"미매핑"))</f>
        <v/>
      </c>
      <c r="X2211" s="9">
        <f>IF($A2211="","",$F2211&amp;"")</f>
        <v/>
      </c>
    </row>
    <row r="2212">
      <c r="A2212" s="75" t="n">
        <v>2025</v>
      </c>
      <c r="B2212" s="75" t="n">
        <v>12</v>
      </c>
      <c r="C2212" s="75" t="inlineStr">
        <is>
          <t>5100002208</t>
        </is>
      </c>
      <c r="D2212" s="78" t="n">
        <v>46002</v>
      </c>
      <c r="E2212" s="75" t="inlineStr">
        <is>
          <t>KR</t>
        </is>
      </c>
      <c r="F2212" s="75" t="n">
        <v>62201000</v>
      </c>
      <c r="G2212" s="75" t="n">
        <v>1101</v>
      </c>
      <c r="H2212" s="76" t="n">
        <v>239000</v>
      </c>
      <c r="I2212" s="75" t="inlineStr">
        <is>
          <t>12월 통신요금 - P통신</t>
        </is>
      </c>
      <c r="J2212" s="75" t="inlineStr">
        <is>
          <t>V10011</t>
        </is>
      </c>
      <c r="K2212" s="75" t="inlineStr">
        <is>
          <t>P통신</t>
        </is>
      </c>
      <c r="M2212" s="9">
        <f>IF($A2212="","",VALUE($A2212&amp;"")*12+VALUE($B2212&amp;""))</f>
        <v/>
      </c>
      <c r="N2212" s="39">
        <f>IF($A2212="","",IFERROR(INDEX(부서매핑!$C$5:$C$504,MATCH($G2212&amp;"",부서매핑!$A$5:$A$504,0)),"미매핑"))</f>
        <v/>
      </c>
      <c r="O2212" s="9">
        <f>IF($A2212="","",N2212&amp;"|"&amp;$F2212)</f>
        <v/>
      </c>
      <c r="P2212" s="77">
        <f>IF($A2212="",0,$H2212*설정!$C$23)</f>
        <v/>
      </c>
      <c r="Q2212" s="39">
        <f>IF($A2212="","",IF(O2212&lt;&gt;원인분석!$C$9,"",IF(AND(M2212&gt;=원인분석!$C$10,M2212&lt;=원인분석!$C$11),"당기",IF(AND(M2212&gt;=원인분석!$C$12,M2212&lt;=원인분석!$C$13),"비교",""))))</f>
        <v/>
      </c>
      <c r="R2212" s="9">
        <f>IF(Q2212="","",$K2212&amp;"")</f>
        <v/>
      </c>
      <c r="S2212" s="9">
        <f>IF(Q2212="","",IF(MATCH(R2212,$R$5:$R$100000,0)=ROW()-4,ROW(),""))</f>
        <v/>
      </c>
      <c r="T2212" s="9">
        <f>IF(Q2212="당기",ABS(P2212)+ROW()/1000000000,"")</f>
        <v/>
      </c>
      <c r="U2212" s="9">
        <f>IF(Q2212="비교",ABS(P2212)+ROW()/1000000000,"")</f>
        <v/>
      </c>
      <c r="V2212" s="39">
        <f>IF($A2212="","",IF(COUNTIF(변동분석!$E$7:$E$506,O2212)&gt;0,"Y","N"))</f>
        <v/>
      </c>
      <c r="W2212" s="39">
        <f>IF($A2212="","",IFERROR(INDEX(계정매핑!$D$5:$D$504,MATCH($F2212&amp;"",계정매핑!$A$5:$A$504,0)),"미매핑"))</f>
        <v/>
      </c>
      <c r="X2212" s="9">
        <f>IF($A2212="","",$F2212&amp;"")</f>
        <v/>
      </c>
    </row>
    <row r="2213">
      <c r="A2213" s="75" t="n">
        <v>2025</v>
      </c>
      <c r="B2213" s="75" t="n">
        <v>12</v>
      </c>
      <c r="C2213" s="75" t="inlineStr">
        <is>
          <t>5100002209</t>
        </is>
      </c>
      <c r="D2213" s="78" t="n">
        <v>46002</v>
      </c>
      <c r="E2213" s="75" t="inlineStr">
        <is>
          <t>KR</t>
        </is>
      </c>
      <c r="F2213" s="75" t="n">
        <v>62201000</v>
      </c>
      <c r="G2213" s="75" t="n">
        <v>1701</v>
      </c>
      <c r="H2213" s="76" t="n">
        <v>5617000</v>
      </c>
      <c r="I2213" s="75" t="inlineStr">
        <is>
          <t>12월 통신요금 - P통신</t>
        </is>
      </c>
      <c r="J2213" s="75" t="inlineStr">
        <is>
          <t>V10011</t>
        </is>
      </c>
      <c r="K2213" s="75" t="inlineStr">
        <is>
          <t>P통신</t>
        </is>
      </c>
      <c r="M2213" s="9">
        <f>IF($A2213="","",VALUE($A2213&amp;"")*12+VALUE($B2213&amp;""))</f>
        <v/>
      </c>
      <c r="N2213" s="39">
        <f>IF($A2213="","",IFERROR(INDEX(부서매핑!$C$5:$C$504,MATCH($G2213&amp;"",부서매핑!$A$5:$A$504,0)),"미매핑"))</f>
        <v/>
      </c>
      <c r="O2213" s="9">
        <f>IF($A2213="","",N2213&amp;"|"&amp;$F2213)</f>
        <v/>
      </c>
      <c r="P2213" s="77">
        <f>IF($A2213="",0,$H2213*설정!$C$23)</f>
        <v/>
      </c>
      <c r="Q2213" s="39">
        <f>IF($A2213="","",IF(O2213&lt;&gt;원인분석!$C$9,"",IF(AND(M2213&gt;=원인분석!$C$10,M2213&lt;=원인분석!$C$11),"당기",IF(AND(M2213&gt;=원인분석!$C$12,M2213&lt;=원인분석!$C$13),"비교",""))))</f>
        <v/>
      </c>
      <c r="R2213" s="9">
        <f>IF(Q2213="","",$K2213&amp;"")</f>
        <v/>
      </c>
      <c r="S2213" s="9">
        <f>IF(Q2213="","",IF(MATCH(R2213,$R$5:$R$100000,0)=ROW()-4,ROW(),""))</f>
        <v/>
      </c>
      <c r="T2213" s="9">
        <f>IF(Q2213="당기",ABS(P2213)+ROW()/1000000000,"")</f>
        <v/>
      </c>
      <c r="U2213" s="9">
        <f>IF(Q2213="비교",ABS(P2213)+ROW()/1000000000,"")</f>
        <v/>
      </c>
      <c r="V2213" s="39">
        <f>IF($A2213="","",IF(COUNTIF(변동분석!$E$7:$E$506,O2213)&gt;0,"Y","N"))</f>
        <v/>
      </c>
      <c r="W2213" s="39">
        <f>IF($A2213="","",IFERROR(INDEX(계정매핑!$D$5:$D$504,MATCH($F2213&amp;"",계정매핑!$A$5:$A$504,0)),"미매핑"))</f>
        <v/>
      </c>
      <c r="X2213" s="9">
        <f>IF($A2213="","",$F2213&amp;"")</f>
        <v/>
      </c>
    </row>
    <row r="2214">
      <c r="A2214" s="75" t="n">
        <v>2025</v>
      </c>
      <c r="B2214" s="75" t="n">
        <v>12</v>
      </c>
      <c r="C2214" s="75" t="inlineStr">
        <is>
          <t>5100002210</t>
        </is>
      </c>
      <c r="D2214" s="78" t="n">
        <v>46002</v>
      </c>
      <c r="E2214" s="75" t="inlineStr">
        <is>
          <t>KR</t>
        </is>
      </c>
      <c r="F2214" s="75" t="n">
        <v>62401000</v>
      </c>
      <c r="G2214" s="75" t="n">
        <v>1501</v>
      </c>
      <c r="H2214" s="76" t="n">
        <v>2419000</v>
      </c>
      <c r="I2214" s="75" t="inlineStr">
        <is>
          <t>12월 인쇄물 제작 - S출판</t>
        </is>
      </c>
      <c r="J2214" s="75" t="inlineStr">
        <is>
          <t>V10012</t>
        </is>
      </c>
      <c r="K2214" s="75" t="inlineStr">
        <is>
          <t>S출판</t>
        </is>
      </c>
      <c r="M2214" s="9">
        <f>IF($A2214="","",VALUE($A2214&amp;"")*12+VALUE($B2214&amp;""))</f>
        <v/>
      </c>
      <c r="N2214" s="39">
        <f>IF($A2214="","",IFERROR(INDEX(부서매핑!$C$5:$C$504,MATCH($G2214&amp;"",부서매핑!$A$5:$A$504,0)),"미매핑"))</f>
        <v/>
      </c>
      <c r="O2214" s="9">
        <f>IF($A2214="","",N2214&amp;"|"&amp;$F2214)</f>
        <v/>
      </c>
      <c r="P2214" s="77">
        <f>IF($A2214="",0,$H2214*설정!$C$23)</f>
        <v/>
      </c>
      <c r="Q2214" s="39">
        <f>IF($A2214="","",IF(O2214&lt;&gt;원인분석!$C$9,"",IF(AND(M2214&gt;=원인분석!$C$10,M2214&lt;=원인분석!$C$11),"당기",IF(AND(M2214&gt;=원인분석!$C$12,M2214&lt;=원인분석!$C$13),"비교",""))))</f>
        <v/>
      </c>
      <c r="R2214" s="9">
        <f>IF(Q2214="","",$K2214&amp;"")</f>
        <v/>
      </c>
      <c r="S2214" s="9">
        <f>IF(Q2214="","",IF(MATCH(R2214,$R$5:$R$100000,0)=ROW()-4,ROW(),""))</f>
        <v/>
      </c>
      <c r="T2214" s="9">
        <f>IF(Q2214="당기",ABS(P2214)+ROW()/1000000000,"")</f>
        <v/>
      </c>
      <c r="U2214" s="9">
        <f>IF(Q2214="비교",ABS(P2214)+ROW()/1000000000,"")</f>
        <v/>
      </c>
      <c r="V2214" s="39">
        <f>IF($A2214="","",IF(COUNTIF(변동분석!$E$7:$E$506,O2214)&gt;0,"Y","N"))</f>
        <v/>
      </c>
      <c r="W2214" s="39">
        <f>IF($A2214="","",IFERROR(INDEX(계정매핑!$D$5:$D$504,MATCH($F2214&amp;"",계정매핑!$A$5:$A$504,0)),"미매핑"))</f>
        <v/>
      </c>
      <c r="X2214" s="9">
        <f>IF($A2214="","",$F2214&amp;"")</f>
        <v/>
      </c>
    </row>
    <row r="2215">
      <c r="A2215" s="75" t="n">
        <v>2025</v>
      </c>
      <c r="B2215" s="75" t="n">
        <v>12</v>
      </c>
      <c r="C2215" s="75" t="inlineStr">
        <is>
          <t>5100002211</t>
        </is>
      </c>
      <c r="D2215" s="78" t="n">
        <v>46002</v>
      </c>
      <c r="E2215" s="75" t="inlineStr">
        <is>
          <t>KR</t>
        </is>
      </c>
      <c r="F2215" s="75" t="n">
        <v>62501000</v>
      </c>
      <c r="G2215" s="75" t="n">
        <v>1101</v>
      </c>
      <c r="H2215" s="76" t="n">
        <v>230000</v>
      </c>
      <c r="I2215" s="75" t="inlineStr">
        <is>
          <t>12월 회의 다과 - T케이터링</t>
        </is>
      </c>
      <c r="J2215" s="75" t="inlineStr">
        <is>
          <t>V10005</t>
        </is>
      </c>
      <c r="K2215" s="75" t="inlineStr">
        <is>
          <t>T케이터링</t>
        </is>
      </c>
      <c r="M2215" s="9">
        <f>IF($A2215="","",VALUE($A2215&amp;"")*12+VALUE($B2215&amp;""))</f>
        <v/>
      </c>
      <c r="N2215" s="39">
        <f>IF($A2215="","",IFERROR(INDEX(부서매핑!$C$5:$C$504,MATCH($G2215&amp;"",부서매핑!$A$5:$A$504,0)),"미매핑"))</f>
        <v/>
      </c>
      <c r="O2215" s="9">
        <f>IF($A2215="","",N2215&amp;"|"&amp;$F2215)</f>
        <v/>
      </c>
      <c r="P2215" s="77">
        <f>IF($A2215="",0,$H2215*설정!$C$23)</f>
        <v/>
      </c>
      <c r="Q2215" s="39">
        <f>IF($A2215="","",IF(O2215&lt;&gt;원인분석!$C$9,"",IF(AND(M2215&gt;=원인분석!$C$10,M2215&lt;=원인분석!$C$11),"당기",IF(AND(M2215&gt;=원인분석!$C$12,M2215&lt;=원인분석!$C$13),"비교",""))))</f>
        <v/>
      </c>
      <c r="R2215" s="9">
        <f>IF(Q2215="","",$K2215&amp;"")</f>
        <v/>
      </c>
      <c r="S2215" s="9">
        <f>IF(Q2215="","",IF(MATCH(R2215,$R$5:$R$100000,0)=ROW()-4,ROW(),""))</f>
        <v/>
      </c>
      <c r="T2215" s="9">
        <f>IF(Q2215="당기",ABS(P2215)+ROW()/1000000000,"")</f>
        <v/>
      </c>
      <c r="U2215" s="9">
        <f>IF(Q2215="비교",ABS(P2215)+ROW()/1000000000,"")</f>
        <v/>
      </c>
      <c r="V2215" s="39">
        <f>IF($A2215="","",IF(COUNTIF(변동분석!$E$7:$E$506,O2215)&gt;0,"Y","N"))</f>
        <v/>
      </c>
      <c r="W2215" s="39">
        <f>IF($A2215="","",IFERROR(INDEX(계정매핑!$D$5:$D$504,MATCH($F2215&amp;"",계정매핑!$A$5:$A$504,0)),"미매핑"))</f>
        <v/>
      </c>
      <c r="X2215" s="9">
        <f>IF($A2215="","",$F2215&amp;"")</f>
        <v/>
      </c>
    </row>
    <row r="2216">
      <c r="A2216" s="75" t="n">
        <v>2025</v>
      </c>
      <c r="B2216" s="75" t="n">
        <v>12</v>
      </c>
      <c r="C2216" s="75" t="inlineStr">
        <is>
          <t>5100002212</t>
        </is>
      </c>
      <c r="D2216" s="78" t="n">
        <v>46002</v>
      </c>
      <c r="E2216" s="75" t="inlineStr">
        <is>
          <t>KR</t>
        </is>
      </c>
      <c r="F2216" s="75" t="n">
        <v>62501000</v>
      </c>
      <c r="G2216" s="75" t="n">
        <v>1301</v>
      </c>
      <c r="H2216" s="76" t="n">
        <v>247000</v>
      </c>
      <c r="I2216" s="75" t="inlineStr">
        <is>
          <t>12월 회의 다과 - (법인카드)</t>
        </is>
      </c>
      <c r="J2216" s="75" t="inlineStr">
        <is>
          <t>V10008</t>
        </is>
      </c>
      <c r="K2216" s="75" t="inlineStr">
        <is>
          <t>(법인카드)</t>
        </is>
      </c>
      <c r="M2216" s="9">
        <f>IF($A2216="","",VALUE($A2216&amp;"")*12+VALUE($B2216&amp;""))</f>
        <v/>
      </c>
      <c r="N2216" s="39">
        <f>IF($A2216="","",IFERROR(INDEX(부서매핑!$C$5:$C$504,MATCH($G2216&amp;"",부서매핑!$A$5:$A$504,0)),"미매핑"))</f>
        <v/>
      </c>
      <c r="O2216" s="9">
        <f>IF($A2216="","",N2216&amp;"|"&amp;$F2216)</f>
        <v/>
      </c>
      <c r="P2216" s="77">
        <f>IF($A2216="",0,$H2216*설정!$C$23)</f>
        <v/>
      </c>
      <c r="Q2216" s="39">
        <f>IF($A2216="","",IF(O2216&lt;&gt;원인분석!$C$9,"",IF(AND(M2216&gt;=원인분석!$C$10,M2216&lt;=원인분석!$C$11),"당기",IF(AND(M2216&gt;=원인분석!$C$12,M2216&lt;=원인분석!$C$13),"비교",""))))</f>
        <v/>
      </c>
      <c r="R2216" s="9">
        <f>IF(Q2216="","",$K2216&amp;"")</f>
        <v/>
      </c>
      <c r="S2216" s="9">
        <f>IF(Q2216="","",IF(MATCH(R2216,$R$5:$R$100000,0)=ROW()-4,ROW(),""))</f>
        <v/>
      </c>
      <c r="T2216" s="9">
        <f>IF(Q2216="당기",ABS(P2216)+ROW()/1000000000,"")</f>
        <v/>
      </c>
      <c r="U2216" s="9">
        <f>IF(Q2216="비교",ABS(P2216)+ROW()/1000000000,"")</f>
        <v/>
      </c>
      <c r="V2216" s="39">
        <f>IF($A2216="","",IF(COUNTIF(변동분석!$E$7:$E$506,O2216)&gt;0,"Y","N"))</f>
        <v/>
      </c>
      <c r="W2216" s="39">
        <f>IF($A2216="","",IFERROR(INDEX(계정매핑!$D$5:$D$504,MATCH($F2216&amp;"",계정매핑!$A$5:$A$504,0)),"미매핑"))</f>
        <v/>
      </c>
      <c r="X2216" s="9">
        <f>IF($A2216="","",$F2216&amp;"")</f>
        <v/>
      </c>
    </row>
    <row r="2217">
      <c r="A2217" s="75" t="n">
        <v>2025</v>
      </c>
      <c r="B2217" s="75" t="n">
        <v>12</v>
      </c>
      <c r="C2217" s="75" t="inlineStr">
        <is>
          <t>5100002213</t>
        </is>
      </c>
      <c r="D2217" s="78" t="n">
        <v>46003</v>
      </c>
      <c r="E2217" s="75" t="inlineStr">
        <is>
          <t>KR</t>
        </is>
      </c>
      <c r="F2217" s="75" t="n">
        <v>62101000</v>
      </c>
      <c r="G2217" s="75" t="n">
        <v>1401</v>
      </c>
      <c r="H2217" s="76" t="n">
        <v>424000</v>
      </c>
      <c r="I2217" s="75" t="inlineStr">
        <is>
          <t>12월 국내출장 - (법인카드)</t>
        </is>
      </c>
      <c r="J2217" s="75" t="inlineStr">
        <is>
          <t>V10008</t>
        </is>
      </c>
      <c r="K2217" s="75" t="inlineStr">
        <is>
          <t>(법인카드)</t>
        </is>
      </c>
      <c r="M2217" s="9">
        <f>IF($A2217="","",VALUE($A2217&amp;"")*12+VALUE($B2217&amp;""))</f>
        <v/>
      </c>
      <c r="N2217" s="39">
        <f>IF($A2217="","",IFERROR(INDEX(부서매핑!$C$5:$C$504,MATCH($G2217&amp;"",부서매핑!$A$5:$A$504,0)),"미매핑"))</f>
        <v/>
      </c>
      <c r="O2217" s="9">
        <f>IF($A2217="","",N2217&amp;"|"&amp;$F2217)</f>
        <v/>
      </c>
      <c r="P2217" s="77">
        <f>IF($A2217="",0,$H2217*설정!$C$23)</f>
        <v/>
      </c>
      <c r="Q2217" s="39">
        <f>IF($A2217="","",IF(O2217&lt;&gt;원인분석!$C$9,"",IF(AND(M2217&gt;=원인분석!$C$10,M2217&lt;=원인분석!$C$11),"당기",IF(AND(M2217&gt;=원인분석!$C$12,M2217&lt;=원인분석!$C$13),"비교",""))))</f>
        <v/>
      </c>
      <c r="R2217" s="9">
        <f>IF(Q2217="","",$K2217&amp;"")</f>
        <v/>
      </c>
      <c r="S2217" s="9">
        <f>IF(Q2217="","",IF(MATCH(R2217,$R$5:$R$100000,0)=ROW()-4,ROW(),""))</f>
        <v/>
      </c>
      <c r="T2217" s="9">
        <f>IF(Q2217="당기",ABS(P2217)+ROW()/1000000000,"")</f>
        <v/>
      </c>
      <c r="U2217" s="9">
        <f>IF(Q2217="비교",ABS(P2217)+ROW()/1000000000,"")</f>
        <v/>
      </c>
      <c r="V2217" s="39">
        <f>IF($A2217="","",IF(COUNTIF(변동분석!$E$7:$E$506,O2217)&gt;0,"Y","N"))</f>
        <v/>
      </c>
      <c r="W2217" s="39">
        <f>IF($A2217="","",IFERROR(INDEX(계정매핑!$D$5:$D$504,MATCH($F2217&amp;"",계정매핑!$A$5:$A$504,0)),"미매핑"))</f>
        <v/>
      </c>
      <c r="X2217" s="9">
        <f>IF($A2217="","",$F2217&amp;"")</f>
        <v/>
      </c>
    </row>
    <row r="2218">
      <c r="A2218" s="75" t="n">
        <v>2025</v>
      </c>
      <c r="B2218" s="75" t="n">
        <v>12</v>
      </c>
      <c r="C2218" s="75" t="inlineStr">
        <is>
          <t>5100002214</t>
        </is>
      </c>
      <c r="D2218" s="78" t="n">
        <v>46003</v>
      </c>
      <c r="E2218" s="75" t="inlineStr">
        <is>
          <t>KR</t>
        </is>
      </c>
      <c r="F2218" s="75" t="n">
        <v>62101000</v>
      </c>
      <c r="G2218" s="75" t="n">
        <v>1602</v>
      </c>
      <c r="H2218" s="76" t="n">
        <v>1110000</v>
      </c>
      <c r="I2218" s="75" t="inlineStr">
        <is>
          <t>12월 국내출장 - (법인카드)</t>
        </is>
      </c>
      <c r="J2218" s="75" t="inlineStr">
        <is>
          <t>V10008</t>
        </is>
      </c>
      <c r="K2218" s="75" t="inlineStr">
        <is>
          <t>(법인카드)</t>
        </is>
      </c>
      <c r="M2218" s="9">
        <f>IF($A2218="","",VALUE($A2218&amp;"")*12+VALUE($B2218&amp;""))</f>
        <v/>
      </c>
      <c r="N2218" s="39">
        <f>IF($A2218="","",IFERROR(INDEX(부서매핑!$C$5:$C$504,MATCH($G2218&amp;"",부서매핑!$A$5:$A$504,0)),"미매핑"))</f>
        <v/>
      </c>
      <c r="O2218" s="9">
        <f>IF($A2218="","",N2218&amp;"|"&amp;$F2218)</f>
        <v/>
      </c>
      <c r="P2218" s="77">
        <f>IF($A2218="",0,$H2218*설정!$C$23)</f>
        <v/>
      </c>
      <c r="Q2218" s="39">
        <f>IF($A2218="","",IF(O2218&lt;&gt;원인분석!$C$9,"",IF(AND(M2218&gt;=원인분석!$C$10,M2218&lt;=원인분석!$C$11),"당기",IF(AND(M2218&gt;=원인분석!$C$12,M2218&lt;=원인분석!$C$13),"비교",""))))</f>
        <v/>
      </c>
      <c r="R2218" s="9">
        <f>IF(Q2218="","",$K2218&amp;"")</f>
        <v/>
      </c>
      <c r="S2218" s="9">
        <f>IF(Q2218="","",IF(MATCH(R2218,$R$5:$R$100000,0)=ROW()-4,ROW(),""))</f>
        <v/>
      </c>
      <c r="T2218" s="9">
        <f>IF(Q2218="당기",ABS(P2218)+ROW()/1000000000,"")</f>
        <v/>
      </c>
      <c r="U2218" s="9">
        <f>IF(Q2218="비교",ABS(P2218)+ROW()/1000000000,"")</f>
        <v/>
      </c>
      <c r="V2218" s="39">
        <f>IF($A2218="","",IF(COUNTIF(변동분석!$E$7:$E$506,O2218)&gt;0,"Y","N"))</f>
        <v/>
      </c>
      <c r="W2218" s="39">
        <f>IF($A2218="","",IFERROR(INDEX(계정매핑!$D$5:$D$504,MATCH($F2218&amp;"",계정매핑!$A$5:$A$504,0)),"미매핑"))</f>
        <v/>
      </c>
      <c r="X2218" s="9">
        <f>IF($A2218="","",$F2218&amp;"")</f>
        <v/>
      </c>
    </row>
    <row r="2219">
      <c r="A2219" s="75" t="n">
        <v>2025</v>
      </c>
      <c r="B2219" s="75" t="n">
        <v>12</v>
      </c>
      <c r="C2219" s="75" t="inlineStr">
        <is>
          <t>5100002215</t>
        </is>
      </c>
      <c r="D2219" s="78" t="n">
        <v>46003</v>
      </c>
      <c r="E2219" s="75" t="inlineStr">
        <is>
          <t>KR</t>
        </is>
      </c>
      <c r="F2219" s="75" t="n">
        <v>62102000</v>
      </c>
      <c r="G2219" s="75" t="n">
        <v>1501</v>
      </c>
      <c r="H2219" s="76" t="n">
        <v>159000</v>
      </c>
      <c r="I2219" s="75" t="inlineStr">
        <is>
          <t>12월 해외출장 - N호텔</t>
        </is>
      </c>
      <c r="J2219" s="75" t="inlineStr">
        <is>
          <t>V10007</t>
        </is>
      </c>
      <c r="K2219" s="75" t="inlineStr">
        <is>
          <t>N호텔</t>
        </is>
      </c>
      <c r="M2219" s="9">
        <f>IF($A2219="","",VALUE($A2219&amp;"")*12+VALUE($B2219&amp;""))</f>
        <v/>
      </c>
      <c r="N2219" s="39">
        <f>IF($A2219="","",IFERROR(INDEX(부서매핑!$C$5:$C$504,MATCH($G2219&amp;"",부서매핑!$A$5:$A$504,0)),"미매핑"))</f>
        <v/>
      </c>
      <c r="O2219" s="9">
        <f>IF($A2219="","",N2219&amp;"|"&amp;$F2219)</f>
        <v/>
      </c>
      <c r="P2219" s="77">
        <f>IF($A2219="",0,$H2219*설정!$C$23)</f>
        <v/>
      </c>
      <c r="Q2219" s="39">
        <f>IF($A2219="","",IF(O2219&lt;&gt;원인분석!$C$9,"",IF(AND(M2219&gt;=원인분석!$C$10,M2219&lt;=원인분석!$C$11),"당기",IF(AND(M2219&gt;=원인분석!$C$12,M2219&lt;=원인분석!$C$13),"비교",""))))</f>
        <v/>
      </c>
      <c r="R2219" s="9">
        <f>IF(Q2219="","",$K2219&amp;"")</f>
        <v/>
      </c>
      <c r="S2219" s="9">
        <f>IF(Q2219="","",IF(MATCH(R2219,$R$5:$R$100000,0)=ROW()-4,ROW(),""))</f>
        <v/>
      </c>
      <c r="T2219" s="9">
        <f>IF(Q2219="당기",ABS(P2219)+ROW()/1000000000,"")</f>
        <v/>
      </c>
      <c r="U2219" s="9">
        <f>IF(Q2219="비교",ABS(P2219)+ROW()/1000000000,"")</f>
        <v/>
      </c>
      <c r="V2219" s="39">
        <f>IF($A2219="","",IF(COUNTIF(변동분석!$E$7:$E$506,O2219)&gt;0,"Y","N"))</f>
        <v/>
      </c>
      <c r="W2219" s="39">
        <f>IF($A2219="","",IFERROR(INDEX(계정매핑!$D$5:$D$504,MATCH($F2219&amp;"",계정매핑!$A$5:$A$504,0)),"미매핑"))</f>
        <v/>
      </c>
      <c r="X2219" s="9">
        <f>IF($A2219="","",$F2219&amp;"")</f>
        <v/>
      </c>
    </row>
    <row r="2220">
      <c r="A2220" s="75" t="n">
        <v>2025</v>
      </c>
      <c r="B2220" s="75" t="n">
        <v>12</v>
      </c>
      <c r="C2220" s="75" t="inlineStr">
        <is>
          <t>5100002216</t>
        </is>
      </c>
      <c r="D2220" s="78" t="n">
        <v>46003</v>
      </c>
      <c r="E2220" s="75" t="inlineStr">
        <is>
          <t>KR</t>
        </is>
      </c>
      <c r="F2220" s="75" t="n">
        <v>62102000</v>
      </c>
      <c r="G2220" s="75" t="n">
        <v>1601</v>
      </c>
      <c r="H2220" s="76" t="n">
        <v>228000</v>
      </c>
      <c r="I2220" s="75" t="inlineStr">
        <is>
          <t>12월 해외출장 - M항공</t>
        </is>
      </c>
      <c r="J2220" s="75" t="inlineStr">
        <is>
          <t>V10001</t>
        </is>
      </c>
      <c r="K2220" s="75" t="inlineStr">
        <is>
          <t>M항공</t>
        </is>
      </c>
      <c r="M2220" s="9">
        <f>IF($A2220="","",VALUE($A2220&amp;"")*12+VALUE($B2220&amp;""))</f>
        <v/>
      </c>
      <c r="N2220" s="39">
        <f>IF($A2220="","",IFERROR(INDEX(부서매핑!$C$5:$C$504,MATCH($G2220&amp;"",부서매핑!$A$5:$A$504,0)),"미매핑"))</f>
        <v/>
      </c>
      <c r="O2220" s="9">
        <f>IF($A2220="","",N2220&amp;"|"&amp;$F2220)</f>
        <v/>
      </c>
      <c r="P2220" s="77">
        <f>IF($A2220="",0,$H2220*설정!$C$23)</f>
        <v/>
      </c>
      <c r="Q2220" s="39">
        <f>IF($A2220="","",IF(O2220&lt;&gt;원인분석!$C$9,"",IF(AND(M2220&gt;=원인분석!$C$10,M2220&lt;=원인분석!$C$11),"당기",IF(AND(M2220&gt;=원인분석!$C$12,M2220&lt;=원인분석!$C$13),"비교",""))))</f>
        <v/>
      </c>
      <c r="R2220" s="9">
        <f>IF(Q2220="","",$K2220&amp;"")</f>
        <v/>
      </c>
      <c r="S2220" s="9">
        <f>IF(Q2220="","",IF(MATCH(R2220,$R$5:$R$100000,0)=ROW()-4,ROW(),""))</f>
        <v/>
      </c>
      <c r="T2220" s="9">
        <f>IF(Q2220="당기",ABS(P2220)+ROW()/1000000000,"")</f>
        <v/>
      </c>
      <c r="U2220" s="9">
        <f>IF(Q2220="비교",ABS(P2220)+ROW()/1000000000,"")</f>
        <v/>
      </c>
      <c r="V2220" s="39">
        <f>IF($A2220="","",IF(COUNTIF(변동분석!$E$7:$E$506,O2220)&gt;0,"Y","N"))</f>
        <v/>
      </c>
      <c r="W2220" s="39">
        <f>IF($A2220="","",IFERROR(INDEX(계정매핑!$D$5:$D$504,MATCH($F2220&amp;"",계정매핑!$A$5:$A$504,0)),"미매핑"))</f>
        <v/>
      </c>
      <c r="X2220" s="9">
        <f>IF($A2220="","",$F2220&amp;"")</f>
        <v/>
      </c>
    </row>
    <row r="2221">
      <c r="A2221" s="75" t="n">
        <v>2025</v>
      </c>
      <c r="B2221" s="75" t="n">
        <v>12</v>
      </c>
      <c r="C2221" s="75" t="inlineStr">
        <is>
          <t>5100002217</t>
        </is>
      </c>
      <c r="D2221" s="78" t="n">
        <v>46003</v>
      </c>
      <c r="E2221" s="75" t="inlineStr">
        <is>
          <t>KR</t>
        </is>
      </c>
      <c r="F2221" s="75" t="n">
        <v>62201000</v>
      </c>
      <c r="G2221" s="75" t="n">
        <v>1801</v>
      </c>
      <c r="H2221" s="76" t="n">
        <v>8729000</v>
      </c>
      <c r="I2221" s="75" t="inlineStr">
        <is>
          <t>12월 통신요금 - O텔레콤</t>
        </is>
      </c>
      <c r="J2221" s="75" t="inlineStr">
        <is>
          <t>V10002</t>
        </is>
      </c>
      <c r="K2221" s="75" t="inlineStr">
        <is>
          <t>O텔레콤</t>
        </is>
      </c>
      <c r="M2221" s="9">
        <f>IF($A2221="","",VALUE($A2221&amp;"")*12+VALUE($B2221&amp;""))</f>
        <v/>
      </c>
      <c r="N2221" s="39">
        <f>IF($A2221="","",IFERROR(INDEX(부서매핑!$C$5:$C$504,MATCH($G2221&amp;"",부서매핑!$A$5:$A$504,0)),"미매핑"))</f>
        <v/>
      </c>
      <c r="O2221" s="9">
        <f>IF($A2221="","",N2221&amp;"|"&amp;$F2221)</f>
        <v/>
      </c>
      <c r="P2221" s="77">
        <f>IF($A2221="",0,$H2221*설정!$C$23)</f>
        <v/>
      </c>
      <c r="Q2221" s="39">
        <f>IF($A2221="","",IF(O2221&lt;&gt;원인분석!$C$9,"",IF(AND(M2221&gt;=원인분석!$C$10,M2221&lt;=원인분석!$C$11),"당기",IF(AND(M2221&gt;=원인분석!$C$12,M2221&lt;=원인분석!$C$13),"비교",""))))</f>
        <v/>
      </c>
      <c r="R2221" s="9">
        <f>IF(Q2221="","",$K2221&amp;"")</f>
        <v/>
      </c>
      <c r="S2221" s="9">
        <f>IF(Q2221="","",IF(MATCH(R2221,$R$5:$R$100000,0)=ROW()-4,ROW(),""))</f>
        <v/>
      </c>
      <c r="T2221" s="9">
        <f>IF(Q2221="당기",ABS(P2221)+ROW()/1000000000,"")</f>
        <v/>
      </c>
      <c r="U2221" s="9">
        <f>IF(Q2221="비교",ABS(P2221)+ROW()/1000000000,"")</f>
        <v/>
      </c>
      <c r="V2221" s="39">
        <f>IF($A2221="","",IF(COUNTIF(변동분석!$E$7:$E$506,O2221)&gt;0,"Y","N"))</f>
        <v/>
      </c>
      <c r="W2221" s="39">
        <f>IF($A2221="","",IFERROR(INDEX(계정매핑!$D$5:$D$504,MATCH($F2221&amp;"",계정매핑!$A$5:$A$504,0)),"미매핑"))</f>
        <v/>
      </c>
      <c r="X2221" s="9">
        <f>IF($A2221="","",$F2221&amp;"")</f>
        <v/>
      </c>
    </row>
    <row r="2222">
      <c r="A2222" s="75" t="n">
        <v>2025</v>
      </c>
      <c r="B2222" s="75" t="n">
        <v>12</v>
      </c>
      <c r="C2222" s="75" t="inlineStr">
        <is>
          <t>5100002218</t>
        </is>
      </c>
      <c r="D2222" s="78" t="n">
        <v>46003</v>
      </c>
      <c r="E2222" s="75" t="inlineStr">
        <is>
          <t>KR</t>
        </is>
      </c>
      <c r="F2222" s="75" t="n">
        <v>62301000</v>
      </c>
      <c r="G2222" s="75" t="n">
        <v>1201</v>
      </c>
      <c r="H2222" s="76" t="n">
        <v>227000</v>
      </c>
      <c r="I2222" s="75" t="inlineStr">
        <is>
          <t>12월 소모품 구입 - Q오피스</t>
        </is>
      </c>
      <c r="J2222" s="75" t="inlineStr">
        <is>
          <t>V10003</t>
        </is>
      </c>
      <c r="K2222" s="75" t="inlineStr">
        <is>
          <t>Q오피스</t>
        </is>
      </c>
      <c r="M2222" s="9">
        <f>IF($A2222="","",VALUE($A2222&amp;"")*12+VALUE($B2222&amp;""))</f>
        <v/>
      </c>
      <c r="N2222" s="39">
        <f>IF($A2222="","",IFERROR(INDEX(부서매핑!$C$5:$C$504,MATCH($G2222&amp;"",부서매핑!$A$5:$A$504,0)),"미매핑"))</f>
        <v/>
      </c>
      <c r="O2222" s="9">
        <f>IF($A2222="","",N2222&amp;"|"&amp;$F2222)</f>
        <v/>
      </c>
      <c r="P2222" s="77">
        <f>IF($A2222="",0,$H2222*설정!$C$23)</f>
        <v/>
      </c>
      <c r="Q2222" s="39">
        <f>IF($A2222="","",IF(O2222&lt;&gt;원인분석!$C$9,"",IF(AND(M2222&gt;=원인분석!$C$10,M2222&lt;=원인분석!$C$11),"당기",IF(AND(M2222&gt;=원인분석!$C$12,M2222&lt;=원인분석!$C$13),"비교",""))))</f>
        <v/>
      </c>
      <c r="R2222" s="9">
        <f>IF(Q2222="","",$K2222&amp;"")</f>
        <v/>
      </c>
      <c r="S2222" s="9">
        <f>IF(Q2222="","",IF(MATCH(R2222,$R$5:$R$100000,0)=ROW()-4,ROW(),""))</f>
        <v/>
      </c>
      <c r="T2222" s="9">
        <f>IF(Q2222="당기",ABS(P2222)+ROW()/1000000000,"")</f>
        <v/>
      </c>
      <c r="U2222" s="9">
        <f>IF(Q2222="비교",ABS(P2222)+ROW()/1000000000,"")</f>
        <v/>
      </c>
      <c r="V2222" s="39">
        <f>IF($A2222="","",IF(COUNTIF(변동분석!$E$7:$E$506,O2222)&gt;0,"Y","N"))</f>
        <v/>
      </c>
      <c r="W2222" s="39">
        <f>IF($A2222="","",IFERROR(INDEX(계정매핑!$D$5:$D$504,MATCH($F2222&amp;"",계정매핑!$A$5:$A$504,0)),"미매핑"))</f>
        <v/>
      </c>
      <c r="X2222" s="9">
        <f>IF($A2222="","",$F2222&amp;"")</f>
        <v/>
      </c>
    </row>
    <row r="2223">
      <c r="A2223" s="75" t="n">
        <v>2025</v>
      </c>
      <c r="B2223" s="75" t="n">
        <v>12</v>
      </c>
      <c r="C2223" s="75" t="inlineStr">
        <is>
          <t>5100002219</t>
        </is>
      </c>
      <c r="D2223" s="78" t="n">
        <v>46003</v>
      </c>
      <c r="E2223" s="75" t="inlineStr">
        <is>
          <t>KR</t>
        </is>
      </c>
      <c r="F2223" s="75" t="n">
        <v>62401000</v>
      </c>
      <c r="G2223" s="75" t="n">
        <v>1801</v>
      </c>
      <c r="H2223" s="76" t="n">
        <v>2137000</v>
      </c>
      <c r="I2223" s="75" t="inlineStr">
        <is>
          <t>12월 인쇄물 제작 - S출판</t>
        </is>
      </c>
      <c r="J2223" s="75" t="inlineStr">
        <is>
          <t>V10012</t>
        </is>
      </c>
      <c r="K2223" s="75" t="inlineStr">
        <is>
          <t>S출판</t>
        </is>
      </c>
      <c r="M2223" s="9">
        <f>IF($A2223="","",VALUE($A2223&amp;"")*12+VALUE($B2223&amp;""))</f>
        <v/>
      </c>
      <c r="N2223" s="39">
        <f>IF($A2223="","",IFERROR(INDEX(부서매핑!$C$5:$C$504,MATCH($G2223&amp;"",부서매핑!$A$5:$A$504,0)),"미매핑"))</f>
        <v/>
      </c>
      <c r="O2223" s="9">
        <f>IF($A2223="","",N2223&amp;"|"&amp;$F2223)</f>
        <v/>
      </c>
      <c r="P2223" s="77">
        <f>IF($A2223="",0,$H2223*설정!$C$23)</f>
        <v/>
      </c>
      <c r="Q2223" s="39">
        <f>IF($A2223="","",IF(O2223&lt;&gt;원인분석!$C$9,"",IF(AND(M2223&gt;=원인분석!$C$10,M2223&lt;=원인분석!$C$11),"당기",IF(AND(M2223&gt;=원인분석!$C$12,M2223&lt;=원인분석!$C$13),"비교",""))))</f>
        <v/>
      </c>
      <c r="R2223" s="9">
        <f>IF(Q2223="","",$K2223&amp;"")</f>
        <v/>
      </c>
      <c r="S2223" s="9">
        <f>IF(Q2223="","",IF(MATCH(R2223,$R$5:$R$100000,0)=ROW()-4,ROW(),""))</f>
        <v/>
      </c>
      <c r="T2223" s="9">
        <f>IF(Q2223="당기",ABS(P2223)+ROW()/1000000000,"")</f>
        <v/>
      </c>
      <c r="U2223" s="9">
        <f>IF(Q2223="비교",ABS(P2223)+ROW()/1000000000,"")</f>
        <v/>
      </c>
      <c r="V2223" s="39">
        <f>IF($A2223="","",IF(COUNTIF(변동분석!$E$7:$E$506,O2223)&gt;0,"Y","N"))</f>
        <v/>
      </c>
      <c r="W2223" s="39">
        <f>IF($A2223="","",IFERROR(INDEX(계정매핑!$D$5:$D$504,MATCH($F2223&amp;"",계정매핑!$A$5:$A$504,0)),"미매핑"))</f>
        <v/>
      </c>
      <c r="X2223" s="9">
        <f>IF($A2223="","",$F2223&amp;"")</f>
        <v/>
      </c>
    </row>
    <row r="2224">
      <c r="A2224" s="75" t="n">
        <v>2025</v>
      </c>
      <c r="B2224" s="75" t="n">
        <v>12</v>
      </c>
      <c r="C2224" s="75" t="inlineStr">
        <is>
          <t>5100002220</t>
        </is>
      </c>
      <c r="D2224" s="78" t="n">
        <v>46003</v>
      </c>
      <c r="E2224" s="75" t="inlineStr">
        <is>
          <t>KR</t>
        </is>
      </c>
      <c r="F2224" s="75" t="n">
        <v>62501000</v>
      </c>
      <c r="G2224" s="75" t="n">
        <v>1501</v>
      </c>
      <c r="H2224" s="76" t="n">
        <v>250000</v>
      </c>
      <c r="I2224" s="75" t="inlineStr">
        <is>
          <t>12월 회의 다과 - (법인카드)</t>
        </is>
      </c>
      <c r="J2224" s="75" t="inlineStr">
        <is>
          <t>V10008</t>
        </is>
      </c>
      <c r="K2224" s="75" t="inlineStr">
        <is>
          <t>(법인카드)</t>
        </is>
      </c>
      <c r="M2224" s="9">
        <f>IF($A2224="","",VALUE($A2224&amp;"")*12+VALUE($B2224&amp;""))</f>
        <v/>
      </c>
      <c r="N2224" s="39">
        <f>IF($A2224="","",IFERROR(INDEX(부서매핑!$C$5:$C$504,MATCH($G2224&amp;"",부서매핑!$A$5:$A$504,0)),"미매핑"))</f>
        <v/>
      </c>
      <c r="O2224" s="9">
        <f>IF($A2224="","",N2224&amp;"|"&amp;$F2224)</f>
        <v/>
      </c>
      <c r="P2224" s="77">
        <f>IF($A2224="",0,$H2224*설정!$C$23)</f>
        <v/>
      </c>
      <c r="Q2224" s="39">
        <f>IF($A2224="","",IF(O2224&lt;&gt;원인분석!$C$9,"",IF(AND(M2224&gt;=원인분석!$C$10,M2224&lt;=원인분석!$C$11),"당기",IF(AND(M2224&gt;=원인분석!$C$12,M2224&lt;=원인분석!$C$13),"비교",""))))</f>
        <v/>
      </c>
      <c r="R2224" s="9">
        <f>IF(Q2224="","",$K2224&amp;"")</f>
        <v/>
      </c>
      <c r="S2224" s="9">
        <f>IF(Q2224="","",IF(MATCH(R2224,$R$5:$R$100000,0)=ROW()-4,ROW(),""))</f>
        <v/>
      </c>
      <c r="T2224" s="9">
        <f>IF(Q2224="당기",ABS(P2224)+ROW()/1000000000,"")</f>
        <v/>
      </c>
      <c r="U2224" s="9">
        <f>IF(Q2224="비교",ABS(P2224)+ROW()/1000000000,"")</f>
        <v/>
      </c>
      <c r="V2224" s="39">
        <f>IF($A2224="","",IF(COUNTIF(변동분석!$E$7:$E$506,O2224)&gt;0,"Y","N"))</f>
        <v/>
      </c>
      <c r="W2224" s="39">
        <f>IF($A2224="","",IFERROR(INDEX(계정매핑!$D$5:$D$504,MATCH($F2224&amp;"",계정매핑!$A$5:$A$504,0)),"미매핑"))</f>
        <v/>
      </c>
      <c r="X2224" s="9">
        <f>IF($A2224="","",$F2224&amp;"")</f>
        <v/>
      </c>
    </row>
    <row r="2225">
      <c r="A2225" s="75" t="n">
        <v>2025</v>
      </c>
      <c r="B2225" s="75" t="n">
        <v>12</v>
      </c>
      <c r="C2225" s="75" t="inlineStr">
        <is>
          <t>5100002221</t>
        </is>
      </c>
      <c r="D2225" s="78" t="n">
        <v>46003</v>
      </c>
      <c r="E2225" s="75" t="inlineStr">
        <is>
          <t>KR</t>
        </is>
      </c>
      <c r="F2225" s="75" t="n">
        <v>62801000</v>
      </c>
      <c r="G2225" s="75" t="n">
        <v>1301</v>
      </c>
      <c r="H2225" s="76" t="n">
        <v>5488000</v>
      </c>
      <c r="I2225" s="75" t="inlineStr">
        <is>
          <t>12월 사내교육 - (사내강사료)</t>
        </is>
      </c>
      <c r="J2225" s="75" t="inlineStr">
        <is>
          <t>V10020</t>
        </is>
      </c>
      <c r="K2225" s="75" t="inlineStr">
        <is>
          <t>(사내강사료)</t>
        </is>
      </c>
      <c r="M2225" s="9">
        <f>IF($A2225="","",VALUE($A2225&amp;"")*12+VALUE($B2225&amp;""))</f>
        <v/>
      </c>
      <c r="N2225" s="39">
        <f>IF($A2225="","",IFERROR(INDEX(부서매핑!$C$5:$C$504,MATCH($G2225&amp;"",부서매핑!$A$5:$A$504,0)),"미매핑"))</f>
        <v/>
      </c>
      <c r="O2225" s="9">
        <f>IF($A2225="","",N2225&amp;"|"&amp;$F2225)</f>
        <v/>
      </c>
      <c r="P2225" s="77">
        <f>IF($A2225="",0,$H2225*설정!$C$23)</f>
        <v/>
      </c>
      <c r="Q2225" s="39">
        <f>IF($A2225="","",IF(O2225&lt;&gt;원인분석!$C$9,"",IF(AND(M2225&gt;=원인분석!$C$10,M2225&lt;=원인분석!$C$11),"당기",IF(AND(M2225&gt;=원인분석!$C$12,M2225&lt;=원인분석!$C$13),"비교",""))))</f>
        <v/>
      </c>
      <c r="R2225" s="9">
        <f>IF(Q2225="","",$K2225&amp;"")</f>
        <v/>
      </c>
      <c r="S2225" s="9">
        <f>IF(Q2225="","",IF(MATCH(R2225,$R$5:$R$100000,0)=ROW()-4,ROW(),""))</f>
        <v/>
      </c>
      <c r="T2225" s="9">
        <f>IF(Q2225="당기",ABS(P2225)+ROW()/1000000000,"")</f>
        <v/>
      </c>
      <c r="U2225" s="9">
        <f>IF(Q2225="비교",ABS(P2225)+ROW()/1000000000,"")</f>
        <v/>
      </c>
      <c r="V2225" s="39">
        <f>IF($A2225="","",IF(COUNTIF(변동분석!$E$7:$E$506,O2225)&gt;0,"Y","N"))</f>
        <v/>
      </c>
      <c r="W2225" s="39">
        <f>IF($A2225="","",IFERROR(INDEX(계정매핑!$D$5:$D$504,MATCH($F2225&amp;"",계정매핑!$A$5:$A$504,0)),"미매핑"))</f>
        <v/>
      </c>
      <c r="X2225" s="9">
        <f>IF($A2225="","",$F2225&amp;"")</f>
        <v/>
      </c>
    </row>
    <row r="2226">
      <c r="A2226" s="75" t="n">
        <v>2025</v>
      </c>
      <c r="B2226" s="75" t="n">
        <v>12</v>
      </c>
      <c r="C2226" s="75" t="inlineStr">
        <is>
          <t>5100002222</t>
        </is>
      </c>
      <c r="D2226" s="78" t="n">
        <v>46003</v>
      </c>
      <c r="E2226" s="75" t="inlineStr">
        <is>
          <t>KR</t>
        </is>
      </c>
      <c r="F2226" s="75" t="n">
        <v>62901000</v>
      </c>
      <c r="G2226" s="75" t="n">
        <v>1401</v>
      </c>
      <c r="H2226" s="76" t="n">
        <v>4374000</v>
      </c>
      <c r="I2226" s="75" t="inlineStr">
        <is>
          <t>12월 자문 수수료 - W컨설팅</t>
        </is>
      </c>
      <c r="J2226" s="75" t="inlineStr">
        <is>
          <t>V10009</t>
        </is>
      </c>
      <c r="K2226" s="75" t="inlineStr">
        <is>
          <t>W컨설팅</t>
        </is>
      </c>
      <c r="M2226" s="9">
        <f>IF($A2226="","",VALUE($A2226&amp;"")*12+VALUE($B2226&amp;""))</f>
        <v/>
      </c>
      <c r="N2226" s="39">
        <f>IF($A2226="","",IFERROR(INDEX(부서매핑!$C$5:$C$504,MATCH($G2226&amp;"",부서매핑!$A$5:$A$504,0)),"미매핑"))</f>
        <v/>
      </c>
      <c r="O2226" s="9">
        <f>IF($A2226="","",N2226&amp;"|"&amp;$F2226)</f>
        <v/>
      </c>
      <c r="P2226" s="77">
        <f>IF($A2226="",0,$H2226*설정!$C$23)</f>
        <v/>
      </c>
      <c r="Q2226" s="39">
        <f>IF($A2226="","",IF(O2226&lt;&gt;원인분석!$C$9,"",IF(AND(M2226&gt;=원인분석!$C$10,M2226&lt;=원인분석!$C$11),"당기",IF(AND(M2226&gt;=원인분석!$C$12,M2226&lt;=원인분석!$C$13),"비교",""))))</f>
        <v/>
      </c>
      <c r="R2226" s="9">
        <f>IF(Q2226="","",$K2226&amp;"")</f>
        <v/>
      </c>
      <c r="S2226" s="9">
        <f>IF(Q2226="","",IF(MATCH(R2226,$R$5:$R$100000,0)=ROW()-4,ROW(),""))</f>
        <v/>
      </c>
      <c r="T2226" s="9">
        <f>IF(Q2226="당기",ABS(P2226)+ROW()/1000000000,"")</f>
        <v/>
      </c>
      <c r="U2226" s="9">
        <f>IF(Q2226="비교",ABS(P2226)+ROW()/1000000000,"")</f>
        <v/>
      </c>
      <c r="V2226" s="39">
        <f>IF($A2226="","",IF(COUNTIF(변동분석!$E$7:$E$506,O2226)&gt;0,"Y","N"))</f>
        <v/>
      </c>
      <c r="W2226" s="39">
        <f>IF($A2226="","",IFERROR(INDEX(계정매핑!$D$5:$D$504,MATCH($F2226&amp;"",계정매핑!$A$5:$A$504,0)),"미매핑"))</f>
        <v/>
      </c>
      <c r="X2226" s="9">
        <f>IF($A2226="","",$F2226&amp;"")</f>
        <v/>
      </c>
    </row>
    <row r="2227">
      <c r="A2227" s="75" t="n">
        <v>2025</v>
      </c>
      <c r="B2227" s="75" t="n">
        <v>12</v>
      </c>
      <c r="C2227" s="75" t="inlineStr">
        <is>
          <t>5100002223</t>
        </is>
      </c>
      <c r="D2227" s="78" t="n">
        <v>46003</v>
      </c>
      <c r="E2227" s="75" t="inlineStr">
        <is>
          <t>KR</t>
        </is>
      </c>
      <c r="F2227" s="75" t="n">
        <v>62902000</v>
      </c>
      <c r="G2227" s="75" t="n">
        <v>1801</v>
      </c>
      <c r="H2227" s="76" t="n">
        <v>3000000</v>
      </c>
      <c r="I2227" s="75" t="inlineStr">
        <is>
          <t>12월 업무 위탁 수수료 - X서비스</t>
        </is>
      </c>
      <c r="J2227" s="75" t="inlineStr">
        <is>
          <t>V10016</t>
        </is>
      </c>
      <c r="K2227" s="75" t="inlineStr">
        <is>
          <t>X서비스</t>
        </is>
      </c>
      <c r="M2227" s="9">
        <f>IF($A2227="","",VALUE($A2227&amp;"")*12+VALUE($B2227&amp;""))</f>
        <v/>
      </c>
      <c r="N2227" s="39">
        <f>IF($A2227="","",IFERROR(INDEX(부서매핑!$C$5:$C$504,MATCH($G2227&amp;"",부서매핑!$A$5:$A$504,0)),"미매핑"))</f>
        <v/>
      </c>
      <c r="O2227" s="9">
        <f>IF($A2227="","",N2227&amp;"|"&amp;$F2227)</f>
        <v/>
      </c>
      <c r="P2227" s="77">
        <f>IF($A2227="",0,$H2227*설정!$C$23)</f>
        <v/>
      </c>
      <c r="Q2227" s="39">
        <f>IF($A2227="","",IF(O2227&lt;&gt;원인분석!$C$9,"",IF(AND(M2227&gt;=원인분석!$C$10,M2227&lt;=원인분석!$C$11),"당기",IF(AND(M2227&gt;=원인분석!$C$12,M2227&lt;=원인분석!$C$13),"비교",""))))</f>
        <v/>
      </c>
      <c r="R2227" s="9">
        <f>IF(Q2227="","",$K2227&amp;"")</f>
        <v/>
      </c>
      <c r="S2227" s="9">
        <f>IF(Q2227="","",IF(MATCH(R2227,$R$5:$R$100000,0)=ROW()-4,ROW(),""))</f>
        <v/>
      </c>
      <c r="T2227" s="9">
        <f>IF(Q2227="당기",ABS(P2227)+ROW()/1000000000,"")</f>
        <v/>
      </c>
      <c r="U2227" s="9">
        <f>IF(Q2227="비교",ABS(P2227)+ROW()/1000000000,"")</f>
        <v/>
      </c>
      <c r="V2227" s="39">
        <f>IF($A2227="","",IF(COUNTIF(변동분석!$E$7:$E$506,O2227)&gt;0,"Y","N"))</f>
        <v/>
      </c>
      <c r="W2227" s="39">
        <f>IF($A2227="","",IFERROR(INDEX(계정매핑!$D$5:$D$504,MATCH($F2227&amp;"",계정매핑!$A$5:$A$504,0)),"미매핑"))</f>
        <v/>
      </c>
      <c r="X2227" s="9">
        <f>IF($A2227="","",$F2227&amp;"")</f>
        <v/>
      </c>
    </row>
    <row r="2228">
      <c r="A2228" s="75" t="n">
        <v>2025</v>
      </c>
      <c r="B2228" s="75" t="n">
        <v>12</v>
      </c>
      <c r="C2228" s="75" t="inlineStr">
        <is>
          <t>5100002224</t>
        </is>
      </c>
      <c r="D2228" s="78" t="n">
        <v>46004</v>
      </c>
      <c r="E2228" s="75" t="inlineStr">
        <is>
          <t>KR</t>
        </is>
      </c>
      <c r="F2228" s="75" t="n">
        <v>62101000</v>
      </c>
      <c r="G2228" s="75" t="n">
        <v>1801</v>
      </c>
      <c r="H2228" s="76" t="n">
        <v>256000</v>
      </c>
      <c r="I2228" s="75" t="inlineStr">
        <is>
          <t>12월 국내출장 - (법인카드)</t>
        </is>
      </c>
      <c r="J2228" s="75" t="inlineStr">
        <is>
          <t>V10008</t>
        </is>
      </c>
      <c r="K2228" s="75" t="inlineStr">
        <is>
          <t>(법인카드)</t>
        </is>
      </c>
      <c r="M2228" s="9">
        <f>IF($A2228="","",VALUE($A2228&amp;"")*12+VALUE($B2228&amp;""))</f>
        <v/>
      </c>
      <c r="N2228" s="39">
        <f>IF($A2228="","",IFERROR(INDEX(부서매핑!$C$5:$C$504,MATCH($G2228&amp;"",부서매핑!$A$5:$A$504,0)),"미매핑"))</f>
        <v/>
      </c>
      <c r="O2228" s="9">
        <f>IF($A2228="","",N2228&amp;"|"&amp;$F2228)</f>
        <v/>
      </c>
      <c r="P2228" s="77">
        <f>IF($A2228="",0,$H2228*설정!$C$23)</f>
        <v/>
      </c>
      <c r="Q2228" s="39">
        <f>IF($A2228="","",IF(O2228&lt;&gt;원인분석!$C$9,"",IF(AND(M2228&gt;=원인분석!$C$10,M2228&lt;=원인분석!$C$11),"당기",IF(AND(M2228&gt;=원인분석!$C$12,M2228&lt;=원인분석!$C$13),"비교",""))))</f>
        <v/>
      </c>
      <c r="R2228" s="9">
        <f>IF(Q2228="","",$K2228&amp;"")</f>
        <v/>
      </c>
      <c r="S2228" s="9">
        <f>IF(Q2228="","",IF(MATCH(R2228,$R$5:$R$100000,0)=ROW()-4,ROW(),""))</f>
        <v/>
      </c>
      <c r="T2228" s="9">
        <f>IF(Q2228="당기",ABS(P2228)+ROW()/1000000000,"")</f>
        <v/>
      </c>
      <c r="U2228" s="9">
        <f>IF(Q2228="비교",ABS(P2228)+ROW()/1000000000,"")</f>
        <v/>
      </c>
      <c r="V2228" s="39">
        <f>IF($A2228="","",IF(COUNTIF(변동분석!$E$7:$E$506,O2228)&gt;0,"Y","N"))</f>
        <v/>
      </c>
      <c r="W2228" s="39">
        <f>IF($A2228="","",IFERROR(INDEX(계정매핑!$D$5:$D$504,MATCH($F2228&amp;"",계정매핑!$A$5:$A$504,0)),"미매핑"))</f>
        <v/>
      </c>
      <c r="X2228" s="9">
        <f>IF($A2228="","",$F2228&amp;"")</f>
        <v/>
      </c>
    </row>
    <row r="2229">
      <c r="A2229" s="75" t="n">
        <v>2025</v>
      </c>
      <c r="B2229" s="75" t="n">
        <v>12</v>
      </c>
      <c r="C2229" s="75" t="inlineStr">
        <is>
          <t>5100002225</t>
        </is>
      </c>
      <c r="D2229" s="78" t="n">
        <v>46004</v>
      </c>
      <c r="E2229" s="75" t="inlineStr">
        <is>
          <t>KR</t>
        </is>
      </c>
      <c r="F2229" s="75" t="n">
        <v>62102000</v>
      </c>
      <c r="G2229" s="75" t="n">
        <v>1301</v>
      </c>
      <c r="H2229" s="76" t="n">
        <v>67000</v>
      </c>
      <c r="I2229" s="75" t="inlineStr">
        <is>
          <t>12월 해외출장 - M항공</t>
        </is>
      </c>
      <c r="J2229" s="75" t="inlineStr">
        <is>
          <t>V10001</t>
        </is>
      </c>
      <c r="K2229" s="75" t="inlineStr">
        <is>
          <t>M항공</t>
        </is>
      </c>
      <c r="M2229" s="9">
        <f>IF($A2229="","",VALUE($A2229&amp;"")*12+VALUE($B2229&amp;""))</f>
        <v/>
      </c>
      <c r="N2229" s="39">
        <f>IF($A2229="","",IFERROR(INDEX(부서매핑!$C$5:$C$504,MATCH($G2229&amp;"",부서매핑!$A$5:$A$504,0)),"미매핑"))</f>
        <v/>
      </c>
      <c r="O2229" s="9">
        <f>IF($A2229="","",N2229&amp;"|"&amp;$F2229)</f>
        <v/>
      </c>
      <c r="P2229" s="77">
        <f>IF($A2229="",0,$H2229*설정!$C$23)</f>
        <v/>
      </c>
      <c r="Q2229" s="39">
        <f>IF($A2229="","",IF(O2229&lt;&gt;원인분석!$C$9,"",IF(AND(M2229&gt;=원인분석!$C$10,M2229&lt;=원인분석!$C$11),"당기",IF(AND(M2229&gt;=원인분석!$C$12,M2229&lt;=원인분석!$C$13),"비교",""))))</f>
        <v/>
      </c>
      <c r="R2229" s="9">
        <f>IF(Q2229="","",$K2229&amp;"")</f>
        <v/>
      </c>
      <c r="S2229" s="9">
        <f>IF(Q2229="","",IF(MATCH(R2229,$R$5:$R$100000,0)=ROW()-4,ROW(),""))</f>
        <v/>
      </c>
      <c r="T2229" s="9">
        <f>IF(Q2229="당기",ABS(P2229)+ROW()/1000000000,"")</f>
        <v/>
      </c>
      <c r="U2229" s="9">
        <f>IF(Q2229="비교",ABS(P2229)+ROW()/1000000000,"")</f>
        <v/>
      </c>
      <c r="V2229" s="39">
        <f>IF($A2229="","",IF(COUNTIF(변동분석!$E$7:$E$506,O2229)&gt;0,"Y","N"))</f>
        <v/>
      </c>
      <c r="W2229" s="39">
        <f>IF($A2229="","",IFERROR(INDEX(계정매핑!$D$5:$D$504,MATCH($F2229&amp;"",계정매핑!$A$5:$A$504,0)),"미매핑"))</f>
        <v/>
      </c>
      <c r="X2229" s="9">
        <f>IF($A2229="","",$F2229&amp;"")</f>
        <v/>
      </c>
    </row>
    <row r="2230">
      <c r="A2230" s="75" t="n">
        <v>2025</v>
      </c>
      <c r="B2230" s="75" t="n">
        <v>12</v>
      </c>
      <c r="C2230" s="75" t="inlineStr">
        <is>
          <t>5100002226</t>
        </is>
      </c>
      <c r="D2230" s="78" t="n">
        <v>46004</v>
      </c>
      <c r="E2230" s="75" t="inlineStr">
        <is>
          <t>KR</t>
        </is>
      </c>
      <c r="F2230" s="75" t="n">
        <v>62102000</v>
      </c>
      <c r="G2230" s="75" t="n">
        <v>1701</v>
      </c>
      <c r="H2230" s="76" t="n">
        <v>50000</v>
      </c>
      <c r="I2230" s="75" t="inlineStr">
        <is>
          <t>12월 해외출장 - N호텔</t>
        </is>
      </c>
      <c r="J2230" s="75" t="inlineStr">
        <is>
          <t>V10007</t>
        </is>
      </c>
      <c r="K2230" s="75" t="inlineStr">
        <is>
          <t>N호텔</t>
        </is>
      </c>
      <c r="M2230" s="9">
        <f>IF($A2230="","",VALUE($A2230&amp;"")*12+VALUE($B2230&amp;""))</f>
        <v/>
      </c>
      <c r="N2230" s="39">
        <f>IF($A2230="","",IFERROR(INDEX(부서매핑!$C$5:$C$504,MATCH($G2230&amp;"",부서매핑!$A$5:$A$504,0)),"미매핑"))</f>
        <v/>
      </c>
      <c r="O2230" s="9">
        <f>IF($A2230="","",N2230&amp;"|"&amp;$F2230)</f>
        <v/>
      </c>
      <c r="P2230" s="77">
        <f>IF($A2230="",0,$H2230*설정!$C$23)</f>
        <v/>
      </c>
      <c r="Q2230" s="39">
        <f>IF($A2230="","",IF(O2230&lt;&gt;원인분석!$C$9,"",IF(AND(M2230&gt;=원인분석!$C$10,M2230&lt;=원인분석!$C$11),"당기",IF(AND(M2230&gt;=원인분석!$C$12,M2230&lt;=원인분석!$C$13),"비교",""))))</f>
        <v/>
      </c>
      <c r="R2230" s="9">
        <f>IF(Q2230="","",$K2230&amp;"")</f>
        <v/>
      </c>
      <c r="S2230" s="9">
        <f>IF(Q2230="","",IF(MATCH(R2230,$R$5:$R$100000,0)=ROW()-4,ROW(),""))</f>
        <v/>
      </c>
      <c r="T2230" s="9">
        <f>IF(Q2230="당기",ABS(P2230)+ROW()/1000000000,"")</f>
        <v/>
      </c>
      <c r="U2230" s="9">
        <f>IF(Q2230="비교",ABS(P2230)+ROW()/1000000000,"")</f>
        <v/>
      </c>
      <c r="V2230" s="39">
        <f>IF($A2230="","",IF(COUNTIF(변동분석!$E$7:$E$506,O2230)&gt;0,"Y","N"))</f>
        <v/>
      </c>
      <c r="W2230" s="39">
        <f>IF($A2230="","",IFERROR(INDEX(계정매핑!$D$5:$D$504,MATCH($F2230&amp;"",계정매핑!$A$5:$A$504,0)),"미매핑"))</f>
        <v/>
      </c>
      <c r="X2230" s="9">
        <f>IF($A2230="","",$F2230&amp;"")</f>
        <v/>
      </c>
    </row>
    <row r="2231">
      <c r="A2231" s="75" t="n">
        <v>2025</v>
      </c>
      <c r="B2231" s="75" t="n">
        <v>12</v>
      </c>
      <c r="C2231" s="75" t="inlineStr">
        <is>
          <t>5100002227</t>
        </is>
      </c>
      <c r="D2231" s="78" t="n">
        <v>46004</v>
      </c>
      <c r="E2231" s="75" t="inlineStr">
        <is>
          <t>KR</t>
        </is>
      </c>
      <c r="F2231" s="75" t="n">
        <v>62201000</v>
      </c>
      <c r="G2231" s="75" t="n">
        <v>1701</v>
      </c>
      <c r="H2231" s="76" t="n">
        <v>6485000</v>
      </c>
      <c r="I2231" s="75" t="inlineStr">
        <is>
          <t>12월 통신요금 - O텔레콤</t>
        </is>
      </c>
      <c r="J2231" s="75" t="inlineStr">
        <is>
          <t>V10002</t>
        </is>
      </c>
      <c r="K2231" s="75" t="inlineStr">
        <is>
          <t>O텔레콤</t>
        </is>
      </c>
      <c r="M2231" s="9">
        <f>IF($A2231="","",VALUE($A2231&amp;"")*12+VALUE($B2231&amp;""))</f>
        <v/>
      </c>
      <c r="N2231" s="39">
        <f>IF($A2231="","",IFERROR(INDEX(부서매핑!$C$5:$C$504,MATCH($G2231&amp;"",부서매핑!$A$5:$A$504,0)),"미매핑"))</f>
        <v/>
      </c>
      <c r="O2231" s="9">
        <f>IF($A2231="","",N2231&amp;"|"&amp;$F2231)</f>
        <v/>
      </c>
      <c r="P2231" s="77">
        <f>IF($A2231="",0,$H2231*설정!$C$23)</f>
        <v/>
      </c>
      <c r="Q2231" s="39">
        <f>IF($A2231="","",IF(O2231&lt;&gt;원인분석!$C$9,"",IF(AND(M2231&gt;=원인분석!$C$10,M2231&lt;=원인분석!$C$11),"당기",IF(AND(M2231&gt;=원인분석!$C$12,M2231&lt;=원인분석!$C$13),"비교",""))))</f>
        <v/>
      </c>
      <c r="R2231" s="9">
        <f>IF(Q2231="","",$K2231&amp;"")</f>
        <v/>
      </c>
      <c r="S2231" s="9">
        <f>IF(Q2231="","",IF(MATCH(R2231,$R$5:$R$100000,0)=ROW()-4,ROW(),""))</f>
        <v/>
      </c>
      <c r="T2231" s="9">
        <f>IF(Q2231="당기",ABS(P2231)+ROW()/1000000000,"")</f>
        <v/>
      </c>
      <c r="U2231" s="9">
        <f>IF(Q2231="비교",ABS(P2231)+ROW()/1000000000,"")</f>
        <v/>
      </c>
      <c r="V2231" s="39">
        <f>IF($A2231="","",IF(COUNTIF(변동분석!$E$7:$E$506,O2231)&gt;0,"Y","N"))</f>
        <v/>
      </c>
      <c r="W2231" s="39">
        <f>IF($A2231="","",IFERROR(INDEX(계정매핑!$D$5:$D$504,MATCH($F2231&amp;"",계정매핑!$A$5:$A$504,0)),"미매핑"))</f>
        <v/>
      </c>
      <c r="X2231" s="9">
        <f>IF($A2231="","",$F2231&amp;"")</f>
        <v/>
      </c>
    </row>
    <row r="2232">
      <c r="A2232" s="75" t="n">
        <v>2025</v>
      </c>
      <c r="B2232" s="75" t="n">
        <v>12</v>
      </c>
      <c r="C2232" s="75" t="inlineStr">
        <is>
          <t>5100002228</t>
        </is>
      </c>
      <c r="D2232" s="78" t="n">
        <v>46004</v>
      </c>
      <c r="E2232" s="75" t="inlineStr">
        <is>
          <t>KR</t>
        </is>
      </c>
      <c r="F2232" s="75" t="n">
        <v>62401000</v>
      </c>
      <c r="G2232" s="75" t="n">
        <v>1801</v>
      </c>
      <c r="H2232" s="76" t="n">
        <v>1829000</v>
      </c>
      <c r="I2232" s="75" t="inlineStr">
        <is>
          <t>12월 인쇄물 제작 - G인쇄</t>
        </is>
      </c>
      <c r="J2232" s="75" t="inlineStr">
        <is>
          <t>V10004</t>
        </is>
      </c>
      <c r="K2232" s="75" t="inlineStr">
        <is>
          <t>G인쇄</t>
        </is>
      </c>
      <c r="M2232" s="9">
        <f>IF($A2232="","",VALUE($A2232&amp;"")*12+VALUE($B2232&amp;""))</f>
        <v/>
      </c>
      <c r="N2232" s="39">
        <f>IF($A2232="","",IFERROR(INDEX(부서매핑!$C$5:$C$504,MATCH($G2232&amp;"",부서매핑!$A$5:$A$504,0)),"미매핑"))</f>
        <v/>
      </c>
      <c r="O2232" s="9">
        <f>IF($A2232="","",N2232&amp;"|"&amp;$F2232)</f>
        <v/>
      </c>
      <c r="P2232" s="77">
        <f>IF($A2232="",0,$H2232*설정!$C$23)</f>
        <v/>
      </c>
      <c r="Q2232" s="39">
        <f>IF($A2232="","",IF(O2232&lt;&gt;원인분석!$C$9,"",IF(AND(M2232&gt;=원인분석!$C$10,M2232&lt;=원인분석!$C$11),"당기",IF(AND(M2232&gt;=원인분석!$C$12,M2232&lt;=원인분석!$C$13),"비교",""))))</f>
        <v/>
      </c>
      <c r="R2232" s="9">
        <f>IF(Q2232="","",$K2232&amp;"")</f>
        <v/>
      </c>
      <c r="S2232" s="9">
        <f>IF(Q2232="","",IF(MATCH(R2232,$R$5:$R$100000,0)=ROW()-4,ROW(),""))</f>
        <v/>
      </c>
      <c r="T2232" s="9">
        <f>IF(Q2232="당기",ABS(P2232)+ROW()/1000000000,"")</f>
        <v/>
      </c>
      <c r="U2232" s="9">
        <f>IF(Q2232="비교",ABS(P2232)+ROW()/1000000000,"")</f>
        <v/>
      </c>
      <c r="V2232" s="39">
        <f>IF($A2232="","",IF(COUNTIF(변동분석!$E$7:$E$506,O2232)&gt;0,"Y","N"))</f>
        <v/>
      </c>
      <c r="W2232" s="39">
        <f>IF($A2232="","",IFERROR(INDEX(계정매핑!$D$5:$D$504,MATCH($F2232&amp;"",계정매핑!$A$5:$A$504,0)),"미매핑"))</f>
        <v/>
      </c>
      <c r="X2232" s="9">
        <f>IF($A2232="","",$F2232&amp;"")</f>
        <v/>
      </c>
    </row>
    <row r="2233">
      <c r="A2233" s="75" t="n">
        <v>2025</v>
      </c>
      <c r="B2233" s="75" t="n">
        <v>12</v>
      </c>
      <c r="C2233" s="75" t="inlineStr">
        <is>
          <t>5100002229</t>
        </is>
      </c>
      <c r="D2233" s="78" t="n">
        <v>46004</v>
      </c>
      <c r="E2233" s="75" t="inlineStr">
        <is>
          <t>KR</t>
        </is>
      </c>
      <c r="F2233" s="75" t="n">
        <v>62601000</v>
      </c>
      <c r="G2233" s="75" t="n">
        <v>1101</v>
      </c>
      <c r="H2233" s="76" t="n">
        <v>3439000</v>
      </c>
      <c r="I2233" s="75" t="inlineStr">
        <is>
          <t>12월 업무추진 - (법인카드)</t>
        </is>
      </c>
      <c r="J2233" s="75" t="inlineStr">
        <is>
          <t>V10008</t>
        </is>
      </c>
      <c r="K2233" s="75" t="inlineStr">
        <is>
          <t>(법인카드)</t>
        </is>
      </c>
      <c r="M2233" s="9">
        <f>IF($A2233="","",VALUE($A2233&amp;"")*12+VALUE($B2233&amp;""))</f>
        <v/>
      </c>
      <c r="N2233" s="39">
        <f>IF($A2233="","",IFERROR(INDEX(부서매핑!$C$5:$C$504,MATCH($G2233&amp;"",부서매핑!$A$5:$A$504,0)),"미매핑"))</f>
        <v/>
      </c>
      <c r="O2233" s="9">
        <f>IF($A2233="","",N2233&amp;"|"&amp;$F2233)</f>
        <v/>
      </c>
      <c r="P2233" s="77">
        <f>IF($A2233="",0,$H2233*설정!$C$23)</f>
        <v/>
      </c>
      <c r="Q2233" s="39">
        <f>IF($A2233="","",IF(O2233&lt;&gt;원인분석!$C$9,"",IF(AND(M2233&gt;=원인분석!$C$10,M2233&lt;=원인분석!$C$11),"당기",IF(AND(M2233&gt;=원인분석!$C$12,M2233&lt;=원인분석!$C$13),"비교",""))))</f>
        <v/>
      </c>
      <c r="R2233" s="9">
        <f>IF(Q2233="","",$K2233&amp;"")</f>
        <v/>
      </c>
      <c r="S2233" s="9">
        <f>IF(Q2233="","",IF(MATCH(R2233,$R$5:$R$100000,0)=ROW()-4,ROW(),""))</f>
        <v/>
      </c>
      <c r="T2233" s="9">
        <f>IF(Q2233="당기",ABS(P2233)+ROW()/1000000000,"")</f>
        <v/>
      </c>
      <c r="U2233" s="9">
        <f>IF(Q2233="비교",ABS(P2233)+ROW()/1000000000,"")</f>
        <v/>
      </c>
      <c r="V2233" s="39">
        <f>IF($A2233="","",IF(COUNTIF(변동분석!$E$7:$E$506,O2233)&gt;0,"Y","N"))</f>
        <v/>
      </c>
      <c r="W2233" s="39">
        <f>IF($A2233="","",IFERROR(INDEX(계정매핑!$D$5:$D$504,MATCH($F2233&amp;"",계정매핑!$A$5:$A$504,0)),"미매핑"))</f>
        <v/>
      </c>
      <c r="X2233" s="9">
        <f>IF($A2233="","",$F2233&amp;"")</f>
        <v/>
      </c>
    </row>
    <row r="2234">
      <c r="A2234" s="75" t="n">
        <v>2025</v>
      </c>
      <c r="B2234" s="75" t="n">
        <v>12</v>
      </c>
      <c r="C2234" s="75" t="inlineStr">
        <is>
          <t>5100002230</t>
        </is>
      </c>
      <c r="D2234" s="78" t="n">
        <v>46004</v>
      </c>
      <c r="E2234" s="75" t="inlineStr">
        <is>
          <t>KR</t>
        </is>
      </c>
      <c r="F2234" s="75" t="n">
        <v>62802000</v>
      </c>
      <c r="G2234" s="75" t="n">
        <v>1301</v>
      </c>
      <c r="H2234" s="76" t="n">
        <v>8607000</v>
      </c>
      <c r="I2234" s="75" t="inlineStr">
        <is>
          <t>12월 위탁교육 - I교육원</t>
        </is>
      </c>
      <c r="J2234" s="75" t="inlineStr">
        <is>
          <t>V10015</t>
        </is>
      </c>
      <c r="K2234" s="75" t="inlineStr">
        <is>
          <t>I교육원</t>
        </is>
      </c>
      <c r="M2234" s="9">
        <f>IF($A2234="","",VALUE($A2234&amp;"")*12+VALUE($B2234&amp;""))</f>
        <v/>
      </c>
      <c r="N2234" s="39">
        <f>IF($A2234="","",IFERROR(INDEX(부서매핑!$C$5:$C$504,MATCH($G2234&amp;"",부서매핑!$A$5:$A$504,0)),"미매핑"))</f>
        <v/>
      </c>
      <c r="O2234" s="9">
        <f>IF($A2234="","",N2234&amp;"|"&amp;$F2234)</f>
        <v/>
      </c>
      <c r="P2234" s="77">
        <f>IF($A2234="",0,$H2234*설정!$C$23)</f>
        <v/>
      </c>
      <c r="Q2234" s="39">
        <f>IF($A2234="","",IF(O2234&lt;&gt;원인분석!$C$9,"",IF(AND(M2234&gt;=원인분석!$C$10,M2234&lt;=원인분석!$C$11),"당기",IF(AND(M2234&gt;=원인분석!$C$12,M2234&lt;=원인분석!$C$13),"비교",""))))</f>
        <v/>
      </c>
      <c r="R2234" s="9">
        <f>IF(Q2234="","",$K2234&amp;"")</f>
        <v/>
      </c>
      <c r="S2234" s="9">
        <f>IF(Q2234="","",IF(MATCH(R2234,$R$5:$R$100000,0)=ROW()-4,ROW(),""))</f>
        <v/>
      </c>
      <c r="T2234" s="9">
        <f>IF(Q2234="당기",ABS(P2234)+ROW()/1000000000,"")</f>
        <v/>
      </c>
      <c r="U2234" s="9">
        <f>IF(Q2234="비교",ABS(P2234)+ROW()/1000000000,"")</f>
        <v/>
      </c>
      <c r="V2234" s="39">
        <f>IF($A2234="","",IF(COUNTIF(변동분석!$E$7:$E$506,O2234)&gt;0,"Y","N"))</f>
        <v/>
      </c>
      <c r="W2234" s="39">
        <f>IF($A2234="","",IFERROR(INDEX(계정매핑!$D$5:$D$504,MATCH($F2234&amp;"",계정매핑!$A$5:$A$504,0)),"미매핑"))</f>
        <v/>
      </c>
      <c r="X2234" s="9">
        <f>IF($A2234="","",$F2234&amp;"")</f>
        <v/>
      </c>
    </row>
    <row r="2235">
      <c r="A2235" s="75" t="n">
        <v>2025</v>
      </c>
      <c r="B2235" s="75" t="n">
        <v>12</v>
      </c>
      <c r="C2235" s="75" t="inlineStr">
        <is>
          <t>5100002231</t>
        </is>
      </c>
      <c r="D2235" s="78" t="n">
        <v>46005</v>
      </c>
      <c r="E2235" s="75" t="inlineStr">
        <is>
          <t>KR</t>
        </is>
      </c>
      <c r="F2235" s="75" t="n">
        <v>62101000</v>
      </c>
      <c r="G2235" s="75" t="n">
        <v>1301</v>
      </c>
      <c r="H2235" s="76" t="n">
        <v>271000</v>
      </c>
      <c r="I2235" s="75" t="inlineStr">
        <is>
          <t>12월 국내출장 - M항공</t>
        </is>
      </c>
      <c r="J2235" s="75" t="inlineStr">
        <is>
          <t>V10001</t>
        </is>
      </c>
      <c r="K2235" s="75" t="inlineStr">
        <is>
          <t>M항공</t>
        </is>
      </c>
      <c r="M2235" s="9">
        <f>IF($A2235="","",VALUE($A2235&amp;"")*12+VALUE($B2235&amp;""))</f>
        <v/>
      </c>
      <c r="N2235" s="39">
        <f>IF($A2235="","",IFERROR(INDEX(부서매핑!$C$5:$C$504,MATCH($G2235&amp;"",부서매핑!$A$5:$A$504,0)),"미매핑"))</f>
        <v/>
      </c>
      <c r="O2235" s="9">
        <f>IF($A2235="","",N2235&amp;"|"&amp;$F2235)</f>
        <v/>
      </c>
      <c r="P2235" s="77">
        <f>IF($A2235="",0,$H2235*설정!$C$23)</f>
        <v/>
      </c>
      <c r="Q2235" s="39">
        <f>IF($A2235="","",IF(O2235&lt;&gt;원인분석!$C$9,"",IF(AND(M2235&gt;=원인분석!$C$10,M2235&lt;=원인분석!$C$11),"당기",IF(AND(M2235&gt;=원인분석!$C$12,M2235&lt;=원인분석!$C$13),"비교",""))))</f>
        <v/>
      </c>
      <c r="R2235" s="9">
        <f>IF(Q2235="","",$K2235&amp;"")</f>
        <v/>
      </c>
      <c r="S2235" s="9">
        <f>IF(Q2235="","",IF(MATCH(R2235,$R$5:$R$100000,0)=ROW()-4,ROW(),""))</f>
        <v/>
      </c>
      <c r="T2235" s="9">
        <f>IF(Q2235="당기",ABS(P2235)+ROW()/1000000000,"")</f>
        <v/>
      </c>
      <c r="U2235" s="9">
        <f>IF(Q2235="비교",ABS(P2235)+ROW()/1000000000,"")</f>
        <v/>
      </c>
      <c r="V2235" s="39">
        <f>IF($A2235="","",IF(COUNTIF(변동분석!$E$7:$E$506,O2235)&gt;0,"Y","N"))</f>
        <v/>
      </c>
      <c r="W2235" s="39">
        <f>IF($A2235="","",IFERROR(INDEX(계정매핑!$D$5:$D$504,MATCH($F2235&amp;"",계정매핑!$A$5:$A$504,0)),"미매핑"))</f>
        <v/>
      </c>
      <c r="X2235" s="9">
        <f>IF($A2235="","",$F2235&amp;"")</f>
        <v/>
      </c>
    </row>
    <row r="2236">
      <c r="A2236" s="75" t="n">
        <v>2025</v>
      </c>
      <c r="B2236" s="75" t="n">
        <v>12</v>
      </c>
      <c r="C2236" s="75" t="inlineStr">
        <is>
          <t>5100002232</t>
        </is>
      </c>
      <c r="D2236" s="78" t="n">
        <v>46005</v>
      </c>
      <c r="E2236" s="75" t="inlineStr">
        <is>
          <t>KR</t>
        </is>
      </c>
      <c r="F2236" s="75" t="n">
        <v>62301000</v>
      </c>
      <c r="G2236" s="75" t="n">
        <v>1501</v>
      </c>
      <c r="H2236" s="76" t="n">
        <v>168000</v>
      </c>
      <c r="I2236" s="75" t="inlineStr">
        <is>
          <t>12월 소모품 구입 - Q오피스</t>
        </is>
      </c>
      <c r="J2236" s="75" t="inlineStr">
        <is>
          <t>V10003</t>
        </is>
      </c>
      <c r="K2236" s="75" t="inlineStr">
        <is>
          <t>Q오피스</t>
        </is>
      </c>
      <c r="M2236" s="9">
        <f>IF($A2236="","",VALUE($A2236&amp;"")*12+VALUE($B2236&amp;""))</f>
        <v/>
      </c>
      <c r="N2236" s="39">
        <f>IF($A2236="","",IFERROR(INDEX(부서매핑!$C$5:$C$504,MATCH($G2236&amp;"",부서매핑!$A$5:$A$504,0)),"미매핑"))</f>
        <v/>
      </c>
      <c r="O2236" s="9">
        <f>IF($A2236="","",N2236&amp;"|"&amp;$F2236)</f>
        <v/>
      </c>
      <c r="P2236" s="77">
        <f>IF($A2236="",0,$H2236*설정!$C$23)</f>
        <v/>
      </c>
      <c r="Q2236" s="39">
        <f>IF($A2236="","",IF(O2236&lt;&gt;원인분석!$C$9,"",IF(AND(M2236&gt;=원인분석!$C$10,M2236&lt;=원인분석!$C$11),"당기",IF(AND(M2236&gt;=원인분석!$C$12,M2236&lt;=원인분석!$C$13),"비교",""))))</f>
        <v/>
      </c>
      <c r="R2236" s="9">
        <f>IF(Q2236="","",$K2236&amp;"")</f>
        <v/>
      </c>
      <c r="S2236" s="9">
        <f>IF(Q2236="","",IF(MATCH(R2236,$R$5:$R$100000,0)=ROW()-4,ROW(),""))</f>
        <v/>
      </c>
      <c r="T2236" s="9">
        <f>IF(Q2236="당기",ABS(P2236)+ROW()/1000000000,"")</f>
        <v/>
      </c>
      <c r="U2236" s="9">
        <f>IF(Q2236="비교",ABS(P2236)+ROW()/1000000000,"")</f>
        <v/>
      </c>
      <c r="V2236" s="39">
        <f>IF($A2236="","",IF(COUNTIF(변동분석!$E$7:$E$506,O2236)&gt;0,"Y","N"))</f>
        <v/>
      </c>
      <c r="W2236" s="39">
        <f>IF($A2236="","",IFERROR(INDEX(계정매핑!$D$5:$D$504,MATCH($F2236&amp;"",계정매핑!$A$5:$A$504,0)),"미매핑"))</f>
        <v/>
      </c>
      <c r="X2236" s="9">
        <f>IF($A2236="","",$F2236&amp;"")</f>
        <v/>
      </c>
    </row>
    <row r="2237">
      <c r="A2237" s="75" t="n">
        <v>2025</v>
      </c>
      <c r="B2237" s="75" t="n">
        <v>12</v>
      </c>
      <c r="C2237" s="75" t="inlineStr">
        <is>
          <t>5100002233</t>
        </is>
      </c>
      <c r="D2237" s="78" t="n">
        <v>46005</v>
      </c>
      <c r="E2237" s="75" t="inlineStr">
        <is>
          <t>KR</t>
        </is>
      </c>
      <c r="F2237" s="75" t="n">
        <v>62301000</v>
      </c>
      <c r="G2237" s="75" t="n">
        <v>1701</v>
      </c>
      <c r="H2237" s="76" t="n">
        <v>353000</v>
      </c>
      <c r="I2237" s="75" t="inlineStr">
        <is>
          <t>12월 소모품 구입 - Q오피스</t>
        </is>
      </c>
      <c r="J2237" s="75" t="inlineStr">
        <is>
          <t>V10003</t>
        </is>
      </c>
      <c r="K2237" s="75" t="inlineStr">
        <is>
          <t>Q오피스</t>
        </is>
      </c>
      <c r="M2237" s="9">
        <f>IF($A2237="","",VALUE($A2237&amp;"")*12+VALUE($B2237&amp;""))</f>
        <v/>
      </c>
      <c r="N2237" s="39">
        <f>IF($A2237="","",IFERROR(INDEX(부서매핑!$C$5:$C$504,MATCH($G2237&amp;"",부서매핑!$A$5:$A$504,0)),"미매핑"))</f>
        <v/>
      </c>
      <c r="O2237" s="9">
        <f>IF($A2237="","",N2237&amp;"|"&amp;$F2237)</f>
        <v/>
      </c>
      <c r="P2237" s="77">
        <f>IF($A2237="",0,$H2237*설정!$C$23)</f>
        <v/>
      </c>
      <c r="Q2237" s="39">
        <f>IF($A2237="","",IF(O2237&lt;&gt;원인분석!$C$9,"",IF(AND(M2237&gt;=원인분석!$C$10,M2237&lt;=원인분석!$C$11),"당기",IF(AND(M2237&gt;=원인분석!$C$12,M2237&lt;=원인분석!$C$13),"비교",""))))</f>
        <v/>
      </c>
      <c r="R2237" s="9">
        <f>IF(Q2237="","",$K2237&amp;"")</f>
        <v/>
      </c>
      <c r="S2237" s="9">
        <f>IF(Q2237="","",IF(MATCH(R2237,$R$5:$R$100000,0)=ROW()-4,ROW(),""))</f>
        <v/>
      </c>
      <c r="T2237" s="9">
        <f>IF(Q2237="당기",ABS(P2237)+ROW()/1000000000,"")</f>
        <v/>
      </c>
      <c r="U2237" s="9">
        <f>IF(Q2237="비교",ABS(P2237)+ROW()/1000000000,"")</f>
        <v/>
      </c>
      <c r="V2237" s="39">
        <f>IF($A2237="","",IF(COUNTIF(변동분석!$E$7:$E$506,O2237)&gt;0,"Y","N"))</f>
        <v/>
      </c>
      <c r="W2237" s="39">
        <f>IF($A2237="","",IFERROR(INDEX(계정매핑!$D$5:$D$504,MATCH($F2237&amp;"",계정매핑!$A$5:$A$504,0)),"미매핑"))</f>
        <v/>
      </c>
      <c r="X2237" s="9">
        <f>IF($A2237="","",$F2237&amp;"")</f>
        <v/>
      </c>
    </row>
    <row r="2238">
      <c r="A2238" s="75" t="n">
        <v>2025</v>
      </c>
      <c r="B2238" s="75" t="n">
        <v>12</v>
      </c>
      <c r="C2238" s="75" t="inlineStr">
        <is>
          <t>5100002234</t>
        </is>
      </c>
      <c r="D2238" s="78" t="n">
        <v>46005</v>
      </c>
      <c r="E2238" s="75" t="inlineStr">
        <is>
          <t>KR</t>
        </is>
      </c>
      <c r="F2238" s="75" t="n">
        <v>62601000</v>
      </c>
      <c r="G2238" s="75" t="n">
        <v>1501</v>
      </c>
      <c r="H2238" s="76" t="n">
        <v>1644000</v>
      </c>
      <c r="I2238" s="75" t="inlineStr">
        <is>
          <t>12월 업무추진 - (법인카드)</t>
        </is>
      </c>
      <c r="J2238" s="75" t="inlineStr">
        <is>
          <t>V10008</t>
        </is>
      </c>
      <c r="K2238" s="75" t="inlineStr">
        <is>
          <t>(법인카드)</t>
        </is>
      </c>
      <c r="M2238" s="9">
        <f>IF($A2238="","",VALUE($A2238&amp;"")*12+VALUE($B2238&amp;""))</f>
        <v/>
      </c>
      <c r="N2238" s="39">
        <f>IF($A2238="","",IFERROR(INDEX(부서매핑!$C$5:$C$504,MATCH($G2238&amp;"",부서매핑!$A$5:$A$504,0)),"미매핑"))</f>
        <v/>
      </c>
      <c r="O2238" s="9">
        <f>IF($A2238="","",N2238&amp;"|"&amp;$F2238)</f>
        <v/>
      </c>
      <c r="P2238" s="77">
        <f>IF($A2238="",0,$H2238*설정!$C$23)</f>
        <v/>
      </c>
      <c r="Q2238" s="39">
        <f>IF($A2238="","",IF(O2238&lt;&gt;원인분석!$C$9,"",IF(AND(M2238&gt;=원인분석!$C$10,M2238&lt;=원인분석!$C$11),"당기",IF(AND(M2238&gt;=원인분석!$C$12,M2238&lt;=원인분석!$C$13),"비교",""))))</f>
        <v/>
      </c>
      <c r="R2238" s="9">
        <f>IF(Q2238="","",$K2238&amp;"")</f>
        <v/>
      </c>
      <c r="S2238" s="9">
        <f>IF(Q2238="","",IF(MATCH(R2238,$R$5:$R$100000,0)=ROW()-4,ROW(),""))</f>
        <v/>
      </c>
      <c r="T2238" s="9">
        <f>IF(Q2238="당기",ABS(P2238)+ROW()/1000000000,"")</f>
        <v/>
      </c>
      <c r="U2238" s="9">
        <f>IF(Q2238="비교",ABS(P2238)+ROW()/1000000000,"")</f>
        <v/>
      </c>
      <c r="V2238" s="39">
        <f>IF($A2238="","",IF(COUNTIF(변동분석!$E$7:$E$506,O2238)&gt;0,"Y","N"))</f>
        <v/>
      </c>
      <c r="W2238" s="39">
        <f>IF($A2238="","",IFERROR(INDEX(계정매핑!$D$5:$D$504,MATCH($F2238&amp;"",계정매핑!$A$5:$A$504,0)),"미매핑"))</f>
        <v/>
      </c>
      <c r="X2238" s="9">
        <f>IF($A2238="","",$F2238&amp;"")</f>
        <v/>
      </c>
    </row>
    <row r="2239">
      <c r="A2239" s="75" t="n">
        <v>2025</v>
      </c>
      <c r="B2239" s="75" t="n">
        <v>12</v>
      </c>
      <c r="C2239" s="75" t="inlineStr">
        <is>
          <t>5100002235</t>
        </is>
      </c>
      <c r="D2239" s="78" t="n">
        <v>46005</v>
      </c>
      <c r="E2239" s="75" t="inlineStr">
        <is>
          <t>KR</t>
        </is>
      </c>
      <c r="F2239" s="75" t="n">
        <v>62901000</v>
      </c>
      <c r="G2239" s="75" t="n">
        <v>1801</v>
      </c>
      <c r="H2239" s="76" t="n">
        <v>9671000</v>
      </c>
      <c r="I2239" s="75" t="inlineStr">
        <is>
          <t>12월 자문 수수료 - K회계법인</t>
        </is>
      </c>
      <c r="J2239" s="75" t="inlineStr">
        <is>
          <t>V10010</t>
        </is>
      </c>
      <c r="K2239" s="75" t="inlineStr">
        <is>
          <t>K회계법인</t>
        </is>
      </c>
      <c r="M2239" s="9">
        <f>IF($A2239="","",VALUE($A2239&amp;"")*12+VALUE($B2239&amp;""))</f>
        <v/>
      </c>
      <c r="N2239" s="39">
        <f>IF($A2239="","",IFERROR(INDEX(부서매핑!$C$5:$C$504,MATCH($G2239&amp;"",부서매핑!$A$5:$A$504,0)),"미매핑"))</f>
        <v/>
      </c>
      <c r="O2239" s="9">
        <f>IF($A2239="","",N2239&amp;"|"&amp;$F2239)</f>
        <v/>
      </c>
      <c r="P2239" s="77">
        <f>IF($A2239="",0,$H2239*설정!$C$23)</f>
        <v/>
      </c>
      <c r="Q2239" s="39">
        <f>IF($A2239="","",IF(O2239&lt;&gt;원인분석!$C$9,"",IF(AND(M2239&gt;=원인분석!$C$10,M2239&lt;=원인분석!$C$11),"당기",IF(AND(M2239&gt;=원인분석!$C$12,M2239&lt;=원인분석!$C$13),"비교",""))))</f>
        <v/>
      </c>
      <c r="R2239" s="9">
        <f>IF(Q2239="","",$K2239&amp;"")</f>
        <v/>
      </c>
      <c r="S2239" s="9">
        <f>IF(Q2239="","",IF(MATCH(R2239,$R$5:$R$100000,0)=ROW()-4,ROW(),""))</f>
        <v/>
      </c>
      <c r="T2239" s="9">
        <f>IF(Q2239="당기",ABS(P2239)+ROW()/1000000000,"")</f>
        <v/>
      </c>
      <c r="U2239" s="9">
        <f>IF(Q2239="비교",ABS(P2239)+ROW()/1000000000,"")</f>
        <v/>
      </c>
      <c r="V2239" s="39">
        <f>IF($A2239="","",IF(COUNTIF(변동분석!$E$7:$E$506,O2239)&gt;0,"Y","N"))</f>
        <v/>
      </c>
      <c r="W2239" s="39">
        <f>IF($A2239="","",IFERROR(INDEX(계정매핑!$D$5:$D$504,MATCH($F2239&amp;"",계정매핑!$A$5:$A$504,0)),"미매핑"))</f>
        <v/>
      </c>
      <c r="X2239" s="9">
        <f>IF($A2239="","",$F2239&amp;"")</f>
        <v/>
      </c>
    </row>
    <row r="2240">
      <c r="A2240" s="75" t="n">
        <v>2025</v>
      </c>
      <c r="B2240" s="75" t="n">
        <v>12</v>
      </c>
      <c r="C2240" s="75" t="inlineStr">
        <is>
          <t>5100002236</t>
        </is>
      </c>
      <c r="D2240" s="78" t="n">
        <v>46005</v>
      </c>
      <c r="E2240" s="75" t="inlineStr">
        <is>
          <t>KR</t>
        </is>
      </c>
      <c r="F2240" s="75" t="n">
        <v>62902000</v>
      </c>
      <c r="G2240" s="75" t="n">
        <v>1401</v>
      </c>
      <c r="H2240" s="76" t="n">
        <v>2301000</v>
      </c>
      <c r="I2240" s="75" t="inlineStr">
        <is>
          <t>12월 업무 위탁 수수료 - J콜센터</t>
        </is>
      </c>
      <c r="J2240" s="75" t="inlineStr">
        <is>
          <t>V10013</t>
        </is>
      </c>
      <c r="K2240" s="75" t="inlineStr">
        <is>
          <t>J콜센터</t>
        </is>
      </c>
      <c r="M2240" s="9">
        <f>IF($A2240="","",VALUE($A2240&amp;"")*12+VALUE($B2240&amp;""))</f>
        <v/>
      </c>
      <c r="N2240" s="39">
        <f>IF($A2240="","",IFERROR(INDEX(부서매핑!$C$5:$C$504,MATCH($G2240&amp;"",부서매핑!$A$5:$A$504,0)),"미매핑"))</f>
        <v/>
      </c>
      <c r="O2240" s="9">
        <f>IF($A2240="","",N2240&amp;"|"&amp;$F2240)</f>
        <v/>
      </c>
      <c r="P2240" s="77">
        <f>IF($A2240="",0,$H2240*설정!$C$23)</f>
        <v/>
      </c>
      <c r="Q2240" s="39">
        <f>IF($A2240="","",IF(O2240&lt;&gt;원인분석!$C$9,"",IF(AND(M2240&gt;=원인분석!$C$10,M2240&lt;=원인분석!$C$11),"당기",IF(AND(M2240&gt;=원인분석!$C$12,M2240&lt;=원인분석!$C$13),"비교",""))))</f>
        <v/>
      </c>
      <c r="R2240" s="9">
        <f>IF(Q2240="","",$K2240&amp;"")</f>
        <v/>
      </c>
      <c r="S2240" s="9">
        <f>IF(Q2240="","",IF(MATCH(R2240,$R$5:$R$100000,0)=ROW()-4,ROW(),""))</f>
        <v/>
      </c>
      <c r="T2240" s="9">
        <f>IF(Q2240="당기",ABS(P2240)+ROW()/1000000000,"")</f>
        <v/>
      </c>
      <c r="U2240" s="9">
        <f>IF(Q2240="비교",ABS(P2240)+ROW()/1000000000,"")</f>
        <v/>
      </c>
      <c r="V2240" s="39">
        <f>IF($A2240="","",IF(COUNTIF(변동분석!$E$7:$E$506,O2240)&gt;0,"Y","N"))</f>
        <v/>
      </c>
      <c r="W2240" s="39">
        <f>IF($A2240="","",IFERROR(INDEX(계정매핑!$D$5:$D$504,MATCH($F2240&amp;"",계정매핑!$A$5:$A$504,0)),"미매핑"))</f>
        <v/>
      </c>
      <c r="X2240" s="9">
        <f>IF($A2240="","",$F2240&amp;"")</f>
        <v/>
      </c>
    </row>
    <row r="2241">
      <c r="A2241" s="75" t="n">
        <v>2025</v>
      </c>
      <c r="B2241" s="75" t="n">
        <v>12</v>
      </c>
      <c r="C2241" s="75" t="inlineStr">
        <is>
          <t>5100002237</t>
        </is>
      </c>
      <c r="D2241" s="78" t="n">
        <v>46005</v>
      </c>
      <c r="E2241" s="75" t="inlineStr">
        <is>
          <t>KR</t>
        </is>
      </c>
      <c r="F2241" s="75" t="n">
        <v>62902000</v>
      </c>
      <c r="G2241" s="75" t="n">
        <v>1801</v>
      </c>
      <c r="H2241" s="76" t="n">
        <v>1754000</v>
      </c>
      <c r="I2241" s="75" t="inlineStr">
        <is>
          <t>12월 콜 위탁 수수료(건별)</t>
        </is>
      </c>
      <c r="J2241" s="75" t="inlineStr">
        <is>
          <t>V10013</t>
        </is>
      </c>
      <c r="K2241" s="75" t="inlineStr">
        <is>
          <t>J콜센터</t>
        </is>
      </c>
      <c r="M2241" s="9">
        <f>IF($A2241="","",VALUE($A2241&amp;"")*12+VALUE($B2241&amp;""))</f>
        <v/>
      </c>
      <c r="N2241" s="39">
        <f>IF($A2241="","",IFERROR(INDEX(부서매핑!$C$5:$C$504,MATCH($G2241&amp;"",부서매핑!$A$5:$A$504,0)),"미매핑"))</f>
        <v/>
      </c>
      <c r="O2241" s="9">
        <f>IF($A2241="","",N2241&amp;"|"&amp;$F2241)</f>
        <v/>
      </c>
      <c r="P2241" s="77">
        <f>IF($A2241="",0,$H2241*설정!$C$23)</f>
        <v/>
      </c>
      <c r="Q2241" s="39">
        <f>IF($A2241="","",IF(O2241&lt;&gt;원인분석!$C$9,"",IF(AND(M2241&gt;=원인분석!$C$10,M2241&lt;=원인분석!$C$11),"당기",IF(AND(M2241&gt;=원인분석!$C$12,M2241&lt;=원인분석!$C$13),"비교",""))))</f>
        <v/>
      </c>
      <c r="R2241" s="9">
        <f>IF(Q2241="","",$K2241&amp;"")</f>
        <v/>
      </c>
      <c r="S2241" s="9">
        <f>IF(Q2241="","",IF(MATCH(R2241,$R$5:$R$100000,0)=ROW()-4,ROW(),""))</f>
        <v/>
      </c>
      <c r="T2241" s="9">
        <f>IF(Q2241="당기",ABS(P2241)+ROW()/1000000000,"")</f>
        <v/>
      </c>
      <c r="U2241" s="9">
        <f>IF(Q2241="비교",ABS(P2241)+ROW()/1000000000,"")</f>
        <v/>
      </c>
      <c r="V2241" s="39">
        <f>IF($A2241="","",IF(COUNTIF(변동분석!$E$7:$E$506,O2241)&gt;0,"Y","N"))</f>
        <v/>
      </c>
      <c r="W2241" s="39">
        <f>IF($A2241="","",IFERROR(INDEX(계정매핑!$D$5:$D$504,MATCH($F2241&amp;"",계정매핑!$A$5:$A$504,0)),"미매핑"))</f>
        <v/>
      </c>
      <c r="X2241" s="9">
        <f>IF($A2241="","",$F2241&amp;"")</f>
        <v/>
      </c>
    </row>
    <row r="2242">
      <c r="A2242" s="75" t="n">
        <v>2025</v>
      </c>
      <c r="B2242" s="75" t="n">
        <v>12</v>
      </c>
      <c r="C2242" s="75" t="inlineStr">
        <is>
          <t>5100002238</t>
        </is>
      </c>
      <c r="D2242" s="78" t="n">
        <v>46006</v>
      </c>
      <c r="E2242" s="75" t="inlineStr">
        <is>
          <t>KR</t>
        </is>
      </c>
      <c r="F2242" s="75" t="n">
        <v>62101000</v>
      </c>
      <c r="G2242" s="75" t="n">
        <v>1101</v>
      </c>
      <c r="H2242" s="76" t="n">
        <v>420000</v>
      </c>
      <c r="I2242" s="75" t="inlineStr">
        <is>
          <t>12월 국내출장 - L여행사</t>
        </is>
      </c>
      <c r="J2242" s="75" t="inlineStr">
        <is>
          <t>V10014</t>
        </is>
      </c>
      <c r="K2242" s="75" t="inlineStr">
        <is>
          <t>L여행사</t>
        </is>
      </c>
      <c r="M2242" s="9">
        <f>IF($A2242="","",VALUE($A2242&amp;"")*12+VALUE($B2242&amp;""))</f>
        <v/>
      </c>
      <c r="N2242" s="39">
        <f>IF($A2242="","",IFERROR(INDEX(부서매핑!$C$5:$C$504,MATCH($G2242&amp;"",부서매핑!$A$5:$A$504,0)),"미매핑"))</f>
        <v/>
      </c>
      <c r="O2242" s="9">
        <f>IF($A2242="","",N2242&amp;"|"&amp;$F2242)</f>
        <v/>
      </c>
      <c r="P2242" s="77">
        <f>IF($A2242="",0,$H2242*설정!$C$23)</f>
        <v/>
      </c>
      <c r="Q2242" s="39">
        <f>IF($A2242="","",IF(O2242&lt;&gt;원인분석!$C$9,"",IF(AND(M2242&gt;=원인분석!$C$10,M2242&lt;=원인분석!$C$11),"당기",IF(AND(M2242&gt;=원인분석!$C$12,M2242&lt;=원인분석!$C$13),"비교",""))))</f>
        <v/>
      </c>
      <c r="R2242" s="9">
        <f>IF(Q2242="","",$K2242&amp;"")</f>
        <v/>
      </c>
      <c r="S2242" s="9">
        <f>IF(Q2242="","",IF(MATCH(R2242,$R$5:$R$100000,0)=ROW()-4,ROW(),""))</f>
        <v/>
      </c>
      <c r="T2242" s="9">
        <f>IF(Q2242="당기",ABS(P2242)+ROW()/1000000000,"")</f>
        <v/>
      </c>
      <c r="U2242" s="9">
        <f>IF(Q2242="비교",ABS(P2242)+ROW()/1000000000,"")</f>
        <v/>
      </c>
      <c r="V2242" s="39">
        <f>IF($A2242="","",IF(COUNTIF(변동분석!$E$7:$E$506,O2242)&gt;0,"Y","N"))</f>
        <v/>
      </c>
      <c r="W2242" s="39">
        <f>IF($A2242="","",IFERROR(INDEX(계정매핑!$D$5:$D$504,MATCH($F2242&amp;"",계정매핑!$A$5:$A$504,0)),"미매핑"))</f>
        <v/>
      </c>
      <c r="X2242" s="9">
        <f>IF($A2242="","",$F2242&amp;"")</f>
        <v/>
      </c>
    </row>
    <row r="2243">
      <c r="A2243" s="75" t="n">
        <v>2025</v>
      </c>
      <c r="B2243" s="75" t="n">
        <v>12</v>
      </c>
      <c r="C2243" s="75" t="inlineStr">
        <is>
          <t>5100002239</t>
        </is>
      </c>
      <c r="D2243" s="78" t="n">
        <v>46006</v>
      </c>
      <c r="E2243" s="75" t="inlineStr">
        <is>
          <t>KR</t>
        </is>
      </c>
      <c r="F2243" s="75" t="n">
        <v>62201000</v>
      </c>
      <c r="G2243" s="75" t="n">
        <v>1502</v>
      </c>
      <c r="H2243" s="76" t="n">
        <v>253000</v>
      </c>
      <c r="I2243" s="75" t="inlineStr">
        <is>
          <t>12월 통신요금 - P통신</t>
        </is>
      </c>
      <c r="J2243" s="75" t="inlineStr">
        <is>
          <t>V10011</t>
        </is>
      </c>
      <c r="K2243" s="75" t="inlineStr">
        <is>
          <t>P통신</t>
        </is>
      </c>
      <c r="M2243" s="9">
        <f>IF($A2243="","",VALUE($A2243&amp;"")*12+VALUE($B2243&amp;""))</f>
        <v/>
      </c>
      <c r="N2243" s="39">
        <f>IF($A2243="","",IFERROR(INDEX(부서매핑!$C$5:$C$504,MATCH($G2243&amp;"",부서매핑!$A$5:$A$504,0)),"미매핑"))</f>
        <v/>
      </c>
      <c r="O2243" s="9">
        <f>IF($A2243="","",N2243&amp;"|"&amp;$F2243)</f>
        <v/>
      </c>
      <c r="P2243" s="77">
        <f>IF($A2243="",0,$H2243*설정!$C$23)</f>
        <v/>
      </c>
      <c r="Q2243" s="39">
        <f>IF($A2243="","",IF(O2243&lt;&gt;원인분석!$C$9,"",IF(AND(M2243&gt;=원인분석!$C$10,M2243&lt;=원인분석!$C$11),"당기",IF(AND(M2243&gt;=원인분석!$C$12,M2243&lt;=원인분석!$C$13),"비교",""))))</f>
        <v/>
      </c>
      <c r="R2243" s="9">
        <f>IF(Q2243="","",$K2243&amp;"")</f>
        <v/>
      </c>
      <c r="S2243" s="9">
        <f>IF(Q2243="","",IF(MATCH(R2243,$R$5:$R$100000,0)=ROW()-4,ROW(),""))</f>
        <v/>
      </c>
      <c r="T2243" s="9">
        <f>IF(Q2243="당기",ABS(P2243)+ROW()/1000000000,"")</f>
        <v/>
      </c>
      <c r="U2243" s="9">
        <f>IF(Q2243="비교",ABS(P2243)+ROW()/1000000000,"")</f>
        <v/>
      </c>
      <c r="V2243" s="39">
        <f>IF($A2243="","",IF(COUNTIF(변동분석!$E$7:$E$506,O2243)&gt;0,"Y","N"))</f>
        <v/>
      </c>
      <c r="W2243" s="39">
        <f>IF($A2243="","",IFERROR(INDEX(계정매핑!$D$5:$D$504,MATCH($F2243&amp;"",계정매핑!$A$5:$A$504,0)),"미매핑"))</f>
        <v/>
      </c>
      <c r="X2243" s="9">
        <f>IF($A2243="","",$F2243&amp;"")</f>
        <v/>
      </c>
    </row>
    <row r="2244">
      <c r="A2244" s="75" t="n">
        <v>2025</v>
      </c>
      <c r="B2244" s="75" t="n">
        <v>12</v>
      </c>
      <c r="C2244" s="75" t="inlineStr">
        <is>
          <t>5100002240</t>
        </is>
      </c>
      <c r="D2244" s="78" t="n">
        <v>46006</v>
      </c>
      <c r="E2244" s="75" t="inlineStr">
        <is>
          <t>KR</t>
        </is>
      </c>
      <c r="F2244" s="75" t="n">
        <v>62301000</v>
      </c>
      <c r="G2244" s="75" t="n">
        <v>1602</v>
      </c>
      <c r="H2244" s="76" t="n">
        <v>402000</v>
      </c>
      <c r="I2244" s="75" t="inlineStr">
        <is>
          <t>12월 소모품 구입 - Q오피스</t>
        </is>
      </c>
      <c r="J2244" s="75" t="inlineStr">
        <is>
          <t>V10003</t>
        </is>
      </c>
      <c r="K2244" s="75" t="inlineStr">
        <is>
          <t>Q오피스</t>
        </is>
      </c>
      <c r="M2244" s="9">
        <f>IF($A2244="","",VALUE($A2244&amp;"")*12+VALUE($B2244&amp;""))</f>
        <v/>
      </c>
      <c r="N2244" s="39">
        <f>IF($A2244="","",IFERROR(INDEX(부서매핑!$C$5:$C$504,MATCH($G2244&amp;"",부서매핑!$A$5:$A$504,0)),"미매핑"))</f>
        <v/>
      </c>
      <c r="O2244" s="9">
        <f>IF($A2244="","",N2244&amp;"|"&amp;$F2244)</f>
        <v/>
      </c>
      <c r="P2244" s="77">
        <f>IF($A2244="",0,$H2244*설정!$C$23)</f>
        <v/>
      </c>
      <c r="Q2244" s="39">
        <f>IF($A2244="","",IF(O2244&lt;&gt;원인분석!$C$9,"",IF(AND(M2244&gt;=원인분석!$C$10,M2244&lt;=원인분석!$C$11),"당기",IF(AND(M2244&gt;=원인분석!$C$12,M2244&lt;=원인분석!$C$13),"비교",""))))</f>
        <v/>
      </c>
      <c r="R2244" s="9">
        <f>IF(Q2244="","",$K2244&amp;"")</f>
        <v/>
      </c>
      <c r="S2244" s="9">
        <f>IF(Q2244="","",IF(MATCH(R2244,$R$5:$R$100000,0)=ROW()-4,ROW(),""))</f>
        <v/>
      </c>
      <c r="T2244" s="9">
        <f>IF(Q2244="당기",ABS(P2244)+ROW()/1000000000,"")</f>
        <v/>
      </c>
      <c r="U2244" s="9">
        <f>IF(Q2244="비교",ABS(P2244)+ROW()/1000000000,"")</f>
        <v/>
      </c>
      <c r="V2244" s="39">
        <f>IF($A2244="","",IF(COUNTIF(변동분석!$E$7:$E$506,O2244)&gt;0,"Y","N"))</f>
        <v/>
      </c>
      <c r="W2244" s="39">
        <f>IF($A2244="","",IFERROR(INDEX(계정매핑!$D$5:$D$504,MATCH($F2244&amp;"",계정매핑!$A$5:$A$504,0)),"미매핑"))</f>
        <v/>
      </c>
      <c r="X2244" s="9">
        <f>IF($A2244="","",$F2244&amp;"")</f>
        <v/>
      </c>
    </row>
    <row r="2245">
      <c r="A2245" s="75" t="n">
        <v>2025</v>
      </c>
      <c r="B2245" s="75" t="n">
        <v>12</v>
      </c>
      <c r="C2245" s="75" t="inlineStr">
        <is>
          <t>5100002241</t>
        </is>
      </c>
      <c r="D2245" s="78" t="n">
        <v>46006</v>
      </c>
      <c r="E2245" s="75" t="inlineStr">
        <is>
          <t>KR</t>
        </is>
      </c>
      <c r="F2245" s="75" t="n">
        <v>62301000</v>
      </c>
      <c r="G2245" s="75" t="n">
        <v>1701</v>
      </c>
      <c r="H2245" s="76" t="n">
        <v>256000</v>
      </c>
      <c r="I2245" s="75" t="inlineStr">
        <is>
          <t>12월 소모품 구입 - Q오피스</t>
        </is>
      </c>
      <c r="J2245" s="75" t="inlineStr">
        <is>
          <t>V10003</t>
        </is>
      </c>
      <c r="K2245" s="75" t="inlineStr">
        <is>
          <t>Q오피스</t>
        </is>
      </c>
      <c r="M2245" s="9">
        <f>IF($A2245="","",VALUE($A2245&amp;"")*12+VALUE($B2245&amp;""))</f>
        <v/>
      </c>
      <c r="N2245" s="39">
        <f>IF($A2245="","",IFERROR(INDEX(부서매핑!$C$5:$C$504,MATCH($G2245&amp;"",부서매핑!$A$5:$A$504,0)),"미매핑"))</f>
        <v/>
      </c>
      <c r="O2245" s="9">
        <f>IF($A2245="","",N2245&amp;"|"&amp;$F2245)</f>
        <v/>
      </c>
      <c r="P2245" s="77">
        <f>IF($A2245="",0,$H2245*설정!$C$23)</f>
        <v/>
      </c>
      <c r="Q2245" s="39">
        <f>IF($A2245="","",IF(O2245&lt;&gt;원인분석!$C$9,"",IF(AND(M2245&gt;=원인분석!$C$10,M2245&lt;=원인분석!$C$11),"당기",IF(AND(M2245&gt;=원인분석!$C$12,M2245&lt;=원인분석!$C$13),"비교",""))))</f>
        <v/>
      </c>
      <c r="R2245" s="9">
        <f>IF(Q2245="","",$K2245&amp;"")</f>
        <v/>
      </c>
      <c r="S2245" s="9">
        <f>IF(Q2245="","",IF(MATCH(R2245,$R$5:$R$100000,0)=ROW()-4,ROW(),""))</f>
        <v/>
      </c>
      <c r="T2245" s="9">
        <f>IF(Q2245="당기",ABS(P2245)+ROW()/1000000000,"")</f>
        <v/>
      </c>
      <c r="U2245" s="9">
        <f>IF(Q2245="비교",ABS(P2245)+ROW()/1000000000,"")</f>
        <v/>
      </c>
      <c r="V2245" s="39">
        <f>IF($A2245="","",IF(COUNTIF(변동분석!$E$7:$E$506,O2245)&gt;0,"Y","N"))</f>
        <v/>
      </c>
      <c r="W2245" s="39">
        <f>IF($A2245="","",IFERROR(INDEX(계정매핑!$D$5:$D$504,MATCH($F2245&amp;"",계정매핑!$A$5:$A$504,0)),"미매핑"))</f>
        <v/>
      </c>
      <c r="X2245" s="9">
        <f>IF($A2245="","",$F2245&amp;"")</f>
        <v/>
      </c>
    </row>
    <row r="2246">
      <c r="A2246" s="75" t="n">
        <v>2025</v>
      </c>
      <c r="B2246" s="75" t="n">
        <v>12</v>
      </c>
      <c r="C2246" s="75" t="inlineStr">
        <is>
          <t>5100002242</t>
        </is>
      </c>
      <c r="D2246" s="78" t="n">
        <v>46007</v>
      </c>
      <c r="E2246" s="75" t="inlineStr">
        <is>
          <t>KR</t>
        </is>
      </c>
      <c r="F2246" s="75" t="n">
        <v>62101000</v>
      </c>
      <c r="G2246" s="75" t="n">
        <v>1301</v>
      </c>
      <c r="H2246" s="76" t="n">
        <v>395000</v>
      </c>
      <c r="I2246" s="75" t="inlineStr">
        <is>
          <t>12월 국내출장 - L여행사</t>
        </is>
      </c>
      <c r="J2246" s="75" t="inlineStr">
        <is>
          <t>V10014</t>
        </is>
      </c>
      <c r="K2246" s="75" t="inlineStr">
        <is>
          <t>L여행사</t>
        </is>
      </c>
      <c r="M2246" s="9">
        <f>IF($A2246="","",VALUE($A2246&amp;"")*12+VALUE($B2246&amp;""))</f>
        <v/>
      </c>
      <c r="N2246" s="39">
        <f>IF($A2246="","",IFERROR(INDEX(부서매핑!$C$5:$C$504,MATCH($G2246&amp;"",부서매핑!$A$5:$A$504,0)),"미매핑"))</f>
        <v/>
      </c>
      <c r="O2246" s="9">
        <f>IF($A2246="","",N2246&amp;"|"&amp;$F2246)</f>
        <v/>
      </c>
      <c r="P2246" s="77">
        <f>IF($A2246="",0,$H2246*설정!$C$23)</f>
        <v/>
      </c>
      <c r="Q2246" s="39">
        <f>IF($A2246="","",IF(O2246&lt;&gt;원인분석!$C$9,"",IF(AND(M2246&gt;=원인분석!$C$10,M2246&lt;=원인분석!$C$11),"당기",IF(AND(M2246&gt;=원인분석!$C$12,M2246&lt;=원인분석!$C$13),"비교",""))))</f>
        <v/>
      </c>
      <c r="R2246" s="9">
        <f>IF(Q2246="","",$K2246&amp;"")</f>
        <v/>
      </c>
      <c r="S2246" s="9">
        <f>IF(Q2246="","",IF(MATCH(R2246,$R$5:$R$100000,0)=ROW()-4,ROW(),""))</f>
        <v/>
      </c>
      <c r="T2246" s="9">
        <f>IF(Q2246="당기",ABS(P2246)+ROW()/1000000000,"")</f>
        <v/>
      </c>
      <c r="U2246" s="9">
        <f>IF(Q2246="비교",ABS(P2246)+ROW()/1000000000,"")</f>
        <v/>
      </c>
      <c r="V2246" s="39">
        <f>IF($A2246="","",IF(COUNTIF(변동분석!$E$7:$E$506,O2246)&gt;0,"Y","N"))</f>
        <v/>
      </c>
      <c r="W2246" s="39">
        <f>IF($A2246="","",IFERROR(INDEX(계정매핑!$D$5:$D$504,MATCH($F2246&amp;"",계정매핑!$A$5:$A$504,0)),"미매핑"))</f>
        <v/>
      </c>
      <c r="X2246" s="9">
        <f>IF($A2246="","",$F2246&amp;"")</f>
        <v/>
      </c>
    </row>
    <row r="2247">
      <c r="A2247" s="75" t="n">
        <v>2025</v>
      </c>
      <c r="B2247" s="75" t="n">
        <v>12</v>
      </c>
      <c r="C2247" s="75" t="inlineStr">
        <is>
          <t>5100002243</t>
        </is>
      </c>
      <c r="D2247" s="78" t="n">
        <v>46007</v>
      </c>
      <c r="E2247" s="75" t="inlineStr">
        <is>
          <t>KR</t>
        </is>
      </c>
      <c r="F2247" s="75" t="n">
        <v>62101000</v>
      </c>
      <c r="G2247" s="75" t="n">
        <v>1601</v>
      </c>
      <c r="H2247" s="76" t="n">
        <v>790000</v>
      </c>
      <c r="I2247" s="75" t="inlineStr">
        <is>
          <t>12월 국내출장 - (법인카드)</t>
        </is>
      </c>
      <c r="J2247" s="75" t="inlineStr">
        <is>
          <t>V10008</t>
        </is>
      </c>
      <c r="K2247" s="75" t="inlineStr">
        <is>
          <t>(법인카드)</t>
        </is>
      </c>
      <c r="M2247" s="9">
        <f>IF($A2247="","",VALUE($A2247&amp;"")*12+VALUE($B2247&amp;""))</f>
        <v/>
      </c>
      <c r="N2247" s="39">
        <f>IF($A2247="","",IFERROR(INDEX(부서매핑!$C$5:$C$504,MATCH($G2247&amp;"",부서매핑!$A$5:$A$504,0)),"미매핑"))</f>
        <v/>
      </c>
      <c r="O2247" s="9">
        <f>IF($A2247="","",N2247&amp;"|"&amp;$F2247)</f>
        <v/>
      </c>
      <c r="P2247" s="77">
        <f>IF($A2247="",0,$H2247*설정!$C$23)</f>
        <v/>
      </c>
      <c r="Q2247" s="39">
        <f>IF($A2247="","",IF(O2247&lt;&gt;원인분석!$C$9,"",IF(AND(M2247&gt;=원인분석!$C$10,M2247&lt;=원인분석!$C$11),"당기",IF(AND(M2247&gt;=원인분석!$C$12,M2247&lt;=원인분석!$C$13),"비교",""))))</f>
        <v/>
      </c>
      <c r="R2247" s="9">
        <f>IF(Q2247="","",$K2247&amp;"")</f>
        <v/>
      </c>
      <c r="S2247" s="9">
        <f>IF(Q2247="","",IF(MATCH(R2247,$R$5:$R$100000,0)=ROW()-4,ROW(),""))</f>
        <v/>
      </c>
      <c r="T2247" s="9">
        <f>IF(Q2247="당기",ABS(P2247)+ROW()/1000000000,"")</f>
        <v/>
      </c>
      <c r="U2247" s="9">
        <f>IF(Q2247="비교",ABS(P2247)+ROW()/1000000000,"")</f>
        <v/>
      </c>
      <c r="V2247" s="39">
        <f>IF($A2247="","",IF(COUNTIF(변동분석!$E$7:$E$506,O2247)&gt;0,"Y","N"))</f>
        <v/>
      </c>
      <c r="W2247" s="39">
        <f>IF($A2247="","",IFERROR(INDEX(계정매핑!$D$5:$D$504,MATCH($F2247&amp;"",계정매핑!$A$5:$A$504,0)),"미매핑"))</f>
        <v/>
      </c>
      <c r="X2247" s="9">
        <f>IF($A2247="","",$F2247&amp;"")</f>
        <v/>
      </c>
    </row>
    <row r="2248">
      <c r="A2248" s="75" t="n">
        <v>2025</v>
      </c>
      <c r="B2248" s="75" t="n">
        <v>12</v>
      </c>
      <c r="C2248" s="75" t="inlineStr">
        <is>
          <t>5100002244</t>
        </is>
      </c>
      <c r="D2248" s="78" t="n">
        <v>46007</v>
      </c>
      <c r="E2248" s="75" t="inlineStr">
        <is>
          <t>KR</t>
        </is>
      </c>
      <c r="F2248" s="75" t="n">
        <v>62102000</v>
      </c>
      <c r="G2248" s="75" t="n">
        <v>1801</v>
      </c>
      <c r="H2248" s="76" t="n">
        <v>35000</v>
      </c>
      <c r="I2248" s="75" t="inlineStr">
        <is>
          <t>12월 해외출장 - M항공</t>
        </is>
      </c>
      <c r="J2248" s="75" t="inlineStr">
        <is>
          <t>V10001</t>
        </is>
      </c>
      <c r="K2248" s="75" t="inlineStr">
        <is>
          <t>M항공</t>
        </is>
      </c>
      <c r="M2248" s="9">
        <f>IF($A2248="","",VALUE($A2248&amp;"")*12+VALUE($B2248&amp;""))</f>
        <v/>
      </c>
      <c r="N2248" s="39">
        <f>IF($A2248="","",IFERROR(INDEX(부서매핑!$C$5:$C$504,MATCH($G2248&amp;"",부서매핑!$A$5:$A$504,0)),"미매핑"))</f>
        <v/>
      </c>
      <c r="O2248" s="9">
        <f>IF($A2248="","",N2248&amp;"|"&amp;$F2248)</f>
        <v/>
      </c>
      <c r="P2248" s="77">
        <f>IF($A2248="",0,$H2248*설정!$C$23)</f>
        <v/>
      </c>
      <c r="Q2248" s="39">
        <f>IF($A2248="","",IF(O2248&lt;&gt;원인분석!$C$9,"",IF(AND(M2248&gt;=원인분석!$C$10,M2248&lt;=원인분석!$C$11),"당기",IF(AND(M2248&gt;=원인분석!$C$12,M2248&lt;=원인분석!$C$13),"비교",""))))</f>
        <v/>
      </c>
      <c r="R2248" s="9">
        <f>IF(Q2248="","",$K2248&amp;"")</f>
        <v/>
      </c>
      <c r="S2248" s="9">
        <f>IF(Q2248="","",IF(MATCH(R2248,$R$5:$R$100000,0)=ROW()-4,ROW(),""))</f>
        <v/>
      </c>
      <c r="T2248" s="9">
        <f>IF(Q2248="당기",ABS(P2248)+ROW()/1000000000,"")</f>
        <v/>
      </c>
      <c r="U2248" s="9">
        <f>IF(Q2248="비교",ABS(P2248)+ROW()/1000000000,"")</f>
        <v/>
      </c>
      <c r="V2248" s="39">
        <f>IF($A2248="","",IF(COUNTIF(변동분석!$E$7:$E$506,O2248)&gt;0,"Y","N"))</f>
        <v/>
      </c>
      <c r="W2248" s="39">
        <f>IF($A2248="","",IFERROR(INDEX(계정매핑!$D$5:$D$504,MATCH($F2248&amp;"",계정매핑!$A$5:$A$504,0)),"미매핑"))</f>
        <v/>
      </c>
      <c r="X2248" s="9">
        <f>IF($A2248="","",$F2248&amp;"")</f>
        <v/>
      </c>
    </row>
    <row r="2249">
      <c r="A2249" s="75" t="n">
        <v>2025</v>
      </c>
      <c r="B2249" s="75" t="n">
        <v>12</v>
      </c>
      <c r="C2249" s="75" t="inlineStr">
        <is>
          <t>5100002245</t>
        </is>
      </c>
      <c r="D2249" s="78" t="n">
        <v>46007</v>
      </c>
      <c r="E2249" s="75" t="inlineStr">
        <is>
          <t>KR</t>
        </is>
      </c>
      <c r="F2249" s="75" t="n">
        <v>62501000</v>
      </c>
      <c r="G2249" s="75" t="n">
        <v>1201</v>
      </c>
      <c r="H2249" s="76" t="n">
        <v>90000</v>
      </c>
      <c r="I2249" s="75" t="inlineStr">
        <is>
          <t>12월 회의 다과 - (법인카드)</t>
        </is>
      </c>
      <c r="J2249" s="75" t="inlineStr">
        <is>
          <t>V10008</t>
        </is>
      </c>
      <c r="K2249" s="75" t="inlineStr">
        <is>
          <t>(법인카드)</t>
        </is>
      </c>
      <c r="M2249" s="9">
        <f>IF($A2249="","",VALUE($A2249&amp;"")*12+VALUE($B2249&amp;""))</f>
        <v/>
      </c>
      <c r="N2249" s="39">
        <f>IF($A2249="","",IFERROR(INDEX(부서매핑!$C$5:$C$504,MATCH($G2249&amp;"",부서매핑!$A$5:$A$504,0)),"미매핑"))</f>
        <v/>
      </c>
      <c r="O2249" s="9">
        <f>IF($A2249="","",N2249&amp;"|"&amp;$F2249)</f>
        <v/>
      </c>
      <c r="P2249" s="77">
        <f>IF($A2249="",0,$H2249*설정!$C$23)</f>
        <v/>
      </c>
      <c r="Q2249" s="39">
        <f>IF($A2249="","",IF(O2249&lt;&gt;원인분석!$C$9,"",IF(AND(M2249&gt;=원인분석!$C$10,M2249&lt;=원인분석!$C$11),"당기",IF(AND(M2249&gt;=원인분석!$C$12,M2249&lt;=원인분석!$C$13),"비교",""))))</f>
        <v/>
      </c>
      <c r="R2249" s="9">
        <f>IF(Q2249="","",$K2249&amp;"")</f>
        <v/>
      </c>
      <c r="S2249" s="9">
        <f>IF(Q2249="","",IF(MATCH(R2249,$R$5:$R$100000,0)=ROW()-4,ROW(),""))</f>
        <v/>
      </c>
      <c r="T2249" s="9">
        <f>IF(Q2249="당기",ABS(P2249)+ROW()/1000000000,"")</f>
        <v/>
      </c>
      <c r="U2249" s="9">
        <f>IF(Q2249="비교",ABS(P2249)+ROW()/1000000000,"")</f>
        <v/>
      </c>
      <c r="V2249" s="39">
        <f>IF($A2249="","",IF(COUNTIF(변동분석!$E$7:$E$506,O2249)&gt;0,"Y","N"))</f>
        <v/>
      </c>
      <c r="W2249" s="39">
        <f>IF($A2249="","",IFERROR(INDEX(계정매핑!$D$5:$D$504,MATCH($F2249&amp;"",계정매핑!$A$5:$A$504,0)),"미매핑"))</f>
        <v/>
      </c>
      <c r="X2249" s="9">
        <f>IF($A2249="","",$F2249&amp;"")</f>
        <v/>
      </c>
    </row>
    <row r="2250">
      <c r="A2250" s="75" t="n">
        <v>2025</v>
      </c>
      <c r="B2250" s="75" t="n">
        <v>12</v>
      </c>
      <c r="C2250" s="75" t="inlineStr">
        <is>
          <t>5100002246</t>
        </is>
      </c>
      <c r="D2250" s="78" t="n">
        <v>46007</v>
      </c>
      <c r="E2250" s="75" t="inlineStr">
        <is>
          <t>KR</t>
        </is>
      </c>
      <c r="F2250" s="75" t="n">
        <v>62601000</v>
      </c>
      <c r="G2250" s="75" t="n">
        <v>1301</v>
      </c>
      <c r="H2250" s="76" t="n">
        <v>1848000</v>
      </c>
      <c r="I2250" s="75" t="inlineStr">
        <is>
          <t>12월 업무추진 - (법인카드)</t>
        </is>
      </c>
      <c r="J2250" s="75" t="inlineStr">
        <is>
          <t>V10008</t>
        </is>
      </c>
      <c r="K2250" s="75" t="inlineStr">
        <is>
          <t>(법인카드)</t>
        </is>
      </c>
      <c r="M2250" s="9">
        <f>IF($A2250="","",VALUE($A2250&amp;"")*12+VALUE($B2250&amp;""))</f>
        <v/>
      </c>
      <c r="N2250" s="39">
        <f>IF($A2250="","",IFERROR(INDEX(부서매핑!$C$5:$C$504,MATCH($G2250&amp;"",부서매핑!$A$5:$A$504,0)),"미매핑"))</f>
        <v/>
      </c>
      <c r="O2250" s="9">
        <f>IF($A2250="","",N2250&amp;"|"&amp;$F2250)</f>
        <v/>
      </c>
      <c r="P2250" s="77">
        <f>IF($A2250="",0,$H2250*설정!$C$23)</f>
        <v/>
      </c>
      <c r="Q2250" s="39">
        <f>IF($A2250="","",IF(O2250&lt;&gt;원인분석!$C$9,"",IF(AND(M2250&gt;=원인분석!$C$10,M2250&lt;=원인분석!$C$11),"당기",IF(AND(M2250&gt;=원인분석!$C$12,M2250&lt;=원인분석!$C$13),"비교",""))))</f>
        <v/>
      </c>
      <c r="R2250" s="9">
        <f>IF(Q2250="","",$K2250&amp;"")</f>
        <v/>
      </c>
      <c r="S2250" s="9">
        <f>IF(Q2250="","",IF(MATCH(R2250,$R$5:$R$100000,0)=ROW()-4,ROW(),""))</f>
        <v/>
      </c>
      <c r="T2250" s="9">
        <f>IF(Q2250="당기",ABS(P2250)+ROW()/1000000000,"")</f>
        <v/>
      </c>
      <c r="U2250" s="9">
        <f>IF(Q2250="비교",ABS(P2250)+ROW()/1000000000,"")</f>
        <v/>
      </c>
      <c r="V2250" s="39">
        <f>IF($A2250="","",IF(COUNTIF(변동분석!$E$7:$E$506,O2250)&gt;0,"Y","N"))</f>
        <v/>
      </c>
      <c r="W2250" s="39">
        <f>IF($A2250="","",IFERROR(INDEX(계정매핑!$D$5:$D$504,MATCH($F2250&amp;"",계정매핑!$A$5:$A$504,0)),"미매핑"))</f>
        <v/>
      </c>
      <c r="X2250" s="9">
        <f>IF($A2250="","",$F2250&amp;"")</f>
        <v/>
      </c>
    </row>
    <row r="2251">
      <c r="A2251" s="75" t="n">
        <v>2025</v>
      </c>
      <c r="B2251" s="75" t="n">
        <v>12</v>
      </c>
      <c r="C2251" s="75" t="inlineStr">
        <is>
          <t>5100002247</t>
        </is>
      </c>
      <c r="D2251" s="78" t="n">
        <v>46007</v>
      </c>
      <c r="E2251" s="75" t="inlineStr">
        <is>
          <t>KR</t>
        </is>
      </c>
      <c r="F2251" s="75" t="n">
        <v>62902000</v>
      </c>
      <c r="G2251" s="75" t="n">
        <v>1801</v>
      </c>
      <c r="H2251" s="76" t="n">
        <v>1817000</v>
      </c>
      <c r="I2251" s="75" t="inlineStr">
        <is>
          <t>12월 콜 위탁 수수료(건별)</t>
        </is>
      </c>
      <c r="J2251" s="75" t="inlineStr">
        <is>
          <t>V10013</t>
        </is>
      </c>
      <c r="K2251" s="75" t="inlineStr">
        <is>
          <t>J콜센터</t>
        </is>
      </c>
      <c r="M2251" s="9">
        <f>IF($A2251="","",VALUE($A2251&amp;"")*12+VALUE($B2251&amp;""))</f>
        <v/>
      </c>
      <c r="N2251" s="39">
        <f>IF($A2251="","",IFERROR(INDEX(부서매핑!$C$5:$C$504,MATCH($G2251&amp;"",부서매핑!$A$5:$A$504,0)),"미매핑"))</f>
        <v/>
      </c>
      <c r="O2251" s="9">
        <f>IF($A2251="","",N2251&amp;"|"&amp;$F2251)</f>
        <v/>
      </c>
      <c r="P2251" s="77">
        <f>IF($A2251="",0,$H2251*설정!$C$23)</f>
        <v/>
      </c>
      <c r="Q2251" s="39">
        <f>IF($A2251="","",IF(O2251&lt;&gt;원인분석!$C$9,"",IF(AND(M2251&gt;=원인분석!$C$10,M2251&lt;=원인분석!$C$11),"당기",IF(AND(M2251&gt;=원인분석!$C$12,M2251&lt;=원인분석!$C$13),"비교",""))))</f>
        <v/>
      </c>
      <c r="R2251" s="9">
        <f>IF(Q2251="","",$K2251&amp;"")</f>
        <v/>
      </c>
      <c r="S2251" s="9">
        <f>IF(Q2251="","",IF(MATCH(R2251,$R$5:$R$100000,0)=ROW()-4,ROW(),""))</f>
        <v/>
      </c>
      <c r="T2251" s="9">
        <f>IF(Q2251="당기",ABS(P2251)+ROW()/1000000000,"")</f>
        <v/>
      </c>
      <c r="U2251" s="9">
        <f>IF(Q2251="비교",ABS(P2251)+ROW()/1000000000,"")</f>
        <v/>
      </c>
      <c r="V2251" s="39">
        <f>IF($A2251="","",IF(COUNTIF(변동분석!$E$7:$E$506,O2251)&gt;0,"Y","N"))</f>
        <v/>
      </c>
      <c r="W2251" s="39">
        <f>IF($A2251="","",IFERROR(INDEX(계정매핑!$D$5:$D$504,MATCH($F2251&amp;"",계정매핑!$A$5:$A$504,0)),"미매핑"))</f>
        <v/>
      </c>
      <c r="X2251" s="9">
        <f>IF($A2251="","",$F2251&amp;"")</f>
        <v/>
      </c>
    </row>
    <row r="2252">
      <c r="A2252" s="75" t="n">
        <v>2025</v>
      </c>
      <c r="B2252" s="75" t="n">
        <v>12</v>
      </c>
      <c r="C2252" s="75" t="inlineStr">
        <is>
          <t>5100002248</t>
        </is>
      </c>
      <c r="D2252" s="78" t="n">
        <v>46007</v>
      </c>
      <c r="E2252" s="75" t="inlineStr">
        <is>
          <t>KR</t>
        </is>
      </c>
      <c r="F2252" s="75" t="n">
        <v>63201000</v>
      </c>
      <c r="G2252" s="75" t="n">
        <v>1601</v>
      </c>
      <c r="H2252" s="76" t="n">
        <v>1850000</v>
      </c>
      <c r="I2252" s="75" t="inlineStr">
        <is>
          <t>12월 차량 유지 - H에너지</t>
        </is>
      </c>
      <c r="J2252" s="75" t="inlineStr">
        <is>
          <t>V10025</t>
        </is>
      </c>
      <c r="K2252" s="75" t="inlineStr">
        <is>
          <t>H에너지</t>
        </is>
      </c>
      <c r="M2252" s="9">
        <f>IF($A2252="","",VALUE($A2252&amp;"")*12+VALUE($B2252&amp;""))</f>
        <v/>
      </c>
      <c r="N2252" s="39">
        <f>IF($A2252="","",IFERROR(INDEX(부서매핑!$C$5:$C$504,MATCH($G2252&amp;"",부서매핑!$A$5:$A$504,0)),"미매핑"))</f>
        <v/>
      </c>
      <c r="O2252" s="9">
        <f>IF($A2252="","",N2252&amp;"|"&amp;$F2252)</f>
        <v/>
      </c>
      <c r="P2252" s="77">
        <f>IF($A2252="",0,$H2252*설정!$C$23)</f>
        <v/>
      </c>
      <c r="Q2252" s="39">
        <f>IF($A2252="","",IF(O2252&lt;&gt;원인분석!$C$9,"",IF(AND(M2252&gt;=원인분석!$C$10,M2252&lt;=원인분석!$C$11),"당기",IF(AND(M2252&gt;=원인분석!$C$12,M2252&lt;=원인분석!$C$13),"비교",""))))</f>
        <v/>
      </c>
      <c r="R2252" s="9">
        <f>IF(Q2252="","",$K2252&amp;"")</f>
        <v/>
      </c>
      <c r="S2252" s="9">
        <f>IF(Q2252="","",IF(MATCH(R2252,$R$5:$R$100000,0)=ROW()-4,ROW(),""))</f>
        <v/>
      </c>
      <c r="T2252" s="9">
        <f>IF(Q2252="당기",ABS(P2252)+ROW()/1000000000,"")</f>
        <v/>
      </c>
      <c r="U2252" s="9">
        <f>IF(Q2252="비교",ABS(P2252)+ROW()/1000000000,"")</f>
        <v/>
      </c>
      <c r="V2252" s="39">
        <f>IF($A2252="","",IF(COUNTIF(변동분석!$E$7:$E$506,O2252)&gt;0,"Y","N"))</f>
        <v/>
      </c>
      <c r="W2252" s="39">
        <f>IF($A2252="","",IFERROR(INDEX(계정매핑!$D$5:$D$504,MATCH($F2252&amp;"",계정매핑!$A$5:$A$504,0)),"미매핑"))</f>
        <v/>
      </c>
      <c r="X2252" s="9">
        <f>IF($A2252="","",$F2252&amp;"")</f>
        <v/>
      </c>
    </row>
    <row r="2253">
      <c r="A2253" s="75" t="n">
        <v>2025</v>
      </c>
      <c r="B2253" s="75" t="n">
        <v>12</v>
      </c>
      <c r="C2253" s="75" t="inlineStr">
        <is>
          <t>5100002249</t>
        </is>
      </c>
      <c r="D2253" s="78" t="n">
        <v>46008</v>
      </c>
      <c r="E2253" s="75" t="inlineStr">
        <is>
          <t>KR</t>
        </is>
      </c>
      <c r="F2253" s="75" t="n">
        <v>62201000</v>
      </c>
      <c r="G2253" s="75" t="n">
        <v>1201</v>
      </c>
      <c r="H2253" s="76" t="n">
        <v>207000</v>
      </c>
      <c r="I2253" s="75" t="inlineStr">
        <is>
          <t>12월 통신요금 - P통신</t>
        </is>
      </c>
      <c r="J2253" s="75" t="inlineStr">
        <is>
          <t>V10011</t>
        </is>
      </c>
      <c r="K2253" s="75" t="inlineStr">
        <is>
          <t>P통신</t>
        </is>
      </c>
      <c r="M2253" s="9">
        <f>IF($A2253="","",VALUE($A2253&amp;"")*12+VALUE($B2253&amp;""))</f>
        <v/>
      </c>
      <c r="N2253" s="39">
        <f>IF($A2253="","",IFERROR(INDEX(부서매핑!$C$5:$C$504,MATCH($G2253&amp;"",부서매핑!$A$5:$A$504,0)),"미매핑"))</f>
        <v/>
      </c>
      <c r="O2253" s="9">
        <f>IF($A2253="","",N2253&amp;"|"&amp;$F2253)</f>
        <v/>
      </c>
      <c r="P2253" s="77">
        <f>IF($A2253="",0,$H2253*설정!$C$23)</f>
        <v/>
      </c>
      <c r="Q2253" s="39">
        <f>IF($A2253="","",IF(O2253&lt;&gt;원인분석!$C$9,"",IF(AND(M2253&gt;=원인분석!$C$10,M2253&lt;=원인분석!$C$11),"당기",IF(AND(M2253&gt;=원인분석!$C$12,M2253&lt;=원인분석!$C$13),"비교",""))))</f>
        <v/>
      </c>
      <c r="R2253" s="9">
        <f>IF(Q2253="","",$K2253&amp;"")</f>
        <v/>
      </c>
      <c r="S2253" s="9">
        <f>IF(Q2253="","",IF(MATCH(R2253,$R$5:$R$100000,0)=ROW()-4,ROW(),""))</f>
        <v/>
      </c>
      <c r="T2253" s="9">
        <f>IF(Q2253="당기",ABS(P2253)+ROW()/1000000000,"")</f>
        <v/>
      </c>
      <c r="U2253" s="9">
        <f>IF(Q2253="비교",ABS(P2253)+ROW()/1000000000,"")</f>
        <v/>
      </c>
      <c r="V2253" s="39">
        <f>IF($A2253="","",IF(COUNTIF(변동분석!$E$7:$E$506,O2253)&gt;0,"Y","N"))</f>
        <v/>
      </c>
      <c r="W2253" s="39">
        <f>IF($A2253="","",IFERROR(INDEX(계정매핑!$D$5:$D$504,MATCH($F2253&amp;"",계정매핑!$A$5:$A$504,0)),"미매핑"))</f>
        <v/>
      </c>
      <c r="X2253" s="9">
        <f>IF($A2253="","",$F2253&amp;"")</f>
        <v/>
      </c>
    </row>
    <row r="2254">
      <c r="A2254" s="75" t="n">
        <v>2025</v>
      </c>
      <c r="B2254" s="75" t="n">
        <v>12</v>
      </c>
      <c r="C2254" s="75" t="inlineStr">
        <is>
          <t>5100002250</t>
        </is>
      </c>
      <c r="D2254" s="78" t="n">
        <v>46008</v>
      </c>
      <c r="E2254" s="75" t="inlineStr">
        <is>
          <t>KR</t>
        </is>
      </c>
      <c r="F2254" s="75" t="n">
        <v>62401000</v>
      </c>
      <c r="G2254" s="75" t="n">
        <v>1401</v>
      </c>
      <c r="H2254" s="76" t="n">
        <v>240000</v>
      </c>
      <c r="I2254" s="75" t="inlineStr">
        <is>
          <t>12월 인쇄물 제작 - S출판</t>
        </is>
      </c>
      <c r="J2254" s="75" t="inlineStr">
        <is>
          <t>V10012</t>
        </is>
      </c>
      <c r="K2254" s="75" t="inlineStr">
        <is>
          <t>S출판</t>
        </is>
      </c>
      <c r="M2254" s="9">
        <f>IF($A2254="","",VALUE($A2254&amp;"")*12+VALUE($B2254&amp;""))</f>
        <v/>
      </c>
      <c r="N2254" s="39">
        <f>IF($A2254="","",IFERROR(INDEX(부서매핑!$C$5:$C$504,MATCH($G2254&amp;"",부서매핑!$A$5:$A$504,0)),"미매핑"))</f>
        <v/>
      </c>
      <c r="O2254" s="9">
        <f>IF($A2254="","",N2254&amp;"|"&amp;$F2254)</f>
        <v/>
      </c>
      <c r="P2254" s="77">
        <f>IF($A2254="",0,$H2254*설정!$C$23)</f>
        <v/>
      </c>
      <c r="Q2254" s="39">
        <f>IF($A2254="","",IF(O2254&lt;&gt;원인분석!$C$9,"",IF(AND(M2254&gt;=원인분석!$C$10,M2254&lt;=원인분석!$C$11),"당기",IF(AND(M2254&gt;=원인분석!$C$12,M2254&lt;=원인분석!$C$13),"비교",""))))</f>
        <v/>
      </c>
      <c r="R2254" s="9">
        <f>IF(Q2254="","",$K2254&amp;"")</f>
        <v/>
      </c>
      <c r="S2254" s="9">
        <f>IF(Q2254="","",IF(MATCH(R2254,$R$5:$R$100000,0)=ROW()-4,ROW(),""))</f>
        <v/>
      </c>
      <c r="T2254" s="9">
        <f>IF(Q2254="당기",ABS(P2254)+ROW()/1000000000,"")</f>
        <v/>
      </c>
      <c r="U2254" s="9">
        <f>IF(Q2254="비교",ABS(P2254)+ROW()/1000000000,"")</f>
        <v/>
      </c>
      <c r="V2254" s="39">
        <f>IF($A2254="","",IF(COUNTIF(변동분석!$E$7:$E$506,O2254)&gt;0,"Y","N"))</f>
        <v/>
      </c>
      <c r="W2254" s="39">
        <f>IF($A2254="","",IFERROR(INDEX(계정매핑!$D$5:$D$504,MATCH($F2254&amp;"",계정매핑!$A$5:$A$504,0)),"미매핑"))</f>
        <v/>
      </c>
      <c r="X2254" s="9">
        <f>IF($A2254="","",$F2254&amp;"")</f>
        <v/>
      </c>
    </row>
    <row r="2255">
      <c r="A2255" s="75" t="n">
        <v>2025</v>
      </c>
      <c r="B2255" s="75" t="n">
        <v>12</v>
      </c>
      <c r="C2255" s="75" t="inlineStr">
        <is>
          <t>5100002251</t>
        </is>
      </c>
      <c r="D2255" s="78" t="n">
        <v>46008</v>
      </c>
      <c r="E2255" s="75" t="inlineStr">
        <is>
          <t>KR</t>
        </is>
      </c>
      <c r="F2255" s="75" t="n">
        <v>62501000</v>
      </c>
      <c r="G2255" s="75" t="n">
        <v>1801</v>
      </c>
      <c r="H2255" s="76" t="n">
        <v>160000</v>
      </c>
      <c r="I2255" s="75" t="inlineStr">
        <is>
          <t>12월 회의 다과 - T케이터링</t>
        </is>
      </c>
      <c r="J2255" s="75" t="inlineStr">
        <is>
          <t>V10005</t>
        </is>
      </c>
      <c r="K2255" s="75" t="inlineStr">
        <is>
          <t>T케이터링</t>
        </is>
      </c>
      <c r="M2255" s="9">
        <f>IF($A2255="","",VALUE($A2255&amp;"")*12+VALUE($B2255&amp;""))</f>
        <v/>
      </c>
      <c r="N2255" s="39">
        <f>IF($A2255="","",IFERROR(INDEX(부서매핑!$C$5:$C$504,MATCH($G2255&amp;"",부서매핑!$A$5:$A$504,0)),"미매핑"))</f>
        <v/>
      </c>
      <c r="O2255" s="9">
        <f>IF($A2255="","",N2255&amp;"|"&amp;$F2255)</f>
        <v/>
      </c>
      <c r="P2255" s="77">
        <f>IF($A2255="",0,$H2255*설정!$C$23)</f>
        <v/>
      </c>
      <c r="Q2255" s="39">
        <f>IF($A2255="","",IF(O2255&lt;&gt;원인분석!$C$9,"",IF(AND(M2255&gt;=원인분석!$C$10,M2255&lt;=원인분석!$C$11),"당기",IF(AND(M2255&gt;=원인분석!$C$12,M2255&lt;=원인분석!$C$13),"비교",""))))</f>
        <v/>
      </c>
      <c r="R2255" s="9">
        <f>IF(Q2255="","",$K2255&amp;"")</f>
        <v/>
      </c>
      <c r="S2255" s="9">
        <f>IF(Q2255="","",IF(MATCH(R2255,$R$5:$R$100000,0)=ROW()-4,ROW(),""))</f>
        <v/>
      </c>
      <c r="T2255" s="9">
        <f>IF(Q2255="당기",ABS(P2255)+ROW()/1000000000,"")</f>
        <v/>
      </c>
      <c r="U2255" s="9">
        <f>IF(Q2255="비교",ABS(P2255)+ROW()/1000000000,"")</f>
        <v/>
      </c>
      <c r="V2255" s="39">
        <f>IF($A2255="","",IF(COUNTIF(변동분석!$E$7:$E$506,O2255)&gt;0,"Y","N"))</f>
        <v/>
      </c>
      <c r="W2255" s="39">
        <f>IF($A2255="","",IFERROR(INDEX(계정매핑!$D$5:$D$504,MATCH($F2255&amp;"",계정매핑!$A$5:$A$504,0)),"미매핑"))</f>
        <v/>
      </c>
      <c r="X2255" s="9">
        <f>IF($A2255="","",$F2255&amp;"")</f>
        <v/>
      </c>
    </row>
    <row r="2256">
      <c r="A2256" s="75" t="n">
        <v>2025</v>
      </c>
      <c r="B2256" s="75" t="n">
        <v>12</v>
      </c>
      <c r="C2256" s="75" t="inlineStr">
        <is>
          <t>5100002252</t>
        </is>
      </c>
      <c r="D2256" s="78" t="n">
        <v>46008</v>
      </c>
      <c r="E2256" s="75" t="inlineStr">
        <is>
          <t>KR</t>
        </is>
      </c>
      <c r="F2256" s="75" t="n">
        <v>62901000</v>
      </c>
      <c r="G2256" s="75" t="n">
        <v>1401</v>
      </c>
      <c r="H2256" s="76" t="n">
        <v>7519000</v>
      </c>
      <c r="I2256" s="75" t="inlineStr">
        <is>
          <t>12월 자문 수수료 - K회계법인</t>
        </is>
      </c>
      <c r="J2256" s="75" t="inlineStr">
        <is>
          <t>V10010</t>
        </is>
      </c>
      <c r="K2256" s="75" t="inlineStr">
        <is>
          <t>K회계법인</t>
        </is>
      </c>
      <c r="M2256" s="9">
        <f>IF($A2256="","",VALUE($A2256&amp;"")*12+VALUE($B2256&amp;""))</f>
        <v/>
      </c>
      <c r="N2256" s="39">
        <f>IF($A2256="","",IFERROR(INDEX(부서매핑!$C$5:$C$504,MATCH($G2256&amp;"",부서매핑!$A$5:$A$504,0)),"미매핑"))</f>
        <v/>
      </c>
      <c r="O2256" s="9">
        <f>IF($A2256="","",N2256&amp;"|"&amp;$F2256)</f>
        <v/>
      </c>
      <c r="P2256" s="77">
        <f>IF($A2256="",0,$H2256*설정!$C$23)</f>
        <v/>
      </c>
      <c r="Q2256" s="39">
        <f>IF($A2256="","",IF(O2256&lt;&gt;원인분석!$C$9,"",IF(AND(M2256&gt;=원인분석!$C$10,M2256&lt;=원인분석!$C$11),"당기",IF(AND(M2256&gt;=원인분석!$C$12,M2256&lt;=원인분석!$C$13),"비교",""))))</f>
        <v/>
      </c>
      <c r="R2256" s="9">
        <f>IF(Q2256="","",$K2256&amp;"")</f>
        <v/>
      </c>
      <c r="S2256" s="9">
        <f>IF(Q2256="","",IF(MATCH(R2256,$R$5:$R$100000,0)=ROW()-4,ROW(),""))</f>
        <v/>
      </c>
      <c r="T2256" s="9">
        <f>IF(Q2256="당기",ABS(P2256)+ROW()/1000000000,"")</f>
        <v/>
      </c>
      <c r="U2256" s="9">
        <f>IF(Q2256="비교",ABS(P2256)+ROW()/1000000000,"")</f>
        <v/>
      </c>
      <c r="V2256" s="39">
        <f>IF($A2256="","",IF(COUNTIF(변동분석!$E$7:$E$506,O2256)&gt;0,"Y","N"))</f>
        <v/>
      </c>
      <c r="W2256" s="39">
        <f>IF($A2256="","",IFERROR(INDEX(계정매핑!$D$5:$D$504,MATCH($F2256&amp;"",계정매핑!$A$5:$A$504,0)),"미매핑"))</f>
        <v/>
      </c>
      <c r="X2256" s="9">
        <f>IF($A2256="","",$F2256&amp;"")</f>
        <v/>
      </c>
    </row>
    <row r="2257">
      <c r="A2257" s="75" t="n">
        <v>2025</v>
      </c>
      <c r="B2257" s="75" t="n">
        <v>12</v>
      </c>
      <c r="C2257" s="75" t="inlineStr">
        <is>
          <t>5100002253</t>
        </is>
      </c>
      <c r="D2257" s="78" t="n">
        <v>46008</v>
      </c>
      <c r="E2257" s="75" t="inlineStr">
        <is>
          <t>KR</t>
        </is>
      </c>
      <c r="F2257" s="75" t="n">
        <v>62902000</v>
      </c>
      <c r="G2257" s="75" t="n">
        <v>1101</v>
      </c>
      <c r="H2257" s="76" t="n">
        <v>1598000</v>
      </c>
      <c r="I2257" s="75" t="inlineStr">
        <is>
          <t>12월 업무 위탁 수수료 - X서비스</t>
        </is>
      </c>
      <c r="J2257" s="75" t="inlineStr">
        <is>
          <t>V10016</t>
        </is>
      </c>
      <c r="K2257" s="75" t="inlineStr">
        <is>
          <t>X서비스</t>
        </is>
      </c>
      <c r="M2257" s="9">
        <f>IF($A2257="","",VALUE($A2257&amp;"")*12+VALUE($B2257&amp;""))</f>
        <v/>
      </c>
      <c r="N2257" s="39">
        <f>IF($A2257="","",IFERROR(INDEX(부서매핑!$C$5:$C$504,MATCH($G2257&amp;"",부서매핑!$A$5:$A$504,0)),"미매핑"))</f>
        <v/>
      </c>
      <c r="O2257" s="9">
        <f>IF($A2257="","",N2257&amp;"|"&amp;$F2257)</f>
        <v/>
      </c>
      <c r="P2257" s="77">
        <f>IF($A2257="",0,$H2257*설정!$C$23)</f>
        <v/>
      </c>
      <c r="Q2257" s="39">
        <f>IF($A2257="","",IF(O2257&lt;&gt;원인분석!$C$9,"",IF(AND(M2257&gt;=원인분석!$C$10,M2257&lt;=원인분석!$C$11),"당기",IF(AND(M2257&gt;=원인분석!$C$12,M2257&lt;=원인분석!$C$13),"비교",""))))</f>
        <v/>
      </c>
      <c r="R2257" s="9">
        <f>IF(Q2257="","",$K2257&amp;"")</f>
        <v/>
      </c>
      <c r="S2257" s="9">
        <f>IF(Q2257="","",IF(MATCH(R2257,$R$5:$R$100000,0)=ROW()-4,ROW(),""))</f>
        <v/>
      </c>
      <c r="T2257" s="9">
        <f>IF(Q2257="당기",ABS(P2257)+ROW()/1000000000,"")</f>
        <v/>
      </c>
      <c r="U2257" s="9">
        <f>IF(Q2257="비교",ABS(P2257)+ROW()/1000000000,"")</f>
        <v/>
      </c>
      <c r="V2257" s="39">
        <f>IF($A2257="","",IF(COUNTIF(변동분석!$E$7:$E$506,O2257)&gt;0,"Y","N"))</f>
        <v/>
      </c>
      <c r="W2257" s="39">
        <f>IF($A2257="","",IFERROR(INDEX(계정매핑!$D$5:$D$504,MATCH($F2257&amp;"",계정매핑!$A$5:$A$504,0)),"미매핑"))</f>
        <v/>
      </c>
      <c r="X2257" s="9">
        <f>IF($A2257="","",$F2257&amp;"")</f>
        <v/>
      </c>
    </row>
    <row r="2258">
      <c r="A2258" s="75" t="n">
        <v>2025</v>
      </c>
      <c r="B2258" s="75" t="n">
        <v>12</v>
      </c>
      <c r="C2258" s="75" t="inlineStr">
        <is>
          <t>5100002254</t>
        </is>
      </c>
      <c r="D2258" s="78" t="n">
        <v>46008</v>
      </c>
      <c r="E2258" s="75" t="inlineStr">
        <is>
          <t>KR</t>
        </is>
      </c>
      <c r="F2258" s="75" t="n">
        <v>62902000</v>
      </c>
      <c r="G2258" s="75" t="n">
        <v>1801</v>
      </c>
      <c r="H2258" s="76" t="n">
        <v>1849000</v>
      </c>
      <c r="I2258" s="75" t="inlineStr">
        <is>
          <t>12월 콜 위탁 수수료(건별)</t>
        </is>
      </c>
      <c r="J2258" s="75" t="inlineStr">
        <is>
          <t>V10013</t>
        </is>
      </c>
      <c r="K2258" s="75" t="inlineStr">
        <is>
          <t>J콜센터</t>
        </is>
      </c>
      <c r="M2258" s="9">
        <f>IF($A2258="","",VALUE($A2258&amp;"")*12+VALUE($B2258&amp;""))</f>
        <v/>
      </c>
      <c r="N2258" s="39">
        <f>IF($A2258="","",IFERROR(INDEX(부서매핑!$C$5:$C$504,MATCH($G2258&amp;"",부서매핑!$A$5:$A$504,0)),"미매핑"))</f>
        <v/>
      </c>
      <c r="O2258" s="9">
        <f>IF($A2258="","",N2258&amp;"|"&amp;$F2258)</f>
        <v/>
      </c>
      <c r="P2258" s="77">
        <f>IF($A2258="",0,$H2258*설정!$C$23)</f>
        <v/>
      </c>
      <c r="Q2258" s="39">
        <f>IF($A2258="","",IF(O2258&lt;&gt;원인분석!$C$9,"",IF(AND(M2258&gt;=원인분석!$C$10,M2258&lt;=원인분석!$C$11),"당기",IF(AND(M2258&gt;=원인분석!$C$12,M2258&lt;=원인분석!$C$13),"비교",""))))</f>
        <v/>
      </c>
      <c r="R2258" s="9">
        <f>IF(Q2258="","",$K2258&amp;"")</f>
        <v/>
      </c>
      <c r="S2258" s="9">
        <f>IF(Q2258="","",IF(MATCH(R2258,$R$5:$R$100000,0)=ROW()-4,ROW(),""))</f>
        <v/>
      </c>
      <c r="T2258" s="9">
        <f>IF(Q2258="당기",ABS(P2258)+ROW()/1000000000,"")</f>
        <v/>
      </c>
      <c r="U2258" s="9">
        <f>IF(Q2258="비교",ABS(P2258)+ROW()/1000000000,"")</f>
        <v/>
      </c>
      <c r="V2258" s="39">
        <f>IF($A2258="","",IF(COUNTIF(변동분석!$E$7:$E$506,O2258)&gt;0,"Y","N"))</f>
        <v/>
      </c>
      <c r="W2258" s="39">
        <f>IF($A2258="","",IFERROR(INDEX(계정매핑!$D$5:$D$504,MATCH($F2258&amp;"",계정매핑!$A$5:$A$504,0)),"미매핑"))</f>
        <v/>
      </c>
      <c r="X2258" s="9">
        <f>IF($A2258="","",$F2258&amp;"")</f>
        <v/>
      </c>
    </row>
    <row r="2259">
      <c r="A2259" s="75" t="n">
        <v>2025</v>
      </c>
      <c r="B2259" s="75" t="n">
        <v>12</v>
      </c>
      <c r="C2259" s="75" t="inlineStr">
        <is>
          <t>5100002255</t>
        </is>
      </c>
      <c r="D2259" s="78" t="n">
        <v>46009</v>
      </c>
      <c r="E2259" s="75" t="inlineStr">
        <is>
          <t>KR</t>
        </is>
      </c>
      <c r="F2259" s="75" t="n">
        <v>62201000</v>
      </c>
      <c r="G2259" s="75" t="n">
        <v>1401</v>
      </c>
      <c r="H2259" s="76" t="n">
        <v>233000</v>
      </c>
      <c r="I2259" s="75" t="inlineStr">
        <is>
          <t>12월 통신요금 - O텔레콤</t>
        </is>
      </c>
      <c r="J2259" s="75" t="inlineStr">
        <is>
          <t>V10002</t>
        </is>
      </c>
      <c r="K2259" s="75" t="inlineStr">
        <is>
          <t>O텔레콤</t>
        </is>
      </c>
      <c r="M2259" s="9">
        <f>IF($A2259="","",VALUE($A2259&amp;"")*12+VALUE($B2259&amp;""))</f>
        <v/>
      </c>
      <c r="N2259" s="39">
        <f>IF($A2259="","",IFERROR(INDEX(부서매핑!$C$5:$C$504,MATCH($G2259&amp;"",부서매핑!$A$5:$A$504,0)),"미매핑"))</f>
        <v/>
      </c>
      <c r="O2259" s="9">
        <f>IF($A2259="","",N2259&amp;"|"&amp;$F2259)</f>
        <v/>
      </c>
      <c r="P2259" s="77">
        <f>IF($A2259="",0,$H2259*설정!$C$23)</f>
        <v/>
      </c>
      <c r="Q2259" s="39">
        <f>IF($A2259="","",IF(O2259&lt;&gt;원인분석!$C$9,"",IF(AND(M2259&gt;=원인분석!$C$10,M2259&lt;=원인분석!$C$11),"당기",IF(AND(M2259&gt;=원인분석!$C$12,M2259&lt;=원인분석!$C$13),"비교",""))))</f>
        <v/>
      </c>
      <c r="R2259" s="9">
        <f>IF(Q2259="","",$K2259&amp;"")</f>
        <v/>
      </c>
      <c r="S2259" s="9">
        <f>IF(Q2259="","",IF(MATCH(R2259,$R$5:$R$100000,0)=ROW()-4,ROW(),""))</f>
        <v/>
      </c>
      <c r="T2259" s="9">
        <f>IF(Q2259="당기",ABS(P2259)+ROW()/1000000000,"")</f>
        <v/>
      </c>
      <c r="U2259" s="9">
        <f>IF(Q2259="비교",ABS(P2259)+ROW()/1000000000,"")</f>
        <v/>
      </c>
      <c r="V2259" s="39">
        <f>IF($A2259="","",IF(COUNTIF(변동분석!$E$7:$E$506,O2259)&gt;0,"Y","N"))</f>
        <v/>
      </c>
      <c r="W2259" s="39">
        <f>IF($A2259="","",IFERROR(INDEX(계정매핑!$D$5:$D$504,MATCH($F2259&amp;"",계정매핑!$A$5:$A$504,0)),"미매핑"))</f>
        <v/>
      </c>
      <c r="X2259" s="9">
        <f>IF($A2259="","",$F2259&amp;"")</f>
        <v/>
      </c>
    </row>
    <row r="2260">
      <c r="A2260" s="75" t="n">
        <v>2025</v>
      </c>
      <c r="B2260" s="75" t="n">
        <v>12</v>
      </c>
      <c r="C2260" s="75" t="inlineStr">
        <is>
          <t>5100002256</t>
        </is>
      </c>
      <c r="D2260" s="78" t="n">
        <v>46009</v>
      </c>
      <c r="E2260" s="75" t="inlineStr">
        <is>
          <t>KR</t>
        </is>
      </c>
      <c r="F2260" s="75" t="n">
        <v>62201000</v>
      </c>
      <c r="G2260" s="75" t="n">
        <v>1401</v>
      </c>
      <c r="H2260" s="76" t="n">
        <v>163000</v>
      </c>
      <c r="I2260" s="75" t="inlineStr">
        <is>
          <t>12월 통신요금 - P통신</t>
        </is>
      </c>
      <c r="J2260" s="75" t="inlineStr">
        <is>
          <t>V10011</t>
        </is>
      </c>
      <c r="K2260" s="75" t="inlineStr">
        <is>
          <t>P통신</t>
        </is>
      </c>
      <c r="M2260" s="9">
        <f>IF($A2260="","",VALUE($A2260&amp;"")*12+VALUE($B2260&amp;""))</f>
        <v/>
      </c>
      <c r="N2260" s="39">
        <f>IF($A2260="","",IFERROR(INDEX(부서매핑!$C$5:$C$504,MATCH($G2260&amp;"",부서매핑!$A$5:$A$504,0)),"미매핑"))</f>
        <v/>
      </c>
      <c r="O2260" s="9">
        <f>IF($A2260="","",N2260&amp;"|"&amp;$F2260)</f>
        <v/>
      </c>
      <c r="P2260" s="77">
        <f>IF($A2260="",0,$H2260*설정!$C$23)</f>
        <v/>
      </c>
      <c r="Q2260" s="39">
        <f>IF($A2260="","",IF(O2260&lt;&gt;원인분석!$C$9,"",IF(AND(M2260&gt;=원인분석!$C$10,M2260&lt;=원인분석!$C$11),"당기",IF(AND(M2260&gt;=원인분석!$C$12,M2260&lt;=원인분석!$C$13),"비교",""))))</f>
        <v/>
      </c>
      <c r="R2260" s="9">
        <f>IF(Q2260="","",$K2260&amp;"")</f>
        <v/>
      </c>
      <c r="S2260" s="9">
        <f>IF(Q2260="","",IF(MATCH(R2260,$R$5:$R$100000,0)=ROW()-4,ROW(),""))</f>
        <v/>
      </c>
      <c r="T2260" s="9">
        <f>IF(Q2260="당기",ABS(P2260)+ROW()/1000000000,"")</f>
        <v/>
      </c>
      <c r="U2260" s="9">
        <f>IF(Q2260="비교",ABS(P2260)+ROW()/1000000000,"")</f>
        <v/>
      </c>
      <c r="V2260" s="39">
        <f>IF($A2260="","",IF(COUNTIF(변동분석!$E$7:$E$506,O2260)&gt;0,"Y","N"))</f>
        <v/>
      </c>
      <c r="W2260" s="39">
        <f>IF($A2260="","",IFERROR(INDEX(계정매핑!$D$5:$D$504,MATCH($F2260&amp;"",계정매핑!$A$5:$A$504,0)),"미매핑"))</f>
        <v/>
      </c>
      <c r="X2260" s="9">
        <f>IF($A2260="","",$F2260&amp;"")</f>
        <v/>
      </c>
    </row>
    <row r="2261">
      <c r="A2261" s="75" t="n">
        <v>2025</v>
      </c>
      <c r="B2261" s="75" t="n">
        <v>12</v>
      </c>
      <c r="C2261" s="75" t="inlineStr">
        <is>
          <t>5100002257</t>
        </is>
      </c>
      <c r="D2261" s="78" t="n">
        <v>46009</v>
      </c>
      <c r="E2261" s="75" t="inlineStr">
        <is>
          <t>KR</t>
        </is>
      </c>
      <c r="F2261" s="75" t="n">
        <v>62301000</v>
      </c>
      <c r="G2261" s="75" t="n">
        <v>1201</v>
      </c>
      <c r="H2261" s="76" t="n">
        <v>340000</v>
      </c>
      <c r="I2261" s="75" t="inlineStr">
        <is>
          <t>12월 소모품 구입 - R문구</t>
        </is>
      </c>
      <c r="J2261" s="75" t="inlineStr">
        <is>
          <t>V10018</t>
        </is>
      </c>
      <c r="K2261" s="75" t="inlineStr">
        <is>
          <t>R문구</t>
        </is>
      </c>
      <c r="M2261" s="9">
        <f>IF($A2261="","",VALUE($A2261&amp;"")*12+VALUE($B2261&amp;""))</f>
        <v/>
      </c>
      <c r="N2261" s="39">
        <f>IF($A2261="","",IFERROR(INDEX(부서매핑!$C$5:$C$504,MATCH($G2261&amp;"",부서매핑!$A$5:$A$504,0)),"미매핑"))</f>
        <v/>
      </c>
      <c r="O2261" s="9">
        <f>IF($A2261="","",N2261&amp;"|"&amp;$F2261)</f>
        <v/>
      </c>
      <c r="P2261" s="77">
        <f>IF($A2261="",0,$H2261*설정!$C$23)</f>
        <v/>
      </c>
      <c r="Q2261" s="39">
        <f>IF($A2261="","",IF(O2261&lt;&gt;원인분석!$C$9,"",IF(AND(M2261&gt;=원인분석!$C$10,M2261&lt;=원인분석!$C$11),"당기",IF(AND(M2261&gt;=원인분석!$C$12,M2261&lt;=원인분석!$C$13),"비교",""))))</f>
        <v/>
      </c>
      <c r="R2261" s="9">
        <f>IF(Q2261="","",$K2261&amp;"")</f>
        <v/>
      </c>
      <c r="S2261" s="9">
        <f>IF(Q2261="","",IF(MATCH(R2261,$R$5:$R$100000,0)=ROW()-4,ROW(),""))</f>
        <v/>
      </c>
      <c r="T2261" s="9">
        <f>IF(Q2261="당기",ABS(P2261)+ROW()/1000000000,"")</f>
        <v/>
      </c>
      <c r="U2261" s="9">
        <f>IF(Q2261="비교",ABS(P2261)+ROW()/1000000000,"")</f>
        <v/>
      </c>
      <c r="V2261" s="39">
        <f>IF($A2261="","",IF(COUNTIF(변동분석!$E$7:$E$506,O2261)&gt;0,"Y","N"))</f>
        <v/>
      </c>
      <c r="W2261" s="39">
        <f>IF($A2261="","",IFERROR(INDEX(계정매핑!$D$5:$D$504,MATCH($F2261&amp;"",계정매핑!$A$5:$A$504,0)),"미매핑"))</f>
        <v/>
      </c>
      <c r="X2261" s="9">
        <f>IF($A2261="","",$F2261&amp;"")</f>
        <v/>
      </c>
    </row>
    <row r="2262">
      <c r="A2262" s="75" t="n">
        <v>2025</v>
      </c>
      <c r="B2262" s="75" t="n">
        <v>12</v>
      </c>
      <c r="C2262" s="75" t="inlineStr">
        <is>
          <t>5100002258</t>
        </is>
      </c>
      <c r="D2262" s="78" t="n">
        <v>46009</v>
      </c>
      <c r="E2262" s="75" t="inlineStr">
        <is>
          <t>KR</t>
        </is>
      </c>
      <c r="F2262" s="75" t="n">
        <v>62301000</v>
      </c>
      <c r="G2262" s="75" t="n">
        <v>1401</v>
      </c>
      <c r="H2262" s="76" t="n">
        <v>87000</v>
      </c>
      <c r="I2262" s="75" t="inlineStr">
        <is>
          <t>12월 소모품 구입 - R문구</t>
        </is>
      </c>
      <c r="J2262" s="75" t="inlineStr">
        <is>
          <t>V10018</t>
        </is>
      </c>
      <c r="K2262" s="75" t="inlineStr">
        <is>
          <t>R문구</t>
        </is>
      </c>
      <c r="M2262" s="9">
        <f>IF($A2262="","",VALUE($A2262&amp;"")*12+VALUE($B2262&amp;""))</f>
        <v/>
      </c>
      <c r="N2262" s="39">
        <f>IF($A2262="","",IFERROR(INDEX(부서매핑!$C$5:$C$504,MATCH($G2262&amp;"",부서매핑!$A$5:$A$504,0)),"미매핑"))</f>
        <v/>
      </c>
      <c r="O2262" s="9">
        <f>IF($A2262="","",N2262&amp;"|"&amp;$F2262)</f>
        <v/>
      </c>
      <c r="P2262" s="77">
        <f>IF($A2262="",0,$H2262*설정!$C$23)</f>
        <v/>
      </c>
      <c r="Q2262" s="39">
        <f>IF($A2262="","",IF(O2262&lt;&gt;원인분석!$C$9,"",IF(AND(M2262&gt;=원인분석!$C$10,M2262&lt;=원인분석!$C$11),"당기",IF(AND(M2262&gt;=원인분석!$C$12,M2262&lt;=원인분석!$C$13),"비교",""))))</f>
        <v/>
      </c>
      <c r="R2262" s="9">
        <f>IF(Q2262="","",$K2262&amp;"")</f>
        <v/>
      </c>
      <c r="S2262" s="9">
        <f>IF(Q2262="","",IF(MATCH(R2262,$R$5:$R$100000,0)=ROW()-4,ROW(),""))</f>
        <v/>
      </c>
      <c r="T2262" s="9">
        <f>IF(Q2262="당기",ABS(P2262)+ROW()/1000000000,"")</f>
        <v/>
      </c>
      <c r="U2262" s="9">
        <f>IF(Q2262="비교",ABS(P2262)+ROW()/1000000000,"")</f>
        <v/>
      </c>
      <c r="V2262" s="39">
        <f>IF($A2262="","",IF(COUNTIF(변동분석!$E$7:$E$506,O2262)&gt;0,"Y","N"))</f>
        <v/>
      </c>
      <c r="W2262" s="39">
        <f>IF($A2262="","",IFERROR(INDEX(계정매핑!$D$5:$D$504,MATCH($F2262&amp;"",계정매핑!$A$5:$A$504,0)),"미매핑"))</f>
        <v/>
      </c>
      <c r="X2262" s="9">
        <f>IF($A2262="","",$F2262&amp;"")</f>
        <v/>
      </c>
    </row>
    <row r="2263">
      <c r="A2263" s="75" t="n">
        <v>2025</v>
      </c>
      <c r="B2263" s="75" t="n">
        <v>12</v>
      </c>
      <c r="C2263" s="75" t="inlineStr">
        <is>
          <t>5100002259</t>
        </is>
      </c>
      <c r="D2263" s="78" t="n">
        <v>46009</v>
      </c>
      <c r="E2263" s="75" t="inlineStr">
        <is>
          <t>KR</t>
        </is>
      </c>
      <c r="F2263" s="75" t="n">
        <v>62301000</v>
      </c>
      <c r="G2263" s="75" t="n">
        <v>1801</v>
      </c>
      <c r="H2263" s="76" t="n">
        <v>707000</v>
      </c>
      <c r="I2263" s="75" t="inlineStr">
        <is>
          <t>12월 소모품 구입 - Q오피스</t>
        </is>
      </c>
      <c r="J2263" s="75" t="inlineStr">
        <is>
          <t>V10003</t>
        </is>
      </c>
      <c r="K2263" s="75" t="inlineStr">
        <is>
          <t>Q오피스</t>
        </is>
      </c>
      <c r="M2263" s="9">
        <f>IF($A2263="","",VALUE($A2263&amp;"")*12+VALUE($B2263&amp;""))</f>
        <v/>
      </c>
      <c r="N2263" s="39">
        <f>IF($A2263="","",IFERROR(INDEX(부서매핑!$C$5:$C$504,MATCH($G2263&amp;"",부서매핑!$A$5:$A$504,0)),"미매핑"))</f>
        <v/>
      </c>
      <c r="O2263" s="9">
        <f>IF($A2263="","",N2263&amp;"|"&amp;$F2263)</f>
        <v/>
      </c>
      <c r="P2263" s="77">
        <f>IF($A2263="",0,$H2263*설정!$C$23)</f>
        <v/>
      </c>
      <c r="Q2263" s="39">
        <f>IF($A2263="","",IF(O2263&lt;&gt;원인분석!$C$9,"",IF(AND(M2263&gt;=원인분석!$C$10,M2263&lt;=원인분석!$C$11),"당기",IF(AND(M2263&gt;=원인분석!$C$12,M2263&lt;=원인분석!$C$13),"비교",""))))</f>
        <v/>
      </c>
      <c r="R2263" s="9">
        <f>IF(Q2263="","",$K2263&amp;"")</f>
        <v/>
      </c>
      <c r="S2263" s="9">
        <f>IF(Q2263="","",IF(MATCH(R2263,$R$5:$R$100000,0)=ROW()-4,ROW(),""))</f>
        <v/>
      </c>
      <c r="T2263" s="9">
        <f>IF(Q2263="당기",ABS(P2263)+ROW()/1000000000,"")</f>
        <v/>
      </c>
      <c r="U2263" s="9">
        <f>IF(Q2263="비교",ABS(P2263)+ROW()/1000000000,"")</f>
        <v/>
      </c>
      <c r="V2263" s="39">
        <f>IF($A2263="","",IF(COUNTIF(변동분석!$E$7:$E$506,O2263)&gt;0,"Y","N"))</f>
        <v/>
      </c>
      <c r="W2263" s="39">
        <f>IF($A2263="","",IFERROR(INDEX(계정매핑!$D$5:$D$504,MATCH($F2263&amp;"",계정매핑!$A$5:$A$504,0)),"미매핑"))</f>
        <v/>
      </c>
      <c r="X2263" s="9">
        <f>IF($A2263="","",$F2263&amp;"")</f>
        <v/>
      </c>
    </row>
    <row r="2264">
      <c r="A2264" s="75" t="n">
        <v>2025</v>
      </c>
      <c r="B2264" s="75" t="n">
        <v>12</v>
      </c>
      <c r="C2264" s="75" t="inlineStr">
        <is>
          <t>5100002260</t>
        </is>
      </c>
      <c r="D2264" s="78" t="n">
        <v>46009</v>
      </c>
      <c r="E2264" s="75" t="inlineStr">
        <is>
          <t>KR</t>
        </is>
      </c>
      <c r="F2264" s="75" t="n">
        <v>62501000</v>
      </c>
      <c r="G2264" s="75" t="n">
        <v>1101</v>
      </c>
      <c r="H2264" s="76" t="n">
        <v>312000</v>
      </c>
      <c r="I2264" s="75" t="inlineStr">
        <is>
          <t>12월 회의 다과 - (법인카드)</t>
        </is>
      </c>
      <c r="J2264" s="75" t="inlineStr">
        <is>
          <t>V10008</t>
        </is>
      </c>
      <c r="K2264" s="75" t="inlineStr">
        <is>
          <t>(법인카드)</t>
        </is>
      </c>
      <c r="M2264" s="9">
        <f>IF($A2264="","",VALUE($A2264&amp;"")*12+VALUE($B2264&amp;""))</f>
        <v/>
      </c>
      <c r="N2264" s="39">
        <f>IF($A2264="","",IFERROR(INDEX(부서매핑!$C$5:$C$504,MATCH($G2264&amp;"",부서매핑!$A$5:$A$504,0)),"미매핑"))</f>
        <v/>
      </c>
      <c r="O2264" s="9">
        <f>IF($A2264="","",N2264&amp;"|"&amp;$F2264)</f>
        <v/>
      </c>
      <c r="P2264" s="77">
        <f>IF($A2264="",0,$H2264*설정!$C$23)</f>
        <v/>
      </c>
      <c r="Q2264" s="39">
        <f>IF($A2264="","",IF(O2264&lt;&gt;원인분석!$C$9,"",IF(AND(M2264&gt;=원인분석!$C$10,M2264&lt;=원인분석!$C$11),"당기",IF(AND(M2264&gt;=원인분석!$C$12,M2264&lt;=원인분석!$C$13),"비교",""))))</f>
        <v/>
      </c>
      <c r="R2264" s="9">
        <f>IF(Q2264="","",$K2264&amp;"")</f>
        <v/>
      </c>
      <c r="S2264" s="9">
        <f>IF(Q2264="","",IF(MATCH(R2264,$R$5:$R$100000,0)=ROW()-4,ROW(),""))</f>
        <v/>
      </c>
      <c r="T2264" s="9">
        <f>IF(Q2264="당기",ABS(P2264)+ROW()/1000000000,"")</f>
        <v/>
      </c>
      <c r="U2264" s="9">
        <f>IF(Q2264="비교",ABS(P2264)+ROW()/1000000000,"")</f>
        <v/>
      </c>
      <c r="V2264" s="39">
        <f>IF($A2264="","",IF(COUNTIF(변동분석!$E$7:$E$506,O2264)&gt;0,"Y","N"))</f>
        <v/>
      </c>
      <c r="W2264" s="39">
        <f>IF($A2264="","",IFERROR(INDEX(계정매핑!$D$5:$D$504,MATCH($F2264&amp;"",계정매핑!$A$5:$A$504,0)),"미매핑"))</f>
        <v/>
      </c>
      <c r="X2264" s="9">
        <f>IF($A2264="","",$F2264&amp;"")</f>
        <v/>
      </c>
    </row>
    <row r="2265">
      <c r="A2265" s="75" t="n">
        <v>2025</v>
      </c>
      <c r="B2265" s="75" t="n">
        <v>12</v>
      </c>
      <c r="C2265" s="75" t="inlineStr">
        <is>
          <t>5100002261</t>
        </is>
      </c>
      <c r="D2265" s="78" t="n">
        <v>46009</v>
      </c>
      <c r="E2265" s="75" t="inlineStr">
        <is>
          <t>KR</t>
        </is>
      </c>
      <c r="F2265" s="75" t="n">
        <v>62501000</v>
      </c>
      <c r="G2265" s="75" t="n">
        <v>1501</v>
      </c>
      <c r="H2265" s="76" t="n">
        <v>180000</v>
      </c>
      <c r="I2265" s="75" t="inlineStr">
        <is>
          <t>12월 회의 다과 - T케이터링</t>
        </is>
      </c>
      <c r="J2265" s="75" t="inlineStr">
        <is>
          <t>V10005</t>
        </is>
      </c>
      <c r="K2265" s="75" t="inlineStr">
        <is>
          <t>T케이터링</t>
        </is>
      </c>
      <c r="M2265" s="9">
        <f>IF($A2265="","",VALUE($A2265&amp;"")*12+VALUE($B2265&amp;""))</f>
        <v/>
      </c>
      <c r="N2265" s="39">
        <f>IF($A2265="","",IFERROR(INDEX(부서매핑!$C$5:$C$504,MATCH($G2265&amp;"",부서매핑!$A$5:$A$504,0)),"미매핑"))</f>
        <v/>
      </c>
      <c r="O2265" s="9">
        <f>IF($A2265="","",N2265&amp;"|"&amp;$F2265)</f>
        <v/>
      </c>
      <c r="P2265" s="77">
        <f>IF($A2265="",0,$H2265*설정!$C$23)</f>
        <v/>
      </c>
      <c r="Q2265" s="39">
        <f>IF($A2265="","",IF(O2265&lt;&gt;원인분석!$C$9,"",IF(AND(M2265&gt;=원인분석!$C$10,M2265&lt;=원인분석!$C$11),"당기",IF(AND(M2265&gt;=원인분석!$C$12,M2265&lt;=원인분석!$C$13),"비교",""))))</f>
        <v/>
      </c>
      <c r="R2265" s="9">
        <f>IF(Q2265="","",$K2265&amp;"")</f>
        <v/>
      </c>
      <c r="S2265" s="9">
        <f>IF(Q2265="","",IF(MATCH(R2265,$R$5:$R$100000,0)=ROW()-4,ROW(),""))</f>
        <v/>
      </c>
      <c r="T2265" s="9">
        <f>IF(Q2265="당기",ABS(P2265)+ROW()/1000000000,"")</f>
        <v/>
      </c>
      <c r="U2265" s="9">
        <f>IF(Q2265="비교",ABS(P2265)+ROW()/1000000000,"")</f>
        <v/>
      </c>
      <c r="V2265" s="39">
        <f>IF($A2265="","",IF(COUNTIF(변동분석!$E$7:$E$506,O2265)&gt;0,"Y","N"))</f>
        <v/>
      </c>
      <c r="W2265" s="39">
        <f>IF($A2265="","",IFERROR(INDEX(계정매핑!$D$5:$D$504,MATCH($F2265&amp;"",계정매핑!$A$5:$A$504,0)),"미매핑"))</f>
        <v/>
      </c>
      <c r="X2265" s="9">
        <f>IF($A2265="","",$F2265&amp;"")</f>
        <v/>
      </c>
    </row>
    <row r="2266">
      <c r="A2266" s="75" t="n">
        <v>2025</v>
      </c>
      <c r="B2266" s="75" t="n">
        <v>12</v>
      </c>
      <c r="C2266" s="75" t="inlineStr">
        <is>
          <t>5100002262</t>
        </is>
      </c>
      <c r="D2266" s="78" t="n">
        <v>46009</v>
      </c>
      <c r="E2266" s="75" t="inlineStr">
        <is>
          <t>KR</t>
        </is>
      </c>
      <c r="F2266" s="75" t="n">
        <v>62501000</v>
      </c>
      <c r="G2266" s="75" t="n">
        <v>1601</v>
      </c>
      <c r="H2266" s="76" t="n">
        <v>388000</v>
      </c>
      <c r="I2266" s="75" t="inlineStr">
        <is>
          <t>12월 회의 다과 - T케이터링</t>
        </is>
      </c>
      <c r="J2266" s="75" t="inlineStr">
        <is>
          <t>V10005</t>
        </is>
      </c>
      <c r="K2266" s="75" t="inlineStr">
        <is>
          <t>T케이터링</t>
        </is>
      </c>
      <c r="M2266" s="9">
        <f>IF($A2266="","",VALUE($A2266&amp;"")*12+VALUE($B2266&amp;""))</f>
        <v/>
      </c>
      <c r="N2266" s="39">
        <f>IF($A2266="","",IFERROR(INDEX(부서매핑!$C$5:$C$504,MATCH($G2266&amp;"",부서매핑!$A$5:$A$504,0)),"미매핑"))</f>
        <v/>
      </c>
      <c r="O2266" s="9">
        <f>IF($A2266="","",N2266&amp;"|"&amp;$F2266)</f>
        <v/>
      </c>
      <c r="P2266" s="77">
        <f>IF($A2266="",0,$H2266*설정!$C$23)</f>
        <v/>
      </c>
      <c r="Q2266" s="39">
        <f>IF($A2266="","",IF(O2266&lt;&gt;원인분석!$C$9,"",IF(AND(M2266&gt;=원인분석!$C$10,M2266&lt;=원인분석!$C$11),"당기",IF(AND(M2266&gt;=원인분석!$C$12,M2266&lt;=원인분석!$C$13),"비교",""))))</f>
        <v/>
      </c>
      <c r="R2266" s="9">
        <f>IF(Q2266="","",$K2266&amp;"")</f>
        <v/>
      </c>
      <c r="S2266" s="9">
        <f>IF(Q2266="","",IF(MATCH(R2266,$R$5:$R$100000,0)=ROW()-4,ROW(),""))</f>
        <v/>
      </c>
      <c r="T2266" s="9">
        <f>IF(Q2266="당기",ABS(P2266)+ROW()/1000000000,"")</f>
        <v/>
      </c>
      <c r="U2266" s="9">
        <f>IF(Q2266="비교",ABS(P2266)+ROW()/1000000000,"")</f>
        <v/>
      </c>
      <c r="V2266" s="39">
        <f>IF($A2266="","",IF(COUNTIF(변동분석!$E$7:$E$506,O2266)&gt;0,"Y","N"))</f>
        <v/>
      </c>
      <c r="W2266" s="39">
        <f>IF($A2266="","",IFERROR(INDEX(계정매핑!$D$5:$D$504,MATCH($F2266&amp;"",계정매핑!$A$5:$A$504,0)),"미매핑"))</f>
        <v/>
      </c>
      <c r="X2266" s="9">
        <f>IF($A2266="","",$F2266&amp;"")</f>
        <v/>
      </c>
    </row>
    <row r="2267">
      <c r="A2267" s="75" t="n">
        <v>2025</v>
      </c>
      <c r="B2267" s="75" t="n">
        <v>12</v>
      </c>
      <c r="C2267" s="75" t="inlineStr">
        <is>
          <t>5100002263</t>
        </is>
      </c>
      <c r="D2267" s="78" t="n">
        <v>46009</v>
      </c>
      <c r="E2267" s="75" t="inlineStr">
        <is>
          <t>KR</t>
        </is>
      </c>
      <c r="F2267" s="75" t="n">
        <v>62701000</v>
      </c>
      <c r="G2267" s="75" t="n">
        <v>1501</v>
      </c>
      <c r="H2267" s="76" t="n">
        <v>50475000</v>
      </c>
      <c r="I2267" s="75" t="inlineStr">
        <is>
          <t>12월 광고 집행 - F애드</t>
        </is>
      </c>
      <c r="J2267" s="75" t="inlineStr">
        <is>
          <t>V10019</t>
        </is>
      </c>
      <c r="K2267" s="75" t="inlineStr">
        <is>
          <t>F애드</t>
        </is>
      </c>
      <c r="M2267" s="9">
        <f>IF($A2267="","",VALUE($A2267&amp;"")*12+VALUE($B2267&amp;""))</f>
        <v/>
      </c>
      <c r="N2267" s="39">
        <f>IF($A2267="","",IFERROR(INDEX(부서매핑!$C$5:$C$504,MATCH($G2267&amp;"",부서매핑!$A$5:$A$504,0)),"미매핑"))</f>
        <v/>
      </c>
      <c r="O2267" s="9">
        <f>IF($A2267="","",N2267&amp;"|"&amp;$F2267)</f>
        <v/>
      </c>
      <c r="P2267" s="77">
        <f>IF($A2267="",0,$H2267*설정!$C$23)</f>
        <v/>
      </c>
      <c r="Q2267" s="39">
        <f>IF($A2267="","",IF(O2267&lt;&gt;원인분석!$C$9,"",IF(AND(M2267&gt;=원인분석!$C$10,M2267&lt;=원인분석!$C$11),"당기",IF(AND(M2267&gt;=원인분석!$C$12,M2267&lt;=원인분석!$C$13),"비교",""))))</f>
        <v/>
      </c>
      <c r="R2267" s="9">
        <f>IF(Q2267="","",$K2267&amp;"")</f>
        <v/>
      </c>
      <c r="S2267" s="9">
        <f>IF(Q2267="","",IF(MATCH(R2267,$R$5:$R$100000,0)=ROW()-4,ROW(),""))</f>
        <v/>
      </c>
      <c r="T2267" s="9">
        <f>IF(Q2267="당기",ABS(P2267)+ROW()/1000000000,"")</f>
        <v/>
      </c>
      <c r="U2267" s="9">
        <f>IF(Q2267="비교",ABS(P2267)+ROW()/1000000000,"")</f>
        <v/>
      </c>
      <c r="V2267" s="39">
        <f>IF($A2267="","",IF(COUNTIF(변동분석!$E$7:$E$506,O2267)&gt;0,"Y","N"))</f>
        <v/>
      </c>
      <c r="W2267" s="39">
        <f>IF($A2267="","",IFERROR(INDEX(계정매핑!$D$5:$D$504,MATCH($F2267&amp;"",계정매핑!$A$5:$A$504,0)),"미매핑"))</f>
        <v/>
      </c>
      <c r="X2267" s="9">
        <f>IF($A2267="","",$F2267&amp;"")</f>
        <v/>
      </c>
    </row>
    <row r="2268">
      <c r="A2268" s="75" t="n">
        <v>2025</v>
      </c>
      <c r="B2268" s="75" t="n">
        <v>12</v>
      </c>
      <c r="C2268" s="75" t="inlineStr">
        <is>
          <t>5100002264</t>
        </is>
      </c>
      <c r="D2268" s="78" t="n">
        <v>46009</v>
      </c>
      <c r="E2268" s="75" t="inlineStr">
        <is>
          <t>KR</t>
        </is>
      </c>
      <c r="F2268" s="75" t="n">
        <v>62901000</v>
      </c>
      <c r="G2268" s="75" t="n">
        <v>1201</v>
      </c>
      <c r="H2268" s="76" t="n">
        <v>5157000</v>
      </c>
      <c r="I2268" s="75" t="inlineStr">
        <is>
          <t>12월 자문 수수료 - W컨설팅</t>
        </is>
      </c>
      <c r="J2268" s="75" t="inlineStr">
        <is>
          <t>V10009</t>
        </is>
      </c>
      <c r="K2268" s="75" t="inlineStr">
        <is>
          <t>W컨설팅</t>
        </is>
      </c>
      <c r="M2268" s="9">
        <f>IF($A2268="","",VALUE($A2268&amp;"")*12+VALUE($B2268&amp;""))</f>
        <v/>
      </c>
      <c r="N2268" s="39">
        <f>IF($A2268="","",IFERROR(INDEX(부서매핑!$C$5:$C$504,MATCH($G2268&amp;"",부서매핑!$A$5:$A$504,0)),"미매핑"))</f>
        <v/>
      </c>
      <c r="O2268" s="9">
        <f>IF($A2268="","",N2268&amp;"|"&amp;$F2268)</f>
        <v/>
      </c>
      <c r="P2268" s="77">
        <f>IF($A2268="",0,$H2268*설정!$C$23)</f>
        <v/>
      </c>
      <c r="Q2268" s="39">
        <f>IF($A2268="","",IF(O2268&lt;&gt;원인분석!$C$9,"",IF(AND(M2268&gt;=원인분석!$C$10,M2268&lt;=원인분석!$C$11),"당기",IF(AND(M2268&gt;=원인분석!$C$12,M2268&lt;=원인분석!$C$13),"비교",""))))</f>
        <v/>
      </c>
      <c r="R2268" s="9">
        <f>IF(Q2268="","",$K2268&amp;"")</f>
        <v/>
      </c>
      <c r="S2268" s="9">
        <f>IF(Q2268="","",IF(MATCH(R2268,$R$5:$R$100000,0)=ROW()-4,ROW(),""))</f>
        <v/>
      </c>
      <c r="T2268" s="9">
        <f>IF(Q2268="당기",ABS(P2268)+ROW()/1000000000,"")</f>
        <v/>
      </c>
      <c r="U2268" s="9">
        <f>IF(Q2268="비교",ABS(P2268)+ROW()/1000000000,"")</f>
        <v/>
      </c>
      <c r="V2268" s="39">
        <f>IF($A2268="","",IF(COUNTIF(변동분석!$E$7:$E$506,O2268)&gt;0,"Y","N"))</f>
        <v/>
      </c>
      <c r="W2268" s="39">
        <f>IF($A2268="","",IFERROR(INDEX(계정매핑!$D$5:$D$504,MATCH($F2268&amp;"",계정매핑!$A$5:$A$504,0)),"미매핑"))</f>
        <v/>
      </c>
      <c r="X2268" s="9">
        <f>IF($A2268="","",$F2268&amp;"")</f>
        <v/>
      </c>
    </row>
    <row r="2269">
      <c r="A2269" s="75" t="n">
        <v>2025</v>
      </c>
      <c r="B2269" s="75" t="n">
        <v>12</v>
      </c>
      <c r="C2269" s="75" t="inlineStr">
        <is>
          <t>5100002265</t>
        </is>
      </c>
      <c r="D2269" s="78" t="n">
        <v>46010</v>
      </c>
      <c r="E2269" s="75" t="inlineStr">
        <is>
          <t>KR</t>
        </is>
      </c>
      <c r="F2269" s="75" t="n">
        <v>62101000</v>
      </c>
      <c r="G2269" s="75" t="n">
        <v>1401</v>
      </c>
      <c r="H2269" s="76" t="n">
        <v>413000</v>
      </c>
      <c r="I2269" s="75" t="inlineStr">
        <is>
          <t>12월 국내출장 - (법인카드)</t>
        </is>
      </c>
      <c r="J2269" s="75" t="inlineStr">
        <is>
          <t>V10008</t>
        </is>
      </c>
      <c r="K2269" s="75" t="inlineStr">
        <is>
          <t>(법인카드)</t>
        </is>
      </c>
      <c r="M2269" s="9">
        <f>IF($A2269="","",VALUE($A2269&amp;"")*12+VALUE($B2269&amp;""))</f>
        <v/>
      </c>
      <c r="N2269" s="39">
        <f>IF($A2269="","",IFERROR(INDEX(부서매핑!$C$5:$C$504,MATCH($G2269&amp;"",부서매핑!$A$5:$A$504,0)),"미매핑"))</f>
        <v/>
      </c>
      <c r="O2269" s="9">
        <f>IF($A2269="","",N2269&amp;"|"&amp;$F2269)</f>
        <v/>
      </c>
      <c r="P2269" s="77">
        <f>IF($A2269="",0,$H2269*설정!$C$23)</f>
        <v/>
      </c>
      <c r="Q2269" s="39">
        <f>IF($A2269="","",IF(O2269&lt;&gt;원인분석!$C$9,"",IF(AND(M2269&gt;=원인분석!$C$10,M2269&lt;=원인분석!$C$11),"당기",IF(AND(M2269&gt;=원인분석!$C$12,M2269&lt;=원인분석!$C$13),"비교",""))))</f>
        <v/>
      </c>
      <c r="R2269" s="9">
        <f>IF(Q2269="","",$K2269&amp;"")</f>
        <v/>
      </c>
      <c r="S2269" s="9">
        <f>IF(Q2269="","",IF(MATCH(R2269,$R$5:$R$100000,0)=ROW()-4,ROW(),""))</f>
        <v/>
      </c>
      <c r="T2269" s="9">
        <f>IF(Q2269="당기",ABS(P2269)+ROW()/1000000000,"")</f>
        <v/>
      </c>
      <c r="U2269" s="9">
        <f>IF(Q2269="비교",ABS(P2269)+ROW()/1000000000,"")</f>
        <v/>
      </c>
      <c r="V2269" s="39">
        <f>IF($A2269="","",IF(COUNTIF(변동분석!$E$7:$E$506,O2269)&gt;0,"Y","N"))</f>
        <v/>
      </c>
      <c r="W2269" s="39">
        <f>IF($A2269="","",IFERROR(INDEX(계정매핑!$D$5:$D$504,MATCH($F2269&amp;"",계정매핑!$A$5:$A$504,0)),"미매핑"))</f>
        <v/>
      </c>
      <c r="X2269" s="9">
        <f>IF($A2269="","",$F2269&amp;"")</f>
        <v/>
      </c>
    </row>
    <row r="2270">
      <c r="A2270" s="75" t="n">
        <v>2025</v>
      </c>
      <c r="B2270" s="75" t="n">
        <v>12</v>
      </c>
      <c r="C2270" s="75" t="inlineStr">
        <is>
          <t>5100002266</t>
        </is>
      </c>
      <c r="D2270" s="78" t="n">
        <v>46010</v>
      </c>
      <c r="E2270" s="75" t="inlineStr">
        <is>
          <t>KR</t>
        </is>
      </c>
      <c r="F2270" s="75" t="n">
        <v>62101000</v>
      </c>
      <c r="G2270" s="75" t="n">
        <v>1701</v>
      </c>
      <c r="H2270" s="76" t="n">
        <v>255000</v>
      </c>
      <c r="I2270" s="75" t="inlineStr">
        <is>
          <t>12월 국내출장 - L여행사</t>
        </is>
      </c>
      <c r="J2270" s="75" t="inlineStr">
        <is>
          <t>V10014</t>
        </is>
      </c>
      <c r="K2270" s="75" t="inlineStr">
        <is>
          <t>L여행사</t>
        </is>
      </c>
      <c r="M2270" s="9">
        <f>IF($A2270="","",VALUE($A2270&amp;"")*12+VALUE($B2270&amp;""))</f>
        <v/>
      </c>
      <c r="N2270" s="39">
        <f>IF($A2270="","",IFERROR(INDEX(부서매핑!$C$5:$C$504,MATCH($G2270&amp;"",부서매핑!$A$5:$A$504,0)),"미매핑"))</f>
        <v/>
      </c>
      <c r="O2270" s="9">
        <f>IF($A2270="","",N2270&amp;"|"&amp;$F2270)</f>
        <v/>
      </c>
      <c r="P2270" s="77">
        <f>IF($A2270="",0,$H2270*설정!$C$23)</f>
        <v/>
      </c>
      <c r="Q2270" s="39">
        <f>IF($A2270="","",IF(O2270&lt;&gt;원인분석!$C$9,"",IF(AND(M2270&gt;=원인분석!$C$10,M2270&lt;=원인분석!$C$11),"당기",IF(AND(M2270&gt;=원인분석!$C$12,M2270&lt;=원인분석!$C$13),"비교",""))))</f>
        <v/>
      </c>
      <c r="R2270" s="9">
        <f>IF(Q2270="","",$K2270&amp;"")</f>
        <v/>
      </c>
      <c r="S2270" s="9">
        <f>IF(Q2270="","",IF(MATCH(R2270,$R$5:$R$100000,0)=ROW()-4,ROW(),""))</f>
        <v/>
      </c>
      <c r="T2270" s="9">
        <f>IF(Q2270="당기",ABS(P2270)+ROW()/1000000000,"")</f>
        <v/>
      </c>
      <c r="U2270" s="9">
        <f>IF(Q2270="비교",ABS(P2270)+ROW()/1000000000,"")</f>
        <v/>
      </c>
      <c r="V2270" s="39">
        <f>IF($A2270="","",IF(COUNTIF(변동분석!$E$7:$E$506,O2270)&gt;0,"Y","N"))</f>
        <v/>
      </c>
      <c r="W2270" s="39">
        <f>IF($A2270="","",IFERROR(INDEX(계정매핑!$D$5:$D$504,MATCH($F2270&amp;"",계정매핑!$A$5:$A$504,0)),"미매핑"))</f>
        <v/>
      </c>
      <c r="X2270" s="9">
        <f>IF($A2270="","",$F2270&amp;"")</f>
        <v/>
      </c>
    </row>
    <row r="2271">
      <c r="A2271" s="75" t="n">
        <v>2025</v>
      </c>
      <c r="B2271" s="75" t="n">
        <v>12</v>
      </c>
      <c r="C2271" s="75" t="inlineStr">
        <is>
          <t>5100002267</t>
        </is>
      </c>
      <c r="D2271" s="78" t="n">
        <v>46010</v>
      </c>
      <c r="E2271" s="75" t="inlineStr">
        <is>
          <t>KR</t>
        </is>
      </c>
      <c r="F2271" s="75" t="n">
        <v>62101000</v>
      </c>
      <c r="G2271" s="75" t="n">
        <v>1701</v>
      </c>
      <c r="H2271" s="76" t="n">
        <v>132000</v>
      </c>
      <c r="I2271" s="75" t="inlineStr">
        <is>
          <t>12월 국내출장 - (법인카드)</t>
        </is>
      </c>
      <c r="J2271" s="75" t="inlineStr">
        <is>
          <t>V10008</t>
        </is>
      </c>
      <c r="K2271" s="75" t="inlineStr">
        <is>
          <t>(법인카드)</t>
        </is>
      </c>
      <c r="M2271" s="9">
        <f>IF($A2271="","",VALUE($A2271&amp;"")*12+VALUE($B2271&amp;""))</f>
        <v/>
      </c>
      <c r="N2271" s="39">
        <f>IF($A2271="","",IFERROR(INDEX(부서매핑!$C$5:$C$504,MATCH($G2271&amp;"",부서매핑!$A$5:$A$504,0)),"미매핑"))</f>
        <v/>
      </c>
      <c r="O2271" s="9">
        <f>IF($A2271="","",N2271&amp;"|"&amp;$F2271)</f>
        <v/>
      </c>
      <c r="P2271" s="77">
        <f>IF($A2271="",0,$H2271*설정!$C$23)</f>
        <v/>
      </c>
      <c r="Q2271" s="39">
        <f>IF($A2271="","",IF(O2271&lt;&gt;원인분석!$C$9,"",IF(AND(M2271&gt;=원인분석!$C$10,M2271&lt;=원인분석!$C$11),"당기",IF(AND(M2271&gt;=원인분석!$C$12,M2271&lt;=원인분석!$C$13),"비교",""))))</f>
        <v/>
      </c>
      <c r="R2271" s="9">
        <f>IF(Q2271="","",$K2271&amp;"")</f>
        <v/>
      </c>
      <c r="S2271" s="9">
        <f>IF(Q2271="","",IF(MATCH(R2271,$R$5:$R$100000,0)=ROW()-4,ROW(),""))</f>
        <v/>
      </c>
      <c r="T2271" s="9">
        <f>IF(Q2271="당기",ABS(P2271)+ROW()/1000000000,"")</f>
        <v/>
      </c>
      <c r="U2271" s="9">
        <f>IF(Q2271="비교",ABS(P2271)+ROW()/1000000000,"")</f>
        <v/>
      </c>
      <c r="V2271" s="39">
        <f>IF($A2271="","",IF(COUNTIF(변동분석!$E$7:$E$506,O2271)&gt;0,"Y","N"))</f>
        <v/>
      </c>
      <c r="W2271" s="39">
        <f>IF($A2271="","",IFERROR(INDEX(계정매핑!$D$5:$D$504,MATCH($F2271&amp;"",계정매핑!$A$5:$A$504,0)),"미매핑"))</f>
        <v/>
      </c>
      <c r="X2271" s="9">
        <f>IF($A2271="","",$F2271&amp;"")</f>
        <v/>
      </c>
    </row>
    <row r="2272">
      <c r="A2272" s="75" t="n">
        <v>2025</v>
      </c>
      <c r="B2272" s="75" t="n">
        <v>12</v>
      </c>
      <c r="C2272" s="75" t="inlineStr">
        <is>
          <t>5100002268</t>
        </is>
      </c>
      <c r="D2272" s="78" t="n">
        <v>46010</v>
      </c>
      <c r="E2272" s="75" t="inlineStr">
        <is>
          <t>KR</t>
        </is>
      </c>
      <c r="F2272" s="75" t="n">
        <v>62102000</v>
      </c>
      <c r="G2272" s="75" t="n">
        <v>1602</v>
      </c>
      <c r="H2272" s="76" t="n">
        <v>241000</v>
      </c>
      <c r="I2272" s="75" t="inlineStr">
        <is>
          <t>12월 해외출장 - M항공</t>
        </is>
      </c>
      <c r="J2272" s="75" t="inlineStr">
        <is>
          <t>V10001</t>
        </is>
      </c>
      <c r="K2272" s="75" t="inlineStr">
        <is>
          <t>M항공</t>
        </is>
      </c>
      <c r="M2272" s="9">
        <f>IF($A2272="","",VALUE($A2272&amp;"")*12+VALUE($B2272&amp;""))</f>
        <v/>
      </c>
      <c r="N2272" s="39">
        <f>IF($A2272="","",IFERROR(INDEX(부서매핑!$C$5:$C$504,MATCH($G2272&amp;"",부서매핑!$A$5:$A$504,0)),"미매핑"))</f>
        <v/>
      </c>
      <c r="O2272" s="9">
        <f>IF($A2272="","",N2272&amp;"|"&amp;$F2272)</f>
        <v/>
      </c>
      <c r="P2272" s="77">
        <f>IF($A2272="",0,$H2272*설정!$C$23)</f>
        <v/>
      </c>
      <c r="Q2272" s="39">
        <f>IF($A2272="","",IF(O2272&lt;&gt;원인분석!$C$9,"",IF(AND(M2272&gt;=원인분석!$C$10,M2272&lt;=원인분석!$C$11),"당기",IF(AND(M2272&gt;=원인분석!$C$12,M2272&lt;=원인분석!$C$13),"비교",""))))</f>
        <v/>
      </c>
      <c r="R2272" s="9">
        <f>IF(Q2272="","",$K2272&amp;"")</f>
        <v/>
      </c>
      <c r="S2272" s="9">
        <f>IF(Q2272="","",IF(MATCH(R2272,$R$5:$R$100000,0)=ROW()-4,ROW(),""))</f>
        <v/>
      </c>
      <c r="T2272" s="9">
        <f>IF(Q2272="당기",ABS(P2272)+ROW()/1000000000,"")</f>
        <v/>
      </c>
      <c r="U2272" s="9">
        <f>IF(Q2272="비교",ABS(P2272)+ROW()/1000000000,"")</f>
        <v/>
      </c>
      <c r="V2272" s="39">
        <f>IF($A2272="","",IF(COUNTIF(변동분석!$E$7:$E$506,O2272)&gt;0,"Y","N"))</f>
        <v/>
      </c>
      <c r="W2272" s="39">
        <f>IF($A2272="","",IFERROR(INDEX(계정매핑!$D$5:$D$504,MATCH($F2272&amp;"",계정매핑!$A$5:$A$504,0)),"미매핑"))</f>
        <v/>
      </c>
      <c r="X2272" s="9">
        <f>IF($A2272="","",$F2272&amp;"")</f>
        <v/>
      </c>
    </row>
    <row r="2273">
      <c r="A2273" s="75" t="n">
        <v>2025</v>
      </c>
      <c r="B2273" s="75" t="n">
        <v>12</v>
      </c>
      <c r="C2273" s="75" t="inlineStr">
        <is>
          <t>5100002269</t>
        </is>
      </c>
      <c r="D2273" s="78" t="n">
        <v>46010</v>
      </c>
      <c r="E2273" s="75" t="inlineStr">
        <is>
          <t>KR</t>
        </is>
      </c>
      <c r="F2273" s="75" t="n">
        <v>62102000</v>
      </c>
      <c r="G2273" s="75" t="n">
        <v>1801</v>
      </c>
      <c r="H2273" s="76" t="n">
        <v>46000</v>
      </c>
      <c r="I2273" s="75" t="inlineStr">
        <is>
          <t>12월 해외출장 - M항공</t>
        </is>
      </c>
      <c r="J2273" s="75" t="inlineStr">
        <is>
          <t>V10001</t>
        </is>
      </c>
      <c r="K2273" s="75" t="inlineStr">
        <is>
          <t>M항공</t>
        </is>
      </c>
      <c r="M2273" s="9">
        <f>IF($A2273="","",VALUE($A2273&amp;"")*12+VALUE($B2273&amp;""))</f>
        <v/>
      </c>
      <c r="N2273" s="39">
        <f>IF($A2273="","",IFERROR(INDEX(부서매핑!$C$5:$C$504,MATCH($G2273&amp;"",부서매핑!$A$5:$A$504,0)),"미매핑"))</f>
        <v/>
      </c>
      <c r="O2273" s="9">
        <f>IF($A2273="","",N2273&amp;"|"&amp;$F2273)</f>
        <v/>
      </c>
      <c r="P2273" s="77">
        <f>IF($A2273="",0,$H2273*설정!$C$23)</f>
        <v/>
      </c>
      <c r="Q2273" s="39">
        <f>IF($A2273="","",IF(O2273&lt;&gt;원인분석!$C$9,"",IF(AND(M2273&gt;=원인분석!$C$10,M2273&lt;=원인분석!$C$11),"당기",IF(AND(M2273&gt;=원인분석!$C$12,M2273&lt;=원인분석!$C$13),"비교",""))))</f>
        <v/>
      </c>
      <c r="R2273" s="9">
        <f>IF(Q2273="","",$K2273&amp;"")</f>
        <v/>
      </c>
      <c r="S2273" s="9">
        <f>IF(Q2273="","",IF(MATCH(R2273,$R$5:$R$100000,0)=ROW()-4,ROW(),""))</f>
        <v/>
      </c>
      <c r="T2273" s="9">
        <f>IF(Q2273="당기",ABS(P2273)+ROW()/1000000000,"")</f>
        <v/>
      </c>
      <c r="U2273" s="9">
        <f>IF(Q2273="비교",ABS(P2273)+ROW()/1000000000,"")</f>
        <v/>
      </c>
      <c r="V2273" s="39">
        <f>IF($A2273="","",IF(COUNTIF(변동분석!$E$7:$E$506,O2273)&gt;0,"Y","N"))</f>
        <v/>
      </c>
      <c r="W2273" s="39">
        <f>IF($A2273="","",IFERROR(INDEX(계정매핑!$D$5:$D$504,MATCH($F2273&amp;"",계정매핑!$A$5:$A$504,0)),"미매핑"))</f>
        <v/>
      </c>
      <c r="X2273" s="9">
        <f>IF($A2273="","",$F2273&amp;"")</f>
        <v/>
      </c>
    </row>
    <row r="2274">
      <c r="A2274" s="75" t="n">
        <v>2025</v>
      </c>
      <c r="B2274" s="75" t="n">
        <v>12</v>
      </c>
      <c r="C2274" s="75" t="inlineStr">
        <is>
          <t>5100002270</t>
        </is>
      </c>
      <c r="D2274" s="78" t="n">
        <v>46010</v>
      </c>
      <c r="E2274" s="75" t="inlineStr">
        <is>
          <t>KR</t>
        </is>
      </c>
      <c r="F2274" s="75" t="n">
        <v>62601000</v>
      </c>
      <c r="G2274" s="75" t="n">
        <v>1602</v>
      </c>
      <c r="H2274" s="76" t="n">
        <v>1160000</v>
      </c>
      <c r="I2274" s="75" t="inlineStr">
        <is>
          <t>12월 업무추진 - (법인카드)</t>
        </is>
      </c>
      <c r="J2274" s="75" t="inlineStr">
        <is>
          <t>V10008</t>
        </is>
      </c>
      <c r="K2274" s="75" t="inlineStr">
        <is>
          <t>(법인카드)</t>
        </is>
      </c>
      <c r="M2274" s="9">
        <f>IF($A2274="","",VALUE($A2274&amp;"")*12+VALUE($B2274&amp;""))</f>
        <v/>
      </c>
      <c r="N2274" s="39">
        <f>IF($A2274="","",IFERROR(INDEX(부서매핑!$C$5:$C$504,MATCH($G2274&amp;"",부서매핑!$A$5:$A$504,0)),"미매핑"))</f>
        <v/>
      </c>
      <c r="O2274" s="9">
        <f>IF($A2274="","",N2274&amp;"|"&amp;$F2274)</f>
        <v/>
      </c>
      <c r="P2274" s="77">
        <f>IF($A2274="",0,$H2274*설정!$C$23)</f>
        <v/>
      </c>
      <c r="Q2274" s="39">
        <f>IF($A2274="","",IF(O2274&lt;&gt;원인분석!$C$9,"",IF(AND(M2274&gt;=원인분석!$C$10,M2274&lt;=원인분석!$C$11),"당기",IF(AND(M2274&gt;=원인분석!$C$12,M2274&lt;=원인분석!$C$13),"비교",""))))</f>
        <v/>
      </c>
      <c r="R2274" s="9">
        <f>IF(Q2274="","",$K2274&amp;"")</f>
        <v/>
      </c>
      <c r="S2274" s="9">
        <f>IF(Q2274="","",IF(MATCH(R2274,$R$5:$R$100000,0)=ROW()-4,ROW(),""))</f>
        <v/>
      </c>
      <c r="T2274" s="9">
        <f>IF(Q2274="당기",ABS(P2274)+ROW()/1000000000,"")</f>
        <v/>
      </c>
      <c r="U2274" s="9">
        <f>IF(Q2274="비교",ABS(P2274)+ROW()/1000000000,"")</f>
        <v/>
      </c>
      <c r="V2274" s="39">
        <f>IF($A2274="","",IF(COUNTIF(변동분석!$E$7:$E$506,O2274)&gt;0,"Y","N"))</f>
        <v/>
      </c>
      <c r="W2274" s="39">
        <f>IF($A2274="","",IFERROR(INDEX(계정매핑!$D$5:$D$504,MATCH($F2274&amp;"",계정매핑!$A$5:$A$504,0)),"미매핑"))</f>
        <v/>
      </c>
      <c r="X2274" s="9">
        <f>IF($A2274="","",$F2274&amp;"")</f>
        <v/>
      </c>
    </row>
    <row r="2275">
      <c r="A2275" s="75" t="n">
        <v>2025</v>
      </c>
      <c r="B2275" s="75" t="n">
        <v>12</v>
      </c>
      <c r="C2275" s="75" t="inlineStr">
        <is>
          <t>5100002271</t>
        </is>
      </c>
      <c r="D2275" s="78" t="n">
        <v>46010</v>
      </c>
      <c r="E2275" s="75" t="inlineStr">
        <is>
          <t>KR</t>
        </is>
      </c>
      <c r="F2275" s="75" t="n">
        <v>62802000</v>
      </c>
      <c r="G2275" s="75" t="n">
        <v>1301</v>
      </c>
      <c r="H2275" s="76" t="n">
        <v>6168000</v>
      </c>
      <c r="I2275" s="75" t="inlineStr">
        <is>
          <t>12월 위탁교육 - V아카데미</t>
        </is>
      </c>
      <c r="J2275" s="75" t="inlineStr">
        <is>
          <t>V10023</t>
        </is>
      </c>
      <c r="K2275" s="75" t="inlineStr">
        <is>
          <t>V아카데미</t>
        </is>
      </c>
      <c r="M2275" s="9">
        <f>IF($A2275="","",VALUE($A2275&amp;"")*12+VALUE($B2275&amp;""))</f>
        <v/>
      </c>
      <c r="N2275" s="39">
        <f>IF($A2275="","",IFERROR(INDEX(부서매핑!$C$5:$C$504,MATCH($G2275&amp;"",부서매핑!$A$5:$A$504,0)),"미매핑"))</f>
        <v/>
      </c>
      <c r="O2275" s="9">
        <f>IF($A2275="","",N2275&amp;"|"&amp;$F2275)</f>
        <v/>
      </c>
      <c r="P2275" s="77">
        <f>IF($A2275="",0,$H2275*설정!$C$23)</f>
        <v/>
      </c>
      <c r="Q2275" s="39">
        <f>IF($A2275="","",IF(O2275&lt;&gt;원인분석!$C$9,"",IF(AND(M2275&gt;=원인분석!$C$10,M2275&lt;=원인분석!$C$11),"당기",IF(AND(M2275&gt;=원인분석!$C$12,M2275&lt;=원인분석!$C$13),"비교",""))))</f>
        <v/>
      </c>
      <c r="R2275" s="9">
        <f>IF(Q2275="","",$K2275&amp;"")</f>
        <v/>
      </c>
      <c r="S2275" s="9">
        <f>IF(Q2275="","",IF(MATCH(R2275,$R$5:$R$100000,0)=ROW()-4,ROW(),""))</f>
        <v/>
      </c>
      <c r="T2275" s="9">
        <f>IF(Q2275="당기",ABS(P2275)+ROW()/1000000000,"")</f>
        <v/>
      </c>
      <c r="U2275" s="9">
        <f>IF(Q2275="비교",ABS(P2275)+ROW()/1000000000,"")</f>
        <v/>
      </c>
      <c r="V2275" s="39">
        <f>IF($A2275="","",IF(COUNTIF(변동분석!$E$7:$E$506,O2275)&gt;0,"Y","N"))</f>
        <v/>
      </c>
      <c r="W2275" s="39">
        <f>IF($A2275="","",IFERROR(INDEX(계정매핑!$D$5:$D$504,MATCH($F2275&amp;"",계정매핑!$A$5:$A$504,0)),"미매핑"))</f>
        <v/>
      </c>
      <c r="X2275" s="9">
        <f>IF($A2275="","",$F2275&amp;"")</f>
        <v/>
      </c>
    </row>
    <row r="2276">
      <c r="A2276" s="75" t="n">
        <v>2025</v>
      </c>
      <c r="B2276" s="75" t="n">
        <v>12</v>
      </c>
      <c r="C2276" s="75" t="inlineStr">
        <is>
          <t>5100002272</t>
        </is>
      </c>
      <c r="D2276" s="78" t="n">
        <v>46010</v>
      </c>
      <c r="E2276" s="75" t="inlineStr">
        <is>
          <t>KR</t>
        </is>
      </c>
      <c r="F2276" s="75" t="n">
        <v>62902000</v>
      </c>
      <c r="G2276" s="75" t="n">
        <v>1801</v>
      </c>
      <c r="H2276" s="76" t="n">
        <v>1810000</v>
      </c>
      <c r="I2276" s="75" t="inlineStr">
        <is>
          <t>12월 콜 위탁 수수료(건별)</t>
        </is>
      </c>
      <c r="J2276" s="75" t="inlineStr">
        <is>
          <t>V10013</t>
        </is>
      </c>
      <c r="K2276" s="75" t="inlineStr">
        <is>
          <t>J콜센터</t>
        </is>
      </c>
      <c r="M2276" s="9">
        <f>IF($A2276="","",VALUE($A2276&amp;"")*12+VALUE($B2276&amp;""))</f>
        <v/>
      </c>
      <c r="N2276" s="39">
        <f>IF($A2276="","",IFERROR(INDEX(부서매핑!$C$5:$C$504,MATCH($G2276&amp;"",부서매핑!$A$5:$A$504,0)),"미매핑"))</f>
        <v/>
      </c>
      <c r="O2276" s="9">
        <f>IF($A2276="","",N2276&amp;"|"&amp;$F2276)</f>
        <v/>
      </c>
      <c r="P2276" s="77">
        <f>IF($A2276="",0,$H2276*설정!$C$23)</f>
        <v/>
      </c>
      <c r="Q2276" s="39">
        <f>IF($A2276="","",IF(O2276&lt;&gt;원인분석!$C$9,"",IF(AND(M2276&gt;=원인분석!$C$10,M2276&lt;=원인분석!$C$11),"당기",IF(AND(M2276&gt;=원인분석!$C$12,M2276&lt;=원인분석!$C$13),"비교",""))))</f>
        <v/>
      </c>
      <c r="R2276" s="9">
        <f>IF(Q2276="","",$K2276&amp;"")</f>
        <v/>
      </c>
      <c r="S2276" s="9">
        <f>IF(Q2276="","",IF(MATCH(R2276,$R$5:$R$100000,0)=ROW()-4,ROW(),""))</f>
        <v/>
      </c>
      <c r="T2276" s="9">
        <f>IF(Q2276="당기",ABS(P2276)+ROW()/1000000000,"")</f>
        <v/>
      </c>
      <c r="U2276" s="9">
        <f>IF(Q2276="비교",ABS(P2276)+ROW()/1000000000,"")</f>
        <v/>
      </c>
      <c r="V2276" s="39">
        <f>IF($A2276="","",IF(COUNTIF(변동분석!$E$7:$E$506,O2276)&gt;0,"Y","N"))</f>
        <v/>
      </c>
      <c r="W2276" s="39">
        <f>IF($A2276="","",IFERROR(INDEX(계정매핑!$D$5:$D$504,MATCH($F2276&amp;"",계정매핑!$A$5:$A$504,0)),"미매핑"))</f>
        <v/>
      </c>
      <c r="X2276" s="9">
        <f>IF($A2276="","",$F2276&amp;"")</f>
        <v/>
      </c>
    </row>
    <row r="2277">
      <c r="A2277" s="75" t="n">
        <v>2025</v>
      </c>
      <c r="B2277" s="75" t="n">
        <v>12</v>
      </c>
      <c r="C2277" s="75" t="inlineStr">
        <is>
          <t>5100002273</t>
        </is>
      </c>
      <c r="D2277" s="78" t="n">
        <v>46010</v>
      </c>
      <c r="E2277" s="75" t="inlineStr">
        <is>
          <t>KR</t>
        </is>
      </c>
      <c r="F2277" s="75" t="n">
        <v>62902000</v>
      </c>
      <c r="G2277" s="75" t="n">
        <v>1801</v>
      </c>
      <c r="H2277" s="76" t="n">
        <v>1804000</v>
      </c>
      <c r="I2277" s="75" t="inlineStr">
        <is>
          <t>12월 콜 위탁 수수료(건별)</t>
        </is>
      </c>
      <c r="J2277" s="75" t="inlineStr">
        <is>
          <t>V10013</t>
        </is>
      </c>
      <c r="K2277" s="75" t="inlineStr">
        <is>
          <t>J콜센터</t>
        </is>
      </c>
      <c r="M2277" s="9">
        <f>IF($A2277="","",VALUE($A2277&amp;"")*12+VALUE($B2277&amp;""))</f>
        <v/>
      </c>
      <c r="N2277" s="39">
        <f>IF($A2277="","",IFERROR(INDEX(부서매핑!$C$5:$C$504,MATCH($G2277&amp;"",부서매핑!$A$5:$A$504,0)),"미매핑"))</f>
        <v/>
      </c>
      <c r="O2277" s="9">
        <f>IF($A2277="","",N2277&amp;"|"&amp;$F2277)</f>
        <v/>
      </c>
      <c r="P2277" s="77">
        <f>IF($A2277="",0,$H2277*설정!$C$23)</f>
        <v/>
      </c>
      <c r="Q2277" s="39">
        <f>IF($A2277="","",IF(O2277&lt;&gt;원인분석!$C$9,"",IF(AND(M2277&gt;=원인분석!$C$10,M2277&lt;=원인분석!$C$11),"당기",IF(AND(M2277&gt;=원인분석!$C$12,M2277&lt;=원인분석!$C$13),"비교",""))))</f>
        <v/>
      </c>
      <c r="R2277" s="9">
        <f>IF(Q2277="","",$K2277&amp;"")</f>
        <v/>
      </c>
      <c r="S2277" s="9">
        <f>IF(Q2277="","",IF(MATCH(R2277,$R$5:$R$100000,0)=ROW()-4,ROW(),""))</f>
        <v/>
      </c>
      <c r="T2277" s="9">
        <f>IF(Q2277="당기",ABS(P2277)+ROW()/1000000000,"")</f>
        <v/>
      </c>
      <c r="U2277" s="9">
        <f>IF(Q2277="비교",ABS(P2277)+ROW()/1000000000,"")</f>
        <v/>
      </c>
      <c r="V2277" s="39">
        <f>IF($A2277="","",IF(COUNTIF(변동분석!$E$7:$E$506,O2277)&gt;0,"Y","N"))</f>
        <v/>
      </c>
      <c r="W2277" s="39">
        <f>IF($A2277="","",IFERROR(INDEX(계정매핑!$D$5:$D$504,MATCH($F2277&amp;"",계정매핑!$A$5:$A$504,0)),"미매핑"))</f>
        <v/>
      </c>
      <c r="X2277" s="9">
        <f>IF($A2277="","",$F2277&amp;"")</f>
        <v/>
      </c>
    </row>
    <row r="2278">
      <c r="A2278" s="75" t="n">
        <v>2025</v>
      </c>
      <c r="B2278" s="75" t="n">
        <v>12</v>
      </c>
      <c r="C2278" s="75" t="inlineStr">
        <is>
          <t>5100002274</t>
        </is>
      </c>
      <c r="D2278" s="78" t="n">
        <v>46010</v>
      </c>
      <c r="E2278" s="75" t="inlineStr">
        <is>
          <t>KR</t>
        </is>
      </c>
      <c r="F2278" s="75" t="n">
        <v>63001000</v>
      </c>
      <c r="G2278" s="75" t="n">
        <v>1701</v>
      </c>
      <c r="H2278" s="76" t="n">
        <v>52453000</v>
      </c>
      <c r="I2278" s="75" t="inlineStr">
        <is>
          <t>12월 SW 유지보수 - Y소프트</t>
        </is>
      </c>
      <c r="J2278" s="75" t="inlineStr">
        <is>
          <t>V10017</t>
        </is>
      </c>
      <c r="K2278" s="75" t="inlineStr">
        <is>
          <t>Y소프트</t>
        </is>
      </c>
      <c r="M2278" s="9">
        <f>IF($A2278="","",VALUE($A2278&amp;"")*12+VALUE($B2278&amp;""))</f>
        <v/>
      </c>
      <c r="N2278" s="39">
        <f>IF($A2278="","",IFERROR(INDEX(부서매핑!$C$5:$C$504,MATCH($G2278&amp;"",부서매핑!$A$5:$A$504,0)),"미매핑"))</f>
        <v/>
      </c>
      <c r="O2278" s="9">
        <f>IF($A2278="","",N2278&amp;"|"&amp;$F2278)</f>
        <v/>
      </c>
      <c r="P2278" s="77">
        <f>IF($A2278="",0,$H2278*설정!$C$23)</f>
        <v/>
      </c>
      <c r="Q2278" s="39">
        <f>IF($A2278="","",IF(O2278&lt;&gt;원인분석!$C$9,"",IF(AND(M2278&gt;=원인분석!$C$10,M2278&lt;=원인분석!$C$11),"당기",IF(AND(M2278&gt;=원인분석!$C$12,M2278&lt;=원인분석!$C$13),"비교",""))))</f>
        <v/>
      </c>
      <c r="R2278" s="9">
        <f>IF(Q2278="","",$K2278&amp;"")</f>
        <v/>
      </c>
      <c r="S2278" s="9">
        <f>IF(Q2278="","",IF(MATCH(R2278,$R$5:$R$100000,0)=ROW()-4,ROW(),""))</f>
        <v/>
      </c>
      <c r="T2278" s="9">
        <f>IF(Q2278="당기",ABS(P2278)+ROW()/1000000000,"")</f>
        <v/>
      </c>
      <c r="U2278" s="9">
        <f>IF(Q2278="비교",ABS(P2278)+ROW()/1000000000,"")</f>
        <v/>
      </c>
      <c r="V2278" s="39">
        <f>IF($A2278="","",IF(COUNTIF(변동분석!$E$7:$E$506,O2278)&gt;0,"Y","N"))</f>
        <v/>
      </c>
      <c r="W2278" s="39">
        <f>IF($A2278="","",IFERROR(INDEX(계정매핑!$D$5:$D$504,MATCH($F2278&amp;"",계정매핑!$A$5:$A$504,0)),"미매핑"))</f>
        <v/>
      </c>
      <c r="X2278" s="9">
        <f>IF($A2278="","",$F2278&amp;"")</f>
        <v/>
      </c>
    </row>
    <row r="2279">
      <c r="A2279" s="75" t="n">
        <v>2025</v>
      </c>
      <c r="B2279" s="75" t="n">
        <v>12</v>
      </c>
      <c r="C2279" s="75" t="inlineStr">
        <is>
          <t>5100002275</t>
        </is>
      </c>
      <c r="D2279" s="78" t="n">
        <v>46010</v>
      </c>
      <c r="E2279" s="75" t="inlineStr">
        <is>
          <t>KR</t>
        </is>
      </c>
      <c r="F2279" s="75" t="n">
        <v>63001000</v>
      </c>
      <c r="G2279" s="75" t="n">
        <v>1701</v>
      </c>
      <c r="H2279" s="76" t="n">
        <v>29050000</v>
      </c>
      <c r="I2279" s="75" t="inlineStr">
        <is>
          <t>12월 SW 유지보수 - Z시스템</t>
        </is>
      </c>
      <c r="J2279" s="75" t="inlineStr">
        <is>
          <t>V10021</t>
        </is>
      </c>
      <c r="K2279" s="75" t="inlineStr">
        <is>
          <t>Z시스템</t>
        </is>
      </c>
      <c r="M2279" s="9">
        <f>IF($A2279="","",VALUE($A2279&amp;"")*12+VALUE($B2279&amp;""))</f>
        <v/>
      </c>
      <c r="N2279" s="39">
        <f>IF($A2279="","",IFERROR(INDEX(부서매핑!$C$5:$C$504,MATCH($G2279&amp;"",부서매핑!$A$5:$A$504,0)),"미매핑"))</f>
        <v/>
      </c>
      <c r="O2279" s="9">
        <f>IF($A2279="","",N2279&amp;"|"&amp;$F2279)</f>
        <v/>
      </c>
      <c r="P2279" s="77">
        <f>IF($A2279="",0,$H2279*설정!$C$23)</f>
        <v/>
      </c>
      <c r="Q2279" s="39">
        <f>IF($A2279="","",IF(O2279&lt;&gt;원인분석!$C$9,"",IF(AND(M2279&gt;=원인분석!$C$10,M2279&lt;=원인분석!$C$11),"당기",IF(AND(M2279&gt;=원인분석!$C$12,M2279&lt;=원인분석!$C$13),"비교",""))))</f>
        <v/>
      </c>
      <c r="R2279" s="9">
        <f>IF(Q2279="","",$K2279&amp;"")</f>
        <v/>
      </c>
      <c r="S2279" s="9">
        <f>IF(Q2279="","",IF(MATCH(R2279,$R$5:$R$100000,0)=ROW()-4,ROW(),""))</f>
        <v/>
      </c>
      <c r="T2279" s="9">
        <f>IF(Q2279="당기",ABS(P2279)+ROW()/1000000000,"")</f>
        <v/>
      </c>
      <c r="U2279" s="9">
        <f>IF(Q2279="비교",ABS(P2279)+ROW()/1000000000,"")</f>
        <v/>
      </c>
      <c r="V2279" s="39">
        <f>IF($A2279="","",IF(COUNTIF(변동분석!$E$7:$E$506,O2279)&gt;0,"Y","N"))</f>
        <v/>
      </c>
      <c r="W2279" s="39">
        <f>IF($A2279="","",IFERROR(INDEX(계정매핑!$D$5:$D$504,MATCH($F2279&amp;"",계정매핑!$A$5:$A$504,0)),"미매핑"))</f>
        <v/>
      </c>
      <c r="X2279" s="9">
        <f>IF($A2279="","",$F2279&amp;"")</f>
        <v/>
      </c>
    </row>
    <row r="2280">
      <c r="A2280" s="75" t="n">
        <v>2025</v>
      </c>
      <c r="B2280" s="75" t="n">
        <v>12</v>
      </c>
      <c r="C2280" s="75" t="inlineStr">
        <is>
          <t>5100002276</t>
        </is>
      </c>
      <c r="D2280" s="78" t="n">
        <v>46011</v>
      </c>
      <c r="E2280" s="75" t="inlineStr">
        <is>
          <t>KR</t>
        </is>
      </c>
      <c r="F2280" s="75" t="n">
        <v>62101000</v>
      </c>
      <c r="G2280" s="75" t="n">
        <v>1101</v>
      </c>
      <c r="H2280" s="76" t="n">
        <v>629000</v>
      </c>
      <c r="I2280" s="75" t="inlineStr">
        <is>
          <t>12월 국내출장 - (법인카드)</t>
        </is>
      </c>
      <c r="J2280" s="75" t="inlineStr">
        <is>
          <t>V10008</t>
        </is>
      </c>
      <c r="K2280" s="75" t="inlineStr">
        <is>
          <t>(법인카드)</t>
        </is>
      </c>
      <c r="M2280" s="9">
        <f>IF($A2280="","",VALUE($A2280&amp;"")*12+VALUE($B2280&amp;""))</f>
        <v/>
      </c>
      <c r="N2280" s="39">
        <f>IF($A2280="","",IFERROR(INDEX(부서매핑!$C$5:$C$504,MATCH($G2280&amp;"",부서매핑!$A$5:$A$504,0)),"미매핑"))</f>
        <v/>
      </c>
      <c r="O2280" s="9">
        <f>IF($A2280="","",N2280&amp;"|"&amp;$F2280)</f>
        <v/>
      </c>
      <c r="P2280" s="77">
        <f>IF($A2280="",0,$H2280*설정!$C$23)</f>
        <v/>
      </c>
      <c r="Q2280" s="39">
        <f>IF($A2280="","",IF(O2280&lt;&gt;원인분석!$C$9,"",IF(AND(M2280&gt;=원인분석!$C$10,M2280&lt;=원인분석!$C$11),"당기",IF(AND(M2280&gt;=원인분석!$C$12,M2280&lt;=원인분석!$C$13),"비교",""))))</f>
        <v/>
      </c>
      <c r="R2280" s="9">
        <f>IF(Q2280="","",$K2280&amp;"")</f>
        <v/>
      </c>
      <c r="S2280" s="9">
        <f>IF(Q2280="","",IF(MATCH(R2280,$R$5:$R$100000,0)=ROW()-4,ROW(),""))</f>
        <v/>
      </c>
      <c r="T2280" s="9">
        <f>IF(Q2280="당기",ABS(P2280)+ROW()/1000000000,"")</f>
        <v/>
      </c>
      <c r="U2280" s="9">
        <f>IF(Q2280="비교",ABS(P2280)+ROW()/1000000000,"")</f>
        <v/>
      </c>
      <c r="V2280" s="39">
        <f>IF($A2280="","",IF(COUNTIF(변동분석!$E$7:$E$506,O2280)&gt;0,"Y","N"))</f>
        <v/>
      </c>
      <c r="W2280" s="39">
        <f>IF($A2280="","",IFERROR(INDEX(계정매핑!$D$5:$D$504,MATCH($F2280&amp;"",계정매핑!$A$5:$A$504,0)),"미매핑"))</f>
        <v/>
      </c>
      <c r="X2280" s="9">
        <f>IF($A2280="","",$F2280&amp;"")</f>
        <v/>
      </c>
    </row>
    <row r="2281">
      <c r="A2281" s="75" t="n">
        <v>2025</v>
      </c>
      <c r="B2281" s="75" t="n">
        <v>12</v>
      </c>
      <c r="C2281" s="75" t="inlineStr">
        <is>
          <t>5100002277</t>
        </is>
      </c>
      <c r="D2281" s="78" t="n">
        <v>46011</v>
      </c>
      <c r="E2281" s="75" t="inlineStr">
        <is>
          <t>KR</t>
        </is>
      </c>
      <c r="F2281" s="75" t="n">
        <v>62101000</v>
      </c>
      <c r="G2281" s="75" t="n">
        <v>1801</v>
      </c>
      <c r="H2281" s="76" t="n">
        <v>216000</v>
      </c>
      <c r="I2281" s="75" t="inlineStr">
        <is>
          <t>12월 국내출장 - (법인카드)</t>
        </is>
      </c>
      <c r="J2281" s="75" t="inlineStr">
        <is>
          <t>V10008</t>
        </is>
      </c>
      <c r="K2281" s="75" t="inlineStr">
        <is>
          <t>(법인카드)</t>
        </is>
      </c>
      <c r="M2281" s="9">
        <f>IF($A2281="","",VALUE($A2281&amp;"")*12+VALUE($B2281&amp;""))</f>
        <v/>
      </c>
      <c r="N2281" s="39">
        <f>IF($A2281="","",IFERROR(INDEX(부서매핑!$C$5:$C$504,MATCH($G2281&amp;"",부서매핑!$A$5:$A$504,0)),"미매핑"))</f>
        <v/>
      </c>
      <c r="O2281" s="9">
        <f>IF($A2281="","",N2281&amp;"|"&amp;$F2281)</f>
        <v/>
      </c>
      <c r="P2281" s="77">
        <f>IF($A2281="",0,$H2281*설정!$C$23)</f>
        <v/>
      </c>
      <c r="Q2281" s="39">
        <f>IF($A2281="","",IF(O2281&lt;&gt;원인분석!$C$9,"",IF(AND(M2281&gt;=원인분석!$C$10,M2281&lt;=원인분석!$C$11),"당기",IF(AND(M2281&gt;=원인분석!$C$12,M2281&lt;=원인분석!$C$13),"비교",""))))</f>
        <v/>
      </c>
      <c r="R2281" s="9">
        <f>IF(Q2281="","",$K2281&amp;"")</f>
        <v/>
      </c>
      <c r="S2281" s="9">
        <f>IF(Q2281="","",IF(MATCH(R2281,$R$5:$R$100000,0)=ROW()-4,ROW(),""))</f>
        <v/>
      </c>
      <c r="T2281" s="9">
        <f>IF(Q2281="당기",ABS(P2281)+ROW()/1000000000,"")</f>
        <v/>
      </c>
      <c r="U2281" s="9">
        <f>IF(Q2281="비교",ABS(P2281)+ROW()/1000000000,"")</f>
        <v/>
      </c>
      <c r="V2281" s="39">
        <f>IF($A2281="","",IF(COUNTIF(변동분석!$E$7:$E$506,O2281)&gt;0,"Y","N"))</f>
        <v/>
      </c>
      <c r="W2281" s="39">
        <f>IF($A2281="","",IFERROR(INDEX(계정매핑!$D$5:$D$504,MATCH($F2281&amp;"",계정매핑!$A$5:$A$504,0)),"미매핑"))</f>
        <v/>
      </c>
      <c r="X2281" s="9">
        <f>IF($A2281="","",$F2281&amp;"")</f>
        <v/>
      </c>
    </row>
    <row r="2282">
      <c r="A2282" s="75" t="n">
        <v>2025</v>
      </c>
      <c r="B2282" s="75" t="n">
        <v>12</v>
      </c>
      <c r="C2282" s="75" t="inlineStr">
        <is>
          <t>5100002278</t>
        </is>
      </c>
      <c r="D2282" s="78" t="n">
        <v>46011</v>
      </c>
      <c r="E2282" s="75" t="inlineStr">
        <is>
          <t>KR</t>
        </is>
      </c>
      <c r="F2282" s="75" t="n">
        <v>62301000</v>
      </c>
      <c r="G2282" s="75" t="n">
        <v>1801</v>
      </c>
      <c r="H2282" s="76" t="n">
        <v>378000</v>
      </c>
      <c r="I2282" s="75" t="inlineStr">
        <is>
          <t>12월 소모품 구입 - R문구</t>
        </is>
      </c>
      <c r="J2282" s="75" t="inlineStr">
        <is>
          <t>V10018</t>
        </is>
      </c>
      <c r="K2282" s="75" t="inlineStr">
        <is>
          <t>R문구</t>
        </is>
      </c>
      <c r="M2282" s="9">
        <f>IF($A2282="","",VALUE($A2282&amp;"")*12+VALUE($B2282&amp;""))</f>
        <v/>
      </c>
      <c r="N2282" s="39">
        <f>IF($A2282="","",IFERROR(INDEX(부서매핑!$C$5:$C$504,MATCH($G2282&amp;"",부서매핑!$A$5:$A$504,0)),"미매핑"))</f>
        <v/>
      </c>
      <c r="O2282" s="9">
        <f>IF($A2282="","",N2282&amp;"|"&amp;$F2282)</f>
        <v/>
      </c>
      <c r="P2282" s="77">
        <f>IF($A2282="",0,$H2282*설정!$C$23)</f>
        <v/>
      </c>
      <c r="Q2282" s="39">
        <f>IF($A2282="","",IF(O2282&lt;&gt;원인분석!$C$9,"",IF(AND(M2282&gt;=원인분석!$C$10,M2282&lt;=원인분석!$C$11),"당기",IF(AND(M2282&gt;=원인분석!$C$12,M2282&lt;=원인분석!$C$13),"비교",""))))</f>
        <v/>
      </c>
      <c r="R2282" s="9">
        <f>IF(Q2282="","",$K2282&amp;"")</f>
        <v/>
      </c>
      <c r="S2282" s="9">
        <f>IF(Q2282="","",IF(MATCH(R2282,$R$5:$R$100000,0)=ROW()-4,ROW(),""))</f>
        <v/>
      </c>
      <c r="T2282" s="9">
        <f>IF(Q2282="당기",ABS(P2282)+ROW()/1000000000,"")</f>
        <v/>
      </c>
      <c r="U2282" s="9">
        <f>IF(Q2282="비교",ABS(P2282)+ROW()/1000000000,"")</f>
        <v/>
      </c>
      <c r="V2282" s="39">
        <f>IF($A2282="","",IF(COUNTIF(변동분석!$E$7:$E$506,O2282)&gt;0,"Y","N"))</f>
        <v/>
      </c>
      <c r="W2282" s="39">
        <f>IF($A2282="","",IFERROR(INDEX(계정매핑!$D$5:$D$504,MATCH($F2282&amp;"",계정매핑!$A$5:$A$504,0)),"미매핑"))</f>
        <v/>
      </c>
      <c r="X2282" s="9">
        <f>IF($A2282="","",$F2282&amp;"")</f>
        <v/>
      </c>
    </row>
    <row r="2283">
      <c r="A2283" s="75" t="n">
        <v>2025</v>
      </c>
      <c r="B2283" s="75" t="n">
        <v>12</v>
      </c>
      <c r="C2283" s="75" t="inlineStr">
        <is>
          <t>5100002279</t>
        </is>
      </c>
      <c r="D2283" s="78" t="n">
        <v>46011</v>
      </c>
      <c r="E2283" s="75" t="inlineStr">
        <is>
          <t>KR</t>
        </is>
      </c>
      <c r="F2283" s="75" t="n">
        <v>63101000</v>
      </c>
      <c r="G2283" s="75" t="n">
        <v>1602</v>
      </c>
      <c r="H2283" s="76" t="n">
        <v>4938000</v>
      </c>
      <c r="I2283" s="75" t="inlineStr">
        <is>
          <t>12월 사무실 임차료 - AA빌딩</t>
        </is>
      </c>
      <c r="J2283" s="75" t="inlineStr">
        <is>
          <t>V10006</t>
        </is>
      </c>
      <c r="K2283" s="75" t="inlineStr">
        <is>
          <t>AA빌딩</t>
        </is>
      </c>
      <c r="M2283" s="9">
        <f>IF($A2283="","",VALUE($A2283&amp;"")*12+VALUE($B2283&amp;""))</f>
        <v/>
      </c>
      <c r="N2283" s="39">
        <f>IF($A2283="","",IFERROR(INDEX(부서매핑!$C$5:$C$504,MATCH($G2283&amp;"",부서매핑!$A$5:$A$504,0)),"미매핑"))</f>
        <v/>
      </c>
      <c r="O2283" s="9">
        <f>IF($A2283="","",N2283&amp;"|"&amp;$F2283)</f>
        <v/>
      </c>
      <c r="P2283" s="77">
        <f>IF($A2283="",0,$H2283*설정!$C$23)</f>
        <v/>
      </c>
      <c r="Q2283" s="39">
        <f>IF($A2283="","",IF(O2283&lt;&gt;원인분석!$C$9,"",IF(AND(M2283&gt;=원인분석!$C$10,M2283&lt;=원인분석!$C$11),"당기",IF(AND(M2283&gt;=원인분석!$C$12,M2283&lt;=원인분석!$C$13),"비교",""))))</f>
        <v/>
      </c>
      <c r="R2283" s="9">
        <f>IF(Q2283="","",$K2283&amp;"")</f>
        <v/>
      </c>
      <c r="S2283" s="9">
        <f>IF(Q2283="","",IF(MATCH(R2283,$R$5:$R$100000,0)=ROW()-4,ROW(),""))</f>
        <v/>
      </c>
      <c r="T2283" s="9">
        <f>IF(Q2283="당기",ABS(P2283)+ROW()/1000000000,"")</f>
        <v/>
      </c>
      <c r="U2283" s="9">
        <f>IF(Q2283="비교",ABS(P2283)+ROW()/1000000000,"")</f>
        <v/>
      </c>
      <c r="V2283" s="39">
        <f>IF($A2283="","",IF(COUNTIF(변동분석!$E$7:$E$506,O2283)&gt;0,"Y","N"))</f>
        <v/>
      </c>
      <c r="W2283" s="39">
        <f>IF($A2283="","",IFERROR(INDEX(계정매핑!$D$5:$D$504,MATCH($F2283&amp;"",계정매핑!$A$5:$A$504,0)),"미매핑"))</f>
        <v/>
      </c>
      <c r="X2283" s="9">
        <f>IF($A2283="","",$F2283&amp;"")</f>
        <v/>
      </c>
    </row>
    <row r="2284">
      <c r="A2284" s="75" t="n">
        <v>2025</v>
      </c>
      <c r="B2284" s="75" t="n">
        <v>12</v>
      </c>
      <c r="C2284" s="75" t="inlineStr">
        <is>
          <t>5100002280</t>
        </is>
      </c>
      <c r="D2284" s="78" t="n">
        <v>46012</v>
      </c>
      <c r="E2284" s="75" t="inlineStr">
        <is>
          <t>KR</t>
        </is>
      </c>
      <c r="F2284" s="75" t="n">
        <v>62101000</v>
      </c>
      <c r="G2284" s="75" t="n">
        <v>1401</v>
      </c>
      <c r="H2284" s="76" t="n">
        <v>218000</v>
      </c>
      <c r="I2284" s="75" t="inlineStr">
        <is>
          <t>12월 국내출장 - L여행사</t>
        </is>
      </c>
      <c r="J2284" s="75" t="inlineStr">
        <is>
          <t>V10014</t>
        </is>
      </c>
      <c r="K2284" s="75" t="inlineStr">
        <is>
          <t>L여행사</t>
        </is>
      </c>
      <c r="M2284" s="9">
        <f>IF($A2284="","",VALUE($A2284&amp;"")*12+VALUE($B2284&amp;""))</f>
        <v/>
      </c>
      <c r="N2284" s="39">
        <f>IF($A2284="","",IFERROR(INDEX(부서매핑!$C$5:$C$504,MATCH($G2284&amp;"",부서매핑!$A$5:$A$504,0)),"미매핑"))</f>
        <v/>
      </c>
      <c r="O2284" s="9">
        <f>IF($A2284="","",N2284&amp;"|"&amp;$F2284)</f>
        <v/>
      </c>
      <c r="P2284" s="77">
        <f>IF($A2284="",0,$H2284*설정!$C$23)</f>
        <v/>
      </c>
      <c r="Q2284" s="39">
        <f>IF($A2284="","",IF(O2284&lt;&gt;원인분석!$C$9,"",IF(AND(M2284&gt;=원인분석!$C$10,M2284&lt;=원인분석!$C$11),"당기",IF(AND(M2284&gt;=원인분석!$C$12,M2284&lt;=원인분석!$C$13),"비교",""))))</f>
        <v/>
      </c>
      <c r="R2284" s="9">
        <f>IF(Q2284="","",$K2284&amp;"")</f>
        <v/>
      </c>
      <c r="S2284" s="9">
        <f>IF(Q2284="","",IF(MATCH(R2284,$R$5:$R$100000,0)=ROW()-4,ROW(),""))</f>
        <v/>
      </c>
      <c r="T2284" s="9">
        <f>IF(Q2284="당기",ABS(P2284)+ROW()/1000000000,"")</f>
        <v/>
      </c>
      <c r="U2284" s="9">
        <f>IF(Q2284="비교",ABS(P2284)+ROW()/1000000000,"")</f>
        <v/>
      </c>
      <c r="V2284" s="39">
        <f>IF($A2284="","",IF(COUNTIF(변동분석!$E$7:$E$506,O2284)&gt;0,"Y","N"))</f>
        <v/>
      </c>
      <c r="W2284" s="39">
        <f>IF($A2284="","",IFERROR(INDEX(계정매핑!$D$5:$D$504,MATCH($F2284&amp;"",계정매핑!$A$5:$A$504,0)),"미매핑"))</f>
        <v/>
      </c>
      <c r="X2284" s="9">
        <f>IF($A2284="","",$F2284&amp;"")</f>
        <v/>
      </c>
    </row>
    <row r="2285">
      <c r="A2285" s="75" t="n">
        <v>2025</v>
      </c>
      <c r="B2285" s="75" t="n">
        <v>12</v>
      </c>
      <c r="C2285" s="75" t="inlineStr">
        <is>
          <t>5100002281</t>
        </is>
      </c>
      <c r="D2285" s="78" t="n">
        <v>46012</v>
      </c>
      <c r="E2285" s="75" t="inlineStr">
        <is>
          <t>KR</t>
        </is>
      </c>
      <c r="F2285" s="75" t="n">
        <v>62101000</v>
      </c>
      <c r="G2285" s="75" t="n">
        <v>1602</v>
      </c>
      <c r="H2285" s="76" t="n">
        <v>1343000</v>
      </c>
      <c r="I2285" s="75" t="inlineStr">
        <is>
          <t>12월 국내출장 - M항공</t>
        </is>
      </c>
      <c r="J2285" s="75" t="inlineStr">
        <is>
          <t>V10001</t>
        </is>
      </c>
      <c r="K2285" s="75" t="inlineStr">
        <is>
          <t>M항공</t>
        </is>
      </c>
      <c r="M2285" s="9">
        <f>IF($A2285="","",VALUE($A2285&amp;"")*12+VALUE($B2285&amp;""))</f>
        <v/>
      </c>
      <c r="N2285" s="39">
        <f>IF($A2285="","",IFERROR(INDEX(부서매핑!$C$5:$C$504,MATCH($G2285&amp;"",부서매핑!$A$5:$A$504,0)),"미매핑"))</f>
        <v/>
      </c>
      <c r="O2285" s="9">
        <f>IF($A2285="","",N2285&amp;"|"&amp;$F2285)</f>
        <v/>
      </c>
      <c r="P2285" s="77">
        <f>IF($A2285="",0,$H2285*설정!$C$23)</f>
        <v/>
      </c>
      <c r="Q2285" s="39">
        <f>IF($A2285="","",IF(O2285&lt;&gt;원인분석!$C$9,"",IF(AND(M2285&gt;=원인분석!$C$10,M2285&lt;=원인분석!$C$11),"당기",IF(AND(M2285&gt;=원인분석!$C$12,M2285&lt;=원인분석!$C$13),"비교",""))))</f>
        <v/>
      </c>
      <c r="R2285" s="9">
        <f>IF(Q2285="","",$K2285&amp;"")</f>
        <v/>
      </c>
      <c r="S2285" s="9">
        <f>IF(Q2285="","",IF(MATCH(R2285,$R$5:$R$100000,0)=ROW()-4,ROW(),""))</f>
        <v/>
      </c>
      <c r="T2285" s="9">
        <f>IF(Q2285="당기",ABS(P2285)+ROW()/1000000000,"")</f>
        <v/>
      </c>
      <c r="U2285" s="9">
        <f>IF(Q2285="비교",ABS(P2285)+ROW()/1000000000,"")</f>
        <v/>
      </c>
      <c r="V2285" s="39">
        <f>IF($A2285="","",IF(COUNTIF(변동분석!$E$7:$E$506,O2285)&gt;0,"Y","N"))</f>
        <v/>
      </c>
      <c r="W2285" s="39">
        <f>IF($A2285="","",IFERROR(INDEX(계정매핑!$D$5:$D$504,MATCH($F2285&amp;"",계정매핑!$A$5:$A$504,0)),"미매핑"))</f>
        <v/>
      </c>
      <c r="X2285" s="9">
        <f>IF($A2285="","",$F2285&amp;"")</f>
        <v/>
      </c>
    </row>
    <row r="2286">
      <c r="A2286" s="75" t="n">
        <v>2025</v>
      </c>
      <c r="B2286" s="75" t="n">
        <v>12</v>
      </c>
      <c r="C2286" s="75" t="inlineStr">
        <is>
          <t>5100002282</t>
        </is>
      </c>
      <c r="D2286" s="78" t="n">
        <v>46012</v>
      </c>
      <c r="E2286" s="75" t="inlineStr">
        <is>
          <t>KR</t>
        </is>
      </c>
      <c r="F2286" s="75" t="n">
        <v>62101000</v>
      </c>
      <c r="G2286" s="75" t="n">
        <v>1701</v>
      </c>
      <c r="H2286" s="76" t="n">
        <v>125000</v>
      </c>
      <c r="I2286" s="75" t="inlineStr">
        <is>
          <t>12월 국내출장 - M항공</t>
        </is>
      </c>
      <c r="J2286" s="75" t="inlineStr">
        <is>
          <t>V10001</t>
        </is>
      </c>
      <c r="K2286" s="75" t="inlineStr">
        <is>
          <t>M항공</t>
        </is>
      </c>
      <c r="M2286" s="9">
        <f>IF($A2286="","",VALUE($A2286&amp;"")*12+VALUE($B2286&amp;""))</f>
        <v/>
      </c>
      <c r="N2286" s="39">
        <f>IF($A2286="","",IFERROR(INDEX(부서매핑!$C$5:$C$504,MATCH($G2286&amp;"",부서매핑!$A$5:$A$504,0)),"미매핑"))</f>
        <v/>
      </c>
      <c r="O2286" s="9">
        <f>IF($A2286="","",N2286&amp;"|"&amp;$F2286)</f>
        <v/>
      </c>
      <c r="P2286" s="77">
        <f>IF($A2286="",0,$H2286*설정!$C$23)</f>
        <v/>
      </c>
      <c r="Q2286" s="39">
        <f>IF($A2286="","",IF(O2286&lt;&gt;원인분석!$C$9,"",IF(AND(M2286&gt;=원인분석!$C$10,M2286&lt;=원인분석!$C$11),"당기",IF(AND(M2286&gt;=원인분석!$C$12,M2286&lt;=원인분석!$C$13),"비교",""))))</f>
        <v/>
      </c>
      <c r="R2286" s="9">
        <f>IF(Q2286="","",$K2286&amp;"")</f>
        <v/>
      </c>
      <c r="S2286" s="9">
        <f>IF(Q2286="","",IF(MATCH(R2286,$R$5:$R$100000,0)=ROW()-4,ROW(),""))</f>
        <v/>
      </c>
      <c r="T2286" s="9">
        <f>IF(Q2286="당기",ABS(P2286)+ROW()/1000000000,"")</f>
        <v/>
      </c>
      <c r="U2286" s="9">
        <f>IF(Q2286="비교",ABS(P2286)+ROW()/1000000000,"")</f>
        <v/>
      </c>
      <c r="V2286" s="39">
        <f>IF($A2286="","",IF(COUNTIF(변동분석!$E$7:$E$506,O2286)&gt;0,"Y","N"))</f>
        <v/>
      </c>
      <c r="W2286" s="39">
        <f>IF($A2286="","",IFERROR(INDEX(계정매핑!$D$5:$D$504,MATCH($F2286&amp;"",계정매핑!$A$5:$A$504,0)),"미매핑"))</f>
        <v/>
      </c>
      <c r="X2286" s="9">
        <f>IF($A2286="","",$F2286&amp;"")</f>
        <v/>
      </c>
    </row>
    <row r="2287">
      <c r="A2287" s="75" t="n">
        <v>2025</v>
      </c>
      <c r="B2287" s="75" t="n">
        <v>12</v>
      </c>
      <c r="C2287" s="75" t="inlineStr">
        <is>
          <t>5100002283</t>
        </is>
      </c>
      <c r="D2287" s="78" t="n">
        <v>46012</v>
      </c>
      <c r="E2287" s="75" t="inlineStr">
        <is>
          <t>KR</t>
        </is>
      </c>
      <c r="F2287" s="75" t="n">
        <v>62102000</v>
      </c>
      <c r="G2287" s="75" t="n">
        <v>1602</v>
      </c>
      <c r="H2287" s="76" t="n">
        <v>329000</v>
      </c>
      <c r="I2287" s="75" t="inlineStr">
        <is>
          <t>12월 해외출장 - N호텔</t>
        </is>
      </c>
      <c r="J2287" s="75" t="inlineStr">
        <is>
          <t>V10007</t>
        </is>
      </c>
      <c r="K2287" s="75" t="inlineStr">
        <is>
          <t>N호텔</t>
        </is>
      </c>
      <c r="M2287" s="9">
        <f>IF($A2287="","",VALUE($A2287&amp;"")*12+VALUE($B2287&amp;""))</f>
        <v/>
      </c>
      <c r="N2287" s="39">
        <f>IF($A2287="","",IFERROR(INDEX(부서매핑!$C$5:$C$504,MATCH($G2287&amp;"",부서매핑!$A$5:$A$504,0)),"미매핑"))</f>
        <v/>
      </c>
      <c r="O2287" s="9">
        <f>IF($A2287="","",N2287&amp;"|"&amp;$F2287)</f>
        <v/>
      </c>
      <c r="P2287" s="77">
        <f>IF($A2287="",0,$H2287*설정!$C$23)</f>
        <v/>
      </c>
      <c r="Q2287" s="39">
        <f>IF($A2287="","",IF(O2287&lt;&gt;원인분석!$C$9,"",IF(AND(M2287&gt;=원인분석!$C$10,M2287&lt;=원인분석!$C$11),"당기",IF(AND(M2287&gt;=원인분석!$C$12,M2287&lt;=원인분석!$C$13),"비교",""))))</f>
        <v/>
      </c>
      <c r="R2287" s="9">
        <f>IF(Q2287="","",$K2287&amp;"")</f>
        <v/>
      </c>
      <c r="S2287" s="9">
        <f>IF(Q2287="","",IF(MATCH(R2287,$R$5:$R$100000,0)=ROW()-4,ROW(),""))</f>
        <v/>
      </c>
      <c r="T2287" s="9">
        <f>IF(Q2287="당기",ABS(P2287)+ROW()/1000000000,"")</f>
        <v/>
      </c>
      <c r="U2287" s="9">
        <f>IF(Q2287="비교",ABS(P2287)+ROW()/1000000000,"")</f>
        <v/>
      </c>
      <c r="V2287" s="39">
        <f>IF($A2287="","",IF(COUNTIF(변동분석!$E$7:$E$506,O2287)&gt;0,"Y","N"))</f>
        <v/>
      </c>
      <c r="W2287" s="39">
        <f>IF($A2287="","",IFERROR(INDEX(계정매핑!$D$5:$D$504,MATCH($F2287&amp;"",계정매핑!$A$5:$A$504,0)),"미매핑"))</f>
        <v/>
      </c>
      <c r="X2287" s="9">
        <f>IF($A2287="","",$F2287&amp;"")</f>
        <v/>
      </c>
    </row>
    <row r="2288">
      <c r="A2288" s="75" t="n">
        <v>2025</v>
      </c>
      <c r="B2288" s="75" t="n">
        <v>12</v>
      </c>
      <c r="C2288" s="75" t="inlineStr">
        <is>
          <t>5100002284</t>
        </is>
      </c>
      <c r="D2288" s="78" t="n">
        <v>46012</v>
      </c>
      <c r="E2288" s="75" t="inlineStr">
        <is>
          <t>KR</t>
        </is>
      </c>
      <c r="F2288" s="75" t="n">
        <v>62201000</v>
      </c>
      <c r="G2288" s="75" t="n">
        <v>1301</v>
      </c>
      <c r="H2288" s="76" t="n">
        <v>183000</v>
      </c>
      <c r="I2288" s="75" t="inlineStr">
        <is>
          <t>12월 통신요금 - O텔레콤</t>
        </is>
      </c>
      <c r="J2288" s="75" t="inlineStr">
        <is>
          <t>V10002</t>
        </is>
      </c>
      <c r="K2288" s="75" t="inlineStr">
        <is>
          <t>O텔레콤</t>
        </is>
      </c>
      <c r="M2288" s="9">
        <f>IF($A2288="","",VALUE($A2288&amp;"")*12+VALUE($B2288&amp;""))</f>
        <v/>
      </c>
      <c r="N2288" s="39">
        <f>IF($A2288="","",IFERROR(INDEX(부서매핑!$C$5:$C$504,MATCH($G2288&amp;"",부서매핑!$A$5:$A$504,0)),"미매핑"))</f>
        <v/>
      </c>
      <c r="O2288" s="9">
        <f>IF($A2288="","",N2288&amp;"|"&amp;$F2288)</f>
        <v/>
      </c>
      <c r="P2288" s="77">
        <f>IF($A2288="",0,$H2288*설정!$C$23)</f>
        <v/>
      </c>
      <c r="Q2288" s="39">
        <f>IF($A2288="","",IF(O2288&lt;&gt;원인분석!$C$9,"",IF(AND(M2288&gt;=원인분석!$C$10,M2288&lt;=원인분석!$C$11),"당기",IF(AND(M2288&gt;=원인분석!$C$12,M2288&lt;=원인분석!$C$13),"비교",""))))</f>
        <v/>
      </c>
      <c r="R2288" s="9">
        <f>IF(Q2288="","",$K2288&amp;"")</f>
        <v/>
      </c>
      <c r="S2288" s="9">
        <f>IF(Q2288="","",IF(MATCH(R2288,$R$5:$R$100000,0)=ROW()-4,ROW(),""))</f>
        <v/>
      </c>
      <c r="T2288" s="9">
        <f>IF(Q2288="당기",ABS(P2288)+ROW()/1000000000,"")</f>
        <v/>
      </c>
      <c r="U2288" s="9">
        <f>IF(Q2288="비교",ABS(P2288)+ROW()/1000000000,"")</f>
        <v/>
      </c>
      <c r="V2288" s="39">
        <f>IF($A2288="","",IF(COUNTIF(변동분석!$E$7:$E$506,O2288)&gt;0,"Y","N"))</f>
        <v/>
      </c>
      <c r="W2288" s="39">
        <f>IF($A2288="","",IFERROR(INDEX(계정매핑!$D$5:$D$504,MATCH($F2288&amp;"",계정매핑!$A$5:$A$504,0)),"미매핑"))</f>
        <v/>
      </c>
      <c r="X2288" s="9">
        <f>IF($A2288="","",$F2288&amp;"")</f>
        <v/>
      </c>
    </row>
    <row r="2289">
      <c r="A2289" s="75" t="n">
        <v>2025</v>
      </c>
      <c r="B2289" s="75" t="n">
        <v>12</v>
      </c>
      <c r="C2289" s="75" t="inlineStr">
        <is>
          <t>5100002285</t>
        </is>
      </c>
      <c r="D2289" s="78" t="n">
        <v>46012</v>
      </c>
      <c r="E2289" s="75" t="inlineStr">
        <is>
          <t>KR</t>
        </is>
      </c>
      <c r="F2289" s="75" t="n">
        <v>62201000</v>
      </c>
      <c r="G2289" s="75" t="n">
        <v>1401</v>
      </c>
      <c r="H2289" s="76" t="n">
        <v>167000</v>
      </c>
      <c r="I2289" s="75" t="inlineStr">
        <is>
          <t>12월 통신요금 - O텔레콤</t>
        </is>
      </c>
      <c r="J2289" s="75" t="inlineStr">
        <is>
          <t>V10002</t>
        </is>
      </c>
      <c r="K2289" s="75" t="inlineStr">
        <is>
          <t>O텔레콤</t>
        </is>
      </c>
      <c r="M2289" s="9">
        <f>IF($A2289="","",VALUE($A2289&amp;"")*12+VALUE($B2289&amp;""))</f>
        <v/>
      </c>
      <c r="N2289" s="39">
        <f>IF($A2289="","",IFERROR(INDEX(부서매핑!$C$5:$C$504,MATCH($G2289&amp;"",부서매핑!$A$5:$A$504,0)),"미매핑"))</f>
        <v/>
      </c>
      <c r="O2289" s="9">
        <f>IF($A2289="","",N2289&amp;"|"&amp;$F2289)</f>
        <v/>
      </c>
      <c r="P2289" s="77">
        <f>IF($A2289="",0,$H2289*설정!$C$23)</f>
        <v/>
      </c>
      <c r="Q2289" s="39">
        <f>IF($A2289="","",IF(O2289&lt;&gt;원인분석!$C$9,"",IF(AND(M2289&gt;=원인분석!$C$10,M2289&lt;=원인분석!$C$11),"당기",IF(AND(M2289&gt;=원인분석!$C$12,M2289&lt;=원인분석!$C$13),"비교",""))))</f>
        <v/>
      </c>
      <c r="R2289" s="9">
        <f>IF(Q2289="","",$K2289&amp;"")</f>
        <v/>
      </c>
      <c r="S2289" s="9">
        <f>IF(Q2289="","",IF(MATCH(R2289,$R$5:$R$100000,0)=ROW()-4,ROW(),""))</f>
        <v/>
      </c>
      <c r="T2289" s="9">
        <f>IF(Q2289="당기",ABS(P2289)+ROW()/1000000000,"")</f>
        <v/>
      </c>
      <c r="U2289" s="9">
        <f>IF(Q2289="비교",ABS(P2289)+ROW()/1000000000,"")</f>
        <v/>
      </c>
      <c r="V2289" s="39">
        <f>IF($A2289="","",IF(COUNTIF(변동분석!$E$7:$E$506,O2289)&gt;0,"Y","N"))</f>
        <v/>
      </c>
      <c r="W2289" s="39">
        <f>IF($A2289="","",IFERROR(INDEX(계정매핑!$D$5:$D$504,MATCH($F2289&amp;"",계정매핑!$A$5:$A$504,0)),"미매핑"))</f>
        <v/>
      </c>
      <c r="X2289" s="9">
        <f>IF($A2289="","",$F2289&amp;"")</f>
        <v/>
      </c>
    </row>
    <row r="2290">
      <c r="A2290" s="75" t="n">
        <v>2025</v>
      </c>
      <c r="B2290" s="75" t="n">
        <v>12</v>
      </c>
      <c r="C2290" s="75" t="inlineStr">
        <is>
          <t>5100002286</t>
        </is>
      </c>
      <c r="D2290" s="78" t="n">
        <v>46012</v>
      </c>
      <c r="E2290" s="75" t="inlineStr">
        <is>
          <t>KR</t>
        </is>
      </c>
      <c r="F2290" s="75" t="n">
        <v>62201000</v>
      </c>
      <c r="G2290" s="75" t="n">
        <v>1501</v>
      </c>
      <c r="H2290" s="76" t="n">
        <v>339000</v>
      </c>
      <c r="I2290" s="75" t="inlineStr">
        <is>
          <t>12월 통신요금 - P통신</t>
        </is>
      </c>
      <c r="J2290" s="75" t="inlineStr">
        <is>
          <t>V10011</t>
        </is>
      </c>
      <c r="K2290" s="75" t="inlineStr">
        <is>
          <t>P통신</t>
        </is>
      </c>
      <c r="M2290" s="9">
        <f>IF($A2290="","",VALUE($A2290&amp;"")*12+VALUE($B2290&amp;""))</f>
        <v/>
      </c>
      <c r="N2290" s="39">
        <f>IF($A2290="","",IFERROR(INDEX(부서매핑!$C$5:$C$504,MATCH($G2290&amp;"",부서매핑!$A$5:$A$504,0)),"미매핑"))</f>
        <v/>
      </c>
      <c r="O2290" s="9">
        <f>IF($A2290="","",N2290&amp;"|"&amp;$F2290)</f>
        <v/>
      </c>
      <c r="P2290" s="77">
        <f>IF($A2290="",0,$H2290*설정!$C$23)</f>
        <v/>
      </c>
      <c r="Q2290" s="39">
        <f>IF($A2290="","",IF(O2290&lt;&gt;원인분석!$C$9,"",IF(AND(M2290&gt;=원인분석!$C$10,M2290&lt;=원인분석!$C$11),"당기",IF(AND(M2290&gt;=원인분석!$C$12,M2290&lt;=원인분석!$C$13),"비교",""))))</f>
        <v/>
      </c>
      <c r="R2290" s="9">
        <f>IF(Q2290="","",$K2290&amp;"")</f>
        <v/>
      </c>
      <c r="S2290" s="9">
        <f>IF(Q2290="","",IF(MATCH(R2290,$R$5:$R$100000,0)=ROW()-4,ROW(),""))</f>
        <v/>
      </c>
      <c r="T2290" s="9">
        <f>IF(Q2290="당기",ABS(P2290)+ROW()/1000000000,"")</f>
        <v/>
      </c>
      <c r="U2290" s="9">
        <f>IF(Q2290="비교",ABS(P2290)+ROW()/1000000000,"")</f>
        <v/>
      </c>
      <c r="V2290" s="39">
        <f>IF($A2290="","",IF(COUNTIF(변동분석!$E$7:$E$506,O2290)&gt;0,"Y","N"))</f>
        <v/>
      </c>
      <c r="W2290" s="39">
        <f>IF($A2290="","",IFERROR(INDEX(계정매핑!$D$5:$D$504,MATCH($F2290&amp;"",계정매핑!$A$5:$A$504,0)),"미매핑"))</f>
        <v/>
      </c>
      <c r="X2290" s="9">
        <f>IF($A2290="","",$F2290&amp;"")</f>
        <v/>
      </c>
    </row>
    <row r="2291">
      <c r="A2291" s="75" t="n">
        <v>2025</v>
      </c>
      <c r="B2291" s="75" t="n">
        <v>12</v>
      </c>
      <c r="C2291" s="75" t="inlineStr">
        <is>
          <t>5100002287</t>
        </is>
      </c>
      <c r="D2291" s="78" t="n">
        <v>46012</v>
      </c>
      <c r="E2291" s="75" t="inlineStr">
        <is>
          <t>KR</t>
        </is>
      </c>
      <c r="F2291" s="75" t="n">
        <v>62301000</v>
      </c>
      <c r="G2291" s="75" t="n">
        <v>1301</v>
      </c>
      <c r="H2291" s="76" t="n">
        <v>186000</v>
      </c>
      <c r="I2291" s="75" t="inlineStr">
        <is>
          <t>12월 소모품 구입 - R문구</t>
        </is>
      </c>
      <c r="J2291" s="75" t="inlineStr">
        <is>
          <t>V10018</t>
        </is>
      </c>
      <c r="K2291" s="75" t="inlineStr">
        <is>
          <t>R문구</t>
        </is>
      </c>
      <c r="M2291" s="9">
        <f>IF($A2291="","",VALUE($A2291&amp;"")*12+VALUE($B2291&amp;""))</f>
        <v/>
      </c>
      <c r="N2291" s="39">
        <f>IF($A2291="","",IFERROR(INDEX(부서매핑!$C$5:$C$504,MATCH($G2291&amp;"",부서매핑!$A$5:$A$504,0)),"미매핑"))</f>
        <v/>
      </c>
      <c r="O2291" s="9">
        <f>IF($A2291="","",N2291&amp;"|"&amp;$F2291)</f>
        <v/>
      </c>
      <c r="P2291" s="77">
        <f>IF($A2291="",0,$H2291*설정!$C$23)</f>
        <v/>
      </c>
      <c r="Q2291" s="39">
        <f>IF($A2291="","",IF(O2291&lt;&gt;원인분석!$C$9,"",IF(AND(M2291&gt;=원인분석!$C$10,M2291&lt;=원인분석!$C$11),"당기",IF(AND(M2291&gt;=원인분석!$C$12,M2291&lt;=원인분석!$C$13),"비교",""))))</f>
        <v/>
      </c>
      <c r="R2291" s="9">
        <f>IF(Q2291="","",$K2291&amp;"")</f>
        <v/>
      </c>
      <c r="S2291" s="9">
        <f>IF(Q2291="","",IF(MATCH(R2291,$R$5:$R$100000,0)=ROW()-4,ROW(),""))</f>
        <v/>
      </c>
      <c r="T2291" s="9">
        <f>IF(Q2291="당기",ABS(P2291)+ROW()/1000000000,"")</f>
        <v/>
      </c>
      <c r="U2291" s="9">
        <f>IF(Q2291="비교",ABS(P2291)+ROW()/1000000000,"")</f>
        <v/>
      </c>
      <c r="V2291" s="39">
        <f>IF($A2291="","",IF(COUNTIF(변동분석!$E$7:$E$506,O2291)&gt;0,"Y","N"))</f>
        <v/>
      </c>
      <c r="W2291" s="39">
        <f>IF($A2291="","",IFERROR(INDEX(계정매핑!$D$5:$D$504,MATCH($F2291&amp;"",계정매핑!$A$5:$A$504,0)),"미매핑"))</f>
        <v/>
      </c>
      <c r="X2291" s="9">
        <f>IF($A2291="","",$F2291&amp;"")</f>
        <v/>
      </c>
    </row>
    <row r="2292">
      <c r="A2292" s="75" t="n">
        <v>2025</v>
      </c>
      <c r="B2292" s="75" t="n">
        <v>12</v>
      </c>
      <c r="C2292" s="75" t="inlineStr">
        <is>
          <t>5100002288</t>
        </is>
      </c>
      <c r="D2292" s="78" t="n">
        <v>46012</v>
      </c>
      <c r="E2292" s="75" t="inlineStr">
        <is>
          <t>KR</t>
        </is>
      </c>
      <c r="F2292" s="75" t="n">
        <v>62501000</v>
      </c>
      <c r="G2292" s="75" t="n">
        <v>1201</v>
      </c>
      <c r="H2292" s="76" t="n">
        <v>97000</v>
      </c>
      <c r="I2292" s="75" t="inlineStr">
        <is>
          <t>12월 회의 다과 - (법인카드)</t>
        </is>
      </c>
      <c r="J2292" s="75" t="inlineStr">
        <is>
          <t>V10008</t>
        </is>
      </c>
      <c r="K2292" s="75" t="inlineStr">
        <is>
          <t>(법인카드)</t>
        </is>
      </c>
      <c r="M2292" s="9">
        <f>IF($A2292="","",VALUE($A2292&amp;"")*12+VALUE($B2292&amp;""))</f>
        <v/>
      </c>
      <c r="N2292" s="39">
        <f>IF($A2292="","",IFERROR(INDEX(부서매핑!$C$5:$C$504,MATCH($G2292&amp;"",부서매핑!$A$5:$A$504,0)),"미매핑"))</f>
        <v/>
      </c>
      <c r="O2292" s="9">
        <f>IF($A2292="","",N2292&amp;"|"&amp;$F2292)</f>
        <v/>
      </c>
      <c r="P2292" s="77">
        <f>IF($A2292="",0,$H2292*설정!$C$23)</f>
        <v/>
      </c>
      <c r="Q2292" s="39">
        <f>IF($A2292="","",IF(O2292&lt;&gt;원인분석!$C$9,"",IF(AND(M2292&gt;=원인분석!$C$10,M2292&lt;=원인분석!$C$11),"당기",IF(AND(M2292&gt;=원인분석!$C$12,M2292&lt;=원인분석!$C$13),"비교",""))))</f>
        <v/>
      </c>
      <c r="R2292" s="9">
        <f>IF(Q2292="","",$K2292&amp;"")</f>
        <v/>
      </c>
      <c r="S2292" s="9">
        <f>IF(Q2292="","",IF(MATCH(R2292,$R$5:$R$100000,0)=ROW()-4,ROW(),""))</f>
        <v/>
      </c>
      <c r="T2292" s="9">
        <f>IF(Q2292="당기",ABS(P2292)+ROW()/1000000000,"")</f>
        <v/>
      </c>
      <c r="U2292" s="9">
        <f>IF(Q2292="비교",ABS(P2292)+ROW()/1000000000,"")</f>
        <v/>
      </c>
      <c r="V2292" s="39">
        <f>IF($A2292="","",IF(COUNTIF(변동분석!$E$7:$E$506,O2292)&gt;0,"Y","N"))</f>
        <v/>
      </c>
      <c r="W2292" s="39">
        <f>IF($A2292="","",IFERROR(INDEX(계정매핑!$D$5:$D$504,MATCH($F2292&amp;"",계정매핑!$A$5:$A$504,0)),"미매핑"))</f>
        <v/>
      </c>
      <c r="X2292" s="9">
        <f>IF($A2292="","",$F2292&amp;"")</f>
        <v/>
      </c>
    </row>
    <row r="2293">
      <c r="A2293" s="75" t="n">
        <v>2025</v>
      </c>
      <c r="B2293" s="75" t="n">
        <v>12</v>
      </c>
      <c r="C2293" s="75" t="inlineStr">
        <is>
          <t>5100002289</t>
        </is>
      </c>
      <c r="D2293" s="78" t="n">
        <v>46013</v>
      </c>
      <c r="E2293" s="75" t="inlineStr">
        <is>
          <t>KR</t>
        </is>
      </c>
      <c r="F2293" s="75" t="n">
        <v>62102000</v>
      </c>
      <c r="G2293" s="75" t="n">
        <v>1201</v>
      </c>
      <c r="H2293" s="76" t="n">
        <v>37000</v>
      </c>
      <c r="I2293" s="75" t="inlineStr">
        <is>
          <t>12월 해외출장 - N호텔</t>
        </is>
      </c>
      <c r="J2293" s="75" t="inlineStr">
        <is>
          <t>V10007</t>
        </is>
      </c>
      <c r="K2293" s="75" t="inlineStr">
        <is>
          <t>N호텔</t>
        </is>
      </c>
      <c r="M2293" s="9">
        <f>IF($A2293="","",VALUE($A2293&amp;"")*12+VALUE($B2293&amp;""))</f>
        <v/>
      </c>
      <c r="N2293" s="39">
        <f>IF($A2293="","",IFERROR(INDEX(부서매핑!$C$5:$C$504,MATCH($G2293&amp;"",부서매핑!$A$5:$A$504,0)),"미매핑"))</f>
        <v/>
      </c>
      <c r="O2293" s="9">
        <f>IF($A2293="","",N2293&amp;"|"&amp;$F2293)</f>
        <v/>
      </c>
      <c r="P2293" s="77">
        <f>IF($A2293="",0,$H2293*설정!$C$23)</f>
        <v/>
      </c>
      <c r="Q2293" s="39">
        <f>IF($A2293="","",IF(O2293&lt;&gt;원인분석!$C$9,"",IF(AND(M2293&gt;=원인분석!$C$10,M2293&lt;=원인분석!$C$11),"당기",IF(AND(M2293&gt;=원인분석!$C$12,M2293&lt;=원인분석!$C$13),"비교",""))))</f>
        <v/>
      </c>
      <c r="R2293" s="9">
        <f>IF(Q2293="","",$K2293&amp;"")</f>
        <v/>
      </c>
      <c r="S2293" s="9">
        <f>IF(Q2293="","",IF(MATCH(R2293,$R$5:$R$100000,0)=ROW()-4,ROW(),""))</f>
        <v/>
      </c>
      <c r="T2293" s="9">
        <f>IF(Q2293="당기",ABS(P2293)+ROW()/1000000000,"")</f>
        <v/>
      </c>
      <c r="U2293" s="9">
        <f>IF(Q2293="비교",ABS(P2293)+ROW()/1000000000,"")</f>
        <v/>
      </c>
      <c r="V2293" s="39">
        <f>IF($A2293="","",IF(COUNTIF(변동분석!$E$7:$E$506,O2293)&gt;0,"Y","N"))</f>
        <v/>
      </c>
      <c r="W2293" s="39">
        <f>IF($A2293="","",IFERROR(INDEX(계정매핑!$D$5:$D$504,MATCH($F2293&amp;"",계정매핑!$A$5:$A$504,0)),"미매핑"))</f>
        <v/>
      </c>
      <c r="X2293" s="9">
        <f>IF($A2293="","",$F2293&amp;"")</f>
        <v/>
      </c>
    </row>
    <row r="2294">
      <c r="A2294" s="75" t="n">
        <v>2025</v>
      </c>
      <c r="B2294" s="75" t="n">
        <v>12</v>
      </c>
      <c r="C2294" s="75" t="inlineStr">
        <is>
          <t>5100002290</t>
        </is>
      </c>
      <c r="D2294" s="78" t="n">
        <v>46013</v>
      </c>
      <c r="E2294" s="75" t="inlineStr">
        <is>
          <t>KR</t>
        </is>
      </c>
      <c r="F2294" s="75" t="n">
        <v>62102000</v>
      </c>
      <c r="G2294" s="75" t="n">
        <v>1301</v>
      </c>
      <c r="H2294" s="76" t="n">
        <v>51000</v>
      </c>
      <c r="I2294" s="75" t="inlineStr">
        <is>
          <t>12월 해외출장 - N호텔</t>
        </is>
      </c>
      <c r="J2294" s="75" t="inlineStr">
        <is>
          <t>V10007</t>
        </is>
      </c>
      <c r="K2294" s="75" t="inlineStr">
        <is>
          <t>N호텔</t>
        </is>
      </c>
      <c r="M2294" s="9">
        <f>IF($A2294="","",VALUE($A2294&amp;"")*12+VALUE($B2294&amp;""))</f>
        <v/>
      </c>
      <c r="N2294" s="39">
        <f>IF($A2294="","",IFERROR(INDEX(부서매핑!$C$5:$C$504,MATCH($G2294&amp;"",부서매핑!$A$5:$A$504,0)),"미매핑"))</f>
        <v/>
      </c>
      <c r="O2294" s="9">
        <f>IF($A2294="","",N2294&amp;"|"&amp;$F2294)</f>
        <v/>
      </c>
      <c r="P2294" s="77">
        <f>IF($A2294="",0,$H2294*설정!$C$23)</f>
        <v/>
      </c>
      <c r="Q2294" s="39">
        <f>IF($A2294="","",IF(O2294&lt;&gt;원인분석!$C$9,"",IF(AND(M2294&gt;=원인분석!$C$10,M2294&lt;=원인분석!$C$11),"당기",IF(AND(M2294&gt;=원인분석!$C$12,M2294&lt;=원인분석!$C$13),"비교",""))))</f>
        <v/>
      </c>
      <c r="R2294" s="9">
        <f>IF(Q2294="","",$K2294&amp;"")</f>
        <v/>
      </c>
      <c r="S2294" s="9">
        <f>IF(Q2294="","",IF(MATCH(R2294,$R$5:$R$100000,0)=ROW()-4,ROW(),""))</f>
        <v/>
      </c>
      <c r="T2294" s="9">
        <f>IF(Q2294="당기",ABS(P2294)+ROW()/1000000000,"")</f>
        <v/>
      </c>
      <c r="U2294" s="9">
        <f>IF(Q2294="비교",ABS(P2294)+ROW()/1000000000,"")</f>
        <v/>
      </c>
      <c r="V2294" s="39">
        <f>IF($A2294="","",IF(COUNTIF(변동분석!$E$7:$E$506,O2294)&gt;0,"Y","N"))</f>
        <v/>
      </c>
      <c r="W2294" s="39">
        <f>IF($A2294="","",IFERROR(INDEX(계정매핑!$D$5:$D$504,MATCH($F2294&amp;"",계정매핑!$A$5:$A$504,0)),"미매핑"))</f>
        <v/>
      </c>
      <c r="X2294" s="9">
        <f>IF($A2294="","",$F2294&amp;"")</f>
        <v/>
      </c>
    </row>
    <row r="2295">
      <c r="A2295" s="75" t="n">
        <v>2025</v>
      </c>
      <c r="B2295" s="75" t="n">
        <v>12</v>
      </c>
      <c r="C2295" s="75" t="inlineStr">
        <is>
          <t>5100002291</t>
        </is>
      </c>
      <c r="D2295" s="78" t="n">
        <v>46013</v>
      </c>
      <c r="E2295" s="75" t="inlineStr">
        <is>
          <t>KR</t>
        </is>
      </c>
      <c r="F2295" s="75" t="n">
        <v>62301000</v>
      </c>
      <c r="G2295" s="75" t="n">
        <v>1101</v>
      </c>
      <c r="H2295" s="76" t="n">
        <v>123000</v>
      </c>
      <c r="I2295" s="75" t="inlineStr">
        <is>
          <t>12월 소모품 구입 - Q오피스</t>
        </is>
      </c>
      <c r="J2295" s="75" t="inlineStr">
        <is>
          <t>V10003</t>
        </is>
      </c>
      <c r="K2295" s="75" t="inlineStr">
        <is>
          <t>Q오피스</t>
        </is>
      </c>
      <c r="M2295" s="9">
        <f>IF($A2295="","",VALUE($A2295&amp;"")*12+VALUE($B2295&amp;""))</f>
        <v/>
      </c>
      <c r="N2295" s="39">
        <f>IF($A2295="","",IFERROR(INDEX(부서매핑!$C$5:$C$504,MATCH($G2295&amp;"",부서매핑!$A$5:$A$504,0)),"미매핑"))</f>
        <v/>
      </c>
      <c r="O2295" s="9">
        <f>IF($A2295="","",N2295&amp;"|"&amp;$F2295)</f>
        <v/>
      </c>
      <c r="P2295" s="77">
        <f>IF($A2295="",0,$H2295*설정!$C$23)</f>
        <v/>
      </c>
      <c r="Q2295" s="39">
        <f>IF($A2295="","",IF(O2295&lt;&gt;원인분석!$C$9,"",IF(AND(M2295&gt;=원인분석!$C$10,M2295&lt;=원인분석!$C$11),"당기",IF(AND(M2295&gt;=원인분석!$C$12,M2295&lt;=원인분석!$C$13),"비교",""))))</f>
        <v/>
      </c>
      <c r="R2295" s="9">
        <f>IF(Q2295="","",$K2295&amp;"")</f>
        <v/>
      </c>
      <c r="S2295" s="9">
        <f>IF(Q2295="","",IF(MATCH(R2295,$R$5:$R$100000,0)=ROW()-4,ROW(),""))</f>
        <v/>
      </c>
      <c r="T2295" s="9">
        <f>IF(Q2295="당기",ABS(P2295)+ROW()/1000000000,"")</f>
        <v/>
      </c>
      <c r="U2295" s="9">
        <f>IF(Q2295="비교",ABS(P2295)+ROW()/1000000000,"")</f>
        <v/>
      </c>
      <c r="V2295" s="39">
        <f>IF($A2295="","",IF(COUNTIF(변동분석!$E$7:$E$506,O2295)&gt;0,"Y","N"))</f>
        <v/>
      </c>
      <c r="W2295" s="39">
        <f>IF($A2295="","",IFERROR(INDEX(계정매핑!$D$5:$D$504,MATCH($F2295&amp;"",계정매핑!$A$5:$A$504,0)),"미매핑"))</f>
        <v/>
      </c>
      <c r="X2295" s="9">
        <f>IF($A2295="","",$F2295&amp;"")</f>
        <v/>
      </c>
    </row>
    <row r="2296">
      <c r="A2296" s="75" t="n">
        <v>2025</v>
      </c>
      <c r="B2296" s="75" t="n">
        <v>12</v>
      </c>
      <c r="C2296" s="75" t="inlineStr">
        <is>
          <t>5100002292</t>
        </is>
      </c>
      <c r="D2296" s="78" t="n">
        <v>46013</v>
      </c>
      <c r="E2296" s="75" t="inlineStr">
        <is>
          <t>KR</t>
        </is>
      </c>
      <c r="F2296" s="75" t="n">
        <v>62902000</v>
      </c>
      <c r="G2296" s="75" t="n">
        <v>1101</v>
      </c>
      <c r="H2296" s="76" t="n">
        <v>1953000</v>
      </c>
      <c r="I2296" s="75" t="inlineStr">
        <is>
          <t>12월 업무 위탁 수수료 - X서비스</t>
        </is>
      </c>
      <c r="J2296" s="75" t="inlineStr">
        <is>
          <t>V10016</t>
        </is>
      </c>
      <c r="K2296" s="75" t="inlineStr">
        <is>
          <t>X서비스</t>
        </is>
      </c>
      <c r="M2296" s="9">
        <f>IF($A2296="","",VALUE($A2296&amp;"")*12+VALUE($B2296&amp;""))</f>
        <v/>
      </c>
      <c r="N2296" s="39">
        <f>IF($A2296="","",IFERROR(INDEX(부서매핑!$C$5:$C$504,MATCH($G2296&amp;"",부서매핑!$A$5:$A$504,0)),"미매핑"))</f>
        <v/>
      </c>
      <c r="O2296" s="9">
        <f>IF($A2296="","",N2296&amp;"|"&amp;$F2296)</f>
        <v/>
      </c>
      <c r="P2296" s="77">
        <f>IF($A2296="",0,$H2296*설정!$C$23)</f>
        <v/>
      </c>
      <c r="Q2296" s="39">
        <f>IF($A2296="","",IF(O2296&lt;&gt;원인분석!$C$9,"",IF(AND(M2296&gt;=원인분석!$C$10,M2296&lt;=원인분석!$C$11),"당기",IF(AND(M2296&gt;=원인분석!$C$12,M2296&lt;=원인분석!$C$13),"비교",""))))</f>
        <v/>
      </c>
      <c r="R2296" s="9">
        <f>IF(Q2296="","",$K2296&amp;"")</f>
        <v/>
      </c>
      <c r="S2296" s="9">
        <f>IF(Q2296="","",IF(MATCH(R2296,$R$5:$R$100000,0)=ROW()-4,ROW(),""))</f>
        <v/>
      </c>
      <c r="T2296" s="9">
        <f>IF(Q2296="당기",ABS(P2296)+ROW()/1000000000,"")</f>
        <v/>
      </c>
      <c r="U2296" s="9">
        <f>IF(Q2296="비교",ABS(P2296)+ROW()/1000000000,"")</f>
        <v/>
      </c>
      <c r="V2296" s="39">
        <f>IF($A2296="","",IF(COUNTIF(변동분석!$E$7:$E$506,O2296)&gt;0,"Y","N"))</f>
        <v/>
      </c>
      <c r="W2296" s="39">
        <f>IF($A2296="","",IFERROR(INDEX(계정매핑!$D$5:$D$504,MATCH($F2296&amp;"",계정매핑!$A$5:$A$504,0)),"미매핑"))</f>
        <v/>
      </c>
      <c r="X2296" s="9">
        <f>IF($A2296="","",$F2296&amp;"")</f>
        <v/>
      </c>
    </row>
    <row r="2297">
      <c r="A2297" s="75" t="n">
        <v>2025</v>
      </c>
      <c r="B2297" s="75" t="n">
        <v>12</v>
      </c>
      <c r="C2297" s="75" t="inlineStr">
        <is>
          <t>5100002293</t>
        </is>
      </c>
      <c r="D2297" s="78" t="n">
        <v>46013</v>
      </c>
      <c r="E2297" s="75" t="inlineStr">
        <is>
          <t>KR</t>
        </is>
      </c>
      <c r="F2297" s="75" t="n">
        <v>62902000</v>
      </c>
      <c r="G2297" s="75" t="n">
        <v>1201</v>
      </c>
      <c r="H2297" s="76" t="n">
        <v>5748000</v>
      </c>
      <c r="I2297" s="75" t="inlineStr">
        <is>
          <t>12월 업무 위탁 수수료 - J콜센터</t>
        </is>
      </c>
      <c r="J2297" s="75" t="inlineStr">
        <is>
          <t>V10013</t>
        </is>
      </c>
      <c r="K2297" s="75" t="inlineStr">
        <is>
          <t>J콜센터</t>
        </is>
      </c>
      <c r="M2297" s="9">
        <f>IF($A2297="","",VALUE($A2297&amp;"")*12+VALUE($B2297&amp;""))</f>
        <v/>
      </c>
      <c r="N2297" s="39">
        <f>IF($A2297="","",IFERROR(INDEX(부서매핑!$C$5:$C$504,MATCH($G2297&amp;"",부서매핑!$A$5:$A$504,0)),"미매핑"))</f>
        <v/>
      </c>
      <c r="O2297" s="9">
        <f>IF($A2297="","",N2297&amp;"|"&amp;$F2297)</f>
        <v/>
      </c>
      <c r="P2297" s="77">
        <f>IF($A2297="",0,$H2297*설정!$C$23)</f>
        <v/>
      </c>
      <c r="Q2297" s="39">
        <f>IF($A2297="","",IF(O2297&lt;&gt;원인분석!$C$9,"",IF(AND(M2297&gt;=원인분석!$C$10,M2297&lt;=원인분석!$C$11),"당기",IF(AND(M2297&gt;=원인분석!$C$12,M2297&lt;=원인분석!$C$13),"비교",""))))</f>
        <v/>
      </c>
      <c r="R2297" s="9">
        <f>IF(Q2297="","",$K2297&amp;"")</f>
        <v/>
      </c>
      <c r="S2297" s="9">
        <f>IF(Q2297="","",IF(MATCH(R2297,$R$5:$R$100000,0)=ROW()-4,ROW(),""))</f>
        <v/>
      </c>
      <c r="T2297" s="9">
        <f>IF(Q2297="당기",ABS(P2297)+ROW()/1000000000,"")</f>
        <v/>
      </c>
      <c r="U2297" s="9">
        <f>IF(Q2297="비교",ABS(P2297)+ROW()/1000000000,"")</f>
        <v/>
      </c>
      <c r="V2297" s="39">
        <f>IF($A2297="","",IF(COUNTIF(변동분석!$E$7:$E$506,O2297)&gt;0,"Y","N"))</f>
        <v/>
      </c>
      <c r="W2297" s="39">
        <f>IF($A2297="","",IFERROR(INDEX(계정매핑!$D$5:$D$504,MATCH($F2297&amp;"",계정매핑!$A$5:$A$504,0)),"미매핑"))</f>
        <v/>
      </c>
      <c r="X2297" s="9">
        <f>IF($A2297="","",$F2297&amp;"")</f>
        <v/>
      </c>
    </row>
    <row r="2298">
      <c r="A2298" s="75" t="n">
        <v>2025</v>
      </c>
      <c r="B2298" s="75" t="n">
        <v>12</v>
      </c>
      <c r="C2298" s="75" t="inlineStr">
        <is>
          <t>5100002294</t>
        </is>
      </c>
      <c r="D2298" s="78" t="n">
        <v>46014</v>
      </c>
      <c r="E2298" s="75" t="inlineStr">
        <is>
          <t>KR</t>
        </is>
      </c>
      <c r="F2298" s="75" t="n">
        <v>62101000</v>
      </c>
      <c r="G2298" s="75" t="n">
        <v>1101</v>
      </c>
      <c r="H2298" s="76" t="n">
        <v>618000</v>
      </c>
      <c r="I2298" s="75" t="inlineStr">
        <is>
          <t>12월 국내출장 - (법인카드)</t>
        </is>
      </c>
      <c r="J2298" s="75" t="inlineStr">
        <is>
          <t>V10008</t>
        </is>
      </c>
      <c r="K2298" s="75" t="inlineStr">
        <is>
          <t>(법인카드)</t>
        </is>
      </c>
      <c r="M2298" s="9">
        <f>IF($A2298="","",VALUE($A2298&amp;"")*12+VALUE($B2298&amp;""))</f>
        <v/>
      </c>
      <c r="N2298" s="39">
        <f>IF($A2298="","",IFERROR(INDEX(부서매핑!$C$5:$C$504,MATCH($G2298&amp;"",부서매핑!$A$5:$A$504,0)),"미매핑"))</f>
        <v/>
      </c>
      <c r="O2298" s="9">
        <f>IF($A2298="","",N2298&amp;"|"&amp;$F2298)</f>
        <v/>
      </c>
      <c r="P2298" s="77">
        <f>IF($A2298="",0,$H2298*설정!$C$23)</f>
        <v/>
      </c>
      <c r="Q2298" s="39">
        <f>IF($A2298="","",IF(O2298&lt;&gt;원인분석!$C$9,"",IF(AND(M2298&gt;=원인분석!$C$10,M2298&lt;=원인분석!$C$11),"당기",IF(AND(M2298&gt;=원인분석!$C$12,M2298&lt;=원인분석!$C$13),"비교",""))))</f>
        <v/>
      </c>
      <c r="R2298" s="9">
        <f>IF(Q2298="","",$K2298&amp;"")</f>
        <v/>
      </c>
      <c r="S2298" s="9">
        <f>IF(Q2298="","",IF(MATCH(R2298,$R$5:$R$100000,0)=ROW()-4,ROW(),""))</f>
        <v/>
      </c>
      <c r="T2298" s="9">
        <f>IF(Q2298="당기",ABS(P2298)+ROW()/1000000000,"")</f>
        <v/>
      </c>
      <c r="U2298" s="9">
        <f>IF(Q2298="비교",ABS(P2298)+ROW()/1000000000,"")</f>
        <v/>
      </c>
      <c r="V2298" s="39">
        <f>IF($A2298="","",IF(COUNTIF(변동분석!$E$7:$E$506,O2298)&gt;0,"Y","N"))</f>
        <v/>
      </c>
      <c r="W2298" s="39">
        <f>IF($A2298="","",IFERROR(INDEX(계정매핑!$D$5:$D$504,MATCH($F2298&amp;"",계정매핑!$A$5:$A$504,0)),"미매핑"))</f>
        <v/>
      </c>
      <c r="X2298" s="9">
        <f>IF($A2298="","",$F2298&amp;"")</f>
        <v/>
      </c>
    </row>
    <row r="2299">
      <c r="A2299" s="75" t="n">
        <v>2025</v>
      </c>
      <c r="B2299" s="75" t="n">
        <v>12</v>
      </c>
      <c r="C2299" s="75" t="inlineStr">
        <is>
          <t>5100002295</t>
        </is>
      </c>
      <c r="D2299" s="78" t="n">
        <v>46014</v>
      </c>
      <c r="E2299" s="75" t="inlineStr">
        <is>
          <t>KR</t>
        </is>
      </c>
      <c r="F2299" s="75" t="n">
        <v>62101000</v>
      </c>
      <c r="G2299" s="75" t="n">
        <v>1401</v>
      </c>
      <c r="H2299" s="76" t="n">
        <v>340000</v>
      </c>
      <c r="I2299" s="75" t="inlineStr">
        <is>
          <t>12월 국내출장 - L여행사</t>
        </is>
      </c>
      <c r="J2299" s="75" t="inlineStr">
        <is>
          <t>V10014</t>
        </is>
      </c>
      <c r="K2299" s="75" t="inlineStr">
        <is>
          <t>L여행사</t>
        </is>
      </c>
      <c r="M2299" s="9">
        <f>IF($A2299="","",VALUE($A2299&amp;"")*12+VALUE($B2299&amp;""))</f>
        <v/>
      </c>
      <c r="N2299" s="39">
        <f>IF($A2299="","",IFERROR(INDEX(부서매핑!$C$5:$C$504,MATCH($G2299&amp;"",부서매핑!$A$5:$A$504,0)),"미매핑"))</f>
        <v/>
      </c>
      <c r="O2299" s="9">
        <f>IF($A2299="","",N2299&amp;"|"&amp;$F2299)</f>
        <v/>
      </c>
      <c r="P2299" s="77">
        <f>IF($A2299="",0,$H2299*설정!$C$23)</f>
        <v/>
      </c>
      <c r="Q2299" s="39">
        <f>IF($A2299="","",IF(O2299&lt;&gt;원인분석!$C$9,"",IF(AND(M2299&gt;=원인분석!$C$10,M2299&lt;=원인분석!$C$11),"당기",IF(AND(M2299&gt;=원인분석!$C$12,M2299&lt;=원인분석!$C$13),"비교",""))))</f>
        <v/>
      </c>
      <c r="R2299" s="9">
        <f>IF(Q2299="","",$K2299&amp;"")</f>
        <v/>
      </c>
      <c r="S2299" s="9">
        <f>IF(Q2299="","",IF(MATCH(R2299,$R$5:$R$100000,0)=ROW()-4,ROW(),""))</f>
        <v/>
      </c>
      <c r="T2299" s="9">
        <f>IF(Q2299="당기",ABS(P2299)+ROW()/1000000000,"")</f>
        <v/>
      </c>
      <c r="U2299" s="9">
        <f>IF(Q2299="비교",ABS(P2299)+ROW()/1000000000,"")</f>
        <v/>
      </c>
      <c r="V2299" s="39">
        <f>IF($A2299="","",IF(COUNTIF(변동분석!$E$7:$E$506,O2299)&gt;0,"Y","N"))</f>
        <v/>
      </c>
      <c r="W2299" s="39">
        <f>IF($A2299="","",IFERROR(INDEX(계정매핑!$D$5:$D$504,MATCH($F2299&amp;"",계정매핑!$A$5:$A$504,0)),"미매핑"))</f>
        <v/>
      </c>
      <c r="X2299" s="9">
        <f>IF($A2299="","",$F2299&amp;"")</f>
        <v/>
      </c>
    </row>
    <row r="2300">
      <c r="A2300" s="75" t="n">
        <v>2025</v>
      </c>
      <c r="B2300" s="75" t="n">
        <v>12</v>
      </c>
      <c r="C2300" s="75" t="inlineStr">
        <is>
          <t>5100002296</t>
        </is>
      </c>
      <c r="D2300" s="78" t="n">
        <v>46014</v>
      </c>
      <c r="E2300" s="75" t="inlineStr">
        <is>
          <t>KR</t>
        </is>
      </c>
      <c r="F2300" s="75" t="n">
        <v>62101000</v>
      </c>
      <c r="G2300" s="75" t="n">
        <v>1801</v>
      </c>
      <c r="H2300" s="76" t="n">
        <v>235000</v>
      </c>
      <c r="I2300" s="75" t="inlineStr">
        <is>
          <t>12월 국내출장 - L여행사</t>
        </is>
      </c>
      <c r="J2300" s="75" t="inlineStr">
        <is>
          <t>V10014</t>
        </is>
      </c>
      <c r="K2300" s="75" t="inlineStr">
        <is>
          <t>L여행사</t>
        </is>
      </c>
      <c r="M2300" s="9">
        <f>IF($A2300="","",VALUE($A2300&amp;"")*12+VALUE($B2300&amp;""))</f>
        <v/>
      </c>
      <c r="N2300" s="39">
        <f>IF($A2300="","",IFERROR(INDEX(부서매핑!$C$5:$C$504,MATCH($G2300&amp;"",부서매핑!$A$5:$A$504,0)),"미매핑"))</f>
        <v/>
      </c>
      <c r="O2300" s="9">
        <f>IF($A2300="","",N2300&amp;"|"&amp;$F2300)</f>
        <v/>
      </c>
      <c r="P2300" s="77">
        <f>IF($A2300="",0,$H2300*설정!$C$23)</f>
        <v/>
      </c>
      <c r="Q2300" s="39">
        <f>IF($A2300="","",IF(O2300&lt;&gt;원인분석!$C$9,"",IF(AND(M2300&gt;=원인분석!$C$10,M2300&lt;=원인분석!$C$11),"당기",IF(AND(M2300&gt;=원인분석!$C$12,M2300&lt;=원인분석!$C$13),"비교",""))))</f>
        <v/>
      </c>
      <c r="R2300" s="9">
        <f>IF(Q2300="","",$K2300&amp;"")</f>
        <v/>
      </c>
      <c r="S2300" s="9">
        <f>IF(Q2300="","",IF(MATCH(R2300,$R$5:$R$100000,0)=ROW()-4,ROW(),""))</f>
        <v/>
      </c>
      <c r="T2300" s="9">
        <f>IF(Q2300="당기",ABS(P2300)+ROW()/1000000000,"")</f>
        <v/>
      </c>
      <c r="U2300" s="9">
        <f>IF(Q2300="비교",ABS(P2300)+ROW()/1000000000,"")</f>
        <v/>
      </c>
      <c r="V2300" s="39">
        <f>IF($A2300="","",IF(COUNTIF(변동분석!$E$7:$E$506,O2300)&gt;0,"Y","N"))</f>
        <v/>
      </c>
      <c r="W2300" s="39">
        <f>IF($A2300="","",IFERROR(INDEX(계정매핑!$D$5:$D$504,MATCH($F2300&amp;"",계정매핑!$A$5:$A$504,0)),"미매핑"))</f>
        <v/>
      </c>
      <c r="X2300" s="9">
        <f>IF($A2300="","",$F2300&amp;"")</f>
        <v/>
      </c>
    </row>
    <row r="2301">
      <c r="A2301" s="75" t="n">
        <v>2025</v>
      </c>
      <c r="B2301" s="75" t="n">
        <v>12</v>
      </c>
      <c r="C2301" s="75" t="inlineStr">
        <is>
          <t>5100002297</t>
        </is>
      </c>
      <c r="D2301" s="78" t="n">
        <v>46014</v>
      </c>
      <c r="E2301" s="75" t="inlineStr">
        <is>
          <t>KR</t>
        </is>
      </c>
      <c r="F2301" s="75" t="n">
        <v>62102000</v>
      </c>
      <c r="G2301" s="75" t="n">
        <v>1101</v>
      </c>
      <c r="H2301" s="76" t="n">
        <v>66000</v>
      </c>
      <c r="I2301" s="75" t="inlineStr">
        <is>
          <t>12월 해외출장 - M항공</t>
        </is>
      </c>
      <c r="J2301" s="75" t="inlineStr">
        <is>
          <t>V10001</t>
        </is>
      </c>
      <c r="K2301" s="75" t="inlineStr">
        <is>
          <t>M항공</t>
        </is>
      </c>
      <c r="M2301" s="9">
        <f>IF($A2301="","",VALUE($A2301&amp;"")*12+VALUE($B2301&amp;""))</f>
        <v/>
      </c>
      <c r="N2301" s="39">
        <f>IF($A2301="","",IFERROR(INDEX(부서매핑!$C$5:$C$504,MATCH($G2301&amp;"",부서매핑!$A$5:$A$504,0)),"미매핑"))</f>
        <v/>
      </c>
      <c r="O2301" s="9">
        <f>IF($A2301="","",N2301&amp;"|"&amp;$F2301)</f>
        <v/>
      </c>
      <c r="P2301" s="77">
        <f>IF($A2301="",0,$H2301*설정!$C$23)</f>
        <v/>
      </c>
      <c r="Q2301" s="39">
        <f>IF($A2301="","",IF(O2301&lt;&gt;원인분석!$C$9,"",IF(AND(M2301&gt;=원인분석!$C$10,M2301&lt;=원인분석!$C$11),"당기",IF(AND(M2301&gt;=원인분석!$C$12,M2301&lt;=원인분석!$C$13),"비교",""))))</f>
        <v/>
      </c>
      <c r="R2301" s="9">
        <f>IF(Q2301="","",$K2301&amp;"")</f>
        <v/>
      </c>
      <c r="S2301" s="9">
        <f>IF(Q2301="","",IF(MATCH(R2301,$R$5:$R$100000,0)=ROW()-4,ROW(),""))</f>
        <v/>
      </c>
      <c r="T2301" s="9">
        <f>IF(Q2301="당기",ABS(P2301)+ROW()/1000000000,"")</f>
        <v/>
      </c>
      <c r="U2301" s="9">
        <f>IF(Q2301="비교",ABS(P2301)+ROW()/1000000000,"")</f>
        <v/>
      </c>
      <c r="V2301" s="39">
        <f>IF($A2301="","",IF(COUNTIF(변동분석!$E$7:$E$506,O2301)&gt;0,"Y","N"))</f>
        <v/>
      </c>
      <c r="W2301" s="39">
        <f>IF($A2301="","",IFERROR(INDEX(계정매핑!$D$5:$D$504,MATCH($F2301&amp;"",계정매핑!$A$5:$A$504,0)),"미매핑"))</f>
        <v/>
      </c>
      <c r="X2301" s="9">
        <f>IF($A2301="","",$F2301&amp;"")</f>
        <v/>
      </c>
    </row>
    <row r="2302">
      <c r="A2302" s="75" t="n">
        <v>2025</v>
      </c>
      <c r="B2302" s="75" t="n">
        <v>12</v>
      </c>
      <c r="C2302" s="75" t="inlineStr">
        <is>
          <t>5100002298</t>
        </is>
      </c>
      <c r="D2302" s="78" t="n">
        <v>46014</v>
      </c>
      <c r="E2302" s="75" t="inlineStr">
        <is>
          <t>KR</t>
        </is>
      </c>
      <c r="F2302" s="75" t="n">
        <v>62102000</v>
      </c>
      <c r="G2302" s="75" t="n">
        <v>1201</v>
      </c>
      <c r="H2302" s="76" t="n">
        <v>37000</v>
      </c>
      <c r="I2302" s="75" t="inlineStr">
        <is>
          <t>12월 해외출장 - M항공</t>
        </is>
      </c>
      <c r="J2302" s="75" t="inlineStr">
        <is>
          <t>V10001</t>
        </is>
      </c>
      <c r="K2302" s="75" t="inlineStr">
        <is>
          <t>M항공</t>
        </is>
      </c>
      <c r="M2302" s="9">
        <f>IF($A2302="","",VALUE($A2302&amp;"")*12+VALUE($B2302&amp;""))</f>
        <v/>
      </c>
      <c r="N2302" s="39">
        <f>IF($A2302="","",IFERROR(INDEX(부서매핑!$C$5:$C$504,MATCH($G2302&amp;"",부서매핑!$A$5:$A$504,0)),"미매핑"))</f>
        <v/>
      </c>
      <c r="O2302" s="9">
        <f>IF($A2302="","",N2302&amp;"|"&amp;$F2302)</f>
        <v/>
      </c>
      <c r="P2302" s="77">
        <f>IF($A2302="",0,$H2302*설정!$C$23)</f>
        <v/>
      </c>
      <c r="Q2302" s="39">
        <f>IF($A2302="","",IF(O2302&lt;&gt;원인분석!$C$9,"",IF(AND(M2302&gt;=원인분석!$C$10,M2302&lt;=원인분석!$C$11),"당기",IF(AND(M2302&gt;=원인분석!$C$12,M2302&lt;=원인분석!$C$13),"비교",""))))</f>
        <v/>
      </c>
      <c r="R2302" s="9">
        <f>IF(Q2302="","",$K2302&amp;"")</f>
        <v/>
      </c>
      <c r="S2302" s="9">
        <f>IF(Q2302="","",IF(MATCH(R2302,$R$5:$R$100000,0)=ROW()-4,ROW(),""))</f>
        <v/>
      </c>
      <c r="T2302" s="9">
        <f>IF(Q2302="당기",ABS(P2302)+ROW()/1000000000,"")</f>
        <v/>
      </c>
      <c r="U2302" s="9">
        <f>IF(Q2302="비교",ABS(P2302)+ROW()/1000000000,"")</f>
        <v/>
      </c>
      <c r="V2302" s="39">
        <f>IF($A2302="","",IF(COUNTIF(변동분석!$E$7:$E$506,O2302)&gt;0,"Y","N"))</f>
        <v/>
      </c>
      <c r="W2302" s="39">
        <f>IF($A2302="","",IFERROR(INDEX(계정매핑!$D$5:$D$504,MATCH($F2302&amp;"",계정매핑!$A$5:$A$504,0)),"미매핑"))</f>
        <v/>
      </c>
      <c r="X2302" s="9">
        <f>IF($A2302="","",$F2302&amp;"")</f>
        <v/>
      </c>
    </row>
    <row r="2303">
      <c r="A2303" s="75" t="n">
        <v>2025</v>
      </c>
      <c r="B2303" s="75" t="n">
        <v>12</v>
      </c>
      <c r="C2303" s="75" t="inlineStr">
        <is>
          <t>5100002299</t>
        </is>
      </c>
      <c r="D2303" s="78" t="n">
        <v>46014</v>
      </c>
      <c r="E2303" s="75" t="inlineStr">
        <is>
          <t>KR</t>
        </is>
      </c>
      <c r="F2303" s="75" t="n">
        <v>62201000</v>
      </c>
      <c r="G2303" s="75" t="n">
        <v>1101</v>
      </c>
      <c r="H2303" s="76" t="n">
        <v>235000</v>
      </c>
      <c r="I2303" s="75" t="inlineStr">
        <is>
          <t>12월 통신요금 - O텔레콤</t>
        </is>
      </c>
      <c r="J2303" s="75" t="inlineStr">
        <is>
          <t>V10002</t>
        </is>
      </c>
      <c r="K2303" s="75" t="inlineStr">
        <is>
          <t>O텔레콤</t>
        </is>
      </c>
      <c r="M2303" s="9">
        <f>IF($A2303="","",VALUE($A2303&amp;"")*12+VALUE($B2303&amp;""))</f>
        <v/>
      </c>
      <c r="N2303" s="39">
        <f>IF($A2303="","",IFERROR(INDEX(부서매핑!$C$5:$C$504,MATCH($G2303&amp;"",부서매핑!$A$5:$A$504,0)),"미매핑"))</f>
        <v/>
      </c>
      <c r="O2303" s="9">
        <f>IF($A2303="","",N2303&amp;"|"&amp;$F2303)</f>
        <v/>
      </c>
      <c r="P2303" s="77">
        <f>IF($A2303="",0,$H2303*설정!$C$23)</f>
        <v/>
      </c>
      <c r="Q2303" s="39">
        <f>IF($A2303="","",IF(O2303&lt;&gt;원인분석!$C$9,"",IF(AND(M2303&gt;=원인분석!$C$10,M2303&lt;=원인분석!$C$11),"당기",IF(AND(M2303&gt;=원인분석!$C$12,M2303&lt;=원인분석!$C$13),"비교",""))))</f>
        <v/>
      </c>
      <c r="R2303" s="9">
        <f>IF(Q2303="","",$K2303&amp;"")</f>
        <v/>
      </c>
      <c r="S2303" s="9">
        <f>IF(Q2303="","",IF(MATCH(R2303,$R$5:$R$100000,0)=ROW()-4,ROW(),""))</f>
        <v/>
      </c>
      <c r="T2303" s="9">
        <f>IF(Q2303="당기",ABS(P2303)+ROW()/1000000000,"")</f>
        <v/>
      </c>
      <c r="U2303" s="9">
        <f>IF(Q2303="비교",ABS(P2303)+ROW()/1000000000,"")</f>
        <v/>
      </c>
      <c r="V2303" s="39">
        <f>IF($A2303="","",IF(COUNTIF(변동분석!$E$7:$E$506,O2303)&gt;0,"Y","N"))</f>
        <v/>
      </c>
      <c r="W2303" s="39">
        <f>IF($A2303="","",IFERROR(INDEX(계정매핑!$D$5:$D$504,MATCH($F2303&amp;"",계정매핑!$A$5:$A$504,0)),"미매핑"))</f>
        <v/>
      </c>
      <c r="X2303" s="9">
        <f>IF($A2303="","",$F2303&amp;"")</f>
        <v/>
      </c>
    </row>
    <row r="2304">
      <c r="A2304" s="75" t="n">
        <v>2025</v>
      </c>
      <c r="B2304" s="75" t="n">
        <v>12</v>
      </c>
      <c r="C2304" s="75" t="inlineStr">
        <is>
          <t>5100002300</t>
        </is>
      </c>
      <c r="D2304" s="78" t="n">
        <v>46014</v>
      </c>
      <c r="E2304" s="75" t="inlineStr">
        <is>
          <t>KR</t>
        </is>
      </c>
      <c r="F2304" s="75" t="n">
        <v>62201000</v>
      </c>
      <c r="G2304" s="75" t="n">
        <v>1502</v>
      </c>
      <c r="H2304" s="76" t="n">
        <v>268000</v>
      </c>
      <c r="I2304" s="75" t="inlineStr">
        <is>
          <t>12월 통신요금 - O텔레콤</t>
        </is>
      </c>
      <c r="J2304" s="75" t="inlineStr">
        <is>
          <t>V10002</t>
        </is>
      </c>
      <c r="K2304" s="75" t="inlineStr">
        <is>
          <t>O텔레콤</t>
        </is>
      </c>
      <c r="M2304" s="9">
        <f>IF($A2304="","",VALUE($A2304&amp;"")*12+VALUE($B2304&amp;""))</f>
        <v/>
      </c>
      <c r="N2304" s="39">
        <f>IF($A2304="","",IFERROR(INDEX(부서매핑!$C$5:$C$504,MATCH($G2304&amp;"",부서매핑!$A$5:$A$504,0)),"미매핑"))</f>
        <v/>
      </c>
      <c r="O2304" s="9">
        <f>IF($A2304="","",N2304&amp;"|"&amp;$F2304)</f>
        <v/>
      </c>
      <c r="P2304" s="77">
        <f>IF($A2304="",0,$H2304*설정!$C$23)</f>
        <v/>
      </c>
      <c r="Q2304" s="39">
        <f>IF($A2304="","",IF(O2304&lt;&gt;원인분석!$C$9,"",IF(AND(M2304&gt;=원인분석!$C$10,M2304&lt;=원인분석!$C$11),"당기",IF(AND(M2304&gt;=원인분석!$C$12,M2304&lt;=원인분석!$C$13),"비교",""))))</f>
        <v/>
      </c>
      <c r="R2304" s="9">
        <f>IF(Q2304="","",$K2304&amp;"")</f>
        <v/>
      </c>
      <c r="S2304" s="9">
        <f>IF(Q2304="","",IF(MATCH(R2304,$R$5:$R$100000,0)=ROW()-4,ROW(),""))</f>
        <v/>
      </c>
      <c r="T2304" s="9">
        <f>IF(Q2304="당기",ABS(P2304)+ROW()/1000000000,"")</f>
        <v/>
      </c>
      <c r="U2304" s="9">
        <f>IF(Q2304="비교",ABS(P2304)+ROW()/1000000000,"")</f>
        <v/>
      </c>
      <c r="V2304" s="39">
        <f>IF($A2304="","",IF(COUNTIF(변동분석!$E$7:$E$506,O2304)&gt;0,"Y","N"))</f>
        <v/>
      </c>
      <c r="W2304" s="39">
        <f>IF($A2304="","",IFERROR(INDEX(계정매핑!$D$5:$D$504,MATCH($F2304&amp;"",계정매핑!$A$5:$A$504,0)),"미매핑"))</f>
        <v/>
      </c>
      <c r="X2304" s="9">
        <f>IF($A2304="","",$F2304&amp;"")</f>
        <v/>
      </c>
    </row>
    <row r="2305">
      <c r="A2305" s="75" t="n">
        <v>2025</v>
      </c>
      <c r="B2305" s="75" t="n">
        <v>12</v>
      </c>
      <c r="C2305" s="75" t="inlineStr">
        <is>
          <t>5100002301</t>
        </is>
      </c>
      <c r="D2305" s="78" t="n">
        <v>46014</v>
      </c>
      <c r="E2305" s="75" t="inlineStr">
        <is>
          <t>KR</t>
        </is>
      </c>
      <c r="F2305" s="75" t="n">
        <v>62401000</v>
      </c>
      <c r="G2305" s="75" t="n">
        <v>1801</v>
      </c>
      <c r="H2305" s="76" t="n">
        <v>1196000</v>
      </c>
      <c r="I2305" s="75" t="inlineStr">
        <is>
          <t>12월 인쇄물 제작 - S출판</t>
        </is>
      </c>
      <c r="J2305" s="75" t="inlineStr">
        <is>
          <t>V10012</t>
        </is>
      </c>
      <c r="K2305" s="75" t="inlineStr">
        <is>
          <t>S출판</t>
        </is>
      </c>
      <c r="M2305" s="9">
        <f>IF($A2305="","",VALUE($A2305&amp;"")*12+VALUE($B2305&amp;""))</f>
        <v/>
      </c>
      <c r="N2305" s="39">
        <f>IF($A2305="","",IFERROR(INDEX(부서매핑!$C$5:$C$504,MATCH($G2305&amp;"",부서매핑!$A$5:$A$504,0)),"미매핑"))</f>
        <v/>
      </c>
      <c r="O2305" s="9">
        <f>IF($A2305="","",N2305&amp;"|"&amp;$F2305)</f>
        <v/>
      </c>
      <c r="P2305" s="77">
        <f>IF($A2305="",0,$H2305*설정!$C$23)</f>
        <v/>
      </c>
      <c r="Q2305" s="39">
        <f>IF($A2305="","",IF(O2305&lt;&gt;원인분석!$C$9,"",IF(AND(M2305&gt;=원인분석!$C$10,M2305&lt;=원인분석!$C$11),"당기",IF(AND(M2305&gt;=원인분석!$C$12,M2305&lt;=원인분석!$C$13),"비교",""))))</f>
        <v/>
      </c>
      <c r="R2305" s="9">
        <f>IF(Q2305="","",$K2305&amp;"")</f>
        <v/>
      </c>
      <c r="S2305" s="9">
        <f>IF(Q2305="","",IF(MATCH(R2305,$R$5:$R$100000,0)=ROW()-4,ROW(),""))</f>
        <v/>
      </c>
      <c r="T2305" s="9">
        <f>IF(Q2305="당기",ABS(P2305)+ROW()/1000000000,"")</f>
        <v/>
      </c>
      <c r="U2305" s="9">
        <f>IF(Q2305="비교",ABS(P2305)+ROW()/1000000000,"")</f>
        <v/>
      </c>
      <c r="V2305" s="39">
        <f>IF($A2305="","",IF(COUNTIF(변동분석!$E$7:$E$506,O2305)&gt;0,"Y","N"))</f>
        <v/>
      </c>
      <c r="W2305" s="39">
        <f>IF($A2305="","",IFERROR(INDEX(계정매핑!$D$5:$D$504,MATCH($F2305&amp;"",계정매핑!$A$5:$A$504,0)),"미매핑"))</f>
        <v/>
      </c>
      <c r="X2305" s="9">
        <f>IF($A2305="","",$F2305&amp;"")</f>
        <v/>
      </c>
    </row>
    <row r="2306">
      <c r="A2306" s="75" t="n">
        <v>2025</v>
      </c>
      <c r="B2306" s="75" t="n">
        <v>12</v>
      </c>
      <c r="C2306" s="75" t="inlineStr">
        <is>
          <t>5100002302</t>
        </is>
      </c>
      <c r="D2306" s="78" t="n">
        <v>46014</v>
      </c>
      <c r="E2306" s="75" t="inlineStr">
        <is>
          <t>KR</t>
        </is>
      </c>
      <c r="F2306" s="75" t="n">
        <v>62501000</v>
      </c>
      <c r="G2306" s="75" t="n">
        <v>1701</v>
      </c>
      <c r="H2306" s="76" t="n">
        <v>169000</v>
      </c>
      <c r="I2306" s="75" t="inlineStr">
        <is>
          <t>12월 회의 다과 - (법인카드)</t>
        </is>
      </c>
      <c r="J2306" s="75" t="inlineStr">
        <is>
          <t>V10008</t>
        </is>
      </c>
      <c r="K2306" s="75" t="inlineStr">
        <is>
          <t>(법인카드)</t>
        </is>
      </c>
      <c r="M2306" s="9">
        <f>IF($A2306="","",VALUE($A2306&amp;"")*12+VALUE($B2306&amp;""))</f>
        <v/>
      </c>
      <c r="N2306" s="39">
        <f>IF($A2306="","",IFERROR(INDEX(부서매핑!$C$5:$C$504,MATCH($G2306&amp;"",부서매핑!$A$5:$A$504,0)),"미매핑"))</f>
        <v/>
      </c>
      <c r="O2306" s="9">
        <f>IF($A2306="","",N2306&amp;"|"&amp;$F2306)</f>
        <v/>
      </c>
      <c r="P2306" s="77">
        <f>IF($A2306="",0,$H2306*설정!$C$23)</f>
        <v/>
      </c>
      <c r="Q2306" s="39">
        <f>IF($A2306="","",IF(O2306&lt;&gt;원인분석!$C$9,"",IF(AND(M2306&gt;=원인분석!$C$10,M2306&lt;=원인분석!$C$11),"당기",IF(AND(M2306&gt;=원인분석!$C$12,M2306&lt;=원인분석!$C$13),"비교",""))))</f>
        <v/>
      </c>
      <c r="R2306" s="9">
        <f>IF(Q2306="","",$K2306&amp;"")</f>
        <v/>
      </c>
      <c r="S2306" s="9">
        <f>IF(Q2306="","",IF(MATCH(R2306,$R$5:$R$100000,0)=ROW()-4,ROW(),""))</f>
        <v/>
      </c>
      <c r="T2306" s="9">
        <f>IF(Q2306="당기",ABS(P2306)+ROW()/1000000000,"")</f>
        <v/>
      </c>
      <c r="U2306" s="9">
        <f>IF(Q2306="비교",ABS(P2306)+ROW()/1000000000,"")</f>
        <v/>
      </c>
      <c r="V2306" s="39">
        <f>IF($A2306="","",IF(COUNTIF(변동분석!$E$7:$E$506,O2306)&gt;0,"Y","N"))</f>
        <v/>
      </c>
      <c r="W2306" s="39">
        <f>IF($A2306="","",IFERROR(INDEX(계정매핑!$D$5:$D$504,MATCH($F2306&amp;"",계정매핑!$A$5:$A$504,0)),"미매핑"))</f>
        <v/>
      </c>
      <c r="X2306" s="9">
        <f>IF($A2306="","",$F2306&amp;"")</f>
        <v/>
      </c>
    </row>
    <row r="2307">
      <c r="A2307" s="75" t="n">
        <v>2025</v>
      </c>
      <c r="B2307" s="75" t="n">
        <v>12</v>
      </c>
      <c r="C2307" s="75" t="inlineStr">
        <is>
          <t>5100002303</t>
        </is>
      </c>
      <c r="D2307" s="78" t="n">
        <v>46014</v>
      </c>
      <c r="E2307" s="75" t="inlineStr">
        <is>
          <t>KR</t>
        </is>
      </c>
      <c r="F2307" s="75" t="n">
        <v>62902000</v>
      </c>
      <c r="G2307" s="75" t="n">
        <v>1101</v>
      </c>
      <c r="H2307" s="76" t="n">
        <v>1488000</v>
      </c>
      <c r="I2307" s="75" t="inlineStr">
        <is>
          <t>12월 업무 위탁 수수료 - J콜센터</t>
        </is>
      </c>
      <c r="J2307" s="75" t="inlineStr">
        <is>
          <t>V10013</t>
        </is>
      </c>
      <c r="K2307" s="75" t="inlineStr">
        <is>
          <t>J콜센터</t>
        </is>
      </c>
      <c r="M2307" s="9">
        <f>IF($A2307="","",VALUE($A2307&amp;"")*12+VALUE($B2307&amp;""))</f>
        <v/>
      </c>
      <c r="N2307" s="39">
        <f>IF($A2307="","",IFERROR(INDEX(부서매핑!$C$5:$C$504,MATCH($G2307&amp;"",부서매핑!$A$5:$A$504,0)),"미매핑"))</f>
        <v/>
      </c>
      <c r="O2307" s="9">
        <f>IF($A2307="","",N2307&amp;"|"&amp;$F2307)</f>
        <v/>
      </c>
      <c r="P2307" s="77">
        <f>IF($A2307="",0,$H2307*설정!$C$23)</f>
        <v/>
      </c>
      <c r="Q2307" s="39">
        <f>IF($A2307="","",IF(O2307&lt;&gt;원인분석!$C$9,"",IF(AND(M2307&gt;=원인분석!$C$10,M2307&lt;=원인분석!$C$11),"당기",IF(AND(M2307&gt;=원인분석!$C$12,M2307&lt;=원인분석!$C$13),"비교",""))))</f>
        <v/>
      </c>
      <c r="R2307" s="9">
        <f>IF(Q2307="","",$K2307&amp;"")</f>
        <v/>
      </c>
      <c r="S2307" s="9">
        <f>IF(Q2307="","",IF(MATCH(R2307,$R$5:$R$100000,0)=ROW()-4,ROW(),""))</f>
        <v/>
      </c>
      <c r="T2307" s="9">
        <f>IF(Q2307="당기",ABS(P2307)+ROW()/1000000000,"")</f>
        <v/>
      </c>
      <c r="U2307" s="9">
        <f>IF(Q2307="비교",ABS(P2307)+ROW()/1000000000,"")</f>
        <v/>
      </c>
      <c r="V2307" s="39">
        <f>IF($A2307="","",IF(COUNTIF(변동분석!$E$7:$E$506,O2307)&gt;0,"Y","N"))</f>
        <v/>
      </c>
      <c r="W2307" s="39">
        <f>IF($A2307="","",IFERROR(INDEX(계정매핑!$D$5:$D$504,MATCH($F2307&amp;"",계정매핑!$A$5:$A$504,0)),"미매핑"))</f>
        <v/>
      </c>
      <c r="X2307" s="9">
        <f>IF($A2307="","",$F2307&amp;"")</f>
        <v/>
      </c>
    </row>
    <row r="2308">
      <c r="A2308" s="75" t="n">
        <v>2025</v>
      </c>
      <c r="B2308" s="75" t="n">
        <v>12</v>
      </c>
      <c r="C2308" s="75" t="inlineStr">
        <is>
          <t>5100002304</t>
        </is>
      </c>
      <c r="D2308" s="78" t="n">
        <v>46014</v>
      </c>
      <c r="E2308" s="75" t="inlineStr">
        <is>
          <t>KR</t>
        </is>
      </c>
      <c r="F2308" s="75" t="n">
        <v>63201000</v>
      </c>
      <c r="G2308" s="75" t="n">
        <v>1601</v>
      </c>
      <c r="H2308" s="76" t="n">
        <v>5506000</v>
      </c>
      <c r="I2308" s="75" t="inlineStr">
        <is>
          <t>12월 차량 유지 - D정비</t>
        </is>
      </c>
      <c r="J2308" s="75" t="inlineStr">
        <is>
          <t>V10022</t>
        </is>
      </c>
      <c r="K2308" s="75" t="inlineStr">
        <is>
          <t>D정비</t>
        </is>
      </c>
      <c r="M2308" s="9">
        <f>IF($A2308="","",VALUE($A2308&amp;"")*12+VALUE($B2308&amp;""))</f>
        <v/>
      </c>
      <c r="N2308" s="39">
        <f>IF($A2308="","",IFERROR(INDEX(부서매핑!$C$5:$C$504,MATCH($G2308&amp;"",부서매핑!$A$5:$A$504,0)),"미매핑"))</f>
        <v/>
      </c>
      <c r="O2308" s="9">
        <f>IF($A2308="","",N2308&amp;"|"&amp;$F2308)</f>
        <v/>
      </c>
      <c r="P2308" s="77">
        <f>IF($A2308="",0,$H2308*설정!$C$23)</f>
        <v/>
      </c>
      <c r="Q2308" s="39">
        <f>IF($A2308="","",IF(O2308&lt;&gt;원인분석!$C$9,"",IF(AND(M2308&gt;=원인분석!$C$10,M2308&lt;=원인분석!$C$11),"당기",IF(AND(M2308&gt;=원인분석!$C$12,M2308&lt;=원인분석!$C$13),"비교",""))))</f>
        <v/>
      </c>
      <c r="R2308" s="9">
        <f>IF(Q2308="","",$K2308&amp;"")</f>
        <v/>
      </c>
      <c r="S2308" s="9">
        <f>IF(Q2308="","",IF(MATCH(R2308,$R$5:$R$100000,0)=ROW()-4,ROW(),""))</f>
        <v/>
      </c>
      <c r="T2308" s="9">
        <f>IF(Q2308="당기",ABS(P2308)+ROW()/1000000000,"")</f>
        <v/>
      </c>
      <c r="U2308" s="9">
        <f>IF(Q2308="비교",ABS(P2308)+ROW()/1000000000,"")</f>
        <v/>
      </c>
      <c r="V2308" s="39">
        <f>IF($A2308="","",IF(COUNTIF(변동분석!$E$7:$E$506,O2308)&gt;0,"Y","N"))</f>
        <v/>
      </c>
      <c r="W2308" s="39">
        <f>IF($A2308="","",IFERROR(INDEX(계정매핑!$D$5:$D$504,MATCH($F2308&amp;"",계정매핑!$A$5:$A$504,0)),"미매핑"))</f>
        <v/>
      </c>
      <c r="X2308" s="9">
        <f>IF($A2308="","",$F2308&amp;"")</f>
        <v/>
      </c>
    </row>
    <row r="2309">
      <c r="A2309" s="75" t="n">
        <v>2025</v>
      </c>
      <c r="B2309" s="75" t="n">
        <v>12</v>
      </c>
      <c r="C2309" s="75" t="inlineStr">
        <is>
          <t>5100002305</t>
        </is>
      </c>
      <c r="D2309" s="78" t="n">
        <v>46015</v>
      </c>
      <c r="E2309" s="75" t="inlineStr">
        <is>
          <t>KR</t>
        </is>
      </c>
      <c r="F2309" s="75" t="n">
        <v>62101000</v>
      </c>
      <c r="G2309" s="75" t="n">
        <v>1501</v>
      </c>
      <c r="H2309" s="76" t="n">
        <v>530000</v>
      </c>
      <c r="I2309" s="75" t="inlineStr">
        <is>
          <t>12월 국내출장 - M항공</t>
        </is>
      </c>
      <c r="J2309" s="75" t="inlineStr">
        <is>
          <t>V10001</t>
        </is>
      </c>
      <c r="K2309" s="75" t="inlineStr">
        <is>
          <t>M항공</t>
        </is>
      </c>
      <c r="M2309" s="9">
        <f>IF($A2309="","",VALUE($A2309&amp;"")*12+VALUE($B2309&amp;""))</f>
        <v/>
      </c>
      <c r="N2309" s="39">
        <f>IF($A2309="","",IFERROR(INDEX(부서매핑!$C$5:$C$504,MATCH($G2309&amp;"",부서매핑!$A$5:$A$504,0)),"미매핑"))</f>
        <v/>
      </c>
      <c r="O2309" s="9">
        <f>IF($A2309="","",N2309&amp;"|"&amp;$F2309)</f>
        <v/>
      </c>
      <c r="P2309" s="77">
        <f>IF($A2309="",0,$H2309*설정!$C$23)</f>
        <v/>
      </c>
      <c r="Q2309" s="39">
        <f>IF($A2309="","",IF(O2309&lt;&gt;원인분석!$C$9,"",IF(AND(M2309&gt;=원인분석!$C$10,M2309&lt;=원인분석!$C$11),"당기",IF(AND(M2309&gt;=원인분석!$C$12,M2309&lt;=원인분석!$C$13),"비교",""))))</f>
        <v/>
      </c>
      <c r="R2309" s="9">
        <f>IF(Q2309="","",$K2309&amp;"")</f>
        <v/>
      </c>
      <c r="S2309" s="9">
        <f>IF(Q2309="","",IF(MATCH(R2309,$R$5:$R$100000,0)=ROW()-4,ROW(),""))</f>
        <v/>
      </c>
      <c r="T2309" s="9">
        <f>IF(Q2309="당기",ABS(P2309)+ROW()/1000000000,"")</f>
        <v/>
      </c>
      <c r="U2309" s="9">
        <f>IF(Q2309="비교",ABS(P2309)+ROW()/1000000000,"")</f>
        <v/>
      </c>
      <c r="V2309" s="39">
        <f>IF($A2309="","",IF(COUNTIF(변동분석!$E$7:$E$506,O2309)&gt;0,"Y","N"))</f>
        <v/>
      </c>
      <c r="W2309" s="39">
        <f>IF($A2309="","",IFERROR(INDEX(계정매핑!$D$5:$D$504,MATCH($F2309&amp;"",계정매핑!$A$5:$A$504,0)),"미매핑"))</f>
        <v/>
      </c>
      <c r="X2309" s="9">
        <f>IF($A2309="","",$F2309&amp;"")</f>
        <v/>
      </c>
    </row>
    <row r="2310">
      <c r="A2310" s="75" t="n">
        <v>2025</v>
      </c>
      <c r="B2310" s="75" t="n">
        <v>12</v>
      </c>
      <c r="C2310" s="75" t="inlineStr">
        <is>
          <t>5100002306</t>
        </is>
      </c>
      <c r="D2310" s="78" t="n">
        <v>46015</v>
      </c>
      <c r="E2310" s="75" t="inlineStr">
        <is>
          <t>KR</t>
        </is>
      </c>
      <c r="F2310" s="75" t="n">
        <v>62102000</v>
      </c>
      <c r="G2310" s="75" t="n">
        <v>1501</v>
      </c>
      <c r="H2310" s="76" t="n">
        <v>137000</v>
      </c>
      <c r="I2310" s="75" t="inlineStr">
        <is>
          <t>12월 해외출장 - M항공</t>
        </is>
      </c>
      <c r="J2310" s="75" t="inlineStr">
        <is>
          <t>V10001</t>
        </is>
      </c>
      <c r="K2310" s="75" t="inlineStr">
        <is>
          <t>M항공</t>
        </is>
      </c>
      <c r="M2310" s="9">
        <f>IF($A2310="","",VALUE($A2310&amp;"")*12+VALUE($B2310&amp;""))</f>
        <v/>
      </c>
      <c r="N2310" s="39">
        <f>IF($A2310="","",IFERROR(INDEX(부서매핑!$C$5:$C$504,MATCH($G2310&amp;"",부서매핑!$A$5:$A$504,0)),"미매핑"))</f>
        <v/>
      </c>
      <c r="O2310" s="9">
        <f>IF($A2310="","",N2310&amp;"|"&amp;$F2310)</f>
        <v/>
      </c>
      <c r="P2310" s="77">
        <f>IF($A2310="",0,$H2310*설정!$C$23)</f>
        <v/>
      </c>
      <c r="Q2310" s="39">
        <f>IF($A2310="","",IF(O2310&lt;&gt;원인분석!$C$9,"",IF(AND(M2310&gt;=원인분석!$C$10,M2310&lt;=원인분석!$C$11),"당기",IF(AND(M2310&gt;=원인분석!$C$12,M2310&lt;=원인분석!$C$13),"비교",""))))</f>
        <v/>
      </c>
      <c r="R2310" s="9">
        <f>IF(Q2310="","",$K2310&amp;"")</f>
        <v/>
      </c>
      <c r="S2310" s="9">
        <f>IF(Q2310="","",IF(MATCH(R2310,$R$5:$R$100000,0)=ROW()-4,ROW(),""))</f>
        <v/>
      </c>
      <c r="T2310" s="9">
        <f>IF(Q2310="당기",ABS(P2310)+ROW()/1000000000,"")</f>
        <v/>
      </c>
      <c r="U2310" s="9">
        <f>IF(Q2310="비교",ABS(P2310)+ROW()/1000000000,"")</f>
        <v/>
      </c>
      <c r="V2310" s="39">
        <f>IF($A2310="","",IF(COUNTIF(변동분석!$E$7:$E$506,O2310)&gt;0,"Y","N"))</f>
        <v/>
      </c>
      <c r="W2310" s="39">
        <f>IF($A2310="","",IFERROR(INDEX(계정매핑!$D$5:$D$504,MATCH($F2310&amp;"",계정매핑!$A$5:$A$504,0)),"미매핑"))</f>
        <v/>
      </c>
      <c r="X2310" s="9">
        <f>IF($A2310="","",$F2310&amp;"")</f>
        <v/>
      </c>
    </row>
    <row r="2311">
      <c r="A2311" s="75" t="n">
        <v>2025</v>
      </c>
      <c r="B2311" s="75" t="n">
        <v>12</v>
      </c>
      <c r="C2311" s="75" t="inlineStr">
        <is>
          <t>5100002307</t>
        </is>
      </c>
      <c r="D2311" s="78" t="n">
        <v>46015</v>
      </c>
      <c r="E2311" s="75" t="inlineStr">
        <is>
          <t>KR</t>
        </is>
      </c>
      <c r="F2311" s="75" t="n">
        <v>62301000</v>
      </c>
      <c r="G2311" s="75" t="n">
        <v>1401</v>
      </c>
      <c r="H2311" s="76" t="n">
        <v>57000</v>
      </c>
      <c r="I2311" s="75" t="inlineStr">
        <is>
          <t>12월 소모품 구입 - R문구</t>
        </is>
      </c>
      <c r="J2311" s="75" t="inlineStr">
        <is>
          <t>V10018</t>
        </is>
      </c>
      <c r="K2311" s="75" t="inlineStr">
        <is>
          <t>R문구</t>
        </is>
      </c>
      <c r="M2311" s="9">
        <f>IF($A2311="","",VALUE($A2311&amp;"")*12+VALUE($B2311&amp;""))</f>
        <v/>
      </c>
      <c r="N2311" s="39">
        <f>IF($A2311="","",IFERROR(INDEX(부서매핑!$C$5:$C$504,MATCH($G2311&amp;"",부서매핑!$A$5:$A$504,0)),"미매핑"))</f>
        <v/>
      </c>
      <c r="O2311" s="9">
        <f>IF($A2311="","",N2311&amp;"|"&amp;$F2311)</f>
        <v/>
      </c>
      <c r="P2311" s="77">
        <f>IF($A2311="",0,$H2311*설정!$C$23)</f>
        <v/>
      </c>
      <c r="Q2311" s="39">
        <f>IF($A2311="","",IF(O2311&lt;&gt;원인분석!$C$9,"",IF(AND(M2311&gt;=원인분석!$C$10,M2311&lt;=원인분석!$C$11),"당기",IF(AND(M2311&gt;=원인분석!$C$12,M2311&lt;=원인분석!$C$13),"비교",""))))</f>
        <v/>
      </c>
      <c r="R2311" s="9">
        <f>IF(Q2311="","",$K2311&amp;"")</f>
        <v/>
      </c>
      <c r="S2311" s="9">
        <f>IF(Q2311="","",IF(MATCH(R2311,$R$5:$R$100000,0)=ROW()-4,ROW(),""))</f>
        <v/>
      </c>
      <c r="T2311" s="9">
        <f>IF(Q2311="당기",ABS(P2311)+ROW()/1000000000,"")</f>
        <v/>
      </c>
      <c r="U2311" s="9">
        <f>IF(Q2311="비교",ABS(P2311)+ROW()/1000000000,"")</f>
        <v/>
      </c>
      <c r="V2311" s="39">
        <f>IF($A2311="","",IF(COUNTIF(변동분석!$E$7:$E$506,O2311)&gt;0,"Y","N"))</f>
        <v/>
      </c>
      <c r="W2311" s="39">
        <f>IF($A2311="","",IFERROR(INDEX(계정매핑!$D$5:$D$504,MATCH($F2311&amp;"",계정매핑!$A$5:$A$504,0)),"미매핑"))</f>
        <v/>
      </c>
      <c r="X2311" s="9">
        <f>IF($A2311="","",$F2311&amp;"")</f>
        <v/>
      </c>
    </row>
    <row r="2312">
      <c r="A2312" s="75" t="n">
        <v>2025</v>
      </c>
      <c r="B2312" s="75" t="n">
        <v>12</v>
      </c>
      <c r="C2312" s="75" t="inlineStr">
        <is>
          <t>5100002308</t>
        </is>
      </c>
      <c r="D2312" s="78" t="n">
        <v>46015</v>
      </c>
      <c r="E2312" s="75" t="inlineStr">
        <is>
          <t>KR</t>
        </is>
      </c>
      <c r="F2312" s="75" t="n">
        <v>62601000</v>
      </c>
      <c r="G2312" s="75" t="n">
        <v>1502</v>
      </c>
      <c r="H2312" s="76" t="n">
        <v>1144000</v>
      </c>
      <c r="I2312" s="75" t="inlineStr">
        <is>
          <t>12월 업무추진 - (법인카드)</t>
        </is>
      </c>
      <c r="J2312" s="75" t="inlineStr">
        <is>
          <t>V10008</t>
        </is>
      </c>
      <c r="K2312" s="75" t="inlineStr">
        <is>
          <t>(법인카드)</t>
        </is>
      </c>
      <c r="M2312" s="9">
        <f>IF($A2312="","",VALUE($A2312&amp;"")*12+VALUE($B2312&amp;""))</f>
        <v/>
      </c>
      <c r="N2312" s="39">
        <f>IF($A2312="","",IFERROR(INDEX(부서매핑!$C$5:$C$504,MATCH($G2312&amp;"",부서매핑!$A$5:$A$504,0)),"미매핑"))</f>
        <v/>
      </c>
      <c r="O2312" s="9">
        <f>IF($A2312="","",N2312&amp;"|"&amp;$F2312)</f>
        <v/>
      </c>
      <c r="P2312" s="77">
        <f>IF($A2312="",0,$H2312*설정!$C$23)</f>
        <v/>
      </c>
      <c r="Q2312" s="39">
        <f>IF($A2312="","",IF(O2312&lt;&gt;원인분석!$C$9,"",IF(AND(M2312&gt;=원인분석!$C$10,M2312&lt;=원인분석!$C$11),"당기",IF(AND(M2312&gt;=원인분석!$C$12,M2312&lt;=원인분석!$C$13),"비교",""))))</f>
        <v/>
      </c>
      <c r="R2312" s="9">
        <f>IF(Q2312="","",$K2312&amp;"")</f>
        <v/>
      </c>
      <c r="S2312" s="9">
        <f>IF(Q2312="","",IF(MATCH(R2312,$R$5:$R$100000,0)=ROW()-4,ROW(),""))</f>
        <v/>
      </c>
      <c r="T2312" s="9">
        <f>IF(Q2312="당기",ABS(P2312)+ROW()/1000000000,"")</f>
        <v/>
      </c>
      <c r="U2312" s="9">
        <f>IF(Q2312="비교",ABS(P2312)+ROW()/1000000000,"")</f>
        <v/>
      </c>
      <c r="V2312" s="39">
        <f>IF($A2312="","",IF(COUNTIF(변동분석!$E$7:$E$506,O2312)&gt;0,"Y","N"))</f>
        <v/>
      </c>
      <c r="W2312" s="39">
        <f>IF($A2312="","",IFERROR(INDEX(계정매핑!$D$5:$D$504,MATCH($F2312&amp;"",계정매핑!$A$5:$A$504,0)),"미매핑"))</f>
        <v/>
      </c>
      <c r="X2312" s="9">
        <f>IF($A2312="","",$F2312&amp;"")</f>
        <v/>
      </c>
    </row>
    <row r="2313">
      <c r="A2313" s="75" t="n">
        <v>2025</v>
      </c>
      <c r="B2313" s="75" t="n">
        <v>12</v>
      </c>
      <c r="C2313" s="75" t="inlineStr">
        <is>
          <t>5100002309</t>
        </is>
      </c>
      <c r="D2313" s="78" t="n">
        <v>46015</v>
      </c>
      <c r="E2313" s="75" t="inlineStr">
        <is>
          <t>KR</t>
        </is>
      </c>
      <c r="F2313" s="75" t="n">
        <v>62601000</v>
      </c>
      <c r="G2313" s="75" t="n">
        <v>1601</v>
      </c>
      <c r="H2313" s="76" t="n">
        <v>1496000</v>
      </c>
      <c r="I2313" s="75" t="inlineStr">
        <is>
          <t>12월 업무추진 - (법인카드)</t>
        </is>
      </c>
      <c r="J2313" s="75" t="inlineStr">
        <is>
          <t>V10008</t>
        </is>
      </c>
      <c r="K2313" s="75" t="inlineStr">
        <is>
          <t>(법인카드)</t>
        </is>
      </c>
      <c r="M2313" s="9">
        <f>IF($A2313="","",VALUE($A2313&amp;"")*12+VALUE($B2313&amp;""))</f>
        <v/>
      </c>
      <c r="N2313" s="39">
        <f>IF($A2313="","",IFERROR(INDEX(부서매핑!$C$5:$C$504,MATCH($G2313&amp;"",부서매핑!$A$5:$A$504,0)),"미매핑"))</f>
        <v/>
      </c>
      <c r="O2313" s="9">
        <f>IF($A2313="","",N2313&amp;"|"&amp;$F2313)</f>
        <v/>
      </c>
      <c r="P2313" s="77">
        <f>IF($A2313="",0,$H2313*설정!$C$23)</f>
        <v/>
      </c>
      <c r="Q2313" s="39">
        <f>IF($A2313="","",IF(O2313&lt;&gt;원인분석!$C$9,"",IF(AND(M2313&gt;=원인분석!$C$10,M2313&lt;=원인분석!$C$11),"당기",IF(AND(M2313&gt;=원인분석!$C$12,M2313&lt;=원인분석!$C$13),"비교",""))))</f>
        <v/>
      </c>
      <c r="R2313" s="9">
        <f>IF(Q2313="","",$K2313&amp;"")</f>
        <v/>
      </c>
      <c r="S2313" s="9">
        <f>IF(Q2313="","",IF(MATCH(R2313,$R$5:$R$100000,0)=ROW()-4,ROW(),""))</f>
        <v/>
      </c>
      <c r="T2313" s="9">
        <f>IF(Q2313="당기",ABS(P2313)+ROW()/1000000000,"")</f>
        <v/>
      </c>
      <c r="U2313" s="9">
        <f>IF(Q2313="비교",ABS(P2313)+ROW()/1000000000,"")</f>
        <v/>
      </c>
      <c r="V2313" s="39">
        <f>IF($A2313="","",IF(COUNTIF(변동분석!$E$7:$E$506,O2313)&gt;0,"Y","N"))</f>
        <v/>
      </c>
      <c r="W2313" s="39">
        <f>IF($A2313="","",IFERROR(INDEX(계정매핑!$D$5:$D$504,MATCH($F2313&amp;"",계정매핑!$A$5:$A$504,0)),"미매핑"))</f>
        <v/>
      </c>
      <c r="X2313" s="9">
        <f>IF($A2313="","",$F2313&amp;"")</f>
        <v/>
      </c>
    </row>
    <row r="2314">
      <c r="A2314" s="75" t="n">
        <v>2025</v>
      </c>
      <c r="B2314" s="75" t="n">
        <v>12</v>
      </c>
      <c r="C2314" s="75" t="inlineStr">
        <is>
          <t>5100002310</t>
        </is>
      </c>
      <c r="D2314" s="78" t="n">
        <v>46015</v>
      </c>
      <c r="E2314" s="75" t="inlineStr">
        <is>
          <t>KR</t>
        </is>
      </c>
      <c r="F2314" s="75" t="n">
        <v>62701000</v>
      </c>
      <c r="G2314" s="75" t="n">
        <v>1501</v>
      </c>
      <c r="H2314" s="76" t="n">
        <v>79502000</v>
      </c>
      <c r="I2314" s="75" t="inlineStr">
        <is>
          <t>12월 광고 집행 - E미디어</t>
        </is>
      </c>
      <c r="J2314" s="75" t="inlineStr">
        <is>
          <t>V10027</t>
        </is>
      </c>
      <c r="K2314" s="75" t="inlineStr">
        <is>
          <t>E미디어</t>
        </is>
      </c>
      <c r="M2314" s="9">
        <f>IF($A2314="","",VALUE($A2314&amp;"")*12+VALUE($B2314&amp;""))</f>
        <v/>
      </c>
      <c r="N2314" s="39">
        <f>IF($A2314="","",IFERROR(INDEX(부서매핑!$C$5:$C$504,MATCH($G2314&amp;"",부서매핑!$A$5:$A$504,0)),"미매핑"))</f>
        <v/>
      </c>
      <c r="O2314" s="9">
        <f>IF($A2314="","",N2314&amp;"|"&amp;$F2314)</f>
        <v/>
      </c>
      <c r="P2314" s="77">
        <f>IF($A2314="",0,$H2314*설정!$C$23)</f>
        <v/>
      </c>
      <c r="Q2314" s="39">
        <f>IF($A2314="","",IF(O2314&lt;&gt;원인분석!$C$9,"",IF(AND(M2314&gt;=원인분석!$C$10,M2314&lt;=원인분석!$C$11),"당기",IF(AND(M2314&gt;=원인분석!$C$12,M2314&lt;=원인분석!$C$13),"비교",""))))</f>
        <v/>
      </c>
      <c r="R2314" s="9">
        <f>IF(Q2314="","",$K2314&amp;"")</f>
        <v/>
      </c>
      <c r="S2314" s="9">
        <f>IF(Q2314="","",IF(MATCH(R2314,$R$5:$R$100000,0)=ROW()-4,ROW(),""))</f>
        <v/>
      </c>
      <c r="T2314" s="9">
        <f>IF(Q2314="당기",ABS(P2314)+ROW()/1000000000,"")</f>
        <v/>
      </c>
      <c r="U2314" s="9">
        <f>IF(Q2314="비교",ABS(P2314)+ROW()/1000000000,"")</f>
        <v/>
      </c>
      <c r="V2314" s="39">
        <f>IF($A2314="","",IF(COUNTIF(변동분석!$E$7:$E$506,O2314)&gt;0,"Y","N"))</f>
        <v/>
      </c>
      <c r="W2314" s="39">
        <f>IF($A2314="","",IFERROR(INDEX(계정매핑!$D$5:$D$504,MATCH($F2314&amp;"",계정매핑!$A$5:$A$504,0)),"미매핑"))</f>
        <v/>
      </c>
      <c r="X2314" s="9">
        <f>IF($A2314="","",$F2314&amp;"")</f>
        <v/>
      </c>
    </row>
    <row r="2315">
      <c r="A2315" s="75" t="n">
        <v>2025</v>
      </c>
      <c r="B2315" s="75" t="n">
        <v>12</v>
      </c>
      <c r="C2315" s="75" t="inlineStr">
        <is>
          <t>5100002311</t>
        </is>
      </c>
      <c r="D2315" s="78" t="n">
        <v>46015</v>
      </c>
      <c r="E2315" s="75" t="inlineStr">
        <is>
          <t>KR</t>
        </is>
      </c>
      <c r="F2315" s="75" t="n">
        <v>62902000</v>
      </c>
      <c r="G2315" s="75" t="n">
        <v>1201</v>
      </c>
      <c r="H2315" s="76" t="n">
        <v>3739000</v>
      </c>
      <c r="I2315" s="75" t="inlineStr">
        <is>
          <t>12월 업무 위탁 수수료 - X서비스</t>
        </is>
      </c>
      <c r="J2315" s="75" t="inlineStr">
        <is>
          <t>V10016</t>
        </is>
      </c>
      <c r="K2315" s="75" t="inlineStr">
        <is>
          <t>X서비스</t>
        </is>
      </c>
      <c r="M2315" s="9">
        <f>IF($A2315="","",VALUE($A2315&amp;"")*12+VALUE($B2315&amp;""))</f>
        <v/>
      </c>
      <c r="N2315" s="39">
        <f>IF($A2315="","",IFERROR(INDEX(부서매핑!$C$5:$C$504,MATCH($G2315&amp;"",부서매핑!$A$5:$A$504,0)),"미매핑"))</f>
        <v/>
      </c>
      <c r="O2315" s="9">
        <f>IF($A2315="","",N2315&amp;"|"&amp;$F2315)</f>
        <v/>
      </c>
      <c r="P2315" s="77">
        <f>IF($A2315="",0,$H2315*설정!$C$23)</f>
        <v/>
      </c>
      <c r="Q2315" s="39">
        <f>IF($A2315="","",IF(O2315&lt;&gt;원인분석!$C$9,"",IF(AND(M2315&gt;=원인분석!$C$10,M2315&lt;=원인분석!$C$11),"당기",IF(AND(M2315&gt;=원인분석!$C$12,M2315&lt;=원인분석!$C$13),"비교",""))))</f>
        <v/>
      </c>
      <c r="R2315" s="9">
        <f>IF(Q2315="","",$K2315&amp;"")</f>
        <v/>
      </c>
      <c r="S2315" s="9">
        <f>IF(Q2315="","",IF(MATCH(R2315,$R$5:$R$100000,0)=ROW()-4,ROW(),""))</f>
        <v/>
      </c>
      <c r="T2315" s="9">
        <f>IF(Q2315="당기",ABS(P2315)+ROW()/1000000000,"")</f>
        <v/>
      </c>
      <c r="U2315" s="9">
        <f>IF(Q2315="비교",ABS(P2315)+ROW()/1000000000,"")</f>
        <v/>
      </c>
      <c r="V2315" s="39">
        <f>IF($A2315="","",IF(COUNTIF(변동분석!$E$7:$E$506,O2315)&gt;0,"Y","N"))</f>
        <v/>
      </c>
      <c r="W2315" s="39">
        <f>IF($A2315="","",IFERROR(INDEX(계정매핑!$D$5:$D$504,MATCH($F2315&amp;"",계정매핑!$A$5:$A$504,0)),"미매핑"))</f>
        <v/>
      </c>
      <c r="X2315" s="9">
        <f>IF($A2315="","",$F2315&amp;"")</f>
        <v/>
      </c>
    </row>
    <row r="2316">
      <c r="A2316" s="75" t="n">
        <v>2025</v>
      </c>
      <c r="B2316" s="75" t="n">
        <v>12</v>
      </c>
      <c r="C2316" s="75" t="inlineStr">
        <is>
          <t>5100002312</t>
        </is>
      </c>
      <c r="D2316" s="78" t="n">
        <v>46016</v>
      </c>
      <c r="E2316" s="75" t="inlineStr">
        <is>
          <t>KR</t>
        </is>
      </c>
      <c r="F2316" s="75" t="n">
        <v>62101000</v>
      </c>
      <c r="G2316" s="75" t="n">
        <v>1301</v>
      </c>
      <c r="H2316" s="76" t="n">
        <v>571000</v>
      </c>
      <c r="I2316" s="75" t="inlineStr">
        <is>
          <t>12월 국내출장 - (법인카드)</t>
        </is>
      </c>
      <c r="J2316" s="75" t="inlineStr">
        <is>
          <t>V10008</t>
        </is>
      </c>
      <c r="K2316" s="75" t="inlineStr">
        <is>
          <t>(법인카드)</t>
        </is>
      </c>
      <c r="M2316" s="9">
        <f>IF($A2316="","",VALUE($A2316&amp;"")*12+VALUE($B2316&amp;""))</f>
        <v/>
      </c>
      <c r="N2316" s="39">
        <f>IF($A2316="","",IFERROR(INDEX(부서매핑!$C$5:$C$504,MATCH($G2316&amp;"",부서매핑!$A$5:$A$504,0)),"미매핑"))</f>
        <v/>
      </c>
      <c r="O2316" s="9">
        <f>IF($A2316="","",N2316&amp;"|"&amp;$F2316)</f>
        <v/>
      </c>
      <c r="P2316" s="77">
        <f>IF($A2316="",0,$H2316*설정!$C$23)</f>
        <v/>
      </c>
      <c r="Q2316" s="39">
        <f>IF($A2316="","",IF(O2316&lt;&gt;원인분석!$C$9,"",IF(AND(M2316&gt;=원인분석!$C$10,M2316&lt;=원인분석!$C$11),"당기",IF(AND(M2316&gt;=원인분석!$C$12,M2316&lt;=원인분석!$C$13),"비교",""))))</f>
        <v/>
      </c>
      <c r="R2316" s="9">
        <f>IF(Q2316="","",$K2316&amp;"")</f>
        <v/>
      </c>
      <c r="S2316" s="9">
        <f>IF(Q2316="","",IF(MATCH(R2316,$R$5:$R$100000,0)=ROW()-4,ROW(),""))</f>
        <v/>
      </c>
      <c r="T2316" s="9">
        <f>IF(Q2316="당기",ABS(P2316)+ROW()/1000000000,"")</f>
        <v/>
      </c>
      <c r="U2316" s="9">
        <f>IF(Q2316="비교",ABS(P2316)+ROW()/1000000000,"")</f>
        <v/>
      </c>
      <c r="V2316" s="39">
        <f>IF($A2316="","",IF(COUNTIF(변동분석!$E$7:$E$506,O2316)&gt;0,"Y","N"))</f>
        <v/>
      </c>
      <c r="W2316" s="39">
        <f>IF($A2316="","",IFERROR(INDEX(계정매핑!$D$5:$D$504,MATCH($F2316&amp;"",계정매핑!$A$5:$A$504,0)),"미매핑"))</f>
        <v/>
      </c>
      <c r="X2316" s="9">
        <f>IF($A2316="","",$F2316&amp;"")</f>
        <v/>
      </c>
    </row>
    <row r="2317">
      <c r="A2317" s="75" t="n">
        <v>2025</v>
      </c>
      <c r="B2317" s="75" t="n">
        <v>12</v>
      </c>
      <c r="C2317" s="75" t="inlineStr">
        <is>
          <t>5100002313</t>
        </is>
      </c>
      <c r="D2317" s="78" t="n">
        <v>46016</v>
      </c>
      <c r="E2317" s="75" t="inlineStr">
        <is>
          <t>KR</t>
        </is>
      </c>
      <c r="F2317" s="75" t="n">
        <v>62101000</v>
      </c>
      <c r="G2317" s="75" t="n">
        <v>1501</v>
      </c>
      <c r="H2317" s="76" t="n">
        <v>423000</v>
      </c>
      <c r="I2317" s="75" t="inlineStr">
        <is>
          <t>12월 국내출장 - L여행사</t>
        </is>
      </c>
      <c r="J2317" s="75" t="inlineStr">
        <is>
          <t>V10014</t>
        </is>
      </c>
      <c r="K2317" s="75" t="inlineStr">
        <is>
          <t>L여행사</t>
        </is>
      </c>
      <c r="M2317" s="9">
        <f>IF($A2317="","",VALUE($A2317&amp;"")*12+VALUE($B2317&amp;""))</f>
        <v/>
      </c>
      <c r="N2317" s="39">
        <f>IF($A2317="","",IFERROR(INDEX(부서매핑!$C$5:$C$504,MATCH($G2317&amp;"",부서매핑!$A$5:$A$504,0)),"미매핑"))</f>
        <v/>
      </c>
      <c r="O2317" s="9">
        <f>IF($A2317="","",N2317&amp;"|"&amp;$F2317)</f>
        <v/>
      </c>
      <c r="P2317" s="77">
        <f>IF($A2317="",0,$H2317*설정!$C$23)</f>
        <v/>
      </c>
      <c r="Q2317" s="39">
        <f>IF($A2317="","",IF(O2317&lt;&gt;원인분석!$C$9,"",IF(AND(M2317&gt;=원인분석!$C$10,M2317&lt;=원인분석!$C$11),"당기",IF(AND(M2317&gt;=원인분석!$C$12,M2317&lt;=원인분석!$C$13),"비교",""))))</f>
        <v/>
      </c>
      <c r="R2317" s="9">
        <f>IF(Q2317="","",$K2317&amp;"")</f>
        <v/>
      </c>
      <c r="S2317" s="9">
        <f>IF(Q2317="","",IF(MATCH(R2317,$R$5:$R$100000,0)=ROW()-4,ROW(),""))</f>
        <v/>
      </c>
      <c r="T2317" s="9">
        <f>IF(Q2317="당기",ABS(P2317)+ROW()/1000000000,"")</f>
        <v/>
      </c>
      <c r="U2317" s="9">
        <f>IF(Q2317="비교",ABS(P2317)+ROW()/1000000000,"")</f>
        <v/>
      </c>
      <c r="V2317" s="39">
        <f>IF($A2317="","",IF(COUNTIF(변동분석!$E$7:$E$506,O2317)&gt;0,"Y","N"))</f>
        <v/>
      </c>
      <c r="W2317" s="39">
        <f>IF($A2317="","",IFERROR(INDEX(계정매핑!$D$5:$D$504,MATCH($F2317&amp;"",계정매핑!$A$5:$A$504,0)),"미매핑"))</f>
        <v/>
      </c>
      <c r="X2317" s="9">
        <f>IF($A2317="","",$F2317&amp;"")</f>
        <v/>
      </c>
    </row>
    <row r="2318">
      <c r="A2318" s="75" t="n">
        <v>2025</v>
      </c>
      <c r="B2318" s="75" t="n">
        <v>12</v>
      </c>
      <c r="C2318" s="75" t="inlineStr">
        <is>
          <t>5100002314</t>
        </is>
      </c>
      <c r="D2318" s="78" t="n">
        <v>46016</v>
      </c>
      <c r="E2318" s="75" t="inlineStr">
        <is>
          <t>KR</t>
        </is>
      </c>
      <c r="F2318" s="75" t="n">
        <v>62101000</v>
      </c>
      <c r="G2318" s="75" t="n">
        <v>1701</v>
      </c>
      <c r="H2318" s="76" t="n">
        <v>246000</v>
      </c>
      <c r="I2318" s="75" t="inlineStr">
        <is>
          <t>12월 국내출장 - (법인카드)</t>
        </is>
      </c>
      <c r="J2318" s="75" t="inlineStr">
        <is>
          <t>V10008</t>
        </is>
      </c>
      <c r="K2318" s="75" t="inlineStr">
        <is>
          <t>(법인카드)</t>
        </is>
      </c>
      <c r="M2318" s="9">
        <f>IF($A2318="","",VALUE($A2318&amp;"")*12+VALUE($B2318&amp;""))</f>
        <v/>
      </c>
      <c r="N2318" s="39">
        <f>IF($A2318="","",IFERROR(INDEX(부서매핑!$C$5:$C$504,MATCH($G2318&amp;"",부서매핑!$A$5:$A$504,0)),"미매핑"))</f>
        <v/>
      </c>
      <c r="O2318" s="9">
        <f>IF($A2318="","",N2318&amp;"|"&amp;$F2318)</f>
        <v/>
      </c>
      <c r="P2318" s="77">
        <f>IF($A2318="",0,$H2318*설정!$C$23)</f>
        <v/>
      </c>
      <c r="Q2318" s="39">
        <f>IF($A2318="","",IF(O2318&lt;&gt;원인분석!$C$9,"",IF(AND(M2318&gt;=원인분석!$C$10,M2318&lt;=원인분석!$C$11),"당기",IF(AND(M2318&gt;=원인분석!$C$12,M2318&lt;=원인분석!$C$13),"비교",""))))</f>
        <v/>
      </c>
      <c r="R2318" s="9">
        <f>IF(Q2318="","",$K2318&amp;"")</f>
        <v/>
      </c>
      <c r="S2318" s="9">
        <f>IF(Q2318="","",IF(MATCH(R2318,$R$5:$R$100000,0)=ROW()-4,ROW(),""))</f>
        <v/>
      </c>
      <c r="T2318" s="9">
        <f>IF(Q2318="당기",ABS(P2318)+ROW()/1000000000,"")</f>
        <v/>
      </c>
      <c r="U2318" s="9">
        <f>IF(Q2318="비교",ABS(P2318)+ROW()/1000000000,"")</f>
        <v/>
      </c>
      <c r="V2318" s="39">
        <f>IF($A2318="","",IF(COUNTIF(변동분석!$E$7:$E$506,O2318)&gt;0,"Y","N"))</f>
        <v/>
      </c>
      <c r="W2318" s="39">
        <f>IF($A2318="","",IFERROR(INDEX(계정매핑!$D$5:$D$504,MATCH($F2318&amp;"",계정매핑!$A$5:$A$504,0)),"미매핑"))</f>
        <v/>
      </c>
      <c r="X2318" s="9">
        <f>IF($A2318="","",$F2318&amp;"")</f>
        <v/>
      </c>
    </row>
    <row r="2319">
      <c r="A2319" s="75" t="n">
        <v>2025</v>
      </c>
      <c r="B2319" s="75" t="n">
        <v>12</v>
      </c>
      <c r="C2319" s="75" t="inlineStr">
        <is>
          <t>5100002315</t>
        </is>
      </c>
      <c r="D2319" s="78" t="n">
        <v>46016</v>
      </c>
      <c r="E2319" s="75" t="inlineStr">
        <is>
          <t>KR</t>
        </is>
      </c>
      <c r="F2319" s="75" t="n">
        <v>62102000</v>
      </c>
      <c r="G2319" s="75" t="n">
        <v>1401</v>
      </c>
      <c r="H2319" s="76" t="n">
        <v>108000</v>
      </c>
      <c r="I2319" s="75" t="inlineStr">
        <is>
          <t>12월 해외출장 - M항공</t>
        </is>
      </c>
      <c r="J2319" s="75" t="inlineStr">
        <is>
          <t>V10001</t>
        </is>
      </c>
      <c r="K2319" s="75" t="inlineStr">
        <is>
          <t>M항공</t>
        </is>
      </c>
      <c r="M2319" s="9">
        <f>IF($A2319="","",VALUE($A2319&amp;"")*12+VALUE($B2319&amp;""))</f>
        <v/>
      </c>
      <c r="N2319" s="39">
        <f>IF($A2319="","",IFERROR(INDEX(부서매핑!$C$5:$C$504,MATCH($G2319&amp;"",부서매핑!$A$5:$A$504,0)),"미매핑"))</f>
        <v/>
      </c>
      <c r="O2319" s="9">
        <f>IF($A2319="","",N2319&amp;"|"&amp;$F2319)</f>
        <v/>
      </c>
      <c r="P2319" s="77">
        <f>IF($A2319="",0,$H2319*설정!$C$23)</f>
        <v/>
      </c>
      <c r="Q2319" s="39">
        <f>IF($A2319="","",IF(O2319&lt;&gt;원인분석!$C$9,"",IF(AND(M2319&gt;=원인분석!$C$10,M2319&lt;=원인분석!$C$11),"당기",IF(AND(M2319&gt;=원인분석!$C$12,M2319&lt;=원인분석!$C$13),"비교",""))))</f>
        <v/>
      </c>
      <c r="R2319" s="9">
        <f>IF(Q2319="","",$K2319&amp;"")</f>
        <v/>
      </c>
      <c r="S2319" s="9">
        <f>IF(Q2319="","",IF(MATCH(R2319,$R$5:$R$100000,0)=ROW()-4,ROW(),""))</f>
        <v/>
      </c>
      <c r="T2319" s="9">
        <f>IF(Q2319="당기",ABS(P2319)+ROW()/1000000000,"")</f>
        <v/>
      </c>
      <c r="U2319" s="9">
        <f>IF(Q2319="비교",ABS(P2319)+ROW()/1000000000,"")</f>
        <v/>
      </c>
      <c r="V2319" s="39">
        <f>IF($A2319="","",IF(COUNTIF(변동분석!$E$7:$E$506,O2319)&gt;0,"Y","N"))</f>
        <v/>
      </c>
      <c r="W2319" s="39">
        <f>IF($A2319="","",IFERROR(INDEX(계정매핑!$D$5:$D$504,MATCH($F2319&amp;"",계정매핑!$A$5:$A$504,0)),"미매핑"))</f>
        <v/>
      </c>
      <c r="X2319" s="9">
        <f>IF($A2319="","",$F2319&amp;"")</f>
        <v/>
      </c>
    </row>
    <row r="2320">
      <c r="A2320" s="75" t="n">
        <v>2025</v>
      </c>
      <c r="B2320" s="75" t="n">
        <v>12</v>
      </c>
      <c r="C2320" s="75" t="inlineStr">
        <is>
          <t>5100002316</t>
        </is>
      </c>
      <c r="D2320" s="78" t="n">
        <v>46016</v>
      </c>
      <c r="E2320" s="75" t="inlineStr">
        <is>
          <t>KR</t>
        </is>
      </c>
      <c r="F2320" s="75" t="n">
        <v>62102000</v>
      </c>
      <c r="G2320" s="75" t="n">
        <v>1401</v>
      </c>
      <c r="H2320" s="76" t="n">
        <v>120000</v>
      </c>
      <c r="I2320" s="75" t="inlineStr">
        <is>
          <t>12월 해외출장 - M항공</t>
        </is>
      </c>
      <c r="J2320" s="75" t="inlineStr">
        <is>
          <t>V10001</t>
        </is>
      </c>
      <c r="K2320" s="75" t="inlineStr">
        <is>
          <t>M항공</t>
        </is>
      </c>
      <c r="M2320" s="9">
        <f>IF($A2320="","",VALUE($A2320&amp;"")*12+VALUE($B2320&amp;""))</f>
        <v/>
      </c>
      <c r="N2320" s="39">
        <f>IF($A2320="","",IFERROR(INDEX(부서매핑!$C$5:$C$504,MATCH($G2320&amp;"",부서매핑!$A$5:$A$504,0)),"미매핑"))</f>
        <v/>
      </c>
      <c r="O2320" s="9">
        <f>IF($A2320="","",N2320&amp;"|"&amp;$F2320)</f>
        <v/>
      </c>
      <c r="P2320" s="77">
        <f>IF($A2320="",0,$H2320*설정!$C$23)</f>
        <v/>
      </c>
      <c r="Q2320" s="39">
        <f>IF($A2320="","",IF(O2320&lt;&gt;원인분석!$C$9,"",IF(AND(M2320&gt;=원인분석!$C$10,M2320&lt;=원인분석!$C$11),"당기",IF(AND(M2320&gt;=원인분석!$C$12,M2320&lt;=원인분석!$C$13),"비교",""))))</f>
        <v/>
      </c>
      <c r="R2320" s="9">
        <f>IF(Q2320="","",$K2320&amp;"")</f>
        <v/>
      </c>
      <c r="S2320" s="9">
        <f>IF(Q2320="","",IF(MATCH(R2320,$R$5:$R$100000,0)=ROW()-4,ROW(),""))</f>
        <v/>
      </c>
      <c r="T2320" s="9">
        <f>IF(Q2320="당기",ABS(P2320)+ROW()/1000000000,"")</f>
        <v/>
      </c>
      <c r="U2320" s="9">
        <f>IF(Q2320="비교",ABS(P2320)+ROW()/1000000000,"")</f>
        <v/>
      </c>
      <c r="V2320" s="39">
        <f>IF($A2320="","",IF(COUNTIF(변동분석!$E$7:$E$506,O2320)&gt;0,"Y","N"))</f>
        <v/>
      </c>
      <c r="W2320" s="39">
        <f>IF($A2320="","",IFERROR(INDEX(계정매핑!$D$5:$D$504,MATCH($F2320&amp;"",계정매핑!$A$5:$A$504,0)),"미매핑"))</f>
        <v/>
      </c>
      <c r="X2320" s="9">
        <f>IF($A2320="","",$F2320&amp;"")</f>
        <v/>
      </c>
    </row>
    <row r="2321">
      <c r="A2321" s="75" t="n">
        <v>2025</v>
      </c>
      <c r="B2321" s="75" t="n">
        <v>12</v>
      </c>
      <c r="C2321" s="75" t="inlineStr">
        <is>
          <t>5100002317</t>
        </is>
      </c>
      <c r="D2321" s="78" t="n">
        <v>46016</v>
      </c>
      <c r="E2321" s="75" t="inlineStr">
        <is>
          <t>KR</t>
        </is>
      </c>
      <c r="F2321" s="75" t="n">
        <v>62102000</v>
      </c>
      <c r="G2321" s="75" t="n">
        <v>1701</v>
      </c>
      <c r="H2321" s="76" t="n">
        <v>53000</v>
      </c>
      <c r="I2321" s="75" t="inlineStr">
        <is>
          <t>12월 해외출장 - M항공</t>
        </is>
      </c>
      <c r="J2321" s="75" t="inlineStr">
        <is>
          <t>V10001</t>
        </is>
      </c>
      <c r="K2321" s="75" t="inlineStr">
        <is>
          <t>M항공</t>
        </is>
      </c>
      <c r="M2321" s="9">
        <f>IF($A2321="","",VALUE($A2321&amp;"")*12+VALUE($B2321&amp;""))</f>
        <v/>
      </c>
      <c r="N2321" s="39">
        <f>IF($A2321="","",IFERROR(INDEX(부서매핑!$C$5:$C$504,MATCH($G2321&amp;"",부서매핑!$A$5:$A$504,0)),"미매핑"))</f>
        <v/>
      </c>
      <c r="O2321" s="9">
        <f>IF($A2321="","",N2321&amp;"|"&amp;$F2321)</f>
        <v/>
      </c>
      <c r="P2321" s="77">
        <f>IF($A2321="",0,$H2321*설정!$C$23)</f>
        <v/>
      </c>
      <c r="Q2321" s="39">
        <f>IF($A2321="","",IF(O2321&lt;&gt;원인분석!$C$9,"",IF(AND(M2321&gt;=원인분석!$C$10,M2321&lt;=원인분석!$C$11),"당기",IF(AND(M2321&gt;=원인분석!$C$12,M2321&lt;=원인분석!$C$13),"비교",""))))</f>
        <v/>
      </c>
      <c r="R2321" s="9">
        <f>IF(Q2321="","",$K2321&amp;"")</f>
        <v/>
      </c>
      <c r="S2321" s="9">
        <f>IF(Q2321="","",IF(MATCH(R2321,$R$5:$R$100000,0)=ROW()-4,ROW(),""))</f>
        <v/>
      </c>
      <c r="T2321" s="9">
        <f>IF(Q2321="당기",ABS(P2321)+ROW()/1000000000,"")</f>
        <v/>
      </c>
      <c r="U2321" s="9">
        <f>IF(Q2321="비교",ABS(P2321)+ROW()/1000000000,"")</f>
        <v/>
      </c>
      <c r="V2321" s="39">
        <f>IF($A2321="","",IF(COUNTIF(변동분석!$E$7:$E$506,O2321)&gt;0,"Y","N"))</f>
        <v/>
      </c>
      <c r="W2321" s="39">
        <f>IF($A2321="","",IFERROR(INDEX(계정매핑!$D$5:$D$504,MATCH($F2321&amp;"",계정매핑!$A$5:$A$504,0)),"미매핑"))</f>
        <v/>
      </c>
      <c r="X2321" s="9">
        <f>IF($A2321="","",$F2321&amp;"")</f>
        <v/>
      </c>
    </row>
    <row r="2322">
      <c r="A2322" s="75" t="n">
        <v>2025</v>
      </c>
      <c r="B2322" s="75" t="n">
        <v>12</v>
      </c>
      <c r="C2322" s="75" t="inlineStr">
        <is>
          <t>5100002318</t>
        </is>
      </c>
      <c r="D2322" s="78" t="n">
        <v>46016</v>
      </c>
      <c r="E2322" s="75" t="inlineStr">
        <is>
          <t>KR</t>
        </is>
      </c>
      <c r="F2322" s="75" t="n">
        <v>62102000</v>
      </c>
      <c r="G2322" s="75" t="n">
        <v>1801</v>
      </c>
      <c r="H2322" s="76" t="n">
        <v>44000</v>
      </c>
      <c r="I2322" s="75" t="inlineStr">
        <is>
          <t>12월 해외출장 - N호텔</t>
        </is>
      </c>
      <c r="J2322" s="75" t="inlineStr">
        <is>
          <t>V10007</t>
        </is>
      </c>
      <c r="K2322" s="75" t="inlineStr">
        <is>
          <t>N호텔</t>
        </is>
      </c>
      <c r="M2322" s="9">
        <f>IF($A2322="","",VALUE($A2322&amp;"")*12+VALUE($B2322&amp;""))</f>
        <v/>
      </c>
      <c r="N2322" s="39">
        <f>IF($A2322="","",IFERROR(INDEX(부서매핑!$C$5:$C$504,MATCH($G2322&amp;"",부서매핑!$A$5:$A$504,0)),"미매핑"))</f>
        <v/>
      </c>
      <c r="O2322" s="9">
        <f>IF($A2322="","",N2322&amp;"|"&amp;$F2322)</f>
        <v/>
      </c>
      <c r="P2322" s="77">
        <f>IF($A2322="",0,$H2322*설정!$C$23)</f>
        <v/>
      </c>
      <c r="Q2322" s="39">
        <f>IF($A2322="","",IF(O2322&lt;&gt;원인분석!$C$9,"",IF(AND(M2322&gt;=원인분석!$C$10,M2322&lt;=원인분석!$C$11),"당기",IF(AND(M2322&gt;=원인분석!$C$12,M2322&lt;=원인분석!$C$13),"비교",""))))</f>
        <v/>
      </c>
      <c r="R2322" s="9">
        <f>IF(Q2322="","",$K2322&amp;"")</f>
        <v/>
      </c>
      <c r="S2322" s="9">
        <f>IF(Q2322="","",IF(MATCH(R2322,$R$5:$R$100000,0)=ROW()-4,ROW(),""))</f>
        <v/>
      </c>
      <c r="T2322" s="9">
        <f>IF(Q2322="당기",ABS(P2322)+ROW()/1000000000,"")</f>
        <v/>
      </c>
      <c r="U2322" s="9">
        <f>IF(Q2322="비교",ABS(P2322)+ROW()/1000000000,"")</f>
        <v/>
      </c>
      <c r="V2322" s="39">
        <f>IF($A2322="","",IF(COUNTIF(변동분석!$E$7:$E$506,O2322)&gt;0,"Y","N"))</f>
        <v/>
      </c>
      <c r="W2322" s="39">
        <f>IF($A2322="","",IFERROR(INDEX(계정매핑!$D$5:$D$504,MATCH($F2322&amp;"",계정매핑!$A$5:$A$504,0)),"미매핑"))</f>
        <v/>
      </c>
      <c r="X2322" s="9">
        <f>IF($A2322="","",$F2322&amp;"")</f>
        <v/>
      </c>
    </row>
    <row r="2323">
      <c r="A2323" s="75" t="n">
        <v>2025</v>
      </c>
      <c r="B2323" s="75" t="n">
        <v>12</v>
      </c>
      <c r="C2323" s="75" t="inlineStr">
        <is>
          <t>5100002319</t>
        </is>
      </c>
      <c r="D2323" s="78" t="n">
        <v>46016</v>
      </c>
      <c r="E2323" s="75" t="inlineStr">
        <is>
          <t>KR</t>
        </is>
      </c>
      <c r="F2323" s="75" t="n">
        <v>62301000</v>
      </c>
      <c r="G2323" s="75" t="n">
        <v>1301</v>
      </c>
      <c r="H2323" s="76" t="n">
        <v>134000</v>
      </c>
      <c r="I2323" s="75" t="inlineStr">
        <is>
          <t>12월 소모품 구입 - Q오피스</t>
        </is>
      </c>
      <c r="J2323" s="75" t="inlineStr">
        <is>
          <t>V10003</t>
        </is>
      </c>
      <c r="K2323" s="75" t="inlineStr">
        <is>
          <t>Q오피스</t>
        </is>
      </c>
      <c r="M2323" s="9">
        <f>IF($A2323="","",VALUE($A2323&amp;"")*12+VALUE($B2323&amp;""))</f>
        <v/>
      </c>
      <c r="N2323" s="39">
        <f>IF($A2323="","",IFERROR(INDEX(부서매핑!$C$5:$C$504,MATCH($G2323&amp;"",부서매핑!$A$5:$A$504,0)),"미매핑"))</f>
        <v/>
      </c>
      <c r="O2323" s="9">
        <f>IF($A2323="","",N2323&amp;"|"&amp;$F2323)</f>
        <v/>
      </c>
      <c r="P2323" s="77">
        <f>IF($A2323="",0,$H2323*설정!$C$23)</f>
        <v/>
      </c>
      <c r="Q2323" s="39">
        <f>IF($A2323="","",IF(O2323&lt;&gt;원인분석!$C$9,"",IF(AND(M2323&gt;=원인분석!$C$10,M2323&lt;=원인분석!$C$11),"당기",IF(AND(M2323&gt;=원인분석!$C$12,M2323&lt;=원인분석!$C$13),"비교",""))))</f>
        <v/>
      </c>
      <c r="R2323" s="9">
        <f>IF(Q2323="","",$K2323&amp;"")</f>
        <v/>
      </c>
      <c r="S2323" s="9">
        <f>IF(Q2323="","",IF(MATCH(R2323,$R$5:$R$100000,0)=ROW()-4,ROW(),""))</f>
        <v/>
      </c>
      <c r="T2323" s="9">
        <f>IF(Q2323="당기",ABS(P2323)+ROW()/1000000000,"")</f>
        <v/>
      </c>
      <c r="U2323" s="9">
        <f>IF(Q2323="비교",ABS(P2323)+ROW()/1000000000,"")</f>
        <v/>
      </c>
      <c r="V2323" s="39">
        <f>IF($A2323="","",IF(COUNTIF(변동분석!$E$7:$E$506,O2323)&gt;0,"Y","N"))</f>
        <v/>
      </c>
      <c r="W2323" s="39">
        <f>IF($A2323="","",IFERROR(INDEX(계정매핑!$D$5:$D$504,MATCH($F2323&amp;"",계정매핑!$A$5:$A$504,0)),"미매핑"))</f>
        <v/>
      </c>
      <c r="X2323" s="9">
        <f>IF($A2323="","",$F2323&amp;"")</f>
        <v/>
      </c>
    </row>
    <row r="2324">
      <c r="A2324" s="75" t="n">
        <v>2025</v>
      </c>
      <c r="B2324" s="75" t="n">
        <v>12</v>
      </c>
      <c r="C2324" s="75" t="inlineStr">
        <is>
          <t>5100002320</t>
        </is>
      </c>
      <c r="D2324" s="78" t="n">
        <v>46016</v>
      </c>
      <c r="E2324" s="75" t="inlineStr">
        <is>
          <t>KR</t>
        </is>
      </c>
      <c r="F2324" s="75" t="n">
        <v>62301000</v>
      </c>
      <c r="G2324" s="75" t="n">
        <v>1601</v>
      </c>
      <c r="H2324" s="76" t="n">
        <v>407000</v>
      </c>
      <c r="I2324" s="75" t="inlineStr">
        <is>
          <t>12월 소모품 구입 - Q오피스</t>
        </is>
      </c>
      <c r="J2324" s="75" t="inlineStr">
        <is>
          <t>V10003</t>
        </is>
      </c>
      <c r="K2324" s="75" t="inlineStr">
        <is>
          <t>Q오피스</t>
        </is>
      </c>
      <c r="M2324" s="9">
        <f>IF($A2324="","",VALUE($A2324&amp;"")*12+VALUE($B2324&amp;""))</f>
        <v/>
      </c>
      <c r="N2324" s="39">
        <f>IF($A2324="","",IFERROR(INDEX(부서매핑!$C$5:$C$504,MATCH($G2324&amp;"",부서매핑!$A$5:$A$504,0)),"미매핑"))</f>
        <v/>
      </c>
      <c r="O2324" s="9">
        <f>IF($A2324="","",N2324&amp;"|"&amp;$F2324)</f>
        <v/>
      </c>
      <c r="P2324" s="77">
        <f>IF($A2324="",0,$H2324*설정!$C$23)</f>
        <v/>
      </c>
      <c r="Q2324" s="39">
        <f>IF($A2324="","",IF(O2324&lt;&gt;원인분석!$C$9,"",IF(AND(M2324&gt;=원인분석!$C$10,M2324&lt;=원인분석!$C$11),"당기",IF(AND(M2324&gt;=원인분석!$C$12,M2324&lt;=원인분석!$C$13),"비교",""))))</f>
        <v/>
      </c>
      <c r="R2324" s="9">
        <f>IF(Q2324="","",$K2324&amp;"")</f>
        <v/>
      </c>
      <c r="S2324" s="9">
        <f>IF(Q2324="","",IF(MATCH(R2324,$R$5:$R$100000,0)=ROW()-4,ROW(),""))</f>
        <v/>
      </c>
      <c r="T2324" s="9">
        <f>IF(Q2324="당기",ABS(P2324)+ROW()/1000000000,"")</f>
        <v/>
      </c>
      <c r="U2324" s="9">
        <f>IF(Q2324="비교",ABS(P2324)+ROW()/1000000000,"")</f>
        <v/>
      </c>
      <c r="V2324" s="39">
        <f>IF($A2324="","",IF(COUNTIF(변동분석!$E$7:$E$506,O2324)&gt;0,"Y","N"))</f>
        <v/>
      </c>
      <c r="W2324" s="39">
        <f>IF($A2324="","",IFERROR(INDEX(계정매핑!$D$5:$D$504,MATCH($F2324&amp;"",계정매핑!$A$5:$A$504,0)),"미매핑"))</f>
        <v/>
      </c>
      <c r="X2324" s="9">
        <f>IF($A2324="","",$F2324&amp;"")</f>
        <v/>
      </c>
    </row>
    <row r="2325">
      <c r="A2325" s="75" t="n">
        <v>2025</v>
      </c>
      <c r="B2325" s="75" t="n">
        <v>12</v>
      </c>
      <c r="C2325" s="75" t="inlineStr">
        <is>
          <t>5100002321</t>
        </is>
      </c>
      <c r="D2325" s="78" t="n">
        <v>46016</v>
      </c>
      <c r="E2325" s="75" t="inlineStr">
        <is>
          <t>KR</t>
        </is>
      </c>
      <c r="F2325" s="75" t="n">
        <v>62301000</v>
      </c>
      <c r="G2325" s="75" t="n">
        <v>1701</v>
      </c>
      <c r="H2325" s="76" t="n">
        <v>257000</v>
      </c>
      <c r="I2325" s="75" t="inlineStr">
        <is>
          <t>12월 소모품 구입 - R문구</t>
        </is>
      </c>
      <c r="J2325" s="75" t="inlineStr">
        <is>
          <t>V10018</t>
        </is>
      </c>
      <c r="K2325" s="75" t="inlineStr">
        <is>
          <t>R문구</t>
        </is>
      </c>
      <c r="M2325" s="9">
        <f>IF($A2325="","",VALUE($A2325&amp;"")*12+VALUE($B2325&amp;""))</f>
        <v/>
      </c>
      <c r="N2325" s="39">
        <f>IF($A2325="","",IFERROR(INDEX(부서매핑!$C$5:$C$504,MATCH($G2325&amp;"",부서매핑!$A$5:$A$504,0)),"미매핑"))</f>
        <v/>
      </c>
      <c r="O2325" s="9">
        <f>IF($A2325="","",N2325&amp;"|"&amp;$F2325)</f>
        <v/>
      </c>
      <c r="P2325" s="77">
        <f>IF($A2325="",0,$H2325*설정!$C$23)</f>
        <v/>
      </c>
      <c r="Q2325" s="39">
        <f>IF($A2325="","",IF(O2325&lt;&gt;원인분석!$C$9,"",IF(AND(M2325&gt;=원인분석!$C$10,M2325&lt;=원인분석!$C$11),"당기",IF(AND(M2325&gt;=원인분석!$C$12,M2325&lt;=원인분석!$C$13),"비교",""))))</f>
        <v/>
      </c>
      <c r="R2325" s="9">
        <f>IF(Q2325="","",$K2325&amp;"")</f>
        <v/>
      </c>
      <c r="S2325" s="9">
        <f>IF(Q2325="","",IF(MATCH(R2325,$R$5:$R$100000,0)=ROW()-4,ROW(),""))</f>
        <v/>
      </c>
      <c r="T2325" s="9">
        <f>IF(Q2325="당기",ABS(P2325)+ROW()/1000000000,"")</f>
        <v/>
      </c>
      <c r="U2325" s="9">
        <f>IF(Q2325="비교",ABS(P2325)+ROW()/1000000000,"")</f>
        <v/>
      </c>
      <c r="V2325" s="39">
        <f>IF($A2325="","",IF(COUNTIF(변동분석!$E$7:$E$506,O2325)&gt;0,"Y","N"))</f>
        <v/>
      </c>
      <c r="W2325" s="39">
        <f>IF($A2325="","",IFERROR(INDEX(계정매핑!$D$5:$D$504,MATCH($F2325&amp;"",계정매핑!$A$5:$A$504,0)),"미매핑"))</f>
        <v/>
      </c>
      <c r="X2325" s="9">
        <f>IF($A2325="","",$F2325&amp;"")</f>
        <v/>
      </c>
    </row>
    <row r="2326">
      <c r="A2326" s="75" t="n">
        <v>2025</v>
      </c>
      <c r="B2326" s="75" t="n">
        <v>12</v>
      </c>
      <c r="C2326" s="75" t="inlineStr">
        <is>
          <t>5100002322</t>
        </is>
      </c>
      <c r="D2326" s="78" t="n">
        <v>46016</v>
      </c>
      <c r="E2326" s="75" t="inlineStr">
        <is>
          <t>KR</t>
        </is>
      </c>
      <c r="F2326" s="75" t="n">
        <v>62401000</v>
      </c>
      <c r="G2326" s="75" t="n">
        <v>1502</v>
      </c>
      <c r="H2326" s="76" t="n">
        <v>2167000</v>
      </c>
      <c r="I2326" s="75" t="inlineStr">
        <is>
          <t>12월 인쇄물 제작 - S출판</t>
        </is>
      </c>
      <c r="J2326" s="75" t="inlineStr">
        <is>
          <t>V10012</t>
        </is>
      </c>
      <c r="K2326" s="75" t="inlineStr">
        <is>
          <t>S출판</t>
        </is>
      </c>
      <c r="M2326" s="9">
        <f>IF($A2326="","",VALUE($A2326&amp;"")*12+VALUE($B2326&amp;""))</f>
        <v/>
      </c>
      <c r="N2326" s="39">
        <f>IF($A2326="","",IFERROR(INDEX(부서매핑!$C$5:$C$504,MATCH($G2326&amp;"",부서매핑!$A$5:$A$504,0)),"미매핑"))</f>
        <v/>
      </c>
      <c r="O2326" s="9">
        <f>IF($A2326="","",N2326&amp;"|"&amp;$F2326)</f>
        <v/>
      </c>
      <c r="P2326" s="77">
        <f>IF($A2326="",0,$H2326*설정!$C$23)</f>
        <v/>
      </c>
      <c r="Q2326" s="39">
        <f>IF($A2326="","",IF(O2326&lt;&gt;원인분석!$C$9,"",IF(AND(M2326&gt;=원인분석!$C$10,M2326&lt;=원인분석!$C$11),"당기",IF(AND(M2326&gt;=원인분석!$C$12,M2326&lt;=원인분석!$C$13),"비교",""))))</f>
        <v/>
      </c>
      <c r="R2326" s="9">
        <f>IF(Q2326="","",$K2326&amp;"")</f>
        <v/>
      </c>
      <c r="S2326" s="9">
        <f>IF(Q2326="","",IF(MATCH(R2326,$R$5:$R$100000,0)=ROW()-4,ROW(),""))</f>
        <v/>
      </c>
      <c r="T2326" s="9">
        <f>IF(Q2326="당기",ABS(P2326)+ROW()/1000000000,"")</f>
        <v/>
      </c>
      <c r="U2326" s="9">
        <f>IF(Q2326="비교",ABS(P2326)+ROW()/1000000000,"")</f>
        <v/>
      </c>
      <c r="V2326" s="39">
        <f>IF($A2326="","",IF(COUNTIF(변동분석!$E$7:$E$506,O2326)&gt;0,"Y","N"))</f>
        <v/>
      </c>
      <c r="W2326" s="39">
        <f>IF($A2326="","",IFERROR(INDEX(계정매핑!$D$5:$D$504,MATCH($F2326&amp;"",계정매핑!$A$5:$A$504,0)),"미매핑"))</f>
        <v/>
      </c>
      <c r="X2326" s="9">
        <f>IF($A2326="","",$F2326&amp;"")</f>
        <v/>
      </c>
    </row>
    <row r="2327">
      <c r="A2327" s="75" t="n">
        <v>2025</v>
      </c>
      <c r="B2327" s="75" t="n">
        <v>12</v>
      </c>
      <c r="C2327" s="75" t="inlineStr">
        <is>
          <t>5100002323</t>
        </is>
      </c>
      <c r="D2327" s="78" t="n">
        <v>46016</v>
      </c>
      <c r="E2327" s="75" t="inlineStr">
        <is>
          <t>KR</t>
        </is>
      </c>
      <c r="F2327" s="75" t="n">
        <v>62902000</v>
      </c>
      <c r="G2327" s="75" t="n">
        <v>1401</v>
      </c>
      <c r="H2327" s="76" t="n">
        <v>2545000</v>
      </c>
      <c r="I2327" s="75" t="inlineStr">
        <is>
          <t>12월 업무 위탁 수수료 - J콜센터</t>
        </is>
      </c>
      <c r="J2327" s="75" t="inlineStr">
        <is>
          <t>V10013</t>
        </is>
      </c>
      <c r="K2327" s="75" t="inlineStr">
        <is>
          <t>J콜센터</t>
        </is>
      </c>
      <c r="M2327" s="9">
        <f>IF($A2327="","",VALUE($A2327&amp;"")*12+VALUE($B2327&amp;""))</f>
        <v/>
      </c>
      <c r="N2327" s="39">
        <f>IF($A2327="","",IFERROR(INDEX(부서매핑!$C$5:$C$504,MATCH($G2327&amp;"",부서매핑!$A$5:$A$504,0)),"미매핑"))</f>
        <v/>
      </c>
      <c r="O2327" s="9">
        <f>IF($A2327="","",N2327&amp;"|"&amp;$F2327)</f>
        <v/>
      </c>
      <c r="P2327" s="77">
        <f>IF($A2327="",0,$H2327*설정!$C$23)</f>
        <v/>
      </c>
      <c r="Q2327" s="39">
        <f>IF($A2327="","",IF(O2327&lt;&gt;원인분석!$C$9,"",IF(AND(M2327&gt;=원인분석!$C$10,M2327&lt;=원인분석!$C$11),"당기",IF(AND(M2327&gt;=원인분석!$C$12,M2327&lt;=원인분석!$C$13),"비교",""))))</f>
        <v/>
      </c>
      <c r="R2327" s="9">
        <f>IF(Q2327="","",$K2327&amp;"")</f>
        <v/>
      </c>
      <c r="S2327" s="9">
        <f>IF(Q2327="","",IF(MATCH(R2327,$R$5:$R$100000,0)=ROW()-4,ROW(),""))</f>
        <v/>
      </c>
      <c r="T2327" s="9">
        <f>IF(Q2327="당기",ABS(P2327)+ROW()/1000000000,"")</f>
        <v/>
      </c>
      <c r="U2327" s="9">
        <f>IF(Q2327="비교",ABS(P2327)+ROW()/1000000000,"")</f>
        <v/>
      </c>
      <c r="V2327" s="39">
        <f>IF($A2327="","",IF(COUNTIF(변동분석!$E$7:$E$506,O2327)&gt;0,"Y","N"))</f>
        <v/>
      </c>
      <c r="W2327" s="39">
        <f>IF($A2327="","",IFERROR(INDEX(계정매핑!$D$5:$D$504,MATCH($F2327&amp;"",계정매핑!$A$5:$A$504,0)),"미매핑"))</f>
        <v/>
      </c>
      <c r="X2327" s="9">
        <f>IF($A2327="","",$F2327&amp;"")</f>
        <v/>
      </c>
    </row>
    <row r="2328">
      <c r="A2328" s="75" t="n">
        <v>2025</v>
      </c>
      <c r="B2328" s="75" t="n">
        <v>12</v>
      </c>
      <c r="C2328" s="75" t="inlineStr">
        <is>
          <t>5100002324</t>
        </is>
      </c>
      <c r="D2328" s="78" t="n">
        <v>46016</v>
      </c>
      <c r="E2328" s="75" t="inlineStr">
        <is>
          <t>KR</t>
        </is>
      </c>
      <c r="F2328" s="75" t="n">
        <v>63002000</v>
      </c>
      <c r="G2328" s="75" t="n">
        <v>1701</v>
      </c>
      <c r="H2328" s="76" t="n">
        <v>72000000</v>
      </c>
      <c r="I2328" s="75" t="inlineStr">
        <is>
          <t>12월 클라우드 사용료 - C클라우드</t>
        </is>
      </c>
      <c r="J2328" s="75" t="inlineStr">
        <is>
          <t>V10028</t>
        </is>
      </c>
      <c r="K2328" s="75" t="inlineStr">
        <is>
          <t>C클라우드</t>
        </is>
      </c>
      <c r="M2328" s="9">
        <f>IF($A2328="","",VALUE($A2328&amp;"")*12+VALUE($B2328&amp;""))</f>
        <v/>
      </c>
      <c r="N2328" s="39">
        <f>IF($A2328="","",IFERROR(INDEX(부서매핑!$C$5:$C$504,MATCH($G2328&amp;"",부서매핑!$A$5:$A$504,0)),"미매핑"))</f>
        <v/>
      </c>
      <c r="O2328" s="9">
        <f>IF($A2328="","",N2328&amp;"|"&amp;$F2328)</f>
        <v/>
      </c>
      <c r="P2328" s="77">
        <f>IF($A2328="",0,$H2328*설정!$C$23)</f>
        <v/>
      </c>
      <c r="Q2328" s="39">
        <f>IF($A2328="","",IF(O2328&lt;&gt;원인분석!$C$9,"",IF(AND(M2328&gt;=원인분석!$C$10,M2328&lt;=원인분석!$C$11),"당기",IF(AND(M2328&gt;=원인분석!$C$12,M2328&lt;=원인분석!$C$13),"비교",""))))</f>
        <v/>
      </c>
      <c r="R2328" s="9">
        <f>IF(Q2328="","",$K2328&amp;"")</f>
        <v/>
      </c>
      <c r="S2328" s="9">
        <f>IF(Q2328="","",IF(MATCH(R2328,$R$5:$R$100000,0)=ROW()-4,ROW(),""))</f>
        <v/>
      </c>
      <c r="T2328" s="9">
        <f>IF(Q2328="당기",ABS(P2328)+ROW()/1000000000,"")</f>
        <v/>
      </c>
      <c r="U2328" s="9">
        <f>IF(Q2328="비교",ABS(P2328)+ROW()/1000000000,"")</f>
        <v/>
      </c>
      <c r="V2328" s="39">
        <f>IF($A2328="","",IF(COUNTIF(변동분석!$E$7:$E$506,O2328)&gt;0,"Y","N"))</f>
        <v/>
      </c>
      <c r="W2328" s="39">
        <f>IF($A2328="","",IFERROR(INDEX(계정매핑!$D$5:$D$504,MATCH($F2328&amp;"",계정매핑!$A$5:$A$504,0)),"미매핑"))</f>
        <v/>
      </c>
      <c r="X2328" s="9">
        <f>IF($A2328="","",$F2328&amp;"")</f>
        <v/>
      </c>
    </row>
    <row r="2329">
      <c r="A2329" s="75" t="n">
        <v>2025</v>
      </c>
      <c r="B2329" s="75" t="n">
        <v>12</v>
      </c>
      <c r="C2329" s="75" t="inlineStr">
        <is>
          <t>5100002325</t>
        </is>
      </c>
      <c r="D2329" s="78" t="n">
        <v>46017</v>
      </c>
      <c r="E2329" s="75" t="inlineStr">
        <is>
          <t>KR</t>
        </is>
      </c>
      <c r="F2329" s="75" t="n">
        <v>62102000</v>
      </c>
      <c r="G2329" s="75" t="n">
        <v>1101</v>
      </c>
      <c r="H2329" s="76" t="n">
        <v>95000</v>
      </c>
      <c r="I2329" s="75" t="inlineStr">
        <is>
          <t>12월 해외출장 - N호텔</t>
        </is>
      </c>
      <c r="J2329" s="75" t="inlineStr">
        <is>
          <t>V10007</t>
        </is>
      </c>
      <c r="K2329" s="75" t="inlineStr">
        <is>
          <t>N호텔</t>
        </is>
      </c>
      <c r="M2329" s="9">
        <f>IF($A2329="","",VALUE($A2329&amp;"")*12+VALUE($B2329&amp;""))</f>
        <v/>
      </c>
      <c r="N2329" s="39">
        <f>IF($A2329="","",IFERROR(INDEX(부서매핑!$C$5:$C$504,MATCH($G2329&amp;"",부서매핑!$A$5:$A$504,0)),"미매핑"))</f>
        <v/>
      </c>
      <c r="O2329" s="9">
        <f>IF($A2329="","",N2329&amp;"|"&amp;$F2329)</f>
        <v/>
      </c>
      <c r="P2329" s="77">
        <f>IF($A2329="",0,$H2329*설정!$C$23)</f>
        <v/>
      </c>
      <c r="Q2329" s="39">
        <f>IF($A2329="","",IF(O2329&lt;&gt;원인분석!$C$9,"",IF(AND(M2329&gt;=원인분석!$C$10,M2329&lt;=원인분석!$C$11),"당기",IF(AND(M2329&gt;=원인분석!$C$12,M2329&lt;=원인분석!$C$13),"비교",""))))</f>
        <v/>
      </c>
      <c r="R2329" s="9">
        <f>IF(Q2329="","",$K2329&amp;"")</f>
        <v/>
      </c>
      <c r="S2329" s="9">
        <f>IF(Q2329="","",IF(MATCH(R2329,$R$5:$R$100000,0)=ROW()-4,ROW(),""))</f>
        <v/>
      </c>
      <c r="T2329" s="9">
        <f>IF(Q2329="당기",ABS(P2329)+ROW()/1000000000,"")</f>
        <v/>
      </c>
      <c r="U2329" s="9">
        <f>IF(Q2329="비교",ABS(P2329)+ROW()/1000000000,"")</f>
        <v/>
      </c>
      <c r="V2329" s="39">
        <f>IF($A2329="","",IF(COUNTIF(변동분석!$E$7:$E$506,O2329)&gt;0,"Y","N"))</f>
        <v/>
      </c>
      <c r="W2329" s="39">
        <f>IF($A2329="","",IFERROR(INDEX(계정매핑!$D$5:$D$504,MATCH($F2329&amp;"",계정매핑!$A$5:$A$504,0)),"미매핑"))</f>
        <v/>
      </c>
      <c r="X2329" s="9">
        <f>IF($A2329="","",$F2329&amp;"")</f>
        <v/>
      </c>
    </row>
    <row r="2330">
      <c r="A2330" s="75" t="n">
        <v>2025</v>
      </c>
      <c r="B2330" s="75" t="n">
        <v>12</v>
      </c>
      <c r="C2330" s="75" t="inlineStr">
        <is>
          <t>5100002326</t>
        </is>
      </c>
      <c r="D2330" s="78" t="n">
        <v>46017</v>
      </c>
      <c r="E2330" s="75" t="inlineStr">
        <is>
          <t>KR</t>
        </is>
      </c>
      <c r="F2330" s="75" t="n">
        <v>62102000</v>
      </c>
      <c r="G2330" s="75" t="n">
        <v>1401</v>
      </c>
      <c r="H2330" s="76" t="n">
        <v>81000</v>
      </c>
      <c r="I2330" s="75" t="inlineStr">
        <is>
          <t>12월 해외출장 - N호텔</t>
        </is>
      </c>
      <c r="J2330" s="75" t="inlineStr">
        <is>
          <t>V10007</t>
        </is>
      </c>
      <c r="K2330" s="75" t="inlineStr">
        <is>
          <t>N호텔</t>
        </is>
      </c>
      <c r="M2330" s="9">
        <f>IF($A2330="","",VALUE($A2330&amp;"")*12+VALUE($B2330&amp;""))</f>
        <v/>
      </c>
      <c r="N2330" s="39">
        <f>IF($A2330="","",IFERROR(INDEX(부서매핑!$C$5:$C$504,MATCH($G2330&amp;"",부서매핑!$A$5:$A$504,0)),"미매핑"))</f>
        <v/>
      </c>
      <c r="O2330" s="9">
        <f>IF($A2330="","",N2330&amp;"|"&amp;$F2330)</f>
        <v/>
      </c>
      <c r="P2330" s="77">
        <f>IF($A2330="",0,$H2330*설정!$C$23)</f>
        <v/>
      </c>
      <c r="Q2330" s="39">
        <f>IF($A2330="","",IF(O2330&lt;&gt;원인분석!$C$9,"",IF(AND(M2330&gt;=원인분석!$C$10,M2330&lt;=원인분석!$C$11),"당기",IF(AND(M2330&gt;=원인분석!$C$12,M2330&lt;=원인분석!$C$13),"비교",""))))</f>
        <v/>
      </c>
      <c r="R2330" s="9">
        <f>IF(Q2330="","",$K2330&amp;"")</f>
        <v/>
      </c>
      <c r="S2330" s="9">
        <f>IF(Q2330="","",IF(MATCH(R2330,$R$5:$R$100000,0)=ROW()-4,ROW(),""))</f>
        <v/>
      </c>
      <c r="T2330" s="9">
        <f>IF(Q2330="당기",ABS(P2330)+ROW()/1000000000,"")</f>
        <v/>
      </c>
      <c r="U2330" s="9">
        <f>IF(Q2330="비교",ABS(P2330)+ROW()/1000000000,"")</f>
        <v/>
      </c>
      <c r="V2330" s="39">
        <f>IF($A2330="","",IF(COUNTIF(변동분석!$E$7:$E$506,O2330)&gt;0,"Y","N"))</f>
        <v/>
      </c>
      <c r="W2330" s="39">
        <f>IF($A2330="","",IFERROR(INDEX(계정매핑!$D$5:$D$504,MATCH($F2330&amp;"",계정매핑!$A$5:$A$504,0)),"미매핑"))</f>
        <v/>
      </c>
      <c r="X2330" s="9">
        <f>IF($A2330="","",$F2330&amp;"")</f>
        <v/>
      </c>
    </row>
    <row r="2331">
      <c r="A2331" s="75" t="n">
        <v>2025</v>
      </c>
      <c r="B2331" s="75" t="n">
        <v>12</v>
      </c>
      <c r="C2331" s="75" t="inlineStr">
        <is>
          <t>5100002327</t>
        </is>
      </c>
      <c r="D2331" s="78" t="n">
        <v>46017</v>
      </c>
      <c r="E2331" s="75" t="inlineStr">
        <is>
          <t>KR</t>
        </is>
      </c>
      <c r="F2331" s="75" t="n">
        <v>62201000</v>
      </c>
      <c r="G2331" s="75" t="n">
        <v>1101</v>
      </c>
      <c r="H2331" s="76" t="n">
        <v>215000</v>
      </c>
      <c r="I2331" s="75" t="inlineStr">
        <is>
          <t>12월 통신요금 - O텔레콤</t>
        </is>
      </c>
      <c r="J2331" s="75" t="inlineStr">
        <is>
          <t>V10002</t>
        </is>
      </c>
      <c r="K2331" s="75" t="inlineStr">
        <is>
          <t>O텔레콤</t>
        </is>
      </c>
      <c r="M2331" s="9">
        <f>IF($A2331="","",VALUE($A2331&amp;"")*12+VALUE($B2331&amp;""))</f>
        <v/>
      </c>
      <c r="N2331" s="39">
        <f>IF($A2331="","",IFERROR(INDEX(부서매핑!$C$5:$C$504,MATCH($G2331&amp;"",부서매핑!$A$5:$A$504,0)),"미매핑"))</f>
        <v/>
      </c>
      <c r="O2331" s="9">
        <f>IF($A2331="","",N2331&amp;"|"&amp;$F2331)</f>
        <v/>
      </c>
      <c r="P2331" s="77">
        <f>IF($A2331="",0,$H2331*설정!$C$23)</f>
        <v/>
      </c>
      <c r="Q2331" s="39">
        <f>IF($A2331="","",IF(O2331&lt;&gt;원인분석!$C$9,"",IF(AND(M2331&gt;=원인분석!$C$10,M2331&lt;=원인분석!$C$11),"당기",IF(AND(M2331&gt;=원인분석!$C$12,M2331&lt;=원인분석!$C$13),"비교",""))))</f>
        <v/>
      </c>
      <c r="R2331" s="9">
        <f>IF(Q2331="","",$K2331&amp;"")</f>
        <v/>
      </c>
      <c r="S2331" s="9">
        <f>IF(Q2331="","",IF(MATCH(R2331,$R$5:$R$100000,0)=ROW()-4,ROW(),""))</f>
        <v/>
      </c>
      <c r="T2331" s="9">
        <f>IF(Q2331="당기",ABS(P2331)+ROW()/1000000000,"")</f>
        <v/>
      </c>
      <c r="U2331" s="9">
        <f>IF(Q2331="비교",ABS(P2331)+ROW()/1000000000,"")</f>
        <v/>
      </c>
      <c r="V2331" s="39">
        <f>IF($A2331="","",IF(COUNTIF(변동분석!$E$7:$E$506,O2331)&gt;0,"Y","N"))</f>
        <v/>
      </c>
      <c r="W2331" s="39">
        <f>IF($A2331="","",IFERROR(INDEX(계정매핑!$D$5:$D$504,MATCH($F2331&amp;"",계정매핑!$A$5:$A$504,0)),"미매핑"))</f>
        <v/>
      </c>
      <c r="X2331" s="9">
        <f>IF($A2331="","",$F2331&amp;"")</f>
        <v/>
      </c>
    </row>
    <row r="2332">
      <c r="A2332" s="75" t="n">
        <v>2025</v>
      </c>
      <c r="B2332" s="75" t="n">
        <v>12</v>
      </c>
      <c r="C2332" s="75" t="inlineStr">
        <is>
          <t>5100002328</t>
        </is>
      </c>
      <c r="D2332" s="78" t="n">
        <v>46017</v>
      </c>
      <c r="E2332" s="75" t="inlineStr">
        <is>
          <t>KR</t>
        </is>
      </c>
      <c r="F2332" s="75" t="n">
        <v>62301000</v>
      </c>
      <c r="G2332" s="75" t="n">
        <v>1801</v>
      </c>
      <c r="H2332" s="76" t="n">
        <v>417000</v>
      </c>
      <c r="I2332" s="75" t="inlineStr">
        <is>
          <t>12월 소모품 구입 - Q오피스</t>
        </is>
      </c>
      <c r="J2332" s="75" t="inlineStr">
        <is>
          <t>V10003</t>
        </is>
      </c>
      <c r="K2332" s="75" t="inlineStr">
        <is>
          <t>Q오피스</t>
        </is>
      </c>
      <c r="M2332" s="9">
        <f>IF($A2332="","",VALUE($A2332&amp;"")*12+VALUE($B2332&amp;""))</f>
        <v/>
      </c>
      <c r="N2332" s="39">
        <f>IF($A2332="","",IFERROR(INDEX(부서매핑!$C$5:$C$504,MATCH($G2332&amp;"",부서매핑!$A$5:$A$504,0)),"미매핑"))</f>
        <v/>
      </c>
      <c r="O2332" s="9">
        <f>IF($A2332="","",N2332&amp;"|"&amp;$F2332)</f>
        <v/>
      </c>
      <c r="P2332" s="77">
        <f>IF($A2332="",0,$H2332*설정!$C$23)</f>
        <v/>
      </c>
      <c r="Q2332" s="39">
        <f>IF($A2332="","",IF(O2332&lt;&gt;원인분석!$C$9,"",IF(AND(M2332&gt;=원인분석!$C$10,M2332&lt;=원인분석!$C$11),"당기",IF(AND(M2332&gt;=원인분석!$C$12,M2332&lt;=원인분석!$C$13),"비교",""))))</f>
        <v/>
      </c>
      <c r="R2332" s="9">
        <f>IF(Q2332="","",$K2332&amp;"")</f>
        <v/>
      </c>
      <c r="S2332" s="9">
        <f>IF(Q2332="","",IF(MATCH(R2332,$R$5:$R$100000,0)=ROW()-4,ROW(),""))</f>
        <v/>
      </c>
      <c r="T2332" s="9">
        <f>IF(Q2332="당기",ABS(P2332)+ROW()/1000000000,"")</f>
        <v/>
      </c>
      <c r="U2332" s="9">
        <f>IF(Q2332="비교",ABS(P2332)+ROW()/1000000000,"")</f>
        <v/>
      </c>
      <c r="V2332" s="39">
        <f>IF($A2332="","",IF(COUNTIF(변동분석!$E$7:$E$506,O2332)&gt;0,"Y","N"))</f>
        <v/>
      </c>
      <c r="W2332" s="39">
        <f>IF($A2332="","",IFERROR(INDEX(계정매핑!$D$5:$D$504,MATCH($F2332&amp;"",계정매핑!$A$5:$A$504,0)),"미매핑"))</f>
        <v/>
      </c>
      <c r="X2332" s="9">
        <f>IF($A2332="","",$F2332&amp;"")</f>
        <v/>
      </c>
    </row>
    <row r="2333">
      <c r="A2333" s="75" t="n">
        <v>2025</v>
      </c>
      <c r="B2333" s="75" t="n">
        <v>12</v>
      </c>
      <c r="C2333" s="75" t="inlineStr">
        <is>
          <t>5100002329</t>
        </is>
      </c>
      <c r="D2333" s="78" t="n">
        <v>46017</v>
      </c>
      <c r="E2333" s="75" t="inlineStr">
        <is>
          <t>KR</t>
        </is>
      </c>
      <c r="F2333" s="75" t="n">
        <v>62501000</v>
      </c>
      <c r="G2333" s="75" t="n">
        <v>1801</v>
      </c>
      <c r="H2333" s="76" t="n">
        <v>265000</v>
      </c>
      <c r="I2333" s="75" t="inlineStr">
        <is>
          <t>12월 회의 다과 - (법인카드)</t>
        </is>
      </c>
      <c r="J2333" s="75" t="inlineStr">
        <is>
          <t>V10008</t>
        </is>
      </c>
      <c r="K2333" s="75" t="inlineStr">
        <is>
          <t>(법인카드)</t>
        </is>
      </c>
      <c r="M2333" s="9">
        <f>IF($A2333="","",VALUE($A2333&amp;"")*12+VALUE($B2333&amp;""))</f>
        <v/>
      </c>
      <c r="N2333" s="39">
        <f>IF($A2333="","",IFERROR(INDEX(부서매핑!$C$5:$C$504,MATCH($G2333&amp;"",부서매핑!$A$5:$A$504,0)),"미매핑"))</f>
        <v/>
      </c>
      <c r="O2333" s="9">
        <f>IF($A2333="","",N2333&amp;"|"&amp;$F2333)</f>
        <v/>
      </c>
      <c r="P2333" s="77">
        <f>IF($A2333="",0,$H2333*설정!$C$23)</f>
        <v/>
      </c>
      <c r="Q2333" s="39">
        <f>IF($A2333="","",IF(O2333&lt;&gt;원인분석!$C$9,"",IF(AND(M2333&gt;=원인분석!$C$10,M2333&lt;=원인분석!$C$11),"당기",IF(AND(M2333&gt;=원인분석!$C$12,M2333&lt;=원인분석!$C$13),"비교",""))))</f>
        <v/>
      </c>
      <c r="R2333" s="9">
        <f>IF(Q2333="","",$K2333&amp;"")</f>
        <v/>
      </c>
      <c r="S2333" s="9">
        <f>IF(Q2333="","",IF(MATCH(R2333,$R$5:$R$100000,0)=ROW()-4,ROW(),""))</f>
        <v/>
      </c>
      <c r="T2333" s="9">
        <f>IF(Q2333="당기",ABS(P2333)+ROW()/1000000000,"")</f>
        <v/>
      </c>
      <c r="U2333" s="9">
        <f>IF(Q2333="비교",ABS(P2333)+ROW()/1000000000,"")</f>
        <v/>
      </c>
      <c r="V2333" s="39">
        <f>IF($A2333="","",IF(COUNTIF(변동분석!$E$7:$E$506,O2333)&gt;0,"Y","N"))</f>
        <v/>
      </c>
      <c r="W2333" s="39">
        <f>IF($A2333="","",IFERROR(INDEX(계정매핑!$D$5:$D$504,MATCH($F2333&amp;"",계정매핑!$A$5:$A$504,0)),"미매핑"))</f>
        <v/>
      </c>
      <c r="X2333" s="9">
        <f>IF($A2333="","",$F2333&amp;"")</f>
        <v/>
      </c>
    </row>
    <row r="2334">
      <c r="A2334" s="75" t="n">
        <v>2025</v>
      </c>
      <c r="B2334" s="75" t="n">
        <v>12</v>
      </c>
      <c r="C2334" s="75" t="inlineStr">
        <is>
          <t>5100002330</t>
        </is>
      </c>
      <c r="D2334" s="78" t="n">
        <v>46017</v>
      </c>
      <c r="E2334" s="75" t="inlineStr">
        <is>
          <t>KR</t>
        </is>
      </c>
      <c r="F2334" s="75" t="n">
        <v>62901000</v>
      </c>
      <c r="G2334" s="75" t="n">
        <v>1201</v>
      </c>
      <c r="H2334" s="76" t="n">
        <v>6305000</v>
      </c>
      <c r="I2334" s="75" t="inlineStr">
        <is>
          <t>12월 자문 수수료 - K회계법인</t>
        </is>
      </c>
      <c r="J2334" s="75" t="inlineStr">
        <is>
          <t>V10010</t>
        </is>
      </c>
      <c r="K2334" s="75" t="inlineStr">
        <is>
          <t>K회계법인</t>
        </is>
      </c>
      <c r="M2334" s="9">
        <f>IF($A2334="","",VALUE($A2334&amp;"")*12+VALUE($B2334&amp;""))</f>
        <v/>
      </c>
      <c r="N2334" s="39">
        <f>IF($A2334="","",IFERROR(INDEX(부서매핑!$C$5:$C$504,MATCH($G2334&amp;"",부서매핑!$A$5:$A$504,0)),"미매핑"))</f>
        <v/>
      </c>
      <c r="O2334" s="9">
        <f>IF($A2334="","",N2334&amp;"|"&amp;$F2334)</f>
        <v/>
      </c>
      <c r="P2334" s="77">
        <f>IF($A2334="",0,$H2334*설정!$C$23)</f>
        <v/>
      </c>
      <c r="Q2334" s="39">
        <f>IF($A2334="","",IF(O2334&lt;&gt;원인분석!$C$9,"",IF(AND(M2334&gt;=원인분석!$C$10,M2334&lt;=원인분석!$C$11),"당기",IF(AND(M2334&gt;=원인분석!$C$12,M2334&lt;=원인분석!$C$13),"비교",""))))</f>
        <v/>
      </c>
      <c r="R2334" s="9">
        <f>IF(Q2334="","",$K2334&amp;"")</f>
        <v/>
      </c>
      <c r="S2334" s="9">
        <f>IF(Q2334="","",IF(MATCH(R2334,$R$5:$R$100000,0)=ROW()-4,ROW(),""))</f>
        <v/>
      </c>
      <c r="T2334" s="9">
        <f>IF(Q2334="당기",ABS(P2334)+ROW()/1000000000,"")</f>
        <v/>
      </c>
      <c r="U2334" s="9">
        <f>IF(Q2334="비교",ABS(P2334)+ROW()/1000000000,"")</f>
        <v/>
      </c>
      <c r="V2334" s="39">
        <f>IF($A2334="","",IF(COUNTIF(변동분석!$E$7:$E$506,O2334)&gt;0,"Y","N"))</f>
        <v/>
      </c>
      <c r="W2334" s="39">
        <f>IF($A2334="","",IFERROR(INDEX(계정매핑!$D$5:$D$504,MATCH($F2334&amp;"",계정매핑!$A$5:$A$504,0)),"미매핑"))</f>
        <v/>
      </c>
      <c r="X2334" s="9">
        <f>IF($A2334="","",$F2334&amp;"")</f>
        <v/>
      </c>
    </row>
    <row r="2335">
      <c r="A2335" s="75" t="n">
        <v>2025</v>
      </c>
      <c r="B2335" s="75" t="n">
        <v>12</v>
      </c>
      <c r="C2335" s="75" t="inlineStr">
        <is>
          <t>5100002331</t>
        </is>
      </c>
      <c r="D2335" s="78" t="n">
        <v>46017</v>
      </c>
      <c r="E2335" s="75" t="inlineStr">
        <is>
          <t>KR</t>
        </is>
      </c>
      <c r="F2335" s="75" t="n">
        <v>63101000</v>
      </c>
      <c r="G2335" s="75" t="n">
        <v>1601</v>
      </c>
      <c r="H2335" s="76" t="n">
        <v>5008000</v>
      </c>
      <c r="I2335" s="75" t="inlineStr">
        <is>
          <t>12월 사무실 임차료 - AA빌딩</t>
        </is>
      </c>
      <c r="J2335" s="75" t="inlineStr">
        <is>
          <t>V10006</t>
        </is>
      </c>
      <c r="K2335" s="75" t="inlineStr">
        <is>
          <t>AA빌딩</t>
        </is>
      </c>
      <c r="M2335" s="9">
        <f>IF($A2335="","",VALUE($A2335&amp;"")*12+VALUE($B2335&amp;""))</f>
        <v/>
      </c>
      <c r="N2335" s="39">
        <f>IF($A2335="","",IFERROR(INDEX(부서매핑!$C$5:$C$504,MATCH($G2335&amp;"",부서매핑!$A$5:$A$504,0)),"미매핑"))</f>
        <v/>
      </c>
      <c r="O2335" s="9">
        <f>IF($A2335="","",N2335&amp;"|"&amp;$F2335)</f>
        <v/>
      </c>
      <c r="P2335" s="77">
        <f>IF($A2335="",0,$H2335*설정!$C$23)</f>
        <v/>
      </c>
      <c r="Q2335" s="39">
        <f>IF($A2335="","",IF(O2335&lt;&gt;원인분석!$C$9,"",IF(AND(M2335&gt;=원인분석!$C$10,M2335&lt;=원인분석!$C$11),"당기",IF(AND(M2335&gt;=원인분석!$C$12,M2335&lt;=원인분석!$C$13),"비교",""))))</f>
        <v/>
      </c>
      <c r="R2335" s="9">
        <f>IF(Q2335="","",$K2335&amp;"")</f>
        <v/>
      </c>
      <c r="S2335" s="9">
        <f>IF(Q2335="","",IF(MATCH(R2335,$R$5:$R$100000,0)=ROW()-4,ROW(),""))</f>
        <v/>
      </c>
      <c r="T2335" s="9">
        <f>IF(Q2335="당기",ABS(P2335)+ROW()/1000000000,"")</f>
        <v/>
      </c>
      <c r="U2335" s="9">
        <f>IF(Q2335="비교",ABS(P2335)+ROW()/1000000000,"")</f>
        <v/>
      </c>
      <c r="V2335" s="39">
        <f>IF($A2335="","",IF(COUNTIF(변동분석!$E$7:$E$506,O2335)&gt;0,"Y","N"))</f>
        <v/>
      </c>
      <c r="W2335" s="39">
        <f>IF($A2335="","",IFERROR(INDEX(계정매핑!$D$5:$D$504,MATCH($F2335&amp;"",계정매핑!$A$5:$A$504,0)),"미매핑"))</f>
        <v/>
      </c>
      <c r="X2335" s="9">
        <f>IF($A2335="","",$F2335&amp;"")</f>
        <v/>
      </c>
    </row>
    <row r="2336">
      <c r="A2336" s="75" t="n">
        <v>2025</v>
      </c>
      <c r="B2336" s="75" t="n">
        <v>12</v>
      </c>
      <c r="C2336" s="75" t="inlineStr">
        <is>
          <t>5100002332</t>
        </is>
      </c>
      <c r="D2336" s="78" t="n">
        <v>46018</v>
      </c>
      <c r="E2336" s="75" t="inlineStr">
        <is>
          <t>KR</t>
        </is>
      </c>
      <c r="F2336" s="75" t="n">
        <v>62102000</v>
      </c>
      <c r="G2336" s="75" t="n">
        <v>1101</v>
      </c>
      <c r="H2336" s="76" t="n">
        <v>95000</v>
      </c>
      <c r="I2336" s="75" t="inlineStr">
        <is>
          <t>12월 해외출장 - M항공</t>
        </is>
      </c>
      <c r="J2336" s="75" t="inlineStr">
        <is>
          <t>V10001</t>
        </is>
      </c>
      <c r="K2336" s="75" t="inlineStr">
        <is>
          <t>M항공</t>
        </is>
      </c>
      <c r="M2336" s="9">
        <f>IF($A2336="","",VALUE($A2336&amp;"")*12+VALUE($B2336&amp;""))</f>
        <v/>
      </c>
      <c r="N2336" s="39">
        <f>IF($A2336="","",IFERROR(INDEX(부서매핑!$C$5:$C$504,MATCH($G2336&amp;"",부서매핑!$A$5:$A$504,0)),"미매핑"))</f>
        <v/>
      </c>
      <c r="O2336" s="9">
        <f>IF($A2336="","",N2336&amp;"|"&amp;$F2336)</f>
        <v/>
      </c>
      <c r="P2336" s="77">
        <f>IF($A2336="",0,$H2336*설정!$C$23)</f>
        <v/>
      </c>
      <c r="Q2336" s="39">
        <f>IF($A2336="","",IF(O2336&lt;&gt;원인분석!$C$9,"",IF(AND(M2336&gt;=원인분석!$C$10,M2336&lt;=원인분석!$C$11),"당기",IF(AND(M2336&gt;=원인분석!$C$12,M2336&lt;=원인분석!$C$13),"비교",""))))</f>
        <v/>
      </c>
      <c r="R2336" s="9">
        <f>IF(Q2336="","",$K2336&amp;"")</f>
        <v/>
      </c>
      <c r="S2336" s="9">
        <f>IF(Q2336="","",IF(MATCH(R2336,$R$5:$R$100000,0)=ROW()-4,ROW(),""))</f>
        <v/>
      </c>
      <c r="T2336" s="9">
        <f>IF(Q2336="당기",ABS(P2336)+ROW()/1000000000,"")</f>
        <v/>
      </c>
      <c r="U2336" s="9">
        <f>IF(Q2336="비교",ABS(P2336)+ROW()/1000000000,"")</f>
        <v/>
      </c>
      <c r="V2336" s="39">
        <f>IF($A2336="","",IF(COUNTIF(변동분석!$E$7:$E$506,O2336)&gt;0,"Y","N"))</f>
        <v/>
      </c>
      <c r="W2336" s="39">
        <f>IF($A2336="","",IFERROR(INDEX(계정매핑!$D$5:$D$504,MATCH($F2336&amp;"",계정매핑!$A$5:$A$504,0)),"미매핑"))</f>
        <v/>
      </c>
      <c r="X2336" s="9">
        <f>IF($A2336="","",$F2336&amp;"")</f>
        <v/>
      </c>
    </row>
    <row r="2337">
      <c r="A2337" s="75" t="n">
        <v>2025</v>
      </c>
      <c r="B2337" s="75" t="n">
        <v>12</v>
      </c>
      <c r="C2337" s="75" t="inlineStr">
        <is>
          <t>5100002333</t>
        </is>
      </c>
      <c r="D2337" s="78" t="n">
        <v>46018</v>
      </c>
      <c r="E2337" s="75" t="inlineStr">
        <is>
          <t>KR</t>
        </is>
      </c>
      <c r="F2337" s="75" t="n">
        <v>62102000</v>
      </c>
      <c r="G2337" s="75" t="n">
        <v>1301</v>
      </c>
      <c r="H2337" s="76" t="n">
        <v>53000</v>
      </c>
      <c r="I2337" s="75" t="inlineStr">
        <is>
          <t>12월 해외출장 - N호텔</t>
        </is>
      </c>
      <c r="J2337" s="75" t="inlineStr">
        <is>
          <t>V10007</t>
        </is>
      </c>
      <c r="K2337" s="75" t="inlineStr">
        <is>
          <t>N호텔</t>
        </is>
      </c>
      <c r="M2337" s="9">
        <f>IF($A2337="","",VALUE($A2337&amp;"")*12+VALUE($B2337&amp;""))</f>
        <v/>
      </c>
      <c r="N2337" s="39">
        <f>IF($A2337="","",IFERROR(INDEX(부서매핑!$C$5:$C$504,MATCH($G2337&amp;"",부서매핑!$A$5:$A$504,0)),"미매핑"))</f>
        <v/>
      </c>
      <c r="O2337" s="9">
        <f>IF($A2337="","",N2337&amp;"|"&amp;$F2337)</f>
        <v/>
      </c>
      <c r="P2337" s="77">
        <f>IF($A2337="",0,$H2337*설정!$C$23)</f>
        <v/>
      </c>
      <c r="Q2337" s="39">
        <f>IF($A2337="","",IF(O2337&lt;&gt;원인분석!$C$9,"",IF(AND(M2337&gt;=원인분석!$C$10,M2337&lt;=원인분석!$C$11),"당기",IF(AND(M2337&gt;=원인분석!$C$12,M2337&lt;=원인분석!$C$13),"비교",""))))</f>
        <v/>
      </c>
      <c r="R2337" s="9">
        <f>IF(Q2337="","",$K2337&amp;"")</f>
        <v/>
      </c>
      <c r="S2337" s="9">
        <f>IF(Q2337="","",IF(MATCH(R2337,$R$5:$R$100000,0)=ROW()-4,ROW(),""))</f>
        <v/>
      </c>
      <c r="T2337" s="9">
        <f>IF(Q2337="당기",ABS(P2337)+ROW()/1000000000,"")</f>
        <v/>
      </c>
      <c r="U2337" s="9">
        <f>IF(Q2337="비교",ABS(P2337)+ROW()/1000000000,"")</f>
        <v/>
      </c>
      <c r="V2337" s="39">
        <f>IF($A2337="","",IF(COUNTIF(변동분석!$E$7:$E$506,O2337)&gt;0,"Y","N"))</f>
        <v/>
      </c>
      <c r="W2337" s="39">
        <f>IF($A2337="","",IFERROR(INDEX(계정매핑!$D$5:$D$504,MATCH($F2337&amp;"",계정매핑!$A$5:$A$504,0)),"미매핑"))</f>
        <v/>
      </c>
      <c r="X2337" s="9">
        <f>IF($A2337="","",$F2337&amp;"")</f>
        <v/>
      </c>
    </row>
    <row r="2338">
      <c r="A2338" s="75" t="n">
        <v>2025</v>
      </c>
      <c r="B2338" s="75" t="n">
        <v>12</v>
      </c>
      <c r="C2338" s="75" t="inlineStr">
        <is>
          <t>5100002334</t>
        </is>
      </c>
      <c r="D2338" s="78" t="n">
        <v>46018</v>
      </c>
      <c r="E2338" s="75" t="inlineStr">
        <is>
          <t>KR</t>
        </is>
      </c>
      <c r="F2338" s="75" t="n">
        <v>62501000</v>
      </c>
      <c r="G2338" s="75" t="n">
        <v>1201</v>
      </c>
      <c r="H2338" s="76" t="n">
        <v>90000</v>
      </c>
      <c r="I2338" s="75" t="inlineStr">
        <is>
          <t>12월 회의 다과 - T케이터링</t>
        </is>
      </c>
      <c r="J2338" s="75" t="inlineStr">
        <is>
          <t>V10005</t>
        </is>
      </c>
      <c r="K2338" s="75" t="inlineStr">
        <is>
          <t>T케이터링</t>
        </is>
      </c>
      <c r="M2338" s="9">
        <f>IF($A2338="","",VALUE($A2338&amp;"")*12+VALUE($B2338&amp;""))</f>
        <v/>
      </c>
      <c r="N2338" s="39">
        <f>IF($A2338="","",IFERROR(INDEX(부서매핑!$C$5:$C$504,MATCH($G2338&amp;"",부서매핑!$A$5:$A$504,0)),"미매핑"))</f>
        <v/>
      </c>
      <c r="O2338" s="9">
        <f>IF($A2338="","",N2338&amp;"|"&amp;$F2338)</f>
        <v/>
      </c>
      <c r="P2338" s="77">
        <f>IF($A2338="",0,$H2338*설정!$C$23)</f>
        <v/>
      </c>
      <c r="Q2338" s="39">
        <f>IF($A2338="","",IF(O2338&lt;&gt;원인분석!$C$9,"",IF(AND(M2338&gt;=원인분석!$C$10,M2338&lt;=원인분석!$C$11),"당기",IF(AND(M2338&gt;=원인분석!$C$12,M2338&lt;=원인분석!$C$13),"비교",""))))</f>
        <v/>
      </c>
      <c r="R2338" s="9">
        <f>IF(Q2338="","",$K2338&amp;"")</f>
        <v/>
      </c>
      <c r="S2338" s="9">
        <f>IF(Q2338="","",IF(MATCH(R2338,$R$5:$R$100000,0)=ROW()-4,ROW(),""))</f>
        <v/>
      </c>
      <c r="T2338" s="9">
        <f>IF(Q2338="당기",ABS(P2338)+ROW()/1000000000,"")</f>
        <v/>
      </c>
      <c r="U2338" s="9">
        <f>IF(Q2338="비교",ABS(P2338)+ROW()/1000000000,"")</f>
        <v/>
      </c>
      <c r="V2338" s="39">
        <f>IF($A2338="","",IF(COUNTIF(변동분석!$E$7:$E$506,O2338)&gt;0,"Y","N"))</f>
        <v/>
      </c>
      <c r="W2338" s="39">
        <f>IF($A2338="","",IFERROR(INDEX(계정매핑!$D$5:$D$504,MATCH($F2338&amp;"",계정매핑!$A$5:$A$504,0)),"미매핑"))</f>
        <v/>
      </c>
      <c r="X2338" s="9">
        <f>IF($A2338="","",$F2338&amp;"")</f>
        <v/>
      </c>
    </row>
    <row r="2339">
      <c r="A2339" s="75" t="n">
        <v>2025</v>
      </c>
      <c r="B2339" s="75" t="n">
        <v>12</v>
      </c>
      <c r="C2339" s="75" t="inlineStr">
        <is>
          <t>5100002335</t>
        </is>
      </c>
      <c r="D2339" s="78" t="n">
        <v>46018</v>
      </c>
      <c r="E2339" s="75" t="inlineStr">
        <is>
          <t>KR</t>
        </is>
      </c>
      <c r="F2339" s="75" t="n">
        <v>62501000</v>
      </c>
      <c r="G2339" s="75" t="n">
        <v>1502</v>
      </c>
      <c r="H2339" s="76" t="n">
        <v>345000</v>
      </c>
      <c r="I2339" s="75" t="inlineStr">
        <is>
          <t>12월 회의 다과 - T케이터링</t>
        </is>
      </c>
      <c r="J2339" s="75" t="inlineStr">
        <is>
          <t>V10005</t>
        </is>
      </c>
      <c r="K2339" s="75" t="inlineStr">
        <is>
          <t>T케이터링</t>
        </is>
      </c>
      <c r="M2339" s="9">
        <f>IF($A2339="","",VALUE($A2339&amp;"")*12+VALUE($B2339&amp;""))</f>
        <v/>
      </c>
      <c r="N2339" s="39">
        <f>IF($A2339="","",IFERROR(INDEX(부서매핑!$C$5:$C$504,MATCH($G2339&amp;"",부서매핑!$A$5:$A$504,0)),"미매핑"))</f>
        <v/>
      </c>
      <c r="O2339" s="9">
        <f>IF($A2339="","",N2339&amp;"|"&amp;$F2339)</f>
        <v/>
      </c>
      <c r="P2339" s="77">
        <f>IF($A2339="",0,$H2339*설정!$C$23)</f>
        <v/>
      </c>
      <c r="Q2339" s="39">
        <f>IF($A2339="","",IF(O2339&lt;&gt;원인분석!$C$9,"",IF(AND(M2339&gt;=원인분석!$C$10,M2339&lt;=원인분석!$C$11),"당기",IF(AND(M2339&gt;=원인분석!$C$12,M2339&lt;=원인분석!$C$13),"비교",""))))</f>
        <v/>
      </c>
      <c r="R2339" s="9">
        <f>IF(Q2339="","",$K2339&amp;"")</f>
        <v/>
      </c>
      <c r="S2339" s="9">
        <f>IF(Q2339="","",IF(MATCH(R2339,$R$5:$R$100000,0)=ROW()-4,ROW(),""))</f>
        <v/>
      </c>
      <c r="T2339" s="9">
        <f>IF(Q2339="당기",ABS(P2339)+ROW()/1000000000,"")</f>
        <v/>
      </c>
      <c r="U2339" s="9">
        <f>IF(Q2339="비교",ABS(P2339)+ROW()/1000000000,"")</f>
        <v/>
      </c>
      <c r="V2339" s="39">
        <f>IF($A2339="","",IF(COUNTIF(변동분석!$E$7:$E$506,O2339)&gt;0,"Y","N"))</f>
        <v/>
      </c>
      <c r="W2339" s="39">
        <f>IF($A2339="","",IFERROR(INDEX(계정매핑!$D$5:$D$504,MATCH($F2339&amp;"",계정매핑!$A$5:$A$504,0)),"미매핑"))</f>
        <v/>
      </c>
      <c r="X2339" s="9">
        <f>IF($A2339="","",$F2339&amp;"")</f>
        <v/>
      </c>
    </row>
    <row r="2340">
      <c r="A2340" s="75" t="n">
        <v>2025</v>
      </c>
      <c r="B2340" s="75" t="n">
        <v>12</v>
      </c>
      <c r="C2340" s="75" t="inlineStr">
        <is>
          <t>5100002336</t>
        </is>
      </c>
      <c r="D2340" s="78" t="n">
        <v>46018</v>
      </c>
      <c r="E2340" s="75" t="inlineStr">
        <is>
          <t>KR</t>
        </is>
      </c>
      <c r="F2340" s="75" t="n">
        <v>62501000</v>
      </c>
      <c r="G2340" s="75" t="n">
        <v>1601</v>
      </c>
      <c r="H2340" s="76" t="n">
        <v>296000</v>
      </c>
      <c r="I2340" s="75" t="inlineStr">
        <is>
          <t>12월 회의 다과 - (법인카드)</t>
        </is>
      </c>
      <c r="J2340" s="75" t="inlineStr">
        <is>
          <t>V10008</t>
        </is>
      </c>
      <c r="K2340" s="75" t="inlineStr">
        <is>
          <t>(법인카드)</t>
        </is>
      </c>
      <c r="M2340" s="9">
        <f>IF($A2340="","",VALUE($A2340&amp;"")*12+VALUE($B2340&amp;""))</f>
        <v/>
      </c>
      <c r="N2340" s="39">
        <f>IF($A2340="","",IFERROR(INDEX(부서매핑!$C$5:$C$504,MATCH($G2340&amp;"",부서매핑!$A$5:$A$504,0)),"미매핑"))</f>
        <v/>
      </c>
      <c r="O2340" s="9">
        <f>IF($A2340="","",N2340&amp;"|"&amp;$F2340)</f>
        <v/>
      </c>
      <c r="P2340" s="77">
        <f>IF($A2340="",0,$H2340*설정!$C$23)</f>
        <v/>
      </c>
      <c r="Q2340" s="39">
        <f>IF($A2340="","",IF(O2340&lt;&gt;원인분석!$C$9,"",IF(AND(M2340&gt;=원인분석!$C$10,M2340&lt;=원인분석!$C$11),"당기",IF(AND(M2340&gt;=원인분석!$C$12,M2340&lt;=원인분석!$C$13),"비교",""))))</f>
        <v/>
      </c>
      <c r="R2340" s="9">
        <f>IF(Q2340="","",$K2340&amp;"")</f>
        <v/>
      </c>
      <c r="S2340" s="9">
        <f>IF(Q2340="","",IF(MATCH(R2340,$R$5:$R$100000,0)=ROW()-4,ROW(),""))</f>
        <v/>
      </c>
      <c r="T2340" s="9">
        <f>IF(Q2340="당기",ABS(P2340)+ROW()/1000000000,"")</f>
        <v/>
      </c>
      <c r="U2340" s="9">
        <f>IF(Q2340="비교",ABS(P2340)+ROW()/1000000000,"")</f>
        <v/>
      </c>
      <c r="V2340" s="39">
        <f>IF($A2340="","",IF(COUNTIF(변동분석!$E$7:$E$506,O2340)&gt;0,"Y","N"))</f>
        <v/>
      </c>
      <c r="W2340" s="39">
        <f>IF($A2340="","",IFERROR(INDEX(계정매핑!$D$5:$D$504,MATCH($F2340&amp;"",계정매핑!$A$5:$A$504,0)),"미매핑"))</f>
        <v/>
      </c>
      <c r="X2340" s="9">
        <f>IF($A2340="","",$F2340&amp;"")</f>
        <v/>
      </c>
    </row>
    <row r="2341">
      <c r="A2341" s="75" t="n">
        <v>2025</v>
      </c>
      <c r="B2341" s="75" t="n">
        <v>12</v>
      </c>
      <c r="C2341" s="75" t="inlineStr">
        <is>
          <t>5100002337</t>
        </is>
      </c>
      <c r="D2341" s="78" t="n">
        <v>46018</v>
      </c>
      <c r="E2341" s="75" t="inlineStr">
        <is>
          <t>KR</t>
        </is>
      </c>
      <c r="F2341" s="75" t="n">
        <v>62901000</v>
      </c>
      <c r="G2341" s="75" t="n">
        <v>1101</v>
      </c>
      <c r="H2341" s="76" t="n">
        <v>5004000</v>
      </c>
      <c r="I2341" s="75" t="inlineStr">
        <is>
          <t>12월 자문 수수료 - K회계법인</t>
        </is>
      </c>
      <c r="J2341" s="75" t="inlineStr">
        <is>
          <t>V10010</t>
        </is>
      </c>
      <c r="K2341" s="75" t="inlineStr">
        <is>
          <t>K회계법인</t>
        </is>
      </c>
      <c r="M2341" s="9">
        <f>IF($A2341="","",VALUE($A2341&amp;"")*12+VALUE($B2341&amp;""))</f>
        <v/>
      </c>
      <c r="N2341" s="39">
        <f>IF($A2341="","",IFERROR(INDEX(부서매핑!$C$5:$C$504,MATCH($G2341&amp;"",부서매핑!$A$5:$A$504,0)),"미매핑"))</f>
        <v/>
      </c>
      <c r="O2341" s="9">
        <f>IF($A2341="","",N2341&amp;"|"&amp;$F2341)</f>
        <v/>
      </c>
      <c r="P2341" s="77">
        <f>IF($A2341="",0,$H2341*설정!$C$23)</f>
        <v/>
      </c>
      <c r="Q2341" s="39">
        <f>IF($A2341="","",IF(O2341&lt;&gt;원인분석!$C$9,"",IF(AND(M2341&gt;=원인분석!$C$10,M2341&lt;=원인분석!$C$11),"당기",IF(AND(M2341&gt;=원인분석!$C$12,M2341&lt;=원인분석!$C$13),"비교",""))))</f>
        <v/>
      </c>
      <c r="R2341" s="9">
        <f>IF(Q2341="","",$K2341&amp;"")</f>
        <v/>
      </c>
      <c r="S2341" s="9">
        <f>IF(Q2341="","",IF(MATCH(R2341,$R$5:$R$100000,0)=ROW()-4,ROW(),""))</f>
        <v/>
      </c>
      <c r="T2341" s="9">
        <f>IF(Q2341="당기",ABS(P2341)+ROW()/1000000000,"")</f>
        <v/>
      </c>
      <c r="U2341" s="9">
        <f>IF(Q2341="비교",ABS(P2341)+ROW()/1000000000,"")</f>
        <v/>
      </c>
      <c r="V2341" s="39">
        <f>IF($A2341="","",IF(COUNTIF(변동분석!$E$7:$E$506,O2341)&gt;0,"Y","N"))</f>
        <v/>
      </c>
      <c r="W2341" s="39">
        <f>IF($A2341="","",IFERROR(INDEX(계정매핑!$D$5:$D$504,MATCH($F2341&amp;"",계정매핑!$A$5:$A$504,0)),"미매핑"))</f>
        <v/>
      </c>
      <c r="X2341" s="9">
        <f>IF($A2341="","",$F2341&amp;"")</f>
        <v/>
      </c>
    </row>
    <row r="2342">
      <c r="A2342" s="75" t="n">
        <v>2025</v>
      </c>
      <c r="B2342" s="75" t="n">
        <v>12</v>
      </c>
      <c r="C2342" s="75" t="inlineStr">
        <is>
          <t>5100002338</t>
        </is>
      </c>
      <c r="D2342" s="78" t="n">
        <v>46018</v>
      </c>
      <c r="E2342" s="75" t="inlineStr">
        <is>
          <t>KR</t>
        </is>
      </c>
      <c r="F2342" s="75" t="n">
        <v>62901000</v>
      </c>
      <c r="G2342" s="75" t="n">
        <v>1201</v>
      </c>
      <c r="H2342" s="76" t="n">
        <v>4519000</v>
      </c>
      <c r="I2342" s="75" t="inlineStr">
        <is>
          <t>12월 자문 수수료 - W컨설팅</t>
        </is>
      </c>
      <c r="J2342" s="75" t="inlineStr">
        <is>
          <t>V10009</t>
        </is>
      </c>
      <c r="K2342" s="75" t="inlineStr">
        <is>
          <t>W컨설팅</t>
        </is>
      </c>
      <c r="M2342" s="9">
        <f>IF($A2342="","",VALUE($A2342&amp;"")*12+VALUE($B2342&amp;""))</f>
        <v/>
      </c>
      <c r="N2342" s="39">
        <f>IF($A2342="","",IFERROR(INDEX(부서매핑!$C$5:$C$504,MATCH($G2342&amp;"",부서매핑!$A$5:$A$504,0)),"미매핑"))</f>
        <v/>
      </c>
      <c r="O2342" s="9">
        <f>IF($A2342="","",N2342&amp;"|"&amp;$F2342)</f>
        <v/>
      </c>
      <c r="P2342" s="77">
        <f>IF($A2342="",0,$H2342*설정!$C$23)</f>
        <v/>
      </c>
      <c r="Q2342" s="39">
        <f>IF($A2342="","",IF(O2342&lt;&gt;원인분석!$C$9,"",IF(AND(M2342&gt;=원인분석!$C$10,M2342&lt;=원인분석!$C$11),"당기",IF(AND(M2342&gt;=원인분석!$C$12,M2342&lt;=원인분석!$C$13),"비교",""))))</f>
        <v/>
      </c>
      <c r="R2342" s="9">
        <f>IF(Q2342="","",$K2342&amp;"")</f>
        <v/>
      </c>
      <c r="S2342" s="9">
        <f>IF(Q2342="","",IF(MATCH(R2342,$R$5:$R$100000,0)=ROW()-4,ROW(),""))</f>
        <v/>
      </c>
      <c r="T2342" s="9">
        <f>IF(Q2342="당기",ABS(P2342)+ROW()/1000000000,"")</f>
        <v/>
      </c>
      <c r="U2342" s="9">
        <f>IF(Q2342="비교",ABS(P2342)+ROW()/1000000000,"")</f>
        <v/>
      </c>
      <c r="V2342" s="39">
        <f>IF($A2342="","",IF(COUNTIF(변동분석!$E$7:$E$506,O2342)&gt;0,"Y","N"))</f>
        <v/>
      </c>
      <c r="W2342" s="39">
        <f>IF($A2342="","",IFERROR(INDEX(계정매핑!$D$5:$D$504,MATCH($F2342&amp;"",계정매핑!$A$5:$A$504,0)),"미매핑"))</f>
        <v/>
      </c>
      <c r="X2342" s="9">
        <f>IF($A2342="","",$F2342&amp;"")</f>
        <v/>
      </c>
    </row>
    <row r="2343">
      <c r="A2343" s="75" t="n">
        <v>2025</v>
      </c>
      <c r="B2343" s="75" t="n">
        <v>12</v>
      </c>
      <c r="C2343" s="75" t="inlineStr">
        <is>
          <t>5100002339</t>
        </is>
      </c>
      <c r="D2343" s="78" t="n">
        <v>46018</v>
      </c>
      <c r="E2343" s="75" t="inlineStr">
        <is>
          <t>KR</t>
        </is>
      </c>
      <c r="F2343" s="75" t="n">
        <v>62902000</v>
      </c>
      <c r="G2343" s="75" t="n">
        <v>1401</v>
      </c>
      <c r="H2343" s="76" t="n">
        <v>3396000</v>
      </c>
      <c r="I2343" s="75" t="inlineStr">
        <is>
          <t>12월 업무 위탁 수수료 - X서비스</t>
        </is>
      </c>
      <c r="J2343" s="75" t="inlineStr">
        <is>
          <t>V10016</t>
        </is>
      </c>
      <c r="K2343" s="75" t="inlineStr">
        <is>
          <t>X서비스</t>
        </is>
      </c>
      <c r="M2343" s="9">
        <f>IF($A2343="","",VALUE($A2343&amp;"")*12+VALUE($B2343&amp;""))</f>
        <v/>
      </c>
      <c r="N2343" s="39">
        <f>IF($A2343="","",IFERROR(INDEX(부서매핑!$C$5:$C$504,MATCH($G2343&amp;"",부서매핑!$A$5:$A$504,0)),"미매핑"))</f>
        <v/>
      </c>
      <c r="O2343" s="9">
        <f>IF($A2343="","",N2343&amp;"|"&amp;$F2343)</f>
        <v/>
      </c>
      <c r="P2343" s="77">
        <f>IF($A2343="",0,$H2343*설정!$C$23)</f>
        <v/>
      </c>
      <c r="Q2343" s="39">
        <f>IF($A2343="","",IF(O2343&lt;&gt;원인분석!$C$9,"",IF(AND(M2343&gt;=원인분석!$C$10,M2343&lt;=원인분석!$C$11),"당기",IF(AND(M2343&gt;=원인분석!$C$12,M2343&lt;=원인분석!$C$13),"비교",""))))</f>
        <v/>
      </c>
      <c r="R2343" s="9">
        <f>IF(Q2343="","",$K2343&amp;"")</f>
        <v/>
      </c>
      <c r="S2343" s="9">
        <f>IF(Q2343="","",IF(MATCH(R2343,$R$5:$R$100000,0)=ROW()-4,ROW(),""))</f>
        <v/>
      </c>
      <c r="T2343" s="9">
        <f>IF(Q2343="당기",ABS(P2343)+ROW()/1000000000,"")</f>
        <v/>
      </c>
      <c r="U2343" s="9">
        <f>IF(Q2343="비교",ABS(P2343)+ROW()/1000000000,"")</f>
        <v/>
      </c>
      <c r="V2343" s="39">
        <f>IF($A2343="","",IF(COUNTIF(변동분석!$E$7:$E$506,O2343)&gt;0,"Y","N"))</f>
        <v/>
      </c>
      <c r="W2343" s="39">
        <f>IF($A2343="","",IFERROR(INDEX(계정매핑!$D$5:$D$504,MATCH($F2343&amp;"",계정매핑!$A$5:$A$504,0)),"미매핑"))</f>
        <v/>
      </c>
      <c r="X2343" s="9">
        <f>IF($A2343="","",$F2343&amp;"")</f>
        <v/>
      </c>
    </row>
    <row r="2344">
      <c r="A2344" s="75" t="n">
        <v>2025</v>
      </c>
      <c r="B2344" s="75" t="n">
        <v>12</v>
      </c>
      <c r="C2344" s="75" t="inlineStr">
        <is>
          <t>5100002340</t>
        </is>
      </c>
      <c r="D2344" s="78" t="n">
        <v>46018</v>
      </c>
      <c r="E2344" s="75" t="inlineStr">
        <is>
          <t>KR</t>
        </is>
      </c>
      <c r="F2344" s="75" t="n">
        <v>63101000</v>
      </c>
      <c r="G2344" s="75" t="n">
        <v>1601</v>
      </c>
      <c r="H2344" s="76" t="n">
        <v>6910000</v>
      </c>
      <c r="I2344" s="75" t="inlineStr">
        <is>
          <t>12월 사무실 임차료 - BB부동산</t>
        </is>
      </c>
      <c r="J2344" s="75" t="inlineStr">
        <is>
          <t>V10024</t>
        </is>
      </c>
      <c r="K2344" s="75" t="inlineStr">
        <is>
          <t>BB부동산</t>
        </is>
      </c>
      <c r="M2344" s="9">
        <f>IF($A2344="","",VALUE($A2344&amp;"")*12+VALUE($B2344&amp;""))</f>
        <v/>
      </c>
      <c r="N2344" s="39">
        <f>IF($A2344="","",IFERROR(INDEX(부서매핑!$C$5:$C$504,MATCH($G2344&amp;"",부서매핑!$A$5:$A$504,0)),"미매핑"))</f>
        <v/>
      </c>
      <c r="O2344" s="9">
        <f>IF($A2344="","",N2344&amp;"|"&amp;$F2344)</f>
        <v/>
      </c>
      <c r="P2344" s="77">
        <f>IF($A2344="",0,$H2344*설정!$C$23)</f>
        <v/>
      </c>
      <c r="Q2344" s="39">
        <f>IF($A2344="","",IF(O2344&lt;&gt;원인분석!$C$9,"",IF(AND(M2344&gt;=원인분석!$C$10,M2344&lt;=원인분석!$C$11),"당기",IF(AND(M2344&gt;=원인분석!$C$12,M2344&lt;=원인분석!$C$13),"비교",""))))</f>
        <v/>
      </c>
      <c r="R2344" s="9">
        <f>IF(Q2344="","",$K2344&amp;"")</f>
        <v/>
      </c>
      <c r="S2344" s="9">
        <f>IF(Q2344="","",IF(MATCH(R2344,$R$5:$R$100000,0)=ROW()-4,ROW(),""))</f>
        <v/>
      </c>
      <c r="T2344" s="9">
        <f>IF(Q2344="당기",ABS(P2344)+ROW()/1000000000,"")</f>
        <v/>
      </c>
      <c r="U2344" s="9">
        <f>IF(Q2344="비교",ABS(P2344)+ROW()/1000000000,"")</f>
        <v/>
      </c>
      <c r="V2344" s="39">
        <f>IF($A2344="","",IF(COUNTIF(변동분석!$E$7:$E$506,O2344)&gt;0,"Y","N"))</f>
        <v/>
      </c>
      <c r="W2344" s="39">
        <f>IF($A2344="","",IFERROR(INDEX(계정매핑!$D$5:$D$504,MATCH($F2344&amp;"",계정매핑!$A$5:$A$504,0)),"미매핑"))</f>
        <v/>
      </c>
      <c r="X2344" s="9">
        <f>IF($A2344="","",$F2344&amp;"")</f>
        <v/>
      </c>
    </row>
    <row r="2345">
      <c r="A2345" s="75" t="n">
        <v>2026</v>
      </c>
      <c r="B2345" s="75" t="n">
        <v>1</v>
      </c>
      <c r="C2345" s="75" t="inlineStr">
        <is>
          <t>5100000001</t>
        </is>
      </c>
      <c r="D2345" s="78" t="n">
        <v>46024</v>
      </c>
      <c r="E2345" s="75" t="inlineStr">
        <is>
          <t>KR</t>
        </is>
      </c>
      <c r="F2345" s="75" t="n">
        <v>62101000</v>
      </c>
      <c r="G2345" s="75" t="n">
        <v>1502</v>
      </c>
      <c r="H2345" s="76" t="n">
        <v>471000</v>
      </c>
      <c r="I2345" s="75" t="inlineStr">
        <is>
          <t>1월 국내출장 - L여행사</t>
        </is>
      </c>
      <c r="J2345" s="75" t="inlineStr">
        <is>
          <t>V10014</t>
        </is>
      </c>
      <c r="K2345" s="75" t="inlineStr">
        <is>
          <t>L여행사</t>
        </is>
      </c>
      <c r="M2345" s="9">
        <f>IF($A2345="","",VALUE($A2345&amp;"")*12+VALUE($B2345&amp;""))</f>
        <v/>
      </c>
      <c r="N2345" s="39">
        <f>IF($A2345="","",IFERROR(INDEX(부서매핑!$C$5:$C$504,MATCH($G2345&amp;"",부서매핑!$A$5:$A$504,0)),"미매핑"))</f>
        <v/>
      </c>
      <c r="O2345" s="9">
        <f>IF($A2345="","",N2345&amp;"|"&amp;$F2345)</f>
        <v/>
      </c>
      <c r="P2345" s="77">
        <f>IF($A2345="",0,$H2345*설정!$C$23)</f>
        <v/>
      </c>
      <c r="Q2345" s="39">
        <f>IF($A2345="","",IF(O2345&lt;&gt;원인분석!$C$9,"",IF(AND(M2345&gt;=원인분석!$C$10,M2345&lt;=원인분석!$C$11),"당기",IF(AND(M2345&gt;=원인분석!$C$12,M2345&lt;=원인분석!$C$13),"비교",""))))</f>
        <v/>
      </c>
      <c r="R2345" s="9">
        <f>IF(Q2345="","",$K2345&amp;"")</f>
        <v/>
      </c>
      <c r="S2345" s="9">
        <f>IF(Q2345="","",IF(MATCH(R2345,$R$5:$R$100000,0)=ROW()-4,ROW(),""))</f>
        <v/>
      </c>
      <c r="T2345" s="9">
        <f>IF(Q2345="당기",ABS(P2345)+ROW()/1000000000,"")</f>
        <v/>
      </c>
      <c r="U2345" s="9">
        <f>IF(Q2345="비교",ABS(P2345)+ROW()/1000000000,"")</f>
        <v/>
      </c>
      <c r="V2345" s="39">
        <f>IF($A2345="","",IF(COUNTIF(변동분석!$E$7:$E$506,O2345)&gt;0,"Y","N"))</f>
        <v/>
      </c>
      <c r="W2345" s="39">
        <f>IF($A2345="","",IFERROR(INDEX(계정매핑!$D$5:$D$504,MATCH($F2345&amp;"",계정매핑!$A$5:$A$504,0)),"미매핑"))</f>
        <v/>
      </c>
      <c r="X2345" s="9">
        <f>IF($A2345="","",$F2345&amp;"")</f>
        <v/>
      </c>
    </row>
    <row r="2346">
      <c r="A2346" s="75" t="n">
        <v>2026</v>
      </c>
      <c r="B2346" s="75" t="n">
        <v>1</v>
      </c>
      <c r="C2346" s="75" t="inlineStr">
        <is>
          <t>5100000002</t>
        </is>
      </c>
      <c r="D2346" s="78" t="n">
        <v>46024</v>
      </c>
      <c r="E2346" s="75" t="inlineStr">
        <is>
          <t>KR</t>
        </is>
      </c>
      <c r="F2346" s="75" t="n">
        <v>62101000</v>
      </c>
      <c r="G2346" s="75" t="n">
        <v>1701</v>
      </c>
      <c r="H2346" s="76" t="n">
        <v>132000</v>
      </c>
      <c r="I2346" s="75" t="inlineStr">
        <is>
          <t>1월 국내출장 - (법인카드)</t>
        </is>
      </c>
      <c r="J2346" s="75" t="inlineStr">
        <is>
          <t>V10008</t>
        </is>
      </c>
      <c r="K2346" s="75" t="inlineStr">
        <is>
          <t>(법인카드)</t>
        </is>
      </c>
      <c r="M2346" s="9">
        <f>IF($A2346="","",VALUE($A2346&amp;"")*12+VALUE($B2346&amp;""))</f>
        <v/>
      </c>
      <c r="N2346" s="39">
        <f>IF($A2346="","",IFERROR(INDEX(부서매핑!$C$5:$C$504,MATCH($G2346&amp;"",부서매핑!$A$5:$A$504,0)),"미매핑"))</f>
        <v/>
      </c>
      <c r="O2346" s="9">
        <f>IF($A2346="","",N2346&amp;"|"&amp;$F2346)</f>
        <v/>
      </c>
      <c r="P2346" s="77">
        <f>IF($A2346="",0,$H2346*설정!$C$23)</f>
        <v/>
      </c>
      <c r="Q2346" s="39">
        <f>IF($A2346="","",IF(O2346&lt;&gt;원인분석!$C$9,"",IF(AND(M2346&gt;=원인분석!$C$10,M2346&lt;=원인분석!$C$11),"당기",IF(AND(M2346&gt;=원인분석!$C$12,M2346&lt;=원인분석!$C$13),"비교",""))))</f>
        <v/>
      </c>
      <c r="R2346" s="9">
        <f>IF(Q2346="","",$K2346&amp;"")</f>
        <v/>
      </c>
      <c r="S2346" s="9">
        <f>IF(Q2346="","",IF(MATCH(R2346,$R$5:$R$100000,0)=ROW()-4,ROW(),""))</f>
        <v/>
      </c>
      <c r="T2346" s="9">
        <f>IF(Q2346="당기",ABS(P2346)+ROW()/1000000000,"")</f>
        <v/>
      </c>
      <c r="U2346" s="9">
        <f>IF(Q2346="비교",ABS(P2346)+ROW()/1000000000,"")</f>
        <v/>
      </c>
      <c r="V2346" s="39">
        <f>IF($A2346="","",IF(COUNTIF(변동분석!$E$7:$E$506,O2346)&gt;0,"Y","N"))</f>
        <v/>
      </c>
      <c r="W2346" s="39">
        <f>IF($A2346="","",IFERROR(INDEX(계정매핑!$D$5:$D$504,MATCH($F2346&amp;"",계정매핑!$A$5:$A$504,0)),"미매핑"))</f>
        <v/>
      </c>
      <c r="X2346" s="9">
        <f>IF($A2346="","",$F2346&amp;"")</f>
        <v/>
      </c>
    </row>
    <row r="2347">
      <c r="A2347" s="75" t="n">
        <v>2026</v>
      </c>
      <c r="B2347" s="75" t="n">
        <v>1</v>
      </c>
      <c r="C2347" s="75" t="inlineStr">
        <is>
          <t>5100000003</t>
        </is>
      </c>
      <c r="D2347" s="78" t="n">
        <v>46024</v>
      </c>
      <c r="E2347" s="75" t="inlineStr">
        <is>
          <t>KR</t>
        </is>
      </c>
      <c r="F2347" s="75" t="n">
        <v>62102000</v>
      </c>
      <c r="G2347" s="75" t="n">
        <v>1201</v>
      </c>
      <c r="H2347" s="76" t="n">
        <v>61000</v>
      </c>
      <c r="I2347" s="75" t="inlineStr">
        <is>
          <t>1월 해외출장 - M항공</t>
        </is>
      </c>
      <c r="J2347" s="75" t="inlineStr">
        <is>
          <t>V10001</t>
        </is>
      </c>
      <c r="K2347" s="75" t="inlineStr">
        <is>
          <t>M항공</t>
        </is>
      </c>
      <c r="M2347" s="9">
        <f>IF($A2347="","",VALUE($A2347&amp;"")*12+VALUE($B2347&amp;""))</f>
        <v/>
      </c>
      <c r="N2347" s="39">
        <f>IF($A2347="","",IFERROR(INDEX(부서매핑!$C$5:$C$504,MATCH($G2347&amp;"",부서매핑!$A$5:$A$504,0)),"미매핑"))</f>
        <v/>
      </c>
      <c r="O2347" s="9">
        <f>IF($A2347="","",N2347&amp;"|"&amp;$F2347)</f>
        <v/>
      </c>
      <c r="P2347" s="77">
        <f>IF($A2347="",0,$H2347*설정!$C$23)</f>
        <v/>
      </c>
      <c r="Q2347" s="39">
        <f>IF($A2347="","",IF(O2347&lt;&gt;원인분석!$C$9,"",IF(AND(M2347&gt;=원인분석!$C$10,M2347&lt;=원인분석!$C$11),"당기",IF(AND(M2347&gt;=원인분석!$C$12,M2347&lt;=원인분석!$C$13),"비교",""))))</f>
        <v/>
      </c>
      <c r="R2347" s="9">
        <f>IF(Q2347="","",$K2347&amp;"")</f>
        <v/>
      </c>
      <c r="S2347" s="9">
        <f>IF(Q2347="","",IF(MATCH(R2347,$R$5:$R$100000,0)=ROW()-4,ROW(),""))</f>
        <v/>
      </c>
      <c r="T2347" s="9">
        <f>IF(Q2347="당기",ABS(P2347)+ROW()/1000000000,"")</f>
        <v/>
      </c>
      <c r="U2347" s="9">
        <f>IF(Q2347="비교",ABS(P2347)+ROW()/1000000000,"")</f>
        <v/>
      </c>
      <c r="V2347" s="39">
        <f>IF($A2347="","",IF(COUNTIF(변동분석!$E$7:$E$506,O2347)&gt;0,"Y","N"))</f>
        <v/>
      </c>
      <c r="W2347" s="39">
        <f>IF($A2347="","",IFERROR(INDEX(계정매핑!$D$5:$D$504,MATCH($F2347&amp;"",계정매핑!$A$5:$A$504,0)),"미매핑"))</f>
        <v/>
      </c>
      <c r="X2347" s="9">
        <f>IF($A2347="","",$F2347&amp;"")</f>
        <v/>
      </c>
    </row>
    <row r="2348">
      <c r="A2348" s="75" t="n">
        <v>2026</v>
      </c>
      <c r="B2348" s="75" t="n">
        <v>1</v>
      </c>
      <c r="C2348" s="75" t="inlineStr">
        <is>
          <t>5100000004</t>
        </is>
      </c>
      <c r="D2348" s="78" t="n">
        <v>46024</v>
      </c>
      <c r="E2348" s="75" t="inlineStr">
        <is>
          <t>KR</t>
        </is>
      </c>
      <c r="F2348" s="75" t="n">
        <v>62102000</v>
      </c>
      <c r="G2348" s="75" t="n">
        <v>1501</v>
      </c>
      <c r="H2348" s="76" t="n">
        <v>236000</v>
      </c>
      <c r="I2348" s="75" t="inlineStr">
        <is>
          <t>1월 해외출장 - N호텔</t>
        </is>
      </c>
      <c r="J2348" s="75" t="inlineStr">
        <is>
          <t>V10007</t>
        </is>
      </c>
      <c r="K2348" s="75" t="inlineStr">
        <is>
          <t>N호텔</t>
        </is>
      </c>
      <c r="M2348" s="9">
        <f>IF($A2348="","",VALUE($A2348&amp;"")*12+VALUE($B2348&amp;""))</f>
        <v/>
      </c>
      <c r="N2348" s="39">
        <f>IF($A2348="","",IFERROR(INDEX(부서매핑!$C$5:$C$504,MATCH($G2348&amp;"",부서매핑!$A$5:$A$504,0)),"미매핑"))</f>
        <v/>
      </c>
      <c r="O2348" s="9">
        <f>IF($A2348="","",N2348&amp;"|"&amp;$F2348)</f>
        <v/>
      </c>
      <c r="P2348" s="77">
        <f>IF($A2348="",0,$H2348*설정!$C$23)</f>
        <v/>
      </c>
      <c r="Q2348" s="39">
        <f>IF($A2348="","",IF(O2348&lt;&gt;원인분석!$C$9,"",IF(AND(M2348&gt;=원인분석!$C$10,M2348&lt;=원인분석!$C$11),"당기",IF(AND(M2348&gt;=원인분석!$C$12,M2348&lt;=원인분석!$C$13),"비교",""))))</f>
        <v/>
      </c>
      <c r="R2348" s="9">
        <f>IF(Q2348="","",$K2348&amp;"")</f>
        <v/>
      </c>
      <c r="S2348" s="9">
        <f>IF(Q2348="","",IF(MATCH(R2348,$R$5:$R$100000,0)=ROW()-4,ROW(),""))</f>
        <v/>
      </c>
      <c r="T2348" s="9">
        <f>IF(Q2348="당기",ABS(P2348)+ROW()/1000000000,"")</f>
        <v/>
      </c>
      <c r="U2348" s="9">
        <f>IF(Q2348="비교",ABS(P2348)+ROW()/1000000000,"")</f>
        <v/>
      </c>
      <c r="V2348" s="39">
        <f>IF($A2348="","",IF(COUNTIF(변동분석!$E$7:$E$506,O2348)&gt;0,"Y","N"))</f>
        <v/>
      </c>
      <c r="W2348" s="39">
        <f>IF($A2348="","",IFERROR(INDEX(계정매핑!$D$5:$D$504,MATCH($F2348&amp;"",계정매핑!$A$5:$A$504,0)),"미매핑"))</f>
        <v/>
      </c>
      <c r="X2348" s="9">
        <f>IF($A2348="","",$F2348&amp;"")</f>
        <v/>
      </c>
    </row>
    <row r="2349">
      <c r="A2349" s="75" t="n">
        <v>2026</v>
      </c>
      <c r="B2349" s="75" t="n">
        <v>1</v>
      </c>
      <c r="C2349" s="75" t="inlineStr">
        <is>
          <t>5100000005</t>
        </is>
      </c>
      <c r="D2349" s="78" t="n">
        <v>46024</v>
      </c>
      <c r="E2349" s="75" t="inlineStr">
        <is>
          <t>KR</t>
        </is>
      </c>
      <c r="F2349" s="75" t="n">
        <v>63101000</v>
      </c>
      <c r="G2349" s="75" t="n">
        <v>1601</v>
      </c>
      <c r="H2349" s="76" t="n">
        <v>3118000</v>
      </c>
      <c r="I2349" s="75" t="inlineStr">
        <is>
          <t>1월 사무실 임차료 - AA빌딩</t>
        </is>
      </c>
      <c r="J2349" s="75" t="inlineStr">
        <is>
          <t>V10006</t>
        </is>
      </c>
      <c r="K2349" s="75" t="inlineStr">
        <is>
          <t>AA빌딩</t>
        </is>
      </c>
      <c r="M2349" s="9">
        <f>IF($A2349="","",VALUE($A2349&amp;"")*12+VALUE($B2349&amp;""))</f>
        <v/>
      </c>
      <c r="N2349" s="39">
        <f>IF($A2349="","",IFERROR(INDEX(부서매핑!$C$5:$C$504,MATCH($G2349&amp;"",부서매핑!$A$5:$A$504,0)),"미매핑"))</f>
        <v/>
      </c>
      <c r="O2349" s="9">
        <f>IF($A2349="","",N2349&amp;"|"&amp;$F2349)</f>
        <v/>
      </c>
      <c r="P2349" s="77">
        <f>IF($A2349="",0,$H2349*설정!$C$23)</f>
        <v/>
      </c>
      <c r="Q2349" s="39">
        <f>IF($A2349="","",IF(O2349&lt;&gt;원인분석!$C$9,"",IF(AND(M2349&gt;=원인분석!$C$10,M2349&lt;=원인분석!$C$11),"당기",IF(AND(M2349&gt;=원인분석!$C$12,M2349&lt;=원인분석!$C$13),"비교",""))))</f>
        <v/>
      </c>
      <c r="R2349" s="9">
        <f>IF(Q2349="","",$K2349&amp;"")</f>
        <v/>
      </c>
      <c r="S2349" s="9">
        <f>IF(Q2349="","",IF(MATCH(R2349,$R$5:$R$100000,0)=ROW()-4,ROW(),""))</f>
        <v/>
      </c>
      <c r="T2349" s="9">
        <f>IF(Q2349="당기",ABS(P2349)+ROW()/1000000000,"")</f>
        <v/>
      </c>
      <c r="U2349" s="9">
        <f>IF(Q2349="비교",ABS(P2349)+ROW()/1000000000,"")</f>
        <v/>
      </c>
      <c r="V2349" s="39">
        <f>IF($A2349="","",IF(COUNTIF(변동분석!$E$7:$E$506,O2349)&gt;0,"Y","N"))</f>
        <v/>
      </c>
      <c r="W2349" s="39">
        <f>IF($A2349="","",IFERROR(INDEX(계정매핑!$D$5:$D$504,MATCH($F2349&amp;"",계정매핑!$A$5:$A$504,0)),"미매핑"))</f>
        <v/>
      </c>
      <c r="X2349" s="9">
        <f>IF($A2349="","",$F2349&amp;"")</f>
        <v/>
      </c>
    </row>
    <row r="2350">
      <c r="A2350" s="75" t="n">
        <v>2026</v>
      </c>
      <c r="B2350" s="75" t="n">
        <v>1</v>
      </c>
      <c r="C2350" s="75" t="inlineStr">
        <is>
          <t>5100000006</t>
        </is>
      </c>
      <c r="D2350" s="78" t="n">
        <v>46025</v>
      </c>
      <c r="E2350" s="75" t="inlineStr">
        <is>
          <t>KR</t>
        </is>
      </c>
      <c r="F2350" s="75" t="n">
        <v>62102000</v>
      </c>
      <c r="G2350" s="75" t="n">
        <v>1101</v>
      </c>
      <c r="H2350" s="76" t="n">
        <v>132000</v>
      </c>
      <c r="I2350" s="75" t="inlineStr">
        <is>
          <t>1월 해외출장 - N호텔</t>
        </is>
      </c>
      <c r="J2350" s="75" t="inlineStr">
        <is>
          <t>V10007</t>
        </is>
      </c>
      <c r="K2350" s="75" t="inlineStr">
        <is>
          <t>N호텔</t>
        </is>
      </c>
      <c r="M2350" s="9">
        <f>IF($A2350="","",VALUE($A2350&amp;"")*12+VALUE($B2350&amp;""))</f>
        <v/>
      </c>
      <c r="N2350" s="39">
        <f>IF($A2350="","",IFERROR(INDEX(부서매핑!$C$5:$C$504,MATCH($G2350&amp;"",부서매핑!$A$5:$A$504,0)),"미매핑"))</f>
        <v/>
      </c>
      <c r="O2350" s="9">
        <f>IF($A2350="","",N2350&amp;"|"&amp;$F2350)</f>
        <v/>
      </c>
      <c r="P2350" s="77">
        <f>IF($A2350="",0,$H2350*설정!$C$23)</f>
        <v/>
      </c>
      <c r="Q2350" s="39">
        <f>IF($A2350="","",IF(O2350&lt;&gt;원인분석!$C$9,"",IF(AND(M2350&gt;=원인분석!$C$10,M2350&lt;=원인분석!$C$11),"당기",IF(AND(M2350&gt;=원인분석!$C$12,M2350&lt;=원인분석!$C$13),"비교",""))))</f>
        <v/>
      </c>
      <c r="R2350" s="9">
        <f>IF(Q2350="","",$K2350&amp;"")</f>
        <v/>
      </c>
      <c r="S2350" s="9">
        <f>IF(Q2350="","",IF(MATCH(R2350,$R$5:$R$100000,0)=ROW()-4,ROW(),""))</f>
        <v/>
      </c>
      <c r="T2350" s="9">
        <f>IF(Q2350="당기",ABS(P2350)+ROW()/1000000000,"")</f>
        <v/>
      </c>
      <c r="U2350" s="9">
        <f>IF(Q2350="비교",ABS(P2350)+ROW()/1000000000,"")</f>
        <v/>
      </c>
      <c r="V2350" s="39">
        <f>IF($A2350="","",IF(COUNTIF(변동분석!$E$7:$E$506,O2350)&gt;0,"Y","N"))</f>
        <v/>
      </c>
      <c r="W2350" s="39">
        <f>IF($A2350="","",IFERROR(INDEX(계정매핑!$D$5:$D$504,MATCH($F2350&amp;"",계정매핑!$A$5:$A$504,0)),"미매핑"))</f>
        <v/>
      </c>
      <c r="X2350" s="9">
        <f>IF($A2350="","",$F2350&amp;"")</f>
        <v/>
      </c>
    </row>
    <row r="2351">
      <c r="A2351" s="75" t="n">
        <v>2026</v>
      </c>
      <c r="B2351" s="75" t="n">
        <v>1</v>
      </c>
      <c r="C2351" s="75" t="inlineStr">
        <is>
          <t>5100000007</t>
        </is>
      </c>
      <c r="D2351" s="78" t="n">
        <v>46025</v>
      </c>
      <c r="E2351" s="75" t="inlineStr">
        <is>
          <t>KR</t>
        </is>
      </c>
      <c r="F2351" s="75" t="n">
        <v>62102000</v>
      </c>
      <c r="G2351" s="75" t="n">
        <v>1201</v>
      </c>
      <c r="H2351" s="76" t="n">
        <v>36000</v>
      </c>
      <c r="I2351" s="75" t="inlineStr">
        <is>
          <t>1월 해외출장 - N호텔</t>
        </is>
      </c>
      <c r="J2351" s="75" t="inlineStr">
        <is>
          <t>V10007</t>
        </is>
      </c>
      <c r="K2351" s="75" t="inlineStr">
        <is>
          <t>N호텔</t>
        </is>
      </c>
      <c r="M2351" s="9">
        <f>IF($A2351="","",VALUE($A2351&amp;"")*12+VALUE($B2351&amp;""))</f>
        <v/>
      </c>
      <c r="N2351" s="39">
        <f>IF($A2351="","",IFERROR(INDEX(부서매핑!$C$5:$C$504,MATCH($G2351&amp;"",부서매핑!$A$5:$A$504,0)),"미매핑"))</f>
        <v/>
      </c>
      <c r="O2351" s="9">
        <f>IF($A2351="","",N2351&amp;"|"&amp;$F2351)</f>
        <v/>
      </c>
      <c r="P2351" s="77">
        <f>IF($A2351="",0,$H2351*설정!$C$23)</f>
        <v/>
      </c>
      <c r="Q2351" s="39">
        <f>IF($A2351="","",IF(O2351&lt;&gt;원인분석!$C$9,"",IF(AND(M2351&gt;=원인분석!$C$10,M2351&lt;=원인분석!$C$11),"당기",IF(AND(M2351&gt;=원인분석!$C$12,M2351&lt;=원인분석!$C$13),"비교",""))))</f>
        <v/>
      </c>
      <c r="R2351" s="9">
        <f>IF(Q2351="","",$K2351&amp;"")</f>
        <v/>
      </c>
      <c r="S2351" s="9">
        <f>IF(Q2351="","",IF(MATCH(R2351,$R$5:$R$100000,0)=ROW()-4,ROW(),""))</f>
        <v/>
      </c>
      <c r="T2351" s="9">
        <f>IF(Q2351="당기",ABS(P2351)+ROW()/1000000000,"")</f>
        <v/>
      </c>
      <c r="U2351" s="9">
        <f>IF(Q2351="비교",ABS(P2351)+ROW()/1000000000,"")</f>
        <v/>
      </c>
      <c r="V2351" s="39">
        <f>IF($A2351="","",IF(COUNTIF(변동분석!$E$7:$E$506,O2351)&gt;0,"Y","N"))</f>
        <v/>
      </c>
      <c r="W2351" s="39">
        <f>IF($A2351="","",IFERROR(INDEX(계정매핑!$D$5:$D$504,MATCH($F2351&amp;"",계정매핑!$A$5:$A$504,0)),"미매핑"))</f>
        <v/>
      </c>
      <c r="X2351" s="9">
        <f>IF($A2351="","",$F2351&amp;"")</f>
        <v/>
      </c>
    </row>
    <row r="2352">
      <c r="A2352" s="75" t="n">
        <v>2026</v>
      </c>
      <c r="B2352" s="75" t="n">
        <v>1</v>
      </c>
      <c r="C2352" s="75" t="inlineStr">
        <is>
          <t>5100000008</t>
        </is>
      </c>
      <c r="D2352" s="78" t="n">
        <v>46025</v>
      </c>
      <c r="E2352" s="75" t="inlineStr">
        <is>
          <t>KR</t>
        </is>
      </c>
      <c r="F2352" s="75" t="n">
        <v>62102000</v>
      </c>
      <c r="G2352" s="75" t="n">
        <v>1601</v>
      </c>
      <c r="H2352" s="76" t="n">
        <v>635000</v>
      </c>
      <c r="I2352" s="75" t="inlineStr">
        <is>
          <t>1월 해외출장 - M항공</t>
        </is>
      </c>
      <c r="J2352" s="75" t="inlineStr">
        <is>
          <t>V10001</t>
        </is>
      </c>
      <c r="K2352" s="75" t="inlineStr">
        <is>
          <t>M항공</t>
        </is>
      </c>
      <c r="M2352" s="9">
        <f>IF($A2352="","",VALUE($A2352&amp;"")*12+VALUE($B2352&amp;""))</f>
        <v/>
      </c>
      <c r="N2352" s="39">
        <f>IF($A2352="","",IFERROR(INDEX(부서매핑!$C$5:$C$504,MATCH($G2352&amp;"",부서매핑!$A$5:$A$504,0)),"미매핑"))</f>
        <v/>
      </c>
      <c r="O2352" s="9">
        <f>IF($A2352="","",N2352&amp;"|"&amp;$F2352)</f>
        <v/>
      </c>
      <c r="P2352" s="77">
        <f>IF($A2352="",0,$H2352*설정!$C$23)</f>
        <v/>
      </c>
      <c r="Q2352" s="39">
        <f>IF($A2352="","",IF(O2352&lt;&gt;원인분석!$C$9,"",IF(AND(M2352&gt;=원인분석!$C$10,M2352&lt;=원인분석!$C$11),"당기",IF(AND(M2352&gt;=원인분석!$C$12,M2352&lt;=원인분석!$C$13),"비교",""))))</f>
        <v/>
      </c>
      <c r="R2352" s="9">
        <f>IF(Q2352="","",$K2352&amp;"")</f>
        <v/>
      </c>
      <c r="S2352" s="9">
        <f>IF(Q2352="","",IF(MATCH(R2352,$R$5:$R$100000,0)=ROW()-4,ROW(),""))</f>
        <v/>
      </c>
      <c r="T2352" s="9">
        <f>IF(Q2352="당기",ABS(P2352)+ROW()/1000000000,"")</f>
        <v/>
      </c>
      <c r="U2352" s="9">
        <f>IF(Q2352="비교",ABS(P2352)+ROW()/1000000000,"")</f>
        <v/>
      </c>
      <c r="V2352" s="39">
        <f>IF($A2352="","",IF(COUNTIF(변동분석!$E$7:$E$506,O2352)&gt;0,"Y","N"))</f>
        <v/>
      </c>
      <c r="W2352" s="39">
        <f>IF($A2352="","",IFERROR(INDEX(계정매핑!$D$5:$D$504,MATCH($F2352&amp;"",계정매핑!$A$5:$A$504,0)),"미매핑"))</f>
        <v/>
      </c>
      <c r="X2352" s="9">
        <f>IF($A2352="","",$F2352&amp;"")</f>
        <v/>
      </c>
    </row>
    <row r="2353">
      <c r="A2353" s="75" t="n">
        <v>2026</v>
      </c>
      <c r="B2353" s="75" t="n">
        <v>1</v>
      </c>
      <c r="C2353" s="75" t="inlineStr">
        <is>
          <t>5100000009</t>
        </is>
      </c>
      <c r="D2353" s="78" t="n">
        <v>46025</v>
      </c>
      <c r="E2353" s="75" t="inlineStr">
        <is>
          <t>KR</t>
        </is>
      </c>
      <c r="F2353" s="75" t="n">
        <v>62301000</v>
      </c>
      <c r="G2353" s="75" t="n">
        <v>1401</v>
      </c>
      <c r="H2353" s="76" t="n">
        <v>131000</v>
      </c>
      <c r="I2353" s="75" t="inlineStr">
        <is>
          <t>1월 소모품 구입 - R문구</t>
        </is>
      </c>
      <c r="J2353" s="75" t="inlineStr">
        <is>
          <t>V10018</t>
        </is>
      </c>
      <c r="K2353" s="75" t="inlineStr">
        <is>
          <t>R문구</t>
        </is>
      </c>
      <c r="M2353" s="9">
        <f>IF($A2353="","",VALUE($A2353&amp;"")*12+VALUE($B2353&amp;""))</f>
        <v/>
      </c>
      <c r="N2353" s="39">
        <f>IF($A2353="","",IFERROR(INDEX(부서매핑!$C$5:$C$504,MATCH($G2353&amp;"",부서매핑!$A$5:$A$504,0)),"미매핑"))</f>
        <v/>
      </c>
      <c r="O2353" s="9">
        <f>IF($A2353="","",N2353&amp;"|"&amp;$F2353)</f>
        <v/>
      </c>
      <c r="P2353" s="77">
        <f>IF($A2353="",0,$H2353*설정!$C$23)</f>
        <v/>
      </c>
      <c r="Q2353" s="39">
        <f>IF($A2353="","",IF(O2353&lt;&gt;원인분석!$C$9,"",IF(AND(M2353&gt;=원인분석!$C$10,M2353&lt;=원인분석!$C$11),"당기",IF(AND(M2353&gt;=원인분석!$C$12,M2353&lt;=원인분석!$C$13),"비교",""))))</f>
        <v/>
      </c>
      <c r="R2353" s="9">
        <f>IF(Q2353="","",$K2353&amp;"")</f>
        <v/>
      </c>
      <c r="S2353" s="9">
        <f>IF(Q2353="","",IF(MATCH(R2353,$R$5:$R$100000,0)=ROW()-4,ROW(),""))</f>
        <v/>
      </c>
      <c r="T2353" s="9">
        <f>IF(Q2353="당기",ABS(P2353)+ROW()/1000000000,"")</f>
        <v/>
      </c>
      <c r="U2353" s="9">
        <f>IF(Q2353="비교",ABS(P2353)+ROW()/1000000000,"")</f>
        <v/>
      </c>
      <c r="V2353" s="39">
        <f>IF($A2353="","",IF(COUNTIF(변동분석!$E$7:$E$506,O2353)&gt;0,"Y","N"))</f>
        <v/>
      </c>
      <c r="W2353" s="39">
        <f>IF($A2353="","",IFERROR(INDEX(계정매핑!$D$5:$D$504,MATCH($F2353&amp;"",계정매핑!$A$5:$A$504,0)),"미매핑"))</f>
        <v/>
      </c>
      <c r="X2353" s="9">
        <f>IF($A2353="","",$F2353&amp;"")</f>
        <v/>
      </c>
    </row>
    <row r="2354">
      <c r="A2354" s="75" t="n">
        <v>2026</v>
      </c>
      <c r="B2354" s="75" t="n">
        <v>1</v>
      </c>
      <c r="C2354" s="75" t="inlineStr">
        <is>
          <t>5100000010</t>
        </is>
      </c>
      <c r="D2354" s="78" t="n">
        <v>46025</v>
      </c>
      <c r="E2354" s="75" t="inlineStr">
        <is>
          <t>KR</t>
        </is>
      </c>
      <c r="F2354" s="75" t="n">
        <v>62301000</v>
      </c>
      <c r="G2354" s="75" t="n">
        <v>1601</v>
      </c>
      <c r="H2354" s="76" t="n">
        <v>216000</v>
      </c>
      <c r="I2354" s="75" t="inlineStr">
        <is>
          <t>1월 소모품 구입 - Q오피스</t>
        </is>
      </c>
      <c r="J2354" s="75" t="inlineStr">
        <is>
          <t>V10003</t>
        </is>
      </c>
      <c r="K2354" s="75" t="inlineStr">
        <is>
          <t>Q오피스</t>
        </is>
      </c>
      <c r="M2354" s="9">
        <f>IF($A2354="","",VALUE($A2354&amp;"")*12+VALUE($B2354&amp;""))</f>
        <v/>
      </c>
      <c r="N2354" s="39">
        <f>IF($A2354="","",IFERROR(INDEX(부서매핑!$C$5:$C$504,MATCH($G2354&amp;"",부서매핑!$A$5:$A$504,0)),"미매핑"))</f>
        <v/>
      </c>
      <c r="O2354" s="9">
        <f>IF($A2354="","",N2354&amp;"|"&amp;$F2354)</f>
        <v/>
      </c>
      <c r="P2354" s="77">
        <f>IF($A2354="",0,$H2354*설정!$C$23)</f>
        <v/>
      </c>
      <c r="Q2354" s="39">
        <f>IF($A2354="","",IF(O2354&lt;&gt;원인분석!$C$9,"",IF(AND(M2354&gt;=원인분석!$C$10,M2354&lt;=원인분석!$C$11),"당기",IF(AND(M2354&gt;=원인분석!$C$12,M2354&lt;=원인분석!$C$13),"비교",""))))</f>
        <v/>
      </c>
      <c r="R2354" s="9">
        <f>IF(Q2354="","",$K2354&amp;"")</f>
        <v/>
      </c>
      <c r="S2354" s="9">
        <f>IF(Q2354="","",IF(MATCH(R2354,$R$5:$R$100000,0)=ROW()-4,ROW(),""))</f>
        <v/>
      </c>
      <c r="T2354" s="9">
        <f>IF(Q2354="당기",ABS(P2354)+ROW()/1000000000,"")</f>
        <v/>
      </c>
      <c r="U2354" s="9">
        <f>IF(Q2354="비교",ABS(P2354)+ROW()/1000000000,"")</f>
        <v/>
      </c>
      <c r="V2354" s="39">
        <f>IF($A2354="","",IF(COUNTIF(변동분석!$E$7:$E$506,O2354)&gt;0,"Y","N"))</f>
        <v/>
      </c>
      <c r="W2354" s="39">
        <f>IF($A2354="","",IFERROR(INDEX(계정매핑!$D$5:$D$504,MATCH($F2354&amp;"",계정매핑!$A$5:$A$504,0)),"미매핑"))</f>
        <v/>
      </c>
      <c r="X2354" s="9">
        <f>IF($A2354="","",$F2354&amp;"")</f>
        <v/>
      </c>
    </row>
    <row r="2355">
      <c r="A2355" s="75" t="n">
        <v>2026</v>
      </c>
      <c r="B2355" s="75" t="n">
        <v>1</v>
      </c>
      <c r="C2355" s="75" t="inlineStr">
        <is>
          <t>5100000011</t>
        </is>
      </c>
      <c r="D2355" s="78" t="n">
        <v>46025</v>
      </c>
      <c r="E2355" s="75" t="inlineStr">
        <is>
          <t>KR</t>
        </is>
      </c>
      <c r="F2355" s="75" t="n">
        <v>62301000</v>
      </c>
      <c r="G2355" s="75" t="n">
        <v>1601</v>
      </c>
      <c r="H2355" s="76" t="n">
        <v>161000</v>
      </c>
      <c r="I2355" s="75" t="inlineStr">
        <is>
          <t>1월 소모품 구입 - R문구</t>
        </is>
      </c>
      <c r="J2355" s="75" t="inlineStr">
        <is>
          <t>V10018</t>
        </is>
      </c>
      <c r="K2355" s="75" t="inlineStr">
        <is>
          <t>R문구</t>
        </is>
      </c>
      <c r="M2355" s="9">
        <f>IF($A2355="","",VALUE($A2355&amp;"")*12+VALUE($B2355&amp;""))</f>
        <v/>
      </c>
      <c r="N2355" s="39">
        <f>IF($A2355="","",IFERROR(INDEX(부서매핑!$C$5:$C$504,MATCH($G2355&amp;"",부서매핑!$A$5:$A$504,0)),"미매핑"))</f>
        <v/>
      </c>
      <c r="O2355" s="9">
        <f>IF($A2355="","",N2355&amp;"|"&amp;$F2355)</f>
        <v/>
      </c>
      <c r="P2355" s="77">
        <f>IF($A2355="",0,$H2355*설정!$C$23)</f>
        <v/>
      </c>
      <c r="Q2355" s="39">
        <f>IF($A2355="","",IF(O2355&lt;&gt;원인분석!$C$9,"",IF(AND(M2355&gt;=원인분석!$C$10,M2355&lt;=원인분석!$C$11),"당기",IF(AND(M2355&gt;=원인분석!$C$12,M2355&lt;=원인분석!$C$13),"비교",""))))</f>
        <v/>
      </c>
      <c r="R2355" s="9">
        <f>IF(Q2355="","",$K2355&amp;"")</f>
        <v/>
      </c>
      <c r="S2355" s="9">
        <f>IF(Q2355="","",IF(MATCH(R2355,$R$5:$R$100000,0)=ROW()-4,ROW(),""))</f>
        <v/>
      </c>
      <c r="T2355" s="9">
        <f>IF(Q2355="당기",ABS(P2355)+ROW()/1000000000,"")</f>
        <v/>
      </c>
      <c r="U2355" s="9">
        <f>IF(Q2355="비교",ABS(P2355)+ROW()/1000000000,"")</f>
        <v/>
      </c>
      <c r="V2355" s="39">
        <f>IF($A2355="","",IF(COUNTIF(변동분석!$E$7:$E$506,O2355)&gt;0,"Y","N"))</f>
        <v/>
      </c>
      <c r="W2355" s="39">
        <f>IF($A2355="","",IFERROR(INDEX(계정매핑!$D$5:$D$504,MATCH($F2355&amp;"",계정매핑!$A$5:$A$504,0)),"미매핑"))</f>
        <v/>
      </c>
      <c r="X2355" s="9">
        <f>IF($A2355="","",$F2355&amp;"")</f>
        <v/>
      </c>
    </row>
    <row r="2356">
      <c r="A2356" s="75" t="n">
        <v>2026</v>
      </c>
      <c r="B2356" s="75" t="n">
        <v>1</v>
      </c>
      <c r="C2356" s="75" t="inlineStr">
        <is>
          <t>5100000012</t>
        </is>
      </c>
      <c r="D2356" s="78" t="n">
        <v>46025</v>
      </c>
      <c r="E2356" s="75" t="inlineStr">
        <is>
          <t>KR</t>
        </is>
      </c>
      <c r="F2356" s="75" t="n">
        <v>62501000</v>
      </c>
      <c r="G2356" s="75" t="n">
        <v>1201</v>
      </c>
      <c r="H2356" s="76" t="n">
        <v>185000</v>
      </c>
      <c r="I2356" s="75" t="inlineStr">
        <is>
          <t>1월 회의 다과 - T케이터링</t>
        </is>
      </c>
      <c r="J2356" s="75" t="inlineStr">
        <is>
          <t>V10005</t>
        </is>
      </c>
      <c r="K2356" s="75" t="inlineStr">
        <is>
          <t>T케이터링</t>
        </is>
      </c>
      <c r="M2356" s="9">
        <f>IF($A2356="","",VALUE($A2356&amp;"")*12+VALUE($B2356&amp;""))</f>
        <v/>
      </c>
      <c r="N2356" s="39">
        <f>IF($A2356="","",IFERROR(INDEX(부서매핑!$C$5:$C$504,MATCH($G2356&amp;"",부서매핑!$A$5:$A$504,0)),"미매핑"))</f>
        <v/>
      </c>
      <c r="O2356" s="9">
        <f>IF($A2356="","",N2356&amp;"|"&amp;$F2356)</f>
        <v/>
      </c>
      <c r="P2356" s="77">
        <f>IF($A2356="",0,$H2356*설정!$C$23)</f>
        <v/>
      </c>
      <c r="Q2356" s="39">
        <f>IF($A2356="","",IF(O2356&lt;&gt;원인분석!$C$9,"",IF(AND(M2356&gt;=원인분석!$C$10,M2356&lt;=원인분석!$C$11),"당기",IF(AND(M2356&gt;=원인분석!$C$12,M2356&lt;=원인분석!$C$13),"비교",""))))</f>
        <v/>
      </c>
      <c r="R2356" s="9">
        <f>IF(Q2356="","",$K2356&amp;"")</f>
        <v/>
      </c>
      <c r="S2356" s="9">
        <f>IF(Q2356="","",IF(MATCH(R2356,$R$5:$R$100000,0)=ROW()-4,ROW(),""))</f>
        <v/>
      </c>
      <c r="T2356" s="9">
        <f>IF(Q2356="당기",ABS(P2356)+ROW()/1000000000,"")</f>
        <v/>
      </c>
      <c r="U2356" s="9">
        <f>IF(Q2356="비교",ABS(P2356)+ROW()/1000000000,"")</f>
        <v/>
      </c>
      <c r="V2356" s="39">
        <f>IF($A2356="","",IF(COUNTIF(변동분석!$E$7:$E$506,O2356)&gt;0,"Y","N"))</f>
        <v/>
      </c>
      <c r="W2356" s="39">
        <f>IF($A2356="","",IFERROR(INDEX(계정매핑!$D$5:$D$504,MATCH($F2356&amp;"",계정매핑!$A$5:$A$504,0)),"미매핑"))</f>
        <v/>
      </c>
      <c r="X2356" s="9">
        <f>IF($A2356="","",$F2356&amp;"")</f>
        <v/>
      </c>
    </row>
    <row r="2357">
      <c r="A2357" s="75" t="n">
        <v>2026</v>
      </c>
      <c r="B2357" s="75" t="n">
        <v>1</v>
      </c>
      <c r="C2357" s="75" t="inlineStr">
        <is>
          <t>5100000013</t>
        </is>
      </c>
      <c r="D2357" s="78" t="n">
        <v>46025</v>
      </c>
      <c r="E2357" s="75" t="inlineStr">
        <is>
          <t>KR</t>
        </is>
      </c>
      <c r="F2357" s="75" t="n">
        <v>62501000</v>
      </c>
      <c r="G2357" s="75" t="n">
        <v>1602</v>
      </c>
      <c r="H2357" s="76" t="n">
        <v>610000</v>
      </c>
      <c r="I2357" s="75" t="inlineStr">
        <is>
          <t>1월 회의 다과 - T케이터링</t>
        </is>
      </c>
      <c r="J2357" s="75" t="inlineStr">
        <is>
          <t>V10005</t>
        </is>
      </c>
      <c r="K2357" s="75" t="inlineStr">
        <is>
          <t>T케이터링</t>
        </is>
      </c>
      <c r="M2357" s="9">
        <f>IF($A2357="","",VALUE($A2357&amp;"")*12+VALUE($B2357&amp;""))</f>
        <v/>
      </c>
      <c r="N2357" s="39">
        <f>IF($A2357="","",IFERROR(INDEX(부서매핑!$C$5:$C$504,MATCH($G2357&amp;"",부서매핑!$A$5:$A$504,0)),"미매핑"))</f>
        <v/>
      </c>
      <c r="O2357" s="9">
        <f>IF($A2357="","",N2357&amp;"|"&amp;$F2357)</f>
        <v/>
      </c>
      <c r="P2357" s="77">
        <f>IF($A2357="",0,$H2357*설정!$C$23)</f>
        <v/>
      </c>
      <c r="Q2357" s="39">
        <f>IF($A2357="","",IF(O2357&lt;&gt;원인분석!$C$9,"",IF(AND(M2357&gt;=원인분석!$C$10,M2357&lt;=원인분석!$C$11),"당기",IF(AND(M2357&gt;=원인분석!$C$12,M2357&lt;=원인분석!$C$13),"비교",""))))</f>
        <v/>
      </c>
      <c r="R2357" s="9">
        <f>IF(Q2357="","",$K2357&amp;"")</f>
        <v/>
      </c>
      <c r="S2357" s="9">
        <f>IF(Q2357="","",IF(MATCH(R2357,$R$5:$R$100000,0)=ROW()-4,ROW(),""))</f>
        <v/>
      </c>
      <c r="T2357" s="9">
        <f>IF(Q2357="당기",ABS(P2357)+ROW()/1000000000,"")</f>
        <v/>
      </c>
      <c r="U2357" s="9">
        <f>IF(Q2357="비교",ABS(P2357)+ROW()/1000000000,"")</f>
        <v/>
      </c>
      <c r="V2357" s="39">
        <f>IF($A2357="","",IF(COUNTIF(변동분석!$E$7:$E$506,O2357)&gt;0,"Y","N"))</f>
        <v/>
      </c>
      <c r="W2357" s="39">
        <f>IF($A2357="","",IFERROR(INDEX(계정매핑!$D$5:$D$504,MATCH($F2357&amp;"",계정매핑!$A$5:$A$504,0)),"미매핑"))</f>
        <v/>
      </c>
      <c r="X2357" s="9">
        <f>IF($A2357="","",$F2357&amp;"")</f>
        <v/>
      </c>
    </row>
    <row r="2358">
      <c r="A2358" s="75" t="n">
        <v>2026</v>
      </c>
      <c r="B2358" s="75" t="n">
        <v>1</v>
      </c>
      <c r="C2358" s="75" t="inlineStr">
        <is>
          <t>5100000014</t>
        </is>
      </c>
      <c r="D2358" s="78" t="n">
        <v>46025</v>
      </c>
      <c r="E2358" s="75" t="inlineStr">
        <is>
          <t>KR</t>
        </is>
      </c>
      <c r="F2358" s="75" t="n">
        <v>62902000</v>
      </c>
      <c r="G2358" s="75" t="n">
        <v>1201</v>
      </c>
      <c r="H2358" s="76" t="n">
        <v>2141000</v>
      </c>
      <c r="I2358" s="75" t="inlineStr">
        <is>
          <t>1월 업무 위탁 수수료 - J콜센터</t>
        </is>
      </c>
      <c r="J2358" s="75" t="inlineStr">
        <is>
          <t>V10013</t>
        </is>
      </c>
      <c r="K2358" s="75" t="inlineStr">
        <is>
          <t>J콜센터</t>
        </is>
      </c>
      <c r="M2358" s="9">
        <f>IF($A2358="","",VALUE($A2358&amp;"")*12+VALUE($B2358&amp;""))</f>
        <v/>
      </c>
      <c r="N2358" s="39">
        <f>IF($A2358="","",IFERROR(INDEX(부서매핑!$C$5:$C$504,MATCH($G2358&amp;"",부서매핑!$A$5:$A$504,0)),"미매핑"))</f>
        <v/>
      </c>
      <c r="O2358" s="9">
        <f>IF($A2358="","",N2358&amp;"|"&amp;$F2358)</f>
        <v/>
      </c>
      <c r="P2358" s="77">
        <f>IF($A2358="",0,$H2358*설정!$C$23)</f>
        <v/>
      </c>
      <c r="Q2358" s="39">
        <f>IF($A2358="","",IF(O2358&lt;&gt;원인분석!$C$9,"",IF(AND(M2358&gt;=원인분석!$C$10,M2358&lt;=원인분석!$C$11),"당기",IF(AND(M2358&gt;=원인분석!$C$12,M2358&lt;=원인분석!$C$13),"비교",""))))</f>
        <v/>
      </c>
      <c r="R2358" s="9">
        <f>IF(Q2358="","",$K2358&amp;"")</f>
        <v/>
      </c>
      <c r="S2358" s="9">
        <f>IF(Q2358="","",IF(MATCH(R2358,$R$5:$R$100000,0)=ROW()-4,ROW(),""))</f>
        <v/>
      </c>
      <c r="T2358" s="9">
        <f>IF(Q2358="당기",ABS(P2358)+ROW()/1000000000,"")</f>
        <v/>
      </c>
      <c r="U2358" s="9">
        <f>IF(Q2358="비교",ABS(P2358)+ROW()/1000000000,"")</f>
        <v/>
      </c>
      <c r="V2358" s="39">
        <f>IF($A2358="","",IF(COUNTIF(변동분석!$E$7:$E$506,O2358)&gt;0,"Y","N"))</f>
        <v/>
      </c>
      <c r="W2358" s="39">
        <f>IF($A2358="","",IFERROR(INDEX(계정매핑!$D$5:$D$504,MATCH($F2358&amp;"",계정매핑!$A$5:$A$504,0)),"미매핑"))</f>
        <v/>
      </c>
      <c r="X2358" s="9">
        <f>IF($A2358="","",$F2358&amp;"")</f>
        <v/>
      </c>
    </row>
    <row r="2359">
      <c r="A2359" s="75" t="n">
        <v>2026</v>
      </c>
      <c r="B2359" s="75" t="n">
        <v>1</v>
      </c>
      <c r="C2359" s="75" t="inlineStr">
        <is>
          <t>5100000015</t>
        </is>
      </c>
      <c r="D2359" s="78" t="n">
        <v>46025</v>
      </c>
      <c r="E2359" s="75" t="inlineStr">
        <is>
          <t>KR</t>
        </is>
      </c>
      <c r="F2359" s="75" t="n">
        <v>62902000</v>
      </c>
      <c r="G2359" s="75" t="n">
        <v>1801</v>
      </c>
      <c r="H2359" s="76" t="n">
        <v>1852000</v>
      </c>
      <c r="I2359" s="75" t="inlineStr">
        <is>
          <t>1월 콜 위탁 수수료(건별)</t>
        </is>
      </c>
      <c r="J2359" s="75" t="inlineStr">
        <is>
          <t>V10013</t>
        </is>
      </c>
      <c r="K2359" s="75" t="inlineStr">
        <is>
          <t>J콜센터</t>
        </is>
      </c>
      <c r="M2359" s="9">
        <f>IF($A2359="","",VALUE($A2359&amp;"")*12+VALUE($B2359&amp;""))</f>
        <v/>
      </c>
      <c r="N2359" s="39">
        <f>IF($A2359="","",IFERROR(INDEX(부서매핑!$C$5:$C$504,MATCH($G2359&amp;"",부서매핑!$A$5:$A$504,0)),"미매핑"))</f>
        <v/>
      </c>
      <c r="O2359" s="9">
        <f>IF($A2359="","",N2359&amp;"|"&amp;$F2359)</f>
        <v/>
      </c>
      <c r="P2359" s="77">
        <f>IF($A2359="",0,$H2359*설정!$C$23)</f>
        <v/>
      </c>
      <c r="Q2359" s="39">
        <f>IF($A2359="","",IF(O2359&lt;&gt;원인분석!$C$9,"",IF(AND(M2359&gt;=원인분석!$C$10,M2359&lt;=원인분석!$C$11),"당기",IF(AND(M2359&gt;=원인분석!$C$12,M2359&lt;=원인분석!$C$13),"비교",""))))</f>
        <v/>
      </c>
      <c r="R2359" s="9">
        <f>IF(Q2359="","",$K2359&amp;"")</f>
        <v/>
      </c>
      <c r="S2359" s="9">
        <f>IF(Q2359="","",IF(MATCH(R2359,$R$5:$R$100000,0)=ROW()-4,ROW(),""))</f>
        <v/>
      </c>
      <c r="T2359" s="9">
        <f>IF(Q2359="당기",ABS(P2359)+ROW()/1000000000,"")</f>
        <v/>
      </c>
      <c r="U2359" s="9">
        <f>IF(Q2359="비교",ABS(P2359)+ROW()/1000000000,"")</f>
        <v/>
      </c>
      <c r="V2359" s="39">
        <f>IF($A2359="","",IF(COUNTIF(변동분석!$E$7:$E$506,O2359)&gt;0,"Y","N"))</f>
        <v/>
      </c>
      <c r="W2359" s="39">
        <f>IF($A2359="","",IFERROR(INDEX(계정매핑!$D$5:$D$504,MATCH($F2359&amp;"",계정매핑!$A$5:$A$504,0)),"미매핑"))</f>
        <v/>
      </c>
      <c r="X2359" s="9">
        <f>IF($A2359="","",$F2359&amp;"")</f>
        <v/>
      </c>
    </row>
    <row r="2360">
      <c r="A2360" s="75" t="n">
        <v>2026</v>
      </c>
      <c r="B2360" s="75" t="n">
        <v>1</v>
      </c>
      <c r="C2360" s="75" t="inlineStr">
        <is>
          <t>5100000016</t>
        </is>
      </c>
      <c r="D2360" s="78" t="n">
        <v>46026</v>
      </c>
      <c r="E2360" s="75" t="inlineStr">
        <is>
          <t>KR</t>
        </is>
      </c>
      <c r="F2360" s="75" t="n">
        <v>62102000</v>
      </c>
      <c r="G2360" s="75" t="n">
        <v>1501</v>
      </c>
      <c r="H2360" s="76" t="n">
        <v>268000</v>
      </c>
      <c r="I2360" s="75" t="inlineStr">
        <is>
          <t>1월 해외출장 - M항공</t>
        </is>
      </c>
      <c r="J2360" s="75" t="inlineStr">
        <is>
          <t>V10001</t>
        </is>
      </c>
      <c r="K2360" s="75" t="inlineStr">
        <is>
          <t>M항공</t>
        </is>
      </c>
      <c r="M2360" s="9">
        <f>IF($A2360="","",VALUE($A2360&amp;"")*12+VALUE($B2360&amp;""))</f>
        <v/>
      </c>
      <c r="N2360" s="39">
        <f>IF($A2360="","",IFERROR(INDEX(부서매핑!$C$5:$C$504,MATCH($G2360&amp;"",부서매핑!$A$5:$A$504,0)),"미매핑"))</f>
        <v/>
      </c>
      <c r="O2360" s="9">
        <f>IF($A2360="","",N2360&amp;"|"&amp;$F2360)</f>
        <v/>
      </c>
      <c r="P2360" s="77">
        <f>IF($A2360="",0,$H2360*설정!$C$23)</f>
        <v/>
      </c>
      <c r="Q2360" s="39">
        <f>IF($A2360="","",IF(O2360&lt;&gt;원인분석!$C$9,"",IF(AND(M2360&gt;=원인분석!$C$10,M2360&lt;=원인분석!$C$11),"당기",IF(AND(M2360&gt;=원인분석!$C$12,M2360&lt;=원인분석!$C$13),"비교",""))))</f>
        <v/>
      </c>
      <c r="R2360" s="9">
        <f>IF(Q2360="","",$K2360&amp;"")</f>
        <v/>
      </c>
      <c r="S2360" s="9">
        <f>IF(Q2360="","",IF(MATCH(R2360,$R$5:$R$100000,0)=ROW()-4,ROW(),""))</f>
        <v/>
      </c>
      <c r="T2360" s="9">
        <f>IF(Q2360="당기",ABS(P2360)+ROW()/1000000000,"")</f>
        <v/>
      </c>
      <c r="U2360" s="9">
        <f>IF(Q2360="비교",ABS(P2360)+ROW()/1000000000,"")</f>
        <v/>
      </c>
      <c r="V2360" s="39">
        <f>IF($A2360="","",IF(COUNTIF(변동분석!$E$7:$E$506,O2360)&gt;0,"Y","N"))</f>
        <v/>
      </c>
      <c r="W2360" s="39">
        <f>IF($A2360="","",IFERROR(INDEX(계정매핑!$D$5:$D$504,MATCH($F2360&amp;"",계정매핑!$A$5:$A$504,0)),"미매핑"))</f>
        <v/>
      </c>
      <c r="X2360" s="9">
        <f>IF($A2360="","",$F2360&amp;"")</f>
        <v/>
      </c>
    </row>
    <row r="2361">
      <c r="A2361" s="75" t="n">
        <v>2026</v>
      </c>
      <c r="B2361" s="75" t="n">
        <v>1</v>
      </c>
      <c r="C2361" s="75" t="inlineStr">
        <is>
          <t>5100000017</t>
        </is>
      </c>
      <c r="D2361" s="78" t="n">
        <v>46026</v>
      </c>
      <c r="E2361" s="75" t="inlineStr">
        <is>
          <t>KR</t>
        </is>
      </c>
      <c r="F2361" s="75" t="n">
        <v>62501000</v>
      </c>
      <c r="G2361" s="75" t="n">
        <v>1301</v>
      </c>
      <c r="H2361" s="76" t="n">
        <v>219000</v>
      </c>
      <c r="I2361" s="75" t="inlineStr">
        <is>
          <t>1월 회의 다과 - (법인카드)</t>
        </is>
      </c>
      <c r="J2361" s="75" t="inlineStr">
        <is>
          <t>V10008</t>
        </is>
      </c>
      <c r="K2361" s="75" t="inlineStr">
        <is>
          <t>(법인카드)</t>
        </is>
      </c>
      <c r="M2361" s="9">
        <f>IF($A2361="","",VALUE($A2361&amp;"")*12+VALUE($B2361&amp;""))</f>
        <v/>
      </c>
      <c r="N2361" s="39">
        <f>IF($A2361="","",IFERROR(INDEX(부서매핑!$C$5:$C$504,MATCH($G2361&amp;"",부서매핑!$A$5:$A$504,0)),"미매핑"))</f>
        <v/>
      </c>
      <c r="O2361" s="9">
        <f>IF($A2361="","",N2361&amp;"|"&amp;$F2361)</f>
        <v/>
      </c>
      <c r="P2361" s="77">
        <f>IF($A2361="",0,$H2361*설정!$C$23)</f>
        <v/>
      </c>
      <c r="Q2361" s="39">
        <f>IF($A2361="","",IF(O2361&lt;&gt;원인분석!$C$9,"",IF(AND(M2361&gt;=원인분석!$C$10,M2361&lt;=원인분석!$C$11),"당기",IF(AND(M2361&gt;=원인분석!$C$12,M2361&lt;=원인분석!$C$13),"비교",""))))</f>
        <v/>
      </c>
      <c r="R2361" s="9">
        <f>IF(Q2361="","",$K2361&amp;"")</f>
        <v/>
      </c>
      <c r="S2361" s="9">
        <f>IF(Q2361="","",IF(MATCH(R2361,$R$5:$R$100000,0)=ROW()-4,ROW(),""))</f>
        <v/>
      </c>
      <c r="T2361" s="9">
        <f>IF(Q2361="당기",ABS(P2361)+ROW()/1000000000,"")</f>
        <v/>
      </c>
      <c r="U2361" s="9">
        <f>IF(Q2361="비교",ABS(P2361)+ROW()/1000000000,"")</f>
        <v/>
      </c>
      <c r="V2361" s="39">
        <f>IF($A2361="","",IF(COUNTIF(변동분석!$E$7:$E$506,O2361)&gt;0,"Y","N"))</f>
        <v/>
      </c>
      <c r="W2361" s="39">
        <f>IF($A2361="","",IFERROR(INDEX(계정매핑!$D$5:$D$504,MATCH($F2361&amp;"",계정매핑!$A$5:$A$504,0)),"미매핑"))</f>
        <v/>
      </c>
      <c r="X2361" s="9">
        <f>IF($A2361="","",$F2361&amp;"")</f>
        <v/>
      </c>
    </row>
    <row r="2362">
      <c r="A2362" s="75" t="n">
        <v>2026</v>
      </c>
      <c r="B2362" s="75" t="n">
        <v>1</v>
      </c>
      <c r="C2362" s="75" t="inlineStr">
        <is>
          <t>5100000018</t>
        </is>
      </c>
      <c r="D2362" s="78" t="n">
        <v>46026</v>
      </c>
      <c r="E2362" s="75" t="inlineStr">
        <is>
          <t>KR</t>
        </is>
      </c>
      <c r="F2362" s="75" t="n">
        <v>62902000</v>
      </c>
      <c r="G2362" s="75" t="n">
        <v>1801</v>
      </c>
      <c r="H2362" s="76" t="n">
        <v>1764000</v>
      </c>
      <c r="I2362" s="75" t="inlineStr">
        <is>
          <t>1월 콜 위탁 수수료(건별)</t>
        </is>
      </c>
      <c r="J2362" s="75" t="inlineStr">
        <is>
          <t>V10013</t>
        </is>
      </c>
      <c r="K2362" s="75" t="inlineStr">
        <is>
          <t>J콜센터</t>
        </is>
      </c>
      <c r="M2362" s="9">
        <f>IF($A2362="","",VALUE($A2362&amp;"")*12+VALUE($B2362&amp;""))</f>
        <v/>
      </c>
      <c r="N2362" s="39">
        <f>IF($A2362="","",IFERROR(INDEX(부서매핑!$C$5:$C$504,MATCH($G2362&amp;"",부서매핑!$A$5:$A$504,0)),"미매핑"))</f>
        <v/>
      </c>
      <c r="O2362" s="9">
        <f>IF($A2362="","",N2362&amp;"|"&amp;$F2362)</f>
        <v/>
      </c>
      <c r="P2362" s="77">
        <f>IF($A2362="",0,$H2362*설정!$C$23)</f>
        <v/>
      </c>
      <c r="Q2362" s="39">
        <f>IF($A2362="","",IF(O2362&lt;&gt;원인분석!$C$9,"",IF(AND(M2362&gt;=원인분석!$C$10,M2362&lt;=원인분석!$C$11),"당기",IF(AND(M2362&gt;=원인분석!$C$12,M2362&lt;=원인분석!$C$13),"비교",""))))</f>
        <v/>
      </c>
      <c r="R2362" s="9">
        <f>IF(Q2362="","",$K2362&amp;"")</f>
        <v/>
      </c>
      <c r="S2362" s="9">
        <f>IF(Q2362="","",IF(MATCH(R2362,$R$5:$R$100000,0)=ROW()-4,ROW(),""))</f>
        <v/>
      </c>
      <c r="T2362" s="9">
        <f>IF(Q2362="당기",ABS(P2362)+ROW()/1000000000,"")</f>
        <v/>
      </c>
      <c r="U2362" s="9">
        <f>IF(Q2362="비교",ABS(P2362)+ROW()/1000000000,"")</f>
        <v/>
      </c>
      <c r="V2362" s="39">
        <f>IF($A2362="","",IF(COUNTIF(변동분석!$E$7:$E$506,O2362)&gt;0,"Y","N"))</f>
        <v/>
      </c>
      <c r="W2362" s="39">
        <f>IF($A2362="","",IFERROR(INDEX(계정매핑!$D$5:$D$504,MATCH($F2362&amp;"",계정매핑!$A$5:$A$504,0)),"미매핑"))</f>
        <v/>
      </c>
      <c r="X2362" s="9">
        <f>IF($A2362="","",$F2362&amp;"")</f>
        <v/>
      </c>
    </row>
    <row r="2363">
      <c r="A2363" s="75" t="n">
        <v>2026</v>
      </c>
      <c r="B2363" s="75" t="n">
        <v>1</v>
      </c>
      <c r="C2363" s="75" t="inlineStr">
        <is>
          <t>5100000019</t>
        </is>
      </c>
      <c r="D2363" s="78" t="n">
        <v>46026</v>
      </c>
      <c r="E2363" s="75" t="inlineStr">
        <is>
          <t>KR</t>
        </is>
      </c>
      <c r="F2363" s="75" t="n">
        <v>63101000</v>
      </c>
      <c r="G2363" s="75" t="n">
        <v>1602</v>
      </c>
      <c r="H2363" s="76" t="n">
        <v>4498000</v>
      </c>
      <c r="I2363" s="75" t="inlineStr">
        <is>
          <t>1월 사무실 임차료 - BB부동산</t>
        </is>
      </c>
      <c r="J2363" s="75" t="inlineStr">
        <is>
          <t>V10024</t>
        </is>
      </c>
      <c r="K2363" s="75" t="inlineStr">
        <is>
          <t>BB부동산</t>
        </is>
      </c>
      <c r="M2363" s="9">
        <f>IF($A2363="","",VALUE($A2363&amp;"")*12+VALUE($B2363&amp;""))</f>
        <v/>
      </c>
      <c r="N2363" s="39">
        <f>IF($A2363="","",IFERROR(INDEX(부서매핑!$C$5:$C$504,MATCH($G2363&amp;"",부서매핑!$A$5:$A$504,0)),"미매핑"))</f>
        <v/>
      </c>
      <c r="O2363" s="9">
        <f>IF($A2363="","",N2363&amp;"|"&amp;$F2363)</f>
        <v/>
      </c>
      <c r="P2363" s="77">
        <f>IF($A2363="",0,$H2363*설정!$C$23)</f>
        <v/>
      </c>
      <c r="Q2363" s="39">
        <f>IF($A2363="","",IF(O2363&lt;&gt;원인분석!$C$9,"",IF(AND(M2363&gt;=원인분석!$C$10,M2363&lt;=원인분석!$C$11),"당기",IF(AND(M2363&gt;=원인분석!$C$12,M2363&lt;=원인분석!$C$13),"비교",""))))</f>
        <v/>
      </c>
      <c r="R2363" s="9">
        <f>IF(Q2363="","",$K2363&amp;"")</f>
        <v/>
      </c>
      <c r="S2363" s="9">
        <f>IF(Q2363="","",IF(MATCH(R2363,$R$5:$R$100000,0)=ROW()-4,ROW(),""))</f>
        <v/>
      </c>
      <c r="T2363" s="9">
        <f>IF(Q2363="당기",ABS(P2363)+ROW()/1000000000,"")</f>
        <v/>
      </c>
      <c r="U2363" s="9">
        <f>IF(Q2363="비교",ABS(P2363)+ROW()/1000000000,"")</f>
        <v/>
      </c>
      <c r="V2363" s="39">
        <f>IF($A2363="","",IF(COUNTIF(변동분석!$E$7:$E$506,O2363)&gt;0,"Y","N"))</f>
        <v/>
      </c>
      <c r="W2363" s="39">
        <f>IF($A2363="","",IFERROR(INDEX(계정매핑!$D$5:$D$504,MATCH($F2363&amp;"",계정매핑!$A$5:$A$504,0)),"미매핑"))</f>
        <v/>
      </c>
      <c r="X2363" s="9">
        <f>IF($A2363="","",$F2363&amp;"")</f>
        <v/>
      </c>
    </row>
    <row r="2364">
      <c r="A2364" s="75" t="n">
        <v>2026</v>
      </c>
      <c r="B2364" s="75" t="n">
        <v>1</v>
      </c>
      <c r="C2364" s="75" t="inlineStr">
        <is>
          <t>5100000020</t>
        </is>
      </c>
      <c r="D2364" s="78" t="n">
        <v>46027</v>
      </c>
      <c r="E2364" s="75" t="inlineStr">
        <is>
          <t>KR</t>
        </is>
      </c>
      <c r="F2364" s="75" t="n">
        <v>62101000</v>
      </c>
      <c r="G2364" s="75" t="n">
        <v>1502</v>
      </c>
      <c r="H2364" s="76" t="n">
        <v>441000</v>
      </c>
      <c r="I2364" s="75" t="inlineStr">
        <is>
          <t>1월 국내출장 - (법인카드)</t>
        </is>
      </c>
      <c r="J2364" s="75" t="inlineStr">
        <is>
          <t>V10008</t>
        </is>
      </c>
      <c r="K2364" s="75" t="inlineStr">
        <is>
          <t>(법인카드)</t>
        </is>
      </c>
      <c r="M2364" s="9">
        <f>IF($A2364="","",VALUE($A2364&amp;"")*12+VALUE($B2364&amp;""))</f>
        <v/>
      </c>
      <c r="N2364" s="39">
        <f>IF($A2364="","",IFERROR(INDEX(부서매핑!$C$5:$C$504,MATCH($G2364&amp;"",부서매핑!$A$5:$A$504,0)),"미매핑"))</f>
        <v/>
      </c>
      <c r="O2364" s="9">
        <f>IF($A2364="","",N2364&amp;"|"&amp;$F2364)</f>
        <v/>
      </c>
      <c r="P2364" s="77">
        <f>IF($A2364="",0,$H2364*설정!$C$23)</f>
        <v/>
      </c>
      <c r="Q2364" s="39">
        <f>IF($A2364="","",IF(O2364&lt;&gt;원인분석!$C$9,"",IF(AND(M2364&gt;=원인분석!$C$10,M2364&lt;=원인분석!$C$11),"당기",IF(AND(M2364&gt;=원인분석!$C$12,M2364&lt;=원인분석!$C$13),"비교",""))))</f>
        <v/>
      </c>
      <c r="R2364" s="9">
        <f>IF(Q2364="","",$K2364&amp;"")</f>
        <v/>
      </c>
      <c r="S2364" s="9">
        <f>IF(Q2364="","",IF(MATCH(R2364,$R$5:$R$100000,0)=ROW()-4,ROW(),""))</f>
        <v/>
      </c>
      <c r="T2364" s="9">
        <f>IF(Q2364="당기",ABS(P2364)+ROW()/1000000000,"")</f>
        <v/>
      </c>
      <c r="U2364" s="9">
        <f>IF(Q2364="비교",ABS(P2364)+ROW()/1000000000,"")</f>
        <v/>
      </c>
      <c r="V2364" s="39">
        <f>IF($A2364="","",IF(COUNTIF(변동분석!$E$7:$E$506,O2364)&gt;0,"Y","N"))</f>
        <v/>
      </c>
      <c r="W2364" s="39">
        <f>IF($A2364="","",IFERROR(INDEX(계정매핑!$D$5:$D$504,MATCH($F2364&amp;"",계정매핑!$A$5:$A$504,0)),"미매핑"))</f>
        <v/>
      </c>
      <c r="X2364" s="9">
        <f>IF($A2364="","",$F2364&amp;"")</f>
        <v/>
      </c>
    </row>
    <row r="2365">
      <c r="A2365" s="75" t="n">
        <v>2026</v>
      </c>
      <c r="B2365" s="75" t="n">
        <v>1</v>
      </c>
      <c r="C2365" s="75" t="inlineStr">
        <is>
          <t>5100000021</t>
        </is>
      </c>
      <c r="D2365" s="78" t="n">
        <v>46027</v>
      </c>
      <c r="E2365" s="75" t="inlineStr">
        <is>
          <t>KR</t>
        </is>
      </c>
      <c r="F2365" s="75" t="n">
        <v>62102000</v>
      </c>
      <c r="G2365" s="75" t="n">
        <v>1601</v>
      </c>
      <c r="H2365" s="76" t="n">
        <v>392000</v>
      </c>
      <c r="I2365" s="75" t="inlineStr">
        <is>
          <t>1월 해외출장 - N호텔</t>
        </is>
      </c>
      <c r="J2365" s="75" t="inlineStr">
        <is>
          <t>V10007</t>
        </is>
      </c>
      <c r="K2365" s="75" t="inlineStr">
        <is>
          <t>N호텔</t>
        </is>
      </c>
      <c r="M2365" s="9">
        <f>IF($A2365="","",VALUE($A2365&amp;"")*12+VALUE($B2365&amp;""))</f>
        <v/>
      </c>
      <c r="N2365" s="39">
        <f>IF($A2365="","",IFERROR(INDEX(부서매핑!$C$5:$C$504,MATCH($G2365&amp;"",부서매핑!$A$5:$A$504,0)),"미매핑"))</f>
        <v/>
      </c>
      <c r="O2365" s="9">
        <f>IF($A2365="","",N2365&amp;"|"&amp;$F2365)</f>
        <v/>
      </c>
      <c r="P2365" s="77">
        <f>IF($A2365="",0,$H2365*설정!$C$23)</f>
        <v/>
      </c>
      <c r="Q2365" s="39">
        <f>IF($A2365="","",IF(O2365&lt;&gt;원인분석!$C$9,"",IF(AND(M2365&gt;=원인분석!$C$10,M2365&lt;=원인분석!$C$11),"당기",IF(AND(M2365&gt;=원인분석!$C$12,M2365&lt;=원인분석!$C$13),"비교",""))))</f>
        <v/>
      </c>
      <c r="R2365" s="9">
        <f>IF(Q2365="","",$K2365&amp;"")</f>
        <v/>
      </c>
      <c r="S2365" s="9">
        <f>IF(Q2365="","",IF(MATCH(R2365,$R$5:$R$100000,0)=ROW()-4,ROW(),""))</f>
        <v/>
      </c>
      <c r="T2365" s="9">
        <f>IF(Q2365="당기",ABS(P2365)+ROW()/1000000000,"")</f>
        <v/>
      </c>
      <c r="U2365" s="9">
        <f>IF(Q2365="비교",ABS(P2365)+ROW()/1000000000,"")</f>
        <v/>
      </c>
      <c r="V2365" s="39">
        <f>IF($A2365="","",IF(COUNTIF(변동분석!$E$7:$E$506,O2365)&gt;0,"Y","N"))</f>
        <v/>
      </c>
      <c r="W2365" s="39">
        <f>IF($A2365="","",IFERROR(INDEX(계정매핑!$D$5:$D$504,MATCH($F2365&amp;"",계정매핑!$A$5:$A$504,0)),"미매핑"))</f>
        <v/>
      </c>
      <c r="X2365" s="9">
        <f>IF($A2365="","",$F2365&amp;"")</f>
        <v/>
      </c>
    </row>
    <row r="2366">
      <c r="A2366" s="75" t="n">
        <v>2026</v>
      </c>
      <c r="B2366" s="75" t="n">
        <v>1</v>
      </c>
      <c r="C2366" s="75" t="inlineStr">
        <is>
          <t>5100000022</t>
        </is>
      </c>
      <c r="D2366" s="78" t="n">
        <v>46027</v>
      </c>
      <c r="E2366" s="75" t="inlineStr">
        <is>
          <t>KR</t>
        </is>
      </c>
      <c r="F2366" s="75" t="n">
        <v>62201000</v>
      </c>
      <c r="G2366" s="75" t="n">
        <v>1401</v>
      </c>
      <c r="H2366" s="76" t="n">
        <v>306000</v>
      </c>
      <c r="I2366" s="75" t="inlineStr">
        <is>
          <t>1월 통신요금 - O텔레콤</t>
        </is>
      </c>
      <c r="J2366" s="75" t="inlineStr">
        <is>
          <t>V10002</t>
        </is>
      </c>
      <c r="K2366" s="75" t="inlineStr">
        <is>
          <t>O텔레콤</t>
        </is>
      </c>
      <c r="M2366" s="9">
        <f>IF($A2366="","",VALUE($A2366&amp;"")*12+VALUE($B2366&amp;""))</f>
        <v/>
      </c>
      <c r="N2366" s="39">
        <f>IF($A2366="","",IFERROR(INDEX(부서매핑!$C$5:$C$504,MATCH($G2366&amp;"",부서매핑!$A$5:$A$504,0)),"미매핑"))</f>
        <v/>
      </c>
      <c r="O2366" s="9">
        <f>IF($A2366="","",N2366&amp;"|"&amp;$F2366)</f>
        <v/>
      </c>
      <c r="P2366" s="77">
        <f>IF($A2366="",0,$H2366*설정!$C$23)</f>
        <v/>
      </c>
      <c r="Q2366" s="39">
        <f>IF($A2366="","",IF(O2366&lt;&gt;원인분석!$C$9,"",IF(AND(M2366&gt;=원인분석!$C$10,M2366&lt;=원인분석!$C$11),"당기",IF(AND(M2366&gt;=원인분석!$C$12,M2366&lt;=원인분석!$C$13),"비교",""))))</f>
        <v/>
      </c>
      <c r="R2366" s="9">
        <f>IF(Q2366="","",$K2366&amp;"")</f>
        <v/>
      </c>
      <c r="S2366" s="9">
        <f>IF(Q2366="","",IF(MATCH(R2366,$R$5:$R$100000,0)=ROW()-4,ROW(),""))</f>
        <v/>
      </c>
      <c r="T2366" s="9">
        <f>IF(Q2366="당기",ABS(P2366)+ROW()/1000000000,"")</f>
        <v/>
      </c>
      <c r="U2366" s="9">
        <f>IF(Q2366="비교",ABS(P2366)+ROW()/1000000000,"")</f>
        <v/>
      </c>
      <c r="V2366" s="39">
        <f>IF($A2366="","",IF(COUNTIF(변동분석!$E$7:$E$506,O2366)&gt;0,"Y","N"))</f>
        <v/>
      </c>
      <c r="W2366" s="39">
        <f>IF($A2366="","",IFERROR(INDEX(계정매핑!$D$5:$D$504,MATCH($F2366&amp;"",계정매핑!$A$5:$A$504,0)),"미매핑"))</f>
        <v/>
      </c>
      <c r="X2366" s="9">
        <f>IF($A2366="","",$F2366&amp;"")</f>
        <v/>
      </c>
    </row>
    <row r="2367">
      <c r="A2367" s="75" t="n">
        <v>2026</v>
      </c>
      <c r="B2367" s="75" t="n">
        <v>1</v>
      </c>
      <c r="C2367" s="75" t="inlineStr">
        <is>
          <t>5100000023</t>
        </is>
      </c>
      <c r="D2367" s="78" t="n">
        <v>46027</v>
      </c>
      <c r="E2367" s="75" t="inlineStr">
        <is>
          <t>KR</t>
        </is>
      </c>
      <c r="F2367" s="75" t="n">
        <v>62201000</v>
      </c>
      <c r="G2367" s="75" t="n">
        <v>1501</v>
      </c>
      <c r="H2367" s="76" t="n">
        <v>213000</v>
      </c>
      <c r="I2367" s="75" t="inlineStr">
        <is>
          <t>1월 통신요금 - O텔레콤</t>
        </is>
      </c>
      <c r="J2367" s="75" t="inlineStr">
        <is>
          <t>V10002</t>
        </is>
      </c>
      <c r="K2367" s="75" t="inlineStr">
        <is>
          <t>O텔레콤</t>
        </is>
      </c>
      <c r="M2367" s="9">
        <f>IF($A2367="","",VALUE($A2367&amp;"")*12+VALUE($B2367&amp;""))</f>
        <v/>
      </c>
      <c r="N2367" s="39">
        <f>IF($A2367="","",IFERROR(INDEX(부서매핑!$C$5:$C$504,MATCH($G2367&amp;"",부서매핑!$A$5:$A$504,0)),"미매핑"))</f>
        <v/>
      </c>
      <c r="O2367" s="9">
        <f>IF($A2367="","",N2367&amp;"|"&amp;$F2367)</f>
        <v/>
      </c>
      <c r="P2367" s="77">
        <f>IF($A2367="",0,$H2367*설정!$C$23)</f>
        <v/>
      </c>
      <c r="Q2367" s="39">
        <f>IF($A2367="","",IF(O2367&lt;&gt;원인분석!$C$9,"",IF(AND(M2367&gt;=원인분석!$C$10,M2367&lt;=원인분석!$C$11),"당기",IF(AND(M2367&gt;=원인분석!$C$12,M2367&lt;=원인분석!$C$13),"비교",""))))</f>
        <v/>
      </c>
      <c r="R2367" s="9">
        <f>IF(Q2367="","",$K2367&amp;"")</f>
        <v/>
      </c>
      <c r="S2367" s="9">
        <f>IF(Q2367="","",IF(MATCH(R2367,$R$5:$R$100000,0)=ROW()-4,ROW(),""))</f>
        <v/>
      </c>
      <c r="T2367" s="9">
        <f>IF(Q2367="당기",ABS(P2367)+ROW()/1000000000,"")</f>
        <v/>
      </c>
      <c r="U2367" s="9">
        <f>IF(Q2367="비교",ABS(P2367)+ROW()/1000000000,"")</f>
        <v/>
      </c>
      <c r="V2367" s="39">
        <f>IF($A2367="","",IF(COUNTIF(변동분석!$E$7:$E$506,O2367)&gt;0,"Y","N"))</f>
        <v/>
      </c>
      <c r="W2367" s="39">
        <f>IF($A2367="","",IFERROR(INDEX(계정매핑!$D$5:$D$504,MATCH($F2367&amp;"",계정매핑!$A$5:$A$504,0)),"미매핑"))</f>
        <v/>
      </c>
      <c r="X2367" s="9">
        <f>IF($A2367="","",$F2367&amp;"")</f>
        <v/>
      </c>
    </row>
    <row r="2368">
      <c r="A2368" s="75" t="n">
        <v>2026</v>
      </c>
      <c r="B2368" s="75" t="n">
        <v>1</v>
      </c>
      <c r="C2368" s="75" t="inlineStr">
        <is>
          <t>5100000024</t>
        </is>
      </c>
      <c r="D2368" s="78" t="n">
        <v>46027</v>
      </c>
      <c r="E2368" s="75" t="inlineStr">
        <is>
          <t>KR</t>
        </is>
      </c>
      <c r="F2368" s="75" t="n">
        <v>62301000</v>
      </c>
      <c r="G2368" s="75" t="n">
        <v>1101</v>
      </c>
      <c r="H2368" s="76" t="n">
        <v>241000</v>
      </c>
      <c r="I2368" s="75" t="inlineStr">
        <is>
          <t>1월 소모품 구입 - Q오피스</t>
        </is>
      </c>
      <c r="J2368" s="75" t="inlineStr">
        <is>
          <t>V10003</t>
        </is>
      </c>
      <c r="K2368" s="75" t="inlineStr">
        <is>
          <t>Q오피스</t>
        </is>
      </c>
      <c r="M2368" s="9">
        <f>IF($A2368="","",VALUE($A2368&amp;"")*12+VALUE($B2368&amp;""))</f>
        <v/>
      </c>
      <c r="N2368" s="39">
        <f>IF($A2368="","",IFERROR(INDEX(부서매핑!$C$5:$C$504,MATCH($G2368&amp;"",부서매핑!$A$5:$A$504,0)),"미매핑"))</f>
        <v/>
      </c>
      <c r="O2368" s="9">
        <f>IF($A2368="","",N2368&amp;"|"&amp;$F2368)</f>
        <v/>
      </c>
      <c r="P2368" s="77">
        <f>IF($A2368="",0,$H2368*설정!$C$23)</f>
        <v/>
      </c>
      <c r="Q2368" s="39">
        <f>IF($A2368="","",IF(O2368&lt;&gt;원인분석!$C$9,"",IF(AND(M2368&gt;=원인분석!$C$10,M2368&lt;=원인분석!$C$11),"당기",IF(AND(M2368&gt;=원인분석!$C$12,M2368&lt;=원인분석!$C$13),"비교",""))))</f>
        <v/>
      </c>
      <c r="R2368" s="9">
        <f>IF(Q2368="","",$K2368&amp;"")</f>
        <v/>
      </c>
      <c r="S2368" s="9">
        <f>IF(Q2368="","",IF(MATCH(R2368,$R$5:$R$100000,0)=ROW()-4,ROW(),""))</f>
        <v/>
      </c>
      <c r="T2368" s="9">
        <f>IF(Q2368="당기",ABS(P2368)+ROW()/1000000000,"")</f>
        <v/>
      </c>
      <c r="U2368" s="9">
        <f>IF(Q2368="비교",ABS(P2368)+ROW()/1000000000,"")</f>
        <v/>
      </c>
      <c r="V2368" s="39">
        <f>IF($A2368="","",IF(COUNTIF(변동분석!$E$7:$E$506,O2368)&gt;0,"Y","N"))</f>
        <v/>
      </c>
      <c r="W2368" s="39">
        <f>IF($A2368="","",IFERROR(INDEX(계정매핑!$D$5:$D$504,MATCH($F2368&amp;"",계정매핑!$A$5:$A$504,0)),"미매핑"))</f>
        <v/>
      </c>
      <c r="X2368" s="9">
        <f>IF($A2368="","",$F2368&amp;"")</f>
        <v/>
      </c>
    </row>
    <row r="2369">
      <c r="A2369" s="75" t="n">
        <v>2026</v>
      </c>
      <c r="B2369" s="75" t="n">
        <v>1</v>
      </c>
      <c r="C2369" s="75" t="inlineStr">
        <is>
          <t>5100000025</t>
        </is>
      </c>
      <c r="D2369" s="78" t="n">
        <v>46027</v>
      </c>
      <c r="E2369" s="75" t="inlineStr">
        <is>
          <t>KR</t>
        </is>
      </c>
      <c r="F2369" s="75" t="n">
        <v>62301000</v>
      </c>
      <c r="G2369" s="75" t="n">
        <v>1201</v>
      </c>
      <c r="H2369" s="76" t="n">
        <v>165000</v>
      </c>
      <c r="I2369" s="75" t="inlineStr">
        <is>
          <t>1월 소모품 구입 - R문구</t>
        </is>
      </c>
      <c r="J2369" s="75" t="inlineStr">
        <is>
          <t>V10018</t>
        </is>
      </c>
      <c r="K2369" s="75" t="inlineStr">
        <is>
          <t>R문구</t>
        </is>
      </c>
      <c r="M2369" s="9">
        <f>IF($A2369="","",VALUE($A2369&amp;"")*12+VALUE($B2369&amp;""))</f>
        <v/>
      </c>
      <c r="N2369" s="39">
        <f>IF($A2369="","",IFERROR(INDEX(부서매핑!$C$5:$C$504,MATCH($G2369&amp;"",부서매핑!$A$5:$A$504,0)),"미매핑"))</f>
        <v/>
      </c>
      <c r="O2369" s="9">
        <f>IF($A2369="","",N2369&amp;"|"&amp;$F2369)</f>
        <v/>
      </c>
      <c r="P2369" s="77">
        <f>IF($A2369="",0,$H2369*설정!$C$23)</f>
        <v/>
      </c>
      <c r="Q2369" s="39">
        <f>IF($A2369="","",IF(O2369&lt;&gt;원인분석!$C$9,"",IF(AND(M2369&gt;=원인분석!$C$10,M2369&lt;=원인분석!$C$11),"당기",IF(AND(M2369&gt;=원인분석!$C$12,M2369&lt;=원인분석!$C$13),"비교",""))))</f>
        <v/>
      </c>
      <c r="R2369" s="9">
        <f>IF(Q2369="","",$K2369&amp;"")</f>
        <v/>
      </c>
      <c r="S2369" s="9">
        <f>IF(Q2369="","",IF(MATCH(R2369,$R$5:$R$100000,0)=ROW()-4,ROW(),""))</f>
        <v/>
      </c>
      <c r="T2369" s="9">
        <f>IF(Q2369="당기",ABS(P2369)+ROW()/1000000000,"")</f>
        <v/>
      </c>
      <c r="U2369" s="9">
        <f>IF(Q2369="비교",ABS(P2369)+ROW()/1000000000,"")</f>
        <v/>
      </c>
      <c r="V2369" s="39">
        <f>IF($A2369="","",IF(COUNTIF(변동분석!$E$7:$E$506,O2369)&gt;0,"Y","N"))</f>
        <v/>
      </c>
      <c r="W2369" s="39">
        <f>IF($A2369="","",IFERROR(INDEX(계정매핑!$D$5:$D$504,MATCH($F2369&amp;"",계정매핑!$A$5:$A$504,0)),"미매핑"))</f>
        <v/>
      </c>
      <c r="X2369" s="9">
        <f>IF($A2369="","",$F2369&amp;"")</f>
        <v/>
      </c>
    </row>
    <row r="2370">
      <c r="A2370" s="75" t="n">
        <v>2026</v>
      </c>
      <c r="B2370" s="75" t="n">
        <v>1</v>
      </c>
      <c r="C2370" s="75" t="inlineStr">
        <is>
          <t>5100000026</t>
        </is>
      </c>
      <c r="D2370" s="78" t="n">
        <v>46027</v>
      </c>
      <c r="E2370" s="75" t="inlineStr">
        <is>
          <t>KR</t>
        </is>
      </c>
      <c r="F2370" s="75" t="n">
        <v>62601000</v>
      </c>
      <c r="G2370" s="75" t="n">
        <v>1101</v>
      </c>
      <c r="H2370" s="76" t="n">
        <v>1830000</v>
      </c>
      <c r="I2370" s="75" t="inlineStr">
        <is>
          <t>1월 업무추진 - (법인카드)</t>
        </is>
      </c>
      <c r="J2370" s="75" t="inlineStr">
        <is>
          <t>V10008</t>
        </is>
      </c>
      <c r="K2370" s="75" t="inlineStr">
        <is>
          <t>(법인카드)</t>
        </is>
      </c>
      <c r="M2370" s="9">
        <f>IF($A2370="","",VALUE($A2370&amp;"")*12+VALUE($B2370&amp;""))</f>
        <v/>
      </c>
      <c r="N2370" s="39">
        <f>IF($A2370="","",IFERROR(INDEX(부서매핑!$C$5:$C$504,MATCH($G2370&amp;"",부서매핑!$A$5:$A$504,0)),"미매핑"))</f>
        <v/>
      </c>
      <c r="O2370" s="9">
        <f>IF($A2370="","",N2370&amp;"|"&amp;$F2370)</f>
        <v/>
      </c>
      <c r="P2370" s="77">
        <f>IF($A2370="",0,$H2370*설정!$C$23)</f>
        <v/>
      </c>
      <c r="Q2370" s="39">
        <f>IF($A2370="","",IF(O2370&lt;&gt;원인분석!$C$9,"",IF(AND(M2370&gt;=원인분석!$C$10,M2370&lt;=원인분석!$C$11),"당기",IF(AND(M2370&gt;=원인분석!$C$12,M2370&lt;=원인분석!$C$13),"비교",""))))</f>
        <v/>
      </c>
      <c r="R2370" s="9">
        <f>IF(Q2370="","",$K2370&amp;"")</f>
        <v/>
      </c>
      <c r="S2370" s="9">
        <f>IF(Q2370="","",IF(MATCH(R2370,$R$5:$R$100000,0)=ROW()-4,ROW(),""))</f>
        <v/>
      </c>
      <c r="T2370" s="9">
        <f>IF(Q2370="당기",ABS(P2370)+ROW()/1000000000,"")</f>
        <v/>
      </c>
      <c r="U2370" s="9">
        <f>IF(Q2370="비교",ABS(P2370)+ROW()/1000000000,"")</f>
        <v/>
      </c>
      <c r="V2370" s="39">
        <f>IF($A2370="","",IF(COUNTIF(변동분석!$E$7:$E$506,O2370)&gt;0,"Y","N"))</f>
        <v/>
      </c>
      <c r="W2370" s="39">
        <f>IF($A2370="","",IFERROR(INDEX(계정매핑!$D$5:$D$504,MATCH($F2370&amp;"",계정매핑!$A$5:$A$504,0)),"미매핑"))</f>
        <v/>
      </c>
      <c r="X2370" s="9">
        <f>IF($A2370="","",$F2370&amp;"")</f>
        <v/>
      </c>
    </row>
    <row r="2371">
      <c r="A2371" s="75" t="n">
        <v>2026</v>
      </c>
      <c r="B2371" s="75" t="n">
        <v>1</v>
      </c>
      <c r="C2371" s="75" t="inlineStr">
        <is>
          <t>5100000027</t>
        </is>
      </c>
      <c r="D2371" s="78" t="n">
        <v>46027</v>
      </c>
      <c r="E2371" s="75" t="inlineStr">
        <is>
          <t>KR</t>
        </is>
      </c>
      <c r="F2371" s="75" t="n">
        <v>62802000</v>
      </c>
      <c r="G2371" s="75" t="n">
        <v>1301</v>
      </c>
      <c r="H2371" s="76" t="n">
        <v>3308000</v>
      </c>
      <c r="I2371" s="75" t="inlineStr">
        <is>
          <t>1월 위탁교육 - I교육원</t>
        </is>
      </c>
      <c r="J2371" s="75" t="inlineStr">
        <is>
          <t>V10015</t>
        </is>
      </c>
      <c r="K2371" s="75" t="inlineStr">
        <is>
          <t>I교육원</t>
        </is>
      </c>
      <c r="M2371" s="9">
        <f>IF($A2371="","",VALUE($A2371&amp;"")*12+VALUE($B2371&amp;""))</f>
        <v/>
      </c>
      <c r="N2371" s="39">
        <f>IF($A2371="","",IFERROR(INDEX(부서매핑!$C$5:$C$504,MATCH($G2371&amp;"",부서매핑!$A$5:$A$504,0)),"미매핑"))</f>
        <v/>
      </c>
      <c r="O2371" s="9">
        <f>IF($A2371="","",N2371&amp;"|"&amp;$F2371)</f>
        <v/>
      </c>
      <c r="P2371" s="77">
        <f>IF($A2371="",0,$H2371*설정!$C$23)</f>
        <v/>
      </c>
      <c r="Q2371" s="39">
        <f>IF($A2371="","",IF(O2371&lt;&gt;원인분석!$C$9,"",IF(AND(M2371&gt;=원인분석!$C$10,M2371&lt;=원인분석!$C$11),"당기",IF(AND(M2371&gt;=원인분석!$C$12,M2371&lt;=원인분석!$C$13),"비교",""))))</f>
        <v/>
      </c>
      <c r="R2371" s="9">
        <f>IF(Q2371="","",$K2371&amp;"")</f>
        <v/>
      </c>
      <c r="S2371" s="9">
        <f>IF(Q2371="","",IF(MATCH(R2371,$R$5:$R$100000,0)=ROW()-4,ROW(),""))</f>
        <v/>
      </c>
      <c r="T2371" s="9">
        <f>IF(Q2371="당기",ABS(P2371)+ROW()/1000000000,"")</f>
        <v/>
      </c>
      <c r="U2371" s="9">
        <f>IF(Q2371="비교",ABS(P2371)+ROW()/1000000000,"")</f>
        <v/>
      </c>
      <c r="V2371" s="39">
        <f>IF($A2371="","",IF(COUNTIF(변동분석!$E$7:$E$506,O2371)&gt;0,"Y","N"))</f>
        <v/>
      </c>
      <c r="W2371" s="39">
        <f>IF($A2371="","",IFERROR(INDEX(계정매핑!$D$5:$D$504,MATCH($F2371&amp;"",계정매핑!$A$5:$A$504,0)),"미매핑"))</f>
        <v/>
      </c>
      <c r="X2371" s="9">
        <f>IF($A2371="","",$F2371&amp;"")</f>
        <v/>
      </c>
    </row>
    <row r="2372">
      <c r="A2372" s="75" t="n">
        <v>2026</v>
      </c>
      <c r="B2372" s="75" t="n">
        <v>1</v>
      </c>
      <c r="C2372" s="75" t="inlineStr">
        <is>
          <t>5100000028</t>
        </is>
      </c>
      <c r="D2372" s="78" t="n">
        <v>46027</v>
      </c>
      <c r="E2372" s="75" t="inlineStr">
        <is>
          <t>KR</t>
        </is>
      </c>
      <c r="F2372" s="75" t="n">
        <v>62901000</v>
      </c>
      <c r="G2372" s="75" t="n">
        <v>1101</v>
      </c>
      <c r="H2372" s="76" t="n">
        <v>2783000</v>
      </c>
      <c r="I2372" s="75" t="inlineStr">
        <is>
          <t>1월 자문 수수료 - K회계법인</t>
        </is>
      </c>
      <c r="J2372" s="75" t="inlineStr">
        <is>
          <t>V10010</t>
        </is>
      </c>
      <c r="K2372" s="75" t="inlineStr">
        <is>
          <t>K회계법인</t>
        </is>
      </c>
      <c r="M2372" s="9">
        <f>IF($A2372="","",VALUE($A2372&amp;"")*12+VALUE($B2372&amp;""))</f>
        <v/>
      </c>
      <c r="N2372" s="39">
        <f>IF($A2372="","",IFERROR(INDEX(부서매핑!$C$5:$C$504,MATCH($G2372&amp;"",부서매핑!$A$5:$A$504,0)),"미매핑"))</f>
        <v/>
      </c>
      <c r="O2372" s="9">
        <f>IF($A2372="","",N2372&amp;"|"&amp;$F2372)</f>
        <v/>
      </c>
      <c r="P2372" s="77">
        <f>IF($A2372="",0,$H2372*설정!$C$23)</f>
        <v/>
      </c>
      <c r="Q2372" s="39">
        <f>IF($A2372="","",IF(O2372&lt;&gt;원인분석!$C$9,"",IF(AND(M2372&gt;=원인분석!$C$10,M2372&lt;=원인분석!$C$11),"당기",IF(AND(M2372&gt;=원인분석!$C$12,M2372&lt;=원인분석!$C$13),"비교",""))))</f>
        <v/>
      </c>
      <c r="R2372" s="9">
        <f>IF(Q2372="","",$K2372&amp;"")</f>
        <v/>
      </c>
      <c r="S2372" s="9">
        <f>IF(Q2372="","",IF(MATCH(R2372,$R$5:$R$100000,0)=ROW()-4,ROW(),""))</f>
        <v/>
      </c>
      <c r="T2372" s="9">
        <f>IF(Q2372="당기",ABS(P2372)+ROW()/1000000000,"")</f>
        <v/>
      </c>
      <c r="U2372" s="9">
        <f>IF(Q2372="비교",ABS(P2372)+ROW()/1000000000,"")</f>
        <v/>
      </c>
      <c r="V2372" s="39">
        <f>IF($A2372="","",IF(COUNTIF(변동분석!$E$7:$E$506,O2372)&gt;0,"Y","N"))</f>
        <v/>
      </c>
      <c r="W2372" s="39">
        <f>IF($A2372="","",IFERROR(INDEX(계정매핑!$D$5:$D$504,MATCH($F2372&amp;"",계정매핑!$A$5:$A$504,0)),"미매핑"))</f>
        <v/>
      </c>
      <c r="X2372" s="9">
        <f>IF($A2372="","",$F2372&amp;"")</f>
        <v/>
      </c>
    </row>
    <row r="2373">
      <c r="A2373" s="75" t="n">
        <v>2026</v>
      </c>
      <c r="B2373" s="75" t="n">
        <v>1</v>
      </c>
      <c r="C2373" s="75" t="inlineStr">
        <is>
          <t>5100000029</t>
        </is>
      </c>
      <c r="D2373" s="78" t="n">
        <v>46027</v>
      </c>
      <c r="E2373" s="75" t="inlineStr">
        <is>
          <t>KR</t>
        </is>
      </c>
      <c r="F2373" s="75" t="n">
        <v>62902000</v>
      </c>
      <c r="G2373" s="75" t="n">
        <v>1201</v>
      </c>
      <c r="H2373" s="76" t="n">
        <v>4096000</v>
      </c>
      <c r="I2373" s="75" t="inlineStr">
        <is>
          <t>1월 업무 위탁 수수료 - J콜센터</t>
        </is>
      </c>
      <c r="J2373" s="75" t="inlineStr">
        <is>
          <t>V10013</t>
        </is>
      </c>
      <c r="K2373" s="75" t="inlineStr">
        <is>
          <t>J콜센터</t>
        </is>
      </c>
      <c r="M2373" s="9">
        <f>IF($A2373="","",VALUE($A2373&amp;"")*12+VALUE($B2373&amp;""))</f>
        <v/>
      </c>
      <c r="N2373" s="39">
        <f>IF($A2373="","",IFERROR(INDEX(부서매핑!$C$5:$C$504,MATCH($G2373&amp;"",부서매핑!$A$5:$A$504,0)),"미매핑"))</f>
        <v/>
      </c>
      <c r="O2373" s="9">
        <f>IF($A2373="","",N2373&amp;"|"&amp;$F2373)</f>
        <v/>
      </c>
      <c r="P2373" s="77">
        <f>IF($A2373="",0,$H2373*설정!$C$23)</f>
        <v/>
      </c>
      <c r="Q2373" s="39">
        <f>IF($A2373="","",IF(O2373&lt;&gt;원인분석!$C$9,"",IF(AND(M2373&gt;=원인분석!$C$10,M2373&lt;=원인분석!$C$11),"당기",IF(AND(M2373&gt;=원인분석!$C$12,M2373&lt;=원인분석!$C$13),"비교",""))))</f>
        <v/>
      </c>
      <c r="R2373" s="9">
        <f>IF(Q2373="","",$K2373&amp;"")</f>
        <v/>
      </c>
      <c r="S2373" s="9">
        <f>IF(Q2373="","",IF(MATCH(R2373,$R$5:$R$100000,0)=ROW()-4,ROW(),""))</f>
        <v/>
      </c>
      <c r="T2373" s="9">
        <f>IF(Q2373="당기",ABS(P2373)+ROW()/1000000000,"")</f>
        <v/>
      </c>
      <c r="U2373" s="9">
        <f>IF(Q2373="비교",ABS(P2373)+ROW()/1000000000,"")</f>
        <v/>
      </c>
      <c r="V2373" s="39">
        <f>IF($A2373="","",IF(COUNTIF(변동분석!$E$7:$E$506,O2373)&gt;0,"Y","N"))</f>
        <v/>
      </c>
      <c r="W2373" s="39">
        <f>IF($A2373="","",IFERROR(INDEX(계정매핑!$D$5:$D$504,MATCH($F2373&amp;"",계정매핑!$A$5:$A$504,0)),"미매핑"))</f>
        <v/>
      </c>
      <c r="X2373" s="9">
        <f>IF($A2373="","",$F2373&amp;"")</f>
        <v/>
      </c>
    </row>
    <row r="2374">
      <c r="A2374" s="75" t="n">
        <v>2026</v>
      </c>
      <c r="B2374" s="75" t="n">
        <v>1</v>
      </c>
      <c r="C2374" s="75" t="inlineStr">
        <is>
          <t>5100000030</t>
        </is>
      </c>
      <c r="D2374" s="78" t="n">
        <v>46027</v>
      </c>
      <c r="E2374" s="75" t="inlineStr">
        <is>
          <t>KR</t>
        </is>
      </c>
      <c r="F2374" s="75" t="n">
        <v>63101000</v>
      </c>
      <c r="G2374" s="75" t="n">
        <v>1601</v>
      </c>
      <c r="H2374" s="76" t="n">
        <v>5706000</v>
      </c>
      <c r="I2374" s="75" t="inlineStr">
        <is>
          <t>1월 사무실 임차료 - AA빌딩</t>
        </is>
      </c>
      <c r="J2374" s="75" t="inlineStr">
        <is>
          <t>V10006</t>
        </is>
      </c>
      <c r="K2374" s="75" t="inlineStr">
        <is>
          <t>AA빌딩</t>
        </is>
      </c>
      <c r="M2374" s="9">
        <f>IF($A2374="","",VALUE($A2374&amp;"")*12+VALUE($B2374&amp;""))</f>
        <v/>
      </c>
      <c r="N2374" s="39">
        <f>IF($A2374="","",IFERROR(INDEX(부서매핑!$C$5:$C$504,MATCH($G2374&amp;"",부서매핑!$A$5:$A$504,0)),"미매핑"))</f>
        <v/>
      </c>
      <c r="O2374" s="9">
        <f>IF($A2374="","",N2374&amp;"|"&amp;$F2374)</f>
        <v/>
      </c>
      <c r="P2374" s="77">
        <f>IF($A2374="",0,$H2374*설정!$C$23)</f>
        <v/>
      </c>
      <c r="Q2374" s="39">
        <f>IF($A2374="","",IF(O2374&lt;&gt;원인분석!$C$9,"",IF(AND(M2374&gt;=원인분석!$C$10,M2374&lt;=원인분석!$C$11),"당기",IF(AND(M2374&gt;=원인분석!$C$12,M2374&lt;=원인분석!$C$13),"비교",""))))</f>
        <v/>
      </c>
      <c r="R2374" s="9">
        <f>IF(Q2374="","",$K2374&amp;"")</f>
        <v/>
      </c>
      <c r="S2374" s="9">
        <f>IF(Q2374="","",IF(MATCH(R2374,$R$5:$R$100000,0)=ROW()-4,ROW(),""))</f>
        <v/>
      </c>
      <c r="T2374" s="9">
        <f>IF(Q2374="당기",ABS(P2374)+ROW()/1000000000,"")</f>
        <v/>
      </c>
      <c r="U2374" s="9">
        <f>IF(Q2374="비교",ABS(P2374)+ROW()/1000000000,"")</f>
        <v/>
      </c>
      <c r="V2374" s="39">
        <f>IF($A2374="","",IF(COUNTIF(변동분석!$E$7:$E$506,O2374)&gt;0,"Y","N"))</f>
        <v/>
      </c>
      <c r="W2374" s="39">
        <f>IF($A2374="","",IFERROR(INDEX(계정매핑!$D$5:$D$504,MATCH($F2374&amp;"",계정매핑!$A$5:$A$504,0)),"미매핑"))</f>
        <v/>
      </c>
      <c r="X2374" s="9">
        <f>IF($A2374="","",$F2374&amp;"")</f>
        <v/>
      </c>
    </row>
    <row r="2375">
      <c r="A2375" s="75" t="n">
        <v>2026</v>
      </c>
      <c r="B2375" s="75" t="n">
        <v>1</v>
      </c>
      <c r="C2375" s="75" t="inlineStr">
        <is>
          <t>5100000031</t>
        </is>
      </c>
      <c r="D2375" s="78" t="n">
        <v>46028</v>
      </c>
      <c r="E2375" s="75" t="inlineStr">
        <is>
          <t>KR</t>
        </is>
      </c>
      <c r="F2375" s="75" t="n">
        <v>62101000</v>
      </c>
      <c r="G2375" s="75" t="n">
        <v>1501</v>
      </c>
      <c r="H2375" s="76" t="n">
        <v>630000</v>
      </c>
      <c r="I2375" s="75" t="inlineStr">
        <is>
          <t>1월 국내출장 - L여행사</t>
        </is>
      </c>
      <c r="J2375" s="75" t="inlineStr">
        <is>
          <t>V10014</t>
        </is>
      </c>
      <c r="K2375" s="75" t="inlineStr">
        <is>
          <t>L여행사</t>
        </is>
      </c>
      <c r="M2375" s="9">
        <f>IF($A2375="","",VALUE($A2375&amp;"")*12+VALUE($B2375&amp;""))</f>
        <v/>
      </c>
      <c r="N2375" s="39">
        <f>IF($A2375="","",IFERROR(INDEX(부서매핑!$C$5:$C$504,MATCH($G2375&amp;"",부서매핑!$A$5:$A$504,0)),"미매핑"))</f>
        <v/>
      </c>
      <c r="O2375" s="9">
        <f>IF($A2375="","",N2375&amp;"|"&amp;$F2375)</f>
        <v/>
      </c>
      <c r="P2375" s="77">
        <f>IF($A2375="",0,$H2375*설정!$C$23)</f>
        <v/>
      </c>
      <c r="Q2375" s="39">
        <f>IF($A2375="","",IF(O2375&lt;&gt;원인분석!$C$9,"",IF(AND(M2375&gt;=원인분석!$C$10,M2375&lt;=원인분석!$C$11),"당기",IF(AND(M2375&gt;=원인분석!$C$12,M2375&lt;=원인분석!$C$13),"비교",""))))</f>
        <v/>
      </c>
      <c r="R2375" s="9">
        <f>IF(Q2375="","",$K2375&amp;"")</f>
        <v/>
      </c>
      <c r="S2375" s="9">
        <f>IF(Q2375="","",IF(MATCH(R2375,$R$5:$R$100000,0)=ROW()-4,ROW(),""))</f>
        <v/>
      </c>
      <c r="T2375" s="9">
        <f>IF(Q2375="당기",ABS(P2375)+ROW()/1000000000,"")</f>
        <v/>
      </c>
      <c r="U2375" s="9">
        <f>IF(Q2375="비교",ABS(P2375)+ROW()/1000000000,"")</f>
        <v/>
      </c>
      <c r="V2375" s="39">
        <f>IF($A2375="","",IF(COUNTIF(변동분석!$E$7:$E$506,O2375)&gt;0,"Y","N"))</f>
        <v/>
      </c>
      <c r="W2375" s="39">
        <f>IF($A2375="","",IFERROR(INDEX(계정매핑!$D$5:$D$504,MATCH($F2375&amp;"",계정매핑!$A$5:$A$504,0)),"미매핑"))</f>
        <v/>
      </c>
      <c r="X2375" s="9">
        <f>IF($A2375="","",$F2375&amp;"")</f>
        <v/>
      </c>
    </row>
    <row r="2376">
      <c r="A2376" s="75" t="n">
        <v>2026</v>
      </c>
      <c r="B2376" s="75" t="n">
        <v>1</v>
      </c>
      <c r="C2376" s="75" t="inlineStr">
        <is>
          <t>5100000032</t>
        </is>
      </c>
      <c r="D2376" s="78" t="n">
        <v>46028</v>
      </c>
      <c r="E2376" s="75" t="inlineStr">
        <is>
          <t>KR</t>
        </is>
      </c>
      <c r="F2376" s="75" t="n">
        <v>62201000</v>
      </c>
      <c r="G2376" s="75" t="n">
        <v>1101</v>
      </c>
      <c r="H2376" s="76" t="n">
        <v>248000</v>
      </c>
      <c r="I2376" s="75" t="inlineStr">
        <is>
          <t>1월 통신요금 - O텔레콤</t>
        </is>
      </c>
      <c r="J2376" s="75" t="inlineStr">
        <is>
          <t>V10002</t>
        </is>
      </c>
      <c r="K2376" s="75" t="inlineStr">
        <is>
          <t>O텔레콤</t>
        </is>
      </c>
      <c r="M2376" s="9">
        <f>IF($A2376="","",VALUE($A2376&amp;"")*12+VALUE($B2376&amp;""))</f>
        <v/>
      </c>
      <c r="N2376" s="39">
        <f>IF($A2376="","",IFERROR(INDEX(부서매핑!$C$5:$C$504,MATCH($G2376&amp;"",부서매핑!$A$5:$A$504,0)),"미매핑"))</f>
        <v/>
      </c>
      <c r="O2376" s="9">
        <f>IF($A2376="","",N2376&amp;"|"&amp;$F2376)</f>
        <v/>
      </c>
      <c r="P2376" s="77">
        <f>IF($A2376="",0,$H2376*설정!$C$23)</f>
        <v/>
      </c>
      <c r="Q2376" s="39">
        <f>IF($A2376="","",IF(O2376&lt;&gt;원인분석!$C$9,"",IF(AND(M2376&gt;=원인분석!$C$10,M2376&lt;=원인분석!$C$11),"당기",IF(AND(M2376&gt;=원인분석!$C$12,M2376&lt;=원인분석!$C$13),"비교",""))))</f>
        <v/>
      </c>
      <c r="R2376" s="9">
        <f>IF(Q2376="","",$K2376&amp;"")</f>
        <v/>
      </c>
      <c r="S2376" s="9">
        <f>IF(Q2376="","",IF(MATCH(R2376,$R$5:$R$100000,0)=ROW()-4,ROW(),""))</f>
        <v/>
      </c>
      <c r="T2376" s="9">
        <f>IF(Q2376="당기",ABS(P2376)+ROW()/1000000000,"")</f>
        <v/>
      </c>
      <c r="U2376" s="9">
        <f>IF(Q2376="비교",ABS(P2376)+ROW()/1000000000,"")</f>
        <v/>
      </c>
      <c r="V2376" s="39">
        <f>IF($A2376="","",IF(COUNTIF(변동분석!$E$7:$E$506,O2376)&gt;0,"Y","N"))</f>
        <v/>
      </c>
      <c r="W2376" s="39">
        <f>IF($A2376="","",IFERROR(INDEX(계정매핑!$D$5:$D$504,MATCH($F2376&amp;"",계정매핑!$A$5:$A$504,0)),"미매핑"))</f>
        <v/>
      </c>
      <c r="X2376" s="9">
        <f>IF($A2376="","",$F2376&amp;"")</f>
        <v/>
      </c>
    </row>
    <row r="2377">
      <c r="A2377" s="75" t="n">
        <v>2026</v>
      </c>
      <c r="B2377" s="75" t="n">
        <v>1</v>
      </c>
      <c r="C2377" s="75" t="inlineStr">
        <is>
          <t>5100000033</t>
        </is>
      </c>
      <c r="D2377" s="78" t="n">
        <v>46028</v>
      </c>
      <c r="E2377" s="75" t="inlineStr">
        <is>
          <t>KR</t>
        </is>
      </c>
      <c r="F2377" s="75" t="n">
        <v>62301000</v>
      </c>
      <c r="G2377" s="75" t="n">
        <v>1201</v>
      </c>
      <c r="H2377" s="76" t="n">
        <v>165000</v>
      </c>
      <c r="I2377" s="75" t="inlineStr">
        <is>
          <t>1월 소모품 구입 - Q오피스</t>
        </is>
      </c>
      <c r="J2377" s="75" t="inlineStr">
        <is>
          <t>V10003</t>
        </is>
      </c>
      <c r="K2377" s="75" t="inlineStr">
        <is>
          <t>Q오피스</t>
        </is>
      </c>
      <c r="M2377" s="9">
        <f>IF($A2377="","",VALUE($A2377&amp;"")*12+VALUE($B2377&amp;""))</f>
        <v/>
      </c>
      <c r="N2377" s="39">
        <f>IF($A2377="","",IFERROR(INDEX(부서매핑!$C$5:$C$504,MATCH($G2377&amp;"",부서매핑!$A$5:$A$504,0)),"미매핑"))</f>
        <v/>
      </c>
      <c r="O2377" s="9">
        <f>IF($A2377="","",N2377&amp;"|"&amp;$F2377)</f>
        <v/>
      </c>
      <c r="P2377" s="77">
        <f>IF($A2377="",0,$H2377*설정!$C$23)</f>
        <v/>
      </c>
      <c r="Q2377" s="39">
        <f>IF($A2377="","",IF(O2377&lt;&gt;원인분석!$C$9,"",IF(AND(M2377&gt;=원인분석!$C$10,M2377&lt;=원인분석!$C$11),"당기",IF(AND(M2377&gt;=원인분석!$C$12,M2377&lt;=원인분석!$C$13),"비교",""))))</f>
        <v/>
      </c>
      <c r="R2377" s="9">
        <f>IF(Q2377="","",$K2377&amp;"")</f>
        <v/>
      </c>
      <c r="S2377" s="9">
        <f>IF(Q2377="","",IF(MATCH(R2377,$R$5:$R$100000,0)=ROW()-4,ROW(),""))</f>
        <v/>
      </c>
      <c r="T2377" s="9">
        <f>IF(Q2377="당기",ABS(P2377)+ROW()/1000000000,"")</f>
        <v/>
      </c>
      <c r="U2377" s="9">
        <f>IF(Q2377="비교",ABS(P2377)+ROW()/1000000000,"")</f>
        <v/>
      </c>
      <c r="V2377" s="39">
        <f>IF($A2377="","",IF(COUNTIF(변동분석!$E$7:$E$506,O2377)&gt;0,"Y","N"))</f>
        <v/>
      </c>
      <c r="W2377" s="39">
        <f>IF($A2377="","",IFERROR(INDEX(계정매핑!$D$5:$D$504,MATCH($F2377&amp;"",계정매핑!$A$5:$A$504,0)),"미매핑"))</f>
        <v/>
      </c>
      <c r="X2377" s="9">
        <f>IF($A2377="","",$F2377&amp;"")</f>
        <v/>
      </c>
    </row>
    <row r="2378">
      <c r="A2378" s="75" t="n">
        <v>2026</v>
      </c>
      <c r="B2378" s="75" t="n">
        <v>1</v>
      </c>
      <c r="C2378" s="75" t="inlineStr">
        <is>
          <t>5100000034</t>
        </is>
      </c>
      <c r="D2378" s="78" t="n">
        <v>46028</v>
      </c>
      <c r="E2378" s="75" t="inlineStr">
        <is>
          <t>KR</t>
        </is>
      </c>
      <c r="F2378" s="75" t="n">
        <v>62501000</v>
      </c>
      <c r="G2378" s="75" t="n">
        <v>1401</v>
      </c>
      <c r="H2378" s="76" t="n">
        <v>162000</v>
      </c>
      <c r="I2378" s="75" t="inlineStr">
        <is>
          <t>1월 회의 다과 - T케이터링</t>
        </is>
      </c>
      <c r="J2378" s="75" t="inlineStr">
        <is>
          <t>V10005</t>
        </is>
      </c>
      <c r="K2378" s="75" t="inlineStr">
        <is>
          <t>T케이터링</t>
        </is>
      </c>
      <c r="M2378" s="9">
        <f>IF($A2378="","",VALUE($A2378&amp;"")*12+VALUE($B2378&amp;""))</f>
        <v/>
      </c>
      <c r="N2378" s="39">
        <f>IF($A2378="","",IFERROR(INDEX(부서매핑!$C$5:$C$504,MATCH($G2378&amp;"",부서매핑!$A$5:$A$504,0)),"미매핑"))</f>
        <v/>
      </c>
      <c r="O2378" s="9">
        <f>IF($A2378="","",N2378&amp;"|"&amp;$F2378)</f>
        <v/>
      </c>
      <c r="P2378" s="77">
        <f>IF($A2378="",0,$H2378*설정!$C$23)</f>
        <v/>
      </c>
      <c r="Q2378" s="39">
        <f>IF($A2378="","",IF(O2378&lt;&gt;원인분석!$C$9,"",IF(AND(M2378&gt;=원인분석!$C$10,M2378&lt;=원인분석!$C$11),"당기",IF(AND(M2378&gt;=원인분석!$C$12,M2378&lt;=원인분석!$C$13),"비교",""))))</f>
        <v/>
      </c>
      <c r="R2378" s="9">
        <f>IF(Q2378="","",$K2378&amp;"")</f>
        <v/>
      </c>
      <c r="S2378" s="9">
        <f>IF(Q2378="","",IF(MATCH(R2378,$R$5:$R$100000,0)=ROW()-4,ROW(),""))</f>
        <v/>
      </c>
      <c r="T2378" s="9">
        <f>IF(Q2378="당기",ABS(P2378)+ROW()/1000000000,"")</f>
        <v/>
      </c>
      <c r="U2378" s="9">
        <f>IF(Q2378="비교",ABS(P2378)+ROW()/1000000000,"")</f>
        <v/>
      </c>
      <c r="V2378" s="39">
        <f>IF($A2378="","",IF(COUNTIF(변동분석!$E$7:$E$506,O2378)&gt;0,"Y","N"))</f>
        <v/>
      </c>
      <c r="W2378" s="39">
        <f>IF($A2378="","",IFERROR(INDEX(계정매핑!$D$5:$D$504,MATCH($F2378&amp;"",계정매핑!$A$5:$A$504,0)),"미매핑"))</f>
        <v/>
      </c>
      <c r="X2378" s="9">
        <f>IF($A2378="","",$F2378&amp;"")</f>
        <v/>
      </c>
    </row>
    <row r="2379">
      <c r="A2379" s="75" t="n">
        <v>2026</v>
      </c>
      <c r="B2379" s="75" t="n">
        <v>1</v>
      </c>
      <c r="C2379" s="75" t="inlineStr">
        <is>
          <t>5100000035</t>
        </is>
      </c>
      <c r="D2379" s="78" t="n">
        <v>46028</v>
      </c>
      <c r="E2379" s="75" t="inlineStr">
        <is>
          <t>KR</t>
        </is>
      </c>
      <c r="F2379" s="75" t="n">
        <v>62802000</v>
      </c>
      <c r="G2379" s="75" t="n">
        <v>1301</v>
      </c>
      <c r="H2379" s="76" t="n">
        <v>2580000</v>
      </c>
      <c r="I2379" s="75" t="inlineStr">
        <is>
          <t>1월 위탁교육 - V아카데미</t>
        </is>
      </c>
      <c r="J2379" s="75" t="inlineStr">
        <is>
          <t>V10023</t>
        </is>
      </c>
      <c r="K2379" s="75" t="inlineStr">
        <is>
          <t>V아카데미</t>
        </is>
      </c>
      <c r="M2379" s="9">
        <f>IF($A2379="","",VALUE($A2379&amp;"")*12+VALUE($B2379&amp;""))</f>
        <v/>
      </c>
      <c r="N2379" s="39">
        <f>IF($A2379="","",IFERROR(INDEX(부서매핑!$C$5:$C$504,MATCH($G2379&amp;"",부서매핑!$A$5:$A$504,0)),"미매핑"))</f>
        <v/>
      </c>
      <c r="O2379" s="9">
        <f>IF($A2379="","",N2379&amp;"|"&amp;$F2379)</f>
        <v/>
      </c>
      <c r="P2379" s="77">
        <f>IF($A2379="",0,$H2379*설정!$C$23)</f>
        <v/>
      </c>
      <c r="Q2379" s="39">
        <f>IF($A2379="","",IF(O2379&lt;&gt;원인분석!$C$9,"",IF(AND(M2379&gt;=원인분석!$C$10,M2379&lt;=원인분석!$C$11),"당기",IF(AND(M2379&gt;=원인분석!$C$12,M2379&lt;=원인분석!$C$13),"비교",""))))</f>
        <v/>
      </c>
      <c r="R2379" s="9">
        <f>IF(Q2379="","",$K2379&amp;"")</f>
        <v/>
      </c>
      <c r="S2379" s="9">
        <f>IF(Q2379="","",IF(MATCH(R2379,$R$5:$R$100000,0)=ROW()-4,ROW(),""))</f>
        <v/>
      </c>
      <c r="T2379" s="9">
        <f>IF(Q2379="당기",ABS(P2379)+ROW()/1000000000,"")</f>
        <v/>
      </c>
      <c r="U2379" s="9">
        <f>IF(Q2379="비교",ABS(P2379)+ROW()/1000000000,"")</f>
        <v/>
      </c>
      <c r="V2379" s="39">
        <f>IF($A2379="","",IF(COUNTIF(변동분석!$E$7:$E$506,O2379)&gt;0,"Y","N"))</f>
        <v/>
      </c>
      <c r="W2379" s="39">
        <f>IF($A2379="","",IFERROR(INDEX(계정매핑!$D$5:$D$504,MATCH($F2379&amp;"",계정매핑!$A$5:$A$504,0)),"미매핑"))</f>
        <v/>
      </c>
      <c r="X2379" s="9">
        <f>IF($A2379="","",$F2379&amp;"")</f>
        <v/>
      </c>
    </row>
    <row r="2380">
      <c r="A2380" s="75" t="n">
        <v>2026</v>
      </c>
      <c r="B2380" s="75" t="n">
        <v>1</v>
      </c>
      <c r="C2380" s="75" t="inlineStr">
        <is>
          <t>5100000036</t>
        </is>
      </c>
      <c r="D2380" s="78" t="n">
        <v>46029</v>
      </c>
      <c r="E2380" s="75" t="inlineStr">
        <is>
          <t>KR</t>
        </is>
      </c>
      <c r="F2380" s="75" t="n">
        <v>62101000</v>
      </c>
      <c r="G2380" s="75" t="n">
        <v>1201</v>
      </c>
      <c r="H2380" s="76" t="n">
        <v>225000</v>
      </c>
      <c r="I2380" s="75" t="inlineStr">
        <is>
          <t>1월 국내출장 - L여행사</t>
        </is>
      </c>
      <c r="J2380" s="75" t="inlineStr">
        <is>
          <t>V10014</t>
        </is>
      </c>
      <c r="K2380" s="75" t="inlineStr">
        <is>
          <t>L여행사</t>
        </is>
      </c>
      <c r="M2380" s="9">
        <f>IF($A2380="","",VALUE($A2380&amp;"")*12+VALUE($B2380&amp;""))</f>
        <v/>
      </c>
      <c r="N2380" s="39">
        <f>IF($A2380="","",IFERROR(INDEX(부서매핑!$C$5:$C$504,MATCH($G2380&amp;"",부서매핑!$A$5:$A$504,0)),"미매핑"))</f>
        <v/>
      </c>
      <c r="O2380" s="9">
        <f>IF($A2380="","",N2380&amp;"|"&amp;$F2380)</f>
        <v/>
      </c>
      <c r="P2380" s="77">
        <f>IF($A2380="",0,$H2380*설정!$C$23)</f>
        <v/>
      </c>
      <c r="Q2380" s="39">
        <f>IF($A2380="","",IF(O2380&lt;&gt;원인분석!$C$9,"",IF(AND(M2380&gt;=원인분석!$C$10,M2380&lt;=원인분석!$C$11),"당기",IF(AND(M2380&gt;=원인분석!$C$12,M2380&lt;=원인분석!$C$13),"비교",""))))</f>
        <v/>
      </c>
      <c r="R2380" s="9">
        <f>IF(Q2380="","",$K2380&amp;"")</f>
        <v/>
      </c>
      <c r="S2380" s="9">
        <f>IF(Q2380="","",IF(MATCH(R2380,$R$5:$R$100000,0)=ROW()-4,ROW(),""))</f>
        <v/>
      </c>
      <c r="T2380" s="9">
        <f>IF(Q2380="당기",ABS(P2380)+ROW()/1000000000,"")</f>
        <v/>
      </c>
      <c r="U2380" s="9">
        <f>IF(Q2380="비교",ABS(P2380)+ROW()/1000000000,"")</f>
        <v/>
      </c>
      <c r="V2380" s="39">
        <f>IF($A2380="","",IF(COUNTIF(변동분석!$E$7:$E$506,O2380)&gt;0,"Y","N"))</f>
        <v/>
      </c>
      <c r="W2380" s="39">
        <f>IF($A2380="","",IFERROR(INDEX(계정매핑!$D$5:$D$504,MATCH($F2380&amp;"",계정매핑!$A$5:$A$504,0)),"미매핑"))</f>
        <v/>
      </c>
      <c r="X2380" s="9">
        <f>IF($A2380="","",$F2380&amp;"")</f>
        <v/>
      </c>
    </row>
    <row r="2381">
      <c r="A2381" s="75" t="n">
        <v>2026</v>
      </c>
      <c r="B2381" s="75" t="n">
        <v>1</v>
      </c>
      <c r="C2381" s="75" t="inlineStr">
        <is>
          <t>5100000037</t>
        </is>
      </c>
      <c r="D2381" s="78" t="n">
        <v>46029</v>
      </c>
      <c r="E2381" s="75" t="inlineStr">
        <is>
          <t>KR</t>
        </is>
      </c>
      <c r="F2381" s="75" t="n">
        <v>62102000</v>
      </c>
      <c r="G2381" s="75" t="n">
        <v>1101</v>
      </c>
      <c r="H2381" s="76" t="n">
        <v>135000</v>
      </c>
      <c r="I2381" s="75" t="inlineStr">
        <is>
          <t>1월 해외출장 - M항공</t>
        </is>
      </c>
      <c r="J2381" s="75" t="inlineStr">
        <is>
          <t>V10001</t>
        </is>
      </c>
      <c r="K2381" s="75" t="inlineStr">
        <is>
          <t>M항공</t>
        </is>
      </c>
      <c r="M2381" s="9">
        <f>IF($A2381="","",VALUE($A2381&amp;"")*12+VALUE($B2381&amp;""))</f>
        <v/>
      </c>
      <c r="N2381" s="39">
        <f>IF($A2381="","",IFERROR(INDEX(부서매핑!$C$5:$C$504,MATCH($G2381&amp;"",부서매핑!$A$5:$A$504,0)),"미매핑"))</f>
        <v/>
      </c>
      <c r="O2381" s="9">
        <f>IF($A2381="","",N2381&amp;"|"&amp;$F2381)</f>
        <v/>
      </c>
      <c r="P2381" s="77">
        <f>IF($A2381="",0,$H2381*설정!$C$23)</f>
        <v/>
      </c>
      <c r="Q2381" s="39">
        <f>IF($A2381="","",IF(O2381&lt;&gt;원인분석!$C$9,"",IF(AND(M2381&gt;=원인분석!$C$10,M2381&lt;=원인분석!$C$11),"당기",IF(AND(M2381&gt;=원인분석!$C$12,M2381&lt;=원인분석!$C$13),"비교",""))))</f>
        <v/>
      </c>
      <c r="R2381" s="9">
        <f>IF(Q2381="","",$K2381&amp;"")</f>
        <v/>
      </c>
      <c r="S2381" s="9">
        <f>IF(Q2381="","",IF(MATCH(R2381,$R$5:$R$100000,0)=ROW()-4,ROW(),""))</f>
        <v/>
      </c>
      <c r="T2381" s="9">
        <f>IF(Q2381="당기",ABS(P2381)+ROW()/1000000000,"")</f>
        <v/>
      </c>
      <c r="U2381" s="9">
        <f>IF(Q2381="비교",ABS(P2381)+ROW()/1000000000,"")</f>
        <v/>
      </c>
      <c r="V2381" s="39">
        <f>IF($A2381="","",IF(COUNTIF(변동분석!$E$7:$E$506,O2381)&gt;0,"Y","N"))</f>
        <v/>
      </c>
      <c r="W2381" s="39">
        <f>IF($A2381="","",IFERROR(INDEX(계정매핑!$D$5:$D$504,MATCH($F2381&amp;"",계정매핑!$A$5:$A$504,0)),"미매핑"))</f>
        <v/>
      </c>
      <c r="X2381" s="9">
        <f>IF($A2381="","",$F2381&amp;"")</f>
        <v/>
      </c>
    </row>
    <row r="2382">
      <c r="A2382" s="75" t="n">
        <v>2026</v>
      </c>
      <c r="B2382" s="75" t="n">
        <v>1</v>
      </c>
      <c r="C2382" s="75" t="inlineStr">
        <is>
          <t>5100000038</t>
        </is>
      </c>
      <c r="D2382" s="78" t="n">
        <v>46029</v>
      </c>
      <c r="E2382" s="75" t="inlineStr">
        <is>
          <t>KR</t>
        </is>
      </c>
      <c r="F2382" s="75" t="n">
        <v>62201000</v>
      </c>
      <c r="G2382" s="75" t="n">
        <v>1701</v>
      </c>
      <c r="H2382" s="76" t="n">
        <v>4607000</v>
      </c>
      <c r="I2382" s="75" t="inlineStr">
        <is>
          <t>1월 통신요금 - P통신</t>
        </is>
      </c>
      <c r="J2382" s="75" t="inlineStr">
        <is>
          <t>V10011</t>
        </is>
      </c>
      <c r="K2382" s="75" t="inlineStr">
        <is>
          <t>P통신</t>
        </is>
      </c>
      <c r="M2382" s="9">
        <f>IF($A2382="","",VALUE($A2382&amp;"")*12+VALUE($B2382&amp;""))</f>
        <v/>
      </c>
      <c r="N2382" s="39">
        <f>IF($A2382="","",IFERROR(INDEX(부서매핑!$C$5:$C$504,MATCH($G2382&amp;"",부서매핑!$A$5:$A$504,0)),"미매핑"))</f>
        <v/>
      </c>
      <c r="O2382" s="9">
        <f>IF($A2382="","",N2382&amp;"|"&amp;$F2382)</f>
        <v/>
      </c>
      <c r="P2382" s="77">
        <f>IF($A2382="",0,$H2382*설정!$C$23)</f>
        <v/>
      </c>
      <c r="Q2382" s="39">
        <f>IF($A2382="","",IF(O2382&lt;&gt;원인분석!$C$9,"",IF(AND(M2382&gt;=원인분석!$C$10,M2382&lt;=원인분석!$C$11),"당기",IF(AND(M2382&gt;=원인분석!$C$12,M2382&lt;=원인분석!$C$13),"비교",""))))</f>
        <v/>
      </c>
      <c r="R2382" s="9">
        <f>IF(Q2382="","",$K2382&amp;"")</f>
        <v/>
      </c>
      <c r="S2382" s="9">
        <f>IF(Q2382="","",IF(MATCH(R2382,$R$5:$R$100000,0)=ROW()-4,ROW(),""))</f>
        <v/>
      </c>
      <c r="T2382" s="9">
        <f>IF(Q2382="당기",ABS(P2382)+ROW()/1000000000,"")</f>
        <v/>
      </c>
      <c r="U2382" s="9">
        <f>IF(Q2382="비교",ABS(P2382)+ROW()/1000000000,"")</f>
        <v/>
      </c>
      <c r="V2382" s="39">
        <f>IF($A2382="","",IF(COUNTIF(변동분석!$E$7:$E$506,O2382)&gt;0,"Y","N"))</f>
        <v/>
      </c>
      <c r="W2382" s="39">
        <f>IF($A2382="","",IFERROR(INDEX(계정매핑!$D$5:$D$504,MATCH($F2382&amp;"",계정매핑!$A$5:$A$504,0)),"미매핑"))</f>
        <v/>
      </c>
      <c r="X2382" s="9">
        <f>IF($A2382="","",$F2382&amp;"")</f>
        <v/>
      </c>
    </row>
    <row r="2383">
      <c r="A2383" s="75" t="n">
        <v>2026</v>
      </c>
      <c r="B2383" s="75" t="n">
        <v>1</v>
      </c>
      <c r="C2383" s="75" t="inlineStr">
        <is>
          <t>5100000039</t>
        </is>
      </c>
      <c r="D2383" s="78" t="n">
        <v>46029</v>
      </c>
      <c r="E2383" s="75" t="inlineStr">
        <is>
          <t>KR</t>
        </is>
      </c>
      <c r="F2383" s="75" t="n">
        <v>62301000</v>
      </c>
      <c r="G2383" s="75" t="n">
        <v>1801</v>
      </c>
      <c r="H2383" s="76" t="n">
        <v>292000</v>
      </c>
      <c r="I2383" s="75" t="inlineStr">
        <is>
          <t>1월 소모품 구입 - R문구</t>
        </is>
      </c>
      <c r="J2383" s="75" t="inlineStr">
        <is>
          <t>V10018</t>
        </is>
      </c>
      <c r="K2383" s="75" t="inlineStr">
        <is>
          <t>R문구</t>
        </is>
      </c>
      <c r="M2383" s="9">
        <f>IF($A2383="","",VALUE($A2383&amp;"")*12+VALUE($B2383&amp;""))</f>
        <v/>
      </c>
      <c r="N2383" s="39">
        <f>IF($A2383="","",IFERROR(INDEX(부서매핑!$C$5:$C$504,MATCH($G2383&amp;"",부서매핑!$A$5:$A$504,0)),"미매핑"))</f>
        <v/>
      </c>
      <c r="O2383" s="9">
        <f>IF($A2383="","",N2383&amp;"|"&amp;$F2383)</f>
        <v/>
      </c>
      <c r="P2383" s="77">
        <f>IF($A2383="",0,$H2383*설정!$C$23)</f>
        <v/>
      </c>
      <c r="Q2383" s="39">
        <f>IF($A2383="","",IF(O2383&lt;&gt;원인분석!$C$9,"",IF(AND(M2383&gt;=원인분석!$C$10,M2383&lt;=원인분석!$C$11),"당기",IF(AND(M2383&gt;=원인분석!$C$12,M2383&lt;=원인분석!$C$13),"비교",""))))</f>
        <v/>
      </c>
      <c r="R2383" s="9">
        <f>IF(Q2383="","",$K2383&amp;"")</f>
        <v/>
      </c>
      <c r="S2383" s="9">
        <f>IF(Q2383="","",IF(MATCH(R2383,$R$5:$R$100000,0)=ROW()-4,ROW(),""))</f>
        <v/>
      </c>
      <c r="T2383" s="9">
        <f>IF(Q2383="당기",ABS(P2383)+ROW()/1000000000,"")</f>
        <v/>
      </c>
      <c r="U2383" s="9">
        <f>IF(Q2383="비교",ABS(P2383)+ROW()/1000000000,"")</f>
        <v/>
      </c>
      <c r="V2383" s="39">
        <f>IF($A2383="","",IF(COUNTIF(변동분석!$E$7:$E$506,O2383)&gt;0,"Y","N"))</f>
        <v/>
      </c>
      <c r="W2383" s="39">
        <f>IF($A2383="","",IFERROR(INDEX(계정매핑!$D$5:$D$504,MATCH($F2383&amp;"",계정매핑!$A$5:$A$504,0)),"미매핑"))</f>
        <v/>
      </c>
      <c r="X2383" s="9">
        <f>IF($A2383="","",$F2383&amp;"")</f>
        <v/>
      </c>
    </row>
    <row r="2384">
      <c r="A2384" s="75" t="n">
        <v>2026</v>
      </c>
      <c r="B2384" s="75" t="n">
        <v>1</v>
      </c>
      <c r="C2384" s="75" t="inlineStr">
        <is>
          <t>5100000040</t>
        </is>
      </c>
      <c r="D2384" s="78" t="n">
        <v>46029</v>
      </c>
      <c r="E2384" s="75" t="inlineStr">
        <is>
          <t>KR</t>
        </is>
      </c>
      <c r="F2384" s="75" t="n">
        <v>62501000</v>
      </c>
      <c r="G2384" s="75" t="n">
        <v>1801</v>
      </c>
      <c r="H2384" s="76" t="n">
        <v>128000</v>
      </c>
      <c r="I2384" s="75" t="inlineStr">
        <is>
          <t>1월 회의 다과 - T케이터링</t>
        </is>
      </c>
      <c r="J2384" s="75" t="inlineStr">
        <is>
          <t>V10005</t>
        </is>
      </c>
      <c r="K2384" s="75" t="inlineStr">
        <is>
          <t>T케이터링</t>
        </is>
      </c>
      <c r="M2384" s="9">
        <f>IF($A2384="","",VALUE($A2384&amp;"")*12+VALUE($B2384&amp;""))</f>
        <v/>
      </c>
      <c r="N2384" s="39">
        <f>IF($A2384="","",IFERROR(INDEX(부서매핑!$C$5:$C$504,MATCH($G2384&amp;"",부서매핑!$A$5:$A$504,0)),"미매핑"))</f>
        <v/>
      </c>
      <c r="O2384" s="9">
        <f>IF($A2384="","",N2384&amp;"|"&amp;$F2384)</f>
        <v/>
      </c>
      <c r="P2384" s="77">
        <f>IF($A2384="",0,$H2384*설정!$C$23)</f>
        <v/>
      </c>
      <c r="Q2384" s="39">
        <f>IF($A2384="","",IF(O2384&lt;&gt;원인분석!$C$9,"",IF(AND(M2384&gt;=원인분석!$C$10,M2384&lt;=원인분석!$C$11),"당기",IF(AND(M2384&gt;=원인분석!$C$12,M2384&lt;=원인분석!$C$13),"비교",""))))</f>
        <v/>
      </c>
      <c r="R2384" s="9">
        <f>IF(Q2384="","",$K2384&amp;"")</f>
        <v/>
      </c>
      <c r="S2384" s="9">
        <f>IF(Q2384="","",IF(MATCH(R2384,$R$5:$R$100000,0)=ROW()-4,ROW(),""))</f>
        <v/>
      </c>
      <c r="T2384" s="9">
        <f>IF(Q2384="당기",ABS(P2384)+ROW()/1000000000,"")</f>
        <v/>
      </c>
      <c r="U2384" s="9">
        <f>IF(Q2384="비교",ABS(P2384)+ROW()/1000000000,"")</f>
        <v/>
      </c>
      <c r="V2384" s="39">
        <f>IF($A2384="","",IF(COUNTIF(변동분석!$E$7:$E$506,O2384)&gt;0,"Y","N"))</f>
        <v/>
      </c>
      <c r="W2384" s="39">
        <f>IF($A2384="","",IFERROR(INDEX(계정매핑!$D$5:$D$504,MATCH($F2384&amp;"",계정매핑!$A$5:$A$504,0)),"미매핑"))</f>
        <v/>
      </c>
      <c r="X2384" s="9">
        <f>IF($A2384="","",$F2384&amp;"")</f>
        <v/>
      </c>
    </row>
    <row r="2385">
      <c r="A2385" s="75" t="n">
        <v>2026</v>
      </c>
      <c r="B2385" s="75" t="n">
        <v>1</v>
      </c>
      <c r="C2385" s="75" t="inlineStr">
        <is>
          <t>5100000041</t>
        </is>
      </c>
      <c r="D2385" s="78" t="n">
        <v>46029</v>
      </c>
      <c r="E2385" s="75" t="inlineStr">
        <is>
          <t>KR</t>
        </is>
      </c>
      <c r="F2385" s="75" t="n">
        <v>62601000</v>
      </c>
      <c r="G2385" s="75" t="n">
        <v>1502</v>
      </c>
      <c r="H2385" s="76" t="n">
        <v>1165000</v>
      </c>
      <c r="I2385" s="75" t="inlineStr">
        <is>
          <t>1월 업무추진 - (법인카드)</t>
        </is>
      </c>
      <c r="J2385" s="75" t="inlineStr">
        <is>
          <t>V10008</t>
        </is>
      </c>
      <c r="K2385" s="75" t="inlineStr">
        <is>
          <t>(법인카드)</t>
        </is>
      </c>
      <c r="M2385" s="9">
        <f>IF($A2385="","",VALUE($A2385&amp;"")*12+VALUE($B2385&amp;""))</f>
        <v/>
      </c>
      <c r="N2385" s="39">
        <f>IF($A2385="","",IFERROR(INDEX(부서매핑!$C$5:$C$504,MATCH($G2385&amp;"",부서매핑!$A$5:$A$504,0)),"미매핑"))</f>
        <v/>
      </c>
      <c r="O2385" s="9">
        <f>IF($A2385="","",N2385&amp;"|"&amp;$F2385)</f>
        <v/>
      </c>
      <c r="P2385" s="77">
        <f>IF($A2385="",0,$H2385*설정!$C$23)</f>
        <v/>
      </c>
      <c r="Q2385" s="39">
        <f>IF($A2385="","",IF(O2385&lt;&gt;원인분석!$C$9,"",IF(AND(M2385&gt;=원인분석!$C$10,M2385&lt;=원인분석!$C$11),"당기",IF(AND(M2385&gt;=원인분석!$C$12,M2385&lt;=원인분석!$C$13),"비교",""))))</f>
        <v/>
      </c>
      <c r="R2385" s="9">
        <f>IF(Q2385="","",$K2385&amp;"")</f>
        <v/>
      </c>
      <c r="S2385" s="9">
        <f>IF(Q2385="","",IF(MATCH(R2385,$R$5:$R$100000,0)=ROW()-4,ROW(),""))</f>
        <v/>
      </c>
      <c r="T2385" s="9">
        <f>IF(Q2385="당기",ABS(P2385)+ROW()/1000000000,"")</f>
        <v/>
      </c>
      <c r="U2385" s="9">
        <f>IF(Q2385="비교",ABS(P2385)+ROW()/1000000000,"")</f>
        <v/>
      </c>
      <c r="V2385" s="39">
        <f>IF($A2385="","",IF(COUNTIF(변동분석!$E$7:$E$506,O2385)&gt;0,"Y","N"))</f>
        <v/>
      </c>
      <c r="W2385" s="39">
        <f>IF($A2385="","",IFERROR(INDEX(계정매핑!$D$5:$D$504,MATCH($F2385&amp;"",계정매핑!$A$5:$A$504,0)),"미매핑"))</f>
        <v/>
      </c>
      <c r="X2385" s="9">
        <f>IF($A2385="","",$F2385&amp;"")</f>
        <v/>
      </c>
    </row>
    <row r="2386">
      <c r="A2386" s="75" t="n">
        <v>2026</v>
      </c>
      <c r="B2386" s="75" t="n">
        <v>1</v>
      </c>
      <c r="C2386" s="75" t="inlineStr">
        <is>
          <t>5100000042</t>
        </is>
      </c>
      <c r="D2386" s="78" t="n">
        <v>46029</v>
      </c>
      <c r="E2386" s="75" t="inlineStr">
        <is>
          <t>KR</t>
        </is>
      </c>
      <c r="F2386" s="75" t="n">
        <v>62701000</v>
      </c>
      <c r="G2386" s="75" t="n">
        <v>1501</v>
      </c>
      <c r="H2386" s="76" t="n">
        <v>84489000</v>
      </c>
      <c r="I2386" s="75" t="inlineStr">
        <is>
          <t>1월 광고 집행 - F애드</t>
        </is>
      </c>
      <c r="J2386" s="75" t="inlineStr">
        <is>
          <t>V10019</t>
        </is>
      </c>
      <c r="K2386" s="75" t="inlineStr">
        <is>
          <t>F애드</t>
        </is>
      </c>
      <c r="M2386" s="9">
        <f>IF($A2386="","",VALUE($A2386&amp;"")*12+VALUE($B2386&amp;""))</f>
        <v/>
      </c>
      <c r="N2386" s="39">
        <f>IF($A2386="","",IFERROR(INDEX(부서매핑!$C$5:$C$504,MATCH($G2386&amp;"",부서매핑!$A$5:$A$504,0)),"미매핑"))</f>
        <v/>
      </c>
      <c r="O2386" s="9">
        <f>IF($A2386="","",N2386&amp;"|"&amp;$F2386)</f>
        <v/>
      </c>
      <c r="P2386" s="77">
        <f>IF($A2386="",0,$H2386*설정!$C$23)</f>
        <v/>
      </c>
      <c r="Q2386" s="39">
        <f>IF($A2386="","",IF(O2386&lt;&gt;원인분석!$C$9,"",IF(AND(M2386&gt;=원인분석!$C$10,M2386&lt;=원인분석!$C$11),"당기",IF(AND(M2386&gt;=원인분석!$C$12,M2386&lt;=원인분석!$C$13),"비교",""))))</f>
        <v/>
      </c>
      <c r="R2386" s="9">
        <f>IF(Q2386="","",$K2386&amp;"")</f>
        <v/>
      </c>
      <c r="S2386" s="9">
        <f>IF(Q2386="","",IF(MATCH(R2386,$R$5:$R$100000,0)=ROW()-4,ROW(),""))</f>
        <v/>
      </c>
      <c r="T2386" s="9">
        <f>IF(Q2386="당기",ABS(P2386)+ROW()/1000000000,"")</f>
        <v/>
      </c>
      <c r="U2386" s="9">
        <f>IF(Q2386="비교",ABS(P2386)+ROW()/1000000000,"")</f>
        <v/>
      </c>
      <c r="V2386" s="39">
        <f>IF($A2386="","",IF(COUNTIF(변동분석!$E$7:$E$506,O2386)&gt;0,"Y","N"))</f>
        <v/>
      </c>
      <c r="W2386" s="39">
        <f>IF($A2386="","",IFERROR(INDEX(계정매핑!$D$5:$D$504,MATCH($F2386&amp;"",계정매핑!$A$5:$A$504,0)),"미매핑"))</f>
        <v/>
      </c>
      <c r="X2386" s="9">
        <f>IF($A2386="","",$F2386&amp;"")</f>
        <v/>
      </c>
    </row>
    <row r="2387">
      <c r="A2387" s="75" t="n">
        <v>2026</v>
      </c>
      <c r="B2387" s="75" t="n">
        <v>1</v>
      </c>
      <c r="C2387" s="75" t="inlineStr">
        <is>
          <t>5100000043</t>
        </is>
      </c>
      <c r="D2387" s="78" t="n">
        <v>46029</v>
      </c>
      <c r="E2387" s="75" t="inlineStr">
        <is>
          <t>KR</t>
        </is>
      </c>
      <c r="F2387" s="75" t="n">
        <v>62901000</v>
      </c>
      <c r="G2387" s="75" t="n">
        <v>1201</v>
      </c>
      <c r="H2387" s="76" t="n">
        <v>7402000</v>
      </c>
      <c r="I2387" s="75" t="inlineStr">
        <is>
          <t>1월 자문 수수료 - W컨설팅</t>
        </is>
      </c>
      <c r="J2387" s="75" t="inlineStr">
        <is>
          <t>V10009</t>
        </is>
      </c>
      <c r="K2387" s="75" t="inlineStr">
        <is>
          <t>W컨설팅</t>
        </is>
      </c>
      <c r="M2387" s="9">
        <f>IF($A2387="","",VALUE($A2387&amp;"")*12+VALUE($B2387&amp;""))</f>
        <v/>
      </c>
      <c r="N2387" s="39">
        <f>IF($A2387="","",IFERROR(INDEX(부서매핑!$C$5:$C$504,MATCH($G2387&amp;"",부서매핑!$A$5:$A$504,0)),"미매핑"))</f>
        <v/>
      </c>
      <c r="O2387" s="9">
        <f>IF($A2387="","",N2387&amp;"|"&amp;$F2387)</f>
        <v/>
      </c>
      <c r="P2387" s="77">
        <f>IF($A2387="",0,$H2387*설정!$C$23)</f>
        <v/>
      </c>
      <c r="Q2387" s="39">
        <f>IF($A2387="","",IF(O2387&lt;&gt;원인분석!$C$9,"",IF(AND(M2387&gt;=원인분석!$C$10,M2387&lt;=원인분석!$C$11),"당기",IF(AND(M2387&gt;=원인분석!$C$12,M2387&lt;=원인분석!$C$13),"비교",""))))</f>
        <v/>
      </c>
      <c r="R2387" s="9">
        <f>IF(Q2387="","",$K2387&amp;"")</f>
        <v/>
      </c>
      <c r="S2387" s="9">
        <f>IF(Q2387="","",IF(MATCH(R2387,$R$5:$R$100000,0)=ROW()-4,ROW(),""))</f>
        <v/>
      </c>
      <c r="T2387" s="9">
        <f>IF(Q2387="당기",ABS(P2387)+ROW()/1000000000,"")</f>
        <v/>
      </c>
      <c r="U2387" s="9">
        <f>IF(Q2387="비교",ABS(P2387)+ROW()/1000000000,"")</f>
        <v/>
      </c>
      <c r="V2387" s="39">
        <f>IF($A2387="","",IF(COUNTIF(변동분석!$E$7:$E$506,O2387)&gt;0,"Y","N"))</f>
        <v/>
      </c>
      <c r="W2387" s="39">
        <f>IF($A2387="","",IFERROR(INDEX(계정매핑!$D$5:$D$504,MATCH($F2387&amp;"",계정매핑!$A$5:$A$504,0)),"미매핑"))</f>
        <v/>
      </c>
      <c r="X2387" s="9">
        <f>IF($A2387="","",$F2387&amp;"")</f>
        <v/>
      </c>
    </row>
    <row r="2388">
      <c r="A2388" s="75" t="n">
        <v>2026</v>
      </c>
      <c r="B2388" s="75" t="n">
        <v>1</v>
      </c>
      <c r="C2388" s="75" t="inlineStr">
        <is>
          <t>5100000044</t>
        </is>
      </c>
      <c r="D2388" s="78" t="n">
        <v>46030</v>
      </c>
      <c r="E2388" s="75" t="inlineStr">
        <is>
          <t>KR</t>
        </is>
      </c>
      <c r="F2388" s="75" t="n">
        <v>62102000</v>
      </c>
      <c r="G2388" s="75" t="n">
        <v>1701</v>
      </c>
      <c r="H2388" s="76" t="n">
        <v>86000</v>
      </c>
      <c r="I2388" s="75" t="inlineStr">
        <is>
          <t>1월 해외출장 - N호텔</t>
        </is>
      </c>
      <c r="J2388" s="75" t="inlineStr">
        <is>
          <t>V10007</t>
        </is>
      </c>
      <c r="K2388" s="75" t="inlineStr">
        <is>
          <t>N호텔</t>
        </is>
      </c>
      <c r="M2388" s="9">
        <f>IF($A2388="","",VALUE($A2388&amp;"")*12+VALUE($B2388&amp;""))</f>
        <v/>
      </c>
      <c r="N2388" s="39">
        <f>IF($A2388="","",IFERROR(INDEX(부서매핑!$C$5:$C$504,MATCH($G2388&amp;"",부서매핑!$A$5:$A$504,0)),"미매핑"))</f>
        <v/>
      </c>
      <c r="O2388" s="9">
        <f>IF($A2388="","",N2388&amp;"|"&amp;$F2388)</f>
        <v/>
      </c>
      <c r="P2388" s="77">
        <f>IF($A2388="",0,$H2388*설정!$C$23)</f>
        <v/>
      </c>
      <c r="Q2388" s="39">
        <f>IF($A2388="","",IF(O2388&lt;&gt;원인분석!$C$9,"",IF(AND(M2388&gt;=원인분석!$C$10,M2388&lt;=원인분석!$C$11),"당기",IF(AND(M2388&gt;=원인분석!$C$12,M2388&lt;=원인분석!$C$13),"비교",""))))</f>
        <v/>
      </c>
      <c r="R2388" s="9">
        <f>IF(Q2388="","",$K2388&amp;"")</f>
        <v/>
      </c>
      <c r="S2388" s="9">
        <f>IF(Q2388="","",IF(MATCH(R2388,$R$5:$R$100000,0)=ROW()-4,ROW(),""))</f>
        <v/>
      </c>
      <c r="T2388" s="9">
        <f>IF(Q2388="당기",ABS(P2388)+ROW()/1000000000,"")</f>
        <v/>
      </c>
      <c r="U2388" s="9">
        <f>IF(Q2388="비교",ABS(P2388)+ROW()/1000000000,"")</f>
        <v/>
      </c>
      <c r="V2388" s="39">
        <f>IF($A2388="","",IF(COUNTIF(변동분석!$E$7:$E$506,O2388)&gt;0,"Y","N"))</f>
        <v/>
      </c>
      <c r="W2388" s="39">
        <f>IF($A2388="","",IFERROR(INDEX(계정매핑!$D$5:$D$504,MATCH($F2388&amp;"",계정매핑!$A$5:$A$504,0)),"미매핑"))</f>
        <v/>
      </c>
      <c r="X2388" s="9">
        <f>IF($A2388="","",$F2388&amp;"")</f>
        <v/>
      </c>
    </row>
    <row r="2389">
      <c r="A2389" s="75" t="n">
        <v>2026</v>
      </c>
      <c r="B2389" s="75" t="n">
        <v>1</v>
      </c>
      <c r="C2389" s="75" t="inlineStr">
        <is>
          <t>5100000045</t>
        </is>
      </c>
      <c r="D2389" s="78" t="n">
        <v>46030</v>
      </c>
      <c r="E2389" s="75" t="inlineStr">
        <is>
          <t>KR</t>
        </is>
      </c>
      <c r="F2389" s="75" t="n">
        <v>62201000</v>
      </c>
      <c r="G2389" s="75" t="n">
        <v>1201</v>
      </c>
      <c r="H2389" s="76" t="n">
        <v>241000</v>
      </c>
      <c r="I2389" s="75" t="inlineStr">
        <is>
          <t>1월 통신요금 - P통신</t>
        </is>
      </c>
      <c r="J2389" s="75" t="inlineStr">
        <is>
          <t>V10011</t>
        </is>
      </c>
      <c r="K2389" s="75" t="inlineStr">
        <is>
          <t>P통신</t>
        </is>
      </c>
      <c r="M2389" s="9">
        <f>IF($A2389="","",VALUE($A2389&amp;"")*12+VALUE($B2389&amp;""))</f>
        <v/>
      </c>
      <c r="N2389" s="39">
        <f>IF($A2389="","",IFERROR(INDEX(부서매핑!$C$5:$C$504,MATCH($G2389&amp;"",부서매핑!$A$5:$A$504,0)),"미매핑"))</f>
        <v/>
      </c>
      <c r="O2389" s="9">
        <f>IF($A2389="","",N2389&amp;"|"&amp;$F2389)</f>
        <v/>
      </c>
      <c r="P2389" s="77">
        <f>IF($A2389="",0,$H2389*설정!$C$23)</f>
        <v/>
      </c>
      <c r="Q2389" s="39">
        <f>IF($A2389="","",IF(O2389&lt;&gt;원인분석!$C$9,"",IF(AND(M2389&gt;=원인분석!$C$10,M2389&lt;=원인분석!$C$11),"당기",IF(AND(M2389&gt;=원인분석!$C$12,M2389&lt;=원인분석!$C$13),"비교",""))))</f>
        <v/>
      </c>
      <c r="R2389" s="9">
        <f>IF(Q2389="","",$K2389&amp;"")</f>
        <v/>
      </c>
      <c r="S2389" s="9">
        <f>IF(Q2389="","",IF(MATCH(R2389,$R$5:$R$100000,0)=ROW()-4,ROW(),""))</f>
        <v/>
      </c>
      <c r="T2389" s="9">
        <f>IF(Q2389="당기",ABS(P2389)+ROW()/1000000000,"")</f>
        <v/>
      </c>
      <c r="U2389" s="9">
        <f>IF(Q2389="비교",ABS(P2389)+ROW()/1000000000,"")</f>
        <v/>
      </c>
      <c r="V2389" s="39">
        <f>IF($A2389="","",IF(COUNTIF(변동분석!$E$7:$E$506,O2389)&gt;0,"Y","N"))</f>
        <v/>
      </c>
      <c r="W2389" s="39">
        <f>IF($A2389="","",IFERROR(INDEX(계정매핑!$D$5:$D$504,MATCH($F2389&amp;"",계정매핑!$A$5:$A$504,0)),"미매핑"))</f>
        <v/>
      </c>
      <c r="X2389" s="9">
        <f>IF($A2389="","",$F2389&amp;"")</f>
        <v/>
      </c>
    </row>
    <row r="2390">
      <c r="A2390" s="75" t="n">
        <v>2026</v>
      </c>
      <c r="B2390" s="75" t="n">
        <v>1</v>
      </c>
      <c r="C2390" s="75" t="inlineStr">
        <is>
          <t>5100000046</t>
        </is>
      </c>
      <c r="D2390" s="78" t="n">
        <v>46030</v>
      </c>
      <c r="E2390" s="75" t="inlineStr">
        <is>
          <t>KR</t>
        </is>
      </c>
      <c r="F2390" s="75" t="n">
        <v>62301000</v>
      </c>
      <c r="G2390" s="75" t="n">
        <v>1401</v>
      </c>
      <c r="H2390" s="76" t="n">
        <v>123000</v>
      </c>
      <c r="I2390" s="75" t="inlineStr">
        <is>
          <t>1월 소모품 구입 - Q오피스</t>
        </is>
      </c>
      <c r="J2390" s="75" t="inlineStr">
        <is>
          <t>V10003</t>
        </is>
      </c>
      <c r="K2390" s="75" t="inlineStr">
        <is>
          <t>Q오피스</t>
        </is>
      </c>
      <c r="M2390" s="9">
        <f>IF($A2390="","",VALUE($A2390&amp;"")*12+VALUE($B2390&amp;""))</f>
        <v/>
      </c>
      <c r="N2390" s="39">
        <f>IF($A2390="","",IFERROR(INDEX(부서매핑!$C$5:$C$504,MATCH($G2390&amp;"",부서매핑!$A$5:$A$504,0)),"미매핑"))</f>
        <v/>
      </c>
      <c r="O2390" s="9">
        <f>IF($A2390="","",N2390&amp;"|"&amp;$F2390)</f>
        <v/>
      </c>
      <c r="P2390" s="77">
        <f>IF($A2390="",0,$H2390*설정!$C$23)</f>
        <v/>
      </c>
      <c r="Q2390" s="39">
        <f>IF($A2390="","",IF(O2390&lt;&gt;원인분석!$C$9,"",IF(AND(M2390&gt;=원인분석!$C$10,M2390&lt;=원인분석!$C$11),"당기",IF(AND(M2390&gt;=원인분석!$C$12,M2390&lt;=원인분석!$C$13),"비교",""))))</f>
        <v/>
      </c>
      <c r="R2390" s="9">
        <f>IF(Q2390="","",$K2390&amp;"")</f>
        <v/>
      </c>
      <c r="S2390" s="9">
        <f>IF(Q2390="","",IF(MATCH(R2390,$R$5:$R$100000,0)=ROW()-4,ROW(),""))</f>
        <v/>
      </c>
      <c r="T2390" s="9">
        <f>IF(Q2390="당기",ABS(P2390)+ROW()/1000000000,"")</f>
        <v/>
      </c>
      <c r="U2390" s="9">
        <f>IF(Q2390="비교",ABS(P2390)+ROW()/1000000000,"")</f>
        <v/>
      </c>
      <c r="V2390" s="39">
        <f>IF($A2390="","",IF(COUNTIF(변동분석!$E$7:$E$506,O2390)&gt;0,"Y","N"))</f>
        <v/>
      </c>
      <c r="W2390" s="39">
        <f>IF($A2390="","",IFERROR(INDEX(계정매핑!$D$5:$D$504,MATCH($F2390&amp;"",계정매핑!$A$5:$A$504,0)),"미매핑"))</f>
        <v/>
      </c>
      <c r="X2390" s="9">
        <f>IF($A2390="","",$F2390&amp;"")</f>
        <v/>
      </c>
    </row>
    <row r="2391">
      <c r="A2391" s="75" t="n">
        <v>2026</v>
      </c>
      <c r="B2391" s="75" t="n">
        <v>1</v>
      </c>
      <c r="C2391" s="75" t="inlineStr">
        <is>
          <t>5100000047</t>
        </is>
      </c>
      <c r="D2391" s="78" t="n">
        <v>46030</v>
      </c>
      <c r="E2391" s="75" t="inlineStr">
        <is>
          <t>KR</t>
        </is>
      </c>
      <c r="F2391" s="75" t="n">
        <v>62301000</v>
      </c>
      <c r="G2391" s="75" t="n">
        <v>1602</v>
      </c>
      <c r="H2391" s="76" t="n">
        <v>272000</v>
      </c>
      <c r="I2391" s="75" t="inlineStr">
        <is>
          <t>1월 소모품 구입 - R문구</t>
        </is>
      </c>
      <c r="J2391" s="75" t="inlineStr">
        <is>
          <t>V10018</t>
        </is>
      </c>
      <c r="K2391" s="75" t="inlineStr">
        <is>
          <t>R문구</t>
        </is>
      </c>
      <c r="M2391" s="9">
        <f>IF($A2391="","",VALUE($A2391&amp;"")*12+VALUE($B2391&amp;""))</f>
        <v/>
      </c>
      <c r="N2391" s="39">
        <f>IF($A2391="","",IFERROR(INDEX(부서매핑!$C$5:$C$504,MATCH($G2391&amp;"",부서매핑!$A$5:$A$504,0)),"미매핑"))</f>
        <v/>
      </c>
      <c r="O2391" s="9">
        <f>IF($A2391="","",N2391&amp;"|"&amp;$F2391)</f>
        <v/>
      </c>
      <c r="P2391" s="77">
        <f>IF($A2391="",0,$H2391*설정!$C$23)</f>
        <v/>
      </c>
      <c r="Q2391" s="39">
        <f>IF($A2391="","",IF(O2391&lt;&gt;원인분석!$C$9,"",IF(AND(M2391&gt;=원인분석!$C$10,M2391&lt;=원인분석!$C$11),"당기",IF(AND(M2391&gt;=원인분석!$C$12,M2391&lt;=원인분석!$C$13),"비교",""))))</f>
        <v/>
      </c>
      <c r="R2391" s="9">
        <f>IF(Q2391="","",$K2391&amp;"")</f>
        <v/>
      </c>
      <c r="S2391" s="9">
        <f>IF(Q2391="","",IF(MATCH(R2391,$R$5:$R$100000,0)=ROW()-4,ROW(),""))</f>
        <v/>
      </c>
      <c r="T2391" s="9">
        <f>IF(Q2391="당기",ABS(P2391)+ROW()/1000000000,"")</f>
        <v/>
      </c>
      <c r="U2391" s="9">
        <f>IF(Q2391="비교",ABS(P2391)+ROW()/1000000000,"")</f>
        <v/>
      </c>
      <c r="V2391" s="39">
        <f>IF($A2391="","",IF(COUNTIF(변동분석!$E$7:$E$506,O2391)&gt;0,"Y","N"))</f>
        <v/>
      </c>
      <c r="W2391" s="39">
        <f>IF($A2391="","",IFERROR(INDEX(계정매핑!$D$5:$D$504,MATCH($F2391&amp;"",계정매핑!$A$5:$A$504,0)),"미매핑"))</f>
        <v/>
      </c>
      <c r="X2391" s="9">
        <f>IF($A2391="","",$F2391&amp;"")</f>
        <v/>
      </c>
    </row>
    <row r="2392">
      <c r="A2392" s="75" t="n">
        <v>2026</v>
      </c>
      <c r="B2392" s="75" t="n">
        <v>1</v>
      </c>
      <c r="C2392" s="75" t="inlineStr">
        <is>
          <t>5100000048</t>
        </is>
      </c>
      <c r="D2392" s="78" t="n">
        <v>46030</v>
      </c>
      <c r="E2392" s="75" t="inlineStr">
        <is>
          <t>KR</t>
        </is>
      </c>
      <c r="F2392" s="75" t="n">
        <v>62301000</v>
      </c>
      <c r="G2392" s="75" t="n">
        <v>1701</v>
      </c>
      <c r="H2392" s="76" t="n">
        <v>202000</v>
      </c>
      <c r="I2392" s="75" t="inlineStr">
        <is>
          <t>1월 소모품 구입 - Q오피스</t>
        </is>
      </c>
      <c r="J2392" s="75" t="inlineStr">
        <is>
          <t>V10003</t>
        </is>
      </c>
      <c r="K2392" s="75" t="inlineStr">
        <is>
          <t>Q오피스</t>
        </is>
      </c>
      <c r="M2392" s="9">
        <f>IF($A2392="","",VALUE($A2392&amp;"")*12+VALUE($B2392&amp;""))</f>
        <v/>
      </c>
      <c r="N2392" s="39">
        <f>IF($A2392="","",IFERROR(INDEX(부서매핑!$C$5:$C$504,MATCH($G2392&amp;"",부서매핑!$A$5:$A$504,0)),"미매핑"))</f>
        <v/>
      </c>
      <c r="O2392" s="9">
        <f>IF($A2392="","",N2392&amp;"|"&amp;$F2392)</f>
        <v/>
      </c>
      <c r="P2392" s="77">
        <f>IF($A2392="",0,$H2392*설정!$C$23)</f>
        <v/>
      </c>
      <c r="Q2392" s="39">
        <f>IF($A2392="","",IF(O2392&lt;&gt;원인분석!$C$9,"",IF(AND(M2392&gt;=원인분석!$C$10,M2392&lt;=원인분석!$C$11),"당기",IF(AND(M2392&gt;=원인분석!$C$12,M2392&lt;=원인분석!$C$13),"비교",""))))</f>
        <v/>
      </c>
      <c r="R2392" s="9">
        <f>IF(Q2392="","",$K2392&amp;"")</f>
        <v/>
      </c>
      <c r="S2392" s="9">
        <f>IF(Q2392="","",IF(MATCH(R2392,$R$5:$R$100000,0)=ROW()-4,ROW(),""))</f>
        <v/>
      </c>
      <c r="T2392" s="9">
        <f>IF(Q2392="당기",ABS(P2392)+ROW()/1000000000,"")</f>
        <v/>
      </c>
      <c r="U2392" s="9">
        <f>IF(Q2392="비교",ABS(P2392)+ROW()/1000000000,"")</f>
        <v/>
      </c>
      <c r="V2392" s="39">
        <f>IF($A2392="","",IF(COUNTIF(변동분석!$E$7:$E$506,O2392)&gt;0,"Y","N"))</f>
        <v/>
      </c>
      <c r="W2392" s="39">
        <f>IF($A2392="","",IFERROR(INDEX(계정매핑!$D$5:$D$504,MATCH($F2392&amp;"",계정매핑!$A$5:$A$504,0)),"미매핑"))</f>
        <v/>
      </c>
      <c r="X2392" s="9">
        <f>IF($A2392="","",$F2392&amp;"")</f>
        <v/>
      </c>
    </row>
    <row r="2393">
      <c r="A2393" s="75" t="n">
        <v>2026</v>
      </c>
      <c r="B2393" s="75" t="n">
        <v>1</v>
      </c>
      <c r="C2393" s="75" t="inlineStr">
        <is>
          <t>5100000049</t>
        </is>
      </c>
      <c r="D2393" s="78" t="n">
        <v>46030</v>
      </c>
      <c r="E2393" s="75" t="inlineStr">
        <is>
          <t>KR</t>
        </is>
      </c>
      <c r="F2393" s="75" t="n">
        <v>62501000</v>
      </c>
      <c r="G2393" s="75" t="n">
        <v>1501</v>
      </c>
      <c r="H2393" s="76" t="n">
        <v>580000</v>
      </c>
      <c r="I2393" s="75" t="inlineStr">
        <is>
          <t>1월 회의 다과 - T케이터링</t>
        </is>
      </c>
      <c r="J2393" s="75" t="inlineStr">
        <is>
          <t>V10005</t>
        </is>
      </c>
      <c r="K2393" s="75" t="inlineStr">
        <is>
          <t>T케이터링</t>
        </is>
      </c>
      <c r="M2393" s="9">
        <f>IF($A2393="","",VALUE($A2393&amp;"")*12+VALUE($B2393&amp;""))</f>
        <v/>
      </c>
      <c r="N2393" s="39">
        <f>IF($A2393="","",IFERROR(INDEX(부서매핑!$C$5:$C$504,MATCH($G2393&amp;"",부서매핑!$A$5:$A$504,0)),"미매핑"))</f>
        <v/>
      </c>
      <c r="O2393" s="9">
        <f>IF($A2393="","",N2393&amp;"|"&amp;$F2393)</f>
        <v/>
      </c>
      <c r="P2393" s="77">
        <f>IF($A2393="",0,$H2393*설정!$C$23)</f>
        <v/>
      </c>
      <c r="Q2393" s="39">
        <f>IF($A2393="","",IF(O2393&lt;&gt;원인분석!$C$9,"",IF(AND(M2393&gt;=원인분석!$C$10,M2393&lt;=원인분석!$C$11),"당기",IF(AND(M2393&gt;=원인분석!$C$12,M2393&lt;=원인분석!$C$13),"비교",""))))</f>
        <v/>
      </c>
      <c r="R2393" s="9">
        <f>IF(Q2393="","",$K2393&amp;"")</f>
        <v/>
      </c>
      <c r="S2393" s="9">
        <f>IF(Q2393="","",IF(MATCH(R2393,$R$5:$R$100000,0)=ROW()-4,ROW(),""))</f>
        <v/>
      </c>
      <c r="T2393" s="9">
        <f>IF(Q2393="당기",ABS(P2393)+ROW()/1000000000,"")</f>
        <v/>
      </c>
      <c r="U2393" s="9">
        <f>IF(Q2393="비교",ABS(P2393)+ROW()/1000000000,"")</f>
        <v/>
      </c>
      <c r="V2393" s="39">
        <f>IF($A2393="","",IF(COUNTIF(변동분석!$E$7:$E$506,O2393)&gt;0,"Y","N"))</f>
        <v/>
      </c>
      <c r="W2393" s="39">
        <f>IF($A2393="","",IFERROR(INDEX(계정매핑!$D$5:$D$504,MATCH($F2393&amp;"",계정매핑!$A$5:$A$504,0)),"미매핑"))</f>
        <v/>
      </c>
      <c r="X2393" s="9">
        <f>IF($A2393="","",$F2393&amp;"")</f>
        <v/>
      </c>
    </row>
    <row r="2394">
      <c r="A2394" s="75" t="n">
        <v>2026</v>
      </c>
      <c r="B2394" s="75" t="n">
        <v>1</v>
      </c>
      <c r="C2394" s="75" t="inlineStr">
        <is>
          <t>5100000050</t>
        </is>
      </c>
      <c r="D2394" s="78" t="n">
        <v>46030</v>
      </c>
      <c r="E2394" s="75" t="inlineStr">
        <is>
          <t>KR</t>
        </is>
      </c>
      <c r="F2394" s="75" t="n">
        <v>62501000</v>
      </c>
      <c r="G2394" s="75" t="n">
        <v>1801</v>
      </c>
      <c r="H2394" s="76" t="n">
        <v>140000</v>
      </c>
      <c r="I2394" s="75" t="inlineStr">
        <is>
          <t>1월 회의 다과 - T케이터링</t>
        </is>
      </c>
      <c r="J2394" s="75" t="inlineStr">
        <is>
          <t>V10005</t>
        </is>
      </c>
      <c r="K2394" s="75" t="inlineStr">
        <is>
          <t>T케이터링</t>
        </is>
      </c>
      <c r="M2394" s="9">
        <f>IF($A2394="","",VALUE($A2394&amp;"")*12+VALUE($B2394&amp;""))</f>
        <v/>
      </c>
      <c r="N2394" s="39">
        <f>IF($A2394="","",IFERROR(INDEX(부서매핑!$C$5:$C$504,MATCH($G2394&amp;"",부서매핑!$A$5:$A$504,0)),"미매핑"))</f>
        <v/>
      </c>
      <c r="O2394" s="9">
        <f>IF($A2394="","",N2394&amp;"|"&amp;$F2394)</f>
        <v/>
      </c>
      <c r="P2394" s="77">
        <f>IF($A2394="",0,$H2394*설정!$C$23)</f>
        <v/>
      </c>
      <c r="Q2394" s="39">
        <f>IF($A2394="","",IF(O2394&lt;&gt;원인분석!$C$9,"",IF(AND(M2394&gt;=원인분석!$C$10,M2394&lt;=원인분석!$C$11),"당기",IF(AND(M2394&gt;=원인분석!$C$12,M2394&lt;=원인분석!$C$13),"비교",""))))</f>
        <v/>
      </c>
      <c r="R2394" s="9">
        <f>IF(Q2394="","",$K2394&amp;"")</f>
        <v/>
      </c>
      <c r="S2394" s="9">
        <f>IF(Q2394="","",IF(MATCH(R2394,$R$5:$R$100000,0)=ROW()-4,ROW(),""))</f>
        <v/>
      </c>
      <c r="T2394" s="9">
        <f>IF(Q2394="당기",ABS(P2394)+ROW()/1000000000,"")</f>
        <v/>
      </c>
      <c r="U2394" s="9">
        <f>IF(Q2394="비교",ABS(P2394)+ROW()/1000000000,"")</f>
        <v/>
      </c>
      <c r="V2394" s="39">
        <f>IF($A2394="","",IF(COUNTIF(변동분석!$E$7:$E$506,O2394)&gt;0,"Y","N"))</f>
        <v/>
      </c>
      <c r="W2394" s="39">
        <f>IF($A2394="","",IFERROR(INDEX(계정매핑!$D$5:$D$504,MATCH($F2394&amp;"",계정매핑!$A$5:$A$504,0)),"미매핑"))</f>
        <v/>
      </c>
      <c r="X2394" s="9">
        <f>IF($A2394="","",$F2394&amp;"")</f>
        <v/>
      </c>
    </row>
    <row r="2395">
      <c r="A2395" s="75" t="n">
        <v>2026</v>
      </c>
      <c r="B2395" s="75" t="n">
        <v>1</v>
      </c>
      <c r="C2395" s="75" t="inlineStr">
        <is>
          <t>5100000051</t>
        </is>
      </c>
      <c r="D2395" s="78" t="n">
        <v>46030</v>
      </c>
      <c r="E2395" s="75" t="inlineStr">
        <is>
          <t>KR</t>
        </is>
      </c>
      <c r="F2395" s="75" t="n">
        <v>62601000</v>
      </c>
      <c r="G2395" s="75" t="n">
        <v>1301</v>
      </c>
      <c r="H2395" s="76" t="n">
        <v>845000</v>
      </c>
      <c r="I2395" s="75" t="inlineStr">
        <is>
          <t>1월 업무추진 - (법인카드)</t>
        </is>
      </c>
      <c r="J2395" s="75" t="inlineStr">
        <is>
          <t>V10008</t>
        </is>
      </c>
      <c r="K2395" s="75" t="inlineStr">
        <is>
          <t>(법인카드)</t>
        </is>
      </c>
      <c r="M2395" s="9">
        <f>IF($A2395="","",VALUE($A2395&amp;"")*12+VALUE($B2395&amp;""))</f>
        <v/>
      </c>
      <c r="N2395" s="39">
        <f>IF($A2395="","",IFERROR(INDEX(부서매핑!$C$5:$C$504,MATCH($G2395&amp;"",부서매핑!$A$5:$A$504,0)),"미매핑"))</f>
        <v/>
      </c>
      <c r="O2395" s="9">
        <f>IF($A2395="","",N2395&amp;"|"&amp;$F2395)</f>
        <v/>
      </c>
      <c r="P2395" s="77">
        <f>IF($A2395="",0,$H2395*설정!$C$23)</f>
        <v/>
      </c>
      <c r="Q2395" s="39">
        <f>IF($A2395="","",IF(O2395&lt;&gt;원인분석!$C$9,"",IF(AND(M2395&gt;=원인분석!$C$10,M2395&lt;=원인분석!$C$11),"당기",IF(AND(M2395&gt;=원인분석!$C$12,M2395&lt;=원인분석!$C$13),"비교",""))))</f>
        <v/>
      </c>
      <c r="R2395" s="9">
        <f>IF(Q2395="","",$K2395&amp;"")</f>
        <v/>
      </c>
      <c r="S2395" s="9">
        <f>IF(Q2395="","",IF(MATCH(R2395,$R$5:$R$100000,0)=ROW()-4,ROW(),""))</f>
        <v/>
      </c>
      <c r="T2395" s="9">
        <f>IF(Q2395="당기",ABS(P2395)+ROW()/1000000000,"")</f>
        <v/>
      </c>
      <c r="U2395" s="9">
        <f>IF(Q2395="비교",ABS(P2395)+ROW()/1000000000,"")</f>
        <v/>
      </c>
      <c r="V2395" s="39">
        <f>IF($A2395="","",IF(COUNTIF(변동분석!$E$7:$E$506,O2395)&gt;0,"Y","N"))</f>
        <v/>
      </c>
      <c r="W2395" s="39">
        <f>IF($A2395="","",IFERROR(INDEX(계정매핑!$D$5:$D$504,MATCH($F2395&amp;"",계정매핑!$A$5:$A$504,0)),"미매핑"))</f>
        <v/>
      </c>
      <c r="X2395" s="9">
        <f>IF($A2395="","",$F2395&amp;"")</f>
        <v/>
      </c>
    </row>
    <row r="2396">
      <c r="A2396" s="75" t="n">
        <v>2026</v>
      </c>
      <c r="B2396" s="75" t="n">
        <v>1</v>
      </c>
      <c r="C2396" s="75" t="inlineStr">
        <is>
          <t>5100000052</t>
        </is>
      </c>
      <c r="D2396" s="78" t="n">
        <v>46030</v>
      </c>
      <c r="E2396" s="75" t="inlineStr">
        <is>
          <t>KR</t>
        </is>
      </c>
      <c r="F2396" s="75" t="n">
        <v>62901000</v>
      </c>
      <c r="G2396" s="75" t="n">
        <v>1101</v>
      </c>
      <c r="H2396" s="76" t="n">
        <v>3500000</v>
      </c>
      <c r="I2396" s="75" t="inlineStr">
        <is>
          <t>1월 자문 수수료 - K회계법인</t>
        </is>
      </c>
      <c r="J2396" s="75" t="inlineStr">
        <is>
          <t>V10010</t>
        </is>
      </c>
      <c r="K2396" s="75" t="inlineStr">
        <is>
          <t>K회계법인</t>
        </is>
      </c>
      <c r="M2396" s="9">
        <f>IF($A2396="","",VALUE($A2396&amp;"")*12+VALUE($B2396&amp;""))</f>
        <v/>
      </c>
      <c r="N2396" s="39">
        <f>IF($A2396="","",IFERROR(INDEX(부서매핑!$C$5:$C$504,MATCH($G2396&amp;"",부서매핑!$A$5:$A$504,0)),"미매핑"))</f>
        <v/>
      </c>
      <c r="O2396" s="9">
        <f>IF($A2396="","",N2396&amp;"|"&amp;$F2396)</f>
        <v/>
      </c>
      <c r="P2396" s="77">
        <f>IF($A2396="",0,$H2396*설정!$C$23)</f>
        <v/>
      </c>
      <c r="Q2396" s="39">
        <f>IF($A2396="","",IF(O2396&lt;&gt;원인분석!$C$9,"",IF(AND(M2396&gt;=원인분석!$C$10,M2396&lt;=원인분석!$C$11),"당기",IF(AND(M2396&gt;=원인분석!$C$12,M2396&lt;=원인분석!$C$13),"비교",""))))</f>
        <v/>
      </c>
      <c r="R2396" s="9">
        <f>IF(Q2396="","",$K2396&amp;"")</f>
        <v/>
      </c>
      <c r="S2396" s="9">
        <f>IF(Q2396="","",IF(MATCH(R2396,$R$5:$R$100000,0)=ROW()-4,ROW(),""))</f>
        <v/>
      </c>
      <c r="T2396" s="9">
        <f>IF(Q2396="당기",ABS(P2396)+ROW()/1000000000,"")</f>
        <v/>
      </c>
      <c r="U2396" s="9">
        <f>IF(Q2396="비교",ABS(P2396)+ROW()/1000000000,"")</f>
        <v/>
      </c>
      <c r="V2396" s="39">
        <f>IF($A2396="","",IF(COUNTIF(변동분석!$E$7:$E$506,O2396)&gt;0,"Y","N"))</f>
        <v/>
      </c>
      <c r="W2396" s="39">
        <f>IF($A2396="","",IFERROR(INDEX(계정매핑!$D$5:$D$504,MATCH($F2396&amp;"",계정매핑!$A$5:$A$504,0)),"미매핑"))</f>
        <v/>
      </c>
      <c r="X2396" s="9">
        <f>IF($A2396="","",$F2396&amp;"")</f>
        <v/>
      </c>
    </row>
    <row r="2397">
      <c r="A2397" s="75" t="n">
        <v>2026</v>
      </c>
      <c r="B2397" s="75" t="n">
        <v>1</v>
      </c>
      <c r="C2397" s="75" t="inlineStr">
        <is>
          <t>5100000053</t>
        </is>
      </c>
      <c r="D2397" s="78" t="n">
        <v>46031</v>
      </c>
      <c r="E2397" s="75" t="inlineStr">
        <is>
          <t>KR</t>
        </is>
      </c>
      <c r="F2397" s="75" t="n">
        <v>62101000</v>
      </c>
      <c r="G2397" s="75" t="n">
        <v>1601</v>
      </c>
      <c r="H2397" s="76" t="n">
        <v>1036000</v>
      </c>
      <c r="I2397" s="75" t="inlineStr">
        <is>
          <t>1월 국내출장 - (법인카드)</t>
        </is>
      </c>
      <c r="J2397" s="75" t="inlineStr">
        <is>
          <t>V10008</t>
        </is>
      </c>
      <c r="K2397" s="75" t="inlineStr">
        <is>
          <t>(법인카드)</t>
        </is>
      </c>
      <c r="M2397" s="9">
        <f>IF($A2397="","",VALUE($A2397&amp;"")*12+VALUE($B2397&amp;""))</f>
        <v/>
      </c>
      <c r="N2397" s="39">
        <f>IF($A2397="","",IFERROR(INDEX(부서매핑!$C$5:$C$504,MATCH($G2397&amp;"",부서매핑!$A$5:$A$504,0)),"미매핑"))</f>
        <v/>
      </c>
      <c r="O2397" s="9">
        <f>IF($A2397="","",N2397&amp;"|"&amp;$F2397)</f>
        <v/>
      </c>
      <c r="P2397" s="77">
        <f>IF($A2397="",0,$H2397*설정!$C$23)</f>
        <v/>
      </c>
      <c r="Q2397" s="39">
        <f>IF($A2397="","",IF(O2397&lt;&gt;원인분석!$C$9,"",IF(AND(M2397&gt;=원인분석!$C$10,M2397&lt;=원인분석!$C$11),"당기",IF(AND(M2397&gt;=원인분석!$C$12,M2397&lt;=원인분석!$C$13),"비교",""))))</f>
        <v/>
      </c>
      <c r="R2397" s="9">
        <f>IF(Q2397="","",$K2397&amp;"")</f>
        <v/>
      </c>
      <c r="S2397" s="9">
        <f>IF(Q2397="","",IF(MATCH(R2397,$R$5:$R$100000,0)=ROW()-4,ROW(),""))</f>
        <v/>
      </c>
      <c r="T2397" s="9">
        <f>IF(Q2397="당기",ABS(P2397)+ROW()/1000000000,"")</f>
        <v/>
      </c>
      <c r="U2397" s="9">
        <f>IF(Q2397="비교",ABS(P2397)+ROW()/1000000000,"")</f>
        <v/>
      </c>
      <c r="V2397" s="39">
        <f>IF($A2397="","",IF(COUNTIF(변동분석!$E$7:$E$506,O2397)&gt;0,"Y","N"))</f>
        <v/>
      </c>
      <c r="W2397" s="39">
        <f>IF($A2397="","",IFERROR(INDEX(계정매핑!$D$5:$D$504,MATCH($F2397&amp;"",계정매핑!$A$5:$A$504,0)),"미매핑"))</f>
        <v/>
      </c>
      <c r="X2397" s="9">
        <f>IF($A2397="","",$F2397&amp;"")</f>
        <v/>
      </c>
    </row>
    <row r="2398">
      <c r="A2398" s="75" t="n">
        <v>2026</v>
      </c>
      <c r="B2398" s="75" t="n">
        <v>1</v>
      </c>
      <c r="C2398" s="75" t="inlineStr">
        <is>
          <t>5100000054</t>
        </is>
      </c>
      <c r="D2398" s="78" t="n">
        <v>46031</v>
      </c>
      <c r="E2398" s="75" t="inlineStr">
        <is>
          <t>KR</t>
        </is>
      </c>
      <c r="F2398" s="75" t="n">
        <v>62101000</v>
      </c>
      <c r="G2398" s="75" t="n">
        <v>1602</v>
      </c>
      <c r="H2398" s="76" t="n">
        <v>1535000</v>
      </c>
      <c r="I2398" s="75" t="inlineStr">
        <is>
          <t>1월 국내출장 - M항공</t>
        </is>
      </c>
      <c r="J2398" s="75" t="inlineStr">
        <is>
          <t>V10001</t>
        </is>
      </c>
      <c r="K2398" s="75" t="inlineStr">
        <is>
          <t>M항공</t>
        </is>
      </c>
      <c r="M2398" s="9">
        <f>IF($A2398="","",VALUE($A2398&amp;"")*12+VALUE($B2398&amp;""))</f>
        <v/>
      </c>
      <c r="N2398" s="39">
        <f>IF($A2398="","",IFERROR(INDEX(부서매핑!$C$5:$C$504,MATCH($G2398&amp;"",부서매핑!$A$5:$A$504,0)),"미매핑"))</f>
        <v/>
      </c>
      <c r="O2398" s="9">
        <f>IF($A2398="","",N2398&amp;"|"&amp;$F2398)</f>
        <v/>
      </c>
      <c r="P2398" s="77">
        <f>IF($A2398="",0,$H2398*설정!$C$23)</f>
        <v/>
      </c>
      <c r="Q2398" s="39">
        <f>IF($A2398="","",IF(O2398&lt;&gt;원인분석!$C$9,"",IF(AND(M2398&gt;=원인분석!$C$10,M2398&lt;=원인분석!$C$11),"당기",IF(AND(M2398&gt;=원인분석!$C$12,M2398&lt;=원인분석!$C$13),"비교",""))))</f>
        <v/>
      </c>
      <c r="R2398" s="9">
        <f>IF(Q2398="","",$K2398&amp;"")</f>
        <v/>
      </c>
      <c r="S2398" s="9">
        <f>IF(Q2398="","",IF(MATCH(R2398,$R$5:$R$100000,0)=ROW()-4,ROW(),""))</f>
        <v/>
      </c>
      <c r="T2398" s="9">
        <f>IF(Q2398="당기",ABS(P2398)+ROW()/1000000000,"")</f>
        <v/>
      </c>
      <c r="U2398" s="9">
        <f>IF(Q2398="비교",ABS(P2398)+ROW()/1000000000,"")</f>
        <v/>
      </c>
      <c r="V2398" s="39">
        <f>IF($A2398="","",IF(COUNTIF(변동분석!$E$7:$E$506,O2398)&gt;0,"Y","N"))</f>
        <v/>
      </c>
      <c r="W2398" s="39">
        <f>IF($A2398="","",IFERROR(INDEX(계정매핑!$D$5:$D$504,MATCH($F2398&amp;"",계정매핑!$A$5:$A$504,0)),"미매핑"))</f>
        <v/>
      </c>
      <c r="X2398" s="9">
        <f>IF($A2398="","",$F2398&amp;"")</f>
        <v/>
      </c>
    </row>
    <row r="2399">
      <c r="A2399" s="75" t="n">
        <v>2026</v>
      </c>
      <c r="B2399" s="75" t="n">
        <v>1</v>
      </c>
      <c r="C2399" s="75" t="inlineStr">
        <is>
          <t>5100000055</t>
        </is>
      </c>
      <c r="D2399" s="78" t="n">
        <v>46031</v>
      </c>
      <c r="E2399" s="75" t="inlineStr">
        <is>
          <t>KR</t>
        </is>
      </c>
      <c r="F2399" s="75" t="n">
        <v>62101000</v>
      </c>
      <c r="G2399" s="75" t="n">
        <v>1801</v>
      </c>
      <c r="H2399" s="76" t="n">
        <v>230000</v>
      </c>
      <c r="I2399" s="75" t="inlineStr">
        <is>
          <t>1월 국내출장 - L여행사</t>
        </is>
      </c>
      <c r="J2399" s="75" t="inlineStr">
        <is>
          <t>V10014</t>
        </is>
      </c>
      <c r="K2399" s="75" t="inlineStr">
        <is>
          <t>L여행사</t>
        </is>
      </c>
      <c r="M2399" s="9">
        <f>IF($A2399="","",VALUE($A2399&amp;"")*12+VALUE($B2399&amp;""))</f>
        <v/>
      </c>
      <c r="N2399" s="39">
        <f>IF($A2399="","",IFERROR(INDEX(부서매핑!$C$5:$C$504,MATCH($G2399&amp;"",부서매핑!$A$5:$A$504,0)),"미매핑"))</f>
        <v/>
      </c>
      <c r="O2399" s="9">
        <f>IF($A2399="","",N2399&amp;"|"&amp;$F2399)</f>
        <v/>
      </c>
      <c r="P2399" s="77">
        <f>IF($A2399="",0,$H2399*설정!$C$23)</f>
        <v/>
      </c>
      <c r="Q2399" s="39">
        <f>IF($A2399="","",IF(O2399&lt;&gt;원인분석!$C$9,"",IF(AND(M2399&gt;=원인분석!$C$10,M2399&lt;=원인분석!$C$11),"당기",IF(AND(M2399&gt;=원인분석!$C$12,M2399&lt;=원인분석!$C$13),"비교",""))))</f>
        <v/>
      </c>
      <c r="R2399" s="9">
        <f>IF(Q2399="","",$K2399&amp;"")</f>
        <v/>
      </c>
      <c r="S2399" s="9">
        <f>IF(Q2399="","",IF(MATCH(R2399,$R$5:$R$100000,0)=ROW()-4,ROW(),""))</f>
        <v/>
      </c>
      <c r="T2399" s="9">
        <f>IF(Q2399="당기",ABS(P2399)+ROW()/1000000000,"")</f>
        <v/>
      </c>
      <c r="U2399" s="9">
        <f>IF(Q2399="비교",ABS(P2399)+ROW()/1000000000,"")</f>
        <v/>
      </c>
      <c r="V2399" s="39">
        <f>IF($A2399="","",IF(COUNTIF(변동분석!$E$7:$E$506,O2399)&gt;0,"Y","N"))</f>
        <v/>
      </c>
      <c r="W2399" s="39">
        <f>IF($A2399="","",IFERROR(INDEX(계정매핑!$D$5:$D$504,MATCH($F2399&amp;"",계정매핑!$A$5:$A$504,0)),"미매핑"))</f>
        <v/>
      </c>
      <c r="X2399" s="9">
        <f>IF($A2399="","",$F2399&amp;"")</f>
        <v/>
      </c>
    </row>
    <row r="2400">
      <c r="A2400" s="75" t="n">
        <v>2026</v>
      </c>
      <c r="B2400" s="75" t="n">
        <v>1</v>
      </c>
      <c r="C2400" s="75" t="inlineStr">
        <is>
          <t>5100000056</t>
        </is>
      </c>
      <c r="D2400" s="78" t="n">
        <v>46031</v>
      </c>
      <c r="E2400" s="75" t="inlineStr">
        <is>
          <t>KR</t>
        </is>
      </c>
      <c r="F2400" s="75" t="n">
        <v>62101000</v>
      </c>
      <c r="G2400" s="75" t="n">
        <v>1801</v>
      </c>
      <c r="H2400" s="76" t="n">
        <v>292000</v>
      </c>
      <c r="I2400" s="75" t="inlineStr">
        <is>
          <t>1월 국내출장 - (법인카드)</t>
        </is>
      </c>
      <c r="J2400" s="75" t="inlineStr">
        <is>
          <t>V10008</t>
        </is>
      </c>
      <c r="K2400" s="75" t="inlineStr">
        <is>
          <t>(법인카드)</t>
        </is>
      </c>
      <c r="M2400" s="9">
        <f>IF($A2400="","",VALUE($A2400&amp;"")*12+VALUE($B2400&amp;""))</f>
        <v/>
      </c>
      <c r="N2400" s="39">
        <f>IF($A2400="","",IFERROR(INDEX(부서매핑!$C$5:$C$504,MATCH($G2400&amp;"",부서매핑!$A$5:$A$504,0)),"미매핑"))</f>
        <v/>
      </c>
      <c r="O2400" s="9">
        <f>IF($A2400="","",N2400&amp;"|"&amp;$F2400)</f>
        <v/>
      </c>
      <c r="P2400" s="77">
        <f>IF($A2400="",0,$H2400*설정!$C$23)</f>
        <v/>
      </c>
      <c r="Q2400" s="39">
        <f>IF($A2400="","",IF(O2400&lt;&gt;원인분석!$C$9,"",IF(AND(M2400&gt;=원인분석!$C$10,M2400&lt;=원인분석!$C$11),"당기",IF(AND(M2400&gt;=원인분석!$C$12,M2400&lt;=원인분석!$C$13),"비교",""))))</f>
        <v/>
      </c>
      <c r="R2400" s="9">
        <f>IF(Q2400="","",$K2400&amp;"")</f>
        <v/>
      </c>
      <c r="S2400" s="9">
        <f>IF(Q2400="","",IF(MATCH(R2400,$R$5:$R$100000,0)=ROW()-4,ROW(),""))</f>
        <v/>
      </c>
      <c r="T2400" s="9">
        <f>IF(Q2400="당기",ABS(P2400)+ROW()/1000000000,"")</f>
        <v/>
      </c>
      <c r="U2400" s="9">
        <f>IF(Q2400="비교",ABS(P2400)+ROW()/1000000000,"")</f>
        <v/>
      </c>
      <c r="V2400" s="39">
        <f>IF($A2400="","",IF(COUNTIF(변동분석!$E$7:$E$506,O2400)&gt;0,"Y","N"))</f>
        <v/>
      </c>
      <c r="W2400" s="39">
        <f>IF($A2400="","",IFERROR(INDEX(계정매핑!$D$5:$D$504,MATCH($F2400&amp;"",계정매핑!$A$5:$A$504,0)),"미매핑"))</f>
        <v/>
      </c>
      <c r="X2400" s="9">
        <f>IF($A2400="","",$F2400&amp;"")</f>
        <v/>
      </c>
    </row>
    <row r="2401">
      <c r="A2401" s="75" t="n">
        <v>2026</v>
      </c>
      <c r="B2401" s="75" t="n">
        <v>1</v>
      </c>
      <c r="C2401" s="75" t="inlineStr">
        <is>
          <t>5100000057</t>
        </is>
      </c>
      <c r="D2401" s="78" t="n">
        <v>46031</v>
      </c>
      <c r="E2401" s="75" t="inlineStr">
        <is>
          <t>KR</t>
        </is>
      </c>
      <c r="F2401" s="75" t="n">
        <v>62201000</v>
      </c>
      <c r="G2401" s="75" t="n">
        <v>1601</v>
      </c>
      <c r="H2401" s="76" t="n">
        <v>1149000</v>
      </c>
      <c r="I2401" s="75" t="inlineStr">
        <is>
          <t>1월 통신요금 - O텔레콤</t>
        </is>
      </c>
      <c r="J2401" s="75" t="inlineStr">
        <is>
          <t>V10002</t>
        </is>
      </c>
      <c r="K2401" s="75" t="inlineStr">
        <is>
          <t>O텔레콤</t>
        </is>
      </c>
      <c r="M2401" s="9">
        <f>IF($A2401="","",VALUE($A2401&amp;"")*12+VALUE($B2401&amp;""))</f>
        <v/>
      </c>
      <c r="N2401" s="39">
        <f>IF($A2401="","",IFERROR(INDEX(부서매핑!$C$5:$C$504,MATCH($G2401&amp;"",부서매핑!$A$5:$A$504,0)),"미매핑"))</f>
        <v/>
      </c>
      <c r="O2401" s="9">
        <f>IF($A2401="","",N2401&amp;"|"&amp;$F2401)</f>
        <v/>
      </c>
      <c r="P2401" s="77">
        <f>IF($A2401="",0,$H2401*설정!$C$23)</f>
        <v/>
      </c>
      <c r="Q2401" s="39">
        <f>IF($A2401="","",IF(O2401&lt;&gt;원인분석!$C$9,"",IF(AND(M2401&gt;=원인분석!$C$10,M2401&lt;=원인분석!$C$11),"당기",IF(AND(M2401&gt;=원인분석!$C$12,M2401&lt;=원인분석!$C$13),"비교",""))))</f>
        <v/>
      </c>
      <c r="R2401" s="9">
        <f>IF(Q2401="","",$K2401&amp;"")</f>
        <v/>
      </c>
      <c r="S2401" s="9">
        <f>IF(Q2401="","",IF(MATCH(R2401,$R$5:$R$100000,0)=ROW()-4,ROW(),""))</f>
        <v/>
      </c>
      <c r="T2401" s="9">
        <f>IF(Q2401="당기",ABS(P2401)+ROW()/1000000000,"")</f>
        <v/>
      </c>
      <c r="U2401" s="9">
        <f>IF(Q2401="비교",ABS(P2401)+ROW()/1000000000,"")</f>
        <v/>
      </c>
      <c r="V2401" s="39">
        <f>IF($A2401="","",IF(COUNTIF(변동분석!$E$7:$E$506,O2401)&gt;0,"Y","N"))</f>
        <v/>
      </c>
      <c r="W2401" s="39">
        <f>IF($A2401="","",IFERROR(INDEX(계정매핑!$D$5:$D$504,MATCH($F2401&amp;"",계정매핑!$A$5:$A$504,0)),"미매핑"))</f>
        <v/>
      </c>
      <c r="X2401" s="9">
        <f>IF($A2401="","",$F2401&amp;"")</f>
        <v/>
      </c>
    </row>
    <row r="2402">
      <c r="A2402" s="75" t="n">
        <v>2026</v>
      </c>
      <c r="B2402" s="75" t="n">
        <v>1</v>
      </c>
      <c r="C2402" s="75" t="inlineStr">
        <is>
          <t>5100000058</t>
        </is>
      </c>
      <c r="D2402" s="78" t="n">
        <v>46031</v>
      </c>
      <c r="E2402" s="75" t="inlineStr">
        <is>
          <t>KR</t>
        </is>
      </c>
      <c r="F2402" s="75" t="n">
        <v>62201000</v>
      </c>
      <c r="G2402" s="75" t="n">
        <v>1801</v>
      </c>
      <c r="H2402" s="76" t="n">
        <v>9123000</v>
      </c>
      <c r="I2402" s="75" t="inlineStr">
        <is>
          <t>1월 통신요금 - P통신</t>
        </is>
      </c>
      <c r="J2402" s="75" t="inlineStr">
        <is>
          <t>V10011</t>
        </is>
      </c>
      <c r="K2402" s="75" t="inlineStr">
        <is>
          <t>P통신</t>
        </is>
      </c>
      <c r="M2402" s="9">
        <f>IF($A2402="","",VALUE($A2402&amp;"")*12+VALUE($B2402&amp;""))</f>
        <v/>
      </c>
      <c r="N2402" s="39">
        <f>IF($A2402="","",IFERROR(INDEX(부서매핑!$C$5:$C$504,MATCH($G2402&amp;"",부서매핑!$A$5:$A$504,0)),"미매핑"))</f>
        <v/>
      </c>
      <c r="O2402" s="9">
        <f>IF($A2402="","",N2402&amp;"|"&amp;$F2402)</f>
        <v/>
      </c>
      <c r="P2402" s="77">
        <f>IF($A2402="",0,$H2402*설정!$C$23)</f>
        <v/>
      </c>
      <c r="Q2402" s="39">
        <f>IF($A2402="","",IF(O2402&lt;&gt;원인분석!$C$9,"",IF(AND(M2402&gt;=원인분석!$C$10,M2402&lt;=원인분석!$C$11),"당기",IF(AND(M2402&gt;=원인분석!$C$12,M2402&lt;=원인분석!$C$13),"비교",""))))</f>
        <v/>
      </c>
      <c r="R2402" s="9">
        <f>IF(Q2402="","",$K2402&amp;"")</f>
        <v/>
      </c>
      <c r="S2402" s="9">
        <f>IF(Q2402="","",IF(MATCH(R2402,$R$5:$R$100000,0)=ROW()-4,ROW(),""))</f>
        <v/>
      </c>
      <c r="T2402" s="9">
        <f>IF(Q2402="당기",ABS(P2402)+ROW()/1000000000,"")</f>
        <v/>
      </c>
      <c r="U2402" s="9">
        <f>IF(Q2402="비교",ABS(P2402)+ROW()/1000000000,"")</f>
        <v/>
      </c>
      <c r="V2402" s="39">
        <f>IF($A2402="","",IF(COUNTIF(변동분석!$E$7:$E$506,O2402)&gt;0,"Y","N"))</f>
        <v/>
      </c>
      <c r="W2402" s="39">
        <f>IF($A2402="","",IFERROR(INDEX(계정매핑!$D$5:$D$504,MATCH($F2402&amp;"",계정매핑!$A$5:$A$504,0)),"미매핑"))</f>
        <v/>
      </c>
      <c r="X2402" s="9">
        <f>IF($A2402="","",$F2402&amp;"")</f>
        <v/>
      </c>
    </row>
    <row r="2403">
      <c r="A2403" s="75" t="n">
        <v>2026</v>
      </c>
      <c r="B2403" s="75" t="n">
        <v>1</v>
      </c>
      <c r="C2403" s="75" t="inlineStr">
        <is>
          <t>5100000059</t>
        </is>
      </c>
      <c r="D2403" s="78" t="n">
        <v>46031</v>
      </c>
      <c r="E2403" s="75" t="inlineStr">
        <is>
          <t>KR</t>
        </is>
      </c>
      <c r="F2403" s="75" t="n">
        <v>62301000</v>
      </c>
      <c r="G2403" s="75" t="n">
        <v>1301</v>
      </c>
      <c r="H2403" s="76" t="n">
        <v>258000</v>
      </c>
      <c r="I2403" s="75" t="inlineStr">
        <is>
          <t>1월 소모품 구입 - Q오피스</t>
        </is>
      </c>
      <c r="J2403" s="75" t="inlineStr">
        <is>
          <t>V10003</t>
        </is>
      </c>
      <c r="K2403" s="75" t="inlineStr">
        <is>
          <t>Q오피스</t>
        </is>
      </c>
      <c r="M2403" s="9">
        <f>IF($A2403="","",VALUE($A2403&amp;"")*12+VALUE($B2403&amp;""))</f>
        <v/>
      </c>
      <c r="N2403" s="39">
        <f>IF($A2403="","",IFERROR(INDEX(부서매핑!$C$5:$C$504,MATCH($G2403&amp;"",부서매핑!$A$5:$A$504,0)),"미매핑"))</f>
        <v/>
      </c>
      <c r="O2403" s="9">
        <f>IF($A2403="","",N2403&amp;"|"&amp;$F2403)</f>
        <v/>
      </c>
      <c r="P2403" s="77">
        <f>IF($A2403="",0,$H2403*설정!$C$23)</f>
        <v/>
      </c>
      <c r="Q2403" s="39">
        <f>IF($A2403="","",IF(O2403&lt;&gt;원인분석!$C$9,"",IF(AND(M2403&gt;=원인분석!$C$10,M2403&lt;=원인분석!$C$11),"당기",IF(AND(M2403&gt;=원인분석!$C$12,M2403&lt;=원인분석!$C$13),"비교",""))))</f>
        <v/>
      </c>
      <c r="R2403" s="9">
        <f>IF(Q2403="","",$K2403&amp;"")</f>
        <v/>
      </c>
      <c r="S2403" s="9">
        <f>IF(Q2403="","",IF(MATCH(R2403,$R$5:$R$100000,0)=ROW()-4,ROW(),""))</f>
        <v/>
      </c>
      <c r="T2403" s="9">
        <f>IF(Q2403="당기",ABS(P2403)+ROW()/1000000000,"")</f>
        <v/>
      </c>
      <c r="U2403" s="9">
        <f>IF(Q2403="비교",ABS(P2403)+ROW()/1000000000,"")</f>
        <v/>
      </c>
      <c r="V2403" s="39">
        <f>IF($A2403="","",IF(COUNTIF(변동분석!$E$7:$E$506,O2403)&gt;0,"Y","N"))</f>
        <v/>
      </c>
      <c r="W2403" s="39">
        <f>IF($A2403="","",IFERROR(INDEX(계정매핑!$D$5:$D$504,MATCH($F2403&amp;"",계정매핑!$A$5:$A$504,0)),"미매핑"))</f>
        <v/>
      </c>
      <c r="X2403" s="9">
        <f>IF($A2403="","",$F2403&amp;"")</f>
        <v/>
      </c>
    </row>
    <row r="2404">
      <c r="A2404" s="75" t="n">
        <v>2026</v>
      </c>
      <c r="B2404" s="75" t="n">
        <v>1</v>
      </c>
      <c r="C2404" s="75" t="inlineStr">
        <is>
          <t>5100000060</t>
        </is>
      </c>
      <c r="D2404" s="78" t="n">
        <v>46031</v>
      </c>
      <c r="E2404" s="75" t="inlineStr">
        <is>
          <t>KR</t>
        </is>
      </c>
      <c r="F2404" s="75" t="n">
        <v>62501000</v>
      </c>
      <c r="G2404" s="75" t="n">
        <v>1101</v>
      </c>
      <c r="H2404" s="76" t="n">
        <v>342000</v>
      </c>
      <c r="I2404" s="75" t="inlineStr">
        <is>
          <t>1월 회의 다과 - (법인카드)</t>
        </is>
      </c>
      <c r="J2404" s="75" t="inlineStr">
        <is>
          <t>V10008</t>
        </is>
      </c>
      <c r="K2404" s="75" t="inlineStr">
        <is>
          <t>(법인카드)</t>
        </is>
      </c>
      <c r="M2404" s="9">
        <f>IF($A2404="","",VALUE($A2404&amp;"")*12+VALUE($B2404&amp;""))</f>
        <v/>
      </c>
      <c r="N2404" s="39">
        <f>IF($A2404="","",IFERROR(INDEX(부서매핑!$C$5:$C$504,MATCH($G2404&amp;"",부서매핑!$A$5:$A$504,0)),"미매핑"))</f>
        <v/>
      </c>
      <c r="O2404" s="9">
        <f>IF($A2404="","",N2404&amp;"|"&amp;$F2404)</f>
        <v/>
      </c>
      <c r="P2404" s="77">
        <f>IF($A2404="",0,$H2404*설정!$C$23)</f>
        <v/>
      </c>
      <c r="Q2404" s="39">
        <f>IF($A2404="","",IF(O2404&lt;&gt;원인분석!$C$9,"",IF(AND(M2404&gt;=원인분석!$C$10,M2404&lt;=원인분석!$C$11),"당기",IF(AND(M2404&gt;=원인분석!$C$12,M2404&lt;=원인분석!$C$13),"비교",""))))</f>
        <v/>
      </c>
      <c r="R2404" s="9">
        <f>IF(Q2404="","",$K2404&amp;"")</f>
        <v/>
      </c>
      <c r="S2404" s="9">
        <f>IF(Q2404="","",IF(MATCH(R2404,$R$5:$R$100000,0)=ROW()-4,ROW(),""))</f>
        <v/>
      </c>
      <c r="T2404" s="9">
        <f>IF(Q2404="당기",ABS(P2404)+ROW()/1000000000,"")</f>
        <v/>
      </c>
      <c r="U2404" s="9">
        <f>IF(Q2404="비교",ABS(P2404)+ROW()/1000000000,"")</f>
        <v/>
      </c>
      <c r="V2404" s="39">
        <f>IF($A2404="","",IF(COUNTIF(변동분석!$E$7:$E$506,O2404)&gt;0,"Y","N"))</f>
        <v/>
      </c>
      <c r="W2404" s="39">
        <f>IF($A2404="","",IFERROR(INDEX(계정매핑!$D$5:$D$504,MATCH($F2404&amp;"",계정매핑!$A$5:$A$504,0)),"미매핑"))</f>
        <v/>
      </c>
      <c r="X2404" s="9">
        <f>IF($A2404="","",$F2404&amp;"")</f>
        <v/>
      </c>
    </row>
    <row r="2405">
      <c r="A2405" s="75" t="n">
        <v>2026</v>
      </c>
      <c r="B2405" s="75" t="n">
        <v>1</v>
      </c>
      <c r="C2405" s="75" t="inlineStr">
        <is>
          <t>5100000061</t>
        </is>
      </c>
      <c r="D2405" s="78" t="n">
        <v>46031</v>
      </c>
      <c r="E2405" s="75" t="inlineStr">
        <is>
          <t>KR</t>
        </is>
      </c>
      <c r="F2405" s="75" t="n">
        <v>62501000</v>
      </c>
      <c r="G2405" s="75" t="n">
        <v>1601</v>
      </c>
      <c r="H2405" s="76" t="n">
        <v>438000</v>
      </c>
      <c r="I2405" s="75" t="inlineStr">
        <is>
          <t>1월 회의 다과 - (법인카드)</t>
        </is>
      </c>
      <c r="J2405" s="75" t="inlineStr">
        <is>
          <t>V10008</t>
        </is>
      </c>
      <c r="K2405" s="75" t="inlineStr">
        <is>
          <t>(법인카드)</t>
        </is>
      </c>
      <c r="M2405" s="9">
        <f>IF($A2405="","",VALUE($A2405&amp;"")*12+VALUE($B2405&amp;""))</f>
        <v/>
      </c>
      <c r="N2405" s="39">
        <f>IF($A2405="","",IFERROR(INDEX(부서매핑!$C$5:$C$504,MATCH($G2405&amp;"",부서매핑!$A$5:$A$504,0)),"미매핑"))</f>
        <v/>
      </c>
      <c r="O2405" s="9">
        <f>IF($A2405="","",N2405&amp;"|"&amp;$F2405)</f>
        <v/>
      </c>
      <c r="P2405" s="77">
        <f>IF($A2405="",0,$H2405*설정!$C$23)</f>
        <v/>
      </c>
      <c r="Q2405" s="39">
        <f>IF($A2405="","",IF(O2405&lt;&gt;원인분석!$C$9,"",IF(AND(M2405&gt;=원인분석!$C$10,M2405&lt;=원인분석!$C$11),"당기",IF(AND(M2405&gt;=원인분석!$C$12,M2405&lt;=원인분석!$C$13),"비교",""))))</f>
        <v/>
      </c>
      <c r="R2405" s="9">
        <f>IF(Q2405="","",$K2405&amp;"")</f>
        <v/>
      </c>
      <c r="S2405" s="9">
        <f>IF(Q2405="","",IF(MATCH(R2405,$R$5:$R$100000,0)=ROW()-4,ROW(),""))</f>
        <v/>
      </c>
      <c r="T2405" s="9">
        <f>IF(Q2405="당기",ABS(P2405)+ROW()/1000000000,"")</f>
        <v/>
      </c>
      <c r="U2405" s="9">
        <f>IF(Q2405="비교",ABS(P2405)+ROW()/1000000000,"")</f>
        <v/>
      </c>
      <c r="V2405" s="39">
        <f>IF($A2405="","",IF(COUNTIF(변동분석!$E$7:$E$506,O2405)&gt;0,"Y","N"))</f>
        <v/>
      </c>
      <c r="W2405" s="39">
        <f>IF($A2405="","",IFERROR(INDEX(계정매핑!$D$5:$D$504,MATCH($F2405&amp;"",계정매핑!$A$5:$A$504,0)),"미매핑"))</f>
        <v/>
      </c>
      <c r="X2405" s="9">
        <f>IF($A2405="","",$F2405&amp;"")</f>
        <v/>
      </c>
    </row>
    <row r="2406">
      <c r="A2406" s="75" t="n">
        <v>2026</v>
      </c>
      <c r="B2406" s="75" t="n">
        <v>1</v>
      </c>
      <c r="C2406" s="75" t="inlineStr">
        <is>
          <t>5100000062</t>
        </is>
      </c>
      <c r="D2406" s="78" t="n">
        <v>46031</v>
      </c>
      <c r="E2406" s="75" t="inlineStr">
        <is>
          <t>KR</t>
        </is>
      </c>
      <c r="F2406" s="75" t="n">
        <v>62902000</v>
      </c>
      <c r="G2406" s="75" t="n">
        <v>1401</v>
      </c>
      <c r="H2406" s="76" t="n">
        <v>5143000</v>
      </c>
      <c r="I2406" s="75" t="inlineStr">
        <is>
          <t>1월 업무 위탁 수수료 - J콜센터</t>
        </is>
      </c>
      <c r="J2406" s="75" t="inlineStr">
        <is>
          <t>V10013</t>
        </is>
      </c>
      <c r="K2406" s="75" t="inlineStr">
        <is>
          <t>J콜센터</t>
        </is>
      </c>
      <c r="M2406" s="9">
        <f>IF($A2406="","",VALUE($A2406&amp;"")*12+VALUE($B2406&amp;""))</f>
        <v/>
      </c>
      <c r="N2406" s="39">
        <f>IF($A2406="","",IFERROR(INDEX(부서매핑!$C$5:$C$504,MATCH($G2406&amp;"",부서매핑!$A$5:$A$504,0)),"미매핑"))</f>
        <v/>
      </c>
      <c r="O2406" s="9">
        <f>IF($A2406="","",N2406&amp;"|"&amp;$F2406)</f>
        <v/>
      </c>
      <c r="P2406" s="77">
        <f>IF($A2406="",0,$H2406*설정!$C$23)</f>
        <v/>
      </c>
      <c r="Q2406" s="39">
        <f>IF($A2406="","",IF(O2406&lt;&gt;원인분석!$C$9,"",IF(AND(M2406&gt;=원인분석!$C$10,M2406&lt;=원인분석!$C$11),"당기",IF(AND(M2406&gt;=원인분석!$C$12,M2406&lt;=원인분석!$C$13),"비교",""))))</f>
        <v/>
      </c>
      <c r="R2406" s="9">
        <f>IF(Q2406="","",$K2406&amp;"")</f>
        <v/>
      </c>
      <c r="S2406" s="9">
        <f>IF(Q2406="","",IF(MATCH(R2406,$R$5:$R$100000,0)=ROW()-4,ROW(),""))</f>
        <v/>
      </c>
      <c r="T2406" s="9">
        <f>IF(Q2406="당기",ABS(P2406)+ROW()/1000000000,"")</f>
        <v/>
      </c>
      <c r="U2406" s="9">
        <f>IF(Q2406="비교",ABS(P2406)+ROW()/1000000000,"")</f>
        <v/>
      </c>
      <c r="V2406" s="39">
        <f>IF($A2406="","",IF(COUNTIF(변동분석!$E$7:$E$506,O2406)&gt;0,"Y","N"))</f>
        <v/>
      </c>
      <c r="W2406" s="39">
        <f>IF($A2406="","",IFERROR(INDEX(계정매핑!$D$5:$D$504,MATCH($F2406&amp;"",계정매핑!$A$5:$A$504,0)),"미매핑"))</f>
        <v/>
      </c>
      <c r="X2406" s="9">
        <f>IF($A2406="","",$F2406&amp;"")</f>
        <v/>
      </c>
    </row>
    <row r="2407">
      <c r="A2407" s="75" t="n">
        <v>2026</v>
      </c>
      <c r="B2407" s="75" t="n">
        <v>1</v>
      </c>
      <c r="C2407" s="75" t="inlineStr">
        <is>
          <t>5100000063</t>
        </is>
      </c>
      <c r="D2407" s="78" t="n">
        <v>46031</v>
      </c>
      <c r="E2407" s="75" t="inlineStr">
        <is>
          <t>KR</t>
        </is>
      </c>
      <c r="F2407" s="75" t="n">
        <v>62902000</v>
      </c>
      <c r="G2407" s="75" t="n">
        <v>1801</v>
      </c>
      <c r="H2407" s="76" t="n">
        <v>1754000</v>
      </c>
      <c r="I2407" s="75" t="inlineStr">
        <is>
          <t>1월 콜 위탁 수수료(건별)</t>
        </is>
      </c>
      <c r="J2407" s="75" t="inlineStr">
        <is>
          <t>V10013</t>
        </is>
      </c>
      <c r="K2407" s="75" t="inlineStr">
        <is>
          <t>J콜센터</t>
        </is>
      </c>
      <c r="M2407" s="9">
        <f>IF($A2407="","",VALUE($A2407&amp;"")*12+VALUE($B2407&amp;""))</f>
        <v/>
      </c>
      <c r="N2407" s="39">
        <f>IF($A2407="","",IFERROR(INDEX(부서매핑!$C$5:$C$504,MATCH($G2407&amp;"",부서매핑!$A$5:$A$504,0)),"미매핑"))</f>
        <v/>
      </c>
      <c r="O2407" s="9">
        <f>IF($A2407="","",N2407&amp;"|"&amp;$F2407)</f>
        <v/>
      </c>
      <c r="P2407" s="77">
        <f>IF($A2407="",0,$H2407*설정!$C$23)</f>
        <v/>
      </c>
      <c r="Q2407" s="39">
        <f>IF($A2407="","",IF(O2407&lt;&gt;원인분석!$C$9,"",IF(AND(M2407&gt;=원인분석!$C$10,M2407&lt;=원인분석!$C$11),"당기",IF(AND(M2407&gt;=원인분석!$C$12,M2407&lt;=원인분석!$C$13),"비교",""))))</f>
        <v/>
      </c>
      <c r="R2407" s="9">
        <f>IF(Q2407="","",$K2407&amp;"")</f>
        <v/>
      </c>
      <c r="S2407" s="9">
        <f>IF(Q2407="","",IF(MATCH(R2407,$R$5:$R$100000,0)=ROW()-4,ROW(),""))</f>
        <v/>
      </c>
      <c r="T2407" s="9">
        <f>IF(Q2407="당기",ABS(P2407)+ROW()/1000000000,"")</f>
        <v/>
      </c>
      <c r="U2407" s="9">
        <f>IF(Q2407="비교",ABS(P2407)+ROW()/1000000000,"")</f>
        <v/>
      </c>
      <c r="V2407" s="39">
        <f>IF($A2407="","",IF(COUNTIF(변동분석!$E$7:$E$506,O2407)&gt;0,"Y","N"))</f>
        <v/>
      </c>
      <c r="W2407" s="39">
        <f>IF($A2407="","",IFERROR(INDEX(계정매핑!$D$5:$D$504,MATCH($F2407&amp;"",계정매핑!$A$5:$A$504,0)),"미매핑"))</f>
        <v/>
      </c>
      <c r="X2407" s="9">
        <f>IF($A2407="","",$F2407&amp;"")</f>
        <v/>
      </c>
    </row>
    <row r="2408">
      <c r="A2408" s="75" t="n">
        <v>2026</v>
      </c>
      <c r="B2408" s="75" t="n">
        <v>1</v>
      </c>
      <c r="C2408" s="75" t="inlineStr">
        <is>
          <t>5100000064</t>
        </is>
      </c>
      <c r="D2408" s="78" t="n">
        <v>46032</v>
      </c>
      <c r="E2408" s="75" t="inlineStr">
        <is>
          <t>KR</t>
        </is>
      </c>
      <c r="F2408" s="75" t="n">
        <v>62101000</v>
      </c>
      <c r="G2408" s="75" t="n">
        <v>1401</v>
      </c>
      <c r="H2408" s="76" t="n">
        <v>361000</v>
      </c>
      <c r="I2408" s="75" t="inlineStr">
        <is>
          <t>1월 국내출장 - (법인카드)</t>
        </is>
      </c>
      <c r="J2408" s="75" t="inlineStr">
        <is>
          <t>V10008</t>
        </is>
      </c>
      <c r="K2408" s="75" t="inlineStr">
        <is>
          <t>(법인카드)</t>
        </is>
      </c>
      <c r="M2408" s="9">
        <f>IF($A2408="","",VALUE($A2408&amp;"")*12+VALUE($B2408&amp;""))</f>
        <v/>
      </c>
      <c r="N2408" s="39">
        <f>IF($A2408="","",IFERROR(INDEX(부서매핑!$C$5:$C$504,MATCH($G2408&amp;"",부서매핑!$A$5:$A$504,0)),"미매핑"))</f>
        <v/>
      </c>
      <c r="O2408" s="9">
        <f>IF($A2408="","",N2408&amp;"|"&amp;$F2408)</f>
        <v/>
      </c>
      <c r="P2408" s="77">
        <f>IF($A2408="",0,$H2408*설정!$C$23)</f>
        <v/>
      </c>
      <c r="Q2408" s="39">
        <f>IF($A2408="","",IF(O2408&lt;&gt;원인분석!$C$9,"",IF(AND(M2408&gt;=원인분석!$C$10,M2408&lt;=원인분석!$C$11),"당기",IF(AND(M2408&gt;=원인분석!$C$12,M2408&lt;=원인분석!$C$13),"비교",""))))</f>
        <v/>
      </c>
      <c r="R2408" s="9">
        <f>IF(Q2408="","",$K2408&amp;"")</f>
        <v/>
      </c>
      <c r="S2408" s="9">
        <f>IF(Q2408="","",IF(MATCH(R2408,$R$5:$R$100000,0)=ROW()-4,ROW(),""))</f>
        <v/>
      </c>
      <c r="T2408" s="9">
        <f>IF(Q2408="당기",ABS(P2408)+ROW()/1000000000,"")</f>
        <v/>
      </c>
      <c r="U2408" s="9">
        <f>IF(Q2408="비교",ABS(P2408)+ROW()/1000000000,"")</f>
        <v/>
      </c>
      <c r="V2408" s="39">
        <f>IF($A2408="","",IF(COUNTIF(변동분석!$E$7:$E$506,O2408)&gt;0,"Y","N"))</f>
        <v/>
      </c>
      <c r="W2408" s="39">
        <f>IF($A2408="","",IFERROR(INDEX(계정매핑!$D$5:$D$504,MATCH($F2408&amp;"",계정매핑!$A$5:$A$504,0)),"미매핑"))</f>
        <v/>
      </c>
      <c r="X2408" s="9">
        <f>IF($A2408="","",$F2408&amp;"")</f>
        <v/>
      </c>
    </row>
    <row r="2409">
      <c r="A2409" s="75" t="n">
        <v>2026</v>
      </c>
      <c r="B2409" s="75" t="n">
        <v>1</v>
      </c>
      <c r="C2409" s="75" t="inlineStr">
        <is>
          <t>5100000065</t>
        </is>
      </c>
      <c r="D2409" s="78" t="n">
        <v>46032</v>
      </c>
      <c r="E2409" s="75" t="inlineStr">
        <is>
          <t>KR</t>
        </is>
      </c>
      <c r="F2409" s="75" t="n">
        <v>62102000</v>
      </c>
      <c r="G2409" s="75" t="n">
        <v>1301</v>
      </c>
      <c r="H2409" s="76" t="n">
        <v>50000</v>
      </c>
      <c r="I2409" s="75" t="inlineStr">
        <is>
          <t>1월 해외출장 - M항공</t>
        </is>
      </c>
      <c r="J2409" s="75" t="inlineStr">
        <is>
          <t>V10001</t>
        </is>
      </c>
      <c r="K2409" s="75" t="inlineStr">
        <is>
          <t>M항공</t>
        </is>
      </c>
      <c r="M2409" s="9">
        <f>IF($A2409="","",VALUE($A2409&amp;"")*12+VALUE($B2409&amp;""))</f>
        <v/>
      </c>
      <c r="N2409" s="39">
        <f>IF($A2409="","",IFERROR(INDEX(부서매핑!$C$5:$C$504,MATCH($G2409&amp;"",부서매핑!$A$5:$A$504,0)),"미매핑"))</f>
        <v/>
      </c>
      <c r="O2409" s="9">
        <f>IF($A2409="","",N2409&amp;"|"&amp;$F2409)</f>
        <v/>
      </c>
      <c r="P2409" s="77">
        <f>IF($A2409="",0,$H2409*설정!$C$23)</f>
        <v/>
      </c>
      <c r="Q2409" s="39">
        <f>IF($A2409="","",IF(O2409&lt;&gt;원인분석!$C$9,"",IF(AND(M2409&gt;=원인분석!$C$10,M2409&lt;=원인분석!$C$11),"당기",IF(AND(M2409&gt;=원인분석!$C$12,M2409&lt;=원인분석!$C$13),"비교",""))))</f>
        <v/>
      </c>
      <c r="R2409" s="9">
        <f>IF(Q2409="","",$K2409&amp;"")</f>
        <v/>
      </c>
      <c r="S2409" s="9">
        <f>IF(Q2409="","",IF(MATCH(R2409,$R$5:$R$100000,0)=ROW()-4,ROW(),""))</f>
        <v/>
      </c>
      <c r="T2409" s="9">
        <f>IF(Q2409="당기",ABS(P2409)+ROW()/1000000000,"")</f>
        <v/>
      </c>
      <c r="U2409" s="9">
        <f>IF(Q2409="비교",ABS(P2409)+ROW()/1000000000,"")</f>
        <v/>
      </c>
      <c r="V2409" s="39">
        <f>IF($A2409="","",IF(COUNTIF(변동분석!$E$7:$E$506,O2409)&gt;0,"Y","N"))</f>
        <v/>
      </c>
      <c r="W2409" s="39">
        <f>IF($A2409="","",IFERROR(INDEX(계정매핑!$D$5:$D$504,MATCH($F2409&amp;"",계정매핑!$A$5:$A$504,0)),"미매핑"))</f>
        <v/>
      </c>
      <c r="X2409" s="9">
        <f>IF($A2409="","",$F2409&amp;"")</f>
        <v/>
      </c>
    </row>
    <row r="2410">
      <c r="A2410" s="75" t="n">
        <v>2026</v>
      </c>
      <c r="B2410" s="75" t="n">
        <v>1</v>
      </c>
      <c r="C2410" s="75" t="inlineStr">
        <is>
          <t>5100000066</t>
        </is>
      </c>
      <c r="D2410" s="78" t="n">
        <v>46032</v>
      </c>
      <c r="E2410" s="75" t="inlineStr">
        <is>
          <t>KR</t>
        </is>
      </c>
      <c r="F2410" s="75" t="n">
        <v>62301000</v>
      </c>
      <c r="G2410" s="75" t="n">
        <v>1401</v>
      </c>
      <c r="H2410" s="76" t="n">
        <v>122000</v>
      </c>
      <c r="I2410" s="75" t="inlineStr">
        <is>
          <t>1월 소모품 구입 - R문구</t>
        </is>
      </c>
      <c r="J2410" s="75" t="inlineStr">
        <is>
          <t>V10018</t>
        </is>
      </c>
      <c r="K2410" s="75" t="inlineStr">
        <is>
          <t>R문구</t>
        </is>
      </c>
      <c r="M2410" s="9">
        <f>IF($A2410="","",VALUE($A2410&amp;"")*12+VALUE($B2410&amp;""))</f>
        <v/>
      </c>
      <c r="N2410" s="39">
        <f>IF($A2410="","",IFERROR(INDEX(부서매핑!$C$5:$C$504,MATCH($G2410&amp;"",부서매핑!$A$5:$A$504,0)),"미매핑"))</f>
        <v/>
      </c>
      <c r="O2410" s="9">
        <f>IF($A2410="","",N2410&amp;"|"&amp;$F2410)</f>
        <v/>
      </c>
      <c r="P2410" s="77">
        <f>IF($A2410="",0,$H2410*설정!$C$23)</f>
        <v/>
      </c>
      <c r="Q2410" s="39">
        <f>IF($A2410="","",IF(O2410&lt;&gt;원인분석!$C$9,"",IF(AND(M2410&gt;=원인분석!$C$10,M2410&lt;=원인분석!$C$11),"당기",IF(AND(M2410&gt;=원인분석!$C$12,M2410&lt;=원인분석!$C$13),"비교",""))))</f>
        <v/>
      </c>
      <c r="R2410" s="9">
        <f>IF(Q2410="","",$K2410&amp;"")</f>
        <v/>
      </c>
      <c r="S2410" s="9">
        <f>IF(Q2410="","",IF(MATCH(R2410,$R$5:$R$100000,0)=ROW()-4,ROW(),""))</f>
        <v/>
      </c>
      <c r="T2410" s="9">
        <f>IF(Q2410="당기",ABS(P2410)+ROW()/1000000000,"")</f>
        <v/>
      </c>
      <c r="U2410" s="9">
        <f>IF(Q2410="비교",ABS(P2410)+ROW()/1000000000,"")</f>
        <v/>
      </c>
      <c r="V2410" s="39">
        <f>IF($A2410="","",IF(COUNTIF(변동분석!$E$7:$E$506,O2410)&gt;0,"Y","N"))</f>
        <v/>
      </c>
      <c r="W2410" s="39">
        <f>IF($A2410="","",IFERROR(INDEX(계정매핑!$D$5:$D$504,MATCH($F2410&amp;"",계정매핑!$A$5:$A$504,0)),"미매핑"))</f>
        <v/>
      </c>
      <c r="X2410" s="9">
        <f>IF($A2410="","",$F2410&amp;"")</f>
        <v/>
      </c>
    </row>
    <row r="2411">
      <c r="A2411" s="75" t="n">
        <v>2026</v>
      </c>
      <c r="B2411" s="75" t="n">
        <v>1</v>
      </c>
      <c r="C2411" s="75" t="inlineStr">
        <is>
          <t>5100000067</t>
        </is>
      </c>
      <c r="D2411" s="78" t="n">
        <v>46032</v>
      </c>
      <c r="E2411" s="75" t="inlineStr">
        <is>
          <t>KR</t>
        </is>
      </c>
      <c r="F2411" s="75" t="n">
        <v>62401000</v>
      </c>
      <c r="G2411" s="75" t="n">
        <v>1801</v>
      </c>
      <c r="H2411" s="76" t="n">
        <v>2799000</v>
      </c>
      <c r="I2411" s="75" t="inlineStr">
        <is>
          <t>1월 인쇄물 제작 - G인쇄</t>
        </is>
      </c>
      <c r="J2411" s="75" t="inlineStr">
        <is>
          <t>V10004</t>
        </is>
      </c>
      <c r="K2411" s="75" t="inlineStr">
        <is>
          <t>G인쇄</t>
        </is>
      </c>
      <c r="M2411" s="9">
        <f>IF($A2411="","",VALUE($A2411&amp;"")*12+VALUE($B2411&amp;""))</f>
        <v/>
      </c>
      <c r="N2411" s="39">
        <f>IF($A2411="","",IFERROR(INDEX(부서매핑!$C$5:$C$504,MATCH($G2411&amp;"",부서매핑!$A$5:$A$504,0)),"미매핑"))</f>
        <v/>
      </c>
      <c r="O2411" s="9">
        <f>IF($A2411="","",N2411&amp;"|"&amp;$F2411)</f>
        <v/>
      </c>
      <c r="P2411" s="77">
        <f>IF($A2411="",0,$H2411*설정!$C$23)</f>
        <v/>
      </c>
      <c r="Q2411" s="39">
        <f>IF($A2411="","",IF(O2411&lt;&gt;원인분석!$C$9,"",IF(AND(M2411&gt;=원인분석!$C$10,M2411&lt;=원인분석!$C$11),"당기",IF(AND(M2411&gt;=원인분석!$C$12,M2411&lt;=원인분석!$C$13),"비교",""))))</f>
        <v/>
      </c>
      <c r="R2411" s="9">
        <f>IF(Q2411="","",$K2411&amp;"")</f>
        <v/>
      </c>
      <c r="S2411" s="9">
        <f>IF(Q2411="","",IF(MATCH(R2411,$R$5:$R$100000,0)=ROW()-4,ROW(),""))</f>
        <v/>
      </c>
      <c r="T2411" s="9">
        <f>IF(Q2411="당기",ABS(P2411)+ROW()/1000000000,"")</f>
        <v/>
      </c>
      <c r="U2411" s="9">
        <f>IF(Q2411="비교",ABS(P2411)+ROW()/1000000000,"")</f>
        <v/>
      </c>
      <c r="V2411" s="39">
        <f>IF($A2411="","",IF(COUNTIF(변동분석!$E$7:$E$506,O2411)&gt;0,"Y","N"))</f>
        <v/>
      </c>
      <c r="W2411" s="39">
        <f>IF($A2411="","",IFERROR(INDEX(계정매핑!$D$5:$D$504,MATCH($F2411&amp;"",계정매핑!$A$5:$A$504,0)),"미매핑"))</f>
        <v/>
      </c>
      <c r="X2411" s="9">
        <f>IF($A2411="","",$F2411&amp;"")</f>
        <v/>
      </c>
    </row>
    <row r="2412">
      <c r="A2412" s="75" t="n">
        <v>2026</v>
      </c>
      <c r="B2412" s="75" t="n">
        <v>1</v>
      </c>
      <c r="C2412" s="75" t="inlineStr">
        <is>
          <t>5100000068</t>
        </is>
      </c>
      <c r="D2412" s="78" t="n">
        <v>46032</v>
      </c>
      <c r="E2412" s="75" t="inlineStr">
        <is>
          <t>KR</t>
        </is>
      </c>
      <c r="F2412" s="75" t="n">
        <v>62901000</v>
      </c>
      <c r="G2412" s="75" t="n">
        <v>1801</v>
      </c>
      <c r="H2412" s="76" t="n">
        <v>8852000</v>
      </c>
      <c r="I2412" s="75" t="inlineStr">
        <is>
          <t>1월 자문 수수료 - W컨설팅</t>
        </is>
      </c>
      <c r="J2412" s="75" t="inlineStr">
        <is>
          <t>V10009</t>
        </is>
      </c>
      <c r="K2412" s="75" t="inlineStr">
        <is>
          <t>W컨설팅</t>
        </is>
      </c>
      <c r="M2412" s="9">
        <f>IF($A2412="","",VALUE($A2412&amp;"")*12+VALUE($B2412&amp;""))</f>
        <v/>
      </c>
      <c r="N2412" s="39">
        <f>IF($A2412="","",IFERROR(INDEX(부서매핑!$C$5:$C$504,MATCH($G2412&amp;"",부서매핑!$A$5:$A$504,0)),"미매핑"))</f>
        <v/>
      </c>
      <c r="O2412" s="9">
        <f>IF($A2412="","",N2412&amp;"|"&amp;$F2412)</f>
        <v/>
      </c>
      <c r="P2412" s="77">
        <f>IF($A2412="",0,$H2412*설정!$C$23)</f>
        <v/>
      </c>
      <c r="Q2412" s="39">
        <f>IF($A2412="","",IF(O2412&lt;&gt;원인분석!$C$9,"",IF(AND(M2412&gt;=원인분석!$C$10,M2412&lt;=원인분석!$C$11),"당기",IF(AND(M2412&gt;=원인분석!$C$12,M2412&lt;=원인분석!$C$13),"비교",""))))</f>
        <v/>
      </c>
      <c r="R2412" s="9">
        <f>IF(Q2412="","",$K2412&amp;"")</f>
        <v/>
      </c>
      <c r="S2412" s="9">
        <f>IF(Q2412="","",IF(MATCH(R2412,$R$5:$R$100000,0)=ROW()-4,ROW(),""))</f>
        <v/>
      </c>
      <c r="T2412" s="9">
        <f>IF(Q2412="당기",ABS(P2412)+ROW()/1000000000,"")</f>
        <v/>
      </c>
      <c r="U2412" s="9">
        <f>IF(Q2412="비교",ABS(P2412)+ROW()/1000000000,"")</f>
        <v/>
      </c>
      <c r="V2412" s="39">
        <f>IF($A2412="","",IF(COUNTIF(변동분석!$E$7:$E$506,O2412)&gt;0,"Y","N"))</f>
        <v/>
      </c>
      <c r="W2412" s="39">
        <f>IF($A2412="","",IFERROR(INDEX(계정매핑!$D$5:$D$504,MATCH($F2412&amp;"",계정매핑!$A$5:$A$504,0)),"미매핑"))</f>
        <v/>
      </c>
      <c r="X2412" s="9">
        <f>IF($A2412="","",$F2412&amp;"")</f>
        <v/>
      </c>
    </row>
    <row r="2413">
      <c r="A2413" s="75" t="n">
        <v>2026</v>
      </c>
      <c r="B2413" s="75" t="n">
        <v>1</v>
      </c>
      <c r="C2413" s="75" t="inlineStr">
        <is>
          <t>5100000069</t>
        </is>
      </c>
      <c r="D2413" s="78" t="n">
        <v>46032</v>
      </c>
      <c r="E2413" s="75" t="inlineStr">
        <is>
          <t>KR</t>
        </is>
      </c>
      <c r="F2413" s="75" t="n">
        <v>62902000</v>
      </c>
      <c r="G2413" s="75" t="n">
        <v>1801</v>
      </c>
      <c r="H2413" s="76" t="n">
        <v>3000000</v>
      </c>
      <c r="I2413" s="75" t="inlineStr">
        <is>
          <t>1월 업무 위탁 수수료 - X서비스</t>
        </is>
      </c>
      <c r="J2413" s="75" t="inlineStr">
        <is>
          <t>V10016</t>
        </is>
      </c>
      <c r="K2413" s="75" t="inlineStr">
        <is>
          <t>X서비스</t>
        </is>
      </c>
      <c r="M2413" s="9">
        <f>IF($A2413="","",VALUE($A2413&amp;"")*12+VALUE($B2413&amp;""))</f>
        <v/>
      </c>
      <c r="N2413" s="39">
        <f>IF($A2413="","",IFERROR(INDEX(부서매핑!$C$5:$C$504,MATCH($G2413&amp;"",부서매핑!$A$5:$A$504,0)),"미매핑"))</f>
        <v/>
      </c>
      <c r="O2413" s="9">
        <f>IF($A2413="","",N2413&amp;"|"&amp;$F2413)</f>
        <v/>
      </c>
      <c r="P2413" s="77">
        <f>IF($A2413="",0,$H2413*설정!$C$23)</f>
        <v/>
      </c>
      <c r="Q2413" s="39">
        <f>IF($A2413="","",IF(O2413&lt;&gt;원인분석!$C$9,"",IF(AND(M2413&gt;=원인분석!$C$10,M2413&lt;=원인분석!$C$11),"당기",IF(AND(M2413&gt;=원인분석!$C$12,M2413&lt;=원인분석!$C$13),"비교",""))))</f>
        <v/>
      </c>
      <c r="R2413" s="9">
        <f>IF(Q2413="","",$K2413&amp;"")</f>
        <v/>
      </c>
      <c r="S2413" s="9">
        <f>IF(Q2413="","",IF(MATCH(R2413,$R$5:$R$100000,0)=ROW()-4,ROW(),""))</f>
        <v/>
      </c>
      <c r="T2413" s="9">
        <f>IF(Q2413="당기",ABS(P2413)+ROW()/1000000000,"")</f>
        <v/>
      </c>
      <c r="U2413" s="9">
        <f>IF(Q2413="비교",ABS(P2413)+ROW()/1000000000,"")</f>
        <v/>
      </c>
      <c r="V2413" s="39">
        <f>IF($A2413="","",IF(COUNTIF(변동분석!$E$7:$E$506,O2413)&gt;0,"Y","N"))</f>
        <v/>
      </c>
      <c r="W2413" s="39">
        <f>IF($A2413="","",IFERROR(INDEX(계정매핑!$D$5:$D$504,MATCH($F2413&amp;"",계정매핑!$A$5:$A$504,0)),"미매핑"))</f>
        <v/>
      </c>
      <c r="X2413" s="9">
        <f>IF($A2413="","",$F2413&amp;"")</f>
        <v/>
      </c>
    </row>
    <row r="2414">
      <c r="A2414" s="75" t="n">
        <v>2026</v>
      </c>
      <c r="B2414" s="75" t="n">
        <v>1</v>
      </c>
      <c r="C2414" s="75" t="inlineStr">
        <is>
          <t>5100000070</t>
        </is>
      </c>
      <c r="D2414" s="78" t="n">
        <v>46033</v>
      </c>
      <c r="E2414" s="75" t="inlineStr">
        <is>
          <t>KR</t>
        </is>
      </c>
      <c r="F2414" s="75" t="n">
        <v>62101000</v>
      </c>
      <c r="G2414" s="75" t="n">
        <v>1301</v>
      </c>
      <c r="H2414" s="76" t="n">
        <v>634000</v>
      </c>
      <c r="I2414" s="75" t="inlineStr">
        <is>
          <t>1월 국내출장 - (법인카드)</t>
        </is>
      </c>
      <c r="J2414" s="75" t="inlineStr">
        <is>
          <t>V10008</t>
        </is>
      </c>
      <c r="K2414" s="75" t="inlineStr">
        <is>
          <t>(법인카드)</t>
        </is>
      </c>
      <c r="M2414" s="9">
        <f>IF($A2414="","",VALUE($A2414&amp;"")*12+VALUE($B2414&amp;""))</f>
        <v/>
      </c>
      <c r="N2414" s="39">
        <f>IF($A2414="","",IFERROR(INDEX(부서매핑!$C$5:$C$504,MATCH($G2414&amp;"",부서매핑!$A$5:$A$504,0)),"미매핑"))</f>
        <v/>
      </c>
      <c r="O2414" s="9">
        <f>IF($A2414="","",N2414&amp;"|"&amp;$F2414)</f>
        <v/>
      </c>
      <c r="P2414" s="77">
        <f>IF($A2414="",0,$H2414*설정!$C$23)</f>
        <v/>
      </c>
      <c r="Q2414" s="39">
        <f>IF($A2414="","",IF(O2414&lt;&gt;원인분석!$C$9,"",IF(AND(M2414&gt;=원인분석!$C$10,M2414&lt;=원인분석!$C$11),"당기",IF(AND(M2414&gt;=원인분석!$C$12,M2414&lt;=원인분석!$C$13),"비교",""))))</f>
        <v/>
      </c>
      <c r="R2414" s="9">
        <f>IF(Q2414="","",$K2414&amp;"")</f>
        <v/>
      </c>
      <c r="S2414" s="9">
        <f>IF(Q2414="","",IF(MATCH(R2414,$R$5:$R$100000,0)=ROW()-4,ROW(),""))</f>
        <v/>
      </c>
      <c r="T2414" s="9">
        <f>IF(Q2414="당기",ABS(P2414)+ROW()/1000000000,"")</f>
        <v/>
      </c>
      <c r="U2414" s="9">
        <f>IF(Q2414="비교",ABS(P2414)+ROW()/1000000000,"")</f>
        <v/>
      </c>
      <c r="V2414" s="39">
        <f>IF($A2414="","",IF(COUNTIF(변동분석!$E$7:$E$506,O2414)&gt;0,"Y","N"))</f>
        <v/>
      </c>
      <c r="W2414" s="39">
        <f>IF($A2414="","",IFERROR(INDEX(계정매핑!$D$5:$D$504,MATCH($F2414&amp;"",계정매핑!$A$5:$A$504,0)),"미매핑"))</f>
        <v/>
      </c>
      <c r="X2414" s="9">
        <f>IF($A2414="","",$F2414&amp;"")</f>
        <v/>
      </c>
    </row>
    <row r="2415">
      <c r="A2415" s="75" t="n">
        <v>2026</v>
      </c>
      <c r="B2415" s="75" t="n">
        <v>1</v>
      </c>
      <c r="C2415" s="75" t="inlineStr">
        <is>
          <t>5100000071</t>
        </is>
      </c>
      <c r="D2415" s="78" t="n">
        <v>46033</v>
      </c>
      <c r="E2415" s="75" t="inlineStr">
        <is>
          <t>KR</t>
        </is>
      </c>
      <c r="F2415" s="75" t="n">
        <v>62401000</v>
      </c>
      <c r="G2415" s="75" t="n">
        <v>1401</v>
      </c>
      <c r="H2415" s="76" t="n">
        <v>324000</v>
      </c>
      <c r="I2415" s="75" t="inlineStr">
        <is>
          <t>1월 인쇄물 제작 - S출판</t>
        </is>
      </c>
      <c r="J2415" s="75" t="inlineStr">
        <is>
          <t>V10012</t>
        </is>
      </c>
      <c r="K2415" s="75" t="inlineStr">
        <is>
          <t>S출판</t>
        </is>
      </c>
      <c r="M2415" s="9">
        <f>IF($A2415="","",VALUE($A2415&amp;"")*12+VALUE($B2415&amp;""))</f>
        <v/>
      </c>
      <c r="N2415" s="39">
        <f>IF($A2415="","",IFERROR(INDEX(부서매핑!$C$5:$C$504,MATCH($G2415&amp;"",부서매핑!$A$5:$A$504,0)),"미매핑"))</f>
        <v/>
      </c>
      <c r="O2415" s="9">
        <f>IF($A2415="","",N2415&amp;"|"&amp;$F2415)</f>
        <v/>
      </c>
      <c r="P2415" s="77">
        <f>IF($A2415="",0,$H2415*설정!$C$23)</f>
        <v/>
      </c>
      <c r="Q2415" s="39">
        <f>IF($A2415="","",IF(O2415&lt;&gt;원인분석!$C$9,"",IF(AND(M2415&gt;=원인분석!$C$10,M2415&lt;=원인분석!$C$11),"당기",IF(AND(M2415&gt;=원인분석!$C$12,M2415&lt;=원인분석!$C$13),"비교",""))))</f>
        <v/>
      </c>
      <c r="R2415" s="9">
        <f>IF(Q2415="","",$K2415&amp;"")</f>
        <v/>
      </c>
      <c r="S2415" s="9">
        <f>IF(Q2415="","",IF(MATCH(R2415,$R$5:$R$100000,0)=ROW()-4,ROW(),""))</f>
        <v/>
      </c>
      <c r="T2415" s="9">
        <f>IF(Q2415="당기",ABS(P2415)+ROW()/1000000000,"")</f>
        <v/>
      </c>
      <c r="U2415" s="9">
        <f>IF(Q2415="비교",ABS(P2415)+ROW()/1000000000,"")</f>
        <v/>
      </c>
      <c r="V2415" s="39">
        <f>IF($A2415="","",IF(COUNTIF(변동분석!$E$7:$E$506,O2415)&gt;0,"Y","N"))</f>
        <v/>
      </c>
      <c r="W2415" s="39">
        <f>IF($A2415="","",IFERROR(INDEX(계정매핑!$D$5:$D$504,MATCH($F2415&amp;"",계정매핑!$A$5:$A$504,0)),"미매핑"))</f>
        <v/>
      </c>
      <c r="X2415" s="9">
        <f>IF($A2415="","",$F2415&amp;"")</f>
        <v/>
      </c>
    </row>
    <row r="2416">
      <c r="A2416" s="75" t="n">
        <v>2026</v>
      </c>
      <c r="B2416" s="75" t="n">
        <v>1</v>
      </c>
      <c r="C2416" s="75" t="inlineStr">
        <is>
          <t>5100000072</t>
        </is>
      </c>
      <c r="D2416" s="78" t="n">
        <v>46033</v>
      </c>
      <c r="E2416" s="75" t="inlineStr">
        <is>
          <t>KR</t>
        </is>
      </c>
      <c r="F2416" s="75" t="n">
        <v>62401000</v>
      </c>
      <c r="G2416" s="75" t="n">
        <v>1502</v>
      </c>
      <c r="H2416" s="76" t="n">
        <v>1710000</v>
      </c>
      <c r="I2416" s="75" t="inlineStr">
        <is>
          <t>1월 인쇄물 제작 - S출판</t>
        </is>
      </c>
      <c r="J2416" s="75" t="inlineStr">
        <is>
          <t>V10012</t>
        </is>
      </c>
      <c r="K2416" s="75" t="inlineStr">
        <is>
          <t>S출판</t>
        </is>
      </c>
      <c r="M2416" s="9">
        <f>IF($A2416="","",VALUE($A2416&amp;"")*12+VALUE($B2416&amp;""))</f>
        <v/>
      </c>
      <c r="N2416" s="39">
        <f>IF($A2416="","",IFERROR(INDEX(부서매핑!$C$5:$C$504,MATCH($G2416&amp;"",부서매핑!$A$5:$A$504,0)),"미매핑"))</f>
        <v/>
      </c>
      <c r="O2416" s="9">
        <f>IF($A2416="","",N2416&amp;"|"&amp;$F2416)</f>
        <v/>
      </c>
      <c r="P2416" s="77">
        <f>IF($A2416="",0,$H2416*설정!$C$23)</f>
        <v/>
      </c>
      <c r="Q2416" s="39">
        <f>IF($A2416="","",IF(O2416&lt;&gt;원인분석!$C$9,"",IF(AND(M2416&gt;=원인분석!$C$10,M2416&lt;=원인분석!$C$11),"당기",IF(AND(M2416&gt;=원인분석!$C$12,M2416&lt;=원인분석!$C$13),"비교",""))))</f>
        <v/>
      </c>
      <c r="R2416" s="9">
        <f>IF(Q2416="","",$K2416&amp;"")</f>
        <v/>
      </c>
      <c r="S2416" s="9">
        <f>IF(Q2416="","",IF(MATCH(R2416,$R$5:$R$100000,0)=ROW()-4,ROW(),""))</f>
        <v/>
      </c>
      <c r="T2416" s="9">
        <f>IF(Q2416="당기",ABS(P2416)+ROW()/1000000000,"")</f>
        <v/>
      </c>
      <c r="U2416" s="9">
        <f>IF(Q2416="비교",ABS(P2416)+ROW()/1000000000,"")</f>
        <v/>
      </c>
      <c r="V2416" s="39">
        <f>IF($A2416="","",IF(COUNTIF(변동분석!$E$7:$E$506,O2416)&gt;0,"Y","N"))</f>
        <v/>
      </c>
      <c r="W2416" s="39">
        <f>IF($A2416="","",IFERROR(INDEX(계정매핑!$D$5:$D$504,MATCH($F2416&amp;"",계정매핑!$A$5:$A$504,0)),"미매핑"))</f>
        <v/>
      </c>
      <c r="X2416" s="9">
        <f>IF($A2416="","",$F2416&amp;"")</f>
        <v/>
      </c>
    </row>
    <row r="2417">
      <c r="A2417" s="75" t="n">
        <v>2026</v>
      </c>
      <c r="B2417" s="75" t="n">
        <v>1</v>
      </c>
      <c r="C2417" s="75" t="inlineStr">
        <is>
          <t>5100000073</t>
        </is>
      </c>
      <c r="D2417" s="78" t="n">
        <v>46033</v>
      </c>
      <c r="E2417" s="75" t="inlineStr">
        <is>
          <t>KR</t>
        </is>
      </c>
      <c r="F2417" s="75" t="n">
        <v>62601000</v>
      </c>
      <c r="G2417" s="75" t="n">
        <v>1602</v>
      </c>
      <c r="H2417" s="76" t="n">
        <v>1511000</v>
      </c>
      <c r="I2417" s="75" t="inlineStr">
        <is>
          <t>1월 업무추진 - (법인카드)</t>
        </is>
      </c>
      <c r="J2417" s="75" t="inlineStr">
        <is>
          <t>V10008</t>
        </is>
      </c>
      <c r="K2417" s="75" t="inlineStr">
        <is>
          <t>(법인카드)</t>
        </is>
      </c>
      <c r="M2417" s="9">
        <f>IF($A2417="","",VALUE($A2417&amp;"")*12+VALUE($B2417&amp;""))</f>
        <v/>
      </c>
      <c r="N2417" s="39">
        <f>IF($A2417="","",IFERROR(INDEX(부서매핑!$C$5:$C$504,MATCH($G2417&amp;"",부서매핑!$A$5:$A$504,0)),"미매핑"))</f>
        <v/>
      </c>
      <c r="O2417" s="9">
        <f>IF($A2417="","",N2417&amp;"|"&amp;$F2417)</f>
        <v/>
      </c>
      <c r="P2417" s="77">
        <f>IF($A2417="",0,$H2417*설정!$C$23)</f>
        <v/>
      </c>
      <c r="Q2417" s="39">
        <f>IF($A2417="","",IF(O2417&lt;&gt;원인분석!$C$9,"",IF(AND(M2417&gt;=원인분석!$C$10,M2417&lt;=원인분석!$C$11),"당기",IF(AND(M2417&gt;=원인분석!$C$12,M2417&lt;=원인분석!$C$13),"비교",""))))</f>
        <v/>
      </c>
      <c r="R2417" s="9">
        <f>IF(Q2417="","",$K2417&amp;"")</f>
        <v/>
      </c>
      <c r="S2417" s="9">
        <f>IF(Q2417="","",IF(MATCH(R2417,$R$5:$R$100000,0)=ROW()-4,ROW(),""))</f>
        <v/>
      </c>
      <c r="T2417" s="9">
        <f>IF(Q2417="당기",ABS(P2417)+ROW()/1000000000,"")</f>
        <v/>
      </c>
      <c r="U2417" s="9">
        <f>IF(Q2417="비교",ABS(P2417)+ROW()/1000000000,"")</f>
        <v/>
      </c>
      <c r="V2417" s="39">
        <f>IF($A2417="","",IF(COUNTIF(변동분석!$E$7:$E$506,O2417)&gt;0,"Y","N"))</f>
        <v/>
      </c>
      <c r="W2417" s="39">
        <f>IF($A2417="","",IFERROR(INDEX(계정매핑!$D$5:$D$504,MATCH($F2417&amp;"",계정매핑!$A$5:$A$504,0)),"미매핑"))</f>
        <v/>
      </c>
      <c r="X2417" s="9">
        <f>IF($A2417="","",$F2417&amp;"")</f>
        <v/>
      </c>
    </row>
    <row r="2418">
      <c r="A2418" s="75" t="n">
        <v>2026</v>
      </c>
      <c r="B2418" s="75" t="n">
        <v>1</v>
      </c>
      <c r="C2418" s="75" t="inlineStr">
        <is>
          <t>5100000074</t>
        </is>
      </c>
      <c r="D2418" s="78" t="n">
        <v>46034</v>
      </c>
      <c r="E2418" s="75" t="inlineStr">
        <is>
          <t>KR</t>
        </is>
      </c>
      <c r="F2418" s="75" t="n">
        <v>62101000</v>
      </c>
      <c r="G2418" s="75" t="n">
        <v>1201</v>
      </c>
      <c r="H2418" s="76" t="n">
        <v>293000</v>
      </c>
      <c r="I2418" s="75" t="inlineStr">
        <is>
          <t>1월 국내출장 - M항공</t>
        </is>
      </c>
      <c r="J2418" s="75" t="inlineStr">
        <is>
          <t>V10001</t>
        </is>
      </c>
      <c r="K2418" s="75" t="inlineStr">
        <is>
          <t>M항공</t>
        </is>
      </c>
      <c r="M2418" s="9">
        <f>IF($A2418="","",VALUE($A2418&amp;"")*12+VALUE($B2418&amp;""))</f>
        <v/>
      </c>
      <c r="N2418" s="39">
        <f>IF($A2418="","",IFERROR(INDEX(부서매핑!$C$5:$C$504,MATCH($G2418&amp;"",부서매핑!$A$5:$A$504,0)),"미매핑"))</f>
        <v/>
      </c>
      <c r="O2418" s="9">
        <f>IF($A2418="","",N2418&amp;"|"&amp;$F2418)</f>
        <v/>
      </c>
      <c r="P2418" s="77">
        <f>IF($A2418="",0,$H2418*설정!$C$23)</f>
        <v/>
      </c>
      <c r="Q2418" s="39">
        <f>IF($A2418="","",IF(O2418&lt;&gt;원인분석!$C$9,"",IF(AND(M2418&gt;=원인분석!$C$10,M2418&lt;=원인분석!$C$11),"당기",IF(AND(M2418&gt;=원인분석!$C$12,M2418&lt;=원인분석!$C$13),"비교",""))))</f>
        <v/>
      </c>
      <c r="R2418" s="9">
        <f>IF(Q2418="","",$K2418&amp;"")</f>
        <v/>
      </c>
      <c r="S2418" s="9">
        <f>IF(Q2418="","",IF(MATCH(R2418,$R$5:$R$100000,0)=ROW()-4,ROW(),""))</f>
        <v/>
      </c>
      <c r="T2418" s="9">
        <f>IF(Q2418="당기",ABS(P2418)+ROW()/1000000000,"")</f>
        <v/>
      </c>
      <c r="U2418" s="9">
        <f>IF(Q2418="비교",ABS(P2418)+ROW()/1000000000,"")</f>
        <v/>
      </c>
      <c r="V2418" s="39">
        <f>IF($A2418="","",IF(COUNTIF(변동분석!$E$7:$E$506,O2418)&gt;0,"Y","N"))</f>
        <v/>
      </c>
      <c r="W2418" s="39">
        <f>IF($A2418="","",IFERROR(INDEX(계정매핑!$D$5:$D$504,MATCH($F2418&amp;"",계정매핑!$A$5:$A$504,0)),"미매핑"))</f>
        <v/>
      </c>
      <c r="X2418" s="9">
        <f>IF($A2418="","",$F2418&amp;"")</f>
        <v/>
      </c>
    </row>
    <row r="2419">
      <c r="A2419" s="75" t="n">
        <v>2026</v>
      </c>
      <c r="B2419" s="75" t="n">
        <v>1</v>
      </c>
      <c r="C2419" s="75" t="inlineStr">
        <is>
          <t>5100000075</t>
        </is>
      </c>
      <c r="D2419" s="78" t="n">
        <v>46034</v>
      </c>
      <c r="E2419" s="75" t="inlineStr">
        <is>
          <t>KR</t>
        </is>
      </c>
      <c r="F2419" s="75" t="n">
        <v>62601000</v>
      </c>
      <c r="G2419" s="75" t="n">
        <v>1101</v>
      </c>
      <c r="H2419" s="76" t="n">
        <v>2044000</v>
      </c>
      <c r="I2419" s="75" t="inlineStr">
        <is>
          <t>1월 업무추진 - (법인카드)</t>
        </is>
      </c>
      <c r="J2419" s="75" t="inlineStr">
        <is>
          <t>V10008</t>
        </is>
      </c>
      <c r="K2419" s="75" t="inlineStr">
        <is>
          <t>(법인카드)</t>
        </is>
      </c>
      <c r="M2419" s="9">
        <f>IF($A2419="","",VALUE($A2419&amp;"")*12+VALUE($B2419&amp;""))</f>
        <v/>
      </c>
      <c r="N2419" s="39">
        <f>IF($A2419="","",IFERROR(INDEX(부서매핑!$C$5:$C$504,MATCH($G2419&amp;"",부서매핑!$A$5:$A$504,0)),"미매핑"))</f>
        <v/>
      </c>
      <c r="O2419" s="9">
        <f>IF($A2419="","",N2419&amp;"|"&amp;$F2419)</f>
        <v/>
      </c>
      <c r="P2419" s="77">
        <f>IF($A2419="",0,$H2419*설정!$C$23)</f>
        <v/>
      </c>
      <c r="Q2419" s="39">
        <f>IF($A2419="","",IF(O2419&lt;&gt;원인분석!$C$9,"",IF(AND(M2419&gt;=원인분석!$C$10,M2419&lt;=원인분석!$C$11),"당기",IF(AND(M2419&gt;=원인분석!$C$12,M2419&lt;=원인분석!$C$13),"비교",""))))</f>
        <v/>
      </c>
      <c r="R2419" s="9">
        <f>IF(Q2419="","",$K2419&amp;"")</f>
        <v/>
      </c>
      <c r="S2419" s="9">
        <f>IF(Q2419="","",IF(MATCH(R2419,$R$5:$R$100000,0)=ROW()-4,ROW(),""))</f>
        <v/>
      </c>
      <c r="T2419" s="9">
        <f>IF(Q2419="당기",ABS(P2419)+ROW()/1000000000,"")</f>
        <v/>
      </c>
      <c r="U2419" s="9">
        <f>IF(Q2419="비교",ABS(P2419)+ROW()/1000000000,"")</f>
        <v/>
      </c>
      <c r="V2419" s="39">
        <f>IF($A2419="","",IF(COUNTIF(변동분석!$E$7:$E$506,O2419)&gt;0,"Y","N"))</f>
        <v/>
      </c>
      <c r="W2419" s="39">
        <f>IF($A2419="","",IFERROR(INDEX(계정매핑!$D$5:$D$504,MATCH($F2419&amp;"",계정매핑!$A$5:$A$504,0)),"미매핑"))</f>
        <v/>
      </c>
      <c r="X2419" s="9">
        <f>IF($A2419="","",$F2419&amp;"")</f>
        <v/>
      </c>
    </row>
    <row r="2420">
      <c r="A2420" s="75" t="n">
        <v>2026</v>
      </c>
      <c r="B2420" s="75" t="n">
        <v>1</v>
      </c>
      <c r="C2420" s="75" t="inlineStr">
        <is>
          <t>5100000076</t>
        </is>
      </c>
      <c r="D2420" s="78" t="n">
        <v>46035</v>
      </c>
      <c r="E2420" s="75" t="inlineStr">
        <is>
          <t>KR</t>
        </is>
      </c>
      <c r="F2420" s="75" t="n">
        <v>62101000</v>
      </c>
      <c r="G2420" s="75" t="n">
        <v>1201</v>
      </c>
      <c r="H2420" s="76" t="n">
        <v>239000</v>
      </c>
      <c r="I2420" s="75" t="inlineStr">
        <is>
          <t>1월 국내출장 - M항공</t>
        </is>
      </c>
      <c r="J2420" s="75" t="inlineStr">
        <is>
          <t>V10001</t>
        </is>
      </c>
      <c r="K2420" s="75" t="inlineStr">
        <is>
          <t>M항공</t>
        </is>
      </c>
      <c r="M2420" s="9">
        <f>IF($A2420="","",VALUE($A2420&amp;"")*12+VALUE($B2420&amp;""))</f>
        <v/>
      </c>
      <c r="N2420" s="39">
        <f>IF($A2420="","",IFERROR(INDEX(부서매핑!$C$5:$C$504,MATCH($G2420&amp;"",부서매핑!$A$5:$A$504,0)),"미매핑"))</f>
        <v/>
      </c>
      <c r="O2420" s="9">
        <f>IF($A2420="","",N2420&amp;"|"&amp;$F2420)</f>
        <v/>
      </c>
      <c r="P2420" s="77">
        <f>IF($A2420="",0,$H2420*설정!$C$23)</f>
        <v/>
      </c>
      <c r="Q2420" s="39">
        <f>IF($A2420="","",IF(O2420&lt;&gt;원인분석!$C$9,"",IF(AND(M2420&gt;=원인분석!$C$10,M2420&lt;=원인분석!$C$11),"당기",IF(AND(M2420&gt;=원인분석!$C$12,M2420&lt;=원인분석!$C$13),"비교",""))))</f>
        <v/>
      </c>
      <c r="R2420" s="9">
        <f>IF(Q2420="","",$K2420&amp;"")</f>
        <v/>
      </c>
      <c r="S2420" s="9">
        <f>IF(Q2420="","",IF(MATCH(R2420,$R$5:$R$100000,0)=ROW()-4,ROW(),""))</f>
        <v/>
      </c>
      <c r="T2420" s="9">
        <f>IF(Q2420="당기",ABS(P2420)+ROW()/1000000000,"")</f>
        <v/>
      </c>
      <c r="U2420" s="9">
        <f>IF(Q2420="비교",ABS(P2420)+ROW()/1000000000,"")</f>
        <v/>
      </c>
      <c r="V2420" s="39">
        <f>IF($A2420="","",IF(COUNTIF(변동분석!$E$7:$E$506,O2420)&gt;0,"Y","N"))</f>
        <v/>
      </c>
      <c r="W2420" s="39">
        <f>IF($A2420="","",IFERROR(INDEX(계정매핑!$D$5:$D$504,MATCH($F2420&amp;"",계정매핑!$A$5:$A$504,0)),"미매핑"))</f>
        <v/>
      </c>
      <c r="X2420" s="9">
        <f>IF($A2420="","",$F2420&amp;"")</f>
        <v/>
      </c>
    </row>
    <row r="2421">
      <c r="A2421" s="75" t="n">
        <v>2026</v>
      </c>
      <c r="B2421" s="75" t="n">
        <v>1</v>
      </c>
      <c r="C2421" s="75" t="inlineStr">
        <is>
          <t>5100000077</t>
        </is>
      </c>
      <c r="D2421" s="78" t="n">
        <v>46035</v>
      </c>
      <c r="E2421" s="75" t="inlineStr">
        <is>
          <t>KR</t>
        </is>
      </c>
      <c r="F2421" s="75" t="n">
        <v>62101000</v>
      </c>
      <c r="G2421" s="75" t="n">
        <v>1502</v>
      </c>
      <c r="H2421" s="76" t="n">
        <v>359000</v>
      </c>
      <c r="I2421" s="75" t="inlineStr">
        <is>
          <t>1월 국내출장 - M항공</t>
        </is>
      </c>
      <c r="J2421" s="75" t="inlineStr">
        <is>
          <t>V10001</t>
        </is>
      </c>
      <c r="K2421" s="75" t="inlineStr">
        <is>
          <t>M항공</t>
        </is>
      </c>
      <c r="M2421" s="9">
        <f>IF($A2421="","",VALUE($A2421&amp;"")*12+VALUE($B2421&amp;""))</f>
        <v/>
      </c>
      <c r="N2421" s="39">
        <f>IF($A2421="","",IFERROR(INDEX(부서매핑!$C$5:$C$504,MATCH($G2421&amp;"",부서매핑!$A$5:$A$504,0)),"미매핑"))</f>
        <v/>
      </c>
      <c r="O2421" s="9">
        <f>IF($A2421="","",N2421&amp;"|"&amp;$F2421)</f>
        <v/>
      </c>
      <c r="P2421" s="77">
        <f>IF($A2421="",0,$H2421*설정!$C$23)</f>
        <v/>
      </c>
      <c r="Q2421" s="39">
        <f>IF($A2421="","",IF(O2421&lt;&gt;원인분석!$C$9,"",IF(AND(M2421&gt;=원인분석!$C$10,M2421&lt;=원인분석!$C$11),"당기",IF(AND(M2421&gt;=원인분석!$C$12,M2421&lt;=원인분석!$C$13),"비교",""))))</f>
        <v/>
      </c>
      <c r="R2421" s="9">
        <f>IF(Q2421="","",$K2421&amp;"")</f>
        <v/>
      </c>
      <c r="S2421" s="9">
        <f>IF(Q2421="","",IF(MATCH(R2421,$R$5:$R$100000,0)=ROW()-4,ROW(),""))</f>
        <v/>
      </c>
      <c r="T2421" s="9">
        <f>IF(Q2421="당기",ABS(P2421)+ROW()/1000000000,"")</f>
        <v/>
      </c>
      <c r="U2421" s="9">
        <f>IF(Q2421="비교",ABS(P2421)+ROW()/1000000000,"")</f>
        <v/>
      </c>
      <c r="V2421" s="39">
        <f>IF($A2421="","",IF(COUNTIF(변동분석!$E$7:$E$506,O2421)&gt;0,"Y","N"))</f>
        <v/>
      </c>
      <c r="W2421" s="39">
        <f>IF($A2421="","",IFERROR(INDEX(계정매핑!$D$5:$D$504,MATCH($F2421&amp;"",계정매핑!$A$5:$A$504,0)),"미매핑"))</f>
        <v/>
      </c>
      <c r="X2421" s="9">
        <f>IF($A2421="","",$F2421&amp;"")</f>
        <v/>
      </c>
    </row>
    <row r="2422">
      <c r="A2422" s="75" t="n">
        <v>2026</v>
      </c>
      <c r="B2422" s="75" t="n">
        <v>1</v>
      </c>
      <c r="C2422" s="75" t="inlineStr">
        <is>
          <t>5100000078</t>
        </is>
      </c>
      <c r="D2422" s="78" t="n">
        <v>46035</v>
      </c>
      <c r="E2422" s="75" t="inlineStr">
        <is>
          <t>KR</t>
        </is>
      </c>
      <c r="F2422" s="75" t="n">
        <v>62101000</v>
      </c>
      <c r="G2422" s="75" t="n">
        <v>1701</v>
      </c>
      <c r="H2422" s="76" t="n">
        <v>122000</v>
      </c>
      <c r="I2422" s="75" t="inlineStr">
        <is>
          <t>1월 국내출장 - L여행사</t>
        </is>
      </c>
      <c r="J2422" s="75" t="inlineStr">
        <is>
          <t>V10014</t>
        </is>
      </c>
      <c r="K2422" s="75" t="inlineStr">
        <is>
          <t>L여행사</t>
        </is>
      </c>
      <c r="M2422" s="9">
        <f>IF($A2422="","",VALUE($A2422&amp;"")*12+VALUE($B2422&amp;""))</f>
        <v/>
      </c>
      <c r="N2422" s="39">
        <f>IF($A2422="","",IFERROR(INDEX(부서매핑!$C$5:$C$504,MATCH($G2422&amp;"",부서매핑!$A$5:$A$504,0)),"미매핑"))</f>
        <v/>
      </c>
      <c r="O2422" s="9">
        <f>IF($A2422="","",N2422&amp;"|"&amp;$F2422)</f>
        <v/>
      </c>
      <c r="P2422" s="77">
        <f>IF($A2422="",0,$H2422*설정!$C$23)</f>
        <v/>
      </c>
      <c r="Q2422" s="39">
        <f>IF($A2422="","",IF(O2422&lt;&gt;원인분석!$C$9,"",IF(AND(M2422&gt;=원인분석!$C$10,M2422&lt;=원인분석!$C$11),"당기",IF(AND(M2422&gt;=원인분석!$C$12,M2422&lt;=원인분석!$C$13),"비교",""))))</f>
        <v/>
      </c>
      <c r="R2422" s="9">
        <f>IF(Q2422="","",$K2422&amp;"")</f>
        <v/>
      </c>
      <c r="S2422" s="9">
        <f>IF(Q2422="","",IF(MATCH(R2422,$R$5:$R$100000,0)=ROW()-4,ROW(),""))</f>
        <v/>
      </c>
      <c r="T2422" s="9">
        <f>IF(Q2422="당기",ABS(P2422)+ROW()/1000000000,"")</f>
        <v/>
      </c>
      <c r="U2422" s="9">
        <f>IF(Q2422="비교",ABS(P2422)+ROW()/1000000000,"")</f>
        <v/>
      </c>
      <c r="V2422" s="39">
        <f>IF($A2422="","",IF(COUNTIF(변동분석!$E$7:$E$506,O2422)&gt;0,"Y","N"))</f>
        <v/>
      </c>
      <c r="W2422" s="39">
        <f>IF($A2422="","",IFERROR(INDEX(계정매핑!$D$5:$D$504,MATCH($F2422&amp;"",계정매핑!$A$5:$A$504,0)),"미매핑"))</f>
        <v/>
      </c>
      <c r="X2422" s="9">
        <f>IF($A2422="","",$F2422&amp;"")</f>
        <v/>
      </c>
    </row>
    <row r="2423">
      <c r="A2423" s="75" t="n">
        <v>2026</v>
      </c>
      <c r="B2423" s="75" t="n">
        <v>1</v>
      </c>
      <c r="C2423" s="75" t="inlineStr">
        <is>
          <t>5100000079</t>
        </is>
      </c>
      <c r="D2423" s="78" t="n">
        <v>46035</v>
      </c>
      <c r="E2423" s="75" t="inlineStr">
        <is>
          <t>KR</t>
        </is>
      </c>
      <c r="F2423" s="75" t="n">
        <v>62101000</v>
      </c>
      <c r="G2423" s="75" t="n">
        <v>1801</v>
      </c>
      <c r="H2423" s="76" t="n">
        <v>215000</v>
      </c>
      <c r="I2423" s="75" t="inlineStr">
        <is>
          <t>1월 국내출장 - M항공</t>
        </is>
      </c>
      <c r="J2423" s="75" t="inlineStr">
        <is>
          <t>V10001</t>
        </is>
      </c>
      <c r="K2423" s="75" t="inlineStr">
        <is>
          <t>M항공</t>
        </is>
      </c>
      <c r="M2423" s="9">
        <f>IF($A2423="","",VALUE($A2423&amp;"")*12+VALUE($B2423&amp;""))</f>
        <v/>
      </c>
      <c r="N2423" s="39">
        <f>IF($A2423="","",IFERROR(INDEX(부서매핑!$C$5:$C$504,MATCH($G2423&amp;"",부서매핑!$A$5:$A$504,0)),"미매핑"))</f>
        <v/>
      </c>
      <c r="O2423" s="9">
        <f>IF($A2423="","",N2423&amp;"|"&amp;$F2423)</f>
        <v/>
      </c>
      <c r="P2423" s="77">
        <f>IF($A2423="",0,$H2423*설정!$C$23)</f>
        <v/>
      </c>
      <c r="Q2423" s="39">
        <f>IF($A2423="","",IF(O2423&lt;&gt;원인분석!$C$9,"",IF(AND(M2423&gt;=원인분석!$C$10,M2423&lt;=원인분석!$C$11),"당기",IF(AND(M2423&gt;=원인분석!$C$12,M2423&lt;=원인분석!$C$13),"비교",""))))</f>
        <v/>
      </c>
      <c r="R2423" s="9">
        <f>IF(Q2423="","",$K2423&amp;"")</f>
        <v/>
      </c>
      <c r="S2423" s="9">
        <f>IF(Q2423="","",IF(MATCH(R2423,$R$5:$R$100000,0)=ROW()-4,ROW(),""))</f>
        <v/>
      </c>
      <c r="T2423" s="9">
        <f>IF(Q2423="당기",ABS(P2423)+ROW()/1000000000,"")</f>
        <v/>
      </c>
      <c r="U2423" s="9">
        <f>IF(Q2423="비교",ABS(P2423)+ROW()/1000000000,"")</f>
        <v/>
      </c>
      <c r="V2423" s="39">
        <f>IF($A2423="","",IF(COUNTIF(변동분석!$E$7:$E$506,O2423)&gt;0,"Y","N"))</f>
        <v/>
      </c>
      <c r="W2423" s="39">
        <f>IF($A2423="","",IFERROR(INDEX(계정매핑!$D$5:$D$504,MATCH($F2423&amp;"",계정매핑!$A$5:$A$504,0)),"미매핑"))</f>
        <v/>
      </c>
      <c r="X2423" s="9">
        <f>IF($A2423="","",$F2423&amp;"")</f>
        <v/>
      </c>
    </row>
    <row r="2424">
      <c r="A2424" s="75" t="n">
        <v>2026</v>
      </c>
      <c r="B2424" s="75" t="n">
        <v>1</v>
      </c>
      <c r="C2424" s="75" t="inlineStr">
        <is>
          <t>5100000080</t>
        </is>
      </c>
      <c r="D2424" s="78" t="n">
        <v>46035</v>
      </c>
      <c r="E2424" s="75" t="inlineStr">
        <is>
          <t>KR</t>
        </is>
      </c>
      <c r="F2424" s="75" t="n">
        <v>62201000</v>
      </c>
      <c r="G2424" s="75" t="n">
        <v>1101</v>
      </c>
      <c r="H2424" s="76" t="n">
        <v>215000</v>
      </c>
      <c r="I2424" s="75" t="inlineStr">
        <is>
          <t>1월 통신요금 - P통신</t>
        </is>
      </c>
      <c r="J2424" s="75" t="inlineStr">
        <is>
          <t>V10011</t>
        </is>
      </c>
      <c r="K2424" s="75" t="inlineStr">
        <is>
          <t>P통신</t>
        </is>
      </c>
      <c r="M2424" s="9">
        <f>IF($A2424="","",VALUE($A2424&amp;"")*12+VALUE($B2424&amp;""))</f>
        <v/>
      </c>
      <c r="N2424" s="39">
        <f>IF($A2424="","",IFERROR(INDEX(부서매핑!$C$5:$C$504,MATCH($G2424&amp;"",부서매핑!$A$5:$A$504,0)),"미매핑"))</f>
        <v/>
      </c>
      <c r="O2424" s="9">
        <f>IF($A2424="","",N2424&amp;"|"&amp;$F2424)</f>
        <v/>
      </c>
      <c r="P2424" s="77">
        <f>IF($A2424="",0,$H2424*설정!$C$23)</f>
        <v/>
      </c>
      <c r="Q2424" s="39">
        <f>IF($A2424="","",IF(O2424&lt;&gt;원인분석!$C$9,"",IF(AND(M2424&gt;=원인분석!$C$10,M2424&lt;=원인분석!$C$11),"당기",IF(AND(M2424&gt;=원인분석!$C$12,M2424&lt;=원인분석!$C$13),"비교",""))))</f>
        <v/>
      </c>
      <c r="R2424" s="9">
        <f>IF(Q2424="","",$K2424&amp;"")</f>
        <v/>
      </c>
      <c r="S2424" s="9">
        <f>IF(Q2424="","",IF(MATCH(R2424,$R$5:$R$100000,0)=ROW()-4,ROW(),""))</f>
        <v/>
      </c>
      <c r="T2424" s="9">
        <f>IF(Q2424="당기",ABS(P2424)+ROW()/1000000000,"")</f>
        <v/>
      </c>
      <c r="U2424" s="9">
        <f>IF(Q2424="비교",ABS(P2424)+ROW()/1000000000,"")</f>
        <v/>
      </c>
      <c r="V2424" s="39">
        <f>IF($A2424="","",IF(COUNTIF(변동분석!$E$7:$E$506,O2424)&gt;0,"Y","N"))</f>
        <v/>
      </c>
      <c r="W2424" s="39">
        <f>IF($A2424="","",IFERROR(INDEX(계정매핑!$D$5:$D$504,MATCH($F2424&amp;"",계정매핑!$A$5:$A$504,0)),"미매핑"))</f>
        <v/>
      </c>
      <c r="X2424" s="9">
        <f>IF($A2424="","",$F2424&amp;"")</f>
        <v/>
      </c>
    </row>
    <row r="2425">
      <c r="A2425" s="75" t="n">
        <v>2026</v>
      </c>
      <c r="B2425" s="75" t="n">
        <v>1</v>
      </c>
      <c r="C2425" s="75" t="inlineStr">
        <is>
          <t>5100000081</t>
        </is>
      </c>
      <c r="D2425" s="78" t="n">
        <v>46035</v>
      </c>
      <c r="E2425" s="75" t="inlineStr">
        <is>
          <t>KR</t>
        </is>
      </c>
      <c r="F2425" s="75" t="n">
        <v>62501000</v>
      </c>
      <c r="G2425" s="75" t="n">
        <v>1201</v>
      </c>
      <c r="H2425" s="76" t="n">
        <v>117000</v>
      </c>
      <c r="I2425" s="75" t="inlineStr">
        <is>
          <t>1월 회의 다과 - T케이터링</t>
        </is>
      </c>
      <c r="J2425" s="75" t="inlineStr">
        <is>
          <t>V10005</t>
        </is>
      </c>
      <c r="K2425" s="75" t="inlineStr">
        <is>
          <t>T케이터링</t>
        </is>
      </c>
      <c r="M2425" s="9">
        <f>IF($A2425="","",VALUE($A2425&amp;"")*12+VALUE($B2425&amp;""))</f>
        <v/>
      </c>
      <c r="N2425" s="39">
        <f>IF($A2425="","",IFERROR(INDEX(부서매핑!$C$5:$C$504,MATCH($G2425&amp;"",부서매핑!$A$5:$A$504,0)),"미매핑"))</f>
        <v/>
      </c>
      <c r="O2425" s="9">
        <f>IF($A2425="","",N2425&amp;"|"&amp;$F2425)</f>
        <v/>
      </c>
      <c r="P2425" s="77">
        <f>IF($A2425="",0,$H2425*설정!$C$23)</f>
        <v/>
      </c>
      <c r="Q2425" s="39">
        <f>IF($A2425="","",IF(O2425&lt;&gt;원인분석!$C$9,"",IF(AND(M2425&gt;=원인분석!$C$10,M2425&lt;=원인분석!$C$11),"당기",IF(AND(M2425&gt;=원인분석!$C$12,M2425&lt;=원인분석!$C$13),"비교",""))))</f>
        <v/>
      </c>
      <c r="R2425" s="9">
        <f>IF(Q2425="","",$K2425&amp;"")</f>
        <v/>
      </c>
      <c r="S2425" s="9">
        <f>IF(Q2425="","",IF(MATCH(R2425,$R$5:$R$100000,0)=ROW()-4,ROW(),""))</f>
        <v/>
      </c>
      <c r="T2425" s="9">
        <f>IF(Q2425="당기",ABS(P2425)+ROW()/1000000000,"")</f>
        <v/>
      </c>
      <c r="U2425" s="9">
        <f>IF(Q2425="비교",ABS(P2425)+ROW()/1000000000,"")</f>
        <v/>
      </c>
      <c r="V2425" s="39">
        <f>IF($A2425="","",IF(COUNTIF(변동분석!$E$7:$E$506,O2425)&gt;0,"Y","N"))</f>
        <v/>
      </c>
      <c r="W2425" s="39">
        <f>IF($A2425="","",IFERROR(INDEX(계정매핑!$D$5:$D$504,MATCH($F2425&amp;"",계정매핑!$A$5:$A$504,0)),"미매핑"))</f>
        <v/>
      </c>
      <c r="X2425" s="9">
        <f>IF($A2425="","",$F2425&amp;"")</f>
        <v/>
      </c>
    </row>
    <row r="2426">
      <c r="A2426" s="75" t="n">
        <v>2026</v>
      </c>
      <c r="B2426" s="75" t="n">
        <v>1</v>
      </c>
      <c r="C2426" s="75" t="inlineStr">
        <is>
          <t>5100000082</t>
        </is>
      </c>
      <c r="D2426" s="78" t="n">
        <v>46035</v>
      </c>
      <c r="E2426" s="75" t="inlineStr">
        <is>
          <t>KR</t>
        </is>
      </c>
      <c r="F2426" s="75" t="n">
        <v>62501000</v>
      </c>
      <c r="G2426" s="75" t="n">
        <v>1701</v>
      </c>
      <c r="H2426" s="76" t="n">
        <v>167000</v>
      </c>
      <c r="I2426" s="75" t="inlineStr">
        <is>
          <t>1월 회의 다과 - (법인카드)</t>
        </is>
      </c>
      <c r="J2426" s="75" t="inlineStr">
        <is>
          <t>V10008</t>
        </is>
      </c>
      <c r="K2426" s="75" t="inlineStr">
        <is>
          <t>(법인카드)</t>
        </is>
      </c>
      <c r="M2426" s="9">
        <f>IF($A2426="","",VALUE($A2426&amp;"")*12+VALUE($B2426&amp;""))</f>
        <v/>
      </c>
      <c r="N2426" s="39">
        <f>IF($A2426="","",IFERROR(INDEX(부서매핑!$C$5:$C$504,MATCH($G2426&amp;"",부서매핑!$A$5:$A$504,0)),"미매핑"))</f>
        <v/>
      </c>
      <c r="O2426" s="9">
        <f>IF($A2426="","",N2426&amp;"|"&amp;$F2426)</f>
        <v/>
      </c>
      <c r="P2426" s="77">
        <f>IF($A2426="",0,$H2426*설정!$C$23)</f>
        <v/>
      </c>
      <c r="Q2426" s="39">
        <f>IF($A2426="","",IF(O2426&lt;&gt;원인분석!$C$9,"",IF(AND(M2426&gt;=원인분석!$C$10,M2426&lt;=원인분석!$C$11),"당기",IF(AND(M2426&gt;=원인분석!$C$12,M2426&lt;=원인분석!$C$13),"비교",""))))</f>
        <v/>
      </c>
      <c r="R2426" s="9">
        <f>IF(Q2426="","",$K2426&amp;"")</f>
        <v/>
      </c>
      <c r="S2426" s="9">
        <f>IF(Q2426="","",IF(MATCH(R2426,$R$5:$R$100000,0)=ROW()-4,ROW(),""))</f>
        <v/>
      </c>
      <c r="T2426" s="9">
        <f>IF(Q2426="당기",ABS(P2426)+ROW()/1000000000,"")</f>
        <v/>
      </c>
      <c r="U2426" s="9">
        <f>IF(Q2426="비교",ABS(P2426)+ROW()/1000000000,"")</f>
        <v/>
      </c>
      <c r="V2426" s="39">
        <f>IF($A2426="","",IF(COUNTIF(변동분석!$E$7:$E$506,O2426)&gt;0,"Y","N"))</f>
        <v/>
      </c>
      <c r="W2426" s="39">
        <f>IF($A2426="","",IFERROR(INDEX(계정매핑!$D$5:$D$504,MATCH($F2426&amp;"",계정매핑!$A$5:$A$504,0)),"미매핑"))</f>
        <v/>
      </c>
      <c r="X2426" s="9">
        <f>IF($A2426="","",$F2426&amp;"")</f>
        <v/>
      </c>
    </row>
    <row r="2427">
      <c r="A2427" s="75" t="n">
        <v>2026</v>
      </c>
      <c r="B2427" s="75" t="n">
        <v>1</v>
      </c>
      <c r="C2427" s="75" t="inlineStr">
        <is>
          <t>5100000083</t>
        </is>
      </c>
      <c r="D2427" s="78" t="n">
        <v>46036</v>
      </c>
      <c r="E2427" s="75" t="inlineStr">
        <is>
          <t>KR</t>
        </is>
      </c>
      <c r="F2427" s="75" t="n">
        <v>62101000</v>
      </c>
      <c r="G2427" s="75" t="n">
        <v>1401</v>
      </c>
      <c r="H2427" s="76" t="n">
        <v>418000</v>
      </c>
      <c r="I2427" s="75" t="inlineStr">
        <is>
          <t>1월 국내출장 - M항공</t>
        </is>
      </c>
      <c r="J2427" s="75" t="inlineStr">
        <is>
          <t>V10001</t>
        </is>
      </c>
      <c r="K2427" s="75" t="inlineStr">
        <is>
          <t>M항공</t>
        </is>
      </c>
      <c r="M2427" s="9">
        <f>IF($A2427="","",VALUE($A2427&amp;"")*12+VALUE($B2427&amp;""))</f>
        <v/>
      </c>
      <c r="N2427" s="39">
        <f>IF($A2427="","",IFERROR(INDEX(부서매핑!$C$5:$C$504,MATCH($G2427&amp;"",부서매핑!$A$5:$A$504,0)),"미매핑"))</f>
        <v/>
      </c>
      <c r="O2427" s="9">
        <f>IF($A2427="","",N2427&amp;"|"&amp;$F2427)</f>
        <v/>
      </c>
      <c r="P2427" s="77">
        <f>IF($A2427="",0,$H2427*설정!$C$23)</f>
        <v/>
      </c>
      <c r="Q2427" s="39">
        <f>IF($A2427="","",IF(O2427&lt;&gt;원인분석!$C$9,"",IF(AND(M2427&gt;=원인분석!$C$10,M2427&lt;=원인분석!$C$11),"당기",IF(AND(M2427&gt;=원인분석!$C$12,M2427&lt;=원인분석!$C$13),"비교",""))))</f>
        <v/>
      </c>
      <c r="R2427" s="9">
        <f>IF(Q2427="","",$K2427&amp;"")</f>
        <v/>
      </c>
      <c r="S2427" s="9">
        <f>IF(Q2427="","",IF(MATCH(R2427,$R$5:$R$100000,0)=ROW()-4,ROW(),""))</f>
        <v/>
      </c>
      <c r="T2427" s="9">
        <f>IF(Q2427="당기",ABS(P2427)+ROW()/1000000000,"")</f>
        <v/>
      </c>
      <c r="U2427" s="9">
        <f>IF(Q2427="비교",ABS(P2427)+ROW()/1000000000,"")</f>
        <v/>
      </c>
      <c r="V2427" s="39">
        <f>IF($A2427="","",IF(COUNTIF(변동분석!$E$7:$E$506,O2427)&gt;0,"Y","N"))</f>
        <v/>
      </c>
      <c r="W2427" s="39">
        <f>IF($A2427="","",IFERROR(INDEX(계정매핑!$D$5:$D$504,MATCH($F2427&amp;"",계정매핑!$A$5:$A$504,0)),"미매핑"))</f>
        <v/>
      </c>
      <c r="X2427" s="9">
        <f>IF($A2427="","",$F2427&amp;"")</f>
        <v/>
      </c>
    </row>
    <row r="2428">
      <c r="A2428" s="75" t="n">
        <v>2026</v>
      </c>
      <c r="B2428" s="75" t="n">
        <v>1</v>
      </c>
      <c r="C2428" s="75" t="inlineStr">
        <is>
          <t>5100000084</t>
        </is>
      </c>
      <c r="D2428" s="78" t="n">
        <v>46036</v>
      </c>
      <c r="E2428" s="75" t="inlineStr">
        <is>
          <t>KR</t>
        </is>
      </c>
      <c r="F2428" s="75" t="n">
        <v>62101000</v>
      </c>
      <c r="G2428" s="75" t="n">
        <v>1401</v>
      </c>
      <c r="H2428" s="76" t="n">
        <v>281000</v>
      </c>
      <c r="I2428" s="75" t="inlineStr">
        <is>
          <t>1월 국내출장 - (법인카드)</t>
        </is>
      </c>
      <c r="J2428" s="75" t="inlineStr">
        <is>
          <t>V10008</t>
        </is>
      </c>
      <c r="K2428" s="75" t="inlineStr">
        <is>
          <t>(법인카드)</t>
        </is>
      </c>
      <c r="M2428" s="9">
        <f>IF($A2428="","",VALUE($A2428&amp;"")*12+VALUE($B2428&amp;""))</f>
        <v/>
      </c>
      <c r="N2428" s="39">
        <f>IF($A2428="","",IFERROR(INDEX(부서매핑!$C$5:$C$504,MATCH($G2428&amp;"",부서매핑!$A$5:$A$504,0)),"미매핑"))</f>
        <v/>
      </c>
      <c r="O2428" s="9">
        <f>IF($A2428="","",N2428&amp;"|"&amp;$F2428)</f>
        <v/>
      </c>
      <c r="P2428" s="77">
        <f>IF($A2428="",0,$H2428*설정!$C$23)</f>
        <v/>
      </c>
      <c r="Q2428" s="39">
        <f>IF($A2428="","",IF(O2428&lt;&gt;원인분석!$C$9,"",IF(AND(M2428&gt;=원인분석!$C$10,M2428&lt;=원인분석!$C$11),"당기",IF(AND(M2428&gt;=원인분석!$C$12,M2428&lt;=원인분석!$C$13),"비교",""))))</f>
        <v/>
      </c>
      <c r="R2428" s="9">
        <f>IF(Q2428="","",$K2428&amp;"")</f>
        <v/>
      </c>
      <c r="S2428" s="9">
        <f>IF(Q2428="","",IF(MATCH(R2428,$R$5:$R$100000,0)=ROW()-4,ROW(),""))</f>
        <v/>
      </c>
      <c r="T2428" s="9">
        <f>IF(Q2428="당기",ABS(P2428)+ROW()/1000000000,"")</f>
        <v/>
      </c>
      <c r="U2428" s="9">
        <f>IF(Q2428="비교",ABS(P2428)+ROW()/1000000000,"")</f>
        <v/>
      </c>
      <c r="V2428" s="39">
        <f>IF($A2428="","",IF(COUNTIF(변동분석!$E$7:$E$506,O2428)&gt;0,"Y","N"))</f>
        <v/>
      </c>
      <c r="W2428" s="39">
        <f>IF($A2428="","",IFERROR(INDEX(계정매핑!$D$5:$D$504,MATCH($F2428&amp;"",계정매핑!$A$5:$A$504,0)),"미매핑"))</f>
        <v/>
      </c>
      <c r="X2428" s="9">
        <f>IF($A2428="","",$F2428&amp;"")</f>
        <v/>
      </c>
    </row>
    <row r="2429">
      <c r="A2429" s="75" t="n">
        <v>2026</v>
      </c>
      <c r="B2429" s="75" t="n">
        <v>1</v>
      </c>
      <c r="C2429" s="75" t="inlineStr">
        <is>
          <t>5100000085</t>
        </is>
      </c>
      <c r="D2429" s="78" t="n">
        <v>46036</v>
      </c>
      <c r="E2429" s="75" t="inlineStr">
        <is>
          <t>KR</t>
        </is>
      </c>
      <c r="F2429" s="75" t="n">
        <v>62102000</v>
      </c>
      <c r="G2429" s="75" t="n">
        <v>1801</v>
      </c>
      <c r="H2429" s="76" t="n">
        <v>51000</v>
      </c>
      <c r="I2429" s="75" t="inlineStr">
        <is>
          <t>1월 해외출장 - M항공</t>
        </is>
      </c>
      <c r="J2429" s="75" t="inlineStr">
        <is>
          <t>V10001</t>
        </is>
      </c>
      <c r="K2429" s="75" t="inlineStr">
        <is>
          <t>M항공</t>
        </is>
      </c>
      <c r="M2429" s="9">
        <f>IF($A2429="","",VALUE($A2429&amp;"")*12+VALUE($B2429&amp;""))</f>
        <v/>
      </c>
      <c r="N2429" s="39">
        <f>IF($A2429="","",IFERROR(INDEX(부서매핑!$C$5:$C$504,MATCH($G2429&amp;"",부서매핑!$A$5:$A$504,0)),"미매핑"))</f>
        <v/>
      </c>
      <c r="O2429" s="9">
        <f>IF($A2429="","",N2429&amp;"|"&amp;$F2429)</f>
        <v/>
      </c>
      <c r="P2429" s="77">
        <f>IF($A2429="",0,$H2429*설정!$C$23)</f>
        <v/>
      </c>
      <c r="Q2429" s="39">
        <f>IF($A2429="","",IF(O2429&lt;&gt;원인분석!$C$9,"",IF(AND(M2429&gt;=원인분석!$C$10,M2429&lt;=원인분석!$C$11),"당기",IF(AND(M2429&gt;=원인분석!$C$12,M2429&lt;=원인분석!$C$13),"비교",""))))</f>
        <v/>
      </c>
      <c r="R2429" s="9">
        <f>IF(Q2429="","",$K2429&amp;"")</f>
        <v/>
      </c>
      <c r="S2429" s="9">
        <f>IF(Q2429="","",IF(MATCH(R2429,$R$5:$R$100000,0)=ROW()-4,ROW(),""))</f>
        <v/>
      </c>
      <c r="T2429" s="9">
        <f>IF(Q2429="당기",ABS(P2429)+ROW()/1000000000,"")</f>
        <v/>
      </c>
      <c r="U2429" s="9">
        <f>IF(Q2429="비교",ABS(P2429)+ROW()/1000000000,"")</f>
        <v/>
      </c>
      <c r="V2429" s="39">
        <f>IF($A2429="","",IF(COUNTIF(변동분석!$E$7:$E$506,O2429)&gt;0,"Y","N"))</f>
        <v/>
      </c>
      <c r="W2429" s="39">
        <f>IF($A2429="","",IFERROR(INDEX(계정매핑!$D$5:$D$504,MATCH($F2429&amp;"",계정매핑!$A$5:$A$504,0)),"미매핑"))</f>
        <v/>
      </c>
      <c r="X2429" s="9">
        <f>IF($A2429="","",$F2429&amp;"")</f>
        <v/>
      </c>
    </row>
    <row r="2430">
      <c r="A2430" s="75" t="n">
        <v>2026</v>
      </c>
      <c r="B2430" s="75" t="n">
        <v>1</v>
      </c>
      <c r="C2430" s="75" t="inlineStr">
        <is>
          <t>5100000086</t>
        </is>
      </c>
      <c r="D2430" s="78" t="n">
        <v>46036</v>
      </c>
      <c r="E2430" s="75" t="inlineStr">
        <is>
          <t>KR</t>
        </is>
      </c>
      <c r="F2430" s="75" t="n">
        <v>62201000</v>
      </c>
      <c r="G2430" s="75" t="n">
        <v>1301</v>
      </c>
      <c r="H2430" s="76" t="n">
        <v>148000</v>
      </c>
      <c r="I2430" s="75" t="inlineStr">
        <is>
          <t>1월 통신요금 - P통신</t>
        </is>
      </c>
      <c r="J2430" s="75" t="inlineStr">
        <is>
          <t>V10011</t>
        </is>
      </c>
      <c r="K2430" s="75" t="inlineStr">
        <is>
          <t>P통신</t>
        </is>
      </c>
      <c r="M2430" s="9">
        <f>IF($A2430="","",VALUE($A2430&amp;"")*12+VALUE($B2430&amp;""))</f>
        <v/>
      </c>
      <c r="N2430" s="39">
        <f>IF($A2430="","",IFERROR(INDEX(부서매핑!$C$5:$C$504,MATCH($G2430&amp;"",부서매핑!$A$5:$A$504,0)),"미매핑"))</f>
        <v/>
      </c>
      <c r="O2430" s="9">
        <f>IF($A2430="","",N2430&amp;"|"&amp;$F2430)</f>
        <v/>
      </c>
      <c r="P2430" s="77">
        <f>IF($A2430="",0,$H2430*설정!$C$23)</f>
        <v/>
      </c>
      <c r="Q2430" s="39">
        <f>IF($A2430="","",IF(O2430&lt;&gt;원인분석!$C$9,"",IF(AND(M2430&gt;=원인분석!$C$10,M2430&lt;=원인분석!$C$11),"당기",IF(AND(M2430&gt;=원인분석!$C$12,M2430&lt;=원인분석!$C$13),"비교",""))))</f>
        <v/>
      </c>
      <c r="R2430" s="9">
        <f>IF(Q2430="","",$K2430&amp;"")</f>
        <v/>
      </c>
      <c r="S2430" s="9">
        <f>IF(Q2430="","",IF(MATCH(R2430,$R$5:$R$100000,0)=ROW()-4,ROW(),""))</f>
        <v/>
      </c>
      <c r="T2430" s="9">
        <f>IF(Q2430="당기",ABS(P2430)+ROW()/1000000000,"")</f>
        <v/>
      </c>
      <c r="U2430" s="9">
        <f>IF(Q2430="비교",ABS(P2430)+ROW()/1000000000,"")</f>
        <v/>
      </c>
      <c r="V2430" s="39">
        <f>IF($A2430="","",IF(COUNTIF(변동분석!$E$7:$E$506,O2430)&gt;0,"Y","N"))</f>
        <v/>
      </c>
      <c r="W2430" s="39">
        <f>IF($A2430="","",IFERROR(INDEX(계정매핑!$D$5:$D$504,MATCH($F2430&amp;"",계정매핑!$A$5:$A$504,0)),"미매핑"))</f>
        <v/>
      </c>
      <c r="X2430" s="9">
        <f>IF($A2430="","",$F2430&amp;"")</f>
        <v/>
      </c>
    </row>
    <row r="2431">
      <c r="A2431" s="75" t="n">
        <v>2026</v>
      </c>
      <c r="B2431" s="75" t="n">
        <v>1</v>
      </c>
      <c r="C2431" s="75" t="inlineStr">
        <is>
          <t>5100000087</t>
        </is>
      </c>
      <c r="D2431" s="78" t="n">
        <v>46036</v>
      </c>
      <c r="E2431" s="75" t="inlineStr">
        <is>
          <t>KR</t>
        </is>
      </c>
      <c r="F2431" s="75" t="n">
        <v>62601000</v>
      </c>
      <c r="G2431" s="75" t="n">
        <v>1602</v>
      </c>
      <c r="H2431" s="76" t="n">
        <v>1411000</v>
      </c>
      <c r="I2431" s="75" t="inlineStr">
        <is>
          <t>1월 업무추진 - (법인카드)</t>
        </is>
      </c>
      <c r="J2431" s="75" t="inlineStr">
        <is>
          <t>V10008</t>
        </is>
      </c>
      <c r="K2431" s="75" t="inlineStr">
        <is>
          <t>(법인카드)</t>
        </is>
      </c>
      <c r="M2431" s="9">
        <f>IF($A2431="","",VALUE($A2431&amp;"")*12+VALUE($B2431&amp;""))</f>
        <v/>
      </c>
      <c r="N2431" s="39">
        <f>IF($A2431="","",IFERROR(INDEX(부서매핑!$C$5:$C$504,MATCH($G2431&amp;"",부서매핑!$A$5:$A$504,0)),"미매핑"))</f>
        <v/>
      </c>
      <c r="O2431" s="9">
        <f>IF($A2431="","",N2431&amp;"|"&amp;$F2431)</f>
        <v/>
      </c>
      <c r="P2431" s="77">
        <f>IF($A2431="",0,$H2431*설정!$C$23)</f>
        <v/>
      </c>
      <c r="Q2431" s="39">
        <f>IF($A2431="","",IF(O2431&lt;&gt;원인분석!$C$9,"",IF(AND(M2431&gt;=원인분석!$C$10,M2431&lt;=원인분석!$C$11),"당기",IF(AND(M2431&gt;=원인분석!$C$12,M2431&lt;=원인분석!$C$13),"비교",""))))</f>
        <v/>
      </c>
      <c r="R2431" s="9">
        <f>IF(Q2431="","",$K2431&amp;"")</f>
        <v/>
      </c>
      <c r="S2431" s="9">
        <f>IF(Q2431="","",IF(MATCH(R2431,$R$5:$R$100000,0)=ROW()-4,ROW(),""))</f>
        <v/>
      </c>
      <c r="T2431" s="9">
        <f>IF(Q2431="당기",ABS(P2431)+ROW()/1000000000,"")</f>
        <v/>
      </c>
      <c r="U2431" s="9">
        <f>IF(Q2431="비교",ABS(P2431)+ROW()/1000000000,"")</f>
        <v/>
      </c>
      <c r="V2431" s="39">
        <f>IF($A2431="","",IF(COUNTIF(변동분석!$E$7:$E$506,O2431)&gt;0,"Y","N"))</f>
        <v/>
      </c>
      <c r="W2431" s="39">
        <f>IF($A2431="","",IFERROR(INDEX(계정매핑!$D$5:$D$504,MATCH($F2431&amp;"",계정매핑!$A$5:$A$504,0)),"미매핑"))</f>
        <v/>
      </c>
      <c r="X2431" s="9">
        <f>IF($A2431="","",$F2431&amp;"")</f>
        <v/>
      </c>
    </row>
    <row r="2432">
      <c r="A2432" s="75" t="n">
        <v>2026</v>
      </c>
      <c r="B2432" s="75" t="n">
        <v>1</v>
      </c>
      <c r="C2432" s="75" t="inlineStr">
        <is>
          <t>5100000088</t>
        </is>
      </c>
      <c r="D2432" s="78" t="n">
        <v>46036</v>
      </c>
      <c r="E2432" s="75" t="inlineStr">
        <is>
          <t>KR</t>
        </is>
      </c>
      <c r="F2432" s="75" t="n">
        <v>62902000</v>
      </c>
      <c r="G2432" s="75" t="n">
        <v>1801</v>
      </c>
      <c r="H2432" s="76" t="n">
        <v>1761000</v>
      </c>
      <c r="I2432" s="75" t="inlineStr">
        <is>
          <t>1월 콜 위탁 수수료(건별)</t>
        </is>
      </c>
      <c r="J2432" s="75" t="inlineStr">
        <is>
          <t>V10013</t>
        </is>
      </c>
      <c r="K2432" s="75" t="inlineStr">
        <is>
          <t>J콜센터</t>
        </is>
      </c>
      <c r="M2432" s="9">
        <f>IF($A2432="","",VALUE($A2432&amp;"")*12+VALUE($B2432&amp;""))</f>
        <v/>
      </c>
      <c r="N2432" s="39">
        <f>IF($A2432="","",IFERROR(INDEX(부서매핑!$C$5:$C$504,MATCH($G2432&amp;"",부서매핑!$A$5:$A$504,0)),"미매핑"))</f>
        <v/>
      </c>
      <c r="O2432" s="9">
        <f>IF($A2432="","",N2432&amp;"|"&amp;$F2432)</f>
        <v/>
      </c>
      <c r="P2432" s="77">
        <f>IF($A2432="",0,$H2432*설정!$C$23)</f>
        <v/>
      </c>
      <c r="Q2432" s="39">
        <f>IF($A2432="","",IF(O2432&lt;&gt;원인분석!$C$9,"",IF(AND(M2432&gt;=원인분석!$C$10,M2432&lt;=원인분석!$C$11),"당기",IF(AND(M2432&gt;=원인분석!$C$12,M2432&lt;=원인분석!$C$13),"비교",""))))</f>
        <v/>
      </c>
      <c r="R2432" s="9">
        <f>IF(Q2432="","",$K2432&amp;"")</f>
        <v/>
      </c>
      <c r="S2432" s="9">
        <f>IF(Q2432="","",IF(MATCH(R2432,$R$5:$R$100000,0)=ROW()-4,ROW(),""))</f>
        <v/>
      </c>
      <c r="T2432" s="9">
        <f>IF(Q2432="당기",ABS(P2432)+ROW()/1000000000,"")</f>
        <v/>
      </c>
      <c r="U2432" s="9">
        <f>IF(Q2432="비교",ABS(P2432)+ROW()/1000000000,"")</f>
        <v/>
      </c>
      <c r="V2432" s="39">
        <f>IF($A2432="","",IF(COUNTIF(변동분석!$E$7:$E$506,O2432)&gt;0,"Y","N"))</f>
        <v/>
      </c>
      <c r="W2432" s="39">
        <f>IF($A2432="","",IFERROR(INDEX(계정매핑!$D$5:$D$504,MATCH($F2432&amp;"",계정매핑!$A$5:$A$504,0)),"미매핑"))</f>
        <v/>
      </c>
      <c r="X2432" s="9">
        <f>IF($A2432="","",$F2432&amp;"")</f>
        <v/>
      </c>
    </row>
    <row r="2433">
      <c r="A2433" s="75" t="n">
        <v>2026</v>
      </c>
      <c r="B2433" s="75" t="n">
        <v>1</v>
      </c>
      <c r="C2433" s="75" t="inlineStr">
        <is>
          <t>5100000089</t>
        </is>
      </c>
      <c r="D2433" s="78" t="n">
        <v>46036</v>
      </c>
      <c r="E2433" s="75" t="inlineStr">
        <is>
          <t>KR</t>
        </is>
      </c>
      <c r="F2433" s="75" t="n">
        <v>63001000</v>
      </c>
      <c r="G2433" s="75" t="n">
        <v>1701</v>
      </c>
      <c r="H2433" s="76" t="n">
        <v>18901000</v>
      </c>
      <c r="I2433" s="75" t="inlineStr">
        <is>
          <t>1월 SW 유지보수 - Z시스템</t>
        </is>
      </c>
      <c r="J2433" s="75" t="inlineStr">
        <is>
          <t>V10021</t>
        </is>
      </c>
      <c r="K2433" s="75" t="inlineStr">
        <is>
          <t>Z시스템</t>
        </is>
      </c>
      <c r="M2433" s="9">
        <f>IF($A2433="","",VALUE($A2433&amp;"")*12+VALUE($B2433&amp;""))</f>
        <v/>
      </c>
      <c r="N2433" s="39">
        <f>IF($A2433="","",IFERROR(INDEX(부서매핑!$C$5:$C$504,MATCH($G2433&amp;"",부서매핑!$A$5:$A$504,0)),"미매핑"))</f>
        <v/>
      </c>
      <c r="O2433" s="9">
        <f>IF($A2433="","",N2433&amp;"|"&amp;$F2433)</f>
        <v/>
      </c>
      <c r="P2433" s="77">
        <f>IF($A2433="",0,$H2433*설정!$C$23)</f>
        <v/>
      </c>
      <c r="Q2433" s="39">
        <f>IF($A2433="","",IF(O2433&lt;&gt;원인분석!$C$9,"",IF(AND(M2433&gt;=원인분석!$C$10,M2433&lt;=원인분석!$C$11),"당기",IF(AND(M2433&gt;=원인분석!$C$12,M2433&lt;=원인분석!$C$13),"비교",""))))</f>
        <v/>
      </c>
      <c r="R2433" s="9">
        <f>IF(Q2433="","",$K2433&amp;"")</f>
        <v/>
      </c>
      <c r="S2433" s="9">
        <f>IF(Q2433="","",IF(MATCH(R2433,$R$5:$R$100000,0)=ROW()-4,ROW(),""))</f>
        <v/>
      </c>
      <c r="T2433" s="9">
        <f>IF(Q2433="당기",ABS(P2433)+ROW()/1000000000,"")</f>
        <v/>
      </c>
      <c r="U2433" s="9">
        <f>IF(Q2433="비교",ABS(P2433)+ROW()/1000000000,"")</f>
        <v/>
      </c>
      <c r="V2433" s="39">
        <f>IF($A2433="","",IF(COUNTIF(변동분석!$E$7:$E$506,O2433)&gt;0,"Y","N"))</f>
        <v/>
      </c>
      <c r="W2433" s="39">
        <f>IF($A2433="","",IFERROR(INDEX(계정매핑!$D$5:$D$504,MATCH($F2433&amp;"",계정매핑!$A$5:$A$504,0)),"미매핑"))</f>
        <v/>
      </c>
      <c r="X2433" s="9">
        <f>IF($A2433="","",$F2433&amp;"")</f>
        <v/>
      </c>
    </row>
    <row r="2434">
      <c r="A2434" s="75" t="n">
        <v>2026</v>
      </c>
      <c r="B2434" s="75" t="n">
        <v>1</v>
      </c>
      <c r="C2434" s="75" t="inlineStr">
        <is>
          <t>5100000090</t>
        </is>
      </c>
      <c r="D2434" s="78" t="n">
        <v>46037</v>
      </c>
      <c r="E2434" s="75" t="inlineStr">
        <is>
          <t>KR</t>
        </is>
      </c>
      <c r="F2434" s="75" t="n">
        <v>62101000</v>
      </c>
      <c r="G2434" s="75" t="n">
        <v>1401</v>
      </c>
      <c r="H2434" s="76" t="n">
        <v>401000</v>
      </c>
      <c r="I2434" s="75" t="inlineStr">
        <is>
          <t>1월 국내출장 - L여행사</t>
        </is>
      </c>
      <c r="J2434" s="75" t="inlineStr">
        <is>
          <t>V10014</t>
        </is>
      </c>
      <c r="K2434" s="75" t="inlineStr">
        <is>
          <t>L여행사</t>
        </is>
      </c>
      <c r="M2434" s="9">
        <f>IF($A2434="","",VALUE($A2434&amp;"")*12+VALUE($B2434&amp;""))</f>
        <v/>
      </c>
      <c r="N2434" s="39">
        <f>IF($A2434="","",IFERROR(INDEX(부서매핑!$C$5:$C$504,MATCH($G2434&amp;"",부서매핑!$A$5:$A$504,0)),"미매핑"))</f>
        <v/>
      </c>
      <c r="O2434" s="9">
        <f>IF($A2434="","",N2434&amp;"|"&amp;$F2434)</f>
        <v/>
      </c>
      <c r="P2434" s="77">
        <f>IF($A2434="",0,$H2434*설정!$C$23)</f>
        <v/>
      </c>
      <c r="Q2434" s="39">
        <f>IF($A2434="","",IF(O2434&lt;&gt;원인분석!$C$9,"",IF(AND(M2434&gt;=원인분석!$C$10,M2434&lt;=원인분석!$C$11),"당기",IF(AND(M2434&gt;=원인분석!$C$12,M2434&lt;=원인분석!$C$13),"비교",""))))</f>
        <v/>
      </c>
      <c r="R2434" s="9">
        <f>IF(Q2434="","",$K2434&amp;"")</f>
        <v/>
      </c>
      <c r="S2434" s="9">
        <f>IF(Q2434="","",IF(MATCH(R2434,$R$5:$R$100000,0)=ROW()-4,ROW(),""))</f>
        <v/>
      </c>
      <c r="T2434" s="9">
        <f>IF(Q2434="당기",ABS(P2434)+ROW()/1000000000,"")</f>
        <v/>
      </c>
      <c r="U2434" s="9">
        <f>IF(Q2434="비교",ABS(P2434)+ROW()/1000000000,"")</f>
        <v/>
      </c>
      <c r="V2434" s="39">
        <f>IF($A2434="","",IF(COUNTIF(변동분석!$E$7:$E$506,O2434)&gt;0,"Y","N"))</f>
        <v/>
      </c>
      <c r="W2434" s="39">
        <f>IF($A2434="","",IFERROR(INDEX(계정매핑!$D$5:$D$504,MATCH($F2434&amp;"",계정매핑!$A$5:$A$504,0)),"미매핑"))</f>
        <v/>
      </c>
      <c r="X2434" s="9">
        <f>IF($A2434="","",$F2434&amp;"")</f>
        <v/>
      </c>
    </row>
    <row r="2435">
      <c r="A2435" s="75" t="n">
        <v>2026</v>
      </c>
      <c r="B2435" s="75" t="n">
        <v>1</v>
      </c>
      <c r="C2435" s="75" t="inlineStr">
        <is>
          <t>5100000091</t>
        </is>
      </c>
      <c r="D2435" s="78" t="n">
        <v>46037</v>
      </c>
      <c r="E2435" s="75" t="inlineStr">
        <is>
          <t>KR</t>
        </is>
      </c>
      <c r="F2435" s="75" t="n">
        <v>62101000</v>
      </c>
      <c r="G2435" s="75" t="n">
        <v>1701</v>
      </c>
      <c r="H2435" s="76" t="n">
        <v>232000</v>
      </c>
      <c r="I2435" s="75" t="inlineStr">
        <is>
          <t>1월 국내출장 - M항공</t>
        </is>
      </c>
      <c r="J2435" s="75" t="inlineStr">
        <is>
          <t>V10001</t>
        </is>
      </c>
      <c r="K2435" s="75" t="inlineStr">
        <is>
          <t>M항공</t>
        </is>
      </c>
      <c r="M2435" s="9">
        <f>IF($A2435="","",VALUE($A2435&amp;"")*12+VALUE($B2435&amp;""))</f>
        <v/>
      </c>
      <c r="N2435" s="39">
        <f>IF($A2435="","",IFERROR(INDEX(부서매핑!$C$5:$C$504,MATCH($G2435&amp;"",부서매핑!$A$5:$A$504,0)),"미매핑"))</f>
        <v/>
      </c>
      <c r="O2435" s="9">
        <f>IF($A2435="","",N2435&amp;"|"&amp;$F2435)</f>
        <v/>
      </c>
      <c r="P2435" s="77">
        <f>IF($A2435="",0,$H2435*설정!$C$23)</f>
        <v/>
      </c>
      <c r="Q2435" s="39">
        <f>IF($A2435="","",IF(O2435&lt;&gt;원인분석!$C$9,"",IF(AND(M2435&gt;=원인분석!$C$10,M2435&lt;=원인분석!$C$11),"당기",IF(AND(M2435&gt;=원인분석!$C$12,M2435&lt;=원인분석!$C$13),"비교",""))))</f>
        <v/>
      </c>
      <c r="R2435" s="9">
        <f>IF(Q2435="","",$K2435&amp;"")</f>
        <v/>
      </c>
      <c r="S2435" s="9">
        <f>IF(Q2435="","",IF(MATCH(R2435,$R$5:$R$100000,0)=ROW()-4,ROW(),""))</f>
        <v/>
      </c>
      <c r="T2435" s="9">
        <f>IF(Q2435="당기",ABS(P2435)+ROW()/1000000000,"")</f>
        <v/>
      </c>
      <c r="U2435" s="9">
        <f>IF(Q2435="비교",ABS(P2435)+ROW()/1000000000,"")</f>
        <v/>
      </c>
      <c r="V2435" s="39">
        <f>IF($A2435="","",IF(COUNTIF(변동분석!$E$7:$E$506,O2435)&gt;0,"Y","N"))</f>
        <v/>
      </c>
      <c r="W2435" s="39">
        <f>IF($A2435="","",IFERROR(INDEX(계정매핑!$D$5:$D$504,MATCH($F2435&amp;"",계정매핑!$A$5:$A$504,0)),"미매핑"))</f>
        <v/>
      </c>
      <c r="X2435" s="9">
        <f>IF($A2435="","",$F2435&amp;"")</f>
        <v/>
      </c>
    </row>
    <row r="2436">
      <c r="A2436" s="75" t="n">
        <v>2026</v>
      </c>
      <c r="B2436" s="75" t="n">
        <v>1</v>
      </c>
      <c r="C2436" s="75" t="inlineStr">
        <is>
          <t>5100000092</t>
        </is>
      </c>
      <c r="D2436" s="78" t="n">
        <v>46037</v>
      </c>
      <c r="E2436" s="75" t="inlineStr">
        <is>
          <t>KR</t>
        </is>
      </c>
      <c r="F2436" s="75" t="n">
        <v>62102000</v>
      </c>
      <c r="G2436" s="75" t="n">
        <v>1301</v>
      </c>
      <c r="H2436" s="76" t="n">
        <v>72000</v>
      </c>
      <c r="I2436" s="75" t="inlineStr">
        <is>
          <t>1월 해외출장 - N호텔</t>
        </is>
      </c>
      <c r="J2436" s="75" t="inlineStr">
        <is>
          <t>V10007</t>
        </is>
      </c>
      <c r="K2436" s="75" t="inlineStr">
        <is>
          <t>N호텔</t>
        </is>
      </c>
      <c r="M2436" s="9">
        <f>IF($A2436="","",VALUE($A2436&amp;"")*12+VALUE($B2436&amp;""))</f>
        <v/>
      </c>
      <c r="N2436" s="39">
        <f>IF($A2436="","",IFERROR(INDEX(부서매핑!$C$5:$C$504,MATCH($G2436&amp;"",부서매핑!$A$5:$A$504,0)),"미매핑"))</f>
        <v/>
      </c>
      <c r="O2436" s="9">
        <f>IF($A2436="","",N2436&amp;"|"&amp;$F2436)</f>
        <v/>
      </c>
      <c r="P2436" s="77">
        <f>IF($A2436="",0,$H2436*설정!$C$23)</f>
        <v/>
      </c>
      <c r="Q2436" s="39">
        <f>IF($A2436="","",IF(O2436&lt;&gt;원인분석!$C$9,"",IF(AND(M2436&gt;=원인분석!$C$10,M2436&lt;=원인분석!$C$11),"당기",IF(AND(M2436&gt;=원인분석!$C$12,M2436&lt;=원인분석!$C$13),"비교",""))))</f>
        <v/>
      </c>
      <c r="R2436" s="9">
        <f>IF(Q2436="","",$K2436&amp;"")</f>
        <v/>
      </c>
      <c r="S2436" s="9">
        <f>IF(Q2436="","",IF(MATCH(R2436,$R$5:$R$100000,0)=ROW()-4,ROW(),""))</f>
        <v/>
      </c>
      <c r="T2436" s="9">
        <f>IF(Q2436="당기",ABS(P2436)+ROW()/1000000000,"")</f>
        <v/>
      </c>
      <c r="U2436" s="9">
        <f>IF(Q2436="비교",ABS(P2436)+ROW()/1000000000,"")</f>
        <v/>
      </c>
      <c r="V2436" s="39">
        <f>IF($A2436="","",IF(COUNTIF(변동분석!$E$7:$E$506,O2436)&gt;0,"Y","N"))</f>
        <v/>
      </c>
      <c r="W2436" s="39">
        <f>IF($A2436="","",IFERROR(INDEX(계정매핑!$D$5:$D$504,MATCH($F2436&amp;"",계정매핑!$A$5:$A$504,0)),"미매핑"))</f>
        <v/>
      </c>
      <c r="X2436" s="9">
        <f>IF($A2436="","",$F2436&amp;"")</f>
        <v/>
      </c>
    </row>
    <row r="2437">
      <c r="A2437" s="75" t="n">
        <v>2026</v>
      </c>
      <c r="B2437" s="75" t="n">
        <v>1</v>
      </c>
      <c r="C2437" s="75" t="inlineStr">
        <is>
          <t>5100000093</t>
        </is>
      </c>
      <c r="D2437" s="78" t="n">
        <v>46037</v>
      </c>
      <c r="E2437" s="75" t="inlineStr">
        <is>
          <t>KR</t>
        </is>
      </c>
      <c r="F2437" s="75" t="n">
        <v>62201000</v>
      </c>
      <c r="G2437" s="75" t="n">
        <v>1301</v>
      </c>
      <c r="H2437" s="76" t="n">
        <v>117000</v>
      </c>
      <c r="I2437" s="75" t="inlineStr">
        <is>
          <t>1월 통신요금 - P통신</t>
        </is>
      </c>
      <c r="J2437" s="75" t="inlineStr">
        <is>
          <t>V10011</t>
        </is>
      </c>
      <c r="K2437" s="75" t="inlineStr">
        <is>
          <t>P통신</t>
        </is>
      </c>
      <c r="M2437" s="9">
        <f>IF($A2437="","",VALUE($A2437&amp;"")*12+VALUE($B2437&amp;""))</f>
        <v/>
      </c>
      <c r="N2437" s="39">
        <f>IF($A2437="","",IFERROR(INDEX(부서매핑!$C$5:$C$504,MATCH($G2437&amp;"",부서매핑!$A$5:$A$504,0)),"미매핑"))</f>
        <v/>
      </c>
      <c r="O2437" s="9">
        <f>IF($A2437="","",N2437&amp;"|"&amp;$F2437)</f>
        <v/>
      </c>
      <c r="P2437" s="77">
        <f>IF($A2437="",0,$H2437*설정!$C$23)</f>
        <v/>
      </c>
      <c r="Q2437" s="39">
        <f>IF($A2437="","",IF(O2437&lt;&gt;원인분석!$C$9,"",IF(AND(M2437&gt;=원인분석!$C$10,M2437&lt;=원인분석!$C$11),"당기",IF(AND(M2437&gt;=원인분석!$C$12,M2437&lt;=원인분석!$C$13),"비교",""))))</f>
        <v/>
      </c>
      <c r="R2437" s="9">
        <f>IF(Q2437="","",$K2437&amp;"")</f>
        <v/>
      </c>
      <c r="S2437" s="9">
        <f>IF(Q2437="","",IF(MATCH(R2437,$R$5:$R$100000,0)=ROW()-4,ROW(),""))</f>
        <v/>
      </c>
      <c r="T2437" s="9">
        <f>IF(Q2437="당기",ABS(P2437)+ROW()/1000000000,"")</f>
        <v/>
      </c>
      <c r="U2437" s="9">
        <f>IF(Q2437="비교",ABS(P2437)+ROW()/1000000000,"")</f>
        <v/>
      </c>
      <c r="V2437" s="39">
        <f>IF($A2437="","",IF(COUNTIF(변동분석!$E$7:$E$506,O2437)&gt;0,"Y","N"))</f>
        <v/>
      </c>
      <c r="W2437" s="39">
        <f>IF($A2437="","",IFERROR(INDEX(계정매핑!$D$5:$D$504,MATCH($F2437&amp;"",계정매핑!$A$5:$A$504,0)),"미매핑"))</f>
        <v/>
      </c>
      <c r="X2437" s="9">
        <f>IF($A2437="","",$F2437&amp;"")</f>
        <v/>
      </c>
    </row>
    <row r="2438">
      <c r="A2438" s="75" t="n">
        <v>2026</v>
      </c>
      <c r="B2438" s="75" t="n">
        <v>1</v>
      </c>
      <c r="C2438" s="75" t="inlineStr">
        <is>
          <t>5100000094</t>
        </is>
      </c>
      <c r="D2438" s="78" t="n">
        <v>46037</v>
      </c>
      <c r="E2438" s="75" t="inlineStr">
        <is>
          <t>KR</t>
        </is>
      </c>
      <c r="F2438" s="75" t="n">
        <v>62301000</v>
      </c>
      <c r="G2438" s="75" t="n">
        <v>1201</v>
      </c>
      <c r="H2438" s="76" t="n">
        <v>72000</v>
      </c>
      <c r="I2438" s="75" t="inlineStr">
        <is>
          <t>1월 소모품 구입 - R문구</t>
        </is>
      </c>
      <c r="J2438" s="75" t="inlineStr">
        <is>
          <t>V10018</t>
        </is>
      </c>
      <c r="K2438" s="75" t="inlineStr">
        <is>
          <t>R문구</t>
        </is>
      </c>
      <c r="M2438" s="9">
        <f>IF($A2438="","",VALUE($A2438&amp;"")*12+VALUE($B2438&amp;""))</f>
        <v/>
      </c>
      <c r="N2438" s="39">
        <f>IF($A2438="","",IFERROR(INDEX(부서매핑!$C$5:$C$504,MATCH($G2438&amp;"",부서매핑!$A$5:$A$504,0)),"미매핑"))</f>
        <v/>
      </c>
      <c r="O2438" s="9">
        <f>IF($A2438="","",N2438&amp;"|"&amp;$F2438)</f>
        <v/>
      </c>
      <c r="P2438" s="77">
        <f>IF($A2438="",0,$H2438*설정!$C$23)</f>
        <v/>
      </c>
      <c r="Q2438" s="39">
        <f>IF($A2438="","",IF(O2438&lt;&gt;원인분석!$C$9,"",IF(AND(M2438&gt;=원인분석!$C$10,M2438&lt;=원인분석!$C$11),"당기",IF(AND(M2438&gt;=원인분석!$C$12,M2438&lt;=원인분석!$C$13),"비교",""))))</f>
        <v/>
      </c>
      <c r="R2438" s="9">
        <f>IF(Q2438="","",$K2438&amp;"")</f>
        <v/>
      </c>
      <c r="S2438" s="9">
        <f>IF(Q2438="","",IF(MATCH(R2438,$R$5:$R$100000,0)=ROW()-4,ROW(),""))</f>
        <v/>
      </c>
      <c r="T2438" s="9">
        <f>IF(Q2438="당기",ABS(P2438)+ROW()/1000000000,"")</f>
        <v/>
      </c>
      <c r="U2438" s="9">
        <f>IF(Q2438="비교",ABS(P2438)+ROW()/1000000000,"")</f>
        <v/>
      </c>
      <c r="V2438" s="39">
        <f>IF($A2438="","",IF(COUNTIF(변동분석!$E$7:$E$506,O2438)&gt;0,"Y","N"))</f>
        <v/>
      </c>
      <c r="W2438" s="39">
        <f>IF($A2438="","",IFERROR(INDEX(계정매핑!$D$5:$D$504,MATCH($F2438&amp;"",계정매핑!$A$5:$A$504,0)),"미매핑"))</f>
        <v/>
      </c>
      <c r="X2438" s="9">
        <f>IF($A2438="","",$F2438&amp;"")</f>
        <v/>
      </c>
    </row>
    <row r="2439">
      <c r="A2439" s="75" t="n">
        <v>2026</v>
      </c>
      <c r="B2439" s="75" t="n">
        <v>1</v>
      </c>
      <c r="C2439" s="75" t="inlineStr">
        <is>
          <t>5100000095</t>
        </is>
      </c>
      <c r="D2439" s="78" t="n">
        <v>46037</v>
      </c>
      <c r="E2439" s="75" t="inlineStr">
        <is>
          <t>KR</t>
        </is>
      </c>
      <c r="F2439" s="75" t="n">
        <v>62902000</v>
      </c>
      <c r="G2439" s="75" t="n">
        <v>1801</v>
      </c>
      <c r="H2439" s="76" t="n">
        <v>1853000</v>
      </c>
      <c r="I2439" s="75" t="inlineStr">
        <is>
          <t>1월 콜 위탁 수수료(건별)</t>
        </is>
      </c>
      <c r="J2439" s="75" t="inlineStr">
        <is>
          <t>V10013</t>
        </is>
      </c>
      <c r="K2439" s="75" t="inlineStr">
        <is>
          <t>J콜센터</t>
        </is>
      </c>
      <c r="M2439" s="9">
        <f>IF($A2439="","",VALUE($A2439&amp;"")*12+VALUE($B2439&amp;""))</f>
        <v/>
      </c>
      <c r="N2439" s="39">
        <f>IF($A2439="","",IFERROR(INDEX(부서매핑!$C$5:$C$504,MATCH($G2439&amp;"",부서매핑!$A$5:$A$504,0)),"미매핑"))</f>
        <v/>
      </c>
      <c r="O2439" s="9">
        <f>IF($A2439="","",N2439&amp;"|"&amp;$F2439)</f>
        <v/>
      </c>
      <c r="P2439" s="77">
        <f>IF($A2439="",0,$H2439*설정!$C$23)</f>
        <v/>
      </c>
      <c r="Q2439" s="39">
        <f>IF($A2439="","",IF(O2439&lt;&gt;원인분석!$C$9,"",IF(AND(M2439&gt;=원인분석!$C$10,M2439&lt;=원인분석!$C$11),"당기",IF(AND(M2439&gt;=원인분석!$C$12,M2439&lt;=원인분석!$C$13),"비교",""))))</f>
        <v/>
      </c>
      <c r="R2439" s="9">
        <f>IF(Q2439="","",$K2439&amp;"")</f>
        <v/>
      </c>
      <c r="S2439" s="9">
        <f>IF(Q2439="","",IF(MATCH(R2439,$R$5:$R$100000,0)=ROW()-4,ROW(),""))</f>
        <v/>
      </c>
      <c r="T2439" s="9">
        <f>IF(Q2439="당기",ABS(P2439)+ROW()/1000000000,"")</f>
        <v/>
      </c>
      <c r="U2439" s="9">
        <f>IF(Q2439="비교",ABS(P2439)+ROW()/1000000000,"")</f>
        <v/>
      </c>
      <c r="V2439" s="39">
        <f>IF($A2439="","",IF(COUNTIF(변동분석!$E$7:$E$506,O2439)&gt;0,"Y","N"))</f>
        <v/>
      </c>
      <c r="W2439" s="39">
        <f>IF($A2439="","",IFERROR(INDEX(계정매핑!$D$5:$D$504,MATCH($F2439&amp;"",계정매핑!$A$5:$A$504,0)),"미매핑"))</f>
        <v/>
      </c>
      <c r="X2439" s="9">
        <f>IF($A2439="","",$F2439&amp;"")</f>
        <v/>
      </c>
    </row>
    <row r="2440">
      <c r="A2440" s="75" t="n">
        <v>2026</v>
      </c>
      <c r="B2440" s="75" t="n">
        <v>1</v>
      </c>
      <c r="C2440" s="75" t="inlineStr">
        <is>
          <t>5100000096</t>
        </is>
      </c>
      <c r="D2440" s="78" t="n">
        <v>46037</v>
      </c>
      <c r="E2440" s="75" t="inlineStr">
        <is>
          <t>KR</t>
        </is>
      </c>
      <c r="F2440" s="75" t="n">
        <v>63001000</v>
      </c>
      <c r="G2440" s="75" t="n">
        <v>1701</v>
      </c>
      <c r="H2440" s="76" t="n">
        <v>34854000</v>
      </c>
      <c r="I2440" s="75" t="inlineStr">
        <is>
          <t>1월 SW 유지보수 - Y소프트</t>
        </is>
      </c>
      <c r="J2440" s="75" t="inlineStr">
        <is>
          <t>V10017</t>
        </is>
      </c>
      <c r="K2440" s="75" t="inlineStr">
        <is>
          <t>Y소프트</t>
        </is>
      </c>
      <c r="M2440" s="9">
        <f>IF($A2440="","",VALUE($A2440&amp;"")*12+VALUE($B2440&amp;""))</f>
        <v/>
      </c>
      <c r="N2440" s="39">
        <f>IF($A2440="","",IFERROR(INDEX(부서매핑!$C$5:$C$504,MATCH($G2440&amp;"",부서매핑!$A$5:$A$504,0)),"미매핑"))</f>
        <v/>
      </c>
      <c r="O2440" s="9">
        <f>IF($A2440="","",N2440&amp;"|"&amp;$F2440)</f>
        <v/>
      </c>
      <c r="P2440" s="77">
        <f>IF($A2440="",0,$H2440*설정!$C$23)</f>
        <v/>
      </c>
      <c r="Q2440" s="39">
        <f>IF($A2440="","",IF(O2440&lt;&gt;원인분석!$C$9,"",IF(AND(M2440&gt;=원인분석!$C$10,M2440&lt;=원인분석!$C$11),"당기",IF(AND(M2440&gt;=원인분석!$C$12,M2440&lt;=원인분석!$C$13),"비교",""))))</f>
        <v/>
      </c>
      <c r="R2440" s="9">
        <f>IF(Q2440="","",$K2440&amp;"")</f>
        <v/>
      </c>
      <c r="S2440" s="9">
        <f>IF(Q2440="","",IF(MATCH(R2440,$R$5:$R$100000,0)=ROW()-4,ROW(),""))</f>
        <v/>
      </c>
      <c r="T2440" s="9">
        <f>IF(Q2440="당기",ABS(P2440)+ROW()/1000000000,"")</f>
        <v/>
      </c>
      <c r="U2440" s="9">
        <f>IF(Q2440="비교",ABS(P2440)+ROW()/1000000000,"")</f>
        <v/>
      </c>
      <c r="V2440" s="39">
        <f>IF($A2440="","",IF(COUNTIF(변동분석!$E$7:$E$506,O2440)&gt;0,"Y","N"))</f>
        <v/>
      </c>
      <c r="W2440" s="39">
        <f>IF($A2440="","",IFERROR(INDEX(계정매핑!$D$5:$D$504,MATCH($F2440&amp;"",계정매핑!$A$5:$A$504,0)),"미매핑"))</f>
        <v/>
      </c>
      <c r="X2440" s="9">
        <f>IF($A2440="","",$F2440&amp;"")</f>
        <v/>
      </c>
    </row>
    <row r="2441">
      <c r="A2441" s="75" t="n">
        <v>2026</v>
      </c>
      <c r="B2441" s="75" t="n">
        <v>1</v>
      </c>
      <c r="C2441" s="75" t="inlineStr">
        <is>
          <t>5100000097</t>
        </is>
      </c>
      <c r="D2441" s="78" t="n">
        <v>46037</v>
      </c>
      <c r="E2441" s="75" t="inlineStr">
        <is>
          <t>KR</t>
        </is>
      </c>
      <c r="F2441" s="75" t="n">
        <v>63101000</v>
      </c>
      <c r="G2441" s="75" t="n">
        <v>1601</v>
      </c>
      <c r="H2441" s="76" t="n">
        <v>4229000</v>
      </c>
      <c r="I2441" s="75" t="inlineStr">
        <is>
          <t>1월 사무실 임차료 - BB부동산</t>
        </is>
      </c>
      <c r="J2441" s="75" t="inlineStr">
        <is>
          <t>V10024</t>
        </is>
      </c>
      <c r="K2441" s="75" t="inlineStr">
        <is>
          <t>BB부동산</t>
        </is>
      </c>
      <c r="M2441" s="9">
        <f>IF($A2441="","",VALUE($A2441&amp;"")*12+VALUE($B2441&amp;""))</f>
        <v/>
      </c>
      <c r="N2441" s="39">
        <f>IF($A2441="","",IFERROR(INDEX(부서매핑!$C$5:$C$504,MATCH($G2441&amp;"",부서매핑!$A$5:$A$504,0)),"미매핑"))</f>
        <v/>
      </c>
      <c r="O2441" s="9">
        <f>IF($A2441="","",N2441&amp;"|"&amp;$F2441)</f>
        <v/>
      </c>
      <c r="P2441" s="77">
        <f>IF($A2441="",0,$H2441*설정!$C$23)</f>
        <v/>
      </c>
      <c r="Q2441" s="39">
        <f>IF($A2441="","",IF(O2441&lt;&gt;원인분석!$C$9,"",IF(AND(M2441&gt;=원인분석!$C$10,M2441&lt;=원인분석!$C$11),"당기",IF(AND(M2441&gt;=원인분석!$C$12,M2441&lt;=원인분석!$C$13),"비교",""))))</f>
        <v/>
      </c>
      <c r="R2441" s="9">
        <f>IF(Q2441="","",$K2441&amp;"")</f>
        <v/>
      </c>
      <c r="S2441" s="9">
        <f>IF(Q2441="","",IF(MATCH(R2441,$R$5:$R$100000,0)=ROW()-4,ROW(),""))</f>
        <v/>
      </c>
      <c r="T2441" s="9">
        <f>IF(Q2441="당기",ABS(P2441)+ROW()/1000000000,"")</f>
        <v/>
      </c>
      <c r="U2441" s="9">
        <f>IF(Q2441="비교",ABS(P2441)+ROW()/1000000000,"")</f>
        <v/>
      </c>
      <c r="V2441" s="39">
        <f>IF($A2441="","",IF(COUNTIF(변동분석!$E$7:$E$506,O2441)&gt;0,"Y","N"))</f>
        <v/>
      </c>
      <c r="W2441" s="39">
        <f>IF($A2441="","",IFERROR(INDEX(계정매핑!$D$5:$D$504,MATCH($F2441&amp;"",계정매핑!$A$5:$A$504,0)),"미매핑"))</f>
        <v/>
      </c>
      <c r="X2441" s="9">
        <f>IF($A2441="","",$F2441&amp;"")</f>
        <v/>
      </c>
    </row>
    <row r="2442">
      <c r="A2442" s="75" t="n">
        <v>2026</v>
      </c>
      <c r="B2442" s="75" t="n">
        <v>1</v>
      </c>
      <c r="C2442" s="75" t="inlineStr">
        <is>
          <t>5100000098</t>
        </is>
      </c>
      <c r="D2442" s="78" t="n">
        <v>46038</v>
      </c>
      <c r="E2442" s="75" t="inlineStr">
        <is>
          <t>KR</t>
        </is>
      </c>
      <c r="F2442" s="75" t="n">
        <v>62101000</v>
      </c>
      <c r="G2442" s="75" t="n">
        <v>1101</v>
      </c>
      <c r="H2442" s="76" t="n">
        <v>760000</v>
      </c>
      <c r="I2442" s="75" t="inlineStr">
        <is>
          <t>1월 국내출장 - (법인카드)</t>
        </is>
      </c>
      <c r="J2442" s="75" t="inlineStr">
        <is>
          <t>V10008</t>
        </is>
      </c>
      <c r="K2442" s="75" t="inlineStr">
        <is>
          <t>(법인카드)</t>
        </is>
      </c>
      <c r="M2442" s="9">
        <f>IF($A2442="","",VALUE($A2442&amp;"")*12+VALUE($B2442&amp;""))</f>
        <v/>
      </c>
      <c r="N2442" s="39">
        <f>IF($A2442="","",IFERROR(INDEX(부서매핑!$C$5:$C$504,MATCH($G2442&amp;"",부서매핑!$A$5:$A$504,0)),"미매핑"))</f>
        <v/>
      </c>
      <c r="O2442" s="9">
        <f>IF($A2442="","",N2442&amp;"|"&amp;$F2442)</f>
        <v/>
      </c>
      <c r="P2442" s="77">
        <f>IF($A2442="",0,$H2442*설정!$C$23)</f>
        <v/>
      </c>
      <c r="Q2442" s="39">
        <f>IF($A2442="","",IF(O2442&lt;&gt;원인분석!$C$9,"",IF(AND(M2442&gt;=원인분석!$C$10,M2442&lt;=원인분석!$C$11),"당기",IF(AND(M2442&gt;=원인분석!$C$12,M2442&lt;=원인분석!$C$13),"비교",""))))</f>
        <v/>
      </c>
      <c r="R2442" s="9">
        <f>IF(Q2442="","",$K2442&amp;"")</f>
        <v/>
      </c>
      <c r="S2442" s="9">
        <f>IF(Q2442="","",IF(MATCH(R2442,$R$5:$R$100000,0)=ROW()-4,ROW(),""))</f>
        <v/>
      </c>
      <c r="T2442" s="9">
        <f>IF(Q2442="당기",ABS(P2442)+ROW()/1000000000,"")</f>
        <v/>
      </c>
      <c r="U2442" s="9">
        <f>IF(Q2442="비교",ABS(P2442)+ROW()/1000000000,"")</f>
        <v/>
      </c>
      <c r="V2442" s="39">
        <f>IF($A2442="","",IF(COUNTIF(변동분석!$E$7:$E$506,O2442)&gt;0,"Y","N"))</f>
        <v/>
      </c>
      <c r="W2442" s="39">
        <f>IF($A2442="","",IFERROR(INDEX(계정매핑!$D$5:$D$504,MATCH($F2442&amp;"",계정매핑!$A$5:$A$504,0)),"미매핑"))</f>
        <v/>
      </c>
      <c r="X2442" s="9">
        <f>IF($A2442="","",$F2442&amp;"")</f>
        <v/>
      </c>
    </row>
    <row r="2443">
      <c r="A2443" s="75" t="n">
        <v>2026</v>
      </c>
      <c r="B2443" s="75" t="n">
        <v>1</v>
      </c>
      <c r="C2443" s="75" t="inlineStr">
        <is>
          <t>5100000099</t>
        </is>
      </c>
      <c r="D2443" s="78" t="n">
        <v>46038</v>
      </c>
      <c r="E2443" s="75" t="inlineStr">
        <is>
          <t>KR</t>
        </is>
      </c>
      <c r="F2443" s="75" t="n">
        <v>62101000</v>
      </c>
      <c r="G2443" s="75" t="n">
        <v>1601</v>
      </c>
      <c r="H2443" s="76" t="n">
        <v>1204000</v>
      </c>
      <c r="I2443" s="75" t="inlineStr">
        <is>
          <t>1월 국내출장 - M항공</t>
        </is>
      </c>
      <c r="J2443" s="75" t="inlineStr">
        <is>
          <t>V10001</t>
        </is>
      </c>
      <c r="K2443" s="75" t="inlineStr">
        <is>
          <t>M항공</t>
        </is>
      </c>
      <c r="M2443" s="9">
        <f>IF($A2443="","",VALUE($A2443&amp;"")*12+VALUE($B2443&amp;""))</f>
        <v/>
      </c>
      <c r="N2443" s="39">
        <f>IF($A2443="","",IFERROR(INDEX(부서매핑!$C$5:$C$504,MATCH($G2443&amp;"",부서매핑!$A$5:$A$504,0)),"미매핑"))</f>
        <v/>
      </c>
      <c r="O2443" s="9">
        <f>IF($A2443="","",N2443&amp;"|"&amp;$F2443)</f>
        <v/>
      </c>
      <c r="P2443" s="77">
        <f>IF($A2443="",0,$H2443*설정!$C$23)</f>
        <v/>
      </c>
      <c r="Q2443" s="39">
        <f>IF($A2443="","",IF(O2443&lt;&gt;원인분석!$C$9,"",IF(AND(M2443&gt;=원인분석!$C$10,M2443&lt;=원인분석!$C$11),"당기",IF(AND(M2443&gt;=원인분석!$C$12,M2443&lt;=원인분석!$C$13),"비교",""))))</f>
        <v/>
      </c>
      <c r="R2443" s="9">
        <f>IF(Q2443="","",$K2443&amp;"")</f>
        <v/>
      </c>
      <c r="S2443" s="9">
        <f>IF(Q2443="","",IF(MATCH(R2443,$R$5:$R$100000,0)=ROW()-4,ROW(),""))</f>
        <v/>
      </c>
      <c r="T2443" s="9">
        <f>IF(Q2443="당기",ABS(P2443)+ROW()/1000000000,"")</f>
        <v/>
      </c>
      <c r="U2443" s="9">
        <f>IF(Q2443="비교",ABS(P2443)+ROW()/1000000000,"")</f>
        <v/>
      </c>
      <c r="V2443" s="39">
        <f>IF($A2443="","",IF(COUNTIF(변동분석!$E$7:$E$506,O2443)&gt;0,"Y","N"))</f>
        <v/>
      </c>
      <c r="W2443" s="39">
        <f>IF($A2443="","",IFERROR(INDEX(계정매핑!$D$5:$D$504,MATCH($F2443&amp;"",계정매핑!$A$5:$A$504,0)),"미매핑"))</f>
        <v/>
      </c>
      <c r="X2443" s="9">
        <f>IF($A2443="","",$F2443&amp;"")</f>
        <v/>
      </c>
    </row>
    <row r="2444">
      <c r="A2444" s="75" t="n">
        <v>2026</v>
      </c>
      <c r="B2444" s="75" t="n">
        <v>1</v>
      </c>
      <c r="C2444" s="75" t="inlineStr">
        <is>
          <t>5100000100</t>
        </is>
      </c>
      <c r="D2444" s="78" t="n">
        <v>46038</v>
      </c>
      <c r="E2444" s="75" t="inlineStr">
        <is>
          <t>KR</t>
        </is>
      </c>
      <c r="F2444" s="75" t="n">
        <v>62101000</v>
      </c>
      <c r="G2444" s="75" t="n">
        <v>1701</v>
      </c>
      <c r="H2444" s="76" t="n">
        <v>174000</v>
      </c>
      <c r="I2444" s="75" t="inlineStr">
        <is>
          <t>1월 국내출장 - M항공</t>
        </is>
      </c>
      <c r="J2444" s="75" t="inlineStr">
        <is>
          <t>V10001</t>
        </is>
      </c>
      <c r="K2444" s="75" t="inlineStr">
        <is>
          <t>M항공</t>
        </is>
      </c>
      <c r="M2444" s="9">
        <f>IF($A2444="","",VALUE($A2444&amp;"")*12+VALUE($B2444&amp;""))</f>
        <v/>
      </c>
      <c r="N2444" s="39">
        <f>IF($A2444="","",IFERROR(INDEX(부서매핑!$C$5:$C$504,MATCH($G2444&amp;"",부서매핑!$A$5:$A$504,0)),"미매핑"))</f>
        <v/>
      </c>
      <c r="O2444" s="9">
        <f>IF($A2444="","",N2444&amp;"|"&amp;$F2444)</f>
        <v/>
      </c>
      <c r="P2444" s="77">
        <f>IF($A2444="",0,$H2444*설정!$C$23)</f>
        <v/>
      </c>
      <c r="Q2444" s="39">
        <f>IF($A2444="","",IF(O2444&lt;&gt;원인분석!$C$9,"",IF(AND(M2444&gt;=원인분석!$C$10,M2444&lt;=원인분석!$C$11),"당기",IF(AND(M2444&gt;=원인분석!$C$12,M2444&lt;=원인분석!$C$13),"비교",""))))</f>
        <v/>
      </c>
      <c r="R2444" s="9">
        <f>IF(Q2444="","",$K2444&amp;"")</f>
        <v/>
      </c>
      <c r="S2444" s="9">
        <f>IF(Q2444="","",IF(MATCH(R2444,$R$5:$R$100000,0)=ROW()-4,ROW(),""))</f>
        <v/>
      </c>
      <c r="T2444" s="9">
        <f>IF(Q2444="당기",ABS(P2444)+ROW()/1000000000,"")</f>
        <v/>
      </c>
      <c r="U2444" s="9">
        <f>IF(Q2444="비교",ABS(P2444)+ROW()/1000000000,"")</f>
        <v/>
      </c>
      <c r="V2444" s="39">
        <f>IF($A2444="","",IF(COUNTIF(변동분석!$E$7:$E$506,O2444)&gt;0,"Y","N"))</f>
        <v/>
      </c>
      <c r="W2444" s="39">
        <f>IF($A2444="","",IFERROR(INDEX(계정매핑!$D$5:$D$504,MATCH($F2444&amp;"",계정매핑!$A$5:$A$504,0)),"미매핑"))</f>
        <v/>
      </c>
      <c r="X2444" s="9">
        <f>IF($A2444="","",$F2444&amp;"")</f>
        <v/>
      </c>
    </row>
    <row r="2445">
      <c r="A2445" s="75" t="n">
        <v>2026</v>
      </c>
      <c r="B2445" s="75" t="n">
        <v>1</v>
      </c>
      <c r="C2445" s="75" t="inlineStr">
        <is>
          <t>5100000101</t>
        </is>
      </c>
      <c r="D2445" s="78" t="n">
        <v>46038</v>
      </c>
      <c r="E2445" s="75" t="inlineStr">
        <is>
          <t>KR</t>
        </is>
      </c>
      <c r="F2445" s="75" t="n">
        <v>62102000</v>
      </c>
      <c r="G2445" s="75" t="n">
        <v>1301</v>
      </c>
      <c r="H2445" s="76" t="n">
        <v>59000</v>
      </c>
      <c r="I2445" s="75" t="inlineStr">
        <is>
          <t>1월 해외출장 - N호텔</t>
        </is>
      </c>
      <c r="J2445" s="75" t="inlineStr">
        <is>
          <t>V10007</t>
        </is>
      </c>
      <c r="K2445" s="75" t="inlineStr">
        <is>
          <t>N호텔</t>
        </is>
      </c>
      <c r="M2445" s="9">
        <f>IF($A2445="","",VALUE($A2445&amp;"")*12+VALUE($B2445&amp;""))</f>
        <v/>
      </c>
      <c r="N2445" s="39">
        <f>IF($A2445="","",IFERROR(INDEX(부서매핑!$C$5:$C$504,MATCH($G2445&amp;"",부서매핑!$A$5:$A$504,0)),"미매핑"))</f>
        <v/>
      </c>
      <c r="O2445" s="9">
        <f>IF($A2445="","",N2445&amp;"|"&amp;$F2445)</f>
        <v/>
      </c>
      <c r="P2445" s="77">
        <f>IF($A2445="",0,$H2445*설정!$C$23)</f>
        <v/>
      </c>
      <c r="Q2445" s="39">
        <f>IF($A2445="","",IF(O2445&lt;&gt;원인분석!$C$9,"",IF(AND(M2445&gt;=원인분석!$C$10,M2445&lt;=원인분석!$C$11),"당기",IF(AND(M2445&gt;=원인분석!$C$12,M2445&lt;=원인분석!$C$13),"비교",""))))</f>
        <v/>
      </c>
      <c r="R2445" s="9">
        <f>IF(Q2445="","",$K2445&amp;"")</f>
        <v/>
      </c>
      <c r="S2445" s="9">
        <f>IF(Q2445="","",IF(MATCH(R2445,$R$5:$R$100000,0)=ROW()-4,ROW(),""))</f>
        <v/>
      </c>
      <c r="T2445" s="9">
        <f>IF(Q2445="당기",ABS(P2445)+ROW()/1000000000,"")</f>
        <v/>
      </c>
      <c r="U2445" s="9">
        <f>IF(Q2445="비교",ABS(P2445)+ROW()/1000000000,"")</f>
        <v/>
      </c>
      <c r="V2445" s="39">
        <f>IF($A2445="","",IF(COUNTIF(변동분석!$E$7:$E$506,O2445)&gt;0,"Y","N"))</f>
        <v/>
      </c>
      <c r="W2445" s="39">
        <f>IF($A2445="","",IFERROR(INDEX(계정매핑!$D$5:$D$504,MATCH($F2445&amp;"",계정매핑!$A$5:$A$504,0)),"미매핑"))</f>
        <v/>
      </c>
      <c r="X2445" s="9">
        <f>IF($A2445="","",$F2445&amp;"")</f>
        <v/>
      </c>
    </row>
    <row r="2446">
      <c r="A2446" s="75" t="n">
        <v>2026</v>
      </c>
      <c r="B2446" s="75" t="n">
        <v>1</v>
      </c>
      <c r="C2446" s="75" t="inlineStr">
        <is>
          <t>5100000102</t>
        </is>
      </c>
      <c r="D2446" s="78" t="n">
        <v>46038</v>
      </c>
      <c r="E2446" s="75" t="inlineStr">
        <is>
          <t>KR</t>
        </is>
      </c>
      <c r="F2446" s="75" t="n">
        <v>62201000</v>
      </c>
      <c r="G2446" s="75" t="n">
        <v>1601</v>
      </c>
      <c r="H2446" s="76" t="n">
        <v>831000</v>
      </c>
      <c r="I2446" s="75" t="inlineStr">
        <is>
          <t>1월 통신요금 - P통신</t>
        </is>
      </c>
      <c r="J2446" s="75" t="inlineStr">
        <is>
          <t>V10011</t>
        </is>
      </c>
      <c r="K2446" s="75" t="inlineStr">
        <is>
          <t>P통신</t>
        </is>
      </c>
      <c r="M2446" s="9">
        <f>IF($A2446="","",VALUE($A2446&amp;"")*12+VALUE($B2446&amp;""))</f>
        <v/>
      </c>
      <c r="N2446" s="39">
        <f>IF($A2446="","",IFERROR(INDEX(부서매핑!$C$5:$C$504,MATCH($G2446&amp;"",부서매핑!$A$5:$A$504,0)),"미매핑"))</f>
        <v/>
      </c>
      <c r="O2446" s="9">
        <f>IF($A2446="","",N2446&amp;"|"&amp;$F2446)</f>
        <v/>
      </c>
      <c r="P2446" s="77">
        <f>IF($A2446="",0,$H2446*설정!$C$23)</f>
        <v/>
      </c>
      <c r="Q2446" s="39">
        <f>IF($A2446="","",IF(O2446&lt;&gt;원인분석!$C$9,"",IF(AND(M2446&gt;=원인분석!$C$10,M2446&lt;=원인분석!$C$11),"당기",IF(AND(M2446&gt;=원인분석!$C$12,M2446&lt;=원인분석!$C$13),"비교",""))))</f>
        <v/>
      </c>
      <c r="R2446" s="9">
        <f>IF(Q2446="","",$K2446&amp;"")</f>
        <v/>
      </c>
      <c r="S2446" s="9">
        <f>IF(Q2446="","",IF(MATCH(R2446,$R$5:$R$100000,0)=ROW()-4,ROW(),""))</f>
        <v/>
      </c>
      <c r="T2446" s="9">
        <f>IF(Q2446="당기",ABS(P2446)+ROW()/1000000000,"")</f>
        <v/>
      </c>
      <c r="U2446" s="9">
        <f>IF(Q2446="비교",ABS(P2446)+ROW()/1000000000,"")</f>
        <v/>
      </c>
      <c r="V2446" s="39">
        <f>IF($A2446="","",IF(COUNTIF(변동분석!$E$7:$E$506,O2446)&gt;0,"Y","N"))</f>
        <v/>
      </c>
      <c r="W2446" s="39">
        <f>IF($A2446="","",IFERROR(INDEX(계정매핑!$D$5:$D$504,MATCH($F2446&amp;"",계정매핑!$A$5:$A$504,0)),"미매핑"))</f>
        <v/>
      </c>
      <c r="X2446" s="9">
        <f>IF($A2446="","",$F2446&amp;"")</f>
        <v/>
      </c>
    </row>
    <row r="2447">
      <c r="A2447" s="75" t="n">
        <v>2026</v>
      </c>
      <c r="B2447" s="75" t="n">
        <v>1</v>
      </c>
      <c r="C2447" s="75" t="inlineStr">
        <is>
          <t>5100000103</t>
        </is>
      </c>
      <c r="D2447" s="78" t="n">
        <v>46038</v>
      </c>
      <c r="E2447" s="75" t="inlineStr">
        <is>
          <t>KR</t>
        </is>
      </c>
      <c r="F2447" s="75" t="n">
        <v>62401000</v>
      </c>
      <c r="G2447" s="75" t="n">
        <v>1501</v>
      </c>
      <c r="H2447" s="76" t="n">
        <v>2259000</v>
      </c>
      <c r="I2447" s="75" t="inlineStr">
        <is>
          <t>1월 인쇄물 제작 - G인쇄</t>
        </is>
      </c>
      <c r="J2447" s="75" t="inlineStr">
        <is>
          <t>V10004</t>
        </is>
      </c>
      <c r="K2447" s="75" t="inlineStr">
        <is>
          <t>G인쇄</t>
        </is>
      </c>
      <c r="M2447" s="9">
        <f>IF($A2447="","",VALUE($A2447&amp;"")*12+VALUE($B2447&amp;""))</f>
        <v/>
      </c>
      <c r="N2447" s="39">
        <f>IF($A2447="","",IFERROR(INDEX(부서매핑!$C$5:$C$504,MATCH($G2447&amp;"",부서매핑!$A$5:$A$504,0)),"미매핑"))</f>
        <v/>
      </c>
      <c r="O2447" s="9">
        <f>IF($A2447="","",N2447&amp;"|"&amp;$F2447)</f>
        <v/>
      </c>
      <c r="P2447" s="77">
        <f>IF($A2447="",0,$H2447*설정!$C$23)</f>
        <v/>
      </c>
      <c r="Q2447" s="39">
        <f>IF($A2447="","",IF(O2447&lt;&gt;원인분석!$C$9,"",IF(AND(M2447&gt;=원인분석!$C$10,M2447&lt;=원인분석!$C$11),"당기",IF(AND(M2447&gt;=원인분석!$C$12,M2447&lt;=원인분석!$C$13),"비교",""))))</f>
        <v/>
      </c>
      <c r="R2447" s="9">
        <f>IF(Q2447="","",$K2447&amp;"")</f>
        <v/>
      </c>
      <c r="S2447" s="9">
        <f>IF(Q2447="","",IF(MATCH(R2447,$R$5:$R$100000,0)=ROW()-4,ROW(),""))</f>
        <v/>
      </c>
      <c r="T2447" s="9">
        <f>IF(Q2447="당기",ABS(P2447)+ROW()/1000000000,"")</f>
        <v/>
      </c>
      <c r="U2447" s="9">
        <f>IF(Q2447="비교",ABS(P2447)+ROW()/1000000000,"")</f>
        <v/>
      </c>
      <c r="V2447" s="39">
        <f>IF($A2447="","",IF(COUNTIF(변동분석!$E$7:$E$506,O2447)&gt;0,"Y","N"))</f>
        <v/>
      </c>
      <c r="W2447" s="39">
        <f>IF($A2447="","",IFERROR(INDEX(계정매핑!$D$5:$D$504,MATCH($F2447&amp;"",계정매핑!$A$5:$A$504,0)),"미매핑"))</f>
        <v/>
      </c>
      <c r="X2447" s="9">
        <f>IF($A2447="","",$F2447&amp;"")</f>
        <v/>
      </c>
    </row>
    <row r="2448">
      <c r="A2448" s="75" t="n">
        <v>2026</v>
      </c>
      <c r="B2448" s="75" t="n">
        <v>1</v>
      </c>
      <c r="C2448" s="75" t="inlineStr">
        <is>
          <t>5100000104</t>
        </is>
      </c>
      <c r="D2448" s="78" t="n">
        <v>46038</v>
      </c>
      <c r="E2448" s="75" t="inlineStr">
        <is>
          <t>KR</t>
        </is>
      </c>
      <c r="F2448" s="75" t="n">
        <v>62501000</v>
      </c>
      <c r="G2448" s="75" t="n">
        <v>1301</v>
      </c>
      <c r="H2448" s="76" t="n">
        <v>205000</v>
      </c>
      <c r="I2448" s="75" t="inlineStr">
        <is>
          <t>1월 회의 다과 - T케이터링</t>
        </is>
      </c>
      <c r="J2448" s="75" t="inlineStr">
        <is>
          <t>V10005</t>
        </is>
      </c>
      <c r="K2448" s="75" t="inlineStr">
        <is>
          <t>T케이터링</t>
        </is>
      </c>
      <c r="M2448" s="9">
        <f>IF($A2448="","",VALUE($A2448&amp;"")*12+VALUE($B2448&amp;""))</f>
        <v/>
      </c>
      <c r="N2448" s="39">
        <f>IF($A2448="","",IFERROR(INDEX(부서매핑!$C$5:$C$504,MATCH($G2448&amp;"",부서매핑!$A$5:$A$504,0)),"미매핑"))</f>
        <v/>
      </c>
      <c r="O2448" s="9">
        <f>IF($A2448="","",N2448&amp;"|"&amp;$F2448)</f>
        <v/>
      </c>
      <c r="P2448" s="77">
        <f>IF($A2448="",0,$H2448*설정!$C$23)</f>
        <v/>
      </c>
      <c r="Q2448" s="39">
        <f>IF($A2448="","",IF(O2448&lt;&gt;원인분석!$C$9,"",IF(AND(M2448&gt;=원인분석!$C$10,M2448&lt;=원인분석!$C$11),"당기",IF(AND(M2448&gt;=원인분석!$C$12,M2448&lt;=원인분석!$C$13),"비교",""))))</f>
        <v/>
      </c>
      <c r="R2448" s="9">
        <f>IF(Q2448="","",$K2448&amp;"")</f>
        <v/>
      </c>
      <c r="S2448" s="9">
        <f>IF(Q2448="","",IF(MATCH(R2448,$R$5:$R$100000,0)=ROW()-4,ROW(),""))</f>
        <v/>
      </c>
      <c r="T2448" s="9">
        <f>IF(Q2448="당기",ABS(P2448)+ROW()/1000000000,"")</f>
        <v/>
      </c>
      <c r="U2448" s="9">
        <f>IF(Q2448="비교",ABS(P2448)+ROW()/1000000000,"")</f>
        <v/>
      </c>
      <c r="V2448" s="39">
        <f>IF($A2448="","",IF(COUNTIF(변동분석!$E$7:$E$506,O2448)&gt;0,"Y","N"))</f>
        <v/>
      </c>
      <c r="W2448" s="39">
        <f>IF($A2448="","",IFERROR(INDEX(계정매핑!$D$5:$D$504,MATCH($F2448&amp;"",계정매핑!$A$5:$A$504,0)),"미매핑"))</f>
        <v/>
      </c>
      <c r="X2448" s="9">
        <f>IF($A2448="","",$F2448&amp;"")</f>
        <v/>
      </c>
    </row>
    <row r="2449">
      <c r="A2449" s="75" t="n">
        <v>2026</v>
      </c>
      <c r="B2449" s="75" t="n">
        <v>1</v>
      </c>
      <c r="C2449" s="75" t="inlineStr">
        <is>
          <t>5100000105</t>
        </is>
      </c>
      <c r="D2449" s="78" t="n">
        <v>46038</v>
      </c>
      <c r="E2449" s="75" t="inlineStr">
        <is>
          <t>KR</t>
        </is>
      </c>
      <c r="F2449" s="75" t="n">
        <v>62901000</v>
      </c>
      <c r="G2449" s="75" t="n">
        <v>1201</v>
      </c>
      <c r="H2449" s="76" t="n">
        <v>6868000</v>
      </c>
      <c r="I2449" s="75" t="inlineStr">
        <is>
          <t>1월 자문 수수료 - K회계법인</t>
        </is>
      </c>
      <c r="J2449" s="75" t="inlineStr">
        <is>
          <t>V10010</t>
        </is>
      </c>
      <c r="K2449" s="75" t="inlineStr">
        <is>
          <t>K회계법인</t>
        </is>
      </c>
      <c r="M2449" s="9">
        <f>IF($A2449="","",VALUE($A2449&amp;"")*12+VALUE($B2449&amp;""))</f>
        <v/>
      </c>
      <c r="N2449" s="39">
        <f>IF($A2449="","",IFERROR(INDEX(부서매핑!$C$5:$C$504,MATCH($G2449&amp;"",부서매핑!$A$5:$A$504,0)),"미매핑"))</f>
        <v/>
      </c>
      <c r="O2449" s="9">
        <f>IF($A2449="","",N2449&amp;"|"&amp;$F2449)</f>
        <v/>
      </c>
      <c r="P2449" s="77">
        <f>IF($A2449="",0,$H2449*설정!$C$23)</f>
        <v/>
      </c>
      <c r="Q2449" s="39">
        <f>IF($A2449="","",IF(O2449&lt;&gt;원인분석!$C$9,"",IF(AND(M2449&gt;=원인분석!$C$10,M2449&lt;=원인분석!$C$11),"당기",IF(AND(M2449&gt;=원인분석!$C$12,M2449&lt;=원인분석!$C$13),"비교",""))))</f>
        <v/>
      </c>
      <c r="R2449" s="9">
        <f>IF(Q2449="","",$K2449&amp;"")</f>
        <v/>
      </c>
      <c r="S2449" s="9">
        <f>IF(Q2449="","",IF(MATCH(R2449,$R$5:$R$100000,0)=ROW()-4,ROW(),""))</f>
        <v/>
      </c>
      <c r="T2449" s="9">
        <f>IF(Q2449="당기",ABS(P2449)+ROW()/1000000000,"")</f>
        <v/>
      </c>
      <c r="U2449" s="9">
        <f>IF(Q2449="비교",ABS(P2449)+ROW()/1000000000,"")</f>
        <v/>
      </c>
      <c r="V2449" s="39">
        <f>IF($A2449="","",IF(COUNTIF(변동분석!$E$7:$E$506,O2449)&gt;0,"Y","N"))</f>
        <v/>
      </c>
      <c r="W2449" s="39">
        <f>IF($A2449="","",IFERROR(INDEX(계정매핑!$D$5:$D$504,MATCH($F2449&amp;"",계정매핑!$A$5:$A$504,0)),"미매핑"))</f>
        <v/>
      </c>
      <c r="X2449" s="9">
        <f>IF($A2449="","",$F2449&amp;"")</f>
        <v/>
      </c>
    </row>
    <row r="2450">
      <c r="A2450" s="75" t="n">
        <v>2026</v>
      </c>
      <c r="B2450" s="75" t="n">
        <v>1</v>
      </c>
      <c r="C2450" s="75" t="inlineStr">
        <is>
          <t>5100000106</t>
        </is>
      </c>
      <c r="D2450" s="78" t="n">
        <v>46038</v>
      </c>
      <c r="E2450" s="75" t="inlineStr">
        <is>
          <t>KR</t>
        </is>
      </c>
      <c r="F2450" s="75" t="n">
        <v>63001000</v>
      </c>
      <c r="G2450" s="75" t="n">
        <v>1701</v>
      </c>
      <c r="H2450" s="76" t="n">
        <v>24916000</v>
      </c>
      <c r="I2450" s="75" t="inlineStr">
        <is>
          <t>1월 SW 유지보수 - Y소프트</t>
        </is>
      </c>
      <c r="J2450" s="75" t="inlineStr">
        <is>
          <t>V10017</t>
        </is>
      </c>
      <c r="K2450" s="75" t="inlineStr">
        <is>
          <t>Y소프트</t>
        </is>
      </c>
      <c r="M2450" s="9">
        <f>IF($A2450="","",VALUE($A2450&amp;"")*12+VALUE($B2450&amp;""))</f>
        <v/>
      </c>
      <c r="N2450" s="39">
        <f>IF($A2450="","",IFERROR(INDEX(부서매핑!$C$5:$C$504,MATCH($G2450&amp;"",부서매핑!$A$5:$A$504,0)),"미매핑"))</f>
        <v/>
      </c>
      <c r="O2450" s="9">
        <f>IF($A2450="","",N2450&amp;"|"&amp;$F2450)</f>
        <v/>
      </c>
      <c r="P2450" s="77">
        <f>IF($A2450="",0,$H2450*설정!$C$23)</f>
        <v/>
      </c>
      <c r="Q2450" s="39">
        <f>IF($A2450="","",IF(O2450&lt;&gt;원인분석!$C$9,"",IF(AND(M2450&gt;=원인분석!$C$10,M2450&lt;=원인분석!$C$11),"당기",IF(AND(M2450&gt;=원인분석!$C$12,M2450&lt;=원인분석!$C$13),"비교",""))))</f>
        <v/>
      </c>
      <c r="R2450" s="9">
        <f>IF(Q2450="","",$K2450&amp;"")</f>
        <v/>
      </c>
      <c r="S2450" s="9">
        <f>IF(Q2450="","",IF(MATCH(R2450,$R$5:$R$100000,0)=ROW()-4,ROW(),""))</f>
        <v/>
      </c>
      <c r="T2450" s="9">
        <f>IF(Q2450="당기",ABS(P2450)+ROW()/1000000000,"")</f>
        <v/>
      </c>
      <c r="U2450" s="9">
        <f>IF(Q2450="비교",ABS(P2450)+ROW()/1000000000,"")</f>
        <v/>
      </c>
      <c r="V2450" s="39">
        <f>IF($A2450="","",IF(COUNTIF(변동분석!$E$7:$E$506,O2450)&gt;0,"Y","N"))</f>
        <v/>
      </c>
      <c r="W2450" s="39">
        <f>IF($A2450="","",IFERROR(INDEX(계정매핑!$D$5:$D$504,MATCH($F2450&amp;"",계정매핑!$A$5:$A$504,0)),"미매핑"))</f>
        <v/>
      </c>
      <c r="X2450" s="9">
        <f>IF($A2450="","",$F2450&amp;"")</f>
        <v/>
      </c>
    </row>
    <row r="2451">
      <c r="A2451" s="75" t="n">
        <v>2026</v>
      </c>
      <c r="B2451" s="75" t="n">
        <v>1</v>
      </c>
      <c r="C2451" s="75" t="inlineStr">
        <is>
          <t>5100000107</t>
        </is>
      </c>
      <c r="D2451" s="78" t="n">
        <v>46039</v>
      </c>
      <c r="E2451" s="75" t="inlineStr">
        <is>
          <t>KR</t>
        </is>
      </c>
      <c r="F2451" s="75" t="n">
        <v>62101000</v>
      </c>
      <c r="G2451" s="75" t="n">
        <v>1301</v>
      </c>
      <c r="H2451" s="76" t="n">
        <v>484000</v>
      </c>
      <c r="I2451" s="75" t="inlineStr">
        <is>
          <t>1월 국내출장 - L여행사</t>
        </is>
      </c>
      <c r="J2451" s="75" t="inlineStr">
        <is>
          <t>V10014</t>
        </is>
      </c>
      <c r="K2451" s="75" t="inlineStr">
        <is>
          <t>L여행사</t>
        </is>
      </c>
      <c r="M2451" s="9">
        <f>IF($A2451="","",VALUE($A2451&amp;"")*12+VALUE($B2451&amp;""))</f>
        <v/>
      </c>
      <c r="N2451" s="39">
        <f>IF($A2451="","",IFERROR(INDEX(부서매핑!$C$5:$C$504,MATCH($G2451&amp;"",부서매핑!$A$5:$A$504,0)),"미매핑"))</f>
        <v/>
      </c>
      <c r="O2451" s="9">
        <f>IF($A2451="","",N2451&amp;"|"&amp;$F2451)</f>
        <v/>
      </c>
      <c r="P2451" s="77">
        <f>IF($A2451="",0,$H2451*설정!$C$23)</f>
        <v/>
      </c>
      <c r="Q2451" s="39">
        <f>IF($A2451="","",IF(O2451&lt;&gt;원인분석!$C$9,"",IF(AND(M2451&gt;=원인분석!$C$10,M2451&lt;=원인분석!$C$11),"당기",IF(AND(M2451&gt;=원인분석!$C$12,M2451&lt;=원인분석!$C$13),"비교",""))))</f>
        <v/>
      </c>
      <c r="R2451" s="9">
        <f>IF(Q2451="","",$K2451&amp;"")</f>
        <v/>
      </c>
      <c r="S2451" s="9">
        <f>IF(Q2451="","",IF(MATCH(R2451,$R$5:$R$100000,0)=ROW()-4,ROW(),""))</f>
        <v/>
      </c>
      <c r="T2451" s="9">
        <f>IF(Q2451="당기",ABS(P2451)+ROW()/1000000000,"")</f>
        <v/>
      </c>
      <c r="U2451" s="9">
        <f>IF(Q2451="비교",ABS(P2451)+ROW()/1000000000,"")</f>
        <v/>
      </c>
      <c r="V2451" s="39">
        <f>IF($A2451="","",IF(COUNTIF(변동분석!$E$7:$E$506,O2451)&gt;0,"Y","N"))</f>
        <v/>
      </c>
      <c r="W2451" s="39">
        <f>IF($A2451="","",IFERROR(INDEX(계정매핑!$D$5:$D$504,MATCH($F2451&amp;"",계정매핑!$A$5:$A$504,0)),"미매핑"))</f>
        <v/>
      </c>
      <c r="X2451" s="9">
        <f>IF($A2451="","",$F2451&amp;"")</f>
        <v/>
      </c>
    </row>
    <row r="2452">
      <c r="A2452" s="75" t="n">
        <v>2026</v>
      </c>
      <c r="B2452" s="75" t="n">
        <v>1</v>
      </c>
      <c r="C2452" s="75" t="inlineStr">
        <is>
          <t>5100000108</t>
        </is>
      </c>
      <c r="D2452" s="78" t="n">
        <v>46039</v>
      </c>
      <c r="E2452" s="75" t="inlineStr">
        <is>
          <t>KR</t>
        </is>
      </c>
      <c r="F2452" s="75" t="n">
        <v>62102000</v>
      </c>
      <c r="G2452" s="75" t="n">
        <v>1201</v>
      </c>
      <c r="H2452" s="76" t="n">
        <v>52000</v>
      </c>
      <c r="I2452" s="75" t="inlineStr">
        <is>
          <t>1월 해외출장 - M항공</t>
        </is>
      </c>
      <c r="J2452" s="75" t="inlineStr">
        <is>
          <t>V10001</t>
        </is>
      </c>
      <c r="K2452" s="75" t="inlineStr">
        <is>
          <t>M항공</t>
        </is>
      </c>
      <c r="M2452" s="9">
        <f>IF($A2452="","",VALUE($A2452&amp;"")*12+VALUE($B2452&amp;""))</f>
        <v/>
      </c>
      <c r="N2452" s="39">
        <f>IF($A2452="","",IFERROR(INDEX(부서매핑!$C$5:$C$504,MATCH($G2452&amp;"",부서매핑!$A$5:$A$504,0)),"미매핑"))</f>
        <v/>
      </c>
      <c r="O2452" s="9">
        <f>IF($A2452="","",N2452&amp;"|"&amp;$F2452)</f>
        <v/>
      </c>
      <c r="P2452" s="77">
        <f>IF($A2452="",0,$H2452*설정!$C$23)</f>
        <v/>
      </c>
      <c r="Q2452" s="39">
        <f>IF($A2452="","",IF(O2452&lt;&gt;원인분석!$C$9,"",IF(AND(M2452&gt;=원인분석!$C$10,M2452&lt;=원인분석!$C$11),"당기",IF(AND(M2452&gt;=원인분석!$C$12,M2452&lt;=원인분석!$C$13),"비교",""))))</f>
        <v/>
      </c>
      <c r="R2452" s="9">
        <f>IF(Q2452="","",$K2452&amp;"")</f>
        <v/>
      </c>
      <c r="S2452" s="9">
        <f>IF(Q2452="","",IF(MATCH(R2452,$R$5:$R$100000,0)=ROW()-4,ROW(),""))</f>
        <v/>
      </c>
      <c r="T2452" s="9">
        <f>IF(Q2452="당기",ABS(P2452)+ROW()/1000000000,"")</f>
        <v/>
      </c>
      <c r="U2452" s="9">
        <f>IF(Q2452="비교",ABS(P2452)+ROW()/1000000000,"")</f>
        <v/>
      </c>
      <c r="V2452" s="39">
        <f>IF($A2452="","",IF(COUNTIF(변동분석!$E$7:$E$506,O2452)&gt;0,"Y","N"))</f>
        <v/>
      </c>
      <c r="W2452" s="39">
        <f>IF($A2452="","",IFERROR(INDEX(계정매핑!$D$5:$D$504,MATCH($F2452&amp;"",계정매핑!$A$5:$A$504,0)),"미매핑"))</f>
        <v/>
      </c>
      <c r="X2452" s="9">
        <f>IF($A2452="","",$F2452&amp;"")</f>
        <v/>
      </c>
    </row>
    <row r="2453">
      <c r="A2453" s="75" t="n">
        <v>2026</v>
      </c>
      <c r="B2453" s="75" t="n">
        <v>1</v>
      </c>
      <c r="C2453" s="75" t="inlineStr">
        <is>
          <t>5100000109</t>
        </is>
      </c>
      <c r="D2453" s="78" t="n">
        <v>46039</v>
      </c>
      <c r="E2453" s="75" t="inlineStr">
        <is>
          <t>KR</t>
        </is>
      </c>
      <c r="F2453" s="75" t="n">
        <v>62201000</v>
      </c>
      <c r="G2453" s="75" t="n">
        <v>1801</v>
      </c>
      <c r="H2453" s="76" t="n">
        <v>7348000</v>
      </c>
      <c r="I2453" s="75" t="inlineStr">
        <is>
          <t>1월 통신요금 - O텔레콤</t>
        </is>
      </c>
      <c r="J2453" s="75" t="inlineStr">
        <is>
          <t>V10002</t>
        </is>
      </c>
      <c r="K2453" s="75" t="inlineStr">
        <is>
          <t>O텔레콤</t>
        </is>
      </c>
      <c r="M2453" s="9">
        <f>IF($A2453="","",VALUE($A2453&amp;"")*12+VALUE($B2453&amp;""))</f>
        <v/>
      </c>
      <c r="N2453" s="39">
        <f>IF($A2453="","",IFERROR(INDEX(부서매핑!$C$5:$C$504,MATCH($G2453&amp;"",부서매핑!$A$5:$A$504,0)),"미매핑"))</f>
        <v/>
      </c>
      <c r="O2453" s="9">
        <f>IF($A2453="","",N2453&amp;"|"&amp;$F2453)</f>
        <v/>
      </c>
      <c r="P2453" s="77">
        <f>IF($A2453="",0,$H2453*설정!$C$23)</f>
        <v/>
      </c>
      <c r="Q2453" s="39">
        <f>IF($A2453="","",IF(O2453&lt;&gt;원인분석!$C$9,"",IF(AND(M2453&gt;=원인분석!$C$10,M2453&lt;=원인분석!$C$11),"당기",IF(AND(M2453&gt;=원인분석!$C$12,M2453&lt;=원인분석!$C$13),"비교",""))))</f>
        <v/>
      </c>
      <c r="R2453" s="9">
        <f>IF(Q2453="","",$K2453&amp;"")</f>
        <v/>
      </c>
      <c r="S2453" s="9">
        <f>IF(Q2453="","",IF(MATCH(R2453,$R$5:$R$100000,0)=ROW()-4,ROW(),""))</f>
        <v/>
      </c>
      <c r="T2453" s="9">
        <f>IF(Q2453="당기",ABS(P2453)+ROW()/1000000000,"")</f>
        <v/>
      </c>
      <c r="U2453" s="9">
        <f>IF(Q2453="비교",ABS(P2453)+ROW()/1000000000,"")</f>
        <v/>
      </c>
      <c r="V2453" s="39">
        <f>IF($A2453="","",IF(COUNTIF(변동분석!$E$7:$E$506,O2453)&gt;0,"Y","N"))</f>
        <v/>
      </c>
      <c r="W2453" s="39">
        <f>IF($A2453="","",IFERROR(INDEX(계정매핑!$D$5:$D$504,MATCH($F2453&amp;"",계정매핑!$A$5:$A$504,0)),"미매핑"))</f>
        <v/>
      </c>
      <c r="X2453" s="9">
        <f>IF($A2453="","",$F2453&amp;"")</f>
        <v/>
      </c>
    </row>
    <row r="2454">
      <c r="A2454" s="75" t="n">
        <v>2026</v>
      </c>
      <c r="B2454" s="75" t="n">
        <v>1</v>
      </c>
      <c r="C2454" s="75" t="inlineStr">
        <is>
          <t>5100000110</t>
        </is>
      </c>
      <c r="D2454" s="78" t="n">
        <v>46039</v>
      </c>
      <c r="E2454" s="75" t="inlineStr">
        <is>
          <t>KR</t>
        </is>
      </c>
      <c r="F2454" s="75" t="n">
        <v>62501000</v>
      </c>
      <c r="G2454" s="75" t="n">
        <v>1301</v>
      </c>
      <c r="H2454" s="76" t="n">
        <v>215000</v>
      </c>
      <c r="I2454" s="75" t="inlineStr">
        <is>
          <t>1월 회의 다과 - T케이터링</t>
        </is>
      </c>
      <c r="J2454" s="75" t="inlineStr">
        <is>
          <t>V10005</t>
        </is>
      </c>
      <c r="K2454" s="75" t="inlineStr">
        <is>
          <t>T케이터링</t>
        </is>
      </c>
      <c r="M2454" s="9">
        <f>IF($A2454="","",VALUE($A2454&amp;"")*12+VALUE($B2454&amp;""))</f>
        <v/>
      </c>
      <c r="N2454" s="39">
        <f>IF($A2454="","",IFERROR(INDEX(부서매핑!$C$5:$C$504,MATCH($G2454&amp;"",부서매핑!$A$5:$A$504,0)),"미매핑"))</f>
        <v/>
      </c>
      <c r="O2454" s="9">
        <f>IF($A2454="","",N2454&amp;"|"&amp;$F2454)</f>
        <v/>
      </c>
      <c r="P2454" s="77">
        <f>IF($A2454="",0,$H2454*설정!$C$23)</f>
        <v/>
      </c>
      <c r="Q2454" s="39">
        <f>IF($A2454="","",IF(O2454&lt;&gt;원인분석!$C$9,"",IF(AND(M2454&gt;=원인분석!$C$10,M2454&lt;=원인분석!$C$11),"당기",IF(AND(M2454&gt;=원인분석!$C$12,M2454&lt;=원인분석!$C$13),"비교",""))))</f>
        <v/>
      </c>
      <c r="R2454" s="9">
        <f>IF(Q2454="","",$K2454&amp;"")</f>
        <v/>
      </c>
      <c r="S2454" s="9">
        <f>IF(Q2454="","",IF(MATCH(R2454,$R$5:$R$100000,0)=ROW()-4,ROW(),""))</f>
        <v/>
      </c>
      <c r="T2454" s="9">
        <f>IF(Q2454="당기",ABS(P2454)+ROW()/1000000000,"")</f>
        <v/>
      </c>
      <c r="U2454" s="9">
        <f>IF(Q2454="비교",ABS(P2454)+ROW()/1000000000,"")</f>
        <v/>
      </c>
      <c r="V2454" s="39">
        <f>IF($A2454="","",IF(COUNTIF(변동분석!$E$7:$E$506,O2454)&gt;0,"Y","N"))</f>
        <v/>
      </c>
      <c r="W2454" s="39">
        <f>IF($A2454="","",IFERROR(INDEX(계정매핑!$D$5:$D$504,MATCH($F2454&amp;"",계정매핑!$A$5:$A$504,0)),"미매핑"))</f>
        <v/>
      </c>
      <c r="X2454" s="9">
        <f>IF($A2454="","",$F2454&amp;"")</f>
        <v/>
      </c>
    </row>
    <row r="2455">
      <c r="A2455" s="75" t="n">
        <v>2026</v>
      </c>
      <c r="B2455" s="75" t="n">
        <v>1</v>
      </c>
      <c r="C2455" s="75" t="inlineStr">
        <is>
          <t>5100000111</t>
        </is>
      </c>
      <c r="D2455" s="78" t="n">
        <v>46039</v>
      </c>
      <c r="E2455" s="75" t="inlineStr">
        <is>
          <t>KR</t>
        </is>
      </c>
      <c r="F2455" s="75" t="n">
        <v>62501000</v>
      </c>
      <c r="G2455" s="75" t="n">
        <v>1401</v>
      </c>
      <c r="H2455" s="76" t="n">
        <v>125000</v>
      </c>
      <c r="I2455" s="75" t="inlineStr">
        <is>
          <t>1월 회의 다과 - (법인카드)</t>
        </is>
      </c>
      <c r="J2455" s="75" t="inlineStr">
        <is>
          <t>V10008</t>
        </is>
      </c>
      <c r="K2455" s="75" t="inlineStr">
        <is>
          <t>(법인카드)</t>
        </is>
      </c>
      <c r="M2455" s="9">
        <f>IF($A2455="","",VALUE($A2455&amp;"")*12+VALUE($B2455&amp;""))</f>
        <v/>
      </c>
      <c r="N2455" s="39">
        <f>IF($A2455="","",IFERROR(INDEX(부서매핑!$C$5:$C$504,MATCH($G2455&amp;"",부서매핑!$A$5:$A$504,0)),"미매핑"))</f>
        <v/>
      </c>
      <c r="O2455" s="9">
        <f>IF($A2455="","",N2455&amp;"|"&amp;$F2455)</f>
        <v/>
      </c>
      <c r="P2455" s="77">
        <f>IF($A2455="",0,$H2455*설정!$C$23)</f>
        <v/>
      </c>
      <c r="Q2455" s="39">
        <f>IF($A2455="","",IF(O2455&lt;&gt;원인분석!$C$9,"",IF(AND(M2455&gt;=원인분석!$C$10,M2455&lt;=원인분석!$C$11),"당기",IF(AND(M2455&gt;=원인분석!$C$12,M2455&lt;=원인분석!$C$13),"비교",""))))</f>
        <v/>
      </c>
      <c r="R2455" s="9">
        <f>IF(Q2455="","",$K2455&amp;"")</f>
        <v/>
      </c>
      <c r="S2455" s="9">
        <f>IF(Q2455="","",IF(MATCH(R2455,$R$5:$R$100000,0)=ROW()-4,ROW(),""))</f>
        <v/>
      </c>
      <c r="T2455" s="9">
        <f>IF(Q2455="당기",ABS(P2455)+ROW()/1000000000,"")</f>
        <v/>
      </c>
      <c r="U2455" s="9">
        <f>IF(Q2455="비교",ABS(P2455)+ROW()/1000000000,"")</f>
        <v/>
      </c>
      <c r="V2455" s="39">
        <f>IF($A2455="","",IF(COUNTIF(변동분석!$E$7:$E$506,O2455)&gt;0,"Y","N"))</f>
        <v/>
      </c>
      <c r="W2455" s="39">
        <f>IF($A2455="","",IFERROR(INDEX(계정매핑!$D$5:$D$504,MATCH($F2455&amp;"",계정매핑!$A$5:$A$504,0)),"미매핑"))</f>
        <v/>
      </c>
      <c r="X2455" s="9">
        <f>IF($A2455="","",$F2455&amp;"")</f>
        <v/>
      </c>
    </row>
    <row r="2456">
      <c r="A2456" s="75" t="n">
        <v>2026</v>
      </c>
      <c r="B2456" s="75" t="n">
        <v>1</v>
      </c>
      <c r="C2456" s="75" t="inlineStr">
        <is>
          <t>5100000112</t>
        </is>
      </c>
      <c r="D2456" s="78" t="n">
        <v>46039</v>
      </c>
      <c r="E2456" s="75" t="inlineStr">
        <is>
          <t>KR</t>
        </is>
      </c>
      <c r="F2456" s="75" t="n">
        <v>62802000</v>
      </c>
      <c r="G2456" s="75" t="n">
        <v>1301</v>
      </c>
      <c r="H2456" s="76" t="n">
        <v>2397000</v>
      </c>
      <c r="I2456" s="75" t="inlineStr">
        <is>
          <t>1월 위탁교육 - V아카데미</t>
        </is>
      </c>
      <c r="J2456" s="75" t="inlineStr">
        <is>
          <t>V10023</t>
        </is>
      </c>
      <c r="K2456" s="75" t="inlineStr">
        <is>
          <t>V아카데미</t>
        </is>
      </c>
      <c r="M2456" s="9">
        <f>IF($A2456="","",VALUE($A2456&amp;"")*12+VALUE($B2456&amp;""))</f>
        <v/>
      </c>
      <c r="N2456" s="39">
        <f>IF($A2456="","",IFERROR(INDEX(부서매핑!$C$5:$C$504,MATCH($G2456&amp;"",부서매핑!$A$5:$A$504,0)),"미매핑"))</f>
        <v/>
      </c>
      <c r="O2456" s="9">
        <f>IF($A2456="","",N2456&amp;"|"&amp;$F2456)</f>
        <v/>
      </c>
      <c r="P2456" s="77">
        <f>IF($A2456="",0,$H2456*설정!$C$23)</f>
        <v/>
      </c>
      <c r="Q2456" s="39">
        <f>IF($A2456="","",IF(O2456&lt;&gt;원인분석!$C$9,"",IF(AND(M2456&gt;=원인분석!$C$10,M2456&lt;=원인분석!$C$11),"당기",IF(AND(M2456&gt;=원인분석!$C$12,M2456&lt;=원인분석!$C$13),"비교",""))))</f>
        <v/>
      </c>
      <c r="R2456" s="9">
        <f>IF(Q2456="","",$K2456&amp;"")</f>
        <v/>
      </c>
      <c r="S2456" s="9">
        <f>IF(Q2456="","",IF(MATCH(R2456,$R$5:$R$100000,0)=ROW()-4,ROW(),""))</f>
        <v/>
      </c>
      <c r="T2456" s="9">
        <f>IF(Q2456="당기",ABS(P2456)+ROW()/1000000000,"")</f>
        <v/>
      </c>
      <c r="U2456" s="9">
        <f>IF(Q2456="비교",ABS(P2456)+ROW()/1000000000,"")</f>
        <v/>
      </c>
      <c r="V2456" s="39">
        <f>IF($A2456="","",IF(COUNTIF(변동분석!$E$7:$E$506,O2456)&gt;0,"Y","N"))</f>
        <v/>
      </c>
      <c r="W2456" s="39">
        <f>IF($A2456="","",IFERROR(INDEX(계정매핑!$D$5:$D$504,MATCH($F2456&amp;"",계정매핑!$A$5:$A$504,0)),"미매핑"))</f>
        <v/>
      </c>
      <c r="X2456" s="9">
        <f>IF($A2456="","",$F2456&amp;"")</f>
        <v/>
      </c>
    </row>
    <row r="2457">
      <c r="A2457" s="75" t="n">
        <v>2026</v>
      </c>
      <c r="B2457" s="75" t="n">
        <v>1</v>
      </c>
      <c r="C2457" s="75" t="inlineStr">
        <is>
          <t>5100000113</t>
        </is>
      </c>
      <c r="D2457" s="78" t="n">
        <v>46039</v>
      </c>
      <c r="E2457" s="75" t="inlineStr">
        <is>
          <t>KR</t>
        </is>
      </c>
      <c r="F2457" s="75" t="n">
        <v>62901000</v>
      </c>
      <c r="G2457" s="75" t="n">
        <v>1401</v>
      </c>
      <c r="H2457" s="76" t="n">
        <v>4566000</v>
      </c>
      <c r="I2457" s="75" t="inlineStr">
        <is>
          <t>1월 자문 수수료 - W컨설팅</t>
        </is>
      </c>
      <c r="J2457" s="75" t="inlineStr">
        <is>
          <t>V10009</t>
        </is>
      </c>
      <c r="K2457" s="75" t="inlineStr">
        <is>
          <t>W컨설팅</t>
        </is>
      </c>
      <c r="M2457" s="9">
        <f>IF($A2457="","",VALUE($A2457&amp;"")*12+VALUE($B2457&amp;""))</f>
        <v/>
      </c>
      <c r="N2457" s="39">
        <f>IF($A2457="","",IFERROR(INDEX(부서매핑!$C$5:$C$504,MATCH($G2457&amp;"",부서매핑!$A$5:$A$504,0)),"미매핑"))</f>
        <v/>
      </c>
      <c r="O2457" s="9">
        <f>IF($A2457="","",N2457&amp;"|"&amp;$F2457)</f>
        <v/>
      </c>
      <c r="P2457" s="77">
        <f>IF($A2457="",0,$H2457*설정!$C$23)</f>
        <v/>
      </c>
      <c r="Q2457" s="39">
        <f>IF($A2457="","",IF(O2457&lt;&gt;원인분석!$C$9,"",IF(AND(M2457&gt;=원인분석!$C$10,M2457&lt;=원인분석!$C$11),"당기",IF(AND(M2457&gt;=원인분석!$C$12,M2457&lt;=원인분석!$C$13),"비교",""))))</f>
        <v/>
      </c>
      <c r="R2457" s="9">
        <f>IF(Q2457="","",$K2457&amp;"")</f>
        <v/>
      </c>
      <c r="S2457" s="9">
        <f>IF(Q2457="","",IF(MATCH(R2457,$R$5:$R$100000,0)=ROW()-4,ROW(),""))</f>
        <v/>
      </c>
      <c r="T2457" s="9">
        <f>IF(Q2457="당기",ABS(P2457)+ROW()/1000000000,"")</f>
        <v/>
      </c>
      <c r="U2457" s="9">
        <f>IF(Q2457="비교",ABS(P2457)+ROW()/1000000000,"")</f>
        <v/>
      </c>
      <c r="V2457" s="39">
        <f>IF($A2457="","",IF(COUNTIF(변동분석!$E$7:$E$506,O2457)&gt;0,"Y","N"))</f>
        <v/>
      </c>
      <c r="W2457" s="39">
        <f>IF($A2457="","",IFERROR(INDEX(계정매핑!$D$5:$D$504,MATCH($F2457&amp;"",계정매핑!$A$5:$A$504,0)),"미매핑"))</f>
        <v/>
      </c>
      <c r="X2457" s="9">
        <f>IF($A2457="","",$F2457&amp;"")</f>
        <v/>
      </c>
    </row>
    <row r="2458">
      <c r="A2458" s="75" t="n">
        <v>2026</v>
      </c>
      <c r="B2458" s="75" t="n">
        <v>1</v>
      </c>
      <c r="C2458" s="75" t="inlineStr">
        <is>
          <t>5100000114</t>
        </is>
      </c>
      <c r="D2458" s="78" t="n">
        <v>46040</v>
      </c>
      <c r="E2458" s="75" t="inlineStr">
        <is>
          <t>KR</t>
        </is>
      </c>
      <c r="F2458" s="75" t="n">
        <v>62101000</v>
      </c>
      <c r="G2458" s="75" t="n">
        <v>1401</v>
      </c>
      <c r="H2458" s="76" t="n">
        <v>235000</v>
      </c>
      <c r="I2458" s="75" t="inlineStr">
        <is>
          <t>1월 국내출장 - M항공</t>
        </is>
      </c>
      <c r="J2458" s="75" t="inlineStr">
        <is>
          <t>V10001</t>
        </is>
      </c>
      <c r="K2458" s="75" t="inlineStr">
        <is>
          <t>M항공</t>
        </is>
      </c>
      <c r="M2458" s="9">
        <f>IF($A2458="","",VALUE($A2458&amp;"")*12+VALUE($B2458&amp;""))</f>
        <v/>
      </c>
      <c r="N2458" s="39">
        <f>IF($A2458="","",IFERROR(INDEX(부서매핑!$C$5:$C$504,MATCH($G2458&amp;"",부서매핑!$A$5:$A$504,0)),"미매핑"))</f>
        <v/>
      </c>
      <c r="O2458" s="9">
        <f>IF($A2458="","",N2458&amp;"|"&amp;$F2458)</f>
        <v/>
      </c>
      <c r="P2458" s="77">
        <f>IF($A2458="",0,$H2458*설정!$C$23)</f>
        <v/>
      </c>
      <c r="Q2458" s="39">
        <f>IF($A2458="","",IF(O2458&lt;&gt;원인분석!$C$9,"",IF(AND(M2458&gt;=원인분석!$C$10,M2458&lt;=원인분석!$C$11),"당기",IF(AND(M2458&gt;=원인분석!$C$12,M2458&lt;=원인분석!$C$13),"비교",""))))</f>
        <v/>
      </c>
      <c r="R2458" s="9">
        <f>IF(Q2458="","",$K2458&amp;"")</f>
        <v/>
      </c>
      <c r="S2458" s="9">
        <f>IF(Q2458="","",IF(MATCH(R2458,$R$5:$R$100000,0)=ROW()-4,ROW(),""))</f>
        <v/>
      </c>
      <c r="T2458" s="9">
        <f>IF(Q2458="당기",ABS(P2458)+ROW()/1000000000,"")</f>
        <v/>
      </c>
      <c r="U2458" s="9">
        <f>IF(Q2458="비교",ABS(P2458)+ROW()/1000000000,"")</f>
        <v/>
      </c>
      <c r="V2458" s="39">
        <f>IF($A2458="","",IF(COUNTIF(변동분석!$E$7:$E$506,O2458)&gt;0,"Y","N"))</f>
        <v/>
      </c>
      <c r="W2458" s="39">
        <f>IF($A2458="","",IFERROR(INDEX(계정매핑!$D$5:$D$504,MATCH($F2458&amp;"",계정매핑!$A$5:$A$504,0)),"미매핑"))</f>
        <v/>
      </c>
      <c r="X2458" s="9">
        <f>IF($A2458="","",$F2458&amp;"")</f>
        <v/>
      </c>
    </row>
    <row r="2459">
      <c r="A2459" s="75" t="n">
        <v>2026</v>
      </c>
      <c r="B2459" s="75" t="n">
        <v>1</v>
      </c>
      <c r="C2459" s="75" t="inlineStr">
        <is>
          <t>5100000115</t>
        </is>
      </c>
      <c r="D2459" s="78" t="n">
        <v>46040</v>
      </c>
      <c r="E2459" s="75" t="inlineStr">
        <is>
          <t>KR</t>
        </is>
      </c>
      <c r="F2459" s="75" t="n">
        <v>62201000</v>
      </c>
      <c r="G2459" s="75" t="n">
        <v>1201</v>
      </c>
      <c r="H2459" s="76" t="n">
        <v>157000</v>
      </c>
      <c r="I2459" s="75" t="inlineStr">
        <is>
          <t>1월 통신요금 - O텔레콤</t>
        </is>
      </c>
      <c r="J2459" s="75" t="inlineStr">
        <is>
          <t>V10002</t>
        </is>
      </c>
      <c r="K2459" s="75" t="inlineStr">
        <is>
          <t>O텔레콤</t>
        </is>
      </c>
      <c r="M2459" s="9">
        <f>IF($A2459="","",VALUE($A2459&amp;"")*12+VALUE($B2459&amp;""))</f>
        <v/>
      </c>
      <c r="N2459" s="39">
        <f>IF($A2459="","",IFERROR(INDEX(부서매핑!$C$5:$C$504,MATCH($G2459&amp;"",부서매핑!$A$5:$A$504,0)),"미매핑"))</f>
        <v/>
      </c>
      <c r="O2459" s="9">
        <f>IF($A2459="","",N2459&amp;"|"&amp;$F2459)</f>
        <v/>
      </c>
      <c r="P2459" s="77">
        <f>IF($A2459="",0,$H2459*설정!$C$23)</f>
        <v/>
      </c>
      <c r="Q2459" s="39">
        <f>IF($A2459="","",IF(O2459&lt;&gt;원인분석!$C$9,"",IF(AND(M2459&gt;=원인분석!$C$10,M2459&lt;=원인분석!$C$11),"당기",IF(AND(M2459&gt;=원인분석!$C$12,M2459&lt;=원인분석!$C$13),"비교",""))))</f>
        <v/>
      </c>
      <c r="R2459" s="9">
        <f>IF(Q2459="","",$K2459&amp;"")</f>
        <v/>
      </c>
      <c r="S2459" s="9">
        <f>IF(Q2459="","",IF(MATCH(R2459,$R$5:$R$100000,0)=ROW()-4,ROW(),""))</f>
        <v/>
      </c>
      <c r="T2459" s="9">
        <f>IF(Q2459="당기",ABS(P2459)+ROW()/1000000000,"")</f>
        <v/>
      </c>
      <c r="U2459" s="9">
        <f>IF(Q2459="비교",ABS(P2459)+ROW()/1000000000,"")</f>
        <v/>
      </c>
      <c r="V2459" s="39">
        <f>IF($A2459="","",IF(COUNTIF(변동분석!$E$7:$E$506,O2459)&gt;0,"Y","N"))</f>
        <v/>
      </c>
      <c r="W2459" s="39">
        <f>IF($A2459="","",IFERROR(INDEX(계정매핑!$D$5:$D$504,MATCH($F2459&amp;"",계정매핑!$A$5:$A$504,0)),"미매핑"))</f>
        <v/>
      </c>
      <c r="X2459" s="9">
        <f>IF($A2459="","",$F2459&amp;"")</f>
        <v/>
      </c>
    </row>
    <row r="2460">
      <c r="A2460" s="75" t="n">
        <v>2026</v>
      </c>
      <c r="B2460" s="75" t="n">
        <v>1</v>
      </c>
      <c r="C2460" s="75" t="inlineStr">
        <is>
          <t>5100000116</t>
        </is>
      </c>
      <c r="D2460" s="78" t="n">
        <v>46040</v>
      </c>
      <c r="E2460" s="75" t="inlineStr">
        <is>
          <t>KR</t>
        </is>
      </c>
      <c r="F2460" s="75" t="n">
        <v>62501000</v>
      </c>
      <c r="G2460" s="75" t="n">
        <v>1801</v>
      </c>
      <c r="H2460" s="76" t="n">
        <v>167000</v>
      </c>
      <c r="I2460" s="75" t="inlineStr">
        <is>
          <t>1월 회의 다과 - (법인카드)</t>
        </is>
      </c>
      <c r="J2460" s="75" t="inlineStr">
        <is>
          <t>V10008</t>
        </is>
      </c>
      <c r="K2460" s="75" t="inlineStr">
        <is>
          <t>(법인카드)</t>
        </is>
      </c>
      <c r="M2460" s="9">
        <f>IF($A2460="","",VALUE($A2460&amp;"")*12+VALUE($B2460&amp;""))</f>
        <v/>
      </c>
      <c r="N2460" s="39">
        <f>IF($A2460="","",IFERROR(INDEX(부서매핑!$C$5:$C$504,MATCH($G2460&amp;"",부서매핑!$A$5:$A$504,0)),"미매핑"))</f>
        <v/>
      </c>
      <c r="O2460" s="9">
        <f>IF($A2460="","",N2460&amp;"|"&amp;$F2460)</f>
        <v/>
      </c>
      <c r="P2460" s="77">
        <f>IF($A2460="",0,$H2460*설정!$C$23)</f>
        <v/>
      </c>
      <c r="Q2460" s="39">
        <f>IF($A2460="","",IF(O2460&lt;&gt;원인분석!$C$9,"",IF(AND(M2460&gt;=원인분석!$C$10,M2460&lt;=원인분석!$C$11),"당기",IF(AND(M2460&gt;=원인분석!$C$12,M2460&lt;=원인분석!$C$13),"비교",""))))</f>
        <v/>
      </c>
      <c r="R2460" s="9">
        <f>IF(Q2460="","",$K2460&amp;"")</f>
        <v/>
      </c>
      <c r="S2460" s="9">
        <f>IF(Q2460="","",IF(MATCH(R2460,$R$5:$R$100000,0)=ROW()-4,ROW(),""))</f>
        <v/>
      </c>
      <c r="T2460" s="9">
        <f>IF(Q2460="당기",ABS(P2460)+ROW()/1000000000,"")</f>
        <v/>
      </c>
      <c r="U2460" s="9">
        <f>IF(Q2460="비교",ABS(P2460)+ROW()/1000000000,"")</f>
        <v/>
      </c>
      <c r="V2460" s="39">
        <f>IF($A2460="","",IF(COUNTIF(변동분석!$E$7:$E$506,O2460)&gt;0,"Y","N"))</f>
        <v/>
      </c>
      <c r="W2460" s="39">
        <f>IF($A2460="","",IFERROR(INDEX(계정매핑!$D$5:$D$504,MATCH($F2460&amp;"",계정매핑!$A$5:$A$504,0)),"미매핑"))</f>
        <v/>
      </c>
      <c r="X2460" s="9">
        <f>IF($A2460="","",$F2460&amp;"")</f>
        <v/>
      </c>
    </row>
    <row r="2461">
      <c r="A2461" s="75" t="n">
        <v>2026</v>
      </c>
      <c r="B2461" s="75" t="n">
        <v>1</v>
      </c>
      <c r="C2461" s="75" t="inlineStr">
        <is>
          <t>5100000117</t>
        </is>
      </c>
      <c r="D2461" s="78" t="n">
        <v>46040</v>
      </c>
      <c r="E2461" s="75" t="inlineStr">
        <is>
          <t>KR</t>
        </is>
      </c>
      <c r="F2461" s="75" t="n">
        <v>62601000</v>
      </c>
      <c r="G2461" s="75" t="n">
        <v>1501</v>
      </c>
      <c r="H2461" s="76" t="n">
        <v>1477000</v>
      </c>
      <c r="I2461" s="75" t="inlineStr">
        <is>
          <t>1월 업무추진 - (법인카드)</t>
        </is>
      </c>
      <c r="J2461" s="75" t="inlineStr">
        <is>
          <t>V10008</t>
        </is>
      </c>
      <c r="K2461" s="75" t="inlineStr">
        <is>
          <t>(법인카드)</t>
        </is>
      </c>
      <c r="M2461" s="9">
        <f>IF($A2461="","",VALUE($A2461&amp;"")*12+VALUE($B2461&amp;""))</f>
        <v/>
      </c>
      <c r="N2461" s="39">
        <f>IF($A2461="","",IFERROR(INDEX(부서매핑!$C$5:$C$504,MATCH($G2461&amp;"",부서매핑!$A$5:$A$504,0)),"미매핑"))</f>
        <v/>
      </c>
      <c r="O2461" s="9">
        <f>IF($A2461="","",N2461&amp;"|"&amp;$F2461)</f>
        <v/>
      </c>
      <c r="P2461" s="77">
        <f>IF($A2461="",0,$H2461*설정!$C$23)</f>
        <v/>
      </c>
      <c r="Q2461" s="39">
        <f>IF($A2461="","",IF(O2461&lt;&gt;원인분석!$C$9,"",IF(AND(M2461&gt;=원인분석!$C$10,M2461&lt;=원인분석!$C$11),"당기",IF(AND(M2461&gt;=원인분석!$C$12,M2461&lt;=원인분석!$C$13),"비교",""))))</f>
        <v/>
      </c>
      <c r="R2461" s="9">
        <f>IF(Q2461="","",$K2461&amp;"")</f>
        <v/>
      </c>
      <c r="S2461" s="9">
        <f>IF(Q2461="","",IF(MATCH(R2461,$R$5:$R$100000,0)=ROW()-4,ROW(),""))</f>
        <v/>
      </c>
      <c r="T2461" s="9">
        <f>IF(Q2461="당기",ABS(P2461)+ROW()/1000000000,"")</f>
        <v/>
      </c>
      <c r="U2461" s="9">
        <f>IF(Q2461="비교",ABS(P2461)+ROW()/1000000000,"")</f>
        <v/>
      </c>
      <c r="V2461" s="39">
        <f>IF($A2461="","",IF(COUNTIF(변동분석!$E$7:$E$506,O2461)&gt;0,"Y","N"))</f>
        <v/>
      </c>
      <c r="W2461" s="39">
        <f>IF($A2461="","",IFERROR(INDEX(계정매핑!$D$5:$D$504,MATCH($F2461&amp;"",계정매핑!$A$5:$A$504,0)),"미매핑"))</f>
        <v/>
      </c>
      <c r="X2461" s="9">
        <f>IF($A2461="","",$F2461&amp;"")</f>
        <v/>
      </c>
    </row>
    <row r="2462">
      <c r="A2462" s="75" t="n">
        <v>2026</v>
      </c>
      <c r="B2462" s="75" t="n">
        <v>1</v>
      </c>
      <c r="C2462" s="75" t="inlineStr">
        <is>
          <t>5100000118</t>
        </is>
      </c>
      <c r="D2462" s="78" t="n">
        <v>46040</v>
      </c>
      <c r="E2462" s="75" t="inlineStr">
        <is>
          <t>KR</t>
        </is>
      </c>
      <c r="F2462" s="75" t="n">
        <v>62901000</v>
      </c>
      <c r="G2462" s="75" t="n">
        <v>1401</v>
      </c>
      <c r="H2462" s="76" t="n">
        <v>6277000</v>
      </c>
      <c r="I2462" s="75" t="inlineStr">
        <is>
          <t>1월 자문 수수료 - K회계법인</t>
        </is>
      </c>
      <c r="J2462" s="75" t="inlineStr">
        <is>
          <t>V10010</t>
        </is>
      </c>
      <c r="K2462" s="75" t="inlineStr">
        <is>
          <t>K회계법인</t>
        </is>
      </c>
      <c r="M2462" s="9">
        <f>IF($A2462="","",VALUE($A2462&amp;"")*12+VALUE($B2462&amp;""))</f>
        <v/>
      </c>
      <c r="N2462" s="39">
        <f>IF($A2462="","",IFERROR(INDEX(부서매핑!$C$5:$C$504,MATCH($G2462&amp;"",부서매핑!$A$5:$A$504,0)),"미매핑"))</f>
        <v/>
      </c>
      <c r="O2462" s="9">
        <f>IF($A2462="","",N2462&amp;"|"&amp;$F2462)</f>
        <v/>
      </c>
      <c r="P2462" s="77">
        <f>IF($A2462="",0,$H2462*설정!$C$23)</f>
        <v/>
      </c>
      <c r="Q2462" s="39">
        <f>IF($A2462="","",IF(O2462&lt;&gt;원인분석!$C$9,"",IF(AND(M2462&gt;=원인분석!$C$10,M2462&lt;=원인분석!$C$11),"당기",IF(AND(M2462&gt;=원인분석!$C$12,M2462&lt;=원인분석!$C$13),"비교",""))))</f>
        <v/>
      </c>
      <c r="R2462" s="9">
        <f>IF(Q2462="","",$K2462&amp;"")</f>
        <v/>
      </c>
      <c r="S2462" s="9">
        <f>IF(Q2462="","",IF(MATCH(R2462,$R$5:$R$100000,0)=ROW()-4,ROW(),""))</f>
        <v/>
      </c>
      <c r="T2462" s="9">
        <f>IF(Q2462="당기",ABS(P2462)+ROW()/1000000000,"")</f>
        <v/>
      </c>
      <c r="U2462" s="9">
        <f>IF(Q2462="비교",ABS(P2462)+ROW()/1000000000,"")</f>
        <v/>
      </c>
      <c r="V2462" s="39">
        <f>IF($A2462="","",IF(COUNTIF(변동분석!$E$7:$E$506,O2462)&gt;0,"Y","N"))</f>
        <v/>
      </c>
      <c r="W2462" s="39">
        <f>IF($A2462="","",IFERROR(INDEX(계정매핑!$D$5:$D$504,MATCH($F2462&amp;"",계정매핑!$A$5:$A$504,0)),"미매핑"))</f>
        <v/>
      </c>
      <c r="X2462" s="9">
        <f>IF($A2462="","",$F2462&amp;"")</f>
        <v/>
      </c>
    </row>
    <row r="2463">
      <c r="A2463" s="75" t="n">
        <v>2026</v>
      </c>
      <c r="B2463" s="75" t="n">
        <v>1</v>
      </c>
      <c r="C2463" s="75" t="inlineStr">
        <is>
          <t>5100000119</t>
        </is>
      </c>
      <c r="D2463" s="78" t="n">
        <v>46040</v>
      </c>
      <c r="E2463" s="75" t="inlineStr">
        <is>
          <t>KR</t>
        </is>
      </c>
      <c r="F2463" s="75" t="n">
        <v>63001000</v>
      </c>
      <c r="G2463" s="75" t="n">
        <v>1701</v>
      </c>
      <c r="H2463" s="76" t="n">
        <v>21264000</v>
      </c>
      <c r="I2463" s="75" t="inlineStr">
        <is>
          <t>1월 SW 유지보수 - Z시스템</t>
        </is>
      </c>
      <c r="J2463" s="75" t="inlineStr">
        <is>
          <t>V10021</t>
        </is>
      </c>
      <c r="K2463" s="75" t="inlineStr">
        <is>
          <t>Z시스템</t>
        </is>
      </c>
      <c r="M2463" s="9">
        <f>IF($A2463="","",VALUE($A2463&amp;"")*12+VALUE($B2463&amp;""))</f>
        <v/>
      </c>
      <c r="N2463" s="39">
        <f>IF($A2463="","",IFERROR(INDEX(부서매핑!$C$5:$C$504,MATCH($G2463&amp;"",부서매핑!$A$5:$A$504,0)),"미매핑"))</f>
        <v/>
      </c>
      <c r="O2463" s="9">
        <f>IF($A2463="","",N2463&amp;"|"&amp;$F2463)</f>
        <v/>
      </c>
      <c r="P2463" s="77">
        <f>IF($A2463="",0,$H2463*설정!$C$23)</f>
        <v/>
      </c>
      <c r="Q2463" s="39">
        <f>IF($A2463="","",IF(O2463&lt;&gt;원인분석!$C$9,"",IF(AND(M2463&gt;=원인분석!$C$10,M2463&lt;=원인분석!$C$11),"당기",IF(AND(M2463&gt;=원인분석!$C$12,M2463&lt;=원인분석!$C$13),"비교",""))))</f>
        <v/>
      </c>
      <c r="R2463" s="9">
        <f>IF(Q2463="","",$K2463&amp;"")</f>
        <v/>
      </c>
      <c r="S2463" s="9">
        <f>IF(Q2463="","",IF(MATCH(R2463,$R$5:$R$100000,0)=ROW()-4,ROW(),""))</f>
        <v/>
      </c>
      <c r="T2463" s="9">
        <f>IF(Q2463="당기",ABS(P2463)+ROW()/1000000000,"")</f>
        <v/>
      </c>
      <c r="U2463" s="9">
        <f>IF(Q2463="비교",ABS(P2463)+ROW()/1000000000,"")</f>
        <v/>
      </c>
      <c r="V2463" s="39">
        <f>IF($A2463="","",IF(COUNTIF(변동분석!$E$7:$E$506,O2463)&gt;0,"Y","N"))</f>
        <v/>
      </c>
      <c r="W2463" s="39">
        <f>IF($A2463="","",IFERROR(INDEX(계정매핑!$D$5:$D$504,MATCH($F2463&amp;"",계정매핑!$A$5:$A$504,0)),"미매핑"))</f>
        <v/>
      </c>
      <c r="X2463" s="9">
        <f>IF($A2463="","",$F2463&amp;"")</f>
        <v/>
      </c>
    </row>
    <row r="2464">
      <c r="A2464" s="75" t="n">
        <v>2026</v>
      </c>
      <c r="B2464" s="75" t="n">
        <v>1</v>
      </c>
      <c r="C2464" s="75" t="inlineStr">
        <is>
          <t>5100000120</t>
        </is>
      </c>
      <c r="D2464" s="78" t="n">
        <v>46041</v>
      </c>
      <c r="E2464" s="75" t="inlineStr">
        <is>
          <t>KR</t>
        </is>
      </c>
      <c r="F2464" s="75" t="n">
        <v>62201000</v>
      </c>
      <c r="G2464" s="75" t="n">
        <v>1701</v>
      </c>
      <c r="H2464" s="76" t="n">
        <v>3953000</v>
      </c>
      <c r="I2464" s="75" t="inlineStr">
        <is>
          <t>1월 통신요금 - O텔레콤</t>
        </is>
      </c>
      <c r="J2464" s="75" t="inlineStr">
        <is>
          <t>V10002</t>
        </is>
      </c>
      <c r="K2464" s="75" t="inlineStr">
        <is>
          <t>O텔레콤</t>
        </is>
      </c>
      <c r="M2464" s="9">
        <f>IF($A2464="","",VALUE($A2464&amp;"")*12+VALUE($B2464&amp;""))</f>
        <v/>
      </c>
      <c r="N2464" s="39">
        <f>IF($A2464="","",IFERROR(INDEX(부서매핑!$C$5:$C$504,MATCH($G2464&amp;"",부서매핑!$A$5:$A$504,0)),"미매핑"))</f>
        <v/>
      </c>
      <c r="O2464" s="9">
        <f>IF($A2464="","",N2464&amp;"|"&amp;$F2464)</f>
        <v/>
      </c>
      <c r="P2464" s="77">
        <f>IF($A2464="",0,$H2464*설정!$C$23)</f>
        <v/>
      </c>
      <c r="Q2464" s="39">
        <f>IF($A2464="","",IF(O2464&lt;&gt;원인분석!$C$9,"",IF(AND(M2464&gt;=원인분석!$C$10,M2464&lt;=원인분석!$C$11),"당기",IF(AND(M2464&gt;=원인분석!$C$12,M2464&lt;=원인분석!$C$13),"비교",""))))</f>
        <v/>
      </c>
      <c r="R2464" s="9">
        <f>IF(Q2464="","",$K2464&amp;"")</f>
        <v/>
      </c>
      <c r="S2464" s="9">
        <f>IF(Q2464="","",IF(MATCH(R2464,$R$5:$R$100000,0)=ROW()-4,ROW(),""))</f>
        <v/>
      </c>
      <c r="T2464" s="9">
        <f>IF(Q2464="당기",ABS(P2464)+ROW()/1000000000,"")</f>
        <v/>
      </c>
      <c r="U2464" s="9">
        <f>IF(Q2464="비교",ABS(P2464)+ROW()/1000000000,"")</f>
        <v/>
      </c>
      <c r="V2464" s="39">
        <f>IF($A2464="","",IF(COUNTIF(변동분석!$E$7:$E$506,O2464)&gt;0,"Y","N"))</f>
        <v/>
      </c>
      <c r="W2464" s="39">
        <f>IF($A2464="","",IFERROR(INDEX(계정매핑!$D$5:$D$504,MATCH($F2464&amp;"",계정매핑!$A$5:$A$504,0)),"미매핑"))</f>
        <v/>
      </c>
      <c r="X2464" s="9">
        <f>IF($A2464="","",$F2464&amp;"")</f>
        <v/>
      </c>
    </row>
    <row r="2465">
      <c r="A2465" s="75" t="n">
        <v>2026</v>
      </c>
      <c r="B2465" s="75" t="n">
        <v>1</v>
      </c>
      <c r="C2465" s="75" t="inlineStr">
        <is>
          <t>5100000121</t>
        </is>
      </c>
      <c r="D2465" s="78" t="n">
        <v>46041</v>
      </c>
      <c r="E2465" s="75" t="inlineStr">
        <is>
          <t>KR</t>
        </is>
      </c>
      <c r="F2465" s="75" t="n">
        <v>62902000</v>
      </c>
      <c r="G2465" s="75" t="n">
        <v>1801</v>
      </c>
      <c r="H2465" s="76" t="n">
        <v>1763000</v>
      </c>
      <c r="I2465" s="75" t="inlineStr">
        <is>
          <t>1월 콜 위탁 수수료(건별)</t>
        </is>
      </c>
      <c r="J2465" s="75" t="inlineStr">
        <is>
          <t>V10013</t>
        </is>
      </c>
      <c r="K2465" s="75" t="inlineStr">
        <is>
          <t>J콜센터</t>
        </is>
      </c>
      <c r="M2465" s="9">
        <f>IF($A2465="","",VALUE($A2465&amp;"")*12+VALUE($B2465&amp;""))</f>
        <v/>
      </c>
      <c r="N2465" s="39">
        <f>IF($A2465="","",IFERROR(INDEX(부서매핑!$C$5:$C$504,MATCH($G2465&amp;"",부서매핑!$A$5:$A$504,0)),"미매핑"))</f>
        <v/>
      </c>
      <c r="O2465" s="9">
        <f>IF($A2465="","",N2465&amp;"|"&amp;$F2465)</f>
        <v/>
      </c>
      <c r="P2465" s="77">
        <f>IF($A2465="",0,$H2465*설정!$C$23)</f>
        <v/>
      </c>
      <c r="Q2465" s="39">
        <f>IF($A2465="","",IF(O2465&lt;&gt;원인분석!$C$9,"",IF(AND(M2465&gt;=원인분석!$C$10,M2465&lt;=원인분석!$C$11),"당기",IF(AND(M2465&gt;=원인분석!$C$12,M2465&lt;=원인분석!$C$13),"비교",""))))</f>
        <v/>
      </c>
      <c r="R2465" s="9">
        <f>IF(Q2465="","",$K2465&amp;"")</f>
        <v/>
      </c>
      <c r="S2465" s="9">
        <f>IF(Q2465="","",IF(MATCH(R2465,$R$5:$R$100000,0)=ROW()-4,ROW(),""))</f>
        <v/>
      </c>
      <c r="T2465" s="9">
        <f>IF(Q2465="당기",ABS(P2465)+ROW()/1000000000,"")</f>
        <v/>
      </c>
      <c r="U2465" s="9">
        <f>IF(Q2465="비교",ABS(P2465)+ROW()/1000000000,"")</f>
        <v/>
      </c>
      <c r="V2465" s="39">
        <f>IF($A2465="","",IF(COUNTIF(변동분석!$E$7:$E$506,O2465)&gt;0,"Y","N"))</f>
        <v/>
      </c>
      <c r="W2465" s="39">
        <f>IF($A2465="","",IFERROR(INDEX(계정매핑!$D$5:$D$504,MATCH($F2465&amp;"",계정매핑!$A$5:$A$504,0)),"미매핑"))</f>
        <v/>
      </c>
      <c r="X2465" s="9">
        <f>IF($A2465="","",$F2465&amp;"")</f>
        <v/>
      </c>
    </row>
    <row r="2466">
      <c r="A2466" s="75" t="n">
        <v>2026</v>
      </c>
      <c r="B2466" s="75" t="n">
        <v>1</v>
      </c>
      <c r="C2466" s="75" t="inlineStr">
        <is>
          <t>5100000122</t>
        </is>
      </c>
      <c r="D2466" s="78" t="n">
        <v>46041</v>
      </c>
      <c r="E2466" s="75" t="inlineStr">
        <is>
          <t>KR</t>
        </is>
      </c>
      <c r="F2466" s="75" t="n">
        <v>62902000</v>
      </c>
      <c r="G2466" s="75" t="n">
        <v>1801</v>
      </c>
      <c r="H2466" s="76" t="n">
        <v>1825000</v>
      </c>
      <c r="I2466" s="75" t="inlineStr">
        <is>
          <t>1월 콜 위탁 수수료(건별)</t>
        </is>
      </c>
      <c r="J2466" s="75" t="inlineStr">
        <is>
          <t>V10013</t>
        </is>
      </c>
      <c r="K2466" s="75" t="inlineStr">
        <is>
          <t>J콜센터</t>
        </is>
      </c>
      <c r="M2466" s="9">
        <f>IF($A2466="","",VALUE($A2466&amp;"")*12+VALUE($B2466&amp;""))</f>
        <v/>
      </c>
      <c r="N2466" s="39">
        <f>IF($A2466="","",IFERROR(INDEX(부서매핑!$C$5:$C$504,MATCH($G2466&amp;"",부서매핑!$A$5:$A$504,0)),"미매핑"))</f>
        <v/>
      </c>
      <c r="O2466" s="9">
        <f>IF($A2466="","",N2466&amp;"|"&amp;$F2466)</f>
        <v/>
      </c>
      <c r="P2466" s="77">
        <f>IF($A2466="",0,$H2466*설정!$C$23)</f>
        <v/>
      </c>
      <c r="Q2466" s="39">
        <f>IF($A2466="","",IF(O2466&lt;&gt;원인분석!$C$9,"",IF(AND(M2466&gt;=원인분석!$C$10,M2466&lt;=원인분석!$C$11),"당기",IF(AND(M2466&gt;=원인분석!$C$12,M2466&lt;=원인분석!$C$13),"비교",""))))</f>
        <v/>
      </c>
      <c r="R2466" s="9">
        <f>IF(Q2466="","",$K2466&amp;"")</f>
        <v/>
      </c>
      <c r="S2466" s="9">
        <f>IF(Q2466="","",IF(MATCH(R2466,$R$5:$R$100000,0)=ROW()-4,ROW(),""))</f>
        <v/>
      </c>
      <c r="T2466" s="9">
        <f>IF(Q2466="당기",ABS(P2466)+ROW()/1000000000,"")</f>
        <v/>
      </c>
      <c r="U2466" s="9">
        <f>IF(Q2466="비교",ABS(P2466)+ROW()/1000000000,"")</f>
        <v/>
      </c>
      <c r="V2466" s="39">
        <f>IF($A2466="","",IF(COUNTIF(변동분석!$E$7:$E$506,O2466)&gt;0,"Y","N"))</f>
        <v/>
      </c>
      <c r="W2466" s="39">
        <f>IF($A2466="","",IFERROR(INDEX(계정매핑!$D$5:$D$504,MATCH($F2466&amp;"",계정매핑!$A$5:$A$504,0)),"미매핑"))</f>
        <v/>
      </c>
      <c r="X2466" s="9">
        <f>IF($A2466="","",$F2466&amp;"")</f>
        <v/>
      </c>
    </row>
    <row r="2467">
      <c r="A2467" s="75" t="n">
        <v>2026</v>
      </c>
      <c r="B2467" s="75" t="n">
        <v>1</v>
      </c>
      <c r="C2467" s="75" t="inlineStr">
        <is>
          <t>5100000123</t>
        </is>
      </c>
      <c r="D2467" s="78" t="n">
        <v>46042</v>
      </c>
      <c r="E2467" s="75" t="inlineStr">
        <is>
          <t>KR</t>
        </is>
      </c>
      <c r="F2467" s="75" t="n">
        <v>62101000</v>
      </c>
      <c r="G2467" s="75" t="n">
        <v>1201</v>
      </c>
      <c r="H2467" s="76" t="n">
        <v>246000</v>
      </c>
      <c r="I2467" s="75" t="inlineStr">
        <is>
          <t>1월 국내출장 - (법인카드)</t>
        </is>
      </c>
      <c r="J2467" s="75" t="inlineStr">
        <is>
          <t>V10008</t>
        </is>
      </c>
      <c r="K2467" s="75" t="inlineStr">
        <is>
          <t>(법인카드)</t>
        </is>
      </c>
      <c r="M2467" s="9">
        <f>IF($A2467="","",VALUE($A2467&amp;"")*12+VALUE($B2467&amp;""))</f>
        <v/>
      </c>
      <c r="N2467" s="39">
        <f>IF($A2467="","",IFERROR(INDEX(부서매핑!$C$5:$C$504,MATCH($G2467&amp;"",부서매핑!$A$5:$A$504,0)),"미매핑"))</f>
        <v/>
      </c>
      <c r="O2467" s="9">
        <f>IF($A2467="","",N2467&amp;"|"&amp;$F2467)</f>
        <v/>
      </c>
      <c r="P2467" s="77">
        <f>IF($A2467="",0,$H2467*설정!$C$23)</f>
        <v/>
      </c>
      <c r="Q2467" s="39">
        <f>IF($A2467="","",IF(O2467&lt;&gt;원인분석!$C$9,"",IF(AND(M2467&gt;=원인분석!$C$10,M2467&lt;=원인분석!$C$11),"당기",IF(AND(M2467&gt;=원인분석!$C$12,M2467&lt;=원인분석!$C$13),"비교",""))))</f>
        <v/>
      </c>
      <c r="R2467" s="9">
        <f>IF(Q2467="","",$K2467&amp;"")</f>
        <v/>
      </c>
      <c r="S2467" s="9">
        <f>IF(Q2467="","",IF(MATCH(R2467,$R$5:$R$100000,0)=ROW()-4,ROW(),""))</f>
        <v/>
      </c>
      <c r="T2467" s="9">
        <f>IF(Q2467="당기",ABS(P2467)+ROW()/1000000000,"")</f>
        <v/>
      </c>
      <c r="U2467" s="9">
        <f>IF(Q2467="비교",ABS(P2467)+ROW()/1000000000,"")</f>
        <v/>
      </c>
      <c r="V2467" s="39">
        <f>IF($A2467="","",IF(COUNTIF(변동분석!$E$7:$E$506,O2467)&gt;0,"Y","N"))</f>
        <v/>
      </c>
      <c r="W2467" s="39">
        <f>IF($A2467="","",IFERROR(INDEX(계정매핑!$D$5:$D$504,MATCH($F2467&amp;"",계정매핑!$A$5:$A$504,0)),"미매핑"))</f>
        <v/>
      </c>
      <c r="X2467" s="9">
        <f>IF($A2467="","",$F2467&amp;"")</f>
        <v/>
      </c>
    </row>
    <row r="2468">
      <c r="A2468" s="75" t="n">
        <v>2026</v>
      </c>
      <c r="B2468" s="75" t="n">
        <v>1</v>
      </c>
      <c r="C2468" s="75" t="inlineStr">
        <is>
          <t>5100000124</t>
        </is>
      </c>
      <c r="D2468" s="78" t="n">
        <v>46042</v>
      </c>
      <c r="E2468" s="75" t="inlineStr">
        <is>
          <t>KR</t>
        </is>
      </c>
      <c r="F2468" s="75" t="n">
        <v>62101000</v>
      </c>
      <c r="G2468" s="75" t="n">
        <v>1501</v>
      </c>
      <c r="H2468" s="76" t="n">
        <v>424000</v>
      </c>
      <c r="I2468" s="75" t="inlineStr">
        <is>
          <t>1월 국내출장 - (법인카드)</t>
        </is>
      </c>
      <c r="J2468" s="75" t="inlineStr">
        <is>
          <t>V10008</t>
        </is>
      </c>
      <c r="K2468" s="75" t="inlineStr">
        <is>
          <t>(법인카드)</t>
        </is>
      </c>
      <c r="M2468" s="9">
        <f>IF($A2468="","",VALUE($A2468&amp;"")*12+VALUE($B2468&amp;""))</f>
        <v/>
      </c>
      <c r="N2468" s="39">
        <f>IF($A2468="","",IFERROR(INDEX(부서매핑!$C$5:$C$504,MATCH($G2468&amp;"",부서매핑!$A$5:$A$504,0)),"미매핑"))</f>
        <v/>
      </c>
      <c r="O2468" s="9">
        <f>IF($A2468="","",N2468&amp;"|"&amp;$F2468)</f>
        <v/>
      </c>
      <c r="P2468" s="77">
        <f>IF($A2468="",0,$H2468*설정!$C$23)</f>
        <v/>
      </c>
      <c r="Q2468" s="39">
        <f>IF($A2468="","",IF(O2468&lt;&gt;원인분석!$C$9,"",IF(AND(M2468&gt;=원인분석!$C$10,M2468&lt;=원인분석!$C$11),"당기",IF(AND(M2468&gt;=원인분석!$C$12,M2468&lt;=원인분석!$C$13),"비교",""))))</f>
        <v/>
      </c>
      <c r="R2468" s="9">
        <f>IF(Q2468="","",$K2468&amp;"")</f>
        <v/>
      </c>
      <c r="S2468" s="9">
        <f>IF(Q2468="","",IF(MATCH(R2468,$R$5:$R$100000,0)=ROW()-4,ROW(),""))</f>
        <v/>
      </c>
      <c r="T2468" s="9">
        <f>IF(Q2468="당기",ABS(P2468)+ROW()/1000000000,"")</f>
        <v/>
      </c>
      <c r="U2468" s="9">
        <f>IF(Q2468="비교",ABS(P2468)+ROW()/1000000000,"")</f>
        <v/>
      </c>
      <c r="V2468" s="39">
        <f>IF($A2468="","",IF(COUNTIF(변동분석!$E$7:$E$506,O2468)&gt;0,"Y","N"))</f>
        <v/>
      </c>
      <c r="W2468" s="39">
        <f>IF($A2468="","",IFERROR(INDEX(계정매핑!$D$5:$D$504,MATCH($F2468&amp;"",계정매핑!$A$5:$A$504,0)),"미매핑"))</f>
        <v/>
      </c>
      <c r="X2468" s="9">
        <f>IF($A2468="","",$F2468&amp;"")</f>
        <v/>
      </c>
    </row>
    <row r="2469">
      <c r="A2469" s="75" t="n">
        <v>2026</v>
      </c>
      <c r="B2469" s="75" t="n">
        <v>1</v>
      </c>
      <c r="C2469" s="75" t="inlineStr">
        <is>
          <t>5100000125</t>
        </is>
      </c>
      <c r="D2469" s="78" t="n">
        <v>46042</v>
      </c>
      <c r="E2469" s="75" t="inlineStr">
        <is>
          <t>KR</t>
        </is>
      </c>
      <c r="F2469" s="75" t="n">
        <v>62101000</v>
      </c>
      <c r="G2469" s="75" t="n">
        <v>1701</v>
      </c>
      <c r="H2469" s="76" t="n">
        <v>188000</v>
      </c>
      <c r="I2469" s="75" t="inlineStr">
        <is>
          <t>1월 국내출장 - (법인카드)</t>
        </is>
      </c>
      <c r="J2469" s="75" t="inlineStr">
        <is>
          <t>V10008</t>
        </is>
      </c>
      <c r="K2469" s="75" t="inlineStr">
        <is>
          <t>(법인카드)</t>
        </is>
      </c>
      <c r="M2469" s="9">
        <f>IF($A2469="","",VALUE($A2469&amp;"")*12+VALUE($B2469&amp;""))</f>
        <v/>
      </c>
      <c r="N2469" s="39">
        <f>IF($A2469="","",IFERROR(INDEX(부서매핑!$C$5:$C$504,MATCH($G2469&amp;"",부서매핑!$A$5:$A$504,0)),"미매핑"))</f>
        <v/>
      </c>
      <c r="O2469" s="9">
        <f>IF($A2469="","",N2469&amp;"|"&amp;$F2469)</f>
        <v/>
      </c>
      <c r="P2469" s="77">
        <f>IF($A2469="",0,$H2469*설정!$C$23)</f>
        <v/>
      </c>
      <c r="Q2469" s="39">
        <f>IF($A2469="","",IF(O2469&lt;&gt;원인분석!$C$9,"",IF(AND(M2469&gt;=원인분석!$C$10,M2469&lt;=원인분석!$C$11),"당기",IF(AND(M2469&gt;=원인분석!$C$12,M2469&lt;=원인분석!$C$13),"비교",""))))</f>
        <v/>
      </c>
      <c r="R2469" s="9">
        <f>IF(Q2469="","",$K2469&amp;"")</f>
        <v/>
      </c>
      <c r="S2469" s="9">
        <f>IF(Q2469="","",IF(MATCH(R2469,$R$5:$R$100000,0)=ROW()-4,ROW(),""))</f>
        <v/>
      </c>
      <c r="T2469" s="9">
        <f>IF(Q2469="당기",ABS(P2469)+ROW()/1000000000,"")</f>
        <v/>
      </c>
      <c r="U2469" s="9">
        <f>IF(Q2469="비교",ABS(P2469)+ROW()/1000000000,"")</f>
        <v/>
      </c>
      <c r="V2469" s="39">
        <f>IF($A2469="","",IF(COUNTIF(변동분석!$E$7:$E$506,O2469)&gt;0,"Y","N"))</f>
        <v/>
      </c>
      <c r="W2469" s="39">
        <f>IF($A2469="","",IFERROR(INDEX(계정매핑!$D$5:$D$504,MATCH($F2469&amp;"",계정매핑!$A$5:$A$504,0)),"미매핑"))</f>
        <v/>
      </c>
      <c r="X2469" s="9">
        <f>IF($A2469="","",$F2469&amp;"")</f>
        <v/>
      </c>
    </row>
    <row r="2470">
      <c r="A2470" s="75" t="n">
        <v>2026</v>
      </c>
      <c r="B2470" s="75" t="n">
        <v>1</v>
      </c>
      <c r="C2470" s="75" t="inlineStr">
        <is>
          <t>5100000126</t>
        </is>
      </c>
      <c r="D2470" s="78" t="n">
        <v>46042</v>
      </c>
      <c r="E2470" s="75" t="inlineStr">
        <is>
          <t>KR</t>
        </is>
      </c>
      <c r="F2470" s="75" t="n">
        <v>62102000</v>
      </c>
      <c r="G2470" s="75" t="n">
        <v>1201</v>
      </c>
      <c r="H2470" s="76" t="n">
        <v>47000</v>
      </c>
      <c r="I2470" s="75" t="inlineStr">
        <is>
          <t>1월 해외출장 - N호텔</t>
        </is>
      </c>
      <c r="J2470" s="75" t="inlineStr">
        <is>
          <t>V10007</t>
        </is>
      </c>
      <c r="K2470" s="75" t="inlineStr">
        <is>
          <t>N호텔</t>
        </is>
      </c>
      <c r="M2470" s="9">
        <f>IF($A2470="","",VALUE($A2470&amp;"")*12+VALUE($B2470&amp;""))</f>
        <v/>
      </c>
      <c r="N2470" s="39">
        <f>IF($A2470="","",IFERROR(INDEX(부서매핑!$C$5:$C$504,MATCH($G2470&amp;"",부서매핑!$A$5:$A$504,0)),"미매핑"))</f>
        <v/>
      </c>
      <c r="O2470" s="9">
        <f>IF($A2470="","",N2470&amp;"|"&amp;$F2470)</f>
        <v/>
      </c>
      <c r="P2470" s="77">
        <f>IF($A2470="",0,$H2470*설정!$C$23)</f>
        <v/>
      </c>
      <c r="Q2470" s="39">
        <f>IF($A2470="","",IF(O2470&lt;&gt;원인분석!$C$9,"",IF(AND(M2470&gt;=원인분석!$C$10,M2470&lt;=원인분석!$C$11),"당기",IF(AND(M2470&gt;=원인분석!$C$12,M2470&lt;=원인분석!$C$13),"비교",""))))</f>
        <v/>
      </c>
      <c r="R2470" s="9">
        <f>IF(Q2470="","",$K2470&amp;"")</f>
        <v/>
      </c>
      <c r="S2470" s="9">
        <f>IF(Q2470="","",IF(MATCH(R2470,$R$5:$R$100000,0)=ROW()-4,ROW(),""))</f>
        <v/>
      </c>
      <c r="T2470" s="9">
        <f>IF(Q2470="당기",ABS(P2470)+ROW()/1000000000,"")</f>
        <v/>
      </c>
      <c r="U2470" s="9">
        <f>IF(Q2470="비교",ABS(P2470)+ROW()/1000000000,"")</f>
        <v/>
      </c>
      <c r="V2470" s="39">
        <f>IF($A2470="","",IF(COUNTIF(변동분석!$E$7:$E$506,O2470)&gt;0,"Y","N"))</f>
        <v/>
      </c>
      <c r="W2470" s="39">
        <f>IF($A2470="","",IFERROR(INDEX(계정매핑!$D$5:$D$504,MATCH($F2470&amp;"",계정매핑!$A$5:$A$504,0)),"미매핑"))</f>
        <v/>
      </c>
      <c r="X2470" s="9">
        <f>IF($A2470="","",$F2470&amp;"")</f>
        <v/>
      </c>
    </row>
    <row r="2471">
      <c r="A2471" s="75" t="n">
        <v>2026</v>
      </c>
      <c r="B2471" s="75" t="n">
        <v>1</v>
      </c>
      <c r="C2471" s="75" t="inlineStr">
        <is>
          <t>5100000127</t>
        </is>
      </c>
      <c r="D2471" s="78" t="n">
        <v>46042</v>
      </c>
      <c r="E2471" s="75" t="inlineStr">
        <is>
          <t>KR</t>
        </is>
      </c>
      <c r="F2471" s="75" t="n">
        <v>62102000</v>
      </c>
      <c r="G2471" s="75" t="n">
        <v>1401</v>
      </c>
      <c r="H2471" s="76" t="n">
        <v>61000</v>
      </c>
      <c r="I2471" s="75" t="inlineStr">
        <is>
          <t>1월 해외출장 - M항공</t>
        </is>
      </c>
      <c r="J2471" s="75" t="inlineStr">
        <is>
          <t>V10001</t>
        </is>
      </c>
      <c r="K2471" s="75" t="inlineStr">
        <is>
          <t>M항공</t>
        </is>
      </c>
      <c r="M2471" s="9">
        <f>IF($A2471="","",VALUE($A2471&amp;"")*12+VALUE($B2471&amp;""))</f>
        <v/>
      </c>
      <c r="N2471" s="39">
        <f>IF($A2471="","",IFERROR(INDEX(부서매핑!$C$5:$C$504,MATCH($G2471&amp;"",부서매핑!$A$5:$A$504,0)),"미매핑"))</f>
        <v/>
      </c>
      <c r="O2471" s="9">
        <f>IF($A2471="","",N2471&amp;"|"&amp;$F2471)</f>
        <v/>
      </c>
      <c r="P2471" s="77">
        <f>IF($A2471="",0,$H2471*설정!$C$23)</f>
        <v/>
      </c>
      <c r="Q2471" s="39">
        <f>IF($A2471="","",IF(O2471&lt;&gt;원인분석!$C$9,"",IF(AND(M2471&gt;=원인분석!$C$10,M2471&lt;=원인분석!$C$11),"당기",IF(AND(M2471&gt;=원인분석!$C$12,M2471&lt;=원인분석!$C$13),"비교",""))))</f>
        <v/>
      </c>
      <c r="R2471" s="9">
        <f>IF(Q2471="","",$K2471&amp;"")</f>
        <v/>
      </c>
      <c r="S2471" s="9">
        <f>IF(Q2471="","",IF(MATCH(R2471,$R$5:$R$100000,0)=ROW()-4,ROW(),""))</f>
        <v/>
      </c>
      <c r="T2471" s="9">
        <f>IF(Q2471="당기",ABS(P2471)+ROW()/1000000000,"")</f>
        <v/>
      </c>
      <c r="U2471" s="9">
        <f>IF(Q2471="비교",ABS(P2471)+ROW()/1000000000,"")</f>
        <v/>
      </c>
      <c r="V2471" s="39">
        <f>IF($A2471="","",IF(COUNTIF(변동분석!$E$7:$E$506,O2471)&gt;0,"Y","N"))</f>
        <v/>
      </c>
      <c r="W2471" s="39">
        <f>IF($A2471="","",IFERROR(INDEX(계정매핑!$D$5:$D$504,MATCH($F2471&amp;"",계정매핑!$A$5:$A$504,0)),"미매핑"))</f>
        <v/>
      </c>
      <c r="X2471" s="9">
        <f>IF($A2471="","",$F2471&amp;"")</f>
        <v/>
      </c>
    </row>
    <row r="2472">
      <c r="A2472" s="75" t="n">
        <v>2026</v>
      </c>
      <c r="B2472" s="75" t="n">
        <v>1</v>
      </c>
      <c r="C2472" s="75" t="inlineStr">
        <is>
          <t>5100000128</t>
        </is>
      </c>
      <c r="D2472" s="78" t="n">
        <v>46042</v>
      </c>
      <c r="E2472" s="75" t="inlineStr">
        <is>
          <t>KR</t>
        </is>
      </c>
      <c r="F2472" s="75" t="n">
        <v>62201000</v>
      </c>
      <c r="G2472" s="75" t="n">
        <v>1301</v>
      </c>
      <c r="H2472" s="76" t="n">
        <v>138000</v>
      </c>
      <c r="I2472" s="75" t="inlineStr">
        <is>
          <t>1월 통신요금 - O텔레콤</t>
        </is>
      </c>
      <c r="J2472" s="75" t="inlineStr">
        <is>
          <t>V10002</t>
        </is>
      </c>
      <c r="K2472" s="75" t="inlineStr">
        <is>
          <t>O텔레콤</t>
        </is>
      </c>
      <c r="M2472" s="9">
        <f>IF($A2472="","",VALUE($A2472&amp;"")*12+VALUE($B2472&amp;""))</f>
        <v/>
      </c>
      <c r="N2472" s="39">
        <f>IF($A2472="","",IFERROR(INDEX(부서매핑!$C$5:$C$504,MATCH($G2472&amp;"",부서매핑!$A$5:$A$504,0)),"미매핑"))</f>
        <v/>
      </c>
      <c r="O2472" s="9">
        <f>IF($A2472="","",N2472&amp;"|"&amp;$F2472)</f>
        <v/>
      </c>
      <c r="P2472" s="77">
        <f>IF($A2472="",0,$H2472*설정!$C$23)</f>
        <v/>
      </c>
      <c r="Q2472" s="39">
        <f>IF($A2472="","",IF(O2472&lt;&gt;원인분석!$C$9,"",IF(AND(M2472&gt;=원인분석!$C$10,M2472&lt;=원인분석!$C$11),"당기",IF(AND(M2472&gt;=원인분석!$C$12,M2472&lt;=원인분석!$C$13),"비교",""))))</f>
        <v/>
      </c>
      <c r="R2472" s="9">
        <f>IF(Q2472="","",$K2472&amp;"")</f>
        <v/>
      </c>
      <c r="S2472" s="9">
        <f>IF(Q2472="","",IF(MATCH(R2472,$R$5:$R$100000,0)=ROW()-4,ROW(),""))</f>
        <v/>
      </c>
      <c r="T2472" s="9">
        <f>IF(Q2472="당기",ABS(P2472)+ROW()/1000000000,"")</f>
        <v/>
      </c>
      <c r="U2472" s="9">
        <f>IF(Q2472="비교",ABS(P2472)+ROW()/1000000000,"")</f>
        <v/>
      </c>
      <c r="V2472" s="39">
        <f>IF($A2472="","",IF(COUNTIF(변동분석!$E$7:$E$506,O2472)&gt;0,"Y","N"))</f>
        <v/>
      </c>
      <c r="W2472" s="39">
        <f>IF($A2472="","",IFERROR(INDEX(계정매핑!$D$5:$D$504,MATCH($F2472&amp;"",계정매핑!$A$5:$A$504,0)),"미매핑"))</f>
        <v/>
      </c>
      <c r="X2472" s="9">
        <f>IF($A2472="","",$F2472&amp;"")</f>
        <v/>
      </c>
    </row>
    <row r="2473">
      <c r="A2473" s="75" t="n">
        <v>2026</v>
      </c>
      <c r="B2473" s="75" t="n">
        <v>1</v>
      </c>
      <c r="C2473" s="75" t="inlineStr">
        <is>
          <t>5100000129</t>
        </is>
      </c>
      <c r="D2473" s="78" t="n">
        <v>46042</v>
      </c>
      <c r="E2473" s="75" t="inlineStr">
        <is>
          <t>KR</t>
        </is>
      </c>
      <c r="F2473" s="75" t="n">
        <v>62301000</v>
      </c>
      <c r="G2473" s="75" t="n">
        <v>1501</v>
      </c>
      <c r="H2473" s="76" t="n">
        <v>247000</v>
      </c>
      <c r="I2473" s="75" t="inlineStr">
        <is>
          <t>1월 소모품 구입 - Q오피스</t>
        </is>
      </c>
      <c r="J2473" s="75" t="inlineStr">
        <is>
          <t>V10003</t>
        </is>
      </c>
      <c r="K2473" s="75" t="inlineStr">
        <is>
          <t>Q오피스</t>
        </is>
      </c>
      <c r="M2473" s="9">
        <f>IF($A2473="","",VALUE($A2473&amp;"")*12+VALUE($B2473&amp;""))</f>
        <v/>
      </c>
      <c r="N2473" s="39">
        <f>IF($A2473="","",IFERROR(INDEX(부서매핑!$C$5:$C$504,MATCH($G2473&amp;"",부서매핑!$A$5:$A$504,0)),"미매핑"))</f>
        <v/>
      </c>
      <c r="O2473" s="9">
        <f>IF($A2473="","",N2473&amp;"|"&amp;$F2473)</f>
        <v/>
      </c>
      <c r="P2473" s="77">
        <f>IF($A2473="",0,$H2473*설정!$C$23)</f>
        <v/>
      </c>
      <c r="Q2473" s="39">
        <f>IF($A2473="","",IF(O2473&lt;&gt;원인분석!$C$9,"",IF(AND(M2473&gt;=원인분석!$C$10,M2473&lt;=원인분석!$C$11),"당기",IF(AND(M2473&gt;=원인분석!$C$12,M2473&lt;=원인분석!$C$13),"비교",""))))</f>
        <v/>
      </c>
      <c r="R2473" s="9">
        <f>IF(Q2473="","",$K2473&amp;"")</f>
        <v/>
      </c>
      <c r="S2473" s="9">
        <f>IF(Q2473="","",IF(MATCH(R2473,$R$5:$R$100000,0)=ROW()-4,ROW(),""))</f>
        <v/>
      </c>
      <c r="T2473" s="9">
        <f>IF(Q2473="당기",ABS(P2473)+ROW()/1000000000,"")</f>
        <v/>
      </c>
      <c r="U2473" s="9">
        <f>IF(Q2473="비교",ABS(P2473)+ROW()/1000000000,"")</f>
        <v/>
      </c>
      <c r="V2473" s="39">
        <f>IF($A2473="","",IF(COUNTIF(변동분석!$E$7:$E$506,O2473)&gt;0,"Y","N"))</f>
        <v/>
      </c>
      <c r="W2473" s="39">
        <f>IF($A2473="","",IFERROR(INDEX(계정매핑!$D$5:$D$504,MATCH($F2473&amp;"",계정매핑!$A$5:$A$504,0)),"미매핑"))</f>
        <v/>
      </c>
      <c r="X2473" s="9">
        <f>IF($A2473="","",$F2473&amp;"")</f>
        <v/>
      </c>
    </row>
    <row r="2474">
      <c r="A2474" s="75" t="n">
        <v>2026</v>
      </c>
      <c r="B2474" s="75" t="n">
        <v>1</v>
      </c>
      <c r="C2474" s="75" t="inlineStr">
        <is>
          <t>5100000130</t>
        </is>
      </c>
      <c r="D2474" s="78" t="n">
        <v>46042</v>
      </c>
      <c r="E2474" s="75" t="inlineStr">
        <is>
          <t>KR</t>
        </is>
      </c>
      <c r="F2474" s="75" t="n">
        <v>62301000</v>
      </c>
      <c r="G2474" s="75" t="n">
        <v>1602</v>
      </c>
      <c r="H2474" s="76" t="n">
        <v>245000</v>
      </c>
      <c r="I2474" s="75" t="inlineStr">
        <is>
          <t>1월 소모품 구입 - Q오피스</t>
        </is>
      </c>
      <c r="J2474" s="75" t="inlineStr">
        <is>
          <t>V10003</t>
        </is>
      </c>
      <c r="K2474" s="75" t="inlineStr">
        <is>
          <t>Q오피스</t>
        </is>
      </c>
      <c r="M2474" s="9">
        <f>IF($A2474="","",VALUE($A2474&amp;"")*12+VALUE($B2474&amp;""))</f>
        <v/>
      </c>
      <c r="N2474" s="39">
        <f>IF($A2474="","",IFERROR(INDEX(부서매핑!$C$5:$C$504,MATCH($G2474&amp;"",부서매핑!$A$5:$A$504,0)),"미매핑"))</f>
        <v/>
      </c>
      <c r="O2474" s="9">
        <f>IF($A2474="","",N2474&amp;"|"&amp;$F2474)</f>
        <v/>
      </c>
      <c r="P2474" s="77">
        <f>IF($A2474="",0,$H2474*설정!$C$23)</f>
        <v/>
      </c>
      <c r="Q2474" s="39">
        <f>IF($A2474="","",IF(O2474&lt;&gt;원인분석!$C$9,"",IF(AND(M2474&gt;=원인분석!$C$10,M2474&lt;=원인분석!$C$11),"당기",IF(AND(M2474&gt;=원인분석!$C$12,M2474&lt;=원인분석!$C$13),"비교",""))))</f>
        <v/>
      </c>
      <c r="R2474" s="9">
        <f>IF(Q2474="","",$K2474&amp;"")</f>
        <v/>
      </c>
      <c r="S2474" s="9">
        <f>IF(Q2474="","",IF(MATCH(R2474,$R$5:$R$100000,0)=ROW()-4,ROW(),""))</f>
        <v/>
      </c>
      <c r="T2474" s="9">
        <f>IF(Q2474="당기",ABS(P2474)+ROW()/1000000000,"")</f>
        <v/>
      </c>
      <c r="U2474" s="9">
        <f>IF(Q2474="비교",ABS(P2474)+ROW()/1000000000,"")</f>
        <v/>
      </c>
      <c r="V2474" s="39">
        <f>IF($A2474="","",IF(COUNTIF(변동분석!$E$7:$E$506,O2474)&gt;0,"Y","N"))</f>
        <v/>
      </c>
      <c r="W2474" s="39">
        <f>IF($A2474="","",IFERROR(INDEX(계정매핑!$D$5:$D$504,MATCH($F2474&amp;"",계정매핑!$A$5:$A$504,0)),"미매핑"))</f>
        <v/>
      </c>
      <c r="X2474" s="9">
        <f>IF($A2474="","",$F2474&amp;"")</f>
        <v/>
      </c>
    </row>
    <row r="2475">
      <c r="A2475" s="75" t="n">
        <v>2026</v>
      </c>
      <c r="B2475" s="75" t="n">
        <v>1</v>
      </c>
      <c r="C2475" s="75" t="inlineStr">
        <is>
          <t>5100000131</t>
        </is>
      </c>
      <c r="D2475" s="78" t="n">
        <v>46042</v>
      </c>
      <c r="E2475" s="75" t="inlineStr">
        <is>
          <t>KR</t>
        </is>
      </c>
      <c r="F2475" s="75" t="n">
        <v>62401000</v>
      </c>
      <c r="G2475" s="75" t="n">
        <v>1502</v>
      </c>
      <c r="H2475" s="76" t="n">
        <v>2347000</v>
      </c>
      <c r="I2475" s="75" t="inlineStr">
        <is>
          <t>1월 인쇄물 제작 - G인쇄</t>
        </is>
      </c>
      <c r="J2475" s="75" t="inlineStr">
        <is>
          <t>V10004</t>
        </is>
      </c>
      <c r="K2475" s="75" t="inlineStr">
        <is>
          <t>G인쇄</t>
        </is>
      </c>
      <c r="M2475" s="9">
        <f>IF($A2475="","",VALUE($A2475&amp;"")*12+VALUE($B2475&amp;""))</f>
        <v/>
      </c>
      <c r="N2475" s="39">
        <f>IF($A2475="","",IFERROR(INDEX(부서매핑!$C$5:$C$504,MATCH($G2475&amp;"",부서매핑!$A$5:$A$504,0)),"미매핑"))</f>
        <v/>
      </c>
      <c r="O2475" s="9">
        <f>IF($A2475="","",N2475&amp;"|"&amp;$F2475)</f>
        <v/>
      </c>
      <c r="P2475" s="77">
        <f>IF($A2475="",0,$H2475*설정!$C$23)</f>
        <v/>
      </c>
      <c r="Q2475" s="39">
        <f>IF($A2475="","",IF(O2475&lt;&gt;원인분석!$C$9,"",IF(AND(M2475&gt;=원인분석!$C$10,M2475&lt;=원인분석!$C$11),"당기",IF(AND(M2475&gt;=원인분석!$C$12,M2475&lt;=원인분석!$C$13),"비교",""))))</f>
        <v/>
      </c>
      <c r="R2475" s="9">
        <f>IF(Q2475="","",$K2475&amp;"")</f>
        <v/>
      </c>
      <c r="S2475" s="9">
        <f>IF(Q2475="","",IF(MATCH(R2475,$R$5:$R$100000,0)=ROW()-4,ROW(),""))</f>
        <v/>
      </c>
      <c r="T2475" s="9">
        <f>IF(Q2475="당기",ABS(P2475)+ROW()/1000000000,"")</f>
        <v/>
      </c>
      <c r="U2475" s="9">
        <f>IF(Q2475="비교",ABS(P2475)+ROW()/1000000000,"")</f>
        <v/>
      </c>
      <c r="V2475" s="39">
        <f>IF($A2475="","",IF(COUNTIF(변동분석!$E$7:$E$506,O2475)&gt;0,"Y","N"))</f>
        <v/>
      </c>
      <c r="W2475" s="39">
        <f>IF($A2475="","",IFERROR(INDEX(계정매핑!$D$5:$D$504,MATCH($F2475&amp;"",계정매핑!$A$5:$A$504,0)),"미매핑"))</f>
        <v/>
      </c>
      <c r="X2475" s="9">
        <f>IF($A2475="","",$F2475&amp;"")</f>
        <v/>
      </c>
    </row>
    <row r="2476">
      <c r="A2476" s="75" t="n">
        <v>2026</v>
      </c>
      <c r="B2476" s="75" t="n">
        <v>1</v>
      </c>
      <c r="C2476" s="75" t="inlineStr">
        <is>
          <t>5100000132</t>
        </is>
      </c>
      <c r="D2476" s="78" t="n">
        <v>46042</v>
      </c>
      <c r="E2476" s="75" t="inlineStr">
        <is>
          <t>KR</t>
        </is>
      </c>
      <c r="F2476" s="75" t="n">
        <v>62501000</v>
      </c>
      <c r="G2476" s="75" t="n">
        <v>1201</v>
      </c>
      <c r="H2476" s="76" t="n">
        <v>145000</v>
      </c>
      <c r="I2476" s="75" t="inlineStr">
        <is>
          <t>1월 회의 다과 - (법인카드)</t>
        </is>
      </c>
      <c r="J2476" s="75" t="inlineStr">
        <is>
          <t>V10008</t>
        </is>
      </c>
      <c r="K2476" s="75" t="inlineStr">
        <is>
          <t>(법인카드)</t>
        </is>
      </c>
      <c r="M2476" s="9">
        <f>IF($A2476="","",VALUE($A2476&amp;"")*12+VALUE($B2476&amp;""))</f>
        <v/>
      </c>
      <c r="N2476" s="39">
        <f>IF($A2476="","",IFERROR(INDEX(부서매핑!$C$5:$C$504,MATCH($G2476&amp;"",부서매핑!$A$5:$A$504,0)),"미매핑"))</f>
        <v/>
      </c>
      <c r="O2476" s="9">
        <f>IF($A2476="","",N2476&amp;"|"&amp;$F2476)</f>
        <v/>
      </c>
      <c r="P2476" s="77">
        <f>IF($A2476="",0,$H2476*설정!$C$23)</f>
        <v/>
      </c>
      <c r="Q2476" s="39">
        <f>IF($A2476="","",IF(O2476&lt;&gt;원인분석!$C$9,"",IF(AND(M2476&gt;=원인분석!$C$10,M2476&lt;=원인분석!$C$11),"당기",IF(AND(M2476&gt;=원인분석!$C$12,M2476&lt;=원인분석!$C$13),"비교",""))))</f>
        <v/>
      </c>
      <c r="R2476" s="9">
        <f>IF(Q2476="","",$K2476&amp;"")</f>
        <v/>
      </c>
      <c r="S2476" s="9">
        <f>IF(Q2476="","",IF(MATCH(R2476,$R$5:$R$100000,0)=ROW()-4,ROW(),""))</f>
        <v/>
      </c>
      <c r="T2476" s="9">
        <f>IF(Q2476="당기",ABS(P2476)+ROW()/1000000000,"")</f>
        <v/>
      </c>
      <c r="U2476" s="9">
        <f>IF(Q2476="비교",ABS(P2476)+ROW()/1000000000,"")</f>
        <v/>
      </c>
      <c r="V2476" s="39">
        <f>IF($A2476="","",IF(COUNTIF(변동분석!$E$7:$E$506,O2476)&gt;0,"Y","N"))</f>
        <v/>
      </c>
      <c r="W2476" s="39">
        <f>IF($A2476="","",IFERROR(INDEX(계정매핑!$D$5:$D$504,MATCH($F2476&amp;"",계정매핑!$A$5:$A$504,0)),"미매핑"))</f>
        <v/>
      </c>
      <c r="X2476" s="9">
        <f>IF($A2476="","",$F2476&amp;"")</f>
        <v/>
      </c>
    </row>
    <row r="2477">
      <c r="A2477" s="75" t="n">
        <v>2026</v>
      </c>
      <c r="B2477" s="75" t="n">
        <v>1</v>
      </c>
      <c r="C2477" s="75" t="inlineStr">
        <is>
          <t>5100000133</t>
        </is>
      </c>
      <c r="D2477" s="78" t="n">
        <v>46042</v>
      </c>
      <c r="E2477" s="75" t="inlineStr">
        <is>
          <t>KR</t>
        </is>
      </c>
      <c r="F2477" s="75" t="n">
        <v>62901000</v>
      </c>
      <c r="G2477" s="75" t="n">
        <v>1401</v>
      </c>
      <c r="H2477" s="76" t="n">
        <v>6392000</v>
      </c>
      <c r="I2477" s="75" t="inlineStr">
        <is>
          <t>1월 자문 수수료 - W컨설팅</t>
        </is>
      </c>
      <c r="J2477" s="75" t="inlineStr">
        <is>
          <t>V10009</t>
        </is>
      </c>
      <c r="K2477" s="75" t="inlineStr">
        <is>
          <t>W컨설팅</t>
        </is>
      </c>
      <c r="M2477" s="9">
        <f>IF($A2477="","",VALUE($A2477&amp;"")*12+VALUE($B2477&amp;""))</f>
        <v/>
      </c>
      <c r="N2477" s="39">
        <f>IF($A2477="","",IFERROR(INDEX(부서매핑!$C$5:$C$504,MATCH($G2477&amp;"",부서매핑!$A$5:$A$504,0)),"미매핑"))</f>
        <v/>
      </c>
      <c r="O2477" s="9">
        <f>IF($A2477="","",N2477&amp;"|"&amp;$F2477)</f>
        <v/>
      </c>
      <c r="P2477" s="77">
        <f>IF($A2477="",0,$H2477*설정!$C$23)</f>
        <v/>
      </c>
      <c r="Q2477" s="39">
        <f>IF($A2477="","",IF(O2477&lt;&gt;원인분석!$C$9,"",IF(AND(M2477&gt;=원인분석!$C$10,M2477&lt;=원인분석!$C$11),"당기",IF(AND(M2477&gt;=원인분석!$C$12,M2477&lt;=원인분석!$C$13),"비교",""))))</f>
        <v/>
      </c>
      <c r="R2477" s="9">
        <f>IF(Q2477="","",$K2477&amp;"")</f>
        <v/>
      </c>
      <c r="S2477" s="9">
        <f>IF(Q2477="","",IF(MATCH(R2477,$R$5:$R$100000,0)=ROW()-4,ROW(),""))</f>
        <v/>
      </c>
      <c r="T2477" s="9">
        <f>IF(Q2477="당기",ABS(P2477)+ROW()/1000000000,"")</f>
        <v/>
      </c>
      <c r="U2477" s="9">
        <f>IF(Q2477="비교",ABS(P2477)+ROW()/1000000000,"")</f>
        <v/>
      </c>
      <c r="V2477" s="39">
        <f>IF($A2477="","",IF(COUNTIF(변동분석!$E$7:$E$506,O2477)&gt;0,"Y","N"))</f>
        <v/>
      </c>
      <c r="W2477" s="39">
        <f>IF($A2477="","",IFERROR(INDEX(계정매핑!$D$5:$D$504,MATCH($F2477&amp;"",계정매핑!$A$5:$A$504,0)),"미매핑"))</f>
        <v/>
      </c>
      <c r="X2477" s="9">
        <f>IF($A2477="","",$F2477&amp;"")</f>
        <v/>
      </c>
    </row>
    <row r="2478">
      <c r="A2478" s="75" t="n">
        <v>2026</v>
      </c>
      <c r="B2478" s="75" t="n">
        <v>1</v>
      </c>
      <c r="C2478" s="75" t="inlineStr">
        <is>
          <t>5100000134</t>
        </is>
      </c>
      <c r="D2478" s="78" t="n">
        <v>46043</v>
      </c>
      <c r="E2478" s="75" t="inlineStr">
        <is>
          <t>KR</t>
        </is>
      </c>
      <c r="F2478" s="75" t="n">
        <v>62102000</v>
      </c>
      <c r="G2478" s="75" t="n">
        <v>1301</v>
      </c>
      <c r="H2478" s="76" t="n">
        <v>73000</v>
      </c>
      <c r="I2478" s="75" t="inlineStr">
        <is>
          <t>1월 해외출장 - M항공</t>
        </is>
      </c>
      <c r="J2478" s="75" t="inlineStr">
        <is>
          <t>V10001</t>
        </is>
      </c>
      <c r="K2478" s="75" t="inlineStr">
        <is>
          <t>M항공</t>
        </is>
      </c>
      <c r="M2478" s="9">
        <f>IF($A2478="","",VALUE($A2478&amp;"")*12+VALUE($B2478&amp;""))</f>
        <v/>
      </c>
      <c r="N2478" s="39">
        <f>IF($A2478="","",IFERROR(INDEX(부서매핑!$C$5:$C$504,MATCH($G2478&amp;"",부서매핑!$A$5:$A$504,0)),"미매핑"))</f>
        <v/>
      </c>
      <c r="O2478" s="9">
        <f>IF($A2478="","",N2478&amp;"|"&amp;$F2478)</f>
        <v/>
      </c>
      <c r="P2478" s="77">
        <f>IF($A2478="",0,$H2478*설정!$C$23)</f>
        <v/>
      </c>
      <c r="Q2478" s="39">
        <f>IF($A2478="","",IF(O2478&lt;&gt;원인분석!$C$9,"",IF(AND(M2478&gt;=원인분석!$C$10,M2478&lt;=원인분석!$C$11),"당기",IF(AND(M2478&gt;=원인분석!$C$12,M2478&lt;=원인분석!$C$13),"비교",""))))</f>
        <v/>
      </c>
      <c r="R2478" s="9">
        <f>IF(Q2478="","",$K2478&amp;"")</f>
        <v/>
      </c>
      <c r="S2478" s="9">
        <f>IF(Q2478="","",IF(MATCH(R2478,$R$5:$R$100000,0)=ROW()-4,ROW(),""))</f>
        <v/>
      </c>
      <c r="T2478" s="9">
        <f>IF(Q2478="당기",ABS(P2478)+ROW()/1000000000,"")</f>
        <v/>
      </c>
      <c r="U2478" s="9">
        <f>IF(Q2478="비교",ABS(P2478)+ROW()/1000000000,"")</f>
        <v/>
      </c>
      <c r="V2478" s="39">
        <f>IF($A2478="","",IF(COUNTIF(변동분석!$E$7:$E$506,O2478)&gt;0,"Y","N"))</f>
        <v/>
      </c>
      <c r="W2478" s="39">
        <f>IF($A2478="","",IFERROR(INDEX(계정매핑!$D$5:$D$504,MATCH($F2478&amp;"",계정매핑!$A$5:$A$504,0)),"미매핑"))</f>
        <v/>
      </c>
      <c r="X2478" s="9">
        <f>IF($A2478="","",$F2478&amp;"")</f>
        <v/>
      </c>
    </row>
    <row r="2479">
      <c r="A2479" s="75" t="n">
        <v>2026</v>
      </c>
      <c r="B2479" s="75" t="n">
        <v>1</v>
      </c>
      <c r="C2479" s="75" t="inlineStr">
        <is>
          <t>5100000135</t>
        </is>
      </c>
      <c r="D2479" s="78" t="n">
        <v>46043</v>
      </c>
      <c r="E2479" s="75" t="inlineStr">
        <is>
          <t>KR</t>
        </is>
      </c>
      <c r="F2479" s="75" t="n">
        <v>62102000</v>
      </c>
      <c r="G2479" s="75" t="n">
        <v>1701</v>
      </c>
      <c r="H2479" s="76" t="n">
        <v>78000</v>
      </c>
      <c r="I2479" s="75" t="inlineStr">
        <is>
          <t>1월 해외출장 - M항공</t>
        </is>
      </c>
      <c r="J2479" s="75" t="inlineStr">
        <is>
          <t>V10001</t>
        </is>
      </c>
      <c r="K2479" s="75" t="inlineStr">
        <is>
          <t>M항공</t>
        </is>
      </c>
      <c r="M2479" s="9">
        <f>IF($A2479="","",VALUE($A2479&amp;"")*12+VALUE($B2479&amp;""))</f>
        <v/>
      </c>
      <c r="N2479" s="39">
        <f>IF($A2479="","",IFERROR(INDEX(부서매핑!$C$5:$C$504,MATCH($G2479&amp;"",부서매핑!$A$5:$A$504,0)),"미매핑"))</f>
        <v/>
      </c>
      <c r="O2479" s="9">
        <f>IF($A2479="","",N2479&amp;"|"&amp;$F2479)</f>
        <v/>
      </c>
      <c r="P2479" s="77">
        <f>IF($A2479="",0,$H2479*설정!$C$23)</f>
        <v/>
      </c>
      <c r="Q2479" s="39">
        <f>IF($A2479="","",IF(O2479&lt;&gt;원인분석!$C$9,"",IF(AND(M2479&gt;=원인분석!$C$10,M2479&lt;=원인분석!$C$11),"당기",IF(AND(M2479&gt;=원인분석!$C$12,M2479&lt;=원인분석!$C$13),"비교",""))))</f>
        <v/>
      </c>
      <c r="R2479" s="9">
        <f>IF(Q2479="","",$K2479&amp;"")</f>
        <v/>
      </c>
      <c r="S2479" s="9">
        <f>IF(Q2479="","",IF(MATCH(R2479,$R$5:$R$100000,0)=ROW()-4,ROW(),""))</f>
        <v/>
      </c>
      <c r="T2479" s="9">
        <f>IF(Q2479="당기",ABS(P2479)+ROW()/1000000000,"")</f>
        <v/>
      </c>
      <c r="U2479" s="9">
        <f>IF(Q2479="비교",ABS(P2479)+ROW()/1000000000,"")</f>
        <v/>
      </c>
      <c r="V2479" s="39">
        <f>IF($A2479="","",IF(COUNTIF(변동분석!$E$7:$E$506,O2479)&gt;0,"Y","N"))</f>
        <v/>
      </c>
      <c r="W2479" s="39">
        <f>IF($A2479="","",IFERROR(INDEX(계정매핑!$D$5:$D$504,MATCH($F2479&amp;"",계정매핑!$A$5:$A$504,0)),"미매핑"))</f>
        <v/>
      </c>
      <c r="X2479" s="9">
        <f>IF($A2479="","",$F2479&amp;"")</f>
        <v/>
      </c>
    </row>
    <row r="2480">
      <c r="A2480" s="75" t="n">
        <v>2026</v>
      </c>
      <c r="B2480" s="75" t="n">
        <v>1</v>
      </c>
      <c r="C2480" s="75" t="inlineStr">
        <is>
          <t>5100000136</t>
        </is>
      </c>
      <c r="D2480" s="78" t="n">
        <v>46043</v>
      </c>
      <c r="E2480" s="75" t="inlineStr">
        <is>
          <t>KR</t>
        </is>
      </c>
      <c r="F2480" s="75" t="n">
        <v>62102000</v>
      </c>
      <c r="G2480" s="75" t="n">
        <v>1801</v>
      </c>
      <c r="H2480" s="76" t="n">
        <v>64000</v>
      </c>
      <c r="I2480" s="75" t="inlineStr">
        <is>
          <t>1월 해외출장 - N호텔</t>
        </is>
      </c>
      <c r="J2480" s="75" t="inlineStr">
        <is>
          <t>V10007</t>
        </is>
      </c>
      <c r="K2480" s="75" t="inlineStr">
        <is>
          <t>N호텔</t>
        </is>
      </c>
      <c r="M2480" s="9">
        <f>IF($A2480="","",VALUE($A2480&amp;"")*12+VALUE($B2480&amp;""))</f>
        <v/>
      </c>
      <c r="N2480" s="39">
        <f>IF($A2480="","",IFERROR(INDEX(부서매핑!$C$5:$C$504,MATCH($G2480&amp;"",부서매핑!$A$5:$A$504,0)),"미매핑"))</f>
        <v/>
      </c>
      <c r="O2480" s="9">
        <f>IF($A2480="","",N2480&amp;"|"&amp;$F2480)</f>
        <v/>
      </c>
      <c r="P2480" s="77">
        <f>IF($A2480="",0,$H2480*설정!$C$23)</f>
        <v/>
      </c>
      <c r="Q2480" s="39">
        <f>IF($A2480="","",IF(O2480&lt;&gt;원인분석!$C$9,"",IF(AND(M2480&gt;=원인분석!$C$10,M2480&lt;=원인분석!$C$11),"당기",IF(AND(M2480&gt;=원인분석!$C$12,M2480&lt;=원인분석!$C$13),"비교",""))))</f>
        <v/>
      </c>
      <c r="R2480" s="9">
        <f>IF(Q2480="","",$K2480&amp;"")</f>
        <v/>
      </c>
      <c r="S2480" s="9">
        <f>IF(Q2480="","",IF(MATCH(R2480,$R$5:$R$100000,0)=ROW()-4,ROW(),""))</f>
        <v/>
      </c>
      <c r="T2480" s="9">
        <f>IF(Q2480="당기",ABS(P2480)+ROW()/1000000000,"")</f>
        <v/>
      </c>
      <c r="U2480" s="9">
        <f>IF(Q2480="비교",ABS(P2480)+ROW()/1000000000,"")</f>
        <v/>
      </c>
      <c r="V2480" s="39">
        <f>IF($A2480="","",IF(COUNTIF(변동분석!$E$7:$E$506,O2480)&gt;0,"Y","N"))</f>
        <v/>
      </c>
      <c r="W2480" s="39">
        <f>IF($A2480="","",IFERROR(INDEX(계정매핑!$D$5:$D$504,MATCH($F2480&amp;"",계정매핑!$A$5:$A$504,0)),"미매핑"))</f>
        <v/>
      </c>
      <c r="X2480" s="9">
        <f>IF($A2480="","",$F2480&amp;"")</f>
        <v/>
      </c>
    </row>
    <row r="2481">
      <c r="A2481" s="75" t="n">
        <v>2026</v>
      </c>
      <c r="B2481" s="75" t="n">
        <v>1</v>
      </c>
      <c r="C2481" s="75" t="inlineStr">
        <is>
          <t>5100000137</t>
        </is>
      </c>
      <c r="D2481" s="78" t="n">
        <v>46043</v>
      </c>
      <c r="E2481" s="75" t="inlineStr">
        <is>
          <t>KR</t>
        </is>
      </c>
      <c r="F2481" s="75" t="n">
        <v>62401000</v>
      </c>
      <c r="G2481" s="75" t="n">
        <v>1401</v>
      </c>
      <c r="H2481" s="76" t="n">
        <v>413000</v>
      </c>
      <c r="I2481" s="75" t="inlineStr">
        <is>
          <t>1월 인쇄물 제작 - G인쇄</t>
        </is>
      </c>
      <c r="J2481" s="75" t="inlineStr">
        <is>
          <t>V10004</t>
        </is>
      </c>
      <c r="K2481" s="75" t="inlineStr">
        <is>
          <t>G인쇄</t>
        </is>
      </c>
      <c r="M2481" s="9">
        <f>IF($A2481="","",VALUE($A2481&amp;"")*12+VALUE($B2481&amp;""))</f>
        <v/>
      </c>
      <c r="N2481" s="39">
        <f>IF($A2481="","",IFERROR(INDEX(부서매핑!$C$5:$C$504,MATCH($G2481&amp;"",부서매핑!$A$5:$A$504,0)),"미매핑"))</f>
        <v/>
      </c>
      <c r="O2481" s="9">
        <f>IF($A2481="","",N2481&amp;"|"&amp;$F2481)</f>
        <v/>
      </c>
      <c r="P2481" s="77">
        <f>IF($A2481="",0,$H2481*설정!$C$23)</f>
        <v/>
      </c>
      <c r="Q2481" s="39">
        <f>IF($A2481="","",IF(O2481&lt;&gt;원인분석!$C$9,"",IF(AND(M2481&gt;=원인분석!$C$10,M2481&lt;=원인분석!$C$11),"당기",IF(AND(M2481&gt;=원인분석!$C$12,M2481&lt;=원인분석!$C$13),"비교",""))))</f>
        <v/>
      </c>
      <c r="R2481" s="9">
        <f>IF(Q2481="","",$K2481&amp;"")</f>
        <v/>
      </c>
      <c r="S2481" s="9">
        <f>IF(Q2481="","",IF(MATCH(R2481,$R$5:$R$100000,0)=ROW()-4,ROW(),""))</f>
        <v/>
      </c>
      <c r="T2481" s="9">
        <f>IF(Q2481="당기",ABS(P2481)+ROW()/1000000000,"")</f>
        <v/>
      </c>
      <c r="U2481" s="9">
        <f>IF(Q2481="비교",ABS(P2481)+ROW()/1000000000,"")</f>
        <v/>
      </c>
      <c r="V2481" s="39">
        <f>IF($A2481="","",IF(COUNTIF(변동분석!$E$7:$E$506,O2481)&gt;0,"Y","N"))</f>
        <v/>
      </c>
      <c r="W2481" s="39">
        <f>IF($A2481="","",IFERROR(INDEX(계정매핑!$D$5:$D$504,MATCH($F2481&amp;"",계정매핑!$A$5:$A$504,0)),"미매핑"))</f>
        <v/>
      </c>
      <c r="X2481" s="9">
        <f>IF($A2481="","",$F2481&amp;"")</f>
        <v/>
      </c>
    </row>
    <row r="2482">
      <c r="A2482" s="75" t="n">
        <v>2026</v>
      </c>
      <c r="B2482" s="75" t="n">
        <v>1</v>
      </c>
      <c r="C2482" s="75" t="inlineStr">
        <is>
          <t>5100000138</t>
        </is>
      </c>
      <c r="D2482" s="78" t="n">
        <v>46043</v>
      </c>
      <c r="E2482" s="75" t="inlineStr">
        <is>
          <t>KR</t>
        </is>
      </c>
      <c r="F2482" s="75" t="n">
        <v>62701000</v>
      </c>
      <c r="G2482" s="75" t="n">
        <v>1501</v>
      </c>
      <c r="H2482" s="76" t="n">
        <v>105511000</v>
      </c>
      <c r="I2482" s="75" t="inlineStr">
        <is>
          <t>1월 광고 집행 - E미디어</t>
        </is>
      </c>
      <c r="J2482" s="75" t="inlineStr">
        <is>
          <t>V10027</t>
        </is>
      </c>
      <c r="K2482" s="75" t="inlineStr">
        <is>
          <t>E미디어</t>
        </is>
      </c>
      <c r="M2482" s="9">
        <f>IF($A2482="","",VALUE($A2482&amp;"")*12+VALUE($B2482&amp;""))</f>
        <v/>
      </c>
      <c r="N2482" s="39">
        <f>IF($A2482="","",IFERROR(INDEX(부서매핑!$C$5:$C$504,MATCH($G2482&amp;"",부서매핑!$A$5:$A$504,0)),"미매핑"))</f>
        <v/>
      </c>
      <c r="O2482" s="9">
        <f>IF($A2482="","",N2482&amp;"|"&amp;$F2482)</f>
        <v/>
      </c>
      <c r="P2482" s="77">
        <f>IF($A2482="",0,$H2482*설정!$C$23)</f>
        <v/>
      </c>
      <c r="Q2482" s="39">
        <f>IF($A2482="","",IF(O2482&lt;&gt;원인분석!$C$9,"",IF(AND(M2482&gt;=원인분석!$C$10,M2482&lt;=원인분석!$C$11),"당기",IF(AND(M2482&gt;=원인분석!$C$12,M2482&lt;=원인분석!$C$13),"비교",""))))</f>
        <v/>
      </c>
      <c r="R2482" s="9">
        <f>IF(Q2482="","",$K2482&amp;"")</f>
        <v/>
      </c>
      <c r="S2482" s="9">
        <f>IF(Q2482="","",IF(MATCH(R2482,$R$5:$R$100000,0)=ROW()-4,ROW(),""))</f>
        <v/>
      </c>
      <c r="T2482" s="9">
        <f>IF(Q2482="당기",ABS(P2482)+ROW()/1000000000,"")</f>
        <v/>
      </c>
      <c r="U2482" s="9">
        <f>IF(Q2482="비교",ABS(P2482)+ROW()/1000000000,"")</f>
        <v/>
      </c>
      <c r="V2482" s="39">
        <f>IF($A2482="","",IF(COUNTIF(변동분석!$E$7:$E$506,O2482)&gt;0,"Y","N"))</f>
        <v/>
      </c>
      <c r="W2482" s="39">
        <f>IF($A2482="","",IFERROR(INDEX(계정매핑!$D$5:$D$504,MATCH($F2482&amp;"",계정매핑!$A$5:$A$504,0)),"미매핑"))</f>
        <v/>
      </c>
      <c r="X2482" s="9">
        <f>IF($A2482="","",$F2482&amp;"")</f>
        <v/>
      </c>
    </row>
    <row r="2483">
      <c r="A2483" s="75" t="n">
        <v>2026</v>
      </c>
      <c r="B2483" s="75" t="n">
        <v>1</v>
      </c>
      <c r="C2483" s="75" t="inlineStr">
        <is>
          <t>5100000139</t>
        </is>
      </c>
      <c r="D2483" s="78" t="n">
        <v>46043</v>
      </c>
      <c r="E2483" s="75" t="inlineStr">
        <is>
          <t>KR</t>
        </is>
      </c>
      <c r="F2483" s="75" t="n">
        <v>62801000</v>
      </c>
      <c r="G2483" s="75" t="n">
        <v>1301</v>
      </c>
      <c r="H2483" s="76" t="n">
        <v>6002000</v>
      </c>
      <c r="I2483" s="75" t="inlineStr">
        <is>
          <t>1월 사내교육 - U에듀</t>
        </is>
      </c>
      <c r="J2483" s="75" t="inlineStr">
        <is>
          <t>V10026</t>
        </is>
      </c>
      <c r="K2483" s="75" t="inlineStr">
        <is>
          <t>U에듀</t>
        </is>
      </c>
      <c r="M2483" s="9">
        <f>IF($A2483="","",VALUE($A2483&amp;"")*12+VALUE($B2483&amp;""))</f>
        <v/>
      </c>
      <c r="N2483" s="39">
        <f>IF($A2483="","",IFERROR(INDEX(부서매핑!$C$5:$C$504,MATCH($G2483&amp;"",부서매핑!$A$5:$A$504,0)),"미매핑"))</f>
        <v/>
      </c>
      <c r="O2483" s="9">
        <f>IF($A2483="","",N2483&amp;"|"&amp;$F2483)</f>
        <v/>
      </c>
      <c r="P2483" s="77">
        <f>IF($A2483="",0,$H2483*설정!$C$23)</f>
        <v/>
      </c>
      <c r="Q2483" s="39">
        <f>IF($A2483="","",IF(O2483&lt;&gt;원인분석!$C$9,"",IF(AND(M2483&gt;=원인분석!$C$10,M2483&lt;=원인분석!$C$11),"당기",IF(AND(M2483&gt;=원인분석!$C$12,M2483&lt;=원인분석!$C$13),"비교",""))))</f>
        <v/>
      </c>
      <c r="R2483" s="9">
        <f>IF(Q2483="","",$K2483&amp;"")</f>
        <v/>
      </c>
      <c r="S2483" s="9">
        <f>IF(Q2483="","",IF(MATCH(R2483,$R$5:$R$100000,0)=ROW()-4,ROW(),""))</f>
        <v/>
      </c>
      <c r="T2483" s="9">
        <f>IF(Q2483="당기",ABS(P2483)+ROW()/1000000000,"")</f>
        <v/>
      </c>
      <c r="U2483" s="9">
        <f>IF(Q2483="비교",ABS(P2483)+ROW()/1000000000,"")</f>
        <v/>
      </c>
      <c r="V2483" s="39">
        <f>IF($A2483="","",IF(COUNTIF(변동분석!$E$7:$E$506,O2483)&gt;0,"Y","N"))</f>
        <v/>
      </c>
      <c r="W2483" s="39">
        <f>IF($A2483="","",IFERROR(INDEX(계정매핑!$D$5:$D$504,MATCH($F2483&amp;"",계정매핑!$A$5:$A$504,0)),"미매핑"))</f>
        <v/>
      </c>
      <c r="X2483" s="9">
        <f>IF($A2483="","",$F2483&amp;"")</f>
        <v/>
      </c>
    </row>
    <row r="2484">
      <c r="A2484" s="75" t="n">
        <v>2026</v>
      </c>
      <c r="B2484" s="75" t="n">
        <v>1</v>
      </c>
      <c r="C2484" s="75" t="inlineStr">
        <is>
          <t>5100000140</t>
        </is>
      </c>
      <c r="D2484" s="78" t="n">
        <v>46043</v>
      </c>
      <c r="E2484" s="75" t="inlineStr">
        <is>
          <t>KR</t>
        </is>
      </c>
      <c r="F2484" s="75" t="n">
        <v>62902000</v>
      </c>
      <c r="G2484" s="75" t="n">
        <v>1801</v>
      </c>
      <c r="H2484" s="76" t="n">
        <v>1785000</v>
      </c>
      <c r="I2484" s="75" t="inlineStr">
        <is>
          <t>1월 콜 위탁 수수료(건별)</t>
        </is>
      </c>
      <c r="J2484" s="75" t="inlineStr">
        <is>
          <t>V10013</t>
        </is>
      </c>
      <c r="K2484" s="75" t="inlineStr">
        <is>
          <t>J콜센터</t>
        </is>
      </c>
      <c r="M2484" s="9">
        <f>IF($A2484="","",VALUE($A2484&amp;"")*12+VALUE($B2484&amp;""))</f>
        <v/>
      </c>
      <c r="N2484" s="39">
        <f>IF($A2484="","",IFERROR(INDEX(부서매핑!$C$5:$C$504,MATCH($G2484&amp;"",부서매핑!$A$5:$A$504,0)),"미매핑"))</f>
        <v/>
      </c>
      <c r="O2484" s="9">
        <f>IF($A2484="","",N2484&amp;"|"&amp;$F2484)</f>
        <v/>
      </c>
      <c r="P2484" s="77">
        <f>IF($A2484="",0,$H2484*설정!$C$23)</f>
        <v/>
      </c>
      <c r="Q2484" s="39">
        <f>IF($A2484="","",IF(O2484&lt;&gt;원인분석!$C$9,"",IF(AND(M2484&gt;=원인분석!$C$10,M2484&lt;=원인분석!$C$11),"당기",IF(AND(M2484&gt;=원인분석!$C$12,M2484&lt;=원인분석!$C$13),"비교",""))))</f>
        <v/>
      </c>
      <c r="R2484" s="9">
        <f>IF(Q2484="","",$K2484&amp;"")</f>
        <v/>
      </c>
      <c r="S2484" s="9">
        <f>IF(Q2484="","",IF(MATCH(R2484,$R$5:$R$100000,0)=ROW()-4,ROW(),""))</f>
        <v/>
      </c>
      <c r="T2484" s="9">
        <f>IF(Q2484="당기",ABS(P2484)+ROW()/1000000000,"")</f>
        <v/>
      </c>
      <c r="U2484" s="9">
        <f>IF(Q2484="비교",ABS(P2484)+ROW()/1000000000,"")</f>
        <v/>
      </c>
      <c r="V2484" s="39">
        <f>IF($A2484="","",IF(COUNTIF(변동분석!$E$7:$E$506,O2484)&gt;0,"Y","N"))</f>
        <v/>
      </c>
      <c r="W2484" s="39">
        <f>IF($A2484="","",IFERROR(INDEX(계정매핑!$D$5:$D$504,MATCH($F2484&amp;"",계정매핑!$A$5:$A$504,0)),"미매핑"))</f>
        <v/>
      </c>
      <c r="X2484" s="9">
        <f>IF($A2484="","",$F2484&amp;"")</f>
        <v/>
      </c>
    </row>
    <row r="2485">
      <c r="A2485" s="75" t="n">
        <v>2026</v>
      </c>
      <c r="B2485" s="75" t="n">
        <v>1</v>
      </c>
      <c r="C2485" s="75" t="inlineStr">
        <is>
          <t>5100000141</t>
        </is>
      </c>
      <c r="D2485" s="78" t="n">
        <v>46044</v>
      </c>
      <c r="E2485" s="75" t="inlineStr">
        <is>
          <t>KR</t>
        </is>
      </c>
      <c r="F2485" s="75" t="n">
        <v>62101000</v>
      </c>
      <c r="G2485" s="75" t="n">
        <v>1201</v>
      </c>
      <c r="H2485" s="76" t="n">
        <v>233000</v>
      </c>
      <c r="I2485" s="75" t="inlineStr">
        <is>
          <t>1월 국내출장 - (법인카드)</t>
        </is>
      </c>
      <c r="J2485" s="75" t="inlineStr">
        <is>
          <t>V10008</t>
        </is>
      </c>
      <c r="K2485" s="75" t="inlineStr">
        <is>
          <t>(법인카드)</t>
        </is>
      </c>
      <c r="M2485" s="9">
        <f>IF($A2485="","",VALUE($A2485&amp;"")*12+VALUE($B2485&amp;""))</f>
        <v/>
      </c>
      <c r="N2485" s="39">
        <f>IF($A2485="","",IFERROR(INDEX(부서매핑!$C$5:$C$504,MATCH($G2485&amp;"",부서매핑!$A$5:$A$504,0)),"미매핑"))</f>
        <v/>
      </c>
      <c r="O2485" s="9">
        <f>IF($A2485="","",N2485&amp;"|"&amp;$F2485)</f>
        <v/>
      </c>
      <c r="P2485" s="77">
        <f>IF($A2485="",0,$H2485*설정!$C$23)</f>
        <v/>
      </c>
      <c r="Q2485" s="39">
        <f>IF($A2485="","",IF(O2485&lt;&gt;원인분석!$C$9,"",IF(AND(M2485&gt;=원인분석!$C$10,M2485&lt;=원인분석!$C$11),"당기",IF(AND(M2485&gt;=원인분석!$C$12,M2485&lt;=원인분석!$C$13),"비교",""))))</f>
        <v/>
      </c>
      <c r="R2485" s="9">
        <f>IF(Q2485="","",$K2485&amp;"")</f>
        <v/>
      </c>
      <c r="S2485" s="9">
        <f>IF(Q2485="","",IF(MATCH(R2485,$R$5:$R$100000,0)=ROW()-4,ROW(),""))</f>
        <v/>
      </c>
      <c r="T2485" s="9">
        <f>IF(Q2485="당기",ABS(P2485)+ROW()/1000000000,"")</f>
        <v/>
      </c>
      <c r="U2485" s="9">
        <f>IF(Q2485="비교",ABS(P2485)+ROW()/1000000000,"")</f>
        <v/>
      </c>
      <c r="V2485" s="39">
        <f>IF($A2485="","",IF(COUNTIF(변동분석!$E$7:$E$506,O2485)&gt;0,"Y","N"))</f>
        <v/>
      </c>
      <c r="W2485" s="39">
        <f>IF($A2485="","",IFERROR(INDEX(계정매핑!$D$5:$D$504,MATCH($F2485&amp;"",계정매핑!$A$5:$A$504,0)),"미매핑"))</f>
        <v/>
      </c>
      <c r="X2485" s="9">
        <f>IF($A2485="","",$F2485&amp;"")</f>
        <v/>
      </c>
    </row>
    <row r="2486">
      <c r="A2486" s="75" t="n">
        <v>2026</v>
      </c>
      <c r="B2486" s="75" t="n">
        <v>1</v>
      </c>
      <c r="C2486" s="75" t="inlineStr">
        <is>
          <t>5100000142</t>
        </is>
      </c>
      <c r="D2486" s="78" t="n">
        <v>46044</v>
      </c>
      <c r="E2486" s="75" t="inlineStr">
        <is>
          <t>KR</t>
        </is>
      </c>
      <c r="F2486" s="75" t="n">
        <v>62101000</v>
      </c>
      <c r="G2486" s="75" t="n">
        <v>1301</v>
      </c>
      <c r="H2486" s="76" t="n">
        <v>435000</v>
      </c>
      <c r="I2486" s="75" t="inlineStr">
        <is>
          <t>1월 국내출장 - M항공</t>
        </is>
      </c>
      <c r="J2486" s="75" t="inlineStr">
        <is>
          <t>V10001</t>
        </is>
      </c>
      <c r="K2486" s="75" t="inlineStr">
        <is>
          <t>M항공</t>
        </is>
      </c>
      <c r="M2486" s="9">
        <f>IF($A2486="","",VALUE($A2486&amp;"")*12+VALUE($B2486&amp;""))</f>
        <v/>
      </c>
      <c r="N2486" s="39">
        <f>IF($A2486="","",IFERROR(INDEX(부서매핑!$C$5:$C$504,MATCH($G2486&amp;"",부서매핑!$A$5:$A$504,0)),"미매핑"))</f>
        <v/>
      </c>
      <c r="O2486" s="9">
        <f>IF($A2486="","",N2486&amp;"|"&amp;$F2486)</f>
        <v/>
      </c>
      <c r="P2486" s="77">
        <f>IF($A2486="",0,$H2486*설정!$C$23)</f>
        <v/>
      </c>
      <c r="Q2486" s="39">
        <f>IF($A2486="","",IF(O2486&lt;&gt;원인분석!$C$9,"",IF(AND(M2486&gt;=원인분석!$C$10,M2486&lt;=원인분석!$C$11),"당기",IF(AND(M2486&gt;=원인분석!$C$12,M2486&lt;=원인분석!$C$13),"비교",""))))</f>
        <v/>
      </c>
      <c r="R2486" s="9">
        <f>IF(Q2486="","",$K2486&amp;"")</f>
        <v/>
      </c>
      <c r="S2486" s="9">
        <f>IF(Q2486="","",IF(MATCH(R2486,$R$5:$R$100000,0)=ROW()-4,ROW(),""))</f>
        <v/>
      </c>
      <c r="T2486" s="9">
        <f>IF(Q2486="당기",ABS(P2486)+ROW()/1000000000,"")</f>
        <v/>
      </c>
      <c r="U2486" s="9">
        <f>IF(Q2486="비교",ABS(P2486)+ROW()/1000000000,"")</f>
        <v/>
      </c>
      <c r="V2486" s="39">
        <f>IF($A2486="","",IF(COUNTIF(변동분석!$E$7:$E$506,O2486)&gt;0,"Y","N"))</f>
        <v/>
      </c>
      <c r="W2486" s="39">
        <f>IF($A2486="","",IFERROR(INDEX(계정매핑!$D$5:$D$504,MATCH($F2486&amp;"",계정매핑!$A$5:$A$504,0)),"미매핑"))</f>
        <v/>
      </c>
      <c r="X2486" s="9">
        <f>IF($A2486="","",$F2486&amp;"")</f>
        <v/>
      </c>
    </row>
    <row r="2487">
      <c r="A2487" s="75" t="n">
        <v>2026</v>
      </c>
      <c r="B2487" s="75" t="n">
        <v>1</v>
      </c>
      <c r="C2487" s="75" t="inlineStr">
        <is>
          <t>5100000143</t>
        </is>
      </c>
      <c r="D2487" s="78" t="n">
        <v>46044</v>
      </c>
      <c r="E2487" s="75" t="inlineStr">
        <is>
          <t>KR</t>
        </is>
      </c>
      <c r="F2487" s="75" t="n">
        <v>62101000</v>
      </c>
      <c r="G2487" s="75" t="n">
        <v>1601</v>
      </c>
      <c r="H2487" s="76" t="n">
        <v>1805000</v>
      </c>
      <c r="I2487" s="75" t="inlineStr">
        <is>
          <t>1월 국내출장 - L여행사</t>
        </is>
      </c>
      <c r="J2487" s="75" t="inlineStr">
        <is>
          <t>V10014</t>
        </is>
      </c>
      <c r="K2487" s="75" t="inlineStr">
        <is>
          <t>L여행사</t>
        </is>
      </c>
      <c r="M2487" s="9">
        <f>IF($A2487="","",VALUE($A2487&amp;"")*12+VALUE($B2487&amp;""))</f>
        <v/>
      </c>
      <c r="N2487" s="39">
        <f>IF($A2487="","",IFERROR(INDEX(부서매핑!$C$5:$C$504,MATCH($G2487&amp;"",부서매핑!$A$5:$A$504,0)),"미매핑"))</f>
        <v/>
      </c>
      <c r="O2487" s="9">
        <f>IF($A2487="","",N2487&amp;"|"&amp;$F2487)</f>
        <v/>
      </c>
      <c r="P2487" s="77">
        <f>IF($A2487="",0,$H2487*설정!$C$23)</f>
        <v/>
      </c>
      <c r="Q2487" s="39">
        <f>IF($A2487="","",IF(O2487&lt;&gt;원인분석!$C$9,"",IF(AND(M2487&gt;=원인분석!$C$10,M2487&lt;=원인분석!$C$11),"당기",IF(AND(M2487&gt;=원인분석!$C$12,M2487&lt;=원인분석!$C$13),"비교",""))))</f>
        <v/>
      </c>
      <c r="R2487" s="9">
        <f>IF(Q2487="","",$K2487&amp;"")</f>
        <v/>
      </c>
      <c r="S2487" s="9">
        <f>IF(Q2487="","",IF(MATCH(R2487,$R$5:$R$100000,0)=ROW()-4,ROW(),""))</f>
        <v/>
      </c>
      <c r="T2487" s="9">
        <f>IF(Q2487="당기",ABS(P2487)+ROW()/1000000000,"")</f>
        <v/>
      </c>
      <c r="U2487" s="9">
        <f>IF(Q2487="비교",ABS(P2487)+ROW()/1000000000,"")</f>
        <v/>
      </c>
      <c r="V2487" s="39">
        <f>IF($A2487="","",IF(COUNTIF(변동분석!$E$7:$E$506,O2487)&gt;0,"Y","N"))</f>
        <v/>
      </c>
      <c r="W2487" s="39">
        <f>IF($A2487="","",IFERROR(INDEX(계정매핑!$D$5:$D$504,MATCH($F2487&amp;"",계정매핑!$A$5:$A$504,0)),"미매핑"))</f>
        <v/>
      </c>
      <c r="X2487" s="9">
        <f>IF($A2487="","",$F2487&amp;"")</f>
        <v/>
      </c>
    </row>
    <row r="2488">
      <c r="A2488" s="75" t="n">
        <v>2026</v>
      </c>
      <c r="B2488" s="75" t="n">
        <v>1</v>
      </c>
      <c r="C2488" s="75" t="inlineStr">
        <is>
          <t>5100000144</t>
        </is>
      </c>
      <c r="D2488" s="78" t="n">
        <v>46044</v>
      </c>
      <c r="E2488" s="75" t="inlineStr">
        <is>
          <t>KR</t>
        </is>
      </c>
      <c r="F2488" s="75" t="n">
        <v>62201000</v>
      </c>
      <c r="G2488" s="75" t="n">
        <v>1502</v>
      </c>
      <c r="H2488" s="76" t="n">
        <v>347000</v>
      </c>
      <c r="I2488" s="75" t="inlineStr">
        <is>
          <t>1월 통신요금 - P통신</t>
        </is>
      </c>
      <c r="J2488" s="75" t="inlineStr">
        <is>
          <t>V10011</t>
        </is>
      </c>
      <c r="K2488" s="75" t="inlineStr">
        <is>
          <t>P통신</t>
        </is>
      </c>
      <c r="M2488" s="9">
        <f>IF($A2488="","",VALUE($A2488&amp;"")*12+VALUE($B2488&amp;""))</f>
        <v/>
      </c>
      <c r="N2488" s="39">
        <f>IF($A2488="","",IFERROR(INDEX(부서매핑!$C$5:$C$504,MATCH($G2488&amp;"",부서매핑!$A$5:$A$504,0)),"미매핑"))</f>
        <v/>
      </c>
      <c r="O2488" s="9">
        <f>IF($A2488="","",N2488&amp;"|"&amp;$F2488)</f>
        <v/>
      </c>
      <c r="P2488" s="77">
        <f>IF($A2488="",0,$H2488*설정!$C$23)</f>
        <v/>
      </c>
      <c r="Q2488" s="39">
        <f>IF($A2488="","",IF(O2488&lt;&gt;원인분석!$C$9,"",IF(AND(M2488&gt;=원인분석!$C$10,M2488&lt;=원인분석!$C$11),"당기",IF(AND(M2488&gt;=원인분석!$C$12,M2488&lt;=원인분석!$C$13),"비교",""))))</f>
        <v/>
      </c>
      <c r="R2488" s="9">
        <f>IF(Q2488="","",$K2488&amp;"")</f>
        <v/>
      </c>
      <c r="S2488" s="9">
        <f>IF(Q2488="","",IF(MATCH(R2488,$R$5:$R$100000,0)=ROW()-4,ROW(),""))</f>
        <v/>
      </c>
      <c r="T2488" s="9">
        <f>IF(Q2488="당기",ABS(P2488)+ROW()/1000000000,"")</f>
        <v/>
      </c>
      <c r="U2488" s="9">
        <f>IF(Q2488="비교",ABS(P2488)+ROW()/1000000000,"")</f>
        <v/>
      </c>
      <c r="V2488" s="39">
        <f>IF($A2488="","",IF(COUNTIF(변동분석!$E$7:$E$506,O2488)&gt;0,"Y","N"))</f>
        <v/>
      </c>
      <c r="W2488" s="39">
        <f>IF($A2488="","",IFERROR(INDEX(계정매핑!$D$5:$D$504,MATCH($F2488&amp;"",계정매핑!$A$5:$A$504,0)),"미매핑"))</f>
        <v/>
      </c>
      <c r="X2488" s="9">
        <f>IF($A2488="","",$F2488&amp;"")</f>
        <v/>
      </c>
    </row>
    <row r="2489">
      <c r="A2489" s="75" t="n">
        <v>2026</v>
      </c>
      <c r="B2489" s="75" t="n">
        <v>1</v>
      </c>
      <c r="C2489" s="75" t="inlineStr">
        <is>
          <t>5100000145</t>
        </is>
      </c>
      <c r="D2489" s="78" t="n">
        <v>46044</v>
      </c>
      <c r="E2489" s="75" t="inlineStr">
        <is>
          <t>KR</t>
        </is>
      </c>
      <c r="F2489" s="75" t="n">
        <v>62301000</v>
      </c>
      <c r="G2489" s="75" t="n">
        <v>1701</v>
      </c>
      <c r="H2489" s="76" t="n">
        <v>239000</v>
      </c>
      <c r="I2489" s="75" t="inlineStr">
        <is>
          <t>1월 소모품 구입 - Q오피스</t>
        </is>
      </c>
      <c r="J2489" s="75" t="inlineStr">
        <is>
          <t>V10003</t>
        </is>
      </c>
      <c r="K2489" s="75" t="inlineStr">
        <is>
          <t>Q오피스</t>
        </is>
      </c>
      <c r="M2489" s="9">
        <f>IF($A2489="","",VALUE($A2489&amp;"")*12+VALUE($B2489&amp;""))</f>
        <v/>
      </c>
      <c r="N2489" s="39">
        <f>IF($A2489="","",IFERROR(INDEX(부서매핑!$C$5:$C$504,MATCH($G2489&amp;"",부서매핑!$A$5:$A$504,0)),"미매핑"))</f>
        <v/>
      </c>
      <c r="O2489" s="9">
        <f>IF($A2489="","",N2489&amp;"|"&amp;$F2489)</f>
        <v/>
      </c>
      <c r="P2489" s="77">
        <f>IF($A2489="",0,$H2489*설정!$C$23)</f>
        <v/>
      </c>
      <c r="Q2489" s="39">
        <f>IF($A2489="","",IF(O2489&lt;&gt;원인분석!$C$9,"",IF(AND(M2489&gt;=원인분석!$C$10,M2489&lt;=원인분석!$C$11),"당기",IF(AND(M2489&gt;=원인분석!$C$12,M2489&lt;=원인분석!$C$13),"비교",""))))</f>
        <v/>
      </c>
      <c r="R2489" s="9">
        <f>IF(Q2489="","",$K2489&amp;"")</f>
        <v/>
      </c>
      <c r="S2489" s="9">
        <f>IF(Q2489="","",IF(MATCH(R2489,$R$5:$R$100000,0)=ROW()-4,ROW(),""))</f>
        <v/>
      </c>
      <c r="T2489" s="9">
        <f>IF(Q2489="당기",ABS(P2489)+ROW()/1000000000,"")</f>
        <v/>
      </c>
      <c r="U2489" s="9">
        <f>IF(Q2489="비교",ABS(P2489)+ROW()/1000000000,"")</f>
        <v/>
      </c>
      <c r="V2489" s="39">
        <f>IF($A2489="","",IF(COUNTIF(변동분석!$E$7:$E$506,O2489)&gt;0,"Y","N"))</f>
        <v/>
      </c>
      <c r="W2489" s="39">
        <f>IF($A2489="","",IFERROR(INDEX(계정매핑!$D$5:$D$504,MATCH($F2489&amp;"",계정매핑!$A$5:$A$504,0)),"미매핑"))</f>
        <v/>
      </c>
      <c r="X2489" s="9">
        <f>IF($A2489="","",$F2489&amp;"")</f>
        <v/>
      </c>
    </row>
    <row r="2490">
      <c r="A2490" s="75" t="n">
        <v>2026</v>
      </c>
      <c r="B2490" s="75" t="n">
        <v>1</v>
      </c>
      <c r="C2490" s="75" t="inlineStr">
        <is>
          <t>5100000146</t>
        </is>
      </c>
      <c r="D2490" s="78" t="n">
        <v>46044</v>
      </c>
      <c r="E2490" s="75" t="inlineStr">
        <is>
          <t>KR</t>
        </is>
      </c>
      <c r="F2490" s="75" t="n">
        <v>62301000</v>
      </c>
      <c r="G2490" s="75" t="n">
        <v>1701</v>
      </c>
      <c r="H2490" s="76" t="n">
        <v>198000</v>
      </c>
      <c r="I2490" s="75" t="inlineStr">
        <is>
          <t>1월 소모품 구입 - R문구</t>
        </is>
      </c>
      <c r="J2490" s="75" t="inlineStr">
        <is>
          <t>V10018</t>
        </is>
      </c>
      <c r="K2490" s="75" t="inlineStr">
        <is>
          <t>R문구</t>
        </is>
      </c>
      <c r="M2490" s="9">
        <f>IF($A2490="","",VALUE($A2490&amp;"")*12+VALUE($B2490&amp;""))</f>
        <v/>
      </c>
      <c r="N2490" s="39">
        <f>IF($A2490="","",IFERROR(INDEX(부서매핑!$C$5:$C$504,MATCH($G2490&amp;"",부서매핑!$A$5:$A$504,0)),"미매핑"))</f>
        <v/>
      </c>
      <c r="O2490" s="9">
        <f>IF($A2490="","",N2490&amp;"|"&amp;$F2490)</f>
        <v/>
      </c>
      <c r="P2490" s="77">
        <f>IF($A2490="",0,$H2490*설정!$C$23)</f>
        <v/>
      </c>
      <c r="Q2490" s="39">
        <f>IF($A2490="","",IF(O2490&lt;&gt;원인분석!$C$9,"",IF(AND(M2490&gt;=원인분석!$C$10,M2490&lt;=원인분석!$C$11),"당기",IF(AND(M2490&gt;=원인분석!$C$12,M2490&lt;=원인분석!$C$13),"비교",""))))</f>
        <v/>
      </c>
      <c r="R2490" s="9">
        <f>IF(Q2490="","",$K2490&amp;"")</f>
        <v/>
      </c>
      <c r="S2490" s="9">
        <f>IF(Q2490="","",IF(MATCH(R2490,$R$5:$R$100000,0)=ROW()-4,ROW(),""))</f>
        <v/>
      </c>
      <c r="T2490" s="9">
        <f>IF(Q2490="당기",ABS(P2490)+ROW()/1000000000,"")</f>
        <v/>
      </c>
      <c r="U2490" s="9">
        <f>IF(Q2490="비교",ABS(P2490)+ROW()/1000000000,"")</f>
        <v/>
      </c>
      <c r="V2490" s="39">
        <f>IF($A2490="","",IF(COUNTIF(변동분석!$E$7:$E$506,O2490)&gt;0,"Y","N"))</f>
        <v/>
      </c>
      <c r="W2490" s="39">
        <f>IF($A2490="","",IFERROR(INDEX(계정매핑!$D$5:$D$504,MATCH($F2490&amp;"",계정매핑!$A$5:$A$504,0)),"미매핑"))</f>
        <v/>
      </c>
      <c r="X2490" s="9">
        <f>IF($A2490="","",$F2490&amp;"")</f>
        <v/>
      </c>
    </row>
    <row r="2491">
      <c r="A2491" s="75" t="n">
        <v>2026</v>
      </c>
      <c r="B2491" s="75" t="n">
        <v>1</v>
      </c>
      <c r="C2491" s="75" t="inlineStr">
        <is>
          <t>5100000147</t>
        </is>
      </c>
      <c r="D2491" s="78" t="n">
        <v>46044</v>
      </c>
      <c r="E2491" s="75" t="inlineStr">
        <is>
          <t>KR</t>
        </is>
      </c>
      <c r="F2491" s="75" t="n">
        <v>62401000</v>
      </c>
      <c r="G2491" s="75" t="n">
        <v>1801</v>
      </c>
      <c r="H2491" s="76" t="n">
        <v>1892000</v>
      </c>
      <c r="I2491" s="75" t="inlineStr">
        <is>
          <t>1월 인쇄물 제작 - G인쇄</t>
        </is>
      </c>
      <c r="J2491" s="75" t="inlineStr">
        <is>
          <t>V10004</t>
        </is>
      </c>
      <c r="K2491" s="75" t="inlineStr">
        <is>
          <t>G인쇄</t>
        </is>
      </c>
      <c r="M2491" s="9">
        <f>IF($A2491="","",VALUE($A2491&amp;"")*12+VALUE($B2491&amp;""))</f>
        <v/>
      </c>
      <c r="N2491" s="39">
        <f>IF($A2491="","",IFERROR(INDEX(부서매핑!$C$5:$C$504,MATCH($G2491&amp;"",부서매핑!$A$5:$A$504,0)),"미매핑"))</f>
        <v/>
      </c>
      <c r="O2491" s="9">
        <f>IF($A2491="","",N2491&amp;"|"&amp;$F2491)</f>
        <v/>
      </c>
      <c r="P2491" s="77">
        <f>IF($A2491="",0,$H2491*설정!$C$23)</f>
        <v/>
      </c>
      <c r="Q2491" s="39">
        <f>IF($A2491="","",IF(O2491&lt;&gt;원인분석!$C$9,"",IF(AND(M2491&gt;=원인분석!$C$10,M2491&lt;=원인분석!$C$11),"당기",IF(AND(M2491&gt;=원인분석!$C$12,M2491&lt;=원인분석!$C$13),"비교",""))))</f>
        <v/>
      </c>
      <c r="R2491" s="9">
        <f>IF(Q2491="","",$K2491&amp;"")</f>
        <v/>
      </c>
      <c r="S2491" s="9">
        <f>IF(Q2491="","",IF(MATCH(R2491,$R$5:$R$100000,0)=ROW()-4,ROW(),""))</f>
        <v/>
      </c>
      <c r="T2491" s="9">
        <f>IF(Q2491="당기",ABS(P2491)+ROW()/1000000000,"")</f>
        <v/>
      </c>
      <c r="U2491" s="9">
        <f>IF(Q2491="비교",ABS(P2491)+ROW()/1000000000,"")</f>
        <v/>
      </c>
      <c r="V2491" s="39">
        <f>IF($A2491="","",IF(COUNTIF(변동분석!$E$7:$E$506,O2491)&gt;0,"Y","N"))</f>
        <v/>
      </c>
      <c r="W2491" s="39">
        <f>IF($A2491="","",IFERROR(INDEX(계정매핑!$D$5:$D$504,MATCH($F2491&amp;"",계정매핑!$A$5:$A$504,0)),"미매핑"))</f>
        <v/>
      </c>
      <c r="X2491" s="9">
        <f>IF($A2491="","",$F2491&amp;"")</f>
        <v/>
      </c>
    </row>
    <row r="2492">
      <c r="A2492" s="75" t="n">
        <v>2026</v>
      </c>
      <c r="B2492" s="75" t="n">
        <v>1</v>
      </c>
      <c r="C2492" s="75" t="inlineStr">
        <is>
          <t>5100000148</t>
        </is>
      </c>
      <c r="D2492" s="78" t="n">
        <v>46044</v>
      </c>
      <c r="E2492" s="75" t="inlineStr">
        <is>
          <t>KR</t>
        </is>
      </c>
      <c r="F2492" s="75" t="n">
        <v>62801000</v>
      </c>
      <c r="G2492" s="75" t="n">
        <v>1301</v>
      </c>
      <c r="H2492" s="76" t="n">
        <v>7370000</v>
      </c>
      <c r="I2492" s="75" t="inlineStr">
        <is>
          <t>1월 사내교육 - (사내강사료)</t>
        </is>
      </c>
      <c r="J2492" s="75" t="inlineStr">
        <is>
          <t>V10020</t>
        </is>
      </c>
      <c r="K2492" s="75" t="inlineStr">
        <is>
          <t>(사내강사료)</t>
        </is>
      </c>
      <c r="M2492" s="9">
        <f>IF($A2492="","",VALUE($A2492&amp;"")*12+VALUE($B2492&amp;""))</f>
        <v/>
      </c>
      <c r="N2492" s="39">
        <f>IF($A2492="","",IFERROR(INDEX(부서매핑!$C$5:$C$504,MATCH($G2492&amp;"",부서매핑!$A$5:$A$504,0)),"미매핑"))</f>
        <v/>
      </c>
      <c r="O2492" s="9">
        <f>IF($A2492="","",N2492&amp;"|"&amp;$F2492)</f>
        <v/>
      </c>
      <c r="P2492" s="77">
        <f>IF($A2492="",0,$H2492*설정!$C$23)</f>
        <v/>
      </c>
      <c r="Q2492" s="39">
        <f>IF($A2492="","",IF(O2492&lt;&gt;원인분석!$C$9,"",IF(AND(M2492&gt;=원인분석!$C$10,M2492&lt;=원인분석!$C$11),"당기",IF(AND(M2492&gt;=원인분석!$C$12,M2492&lt;=원인분석!$C$13),"비교",""))))</f>
        <v/>
      </c>
      <c r="R2492" s="9">
        <f>IF(Q2492="","",$K2492&amp;"")</f>
        <v/>
      </c>
      <c r="S2492" s="9">
        <f>IF(Q2492="","",IF(MATCH(R2492,$R$5:$R$100000,0)=ROW()-4,ROW(),""))</f>
        <v/>
      </c>
      <c r="T2492" s="9">
        <f>IF(Q2492="당기",ABS(P2492)+ROW()/1000000000,"")</f>
        <v/>
      </c>
      <c r="U2492" s="9">
        <f>IF(Q2492="비교",ABS(P2492)+ROW()/1000000000,"")</f>
        <v/>
      </c>
      <c r="V2492" s="39">
        <f>IF($A2492="","",IF(COUNTIF(변동분석!$E$7:$E$506,O2492)&gt;0,"Y","N"))</f>
        <v/>
      </c>
      <c r="W2492" s="39">
        <f>IF($A2492="","",IFERROR(INDEX(계정매핑!$D$5:$D$504,MATCH($F2492&amp;"",계정매핑!$A$5:$A$504,0)),"미매핑"))</f>
        <v/>
      </c>
      <c r="X2492" s="9">
        <f>IF($A2492="","",$F2492&amp;"")</f>
        <v/>
      </c>
    </row>
    <row r="2493">
      <c r="A2493" s="75" t="n">
        <v>2026</v>
      </c>
      <c r="B2493" s="75" t="n">
        <v>1</v>
      </c>
      <c r="C2493" s="75" t="inlineStr">
        <is>
          <t>5100000149</t>
        </is>
      </c>
      <c r="D2493" s="78" t="n">
        <v>46044</v>
      </c>
      <c r="E2493" s="75" t="inlineStr">
        <is>
          <t>KR</t>
        </is>
      </c>
      <c r="F2493" s="75" t="n">
        <v>62802000</v>
      </c>
      <c r="G2493" s="75" t="n">
        <v>1301</v>
      </c>
      <c r="H2493" s="76" t="n">
        <v>2522000</v>
      </c>
      <c r="I2493" s="75" t="inlineStr">
        <is>
          <t>1월 위탁교육 - I교육원</t>
        </is>
      </c>
      <c r="J2493" s="75" t="inlineStr">
        <is>
          <t>V10015</t>
        </is>
      </c>
      <c r="K2493" s="75" t="inlineStr">
        <is>
          <t>I교육원</t>
        </is>
      </c>
      <c r="M2493" s="9">
        <f>IF($A2493="","",VALUE($A2493&amp;"")*12+VALUE($B2493&amp;""))</f>
        <v/>
      </c>
      <c r="N2493" s="39">
        <f>IF($A2493="","",IFERROR(INDEX(부서매핑!$C$5:$C$504,MATCH($G2493&amp;"",부서매핑!$A$5:$A$504,0)),"미매핑"))</f>
        <v/>
      </c>
      <c r="O2493" s="9">
        <f>IF($A2493="","",N2493&amp;"|"&amp;$F2493)</f>
        <v/>
      </c>
      <c r="P2493" s="77">
        <f>IF($A2493="",0,$H2493*설정!$C$23)</f>
        <v/>
      </c>
      <c r="Q2493" s="39">
        <f>IF($A2493="","",IF(O2493&lt;&gt;원인분석!$C$9,"",IF(AND(M2493&gt;=원인분석!$C$10,M2493&lt;=원인분석!$C$11),"당기",IF(AND(M2493&gt;=원인분석!$C$12,M2493&lt;=원인분석!$C$13),"비교",""))))</f>
        <v/>
      </c>
      <c r="R2493" s="9">
        <f>IF(Q2493="","",$K2493&amp;"")</f>
        <v/>
      </c>
      <c r="S2493" s="9">
        <f>IF(Q2493="","",IF(MATCH(R2493,$R$5:$R$100000,0)=ROW()-4,ROW(),""))</f>
        <v/>
      </c>
      <c r="T2493" s="9">
        <f>IF(Q2493="당기",ABS(P2493)+ROW()/1000000000,"")</f>
        <v/>
      </c>
      <c r="U2493" s="9">
        <f>IF(Q2493="비교",ABS(P2493)+ROW()/1000000000,"")</f>
        <v/>
      </c>
      <c r="V2493" s="39">
        <f>IF($A2493="","",IF(COUNTIF(변동분석!$E$7:$E$506,O2493)&gt;0,"Y","N"))</f>
        <v/>
      </c>
      <c r="W2493" s="39">
        <f>IF($A2493="","",IFERROR(INDEX(계정매핑!$D$5:$D$504,MATCH($F2493&amp;"",계정매핑!$A$5:$A$504,0)),"미매핑"))</f>
        <v/>
      </c>
      <c r="X2493" s="9">
        <f>IF($A2493="","",$F2493&amp;"")</f>
        <v/>
      </c>
    </row>
    <row r="2494">
      <c r="A2494" s="75" t="n">
        <v>2026</v>
      </c>
      <c r="B2494" s="75" t="n">
        <v>1</v>
      </c>
      <c r="C2494" s="75" t="inlineStr">
        <is>
          <t>5100000150</t>
        </is>
      </c>
      <c r="D2494" s="78" t="n">
        <v>46044</v>
      </c>
      <c r="E2494" s="75" t="inlineStr">
        <is>
          <t>KR</t>
        </is>
      </c>
      <c r="F2494" s="75" t="n">
        <v>62901000</v>
      </c>
      <c r="G2494" s="75" t="n">
        <v>1801</v>
      </c>
      <c r="H2494" s="76" t="n">
        <v>9765000</v>
      </c>
      <c r="I2494" s="75" t="inlineStr">
        <is>
          <t>1월 자문 수수료 - W컨설팅</t>
        </is>
      </c>
      <c r="J2494" s="75" t="inlineStr">
        <is>
          <t>V10009</t>
        </is>
      </c>
      <c r="K2494" s="75" t="inlineStr">
        <is>
          <t>W컨설팅</t>
        </is>
      </c>
      <c r="M2494" s="9">
        <f>IF($A2494="","",VALUE($A2494&amp;"")*12+VALUE($B2494&amp;""))</f>
        <v/>
      </c>
      <c r="N2494" s="39">
        <f>IF($A2494="","",IFERROR(INDEX(부서매핑!$C$5:$C$504,MATCH($G2494&amp;"",부서매핑!$A$5:$A$504,0)),"미매핑"))</f>
        <v/>
      </c>
      <c r="O2494" s="9">
        <f>IF($A2494="","",N2494&amp;"|"&amp;$F2494)</f>
        <v/>
      </c>
      <c r="P2494" s="77">
        <f>IF($A2494="",0,$H2494*설정!$C$23)</f>
        <v/>
      </c>
      <c r="Q2494" s="39">
        <f>IF($A2494="","",IF(O2494&lt;&gt;원인분석!$C$9,"",IF(AND(M2494&gt;=원인분석!$C$10,M2494&lt;=원인분석!$C$11),"당기",IF(AND(M2494&gt;=원인분석!$C$12,M2494&lt;=원인분석!$C$13),"비교",""))))</f>
        <v/>
      </c>
      <c r="R2494" s="9">
        <f>IF(Q2494="","",$K2494&amp;"")</f>
        <v/>
      </c>
      <c r="S2494" s="9">
        <f>IF(Q2494="","",IF(MATCH(R2494,$R$5:$R$100000,0)=ROW()-4,ROW(),""))</f>
        <v/>
      </c>
      <c r="T2494" s="9">
        <f>IF(Q2494="당기",ABS(P2494)+ROW()/1000000000,"")</f>
        <v/>
      </c>
      <c r="U2494" s="9">
        <f>IF(Q2494="비교",ABS(P2494)+ROW()/1000000000,"")</f>
        <v/>
      </c>
      <c r="V2494" s="39">
        <f>IF($A2494="","",IF(COUNTIF(변동분석!$E$7:$E$506,O2494)&gt;0,"Y","N"))</f>
        <v/>
      </c>
      <c r="W2494" s="39">
        <f>IF($A2494="","",IFERROR(INDEX(계정매핑!$D$5:$D$504,MATCH($F2494&amp;"",계정매핑!$A$5:$A$504,0)),"미매핑"))</f>
        <v/>
      </c>
      <c r="X2494" s="9">
        <f>IF($A2494="","",$F2494&amp;"")</f>
        <v/>
      </c>
    </row>
    <row r="2495">
      <c r="A2495" s="75" t="n">
        <v>2026</v>
      </c>
      <c r="B2495" s="75" t="n">
        <v>1</v>
      </c>
      <c r="C2495" s="75" t="inlineStr">
        <is>
          <t>5100000151</t>
        </is>
      </c>
      <c r="D2495" s="78" t="n">
        <v>46044</v>
      </c>
      <c r="E2495" s="75" t="inlineStr">
        <is>
          <t>KR</t>
        </is>
      </c>
      <c r="F2495" s="75" t="n">
        <v>62902000</v>
      </c>
      <c r="G2495" s="75" t="n">
        <v>1101</v>
      </c>
      <c r="H2495" s="76" t="n">
        <v>1422000</v>
      </c>
      <c r="I2495" s="75" t="inlineStr">
        <is>
          <t>1월 업무 위탁 수수료 - J콜센터</t>
        </is>
      </c>
      <c r="J2495" s="75" t="inlineStr">
        <is>
          <t>V10013</t>
        </is>
      </c>
      <c r="K2495" s="75" t="inlineStr">
        <is>
          <t>J콜센터</t>
        </is>
      </c>
      <c r="M2495" s="9">
        <f>IF($A2495="","",VALUE($A2495&amp;"")*12+VALUE($B2495&amp;""))</f>
        <v/>
      </c>
      <c r="N2495" s="39">
        <f>IF($A2495="","",IFERROR(INDEX(부서매핑!$C$5:$C$504,MATCH($G2495&amp;"",부서매핑!$A$5:$A$504,0)),"미매핑"))</f>
        <v/>
      </c>
      <c r="O2495" s="9">
        <f>IF($A2495="","",N2495&amp;"|"&amp;$F2495)</f>
        <v/>
      </c>
      <c r="P2495" s="77">
        <f>IF($A2495="",0,$H2495*설정!$C$23)</f>
        <v/>
      </c>
      <c r="Q2495" s="39">
        <f>IF($A2495="","",IF(O2495&lt;&gt;원인분석!$C$9,"",IF(AND(M2495&gt;=원인분석!$C$10,M2495&lt;=원인분석!$C$11),"당기",IF(AND(M2495&gt;=원인분석!$C$12,M2495&lt;=원인분석!$C$13),"비교",""))))</f>
        <v/>
      </c>
      <c r="R2495" s="9">
        <f>IF(Q2495="","",$K2495&amp;"")</f>
        <v/>
      </c>
      <c r="S2495" s="9">
        <f>IF(Q2495="","",IF(MATCH(R2495,$R$5:$R$100000,0)=ROW()-4,ROW(),""))</f>
        <v/>
      </c>
      <c r="T2495" s="9">
        <f>IF(Q2495="당기",ABS(P2495)+ROW()/1000000000,"")</f>
        <v/>
      </c>
      <c r="U2495" s="9">
        <f>IF(Q2495="비교",ABS(P2495)+ROW()/1000000000,"")</f>
        <v/>
      </c>
      <c r="V2495" s="39">
        <f>IF($A2495="","",IF(COUNTIF(변동분석!$E$7:$E$506,O2495)&gt;0,"Y","N"))</f>
        <v/>
      </c>
      <c r="W2495" s="39">
        <f>IF($A2495="","",IFERROR(INDEX(계정매핑!$D$5:$D$504,MATCH($F2495&amp;"",계정매핑!$A$5:$A$504,0)),"미매핑"))</f>
        <v/>
      </c>
      <c r="X2495" s="9">
        <f>IF($A2495="","",$F2495&amp;"")</f>
        <v/>
      </c>
    </row>
    <row r="2496">
      <c r="A2496" s="75" t="n">
        <v>2026</v>
      </c>
      <c r="B2496" s="75" t="n">
        <v>1</v>
      </c>
      <c r="C2496" s="75" t="inlineStr">
        <is>
          <t>5100000152</t>
        </is>
      </c>
      <c r="D2496" s="78" t="n">
        <v>46045</v>
      </c>
      <c r="E2496" s="75" t="inlineStr">
        <is>
          <t>KR</t>
        </is>
      </c>
      <c r="F2496" s="75" t="n">
        <v>62102000</v>
      </c>
      <c r="G2496" s="75" t="n">
        <v>1101</v>
      </c>
      <c r="H2496" s="76" t="n">
        <v>124000</v>
      </c>
      <c r="I2496" s="75" t="inlineStr">
        <is>
          <t>1월 해외출장 - M항공</t>
        </is>
      </c>
      <c r="J2496" s="75" t="inlineStr">
        <is>
          <t>V10001</t>
        </is>
      </c>
      <c r="K2496" s="75" t="inlineStr">
        <is>
          <t>M항공</t>
        </is>
      </c>
      <c r="M2496" s="9">
        <f>IF($A2496="","",VALUE($A2496&amp;"")*12+VALUE($B2496&amp;""))</f>
        <v/>
      </c>
      <c r="N2496" s="39">
        <f>IF($A2496="","",IFERROR(INDEX(부서매핑!$C$5:$C$504,MATCH($G2496&amp;"",부서매핑!$A$5:$A$504,0)),"미매핑"))</f>
        <v/>
      </c>
      <c r="O2496" s="9">
        <f>IF($A2496="","",N2496&amp;"|"&amp;$F2496)</f>
        <v/>
      </c>
      <c r="P2496" s="77">
        <f>IF($A2496="",0,$H2496*설정!$C$23)</f>
        <v/>
      </c>
      <c r="Q2496" s="39">
        <f>IF($A2496="","",IF(O2496&lt;&gt;원인분석!$C$9,"",IF(AND(M2496&gt;=원인분석!$C$10,M2496&lt;=원인분석!$C$11),"당기",IF(AND(M2496&gt;=원인분석!$C$12,M2496&lt;=원인분석!$C$13),"비교",""))))</f>
        <v/>
      </c>
      <c r="R2496" s="9">
        <f>IF(Q2496="","",$K2496&amp;"")</f>
        <v/>
      </c>
      <c r="S2496" s="9">
        <f>IF(Q2496="","",IF(MATCH(R2496,$R$5:$R$100000,0)=ROW()-4,ROW(),""))</f>
        <v/>
      </c>
      <c r="T2496" s="9">
        <f>IF(Q2496="당기",ABS(P2496)+ROW()/1000000000,"")</f>
        <v/>
      </c>
      <c r="U2496" s="9">
        <f>IF(Q2496="비교",ABS(P2496)+ROW()/1000000000,"")</f>
        <v/>
      </c>
      <c r="V2496" s="39">
        <f>IF($A2496="","",IF(COUNTIF(변동분석!$E$7:$E$506,O2496)&gt;0,"Y","N"))</f>
        <v/>
      </c>
      <c r="W2496" s="39">
        <f>IF($A2496="","",IFERROR(INDEX(계정매핑!$D$5:$D$504,MATCH($F2496&amp;"",계정매핑!$A$5:$A$504,0)),"미매핑"))</f>
        <v/>
      </c>
      <c r="X2496" s="9">
        <f>IF($A2496="","",$F2496&amp;"")</f>
        <v/>
      </c>
    </row>
    <row r="2497">
      <c r="A2497" s="75" t="n">
        <v>2026</v>
      </c>
      <c r="B2497" s="75" t="n">
        <v>1</v>
      </c>
      <c r="C2497" s="75" t="inlineStr">
        <is>
          <t>5100000153</t>
        </is>
      </c>
      <c r="D2497" s="78" t="n">
        <v>46045</v>
      </c>
      <c r="E2497" s="75" t="inlineStr">
        <is>
          <t>KR</t>
        </is>
      </c>
      <c r="F2497" s="75" t="n">
        <v>62201000</v>
      </c>
      <c r="G2497" s="75" t="n">
        <v>1101</v>
      </c>
      <c r="H2497" s="76" t="n">
        <v>302000</v>
      </c>
      <c r="I2497" s="75" t="inlineStr">
        <is>
          <t>1월 통신요금 - P통신</t>
        </is>
      </c>
      <c r="J2497" s="75" t="inlineStr">
        <is>
          <t>V10011</t>
        </is>
      </c>
      <c r="K2497" s="75" t="inlineStr">
        <is>
          <t>P통신</t>
        </is>
      </c>
      <c r="M2497" s="9">
        <f>IF($A2497="","",VALUE($A2497&amp;"")*12+VALUE($B2497&amp;""))</f>
        <v/>
      </c>
      <c r="N2497" s="39">
        <f>IF($A2497="","",IFERROR(INDEX(부서매핑!$C$5:$C$504,MATCH($G2497&amp;"",부서매핑!$A$5:$A$504,0)),"미매핑"))</f>
        <v/>
      </c>
      <c r="O2497" s="9">
        <f>IF($A2497="","",N2497&amp;"|"&amp;$F2497)</f>
        <v/>
      </c>
      <c r="P2497" s="77">
        <f>IF($A2497="",0,$H2497*설정!$C$23)</f>
        <v/>
      </c>
      <c r="Q2497" s="39">
        <f>IF($A2497="","",IF(O2497&lt;&gt;원인분석!$C$9,"",IF(AND(M2497&gt;=원인분석!$C$10,M2497&lt;=원인분석!$C$11),"당기",IF(AND(M2497&gt;=원인분석!$C$12,M2497&lt;=원인분석!$C$13),"비교",""))))</f>
        <v/>
      </c>
      <c r="R2497" s="9">
        <f>IF(Q2497="","",$K2497&amp;"")</f>
        <v/>
      </c>
      <c r="S2497" s="9">
        <f>IF(Q2497="","",IF(MATCH(R2497,$R$5:$R$100000,0)=ROW()-4,ROW(),""))</f>
        <v/>
      </c>
      <c r="T2497" s="9">
        <f>IF(Q2497="당기",ABS(P2497)+ROW()/1000000000,"")</f>
        <v/>
      </c>
      <c r="U2497" s="9">
        <f>IF(Q2497="비교",ABS(P2497)+ROW()/1000000000,"")</f>
        <v/>
      </c>
      <c r="V2497" s="39">
        <f>IF($A2497="","",IF(COUNTIF(변동분석!$E$7:$E$506,O2497)&gt;0,"Y","N"))</f>
        <v/>
      </c>
      <c r="W2497" s="39">
        <f>IF($A2497="","",IFERROR(INDEX(계정매핑!$D$5:$D$504,MATCH($F2497&amp;"",계정매핑!$A$5:$A$504,0)),"미매핑"))</f>
        <v/>
      </c>
      <c r="X2497" s="9">
        <f>IF($A2497="","",$F2497&amp;"")</f>
        <v/>
      </c>
    </row>
    <row r="2498">
      <c r="A2498" s="75" t="n">
        <v>2026</v>
      </c>
      <c r="B2498" s="75" t="n">
        <v>1</v>
      </c>
      <c r="C2498" s="75" t="inlineStr">
        <is>
          <t>5100000154</t>
        </is>
      </c>
      <c r="D2498" s="78" t="n">
        <v>46045</v>
      </c>
      <c r="E2498" s="75" t="inlineStr">
        <is>
          <t>KR</t>
        </is>
      </c>
      <c r="F2498" s="75" t="n">
        <v>62201000</v>
      </c>
      <c r="G2498" s="75" t="n">
        <v>1301</v>
      </c>
      <c r="H2498" s="76" t="n">
        <v>164000</v>
      </c>
      <c r="I2498" s="75" t="inlineStr">
        <is>
          <t>1월 통신요금 - O텔레콤</t>
        </is>
      </c>
      <c r="J2498" s="75" t="inlineStr">
        <is>
          <t>V10002</t>
        </is>
      </c>
      <c r="K2498" s="75" t="inlineStr">
        <is>
          <t>O텔레콤</t>
        </is>
      </c>
      <c r="M2498" s="9">
        <f>IF($A2498="","",VALUE($A2498&amp;"")*12+VALUE($B2498&amp;""))</f>
        <v/>
      </c>
      <c r="N2498" s="39">
        <f>IF($A2498="","",IFERROR(INDEX(부서매핑!$C$5:$C$504,MATCH($G2498&amp;"",부서매핑!$A$5:$A$504,0)),"미매핑"))</f>
        <v/>
      </c>
      <c r="O2498" s="9">
        <f>IF($A2498="","",N2498&amp;"|"&amp;$F2498)</f>
        <v/>
      </c>
      <c r="P2498" s="77">
        <f>IF($A2498="",0,$H2498*설정!$C$23)</f>
        <v/>
      </c>
      <c r="Q2498" s="39">
        <f>IF($A2498="","",IF(O2498&lt;&gt;원인분석!$C$9,"",IF(AND(M2498&gt;=원인분석!$C$10,M2498&lt;=원인분석!$C$11),"당기",IF(AND(M2498&gt;=원인분석!$C$12,M2498&lt;=원인분석!$C$13),"비교",""))))</f>
        <v/>
      </c>
      <c r="R2498" s="9">
        <f>IF(Q2498="","",$K2498&amp;"")</f>
        <v/>
      </c>
      <c r="S2498" s="9">
        <f>IF(Q2498="","",IF(MATCH(R2498,$R$5:$R$100000,0)=ROW()-4,ROW(),""))</f>
        <v/>
      </c>
      <c r="T2498" s="9">
        <f>IF(Q2498="당기",ABS(P2498)+ROW()/1000000000,"")</f>
        <v/>
      </c>
      <c r="U2498" s="9">
        <f>IF(Q2498="비교",ABS(P2498)+ROW()/1000000000,"")</f>
        <v/>
      </c>
      <c r="V2498" s="39">
        <f>IF($A2498="","",IF(COUNTIF(변동분석!$E$7:$E$506,O2498)&gt;0,"Y","N"))</f>
        <v/>
      </c>
      <c r="W2498" s="39">
        <f>IF($A2498="","",IFERROR(INDEX(계정매핑!$D$5:$D$504,MATCH($F2498&amp;"",계정매핑!$A$5:$A$504,0)),"미매핑"))</f>
        <v/>
      </c>
      <c r="X2498" s="9">
        <f>IF($A2498="","",$F2498&amp;"")</f>
        <v/>
      </c>
    </row>
    <row r="2499">
      <c r="A2499" s="75" t="n">
        <v>2026</v>
      </c>
      <c r="B2499" s="75" t="n">
        <v>1</v>
      </c>
      <c r="C2499" s="75" t="inlineStr">
        <is>
          <t>5100000155</t>
        </is>
      </c>
      <c r="D2499" s="78" t="n">
        <v>46045</v>
      </c>
      <c r="E2499" s="75" t="inlineStr">
        <is>
          <t>KR</t>
        </is>
      </c>
      <c r="F2499" s="75" t="n">
        <v>62301000</v>
      </c>
      <c r="G2499" s="75" t="n">
        <v>1301</v>
      </c>
      <c r="H2499" s="76" t="n">
        <v>314000</v>
      </c>
      <c r="I2499" s="75" t="inlineStr">
        <is>
          <t>1월 소모품 구입 - Q오피스</t>
        </is>
      </c>
      <c r="J2499" s="75" t="inlineStr">
        <is>
          <t>V10003</t>
        </is>
      </c>
      <c r="K2499" s="75" t="inlineStr">
        <is>
          <t>Q오피스</t>
        </is>
      </c>
      <c r="M2499" s="9">
        <f>IF($A2499="","",VALUE($A2499&amp;"")*12+VALUE($B2499&amp;""))</f>
        <v/>
      </c>
      <c r="N2499" s="39">
        <f>IF($A2499="","",IFERROR(INDEX(부서매핑!$C$5:$C$504,MATCH($G2499&amp;"",부서매핑!$A$5:$A$504,0)),"미매핑"))</f>
        <v/>
      </c>
      <c r="O2499" s="9">
        <f>IF($A2499="","",N2499&amp;"|"&amp;$F2499)</f>
        <v/>
      </c>
      <c r="P2499" s="77">
        <f>IF($A2499="",0,$H2499*설정!$C$23)</f>
        <v/>
      </c>
      <c r="Q2499" s="39">
        <f>IF($A2499="","",IF(O2499&lt;&gt;원인분석!$C$9,"",IF(AND(M2499&gt;=원인분석!$C$10,M2499&lt;=원인분석!$C$11),"당기",IF(AND(M2499&gt;=원인분석!$C$12,M2499&lt;=원인분석!$C$13),"비교",""))))</f>
        <v/>
      </c>
      <c r="R2499" s="9">
        <f>IF(Q2499="","",$K2499&amp;"")</f>
        <v/>
      </c>
      <c r="S2499" s="9">
        <f>IF(Q2499="","",IF(MATCH(R2499,$R$5:$R$100000,0)=ROW()-4,ROW(),""))</f>
        <v/>
      </c>
      <c r="T2499" s="9">
        <f>IF(Q2499="당기",ABS(P2499)+ROW()/1000000000,"")</f>
        <v/>
      </c>
      <c r="U2499" s="9">
        <f>IF(Q2499="비교",ABS(P2499)+ROW()/1000000000,"")</f>
        <v/>
      </c>
      <c r="V2499" s="39">
        <f>IF($A2499="","",IF(COUNTIF(변동분석!$E$7:$E$506,O2499)&gt;0,"Y","N"))</f>
        <v/>
      </c>
      <c r="W2499" s="39">
        <f>IF($A2499="","",IFERROR(INDEX(계정매핑!$D$5:$D$504,MATCH($F2499&amp;"",계정매핑!$A$5:$A$504,0)),"미매핑"))</f>
        <v/>
      </c>
      <c r="X2499" s="9">
        <f>IF($A2499="","",$F2499&amp;"")</f>
        <v/>
      </c>
    </row>
    <row r="2500">
      <c r="A2500" s="75" t="n">
        <v>2026</v>
      </c>
      <c r="B2500" s="75" t="n">
        <v>1</v>
      </c>
      <c r="C2500" s="75" t="inlineStr">
        <is>
          <t>5100000156</t>
        </is>
      </c>
      <c r="D2500" s="78" t="n">
        <v>46045</v>
      </c>
      <c r="E2500" s="75" t="inlineStr">
        <is>
          <t>KR</t>
        </is>
      </c>
      <c r="F2500" s="75" t="n">
        <v>62902000</v>
      </c>
      <c r="G2500" s="75" t="n">
        <v>1101</v>
      </c>
      <c r="H2500" s="76" t="n">
        <v>1974000</v>
      </c>
      <c r="I2500" s="75" t="inlineStr">
        <is>
          <t>1월 업무 위탁 수수료 - X서비스</t>
        </is>
      </c>
      <c r="J2500" s="75" t="inlineStr">
        <is>
          <t>V10016</t>
        </is>
      </c>
      <c r="K2500" s="75" t="inlineStr">
        <is>
          <t>X서비스</t>
        </is>
      </c>
      <c r="M2500" s="9">
        <f>IF($A2500="","",VALUE($A2500&amp;"")*12+VALUE($B2500&amp;""))</f>
        <v/>
      </c>
      <c r="N2500" s="39">
        <f>IF($A2500="","",IFERROR(INDEX(부서매핑!$C$5:$C$504,MATCH($G2500&amp;"",부서매핑!$A$5:$A$504,0)),"미매핑"))</f>
        <v/>
      </c>
      <c r="O2500" s="9">
        <f>IF($A2500="","",N2500&amp;"|"&amp;$F2500)</f>
        <v/>
      </c>
      <c r="P2500" s="77">
        <f>IF($A2500="",0,$H2500*설정!$C$23)</f>
        <v/>
      </c>
      <c r="Q2500" s="39">
        <f>IF($A2500="","",IF(O2500&lt;&gt;원인분석!$C$9,"",IF(AND(M2500&gt;=원인분석!$C$10,M2500&lt;=원인분석!$C$11),"당기",IF(AND(M2500&gt;=원인분석!$C$12,M2500&lt;=원인분석!$C$13),"비교",""))))</f>
        <v/>
      </c>
      <c r="R2500" s="9">
        <f>IF(Q2500="","",$K2500&amp;"")</f>
        <v/>
      </c>
      <c r="S2500" s="9">
        <f>IF(Q2500="","",IF(MATCH(R2500,$R$5:$R$100000,0)=ROW()-4,ROW(),""))</f>
        <v/>
      </c>
      <c r="T2500" s="9">
        <f>IF(Q2500="당기",ABS(P2500)+ROW()/1000000000,"")</f>
        <v/>
      </c>
      <c r="U2500" s="9">
        <f>IF(Q2500="비교",ABS(P2500)+ROW()/1000000000,"")</f>
        <v/>
      </c>
      <c r="V2500" s="39">
        <f>IF($A2500="","",IF(COUNTIF(변동분석!$E$7:$E$506,O2500)&gt;0,"Y","N"))</f>
        <v/>
      </c>
      <c r="W2500" s="39">
        <f>IF($A2500="","",IFERROR(INDEX(계정매핑!$D$5:$D$504,MATCH($F2500&amp;"",계정매핑!$A$5:$A$504,0)),"미매핑"))</f>
        <v/>
      </c>
      <c r="X2500" s="9">
        <f>IF($A2500="","",$F2500&amp;"")</f>
        <v/>
      </c>
    </row>
    <row r="2501">
      <c r="A2501" s="75" t="n">
        <v>2026</v>
      </c>
      <c r="B2501" s="75" t="n">
        <v>1</v>
      </c>
      <c r="C2501" s="75" t="inlineStr">
        <is>
          <t>5100000157</t>
        </is>
      </c>
      <c r="D2501" s="78" t="n">
        <v>46046</v>
      </c>
      <c r="E2501" s="75" t="inlineStr">
        <is>
          <t>KR</t>
        </is>
      </c>
      <c r="F2501" s="75" t="n">
        <v>62301000</v>
      </c>
      <c r="G2501" s="75" t="n">
        <v>1201</v>
      </c>
      <c r="H2501" s="76" t="n">
        <v>78000</v>
      </c>
      <c r="I2501" s="75" t="inlineStr">
        <is>
          <t>1월 소모품 구입 - Q오피스</t>
        </is>
      </c>
      <c r="J2501" s="75" t="inlineStr">
        <is>
          <t>V10003</t>
        </is>
      </c>
      <c r="K2501" s="75" t="inlineStr">
        <is>
          <t>Q오피스</t>
        </is>
      </c>
      <c r="M2501" s="9">
        <f>IF($A2501="","",VALUE($A2501&amp;"")*12+VALUE($B2501&amp;""))</f>
        <v/>
      </c>
      <c r="N2501" s="39">
        <f>IF($A2501="","",IFERROR(INDEX(부서매핑!$C$5:$C$504,MATCH($G2501&amp;"",부서매핑!$A$5:$A$504,0)),"미매핑"))</f>
        <v/>
      </c>
      <c r="O2501" s="9">
        <f>IF($A2501="","",N2501&amp;"|"&amp;$F2501)</f>
        <v/>
      </c>
      <c r="P2501" s="77">
        <f>IF($A2501="",0,$H2501*설정!$C$23)</f>
        <v/>
      </c>
      <c r="Q2501" s="39">
        <f>IF($A2501="","",IF(O2501&lt;&gt;원인분석!$C$9,"",IF(AND(M2501&gt;=원인분석!$C$10,M2501&lt;=원인분석!$C$11),"당기",IF(AND(M2501&gt;=원인분석!$C$12,M2501&lt;=원인분석!$C$13),"비교",""))))</f>
        <v/>
      </c>
      <c r="R2501" s="9">
        <f>IF(Q2501="","",$K2501&amp;"")</f>
        <v/>
      </c>
      <c r="S2501" s="9">
        <f>IF(Q2501="","",IF(MATCH(R2501,$R$5:$R$100000,0)=ROW()-4,ROW(),""))</f>
        <v/>
      </c>
      <c r="T2501" s="9">
        <f>IF(Q2501="당기",ABS(P2501)+ROW()/1000000000,"")</f>
        <v/>
      </c>
      <c r="U2501" s="9">
        <f>IF(Q2501="비교",ABS(P2501)+ROW()/1000000000,"")</f>
        <v/>
      </c>
      <c r="V2501" s="39">
        <f>IF($A2501="","",IF(COUNTIF(변동분석!$E$7:$E$506,O2501)&gt;0,"Y","N"))</f>
        <v/>
      </c>
      <c r="W2501" s="39">
        <f>IF($A2501="","",IFERROR(INDEX(계정매핑!$D$5:$D$504,MATCH($F2501&amp;"",계정매핑!$A$5:$A$504,0)),"미매핑"))</f>
        <v/>
      </c>
      <c r="X2501" s="9">
        <f>IF($A2501="","",$F2501&amp;"")</f>
        <v/>
      </c>
    </row>
    <row r="2502">
      <c r="A2502" s="75" t="n">
        <v>2026</v>
      </c>
      <c r="B2502" s="75" t="n">
        <v>1</v>
      </c>
      <c r="C2502" s="75" t="inlineStr">
        <is>
          <t>5100000158</t>
        </is>
      </c>
      <c r="D2502" s="78" t="n">
        <v>46046</v>
      </c>
      <c r="E2502" s="75" t="inlineStr">
        <is>
          <t>KR</t>
        </is>
      </c>
      <c r="F2502" s="75" t="n">
        <v>62401000</v>
      </c>
      <c r="G2502" s="75" t="n">
        <v>1801</v>
      </c>
      <c r="H2502" s="76" t="n">
        <v>1962000</v>
      </c>
      <c r="I2502" s="75" t="inlineStr">
        <is>
          <t>1월 인쇄물 제작 - S출판</t>
        </is>
      </c>
      <c r="J2502" s="75" t="inlineStr">
        <is>
          <t>V10012</t>
        </is>
      </c>
      <c r="K2502" s="75" t="inlineStr">
        <is>
          <t>S출판</t>
        </is>
      </c>
      <c r="M2502" s="9">
        <f>IF($A2502="","",VALUE($A2502&amp;"")*12+VALUE($B2502&amp;""))</f>
        <v/>
      </c>
      <c r="N2502" s="39">
        <f>IF($A2502="","",IFERROR(INDEX(부서매핑!$C$5:$C$504,MATCH($G2502&amp;"",부서매핑!$A$5:$A$504,0)),"미매핑"))</f>
        <v/>
      </c>
      <c r="O2502" s="9">
        <f>IF($A2502="","",N2502&amp;"|"&amp;$F2502)</f>
        <v/>
      </c>
      <c r="P2502" s="77">
        <f>IF($A2502="",0,$H2502*설정!$C$23)</f>
        <v/>
      </c>
      <c r="Q2502" s="39">
        <f>IF($A2502="","",IF(O2502&lt;&gt;원인분석!$C$9,"",IF(AND(M2502&gt;=원인분석!$C$10,M2502&lt;=원인분석!$C$11),"당기",IF(AND(M2502&gt;=원인분석!$C$12,M2502&lt;=원인분석!$C$13),"비교",""))))</f>
        <v/>
      </c>
      <c r="R2502" s="9">
        <f>IF(Q2502="","",$K2502&amp;"")</f>
        <v/>
      </c>
      <c r="S2502" s="9">
        <f>IF(Q2502="","",IF(MATCH(R2502,$R$5:$R$100000,0)=ROW()-4,ROW(),""))</f>
        <v/>
      </c>
      <c r="T2502" s="9">
        <f>IF(Q2502="당기",ABS(P2502)+ROW()/1000000000,"")</f>
        <v/>
      </c>
      <c r="U2502" s="9">
        <f>IF(Q2502="비교",ABS(P2502)+ROW()/1000000000,"")</f>
        <v/>
      </c>
      <c r="V2502" s="39">
        <f>IF($A2502="","",IF(COUNTIF(변동분석!$E$7:$E$506,O2502)&gt;0,"Y","N"))</f>
        <v/>
      </c>
      <c r="W2502" s="39">
        <f>IF($A2502="","",IFERROR(INDEX(계정매핑!$D$5:$D$504,MATCH($F2502&amp;"",계정매핑!$A$5:$A$504,0)),"미매핑"))</f>
        <v/>
      </c>
      <c r="X2502" s="9">
        <f>IF($A2502="","",$F2502&amp;"")</f>
        <v/>
      </c>
    </row>
    <row r="2503">
      <c r="A2503" s="75" t="n">
        <v>2026</v>
      </c>
      <c r="B2503" s="75" t="n">
        <v>1</v>
      </c>
      <c r="C2503" s="75" t="inlineStr">
        <is>
          <t>5100000159</t>
        </is>
      </c>
      <c r="D2503" s="78" t="n">
        <v>46046</v>
      </c>
      <c r="E2503" s="75" t="inlineStr">
        <is>
          <t>KR</t>
        </is>
      </c>
      <c r="F2503" s="75" t="n">
        <v>62501000</v>
      </c>
      <c r="G2503" s="75" t="n">
        <v>1401</v>
      </c>
      <c r="H2503" s="76" t="n">
        <v>222000</v>
      </c>
      <c r="I2503" s="75" t="inlineStr">
        <is>
          <t>1월 회의 다과 - T케이터링</t>
        </is>
      </c>
      <c r="J2503" s="75" t="inlineStr">
        <is>
          <t>V10005</t>
        </is>
      </c>
      <c r="K2503" s="75" t="inlineStr">
        <is>
          <t>T케이터링</t>
        </is>
      </c>
      <c r="M2503" s="9">
        <f>IF($A2503="","",VALUE($A2503&amp;"")*12+VALUE($B2503&amp;""))</f>
        <v/>
      </c>
      <c r="N2503" s="39">
        <f>IF($A2503="","",IFERROR(INDEX(부서매핑!$C$5:$C$504,MATCH($G2503&amp;"",부서매핑!$A$5:$A$504,0)),"미매핑"))</f>
        <v/>
      </c>
      <c r="O2503" s="9">
        <f>IF($A2503="","",N2503&amp;"|"&amp;$F2503)</f>
        <v/>
      </c>
      <c r="P2503" s="77">
        <f>IF($A2503="",0,$H2503*설정!$C$23)</f>
        <v/>
      </c>
      <c r="Q2503" s="39">
        <f>IF($A2503="","",IF(O2503&lt;&gt;원인분석!$C$9,"",IF(AND(M2503&gt;=원인분석!$C$10,M2503&lt;=원인분석!$C$11),"당기",IF(AND(M2503&gt;=원인분석!$C$12,M2503&lt;=원인분석!$C$13),"비교",""))))</f>
        <v/>
      </c>
      <c r="R2503" s="9">
        <f>IF(Q2503="","",$K2503&amp;"")</f>
        <v/>
      </c>
      <c r="S2503" s="9">
        <f>IF(Q2503="","",IF(MATCH(R2503,$R$5:$R$100000,0)=ROW()-4,ROW(),""))</f>
        <v/>
      </c>
      <c r="T2503" s="9">
        <f>IF(Q2503="당기",ABS(P2503)+ROW()/1000000000,"")</f>
        <v/>
      </c>
      <c r="U2503" s="9">
        <f>IF(Q2503="비교",ABS(P2503)+ROW()/1000000000,"")</f>
        <v/>
      </c>
      <c r="V2503" s="39">
        <f>IF($A2503="","",IF(COUNTIF(변동분석!$E$7:$E$506,O2503)&gt;0,"Y","N"))</f>
        <v/>
      </c>
      <c r="W2503" s="39">
        <f>IF($A2503="","",IFERROR(INDEX(계정매핑!$D$5:$D$504,MATCH($F2503&amp;"",계정매핑!$A$5:$A$504,0)),"미매핑"))</f>
        <v/>
      </c>
      <c r="X2503" s="9">
        <f>IF($A2503="","",$F2503&amp;"")</f>
        <v/>
      </c>
    </row>
    <row r="2504">
      <c r="A2504" s="75" t="n">
        <v>2026</v>
      </c>
      <c r="B2504" s="75" t="n">
        <v>1</v>
      </c>
      <c r="C2504" s="75" t="inlineStr">
        <is>
          <t>5100000160</t>
        </is>
      </c>
      <c r="D2504" s="78" t="n">
        <v>46046</v>
      </c>
      <c r="E2504" s="75" t="inlineStr">
        <is>
          <t>KR</t>
        </is>
      </c>
      <c r="F2504" s="75" t="n">
        <v>62902000</v>
      </c>
      <c r="G2504" s="75" t="n">
        <v>1101</v>
      </c>
      <c r="H2504" s="76" t="n">
        <v>1827000</v>
      </c>
      <c r="I2504" s="75" t="inlineStr">
        <is>
          <t>1월 업무 위탁 수수료 - X서비스</t>
        </is>
      </c>
      <c r="J2504" s="75" t="inlineStr">
        <is>
          <t>V10016</t>
        </is>
      </c>
      <c r="K2504" s="75" t="inlineStr">
        <is>
          <t>X서비스</t>
        </is>
      </c>
      <c r="M2504" s="9">
        <f>IF($A2504="","",VALUE($A2504&amp;"")*12+VALUE($B2504&amp;""))</f>
        <v/>
      </c>
      <c r="N2504" s="39">
        <f>IF($A2504="","",IFERROR(INDEX(부서매핑!$C$5:$C$504,MATCH($G2504&amp;"",부서매핑!$A$5:$A$504,0)),"미매핑"))</f>
        <v/>
      </c>
      <c r="O2504" s="9">
        <f>IF($A2504="","",N2504&amp;"|"&amp;$F2504)</f>
        <v/>
      </c>
      <c r="P2504" s="77">
        <f>IF($A2504="",0,$H2504*설정!$C$23)</f>
        <v/>
      </c>
      <c r="Q2504" s="39">
        <f>IF($A2504="","",IF(O2504&lt;&gt;원인분석!$C$9,"",IF(AND(M2504&gt;=원인분석!$C$10,M2504&lt;=원인분석!$C$11),"당기",IF(AND(M2504&gt;=원인분석!$C$12,M2504&lt;=원인분석!$C$13),"비교",""))))</f>
        <v/>
      </c>
      <c r="R2504" s="9">
        <f>IF(Q2504="","",$K2504&amp;"")</f>
        <v/>
      </c>
      <c r="S2504" s="9">
        <f>IF(Q2504="","",IF(MATCH(R2504,$R$5:$R$100000,0)=ROW()-4,ROW(),""))</f>
        <v/>
      </c>
      <c r="T2504" s="9">
        <f>IF(Q2504="당기",ABS(P2504)+ROW()/1000000000,"")</f>
        <v/>
      </c>
      <c r="U2504" s="9">
        <f>IF(Q2504="비교",ABS(P2504)+ROW()/1000000000,"")</f>
        <v/>
      </c>
      <c r="V2504" s="39">
        <f>IF($A2504="","",IF(COUNTIF(변동분석!$E$7:$E$506,O2504)&gt;0,"Y","N"))</f>
        <v/>
      </c>
      <c r="W2504" s="39">
        <f>IF($A2504="","",IFERROR(INDEX(계정매핑!$D$5:$D$504,MATCH($F2504&amp;"",계정매핑!$A$5:$A$504,0)),"미매핑"))</f>
        <v/>
      </c>
      <c r="X2504" s="9">
        <f>IF($A2504="","",$F2504&amp;"")</f>
        <v/>
      </c>
    </row>
    <row r="2505">
      <c r="A2505" s="75" t="n">
        <v>2026</v>
      </c>
      <c r="B2505" s="75" t="n">
        <v>1</v>
      </c>
      <c r="C2505" s="75" t="inlineStr">
        <is>
          <t>5100000161</t>
        </is>
      </c>
      <c r="D2505" s="78" t="n">
        <v>46047</v>
      </c>
      <c r="E2505" s="75" t="inlineStr">
        <is>
          <t>KR</t>
        </is>
      </c>
      <c r="F2505" s="75" t="n">
        <v>62101000</v>
      </c>
      <c r="G2505" s="75" t="n">
        <v>1101</v>
      </c>
      <c r="H2505" s="76" t="n">
        <v>648000</v>
      </c>
      <c r="I2505" s="75" t="inlineStr">
        <is>
          <t>1월 국내출장 - L여행사</t>
        </is>
      </c>
      <c r="J2505" s="75" t="inlineStr">
        <is>
          <t>V10014</t>
        </is>
      </c>
      <c r="K2505" s="75" t="inlineStr">
        <is>
          <t>L여행사</t>
        </is>
      </c>
      <c r="M2505" s="9">
        <f>IF($A2505="","",VALUE($A2505&amp;"")*12+VALUE($B2505&amp;""))</f>
        <v/>
      </c>
      <c r="N2505" s="39">
        <f>IF($A2505="","",IFERROR(INDEX(부서매핑!$C$5:$C$504,MATCH($G2505&amp;"",부서매핑!$A$5:$A$504,0)),"미매핑"))</f>
        <v/>
      </c>
      <c r="O2505" s="9">
        <f>IF($A2505="","",N2505&amp;"|"&amp;$F2505)</f>
        <v/>
      </c>
      <c r="P2505" s="77">
        <f>IF($A2505="",0,$H2505*설정!$C$23)</f>
        <v/>
      </c>
      <c r="Q2505" s="39">
        <f>IF($A2505="","",IF(O2505&lt;&gt;원인분석!$C$9,"",IF(AND(M2505&gt;=원인분석!$C$10,M2505&lt;=원인분석!$C$11),"당기",IF(AND(M2505&gt;=원인분석!$C$12,M2505&lt;=원인분석!$C$13),"비교",""))))</f>
        <v/>
      </c>
      <c r="R2505" s="9">
        <f>IF(Q2505="","",$K2505&amp;"")</f>
        <v/>
      </c>
      <c r="S2505" s="9">
        <f>IF(Q2505="","",IF(MATCH(R2505,$R$5:$R$100000,0)=ROW()-4,ROW(),""))</f>
        <v/>
      </c>
      <c r="T2505" s="9">
        <f>IF(Q2505="당기",ABS(P2505)+ROW()/1000000000,"")</f>
        <v/>
      </c>
      <c r="U2505" s="9">
        <f>IF(Q2505="비교",ABS(P2505)+ROW()/1000000000,"")</f>
        <v/>
      </c>
      <c r="V2505" s="39">
        <f>IF($A2505="","",IF(COUNTIF(변동분석!$E$7:$E$506,O2505)&gt;0,"Y","N"))</f>
        <v/>
      </c>
      <c r="W2505" s="39">
        <f>IF($A2505="","",IFERROR(INDEX(계정매핑!$D$5:$D$504,MATCH($F2505&amp;"",계정매핑!$A$5:$A$504,0)),"미매핑"))</f>
        <v/>
      </c>
      <c r="X2505" s="9">
        <f>IF($A2505="","",$F2505&amp;"")</f>
        <v/>
      </c>
    </row>
    <row r="2506">
      <c r="A2506" s="75" t="n">
        <v>2026</v>
      </c>
      <c r="B2506" s="75" t="n">
        <v>1</v>
      </c>
      <c r="C2506" s="75" t="inlineStr">
        <is>
          <t>5100000162</t>
        </is>
      </c>
      <c r="D2506" s="78" t="n">
        <v>46047</v>
      </c>
      <c r="E2506" s="75" t="inlineStr">
        <is>
          <t>KR</t>
        </is>
      </c>
      <c r="F2506" s="75" t="n">
        <v>62101000</v>
      </c>
      <c r="G2506" s="75" t="n">
        <v>1101</v>
      </c>
      <c r="H2506" s="76" t="n">
        <v>813000</v>
      </c>
      <c r="I2506" s="75" t="inlineStr">
        <is>
          <t>1월 국내출장 - M항공</t>
        </is>
      </c>
      <c r="J2506" s="75" t="inlineStr">
        <is>
          <t>V10001</t>
        </is>
      </c>
      <c r="K2506" s="75" t="inlineStr">
        <is>
          <t>M항공</t>
        </is>
      </c>
      <c r="M2506" s="9">
        <f>IF($A2506="","",VALUE($A2506&amp;"")*12+VALUE($B2506&amp;""))</f>
        <v/>
      </c>
      <c r="N2506" s="39">
        <f>IF($A2506="","",IFERROR(INDEX(부서매핑!$C$5:$C$504,MATCH($G2506&amp;"",부서매핑!$A$5:$A$504,0)),"미매핑"))</f>
        <v/>
      </c>
      <c r="O2506" s="9">
        <f>IF($A2506="","",N2506&amp;"|"&amp;$F2506)</f>
        <v/>
      </c>
      <c r="P2506" s="77">
        <f>IF($A2506="",0,$H2506*설정!$C$23)</f>
        <v/>
      </c>
      <c r="Q2506" s="39">
        <f>IF($A2506="","",IF(O2506&lt;&gt;원인분석!$C$9,"",IF(AND(M2506&gt;=원인분석!$C$10,M2506&lt;=원인분석!$C$11),"당기",IF(AND(M2506&gt;=원인분석!$C$12,M2506&lt;=원인분석!$C$13),"비교",""))))</f>
        <v/>
      </c>
      <c r="R2506" s="9">
        <f>IF(Q2506="","",$K2506&amp;"")</f>
        <v/>
      </c>
      <c r="S2506" s="9">
        <f>IF(Q2506="","",IF(MATCH(R2506,$R$5:$R$100000,0)=ROW()-4,ROW(),""))</f>
        <v/>
      </c>
      <c r="T2506" s="9">
        <f>IF(Q2506="당기",ABS(P2506)+ROW()/1000000000,"")</f>
        <v/>
      </c>
      <c r="U2506" s="9">
        <f>IF(Q2506="비교",ABS(P2506)+ROW()/1000000000,"")</f>
        <v/>
      </c>
      <c r="V2506" s="39">
        <f>IF($A2506="","",IF(COUNTIF(변동분석!$E$7:$E$506,O2506)&gt;0,"Y","N"))</f>
        <v/>
      </c>
      <c r="W2506" s="39">
        <f>IF($A2506="","",IFERROR(INDEX(계정매핑!$D$5:$D$504,MATCH($F2506&amp;"",계정매핑!$A$5:$A$504,0)),"미매핑"))</f>
        <v/>
      </c>
      <c r="X2506" s="9">
        <f>IF($A2506="","",$F2506&amp;"")</f>
        <v/>
      </c>
    </row>
    <row r="2507">
      <c r="A2507" s="75" t="n">
        <v>2026</v>
      </c>
      <c r="B2507" s="75" t="n">
        <v>1</v>
      </c>
      <c r="C2507" s="75" t="inlineStr">
        <is>
          <t>5100000163</t>
        </is>
      </c>
      <c r="D2507" s="78" t="n">
        <v>46047</v>
      </c>
      <c r="E2507" s="75" t="inlineStr">
        <is>
          <t>KR</t>
        </is>
      </c>
      <c r="F2507" s="75" t="n">
        <v>62101000</v>
      </c>
      <c r="G2507" s="75" t="n">
        <v>1401</v>
      </c>
      <c r="H2507" s="76" t="n">
        <v>419000</v>
      </c>
      <c r="I2507" s="75" t="inlineStr">
        <is>
          <t>1월 국내출장 - L여행사</t>
        </is>
      </c>
      <c r="J2507" s="75" t="inlineStr">
        <is>
          <t>V10014</t>
        </is>
      </c>
      <c r="K2507" s="75" t="inlineStr">
        <is>
          <t>L여행사</t>
        </is>
      </c>
      <c r="M2507" s="9">
        <f>IF($A2507="","",VALUE($A2507&amp;"")*12+VALUE($B2507&amp;""))</f>
        <v/>
      </c>
      <c r="N2507" s="39">
        <f>IF($A2507="","",IFERROR(INDEX(부서매핑!$C$5:$C$504,MATCH($G2507&amp;"",부서매핑!$A$5:$A$504,0)),"미매핑"))</f>
        <v/>
      </c>
      <c r="O2507" s="9">
        <f>IF($A2507="","",N2507&amp;"|"&amp;$F2507)</f>
        <v/>
      </c>
      <c r="P2507" s="77">
        <f>IF($A2507="",0,$H2507*설정!$C$23)</f>
        <v/>
      </c>
      <c r="Q2507" s="39">
        <f>IF($A2507="","",IF(O2507&lt;&gt;원인분석!$C$9,"",IF(AND(M2507&gt;=원인분석!$C$10,M2507&lt;=원인분석!$C$11),"당기",IF(AND(M2507&gt;=원인분석!$C$12,M2507&lt;=원인분석!$C$13),"비교",""))))</f>
        <v/>
      </c>
      <c r="R2507" s="9">
        <f>IF(Q2507="","",$K2507&amp;"")</f>
        <v/>
      </c>
      <c r="S2507" s="9">
        <f>IF(Q2507="","",IF(MATCH(R2507,$R$5:$R$100000,0)=ROW()-4,ROW(),""))</f>
        <v/>
      </c>
      <c r="T2507" s="9">
        <f>IF(Q2507="당기",ABS(P2507)+ROW()/1000000000,"")</f>
        <v/>
      </c>
      <c r="U2507" s="9">
        <f>IF(Q2507="비교",ABS(P2507)+ROW()/1000000000,"")</f>
        <v/>
      </c>
      <c r="V2507" s="39">
        <f>IF($A2507="","",IF(COUNTIF(변동분석!$E$7:$E$506,O2507)&gt;0,"Y","N"))</f>
        <v/>
      </c>
      <c r="W2507" s="39">
        <f>IF($A2507="","",IFERROR(INDEX(계정매핑!$D$5:$D$504,MATCH($F2507&amp;"",계정매핑!$A$5:$A$504,0)),"미매핑"))</f>
        <v/>
      </c>
      <c r="X2507" s="9">
        <f>IF($A2507="","",$F2507&amp;"")</f>
        <v/>
      </c>
    </row>
    <row r="2508">
      <c r="A2508" s="75" t="n">
        <v>2026</v>
      </c>
      <c r="B2508" s="75" t="n">
        <v>1</v>
      </c>
      <c r="C2508" s="75" t="inlineStr">
        <is>
          <t>5100000164</t>
        </is>
      </c>
      <c r="D2508" s="78" t="n">
        <v>46047</v>
      </c>
      <c r="E2508" s="75" t="inlineStr">
        <is>
          <t>KR</t>
        </is>
      </c>
      <c r="F2508" s="75" t="n">
        <v>62102000</v>
      </c>
      <c r="G2508" s="75" t="n">
        <v>1401</v>
      </c>
      <c r="H2508" s="76" t="n">
        <v>115000</v>
      </c>
      <c r="I2508" s="75" t="inlineStr">
        <is>
          <t>1월 해외출장 - N호텔</t>
        </is>
      </c>
      <c r="J2508" s="75" t="inlineStr">
        <is>
          <t>V10007</t>
        </is>
      </c>
      <c r="K2508" s="75" t="inlineStr">
        <is>
          <t>N호텔</t>
        </is>
      </c>
      <c r="M2508" s="9">
        <f>IF($A2508="","",VALUE($A2508&amp;"")*12+VALUE($B2508&amp;""))</f>
        <v/>
      </c>
      <c r="N2508" s="39">
        <f>IF($A2508="","",IFERROR(INDEX(부서매핑!$C$5:$C$504,MATCH($G2508&amp;"",부서매핑!$A$5:$A$504,0)),"미매핑"))</f>
        <v/>
      </c>
      <c r="O2508" s="9">
        <f>IF($A2508="","",N2508&amp;"|"&amp;$F2508)</f>
        <v/>
      </c>
      <c r="P2508" s="77">
        <f>IF($A2508="",0,$H2508*설정!$C$23)</f>
        <v/>
      </c>
      <c r="Q2508" s="39">
        <f>IF($A2508="","",IF(O2508&lt;&gt;원인분석!$C$9,"",IF(AND(M2508&gt;=원인분석!$C$10,M2508&lt;=원인분석!$C$11),"당기",IF(AND(M2508&gt;=원인분석!$C$12,M2508&lt;=원인분석!$C$13),"비교",""))))</f>
        <v/>
      </c>
      <c r="R2508" s="9">
        <f>IF(Q2508="","",$K2508&amp;"")</f>
        <v/>
      </c>
      <c r="S2508" s="9">
        <f>IF(Q2508="","",IF(MATCH(R2508,$R$5:$R$100000,0)=ROW()-4,ROW(),""))</f>
        <v/>
      </c>
      <c r="T2508" s="9">
        <f>IF(Q2508="당기",ABS(P2508)+ROW()/1000000000,"")</f>
        <v/>
      </c>
      <c r="U2508" s="9">
        <f>IF(Q2508="비교",ABS(P2508)+ROW()/1000000000,"")</f>
        <v/>
      </c>
      <c r="V2508" s="39">
        <f>IF($A2508="","",IF(COUNTIF(변동분석!$E$7:$E$506,O2508)&gt;0,"Y","N"))</f>
        <v/>
      </c>
      <c r="W2508" s="39">
        <f>IF($A2508="","",IFERROR(INDEX(계정매핑!$D$5:$D$504,MATCH($F2508&amp;"",계정매핑!$A$5:$A$504,0)),"미매핑"))</f>
        <v/>
      </c>
      <c r="X2508" s="9">
        <f>IF($A2508="","",$F2508&amp;"")</f>
        <v/>
      </c>
    </row>
    <row r="2509">
      <c r="A2509" s="75" t="n">
        <v>2026</v>
      </c>
      <c r="B2509" s="75" t="n">
        <v>1</v>
      </c>
      <c r="C2509" s="75" t="inlineStr">
        <is>
          <t>5100000165</t>
        </is>
      </c>
      <c r="D2509" s="78" t="n">
        <v>46047</v>
      </c>
      <c r="E2509" s="75" t="inlineStr">
        <is>
          <t>KR</t>
        </is>
      </c>
      <c r="F2509" s="75" t="n">
        <v>62201000</v>
      </c>
      <c r="G2509" s="75" t="n">
        <v>1201</v>
      </c>
      <c r="H2509" s="76" t="n">
        <v>145000</v>
      </c>
      <c r="I2509" s="75" t="inlineStr">
        <is>
          <t>1월 통신요금 - P통신</t>
        </is>
      </c>
      <c r="J2509" s="75" t="inlineStr">
        <is>
          <t>V10011</t>
        </is>
      </c>
      <c r="K2509" s="75" t="inlineStr">
        <is>
          <t>P통신</t>
        </is>
      </c>
      <c r="M2509" s="9">
        <f>IF($A2509="","",VALUE($A2509&amp;"")*12+VALUE($B2509&amp;""))</f>
        <v/>
      </c>
      <c r="N2509" s="39">
        <f>IF($A2509="","",IFERROR(INDEX(부서매핑!$C$5:$C$504,MATCH($G2509&amp;"",부서매핑!$A$5:$A$504,0)),"미매핑"))</f>
        <v/>
      </c>
      <c r="O2509" s="9">
        <f>IF($A2509="","",N2509&amp;"|"&amp;$F2509)</f>
        <v/>
      </c>
      <c r="P2509" s="77">
        <f>IF($A2509="",0,$H2509*설정!$C$23)</f>
        <v/>
      </c>
      <c r="Q2509" s="39">
        <f>IF($A2509="","",IF(O2509&lt;&gt;원인분석!$C$9,"",IF(AND(M2509&gt;=원인분석!$C$10,M2509&lt;=원인분석!$C$11),"당기",IF(AND(M2509&gt;=원인분석!$C$12,M2509&lt;=원인분석!$C$13),"비교",""))))</f>
        <v/>
      </c>
      <c r="R2509" s="9">
        <f>IF(Q2509="","",$K2509&amp;"")</f>
        <v/>
      </c>
      <c r="S2509" s="9">
        <f>IF(Q2509="","",IF(MATCH(R2509,$R$5:$R$100000,0)=ROW()-4,ROW(),""))</f>
        <v/>
      </c>
      <c r="T2509" s="9">
        <f>IF(Q2509="당기",ABS(P2509)+ROW()/1000000000,"")</f>
        <v/>
      </c>
      <c r="U2509" s="9">
        <f>IF(Q2509="비교",ABS(P2509)+ROW()/1000000000,"")</f>
        <v/>
      </c>
      <c r="V2509" s="39">
        <f>IF($A2509="","",IF(COUNTIF(변동분석!$E$7:$E$506,O2509)&gt;0,"Y","N"))</f>
        <v/>
      </c>
      <c r="W2509" s="39">
        <f>IF($A2509="","",IFERROR(INDEX(계정매핑!$D$5:$D$504,MATCH($F2509&amp;"",계정매핑!$A$5:$A$504,0)),"미매핑"))</f>
        <v/>
      </c>
      <c r="X2509" s="9">
        <f>IF($A2509="","",$F2509&amp;"")</f>
        <v/>
      </c>
    </row>
    <row r="2510">
      <c r="A2510" s="75" t="n">
        <v>2026</v>
      </c>
      <c r="B2510" s="75" t="n">
        <v>1</v>
      </c>
      <c r="C2510" s="75" t="inlineStr">
        <is>
          <t>5100000166</t>
        </is>
      </c>
      <c r="D2510" s="78" t="n">
        <v>46047</v>
      </c>
      <c r="E2510" s="75" t="inlineStr">
        <is>
          <t>KR</t>
        </is>
      </c>
      <c r="F2510" s="75" t="n">
        <v>62501000</v>
      </c>
      <c r="G2510" s="75" t="n">
        <v>1101</v>
      </c>
      <c r="H2510" s="76" t="n">
        <v>498000</v>
      </c>
      <c r="I2510" s="75" t="inlineStr">
        <is>
          <t>1월 회의 다과 - T케이터링</t>
        </is>
      </c>
      <c r="J2510" s="75" t="inlineStr">
        <is>
          <t>V10005</t>
        </is>
      </c>
      <c r="K2510" s="75" t="inlineStr">
        <is>
          <t>T케이터링</t>
        </is>
      </c>
      <c r="M2510" s="9">
        <f>IF($A2510="","",VALUE($A2510&amp;"")*12+VALUE($B2510&amp;""))</f>
        <v/>
      </c>
      <c r="N2510" s="39">
        <f>IF($A2510="","",IFERROR(INDEX(부서매핑!$C$5:$C$504,MATCH($G2510&amp;"",부서매핑!$A$5:$A$504,0)),"미매핑"))</f>
        <v/>
      </c>
      <c r="O2510" s="9">
        <f>IF($A2510="","",N2510&amp;"|"&amp;$F2510)</f>
        <v/>
      </c>
      <c r="P2510" s="77">
        <f>IF($A2510="",0,$H2510*설정!$C$23)</f>
        <v/>
      </c>
      <c r="Q2510" s="39">
        <f>IF($A2510="","",IF(O2510&lt;&gt;원인분석!$C$9,"",IF(AND(M2510&gt;=원인분석!$C$10,M2510&lt;=원인분석!$C$11),"당기",IF(AND(M2510&gt;=원인분석!$C$12,M2510&lt;=원인분석!$C$13),"비교",""))))</f>
        <v/>
      </c>
      <c r="R2510" s="9">
        <f>IF(Q2510="","",$K2510&amp;"")</f>
        <v/>
      </c>
      <c r="S2510" s="9">
        <f>IF(Q2510="","",IF(MATCH(R2510,$R$5:$R$100000,0)=ROW()-4,ROW(),""))</f>
        <v/>
      </c>
      <c r="T2510" s="9">
        <f>IF(Q2510="당기",ABS(P2510)+ROW()/1000000000,"")</f>
        <v/>
      </c>
      <c r="U2510" s="9">
        <f>IF(Q2510="비교",ABS(P2510)+ROW()/1000000000,"")</f>
        <v/>
      </c>
      <c r="V2510" s="39">
        <f>IF($A2510="","",IF(COUNTIF(변동분석!$E$7:$E$506,O2510)&gt;0,"Y","N"))</f>
        <v/>
      </c>
      <c r="W2510" s="39">
        <f>IF($A2510="","",IFERROR(INDEX(계정매핑!$D$5:$D$504,MATCH($F2510&amp;"",계정매핑!$A$5:$A$504,0)),"미매핑"))</f>
        <v/>
      </c>
      <c r="X2510" s="9">
        <f>IF($A2510="","",$F2510&amp;"")</f>
        <v/>
      </c>
    </row>
    <row r="2511">
      <c r="A2511" s="75" t="n">
        <v>2026</v>
      </c>
      <c r="B2511" s="75" t="n">
        <v>1</v>
      </c>
      <c r="C2511" s="75" t="inlineStr">
        <is>
          <t>5100000167</t>
        </is>
      </c>
      <c r="D2511" s="78" t="n">
        <v>46047</v>
      </c>
      <c r="E2511" s="75" t="inlineStr">
        <is>
          <t>KR</t>
        </is>
      </c>
      <c r="F2511" s="75" t="n">
        <v>62501000</v>
      </c>
      <c r="G2511" s="75" t="n">
        <v>1601</v>
      </c>
      <c r="H2511" s="76" t="n">
        <v>393000</v>
      </c>
      <c r="I2511" s="75" t="inlineStr">
        <is>
          <t>1월 회의 다과 - T케이터링</t>
        </is>
      </c>
      <c r="J2511" s="75" t="inlineStr">
        <is>
          <t>V10005</t>
        </is>
      </c>
      <c r="K2511" s="75" t="inlineStr">
        <is>
          <t>T케이터링</t>
        </is>
      </c>
      <c r="M2511" s="9">
        <f>IF($A2511="","",VALUE($A2511&amp;"")*12+VALUE($B2511&amp;""))</f>
        <v/>
      </c>
      <c r="N2511" s="39">
        <f>IF($A2511="","",IFERROR(INDEX(부서매핑!$C$5:$C$504,MATCH($G2511&amp;"",부서매핑!$A$5:$A$504,0)),"미매핑"))</f>
        <v/>
      </c>
      <c r="O2511" s="9">
        <f>IF($A2511="","",N2511&amp;"|"&amp;$F2511)</f>
        <v/>
      </c>
      <c r="P2511" s="77">
        <f>IF($A2511="",0,$H2511*설정!$C$23)</f>
        <v/>
      </c>
      <c r="Q2511" s="39">
        <f>IF($A2511="","",IF(O2511&lt;&gt;원인분석!$C$9,"",IF(AND(M2511&gt;=원인분석!$C$10,M2511&lt;=원인분석!$C$11),"당기",IF(AND(M2511&gt;=원인분석!$C$12,M2511&lt;=원인분석!$C$13),"비교",""))))</f>
        <v/>
      </c>
      <c r="R2511" s="9">
        <f>IF(Q2511="","",$K2511&amp;"")</f>
        <v/>
      </c>
      <c r="S2511" s="9">
        <f>IF(Q2511="","",IF(MATCH(R2511,$R$5:$R$100000,0)=ROW()-4,ROW(),""))</f>
        <v/>
      </c>
      <c r="T2511" s="9">
        <f>IF(Q2511="당기",ABS(P2511)+ROW()/1000000000,"")</f>
        <v/>
      </c>
      <c r="U2511" s="9">
        <f>IF(Q2511="비교",ABS(P2511)+ROW()/1000000000,"")</f>
        <v/>
      </c>
      <c r="V2511" s="39">
        <f>IF($A2511="","",IF(COUNTIF(변동분석!$E$7:$E$506,O2511)&gt;0,"Y","N"))</f>
        <v/>
      </c>
      <c r="W2511" s="39">
        <f>IF($A2511="","",IFERROR(INDEX(계정매핑!$D$5:$D$504,MATCH($F2511&amp;"",계정매핑!$A$5:$A$504,0)),"미매핑"))</f>
        <v/>
      </c>
      <c r="X2511" s="9">
        <f>IF($A2511="","",$F2511&amp;"")</f>
        <v/>
      </c>
    </row>
    <row r="2512">
      <c r="A2512" s="75" t="n">
        <v>2026</v>
      </c>
      <c r="B2512" s="75" t="n">
        <v>1</v>
      </c>
      <c r="C2512" s="75" t="inlineStr">
        <is>
          <t>5100000168</t>
        </is>
      </c>
      <c r="D2512" s="78" t="n">
        <v>46047</v>
      </c>
      <c r="E2512" s="75" t="inlineStr">
        <is>
          <t>KR</t>
        </is>
      </c>
      <c r="F2512" s="75" t="n">
        <v>62501000</v>
      </c>
      <c r="G2512" s="75" t="n">
        <v>1701</v>
      </c>
      <c r="H2512" s="76" t="n">
        <v>185000</v>
      </c>
      <c r="I2512" s="75" t="inlineStr">
        <is>
          <t>1월 회의 다과 - T케이터링</t>
        </is>
      </c>
      <c r="J2512" s="75" t="inlineStr">
        <is>
          <t>V10005</t>
        </is>
      </c>
      <c r="K2512" s="75" t="inlineStr">
        <is>
          <t>T케이터링</t>
        </is>
      </c>
      <c r="M2512" s="9">
        <f>IF($A2512="","",VALUE($A2512&amp;"")*12+VALUE($B2512&amp;""))</f>
        <v/>
      </c>
      <c r="N2512" s="39">
        <f>IF($A2512="","",IFERROR(INDEX(부서매핑!$C$5:$C$504,MATCH($G2512&amp;"",부서매핑!$A$5:$A$504,0)),"미매핑"))</f>
        <v/>
      </c>
      <c r="O2512" s="9">
        <f>IF($A2512="","",N2512&amp;"|"&amp;$F2512)</f>
        <v/>
      </c>
      <c r="P2512" s="77">
        <f>IF($A2512="",0,$H2512*설정!$C$23)</f>
        <v/>
      </c>
      <c r="Q2512" s="39">
        <f>IF($A2512="","",IF(O2512&lt;&gt;원인분석!$C$9,"",IF(AND(M2512&gt;=원인분석!$C$10,M2512&lt;=원인분석!$C$11),"당기",IF(AND(M2512&gt;=원인분석!$C$12,M2512&lt;=원인분석!$C$13),"비교",""))))</f>
        <v/>
      </c>
      <c r="R2512" s="9">
        <f>IF(Q2512="","",$K2512&amp;"")</f>
        <v/>
      </c>
      <c r="S2512" s="9">
        <f>IF(Q2512="","",IF(MATCH(R2512,$R$5:$R$100000,0)=ROW()-4,ROW(),""))</f>
        <v/>
      </c>
      <c r="T2512" s="9">
        <f>IF(Q2512="당기",ABS(P2512)+ROW()/1000000000,"")</f>
        <v/>
      </c>
      <c r="U2512" s="9">
        <f>IF(Q2512="비교",ABS(P2512)+ROW()/1000000000,"")</f>
        <v/>
      </c>
      <c r="V2512" s="39">
        <f>IF($A2512="","",IF(COUNTIF(변동분석!$E$7:$E$506,O2512)&gt;0,"Y","N"))</f>
        <v/>
      </c>
      <c r="W2512" s="39">
        <f>IF($A2512="","",IFERROR(INDEX(계정매핑!$D$5:$D$504,MATCH($F2512&amp;"",계정매핑!$A$5:$A$504,0)),"미매핑"))</f>
        <v/>
      </c>
      <c r="X2512" s="9">
        <f>IF($A2512="","",$F2512&amp;"")</f>
        <v/>
      </c>
    </row>
    <row r="2513">
      <c r="A2513" s="75" t="n">
        <v>2026</v>
      </c>
      <c r="B2513" s="75" t="n">
        <v>1</v>
      </c>
      <c r="C2513" s="75" t="inlineStr">
        <is>
          <t>5100000169</t>
        </is>
      </c>
      <c r="D2513" s="78" t="n">
        <v>46047</v>
      </c>
      <c r="E2513" s="75" t="inlineStr">
        <is>
          <t>KR</t>
        </is>
      </c>
      <c r="F2513" s="75" t="n">
        <v>62901000</v>
      </c>
      <c r="G2513" s="75" t="n">
        <v>1101</v>
      </c>
      <c r="H2513" s="76" t="n">
        <v>2176000</v>
      </c>
      <c r="I2513" s="75" t="inlineStr">
        <is>
          <t>1월 자문 수수료 - W컨설팅</t>
        </is>
      </c>
      <c r="J2513" s="75" t="inlineStr">
        <is>
          <t>V10009</t>
        </is>
      </c>
      <c r="K2513" s="75" t="inlineStr">
        <is>
          <t>W컨설팅</t>
        </is>
      </c>
      <c r="M2513" s="9">
        <f>IF($A2513="","",VALUE($A2513&amp;"")*12+VALUE($B2513&amp;""))</f>
        <v/>
      </c>
      <c r="N2513" s="39">
        <f>IF($A2513="","",IFERROR(INDEX(부서매핑!$C$5:$C$504,MATCH($G2513&amp;"",부서매핑!$A$5:$A$504,0)),"미매핑"))</f>
        <v/>
      </c>
      <c r="O2513" s="9">
        <f>IF($A2513="","",N2513&amp;"|"&amp;$F2513)</f>
        <v/>
      </c>
      <c r="P2513" s="77">
        <f>IF($A2513="",0,$H2513*설정!$C$23)</f>
        <v/>
      </c>
      <c r="Q2513" s="39">
        <f>IF($A2513="","",IF(O2513&lt;&gt;원인분석!$C$9,"",IF(AND(M2513&gt;=원인분석!$C$10,M2513&lt;=원인분석!$C$11),"당기",IF(AND(M2513&gt;=원인분석!$C$12,M2513&lt;=원인분석!$C$13),"비교",""))))</f>
        <v/>
      </c>
      <c r="R2513" s="9">
        <f>IF(Q2513="","",$K2513&amp;"")</f>
        <v/>
      </c>
      <c r="S2513" s="9">
        <f>IF(Q2513="","",IF(MATCH(R2513,$R$5:$R$100000,0)=ROW()-4,ROW(),""))</f>
        <v/>
      </c>
      <c r="T2513" s="9">
        <f>IF(Q2513="당기",ABS(P2513)+ROW()/1000000000,"")</f>
        <v/>
      </c>
      <c r="U2513" s="9">
        <f>IF(Q2513="비교",ABS(P2513)+ROW()/1000000000,"")</f>
        <v/>
      </c>
      <c r="V2513" s="39">
        <f>IF($A2513="","",IF(COUNTIF(변동분석!$E$7:$E$506,O2513)&gt;0,"Y","N"))</f>
        <v/>
      </c>
      <c r="W2513" s="39">
        <f>IF($A2513="","",IFERROR(INDEX(계정매핑!$D$5:$D$504,MATCH($F2513&amp;"",계정매핑!$A$5:$A$504,0)),"미매핑"))</f>
        <v/>
      </c>
      <c r="X2513" s="9">
        <f>IF($A2513="","",$F2513&amp;"")</f>
        <v/>
      </c>
    </row>
    <row r="2514">
      <c r="A2514" s="75" t="n">
        <v>2026</v>
      </c>
      <c r="B2514" s="75" t="n">
        <v>1</v>
      </c>
      <c r="C2514" s="75" t="inlineStr">
        <is>
          <t>5100000170</t>
        </is>
      </c>
      <c r="D2514" s="78" t="n">
        <v>46047</v>
      </c>
      <c r="E2514" s="75" t="inlineStr">
        <is>
          <t>KR</t>
        </is>
      </c>
      <c r="F2514" s="75" t="n">
        <v>63002000</v>
      </c>
      <c r="G2514" s="75" t="n">
        <v>1701</v>
      </c>
      <c r="H2514" s="76" t="n">
        <v>78000000</v>
      </c>
      <c r="I2514" s="75" t="inlineStr">
        <is>
          <t>1월 클라우드 사용료 - C클라우드</t>
        </is>
      </c>
      <c r="J2514" s="75" t="inlineStr">
        <is>
          <t>V10028</t>
        </is>
      </c>
      <c r="K2514" s="75" t="inlineStr">
        <is>
          <t>C클라우드</t>
        </is>
      </c>
      <c r="M2514" s="9">
        <f>IF($A2514="","",VALUE($A2514&amp;"")*12+VALUE($B2514&amp;""))</f>
        <v/>
      </c>
      <c r="N2514" s="39">
        <f>IF($A2514="","",IFERROR(INDEX(부서매핑!$C$5:$C$504,MATCH($G2514&amp;"",부서매핑!$A$5:$A$504,0)),"미매핑"))</f>
        <v/>
      </c>
      <c r="O2514" s="9">
        <f>IF($A2514="","",N2514&amp;"|"&amp;$F2514)</f>
        <v/>
      </c>
      <c r="P2514" s="77">
        <f>IF($A2514="",0,$H2514*설정!$C$23)</f>
        <v/>
      </c>
      <c r="Q2514" s="39">
        <f>IF($A2514="","",IF(O2514&lt;&gt;원인분석!$C$9,"",IF(AND(M2514&gt;=원인분석!$C$10,M2514&lt;=원인분석!$C$11),"당기",IF(AND(M2514&gt;=원인분석!$C$12,M2514&lt;=원인분석!$C$13),"비교",""))))</f>
        <v/>
      </c>
      <c r="R2514" s="9">
        <f>IF(Q2514="","",$K2514&amp;"")</f>
        <v/>
      </c>
      <c r="S2514" s="9">
        <f>IF(Q2514="","",IF(MATCH(R2514,$R$5:$R$100000,0)=ROW()-4,ROW(),""))</f>
        <v/>
      </c>
      <c r="T2514" s="9">
        <f>IF(Q2514="당기",ABS(P2514)+ROW()/1000000000,"")</f>
        <v/>
      </c>
      <c r="U2514" s="9">
        <f>IF(Q2514="비교",ABS(P2514)+ROW()/1000000000,"")</f>
        <v/>
      </c>
      <c r="V2514" s="39">
        <f>IF($A2514="","",IF(COUNTIF(변동분석!$E$7:$E$506,O2514)&gt;0,"Y","N"))</f>
        <v/>
      </c>
      <c r="W2514" s="39">
        <f>IF($A2514="","",IFERROR(INDEX(계정매핑!$D$5:$D$504,MATCH($F2514&amp;"",계정매핑!$A$5:$A$504,0)),"미매핑"))</f>
        <v/>
      </c>
      <c r="X2514" s="9">
        <f>IF($A2514="","",$F2514&amp;"")</f>
        <v/>
      </c>
    </row>
    <row r="2515">
      <c r="A2515" s="75" t="n">
        <v>2026</v>
      </c>
      <c r="B2515" s="75" t="n">
        <v>1</v>
      </c>
      <c r="C2515" s="75" t="inlineStr">
        <is>
          <t>5100000171</t>
        </is>
      </c>
      <c r="D2515" s="78" t="n">
        <v>46048</v>
      </c>
      <c r="E2515" s="75" t="inlineStr">
        <is>
          <t>KR</t>
        </is>
      </c>
      <c r="F2515" s="75" t="n">
        <v>62201000</v>
      </c>
      <c r="G2515" s="75" t="n">
        <v>1401</v>
      </c>
      <c r="H2515" s="76" t="n">
        <v>277000</v>
      </c>
      <c r="I2515" s="75" t="inlineStr">
        <is>
          <t>1월 통신요금 - P통신</t>
        </is>
      </c>
      <c r="J2515" s="75" t="inlineStr">
        <is>
          <t>V10011</t>
        </is>
      </c>
      <c r="K2515" s="75" t="inlineStr">
        <is>
          <t>P통신</t>
        </is>
      </c>
      <c r="M2515" s="9">
        <f>IF($A2515="","",VALUE($A2515&amp;"")*12+VALUE($B2515&amp;""))</f>
        <v/>
      </c>
      <c r="N2515" s="39">
        <f>IF($A2515="","",IFERROR(INDEX(부서매핑!$C$5:$C$504,MATCH($G2515&amp;"",부서매핑!$A$5:$A$504,0)),"미매핑"))</f>
        <v/>
      </c>
      <c r="O2515" s="9">
        <f>IF($A2515="","",N2515&amp;"|"&amp;$F2515)</f>
        <v/>
      </c>
      <c r="P2515" s="77">
        <f>IF($A2515="",0,$H2515*설정!$C$23)</f>
        <v/>
      </c>
      <c r="Q2515" s="39">
        <f>IF($A2515="","",IF(O2515&lt;&gt;원인분석!$C$9,"",IF(AND(M2515&gt;=원인분석!$C$10,M2515&lt;=원인분석!$C$11),"당기",IF(AND(M2515&gt;=원인분석!$C$12,M2515&lt;=원인분석!$C$13),"비교",""))))</f>
        <v/>
      </c>
      <c r="R2515" s="9">
        <f>IF(Q2515="","",$K2515&amp;"")</f>
        <v/>
      </c>
      <c r="S2515" s="9">
        <f>IF(Q2515="","",IF(MATCH(R2515,$R$5:$R$100000,0)=ROW()-4,ROW(),""))</f>
        <v/>
      </c>
      <c r="T2515" s="9">
        <f>IF(Q2515="당기",ABS(P2515)+ROW()/1000000000,"")</f>
        <v/>
      </c>
      <c r="U2515" s="9">
        <f>IF(Q2515="비교",ABS(P2515)+ROW()/1000000000,"")</f>
        <v/>
      </c>
      <c r="V2515" s="39">
        <f>IF($A2515="","",IF(COUNTIF(변동분석!$E$7:$E$506,O2515)&gt;0,"Y","N"))</f>
        <v/>
      </c>
      <c r="W2515" s="39">
        <f>IF($A2515="","",IFERROR(INDEX(계정매핑!$D$5:$D$504,MATCH($F2515&amp;"",계정매핑!$A$5:$A$504,0)),"미매핑"))</f>
        <v/>
      </c>
      <c r="X2515" s="9">
        <f>IF($A2515="","",$F2515&amp;"")</f>
        <v/>
      </c>
    </row>
    <row r="2516">
      <c r="A2516" s="75" t="n">
        <v>2026</v>
      </c>
      <c r="B2516" s="75" t="n">
        <v>1</v>
      </c>
      <c r="C2516" s="75" t="inlineStr">
        <is>
          <t>5100000172</t>
        </is>
      </c>
      <c r="D2516" s="78" t="n">
        <v>46048</v>
      </c>
      <c r="E2516" s="75" t="inlineStr">
        <is>
          <t>KR</t>
        </is>
      </c>
      <c r="F2516" s="75" t="n">
        <v>62201000</v>
      </c>
      <c r="G2516" s="75" t="n">
        <v>1501</v>
      </c>
      <c r="H2516" s="76" t="n">
        <v>325000</v>
      </c>
      <c r="I2516" s="75" t="inlineStr">
        <is>
          <t>1월 통신요금 - P통신</t>
        </is>
      </c>
      <c r="J2516" s="75" t="inlineStr">
        <is>
          <t>V10011</t>
        </is>
      </c>
      <c r="K2516" s="75" t="inlineStr">
        <is>
          <t>P통신</t>
        </is>
      </c>
      <c r="M2516" s="9">
        <f>IF($A2516="","",VALUE($A2516&amp;"")*12+VALUE($B2516&amp;""))</f>
        <v/>
      </c>
      <c r="N2516" s="39">
        <f>IF($A2516="","",IFERROR(INDEX(부서매핑!$C$5:$C$504,MATCH($G2516&amp;"",부서매핑!$A$5:$A$504,0)),"미매핑"))</f>
        <v/>
      </c>
      <c r="O2516" s="9">
        <f>IF($A2516="","",N2516&amp;"|"&amp;$F2516)</f>
        <v/>
      </c>
      <c r="P2516" s="77">
        <f>IF($A2516="",0,$H2516*설정!$C$23)</f>
        <v/>
      </c>
      <c r="Q2516" s="39">
        <f>IF($A2516="","",IF(O2516&lt;&gt;원인분석!$C$9,"",IF(AND(M2516&gt;=원인분석!$C$10,M2516&lt;=원인분석!$C$11),"당기",IF(AND(M2516&gt;=원인분석!$C$12,M2516&lt;=원인분석!$C$13),"비교",""))))</f>
        <v/>
      </c>
      <c r="R2516" s="9">
        <f>IF(Q2516="","",$K2516&amp;"")</f>
        <v/>
      </c>
      <c r="S2516" s="9">
        <f>IF(Q2516="","",IF(MATCH(R2516,$R$5:$R$100000,0)=ROW()-4,ROW(),""))</f>
        <v/>
      </c>
      <c r="T2516" s="9">
        <f>IF(Q2516="당기",ABS(P2516)+ROW()/1000000000,"")</f>
        <v/>
      </c>
      <c r="U2516" s="9">
        <f>IF(Q2516="비교",ABS(P2516)+ROW()/1000000000,"")</f>
        <v/>
      </c>
      <c r="V2516" s="39">
        <f>IF($A2516="","",IF(COUNTIF(변동분석!$E$7:$E$506,O2516)&gt;0,"Y","N"))</f>
        <v/>
      </c>
      <c r="W2516" s="39">
        <f>IF($A2516="","",IFERROR(INDEX(계정매핑!$D$5:$D$504,MATCH($F2516&amp;"",계정매핑!$A$5:$A$504,0)),"미매핑"))</f>
        <v/>
      </c>
      <c r="X2516" s="9">
        <f>IF($A2516="","",$F2516&amp;"")</f>
        <v/>
      </c>
    </row>
    <row r="2517">
      <c r="A2517" s="75" t="n">
        <v>2026</v>
      </c>
      <c r="B2517" s="75" t="n">
        <v>1</v>
      </c>
      <c r="C2517" s="75" t="inlineStr">
        <is>
          <t>5100000173</t>
        </is>
      </c>
      <c r="D2517" s="78" t="n">
        <v>46048</v>
      </c>
      <c r="E2517" s="75" t="inlineStr">
        <is>
          <t>KR</t>
        </is>
      </c>
      <c r="F2517" s="75" t="n">
        <v>62201000</v>
      </c>
      <c r="G2517" s="75" t="n">
        <v>1701</v>
      </c>
      <c r="H2517" s="76" t="n">
        <v>5004000</v>
      </c>
      <c r="I2517" s="75" t="inlineStr">
        <is>
          <t>1월 통신요금 - O텔레콤</t>
        </is>
      </c>
      <c r="J2517" s="75" t="inlineStr">
        <is>
          <t>V10002</t>
        </is>
      </c>
      <c r="K2517" s="75" t="inlineStr">
        <is>
          <t>O텔레콤</t>
        </is>
      </c>
      <c r="M2517" s="9">
        <f>IF($A2517="","",VALUE($A2517&amp;"")*12+VALUE($B2517&amp;""))</f>
        <v/>
      </c>
      <c r="N2517" s="39">
        <f>IF($A2517="","",IFERROR(INDEX(부서매핑!$C$5:$C$504,MATCH($G2517&amp;"",부서매핑!$A$5:$A$504,0)),"미매핑"))</f>
        <v/>
      </c>
      <c r="O2517" s="9">
        <f>IF($A2517="","",N2517&amp;"|"&amp;$F2517)</f>
        <v/>
      </c>
      <c r="P2517" s="77">
        <f>IF($A2517="",0,$H2517*설정!$C$23)</f>
        <v/>
      </c>
      <c r="Q2517" s="39">
        <f>IF($A2517="","",IF(O2517&lt;&gt;원인분석!$C$9,"",IF(AND(M2517&gt;=원인분석!$C$10,M2517&lt;=원인분석!$C$11),"당기",IF(AND(M2517&gt;=원인분석!$C$12,M2517&lt;=원인분석!$C$13),"비교",""))))</f>
        <v/>
      </c>
      <c r="R2517" s="9">
        <f>IF(Q2517="","",$K2517&amp;"")</f>
        <v/>
      </c>
      <c r="S2517" s="9">
        <f>IF(Q2517="","",IF(MATCH(R2517,$R$5:$R$100000,0)=ROW()-4,ROW(),""))</f>
        <v/>
      </c>
      <c r="T2517" s="9">
        <f>IF(Q2517="당기",ABS(P2517)+ROW()/1000000000,"")</f>
        <v/>
      </c>
      <c r="U2517" s="9">
        <f>IF(Q2517="비교",ABS(P2517)+ROW()/1000000000,"")</f>
        <v/>
      </c>
      <c r="V2517" s="39">
        <f>IF($A2517="","",IF(COUNTIF(변동분석!$E$7:$E$506,O2517)&gt;0,"Y","N"))</f>
        <v/>
      </c>
      <c r="W2517" s="39">
        <f>IF($A2517="","",IFERROR(INDEX(계정매핑!$D$5:$D$504,MATCH($F2517&amp;"",계정매핑!$A$5:$A$504,0)),"미매핑"))</f>
        <v/>
      </c>
      <c r="X2517" s="9">
        <f>IF($A2517="","",$F2517&amp;"")</f>
        <v/>
      </c>
    </row>
    <row r="2518">
      <c r="A2518" s="75" t="n">
        <v>2026</v>
      </c>
      <c r="B2518" s="75" t="n">
        <v>1</v>
      </c>
      <c r="C2518" s="75" t="inlineStr">
        <is>
          <t>5100000174</t>
        </is>
      </c>
      <c r="D2518" s="78" t="n">
        <v>46048</v>
      </c>
      <c r="E2518" s="75" t="inlineStr">
        <is>
          <t>KR</t>
        </is>
      </c>
      <c r="F2518" s="75" t="n">
        <v>62301000</v>
      </c>
      <c r="G2518" s="75" t="n">
        <v>1101</v>
      </c>
      <c r="H2518" s="76" t="n">
        <v>224000</v>
      </c>
      <c r="I2518" s="75" t="inlineStr">
        <is>
          <t>1월 소모품 구입 - R문구</t>
        </is>
      </c>
      <c r="J2518" s="75" t="inlineStr">
        <is>
          <t>V10018</t>
        </is>
      </c>
      <c r="K2518" s="75" t="inlineStr">
        <is>
          <t>R문구</t>
        </is>
      </c>
      <c r="M2518" s="9">
        <f>IF($A2518="","",VALUE($A2518&amp;"")*12+VALUE($B2518&amp;""))</f>
        <v/>
      </c>
      <c r="N2518" s="39">
        <f>IF($A2518="","",IFERROR(INDEX(부서매핑!$C$5:$C$504,MATCH($G2518&amp;"",부서매핑!$A$5:$A$504,0)),"미매핑"))</f>
        <v/>
      </c>
      <c r="O2518" s="9">
        <f>IF($A2518="","",N2518&amp;"|"&amp;$F2518)</f>
        <v/>
      </c>
      <c r="P2518" s="77">
        <f>IF($A2518="",0,$H2518*설정!$C$23)</f>
        <v/>
      </c>
      <c r="Q2518" s="39">
        <f>IF($A2518="","",IF(O2518&lt;&gt;원인분석!$C$9,"",IF(AND(M2518&gt;=원인분석!$C$10,M2518&lt;=원인분석!$C$11),"당기",IF(AND(M2518&gt;=원인분석!$C$12,M2518&lt;=원인분석!$C$13),"비교",""))))</f>
        <v/>
      </c>
      <c r="R2518" s="9">
        <f>IF(Q2518="","",$K2518&amp;"")</f>
        <v/>
      </c>
      <c r="S2518" s="9">
        <f>IF(Q2518="","",IF(MATCH(R2518,$R$5:$R$100000,0)=ROW()-4,ROW(),""))</f>
        <v/>
      </c>
      <c r="T2518" s="9">
        <f>IF(Q2518="당기",ABS(P2518)+ROW()/1000000000,"")</f>
        <v/>
      </c>
      <c r="U2518" s="9">
        <f>IF(Q2518="비교",ABS(P2518)+ROW()/1000000000,"")</f>
        <v/>
      </c>
      <c r="V2518" s="39">
        <f>IF($A2518="","",IF(COUNTIF(변동분석!$E$7:$E$506,O2518)&gt;0,"Y","N"))</f>
        <v/>
      </c>
      <c r="W2518" s="39">
        <f>IF($A2518="","",IFERROR(INDEX(계정매핑!$D$5:$D$504,MATCH($F2518&amp;"",계정매핑!$A$5:$A$504,0)),"미매핑"))</f>
        <v/>
      </c>
      <c r="X2518" s="9">
        <f>IF($A2518="","",$F2518&amp;"")</f>
        <v/>
      </c>
    </row>
    <row r="2519">
      <c r="A2519" s="75" t="n">
        <v>2026</v>
      </c>
      <c r="B2519" s="75" t="n">
        <v>1</v>
      </c>
      <c r="C2519" s="75" t="inlineStr">
        <is>
          <t>5100000175</t>
        </is>
      </c>
      <c r="D2519" s="78" t="n">
        <v>46048</v>
      </c>
      <c r="E2519" s="75" t="inlineStr">
        <is>
          <t>KR</t>
        </is>
      </c>
      <c r="F2519" s="75" t="n">
        <v>62301000</v>
      </c>
      <c r="G2519" s="75" t="n">
        <v>1301</v>
      </c>
      <c r="H2519" s="76" t="n">
        <v>199000</v>
      </c>
      <c r="I2519" s="75" t="inlineStr">
        <is>
          <t>1월 소모품 구입 - R문구</t>
        </is>
      </c>
      <c r="J2519" s="75" t="inlineStr">
        <is>
          <t>V10018</t>
        </is>
      </c>
      <c r="K2519" s="75" t="inlineStr">
        <is>
          <t>R문구</t>
        </is>
      </c>
      <c r="M2519" s="9">
        <f>IF($A2519="","",VALUE($A2519&amp;"")*12+VALUE($B2519&amp;""))</f>
        <v/>
      </c>
      <c r="N2519" s="39">
        <f>IF($A2519="","",IFERROR(INDEX(부서매핑!$C$5:$C$504,MATCH($G2519&amp;"",부서매핑!$A$5:$A$504,0)),"미매핑"))</f>
        <v/>
      </c>
      <c r="O2519" s="9">
        <f>IF($A2519="","",N2519&amp;"|"&amp;$F2519)</f>
        <v/>
      </c>
      <c r="P2519" s="77">
        <f>IF($A2519="",0,$H2519*설정!$C$23)</f>
        <v/>
      </c>
      <c r="Q2519" s="39">
        <f>IF($A2519="","",IF(O2519&lt;&gt;원인분석!$C$9,"",IF(AND(M2519&gt;=원인분석!$C$10,M2519&lt;=원인분석!$C$11),"당기",IF(AND(M2519&gt;=원인분석!$C$12,M2519&lt;=원인분석!$C$13),"비교",""))))</f>
        <v/>
      </c>
      <c r="R2519" s="9">
        <f>IF(Q2519="","",$K2519&amp;"")</f>
        <v/>
      </c>
      <c r="S2519" s="9">
        <f>IF(Q2519="","",IF(MATCH(R2519,$R$5:$R$100000,0)=ROW()-4,ROW(),""))</f>
        <v/>
      </c>
      <c r="T2519" s="9">
        <f>IF(Q2519="당기",ABS(P2519)+ROW()/1000000000,"")</f>
        <v/>
      </c>
      <c r="U2519" s="9">
        <f>IF(Q2519="비교",ABS(P2519)+ROW()/1000000000,"")</f>
        <v/>
      </c>
      <c r="V2519" s="39">
        <f>IF($A2519="","",IF(COUNTIF(변동분석!$E$7:$E$506,O2519)&gt;0,"Y","N"))</f>
        <v/>
      </c>
      <c r="W2519" s="39">
        <f>IF($A2519="","",IFERROR(INDEX(계정매핑!$D$5:$D$504,MATCH($F2519&amp;"",계정매핑!$A$5:$A$504,0)),"미매핑"))</f>
        <v/>
      </c>
      <c r="X2519" s="9">
        <f>IF($A2519="","",$F2519&amp;"")</f>
        <v/>
      </c>
    </row>
    <row r="2520">
      <c r="A2520" s="75" t="n">
        <v>2026</v>
      </c>
      <c r="B2520" s="75" t="n">
        <v>1</v>
      </c>
      <c r="C2520" s="75" t="inlineStr">
        <is>
          <t>5100000176</t>
        </is>
      </c>
      <c r="D2520" s="78" t="n">
        <v>46048</v>
      </c>
      <c r="E2520" s="75" t="inlineStr">
        <is>
          <t>KR</t>
        </is>
      </c>
      <c r="F2520" s="75" t="n">
        <v>62301000</v>
      </c>
      <c r="G2520" s="75" t="n">
        <v>1801</v>
      </c>
      <c r="H2520" s="76" t="n">
        <v>265000</v>
      </c>
      <c r="I2520" s="75" t="inlineStr">
        <is>
          <t>1월 소모품 구입 - Q오피스</t>
        </is>
      </c>
      <c r="J2520" s="75" t="inlineStr">
        <is>
          <t>V10003</t>
        </is>
      </c>
      <c r="K2520" s="75" t="inlineStr">
        <is>
          <t>Q오피스</t>
        </is>
      </c>
      <c r="M2520" s="9">
        <f>IF($A2520="","",VALUE($A2520&amp;"")*12+VALUE($B2520&amp;""))</f>
        <v/>
      </c>
      <c r="N2520" s="39">
        <f>IF($A2520="","",IFERROR(INDEX(부서매핑!$C$5:$C$504,MATCH($G2520&amp;"",부서매핑!$A$5:$A$504,0)),"미매핑"))</f>
        <v/>
      </c>
      <c r="O2520" s="9">
        <f>IF($A2520="","",N2520&amp;"|"&amp;$F2520)</f>
        <v/>
      </c>
      <c r="P2520" s="77">
        <f>IF($A2520="",0,$H2520*설정!$C$23)</f>
        <v/>
      </c>
      <c r="Q2520" s="39">
        <f>IF($A2520="","",IF(O2520&lt;&gt;원인분석!$C$9,"",IF(AND(M2520&gt;=원인분석!$C$10,M2520&lt;=원인분석!$C$11),"당기",IF(AND(M2520&gt;=원인분석!$C$12,M2520&lt;=원인분석!$C$13),"비교",""))))</f>
        <v/>
      </c>
      <c r="R2520" s="9">
        <f>IF(Q2520="","",$K2520&amp;"")</f>
        <v/>
      </c>
      <c r="S2520" s="9">
        <f>IF(Q2520="","",IF(MATCH(R2520,$R$5:$R$100000,0)=ROW()-4,ROW(),""))</f>
        <v/>
      </c>
      <c r="T2520" s="9">
        <f>IF(Q2520="당기",ABS(P2520)+ROW()/1000000000,"")</f>
        <v/>
      </c>
      <c r="U2520" s="9">
        <f>IF(Q2520="비교",ABS(P2520)+ROW()/1000000000,"")</f>
        <v/>
      </c>
      <c r="V2520" s="39">
        <f>IF($A2520="","",IF(COUNTIF(변동분석!$E$7:$E$506,O2520)&gt;0,"Y","N"))</f>
        <v/>
      </c>
      <c r="W2520" s="39">
        <f>IF($A2520="","",IFERROR(INDEX(계정매핑!$D$5:$D$504,MATCH($F2520&amp;"",계정매핑!$A$5:$A$504,0)),"미매핑"))</f>
        <v/>
      </c>
      <c r="X2520" s="9">
        <f>IF($A2520="","",$F2520&amp;"")</f>
        <v/>
      </c>
    </row>
    <row r="2521">
      <c r="A2521" s="75" t="n">
        <v>2026</v>
      </c>
      <c r="B2521" s="75" t="n">
        <v>1</v>
      </c>
      <c r="C2521" s="75" t="inlineStr">
        <is>
          <t>5100000177</t>
        </is>
      </c>
      <c r="D2521" s="78" t="n">
        <v>46048</v>
      </c>
      <c r="E2521" s="75" t="inlineStr">
        <is>
          <t>KR</t>
        </is>
      </c>
      <c r="F2521" s="75" t="n">
        <v>62901000</v>
      </c>
      <c r="G2521" s="75" t="n">
        <v>1201</v>
      </c>
      <c r="H2521" s="76" t="n">
        <v>7202000</v>
      </c>
      <c r="I2521" s="75" t="inlineStr">
        <is>
          <t>1월 자문 수수료 - K회계법인</t>
        </is>
      </c>
      <c r="J2521" s="75" t="inlineStr">
        <is>
          <t>V10010</t>
        </is>
      </c>
      <c r="K2521" s="75" t="inlineStr">
        <is>
          <t>K회계법인</t>
        </is>
      </c>
      <c r="M2521" s="9">
        <f>IF($A2521="","",VALUE($A2521&amp;"")*12+VALUE($B2521&amp;""))</f>
        <v/>
      </c>
      <c r="N2521" s="39">
        <f>IF($A2521="","",IFERROR(INDEX(부서매핑!$C$5:$C$504,MATCH($G2521&amp;"",부서매핑!$A$5:$A$504,0)),"미매핑"))</f>
        <v/>
      </c>
      <c r="O2521" s="9">
        <f>IF($A2521="","",N2521&amp;"|"&amp;$F2521)</f>
        <v/>
      </c>
      <c r="P2521" s="77">
        <f>IF($A2521="",0,$H2521*설정!$C$23)</f>
        <v/>
      </c>
      <c r="Q2521" s="39">
        <f>IF($A2521="","",IF(O2521&lt;&gt;원인분석!$C$9,"",IF(AND(M2521&gt;=원인분석!$C$10,M2521&lt;=원인분석!$C$11),"당기",IF(AND(M2521&gt;=원인분석!$C$12,M2521&lt;=원인분석!$C$13),"비교",""))))</f>
        <v/>
      </c>
      <c r="R2521" s="9">
        <f>IF(Q2521="","",$K2521&amp;"")</f>
        <v/>
      </c>
      <c r="S2521" s="9">
        <f>IF(Q2521="","",IF(MATCH(R2521,$R$5:$R$100000,0)=ROW()-4,ROW(),""))</f>
        <v/>
      </c>
      <c r="T2521" s="9">
        <f>IF(Q2521="당기",ABS(P2521)+ROW()/1000000000,"")</f>
        <v/>
      </c>
      <c r="U2521" s="9">
        <f>IF(Q2521="비교",ABS(P2521)+ROW()/1000000000,"")</f>
        <v/>
      </c>
      <c r="V2521" s="39">
        <f>IF($A2521="","",IF(COUNTIF(변동분석!$E$7:$E$506,O2521)&gt;0,"Y","N"))</f>
        <v/>
      </c>
      <c r="W2521" s="39">
        <f>IF($A2521="","",IFERROR(INDEX(계정매핑!$D$5:$D$504,MATCH($F2521&amp;"",계정매핑!$A$5:$A$504,0)),"미매핑"))</f>
        <v/>
      </c>
      <c r="X2521" s="9">
        <f>IF($A2521="","",$F2521&amp;"")</f>
        <v/>
      </c>
    </row>
    <row r="2522">
      <c r="A2522" s="75" t="n">
        <v>2026</v>
      </c>
      <c r="B2522" s="75" t="n">
        <v>1</v>
      </c>
      <c r="C2522" s="75" t="inlineStr">
        <is>
          <t>5100000178</t>
        </is>
      </c>
      <c r="D2522" s="78" t="n">
        <v>46048</v>
      </c>
      <c r="E2522" s="75" t="inlineStr">
        <is>
          <t>KR</t>
        </is>
      </c>
      <c r="F2522" s="75" t="n">
        <v>62901000</v>
      </c>
      <c r="G2522" s="75" t="n">
        <v>1801</v>
      </c>
      <c r="H2522" s="76" t="n">
        <v>10325000</v>
      </c>
      <c r="I2522" s="75" t="inlineStr">
        <is>
          <t>1월 자문 수수료 - K회계법인</t>
        </is>
      </c>
      <c r="J2522" s="75" t="inlineStr">
        <is>
          <t>V10010</t>
        </is>
      </c>
      <c r="K2522" s="75" t="inlineStr">
        <is>
          <t>K회계법인</t>
        </is>
      </c>
      <c r="M2522" s="9">
        <f>IF($A2522="","",VALUE($A2522&amp;"")*12+VALUE($B2522&amp;""))</f>
        <v/>
      </c>
      <c r="N2522" s="39">
        <f>IF($A2522="","",IFERROR(INDEX(부서매핑!$C$5:$C$504,MATCH($G2522&amp;"",부서매핑!$A$5:$A$504,0)),"미매핑"))</f>
        <v/>
      </c>
      <c r="O2522" s="9">
        <f>IF($A2522="","",N2522&amp;"|"&amp;$F2522)</f>
        <v/>
      </c>
      <c r="P2522" s="77">
        <f>IF($A2522="",0,$H2522*설정!$C$23)</f>
        <v/>
      </c>
      <c r="Q2522" s="39">
        <f>IF($A2522="","",IF(O2522&lt;&gt;원인분석!$C$9,"",IF(AND(M2522&gt;=원인분석!$C$10,M2522&lt;=원인분석!$C$11),"당기",IF(AND(M2522&gt;=원인분석!$C$12,M2522&lt;=원인분석!$C$13),"비교",""))))</f>
        <v/>
      </c>
      <c r="R2522" s="9">
        <f>IF(Q2522="","",$K2522&amp;"")</f>
        <v/>
      </c>
      <c r="S2522" s="9">
        <f>IF(Q2522="","",IF(MATCH(R2522,$R$5:$R$100000,0)=ROW()-4,ROW(),""))</f>
        <v/>
      </c>
      <c r="T2522" s="9">
        <f>IF(Q2522="당기",ABS(P2522)+ROW()/1000000000,"")</f>
        <v/>
      </c>
      <c r="U2522" s="9">
        <f>IF(Q2522="비교",ABS(P2522)+ROW()/1000000000,"")</f>
        <v/>
      </c>
      <c r="V2522" s="39">
        <f>IF($A2522="","",IF(COUNTIF(변동분석!$E$7:$E$506,O2522)&gt;0,"Y","N"))</f>
        <v/>
      </c>
      <c r="W2522" s="39">
        <f>IF($A2522="","",IFERROR(INDEX(계정매핑!$D$5:$D$504,MATCH($F2522&amp;"",계정매핑!$A$5:$A$504,0)),"미매핑"))</f>
        <v/>
      </c>
      <c r="X2522" s="9">
        <f>IF($A2522="","",$F2522&amp;"")</f>
        <v/>
      </c>
    </row>
    <row r="2523">
      <c r="A2523" s="75" t="n">
        <v>2026</v>
      </c>
      <c r="B2523" s="75" t="n">
        <v>1</v>
      </c>
      <c r="C2523" s="75" t="inlineStr">
        <is>
          <t>5100000179</t>
        </is>
      </c>
      <c r="D2523" s="78" t="n">
        <v>46048</v>
      </c>
      <c r="E2523" s="75" t="inlineStr">
        <is>
          <t>KR</t>
        </is>
      </c>
      <c r="F2523" s="75" t="n">
        <v>62902000</v>
      </c>
      <c r="G2523" s="75" t="n">
        <v>1401</v>
      </c>
      <c r="H2523" s="76" t="n">
        <v>3224000</v>
      </c>
      <c r="I2523" s="75" t="inlineStr">
        <is>
          <t>1월 업무 위탁 수수료 - X서비스</t>
        </is>
      </c>
      <c r="J2523" s="75" t="inlineStr">
        <is>
          <t>V10016</t>
        </is>
      </c>
      <c r="K2523" s="75" t="inlineStr">
        <is>
          <t>X서비스</t>
        </is>
      </c>
      <c r="M2523" s="9">
        <f>IF($A2523="","",VALUE($A2523&amp;"")*12+VALUE($B2523&amp;""))</f>
        <v/>
      </c>
      <c r="N2523" s="39">
        <f>IF($A2523="","",IFERROR(INDEX(부서매핑!$C$5:$C$504,MATCH($G2523&amp;"",부서매핑!$A$5:$A$504,0)),"미매핑"))</f>
        <v/>
      </c>
      <c r="O2523" s="9">
        <f>IF($A2523="","",N2523&amp;"|"&amp;$F2523)</f>
        <v/>
      </c>
      <c r="P2523" s="77">
        <f>IF($A2523="",0,$H2523*설정!$C$23)</f>
        <v/>
      </c>
      <c r="Q2523" s="39">
        <f>IF($A2523="","",IF(O2523&lt;&gt;원인분석!$C$9,"",IF(AND(M2523&gt;=원인분석!$C$10,M2523&lt;=원인분석!$C$11),"당기",IF(AND(M2523&gt;=원인분석!$C$12,M2523&lt;=원인분석!$C$13),"비교",""))))</f>
        <v/>
      </c>
      <c r="R2523" s="9">
        <f>IF(Q2523="","",$K2523&amp;"")</f>
        <v/>
      </c>
      <c r="S2523" s="9">
        <f>IF(Q2523="","",IF(MATCH(R2523,$R$5:$R$100000,0)=ROW()-4,ROW(),""))</f>
        <v/>
      </c>
      <c r="T2523" s="9">
        <f>IF(Q2523="당기",ABS(P2523)+ROW()/1000000000,"")</f>
        <v/>
      </c>
      <c r="U2523" s="9">
        <f>IF(Q2523="비교",ABS(P2523)+ROW()/1000000000,"")</f>
        <v/>
      </c>
      <c r="V2523" s="39">
        <f>IF($A2523="","",IF(COUNTIF(변동분석!$E$7:$E$506,O2523)&gt;0,"Y","N"))</f>
        <v/>
      </c>
      <c r="W2523" s="39">
        <f>IF($A2523="","",IFERROR(INDEX(계정매핑!$D$5:$D$504,MATCH($F2523&amp;"",계정매핑!$A$5:$A$504,0)),"미매핑"))</f>
        <v/>
      </c>
      <c r="X2523" s="9">
        <f>IF($A2523="","",$F2523&amp;"")</f>
        <v/>
      </c>
    </row>
    <row r="2524">
      <c r="A2524" s="75" t="n">
        <v>2026</v>
      </c>
      <c r="B2524" s="75" t="n">
        <v>1</v>
      </c>
      <c r="C2524" s="75" t="inlineStr">
        <is>
          <t>5100000180</t>
        </is>
      </c>
      <c r="D2524" s="78" t="n">
        <v>46048</v>
      </c>
      <c r="E2524" s="75" t="inlineStr">
        <is>
          <t>KR</t>
        </is>
      </c>
      <c r="F2524" s="75" t="n">
        <v>62902000</v>
      </c>
      <c r="G2524" s="75" t="n">
        <v>1801</v>
      </c>
      <c r="H2524" s="76" t="n">
        <v>1821000</v>
      </c>
      <c r="I2524" s="75" t="inlineStr">
        <is>
          <t>1월 콜 위탁 수수료(건별)</t>
        </is>
      </c>
      <c r="J2524" s="75" t="inlineStr">
        <is>
          <t>V10013</t>
        </is>
      </c>
      <c r="K2524" s="75" t="inlineStr">
        <is>
          <t>J콜센터</t>
        </is>
      </c>
      <c r="M2524" s="9">
        <f>IF($A2524="","",VALUE($A2524&amp;"")*12+VALUE($B2524&amp;""))</f>
        <v/>
      </c>
      <c r="N2524" s="39">
        <f>IF($A2524="","",IFERROR(INDEX(부서매핑!$C$5:$C$504,MATCH($G2524&amp;"",부서매핑!$A$5:$A$504,0)),"미매핑"))</f>
        <v/>
      </c>
      <c r="O2524" s="9">
        <f>IF($A2524="","",N2524&amp;"|"&amp;$F2524)</f>
        <v/>
      </c>
      <c r="P2524" s="77">
        <f>IF($A2524="",0,$H2524*설정!$C$23)</f>
        <v/>
      </c>
      <c r="Q2524" s="39">
        <f>IF($A2524="","",IF(O2524&lt;&gt;원인분석!$C$9,"",IF(AND(M2524&gt;=원인분석!$C$10,M2524&lt;=원인분석!$C$11),"당기",IF(AND(M2524&gt;=원인분석!$C$12,M2524&lt;=원인분석!$C$13),"비교",""))))</f>
        <v/>
      </c>
      <c r="R2524" s="9">
        <f>IF(Q2524="","",$K2524&amp;"")</f>
        <v/>
      </c>
      <c r="S2524" s="9">
        <f>IF(Q2524="","",IF(MATCH(R2524,$R$5:$R$100000,0)=ROW()-4,ROW(),""))</f>
        <v/>
      </c>
      <c r="T2524" s="9">
        <f>IF(Q2524="당기",ABS(P2524)+ROW()/1000000000,"")</f>
        <v/>
      </c>
      <c r="U2524" s="9">
        <f>IF(Q2524="비교",ABS(P2524)+ROW()/1000000000,"")</f>
        <v/>
      </c>
      <c r="V2524" s="39">
        <f>IF($A2524="","",IF(COUNTIF(변동분석!$E$7:$E$506,O2524)&gt;0,"Y","N"))</f>
        <v/>
      </c>
      <c r="W2524" s="39">
        <f>IF($A2524="","",IFERROR(INDEX(계정매핑!$D$5:$D$504,MATCH($F2524&amp;"",계정매핑!$A$5:$A$504,0)),"미매핑"))</f>
        <v/>
      </c>
      <c r="X2524" s="9">
        <f>IF($A2524="","",$F2524&amp;"")</f>
        <v/>
      </c>
    </row>
    <row r="2525">
      <c r="A2525" s="75" t="n">
        <v>2026</v>
      </c>
      <c r="B2525" s="75" t="n">
        <v>1</v>
      </c>
      <c r="C2525" s="75" t="inlineStr">
        <is>
          <t>5100000181</t>
        </is>
      </c>
      <c r="D2525" s="78" t="n">
        <v>46048</v>
      </c>
      <c r="E2525" s="75" t="inlineStr">
        <is>
          <t>KR</t>
        </is>
      </c>
      <c r="F2525" s="75" t="n">
        <v>63201000</v>
      </c>
      <c r="G2525" s="75" t="n">
        <v>1601</v>
      </c>
      <c r="H2525" s="76" t="n">
        <v>6221000</v>
      </c>
      <c r="I2525" s="75" t="inlineStr">
        <is>
          <t>1월 차량 유지 - D정비</t>
        </is>
      </c>
      <c r="J2525" s="75" t="inlineStr">
        <is>
          <t>V10022</t>
        </is>
      </c>
      <c r="K2525" s="75" t="inlineStr">
        <is>
          <t>D정비</t>
        </is>
      </c>
      <c r="M2525" s="9">
        <f>IF($A2525="","",VALUE($A2525&amp;"")*12+VALUE($B2525&amp;""))</f>
        <v/>
      </c>
      <c r="N2525" s="39">
        <f>IF($A2525="","",IFERROR(INDEX(부서매핑!$C$5:$C$504,MATCH($G2525&amp;"",부서매핑!$A$5:$A$504,0)),"미매핑"))</f>
        <v/>
      </c>
      <c r="O2525" s="9">
        <f>IF($A2525="","",N2525&amp;"|"&amp;$F2525)</f>
        <v/>
      </c>
      <c r="P2525" s="77">
        <f>IF($A2525="",0,$H2525*설정!$C$23)</f>
        <v/>
      </c>
      <c r="Q2525" s="39">
        <f>IF($A2525="","",IF(O2525&lt;&gt;원인분석!$C$9,"",IF(AND(M2525&gt;=원인분석!$C$10,M2525&lt;=원인분석!$C$11),"당기",IF(AND(M2525&gt;=원인분석!$C$12,M2525&lt;=원인분석!$C$13),"비교",""))))</f>
        <v/>
      </c>
      <c r="R2525" s="9">
        <f>IF(Q2525="","",$K2525&amp;"")</f>
        <v/>
      </c>
      <c r="S2525" s="9">
        <f>IF(Q2525="","",IF(MATCH(R2525,$R$5:$R$100000,0)=ROW()-4,ROW(),""))</f>
        <v/>
      </c>
      <c r="T2525" s="9">
        <f>IF(Q2525="당기",ABS(P2525)+ROW()/1000000000,"")</f>
        <v/>
      </c>
      <c r="U2525" s="9">
        <f>IF(Q2525="비교",ABS(P2525)+ROW()/1000000000,"")</f>
        <v/>
      </c>
      <c r="V2525" s="39">
        <f>IF($A2525="","",IF(COUNTIF(변동분석!$E$7:$E$506,O2525)&gt;0,"Y","N"))</f>
        <v/>
      </c>
      <c r="W2525" s="39">
        <f>IF($A2525="","",IFERROR(INDEX(계정매핑!$D$5:$D$504,MATCH($F2525&amp;"",계정매핑!$A$5:$A$504,0)),"미매핑"))</f>
        <v/>
      </c>
      <c r="X2525" s="9">
        <f>IF($A2525="","",$F2525&amp;"")</f>
        <v/>
      </c>
    </row>
    <row r="2526">
      <c r="A2526" s="75" t="n">
        <v>2026</v>
      </c>
      <c r="B2526" s="75" t="n">
        <v>1</v>
      </c>
      <c r="C2526" s="75" t="inlineStr">
        <is>
          <t>5100000182</t>
        </is>
      </c>
      <c r="D2526" s="78" t="n">
        <v>46048</v>
      </c>
      <c r="E2526" s="75" t="inlineStr">
        <is>
          <t>KR</t>
        </is>
      </c>
      <c r="F2526" s="75" t="n">
        <v>63201000</v>
      </c>
      <c r="G2526" s="75" t="n">
        <v>1601</v>
      </c>
      <c r="H2526" s="76" t="n">
        <v>2036000</v>
      </c>
      <c r="I2526" s="75" t="inlineStr">
        <is>
          <t>1월 차량 유지 - H에너지</t>
        </is>
      </c>
      <c r="J2526" s="75" t="inlineStr">
        <is>
          <t>V10025</t>
        </is>
      </c>
      <c r="K2526" s="75" t="inlineStr">
        <is>
          <t>H에너지</t>
        </is>
      </c>
      <c r="M2526" s="9">
        <f>IF($A2526="","",VALUE($A2526&amp;"")*12+VALUE($B2526&amp;""))</f>
        <v/>
      </c>
      <c r="N2526" s="39">
        <f>IF($A2526="","",IFERROR(INDEX(부서매핑!$C$5:$C$504,MATCH($G2526&amp;"",부서매핑!$A$5:$A$504,0)),"미매핑"))</f>
        <v/>
      </c>
      <c r="O2526" s="9">
        <f>IF($A2526="","",N2526&amp;"|"&amp;$F2526)</f>
        <v/>
      </c>
      <c r="P2526" s="77">
        <f>IF($A2526="",0,$H2526*설정!$C$23)</f>
        <v/>
      </c>
      <c r="Q2526" s="39">
        <f>IF($A2526="","",IF(O2526&lt;&gt;원인분석!$C$9,"",IF(AND(M2526&gt;=원인분석!$C$10,M2526&lt;=원인분석!$C$11),"당기",IF(AND(M2526&gt;=원인분석!$C$12,M2526&lt;=원인분석!$C$13),"비교",""))))</f>
        <v/>
      </c>
      <c r="R2526" s="9">
        <f>IF(Q2526="","",$K2526&amp;"")</f>
        <v/>
      </c>
      <c r="S2526" s="9">
        <f>IF(Q2526="","",IF(MATCH(R2526,$R$5:$R$100000,0)=ROW()-4,ROW(),""))</f>
        <v/>
      </c>
      <c r="T2526" s="9">
        <f>IF(Q2526="당기",ABS(P2526)+ROW()/1000000000,"")</f>
        <v/>
      </c>
      <c r="U2526" s="9">
        <f>IF(Q2526="비교",ABS(P2526)+ROW()/1000000000,"")</f>
        <v/>
      </c>
      <c r="V2526" s="39">
        <f>IF($A2526="","",IF(COUNTIF(변동분석!$E$7:$E$506,O2526)&gt;0,"Y","N"))</f>
        <v/>
      </c>
      <c r="W2526" s="39">
        <f>IF($A2526="","",IFERROR(INDEX(계정매핑!$D$5:$D$504,MATCH($F2526&amp;"",계정매핑!$A$5:$A$504,0)),"미매핑"))</f>
        <v/>
      </c>
      <c r="X2526" s="9">
        <f>IF($A2526="","",$F2526&amp;"")</f>
        <v/>
      </c>
    </row>
    <row r="2527">
      <c r="A2527" s="75" t="n">
        <v>2026</v>
      </c>
      <c r="B2527" s="75" t="n">
        <v>1</v>
      </c>
      <c r="C2527" s="75" t="inlineStr">
        <is>
          <t>5100000183</t>
        </is>
      </c>
      <c r="D2527" s="78" t="n">
        <v>46049</v>
      </c>
      <c r="E2527" s="75" t="inlineStr">
        <is>
          <t>KR</t>
        </is>
      </c>
      <c r="F2527" s="75" t="n">
        <v>62102000</v>
      </c>
      <c r="G2527" s="75" t="n">
        <v>1401</v>
      </c>
      <c r="H2527" s="76" t="n">
        <v>118000</v>
      </c>
      <c r="I2527" s="75" t="inlineStr">
        <is>
          <t>1월 해외출장 - M항공</t>
        </is>
      </c>
      <c r="J2527" s="75" t="inlineStr">
        <is>
          <t>V10001</t>
        </is>
      </c>
      <c r="K2527" s="75" t="inlineStr">
        <is>
          <t>M항공</t>
        </is>
      </c>
      <c r="M2527" s="9">
        <f>IF($A2527="","",VALUE($A2527&amp;"")*12+VALUE($B2527&amp;""))</f>
        <v/>
      </c>
      <c r="N2527" s="39">
        <f>IF($A2527="","",IFERROR(INDEX(부서매핑!$C$5:$C$504,MATCH($G2527&amp;"",부서매핑!$A$5:$A$504,0)),"미매핑"))</f>
        <v/>
      </c>
      <c r="O2527" s="9">
        <f>IF($A2527="","",N2527&amp;"|"&amp;$F2527)</f>
        <v/>
      </c>
      <c r="P2527" s="77">
        <f>IF($A2527="",0,$H2527*설정!$C$23)</f>
        <v/>
      </c>
      <c r="Q2527" s="39">
        <f>IF($A2527="","",IF(O2527&lt;&gt;원인분석!$C$9,"",IF(AND(M2527&gt;=원인분석!$C$10,M2527&lt;=원인분석!$C$11),"당기",IF(AND(M2527&gt;=원인분석!$C$12,M2527&lt;=원인분석!$C$13),"비교",""))))</f>
        <v/>
      </c>
      <c r="R2527" s="9">
        <f>IF(Q2527="","",$K2527&amp;"")</f>
        <v/>
      </c>
      <c r="S2527" s="9">
        <f>IF(Q2527="","",IF(MATCH(R2527,$R$5:$R$100000,0)=ROW()-4,ROW(),""))</f>
        <v/>
      </c>
      <c r="T2527" s="9">
        <f>IF(Q2527="당기",ABS(P2527)+ROW()/1000000000,"")</f>
        <v/>
      </c>
      <c r="U2527" s="9">
        <f>IF(Q2527="비교",ABS(P2527)+ROW()/1000000000,"")</f>
        <v/>
      </c>
      <c r="V2527" s="39">
        <f>IF($A2527="","",IF(COUNTIF(변동분석!$E$7:$E$506,O2527)&gt;0,"Y","N"))</f>
        <v/>
      </c>
      <c r="W2527" s="39">
        <f>IF($A2527="","",IFERROR(INDEX(계정매핑!$D$5:$D$504,MATCH($F2527&amp;"",계정매핑!$A$5:$A$504,0)),"미매핑"))</f>
        <v/>
      </c>
      <c r="X2527" s="9">
        <f>IF($A2527="","",$F2527&amp;"")</f>
        <v/>
      </c>
    </row>
    <row r="2528">
      <c r="A2528" s="75" t="n">
        <v>2026</v>
      </c>
      <c r="B2528" s="75" t="n">
        <v>1</v>
      </c>
      <c r="C2528" s="75" t="inlineStr">
        <is>
          <t>5100000184</t>
        </is>
      </c>
      <c r="D2528" s="78" t="n">
        <v>46049</v>
      </c>
      <c r="E2528" s="75" t="inlineStr">
        <is>
          <t>KR</t>
        </is>
      </c>
      <c r="F2528" s="75" t="n">
        <v>62301000</v>
      </c>
      <c r="G2528" s="75" t="n">
        <v>1501</v>
      </c>
      <c r="H2528" s="76" t="n">
        <v>367000</v>
      </c>
      <c r="I2528" s="75" t="inlineStr">
        <is>
          <t>1월 소모품 구입 - R문구</t>
        </is>
      </c>
      <c r="J2528" s="75" t="inlineStr">
        <is>
          <t>V10018</t>
        </is>
      </c>
      <c r="K2528" s="75" t="inlineStr">
        <is>
          <t>R문구</t>
        </is>
      </c>
      <c r="M2528" s="9">
        <f>IF($A2528="","",VALUE($A2528&amp;"")*12+VALUE($B2528&amp;""))</f>
        <v/>
      </c>
      <c r="N2528" s="39">
        <f>IF($A2528="","",IFERROR(INDEX(부서매핑!$C$5:$C$504,MATCH($G2528&amp;"",부서매핑!$A$5:$A$504,0)),"미매핑"))</f>
        <v/>
      </c>
      <c r="O2528" s="9">
        <f>IF($A2528="","",N2528&amp;"|"&amp;$F2528)</f>
        <v/>
      </c>
      <c r="P2528" s="77">
        <f>IF($A2528="",0,$H2528*설정!$C$23)</f>
        <v/>
      </c>
      <c r="Q2528" s="39">
        <f>IF($A2528="","",IF(O2528&lt;&gt;원인분석!$C$9,"",IF(AND(M2528&gt;=원인분석!$C$10,M2528&lt;=원인분석!$C$11),"당기",IF(AND(M2528&gt;=원인분석!$C$12,M2528&lt;=원인분석!$C$13),"비교",""))))</f>
        <v/>
      </c>
      <c r="R2528" s="9">
        <f>IF(Q2528="","",$K2528&amp;"")</f>
        <v/>
      </c>
      <c r="S2528" s="9">
        <f>IF(Q2528="","",IF(MATCH(R2528,$R$5:$R$100000,0)=ROW()-4,ROW(),""))</f>
        <v/>
      </c>
      <c r="T2528" s="9">
        <f>IF(Q2528="당기",ABS(P2528)+ROW()/1000000000,"")</f>
        <v/>
      </c>
      <c r="U2528" s="9">
        <f>IF(Q2528="비교",ABS(P2528)+ROW()/1000000000,"")</f>
        <v/>
      </c>
      <c r="V2528" s="39">
        <f>IF($A2528="","",IF(COUNTIF(변동분석!$E$7:$E$506,O2528)&gt;0,"Y","N"))</f>
        <v/>
      </c>
      <c r="W2528" s="39">
        <f>IF($A2528="","",IFERROR(INDEX(계정매핑!$D$5:$D$504,MATCH($F2528&amp;"",계정매핑!$A$5:$A$504,0)),"미매핑"))</f>
        <v/>
      </c>
      <c r="X2528" s="9">
        <f>IF($A2528="","",$F2528&amp;"")</f>
        <v/>
      </c>
    </row>
    <row r="2529">
      <c r="A2529" s="75" t="n">
        <v>2026</v>
      </c>
      <c r="B2529" s="75" t="n">
        <v>1</v>
      </c>
      <c r="C2529" s="75" t="inlineStr">
        <is>
          <t>5100000185</t>
        </is>
      </c>
      <c r="D2529" s="78" t="n">
        <v>46049</v>
      </c>
      <c r="E2529" s="75" t="inlineStr">
        <is>
          <t>KR</t>
        </is>
      </c>
      <c r="F2529" s="75" t="n">
        <v>62301000</v>
      </c>
      <c r="G2529" s="75" t="n">
        <v>1701</v>
      </c>
      <c r="H2529" s="76" t="n">
        <v>121000</v>
      </c>
      <c r="I2529" s="75" t="inlineStr">
        <is>
          <t>1월 소모품 구입 - R문구</t>
        </is>
      </c>
      <c r="J2529" s="75" t="inlineStr">
        <is>
          <t>V10018</t>
        </is>
      </c>
      <c r="K2529" s="75" t="inlineStr">
        <is>
          <t>R문구</t>
        </is>
      </c>
      <c r="M2529" s="9">
        <f>IF($A2529="","",VALUE($A2529&amp;"")*12+VALUE($B2529&amp;""))</f>
        <v/>
      </c>
      <c r="N2529" s="39">
        <f>IF($A2529="","",IFERROR(INDEX(부서매핑!$C$5:$C$504,MATCH($G2529&amp;"",부서매핑!$A$5:$A$504,0)),"미매핑"))</f>
        <v/>
      </c>
      <c r="O2529" s="9">
        <f>IF($A2529="","",N2529&amp;"|"&amp;$F2529)</f>
        <v/>
      </c>
      <c r="P2529" s="77">
        <f>IF($A2529="",0,$H2529*설정!$C$23)</f>
        <v/>
      </c>
      <c r="Q2529" s="39">
        <f>IF($A2529="","",IF(O2529&lt;&gt;원인분석!$C$9,"",IF(AND(M2529&gt;=원인분석!$C$10,M2529&lt;=원인분석!$C$11),"당기",IF(AND(M2529&gt;=원인분석!$C$12,M2529&lt;=원인분석!$C$13),"비교",""))))</f>
        <v/>
      </c>
      <c r="R2529" s="9">
        <f>IF(Q2529="","",$K2529&amp;"")</f>
        <v/>
      </c>
      <c r="S2529" s="9">
        <f>IF(Q2529="","",IF(MATCH(R2529,$R$5:$R$100000,0)=ROW()-4,ROW(),""))</f>
        <v/>
      </c>
      <c r="T2529" s="9">
        <f>IF(Q2529="당기",ABS(P2529)+ROW()/1000000000,"")</f>
        <v/>
      </c>
      <c r="U2529" s="9">
        <f>IF(Q2529="비교",ABS(P2529)+ROW()/1000000000,"")</f>
        <v/>
      </c>
      <c r="V2529" s="39">
        <f>IF($A2529="","",IF(COUNTIF(변동분석!$E$7:$E$506,O2529)&gt;0,"Y","N"))</f>
        <v/>
      </c>
      <c r="W2529" s="39">
        <f>IF($A2529="","",IFERROR(INDEX(계정매핑!$D$5:$D$504,MATCH($F2529&amp;"",계정매핑!$A$5:$A$504,0)),"미매핑"))</f>
        <v/>
      </c>
      <c r="X2529" s="9">
        <f>IF($A2529="","",$F2529&amp;"")</f>
        <v/>
      </c>
    </row>
    <row r="2530">
      <c r="A2530" s="75" t="n">
        <v>2026</v>
      </c>
      <c r="B2530" s="75" t="n">
        <v>1</v>
      </c>
      <c r="C2530" s="75" t="inlineStr">
        <is>
          <t>5100000186</t>
        </is>
      </c>
      <c r="D2530" s="78" t="n">
        <v>46049</v>
      </c>
      <c r="E2530" s="75" t="inlineStr">
        <is>
          <t>KR</t>
        </is>
      </c>
      <c r="F2530" s="75" t="n">
        <v>62301000</v>
      </c>
      <c r="G2530" s="75" t="n">
        <v>1801</v>
      </c>
      <c r="H2530" s="76" t="n">
        <v>397000</v>
      </c>
      <c r="I2530" s="75" t="inlineStr">
        <is>
          <t>1월 소모품 구입 - Q오피스</t>
        </is>
      </c>
      <c r="J2530" s="75" t="inlineStr">
        <is>
          <t>V10003</t>
        </is>
      </c>
      <c r="K2530" s="75" t="inlineStr">
        <is>
          <t>Q오피스</t>
        </is>
      </c>
      <c r="M2530" s="9">
        <f>IF($A2530="","",VALUE($A2530&amp;"")*12+VALUE($B2530&amp;""))</f>
        <v/>
      </c>
      <c r="N2530" s="39">
        <f>IF($A2530="","",IFERROR(INDEX(부서매핑!$C$5:$C$504,MATCH($G2530&amp;"",부서매핑!$A$5:$A$504,0)),"미매핑"))</f>
        <v/>
      </c>
      <c r="O2530" s="9">
        <f>IF($A2530="","",N2530&amp;"|"&amp;$F2530)</f>
        <v/>
      </c>
      <c r="P2530" s="77">
        <f>IF($A2530="",0,$H2530*설정!$C$23)</f>
        <v/>
      </c>
      <c r="Q2530" s="39">
        <f>IF($A2530="","",IF(O2530&lt;&gt;원인분석!$C$9,"",IF(AND(M2530&gt;=원인분석!$C$10,M2530&lt;=원인분석!$C$11),"당기",IF(AND(M2530&gt;=원인분석!$C$12,M2530&lt;=원인분석!$C$13),"비교",""))))</f>
        <v/>
      </c>
      <c r="R2530" s="9">
        <f>IF(Q2530="","",$K2530&amp;"")</f>
        <v/>
      </c>
      <c r="S2530" s="9">
        <f>IF(Q2530="","",IF(MATCH(R2530,$R$5:$R$100000,0)=ROW()-4,ROW(),""))</f>
        <v/>
      </c>
      <c r="T2530" s="9">
        <f>IF(Q2530="당기",ABS(P2530)+ROW()/1000000000,"")</f>
        <v/>
      </c>
      <c r="U2530" s="9">
        <f>IF(Q2530="비교",ABS(P2530)+ROW()/1000000000,"")</f>
        <v/>
      </c>
      <c r="V2530" s="39">
        <f>IF($A2530="","",IF(COUNTIF(변동분석!$E$7:$E$506,O2530)&gt;0,"Y","N"))</f>
        <v/>
      </c>
      <c r="W2530" s="39">
        <f>IF($A2530="","",IFERROR(INDEX(계정매핑!$D$5:$D$504,MATCH($F2530&amp;"",계정매핑!$A$5:$A$504,0)),"미매핑"))</f>
        <v/>
      </c>
      <c r="X2530" s="9">
        <f>IF($A2530="","",$F2530&amp;"")</f>
        <v/>
      </c>
    </row>
    <row r="2531">
      <c r="A2531" s="75" t="n">
        <v>2026</v>
      </c>
      <c r="B2531" s="75" t="n">
        <v>1</v>
      </c>
      <c r="C2531" s="75" t="inlineStr">
        <is>
          <t>5100000187</t>
        </is>
      </c>
      <c r="D2531" s="78" t="n">
        <v>46049</v>
      </c>
      <c r="E2531" s="75" t="inlineStr">
        <is>
          <t>KR</t>
        </is>
      </c>
      <c r="F2531" s="75" t="n">
        <v>62301000</v>
      </c>
      <c r="G2531" s="75" t="n">
        <v>1801</v>
      </c>
      <c r="H2531" s="76" t="n">
        <v>213000</v>
      </c>
      <c r="I2531" s="75" t="inlineStr">
        <is>
          <t>1월 소모품 구입 - R문구</t>
        </is>
      </c>
      <c r="J2531" s="75" t="inlineStr">
        <is>
          <t>V10018</t>
        </is>
      </c>
      <c r="K2531" s="75" t="inlineStr">
        <is>
          <t>R문구</t>
        </is>
      </c>
      <c r="M2531" s="9">
        <f>IF($A2531="","",VALUE($A2531&amp;"")*12+VALUE($B2531&amp;""))</f>
        <v/>
      </c>
      <c r="N2531" s="39">
        <f>IF($A2531="","",IFERROR(INDEX(부서매핑!$C$5:$C$504,MATCH($G2531&amp;"",부서매핑!$A$5:$A$504,0)),"미매핑"))</f>
        <v/>
      </c>
      <c r="O2531" s="9">
        <f>IF($A2531="","",N2531&amp;"|"&amp;$F2531)</f>
        <v/>
      </c>
      <c r="P2531" s="77">
        <f>IF($A2531="",0,$H2531*설정!$C$23)</f>
        <v/>
      </c>
      <c r="Q2531" s="39">
        <f>IF($A2531="","",IF(O2531&lt;&gt;원인분석!$C$9,"",IF(AND(M2531&gt;=원인분석!$C$10,M2531&lt;=원인분석!$C$11),"당기",IF(AND(M2531&gt;=원인분석!$C$12,M2531&lt;=원인분석!$C$13),"비교",""))))</f>
        <v/>
      </c>
      <c r="R2531" s="9">
        <f>IF(Q2531="","",$K2531&amp;"")</f>
        <v/>
      </c>
      <c r="S2531" s="9">
        <f>IF(Q2531="","",IF(MATCH(R2531,$R$5:$R$100000,0)=ROW()-4,ROW(),""))</f>
        <v/>
      </c>
      <c r="T2531" s="9">
        <f>IF(Q2531="당기",ABS(P2531)+ROW()/1000000000,"")</f>
        <v/>
      </c>
      <c r="U2531" s="9">
        <f>IF(Q2531="비교",ABS(P2531)+ROW()/1000000000,"")</f>
        <v/>
      </c>
      <c r="V2531" s="39">
        <f>IF($A2531="","",IF(COUNTIF(변동분석!$E$7:$E$506,O2531)&gt;0,"Y","N"))</f>
        <v/>
      </c>
      <c r="W2531" s="39">
        <f>IF($A2531="","",IFERROR(INDEX(계정매핑!$D$5:$D$504,MATCH($F2531&amp;"",계정매핑!$A$5:$A$504,0)),"미매핑"))</f>
        <v/>
      </c>
      <c r="X2531" s="9">
        <f>IF($A2531="","",$F2531&amp;"")</f>
        <v/>
      </c>
    </row>
    <row r="2532">
      <c r="A2532" s="75" t="n">
        <v>2026</v>
      </c>
      <c r="B2532" s="75" t="n">
        <v>1</v>
      </c>
      <c r="C2532" s="75" t="inlineStr">
        <is>
          <t>5100000188</t>
        </is>
      </c>
      <c r="D2532" s="78" t="n">
        <v>46049</v>
      </c>
      <c r="E2532" s="75" t="inlineStr">
        <is>
          <t>KR</t>
        </is>
      </c>
      <c r="F2532" s="75" t="n">
        <v>62401000</v>
      </c>
      <c r="G2532" s="75" t="n">
        <v>1401</v>
      </c>
      <c r="H2532" s="76" t="n">
        <v>228000</v>
      </c>
      <c r="I2532" s="75" t="inlineStr">
        <is>
          <t>1월 인쇄물 제작 - S출판</t>
        </is>
      </c>
      <c r="J2532" s="75" t="inlineStr">
        <is>
          <t>V10012</t>
        </is>
      </c>
      <c r="K2532" s="75" t="inlineStr">
        <is>
          <t>S출판</t>
        </is>
      </c>
      <c r="M2532" s="9">
        <f>IF($A2532="","",VALUE($A2532&amp;"")*12+VALUE($B2532&amp;""))</f>
        <v/>
      </c>
      <c r="N2532" s="39">
        <f>IF($A2532="","",IFERROR(INDEX(부서매핑!$C$5:$C$504,MATCH($G2532&amp;"",부서매핑!$A$5:$A$504,0)),"미매핑"))</f>
        <v/>
      </c>
      <c r="O2532" s="9">
        <f>IF($A2532="","",N2532&amp;"|"&amp;$F2532)</f>
        <v/>
      </c>
      <c r="P2532" s="77">
        <f>IF($A2532="",0,$H2532*설정!$C$23)</f>
        <v/>
      </c>
      <c r="Q2532" s="39">
        <f>IF($A2532="","",IF(O2532&lt;&gt;원인분석!$C$9,"",IF(AND(M2532&gt;=원인분석!$C$10,M2532&lt;=원인분석!$C$11),"당기",IF(AND(M2532&gt;=원인분석!$C$12,M2532&lt;=원인분석!$C$13),"비교",""))))</f>
        <v/>
      </c>
      <c r="R2532" s="9">
        <f>IF(Q2532="","",$K2532&amp;"")</f>
        <v/>
      </c>
      <c r="S2532" s="9">
        <f>IF(Q2532="","",IF(MATCH(R2532,$R$5:$R$100000,0)=ROW()-4,ROW(),""))</f>
        <v/>
      </c>
      <c r="T2532" s="9">
        <f>IF(Q2532="당기",ABS(P2532)+ROW()/1000000000,"")</f>
        <v/>
      </c>
      <c r="U2532" s="9">
        <f>IF(Q2532="비교",ABS(P2532)+ROW()/1000000000,"")</f>
        <v/>
      </c>
      <c r="V2532" s="39">
        <f>IF($A2532="","",IF(COUNTIF(변동분석!$E$7:$E$506,O2532)&gt;0,"Y","N"))</f>
        <v/>
      </c>
      <c r="W2532" s="39">
        <f>IF($A2532="","",IFERROR(INDEX(계정매핑!$D$5:$D$504,MATCH($F2532&amp;"",계정매핑!$A$5:$A$504,0)),"미매핑"))</f>
        <v/>
      </c>
      <c r="X2532" s="9">
        <f>IF($A2532="","",$F2532&amp;"")</f>
        <v/>
      </c>
    </row>
    <row r="2533">
      <c r="A2533" s="75" t="n">
        <v>2026</v>
      </c>
      <c r="B2533" s="75" t="n">
        <v>1</v>
      </c>
      <c r="C2533" s="75" t="inlineStr">
        <is>
          <t>5100000189</t>
        </is>
      </c>
      <c r="D2533" s="78" t="n">
        <v>46049</v>
      </c>
      <c r="E2533" s="75" t="inlineStr">
        <is>
          <t>KR</t>
        </is>
      </c>
      <c r="F2533" s="75" t="n">
        <v>62501000</v>
      </c>
      <c r="G2533" s="75" t="n">
        <v>1501</v>
      </c>
      <c r="H2533" s="76" t="n">
        <v>545000</v>
      </c>
      <c r="I2533" s="75" t="inlineStr">
        <is>
          <t>1월 회의 다과 - (법인카드)</t>
        </is>
      </c>
      <c r="J2533" s="75" t="inlineStr">
        <is>
          <t>V10008</t>
        </is>
      </c>
      <c r="K2533" s="75" t="inlineStr">
        <is>
          <t>(법인카드)</t>
        </is>
      </c>
      <c r="M2533" s="9">
        <f>IF($A2533="","",VALUE($A2533&amp;"")*12+VALUE($B2533&amp;""))</f>
        <v/>
      </c>
      <c r="N2533" s="39">
        <f>IF($A2533="","",IFERROR(INDEX(부서매핑!$C$5:$C$504,MATCH($G2533&amp;"",부서매핑!$A$5:$A$504,0)),"미매핑"))</f>
        <v/>
      </c>
      <c r="O2533" s="9">
        <f>IF($A2533="","",N2533&amp;"|"&amp;$F2533)</f>
        <v/>
      </c>
      <c r="P2533" s="77">
        <f>IF($A2533="",0,$H2533*설정!$C$23)</f>
        <v/>
      </c>
      <c r="Q2533" s="39">
        <f>IF($A2533="","",IF(O2533&lt;&gt;원인분석!$C$9,"",IF(AND(M2533&gt;=원인분석!$C$10,M2533&lt;=원인분석!$C$11),"당기",IF(AND(M2533&gt;=원인분석!$C$12,M2533&lt;=원인분석!$C$13),"비교",""))))</f>
        <v/>
      </c>
      <c r="R2533" s="9">
        <f>IF(Q2533="","",$K2533&amp;"")</f>
        <v/>
      </c>
      <c r="S2533" s="9">
        <f>IF(Q2533="","",IF(MATCH(R2533,$R$5:$R$100000,0)=ROW()-4,ROW(),""))</f>
        <v/>
      </c>
      <c r="T2533" s="9">
        <f>IF(Q2533="당기",ABS(P2533)+ROW()/1000000000,"")</f>
        <v/>
      </c>
      <c r="U2533" s="9">
        <f>IF(Q2533="비교",ABS(P2533)+ROW()/1000000000,"")</f>
        <v/>
      </c>
      <c r="V2533" s="39">
        <f>IF($A2533="","",IF(COUNTIF(변동분석!$E$7:$E$506,O2533)&gt;0,"Y","N"))</f>
        <v/>
      </c>
      <c r="W2533" s="39">
        <f>IF($A2533="","",IFERROR(INDEX(계정매핑!$D$5:$D$504,MATCH($F2533&amp;"",계정매핑!$A$5:$A$504,0)),"미매핑"))</f>
        <v/>
      </c>
      <c r="X2533" s="9">
        <f>IF($A2533="","",$F2533&amp;"")</f>
        <v/>
      </c>
    </row>
    <row r="2534">
      <c r="A2534" s="75" t="n">
        <v>2026</v>
      </c>
      <c r="B2534" s="75" t="n">
        <v>1</v>
      </c>
      <c r="C2534" s="75" t="inlineStr">
        <is>
          <t>5100000190</t>
        </is>
      </c>
      <c r="D2534" s="78" t="n">
        <v>46049</v>
      </c>
      <c r="E2534" s="75" t="inlineStr">
        <is>
          <t>KR</t>
        </is>
      </c>
      <c r="F2534" s="75" t="n">
        <v>62601000</v>
      </c>
      <c r="G2534" s="75" t="n">
        <v>1301</v>
      </c>
      <c r="H2534" s="76" t="n">
        <v>856000</v>
      </c>
      <c r="I2534" s="75" t="inlineStr">
        <is>
          <t>1월 업무추진 - (법인카드)</t>
        </is>
      </c>
      <c r="J2534" s="75" t="inlineStr">
        <is>
          <t>V10008</t>
        </is>
      </c>
      <c r="K2534" s="75" t="inlineStr">
        <is>
          <t>(법인카드)</t>
        </is>
      </c>
      <c r="M2534" s="9">
        <f>IF($A2534="","",VALUE($A2534&amp;"")*12+VALUE($B2534&amp;""))</f>
        <v/>
      </c>
      <c r="N2534" s="39">
        <f>IF($A2534="","",IFERROR(INDEX(부서매핑!$C$5:$C$504,MATCH($G2534&amp;"",부서매핑!$A$5:$A$504,0)),"미매핑"))</f>
        <v/>
      </c>
      <c r="O2534" s="9">
        <f>IF($A2534="","",N2534&amp;"|"&amp;$F2534)</f>
        <v/>
      </c>
      <c r="P2534" s="77">
        <f>IF($A2534="",0,$H2534*설정!$C$23)</f>
        <v/>
      </c>
      <c r="Q2534" s="39">
        <f>IF($A2534="","",IF(O2534&lt;&gt;원인분석!$C$9,"",IF(AND(M2534&gt;=원인분석!$C$10,M2534&lt;=원인분석!$C$11),"당기",IF(AND(M2534&gt;=원인분석!$C$12,M2534&lt;=원인분석!$C$13),"비교",""))))</f>
        <v/>
      </c>
      <c r="R2534" s="9">
        <f>IF(Q2534="","",$K2534&amp;"")</f>
        <v/>
      </c>
      <c r="S2534" s="9">
        <f>IF(Q2534="","",IF(MATCH(R2534,$R$5:$R$100000,0)=ROW()-4,ROW(),""))</f>
        <v/>
      </c>
      <c r="T2534" s="9">
        <f>IF(Q2534="당기",ABS(P2534)+ROW()/1000000000,"")</f>
        <v/>
      </c>
      <c r="U2534" s="9">
        <f>IF(Q2534="비교",ABS(P2534)+ROW()/1000000000,"")</f>
        <v/>
      </c>
      <c r="V2534" s="39">
        <f>IF($A2534="","",IF(COUNTIF(변동분석!$E$7:$E$506,O2534)&gt;0,"Y","N"))</f>
        <v/>
      </c>
      <c r="W2534" s="39">
        <f>IF($A2534="","",IFERROR(INDEX(계정매핑!$D$5:$D$504,MATCH($F2534&amp;"",계정매핑!$A$5:$A$504,0)),"미매핑"))</f>
        <v/>
      </c>
      <c r="X2534" s="9">
        <f>IF($A2534="","",$F2534&amp;"")</f>
        <v/>
      </c>
    </row>
    <row r="2535">
      <c r="A2535" s="75" t="n">
        <v>2026</v>
      </c>
      <c r="B2535" s="75" t="n">
        <v>1</v>
      </c>
      <c r="C2535" s="75" t="inlineStr">
        <is>
          <t>5100000191</t>
        </is>
      </c>
      <c r="D2535" s="78" t="n">
        <v>46049</v>
      </c>
      <c r="E2535" s="75" t="inlineStr">
        <is>
          <t>KR</t>
        </is>
      </c>
      <c r="F2535" s="75" t="n">
        <v>62901000</v>
      </c>
      <c r="G2535" s="75" t="n">
        <v>1101</v>
      </c>
      <c r="H2535" s="76" t="n">
        <v>2221000</v>
      </c>
      <c r="I2535" s="75" t="inlineStr">
        <is>
          <t>1월 자문 수수료 - W컨설팅</t>
        </is>
      </c>
      <c r="J2535" s="75" t="inlineStr">
        <is>
          <t>V10009</t>
        </is>
      </c>
      <c r="K2535" s="75" t="inlineStr">
        <is>
          <t>W컨설팅</t>
        </is>
      </c>
      <c r="M2535" s="9">
        <f>IF($A2535="","",VALUE($A2535&amp;"")*12+VALUE($B2535&amp;""))</f>
        <v/>
      </c>
      <c r="N2535" s="39">
        <f>IF($A2535="","",IFERROR(INDEX(부서매핑!$C$5:$C$504,MATCH($G2535&amp;"",부서매핑!$A$5:$A$504,0)),"미매핑"))</f>
        <v/>
      </c>
      <c r="O2535" s="9">
        <f>IF($A2535="","",N2535&amp;"|"&amp;$F2535)</f>
        <v/>
      </c>
      <c r="P2535" s="77">
        <f>IF($A2535="",0,$H2535*설정!$C$23)</f>
        <v/>
      </c>
      <c r="Q2535" s="39">
        <f>IF($A2535="","",IF(O2535&lt;&gt;원인분석!$C$9,"",IF(AND(M2535&gt;=원인분석!$C$10,M2535&lt;=원인분석!$C$11),"당기",IF(AND(M2535&gt;=원인분석!$C$12,M2535&lt;=원인분석!$C$13),"비교",""))))</f>
        <v/>
      </c>
      <c r="R2535" s="9">
        <f>IF(Q2535="","",$K2535&amp;"")</f>
        <v/>
      </c>
      <c r="S2535" s="9">
        <f>IF(Q2535="","",IF(MATCH(R2535,$R$5:$R$100000,0)=ROW()-4,ROW(),""))</f>
        <v/>
      </c>
      <c r="T2535" s="9">
        <f>IF(Q2535="당기",ABS(P2535)+ROW()/1000000000,"")</f>
        <v/>
      </c>
      <c r="U2535" s="9">
        <f>IF(Q2535="비교",ABS(P2535)+ROW()/1000000000,"")</f>
        <v/>
      </c>
      <c r="V2535" s="39">
        <f>IF($A2535="","",IF(COUNTIF(변동분석!$E$7:$E$506,O2535)&gt;0,"Y","N"))</f>
        <v/>
      </c>
      <c r="W2535" s="39">
        <f>IF($A2535="","",IFERROR(INDEX(계정매핑!$D$5:$D$504,MATCH($F2535&amp;"",계정매핑!$A$5:$A$504,0)),"미매핑"))</f>
        <v/>
      </c>
      <c r="X2535" s="9">
        <f>IF($A2535="","",$F2535&amp;"")</f>
        <v/>
      </c>
    </row>
    <row r="2536">
      <c r="A2536" s="75" t="n">
        <v>2026</v>
      </c>
      <c r="B2536" s="75" t="n">
        <v>1</v>
      </c>
      <c r="C2536" s="75" t="inlineStr">
        <is>
          <t>5100000192</t>
        </is>
      </c>
      <c r="D2536" s="78" t="n">
        <v>46049</v>
      </c>
      <c r="E2536" s="75" t="inlineStr">
        <is>
          <t>KR</t>
        </is>
      </c>
      <c r="F2536" s="75" t="n">
        <v>62902000</v>
      </c>
      <c r="G2536" s="75" t="n">
        <v>1201</v>
      </c>
      <c r="H2536" s="76" t="n">
        <v>4237000</v>
      </c>
      <c r="I2536" s="75" t="inlineStr">
        <is>
          <t>1월 업무 위탁 수수료 - X서비스</t>
        </is>
      </c>
      <c r="J2536" s="75" t="inlineStr">
        <is>
          <t>V10016</t>
        </is>
      </c>
      <c r="K2536" s="75" t="inlineStr">
        <is>
          <t>X서비스</t>
        </is>
      </c>
      <c r="M2536" s="9">
        <f>IF($A2536="","",VALUE($A2536&amp;"")*12+VALUE($B2536&amp;""))</f>
        <v/>
      </c>
      <c r="N2536" s="39">
        <f>IF($A2536="","",IFERROR(INDEX(부서매핑!$C$5:$C$504,MATCH($G2536&amp;"",부서매핑!$A$5:$A$504,0)),"미매핑"))</f>
        <v/>
      </c>
      <c r="O2536" s="9">
        <f>IF($A2536="","",N2536&amp;"|"&amp;$F2536)</f>
        <v/>
      </c>
      <c r="P2536" s="77">
        <f>IF($A2536="",0,$H2536*설정!$C$23)</f>
        <v/>
      </c>
      <c r="Q2536" s="39">
        <f>IF($A2536="","",IF(O2536&lt;&gt;원인분석!$C$9,"",IF(AND(M2536&gt;=원인분석!$C$10,M2536&lt;=원인분석!$C$11),"당기",IF(AND(M2536&gt;=원인분석!$C$12,M2536&lt;=원인분석!$C$13),"비교",""))))</f>
        <v/>
      </c>
      <c r="R2536" s="9">
        <f>IF(Q2536="","",$K2536&amp;"")</f>
        <v/>
      </c>
      <c r="S2536" s="9">
        <f>IF(Q2536="","",IF(MATCH(R2536,$R$5:$R$100000,0)=ROW()-4,ROW(),""))</f>
        <v/>
      </c>
      <c r="T2536" s="9">
        <f>IF(Q2536="당기",ABS(P2536)+ROW()/1000000000,"")</f>
        <v/>
      </c>
      <c r="U2536" s="9">
        <f>IF(Q2536="비교",ABS(P2536)+ROW()/1000000000,"")</f>
        <v/>
      </c>
      <c r="V2536" s="39">
        <f>IF($A2536="","",IF(COUNTIF(변동분석!$E$7:$E$506,O2536)&gt;0,"Y","N"))</f>
        <v/>
      </c>
      <c r="W2536" s="39">
        <f>IF($A2536="","",IFERROR(INDEX(계정매핑!$D$5:$D$504,MATCH($F2536&amp;"",계정매핑!$A$5:$A$504,0)),"미매핑"))</f>
        <v/>
      </c>
      <c r="X2536" s="9">
        <f>IF($A2536="","",$F2536&amp;"")</f>
        <v/>
      </c>
    </row>
    <row r="2537">
      <c r="A2537" s="75" t="n">
        <v>2026</v>
      </c>
      <c r="B2537" s="75" t="n">
        <v>1</v>
      </c>
      <c r="C2537" s="75" t="inlineStr">
        <is>
          <t>5100000193</t>
        </is>
      </c>
      <c r="D2537" s="78" t="n">
        <v>46049</v>
      </c>
      <c r="E2537" s="75" t="inlineStr">
        <is>
          <t>KR</t>
        </is>
      </c>
      <c r="F2537" s="75" t="n">
        <v>62902000</v>
      </c>
      <c r="G2537" s="75" t="n">
        <v>1801</v>
      </c>
      <c r="H2537" s="76" t="n">
        <v>1836000</v>
      </c>
      <c r="I2537" s="75" t="inlineStr">
        <is>
          <t>1월 콜 위탁 수수료(건별)</t>
        </is>
      </c>
      <c r="J2537" s="75" t="inlineStr">
        <is>
          <t>V10013</t>
        </is>
      </c>
      <c r="K2537" s="75" t="inlineStr">
        <is>
          <t>J콜센터</t>
        </is>
      </c>
      <c r="M2537" s="9">
        <f>IF($A2537="","",VALUE($A2537&amp;"")*12+VALUE($B2537&amp;""))</f>
        <v/>
      </c>
      <c r="N2537" s="39">
        <f>IF($A2537="","",IFERROR(INDEX(부서매핑!$C$5:$C$504,MATCH($G2537&amp;"",부서매핑!$A$5:$A$504,0)),"미매핑"))</f>
        <v/>
      </c>
      <c r="O2537" s="9">
        <f>IF($A2537="","",N2537&amp;"|"&amp;$F2537)</f>
        <v/>
      </c>
      <c r="P2537" s="77">
        <f>IF($A2537="",0,$H2537*설정!$C$23)</f>
        <v/>
      </c>
      <c r="Q2537" s="39">
        <f>IF($A2537="","",IF(O2537&lt;&gt;원인분석!$C$9,"",IF(AND(M2537&gt;=원인분석!$C$10,M2537&lt;=원인분석!$C$11),"당기",IF(AND(M2537&gt;=원인분석!$C$12,M2537&lt;=원인분석!$C$13),"비교",""))))</f>
        <v/>
      </c>
      <c r="R2537" s="9">
        <f>IF(Q2537="","",$K2537&amp;"")</f>
        <v/>
      </c>
      <c r="S2537" s="9">
        <f>IF(Q2537="","",IF(MATCH(R2537,$R$5:$R$100000,0)=ROW()-4,ROW(),""))</f>
        <v/>
      </c>
      <c r="T2537" s="9">
        <f>IF(Q2537="당기",ABS(P2537)+ROW()/1000000000,"")</f>
        <v/>
      </c>
      <c r="U2537" s="9">
        <f>IF(Q2537="비교",ABS(P2537)+ROW()/1000000000,"")</f>
        <v/>
      </c>
      <c r="V2537" s="39">
        <f>IF($A2537="","",IF(COUNTIF(변동분석!$E$7:$E$506,O2537)&gt;0,"Y","N"))</f>
        <v/>
      </c>
      <c r="W2537" s="39">
        <f>IF($A2537="","",IFERROR(INDEX(계정매핑!$D$5:$D$504,MATCH($F2537&amp;"",계정매핑!$A$5:$A$504,0)),"미매핑"))</f>
        <v/>
      </c>
      <c r="X2537" s="9">
        <f>IF($A2537="","",$F2537&amp;"")</f>
        <v/>
      </c>
    </row>
    <row r="2538">
      <c r="A2538" s="75" t="n">
        <v>2026</v>
      </c>
      <c r="B2538" s="75" t="n">
        <v>2</v>
      </c>
      <c r="C2538" s="75" t="inlineStr">
        <is>
          <t>5100000194</t>
        </is>
      </c>
      <c r="D2538" s="78" t="n">
        <v>46055</v>
      </c>
      <c r="E2538" s="75" t="inlineStr">
        <is>
          <t>KR</t>
        </is>
      </c>
      <c r="F2538" s="75" t="n">
        <v>62101000</v>
      </c>
      <c r="G2538" s="75" t="n">
        <v>1501</v>
      </c>
      <c r="H2538" s="76" t="n">
        <v>663000</v>
      </c>
      <c r="I2538" s="75" t="inlineStr">
        <is>
          <t>2월 국내출장 - (법인카드)</t>
        </is>
      </c>
      <c r="J2538" s="75" t="inlineStr">
        <is>
          <t>V10008</t>
        </is>
      </c>
      <c r="K2538" s="75" t="inlineStr">
        <is>
          <t>(법인카드)</t>
        </is>
      </c>
      <c r="M2538" s="9">
        <f>IF($A2538="","",VALUE($A2538&amp;"")*12+VALUE($B2538&amp;""))</f>
        <v/>
      </c>
      <c r="N2538" s="39">
        <f>IF($A2538="","",IFERROR(INDEX(부서매핑!$C$5:$C$504,MATCH($G2538&amp;"",부서매핑!$A$5:$A$504,0)),"미매핑"))</f>
        <v/>
      </c>
      <c r="O2538" s="9">
        <f>IF($A2538="","",N2538&amp;"|"&amp;$F2538)</f>
        <v/>
      </c>
      <c r="P2538" s="77">
        <f>IF($A2538="",0,$H2538*설정!$C$23)</f>
        <v/>
      </c>
      <c r="Q2538" s="39">
        <f>IF($A2538="","",IF(O2538&lt;&gt;원인분석!$C$9,"",IF(AND(M2538&gt;=원인분석!$C$10,M2538&lt;=원인분석!$C$11),"당기",IF(AND(M2538&gt;=원인분석!$C$12,M2538&lt;=원인분석!$C$13),"비교",""))))</f>
        <v/>
      </c>
      <c r="R2538" s="9">
        <f>IF(Q2538="","",$K2538&amp;"")</f>
        <v/>
      </c>
      <c r="S2538" s="9">
        <f>IF(Q2538="","",IF(MATCH(R2538,$R$5:$R$100000,0)=ROW()-4,ROW(),""))</f>
        <v/>
      </c>
      <c r="T2538" s="9">
        <f>IF(Q2538="당기",ABS(P2538)+ROW()/1000000000,"")</f>
        <v/>
      </c>
      <c r="U2538" s="9">
        <f>IF(Q2538="비교",ABS(P2538)+ROW()/1000000000,"")</f>
        <v/>
      </c>
      <c r="V2538" s="39">
        <f>IF($A2538="","",IF(COUNTIF(변동분석!$E$7:$E$506,O2538)&gt;0,"Y","N"))</f>
        <v/>
      </c>
      <c r="W2538" s="39">
        <f>IF($A2538="","",IFERROR(INDEX(계정매핑!$D$5:$D$504,MATCH($F2538&amp;"",계정매핑!$A$5:$A$504,0)),"미매핑"))</f>
        <v/>
      </c>
      <c r="X2538" s="9">
        <f>IF($A2538="","",$F2538&amp;"")</f>
        <v/>
      </c>
    </row>
    <row r="2539">
      <c r="A2539" s="75" t="n">
        <v>2026</v>
      </c>
      <c r="B2539" s="75" t="n">
        <v>2</v>
      </c>
      <c r="C2539" s="75" t="inlineStr">
        <is>
          <t>5100000195</t>
        </is>
      </c>
      <c r="D2539" s="78" t="n">
        <v>46055</v>
      </c>
      <c r="E2539" s="75" t="inlineStr">
        <is>
          <t>KR</t>
        </is>
      </c>
      <c r="F2539" s="75" t="n">
        <v>62102000</v>
      </c>
      <c r="G2539" s="75" t="n">
        <v>1602</v>
      </c>
      <c r="H2539" s="76" t="n">
        <v>381000</v>
      </c>
      <c r="I2539" s="75" t="inlineStr">
        <is>
          <t>2월 해외출장 - M항공</t>
        </is>
      </c>
      <c r="J2539" s="75" t="inlineStr">
        <is>
          <t>V10001</t>
        </is>
      </c>
      <c r="K2539" s="75" t="inlineStr">
        <is>
          <t>M항공</t>
        </is>
      </c>
      <c r="M2539" s="9">
        <f>IF($A2539="","",VALUE($A2539&amp;"")*12+VALUE($B2539&amp;""))</f>
        <v/>
      </c>
      <c r="N2539" s="39">
        <f>IF($A2539="","",IFERROR(INDEX(부서매핑!$C$5:$C$504,MATCH($G2539&amp;"",부서매핑!$A$5:$A$504,0)),"미매핑"))</f>
        <v/>
      </c>
      <c r="O2539" s="9">
        <f>IF($A2539="","",N2539&amp;"|"&amp;$F2539)</f>
        <v/>
      </c>
      <c r="P2539" s="77">
        <f>IF($A2539="",0,$H2539*설정!$C$23)</f>
        <v/>
      </c>
      <c r="Q2539" s="39">
        <f>IF($A2539="","",IF(O2539&lt;&gt;원인분석!$C$9,"",IF(AND(M2539&gt;=원인분석!$C$10,M2539&lt;=원인분석!$C$11),"당기",IF(AND(M2539&gt;=원인분석!$C$12,M2539&lt;=원인분석!$C$13),"비교",""))))</f>
        <v/>
      </c>
      <c r="R2539" s="9">
        <f>IF(Q2539="","",$K2539&amp;"")</f>
        <v/>
      </c>
      <c r="S2539" s="9">
        <f>IF(Q2539="","",IF(MATCH(R2539,$R$5:$R$100000,0)=ROW()-4,ROW(),""))</f>
        <v/>
      </c>
      <c r="T2539" s="9">
        <f>IF(Q2539="당기",ABS(P2539)+ROW()/1000000000,"")</f>
        <v/>
      </c>
      <c r="U2539" s="9">
        <f>IF(Q2539="비교",ABS(P2539)+ROW()/1000000000,"")</f>
        <v/>
      </c>
      <c r="V2539" s="39">
        <f>IF($A2539="","",IF(COUNTIF(변동분석!$E$7:$E$506,O2539)&gt;0,"Y","N"))</f>
        <v/>
      </c>
      <c r="W2539" s="39">
        <f>IF($A2539="","",IFERROR(INDEX(계정매핑!$D$5:$D$504,MATCH($F2539&amp;"",계정매핑!$A$5:$A$504,0)),"미매핑"))</f>
        <v/>
      </c>
      <c r="X2539" s="9">
        <f>IF($A2539="","",$F2539&amp;"")</f>
        <v/>
      </c>
    </row>
    <row r="2540">
      <c r="A2540" s="75" t="n">
        <v>2026</v>
      </c>
      <c r="B2540" s="75" t="n">
        <v>2</v>
      </c>
      <c r="C2540" s="75" t="inlineStr">
        <is>
          <t>5100000196</t>
        </is>
      </c>
      <c r="D2540" s="78" t="n">
        <v>46055</v>
      </c>
      <c r="E2540" s="75" t="inlineStr">
        <is>
          <t>KR</t>
        </is>
      </c>
      <c r="F2540" s="75" t="n">
        <v>62301000</v>
      </c>
      <c r="G2540" s="75" t="n">
        <v>1801</v>
      </c>
      <c r="H2540" s="76" t="n">
        <v>412000</v>
      </c>
      <c r="I2540" s="75" t="inlineStr">
        <is>
          <t>2월 소모품 구입 - Q오피스</t>
        </is>
      </c>
      <c r="J2540" s="75" t="inlineStr">
        <is>
          <t>V10003</t>
        </is>
      </c>
      <c r="K2540" s="75" t="inlineStr">
        <is>
          <t>Q오피스</t>
        </is>
      </c>
      <c r="M2540" s="9">
        <f>IF($A2540="","",VALUE($A2540&amp;"")*12+VALUE($B2540&amp;""))</f>
        <v/>
      </c>
      <c r="N2540" s="39">
        <f>IF($A2540="","",IFERROR(INDEX(부서매핑!$C$5:$C$504,MATCH($G2540&amp;"",부서매핑!$A$5:$A$504,0)),"미매핑"))</f>
        <v/>
      </c>
      <c r="O2540" s="9">
        <f>IF($A2540="","",N2540&amp;"|"&amp;$F2540)</f>
        <v/>
      </c>
      <c r="P2540" s="77">
        <f>IF($A2540="",0,$H2540*설정!$C$23)</f>
        <v/>
      </c>
      <c r="Q2540" s="39">
        <f>IF($A2540="","",IF(O2540&lt;&gt;원인분석!$C$9,"",IF(AND(M2540&gt;=원인분석!$C$10,M2540&lt;=원인분석!$C$11),"당기",IF(AND(M2540&gt;=원인분석!$C$12,M2540&lt;=원인분석!$C$13),"비교",""))))</f>
        <v/>
      </c>
      <c r="R2540" s="9">
        <f>IF(Q2540="","",$K2540&amp;"")</f>
        <v/>
      </c>
      <c r="S2540" s="9">
        <f>IF(Q2540="","",IF(MATCH(R2540,$R$5:$R$100000,0)=ROW()-4,ROW(),""))</f>
        <v/>
      </c>
      <c r="T2540" s="9">
        <f>IF(Q2540="당기",ABS(P2540)+ROW()/1000000000,"")</f>
        <v/>
      </c>
      <c r="U2540" s="9">
        <f>IF(Q2540="비교",ABS(P2540)+ROW()/1000000000,"")</f>
        <v/>
      </c>
      <c r="V2540" s="39">
        <f>IF($A2540="","",IF(COUNTIF(변동분석!$E$7:$E$506,O2540)&gt;0,"Y","N"))</f>
        <v/>
      </c>
      <c r="W2540" s="39">
        <f>IF($A2540="","",IFERROR(INDEX(계정매핑!$D$5:$D$504,MATCH($F2540&amp;"",계정매핑!$A$5:$A$504,0)),"미매핑"))</f>
        <v/>
      </c>
      <c r="X2540" s="9">
        <f>IF($A2540="","",$F2540&amp;"")</f>
        <v/>
      </c>
    </row>
    <row r="2541">
      <c r="A2541" s="75" t="n">
        <v>2026</v>
      </c>
      <c r="B2541" s="75" t="n">
        <v>2</v>
      </c>
      <c r="C2541" s="75" t="inlineStr">
        <is>
          <t>5100000197</t>
        </is>
      </c>
      <c r="D2541" s="78" t="n">
        <v>46055</v>
      </c>
      <c r="E2541" s="75" t="inlineStr">
        <is>
          <t>KR</t>
        </is>
      </c>
      <c r="F2541" s="75" t="n">
        <v>62401000</v>
      </c>
      <c r="G2541" s="75" t="n">
        <v>1501</v>
      </c>
      <c r="H2541" s="76" t="n">
        <v>3007000</v>
      </c>
      <c r="I2541" s="75" t="inlineStr">
        <is>
          <t>2월 인쇄물 제작 - S출판</t>
        </is>
      </c>
      <c r="J2541" s="75" t="inlineStr">
        <is>
          <t>V10012</t>
        </is>
      </c>
      <c r="K2541" s="75" t="inlineStr">
        <is>
          <t>S출판</t>
        </is>
      </c>
      <c r="M2541" s="9">
        <f>IF($A2541="","",VALUE($A2541&amp;"")*12+VALUE($B2541&amp;""))</f>
        <v/>
      </c>
      <c r="N2541" s="39">
        <f>IF($A2541="","",IFERROR(INDEX(부서매핑!$C$5:$C$504,MATCH($G2541&amp;"",부서매핑!$A$5:$A$504,0)),"미매핑"))</f>
        <v/>
      </c>
      <c r="O2541" s="9">
        <f>IF($A2541="","",N2541&amp;"|"&amp;$F2541)</f>
        <v/>
      </c>
      <c r="P2541" s="77">
        <f>IF($A2541="",0,$H2541*설정!$C$23)</f>
        <v/>
      </c>
      <c r="Q2541" s="39">
        <f>IF($A2541="","",IF(O2541&lt;&gt;원인분석!$C$9,"",IF(AND(M2541&gt;=원인분석!$C$10,M2541&lt;=원인분석!$C$11),"당기",IF(AND(M2541&gt;=원인분석!$C$12,M2541&lt;=원인분석!$C$13),"비교",""))))</f>
        <v/>
      </c>
      <c r="R2541" s="9">
        <f>IF(Q2541="","",$K2541&amp;"")</f>
        <v/>
      </c>
      <c r="S2541" s="9">
        <f>IF(Q2541="","",IF(MATCH(R2541,$R$5:$R$100000,0)=ROW()-4,ROW(),""))</f>
        <v/>
      </c>
      <c r="T2541" s="9">
        <f>IF(Q2541="당기",ABS(P2541)+ROW()/1000000000,"")</f>
        <v/>
      </c>
      <c r="U2541" s="9">
        <f>IF(Q2541="비교",ABS(P2541)+ROW()/1000000000,"")</f>
        <v/>
      </c>
      <c r="V2541" s="39">
        <f>IF($A2541="","",IF(COUNTIF(변동분석!$E$7:$E$506,O2541)&gt;0,"Y","N"))</f>
        <v/>
      </c>
      <c r="W2541" s="39">
        <f>IF($A2541="","",IFERROR(INDEX(계정매핑!$D$5:$D$504,MATCH($F2541&amp;"",계정매핑!$A$5:$A$504,0)),"미매핑"))</f>
        <v/>
      </c>
      <c r="X2541" s="9">
        <f>IF($A2541="","",$F2541&amp;"")</f>
        <v/>
      </c>
    </row>
    <row r="2542">
      <c r="A2542" s="75" t="n">
        <v>2026</v>
      </c>
      <c r="B2542" s="75" t="n">
        <v>2</v>
      </c>
      <c r="C2542" s="75" t="inlineStr">
        <is>
          <t>5100000198</t>
        </is>
      </c>
      <c r="D2542" s="78" t="n">
        <v>46055</v>
      </c>
      <c r="E2542" s="75" t="inlineStr">
        <is>
          <t>KR</t>
        </is>
      </c>
      <c r="F2542" s="75" t="n">
        <v>62501000</v>
      </c>
      <c r="G2542" s="75" t="n">
        <v>1401</v>
      </c>
      <c r="H2542" s="76" t="n">
        <v>125000</v>
      </c>
      <c r="I2542" s="75" t="inlineStr">
        <is>
          <t>2월 회의 다과 - (법인카드)</t>
        </is>
      </c>
      <c r="J2542" s="75" t="inlineStr">
        <is>
          <t>V10008</t>
        </is>
      </c>
      <c r="K2542" s="75" t="inlineStr">
        <is>
          <t>(법인카드)</t>
        </is>
      </c>
      <c r="M2542" s="9">
        <f>IF($A2542="","",VALUE($A2542&amp;"")*12+VALUE($B2542&amp;""))</f>
        <v/>
      </c>
      <c r="N2542" s="39">
        <f>IF($A2542="","",IFERROR(INDEX(부서매핑!$C$5:$C$504,MATCH($G2542&amp;"",부서매핑!$A$5:$A$504,0)),"미매핑"))</f>
        <v/>
      </c>
      <c r="O2542" s="9">
        <f>IF($A2542="","",N2542&amp;"|"&amp;$F2542)</f>
        <v/>
      </c>
      <c r="P2542" s="77">
        <f>IF($A2542="",0,$H2542*설정!$C$23)</f>
        <v/>
      </c>
      <c r="Q2542" s="39">
        <f>IF($A2542="","",IF(O2542&lt;&gt;원인분석!$C$9,"",IF(AND(M2542&gt;=원인분석!$C$10,M2542&lt;=원인분석!$C$11),"당기",IF(AND(M2542&gt;=원인분석!$C$12,M2542&lt;=원인분석!$C$13),"비교",""))))</f>
        <v/>
      </c>
      <c r="R2542" s="9">
        <f>IF(Q2542="","",$K2542&amp;"")</f>
        <v/>
      </c>
      <c r="S2542" s="9">
        <f>IF(Q2542="","",IF(MATCH(R2542,$R$5:$R$100000,0)=ROW()-4,ROW(),""))</f>
        <v/>
      </c>
      <c r="T2542" s="9">
        <f>IF(Q2542="당기",ABS(P2542)+ROW()/1000000000,"")</f>
        <v/>
      </c>
      <c r="U2542" s="9">
        <f>IF(Q2542="비교",ABS(P2542)+ROW()/1000000000,"")</f>
        <v/>
      </c>
      <c r="V2542" s="39">
        <f>IF($A2542="","",IF(COUNTIF(변동분석!$E$7:$E$506,O2542)&gt;0,"Y","N"))</f>
        <v/>
      </c>
      <c r="W2542" s="39">
        <f>IF($A2542="","",IFERROR(INDEX(계정매핑!$D$5:$D$504,MATCH($F2542&amp;"",계정매핑!$A$5:$A$504,0)),"미매핑"))</f>
        <v/>
      </c>
      <c r="X2542" s="9">
        <f>IF($A2542="","",$F2542&amp;"")</f>
        <v/>
      </c>
    </row>
    <row r="2543">
      <c r="A2543" s="75" t="n">
        <v>2026</v>
      </c>
      <c r="B2543" s="75" t="n">
        <v>2</v>
      </c>
      <c r="C2543" s="75" t="inlineStr">
        <is>
          <t>5100000199</t>
        </is>
      </c>
      <c r="D2543" s="78" t="n">
        <v>46055</v>
      </c>
      <c r="E2543" s="75" t="inlineStr">
        <is>
          <t>KR</t>
        </is>
      </c>
      <c r="F2543" s="75" t="n">
        <v>62902000</v>
      </c>
      <c r="G2543" s="75" t="n">
        <v>1101</v>
      </c>
      <c r="H2543" s="76" t="n">
        <v>1922000</v>
      </c>
      <c r="I2543" s="75" t="inlineStr">
        <is>
          <t>2월 업무 위탁 수수료 - X서비스</t>
        </is>
      </c>
      <c r="J2543" s="75" t="inlineStr">
        <is>
          <t>V10016</t>
        </is>
      </c>
      <c r="K2543" s="75" t="inlineStr">
        <is>
          <t>X서비스</t>
        </is>
      </c>
      <c r="M2543" s="9">
        <f>IF($A2543="","",VALUE($A2543&amp;"")*12+VALUE($B2543&amp;""))</f>
        <v/>
      </c>
      <c r="N2543" s="39">
        <f>IF($A2543="","",IFERROR(INDEX(부서매핑!$C$5:$C$504,MATCH($G2543&amp;"",부서매핑!$A$5:$A$504,0)),"미매핑"))</f>
        <v/>
      </c>
      <c r="O2543" s="9">
        <f>IF($A2543="","",N2543&amp;"|"&amp;$F2543)</f>
        <v/>
      </c>
      <c r="P2543" s="77">
        <f>IF($A2543="",0,$H2543*설정!$C$23)</f>
        <v/>
      </c>
      <c r="Q2543" s="39">
        <f>IF($A2543="","",IF(O2543&lt;&gt;원인분석!$C$9,"",IF(AND(M2543&gt;=원인분석!$C$10,M2543&lt;=원인분석!$C$11),"당기",IF(AND(M2543&gt;=원인분석!$C$12,M2543&lt;=원인분석!$C$13),"비교",""))))</f>
        <v/>
      </c>
      <c r="R2543" s="9">
        <f>IF(Q2543="","",$K2543&amp;"")</f>
        <v/>
      </c>
      <c r="S2543" s="9">
        <f>IF(Q2543="","",IF(MATCH(R2543,$R$5:$R$100000,0)=ROW()-4,ROW(),""))</f>
        <v/>
      </c>
      <c r="T2543" s="9">
        <f>IF(Q2543="당기",ABS(P2543)+ROW()/1000000000,"")</f>
        <v/>
      </c>
      <c r="U2543" s="9">
        <f>IF(Q2543="비교",ABS(P2543)+ROW()/1000000000,"")</f>
        <v/>
      </c>
      <c r="V2543" s="39">
        <f>IF($A2543="","",IF(COUNTIF(변동분석!$E$7:$E$506,O2543)&gt;0,"Y","N"))</f>
        <v/>
      </c>
      <c r="W2543" s="39">
        <f>IF($A2543="","",IFERROR(INDEX(계정매핑!$D$5:$D$504,MATCH($F2543&amp;"",계정매핑!$A$5:$A$504,0)),"미매핑"))</f>
        <v/>
      </c>
      <c r="X2543" s="9">
        <f>IF($A2543="","",$F2543&amp;"")</f>
        <v/>
      </c>
    </row>
    <row r="2544">
      <c r="A2544" s="75" t="n">
        <v>2026</v>
      </c>
      <c r="B2544" s="75" t="n">
        <v>2</v>
      </c>
      <c r="C2544" s="75" t="inlineStr">
        <is>
          <t>5100000200</t>
        </is>
      </c>
      <c r="D2544" s="78" t="n">
        <v>46055</v>
      </c>
      <c r="E2544" s="75" t="inlineStr">
        <is>
          <t>KR</t>
        </is>
      </c>
      <c r="F2544" s="75" t="n">
        <v>63101000</v>
      </c>
      <c r="G2544" s="75" t="n">
        <v>1601</v>
      </c>
      <c r="H2544" s="76" t="n">
        <v>3327000</v>
      </c>
      <c r="I2544" s="75" t="inlineStr">
        <is>
          <t>2월 사무실 임차료 - AA빌딩</t>
        </is>
      </c>
      <c r="J2544" s="75" t="inlineStr">
        <is>
          <t>V10006</t>
        </is>
      </c>
      <c r="K2544" s="75" t="inlineStr">
        <is>
          <t>AA빌딩</t>
        </is>
      </c>
      <c r="M2544" s="9">
        <f>IF($A2544="","",VALUE($A2544&amp;"")*12+VALUE($B2544&amp;""))</f>
        <v/>
      </c>
      <c r="N2544" s="39">
        <f>IF($A2544="","",IFERROR(INDEX(부서매핑!$C$5:$C$504,MATCH($G2544&amp;"",부서매핑!$A$5:$A$504,0)),"미매핑"))</f>
        <v/>
      </c>
      <c r="O2544" s="9">
        <f>IF($A2544="","",N2544&amp;"|"&amp;$F2544)</f>
        <v/>
      </c>
      <c r="P2544" s="77">
        <f>IF($A2544="",0,$H2544*설정!$C$23)</f>
        <v/>
      </c>
      <c r="Q2544" s="39">
        <f>IF($A2544="","",IF(O2544&lt;&gt;원인분석!$C$9,"",IF(AND(M2544&gt;=원인분석!$C$10,M2544&lt;=원인분석!$C$11),"당기",IF(AND(M2544&gt;=원인분석!$C$12,M2544&lt;=원인분석!$C$13),"비교",""))))</f>
        <v/>
      </c>
      <c r="R2544" s="9">
        <f>IF(Q2544="","",$K2544&amp;"")</f>
        <v/>
      </c>
      <c r="S2544" s="9">
        <f>IF(Q2544="","",IF(MATCH(R2544,$R$5:$R$100000,0)=ROW()-4,ROW(),""))</f>
        <v/>
      </c>
      <c r="T2544" s="9">
        <f>IF(Q2544="당기",ABS(P2544)+ROW()/1000000000,"")</f>
        <v/>
      </c>
      <c r="U2544" s="9">
        <f>IF(Q2544="비교",ABS(P2544)+ROW()/1000000000,"")</f>
        <v/>
      </c>
      <c r="V2544" s="39">
        <f>IF($A2544="","",IF(COUNTIF(변동분석!$E$7:$E$506,O2544)&gt;0,"Y","N"))</f>
        <v/>
      </c>
      <c r="W2544" s="39">
        <f>IF($A2544="","",IFERROR(INDEX(계정매핑!$D$5:$D$504,MATCH($F2544&amp;"",계정매핑!$A$5:$A$504,0)),"미매핑"))</f>
        <v/>
      </c>
      <c r="X2544" s="9">
        <f>IF($A2544="","",$F2544&amp;"")</f>
        <v/>
      </c>
    </row>
    <row r="2545">
      <c r="A2545" s="75" t="n">
        <v>2026</v>
      </c>
      <c r="B2545" s="75" t="n">
        <v>2</v>
      </c>
      <c r="C2545" s="75" t="inlineStr">
        <is>
          <t>5100000201</t>
        </is>
      </c>
      <c r="D2545" s="78" t="n">
        <v>46056</v>
      </c>
      <c r="E2545" s="75" t="inlineStr">
        <is>
          <t>KR</t>
        </is>
      </c>
      <c r="F2545" s="75" t="n">
        <v>62101000</v>
      </c>
      <c r="G2545" s="75" t="n">
        <v>1201</v>
      </c>
      <c r="H2545" s="76" t="n">
        <v>240000</v>
      </c>
      <c r="I2545" s="75" t="inlineStr">
        <is>
          <t>2월 국내출장 - M항공</t>
        </is>
      </c>
      <c r="J2545" s="75" t="inlineStr">
        <is>
          <t>V10001</t>
        </is>
      </c>
      <c r="K2545" s="75" t="inlineStr">
        <is>
          <t>M항공</t>
        </is>
      </c>
      <c r="M2545" s="9">
        <f>IF($A2545="","",VALUE($A2545&amp;"")*12+VALUE($B2545&amp;""))</f>
        <v/>
      </c>
      <c r="N2545" s="39">
        <f>IF($A2545="","",IFERROR(INDEX(부서매핑!$C$5:$C$504,MATCH($G2545&amp;"",부서매핑!$A$5:$A$504,0)),"미매핑"))</f>
        <v/>
      </c>
      <c r="O2545" s="9">
        <f>IF($A2545="","",N2545&amp;"|"&amp;$F2545)</f>
        <v/>
      </c>
      <c r="P2545" s="77">
        <f>IF($A2545="",0,$H2545*설정!$C$23)</f>
        <v/>
      </c>
      <c r="Q2545" s="39">
        <f>IF($A2545="","",IF(O2545&lt;&gt;원인분석!$C$9,"",IF(AND(M2545&gt;=원인분석!$C$10,M2545&lt;=원인분석!$C$11),"당기",IF(AND(M2545&gt;=원인분석!$C$12,M2545&lt;=원인분석!$C$13),"비교",""))))</f>
        <v/>
      </c>
      <c r="R2545" s="9">
        <f>IF(Q2545="","",$K2545&amp;"")</f>
        <v/>
      </c>
      <c r="S2545" s="9">
        <f>IF(Q2545="","",IF(MATCH(R2545,$R$5:$R$100000,0)=ROW()-4,ROW(),""))</f>
        <v/>
      </c>
      <c r="T2545" s="9">
        <f>IF(Q2545="당기",ABS(P2545)+ROW()/1000000000,"")</f>
        <v/>
      </c>
      <c r="U2545" s="9">
        <f>IF(Q2545="비교",ABS(P2545)+ROW()/1000000000,"")</f>
        <v/>
      </c>
      <c r="V2545" s="39">
        <f>IF($A2545="","",IF(COUNTIF(변동분석!$E$7:$E$506,O2545)&gt;0,"Y","N"))</f>
        <v/>
      </c>
      <c r="W2545" s="39">
        <f>IF($A2545="","",IFERROR(INDEX(계정매핑!$D$5:$D$504,MATCH($F2545&amp;"",계정매핑!$A$5:$A$504,0)),"미매핑"))</f>
        <v/>
      </c>
      <c r="X2545" s="9">
        <f>IF($A2545="","",$F2545&amp;"")</f>
        <v/>
      </c>
    </row>
    <row r="2546">
      <c r="A2546" s="75" t="n">
        <v>2026</v>
      </c>
      <c r="B2546" s="75" t="n">
        <v>2</v>
      </c>
      <c r="C2546" s="75" t="inlineStr">
        <is>
          <t>5100000202</t>
        </is>
      </c>
      <c r="D2546" s="78" t="n">
        <v>46056</v>
      </c>
      <c r="E2546" s="75" t="inlineStr">
        <is>
          <t>KR</t>
        </is>
      </c>
      <c r="F2546" s="75" t="n">
        <v>62101000</v>
      </c>
      <c r="G2546" s="75" t="n">
        <v>1801</v>
      </c>
      <c r="H2546" s="76" t="n">
        <v>108000</v>
      </c>
      <c r="I2546" s="75" t="inlineStr">
        <is>
          <t>2월 국내출장 - (법인카드)</t>
        </is>
      </c>
      <c r="J2546" s="75" t="inlineStr">
        <is>
          <t>V10008</t>
        </is>
      </c>
      <c r="K2546" s="75" t="inlineStr">
        <is>
          <t>(법인카드)</t>
        </is>
      </c>
      <c r="M2546" s="9">
        <f>IF($A2546="","",VALUE($A2546&amp;"")*12+VALUE($B2546&amp;""))</f>
        <v/>
      </c>
      <c r="N2546" s="39">
        <f>IF($A2546="","",IFERROR(INDEX(부서매핑!$C$5:$C$504,MATCH($G2546&amp;"",부서매핑!$A$5:$A$504,0)),"미매핑"))</f>
        <v/>
      </c>
      <c r="O2546" s="9">
        <f>IF($A2546="","",N2546&amp;"|"&amp;$F2546)</f>
        <v/>
      </c>
      <c r="P2546" s="77">
        <f>IF($A2546="",0,$H2546*설정!$C$23)</f>
        <v/>
      </c>
      <c r="Q2546" s="39">
        <f>IF($A2546="","",IF(O2546&lt;&gt;원인분석!$C$9,"",IF(AND(M2546&gt;=원인분석!$C$10,M2546&lt;=원인분석!$C$11),"당기",IF(AND(M2546&gt;=원인분석!$C$12,M2546&lt;=원인분석!$C$13),"비교",""))))</f>
        <v/>
      </c>
      <c r="R2546" s="9">
        <f>IF(Q2546="","",$K2546&amp;"")</f>
        <v/>
      </c>
      <c r="S2546" s="9">
        <f>IF(Q2546="","",IF(MATCH(R2546,$R$5:$R$100000,0)=ROW()-4,ROW(),""))</f>
        <v/>
      </c>
      <c r="T2546" s="9">
        <f>IF(Q2546="당기",ABS(P2546)+ROW()/1000000000,"")</f>
        <v/>
      </c>
      <c r="U2546" s="9">
        <f>IF(Q2546="비교",ABS(P2546)+ROW()/1000000000,"")</f>
        <v/>
      </c>
      <c r="V2546" s="39">
        <f>IF($A2546="","",IF(COUNTIF(변동분석!$E$7:$E$506,O2546)&gt;0,"Y","N"))</f>
        <v/>
      </c>
      <c r="W2546" s="39">
        <f>IF($A2546="","",IFERROR(INDEX(계정매핑!$D$5:$D$504,MATCH($F2546&amp;"",계정매핑!$A$5:$A$504,0)),"미매핑"))</f>
        <v/>
      </c>
      <c r="X2546" s="9">
        <f>IF($A2546="","",$F2546&amp;"")</f>
        <v/>
      </c>
    </row>
    <row r="2547">
      <c r="A2547" s="75" t="n">
        <v>2026</v>
      </c>
      <c r="B2547" s="75" t="n">
        <v>2</v>
      </c>
      <c r="C2547" s="75" t="inlineStr">
        <is>
          <t>5100000203</t>
        </is>
      </c>
      <c r="D2547" s="78" t="n">
        <v>46056</v>
      </c>
      <c r="E2547" s="75" t="inlineStr">
        <is>
          <t>KR</t>
        </is>
      </c>
      <c r="F2547" s="75" t="n">
        <v>62102000</v>
      </c>
      <c r="G2547" s="75" t="n">
        <v>1301</v>
      </c>
      <c r="H2547" s="76" t="n">
        <v>103000</v>
      </c>
      <c r="I2547" s="75" t="inlineStr">
        <is>
          <t>2월 해외출장 - M항공</t>
        </is>
      </c>
      <c r="J2547" s="75" t="inlineStr">
        <is>
          <t>V10001</t>
        </is>
      </c>
      <c r="K2547" s="75" t="inlineStr">
        <is>
          <t>M항공</t>
        </is>
      </c>
      <c r="M2547" s="9">
        <f>IF($A2547="","",VALUE($A2547&amp;"")*12+VALUE($B2547&amp;""))</f>
        <v/>
      </c>
      <c r="N2547" s="39">
        <f>IF($A2547="","",IFERROR(INDEX(부서매핑!$C$5:$C$504,MATCH($G2547&amp;"",부서매핑!$A$5:$A$504,0)),"미매핑"))</f>
        <v/>
      </c>
      <c r="O2547" s="9">
        <f>IF($A2547="","",N2547&amp;"|"&amp;$F2547)</f>
        <v/>
      </c>
      <c r="P2547" s="77">
        <f>IF($A2547="",0,$H2547*설정!$C$23)</f>
        <v/>
      </c>
      <c r="Q2547" s="39">
        <f>IF($A2547="","",IF(O2547&lt;&gt;원인분석!$C$9,"",IF(AND(M2547&gt;=원인분석!$C$10,M2547&lt;=원인분석!$C$11),"당기",IF(AND(M2547&gt;=원인분석!$C$12,M2547&lt;=원인분석!$C$13),"비교",""))))</f>
        <v/>
      </c>
      <c r="R2547" s="9">
        <f>IF(Q2547="","",$K2547&amp;"")</f>
        <v/>
      </c>
      <c r="S2547" s="9">
        <f>IF(Q2547="","",IF(MATCH(R2547,$R$5:$R$100000,0)=ROW()-4,ROW(),""))</f>
        <v/>
      </c>
      <c r="T2547" s="9">
        <f>IF(Q2547="당기",ABS(P2547)+ROW()/1000000000,"")</f>
        <v/>
      </c>
      <c r="U2547" s="9">
        <f>IF(Q2547="비교",ABS(P2547)+ROW()/1000000000,"")</f>
        <v/>
      </c>
      <c r="V2547" s="39">
        <f>IF($A2547="","",IF(COUNTIF(변동분석!$E$7:$E$506,O2547)&gt;0,"Y","N"))</f>
        <v/>
      </c>
      <c r="W2547" s="39">
        <f>IF($A2547="","",IFERROR(INDEX(계정매핑!$D$5:$D$504,MATCH($F2547&amp;"",계정매핑!$A$5:$A$504,0)),"미매핑"))</f>
        <v/>
      </c>
      <c r="X2547" s="9">
        <f>IF($A2547="","",$F2547&amp;"")</f>
        <v/>
      </c>
    </row>
    <row r="2548">
      <c r="A2548" s="75" t="n">
        <v>2026</v>
      </c>
      <c r="B2548" s="75" t="n">
        <v>2</v>
      </c>
      <c r="C2548" s="75" t="inlineStr">
        <is>
          <t>5100000204</t>
        </is>
      </c>
      <c r="D2548" s="78" t="n">
        <v>46056</v>
      </c>
      <c r="E2548" s="75" t="inlineStr">
        <is>
          <t>KR</t>
        </is>
      </c>
      <c r="F2548" s="75" t="n">
        <v>62201000</v>
      </c>
      <c r="G2548" s="75" t="n">
        <v>1301</v>
      </c>
      <c r="H2548" s="76" t="n">
        <v>128000</v>
      </c>
      <c r="I2548" s="75" t="inlineStr">
        <is>
          <t>2월 통신요금 - P통신</t>
        </is>
      </c>
      <c r="J2548" s="75" t="inlineStr">
        <is>
          <t>V10011</t>
        </is>
      </c>
      <c r="K2548" s="75" t="inlineStr">
        <is>
          <t>P통신</t>
        </is>
      </c>
      <c r="M2548" s="9">
        <f>IF($A2548="","",VALUE($A2548&amp;"")*12+VALUE($B2548&amp;""))</f>
        <v/>
      </c>
      <c r="N2548" s="39">
        <f>IF($A2548="","",IFERROR(INDEX(부서매핑!$C$5:$C$504,MATCH($G2548&amp;"",부서매핑!$A$5:$A$504,0)),"미매핑"))</f>
        <v/>
      </c>
      <c r="O2548" s="9">
        <f>IF($A2548="","",N2548&amp;"|"&amp;$F2548)</f>
        <v/>
      </c>
      <c r="P2548" s="77">
        <f>IF($A2548="",0,$H2548*설정!$C$23)</f>
        <v/>
      </c>
      <c r="Q2548" s="39">
        <f>IF($A2548="","",IF(O2548&lt;&gt;원인분석!$C$9,"",IF(AND(M2548&gt;=원인분석!$C$10,M2548&lt;=원인분석!$C$11),"당기",IF(AND(M2548&gt;=원인분석!$C$12,M2548&lt;=원인분석!$C$13),"비교",""))))</f>
        <v/>
      </c>
      <c r="R2548" s="9">
        <f>IF(Q2548="","",$K2548&amp;"")</f>
        <v/>
      </c>
      <c r="S2548" s="9">
        <f>IF(Q2548="","",IF(MATCH(R2548,$R$5:$R$100000,0)=ROW()-4,ROW(),""))</f>
        <v/>
      </c>
      <c r="T2548" s="9">
        <f>IF(Q2548="당기",ABS(P2548)+ROW()/1000000000,"")</f>
        <v/>
      </c>
      <c r="U2548" s="9">
        <f>IF(Q2548="비교",ABS(P2548)+ROW()/1000000000,"")</f>
        <v/>
      </c>
      <c r="V2548" s="39">
        <f>IF($A2548="","",IF(COUNTIF(변동분석!$E$7:$E$506,O2548)&gt;0,"Y","N"))</f>
        <v/>
      </c>
      <c r="W2548" s="39">
        <f>IF($A2548="","",IFERROR(INDEX(계정매핑!$D$5:$D$504,MATCH($F2548&amp;"",계정매핑!$A$5:$A$504,0)),"미매핑"))</f>
        <v/>
      </c>
      <c r="X2548" s="9">
        <f>IF($A2548="","",$F2548&amp;"")</f>
        <v/>
      </c>
    </row>
    <row r="2549">
      <c r="A2549" s="75" t="n">
        <v>2026</v>
      </c>
      <c r="B2549" s="75" t="n">
        <v>2</v>
      </c>
      <c r="C2549" s="75" t="inlineStr">
        <is>
          <t>5100000205</t>
        </is>
      </c>
      <c r="D2549" s="78" t="n">
        <v>46056</v>
      </c>
      <c r="E2549" s="75" t="inlineStr">
        <is>
          <t>KR</t>
        </is>
      </c>
      <c r="F2549" s="75" t="n">
        <v>62201000</v>
      </c>
      <c r="G2549" s="75" t="n">
        <v>1801</v>
      </c>
      <c r="H2549" s="76" t="n">
        <v>6486000</v>
      </c>
      <c r="I2549" s="75" t="inlineStr">
        <is>
          <t>2월 통신요금 - O텔레콤</t>
        </is>
      </c>
      <c r="J2549" s="75" t="inlineStr">
        <is>
          <t>V10002</t>
        </is>
      </c>
      <c r="K2549" s="75" t="inlineStr">
        <is>
          <t>O텔레콤</t>
        </is>
      </c>
      <c r="M2549" s="9">
        <f>IF($A2549="","",VALUE($A2549&amp;"")*12+VALUE($B2549&amp;""))</f>
        <v/>
      </c>
      <c r="N2549" s="39">
        <f>IF($A2549="","",IFERROR(INDEX(부서매핑!$C$5:$C$504,MATCH($G2549&amp;"",부서매핑!$A$5:$A$504,0)),"미매핑"))</f>
        <v/>
      </c>
      <c r="O2549" s="9">
        <f>IF($A2549="","",N2549&amp;"|"&amp;$F2549)</f>
        <v/>
      </c>
      <c r="P2549" s="77">
        <f>IF($A2549="",0,$H2549*설정!$C$23)</f>
        <v/>
      </c>
      <c r="Q2549" s="39">
        <f>IF($A2549="","",IF(O2549&lt;&gt;원인분석!$C$9,"",IF(AND(M2549&gt;=원인분석!$C$10,M2549&lt;=원인분석!$C$11),"당기",IF(AND(M2549&gt;=원인분석!$C$12,M2549&lt;=원인분석!$C$13),"비교",""))))</f>
        <v/>
      </c>
      <c r="R2549" s="9">
        <f>IF(Q2549="","",$K2549&amp;"")</f>
        <v/>
      </c>
      <c r="S2549" s="9">
        <f>IF(Q2549="","",IF(MATCH(R2549,$R$5:$R$100000,0)=ROW()-4,ROW(),""))</f>
        <v/>
      </c>
      <c r="T2549" s="9">
        <f>IF(Q2549="당기",ABS(P2549)+ROW()/1000000000,"")</f>
        <v/>
      </c>
      <c r="U2549" s="9">
        <f>IF(Q2549="비교",ABS(P2549)+ROW()/1000000000,"")</f>
        <v/>
      </c>
      <c r="V2549" s="39">
        <f>IF($A2549="","",IF(COUNTIF(변동분석!$E$7:$E$506,O2549)&gt;0,"Y","N"))</f>
        <v/>
      </c>
      <c r="W2549" s="39">
        <f>IF($A2549="","",IFERROR(INDEX(계정매핑!$D$5:$D$504,MATCH($F2549&amp;"",계정매핑!$A$5:$A$504,0)),"미매핑"))</f>
        <v/>
      </c>
      <c r="X2549" s="9">
        <f>IF($A2549="","",$F2549&amp;"")</f>
        <v/>
      </c>
    </row>
    <row r="2550">
      <c r="A2550" s="75" t="n">
        <v>2026</v>
      </c>
      <c r="B2550" s="75" t="n">
        <v>2</v>
      </c>
      <c r="C2550" s="75" t="inlineStr">
        <is>
          <t>5100000206</t>
        </is>
      </c>
      <c r="D2550" s="78" t="n">
        <v>46056</v>
      </c>
      <c r="E2550" s="75" t="inlineStr">
        <is>
          <t>KR</t>
        </is>
      </c>
      <c r="F2550" s="75" t="n">
        <v>62201000</v>
      </c>
      <c r="G2550" s="75" t="n">
        <v>1801</v>
      </c>
      <c r="H2550" s="76" t="n">
        <v>3232000</v>
      </c>
      <c r="I2550" s="75" t="inlineStr">
        <is>
          <t>2월 통신요금 - O텔레콤</t>
        </is>
      </c>
      <c r="J2550" s="75" t="inlineStr">
        <is>
          <t>V10002</t>
        </is>
      </c>
      <c r="K2550" s="75" t="inlineStr">
        <is>
          <t>O텔레콤</t>
        </is>
      </c>
      <c r="M2550" s="9">
        <f>IF($A2550="","",VALUE($A2550&amp;"")*12+VALUE($B2550&amp;""))</f>
        <v/>
      </c>
      <c r="N2550" s="39">
        <f>IF($A2550="","",IFERROR(INDEX(부서매핑!$C$5:$C$504,MATCH($G2550&amp;"",부서매핑!$A$5:$A$504,0)),"미매핑"))</f>
        <v/>
      </c>
      <c r="O2550" s="9">
        <f>IF($A2550="","",N2550&amp;"|"&amp;$F2550)</f>
        <v/>
      </c>
      <c r="P2550" s="77">
        <f>IF($A2550="",0,$H2550*설정!$C$23)</f>
        <v/>
      </c>
      <c r="Q2550" s="39">
        <f>IF($A2550="","",IF(O2550&lt;&gt;원인분석!$C$9,"",IF(AND(M2550&gt;=원인분석!$C$10,M2550&lt;=원인분석!$C$11),"당기",IF(AND(M2550&gt;=원인분석!$C$12,M2550&lt;=원인분석!$C$13),"비교",""))))</f>
        <v/>
      </c>
      <c r="R2550" s="9">
        <f>IF(Q2550="","",$K2550&amp;"")</f>
        <v/>
      </c>
      <c r="S2550" s="9">
        <f>IF(Q2550="","",IF(MATCH(R2550,$R$5:$R$100000,0)=ROW()-4,ROW(),""))</f>
        <v/>
      </c>
      <c r="T2550" s="9">
        <f>IF(Q2550="당기",ABS(P2550)+ROW()/1000000000,"")</f>
        <v/>
      </c>
      <c r="U2550" s="9">
        <f>IF(Q2550="비교",ABS(P2550)+ROW()/1000000000,"")</f>
        <v/>
      </c>
      <c r="V2550" s="39">
        <f>IF($A2550="","",IF(COUNTIF(변동분석!$E$7:$E$506,O2550)&gt;0,"Y","N"))</f>
        <v/>
      </c>
      <c r="W2550" s="39">
        <f>IF($A2550="","",IFERROR(INDEX(계정매핑!$D$5:$D$504,MATCH($F2550&amp;"",계정매핑!$A$5:$A$504,0)),"미매핑"))</f>
        <v/>
      </c>
      <c r="X2550" s="9">
        <f>IF($A2550="","",$F2550&amp;"")</f>
        <v/>
      </c>
    </row>
    <row r="2551">
      <c r="A2551" s="75" t="n">
        <v>2026</v>
      </c>
      <c r="B2551" s="75" t="n">
        <v>2</v>
      </c>
      <c r="C2551" s="75" t="inlineStr">
        <is>
          <t>5100000207</t>
        </is>
      </c>
      <c r="D2551" s="78" t="n">
        <v>46056</v>
      </c>
      <c r="E2551" s="75" t="inlineStr">
        <is>
          <t>KR</t>
        </is>
      </c>
      <c r="F2551" s="75" t="n">
        <v>62301000</v>
      </c>
      <c r="G2551" s="75" t="n">
        <v>1301</v>
      </c>
      <c r="H2551" s="76" t="n">
        <v>188000</v>
      </c>
      <c r="I2551" s="75" t="inlineStr">
        <is>
          <t>2월 소모품 구입 - R문구</t>
        </is>
      </c>
      <c r="J2551" s="75" t="inlineStr">
        <is>
          <t>V10018</t>
        </is>
      </c>
      <c r="K2551" s="75" t="inlineStr">
        <is>
          <t>R문구</t>
        </is>
      </c>
      <c r="M2551" s="9">
        <f>IF($A2551="","",VALUE($A2551&amp;"")*12+VALUE($B2551&amp;""))</f>
        <v/>
      </c>
      <c r="N2551" s="39">
        <f>IF($A2551="","",IFERROR(INDEX(부서매핑!$C$5:$C$504,MATCH($G2551&amp;"",부서매핑!$A$5:$A$504,0)),"미매핑"))</f>
        <v/>
      </c>
      <c r="O2551" s="9">
        <f>IF($A2551="","",N2551&amp;"|"&amp;$F2551)</f>
        <v/>
      </c>
      <c r="P2551" s="77">
        <f>IF($A2551="",0,$H2551*설정!$C$23)</f>
        <v/>
      </c>
      <c r="Q2551" s="39">
        <f>IF($A2551="","",IF(O2551&lt;&gt;원인분석!$C$9,"",IF(AND(M2551&gt;=원인분석!$C$10,M2551&lt;=원인분석!$C$11),"당기",IF(AND(M2551&gt;=원인분석!$C$12,M2551&lt;=원인분석!$C$13),"비교",""))))</f>
        <v/>
      </c>
      <c r="R2551" s="9">
        <f>IF(Q2551="","",$K2551&amp;"")</f>
        <v/>
      </c>
      <c r="S2551" s="9">
        <f>IF(Q2551="","",IF(MATCH(R2551,$R$5:$R$100000,0)=ROW()-4,ROW(),""))</f>
        <v/>
      </c>
      <c r="T2551" s="9">
        <f>IF(Q2551="당기",ABS(P2551)+ROW()/1000000000,"")</f>
        <v/>
      </c>
      <c r="U2551" s="9">
        <f>IF(Q2551="비교",ABS(P2551)+ROW()/1000000000,"")</f>
        <v/>
      </c>
      <c r="V2551" s="39">
        <f>IF($A2551="","",IF(COUNTIF(변동분석!$E$7:$E$506,O2551)&gt;0,"Y","N"))</f>
        <v/>
      </c>
      <c r="W2551" s="39">
        <f>IF($A2551="","",IFERROR(INDEX(계정매핑!$D$5:$D$504,MATCH($F2551&amp;"",계정매핑!$A$5:$A$504,0)),"미매핑"))</f>
        <v/>
      </c>
      <c r="X2551" s="9">
        <f>IF($A2551="","",$F2551&amp;"")</f>
        <v/>
      </c>
    </row>
    <row r="2552">
      <c r="A2552" s="75" t="n">
        <v>2026</v>
      </c>
      <c r="B2552" s="75" t="n">
        <v>2</v>
      </c>
      <c r="C2552" s="75" t="inlineStr">
        <is>
          <t>5100000208</t>
        </is>
      </c>
      <c r="D2552" s="78" t="n">
        <v>46056</v>
      </c>
      <c r="E2552" s="75" t="inlineStr">
        <is>
          <t>KR</t>
        </is>
      </c>
      <c r="F2552" s="75" t="n">
        <v>62301000</v>
      </c>
      <c r="G2552" s="75" t="n">
        <v>1502</v>
      </c>
      <c r="H2552" s="76" t="n">
        <v>188000</v>
      </c>
      <c r="I2552" s="75" t="inlineStr">
        <is>
          <t>2월 소모품 구입 - R문구</t>
        </is>
      </c>
      <c r="J2552" s="75" t="inlineStr">
        <is>
          <t>V10018</t>
        </is>
      </c>
      <c r="K2552" s="75" t="inlineStr">
        <is>
          <t>R문구</t>
        </is>
      </c>
      <c r="M2552" s="9">
        <f>IF($A2552="","",VALUE($A2552&amp;"")*12+VALUE($B2552&amp;""))</f>
        <v/>
      </c>
      <c r="N2552" s="39">
        <f>IF($A2552="","",IFERROR(INDEX(부서매핑!$C$5:$C$504,MATCH($G2552&amp;"",부서매핑!$A$5:$A$504,0)),"미매핑"))</f>
        <v/>
      </c>
      <c r="O2552" s="9">
        <f>IF($A2552="","",N2552&amp;"|"&amp;$F2552)</f>
        <v/>
      </c>
      <c r="P2552" s="77">
        <f>IF($A2552="",0,$H2552*설정!$C$23)</f>
        <v/>
      </c>
      <c r="Q2552" s="39">
        <f>IF($A2552="","",IF(O2552&lt;&gt;원인분석!$C$9,"",IF(AND(M2552&gt;=원인분석!$C$10,M2552&lt;=원인분석!$C$11),"당기",IF(AND(M2552&gt;=원인분석!$C$12,M2552&lt;=원인분석!$C$13),"비교",""))))</f>
        <v/>
      </c>
      <c r="R2552" s="9">
        <f>IF(Q2552="","",$K2552&amp;"")</f>
        <v/>
      </c>
      <c r="S2552" s="9">
        <f>IF(Q2552="","",IF(MATCH(R2552,$R$5:$R$100000,0)=ROW()-4,ROW(),""))</f>
        <v/>
      </c>
      <c r="T2552" s="9">
        <f>IF(Q2552="당기",ABS(P2552)+ROW()/1000000000,"")</f>
        <v/>
      </c>
      <c r="U2552" s="9">
        <f>IF(Q2552="비교",ABS(P2552)+ROW()/1000000000,"")</f>
        <v/>
      </c>
      <c r="V2552" s="39">
        <f>IF($A2552="","",IF(COUNTIF(변동분석!$E$7:$E$506,O2552)&gt;0,"Y","N"))</f>
        <v/>
      </c>
      <c r="W2552" s="39">
        <f>IF($A2552="","",IFERROR(INDEX(계정매핑!$D$5:$D$504,MATCH($F2552&amp;"",계정매핑!$A$5:$A$504,0)),"미매핑"))</f>
        <v/>
      </c>
      <c r="X2552" s="9">
        <f>IF($A2552="","",$F2552&amp;"")</f>
        <v/>
      </c>
    </row>
    <row r="2553">
      <c r="A2553" s="75" t="n">
        <v>2026</v>
      </c>
      <c r="B2553" s="75" t="n">
        <v>2</v>
      </c>
      <c r="C2553" s="75" t="inlineStr">
        <is>
          <t>5100000209</t>
        </is>
      </c>
      <c r="D2553" s="78" t="n">
        <v>46056</v>
      </c>
      <c r="E2553" s="75" t="inlineStr">
        <is>
          <t>KR</t>
        </is>
      </c>
      <c r="F2553" s="75" t="n">
        <v>62501000</v>
      </c>
      <c r="G2553" s="75" t="n">
        <v>1201</v>
      </c>
      <c r="H2553" s="76" t="n">
        <v>141000</v>
      </c>
      <c r="I2553" s="75" t="inlineStr">
        <is>
          <t>2월 회의 다과 - T케이터링</t>
        </is>
      </c>
      <c r="J2553" s="75" t="inlineStr">
        <is>
          <t>V10005</t>
        </is>
      </c>
      <c r="K2553" s="75" t="inlineStr">
        <is>
          <t>T케이터링</t>
        </is>
      </c>
      <c r="M2553" s="9">
        <f>IF($A2553="","",VALUE($A2553&amp;"")*12+VALUE($B2553&amp;""))</f>
        <v/>
      </c>
      <c r="N2553" s="39">
        <f>IF($A2553="","",IFERROR(INDEX(부서매핑!$C$5:$C$504,MATCH($G2553&amp;"",부서매핑!$A$5:$A$504,0)),"미매핑"))</f>
        <v/>
      </c>
      <c r="O2553" s="9">
        <f>IF($A2553="","",N2553&amp;"|"&amp;$F2553)</f>
        <v/>
      </c>
      <c r="P2553" s="77">
        <f>IF($A2553="",0,$H2553*설정!$C$23)</f>
        <v/>
      </c>
      <c r="Q2553" s="39">
        <f>IF($A2553="","",IF(O2553&lt;&gt;원인분석!$C$9,"",IF(AND(M2553&gt;=원인분석!$C$10,M2553&lt;=원인분석!$C$11),"당기",IF(AND(M2553&gt;=원인분석!$C$12,M2553&lt;=원인분석!$C$13),"비교",""))))</f>
        <v/>
      </c>
      <c r="R2553" s="9">
        <f>IF(Q2553="","",$K2553&amp;"")</f>
        <v/>
      </c>
      <c r="S2553" s="9">
        <f>IF(Q2553="","",IF(MATCH(R2553,$R$5:$R$100000,0)=ROW()-4,ROW(),""))</f>
        <v/>
      </c>
      <c r="T2553" s="9">
        <f>IF(Q2553="당기",ABS(P2553)+ROW()/1000000000,"")</f>
        <v/>
      </c>
      <c r="U2553" s="9">
        <f>IF(Q2553="비교",ABS(P2553)+ROW()/1000000000,"")</f>
        <v/>
      </c>
      <c r="V2553" s="39">
        <f>IF($A2553="","",IF(COUNTIF(변동분석!$E$7:$E$506,O2553)&gt;0,"Y","N"))</f>
        <v/>
      </c>
      <c r="W2553" s="39">
        <f>IF($A2553="","",IFERROR(INDEX(계정매핑!$D$5:$D$504,MATCH($F2553&amp;"",계정매핑!$A$5:$A$504,0)),"미매핑"))</f>
        <v/>
      </c>
      <c r="X2553" s="9">
        <f>IF($A2553="","",$F2553&amp;"")</f>
        <v/>
      </c>
    </row>
    <row r="2554">
      <c r="A2554" s="75" t="n">
        <v>2026</v>
      </c>
      <c r="B2554" s="75" t="n">
        <v>2</v>
      </c>
      <c r="C2554" s="75" t="inlineStr">
        <is>
          <t>5100000210</t>
        </is>
      </c>
      <c r="D2554" s="78" t="n">
        <v>46056</v>
      </c>
      <c r="E2554" s="75" t="inlineStr">
        <is>
          <t>KR</t>
        </is>
      </c>
      <c r="F2554" s="75" t="n">
        <v>62501000</v>
      </c>
      <c r="G2554" s="75" t="n">
        <v>1502</v>
      </c>
      <c r="H2554" s="76" t="n">
        <v>368000</v>
      </c>
      <c r="I2554" s="75" t="inlineStr">
        <is>
          <t>2월 회의 다과 - (법인카드)</t>
        </is>
      </c>
      <c r="J2554" s="75" t="inlineStr">
        <is>
          <t>V10008</t>
        </is>
      </c>
      <c r="K2554" s="75" t="inlineStr">
        <is>
          <t>(법인카드)</t>
        </is>
      </c>
      <c r="M2554" s="9">
        <f>IF($A2554="","",VALUE($A2554&amp;"")*12+VALUE($B2554&amp;""))</f>
        <v/>
      </c>
      <c r="N2554" s="39">
        <f>IF($A2554="","",IFERROR(INDEX(부서매핑!$C$5:$C$504,MATCH($G2554&amp;"",부서매핑!$A$5:$A$504,0)),"미매핑"))</f>
        <v/>
      </c>
      <c r="O2554" s="9">
        <f>IF($A2554="","",N2554&amp;"|"&amp;$F2554)</f>
        <v/>
      </c>
      <c r="P2554" s="77">
        <f>IF($A2554="",0,$H2554*설정!$C$23)</f>
        <v/>
      </c>
      <c r="Q2554" s="39">
        <f>IF($A2554="","",IF(O2554&lt;&gt;원인분석!$C$9,"",IF(AND(M2554&gt;=원인분석!$C$10,M2554&lt;=원인분석!$C$11),"당기",IF(AND(M2554&gt;=원인분석!$C$12,M2554&lt;=원인분석!$C$13),"비교",""))))</f>
        <v/>
      </c>
      <c r="R2554" s="9">
        <f>IF(Q2554="","",$K2554&amp;"")</f>
        <v/>
      </c>
      <c r="S2554" s="9">
        <f>IF(Q2554="","",IF(MATCH(R2554,$R$5:$R$100000,0)=ROW()-4,ROW(),""))</f>
        <v/>
      </c>
      <c r="T2554" s="9">
        <f>IF(Q2554="당기",ABS(P2554)+ROW()/1000000000,"")</f>
        <v/>
      </c>
      <c r="U2554" s="9">
        <f>IF(Q2554="비교",ABS(P2554)+ROW()/1000000000,"")</f>
        <v/>
      </c>
      <c r="V2554" s="39">
        <f>IF($A2554="","",IF(COUNTIF(변동분석!$E$7:$E$506,O2554)&gt;0,"Y","N"))</f>
        <v/>
      </c>
      <c r="W2554" s="39">
        <f>IF($A2554="","",IFERROR(INDEX(계정매핑!$D$5:$D$504,MATCH($F2554&amp;"",계정매핑!$A$5:$A$504,0)),"미매핑"))</f>
        <v/>
      </c>
      <c r="X2554" s="9">
        <f>IF($A2554="","",$F2554&amp;"")</f>
        <v/>
      </c>
    </row>
    <row r="2555">
      <c r="A2555" s="75" t="n">
        <v>2026</v>
      </c>
      <c r="B2555" s="75" t="n">
        <v>2</v>
      </c>
      <c r="C2555" s="75" t="inlineStr">
        <is>
          <t>5100000211</t>
        </is>
      </c>
      <c r="D2555" s="78" t="n">
        <v>46056</v>
      </c>
      <c r="E2555" s="75" t="inlineStr">
        <is>
          <t>KR</t>
        </is>
      </c>
      <c r="F2555" s="75" t="n">
        <v>62501000</v>
      </c>
      <c r="G2555" s="75" t="n">
        <v>1601</v>
      </c>
      <c r="H2555" s="76" t="n">
        <v>265000</v>
      </c>
      <c r="I2555" s="75" t="inlineStr">
        <is>
          <t>2월 회의 다과 - (법인카드)</t>
        </is>
      </c>
      <c r="J2555" s="75" t="inlineStr">
        <is>
          <t>V10008</t>
        </is>
      </c>
      <c r="K2555" s="75" t="inlineStr">
        <is>
          <t>(법인카드)</t>
        </is>
      </c>
      <c r="M2555" s="9">
        <f>IF($A2555="","",VALUE($A2555&amp;"")*12+VALUE($B2555&amp;""))</f>
        <v/>
      </c>
      <c r="N2555" s="39">
        <f>IF($A2555="","",IFERROR(INDEX(부서매핑!$C$5:$C$504,MATCH($G2555&amp;"",부서매핑!$A$5:$A$504,0)),"미매핑"))</f>
        <v/>
      </c>
      <c r="O2555" s="9">
        <f>IF($A2555="","",N2555&amp;"|"&amp;$F2555)</f>
        <v/>
      </c>
      <c r="P2555" s="77">
        <f>IF($A2555="",0,$H2555*설정!$C$23)</f>
        <v/>
      </c>
      <c r="Q2555" s="39">
        <f>IF($A2555="","",IF(O2555&lt;&gt;원인분석!$C$9,"",IF(AND(M2555&gt;=원인분석!$C$10,M2555&lt;=원인분석!$C$11),"당기",IF(AND(M2555&gt;=원인분석!$C$12,M2555&lt;=원인분석!$C$13),"비교",""))))</f>
        <v/>
      </c>
      <c r="R2555" s="9">
        <f>IF(Q2555="","",$K2555&amp;"")</f>
        <v/>
      </c>
      <c r="S2555" s="9">
        <f>IF(Q2555="","",IF(MATCH(R2555,$R$5:$R$100000,0)=ROW()-4,ROW(),""))</f>
        <v/>
      </c>
      <c r="T2555" s="9">
        <f>IF(Q2555="당기",ABS(P2555)+ROW()/1000000000,"")</f>
        <v/>
      </c>
      <c r="U2555" s="9">
        <f>IF(Q2555="비교",ABS(P2555)+ROW()/1000000000,"")</f>
        <v/>
      </c>
      <c r="V2555" s="39">
        <f>IF($A2555="","",IF(COUNTIF(변동분석!$E$7:$E$506,O2555)&gt;0,"Y","N"))</f>
        <v/>
      </c>
      <c r="W2555" s="39">
        <f>IF($A2555="","",IFERROR(INDEX(계정매핑!$D$5:$D$504,MATCH($F2555&amp;"",계정매핑!$A$5:$A$504,0)),"미매핑"))</f>
        <v/>
      </c>
      <c r="X2555" s="9">
        <f>IF($A2555="","",$F2555&amp;"")</f>
        <v/>
      </c>
    </row>
    <row r="2556">
      <c r="A2556" s="75" t="n">
        <v>2026</v>
      </c>
      <c r="B2556" s="75" t="n">
        <v>2</v>
      </c>
      <c r="C2556" s="75" t="inlineStr">
        <is>
          <t>5100000212</t>
        </is>
      </c>
      <c r="D2556" s="78" t="n">
        <v>46056</v>
      </c>
      <c r="E2556" s="75" t="inlineStr">
        <is>
          <t>KR</t>
        </is>
      </c>
      <c r="F2556" s="75" t="n">
        <v>62901000</v>
      </c>
      <c r="G2556" s="75" t="n">
        <v>1801</v>
      </c>
      <c r="H2556" s="76" t="n">
        <v>14197000</v>
      </c>
      <c r="I2556" s="75" t="inlineStr">
        <is>
          <t>2월 자문 수수료 - W컨설팅</t>
        </is>
      </c>
      <c r="J2556" s="75" t="inlineStr">
        <is>
          <t>V10009</t>
        </is>
      </c>
      <c r="K2556" s="75" t="inlineStr">
        <is>
          <t>W컨설팅</t>
        </is>
      </c>
      <c r="M2556" s="9">
        <f>IF($A2556="","",VALUE($A2556&amp;"")*12+VALUE($B2556&amp;""))</f>
        <v/>
      </c>
      <c r="N2556" s="39">
        <f>IF($A2556="","",IFERROR(INDEX(부서매핑!$C$5:$C$504,MATCH($G2556&amp;"",부서매핑!$A$5:$A$504,0)),"미매핑"))</f>
        <v/>
      </c>
      <c r="O2556" s="9">
        <f>IF($A2556="","",N2556&amp;"|"&amp;$F2556)</f>
        <v/>
      </c>
      <c r="P2556" s="77">
        <f>IF($A2556="",0,$H2556*설정!$C$23)</f>
        <v/>
      </c>
      <c r="Q2556" s="39">
        <f>IF($A2556="","",IF(O2556&lt;&gt;원인분석!$C$9,"",IF(AND(M2556&gt;=원인분석!$C$10,M2556&lt;=원인분석!$C$11),"당기",IF(AND(M2556&gt;=원인분석!$C$12,M2556&lt;=원인분석!$C$13),"비교",""))))</f>
        <v/>
      </c>
      <c r="R2556" s="9">
        <f>IF(Q2556="","",$K2556&amp;"")</f>
        <v/>
      </c>
      <c r="S2556" s="9">
        <f>IF(Q2556="","",IF(MATCH(R2556,$R$5:$R$100000,0)=ROW()-4,ROW(),""))</f>
        <v/>
      </c>
      <c r="T2556" s="9">
        <f>IF(Q2556="당기",ABS(P2556)+ROW()/1000000000,"")</f>
        <v/>
      </c>
      <c r="U2556" s="9">
        <f>IF(Q2556="비교",ABS(P2556)+ROW()/1000000000,"")</f>
        <v/>
      </c>
      <c r="V2556" s="39">
        <f>IF($A2556="","",IF(COUNTIF(변동분석!$E$7:$E$506,O2556)&gt;0,"Y","N"))</f>
        <v/>
      </c>
      <c r="W2556" s="39">
        <f>IF($A2556="","",IFERROR(INDEX(계정매핑!$D$5:$D$504,MATCH($F2556&amp;"",계정매핑!$A$5:$A$504,0)),"미매핑"))</f>
        <v/>
      </c>
      <c r="X2556" s="9">
        <f>IF($A2556="","",$F2556&amp;"")</f>
        <v/>
      </c>
    </row>
    <row r="2557">
      <c r="A2557" s="75" t="n">
        <v>2026</v>
      </c>
      <c r="B2557" s="75" t="n">
        <v>2</v>
      </c>
      <c r="C2557" s="75" t="inlineStr">
        <is>
          <t>5100000213</t>
        </is>
      </c>
      <c r="D2557" s="78" t="n">
        <v>46056</v>
      </c>
      <c r="E2557" s="75" t="inlineStr">
        <is>
          <t>KR</t>
        </is>
      </c>
      <c r="F2557" s="75" t="n">
        <v>62902000</v>
      </c>
      <c r="G2557" s="75" t="n">
        <v>1401</v>
      </c>
      <c r="H2557" s="76" t="n">
        <v>2494000</v>
      </c>
      <c r="I2557" s="75" t="inlineStr">
        <is>
          <t>2월 업무 위탁 수수료 - J콜센터</t>
        </is>
      </c>
      <c r="J2557" s="75" t="inlineStr">
        <is>
          <t>V10013</t>
        </is>
      </c>
      <c r="K2557" s="75" t="inlineStr">
        <is>
          <t>J콜센터</t>
        </is>
      </c>
      <c r="M2557" s="9">
        <f>IF($A2557="","",VALUE($A2557&amp;"")*12+VALUE($B2557&amp;""))</f>
        <v/>
      </c>
      <c r="N2557" s="39">
        <f>IF($A2557="","",IFERROR(INDEX(부서매핑!$C$5:$C$504,MATCH($G2557&amp;"",부서매핑!$A$5:$A$504,0)),"미매핑"))</f>
        <v/>
      </c>
      <c r="O2557" s="9">
        <f>IF($A2557="","",N2557&amp;"|"&amp;$F2557)</f>
        <v/>
      </c>
      <c r="P2557" s="77">
        <f>IF($A2557="",0,$H2557*설정!$C$23)</f>
        <v/>
      </c>
      <c r="Q2557" s="39">
        <f>IF($A2557="","",IF(O2557&lt;&gt;원인분석!$C$9,"",IF(AND(M2557&gt;=원인분석!$C$10,M2557&lt;=원인분석!$C$11),"당기",IF(AND(M2557&gt;=원인분석!$C$12,M2557&lt;=원인분석!$C$13),"비교",""))))</f>
        <v/>
      </c>
      <c r="R2557" s="9">
        <f>IF(Q2557="","",$K2557&amp;"")</f>
        <v/>
      </c>
      <c r="S2557" s="9">
        <f>IF(Q2557="","",IF(MATCH(R2557,$R$5:$R$100000,0)=ROW()-4,ROW(),""))</f>
        <v/>
      </c>
      <c r="T2557" s="9">
        <f>IF(Q2557="당기",ABS(P2557)+ROW()/1000000000,"")</f>
        <v/>
      </c>
      <c r="U2557" s="9">
        <f>IF(Q2557="비교",ABS(P2557)+ROW()/1000000000,"")</f>
        <v/>
      </c>
      <c r="V2557" s="39">
        <f>IF($A2557="","",IF(COUNTIF(변동분석!$E$7:$E$506,O2557)&gt;0,"Y","N"))</f>
        <v/>
      </c>
      <c r="W2557" s="39">
        <f>IF($A2557="","",IFERROR(INDEX(계정매핑!$D$5:$D$504,MATCH($F2557&amp;"",계정매핑!$A$5:$A$504,0)),"미매핑"))</f>
        <v/>
      </c>
      <c r="X2557" s="9">
        <f>IF($A2557="","",$F2557&amp;"")</f>
        <v/>
      </c>
    </row>
    <row r="2558">
      <c r="A2558" s="75" t="n">
        <v>2026</v>
      </c>
      <c r="B2558" s="75" t="n">
        <v>2</v>
      </c>
      <c r="C2558" s="75" t="inlineStr">
        <is>
          <t>5100000214</t>
        </is>
      </c>
      <c r="D2558" s="78" t="n">
        <v>46057</v>
      </c>
      <c r="E2558" s="75" t="inlineStr">
        <is>
          <t>KR</t>
        </is>
      </c>
      <c r="F2558" s="75" t="n">
        <v>62101000</v>
      </c>
      <c r="G2558" s="75" t="n">
        <v>1201</v>
      </c>
      <c r="H2558" s="76" t="n">
        <v>189000</v>
      </c>
      <c r="I2558" s="75" t="inlineStr">
        <is>
          <t>2월 국내출장 - M항공</t>
        </is>
      </c>
      <c r="J2558" s="75" t="inlineStr">
        <is>
          <t>V10001</t>
        </is>
      </c>
      <c r="K2558" s="75" t="inlineStr">
        <is>
          <t>M항공</t>
        </is>
      </c>
      <c r="M2558" s="9">
        <f>IF($A2558="","",VALUE($A2558&amp;"")*12+VALUE($B2558&amp;""))</f>
        <v/>
      </c>
      <c r="N2558" s="39">
        <f>IF($A2558="","",IFERROR(INDEX(부서매핑!$C$5:$C$504,MATCH($G2558&amp;"",부서매핑!$A$5:$A$504,0)),"미매핑"))</f>
        <v/>
      </c>
      <c r="O2558" s="9">
        <f>IF($A2558="","",N2558&amp;"|"&amp;$F2558)</f>
        <v/>
      </c>
      <c r="P2558" s="77">
        <f>IF($A2558="",0,$H2558*설정!$C$23)</f>
        <v/>
      </c>
      <c r="Q2558" s="39">
        <f>IF($A2558="","",IF(O2558&lt;&gt;원인분석!$C$9,"",IF(AND(M2558&gt;=원인분석!$C$10,M2558&lt;=원인분석!$C$11),"당기",IF(AND(M2558&gt;=원인분석!$C$12,M2558&lt;=원인분석!$C$13),"비교",""))))</f>
        <v/>
      </c>
      <c r="R2558" s="9">
        <f>IF(Q2558="","",$K2558&amp;"")</f>
        <v/>
      </c>
      <c r="S2558" s="9">
        <f>IF(Q2558="","",IF(MATCH(R2558,$R$5:$R$100000,0)=ROW()-4,ROW(),""))</f>
        <v/>
      </c>
      <c r="T2558" s="9">
        <f>IF(Q2558="당기",ABS(P2558)+ROW()/1000000000,"")</f>
        <v/>
      </c>
      <c r="U2558" s="9">
        <f>IF(Q2558="비교",ABS(P2558)+ROW()/1000000000,"")</f>
        <v/>
      </c>
      <c r="V2558" s="39">
        <f>IF($A2558="","",IF(COUNTIF(변동분석!$E$7:$E$506,O2558)&gt;0,"Y","N"))</f>
        <v/>
      </c>
      <c r="W2558" s="39">
        <f>IF($A2558="","",IFERROR(INDEX(계정매핑!$D$5:$D$504,MATCH($F2558&amp;"",계정매핑!$A$5:$A$504,0)),"미매핑"))</f>
        <v/>
      </c>
      <c r="X2558" s="9">
        <f>IF($A2558="","",$F2558&amp;"")</f>
        <v/>
      </c>
    </row>
    <row r="2559">
      <c r="A2559" s="75" t="n">
        <v>2026</v>
      </c>
      <c r="B2559" s="75" t="n">
        <v>2</v>
      </c>
      <c r="C2559" s="75" t="inlineStr">
        <is>
          <t>5100000215</t>
        </is>
      </c>
      <c r="D2559" s="78" t="n">
        <v>46057</v>
      </c>
      <c r="E2559" s="75" t="inlineStr">
        <is>
          <t>KR</t>
        </is>
      </c>
      <c r="F2559" s="75" t="n">
        <v>62101000</v>
      </c>
      <c r="G2559" s="75" t="n">
        <v>1801</v>
      </c>
      <c r="H2559" s="76" t="n">
        <v>126000</v>
      </c>
      <c r="I2559" s="75" t="inlineStr">
        <is>
          <t>2월 국내출장 - M항공</t>
        </is>
      </c>
      <c r="J2559" s="75" t="inlineStr">
        <is>
          <t>V10001</t>
        </is>
      </c>
      <c r="K2559" s="75" t="inlineStr">
        <is>
          <t>M항공</t>
        </is>
      </c>
      <c r="M2559" s="9">
        <f>IF($A2559="","",VALUE($A2559&amp;"")*12+VALUE($B2559&amp;""))</f>
        <v/>
      </c>
      <c r="N2559" s="39">
        <f>IF($A2559="","",IFERROR(INDEX(부서매핑!$C$5:$C$504,MATCH($G2559&amp;"",부서매핑!$A$5:$A$504,0)),"미매핑"))</f>
        <v/>
      </c>
      <c r="O2559" s="9">
        <f>IF($A2559="","",N2559&amp;"|"&amp;$F2559)</f>
        <v/>
      </c>
      <c r="P2559" s="77">
        <f>IF($A2559="",0,$H2559*설정!$C$23)</f>
        <v/>
      </c>
      <c r="Q2559" s="39">
        <f>IF($A2559="","",IF(O2559&lt;&gt;원인분석!$C$9,"",IF(AND(M2559&gt;=원인분석!$C$10,M2559&lt;=원인분석!$C$11),"당기",IF(AND(M2559&gt;=원인분석!$C$12,M2559&lt;=원인분석!$C$13),"비교",""))))</f>
        <v/>
      </c>
      <c r="R2559" s="9">
        <f>IF(Q2559="","",$K2559&amp;"")</f>
        <v/>
      </c>
      <c r="S2559" s="9">
        <f>IF(Q2559="","",IF(MATCH(R2559,$R$5:$R$100000,0)=ROW()-4,ROW(),""))</f>
        <v/>
      </c>
      <c r="T2559" s="9">
        <f>IF(Q2559="당기",ABS(P2559)+ROW()/1000000000,"")</f>
        <v/>
      </c>
      <c r="U2559" s="9">
        <f>IF(Q2559="비교",ABS(P2559)+ROW()/1000000000,"")</f>
        <v/>
      </c>
      <c r="V2559" s="39">
        <f>IF($A2559="","",IF(COUNTIF(변동분석!$E$7:$E$506,O2559)&gt;0,"Y","N"))</f>
        <v/>
      </c>
      <c r="W2559" s="39">
        <f>IF($A2559="","",IFERROR(INDEX(계정매핑!$D$5:$D$504,MATCH($F2559&amp;"",계정매핑!$A$5:$A$504,0)),"미매핑"))</f>
        <v/>
      </c>
      <c r="X2559" s="9">
        <f>IF($A2559="","",$F2559&amp;"")</f>
        <v/>
      </c>
    </row>
    <row r="2560">
      <c r="A2560" s="75" t="n">
        <v>2026</v>
      </c>
      <c r="B2560" s="75" t="n">
        <v>2</v>
      </c>
      <c r="C2560" s="75" t="inlineStr">
        <is>
          <t>5100000216</t>
        </is>
      </c>
      <c r="D2560" s="78" t="n">
        <v>46057</v>
      </c>
      <c r="E2560" s="75" t="inlineStr">
        <is>
          <t>KR</t>
        </is>
      </c>
      <c r="F2560" s="75" t="n">
        <v>62102000</v>
      </c>
      <c r="G2560" s="75" t="n">
        <v>1201</v>
      </c>
      <c r="H2560" s="76" t="n">
        <v>39000</v>
      </c>
      <c r="I2560" s="75" t="inlineStr">
        <is>
          <t>2월 해외출장 - M항공</t>
        </is>
      </c>
      <c r="J2560" s="75" t="inlineStr">
        <is>
          <t>V10001</t>
        </is>
      </c>
      <c r="K2560" s="75" t="inlineStr">
        <is>
          <t>M항공</t>
        </is>
      </c>
      <c r="M2560" s="9">
        <f>IF($A2560="","",VALUE($A2560&amp;"")*12+VALUE($B2560&amp;""))</f>
        <v/>
      </c>
      <c r="N2560" s="39">
        <f>IF($A2560="","",IFERROR(INDEX(부서매핑!$C$5:$C$504,MATCH($G2560&amp;"",부서매핑!$A$5:$A$504,0)),"미매핑"))</f>
        <v/>
      </c>
      <c r="O2560" s="9">
        <f>IF($A2560="","",N2560&amp;"|"&amp;$F2560)</f>
        <v/>
      </c>
      <c r="P2560" s="77">
        <f>IF($A2560="",0,$H2560*설정!$C$23)</f>
        <v/>
      </c>
      <c r="Q2560" s="39">
        <f>IF($A2560="","",IF(O2560&lt;&gt;원인분석!$C$9,"",IF(AND(M2560&gt;=원인분석!$C$10,M2560&lt;=원인분석!$C$11),"당기",IF(AND(M2560&gt;=원인분석!$C$12,M2560&lt;=원인분석!$C$13),"비교",""))))</f>
        <v/>
      </c>
      <c r="R2560" s="9">
        <f>IF(Q2560="","",$K2560&amp;"")</f>
        <v/>
      </c>
      <c r="S2560" s="9">
        <f>IF(Q2560="","",IF(MATCH(R2560,$R$5:$R$100000,0)=ROW()-4,ROW(),""))</f>
        <v/>
      </c>
      <c r="T2560" s="9">
        <f>IF(Q2560="당기",ABS(P2560)+ROW()/1000000000,"")</f>
        <v/>
      </c>
      <c r="U2560" s="9">
        <f>IF(Q2560="비교",ABS(P2560)+ROW()/1000000000,"")</f>
        <v/>
      </c>
      <c r="V2560" s="39">
        <f>IF($A2560="","",IF(COUNTIF(변동분석!$E$7:$E$506,O2560)&gt;0,"Y","N"))</f>
        <v/>
      </c>
      <c r="W2560" s="39">
        <f>IF($A2560="","",IFERROR(INDEX(계정매핑!$D$5:$D$504,MATCH($F2560&amp;"",계정매핑!$A$5:$A$504,0)),"미매핑"))</f>
        <v/>
      </c>
      <c r="X2560" s="9">
        <f>IF($A2560="","",$F2560&amp;"")</f>
        <v/>
      </c>
    </row>
    <row r="2561">
      <c r="A2561" s="75" t="n">
        <v>2026</v>
      </c>
      <c r="B2561" s="75" t="n">
        <v>2</v>
      </c>
      <c r="C2561" s="75" t="inlineStr">
        <is>
          <t>5100000217</t>
        </is>
      </c>
      <c r="D2561" s="78" t="n">
        <v>46057</v>
      </c>
      <c r="E2561" s="75" t="inlineStr">
        <is>
          <t>KR</t>
        </is>
      </c>
      <c r="F2561" s="75" t="n">
        <v>62102000</v>
      </c>
      <c r="G2561" s="75" t="n">
        <v>1701</v>
      </c>
      <c r="H2561" s="76" t="n">
        <v>67000</v>
      </c>
      <c r="I2561" s="75" t="inlineStr">
        <is>
          <t>2월 해외출장 - M항공</t>
        </is>
      </c>
      <c r="J2561" s="75" t="inlineStr">
        <is>
          <t>V10001</t>
        </is>
      </c>
      <c r="K2561" s="75" t="inlineStr">
        <is>
          <t>M항공</t>
        </is>
      </c>
      <c r="M2561" s="9">
        <f>IF($A2561="","",VALUE($A2561&amp;"")*12+VALUE($B2561&amp;""))</f>
        <v/>
      </c>
      <c r="N2561" s="39">
        <f>IF($A2561="","",IFERROR(INDEX(부서매핑!$C$5:$C$504,MATCH($G2561&amp;"",부서매핑!$A$5:$A$504,0)),"미매핑"))</f>
        <v/>
      </c>
      <c r="O2561" s="9">
        <f>IF($A2561="","",N2561&amp;"|"&amp;$F2561)</f>
        <v/>
      </c>
      <c r="P2561" s="77">
        <f>IF($A2561="",0,$H2561*설정!$C$23)</f>
        <v/>
      </c>
      <c r="Q2561" s="39">
        <f>IF($A2561="","",IF(O2561&lt;&gt;원인분석!$C$9,"",IF(AND(M2561&gt;=원인분석!$C$10,M2561&lt;=원인분석!$C$11),"당기",IF(AND(M2561&gt;=원인분석!$C$12,M2561&lt;=원인분석!$C$13),"비교",""))))</f>
        <v/>
      </c>
      <c r="R2561" s="9">
        <f>IF(Q2561="","",$K2561&amp;"")</f>
        <v/>
      </c>
      <c r="S2561" s="9">
        <f>IF(Q2561="","",IF(MATCH(R2561,$R$5:$R$100000,0)=ROW()-4,ROW(),""))</f>
        <v/>
      </c>
      <c r="T2561" s="9">
        <f>IF(Q2561="당기",ABS(P2561)+ROW()/1000000000,"")</f>
        <v/>
      </c>
      <c r="U2561" s="9">
        <f>IF(Q2561="비교",ABS(P2561)+ROW()/1000000000,"")</f>
        <v/>
      </c>
      <c r="V2561" s="39">
        <f>IF($A2561="","",IF(COUNTIF(변동분석!$E$7:$E$506,O2561)&gt;0,"Y","N"))</f>
        <v/>
      </c>
      <c r="W2561" s="39">
        <f>IF($A2561="","",IFERROR(INDEX(계정매핑!$D$5:$D$504,MATCH($F2561&amp;"",계정매핑!$A$5:$A$504,0)),"미매핑"))</f>
        <v/>
      </c>
      <c r="X2561" s="9">
        <f>IF($A2561="","",$F2561&amp;"")</f>
        <v/>
      </c>
    </row>
    <row r="2562">
      <c r="A2562" s="75" t="n">
        <v>2026</v>
      </c>
      <c r="B2562" s="75" t="n">
        <v>2</v>
      </c>
      <c r="C2562" s="75" t="inlineStr">
        <is>
          <t>5100000218</t>
        </is>
      </c>
      <c r="D2562" s="78" t="n">
        <v>46057</v>
      </c>
      <c r="E2562" s="75" t="inlineStr">
        <is>
          <t>KR</t>
        </is>
      </c>
      <c r="F2562" s="75" t="n">
        <v>62201000</v>
      </c>
      <c r="G2562" s="75" t="n">
        <v>1501</v>
      </c>
      <c r="H2562" s="76" t="n">
        <v>248000</v>
      </c>
      <c r="I2562" s="75" t="inlineStr">
        <is>
          <t>2월 통신요금 - P통신</t>
        </is>
      </c>
      <c r="J2562" s="75" t="inlineStr">
        <is>
          <t>V10011</t>
        </is>
      </c>
      <c r="K2562" s="75" t="inlineStr">
        <is>
          <t>P통신</t>
        </is>
      </c>
      <c r="M2562" s="9">
        <f>IF($A2562="","",VALUE($A2562&amp;"")*12+VALUE($B2562&amp;""))</f>
        <v/>
      </c>
      <c r="N2562" s="39">
        <f>IF($A2562="","",IFERROR(INDEX(부서매핑!$C$5:$C$504,MATCH($G2562&amp;"",부서매핑!$A$5:$A$504,0)),"미매핑"))</f>
        <v/>
      </c>
      <c r="O2562" s="9">
        <f>IF($A2562="","",N2562&amp;"|"&amp;$F2562)</f>
        <v/>
      </c>
      <c r="P2562" s="77">
        <f>IF($A2562="",0,$H2562*설정!$C$23)</f>
        <v/>
      </c>
      <c r="Q2562" s="39">
        <f>IF($A2562="","",IF(O2562&lt;&gt;원인분석!$C$9,"",IF(AND(M2562&gt;=원인분석!$C$10,M2562&lt;=원인분석!$C$11),"당기",IF(AND(M2562&gt;=원인분석!$C$12,M2562&lt;=원인분석!$C$13),"비교",""))))</f>
        <v/>
      </c>
      <c r="R2562" s="9">
        <f>IF(Q2562="","",$K2562&amp;"")</f>
        <v/>
      </c>
      <c r="S2562" s="9">
        <f>IF(Q2562="","",IF(MATCH(R2562,$R$5:$R$100000,0)=ROW()-4,ROW(),""))</f>
        <v/>
      </c>
      <c r="T2562" s="9">
        <f>IF(Q2562="당기",ABS(P2562)+ROW()/1000000000,"")</f>
        <v/>
      </c>
      <c r="U2562" s="9">
        <f>IF(Q2562="비교",ABS(P2562)+ROW()/1000000000,"")</f>
        <v/>
      </c>
      <c r="V2562" s="39">
        <f>IF($A2562="","",IF(COUNTIF(변동분석!$E$7:$E$506,O2562)&gt;0,"Y","N"))</f>
        <v/>
      </c>
      <c r="W2562" s="39">
        <f>IF($A2562="","",IFERROR(INDEX(계정매핑!$D$5:$D$504,MATCH($F2562&amp;"",계정매핑!$A$5:$A$504,0)),"미매핑"))</f>
        <v/>
      </c>
      <c r="X2562" s="9">
        <f>IF($A2562="","",$F2562&amp;"")</f>
        <v/>
      </c>
    </row>
    <row r="2563">
      <c r="A2563" s="75" t="n">
        <v>2026</v>
      </c>
      <c r="B2563" s="75" t="n">
        <v>2</v>
      </c>
      <c r="C2563" s="75" t="inlineStr">
        <is>
          <t>5100000219</t>
        </is>
      </c>
      <c r="D2563" s="78" t="n">
        <v>46057</v>
      </c>
      <c r="E2563" s="75" t="inlineStr">
        <is>
          <t>KR</t>
        </is>
      </c>
      <c r="F2563" s="75" t="n">
        <v>62301000</v>
      </c>
      <c r="G2563" s="75" t="n">
        <v>1801</v>
      </c>
      <c r="H2563" s="76" t="n">
        <v>891000</v>
      </c>
      <c r="I2563" s="75" t="inlineStr">
        <is>
          <t>2월 소모품 구입 - R문구</t>
        </is>
      </c>
      <c r="J2563" s="75" t="inlineStr">
        <is>
          <t>V10018</t>
        </is>
      </c>
      <c r="K2563" s="75" t="inlineStr">
        <is>
          <t>R문구</t>
        </is>
      </c>
      <c r="M2563" s="9">
        <f>IF($A2563="","",VALUE($A2563&amp;"")*12+VALUE($B2563&amp;""))</f>
        <v/>
      </c>
      <c r="N2563" s="39">
        <f>IF($A2563="","",IFERROR(INDEX(부서매핑!$C$5:$C$504,MATCH($G2563&amp;"",부서매핑!$A$5:$A$504,0)),"미매핑"))</f>
        <v/>
      </c>
      <c r="O2563" s="9">
        <f>IF($A2563="","",N2563&amp;"|"&amp;$F2563)</f>
        <v/>
      </c>
      <c r="P2563" s="77">
        <f>IF($A2563="",0,$H2563*설정!$C$23)</f>
        <v/>
      </c>
      <c r="Q2563" s="39">
        <f>IF($A2563="","",IF(O2563&lt;&gt;원인분석!$C$9,"",IF(AND(M2563&gt;=원인분석!$C$10,M2563&lt;=원인분석!$C$11),"당기",IF(AND(M2563&gt;=원인분석!$C$12,M2563&lt;=원인분석!$C$13),"비교",""))))</f>
        <v/>
      </c>
      <c r="R2563" s="9">
        <f>IF(Q2563="","",$K2563&amp;"")</f>
        <v/>
      </c>
      <c r="S2563" s="9">
        <f>IF(Q2563="","",IF(MATCH(R2563,$R$5:$R$100000,0)=ROW()-4,ROW(),""))</f>
        <v/>
      </c>
      <c r="T2563" s="9">
        <f>IF(Q2563="당기",ABS(P2563)+ROW()/1000000000,"")</f>
        <v/>
      </c>
      <c r="U2563" s="9">
        <f>IF(Q2563="비교",ABS(P2563)+ROW()/1000000000,"")</f>
        <v/>
      </c>
      <c r="V2563" s="39">
        <f>IF($A2563="","",IF(COUNTIF(변동분석!$E$7:$E$506,O2563)&gt;0,"Y","N"))</f>
        <v/>
      </c>
      <c r="W2563" s="39">
        <f>IF($A2563="","",IFERROR(INDEX(계정매핑!$D$5:$D$504,MATCH($F2563&amp;"",계정매핑!$A$5:$A$504,0)),"미매핑"))</f>
        <v/>
      </c>
      <c r="X2563" s="9">
        <f>IF($A2563="","",$F2563&amp;"")</f>
        <v/>
      </c>
    </row>
    <row r="2564">
      <c r="A2564" s="75" t="n">
        <v>2026</v>
      </c>
      <c r="B2564" s="75" t="n">
        <v>2</v>
      </c>
      <c r="C2564" s="75" t="inlineStr">
        <is>
          <t>5100000220</t>
        </is>
      </c>
      <c r="D2564" s="78" t="n">
        <v>46058</v>
      </c>
      <c r="E2564" s="75" t="inlineStr">
        <is>
          <t>KR</t>
        </is>
      </c>
      <c r="F2564" s="75" t="n">
        <v>62102000</v>
      </c>
      <c r="G2564" s="75" t="n">
        <v>1301</v>
      </c>
      <c r="H2564" s="76" t="n">
        <v>117000</v>
      </c>
      <c r="I2564" s="75" t="inlineStr">
        <is>
          <t>2월 해외출장 - M항공</t>
        </is>
      </c>
      <c r="J2564" s="75" t="inlineStr">
        <is>
          <t>V10001</t>
        </is>
      </c>
      <c r="K2564" s="75" t="inlineStr">
        <is>
          <t>M항공</t>
        </is>
      </c>
      <c r="M2564" s="9">
        <f>IF($A2564="","",VALUE($A2564&amp;"")*12+VALUE($B2564&amp;""))</f>
        <v/>
      </c>
      <c r="N2564" s="39">
        <f>IF($A2564="","",IFERROR(INDEX(부서매핑!$C$5:$C$504,MATCH($G2564&amp;"",부서매핑!$A$5:$A$504,0)),"미매핑"))</f>
        <v/>
      </c>
      <c r="O2564" s="9">
        <f>IF($A2564="","",N2564&amp;"|"&amp;$F2564)</f>
        <v/>
      </c>
      <c r="P2564" s="77">
        <f>IF($A2564="",0,$H2564*설정!$C$23)</f>
        <v/>
      </c>
      <c r="Q2564" s="39">
        <f>IF($A2564="","",IF(O2564&lt;&gt;원인분석!$C$9,"",IF(AND(M2564&gt;=원인분석!$C$10,M2564&lt;=원인분석!$C$11),"당기",IF(AND(M2564&gt;=원인분석!$C$12,M2564&lt;=원인분석!$C$13),"비교",""))))</f>
        <v/>
      </c>
      <c r="R2564" s="9">
        <f>IF(Q2564="","",$K2564&amp;"")</f>
        <v/>
      </c>
      <c r="S2564" s="9">
        <f>IF(Q2564="","",IF(MATCH(R2564,$R$5:$R$100000,0)=ROW()-4,ROW(),""))</f>
        <v/>
      </c>
      <c r="T2564" s="9">
        <f>IF(Q2564="당기",ABS(P2564)+ROW()/1000000000,"")</f>
        <v/>
      </c>
      <c r="U2564" s="9">
        <f>IF(Q2564="비교",ABS(P2564)+ROW()/1000000000,"")</f>
        <v/>
      </c>
      <c r="V2564" s="39">
        <f>IF($A2564="","",IF(COUNTIF(변동분석!$E$7:$E$506,O2564)&gt;0,"Y","N"))</f>
        <v/>
      </c>
      <c r="W2564" s="39">
        <f>IF($A2564="","",IFERROR(INDEX(계정매핑!$D$5:$D$504,MATCH($F2564&amp;"",계정매핑!$A$5:$A$504,0)),"미매핑"))</f>
        <v/>
      </c>
      <c r="X2564" s="9">
        <f>IF($A2564="","",$F2564&amp;"")</f>
        <v/>
      </c>
    </row>
    <row r="2565">
      <c r="A2565" s="75" t="n">
        <v>2026</v>
      </c>
      <c r="B2565" s="75" t="n">
        <v>2</v>
      </c>
      <c r="C2565" s="75" t="inlineStr">
        <is>
          <t>5100000221</t>
        </is>
      </c>
      <c r="D2565" s="78" t="n">
        <v>46058</v>
      </c>
      <c r="E2565" s="75" t="inlineStr">
        <is>
          <t>KR</t>
        </is>
      </c>
      <c r="F2565" s="75" t="n">
        <v>62102000</v>
      </c>
      <c r="G2565" s="75" t="n">
        <v>1501</v>
      </c>
      <c r="H2565" s="76" t="n">
        <v>167000</v>
      </c>
      <c r="I2565" s="75" t="inlineStr">
        <is>
          <t>2월 해외출장 - M항공</t>
        </is>
      </c>
      <c r="J2565" s="75" t="inlineStr">
        <is>
          <t>V10001</t>
        </is>
      </c>
      <c r="K2565" s="75" t="inlineStr">
        <is>
          <t>M항공</t>
        </is>
      </c>
      <c r="M2565" s="9">
        <f>IF($A2565="","",VALUE($A2565&amp;"")*12+VALUE($B2565&amp;""))</f>
        <v/>
      </c>
      <c r="N2565" s="39">
        <f>IF($A2565="","",IFERROR(INDEX(부서매핑!$C$5:$C$504,MATCH($G2565&amp;"",부서매핑!$A$5:$A$504,0)),"미매핑"))</f>
        <v/>
      </c>
      <c r="O2565" s="9">
        <f>IF($A2565="","",N2565&amp;"|"&amp;$F2565)</f>
        <v/>
      </c>
      <c r="P2565" s="77">
        <f>IF($A2565="",0,$H2565*설정!$C$23)</f>
        <v/>
      </c>
      <c r="Q2565" s="39">
        <f>IF($A2565="","",IF(O2565&lt;&gt;원인분석!$C$9,"",IF(AND(M2565&gt;=원인분석!$C$10,M2565&lt;=원인분석!$C$11),"당기",IF(AND(M2565&gt;=원인분석!$C$12,M2565&lt;=원인분석!$C$13),"비교",""))))</f>
        <v/>
      </c>
      <c r="R2565" s="9">
        <f>IF(Q2565="","",$K2565&amp;"")</f>
        <v/>
      </c>
      <c r="S2565" s="9">
        <f>IF(Q2565="","",IF(MATCH(R2565,$R$5:$R$100000,0)=ROW()-4,ROW(),""))</f>
        <v/>
      </c>
      <c r="T2565" s="9">
        <f>IF(Q2565="당기",ABS(P2565)+ROW()/1000000000,"")</f>
        <v/>
      </c>
      <c r="U2565" s="9">
        <f>IF(Q2565="비교",ABS(P2565)+ROW()/1000000000,"")</f>
        <v/>
      </c>
      <c r="V2565" s="39">
        <f>IF($A2565="","",IF(COUNTIF(변동분석!$E$7:$E$506,O2565)&gt;0,"Y","N"))</f>
        <v/>
      </c>
      <c r="W2565" s="39">
        <f>IF($A2565="","",IFERROR(INDEX(계정매핑!$D$5:$D$504,MATCH($F2565&amp;"",계정매핑!$A$5:$A$504,0)),"미매핑"))</f>
        <v/>
      </c>
      <c r="X2565" s="9">
        <f>IF($A2565="","",$F2565&amp;"")</f>
        <v/>
      </c>
    </row>
    <row r="2566">
      <c r="A2566" s="75" t="n">
        <v>2026</v>
      </c>
      <c r="B2566" s="75" t="n">
        <v>2</v>
      </c>
      <c r="C2566" s="75" t="inlineStr">
        <is>
          <t>5100000222</t>
        </is>
      </c>
      <c r="D2566" s="78" t="n">
        <v>46058</v>
      </c>
      <c r="E2566" s="75" t="inlineStr">
        <is>
          <t>KR</t>
        </is>
      </c>
      <c r="F2566" s="75" t="n">
        <v>62201000</v>
      </c>
      <c r="G2566" s="75" t="n">
        <v>1502</v>
      </c>
      <c r="H2566" s="76" t="n">
        <v>356000</v>
      </c>
      <c r="I2566" s="75" t="inlineStr">
        <is>
          <t>2월 통신요금 - P통신</t>
        </is>
      </c>
      <c r="J2566" s="75" t="inlineStr">
        <is>
          <t>V10011</t>
        </is>
      </c>
      <c r="K2566" s="75" t="inlineStr">
        <is>
          <t>P통신</t>
        </is>
      </c>
      <c r="M2566" s="9">
        <f>IF($A2566="","",VALUE($A2566&amp;"")*12+VALUE($B2566&amp;""))</f>
        <v/>
      </c>
      <c r="N2566" s="39">
        <f>IF($A2566="","",IFERROR(INDEX(부서매핑!$C$5:$C$504,MATCH($G2566&amp;"",부서매핑!$A$5:$A$504,0)),"미매핑"))</f>
        <v/>
      </c>
      <c r="O2566" s="9">
        <f>IF($A2566="","",N2566&amp;"|"&amp;$F2566)</f>
        <v/>
      </c>
      <c r="P2566" s="77">
        <f>IF($A2566="",0,$H2566*설정!$C$23)</f>
        <v/>
      </c>
      <c r="Q2566" s="39">
        <f>IF($A2566="","",IF(O2566&lt;&gt;원인분석!$C$9,"",IF(AND(M2566&gt;=원인분석!$C$10,M2566&lt;=원인분석!$C$11),"당기",IF(AND(M2566&gt;=원인분석!$C$12,M2566&lt;=원인분석!$C$13),"비교",""))))</f>
        <v/>
      </c>
      <c r="R2566" s="9">
        <f>IF(Q2566="","",$K2566&amp;"")</f>
        <v/>
      </c>
      <c r="S2566" s="9">
        <f>IF(Q2566="","",IF(MATCH(R2566,$R$5:$R$100000,0)=ROW()-4,ROW(),""))</f>
        <v/>
      </c>
      <c r="T2566" s="9">
        <f>IF(Q2566="당기",ABS(P2566)+ROW()/1000000000,"")</f>
        <v/>
      </c>
      <c r="U2566" s="9">
        <f>IF(Q2566="비교",ABS(P2566)+ROW()/1000000000,"")</f>
        <v/>
      </c>
      <c r="V2566" s="39">
        <f>IF($A2566="","",IF(COUNTIF(변동분석!$E$7:$E$506,O2566)&gt;0,"Y","N"))</f>
        <v/>
      </c>
      <c r="W2566" s="39">
        <f>IF($A2566="","",IFERROR(INDEX(계정매핑!$D$5:$D$504,MATCH($F2566&amp;"",계정매핑!$A$5:$A$504,0)),"미매핑"))</f>
        <v/>
      </c>
      <c r="X2566" s="9">
        <f>IF($A2566="","",$F2566&amp;"")</f>
        <v/>
      </c>
    </row>
    <row r="2567">
      <c r="A2567" s="75" t="n">
        <v>2026</v>
      </c>
      <c r="B2567" s="75" t="n">
        <v>2</v>
      </c>
      <c r="C2567" s="75" t="inlineStr">
        <is>
          <t>5100000223</t>
        </is>
      </c>
      <c r="D2567" s="78" t="n">
        <v>46058</v>
      </c>
      <c r="E2567" s="75" t="inlineStr">
        <is>
          <t>KR</t>
        </is>
      </c>
      <c r="F2567" s="75" t="n">
        <v>62301000</v>
      </c>
      <c r="G2567" s="75" t="n">
        <v>1401</v>
      </c>
      <c r="H2567" s="76" t="n">
        <v>141000</v>
      </c>
      <c r="I2567" s="75" t="inlineStr">
        <is>
          <t>2월 소모품 구입 - Q오피스</t>
        </is>
      </c>
      <c r="J2567" s="75" t="inlineStr">
        <is>
          <t>V10003</t>
        </is>
      </c>
      <c r="K2567" s="75" t="inlineStr">
        <is>
          <t>Q오피스</t>
        </is>
      </c>
      <c r="M2567" s="9">
        <f>IF($A2567="","",VALUE($A2567&amp;"")*12+VALUE($B2567&amp;""))</f>
        <v/>
      </c>
      <c r="N2567" s="39">
        <f>IF($A2567="","",IFERROR(INDEX(부서매핑!$C$5:$C$504,MATCH($G2567&amp;"",부서매핑!$A$5:$A$504,0)),"미매핑"))</f>
        <v/>
      </c>
      <c r="O2567" s="9">
        <f>IF($A2567="","",N2567&amp;"|"&amp;$F2567)</f>
        <v/>
      </c>
      <c r="P2567" s="77">
        <f>IF($A2567="",0,$H2567*설정!$C$23)</f>
        <v/>
      </c>
      <c r="Q2567" s="39">
        <f>IF($A2567="","",IF(O2567&lt;&gt;원인분석!$C$9,"",IF(AND(M2567&gt;=원인분석!$C$10,M2567&lt;=원인분석!$C$11),"당기",IF(AND(M2567&gt;=원인분석!$C$12,M2567&lt;=원인분석!$C$13),"비교",""))))</f>
        <v/>
      </c>
      <c r="R2567" s="9">
        <f>IF(Q2567="","",$K2567&amp;"")</f>
        <v/>
      </c>
      <c r="S2567" s="9">
        <f>IF(Q2567="","",IF(MATCH(R2567,$R$5:$R$100000,0)=ROW()-4,ROW(),""))</f>
        <v/>
      </c>
      <c r="T2567" s="9">
        <f>IF(Q2567="당기",ABS(P2567)+ROW()/1000000000,"")</f>
        <v/>
      </c>
      <c r="U2567" s="9">
        <f>IF(Q2567="비교",ABS(P2567)+ROW()/1000000000,"")</f>
        <v/>
      </c>
      <c r="V2567" s="39">
        <f>IF($A2567="","",IF(COUNTIF(변동분석!$E$7:$E$506,O2567)&gt;0,"Y","N"))</f>
        <v/>
      </c>
      <c r="W2567" s="39">
        <f>IF($A2567="","",IFERROR(INDEX(계정매핑!$D$5:$D$504,MATCH($F2567&amp;"",계정매핑!$A$5:$A$504,0)),"미매핑"))</f>
        <v/>
      </c>
      <c r="X2567" s="9">
        <f>IF($A2567="","",$F2567&amp;"")</f>
        <v/>
      </c>
    </row>
    <row r="2568">
      <c r="A2568" s="75" t="n">
        <v>2026</v>
      </c>
      <c r="B2568" s="75" t="n">
        <v>2</v>
      </c>
      <c r="C2568" s="75" t="inlineStr">
        <is>
          <t>5100000224</t>
        </is>
      </c>
      <c r="D2568" s="78" t="n">
        <v>46058</v>
      </c>
      <c r="E2568" s="75" t="inlineStr">
        <is>
          <t>KR</t>
        </is>
      </c>
      <c r="F2568" s="75" t="n">
        <v>62501000</v>
      </c>
      <c r="G2568" s="75" t="n">
        <v>1301</v>
      </c>
      <c r="H2568" s="76" t="n">
        <v>266000</v>
      </c>
      <c r="I2568" s="75" t="inlineStr">
        <is>
          <t>2월 회의 다과 - (법인카드)</t>
        </is>
      </c>
      <c r="J2568" s="75" t="inlineStr">
        <is>
          <t>V10008</t>
        </is>
      </c>
      <c r="K2568" s="75" t="inlineStr">
        <is>
          <t>(법인카드)</t>
        </is>
      </c>
      <c r="M2568" s="9">
        <f>IF($A2568="","",VALUE($A2568&amp;"")*12+VALUE($B2568&amp;""))</f>
        <v/>
      </c>
      <c r="N2568" s="39">
        <f>IF($A2568="","",IFERROR(INDEX(부서매핑!$C$5:$C$504,MATCH($G2568&amp;"",부서매핑!$A$5:$A$504,0)),"미매핑"))</f>
        <v/>
      </c>
      <c r="O2568" s="9">
        <f>IF($A2568="","",N2568&amp;"|"&amp;$F2568)</f>
        <v/>
      </c>
      <c r="P2568" s="77">
        <f>IF($A2568="",0,$H2568*설정!$C$23)</f>
        <v/>
      </c>
      <c r="Q2568" s="39">
        <f>IF($A2568="","",IF(O2568&lt;&gt;원인분석!$C$9,"",IF(AND(M2568&gt;=원인분석!$C$10,M2568&lt;=원인분석!$C$11),"당기",IF(AND(M2568&gt;=원인분석!$C$12,M2568&lt;=원인분석!$C$13),"비교",""))))</f>
        <v/>
      </c>
      <c r="R2568" s="9">
        <f>IF(Q2568="","",$K2568&amp;"")</f>
        <v/>
      </c>
      <c r="S2568" s="9">
        <f>IF(Q2568="","",IF(MATCH(R2568,$R$5:$R$100000,0)=ROW()-4,ROW(),""))</f>
        <v/>
      </c>
      <c r="T2568" s="9">
        <f>IF(Q2568="당기",ABS(P2568)+ROW()/1000000000,"")</f>
        <v/>
      </c>
      <c r="U2568" s="9">
        <f>IF(Q2568="비교",ABS(P2568)+ROW()/1000000000,"")</f>
        <v/>
      </c>
      <c r="V2568" s="39">
        <f>IF($A2568="","",IF(COUNTIF(변동분석!$E$7:$E$506,O2568)&gt;0,"Y","N"))</f>
        <v/>
      </c>
      <c r="W2568" s="39">
        <f>IF($A2568="","",IFERROR(INDEX(계정매핑!$D$5:$D$504,MATCH($F2568&amp;"",계정매핑!$A$5:$A$504,0)),"미매핑"))</f>
        <v/>
      </c>
      <c r="X2568" s="9">
        <f>IF($A2568="","",$F2568&amp;"")</f>
        <v/>
      </c>
    </row>
    <row r="2569">
      <c r="A2569" s="75" t="n">
        <v>2026</v>
      </c>
      <c r="B2569" s="75" t="n">
        <v>2</v>
      </c>
      <c r="C2569" s="75" t="inlineStr">
        <is>
          <t>5100000225</t>
        </is>
      </c>
      <c r="D2569" s="78" t="n">
        <v>46058</v>
      </c>
      <c r="E2569" s="75" t="inlineStr">
        <is>
          <t>KR</t>
        </is>
      </c>
      <c r="F2569" s="75" t="n">
        <v>62501000</v>
      </c>
      <c r="G2569" s="75" t="n">
        <v>1602</v>
      </c>
      <c r="H2569" s="76" t="n">
        <v>349000</v>
      </c>
      <c r="I2569" s="75" t="inlineStr">
        <is>
          <t>2월 회의 다과 - (법인카드)</t>
        </is>
      </c>
      <c r="J2569" s="75" t="inlineStr">
        <is>
          <t>V10008</t>
        </is>
      </c>
      <c r="K2569" s="75" t="inlineStr">
        <is>
          <t>(법인카드)</t>
        </is>
      </c>
      <c r="M2569" s="9">
        <f>IF($A2569="","",VALUE($A2569&amp;"")*12+VALUE($B2569&amp;""))</f>
        <v/>
      </c>
      <c r="N2569" s="39">
        <f>IF($A2569="","",IFERROR(INDEX(부서매핑!$C$5:$C$504,MATCH($G2569&amp;"",부서매핑!$A$5:$A$504,0)),"미매핑"))</f>
        <v/>
      </c>
      <c r="O2569" s="9">
        <f>IF($A2569="","",N2569&amp;"|"&amp;$F2569)</f>
        <v/>
      </c>
      <c r="P2569" s="77">
        <f>IF($A2569="",0,$H2569*설정!$C$23)</f>
        <v/>
      </c>
      <c r="Q2569" s="39">
        <f>IF($A2569="","",IF(O2569&lt;&gt;원인분석!$C$9,"",IF(AND(M2569&gt;=원인분석!$C$10,M2569&lt;=원인분석!$C$11),"당기",IF(AND(M2569&gt;=원인분석!$C$12,M2569&lt;=원인분석!$C$13),"비교",""))))</f>
        <v/>
      </c>
      <c r="R2569" s="9">
        <f>IF(Q2569="","",$K2569&amp;"")</f>
        <v/>
      </c>
      <c r="S2569" s="9">
        <f>IF(Q2569="","",IF(MATCH(R2569,$R$5:$R$100000,0)=ROW()-4,ROW(),""))</f>
        <v/>
      </c>
      <c r="T2569" s="9">
        <f>IF(Q2569="당기",ABS(P2569)+ROW()/1000000000,"")</f>
        <v/>
      </c>
      <c r="U2569" s="9">
        <f>IF(Q2569="비교",ABS(P2569)+ROW()/1000000000,"")</f>
        <v/>
      </c>
      <c r="V2569" s="39">
        <f>IF($A2569="","",IF(COUNTIF(변동분석!$E$7:$E$506,O2569)&gt;0,"Y","N"))</f>
        <v/>
      </c>
      <c r="W2569" s="39">
        <f>IF($A2569="","",IFERROR(INDEX(계정매핑!$D$5:$D$504,MATCH($F2569&amp;"",계정매핑!$A$5:$A$504,0)),"미매핑"))</f>
        <v/>
      </c>
      <c r="X2569" s="9">
        <f>IF($A2569="","",$F2569&amp;"")</f>
        <v/>
      </c>
    </row>
    <row r="2570">
      <c r="A2570" s="75" t="n">
        <v>2026</v>
      </c>
      <c r="B2570" s="75" t="n">
        <v>2</v>
      </c>
      <c r="C2570" s="75" t="inlineStr">
        <is>
          <t>5100000226</t>
        </is>
      </c>
      <c r="D2570" s="78" t="n">
        <v>46058</v>
      </c>
      <c r="E2570" s="75" t="inlineStr">
        <is>
          <t>KR</t>
        </is>
      </c>
      <c r="F2570" s="75" t="n">
        <v>62801000</v>
      </c>
      <c r="G2570" s="75" t="n">
        <v>1301</v>
      </c>
      <c r="H2570" s="76" t="n">
        <v>3925000</v>
      </c>
      <c r="I2570" s="75" t="inlineStr">
        <is>
          <t>2월 사내교육 - U에듀</t>
        </is>
      </c>
      <c r="J2570" s="75" t="inlineStr">
        <is>
          <t>V10026</t>
        </is>
      </c>
      <c r="K2570" s="75" t="inlineStr">
        <is>
          <t>U에듀</t>
        </is>
      </c>
      <c r="M2570" s="9">
        <f>IF($A2570="","",VALUE($A2570&amp;"")*12+VALUE($B2570&amp;""))</f>
        <v/>
      </c>
      <c r="N2570" s="39">
        <f>IF($A2570="","",IFERROR(INDEX(부서매핑!$C$5:$C$504,MATCH($G2570&amp;"",부서매핑!$A$5:$A$504,0)),"미매핑"))</f>
        <v/>
      </c>
      <c r="O2570" s="9">
        <f>IF($A2570="","",N2570&amp;"|"&amp;$F2570)</f>
        <v/>
      </c>
      <c r="P2570" s="77">
        <f>IF($A2570="",0,$H2570*설정!$C$23)</f>
        <v/>
      </c>
      <c r="Q2570" s="39">
        <f>IF($A2570="","",IF(O2570&lt;&gt;원인분석!$C$9,"",IF(AND(M2570&gt;=원인분석!$C$10,M2570&lt;=원인분석!$C$11),"당기",IF(AND(M2570&gt;=원인분석!$C$12,M2570&lt;=원인분석!$C$13),"비교",""))))</f>
        <v/>
      </c>
      <c r="R2570" s="9">
        <f>IF(Q2570="","",$K2570&amp;"")</f>
        <v/>
      </c>
      <c r="S2570" s="9">
        <f>IF(Q2570="","",IF(MATCH(R2570,$R$5:$R$100000,0)=ROW()-4,ROW(),""))</f>
        <v/>
      </c>
      <c r="T2570" s="9">
        <f>IF(Q2570="당기",ABS(P2570)+ROW()/1000000000,"")</f>
        <v/>
      </c>
      <c r="U2570" s="9">
        <f>IF(Q2570="비교",ABS(P2570)+ROW()/1000000000,"")</f>
        <v/>
      </c>
      <c r="V2570" s="39">
        <f>IF($A2570="","",IF(COUNTIF(변동분석!$E$7:$E$506,O2570)&gt;0,"Y","N"))</f>
        <v/>
      </c>
      <c r="W2570" s="39">
        <f>IF($A2570="","",IFERROR(INDEX(계정매핑!$D$5:$D$504,MATCH($F2570&amp;"",계정매핑!$A$5:$A$504,0)),"미매핑"))</f>
        <v/>
      </c>
      <c r="X2570" s="9">
        <f>IF($A2570="","",$F2570&amp;"")</f>
        <v/>
      </c>
    </row>
    <row r="2571">
      <c r="A2571" s="75" t="n">
        <v>2026</v>
      </c>
      <c r="B2571" s="75" t="n">
        <v>2</v>
      </c>
      <c r="C2571" s="75" t="inlineStr">
        <is>
          <t>5100000227</t>
        </is>
      </c>
      <c r="D2571" s="78" t="n">
        <v>46058</v>
      </c>
      <c r="E2571" s="75" t="inlineStr">
        <is>
          <t>KR</t>
        </is>
      </c>
      <c r="F2571" s="75" t="n">
        <v>62902000</v>
      </c>
      <c r="G2571" s="75" t="n">
        <v>1801</v>
      </c>
      <c r="H2571" s="76" t="n">
        <v>1818000</v>
      </c>
      <c r="I2571" s="75" t="inlineStr">
        <is>
          <t>2월 콜 위탁 수수료(건별)</t>
        </is>
      </c>
      <c r="J2571" s="75" t="inlineStr">
        <is>
          <t>V10013</t>
        </is>
      </c>
      <c r="K2571" s="75" t="inlineStr">
        <is>
          <t>J콜센터</t>
        </is>
      </c>
      <c r="M2571" s="9">
        <f>IF($A2571="","",VALUE($A2571&amp;"")*12+VALUE($B2571&amp;""))</f>
        <v/>
      </c>
      <c r="N2571" s="39">
        <f>IF($A2571="","",IFERROR(INDEX(부서매핑!$C$5:$C$504,MATCH($G2571&amp;"",부서매핑!$A$5:$A$504,0)),"미매핑"))</f>
        <v/>
      </c>
      <c r="O2571" s="9">
        <f>IF($A2571="","",N2571&amp;"|"&amp;$F2571)</f>
        <v/>
      </c>
      <c r="P2571" s="77">
        <f>IF($A2571="",0,$H2571*설정!$C$23)</f>
        <v/>
      </c>
      <c r="Q2571" s="39">
        <f>IF($A2571="","",IF(O2571&lt;&gt;원인분석!$C$9,"",IF(AND(M2571&gt;=원인분석!$C$10,M2571&lt;=원인분석!$C$11),"당기",IF(AND(M2571&gt;=원인분석!$C$12,M2571&lt;=원인분석!$C$13),"비교",""))))</f>
        <v/>
      </c>
      <c r="R2571" s="9">
        <f>IF(Q2571="","",$K2571&amp;"")</f>
        <v/>
      </c>
      <c r="S2571" s="9">
        <f>IF(Q2571="","",IF(MATCH(R2571,$R$5:$R$100000,0)=ROW()-4,ROW(),""))</f>
        <v/>
      </c>
      <c r="T2571" s="9">
        <f>IF(Q2571="당기",ABS(P2571)+ROW()/1000000000,"")</f>
        <v/>
      </c>
      <c r="U2571" s="9">
        <f>IF(Q2571="비교",ABS(P2571)+ROW()/1000000000,"")</f>
        <v/>
      </c>
      <c r="V2571" s="39">
        <f>IF($A2571="","",IF(COUNTIF(변동분석!$E$7:$E$506,O2571)&gt;0,"Y","N"))</f>
        <v/>
      </c>
      <c r="W2571" s="39">
        <f>IF($A2571="","",IFERROR(INDEX(계정매핑!$D$5:$D$504,MATCH($F2571&amp;"",계정매핑!$A$5:$A$504,0)),"미매핑"))</f>
        <v/>
      </c>
      <c r="X2571" s="9">
        <f>IF($A2571="","",$F2571&amp;"")</f>
        <v/>
      </c>
    </row>
    <row r="2572">
      <c r="A2572" s="75" t="n">
        <v>2026</v>
      </c>
      <c r="B2572" s="75" t="n">
        <v>2</v>
      </c>
      <c r="C2572" s="75" t="inlineStr">
        <is>
          <t>5100000228</t>
        </is>
      </c>
      <c r="D2572" s="78" t="n">
        <v>46059</v>
      </c>
      <c r="E2572" s="75" t="inlineStr">
        <is>
          <t>KR</t>
        </is>
      </c>
      <c r="F2572" s="75" t="n">
        <v>62101000</v>
      </c>
      <c r="G2572" s="75" t="n">
        <v>1401</v>
      </c>
      <c r="H2572" s="76" t="n">
        <v>484000</v>
      </c>
      <c r="I2572" s="75" t="inlineStr">
        <is>
          <t>2월 국내출장 - L여행사</t>
        </is>
      </c>
      <c r="J2572" s="75" t="inlineStr">
        <is>
          <t>V10014</t>
        </is>
      </c>
      <c r="K2572" s="75" t="inlineStr">
        <is>
          <t>L여행사</t>
        </is>
      </c>
      <c r="M2572" s="9">
        <f>IF($A2572="","",VALUE($A2572&amp;"")*12+VALUE($B2572&amp;""))</f>
        <v/>
      </c>
      <c r="N2572" s="39">
        <f>IF($A2572="","",IFERROR(INDEX(부서매핑!$C$5:$C$504,MATCH($G2572&amp;"",부서매핑!$A$5:$A$504,0)),"미매핑"))</f>
        <v/>
      </c>
      <c r="O2572" s="9">
        <f>IF($A2572="","",N2572&amp;"|"&amp;$F2572)</f>
        <v/>
      </c>
      <c r="P2572" s="77">
        <f>IF($A2572="",0,$H2572*설정!$C$23)</f>
        <v/>
      </c>
      <c r="Q2572" s="39">
        <f>IF($A2572="","",IF(O2572&lt;&gt;원인분석!$C$9,"",IF(AND(M2572&gt;=원인분석!$C$10,M2572&lt;=원인분석!$C$11),"당기",IF(AND(M2572&gt;=원인분석!$C$12,M2572&lt;=원인분석!$C$13),"비교",""))))</f>
        <v/>
      </c>
      <c r="R2572" s="9">
        <f>IF(Q2572="","",$K2572&amp;"")</f>
        <v/>
      </c>
      <c r="S2572" s="9">
        <f>IF(Q2572="","",IF(MATCH(R2572,$R$5:$R$100000,0)=ROW()-4,ROW(),""))</f>
        <v/>
      </c>
      <c r="T2572" s="9">
        <f>IF(Q2572="당기",ABS(P2572)+ROW()/1000000000,"")</f>
        <v/>
      </c>
      <c r="U2572" s="9">
        <f>IF(Q2572="비교",ABS(P2572)+ROW()/1000000000,"")</f>
        <v/>
      </c>
      <c r="V2572" s="39">
        <f>IF($A2572="","",IF(COUNTIF(변동분석!$E$7:$E$506,O2572)&gt;0,"Y","N"))</f>
        <v/>
      </c>
      <c r="W2572" s="39">
        <f>IF($A2572="","",IFERROR(INDEX(계정매핑!$D$5:$D$504,MATCH($F2572&amp;"",계정매핑!$A$5:$A$504,0)),"미매핑"))</f>
        <v/>
      </c>
      <c r="X2572" s="9">
        <f>IF($A2572="","",$F2572&amp;"")</f>
        <v/>
      </c>
    </row>
    <row r="2573">
      <c r="A2573" s="75" t="n">
        <v>2026</v>
      </c>
      <c r="B2573" s="75" t="n">
        <v>2</v>
      </c>
      <c r="C2573" s="75" t="inlineStr">
        <is>
          <t>5100000229</t>
        </is>
      </c>
      <c r="D2573" s="78" t="n">
        <v>46059</v>
      </c>
      <c r="E2573" s="75" t="inlineStr">
        <is>
          <t>KR</t>
        </is>
      </c>
      <c r="F2573" s="75" t="n">
        <v>62102000</v>
      </c>
      <c r="G2573" s="75" t="n">
        <v>1701</v>
      </c>
      <c r="H2573" s="76" t="n">
        <v>62000</v>
      </c>
      <c r="I2573" s="75" t="inlineStr">
        <is>
          <t>2월 해외출장 - M항공</t>
        </is>
      </c>
      <c r="J2573" s="75" t="inlineStr">
        <is>
          <t>V10001</t>
        </is>
      </c>
      <c r="K2573" s="75" t="inlineStr">
        <is>
          <t>M항공</t>
        </is>
      </c>
      <c r="M2573" s="9">
        <f>IF($A2573="","",VALUE($A2573&amp;"")*12+VALUE($B2573&amp;""))</f>
        <v/>
      </c>
      <c r="N2573" s="39">
        <f>IF($A2573="","",IFERROR(INDEX(부서매핑!$C$5:$C$504,MATCH($G2573&amp;"",부서매핑!$A$5:$A$504,0)),"미매핑"))</f>
        <v/>
      </c>
      <c r="O2573" s="9">
        <f>IF($A2573="","",N2573&amp;"|"&amp;$F2573)</f>
        <v/>
      </c>
      <c r="P2573" s="77">
        <f>IF($A2573="",0,$H2573*설정!$C$23)</f>
        <v/>
      </c>
      <c r="Q2573" s="39">
        <f>IF($A2573="","",IF(O2573&lt;&gt;원인분석!$C$9,"",IF(AND(M2573&gt;=원인분석!$C$10,M2573&lt;=원인분석!$C$11),"당기",IF(AND(M2573&gt;=원인분석!$C$12,M2573&lt;=원인분석!$C$13),"비교",""))))</f>
        <v/>
      </c>
      <c r="R2573" s="9">
        <f>IF(Q2573="","",$K2573&amp;"")</f>
        <v/>
      </c>
      <c r="S2573" s="9">
        <f>IF(Q2573="","",IF(MATCH(R2573,$R$5:$R$100000,0)=ROW()-4,ROW(),""))</f>
        <v/>
      </c>
      <c r="T2573" s="9">
        <f>IF(Q2573="당기",ABS(P2573)+ROW()/1000000000,"")</f>
        <v/>
      </c>
      <c r="U2573" s="9">
        <f>IF(Q2573="비교",ABS(P2573)+ROW()/1000000000,"")</f>
        <v/>
      </c>
      <c r="V2573" s="39">
        <f>IF($A2573="","",IF(COUNTIF(변동분석!$E$7:$E$506,O2573)&gt;0,"Y","N"))</f>
        <v/>
      </c>
      <c r="W2573" s="39">
        <f>IF($A2573="","",IFERROR(INDEX(계정매핑!$D$5:$D$504,MATCH($F2573&amp;"",계정매핑!$A$5:$A$504,0)),"미매핑"))</f>
        <v/>
      </c>
      <c r="X2573" s="9">
        <f>IF($A2573="","",$F2573&amp;"")</f>
        <v/>
      </c>
    </row>
    <row r="2574">
      <c r="A2574" s="75" t="n">
        <v>2026</v>
      </c>
      <c r="B2574" s="75" t="n">
        <v>2</v>
      </c>
      <c r="C2574" s="75" t="inlineStr">
        <is>
          <t>5100000230</t>
        </is>
      </c>
      <c r="D2574" s="78" t="n">
        <v>46059</v>
      </c>
      <c r="E2574" s="75" t="inlineStr">
        <is>
          <t>KR</t>
        </is>
      </c>
      <c r="F2574" s="75" t="n">
        <v>62401000</v>
      </c>
      <c r="G2574" s="75" t="n">
        <v>1401</v>
      </c>
      <c r="H2574" s="76" t="n">
        <v>321000</v>
      </c>
      <c r="I2574" s="75" t="inlineStr">
        <is>
          <t>2월 인쇄물 제작 - G인쇄</t>
        </is>
      </c>
      <c r="J2574" s="75" t="inlineStr">
        <is>
          <t>V10004</t>
        </is>
      </c>
      <c r="K2574" s="75" t="inlineStr">
        <is>
          <t>G인쇄</t>
        </is>
      </c>
      <c r="M2574" s="9">
        <f>IF($A2574="","",VALUE($A2574&amp;"")*12+VALUE($B2574&amp;""))</f>
        <v/>
      </c>
      <c r="N2574" s="39">
        <f>IF($A2574="","",IFERROR(INDEX(부서매핑!$C$5:$C$504,MATCH($G2574&amp;"",부서매핑!$A$5:$A$504,0)),"미매핑"))</f>
        <v/>
      </c>
      <c r="O2574" s="9">
        <f>IF($A2574="","",N2574&amp;"|"&amp;$F2574)</f>
        <v/>
      </c>
      <c r="P2574" s="77">
        <f>IF($A2574="",0,$H2574*설정!$C$23)</f>
        <v/>
      </c>
      <c r="Q2574" s="39">
        <f>IF($A2574="","",IF(O2574&lt;&gt;원인분석!$C$9,"",IF(AND(M2574&gt;=원인분석!$C$10,M2574&lt;=원인분석!$C$11),"당기",IF(AND(M2574&gt;=원인분석!$C$12,M2574&lt;=원인분석!$C$13),"비교",""))))</f>
        <v/>
      </c>
      <c r="R2574" s="9">
        <f>IF(Q2574="","",$K2574&amp;"")</f>
        <v/>
      </c>
      <c r="S2574" s="9">
        <f>IF(Q2574="","",IF(MATCH(R2574,$R$5:$R$100000,0)=ROW()-4,ROW(),""))</f>
        <v/>
      </c>
      <c r="T2574" s="9">
        <f>IF(Q2574="당기",ABS(P2574)+ROW()/1000000000,"")</f>
        <v/>
      </c>
      <c r="U2574" s="9">
        <f>IF(Q2574="비교",ABS(P2574)+ROW()/1000000000,"")</f>
        <v/>
      </c>
      <c r="V2574" s="39">
        <f>IF($A2574="","",IF(COUNTIF(변동분석!$E$7:$E$506,O2574)&gt;0,"Y","N"))</f>
        <v/>
      </c>
      <c r="W2574" s="39">
        <f>IF($A2574="","",IFERROR(INDEX(계정매핑!$D$5:$D$504,MATCH($F2574&amp;"",계정매핑!$A$5:$A$504,0)),"미매핑"))</f>
        <v/>
      </c>
      <c r="X2574" s="9">
        <f>IF($A2574="","",$F2574&amp;"")</f>
        <v/>
      </c>
    </row>
    <row r="2575">
      <c r="A2575" s="75" t="n">
        <v>2026</v>
      </c>
      <c r="B2575" s="75" t="n">
        <v>2</v>
      </c>
      <c r="C2575" s="75" t="inlineStr">
        <is>
          <t>5100000231</t>
        </is>
      </c>
      <c r="D2575" s="78" t="n">
        <v>46059</v>
      </c>
      <c r="E2575" s="75" t="inlineStr">
        <is>
          <t>KR</t>
        </is>
      </c>
      <c r="F2575" s="75" t="n">
        <v>62401000</v>
      </c>
      <c r="G2575" s="75" t="n">
        <v>1401</v>
      </c>
      <c r="H2575" s="76" t="n">
        <v>301000</v>
      </c>
      <c r="I2575" s="75" t="inlineStr">
        <is>
          <t>2월 인쇄물 제작 - S출판</t>
        </is>
      </c>
      <c r="J2575" s="75" t="inlineStr">
        <is>
          <t>V10012</t>
        </is>
      </c>
      <c r="K2575" s="75" t="inlineStr">
        <is>
          <t>S출판</t>
        </is>
      </c>
      <c r="M2575" s="9">
        <f>IF($A2575="","",VALUE($A2575&amp;"")*12+VALUE($B2575&amp;""))</f>
        <v/>
      </c>
      <c r="N2575" s="39">
        <f>IF($A2575="","",IFERROR(INDEX(부서매핑!$C$5:$C$504,MATCH($G2575&amp;"",부서매핑!$A$5:$A$504,0)),"미매핑"))</f>
        <v/>
      </c>
      <c r="O2575" s="9">
        <f>IF($A2575="","",N2575&amp;"|"&amp;$F2575)</f>
        <v/>
      </c>
      <c r="P2575" s="77">
        <f>IF($A2575="",0,$H2575*설정!$C$23)</f>
        <v/>
      </c>
      <c r="Q2575" s="39">
        <f>IF($A2575="","",IF(O2575&lt;&gt;원인분석!$C$9,"",IF(AND(M2575&gt;=원인분석!$C$10,M2575&lt;=원인분석!$C$11),"당기",IF(AND(M2575&gt;=원인분석!$C$12,M2575&lt;=원인분석!$C$13),"비교",""))))</f>
        <v/>
      </c>
      <c r="R2575" s="9">
        <f>IF(Q2575="","",$K2575&amp;"")</f>
        <v/>
      </c>
      <c r="S2575" s="9">
        <f>IF(Q2575="","",IF(MATCH(R2575,$R$5:$R$100000,0)=ROW()-4,ROW(),""))</f>
        <v/>
      </c>
      <c r="T2575" s="9">
        <f>IF(Q2575="당기",ABS(P2575)+ROW()/1000000000,"")</f>
        <v/>
      </c>
      <c r="U2575" s="9">
        <f>IF(Q2575="비교",ABS(P2575)+ROW()/1000000000,"")</f>
        <v/>
      </c>
      <c r="V2575" s="39">
        <f>IF($A2575="","",IF(COUNTIF(변동분석!$E$7:$E$506,O2575)&gt;0,"Y","N"))</f>
        <v/>
      </c>
      <c r="W2575" s="39">
        <f>IF($A2575="","",IFERROR(INDEX(계정매핑!$D$5:$D$504,MATCH($F2575&amp;"",계정매핑!$A$5:$A$504,0)),"미매핑"))</f>
        <v/>
      </c>
      <c r="X2575" s="9">
        <f>IF($A2575="","",$F2575&amp;"")</f>
        <v/>
      </c>
    </row>
    <row r="2576">
      <c r="A2576" s="75" t="n">
        <v>2026</v>
      </c>
      <c r="B2576" s="75" t="n">
        <v>2</v>
      </c>
      <c r="C2576" s="75" t="inlineStr">
        <is>
          <t>5100000232</t>
        </is>
      </c>
      <c r="D2576" s="78" t="n">
        <v>46059</v>
      </c>
      <c r="E2576" s="75" t="inlineStr">
        <is>
          <t>KR</t>
        </is>
      </c>
      <c r="F2576" s="75" t="n">
        <v>62501000</v>
      </c>
      <c r="G2576" s="75" t="n">
        <v>1801</v>
      </c>
      <c r="H2576" s="76" t="n">
        <v>214000</v>
      </c>
      <c r="I2576" s="75" t="inlineStr">
        <is>
          <t>2월 회의 다과 - (법인카드)</t>
        </is>
      </c>
      <c r="J2576" s="75" t="inlineStr">
        <is>
          <t>V10008</t>
        </is>
      </c>
      <c r="K2576" s="75" t="inlineStr">
        <is>
          <t>(법인카드)</t>
        </is>
      </c>
      <c r="M2576" s="9">
        <f>IF($A2576="","",VALUE($A2576&amp;"")*12+VALUE($B2576&amp;""))</f>
        <v/>
      </c>
      <c r="N2576" s="39">
        <f>IF($A2576="","",IFERROR(INDEX(부서매핑!$C$5:$C$504,MATCH($G2576&amp;"",부서매핑!$A$5:$A$504,0)),"미매핑"))</f>
        <v/>
      </c>
      <c r="O2576" s="9">
        <f>IF($A2576="","",N2576&amp;"|"&amp;$F2576)</f>
        <v/>
      </c>
      <c r="P2576" s="77">
        <f>IF($A2576="",0,$H2576*설정!$C$23)</f>
        <v/>
      </c>
      <c r="Q2576" s="39">
        <f>IF($A2576="","",IF(O2576&lt;&gt;원인분석!$C$9,"",IF(AND(M2576&gt;=원인분석!$C$10,M2576&lt;=원인분석!$C$11),"당기",IF(AND(M2576&gt;=원인분석!$C$12,M2576&lt;=원인분석!$C$13),"비교",""))))</f>
        <v/>
      </c>
      <c r="R2576" s="9">
        <f>IF(Q2576="","",$K2576&amp;"")</f>
        <v/>
      </c>
      <c r="S2576" s="9">
        <f>IF(Q2576="","",IF(MATCH(R2576,$R$5:$R$100000,0)=ROW()-4,ROW(),""))</f>
        <v/>
      </c>
      <c r="T2576" s="9">
        <f>IF(Q2576="당기",ABS(P2576)+ROW()/1000000000,"")</f>
        <v/>
      </c>
      <c r="U2576" s="9">
        <f>IF(Q2576="비교",ABS(P2576)+ROW()/1000000000,"")</f>
        <v/>
      </c>
      <c r="V2576" s="39">
        <f>IF($A2576="","",IF(COUNTIF(변동분석!$E$7:$E$506,O2576)&gt;0,"Y","N"))</f>
        <v/>
      </c>
      <c r="W2576" s="39">
        <f>IF($A2576="","",IFERROR(INDEX(계정매핑!$D$5:$D$504,MATCH($F2576&amp;"",계정매핑!$A$5:$A$504,0)),"미매핑"))</f>
        <v/>
      </c>
      <c r="X2576" s="9">
        <f>IF($A2576="","",$F2576&amp;"")</f>
        <v/>
      </c>
    </row>
    <row r="2577">
      <c r="A2577" s="75" t="n">
        <v>2026</v>
      </c>
      <c r="B2577" s="75" t="n">
        <v>2</v>
      </c>
      <c r="C2577" s="75" t="inlineStr">
        <is>
          <t>5100000233</t>
        </is>
      </c>
      <c r="D2577" s="78" t="n">
        <v>46059</v>
      </c>
      <c r="E2577" s="75" t="inlineStr">
        <is>
          <t>KR</t>
        </is>
      </c>
      <c r="F2577" s="75" t="n">
        <v>62802000</v>
      </c>
      <c r="G2577" s="75" t="n">
        <v>1301</v>
      </c>
      <c r="H2577" s="76" t="n">
        <v>3585000</v>
      </c>
      <c r="I2577" s="75" t="inlineStr">
        <is>
          <t>2월 위탁교육 - I교육원</t>
        </is>
      </c>
      <c r="J2577" s="75" t="inlineStr">
        <is>
          <t>V10015</t>
        </is>
      </c>
      <c r="K2577" s="75" t="inlineStr">
        <is>
          <t>I교육원</t>
        </is>
      </c>
      <c r="M2577" s="9">
        <f>IF($A2577="","",VALUE($A2577&amp;"")*12+VALUE($B2577&amp;""))</f>
        <v/>
      </c>
      <c r="N2577" s="39">
        <f>IF($A2577="","",IFERROR(INDEX(부서매핑!$C$5:$C$504,MATCH($G2577&amp;"",부서매핑!$A$5:$A$504,0)),"미매핑"))</f>
        <v/>
      </c>
      <c r="O2577" s="9">
        <f>IF($A2577="","",N2577&amp;"|"&amp;$F2577)</f>
        <v/>
      </c>
      <c r="P2577" s="77">
        <f>IF($A2577="",0,$H2577*설정!$C$23)</f>
        <v/>
      </c>
      <c r="Q2577" s="39">
        <f>IF($A2577="","",IF(O2577&lt;&gt;원인분석!$C$9,"",IF(AND(M2577&gt;=원인분석!$C$10,M2577&lt;=원인분석!$C$11),"당기",IF(AND(M2577&gt;=원인분석!$C$12,M2577&lt;=원인분석!$C$13),"비교",""))))</f>
        <v/>
      </c>
      <c r="R2577" s="9">
        <f>IF(Q2577="","",$K2577&amp;"")</f>
        <v/>
      </c>
      <c r="S2577" s="9">
        <f>IF(Q2577="","",IF(MATCH(R2577,$R$5:$R$100000,0)=ROW()-4,ROW(),""))</f>
        <v/>
      </c>
      <c r="T2577" s="9">
        <f>IF(Q2577="당기",ABS(P2577)+ROW()/1000000000,"")</f>
        <v/>
      </c>
      <c r="U2577" s="9">
        <f>IF(Q2577="비교",ABS(P2577)+ROW()/1000000000,"")</f>
        <v/>
      </c>
      <c r="V2577" s="39">
        <f>IF($A2577="","",IF(COUNTIF(변동분석!$E$7:$E$506,O2577)&gt;0,"Y","N"))</f>
        <v/>
      </c>
      <c r="W2577" s="39">
        <f>IF($A2577="","",IFERROR(INDEX(계정매핑!$D$5:$D$504,MATCH($F2577&amp;"",계정매핑!$A$5:$A$504,0)),"미매핑"))</f>
        <v/>
      </c>
      <c r="X2577" s="9">
        <f>IF($A2577="","",$F2577&amp;"")</f>
        <v/>
      </c>
    </row>
    <row r="2578">
      <c r="A2578" s="75" t="n">
        <v>2026</v>
      </c>
      <c r="B2578" s="75" t="n">
        <v>2</v>
      </c>
      <c r="C2578" s="75" t="inlineStr">
        <is>
          <t>5100000234</t>
        </is>
      </c>
      <c r="D2578" s="78" t="n">
        <v>46060</v>
      </c>
      <c r="E2578" s="75" t="inlineStr">
        <is>
          <t>KR</t>
        </is>
      </c>
      <c r="F2578" s="75" t="n">
        <v>62101000</v>
      </c>
      <c r="G2578" s="75" t="n">
        <v>1301</v>
      </c>
      <c r="H2578" s="76" t="n">
        <v>326000</v>
      </c>
      <c r="I2578" s="75" t="inlineStr">
        <is>
          <t>2월 국내출장 - M항공</t>
        </is>
      </c>
      <c r="J2578" s="75" t="inlineStr">
        <is>
          <t>V10001</t>
        </is>
      </c>
      <c r="K2578" s="75" t="inlineStr">
        <is>
          <t>M항공</t>
        </is>
      </c>
      <c r="M2578" s="9">
        <f>IF($A2578="","",VALUE($A2578&amp;"")*12+VALUE($B2578&amp;""))</f>
        <v/>
      </c>
      <c r="N2578" s="39">
        <f>IF($A2578="","",IFERROR(INDEX(부서매핑!$C$5:$C$504,MATCH($G2578&amp;"",부서매핑!$A$5:$A$504,0)),"미매핑"))</f>
        <v/>
      </c>
      <c r="O2578" s="9">
        <f>IF($A2578="","",N2578&amp;"|"&amp;$F2578)</f>
        <v/>
      </c>
      <c r="P2578" s="77">
        <f>IF($A2578="",0,$H2578*설정!$C$23)</f>
        <v/>
      </c>
      <c r="Q2578" s="39">
        <f>IF($A2578="","",IF(O2578&lt;&gt;원인분석!$C$9,"",IF(AND(M2578&gt;=원인분석!$C$10,M2578&lt;=원인분석!$C$11),"당기",IF(AND(M2578&gt;=원인분석!$C$12,M2578&lt;=원인분석!$C$13),"비교",""))))</f>
        <v/>
      </c>
      <c r="R2578" s="9">
        <f>IF(Q2578="","",$K2578&amp;"")</f>
        <v/>
      </c>
      <c r="S2578" s="9">
        <f>IF(Q2578="","",IF(MATCH(R2578,$R$5:$R$100000,0)=ROW()-4,ROW(),""))</f>
        <v/>
      </c>
      <c r="T2578" s="9">
        <f>IF(Q2578="당기",ABS(P2578)+ROW()/1000000000,"")</f>
        <v/>
      </c>
      <c r="U2578" s="9">
        <f>IF(Q2578="비교",ABS(P2578)+ROW()/1000000000,"")</f>
        <v/>
      </c>
      <c r="V2578" s="39">
        <f>IF($A2578="","",IF(COUNTIF(변동분석!$E$7:$E$506,O2578)&gt;0,"Y","N"))</f>
        <v/>
      </c>
      <c r="W2578" s="39">
        <f>IF($A2578="","",IFERROR(INDEX(계정매핑!$D$5:$D$504,MATCH($F2578&amp;"",계정매핑!$A$5:$A$504,0)),"미매핑"))</f>
        <v/>
      </c>
      <c r="X2578" s="9">
        <f>IF($A2578="","",$F2578&amp;"")</f>
        <v/>
      </c>
    </row>
    <row r="2579">
      <c r="A2579" s="75" t="n">
        <v>2026</v>
      </c>
      <c r="B2579" s="75" t="n">
        <v>2</v>
      </c>
      <c r="C2579" s="75" t="inlineStr">
        <is>
          <t>5100000235</t>
        </is>
      </c>
      <c r="D2579" s="78" t="n">
        <v>46060</v>
      </c>
      <c r="E2579" s="75" t="inlineStr">
        <is>
          <t>KR</t>
        </is>
      </c>
      <c r="F2579" s="75" t="n">
        <v>62101000</v>
      </c>
      <c r="G2579" s="75" t="n">
        <v>1502</v>
      </c>
      <c r="H2579" s="76" t="n">
        <v>493000</v>
      </c>
      <c r="I2579" s="75" t="inlineStr">
        <is>
          <t>2월 국내출장 - L여행사</t>
        </is>
      </c>
      <c r="J2579" s="75" t="inlineStr">
        <is>
          <t>V10014</t>
        </is>
      </c>
      <c r="K2579" s="75" t="inlineStr">
        <is>
          <t>L여행사</t>
        </is>
      </c>
      <c r="M2579" s="9">
        <f>IF($A2579="","",VALUE($A2579&amp;"")*12+VALUE($B2579&amp;""))</f>
        <v/>
      </c>
      <c r="N2579" s="39">
        <f>IF($A2579="","",IFERROR(INDEX(부서매핑!$C$5:$C$504,MATCH($G2579&amp;"",부서매핑!$A$5:$A$504,0)),"미매핑"))</f>
        <v/>
      </c>
      <c r="O2579" s="9">
        <f>IF($A2579="","",N2579&amp;"|"&amp;$F2579)</f>
        <v/>
      </c>
      <c r="P2579" s="77">
        <f>IF($A2579="",0,$H2579*설정!$C$23)</f>
        <v/>
      </c>
      <c r="Q2579" s="39">
        <f>IF($A2579="","",IF(O2579&lt;&gt;원인분석!$C$9,"",IF(AND(M2579&gt;=원인분석!$C$10,M2579&lt;=원인분석!$C$11),"당기",IF(AND(M2579&gt;=원인분석!$C$12,M2579&lt;=원인분석!$C$13),"비교",""))))</f>
        <v/>
      </c>
      <c r="R2579" s="9">
        <f>IF(Q2579="","",$K2579&amp;"")</f>
        <v/>
      </c>
      <c r="S2579" s="9">
        <f>IF(Q2579="","",IF(MATCH(R2579,$R$5:$R$100000,0)=ROW()-4,ROW(),""))</f>
        <v/>
      </c>
      <c r="T2579" s="9">
        <f>IF(Q2579="당기",ABS(P2579)+ROW()/1000000000,"")</f>
        <v/>
      </c>
      <c r="U2579" s="9">
        <f>IF(Q2579="비교",ABS(P2579)+ROW()/1000000000,"")</f>
        <v/>
      </c>
      <c r="V2579" s="39">
        <f>IF($A2579="","",IF(COUNTIF(변동분석!$E$7:$E$506,O2579)&gt;0,"Y","N"))</f>
        <v/>
      </c>
      <c r="W2579" s="39">
        <f>IF($A2579="","",IFERROR(INDEX(계정매핑!$D$5:$D$504,MATCH($F2579&amp;"",계정매핑!$A$5:$A$504,0)),"미매핑"))</f>
        <v/>
      </c>
      <c r="X2579" s="9">
        <f>IF($A2579="","",$F2579&amp;"")</f>
        <v/>
      </c>
    </row>
    <row r="2580">
      <c r="A2580" s="75" t="n">
        <v>2026</v>
      </c>
      <c r="B2580" s="75" t="n">
        <v>2</v>
      </c>
      <c r="C2580" s="75" t="inlineStr">
        <is>
          <t>5100000236</t>
        </is>
      </c>
      <c r="D2580" s="78" t="n">
        <v>46060</v>
      </c>
      <c r="E2580" s="75" t="inlineStr">
        <is>
          <t>KR</t>
        </is>
      </c>
      <c r="F2580" s="75" t="n">
        <v>62102000</v>
      </c>
      <c r="G2580" s="75" t="n">
        <v>1201</v>
      </c>
      <c r="H2580" s="76" t="n">
        <v>59000</v>
      </c>
      <c r="I2580" s="75" t="inlineStr">
        <is>
          <t>2월 해외출장 - N호텔</t>
        </is>
      </c>
      <c r="J2580" s="75" t="inlineStr">
        <is>
          <t>V10007</t>
        </is>
      </c>
      <c r="K2580" s="75" t="inlineStr">
        <is>
          <t>N호텔</t>
        </is>
      </c>
      <c r="M2580" s="9">
        <f>IF($A2580="","",VALUE($A2580&amp;"")*12+VALUE($B2580&amp;""))</f>
        <v/>
      </c>
      <c r="N2580" s="39">
        <f>IF($A2580="","",IFERROR(INDEX(부서매핑!$C$5:$C$504,MATCH($G2580&amp;"",부서매핑!$A$5:$A$504,0)),"미매핑"))</f>
        <v/>
      </c>
      <c r="O2580" s="9">
        <f>IF($A2580="","",N2580&amp;"|"&amp;$F2580)</f>
        <v/>
      </c>
      <c r="P2580" s="77">
        <f>IF($A2580="",0,$H2580*설정!$C$23)</f>
        <v/>
      </c>
      <c r="Q2580" s="39">
        <f>IF($A2580="","",IF(O2580&lt;&gt;원인분석!$C$9,"",IF(AND(M2580&gt;=원인분석!$C$10,M2580&lt;=원인분석!$C$11),"당기",IF(AND(M2580&gt;=원인분석!$C$12,M2580&lt;=원인분석!$C$13),"비교",""))))</f>
        <v/>
      </c>
      <c r="R2580" s="9">
        <f>IF(Q2580="","",$K2580&amp;"")</f>
        <v/>
      </c>
      <c r="S2580" s="9">
        <f>IF(Q2580="","",IF(MATCH(R2580,$R$5:$R$100000,0)=ROW()-4,ROW(),""))</f>
        <v/>
      </c>
      <c r="T2580" s="9">
        <f>IF(Q2580="당기",ABS(P2580)+ROW()/1000000000,"")</f>
        <v/>
      </c>
      <c r="U2580" s="9">
        <f>IF(Q2580="비교",ABS(P2580)+ROW()/1000000000,"")</f>
        <v/>
      </c>
      <c r="V2580" s="39">
        <f>IF($A2580="","",IF(COUNTIF(변동분석!$E$7:$E$506,O2580)&gt;0,"Y","N"))</f>
        <v/>
      </c>
      <c r="W2580" s="39">
        <f>IF($A2580="","",IFERROR(INDEX(계정매핑!$D$5:$D$504,MATCH($F2580&amp;"",계정매핑!$A$5:$A$504,0)),"미매핑"))</f>
        <v/>
      </c>
      <c r="X2580" s="9">
        <f>IF($A2580="","",$F2580&amp;"")</f>
        <v/>
      </c>
    </row>
    <row r="2581">
      <c r="A2581" s="75" t="n">
        <v>2026</v>
      </c>
      <c r="B2581" s="75" t="n">
        <v>2</v>
      </c>
      <c r="C2581" s="75" t="inlineStr">
        <is>
          <t>5100000237</t>
        </is>
      </c>
      <c r="D2581" s="78" t="n">
        <v>46060</v>
      </c>
      <c r="E2581" s="75" t="inlineStr">
        <is>
          <t>KR</t>
        </is>
      </c>
      <c r="F2581" s="75" t="n">
        <v>62201000</v>
      </c>
      <c r="G2581" s="75" t="n">
        <v>1601</v>
      </c>
      <c r="H2581" s="76" t="n">
        <v>582000</v>
      </c>
      <c r="I2581" s="75" t="inlineStr">
        <is>
          <t>2월 통신요금 - O텔레콤</t>
        </is>
      </c>
      <c r="J2581" s="75" t="inlineStr">
        <is>
          <t>V10002</t>
        </is>
      </c>
      <c r="K2581" s="75" t="inlineStr">
        <is>
          <t>O텔레콤</t>
        </is>
      </c>
      <c r="M2581" s="9">
        <f>IF($A2581="","",VALUE($A2581&amp;"")*12+VALUE($B2581&amp;""))</f>
        <v/>
      </c>
      <c r="N2581" s="39">
        <f>IF($A2581="","",IFERROR(INDEX(부서매핑!$C$5:$C$504,MATCH($G2581&amp;"",부서매핑!$A$5:$A$504,0)),"미매핑"))</f>
        <v/>
      </c>
      <c r="O2581" s="9">
        <f>IF($A2581="","",N2581&amp;"|"&amp;$F2581)</f>
        <v/>
      </c>
      <c r="P2581" s="77">
        <f>IF($A2581="",0,$H2581*설정!$C$23)</f>
        <v/>
      </c>
      <c r="Q2581" s="39">
        <f>IF($A2581="","",IF(O2581&lt;&gt;원인분석!$C$9,"",IF(AND(M2581&gt;=원인분석!$C$10,M2581&lt;=원인분석!$C$11),"당기",IF(AND(M2581&gt;=원인분석!$C$12,M2581&lt;=원인분석!$C$13),"비교",""))))</f>
        <v/>
      </c>
      <c r="R2581" s="9">
        <f>IF(Q2581="","",$K2581&amp;"")</f>
        <v/>
      </c>
      <c r="S2581" s="9">
        <f>IF(Q2581="","",IF(MATCH(R2581,$R$5:$R$100000,0)=ROW()-4,ROW(),""))</f>
        <v/>
      </c>
      <c r="T2581" s="9">
        <f>IF(Q2581="당기",ABS(P2581)+ROW()/1000000000,"")</f>
        <v/>
      </c>
      <c r="U2581" s="9">
        <f>IF(Q2581="비교",ABS(P2581)+ROW()/1000000000,"")</f>
        <v/>
      </c>
      <c r="V2581" s="39">
        <f>IF($A2581="","",IF(COUNTIF(변동분석!$E$7:$E$506,O2581)&gt;0,"Y","N"))</f>
        <v/>
      </c>
      <c r="W2581" s="39">
        <f>IF($A2581="","",IFERROR(INDEX(계정매핑!$D$5:$D$504,MATCH($F2581&amp;"",계정매핑!$A$5:$A$504,0)),"미매핑"))</f>
        <v/>
      </c>
      <c r="X2581" s="9">
        <f>IF($A2581="","",$F2581&amp;"")</f>
        <v/>
      </c>
    </row>
    <row r="2582">
      <c r="A2582" s="75" t="n">
        <v>2026</v>
      </c>
      <c r="B2582" s="75" t="n">
        <v>2</v>
      </c>
      <c r="C2582" s="75" t="inlineStr">
        <is>
          <t>5100000238</t>
        </is>
      </c>
      <c r="D2582" s="78" t="n">
        <v>46060</v>
      </c>
      <c r="E2582" s="75" t="inlineStr">
        <is>
          <t>KR</t>
        </is>
      </c>
      <c r="F2582" s="75" t="n">
        <v>62901000</v>
      </c>
      <c r="G2582" s="75" t="n">
        <v>1801</v>
      </c>
      <c r="H2582" s="76" t="n">
        <v>8982000</v>
      </c>
      <c r="I2582" s="75" t="inlineStr">
        <is>
          <t>2월 자문 수수료 - K회계법인</t>
        </is>
      </c>
      <c r="J2582" s="75" t="inlineStr">
        <is>
          <t>V10010</t>
        </is>
      </c>
      <c r="K2582" s="75" t="inlineStr">
        <is>
          <t>K회계법인</t>
        </is>
      </c>
      <c r="M2582" s="9">
        <f>IF($A2582="","",VALUE($A2582&amp;"")*12+VALUE($B2582&amp;""))</f>
        <v/>
      </c>
      <c r="N2582" s="39">
        <f>IF($A2582="","",IFERROR(INDEX(부서매핑!$C$5:$C$504,MATCH($G2582&amp;"",부서매핑!$A$5:$A$504,0)),"미매핑"))</f>
        <v/>
      </c>
      <c r="O2582" s="9">
        <f>IF($A2582="","",N2582&amp;"|"&amp;$F2582)</f>
        <v/>
      </c>
      <c r="P2582" s="77">
        <f>IF($A2582="",0,$H2582*설정!$C$23)</f>
        <v/>
      </c>
      <c r="Q2582" s="39">
        <f>IF($A2582="","",IF(O2582&lt;&gt;원인분석!$C$9,"",IF(AND(M2582&gt;=원인분석!$C$10,M2582&lt;=원인분석!$C$11),"당기",IF(AND(M2582&gt;=원인분석!$C$12,M2582&lt;=원인분석!$C$13),"비교",""))))</f>
        <v/>
      </c>
      <c r="R2582" s="9">
        <f>IF(Q2582="","",$K2582&amp;"")</f>
        <v/>
      </c>
      <c r="S2582" s="9">
        <f>IF(Q2582="","",IF(MATCH(R2582,$R$5:$R$100000,0)=ROW()-4,ROW(),""))</f>
        <v/>
      </c>
      <c r="T2582" s="9">
        <f>IF(Q2582="당기",ABS(P2582)+ROW()/1000000000,"")</f>
        <v/>
      </c>
      <c r="U2582" s="9">
        <f>IF(Q2582="비교",ABS(P2582)+ROW()/1000000000,"")</f>
        <v/>
      </c>
      <c r="V2582" s="39">
        <f>IF($A2582="","",IF(COUNTIF(변동분석!$E$7:$E$506,O2582)&gt;0,"Y","N"))</f>
        <v/>
      </c>
      <c r="W2582" s="39">
        <f>IF($A2582="","",IFERROR(INDEX(계정매핑!$D$5:$D$504,MATCH($F2582&amp;"",계정매핑!$A$5:$A$504,0)),"미매핑"))</f>
        <v/>
      </c>
      <c r="X2582" s="9">
        <f>IF($A2582="","",$F2582&amp;"")</f>
        <v/>
      </c>
    </row>
    <row r="2583">
      <c r="A2583" s="75" t="n">
        <v>2026</v>
      </c>
      <c r="B2583" s="75" t="n">
        <v>2</v>
      </c>
      <c r="C2583" s="75" t="inlineStr">
        <is>
          <t>5100000239</t>
        </is>
      </c>
      <c r="D2583" s="78" t="n">
        <v>46060</v>
      </c>
      <c r="E2583" s="75" t="inlineStr">
        <is>
          <t>KR</t>
        </is>
      </c>
      <c r="F2583" s="75" t="n">
        <v>62902000</v>
      </c>
      <c r="G2583" s="75" t="n">
        <v>1801</v>
      </c>
      <c r="H2583" s="76" t="n">
        <v>1753000</v>
      </c>
      <c r="I2583" s="75" t="inlineStr">
        <is>
          <t>2월 콜 위탁 수수료(건별)</t>
        </is>
      </c>
      <c r="J2583" s="75" t="inlineStr">
        <is>
          <t>V10013</t>
        </is>
      </c>
      <c r="K2583" s="75" t="inlineStr">
        <is>
          <t>J콜센터</t>
        </is>
      </c>
      <c r="M2583" s="9">
        <f>IF($A2583="","",VALUE($A2583&amp;"")*12+VALUE($B2583&amp;""))</f>
        <v/>
      </c>
      <c r="N2583" s="39">
        <f>IF($A2583="","",IFERROR(INDEX(부서매핑!$C$5:$C$504,MATCH($G2583&amp;"",부서매핑!$A$5:$A$504,0)),"미매핑"))</f>
        <v/>
      </c>
      <c r="O2583" s="9">
        <f>IF($A2583="","",N2583&amp;"|"&amp;$F2583)</f>
        <v/>
      </c>
      <c r="P2583" s="77">
        <f>IF($A2583="",0,$H2583*설정!$C$23)</f>
        <v/>
      </c>
      <c r="Q2583" s="39">
        <f>IF($A2583="","",IF(O2583&lt;&gt;원인분석!$C$9,"",IF(AND(M2583&gt;=원인분석!$C$10,M2583&lt;=원인분석!$C$11),"당기",IF(AND(M2583&gt;=원인분석!$C$12,M2583&lt;=원인분석!$C$13),"비교",""))))</f>
        <v/>
      </c>
      <c r="R2583" s="9">
        <f>IF(Q2583="","",$K2583&amp;"")</f>
        <v/>
      </c>
      <c r="S2583" s="9">
        <f>IF(Q2583="","",IF(MATCH(R2583,$R$5:$R$100000,0)=ROW()-4,ROW(),""))</f>
        <v/>
      </c>
      <c r="T2583" s="9">
        <f>IF(Q2583="당기",ABS(P2583)+ROW()/1000000000,"")</f>
        <v/>
      </c>
      <c r="U2583" s="9">
        <f>IF(Q2583="비교",ABS(P2583)+ROW()/1000000000,"")</f>
        <v/>
      </c>
      <c r="V2583" s="39">
        <f>IF($A2583="","",IF(COUNTIF(변동분석!$E$7:$E$506,O2583)&gt;0,"Y","N"))</f>
        <v/>
      </c>
      <c r="W2583" s="39">
        <f>IF($A2583="","",IFERROR(INDEX(계정매핑!$D$5:$D$504,MATCH($F2583&amp;"",계정매핑!$A$5:$A$504,0)),"미매핑"))</f>
        <v/>
      </c>
      <c r="X2583" s="9">
        <f>IF($A2583="","",$F2583&amp;"")</f>
        <v/>
      </c>
    </row>
    <row r="2584">
      <c r="A2584" s="75" t="n">
        <v>2026</v>
      </c>
      <c r="B2584" s="75" t="n">
        <v>2</v>
      </c>
      <c r="C2584" s="75" t="inlineStr">
        <is>
          <t>5100000240</t>
        </is>
      </c>
      <c r="D2584" s="78" t="n">
        <v>46061</v>
      </c>
      <c r="E2584" s="75" t="inlineStr">
        <is>
          <t>KR</t>
        </is>
      </c>
      <c r="F2584" s="75" t="n">
        <v>62101000</v>
      </c>
      <c r="G2584" s="75" t="n">
        <v>1301</v>
      </c>
      <c r="H2584" s="76" t="n">
        <v>425000</v>
      </c>
      <c r="I2584" s="75" t="inlineStr">
        <is>
          <t>2월 국내출장 - (법인카드)</t>
        </is>
      </c>
      <c r="J2584" s="75" t="inlineStr">
        <is>
          <t>V10008</t>
        </is>
      </c>
      <c r="K2584" s="75" t="inlineStr">
        <is>
          <t>(법인카드)</t>
        </is>
      </c>
      <c r="M2584" s="9">
        <f>IF($A2584="","",VALUE($A2584&amp;"")*12+VALUE($B2584&amp;""))</f>
        <v/>
      </c>
      <c r="N2584" s="39">
        <f>IF($A2584="","",IFERROR(INDEX(부서매핑!$C$5:$C$504,MATCH($G2584&amp;"",부서매핑!$A$5:$A$504,0)),"미매핑"))</f>
        <v/>
      </c>
      <c r="O2584" s="9">
        <f>IF($A2584="","",N2584&amp;"|"&amp;$F2584)</f>
        <v/>
      </c>
      <c r="P2584" s="77">
        <f>IF($A2584="",0,$H2584*설정!$C$23)</f>
        <v/>
      </c>
      <c r="Q2584" s="39">
        <f>IF($A2584="","",IF(O2584&lt;&gt;원인분석!$C$9,"",IF(AND(M2584&gt;=원인분석!$C$10,M2584&lt;=원인분석!$C$11),"당기",IF(AND(M2584&gt;=원인분석!$C$12,M2584&lt;=원인분석!$C$13),"비교",""))))</f>
        <v/>
      </c>
      <c r="R2584" s="9">
        <f>IF(Q2584="","",$K2584&amp;"")</f>
        <v/>
      </c>
      <c r="S2584" s="9">
        <f>IF(Q2584="","",IF(MATCH(R2584,$R$5:$R$100000,0)=ROW()-4,ROW(),""))</f>
        <v/>
      </c>
      <c r="T2584" s="9">
        <f>IF(Q2584="당기",ABS(P2584)+ROW()/1000000000,"")</f>
        <v/>
      </c>
      <c r="U2584" s="9">
        <f>IF(Q2584="비교",ABS(P2584)+ROW()/1000000000,"")</f>
        <v/>
      </c>
      <c r="V2584" s="39">
        <f>IF($A2584="","",IF(COUNTIF(변동분석!$E$7:$E$506,O2584)&gt;0,"Y","N"))</f>
        <v/>
      </c>
      <c r="W2584" s="39">
        <f>IF($A2584="","",IFERROR(INDEX(계정매핑!$D$5:$D$504,MATCH($F2584&amp;"",계정매핑!$A$5:$A$504,0)),"미매핑"))</f>
        <v/>
      </c>
      <c r="X2584" s="9">
        <f>IF($A2584="","",$F2584&amp;"")</f>
        <v/>
      </c>
    </row>
    <row r="2585">
      <c r="A2585" s="75" t="n">
        <v>2026</v>
      </c>
      <c r="B2585" s="75" t="n">
        <v>2</v>
      </c>
      <c r="C2585" s="75" t="inlineStr">
        <is>
          <t>5100000241</t>
        </is>
      </c>
      <c r="D2585" s="78" t="n">
        <v>46061</v>
      </c>
      <c r="E2585" s="75" t="inlineStr">
        <is>
          <t>KR</t>
        </is>
      </c>
      <c r="F2585" s="75" t="n">
        <v>62101000</v>
      </c>
      <c r="G2585" s="75" t="n">
        <v>1301</v>
      </c>
      <c r="H2585" s="76" t="n">
        <v>376000</v>
      </c>
      <c r="I2585" s="75" t="inlineStr">
        <is>
          <t>2월 국내출장 - (법인카드)</t>
        </is>
      </c>
      <c r="J2585" s="75" t="inlineStr">
        <is>
          <t>V10008</t>
        </is>
      </c>
      <c r="K2585" s="75" t="inlineStr">
        <is>
          <t>(법인카드)</t>
        </is>
      </c>
      <c r="M2585" s="9">
        <f>IF($A2585="","",VALUE($A2585&amp;"")*12+VALUE($B2585&amp;""))</f>
        <v/>
      </c>
      <c r="N2585" s="39">
        <f>IF($A2585="","",IFERROR(INDEX(부서매핑!$C$5:$C$504,MATCH($G2585&amp;"",부서매핑!$A$5:$A$504,0)),"미매핑"))</f>
        <v/>
      </c>
      <c r="O2585" s="9">
        <f>IF($A2585="","",N2585&amp;"|"&amp;$F2585)</f>
        <v/>
      </c>
      <c r="P2585" s="77">
        <f>IF($A2585="",0,$H2585*설정!$C$23)</f>
        <v/>
      </c>
      <c r="Q2585" s="39">
        <f>IF($A2585="","",IF(O2585&lt;&gt;원인분석!$C$9,"",IF(AND(M2585&gt;=원인분석!$C$10,M2585&lt;=원인분석!$C$11),"당기",IF(AND(M2585&gt;=원인분석!$C$12,M2585&lt;=원인분석!$C$13),"비교",""))))</f>
        <v/>
      </c>
      <c r="R2585" s="9">
        <f>IF(Q2585="","",$K2585&amp;"")</f>
        <v/>
      </c>
      <c r="S2585" s="9">
        <f>IF(Q2585="","",IF(MATCH(R2585,$R$5:$R$100000,0)=ROW()-4,ROW(),""))</f>
        <v/>
      </c>
      <c r="T2585" s="9">
        <f>IF(Q2585="당기",ABS(P2585)+ROW()/1000000000,"")</f>
        <v/>
      </c>
      <c r="U2585" s="9">
        <f>IF(Q2585="비교",ABS(P2585)+ROW()/1000000000,"")</f>
        <v/>
      </c>
      <c r="V2585" s="39">
        <f>IF($A2585="","",IF(COUNTIF(변동분석!$E$7:$E$506,O2585)&gt;0,"Y","N"))</f>
        <v/>
      </c>
      <c r="W2585" s="39">
        <f>IF($A2585="","",IFERROR(INDEX(계정매핑!$D$5:$D$504,MATCH($F2585&amp;"",계정매핑!$A$5:$A$504,0)),"미매핑"))</f>
        <v/>
      </c>
      <c r="X2585" s="9">
        <f>IF($A2585="","",$F2585&amp;"")</f>
        <v/>
      </c>
    </row>
    <row r="2586">
      <c r="A2586" s="75" t="n">
        <v>2026</v>
      </c>
      <c r="B2586" s="75" t="n">
        <v>2</v>
      </c>
      <c r="C2586" s="75" t="inlineStr">
        <is>
          <t>5100000242</t>
        </is>
      </c>
      <c r="D2586" s="78" t="n">
        <v>46061</v>
      </c>
      <c r="E2586" s="75" t="inlineStr">
        <is>
          <t>KR</t>
        </is>
      </c>
      <c r="F2586" s="75" t="n">
        <v>62102000</v>
      </c>
      <c r="G2586" s="75" t="n">
        <v>1101</v>
      </c>
      <c r="H2586" s="76" t="n">
        <v>216000</v>
      </c>
      <c r="I2586" s="75" t="inlineStr">
        <is>
          <t>2월 해외출장 - N호텔</t>
        </is>
      </c>
      <c r="J2586" s="75" t="inlineStr">
        <is>
          <t>V10007</t>
        </is>
      </c>
      <c r="K2586" s="75" t="inlineStr">
        <is>
          <t>N호텔</t>
        </is>
      </c>
      <c r="M2586" s="9">
        <f>IF($A2586="","",VALUE($A2586&amp;"")*12+VALUE($B2586&amp;""))</f>
        <v/>
      </c>
      <c r="N2586" s="39">
        <f>IF($A2586="","",IFERROR(INDEX(부서매핑!$C$5:$C$504,MATCH($G2586&amp;"",부서매핑!$A$5:$A$504,0)),"미매핑"))</f>
        <v/>
      </c>
      <c r="O2586" s="9">
        <f>IF($A2586="","",N2586&amp;"|"&amp;$F2586)</f>
        <v/>
      </c>
      <c r="P2586" s="77">
        <f>IF($A2586="",0,$H2586*설정!$C$23)</f>
        <v/>
      </c>
      <c r="Q2586" s="39">
        <f>IF($A2586="","",IF(O2586&lt;&gt;원인분석!$C$9,"",IF(AND(M2586&gt;=원인분석!$C$10,M2586&lt;=원인분석!$C$11),"당기",IF(AND(M2586&gt;=원인분석!$C$12,M2586&lt;=원인분석!$C$13),"비교",""))))</f>
        <v/>
      </c>
      <c r="R2586" s="9">
        <f>IF(Q2586="","",$K2586&amp;"")</f>
        <v/>
      </c>
      <c r="S2586" s="9">
        <f>IF(Q2586="","",IF(MATCH(R2586,$R$5:$R$100000,0)=ROW()-4,ROW(),""))</f>
        <v/>
      </c>
      <c r="T2586" s="9">
        <f>IF(Q2586="당기",ABS(P2586)+ROW()/1000000000,"")</f>
        <v/>
      </c>
      <c r="U2586" s="9">
        <f>IF(Q2586="비교",ABS(P2586)+ROW()/1000000000,"")</f>
        <v/>
      </c>
      <c r="V2586" s="39">
        <f>IF($A2586="","",IF(COUNTIF(변동분석!$E$7:$E$506,O2586)&gt;0,"Y","N"))</f>
        <v/>
      </c>
      <c r="W2586" s="39">
        <f>IF($A2586="","",IFERROR(INDEX(계정매핑!$D$5:$D$504,MATCH($F2586&amp;"",계정매핑!$A$5:$A$504,0)),"미매핑"))</f>
        <v/>
      </c>
      <c r="X2586" s="9">
        <f>IF($A2586="","",$F2586&amp;"")</f>
        <v/>
      </c>
    </row>
    <row r="2587">
      <c r="A2587" s="75" t="n">
        <v>2026</v>
      </c>
      <c r="B2587" s="75" t="n">
        <v>2</v>
      </c>
      <c r="C2587" s="75" t="inlineStr">
        <is>
          <t>5100000243</t>
        </is>
      </c>
      <c r="D2587" s="78" t="n">
        <v>46061</v>
      </c>
      <c r="E2587" s="75" t="inlineStr">
        <is>
          <t>KR</t>
        </is>
      </c>
      <c r="F2587" s="75" t="n">
        <v>62102000</v>
      </c>
      <c r="G2587" s="75" t="n">
        <v>1801</v>
      </c>
      <c r="H2587" s="76" t="n">
        <v>36000</v>
      </c>
      <c r="I2587" s="75" t="inlineStr">
        <is>
          <t>2월 해외출장 - M항공</t>
        </is>
      </c>
      <c r="J2587" s="75" t="inlineStr">
        <is>
          <t>V10001</t>
        </is>
      </c>
      <c r="K2587" s="75" t="inlineStr">
        <is>
          <t>M항공</t>
        </is>
      </c>
      <c r="M2587" s="9">
        <f>IF($A2587="","",VALUE($A2587&amp;"")*12+VALUE($B2587&amp;""))</f>
        <v/>
      </c>
      <c r="N2587" s="39">
        <f>IF($A2587="","",IFERROR(INDEX(부서매핑!$C$5:$C$504,MATCH($G2587&amp;"",부서매핑!$A$5:$A$504,0)),"미매핑"))</f>
        <v/>
      </c>
      <c r="O2587" s="9">
        <f>IF($A2587="","",N2587&amp;"|"&amp;$F2587)</f>
        <v/>
      </c>
      <c r="P2587" s="77">
        <f>IF($A2587="",0,$H2587*설정!$C$23)</f>
        <v/>
      </c>
      <c r="Q2587" s="39">
        <f>IF($A2587="","",IF(O2587&lt;&gt;원인분석!$C$9,"",IF(AND(M2587&gt;=원인분석!$C$10,M2587&lt;=원인분석!$C$11),"당기",IF(AND(M2587&gt;=원인분석!$C$12,M2587&lt;=원인분석!$C$13),"비교",""))))</f>
        <v/>
      </c>
      <c r="R2587" s="9">
        <f>IF(Q2587="","",$K2587&amp;"")</f>
        <v/>
      </c>
      <c r="S2587" s="9">
        <f>IF(Q2587="","",IF(MATCH(R2587,$R$5:$R$100000,0)=ROW()-4,ROW(),""))</f>
        <v/>
      </c>
      <c r="T2587" s="9">
        <f>IF(Q2587="당기",ABS(P2587)+ROW()/1000000000,"")</f>
        <v/>
      </c>
      <c r="U2587" s="9">
        <f>IF(Q2587="비교",ABS(P2587)+ROW()/1000000000,"")</f>
        <v/>
      </c>
      <c r="V2587" s="39">
        <f>IF($A2587="","",IF(COUNTIF(변동분석!$E$7:$E$506,O2587)&gt;0,"Y","N"))</f>
        <v/>
      </c>
      <c r="W2587" s="39">
        <f>IF($A2587="","",IFERROR(INDEX(계정매핑!$D$5:$D$504,MATCH($F2587&amp;"",계정매핑!$A$5:$A$504,0)),"미매핑"))</f>
        <v/>
      </c>
      <c r="X2587" s="9">
        <f>IF($A2587="","",$F2587&amp;"")</f>
        <v/>
      </c>
    </row>
    <row r="2588">
      <c r="A2588" s="75" t="n">
        <v>2026</v>
      </c>
      <c r="B2588" s="75" t="n">
        <v>2</v>
      </c>
      <c r="C2588" s="75" t="inlineStr">
        <is>
          <t>5100000244</t>
        </is>
      </c>
      <c r="D2588" s="78" t="n">
        <v>46061</v>
      </c>
      <c r="E2588" s="75" t="inlineStr">
        <is>
          <t>KR</t>
        </is>
      </c>
      <c r="F2588" s="75" t="n">
        <v>62201000</v>
      </c>
      <c r="G2588" s="75" t="n">
        <v>1201</v>
      </c>
      <c r="H2588" s="76" t="n">
        <v>113000</v>
      </c>
      <c r="I2588" s="75" t="inlineStr">
        <is>
          <t>2월 통신요금 - O텔레콤</t>
        </is>
      </c>
      <c r="J2588" s="75" t="inlineStr">
        <is>
          <t>V10002</t>
        </is>
      </c>
      <c r="K2588" s="75" t="inlineStr">
        <is>
          <t>O텔레콤</t>
        </is>
      </c>
      <c r="M2588" s="9">
        <f>IF($A2588="","",VALUE($A2588&amp;"")*12+VALUE($B2588&amp;""))</f>
        <v/>
      </c>
      <c r="N2588" s="39">
        <f>IF($A2588="","",IFERROR(INDEX(부서매핑!$C$5:$C$504,MATCH($G2588&amp;"",부서매핑!$A$5:$A$504,0)),"미매핑"))</f>
        <v/>
      </c>
      <c r="O2588" s="9">
        <f>IF($A2588="","",N2588&amp;"|"&amp;$F2588)</f>
        <v/>
      </c>
      <c r="P2588" s="77">
        <f>IF($A2588="",0,$H2588*설정!$C$23)</f>
        <v/>
      </c>
      <c r="Q2588" s="39">
        <f>IF($A2588="","",IF(O2588&lt;&gt;원인분석!$C$9,"",IF(AND(M2588&gt;=원인분석!$C$10,M2588&lt;=원인분석!$C$11),"당기",IF(AND(M2588&gt;=원인분석!$C$12,M2588&lt;=원인분석!$C$13),"비교",""))))</f>
        <v/>
      </c>
      <c r="R2588" s="9">
        <f>IF(Q2588="","",$K2588&amp;"")</f>
        <v/>
      </c>
      <c r="S2588" s="9">
        <f>IF(Q2588="","",IF(MATCH(R2588,$R$5:$R$100000,0)=ROW()-4,ROW(),""))</f>
        <v/>
      </c>
      <c r="T2588" s="9">
        <f>IF(Q2588="당기",ABS(P2588)+ROW()/1000000000,"")</f>
        <v/>
      </c>
      <c r="U2588" s="9">
        <f>IF(Q2588="비교",ABS(P2588)+ROW()/1000000000,"")</f>
        <v/>
      </c>
      <c r="V2588" s="39">
        <f>IF($A2588="","",IF(COUNTIF(변동분석!$E$7:$E$506,O2588)&gt;0,"Y","N"))</f>
        <v/>
      </c>
      <c r="W2588" s="39">
        <f>IF($A2588="","",IFERROR(INDEX(계정매핑!$D$5:$D$504,MATCH($F2588&amp;"",계정매핑!$A$5:$A$504,0)),"미매핑"))</f>
        <v/>
      </c>
      <c r="X2588" s="9">
        <f>IF($A2588="","",$F2588&amp;"")</f>
        <v/>
      </c>
    </row>
    <row r="2589">
      <c r="A2589" s="75" t="n">
        <v>2026</v>
      </c>
      <c r="B2589" s="75" t="n">
        <v>2</v>
      </c>
      <c r="C2589" s="75" t="inlineStr">
        <is>
          <t>5100000245</t>
        </is>
      </c>
      <c r="D2589" s="78" t="n">
        <v>46061</v>
      </c>
      <c r="E2589" s="75" t="inlineStr">
        <is>
          <t>KR</t>
        </is>
      </c>
      <c r="F2589" s="75" t="n">
        <v>62301000</v>
      </c>
      <c r="G2589" s="75" t="n">
        <v>1201</v>
      </c>
      <c r="H2589" s="76" t="n">
        <v>353000</v>
      </c>
      <c r="I2589" s="75" t="inlineStr">
        <is>
          <t>2월 소모품 구입 - R문구</t>
        </is>
      </c>
      <c r="J2589" s="75" t="inlineStr">
        <is>
          <t>V10018</t>
        </is>
      </c>
      <c r="K2589" s="75" t="inlineStr">
        <is>
          <t>R문구</t>
        </is>
      </c>
      <c r="M2589" s="9">
        <f>IF($A2589="","",VALUE($A2589&amp;"")*12+VALUE($B2589&amp;""))</f>
        <v/>
      </c>
      <c r="N2589" s="39">
        <f>IF($A2589="","",IFERROR(INDEX(부서매핑!$C$5:$C$504,MATCH($G2589&amp;"",부서매핑!$A$5:$A$504,0)),"미매핑"))</f>
        <v/>
      </c>
      <c r="O2589" s="9">
        <f>IF($A2589="","",N2589&amp;"|"&amp;$F2589)</f>
        <v/>
      </c>
      <c r="P2589" s="77">
        <f>IF($A2589="",0,$H2589*설정!$C$23)</f>
        <v/>
      </c>
      <c r="Q2589" s="39">
        <f>IF($A2589="","",IF(O2589&lt;&gt;원인분석!$C$9,"",IF(AND(M2589&gt;=원인분석!$C$10,M2589&lt;=원인분석!$C$11),"당기",IF(AND(M2589&gt;=원인분석!$C$12,M2589&lt;=원인분석!$C$13),"비교",""))))</f>
        <v/>
      </c>
      <c r="R2589" s="9">
        <f>IF(Q2589="","",$K2589&amp;"")</f>
        <v/>
      </c>
      <c r="S2589" s="9">
        <f>IF(Q2589="","",IF(MATCH(R2589,$R$5:$R$100000,0)=ROW()-4,ROW(),""))</f>
        <v/>
      </c>
      <c r="T2589" s="9">
        <f>IF(Q2589="당기",ABS(P2589)+ROW()/1000000000,"")</f>
        <v/>
      </c>
      <c r="U2589" s="9">
        <f>IF(Q2589="비교",ABS(P2589)+ROW()/1000000000,"")</f>
        <v/>
      </c>
      <c r="V2589" s="39">
        <f>IF($A2589="","",IF(COUNTIF(변동분석!$E$7:$E$506,O2589)&gt;0,"Y","N"))</f>
        <v/>
      </c>
      <c r="W2589" s="39">
        <f>IF($A2589="","",IFERROR(INDEX(계정매핑!$D$5:$D$504,MATCH($F2589&amp;"",계정매핑!$A$5:$A$504,0)),"미매핑"))</f>
        <v/>
      </c>
      <c r="X2589" s="9">
        <f>IF($A2589="","",$F2589&amp;"")</f>
        <v/>
      </c>
    </row>
    <row r="2590">
      <c r="A2590" s="75" t="n">
        <v>2026</v>
      </c>
      <c r="B2590" s="75" t="n">
        <v>2</v>
      </c>
      <c r="C2590" s="75" t="inlineStr">
        <is>
          <t>5100000246</t>
        </is>
      </c>
      <c r="D2590" s="78" t="n">
        <v>46061</v>
      </c>
      <c r="E2590" s="75" t="inlineStr">
        <is>
          <t>KR</t>
        </is>
      </c>
      <c r="F2590" s="75" t="n">
        <v>62301000</v>
      </c>
      <c r="G2590" s="75" t="n">
        <v>1401</v>
      </c>
      <c r="H2590" s="76" t="n">
        <v>105000</v>
      </c>
      <c r="I2590" s="75" t="inlineStr">
        <is>
          <t>2월 소모품 구입 - R문구</t>
        </is>
      </c>
      <c r="J2590" s="75" t="inlineStr">
        <is>
          <t>V10018</t>
        </is>
      </c>
      <c r="K2590" s="75" t="inlineStr">
        <is>
          <t>R문구</t>
        </is>
      </c>
      <c r="M2590" s="9">
        <f>IF($A2590="","",VALUE($A2590&amp;"")*12+VALUE($B2590&amp;""))</f>
        <v/>
      </c>
      <c r="N2590" s="39">
        <f>IF($A2590="","",IFERROR(INDEX(부서매핑!$C$5:$C$504,MATCH($G2590&amp;"",부서매핑!$A$5:$A$504,0)),"미매핑"))</f>
        <v/>
      </c>
      <c r="O2590" s="9">
        <f>IF($A2590="","",N2590&amp;"|"&amp;$F2590)</f>
        <v/>
      </c>
      <c r="P2590" s="77">
        <f>IF($A2590="",0,$H2590*설정!$C$23)</f>
        <v/>
      </c>
      <c r="Q2590" s="39">
        <f>IF($A2590="","",IF(O2590&lt;&gt;원인분석!$C$9,"",IF(AND(M2590&gt;=원인분석!$C$10,M2590&lt;=원인분석!$C$11),"당기",IF(AND(M2590&gt;=원인분석!$C$12,M2590&lt;=원인분석!$C$13),"비교",""))))</f>
        <v/>
      </c>
      <c r="R2590" s="9">
        <f>IF(Q2590="","",$K2590&amp;"")</f>
        <v/>
      </c>
      <c r="S2590" s="9">
        <f>IF(Q2590="","",IF(MATCH(R2590,$R$5:$R$100000,0)=ROW()-4,ROW(),""))</f>
        <v/>
      </c>
      <c r="T2590" s="9">
        <f>IF(Q2590="당기",ABS(P2590)+ROW()/1000000000,"")</f>
        <v/>
      </c>
      <c r="U2590" s="9">
        <f>IF(Q2590="비교",ABS(P2590)+ROW()/1000000000,"")</f>
        <v/>
      </c>
      <c r="V2590" s="39">
        <f>IF($A2590="","",IF(COUNTIF(변동분석!$E$7:$E$506,O2590)&gt;0,"Y","N"))</f>
        <v/>
      </c>
      <c r="W2590" s="39">
        <f>IF($A2590="","",IFERROR(INDEX(계정매핑!$D$5:$D$504,MATCH($F2590&amp;"",계정매핑!$A$5:$A$504,0)),"미매핑"))</f>
        <v/>
      </c>
      <c r="X2590" s="9">
        <f>IF($A2590="","",$F2590&amp;"")</f>
        <v/>
      </c>
    </row>
    <row r="2591">
      <c r="A2591" s="75" t="n">
        <v>2026</v>
      </c>
      <c r="B2591" s="75" t="n">
        <v>2</v>
      </c>
      <c r="C2591" s="75" t="inlineStr">
        <is>
          <t>5100000247</t>
        </is>
      </c>
      <c r="D2591" s="78" t="n">
        <v>46061</v>
      </c>
      <c r="E2591" s="75" t="inlineStr">
        <is>
          <t>KR</t>
        </is>
      </c>
      <c r="F2591" s="75" t="n">
        <v>62401000</v>
      </c>
      <c r="G2591" s="75" t="n">
        <v>1501</v>
      </c>
      <c r="H2591" s="76" t="n">
        <v>2184000</v>
      </c>
      <c r="I2591" s="75" t="inlineStr">
        <is>
          <t>2월 인쇄물 제작 - G인쇄</t>
        </is>
      </c>
      <c r="J2591" s="75" t="inlineStr">
        <is>
          <t>V10004</t>
        </is>
      </c>
      <c r="K2591" s="75" t="inlineStr">
        <is>
          <t>G인쇄</t>
        </is>
      </c>
      <c r="M2591" s="9">
        <f>IF($A2591="","",VALUE($A2591&amp;"")*12+VALUE($B2591&amp;""))</f>
        <v/>
      </c>
      <c r="N2591" s="39">
        <f>IF($A2591="","",IFERROR(INDEX(부서매핑!$C$5:$C$504,MATCH($G2591&amp;"",부서매핑!$A$5:$A$504,0)),"미매핑"))</f>
        <v/>
      </c>
      <c r="O2591" s="9">
        <f>IF($A2591="","",N2591&amp;"|"&amp;$F2591)</f>
        <v/>
      </c>
      <c r="P2591" s="77">
        <f>IF($A2591="",0,$H2591*설정!$C$23)</f>
        <v/>
      </c>
      <c r="Q2591" s="39">
        <f>IF($A2591="","",IF(O2591&lt;&gt;원인분석!$C$9,"",IF(AND(M2591&gt;=원인분석!$C$10,M2591&lt;=원인분석!$C$11),"당기",IF(AND(M2591&gt;=원인분석!$C$12,M2591&lt;=원인분석!$C$13),"비교",""))))</f>
        <v/>
      </c>
      <c r="R2591" s="9">
        <f>IF(Q2591="","",$K2591&amp;"")</f>
        <v/>
      </c>
      <c r="S2591" s="9">
        <f>IF(Q2591="","",IF(MATCH(R2591,$R$5:$R$100000,0)=ROW()-4,ROW(),""))</f>
        <v/>
      </c>
      <c r="T2591" s="9">
        <f>IF(Q2591="당기",ABS(P2591)+ROW()/1000000000,"")</f>
        <v/>
      </c>
      <c r="U2591" s="9">
        <f>IF(Q2591="비교",ABS(P2591)+ROW()/1000000000,"")</f>
        <v/>
      </c>
      <c r="V2591" s="39">
        <f>IF($A2591="","",IF(COUNTIF(변동분석!$E$7:$E$506,O2591)&gt;0,"Y","N"))</f>
        <v/>
      </c>
      <c r="W2591" s="39">
        <f>IF($A2591="","",IFERROR(INDEX(계정매핑!$D$5:$D$504,MATCH($F2591&amp;"",계정매핑!$A$5:$A$504,0)),"미매핑"))</f>
        <v/>
      </c>
      <c r="X2591" s="9">
        <f>IF($A2591="","",$F2591&amp;"")</f>
        <v/>
      </c>
    </row>
    <row r="2592">
      <c r="A2592" s="75" t="n">
        <v>2026</v>
      </c>
      <c r="B2592" s="75" t="n">
        <v>2</v>
      </c>
      <c r="C2592" s="75" t="inlineStr">
        <is>
          <t>5100000248</t>
        </is>
      </c>
      <c r="D2592" s="78" t="n">
        <v>46061</v>
      </c>
      <c r="E2592" s="75" t="inlineStr">
        <is>
          <t>KR</t>
        </is>
      </c>
      <c r="F2592" s="75" t="n">
        <v>62901000</v>
      </c>
      <c r="G2592" s="75" t="n">
        <v>1201</v>
      </c>
      <c r="H2592" s="76" t="n">
        <v>7706000</v>
      </c>
      <c r="I2592" s="75" t="inlineStr">
        <is>
          <t>2월 자문 수수료 - K회계법인</t>
        </is>
      </c>
      <c r="J2592" s="75" t="inlineStr">
        <is>
          <t>V10010</t>
        </is>
      </c>
      <c r="K2592" s="75" t="inlineStr">
        <is>
          <t>K회계법인</t>
        </is>
      </c>
      <c r="M2592" s="9">
        <f>IF($A2592="","",VALUE($A2592&amp;"")*12+VALUE($B2592&amp;""))</f>
        <v/>
      </c>
      <c r="N2592" s="39">
        <f>IF($A2592="","",IFERROR(INDEX(부서매핑!$C$5:$C$504,MATCH($G2592&amp;"",부서매핑!$A$5:$A$504,0)),"미매핑"))</f>
        <v/>
      </c>
      <c r="O2592" s="9">
        <f>IF($A2592="","",N2592&amp;"|"&amp;$F2592)</f>
        <v/>
      </c>
      <c r="P2592" s="77">
        <f>IF($A2592="",0,$H2592*설정!$C$23)</f>
        <v/>
      </c>
      <c r="Q2592" s="39">
        <f>IF($A2592="","",IF(O2592&lt;&gt;원인분석!$C$9,"",IF(AND(M2592&gt;=원인분석!$C$10,M2592&lt;=원인분석!$C$11),"당기",IF(AND(M2592&gt;=원인분석!$C$12,M2592&lt;=원인분석!$C$13),"비교",""))))</f>
        <v/>
      </c>
      <c r="R2592" s="9">
        <f>IF(Q2592="","",$K2592&amp;"")</f>
        <v/>
      </c>
      <c r="S2592" s="9">
        <f>IF(Q2592="","",IF(MATCH(R2592,$R$5:$R$100000,0)=ROW()-4,ROW(),""))</f>
        <v/>
      </c>
      <c r="T2592" s="9">
        <f>IF(Q2592="당기",ABS(P2592)+ROW()/1000000000,"")</f>
        <v/>
      </c>
      <c r="U2592" s="9">
        <f>IF(Q2592="비교",ABS(P2592)+ROW()/1000000000,"")</f>
        <v/>
      </c>
      <c r="V2592" s="39">
        <f>IF($A2592="","",IF(COUNTIF(변동분석!$E$7:$E$506,O2592)&gt;0,"Y","N"))</f>
        <v/>
      </c>
      <c r="W2592" s="39">
        <f>IF($A2592="","",IFERROR(INDEX(계정매핑!$D$5:$D$504,MATCH($F2592&amp;"",계정매핑!$A$5:$A$504,0)),"미매핑"))</f>
        <v/>
      </c>
      <c r="X2592" s="9">
        <f>IF($A2592="","",$F2592&amp;"")</f>
        <v/>
      </c>
    </row>
    <row r="2593">
      <c r="A2593" s="75" t="n">
        <v>2026</v>
      </c>
      <c r="B2593" s="75" t="n">
        <v>2</v>
      </c>
      <c r="C2593" s="75" t="inlineStr">
        <is>
          <t>5100000249</t>
        </is>
      </c>
      <c r="D2593" s="78" t="n">
        <v>46061</v>
      </c>
      <c r="E2593" s="75" t="inlineStr">
        <is>
          <t>KR</t>
        </is>
      </c>
      <c r="F2593" s="75" t="n">
        <v>62902000</v>
      </c>
      <c r="G2593" s="75" t="n">
        <v>1801</v>
      </c>
      <c r="H2593" s="76" t="n">
        <v>1852000</v>
      </c>
      <c r="I2593" s="75" t="inlineStr">
        <is>
          <t>2월 콜 위탁 수수료(건별)</t>
        </is>
      </c>
      <c r="J2593" s="75" t="inlineStr">
        <is>
          <t>V10013</t>
        </is>
      </c>
      <c r="K2593" s="75" t="inlineStr">
        <is>
          <t>J콜센터</t>
        </is>
      </c>
      <c r="M2593" s="9">
        <f>IF($A2593="","",VALUE($A2593&amp;"")*12+VALUE($B2593&amp;""))</f>
        <v/>
      </c>
      <c r="N2593" s="39">
        <f>IF($A2593="","",IFERROR(INDEX(부서매핑!$C$5:$C$504,MATCH($G2593&amp;"",부서매핑!$A$5:$A$504,0)),"미매핑"))</f>
        <v/>
      </c>
      <c r="O2593" s="9">
        <f>IF($A2593="","",N2593&amp;"|"&amp;$F2593)</f>
        <v/>
      </c>
      <c r="P2593" s="77">
        <f>IF($A2593="",0,$H2593*설정!$C$23)</f>
        <v/>
      </c>
      <c r="Q2593" s="39">
        <f>IF($A2593="","",IF(O2593&lt;&gt;원인분석!$C$9,"",IF(AND(M2593&gt;=원인분석!$C$10,M2593&lt;=원인분석!$C$11),"당기",IF(AND(M2593&gt;=원인분석!$C$12,M2593&lt;=원인분석!$C$13),"비교",""))))</f>
        <v/>
      </c>
      <c r="R2593" s="9">
        <f>IF(Q2593="","",$K2593&amp;"")</f>
        <v/>
      </c>
      <c r="S2593" s="9">
        <f>IF(Q2593="","",IF(MATCH(R2593,$R$5:$R$100000,0)=ROW()-4,ROW(),""))</f>
        <v/>
      </c>
      <c r="T2593" s="9">
        <f>IF(Q2593="당기",ABS(P2593)+ROW()/1000000000,"")</f>
        <v/>
      </c>
      <c r="U2593" s="9">
        <f>IF(Q2593="비교",ABS(P2593)+ROW()/1000000000,"")</f>
        <v/>
      </c>
      <c r="V2593" s="39">
        <f>IF($A2593="","",IF(COUNTIF(변동분석!$E$7:$E$506,O2593)&gt;0,"Y","N"))</f>
        <v/>
      </c>
      <c r="W2593" s="39">
        <f>IF($A2593="","",IFERROR(INDEX(계정매핑!$D$5:$D$504,MATCH($F2593&amp;"",계정매핑!$A$5:$A$504,0)),"미매핑"))</f>
        <v/>
      </c>
      <c r="X2593" s="9">
        <f>IF($A2593="","",$F2593&amp;"")</f>
        <v/>
      </c>
    </row>
    <row r="2594">
      <c r="A2594" s="75" t="n">
        <v>2026</v>
      </c>
      <c r="B2594" s="75" t="n">
        <v>2</v>
      </c>
      <c r="C2594" s="75" t="inlineStr">
        <is>
          <t>5100000250</t>
        </is>
      </c>
      <c r="D2594" s="78" t="n">
        <v>46062</v>
      </c>
      <c r="E2594" s="75" t="inlineStr">
        <is>
          <t>KR</t>
        </is>
      </c>
      <c r="F2594" s="75" t="n">
        <v>62201000</v>
      </c>
      <c r="G2594" s="75" t="n">
        <v>1101</v>
      </c>
      <c r="H2594" s="76" t="n">
        <v>153000</v>
      </c>
      <c r="I2594" s="75" t="inlineStr">
        <is>
          <t>2월 통신요금 - P통신</t>
        </is>
      </c>
      <c r="J2594" s="75" t="inlineStr">
        <is>
          <t>V10011</t>
        </is>
      </c>
      <c r="K2594" s="75" t="inlineStr">
        <is>
          <t>P통신</t>
        </is>
      </c>
      <c r="M2594" s="9">
        <f>IF($A2594="","",VALUE($A2594&amp;"")*12+VALUE($B2594&amp;""))</f>
        <v/>
      </c>
      <c r="N2594" s="39">
        <f>IF($A2594="","",IFERROR(INDEX(부서매핑!$C$5:$C$504,MATCH($G2594&amp;"",부서매핑!$A$5:$A$504,0)),"미매핑"))</f>
        <v/>
      </c>
      <c r="O2594" s="9">
        <f>IF($A2594="","",N2594&amp;"|"&amp;$F2594)</f>
        <v/>
      </c>
      <c r="P2594" s="77">
        <f>IF($A2594="",0,$H2594*설정!$C$23)</f>
        <v/>
      </c>
      <c r="Q2594" s="39">
        <f>IF($A2594="","",IF(O2594&lt;&gt;원인분석!$C$9,"",IF(AND(M2594&gt;=원인분석!$C$10,M2594&lt;=원인분석!$C$11),"당기",IF(AND(M2594&gt;=원인분석!$C$12,M2594&lt;=원인분석!$C$13),"비교",""))))</f>
        <v/>
      </c>
      <c r="R2594" s="9">
        <f>IF(Q2594="","",$K2594&amp;"")</f>
        <v/>
      </c>
      <c r="S2594" s="9">
        <f>IF(Q2594="","",IF(MATCH(R2594,$R$5:$R$100000,0)=ROW()-4,ROW(),""))</f>
        <v/>
      </c>
      <c r="T2594" s="9">
        <f>IF(Q2594="당기",ABS(P2594)+ROW()/1000000000,"")</f>
        <v/>
      </c>
      <c r="U2594" s="9">
        <f>IF(Q2594="비교",ABS(P2594)+ROW()/1000000000,"")</f>
        <v/>
      </c>
      <c r="V2594" s="39">
        <f>IF($A2594="","",IF(COUNTIF(변동분석!$E$7:$E$506,O2594)&gt;0,"Y","N"))</f>
        <v/>
      </c>
      <c r="W2594" s="39">
        <f>IF($A2594="","",IFERROR(INDEX(계정매핑!$D$5:$D$504,MATCH($F2594&amp;"",계정매핑!$A$5:$A$504,0)),"미매핑"))</f>
        <v/>
      </c>
      <c r="X2594" s="9">
        <f>IF($A2594="","",$F2594&amp;"")</f>
        <v/>
      </c>
    </row>
    <row r="2595">
      <c r="A2595" s="75" t="n">
        <v>2026</v>
      </c>
      <c r="B2595" s="75" t="n">
        <v>2</v>
      </c>
      <c r="C2595" s="75" t="inlineStr">
        <is>
          <t>5100000251</t>
        </is>
      </c>
      <c r="D2595" s="78" t="n">
        <v>46062</v>
      </c>
      <c r="E2595" s="75" t="inlineStr">
        <is>
          <t>KR</t>
        </is>
      </c>
      <c r="F2595" s="75" t="n">
        <v>62301000</v>
      </c>
      <c r="G2595" s="75" t="n">
        <v>1201</v>
      </c>
      <c r="H2595" s="76" t="n">
        <v>193000</v>
      </c>
      <c r="I2595" s="75" t="inlineStr">
        <is>
          <t>2월 소모품 구입 - Q오피스</t>
        </is>
      </c>
      <c r="J2595" s="75" t="inlineStr">
        <is>
          <t>V10003</t>
        </is>
      </c>
      <c r="K2595" s="75" t="inlineStr">
        <is>
          <t>Q오피스</t>
        </is>
      </c>
      <c r="M2595" s="9">
        <f>IF($A2595="","",VALUE($A2595&amp;"")*12+VALUE($B2595&amp;""))</f>
        <v/>
      </c>
      <c r="N2595" s="39">
        <f>IF($A2595="","",IFERROR(INDEX(부서매핑!$C$5:$C$504,MATCH($G2595&amp;"",부서매핑!$A$5:$A$504,0)),"미매핑"))</f>
        <v/>
      </c>
      <c r="O2595" s="9">
        <f>IF($A2595="","",N2595&amp;"|"&amp;$F2595)</f>
        <v/>
      </c>
      <c r="P2595" s="77">
        <f>IF($A2595="",0,$H2595*설정!$C$23)</f>
        <v/>
      </c>
      <c r="Q2595" s="39">
        <f>IF($A2595="","",IF(O2595&lt;&gt;원인분석!$C$9,"",IF(AND(M2595&gt;=원인분석!$C$10,M2595&lt;=원인분석!$C$11),"당기",IF(AND(M2595&gt;=원인분석!$C$12,M2595&lt;=원인분석!$C$13),"비교",""))))</f>
        <v/>
      </c>
      <c r="R2595" s="9">
        <f>IF(Q2595="","",$K2595&amp;"")</f>
        <v/>
      </c>
      <c r="S2595" s="9">
        <f>IF(Q2595="","",IF(MATCH(R2595,$R$5:$R$100000,0)=ROW()-4,ROW(),""))</f>
        <v/>
      </c>
      <c r="T2595" s="9">
        <f>IF(Q2595="당기",ABS(P2595)+ROW()/1000000000,"")</f>
        <v/>
      </c>
      <c r="U2595" s="9">
        <f>IF(Q2595="비교",ABS(P2595)+ROW()/1000000000,"")</f>
        <v/>
      </c>
      <c r="V2595" s="39">
        <f>IF($A2595="","",IF(COUNTIF(변동분석!$E$7:$E$506,O2595)&gt;0,"Y","N"))</f>
        <v/>
      </c>
      <c r="W2595" s="39">
        <f>IF($A2595="","",IFERROR(INDEX(계정매핑!$D$5:$D$504,MATCH($F2595&amp;"",계정매핑!$A$5:$A$504,0)),"미매핑"))</f>
        <v/>
      </c>
      <c r="X2595" s="9">
        <f>IF($A2595="","",$F2595&amp;"")</f>
        <v/>
      </c>
    </row>
    <row r="2596">
      <c r="A2596" s="75" t="n">
        <v>2026</v>
      </c>
      <c r="B2596" s="75" t="n">
        <v>2</v>
      </c>
      <c r="C2596" s="75" t="inlineStr">
        <is>
          <t>5100000252</t>
        </is>
      </c>
      <c r="D2596" s="78" t="n">
        <v>46062</v>
      </c>
      <c r="E2596" s="75" t="inlineStr">
        <is>
          <t>KR</t>
        </is>
      </c>
      <c r="F2596" s="75" t="n">
        <v>62301000</v>
      </c>
      <c r="G2596" s="75" t="n">
        <v>1502</v>
      </c>
      <c r="H2596" s="76" t="n">
        <v>245000</v>
      </c>
      <c r="I2596" s="75" t="inlineStr">
        <is>
          <t>2월 소모품 구입 - Q오피스</t>
        </is>
      </c>
      <c r="J2596" s="75" t="inlineStr">
        <is>
          <t>V10003</t>
        </is>
      </c>
      <c r="K2596" s="75" t="inlineStr">
        <is>
          <t>Q오피스</t>
        </is>
      </c>
      <c r="M2596" s="9">
        <f>IF($A2596="","",VALUE($A2596&amp;"")*12+VALUE($B2596&amp;""))</f>
        <v/>
      </c>
      <c r="N2596" s="39">
        <f>IF($A2596="","",IFERROR(INDEX(부서매핑!$C$5:$C$504,MATCH($G2596&amp;"",부서매핑!$A$5:$A$504,0)),"미매핑"))</f>
        <v/>
      </c>
      <c r="O2596" s="9">
        <f>IF($A2596="","",N2596&amp;"|"&amp;$F2596)</f>
        <v/>
      </c>
      <c r="P2596" s="77">
        <f>IF($A2596="",0,$H2596*설정!$C$23)</f>
        <v/>
      </c>
      <c r="Q2596" s="39">
        <f>IF($A2596="","",IF(O2596&lt;&gt;원인분석!$C$9,"",IF(AND(M2596&gt;=원인분석!$C$10,M2596&lt;=원인분석!$C$11),"당기",IF(AND(M2596&gt;=원인분석!$C$12,M2596&lt;=원인분석!$C$13),"비교",""))))</f>
        <v/>
      </c>
      <c r="R2596" s="9">
        <f>IF(Q2596="","",$K2596&amp;"")</f>
        <v/>
      </c>
      <c r="S2596" s="9">
        <f>IF(Q2596="","",IF(MATCH(R2596,$R$5:$R$100000,0)=ROW()-4,ROW(),""))</f>
        <v/>
      </c>
      <c r="T2596" s="9">
        <f>IF(Q2596="당기",ABS(P2596)+ROW()/1000000000,"")</f>
        <v/>
      </c>
      <c r="U2596" s="9">
        <f>IF(Q2596="비교",ABS(P2596)+ROW()/1000000000,"")</f>
        <v/>
      </c>
      <c r="V2596" s="39">
        <f>IF($A2596="","",IF(COUNTIF(변동분석!$E$7:$E$506,O2596)&gt;0,"Y","N"))</f>
        <v/>
      </c>
      <c r="W2596" s="39">
        <f>IF($A2596="","",IFERROR(INDEX(계정매핑!$D$5:$D$504,MATCH($F2596&amp;"",계정매핑!$A$5:$A$504,0)),"미매핑"))</f>
        <v/>
      </c>
      <c r="X2596" s="9">
        <f>IF($A2596="","",$F2596&amp;"")</f>
        <v/>
      </c>
    </row>
    <row r="2597">
      <c r="A2597" s="75" t="n">
        <v>2026</v>
      </c>
      <c r="B2597" s="75" t="n">
        <v>2</v>
      </c>
      <c r="C2597" s="75" t="inlineStr">
        <is>
          <t>5100000253</t>
        </is>
      </c>
      <c r="D2597" s="78" t="n">
        <v>46062</v>
      </c>
      <c r="E2597" s="75" t="inlineStr">
        <is>
          <t>KR</t>
        </is>
      </c>
      <c r="F2597" s="75" t="n">
        <v>62301000</v>
      </c>
      <c r="G2597" s="75" t="n">
        <v>1701</v>
      </c>
      <c r="H2597" s="76" t="n">
        <v>253000</v>
      </c>
      <c r="I2597" s="75" t="inlineStr">
        <is>
          <t>2월 소모품 구입 - Q오피스</t>
        </is>
      </c>
      <c r="J2597" s="75" t="inlineStr">
        <is>
          <t>V10003</t>
        </is>
      </c>
      <c r="K2597" s="75" t="inlineStr">
        <is>
          <t>Q오피스</t>
        </is>
      </c>
      <c r="M2597" s="9">
        <f>IF($A2597="","",VALUE($A2597&amp;"")*12+VALUE($B2597&amp;""))</f>
        <v/>
      </c>
      <c r="N2597" s="39">
        <f>IF($A2597="","",IFERROR(INDEX(부서매핑!$C$5:$C$504,MATCH($G2597&amp;"",부서매핑!$A$5:$A$504,0)),"미매핑"))</f>
        <v/>
      </c>
      <c r="O2597" s="9">
        <f>IF($A2597="","",N2597&amp;"|"&amp;$F2597)</f>
        <v/>
      </c>
      <c r="P2597" s="77">
        <f>IF($A2597="",0,$H2597*설정!$C$23)</f>
        <v/>
      </c>
      <c r="Q2597" s="39">
        <f>IF($A2597="","",IF(O2597&lt;&gt;원인분석!$C$9,"",IF(AND(M2597&gt;=원인분석!$C$10,M2597&lt;=원인분석!$C$11),"당기",IF(AND(M2597&gt;=원인분석!$C$12,M2597&lt;=원인분석!$C$13),"비교",""))))</f>
        <v/>
      </c>
      <c r="R2597" s="9">
        <f>IF(Q2597="","",$K2597&amp;"")</f>
        <v/>
      </c>
      <c r="S2597" s="9">
        <f>IF(Q2597="","",IF(MATCH(R2597,$R$5:$R$100000,0)=ROW()-4,ROW(),""))</f>
        <v/>
      </c>
      <c r="T2597" s="9">
        <f>IF(Q2597="당기",ABS(P2597)+ROW()/1000000000,"")</f>
        <v/>
      </c>
      <c r="U2597" s="9">
        <f>IF(Q2597="비교",ABS(P2597)+ROW()/1000000000,"")</f>
        <v/>
      </c>
      <c r="V2597" s="39">
        <f>IF($A2597="","",IF(COUNTIF(변동분석!$E$7:$E$506,O2597)&gt;0,"Y","N"))</f>
        <v/>
      </c>
      <c r="W2597" s="39">
        <f>IF($A2597="","",IFERROR(INDEX(계정매핑!$D$5:$D$504,MATCH($F2597&amp;"",계정매핑!$A$5:$A$504,0)),"미매핑"))</f>
        <v/>
      </c>
      <c r="X2597" s="9">
        <f>IF($A2597="","",$F2597&amp;"")</f>
        <v/>
      </c>
    </row>
    <row r="2598">
      <c r="A2598" s="75" t="n">
        <v>2026</v>
      </c>
      <c r="B2598" s="75" t="n">
        <v>2</v>
      </c>
      <c r="C2598" s="75" t="inlineStr">
        <is>
          <t>5100000254</t>
        </is>
      </c>
      <c r="D2598" s="78" t="n">
        <v>46062</v>
      </c>
      <c r="E2598" s="75" t="inlineStr">
        <is>
          <t>KR</t>
        </is>
      </c>
      <c r="F2598" s="75" t="n">
        <v>63101000</v>
      </c>
      <c r="G2598" s="75" t="n">
        <v>1602</v>
      </c>
      <c r="H2598" s="76" t="n">
        <v>2523000</v>
      </c>
      <c r="I2598" s="75" t="inlineStr">
        <is>
          <t>2월 사무실 임차료 - BB부동산</t>
        </is>
      </c>
      <c r="J2598" s="75" t="inlineStr">
        <is>
          <t>V10024</t>
        </is>
      </c>
      <c r="K2598" s="75" t="inlineStr">
        <is>
          <t>BB부동산</t>
        </is>
      </c>
      <c r="M2598" s="9">
        <f>IF($A2598="","",VALUE($A2598&amp;"")*12+VALUE($B2598&amp;""))</f>
        <v/>
      </c>
      <c r="N2598" s="39">
        <f>IF($A2598="","",IFERROR(INDEX(부서매핑!$C$5:$C$504,MATCH($G2598&amp;"",부서매핑!$A$5:$A$504,0)),"미매핑"))</f>
        <v/>
      </c>
      <c r="O2598" s="9">
        <f>IF($A2598="","",N2598&amp;"|"&amp;$F2598)</f>
        <v/>
      </c>
      <c r="P2598" s="77">
        <f>IF($A2598="",0,$H2598*설정!$C$23)</f>
        <v/>
      </c>
      <c r="Q2598" s="39">
        <f>IF($A2598="","",IF(O2598&lt;&gt;원인분석!$C$9,"",IF(AND(M2598&gt;=원인분석!$C$10,M2598&lt;=원인분석!$C$11),"당기",IF(AND(M2598&gt;=원인분석!$C$12,M2598&lt;=원인분석!$C$13),"비교",""))))</f>
        <v/>
      </c>
      <c r="R2598" s="9">
        <f>IF(Q2598="","",$K2598&amp;"")</f>
        <v/>
      </c>
      <c r="S2598" s="9">
        <f>IF(Q2598="","",IF(MATCH(R2598,$R$5:$R$100000,0)=ROW()-4,ROW(),""))</f>
        <v/>
      </c>
      <c r="T2598" s="9">
        <f>IF(Q2598="당기",ABS(P2598)+ROW()/1000000000,"")</f>
        <v/>
      </c>
      <c r="U2598" s="9">
        <f>IF(Q2598="비교",ABS(P2598)+ROW()/1000000000,"")</f>
        <v/>
      </c>
      <c r="V2598" s="39">
        <f>IF($A2598="","",IF(COUNTIF(변동분석!$E$7:$E$506,O2598)&gt;0,"Y","N"))</f>
        <v/>
      </c>
      <c r="W2598" s="39">
        <f>IF($A2598="","",IFERROR(INDEX(계정매핑!$D$5:$D$504,MATCH($F2598&amp;"",계정매핑!$A$5:$A$504,0)),"미매핑"))</f>
        <v/>
      </c>
      <c r="X2598" s="9">
        <f>IF($A2598="","",$F2598&amp;"")</f>
        <v/>
      </c>
    </row>
    <row r="2599">
      <c r="A2599" s="75" t="n">
        <v>2026</v>
      </c>
      <c r="B2599" s="75" t="n">
        <v>2</v>
      </c>
      <c r="C2599" s="75" t="inlineStr">
        <is>
          <t>5100000255</t>
        </is>
      </c>
      <c r="D2599" s="78" t="n">
        <v>46063</v>
      </c>
      <c r="E2599" s="75" t="inlineStr">
        <is>
          <t>KR</t>
        </is>
      </c>
      <c r="F2599" s="75" t="n">
        <v>62101000</v>
      </c>
      <c r="G2599" s="75" t="n">
        <v>1101</v>
      </c>
      <c r="H2599" s="76" t="n">
        <v>461000</v>
      </c>
      <c r="I2599" s="75" t="inlineStr">
        <is>
          <t>2월 국내출장 - (법인카드)</t>
        </is>
      </c>
      <c r="J2599" s="75" t="inlineStr">
        <is>
          <t>V10008</t>
        </is>
      </c>
      <c r="K2599" s="75" t="inlineStr">
        <is>
          <t>(법인카드)</t>
        </is>
      </c>
      <c r="M2599" s="9">
        <f>IF($A2599="","",VALUE($A2599&amp;"")*12+VALUE($B2599&amp;""))</f>
        <v/>
      </c>
      <c r="N2599" s="39">
        <f>IF($A2599="","",IFERROR(INDEX(부서매핑!$C$5:$C$504,MATCH($G2599&amp;"",부서매핑!$A$5:$A$504,0)),"미매핑"))</f>
        <v/>
      </c>
      <c r="O2599" s="9">
        <f>IF($A2599="","",N2599&amp;"|"&amp;$F2599)</f>
        <v/>
      </c>
      <c r="P2599" s="77">
        <f>IF($A2599="",0,$H2599*설정!$C$23)</f>
        <v/>
      </c>
      <c r="Q2599" s="39">
        <f>IF($A2599="","",IF(O2599&lt;&gt;원인분석!$C$9,"",IF(AND(M2599&gt;=원인분석!$C$10,M2599&lt;=원인분석!$C$11),"당기",IF(AND(M2599&gt;=원인분석!$C$12,M2599&lt;=원인분석!$C$13),"비교",""))))</f>
        <v/>
      </c>
      <c r="R2599" s="9">
        <f>IF(Q2599="","",$K2599&amp;"")</f>
        <v/>
      </c>
      <c r="S2599" s="9">
        <f>IF(Q2599="","",IF(MATCH(R2599,$R$5:$R$100000,0)=ROW()-4,ROW(),""))</f>
        <v/>
      </c>
      <c r="T2599" s="9">
        <f>IF(Q2599="당기",ABS(P2599)+ROW()/1000000000,"")</f>
        <v/>
      </c>
      <c r="U2599" s="9">
        <f>IF(Q2599="비교",ABS(P2599)+ROW()/1000000000,"")</f>
        <v/>
      </c>
      <c r="V2599" s="39">
        <f>IF($A2599="","",IF(COUNTIF(변동분석!$E$7:$E$506,O2599)&gt;0,"Y","N"))</f>
        <v/>
      </c>
      <c r="W2599" s="39">
        <f>IF($A2599="","",IFERROR(INDEX(계정매핑!$D$5:$D$504,MATCH($F2599&amp;"",계정매핑!$A$5:$A$504,0)),"미매핑"))</f>
        <v/>
      </c>
      <c r="X2599" s="9">
        <f>IF($A2599="","",$F2599&amp;"")</f>
        <v/>
      </c>
    </row>
    <row r="2600">
      <c r="A2600" s="75" t="n">
        <v>2026</v>
      </c>
      <c r="B2600" s="75" t="n">
        <v>2</v>
      </c>
      <c r="C2600" s="75" t="inlineStr">
        <is>
          <t>5100000256</t>
        </is>
      </c>
      <c r="D2600" s="78" t="n">
        <v>46063</v>
      </c>
      <c r="E2600" s="75" t="inlineStr">
        <is>
          <t>KR</t>
        </is>
      </c>
      <c r="F2600" s="75" t="n">
        <v>62101000</v>
      </c>
      <c r="G2600" s="75" t="n">
        <v>1201</v>
      </c>
      <c r="H2600" s="76" t="n">
        <v>138000</v>
      </c>
      <c r="I2600" s="75" t="inlineStr">
        <is>
          <t>2월 국내출장 - (법인카드)</t>
        </is>
      </c>
      <c r="J2600" s="75" t="inlineStr">
        <is>
          <t>V10008</t>
        </is>
      </c>
      <c r="K2600" s="75" t="inlineStr">
        <is>
          <t>(법인카드)</t>
        </is>
      </c>
      <c r="M2600" s="9">
        <f>IF($A2600="","",VALUE($A2600&amp;"")*12+VALUE($B2600&amp;""))</f>
        <v/>
      </c>
      <c r="N2600" s="39">
        <f>IF($A2600="","",IFERROR(INDEX(부서매핑!$C$5:$C$504,MATCH($G2600&amp;"",부서매핑!$A$5:$A$504,0)),"미매핑"))</f>
        <v/>
      </c>
      <c r="O2600" s="9">
        <f>IF($A2600="","",N2600&amp;"|"&amp;$F2600)</f>
        <v/>
      </c>
      <c r="P2600" s="77">
        <f>IF($A2600="",0,$H2600*설정!$C$23)</f>
        <v/>
      </c>
      <c r="Q2600" s="39">
        <f>IF($A2600="","",IF(O2600&lt;&gt;원인분석!$C$9,"",IF(AND(M2600&gt;=원인분석!$C$10,M2600&lt;=원인분석!$C$11),"당기",IF(AND(M2600&gt;=원인분석!$C$12,M2600&lt;=원인분석!$C$13),"비교",""))))</f>
        <v/>
      </c>
      <c r="R2600" s="9">
        <f>IF(Q2600="","",$K2600&amp;"")</f>
        <v/>
      </c>
      <c r="S2600" s="9">
        <f>IF(Q2600="","",IF(MATCH(R2600,$R$5:$R$100000,0)=ROW()-4,ROW(),""))</f>
        <v/>
      </c>
      <c r="T2600" s="9">
        <f>IF(Q2600="당기",ABS(P2600)+ROW()/1000000000,"")</f>
        <v/>
      </c>
      <c r="U2600" s="9">
        <f>IF(Q2600="비교",ABS(P2600)+ROW()/1000000000,"")</f>
        <v/>
      </c>
      <c r="V2600" s="39">
        <f>IF($A2600="","",IF(COUNTIF(변동분석!$E$7:$E$506,O2600)&gt;0,"Y","N"))</f>
        <v/>
      </c>
      <c r="W2600" s="39">
        <f>IF($A2600="","",IFERROR(INDEX(계정매핑!$D$5:$D$504,MATCH($F2600&amp;"",계정매핑!$A$5:$A$504,0)),"미매핑"))</f>
        <v/>
      </c>
      <c r="X2600" s="9">
        <f>IF($A2600="","",$F2600&amp;"")</f>
        <v/>
      </c>
    </row>
    <row r="2601">
      <c r="A2601" s="75" t="n">
        <v>2026</v>
      </c>
      <c r="B2601" s="75" t="n">
        <v>2</v>
      </c>
      <c r="C2601" s="75" t="inlineStr">
        <is>
          <t>5100000257</t>
        </is>
      </c>
      <c r="D2601" s="78" t="n">
        <v>46063</v>
      </c>
      <c r="E2601" s="75" t="inlineStr">
        <is>
          <t>KR</t>
        </is>
      </c>
      <c r="F2601" s="75" t="n">
        <v>62101000</v>
      </c>
      <c r="G2601" s="75" t="n">
        <v>1801</v>
      </c>
      <c r="H2601" s="76" t="n">
        <v>122000</v>
      </c>
      <c r="I2601" s="75" t="inlineStr">
        <is>
          <t>2월 국내출장 - L여행사</t>
        </is>
      </c>
      <c r="J2601" s="75" t="inlineStr">
        <is>
          <t>V10014</t>
        </is>
      </c>
      <c r="K2601" s="75" t="inlineStr">
        <is>
          <t>L여행사</t>
        </is>
      </c>
      <c r="M2601" s="9">
        <f>IF($A2601="","",VALUE($A2601&amp;"")*12+VALUE($B2601&amp;""))</f>
        <v/>
      </c>
      <c r="N2601" s="39">
        <f>IF($A2601="","",IFERROR(INDEX(부서매핑!$C$5:$C$504,MATCH($G2601&amp;"",부서매핑!$A$5:$A$504,0)),"미매핑"))</f>
        <v/>
      </c>
      <c r="O2601" s="9">
        <f>IF($A2601="","",N2601&amp;"|"&amp;$F2601)</f>
        <v/>
      </c>
      <c r="P2601" s="77">
        <f>IF($A2601="",0,$H2601*설정!$C$23)</f>
        <v/>
      </c>
      <c r="Q2601" s="39">
        <f>IF($A2601="","",IF(O2601&lt;&gt;원인분석!$C$9,"",IF(AND(M2601&gt;=원인분석!$C$10,M2601&lt;=원인분석!$C$11),"당기",IF(AND(M2601&gt;=원인분석!$C$12,M2601&lt;=원인분석!$C$13),"비교",""))))</f>
        <v/>
      </c>
      <c r="R2601" s="9">
        <f>IF(Q2601="","",$K2601&amp;"")</f>
        <v/>
      </c>
      <c r="S2601" s="9">
        <f>IF(Q2601="","",IF(MATCH(R2601,$R$5:$R$100000,0)=ROW()-4,ROW(),""))</f>
        <v/>
      </c>
      <c r="T2601" s="9">
        <f>IF(Q2601="당기",ABS(P2601)+ROW()/1000000000,"")</f>
        <v/>
      </c>
      <c r="U2601" s="9">
        <f>IF(Q2601="비교",ABS(P2601)+ROW()/1000000000,"")</f>
        <v/>
      </c>
      <c r="V2601" s="39">
        <f>IF($A2601="","",IF(COUNTIF(변동분석!$E$7:$E$506,O2601)&gt;0,"Y","N"))</f>
        <v/>
      </c>
      <c r="W2601" s="39">
        <f>IF($A2601="","",IFERROR(INDEX(계정매핑!$D$5:$D$504,MATCH($F2601&amp;"",계정매핑!$A$5:$A$504,0)),"미매핑"))</f>
        <v/>
      </c>
      <c r="X2601" s="9">
        <f>IF($A2601="","",$F2601&amp;"")</f>
        <v/>
      </c>
    </row>
    <row r="2602">
      <c r="A2602" s="75" t="n">
        <v>2026</v>
      </c>
      <c r="B2602" s="75" t="n">
        <v>2</v>
      </c>
      <c r="C2602" s="75" t="inlineStr">
        <is>
          <t>5100000258</t>
        </is>
      </c>
      <c r="D2602" s="78" t="n">
        <v>46063</v>
      </c>
      <c r="E2602" s="75" t="inlineStr">
        <is>
          <t>KR</t>
        </is>
      </c>
      <c r="F2602" s="75" t="n">
        <v>62102000</v>
      </c>
      <c r="G2602" s="75" t="n">
        <v>1301</v>
      </c>
      <c r="H2602" s="76" t="n">
        <v>58000</v>
      </c>
      <c r="I2602" s="75" t="inlineStr">
        <is>
          <t>2월 해외출장 - N호텔</t>
        </is>
      </c>
      <c r="J2602" s="75" t="inlineStr">
        <is>
          <t>V10007</t>
        </is>
      </c>
      <c r="K2602" s="75" t="inlineStr">
        <is>
          <t>N호텔</t>
        </is>
      </c>
      <c r="M2602" s="9">
        <f>IF($A2602="","",VALUE($A2602&amp;"")*12+VALUE($B2602&amp;""))</f>
        <v/>
      </c>
      <c r="N2602" s="39">
        <f>IF($A2602="","",IFERROR(INDEX(부서매핑!$C$5:$C$504,MATCH($G2602&amp;"",부서매핑!$A$5:$A$504,0)),"미매핑"))</f>
        <v/>
      </c>
      <c r="O2602" s="9">
        <f>IF($A2602="","",N2602&amp;"|"&amp;$F2602)</f>
        <v/>
      </c>
      <c r="P2602" s="77">
        <f>IF($A2602="",0,$H2602*설정!$C$23)</f>
        <v/>
      </c>
      <c r="Q2602" s="39">
        <f>IF($A2602="","",IF(O2602&lt;&gt;원인분석!$C$9,"",IF(AND(M2602&gt;=원인분석!$C$10,M2602&lt;=원인분석!$C$11),"당기",IF(AND(M2602&gt;=원인분석!$C$12,M2602&lt;=원인분석!$C$13),"비교",""))))</f>
        <v/>
      </c>
      <c r="R2602" s="9">
        <f>IF(Q2602="","",$K2602&amp;"")</f>
        <v/>
      </c>
      <c r="S2602" s="9">
        <f>IF(Q2602="","",IF(MATCH(R2602,$R$5:$R$100000,0)=ROW()-4,ROW(),""))</f>
        <v/>
      </c>
      <c r="T2602" s="9">
        <f>IF(Q2602="당기",ABS(P2602)+ROW()/1000000000,"")</f>
        <v/>
      </c>
      <c r="U2602" s="9">
        <f>IF(Q2602="비교",ABS(P2602)+ROW()/1000000000,"")</f>
        <v/>
      </c>
      <c r="V2602" s="39">
        <f>IF($A2602="","",IF(COUNTIF(변동분석!$E$7:$E$506,O2602)&gt;0,"Y","N"))</f>
        <v/>
      </c>
      <c r="W2602" s="39">
        <f>IF($A2602="","",IFERROR(INDEX(계정매핑!$D$5:$D$504,MATCH($F2602&amp;"",계정매핑!$A$5:$A$504,0)),"미매핑"))</f>
        <v/>
      </c>
      <c r="X2602" s="9">
        <f>IF($A2602="","",$F2602&amp;"")</f>
        <v/>
      </c>
    </row>
    <row r="2603">
      <c r="A2603" s="75" t="n">
        <v>2026</v>
      </c>
      <c r="B2603" s="75" t="n">
        <v>2</v>
      </c>
      <c r="C2603" s="75" t="inlineStr">
        <is>
          <t>5100000259</t>
        </is>
      </c>
      <c r="D2603" s="78" t="n">
        <v>46063</v>
      </c>
      <c r="E2603" s="75" t="inlineStr">
        <is>
          <t>KR</t>
        </is>
      </c>
      <c r="F2603" s="75" t="n">
        <v>62301000</v>
      </c>
      <c r="G2603" s="75" t="n">
        <v>1701</v>
      </c>
      <c r="H2603" s="76" t="n">
        <v>385000</v>
      </c>
      <c r="I2603" s="75" t="inlineStr">
        <is>
          <t>2월 소모품 구입 - R문구</t>
        </is>
      </c>
      <c r="J2603" s="75" t="inlineStr">
        <is>
          <t>V10018</t>
        </is>
      </c>
      <c r="K2603" s="75" t="inlineStr">
        <is>
          <t>R문구</t>
        </is>
      </c>
      <c r="M2603" s="9">
        <f>IF($A2603="","",VALUE($A2603&amp;"")*12+VALUE($B2603&amp;""))</f>
        <v/>
      </c>
      <c r="N2603" s="39">
        <f>IF($A2603="","",IFERROR(INDEX(부서매핑!$C$5:$C$504,MATCH($G2603&amp;"",부서매핑!$A$5:$A$504,0)),"미매핑"))</f>
        <v/>
      </c>
      <c r="O2603" s="9">
        <f>IF($A2603="","",N2603&amp;"|"&amp;$F2603)</f>
        <v/>
      </c>
      <c r="P2603" s="77">
        <f>IF($A2603="",0,$H2603*설정!$C$23)</f>
        <v/>
      </c>
      <c r="Q2603" s="39">
        <f>IF($A2603="","",IF(O2603&lt;&gt;원인분석!$C$9,"",IF(AND(M2603&gt;=원인분석!$C$10,M2603&lt;=원인분석!$C$11),"당기",IF(AND(M2603&gt;=원인분석!$C$12,M2603&lt;=원인분석!$C$13),"비교",""))))</f>
        <v/>
      </c>
      <c r="R2603" s="9">
        <f>IF(Q2603="","",$K2603&amp;"")</f>
        <v/>
      </c>
      <c r="S2603" s="9">
        <f>IF(Q2603="","",IF(MATCH(R2603,$R$5:$R$100000,0)=ROW()-4,ROW(),""))</f>
        <v/>
      </c>
      <c r="T2603" s="9">
        <f>IF(Q2603="당기",ABS(P2603)+ROW()/1000000000,"")</f>
        <v/>
      </c>
      <c r="U2603" s="9">
        <f>IF(Q2603="비교",ABS(P2603)+ROW()/1000000000,"")</f>
        <v/>
      </c>
      <c r="V2603" s="39">
        <f>IF($A2603="","",IF(COUNTIF(변동분석!$E$7:$E$506,O2603)&gt;0,"Y","N"))</f>
        <v/>
      </c>
      <c r="W2603" s="39">
        <f>IF($A2603="","",IFERROR(INDEX(계정매핑!$D$5:$D$504,MATCH($F2603&amp;"",계정매핑!$A$5:$A$504,0)),"미매핑"))</f>
        <v/>
      </c>
      <c r="X2603" s="9">
        <f>IF($A2603="","",$F2603&amp;"")</f>
        <v/>
      </c>
    </row>
    <row r="2604">
      <c r="A2604" s="75" t="n">
        <v>2026</v>
      </c>
      <c r="B2604" s="75" t="n">
        <v>2</v>
      </c>
      <c r="C2604" s="75" t="inlineStr">
        <is>
          <t>5100000260</t>
        </is>
      </c>
      <c r="D2604" s="78" t="n">
        <v>46063</v>
      </c>
      <c r="E2604" s="75" t="inlineStr">
        <is>
          <t>KR</t>
        </is>
      </c>
      <c r="F2604" s="75" t="n">
        <v>62501000</v>
      </c>
      <c r="G2604" s="75" t="n">
        <v>1701</v>
      </c>
      <c r="H2604" s="76" t="n">
        <v>87000</v>
      </c>
      <c r="I2604" s="75" t="inlineStr">
        <is>
          <t>2월 회의 다과 - T케이터링</t>
        </is>
      </c>
      <c r="J2604" s="75" t="inlineStr">
        <is>
          <t>V10005</t>
        </is>
      </c>
      <c r="K2604" s="75" t="inlineStr">
        <is>
          <t>T케이터링</t>
        </is>
      </c>
      <c r="M2604" s="9">
        <f>IF($A2604="","",VALUE($A2604&amp;"")*12+VALUE($B2604&amp;""))</f>
        <v/>
      </c>
      <c r="N2604" s="39">
        <f>IF($A2604="","",IFERROR(INDEX(부서매핑!$C$5:$C$504,MATCH($G2604&amp;"",부서매핑!$A$5:$A$504,0)),"미매핑"))</f>
        <v/>
      </c>
      <c r="O2604" s="9">
        <f>IF($A2604="","",N2604&amp;"|"&amp;$F2604)</f>
        <v/>
      </c>
      <c r="P2604" s="77">
        <f>IF($A2604="",0,$H2604*설정!$C$23)</f>
        <v/>
      </c>
      <c r="Q2604" s="39">
        <f>IF($A2604="","",IF(O2604&lt;&gt;원인분석!$C$9,"",IF(AND(M2604&gt;=원인분석!$C$10,M2604&lt;=원인분석!$C$11),"당기",IF(AND(M2604&gt;=원인분석!$C$12,M2604&lt;=원인분석!$C$13),"비교",""))))</f>
        <v/>
      </c>
      <c r="R2604" s="9">
        <f>IF(Q2604="","",$K2604&amp;"")</f>
        <v/>
      </c>
      <c r="S2604" s="9">
        <f>IF(Q2604="","",IF(MATCH(R2604,$R$5:$R$100000,0)=ROW()-4,ROW(),""))</f>
        <v/>
      </c>
      <c r="T2604" s="9">
        <f>IF(Q2604="당기",ABS(P2604)+ROW()/1000000000,"")</f>
        <v/>
      </c>
      <c r="U2604" s="9">
        <f>IF(Q2604="비교",ABS(P2604)+ROW()/1000000000,"")</f>
        <v/>
      </c>
      <c r="V2604" s="39">
        <f>IF($A2604="","",IF(COUNTIF(변동분석!$E$7:$E$506,O2604)&gt;0,"Y","N"))</f>
        <v/>
      </c>
      <c r="W2604" s="39">
        <f>IF($A2604="","",IFERROR(INDEX(계정매핑!$D$5:$D$504,MATCH($F2604&amp;"",계정매핑!$A$5:$A$504,0)),"미매핑"))</f>
        <v/>
      </c>
      <c r="X2604" s="9">
        <f>IF($A2604="","",$F2604&amp;"")</f>
        <v/>
      </c>
    </row>
    <row r="2605">
      <c r="A2605" s="75" t="n">
        <v>2026</v>
      </c>
      <c r="B2605" s="75" t="n">
        <v>2</v>
      </c>
      <c r="C2605" s="75" t="inlineStr">
        <is>
          <t>5100000261</t>
        </is>
      </c>
      <c r="D2605" s="78" t="n">
        <v>46063</v>
      </c>
      <c r="E2605" s="75" t="inlineStr">
        <is>
          <t>KR</t>
        </is>
      </c>
      <c r="F2605" s="75" t="n">
        <v>62901000</v>
      </c>
      <c r="G2605" s="75" t="n">
        <v>1201</v>
      </c>
      <c r="H2605" s="76" t="n">
        <v>3726000</v>
      </c>
      <c r="I2605" s="75" t="inlineStr">
        <is>
          <t>2월 자문 수수료 - W컨설팅</t>
        </is>
      </c>
      <c r="J2605" s="75" t="inlineStr">
        <is>
          <t>V10009</t>
        </is>
      </c>
      <c r="K2605" s="75" t="inlineStr">
        <is>
          <t>W컨설팅</t>
        </is>
      </c>
      <c r="M2605" s="9">
        <f>IF($A2605="","",VALUE($A2605&amp;"")*12+VALUE($B2605&amp;""))</f>
        <v/>
      </c>
      <c r="N2605" s="39">
        <f>IF($A2605="","",IFERROR(INDEX(부서매핑!$C$5:$C$504,MATCH($G2605&amp;"",부서매핑!$A$5:$A$504,0)),"미매핑"))</f>
        <v/>
      </c>
      <c r="O2605" s="9">
        <f>IF($A2605="","",N2605&amp;"|"&amp;$F2605)</f>
        <v/>
      </c>
      <c r="P2605" s="77">
        <f>IF($A2605="",0,$H2605*설정!$C$23)</f>
        <v/>
      </c>
      <c r="Q2605" s="39">
        <f>IF($A2605="","",IF(O2605&lt;&gt;원인분석!$C$9,"",IF(AND(M2605&gt;=원인분석!$C$10,M2605&lt;=원인분석!$C$11),"당기",IF(AND(M2605&gt;=원인분석!$C$12,M2605&lt;=원인분석!$C$13),"비교",""))))</f>
        <v/>
      </c>
      <c r="R2605" s="9">
        <f>IF(Q2605="","",$K2605&amp;"")</f>
        <v/>
      </c>
      <c r="S2605" s="9">
        <f>IF(Q2605="","",IF(MATCH(R2605,$R$5:$R$100000,0)=ROW()-4,ROW(),""))</f>
        <v/>
      </c>
      <c r="T2605" s="9">
        <f>IF(Q2605="당기",ABS(P2605)+ROW()/1000000000,"")</f>
        <v/>
      </c>
      <c r="U2605" s="9">
        <f>IF(Q2605="비교",ABS(P2605)+ROW()/1000000000,"")</f>
        <v/>
      </c>
      <c r="V2605" s="39">
        <f>IF($A2605="","",IF(COUNTIF(변동분석!$E$7:$E$506,O2605)&gt;0,"Y","N"))</f>
        <v/>
      </c>
      <c r="W2605" s="39">
        <f>IF($A2605="","",IFERROR(INDEX(계정매핑!$D$5:$D$504,MATCH($F2605&amp;"",계정매핑!$A$5:$A$504,0)),"미매핑"))</f>
        <v/>
      </c>
      <c r="X2605" s="9">
        <f>IF($A2605="","",$F2605&amp;"")</f>
        <v/>
      </c>
    </row>
    <row r="2606">
      <c r="A2606" s="75" t="n">
        <v>2026</v>
      </c>
      <c r="B2606" s="75" t="n">
        <v>2</v>
      </c>
      <c r="C2606" s="75" t="inlineStr">
        <is>
          <t>5100000262</t>
        </is>
      </c>
      <c r="D2606" s="78" t="n">
        <v>46063</v>
      </c>
      <c r="E2606" s="75" t="inlineStr">
        <is>
          <t>KR</t>
        </is>
      </c>
      <c r="F2606" s="75" t="n">
        <v>62901000</v>
      </c>
      <c r="G2606" s="75" t="n">
        <v>1401</v>
      </c>
      <c r="H2606" s="76" t="n">
        <v>8797000</v>
      </c>
      <c r="I2606" s="75" t="inlineStr">
        <is>
          <t>2월 자문 수수료 - W컨설팅</t>
        </is>
      </c>
      <c r="J2606" s="75" t="inlineStr">
        <is>
          <t>V10009</t>
        </is>
      </c>
      <c r="K2606" s="75" t="inlineStr">
        <is>
          <t>W컨설팅</t>
        </is>
      </c>
      <c r="M2606" s="9">
        <f>IF($A2606="","",VALUE($A2606&amp;"")*12+VALUE($B2606&amp;""))</f>
        <v/>
      </c>
      <c r="N2606" s="39">
        <f>IF($A2606="","",IFERROR(INDEX(부서매핑!$C$5:$C$504,MATCH($G2606&amp;"",부서매핑!$A$5:$A$504,0)),"미매핑"))</f>
        <v/>
      </c>
      <c r="O2606" s="9">
        <f>IF($A2606="","",N2606&amp;"|"&amp;$F2606)</f>
        <v/>
      </c>
      <c r="P2606" s="77">
        <f>IF($A2606="",0,$H2606*설정!$C$23)</f>
        <v/>
      </c>
      <c r="Q2606" s="39">
        <f>IF($A2606="","",IF(O2606&lt;&gt;원인분석!$C$9,"",IF(AND(M2606&gt;=원인분석!$C$10,M2606&lt;=원인분석!$C$11),"당기",IF(AND(M2606&gt;=원인분석!$C$12,M2606&lt;=원인분석!$C$13),"비교",""))))</f>
        <v/>
      </c>
      <c r="R2606" s="9">
        <f>IF(Q2606="","",$K2606&amp;"")</f>
        <v/>
      </c>
      <c r="S2606" s="9">
        <f>IF(Q2606="","",IF(MATCH(R2606,$R$5:$R$100000,0)=ROW()-4,ROW(),""))</f>
        <v/>
      </c>
      <c r="T2606" s="9">
        <f>IF(Q2606="당기",ABS(P2606)+ROW()/1000000000,"")</f>
        <v/>
      </c>
      <c r="U2606" s="9">
        <f>IF(Q2606="비교",ABS(P2606)+ROW()/1000000000,"")</f>
        <v/>
      </c>
      <c r="V2606" s="39">
        <f>IF($A2606="","",IF(COUNTIF(변동분석!$E$7:$E$506,O2606)&gt;0,"Y","N"))</f>
        <v/>
      </c>
      <c r="W2606" s="39">
        <f>IF($A2606="","",IFERROR(INDEX(계정매핑!$D$5:$D$504,MATCH($F2606&amp;"",계정매핑!$A$5:$A$504,0)),"미매핑"))</f>
        <v/>
      </c>
      <c r="X2606" s="9">
        <f>IF($A2606="","",$F2606&amp;"")</f>
        <v/>
      </c>
    </row>
    <row r="2607">
      <c r="A2607" s="75" t="n">
        <v>2026</v>
      </c>
      <c r="B2607" s="75" t="n">
        <v>2</v>
      </c>
      <c r="C2607" s="75" t="inlineStr">
        <is>
          <t>5100000263</t>
        </is>
      </c>
      <c r="D2607" s="78" t="n">
        <v>46063</v>
      </c>
      <c r="E2607" s="75" t="inlineStr">
        <is>
          <t>KR</t>
        </is>
      </c>
      <c r="F2607" s="75" t="n">
        <v>63001000</v>
      </c>
      <c r="G2607" s="75" t="n">
        <v>1701</v>
      </c>
      <c r="H2607" s="76" t="n">
        <v>22299000</v>
      </c>
      <c r="I2607" s="75" t="inlineStr">
        <is>
          <t>2월 SW 유지보수 - Z시스템</t>
        </is>
      </c>
      <c r="J2607" s="75" t="inlineStr">
        <is>
          <t>V10021</t>
        </is>
      </c>
      <c r="K2607" s="75" t="inlineStr">
        <is>
          <t>Z시스템</t>
        </is>
      </c>
      <c r="M2607" s="9">
        <f>IF($A2607="","",VALUE($A2607&amp;"")*12+VALUE($B2607&amp;""))</f>
        <v/>
      </c>
      <c r="N2607" s="39">
        <f>IF($A2607="","",IFERROR(INDEX(부서매핑!$C$5:$C$504,MATCH($G2607&amp;"",부서매핑!$A$5:$A$504,0)),"미매핑"))</f>
        <v/>
      </c>
      <c r="O2607" s="9">
        <f>IF($A2607="","",N2607&amp;"|"&amp;$F2607)</f>
        <v/>
      </c>
      <c r="P2607" s="77">
        <f>IF($A2607="",0,$H2607*설정!$C$23)</f>
        <v/>
      </c>
      <c r="Q2607" s="39">
        <f>IF($A2607="","",IF(O2607&lt;&gt;원인분석!$C$9,"",IF(AND(M2607&gt;=원인분석!$C$10,M2607&lt;=원인분석!$C$11),"당기",IF(AND(M2607&gt;=원인분석!$C$12,M2607&lt;=원인분석!$C$13),"비교",""))))</f>
        <v/>
      </c>
      <c r="R2607" s="9">
        <f>IF(Q2607="","",$K2607&amp;"")</f>
        <v/>
      </c>
      <c r="S2607" s="9">
        <f>IF(Q2607="","",IF(MATCH(R2607,$R$5:$R$100000,0)=ROW()-4,ROW(),""))</f>
        <v/>
      </c>
      <c r="T2607" s="9">
        <f>IF(Q2607="당기",ABS(P2607)+ROW()/1000000000,"")</f>
        <v/>
      </c>
      <c r="U2607" s="9">
        <f>IF(Q2607="비교",ABS(P2607)+ROW()/1000000000,"")</f>
        <v/>
      </c>
      <c r="V2607" s="39">
        <f>IF($A2607="","",IF(COUNTIF(변동분석!$E$7:$E$506,O2607)&gt;0,"Y","N"))</f>
        <v/>
      </c>
      <c r="W2607" s="39">
        <f>IF($A2607="","",IFERROR(INDEX(계정매핑!$D$5:$D$504,MATCH($F2607&amp;"",계정매핑!$A$5:$A$504,0)),"미매핑"))</f>
        <v/>
      </c>
      <c r="X2607" s="9">
        <f>IF($A2607="","",$F2607&amp;"")</f>
        <v/>
      </c>
    </row>
    <row r="2608">
      <c r="A2608" s="75" t="n">
        <v>2026</v>
      </c>
      <c r="B2608" s="75" t="n">
        <v>2</v>
      </c>
      <c r="C2608" s="75" t="inlineStr">
        <is>
          <t>5100000264</t>
        </is>
      </c>
      <c r="D2608" s="78" t="n">
        <v>46063</v>
      </c>
      <c r="E2608" s="75" t="inlineStr">
        <is>
          <t>KR</t>
        </is>
      </c>
      <c r="F2608" s="75" t="n">
        <v>63001000</v>
      </c>
      <c r="G2608" s="75" t="n">
        <v>1701</v>
      </c>
      <c r="H2608" s="76" t="n">
        <v>25975000</v>
      </c>
      <c r="I2608" s="75" t="inlineStr">
        <is>
          <t>2월 SW 유지보수 - Z시스템</t>
        </is>
      </c>
      <c r="J2608" s="75" t="inlineStr">
        <is>
          <t>V10021</t>
        </is>
      </c>
      <c r="K2608" s="75" t="inlineStr">
        <is>
          <t>Z시스템</t>
        </is>
      </c>
      <c r="M2608" s="9">
        <f>IF($A2608="","",VALUE($A2608&amp;"")*12+VALUE($B2608&amp;""))</f>
        <v/>
      </c>
      <c r="N2608" s="39">
        <f>IF($A2608="","",IFERROR(INDEX(부서매핑!$C$5:$C$504,MATCH($G2608&amp;"",부서매핑!$A$5:$A$504,0)),"미매핑"))</f>
        <v/>
      </c>
      <c r="O2608" s="9">
        <f>IF($A2608="","",N2608&amp;"|"&amp;$F2608)</f>
        <v/>
      </c>
      <c r="P2608" s="77">
        <f>IF($A2608="",0,$H2608*설정!$C$23)</f>
        <v/>
      </c>
      <c r="Q2608" s="39">
        <f>IF($A2608="","",IF(O2608&lt;&gt;원인분석!$C$9,"",IF(AND(M2608&gt;=원인분석!$C$10,M2608&lt;=원인분석!$C$11),"당기",IF(AND(M2608&gt;=원인분석!$C$12,M2608&lt;=원인분석!$C$13),"비교",""))))</f>
        <v/>
      </c>
      <c r="R2608" s="9">
        <f>IF(Q2608="","",$K2608&amp;"")</f>
        <v/>
      </c>
      <c r="S2608" s="9">
        <f>IF(Q2608="","",IF(MATCH(R2608,$R$5:$R$100000,0)=ROW()-4,ROW(),""))</f>
        <v/>
      </c>
      <c r="T2608" s="9">
        <f>IF(Q2608="당기",ABS(P2608)+ROW()/1000000000,"")</f>
        <v/>
      </c>
      <c r="U2608" s="9">
        <f>IF(Q2608="비교",ABS(P2608)+ROW()/1000000000,"")</f>
        <v/>
      </c>
      <c r="V2608" s="39">
        <f>IF($A2608="","",IF(COUNTIF(변동분석!$E$7:$E$506,O2608)&gt;0,"Y","N"))</f>
        <v/>
      </c>
      <c r="W2608" s="39">
        <f>IF($A2608="","",IFERROR(INDEX(계정매핑!$D$5:$D$504,MATCH($F2608&amp;"",계정매핑!$A$5:$A$504,0)),"미매핑"))</f>
        <v/>
      </c>
      <c r="X2608" s="9">
        <f>IF($A2608="","",$F2608&amp;"")</f>
        <v/>
      </c>
    </row>
    <row r="2609">
      <c r="A2609" s="75" t="n">
        <v>2026</v>
      </c>
      <c r="B2609" s="75" t="n">
        <v>2</v>
      </c>
      <c r="C2609" s="75" t="inlineStr">
        <is>
          <t>5100000265</t>
        </is>
      </c>
      <c r="D2609" s="78" t="n">
        <v>46064</v>
      </c>
      <c r="E2609" s="75" t="inlineStr">
        <is>
          <t>KR</t>
        </is>
      </c>
      <c r="F2609" s="75" t="n">
        <v>62101000</v>
      </c>
      <c r="G2609" s="75" t="n">
        <v>1502</v>
      </c>
      <c r="H2609" s="76" t="n">
        <v>674000</v>
      </c>
      <c r="I2609" s="75" t="inlineStr">
        <is>
          <t>2월 국내출장 - M항공</t>
        </is>
      </c>
      <c r="J2609" s="75" t="inlineStr">
        <is>
          <t>V10001</t>
        </is>
      </c>
      <c r="K2609" s="75" t="inlineStr">
        <is>
          <t>M항공</t>
        </is>
      </c>
      <c r="M2609" s="9">
        <f>IF($A2609="","",VALUE($A2609&amp;"")*12+VALUE($B2609&amp;""))</f>
        <v/>
      </c>
      <c r="N2609" s="39">
        <f>IF($A2609="","",IFERROR(INDEX(부서매핑!$C$5:$C$504,MATCH($G2609&amp;"",부서매핑!$A$5:$A$504,0)),"미매핑"))</f>
        <v/>
      </c>
      <c r="O2609" s="9">
        <f>IF($A2609="","",N2609&amp;"|"&amp;$F2609)</f>
        <v/>
      </c>
      <c r="P2609" s="77">
        <f>IF($A2609="",0,$H2609*설정!$C$23)</f>
        <v/>
      </c>
      <c r="Q2609" s="39">
        <f>IF($A2609="","",IF(O2609&lt;&gt;원인분석!$C$9,"",IF(AND(M2609&gt;=원인분석!$C$10,M2609&lt;=원인분석!$C$11),"당기",IF(AND(M2609&gt;=원인분석!$C$12,M2609&lt;=원인분석!$C$13),"비교",""))))</f>
        <v/>
      </c>
      <c r="R2609" s="9">
        <f>IF(Q2609="","",$K2609&amp;"")</f>
        <v/>
      </c>
      <c r="S2609" s="9">
        <f>IF(Q2609="","",IF(MATCH(R2609,$R$5:$R$100000,0)=ROW()-4,ROW(),""))</f>
        <v/>
      </c>
      <c r="T2609" s="9">
        <f>IF(Q2609="당기",ABS(P2609)+ROW()/1000000000,"")</f>
        <v/>
      </c>
      <c r="U2609" s="9">
        <f>IF(Q2609="비교",ABS(P2609)+ROW()/1000000000,"")</f>
        <v/>
      </c>
      <c r="V2609" s="39">
        <f>IF($A2609="","",IF(COUNTIF(변동분석!$E$7:$E$506,O2609)&gt;0,"Y","N"))</f>
        <v/>
      </c>
      <c r="W2609" s="39">
        <f>IF($A2609="","",IFERROR(INDEX(계정매핑!$D$5:$D$504,MATCH($F2609&amp;"",계정매핑!$A$5:$A$504,0)),"미매핑"))</f>
        <v/>
      </c>
      <c r="X2609" s="9">
        <f>IF($A2609="","",$F2609&amp;"")</f>
        <v/>
      </c>
    </row>
    <row r="2610">
      <c r="A2610" s="75" t="n">
        <v>2026</v>
      </c>
      <c r="B2610" s="75" t="n">
        <v>2</v>
      </c>
      <c r="C2610" s="75" t="inlineStr">
        <is>
          <t>5100000266</t>
        </is>
      </c>
      <c r="D2610" s="78" t="n">
        <v>46064</v>
      </c>
      <c r="E2610" s="75" t="inlineStr">
        <is>
          <t>KR</t>
        </is>
      </c>
      <c r="F2610" s="75" t="n">
        <v>62101000</v>
      </c>
      <c r="G2610" s="75" t="n">
        <v>1601</v>
      </c>
      <c r="H2610" s="76" t="n">
        <v>1855000</v>
      </c>
      <c r="I2610" s="75" t="inlineStr">
        <is>
          <t>2월 국내출장 - (법인카드)</t>
        </is>
      </c>
      <c r="J2610" s="75" t="inlineStr">
        <is>
          <t>V10008</t>
        </is>
      </c>
      <c r="K2610" s="75" t="inlineStr">
        <is>
          <t>(법인카드)</t>
        </is>
      </c>
      <c r="M2610" s="9">
        <f>IF($A2610="","",VALUE($A2610&amp;"")*12+VALUE($B2610&amp;""))</f>
        <v/>
      </c>
      <c r="N2610" s="39">
        <f>IF($A2610="","",IFERROR(INDEX(부서매핑!$C$5:$C$504,MATCH($G2610&amp;"",부서매핑!$A$5:$A$504,0)),"미매핑"))</f>
        <v/>
      </c>
      <c r="O2610" s="9">
        <f>IF($A2610="","",N2610&amp;"|"&amp;$F2610)</f>
        <v/>
      </c>
      <c r="P2610" s="77">
        <f>IF($A2610="",0,$H2610*설정!$C$23)</f>
        <v/>
      </c>
      <c r="Q2610" s="39">
        <f>IF($A2610="","",IF(O2610&lt;&gt;원인분석!$C$9,"",IF(AND(M2610&gt;=원인분석!$C$10,M2610&lt;=원인분석!$C$11),"당기",IF(AND(M2610&gt;=원인분석!$C$12,M2610&lt;=원인분석!$C$13),"비교",""))))</f>
        <v/>
      </c>
      <c r="R2610" s="9">
        <f>IF(Q2610="","",$K2610&amp;"")</f>
        <v/>
      </c>
      <c r="S2610" s="9">
        <f>IF(Q2610="","",IF(MATCH(R2610,$R$5:$R$100000,0)=ROW()-4,ROW(),""))</f>
        <v/>
      </c>
      <c r="T2610" s="9">
        <f>IF(Q2610="당기",ABS(P2610)+ROW()/1000000000,"")</f>
        <v/>
      </c>
      <c r="U2610" s="9">
        <f>IF(Q2610="비교",ABS(P2610)+ROW()/1000000000,"")</f>
        <v/>
      </c>
      <c r="V2610" s="39">
        <f>IF($A2610="","",IF(COUNTIF(변동분석!$E$7:$E$506,O2610)&gt;0,"Y","N"))</f>
        <v/>
      </c>
      <c r="W2610" s="39">
        <f>IF($A2610="","",IFERROR(INDEX(계정매핑!$D$5:$D$504,MATCH($F2610&amp;"",계정매핑!$A$5:$A$504,0)),"미매핑"))</f>
        <v/>
      </c>
      <c r="X2610" s="9">
        <f>IF($A2610="","",$F2610&amp;"")</f>
        <v/>
      </c>
    </row>
    <row r="2611">
      <c r="A2611" s="75" t="n">
        <v>2026</v>
      </c>
      <c r="B2611" s="75" t="n">
        <v>2</v>
      </c>
      <c r="C2611" s="75" t="inlineStr">
        <is>
          <t>5100000267</t>
        </is>
      </c>
      <c r="D2611" s="78" t="n">
        <v>46064</v>
      </c>
      <c r="E2611" s="75" t="inlineStr">
        <is>
          <t>KR</t>
        </is>
      </c>
      <c r="F2611" s="75" t="n">
        <v>62201000</v>
      </c>
      <c r="G2611" s="75" t="n">
        <v>1601</v>
      </c>
      <c r="H2611" s="76" t="n">
        <v>524000</v>
      </c>
      <c r="I2611" s="75" t="inlineStr">
        <is>
          <t>2월 통신요금 - P통신</t>
        </is>
      </c>
      <c r="J2611" s="75" t="inlineStr">
        <is>
          <t>V10011</t>
        </is>
      </c>
      <c r="K2611" s="75" t="inlineStr">
        <is>
          <t>P통신</t>
        </is>
      </c>
      <c r="M2611" s="9">
        <f>IF($A2611="","",VALUE($A2611&amp;"")*12+VALUE($B2611&amp;""))</f>
        <v/>
      </c>
      <c r="N2611" s="39">
        <f>IF($A2611="","",IFERROR(INDEX(부서매핑!$C$5:$C$504,MATCH($G2611&amp;"",부서매핑!$A$5:$A$504,0)),"미매핑"))</f>
        <v/>
      </c>
      <c r="O2611" s="9">
        <f>IF($A2611="","",N2611&amp;"|"&amp;$F2611)</f>
        <v/>
      </c>
      <c r="P2611" s="77">
        <f>IF($A2611="",0,$H2611*설정!$C$23)</f>
        <v/>
      </c>
      <c r="Q2611" s="39">
        <f>IF($A2611="","",IF(O2611&lt;&gt;원인분석!$C$9,"",IF(AND(M2611&gt;=원인분석!$C$10,M2611&lt;=원인분석!$C$11),"당기",IF(AND(M2611&gt;=원인분석!$C$12,M2611&lt;=원인분석!$C$13),"비교",""))))</f>
        <v/>
      </c>
      <c r="R2611" s="9">
        <f>IF(Q2611="","",$K2611&amp;"")</f>
        <v/>
      </c>
      <c r="S2611" s="9">
        <f>IF(Q2611="","",IF(MATCH(R2611,$R$5:$R$100000,0)=ROW()-4,ROW(),""))</f>
        <v/>
      </c>
      <c r="T2611" s="9">
        <f>IF(Q2611="당기",ABS(P2611)+ROW()/1000000000,"")</f>
        <v/>
      </c>
      <c r="U2611" s="9">
        <f>IF(Q2611="비교",ABS(P2611)+ROW()/1000000000,"")</f>
        <v/>
      </c>
      <c r="V2611" s="39">
        <f>IF($A2611="","",IF(COUNTIF(변동분석!$E$7:$E$506,O2611)&gt;0,"Y","N"))</f>
        <v/>
      </c>
      <c r="W2611" s="39">
        <f>IF($A2611="","",IFERROR(INDEX(계정매핑!$D$5:$D$504,MATCH($F2611&amp;"",계정매핑!$A$5:$A$504,0)),"미매핑"))</f>
        <v/>
      </c>
      <c r="X2611" s="9">
        <f>IF($A2611="","",$F2611&amp;"")</f>
        <v/>
      </c>
    </row>
    <row r="2612">
      <c r="A2612" s="75" t="n">
        <v>2026</v>
      </c>
      <c r="B2612" s="75" t="n">
        <v>2</v>
      </c>
      <c r="C2612" s="75" t="inlineStr">
        <is>
          <t>5100000268</t>
        </is>
      </c>
      <c r="D2612" s="78" t="n">
        <v>46064</v>
      </c>
      <c r="E2612" s="75" t="inlineStr">
        <is>
          <t>KR</t>
        </is>
      </c>
      <c r="F2612" s="75" t="n">
        <v>62201000</v>
      </c>
      <c r="G2612" s="75" t="n">
        <v>1701</v>
      </c>
      <c r="H2612" s="76" t="n">
        <v>3466000</v>
      </c>
      <c r="I2612" s="75" t="inlineStr">
        <is>
          <t>2월 통신요금 - P통신</t>
        </is>
      </c>
      <c r="J2612" s="75" t="inlineStr">
        <is>
          <t>V10011</t>
        </is>
      </c>
      <c r="K2612" s="75" t="inlineStr">
        <is>
          <t>P통신</t>
        </is>
      </c>
      <c r="M2612" s="9">
        <f>IF($A2612="","",VALUE($A2612&amp;"")*12+VALUE($B2612&amp;""))</f>
        <v/>
      </c>
      <c r="N2612" s="39">
        <f>IF($A2612="","",IFERROR(INDEX(부서매핑!$C$5:$C$504,MATCH($G2612&amp;"",부서매핑!$A$5:$A$504,0)),"미매핑"))</f>
        <v/>
      </c>
      <c r="O2612" s="9">
        <f>IF($A2612="","",N2612&amp;"|"&amp;$F2612)</f>
        <v/>
      </c>
      <c r="P2612" s="77">
        <f>IF($A2612="",0,$H2612*설정!$C$23)</f>
        <v/>
      </c>
      <c r="Q2612" s="39">
        <f>IF($A2612="","",IF(O2612&lt;&gt;원인분석!$C$9,"",IF(AND(M2612&gt;=원인분석!$C$10,M2612&lt;=원인분석!$C$11),"당기",IF(AND(M2612&gt;=원인분석!$C$12,M2612&lt;=원인분석!$C$13),"비교",""))))</f>
        <v/>
      </c>
      <c r="R2612" s="9">
        <f>IF(Q2612="","",$K2612&amp;"")</f>
        <v/>
      </c>
      <c r="S2612" s="9">
        <f>IF(Q2612="","",IF(MATCH(R2612,$R$5:$R$100000,0)=ROW()-4,ROW(),""))</f>
        <v/>
      </c>
      <c r="T2612" s="9">
        <f>IF(Q2612="당기",ABS(P2612)+ROW()/1000000000,"")</f>
        <v/>
      </c>
      <c r="U2612" s="9">
        <f>IF(Q2612="비교",ABS(P2612)+ROW()/1000000000,"")</f>
        <v/>
      </c>
      <c r="V2612" s="39">
        <f>IF($A2612="","",IF(COUNTIF(변동분석!$E$7:$E$506,O2612)&gt;0,"Y","N"))</f>
        <v/>
      </c>
      <c r="W2612" s="39">
        <f>IF($A2612="","",IFERROR(INDEX(계정매핑!$D$5:$D$504,MATCH($F2612&amp;"",계정매핑!$A$5:$A$504,0)),"미매핑"))</f>
        <v/>
      </c>
      <c r="X2612" s="9">
        <f>IF($A2612="","",$F2612&amp;"")</f>
        <v/>
      </c>
    </row>
    <row r="2613">
      <c r="A2613" s="75" t="n">
        <v>2026</v>
      </c>
      <c r="B2613" s="75" t="n">
        <v>2</v>
      </c>
      <c r="C2613" s="75" t="inlineStr">
        <is>
          <t>5100000269</t>
        </is>
      </c>
      <c r="D2613" s="78" t="n">
        <v>46064</v>
      </c>
      <c r="E2613" s="75" t="inlineStr">
        <is>
          <t>KR</t>
        </is>
      </c>
      <c r="F2613" s="75" t="n">
        <v>62201000</v>
      </c>
      <c r="G2613" s="75" t="n">
        <v>1801</v>
      </c>
      <c r="H2613" s="76" t="n">
        <v>6720000</v>
      </c>
      <c r="I2613" s="75" t="inlineStr">
        <is>
          <t>2월 통신요금 - P통신</t>
        </is>
      </c>
      <c r="J2613" s="75" t="inlineStr">
        <is>
          <t>V10011</t>
        </is>
      </c>
      <c r="K2613" s="75" t="inlineStr">
        <is>
          <t>P통신</t>
        </is>
      </c>
      <c r="M2613" s="9">
        <f>IF($A2613="","",VALUE($A2613&amp;"")*12+VALUE($B2613&amp;""))</f>
        <v/>
      </c>
      <c r="N2613" s="39">
        <f>IF($A2613="","",IFERROR(INDEX(부서매핑!$C$5:$C$504,MATCH($G2613&amp;"",부서매핑!$A$5:$A$504,0)),"미매핑"))</f>
        <v/>
      </c>
      <c r="O2613" s="9">
        <f>IF($A2613="","",N2613&amp;"|"&amp;$F2613)</f>
        <v/>
      </c>
      <c r="P2613" s="77">
        <f>IF($A2613="",0,$H2613*설정!$C$23)</f>
        <v/>
      </c>
      <c r="Q2613" s="39">
        <f>IF($A2613="","",IF(O2613&lt;&gt;원인분석!$C$9,"",IF(AND(M2613&gt;=원인분석!$C$10,M2613&lt;=원인분석!$C$11),"당기",IF(AND(M2613&gt;=원인분석!$C$12,M2613&lt;=원인분석!$C$13),"비교",""))))</f>
        <v/>
      </c>
      <c r="R2613" s="9">
        <f>IF(Q2613="","",$K2613&amp;"")</f>
        <v/>
      </c>
      <c r="S2613" s="9">
        <f>IF(Q2613="","",IF(MATCH(R2613,$R$5:$R$100000,0)=ROW()-4,ROW(),""))</f>
        <v/>
      </c>
      <c r="T2613" s="9">
        <f>IF(Q2613="당기",ABS(P2613)+ROW()/1000000000,"")</f>
        <v/>
      </c>
      <c r="U2613" s="9">
        <f>IF(Q2613="비교",ABS(P2613)+ROW()/1000000000,"")</f>
        <v/>
      </c>
      <c r="V2613" s="39">
        <f>IF($A2613="","",IF(COUNTIF(변동분석!$E$7:$E$506,O2613)&gt;0,"Y","N"))</f>
        <v/>
      </c>
      <c r="W2613" s="39">
        <f>IF($A2613="","",IFERROR(INDEX(계정매핑!$D$5:$D$504,MATCH($F2613&amp;"",계정매핑!$A$5:$A$504,0)),"미매핑"))</f>
        <v/>
      </c>
      <c r="X2613" s="9">
        <f>IF($A2613="","",$F2613&amp;"")</f>
        <v/>
      </c>
    </row>
    <row r="2614">
      <c r="A2614" s="75" t="n">
        <v>2026</v>
      </c>
      <c r="B2614" s="75" t="n">
        <v>2</v>
      </c>
      <c r="C2614" s="75" t="inlineStr">
        <is>
          <t>5100000270</t>
        </is>
      </c>
      <c r="D2614" s="78" t="n">
        <v>46064</v>
      </c>
      <c r="E2614" s="75" t="inlineStr">
        <is>
          <t>KR</t>
        </is>
      </c>
      <c r="F2614" s="75" t="n">
        <v>62301000</v>
      </c>
      <c r="G2614" s="75" t="n">
        <v>1601</v>
      </c>
      <c r="H2614" s="76" t="n">
        <v>429000</v>
      </c>
      <c r="I2614" s="75" t="inlineStr">
        <is>
          <t>2월 소모품 구입 - R문구</t>
        </is>
      </c>
      <c r="J2614" s="75" t="inlineStr">
        <is>
          <t>V10018</t>
        </is>
      </c>
      <c r="K2614" s="75" t="inlineStr">
        <is>
          <t>R문구</t>
        </is>
      </c>
      <c r="M2614" s="9">
        <f>IF($A2614="","",VALUE($A2614&amp;"")*12+VALUE($B2614&amp;""))</f>
        <v/>
      </c>
      <c r="N2614" s="39">
        <f>IF($A2614="","",IFERROR(INDEX(부서매핑!$C$5:$C$504,MATCH($G2614&amp;"",부서매핑!$A$5:$A$504,0)),"미매핑"))</f>
        <v/>
      </c>
      <c r="O2614" s="9">
        <f>IF($A2614="","",N2614&amp;"|"&amp;$F2614)</f>
        <v/>
      </c>
      <c r="P2614" s="77">
        <f>IF($A2614="",0,$H2614*설정!$C$23)</f>
        <v/>
      </c>
      <c r="Q2614" s="39">
        <f>IF($A2614="","",IF(O2614&lt;&gt;원인분석!$C$9,"",IF(AND(M2614&gt;=원인분석!$C$10,M2614&lt;=원인분석!$C$11),"당기",IF(AND(M2614&gt;=원인분석!$C$12,M2614&lt;=원인분석!$C$13),"비교",""))))</f>
        <v/>
      </c>
      <c r="R2614" s="9">
        <f>IF(Q2614="","",$K2614&amp;"")</f>
        <v/>
      </c>
      <c r="S2614" s="9">
        <f>IF(Q2614="","",IF(MATCH(R2614,$R$5:$R$100000,0)=ROW()-4,ROW(),""))</f>
        <v/>
      </c>
      <c r="T2614" s="9">
        <f>IF(Q2614="당기",ABS(P2614)+ROW()/1000000000,"")</f>
        <v/>
      </c>
      <c r="U2614" s="9">
        <f>IF(Q2614="비교",ABS(P2614)+ROW()/1000000000,"")</f>
        <v/>
      </c>
      <c r="V2614" s="39">
        <f>IF($A2614="","",IF(COUNTIF(변동분석!$E$7:$E$506,O2614)&gt;0,"Y","N"))</f>
        <v/>
      </c>
      <c r="W2614" s="39">
        <f>IF($A2614="","",IFERROR(INDEX(계정매핑!$D$5:$D$504,MATCH($F2614&amp;"",계정매핑!$A$5:$A$504,0)),"미매핑"))</f>
        <v/>
      </c>
      <c r="X2614" s="9">
        <f>IF($A2614="","",$F2614&amp;"")</f>
        <v/>
      </c>
    </row>
    <row r="2615">
      <c r="A2615" s="75" t="n">
        <v>2026</v>
      </c>
      <c r="B2615" s="75" t="n">
        <v>2</v>
      </c>
      <c r="C2615" s="75" t="inlineStr">
        <is>
          <t>5100000271</t>
        </is>
      </c>
      <c r="D2615" s="78" t="n">
        <v>46064</v>
      </c>
      <c r="E2615" s="75" t="inlineStr">
        <is>
          <t>KR</t>
        </is>
      </c>
      <c r="F2615" s="75" t="n">
        <v>62501000</v>
      </c>
      <c r="G2615" s="75" t="n">
        <v>1501</v>
      </c>
      <c r="H2615" s="76" t="n">
        <v>196000</v>
      </c>
      <c r="I2615" s="75" t="inlineStr">
        <is>
          <t>2월 회의 다과 - T케이터링</t>
        </is>
      </c>
      <c r="J2615" s="75" t="inlineStr">
        <is>
          <t>V10005</t>
        </is>
      </c>
      <c r="K2615" s="75" t="inlineStr">
        <is>
          <t>T케이터링</t>
        </is>
      </c>
      <c r="M2615" s="9">
        <f>IF($A2615="","",VALUE($A2615&amp;"")*12+VALUE($B2615&amp;""))</f>
        <v/>
      </c>
      <c r="N2615" s="39">
        <f>IF($A2615="","",IFERROR(INDEX(부서매핑!$C$5:$C$504,MATCH($G2615&amp;"",부서매핑!$A$5:$A$504,0)),"미매핑"))</f>
        <v/>
      </c>
      <c r="O2615" s="9">
        <f>IF($A2615="","",N2615&amp;"|"&amp;$F2615)</f>
        <v/>
      </c>
      <c r="P2615" s="77">
        <f>IF($A2615="",0,$H2615*설정!$C$23)</f>
        <v/>
      </c>
      <c r="Q2615" s="39">
        <f>IF($A2615="","",IF(O2615&lt;&gt;원인분석!$C$9,"",IF(AND(M2615&gt;=원인분석!$C$10,M2615&lt;=원인분석!$C$11),"당기",IF(AND(M2615&gt;=원인분석!$C$12,M2615&lt;=원인분석!$C$13),"비교",""))))</f>
        <v/>
      </c>
      <c r="R2615" s="9">
        <f>IF(Q2615="","",$K2615&amp;"")</f>
        <v/>
      </c>
      <c r="S2615" s="9">
        <f>IF(Q2615="","",IF(MATCH(R2615,$R$5:$R$100000,0)=ROW()-4,ROW(),""))</f>
        <v/>
      </c>
      <c r="T2615" s="9">
        <f>IF(Q2615="당기",ABS(P2615)+ROW()/1000000000,"")</f>
        <v/>
      </c>
      <c r="U2615" s="9">
        <f>IF(Q2615="비교",ABS(P2615)+ROW()/1000000000,"")</f>
        <v/>
      </c>
      <c r="V2615" s="39">
        <f>IF($A2615="","",IF(COUNTIF(변동분석!$E$7:$E$506,O2615)&gt;0,"Y","N"))</f>
        <v/>
      </c>
      <c r="W2615" s="39">
        <f>IF($A2615="","",IFERROR(INDEX(계정매핑!$D$5:$D$504,MATCH($F2615&amp;"",계정매핑!$A$5:$A$504,0)),"미매핑"))</f>
        <v/>
      </c>
      <c r="X2615" s="9">
        <f>IF($A2615="","",$F2615&amp;"")</f>
        <v/>
      </c>
    </row>
    <row r="2616">
      <c r="A2616" s="75" t="n">
        <v>2026</v>
      </c>
      <c r="B2616" s="75" t="n">
        <v>2</v>
      </c>
      <c r="C2616" s="75" t="inlineStr">
        <is>
          <t>5100000272</t>
        </is>
      </c>
      <c r="D2616" s="78" t="n">
        <v>46064</v>
      </c>
      <c r="E2616" s="75" t="inlineStr">
        <is>
          <t>KR</t>
        </is>
      </c>
      <c r="F2616" s="75" t="n">
        <v>62601000</v>
      </c>
      <c r="G2616" s="75" t="n">
        <v>1101</v>
      </c>
      <c r="H2616" s="76" t="n">
        <v>2126000</v>
      </c>
      <c r="I2616" s="75" t="inlineStr">
        <is>
          <t>2월 업무추진 - (법인카드)</t>
        </is>
      </c>
      <c r="J2616" s="75" t="inlineStr">
        <is>
          <t>V10008</t>
        </is>
      </c>
      <c r="K2616" s="75" t="inlineStr">
        <is>
          <t>(법인카드)</t>
        </is>
      </c>
      <c r="M2616" s="9">
        <f>IF($A2616="","",VALUE($A2616&amp;"")*12+VALUE($B2616&amp;""))</f>
        <v/>
      </c>
      <c r="N2616" s="39">
        <f>IF($A2616="","",IFERROR(INDEX(부서매핑!$C$5:$C$504,MATCH($G2616&amp;"",부서매핑!$A$5:$A$504,0)),"미매핑"))</f>
        <v/>
      </c>
      <c r="O2616" s="9">
        <f>IF($A2616="","",N2616&amp;"|"&amp;$F2616)</f>
        <v/>
      </c>
      <c r="P2616" s="77">
        <f>IF($A2616="",0,$H2616*설정!$C$23)</f>
        <v/>
      </c>
      <c r="Q2616" s="39">
        <f>IF($A2616="","",IF(O2616&lt;&gt;원인분석!$C$9,"",IF(AND(M2616&gt;=원인분석!$C$10,M2616&lt;=원인분석!$C$11),"당기",IF(AND(M2616&gt;=원인분석!$C$12,M2616&lt;=원인분석!$C$13),"비교",""))))</f>
        <v/>
      </c>
      <c r="R2616" s="9">
        <f>IF(Q2616="","",$K2616&amp;"")</f>
        <v/>
      </c>
      <c r="S2616" s="9">
        <f>IF(Q2616="","",IF(MATCH(R2616,$R$5:$R$100000,0)=ROW()-4,ROW(),""))</f>
        <v/>
      </c>
      <c r="T2616" s="9">
        <f>IF(Q2616="당기",ABS(P2616)+ROW()/1000000000,"")</f>
        <v/>
      </c>
      <c r="U2616" s="9">
        <f>IF(Q2616="비교",ABS(P2616)+ROW()/1000000000,"")</f>
        <v/>
      </c>
      <c r="V2616" s="39">
        <f>IF($A2616="","",IF(COUNTIF(변동분석!$E$7:$E$506,O2616)&gt;0,"Y","N"))</f>
        <v/>
      </c>
      <c r="W2616" s="39">
        <f>IF($A2616="","",IFERROR(INDEX(계정매핑!$D$5:$D$504,MATCH($F2616&amp;"",계정매핑!$A$5:$A$504,0)),"미매핑"))</f>
        <v/>
      </c>
      <c r="X2616" s="9">
        <f>IF($A2616="","",$F2616&amp;"")</f>
        <v/>
      </c>
    </row>
    <row r="2617">
      <c r="A2617" s="75" t="n">
        <v>2026</v>
      </c>
      <c r="B2617" s="75" t="n">
        <v>2</v>
      </c>
      <c r="C2617" s="75" t="inlineStr">
        <is>
          <t>5100000273</t>
        </is>
      </c>
      <c r="D2617" s="78" t="n">
        <v>46064</v>
      </c>
      <c r="E2617" s="75" t="inlineStr">
        <is>
          <t>KR</t>
        </is>
      </c>
      <c r="F2617" s="75" t="n">
        <v>62802000</v>
      </c>
      <c r="G2617" s="75" t="n">
        <v>1301</v>
      </c>
      <c r="H2617" s="76" t="n">
        <v>3784000</v>
      </c>
      <c r="I2617" s="75" t="inlineStr">
        <is>
          <t>2월 위탁교육 - I교육원</t>
        </is>
      </c>
      <c r="J2617" s="75" t="inlineStr">
        <is>
          <t>V10015</t>
        </is>
      </c>
      <c r="K2617" s="75" t="inlineStr">
        <is>
          <t>I교육원</t>
        </is>
      </c>
      <c r="M2617" s="9">
        <f>IF($A2617="","",VALUE($A2617&amp;"")*12+VALUE($B2617&amp;""))</f>
        <v/>
      </c>
      <c r="N2617" s="39">
        <f>IF($A2617="","",IFERROR(INDEX(부서매핑!$C$5:$C$504,MATCH($G2617&amp;"",부서매핑!$A$5:$A$504,0)),"미매핑"))</f>
        <v/>
      </c>
      <c r="O2617" s="9">
        <f>IF($A2617="","",N2617&amp;"|"&amp;$F2617)</f>
        <v/>
      </c>
      <c r="P2617" s="77">
        <f>IF($A2617="",0,$H2617*설정!$C$23)</f>
        <v/>
      </c>
      <c r="Q2617" s="39">
        <f>IF($A2617="","",IF(O2617&lt;&gt;원인분석!$C$9,"",IF(AND(M2617&gt;=원인분석!$C$10,M2617&lt;=원인분석!$C$11),"당기",IF(AND(M2617&gt;=원인분석!$C$12,M2617&lt;=원인분석!$C$13),"비교",""))))</f>
        <v/>
      </c>
      <c r="R2617" s="9">
        <f>IF(Q2617="","",$K2617&amp;"")</f>
        <v/>
      </c>
      <c r="S2617" s="9">
        <f>IF(Q2617="","",IF(MATCH(R2617,$R$5:$R$100000,0)=ROW()-4,ROW(),""))</f>
        <v/>
      </c>
      <c r="T2617" s="9">
        <f>IF(Q2617="당기",ABS(P2617)+ROW()/1000000000,"")</f>
        <v/>
      </c>
      <c r="U2617" s="9">
        <f>IF(Q2617="비교",ABS(P2617)+ROW()/1000000000,"")</f>
        <v/>
      </c>
      <c r="V2617" s="39">
        <f>IF($A2617="","",IF(COUNTIF(변동분석!$E$7:$E$506,O2617)&gt;0,"Y","N"))</f>
        <v/>
      </c>
      <c r="W2617" s="39">
        <f>IF($A2617="","",IFERROR(INDEX(계정매핑!$D$5:$D$504,MATCH($F2617&amp;"",계정매핑!$A$5:$A$504,0)),"미매핑"))</f>
        <v/>
      </c>
      <c r="X2617" s="9">
        <f>IF($A2617="","",$F2617&amp;"")</f>
        <v/>
      </c>
    </row>
    <row r="2618">
      <c r="A2618" s="75" t="n">
        <v>2026</v>
      </c>
      <c r="B2618" s="75" t="n">
        <v>2</v>
      </c>
      <c r="C2618" s="75" t="inlineStr">
        <is>
          <t>5100000274</t>
        </is>
      </c>
      <c r="D2618" s="78" t="n">
        <v>46064</v>
      </c>
      <c r="E2618" s="75" t="inlineStr">
        <is>
          <t>KR</t>
        </is>
      </c>
      <c r="F2618" s="75" t="n">
        <v>62902000</v>
      </c>
      <c r="G2618" s="75" t="n">
        <v>1801</v>
      </c>
      <c r="H2618" s="76" t="n">
        <v>3000000</v>
      </c>
      <c r="I2618" s="75" t="inlineStr">
        <is>
          <t>2월 업무 위탁 수수료 - X서비스</t>
        </is>
      </c>
      <c r="J2618" s="75" t="inlineStr">
        <is>
          <t>V10016</t>
        </is>
      </c>
      <c r="K2618" s="75" t="inlineStr">
        <is>
          <t>X서비스</t>
        </is>
      </c>
      <c r="M2618" s="9">
        <f>IF($A2618="","",VALUE($A2618&amp;"")*12+VALUE($B2618&amp;""))</f>
        <v/>
      </c>
      <c r="N2618" s="39">
        <f>IF($A2618="","",IFERROR(INDEX(부서매핑!$C$5:$C$504,MATCH($G2618&amp;"",부서매핑!$A$5:$A$504,0)),"미매핑"))</f>
        <v/>
      </c>
      <c r="O2618" s="9">
        <f>IF($A2618="","",N2618&amp;"|"&amp;$F2618)</f>
        <v/>
      </c>
      <c r="P2618" s="77">
        <f>IF($A2618="",0,$H2618*설정!$C$23)</f>
        <v/>
      </c>
      <c r="Q2618" s="39">
        <f>IF($A2618="","",IF(O2618&lt;&gt;원인분석!$C$9,"",IF(AND(M2618&gt;=원인분석!$C$10,M2618&lt;=원인분석!$C$11),"당기",IF(AND(M2618&gt;=원인분석!$C$12,M2618&lt;=원인분석!$C$13),"비교",""))))</f>
        <v/>
      </c>
      <c r="R2618" s="9">
        <f>IF(Q2618="","",$K2618&amp;"")</f>
        <v/>
      </c>
      <c r="S2618" s="9">
        <f>IF(Q2618="","",IF(MATCH(R2618,$R$5:$R$100000,0)=ROW()-4,ROW(),""))</f>
        <v/>
      </c>
      <c r="T2618" s="9">
        <f>IF(Q2618="당기",ABS(P2618)+ROW()/1000000000,"")</f>
        <v/>
      </c>
      <c r="U2618" s="9">
        <f>IF(Q2618="비교",ABS(P2618)+ROW()/1000000000,"")</f>
        <v/>
      </c>
      <c r="V2618" s="39">
        <f>IF($A2618="","",IF(COUNTIF(변동분석!$E$7:$E$506,O2618)&gt;0,"Y","N"))</f>
        <v/>
      </c>
      <c r="W2618" s="39">
        <f>IF($A2618="","",IFERROR(INDEX(계정매핑!$D$5:$D$504,MATCH($F2618&amp;"",계정매핑!$A$5:$A$504,0)),"미매핑"))</f>
        <v/>
      </c>
      <c r="X2618" s="9">
        <f>IF($A2618="","",$F2618&amp;"")</f>
        <v/>
      </c>
    </row>
    <row r="2619">
      <c r="A2619" s="75" t="n">
        <v>2026</v>
      </c>
      <c r="B2619" s="75" t="n">
        <v>2</v>
      </c>
      <c r="C2619" s="75" t="inlineStr">
        <is>
          <t>5100000275</t>
        </is>
      </c>
      <c r="D2619" s="78" t="n">
        <v>46065</v>
      </c>
      <c r="E2619" s="75" t="inlineStr">
        <is>
          <t>KR</t>
        </is>
      </c>
      <c r="F2619" s="75" t="n">
        <v>62101000</v>
      </c>
      <c r="G2619" s="75" t="n">
        <v>1602</v>
      </c>
      <c r="H2619" s="76" t="n">
        <v>1487000</v>
      </c>
      <c r="I2619" s="75" t="inlineStr">
        <is>
          <t>2월 국내출장 - (법인카드)</t>
        </is>
      </c>
      <c r="J2619" s="75" t="inlineStr">
        <is>
          <t>V10008</t>
        </is>
      </c>
      <c r="K2619" s="75" t="inlineStr">
        <is>
          <t>(법인카드)</t>
        </is>
      </c>
      <c r="M2619" s="9">
        <f>IF($A2619="","",VALUE($A2619&amp;"")*12+VALUE($B2619&amp;""))</f>
        <v/>
      </c>
      <c r="N2619" s="39">
        <f>IF($A2619="","",IFERROR(INDEX(부서매핑!$C$5:$C$504,MATCH($G2619&amp;"",부서매핑!$A$5:$A$504,0)),"미매핑"))</f>
        <v/>
      </c>
      <c r="O2619" s="9">
        <f>IF($A2619="","",N2619&amp;"|"&amp;$F2619)</f>
        <v/>
      </c>
      <c r="P2619" s="77">
        <f>IF($A2619="",0,$H2619*설정!$C$23)</f>
        <v/>
      </c>
      <c r="Q2619" s="39">
        <f>IF($A2619="","",IF(O2619&lt;&gt;원인분석!$C$9,"",IF(AND(M2619&gt;=원인분석!$C$10,M2619&lt;=원인분석!$C$11),"당기",IF(AND(M2619&gt;=원인분석!$C$12,M2619&lt;=원인분석!$C$13),"비교",""))))</f>
        <v/>
      </c>
      <c r="R2619" s="9">
        <f>IF(Q2619="","",$K2619&amp;"")</f>
        <v/>
      </c>
      <c r="S2619" s="9">
        <f>IF(Q2619="","",IF(MATCH(R2619,$R$5:$R$100000,0)=ROW()-4,ROW(),""))</f>
        <v/>
      </c>
      <c r="T2619" s="9">
        <f>IF(Q2619="당기",ABS(P2619)+ROW()/1000000000,"")</f>
        <v/>
      </c>
      <c r="U2619" s="9">
        <f>IF(Q2619="비교",ABS(P2619)+ROW()/1000000000,"")</f>
        <v/>
      </c>
      <c r="V2619" s="39">
        <f>IF($A2619="","",IF(COUNTIF(변동분석!$E$7:$E$506,O2619)&gt;0,"Y","N"))</f>
        <v/>
      </c>
      <c r="W2619" s="39">
        <f>IF($A2619="","",IFERROR(INDEX(계정매핑!$D$5:$D$504,MATCH($F2619&amp;"",계정매핑!$A$5:$A$504,0)),"미매핑"))</f>
        <v/>
      </c>
      <c r="X2619" s="9">
        <f>IF($A2619="","",$F2619&amp;"")</f>
        <v/>
      </c>
    </row>
    <row r="2620">
      <c r="A2620" s="75" t="n">
        <v>2026</v>
      </c>
      <c r="B2620" s="75" t="n">
        <v>2</v>
      </c>
      <c r="C2620" s="75" t="inlineStr">
        <is>
          <t>5100000276</t>
        </is>
      </c>
      <c r="D2620" s="78" t="n">
        <v>46065</v>
      </c>
      <c r="E2620" s="75" t="inlineStr">
        <is>
          <t>KR</t>
        </is>
      </c>
      <c r="F2620" s="75" t="n">
        <v>62101000</v>
      </c>
      <c r="G2620" s="75" t="n">
        <v>1701</v>
      </c>
      <c r="H2620" s="76" t="n">
        <v>222000</v>
      </c>
      <c r="I2620" s="75" t="inlineStr">
        <is>
          <t>2월 국내출장 - (법인카드)</t>
        </is>
      </c>
      <c r="J2620" s="75" t="inlineStr">
        <is>
          <t>V10008</t>
        </is>
      </c>
      <c r="K2620" s="75" t="inlineStr">
        <is>
          <t>(법인카드)</t>
        </is>
      </c>
      <c r="M2620" s="9">
        <f>IF($A2620="","",VALUE($A2620&amp;"")*12+VALUE($B2620&amp;""))</f>
        <v/>
      </c>
      <c r="N2620" s="39">
        <f>IF($A2620="","",IFERROR(INDEX(부서매핑!$C$5:$C$504,MATCH($G2620&amp;"",부서매핑!$A$5:$A$504,0)),"미매핑"))</f>
        <v/>
      </c>
      <c r="O2620" s="9">
        <f>IF($A2620="","",N2620&amp;"|"&amp;$F2620)</f>
        <v/>
      </c>
      <c r="P2620" s="77">
        <f>IF($A2620="",0,$H2620*설정!$C$23)</f>
        <v/>
      </c>
      <c r="Q2620" s="39">
        <f>IF($A2620="","",IF(O2620&lt;&gt;원인분석!$C$9,"",IF(AND(M2620&gt;=원인분석!$C$10,M2620&lt;=원인분석!$C$11),"당기",IF(AND(M2620&gt;=원인분석!$C$12,M2620&lt;=원인분석!$C$13),"비교",""))))</f>
        <v/>
      </c>
      <c r="R2620" s="9">
        <f>IF(Q2620="","",$K2620&amp;"")</f>
        <v/>
      </c>
      <c r="S2620" s="9">
        <f>IF(Q2620="","",IF(MATCH(R2620,$R$5:$R$100000,0)=ROW()-4,ROW(),""))</f>
        <v/>
      </c>
      <c r="T2620" s="9">
        <f>IF(Q2620="당기",ABS(P2620)+ROW()/1000000000,"")</f>
        <v/>
      </c>
      <c r="U2620" s="9">
        <f>IF(Q2620="비교",ABS(P2620)+ROW()/1000000000,"")</f>
        <v/>
      </c>
      <c r="V2620" s="39">
        <f>IF($A2620="","",IF(COUNTIF(변동분석!$E$7:$E$506,O2620)&gt;0,"Y","N"))</f>
        <v/>
      </c>
      <c r="W2620" s="39">
        <f>IF($A2620="","",IFERROR(INDEX(계정매핑!$D$5:$D$504,MATCH($F2620&amp;"",계정매핑!$A$5:$A$504,0)),"미매핑"))</f>
        <v/>
      </c>
      <c r="X2620" s="9">
        <f>IF($A2620="","",$F2620&amp;"")</f>
        <v/>
      </c>
    </row>
    <row r="2621">
      <c r="A2621" s="75" t="n">
        <v>2026</v>
      </c>
      <c r="B2621" s="75" t="n">
        <v>2</v>
      </c>
      <c r="C2621" s="75" t="inlineStr">
        <is>
          <t>5100000277</t>
        </is>
      </c>
      <c r="D2621" s="78" t="n">
        <v>46065</v>
      </c>
      <c r="E2621" s="75" t="inlineStr">
        <is>
          <t>KR</t>
        </is>
      </c>
      <c r="F2621" s="75" t="n">
        <v>62201000</v>
      </c>
      <c r="G2621" s="75" t="n">
        <v>1301</v>
      </c>
      <c r="H2621" s="76" t="n">
        <v>254000</v>
      </c>
      <c r="I2621" s="75" t="inlineStr">
        <is>
          <t>2월 통신요금 - P통신</t>
        </is>
      </c>
      <c r="J2621" s="75" t="inlineStr">
        <is>
          <t>V10011</t>
        </is>
      </c>
      <c r="K2621" s="75" t="inlineStr">
        <is>
          <t>P통신</t>
        </is>
      </c>
      <c r="M2621" s="9">
        <f>IF($A2621="","",VALUE($A2621&amp;"")*12+VALUE($B2621&amp;""))</f>
        <v/>
      </c>
      <c r="N2621" s="39">
        <f>IF($A2621="","",IFERROR(INDEX(부서매핑!$C$5:$C$504,MATCH($G2621&amp;"",부서매핑!$A$5:$A$504,0)),"미매핑"))</f>
        <v/>
      </c>
      <c r="O2621" s="9">
        <f>IF($A2621="","",N2621&amp;"|"&amp;$F2621)</f>
        <v/>
      </c>
      <c r="P2621" s="77">
        <f>IF($A2621="",0,$H2621*설정!$C$23)</f>
        <v/>
      </c>
      <c r="Q2621" s="39">
        <f>IF($A2621="","",IF(O2621&lt;&gt;원인분석!$C$9,"",IF(AND(M2621&gt;=원인분석!$C$10,M2621&lt;=원인분석!$C$11),"당기",IF(AND(M2621&gt;=원인분석!$C$12,M2621&lt;=원인분석!$C$13),"비교",""))))</f>
        <v/>
      </c>
      <c r="R2621" s="9">
        <f>IF(Q2621="","",$K2621&amp;"")</f>
        <v/>
      </c>
      <c r="S2621" s="9">
        <f>IF(Q2621="","",IF(MATCH(R2621,$R$5:$R$100000,0)=ROW()-4,ROW(),""))</f>
        <v/>
      </c>
      <c r="T2621" s="9">
        <f>IF(Q2621="당기",ABS(P2621)+ROW()/1000000000,"")</f>
        <v/>
      </c>
      <c r="U2621" s="9">
        <f>IF(Q2621="비교",ABS(P2621)+ROW()/1000000000,"")</f>
        <v/>
      </c>
      <c r="V2621" s="39">
        <f>IF($A2621="","",IF(COUNTIF(변동분석!$E$7:$E$506,O2621)&gt;0,"Y","N"))</f>
        <v/>
      </c>
      <c r="W2621" s="39">
        <f>IF($A2621="","",IFERROR(INDEX(계정매핑!$D$5:$D$504,MATCH($F2621&amp;"",계정매핑!$A$5:$A$504,0)),"미매핑"))</f>
        <v/>
      </c>
      <c r="X2621" s="9">
        <f>IF($A2621="","",$F2621&amp;"")</f>
        <v/>
      </c>
    </row>
    <row r="2622">
      <c r="A2622" s="75" t="n">
        <v>2026</v>
      </c>
      <c r="B2622" s="75" t="n">
        <v>2</v>
      </c>
      <c r="C2622" s="75" t="inlineStr">
        <is>
          <t>5100000278</t>
        </is>
      </c>
      <c r="D2622" s="78" t="n">
        <v>46065</v>
      </c>
      <c r="E2622" s="75" t="inlineStr">
        <is>
          <t>KR</t>
        </is>
      </c>
      <c r="F2622" s="75" t="n">
        <v>62201000</v>
      </c>
      <c r="G2622" s="75" t="n">
        <v>1701</v>
      </c>
      <c r="H2622" s="76" t="n">
        <v>6537000</v>
      </c>
      <c r="I2622" s="75" t="inlineStr">
        <is>
          <t>2월 통신요금 - O텔레콤</t>
        </is>
      </c>
      <c r="J2622" s="75" t="inlineStr">
        <is>
          <t>V10002</t>
        </is>
      </c>
      <c r="K2622" s="75" t="inlineStr">
        <is>
          <t>O텔레콤</t>
        </is>
      </c>
      <c r="M2622" s="9">
        <f>IF($A2622="","",VALUE($A2622&amp;"")*12+VALUE($B2622&amp;""))</f>
        <v/>
      </c>
      <c r="N2622" s="39">
        <f>IF($A2622="","",IFERROR(INDEX(부서매핑!$C$5:$C$504,MATCH($G2622&amp;"",부서매핑!$A$5:$A$504,0)),"미매핑"))</f>
        <v/>
      </c>
      <c r="O2622" s="9">
        <f>IF($A2622="","",N2622&amp;"|"&amp;$F2622)</f>
        <v/>
      </c>
      <c r="P2622" s="77">
        <f>IF($A2622="",0,$H2622*설정!$C$23)</f>
        <v/>
      </c>
      <c r="Q2622" s="39">
        <f>IF($A2622="","",IF(O2622&lt;&gt;원인분석!$C$9,"",IF(AND(M2622&gt;=원인분석!$C$10,M2622&lt;=원인분석!$C$11),"당기",IF(AND(M2622&gt;=원인분석!$C$12,M2622&lt;=원인분석!$C$13),"비교",""))))</f>
        <v/>
      </c>
      <c r="R2622" s="9">
        <f>IF(Q2622="","",$K2622&amp;"")</f>
        <v/>
      </c>
      <c r="S2622" s="9">
        <f>IF(Q2622="","",IF(MATCH(R2622,$R$5:$R$100000,0)=ROW()-4,ROW(),""))</f>
        <v/>
      </c>
      <c r="T2622" s="9">
        <f>IF(Q2622="당기",ABS(P2622)+ROW()/1000000000,"")</f>
        <v/>
      </c>
      <c r="U2622" s="9">
        <f>IF(Q2622="비교",ABS(P2622)+ROW()/1000000000,"")</f>
        <v/>
      </c>
      <c r="V2622" s="39">
        <f>IF($A2622="","",IF(COUNTIF(변동분석!$E$7:$E$506,O2622)&gt;0,"Y","N"))</f>
        <v/>
      </c>
      <c r="W2622" s="39">
        <f>IF($A2622="","",IFERROR(INDEX(계정매핑!$D$5:$D$504,MATCH($F2622&amp;"",계정매핑!$A$5:$A$504,0)),"미매핑"))</f>
        <v/>
      </c>
      <c r="X2622" s="9">
        <f>IF($A2622="","",$F2622&amp;"")</f>
        <v/>
      </c>
    </row>
    <row r="2623">
      <c r="A2623" s="75" t="n">
        <v>2026</v>
      </c>
      <c r="B2623" s="75" t="n">
        <v>2</v>
      </c>
      <c r="C2623" s="75" t="inlineStr">
        <is>
          <t>5100000279</t>
        </is>
      </c>
      <c r="D2623" s="78" t="n">
        <v>46065</v>
      </c>
      <c r="E2623" s="75" t="inlineStr">
        <is>
          <t>KR</t>
        </is>
      </c>
      <c r="F2623" s="75" t="n">
        <v>62301000</v>
      </c>
      <c r="G2623" s="75" t="n">
        <v>1301</v>
      </c>
      <c r="H2623" s="76" t="n">
        <v>371000</v>
      </c>
      <c r="I2623" s="75" t="inlineStr">
        <is>
          <t>2월 소모품 구입 - Q오피스</t>
        </is>
      </c>
      <c r="J2623" s="75" t="inlineStr">
        <is>
          <t>V10003</t>
        </is>
      </c>
      <c r="K2623" s="75" t="inlineStr">
        <is>
          <t>Q오피스</t>
        </is>
      </c>
      <c r="M2623" s="9">
        <f>IF($A2623="","",VALUE($A2623&amp;"")*12+VALUE($B2623&amp;""))</f>
        <v/>
      </c>
      <c r="N2623" s="39">
        <f>IF($A2623="","",IFERROR(INDEX(부서매핑!$C$5:$C$504,MATCH($G2623&amp;"",부서매핑!$A$5:$A$504,0)),"미매핑"))</f>
        <v/>
      </c>
      <c r="O2623" s="9">
        <f>IF($A2623="","",N2623&amp;"|"&amp;$F2623)</f>
        <v/>
      </c>
      <c r="P2623" s="77">
        <f>IF($A2623="",0,$H2623*설정!$C$23)</f>
        <v/>
      </c>
      <c r="Q2623" s="39">
        <f>IF($A2623="","",IF(O2623&lt;&gt;원인분석!$C$9,"",IF(AND(M2623&gt;=원인분석!$C$10,M2623&lt;=원인분석!$C$11),"당기",IF(AND(M2623&gt;=원인분석!$C$12,M2623&lt;=원인분석!$C$13),"비교",""))))</f>
        <v/>
      </c>
      <c r="R2623" s="9">
        <f>IF(Q2623="","",$K2623&amp;"")</f>
        <v/>
      </c>
      <c r="S2623" s="9">
        <f>IF(Q2623="","",IF(MATCH(R2623,$R$5:$R$100000,0)=ROW()-4,ROW(),""))</f>
        <v/>
      </c>
      <c r="T2623" s="9">
        <f>IF(Q2623="당기",ABS(P2623)+ROW()/1000000000,"")</f>
        <v/>
      </c>
      <c r="U2623" s="9">
        <f>IF(Q2623="비교",ABS(P2623)+ROW()/1000000000,"")</f>
        <v/>
      </c>
      <c r="V2623" s="39">
        <f>IF($A2623="","",IF(COUNTIF(변동분석!$E$7:$E$506,O2623)&gt;0,"Y","N"))</f>
        <v/>
      </c>
      <c r="W2623" s="39">
        <f>IF($A2623="","",IFERROR(INDEX(계정매핑!$D$5:$D$504,MATCH($F2623&amp;"",계정매핑!$A$5:$A$504,0)),"미매핑"))</f>
        <v/>
      </c>
      <c r="X2623" s="9">
        <f>IF($A2623="","",$F2623&amp;"")</f>
        <v/>
      </c>
    </row>
    <row r="2624">
      <c r="A2624" s="75" t="n">
        <v>2026</v>
      </c>
      <c r="B2624" s="75" t="n">
        <v>2</v>
      </c>
      <c r="C2624" s="75" t="inlineStr">
        <is>
          <t>5100000280</t>
        </is>
      </c>
      <c r="D2624" s="78" t="n">
        <v>46065</v>
      </c>
      <c r="E2624" s="75" t="inlineStr">
        <is>
          <t>KR</t>
        </is>
      </c>
      <c r="F2624" s="75" t="n">
        <v>62301000</v>
      </c>
      <c r="G2624" s="75" t="n">
        <v>1601</v>
      </c>
      <c r="H2624" s="76" t="n">
        <v>315000</v>
      </c>
      <c r="I2624" s="75" t="inlineStr">
        <is>
          <t>2월 소모품 구입 - Q오피스</t>
        </is>
      </c>
      <c r="J2624" s="75" t="inlineStr">
        <is>
          <t>V10003</t>
        </is>
      </c>
      <c r="K2624" s="75" t="inlineStr">
        <is>
          <t>Q오피스</t>
        </is>
      </c>
      <c r="M2624" s="9">
        <f>IF($A2624="","",VALUE($A2624&amp;"")*12+VALUE($B2624&amp;""))</f>
        <v/>
      </c>
      <c r="N2624" s="39">
        <f>IF($A2624="","",IFERROR(INDEX(부서매핑!$C$5:$C$504,MATCH($G2624&amp;"",부서매핑!$A$5:$A$504,0)),"미매핑"))</f>
        <v/>
      </c>
      <c r="O2624" s="9">
        <f>IF($A2624="","",N2624&amp;"|"&amp;$F2624)</f>
        <v/>
      </c>
      <c r="P2624" s="77">
        <f>IF($A2624="",0,$H2624*설정!$C$23)</f>
        <v/>
      </c>
      <c r="Q2624" s="39">
        <f>IF($A2624="","",IF(O2624&lt;&gt;원인분석!$C$9,"",IF(AND(M2624&gt;=원인분석!$C$10,M2624&lt;=원인분석!$C$11),"당기",IF(AND(M2624&gt;=원인분석!$C$12,M2624&lt;=원인분석!$C$13),"비교",""))))</f>
        <v/>
      </c>
      <c r="R2624" s="9">
        <f>IF(Q2624="","",$K2624&amp;"")</f>
        <v/>
      </c>
      <c r="S2624" s="9">
        <f>IF(Q2624="","",IF(MATCH(R2624,$R$5:$R$100000,0)=ROW()-4,ROW(),""))</f>
        <v/>
      </c>
      <c r="T2624" s="9">
        <f>IF(Q2624="당기",ABS(P2624)+ROW()/1000000000,"")</f>
        <v/>
      </c>
      <c r="U2624" s="9">
        <f>IF(Q2624="비교",ABS(P2624)+ROW()/1000000000,"")</f>
        <v/>
      </c>
      <c r="V2624" s="39">
        <f>IF($A2624="","",IF(COUNTIF(변동분석!$E$7:$E$506,O2624)&gt;0,"Y","N"))</f>
        <v/>
      </c>
      <c r="W2624" s="39">
        <f>IF($A2624="","",IFERROR(INDEX(계정매핑!$D$5:$D$504,MATCH($F2624&amp;"",계정매핑!$A$5:$A$504,0)),"미매핑"))</f>
        <v/>
      </c>
      <c r="X2624" s="9">
        <f>IF($A2624="","",$F2624&amp;"")</f>
        <v/>
      </c>
    </row>
    <row r="2625">
      <c r="A2625" s="75" t="n">
        <v>2026</v>
      </c>
      <c r="B2625" s="75" t="n">
        <v>2</v>
      </c>
      <c r="C2625" s="75" t="inlineStr">
        <is>
          <t>5100000281</t>
        </is>
      </c>
      <c r="D2625" s="78" t="n">
        <v>46065</v>
      </c>
      <c r="E2625" s="75" t="inlineStr">
        <is>
          <t>KR</t>
        </is>
      </c>
      <c r="F2625" s="75" t="n">
        <v>63201000</v>
      </c>
      <c r="G2625" s="75" t="n">
        <v>1601</v>
      </c>
      <c r="H2625" s="76" t="n">
        <v>5726000</v>
      </c>
      <c r="I2625" s="75" t="inlineStr">
        <is>
          <t>2월 차량 유지 - D정비</t>
        </is>
      </c>
      <c r="J2625" s="75" t="inlineStr">
        <is>
          <t>V10022</t>
        </is>
      </c>
      <c r="K2625" s="75" t="inlineStr">
        <is>
          <t>D정비</t>
        </is>
      </c>
      <c r="M2625" s="9">
        <f>IF($A2625="","",VALUE($A2625&amp;"")*12+VALUE($B2625&amp;""))</f>
        <v/>
      </c>
      <c r="N2625" s="39">
        <f>IF($A2625="","",IFERROR(INDEX(부서매핑!$C$5:$C$504,MATCH($G2625&amp;"",부서매핑!$A$5:$A$504,0)),"미매핑"))</f>
        <v/>
      </c>
      <c r="O2625" s="9">
        <f>IF($A2625="","",N2625&amp;"|"&amp;$F2625)</f>
        <v/>
      </c>
      <c r="P2625" s="77">
        <f>IF($A2625="",0,$H2625*설정!$C$23)</f>
        <v/>
      </c>
      <c r="Q2625" s="39">
        <f>IF($A2625="","",IF(O2625&lt;&gt;원인분석!$C$9,"",IF(AND(M2625&gt;=원인분석!$C$10,M2625&lt;=원인분석!$C$11),"당기",IF(AND(M2625&gt;=원인분석!$C$12,M2625&lt;=원인분석!$C$13),"비교",""))))</f>
        <v/>
      </c>
      <c r="R2625" s="9">
        <f>IF(Q2625="","",$K2625&amp;"")</f>
        <v/>
      </c>
      <c r="S2625" s="9">
        <f>IF(Q2625="","",IF(MATCH(R2625,$R$5:$R$100000,0)=ROW()-4,ROW(),""))</f>
        <v/>
      </c>
      <c r="T2625" s="9">
        <f>IF(Q2625="당기",ABS(P2625)+ROW()/1000000000,"")</f>
        <v/>
      </c>
      <c r="U2625" s="9">
        <f>IF(Q2625="비교",ABS(P2625)+ROW()/1000000000,"")</f>
        <v/>
      </c>
      <c r="V2625" s="39">
        <f>IF($A2625="","",IF(COUNTIF(변동분석!$E$7:$E$506,O2625)&gt;0,"Y","N"))</f>
        <v/>
      </c>
      <c r="W2625" s="39">
        <f>IF($A2625="","",IFERROR(INDEX(계정매핑!$D$5:$D$504,MATCH($F2625&amp;"",계정매핑!$A$5:$A$504,0)),"미매핑"))</f>
        <v/>
      </c>
      <c r="X2625" s="9">
        <f>IF($A2625="","",$F2625&amp;"")</f>
        <v/>
      </c>
    </row>
    <row r="2626">
      <c r="A2626" s="75" t="n">
        <v>2026</v>
      </c>
      <c r="B2626" s="75" t="n">
        <v>2</v>
      </c>
      <c r="C2626" s="75" t="inlineStr">
        <is>
          <t>5100000282</t>
        </is>
      </c>
      <c r="D2626" s="78" t="n">
        <v>46066</v>
      </c>
      <c r="E2626" s="75" t="inlineStr">
        <is>
          <t>KR</t>
        </is>
      </c>
      <c r="F2626" s="75" t="n">
        <v>62101000</v>
      </c>
      <c r="G2626" s="75" t="n">
        <v>1101</v>
      </c>
      <c r="H2626" s="76" t="n">
        <v>681000</v>
      </c>
      <c r="I2626" s="75" t="inlineStr">
        <is>
          <t>2월 국내출장 - (법인카드)</t>
        </is>
      </c>
      <c r="J2626" s="75" t="inlineStr">
        <is>
          <t>V10008</t>
        </is>
      </c>
      <c r="K2626" s="75" t="inlineStr">
        <is>
          <t>(법인카드)</t>
        </is>
      </c>
      <c r="M2626" s="9">
        <f>IF($A2626="","",VALUE($A2626&amp;"")*12+VALUE($B2626&amp;""))</f>
        <v/>
      </c>
      <c r="N2626" s="39">
        <f>IF($A2626="","",IFERROR(INDEX(부서매핑!$C$5:$C$504,MATCH($G2626&amp;"",부서매핑!$A$5:$A$504,0)),"미매핑"))</f>
        <v/>
      </c>
      <c r="O2626" s="9">
        <f>IF($A2626="","",N2626&amp;"|"&amp;$F2626)</f>
        <v/>
      </c>
      <c r="P2626" s="77">
        <f>IF($A2626="",0,$H2626*설정!$C$23)</f>
        <v/>
      </c>
      <c r="Q2626" s="39">
        <f>IF($A2626="","",IF(O2626&lt;&gt;원인분석!$C$9,"",IF(AND(M2626&gt;=원인분석!$C$10,M2626&lt;=원인분석!$C$11),"당기",IF(AND(M2626&gt;=원인분석!$C$12,M2626&lt;=원인분석!$C$13),"비교",""))))</f>
        <v/>
      </c>
      <c r="R2626" s="9">
        <f>IF(Q2626="","",$K2626&amp;"")</f>
        <v/>
      </c>
      <c r="S2626" s="9">
        <f>IF(Q2626="","",IF(MATCH(R2626,$R$5:$R$100000,0)=ROW()-4,ROW(),""))</f>
        <v/>
      </c>
      <c r="T2626" s="9">
        <f>IF(Q2626="당기",ABS(P2626)+ROW()/1000000000,"")</f>
        <v/>
      </c>
      <c r="U2626" s="9">
        <f>IF(Q2626="비교",ABS(P2626)+ROW()/1000000000,"")</f>
        <v/>
      </c>
      <c r="V2626" s="39">
        <f>IF($A2626="","",IF(COUNTIF(변동분석!$E$7:$E$506,O2626)&gt;0,"Y","N"))</f>
        <v/>
      </c>
      <c r="W2626" s="39">
        <f>IF($A2626="","",IFERROR(INDEX(계정매핑!$D$5:$D$504,MATCH($F2626&amp;"",계정매핑!$A$5:$A$504,0)),"미매핑"))</f>
        <v/>
      </c>
      <c r="X2626" s="9">
        <f>IF($A2626="","",$F2626&amp;"")</f>
        <v/>
      </c>
    </row>
    <row r="2627">
      <c r="A2627" s="75" t="n">
        <v>2026</v>
      </c>
      <c r="B2627" s="75" t="n">
        <v>2</v>
      </c>
      <c r="C2627" s="75" t="inlineStr">
        <is>
          <t>5100000283</t>
        </is>
      </c>
      <c r="D2627" s="78" t="n">
        <v>46066</v>
      </c>
      <c r="E2627" s="75" t="inlineStr">
        <is>
          <t>KR</t>
        </is>
      </c>
      <c r="F2627" s="75" t="n">
        <v>62101000</v>
      </c>
      <c r="G2627" s="75" t="n">
        <v>1401</v>
      </c>
      <c r="H2627" s="76" t="n">
        <v>540000</v>
      </c>
      <c r="I2627" s="75" t="inlineStr">
        <is>
          <t>2월 국내출장 - (법인카드)</t>
        </is>
      </c>
      <c r="J2627" s="75" t="inlineStr">
        <is>
          <t>V10008</t>
        </is>
      </c>
      <c r="K2627" s="75" t="inlineStr">
        <is>
          <t>(법인카드)</t>
        </is>
      </c>
      <c r="M2627" s="9">
        <f>IF($A2627="","",VALUE($A2627&amp;"")*12+VALUE($B2627&amp;""))</f>
        <v/>
      </c>
      <c r="N2627" s="39">
        <f>IF($A2627="","",IFERROR(INDEX(부서매핑!$C$5:$C$504,MATCH($G2627&amp;"",부서매핑!$A$5:$A$504,0)),"미매핑"))</f>
        <v/>
      </c>
      <c r="O2627" s="9">
        <f>IF($A2627="","",N2627&amp;"|"&amp;$F2627)</f>
        <v/>
      </c>
      <c r="P2627" s="77">
        <f>IF($A2627="",0,$H2627*설정!$C$23)</f>
        <v/>
      </c>
      <c r="Q2627" s="39">
        <f>IF($A2627="","",IF(O2627&lt;&gt;원인분석!$C$9,"",IF(AND(M2627&gt;=원인분석!$C$10,M2627&lt;=원인분석!$C$11),"당기",IF(AND(M2627&gt;=원인분석!$C$12,M2627&lt;=원인분석!$C$13),"비교",""))))</f>
        <v/>
      </c>
      <c r="R2627" s="9">
        <f>IF(Q2627="","",$K2627&amp;"")</f>
        <v/>
      </c>
      <c r="S2627" s="9">
        <f>IF(Q2627="","",IF(MATCH(R2627,$R$5:$R$100000,0)=ROW()-4,ROW(),""))</f>
        <v/>
      </c>
      <c r="T2627" s="9">
        <f>IF(Q2627="당기",ABS(P2627)+ROW()/1000000000,"")</f>
        <v/>
      </c>
      <c r="U2627" s="9">
        <f>IF(Q2627="비교",ABS(P2627)+ROW()/1000000000,"")</f>
        <v/>
      </c>
      <c r="V2627" s="39">
        <f>IF($A2627="","",IF(COUNTIF(변동분석!$E$7:$E$506,O2627)&gt;0,"Y","N"))</f>
        <v/>
      </c>
      <c r="W2627" s="39">
        <f>IF($A2627="","",IFERROR(INDEX(계정매핑!$D$5:$D$504,MATCH($F2627&amp;"",계정매핑!$A$5:$A$504,0)),"미매핑"))</f>
        <v/>
      </c>
      <c r="X2627" s="9">
        <f>IF($A2627="","",$F2627&amp;"")</f>
        <v/>
      </c>
    </row>
    <row r="2628">
      <c r="A2628" s="75" t="n">
        <v>2026</v>
      </c>
      <c r="B2628" s="75" t="n">
        <v>2</v>
      </c>
      <c r="C2628" s="75" t="inlineStr">
        <is>
          <t>5100000284</t>
        </is>
      </c>
      <c r="D2628" s="78" t="n">
        <v>46066</v>
      </c>
      <c r="E2628" s="75" t="inlineStr">
        <is>
          <t>KR</t>
        </is>
      </c>
      <c r="F2628" s="75" t="n">
        <v>62101000</v>
      </c>
      <c r="G2628" s="75" t="n">
        <v>1701</v>
      </c>
      <c r="H2628" s="76" t="n">
        <v>210000</v>
      </c>
      <c r="I2628" s="75" t="inlineStr">
        <is>
          <t>2월 국내출장 - M항공</t>
        </is>
      </c>
      <c r="J2628" s="75" t="inlineStr">
        <is>
          <t>V10001</t>
        </is>
      </c>
      <c r="K2628" s="75" t="inlineStr">
        <is>
          <t>M항공</t>
        </is>
      </c>
      <c r="M2628" s="9">
        <f>IF($A2628="","",VALUE($A2628&amp;"")*12+VALUE($B2628&amp;""))</f>
        <v/>
      </c>
      <c r="N2628" s="39">
        <f>IF($A2628="","",IFERROR(INDEX(부서매핑!$C$5:$C$504,MATCH($G2628&amp;"",부서매핑!$A$5:$A$504,0)),"미매핑"))</f>
        <v/>
      </c>
      <c r="O2628" s="9">
        <f>IF($A2628="","",N2628&amp;"|"&amp;$F2628)</f>
        <v/>
      </c>
      <c r="P2628" s="77">
        <f>IF($A2628="",0,$H2628*설정!$C$23)</f>
        <v/>
      </c>
      <c r="Q2628" s="39">
        <f>IF($A2628="","",IF(O2628&lt;&gt;원인분석!$C$9,"",IF(AND(M2628&gt;=원인분석!$C$10,M2628&lt;=원인분석!$C$11),"당기",IF(AND(M2628&gt;=원인분석!$C$12,M2628&lt;=원인분석!$C$13),"비교",""))))</f>
        <v/>
      </c>
      <c r="R2628" s="9">
        <f>IF(Q2628="","",$K2628&amp;"")</f>
        <v/>
      </c>
      <c r="S2628" s="9">
        <f>IF(Q2628="","",IF(MATCH(R2628,$R$5:$R$100000,0)=ROW()-4,ROW(),""))</f>
        <v/>
      </c>
      <c r="T2628" s="9">
        <f>IF(Q2628="당기",ABS(P2628)+ROW()/1000000000,"")</f>
        <v/>
      </c>
      <c r="U2628" s="9">
        <f>IF(Q2628="비교",ABS(P2628)+ROW()/1000000000,"")</f>
        <v/>
      </c>
      <c r="V2628" s="39">
        <f>IF($A2628="","",IF(COUNTIF(변동분석!$E$7:$E$506,O2628)&gt;0,"Y","N"))</f>
        <v/>
      </c>
      <c r="W2628" s="39">
        <f>IF($A2628="","",IFERROR(INDEX(계정매핑!$D$5:$D$504,MATCH($F2628&amp;"",계정매핑!$A$5:$A$504,0)),"미매핑"))</f>
        <v/>
      </c>
      <c r="X2628" s="9">
        <f>IF($A2628="","",$F2628&amp;"")</f>
        <v/>
      </c>
    </row>
    <row r="2629">
      <c r="A2629" s="75" t="n">
        <v>2026</v>
      </c>
      <c r="B2629" s="75" t="n">
        <v>2</v>
      </c>
      <c r="C2629" s="75" t="inlineStr">
        <is>
          <t>5100000285</t>
        </is>
      </c>
      <c r="D2629" s="78" t="n">
        <v>46066</v>
      </c>
      <c r="E2629" s="75" t="inlineStr">
        <is>
          <t>KR</t>
        </is>
      </c>
      <c r="F2629" s="75" t="n">
        <v>62201000</v>
      </c>
      <c r="G2629" s="75" t="n">
        <v>1101</v>
      </c>
      <c r="H2629" s="76" t="n">
        <v>155000</v>
      </c>
      <c r="I2629" s="75" t="inlineStr">
        <is>
          <t>2월 통신요금 - P통신</t>
        </is>
      </c>
      <c r="J2629" s="75" t="inlineStr">
        <is>
          <t>V10011</t>
        </is>
      </c>
      <c r="K2629" s="75" t="inlineStr">
        <is>
          <t>P통신</t>
        </is>
      </c>
      <c r="M2629" s="9">
        <f>IF($A2629="","",VALUE($A2629&amp;"")*12+VALUE($B2629&amp;""))</f>
        <v/>
      </c>
      <c r="N2629" s="39">
        <f>IF($A2629="","",IFERROR(INDEX(부서매핑!$C$5:$C$504,MATCH($G2629&amp;"",부서매핑!$A$5:$A$504,0)),"미매핑"))</f>
        <v/>
      </c>
      <c r="O2629" s="9">
        <f>IF($A2629="","",N2629&amp;"|"&amp;$F2629)</f>
        <v/>
      </c>
      <c r="P2629" s="77">
        <f>IF($A2629="",0,$H2629*설정!$C$23)</f>
        <v/>
      </c>
      <c r="Q2629" s="39">
        <f>IF($A2629="","",IF(O2629&lt;&gt;원인분석!$C$9,"",IF(AND(M2629&gt;=원인분석!$C$10,M2629&lt;=원인분석!$C$11),"당기",IF(AND(M2629&gt;=원인분석!$C$12,M2629&lt;=원인분석!$C$13),"비교",""))))</f>
        <v/>
      </c>
      <c r="R2629" s="9">
        <f>IF(Q2629="","",$K2629&amp;"")</f>
        <v/>
      </c>
      <c r="S2629" s="9">
        <f>IF(Q2629="","",IF(MATCH(R2629,$R$5:$R$100000,0)=ROW()-4,ROW(),""))</f>
        <v/>
      </c>
      <c r="T2629" s="9">
        <f>IF(Q2629="당기",ABS(P2629)+ROW()/1000000000,"")</f>
        <v/>
      </c>
      <c r="U2629" s="9">
        <f>IF(Q2629="비교",ABS(P2629)+ROW()/1000000000,"")</f>
        <v/>
      </c>
      <c r="V2629" s="39">
        <f>IF($A2629="","",IF(COUNTIF(변동분석!$E$7:$E$506,O2629)&gt;0,"Y","N"))</f>
        <v/>
      </c>
      <c r="W2629" s="39">
        <f>IF($A2629="","",IFERROR(INDEX(계정매핑!$D$5:$D$504,MATCH($F2629&amp;"",계정매핑!$A$5:$A$504,0)),"미매핑"))</f>
        <v/>
      </c>
      <c r="X2629" s="9">
        <f>IF($A2629="","",$F2629&amp;"")</f>
        <v/>
      </c>
    </row>
    <row r="2630">
      <c r="A2630" s="75" t="n">
        <v>2026</v>
      </c>
      <c r="B2630" s="75" t="n">
        <v>2</v>
      </c>
      <c r="C2630" s="75" t="inlineStr">
        <is>
          <t>5100000286</t>
        </is>
      </c>
      <c r="D2630" s="78" t="n">
        <v>46066</v>
      </c>
      <c r="E2630" s="75" t="inlineStr">
        <is>
          <t>KR</t>
        </is>
      </c>
      <c r="F2630" s="75" t="n">
        <v>62201000</v>
      </c>
      <c r="G2630" s="75" t="n">
        <v>1301</v>
      </c>
      <c r="H2630" s="76" t="n">
        <v>235000</v>
      </c>
      <c r="I2630" s="75" t="inlineStr">
        <is>
          <t>2월 통신요금 - O텔레콤</t>
        </is>
      </c>
      <c r="J2630" s="75" t="inlineStr">
        <is>
          <t>V10002</t>
        </is>
      </c>
      <c r="K2630" s="75" t="inlineStr">
        <is>
          <t>O텔레콤</t>
        </is>
      </c>
      <c r="M2630" s="9">
        <f>IF($A2630="","",VALUE($A2630&amp;"")*12+VALUE($B2630&amp;""))</f>
        <v/>
      </c>
      <c r="N2630" s="39">
        <f>IF($A2630="","",IFERROR(INDEX(부서매핑!$C$5:$C$504,MATCH($G2630&amp;"",부서매핑!$A$5:$A$504,0)),"미매핑"))</f>
        <v/>
      </c>
      <c r="O2630" s="9">
        <f>IF($A2630="","",N2630&amp;"|"&amp;$F2630)</f>
        <v/>
      </c>
      <c r="P2630" s="77">
        <f>IF($A2630="",0,$H2630*설정!$C$23)</f>
        <v/>
      </c>
      <c r="Q2630" s="39">
        <f>IF($A2630="","",IF(O2630&lt;&gt;원인분석!$C$9,"",IF(AND(M2630&gt;=원인분석!$C$10,M2630&lt;=원인분석!$C$11),"당기",IF(AND(M2630&gt;=원인분석!$C$12,M2630&lt;=원인분석!$C$13),"비교",""))))</f>
        <v/>
      </c>
      <c r="R2630" s="9">
        <f>IF(Q2630="","",$K2630&amp;"")</f>
        <v/>
      </c>
      <c r="S2630" s="9">
        <f>IF(Q2630="","",IF(MATCH(R2630,$R$5:$R$100000,0)=ROW()-4,ROW(),""))</f>
        <v/>
      </c>
      <c r="T2630" s="9">
        <f>IF(Q2630="당기",ABS(P2630)+ROW()/1000000000,"")</f>
        <v/>
      </c>
      <c r="U2630" s="9">
        <f>IF(Q2630="비교",ABS(P2630)+ROW()/1000000000,"")</f>
        <v/>
      </c>
      <c r="V2630" s="39">
        <f>IF($A2630="","",IF(COUNTIF(변동분석!$E$7:$E$506,O2630)&gt;0,"Y","N"))</f>
        <v/>
      </c>
      <c r="W2630" s="39">
        <f>IF($A2630="","",IFERROR(INDEX(계정매핑!$D$5:$D$504,MATCH($F2630&amp;"",계정매핑!$A$5:$A$504,0)),"미매핑"))</f>
        <v/>
      </c>
      <c r="X2630" s="9">
        <f>IF($A2630="","",$F2630&amp;"")</f>
        <v/>
      </c>
    </row>
    <row r="2631">
      <c r="A2631" s="75" t="n">
        <v>2026</v>
      </c>
      <c r="B2631" s="75" t="n">
        <v>2</v>
      </c>
      <c r="C2631" s="75" t="inlineStr">
        <is>
          <t>5100000287</t>
        </is>
      </c>
      <c r="D2631" s="78" t="n">
        <v>46066</v>
      </c>
      <c r="E2631" s="75" t="inlineStr">
        <is>
          <t>KR</t>
        </is>
      </c>
      <c r="F2631" s="75" t="n">
        <v>62201000</v>
      </c>
      <c r="G2631" s="75" t="n">
        <v>1602</v>
      </c>
      <c r="H2631" s="76" t="n">
        <v>615000</v>
      </c>
      <c r="I2631" s="75" t="inlineStr">
        <is>
          <t>2월 통신요금 - P통신</t>
        </is>
      </c>
      <c r="J2631" s="75" t="inlineStr">
        <is>
          <t>V10011</t>
        </is>
      </c>
      <c r="K2631" s="75" t="inlineStr">
        <is>
          <t>P통신</t>
        </is>
      </c>
      <c r="M2631" s="9">
        <f>IF($A2631="","",VALUE($A2631&amp;"")*12+VALUE($B2631&amp;""))</f>
        <v/>
      </c>
      <c r="N2631" s="39">
        <f>IF($A2631="","",IFERROR(INDEX(부서매핑!$C$5:$C$504,MATCH($G2631&amp;"",부서매핑!$A$5:$A$504,0)),"미매핑"))</f>
        <v/>
      </c>
      <c r="O2631" s="9">
        <f>IF($A2631="","",N2631&amp;"|"&amp;$F2631)</f>
        <v/>
      </c>
      <c r="P2631" s="77">
        <f>IF($A2631="",0,$H2631*설정!$C$23)</f>
        <v/>
      </c>
      <c r="Q2631" s="39">
        <f>IF($A2631="","",IF(O2631&lt;&gt;원인분석!$C$9,"",IF(AND(M2631&gt;=원인분석!$C$10,M2631&lt;=원인분석!$C$11),"당기",IF(AND(M2631&gt;=원인분석!$C$12,M2631&lt;=원인분석!$C$13),"비교",""))))</f>
        <v/>
      </c>
      <c r="R2631" s="9">
        <f>IF(Q2631="","",$K2631&amp;"")</f>
        <v/>
      </c>
      <c r="S2631" s="9">
        <f>IF(Q2631="","",IF(MATCH(R2631,$R$5:$R$100000,0)=ROW()-4,ROW(),""))</f>
        <v/>
      </c>
      <c r="T2631" s="9">
        <f>IF(Q2631="당기",ABS(P2631)+ROW()/1000000000,"")</f>
        <v/>
      </c>
      <c r="U2631" s="9">
        <f>IF(Q2631="비교",ABS(P2631)+ROW()/1000000000,"")</f>
        <v/>
      </c>
      <c r="V2631" s="39">
        <f>IF($A2631="","",IF(COUNTIF(변동분석!$E$7:$E$506,O2631)&gt;0,"Y","N"))</f>
        <v/>
      </c>
      <c r="W2631" s="39">
        <f>IF($A2631="","",IFERROR(INDEX(계정매핑!$D$5:$D$504,MATCH($F2631&amp;"",계정매핑!$A$5:$A$504,0)),"미매핑"))</f>
        <v/>
      </c>
      <c r="X2631" s="9">
        <f>IF($A2631="","",$F2631&amp;"")</f>
        <v/>
      </c>
    </row>
    <row r="2632">
      <c r="A2632" s="75" t="n">
        <v>2026</v>
      </c>
      <c r="B2632" s="75" t="n">
        <v>2</v>
      </c>
      <c r="C2632" s="75" t="inlineStr">
        <is>
          <t>5100000288</t>
        </is>
      </c>
      <c r="D2632" s="78" t="n">
        <v>46066</v>
      </c>
      <c r="E2632" s="75" t="inlineStr">
        <is>
          <t>KR</t>
        </is>
      </c>
      <c r="F2632" s="75" t="n">
        <v>62501000</v>
      </c>
      <c r="G2632" s="75" t="n">
        <v>1201</v>
      </c>
      <c r="H2632" s="76" t="n">
        <v>141000</v>
      </c>
      <c r="I2632" s="75" t="inlineStr">
        <is>
          <t>2월 회의 다과 - T케이터링</t>
        </is>
      </c>
      <c r="J2632" s="75" t="inlineStr">
        <is>
          <t>V10005</t>
        </is>
      </c>
      <c r="K2632" s="75" t="inlineStr">
        <is>
          <t>T케이터링</t>
        </is>
      </c>
      <c r="M2632" s="9">
        <f>IF($A2632="","",VALUE($A2632&amp;"")*12+VALUE($B2632&amp;""))</f>
        <v/>
      </c>
      <c r="N2632" s="39">
        <f>IF($A2632="","",IFERROR(INDEX(부서매핑!$C$5:$C$504,MATCH($G2632&amp;"",부서매핑!$A$5:$A$504,0)),"미매핑"))</f>
        <v/>
      </c>
      <c r="O2632" s="9">
        <f>IF($A2632="","",N2632&amp;"|"&amp;$F2632)</f>
        <v/>
      </c>
      <c r="P2632" s="77">
        <f>IF($A2632="",0,$H2632*설정!$C$23)</f>
        <v/>
      </c>
      <c r="Q2632" s="39">
        <f>IF($A2632="","",IF(O2632&lt;&gt;원인분석!$C$9,"",IF(AND(M2632&gt;=원인분석!$C$10,M2632&lt;=원인분석!$C$11),"당기",IF(AND(M2632&gt;=원인분석!$C$12,M2632&lt;=원인분석!$C$13),"비교",""))))</f>
        <v/>
      </c>
      <c r="R2632" s="9">
        <f>IF(Q2632="","",$K2632&amp;"")</f>
        <v/>
      </c>
      <c r="S2632" s="9">
        <f>IF(Q2632="","",IF(MATCH(R2632,$R$5:$R$100000,0)=ROW()-4,ROW(),""))</f>
        <v/>
      </c>
      <c r="T2632" s="9">
        <f>IF(Q2632="당기",ABS(P2632)+ROW()/1000000000,"")</f>
        <v/>
      </c>
      <c r="U2632" s="9">
        <f>IF(Q2632="비교",ABS(P2632)+ROW()/1000000000,"")</f>
        <v/>
      </c>
      <c r="V2632" s="39">
        <f>IF($A2632="","",IF(COUNTIF(변동분석!$E$7:$E$506,O2632)&gt;0,"Y","N"))</f>
        <v/>
      </c>
      <c r="W2632" s="39">
        <f>IF($A2632="","",IFERROR(INDEX(계정매핑!$D$5:$D$504,MATCH($F2632&amp;"",계정매핑!$A$5:$A$504,0)),"미매핑"))</f>
        <v/>
      </c>
      <c r="X2632" s="9">
        <f>IF($A2632="","",$F2632&amp;"")</f>
        <v/>
      </c>
    </row>
    <row r="2633">
      <c r="A2633" s="75" t="n">
        <v>2026</v>
      </c>
      <c r="B2633" s="75" t="n">
        <v>2</v>
      </c>
      <c r="C2633" s="75" t="inlineStr">
        <is>
          <t>5100000289</t>
        </is>
      </c>
      <c r="D2633" s="78" t="n">
        <v>46066</v>
      </c>
      <c r="E2633" s="75" t="inlineStr">
        <is>
          <t>KR</t>
        </is>
      </c>
      <c r="F2633" s="75" t="n">
        <v>62701000</v>
      </c>
      <c r="G2633" s="75" t="n">
        <v>1501</v>
      </c>
      <c r="H2633" s="76" t="n">
        <v>60742000</v>
      </c>
      <c r="I2633" s="75" t="inlineStr">
        <is>
          <t>2월 광고 집행 - F애드</t>
        </is>
      </c>
      <c r="J2633" s="75" t="inlineStr">
        <is>
          <t>V10019</t>
        </is>
      </c>
      <c r="K2633" s="75" t="inlineStr">
        <is>
          <t>F애드</t>
        </is>
      </c>
      <c r="M2633" s="9">
        <f>IF($A2633="","",VALUE($A2633&amp;"")*12+VALUE($B2633&amp;""))</f>
        <v/>
      </c>
      <c r="N2633" s="39">
        <f>IF($A2633="","",IFERROR(INDEX(부서매핑!$C$5:$C$504,MATCH($G2633&amp;"",부서매핑!$A$5:$A$504,0)),"미매핑"))</f>
        <v/>
      </c>
      <c r="O2633" s="9">
        <f>IF($A2633="","",N2633&amp;"|"&amp;$F2633)</f>
        <v/>
      </c>
      <c r="P2633" s="77">
        <f>IF($A2633="",0,$H2633*설정!$C$23)</f>
        <v/>
      </c>
      <c r="Q2633" s="39">
        <f>IF($A2633="","",IF(O2633&lt;&gt;원인분석!$C$9,"",IF(AND(M2633&gt;=원인분석!$C$10,M2633&lt;=원인분석!$C$11),"당기",IF(AND(M2633&gt;=원인분석!$C$12,M2633&lt;=원인분석!$C$13),"비교",""))))</f>
        <v/>
      </c>
      <c r="R2633" s="9">
        <f>IF(Q2633="","",$K2633&amp;"")</f>
        <v/>
      </c>
      <c r="S2633" s="9">
        <f>IF(Q2633="","",IF(MATCH(R2633,$R$5:$R$100000,0)=ROW()-4,ROW(),""))</f>
        <v/>
      </c>
      <c r="T2633" s="9">
        <f>IF(Q2633="당기",ABS(P2633)+ROW()/1000000000,"")</f>
        <v/>
      </c>
      <c r="U2633" s="9">
        <f>IF(Q2633="비교",ABS(P2633)+ROW()/1000000000,"")</f>
        <v/>
      </c>
      <c r="V2633" s="39">
        <f>IF($A2633="","",IF(COUNTIF(변동분석!$E$7:$E$506,O2633)&gt;0,"Y","N"))</f>
        <v/>
      </c>
      <c r="W2633" s="39">
        <f>IF($A2633="","",IFERROR(INDEX(계정매핑!$D$5:$D$504,MATCH($F2633&amp;"",계정매핑!$A$5:$A$504,0)),"미매핑"))</f>
        <v/>
      </c>
      <c r="X2633" s="9">
        <f>IF($A2633="","",$F2633&amp;"")</f>
        <v/>
      </c>
    </row>
    <row r="2634">
      <c r="A2634" s="75" t="n">
        <v>2026</v>
      </c>
      <c r="B2634" s="75" t="n">
        <v>2</v>
      </c>
      <c r="C2634" s="75" t="inlineStr">
        <is>
          <t>5100000290</t>
        </is>
      </c>
      <c r="D2634" s="78" t="n">
        <v>46066</v>
      </c>
      <c r="E2634" s="75" t="inlineStr">
        <is>
          <t>KR</t>
        </is>
      </c>
      <c r="F2634" s="75" t="n">
        <v>62902000</v>
      </c>
      <c r="G2634" s="75" t="n">
        <v>1101</v>
      </c>
      <c r="H2634" s="76" t="n">
        <v>1508000</v>
      </c>
      <c r="I2634" s="75" t="inlineStr">
        <is>
          <t>2월 업무 위탁 수수료 - J콜센터</t>
        </is>
      </c>
      <c r="J2634" s="75" t="inlineStr">
        <is>
          <t>V10013</t>
        </is>
      </c>
      <c r="K2634" s="75" t="inlineStr">
        <is>
          <t>J콜센터</t>
        </is>
      </c>
      <c r="M2634" s="9">
        <f>IF($A2634="","",VALUE($A2634&amp;"")*12+VALUE($B2634&amp;""))</f>
        <v/>
      </c>
      <c r="N2634" s="39">
        <f>IF($A2634="","",IFERROR(INDEX(부서매핑!$C$5:$C$504,MATCH($G2634&amp;"",부서매핑!$A$5:$A$504,0)),"미매핑"))</f>
        <v/>
      </c>
      <c r="O2634" s="9">
        <f>IF($A2634="","",N2634&amp;"|"&amp;$F2634)</f>
        <v/>
      </c>
      <c r="P2634" s="77">
        <f>IF($A2634="",0,$H2634*설정!$C$23)</f>
        <v/>
      </c>
      <c r="Q2634" s="39">
        <f>IF($A2634="","",IF(O2634&lt;&gt;원인분석!$C$9,"",IF(AND(M2634&gt;=원인분석!$C$10,M2634&lt;=원인분석!$C$11),"당기",IF(AND(M2634&gt;=원인분석!$C$12,M2634&lt;=원인분석!$C$13),"비교",""))))</f>
        <v/>
      </c>
      <c r="R2634" s="9">
        <f>IF(Q2634="","",$K2634&amp;"")</f>
        <v/>
      </c>
      <c r="S2634" s="9">
        <f>IF(Q2634="","",IF(MATCH(R2634,$R$5:$R$100000,0)=ROW()-4,ROW(),""))</f>
        <v/>
      </c>
      <c r="T2634" s="9">
        <f>IF(Q2634="당기",ABS(P2634)+ROW()/1000000000,"")</f>
        <v/>
      </c>
      <c r="U2634" s="9">
        <f>IF(Q2634="비교",ABS(P2634)+ROW()/1000000000,"")</f>
        <v/>
      </c>
      <c r="V2634" s="39">
        <f>IF($A2634="","",IF(COUNTIF(변동분석!$E$7:$E$506,O2634)&gt;0,"Y","N"))</f>
        <v/>
      </c>
      <c r="W2634" s="39">
        <f>IF($A2634="","",IFERROR(INDEX(계정매핑!$D$5:$D$504,MATCH($F2634&amp;"",계정매핑!$A$5:$A$504,0)),"미매핑"))</f>
        <v/>
      </c>
      <c r="X2634" s="9">
        <f>IF($A2634="","",$F2634&amp;"")</f>
        <v/>
      </c>
    </row>
    <row r="2635">
      <c r="A2635" s="75" t="n">
        <v>2026</v>
      </c>
      <c r="B2635" s="75" t="n">
        <v>2</v>
      </c>
      <c r="C2635" s="75" t="inlineStr">
        <is>
          <t>5100000291</t>
        </is>
      </c>
      <c r="D2635" s="78" t="n">
        <v>46066</v>
      </c>
      <c r="E2635" s="75" t="inlineStr">
        <is>
          <t>KR</t>
        </is>
      </c>
      <c r="F2635" s="75" t="n">
        <v>62902000</v>
      </c>
      <c r="G2635" s="75" t="n">
        <v>1101</v>
      </c>
      <c r="H2635" s="76" t="n">
        <v>1960000</v>
      </c>
      <c r="I2635" s="75" t="inlineStr">
        <is>
          <t>2월 업무 위탁 수수료 - X서비스</t>
        </is>
      </c>
      <c r="J2635" s="75" t="inlineStr">
        <is>
          <t>V10016</t>
        </is>
      </c>
      <c r="K2635" s="75" t="inlineStr">
        <is>
          <t>X서비스</t>
        </is>
      </c>
      <c r="M2635" s="9">
        <f>IF($A2635="","",VALUE($A2635&amp;"")*12+VALUE($B2635&amp;""))</f>
        <v/>
      </c>
      <c r="N2635" s="39">
        <f>IF($A2635="","",IFERROR(INDEX(부서매핑!$C$5:$C$504,MATCH($G2635&amp;"",부서매핑!$A$5:$A$504,0)),"미매핑"))</f>
        <v/>
      </c>
      <c r="O2635" s="9">
        <f>IF($A2635="","",N2635&amp;"|"&amp;$F2635)</f>
        <v/>
      </c>
      <c r="P2635" s="77">
        <f>IF($A2635="",0,$H2635*설정!$C$23)</f>
        <v/>
      </c>
      <c r="Q2635" s="39">
        <f>IF($A2635="","",IF(O2635&lt;&gt;원인분석!$C$9,"",IF(AND(M2635&gt;=원인분석!$C$10,M2635&lt;=원인분석!$C$11),"당기",IF(AND(M2635&gt;=원인분석!$C$12,M2635&lt;=원인분석!$C$13),"비교",""))))</f>
        <v/>
      </c>
      <c r="R2635" s="9">
        <f>IF(Q2635="","",$K2635&amp;"")</f>
        <v/>
      </c>
      <c r="S2635" s="9">
        <f>IF(Q2635="","",IF(MATCH(R2635,$R$5:$R$100000,0)=ROW()-4,ROW(),""))</f>
        <v/>
      </c>
      <c r="T2635" s="9">
        <f>IF(Q2635="당기",ABS(P2635)+ROW()/1000000000,"")</f>
        <v/>
      </c>
      <c r="U2635" s="9">
        <f>IF(Q2635="비교",ABS(P2635)+ROW()/1000000000,"")</f>
        <v/>
      </c>
      <c r="V2635" s="39">
        <f>IF($A2635="","",IF(COUNTIF(변동분석!$E$7:$E$506,O2635)&gt;0,"Y","N"))</f>
        <v/>
      </c>
      <c r="W2635" s="39">
        <f>IF($A2635="","",IFERROR(INDEX(계정매핑!$D$5:$D$504,MATCH($F2635&amp;"",계정매핑!$A$5:$A$504,0)),"미매핑"))</f>
        <v/>
      </c>
      <c r="X2635" s="9">
        <f>IF($A2635="","",$F2635&amp;"")</f>
        <v/>
      </c>
    </row>
    <row r="2636">
      <c r="A2636" s="75" t="n">
        <v>2026</v>
      </c>
      <c r="B2636" s="75" t="n">
        <v>2</v>
      </c>
      <c r="C2636" s="75" t="inlineStr">
        <is>
          <t>5100000292</t>
        </is>
      </c>
      <c r="D2636" s="78" t="n">
        <v>46066</v>
      </c>
      <c r="E2636" s="75" t="inlineStr">
        <is>
          <t>KR</t>
        </is>
      </c>
      <c r="F2636" s="75" t="n">
        <v>62902000</v>
      </c>
      <c r="G2636" s="75" t="n">
        <v>1201</v>
      </c>
      <c r="H2636" s="76" t="n">
        <v>3583000</v>
      </c>
      <c r="I2636" s="75" t="inlineStr">
        <is>
          <t>2월 업무 위탁 수수료 - X서비스</t>
        </is>
      </c>
      <c r="J2636" s="75" t="inlineStr">
        <is>
          <t>V10016</t>
        </is>
      </c>
      <c r="K2636" s="75" t="inlineStr">
        <is>
          <t>X서비스</t>
        </is>
      </c>
      <c r="M2636" s="9">
        <f>IF($A2636="","",VALUE($A2636&amp;"")*12+VALUE($B2636&amp;""))</f>
        <v/>
      </c>
      <c r="N2636" s="39">
        <f>IF($A2636="","",IFERROR(INDEX(부서매핑!$C$5:$C$504,MATCH($G2636&amp;"",부서매핑!$A$5:$A$504,0)),"미매핑"))</f>
        <v/>
      </c>
      <c r="O2636" s="9">
        <f>IF($A2636="","",N2636&amp;"|"&amp;$F2636)</f>
        <v/>
      </c>
      <c r="P2636" s="77">
        <f>IF($A2636="",0,$H2636*설정!$C$23)</f>
        <v/>
      </c>
      <c r="Q2636" s="39">
        <f>IF($A2636="","",IF(O2636&lt;&gt;원인분석!$C$9,"",IF(AND(M2636&gt;=원인분석!$C$10,M2636&lt;=원인분석!$C$11),"당기",IF(AND(M2636&gt;=원인분석!$C$12,M2636&lt;=원인분석!$C$13),"비교",""))))</f>
        <v/>
      </c>
      <c r="R2636" s="9">
        <f>IF(Q2636="","",$K2636&amp;"")</f>
        <v/>
      </c>
      <c r="S2636" s="9">
        <f>IF(Q2636="","",IF(MATCH(R2636,$R$5:$R$100000,0)=ROW()-4,ROW(),""))</f>
        <v/>
      </c>
      <c r="T2636" s="9">
        <f>IF(Q2636="당기",ABS(P2636)+ROW()/1000000000,"")</f>
        <v/>
      </c>
      <c r="U2636" s="9">
        <f>IF(Q2636="비교",ABS(P2636)+ROW()/1000000000,"")</f>
        <v/>
      </c>
      <c r="V2636" s="39">
        <f>IF($A2636="","",IF(COUNTIF(변동분석!$E$7:$E$506,O2636)&gt;0,"Y","N"))</f>
        <v/>
      </c>
      <c r="W2636" s="39">
        <f>IF($A2636="","",IFERROR(INDEX(계정매핑!$D$5:$D$504,MATCH($F2636&amp;"",계정매핑!$A$5:$A$504,0)),"미매핑"))</f>
        <v/>
      </c>
      <c r="X2636" s="9">
        <f>IF($A2636="","",$F2636&amp;"")</f>
        <v/>
      </c>
    </row>
    <row r="2637">
      <c r="A2637" s="75" t="n">
        <v>2026</v>
      </c>
      <c r="B2637" s="75" t="n">
        <v>2</v>
      </c>
      <c r="C2637" s="75" t="inlineStr">
        <is>
          <t>5100000293</t>
        </is>
      </c>
      <c r="D2637" s="78" t="n">
        <v>46066</v>
      </c>
      <c r="E2637" s="75" t="inlineStr">
        <is>
          <t>KR</t>
        </is>
      </c>
      <c r="F2637" s="75" t="n">
        <v>62902000</v>
      </c>
      <c r="G2637" s="75" t="n">
        <v>1801</v>
      </c>
      <c r="H2637" s="76" t="n">
        <v>1806000</v>
      </c>
      <c r="I2637" s="75" t="inlineStr">
        <is>
          <t>2월 콜 위탁 수수료(건별)</t>
        </is>
      </c>
      <c r="J2637" s="75" t="inlineStr">
        <is>
          <t>V10013</t>
        </is>
      </c>
      <c r="K2637" s="75" t="inlineStr">
        <is>
          <t>J콜센터</t>
        </is>
      </c>
      <c r="M2637" s="9">
        <f>IF($A2637="","",VALUE($A2637&amp;"")*12+VALUE($B2637&amp;""))</f>
        <v/>
      </c>
      <c r="N2637" s="39">
        <f>IF($A2637="","",IFERROR(INDEX(부서매핑!$C$5:$C$504,MATCH($G2637&amp;"",부서매핑!$A$5:$A$504,0)),"미매핑"))</f>
        <v/>
      </c>
      <c r="O2637" s="9">
        <f>IF($A2637="","",N2637&amp;"|"&amp;$F2637)</f>
        <v/>
      </c>
      <c r="P2637" s="77">
        <f>IF($A2637="",0,$H2637*설정!$C$23)</f>
        <v/>
      </c>
      <c r="Q2637" s="39">
        <f>IF($A2637="","",IF(O2637&lt;&gt;원인분석!$C$9,"",IF(AND(M2637&gt;=원인분석!$C$10,M2637&lt;=원인분석!$C$11),"당기",IF(AND(M2637&gt;=원인분석!$C$12,M2637&lt;=원인분석!$C$13),"비교",""))))</f>
        <v/>
      </c>
      <c r="R2637" s="9">
        <f>IF(Q2637="","",$K2637&amp;"")</f>
        <v/>
      </c>
      <c r="S2637" s="9">
        <f>IF(Q2637="","",IF(MATCH(R2637,$R$5:$R$100000,0)=ROW()-4,ROW(),""))</f>
        <v/>
      </c>
      <c r="T2637" s="9">
        <f>IF(Q2637="당기",ABS(P2637)+ROW()/1000000000,"")</f>
        <v/>
      </c>
      <c r="U2637" s="9">
        <f>IF(Q2637="비교",ABS(P2637)+ROW()/1000000000,"")</f>
        <v/>
      </c>
      <c r="V2637" s="39">
        <f>IF($A2637="","",IF(COUNTIF(변동분석!$E$7:$E$506,O2637)&gt;0,"Y","N"))</f>
        <v/>
      </c>
      <c r="W2637" s="39">
        <f>IF($A2637="","",IFERROR(INDEX(계정매핑!$D$5:$D$504,MATCH($F2637&amp;"",계정매핑!$A$5:$A$504,0)),"미매핑"))</f>
        <v/>
      </c>
      <c r="X2637" s="9">
        <f>IF($A2637="","",$F2637&amp;"")</f>
        <v/>
      </c>
    </row>
    <row r="2638">
      <c r="A2638" s="75" t="n">
        <v>2026</v>
      </c>
      <c r="B2638" s="75" t="n">
        <v>2</v>
      </c>
      <c r="C2638" s="75" t="inlineStr">
        <is>
          <t>5100000294</t>
        </is>
      </c>
      <c r="D2638" s="78" t="n">
        <v>46066</v>
      </c>
      <c r="E2638" s="75" t="inlineStr">
        <is>
          <t>KR</t>
        </is>
      </c>
      <c r="F2638" s="75" t="n">
        <v>62902000</v>
      </c>
      <c r="G2638" s="75" t="n">
        <v>1801</v>
      </c>
      <c r="H2638" s="76" t="n">
        <v>1832000</v>
      </c>
      <c r="I2638" s="75" t="inlineStr">
        <is>
          <t>2월 콜 위탁 수수료(건별)</t>
        </is>
      </c>
      <c r="J2638" s="75" t="inlineStr">
        <is>
          <t>V10013</t>
        </is>
      </c>
      <c r="K2638" s="75" t="inlineStr">
        <is>
          <t>J콜센터</t>
        </is>
      </c>
      <c r="M2638" s="9">
        <f>IF($A2638="","",VALUE($A2638&amp;"")*12+VALUE($B2638&amp;""))</f>
        <v/>
      </c>
      <c r="N2638" s="39">
        <f>IF($A2638="","",IFERROR(INDEX(부서매핑!$C$5:$C$504,MATCH($G2638&amp;"",부서매핑!$A$5:$A$504,0)),"미매핑"))</f>
        <v/>
      </c>
      <c r="O2638" s="9">
        <f>IF($A2638="","",N2638&amp;"|"&amp;$F2638)</f>
        <v/>
      </c>
      <c r="P2638" s="77">
        <f>IF($A2638="",0,$H2638*설정!$C$23)</f>
        <v/>
      </c>
      <c r="Q2638" s="39">
        <f>IF($A2638="","",IF(O2638&lt;&gt;원인분석!$C$9,"",IF(AND(M2638&gt;=원인분석!$C$10,M2638&lt;=원인분석!$C$11),"당기",IF(AND(M2638&gt;=원인분석!$C$12,M2638&lt;=원인분석!$C$13),"비교",""))))</f>
        <v/>
      </c>
      <c r="R2638" s="9">
        <f>IF(Q2638="","",$K2638&amp;"")</f>
        <v/>
      </c>
      <c r="S2638" s="9">
        <f>IF(Q2638="","",IF(MATCH(R2638,$R$5:$R$100000,0)=ROW()-4,ROW(),""))</f>
        <v/>
      </c>
      <c r="T2638" s="9">
        <f>IF(Q2638="당기",ABS(P2638)+ROW()/1000000000,"")</f>
        <v/>
      </c>
      <c r="U2638" s="9">
        <f>IF(Q2638="비교",ABS(P2638)+ROW()/1000000000,"")</f>
        <v/>
      </c>
      <c r="V2638" s="39">
        <f>IF($A2638="","",IF(COUNTIF(변동분석!$E$7:$E$506,O2638)&gt;0,"Y","N"))</f>
        <v/>
      </c>
      <c r="W2638" s="39">
        <f>IF($A2638="","",IFERROR(INDEX(계정매핑!$D$5:$D$504,MATCH($F2638&amp;"",계정매핑!$A$5:$A$504,0)),"미매핑"))</f>
        <v/>
      </c>
      <c r="X2638" s="9">
        <f>IF($A2638="","",$F2638&amp;"")</f>
        <v/>
      </c>
    </row>
    <row r="2639">
      <c r="A2639" s="75" t="n">
        <v>2026</v>
      </c>
      <c r="B2639" s="75" t="n">
        <v>2</v>
      </c>
      <c r="C2639" s="75" t="inlineStr">
        <is>
          <t>5100000295</t>
        </is>
      </c>
      <c r="D2639" s="78" t="n">
        <v>46066</v>
      </c>
      <c r="E2639" s="75" t="inlineStr">
        <is>
          <t>KR</t>
        </is>
      </c>
      <c r="F2639" s="75" t="n">
        <v>62902000</v>
      </c>
      <c r="G2639" s="75" t="n">
        <v>1801</v>
      </c>
      <c r="H2639" s="76" t="n">
        <v>1822000</v>
      </c>
      <c r="I2639" s="75" t="inlineStr">
        <is>
          <t>2월 콜 위탁 수수료(건별)</t>
        </is>
      </c>
      <c r="J2639" s="75" t="inlineStr">
        <is>
          <t>V10013</t>
        </is>
      </c>
      <c r="K2639" s="75" t="inlineStr">
        <is>
          <t>J콜센터</t>
        </is>
      </c>
      <c r="M2639" s="9">
        <f>IF($A2639="","",VALUE($A2639&amp;"")*12+VALUE($B2639&amp;""))</f>
        <v/>
      </c>
      <c r="N2639" s="39">
        <f>IF($A2639="","",IFERROR(INDEX(부서매핑!$C$5:$C$504,MATCH($G2639&amp;"",부서매핑!$A$5:$A$504,0)),"미매핑"))</f>
        <v/>
      </c>
      <c r="O2639" s="9">
        <f>IF($A2639="","",N2639&amp;"|"&amp;$F2639)</f>
        <v/>
      </c>
      <c r="P2639" s="77">
        <f>IF($A2639="",0,$H2639*설정!$C$23)</f>
        <v/>
      </c>
      <c r="Q2639" s="39">
        <f>IF($A2639="","",IF(O2639&lt;&gt;원인분석!$C$9,"",IF(AND(M2639&gt;=원인분석!$C$10,M2639&lt;=원인분석!$C$11),"당기",IF(AND(M2639&gt;=원인분석!$C$12,M2639&lt;=원인분석!$C$13),"비교",""))))</f>
        <v/>
      </c>
      <c r="R2639" s="9">
        <f>IF(Q2639="","",$K2639&amp;"")</f>
        <v/>
      </c>
      <c r="S2639" s="9">
        <f>IF(Q2639="","",IF(MATCH(R2639,$R$5:$R$100000,0)=ROW()-4,ROW(),""))</f>
        <v/>
      </c>
      <c r="T2639" s="9">
        <f>IF(Q2639="당기",ABS(P2639)+ROW()/1000000000,"")</f>
        <v/>
      </c>
      <c r="U2639" s="9">
        <f>IF(Q2639="비교",ABS(P2639)+ROW()/1000000000,"")</f>
        <v/>
      </c>
      <c r="V2639" s="39">
        <f>IF($A2639="","",IF(COUNTIF(변동분석!$E$7:$E$506,O2639)&gt;0,"Y","N"))</f>
        <v/>
      </c>
      <c r="W2639" s="39">
        <f>IF($A2639="","",IFERROR(INDEX(계정매핑!$D$5:$D$504,MATCH($F2639&amp;"",계정매핑!$A$5:$A$504,0)),"미매핑"))</f>
        <v/>
      </c>
      <c r="X2639" s="9">
        <f>IF($A2639="","",$F2639&amp;"")</f>
        <v/>
      </c>
    </row>
    <row r="2640">
      <c r="A2640" s="75" t="n">
        <v>2026</v>
      </c>
      <c r="B2640" s="75" t="n">
        <v>2</v>
      </c>
      <c r="C2640" s="75" t="inlineStr">
        <is>
          <t>5100000296</t>
        </is>
      </c>
      <c r="D2640" s="78" t="n">
        <v>46067</v>
      </c>
      <c r="E2640" s="75" t="inlineStr">
        <is>
          <t>KR</t>
        </is>
      </c>
      <c r="F2640" s="75" t="n">
        <v>62101000</v>
      </c>
      <c r="G2640" s="75" t="n">
        <v>1701</v>
      </c>
      <c r="H2640" s="76" t="n">
        <v>212000</v>
      </c>
      <c r="I2640" s="75" t="inlineStr">
        <is>
          <t>2월 국내출장 - M항공</t>
        </is>
      </c>
      <c r="J2640" s="75" t="inlineStr">
        <is>
          <t>V10001</t>
        </is>
      </c>
      <c r="K2640" s="75" t="inlineStr">
        <is>
          <t>M항공</t>
        </is>
      </c>
      <c r="M2640" s="9">
        <f>IF($A2640="","",VALUE($A2640&amp;"")*12+VALUE($B2640&amp;""))</f>
        <v/>
      </c>
      <c r="N2640" s="39">
        <f>IF($A2640="","",IFERROR(INDEX(부서매핑!$C$5:$C$504,MATCH($G2640&amp;"",부서매핑!$A$5:$A$504,0)),"미매핑"))</f>
        <v/>
      </c>
      <c r="O2640" s="9">
        <f>IF($A2640="","",N2640&amp;"|"&amp;$F2640)</f>
        <v/>
      </c>
      <c r="P2640" s="77">
        <f>IF($A2640="",0,$H2640*설정!$C$23)</f>
        <v/>
      </c>
      <c r="Q2640" s="39">
        <f>IF($A2640="","",IF(O2640&lt;&gt;원인분석!$C$9,"",IF(AND(M2640&gt;=원인분석!$C$10,M2640&lt;=원인분석!$C$11),"당기",IF(AND(M2640&gt;=원인분석!$C$12,M2640&lt;=원인분석!$C$13),"비교",""))))</f>
        <v/>
      </c>
      <c r="R2640" s="9">
        <f>IF(Q2640="","",$K2640&amp;"")</f>
        <v/>
      </c>
      <c r="S2640" s="9">
        <f>IF(Q2640="","",IF(MATCH(R2640,$R$5:$R$100000,0)=ROW()-4,ROW(),""))</f>
        <v/>
      </c>
      <c r="T2640" s="9">
        <f>IF(Q2640="당기",ABS(P2640)+ROW()/1000000000,"")</f>
        <v/>
      </c>
      <c r="U2640" s="9">
        <f>IF(Q2640="비교",ABS(P2640)+ROW()/1000000000,"")</f>
        <v/>
      </c>
      <c r="V2640" s="39">
        <f>IF($A2640="","",IF(COUNTIF(변동분석!$E$7:$E$506,O2640)&gt;0,"Y","N"))</f>
        <v/>
      </c>
      <c r="W2640" s="39">
        <f>IF($A2640="","",IFERROR(INDEX(계정매핑!$D$5:$D$504,MATCH($F2640&amp;"",계정매핑!$A$5:$A$504,0)),"미매핑"))</f>
        <v/>
      </c>
      <c r="X2640" s="9">
        <f>IF($A2640="","",$F2640&amp;"")</f>
        <v/>
      </c>
    </row>
    <row r="2641">
      <c r="A2641" s="75" t="n">
        <v>2026</v>
      </c>
      <c r="B2641" s="75" t="n">
        <v>2</v>
      </c>
      <c r="C2641" s="75" t="inlineStr">
        <is>
          <t>5100000297</t>
        </is>
      </c>
      <c r="D2641" s="78" t="n">
        <v>46067</v>
      </c>
      <c r="E2641" s="75" t="inlineStr">
        <is>
          <t>KR</t>
        </is>
      </c>
      <c r="F2641" s="75" t="n">
        <v>62102000</v>
      </c>
      <c r="G2641" s="75" t="n">
        <v>1401</v>
      </c>
      <c r="H2641" s="76" t="n">
        <v>130000</v>
      </c>
      <c r="I2641" s="75" t="inlineStr">
        <is>
          <t>2월 해외출장 - N호텔</t>
        </is>
      </c>
      <c r="J2641" s="75" t="inlineStr">
        <is>
          <t>V10007</t>
        </is>
      </c>
      <c r="K2641" s="75" t="inlineStr">
        <is>
          <t>N호텔</t>
        </is>
      </c>
      <c r="M2641" s="9">
        <f>IF($A2641="","",VALUE($A2641&amp;"")*12+VALUE($B2641&amp;""))</f>
        <v/>
      </c>
      <c r="N2641" s="39">
        <f>IF($A2641="","",IFERROR(INDEX(부서매핑!$C$5:$C$504,MATCH($G2641&amp;"",부서매핑!$A$5:$A$504,0)),"미매핑"))</f>
        <v/>
      </c>
      <c r="O2641" s="9">
        <f>IF($A2641="","",N2641&amp;"|"&amp;$F2641)</f>
        <v/>
      </c>
      <c r="P2641" s="77">
        <f>IF($A2641="",0,$H2641*설정!$C$23)</f>
        <v/>
      </c>
      <c r="Q2641" s="39">
        <f>IF($A2641="","",IF(O2641&lt;&gt;원인분석!$C$9,"",IF(AND(M2641&gt;=원인분석!$C$10,M2641&lt;=원인분석!$C$11),"당기",IF(AND(M2641&gt;=원인분석!$C$12,M2641&lt;=원인분석!$C$13),"비교",""))))</f>
        <v/>
      </c>
      <c r="R2641" s="9">
        <f>IF(Q2641="","",$K2641&amp;"")</f>
        <v/>
      </c>
      <c r="S2641" s="9">
        <f>IF(Q2641="","",IF(MATCH(R2641,$R$5:$R$100000,0)=ROW()-4,ROW(),""))</f>
        <v/>
      </c>
      <c r="T2641" s="9">
        <f>IF(Q2641="당기",ABS(P2641)+ROW()/1000000000,"")</f>
        <v/>
      </c>
      <c r="U2641" s="9">
        <f>IF(Q2641="비교",ABS(P2641)+ROW()/1000000000,"")</f>
        <v/>
      </c>
      <c r="V2641" s="39">
        <f>IF($A2641="","",IF(COUNTIF(변동분석!$E$7:$E$506,O2641)&gt;0,"Y","N"))</f>
        <v/>
      </c>
      <c r="W2641" s="39">
        <f>IF($A2641="","",IFERROR(INDEX(계정매핑!$D$5:$D$504,MATCH($F2641&amp;"",계정매핑!$A$5:$A$504,0)),"미매핑"))</f>
        <v/>
      </c>
      <c r="X2641" s="9">
        <f>IF($A2641="","",$F2641&amp;"")</f>
        <v/>
      </c>
    </row>
    <row r="2642">
      <c r="A2642" s="75" t="n">
        <v>2026</v>
      </c>
      <c r="B2642" s="75" t="n">
        <v>2</v>
      </c>
      <c r="C2642" s="75" t="inlineStr">
        <is>
          <t>5100000298</t>
        </is>
      </c>
      <c r="D2642" s="78" t="n">
        <v>46067</v>
      </c>
      <c r="E2642" s="75" t="inlineStr">
        <is>
          <t>KR</t>
        </is>
      </c>
      <c r="F2642" s="75" t="n">
        <v>62201000</v>
      </c>
      <c r="G2642" s="75" t="n">
        <v>1101</v>
      </c>
      <c r="H2642" s="76" t="n">
        <v>172000</v>
      </c>
      <c r="I2642" s="75" t="inlineStr">
        <is>
          <t>2월 통신요금 - O텔레콤</t>
        </is>
      </c>
      <c r="J2642" s="75" t="inlineStr">
        <is>
          <t>V10002</t>
        </is>
      </c>
      <c r="K2642" s="75" t="inlineStr">
        <is>
          <t>O텔레콤</t>
        </is>
      </c>
      <c r="M2642" s="9">
        <f>IF($A2642="","",VALUE($A2642&amp;"")*12+VALUE($B2642&amp;""))</f>
        <v/>
      </c>
      <c r="N2642" s="39">
        <f>IF($A2642="","",IFERROR(INDEX(부서매핑!$C$5:$C$504,MATCH($G2642&amp;"",부서매핑!$A$5:$A$504,0)),"미매핑"))</f>
        <v/>
      </c>
      <c r="O2642" s="9">
        <f>IF($A2642="","",N2642&amp;"|"&amp;$F2642)</f>
        <v/>
      </c>
      <c r="P2642" s="77">
        <f>IF($A2642="",0,$H2642*설정!$C$23)</f>
        <v/>
      </c>
      <c r="Q2642" s="39">
        <f>IF($A2642="","",IF(O2642&lt;&gt;원인분석!$C$9,"",IF(AND(M2642&gt;=원인분석!$C$10,M2642&lt;=원인분석!$C$11),"당기",IF(AND(M2642&gt;=원인분석!$C$12,M2642&lt;=원인분석!$C$13),"비교",""))))</f>
        <v/>
      </c>
      <c r="R2642" s="9">
        <f>IF(Q2642="","",$K2642&amp;"")</f>
        <v/>
      </c>
      <c r="S2642" s="9">
        <f>IF(Q2642="","",IF(MATCH(R2642,$R$5:$R$100000,0)=ROW()-4,ROW(),""))</f>
        <v/>
      </c>
      <c r="T2642" s="9">
        <f>IF(Q2642="당기",ABS(P2642)+ROW()/1000000000,"")</f>
        <v/>
      </c>
      <c r="U2642" s="9">
        <f>IF(Q2642="비교",ABS(P2642)+ROW()/1000000000,"")</f>
        <v/>
      </c>
      <c r="V2642" s="39">
        <f>IF($A2642="","",IF(COUNTIF(변동분석!$E$7:$E$506,O2642)&gt;0,"Y","N"))</f>
        <v/>
      </c>
      <c r="W2642" s="39">
        <f>IF($A2642="","",IFERROR(INDEX(계정매핑!$D$5:$D$504,MATCH($F2642&amp;"",계정매핑!$A$5:$A$504,0)),"미매핑"))</f>
        <v/>
      </c>
      <c r="X2642" s="9">
        <f>IF($A2642="","",$F2642&amp;"")</f>
        <v/>
      </c>
    </row>
    <row r="2643">
      <c r="A2643" s="75" t="n">
        <v>2026</v>
      </c>
      <c r="B2643" s="75" t="n">
        <v>2</v>
      </c>
      <c r="C2643" s="75" t="inlineStr">
        <is>
          <t>5100000299</t>
        </is>
      </c>
      <c r="D2643" s="78" t="n">
        <v>46067</v>
      </c>
      <c r="E2643" s="75" t="inlineStr">
        <is>
          <t>KR</t>
        </is>
      </c>
      <c r="F2643" s="75" t="n">
        <v>62201000</v>
      </c>
      <c r="G2643" s="75" t="n">
        <v>1401</v>
      </c>
      <c r="H2643" s="76" t="n">
        <v>289000</v>
      </c>
      <c r="I2643" s="75" t="inlineStr">
        <is>
          <t>2월 통신요금 - O텔레콤</t>
        </is>
      </c>
      <c r="J2643" s="75" t="inlineStr">
        <is>
          <t>V10002</t>
        </is>
      </c>
      <c r="K2643" s="75" t="inlineStr">
        <is>
          <t>O텔레콤</t>
        </is>
      </c>
      <c r="M2643" s="9">
        <f>IF($A2643="","",VALUE($A2643&amp;"")*12+VALUE($B2643&amp;""))</f>
        <v/>
      </c>
      <c r="N2643" s="39">
        <f>IF($A2643="","",IFERROR(INDEX(부서매핑!$C$5:$C$504,MATCH($G2643&amp;"",부서매핑!$A$5:$A$504,0)),"미매핑"))</f>
        <v/>
      </c>
      <c r="O2643" s="9">
        <f>IF($A2643="","",N2643&amp;"|"&amp;$F2643)</f>
        <v/>
      </c>
      <c r="P2643" s="77">
        <f>IF($A2643="",0,$H2643*설정!$C$23)</f>
        <v/>
      </c>
      <c r="Q2643" s="39">
        <f>IF($A2643="","",IF(O2643&lt;&gt;원인분석!$C$9,"",IF(AND(M2643&gt;=원인분석!$C$10,M2643&lt;=원인분석!$C$11),"당기",IF(AND(M2643&gt;=원인분석!$C$12,M2643&lt;=원인분석!$C$13),"비교",""))))</f>
        <v/>
      </c>
      <c r="R2643" s="9">
        <f>IF(Q2643="","",$K2643&amp;"")</f>
        <v/>
      </c>
      <c r="S2643" s="9">
        <f>IF(Q2643="","",IF(MATCH(R2643,$R$5:$R$100000,0)=ROW()-4,ROW(),""))</f>
        <v/>
      </c>
      <c r="T2643" s="9">
        <f>IF(Q2643="당기",ABS(P2643)+ROW()/1000000000,"")</f>
        <v/>
      </c>
      <c r="U2643" s="9">
        <f>IF(Q2643="비교",ABS(P2643)+ROW()/1000000000,"")</f>
        <v/>
      </c>
      <c r="V2643" s="39">
        <f>IF($A2643="","",IF(COUNTIF(변동분석!$E$7:$E$506,O2643)&gt;0,"Y","N"))</f>
        <v/>
      </c>
      <c r="W2643" s="39">
        <f>IF($A2643="","",IFERROR(INDEX(계정매핑!$D$5:$D$504,MATCH($F2643&amp;"",계정매핑!$A$5:$A$504,0)),"미매핑"))</f>
        <v/>
      </c>
      <c r="X2643" s="9">
        <f>IF($A2643="","",$F2643&amp;"")</f>
        <v/>
      </c>
    </row>
    <row r="2644">
      <c r="A2644" s="75" t="n">
        <v>2026</v>
      </c>
      <c r="B2644" s="75" t="n">
        <v>2</v>
      </c>
      <c r="C2644" s="75" t="inlineStr">
        <is>
          <t>5100000300</t>
        </is>
      </c>
      <c r="D2644" s="78" t="n">
        <v>46067</v>
      </c>
      <c r="E2644" s="75" t="inlineStr">
        <is>
          <t>KR</t>
        </is>
      </c>
      <c r="F2644" s="75" t="n">
        <v>62201000</v>
      </c>
      <c r="G2644" s="75" t="n">
        <v>1401</v>
      </c>
      <c r="H2644" s="76" t="n">
        <v>279000</v>
      </c>
      <c r="I2644" s="75" t="inlineStr">
        <is>
          <t>2월 통신요금 - P통신</t>
        </is>
      </c>
      <c r="J2644" s="75" t="inlineStr">
        <is>
          <t>V10011</t>
        </is>
      </c>
      <c r="K2644" s="75" t="inlineStr">
        <is>
          <t>P통신</t>
        </is>
      </c>
      <c r="M2644" s="9">
        <f>IF($A2644="","",VALUE($A2644&amp;"")*12+VALUE($B2644&amp;""))</f>
        <v/>
      </c>
      <c r="N2644" s="39">
        <f>IF($A2644="","",IFERROR(INDEX(부서매핑!$C$5:$C$504,MATCH($G2644&amp;"",부서매핑!$A$5:$A$504,0)),"미매핑"))</f>
        <v/>
      </c>
      <c r="O2644" s="9">
        <f>IF($A2644="","",N2644&amp;"|"&amp;$F2644)</f>
        <v/>
      </c>
      <c r="P2644" s="77">
        <f>IF($A2644="",0,$H2644*설정!$C$23)</f>
        <v/>
      </c>
      <c r="Q2644" s="39">
        <f>IF($A2644="","",IF(O2644&lt;&gt;원인분석!$C$9,"",IF(AND(M2644&gt;=원인분석!$C$10,M2644&lt;=원인분석!$C$11),"당기",IF(AND(M2644&gt;=원인분석!$C$12,M2644&lt;=원인분석!$C$13),"비교",""))))</f>
        <v/>
      </c>
      <c r="R2644" s="9">
        <f>IF(Q2644="","",$K2644&amp;"")</f>
        <v/>
      </c>
      <c r="S2644" s="9">
        <f>IF(Q2644="","",IF(MATCH(R2644,$R$5:$R$100000,0)=ROW()-4,ROW(),""))</f>
        <v/>
      </c>
      <c r="T2644" s="9">
        <f>IF(Q2644="당기",ABS(P2644)+ROW()/1000000000,"")</f>
        <v/>
      </c>
      <c r="U2644" s="9">
        <f>IF(Q2644="비교",ABS(P2644)+ROW()/1000000000,"")</f>
        <v/>
      </c>
      <c r="V2644" s="39">
        <f>IF($A2644="","",IF(COUNTIF(변동분석!$E$7:$E$506,O2644)&gt;0,"Y","N"))</f>
        <v/>
      </c>
      <c r="W2644" s="39">
        <f>IF($A2644="","",IFERROR(INDEX(계정매핑!$D$5:$D$504,MATCH($F2644&amp;"",계정매핑!$A$5:$A$504,0)),"미매핑"))</f>
        <v/>
      </c>
      <c r="X2644" s="9">
        <f>IF($A2644="","",$F2644&amp;"")</f>
        <v/>
      </c>
    </row>
    <row r="2645">
      <c r="A2645" s="75" t="n">
        <v>2026</v>
      </c>
      <c r="B2645" s="75" t="n">
        <v>2</v>
      </c>
      <c r="C2645" s="75" t="inlineStr">
        <is>
          <t>5100000301</t>
        </is>
      </c>
      <c r="D2645" s="78" t="n">
        <v>46067</v>
      </c>
      <c r="E2645" s="75" t="inlineStr">
        <is>
          <t>KR</t>
        </is>
      </c>
      <c r="F2645" s="75" t="n">
        <v>62301000</v>
      </c>
      <c r="G2645" s="75" t="n">
        <v>1101</v>
      </c>
      <c r="H2645" s="76" t="n">
        <v>156000</v>
      </c>
      <c r="I2645" s="75" t="inlineStr">
        <is>
          <t>2월 소모품 구입 - Q오피스</t>
        </is>
      </c>
      <c r="J2645" s="75" t="inlineStr">
        <is>
          <t>V10003</t>
        </is>
      </c>
      <c r="K2645" s="75" t="inlineStr">
        <is>
          <t>Q오피스</t>
        </is>
      </c>
      <c r="M2645" s="9">
        <f>IF($A2645="","",VALUE($A2645&amp;"")*12+VALUE($B2645&amp;""))</f>
        <v/>
      </c>
      <c r="N2645" s="39">
        <f>IF($A2645="","",IFERROR(INDEX(부서매핑!$C$5:$C$504,MATCH($G2645&amp;"",부서매핑!$A$5:$A$504,0)),"미매핑"))</f>
        <v/>
      </c>
      <c r="O2645" s="9">
        <f>IF($A2645="","",N2645&amp;"|"&amp;$F2645)</f>
        <v/>
      </c>
      <c r="P2645" s="77">
        <f>IF($A2645="",0,$H2645*설정!$C$23)</f>
        <v/>
      </c>
      <c r="Q2645" s="39">
        <f>IF($A2645="","",IF(O2645&lt;&gt;원인분석!$C$9,"",IF(AND(M2645&gt;=원인분석!$C$10,M2645&lt;=원인분석!$C$11),"당기",IF(AND(M2645&gt;=원인분석!$C$12,M2645&lt;=원인분석!$C$13),"비교",""))))</f>
        <v/>
      </c>
      <c r="R2645" s="9">
        <f>IF(Q2645="","",$K2645&amp;"")</f>
        <v/>
      </c>
      <c r="S2645" s="9">
        <f>IF(Q2645="","",IF(MATCH(R2645,$R$5:$R$100000,0)=ROW()-4,ROW(),""))</f>
        <v/>
      </c>
      <c r="T2645" s="9">
        <f>IF(Q2645="당기",ABS(P2645)+ROW()/1000000000,"")</f>
        <v/>
      </c>
      <c r="U2645" s="9">
        <f>IF(Q2645="비교",ABS(P2645)+ROW()/1000000000,"")</f>
        <v/>
      </c>
      <c r="V2645" s="39">
        <f>IF($A2645="","",IF(COUNTIF(변동분석!$E$7:$E$506,O2645)&gt;0,"Y","N"))</f>
        <v/>
      </c>
      <c r="W2645" s="39">
        <f>IF($A2645="","",IFERROR(INDEX(계정매핑!$D$5:$D$504,MATCH($F2645&amp;"",계정매핑!$A$5:$A$504,0)),"미매핑"))</f>
        <v/>
      </c>
      <c r="X2645" s="9">
        <f>IF($A2645="","",$F2645&amp;"")</f>
        <v/>
      </c>
    </row>
    <row r="2646">
      <c r="A2646" s="75" t="n">
        <v>2026</v>
      </c>
      <c r="B2646" s="75" t="n">
        <v>2</v>
      </c>
      <c r="C2646" s="75" t="inlineStr">
        <is>
          <t>5100000302</t>
        </is>
      </c>
      <c r="D2646" s="78" t="n">
        <v>46067</v>
      </c>
      <c r="E2646" s="75" t="inlineStr">
        <is>
          <t>KR</t>
        </is>
      </c>
      <c r="F2646" s="75" t="n">
        <v>62301000</v>
      </c>
      <c r="G2646" s="75" t="n">
        <v>1301</v>
      </c>
      <c r="H2646" s="76" t="n">
        <v>228000</v>
      </c>
      <c r="I2646" s="75" t="inlineStr">
        <is>
          <t>2월 소모품 구입 - R문구</t>
        </is>
      </c>
      <c r="J2646" s="75" t="inlineStr">
        <is>
          <t>V10018</t>
        </is>
      </c>
      <c r="K2646" s="75" t="inlineStr">
        <is>
          <t>R문구</t>
        </is>
      </c>
      <c r="M2646" s="9">
        <f>IF($A2646="","",VALUE($A2646&amp;"")*12+VALUE($B2646&amp;""))</f>
        <v/>
      </c>
      <c r="N2646" s="39">
        <f>IF($A2646="","",IFERROR(INDEX(부서매핑!$C$5:$C$504,MATCH($G2646&amp;"",부서매핑!$A$5:$A$504,0)),"미매핑"))</f>
        <v/>
      </c>
      <c r="O2646" s="9">
        <f>IF($A2646="","",N2646&amp;"|"&amp;$F2646)</f>
        <v/>
      </c>
      <c r="P2646" s="77">
        <f>IF($A2646="",0,$H2646*설정!$C$23)</f>
        <v/>
      </c>
      <c r="Q2646" s="39">
        <f>IF($A2646="","",IF(O2646&lt;&gt;원인분석!$C$9,"",IF(AND(M2646&gt;=원인분석!$C$10,M2646&lt;=원인분석!$C$11),"당기",IF(AND(M2646&gt;=원인분석!$C$12,M2646&lt;=원인분석!$C$13),"비교",""))))</f>
        <v/>
      </c>
      <c r="R2646" s="9">
        <f>IF(Q2646="","",$K2646&amp;"")</f>
        <v/>
      </c>
      <c r="S2646" s="9">
        <f>IF(Q2646="","",IF(MATCH(R2646,$R$5:$R$100000,0)=ROW()-4,ROW(),""))</f>
        <v/>
      </c>
      <c r="T2646" s="9">
        <f>IF(Q2646="당기",ABS(P2646)+ROW()/1000000000,"")</f>
        <v/>
      </c>
      <c r="U2646" s="9">
        <f>IF(Q2646="비교",ABS(P2646)+ROW()/1000000000,"")</f>
        <v/>
      </c>
      <c r="V2646" s="39">
        <f>IF($A2646="","",IF(COUNTIF(변동분석!$E$7:$E$506,O2646)&gt;0,"Y","N"))</f>
        <v/>
      </c>
      <c r="W2646" s="39">
        <f>IF($A2646="","",IFERROR(INDEX(계정매핑!$D$5:$D$504,MATCH($F2646&amp;"",계정매핑!$A$5:$A$504,0)),"미매핑"))</f>
        <v/>
      </c>
      <c r="X2646" s="9">
        <f>IF($A2646="","",$F2646&amp;"")</f>
        <v/>
      </c>
    </row>
    <row r="2647">
      <c r="A2647" s="75" t="n">
        <v>2026</v>
      </c>
      <c r="B2647" s="75" t="n">
        <v>2</v>
      </c>
      <c r="C2647" s="75" t="inlineStr">
        <is>
          <t>5100000303</t>
        </is>
      </c>
      <c r="D2647" s="78" t="n">
        <v>46067</v>
      </c>
      <c r="E2647" s="75" t="inlineStr">
        <is>
          <t>KR</t>
        </is>
      </c>
      <c r="F2647" s="75" t="n">
        <v>62802000</v>
      </c>
      <c r="G2647" s="75" t="n">
        <v>1301</v>
      </c>
      <c r="H2647" s="76" t="n">
        <v>3995000</v>
      </c>
      <c r="I2647" s="75" t="inlineStr">
        <is>
          <t>2월 위탁교육 - V아카데미</t>
        </is>
      </c>
      <c r="J2647" s="75" t="inlineStr">
        <is>
          <t>V10023</t>
        </is>
      </c>
      <c r="K2647" s="75" t="inlineStr">
        <is>
          <t>V아카데미</t>
        </is>
      </c>
      <c r="M2647" s="9">
        <f>IF($A2647="","",VALUE($A2647&amp;"")*12+VALUE($B2647&amp;""))</f>
        <v/>
      </c>
      <c r="N2647" s="39">
        <f>IF($A2647="","",IFERROR(INDEX(부서매핑!$C$5:$C$504,MATCH($G2647&amp;"",부서매핑!$A$5:$A$504,0)),"미매핑"))</f>
        <v/>
      </c>
      <c r="O2647" s="9">
        <f>IF($A2647="","",N2647&amp;"|"&amp;$F2647)</f>
        <v/>
      </c>
      <c r="P2647" s="77">
        <f>IF($A2647="",0,$H2647*설정!$C$23)</f>
        <v/>
      </c>
      <c r="Q2647" s="39">
        <f>IF($A2647="","",IF(O2647&lt;&gt;원인분석!$C$9,"",IF(AND(M2647&gt;=원인분석!$C$10,M2647&lt;=원인분석!$C$11),"당기",IF(AND(M2647&gt;=원인분석!$C$12,M2647&lt;=원인분석!$C$13),"비교",""))))</f>
        <v/>
      </c>
      <c r="R2647" s="9">
        <f>IF(Q2647="","",$K2647&amp;"")</f>
        <v/>
      </c>
      <c r="S2647" s="9">
        <f>IF(Q2647="","",IF(MATCH(R2647,$R$5:$R$100000,0)=ROW()-4,ROW(),""))</f>
        <v/>
      </c>
      <c r="T2647" s="9">
        <f>IF(Q2647="당기",ABS(P2647)+ROW()/1000000000,"")</f>
        <v/>
      </c>
      <c r="U2647" s="9">
        <f>IF(Q2647="비교",ABS(P2647)+ROW()/1000000000,"")</f>
        <v/>
      </c>
      <c r="V2647" s="39">
        <f>IF($A2647="","",IF(COUNTIF(변동분석!$E$7:$E$506,O2647)&gt;0,"Y","N"))</f>
        <v/>
      </c>
      <c r="W2647" s="39">
        <f>IF($A2647="","",IFERROR(INDEX(계정매핑!$D$5:$D$504,MATCH($F2647&amp;"",계정매핑!$A$5:$A$504,0)),"미매핑"))</f>
        <v/>
      </c>
      <c r="X2647" s="9">
        <f>IF($A2647="","",$F2647&amp;"")</f>
        <v/>
      </c>
    </row>
    <row r="2648">
      <c r="A2648" s="75" t="n">
        <v>2026</v>
      </c>
      <c r="B2648" s="75" t="n">
        <v>2</v>
      </c>
      <c r="C2648" s="75" t="inlineStr">
        <is>
          <t>5100000304</t>
        </is>
      </c>
      <c r="D2648" s="78" t="n">
        <v>46067</v>
      </c>
      <c r="E2648" s="75" t="inlineStr">
        <is>
          <t>KR</t>
        </is>
      </c>
      <c r="F2648" s="75" t="n">
        <v>62901000</v>
      </c>
      <c r="G2648" s="75" t="n">
        <v>1101</v>
      </c>
      <c r="H2648" s="76" t="n">
        <v>3027000</v>
      </c>
      <c r="I2648" s="75" t="inlineStr">
        <is>
          <t>2월 자문 수수료 - W컨설팅</t>
        </is>
      </c>
      <c r="J2648" s="75" t="inlineStr">
        <is>
          <t>V10009</t>
        </is>
      </c>
      <c r="K2648" s="75" t="inlineStr">
        <is>
          <t>W컨설팅</t>
        </is>
      </c>
      <c r="M2648" s="9">
        <f>IF($A2648="","",VALUE($A2648&amp;"")*12+VALUE($B2648&amp;""))</f>
        <v/>
      </c>
      <c r="N2648" s="39">
        <f>IF($A2648="","",IFERROR(INDEX(부서매핑!$C$5:$C$504,MATCH($G2648&amp;"",부서매핑!$A$5:$A$504,0)),"미매핑"))</f>
        <v/>
      </c>
      <c r="O2648" s="9">
        <f>IF($A2648="","",N2648&amp;"|"&amp;$F2648)</f>
        <v/>
      </c>
      <c r="P2648" s="77">
        <f>IF($A2648="",0,$H2648*설정!$C$23)</f>
        <v/>
      </c>
      <c r="Q2648" s="39">
        <f>IF($A2648="","",IF(O2648&lt;&gt;원인분석!$C$9,"",IF(AND(M2648&gt;=원인분석!$C$10,M2648&lt;=원인분석!$C$11),"당기",IF(AND(M2648&gt;=원인분석!$C$12,M2648&lt;=원인분석!$C$13),"비교",""))))</f>
        <v/>
      </c>
      <c r="R2648" s="9">
        <f>IF(Q2648="","",$K2648&amp;"")</f>
        <v/>
      </c>
      <c r="S2648" s="9">
        <f>IF(Q2648="","",IF(MATCH(R2648,$R$5:$R$100000,0)=ROW()-4,ROW(),""))</f>
        <v/>
      </c>
      <c r="T2648" s="9">
        <f>IF(Q2648="당기",ABS(P2648)+ROW()/1000000000,"")</f>
        <v/>
      </c>
      <c r="U2648" s="9">
        <f>IF(Q2648="비교",ABS(P2648)+ROW()/1000000000,"")</f>
        <v/>
      </c>
      <c r="V2648" s="39">
        <f>IF($A2648="","",IF(COUNTIF(변동분석!$E$7:$E$506,O2648)&gt;0,"Y","N"))</f>
        <v/>
      </c>
      <c r="W2648" s="39">
        <f>IF($A2648="","",IFERROR(INDEX(계정매핑!$D$5:$D$504,MATCH($F2648&amp;"",계정매핑!$A$5:$A$504,0)),"미매핑"))</f>
        <v/>
      </c>
      <c r="X2648" s="9">
        <f>IF($A2648="","",$F2648&amp;"")</f>
        <v/>
      </c>
    </row>
    <row r="2649">
      <c r="A2649" s="75" t="n">
        <v>2026</v>
      </c>
      <c r="B2649" s="75" t="n">
        <v>2</v>
      </c>
      <c r="C2649" s="75" t="inlineStr">
        <is>
          <t>5100000305</t>
        </is>
      </c>
      <c r="D2649" s="78" t="n">
        <v>46067</v>
      </c>
      <c r="E2649" s="75" t="inlineStr">
        <is>
          <t>KR</t>
        </is>
      </c>
      <c r="F2649" s="75" t="n">
        <v>63201000</v>
      </c>
      <c r="G2649" s="75" t="n">
        <v>1602</v>
      </c>
      <c r="H2649" s="76" t="n">
        <v>1967000</v>
      </c>
      <c r="I2649" s="75" t="inlineStr">
        <is>
          <t>2월 차량 유지 - H에너지</t>
        </is>
      </c>
      <c r="J2649" s="75" t="inlineStr">
        <is>
          <t>V10025</t>
        </is>
      </c>
      <c r="K2649" s="75" t="inlineStr">
        <is>
          <t>H에너지</t>
        </is>
      </c>
      <c r="M2649" s="9">
        <f>IF($A2649="","",VALUE($A2649&amp;"")*12+VALUE($B2649&amp;""))</f>
        <v/>
      </c>
      <c r="N2649" s="39">
        <f>IF($A2649="","",IFERROR(INDEX(부서매핑!$C$5:$C$504,MATCH($G2649&amp;"",부서매핑!$A$5:$A$504,0)),"미매핑"))</f>
        <v/>
      </c>
      <c r="O2649" s="9">
        <f>IF($A2649="","",N2649&amp;"|"&amp;$F2649)</f>
        <v/>
      </c>
      <c r="P2649" s="77">
        <f>IF($A2649="",0,$H2649*설정!$C$23)</f>
        <v/>
      </c>
      <c r="Q2649" s="39">
        <f>IF($A2649="","",IF(O2649&lt;&gt;원인분석!$C$9,"",IF(AND(M2649&gt;=원인분석!$C$10,M2649&lt;=원인분석!$C$11),"당기",IF(AND(M2649&gt;=원인분석!$C$12,M2649&lt;=원인분석!$C$13),"비교",""))))</f>
        <v/>
      </c>
      <c r="R2649" s="9">
        <f>IF(Q2649="","",$K2649&amp;"")</f>
        <v/>
      </c>
      <c r="S2649" s="9">
        <f>IF(Q2649="","",IF(MATCH(R2649,$R$5:$R$100000,0)=ROW()-4,ROW(),""))</f>
        <v/>
      </c>
      <c r="T2649" s="9">
        <f>IF(Q2649="당기",ABS(P2649)+ROW()/1000000000,"")</f>
        <v/>
      </c>
      <c r="U2649" s="9">
        <f>IF(Q2649="비교",ABS(P2649)+ROW()/1000000000,"")</f>
        <v/>
      </c>
      <c r="V2649" s="39">
        <f>IF($A2649="","",IF(COUNTIF(변동분석!$E$7:$E$506,O2649)&gt;0,"Y","N"))</f>
        <v/>
      </c>
      <c r="W2649" s="39">
        <f>IF($A2649="","",IFERROR(INDEX(계정매핑!$D$5:$D$504,MATCH($F2649&amp;"",계정매핑!$A$5:$A$504,0)),"미매핑"))</f>
        <v/>
      </c>
      <c r="X2649" s="9">
        <f>IF($A2649="","",$F2649&amp;"")</f>
        <v/>
      </c>
    </row>
    <row r="2650">
      <c r="A2650" s="75" t="n">
        <v>2026</v>
      </c>
      <c r="B2650" s="75" t="n">
        <v>2</v>
      </c>
      <c r="C2650" s="75" t="inlineStr">
        <is>
          <t>5100000306</t>
        </is>
      </c>
      <c r="D2650" s="78" t="n">
        <v>46068</v>
      </c>
      <c r="E2650" s="75" t="inlineStr">
        <is>
          <t>KR</t>
        </is>
      </c>
      <c r="F2650" s="75" t="n">
        <v>62201000</v>
      </c>
      <c r="G2650" s="75" t="n">
        <v>1201</v>
      </c>
      <c r="H2650" s="76" t="n">
        <v>167000</v>
      </c>
      <c r="I2650" s="75" t="inlineStr">
        <is>
          <t>2월 통신요금 - O텔레콤</t>
        </is>
      </c>
      <c r="J2650" s="75" t="inlineStr">
        <is>
          <t>V10002</t>
        </is>
      </c>
      <c r="K2650" s="75" t="inlineStr">
        <is>
          <t>O텔레콤</t>
        </is>
      </c>
      <c r="M2650" s="9">
        <f>IF($A2650="","",VALUE($A2650&amp;"")*12+VALUE($B2650&amp;""))</f>
        <v/>
      </c>
      <c r="N2650" s="39">
        <f>IF($A2650="","",IFERROR(INDEX(부서매핑!$C$5:$C$504,MATCH($G2650&amp;"",부서매핑!$A$5:$A$504,0)),"미매핑"))</f>
        <v/>
      </c>
      <c r="O2650" s="9">
        <f>IF($A2650="","",N2650&amp;"|"&amp;$F2650)</f>
        <v/>
      </c>
      <c r="P2650" s="77">
        <f>IF($A2650="",0,$H2650*설정!$C$23)</f>
        <v/>
      </c>
      <c r="Q2650" s="39">
        <f>IF($A2650="","",IF(O2650&lt;&gt;원인분석!$C$9,"",IF(AND(M2650&gt;=원인분석!$C$10,M2650&lt;=원인분석!$C$11),"당기",IF(AND(M2650&gt;=원인분석!$C$12,M2650&lt;=원인분석!$C$13),"비교",""))))</f>
        <v/>
      </c>
      <c r="R2650" s="9">
        <f>IF(Q2650="","",$K2650&amp;"")</f>
        <v/>
      </c>
      <c r="S2650" s="9">
        <f>IF(Q2650="","",IF(MATCH(R2650,$R$5:$R$100000,0)=ROW()-4,ROW(),""))</f>
        <v/>
      </c>
      <c r="T2650" s="9">
        <f>IF(Q2650="당기",ABS(P2650)+ROW()/1000000000,"")</f>
        <v/>
      </c>
      <c r="U2650" s="9">
        <f>IF(Q2650="비교",ABS(P2650)+ROW()/1000000000,"")</f>
        <v/>
      </c>
      <c r="V2650" s="39">
        <f>IF($A2650="","",IF(COUNTIF(변동분석!$E$7:$E$506,O2650)&gt;0,"Y","N"))</f>
        <v/>
      </c>
      <c r="W2650" s="39">
        <f>IF($A2650="","",IFERROR(INDEX(계정매핑!$D$5:$D$504,MATCH($F2650&amp;"",계정매핑!$A$5:$A$504,0)),"미매핑"))</f>
        <v/>
      </c>
      <c r="X2650" s="9">
        <f>IF($A2650="","",$F2650&amp;"")</f>
        <v/>
      </c>
    </row>
    <row r="2651">
      <c r="A2651" s="75" t="n">
        <v>2026</v>
      </c>
      <c r="B2651" s="75" t="n">
        <v>2</v>
      </c>
      <c r="C2651" s="75" t="inlineStr">
        <is>
          <t>5100000307</t>
        </is>
      </c>
      <c r="D2651" s="78" t="n">
        <v>46068</v>
      </c>
      <c r="E2651" s="75" t="inlineStr">
        <is>
          <t>KR</t>
        </is>
      </c>
      <c r="F2651" s="75" t="n">
        <v>62201000</v>
      </c>
      <c r="G2651" s="75" t="n">
        <v>1601</v>
      </c>
      <c r="H2651" s="76" t="n">
        <v>333000</v>
      </c>
      <c r="I2651" s="75" t="inlineStr">
        <is>
          <t>2월 통신요금 - O텔레콤</t>
        </is>
      </c>
      <c r="J2651" s="75" t="inlineStr">
        <is>
          <t>V10002</t>
        </is>
      </c>
      <c r="K2651" s="75" t="inlineStr">
        <is>
          <t>O텔레콤</t>
        </is>
      </c>
      <c r="M2651" s="9">
        <f>IF($A2651="","",VALUE($A2651&amp;"")*12+VALUE($B2651&amp;""))</f>
        <v/>
      </c>
      <c r="N2651" s="39">
        <f>IF($A2651="","",IFERROR(INDEX(부서매핑!$C$5:$C$504,MATCH($G2651&amp;"",부서매핑!$A$5:$A$504,0)),"미매핑"))</f>
        <v/>
      </c>
      <c r="O2651" s="9">
        <f>IF($A2651="","",N2651&amp;"|"&amp;$F2651)</f>
        <v/>
      </c>
      <c r="P2651" s="77">
        <f>IF($A2651="",0,$H2651*설정!$C$23)</f>
        <v/>
      </c>
      <c r="Q2651" s="39">
        <f>IF($A2651="","",IF(O2651&lt;&gt;원인분석!$C$9,"",IF(AND(M2651&gt;=원인분석!$C$10,M2651&lt;=원인분석!$C$11),"당기",IF(AND(M2651&gt;=원인분석!$C$12,M2651&lt;=원인분석!$C$13),"비교",""))))</f>
        <v/>
      </c>
      <c r="R2651" s="9">
        <f>IF(Q2651="","",$K2651&amp;"")</f>
        <v/>
      </c>
      <c r="S2651" s="9">
        <f>IF(Q2651="","",IF(MATCH(R2651,$R$5:$R$100000,0)=ROW()-4,ROW(),""))</f>
        <v/>
      </c>
      <c r="T2651" s="9">
        <f>IF(Q2651="당기",ABS(P2651)+ROW()/1000000000,"")</f>
        <v/>
      </c>
      <c r="U2651" s="9">
        <f>IF(Q2651="비교",ABS(P2651)+ROW()/1000000000,"")</f>
        <v/>
      </c>
      <c r="V2651" s="39">
        <f>IF($A2651="","",IF(COUNTIF(변동분석!$E$7:$E$506,O2651)&gt;0,"Y","N"))</f>
        <v/>
      </c>
      <c r="W2651" s="39">
        <f>IF($A2651="","",IFERROR(INDEX(계정매핑!$D$5:$D$504,MATCH($F2651&amp;"",계정매핑!$A$5:$A$504,0)),"미매핑"))</f>
        <v/>
      </c>
      <c r="X2651" s="9">
        <f>IF($A2651="","",$F2651&amp;"")</f>
        <v/>
      </c>
    </row>
    <row r="2652">
      <c r="A2652" s="75" t="n">
        <v>2026</v>
      </c>
      <c r="B2652" s="75" t="n">
        <v>2</v>
      </c>
      <c r="C2652" s="75" t="inlineStr">
        <is>
          <t>5100000308</t>
        </is>
      </c>
      <c r="D2652" s="78" t="n">
        <v>46068</v>
      </c>
      <c r="E2652" s="75" t="inlineStr">
        <is>
          <t>KR</t>
        </is>
      </c>
      <c r="F2652" s="75" t="n">
        <v>62301000</v>
      </c>
      <c r="G2652" s="75" t="n">
        <v>1101</v>
      </c>
      <c r="H2652" s="76" t="n">
        <v>169000</v>
      </c>
      <c r="I2652" s="75" t="inlineStr">
        <is>
          <t>2월 소모품 구입 - Q오피스</t>
        </is>
      </c>
      <c r="J2652" s="75" t="inlineStr">
        <is>
          <t>V10003</t>
        </is>
      </c>
      <c r="K2652" s="75" t="inlineStr">
        <is>
          <t>Q오피스</t>
        </is>
      </c>
      <c r="M2652" s="9">
        <f>IF($A2652="","",VALUE($A2652&amp;"")*12+VALUE($B2652&amp;""))</f>
        <v/>
      </c>
      <c r="N2652" s="39">
        <f>IF($A2652="","",IFERROR(INDEX(부서매핑!$C$5:$C$504,MATCH($G2652&amp;"",부서매핑!$A$5:$A$504,0)),"미매핑"))</f>
        <v/>
      </c>
      <c r="O2652" s="9">
        <f>IF($A2652="","",N2652&amp;"|"&amp;$F2652)</f>
        <v/>
      </c>
      <c r="P2652" s="77">
        <f>IF($A2652="",0,$H2652*설정!$C$23)</f>
        <v/>
      </c>
      <c r="Q2652" s="39">
        <f>IF($A2652="","",IF(O2652&lt;&gt;원인분석!$C$9,"",IF(AND(M2652&gt;=원인분석!$C$10,M2652&lt;=원인분석!$C$11),"당기",IF(AND(M2652&gt;=원인분석!$C$12,M2652&lt;=원인분석!$C$13),"비교",""))))</f>
        <v/>
      </c>
      <c r="R2652" s="9">
        <f>IF(Q2652="","",$K2652&amp;"")</f>
        <v/>
      </c>
      <c r="S2652" s="9">
        <f>IF(Q2652="","",IF(MATCH(R2652,$R$5:$R$100000,0)=ROW()-4,ROW(),""))</f>
        <v/>
      </c>
      <c r="T2652" s="9">
        <f>IF(Q2652="당기",ABS(P2652)+ROW()/1000000000,"")</f>
        <v/>
      </c>
      <c r="U2652" s="9">
        <f>IF(Q2652="비교",ABS(P2652)+ROW()/1000000000,"")</f>
        <v/>
      </c>
      <c r="V2652" s="39">
        <f>IF($A2652="","",IF(COUNTIF(변동분석!$E$7:$E$506,O2652)&gt;0,"Y","N"))</f>
        <v/>
      </c>
      <c r="W2652" s="39">
        <f>IF($A2652="","",IFERROR(INDEX(계정매핑!$D$5:$D$504,MATCH($F2652&amp;"",계정매핑!$A$5:$A$504,0)),"미매핑"))</f>
        <v/>
      </c>
      <c r="X2652" s="9">
        <f>IF($A2652="","",$F2652&amp;"")</f>
        <v/>
      </c>
    </row>
    <row r="2653">
      <c r="A2653" s="75" t="n">
        <v>2026</v>
      </c>
      <c r="B2653" s="75" t="n">
        <v>2</v>
      </c>
      <c r="C2653" s="75" t="inlineStr">
        <is>
          <t>5100000309</t>
        </is>
      </c>
      <c r="D2653" s="78" t="n">
        <v>46068</v>
      </c>
      <c r="E2653" s="75" t="inlineStr">
        <is>
          <t>KR</t>
        </is>
      </c>
      <c r="F2653" s="75" t="n">
        <v>62301000</v>
      </c>
      <c r="G2653" s="75" t="n">
        <v>1401</v>
      </c>
      <c r="H2653" s="76" t="n">
        <v>123000</v>
      </c>
      <c r="I2653" s="75" t="inlineStr">
        <is>
          <t>2월 소모품 구입 - R문구</t>
        </is>
      </c>
      <c r="J2653" s="75" t="inlineStr">
        <is>
          <t>V10018</t>
        </is>
      </c>
      <c r="K2653" s="75" t="inlineStr">
        <is>
          <t>R문구</t>
        </is>
      </c>
      <c r="M2653" s="9">
        <f>IF($A2653="","",VALUE($A2653&amp;"")*12+VALUE($B2653&amp;""))</f>
        <v/>
      </c>
      <c r="N2653" s="39">
        <f>IF($A2653="","",IFERROR(INDEX(부서매핑!$C$5:$C$504,MATCH($G2653&amp;"",부서매핑!$A$5:$A$504,0)),"미매핑"))</f>
        <v/>
      </c>
      <c r="O2653" s="9">
        <f>IF($A2653="","",N2653&amp;"|"&amp;$F2653)</f>
        <v/>
      </c>
      <c r="P2653" s="77">
        <f>IF($A2653="",0,$H2653*설정!$C$23)</f>
        <v/>
      </c>
      <c r="Q2653" s="39">
        <f>IF($A2653="","",IF(O2653&lt;&gt;원인분석!$C$9,"",IF(AND(M2653&gt;=원인분석!$C$10,M2653&lt;=원인분석!$C$11),"당기",IF(AND(M2653&gt;=원인분석!$C$12,M2653&lt;=원인분석!$C$13),"비교",""))))</f>
        <v/>
      </c>
      <c r="R2653" s="9">
        <f>IF(Q2653="","",$K2653&amp;"")</f>
        <v/>
      </c>
      <c r="S2653" s="9">
        <f>IF(Q2653="","",IF(MATCH(R2653,$R$5:$R$100000,0)=ROW()-4,ROW(),""))</f>
        <v/>
      </c>
      <c r="T2653" s="9">
        <f>IF(Q2653="당기",ABS(P2653)+ROW()/1000000000,"")</f>
        <v/>
      </c>
      <c r="U2653" s="9">
        <f>IF(Q2653="비교",ABS(P2653)+ROW()/1000000000,"")</f>
        <v/>
      </c>
      <c r="V2653" s="39">
        <f>IF($A2653="","",IF(COUNTIF(변동분석!$E$7:$E$506,O2653)&gt;0,"Y","N"))</f>
        <v/>
      </c>
      <c r="W2653" s="39">
        <f>IF($A2653="","",IFERROR(INDEX(계정매핑!$D$5:$D$504,MATCH($F2653&amp;"",계정매핑!$A$5:$A$504,0)),"미매핑"))</f>
        <v/>
      </c>
      <c r="X2653" s="9">
        <f>IF($A2653="","",$F2653&amp;"")</f>
        <v/>
      </c>
    </row>
    <row r="2654">
      <c r="A2654" s="75" t="n">
        <v>2026</v>
      </c>
      <c r="B2654" s="75" t="n">
        <v>2</v>
      </c>
      <c r="C2654" s="75" t="inlineStr">
        <is>
          <t>5100000310</t>
        </is>
      </c>
      <c r="D2654" s="78" t="n">
        <v>46068</v>
      </c>
      <c r="E2654" s="75" t="inlineStr">
        <is>
          <t>KR</t>
        </is>
      </c>
      <c r="F2654" s="75" t="n">
        <v>62501000</v>
      </c>
      <c r="G2654" s="75" t="n">
        <v>1801</v>
      </c>
      <c r="H2654" s="76" t="n">
        <v>186000</v>
      </c>
      <c r="I2654" s="75" t="inlineStr">
        <is>
          <t>2월 회의 다과 - T케이터링</t>
        </is>
      </c>
      <c r="J2654" s="75" t="inlineStr">
        <is>
          <t>V10005</t>
        </is>
      </c>
      <c r="K2654" s="75" t="inlineStr">
        <is>
          <t>T케이터링</t>
        </is>
      </c>
      <c r="M2654" s="9">
        <f>IF($A2654="","",VALUE($A2654&amp;"")*12+VALUE($B2654&amp;""))</f>
        <v/>
      </c>
      <c r="N2654" s="39">
        <f>IF($A2654="","",IFERROR(INDEX(부서매핑!$C$5:$C$504,MATCH($G2654&amp;"",부서매핑!$A$5:$A$504,0)),"미매핑"))</f>
        <v/>
      </c>
      <c r="O2654" s="9">
        <f>IF($A2654="","",N2654&amp;"|"&amp;$F2654)</f>
        <v/>
      </c>
      <c r="P2654" s="77">
        <f>IF($A2654="",0,$H2654*설정!$C$23)</f>
        <v/>
      </c>
      <c r="Q2654" s="39">
        <f>IF($A2654="","",IF(O2654&lt;&gt;원인분석!$C$9,"",IF(AND(M2654&gt;=원인분석!$C$10,M2654&lt;=원인분석!$C$11),"당기",IF(AND(M2654&gt;=원인분석!$C$12,M2654&lt;=원인분석!$C$13),"비교",""))))</f>
        <v/>
      </c>
      <c r="R2654" s="9">
        <f>IF(Q2654="","",$K2654&amp;"")</f>
        <v/>
      </c>
      <c r="S2654" s="9">
        <f>IF(Q2654="","",IF(MATCH(R2654,$R$5:$R$100000,0)=ROW()-4,ROW(),""))</f>
        <v/>
      </c>
      <c r="T2654" s="9">
        <f>IF(Q2654="당기",ABS(P2654)+ROW()/1000000000,"")</f>
        <v/>
      </c>
      <c r="U2654" s="9">
        <f>IF(Q2654="비교",ABS(P2654)+ROW()/1000000000,"")</f>
        <v/>
      </c>
      <c r="V2654" s="39">
        <f>IF($A2654="","",IF(COUNTIF(변동분석!$E$7:$E$506,O2654)&gt;0,"Y","N"))</f>
        <v/>
      </c>
      <c r="W2654" s="39">
        <f>IF($A2654="","",IFERROR(INDEX(계정매핑!$D$5:$D$504,MATCH($F2654&amp;"",계정매핑!$A$5:$A$504,0)),"미매핑"))</f>
        <v/>
      </c>
      <c r="X2654" s="9">
        <f>IF($A2654="","",$F2654&amp;"")</f>
        <v/>
      </c>
    </row>
    <row r="2655">
      <c r="A2655" s="75" t="n">
        <v>2026</v>
      </c>
      <c r="B2655" s="75" t="n">
        <v>2</v>
      </c>
      <c r="C2655" s="75" t="inlineStr">
        <is>
          <t>5100000311</t>
        </is>
      </c>
      <c r="D2655" s="78" t="n">
        <v>46068</v>
      </c>
      <c r="E2655" s="75" t="inlineStr">
        <is>
          <t>KR</t>
        </is>
      </c>
      <c r="F2655" s="75" t="n">
        <v>62901000</v>
      </c>
      <c r="G2655" s="75" t="n">
        <v>1101</v>
      </c>
      <c r="H2655" s="76" t="n">
        <v>4402000</v>
      </c>
      <c r="I2655" s="75" t="inlineStr">
        <is>
          <t>2월 자문 수수료 - W컨설팅</t>
        </is>
      </c>
      <c r="J2655" s="75" t="inlineStr">
        <is>
          <t>V10009</t>
        </is>
      </c>
      <c r="K2655" s="75" t="inlineStr">
        <is>
          <t>W컨설팅</t>
        </is>
      </c>
      <c r="M2655" s="9">
        <f>IF($A2655="","",VALUE($A2655&amp;"")*12+VALUE($B2655&amp;""))</f>
        <v/>
      </c>
      <c r="N2655" s="39">
        <f>IF($A2655="","",IFERROR(INDEX(부서매핑!$C$5:$C$504,MATCH($G2655&amp;"",부서매핑!$A$5:$A$504,0)),"미매핑"))</f>
        <v/>
      </c>
      <c r="O2655" s="9">
        <f>IF($A2655="","",N2655&amp;"|"&amp;$F2655)</f>
        <v/>
      </c>
      <c r="P2655" s="77">
        <f>IF($A2655="",0,$H2655*설정!$C$23)</f>
        <v/>
      </c>
      <c r="Q2655" s="39">
        <f>IF($A2655="","",IF(O2655&lt;&gt;원인분석!$C$9,"",IF(AND(M2655&gt;=원인분석!$C$10,M2655&lt;=원인분석!$C$11),"당기",IF(AND(M2655&gt;=원인분석!$C$12,M2655&lt;=원인분석!$C$13),"비교",""))))</f>
        <v/>
      </c>
      <c r="R2655" s="9">
        <f>IF(Q2655="","",$K2655&amp;"")</f>
        <v/>
      </c>
      <c r="S2655" s="9">
        <f>IF(Q2655="","",IF(MATCH(R2655,$R$5:$R$100000,0)=ROW()-4,ROW(),""))</f>
        <v/>
      </c>
      <c r="T2655" s="9">
        <f>IF(Q2655="당기",ABS(P2655)+ROW()/1000000000,"")</f>
        <v/>
      </c>
      <c r="U2655" s="9">
        <f>IF(Q2655="비교",ABS(P2655)+ROW()/1000000000,"")</f>
        <v/>
      </c>
      <c r="V2655" s="39">
        <f>IF($A2655="","",IF(COUNTIF(변동분석!$E$7:$E$506,O2655)&gt;0,"Y","N"))</f>
        <v/>
      </c>
      <c r="W2655" s="39">
        <f>IF($A2655="","",IFERROR(INDEX(계정매핑!$D$5:$D$504,MATCH($F2655&amp;"",계정매핑!$A$5:$A$504,0)),"미매핑"))</f>
        <v/>
      </c>
      <c r="X2655" s="9">
        <f>IF($A2655="","",$F2655&amp;"")</f>
        <v/>
      </c>
    </row>
    <row r="2656">
      <c r="A2656" s="75" t="n">
        <v>2026</v>
      </c>
      <c r="B2656" s="75" t="n">
        <v>2</v>
      </c>
      <c r="C2656" s="75" t="inlineStr">
        <is>
          <t>5100000312</t>
        </is>
      </c>
      <c r="D2656" s="78" t="n">
        <v>46068</v>
      </c>
      <c r="E2656" s="75" t="inlineStr">
        <is>
          <t>KR</t>
        </is>
      </c>
      <c r="F2656" s="75" t="n">
        <v>62902000</v>
      </c>
      <c r="G2656" s="75" t="n">
        <v>1401</v>
      </c>
      <c r="H2656" s="76" t="n">
        <v>2164000</v>
      </c>
      <c r="I2656" s="75" t="inlineStr">
        <is>
          <t>2월 업무 위탁 수수료 - X서비스</t>
        </is>
      </c>
      <c r="J2656" s="75" t="inlineStr">
        <is>
          <t>V10016</t>
        </is>
      </c>
      <c r="K2656" s="75" t="inlineStr">
        <is>
          <t>X서비스</t>
        </is>
      </c>
      <c r="M2656" s="9">
        <f>IF($A2656="","",VALUE($A2656&amp;"")*12+VALUE($B2656&amp;""))</f>
        <v/>
      </c>
      <c r="N2656" s="39">
        <f>IF($A2656="","",IFERROR(INDEX(부서매핑!$C$5:$C$504,MATCH($G2656&amp;"",부서매핑!$A$5:$A$504,0)),"미매핑"))</f>
        <v/>
      </c>
      <c r="O2656" s="9">
        <f>IF($A2656="","",N2656&amp;"|"&amp;$F2656)</f>
        <v/>
      </c>
      <c r="P2656" s="77">
        <f>IF($A2656="",0,$H2656*설정!$C$23)</f>
        <v/>
      </c>
      <c r="Q2656" s="39">
        <f>IF($A2656="","",IF(O2656&lt;&gt;원인분석!$C$9,"",IF(AND(M2656&gt;=원인분석!$C$10,M2656&lt;=원인분석!$C$11),"당기",IF(AND(M2656&gt;=원인분석!$C$12,M2656&lt;=원인분석!$C$13),"비교",""))))</f>
        <v/>
      </c>
      <c r="R2656" s="9">
        <f>IF(Q2656="","",$K2656&amp;"")</f>
        <v/>
      </c>
      <c r="S2656" s="9">
        <f>IF(Q2656="","",IF(MATCH(R2656,$R$5:$R$100000,0)=ROW()-4,ROW(),""))</f>
        <v/>
      </c>
      <c r="T2656" s="9">
        <f>IF(Q2656="당기",ABS(P2656)+ROW()/1000000000,"")</f>
        <v/>
      </c>
      <c r="U2656" s="9">
        <f>IF(Q2656="비교",ABS(P2656)+ROW()/1000000000,"")</f>
        <v/>
      </c>
      <c r="V2656" s="39">
        <f>IF($A2656="","",IF(COUNTIF(변동분석!$E$7:$E$506,O2656)&gt;0,"Y","N"))</f>
        <v/>
      </c>
      <c r="W2656" s="39">
        <f>IF($A2656="","",IFERROR(INDEX(계정매핑!$D$5:$D$504,MATCH($F2656&amp;"",계정매핑!$A$5:$A$504,0)),"미매핑"))</f>
        <v/>
      </c>
      <c r="X2656" s="9">
        <f>IF($A2656="","",$F2656&amp;"")</f>
        <v/>
      </c>
    </row>
    <row r="2657">
      <c r="A2657" s="75" t="n">
        <v>2026</v>
      </c>
      <c r="B2657" s="75" t="n">
        <v>2</v>
      </c>
      <c r="C2657" s="75" t="inlineStr">
        <is>
          <t>5100000313</t>
        </is>
      </c>
      <c r="D2657" s="78" t="n">
        <v>46068</v>
      </c>
      <c r="E2657" s="75" t="inlineStr">
        <is>
          <t>KR</t>
        </is>
      </c>
      <c r="F2657" s="75" t="n">
        <v>62902000</v>
      </c>
      <c r="G2657" s="75" t="n">
        <v>1801</v>
      </c>
      <c r="H2657" s="76" t="n">
        <v>1798000</v>
      </c>
      <c r="I2657" s="75" t="inlineStr">
        <is>
          <t>2월 콜 위탁 수수료(건별)</t>
        </is>
      </c>
      <c r="J2657" s="75" t="inlineStr">
        <is>
          <t>V10013</t>
        </is>
      </c>
      <c r="K2657" s="75" t="inlineStr">
        <is>
          <t>J콜센터</t>
        </is>
      </c>
      <c r="M2657" s="9">
        <f>IF($A2657="","",VALUE($A2657&amp;"")*12+VALUE($B2657&amp;""))</f>
        <v/>
      </c>
      <c r="N2657" s="39">
        <f>IF($A2657="","",IFERROR(INDEX(부서매핑!$C$5:$C$504,MATCH($G2657&amp;"",부서매핑!$A$5:$A$504,0)),"미매핑"))</f>
        <v/>
      </c>
      <c r="O2657" s="9">
        <f>IF($A2657="","",N2657&amp;"|"&amp;$F2657)</f>
        <v/>
      </c>
      <c r="P2657" s="77">
        <f>IF($A2657="",0,$H2657*설정!$C$23)</f>
        <v/>
      </c>
      <c r="Q2657" s="39">
        <f>IF($A2657="","",IF(O2657&lt;&gt;원인분석!$C$9,"",IF(AND(M2657&gt;=원인분석!$C$10,M2657&lt;=원인분석!$C$11),"당기",IF(AND(M2657&gt;=원인분석!$C$12,M2657&lt;=원인분석!$C$13),"비교",""))))</f>
        <v/>
      </c>
      <c r="R2657" s="9">
        <f>IF(Q2657="","",$K2657&amp;"")</f>
        <v/>
      </c>
      <c r="S2657" s="9">
        <f>IF(Q2657="","",IF(MATCH(R2657,$R$5:$R$100000,0)=ROW()-4,ROW(),""))</f>
        <v/>
      </c>
      <c r="T2657" s="9">
        <f>IF(Q2657="당기",ABS(P2657)+ROW()/1000000000,"")</f>
        <v/>
      </c>
      <c r="U2657" s="9">
        <f>IF(Q2657="비교",ABS(P2657)+ROW()/1000000000,"")</f>
        <v/>
      </c>
      <c r="V2657" s="39">
        <f>IF($A2657="","",IF(COUNTIF(변동분석!$E$7:$E$506,O2657)&gt;0,"Y","N"))</f>
        <v/>
      </c>
      <c r="W2657" s="39">
        <f>IF($A2657="","",IFERROR(INDEX(계정매핑!$D$5:$D$504,MATCH($F2657&amp;"",계정매핑!$A$5:$A$504,0)),"미매핑"))</f>
        <v/>
      </c>
      <c r="X2657" s="9">
        <f>IF($A2657="","",$F2657&amp;"")</f>
        <v/>
      </c>
    </row>
    <row r="2658">
      <c r="A2658" s="75" t="n">
        <v>2026</v>
      </c>
      <c r="B2658" s="75" t="n">
        <v>2</v>
      </c>
      <c r="C2658" s="75" t="inlineStr">
        <is>
          <t>5100000314</t>
        </is>
      </c>
      <c r="D2658" s="78" t="n">
        <v>46068</v>
      </c>
      <c r="E2658" s="75" t="inlineStr">
        <is>
          <t>KR</t>
        </is>
      </c>
      <c r="F2658" s="75" t="n">
        <v>63001000</v>
      </c>
      <c r="G2658" s="75" t="n">
        <v>1701</v>
      </c>
      <c r="H2658" s="76" t="n">
        <v>20492000</v>
      </c>
      <c r="I2658" s="75" t="inlineStr">
        <is>
          <t>2월 SW 유지보수 - Y소프트</t>
        </is>
      </c>
      <c r="J2658" s="75" t="inlineStr">
        <is>
          <t>V10017</t>
        </is>
      </c>
      <c r="K2658" s="75" t="inlineStr">
        <is>
          <t>Y소프트</t>
        </is>
      </c>
      <c r="M2658" s="9">
        <f>IF($A2658="","",VALUE($A2658&amp;"")*12+VALUE($B2658&amp;""))</f>
        <v/>
      </c>
      <c r="N2658" s="39">
        <f>IF($A2658="","",IFERROR(INDEX(부서매핑!$C$5:$C$504,MATCH($G2658&amp;"",부서매핑!$A$5:$A$504,0)),"미매핑"))</f>
        <v/>
      </c>
      <c r="O2658" s="9">
        <f>IF($A2658="","",N2658&amp;"|"&amp;$F2658)</f>
        <v/>
      </c>
      <c r="P2658" s="77">
        <f>IF($A2658="",0,$H2658*설정!$C$23)</f>
        <v/>
      </c>
      <c r="Q2658" s="39">
        <f>IF($A2658="","",IF(O2658&lt;&gt;원인분석!$C$9,"",IF(AND(M2658&gt;=원인분석!$C$10,M2658&lt;=원인분석!$C$11),"당기",IF(AND(M2658&gt;=원인분석!$C$12,M2658&lt;=원인분석!$C$13),"비교",""))))</f>
        <v/>
      </c>
      <c r="R2658" s="9">
        <f>IF(Q2658="","",$K2658&amp;"")</f>
        <v/>
      </c>
      <c r="S2658" s="9">
        <f>IF(Q2658="","",IF(MATCH(R2658,$R$5:$R$100000,0)=ROW()-4,ROW(),""))</f>
        <v/>
      </c>
      <c r="T2658" s="9">
        <f>IF(Q2658="당기",ABS(P2658)+ROW()/1000000000,"")</f>
        <v/>
      </c>
      <c r="U2658" s="9">
        <f>IF(Q2658="비교",ABS(P2658)+ROW()/1000000000,"")</f>
        <v/>
      </c>
      <c r="V2658" s="39">
        <f>IF($A2658="","",IF(COUNTIF(변동분석!$E$7:$E$506,O2658)&gt;0,"Y","N"))</f>
        <v/>
      </c>
      <c r="W2658" s="39">
        <f>IF($A2658="","",IFERROR(INDEX(계정매핑!$D$5:$D$504,MATCH($F2658&amp;"",계정매핑!$A$5:$A$504,0)),"미매핑"))</f>
        <v/>
      </c>
      <c r="X2658" s="9">
        <f>IF($A2658="","",$F2658&amp;"")</f>
        <v/>
      </c>
    </row>
    <row r="2659">
      <c r="A2659" s="75" t="n">
        <v>2026</v>
      </c>
      <c r="B2659" s="75" t="n">
        <v>2</v>
      </c>
      <c r="C2659" s="75" t="inlineStr">
        <is>
          <t>5100000315</t>
        </is>
      </c>
      <c r="D2659" s="78" t="n">
        <v>46069</v>
      </c>
      <c r="E2659" s="75" t="inlineStr">
        <is>
          <t>KR</t>
        </is>
      </c>
      <c r="F2659" s="75" t="n">
        <v>62102000</v>
      </c>
      <c r="G2659" s="75" t="n">
        <v>1801</v>
      </c>
      <c r="H2659" s="76" t="n">
        <v>20000</v>
      </c>
      <c r="I2659" s="75" t="inlineStr">
        <is>
          <t>2월 해외출장 - M항공</t>
        </is>
      </c>
      <c r="J2659" s="75" t="inlineStr">
        <is>
          <t>V10001</t>
        </is>
      </c>
      <c r="K2659" s="75" t="inlineStr">
        <is>
          <t>M항공</t>
        </is>
      </c>
      <c r="M2659" s="9">
        <f>IF($A2659="","",VALUE($A2659&amp;"")*12+VALUE($B2659&amp;""))</f>
        <v/>
      </c>
      <c r="N2659" s="39">
        <f>IF($A2659="","",IFERROR(INDEX(부서매핑!$C$5:$C$504,MATCH($G2659&amp;"",부서매핑!$A$5:$A$504,0)),"미매핑"))</f>
        <v/>
      </c>
      <c r="O2659" s="9">
        <f>IF($A2659="","",N2659&amp;"|"&amp;$F2659)</f>
        <v/>
      </c>
      <c r="P2659" s="77">
        <f>IF($A2659="",0,$H2659*설정!$C$23)</f>
        <v/>
      </c>
      <c r="Q2659" s="39">
        <f>IF($A2659="","",IF(O2659&lt;&gt;원인분석!$C$9,"",IF(AND(M2659&gt;=원인분석!$C$10,M2659&lt;=원인분석!$C$11),"당기",IF(AND(M2659&gt;=원인분석!$C$12,M2659&lt;=원인분석!$C$13),"비교",""))))</f>
        <v/>
      </c>
      <c r="R2659" s="9">
        <f>IF(Q2659="","",$K2659&amp;"")</f>
        <v/>
      </c>
      <c r="S2659" s="9">
        <f>IF(Q2659="","",IF(MATCH(R2659,$R$5:$R$100000,0)=ROW()-4,ROW(),""))</f>
        <v/>
      </c>
      <c r="T2659" s="9">
        <f>IF(Q2659="당기",ABS(P2659)+ROW()/1000000000,"")</f>
        <v/>
      </c>
      <c r="U2659" s="9">
        <f>IF(Q2659="비교",ABS(P2659)+ROW()/1000000000,"")</f>
        <v/>
      </c>
      <c r="V2659" s="39">
        <f>IF($A2659="","",IF(COUNTIF(변동분석!$E$7:$E$506,O2659)&gt;0,"Y","N"))</f>
        <v/>
      </c>
      <c r="W2659" s="39">
        <f>IF($A2659="","",IFERROR(INDEX(계정매핑!$D$5:$D$504,MATCH($F2659&amp;"",계정매핑!$A$5:$A$504,0)),"미매핑"))</f>
        <v/>
      </c>
      <c r="X2659" s="9">
        <f>IF($A2659="","",$F2659&amp;"")</f>
        <v/>
      </c>
    </row>
    <row r="2660">
      <c r="A2660" s="75" t="n">
        <v>2026</v>
      </c>
      <c r="B2660" s="75" t="n">
        <v>2</v>
      </c>
      <c r="C2660" s="75" t="inlineStr">
        <is>
          <t>5100000316</t>
        </is>
      </c>
      <c r="D2660" s="78" t="n">
        <v>46069</v>
      </c>
      <c r="E2660" s="75" t="inlineStr">
        <is>
          <t>KR</t>
        </is>
      </c>
      <c r="F2660" s="75" t="n">
        <v>62201000</v>
      </c>
      <c r="G2660" s="75" t="n">
        <v>1201</v>
      </c>
      <c r="H2660" s="76" t="n">
        <v>140000</v>
      </c>
      <c r="I2660" s="75" t="inlineStr">
        <is>
          <t>2월 통신요금 - P통신</t>
        </is>
      </c>
      <c r="J2660" s="75" t="inlineStr">
        <is>
          <t>V10011</t>
        </is>
      </c>
      <c r="K2660" s="75" t="inlineStr">
        <is>
          <t>P통신</t>
        </is>
      </c>
      <c r="M2660" s="9">
        <f>IF($A2660="","",VALUE($A2660&amp;"")*12+VALUE($B2660&amp;""))</f>
        <v/>
      </c>
      <c r="N2660" s="39">
        <f>IF($A2660="","",IFERROR(INDEX(부서매핑!$C$5:$C$504,MATCH($G2660&amp;"",부서매핑!$A$5:$A$504,0)),"미매핑"))</f>
        <v/>
      </c>
      <c r="O2660" s="9">
        <f>IF($A2660="","",N2660&amp;"|"&amp;$F2660)</f>
        <v/>
      </c>
      <c r="P2660" s="77">
        <f>IF($A2660="",0,$H2660*설정!$C$23)</f>
        <v/>
      </c>
      <c r="Q2660" s="39">
        <f>IF($A2660="","",IF(O2660&lt;&gt;원인분석!$C$9,"",IF(AND(M2660&gt;=원인분석!$C$10,M2660&lt;=원인분석!$C$11),"당기",IF(AND(M2660&gt;=원인분석!$C$12,M2660&lt;=원인분석!$C$13),"비교",""))))</f>
        <v/>
      </c>
      <c r="R2660" s="9">
        <f>IF(Q2660="","",$K2660&amp;"")</f>
        <v/>
      </c>
      <c r="S2660" s="9">
        <f>IF(Q2660="","",IF(MATCH(R2660,$R$5:$R$100000,0)=ROW()-4,ROW(),""))</f>
        <v/>
      </c>
      <c r="T2660" s="9">
        <f>IF(Q2660="당기",ABS(P2660)+ROW()/1000000000,"")</f>
        <v/>
      </c>
      <c r="U2660" s="9">
        <f>IF(Q2660="비교",ABS(P2660)+ROW()/1000000000,"")</f>
        <v/>
      </c>
      <c r="V2660" s="39">
        <f>IF($A2660="","",IF(COUNTIF(변동분석!$E$7:$E$506,O2660)&gt;0,"Y","N"))</f>
        <v/>
      </c>
      <c r="W2660" s="39">
        <f>IF($A2660="","",IFERROR(INDEX(계정매핑!$D$5:$D$504,MATCH($F2660&amp;"",계정매핑!$A$5:$A$504,0)),"미매핑"))</f>
        <v/>
      </c>
      <c r="X2660" s="9">
        <f>IF($A2660="","",$F2660&amp;"")</f>
        <v/>
      </c>
    </row>
    <row r="2661">
      <c r="A2661" s="75" t="n">
        <v>2026</v>
      </c>
      <c r="B2661" s="75" t="n">
        <v>2</v>
      </c>
      <c r="C2661" s="75" t="inlineStr">
        <is>
          <t>5100000317</t>
        </is>
      </c>
      <c r="D2661" s="78" t="n">
        <v>46069</v>
      </c>
      <c r="E2661" s="75" t="inlineStr">
        <is>
          <t>KR</t>
        </is>
      </c>
      <c r="F2661" s="75" t="n">
        <v>62501000</v>
      </c>
      <c r="G2661" s="75" t="n">
        <v>1201</v>
      </c>
      <c r="H2661" s="76" t="n">
        <v>200000</v>
      </c>
      <c r="I2661" s="75" t="inlineStr">
        <is>
          <t>2월 회의 다과 - (법인카드)</t>
        </is>
      </c>
      <c r="J2661" s="75" t="inlineStr">
        <is>
          <t>V10008</t>
        </is>
      </c>
      <c r="K2661" s="75" t="inlineStr">
        <is>
          <t>(법인카드)</t>
        </is>
      </c>
      <c r="M2661" s="9">
        <f>IF($A2661="","",VALUE($A2661&amp;"")*12+VALUE($B2661&amp;""))</f>
        <v/>
      </c>
      <c r="N2661" s="39">
        <f>IF($A2661="","",IFERROR(INDEX(부서매핑!$C$5:$C$504,MATCH($G2661&amp;"",부서매핑!$A$5:$A$504,0)),"미매핑"))</f>
        <v/>
      </c>
      <c r="O2661" s="9">
        <f>IF($A2661="","",N2661&amp;"|"&amp;$F2661)</f>
        <v/>
      </c>
      <c r="P2661" s="77">
        <f>IF($A2661="",0,$H2661*설정!$C$23)</f>
        <v/>
      </c>
      <c r="Q2661" s="39">
        <f>IF($A2661="","",IF(O2661&lt;&gt;원인분석!$C$9,"",IF(AND(M2661&gt;=원인분석!$C$10,M2661&lt;=원인분석!$C$11),"당기",IF(AND(M2661&gt;=원인분석!$C$12,M2661&lt;=원인분석!$C$13),"비교",""))))</f>
        <v/>
      </c>
      <c r="R2661" s="9">
        <f>IF(Q2661="","",$K2661&amp;"")</f>
        <v/>
      </c>
      <c r="S2661" s="9">
        <f>IF(Q2661="","",IF(MATCH(R2661,$R$5:$R$100000,0)=ROW()-4,ROW(),""))</f>
        <v/>
      </c>
      <c r="T2661" s="9">
        <f>IF(Q2661="당기",ABS(P2661)+ROW()/1000000000,"")</f>
        <v/>
      </c>
      <c r="U2661" s="9">
        <f>IF(Q2661="비교",ABS(P2661)+ROW()/1000000000,"")</f>
        <v/>
      </c>
      <c r="V2661" s="39">
        <f>IF($A2661="","",IF(COUNTIF(변동분석!$E$7:$E$506,O2661)&gt;0,"Y","N"))</f>
        <v/>
      </c>
      <c r="W2661" s="39">
        <f>IF($A2661="","",IFERROR(INDEX(계정매핑!$D$5:$D$504,MATCH($F2661&amp;"",계정매핑!$A$5:$A$504,0)),"미매핑"))</f>
        <v/>
      </c>
      <c r="X2661" s="9">
        <f>IF($A2661="","",$F2661&amp;"")</f>
        <v/>
      </c>
    </row>
    <row r="2662">
      <c r="A2662" s="75" t="n">
        <v>2026</v>
      </c>
      <c r="B2662" s="75" t="n">
        <v>2</v>
      </c>
      <c r="C2662" s="75" t="inlineStr">
        <is>
          <t>5100000318</t>
        </is>
      </c>
      <c r="D2662" s="78" t="n">
        <v>46069</v>
      </c>
      <c r="E2662" s="75" t="inlineStr">
        <is>
          <t>KR</t>
        </is>
      </c>
      <c r="F2662" s="75" t="n">
        <v>62501000</v>
      </c>
      <c r="G2662" s="75" t="n">
        <v>1602</v>
      </c>
      <c r="H2662" s="76" t="n">
        <v>254000</v>
      </c>
      <c r="I2662" s="75" t="inlineStr">
        <is>
          <t>2월 회의 다과 - T케이터링</t>
        </is>
      </c>
      <c r="J2662" s="75" t="inlineStr">
        <is>
          <t>V10005</t>
        </is>
      </c>
      <c r="K2662" s="75" t="inlineStr">
        <is>
          <t>T케이터링</t>
        </is>
      </c>
      <c r="M2662" s="9">
        <f>IF($A2662="","",VALUE($A2662&amp;"")*12+VALUE($B2662&amp;""))</f>
        <v/>
      </c>
      <c r="N2662" s="39">
        <f>IF($A2662="","",IFERROR(INDEX(부서매핑!$C$5:$C$504,MATCH($G2662&amp;"",부서매핑!$A$5:$A$504,0)),"미매핑"))</f>
        <v/>
      </c>
      <c r="O2662" s="9">
        <f>IF($A2662="","",N2662&amp;"|"&amp;$F2662)</f>
        <v/>
      </c>
      <c r="P2662" s="77">
        <f>IF($A2662="",0,$H2662*설정!$C$23)</f>
        <v/>
      </c>
      <c r="Q2662" s="39">
        <f>IF($A2662="","",IF(O2662&lt;&gt;원인분석!$C$9,"",IF(AND(M2662&gt;=원인분석!$C$10,M2662&lt;=원인분석!$C$11),"당기",IF(AND(M2662&gt;=원인분석!$C$12,M2662&lt;=원인분석!$C$13),"비교",""))))</f>
        <v/>
      </c>
      <c r="R2662" s="9">
        <f>IF(Q2662="","",$K2662&amp;"")</f>
        <v/>
      </c>
      <c r="S2662" s="9">
        <f>IF(Q2662="","",IF(MATCH(R2662,$R$5:$R$100000,0)=ROW()-4,ROW(),""))</f>
        <v/>
      </c>
      <c r="T2662" s="9">
        <f>IF(Q2662="당기",ABS(P2662)+ROW()/1000000000,"")</f>
        <v/>
      </c>
      <c r="U2662" s="9">
        <f>IF(Q2662="비교",ABS(P2662)+ROW()/1000000000,"")</f>
        <v/>
      </c>
      <c r="V2662" s="39">
        <f>IF($A2662="","",IF(COUNTIF(변동분석!$E$7:$E$506,O2662)&gt;0,"Y","N"))</f>
        <v/>
      </c>
      <c r="W2662" s="39">
        <f>IF($A2662="","",IFERROR(INDEX(계정매핑!$D$5:$D$504,MATCH($F2662&amp;"",계정매핑!$A$5:$A$504,0)),"미매핑"))</f>
        <v/>
      </c>
      <c r="X2662" s="9">
        <f>IF($A2662="","",$F2662&amp;"")</f>
        <v/>
      </c>
    </row>
    <row r="2663">
      <c r="A2663" s="75" t="n">
        <v>2026</v>
      </c>
      <c r="B2663" s="75" t="n">
        <v>2</v>
      </c>
      <c r="C2663" s="75" t="inlineStr">
        <is>
          <t>5100000319</t>
        </is>
      </c>
      <c r="D2663" s="78" t="n">
        <v>46069</v>
      </c>
      <c r="E2663" s="75" t="inlineStr">
        <is>
          <t>KR</t>
        </is>
      </c>
      <c r="F2663" s="75" t="n">
        <v>62801000</v>
      </c>
      <c r="G2663" s="75" t="n">
        <v>1301</v>
      </c>
      <c r="H2663" s="76" t="n">
        <v>5223000</v>
      </c>
      <c r="I2663" s="75" t="inlineStr">
        <is>
          <t>2월 사내교육 - (사내강사료)</t>
        </is>
      </c>
      <c r="J2663" s="75" t="inlineStr">
        <is>
          <t>V10020</t>
        </is>
      </c>
      <c r="K2663" s="75" t="inlineStr">
        <is>
          <t>(사내강사료)</t>
        </is>
      </c>
      <c r="M2663" s="9">
        <f>IF($A2663="","",VALUE($A2663&amp;"")*12+VALUE($B2663&amp;""))</f>
        <v/>
      </c>
      <c r="N2663" s="39">
        <f>IF($A2663="","",IFERROR(INDEX(부서매핑!$C$5:$C$504,MATCH($G2663&amp;"",부서매핑!$A$5:$A$504,0)),"미매핑"))</f>
        <v/>
      </c>
      <c r="O2663" s="9">
        <f>IF($A2663="","",N2663&amp;"|"&amp;$F2663)</f>
        <v/>
      </c>
      <c r="P2663" s="77">
        <f>IF($A2663="",0,$H2663*설정!$C$23)</f>
        <v/>
      </c>
      <c r="Q2663" s="39">
        <f>IF($A2663="","",IF(O2663&lt;&gt;원인분석!$C$9,"",IF(AND(M2663&gt;=원인분석!$C$10,M2663&lt;=원인분석!$C$11),"당기",IF(AND(M2663&gt;=원인분석!$C$12,M2663&lt;=원인분석!$C$13),"비교",""))))</f>
        <v/>
      </c>
      <c r="R2663" s="9">
        <f>IF(Q2663="","",$K2663&amp;"")</f>
        <v/>
      </c>
      <c r="S2663" s="9">
        <f>IF(Q2663="","",IF(MATCH(R2663,$R$5:$R$100000,0)=ROW()-4,ROW(),""))</f>
        <v/>
      </c>
      <c r="T2663" s="9">
        <f>IF(Q2663="당기",ABS(P2663)+ROW()/1000000000,"")</f>
        <v/>
      </c>
      <c r="U2663" s="9">
        <f>IF(Q2663="비교",ABS(P2663)+ROW()/1000000000,"")</f>
        <v/>
      </c>
      <c r="V2663" s="39">
        <f>IF($A2663="","",IF(COUNTIF(변동분석!$E$7:$E$506,O2663)&gt;0,"Y","N"))</f>
        <v/>
      </c>
      <c r="W2663" s="39">
        <f>IF($A2663="","",IFERROR(INDEX(계정매핑!$D$5:$D$504,MATCH($F2663&amp;"",계정매핑!$A$5:$A$504,0)),"미매핑"))</f>
        <v/>
      </c>
      <c r="X2663" s="9">
        <f>IF($A2663="","",$F2663&amp;"")</f>
        <v/>
      </c>
    </row>
    <row r="2664">
      <c r="A2664" s="75" t="n">
        <v>2026</v>
      </c>
      <c r="B2664" s="75" t="n">
        <v>2</v>
      </c>
      <c r="C2664" s="75" t="inlineStr">
        <is>
          <t>5100000320</t>
        </is>
      </c>
      <c r="D2664" s="78" t="n">
        <v>46069</v>
      </c>
      <c r="E2664" s="75" t="inlineStr">
        <is>
          <t>KR</t>
        </is>
      </c>
      <c r="F2664" s="75" t="n">
        <v>62902000</v>
      </c>
      <c r="G2664" s="75" t="n">
        <v>1801</v>
      </c>
      <c r="H2664" s="76" t="n">
        <v>1816000</v>
      </c>
      <c r="I2664" s="75" t="inlineStr">
        <is>
          <t>2월 콜 위탁 수수료(건별)</t>
        </is>
      </c>
      <c r="J2664" s="75" t="inlineStr">
        <is>
          <t>V10013</t>
        </is>
      </c>
      <c r="K2664" s="75" t="inlineStr">
        <is>
          <t>J콜센터</t>
        </is>
      </c>
      <c r="M2664" s="9">
        <f>IF($A2664="","",VALUE($A2664&amp;"")*12+VALUE($B2664&amp;""))</f>
        <v/>
      </c>
      <c r="N2664" s="39">
        <f>IF($A2664="","",IFERROR(INDEX(부서매핑!$C$5:$C$504,MATCH($G2664&amp;"",부서매핑!$A$5:$A$504,0)),"미매핑"))</f>
        <v/>
      </c>
      <c r="O2664" s="9">
        <f>IF($A2664="","",N2664&amp;"|"&amp;$F2664)</f>
        <v/>
      </c>
      <c r="P2664" s="77">
        <f>IF($A2664="",0,$H2664*설정!$C$23)</f>
        <v/>
      </c>
      <c r="Q2664" s="39">
        <f>IF($A2664="","",IF(O2664&lt;&gt;원인분석!$C$9,"",IF(AND(M2664&gt;=원인분석!$C$10,M2664&lt;=원인분석!$C$11),"당기",IF(AND(M2664&gt;=원인분석!$C$12,M2664&lt;=원인분석!$C$13),"비교",""))))</f>
        <v/>
      </c>
      <c r="R2664" s="9">
        <f>IF(Q2664="","",$K2664&amp;"")</f>
        <v/>
      </c>
      <c r="S2664" s="9">
        <f>IF(Q2664="","",IF(MATCH(R2664,$R$5:$R$100000,0)=ROW()-4,ROW(),""))</f>
        <v/>
      </c>
      <c r="T2664" s="9">
        <f>IF(Q2664="당기",ABS(P2664)+ROW()/1000000000,"")</f>
        <v/>
      </c>
      <c r="U2664" s="9">
        <f>IF(Q2664="비교",ABS(P2664)+ROW()/1000000000,"")</f>
        <v/>
      </c>
      <c r="V2664" s="39">
        <f>IF($A2664="","",IF(COUNTIF(변동분석!$E$7:$E$506,O2664)&gt;0,"Y","N"))</f>
        <v/>
      </c>
      <c r="W2664" s="39">
        <f>IF($A2664="","",IFERROR(INDEX(계정매핑!$D$5:$D$504,MATCH($F2664&amp;"",계정매핑!$A$5:$A$504,0)),"미매핑"))</f>
        <v/>
      </c>
      <c r="X2664" s="9">
        <f>IF($A2664="","",$F2664&amp;"")</f>
        <v/>
      </c>
    </row>
    <row r="2665">
      <c r="A2665" s="75" t="n">
        <v>2026</v>
      </c>
      <c r="B2665" s="75" t="n">
        <v>2</v>
      </c>
      <c r="C2665" s="75" t="inlineStr">
        <is>
          <t>5100000321</t>
        </is>
      </c>
      <c r="D2665" s="78" t="n">
        <v>46070</v>
      </c>
      <c r="E2665" s="75" t="inlineStr">
        <is>
          <t>KR</t>
        </is>
      </c>
      <c r="F2665" s="75" t="n">
        <v>62101000</v>
      </c>
      <c r="G2665" s="75" t="n">
        <v>1101</v>
      </c>
      <c r="H2665" s="76" t="n">
        <v>635000</v>
      </c>
      <c r="I2665" s="75" t="inlineStr">
        <is>
          <t>2월 국내출장 - L여행사</t>
        </is>
      </c>
      <c r="J2665" s="75" t="inlineStr">
        <is>
          <t>V10014</t>
        </is>
      </c>
      <c r="K2665" s="75" t="inlineStr">
        <is>
          <t>L여행사</t>
        </is>
      </c>
      <c r="M2665" s="9">
        <f>IF($A2665="","",VALUE($A2665&amp;"")*12+VALUE($B2665&amp;""))</f>
        <v/>
      </c>
      <c r="N2665" s="39">
        <f>IF($A2665="","",IFERROR(INDEX(부서매핑!$C$5:$C$504,MATCH($G2665&amp;"",부서매핑!$A$5:$A$504,0)),"미매핑"))</f>
        <v/>
      </c>
      <c r="O2665" s="9">
        <f>IF($A2665="","",N2665&amp;"|"&amp;$F2665)</f>
        <v/>
      </c>
      <c r="P2665" s="77">
        <f>IF($A2665="",0,$H2665*설정!$C$23)</f>
        <v/>
      </c>
      <c r="Q2665" s="39">
        <f>IF($A2665="","",IF(O2665&lt;&gt;원인분석!$C$9,"",IF(AND(M2665&gt;=원인분석!$C$10,M2665&lt;=원인분석!$C$11),"당기",IF(AND(M2665&gt;=원인분석!$C$12,M2665&lt;=원인분석!$C$13),"비교",""))))</f>
        <v/>
      </c>
      <c r="R2665" s="9">
        <f>IF(Q2665="","",$K2665&amp;"")</f>
        <v/>
      </c>
      <c r="S2665" s="9">
        <f>IF(Q2665="","",IF(MATCH(R2665,$R$5:$R$100000,0)=ROW()-4,ROW(),""))</f>
        <v/>
      </c>
      <c r="T2665" s="9">
        <f>IF(Q2665="당기",ABS(P2665)+ROW()/1000000000,"")</f>
        <v/>
      </c>
      <c r="U2665" s="9">
        <f>IF(Q2665="비교",ABS(P2665)+ROW()/1000000000,"")</f>
        <v/>
      </c>
      <c r="V2665" s="39">
        <f>IF($A2665="","",IF(COUNTIF(변동분석!$E$7:$E$506,O2665)&gt;0,"Y","N"))</f>
        <v/>
      </c>
      <c r="W2665" s="39">
        <f>IF($A2665="","",IFERROR(INDEX(계정매핑!$D$5:$D$504,MATCH($F2665&amp;"",계정매핑!$A$5:$A$504,0)),"미매핑"))</f>
        <v/>
      </c>
      <c r="X2665" s="9">
        <f>IF($A2665="","",$F2665&amp;"")</f>
        <v/>
      </c>
    </row>
    <row r="2666">
      <c r="A2666" s="75" t="n">
        <v>2026</v>
      </c>
      <c r="B2666" s="75" t="n">
        <v>2</v>
      </c>
      <c r="C2666" s="75" t="inlineStr">
        <is>
          <t>5100000322</t>
        </is>
      </c>
      <c r="D2666" s="78" t="n">
        <v>46070</v>
      </c>
      <c r="E2666" s="75" t="inlineStr">
        <is>
          <t>KR</t>
        </is>
      </c>
      <c r="F2666" s="75" t="n">
        <v>62102000</v>
      </c>
      <c r="G2666" s="75" t="n">
        <v>1201</v>
      </c>
      <c r="H2666" s="76" t="n">
        <v>86000</v>
      </c>
      <c r="I2666" s="75" t="inlineStr">
        <is>
          <t>2월 해외출장 - M항공</t>
        </is>
      </c>
      <c r="J2666" s="75" t="inlineStr">
        <is>
          <t>V10001</t>
        </is>
      </c>
      <c r="K2666" s="75" t="inlineStr">
        <is>
          <t>M항공</t>
        </is>
      </c>
      <c r="M2666" s="9">
        <f>IF($A2666="","",VALUE($A2666&amp;"")*12+VALUE($B2666&amp;""))</f>
        <v/>
      </c>
      <c r="N2666" s="39">
        <f>IF($A2666="","",IFERROR(INDEX(부서매핑!$C$5:$C$504,MATCH($G2666&amp;"",부서매핑!$A$5:$A$504,0)),"미매핑"))</f>
        <v/>
      </c>
      <c r="O2666" s="9">
        <f>IF($A2666="","",N2666&amp;"|"&amp;$F2666)</f>
        <v/>
      </c>
      <c r="P2666" s="77">
        <f>IF($A2666="",0,$H2666*설정!$C$23)</f>
        <v/>
      </c>
      <c r="Q2666" s="39">
        <f>IF($A2666="","",IF(O2666&lt;&gt;원인분석!$C$9,"",IF(AND(M2666&gt;=원인분석!$C$10,M2666&lt;=원인분석!$C$11),"당기",IF(AND(M2666&gt;=원인분석!$C$12,M2666&lt;=원인분석!$C$13),"비교",""))))</f>
        <v/>
      </c>
      <c r="R2666" s="9">
        <f>IF(Q2666="","",$K2666&amp;"")</f>
        <v/>
      </c>
      <c r="S2666" s="9">
        <f>IF(Q2666="","",IF(MATCH(R2666,$R$5:$R$100000,0)=ROW()-4,ROW(),""))</f>
        <v/>
      </c>
      <c r="T2666" s="9">
        <f>IF(Q2666="당기",ABS(P2666)+ROW()/1000000000,"")</f>
        <v/>
      </c>
      <c r="U2666" s="9">
        <f>IF(Q2666="비교",ABS(P2666)+ROW()/1000000000,"")</f>
        <v/>
      </c>
      <c r="V2666" s="39">
        <f>IF($A2666="","",IF(COUNTIF(변동분석!$E$7:$E$506,O2666)&gt;0,"Y","N"))</f>
        <v/>
      </c>
      <c r="W2666" s="39">
        <f>IF($A2666="","",IFERROR(INDEX(계정매핑!$D$5:$D$504,MATCH($F2666&amp;"",계정매핑!$A$5:$A$504,0)),"미매핑"))</f>
        <v/>
      </c>
      <c r="X2666" s="9">
        <f>IF($A2666="","",$F2666&amp;"")</f>
        <v/>
      </c>
    </row>
    <row r="2667">
      <c r="A2667" s="75" t="n">
        <v>2026</v>
      </c>
      <c r="B2667" s="75" t="n">
        <v>2</v>
      </c>
      <c r="C2667" s="75" t="inlineStr">
        <is>
          <t>5100000323</t>
        </is>
      </c>
      <c r="D2667" s="78" t="n">
        <v>46070</v>
      </c>
      <c r="E2667" s="75" t="inlineStr">
        <is>
          <t>KR</t>
        </is>
      </c>
      <c r="F2667" s="75" t="n">
        <v>62102000</v>
      </c>
      <c r="G2667" s="75" t="n">
        <v>1401</v>
      </c>
      <c r="H2667" s="76" t="n">
        <v>189000</v>
      </c>
      <c r="I2667" s="75" t="inlineStr">
        <is>
          <t>2월 해외출장 - M항공</t>
        </is>
      </c>
      <c r="J2667" s="75" t="inlineStr">
        <is>
          <t>V10001</t>
        </is>
      </c>
      <c r="K2667" s="75" t="inlineStr">
        <is>
          <t>M항공</t>
        </is>
      </c>
      <c r="M2667" s="9">
        <f>IF($A2667="","",VALUE($A2667&amp;"")*12+VALUE($B2667&amp;""))</f>
        <v/>
      </c>
      <c r="N2667" s="39">
        <f>IF($A2667="","",IFERROR(INDEX(부서매핑!$C$5:$C$504,MATCH($G2667&amp;"",부서매핑!$A$5:$A$504,0)),"미매핑"))</f>
        <v/>
      </c>
      <c r="O2667" s="9">
        <f>IF($A2667="","",N2667&amp;"|"&amp;$F2667)</f>
        <v/>
      </c>
      <c r="P2667" s="77">
        <f>IF($A2667="",0,$H2667*설정!$C$23)</f>
        <v/>
      </c>
      <c r="Q2667" s="39">
        <f>IF($A2667="","",IF(O2667&lt;&gt;원인분석!$C$9,"",IF(AND(M2667&gt;=원인분석!$C$10,M2667&lt;=원인분석!$C$11),"당기",IF(AND(M2667&gt;=원인분석!$C$12,M2667&lt;=원인분석!$C$13),"비교",""))))</f>
        <v/>
      </c>
      <c r="R2667" s="9">
        <f>IF(Q2667="","",$K2667&amp;"")</f>
        <v/>
      </c>
      <c r="S2667" s="9">
        <f>IF(Q2667="","",IF(MATCH(R2667,$R$5:$R$100000,0)=ROW()-4,ROW(),""))</f>
        <v/>
      </c>
      <c r="T2667" s="9">
        <f>IF(Q2667="당기",ABS(P2667)+ROW()/1000000000,"")</f>
        <v/>
      </c>
      <c r="U2667" s="9">
        <f>IF(Q2667="비교",ABS(P2667)+ROW()/1000000000,"")</f>
        <v/>
      </c>
      <c r="V2667" s="39">
        <f>IF($A2667="","",IF(COUNTIF(변동분석!$E$7:$E$506,O2667)&gt;0,"Y","N"))</f>
        <v/>
      </c>
      <c r="W2667" s="39">
        <f>IF($A2667="","",IFERROR(INDEX(계정매핑!$D$5:$D$504,MATCH($F2667&amp;"",계정매핑!$A$5:$A$504,0)),"미매핑"))</f>
        <v/>
      </c>
      <c r="X2667" s="9">
        <f>IF($A2667="","",$F2667&amp;"")</f>
        <v/>
      </c>
    </row>
    <row r="2668">
      <c r="A2668" s="75" t="n">
        <v>2026</v>
      </c>
      <c r="B2668" s="75" t="n">
        <v>2</v>
      </c>
      <c r="C2668" s="75" t="inlineStr">
        <is>
          <t>5100000324</t>
        </is>
      </c>
      <c r="D2668" s="78" t="n">
        <v>46070</v>
      </c>
      <c r="E2668" s="75" t="inlineStr">
        <is>
          <t>KR</t>
        </is>
      </c>
      <c r="F2668" s="75" t="n">
        <v>62401000</v>
      </c>
      <c r="G2668" s="75" t="n">
        <v>1401</v>
      </c>
      <c r="H2668" s="76" t="n">
        <v>326000</v>
      </c>
      <c r="I2668" s="75" t="inlineStr">
        <is>
          <t>2월 인쇄물 제작 - G인쇄</t>
        </is>
      </c>
      <c r="J2668" s="75" t="inlineStr">
        <is>
          <t>V10004</t>
        </is>
      </c>
      <c r="K2668" s="75" t="inlineStr">
        <is>
          <t>G인쇄</t>
        </is>
      </c>
      <c r="M2668" s="9">
        <f>IF($A2668="","",VALUE($A2668&amp;"")*12+VALUE($B2668&amp;""))</f>
        <v/>
      </c>
      <c r="N2668" s="39">
        <f>IF($A2668="","",IFERROR(INDEX(부서매핑!$C$5:$C$504,MATCH($G2668&amp;"",부서매핑!$A$5:$A$504,0)),"미매핑"))</f>
        <v/>
      </c>
      <c r="O2668" s="9">
        <f>IF($A2668="","",N2668&amp;"|"&amp;$F2668)</f>
        <v/>
      </c>
      <c r="P2668" s="77">
        <f>IF($A2668="",0,$H2668*설정!$C$23)</f>
        <v/>
      </c>
      <c r="Q2668" s="39">
        <f>IF($A2668="","",IF(O2668&lt;&gt;원인분석!$C$9,"",IF(AND(M2668&gt;=원인분석!$C$10,M2668&lt;=원인분석!$C$11),"당기",IF(AND(M2668&gt;=원인분석!$C$12,M2668&lt;=원인분석!$C$13),"비교",""))))</f>
        <v/>
      </c>
      <c r="R2668" s="9">
        <f>IF(Q2668="","",$K2668&amp;"")</f>
        <v/>
      </c>
      <c r="S2668" s="9">
        <f>IF(Q2668="","",IF(MATCH(R2668,$R$5:$R$100000,0)=ROW()-4,ROW(),""))</f>
        <v/>
      </c>
      <c r="T2668" s="9">
        <f>IF(Q2668="당기",ABS(P2668)+ROW()/1000000000,"")</f>
        <v/>
      </c>
      <c r="U2668" s="9">
        <f>IF(Q2668="비교",ABS(P2668)+ROW()/1000000000,"")</f>
        <v/>
      </c>
      <c r="V2668" s="39">
        <f>IF($A2668="","",IF(COUNTIF(변동분석!$E$7:$E$506,O2668)&gt;0,"Y","N"))</f>
        <v/>
      </c>
      <c r="W2668" s="39">
        <f>IF($A2668="","",IFERROR(INDEX(계정매핑!$D$5:$D$504,MATCH($F2668&amp;"",계정매핑!$A$5:$A$504,0)),"미매핑"))</f>
        <v/>
      </c>
      <c r="X2668" s="9">
        <f>IF($A2668="","",$F2668&amp;"")</f>
        <v/>
      </c>
    </row>
    <row r="2669">
      <c r="A2669" s="75" t="n">
        <v>2026</v>
      </c>
      <c r="B2669" s="75" t="n">
        <v>2</v>
      </c>
      <c r="C2669" s="75" t="inlineStr">
        <is>
          <t>5100000325</t>
        </is>
      </c>
      <c r="D2669" s="78" t="n">
        <v>46070</v>
      </c>
      <c r="E2669" s="75" t="inlineStr">
        <is>
          <t>KR</t>
        </is>
      </c>
      <c r="F2669" s="75" t="n">
        <v>62501000</v>
      </c>
      <c r="G2669" s="75" t="n">
        <v>1101</v>
      </c>
      <c r="H2669" s="76" t="n">
        <v>434000</v>
      </c>
      <c r="I2669" s="75" t="inlineStr">
        <is>
          <t>2월 회의 다과 - T케이터링</t>
        </is>
      </c>
      <c r="J2669" s="75" t="inlineStr">
        <is>
          <t>V10005</t>
        </is>
      </c>
      <c r="K2669" s="75" t="inlineStr">
        <is>
          <t>T케이터링</t>
        </is>
      </c>
      <c r="M2669" s="9">
        <f>IF($A2669="","",VALUE($A2669&amp;"")*12+VALUE($B2669&amp;""))</f>
        <v/>
      </c>
      <c r="N2669" s="39">
        <f>IF($A2669="","",IFERROR(INDEX(부서매핑!$C$5:$C$504,MATCH($G2669&amp;"",부서매핑!$A$5:$A$504,0)),"미매핑"))</f>
        <v/>
      </c>
      <c r="O2669" s="9">
        <f>IF($A2669="","",N2669&amp;"|"&amp;$F2669)</f>
        <v/>
      </c>
      <c r="P2669" s="77">
        <f>IF($A2669="",0,$H2669*설정!$C$23)</f>
        <v/>
      </c>
      <c r="Q2669" s="39">
        <f>IF($A2669="","",IF(O2669&lt;&gt;원인분석!$C$9,"",IF(AND(M2669&gt;=원인분석!$C$10,M2669&lt;=원인분석!$C$11),"당기",IF(AND(M2669&gt;=원인분석!$C$12,M2669&lt;=원인분석!$C$13),"비교",""))))</f>
        <v/>
      </c>
      <c r="R2669" s="9">
        <f>IF(Q2669="","",$K2669&amp;"")</f>
        <v/>
      </c>
      <c r="S2669" s="9">
        <f>IF(Q2669="","",IF(MATCH(R2669,$R$5:$R$100000,0)=ROW()-4,ROW(),""))</f>
        <v/>
      </c>
      <c r="T2669" s="9">
        <f>IF(Q2669="당기",ABS(P2669)+ROW()/1000000000,"")</f>
        <v/>
      </c>
      <c r="U2669" s="9">
        <f>IF(Q2669="비교",ABS(P2669)+ROW()/1000000000,"")</f>
        <v/>
      </c>
      <c r="V2669" s="39">
        <f>IF($A2669="","",IF(COUNTIF(변동분석!$E$7:$E$506,O2669)&gt;0,"Y","N"))</f>
        <v/>
      </c>
      <c r="W2669" s="39">
        <f>IF($A2669="","",IFERROR(INDEX(계정매핑!$D$5:$D$504,MATCH($F2669&amp;"",계정매핑!$A$5:$A$504,0)),"미매핑"))</f>
        <v/>
      </c>
      <c r="X2669" s="9">
        <f>IF($A2669="","",$F2669&amp;"")</f>
        <v/>
      </c>
    </row>
    <row r="2670">
      <c r="A2670" s="75" t="n">
        <v>2026</v>
      </c>
      <c r="B2670" s="75" t="n">
        <v>2</v>
      </c>
      <c r="C2670" s="75" t="inlineStr">
        <is>
          <t>5100000326</t>
        </is>
      </c>
      <c r="D2670" s="78" t="n">
        <v>46070</v>
      </c>
      <c r="E2670" s="75" t="inlineStr">
        <is>
          <t>KR</t>
        </is>
      </c>
      <c r="F2670" s="75" t="n">
        <v>62501000</v>
      </c>
      <c r="G2670" s="75" t="n">
        <v>1701</v>
      </c>
      <c r="H2670" s="76" t="n">
        <v>56000</v>
      </c>
      <c r="I2670" s="75" t="inlineStr">
        <is>
          <t>2월 회의 다과 - (법인카드)</t>
        </is>
      </c>
      <c r="J2670" s="75" t="inlineStr">
        <is>
          <t>V10008</t>
        </is>
      </c>
      <c r="K2670" s="75" t="inlineStr">
        <is>
          <t>(법인카드)</t>
        </is>
      </c>
      <c r="M2670" s="9">
        <f>IF($A2670="","",VALUE($A2670&amp;"")*12+VALUE($B2670&amp;""))</f>
        <v/>
      </c>
      <c r="N2670" s="39">
        <f>IF($A2670="","",IFERROR(INDEX(부서매핑!$C$5:$C$504,MATCH($G2670&amp;"",부서매핑!$A$5:$A$504,0)),"미매핑"))</f>
        <v/>
      </c>
      <c r="O2670" s="9">
        <f>IF($A2670="","",N2670&amp;"|"&amp;$F2670)</f>
        <v/>
      </c>
      <c r="P2670" s="77">
        <f>IF($A2670="",0,$H2670*설정!$C$23)</f>
        <v/>
      </c>
      <c r="Q2670" s="39">
        <f>IF($A2670="","",IF(O2670&lt;&gt;원인분석!$C$9,"",IF(AND(M2670&gt;=원인분석!$C$10,M2670&lt;=원인분석!$C$11),"당기",IF(AND(M2670&gt;=원인분석!$C$12,M2670&lt;=원인분석!$C$13),"비교",""))))</f>
        <v/>
      </c>
      <c r="R2670" s="9">
        <f>IF(Q2670="","",$K2670&amp;"")</f>
        <v/>
      </c>
      <c r="S2670" s="9">
        <f>IF(Q2670="","",IF(MATCH(R2670,$R$5:$R$100000,0)=ROW()-4,ROW(),""))</f>
        <v/>
      </c>
      <c r="T2670" s="9">
        <f>IF(Q2670="당기",ABS(P2670)+ROW()/1000000000,"")</f>
        <v/>
      </c>
      <c r="U2670" s="9">
        <f>IF(Q2670="비교",ABS(P2670)+ROW()/1000000000,"")</f>
        <v/>
      </c>
      <c r="V2670" s="39">
        <f>IF($A2670="","",IF(COUNTIF(변동분석!$E$7:$E$506,O2670)&gt;0,"Y","N"))</f>
        <v/>
      </c>
      <c r="W2670" s="39">
        <f>IF($A2670="","",IFERROR(INDEX(계정매핑!$D$5:$D$504,MATCH($F2670&amp;"",계정매핑!$A$5:$A$504,0)),"미매핑"))</f>
        <v/>
      </c>
      <c r="X2670" s="9">
        <f>IF($A2670="","",$F2670&amp;"")</f>
        <v/>
      </c>
    </row>
    <row r="2671">
      <c r="A2671" s="75" t="n">
        <v>2026</v>
      </c>
      <c r="B2671" s="75" t="n">
        <v>2</v>
      </c>
      <c r="C2671" s="75" t="inlineStr">
        <is>
          <t>5100000327</t>
        </is>
      </c>
      <c r="D2671" s="78" t="n">
        <v>46070</v>
      </c>
      <c r="E2671" s="75" t="inlineStr">
        <is>
          <t>KR</t>
        </is>
      </c>
      <c r="F2671" s="75" t="n">
        <v>62601000</v>
      </c>
      <c r="G2671" s="75" t="n">
        <v>1301</v>
      </c>
      <c r="H2671" s="76" t="n">
        <v>1604000</v>
      </c>
      <c r="I2671" s="75" t="inlineStr">
        <is>
          <t>2월 업무추진 - (법인카드)</t>
        </is>
      </c>
      <c r="J2671" s="75" t="inlineStr">
        <is>
          <t>V10008</t>
        </is>
      </c>
      <c r="K2671" s="75" t="inlineStr">
        <is>
          <t>(법인카드)</t>
        </is>
      </c>
      <c r="M2671" s="9">
        <f>IF($A2671="","",VALUE($A2671&amp;"")*12+VALUE($B2671&amp;""))</f>
        <v/>
      </c>
      <c r="N2671" s="39">
        <f>IF($A2671="","",IFERROR(INDEX(부서매핑!$C$5:$C$504,MATCH($G2671&amp;"",부서매핑!$A$5:$A$504,0)),"미매핑"))</f>
        <v/>
      </c>
      <c r="O2671" s="9">
        <f>IF($A2671="","",N2671&amp;"|"&amp;$F2671)</f>
        <v/>
      </c>
      <c r="P2671" s="77">
        <f>IF($A2671="",0,$H2671*설정!$C$23)</f>
        <v/>
      </c>
      <c r="Q2671" s="39">
        <f>IF($A2671="","",IF(O2671&lt;&gt;원인분석!$C$9,"",IF(AND(M2671&gt;=원인분석!$C$10,M2671&lt;=원인분석!$C$11),"당기",IF(AND(M2671&gt;=원인분석!$C$12,M2671&lt;=원인분석!$C$13),"비교",""))))</f>
        <v/>
      </c>
      <c r="R2671" s="9">
        <f>IF(Q2671="","",$K2671&amp;"")</f>
        <v/>
      </c>
      <c r="S2671" s="9">
        <f>IF(Q2671="","",IF(MATCH(R2671,$R$5:$R$100000,0)=ROW()-4,ROW(),""))</f>
        <v/>
      </c>
      <c r="T2671" s="9">
        <f>IF(Q2671="당기",ABS(P2671)+ROW()/1000000000,"")</f>
        <v/>
      </c>
      <c r="U2671" s="9">
        <f>IF(Q2671="비교",ABS(P2671)+ROW()/1000000000,"")</f>
        <v/>
      </c>
      <c r="V2671" s="39">
        <f>IF($A2671="","",IF(COUNTIF(변동분석!$E$7:$E$506,O2671)&gt;0,"Y","N"))</f>
        <v/>
      </c>
      <c r="W2671" s="39">
        <f>IF($A2671="","",IFERROR(INDEX(계정매핑!$D$5:$D$504,MATCH($F2671&amp;"",계정매핑!$A$5:$A$504,0)),"미매핑"))</f>
        <v/>
      </c>
      <c r="X2671" s="9">
        <f>IF($A2671="","",$F2671&amp;"")</f>
        <v/>
      </c>
    </row>
    <row r="2672">
      <c r="A2672" s="75" t="n">
        <v>2026</v>
      </c>
      <c r="B2672" s="75" t="n">
        <v>2</v>
      </c>
      <c r="C2672" s="75" t="inlineStr">
        <is>
          <t>5100000328</t>
        </is>
      </c>
      <c r="D2672" s="78" t="n">
        <v>46070</v>
      </c>
      <c r="E2672" s="75" t="inlineStr">
        <is>
          <t>KR</t>
        </is>
      </c>
      <c r="F2672" s="75" t="n">
        <v>62901000</v>
      </c>
      <c r="G2672" s="75" t="n">
        <v>1401</v>
      </c>
      <c r="H2672" s="76" t="n">
        <v>4502000</v>
      </c>
      <c r="I2672" s="75" t="inlineStr">
        <is>
          <t>2월 자문 수수료 - K회계법인</t>
        </is>
      </c>
      <c r="J2672" s="75" t="inlineStr">
        <is>
          <t>V10010</t>
        </is>
      </c>
      <c r="K2672" s="75" t="inlineStr">
        <is>
          <t>K회계법인</t>
        </is>
      </c>
      <c r="M2672" s="9">
        <f>IF($A2672="","",VALUE($A2672&amp;"")*12+VALUE($B2672&amp;""))</f>
        <v/>
      </c>
      <c r="N2672" s="39">
        <f>IF($A2672="","",IFERROR(INDEX(부서매핑!$C$5:$C$504,MATCH($G2672&amp;"",부서매핑!$A$5:$A$504,0)),"미매핑"))</f>
        <v/>
      </c>
      <c r="O2672" s="9">
        <f>IF($A2672="","",N2672&amp;"|"&amp;$F2672)</f>
        <v/>
      </c>
      <c r="P2672" s="77">
        <f>IF($A2672="",0,$H2672*설정!$C$23)</f>
        <v/>
      </c>
      <c r="Q2672" s="39">
        <f>IF($A2672="","",IF(O2672&lt;&gt;원인분석!$C$9,"",IF(AND(M2672&gt;=원인분석!$C$10,M2672&lt;=원인분석!$C$11),"당기",IF(AND(M2672&gt;=원인분석!$C$12,M2672&lt;=원인분석!$C$13),"비교",""))))</f>
        <v/>
      </c>
      <c r="R2672" s="9">
        <f>IF(Q2672="","",$K2672&amp;"")</f>
        <v/>
      </c>
      <c r="S2672" s="9">
        <f>IF(Q2672="","",IF(MATCH(R2672,$R$5:$R$100000,0)=ROW()-4,ROW(),""))</f>
        <v/>
      </c>
      <c r="T2672" s="9">
        <f>IF(Q2672="당기",ABS(P2672)+ROW()/1000000000,"")</f>
        <v/>
      </c>
      <c r="U2672" s="9">
        <f>IF(Q2672="비교",ABS(P2672)+ROW()/1000000000,"")</f>
        <v/>
      </c>
      <c r="V2672" s="39">
        <f>IF($A2672="","",IF(COUNTIF(변동분석!$E$7:$E$506,O2672)&gt;0,"Y","N"))</f>
        <v/>
      </c>
      <c r="W2672" s="39">
        <f>IF($A2672="","",IFERROR(INDEX(계정매핑!$D$5:$D$504,MATCH($F2672&amp;"",계정매핑!$A$5:$A$504,0)),"미매핑"))</f>
        <v/>
      </c>
      <c r="X2672" s="9">
        <f>IF($A2672="","",$F2672&amp;"")</f>
        <v/>
      </c>
    </row>
    <row r="2673">
      <c r="A2673" s="75" t="n">
        <v>2026</v>
      </c>
      <c r="B2673" s="75" t="n">
        <v>2</v>
      </c>
      <c r="C2673" s="75" t="inlineStr">
        <is>
          <t>5100000329</t>
        </is>
      </c>
      <c r="D2673" s="78" t="n">
        <v>46070</v>
      </c>
      <c r="E2673" s="75" t="inlineStr">
        <is>
          <t>KR</t>
        </is>
      </c>
      <c r="F2673" s="75" t="n">
        <v>62902000</v>
      </c>
      <c r="G2673" s="75" t="n">
        <v>1201</v>
      </c>
      <c r="H2673" s="76" t="n">
        <v>3574000</v>
      </c>
      <c r="I2673" s="75" t="inlineStr">
        <is>
          <t>2월 업무 위탁 수수료 - J콜센터</t>
        </is>
      </c>
      <c r="J2673" s="75" t="inlineStr">
        <is>
          <t>V10013</t>
        </is>
      </c>
      <c r="K2673" s="75" t="inlineStr">
        <is>
          <t>J콜센터</t>
        </is>
      </c>
      <c r="M2673" s="9">
        <f>IF($A2673="","",VALUE($A2673&amp;"")*12+VALUE($B2673&amp;""))</f>
        <v/>
      </c>
      <c r="N2673" s="39">
        <f>IF($A2673="","",IFERROR(INDEX(부서매핑!$C$5:$C$504,MATCH($G2673&amp;"",부서매핑!$A$5:$A$504,0)),"미매핑"))</f>
        <v/>
      </c>
      <c r="O2673" s="9">
        <f>IF($A2673="","",N2673&amp;"|"&amp;$F2673)</f>
        <v/>
      </c>
      <c r="P2673" s="77">
        <f>IF($A2673="",0,$H2673*설정!$C$23)</f>
        <v/>
      </c>
      <c r="Q2673" s="39">
        <f>IF($A2673="","",IF(O2673&lt;&gt;원인분석!$C$9,"",IF(AND(M2673&gt;=원인분석!$C$10,M2673&lt;=원인분석!$C$11),"당기",IF(AND(M2673&gt;=원인분석!$C$12,M2673&lt;=원인분석!$C$13),"비교",""))))</f>
        <v/>
      </c>
      <c r="R2673" s="9">
        <f>IF(Q2673="","",$K2673&amp;"")</f>
        <v/>
      </c>
      <c r="S2673" s="9">
        <f>IF(Q2673="","",IF(MATCH(R2673,$R$5:$R$100000,0)=ROW()-4,ROW(),""))</f>
        <v/>
      </c>
      <c r="T2673" s="9">
        <f>IF(Q2673="당기",ABS(P2673)+ROW()/1000000000,"")</f>
        <v/>
      </c>
      <c r="U2673" s="9">
        <f>IF(Q2673="비교",ABS(P2673)+ROW()/1000000000,"")</f>
        <v/>
      </c>
      <c r="V2673" s="39">
        <f>IF($A2673="","",IF(COUNTIF(변동분석!$E$7:$E$506,O2673)&gt;0,"Y","N"))</f>
        <v/>
      </c>
      <c r="W2673" s="39">
        <f>IF($A2673="","",IFERROR(INDEX(계정매핑!$D$5:$D$504,MATCH($F2673&amp;"",계정매핑!$A$5:$A$504,0)),"미매핑"))</f>
        <v/>
      </c>
      <c r="X2673" s="9">
        <f>IF($A2673="","",$F2673&amp;"")</f>
        <v/>
      </c>
    </row>
    <row r="2674">
      <c r="A2674" s="75" t="n">
        <v>2026</v>
      </c>
      <c r="B2674" s="75" t="n">
        <v>2</v>
      </c>
      <c r="C2674" s="75" t="inlineStr">
        <is>
          <t>5100000330</t>
        </is>
      </c>
      <c r="D2674" s="78" t="n">
        <v>46071</v>
      </c>
      <c r="E2674" s="75" t="inlineStr">
        <is>
          <t>KR</t>
        </is>
      </c>
      <c r="F2674" s="75" t="n">
        <v>62101000</v>
      </c>
      <c r="G2674" s="75" t="n">
        <v>1501</v>
      </c>
      <c r="H2674" s="76" t="n">
        <v>638000</v>
      </c>
      <c r="I2674" s="75" t="inlineStr">
        <is>
          <t>2월 국내출장 - L여행사</t>
        </is>
      </c>
      <c r="J2674" s="75" t="inlineStr">
        <is>
          <t>V10014</t>
        </is>
      </c>
      <c r="K2674" s="75" t="inlineStr">
        <is>
          <t>L여행사</t>
        </is>
      </c>
      <c r="M2674" s="9">
        <f>IF($A2674="","",VALUE($A2674&amp;"")*12+VALUE($B2674&amp;""))</f>
        <v/>
      </c>
      <c r="N2674" s="39">
        <f>IF($A2674="","",IFERROR(INDEX(부서매핑!$C$5:$C$504,MATCH($G2674&amp;"",부서매핑!$A$5:$A$504,0)),"미매핑"))</f>
        <v/>
      </c>
      <c r="O2674" s="9">
        <f>IF($A2674="","",N2674&amp;"|"&amp;$F2674)</f>
        <v/>
      </c>
      <c r="P2674" s="77">
        <f>IF($A2674="",0,$H2674*설정!$C$23)</f>
        <v/>
      </c>
      <c r="Q2674" s="39">
        <f>IF($A2674="","",IF(O2674&lt;&gt;원인분석!$C$9,"",IF(AND(M2674&gt;=원인분석!$C$10,M2674&lt;=원인분석!$C$11),"당기",IF(AND(M2674&gt;=원인분석!$C$12,M2674&lt;=원인분석!$C$13),"비교",""))))</f>
        <v/>
      </c>
      <c r="R2674" s="9">
        <f>IF(Q2674="","",$K2674&amp;"")</f>
        <v/>
      </c>
      <c r="S2674" s="9">
        <f>IF(Q2674="","",IF(MATCH(R2674,$R$5:$R$100000,0)=ROW()-4,ROW(),""))</f>
        <v/>
      </c>
      <c r="T2674" s="9">
        <f>IF(Q2674="당기",ABS(P2674)+ROW()/1000000000,"")</f>
        <v/>
      </c>
      <c r="U2674" s="9">
        <f>IF(Q2674="비교",ABS(P2674)+ROW()/1000000000,"")</f>
        <v/>
      </c>
      <c r="V2674" s="39">
        <f>IF($A2674="","",IF(COUNTIF(변동분석!$E$7:$E$506,O2674)&gt;0,"Y","N"))</f>
        <v/>
      </c>
      <c r="W2674" s="39">
        <f>IF($A2674="","",IFERROR(INDEX(계정매핑!$D$5:$D$504,MATCH($F2674&amp;"",계정매핑!$A$5:$A$504,0)),"미매핑"))</f>
        <v/>
      </c>
      <c r="X2674" s="9">
        <f>IF($A2674="","",$F2674&amp;"")</f>
        <v/>
      </c>
    </row>
    <row r="2675">
      <c r="A2675" s="75" t="n">
        <v>2026</v>
      </c>
      <c r="B2675" s="75" t="n">
        <v>2</v>
      </c>
      <c r="C2675" s="75" t="inlineStr">
        <is>
          <t>5100000331</t>
        </is>
      </c>
      <c r="D2675" s="78" t="n">
        <v>46071</v>
      </c>
      <c r="E2675" s="75" t="inlineStr">
        <is>
          <t>KR</t>
        </is>
      </c>
      <c r="F2675" s="75" t="n">
        <v>62102000</v>
      </c>
      <c r="G2675" s="75" t="n">
        <v>1101</v>
      </c>
      <c r="H2675" s="76" t="n">
        <v>191000</v>
      </c>
      <c r="I2675" s="75" t="inlineStr">
        <is>
          <t>2월 해외출장 - M항공</t>
        </is>
      </c>
      <c r="J2675" s="75" t="inlineStr">
        <is>
          <t>V10001</t>
        </is>
      </c>
      <c r="K2675" s="75" t="inlineStr">
        <is>
          <t>M항공</t>
        </is>
      </c>
      <c r="M2675" s="9">
        <f>IF($A2675="","",VALUE($A2675&amp;"")*12+VALUE($B2675&amp;""))</f>
        <v/>
      </c>
      <c r="N2675" s="39">
        <f>IF($A2675="","",IFERROR(INDEX(부서매핑!$C$5:$C$504,MATCH($G2675&amp;"",부서매핑!$A$5:$A$504,0)),"미매핑"))</f>
        <v/>
      </c>
      <c r="O2675" s="9">
        <f>IF($A2675="","",N2675&amp;"|"&amp;$F2675)</f>
        <v/>
      </c>
      <c r="P2675" s="77">
        <f>IF($A2675="",0,$H2675*설정!$C$23)</f>
        <v/>
      </c>
      <c r="Q2675" s="39">
        <f>IF($A2675="","",IF(O2675&lt;&gt;원인분석!$C$9,"",IF(AND(M2675&gt;=원인분석!$C$10,M2675&lt;=원인분석!$C$11),"당기",IF(AND(M2675&gt;=원인분석!$C$12,M2675&lt;=원인분석!$C$13),"비교",""))))</f>
        <v/>
      </c>
      <c r="R2675" s="9">
        <f>IF(Q2675="","",$K2675&amp;"")</f>
        <v/>
      </c>
      <c r="S2675" s="9">
        <f>IF(Q2675="","",IF(MATCH(R2675,$R$5:$R$100000,0)=ROW()-4,ROW(),""))</f>
        <v/>
      </c>
      <c r="T2675" s="9">
        <f>IF(Q2675="당기",ABS(P2675)+ROW()/1000000000,"")</f>
        <v/>
      </c>
      <c r="U2675" s="9">
        <f>IF(Q2675="비교",ABS(P2675)+ROW()/1000000000,"")</f>
        <v/>
      </c>
      <c r="V2675" s="39">
        <f>IF($A2675="","",IF(COUNTIF(변동분석!$E$7:$E$506,O2675)&gt;0,"Y","N"))</f>
        <v/>
      </c>
      <c r="W2675" s="39">
        <f>IF($A2675="","",IFERROR(INDEX(계정매핑!$D$5:$D$504,MATCH($F2675&amp;"",계정매핑!$A$5:$A$504,0)),"미매핑"))</f>
        <v/>
      </c>
      <c r="X2675" s="9">
        <f>IF($A2675="","",$F2675&amp;"")</f>
        <v/>
      </c>
    </row>
    <row r="2676">
      <c r="A2676" s="75" t="n">
        <v>2026</v>
      </c>
      <c r="B2676" s="75" t="n">
        <v>2</v>
      </c>
      <c r="C2676" s="75" t="inlineStr">
        <is>
          <t>5100000332</t>
        </is>
      </c>
      <c r="D2676" s="78" t="n">
        <v>46071</v>
      </c>
      <c r="E2676" s="75" t="inlineStr">
        <is>
          <t>KR</t>
        </is>
      </c>
      <c r="F2676" s="75" t="n">
        <v>62102000</v>
      </c>
      <c r="G2676" s="75" t="n">
        <v>1602</v>
      </c>
      <c r="H2676" s="76" t="n">
        <v>392000</v>
      </c>
      <c r="I2676" s="75" t="inlineStr">
        <is>
          <t>2월 해외출장 - N호텔</t>
        </is>
      </c>
      <c r="J2676" s="75" t="inlineStr">
        <is>
          <t>V10007</t>
        </is>
      </c>
      <c r="K2676" s="75" t="inlineStr">
        <is>
          <t>N호텔</t>
        </is>
      </c>
      <c r="M2676" s="9">
        <f>IF($A2676="","",VALUE($A2676&amp;"")*12+VALUE($B2676&amp;""))</f>
        <v/>
      </c>
      <c r="N2676" s="39">
        <f>IF($A2676="","",IFERROR(INDEX(부서매핑!$C$5:$C$504,MATCH($G2676&amp;"",부서매핑!$A$5:$A$504,0)),"미매핑"))</f>
        <v/>
      </c>
      <c r="O2676" s="9">
        <f>IF($A2676="","",N2676&amp;"|"&amp;$F2676)</f>
        <v/>
      </c>
      <c r="P2676" s="77">
        <f>IF($A2676="",0,$H2676*설정!$C$23)</f>
        <v/>
      </c>
      <c r="Q2676" s="39">
        <f>IF($A2676="","",IF(O2676&lt;&gt;원인분석!$C$9,"",IF(AND(M2676&gt;=원인분석!$C$10,M2676&lt;=원인분석!$C$11),"당기",IF(AND(M2676&gt;=원인분석!$C$12,M2676&lt;=원인분석!$C$13),"비교",""))))</f>
        <v/>
      </c>
      <c r="R2676" s="9">
        <f>IF(Q2676="","",$K2676&amp;"")</f>
        <v/>
      </c>
      <c r="S2676" s="9">
        <f>IF(Q2676="","",IF(MATCH(R2676,$R$5:$R$100000,0)=ROW()-4,ROW(),""))</f>
        <v/>
      </c>
      <c r="T2676" s="9">
        <f>IF(Q2676="당기",ABS(P2676)+ROW()/1000000000,"")</f>
        <v/>
      </c>
      <c r="U2676" s="9">
        <f>IF(Q2676="비교",ABS(P2676)+ROW()/1000000000,"")</f>
        <v/>
      </c>
      <c r="V2676" s="39">
        <f>IF($A2676="","",IF(COUNTIF(변동분석!$E$7:$E$506,O2676)&gt;0,"Y","N"))</f>
        <v/>
      </c>
      <c r="W2676" s="39">
        <f>IF($A2676="","",IFERROR(INDEX(계정매핑!$D$5:$D$504,MATCH($F2676&amp;"",계정매핑!$A$5:$A$504,0)),"미매핑"))</f>
        <v/>
      </c>
      <c r="X2676" s="9">
        <f>IF($A2676="","",$F2676&amp;"")</f>
        <v/>
      </c>
    </row>
    <row r="2677">
      <c r="A2677" s="75" t="n">
        <v>2026</v>
      </c>
      <c r="B2677" s="75" t="n">
        <v>2</v>
      </c>
      <c r="C2677" s="75" t="inlineStr">
        <is>
          <t>5100000333</t>
        </is>
      </c>
      <c r="D2677" s="78" t="n">
        <v>46071</v>
      </c>
      <c r="E2677" s="75" t="inlineStr">
        <is>
          <t>KR</t>
        </is>
      </c>
      <c r="F2677" s="75" t="n">
        <v>62102000</v>
      </c>
      <c r="G2677" s="75" t="n">
        <v>1801</v>
      </c>
      <c r="H2677" s="76" t="n">
        <v>33000</v>
      </c>
      <c r="I2677" s="75" t="inlineStr">
        <is>
          <t>2월 해외출장 - N호텔</t>
        </is>
      </c>
      <c r="J2677" s="75" t="inlineStr">
        <is>
          <t>V10007</t>
        </is>
      </c>
      <c r="K2677" s="75" t="inlineStr">
        <is>
          <t>N호텔</t>
        </is>
      </c>
      <c r="M2677" s="9">
        <f>IF($A2677="","",VALUE($A2677&amp;"")*12+VALUE($B2677&amp;""))</f>
        <v/>
      </c>
      <c r="N2677" s="39">
        <f>IF($A2677="","",IFERROR(INDEX(부서매핑!$C$5:$C$504,MATCH($G2677&amp;"",부서매핑!$A$5:$A$504,0)),"미매핑"))</f>
        <v/>
      </c>
      <c r="O2677" s="9">
        <f>IF($A2677="","",N2677&amp;"|"&amp;$F2677)</f>
        <v/>
      </c>
      <c r="P2677" s="77">
        <f>IF($A2677="",0,$H2677*설정!$C$23)</f>
        <v/>
      </c>
      <c r="Q2677" s="39">
        <f>IF($A2677="","",IF(O2677&lt;&gt;원인분석!$C$9,"",IF(AND(M2677&gt;=원인분석!$C$10,M2677&lt;=원인분석!$C$11),"당기",IF(AND(M2677&gt;=원인분석!$C$12,M2677&lt;=원인분석!$C$13),"비교",""))))</f>
        <v/>
      </c>
      <c r="R2677" s="9">
        <f>IF(Q2677="","",$K2677&amp;"")</f>
        <v/>
      </c>
      <c r="S2677" s="9">
        <f>IF(Q2677="","",IF(MATCH(R2677,$R$5:$R$100000,0)=ROW()-4,ROW(),""))</f>
        <v/>
      </c>
      <c r="T2677" s="9">
        <f>IF(Q2677="당기",ABS(P2677)+ROW()/1000000000,"")</f>
        <v/>
      </c>
      <c r="U2677" s="9">
        <f>IF(Q2677="비교",ABS(P2677)+ROW()/1000000000,"")</f>
        <v/>
      </c>
      <c r="V2677" s="39">
        <f>IF($A2677="","",IF(COUNTIF(변동분석!$E$7:$E$506,O2677)&gt;0,"Y","N"))</f>
        <v/>
      </c>
      <c r="W2677" s="39">
        <f>IF($A2677="","",IFERROR(INDEX(계정매핑!$D$5:$D$504,MATCH($F2677&amp;"",계정매핑!$A$5:$A$504,0)),"미매핑"))</f>
        <v/>
      </c>
      <c r="X2677" s="9">
        <f>IF($A2677="","",$F2677&amp;"")</f>
        <v/>
      </c>
    </row>
    <row r="2678">
      <c r="A2678" s="75" t="n">
        <v>2026</v>
      </c>
      <c r="B2678" s="75" t="n">
        <v>2</v>
      </c>
      <c r="C2678" s="75" t="inlineStr">
        <is>
          <t>5100000334</t>
        </is>
      </c>
      <c r="D2678" s="78" t="n">
        <v>46071</v>
      </c>
      <c r="E2678" s="75" t="inlineStr">
        <is>
          <t>KR</t>
        </is>
      </c>
      <c r="F2678" s="75" t="n">
        <v>62401000</v>
      </c>
      <c r="G2678" s="75" t="n">
        <v>1801</v>
      </c>
      <c r="H2678" s="76" t="n">
        <v>2073000</v>
      </c>
      <c r="I2678" s="75" t="inlineStr">
        <is>
          <t>2월 인쇄물 제작 - G인쇄</t>
        </is>
      </c>
      <c r="J2678" s="75" t="inlineStr">
        <is>
          <t>V10004</t>
        </is>
      </c>
      <c r="K2678" s="75" t="inlineStr">
        <is>
          <t>G인쇄</t>
        </is>
      </c>
      <c r="M2678" s="9">
        <f>IF($A2678="","",VALUE($A2678&amp;"")*12+VALUE($B2678&amp;""))</f>
        <v/>
      </c>
      <c r="N2678" s="39">
        <f>IF($A2678="","",IFERROR(INDEX(부서매핑!$C$5:$C$504,MATCH($G2678&amp;"",부서매핑!$A$5:$A$504,0)),"미매핑"))</f>
        <v/>
      </c>
      <c r="O2678" s="9">
        <f>IF($A2678="","",N2678&amp;"|"&amp;$F2678)</f>
        <v/>
      </c>
      <c r="P2678" s="77">
        <f>IF($A2678="",0,$H2678*설정!$C$23)</f>
        <v/>
      </c>
      <c r="Q2678" s="39">
        <f>IF($A2678="","",IF(O2678&lt;&gt;원인분석!$C$9,"",IF(AND(M2678&gt;=원인분석!$C$10,M2678&lt;=원인분석!$C$11),"당기",IF(AND(M2678&gt;=원인분석!$C$12,M2678&lt;=원인분석!$C$13),"비교",""))))</f>
        <v/>
      </c>
      <c r="R2678" s="9">
        <f>IF(Q2678="","",$K2678&amp;"")</f>
        <v/>
      </c>
      <c r="S2678" s="9">
        <f>IF(Q2678="","",IF(MATCH(R2678,$R$5:$R$100000,0)=ROW()-4,ROW(),""))</f>
        <v/>
      </c>
      <c r="T2678" s="9">
        <f>IF(Q2678="당기",ABS(P2678)+ROW()/1000000000,"")</f>
        <v/>
      </c>
      <c r="U2678" s="9">
        <f>IF(Q2678="비교",ABS(P2678)+ROW()/1000000000,"")</f>
        <v/>
      </c>
      <c r="V2678" s="39">
        <f>IF($A2678="","",IF(COUNTIF(변동분석!$E$7:$E$506,O2678)&gt;0,"Y","N"))</f>
        <v/>
      </c>
      <c r="W2678" s="39">
        <f>IF($A2678="","",IFERROR(INDEX(계정매핑!$D$5:$D$504,MATCH($F2678&amp;"",계정매핑!$A$5:$A$504,0)),"미매핑"))</f>
        <v/>
      </c>
      <c r="X2678" s="9">
        <f>IF($A2678="","",$F2678&amp;"")</f>
        <v/>
      </c>
    </row>
    <row r="2679">
      <c r="A2679" s="75" t="n">
        <v>2026</v>
      </c>
      <c r="B2679" s="75" t="n">
        <v>2</v>
      </c>
      <c r="C2679" s="75" t="inlineStr">
        <is>
          <t>5100000335</t>
        </is>
      </c>
      <c r="D2679" s="78" t="n">
        <v>46071</v>
      </c>
      <c r="E2679" s="75" t="inlineStr">
        <is>
          <t>KR</t>
        </is>
      </c>
      <c r="F2679" s="75" t="n">
        <v>62501000</v>
      </c>
      <c r="G2679" s="75" t="n">
        <v>1602</v>
      </c>
      <c r="H2679" s="76" t="n">
        <v>342000</v>
      </c>
      <c r="I2679" s="75" t="inlineStr">
        <is>
          <t>2월 회의 다과 - T케이터링</t>
        </is>
      </c>
      <c r="J2679" s="75" t="inlineStr">
        <is>
          <t>V10005</t>
        </is>
      </c>
      <c r="K2679" s="75" t="inlineStr">
        <is>
          <t>T케이터링</t>
        </is>
      </c>
      <c r="M2679" s="9">
        <f>IF($A2679="","",VALUE($A2679&amp;"")*12+VALUE($B2679&amp;""))</f>
        <v/>
      </c>
      <c r="N2679" s="39">
        <f>IF($A2679="","",IFERROR(INDEX(부서매핑!$C$5:$C$504,MATCH($G2679&amp;"",부서매핑!$A$5:$A$504,0)),"미매핑"))</f>
        <v/>
      </c>
      <c r="O2679" s="9">
        <f>IF($A2679="","",N2679&amp;"|"&amp;$F2679)</f>
        <v/>
      </c>
      <c r="P2679" s="77">
        <f>IF($A2679="",0,$H2679*설정!$C$23)</f>
        <v/>
      </c>
      <c r="Q2679" s="39">
        <f>IF($A2679="","",IF(O2679&lt;&gt;원인분석!$C$9,"",IF(AND(M2679&gt;=원인분석!$C$10,M2679&lt;=원인분석!$C$11),"당기",IF(AND(M2679&gt;=원인분석!$C$12,M2679&lt;=원인분석!$C$13),"비교",""))))</f>
        <v/>
      </c>
      <c r="R2679" s="9">
        <f>IF(Q2679="","",$K2679&amp;"")</f>
        <v/>
      </c>
      <c r="S2679" s="9">
        <f>IF(Q2679="","",IF(MATCH(R2679,$R$5:$R$100000,0)=ROW()-4,ROW(),""))</f>
        <v/>
      </c>
      <c r="T2679" s="9">
        <f>IF(Q2679="당기",ABS(P2679)+ROW()/1000000000,"")</f>
        <v/>
      </c>
      <c r="U2679" s="9">
        <f>IF(Q2679="비교",ABS(P2679)+ROW()/1000000000,"")</f>
        <v/>
      </c>
      <c r="V2679" s="39">
        <f>IF($A2679="","",IF(COUNTIF(변동분석!$E$7:$E$506,O2679)&gt;0,"Y","N"))</f>
        <v/>
      </c>
      <c r="W2679" s="39">
        <f>IF($A2679="","",IFERROR(INDEX(계정매핑!$D$5:$D$504,MATCH($F2679&amp;"",계정매핑!$A$5:$A$504,0)),"미매핑"))</f>
        <v/>
      </c>
      <c r="X2679" s="9">
        <f>IF($A2679="","",$F2679&amp;"")</f>
        <v/>
      </c>
    </row>
    <row r="2680">
      <c r="A2680" s="75" t="n">
        <v>2026</v>
      </c>
      <c r="B2680" s="75" t="n">
        <v>2</v>
      </c>
      <c r="C2680" s="75" t="inlineStr">
        <is>
          <t>5100000336</t>
        </is>
      </c>
      <c r="D2680" s="78" t="n">
        <v>46071</v>
      </c>
      <c r="E2680" s="75" t="inlineStr">
        <is>
          <t>KR</t>
        </is>
      </c>
      <c r="F2680" s="75" t="n">
        <v>62501000</v>
      </c>
      <c r="G2680" s="75" t="n">
        <v>1701</v>
      </c>
      <c r="H2680" s="76" t="n">
        <v>77000</v>
      </c>
      <c r="I2680" s="75" t="inlineStr">
        <is>
          <t>2월 회의 다과 - (법인카드)</t>
        </is>
      </c>
      <c r="J2680" s="75" t="inlineStr">
        <is>
          <t>V10008</t>
        </is>
      </c>
      <c r="K2680" s="75" t="inlineStr">
        <is>
          <t>(법인카드)</t>
        </is>
      </c>
      <c r="M2680" s="9">
        <f>IF($A2680="","",VALUE($A2680&amp;"")*12+VALUE($B2680&amp;""))</f>
        <v/>
      </c>
      <c r="N2680" s="39">
        <f>IF($A2680="","",IFERROR(INDEX(부서매핑!$C$5:$C$504,MATCH($G2680&amp;"",부서매핑!$A$5:$A$504,0)),"미매핑"))</f>
        <v/>
      </c>
      <c r="O2680" s="9">
        <f>IF($A2680="","",N2680&amp;"|"&amp;$F2680)</f>
        <v/>
      </c>
      <c r="P2680" s="77">
        <f>IF($A2680="",0,$H2680*설정!$C$23)</f>
        <v/>
      </c>
      <c r="Q2680" s="39">
        <f>IF($A2680="","",IF(O2680&lt;&gt;원인분석!$C$9,"",IF(AND(M2680&gt;=원인분석!$C$10,M2680&lt;=원인분석!$C$11),"당기",IF(AND(M2680&gt;=원인분석!$C$12,M2680&lt;=원인분석!$C$13),"비교",""))))</f>
        <v/>
      </c>
      <c r="R2680" s="9">
        <f>IF(Q2680="","",$K2680&amp;"")</f>
        <v/>
      </c>
      <c r="S2680" s="9">
        <f>IF(Q2680="","",IF(MATCH(R2680,$R$5:$R$100000,0)=ROW()-4,ROW(),""))</f>
        <v/>
      </c>
      <c r="T2680" s="9">
        <f>IF(Q2680="당기",ABS(P2680)+ROW()/1000000000,"")</f>
        <v/>
      </c>
      <c r="U2680" s="9">
        <f>IF(Q2680="비교",ABS(P2680)+ROW()/1000000000,"")</f>
        <v/>
      </c>
      <c r="V2680" s="39">
        <f>IF($A2680="","",IF(COUNTIF(변동분석!$E$7:$E$506,O2680)&gt;0,"Y","N"))</f>
        <v/>
      </c>
      <c r="W2680" s="39">
        <f>IF($A2680="","",IFERROR(INDEX(계정매핑!$D$5:$D$504,MATCH($F2680&amp;"",계정매핑!$A$5:$A$504,0)),"미매핑"))</f>
        <v/>
      </c>
      <c r="X2680" s="9">
        <f>IF($A2680="","",$F2680&amp;"")</f>
        <v/>
      </c>
    </row>
    <row r="2681">
      <c r="A2681" s="75" t="n">
        <v>2026</v>
      </c>
      <c r="B2681" s="75" t="n">
        <v>2</v>
      </c>
      <c r="C2681" s="75" t="inlineStr">
        <is>
          <t>5100000337</t>
        </is>
      </c>
      <c r="D2681" s="78" t="n">
        <v>46071</v>
      </c>
      <c r="E2681" s="75" t="inlineStr">
        <is>
          <t>KR</t>
        </is>
      </c>
      <c r="F2681" s="75" t="n">
        <v>62501000</v>
      </c>
      <c r="G2681" s="75" t="n">
        <v>1701</v>
      </c>
      <c r="H2681" s="76" t="n">
        <v>92000</v>
      </c>
      <c r="I2681" s="75" t="inlineStr">
        <is>
          <t>2월 회의 다과 - T케이터링</t>
        </is>
      </c>
      <c r="J2681" s="75" t="inlineStr">
        <is>
          <t>V10005</t>
        </is>
      </c>
      <c r="K2681" s="75" t="inlineStr">
        <is>
          <t>T케이터링</t>
        </is>
      </c>
      <c r="M2681" s="9">
        <f>IF($A2681="","",VALUE($A2681&amp;"")*12+VALUE($B2681&amp;""))</f>
        <v/>
      </c>
      <c r="N2681" s="39">
        <f>IF($A2681="","",IFERROR(INDEX(부서매핑!$C$5:$C$504,MATCH($G2681&amp;"",부서매핑!$A$5:$A$504,0)),"미매핑"))</f>
        <v/>
      </c>
      <c r="O2681" s="9">
        <f>IF($A2681="","",N2681&amp;"|"&amp;$F2681)</f>
        <v/>
      </c>
      <c r="P2681" s="77">
        <f>IF($A2681="",0,$H2681*설정!$C$23)</f>
        <v/>
      </c>
      <c r="Q2681" s="39">
        <f>IF($A2681="","",IF(O2681&lt;&gt;원인분석!$C$9,"",IF(AND(M2681&gt;=원인분석!$C$10,M2681&lt;=원인분석!$C$11),"당기",IF(AND(M2681&gt;=원인분석!$C$12,M2681&lt;=원인분석!$C$13),"비교",""))))</f>
        <v/>
      </c>
      <c r="R2681" s="9">
        <f>IF(Q2681="","",$K2681&amp;"")</f>
        <v/>
      </c>
      <c r="S2681" s="9">
        <f>IF(Q2681="","",IF(MATCH(R2681,$R$5:$R$100000,0)=ROW()-4,ROW(),""))</f>
        <v/>
      </c>
      <c r="T2681" s="9">
        <f>IF(Q2681="당기",ABS(P2681)+ROW()/1000000000,"")</f>
        <v/>
      </c>
      <c r="U2681" s="9">
        <f>IF(Q2681="비교",ABS(P2681)+ROW()/1000000000,"")</f>
        <v/>
      </c>
      <c r="V2681" s="39">
        <f>IF($A2681="","",IF(COUNTIF(변동분석!$E$7:$E$506,O2681)&gt;0,"Y","N"))</f>
        <v/>
      </c>
      <c r="W2681" s="39">
        <f>IF($A2681="","",IFERROR(INDEX(계정매핑!$D$5:$D$504,MATCH($F2681&amp;"",계정매핑!$A$5:$A$504,0)),"미매핑"))</f>
        <v/>
      </c>
      <c r="X2681" s="9">
        <f>IF($A2681="","",$F2681&amp;"")</f>
        <v/>
      </c>
    </row>
    <row r="2682">
      <c r="A2682" s="75" t="n">
        <v>2026</v>
      </c>
      <c r="B2682" s="75" t="n">
        <v>2</v>
      </c>
      <c r="C2682" s="75" t="inlineStr">
        <is>
          <t>5100000338</t>
        </is>
      </c>
      <c r="D2682" s="78" t="n">
        <v>46071</v>
      </c>
      <c r="E2682" s="75" t="inlineStr">
        <is>
          <t>KR</t>
        </is>
      </c>
      <c r="F2682" s="75" t="n">
        <v>62601000</v>
      </c>
      <c r="G2682" s="75" t="n">
        <v>1101</v>
      </c>
      <c r="H2682" s="76" t="n">
        <v>1503000</v>
      </c>
      <c r="I2682" s="75" t="inlineStr">
        <is>
          <t>2월 업무추진 - (법인카드)</t>
        </is>
      </c>
      <c r="J2682" s="75" t="inlineStr">
        <is>
          <t>V10008</t>
        </is>
      </c>
      <c r="K2682" s="75" t="inlineStr">
        <is>
          <t>(법인카드)</t>
        </is>
      </c>
      <c r="M2682" s="9">
        <f>IF($A2682="","",VALUE($A2682&amp;"")*12+VALUE($B2682&amp;""))</f>
        <v/>
      </c>
      <c r="N2682" s="39">
        <f>IF($A2682="","",IFERROR(INDEX(부서매핑!$C$5:$C$504,MATCH($G2682&amp;"",부서매핑!$A$5:$A$504,0)),"미매핑"))</f>
        <v/>
      </c>
      <c r="O2682" s="9">
        <f>IF($A2682="","",N2682&amp;"|"&amp;$F2682)</f>
        <v/>
      </c>
      <c r="P2682" s="77">
        <f>IF($A2682="",0,$H2682*설정!$C$23)</f>
        <v/>
      </c>
      <c r="Q2682" s="39">
        <f>IF($A2682="","",IF(O2682&lt;&gt;원인분석!$C$9,"",IF(AND(M2682&gt;=원인분석!$C$10,M2682&lt;=원인분석!$C$11),"당기",IF(AND(M2682&gt;=원인분석!$C$12,M2682&lt;=원인분석!$C$13),"비교",""))))</f>
        <v/>
      </c>
      <c r="R2682" s="9">
        <f>IF(Q2682="","",$K2682&amp;"")</f>
        <v/>
      </c>
      <c r="S2682" s="9">
        <f>IF(Q2682="","",IF(MATCH(R2682,$R$5:$R$100000,0)=ROW()-4,ROW(),""))</f>
        <v/>
      </c>
      <c r="T2682" s="9">
        <f>IF(Q2682="당기",ABS(P2682)+ROW()/1000000000,"")</f>
        <v/>
      </c>
      <c r="U2682" s="9">
        <f>IF(Q2682="비교",ABS(P2682)+ROW()/1000000000,"")</f>
        <v/>
      </c>
      <c r="V2682" s="39">
        <f>IF($A2682="","",IF(COUNTIF(변동분석!$E$7:$E$506,O2682)&gt;0,"Y","N"))</f>
        <v/>
      </c>
      <c r="W2682" s="39">
        <f>IF($A2682="","",IFERROR(INDEX(계정매핑!$D$5:$D$504,MATCH($F2682&amp;"",계정매핑!$A$5:$A$504,0)),"미매핑"))</f>
        <v/>
      </c>
      <c r="X2682" s="9">
        <f>IF($A2682="","",$F2682&amp;"")</f>
        <v/>
      </c>
    </row>
    <row r="2683">
      <c r="A2683" s="75" t="n">
        <v>2026</v>
      </c>
      <c r="B2683" s="75" t="n">
        <v>2</v>
      </c>
      <c r="C2683" s="75" t="inlineStr">
        <is>
          <t>5100000339</t>
        </is>
      </c>
      <c r="D2683" s="78" t="n">
        <v>46071</v>
      </c>
      <c r="E2683" s="75" t="inlineStr">
        <is>
          <t>KR</t>
        </is>
      </c>
      <c r="F2683" s="75" t="n">
        <v>62902000</v>
      </c>
      <c r="G2683" s="75" t="n">
        <v>1201</v>
      </c>
      <c r="H2683" s="76" t="n">
        <v>3053000</v>
      </c>
      <c r="I2683" s="75" t="inlineStr">
        <is>
          <t>2월 업무 위탁 수수료 - X서비스</t>
        </is>
      </c>
      <c r="J2683" s="75" t="inlineStr">
        <is>
          <t>V10016</t>
        </is>
      </c>
      <c r="K2683" s="75" t="inlineStr">
        <is>
          <t>X서비스</t>
        </is>
      </c>
      <c r="M2683" s="9">
        <f>IF($A2683="","",VALUE($A2683&amp;"")*12+VALUE($B2683&amp;""))</f>
        <v/>
      </c>
      <c r="N2683" s="39">
        <f>IF($A2683="","",IFERROR(INDEX(부서매핑!$C$5:$C$504,MATCH($G2683&amp;"",부서매핑!$A$5:$A$504,0)),"미매핑"))</f>
        <v/>
      </c>
      <c r="O2683" s="9">
        <f>IF($A2683="","",N2683&amp;"|"&amp;$F2683)</f>
        <v/>
      </c>
      <c r="P2683" s="77">
        <f>IF($A2683="",0,$H2683*설정!$C$23)</f>
        <v/>
      </c>
      <c r="Q2683" s="39">
        <f>IF($A2683="","",IF(O2683&lt;&gt;원인분석!$C$9,"",IF(AND(M2683&gt;=원인분석!$C$10,M2683&lt;=원인분석!$C$11),"당기",IF(AND(M2683&gt;=원인분석!$C$12,M2683&lt;=원인분석!$C$13),"비교",""))))</f>
        <v/>
      </c>
      <c r="R2683" s="9">
        <f>IF(Q2683="","",$K2683&amp;"")</f>
        <v/>
      </c>
      <c r="S2683" s="9">
        <f>IF(Q2683="","",IF(MATCH(R2683,$R$5:$R$100000,0)=ROW()-4,ROW(),""))</f>
        <v/>
      </c>
      <c r="T2683" s="9">
        <f>IF(Q2683="당기",ABS(P2683)+ROW()/1000000000,"")</f>
        <v/>
      </c>
      <c r="U2683" s="9">
        <f>IF(Q2683="비교",ABS(P2683)+ROW()/1000000000,"")</f>
        <v/>
      </c>
      <c r="V2683" s="39">
        <f>IF($A2683="","",IF(COUNTIF(변동분석!$E$7:$E$506,O2683)&gt;0,"Y","N"))</f>
        <v/>
      </c>
      <c r="W2683" s="39">
        <f>IF($A2683="","",IFERROR(INDEX(계정매핑!$D$5:$D$504,MATCH($F2683&amp;"",계정매핑!$A$5:$A$504,0)),"미매핑"))</f>
        <v/>
      </c>
      <c r="X2683" s="9">
        <f>IF($A2683="","",$F2683&amp;"")</f>
        <v/>
      </c>
    </row>
    <row r="2684">
      <c r="A2684" s="75" t="n">
        <v>2026</v>
      </c>
      <c r="B2684" s="75" t="n">
        <v>2</v>
      </c>
      <c r="C2684" s="75" t="inlineStr">
        <is>
          <t>5100000340</t>
        </is>
      </c>
      <c r="D2684" s="78" t="n">
        <v>46072</v>
      </c>
      <c r="E2684" s="75" t="inlineStr">
        <is>
          <t>KR</t>
        </is>
      </c>
      <c r="F2684" s="75" t="n">
        <v>62301000</v>
      </c>
      <c r="G2684" s="75" t="n">
        <v>1502</v>
      </c>
      <c r="H2684" s="76" t="n">
        <v>172000</v>
      </c>
      <c r="I2684" s="75" t="inlineStr">
        <is>
          <t>2월 소모품 구입 - Q오피스</t>
        </is>
      </c>
      <c r="J2684" s="75" t="inlineStr">
        <is>
          <t>V10003</t>
        </is>
      </c>
      <c r="K2684" s="75" t="inlineStr">
        <is>
          <t>Q오피스</t>
        </is>
      </c>
      <c r="M2684" s="9">
        <f>IF($A2684="","",VALUE($A2684&amp;"")*12+VALUE($B2684&amp;""))</f>
        <v/>
      </c>
      <c r="N2684" s="39">
        <f>IF($A2684="","",IFERROR(INDEX(부서매핑!$C$5:$C$504,MATCH($G2684&amp;"",부서매핑!$A$5:$A$504,0)),"미매핑"))</f>
        <v/>
      </c>
      <c r="O2684" s="9">
        <f>IF($A2684="","",N2684&amp;"|"&amp;$F2684)</f>
        <v/>
      </c>
      <c r="P2684" s="77">
        <f>IF($A2684="",0,$H2684*설정!$C$23)</f>
        <v/>
      </c>
      <c r="Q2684" s="39">
        <f>IF($A2684="","",IF(O2684&lt;&gt;원인분석!$C$9,"",IF(AND(M2684&gt;=원인분석!$C$10,M2684&lt;=원인분석!$C$11),"당기",IF(AND(M2684&gt;=원인분석!$C$12,M2684&lt;=원인분석!$C$13),"비교",""))))</f>
        <v/>
      </c>
      <c r="R2684" s="9">
        <f>IF(Q2684="","",$K2684&amp;"")</f>
        <v/>
      </c>
      <c r="S2684" s="9">
        <f>IF(Q2684="","",IF(MATCH(R2684,$R$5:$R$100000,0)=ROW()-4,ROW(),""))</f>
        <v/>
      </c>
      <c r="T2684" s="9">
        <f>IF(Q2684="당기",ABS(P2684)+ROW()/1000000000,"")</f>
        <v/>
      </c>
      <c r="U2684" s="9">
        <f>IF(Q2684="비교",ABS(P2684)+ROW()/1000000000,"")</f>
        <v/>
      </c>
      <c r="V2684" s="39">
        <f>IF($A2684="","",IF(COUNTIF(변동분석!$E$7:$E$506,O2684)&gt;0,"Y","N"))</f>
        <v/>
      </c>
      <c r="W2684" s="39">
        <f>IF($A2684="","",IFERROR(INDEX(계정매핑!$D$5:$D$504,MATCH($F2684&amp;"",계정매핑!$A$5:$A$504,0)),"미매핑"))</f>
        <v/>
      </c>
      <c r="X2684" s="9">
        <f>IF($A2684="","",$F2684&amp;"")</f>
        <v/>
      </c>
    </row>
    <row r="2685">
      <c r="A2685" s="75" t="n">
        <v>2026</v>
      </c>
      <c r="B2685" s="75" t="n">
        <v>2</v>
      </c>
      <c r="C2685" s="75" t="inlineStr">
        <is>
          <t>5100000341</t>
        </is>
      </c>
      <c r="D2685" s="78" t="n">
        <v>46072</v>
      </c>
      <c r="E2685" s="75" t="inlineStr">
        <is>
          <t>KR</t>
        </is>
      </c>
      <c r="F2685" s="75" t="n">
        <v>62901000</v>
      </c>
      <c r="G2685" s="75" t="n">
        <v>1201</v>
      </c>
      <c r="H2685" s="76" t="n">
        <v>7914000</v>
      </c>
      <c r="I2685" s="75" t="inlineStr">
        <is>
          <t>2월 자문 수수료 - K회계법인</t>
        </is>
      </c>
      <c r="J2685" s="75" t="inlineStr">
        <is>
          <t>V10010</t>
        </is>
      </c>
      <c r="K2685" s="75" t="inlineStr">
        <is>
          <t>K회계법인</t>
        </is>
      </c>
      <c r="M2685" s="9">
        <f>IF($A2685="","",VALUE($A2685&amp;"")*12+VALUE($B2685&amp;""))</f>
        <v/>
      </c>
      <c r="N2685" s="39">
        <f>IF($A2685="","",IFERROR(INDEX(부서매핑!$C$5:$C$504,MATCH($G2685&amp;"",부서매핑!$A$5:$A$504,0)),"미매핑"))</f>
        <v/>
      </c>
      <c r="O2685" s="9">
        <f>IF($A2685="","",N2685&amp;"|"&amp;$F2685)</f>
        <v/>
      </c>
      <c r="P2685" s="77">
        <f>IF($A2685="",0,$H2685*설정!$C$23)</f>
        <v/>
      </c>
      <c r="Q2685" s="39">
        <f>IF($A2685="","",IF(O2685&lt;&gt;원인분석!$C$9,"",IF(AND(M2685&gt;=원인분석!$C$10,M2685&lt;=원인분석!$C$11),"당기",IF(AND(M2685&gt;=원인분석!$C$12,M2685&lt;=원인분석!$C$13),"비교",""))))</f>
        <v/>
      </c>
      <c r="R2685" s="9">
        <f>IF(Q2685="","",$K2685&amp;"")</f>
        <v/>
      </c>
      <c r="S2685" s="9">
        <f>IF(Q2685="","",IF(MATCH(R2685,$R$5:$R$100000,0)=ROW()-4,ROW(),""))</f>
        <v/>
      </c>
      <c r="T2685" s="9">
        <f>IF(Q2685="당기",ABS(P2685)+ROW()/1000000000,"")</f>
        <v/>
      </c>
      <c r="U2685" s="9">
        <f>IF(Q2685="비교",ABS(P2685)+ROW()/1000000000,"")</f>
        <v/>
      </c>
      <c r="V2685" s="39">
        <f>IF($A2685="","",IF(COUNTIF(변동분석!$E$7:$E$506,O2685)&gt;0,"Y","N"))</f>
        <v/>
      </c>
      <c r="W2685" s="39">
        <f>IF($A2685="","",IFERROR(INDEX(계정매핑!$D$5:$D$504,MATCH($F2685&amp;"",계정매핑!$A$5:$A$504,0)),"미매핑"))</f>
        <v/>
      </c>
      <c r="X2685" s="9">
        <f>IF($A2685="","",$F2685&amp;"")</f>
        <v/>
      </c>
    </row>
    <row r="2686">
      <c r="A2686" s="75" t="n">
        <v>2026</v>
      </c>
      <c r="B2686" s="75" t="n">
        <v>2</v>
      </c>
      <c r="C2686" s="75" t="inlineStr">
        <is>
          <t>5100000342</t>
        </is>
      </c>
      <c r="D2686" s="78" t="n">
        <v>46073</v>
      </c>
      <c r="E2686" s="75" t="inlineStr">
        <is>
          <t>KR</t>
        </is>
      </c>
      <c r="F2686" s="75" t="n">
        <v>62101000</v>
      </c>
      <c r="G2686" s="75" t="n">
        <v>1401</v>
      </c>
      <c r="H2686" s="76" t="n">
        <v>353000</v>
      </c>
      <c r="I2686" s="75" t="inlineStr">
        <is>
          <t>2월 국내출장 - M항공</t>
        </is>
      </c>
      <c r="J2686" s="75" t="inlineStr">
        <is>
          <t>V10001</t>
        </is>
      </c>
      <c r="K2686" s="75" t="inlineStr">
        <is>
          <t>M항공</t>
        </is>
      </c>
      <c r="M2686" s="9">
        <f>IF($A2686="","",VALUE($A2686&amp;"")*12+VALUE($B2686&amp;""))</f>
        <v/>
      </c>
      <c r="N2686" s="39">
        <f>IF($A2686="","",IFERROR(INDEX(부서매핑!$C$5:$C$504,MATCH($G2686&amp;"",부서매핑!$A$5:$A$504,0)),"미매핑"))</f>
        <v/>
      </c>
      <c r="O2686" s="9">
        <f>IF($A2686="","",N2686&amp;"|"&amp;$F2686)</f>
        <v/>
      </c>
      <c r="P2686" s="77">
        <f>IF($A2686="",0,$H2686*설정!$C$23)</f>
        <v/>
      </c>
      <c r="Q2686" s="39">
        <f>IF($A2686="","",IF(O2686&lt;&gt;원인분석!$C$9,"",IF(AND(M2686&gt;=원인분석!$C$10,M2686&lt;=원인분석!$C$11),"당기",IF(AND(M2686&gt;=원인분석!$C$12,M2686&lt;=원인분석!$C$13),"비교",""))))</f>
        <v/>
      </c>
      <c r="R2686" s="9">
        <f>IF(Q2686="","",$K2686&amp;"")</f>
        <v/>
      </c>
      <c r="S2686" s="9">
        <f>IF(Q2686="","",IF(MATCH(R2686,$R$5:$R$100000,0)=ROW()-4,ROW(),""))</f>
        <v/>
      </c>
      <c r="T2686" s="9">
        <f>IF(Q2686="당기",ABS(P2686)+ROW()/1000000000,"")</f>
        <v/>
      </c>
      <c r="U2686" s="9">
        <f>IF(Q2686="비교",ABS(P2686)+ROW()/1000000000,"")</f>
        <v/>
      </c>
      <c r="V2686" s="39">
        <f>IF($A2686="","",IF(COUNTIF(변동분석!$E$7:$E$506,O2686)&gt;0,"Y","N"))</f>
        <v/>
      </c>
      <c r="W2686" s="39">
        <f>IF($A2686="","",IFERROR(INDEX(계정매핑!$D$5:$D$504,MATCH($F2686&amp;"",계정매핑!$A$5:$A$504,0)),"미매핑"))</f>
        <v/>
      </c>
      <c r="X2686" s="9">
        <f>IF($A2686="","",$F2686&amp;"")</f>
        <v/>
      </c>
    </row>
    <row r="2687">
      <c r="A2687" s="75" t="n">
        <v>2026</v>
      </c>
      <c r="B2687" s="75" t="n">
        <v>2</v>
      </c>
      <c r="C2687" s="75" t="inlineStr">
        <is>
          <t>5100000343</t>
        </is>
      </c>
      <c r="D2687" s="78" t="n">
        <v>46073</v>
      </c>
      <c r="E2687" s="75" t="inlineStr">
        <is>
          <t>KR</t>
        </is>
      </c>
      <c r="F2687" s="75" t="n">
        <v>62101000</v>
      </c>
      <c r="G2687" s="75" t="n">
        <v>1602</v>
      </c>
      <c r="H2687" s="76" t="n">
        <v>1152000</v>
      </c>
      <c r="I2687" s="75" t="inlineStr">
        <is>
          <t>2월 국내출장 - M항공</t>
        </is>
      </c>
      <c r="J2687" s="75" t="inlineStr">
        <is>
          <t>V10001</t>
        </is>
      </c>
      <c r="K2687" s="75" t="inlineStr">
        <is>
          <t>M항공</t>
        </is>
      </c>
      <c r="M2687" s="9">
        <f>IF($A2687="","",VALUE($A2687&amp;"")*12+VALUE($B2687&amp;""))</f>
        <v/>
      </c>
      <c r="N2687" s="39">
        <f>IF($A2687="","",IFERROR(INDEX(부서매핑!$C$5:$C$504,MATCH($G2687&amp;"",부서매핑!$A$5:$A$504,0)),"미매핑"))</f>
        <v/>
      </c>
      <c r="O2687" s="9">
        <f>IF($A2687="","",N2687&amp;"|"&amp;$F2687)</f>
        <v/>
      </c>
      <c r="P2687" s="77">
        <f>IF($A2687="",0,$H2687*설정!$C$23)</f>
        <v/>
      </c>
      <c r="Q2687" s="39">
        <f>IF($A2687="","",IF(O2687&lt;&gt;원인분석!$C$9,"",IF(AND(M2687&gt;=원인분석!$C$10,M2687&lt;=원인분석!$C$11),"당기",IF(AND(M2687&gt;=원인분석!$C$12,M2687&lt;=원인분석!$C$13),"비교",""))))</f>
        <v/>
      </c>
      <c r="R2687" s="9">
        <f>IF(Q2687="","",$K2687&amp;"")</f>
        <v/>
      </c>
      <c r="S2687" s="9">
        <f>IF(Q2687="","",IF(MATCH(R2687,$R$5:$R$100000,0)=ROW()-4,ROW(),""))</f>
        <v/>
      </c>
      <c r="T2687" s="9">
        <f>IF(Q2687="당기",ABS(P2687)+ROW()/1000000000,"")</f>
        <v/>
      </c>
      <c r="U2687" s="9">
        <f>IF(Q2687="비교",ABS(P2687)+ROW()/1000000000,"")</f>
        <v/>
      </c>
      <c r="V2687" s="39">
        <f>IF($A2687="","",IF(COUNTIF(변동분석!$E$7:$E$506,O2687)&gt;0,"Y","N"))</f>
        <v/>
      </c>
      <c r="W2687" s="39">
        <f>IF($A2687="","",IFERROR(INDEX(계정매핑!$D$5:$D$504,MATCH($F2687&amp;"",계정매핑!$A$5:$A$504,0)),"미매핑"))</f>
        <v/>
      </c>
      <c r="X2687" s="9">
        <f>IF($A2687="","",$F2687&amp;"")</f>
        <v/>
      </c>
    </row>
    <row r="2688">
      <c r="A2688" s="75" t="n">
        <v>2026</v>
      </c>
      <c r="B2688" s="75" t="n">
        <v>2</v>
      </c>
      <c r="C2688" s="75" t="inlineStr">
        <is>
          <t>5100000344</t>
        </is>
      </c>
      <c r="D2688" s="78" t="n">
        <v>46073</v>
      </c>
      <c r="E2688" s="75" t="inlineStr">
        <is>
          <t>KR</t>
        </is>
      </c>
      <c r="F2688" s="75" t="n">
        <v>62101000</v>
      </c>
      <c r="G2688" s="75" t="n">
        <v>1701</v>
      </c>
      <c r="H2688" s="76" t="n">
        <v>290000</v>
      </c>
      <c r="I2688" s="75" t="inlineStr">
        <is>
          <t>2월 국내출장 - L여행사</t>
        </is>
      </c>
      <c r="J2688" s="75" t="inlineStr">
        <is>
          <t>V10014</t>
        </is>
      </c>
      <c r="K2688" s="75" t="inlineStr">
        <is>
          <t>L여행사</t>
        </is>
      </c>
      <c r="M2688" s="9">
        <f>IF($A2688="","",VALUE($A2688&amp;"")*12+VALUE($B2688&amp;""))</f>
        <v/>
      </c>
      <c r="N2688" s="39">
        <f>IF($A2688="","",IFERROR(INDEX(부서매핑!$C$5:$C$504,MATCH($G2688&amp;"",부서매핑!$A$5:$A$504,0)),"미매핑"))</f>
        <v/>
      </c>
      <c r="O2688" s="9">
        <f>IF($A2688="","",N2688&amp;"|"&amp;$F2688)</f>
        <v/>
      </c>
      <c r="P2688" s="77">
        <f>IF($A2688="",0,$H2688*설정!$C$23)</f>
        <v/>
      </c>
      <c r="Q2688" s="39">
        <f>IF($A2688="","",IF(O2688&lt;&gt;원인분석!$C$9,"",IF(AND(M2688&gt;=원인분석!$C$10,M2688&lt;=원인분석!$C$11),"당기",IF(AND(M2688&gt;=원인분석!$C$12,M2688&lt;=원인분석!$C$13),"비교",""))))</f>
        <v/>
      </c>
      <c r="R2688" s="9">
        <f>IF(Q2688="","",$K2688&amp;"")</f>
        <v/>
      </c>
      <c r="S2688" s="9">
        <f>IF(Q2688="","",IF(MATCH(R2688,$R$5:$R$100000,0)=ROW()-4,ROW(),""))</f>
        <v/>
      </c>
      <c r="T2688" s="9">
        <f>IF(Q2688="당기",ABS(P2688)+ROW()/1000000000,"")</f>
        <v/>
      </c>
      <c r="U2688" s="9">
        <f>IF(Q2688="비교",ABS(P2688)+ROW()/1000000000,"")</f>
        <v/>
      </c>
      <c r="V2688" s="39">
        <f>IF($A2688="","",IF(COUNTIF(변동분석!$E$7:$E$506,O2688)&gt;0,"Y","N"))</f>
        <v/>
      </c>
      <c r="W2688" s="39">
        <f>IF($A2688="","",IFERROR(INDEX(계정매핑!$D$5:$D$504,MATCH($F2688&amp;"",계정매핑!$A$5:$A$504,0)),"미매핑"))</f>
        <v/>
      </c>
      <c r="X2688" s="9">
        <f>IF($A2688="","",$F2688&amp;"")</f>
        <v/>
      </c>
    </row>
    <row r="2689">
      <c r="A2689" s="75" t="n">
        <v>2026</v>
      </c>
      <c r="B2689" s="75" t="n">
        <v>2</v>
      </c>
      <c r="C2689" s="75" t="inlineStr">
        <is>
          <t>5100000345</t>
        </is>
      </c>
      <c r="D2689" s="78" t="n">
        <v>46073</v>
      </c>
      <c r="E2689" s="75" t="inlineStr">
        <is>
          <t>KR</t>
        </is>
      </c>
      <c r="F2689" s="75" t="n">
        <v>62102000</v>
      </c>
      <c r="G2689" s="75" t="n">
        <v>1501</v>
      </c>
      <c r="H2689" s="76" t="n">
        <v>142000</v>
      </c>
      <c r="I2689" s="75" t="inlineStr">
        <is>
          <t>2월 해외출장 - M항공</t>
        </is>
      </c>
      <c r="J2689" s="75" t="inlineStr">
        <is>
          <t>V10001</t>
        </is>
      </c>
      <c r="K2689" s="75" t="inlineStr">
        <is>
          <t>M항공</t>
        </is>
      </c>
      <c r="M2689" s="9">
        <f>IF($A2689="","",VALUE($A2689&amp;"")*12+VALUE($B2689&amp;""))</f>
        <v/>
      </c>
      <c r="N2689" s="39">
        <f>IF($A2689="","",IFERROR(INDEX(부서매핑!$C$5:$C$504,MATCH($G2689&amp;"",부서매핑!$A$5:$A$504,0)),"미매핑"))</f>
        <v/>
      </c>
      <c r="O2689" s="9">
        <f>IF($A2689="","",N2689&amp;"|"&amp;$F2689)</f>
        <v/>
      </c>
      <c r="P2689" s="77">
        <f>IF($A2689="",0,$H2689*설정!$C$23)</f>
        <v/>
      </c>
      <c r="Q2689" s="39">
        <f>IF($A2689="","",IF(O2689&lt;&gt;원인분석!$C$9,"",IF(AND(M2689&gt;=원인분석!$C$10,M2689&lt;=원인분석!$C$11),"당기",IF(AND(M2689&gt;=원인분석!$C$12,M2689&lt;=원인분석!$C$13),"비교",""))))</f>
        <v/>
      </c>
      <c r="R2689" s="9">
        <f>IF(Q2689="","",$K2689&amp;"")</f>
        <v/>
      </c>
      <c r="S2689" s="9">
        <f>IF(Q2689="","",IF(MATCH(R2689,$R$5:$R$100000,0)=ROW()-4,ROW(),""))</f>
        <v/>
      </c>
      <c r="T2689" s="9">
        <f>IF(Q2689="당기",ABS(P2689)+ROW()/1000000000,"")</f>
        <v/>
      </c>
      <c r="U2689" s="9">
        <f>IF(Q2689="비교",ABS(P2689)+ROW()/1000000000,"")</f>
        <v/>
      </c>
      <c r="V2689" s="39">
        <f>IF($A2689="","",IF(COUNTIF(변동분석!$E$7:$E$506,O2689)&gt;0,"Y","N"))</f>
        <v/>
      </c>
      <c r="W2689" s="39">
        <f>IF($A2689="","",IFERROR(INDEX(계정매핑!$D$5:$D$504,MATCH($F2689&amp;"",계정매핑!$A$5:$A$504,0)),"미매핑"))</f>
        <v/>
      </c>
      <c r="X2689" s="9">
        <f>IF($A2689="","",$F2689&amp;"")</f>
        <v/>
      </c>
    </row>
    <row r="2690">
      <c r="A2690" s="75" t="n">
        <v>2026</v>
      </c>
      <c r="B2690" s="75" t="n">
        <v>2</v>
      </c>
      <c r="C2690" s="75" t="inlineStr">
        <is>
          <t>5100000346</t>
        </is>
      </c>
      <c r="D2690" s="78" t="n">
        <v>46073</v>
      </c>
      <c r="E2690" s="75" t="inlineStr">
        <is>
          <t>KR</t>
        </is>
      </c>
      <c r="F2690" s="75" t="n">
        <v>62102000</v>
      </c>
      <c r="G2690" s="75" t="n">
        <v>1501</v>
      </c>
      <c r="H2690" s="76" t="n">
        <v>161000</v>
      </c>
      <c r="I2690" s="75" t="inlineStr">
        <is>
          <t>2월 해외출장 - N호텔</t>
        </is>
      </c>
      <c r="J2690" s="75" t="inlineStr">
        <is>
          <t>V10007</t>
        </is>
      </c>
      <c r="K2690" s="75" t="inlineStr">
        <is>
          <t>N호텔</t>
        </is>
      </c>
      <c r="M2690" s="9">
        <f>IF($A2690="","",VALUE($A2690&amp;"")*12+VALUE($B2690&amp;""))</f>
        <v/>
      </c>
      <c r="N2690" s="39">
        <f>IF($A2690="","",IFERROR(INDEX(부서매핑!$C$5:$C$504,MATCH($G2690&amp;"",부서매핑!$A$5:$A$504,0)),"미매핑"))</f>
        <v/>
      </c>
      <c r="O2690" s="9">
        <f>IF($A2690="","",N2690&amp;"|"&amp;$F2690)</f>
        <v/>
      </c>
      <c r="P2690" s="77">
        <f>IF($A2690="",0,$H2690*설정!$C$23)</f>
        <v/>
      </c>
      <c r="Q2690" s="39">
        <f>IF($A2690="","",IF(O2690&lt;&gt;원인분석!$C$9,"",IF(AND(M2690&gt;=원인분석!$C$10,M2690&lt;=원인분석!$C$11),"당기",IF(AND(M2690&gt;=원인분석!$C$12,M2690&lt;=원인분석!$C$13),"비교",""))))</f>
        <v/>
      </c>
      <c r="R2690" s="9">
        <f>IF(Q2690="","",$K2690&amp;"")</f>
        <v/>
      </c>
      <c r="S2690" s="9">
        <f>IF(Q2690="","",IF(MATCH(R2690,$R$5:$R$100000,0)=ROW()-4,ROW(),""))</f>
        <v/>
      </c>
      <c r="T2690" s="9">
        <f>IF(Q2690="당기",ABS(P2690)+ROW()/1000000000,"")</f>
        <v/>
      </c>
      <c r="U2690" s="9">
        <f>IF(Q2690="비교",ABS(P2690)+ROW()/1000000000,"")</f>
        <v/>
      </c>
      <c r="V2690" s="39">
        <f>IF($A2690="","",IF(COUNTIF(변동분석!$E$7:$E$506,O2690)&gt;0,"Y","N"))</f>
        <v/>
      </c>
      <c r="W2690" s="39">
        <f>IF($A2690="","",IFERROR(INDEX(계정매핑!$D$5:$D$504,MATCH($F2690&amp;"",계정매핑!$A$5:$A$504,0)),"미매핑"))</f>
        <v/>
      </c>
      <c r="X2690" s="9">
        <f>IF($A2690="","",$F2690&amp;"")</f>
        <v/>
      </c>
    </row>
    <row r="2691">
      <c r="A2691" s="75" t="n">
        <v>2026</v>
      </c>
      <c r="B2691" s="75" t="n">
        <v>2</v>
      </c>
      <c r="C2691" s="75" t="inlineStr">
        <is>
          <t>5100000347</t>
        </is>
      </c>
      <c r="D2691" s="78" t="n">
        <v>46073</v>
      </c>
      <c r="E2691" s="75" t="inlineStr">
        <is>
          <t>KR</t>
        </is>
      </c>
      <c r="F2691" s="75" t="n">
        <v>62102000</v>
      </c>
      <c r="G2691" s="75" t="n">
        <v>1701</v>
      </c>
      <c r="H2691" s="76" t="n">
        <v>42000</v>
      </c>
      <c r="I2691" s="75" t="inlineStr">
        <is>
          <t>2월 해외출장 - N호텔</t>
        </is>
      </c>
      <c r="J2691" s="75" t="inlineStr">
        <is>
          <t>V10007</t>
        </is>
      </c>
      <c r="K2691" s="75" t="inlineStr">
        <is>
          <t>N호텔</t>
        </is>
      </c>
      <c r="M2691" s="9">
        <f>IF($A2691="","",VALUE($A2691&amp;"")*12+VALUE($B2691&amp;""))</f>
        <v/>
      </c>
      <c r="N2691" s="39">
        <f>IF($A2691="","",IFERROR(INDEX(부서매핑!$C$5:$C$504,MATCH($G2691&amp;"",부서매핑!$A$5:$A$504,0)),"미매핑"))</f>
        <v/>
      </c>
      <c r="O2691" s="9">
        <f>IF($A2691="","",N2691&amp;"|"&amp;$F2691)</f>
        <v/>
      </c>
      <c r="P2691" s="77">
        <f>IF($A2691="",0,$H2691*설정!$C$23)</f>
        <v/>
      </c>
      <c r="Q2691" s="39">
        <f>IF($A2691="","",IF(O2691&lt;&gt;원인분석!$C$9,"",IF(AND(M2691&gt;=원인분석!$C$10,M2691&lt;=원인분석!$C$11),"당기",IF(AND(M2691&gt;=원인분석!$C$12,M2691&lt;=원인분석!$C$13),"비교",""))))</f>
        <v/>
      </c>
      <c r="R2691" s="9">
        <f>IF(Q2691="","",$K2691&amp;"")</f>
        <v/>
      </c>
      <c r="S2691" s="9">
        <f>IF(Q2691="","",IF(MATCH(R2691,$R$5:$R$100000,0)=ROW()-4,ROW(),""))</f>
        <v/>
      </c>
      <c r="T2691" s="9">
        <f>IF(Q2691="당기",ABS(P2691)+ROW()/1000000000,"")</f>
        <v/>
      </c>
      <c r="U2691" s="9">
        <f>IF(Q2691="비교",ABS(P2691)+ROW()/1000000000,"")</f>
        <v/>
      </c>
      <c r="V2691" s="39">
        <f>IF($A2691="","",IF(COUNTIF(변동분석!$E$7:$E$506,O2691)&gt;0,"Y","N"))</f>
        <v/>
      </c>
      <c r="W2691" s="39">
        <f>IF($A2691="","",IFERROR(INDEX(계정매핑!$D$5:$D$504,MATCH($F2691&amp;"",계정매핑!$A$5:$A$504,0)),"미매핑"))</f>
        <v/>
      </c>
      <c r="X2691" s="9">
        <f>IF($A2691="","",$F2691&amp;"")</f>
        <v/>
      </c>
    </row>
    <row r="2692">
      <c r="A2692" s="75" t="n">
        <v>2026</v>
      </c>
      <c r="B2692" s="75" t="n">
        <v>2</v>
      </c>
      <c r="C2692" s="75" t="inlineStr">
        <is>
          <t>5100000348</t>
        </is>
      </c>
      <c r="D2692" s="78" t="n">
        <v>46073</v>
      </c>
      <c r="E2692" s="75" t="inlineStr">
        <is>
          <t>KR</t>
        </is>
      </c>
      <c r="F2692" s="75" t="n">
        <v>62501000</v>
      </c>
      <c r="G2692" s="75" t="n">
        <v>1101</v>
      </c>
      <c r="H2692" s="76" t="n">
        <v>357000</v>
      </c>
      <c r="I2692" s="75" t="inlineStr">
        <is>
          <t>2월 회의 다과 - (법인카드)</t>
        </is>
      </c>
      <c r="J2692" s="75" t="inlineStr">
        <is>
          <t>V10008</t>
        </is>
      </c>
      <c r="K2692" s="75" t="inlineStr">
        <is>
          <t>(법인카드)</t>
        </is>
      </c>
      <c r="M2692" s="9">
        <f>IF($A2692="","",VALUE($A2692&amp;"")*12+VALUE($B2692&amp;""))</f>
        <v/>
      </c>
      <c r="N2692" s="39">
        <f>IF($A2692="","",IFERROR(INDEX(부서매핑!$C$5:$C$504,MATCH($G2692&amp;"",부서매핑!$A$5:$A$504,0)),"미매핑"))</f>
        <v/>
      </c>
      <c r="O2692" s="9">
        <f>IF($A2692="","",N2692&amp;"|"&amp;$F2692)</f>
        <v/>
      </c>
      <c r="P2692" s="77">
        <f>IF($A2692="",0,$H2692*설정!$C$23)</f>
        <v/>
      </c>
      <c r="Q2692" s="39">
        <f>IF($A2692="","",IF(O2692&lt;&gt;원인분석!$C$9,"",IF(AND(M2692&gt;=원인분석!$C$10,M2692&lt;=원인분석!$C$11),"당기",IF(AND(M2692&gt;=원인분석!$C$12,M2692&lt;=원인분석!$C$13),"비교",""))))</f>
        <v/>
      </c>
      <c r="R2692" s="9">
        <f>IF(Q2692="","",$K2692&amp;"")</f>
        <v/>
      </c>
      <c r="S2692" s="9">
        <f>IF(Q2692="","",IF(MATCH(R2692,$R$5:$R$100000,0)=ROW()-4,ROW(),""))</f>
        <v/>
      </c>
      <c r="T2692" s="9">
        <f>IF(Q2692="당기",ABS(P2692)+ROW()/1000000000,"")</f>
        <v/>
      </c>
      <c r="U2692" s="9">
        <f>IF(Q2692="비교",ABS(P2692)+ROW()/1000000000,"")</f>
        <v/>
      </c>
      <c r="V2692" s="39">
        <f>IF($A2692="","",IF(COUNTIF(변동분석!$E$7:$E$506,O2692)&gt;0,"Y","N"))</f>
        <v/>
      </c>
      <c r="W2692" s="39">
        <f>IF($A2692="","",IFERROR(INDEX(계정매핑!$D$5:$D$504,MATCH($F2692&amp;"",계정매핑!$A$5:$A$504,0)),"미매핑"))</f>
        <v/>
      </c>
      <c r="X2692" s="9">
        <f>IF($A2692="","",$F2692&amp;"")</f>
        <v/>
      </c>
    </row>
    <row r="2693">
      <c r="A2693" s="75" t="n">
        <v>2026</v>
      </c>
      <c r="B2693" s="75" t="n">
        <v>2</v>
      </c>
      <c r="C2693" s="75" t="inlineStr">
        <is>
          <t>5100000349</t>
        </is>
      </c>
      <c r="D2693" s="78" t="n">
        <v>46073</v>
      </c>
      <c r="E2693" s="75" t="inlineStr">
        <is>
          <t>KR</t>
        </is>
      </c>
      <c r="F2693" s="75" t="n">
        <v>62501000</v>
      </c>
      <c r="G2693" s="75" t="n">
        <v>1401</v>
      </c>
      <c r="H2693" s="76" t="n">
        <v>223000</v>
      </c>
      <c r="I2693" s="75" t="inlineStr">
        <is>
          <t>2월 회의 다과 - (법인카드)</t>
        </is>
      </c>
      <c r="J2693" s="75" t="inlineStr">
        <is>
          <t>V10008</t>
        </is>
      </c>
      <c r="K2693" s="75" t="inlineStr">
        <is>
          <t>(법인카드)</t>
        </is>
      </c>
      <c r="M2693" s="9">
        <f>IF($A2693="","",VALUE($A2693&amp;"")*12+VALUE($B2693&amp;""))</f>
        <v/>
      </c>
      <c r="N2693" s="39">
        <f>IF($A2693="","",IFERROR(INDEX(부서매핑!$C$5:$C$504,MATCH($G2693&amp;"",부서매핑!$A$5:$A$504,0)),"미매핑"))</f>
        <v/>
      </c>
      <c r="O2693" s="9">
        <f>IF($A2693="","",N2693&amp;"|"&amp;$F2693)</f>
        <v/>
      </c>
      <c r="P2693" s="77">
        <f>IF($A2693="",0,$H2693*설정!$C$23)</f>
        <v/>
      </c>
      <c r="Q2693" s="39">
        <f>IF($A2693="","",IF(O2693&lt;&gt;원인분석!$C$9,"",IF(AND(M2693&gt;=원인분석!$C$10,M2693&lt;=원인분석!$C$11),"당기",IF(AND(M2693&gt;=원인분석!$C$12,M2693&lt;=원인분석!$C$13),"비교",""))))</f>
        <v/>
      </c>
      <c r="R2693" s="9">
        <f>IF(Q2693="","",$K2693&amp;"")</f>
        <v/>
      </c>
      <c r="S2693" s="9">
        <f>IF(Q2693="","",IF(MATCH(R2693,$R$5:$R$100000,0)=ROW()-4,ROW(),""))</f>
        <v/>
      </c>
      <c r="T2693" s="9">
        <f>IF(Q2693="당기",ABS(P2693)+ROW()/1000000000,"")</f>
        <v/>
      </c>
      <c r="U2693" s="9">
        <f>IF(Q2693="비교",ABS(P2693)+ROW()/1000000000,"")</f>
        <v/>
      </c>
      <c r="V2693" s="39">
        <f>IF($A2693="","",IF(COUNTIF(변동분석!$E$7:$E$506,O2693)&gt;0,"Y","N"))</f>
        <v/>
      </c>
      <c r="W2693" s="39">
        <f>IF($A2693="","",IFERROR(INDEX(계정매핑!$D$5:$D$504,MATCH($F2693&amp;"",계정매핑!$A$5:$A$504,0)),"미매핑"))</f>
        <v/>
      </c>
      <c r="X2693" s="9">
        <f>IF($A2693="","",$F2693&amp;"")</f>
        <v/>
      </c>
    </row>
    <row r="2694">
      <c r="A2694" s="75" t="n">
        <v>2026</v>
      </c>
      <c r="B2694" s="75" t="n">
        <v>2</v>
      </c>
      <c r="C2694" s="75" t="inlineStr">
        <is>
          <t>5100000350</t>
        </is>
      </c>
      <c r="D2694" s="78" t="n">
        <v>46073</v>
      </c>
      <c r="E2694" s="75" t="inlineStr">
        <is>
          <t>KR</t>
        </is>
      </c>
      <c r="F2694" s="75" t="n">
        <v>62601000</v>
      </c>
      <c r="G2694" s="75" t="n">
        <v>1502</v>
      </c>
      <c r="H2694" s="76" t="n">
        <v>2366000</v>
      </c>
      <c r="I2694" s="75" t="inlineStr">
        <is>
          <t>2월 업무추진 - (법인카드)</t>
        </is>
      </c>
      <c r="J2694" s="75" t="inlineStr">
        <is>
          <t>V10008</t>
        </is>
      </c>
      <c r="K2694" s="75" t="inlineStr">
        <is>
          <t>(법인카드)</t>
        </is>
      </c>
      <c r="M2694" s="9">
        <f>IF($A2694="","",VALUE($A2694&amp;"")*12+VALUE($B2694&amp;""))</f>
        <v/>
      </c>
      <c r="N2694" s="39">
        <f>IF($A2694="","",IFERROR(INDEX(부서매핑!$C$5:$C$504,MATCH($G2694&amp;"",부서매핑!$A$5:$A$504,0)),"미매핑"))</f>
        <v/>
      </c>
      <c r="O2694" s="9">
        <f>IF($A2694="","",N2694&amp;"|"&amp;$F2694)</f>
        <v/>
      </c>
      <c r="P2694" s="77">
        <f>IF($A2694="",0,$H2694*설정!$C$23)</f>
        <v/>
      </c>
      <c r="Q2694" s="39">
        <f>IF($A2694="","",IF(O2694&lt;&gt;원인분석!$C$9,"",IF(AND(M2694&gt;=원인분석!$C$10,M2694&lt;=원인분석!$C$11),"당기",IF(AND(M2694&gt;=원인분석!$C$12,M2694&lt;=원인분석!$C$13),"비교",""))))</f>
        <v/>
      </c>
      <c r="R2694" s="9">
        <f>IF(Q2694="","",$K2694&amp;"")</f>
        <v/>
      </c>
      <c r="S2694" s="9">
        <f>IF(Q2694="","",IF(MATCH(R2694,$R$5:$R$100000,0)=ROW()-4,ROW(),""))</f>
        <v/>
      </c>
      <c r="T2694" s="9">
        <f>IF(Q2694="당기",ABS(P2694)+ROW()/1000000000,"")</f>
        <v/>
      </c>
      <c r="U2694" s="9">
        <f>IF(Q2694="비교",ABS(P2694)+ROW()/1000000000,"")</f>
        <v/>
      </c>
      <c r="V2694" s="39">
        <f>IF($A2694="","",IF(COUNTIF(변동분석!$E$7:$E$506,O2694)&gt;0,"Y","N"))</f>
        <v/>
      </c>
      <c r="W2694" s="39">
        <f>IF($A2694="","",IFERROR(INDEX(계정매핑!$D$5:$D$504,MATCH($F2694&amp;"",계정매핑!$A$5:$A$504,0)),"미매핑"))</f>
        <v/>
      </c>
      <c r="X2694" s="9">
        <f>IF($A2694="","",$F2694&amp;"")</f>
        <v/>
      </c>
    </row>
    <row r="2695">
      <c r="A2695" s="75" t="n">
        <v>2026</v>
      </c>
      <c r="B2695" s="75" t="n">
        <v>2</v>
      </c>
      <c r="C2695" s="75" t="inlineStr">
        <is>
          <t>5100000351</t>
        </is>
      </c>
      <c r="D2695" s="78" t="n">
        <v>46073</v>
      </c>
      <c r="E2695" s="75" t="inlineStr">
        <is>
          <t>KR</t>
        </is>
      </c>
      <c r="F2695" s="75" t="n">
        <v>62901000</v>
      </c>
      <c r="G2695" s="75" t="n">
        <v>1401</v>
      </c>
      <c r="H2695" s="76" t="n">
        <v>4983000</v>
      </c>
      <c r="I2695" s="75" t="inlineStr">
        <is>
          <t>2월 자문 수수료 - W컨설팅</t>
        </is>
      </c>
      <c r="J2695" s="75" t="inlineStr">
        <is>
          <t>V10009</t>
        </is>
      </c>
      <c r="K2695" s="75" t="inlineStr">
        <is>
          <t>W컨설팅</t>
        </is>
      </c>
      <c r="M2695" s="9">
        <f>IF($A2695="","",VALUE($A2695&amp;"")*12+VALUE($B2695&amp;""))</f>
        <v/>
      </c>
      <c r="N2695" s="39">
        <f>IF($A2695="","",IFERROR(INDEX(부서매핑!$C$5:$C$504,MATCH($G2695&amp;"",부서매핑!$A$5:$A$504,0)),"미매핑"))</f>
        <v/>
      </c>
      <c r="O2695" s="9">
        <f>IF($A2695="","",N2695&amp;"|"&amp;$F2695)</f>
        <v/>
      </c>
      <c r="P2695" s="77">
        <f>IF($A2695="",0,$H2695*설정!$C$23)</f>
        <v/>
      </c>
      <c r="Q2695" s="39">
        <f>IF($A2695="","",IF(O2695&lt;&gt;원인분석!$C$9,"",IF(AND(M2695&gt;=원인분석!$C$10,M2695&lt;=원인분석!$C$11),"당기",IF(AND(M2695&gt;=원인분석!$C$12,M2695&lt;=원인분석!$C$13),"비교",""))))</f>
        <v/>
      </c>
      <c r="R2695" s="9">
        <f>IF(Q2695="","",$K2695&amp;"")</f>
        <v/>
      </c>
      <c r="S2695" s="9">
        <f>IF(Q2695="","",IF(MATCH(R2695,$R$5:$R$100000,0)=ROW()-4,ROW(),""))</f>
        <v/>
      </c>
      <c r="T2695" s="9">
        <f>IF(Q2695="당기",ABS(P2695)+ROW()/1000000000,"")</f>
        <v/>
      </c>
      <c r="U2695" s="9">
        <f>IF(Q2695="비교",ABS(P2695)+ROW()/1000000000,"")</f>
        <v/>
      </c>
      <c r="V2695" s="39">
        <f>IF($A2695="","",IF(COUNTIF(변동분석!$E$7:$E$506,O2695)&gt;0,"Y","N"))</f>
        <v/>
      </c>
      <c r="W2695" s="39">
        <f>IF($A2695="","",IFERROR(INDEX(계정매핑!$D$5:$D$504,MATCH($F2695&amp;"",계정매핑!$A$5:$A$504,0)),"미매핑"))</f>
        <v/>
      </c>
      <c r="X2695" s="9">
        <f>IF($A2695="","",$F2695&amp;"")</f>
        <v/>
      </c>
    </row>
    <row r="2696">
      <c r="A2696" s="75" t="n">
        <v>2026</v>
      </c>
      <c r="B2696" s="75" t="n">
        <v>2</v>
      </c>
      <c r="C2696" s="75" t="inlineStr">
        <is>
          <t>5100000352</t>
        </is>
      </c>
      <c r="D2696" s="78" t="n">
        <v>46073</v>
      </c>
      <c r="E2696" s="75" t="inlineStr">
        <is>
          <t>KR</t>
        </is>
      </c>
      <c r="F2696" s="75" t="n">
        <v>63101000</v>
      </c>
      <c r="G2696" s="75" t="n">
        <v>1601</v>
      </c>
      <c r="H2696" s="76" t="n">
        <v>5001000</v>
      </c>
      <c r="I2696" s="75" t="inlineStr">
        <is>
          <t>2월 사무실 임차료 - AA빌딩</t>
        </is>
      </c>
      <c r="J2696" s="75" t="inlineStr">
        <is>
          <t>V10006</t>
        </is>
      </c>
      <c r="K2696" s="75" t="inlineStr">
        <is>
          <t>AA빌딩</t>
        </is>
      </c>
      <c r="M2696" s="9">
        <f>IF($A2696="","",VALUE($A2696&amp;"")*12+VALUE($B2696&amp;""))</f>
        <v/>
      </c>
      <c r="N2696" s="39">
        <f>IF($A2696="","",IFERROR(INDEX(부서매핑!$C$5:$C$504,MATCH($G2696&amp;"",부서매핑!$A$5:$A$504,0)),"미매핑"))</f>
        <v/>
      </c>
      <c r="O2696" s="9">
        <f>IF($A2696="","",N2696&amp;"|"&amp;$F2696)</f>
        <v/>
      </c>
      <c r="P2696" s="77">
        <f>IF($A2696="",0,$H2696*설정!$C$23)</f>
        <v/>
      </c>
      <c r="Q2696" s="39">
        <f>IF($A2696="","",IF(O2696&lt;&gt;원인분석!$C$9,"",IF(AND(M2696&gt;=원인분석!$C$10,M2696&lt;=원인분석!$C$11),"당기",IF(AND(M2696&gt;=원인분석!$C$12,M2696&lt;=원인분석!$C$13),"비교",""))))</f>
        <v/>
      </c>
      <c r="R2696" s="9">
        <f>IF(Q2696="","",$K2696&amp;"")</f>
        <v/>
      </c>
      <c r="S2696" s="9">
        <f>IF(Q2696="","",IF(MATCH(R2696,$R$5:$R$100000,0)=ROW()-4,ROW(),""))</f>
        <v/>
      </c>
      <c r="T2696" s="9">
        <f>IF(Q2696="당기",ABS(P2696)+ROW()/1000000000,"")</f>
        <v/>
      </c>
      <c r="U2696" s="9">
        <f>IF(Q2696="비교",ABS(P2696)+ROW()/1000000000,"")</f>
        <v/>
      </c>
      <c r="V2696" s="39">
        <f>IF($A2696="","",IF(COUNTIF(변동분석!$E$7:$E$506,O2696)&gt;0,"Y","N"))</f>
        <v/>
      </c>
      <c r="W2696" s="39">
        <f>IF($A2696="","",IFERROR(INDEX(계정매핑!$D$5:$D$504,MATCH($F2696&amp;"",계정매핑!$A$5:$A$504,0)),"미매핑"))</f>
        <v/>
      </c>
      <c r="X2696" s="9">
        <f>IF($A2696="","",$F2696&amp;"")</f>
        <v/>
      </c>
    </row>
    <row r="2697">
      <c r="A2697" s="75" t="n">
        <v>2026</v>
      </c>
      <c r="B2697" s="75" t="n">
        <v>2</v>
      </c>
      <c r="C2697" s="75" t="inlineStr">
        <is>
          <t>5100000353</t>
        </is>
      </c>
      <c r="D2697" s="78" t="n">
        <v>46074</v>
      </c>
      <c r="E2697" s="75" t="inlineStr">
        <is>
          <t>KR</t>
        </is>
      </c>
      <c r="F2697" s="75" t="n">
        <v>62201000</v>
      </c>
      <c r="G2697" s="75" t="n">
        <v>1201</v>
      </c>
      <c r="H2697" s="76" t="n">
        <v>113000</v>
      </c>
      <c r="I2697" s="75" t="inlineStr">
        <is>
          <t>2월 통신요금 - P통신</t>
        </is>
      </c>
      <c r="J2697" s="75" t="inlineStr">
        <is>
          <t>V10011</t>
        </is>
      </c>
      <c r="K2697" s="75" t="inlineStr">
        <is>
          <t>P통신</t>
        </is>
      </c>
      <c r="M2697" s="9">
        <f>IF($A2697="","",VALUE($A2697&amp;"")*12+VALUE($B2697&amp;""))</f>
        <v/>
      </c>
      <c r="N2697" s="39">
        <f>IF($A2697="","",IFERROR(INDEX(부서매핑!$C$5:$C$504,MATCH($G2697&amp;"",부서매핑!$A$5:$A$504,0)),"미매핑"))</f>
        <v/>
      </c>
      <c r="O2697" s="9">
        <f>IF($A2697="","",N2697&amp;"|"&amp;$F2697)</f>
        <v/>
      </c>
      <c r="P2697" s="77">
        <f>IF($A2697="",0,$H2697*설정!$C$23)</f>
        <v/>
      </c>
      <c r="Q2697" s="39">
        <f>IF($A2697="","",IF(O2697&lt;&gt;원인분석!$C$9,"",IF(AND(M2697&gt;=원인분석!$C$10,M2697&lt;=원인분석!$C$11),"당기",IF(AND(M2697&gt;=원인분석!$C$12,M2697&lt;=원인분석!$C$13),"비교",""))))</f>
        <v/>
      </c>
      <c r="R2697" s="9">
        <f>IF(Q2697="","",$K2697&amp;"")</f>
        <v/>
      </c>
      <c r="S2697" s="9">
        <f>IF(Q2697="","",IF(MATCH(R2697,$R$5:$R$100000,0)=ROW()-4,ROW(),""))</f>
        <v/>
      </c>
      <c r="T2697" s="9">
        <f>IF(Q2697="당기",ABS(P2697)+ROW()/1000000000,"")</f>
        <v/>
      </c>
      <c r="U2697" s="9">
        <f>IF(Q2697="비교",ABS(P2697)+ROW()/1000000000,"")</f>
        <v/>
      </c>
      <c r="V2697" s="39">
        <f>IF($A2697="","",IF(COUNTIF(변동분석!$E$7:$E$506,O2697)&gt;0,"Y","N"))</f>
        <v/>
      </c>
      <c r="W2697" s="39">
        <f>IF($A2697="","",IFERROR(INDEX(계정매핑!$D$5:$D$504,MATCH($F2697&amp;"",계정매핑!$A$5:$A$504,0)),"미매핑"))</f>
        <v/>
      </c>
      <c r="X2697" s="9">
        <f>IF($A2697="","",$F2697&amp;"")</f>
        <v/>
      </c>
    </row>
    <row r="2698">
      <c r="A2698" s="75" t="n">
        <v>2026</v>
      </c>
      <c r="B2698" s="75" t="n">
        <v>2</v>
      </c>
      <c r="C2698" s="75" t="inlineStr">
        <is>
          <t>5100000354</t>
        </is>
      </c>
      <c r="D2698" s="78" t="n">
        <v>46074</v>
      </c>
      <c r="E2698" s="75" t="inlineStr">
        <is>
          <t>KR</t>
        </is>
      </c>
      <c r="F2698" s="75" t="n">
        <v>62201000</v>
      </c>
      <c r="G2698" s="75" t="n">
        <v>1701</v>
      </c>
      <c r="H2698" s="76" t="n">
        <v>3235000</v>
      </c>
      <c r="I2698" s="75" t="inlineStr">
        <is>
          <t>2월 통신요금 - O텔레콤</t>
        </is>
      </c>
      <c r="J2698" s="75" t="inlineStr">
        <is>
          <t>V10002</t>
        </is>
      </c>
      <c r="K2698" s="75" t="inlineStr">
        <is>
          <t>O텔레콤</t>
        </is>
      </c>
      <c r="M2698" s="9">
        <f>IF($A2698="","",VALUE($A2698&amp;"")*12+VALUE($B2698&amp;""))</f>
        <v/>
      </c>
      <c r="N2698" s="39">
        <f>IF($A2698="","",IFERROR(INDEX(부서매핑!$C$5:$C$504,MATCH($G2698&amp;"",부서매핑!$A$5:$A$504,0)),"미매핑"))</f>
        <v/>
      </c>
      <c r="O2698" s="9">
        <f>IF($A2698="","",N2698&amp;"|"&amp;$F2698)</f>
        <v/>
      </c>
      <c r="P2698" s="77">
        <f>IF($A2698="",0,$H2698*설정!$C$23)</f>
        <v/>
      </c>
      <c r="Q2698" s="39">
        <f>IF($A2698="","",IF(O2698&lt;&gt;원인분석!$C$9,"",IF(AND(M2698&gt;=원인분석!$C$10,M2698&lt;=원인분석!$C$11),"당기",IF(AND(M2698&gt;=원인분석!$C$12,M2698&lt;=원인분석!$C$13),"비교",""))))</f>
        <v/>
      </c>
      <c r="R2698" s="9">
        <f>IF(Q2698="","",$K2698&amp;"")</f>
        <v/>
      </c>
      <c r="S2698" s="9">
        <f>IF(Q2698="","",IF(MATCH(R2698,$R$5:$R$100000,0)=ROW()-4,ROW(),""))</f>
        <v/>
      </c>
      <c r="T2698" s="9">
        <f>IF(Q2698="당기",ABS(P2698)+ROW()/1000000000,"")</f>
        <v/>
      </c>
      <c r="U2698" s="9">
        <f>IF(Q2698="비교",ABS(P2698)+ROW()/1000000000,"")</f>
        <v/>
      </c>
      <c r="V2698" s="39">
        <f>IF($A2698="","",IF(COUNTIF(변동분석!$E$7:$E$506,O2698)&gt;0,"Y","N"))</f>
        <v/>
      </c>
      <c r="W2698" s="39">
        <f>IF($A2698="","",IFERROR(INDEX(계정매핑!$D$5:$D$504,MATCH($F2698&amp;"",계정매핑!$A$5:$A$504,0)),"미매핑"))</f>
        <v/>
      </c>
      <c r="X2698" s="9">
        <f>IF($A2698="","",$F2698&amp;"")</f>
        <v/>
      </c>
    </row>
    <row r="2699">
      <c r="A2699" s="75" t="n">
        <v>2026</v>
      </c>
      <c r="B2699" s="75" t="n">
        <v>2</v>
      </c>
      <c r="C2699" s="75" t="inlineStr">
        <is>
          <t>5100000355</t>
        </is>
      </c>
      <c r="D2699" s="78" t="n">
        <v>46074</v>
      </c>
      <c r="E2699" s="75" t="inlineStr">
        <is>
          <t>KR</t>
        </is>
      </c>
      <c r="F2699" s="75" t="n">
        <v>62701000</v>
      </c>
      <c r="G2699" s="75" t="n">
        <v>1501</v>
      </c>
      <c r="H2699" s="76" t="n">
        <v>51821000</v>
      </c>
      <c r="I2699" s="75" t="inlineStr">
        <is>
          <t>2월 광고 집행 - F애드</t>
        </is>
      </c>
      <c r="J2699" s="75" t="inlineStr">
        <is>
          <t>V10019</t>
        </is>
      </c>
      <c r="K2699" s="75" t="inlineStr">
        <is>
          <t>F애드</t>
        </is>
      </c>
      <c r="M2699" s="9">
        <f>IF($A2699="","",VALUE($A2699&amp;"")*12+VALUE($B2699&amp;""))</f>
        <v/>
      </c>
      <c r="N2699" s="39">
        <f>IF($A2699="","",IFERROR(INDEX(부서매핑!$C$5:$C$504,MATCH($G2699&amp;"",부서매핑!$A$5:$A$504,0)),"미매핑"))</f>
        <v/>
      </c>
      <c r="O2699" s="9">
        <f>IF($A2699="","",N2699&amp;"|"&amp;$F2699)</f>
        <v/>
      </c>
      <c r="P2699" s="77">
        <f>IF($A2699="",0,$H2699*설정!$C$23)</f>
        <v/>
      </c>
      <c r="Q2699" s="39">
        <f>IF($A2699="","",IF(O2699&lt;&gt;원인분석!$C$9,"",IF(AND(M2699&gt;=원인분석!$C$10,M2699&lt;=원인분석!$C$11),"당기",IF(AND(M2699&gt;=원인분석!$C$12,M2699&lt;=원인분석!$C$13),"비교",""))))</f>
        <v/>
      </c>
      <c r="R2699" s="9">
        <f>IF(Q2699="","",$K2699&amp;"")</f>
        <v/>
      </c>
      <c r="S2699" s="9">
        <f>IF(Q2699="","",IF(MATCH(R2699,$R$5:$R$100000,0)=ROW()-4,ROW(),""))</f>
        <v/>
      </c>
      <c r="T2699" s="9">
        <f>IF(Q2699="당기",ABS(P2699)+ROW()/1000000000,"")</f>
        <v/>
      </c>
      <c r="U2699" s="9">
        <f>IF(Q2699="비교",ABS(P2699)+ROW()/1000000000,"")</f>
        <v/>
      </c>
      <c r="V2699" s="39">
        <f>IF($A2699="","",IF(COUNTIF(변동분석!$E$7:$E$506,O2699)&gt;0,"Y","N"))</f>
        <v/>
      </c>
      <c r="W2699" s="39">
        <f>IF($A2699="","",IFERROR(INDEX(계정매핑!$D$5:$D$504,MATCH($F2699&amp;"",계정매핑!$A$5:$A$504,0)),"미매핑"))</f>
        <v/>
      </c>
      <c r="X2699" s="9">
        <f>IF($A2699="","",$F2699&amp;"")</f>
        <v/>
      </c>
    </row>
    <row r="2700">
      <c r="A2700" s="75" t="n">
        <v>2026</v>
      </c>
      <c r="B2700" s="75" t="n">
        <v>2</v>
      </c>
      <c r="C2700" s="75" t="inlineStr">
        <is>
          <t>5100000356</t>
        </is>
      </c>
      <c r="D2700" s="78" t="n">
        <v>46074</v>
      </c>
      <c r="E2700" s="75" t="inlineStr">
        <is>
          <t>KR</t>
        </is>
      </c>
      <c r="F2700" s="75" t="n">
        <v>62801000</v>
      </c>
      <c r="G2700" s="75" t="n">
        <v>1301</v>
      </c>
      <c r="H2700" s="76" t="n">
        <v>5227000</v>
      </c>
      <c r="I2700" s="75" t="inlineStr">
        <is>
          <t>2월 사내교육 - U에듀</t>
        </is>
      </c>
      <c r="J2700" s="75" t="inlineStr">
        <is>
          <t>V10026</t>
        </is>
      </c>
      <c r="K2700" s="75" t="inlineStr">
        <is>
          <t>U에듀</t>
        </is>
      </c>
      <c r="M2700" s="9">
        <f>IF($A2700="","",VALUE($A2700&amp;"")*12+VALUE($B2700&amp;""))</f>
        <v/>
      </c>
      <c r="N2700" s="39">
        <f>IF($A2700="","",IFERROR(INDEX(부서매핑!$C$5:$C$504,MATCH($G2700&amp;"",부서매핑!$A$5:$A$504,0)),"미매핑"))</f>
        <v/>
      </c>
      <c r="O2700" s="9">
        <f>IF($A2700="","",N2700&amp;"|"&amp;$F2700)</f>
        <v/>
      </c>
      <c r="P2700" s="77">
        <f>IF($A2700="",0,$H2700*설정!$C$23)</f>
        <v/>
      </c>
      <c r="Q2700" s="39">
        <f>IF($A2700="","",IF(O2700&lt;&gt;원인분석!$C$9,"",IF(AND(M2700&gt;=원인분석!$C$10,M2700&lt;=원인분석!$C$11),"당기",IF(AND(M2700&gt;=원인분석!$C$12,M2700&lt;=원인분석!$C$13),"비교",""))))</f>
        <v/>
      </c>
      <c r="R2700" s="9">
        <f>IF(Q2700="","",$K2700&amp;"")</f>
        <v/>
      </c>
      <c r="S2700" s="9">
        <f>IF(Q2700="","",IF(MATCH(R2700,$R$5:$R$100000,0)=ROW()-4,ROW(),""))</f>
        <v/>
      </c>
      <c r="T2700" s="9">
        <f>IF(Q2700="당기",ABS(P2700)+ROW()/1000000000,"")</f>
        <v/>
      </c>
      <c r="U2700" s="9">
        <f>IF(Q2700="비교",ABS(P2700)+ROW()/1000000000,"")</f>
        <v/>
      </c>
      <c r="V2700" s="39">
        <f>IF($A2700="","",IF(COUNTIF(변동분석!$E$7:$E$506,O2700)&gt;0,"Y","N"))</f>
        <v/>
      </c>
      <c r="W2700" s="39">
        <f>IF($A2700="","",IFERROR(INDEX(계정매핑!$D$5:$D$504,MATCH($F2700&amp;"",계정매핑!$A$5:$A$504,0)),"미매핑"))</f>
        <v/>
      </c>
      <c r="X2700" s="9">
        <f>IF($A2700="","",$F2700&amp;"")</f>
        <v/>
      </c>
    </row>
    <row r="2701">
      <c r="A2701" s="75" t="n">
        <v>2026</v>
      </c>
      <c r="B2701" s="75" t="n">
        <v>2</v>
      </c>
      <c r="C2701" s="75" t="inlineStr">
        <is>
          <t>5100000357</t>
        </is>
      </c>
      <c r="D2701" s="78" t="n">
        <v>46075</v>
      </c>
      <c r="E2701" s="75" t="inlineStr">
        <is>
          <t>KR</t>
        </is>
      </c>
      <c r="F2701" s="75" t="n">
        <v>62101000</v>
      </c>
      <c r="G2701" s="75" t="n">
        <v>1201</v>
      </c>
      <c r="H2701" s="76" t="n">
        <v>251000</v>
      </c>
      <c r="I2701" s="75" t="inlineStr">
        <is>
          <t>2월 국내출장 - L여행사</t>
        </is>
      </c>
      <c r="J2701" s="75" t="inlineStr">
        <is>
          <t>V10014</t>
        </is>
      </c>
      <c r="K2701" s="75" t="inlineStr">
        <is>
          <t>L여행사</t>
        </is>
      </c>
      <c r="M2701" s="9">
        <f>IF($A2701="","",VALUE($A2701&amp;"")*12+VALUE($B2701&amp;""))</f>
        <v/>
      </c>
      <c r="N2701" s="39">
        <f>IF($A2701="","",IFERROR(INDEX(부서매핑!$C$5:$C$504,MATCH($G2701&amp;"",부서매핑!$A$5:$A$504,0)),"미매핑"))</f>
        <v/>
      </c>
      <c r="O2701" s="9">
        <f>IF($A2701="","",N2701&amp;"|"&amp;$F2701)</f>
        <v/>
      </c>
      <c r="P2701" s="77">
        <f>IF($A2701="",0,$H2701*설정!$C$23)</f>
        <v/>
      </c>
      <c r="Q2701" s="39">
        <f>IF($A2701="","",IF(O2701&lt;&gt;원인분석!$C$9,"",IF(AND(M2701&gt;=원인분석!$C$10,M2701&lt;=원인분석!$C$11),"당기",IF(AND(M2701&gt;=원인분석!$C$12,M2701&lt;=원인분석!$C$13),"비교",""))))</f>
        <v/>
      </c>
      <c r="R2701" s="9">
        <f>IF(Q2701="","",$K2701&amp;"")</f>
        <v/>
      </c>
      <c r="S2701" s="9">
        <f>IF(Q2701="","",IF(MATCH(R2701,$R$5:$R$100000,0)=ROW()-4,ROW(),""))</f>
        <v/>
      </c>
      <c r="T2701" s="9">
        <f>IF(Q2701="당기",ABS(P2701)+ROW()/1000000000,"")</f>
        <v/>
      </c>
      <c r="U2701" s="9">
        <f>IF(Q2701="비교",ABS(P2701)+ROW()/1000000000,"")</f>
        <v/>
      </c>
      <c r="V2701" s="39">
        <f>IF($A2701="","",IF(COUNTIF(변동분석!$E$7:$E$506,O2701)&gt;0,"Y","N"))</f>
        <v/>
      </c>
      <c r="W2701" s="39">
        <f>IF($A2701="","",IFERROR(INDEX(계정매핑!$D$5:$D$504,MATCH($F2701&amp;"",계정매핑!$A$5:$A$504,0)),"미매핑"))</f>
        <v/>
      </c>
      <c r="X2701" s="9">
        <f>IF($A2701="","",$F2701&amp;"")</f>
        <v/>
      </c>
    </row>
    <row r="2702">
      <c r="A2702" s="75" t="n">
        <v>2026</v>
      </c>
      <c r="B2702" s="75" t="n">
        <v>2</v>
      </c>
      <c r="C2702" s="75" t="inlineStr">
        <is>
          <t>5100000358</t>
        </is>
      </c>
      <c r="D2702" s="78" t="n">
        <v>46075</v>
      </c>
      <c r="E2702" s="75" t="inlineStr">
        <is>
          <t>KR</t>
        </is>
      </c>
      <c r="F2702" s="75" t="n">
        <v>62101000</v>
      </c>
      <c r="G2702" s="75" t="n">
        <v>1401</v>
      </c>
      <c r="H2702" s="76" t="n">
        <v>642000</v>
      </c>
      <c r="I2702" s="75" t="inlineStr">
        <is>
          <t>2월 국내출장 - (법인카드)</t>
        </is>
      </c>
      <c r="J2702" s="75" t="inlineStr">
        <is>
          <t>V10008</t>
        </is>
      </c>
      <c r="K2702" s="75" t="inlineStr">
        <is>
          <t>(법인카드)</t>
        </is>
      </c>
      <c r="M2702" s="9">
        <f>IF($A2702="","",VALUE($A2702&amp;"")*12+VALUE($B2702&amp;""))</f>
        <v/>
      </c>
      <c r="N2702" s="39">
        <f>IF($A2702="","",IFERROR(INDEX(부서매핑!$C$5:$C$504,MATCH($G2702&amp;"",부서매핑!$A$5:$A$504,0)),"미매핑"))</f>
        <v/>
      </c>
      <c r="O2702" s="9">
        <f>IF($A2702="","",N2702&amp;"|"&amp;$F2702)</f>
        <v/>
      </c>
      <c r="P2702" s="77">
        <f>IF($A2702="",0,$H2702*설정!$C$23)</f>
        <v/>
      </c>
      <c r="Q2702" s="39">
        <f>IF($A2702="","",IF(O2702&lt;&gt;원인분석!$C$9,"",IF(AND(M2702&gt;=원인분석!$C$10,M2702&lt;=원인분석!$C$11),"당기",IF(AND(M2702&gt;=원인분석!$C$12,M2702&lt;=원인분석!$C$13),"비교",""))))</f>
        <v/>
      </c>
      <c r="R2702" s="9">
        <f>IF(Q2702="","",$K2702&amp;"")</f>
        <v/>
      </c>
      <c r="S2702" s="9">
        <f>IF(Q2702="","",IF(MATCH(R2702,$R$5:$R$100000,0)=ROW()-4,ROW(),""))</f>
        <v/>
      </c>
      <c r="T2702" s="9">
        <f>IF(Q2702="당기",ABS(P2702)+ROW()/1000000000,"")</f>
        <v/>
      </c>
      <c r="U2702" s="9">
        <f>IF(Q2702="비교",ABS(P2702)+ROW()/1000000000,"")</f>
        <v/>
      </c>
      <c r="V2702" s="39">
        <f>IF($A2702="","",IF(COUNTIF(변동분석!$E$7:$E$506,O2702)&gt;0,"Y","N"))</f>
        <v/>
      </c>
      <c r="W2702" s="39">
        <f>IF($A2702="","",IFERROR(INDEX(계정매핑!$D$5:$D$504,MATCH($F2702&amp;"",계정매핑!$A$5:$A$504,0)),"미매핑"))</f>
        <v/>
      </c>
      <c r="X2702" s="9">
        <f>IF($A2702="","",$F2702&amp;"")</f>
        <v/>
      </c>
    </row>
    <row r="2703">
      <c r="A2703" s="75" t="n">
        <v>2026</v>
      </c>
      <c r="B2703" s="75" t="n">
        <v>2</v>
      </c>
      <c r="C2703" s="75" t="inlineStr">
        <is>
          <t>5100000359</t>
        </is>
      </c>
      <c r="D2703" s="78" t="n">
        <v>46075</v>
      </c>
      <c r="E2703" s="75" t="inlineStr">
        <is>
          <t>KR</t>
        </is>
      </c>
      <c r="F2703" s="75" t="n">
        <v>62101000</v>
      </c>
      <c r="G2703" s="75" t="n">
        <v>1801</v>
      </c>
      <c r="H2703" s="76" t="n">
        <v>109000</v>
      </c>
      <c r="I2703" s="75" t="inlineStr">
        <is>
          <t>2월 국내출장 - (법인카드)</t>
        </is>
      </c>
      <c r="J2703" s="75" t="inlineStr">
        <is>
          <t>V10008</t>
        </is>
      </c>
      <c r="K2703" s="75" t="inlineStr">
        <is>
          <t>(법인카드)</t>
        </is>
      </c>
      <c r="M2703" s="9">
        <f>IF($A2703="","",VALUE($A2703&amp;"")*12+VALUE($B2703&amp;""))</f>
        <v/>
      </c>
      <c r="N2703" s="39">
        <f>IF($A2703="","",IFERROR(INDEX(부서매핑!$C$5:$C$504,MATCH($G2703&amp;"",부서매핑!$A$5:$A$504,0)),"미매핑"))</f>
        <v/>
      </c>
      <c r="O2703" s="9">
        <f>IF($A2703="","",N2703&amp;"|"&amp;$F2703)</f>
        <v/>
      </c>
      <c r="P2703" s="77">
        <f>IF($A2703="",0,$H2703*설정!$C$23)</f>
        <v/>
      </c>
      <c r="Q2703" s="39">
        <f>IF($A2703="","",IF(O2703&lt;&gt;원인분석!$C$9,"",IF(AND(M2703&gt;=원인분석!$C$10,M2703&lt;=원인분석!$C$11),"당기",IF(AND(M2703&gt;=원인분석!$C$12,M2703&lt;=원인분석!$C$13),"비교",""))))</f>
        <v/>
      </c>
      <c r="R2703" s="9">
        <f>IF(Q2703="","",$K2703&amp;"")</f>
        <v/>
      </c>
      <c r="S2703" s="9">
        <f>IF(Q2703="","",IF(MATCH(R2703,$R$5:$R$100000,0)=ROW()-4,ROW(),""))</f>
        <v/>
      </c>
      <c r="T2703" s="9">
        <f>IF(Q2703="당기",ABS(P2703)+ROW()/1000000000,"")</f>
        <v/>
      </c>
      <c r="U2703" s="9">
        <f>IF(Q2703="비교",ABS(P2703)+ROW()/1000000000,"")</f>
        <v/>
      </c>
      <c r="V2703" s="39">
        <f>IF($A2703="","",IF(COUNTIF(변동분석!$E$7:$E$506,O2703)&gt;0,"Y","N"))</f>
        <v/>
      </c>
      <c r="W2703" s="39">
        <f>IF($A2703="","",IFERROR(INDEX(계정매핑!$D$5:$D$504,MATCH($F2703&amp;"",계정매핑!$A$5:$A$504,0)),"미매핑"))</f>
        <v/>
      </c>
      <c r="X2703" s="9">
        <f>IF($A2703="","",$F2703&amp;"")</f>
        <v/>
      </c>
    </row>
    <row r="2704">
      <c r="A2704" s="75" t="n">
        <v>2026</v>
      </c>
      <c r="B2704" s="75" t="n">
        <v>2</v>
      </c>
      <c r="C2704" s="75" t="inlineStr">
        <is>
          <t>5100000360</t>
        </is>
      </c>
      <c r="D2704" s="78" t="n">
        <v>46075</v>
      </c>
      <c r="E2704" s="75" t="inlineStr">
        <is>
          <t>KR</t>
        </is>
      </c>
      <c r="F2704" s="75" t="n">
        <v>62201000</v>
      </c>
      <c r="G2704" s="75" t="n">
        <v>1501</v>
      </c>
      <c r="H2704" s="76" t="n">
        <v>369000</v>
      </c>
      <c r="I2704" s="75" t="inlineStr">
        <is>
          <t>2월 통신요금 - O텔레콤</t>
        </is>
      </c>
      <c r="J2704" s="75" t="inlineStr">
        <is>
          <t>V10002</t>
        </is>
      </c>
      <c r="K2704" s="75" t="inlineStr">
        <is>
          <t>O텔레콤</t>
        </is>
      </c>
      <c r="M2704" s="9">
        <f>IF($A2704="","",VALUE($A2704&amp;"")*12+VALUE($B2704&amp;""))</f>
        <v/>
      </c>
      <c r="N2704" s="39">
        <f>IF($A2704="","",IFERROR(INDEX(부서매핑!$C$5:$C$504,MATCH($G2704&amp;"",부서매핑!$A$5:$A$504,0)),"미매핑"))</f>
        <v/>
      </c>
      <c r="O2704" s="9">
        <f>IF($A2704="","",N2704&amp;"|"&amp;$F2704)</f>
        <v/>
      </c>
      <c r="P2704" s="77">
        <f>IF($A2704="",0,$H2704*설정!$C$23)</f>
        <v/>
      </c>
      <c r="Q2704" s="39">
        <f>IF($A2704="","",IF(O2704&lt;&gt;원인분석!$C$9,"",IF(AND(M2704&gt;=원인분석!$C$10,M2704&lt;=원인분석!$C$11),"당기",IF(AND(M2704&gt;=원인분석!$C$12,M2704&lt;=원인분석!$C$13),"비교",""))))</f>
        <v/>
      </c>
      <c r="R2704" s="9">
        <f>IF(Q2704="","",$K2704&amp;"")</f>
        <v/>
      </c>
      <c r="S2704" s="9">
        <f>IF(Q2704="","",IF(MATCH(R2704,$R$5:$R$100000,0)=ROW()-4,ROW(),""))</f>
        <v/>
      </c>
      <c r="T2704" s="9">
        <f>IF(Q2704="당기",ABS(P2704)+ROW()/1000000000,"")</f>
        <v/>
      </c>
      <c r="U2704" s="9">
        <f>IF(Q2704="비교",ABS(P2704)+ROW()/1000000000,"")</f>
        <v/>
      </c>
      <c r="V2704" s="39">
        <f>IF($A2704="","",IF(COUNTIF(변동분석!$E$7:$E$506,O2704)&gt;0,"Y","N"))</f>
        <v/>
      </c>
      <c r="W2704" s="39">
        <f>IF($A2704="","",IFERROR(INDEX(계정매핑!$D$5:$D$504,MATCH($F2704&amp;"",계정매핑!$A$5:$A$504,0)),"미매핑"))</f>
        <v/>
      </c>
      <c r="X2704" s="9">
        <f>IF($A2704="","",$F2704&amp;"")</f>
        <v/>
      </c>
    </row>
    <row r="2705">
      <c r="A2705" s="75" t="n">
        <v>2026</v>
      </c>
      <c r="B2705" s="75" t="n">
        <v>2</v>
      </c>
      <c r="C2705" s="75" t="inlineStr">
        <is>
          <t>5100000361</t>
        </is>
      </c>
      <c r="D2705" s="78" t="n">
        <v>46075</v>
      </c>
      <c r="E2705" s="75" t="inlineStr">
        <is>
          <t>KR</t>
        </is>
      </c>
      <c r="F2705" s="75" t="n">
        <v>62301000</v>
      </c>
      <c r="G2705" s="75" t="n">
        <v>1701</v>
      </c>
      <c r="H2705" s="76" t="n">
        <v>214000</v>
      </c>
      <c r="I2705" s="75" t="inlineStr">
        <is>
          <t>2월 소모품 구입 - Q오피스</t>
        </is>
      </c>
      <c r="J2705" s="75" t="inlineStr">
        <is>
          <t>V10003</t>
        </is>
      </c>
      <c r="K2705" s="75" t="inlineStr">
        <is>
          <t>Q오피스</t>
        </is>
      </c>
      <c r="M2705" s="9">
        <f>IF($A2705="","",VALUE($A2705&amp;"")*12+VALUE($B2705&amp;""))</f>
        <v/>
      </c>
      <c r="N2705" s="39">
        <f>IF($A2705="","",IFERROR(INDEX(부서매핑!$C$5:$C$504,MATCH($G2705&amp;"",부서매핑!$A$5:$A$504,0)),"미매핑"))</f>
        <v/>
      </c>
      <c r="O2705" s="9">
        <f>IF($A2705="","",N2705&amp;"|"&amp;$F2705)</f>
        <v/>
      </c>
      <c r="P2705" s="77">
        <f>IF($A2705="",0,$H2705*설정!$C$23)</f>
        <v/>
      </c>
      <c r="Q2705" s="39">
        <f>IF($A2705="","",IF(O2705&lt;&gt;원인분석!$C$9,"",IF(AND(M2705&gt;=원인분석!$C$10,M2705&lt;=원인분석!$C$11),"당기",IF(AND(M2705&gt;=원인분석!$C$12,M2705&lt;=원인분석!$C$13),"비교",""))))</f>
        <v/>
      </c>
      <c r="R2705" s="9">
        <f>IF(Q2705="","",$K2705&amp;"")</f>
        <v/>
      </c>
      <c r="S2705" s="9">
        <f>IF(Q2705="","",IF(MATCH(R2705,$R$5:$R$100000,0)=ROW()-4,ROW(),""))</f>
        <v/>
      </c>
      <c r="T2705" s="9">
        <f>IF(Q2705="당기",ABS(P2705)+ROW()/1000000000,"")</f>
        <v/>
      </c>
      <c r="U2705" s="9">
        <f>IF(Q2705="비교",ABS(P2705)+ROW()/1000000000,"")</f>
        <v/>
      </c>
      <c r="V2705" s="39">
        <f>IF($A2705="","",IF(COUNTIF(변동분석!$E$7:$E$506,O2705)&gt;0,"Y","N"))</f>
        <v/>
      </c>
      <c r="W2705" s="39">
        <f>IF($A2705="","",IFERROR(INDEX(계정매핑!$D$5:$D$504,MATCH($F2705&amp;"",계정매핑!$A$5:$A$504,0)),"미매핑"))</f>
        <v/>
      </c>
      <c r="X2705" s="9">
        <f>IF($A2705="","",$F2705&amp;"")</f>
        <v/>
      </c>
    </row>
    <row r="2706">
      <c r="A2706" s="75" t="n">
        <v>2026</v>
      </c>
      <c r="B2706" s="75" t="n">
        <v>2</v>
      </c>
      <c r="C2706" s="75" t="inlineStr">
        <is>
          <t>5100000362</t>
        </is>
      </c>
      <c r="D2706" s="78" t="n">
        <v>46075</v>
      </c>
      <c r="E2706" s="75" t="inlineStr">
        <is>
          <t>KR</t>
        </is>
      </c>
      <c r="F2706" s="75" t="n">
        <v>62901000</v>
      </c>
      <c r="G2706" s="75" t="n">
        <v>1101</v>
      </c>
      <c r="H2706" s="76" t="n">
        <v>3411000</v>
      </c>
      <c r="I2706" s="75" t="inlineStr">
        <is>
          <t>2월 자문 수수료 - K회계법인</t>
        </is>
      </c>
      <c r="J2706" s="75" t="inlineStr">
        <is>
          <t>V10010</t>
        </is>
      </c>
      <c r="K2706" s="75" t="inlineStr">
        <is>
          <t>K회계법인</t>
        </is>
      </c>
      <c r="M2706" s="9">
        <f>IF($A2706="","",VALUE($A2706&amp;"")*12+VALUE($B2706&amp;""))</f>
        <v/>
      </c>
      <c r="N2706" s="39">
        <f>IF($A2706="","",IFERROR(INDEX(부서매핑!$C$5:$C$504,MATCH($G2706&amp;"",부서매핑!$A$5:$A$504,0)),"미매핑"))</f>
        <v/>
      </c>
      <c r="O2706" s="9">
        <f>IF($A2706="","",N2706&amp;"|"&amp;$F2706)</f>
        <v/>
      </c>
      <c r="P2706" s="77">
        <f>IF($A2706="",0,$H2706*설정!$C$23)</f>
        <v/>
      </c>
      <c r="Q2706" s="39">
        <f>IF($A2706="","",IF(O2706&lt;&gt;원인분석!$C$9,"",IF(AND(M2706&gt;=원인분석!$C$10,M2706&lt;=원인분석!$C$11),"당기",IF(AND(M2706&gt;=원인분석!$C$12,M2706&lt;=원인분석!$C$13),"비교",""))))</f>
        <v/>
      </c>
      <c r="R2706" s="9">
        <f>IF(Q2706="","",$K2706&amp;"")</f>
        <v/>
      </c>
      <c r="S2706" s="9">
        <f>IF(Q2706="","",IF(MATCH(R2706,$R$5:$R$100000,0)=ROW()-4,ROW(),""))</f>
        <v/>
      </c>
      <c r="T2706" s="9">
        <f>IF(Q2706="당기",ABS(P2706)+ROW()/1000000000,"")</f>
        <v/>
      </c>
      <c r="U2706" s="9">
        <f>IF(Q2706="비교",ABS(P2706)+ROW()/1000000000,"")</f>
        <v/>
      </c>
      <c r="V2706" s="39">
        <f>IF($A2706="","",IF(COUNTIF(변동분석!$E$7:$E$506,O2706)&gt;0,"Y","N"))</f>
        <v/>
      </c>
      <c r="W2706" s="39">
        <f>IF($A2706="","",IFERROR(INDEX(계정매핑!$D$5:$D$504,MATCH($F2706&amp;"",계정매핑!$A$5:$A$504,0)),"미매핑"))</f>
        <v/>
      </c>
      <c r="X2706" s="9">
        <f>IF($A2706="","",$F2706&amp;"")</f>
        <v/>
      </c>
    </row>
    <row r="2707">
      <c r="A2707" s="75" t="n">
        <v>2026</v>
      </c>
      <c r="B2707" s="75" t="n">
        <v>2</v>
      </c>
      <c r="C2707" s="75" t="inlineStr">
        <is>
          <t>5100000363</t>
        </is>
      </c>
      <c r="D2707" s="78" t="n">
        <v>46075</v>
      </c>
      <c r="E2707" s="75" t="inlineStr">
        <is>
          <t>KR</t>
        </is>
      </c>
      <c r="F2707" s="75" t="n">
        <v>63101000</v>
      </c>
      <c r="G2707" s="75" t="n">
        <v>1601</v>
      </c>
      <c r="H2707" s="76" t="n">
        <v>3295000</v>
      </c>
      <c r="I2707" s="75" t="inlineStr">
        <is>
          <t>2월 사무실 임차료 - BB부동산</t>
        </is>
      </c>
      <c r="J2707" s="75" t="inlineStr">
        <is>
          <t>V10024</t>
        </is>
      </c>
      <c r="K2707" s="75" t="inlineStr">
        <is>
          <t>BB부동산</t>
        </is>
      </c>
      <c r="M2707" s="9">
        <f>IF($A2707="","",VALUE($A2707&amp;"")*12+VALUE($B2707&amp;""))</f>
        <v/>
      </c>
      <c r="N2707" s="39">
        <f>IF($A2707="","",IFERROR(INDEX(부서매핑!$C$5:$C$504,MATCH($G2707&amp;"",부서매핑!$A$5:$A$504,0)),"미매핑"))</f>
        <v/>
      </c>
      <c r="O2707" s="9">
        <f>IF($A2707="","",N2707&amp;"|"&amp;$F2707)</f>
        <v/>
      </c>
      <c r="P2707" s="77">
        <f>IF($A2707="",0,$H2707*설정!$C$23)</f>
        <v/>
      </c>
      <c r="Q2707" s="39">
        <f>IF($A2707="","",IF(O2707&lt;&gt;원인분석!$C$9,"",IF(AND(M2707&gt;=원인분석!$C$10,M2707&lt;=원인분석!$C$11),"당기",IF(AND(M2707&gt;=원인분석!$C$12,M2707&lt;=원인분석!$C$13),"비교",""))))</f>
        <v/>
      </c>
      <c r="R2707" s="9">
        <f>IF(Q2707="","",$K2707&amp;"")</f>
        <v/>
      </c>
      <c r="S2707" s="9">
        <f>IF(Q2707="","",IF(MATCH(R2707,$R$5:$R$100000,0)=ROW()-4,ROW(),""))</f>
        <v/>
      </c>
      <c r="T2707" s="9">
        <f>IF(Q2707="당기",ABS(P2707)+ROW()/1000000000,"")</f>
        <v/>
      </c>
      <c r="U2707" s="9">
        <f>IF(Q2707="비교",ABS(P2707)+ROW()/1000000000,"")</f>
        <v/>
      </c>
      <c r="V2707" s="39">
        <f>IF($A2707="","",IF(COUNTIF(변동분석!$E$7:$E$506,O2707)&gt;0,"Y","N"))</f>
        <v/>
      </c>
      <c r="W2707" s="39">
        <f>IF($A2707="","",IFERROR(INDEX(계정매핑!$D$5:$D$504,MATCH($F2707&amp;"",계정매핑!$A$5:$A$504,0)),"미매핑"))</f>
        <v/>
      </c>
      <c r="X2707" s="9">
        <f>IF($A2707="","",$F2707&amp;"")</f>
        <v/>
      </c>
    </row>
    <row r="2708">
      <c r="A2708" s="75" t="n">
        <v>2026</v>
      </c>
      <c r="B2708" s="75" t="n">
        <v>2</v>
      </c>
      <c r="C2708" s="75" t="inlineStr">
        <is>
          <t>5100000364</t>
        </is>
      </c>
      <c r="D2708" s="78" t="n">
        <v>46076</v>
      </c>
      <c r="E2708" s="75" t="inlineStr">
        <is>
          <t>KR</t>
        </is>
      </c>
      <c r="F2708" s="75" t="n">
        <v>62101000</v>
      </c>
      <c r="G2708" s="75" t="n">
        <v>1101</v>
      </c>
      <c r="H2708" s="76" t="n">
        <v>579000</v>
      </c>
      <c r="I2708" s="75" t="inlineStr">
        <is>
          <t>2월 국내출장 - M항공</t>
        </is>
      </c>
      <c r="J2708" s="75" t="inlineStr">
        <is>
          <t>V10001</t>
        </is>
      </c>
      <c r="K2708" s="75" t="inlineStr">
        <is>
          <t>M항공</t>
        </is>
      </c>
      <c r="M2708" s="9">
        <f>IF($A2708="","",VALUE($A2708&amp;"")*12+VALUE($B2708&amp;""))</f>
        <v/>
      </c>
      <c r="N2708" s="39">
        <f>IF($A2708="","",IFERROR(INDEX(부서매핑!$C$5:$C$504,MATCH($G2708&amp;"",부서매핑!$A$5:$A$504,0)),"미매핑"))</f>
        <v/>
      </c>
      <c r="O2708" s="9">
        <f>IF($A2708="","",N2708&amp;"|"&amp;$F2708)</f>
        <v/>
      </c>
      <c r="P2708" s="77">
        <f>IF($A2708="",0,$H2708*설정!$C$23)</f>
        <v/>
      </c>
      <c r="Q2708" s="39">
        <f>IF($A2708="","",IF(O2708&lt;&gt;원인분석!$C$9,"",IF(AND(M2708&gt;=원인분석!$C$10,M2708&lt;=원인분석!$C$11),"당기",IF(AND(M2708&gt;=원인분석!$C$12,M2708&lt;=원인분석!$C$13),"비교",""))))</f>
        <v/>
      </c>
      <c r="R2708" s="9">
        <f>IF(Q2708="","",$K2708&amp;"")</f>
        <v/>
      </c>
      <c r="S2708" s="9">
        <f>IF(Q2708="","",IF(MATCH(R2708,$R$5:$R$100000,0)=ROW()-4,ROW(),""))</f>
        <v/>
      </c>
      <c r="T2708" s="9">
        <f>IF(Q2708="당기",ABS(P2708)+ROW()/1000000000,"")</f>
        <v/>
      </c>
      <c r="U2708" s="9">
        <f>IF(Q2708="비교",ABS(P2708)+ROW()/1000000000,"")</f>
        <v/>
      </c>
      <c r="V2708" s="39">
        <f>IF($A2708="","",IF(COUNTIF(변동분석!$E$7:$E$506,O2708)&gt;0,"Y","N"))</f>
        <v/>
      </c>
      <c r="W2708" s="39">
        <f>IF($A2708="","",IFERROR(INDEX(계정매핑!$D$5:$D$504,MATCH($F2708&amp;"",계정매핑!$A$5:$A$504,0)),"미매핑"))</f>
        <v/>
      </c>
      <c r="X2708" s="9">
        <f>IF($A2708="","",$F2708&amp;"")</f>
        <v/>
      </c>
    </row>
    <row r="2709">
      <c r="A2709" s="75" t="n">
        <v>2026</v>
      </c>
      <c r="B2709" s="75" t="n">
        <v>2</v>
      </c>
      <c r="C2709" s="75" t="inlineStr">
        <is>
          <t>5100000365</t>
        </is>
      </c>
      <c r="D2709" s="78" t="n">
        <v>46076</v>
      </c>
      <c r="E2709" s="75" t="inlineStr">
        <is>
          <t>KR</t>
        </is>
      </c>
      <c r="F2709" s="75" t="n">
        <v>62102000</v>
      </c>
      <c r="G2709" s="75" t="n">
        <v>1602</v>
      </c>
      <c r="H2709" s="76" t="n">
        <v>244000</v>
      </c>
      <c r="I2709" s="75" t="inlineStr">
        <is>
          <t>2월 해외출장 - N호텔</t>
        </is>
      </c>
      <c r="J2709" s="75" t="inlineStr">
        <is>
          <t>V10007</t>
        </is>
      </c>
      <c r="K2709" s="75" t="inlineStr">
        <is>
          <t>N호텔</t>
        </is>
      </c>
      <c r="M2709" s="9">
        <f>IF($A2709="","",VALUE($A2709&amp;"")*12+VALUE($B2709&amp;""))</f>
        <v/>
      </c>
      <c r="N2709" s="39">
        <f>IF($A2709="","",IFERROR(INDEX(부서매핑!$C$5:$C$504,MATCH($G2709&amp;"",부서매핑!$A$5:$A$504,0)),"미매핑"))</f>
        <v/>
      </c>
      <c r="O2709" s="9">
        <f>IF($A2709="","",N2709&amp;"|"&amp;$F2709)</f>
        <v/>
      </c>
      <c r="P2709" s="77">
        <f>IF($A2709="",0,$H2709*설정!$C$23)</f>
        <v/>
      </c>
      <c r="Q2709" s="39">
        <f>IF($A2709="","",IF(O2709&lt;&gt;원인분석!$C$9,"",IF(AND(M2709&gt;=원인분석!$C$10,M2709&lt;=원인분석!$C$11),"당기",IF(AND(M2709&gt;=원인분석!$C$12,M2709&lt;=원인분석!$C$13),"비교",""))))</f>
        <v/>
      </c>
      <c r="R2709" s="9">
        <f>IF(Q2709="","",$K2709&amp;"")</f>
        <v/>
      </c>
      <c r="S2709" s="9">
        <f>IF(Q2709="","",IF(MATCH(R2709,$R$5:$R$100000,0)=ROW()-4,ROW(),""))</f>
        <v/>
      </c>
      <c r="T2709" s="9">
        <f>IF(Q2709="당기",ABS(P2709)+ROW()/1000000000,"")</f>
        <v/>
      </c>
      <c r="U2709" s="9">
        <f>IF(Q2709="비교",ABS(P2709)+ROW()/1000000000,"")</f>
        <v/>
      </c>
      <c r="V2709" s="39">
        <f>IF($A2709="","",IF(COUNTIF(변동분석!$E$7:$E$506,O2709)&gt;0,"Y","N"))</f>
        <v/>
      </c>
      <c r="W2709" s="39">
        <f>IF($A2709="","",IFERROR(INDEX(계정매핑!$D$5:$D$504,MATCH($F2709&amp;"",계정매핑!$A$5:$A$504,0)),"미매핑"))</f>
        <v/>
      </c>
      <c r="X2709" s="9">
        <f>IF($A2709="","",$F2709&amp;"")</f>
        <v/>
      </c>
    </row>
    <row r="2710">
      <c r="A2710" s="75" t="n">
        <v>2026</v>
      </c>
      <c r="B2710" s="75" t="n">
        <v>2</v>
      </c>
      <c r="C2710" s="75" t="inlineStr">
        <is>
          <t>5100000366</t>
        </is>
      </c>
      <c r="D2710" s="78" t="n">
        <v>46076</v>
      </c>
      <c r="E2710" s="75" t="inlineStr">
        <is>
          <t>KR</t>
        </is>
      </c>
      <c r="F2710" s="75" t="n">
        <v>62102000</v>
      </c>
      <c r="G2710" s="75" t="n">
        <v>1801</v>
      </c>
      <c r="H2710" s="76" t="n">
        <v>22000</v>
      </c>
      <c r="I2710" s="75" t="inlineStr">
        <is>
          <t>2월 해외출장 - N호텔</t>
        </is>
      </c>
      <c r="J2710" s="75" t="inlineStr">
        <is>
          <t>V10007</t>
        </is>
      </c>
      <c r="K2710" s="75" t="inlineStr">
        <is>
          <t>N호텔</t>
        </is>
      </c>
      <c r="M2710" s="9">
        <f>IF($A2710="","",VALUE($A2710&amp;"")*12+VALUE($B2710&amp;""))</f>
        <v/>
      </c>
      <c r="N2710" s="39">
        <f>IF($A2710="","",IFERROR(INDEX(부서매핑!$C$5:$C$504,MATCH($G2710&amp;"",부서매핑!$A$5:$A$504,0)),"미매핑"))</f>
        <v/>
      </c>
      <c r="O2710" s="9">
        <f>IF($A2710="","",N2710&amp;"|"&amp;$F2710)</f>
        <v/>
      </c>
      <c r="P2710" s="77">
        <f>IF($A2710="",0,$H2710*설정!$C$23)</f>
        <v/>
      </c>
      <c r="Q2710" s="39">
        <f>IF($A2710="","",IF(O2710&lt;&gt;원인분석!$C$9,"",IF(AND(M2710&gt;=원인분석!$C$10,M2710&lt;=원인분석!$C$11),"당기",IF(AND(M2710&gt;=원인분석!$C$12,M2710&lt;=원인분석!$C$13),"비교",""))))</f>
        <v/>
      </c>
      <c r="R2710" s="9">
        <f>IF(Q2710="","",$K2710&amp;"")</f>
        <v/>
      </c>
      <c r="S2710" s="9">
        <f>IF(Q2710="","",IF(MATCH(R2710,$R$5:$R$100000,0)=ROW()-4,ROW(),""))</f>
        <v/>
      </c>
      <c r="T2710" s="9">
        <f>IF(Q2710="당기",ABS(P2710)+ROW()/1000000000,"")</f>
        <v/>
      </c>
      <c r="U2710" s="9">
        <f>IF(Q2710="비교",ABS(P2710)+ROW()/1000000000,"")</f>
        <v/>
      </c>
      <c r="V2710" s="39">
        <f>IF($A2710="","",IF(COUNTIF(변동분석!$E$7:$E$506,O2710)&gt;0,"Y","N"))</f>
        <v/>
      </c>
      <c r="W2710" s="39">
        <f>IF($A2710="","",IFERROR(INDEX(계정매핑!$D$5:$D$504,MATCH($F2710&amp;"",계정매핑!$A$5:$A$504,0)),"미매핑"))</f>
        <v/>
      </c>
      <c r="X2710" s="9">
        <f>IF($A2710="","",$F2710&amp;"")</f>
        <v/>
      </c>
    </row>
    <row r="2711">
      <c r="A2711" s="75" t="n">
        <v>2026</v>
      </c>
      <c r="B2711" s="75" t="n">
        <v>2</v>
      </c>
      <c r="C2711" s="75" t="inlineStr">
        <is>
          <t>5100000367</t>
        </is>
      </c>
      <c r="D2711" s="78" t="n">
        <v>46076</v>
      </c>
      <c r="E2711" s="75" t="inlineStr">
        <is>
          <t>KR</t>
        </is>
      </c>
      <c r="F2711" s="75" t="n">
        <v>62501000</v>
      </c>
      <c r="G2711" s="75" t="n">
        <v>1401</v>
      </c>
      <c r="H2711" s="76" t="n">
        <v>128000</v>
      </c>
      <c r="I2711" s="75" t="inlineStr">
        <is>
          <t>2월 회의 다과 - T케이터링</t>
        </is>
      </c>
      <c r="J2711" s="75" t="inlineStr">
        <is>
          <t>V10005</t>
        </is>
      </c>
      <c r="K2711" s="75" t="inlineStr">
        <is>
          <t>T케이터링</t>
        </is>
      </c>
      <c r="M2711" s="9">
        <f>IF($A2711="","",VALUE($A2711&amp;"")*12+VALUE($B2711&amp;""))</f>
        <v/>
      </c>
      <c r="N2711" s="39">
        <f>IF($A2711="","",IFERROR(INDEX(부서매핑!$C$5:$C$504,MATCH($G2711&amp;"",부서매핑!$A$5:$A$504,0)),"미매핑"))</f>
        <v/>
      </c>
      <c r="O2711" s="9">
        <f>IF($A2711="","",N2711&amp;"|"&amp;$F2711)</f>
        <v/>
      </c>
      <c r="P2711" s="77">
        <f>IF($A2711="",0,$H2711*설정!$C$23)</f>
        <v/>
      </c>
      <c r="Q2711" s="39">
        <f>IF($A2711="","",IF(O2711&lt;&gt;원인분석!$C$9,"",IF(AND(M2711&gt;=원인분석!$C$10,M2711&lt;=원인분석!$C$11),"당기",IF(AND(M2711&gt;=원인분석!$C$12,M2711&lt;=원인분석!$C$13),"비교",""))))</f>
        <v/>
      </c>
      <c r="R2711" s="9">
        <f>IF(Q2711="","",$K2711&amp;"")</f>
        <v/>
      </c>
      <c r="S2711" s="9">
        <f>IF(Q2711="","",IF(MATCH(R2711,$R$5:$R$100000,0)=ROW()-4,ROW(),""))</f>
        <v/>
      </c>
      <c r="T2711" s="9">
        <f>IF(Q2711="당기",ABS(P2711)+ROW()/1000000000,"")</f>
        <v/>
      </c>
      <c r="U2711" s="9">
        <f>IF(Q2711="비교",ABS(P2711)+ROW()/1000000000,"")</f>
        <v/>
      </c>
      <c r="V2711" s="39">
        <f>IF($A2711="","",IF(COUNTIF(변동분석!$E$7:$E$506,O2711)&gt;0,"Y","N"))</f>
        <v/>
      </c>
      <c r="W2711" s="39">
        <f>IF($A2711="","",IFERROR(INDEX(계정매핑!$D$5:$D$504,MATCH($F2711&amp;"",계정매핑!$A$5:$A$504,0)),"미매핑"))</f>
        <v/>
      </c>
      <c r="X2711" s="9">
        <f>IF($A2711="","",$F2711&amp;"")</f>
        <v/>
      </c>
    </row>
    <row r="2712">
      <c r="A2712" s="75" t="n">
        <v>2026</v>
      </c>
      <c r="B2712" s="75" t="n">
        <v>2</v>
      </c>
      <c r="C2712" s="75" t="inlineStr">
        <is>
          <t>5100000368</t>
        </is>
      </c>
      <c r="D2712" s="78" t="n">
        <v>46076</v>
      </c>
      <c r="E2712" s="75" t="inlineStr">
        <is>
          <t>KR</t>
        </is>
      </c>
      <c r="F2712" s="75" t="n">
        <v>62501000</v>
      </c>
      <c r="G2712" s="75" t="n">
        <v>1502</v>
      </c>
      <c r="H2712" s="76" t="n">
        <v>186000</v>
      </c>
      <c r="I2712" s="75" t="inlineStr">
        <is>
          <t>2월 회의 다과 - (법인카드)</t>
        </is>
      </c>
      <c r="J2712" s="75" t="inlineStr">
        <is>
          <t>V10008</t>
        </is>
      </c>
      <c r="K2712" s="75" t="inlineStr">
        <is>
          <t>(법인카드)</t>
        </is>
      </c>
      <c r="M2712" s="9">
        <f>IF($A2712="","",VALUE($A2712&amp;"")*12+VALUE($B2712&amp;""))</f>
        <v/>
      </c>
      <c r="N2712" s="39">
        <f>IF($A2712="","",IFERROR(INDEX(부서매핑!$C$5:$C$504,MATCH($G2712&amp;"",부서매핑!$A$5:$A$504,0)),"미매핑"))</f>
        <v/>
      </c>
      <c r="O2712" s="9">
        <f>IF($A2712="","",N2712&amp;"|"&amp;$F2712)</f>
        <v/>
      </c>
      <c r="P2712" s="77">
        <f>IF($A2712="",0,$H2712*설정!$C$23)</f>
        <v/>
      </c>
      <c r="Q2712" s="39">
        <f>IF($A2712="","",IF(O2712&lt;&gt;원인분석!$C$9,"",IF(AND(M2712&gt;=원인분석!$C$10,M2712&lt;=원인분석!$C$11),"당기",IF(AND(M2712&gt;=원인분석!$C$12,M2712&lt;=원인분석!$C$13),"비교",""))))</f>
        <v/>
      </c>
      <c r="R2712" s="9">
        <f>IF(Q2712="","",$K2712&amp;"")</f>
        <v/>
      </c>
      <c r="S2712" s="9">
        <f>IF(Q2712="","",IF(MATCH(R2712,$R$5:$R$100000,0)=ROW()-4,ROW(),""))</f>
        <v/>
      </c>
      <c r="T2712" s="9">
        <f>IF(Q2712="당기",ABS(P2712)+ROW()/1000000000,"")</f>
        <v/>
      </c>
      <c r="U2712" s="9">
        <f>IF(Q2712="비교",ABS(P2712)+ROW()/1000000000,"")</f>
        <v/>
      </c>
      <c r="V2712" s="39">
        <f>IF($A2712="","",IF(COUNTIF(변동분석!$E$7:$E$506,O2712)&gt;0,"Y","N"))</f>
        <v/>
      </c>
      <c r="W2712" s="39">
        <f>IF($A2712="","",IFERROR(INDEX(계정매핑!$D$5:$D$504,MATCH($F2712&amp;"",계정매핑!$A$5:$A$504,0)),"미매핑"))</f>
        <v/>
      </c>
      <c r="X2712" s="9">
        <f>IF($A2712="","",$F2712&amp;"")</f>
        <v/>
      </c>
    </row>
    <row r="2713">
      <c r="A2713" s="75" t="n">
        <v>2026</v>
      </c>
      <c r="B2713" s="75" t="n">
        <v>2</v>
      </c>
      <c r="C2713" s="75" t="inlineStr">
        <is>
          <t>5100000369</t>
        </is>
      </c>
      <c r="D2713" s="78" t="n">
        <v>46076</v>
      </c>
      <c r="E2713" s="75" t="inlineStr">
        <is>
          <t>KR</t>
        </is>
      </c>
      <c r="F2713" s="75" t="n">
        <v>62601000</v>
      </c>
      <c r="G2713" s="75" t="n">
        <v>1602</v>
      </c>
      <c r="H2713" s="76" t="n">
        <v>3194000</v>
      </c>
      <c r="I2713" s="75" t="inlineStr">
        <is>
          <t>2월 업무추진 - (법인카드)</t>
        </is>
      </c>
      <c r="J2713" s="75" t="inlineStr">
        <is>
          <t>V10008</t>
        </is>
      </c>
      <c r="K2713" s="75" t="inlineStr">
        <is>
          <t>(법인카드)</t>
        </is>
      </c>
      <c r="M2713" s="9">
        <f>IF($A2713="","",VALUE($A2713&amp;"")*12+VALUE($B2713&amp;""))</f>
        <v/>
      </c>
      <c r="N2713" s="39">
        <f>IF($A2713="","",IFERROR(INDEX(부서매핑!$C$5:$C$504,MATCH($G2713&amp;"",부서매핑!$A$5:$A$504,0)),"미매핑"))</f>
        <v/>
      </c>
      <c r="O2713" s="9">
        <f>IF($A2713="","",N2713&amp;"|"&amp;$F2713)</f>
        <v/>
      </c>
      <c r="P2713" s="77">
        <f>IF($A2713="",0,$H2713*설정!$C$23)</f>
        <v/>
      </c>
      <c r="Q2713" s="39">
        <f>IF($A2713="","",IF(O2713&lt;&gt;원인분석!$C$9,"",IF(AND(M2713&gt;=원인분석!$C$10,M2713&lt;=원인분석!$C$11),"당기",IF(AND(M2713&gt;=원인분석!$C$12,M2713&lt;=원인분석!$C$13),"비교",""))))</f>
        <v/>
      </c>
      <c r="R2713" s="9">
        <f>IF(Q2713="","",$K2713&amp;"")</f>
        <v/>
      </c>
      <c r="S2713" s="9">
        <f>IF(Q2713="","",IF(MATCH(R2713,$R$5:$R$100000,0)=ROW()-4,ROW(),""))</f>
        <v/>
      </c>
      <c r="T2713" s="9">
        <f>IF(Q2713="당기",ABS(P2713)+ROW()/1000000000,"")</f>
        <v/>
      </c>
      <c r="U2713" s="9">
        <f>IF(Q2713="비교",ABS(P2713)+ROW()/1000000000,"")</f>
        <v/>
      </c>
      <c r="V2713" s="39">
        <f>IF($A2713="","",IF(COUNTIF(변동분석!$E$7:$E$506,O2713)&gt;0,"Y","N"))</f>
        <v/>
      </c>
      <c r="W2713" s="39">
        <f>IF($A2713="","",IFERROR(INDEX(계정매핑!$D$5:$D$504,MATCH($F2713&amp;"",계정매핑!$A$5:$A$504,0)),"미매핑"))</f>
        <v/>
      </c>
      <c r="X2713" s="9">
        <f>IF($A2713="","",$F2713&amp;"")</f>
        <v/>
      </c>
    </row>
    <row r="2714">
      <c r="A2714" s="75" t="n">
        <v>2026</v>
      </c>
      <c r="B2714" s="75" t="n">
        <v>2</v>
      </c>
      <c r="C2714" s="75" t="inlineStr">
        <is>
          <t>5100000370</t>
        </is>
      </c>
      <c r="D2714" s="78" t="n">
        <v>46077</v>
      </c>
      <c r="E2714" s="75" t="inlineStr">
        <is>
          <t>KR</t>
        </is>
      </c>
      <c r="F2714" s="75" t="n">
        <v>62101000</v>
      </c>
      <c r="G2714" s="75" t="n">
        <v>1201</v>
      </c>
      <c r="H2714" s="76" t="n">
        <v>204000</v>
      </c>
      <c r="I2714" s="75" t="inlineStr">
        <is>
          <t>2월 국내출장 - (법인카드)</t>
        </is>
      </c>
      <c r="J2714" s="75" t="inlineStr">
        <is>
          <t>V10008</t>
        </is>
      </c>
      <c r="K2714" s="75" t="inlineStr">
        <is>
          <t>(법인카드)</t>
        </is>
      </c>
      <c r="M2714" s="9">
        <f>IF($A2714="","",VALUE($A2714&amp;"")*12+VALUE($B2714&amp;""))</f>
        <v/>
      </c>
      <c r="N2714" s="39">
        <f>IF($A2714="","",IFERROR(INDEX(부서매핑!$C$5:$C$504,MATCH($G2714&amp;"",부서매핑!$A$5:$A$504,0)),"미매핑"))</f>
        <v/>
      </c>
      <c r="O2714" s="9">
        <f>IF($A2714="","",N2714&amp;"|"&amp;$F2714)</f>
        <v/>
      </c>
      <c r="P2714" s="77">
        <f>IF($A2714="",0,$H2714*설정!$C$23)</f>
        <v/>
      </c>
      <c r="Q2714" s="39">
        <f>IF($A2714="","",IF(O2714&lt;&gt;원인분석!$C$9,"",IF(AND(M2714&gt;=원인분석!$C$10,M2714&lt;=원인분석!$C$11),"당기",IF(AND(M2714&gt;=원인분석!$C$12,M2714&lt;=원인분석!$C$13),"비교",""))))</f>
        <v/>
      </c>
      <c r="R2714" s="9">
        <f>IF(Q2714="","",$K2714&amp;"")</f>
        <v/>
      </c>
      <c r="S2714" s="9">
        <f>IF(Q2714="","",IF(MATCH(R2714,$R$5:$R$100000,0)=ROW()-4,ROW(),""))</f>
        <v/>
      </c>
      <c r="T2714" s="9">
        <f>IF(Q2714="당기",ABS(P2714)+ROW()/1000000000,"")</f>
        <v/>
      </c>
      <c r="U2714" s="9">
        <f>IF(Q2714="비교",ABS(P2714)+ROW()/1000000000,"")</f>
        <v/>
      </c>
      <c r="V2714" s="39">
        <f>IF($A2714="","",IF(COUNTIF(변동분석!$E$7:$E$506,O2714)&gt;0,"Y","N"))</f>
        <v/>
      </c>
      <c r="W2714" s="39">
        <f>IF($A2714="","",IFERROR(INDEX(계정매핑!$D$5:$D$504,MATCH($F2714&amp;"",계정매핑!$A$5:$A$504,0)),"미매핑"))</f>
        <v/>
      </c>
      <c r="X2714" s="9">
        <f>IF($A2714="","",$F2714&amp;"")</f>
        <v/>
      </c>
    </row>
    <row r="2715">
      <c r="A2715" s="75" t="n">
        <v>2026</v>
      </c>
      <c r="B2715" s="75" t="n">
        <v>2</v>
      </c>
      <c r="C2715" s="75" t="inlineStr">
        <is>
          <t>5100000371</t>
        </is>
      </c>
      <c r="D2715" s="78" t="n">
        <v>46078</v>
      </c>
      <c r="E2715" s="75" t="inlineStr">
        <is>
          <t>KR</t>
        </is>
      </c>
      <c r="F2715" s="75" t="n">
        <v>62101000</v>
      </c>
      <c r="G2715" s="75" t="n">
        <v>1201</v>
      </c>
      <c r="H2715" s="76" t="n">
        <v>148000</v>
      </c>
      <c r="I2715" s="75" t="inlineStr">
        <is>
          <t>2월 국내출장 - L여행사</t>
        </is>
      </c>
      <c r="J2715" s="75" t="inlineStr">
        <is>
          <t>V10014</t>
        </is>
      </c>
      <c r="K2715" s="75" t="inlineStr">
        <is>
          <t>L여행사</t>
        </is>
      </c>
      <c r="M2715" s="9">
        <f>IF($A2715="","",VALUE($A2715&amp;"")*12+VALUE($B2715&amp;""))</f>
        <v/>
      </c>
      <c r="N2715" s="39">
        <f>IF($A2715="","",IFERROR(INDEX(부서매핑!$C$5:$C$504,MATCH($G2715&amp;"",부서매핑!$A$5:$A$504,0)),"미매핑"))</f>
        <v/>
      </c>
      <c r="O2715" s="9">
        <f>IF($A2715="","",N2715&amp;"|"&amp;$F2715)</f>
        <v/>
      </c>
      <c r="P2715" s="77">
        <f>IF($A2715="",0,$H2715*설정!$C$23)</f>
        <v/>
      </c>
      <c r="Q2715" s="39">
        <f>IF($A2715="","",IF(O2715&lt;&gt;원인분석!$C$9,"",IF(AND(M2715&gt;=원인분석!$C$10,M2715&lt;=원인분석!$C$11),"당기",IF(AND(M2715&gt;=원인분석!$C$12,M2715&lt;=원인분석!$C$13),"비교",""))))</f>
        <v/>
      </c>
      <c r="R2715" s="9">
        <f>IF(Q2715="","",$K2715&amp;"")</f>
        <v/>
      </c>
      <c r="S2715" s="9">
        <f>IF(Q2715="","",IF(MATCH(R2715,$R$5:$R$100000,0)=ROW()-4,ROW(),""))</f>
        <v/>
      </c>
      <c r="T2715" s="9">
        <f>IF(Q2715="당기",ABS(P2715)+ROW()/1000000000,"")</f>
        <v/>
      </c>
      <c r="U2715" s="9">
        <f>IF(Q2715="비교",ABS(P2715)+ROW()/1000000000,"")</f>
        <v/>
      </c>
      <c r="V2715" s="39">
        <f>IF($A2715="","",IF(COUNTIF(변동분석!$E$7:$E$506,O2715)&gt;0,"Y","N"))</f>
        <v/>
      </c>
      <c r="W2715" s="39">
        <f>IF($A2715="","",IFERROR(INDEX(계정매핑!$D$5:$D$504,MATCH($F2715&amp;"",계정매핑!$A$5:$A$504,0)),"미매핑"))</f>
        <v/>
      </c>
      <c r="X2715" s="9">
        <f>IF($A2715="","",$F2715&amp;"")</f>
        <v/>
      </c>
    </row>
    <row r="2716">
      <c r="A2716" s="75" t="n">
        <v>2026</v>
      </c>
      <c r="B2716" s="75" t="n">
        <v>2</v>
      </c>
      <c r="C2716" s="75" t="inlineStr">
        <is>
          <t>5100000372</t>
        </is>
      </c>
      <c r="D2716" s="78" t="n">
        <v>46078</v>
      </c>
      <c r="E2716" s="75" t="inlineStr">
        <is>
          <t>KR</t>
        </is>
      </c>
      <c r="F2716" s="75" t="n">
        <v>62101000</v>
      </c>
      <c r="G2716" s="75" t="n">
        <v>1301</v>
      </c>
      <c r="H2716" s="76" t="n">
        <v>204000</v>
      </c>
      <c r="I2716" s="75" t="inlineStr">
        <is>
          <t>2월 국내출장 - M항공</t>
        </is>
      </c>
      <c r="J2716" s="75" t="inlineStr">
        <is>
          <t>V10001</t>
        </is>
      </c>
      <c r="K2716" s="75" t="inlineStr">
        <is>
          <t>M항공</t>
        </is>
      </c>
      <c r="M2716" s="9">
        <f>IF($A2716="","",VALUE($A2716&amp;"")*12+VALUE($B2716&amp;""))</f>
        <v/>
      </c>
      <c r="N2716" s="39">
        <f>IF($A2716="","",IFERROR(INDEX(부서매핑!$C$5:$C$504,MATCH($G2716&amp;"",부서매핑!$A$5:$A$504,0)),"미매핑"))</f>
        <v/>
      </c>
      <c r="O2716" s="9">
        <f>IF($A2716="","",N2716&amp;"|"&amp;$F2716)</f>
        <v/>
      </c>
      <c r="P2716" s="77">
        <f>IF($A2716="",0,$H2716*설정!$C$23)</f>
        <v/>
      </c>
      <c r="Q2716" s="39">
        <f>IF($A2716="","",IF(O2716&lt;&gt;원인분석!$C$9,"",IF(AND(M2716&gt;=원인분석!$C$10,M2716&lt;=원인분석!$C$11),"당기",IF(AND(M2716&gt;=원인분석!$C$12,M2716&lt;=원인분석!$C$13),"비교",""))))</f>
        <v/>
      </c>
      <c r="R2716" s="9">
        <f>IF(Q2716="","",$K2716&amp;"")</f>
        <v/>
      </c>
      <c r="S2716" s="9">
        <f>IF(Q2716="","",IF(MATCH(R2716,$R$5:$R$100000,0)=ROW()-4,ROW(),""))</f>
        <v/>
      </c>
      <c r="T2716" s="9">
        <f>IF(Q2716="당기",ABS(P2716)+ROW()/1000000000,"")</f>
        <v/>
      </c>
      <c r="U2716" s="9">
        <f>IF(Q2716="비교",ABS(P2716)+ROW()/1000000000,"")</f>
        <v/>
      </c>
      <c r="V2716" s="39">
        <f>IF($A2716="","",IF(COUNTIF(변동분석!$E$7:$E$506,O2716)&gt;0,"Y","N"))</f>
        <v/>
      </c>
      <c r="W2716" s="39">
        <f>IF($A2716="","",IFERROR(INDEX(계정매핑!$D$5:$D$504,MATCH($F2716&amp;"",계정매핑!$A$5:$A$504,0)),"미매핑"))</f>
        <v/>
      </c>
      <c r="X2716" s="9">
        <f>IF($A2716="","",$F2716&amp;"")</f>
        <v/>
      </c>
    </row>
    <row r="2717">
      <c r="A2717" s="75" t="n">
        <v>2026</v>
      </c>
      <c r="B2717" s="75" t="n">
        <v>2</v>
      </c>
      <c r="C2717" s="75" t="inlineStr">
        <is>
          <t>5100000373</t>
        </is>
      </c>
      <c r="D2717" s="78" t="n">
        <v>46078</v>
      </c>
      <c r="E2717" s="75" t="inlineStr">
        <is>
          <t>KR</t>
        </is>
      </c>
      <c r="F2717" s="75" t="n">
        <v>62101000</v>
      </c>
      <c r="G2717" s="75" t="n">
        <v>1601</v>
      </c>
      <c r="H2717" s="76" t="n">
        <v>1633000</v>
      </c>
      <c r="I2717" s="75" t="inlineStr">
        <is>
          <t>2월 국내출장 - L여행사</t>
        </is>
      </c>
      <c r="J2717" s="75" t="inlineStr">
        <is>
          <t>V10014</t>
        </is>
      </c>
      <c r="K2717" s="75" t="inlineStr">
        <is>
          <t>L여행사</t>
        </is>
      </c>
      <c r="M2717" s="9">
        <f>IF($A2717="","",VALUE($A2717&amp;"")*12+VALUE($B2717&amp;""))</f>
        <v/>
      </c>
      <c r="N2717" s="39">
        <f>IF($A2717="","",IFERROR(INDEX(부서매핑!$C$5:$C$504,MATCH($G2717&amp;"",부서매핑!$A$5:$A$504,0)),"미매핑"))</f>
        <v/>
      </c>
      <c r="O2717" s="9">
        <f>IF($A2717="","",N2717&amp;"|"&amp;$F2717)</f>
        <v/>
      </c>
      <c r="P2717" s="77">
        <f>IF($A2717="",0,$H2717*설정!$C$23)</f>
        <v/>
      </c>
      <c r="Q2717" s="39">
        <f>IF($A2717="","",IF(O2717&lt;&gt;원인분석!$C$9,"",IF(AND(M2717&gt;=원인분석!$C$10,M2717&lt;=원인분석!$C$11),"당기",IF(AND(M2717&gt;=원인분석!$C$12,M2717&lt;=원인분석!$C$13),"비교",""))))</f>
        <v/>
      </c>
      <c r="R2717" s="9">
        <f>IF(Q2717="","",$K2717&amp;"")</f>
        <v/>
      </c>
      <c r="S2717" s="9">
        <f>IF(Q2717="","",IF(MATCH(R2717,$R$5:$R$100000,0)=ROW()-4,ROW(),""))</f>
        <v/>
      </c>
      <c r="T2717" s="9">
        <f>IF(Q2717="당기",ABS(P2717)+ROW()/1000000000,"")</f>
        <v/>
      </c>
      <c r="U2717" s="9">
        <f>IF(Q2717="비교",ABS(P2717)+ROW()/1000000000,"")</f>
        <v/>
      </c>
      <c r="V2717" s="39">
        <f>IF($A2717="","",IF(COUNTIF(변동분석!$E$7:$E$506,O2717)&gt;0,"Y","N"))</f>
        <v/>
      </c>
      <c r="W2717" s="39">
        <f>IF($A2717="","",IFERROR(INDEX(계정매핑!$D$5:$D$504,MATCH($F2717&amp;"",계정매핑!$A$5:$A$504,0)),"미매핑"))</f>
        <v/>
      </c>
      <c r="X2717" s="9">
        <f>IF($A2717="","",$F2717&amp;"")</f>
        <v/>
      </c>
    </row>
    <row r="2718">
      <c r="A2718" s="75" t="n">
        <v>2026</v>
      </c>
      <c r="B2718" s="75" t="n">
        <v>2</v>
      </c>
      <c r="C2718" s="75" t="inlineStr">
        <is>
          <t>5100000374</t>
        </is>
      </c>
      <c r="D2718" s="78" t="n">
        <v>46078</v>
      </c>
      <c r="E2718" s="75" t="inlineStr">
        <is>
          <t>KR</t>
        </is>
      </c>
      <c r="F2718" s="75" t="n">
        <v>62201000</v>
      </c>
      <c r="G2718" s="75" t="n">
        <v>1101</v>
      </c>
      <c r="H2718" s="76" t="n">
        <v>225000</v>
      </c>
      <c r="I2718" s="75" t="inlineStr">
        <is>
          <t>2월 통신요금 - O텔레콤</t>
        </is>
      </c>
      <c r="J2718" s="75" t="inlineStr">
        <is>
          <t>V10002</t>
        </is>
      </c>
      <c r="K2718" s="75" t="inlineStr">
        <is>
          <t>O텔레콤</t>
        </is>
      </c>
      <c r="M2718" s="9">
        <f>IF($A2718="","",VALUE($A2718&amp;"")*12+VALUE($B2718&amp;""))</f>
        <v/>
      </c>
      <c r="N2718" s="39">
        <f>IF($A2718="","",IFERROR(INDEX(부서매핑!$C$5:$C$504,MATCH($G2718&amp;"",부서매핑!$A$5:$A$504,0)),"미매핑"))</f>
        <v/>
      </c>
      <c r="O2718" s="9">
        <f>IF($A2718="","",N2718&amp;"|"&amp;$F2718)</f>
        <v/>
      </c>
      <c r="P2718" s="77">
        <f>IF($A2718="",0,$H2718*설정!$C$23)</f>
        <v/>
      </c>
      <c r="Q2718" s="39">
        <f>IF($A2718="","",IF(O2718&lt;&gt;원인분석!$C$9,"",IF(AND(M2718&gt;=원인분석!$C$10,M2718&lt;=원인분석!$C$11),"당기",IF(AND(M2718&gt;=원인분석!$C$12,M2718&lt;=원인분석!$C$13),"비교",""))))</f>
        <v/>
      </c>
      <c r="R2718" s="9">
        <f>IF(Q2718="","",$K2718&amp;"")</f>
        <v/>
      </c>
      <c r="S2718" s="9">
        <f>IF(Q2718="","",IF(MATCH(R2718,$R$5:$R$100000,0)=ROW()-4,ROW(),""))</f>
        <v/>
      </c>
      <c r="T2718" s="9">
        <f>IF(Q2718="당기",ABS(P2718)+ROW()/1000000000,"")</f>
        <v/>
      </c>
      <c r="U2718" s="9">
        <f>IF(Q2718="비교",ABS(P2718)+ROW()/1000000000,"")</f>
        <v/>
      </c>
      <c r="V2718" s="39">
        <f>IF($A2718="","",IF(COUNTIF(변동분석!$E$7:$E$506,O2718)&gt;0,"Y","N"))</f>
        <v/>
      </c>
      <c r="W2718" s="39">
        <f>IF($A2718="","",IFERROR(INDEX(계정매핑!$D$5:$D$504,MATCH($F2718&amp;"",계정매핑!$A$5:$A$504,0)),"미매핑"))</f>
        <v/>
      </c>
      <c r="X2718" s="9">
        <f>IF($A2718="","",$F2718&amp;"")</f>
        <v/>
      </c>
    </row>
    <row r="2719">
      <c r="A2719" s="75" t="n">
        <v>2026</v>
      </c>
      <c r="B2719" s="75" t="n">
        <v>2</v>
      </c>
      <c r="C2719" s="75" t="inlineStr">
        <is>
          <t>5100000375</t>
        </is>
      </c>
      <c r="D2719" s="78" t="n">
        <v>46078</v>
      </c>
      <c r="E2719" s="75" t="inlineStr">
        <is>
          <t>KR</t>
        </is>
      </c>
      <c r="F2719" s="75" t="n">
        <v>62301000</v>
      </c>
      <c r="G2719" s="75" t="n">
        <v>1101</v>
      </c>
      <c r="H2719" s="76" t="n">
        <v>176000</v>
      </c>
      <c r="I2719" s="75" t="inlineStr">
        <is>
          <t>2월 소모품 구입 - R문구</t>
        </is>
      </c>
      <c r="J2719" s="75" t="inlineStr">
        <is>
          <t>V10018</t>
        </is>
      </c>
      <c r="K2719" s="75" t="inlineStr">
        <is>
          <t>R문구</t>
        </is>
      </c>
      <c r="M2719" s="9">
        <f>IF($A2719="","",VALUE($A2719&amp;"")*12+VALUE($B2719&amp;""))</f>
        <v/>
      </c>
      <c r="N2719" s="39">
        <f>IF($A2719="","",IFERROR(INDEX(부서매핑!$C$5:$C$504,MATCH($G2719&amp;"",부서매핑!$A$5:$A$504,0)),"미매핑"))</f>
        <v/>
      </c>
      <c r="O2719" s="9">
        <f>IF($A2719="","",N2719&amp;"|"&amp;$F2719)</f>
        <v/>
      </c>
      <c r="P2719" s="77">
        <f>IF($A2719="",0,$H2719*설정!$C$23)</f>
        <v/>
      </c>
      <c r="Q2719" s="39">
        <f>IF($A2719="","",IF(O2719&lt;&gt;원인분석!$C$9,"",IF(AND(M2719&gt;=원인분석!$C$10,M2719&lt;=원인분석!$C$11),"당기",IF(AND(M2719&gt;=원인분석!$C$12,M2719&lt;=원인분석!$C$13),"비교",""))))</f>
        <v/>
      </c>
      <c r="R2719" s="9">
        <f>IF(Q2719="","",$K2719&amp;"")</f>
        <v/>
      </c>
      <c r="S2719" s="9">
        <f>IF(Q2719="","",IF(MATCH(R2719,$R$5:$R$100000,0)=ROW()-4,ROW(),""))</f>
        <v/>
      </c>
      <c r="T2719" s="9">
        <f>IF(Q2719="당기",ABS(P2719)+ROW()/1000000000,"")</f>
        <v/>
      </c>
      <c r="U2719" s="9">
        <f>IF(Q2719="비교",ABS(P2719)+ROW()/1000000000,"")</f>
        <v/>
      </c>
      <c r="V2719" s="39">
        <f>IF($A2719="","",IF(COUNTIF(변동분석!$E$7:$E$506,O2719)&gt;0,"Y","N"))</f>
        <v/>
      </c>
      <c r="W2719" s="39">
        <f>IF($A2719="","",IFERROR(INDEX(계정매핑!$D$5:$D$504,MATCH($F2719&amp;"",계정매핑!$A$5:$A$504,0)),"미매핑"))</f>
        <v/>
      </c>
      <c r="X2719" s="9">
        <f>IF($A2719="","",$F2719&amp;"")</f>
        <v/>
      </c>
    </row>
    <row r="2720">
      <c r="A2720" s="75" t="n">
        <v>2026</v>
      </c>
      <c r="B2720" s="75" t="n">
        <v>2</v>
      </c>
      <c r="C2720" s="75" t="inlineStr">
        <is>
          <t>5100000376</t>
        </is>
      </c>
      <c r="D2720" s="78" t="n">
        <v>46078</v>
      </c>
      <c r="E2720" s="75" t="inlineStr">
        <is>
          <t>KR</t>
        </is>
      </c>
      <c r="F2720" s="75" t="n">
        <v>62501000</v>
      </c>
      <c r="G2720" s="75" t="n">
        <v>1301</v>
      </c>
      <c r="H2720" s="76" t="n">
        <v>189000</v>
      </c>
      <c r="I2720" s="75" t="inlineStr">
        <is>
          <t>2월 회의 다과 - T케이터링</t>
        </is>
      </c>
      <c r="J2720" s="75" t="inlineStr">
        <is>
          <t>V10005</t>
        </is>
      </c>
      <c r="K2720" s="75" t="inlineStr">
        <is>
          <t>T케이터링</t>
        </is>
      </c>
      <c r="M2720" s="9">
        <f>IF($A2720="","",VALUE($A2720&amp;"")*12+VALUE($B2720&amp;""))</f>
        <v/>
      </c>
      <c r="N2720" s="39">
        <f>IF($A2720="","",IFERROR(INDEX(부서매핑!$C$5:$C$504,MATCH($G2720&amp;"",부서매핑!$A$5:$A$504,0)),"미매핑"))</f>
        <v/>
      </c>
      <c r="O2720" s="9">
        <f>IF($A2720="","",N2720&amp;"|"&amp;$F2720)</f>
        <v/>
      </c>
      <c r="P2720" s="77">
        <f>IF($A2720="",0,$H2720*설정!$C$23)</f>
        <v/>
      </c>
      <c r="Q2720" s="39">
        <f>IF($A2720="","",IF(O2720&lt;&gt;원인분석!$C$9,"",IF(AND(M2720&gt;=원인분석!$C$10,M2720&lt;=원인분석!$C$11),"당기",IF(AND(M2720&gt;=원인분석!$C$12,M2720&lt;=원인분석!$C$13),"비교",""))))</f>
        <v/>
      </c>
      <c r="R2720" s="9">
        <f>IF(Q2720="","",$K2720&amp;"")</f>
        <v/>
      </c>
      <c r="S2720" s="9">
        <f>IF(Q2720="","",IF(MATCH(R2720,$R$5:$R$100000,0)=ROW()-4,ROW(),""))</f>
        <v/>
      </c>
      <c r="T2720" s="9">
        <f>IF(Q2720="당기",ABS(P2720)+ROW()/1000000000,"")</f>
        <v/>
      </c>
      <c r="U2720" s="9">
        <f>IF(Q2720="비교",ABS(P2720)+ROW()/1000000000,"")</f>
        <v/>
      </c>
      <c r="V2720" s="39">
        <f>IF($A2720="","",IF(COUNTIF(변동분석!$E$7:$E$506,O2720)&gt;0,"Y","N"))</f>
        <v/>
      </c>
      <c r="W2720" s="39">
        <f>IF($A2720="","",IFERROR(INDEX(계정매핑!$D$5:$D$504,MATCH($F2720&amp;"",계정매핑!$A$5:$A$504,0)),"미매핑"))</f>
        <v/>
      </c>
      <c r="X2720" s="9">
        <f>IF($A2720="","",$F2720&amp;"")</f>
        <v/>
      </c>
    </row>
    <row r="2721">
      <c r="A2721" s="75" t="n">
        <v>2026</v>
      </c>
      <c r="B2721" s="75" t="n">
        <v>2</v>
      </c>
      <c r="C2721" s="75" t="inlineStr">
        <is>
          <t>5100000377</t>
        </is>
      </c>
      <c r="D2721" s="78" t="n">
        <v>46078</v>
      </c>
      <c r="E2721" s="75" t="inlineStr">
        <is>
          <t>KR</t>
        </is>
      </c>
      <c r="F2721" s="75" t="n">
        <v>62901000</v>
      </c>
      <c r="G2721" s="75" t="n">
        <v>1801</v>
      </c>
      <c r="H2721" s="76" t="n">
        <v>11596000</v>
      </c>
      <c r="I2721" s="75" t="inlineStr">
        <is>
          <t>2월 자문 수수료 - W컨설팅</t>
        </is>
      </c>
      <c r="J2721" s="75" t="inlineStr">
        <is>
          <t>V10009</t>
        </is>
      </c>
      <c r="K2721" s="75" t="inlineStr">
        <is>
          <t>W컨설팅</t>
        </is>
      </c>
      <c r="M2721" s="9">
        <f>IF($A2721="","",VALUE($A2721&amp;"")*12+VALUE($B2721&amp;""))</f>
        <v/>
      </c>
      <c r="N2721" s="39">
        <f>IF($A2721="","",IFERROR(INDEX(부서매핑!$C$5:$C$504,MATCH($G2721&amp;"",부서매핑!$A$5:$A$504,0)),"미매핑"))</f>
        <v/>
      </c>
      <c r="O2721" s="9">
        <f>IF($A2721="","",N2721&amp;"|"&amp;$F2721)</f>
        <v/>
      </c>
      <c r="P2721" s="77">
        <f>IF($A2721="",0,$H2721*설정!$C$23)</f>
        <v/>
      </c>
      <c r="Q2721" s="39">
        <f>IF($A2721="","",IF(O2721&lt;&gt;원인분석!$C$9,"",IF(AND(M2721&gt;=원인분석!$C$10,M2721&lt;=원인분석!$C$11),"당기",IF(AND(M2721&gt;=원인분석!$C$12,M2721&lt;=원인분석!$C$13),"비교",""))))</f>
        <v/>
      </c>
      <c r="R2721" s="9">
        <f>IF(Q2721="","",$K2721&amp;"")</f>
        <v/>
      </c>
      <c r="S2721" s="9">
        <f>IF(Q2721="","",IF(MATCH(R2721,$R$5:$R$100000,0)=ROW()-4,ROW(),""))</f>
        <v/>
      </c>
      <c r="T2721" s="9">
        <f>IF(Q2721="당기",ABS(P2721)+ROW()/1000000000,"")</f>
        <v/>
      </c>
      <c r="U2721" s="9">
        <f>IF(Q2721="비교",ABS(P2721)+ROW()/1000000000,"")</f>
        <v/>
      </c>
      <c r="V2721" s="39">
        <f>IF($A2721="","",IF(COUNTIF(변동분석!$E$7:$E$506,O2721)&gt;0,"Y","N"))</f>
        <v/>
      </c>
      <c r="W2721" s="39">
        <f>IF($A2721="","",IFERROR(INDEX(계정매핑!$D$5:$D$504,MATCH($F2721&amp;"",계정매핑!$A$5:$A$504,0)),"미매핑"))</f>
        <v/>
      </c>
      <c r="X2721" s="9">
        <f>IF($A2721="","",$F2721&amp;"")</f>
        <v/>
      </c>
    </row>
    <row r="2722">
      <c r="A2722" s="75" t="n">
        <v>2026</v>
      </c>
      <c r="B2722" s="75" t="n">
        <v>2</v>
      </c>
      <c r="C2722" s="75" t="inlineStr">
        <is>
          <t>5100000378</t>
        </is>
      </c>
      <c r="D2722" s="78" t="n">
        <v>46078</v>
      </c>
      <c r="E2722" s="75" t="inlineStr">
        <is>
          <t>KR</t>
        </is>
      </c>
      <c r="F2722" s="75" t="n">
        <v>63001000</v>
      </c>
      <c r="G2722" s="75" t="n">
        <v>1701</v>
      </c>
      <c r="H2722" s="76" t="n">
        <v>22784000</v>
      </c>
      <c r="I2722" s="75" t="inlineStr">
        <is>
          <t>2월 SW 유지보수 - Y소프트</t>
        </is>
      </c>
      <c r="J2722" s="75" t="inlineStr">
        <is>
          <t>V10017</t>
        </is>
      </c>
      <c r="K2722" s="75" t="inlineStr">
        <is>
          <t>Y소프트</t>
        </is>
      </c>
      <c r="M2722" s="9">
        <f>IF($A2722="","",VALUE($A2722&amp;"")*12+VALUE($B2722&amp;""))</f>
        <v/>
      </c>
      <c r="N2722" s="39">
        <f>IF($A2722="","",IFERROR(INDEX(부서매핑!$C$5:$C$504,MATCH($G2722&amp;"",부서매핑!$A$5:$A$504,0)),"미매핑"))</f>
        <v/>
      </c>
      <c r="O2722" s="9">
        <f>IF($A2722="","",N2722&amp;"|"&amp;$F2722)</f>
        <v/>
      </c>
      <c r="P2722" s="77">
        <f>IF($A2722="",0,$H2722*설정!$C$23)</f>
        <v/>
      </c>
      <c r="Q2722" s="39">
        <f>IF($A2722="","",IF(O2722&lt;&gt;원인분석!$C$9,"",IF(AND(M2722&gt;=원인분석!$C$10,M2722&lt;=원인분석!$C$11),"당기",IF(AND(M2722&gt;=원인분석!$C$12,M2722&lt;=원인분석!$C$13),"비교",""))))</f>
        <v/>
      </c>
      <c r="R2722" s="9">
        <f>IF(Q2722="","",$K2722&amp;"")</f>
        <v/>
      </c>
      <c r="S2722" s="9">
        <f>IF(Q2722="","",IF(MATCH(R2722,$R$5:$R$100000,0)=ROW()-4,ROW(),""))</f>
        <v/>
      </c>
      <c r="T2722" s="9">
        <f>IF(Q2722="당기",ABS(P2722)+ROW()/1000000000,"")</f>
        <v/>
      </c>
      <c r="U2722" s="9">
        <f>IF(Q2722="비교",ABS(P2722)+ROW()/1000000000,"")</f>
        <v/>
      </c>
      <c r="V2722" s="39">
        <f>IF($A2722="","",IF(COUNTIF(변동분석!$E$7:$E$506,O2722)&gt;0,"Y","N"))</f>
        <v/>
      </c>
      <c r="W2722" s="39">
        <f>IF($A2722="","",IFERROR(INDEX(계정매핑!$D$5:$D$504,MATCH($F2722&amp;"",계정매핑!$A$5:$A$504,0)),"미매핑"))</f>
        <v/>
      </c>
      <c r="X2722" s="9">
        <f>IF($A2722="","",$F2722&amp;"")</f>
        <v/>
      </c>
    </row>
    <row r="2723">
      <c r="A2723" s="75" t="n">
        <v>2026</v>
      </c>
      <c r="B2723" s="75" t="n">
        <v>2</v>
      </c>
      <c r="C2723" s="75" t="inlineStr">
        <is>
          <t>5100000379</t>
        </is>
      </c>
      <c r="D2723" s="78" t="n">
        <v>46078</v>
      </c>
      <c r="E2723" s="75" t="inlineStr">
        <is>
          <t>KR</t>
        </is>
      </c>
      <c r="F2723" s="75" t="n">
        <v>63002000</v>
      </c>
      <c r="G2723" s="75" t="n">
        <v>1701</v>
      </c>
      <c r="H2723" s="76" t="n">
        <v>79000000</v>
      </c>
      <c r="I2723" s="75" t="inlineStr">
        <is>
          <t>2월 클라우드 사용료 - C클라우드</t>
        </is>
      </c>
      <c r="J2723" s="75" t="inlineStr">
        <is>
          <t>V10028</t>
        </is>
      </c>
      <c r="K2723" s="75" t="inlineStr">
        <is>
          <t>C클라우드</t>
        </is>
      </c>
      <c r="M2723" s="9">
        <f>IF($A2723="","",VALUE($A2723&amp;"")*12+VALUE($B2723&amp;""))</f>
        <v/>
      </c>
      <c r="N2723" s="39">
        <f>IF($A2723="","",IFERROR(INDEX(부서매핑!$C$5:$C$504,MATCH($G2723&amp;"",부서매핑!$A$5:$A$504,0)),"미매핑"))</f>
        <v/>
      </c>
      <c r="O2723" s="9">
        <f>IF($A2723="","",N2723&amp;"|"&amp;$F2723)</f>
        <v/>
      </c>
      <c r="P2723" s="77">
        <f>IF($A2723="",0,$H2723*설정!$C$23)</f>
        <v/>
      </c>
      <c r="Q2723" s="39">
        <f>IF($A2723="","",IF(O2723&lt;&gt;원인분석!$C$9,"",IF(AND(M2723&gt;=원인분석!$C$10,M2723&lt;=원인분석!$C$11),"당기",IF(AND(M2723&gt;=원인분석!$C$12,M2723&lt;=원인분석!$C$13),"비교",""))))</f>
        <v/>
      </c>
      <c r="R2723" s="9">
        <f>IF(Q2723="","",$K2723&amp;"")</f>
        <v/>
      </c>
      <c r="S2723" s="9">
        <f>IF(Q2723="","",IF(MATCH(R2723,$R$5:$R$100000,0)=ROW()-4,ROW(),""))</f>
        <v/>
      </c>
      <c r="T2723" s="9">
        <f>IF(Q2723="당기",ABS(P2723)+ROW()/1000000000,"")</f>
        <v/>
      </c>
      <c r="U2723" s="9">
        <f>IF(Q2723="비교",ABS(P2723)+ROW()/1000000000,"")</f>
        <v/>
      </c>
      <c r="V2723" s="39">
        <f>IF($A2723="","",IF(COUNTIF(변동분석!$E$7:$E$506,O2723)&gt;0,"Y","N"))</f>
        <v/>
      </c>
      <c r="W2723" s="39">
        <f>IF($A2723="","",IFERROR(INDEX(계정매핑!$D$5:$D$504,MATCH($F2723&amp;"",계정매핑!$A$5:$A$504,0)),"미매핑"))</f>
        <v/>
      </c>
      <c r="X2723" s="9">
        <f>IF($A2723="","",$F2723&amp;"")</f>
        <v/>
      </c>
    </row>
    <row r="2724">
      <c r="A2724" s="75" t="n">
        <v>2026</v>
      </c>
      <c r="B2724" s="75" t="n">
        <v>2</v>
      </c>
      <c r="C2724" s="75" t="inlineStr">
        <is>
          <t>5100000380</t>
        </is>
      </c>
      <c r="D2724" s="78" t="n">
        <v>46079</v>
      </c>
      <c r="E2724" s="75" t="inlineStr">
        <is>
          <t>KR</t>
        </is>
      </c>
      <c r="F2724" s="75" t="n">
        <v>62101000</v>
      </c>
      <c r="G2724" s="75" t="n">
        <v>1801</v>
      </c>
      <c r="H2724" s="76" t="n">
        <v>158000</v>
      </c>
      <c r="I2724" s="75" t="inlineStr">
        <is>
          <t>2월 국내출장 - L여행사</t>
        </is>
      </c>
      <c r="J2724" s="75" t="inlineStr">
        <is>
          <t>V10014</t>
        </is>
      </c>
      <c r="K2724" s="75" t="inlineStr">
        <is>
          <t>L여행사</t>
        </is>
      </c>
      <c r="M2724" s="9">
        <f>IF($A2724="","",VALUE($A2724&amp;"")*12+VALUE($B2724&amp;""))</f>
        <v/>
      </c>
      <c r="N2724" s="39">
        <f>IF($A2724="","",IFERROR(INDEX(부서매핑!$C$5:$C$504,MATCH($G2724&amp;"",부서매핑!$A$5:$A$504,0)),"미매핑"))</f>
        <v/>
      </c>
      <c r="O2724" s="9">
        <f>IF($A2724="","",N2724&amp;"|"&amp;$F2724)</f>
        <v/>
      </c>
      <c r="P2724" s="77">
        <f>IF($A2724="",0,$H2724*설정!$C$23)</f>
        <v/>
      </c>
      <c r="Q2724" s="39">
        <f>IF($A2724="","",IF(O2724&lt;&gt;원인분석!$C$9,"",IF(AND(M2724&gt;=원인분석!$C$10,M2724&lt;=원인분석!$C$11),"당기",IF(AND(M2724&gt;=원인분석!$C$12,M2724&lt;=원인분석!$C$13),"비교",""))))</f>
        <v/>
      </c>
      <c r="R2724" s="9">
        <f>IF(Q2724="","",$K2724&amp;"")</f>
        <v/>
      </c>
      <c r="S2724" s="9">
        <f>IF(Q2724="","",IF(MATCH(R2724,$R$5:$R$100000,0)=ROW()-4,ROW(),""))</f>
        <v/>
      </c>
      <c r="T2724" s="9">
        <f>IF(Q2724="당기",ABS(P2724)+ROW()/1000000000,"")</f>
        <v/>
      </c>
      <c r="U2724" s="9">
        <f>IF(Q2724="비교",ABS(P2724)+ROW()/1000000000,"")</f>
        <v/>
      </c>
      <c r="V2724" s="39">
        <f>IF($A2724="","",IF(COUNTIF(변동분석!$E$7:$E$506,O2724)&gt;0,"Y","N"))</f>
        <v/>
      </c>
      <c r="W2724" s="39">
        <f>IF($A2724="","",IFERROR(INDEX(계정매핑!$D$5:$D$504,MATCH($F2724&amp;"",계정매핑!$A$5:$A$504,0)),"미매핑"))</f>
        <v/>
      </c>
      <c r="X2724" s="9">
        <f>IF($A2724="","",$F2724&amp;"")</f>
        <v/>
      </c>
    </row>
    <row r="2725">
      <c r="A2725" s="75" t="n">
        <v>2026</v>
      </c>
      <c r="B2725" s="75" t="n">
        <v>2</v>
      </c>
      <c r="C2725" s="75" t="inlineStr">
        <is>
          <t>5100000381</t>
        </is>
      </c>
      <c r="D2725" s="78" t="n">
        <v>46079</v>
      </c>
      <c r="E2725" s="75" t="inlineStr">
        <is>
          <t>KR</t>
        </is>
      </c>
      <c r="F2725" s="75" t="n">
        <v>62101000</v>
      </c>
      <c r="G2725" s="75" t="n">
        <v>1801</v>
      </c>
      <c r="H2725" s="76" t="n">
        <v>111000</v>
      </c>
      <c r="I2725" s="75" t="inlineStr">
        <is>
          <t>2월 국내출장 - M항공</t>
        </is>
      </c>
      <c r="J2725" s="75" t="inlineStr">
        <is>
          <t>V10001</t>
        </is>
      </c>
      <c r="K2725" s="75" t="inlineStr">
        <is>
          <t>M항공</t>
        </is>
      </c>
      <c r="M2725" s="9">
        <f>IF($A2725="","",VALUE($A2725&amp;"")*12+VALUE($B2725&amp;""))</f>
        <v/>
      </c>
      <c r="N2725" s="39">
        <f>IF($A2725="","",IFERROR(INDEX(부서매핑!$C$5:$C$504,MATCH($G2725&amp;"",부서매핑!$A$5:$A$504,0)),"미매핑"))</f>
        <v/>
      </c>
      <c r="O2725" s="9">
        <f>IF($A2725="","",N2725&amp;"|"&amp;$F2725)</f>
        <v/>
      </c>
      <c r="P2725" s="77">
        <f>IF($A2725="",0,$H2725*설정!$C$23)</f>
        <v/>
      </c>
      <c r="Q2725" s="39">
        <f>IF($A2725="","",IF(O2725&lt;&gt;원인분석!$C$9,"",IF(AND(M2725&gt;=원인분석!$C$10,M2725&lt;=원인분석!$C$11),"당기",IF(AND(M2725&gt;=원인분석!$C$12,M2725&lt;=원인분석!$C$13),"비교",""))))</f>
        <v/>
      </c>
      <c r="R2725" s="9">
        <f>IF(Q2725="","",$K2725&amp;"")</f>
        <v/>
      </c>
      <c r="S2725" s="9">
        <f>IF(Q2725="","",IF(MATCH(R2725,$R$5:$R$100000,0)=ROW()-4,ROW(),""))</f>
        <v/>
      </c>
      <c r="T2725" s="9">
        <f>IF(Q2725="당기",ABS(P2725)+ROW()/1000000000,"")</f>
        <v/>
      </c>
      <c r="U2725" s="9">
        <f>IF(Q2725="비교",ABS(P2725)+ROW()/1000000000,"")</f>
        <v/>
      </c>
      <c r="V2725" s="39">
        <f>IF($A2725="","",IF(COUNTIF(변동분석!$E$7:$E$506,O2725)&gt;0,"Y","N"))</f>
        <v/>
      </c>
      <c r="W2725" s="39">
        <f>IF($A2725="","",IFERROR(INDEX(계정매핑!$D$5:$D$504,MATCH($F2725&amp;"",계정매핑!$A$5:$A$504,0)),"미매핑"))</f>
        <v/>
      </c>
      <c r="X2725" s="9">
        <f>IF($A2725="","",$F2725&amp;"")</f>
        <v/>
      </c>
    </row>
    <row r="2726">
      <c r="A2726" s="75" t="n">
        <v>2026</v>
      </c>
      <c r="B2726" s="75" t="n">
        <v>2</v>
      </c>
      <c r="C2726" s="75" t="inlineStr">
        <is>
          <t>5100000382</t>
        </is>
      </c>
      <c r="D2726" s="78" t="n">
        <v>46079</v>
      </c>
      <c r="E2726" s="75" t="inlineStr">
        <is>
          <t>KR</t>
        </is>
      </c>
      <c r="F2726" s="75" t="n">
        <v>62401000</v>
      </c>
      <c r="G2726" s="75" t="n">
        <v>1801</v>
      </c>
      <c r="H2726" s="76" t="n">
        <v>1731000</v>
      </c>
      <c r="I2726" s="75" t="inlineStr">
        <is>
          <t>2월 인쇄물 제작 - S출판</t>
        </is>
      </c>
      <c r="J2726" s="75" t="inlineStr">
        <is>
          <t>V10012</t>
        </is>
      </c>
      <c r="K2726" s="75" t="inlineStr">
        <is>
          <t>S출판</t>
        </is>
      </c>
      <c r="M2726" s="9">
        <f>IF($A2726="","",VALUE($A2726&amp;"")*12+VALUE($B2726&amp;""))</f>
        <v/>
      </c>
      <c r="N2726" s="39">
        <f>IF($A2726="","",IFERROR(INDEX(부서매핑!$C$5:$C$504,MATCH($G2726&amp;"",부서매핑!$A$5:$A$504,0)),"미매핑"))</f>
        <v/>
      </c>
      <c r="O2726" s="9">
        <f>IF($A2726="","",N2726&amp;"|"&amp;$F2726)</f>
        <v/>
      </c>
      <c r="P2726" s="77">
        <f>IF($A2726="",0,$H2726*설정!$C$23)</f>
        <v/>
      </c>
      <c r="Q2726" s="39">
        <f>IF($A2726="","",IF(O2726&lt;&gt;원인분석!$C$9,"",IF(AND(M2726&gt;=원인분석!$C$10,M2726&lt;=원인분석!$C$11),"당기",IF(AND(M2726&gt;=원인분석!$C$12,M2726&lt;=원인분석!$C$13),"비교",""))))</f>
        <v/>
      </c>
      <c r="R2726" s="9">
        <f>IF(Q2726="","",$K2726&amp;"")</f>
        <v/>
      </c>
      <c r="S2726" s="9">
        <f>IF(Q2726="","",IF(MATCH(R2726,$R$5:$R$100000,0)=ROW()-4,ROW(),""))</f>
        <v/>
      </c>
      <c r="T2726" s="9">
        <f>IF(Q2726="당기",ABS(P2726)+ROW()/1000000000,"")</f>
        <v/>
      </c>
      <c r="U2726" s="9">
        <f>IF(Q2726="비교",ABS(P2726)+ROW()/1000000000,"")</f>
        <v/>
      </c>
      <c r="V2726" s="39">
        <f>IF($A2726="","",IF(COUNTIF(변동분석!$E$7:$E$506,O2726)&gt;0,"Y","N"))</f>
        <v/>
      </c>
      <c r="W2726" s="39">
        <f>IF($A2726="","",IFERROR(INDEX(계정매핑!$D$5:$D$504,MATCH($F2726&amp;"",계정매핑!$A$5:$A$504,0)),"미매핑"))</f>
        <v/>
      </c>
      <c r="X2726" s="9">
        <f>IF($A2726="","",$F2726&amp;"")</f>
        <v/>
      </c>
    </row>
    <row r="2727">
      <c r="A2727" s="75" t="n">
        <v>2026</v>
      </c>
      <c r="B2727" s="75" t="n">
        <v>2</v>
      </c>
      <c r="C2727" s="75" t="inlineStr">
        <is>
          <t>5100000383</t>
        </is>
      </c>
      <c r="D2727" s="78" t="n">
        <v>46079</v>
      </c>
      <c r="E2727" s="75" t="inlineStr">
        <is>
          <t>KR</t>
        </is>
      </c>
      <c r="F2727" s="75" t="n">
        <v>62501000</v>
      </c>
      <c r="G2727" s="75" t="n">
        <v>1301</v>
      </c>
      <c r="H2727" s="76" t="n">
        <v>214000</v>
      </c>
      <c r="I2727" s="75" t="inlineStr">
        <is>
          <t>2월 회의 다과 - (법인카드)</t>
        </is>
      </c>
      <c r="J2727" s="75" t="inlineStr">
        <is>
          <t>V10008</t>
        </is>
      </c>
      <c r="K2727" s="75" t="inlineStr">
        <is>
          <t>(법인카드)</t>
        </is>
      </c>
      <c r="M2727" s="9">
        <f>IF($A2727="","",VALUE($A2727&amp;"")*12+VALUE($B2727&amp;""))</f>
        <v/>
      </c>
      <c r="N2727" s="39">
        <f>IF($A2727="","",IFERROR(INDEX(부서매핑!$C$5:$C$504,MATCH($G2727&amp;"",부서매핑!$A$5:$A$504,0)),"미매핑"))</f>
        <v/>
      </c>
      <c r="O2727" s="9">
        <f>IF($A2727="","",N2727&amp;"|"&amp;$F2727)</f>
        <v/>
      </c>
      <c r="P2727" s="77">
        <f>IF($A2727="",0,$H2727*설정!$C$23)</f>
        <v/>
      </c>
      <c r="Q2727" s="39">
        <f>IF($A2727="","",IF(O2727&lt;&gt;원인분석!$C$9,"",IF(AND(M2727&gt;=원인분석!$C$10,M2727&lt;=원인분석!$C$11),"당기",IF(AND(M2727&gt;=원인분석!$C$12,M2727&lt;=원인분석!$C$13),"비교",""))))</f>
        <v/>
      </c>
      <c r="R2727" s="9">
        <f>IF(Q2727="","",$K2727&amp;"")</f>
        <v/>
      </c>
      <c r="S2727" s="9">
        <f>IF(Q2727="","",IF(MATCH(R2727,$R$5:$R$100000,0)=ROW()-4,ROW(),""))</f>
        <v/>
      </c>
      <c r="T2727" s="9">
        <f>IF(Q2727="당기",ABS(P2727)+ROW()/1000000000,"")</f>
        <v/>
      </c>
      <c r="U2727" s="9">
        <f>IF(Q2727="비교",ABS(P2727)+ROW()/1000000000,"")</f>
        <v/>
      </c>
      <c r="V2727" s="39">
        <f>IF($A2727="","",IF(COUNTIF(변동분석!$E$7:$E$506,O2727)&gt;0,"Y","N"))</f>
        <v/>
      </c>
      <c r="W2727" s="39">
        <f>IF($A2727="","",IFERROR(INDEX(계정매핑!$D$5:$D$504,MATCH($F2727&amp;"",계정매핑!$A$5:$A$504,0)),"미매핑"))</f>
        <v/>
      </c>
      <c r="X2727" s="9">
        <f>IF($A2727="","",$F2727&amp;"")</f>
        <v/>
      </c>
    </row>
    <row r="2728">
      <c r="A2728" s="75" t="n">
        <v>2026</v>
      </c>
      <c r="B2728" s="75" t="n">
        <v>2</v>
      </c>
      <c r="C2728" s="75" t="inlineStr">
        <is>
          <t>5100000384</t>
        </is>
      </c>
      <c r="D2728" s="78" t="n">
        <v>46079</v>
      </c>
      <c r="E2728" s="75" t="inlineStr">
        <is>
          <t>KR</t>
        </is>
      </c>
      <c r="F2728" s="75" t="n">
        <v>62501000</v>
      </c>
      <c r="G2728" s="75" t="n">
        <v>1502</v>
      </c>
      <c r="H2728" s="76" t="n">
        <v>225000</v>
      </c>
      <c r="I2728" s="75" t="inlineStr">
        <is>
          <t>2월 회의 다과 - T케이터링</t>
        </is>
      </c>
      <c r="J2728" s="75" t="inlineStr">
        <is>
          <t>V10005</t>
        </is>
      </c>
      <c r="K2728" s="75" t="inlineStr">
        <is>
          <t>T케이터링</t>
        </is>
      </c>
      <c r="M2728" s="9">
        <f>IF($A2728="","",VALUE($A2728&amp;"")*12+VALUE($B2728&amp;""))</f>
        <v/>
      </c>
      <c r="N2728" s="39">
        <f>IF($A2728="","",IFERROR(INDEX(부서매핑!$C$5:$C$504,MATCH($G2728&amp;"",부서매핑!$A$5:$A$504,0)),"미매핑"))</f>
        <v/>
      </c>
      <c r="O2728" s="9">
        <f>IF($A2728="","",N2728&amp;"|"&amp;$F2728)</f>
        <v/>
      </c>
      <c r="P2728" s="77">
        <f>IF($A2728="",0,$H2728*설정!$C$23)</f>
        <v/>
      </c>
      <c r="Q2728" s="39">
        <f>IF($A2728="","",IF(O2728&lt;&gt;원인분석!$C$9,"",IF(AND(M2728&gt;=원인분석!$C$10,M2728&lt;=원인분석!$C$11),"당기",IF(AND(M2728&gt;=원인분석!$C$12,M2728&lt;=원인분석!$C$13),"비교",""))))</f>
        <v/>
      </c>
      <c r="R2728" s="9">
        <f>IF(Q2728="","",$K2728&amp;"")</f>
        <v/>
      </c>
      <c r="S2728" s="9">
        <f>IF(Q2728="","",IF(MATCH(R2728,$R$5:$R$100000,0)=ROW()-4,ROW(),""))</f>
        <v/>
      </c>
      <c r="T2728" s="9">
        <f>IF(Q2728="당기",ABS(P2728)+ROW()/1000000000,"")</f>
        <v/>
      </c>
      <c r="U2728" s="9">
        <f>IF(Q2728="비교",ABS(P2728)+ROW()/1000000000,"")</f>
        <v/>
      </c>
      <c r="V2728" s="39">
        <f>IF($A2728="","",IF(COUNTIF(변동분석!$E$7:$E$506,O2728)&gt;0,"Y","N"))</f>
        <v/>
      </c>
      <c r="W2728" s="39">
        <f>IF($A2728="","",IFERROR(INDEX(계정매핑!$D$5:$D$504,MATCH($F2728&amp;"",계정매핑!$A$5:$A$504,0)),"미매핑"))</f>
        <v/>
      </c>
      <c r="X2728" s="9">
        <f>IF($A2728="","",$F2728&amp;"")</f>
        <v/>
      </c>
    </row>
    <row r="2729">
      <c r="A2729" s="75" t="n">
        <v>2026</v>
      </c>
      <c r="B2729" s="75" t="n">
        <v>2</v>
      </c>
      <c r="C2729" s="75" t="inlineStr">
        <is>
          <t>5100000385</t>
        </is>
      </c>
      <c r="D2729" s="78" t="n">
        <v>46079</v>
      </c>
      <c r="E2729" s="75" t="inlineStr">
        <is>
          <t>KR</t>
        </is>
      </c>
      <c r="F2729" s="75" t="n">
        <v>62701000</v>
      </c>
      <c r="G2729" s="75" t="n">
        <v>1501</v>
      </c>
      <c r="H2729" s="76" t="n">
        <v>33989000</v>
      </c>
      <c r="I2729" s="75" t="inlineStr">
        <is>
          <t>2월 광고 집행 - E미디어</t>
        </is>
      </c>
      <c r="J2729" s="75" t="inlineStr">
        <is>
          <t>V10027</t>
        </is>
      </c>
      <c r="K2729" s="75" t="inlineStr">
        <is>
          <t>E미디어</t>
        </is>
      </c>
      <c r="M2729" s="9">
        <f>IF($A2729="","",VALUE($A2729&amp;"")*12+VALUE($B2729&amp;""))</f>
        <v/>
      </c>
      <c r="N2729" s="39">
        <f>IF($A2729="","",IFERROR(INDEX(부서매핑!$C$5:$C$504,MATCH($G2729&amp;"",부서매핑!$A$5:$A$504,0)),"미매핑"))</f>
        <v/>
      </c>
      <c r="O2729" s="9">
        <f>IF($A2729="","",N2729&amp;"|"&amp;$F2729)</f>
        <v/>
      </c>
      <c r="P2729" s="77">
        <f>IF($A2729="",0,$H2729*설정!$C$23)</f>
        <v/>
      </c>
      <c r="Q2729" s="39">
        <f>IF($A2729="","",IF(O2729&lt;&gt;원인분석!$C$9,"",IF(AND(M2729&gt;=원인분석!$C$10,M2729&lt;=원인분석!$C$11),"당기",IF(AND(M2729&gt;=원인분석!$C$12,M2729&lt;=원인분석!$C$13),"비교",""))))</f>
        <v/>
      </c>
      <c r="R2729" s="9">
        <f>IF(Q2729="","",$K2729&amp;"")</f>
        <v/>
      </c>
      <c r="S2729" s="9">
        <f>IF(Q2729="","",IF(MATCH(R2729,$R$5:$R$100000,0)=ROW()-4,ROW(),""))</f>
        <v/>
      </c>
      <c r="T2729" s="9">
        <f>IF(Q2729="당기",ABS(P2729)+ROW()/1000000000,"")</f>
        <v/>
      </c>
      <c r="U2729" s="9">
        <f>IF(Q2729="비교",ABS(P2729)+ROW()/1000000000,"")</f>
        <v/>
      </c>
      <c r="V2729" s="39">
        <f>IF($A2729="","",IF(COUNTIF(변동분석!$E$7:$E$506,O2729)&gt;0,"Y","N"))</f>
        <v/>
      </c>
      <c r="W2729" s="39">
        <f>IF($A2729="","",IFERROR(INDEX(계정매핑!$D$5:$D$504,MATCH($F2729&amp;"",계정매핑!$A$5:$A$504,0)),"미매핑"))</f>
        <v/>
      </c>
      <c r="X2729" s="9">
        <f>IF($A2729="","",$F2729&amp;"")</f>
        <v/>
      </c>
    </row>
    <row r="2730">
      <c r="A2730" s="75" t="n">
        <v>2026</v>
      </c>
      <c r="B2730" s="75" t="n">
        <v>2</v>
      </c>
      <c r="C2730" s="75" t="inlineStr">
        <is>
          <t>5100000386</t>
        </is>
      </c>
      <c r="D2730" s="78" t="n">
        <v>46079</v>
      </c>
      <c r="E2730" s="75" t="inlineStr">
        <is>
          <t>KR</t>
        </is>
      </c>
      <c r="F2730" s="75" t="n">
        <v>62701000</v>
      </c>
      <c r="G2730" s="75" t="n">
        <v>1501</v>
      </c>
      <c r="H2730" s="76" t="n">
        <v>43448000</v>
      </c>
      <c r="I2730" s="75" t="inlineStr">
        <is>
          <t>2월 광고 집행 - E미디어</t>
        </is>
      </c>
      <c r="J2730" s="75" t="inlineStr">
        <is>
          <t>V10027</t>
        </is>
      </c>
      <c r="K2730" s="75" t="inlineStr">
        <is>
          <t>E미디어</t>
        </is>
      </c>
      <c r="M2730" s="9">
        <f>IF($A2730="","",VALUE($A2730&amp;"")*12+VALUE($B2730&amp;""))</f>
        <v/>
      </c>
      <c r="N2730" s="39">
        <f>IF($A2730="","",IFERROR(INDEX(부서매핑!$C$5:$C$504,MATCH($G2730&amp;"",부서매핑!$A$5:$A$504,0)),"미매핑"))</f>
        <v/>
      </c>
      <c r="O2730" s="9">
        <f>IF($A2730="","",N2730&amp;"|"&amp;$F2730)</f>
        <v/>
      </c>
      <c r="P2730" s="77">
        <f>IF($A2730="",0,$H2730*설정!$C$23)</f>
        <v/>
      </c>
      <c r="Q2730" s="39">
        <f>IF($A2730="","",IF(O2730&lt;&gt;원인분석!$C$9,"",IF(AND(M2730&gt;=원인분석!$C$10,M2730&lt;=원인분석!$C$11),"당기",IF(AND(M2730&gt;=원인분석!$C$12,M2730&lt;=원인분석!$C$13),"비교",""))))</f>
        <v/>
      </c>
      <c r="R2730" s="9">
        <f>IF(Q2730="","",$K2730&amp;"")</f>
        <v/>
      </c>
      <c r="S2730" s="9">
        <f>IF(Q2730="","",IF(MATCH(R2730,$R$5:$R$100000,0)=ROW()-4,ROW(),""))</f>
        <v/>
      </c>
      <c r="T2730" s="9">
        <f>IF(Q2730="당기",ABS(P2730)+ROW()/1000000000,"")</f>
        <v/>
      </c>
      <c r="U2730" s="9">
        <f>IF(Q2730="비교",ABS(P2730)+ROW()/1000000000,"")</f>
        <v/>
      </c>
      <c r="V2730" s="39">
        <f>IF($A2730="","",IF(COUNTIF(변동분석!$E$7:$E$506,O2730)&gt;0,"Y","N"))</f>
        <v/>
      </c>
      <c r="W2730" s="39">
        <f>IF($A2730="","",IFERROR(INDEX(계정매핑!$D$5:$D$504,MATCH($F2730&amp;"",계정매핑!$A$5:$A$504,0)),"미매핑"))</f>
        <v/>
      </c>
      <c r="X2730" s="9">
        <f>IF($A2730="","",$F2730&amp;"")</f>
        <v/>
      </c>
    </row>
    <row r="2731">
      <c r="A2731" s="75" t="n">
        <v>2026</v>
      </c>
      <c r="B2731" s="75" t="n">
        <v>2</v>
      </c>
      <c r="C2731" s="75" t="inlineStr">
        <is>
          <t>5100000387</t>
        </is>
      </c>
      <c r="D2731" s="78" t="n">
        <v>46079</v>
      </c>
      <c r="E2731" s="75" t="inlineStr">
        <is>
          <t>KR</t>
        </is>
      </c>
      <c r="F2731" s="75" t="n">
        <v>62902000</v>
      </c>
      <c r="G2731" s="75" t="n">
        <v>1401</v>
      </c>
      <c r="H2731" s="76" t="n">
        <v>2492000</v>
      </c>
      <c r="I2731" s="75" t="inlineStr">
        <is>
          <t>2월 업무 위탁 수수료 - J콜센터</t>
        </is>
      </c>
      <c r="J2731" s="75" t="inlineStr">
        <is>
          <t>V10013</t>
        </is>
      </c>
      <c r="K2731" s="75" t="inlineStr">
        <is>
          <t>J콜센터</t>
        </is>
      </c>
      <c r="M2731" s="9">
        <f>IF($A2731="","",VALUE($A2731&amp;"")*12+VALUE($B2731&amp;""))</f>
        <v/>
      </c>
      <c r="N2731" s="39">
        <f>IF($A2731="","",IFERROR(INDEX(부서매핑!$C$5:$C$504,MATCH($G2731&amp;"",부서매핑!$A$5:$A$504,0)),"미매핑"))</f>
        <v/>
      </c>
      <c r="O2731" s="9">
        <f>IF($A2731="","",N2731&amp;"|"&amp;$F2731)</f>
        <v/>
      </c>
      <c r="P2731" s="77">
        <f>IF($A2731="",0,$H2731*설정!$C$23)</f>
        <v/>
      </c>
      <c r="Q2731" s="39">
        <f>IF($A2731="","",IF(O2731&lt;&gt;원인분석!$C$9,"",IF(AND(M2731&gt;=원인분석!$C$10,M2731&lt;=원인분석!$C$11),"당기",IF(AND(M2731&gt;=원인분석!$C$12,M2731&lt;=원인분석!$C$13),"비교",""))))</f>
        <v/>
      </c>
      <c r="R2731" s="9">
        <f>IF(Q2731="","",$K2731&amp;"")</f>
        <v/>
      </c>
      <c r="S2731" s="9">
        <f>IF(Q2731="","",IF(MATCH(R2731,$R$5:$R$100000,0)=ROW()-4,ROW(),""))</f>
        <v/>
      </c>
      <c r="T2731" s="9">
        <f>IF(Q2731="당기",ABS(P2731)+ROW()/1000000000,"")</f>
        <v/>
      </c>
      <c r="U2731" s="9">
        <f>IF(Q2731="비교",ABS(P2731)+ROW()/1000000000,"")</f>
        <v/>
      </c>
      <c r="V2731" s="39">
        <f>IF($A2731="","",IF(COUNTIF(변동분석!$E$7:$E$506,O2731)&gt;0,"Y","N"))</f>
        <v/>
      </c>
      <c r="W2731" s="39">
        <f>IF($A2731="","",IFERROR(INDEX(계정매핑!$D$5:$D$504,MATCH($F2731&amp;"",계정매핑!$A$5:$A$504,0)),"미매핑"))</f>
        <v/>
      </c>
      <c r="X2731" s="9">
        <f>IF($A2731="","",$F2731&amp;"")</f>
        <v/>
      </c>
    </row>
    <row r="2732">
      <c r="A2732" s="75" t="n">
        <v>2026</v>
      </c>
      <c r="B2732" s="75" t="n">
        <v>2</v>
      </c>
      <c r="C2732" s="75" t="inlineStr">
        <is>
          <t>5100000388</t>
        </is>
      </c>
      <c r="D2732" s="78" t="n">
        <v>46079</v>
      </c>
      <c r="E2732" s="75" t="inlineStr">
        <is>
          <t>KR</t>
        </is>
      </c>
      <c r="F2732" s="75" t="n">
        <v>62902000</v>
      </c>
      <c r="G2732" s="75" t="n">
        <v>1801</v>
      </c>
      <c r="H2732" s="76" t="n">
        <v>1804000</v>
      </c>
      <c r="I2732" s="75" t="inlineStr">
        <is>
          <t>2월 콜 위탁 수수료(건별)</t>
        </is>
      </c>
      <c r="J2732" s="75" t="inlineStr">
        <is>
          <t>V10013</t>
        </is>
      </c>
      <c r="K2732" s="75" t="inlineStr">
        <is>
          <t>J콜센터</t>
        </is>
      </c>
      <c r="M2732" s="9">
        <f>IF($A2732="","",VALUE($A2732&amp;"")*12+VALUE($B2732&amp;""))</f>
        <v/>
      </c>
      <c r="N2732" s="39">
        <f>IF($A2732="","",IFERROR(INDEX(부서매핑!$C$5:$C$504,MATCH($G2732&amp;"",부서매핑!$A$5:$A$504,0)),"미매핑"))</f>
        <v/>
      </c>
      <c r="O2732" s="9">
        <f>IF($A2732="","",N2732&amp;"|"&amp;$F2732)</f>
        <v/>
      </c>
      <c r="P2732" s="77">
        <f>IF($A2732="",0,$H2732*설정!$C$23)</f>
        <v/>
      </c>
      <c r="Q2732" s="39">
        <f>IF($A2732="","",IF(O2732&lt;&gt;원인분석!$C$9,"",IF(AND(M2732&gt;=원인분석!$C$10,M2732&lt;=원인분석!$C$11),"당기",IF(AND(M2732&gt;=원인분석!$C$12,M2732&lt;=원인분석!$C$13),"비교",""))))</f>
        <v/>
      </c>
      <c r="R2732" s="9">
        <f>IF(Q2732="","",$K2732&amp;"")</f>
        <v/>
      </c>
      <c r="S2732" s="9">
        <f>IF(Q2732="","",IF(MATCH(R2732,$R$5:$R$100000,0)=ROW()-4,ROW(),""))</f>
        <v/>
      </c>
      <c r="T2732" s="9">
        <f>IF(Q2732="당기",ABS(P2732)+ROW()/1000000000,"")</f>
        <v/>
      </c>
      <c r="U2732" s="9">
        <f>IF(Q2732="비교",ABS(P2732)+ROW()/1000000000,"")</f>
        <v/>
      </c>
      <c r="V2732" s="39">
        <f>IF($A2732="","",IF(COUNTIF(변동분석!$E$7:$E$506,O2732)&gt;0,"Y","N"))</f>
        <v/>
      </c>
      <c r="W2732" s="39">
        <f>IF($A2732="","",IFERROR(INDEX(계정매핑!$D$5:$D$504,MATCH($F2732&amp;"",계정매핑!$A$5:$A$504,0)),"미매핑"))</f>
        <v/>
      </c>
      <c r="X2732" s="9">
        <f>IF($A2732="","",$F2732&amp;"")</f>
        <v/>
      </c>
    </row>
    <row r="2733">
      <c r="A2733" s="75" t="n">
        <v>2026</v>
      </c>
      <c r="B2733" s="75" t="n">
        <v>2</v>
      </c>
      <c r="C2733" s="75" t="inlineStr">
        <is>
          <t>5100000389</t>
        </is>
      </c>
      <c r="D2733" s="78" t="n">
        <v>46080</v>
      </c>
      <c r="E2733" s="75" t="inlineStr">
        <is>
          <t>KR</t>
        </is>
      </c>
      <c r="F2733" s="75" t="n">
        <v>62101000</v>
      </c>
      <c r="G2733" s="75" t="n">
        <v>1301</v>
      </c>
      <c r="H2733" s="76" t="n">
        <v>235000</v>
      </c>
      <c r="I2733" s="75" t="inlineStr">
        <is>
          <t>2월 국내출장 - L여행사</t>
        </is>
      </c>
      <c r="J2733" s="75" t="inlineStr">
        <is>
          <t>V10014</t>
        </is>
      </c>
      <c r="K2733" s="75" t="inlineStr">
        <is>
          <t>L여행사</t>
        </is>
      </c>
      <c r="M2733" s="9">
        <f>IF($A2733="","",VALUE($A2733&amp;"")*12+VALUE($B2733&amp;""))</f>
        <v/>
      </c>
      <c r="N2733" s="39">
        <f>IF($A2733="","",IFERROR(INDEX(부서매핑!$C$5:$C$504,MATCH($G2733&amp;"",부서매핑!$A$5:$A$504,0)),"미매핑"))</f>
        <v/>
      </c>
      <c r="O2733" s="9">
        <f>IF($A2733="","",N2733&amp;"|"&amp;$F2733)</f>
        <v/>
      </c>
      <c r="P2733" s="77">
        <f>IF($A2733="",0,$H2733*설정!$C$23)</f>
        <v/>
      </c>
      <c r="Q2733" s="39">
        <f>IF($A2733="","",IF(O2733&lt;&gt;원인분석!$C$9,"",IF(AND(M2733&gt;=원인분석!$C$10,M2733&lt;=원인분석!$C$11),"당기",IF(AND(M2733&gt;=원인분석!$C$12,M2733&lt;=원인분석!$C$13),"비교",""))))</f>
        <v/>
      </c>
      <c r="R2733" s="9">
        <f>IF(Q2733="","",$K2733&amp;"")</f>
        <v/>
      </c>
      <c r="S2733" s="9">
        <f>IF(Q2733="","",IF(MATCH(R2733,$R$5:$R$100000,0)=ROW()-4,ROW(),""))</f>
        <v/>
      </c>
      <c r="T2733" s="9">
        <f>IF(Q2733="당기",ABS(P2733)+ROW()/1000000000,"")</f>
        <v/>
      </c>
      <c r="U2733" s="9">
        <f>IF(Q2733="비교",ABS(P2733)+ROW()/1000000000,"")</f>
        <v/>
      </c>
      <c r="V2733" s="39">
        <f>IF($A2733="","",IF(COUNTIF(변동분석!$E$7:$E$506,O2733)&gt;0,"Y","N"))</f>
        <v/>
      </c>
      <c r="W2733" s="39">
        <f>IF($A2733="","",IFERROR(INDEX(계정매핑!$D$5:$D$504,MATCH($F2733&amp;"",계정매핑!$A$5:$A$504,0)),"미매핑"))</f>
        <v/>
      </c>
      <c r="X2733" s="9">
        <f>IF($A2733="","",$F2733&amp;"")</f>
        <v/>
      </c>
    </row>
    <row r="2734">
      <c r="A2734" s="75" t="n">
        <v>2026</v>
      </c>
      <c r="B2734" s="75" t="n">
        <v>2</v>
      </c>
      <c r="C2734" s="75" t="inlineStr">
        <is>
          <t>5100000390</t>
        </is>
      </c>
      <c r="D2734" s="78" t="n">
        <v>46080</v>
      </c>
      <c r="E2734" s="75" t="inlineStr">
        <is>
          <t>KR</t>
        </is>
      </c>
      <c r="F2734" s="75" t="n">
        <v>62301000</v>
      </c>
      <c r="G2734" s="75" t="n">
        <v>1601</v>
      </c>
      <c r="H2734" s="76" t="n">
        <v>207000</v>
      </c>
      <c r="I2734" s="75" t="inlineStr">
        <is>
          <t>2월 소모품 구입 - Q오피스</t>
        </is>
      </c>
      <c r="J2734" s="75" t="inlineStr">
        <is>
          <t>V10003</t>
        </is>
      </c>
      <c r="K2734" s="75" t="inlineStr">
        <is>
          <t>Q오피스</t>
        </is>
      </c>
      <c r="M2734" s="9">
        <f>IF($A2734="","",VALUE($A2734&amp;"")*12+VALUE($B2734&amp;""))</f>
        <v/>
      </c>
      <c r="N2734" s="39">
        <f>IF($A2734="","",IFERROR(INDEX(부서매핑!$C$5:$C$504,MATCH($G2734&amp;"",부서매핑!$A$5:$A$504,0)),"미매핑"))</f>
        <v/>
      </c>
      <c r="O2734" s="9">
        <f>IF($A2734="","",N2734&amp;"|"&amp;$F2734)</f>
        <v/>
      </c>
      <c r="P2734" s="77">
        <f>IF($A2734="",0,$H2734*설정!$C$23)</f>
        <v/>
      </c>
      <c r="Q2734" s="39">
        <f>IF($A2734="","",IF(O2734&lt;&gt;원인분석!$C$9,"",IF(AND(M2734&gt;=원인분석!$C$10,M2734&lt;=원인분석!$C$11),"당기",IF(AND(M2734&gt;=원인분석!$C$12,M2734&lt;=원인분석!$C$13),"비교",""))))</f>
        <v/>
      </c>
      <c r="R2734" s="9">
        <f>IF(Q2734="","",$K2734&amp;"")</f>
        <v/>
      </c>
      <c r="S2734" s="9">
        <f>IF(Q2734="","",IF(MATCH(R2734,$R$5:$R$100000,0)=ROW()-4,ROW(),""))</f>
        <v/>
      </c>
      <c r="T2734" s="9">
        <f>IF(Q2734="당기",ABS(P2734)+ROW()/1000000000,"")</f>
        <v/>
      </c>
      <c r="U2734" s="9">
        <f>IF(Q2734="비교",ABS(P2734)+ROW()/1000000000,"")</f>
        <v/>
      </c>
      <c r="V2734" s="39">
        <f>IF($A2734="","",IF(COUNTIF(변동분석!$E$7:$E$506,O2734)&gt;0,"Y","N"))</f>
        <v/>
      </c>
      <c r="W2734" s="39">
        <f>IF($A2734="","",IFERROR(INDEX(계정매핑!$D$5:$D$504,MATCH($F2734&amp;"",계정매핑!$A$5:$A$504,0)),"미매핑"))</f>
        <v/>
      </c>
      <c r="X2734" s="9">
        <f>IF($A2734="","",$F2734&amp;"")</f>
        <v/>
      </c>
    </row>
    <row r="2735">
      <c r="A2735" s="75" t="n">
        <v>2026</v>
      </c>
      <c r="B2735" s="75" t="n">
        <v>2</v>
      </c>
      <c r="C2735" s="75" t="inlineStr">
        <is>
          <t>5100000391</t>
        </is>
      </c>
      <c r="D2735" s="78" t="n">
        <v>46080</v>
      </c>
      <c r="E2735" s="75" t="inlineStr">
        <is>
          <t>KR</t>
        </is>
      </c>
      <c r="F2735" s="75" t="n">
        <v>62401000</v>
      </c>
      <c r="G2735" s="75" t="n">
        <v>1801</v>
      </c>
      <c r="H2735" s="76" t="n">
        <v>2248000</v>
      </c>
      <c r="I2735" s="75" t="inlineStr">
        <is>
          <t>2월 인쇄물 제작 - S출판</t>
        </is>
      </c>
      <c r="J2735" s="75" t="inlineStr">
        <is>
          <t>V10012</t>
        </is>
      </c>
      <c r="K2735" s="75" t="inlineStr">
        <is>
          <t>S출판</t>
        </is>
      </c>
      <c r="M2735" s="9">
        <f>IF($A2735="","",VALUE($A2735&amp;"")*12+VALUE($B2735&amp;""))</f>
        <v/>
      </c>
      <c r="N2735" s="39">
        <f>IF($A2735="","",IFERROR(INDEX(부서매핑!$C$5:$C$504,MATCH($G2735&amp;"",부서매핑!$A$5:$A$504,0)),"미매핑"))</f>
        <v/>
      </c>
      <c r="O2735" s="9">
        <f>IF($A2735="","",N2735&amp;"|"&amp;$F2735)</f>
        <v/>
      </c>
      <c r="P2735" s="77">
        <f>IF($A2735="",0,$H2735*설정!$C$23)</f>
        <v/>
      </c>
      <c r="Q2735" s="39">
        <f>IF($A2735="","",IF(O2735&lt;&gt;원인분석!$C$9,"",IF(AND(M2735&gt;=원인분석!$C$10,M2735&lt;=원인분석!$C$11),"당기",IF(AND(M2735&gt;=원인분석!$C$12,M2735&lt;=원인분석!$C$13),"비교",""))))</f>
        <v/>
      </c>
      <c r="R2735" s="9">
        <f>IF(Q2735="","",$K2735&amp;"")</f>
        <v/>
      </c>
      <c r="S2735" s="9">
        <f>IF(Q2735="","",IF(MATCH(R2735,$R$5:$R$100000,0)=ROW()-4,ROW(),""))</f>
        <v/>
      </c>
      <c r="T2735" s="9">
        <f>IF(Q2735="당기",ABS(P2735)+ROW()/1000000000,"")</f>
        <v/>
      </c>
      <c r="U2735" s="9">
        <f>IF(Q2735="비교",ABS(P2735)+ROW()/1000000000,"")</f>
        <v/>
      </c>
      <c r="V2735" s="39">
        <f>IF($A2735="","",IF(COUNTIF(변동분석!$E$7:$E$506,O2735)&gt;0,"Y","N"))</f>
        <v/>
      </c>
      <c r="W2735" s="39">
        <f>IF($A2735="","",IFERROR(INDEX(계정매핑!$D$5:$D$504,MATCH($F2735&amp;"",계정매핑!$A$5:$A$504,0)),"미매핑"))</f>
        <v/>
      </c>
      <c r="X2735" s="9">
        <f>IF($A2735="","",$F2735&amp;"")</f>
        <v/>
      </c>
    </row>
    <row r="2736">
      <c r="A2736" s="75" t="n">
        <v>2026</v>
      </c>
      <c r="B2736" s="75" t="n">
        <v>2</v>
      </c>
      <c r="C2736" s="75" t="inlineStr">
        <is>
          <t>5100000392</t>
        </is>
      </c>
      <c r="D2736" s="78" t="n">
        <v>46080</v>
      </c>
      <c r="E2736" s="75" t="inlineStr">
        <is>
          <t>KR</t>
        </is>
      </c>
      <c r="F2736" s="75" t="n">
        <v>62902000</v>
      </c>
      <c r="G2736" s="75" t="n">
        <v>1401</v>
      </c>
      <c r="H2736" s="76" t="n">
        <v>1417000</v>
      </c>
      <c r="I2736" s="75" t="inlineStr">
        <is>
          <t>2월 업무 위탁 수수료 - X서비스</t>
        </is>
      </c>
      <c r="J2736" s="75" t="inlineStr">
        <is>
          <t>V10016</t>
        </is>
      </c>
      <c r="K2736" s="75" t="inlineStr">
        <is>
          <t>X서비스</t>
        </is>
      </c>
      <c r="M2736" s="9">
        <f>IF($A2736="","",VALUE($A2736&amp;"")*12+VALUE($B2736&amp;""))</f>
        <v/>
      </c>
      <c r="N2736" s="39">
        <f>IF($A2736="","",IFERROR(INDEX(부서매핑!$C$5:$C$504,MATCH($G2736&amp;"",부서매핑!$A$5:$A$504,0)),"미매핑"))</f>
        <v/>
      </c>
      <c r="O2736" s="9">
        <f>IF($A2736="","",N2736&amp;"|"&amp;$F2736)</f>
        <v/>
      </c>
      <c r="P2736" s="77">
        <f>IF($A2736="",0,$H2736*설정!$C$23)</f>
        <v/>
      </c>
      <c r="Q2736" s="39">
        <f>IF($A2736="","",IF(O2736&lt;&gt;원인분석!$C$9,"",IF(AND(M2736&gt;=원인분석!$C$10,M2736&lt;=원인분석!$C$11),"당기",IF(AND(M2736&gt;=원인분석!$C$12,M2736&lt;=원인분석!$C$13),"비교",""))))</f>
        <v/>
      </c>
      <c r="R2736" s="9">
        <f>IF(Q2736="","",$K2736&amp;"")</f>
        <v/>
      </c>
      <c r="S2736" s="9">
        <f>IF(Q2736="","",IF(MATCH(R2736,$R$5:$R$100000,0)=ROW()-4,ROW(),""))</f>
        <v/>
      </c>
      <c r="T2736" s="9">
        <f>IF(Q2736="당기",ABS(P2736)+ROW()/1000000000,"")</f>
        <v/>
      </c>
      <c r="U2736" s="9">
        <f>IF(Q2736="비교",ABS(P2736)+ROW()/1000000000,"")</f>
        <v/>
      </c>
      <c r="V2736" s="39">
        <f>IF($A2736="","",IF(COUNTIF(변동분석!$E$7:$E$506,O2736)&gt;0,"Y","N"))</f>
        <v/>
      </c>
      <c r="W2736" s="39">
        <f>IF($A2736="","",IFERROR(INDEX(계정매핑!$D$5:$D$504,MATCH($F2736&amp;"",계정매핑!$A$5:$A$504,0)),"미매핑"))</f>
        <v/>
      </c>
      <c r="X2736" s="9">
        <f>IF($A2736="","",$F2736&amp;"")</f>
        <v/>
      </c>
    </row>
    <row r="2737">
      <c r="A2737" s="75" t="n">
        <v>2026</v>
      </c>
      <c r="B2737" s="75" t="n">
        <v>2</v>
      </c>
      <c r="C2737" s="75" t="inlineStr">
        <is>
          <t>5100000393</t>
        </is>
      </c>
      <c r="D2737" s="78" t="n">
        <v>46080</v>
      </c>
      <c r="E2737" s="75" t="inlineStr">
        <is>
          <t>KR</t>
        </is>
      </c>
      <c r="F2737" s="75" t="n">
        <v>62902000</v>
      </c>
      <c r="G2737" s="75" t="n">
        <v>1801</v>
      </c>
      <c r="H2737" s="76" t="n">
        <v>1798000</v>
      </c>
      <c r="I2737" s="75" t="inlineStr">
        <is>
          <t>2월 콜 위탁 수수료(건별)</t>
        </is>
      </c>
      <c r="J2737" s="75" t="inlineStr">
        <is>
          <t>V10013</t>
        </is>
      </c>
      <c r="K2737" s="75" t="inlineStr">
        <is>
          <t>J콜센터</t>
        </is>
      </c>
      <c r="M2737" s="9">
        <f>IF($A2737="","",VALUE($A2737&amp;"")*12+VALUE($B2737&amp;""))</f>
        <v/>
      </c>
      <c r="N2737" s="39">
        <f>IF($A2737="","",IFERROR(INDEX(부서매핑!$C$5:$C$504,MATCH($G2737&amp;"",부서매핑!$A$5:$A$504,0)),"미매핑"))</f>
        <v/>
      </c>
      <c r="O2737" s="9">
        <f>IF($A2737="","",N2737&amp;"|"&amp;$F2737)</f>
        <v/>
      </c>
      <c r="P2737" s="77">
        <f>IF($A2737="",0,$H2737*설정!$C$23)</f>
        <v/>
      </c>
      <c r="Q2737" s="39">
        <f>IF($A2737="","",IF(O2737&lt;&gt;원인분석!$C$9,"",IF(AND(M2737&gt;=원인분석!$C$10,M2737&lt;=원인분석!$C$11),"당기",IF(AND(M2737&gt;=원인분석!$C$12,M2737&lt;=원인분석!$C$13),"비교",""))))</f>
        <v/>
      </c>
      <c r="R2737" s="9">
        <f>IF(Q2737="","",$K2737&amp;"")</f>
        <v/>
      </c>
      <c r="S2737" s="9">
        <f>IF(Q2737="","",IF(MATCH(R2737,$R$5:$R$100000,0)=ROW()-4,ROW(),""))</f>
        <v/>
      </c>
      <c r="T2737" s="9">
        <f>IF(Q2737="당기",ABS(P2737)+ROW()/1000000000,"")</f>
        <v/>
      </c>
      <c r="U2737" s="9">
        <f>IF(Q2737="비교",ABS(P2737)+ROW()/1000000000,"")</f>
        <v/>
      </c>
      <c r="V2737" s="39">
        <f>IF($A2737="","",IF(COUNTIF(변동분석!$E$7:$E$506,O2737)&gt;0,"Y","N"))</f>
        <v/>
      </c>
      <c r="W2737" s="39">
        <f>IF($A2737="","",IFERROR(INDEX(계정매핑!$D$5:$D$504,MATCH($F2737&amp;"",계정매핑!$A$5:$A$504,0)),"미매핑"))</f>
        <v/>
      </c>
      <c r="X2737" s="9">
        <f>IF($A2737="","",$F2737&amp;"")</f>
        <v/>
      </c>
    </row>
    <row r="2738">
      <c r="A2738" s="75" t="n">
        <v>2026</v>
      </c>
      <c r="B2738" s="75" t="n">
        <v>3</v>
      </c>
      <c r="C2738" s="75" t="inlineStr">
        <is>
          <t>5100000394</t>
        </is>
      </c>
      <c r="D2738" s="78" t="n">
        <v>46083</v>
      </c>
      <c r="E2738" s="75" t="inlineStr">
        <is>
          <t>KR</t>
        </is>
      </c>
      <c r="F2738" s="75" t="n">
        <v>62102000</v>
      </c>
      <c r="G2738" s="75" t="n">
        <v>1301</v>
      </c>
      <c r="H2738" s="76" t="n">
        <v>143000</v>
      </c>
      <c r="I2738" s="75" t="inlineStr">
        <is>
          <t>3월 해외출장 - M항공</t>
        </is>
      </c>
      <c r="J2738" s="75" t="inlineStr">
        <is>
          <t>V10001</t>
        </is>
      </c>
      <c r="K2738" s="75" t="inlineStr">
        <is>
          <t>M항공</t>
        </is>
      </c>
      <c r="M2738" s="9">
        <f>IF($A2738="","",VALUE($A2738&amp;"")*12+VALUE($B2738&amp;""))</f>
        <v/>
      </c>
      <c r="N2738" s="39">
        <f>IF($A2738="","",IFERROR(INDEX(부서매핑!$C$5:$C$504,MATCH($G2738&amp;"",부서매핑!$A$5:$A$504,0)),"미매핑"))</f>
        <v/>
      </c>
      <c r="O2738" s="9">
        <f>IF($A2738="","",N2738&amp;"|"&amp;$F2738)</f>
        <v/>
      </c>
      <c r="P2738" s="77">
        <f>IF($A2738="",0,$H2738*설정!$C$23)</f>
        <v/>
      </c>
      <c r="Q2738" s="39">
        <f>IF($A2738="","",IF(O2738&lt;&gt;원인분석!$C$9,"",IF(AND(M2738&gt;=원인분석!$C$10,M2738&lt;=원인분석!$C$11),"당기",IF(AND(M2738&gt;=원인분석!$C$12,M2738&lt;=원인분석!$C$13),"비교",""))))</f>
        <v/>
      </c>
      <c r="R2738" s="9">
        <f>IF(Q2738="","",$K2738&amp;"")</f>
        <v/>
      </c>
      <c r="S2738" s="9">
        <f>IF(Q2738="","",IF(MATCH(R2738,$R$5:$R$100000,0)=ROW()-4,ROW(),""))</f>
        <v/>
      </c>
      <c r="T2738" s="9">
        <f>IF(Q2738="당기",ABS(P2738)+ROW()/1000000000,"")</f>
        <v/>
      </c>
      <c r="U2738" s="9">
        <f>IF(Q2738="비교",ABS(P2738)+ROW()/1000000000,"")</f>
        <v/>
      </c>
      <c r="V2738" s="39">
        <f>IF($A2738="","",IF(COUNTIF(변동분석!$E$7:$E$506,O2738)&gt;0,"Y","N"))</f>
        <v/>
      </c>
      <c r="W2738" s="39">
        <f>IF($A2738="","",IFERROR(INDEX(계정매핑!$D$5:$D$504,MATCH($F2738&amp;"",계정매핑!$A$5:$A$504,0)),"미매핑"))</f>
        <v/>
      </c>
      <c r="X2738" s="9">
        <f>IF($A2738="","",$F2738&amp;"")</f>
        <v/>
      </c>
    </row>
    <row r="2739">
      <c r="A2739" s="75" t="n">
        <v>2026</v>
      </c>
      <c r="B2739" s="75" t="n">
        <v>3</v>
      </c>
      <c r="C2739" s="75" t="inlineStr">
        <is>
          <t>5100000395</t>
        </is>
      </c>
      <c r="D2739" s="78" t="n">
        <v>46083</v>
      </c>
      <c r="E2739" s="75" t="inlineStr">
        <is>
          <t>KR</t>
        </is>
      </c>
      <c r="F2739" s="75" t="n">
        <v>62201000</v>
      </c>
      <c r="G2739" s="75" t="n">
        <v>1801</v>
      </c>
      <c r="H2739" s="76" t="n">
        <v>6664000</v>
      </c>
      <c r="I2739" s="75" t="inlineStr">
        <is>
          <t>3월 통신요금 - P통신</t>
        </is>
      </c>
      <c r="J2739" s="75" t="inlineStr">
        <is>
          <t>V10011</t>
        </is>
      </c>
      <c r="K2739" s="75" t="inlineStr">
        <is>
          <t>P통신</t>
        </is>
      </c>
      <c r="M2739" s="9">
        <f>IF($A2739="","",VALUE($A2739&amp;"")*12+VALUE($B2739&amp;""))</f>
        <v/>
      </c>
      <c r="N2739" s="39">
        <f>IF($A2739="","",IFERROR(INDEX(부서매핑!$C$5:$C$504,MATCH($G2739&amp;"",부서매핑!$A$5:$A$504,0)),"미매핑"))</f>
        <v/>
      </c>
      <c r="O2739" s="9">
        <f>IF($A2739="","",N2739&amp;"|"&amp;$F2739)</f>
        <v/>
      </c>
      <c r="P2739" s="77">
        <f>IF($A2739="",0,$H2739*설정!$C$23)</f>
        <v/>
      </c>
      <c r="Q2739" s="39">
        <f>IF($A2739="","",IF(O2739&lt;&gt;원인분석!$C$9,"",IF(AND(M2739&gt;=원인분석!$C$10,M2739&lt;=원인분석!$C$11),"당기",IF(AND(M2739&gt;=원인분석!$C$12,M2739&lt;=원인분석!$C$13),"비교",""))))</f>
        <v/>
      </c>
      <c r="R2739" s="9">
        <f>IF(Q2739="","",$K2739&amp;"")</f>
        <v/>
      </c>
      <c r="S2739" s="9">
        <f>IF(Q2739="","",IF(MATCH(R2739,$R$5:$R$100000,0)=ROW()-4,ROW(),""))</f>
        <v/>
      </c>
      <c r="T2739" s="9">
        <f>IF(Q2739="당기",ABS(P2739)+ROW()/1000000000,"")</f>
        <v/>
      </c>
      <c r="U2739" s="9">
        <f>IF(Q2739="비교",ABS(P2739)+ROW()/1000000000,"")</f>
        <v/>
      </c>
      <c r="V2739" s="39">
        <f>IF($A2739="","",IF(COUNTIF(변동분석!$E$7:$E$506,O2739)&gt;0,"Y","N"))</f>
        <v/>
      </c>
      <c r="W2739" s="39">
        <f>IF($A2739="","",IFERROR(INDEX(계정매핑!$D$5:$D$504,MATCH($F2739&amp;"",계정매핑!$A$5:$A$504,0)),"미매핑"))</f>
        <v/>
      </c>
      <c r="X2739" s="9">
        <f>IF($A2739="","",$F2739&amp;"")</f>
        <v/>
      </c>
    </row>
    <row r="2740">
      <c r="A2740" s="75" t="n">
        <v>2026</v>
      </c>
      <c r="B2740" s="75" t="n">
        <v>3</v>
      </c>
      <c r="C2740" s="75" t="inlineStr">
        <is>
          <t>5100000396</t>
        </is>
      </c>
      <c r="D2740" s="78" t="n">
        <v>46083</v>
      </c>
      <c r="E2740" s="75" t="inlineStr">
        <is>
          <t>KR</t>
        </is>
      </c>
      <c r="F2740" s="75" t="n">
        <v>62501000</v>
      </c>
      <c r="G2740" s="75" t="n">
        <v>1602</v>
      </c>
      <c r="H2740" s="76" t="n">
        <v>206000</v>
      </c>
      <c r="I2740" s="75" t="inlineStr">
        <is>
          <t>3월 회의 다과 - (법인카드)</t>
        </is>
      </c>
      <c r="J2740" s="75" t="inlineStr">
        <is>
          <t>V10008</t>
        </is>
      </c>
      <c r="K2740" s="75" t="inlineStr">
        <is>
          <t>(법인카드)</t>
        </is>
      </c>
      <c r="M2740" s="9">
        <f>IF($A2740="","",VALUE($A2740&amp;"")*12+VALUE($B2740&amp;""))</f>
        <v/>
      </c>
      <c r="N2740" s="39">
        <f>IF($A2740="","",IFERROR(INDEX(부서매핑!$C$5:$C$504,MATCH($G2740&amp;"",부서매핑!$A$5:$A$504,0)),"미매핑"))</f>
        <v/>
      </c>
      <c r="O2740" s="9">
        <f>IF($A2740="","",N2740&amp;"|"&amp;$F2740)</f>
        <v/>
      </c>
      <c r="P2740" s="77">
        <f>IF($A2740="",0,$H2740*설정!$C$23)</f>
        <v/>
      </c>
      <c r="Q2740" s="39">
        <f>IF($A2740="","",IF(O2740&lt;&gt;원인분석!$C$9,"",IF(AND(M2740&gt;=원인분석!$C$10,M2740&lt;=원인분석!$C$11),"당기",IF(AND(M2740&gt;=원인분석!$C$12,M2740&lt;=원인분석!$C$13),"비교",""))))</f>
        <v/>
      </c>
      <c r="R2740" s="9">
        <f>IF(Q2740="","",$K2740&amp;"")</f>
        <v/>
      </c>
      <c r="S2740" s="9">
        <f>IF(Q2740="","",IF(MATCH(R2740,$R$5:$R$100000,0)=ROW()-4,ROW(),""))</f>
        <v/>
      </c>
      <c r="T2740" s="9">
        <f>IF(Q2740="당기",ABS(P2740)+ROW()/1000000000,"")</f>
        <v/>
      </c>
      <c r="U2740" s="9">
        <f>IF(Q2740="비교",ABS(P2740)+ROW()/1000000000,"")</f>
        <v/>
      </c>
      <c r="V2740" s="39">
        <f>IF($A2740="","",IF(COUNTIF(변동분석!$E$7:$E$506,O2740)&gt;0,"Y","N"))</f>
        <v/>
      </c>
      <c r="W2740" s="39">
        <f>IF($A2740="","",IFERROR(INDEX(계정매핑!$D$5:$D$504,MATCH($F2740&amp;"",계정매핑!$A$5:$A$504,0)),"미매핑"))</f>
        <v/>
      </c>
      <c r="X2740" s="9">
        <f>IF($A2740="","",$F2740&amp;"")</f>
        <v/>
      </c>
    </row>
    <row r="2741">
      <c r="A2741" s="75" t="n">
        <v>2026</v>
      </c>
      <c r="B2741" s="75" t="n">
        <v>3</v>
      </c>
      <c r="C2741" s="75" t="inlineStr">
        <is>
          <t>5100000397</t>
        </is>
      </c>
      <c r="D2741" s="78" t="n">
        <v>46084</v>
      </c>
      <c r="E2741" s="75" t="inlineStr">
        <is>
          <t>KR</t>
        </is>
      </c>
      <c r="F2741" s="75" t="n">
        <v>62301000</v>
      </c>
      <c r="G2741" s="75" t="n">
        <v>1401</v>
      </c>
      <c r="H2741" s="76" t="n">
        <v>149000</v>
      </c>
      <c r="I2741" s="75" t="inlineStr">
        <is>
          <t>3월 소모품 구입 - Q오피스</t>
        </is>
      </c>
      <c r="J2741" s="75" t="inlineStr">
        <is>
          <t>V10003</t>
        </is>
      </c>
      <c r="K2741" s="75" t="inlineStr">
        <is>
          <t>Q오피스</t>
        </is>
      </c>
      <c r="M2741" s="9">
        <f>IF($A2741="","",VALUE($A2741&amp;"")*12+VALUE($B2741&amp;""))</f>
        <v/>
      </c>
      <c r="N2741" s="39">
        <f>IF($A2741="","",IFERROR(INDEX(부서매핑!$C$5:$C$504,MATCH($G2741&amp;"",부서매핑!$A$5:$A$504,0)),"미매핑"))</f>
        <v/>
      </c>
      <c r="O2741" s="9">
        <f>IF($A2741="","",N2741&amp;"|"&amp;$F2741)</f>
        <v/>
      </c>
      <c r="P2741" s="77">
        <f>IF($A2741="",0,$H2741*설정!$C$23)</f>
        <v/>
      </c>
      <c r="Q2741" s="39">
        <f>IF($A2741="","",IF(O2741&lt;&gt;원인분석!$C$9,"",IF(AND(M2741&gt;=원인분석!$C$10,M2741&lt;=원인분석!$C$11),"당기",IF(AND(M2741&gt;=원인분석!$C$12,M2741&lt;=원인분석!$C$13),"비교",""))))</f>
        <v/>
      </c>
      <c r="R2741" s="9">
        <f>IF(Q2741="","",$K2741&amp;"")</f>
        <v/>
      </c>
      <c r="S2741" s="9">
        <f>IF(Q2741="","",IF(MATCH(R2741,$R$5:$R$100000,0)=ROW()-4,ROW(),""))</f>
        <v/>
      </c>
      <c r="T2741" s="9">
        <f>IF(Q2741="당기",ABS(P2741)+ROW()/1000000000,"")</f>
        <v/>
      </c>
      <c r="U2741" s="9">
        <f>IF(Q2741="비교",ABS(P2741)+ROW()/1000000000,"")</f>
        <v/>
      </c>
      <c r="V2741" s="39">
        <f>IF($A2741="","",IF(COUNTIF(변동분석!$E$7:$E$506,O2741)&gt;0,"Y","N"))</f>
        <v/>
      </c>
      <c r="W2741" s="39">
        <f>IF($A2741="","",IFERROR(INDEX(계정매핑!$D$5:$D$504,MATCH($F2741&amp;"",계정매핑!$A$5:$A$504,0)),"미매핑"))</f>
        <v/>
      </c>
      <c r="X2741" s="9">
        <f>IF($A2741="","",$F2741&amp;"")</f>
        <v/>
      </c>
    </row>
    <row r="2742">
      <c r="A2742" s="75" t="n">
        <v>2026</v>
      </c>
      <c r="B2742" s="75" t="n">
        <v>3</v>
      </c>
      <c r="C2742" s="75" t="inlineStr">
        <is>
          <t>5100000398</t>
        </is>
      </c>
      <c r="D2742" s="78" t="n">
        <v>46084</v>
      </c>
      <c r="E2742" s="75" t="inlineStr">
        <is>
          <t>KR</t>
        </is>
      </c>
      <c r="F2742" s="75" t="n">
        <v>62601000</v>
      </c>
      <c r="G2742" s="75" t="n">
        <v>1602</v>
      </c>
      <c r="H2742" s="76" t="n">
        <v>1918000</v>
      </c>
      <c r="I2742" s="75" t="inlineStr">
        <is>
          <t>3월 업무추진 - (법인카드)</t>
        </is>
      </c>
      <c r="J2742" s="75" t="inlineStr">
        <is>
          <t>V10008</t>
        </is>
      </c>
      <c r="K2742" s="75" t="inlineStr">
        <is>
          <t>(법인카드)</t>
        </is>
      </c>
      <c r="M2742" s="9">
        <f>IF($A2742="","",VALUE($A2742&amp;"")*12+VALUE($B2742&amp;""))</f>
        <v/>
      </c>
      <c r="N2742" s="39">
        <f>IF($A2742="","",IFERROR(INDEX(부서매핑!$C$5:$C$504,MATCH($G2742&amp;"",부서매핑!$A$5:$A$504,0)),"미매핑"))</f>
        <v/>
      </c>
      <c r="O2742" s="9">
        <f>IF($A2742="","",N2742&amp;"|"&amp;$F2742)</f>
        <v/>
      </c>
      <c r="P2742" s="77">
        <f>IF($A2742="",0,$H2742*설정!$C$23)</f>
        <v/>
      </c>
      <c r="Q2742" s="39">
        <f>IF($A2742="","",IF(O2742&lt;&gt;원인분석!$C$9,"",IF(AND(M2742&gt;=원인분석!$C$10,M2742&lt;=원인분석!$C$11),"당기",IF(AND(M2742&gt;=원인분석!$C$12,M2742&lt;=원인분석!$C$13),"비교",""))))</f>
        <v/>
      </c>
      <c r="R2742" s="9">
        <f>IF(Q2742="","",$K2742&amp;"")</f>
        <v/>
      </c>
      <c r="S2742" s="9">
        <f>IF(Q2742="","",IF(MATCH(R2742,$R$5:$R$100000,0)=ROW()-4,ROW(),""))</f>
        <v/>
      </c>
      <c r="T2742" s="9">
        <f>IF(Q2742="당기",ABS(P2742)+ROW()/1000000000,"")</f>
        <v/>
      </c>
      <c r="U2742" s="9">
        <f>IF(Q2742="비교",ABS(P2742)+ROW()/1000000000,"")</f>
        <v/>
      </c>
      <c r="V2742" s="39">
        <f>IF($A2742="","",IF(COUNTIF(변동분석!$E$7:$E$506,O2742)&gt;0,"Y","N"))</f>
        <v/>
      </c>
      <c r="W2742" s="39">
        <f>IF($A2742="","",IFERROR(INDEX(계정매핑!$D$5:$D$504,MATCH($F2742&amp;"",계정매핑!$A$5:$A$504,0)),"미매핑"))</f>
        <v/>
      </c>
      <c r="X2742" s="9">
        <f>IF($A2742="","",$F2742&amp;"")</f>
        <v/>
      </c>
    </row>
    <row r="2743">
      <c r="A2743" s="75" t="n">
        <v>2026</v>
      </c>
      <c r="B2743" s="75" t="n">
        <v>3</v>
      </c>
      <c r="C2743" s="75" t="inlineStr">
        <is>
          <t>5100000399</t>
        </is>
      </c>
      <c r="D2743" s="78" t="n">
        <v>46084</v>
      </c>
      <c r="E2743" s="75" t="inlineStr">
        <is>
          <t>KR</t>
        </is>
      </c>
      <c r="F2743" s="75" t="n">
        <v>62901000</v>
      </c>
      <c r="G2743" s="75" t="n">
        <v>1201</v>
      </c>
      <c r="H2743" s="76" t="n">
        <v>6259000</v>
      </c>
      <c r="I2743" s="75" t="inlineStr">
        <is>
          <t>3월 자문 수수료 - K회계법인</t>
        </is>
      </c>
      <c r="J2743" s="75" t="inlineStr">
        <is>
          <t>V10010</t>
        </is>
      </c>
      <c r="K2743" s="75" t="inlineStr">
        <is>
          <t>K회계법인</t>
        </is>
      </c>
      <c r="M2743" s="9">
        <f>IF($A2743="","",VALUE($A2743&amp;"")*12+VALUE($B2743&amp;""))</f>
        <v/>
      </c>
      <c r="N2743" s="39">
        <f>IF($A2743="","",IFERROR(INDEX(부서매핑!$C$5:$C$504,MATCH($G2743&amp;"",부서매핑!$A$5:$A$504,0)),"미매핑"))</f>
        <v/>
      </c>
      <c r="O2743" s="9">
        <f>IF($A2743="","",N2743&amp;"|"&amp;$F2743)</f>
        <v/>
      </c>
      <c r="P2743" s="77">
        <f>IF($A2743="",0,$H2743*설정!$C$23)</f>
        <v/>
      </c>
      <c r="Q2743" s="39">
        <f>IF($A2743="","",IF(O2743&lt;&gt;원인분석!$C$9,"",IF(AND(M2743&gt;=원인분석!$C$10,M2743&lt;=원인분석!$C$11),"당기",IF(AND(M2743&gt;=원인분석!$C$12,M2743&lt;=원인분석!$C$13),"비교",""))))</f>
        <v/>
      </c>
      <c r="R2743" s="9">
        <f>IF(Q2743="","",$K2743&amp;"")</f>
        <v/>
      </c>
      <c r="S2743" s="9">
        <f>IF(Q2743="","",IF(MATCH(R2743,$R$5:$R$100000,0)=ROW()-4,ROW(),""))</f>
        <v/>
      </c>
      <c r="T2743" s="9">
        <f>IF(Q2743="당기",ABS(P2743)+ROW()/1000000000,"")</f>
        <v/>
      </c>
      <c r="U2743" s="9">
        <f>IF(Q2743="비교",ABS(P2743)+ROW()/1000000000,"")</f>
        <v/>
      </c>
      <c r="V2743" s="39">
        <f>IF($A2743="","",IF(COUNTIF(변동분석!$E$7:$E$506,O2743)&gt;0,"Y","N"))</f>
        <v/>
      </c>
      <c r="W2743" s="39">
        <f>IF($A2743="","",IFERROR(INDEX(계정매핑!$D$5:$D$504,MATCH($F2743&amp;"",계정매핑!$A$5:$A$504,0)),"미매핑"))</f>
        <v/>
      </c>
      <c r="X2743" s="9">
        <f>IF($A2743="","",$F2743&amp;"")</f>
        <v/>
      </c>
    </row>
    <row r="2744">
      <c r="A2744" s="75" t="n">
        <v>2026</v>
      </c>
      <c r="B2744" s="75" t="n">
        <v>3</v>
      </c>
      <c r="C2744" s="75" t="inlineStr">
        <is>
          <t>5100000400</t>
        </is>
      </c>
      <c r="D2744" s="78" t="n">
        <v>46084</v>
      </c>
      <c r="E2744" s="75" t="inlineStr">
        <is>
          <t>KR</t>
        </is>
      </c>
      <c r="F2744" s="75" t="n">
        <v>62902000</v>
      </c>
      <c r="G2744" s="75" t="n">
        <v>1801</v>
      </c>
      <c r="H2744" s="76" t="n">
        <v>1825000</v>
      </c>
      <c r="I2744" s="75" t="inlineStr">
        <is>
          <t>3월 콜 위탁 수수료(건별)</t>
        </is>
      </c>
      <c r="J2744" s="75" t="inlineStr">
        <is>
          <t>V10013</t>
        </is>
      </c>
      <c r="K2744" s="75" t="inlineStr">
        <is>
          <t>J콜센터</t>
        </is>
      </c>
      <c r="M2744" s="9">
        <f>IF($A2744="","",VALUE($A2744&amp;"")*12+VALUE($B2744&amp;""))</f>
        <v/>
      </c>
      <c r="N2744" s="39">
        <f>IF($A2744="","",IFERROR(INDEX(부서매핑!$C$5:$C$504,MATCH($G2744&amp;"",부서매핑!$A$5:$A$504,0)),"미매핑"))</f>
        <v/>
      </c>
      <c r="O2744" s="9">
        <f>IF($A2744="","",N2744&amp;"|"&amp;$F2744)</f>
        <v/>
      </c>
      <c r="P2744" s="77">
        <f>IF($A2744="",0,$H2744*설정!$C$23)</f>
        <v/>
      </c>
      <c r="Q2744" s="39">
        <f>IF($A2744="","",IF(O2744&lt;&gt;원인분석!$C$9,"",IF(AND(M2744&gt;=원인분석!$C$10,M2744&lt;=원인분석!$C$11),"당기",IF(AND(M2744&gt;=원인분석!$C$12,M2744&lt;=원인분석!$C$13),"비교",""))))</f>
        <v/>
      </c>
      <c r="R2744" s="9">
        <f>IF(Q2744="","",$K2744&amp;"")</f>
        <v/>
      </c>
      <c r="S2744" s="9">
        <f>IF(Q2744="","",IF(MATCH(R2744,$R$5:$R$100000,0)=ROW()-4,ROW(),""))</f>
        <v/>
      </c>
      <c r="T2744" s="9">
        <f>IF(Q2744="당기",ABS(P2744)+ROW()/1000000000,"")</f>
        <v/>
      </c>
      <c r="U2744" s="9">
        <f>IF(Q2744="비교",ABS(P2744)+ROW()/1000000000,"")</f>
        <v/>
      </c>
      <c r="V2744" s="39">
        <f>IF($A2744="","",IF(COUNTIF(변동분석!$E$7:$E$506,O2744)&gt;0,"Y","N"))</f>
        <v/>
      </c>
      <c r="W2744" s="39">
        <f>IF($A2744="","",IFERROR(INDEX(계정매핑!$D$5:$D$504,MATCH($F2744&amp;"",계정매핑!$A$5:$A$504,0)),"미매핑"))</f>
        <v/>
      </c>
      <c r="X2744" s="9">
        <f>IF($A2744="","",$F2744&amp;"")</f>
        <v/>
      </c>
    </row>
    <row r="2745">
      <c r="A2745" s="75" t="n">
        <v>2026</v>
      </c>
      <c r="B2745" s="75" t="n">
        <v>3</v>
      </c>
      <c r="C2745" s="75" t="inlineStr">
        <is>
          <t>5100000401</t>
        </is>
      </c>
      <c r="D2745" s="78" t="n">
        <v>46085</v>
      </c>
      <c r="E2745" s="75" t="inlineStr">
        <is>
          <t>KR</t>
        </is>
      </c>
      <c r="F2745" s="75" t="n">
        <v>62101000</v>
      </c>
      <c r="G2745" s="75" t="n">
        <v>1501</v>
      </c>
      <c r="H2745" s="76" t="n">
        <v>706000</v>
      </c>
      <c r="I2745" s="75" t="inlineStr">
        <is>
          <t>3월 국내출장 - L여행사</t>
        </is>
      </c>
      <c r="J2745" s="75" t="inlineStr">
        <is>
          <t>V10014</t>
        </is>
      </c>
      <c r="K2745" s="75" t="inlineStr">
        <is>
          <t>L여행사</t>
        </is>
      </c>
      <c r="M2745" s="9">
        <f>IF($A2745="","",VALUE($A2745&amp;"")*12+VALUE($B2745&amp;""))</f>
        <v/>
      </c>
      <c r="N2745" s="39">
        <f>IF($A2745="","",IFERROR(INDEX(부서매핑!$C$5:$C$504,MATCH($G2745&amp;"",부서매핑!$A$5:$A$504,0)),"미매핑"))</f>
        <v/>
      </c>
      <c r="O2745" s="9">
        <f>IF($A2745="","",N2745&amp;"|"&amp;$F2745)</f>
        <v/>
      </c>
      <c r="P2745" s="77">
        <f>IF($A2745="",0,$H2745*설정!$C$23)</f>
        <v/>
      </c>
      <c r="Q2745" s="39">
        <f>IF($A2745="","",IF(O2745&lt;&gt;원인분석!$C$9,"",IF(AND(M2745&gt;=원인분석!$C$10,M2745&lt;=원인분석!$C$11),"당기",IF(AND(M2745&gt;=원인분석!$C$12,M2745&lt;=원인분석!$C$13),"비교",""))))</f>
        <v/>
      </c>
      <c r="R2745" s="9">
        <f>IF(Q2745="","",$K2745&amp;"")</f>
        <v/>
      </c>
      <c r="S2745" s="9">
        <f>IF(Q2745="","",IF(MATCH(R2745,$R$5:$R$100000,0)=ROW()-4,ROW(),""))</f>
        <v/>
      </c>
      <c r="T2745" s="9">
        <f>IF(Q2745="당기",ABS(P2745)+ROW()/1000000000,"")</f>
        <v/>
      </c>
      <c r="U2745" s="9">
        <f>IF(Q2745="비교",ABS(P2745)+ROW()/1000000000,"")</f>
        <v/>
      </c>
      <c r="V2745" s="39">
        <f>IF($A2745="","",IF(COUNTIF(변동분석!$E$7:$E$506,O2745)&gt;0,"Y","N"))</f>
        <v/>
      </c>
      <c r="W2745" s="39">
        <f>IF($A2745="","",IFERROR(INDEX(계정매핑!$D$5:$D$504,MATCH($F2745&amp;"",계정매핑!$A$5:$A$504,0)),"미매핑"))</f>
        <v/>
      </c>
      <c r="X2745" s="9">
        <f>IF($A2745="","",$F2745&amp;"")</f>
        <v/>
      </c>
    </row>
    <row r="2746">
      <c r="A2746" s="75" t="n">
        <v>2026</v>
      </c>
      <c r="B2746" s="75" t="n">
        <v>3</v>
      </c>
      <c r="C2746" s="75" t="inlineStr">
        <is>
          <t>5100000402</t>
        </is>
      </c>
      <c r="D2746" s="78" t="n">
        <v>46085</v>
      </c>
      <c r="E2746" s="75" t="inlineStr">
        <is>
          <t>KR</t>
        </is>
      </c>
      <c r="F2746" s="75" t="n">
        <v>62101000</v>
      </c>
      <c r="G2746" s="75" t="n">
        <v>1501</v>
      </c>
      <c r="H2746" s="76" t="n">
        <v>447000</v>
      </c>
      <c r="I2746" s="75" t="inlineStr">
        <is>
          <t>3월 국내출장 - (법인카드)</t>
        </is>
      </c>
      <c r="J2746" s="75" t="inlineStr">
        <is>
          <t>V10008</t>
        </is>
      </c>
      <c r="K2746" s="75" t="inlineStr">
        <is>
          <t>(법인카드)</t>
        </is>
      </c>
      <c r="M2746" s="9">
        <f>IF($A2746="","",VALUE($A2746&amp;"")*12+VALUE($B2746&amp;""))</f>
        <v/>
      </c>
      <c r="N2746" s="39">
        <f>IF($A2746="","",IFERROR(INDEX(부서매핑!$C$5:$C$504,MATCH($G2746&amp;"",부서매핑!$A$5:$A$504,0)),"미매핑"))</f>
        <v/>
      </c>
      <c r="O2746" s="9">
        <f>IF($A2746="","",N2746&amp;"|"&amp;$F2746)</f>
        <v/>
      </c>
      <c r="P2746" s="77">
        <f>IF($A2746="",0,$H2746*설정!$C$23)</f>
        <v/>
      </c>
      <c r="Q2746" s="39">
        <f>IF($A2746="","",IF(O2746&lt;&gt;원인분석!$C$9,"",IF(AND(M2746&gt;=원인분석!$C$10,M2746&lt;=원인분석!$C$11),"당기",IF(AND(M2746&gt;=원인분석!$C$12,M2746&lt;=원인분석!$C$13),"비교",""))))</f>
        <v/>
      </c>
      <c r="R2746" s="9">
        <f>IF(Q2746="","",$K2746&amp;"")</f>
        <v/>
      </c>
      <c r="S2746" s="9">
        <f>IF(Q2746="","",IF(MATCH(R2746,$R$5:$R$100000,0)=ROW()-4,ROW(),""))</f>
        <v/>
      </c>
      <c r="T2746" s="9">
        <f>IF(Q2746="당기",ABS(P2746)+ROW()/1000000000,"")</f>
        <v/>
      </c>
      <c r="U2746" s="9">
        <f>IF(Q2746="비교",ABS(P2746)+ROW()/1000000000,"")</f>
        <v/>
      </c>
      <c r="V2746" s="39">
        <f>IF($A2746="","",IF(COUNTIF(변동분석!$E$7:$E$506,O2746)&gt;0,"Y","N"))</f>
        <v/>
      </c>
      <c r="W2746" s="39">
        <f>IF($A2746="","",IFERROR(INDEX(계정매핑!$D$5:$D$504,MATCH($F2746&amp;"",계정매핑!$A$5:$A$504,0)),"미매핑"))</f>
        <v/>
      </c>
      <c r="X2746" s="9">
        <f>IF($A2746="","",$F2746&amp;"")</f>
        <v/>
      </c>
    </row>
    <row r="2747">
      <c r="A2747" s="75" t="n">
        <v>2026</v>
      </c>
      <c r="B2747" s="75" t="n">
        <v>3</v>
      </c>
      <c r="C2747" s="75" t="inlineStr">
        <is>
          <t>5100000403</t>
        </is>
      </c>
      <c r="D2747" s="78" t="n">
        <v>46085</v>
      </c>
      <c r="E2747" s="75" t="inlineStr">
        <is>
          <t>KR</t>
        </is>
      </c>
      <c r="F2747" s="75" t="n">
        <v>62101000</v>
      </c>
      <c r="G2747" s="75" t="n">
        <v>1701</v>
      </c>
      <c r="H2747" s="76" t="n">
        <v>204000</v>
      </c>
      <c r="I2747" s="75" t="inlineStr">
        <is>
          <t>3월 국내출장 - L여행사</t>
        </is>
      </c>
      <c r="J2747" s="75" t="inlineStr">
        <is>
          <t>V10014</t>
        </is>
      </c>
      <c r="K2747" s="75" t="inlineStr">
        <is>
          <t>L여행사</t>
        </is>
      </c>
      <c r="M2747" s="9">
        <f>IF($A2747="","",VALUE($A2747&amp;"")*12+VALUE($B2747&amp;""))</f>
        <v/>
      </c>
      <c r="N2747" s="39">
        <f>IF($A2747="","",IFERROR(INDEX(부서매핑!$C$5:$C$504,MATCH($G2747&amp;"",부서매핑!$A$5:$A$504,0)),"미매핑"))</f>
        <v/>
      </c>
      <c r="O2747" s="9">
        <f>IF($A2747="","",N2747&amp;"|"&amp;$F2747)</f>
        <v/>
      </c>
      <c r="P2747" s="77">
        <f>IF($A2747="",0,$H2747*설정!$C$23)</f>
        <v/>
      </c>
      <c r="Q2747" s="39">
        <f>IF($A2747="","",IF(O2747&lt;&gt;원인분석!$C$9,"",IF(AND(M2747&gt;=원인분석!$C$10,M2747&lt;=원인분석!$C$11),"당기",IF(AND(M2747&gt;=원인분석!$C$12,M2747&lt;=원인분석!$C$13),"비교",""))))</f>
        <v/>
      </c>
      <c r="R2747" s="9">
        <f>IF(Q2747="","",$K2747&amp;"")</f>
        <v/>
      </c>
      <c r="S2747" s="9">
        <f>IF(Q2747="","",IF(MATCH(R2747,$R$5:$R$100000,0)=ROW()-4,ROW(),""))</f>
        <v/>
      </c>
      <c r="T2747" s="9">
        <f>IF(Q2747="당기",ABS(P2747)+ROW()/1000000000,"")</f>
        <v/>
      </c>
      <c r="U2747" s="9">
        <f>IF(Q2747="비교",ABS(P2747)+ROW()/1000000000,"")</f>
        <v/>
      </c>
      <c r="V2747" s="39">
        <f>IF($A2747="","",IF(COUNTIF(변동분석!$E$7:$E$506,O2747)&gt;0,"Y","N"))</f>
        <v/>
      </c>
      <c r="W2747" s="39">
        <f>IF($A2747="","",IFERROR(INDEX(계정매핑!$D$5:$D$504,MATCH($F2747&amp;"",계정매핑!$A$5:$A$504,0)),"미매핑"))</f>
        <v/>
      </c>
      <c r="X2747" s="9">
        <f>IF($A2747="","",$F2747&amp;"")</f>
        <v/>
      </c>
    </row>
    <row r="2748">
      <c r="A2748" s="75" t="n">
        <v>2026</v>
      </c>
      <c r="B2748" s="75" t="n">
        <v>3</v>
      </c>
      <c r="C2748" s="75" t="inlineStr">
        <is>
          <t>5100000404</t>
        </is>
      </c>
      <c r="D2748" s="78" t="n">
        <v>46085</v>
      </c>
      <c r="E2748" s="75" t="inlineStr">
        <is>
          <t>KR</t>
        </is>
      </c>
      <c r="F2748" s="75" t="n">
        <v>62201000</v>
      </c>
      <c r="G2748" s="75" t="n">
        <v>1101</v>
      </c>
      <c r="H2748" s="76" t="n">
        <v>233000</v>
      </c>
      <c r="I2748" s="75" t="inlineStr">
        <is>
          <t>3월 통신요금 - P통신</t>
        </is>
      </c>
      <c r="J2748" s="75" t="inlineStr">
        <is>
          <t>V10011</t>
        </is>
      </c>
      <c r="K2748" s="75" t="inlineStr">
        <is>
          <t>P통신</t>
        </is>
      </c>
      <c r="M2748" s="9">
        <f>IF($A2748="","",VALUE($A2748&amp;"")*12+VALUE($B2748&amp;""))</f>
        <v/>
      </c>
      <c r="N2748" s="39">
        <f>IF($A2748="","",IFERROR(INDEX(부서매핑!$C$5:$C$504,MATCH($G2748&amp;"",부서매핑!$A$5:$A$504,0)),"미매핑"))</f>
        <v/>
      </c>
      <c r="O2748" s="9">
        <f>IF($A2748="","",N2748&amp;"|"&amp;$F2748)</f>
        <v/>
      </c>
      <c r="P2748" s="77">
        <f>IF($A2748="",0,$H2748*설정!$C$23)</f>
        <v/>
      </c>
      <c r="Q2748" s="39">
        <f>IF($A2748="","",IF(O2748&lt;&gt;원인분석!$C$9,"",IF(AND(M2748&gt;=원인분석!$C$10,M2748&lt;=원인분석!$C$11),"당기",IF(AND(M2748&gt;=원인분석!$C$12,M2748&lt;=원인분석!$C$13),"비교",""))))</f>
        <v/>
      </c>
      <c r="R2748" s="9">
        <f>IF(Q2748="","",$K2748&amp;"")</f>
        <v/>
      </c>
      <c r="S2748" s="9">
        <f>IF(Q2748="","",IF(MATCH(R2748,$R$5:$R$100000,0)=ROW()-4,ROW(),""))</f>
        <v/>
      </c>
      <c r="T2748" s="9">
        <f>IF(Q2748="당기",ABS(P2748)+ROW()/1000000000,"")</f>
        <v/>
      </c>
      <c r="U2748" s="9">
        <f>IF(Q2748="비교",ABS(P2748)+ROW()/1000000000,"")</f>
        <v/>
      </c>
      <c r="V2748" s="39">
        <f>IF($A2748="","",IF(COUNTIF(변동분석!$E$7:$E$506,O2748)&gt;0,"Y","N"))</f>
        <v/>
      </c>
      <c r="W2748" s="39">
        <f>IF($A2748="","",IFERROR(INDEX(계정매핑!$D$5:$D$504,MATCH($F2748&amp;"",계정매핑!$A$5:$A$504,0)),"미매핑"))</f>
        <v/>
      </c>
      <c r="X2748" s="9">
        <f>IF($A2748="","",$F2748&amp;"")</f>
        <v/>
      </c>
    </row>
    <row r="2749">
      <c r="A2749" s="75" t="n">
        <v>2026</v>
      </c>
      <c r="B2749" s="75" t="n">
        <v>3</v>
      </c>
      <c r="C2749" s="75" t="inlineStr">
        <is>
          <t>5100000405</t>
        </is>
      </c>
      <c r="D2749" s="78" t="n">
        <v>46085</v>
      </c>
      <c r="E2749" s="75" t="inlineStr">
        <is>
          <t>KR</t>
        </is>
      </c>
      <c r="F2749" s="75" t="n">
        <v>62301000</v>
      </c>
      <c r="G2749" s="75" t="n">
        <v>1301</v>
      </c>
      <c r="H2749" s="76" t="n">
        <v>299000</v>
      </c>
      <c r="I2749" s="75" t="inlineStr">
        <is>
          <t>3월 소모품 구입 - Q오피스</t>
        </is>
      </c>
      <c r="J2749" s="75" t="inlineStr">
        <is>
          <t>V10003</t>
        </is>
      </c>
      <c r="K2749" s="75" t="inlineStr">
        <is>
          <t>Q오피스</t>
        </is>
      </c>
      <c r="M2749" s="9">
        <f>IF($A2749="","",VALUE($A2749&amp;"")*12+VALUE($B2749&amp;""))</f>
        <v/>
      </c>
      <c r="N2749" s="39">
        <f>IF($A2749="","",IFERROR(INDEX(부서매핑!$C$5:$C$504,MATCH($G2749&amp;"",부서매핑!$A$5:$A$504,0)),"미매핑"))</f>
        <v/>
      </c>
      <c r="O2749" s="9">
        <f>IF($A2749="","",N2749&amp;"|"&amp;$F2749)</f>
        <v/>
      </c>
      <c r="P2749" s="77">
        <f>IF($A2749="",0,$H2749*설정!$C$23)</f>
        <v/>
      </c>
      <c r="Q2749" s="39">
        <f>IF($A2749="","",IF(O2749&lt;&gt;원인분석!$C$9,"",IF(AND(M2749&gt;=원인분석!$C$10,M2749&lt;=원인분석!$C$11),"당기",IF(AND(M2749&gt;=원인분석!$C$12,M2749&lt;=원인분석!$C$13),"비교",""))))</f>
        <v/>
      </c>
      <c r="R2749" s="9">
        <f>IF(Q2749="","",$K2749&amp;"")</f>
        <v/>
      </c>
      <c r="S2749" s="9">
        <f>IF(Q2749="","",IF(MATCH(R2749,$R$5:$R$100000,0)=ROW()-4,ROW(),""))</f>
        <v/>
      </c>
      <c r="T2749" s="9">
        <f>IF(Q2749="당기",ABS(P2749)+ROW()/1000000000,"")</f>
        <v/>
      </c>
      <c r="U2749" s="9">
        <f>IF(Q2749="비교",ABS(P2749)+ROW()/1000000000,"")</f>
        <v/>
      </c>
      <c r="V2749" s="39">
        <f>IF($A2749="","",IF(COUNTIF(변동분석!$E$7:$E$506,O2749)&gt;0,"Y","N"))</f>
        <v/>
      </c>
      <c r="W2749" s="39">
        <f>IF($A2749="","",IFERROR(INDEX(계정매핑!$D$5:$D$504,MATCH($F2749&amp;"",계정매핑!$A$5:$A$504,0)),"미매핑"))</f>
        <v/>
      </c>
      <c r="X2749" s="9">
        <f>IF($A2749="","",$F2749&amp;"")</f>
        <v/>
      </c>
    </row>
    <row r="2750">
      <c r="A2750" s="75" t="n">
        <v>2026</v>
      </c>
      <c r="B2750" s="75" t="n">
        <v>3</v>
      </c>
      <c r="C2750" s="75" t="inlineStr">
        <is>
          <t>5100000406</t>
        </is>
      </c>
      <c r="D2750" s="78" t="n">
        <v>46085</v>
      </c>
      <c r="E2750" s="75" t="inlineStr">
        <is>
          <t>KR</t>
        </is>
      </c>
      <c r="F2750" s="75" t="n">
        <v>62301000</v>
      </c>
      <c r="G2750" s="75" t="n">
        <v>1401</v>
      </c>
      <c r="H2750" s="76" t="n">
        <v>115000</v>
      </c>
      <c r="I2750" s="75" t="inlineStr">
        <is>
          <t>3월 소모품 구입 - R문구</t>
        </is>
      </c>
      <c r="J2750" s="75" t="inlineStr">
        <is>
          <t>V10018</t>
        </is>
      </c>
      <c r="K2750" s="75" t="inlineStr">
        <is>
          <t>R문구</t>
        </is>
      </c>
      <c r="M2750" s="9">
        <f>IF($A2750="","",VALUE($A2750&amp;"")*12+VALUE($B2750&amp;""))</f>
        <v/>
      </c>
      <c r="N2750" s="39">
        <f>IF($A2750="","",IFERROR(INDEX(부서매핑!$C$5:$C$504,MATCH($G2750&amp;"",부서매핑!$A$5:$A$504,0)),"미매핑"))</f>
        <v/>
      </c>
      <c r="O2750" s="9">
        <f>IF($A2750="","",N2750&amp;"|"&amp;$F2750)</f>
        <v/>
      </c>
      <c r="P2750" s="77">
        <f>IF($A2750="",0,$H2750*설정!$C$23)</f>
        <v/>
      </c>
      <c r="Q2750" s="39">
        <f>IF($A2750="","",IF(O2750&lt;&gt;원인분석!$C$9,"",IF(AND(M2750&gt;=원인분석!$C$10,M2750&lt;=원인분석!$C$11),"당기",IF(AND(M2750&gt;=원인분석!$C$12,M2750&lt;=원인분석!$C$13),"비교",""))))</f>
        <v/>
      </c>
      <c r="R2750" s="9">
        <f>IF(Q2750="","",$K2750&amp;"")</f>
        <v/>
      </c>
      <c r="S2750" s="9">
        <f>IF(Q2750="","",IF(MATCH(R2750,$R$5:$R$100000,0)=ROW()-4,ROW(),""))</f>
        <v/>
      </c>
      <c r="T2750" s="9">
        <f>IF(Q2750="당기",ABS(P2750)+ROW()/1000000000,"")</f>
        <v/>
      </c>
      <c r="U2750" s="9">
        <f>IF(Q2750="비교",ABS(P2750)+ROW()/1000000000,"")</f>
        <v/>
      </c>
      <c r="V2750" s="39">
        <f>IF($A2750="","",IF(COUNTIF(변동분석!$E$7:$E$506,O2750)&gt;0,"Y","N"))</f>
        <v/>
      </c>
      <c r="W2750" s="39">
        <f>IF($A2750="","",IFERROR(INDEX(계정매핑!$D$5:$D$504,MATCH($F2750&amp;"",계정매핑!$A$5:$A$504,0)),"미매핑"))</f>
        <v/>
      </c>
      <c r="X2750" s="9">
        <f>IF($A2750="","",$F2750&amp;"")</f>
        <v/>
      </c>
    </row>
    <row r="2751">
      <c r="A2751" s="75" t="n">
        <v>2026</v>
      </c>
      <c r="B2751" s="75" t="n">
        <v>3</v>
      </c>
      <c r="C2751" s="75" t="inlineStr">
        <is>
          <t>5100000407</t>
        </is>
      </c>
      <c r="D2751" s="78" t="n">
        <v>46085</v>
      </c>
      <c r="E2751" s="75" t="inlineStr">
        <is>
          <t>KR</t>
        </is>
      </c>
      <c r="F2751" s="75" t="n">
        <v>62501000</v>
      </c>
      <c r="G2751" s="75" t="n">
        <v>1201</v>
      </c>
      <c r="H2751" s="76" t="n">
        <v>178000</v>
      </c>
      <c r="I2751" s="75" t="inlineStr">
        <is>
          <t>3월 회의 다과 - (법인카드)</t>
        </is>
      </c>
      <c r="J2751" s="75" t="inlineStr">
        <is>
          <t>V10008</t>
        </is>
      </c>
      <c r="K2751" s="75" t="inlineStr">
        <is>
          <t>(법인카드)</t>
        </is>
      </c>
      <c r="M2751" s="9">
        <f>IF($A2751="","",VALUE($A2751&amp;"")*12+VALUE($B2751&amp;""))</f>
        <v/>
      </c>
      <c r="N2751" s="39">
        <f>IF($A2751="","",IFERROR(INDEX(부서매핑!$C$5:$C$504,MATCH($G2751&amp;"",부서매핑!$A$5:$A$504,0)),"미매핑"))</f>
        <v/>
      </c>
      <c r="O2751" s="9">
        <f>IF($A2751="","",N2751&amp;"|"&amp;$F2751)</f>
        <v/>
      </c>
      <c r="P2751" s="77">
        <f>IF($A2751="",0,$H2751*설정!$C$23)</f>
        <v/>
      </c>
      <c r="Q2751" s="39">
        <f>IF($A2751="","",IF(O2751&lt;&gt;원인분석!$C$9,"",IF(AND(M2751&gt;=원인분석!$C$10,M2751&lt;=원인분석!$C$11),"당기",IF(AND(M2751&gt;=원인분석!$C$12,M2751&lt;=원인분석!$C$13),"비교",""))))</f>
        <v/>
      </c>
      <c r="R2751" s="9">
        <f>IF(Q2751="","",$K2751&amp;"")</f>
        <v/>
      </c>
      <c r="S2751" s="9">
        <f>IF(Q2751="","",IF(MATCH(R2751,$R$5:$R$100000,0)=ROW()-4,ROW(),""))</f>
        <v/>
      </c>
      <c r="T2751" s="9">
        <f>IF(Q2751="당기",ABS(P2751)+ROW()/1000000000,"")</f>
        <v/>
      </c>
      <c r="U2751" s="9">
        <f>IF(Q2751="비교",ABS(P2751)+ROW()/1000000000,"")</f>
        <v/>
      </c>
      <c r="V2751" s="39">
        <f>IF($A2751="","",IF(COUNTIF(변동분석!$E$7:$E$506,O2751)&gt;0,"Y","N"))</f>
        <v/>
      </c>
      <c r="W2751" s="39">
        <f>IF($A2751="","",IFERROR(INDEX(계정매핑!$D$5:$D$504,MATCH($F2751&amp;"",계정매핑!$A$5:$A$504,0)),"미매핑"))</f>
        <v/>
      </c>
      <c r="X2751" s="9">
        <f>IF($A2751="","",$F2751&amp;"")</f>
        <v/>
      </c>
    </row>
    <row r="2752">
      <c r="A2752" s="75" t="n">
        <v>2026</v>
      </c>
      <c r="B2752" s="75" t="n">
        <v>3</v>
      </c>
      <c r="C2752" s="75" t="inlineStr">
        <is>
          <t>5100000408</t>
        </is>
      </c>
      <c r="D2752" s="78" t="n">
        <v>46085</v>
      </c>
      <c r="E2752" s="75" t="inlineStr">
        <is>
          <t>KR</t>
        </is>
      </c>
      <c r="F2752" s="75" t="n">
        <v>62501000</v>
      </c>
      <c r="G2752" s="75" t="n">
        <v>1502</v>
      </c>
      <c r="H2752" s="76" t="n">
        <v>405000</v>
      </c>
      <c r="I2752" s="75" t="inlineStr">
        <is>
          <t>3월 회의 다과 - (법인카드)</t>
        </is>
      </c>
      <c r="J2752" s="75" t="inlineStr">
        <is>
          <t>V10008</t>
        </is>
      </c>
      <c r="K2752" s="75" t="inlineStr">
        <is>
          <t>(법인카드)</t>
        </is>
      </c>
      <c r="M2752" s="9">
        <f>IF($A2752="","",VALUE($A2752&amp;"")*12+VALUE($B2752&amp;""))</f>
        <v/>
      </c>
      <c r="N2752" s="39">
        <f>IF($A2752="","",IFERROR(INDEX(부서매핑!$C$5:$C$504,MATCH($G2752&amp;"",부서매핑!$A$5:$A$504,0)),"미매핑"))</f>
        <v/>
      </c>
      <c r="O2752" s="9">
        <f>IF($A2752="","",N2752&amp;"|"&amp;$F2752)</f>
        <v/>
      </c>
      <c r="P2752" s="77">
        <f>IF($A2752="",0,$H2752*설정!$C$23)</f>
        <v/>
      </c>
      <c r="Q2752" s="39">
        <f>IF($A2752="","",IF(O2752&lt;&gt;원인분석!$C$9,"",IF(AND(M2752&gt;=원인분석!$C$10,M2752&lt;=원인분석!$C$11),"당기",IF(AND(M2752&gt;=원인분석!$C$12,M2752&lt;=원인분석!$C$13),"비교",""))))</f>
        <v/>
      </c>
      <c r="R2752" s="9">
        <f>IF(Q2752="","",$K2752&amp;"")</f>
        <v/>
      </c>
      <c r="S2752" s="9">
        <f>IF(Q2752="","",IF(MATCH(R2752,$R$5:$R$100000,0)=ROW()-4,ROW(),""))</f>
        <v/>
      </c>
      <c r="T2752" s="9">
        <f>IF(Q2752="당기",ABS(P2752)+ROW()/1000000000,"")</f>
        <v/>
      </c>
      <c r="U2752" s="9">
        <f>IF(Q2752="비교",ABS(P2752)+ROW()/1000000000,"")</f>
        <v/>
      </c>
      <c r="V2752" s="39">
        <f>IF($A2752="","",IF(COUNTIF(변동분석!$E$7:$E$506,O2752)&gt;0,"Y","N"))</f>
        <v/>
      </c>
      <c r="W2752" s="39">
        <f>IF($A2752="","",IFERROR(INDEX(계정매핑!$D$5:$D$504,MATCH($F2752&amp;"",계정매핑!$A$5:$A$504,0)),"미매핑"))</f>
        <v/>
      </c>
      <c r="X2752" s="9">
        <f>IF($A2752="","",$F2752&amp;"")</f>
        <v/>
      </c>
    </row>
    <row r="2753">
      <c r="A2753" s="75" t="n">
        <v>2026</v>
      </c>
      <c r="B2753" s="75" t="n">
        <v>3</v>
      </c>
      <c r="C2753" s="75" t="inlineStr">
        <is>
          <t>5100000409</t>
        </is>
      </c>
      <c r="D2753" s="78" t="n">
        <v>46085</v>
      </c>
      <c r="E2753" s="75" t="inlineStr">
        <is>
          <t>KR</t>
        </is>
      </c>
      <c r="F2753" s="75" t="n">
        <v>62601000</v>
      </c>
      <c r="G2753" s="75" t="n">
        <v>1601</v>
      </c>
      <c r="H2753" s="76" t="n">
        <v>1208000</v>
      </c>
      <c r="I2753" s="75" t="inlineStr">
        <is>
          <t>3월 업무추진 - (법인카드)</t>
        </is>
      </c>
      <c r="J2753" s="75" t="inlineStr">
        <is>
          <t>V10008</t>
        </is>
      </c>
      <c r="K2753" s="75" t="inlineStr">
        <is>
          <t>(법인카드)</t>
        </is>
      </c>
      <c r="M2753" s="9">
        <f>IF($A2753="","",VALUE($A2753&amp;"")*12+VALUE($B2753&amp;""))</f>
        <v/>
      </c>
      <c r="N2753" s="39">
        <f>IF($A2753="","",IFERROR(INDEX(부서매핑!$C$5:$C$504,MATCH($G2753&amp;"",부서매핑!$A$5:$A$504,0)),"미매핑"))</f>
        <v/>
      </c>
      <c r="O2753" s="9">
        <f>IF($A2753="","",N2753&amp;"|"&amp;$F2753)</f>
        <v/>
      </c>
      <c r="P2753" s="77">
        <f>IF($A2753="",0,$H2753*설정!$C$23)</f>
        <v/>
      </c>
      <c r="Q2753" s="39">
        <f>IF($A2753="","",IF(O2753&lt;&gt;원인분석!$C$9,"",IF(AND(M2753&gt;=원인분석!$C$10,M2753&lt;=원인분석!$C$11),"당기",IF(AND(M2753&gt;=원인분석!$C$12,M2753&lt;=원인분석!$C$13),"비교",""))))</f>
        <v/>
      </c>
      <c r="R2753" s="9">
        <f>IF(Q2753="","",$K2753&amp;"")</f>
        <v/>
      </c>
      <c r="S2753" s="9">
        <f>IF(Q2753="","",IF(MATCH(R2753,$R$5:$R$100000,0)=ROW()-4,ROW(),""))</f>
        <v/>
      </c>
      <c r="T2753" s="9">
        <f>IF(Q2753="당기",ABS(P2753)+ROW()/1000000000,"")</f>
        <v/>
      </c>
      <c r="U2753" s="9">
        <f>IF(Q2753="비교",ABS(P2753)+ROW()/1000000000,"")</f>
        <v/>
      </c>
      <c r="V2753" s="39">
        <f>IF($A2753="","",IF(COUNTIF(변동분석!$E$7:$E$506,O2753)&gt;0,"Y","N"))</f>
        <v/>
      </c>
      <c r="W2753" s="39">
        <f>IF($A2753="","",IFERROR(INDEX(계정매핑!$D$5:$D$504,MATCH($F2753&amp;"",계정매핑!$A$5:$A$504,0)),"미매핑"))</f>
        <v/>
      </c>
      <c r="X2753" s="9">
        <f>IF($A2753="","",$F2753&amp;"")</f>
        <v/>
      </c>
    </row>
    <row r="2754">
      <c r="A2754" s="75" t="n">
        <v>2026</v>
      </c>
      <c r="B2754" s="75" t="n">
        <v>3</v>
      </c>
      <c r="C2754" s="75" t="inlineStr">
        <is>
          <t>5100000410</t>
        </is>
      </c>
      <c r="D2754" s="78" t="n">
        <v>46085</v>
      </c>
      <c r="E2754" s="75" t="inlineStr">
        <is>
          <t>KR</t>
        </is>
      </c>
      <c r="F2754" s="75" t="n">
        <v>62701000</v>
      </c>
      <c r="G2754" s="75" t="n">
        <v>1501</v>
      </c>
      <c r="H2754" s="76" t="n">
        <v>50734000</v>
      </c>
      <c r="I2754" s="75" t="inlineStr">
        <is>
          <t>3월 광고 집행 - F애드</t>
        </is>
      </c>
      <c r="J2754" s="75" t="inlineStr">
        <is>
          <t>V10019</t>
        </is>
      </c>
      <c r="K2754" s="75" t="inlineStr">
        <is>
          <t>F애드</t>
        </is>
      </c>
      <c r="M2754" s="9">
        <f>IF($A2754="","",VALUE($A2754&amp;"")*12+VALUE($B2754&amp;""))</f>
        <v/>
      </c>
      <c r="N2754" s="39">
        <f>IF($A2754="","",IFERROR(INDEX(부서매핑!$C$5:$C$504,MATCH($G2754&amp;"",부서매핑!$A$5:$A$504,0)),"미매핑"))</f>
        <v/>
      </c>
      <c r="O2754" s="9">
        <f>IF($A2754="","",N2754&amp;"|"&amp;$F2754)</f>
        <v/>
      </c>
      <c r="P2754" s="77">
        <f>IF($A2754="",0,$H2754*설정!$C$23)</f>
        <v/>
      </c>
      <c r="Q2754" s="39">
        <f>IF($A2754="","",IF(O2754&lt;&gt;원인분석!$C$9,"",IF(AND(M2754&gt;=원인분석!$C$10,M2754&lt;=원인분석!$C$11),"당기",IF(AND(M2754&gt;=원인분석!$C$12,M2754&lt;=원인분석!$C$13),"비교",""))))</f>
        <v/>
      </c>
      <c r="R2754" s="9">
        <f>IF(Q2754="","",$K2754&amp;"")</f>
        <v/>
      </c>
      <c r="S2754" s="9">
        <f>IF(Q2754="","",IF(MATCH(R2754,$R$5:$R$100000,0)=ROW()-4,ROW(),""))</f>
        <v/>
      </c>
      <c r="T2754" s="9">
        <f>IF(Q2754="당기",ABS(P2754)+ROW()/1000000000,"")</f>
        <v/>
      </c>
      <c r="U2754" s="9">
        <f>IF(Q2754="비교",ABS(P2754)+ROW()/1000000000,"")</f>
        <v/>
      </c>
      <c r="V2754" s="39">
        <f>IF($A2754="","",IF(COUNTIF(변동분석!$E$7:$E$506,O2754)&gt;0,"Y","N"))</f>
        <v/>
      </c>
      <c r="W2754" s="39">
        <f>IF($A2754="","",IFERROR(INDEX(계정매핑!$D$5:$D$504,MATCH($F2754&amp;"",계정매핑!$A$5:$A$504,0)),"미매핑"))</f>
        <v/>
      </c>
      <c r="X2754" s="9">
        <f>IF($A2754="","",$F2754&amp;"")</f>
        <v/>
      </c>
    </row>
    <row r="2755">
      <c r="A2755" s="75" t="n">
        <v>2026</v>
      </c>
      <c r="B2755" s="75" t="n">
        <v>3</v>
      </c>
      <c r="C2755" s="75" t="inlineStr">
        <is>
          <t>5100000411</t>
        </is>
      </c>
      <c r="D2755" s="78" t="n">
        <v>46086</v>
      </c>
      <c r="E2755" s="75" t="inlineStr">
        <is>
          <t>KR</t>
        </is>
      </c>
      <c r="F2755" s="75" t="n">
        <v>62101000</v>
      </c>
      <c r="G2755" s="75" t="n">
        <v>1801</v>
      </c>
      <c r="H2755" s="76" t="n">
        <v>202000</v>
      </c>
      <c r="I2755" s="75" t="inlineStr">
        <is>
          <t>3월 국내출장 - (법인카드)</t>
        </is>
      </c>
      <c r="J2755" s="75" t="inlineStr">
        <is>
          <t>V10008</t>
        </is>
      </c>
      <c r="K2755" s="75" t="inlineStr">
        <is>
          <t>(법인카드)</t>
        </is>
      </c>
      <c r="M2755" s="9">
        <f>IF($A2755="","",VALUE($A2755&amp;"")*12+VALUE($B2755&amp;""))</f>
        <v/>
      </c>
      <c r="N2755" s="39">
        <f>IF($A2755="","",IFERROR(INDEX(부서매핑!$C$5:$C$504,MATCH($G2755&amp;"",부서매핑!$A$5:$A$504,0)),"미매핑"))</f>
        <v/>
      </c>
      <c r="O2755" s="9">
        <f>IF($A2755="","",N2755&amp;"|"&amp;$F2755)</f>
        <v/>
      </c>
      <c r="P2755" s="77">
        <f>IF($A2755="",0,$H2755*설정!$C$23)</f>
        <v/>
      </c>
      <c r="Q2755" s="39">
        <f>IF($A2755="","",IF(O2755&lt;&gt;원인분석!$C$9,"",IF(AND(M2755&gt;=원인분석!$C$10,M2755&lt;=원인분석!$C$11),"당기",IF(AND(M2755&gt;=원인분석!$C$12,M2755&lt;=원인분석!$C$13),"비교",""))))</f>
        <v/>
      </c>
      <c r="R2755" s="9">
        <f>IF(Q2755="","",$K2755&amp;"")</f>
        <v/>
      </c>
      <c r="S2755" s="9">
        <f>IF(Q2755="","",IF(MATCH(R2755,$R$5:$R$100000,0)=ROW()-4,ROW(),""))</f>
        <v/>
      </c>
      <c r="T2755" s="9">
        <f>IF(Q2755="당기",ABS(P2755)+ROW()/1000000000,"")</f>
        <v/>
      </c>
      <c r="U2755" s="9">
        <f>IF(Q2755="비교",ABS(P2755)+ROW()/1000000000,"")</f>
        <v/>
      </c>
      <c r="V2755" s="39">
        <f>IF($A2755="","",IF(COUNTIF(변동분석!$E$7:$E$506,O2755)&gt;0,"Y","N"))</f>
        <v/>
      </c>
      <c r="W2755" s="39">
        <f>IF($A2755="","",IFERROR(INDEX(계정매핑!$D$5:$D$504,MATCH($F2755&amp;"",계정매핑!$A$5:$A$504,0)),"미매핑"))</f>
        <v/>
      </c>
      <c r="X2755" s="9">
        <f>IF($A2755="","",$F2755&amp;"")</f>
        <v/>
      </c>
    </row>
    <row r="2756">
      <c r="A2756" s="75" t="n">
        <v>2026</v>
      </c>
      <c r="B2756" s="75" t="n">
        <v>3</v>
      </c>
      <c r="C2756" s="75" t="inlineStr">
        <is>
          <t>5100000412</t>
        </is>
      </c>
      <c r="D2756" s="78" t="n">
        <v>46086</v>
      </c>
      <c r="E2756" s="75" t="inlineStr">
        <is>
          <t>KR</t>
        </is>
      </c>
      <c r="F2756" s="75" t="n">
        <v>62102000</v>
      </c>
      <c r="G2756" s="75" t="n">
        <v>1401</v>
      </c>
      <c r="H2756" s="76" t="n">
        <v>237000</v>
      </c>
      <c r="I2756" s="75" t="inlineStr">
        <is>
          <t>3월 해외출장 - N호텔</t>
        </is>
      </c>
      <c r="J2756" s="75" t="inlineStr">
        <is>
          <t>V10007</t>
        </is>
      </c>
      <c r="K2756" s="75" t="inlineStr">
        <is>
          <t>N호텔</t>
        </is>
      </c>
      <c r="M2756" s="9">
        <f>IF($A2756="","",VALUE($A2756&amp;"")*12+VALUE($B2756&amp;""))</f>
        <v/>
      </c>
      <c r="N2756" s="39">
        <f>IF($A2756="","",IFERROR(INDEX(부서매핑!$C$5:$C$504,MATCH($G2756&amp;"",부서매핑!$A$5:$A$504,0)),"미매핑"))</f>
        <v/>
      </c>
      <c r="O2756" s="9">
        <f>IF($A2756="","",N2756&amp;"|"&amp;$F2756)</f>
        <v/>
      </c>
      <c r="P2756" s="77">
        <f>IF($A2756="",0,$H2756*설정!$C$23)</f>
        <v/>
      </c>
      <c r="Q2756" s="39">
        <f>IF($A2756="","",IF(O2756&lt;&gt;원인분석!$C$9,"",IF(AND(M2756&gt;=원인분석!$C$10,M2756&lt;=원인분석!$C$11),"당기",IF(AND(M2756&gt;=원인분석!$C$12,M2756&lt;=원인분석!$C$13),"비교",""))))</f>
        <v/>
      </c>
      <c r="R2756" s="9">
        <f>IF(Q2756="","",$K2756&amp;"")</f>
        <v/>
      </c>
      <c r="S2756" s="9">
        <f>IF(Q2756="","",IF(MATCH(R2756,$R$5:$R$100000,0)=ROW()-4,ROW(),""))</f>
        <v/>
      </c>
      <c r="T2756" s="9">
        <f>IF(Q2756="당기",ABS(P2756)+ROW()/1000000000,"")</f>
        <v/>
      </c>
      <c r="U2756" s="9">
        <f>IF(Q2756="비교",ABS(P2756)+ROW()/1000000000,"")</f>
        <v/>
      </c>
      <c r="V2756" s="39">
        <f>IF($A2756="","",IF(COUNTIF(변동분석!$E$7:$E$506,O2756)&gt;0,"Y","N"))</f>
        <v/>
      </c>
      <c r="W2756" s="39">
        <f>IF($A2756="","",IFERROR(INDEX(계정매핑!$D$5:$D$504,MATCH($F2756&amp;"",계정매핑!$A$5:$A$504,0)),"미매핑"))</f>
        <v/>
      </c>
      <c r="X2756" s="9">
        <f>IF($A2756="","",$F2756&amp;"")</f>
        <v/>
      </c>
    </row>
    <row r="2757">
      <c r="A2757" s="75" t="n">
        <v>2026</v>
      </c>
      <c r="B2757" s="75" t="n">
        <v>3</v>
      </c>
      <c r="C2757" s="75" t="inlineStr">
        <is>
          <t>5100000413</t>
        </is>
      </c>
      <c r="D2757" s="78" t="n">
        <v>46086</v>
      </c>
      <c r="E2757" s="75" t="inlineStr">
        <is>
          <t>KR</t>
        </is>
      </c>
      <c r="F2757" s="75" t="n">
        <v>62102000</v>
      </c>
      <c r="G2757" s="75" t="n">
        <v>1701</v>
      </c>
      <c r="H2757" s="76" t="n">
        <v>37000</v>
      </c>
      <c r="I2757" s="75" t="inlineStr">
        <is>
          <t>3월 해외출장 - N호텔</t>
        </is>
      </c>
      <c r="J2757" s="75" t="inlineStr">
        <is>
          <t>V10007</t>
        </is>
      </c>
      <c r="K2757" s="75" t="inlineStr">
        <is>
          <t>N호텔</t>
        </is>
      </c>
      <c r="M2757" s="9">
        <f>IF($A2757="","",VALUE($A2757&amp;"")*12+VALUE($B2757&amp;""))</f>
        <v/>
      </c>
      <c r="N2757" s="39">
        <f>IF($A2757="","",IFERROR(INDEX(부서매핑!$C$5:$C$504,MATCH($G2757&amp;"",부서매핑!$A$5:$A$504,0)),"미매핑"))</f>
        <v/>
      </c>
      <c r="O2757" s="9">
        <f>IF($A2757="","",N2757&amp;"|"&amp;$F2757)</f>
        <v/>
      </c>
      <c r="P2757" s="77">
        <f>IF($A2757="",0,$H2757*설정!$C$23)</f>
        <v/>
      </c>
      <c r="Q2757" s="39">
        <f>IF($A2757="","",IF(O2757&lt;&gt;원인분석!$C$9,"",IF(AND(M2757&gt;=원인분석!$C$10,M2757&lt;=원인분석!$C$11),"당기",IF(AND(M2757&gt;=원인분석!$C$12,M2757&lt;=원인분석!$C$13),"비교",""))))</f>
        <v/>
      </c>
      <c r="R2757" s="9">
        <f>IF(Q2757="","",$K2757&amp;"")</f>
        <v/>
      </c>
      <c r="S2757" s="9">
        <f>IF(Q2757="","",IF(MATCH(R2757,$R$5:$R$100000,0)=ROW()-4,ROW(),""))</f>
        <v/>
      </c>
      <c r="T2757" s="9">
        <f>IF(Q2757="당기",ABS(P2757)+ROW()/1000000000,"")</f>
        <v/>
      </c>
      <c r="U2757" s="9">
        <f>IF(Q2757="비교",ABS(P2757)+ROW()/1000000000,"")</f>
        <v/>
      </c>
      <c r="V2757" s="39">
        <f>IF($A2757="","",IF(COUNTIF(변동분석!$E$7:$E$506,O2757)&gt;0,"Y","N"))</f>
        <v/>
      </c>
      <c r="W2757" s="39">
        <f>IF($A2757="","",IFERROR(INDEX(계정매핑!$D$5:$D$504,MATCH($F2757&amp;"",계정매핑!$A$5:$A$504,0)),"미매핑"))</f>
        <v/>
      </c>
      <c r="X2757" s="9">
        <f>IF($A2757="","",$F2757&amp;"")</f>
        <v/>
      </c>
    </row>
    <row r="2758">
      <c r="A2758" s="75" t="n">
        <v>2026</v>
      </c>
      <c r="B2758" s="75" t="n">
        <v>3</v>
      </c>
      <c r="C2758" s="75" t="inlineStr">
        <is>
          <t>5100000414</t>
        </is>
      </c>
      <c r="D2758" s="78" t="n">
        <v>46086</v>
      </c>
      <c r="E2758" s="75" t="inlineStr">
        <is>
          <t>KR</t>
        </is>
      </c>
      <c r="F2758" s="75" t="n">
        <v>62102000</v>
      </c>
      <c r="G2758" s="75" t="n">
        <v>1801</v>
      </c>
      <c r="H2758" s="76" t="n">
        <v>70000</v>
      </c>
      <c r="I2758" s="75" t="inlineStr">
        <is>
          <t>3월 해외출장 - M항공</t>
        </is>
      </c>
      <c r="J2758" s="75" t="inlineStr">
        <is>
          <t>V10001</t>
        </is>
      </c>
      <c r="K2758" s="75" t="inlineStr">
        <is>
          <t>M항공</t>
        </is>
      </c>
      <c r="M2758" s="9">
        <f>IF($A2758="","",VALUE($A2758&amp;"")*12+VALUE($B2758&amp;""))</f>
        <v/>
      </c>
      <c r="N2758" s="39">
        <f>IF($A2758="","",IFERROR(INDEX(부서매핑!$C$5:$C$504,MATCH($G2758&amp;"",부서매핑!$A$5:$A$504,0)),"미매핑"))</f>
        <v/>
      </c>
      <c r="O2758" s="9">
        <f>IF($A2758="","",N2758&amp;"|"&amp;$F2758)</f>
        <v/>
      </c>
      <c r="P2758" s="77">
        <f>IF($A2758="",0,$H2758*설정!$C$23)</f>
        <v/>
      </c>
      <c r="Q2758" s="39">
        <f>IF($A2758="","",IF(O2758&lt;&gt;원인분석!$C$9,"",IF(AND(M2758&gt;=원인분석!$C$10,M2758&lt;=원인분석!$C$11),"당기",IF(AND(M2758&gt;=원인분석!$C$12,M2758&lt;=원인분석!$C$13),"비교",""))))</f>
        <v/>
      </c>
      <c r="R2758" s="9">
        <f>IF(Q2758="","",$K2758&amp;"")</f>
        <v/>
      </c>
      <c r="S2758" s="9">
        <f>IF(Q2758="","",IF(MATCH(R2758,$R$5:$R$100000,0)=ROW()-4,ROW(),""))</f>
        <v/>
      </c>
      <c r="T2758" s="9">
        <f>IF(Q2758="당기",ABS(P2758)+ROW()/1000000000,"")</f>
        <v/>
      </c>
      <c r="U2758" s="9">
        <f>IF(Q2758="비교",ABS(P2758)+ROW()/1000000000,"")</f>
        <v/>
      </c>
      <c r="V2758" s="39">
        <f>IF($A2758="","",IF(COUNTIF(변동분석!$E$7:$E$506,O2758)&gt;0,"Y","N"))</f>
        <v/>
      </c>
      <c r="W2758" s="39">
        <f>IF($A2758="","",IFERROR(INDEX(계정매핑!$D$5:$D$504,MATCH($F2758&amp;"",계정매핑!$A$5:$A$504,0)),"미매핑"))</f>
        <v/>
      </c>
      <c r="X2758" s="9">
        <f>IF($A2758="","",$F2758&amp;"")</f>
        <v/>
      </c>
    </row>
    <row r="2759">
      <c r="A2759" s="75" t="n">
        <v>2026</v>
      </c>
      <c r="B2759" s="75" t="n">
        <v>3</v>
      </c>
      <c r="C2759" s="75" t="inlineStr">
        <is>
          <t>5100000415</t>
        </is>
      </c>
      <c r="D2759" s="78" t="n">
        <v>46086</v>
      </c>
      <c r="E2759" s="75" t="inlineStr">
        <is>
          <t>KR</t>
        </is>
      </c>
      <c r="F2759" s="75" t="n">
        <v>62201000</v>
      </c>
      <c r="G2759" s="75" t="n">
        <v>1501</v>
      </c>
      <c r="H2759" s="76" t="n">
        <v>365000</v>
      </c>
      <c r="I2759" s="75" t="inlineStr">
        <is>
          <t>3월 통신요금 - O텔레콤</t>
        </is>
      </c>
      <c r="J2759" s="75" t="inlineStr">
        <is>
          <t>V10002</t>
        </is>
      </c>
      <c r="K2759" s="75" t="inlineStr">
        <is>
          <t>O텔레콤</t>
        </is>
      </c>
      <c r="M2759" s="9">
        <f>IF($A2759="","",VALUE($A2759&amp;"")*12+VALUE($B2759&amp;""))</f>
        <v/>
      </c>
      <c r="N2759" s="39">
        <f>IF($A2759="","",IFERROR(INDEX(부서매핑!$C$5:$C$504,MATCH($G2759&amp;"",부서매핑!$A$5:$A$504,0)),"미매핑"))</f>
        <v/>
      </c>
      <c r="O2759" s="9">
        <f>IF($A2759="","",N2759&amp;"|"&amp;$F2759)</f>
        <v/>
      </c>
      <c r="P2759" s="77">
        <f>IF($A2759="",0,$H2759*설정!$C$23)</f>
        <v/>
      </c>
      <c r="Q2759" s="39">
        <f>IF($A2759="","",IF(O2759&lt;&gt;원인분석!$C$9,"",IF(AND(M2759&gt;=원인분석!$C$10,M2759&lt;=원인분석!$C$11),"당기",IF(AND(M2759&gt;=원인분석!$C$12,M2759&lt;=원인분석!$C$13),"비교",""))))</f>
        <v/>
      </c>
      <c r="R2759" s="9">
        <f>IF(Q2759="","",$K2759&amp;"")</f>
        <v/>
      </c>
      <c r="S2759" s="9">
        <f>IF(Q2759="","",IF(MATCH(R2759,$R$5:$R$100000,0)=ROW()-4,ROW(),""))</f>
        <v/>
      </c>
      <c r="T2759" s="9">
        <f>IF(Q2759="당기",ABS(P2759)+ROW()/1000000000,"")</f>
        <v/>
      </c>
      <c r="U2759" s="9">
        <f>IF(Q2759="비교",ABS(P2759)+ROW()/1000000000,"")</f>
        <v/>
      </c>
      <c r="V2759" s="39">
        <f>IF($A2759="","",IF(COUNTIF(변동분석!$E$7:$E$506,O2759)&gt;0,"Y","N"))</f>
        <v/>
      </c>
      <c r="W2759" s="39">
        <f>IF($A2759="","",IFERROR(INDEX(계정매핑!$D$5:$D$504,MATCH($F2759&amp;"",계정매핑!$A$5:$A$504,0)),"미매핑"))</f>
        <v/>
      </c>
      <c r="X2759" s="9">
        <f>IF($A2759="","",$F2759&amp;"")</f>
        <v/>
      </c>
    </row>
    <row r="2760">
      <c r="A2760" s="75" t="n">
        <v>2026</v>
      </c>
      <c r="B2760" s="75" t="n">
        <v>3</v>
      </c>
      <c r="C2760" s="75" t="inlineStr">
        <is>
          <t>5100000416</t>
        </is>
      </c>
      <c r="D2760" s="78" t="n">
        <v>46086</v>
      </c>
      <c r="E2760" s="75" t="inlineStr">
        <is>
          <t>KR</t>
        </is>
      </c>
      <c r="F2760" s="75" t="n">
        <v>62201000</v>
      </c>
      <c r="G2760" s="75" t="n">
        <v>1601</v>
      </c>
      <c r="H2760" s="76" t="n">
        <v>678000</v>
      </c>
      <c r="I2760" s="75" t="inlineStr">
        <is>
          <t>3월 통신요금 - P통신</t>
        </is>
      </c>
      <c r="J2760" s="75" t="inlineStr">
        <is>
          <t>V10011</t>
        </is>
      </c>
      <c r="K2760" s="75" t="inlineStr">
        <is>
          <t>P통신</t>
        </is>
      </c>
      <c r="M2760" s="9">
        <f>IF($A2760="","",VALUE($A2760&amp;"")*12+VALUE($B2760&amp;""))</f>
        <v/>
      </c>
      <c r="N2760" s="39">
        <f>IF($A2760="","",IFERROR(INDEX(부서매핑!$C$5:$C$504,MATCH($G2760&amp;"",부서매핑!$A$5:$A$504,0)),"미매핑"))</f>
        <v/>
      </c>
      <c r="O2760" s="9">
        <f>IF($A2760="","",N2760&amp;"|"&amp;$F2760)</f>
        <v/>
      </c>
      <c r="P2760" s="77">
        <f>IF($A2760="",0,$H2760*설정!$C$23)</f>
        <v/>
      </c>
      <c r="Q2760" s="39">
        <f>IF($A2760="","",IF(O2760&lt;&gt;원인분석!$C$9,"",IF(AND(M2760&gt;=원인분석!$C$10,M2760&lt;=원인분석!$C$11),"당기",IF(AND(M2760&gt;=원인분석!$C$12,M2760&lt;=원인분석!$C$13),"비교",""))))</f>
        <v/>
      </c>
      <c r="R2760" s="9">
        <f>IF(Q2760="","",$K2760&amp;"")</f>
        <v/>
      </c>
      <c r="S2760" s="9">
        <f>IF(Q2760="","",IF(MATCH(R2760,$R$5:$R$100000,0)=ROW()-4,ROW(),""))</f>
        <v/>
      </c>
      <c r="T2760" s="9">
        <f>IF(Q2760="당기",ABS(P2760)+ROW()/1000000000,"")</f>
        <v/>
      </c>
      <c r="U2760" s="9">
        <f>IF(Q2760="비교",ABS(P2760)+ROW()/1000000000,"")</f>
        <v/>
      </c>
      <c r="V2760" s="39">
        <f>IF($A2760="","",IF(COUNTIF(변동분석!$E$7:$E$506,O2760)&gt;0,"Y","N"))</f>
        <v/>
      </c>
      <c r="W2760" s="39">
        <f>IF($A2760="","",IFERROR(INDEX(계정매핑!$D$5:$D$504,MATCH($F2760&amp;"",계정매핑!$A$5:$A$504,0)),"미매핑"))</f>
        <v/>
      </c>
      <c r="X2760" s="9">
        <f>IF($A2760="","",$F2760&amp;"")</f>
        <v/>
      </c>
    </row>
    <row r="2761">
      <c r="A2761" s="75" t="n">
        <v>2026</v>
      </c>
      <c r="B2761" s="75" t="n">
        <v>3</v>
      </c>
      <c r="C2761" s="75" t="inlineStr">
        <is>
          <t>5100000417</t>
        </is>
      </c>
      <c r="D2761" s="78" t="n">
        <v>46086</v>
      </c>
      <c r="E2761" s="75" t="inlineStr">
        <is>
          <t>KR</t>
        </is>
      </c>
      <c r="F2761" s="75" t="n">
        <v>62301000</v>
      </c>
      <c r="G2761" s="75" t="n">
        <v>1101</v>
      </c>
      <c r="H2761" s="76" t="n">
        <v>230000</v>
      </c>
      <c r="I2761" s="75" t="inlineStr">
        <is>
          <t>3월 소모품 구입 - R문구</t>
        </is>
      </c>
      <c r="J2761" s="75" t="inlineStr">
        <is>
          <t>V10018</t>
        </is>
      </c>
      <c r="K2761" s="75" t="inlineStr">
        <is>
          <t>R문구</t>
        </is>
      </c>
      <c r="M2761" s="9">
        <f>IF($A2761="","",VALUE($A2761&amp;"")*12+VALUE($B2761&amp;""))</f>
        <v/>
      </c>
      <c r="N2761" s="39">
        <f>IF($A2761="","",IFERROR(INDEX(부서매핑!$C$5:$C$504,MATCH($G2761&amp;"",부서매핑!$A$5:$A$504,0)),"미매핑"))</f>
        <v/>
      </c>
      <c r="O2761" s="9">
        <f>IF($A2761="","",N2761&amp;"|"&amp;$F2761)</f>
        <v/>
      </c>
      <c r="P2761" s="77">
        <f>IF($A2761="",0,$H2761*설정!$C$23)</f>
        <v/>
      </c>
      <c r="Q2761" s="39">
        <f>IF($A2761="","",IF(O2761&lt;&gt;원인분석!$C$9,"",IF(AND(M2761&gt;=원인분석!$C$10,M2761&lt;=원인분석!$C$11),"당기",IF(AND(M2761&gt;=원인분석!$C$12,M2761&lt;=원인분석!$C$13),"비교",""))))</f>
        <v/>
      </c>
      <c r="R2761" s="9">
        <f>IF(Q2761="","",$K2761&amp;"")</f>
        <v/>
      </c>
      <c r="S2761" s="9">
        <f>IF(Q2761="","",IF(MATCH(R2761,$R$5:$R$100000,0)=ROW()-4,ROW(),""))</f>
        <v/>
      </c>
      <c r="T2761" s="9">
        <f>IF(Q2761="당기",ABS(P2761)+ROW()/1000000000,"")</f>
        <v/>
      </c>
      <c r="U2761" s="9">
        <f>IF(Q2761="비교",ABS(P2761)+ROW()/1000000000,"")</f>
        <v/>
      </c>
      <c r="V2761" s="39">
        <f>IF($A2761="","",IF(COUNTIF(변동분석!$E$7:$E$506,O2761)&gt;0,"Y","N"))</f>
        <v/>
      </c>
      <c r="W2761" s="39">
        <f>IF($A2761="","",IFERROR(INDEX(계정매핑!$D$5:$D$504,MATCH($F2761&amp;"",계정매핑!$A$5:$A$504,0)),"미매핑"))</f>
        <v/>
      </c>
      <c r="X2761" s="9">
        <f>IF($A2761="","",$F2761&amp;"")</f>
        <v/>
      </c>
    </row>
    <row r="2762">
      <c r="A2762" s="75" t="n">
        <v>2026</v>
      </c>
      <c r="B2762" s="75" t="n">
        <v>3</v>
      </c>
      <c r="C2762" s="75" t="inlineStr">
        <is>
          <t>5100000418</t>
        </is>
      </c>
      <c r="D2762" s="78" t="n">
        <v>46086</v>
      </c>
      <c r="E2762" s="75" t="inlineStr">
        <is>
          <t>KR</t>
        </is>
      </c>
      <c r="F2762" s="75" t="n">
        <v>62301000</v>
      </c>
      <c r="G2762" s="75" t="n">
        <v>1301</v>
      </c>
      <c r="H2762" s="76" t="n">
        <v>154000</v>
      </c>
      <c r="I2762" s="75" t="inlineStr">
        <is>
          <t>3월 소모품 구입 - Q오피스</t>
        </is>
      </c>
      <c r="J2762" s="75" t="inlineStr">
        <is>
          <t>V10003</t>
        </is>
      </c>
      <c r="K2762" s="75" t="inlineStr">
        <is>
          <t>Q오피스</t>
        </is>
      </c>
      <c r="M2762" s="9">
        <f>IF($A2762="","",VALUE($A2762&amp;"")*12+VALUE($B2762&amp;""))</f>
        <v/>
      </c>
      <c r="N2762" s="39">
        <f>IF($A2762="","",IFERROR(INDEX(부서매핑!$C$5:$C$504,MATCH($G2762&amp;"",부서매핑!$A$5:$A$504,0)),"미매핑"))</f>
        <v/>
      </c>
      <c r="O2762" s="9">
        <f>IF($A2762="","",N2762&amp;"|"&amp;$F2762)</f>
        <v/>
      </c>
      <c r="P2762" s="77">
        <f>IF($A2762="",0,$H2762*설정!$C$23)</f>
        <v/>
      </c>
      <c r="Q2762" s="39">
        <f>IF($A2762="","",IF(O2762&lt;&gt;원인분석!$C$9,"",IF(AND(M2762&gt;=원인분석!$C$10,M2762&lt;=원인분석!$C$11),"당기",IF(AND(M2762&gt;=원인분석!$C$12,M2762&lt;=원인분석!$C$13),"비교",""))))</f>
        <v/>
      </c>
      <c r="R2762" s="9">
        <f>IF(Q2762="","",$K2762&amp;"")</f>
        <v/>
      </c>
      <c r="S2762" s="9">
        <f>IF(Q2762="","",IF(MATCH(R2762,$R$5:$R$100000,0)=ROW()-4,ROW(),""))</f>
        <v/>
      </c>
      <c r="T2762" s="9">
        <f>IF(Q2762="당기",ABS(P2762)+ROW()/1000000000,"")</f>
        <v/>
      </c>
      <c r="U2762" s="9">
        <f>IF(Q2762="비교",ABS(P2762)+ROW()/1000000000,"")</f>
        <v/>
      </c>
      <c r="V2762" s="39">
        <f>IF($A2762="","",IF(COUNTIF(변동분석!$E$7:$E$506,O2762)&gt;0,"Y","N"))</f>
        <v/>
      </c>
      <c r="W2762" s="39">
        <f>IF($A2762="","",IFERROR(INDEX(계정매핑!$D$5:$D$504,MATCH($F2762&amp;"",계정매핑!$A$5:$A$504,0)),"미매핑"))</f>
        <v/>
      </c>
      <c r="X2762" s="9">
        <f>IF($A2762="","",$F2762&amp;"")</f>
        <v/>
      </c>
    </row>
    <row r="2763">
      <c r="A2763" s="75" t="n">
        <v>2026</v>
      </c>
      <c r="B2763" s="75" t="n">
        <v>3</v>
      </c>
      <c r="C2763" s="75" t="inlineStr">
        <is>
          <t>5100000419</t>
        </is>
      </c>
      <c r="D2763" s="78" t="n">
        <v>46086</v>
      </c>
      <c r="E2763" s="75" t="inlineStr">
        <is>
          <t>KR</t>
        </is>
      </c>
      <c r="F2763" s="75" t="n">
        <v>62301000</v>
      </c>
      <c r="G2763" s="75" t="n">
        <v>1801</v>
      </c>
      <c r="H2763" s="76" t="n">
        <v>251000</v>
      </c>
      <c r="I2763" s="75" t="inlineStr">
        <is>
          <t>3월 소모품 구입 - R문구</t>
        </is>
      </c>
      <c r="J2763" s="75" t="inlineStr">
        <is>
          <t>V10018</t>
        </is>
      </c>
      <c r="K2763" s="75" t="inlineStr">
        <is>
          <t>R문구</t>
        </is>
      </c>
      <c r="M2763" s="9">
        <f>IF($A2763="","",VALUE($A2763&amp;"")*12+VALUE($B2763&amp;""))</f>
        <v/>
      </c>
      <c r="N2763" s="39">
        <f>IF($A2763="","",IFERROR(INDEX(부서매핑!$C$5:$C$504,MATCH($G2763&amp;"",부서매핑!$A$5:$A$504,0)),"미매핑"))</f>
        <v/>
      </c>
      <c r="O2763" s="9">
        <f>IF($A2763="","",N2763&amp;"|"&amp;$F2763)</f>
        <v/>
      </c>
      <c r="P2763" s="77">
        <f>IF($A2763="",0,$H2763*설정!$C$23)</f>
        <v/>
      </c>
      <c r="Q2763" s="39">
        <f>IF($A2763="","",IF(O2763&lt;&gt;원인분석!$C$9,"",IF(AND(M2763&gt;=원인분석!$C$10,M2763&lt;=원인분석!$C$11),"당기",IF(AND(M2763&gt;=원인분석!$C$12,M2763&lt;=원인분석!$C$13),"비교",""))))</f>
        <v/>
      </c>
      <c r="R2763" s="9">
        <f>IF(Q2763="","",$K2763&amp;"")</f>
        <v/>
      </c>
      <c r="S2763" s="9">
        <f>IF(Q2763="","",IF(MATCH(R2763,$R$5:$R$100000,0)=ROW()-4,ROW(),""))</f>
        <v/>
      </c>
      <c r="T2763" s="9">
        <f>IF(Q2763="당기",ABS(P2763)+ROW()/1000000000,"")</f>
        <v/>
      </c>
      <c r="U2763" s="9">
        <f>IF(Q2763="비교",ABS(P2763)+ROW()/1000000000,"")</f>
        <v/>
      </c>
      <c r="V2763" s="39">
        <f>IF($A2763="","",IF(COUNTIF(변동분석!$E$7:$E$506,O2763)&gt;0,"Y","N"))</f>
        <v/>
      </c>
      <c r="W2763" s="39">
        <f>IF($A2763="","",IFERROR(INDEX(계정매핑!$D$5:$D$504,MATCH($F2763&amp;"",계정매핑!$A$5:$A$504,0)),"미매핑"))</f>
        <v/>
      </c>
      <c r="X2763" s="9">
        <f>IF($A2763="","",$F2763&amp;"")</f>
        <v/>
      </c>
    </row>
    <row r="2764">
      <c r="A2764" s="75" t="n">
        <v>2026</v>
      </c>
      <c r="B2764" s="75" t="n">
        <v>3</v>
      </c>
      <c r="C2764" s="75" t="inlineStr">
        <is>
          <t>5100000420</t>
        </is>
      </c>
      <c r="D2764" s="78" t="n">
        <v>46086</v>
      </c>
      <c r="E2764" s="75" t="inlineStr">
        <is>
          <t>KR</t>
        </is>
      </c>
      <c r="F2764" s="75" t="n">
        <v>62501000</v>
      </c>
      <c r="G2764" s="75" t="n">
        <v>1601</v>
      </c>
      <c r="H2764" s="76" t="n">
        <v>377000</v>
      </c>
      <c r="I2764" s="75" t="inlineStr">
        <is>
          <t>3월 회의 다과 - T케이터링</t>
        </is>
      </c>
      <c r="J2764" s="75" t="inlineStr">
        <is>
          <t>V10005</t>
        </is>
      </c>
      <c r="K2764" s="75" t="inlineStr">
        <is>
          <t>T케이터링</t>
        </is>
      </c>
      <c r="M2764" s="9">
        <f>IF($A2764="","",VALUE($A2764&amp;"")*12+VALUE($B2764&amp;""))</f>
        <v/>
      </c>
      <c r="N2764" s="39">
        <f>IF($A2764="","",IFERROR(INDEX(부서매핑!$C$5:$C$504,MATCH($G2764&amp;"",부서매핑!$A$5:$A$504,0)),"미매핑"))</f>
        <v/>
      </c>
      <c r="O2764" s="9">
        <f>IF($A2764="","",N2764&amp;"|"&amp;$F2764)</f>
        <v/>
      </c>
      <c r="P2764" s="77">
        <f>IF($A2764="",0,$H2764*설정!$C$23)</f>
        <v/>
      </c>
      <c r="Q2764" s="39">
        <f>IF($A2764="","",IF(O2764&lt;&gt;원인분석!$C$9,"",IF(AND(M2764&gt;=원인분석!$C$10,M2764&lt;=원인분석!$C$11),"당기",IF(AND(M2764&gt;=원인분석!$C$12,M2764&lt;=원인분석!$C$13),"비교",""))))</f>
        <v/>
      </c>
      <c r="R2764" s="9">
        <f>IF(Q2764="","",$K2764&amp;"")</f>
        <v/>
      </c>
      <c r="S2764" s="9">
        <f>IF(Q2764="","",IF(MATCH(R2764,$R$5:$R$100000,0)=ROW()-4,ROW(),""))</f>
        <v/>
      </c>
      <c r="T2764" s="9">
        <f>IF(Q2764="당기",ABS(P2764)+ROW()/1000000000,"")</f>
        <v/>
      </c>
      <c r="U2764" s="9">
        <f>IF(Q2764="비교",ABS(P2764)+ROW()/1000000000,"")</f>
        <v/>
      </c>
      <c r="V2764" s="39">
        <f>IF($A2764="","",IF(COUNTIF(변동분석!$E$7:$E$506,O2764)&gt;0,"Y","N"))</f>
        <v/>
      </c>
      <c r="W2764" s="39">
        <f>IF($A2764="","",IFERROR(INDEX(계정매핑!$D$5:$D$504,MATCH($F2764&amp;"",계정매핑!$A$5:$A$504,0)),"미매핑"))</f>
        <v/>
      </c>
      <c r="X2764" s="9">
        <f>IF($A2764="","",$F2764&amp;"")</f>
        <v/>
      </c>
    </row>
    <row r="2765">
      <c r="A2765" s="75" t="n">
        <v>2026</v>
      </c>
      <c r="B2765" s="75" t="n">
        <v>3</v>
      </c>
      <c r="C2765" s="75" t="inlineStr">
        <is>
          <t>5100000421</t>
        </is>
      </c>
      <c r="D2765" s="78" t="n">
        <v>46086</v>
      </c>
      <c r="E2765" s="75" t="inlineStr">
        <is>
          <t>KR</t>
        </is>
      </c>
      <c r="F2765" s="75" t="n">
        <v>62902000</v>
      </c>
      <c r="G2765" s="75" t="n">
        <v>1101</v>
      </c>
      <c r="H2765" s="76" t="n">
        <v>1250000</v>
      </c>
      <c r="I2765" s="75" t="inlineStr">
        <is>
          <t>3월 업무 위탁 수수료 - X서비스</t>
        </is>
      </c>
      <c r="J2765" s="75" t="inlineStr">
        <is>
          <t>V10016</t>
        </is>
      </c>
      <c r="K2765" s="75" t="inlineStr">
        <is>
          <t>X서비스</t>
        </is>
      </c>
      <c r="M2765" s="9">
        <f>IF($A2765="","",VALUE($A2765&amp;"")*12+VALUE($B2765&amp;""))</f>
        <v/>
      </c>
      <c r="N2765" s="39">
        <f>IF($A2765="","",IFERROR(INDEX(부서매핑!$C$5:$C$504,MATCH($G2765&amp;"",부서매핑!$A$5:$A$504,0)),"미매핑"))</f>
        <v/>
      </c>
      <c r="O2765" s="9">
        <f>IF($A2765="","",N2765&amp;"|"&amp;$F2765)</f>
        <v/>
      </c>
      <c r="P2765" s="77">
        <f>IF($A2765="",0,$H2765*설정!$C$23)</f>
        <v/>
      </c>
      <c r="Q2765" s="39">
        <f>IF($A2765="","",IF(O2765&lt;&gt;원인분석!$C$9,"",IF(AND(M2765&gt;=원인분석!$C$10,M2765&lt;=원인분석!$C$11),"당기",IF(AND(M2765&gt;=원인분석!$C$12,M2765&lt;=원인분석!$C$13),"비교",""))))</f>
        <v/>
      </c>
      <c r="R2765" s="9">
        <f>IF(Q2765="","",$K2765&amp;"")</f>
        <v/>
      </c>
      <c r="S2765" s="9">
        <f>IF(Q2765="","",IF(MATCH(R2765,$R$5:$R$100000,0)=ROW()-4,ROW(),""))</f>
        <v/>
      </c>
      <c r="T2765" s="9">
        <f>IF(Q2765="당기",ABS(P2765)+ROW()/1000000000,"")</f>
        <v/>
      </c>
      <c r="U2765" s="9">
        <f>IF(Q2765="비교",ABS(P2765)+ROW()/1000000000,"")</f>
        <v/>
      </c>
      <c r="V2765" s="39">
        <f>IF($A2765="","",IF(COUNTIF(변동분석!$E$7:$E$506,O2765)&gt;0,"Y","N"))</f>
        <v/>
      </c>
      <c r="W2765" s="39">
        <f>IF($A2765="","",IFERROR(INDEX(계정매핑!$D$5:$D$504,MATCH($F2765&amp;"",계정매핑!$A$5:$A$504,0)),"미매핑"))</f>
        <v/>
      </c>
      <c r="X2765" s="9">
        <f>IF($A2765="","",$F2765&amp;"")</f>
        <v/>
      </c>
    </row>
    <row r="2766">
      <c r="A2766" s="75" t="n">
        <v>2026</v>
      </c>
      <c r="B2766" s="75" t="n">
        <v>3</v>
      </c>
      <c r="C2766" s="75" t="inlineStr">
        <is>
          <t>5100000422</t>
        </is>
      </c>
      <c r="D2766" s="78" t="n">
        <v>46086</v>
      </c>
      <c r="E2766" s="75" t="inlineStr">
        <is>
          <t>KR</t>
        </is>
      </c>
      <c r="F2766" s="75" t="n">
        <v>62902000</v>
      </c>
      <c r="G2766" s="75" t="n">
        <v>1201</v>
      </c>
      <c r="H2766" s="76" t="n">
        <v>4997000</v>
      </c>
      <c r="I2766" s="75" t="inlineStr">
        <is>
          <t>3월 업무 위탁 수수료 - J콜센터</t>
        </is>
      </c>
      <c r="J2766" s="75" t="inlineStr">
        <is>
          <t>V10013</t>
        </is>
      </c>
      <c r="K2766" s="75" t="inlineStr">
        <is>
          <t>J콜센터</t>
        </is>
      </c>
      <c r="M2766" s="9">
        <f>IF($A2766="","",VALUE($A2766&amp;"")*12+VALUE($B2766&amp;""))</f>
        <v/>
      </c>
      <c r="N2766" s="39">
        <f>IF($A2766="","",IFERROR(INDEX(부서매핑!$C$5:$C$504,MATCH($G2766&amp;"",부서매핑!$A$5:$A$504,0)),"미매핑"))</f>
        <v/>
      </c>
      <c r="O2766" s="9">
        <f>IF($A2766="","",N2766&amp;"|"&amp;$F2766)</f>
        <v/>
      </c>
      <c r="P2766" s="77">
        <f>IF($A2766="",0,$H2766*설정!$C$23)</f>
        <v/>
      </c>
      <c r="Q2766" s="39">
        <f>IF($A2766="","",IF(O2766&lt;&gt;원인분석!$C$9,"",IF(AND(M2766&gt;=원인분석!$C$10,M2766&lt;=원인분석!$C$11),"당기",IF(AND(M2766&gt;=원인분석!$C$12,M2766&lt;=원인분석!$C$13),"비교",""))))</f>
        <v/>
      </c>
      <c r="R2766" s="9">
        <f>IF(Q2766="","",$K2766&amp;"")</f>
        <v/>
      </c>
      <c r="S2766" s="9">
        <f>IF(Q2766="","",IF(MATCH(R2766,$R$5:$R$100000,0)=ROW()-4,ROW(),""))</f>
        <v/>
      </c>
      <c r="T2766" s="9">
        <f>IF(Q2766="당기",ABS(P2766)+ROW()/1000000000,"")</f>
        <v/>
      </c>
      <c r="U2766" s="9">
        <f>IF(Q2766="비교",ABS(P2766)+ROW()/1000000000,"")</f>
        <v/>
      </c>
      <c r="V2766" s="39">
        <f>IF($A2766="","",IF(COUNTIF(변동분석!$E$7:$E$506,O2766)&gt;0,"Y","N"))</f>
        <v/>
      </c>
      <c r="W2766" s="39">
        <f>IF($A2766="","",IFERROR(INDEX(계정매핑!$D$5:$D$504,MATCH($F2766&amp;"",계정매핑!$A$5:$A$504,0)),"미매핑"))</f>
        <v/>
      </c>
      <c r="X2766" s="9">
        <f>IF($A2766="","",$F2766&amp;"")</f>
        <v/>
      </c>
    </row>
    <row r="2767">
      <c r="A2767" s="75" t="n">
        <v>2026</v>
      </c>
      <c r="B2767" s="75" t="n">
        <v>3</v>
      </c>
      <c r="C2767" s="75" t="inlineStr">
        <is>
          <t>5100000423</t>
        </is>
      </c>
      <c r="D2767" s="78" t="n">
        <v>46086</v>
      </c>
      <c r="E2767" s="75" t="inlineStr">
        <is>
          <t>KR</t>
        </is>
      </c>
      <c r="F2767" s="75" t="n">
        <v>62902000</v>
      </c>
      <c r="G2767" s="75" t="n">
        <v>1401</v>
      </c>
      <c r="H2767" s="76" t="n">
        <v>1582000</v>
      </c>
      <c r="I2767" s="75" t="inlineStr">
        <is>
          <t>3월 업무 위탁 수수료 - J콜센터</t>
        </is>
      </c>
      <c r="J2767" s="75" t="inlineStr">
        <is>
          <t>V10013</t>
        </is>
      </c>
      <c r="K2767" s="75" t="inlineStr">
        <is>
          <t>J콜센터</t>
        </is>
      </c>
      <c r="M2767" s="9">
        <f>IF($A2767="","",VALUE($A2767&amp;"")*12+VALUE($B2767&amp;""))</f>
        <v/>
      </c>
      <c r="N2767" s="39">
        <f>IF($A2767="","",IFERROR(INDEX(부서매핑!$C$5:$C$504,MATCH($G2767&amp;"",부서매핑!$A$5:$A$504,0)),"미매핑"))</f>
        <v/>
      </c>
      <c r="O2767" s="9">
        <f>IF($A2767="","",N2767&amp;"|"&amp;$F2767)</f>
        <v/>
      </c>
      <c r="P2767" s="77">
        <f>IF($A2767="",0,$H2767*설정!$C$23)</f>
        <v/>
      </c>
      <c r="Q2767" s="39">
        <f>IF($A2767="","",IF(O2767&lt;&gt;원인분석!$C$9,"",IF(AND(M2767&gt;=원인분석!$C$10,M2767&lt;=원인분석!$C$11),"당기",IF(AND(M2767&gt;=원인분석!$C$12,M2767&lt;=원인분석!$C$13),"비교",""))))</f>
        <v/>
      </c>
      <c r="R2767" s="9">
        <f>IF(Q2767="","",$K2767&amp;"")</f>
        <v/>
      </c>
      <c r="S2767" s="9">
        <f>IF(Q2767="","",IF(MATCH(R2767,$R$5:$R$100000,0)=ROW()-4,ROW(),""))</f>
        <v/>
      </c>
      <c r="T2767" s="9">
        <f>IF(Q2767="당기",ABS(P2767)+ROW()/1000000000,"")</f>
        <v/>
      </c>
      <c r="U2767" s="9">
        <f>IF(Q2767="비교",ABS(P2767)+ROW()/1000000000,"")</f>
        <v/>
      </c>
      <c r="V2767" s="39">
        <f>IF($A2767="","",IF(COUNTIF(변동분석!$E$7:$E$506,O2767)&gt;0,"Y","N"))</f>
        <v/>
      </c>
      <c r="W2767" s="39">
        <f>IF($A2767="","",IFERROR(INDEX(계정매핑!$D$5:$D$504,MATCH($F2767&amp;"",계정매핑!$A$5:$A$504,0)),"미매핑"))</f>
        <v/>
      </c>
      <c r="X2767" s="9">
        <f>IF($A2767="","",$F2767&amp;"")</f>
        <v/>
      </c>
    </row>
    <row r="2768">
      <c r="A2768" s="75" t="n">
        <v>2026</v>
      </c>
      <c r="B2768" s="75" t="n">
        <v>3</v>
      </c>
      <c r="C2768" s="75" t="inlineStr">
        <is>
          <t>5100000424</t>
        </is>
      </c>
      <c r="D2768" s="78" t="n">
        <v>46086</v>
      </c>
      <c r="E2768" s="75" t="inlineStr">
        <is>
          <t>KR</t>
        </is>
      </c>
      <c r="F2768" s="75" t="n">
        <v>62902000</v>
      </c>
      <c r="G2768" s="75" t="n">
        <v>1801</v>
      </c>
      <c r="H2768" s="76" t="n">
        <v>1752000</v>
      </c>
      <c r="I2768" s="75" t="inlineStr">
        <is>
          <t>3월 콜 위탁 수수료(건별)</t>
        </is>
      </c>
      <c r="J2768" s="75" t="inlineStr">
        <is>
          <t>V10013</t>
        </is>
      </c>
      <c r="K2768" s="75" t="inlineStr">
        <is>
          <t>J콜센터</t>
        </is>
      </c>
      <c r="M2768" s="9">
        <f>IF($A2768="","",VALUE($A2768&amp;"")*12+VALUE($B2768&amp;""))</f>
        <v/>
      </c>
      <c r="N2768" s="39">
        <f>IF($A2768="","",IFERROR(INDEX(부서매핑!$C$5:$C$504,MATCH($G2768&amp;"",부서매핑!$A$5:$A$504,0)),"미매핑"))</f>
        <v/>
      </c>
      <c r="O2768" s="9">
        <f>IF($A2768="","",N2768&amp;"|"&amp;$F2768)</f>
        <v/>
      </c>
      <c r="P2768" s="77">
        <f>IF($A2768="",0,$H2768*설정!$C$23)</f>
        <v/>
      </c>
      <c r="Q2768" s="39">
        <f>IF($A2768="","",IF(O2768&lt;&gt;원인분석!$C$9,"",IF(AND(M2768&gt;=원인분석!$C$10,M2768&lt;=원인분석!$C$11),"당기",IF(AND(M2768&gt;=원인분석!$C$12,M2768&lt;=원인분석!$C$13),"비교",""))))</f>
        <v/>
      </c>
      <c r="R2768" s="9">
        <f>IF(Q2768="","",$K2768&amp;"")</f>
        <v/>
      </c>
      <c r="S2768" s="9">
        <f>IF(Q2768="","",IF(MATCH(R2768,$R$5:$R$100000,0)=ROW()-4,ROW(),""))</f>
        <v/>
      </c>
      <c r="T2768" s="9">
        <f>IF(Q2768="당기",ABS(P2768)+ROW()/1000000000,"")</f>
        <v/>
      </c>
      <c r="U2768" s="9">
        <f>IF(Q2768="비교",ABS(P2768)+ROW()/1000000000,"")</f>
        <v/>
      </c>
      <c r="V2768" s="39">
        <f>IF($A2768="","",IF(COUNTIF(변동분석!$E$7:$E$506,O2768)&gt;0,"Y","N"))</f>
        <v/>
      </c>
      <c r="W2768" s="39">
        <f>IF($A2768="","",IFERROR(INDEX(계정매핑!$D$5:$D$504,MATCH($F2768&amp;"",계정매핑!$A$5:$A$504,0)),"미매핑"))</f>
        <v/>
      </c>
      <c r="X2768" s="9">
        <f>IF($A2768="","",$F2768&amp;"")</f>
        <v/>
      </c>
    </row>
    <row r="2769">
      <c r="A2769" s="75" t="n">
        <v>2026</v>
      </c>
      <c r="B2769" s="75" t="n">
        <v>3</v>
      </c>
      <c r="C2769" s="75" t="inlineStr">
        <is>
          <t>5100000425</t>
        </is>
      </c>
      <c r="D2769" s="78" t="n">
        <v>46087</v>
      </c>
      <c r="E2769" s="75" t="inlineStr">
        <is>
          <t>KR</t>
        </is>
      </c>
      <c r="F2769" s="75" t="n">
        <v>62101000</v>
      </c>
      <c r="G2769" s="75" t="n">
        <v>1201</v>
      </c>
      <c r="H2769" s="76" t="n">
        <v>299000</v>
      </c>
      <c r="I2769" s="75" t="inlineStr">
        <is>
          <t>3월 국내출장 - (법인카드)</t>
        </is>
      </c>
      <c r="J2769" s="75" t="inlineStr">
        <is>
          <t>V10008</t>
        </is>
      </c>
      <c r="K2769" s="75" t="inlineStr">
        <is>
          <t>(법인카드)</t>
        </is>
      </c>
      <c r="M2769" s="9">
        <f>IF($A2769="","",VALUE($A2769&amp;"")*12+VALUE($B2769&amp;""))</f>
        <v/>
      </c>
      <c r="N2769" s="39">
        <f>IF($A2769="","",IFERROR(INDEX(부서매핑!$C$5:$C$504,MATCH($G2769&amp;"",부서매핑!$A$5:$A$504,0)),"미매핑"))</f>
        <v/>
      </c>
      <c r="O2769" s="9">
        <f>IF($A2769="","",N2769&amp;"|"&amp;$F2769)</f>
        <v/>
      </c>
      <c r="P2769" s="77">
        <f>IF($A2769="",0,$H2769*설정!$C$23)</f>
        <v/>
      </c>
      <c r="Q2769" s="39">
        <f>IF($A2769="","",IF(O2769&lt;&gt;원인분석!$C$9,"",IF(AND(M2769&gt;=원인분석!$C$10,M2769&lt;=원인분석!$C$11),"당기",IF(AND(M2769&gt;=원인분석!$C$12,M2769&lt;=원인분석!$C$13),"비교",""))))</f>
        <v/>
      </c>
      <c r="R2769" s="9">
        <f>IF(Q2769="","",$K2769&amp;"")</f>
        <v/>
      </c>
      <c r="S2769" s="9">
        <f>IF(Q2769="","",IF(MATCH(R2769,$R$5:$R$100000,0)=ROW()-4,ROW(),""))</f>
        <v/>
      </c>
      <c r="T2769" s="9">
        <f>IF(Q2769="당기",ABS(P2769)+ROW()/1000000000,"")</f>
        <v/>
      </c>
      <c r="U2769" s="9">
        <f>IF(Q2769="비교",ABS(P2769)+ROW()/1000000000,"")</f>
        <v/>
      </c>
      <c r="V2769" s="39">
        <f>IF($A2769="","",IF(COUNTIF(변동분석!$E$7:$E$506,O2769)&gt;0,"Y","N"))</f>
        <v/>
      </c>
      <c r="W2769" s="39">
        <f>IF($A2769="","",IFERROR(INDEX(계정매핑!$D$5:$D$504,MATCH($F2769&amp;"",계정매핑!$A$5:$A$504,0)),"미매핑"))</f>
        <v/>
      </c>
      <c r="X2769" s="9">
        <f>IF($A2769="","",$F2769&amp;"")</f>
        <v/>
      </c>
    </row>
    <row r="2770">
      <c r="A2770" s="75" t="n">
        <v>2026</v>
      </c>
      <c r="B2770" s="75" t="n">
        <v>3</v>
      </c>
      <c r="C2770" s="75" t="inlineStr">
        <is>
          <t>5100000426</t>
        </is>
      </c>
      <c r="D2770" s="78" t="n">
        <v>46087</v>
      </c>
      <c r="E2770" s="75" t="inlineStr">
        <is>
          <t>KR</t>
        </is>
      </c>
      <c r="F2770" s="75" t="n">
        <v>62101000</v>
      </c>
      <c r="G2770" s="75" t="n">
        <v>1401</v>
      </c>
      <c r="H2770" s="76" t="n">
        <v>399000</v>
      </c>
      <c r="I2770" s="75" t="inlineStr">
        <is>
          <t>3월 국내출장 - L여행사</t>
        </is>
      </c>
      <c r="J2770" s="75" t="inlineStr">
        <is>
          <t>V10014</t>
        </is>
      </c>
      <c r="K2770" s="75" t="inlineStr">
        <is>
          <t>L여행사</t>
        </is>
      </c>
      <c r="M2770" s="9">
        <f>IF($A2770="","",VALUE($A2770&amp;"")*12+VALUE($B2770&amp;""))</f>
        <v/>
      </c>
      <c r="N2770" s="39">
        <f>IF($A2770="","",IFERROR(INDEX(부서매핑!$C$5:$C$504,MATCH($G2770&amp;"",부서매핑!$A$5:$A$504,0)),"미매핑"))</f>
        <v/>
      </c>
      <c r="O2770" s="9">
        <f>IF($A2770="","",N2770&amp;"|"&amp;$F2770)</f>
        <v/>
      </c>
      <c r="P2770" s="77">
        <f>IF($A2770="",0,$H2770*설정!$C$23)</f>
        <v/>
      </c>
      <c r="Q2770" s="39">
        <f>IF($A2770="","",IF(O2770&lt;&gt;원인분석!$C$9,"",IF(AND(M2770&gt;=원인분석!$C$10,M2770&lt;=원인분석!$C$11),"당기",IF(AND(M2770&gt;=원인분석!$C$12,M2770&lt;=원인분석!$C$13),"비교",""))))</f>
        <v/>
      </c>
      <c r="R2770" s="9">
        <f>IF(Q2770="","",$K2770&amp;"")</f>
        <v/>
      </c>
      <c r="S2770" s="9">
        <f>IF(Q2770="","",IF(MATCH(R2770,$R$5:$R$100000,0)=ROW()-4,ROW(),""))</f>
        <v/>
      </c>
      <c r="T2770" s="9">
        <f>IF(Q2770="당기",ABS(P2770)+ROW()/1000000000,"")</f>
        <v/>
      </c>
      <c r="U2770" s="9">
        <f>IF(Q2770="비교",ABS(P2770)+ROW()/1000000000,"")</f>
        <v/>
      </c>
      <c r="V2770" s="39">
        <f>IF($A2770="","",IF(COUNTIF(변동분석!$E$7:$E$506,O2770)&gt;0,"Y","N"))</f>
        <v/>
      </c>
      <c r="W2770" s="39">
        <f>IF($A2770="","",IFERROR(INDEX(계정매핑!$D$5:$D$504,MATCH($F2770&amp;"",계정매핑!$A$5:$A$504,0)),"미매핑"))</f>
        <v/>
      </c>
      <c r="X2770" s="9">
        <f>IF($A2770="","",$F2770&amp;"")</f>
        <v/>
      </c>
    </row>
    <row r="2771">
      <c r="A2771" s="75" t="n">
        <v>2026</v>
      </c>
      <c r="B2771" s="75" t="n">
        <v>3</v>
      </c>
      <c r="C2771" s="75" t="inlineStr">
        <is>
          <t>5100000427</t>
        </is>
      </c>
      <c r="D2771" s="78" t="n">
        <v>46087</v>
      </c>
      <c r="E2771" s="75" t="inlineStr">
        <is>
          <t>KR</t>
        </is>
      </c>
      <c r="F2771" s="75" t="n">
        <v>62201000</v>
      </c>
      <c r="G2771" s="75" t="n">
        <v>1101</v>
      </c>
      <c r="H2771" s="76" t="n">
        <v>305000</v>
      </c>
      <c r="I2771" s="75" t="inlineStr">
        <is>
          <t>3월 통신요금 - O텔레콤</t>
        </is>
      </c>
      <c r="J2771" s="75" t="inlineStr">
        <is>
          <t>V10002</t>
        </is>
      </c>
      <c r="K2771" s="75" t="inlineStr">
        <is>
          <t>O텔레콤</t>
        </is>
      </c>
      <c r="M2771" s="9">
        <f>IF($A2771="","",VALUE($A2771&amp;"")*12+VALUE($B2771&amp;""))</f>
        <v/>
      </c>
      <c r="N2771" s="39">
        <f>IF($A2771="","",IFERROR(INDEX(부서매핑!$C$5:$C$504,MATCH($G2771&amp;"",부서매핑!$A$5:$A$504,0)),"미매핑"))</f>
        <v/>
      </c>
      <c r="O2771" s="9">
        <f>IF($A2771="","",N2771&amp;"|"&amp;$F2771)</f>
        <v/>
      </c>
      <c r="P2771" s="77">
        <f>IF($A2771="",0,$H2771*설정!$C$23)</f>
        <v/>
      </c>
      <c r="Q2771" s="39">
        <f>IF($A2771="","",IF(O2771&lt;&gt;원인분석!$C$9,"",IF(AND(M2771&gt;=원인분석!$C$10,M2771&lt;=원인분석!$C$11),"당기",IF(AND(M2771&gt;=원인분석!$C$12,M2771&lt;=원인분석!$C$13),"비교",""))))</f>
        <v/>
      </c>
      <c r="R2771" s="9">
        <f>IF(Q2771="","",$K2771&amp;"")</f>
        <v/>
      </c>
      <c r="S2771" s="9">
        <f>IF(Q2771="","",IF(MATCH(R2771,$R$5:$R$100000,0)=ROW()-4,ROW(),""))</f>
        <v/>
      </c>
      <c r="T2771" s="9">
        <f>IF(Q2771="당기",ABS(P2771)+ROW()/1000000000,"")</f>
        <v/>
      </c>
      <c r="U2771" s="9">
        <f>IF(Q2771="비교",ABS(P2771)+ROW()/1000000000,"")</f>
        <v/>
      </c>
      <c r="V2771" s="39">
        <f>IF($A2771="","",IF(COUNTIF(변동분석!$E$7:$E$506,O2771)&gt;0,"Y","N"))</f>
        <v/>
      </c>
      <c r="W2771" s="39">
        <f>IF($A2771="","",IFERROR(INDEX(계정매핑!$D$5:$D$504,MATCH($F2771&amp;"",계정매핑!$A$5:$A$504,0)),"미매핑"))</f>
        <v/>
      </c>
      <c r="X2771" s="9">
        <f>IF($A2771="","",$F2771&amp;"")</f>
        <v/>
      </c>
    </row>
    <row r="2772">
      <c r="A2772" s="75" t="n">
        <v>2026</v>
      </c>
      <c r="B2772" s="75" t="n">
        <v>3</v>
      </c>
      <c r="C2772" s="75" t="inlineStr">
        <is>
          <t>5100000428</t>
        </is>
      </c>
      <c r="D2772" s="78" t="n">
        <v>46087</v>
      </c>
      <c r="E2772" s="75" t="inlineStr">
        <is>
          <t>KR</t>
        </is>
      </c>
      <c r="F2772" s="75" t="n">
        <v>62201000</v>
      </c>
      <c r="G2772" s="75" t="n">
        <v>1701</v>
      </c>
      <c r="H2772" s="76" t="n">
        <v>3800000</v>
      </c>
      <c r="I2772" s="75" t="inlineStr">
        <is>
          <t>3월 통신요금 - P통신</t>
        </is>
      </c>
      <c r="J2772" s="75" t="inlineStr">
        <is>
          <t>V10011</t>
        </is>
      </c>
      <c r="K2772" s="75" t="inlineStr">
        <is>
          <t>P통신</t>
        </is>
      </c>
      <c r="M2772" s="9">
        <f>IF($A2772="","",VALUE($A2772&amp;"")*12+VALUE($B2772&amp;""))</f>
        <v/>
      </c>
      <c r="N2772" s="39">
        <f>IF($A2772="","",IFERROR(INDEX(부서매핑!$C$5:$C$504,MATCH($G2772&amp;"",부서매핑!$A$5:$A$504,0)),"미매핑"))</f>
        <v/>
      </c>
      <c r="O2772" s="9">
        <f>IF($A2772="","",N2772&amp;"|"&amp;$F2772)</f>
        <v/>
      </c>
      <c r="P2772" s="77">
        <f>IF($A2772="",0,$H2772*설정!$C$23)</f>
        <v/>
      </c>
      <c r="Q2772" s="39">
        <f>IF($A2772="","",IF(O2772&lt;&gt;원인분석!$C$9,"",IF(AND(M2772&gt;=원인분석!$C$10,M2772&lt;=원인분석!$C$11),"당기",IF(AND(M2772&gt;=원인분석!$C$12,M2772&lt;=원인분석!$C$13),"비교",""))))</f>
        <v/>
      </c>
      <c r="R2772" s="9">
        <f>IF(Q2772="","",$K2772&amp;"")</f>
        <v/>
      </c>
      <c r="S2772" s="9">
        <f>IF(Q2772="","",IF(MATCH(R2772,$R$5:$R$100000,0)=ROW()-4,ROW(),""))</f>
        <v/>
      </c>
      <c r="T2772" s="9">
        <f>IF(Q2772="당기",ABS(P2772)+ROW()/1000000000,"")</f>
        <v/>
      </c>
      <c r="U2772" s="9">
        <f>IF(Q2772="비교",ABS(P2772)+ROW()/1000000000,"")</f>
        <v/>
      </c>
      <c r="V2772" s="39">
        <f>IF($A2772="","",IF(COUNTIF(변동분석!$E$7:$E$506,O2772)&gt;0,"Y","N"))</f>
        <v/>
      </c>
      <c r="W2772" s="39">
        <f>IF($A2772="","",IFERROR(INDEX(계정매핑!$D$5:$D$504,MATCH($F2772&amp;"",계정매핑!$A$5:$A$504,0)),"미매핑"))</f>
        <v/>
      </c>
      <c r="X2772" s="9">
        <f>IF($A2772="","",$F2772&amp;"")</f>
        <v/>
      </c>
    </row>
    <row r="2773">
      <c r="A2773" s="75" t="n">
        <v>2026</v>
      </c>
      <c r="B2773" s="75" t="n">
        <v>3</v>
      </c>
      <c r="C2773" s="75" t="inlineStr">
        <is>
          <t>5100000429</t>
        </is>
      </c>
      <c r="D2773" s="78" t="n">
        <v>46087</v>
      </c>
      <c r="E2773" s="75" t="inlineStr">
        <is>
          <t>KR</t>
        </is>
      </c>
      <c r="F2773" s="75" t="n">
        <v>62802000</v>
      </c>
      <c r="G2773" s="75" t="n">
        <v>1301</v>
      </c>
      <c r="H2773" s="76" t="n">
        <v>2910000</v>
      </c>
      <c r="I2773" s="75" t="inlineStr">
        <is>
          <t>3월 위탁교육 - I교육원</t>
        </is>
      </c>
      <c r="J2773" s="75" t="inlineStr">
        <is>
          <t>V10015</t>
        </is>
      </c>
      <c r="K2773" s="75" t="inlineStr">
        <is>
          <t>I교육원</t>
        </is>
      </c>
      <c r="M2773" s="9">
        <f>IF($A2773="","",VALUE($A2773&amp;"")*12+VALUE($B2773&amp;""))</f>
        <v/>
      </c>
      <c r="N2773" s="39">
        <f>IF($A2773="","",IFERROR(INDEX(부서매핑!$C$5:$C$504,MATCH($G2773&amp;"",부서매핑!$A$5:$A$504,0)),"미매핑"))</f>
        <v/>
      </c>
      <c r="O2773" s="9">
        <f>IF($A2773="","",N2773&amp;"|"&amp;$F2773)</f>
        <v/>
      </c>
      <c r="P2773" s="77">
        <f>IF($A2773="",0,$H2773*설정!$C$23)</f>
        <v/>
      </c>
      <c r="Q2773" s="39">
        <f>IF($A2773="","",IF(O2773&lt;&gt;원인분석!$C$9,"",IF(AND(M2773&gt;=원인분석!$C$10,M2773&lt;=원인분석!$C$11),"당기",IF(AND(M2773&gt;=원인분석!$C$12,M2773&lt;=원인분석!$C$13),"비교",""))))</f>
        <v/>
      </c>
      <c r="R2773" s="9">
        <f>IF(Q2773="","",$K2773&amp;"")</f>
        <v/>
      </c>
      <c r="S2773" s="9">
        <f>IF(Q2773="","",IF(MATCH(R2773,$R$5:$R$100000,0)=ROW()-4,ROW(),""))</f>
        <v/>
      </c>
      <c r="T2773" s="9">
        <f>IF(Q2773="당기",ABS(P2773)+ROW()/1000000000,"")</f>
        <v/>
      </c>
      <c r="U2773" s="9">
        <f>IF(Q2773="비교",ABS(P2773)+ROW()/1000000000,"")</f>
        <v/>
      </c>
      <c r="V2773" s="39">
        <f>IF($A2773="","",IF(COUNTIF(변동분석!$E$7:$E$506,O2773)&gt;0,"Y","N"))</f>
        <v/>
      </c>
      <c r="W2773" s="39">
        <f>IF($A2773="","",IFERROR(INDEX(계정매핑!$D$5:$D$504,MATCH($F2773&amp;"",계정매핑!$A$5:$A$504,0)),"미매핑"))</f>
        <v/>
      </c>
      <c r="X2773" s="9">
        <f>IF($A2773="","",$F2773&amp;"")</f>
        <v/>
      </c>
    </row>
    <row r="2774">
      <c r="A2774" s="75" t="n">
        <v>2026</v>
      </c>
      <c r="B2774" s="75" t="n">
        <v>3</v>
      </c>
      <c r="C2774" s="75" t="inlineStr">
        <is>
          <t>5100000430</t>
        </is>
      </c>
      <c r="D2774" s="78" t="n">
        <v>46087</v>
      </c>
      <c r="E2774" s="75" t="inlineStr">
        <is>
          <t>KR</t>
        </is>
      </c>
      <c r="F2774" s="75" t="n">
        <v>62902000</v>
      </c>
      <c r="G2774" s="75" t="n">
        <v>1101</v>
      </c>
      <c r="H2774" s="76" t="n">
        <v>1011000</v>
      </c>
      <c r="I2774" s="75" t="inlineStr">
        <is>
          <t>3월 업무 위탁 수수료 - X서비스</t>
        </is>
      </c>
      <c r="J2774" s="75" t="inlineStr">
        <is>
          <t>V10016</t>
        </is>
      </c>
      <c r="K2774" s="75" t="inlineStr">
        <is>
          <t>X서비스</t>
        </is>
      </c>
      <c r="M2774" s="9">
        <f>IF($A2774="","",VALUE($A2774&amp;"")*12+VALUE($B2774&amp;""))</f>
        <v/>
      </c>
      <c r="N2774" s="39">
        <f>IF($A2774="","",IFERROR(INDEX(부서매핑!$C$5:$C$504,MATCH($G2774&amp;"",부서매핑!$A$5:$A$504,0)),"미매핑"))</f>
        <v/>
      </c>
      <c r="O2774" s="9">
        <f>IF($A2774="","",N2774&amp;"|"&amp;$F2774)</f>
        <v/>
      </c>
      <c r="P2774" s="77">
        <f>IF($A2774="",0,$H2774*설정!$C$23)</f>
        <v/>
      </c>
      <c r="Q2774" s="39">
        <f>IF($A2774="","",IF(O2774&lt;&gt;원인분석!$C$9,"",IF(AND(M2774&gt;=원인분석!$C$10,M2774&lt;=원인분석!$C$11),"당기",IF(AND(M2774&gt;=원인분석!$C$12,M2774&lt;=원인분석!$C$13),"비교",""))))</f>
        <v/>
      </c>
      <c r="R2774" s="9">
        <f>IF(Q2774="","",$K2774&amp;"")</f>
        <v/>
      </c>
      <c r="S2774" s="9">
        <f>IF(Q2774="","",IF(MATCH(R2774,$R$5:$R$100000,0)=ROW()-4,ROW(),""))</f>
        <v/>
      </c>
      <c r="T2774" s="9">
        <f>IF(Q2774="당기",ABS(P2774)+ROW()/1000000000,"")</f>
        <v/>
      </c>
      <c r="U2774" s="9">
        <f>IF(Q2774="비교",ABS(P2774)+ROW()/1000000000,"")</f>
        <v/>
      </c>
      <c r="V2774" s="39">
        <f>IF($A2774="","",IF(COUNTIF(변동분석!$E$7:$E$506,O2774)&gt;0,"Y","N"))</f>
        <v/>
      </c>
      <c r="W2774" s="39">
        <f>IF($A2774="","",IFERROR(INDEX(계정매핑!$D$5:$D$504,MATCH($F2774&amp;"",계정매핑!$A$5:$A$504,0)),"미매핑"))</f>
        <v/>
      </c>
      <c r="X2774" s="9">
        <f>IF($A2774="","",$F2774&amp;"")</f>
        <v/>
      </c>
    </row>
    <row r="2775">
      <c r="A2775" s="75" t="n">
        <v>2026</v>
      </c>
      <c r="B2775" s="75" t="n">
        <v>3</v>
      </c>
      <c r="C2775" s="75" t="inlineStr">
        <is>
          <t>5100000431</t>
        </is>
      </c>
      <c r="D2775" s="78" t="n">
        <v>46087</v>
      </c>
      <c r="E2775" s="75" t="inlineStr">
        <is>
          <t>KR</t>
        </is>
      </c>
      <c r="F2775" s="75" t="n">
        <v>62902000</v>
      </c>
      <c r="G2775" s="75" t="n">
        <v>1401</v>
      </c>
      <c r="H2775" s="76" t="n">
        <v>1752000</v>
      </c>
      <c r="I2775" s="75" t="inlineStr">
        <is>
          <t>3월 업무 위탁 수수료 - J콜센터</t>
        </is>
      </c>
      <c r="J2775" s="75" t="inlineStr">
        <is>
          <t>V10013</t>
        </is>
      </c>
      <c r="K2775" s="75" t="inlineStr">
        <is>
          <t>J콜센터</t>
        </is>
      </c>
      <c r="M2775" s="9">
        <f>IF($A2775="","",VALUE($A2775&amp;"")*12+VALUE($B2775&amp;""))</f>
        <v/>
      </c>
      <c r="N2775" s="39">
        <f>IF($A2775="","",IFERROR(INDEX(부서매핑!$C$5:$C$504,MATCH($G2775&amp;"",부서매핑!$A$5:$A$504,0)),"미매핑"))</f>
        <v/>
      </c>
      <c r="O2775" s="9">
        <f>IF($A2775="","",N2775&amp;"|"&amp;$F2775)</f>
        <v/>
      </c>
      <c r="P2775" s="77">
        <f>IF($A2775="",0,$H2775*설정!$C$23)</f>
        <v/>
      </c>
      <c r="Q2775" s="39">
        <f>IF($A2775="","",IF(O2775&lt;&gt;원인분석!$C$9,"",IF(AND(M2775&gt;=원인분석!$C$10,M2775&lt;=원인분석!$C$11),"당기",IF(AND(M2775&gt;=원인분석!$C$12,M2775&lt;=원인분석!$C$13),"비교",""))))</f>
        <v/>
      </c>
      <c r="R2775" s="9">
        <f>IF(Q2775="","",$K2775&amp;"")</f>
        <v/>
      </c>
      <c r="S2775" s="9">
        <f>IF(Q2775="","",IF(MATCH(R2775,$R$5:$R$100000,0)=ROW()-4,ROW(),""))</f>
        <v/>
      </c>
      <c r="T2775" s="9">
        <f>IF(Q2775="당기",ABS(P2775)+ROW()/1000000000,"")</f>
        <v/>
      </c>
      <c r="U2775" s="9">
        <f>IF(Q2775="비교",ABS(P2775)+ROW()/1000000000,"")</f>
        <v/>
      </c>
      <c r="V2775" s="39">
        <f>IF($A2775="","",IF(COUNTIF(변동분석!$E$7:$E$506,O2775)&gt;0,"Y","N"))</f>
        <v/>
      </c>
      <c r="W2775" s="39">
        <f>IF($A2775="","",IFERROR(INDEX(계정매핑!$D$5:$D$504,MATCH($F2775&amp;"",계정매핑!$A$5:$A$504,0)),"미매핑"))</f>
        <v/>
      </c>
      <c r="X2775" s="9">
        <f>IF($A2775="","",$F2775&amp;"")</f>
        <v/>
      </c>
    </row>
    <row r="2776">
      <c r="A2776" s="75" t="n">
        <v>2026</v>
      </c>
      <c r="B2776" s="75" t="n">
        <v>3</v>
      </c>
      <c r="C2776" s="75" t="inlineStr">
        <is>
          <t>5100000432</t>
        </is>
      </c>
      <c r="D2776" s="78" t="n">
        <v>46088</v>
      </c>
      <c r="E2776" s="75" t="inlineStr">
        <is>
          <t>KR</t>
        </is>
      </c>
      <c r="F2776" s="75" t="n">
        <v>62101000</v>
      </c>
      <c r="G2776" s="75" t="n">
        <v>1401</v>
      </c>
      <c r="H2776" s="76" t="n">
        <v>433000</v>
      </c>
      <c r="I2776" s="75" t="inlineStr">
        <is>
          <t>3월 국내출장 - M항공</t>
        </is>
      </c>
      <c r="J2776" s="75" t="inlineStr">
        <is>
          <t>V10001</t>
        </is>
      </c>
      <c r="K2776" s="75" t="inlineStr">
        <is>
          <t>M항공</t>
        </is>
      </c>
      <c r="M2776" s="9">
        <f>IF($A2776="","",VALUE($A2776&amp;"")*12+VALUE($B2776&amp;""))</f>
        <v/>
      </c>
      <c r="N2776" s="39">
        <f>IF($A2776="","",IFERROR(INDEX(부서매핑!$C$5:$C$504,MATCH($G2776&amp;"",부서매핑!$A$5:$A$504,0)),"미매핑"))</f>
        <v/>
      </c>
      <c r="O2776" s="9">
        <f>IF($A2776="","",N2776&amp;"|"&amp;$F2776)</f>
        <v/>
      </c>
      <c r="P2776" s="77">
        <f>IF($A2776="",0,$H2776*설정!$C$23)</f>
        <v/>
      </c>
      <c r="Q2776" s="39">
        <f>IF($A2776="","",IF(O2776&lt;&gt;원인분석!$C$9,"",IF(AND(M2776&gt;=원인분석!$C$10,M2776&lt;=원인분석!$C$11),"당기",IF(AND(M2776&gt;=원인분석!$C$12,M2776&lt;=원인분석!$C$13),"비교",""))))</f>
        <v/>
      </c>
      <c r="R2776" s="9">
        <f>IF(Q2776="","",$K2776&amp;"")</f>
        <v/>
      </c>
      <c r="S2776" s="9">
        <f>IF(Q2776="","",IF(MATCH(R2776,$R$5:$R$100000,0)=ROW()-4,ROW(),""))</f>
        <v/>
      </c>
      <c r="T2776" s="9">
        <f>IF(Q2776="당기",ABS(P2776)+ROW()/1000000000,"")</f>
        <v/>
      </c>
      <c r="U2776" s="9">
        <f>IF(Q2776="비교",ABS(P2776)+ROW()/1000000000,"")</f>
        <v/>
      </c>
      <c r="V2776" s="39">
        <f>IF($A2776="","",IF(COUNTIF(변동분석!$E$7:$E$506,O2776)&gt;0,"Y","N"))</f>
        <v/>
      </c>
      <c r="W2776" s="39">
        <f>IF($A2776="","",IFERROR(INDEX(계정매핑!$D$5:$D$504,MATCH($F2776&amp;"",계정매핑!$A$5:$A$504,0)),"미매핑"))</f>
        <v/>
      </c>
      <c r="X2776" s="9">
        <f>IF($A2776="","",$F2776&amp;"")</f>
        <v/>
      </c>
    </row>
    <row r="2777">
      <c r="A2777" s="75" t="n">
        <v>2026</v>
      </c>
      <c r="B2777" s="75" t="n">
        <v>3</v>
      </c>
      <c r="C2777" s="75" t="inlineStr">
        <is>
          <t>5100000433</t>
        </is>
      </c>
      <c r="D2777" s="78" t="n">
        <v>46088</v>
      </c>
      <c r="E2777" s="75" t="inlineStr">
        <is>
          <t>KR</t>
        </is>
      </c>
      <c r="F2777" s="75" t="n">
        <v>62101000</v>
      </c>
      <c r="G2777" s="75" t="n">
        <v>1701</v>
      </c>
      <c r="H2777" s="76" t="n">
        <v>261000</v>
      </c>
      <c r="I2777" s="75" t="inlineStr">
        <is>
          <t>3월 국내출장 - (법인카드)</t>
        </is>
      </c>
      <c r="J2777" s="75" t="inlineStr">
        <is>
          <t>V10008</t>
        </is>
      </c>
      <c r="K2777" s="75" t="inlineStr">
        <is>
          <t>(법인카드)</t>
        </is>
      </c>
      <c r="M2777" s="9">
        <f>IF($A2777="","",VALUE($A2777&amp;"")*12+VALUE($B2777&amp;""))</f>
        <v/>
      </c>
      <c r="N2777" s="39">
        <f>IF($A2777="","",IFERROR(INDEX(부서매핑!$C$5:$C$504,MATCH($G2777&amp;"",부서매핑!$A$5:$A$504,0)),"미매핑"))</f>
        <v/>
      </c>
      <c r="O2777" s="9">
        <f>IF($A2777="","",N2777&amp;"|"&amp;$F2777)</f>
        <v/>
      </c>
      <c r="P2777" s="77">
        <f>IF($A2777="",0,$H2777*설정!$C$23)</f>
        <v/>
      </c>
      <c r="Q2777" s="39">
        <f>IF($A2777="","",IF(O2777&lt;&gt;원인분석!$C$9,"",IF(AND(M2777&gt;=원인분석!$C$10,M2777&lt;=원인분석!$C$11),"당기",IF(AND(M2777&gt;=원인분석!$C$12,M2777&lt;=원인분석!$C$13),"비교",""))))</f>
        <v/>
      </c>
      <c r="R2777" s="9">
        <f>IF(Q2777="","",$K2777&amp;"")</f>
        <v/>
      </c>
      <c r="S2777" s="9">
        <f>IF(Q2777="","",IF(MATCH(R2777,$R$5:$R$100000,0)=ROW()-4,ROW(),""))</f>
        <v/>
      </c>
      <c r="T2777" s="9">
        <f>IF(Q2777="당기",ABS(P2777)+ROW()/1000000000,"")</f>
        <v/>
      </c>
      <c r="U2777" s="9">
        <f>IF(Q2777="비교",ABS(P2777)+ROW()/1000000000,"")</f>
        <v/>
      </c>
      <c r="V2777" s="39">
        <f>IF($A2777="","",IF(COUNTIF(변동분석!$E$7:$E$506,O2777)&gt;0,"Y","N"))</f>
        <v/>
      </c>
      <c r="W2777" s="39">
        <f>IF($A2777="","",IFERROR(INDEX(계정매핑!$D$5:$D$504,MATCH($F2777&amp;"",계정매핑!$A$5:$A$504,0)),"미매핑"))</f>
        <v/>
      </c>
      <c r="X2777" s="9">
        <f>IF($A2777="","",$F2777&amp;"")</f>
        <v/>
      </c>
    </row>
    <row r="2778">
      <c r="A2778" s="75" t="n">
        <v>2026</v>
      </c>
      <c r="B2778" s="75" t="n">
        <v>3</v>
      </c>
      <c r="C2778" s="75" t="inlineStr">
        <is>
          <t>5100000434</t>
        </is>
      </c>
      <c r="D2778" s="78" t="n">
        <v>46088</v>
      </c>
      <c r="E2778" s="75" t="inlineStr">
        <is>
          <t>KR</t>
        </is>
      </c>
      <c r="F2778" s="75" t="n">
        <v>62201000</v>
      </c>
      <c r="G2778" s="75" t="n">
        <v>1601</v>
      </c>
      <c r="H2778" s="76" t="n">
        <v>651000</v>
      </c>
      <c r="I2778" s="75" t="inlineStr">
        <is>
          <t>3월 통신요금 - O텔레콤</t>
        </is>
      </c>
      <c r="J2778" s="75" t="inlineStr">
        <is>
          <t>V10002</t>
        </is>
      </c>
      <c r="K2778" s="75" t="inlineStr">
        <is>
          <t>O텔레콤</t>
        </is>
      </c>
      <c r="M2778" s="9">
        <f>IF($A2778="","",VALUE($A2778&amp;"")*12+VALUE($B2778&amp;""))</f>
        <v/>
      </c>
      <c r="N2778" s="39">
        <f>IF($A2778="","",IFERROR(INDEX(부서매핑!$C$5:$C$504,MATCH($G2778&amp;"",부서매핑!$A$5:$A$504,0)),"미매핑"))</f>
        <v/>
      </c>
      <c r="O2778" s="9">
        <f>IF($A2778="","",N2778&amp;"|"&amp;$F2778)</f>
        <v/>
      </c>
      <c r="P2778" s="77">
        <f>IF($A2778="",0,$H2778*설정!$C$23)</f>
        <v/>
      </c>
      <c r="Q2778" s="39">
        <f>IF($A2778="","",IF(O2778&lt;&gt;원인분석!$C$9,"",IF(AND(M2778&gt;=원인분석!$C$10,M2778&lt;=원인분석!$C$11),"당기",IF(AND(M2778&gt;=원인분석!$C$12,M2778&lt;=원인분석!$C$13),"비교",""))))</f>
        <v/>
      </c>
      <c r="R2778" s="9">
        <f>IF(Q2778="","",$K2778&amp;"")</f>
        <v/>
      </c>
      <c r="S2778" s="9">
        <f>IF(Q2778="","",IF(MATCH(R2778,$R$5:$R$100000,0)=ROW()-4,ROW(),""))</f>
        <v/>
      </c>
      <c r="T2778" s="9">
        <f>IF(Q2778="당기",ABS(P2778)+ROW()/1000000000,"")</f>
        <v/>
      </c>
      <c r="U2778" s="9">
        <f>IF(Q2778="비교",ABS(P2778)+ROW()/1000000000,"")</f>
        <v/>
      </c>
      <c r="V2778" s="39">
        <f>IF($A2778="","",IF(COUNTIF(변동분석!$E$7:$E$506,O2778)&gt;0,"Y","N"))</f>
        <v/>
      </c>
      <c r="W2778" s="39">
        <f>IF($A2778="","",IFERROR(INDEX(계정매핑!$D$5:$D$504,MATCH($F2778&amp;"",계정매핑!$A$5:$A$504,0)),"미매핑"))</f>
        <v/>
      </c>
      <c r="X2778" s="9">
        <f>IF($A2778="","",$F2778&amp;"")</f>
        <v/>
      </c>
    </row>
    <row r="2779">
      <c r="A2779" s="75" t="n">
        <v>2026</v>
      </c>
      <c r="B2779" s="75" t="n">
        <v>3</v>
      </c>
      <c r="C2779" s="75" t="inlineStr">
        <is>
          <t>5100000435</t>
        </is>
      </c>
      <c r="D2779" s="78" t="n">
        <v>46088</v>
      </c>
      <c r="E2779" s="75" t="inlineStr">
        <is>
          <t>KR</t>
        </is>
      </c>
      <c r="F2779" s="75" t="n">
        <v>62301000</v>
      </c>
      <c r="G2779" s="75" t="n">
        <v>1201</v>
      </c>
      <c r="H2779" s="76" t="n">
        <v>240000</v>
      </c>
      <c r="I2779" s="75" t="inlineStr">
        <is>
          <t>3월 소모품 구입 - R문구</t>
        </is>
      </c>
      <c r="J2779" s="75" t="inlineStr">
        <is>
          <t>V10018</t>
        </is>
      </c>
      <c r="K2779" s="75" t="inlineStr">
        <is>
          <t>R문구</t>
        </is>
      </c>
      <c r="M2779" s="9">
        <f>IF($A2779="","",VALUE($A2779&amp;"")*12+VALUE($B2779&amp;""))</f>
        <v/>
      </c>
      <c r="N2779" s="39">
        <f>IF($A2779="","",IFERROR(INDEX(부서매핑!$C$5:$C$504,MATCH($G2779&amp;"",부서매핑!$A$5:$A$504,0)),"미매핑"))</f>
        <v/>
      </c>
      <c r="O2779" s="9">
        <f>IF($A2779="","",N2779&amp;"|"&amp;$F2779)</f>
        <v/>
      </c>
      <c r="P2779" s="77">
        <f>IF($A2779="",0,$H2779*설정!$C$23)</f>
        <v/>
      </c>
      <c r="Q2779" s="39">
        <f>IF($A2779="","",IF(O2779&lt;&gt;원인분석!$C$9,"",IF(AND(M2779&gt;=원인분석!$C$10,M2779&lt;=원인분석!$C$11),"당기",IF(AND(M2779&gt;=원인분석!$C$12,M2779&lt;=원인분석!$C$13),"비교",""))))</f>
        <v/>
      </c>
      <c r="R2779" s="9">
        <f>IF(Q2779="","",$K2779&amp;"")</f>
        <v/>
      </c>
      <c r="S2779" s="9">
        <f>IF(Q2779="","",IF(MATCH(R2779,$R$5:$R$100000,0)=ROW()-4,ROW(),""))</f>
        <v/>
      </c>
      <c r="T2779" s="9">
        <f>IF(Q2779="당기",ABS(P2779)+ROW()/1000000000,"")</f>
        <v/>
      </c>
      <c r="U2779" s="9">
        <f>IF(Q2779="비교",ABS(P2779)+ROW()/1000000000,"")</f>
        <v/>
      </c>
      <c r="V2779" s="39">
        <f>IF($A2779="","",IF(COUNTIF(변동분석!$E$7:$E$506,O2779)&gt;0,"Y","N"))</f>
        <v/>
      </c>
      <c r="W2779" s="39">
        <f>IF($A2779="","",IFERROR(INDEX(계정매핑!$D$5:$D$504,MATCH($F2779&amp;"",계정매핑!$A$5:$A$504,0)),"미매핑"))</f>
        <v/>
      </c>
      <c r="X2779" s="9">
        <f>IF($A2779="","",$F2779&amp;"")</f>
        <v/>
      </c>
    </row>
    <row r="2780">
      <c r="A2780" s="75" t="n">
        <v>2026</v>
      </c>
      <c r="B2780" s="75" t="n">
        <v>3</v>
      </c>
      <c r="C2780" s="75" t="inlineStr">
        <is>
          <t>5100000436</t>
        </is>
      </c>
      <c r="D2780" s="78" t="n">
        <v>46088</v>
      </c>
      <c r="E2780" s="75" t="inlineStr">
        <is>
          <t>KR</t>
        </is>
      </c>
      <c r="F2780" s="75" t="n">
        <v>62301000</v>
      </c>
      <c r="G2780" s="75" t="n">
        <v>1701</v>
      </c>
      <c r="H2780" s="76" t="n">
        <v>252000</v>
      </c>
      <c r="I2780" s="75" t="inlineStr">
        <is>
          <t>3월 소모품 구입 - Q오피스</t>
        </is>
      </c>
      <c r="J2780" s="75" t="inlineStr">
        <is>
          <t>V10003</t>
        </is>
      </c>
      <c r="K2780" s="75" t="inlineStr">
        <is>
          <t>Q오피스</t>
        </is>
      </c>
      <c r="M2780" s="9">
        <f>IF($A2780="","",VALUE($A2780&amp;"")*12+VALUE($B2780&amp;""))</f>
        <v/>
      </c>
      <c r="N2780" s="39">
        <f>IF($A2780="","",IFERROR(INDEX(부서매핑!$C$5:$C$504,MATCH($G2780&amp;"",부서매핑!$A$5:$A$504,0)),"미매핑"))</f>
        <v/>
      </c>
      <c r="O2780" s="9">
        <f>IF($A2780="","",N2780&amp;"|"&amp;$F2780)</f>
        <v/>
      </c>
      <c r="P2780" s="77">
        <f>IF($A2780="",0,$H2780*설정!$C$23)</f>
        <v/>
      </c>
      <c r="Q2780" s="39">
        <f>IF($A2780="","",IF(O2780&lt;&gt;원인분석!$C$9,"",IF(AND(M2780&gt;=원인분석!$C$10,M2780&lt;=원인분석!$C$11),"당기",IF(AND(M2780&gt;=원인분석!$C$12,M2780&lt;=원인분석!$C$13),"비교",""))))</f>
        <v/>
      </c>
      <c r="R2780" s="9">
        <f>IF(Q2780="","",$K2780&amp;"")</f>
        <v/>
      </c>
      <c r="S2780" s="9">
        <f>IF(Q2780="","",IF(MATCH(R2780,$R$5:$R$100000,0)=ROW()-4,ROW(),""))</f>
        <v/>
      </c>
      <c r="T2780" s="9">
        <f>IF(Q2780="당기",ABS(P2780)+ROW()/1000000000,"")</f>
        <v/>
      </c>
      <c r="U2780" s="9">
        <f>IF(Q2780="비교",ABS(P2780)+ROW()/1000000000,"")</f>
        <v/>
      </c>
      <c r="V2780" s="39">
        <f>IF($A2780="","",IF(COUNTIF(변동분석!$E$7:$E$506,O2780)&gt;0,"Y","N"))</f>
        <v/>
      </c>
      <c r="W2780" s="39">
        <f>IF($A2780="","",IFERROR(INDEX(계정매핑!$D$5:$D$504,MATCH($F2780&amp;"",계정매핑!$A$5:$A$504,0)),"미매핑"))</f>
        <v/>
      </c>
      <c r="X2780" s="9">
        <f>IF($A2780="","",$F2780&amp;"")</f>
        <v/>
      </c>
    </row>
    <row r="2781">
      <c r="A2781" s="75" t="n">
        <v>2026</v>
      </c>
      <c r="B2781" s="75" t="n">
        <v>3</v>
      </c>
      <c r="C2781" s="75" t="inlineStr">
        <is>
          <t>5100000437</t>
        </is>
      </c>
      <c r="D2781" s="78" t="n">
        <v>46088</v>
      </c>
      <c r="E2781" s="75" t="inlineStr">
        <is>
          <t>KR</t>
        </is>
      </c>
      <c r="F2781" s="75" t="n">
        <v>62501000</v>
      </c>
      <c r="G2781" s="75" t="n">
        <v>1701</v>
      </c>
      <c r="H2781" s="76" t="n">
        <v>119000</v>
      </c>
      <c r="I2781" s="75" t="inlineStr">
        <is>
          <t>3월 회의 다과 - (법인카드)</t>
        </is>
      </c>
      <c r="J2781" s="75" t="inlineStr">
        <is>
          <t>V10008</t>
        </is>
      </c>
      <c r="K2781" s="75" t="inlineStr">
        <is>
          <t>(법인카드)</t>
        </is>
      </c>
      <c r="M2781" s="9">
        <f>IF($A2781="","",VALUE($A2781&amp;"")*12+VALUE($B2781&amp;""))</f>
        <v/>
      </c>
      <c r="N2781" s="39">
        <f>IF($A2781="","",IFERROR(INDEX(부서매핑!$C$5:$C$504,MATCH($G2781&amp;"",부서매핑!$A$5:$A$504,0)),"미매핑"))</f>
        <v/>
      </c>
      <c r="O2781" s="9">
        <f>IF($A2781="","",N2781&amp;"|"&amp;$F2781)</f>
        <v/>
      </c>
      <c r="P2781" s="77">
        <f>IF($A2781="",0,$H2781*설정!$C$23)</f>
        <v/>
      </c>
      <c r="Q2781" s="39">
        <f>IF($A2781="","",IF(O2781&lt;&gt;원인분석!$C$9,"",IF(AND(M2781&gt;=원인분석!$C$10,M2781&lt;=원인분석!$C$11),"당기",IF(AND(M2781&gt;=원인분석!$C$12,M2781&lt;=원인분석!$C$13),"비교",""))))</f>
        <v/>
      </c>
      <c r="R2781" s="9">
        <f>IF(Q2781="","",$K2781&amp;"")</f>
        <v/>
      </c>
      <c r="S2781" s="9">
        <f>IF(Q2781="","",IF(MATCH(R2781,$R$5:$R$100000,0)=ROW()-4,ROW(),""))</f>
        <v/>
      </c>
      <c r="T2781" s="9">
        <f>IF(Q2781="당기",ABS(P2781)+ROW()/1000000000,"")</f>
        <v/>
      </c>
      <c r="U2781" s="9">
        <f>IF(Q2781="비교",ABS(P2781)+ROW()/1000000000,"")</f>
        <v/>
      </c>
      <c r="V2781" s="39">
        <f>IF($A2781="","",IF(COUNTIF(변동분석!$E$7:$E$506,O2781)&gt;0,"Y","N"))</f>
        <v/>
      </c>
      <c r="W2781" s="39">
        <f>IF($A2781="","",IFERROR(INDEX(계정매핑!$D$5:$D$504,MATCH($F2781&amp;"",계정매핑!$A$5:$A$504,0)),"미매핑"))</f>
        <v/>
      </c>
      <c r="X2781" s="9">
        <f>IF($A2781="","",$F2781&amp;"")</f>
        <v/>
      </c>
    </row>
    <row r="2782">
      <c r="A2782" s="75" t="n">
        <v>2026</v>
      </c>
      <c r="B2782" s="75" t="n">
        <v>3</v>
      </c>
      <c r="C2782" s="75" t="inlineStr">
        <is>
          <t>5100000438</t>
        </is>
      </c>
      <c r="D2782" s="78" t="n">
        <v>46088</v>
      </c>
      <c r="E2782" s="75" t="inlineStr">
        <is>
          <t>KR</t>
        </is>
      </c>
      <c r="F2782" s="75" t="n">
        <v>62501000</v>
      </c>
      <c r="G2782" s="75" t="n">
        <v>1701</v>
      </c>
      <c r="H2782" s="76" t="n">
        <v>133000</v>
      </c>
      <c r="I2782" s="75" t="inlineStr">
        <is>
          <t>3월 회의 다과 - T케이터링</t>
        </is>
      </c>
      <c r="J2782" s="75" t="inlineStr">
        <is>
          <t>V10005</t>
        </is>
      </c>
      <c r="K2782" s="75" t="inlineStr">
        <is>
          <t>T케이터링</t>
        </is>
      </c>
      <c r="M2782" s="9">
        <f>IF($A2782="","",VALUE($A2782&amp;"")*12+VALUE($B2782&amp;""))</f>
        <v/>
      </c>
      <c r="N2782" s="39">
        <f>IF($A2782="","",IFERROR(INDEX(부서매핑!$C$5:$C$504,MATCH($G2782&amp;"",부서매핑!$A$5:$A$504,0)),"미매핑"))</f>
        <v/>
      </c>
      <c r="O2782" s="9">
        <f>IF($A2782="","",N2782&amp;"|"&amp;$F2782)</f>
        <v/>
      </c>
      <c r="P2782" s="77">
        <f>IF($A2782="",0,$H2782*설정!$C$23)</f>
        <v/>
      </c>
      <c r="Q2782" s="39">
        <f>IF($A2782="","",IF(O2782&lt;&gt;원인분석!$C$9,"",IF(AND(M2782&gt;=원인분석!$C$10,M2782&lt;=원인분석!$C$11),"당기",IF(AND(M2782&gt;=원인분석!$C$12,M2782&lt;=원인분석!$C$13),"비교",""))))</f>
        <v/>
      </c>
      <c r="R2782" s="9">
        <f>IF(Q2782="","",$K2782&amp;"")</f>
        <v/>
      </c>
      <c r="S2782" s="9">
        <f>IF(Q2782="","",IF(MATCH(R2782,$R$5:$R$100000,0)=ROW()-4,ROW(),""))</f>
        <v/>
      </c>
      <c r="T2782" s="9">
        <f>IF(Q2782="당기",ABS(P2782)+ROW()/1000000000,"")</f>
        <v/>
      </c>
      <c r="U2782" s="9">
        <f>IF(Q2782="비교",ABS(P2782)+ROW()/1000000000,"")</f>
        <v/>
      </c>
      <c r="V2782" s="39">
        <f>IF($A2782="","",IF(COUNTIF(변동분석!$E$7:$E$506,O2782)&gt;0,"Y","N"))</f>
        <v/>
      </c>
      <c r="W2782" s="39">
        <f>IF($A2782="","",IFERROR(INDEX(계정매핑!$D$5:$D$504,MATCH($F2782&amp;"",계정매핑!$A$5:$A$504,0)),"미매핑"))</f>
        <v/>
      </c>
      <c r="X2782" s="9">
        <f>IF($A2782="","",$F2782&amp;"")</f>
        <v/>
      </c>
    </row>
    <row r="2783">
      <c r="A2783" s="75" t="n">
        <v>2026</v>
      </c>
      <c r="B2783" s="75" t="n">
        <v>3</v>
      </c>
      <c r="C2783" s="75" t="inlineStr">
        <is>
          <t>5100000439</t>
        </is>
      </c>
      <c r="D2783" s="78" t="n">
        <v>46088</v>
      </c>
      <c r="E2783" s="75" t="inlineStr">
        <is>
          <t>KR</t>
        </is>
      </c>
      <c r="F2783" s="75" t="n">
        <v>62901000</v>
      </c>
      <c r="G2783" s="75" t="n">
        <v>1101</v>
      </c>
      <c r="H2783" s="76" t="n">
        <v>4364000</v>
      </c>
      <c r="I2783" s="75" t="inlineStr">
        <is>
          <t>3월 자문 수수료 - K회계법인</t>
        </is>
      </c>
      <c r="J2783" s="75" t="inlineStr">
        <is>
          <t>V10010</t>
        </is>
      </c>
      <c r="K2783" s="75" t="inlineStr">
        <is>
          <t>K회계법인</t>
        </is>
      </c>
      <c r="M2783" s="9">
        <f>IF($A2783="","",VALUE($A2783&amp;"")*12+VALUE($B2783&amp;""))</f>
        <v/>
      </c>
      <c r="N2783" s="39">
        <f>IF($A2783="","",IFERROR(INDEX(부서매핑!$C$5:$C$504,MATCH($G2783&amp;"",부서매핑!$A$5:$A$504,0)),"미매핑"))</f>
        <v/>
      </c>
      <c r="O2783" s="9">
        <f>IF($A2783="","",N2783&amp;"|"&amp;$F2783)</f>
        <v/>
      </c>
      <c r="P2783" s="77">
        <f>IF($A2783="",0,$H2783*설정!$C$23)</f>
        <v/>
      </c>
      <c r="Q2783" s="39">
        <f>IF($A2783="","",IF(O2783&lt;&gt;원인분석!$C$9,"",IF(AND(M2783&gt;=원인분석!$C$10,M2783&lt;=원인분석!$C$11),"당기",IF(AND(M2783&gt;=원인분석!$C$12,M2783&lt;=원인분석!$C$13),"비교",""))))</f>
        <v/>
      </c>
      <c r="R2783" s="9">
        <f>IF(Q2783="","",$K2783&amp;"")</f>
        <v/>
      </c>
      <c r="S2783" s="9">
        <f>IF(Q2783="","",IF(MATCH(R2783,$R$5:$R$100000,0)=ROW()-4,ROW(),""))</f>
        <v/>
      </c>
      <c r="T2783" s="9">
        <f>IF(Q2783="당기",ABS(P2783)+ROW()/1000000000,"")</f>
        <v/>
      </c>
      <c r="U2783" s="9">
        <f>IF(Q2783="비교",ABS(P2783)+ROW()/1000000000,"")</f>
        <v/>
      </c>
      <c r="V2783" s="39">
        <f>IF($A2783="","",IF(COUNTIF(변동분석!$E$7:$E$506,O2783)&gt;0,"Y","N"))</f>
        <v/>
      </c>
      <c r="W2783" s="39">
        <f>IF($A2783="","",IFERROR(INDEX(계정매핑!$D$5:$D$504,MATCH($F2783&amp;"",계정매핑!$A$5:$A$504,0)),"미매핑"))</f>
        <v/>
      </c>
      <c r="X2783" s="9">
        <f>IF($A2783="","",$F2783&amp;"")</f>
        <v/>
      </c>
    </row>
    <row r="2784">
      <c r="A2784" s="75" t="n">
        <v>2026</v>
      </c>
      <c r="B2784" s="75" t="n">
        <v>3</v>
      </c>
      <c r="C2784" s="75" t="inlineStr">
        <is>
          <t>5100000440</t>
        </is>
      </c>
      <c r="D2784" s="78" t="n">
        <v>46089</v>
      </c>
      <c r="E2784" s="75" t="inlineStr">
        <is>
          <t>KR</t>
        </is>
      </c>
      <c r="F2784" s="75" t="n">
        <v>62101000</v>
      </c>
      <c r="G2784" s="75" t="n">
        <v>1101</v>
      </c>
      <c r="H2784" s="76" t="n">
        <v>460000</v>
      </c>
      <c r="I2784" s="75" t="inlineStr">
        <is>
          <t>3월 국내출장 - (법인카드)</t>
        </is>
      </c>
      <c r="J2784" s="75" t="inlineStr">
        <is>
          <t>V10008</t>
        </is>
      </c>
      <c r="K2784" s="75" t="inlineStr">
        <is>
          <t>(법인카드)</t>
        </is>
      </c>
      <c r="M2784" s="9">
        <f>IF($A2784="","",VALUE($A2784&amp;"")*12+VALUE($B2784&amp;""))</f>
        <v/>
      </c>
      <c r="N2784" s="39">
        <f>IF($A2784="","",IFERROR(INDEX(부서매핑!$C$5:$C$504,MATCH($G2784&amp;"",부서매핑!$A$5:$A$504,0)),"미매핑"))</f>
        <v/>
      </c>
      <c r="O2784" s="9">
        <f>IF($A2784="","",N2784&amp;"|"&amp;$F2784)</f>
        <v/>
      </c>
      <c r="P2784" s="77">
        <f>IF($A2784="",0,$H2784*설정!$C$23)</f>
        <v/>
      </c>
      <c r="Q2784" s="39">
        <f>IF($A2784="","",IF(O2784&lt;&gt;원인분석!$C$9,"",IF(AND(M2784&gt;=원인분석!$C$10,M2784&lt;=원인분석!$C$11),"당기",IF(AND(M2784&gt;=원인분석!$C$12,M2784&lt;=원인분석!$C$13),"비교",""))))</f>
        <v/>
      </c>
      <c r="R2784" s="9">
        <f>IF(Q2784="","",$K2784&amp;"")</f>
        <v/>
      </c>
      <c r="S2784" s="9">
        <f>IF(Q2784="","",IF(MATCH(R2784,$R$5:$R$100000,0)=ROW()-4,ROW(),""))</f>
        <v/>
      </c>
      <c r="T2784" s="9">
        <f>IF(Q2784="당기",ABS(P2784)+ROW()/1000000000,"")</f>
        <v/>
      </c>
      <c r="U2784" s="9">
        <f>IF(Q2784="비교",ABS(P2784)+ROW()/1000000000,"")</f>
        <v/>
      </c>
      <c r="V2784" s="39">
        <f>IF($A2784="","",IF(COUNTIF(변동분석!$E$7:$E$506,O2784)&gt;0,"Y","N"))</f>
        <v/>
      </c>
      <c r="W2784" s="39">
        <f>IF($A2784="","",IFERROR(INDEX(계정매핑!$D$5:$D$504,MATCH($F2784&amp;"",계정매핑!$A$5:$A$504,0)),"미매핑"))</f>
        <v/>
      </c>
      <c r="X2784" s="9">
        <f>IF($A2784="","",$F2784&amp;"")</f>
        <v/>
      </c>
    </row>
    <row r="2785">
      <c r="A2785" s="75" t="n">
        <v>2026</v>
      </c>
      <c r="B2785" s="75" t="n">
        <v>3</v>
      </c>
      <c r="C2785" s="75" t="inlineStr">
        <is>
          <t>5100000441</t>
        </is>
      </c>
      <c r="D2785" s="78" t="n">
        <v>46089</v>
      </c>
      <c r="E2785" s="75" t="inlineStr">
        <is>
          <t>KR</t>
        </is>
      </c>
      <c r="F2785" s="75" t="n">
        <v>62101000</v>
      </c>
      <c r="G2785" s="75" t="n">
        <v>1601</v>
      </c>
      <c r="H2785" s="76" t="n">
        <v>1452000</v>
      </c>
      <c r="I2785" s="75" t="inlineStr">
        <is>
          <t>3월 국내출장 - (법인카드)</t>
        </is>
      </c>
      <c r="J2785" s="75" t="inlineStr">
        <is>
          <t>V10008</t>
        </is>
      </c>
      <c r="K2785" s="75" t="inlineStr">
        <is>
          <t>(법인카드)</t>
        </is>
      </c>
      <c r="M2785" s="9">
        <f>IF($A2785="","",VALUE($A2785&amp;"")*12+VALUE($B2785&amp;""))</f>
        <v/>
      </c>
      <c r="N2785" s="39">
        <f>IF($A2785="","",IFERROR(INDEX(부서매핑!$C$5:$C$504,MATCH($G2785&amp;"",부서매핑!$A$5:$A$504,0)),"미매핑"))</f>
        <v/>
      </c>
      <c r="O2785" s="9">
        <f>IF($A2785="","",N2785&amp;"|"&amp;$F2785)</f>
        <v/>
      </c>
      <c r="P2785" s="77">
        <f>IF($A2785="",0,$H2785*설정!$C$23)</f>
        <v/>
      </c>
      <c r="Q2785" s="39">
        <f>IF($A2785="","",IF(O2785&lt;&gt;원인분석!$C$9,"",IF(AND(M2785&gt;=원인분석!$C$10,M2785&lt;=원인분석!$C$11),"당기",IF(AND(M2785&gt;=원인분석!$C$12,M2785&lt;=원인분석!$C$13),"비교",""))))</f>
        <v/>
      </c>
      <c r="R2785" s="9">
        <f>IF(Q2785="","",$K2785&amp;"")</f>
        <v/>
      </c>
      <c r="S2785" s="9">
        <f>IF(Q2785="","",IF(MATCH(R2785,$R$5:$R$100000,0)=ROW()-4,ROW(),""))</f>
        <v/>
      </c>
      <c r="T2785" s="9">
        <f>IF(Q2785="당기",ABS(P2785)+ROW()/1000000000,"")</f>
        <v/>
      </c>
      <c r="U2785" s="9">
        <f>IF(Q2785="비교",ABS(P2785)+ROW()/1000000000,"")</f>
        <v/>
      </c>
      <c r="V2785" s="39">
        <f>IF($A2785="","",IF(COUNTIF(변동분석!$E$7:$E$506,O2785)&gt;0,"Y","N"))</f>
        <v/>
      </c>
      <c r="W2785" s="39">
        <f>IF($A2785="","",IFERROR(INDEX(계정매핑!$D$5:$D$504,MATCH($F2785&amp;"",계정매핑!$A$5:$A$504,0)),"미매핑"))</f>
        <v/>
      </c>
      <c r="X2785" s="9">
        <f>IF($A2785="","",$F2785&amp;"")</f>
        <v/>
      </c>
    </row>
    <row r="2786">
      <c r="A2786" s="75" t="n">
        <v>2026</v>
      </c>
      <c r="B2786" s="75" t="n">
        <v>3</v>
      </c>
      <c r="C2786" s="75" t="inlineStr">
        <is>
          <t>5100000442</t>
        </is>
      </c>
      <c r="D2786" s="78" t="n">
        <v>46089</v>
      </c>
      <c r="E2786" s="75" t="inlineStr">
        <is>
          <t>KR</t>
        </is>
      </c>
      <c r="F2786" s="75" t="n">
        <v>62101000</v>
      </c>
      <c r="G2786" s="75" t="n">
        <v>1602</v>
      </c>
      <c r="H2786" s="76" t="n">
        <v>1447000</v>
      </c>
      <c r="I2786" s="75" t="inlineStr">
        <is>
          <t>3월 국내출장 - L여행사</t>
        </is>
      </c>
      <c r="J2786" s="75" t="inlineStr">
        <is>
          <t>V10014</t>
        </is>
      </c>
      <c r="K2786" s="75" t="inlineStr">
        <is>
          <t>L여행사</t>
        </is>
      </c>
      <c r="M2786" s="9">
        <f>IF($A2786="","",VALUE($A2786&amp;"")*12+VALUE($B2786&amp;""))</f>
        <v/>
      </c>
      <c r="N2786" s="39">
        <f>IF($A2786="","",IFERROR(INDEX(부서매핑!$C$5:$C$504,MATCH($G2786&amp;"",부서매핑!$A$5:$A$504,0)),"미매핑"))</f>
        <v/>
      </c>
      <c r="O2786" s="9">
        <f>IF($A2786="","",N2786&amp;"|"&amp;$F2786)</f>
        <v/>
      </c>
      <c r="P2786" s="77">
        <f>IF($A2786="",0,$H2786*설정!$C$23)</f>
        <v/>
      </c>
      <c r="Q2786" s="39">
        <f>IF($A2786="","",IF(O2786&lt;&gt;원인분석!$C$9,"",IF(AND(M2786&gt;=원인분석!$C$10,M2786&lt;=원인분석!$C$11),"당기",IF(AND(M2786&gt;=원인분석!$C$12,M2786&lt;=원인분석!$C$13),"비교",""))))</f>
        <v/>
      </c>
      <c r="R2786" s="9">
        <f>IF(Q2786="","",$K2786&amp;"")</f>
        <v/>
      </c>
      <c r="S2786" s="9">
        <f>IF(Q2786="","",IF(MATCH(R2786,$R$5:$R$100000,0)=ROW()-4,ROW(),""))</f>
        <v/>
      </c>
      <c r="T2786" s="9">
        <f>IF(Q2786="당기",ABS(P2786)+ROW()/1000000000,"")</f>
        <v/>
      </c>
      <c r="U2786" s="9">
        <f>IF(Q2786="비교",ABS(P2786)+ROW()/1000000000,"")</f>
        <v/>
      </c>
      <c r="V2786" s="39">
        <f>IF($A2786="","",IF(COUNTIF(변동분석!$E$7:$E$506,O2786)&gt;0,"Y","N"))</f>
        <v/>
      </c>
      <c r="W2786" s="39">
        <f>IF($A2786="","",IFERROR(INDEX(계정매핑!$D$5:$D$504,MATCH($F2786&amp;"",계정매핑!$A$5:$A$504,0)),"미매핑"))</f>
        <v/>
      </c>
      <c r="X2786" s="9">
        <f>IF($A2786="","",$F2786&amp;"")</f>
        <v/>
      </c>
    </row>
    <row r="2787">
      <c r="A2787" s="75" t="n">
        <v>2026</v>
      </c>
      <c r="B2787" s="75" t="n">
        <v>3</v>
      </c>
      <c r="C2787" s="75" t="inlineStr">
        <is>
          <t>5100000443</t>
        </is>
      </c>
      <c r="D2787" s="78" t="n">
        <v>46089</v>
      </c>
      <c r="E2787" s="75" t="inlineStr">
        <is>
          <t>KR</t>
        </is>
      </c>
      <c r="F2787" s="75" t="n">
        <v>62102000</v>
      </c>
      <c r="G2787" s="75" t="n">
        <v>1101</v>
      </c>
      <c r="H2787" s="76" t="n">
        <v>194000</v>
      </c>
      <c r="I2787" s="75" t="inlineStr">
        <is>
          <t>3월 해외출장 - N호텔</t>
        </is>
      </c>
      <c r="J2787" s="75" t="inlineStr">
        <is>
          <t>V10007</t>
        </is>
      </c>
      <c r="K2787" s="75" t="inlineStr">
        <is>
          <t>N호텔</t>
        </is>
      </c>
      <c r="M2787" s="9">
        <f>IF($A2787="","",VALUE($A2787&amp;"")*12+VALUE($B2787&amp;""))</f>
        <v/>
      </c>
      <c r="N2787" s="39">
        <f>IF($A2787="","",IFERROR(INDEX(부서매핑!$C$5:$C$504,MATCH($G2787&amp;"",부서매핑!$A$5:$A$504,0)),"미매핑"))</f>
        <v/>
      </c>
      <c r="O2787" s="9">
        <f>IF($A2787="","",N2787&amp;"|"&amp;$F2787)</f>
        <v/>
      </c>
      <c r="P2787" s="77">
        <f>IF($A2787="",0,$H2787*설정!$C$23)</f>
        <v/>
      </c>
      <c r="Q2787" s="39">
        <f>IF($A2787="","",IF(O2787&lt;&gt;원인분석!$C$9,"",IF(AND(M2787&gt;=원인분석!$C$10,M2787&lt;=원인분석!$C$11),"당기",IF(AND(M2787&gt;=원인분석!$C$12,M2787&lt;=원인분석!$C$13),"비교",""))))</f>
        <v/>
      </c>
      <c r="R2787" s="9">
        <f>IF(Q2787="","",$K2787&amp;"")</f>
        <v/>
      </c>
      <c r="S2787" s="9">
        <f>IF(Q2787="","",IF(MATCH(R2787,$R$5:$R$100000,0)=ROW()-4,ROW(),""))</f>
        <v/>
      </c>
      <c r="T2787" s="9">
        <f>IF(Q2787="당기",ABS(P2787)+ROW()/1000000000,"")</f>
        <v/>
      </c>
      <c r="U2787" s="9">
        <f>IF(Q2787="비교",ABS(P2787)+ROW()/1000000000,"")</f>
        <v/>
      </c>
      <c r="V2787" s="39">
        <f>IF($A2787="","",IF(COUNTIF(변동분석!$E$7:$E$506,O2787)&gt;0,"Y","N"))</f>
        <v/>
      </c>
      <c r="W2787" s="39">
        <f>IF($A2787="","",IFERROR(INDEX(계정매핑!$D$5:$D$504,MATCH($F2787&amp;"",계정매핑!$A$5:$A$504,0)),"미매핑"))</f>
        <v/>
      </c>
      <c r="X2787" s="9">
        <f>IF($A2787="","",$F2787&amp;"")</f>
        <v/>
      </c>
    </row>
    <row r="2788">
      <c r="A2788" s="75" t="n">
        <v>2026</v>
      </c>
      <c r="B2788" s="75" t="n">
        <v>3</v>
      </c>
      <c r="C2788" s="75" t="inlineStr">
        <is>
          <t>5100000444</t>
        </is>
      </c>
      <c r="D2788" s="78" t="n">
        <v>46089</v>
      </c>
      <c r="E2788" s="75" t="inlineStr">
        <is>
          <t>KR</t>
        </is>
      </c>
      <c r="F2788" s="75" t="n">
        <v>62501000</v>
      </c>
      <c r="G2788" s="75" t="n">
        <v>1801</v>
      </c>
      <c r="H2788" s="76" t="n">
        <v>226000</v>
      </c>
      <c r="I2788" s="75" t="inlineStr">
        <is>
          <t>3월 회의 다과 - (법인카드)</t>
        </is>
      </c>
      <c r="J2788" s="75" t="inlineStr">
        <is>
          <t>V10008</t>
        </is>
      </c>
      <c r="K2788" s="75" t="inlineStr">
        <is>
          <t>(법인카드)</t>
        </is>
      </c>
      <c r="M2788" s="9">
        <f>IF($A2788="","",VALUE($A2788&amp;"")*12+VALUE($B2788&amp;""))</f>
        <v/>
      </c>
      <c r="N2788" s="39">
        <f>IF($A2788="","",IFERROR(INDEX(부서매핑!$C$5:$C$504,MATCH($G2788&amp;"",부서매핑!$A$5:$A$504,0)),"미매핑"))</f>
        <v/>
      </c>
      <c r="O2788" s="9">
        <f>IF($A2788="","",N2788&amp;"|"&amp;$F2788)</f>
        <v/>
      </c>
      <c r="P2788" s="77">
        <f>IF($A2788="",0,$H2788*설정!$C$23)</f>
        <v/>
      </c>
      <c r="Q2788" s="39">
        <f>IF($A2788="","",IF(O2788&lt;&gt;원인분석!$C$9,"",IF(AND(M2788&gt;=원인분석!$C$10,M2788&lt;=원인분석!$C$11),"당기",IF(AND(M2788&gt;=원인분석!$C$12,M2788&lt;=원인분석!$C$13),"비교",""))))</f>
        <v/>
      </c>
      <c r="R2788" s="9">
        <f>IF(Q2788="","",$K2788&amp;"")</f>
        <v/>
      </c>
      <c r="S2788" s="9">
        <f>IF(Q2788="","",IF(MATCH(R2788,$R$5:$R$100000,0)=ROW()-4,ROW(),""))</f>
        <v/>
      </c>
      <c r="T2788" s="9">
        <f>IF(Q2788="당기",ABS(P2788)+ROW()/1000000000,"")</f>
        <v/>
      </c>
      <c r="U2788" s="9">
        <f>IF(Q2788="비교",ABS(P2788)+ROW()/1000000000,"")</f>
        <v/>
      </c>
      <c r="V2788" s="39">
        <f>IF($A2788="","",IF(COUNTIF(변동분석!$E$7:$E$506,O2788)&gt;0,"Y","N"))</f>
        <v/>
      </c>
      <c r="W2788" s="39">
        <f>IF($A2788="","",IFERROR(INDEX(계정매핑!$D$5:$D$504,MATCH($F2788&amp;"",계정매핑!$A$5:$A$504,0)),"미매핑"))</f>
        <v/>
      </c>
      <c r="X2788" s="9">
        <f>IF($A2788="","",$F2788&amp;"")</f>
        <v/>
      </c>
    </row>
    <row r="2789">
      <c r="A2789" s="75" t="n">
        <v>2026</v>
      </c>
      <c r="B2789" s="75" t="n">
        <v>3</v>
      </c>
      <c r="C2789" s="75" t="inlineStr">
        <is>
          <t>5100000445</t>
        </is>
      </c>
      <c r="D2789" s="78" t="n">
        <v>46089</v>
      </c>
      <c r="E2789" s="75" t="inlineStr">
        <is>
          <t>KR</t>
        </is>
      </c>
      <c r="F2789" s="75" t="n">
        <v>62802000</v>
      </c>
      <c r="G2789" s="75" t="n">
        <v>1301</v>
      </c>
      <c r="H2789" s="76" t="n">
        <v>2204000</v>
      </c>
      <c r="I2789" s="75" t="inlineStr">
        <is>
          <t>3월 위탁교육 - I교육원</t>
        </is>
      </c>
      <c r="J2789" s="75" t="inlineStr">
        <is>
          <t>V10015</t>
        </is>
      </c>
      <c r="K2789" s="75" t="inlineStr">
        <is>
          <t>I교육원</t>
        </is>
      </c>
      <c r="M2789" s="9">
        <f>IF($A2789="","",VALUE($A2789&amp;"")*12+VALUE($B2789&amp;""))</f>
        <v/>
      </c>
      <c r="N2789" s="39">
        <f>IF($A2789="","",IFERROR(INDEX(부서매핑!$C$5:$C$504,MATCH($G2789&amp;"",부서매핑!$A$5:$A$504,0)),"미매핑"))</f>
        <v/>
      </c>
      <c r="O2789" s="9">
        <f>IF($A2789="","",N2789&amp;"|"&amp;$F2789)</f>
        <v/>
      </c>
      <c r="P2789" s="77">
        <f>IF($A2789="",0,$H2789*설정!$C$23)</f>
        <v/>
      </c>
      <c r="Q2789" s="39">
        <f>IF($A2789="","",IF(O2789&lt;&gt;원인분석!$C$9,"",IF(AND(M2789&gt;=원인분석!$C$10,M2789&lt;=원인분석!$C$11),"당기",IF(AND(M2789&gt;=원인분석!$C$12,M2789&lt;=원인분석!$C$13),"비교",""))))</f>
        <v/>
      </c>
      <c r="R2789" s="9">
        <f>IF(Q2789="","",$K2789&amp;"")</f>
        <v/>
      </c>
      <c r="S2789" s="9">
        <f>IF(Q2789="","",IF(MATCH(R2789,$R$5:$R$100000,0)=ROW()-4,ROW(),""))</f>
        <v/>
      </c>
      <c r="T2789" s="9">
        <f>IF(Q2789="당기",ABS(P2789)+ROW()/1000000000,"")</f>
        <v/>
      </c>
      <c r="U2789" s="9">
        <f>IF(Q2789="비교",ABS(P2789)+ROW()/1000000000,"")</f>
        <v/>
      </c>
      <c r="V2789" s="39">
        <f>IF($A2789="","",IF(COUNTIF(변동분석!$E$7:$E$506,O2789)&gt;0,"Y","N"))</f>
        <v/>
      </c>
      <c r="W2789" s="39">
        <f>IF($A2789="","",IFERROR(INDEX(계정매핑!$D$5:$D$504,MATCH($F2789&amp;"",계정매핑!$A$5:$A$504,0)),"미매핑"))</f>
        <v/>
      </c>
      <c r="X2789" s="9">
        <f>IF($A2789="","",$F2789&amp;"")</f>
        <v/>
      </c>
    </row>
    <row r="2790">
      <c r="A2790" s="75" t="n">
        <v>2026</v>
      </c>
      <c r="B2790" s="75" t="n">
        <v>3</v>
      </c>
      <c r="C2790" s="75" t="inlineStr">
        <is>
          <t>5100000446</t>
        </is>
      </c>
      <c r="D2790" s="78" t="n">
        <v>46089</v>
      </c>
      <c r="E2790" s="75" t="inlineStr">
        <is>
          <t>KR</t>
        </is>
      </c>
      <c r="F2790" s="75" t="n">
        <v>62901000</v>
      </c>
      <c r="G2790" s="75" t="n">
        <v>1801</v>
      </c>
      <c r="H2790" s="76" t="n">
        <v>12465000</v>
      </c>
      <c r="I2790" s="75" t="inlineStr">
        <is>
          <t>3월 자문 수수료 - K회계법인</t>
        </is>
      </c>
      <c r="J2790" s="75" t="inlineStr">
        <is>
          <t>V10010</t>
        </is>
      </c>
      <c r="K2790" s="75" t="inlineStr">
        <is>
          <t>K회계법인</t>
        </is>
      </c>
      <c r="M2790" s="9">
        <f>IF($A2790="","",VALUE($A2790&amp;"")*12+VALUE($B2790&amp;""))</f>
        <v/>
      </c>
      <c r="N2790" s="39">
        <f>IF($A2790="","",IFERROR(INDEX(부서매핑!$C$5:$C$504,MATCH($G2790&amp;"",부서매핑!$A$5:$A$504,0)),"미매핑"))</f>
        <v/>
      </c>
      <c r="O2790" s="9">
        <f>IF($A2790="","",N2790&amp;"|"&amp;$F2790)</f>
        <v/>
      </c>
      <c r="P2790" s="77">
        <f>IF($A2790="",0,$H2790*설정!$C$23)</f>
        <v/>
      </c>
      <c r="Q2790" s="39">
        <f>IF($A2790="","",IF(O2790&lt;&gt;원인분석!$C$9,"",IF(AND(M2790&gt;=원인분석!$C$10,M2790&lt;=원인분석!$C$11),"당기",IF(AND(M2790&gt;=원인분석!$C$12,M2790&lt;=원인분석!$C$13),"비교",""))))</f>
        <v/>
      </c>
      <c r="R2790" s="9">
        <f>IF(Q2790="","",$K2790&amp;"")</f>
        <v/>
      </c>
      <c r="S2790" s="9">
        <f>IF(Q2790="","",IF(MATCH(R2790,$R$5:$R$100000,0)=ROW()-4,ROW(),""))</f>
        <v/>
      </c>
      <c r="T2790" s="9">
        <f>IF(Q2790="당기",ABS(P2790)+ROW()/1000000000,"")</f>
        <v/>
      </c>
      <c r="U2790" s="9">
        <f>IF(Q2790="비교",ABS(P2790)+ROW()/1000000000,"")</f>
        <v/>
      </c>
      <c r="V2790" s="39">
        <f>IF($A2790="","",IF(COUNTIF(변동분석!$E$7:$E$506,O2790)&gt;0,"Y","N"))</f>
        <v/>
      </c>
      <c r="W2790" s="39">
        <f>IF($A2790="","",IFERROR(INDEX(계정매핑!$D$5:$D$504,MATCH($F2790&amp;"",계정매핑!$A$5:$A$504,0)),"미매핑"))</f>
        <v/>
      </c>
      <c r="X2790" s="9">
        <f>IF($A2790="","",$F2790&amp;"")</f>
        <v/>
      </c>
    </row>
    <row r="2791">
      <c r="A2791" s="75" t="n">
        <v>2026</v>
      </c>
      <c r="B2791" s="75" t="n">
        <v>3</v>
      </c>
      <c r="C2791" s="75" t="inlineStr">
        <is>
          <t>5100000447</t>
        </is>
      </c>
      <c r="D2791" s="78" t="n">
        <v>46089</v>
      </c>
      <c r="E2791" s="75" t="inlineStr">
        <is>
          <t>KR</t>
        </is>
      </c>
      <c r="F2791" s="75" t="n">
        <v>62901000</v>
      </c>
      <c r="G2791" s="75" t="n">
        <v>1801</v>
      </c>
      <c r="H2791" s="76" t="n">
        <v>18571000</v>
      </c>
      <c r="I2791" s="75" t="inlineStr">
        <is>
          <t>3월 자문 수수료 - W컨설팅</t>
        </is>
      </c>
      <c r="J2791" s="75" t="inlineStr">
        <is>
          <t>V10009</t>
        </is>
      </c>
      <c r="K2791" s="75" t="inlineStr">
        <is>
          <t>W컨설팅</t>
        </is>
      </c>
      <c r="M2791" s="9">
        <f>IF($A2791="","",VALUE($A2791&amp;"")*12+VALUE($B2791&amp;""))</f>
        <v/>
      </c>
      <c r="N2791" s="39">
        <f>IF($A2791="","",IFERROR(INDEX(부서매핑!$C$5:$C$504,MATCH($G2791&amp;"",부서매핑!$A$5:$A$504,0)),"미매핑"))</f>
        <v/>
      </c>
      <c r="O2791" s="9">
        <f>IF($A2791="","",N2791&amp;"|"&amp;$F2791)</f>
        <v/>
      </c>
      <c r="P2791" s="77">
        <f>IF($A2791="",0,$H2791*설정!$C$23)</f>
        <v/>
      </c>
      <c r="Q2791" s="39">
        <f>IF($A2791="","",IF(O2791&lt;&gt;원인분석!$C$9,"",IF(AND(M2791&gt;=원인분석!$C$10,M2791&lt;=원인분석!$C$11),"당기",IF(AND(M2791&gt;=원인분석!$C$12,M2791&lt;=원인분석!$C$13),"비교",""))))</f>
        <v/>
      </c>
      <c r="R2791" s="9">
        <f>IF(Q2791="","",$K2791&amp;"")</f>
        <v/>
      </c>
      <c r="S2791" s="9">
        <f>IF(Q2791="","",IF(MATCH(R2791,$R$5:$R$100000,0)=ROW()-4,ROW(),""))</f>
        <v/>
      </c>
      <c r="T2791" s="9">
        <f>IF(Q2791="당기",ABS(P2791)+ROW()/1000000000,"")</f>
        <v/>
      </c>
      <c r="U2791" s="9">
        <f>IF(Q2791="비교",ABS(P2791)+ROW()/1000000000,"")</f>
        <v/>
      </c>
      <c r="V2791" s="39">
        <f>IF($A2791="","",IF(COUNTIF(변동분석!$E$7:$E$506,O2791)&gt;0,"Y","N"))</f>
        <v/>
      </c>
      <c r="W2791" s="39">
        <f>IF($A2791="","",IFERROR(INDEX(계정매핑!$D$5:$D$504,MATCH($F2791&amp;"",계정매핑!$A$5:$A$504,0)),"미매핑"))</f>
        <v/>
      </c>
      <c r="X2791" s="9">
        <f>IF($A2791="","",$F2791&amp;"")</f>
        <v/>
      </c>
    </row>
    <row r="2792">
      <c r="A2792" s="75" t="n">
        <v>2026</v>
      </c>
      <c r="B2792" s="75" t="n">
        <v>3</v>
      </c>
      <c r="C2792" s="75" t="inlineStr">
        <is>
          <t>5100000448</t>
        </is>
      </c>
      <c r="D2792" s="78" t="n">
        <v>46089</v>
      </c>
      <c r="E2792" s="75" t="inlineStr">
        <is>
          <t>KR</t>
        </is>
      </c>
      <c r="F2792" s="75" t="n">
        <v>62902000</v>
      </c>
      <c r="G2792" s="75" t="n">
        <v>1801</v>
      </c>
      <c r="H2792" s="76" t="n">
        <v>1789000</v>
      </c>
      <c r="I2792" s="75" t="inlineStr">
        <is>
          <t>3월 콜 위탁 수수료(건별)</t>
        </is>
      </c>
      <c r="J2792" s="75" t="inlineStr">
        <is>
          <t>V10013</t>
        </is>
      </c>
      <c r="K2792" s="75" t="inlineStr">
        <is>
          <t>J콜센터</t>
        </is>
      </c>
      <c r="M2792" s="9">
        <f>IF($A2792="","",VALUE($A2792&amp;"")*12+VALUE($B2792&amp;""))</f>
        <v/>
      </c>
      <c r="N2792" s="39">
        <f>IF($A2792="","",IFERROR(INDEX(부서매핑!$C$5:$C$504,MATCH($G2792&amp;"",부서매핑!$A$5:$A$504,0)),"미매핑"))</f>
        <v/>
      </c>
      <c r="O2792" s="9">
        <f>IF($A2792="","",N2792&amp;"|"&amp;$F2792)</f>
        <v/>
      </c>
      <c r="P2792" s="77">
        <f>IF($A2792="",0,$H2792*설정!$C$23)</f>
        <v/>
      </c>
      <c r="Q2792" s="39">
        <f>IF($A2792="","",IF(O2792&lt;&gt;원인분석!$C$9,"",IF(AND(M2792&gt;=원인분석!$C$10,M2792&lt;=원인분석!$C$11),"당기",IF(AND(M2792&gt;=원인분석!$C$12,M2792&lt;=원인분석!$C$13),"비교",""))))</f>
        <v/>
      </c>
      <c r="R2792" s="9">
        <f>IF(Q2792="","",$K2792&amp;"")</f>
        <v/>
      </c>
      <c r="S2792" s="9">
        <f>IF(Q2792="","",IF(MATCH(R2792,$R$5:$R$100000,0)=ROW()-4,ROW(),""))</f>
        <v/>
      </c>
      <c r="T2792" s="9">
        <f>IF(Q2792="당기",ABS(P2792)+ROW()/1000000000,"")</f>
        <v/>
      </c>
      <c r="U2792" s="9">
        <f>IF(Q2792="비교",ABS(P2792)+ROW()/1000000000,"")</f>
        <v/>
      </c>
      <c r="V2792" s="39">
        <f>IF($A2792="","",IF(COUNTIF(변동분석!$E$7:$E$506,O2792)&gt;0,"Y","N"))</f>
        <v/>
      </c>
      <c r="W2792" s="39">
        <f>IF($A2792="","",IFERROR(INDEX(계정매핑!$D$5:$D$504,MATCH($F2792&amp;"",계정매핑!$A$5:$A$504,0)),"미매핑"))</f>
        <v/>
      </c>
      <c r="X2792" s="9">
        <f>IF($A2792="","",$F2792&amp;"")</f>
        <v/>
      </c>
    </row>
    <row r="2793">
      <c r="A2793" s="75" t="n">
        <v>2026</v>
      </c>
      <c r="B2793" s="75" t="n">
        <v>3</v>
      </c>
      <c r="C2793" s="75" t="inlineStr">
        <is>
          <t>5100000449</t>
        </is>
      </c>
      <c r="D2793" s="78" t="n">
        <v>46090</v>
      </c>
      <c r="E2793" s="75" t="inlineStr">
        <is>
          <t>KR</t>
        </is>
      </c>
      <c r="F2793" s="75" t="n">
        <v>62101000</v>
      </c>
      <c r="G2793" s="75" t="n">
        <v>1701</v>
      </c>
      <c r="H2793" s="76" t="n">
        <v>236000</v>
      </c>
      <c r="I2793" s="75" t="inlineStr">
        <is>
          <t>3월 국내출장 - M항공</t>
        </is>
      </c>
      <c r="J2793" s="75" t="inlineStr">
        <is>
          <t>V10001</t>
        </is>
      </c>
      <c r="K2793" s="75" t="inlineStr">
        <is>
          <t>M항공</t>
        </is>
      </c>
      <c r="M2793" s="9">
        <f>IF($A2793="","",VALUE($A2793&amp;"")*12+VALUE($B2793&amp;""))</f>
        <v/>
      </c>
      <c r="N2793" s="39">
        <f>IF($A2793="","",IFERROR(INDEX(부서매핑!$C$5:$C$504,MATCH($G2793&amp;"",부서매핑!$A$5:$A$504,0)),"미매핑"))</f>
        <v/>
      </c>
      <c r="O2793" s="9">
        <f>IF($A2793="","",N2793&amp;"|"&amp;$F2793)</f>
        <v/>
      </c>
      <c r="P2793" s="77">
        <f>IF($A2793="",0,$H2793*설정!$C$23)</f>
        <v/>
      </c>
      <c r="Q2793" s="39">
        <f>IF($A2793="","",IF(O2793&lt;&gt;원인분석!$C$9,"",IF(AND(M2793&gt;=원인분석!$C$10,M2793&lt;=원인분석!$C$11),"당기",IF(AND(M2793&gt;=원인분석!$C$12,M2793&lt;=원인분석!$C$13),"비교",""))))</f>
        <v/>
      </c>
      <c r="R2793" s="9">
        <f>IF(Q2793="","",$K2793&amp;"")</f>
        <v/>
      </c>
      <c r="S2793" s="9">
        <f>IF(Q2793="","",IF(MATCH(R2793,$R$5:$R$100000,0)=ROW()-4,ROW(),""))</f>
        <v/>
      </c>
      <c r="T2793" s="9">
        <f>IF(Q2793="당기",ABS(P2793)+ROW()/1000000000,"")</f>
        <v/>
      </c>
      <c r="U2793" s="9">
        <f>IF(Q2793="비교",ABS(P2793)+ROW()/1000000000,"")</f>
        <v/>
      </c>
      <c r="V2793" s="39">
        <f>IF($A2793="","",IF(COUNTIF(변동분석!$E$7:$E$506,O2793)&gt;0,"Y","N"))</f>
        <v/>
      </c>
      <c r="W2793" s="39">
        <f>IF($A2793="","",IFERROR(INDEX(계정매핑!$D$5:$D$504,MATCH($F2793&amp;"",계정매핑!$A$5:$A$504,0)),"미매핑"))</f>
        <v/>
      </c>
      <c r="X2793" s="9">
        <f>IF($A2793="","",$F2793&amp;"")</f>
        <v/>
      </c>
    </row>
    <row r="2794">
      <c r="A2794" s="75" t="n">
        <v>2026</v>
      </c>
      <c r="B2794" s="75" t="n">
        <v>3</v>
      </c>
      <c r="C2794" s="75" t="inlineStr">
        <is>
          <t>5100000450</t>
        </is>
      </c>
      <c r="D2794" s="78" t="n">
        <v>46090</v>
      </c>
      <c r="E2794" s="75" t="inlineStr">
        <is>
          <t>KR</t>
        </is>
      </c>
      <c r="F2794" s="75" t="n">
        <v>62101000</v>
      </c>
      <c r="G2794" s="75" t="n">
        <v>1801</v>
      </c>
      <c r="H2794" s="76" t="n">
        <v>220000</v>
      </c>
      <c r="I2794" s="75" t="inlineStr">
        <is>
          <t>3월 국내출장 - M항공</t>
        </is>
      </c>
      <c r="J2794" s="75" t="inlineStr">
        <is>
          <t>V10001</t>
        </is>
      </c>
      <c r="K2794" s="75" t="inlineStr">
        <is>
          <t>M항공</t>
        </is>
      </c>
      <c r="M2794" s="9">
        <f>IF($A2794="","",VALUE($A2794&amp;"")*12+VALUE($B2794&amp;""))</f>
        <v/>
      </c>
      <c r="N2794" s="39">
        <f>IF($A2794="","",IFERROR(INDEX(부서매핑!$C$5:$C$504,MATCH($G2794&amp;"",부서매핑!$A$5:$A$504,0)),"미매핑"))</f>
        <v/>
      </c>
      <c r="O2794" s="9">
        <f>IF($A2794="","",N2794&amp;"|"&amp;$F2794)</f>
        <v/>
      </c>
      <c r="P2794" s="77">
        <f>IF($A2794="",0,$H2794*설정!$C$23)</f>
        <v/>
      </c>
      <c r="Q2794" s="39">
        <f>IF($A2794="","",IF(O2794&lt;&gt;원인분석!$C$9,"",IF(AND(M2794&gt;=원인분석!$C$10,M2794&lt;=원인분석!$C$11),"당기",IF(AND(M2794&gt;=원인분석!$C$12,M2794&lt;=원인분석!$C$13),"비교",""))))</f>
        <v/>
      </c>
      <c r="R2794" s="9">
        <f>IF(Q2794="","",$K2794&amp;"")</f>
        <v/>
      </c>
      <c r="S2794" s="9">
        <f>IF(Q2794="","",IF(MATCH(R2794,$R$5:$R$100000,0)=ROW()-4,ROW(),""))</f>
        <v/>
      </c>
      <c r="T2794" s="9">
        <f>IF(Q2794="당기",ABS(P2794)+ROW()/1000000000,"")</f>
        <v/>
      </c>
      <c r="U2794" s="9">
        <f>IF(Q2794="비교",ABS(P2794)+ROW()/1000000000,"")</f>
        <v/>
      </c>
      <c r="V2794" s="39">
        <f>IF($A2794="","",IF(COUNTIF(변동분석!$E$7:$E$506,O2794)&gt;0,"Y","N"))</f>
        <v/>
      </c>
      <c r="W2794" s="39">
        <f>IF($A2794="","",IFERROR(INDEX(계정매핑!$D$5:$D$504,MATCH($F2794&amp;"",계정매핑!$A$5:$A$504,0)),"미매핑"))</f>
        <v/>
      </c>
      <c r="X2794" s="9">
        <f>IF($A2794="","",$F2794&amp;"")</f>
        <v/>
      </c>
    </row>
    <row r="2795">
      <c r="A2795" s="75" t="n">
        <v>2026</v>
      </c>
      <c r="B2795" s="75" t="n">
        <v>3</v>
      </c>
      <c r="C2795" s="75" t="inlineStr">
        <is>
          <t>5100000451</t>
        </is>
      </c>
      <c r="D2795" s="78" t="n">
        <v>46090</v>
      </c>
      <c r="E2795" s="75" t="inlineStr">
        <is>
          <t>KR</t>
        </is>
      </c>
      <c r="F2795" s="75" t="n">
        <v>62102000</v>
      </c>
      <c r="G2795" s="75" t="n">
        <v>1501</v>
      </c>
      <c r="H2795" s="76" t="n">
        <v>170000</v>
      </c>
      <c r="I2795" s="75" t="inlineStr">
        <is>
          <t>3월 해외출장 - N호텔</t>
        </is>
      </c>
      <c r="J2795" s="75" t="inlineStr">
        <is>
          <t>V10007</t>
        </is>
      </c>
      <c r="K2795" s="75" t="inlineStr">
        <is>
          <t>N호텔</t>
        </is>
      </c>
      <c r="M2795" s="9">
        <f>IF($A2795="","",VALUE($A2795&amp;"")*12+VALUE($B2795&amp;""))</f>
        <v/>
      </c>
      <c r="N2795" s="39">
        <f>IF($A2795="","",IFERROR(INDEX(부서매핑!$C$5:$C$504,MATCH($G2795&amp;"",부서매핑!$A$5:$A$504,0)),"미매핑"))</f>
        <v/>
      </c>
      <c r="O2795" s="9">
        <f>IF($A2795="","",N2795&amp;"|"&amp;$F2795)</f>
        <v/>
      </c>
      <c r="P2795" s="77">
        <f>IF($A2795="",0,$H2795*설정!$C$23)</f>
        <v/>
      </c>
      <c r="Q2795" s="39">
        <f>IF($A2795="","",IF(O2795&lt;&gt;원인분석!$C$9,"",IF(AND(M2795&gt;=원인분석!$C$10,M2795&lt;=원인분석!$C$11),"당기",IF(AND(M2795&gt;=원인분석!$C$12,M2795&lt;=원인분석!$C$13),"비교",""))))</f>
        <v/>
      </c>
      <c r="R2795" s="9">
        <f>IF(Q2795="","",$K2795&amp;"")</f>
        <v/>
      </c>
      <c r="S2795" s="9">
        <f>IF(Q2795="","",IF(MATCH(R2795,$R$5:$R$100000,0)=ROW()-4,ROW(),""))</f>
        <v/>
      </c>
      <c r="T2795" s="9">
        <f>IF(Q2795="당기",ABS(P2795)+ROW()/1000000000,"")</f>
        <v/>
      </c>
      <c r="U2795" s="9">
        <f>IF(Q2795="비교",ABS(P2795)+ROW()/1000000000,"")</f>
        <v/>
      </c>
      <c r="V2795" s="39">
        <f>IF($A2795="","",IF(COUNTIF(변동분석!$E$7:$E$506,O2795)&gt;0,"Y","N"))</f>
        <v/>
      </c>
      <c r="W2795" s="39">
        <f>IF($A2795="","",IFERROR(INDEX(계정매핑!$D$5:$D$504,MATCH($F2795&amp;"",계정매핑!$A$5:$A$504,0)),"미매핑"))</f>
        <v/>
      </c>
      <c r="X2795" s="9">
        <f>IF($A2795="","",$F2795&amp;"")</f>
        <v/>
      </c>
    </row>
    <row r="2796">
      <c r="A2796" s="75" t="n">
        <v>2026</v>
      </c>
      <c r="B2796" s="75" t="n">
        <v>3</v>
      </c>
      <c r="C2796" s="75" t="inlineStr">
        <is>
          <t>5100000452</t>
        </is>
      </c>
      <c r="D2796" s="78" t="n">
        <v>46090</v>
      </c>
      <c r="E2796" s="75" t="inlineStr">
        <is>
          <t>KR</t>
        </is>
      </c>
      <c r="F2796" s="75" t="n">
        <v>62102000</v>
      </c>
      <c r="G2796" s="75" t="n">
        <v>1502</v>
      </c>
      <c r="H2796" s="76" t="n">
        <v>179000</v>
      </c>
      <c r="I2796" s="75" t="inlineStr">
        <is>
          <t>3월 해외출장 - N호텔</t>
        </is>
      </c>
      <c r="J2796" s="75" t="inlineStr">
        <is>
          <t>V10007</t>
        </is>
      </c>
      <c r="K2796" s="75" t="inlineStr">
        <is>
          <t>N호텔</t>
        </is>
      </c>
      <c r="M2796" s="9">
        <f>IF($A2796="","",VALUE($A2796&amp;"")*12+VALUE($B2796&amp;""))</f>
        <v/>
      </c>
      <c r="N2796" s="39">
        <f>IF($A2796="","",IFERROR(INDEX(부서매핑!$C$5:$C$504,MATCH($G2796&amp;"",부서매핑!$A$5:$A$504,0)),"미매핑"))</f>
        <v/>
      </c>
      <c r="O2796" s="9">
        <f>IF($A2796="","",N2796&amp;"|"&amp;$F2796)</f>
        <v/>
      </c>
      <c r="P2796" s="77">
        <f>IF($A2796="",0,$H2796*설정!$C$23)</f>
        <v/>
      </c>
      <c r="Q2796" s="39">
        <f>IF($A2796="","",IF(O2796&lt;&gt;원인분석!$C$9,"",IF(AND(M2796&gt;=원인분석!$C$10,M2796&lt;=원인분석!$C$11),"당기",IF(AND(M2796&gt;=원인분석!$C$12,M2796&lt;=원인분석!$C$13),"비교",""))))</f>
        <v/>
      </c>
      <c r="R2796" s="9">
        <f>IF(Q2796="","",$K2796&amp;"")</f>
        <v/>
      </c>
      <c r="S2796" s="9">
        <f>IF(Q2796="","",IF(MATCH(R2796,$R$5:$R$100000,0)=ROW()-4,ROW(),""))</f>
        <v/>
      </c>
      <c r="T2796" s="9">
        <f>IF(Q2796="당기",ABS(P2796)+ROW()/1000000000,"")</f>
        <v/>
      </c>
      <c r="U2796" s="9">
        <f>IF(Q2796="비교",ABS(P2796)+ROW()/1000000000,"")</f>
        <v/>
      </c>
      <c r="V2796" s="39">
        <f>IF($A2796="","",IF(COUNTIF(변동분석!$E$7:$E$506,O2796)&gt;0,"Y","N"))</f>
        <v/>
      </c>
      <c r="W2796" s="39">
        <f>IF($A2796="","",IFERROR(INDEX(계정매핑!$D$5:$D$504,MATCH($F2796&amp;"",계정매핑!$A$5:$A$504,0)),"미매핑"))</f>
        <v/>
      </c>
      <c r="X2796" s="9">
        <f>IF($A2796="","",$F2796&amp;"")</f>
        <v/>
      </c>
    </row>
    <row r="2797">
      <c r="A2797" s="75" t="n">
        <v>2026</v>
      </c>
      <c r="B2797" s="75" t="n">
        <v>3</v>
      </c>
      <c r="C2797" s="75" t="inlineStr">
        <is>
          <t>5100000453</t>
        </is>
      </c>
      <c r="D2797" s="78" t="n">
        <v>46090</v>
      </c>
      <c r="E2797" s="75" t="inlineStr">
        <is>
          <t>KR</t>
        </is>
      </c>
      <c r="F2797" s="75" t="n">
        <v>62201000</v>
      </c>
      <c r="G2797" s="75" t="n">
        <v>1201</v>
      </c>
      <c r="H2797" s="76" t="n">
        <v>109000</v>
      </c>
      <c r="I2797" s="75" t="inlineStr">
        <is>
          <t>3월 통신요금 - O텔레콤</t>
        </is>
      </c>
      <c r="J2797" s="75" t="inlineStr">
        <is>
          <t>V10002</t>
        </is>
      </c>
      <c r="K2797" s="75" t="inlineStr">
        <is>
          <t>O텔레콤</t>
        </is>
      </c>
      <c r="M2797" s="9">
        <f>IF($A2797="","",VALUE($A2797&amp;"")*12+VALUE($B2797&amp;""))</f>
        <v/>
      </c>
      <c r="N2797" s="39">
        <f>IF($A2797="","",IFERROR(INDEX(부서매핑!$C$5:$C$504,MATCH($G2797&amp;"",부서매핑!$A$5:$A$504,0)),"미매핑"))</f>
        <v/>
      </c>
      <c r="O2797" s="9">
        <f>IF($A2797="","",N2797&amp;"|"&amp;$F2797)</f>
        <v/>
      </c>
      <c r="P2797" s="77">
        <f>IF($A2797="",0,$H2797*설정!$C$23)</f>
        <v/>
      </c>
      <c r="Q2797" s="39">
        <f>IF($A2797="","",IF(O2797&lt;&gt;원인분석!$C$9,"",IF(AND(M2797&gt;=원인분석!$C$10,M2797&lt;=원인분석!$C$11),"당기",IF(AND(M2797&gt;=원인분석!$C$12,M2797&lt;=원인분석!$C$13),"비교",""))))</f>
        <v/>
      </c>
      <c r="R2797" s="9">
        <f>IF(Q2797="","",$K2797&amp;"")</f>
        <v/>
      </c>
      <c r="S2797" s="9">
        <f>IF(Q2797="","",IF(MATCH(R2797,$R$5:$R$100000,0)=ROW()-4,ROW(),""))</f>
        <v/>
      </c>
      <c r="T2797" s="9">
        <f>IF(Q2797="당기",ABS(P2797)+ROW()/1000000000,"")</f>
        <v/>
      </c>
      <c r="U2797" s="9">
        <f>IF(Q2797="비교",ABS(P2797)+ROW()/1000000000,"")</f>
        <v/>
      </c>
      <c r="V2797" s="39">
        <f>IF($A2797="","",IF(COUNTIF(변동분석!$E$7:$E$506,O2797)&gt;0,"Y","N"))</f>
        <v/>
      </c>
      <c r="W2797" s="39">
        <f>IF($A2797="","",IFERROR(INDEX(계정매핑!$D$5:$D$504,MATCH($F2797&amp;"",계정매핑!$A$5:$A$504,0)),"미매핑"))</f>
        <v/>
      </c>
      <c r="X2797" s="9">
        <f>IF($A2797="","",$F2797&amp;"")</f>
        <v/>
      </c>
    </row>
    <row r="2798">
      <c r="A2798" s="75" t="n">
        <v>2026</v>
      </c>
      <c r="B2798" s="75" t="n">
        <v>3</v>
      </c>
      <c r="C2798" s="75" t="inlineStr">
        <is>
          <t>5100000454</t>
        </is>
      </c>
      <c r="D2798" s="78" t="n">
        <v>46090</v>
      </c>
      <c r="E2798" s="75" t="inlineStr">
        <is>
          <t>KR</t>
        </is>
      </c>
      <c r="F2798" s="75" t="n">
        <v>62201000</v>
      </c>
      <c r="G2798" s="75" t="n">
        <v>1801</v>
      </c>
      <c r="H2798" s="76" t="n">
        <v>5847000</v>
      </c>
      <c r="I2798" s="75" t="inlineStr">
        <is>
          <t>3월 통신요금 - O텔레콤</t>
        </is>
      </c>
      <c r="J2798" s="75" t="inlineStr">
        <is>
          <t>V10002</t>
        </is>
      </c>
      <c r="K2798" s="75" t="inlineStr">
        <is>
          <t>O텔레콤</t>
        </is>
      </c>
      <c r="M2798" s="9">
        <f>IF($A2798="","",VALUE($A2798&amp;"")*12+VALUE($B2798&amp;""))</f>
        <v/>
      </c>
      <c r="N2798" s="39">
        <f>IF($A2798="","",IFERROR(INDEX(부서매핑!$C$5:$C$504,MATCH($G2798&amp;"",부서매핑!$A$5:$A$504,0)),"미매핑"))</f>
        <v/>
      </c>
      <c r="O2798" s="9">
        <f>IF($A2798="","",N2798&amp;"|"&amp;$F2798)</f>
        <v/>
      </c>
      <c r="P2798" s="77">
        <f>IF($A2798="",0,$H2798*설정!$C$23)</f>
        <v/>
      </c>
      <c r="Q2798" s="39">
        <f>IF($A2798="","",IF(O2798&lt;&gt;원인분석!$C$9,"",IF(AND(M2798&gt;=원인분석!$C$10,M2798&lt;=원인분석!$C$11),"당기",IF(AND(M2798&gt;=원인분석!$C$12,M2798&lt;=원인분석!$C$13),"비교",""))))</f>
        <v/>
      </c>
      <c r="R2798" s="9">
        <f>IF(Q2798="","",$K2798&amp;"")</f>
        <v/>
      </c>
      <c r="S2798" s="9">
        <f>IF(Q2798="","",IF(MATCH(R2798,$R$5:$R$100000,0)=ROW()-4,ROW(),""))</f>
        <v/>
      </c>
      <c r="T2798" s="9">
        <f>IF(Q2798="당기",ABS(P2798)+ROW()/1000000000,"")</f>
        <v/>
      </c>
      <c r="U2798" s="9">
        <f>IF(Q2798="비교",ABS(P2798)+ROW()/1000000000,"")</f>
        <v/>
      </c>
      <c r="V2798" s="39">
        <f>IF($A2798="","",IF(COUNTIF(변동분석!$E$7:$E$506,O2798)&gt;0,"Y","N"))</f>
        <v/>
      </c>
      <c r="W2798" s="39">
        <f>IF($A2798="","",IFERROR(INDEX(계정매핑!$D$5:$D$504,MATCH($F2798&amp;"",계정매핑!$A$5:$A$504,0)),"미매핑"))</f>
        <v/>
      </c>
      <c r="X2798" s="9">
        <f>IF($A2798="","",$F2798&amp;"")</f>
        <v/>
      </c>
    </row>
    <row r="2799">
      <c r="A2799" s="75" t="n">
        <v>2026</v>
      </c>
      <c r="B2799" s="75" t="n">
        <v>3</v>
      </c>
      <c r="C2799" s="75" t="inlineStr">
        <is>
          <t>5100000455</t>
        </is>
      </c>
      <c r="D2799" s="78" t="n">
        <v>46090</v>
      </c>
      <c r="E2799" s="75" t="inlineStr">
        <is>
          <t>KR</t>
        </is>
      </c>
      <c r="F2799" s="75" t="n">
        <v>62301000</v>
      </c>
      <c r="G2799" s="75" t="n">
        <v>1602</v>
      </c>
      <c r="H2799" s="76" t="n">
        <v>412000</v>
      </c>
      <c r="I2799" s="75" t="inlineStr">
        <is>
          <t>3월 소모품 구입 - Q오피스</t>
        </is>
      </c>
      <c r="J2799" s="75" t="inlineStr">
        <is>
          <t>V10003</t>
        </is>
      </c>
      <c r="K2799" s="75" t="inlineStr">
        <is>
          <t>Q오피스</t>
        </is>
      </c>
      <c r="M2799" s="9">
        <f>IF($A2799="","",VALUE($A2799&amp;"")*12+VALUE($B2799&amp;""))</f>
        <v/>
      </c>
      <c r="N2799" s="39">
        <f>IF($A2799="","",IFERROR(INDEX(부서매핑!$C$5:$C$504,MATCH($G2799&amp;"",부서매핑!$A$5:$A$504,0)),"미매핑"))</f>
        <v/>
      </c>
      <c r="O2799" s="9">
        <f>IF($A2799="","",N2799&amp;"|"&amp;$F2799)</f>
        <v/>
      </c>
      <c r="P2799" s="77">
        <f>IF($A2799="",0,$H2799*설정!$C$23)</f>
        <v/>
      </c>
      <c r="Q2799" s="39">
        <f>IF($A2799="","",IF(O2799&lt;&gt;원인분석!$C$9,"",IF(AND(M2799&gt;=원인분석!$C$10,M2799&lt;=원인분석!$C$11),"당기",IF(AND(M2799&gt;=원인분석!$C$12,M2799&lt;=원인분석!$C$13),"비교",""))))</f>
        <v/>
      </c>
      <c r="R2799" s="9">
        <f>IF(Q2799="","",$K2799&amp;"")</f>
        <v/>
      </c>
      <c r="S2799" s="9">
        <f>IF(Q2799="","",IF(MATCH(R2799,$R$5:$R$100000,0)=ROW()-4,ROW(),""))</f>
        <v/>
      </c>
      <c r="T2799" s="9">
        <f>IF(Q2799="당기",ABS(P2799)+ROW()/1000000000,"")</f>
        <v/>
      </c>
      <c r="U2799" s="9">
        <f>IF(Q2799="비교",ABS(P2799)+ROW()/1000000000,"")</f>
        <v/>
      </c>
      <c r="V2799" s="39">
        <f>IF($A2799="","",IF(COUNTIF(변동분석!$E$7:$E$506,O2799)&gt;0,"Y","N"))</f>
        <v/>
      </c>
      <c r="W2799" s="39">
        <f>IF($A2799="","",IFERROR(INDEX(계정매핑!$D$5:$D$504,MATCH($F2799&amp;"",계정매핑!$A$5:$A$504,0)),"미매핑"))</f>
        <v/>
      </c>
      <c r="X2799" s="9">
        <f>IF($A2799="","",$F2799&amp;"")</f>
        <v/>
      </c>
    </row>
    <row r="2800">
      <c r="A2800" s="75" t="n">
        <v>2026</v>
      </c>
      <c r="B2800" s="75" t="n">
        <v>3</v>
      </c>
      <c r="C2800" s="75" t="inlineStr">
        <is>
          <t>5100000456</t>
        </is>
      </c>
      <c r="D2800" s="78" t="n">
        <v>46090</v>
      </c>
      <c r="E2800" s="75" t="inlineStr">
        <is>
          <t>KR</t>
        </is>
      </c>
      <c r="F2800" s="75" t="n">
        <v>62601000</v>
      </c>
      <c r="G2800" s="75" t="n">
        <v>1501</v>
      </c>
      <c r="H2800" s="76" t="n">
        <v>1199000</v>
      </c>
      <c r="I2800" s="75" t="inlineStr">
        <is>
          <t>3월 업무추진 - (법인카드)</t>
        </is>
      </c>
      <c r="J2800" s="75" t="inlineStr">
        <is>
          <t>V10008</t>
        </is>
      </c>
      <c r="K2800" s="75" t="inlineStr">
        <is>
          <t>(법인카드)</t>
        </is>
      </c>
      <c r="M2800" s="9">
        <f>IF($A2800="","",VALUE($A2800&amp;"")*12+VALUE($B2800&amp;""))</f>
        <v/>
      </c>
      <c r="N2800" s="39">
        <f>IF($A2800="","",IFERROR(INDEX(부서매핑!$C$5:$C$504,MATCH($G2800&amp;"",부서매핑!$A$5:$A$504,0)),"미매핑"))</f>
        <v/>
      </c>
      <c r="O2800" s="9">
        <f>IF($A2800="","",N2800&amp;"|"&amp;$F2800)</f>
        <v/>
      </c>
      <c r="P2800" s="77">
        <f>IF($A2800="",0,$H2800*설정!$C$23)</f>
        <v/>
      </c>
      <c r="Q2800" s="39">
        <f>IF($A2800="","",IF(O2800&lt;&gt;원인분석!$C$9,"",IF(AND(M2800&gt;=원인분석!$C$10,M2800&lt;=원인분석!$C$11),"당기",IF(AND(M2800&gt;=원인분석!$C$12,M2800&lt;=원인분석!$C$13),"비교",""))))</f>
        <v/>
      </c>
      <c r="R2800" s="9">
        <f>IF(Q2800="","",$K2800&amp;"")</f>
        <v/>
      </c>
      <c r="S2800" s="9">
        <f>IF(Q2800="","",IF(MATCH(R2800,$R$5:$R$100000,0)=ROW()-4,ROW(),""))</f>
        <v/>
      </c>
      <c r="T2800" s="9">
        <f>IF(Q2800="당기",ABS(P2800)+ROW()/1000000000,"")</f>
        <v/>
      </c>
      <c r="U2800" s="9">
        <f>IF(Q2800="비교",ABS(P2800)+ROW()/1000000000,"")</f>
        <v/>
      </c>
      <c r="V2800" s="39">
        <f>IF($A2800="","",IF(COUNTIF(변동분석!$E$7:$E$506,O2800)&gt;0,"Y","N"))</f>
        <v/>
      </c>
      <c r="W2800" s="39">
        <f>IF($A2800="","",IFERROR(INDEX(계정매핑!$D$5:$D$504,MATCH($F2800&amp;"",계정매핑!$A$5:$A$504,0)),"미매핑"))</f>
        <v/>
      </c>
      <c r="X2800" s="9">
        <f>IF($A2800="","",$F2800&amp;"")</f>
        <v/>
      </c>
    </row>
    <row r="2801">
      <c r="A2801" s="75" t="n">
        <v>2026</v>
      </c>
      <c r="B2801" s="75" t="n">
        <v>3</v>
      </c>
      <c r="C2801" s="75" t="inlineStr">
        <is>
          <t>5100000457</t>
        </is>
      </c>
      <c r="D2801" s="78" t="n">
        <v>46090</v>
      </c>
      <c r="E2801" s="75" t="inlineStr">
        <is>
          <t>KR</t>
        </is>
      </c>
      <c r="F2801" s="75" t="n">
        <v>62902000</v>
      </c>
      <c r="G2801" s="75" t="n">
        <v>1201</v>
      </c>
      <c r="H2801" s="76" t="n">
        <v>2604000</v>
      </c>
      <c r="I2801" s="75" t="inlineStr">
        <is>
          <t>3월 업무 위탁 수수료 - J콜센터</t>
        </is>
      </c>
      <c r="J2801" s="75" t="inlineStr">
        <is>
          <t>V10013</t>
        </is>
      </c>
      <c r="K2801" s="75" t="inlineStr">
        <is>
          <t>J콜센터</t>
        </is>
      </c>
      <c r="M2801" s="9">
        <f>IF($A2801="","",VALUE($A2801&amp;"")*12+VALUE($B2801&amp;""))</f>
        <v/>
      </c>
      <c r="N2801" s="39">
        <f>IF($A2801="","",IFERROR(INDEX(부서매핑!$C$5:$C$504,MATCH($G2801&amp;"",부서매핑!$A$5:$A$504,0)),"미매핑"))</f>
        <v/>
      </c>
      <c r="O2801" s="9">
        <f>IF($A2801="","",N2801&amp;"|"&amp;$F2801)</f>
        <v/>
      </c>
      <c r="P2801" s="77">
        <f>IF($A2801="",0,$H2801*설정!$C$23)</f>
        <v/>
      </c>
      <c r="Q2801" s="39">
        <f>IF($A2801="","",IF(O2801&lt;&gt;원인분석!$C$9,"",IF(AND(M2801&gt;=원인분석!$C$10,M2801&lt;=원인분석!$C$11),"당기",IF(AND(M2801&gt;=원인분석!$C$12,M2801&lt;=원인분석!$C$13),"비교",""))))</f>
        <v/>
      </c>
      <c r="R2801" s="9">
        <f>IF(Q2801="","",$K2801&amp;"")</f>
        <v/>
      </c>
      <c r="S2801" s="9">
        <f>IF(Q2801="","",IF(MATCH(R2801,$R$5:$R$100000,0)=ROW()-4,ROW(),""))</f>
        <v/>
      </c>
      <c r="T2801" s="9">
        <f>IF(Q2801="당기",ABS(P2801)+ROW()/1000000000,"")</f>
        <v/>
      </c>
      <c r="U2801" s="9">
        <f>IF(Q2801="비교",ABS(P2801)+ROW()/1000000000,"")</f>
        <v/>
      </c>
      <c r="V2801" s="39">
        <f>IF($A2801="","",IF(COUNTIF(변동분석!$E$7:$E$506,O2801)&gt;0,"Y","N"))</f>
        <v/>
      </c>
      <c r="W2801" s="39">
        <f>IF($A2801="","",IFERROR(INDEX(계정매핑!$D$5:$D$504,MATCH($F2801&amp;"",계정매핑!$A$5:$A$504,0)),"미매핑"))</f>
        <v/>
      </c>
      <c r="X2801" s="9">
        <f>IF($A2801="","",$F2801&amp;"")</f>
        <v/>
      </c>
    </row>
    <row r="2802">
      <c r="A2802" s="75" t="n">
        <v>2026</v>
      </c>
      <c r="B2802" s="75" t="n">
        <v>3</v>
      </c>
      <c r="C2802" s="75" t="inlineStr">
        <is>
          <t>5100000458</t>
        </is>
      </c>
      <c r="D2802" s="78" t="n">
        <v>46090</v>
      </c>
      <c r="E2802" s="75" t="inlineStr">
        <is>
          <t>KR</t>
        </is>
      </c>
      <c r="F2802" s="75" t="n">
        <v>62902000</v>
      </c>
      <c r="G2802" s="75" t="n">
        <v>1801</v>
      </c>
      <c r="H2802" s="76" t="n">
        <v>1822000</v>
      </c>
      <c r="I2802" s="75" t="inlineStr">
        <is>
          <t>3월 콜 위탁 수수료(건별)</t>
        </is>
      </c>
      <c r="J2802" s="75" t="inlineStr">
        <is>
          <t>V10013</t>
        </is>
      </c>
      <c r="K2802" s="75" t="inlineStr">
        <is>
          <t>J콜센터</t>
        </is>
      </c>
      <c r="M2802" s="9">
        <f>IF($A2802="","",VALUE($A2802&amp;"")*12+VALUE($B2802&amp;""))</f>
        <v/>
      </c>
      <c r="N2802" s="39">
        <f>IF($A2802="","",IFERROR(INDEX(부서매핑!$C$5:$C$504,MATCH($G2802&amp;"",부서매핑!$A$5:$A$504,0)),"미매핑"))</f>
        <v/>
      </c>
      <c r="O2802" s="9">
        <f>IF($A2802="","",N2802&amp;"|"&amp;$F2802)</f>
        <v/>
      </c>
      <c r="P2802" s="77">
        <f>IF($A2802="",0,$H2802*설정!$C$23)</f>
        <v/>
      </c>
      <c r="Q2802" s="39">
        <f>IF($A2802="","",IF(O2802&lt;&gt;원인분석!$C$9,"",IF(AND(M2802&gt;=원인분석!$C$10,M2802&lt;=원인분석!$C$11),"당기",IF(AND(M2802&gt;=원인분석!$C$12,M2802&lt;=원인분석!$C$13),"비교",""))))</f>
        <v/>
      </c>
      <c r="R2802" s="9">
        <f>IF(Q2802="","",$K2802&amp;"")</f>
        <v/>
      </c>
      <c r="S2802" s="9">
        <f>IF(Q2802="","",IF(MATCH(R2802,$R$5:$R$100000,0)=ROW()-4,ROW(),""))</f>
        <v/>
      </c>
      <c r="T2802" s="9">
        <f>IF(Q2802="당기",ABS(P2802)+ROW()/1000000000,"")</f>
        <v/>
      </c>
      <c r="U2802" s="9">
        <f>IF(Q2802="비교",ABS(P2802)+ROW()/1000000000,"")</f>
        <v/>
      </c>
      <c r="V2802" s="39">
        <f>IF($A2802="","",IF(COUNTIF(변동분석!$E$7:$E$506,O2802)&gt;0,"Y","N"))</f>
        <v/>
      </c>
      <c r="W2802" s="39">
        <f>IF($A2802="","",IFERROR(INDEX(계정매핑!$D$5:$D$504,MATCH($F2802&amp;"",계정매핑!$A$5:$A$504,0)),"미매핑"))</f>
        <v/>
      </c>
      <c r="X2802" s="9">
        <f>IF($A2802="","",$F2802&amp;"")</f>
        <v/>
      </c>
    </row>
    <row r="2803">
      <c r="A2803" s="75" t="n">
        <v>2026</v>
      </c>
      <c r="B2803" s="75" t="n">
        <v>3</v>
      </c>
      <c r="C2803" s="75" t="inlineStr">
        <is>
          <t>5100000459</t>
        </is>
      </c>
      <c r="D2803" s="78" t="n">
        <v>46090</v>
      </c>
      <c r="E2803" s="75" t="inlineStr">
        <is>
          <t>KR</t>
        </is>
      </c>
      <c r="F2803" s="75" t="n">
        <v>63001000</v>
      </c>
      <c r="G2803" s="75" t="n">
        <v>1701</v>
      </c>
      <c r="H2803" s="76" t="n">
        <v>37159000</v>
      </c>
      <c r="I2803" s="75" t="inlineStr">
        <is>
          <t>3월 SW 유지보수 - Z시스템</t>
        </is>
      </c>
      <c r="J2803" s="75" t="inlineStr">
        <is>
          <t>V10021</t>
        </is>
      </c>
      <c r="K2803" s="75" t="inlineStr">
        <is>
          <t>Z시스템</t>
        </is>
      </c>
      <c r="M2803" s="9">
        <f>IF($A2803="","",VALUE($A2803&amp;"")*12+VALUE($B2803&amp;""))</f>
        <v/>
      </c>
      <c r="N2803" s="39">
        <f>IF($A2803="","",IFERROR(INDEX(부서매핑!$C$5:$C$504,MATCH($G2803&amp;"",부서매핑!$A$5:$A$504,0)),"미매핑"))</f>
        <v/>
      </c>
      <c r="O2803" s="9">
        <f>IF($A2803="","",N2803&amp;"|"&amp;$F2803)</f>
        <v/>
      </c>
      <c r="P2803" s="77">
        <f>IF($A2803="",0,$H2803*설정!$C$23)</f>
        <v/>
      </c>
      <c r="Q2803" s="39">
        <f>IF($A2803="","",IF(O2803&lt;&gt;원인분석!$C$9,"",IF(AND(M2803&gt;=원인분석!$C$10,M2803&lt;=원인분석!$C$11),"당기",IF(AND(M2803&gt;=원인분석!$C$12,M2803&lt;=원인분석!$C$13),"비교",""))))</f>
        <v/>
      </c>
      <c r="R2803" s="9">
        <f>IF(Q2803="","",$K2803&amp;"")</f>
        <v/>
      </c>
      <c r="S2803" s="9">
        <f>IF(Q2803="","",IF(MATCH(R2803,$R$5:$R$100000,0)=ROW()-4,ROW(),""))</f>
        <v/>
      </c>
      <c r="T2803" s="9">
        <f>IF(Q2803="당기",ABS(P2803)+ROW()/1000000000,"")</f>
        <v/>
      </c>
      <c r="U2803" s="9">
        <f>IF(Q2803="비교",ABS(P2803)+ROW()/1000000000,"")</f>
        <v/>
      </c>
      <c r="V2803" s="39">
        <f>IF($A2803="","",IF(COUNTIF(변동분석!$E$7:$E$506,O2803)&gt;0,"Y","N"))</f>
        <v/>
      </c>
      <c r="W2803" s="39">
        <f>IF($A2803="","",IFERROR(INDEX(계정매핑!$D$5:$D$504,MATCH($F2803&amp;"",계정매핑!$A$5:$A$504,0)),"미매핑"))</f>
        <v/>
      </c>
      <c r="X2803" s="9">
        <f>IF($A2803="","",$F2803&amp;"")</f>
        <v/>
      </c>
    </row>
    <row r="2804">
      <c r="A2804" s="75" t="n">
        <v>2026</v>
      </c>
      <c r="B2804" s="75" t="n">
        <v>3</v>
      </c>
      <c r="C2804" s="75" t="inlineStr">
        <is>
          <t>5100000460</t>
        </is>
      </c>
      <c r="D2804" s="78" t="n">
        <v>46091</v>
      </c>
      <c r="E2804" s="75" t="inlineStr">
        <is>
          <t>KR</t>
        </is>
      </c>
      <c r="F2804" s="75" t="n">
        <v>62101000</v>
      </c>
      <c r="G2804" s="75" t="n">
        <v>1301</v>
      </c>
      <c r="H2804" s="76" t="n">
        <v>272000</v>
      </c>
      <c r="I2804" s="75" t="inlineStr">
        <is>
          <t>3월 국내출장 - L여행사</t>
        </is>
      </c>
      <c r="J2804" s="75" t="inlineStr">
        <is>
          <t>V10014</t>
        </is>
      </c>
      <c r="K2804" s="75" t="inlineStr">
        <is>
          <t>L여행사</t>
        </is>
      </c>
      <c r="M2804" s="9">
        <f>IF($A2804="","",VALUE($A2804&amp;"")*12+VALUE($B2804&amp;""))</f>
        <v/>
      </c>
      <c r="N2804" s="39">
        <f>IF($A2804="","",IFERROR(INDEX(부서매핑!$C$5:$C$504,MATCH($G2804&amp;"",부서매핑!$A$5:$A$504,0)),"미매핑"))</f>
        <v/>
      </c>
      <c r="O2804" s="9">
        <f>IF($A2804="","",N2804&amp;"|"&amp;$F2804)</f>
        <v/>
      </c>
      <c r="P2804" s="77">
        <f>IF($A2804="",0,$H2804*설정!$C$23)</f>
        <v/>
      </c>
      <c r="Q2804" s="39">
        <f>IF($A2804="","",IF(O2804&lt;&gt;원인분석!$C$9,"",IF(AND(M2804&gt;=원인분석!$C$10,M2804&lt;=원인분석!$C$11),"당기",IF(AND(M2804&gt;=원인분석!$C$12,M2804&lt;=원인분석!$C$13),"비교",""))))</f>
        <v/>
      </c>
      <c r="R2804" s="9">
        <f>IF(Q2804="","",$K2804&amp;"")</f>
        <v/>
      </c>
      <c r="S2804" s="9">
        <f>IF(Q2804="","",IF(MATCH(R2804,$R$5:$R$100000,0)=ROW()-4,ROW(),""))</f>
        <v/>
      </c>
      <c r="T2804" s="9">
        <f>IF(Q2804="당기",ABS(P2804)+ROW()/1000000000,"")</f>
        <v/>
      </c>
      <c r="U2804" s="9">
        <f>IF(Q2804="비교",ABS(P2804)+ROW()/1000000000,"")</f>
        <v/>
      </c>
      <c r="V2804" s="39">
        <f>IF($A2804="","",IF(COUNTIF(변동분석!$E$7:$E$506,O2804)&gt;0,"Y","N"))</f>
        <v/>
      </c>
      <c r="W2804" s="39">
        <f>IF($A2804="","",IFERROR(INDEX(계정매핑!$D$5:$D$504,MATCH($F2804&amp;"",계정매핑!$A$5:$A$504,0)),"미매핑"))</f>
        <v/>
      </c>
      <c r="X2804" s="9">
        <f>IF($A2804="","",$F2804&amp;"")</f>
        <v/>
      </c>
    </row>
    <row r="2805">
      <c r="A2805" s="75" t="n">
        <v>2026</v>
      </c>
      <c r="B2805" s="75" t="n">
        <v>3</v>
      </c>
      <c r="C2805" s="75" t="inlineStr">
        <is>
          <t>5100000461</t>
        </is>
      </c>
      <c r="D2805" s="78" t="n">
        <v>46091</v>
      </c>
      <c r="E2805" s="75" t="inlineStr">
        <is>
          <t>KR</t>
        </is>
      </c>
      <c r="F2805" s="75" t="n">
        <v>62102000</v>
      </c>
      <c r="G2805" s="75" t="n">
        <v>1401</v>
      </c>
      <c r="H2805" s="76" t="n">
        <v>106000</v>
      </c>
      <c r="I2805" s="75" t="inlineStr">
        <is>
          <t>3월 해외출장 - M항공</t>
        </is>
      </c>
      <c r="J2805" s="75" t="inlineStr">
        <is>
          <t>V10001</t>
        </is>
      </c>
      <c r="K2805" s="75" t="inlineStr">
        <is>
          <t>M항공</t>
        </is>
      </c>
      <c r="M2805" s="9">
        <f>IF($A2805="","",VALUE($A2805&amp;"")*12+VALUE($B2805&amp;""))</f>
        <v/>
      </c>
      <c r="N2805" s="39">
        <f>IF($A2805="","",IFERROR(INDEX(부서매핑!$C$5:$C$504,MATCH($G2805&amp;"",부서매핑!$A$5:$A$504,0)),"미매핑"))</f>
        <v/>
      </c>
      <c r="O2805" s="9">
        <f>IF($A2805="","",N2805&amp;"|"&amp;$F2805)</f>
        <v/>
      </c>
      <c r="P2805" s="77">
        <f>IF($A2805="",0,$H2805*설정!$C$23)</f>
        <v/>
      </c>
      <c r="Q2805" s="39">
        <f>IF($A2805="","",IF(O2805&lt;&gt;원인분석!$C$9,"",IF(AND(M2805&gt;=원인분석!$C$10,M2805&lt;=원인분석!$C$11),"당기",IF(AND(M2805&gt;=원인분석!$C$12,M2805&lt;=원인분석!$C$13),"비교",""))))</f>
        <v/>
      </c>
      <c r="R2805" s="9">
        <f>IF(Q2805="","",$K2805&amp;"")</f>
        <v/>
      </c>
      <c r="S2805" s="9">
        <f>IF(Q2805="","",IF(MATCH(R2805,$R$5:$R$100000,0)=ROW()-4,ROW(),""))</f>
        <v/>
      </c>
      <c r="T2805" s="9">
        <f>IF(Q2805="당기",ABS(P2805)+ROW()/1000000000,"")</f>
        <v/>
      </c>
      <c r="U2805" s="9">
        <f>IF(Q2805="비교",ABS(P2805)+ROW()/1000000000,"")</f>
        <v/>
      </c>
      <c r="V2805" s="39">
        <f>IF($A2805="","",IF(COUNTIF(변동분석!$E$7:$E$506,O2805)&gt;0,"Y","N"))</f>
        <v/>
      </c>
      <c r="W2805" s="39">
        <f>IF($A2805="","",IFERROR(INDEX(계정매핑!$D$5:$D$504,MATCH($F2805&amp;"",계정매핑!$A$5:$A$504,0)),"미매핑"))</f>
        <v/>
      </c>
      <c r="X2805" s="9">
        <f>IF($A2805="","",$F2805&amp;"")</f>
        <v/>
      </c>
    </row>
    <row r="2806">
      <c r="A2806" s="75" t="n">
        <v>2026</v>
      </c>
      <c r="B2806" s="75" t="n">
        <v>3</v>
      </c>
      <c r="C2806" s="75" t="inlineStr">
        <is>
          <t>5100000462</t>
        </is>
      </c>
      <c r="D2806" s="78" t="n">
        <v>46091</v>
      </c>
      <c r="E2806" s="75" t="inlineStr">
        <is>
          <t>KR</t>
        </is>
      </c>
      <c r="F2806" s="75" t="n">
        <v>62201000</v>
      </c>
      <c r="G2806" s="75" t="n">
        <v>1301</v>
      </c>
      <c r="H2806" s="76" t="n">
        <v>199000</v>
      </c>
      <c r="I2806" s="75" t="inlineStr">
        <is>
          <t>3월 통신요금 - P통신</t>
        </is>
      </c>
      <c r="J2806" s="75" t="inlineStr">
        <is>
          <t>V10011</t>
        </is>
      </c>
      <c r="K2806" s="75" t="inlineStr">
        <is>
          <t>P통신</t>
        </is>
      </c>
      <c r="M2806" s="9">
        <f>IF($A2806="","",VALUE($A2806&amp;"")*12+VALUE($B2806&amp;""))</f>
        <v/>
      </c>
      <c r="N2806" s="39">
        <f>IF($A2806="","",IFERROR(INDEX(부서매핑!$C$5:$C$504,MATCH($G2806&amp;"",부서매핑!$A$5:$A$504,0)),"미매핑"))</f>
        <v/>
      </c>
      <c r="O2806" s="9">
        <f>IF($A2806="","",N2806&amp;"|"&amp;$F2806)</f>
        <v/>
      </c>
      <c r="P2806" s="77">
        <f>IF($A2806="",0,$H2806*설정!$C$23)</f>
        <v/>
      </c>
      <c r="Q2806" s="39">
        <f>IF($A2806="","",IF(O2806&lt;&gt;원인분석!$C$9,"",IF(AND(M2806&gt;=원인분석!$C$10,M2806&lt;=원인분석!$C$11),"당기",IF(AND(M2806&gt;=원인분석!$C$12,M2806&lt;=원인분석!$C$13),"비교",""))))</f>
        <v/>
      </c>
      <c r="R2806" s="9">
        <f>IF(Q2806="","",$K2806&amp;"")</f>
        <v/>
      </c>
      <c r="S2806" s="9">
        <f>IF(Q2806="","",IF(MATCH(R2806,$R$5:$R$100000,0)=ROW()-4,ROW(),""))</f>
        <v/>
      </c>
      <c r="T2806" s="9">
        <f>IF(Q2806="당기",ABS(P2806)+ROW()/1000000000,"")</f>
        <v/>
      </c>
      <c r="U2806" s="9">
        <f>IF(Q2806="비교",ABS(P2806)+ROW()/1000000000,"")</f>
        <v/>
      </c>
      <c r="V2806" s="39">
        <f>IF($A2806="","",IF(COUNTIF(변동분석!$E$7:$E$506,O2806)&gt;0,"Y","N"))</f>
        <v/>
      </c>
      <c r="W2806" s="39">
        <f>IF($A2806="","",IFERROR(INDEX(계정매핑!$D$5:$D$504,MATCH($F2806&amp;"",계정매핑!$A$5:$A$504,0)),"미매핑"))</f>
        <v/>
      </c>
      <c r="X2806" s="9">
        <f>IF($A2806="","",$F2806&amp;"")</f>
        <v/>
      </c>
    </row>
    <row r="2807">
      <c r="A2807" s="75" t="n">
        <v>2026</v>
      </c>
      <c r="B2807" s="75" t="n">
        <v>3</v>
      </c>
      <c r="C2807" s="75" t="inlineStr">
        <is>
          <t>5100000463</t>
        </is>
      </c>
      <c r="D2807" s="78" t="n">
        <v>46091</v>
      </c>
      <c r="E2807" s="75" t="inlineStr">
        <is>
          <t>KR</t>
        </is>
      </c>
      <c r="F2807" s="75" t="n">
        <v>62201000</v>
      </c>
      <c r="G2807" s="75" t="n">
        <v>1602</v>
      </c>
      <c r="H2807" s="76" t="n">
        <v>697000</v>
      </c>
      <c r="I2807" s="75" t="inlineStr">
        <is>
          <t>3월 통신요금 - P통신</t>
        </is>
      </c>
      <c r="J2807" s="75" t="inlineStr">
        <is>
          <t>V10011</t>
        </is>
      </c>
      <c r="K2807" s="75" t="inlineStr">
        <is>
          <t>P통신</t>
        </is>
      </c>
      <c r="M2807" s="9">
        <f>IF($A2807="","",VALUE($A2807&amp;"")*12+VALUE($B2807&amp;""))</f>
        <v/>
      </c>
      <c r="N2807" s="39">
        <f>IF($A2807="","",IFERROR(INDEX(부서매핑!$C$5:$C$504,MATCH($G2807&amp;"",부서매핑!$A$5:$A$504,0)),"미매핑"))</f>
        <v/>
      </c>
      <c r="O2807" s="9">
        <f>IF($A2807="","",N2807&amp;"|"&amp;$F2807)</f>
        <v/>
      </c>
      <c r="P2807" s="77">
        <f>IF($A2807="",0,$H2807*설정!$C$23)</f>
        <v/>
      </c>
      <c r="Q2807" s="39">
        <f>IF($A2807="","",IF(O2807&lt;&gt;원인분석!$C$9,"",IF(AND(M2807&gt;=원인분석!$C$10,M2807&lt;=원인분석!$C$11),"당기",IF(AND(M2807&gt;=원인분석!$C$12,M2807&lt;=원인분석!$C$13),"비교",""))))</f>
        <v/>
      </c>
      <c r="R2807" s="9">
        <f>IF(Q2807="","",$K2807&amp;"")</f>
        <v/>
      </c>
      <c r="S2807" s="9">
        <f>IF(Q2807="","",IF(MATCH(R2807,$R$5:$R$100000,0)=ROW()-4,ROW(),""))</f>
        <v/>
      </c>
      <c r="T2807" s="9">
        <f>IF(Q2807="당기",ABS(P2807)+ROW()/1000000000,"")</f>
        <v/>
      </c>
      <c r="U2807" s="9">
        <f>IF(Q2807="비교",ABS(P2807)+ROW()/1000000000,"")</f>
        <v/>
      </c>
      <c r="V2807" s="39">
        <f>IF($A2807="","",IF(COUNTIF(변동분석!$E$7:$E$506,O2807)&gt;0,"Y","N"))</f>
        <v/>
      </c>
      <c r="W2807" s="39">
        <f>IF($A2807="","",IFERROR(INDEX(계정매핑!$D$5:$D$504,MATCH($F2807&amp;"",계정매핑!$A$5:$A$504,0)),"미매핑"))</f>
        <v/>
      </c>
      <c r="X2807" s="9">
        <f>IF($A2807="","",$F2807&amp;"")</f>
        <v/>
      </c>
    </row>
    <row r="2808">
      <c r="A2808" s="75" t="n">
        <v>2026</v>
      </c>
      <c r="B2808" s="75" t="n">
        <v>3</v>
      </c>
      <c r="C2808" s="75" t="inlineStr">
        <is>
          <t>5100000464</t>
        </is>
      </c>
      <c r="D2808" s="78" t="n">
        <v>46091</v>
      </c>
      <c r="E2808" s="75" t="inlineStr">
        <is>
          <t>KR</t>
        </is>
      </c>
      <c r="F2808" s="75" t="n">
        <v>62301000</v>
      </c>
      <c r="G2808" s="75" t="n">
        <v>1801</v>
      </c>
      <c r="H2808" s="76" t="n">
        <v>196000</v>
      </c>
      <c r="I2808" s="75" t="inlineStr">
        <is>
          <t>3월 소모품 구입 - Q오피스</t>
        </is>
      </c>
      <c r="J2808" s="75" t="inlineStr">
        <is>
          <t>V10003</t>
        </is>
      </c>
      <c r="K2808" s="75" t="inlineStr">
        <is>
          <t>Q오피스</t>
        </is>
      </c>
      <c r="M2808" s="9">
        <f>IF($A2808="","",VALUE($A2808&amp;"")*12+VALUE($B2808&amp;""))</f>
        <v/>
      </c>
      <c r="N2808" s="39">
        <f>IF($A2808="","",IFERROR(INDEX(부서매핑!$C$5:$C$504,MATCH($G2808&amp;"",부서매핑!$A$5:$A$504,0)),"미매핑"))</f>
        <v/>
      </c>
      <c r="O2808" s="9">
        <f>IF($A2808="","",N2808&amp;"|"&amp;$F2808)</f>
        <v/>
      </c>
      <c r="P2808" s="77">
        <f>IF($A2808="",0,$H2808*설정!$C$23)</f>
        <v/>
      </c>
      <c r="Q2808" s="39">
        <f>IF($A2808="","",IF(O2808&lt;&gt;원인분석!$C$9,"",IF(AND(M2808&gt;=원인분석!$C$10,M2808&lt;=원인분석!$C$11),"당기",IF(AND(M2808&gt;=원인분석!$C$12,M2808&lt;=원인분석!$C$13),"비교",""))))</f>
        <v/>
      </c>
      <c r="R2808" s="9">
        <f>IF(Q2808="","",$K2808&amp;"")</f>
        <v/>
      </c>
      <c r="S2808" s="9">
        <f>IF(Q2808="","",IF(MATCH(R2808,$R$5:$R$100000,0)=ROW()-4,ROW(),""))</f>
        <v/>
      </c>
      <c r="T2808" s="9">
        <f>IF(Q2808="당기",ABS(P2808)+ROW()/1000000000,"")</f>
        <v/>
      </c>
      <c r="U2808" s="9">
        <f>IF(Q2808="비교",ABS(P2808)+ROW()/1000000000,"")</f>
        <v/>
      </c>
      <c r="V2808" s="39">
        <f>IF($A2808="","",IF(COUNTIF(변동분석!$E$7:$E$506,O2808)&gt;0,"Y","N"))</f>
        <v/>
      </c>
      <c r="W2808" s="39">
        <f>IF($A2808="","",IFERROR(INDEX(계정매핑!$D$5:$D$504,MATCH($F2808&amp;"",계정매핑!$A$5:$A$504,0)),"미매핑"))</f>
        <v/>
      </c>
      <c r="X2808" s="9">
        <f>IF($A2808="","",$F2808&amp;"")</f>
        <v/>
      </c>
    </row>
    <row r="2809">
      <c r="A2809" s="75" t="n">
        <v>2026</v>
      </c>
      <c r="B2809" s="75" t="n">
        <v>3</v>
      </c>
      <c r="C2809" s="75" t="inlineStr">
        <is>
          <t>5100000465</t>
        </is>
      </c>
      <c r="D2809" s="78" t="n">
        <v>46091</v>
      </c>
      <c r="E2809" s="75" t="inlineStr">
        <is>
          <t>KR</t>
        </is>
      </c>
      <c r="F2809" s="75" t="n">
        <v>62901000</v>
      </c>
      <c r="G2809" s="75" t="n">
        <v>1101</v>
      </c>
      <c r="H2809" s="76" t="n">
        <v>3021000</v>
      </c>
      <c r="I2809" s="75" t="inlineStr">
        <is>
          <t>3월 자문 수수료 - W컨설팅</t>
        </is>
      </c>
      <c r="J2809" s="75" t="inlineStr">
        <is>
          <t>V10009</t>
        </is>
      </c>
      <c r="K2809" s="75" t="inlineStr">
        <is>
          <t>W컨설팅</t>
        </is>
      </c>
      <c r="M2809" s="9">
        <f>IF($A2809="","",VALUE($A2809&amp;"")*12+VALUE($B2809&amp;""))</f>
        <v/>
      </c>
      <c r="N2809" s="39">
        <f>IF($A2809="","",IFERROR(INDEX(부서매핑!$C$5:$C$504,MATCH($G2809&amp;"",부서매핑!$A$5:$A$504,0)),"미매핑"))</f>
        <v/>
      </c>
      <c r="O2809" s="9">
        <f>IF($A2809="","",N2809&amp;"|"&amp;$F2809)</f>
        <v/>
      </c>
      <c r="P2809" s="77">
        <f>IF($A2809="",0,$H2809*설정!$C$23)</f>
        <v/>
      </c>
      <c r="Q2809" s="39">
        <f>IF($A2809="","",IF(O2809&lt;&gt;원인분석!$C$9,"",IF(AND(M2809&gt;=원인분석!$C$10,M2809&lt;=원인분석!$C$11),"당기",IF(AND(M2809&gt;=원인분석!$C$12,M2809&lt;=원인분석!$C$13),"비교",""))))</f>
        <v/>
      </c>
      <c r="R2809" s="9">
        <f>IF(Q2809="","",$K2809&amp;"")</f>
        <v/>
      </c>
      <c r="S2809" s="9">
        <f>IF(Q2809="","",IF(MATCH(R2809,$R$5:$R$100000,0)=ROW()-4,ROW(),""))</f>
        <v/>
      </c>
      <c r="T2809" s="9">
        <f>IF(Q2809="당기",ABS(P2809)+ROW()/1000000000,"")</f>
        <v/>
      </c>
      <c r="U2809" s="9">
        <f>IF(Q2809="비교",ABS(P2809)+ROW()/1000000000,"")</f>
        <v/>
      </c>
      <c r="V2809" s="39">
        <f>IF($A2809="","",IF(COUNTIF(변동분석!$E$7:$E$506,O2809)&gt;0,"Y","N"))</f>
        <v/>
      </c>
      <c r="W2809" s="39">
        <f>IF($A2809="","",IFERROR(INDEX(계정매핑!$D$5:$D$504,MATCH($F2809&amp;"",계정매핑!$A$5:$A$504,0)),"미매핑"))</f>
        <v/>
      </c>
      <c r="X2809" s="9">
        <f>IF($A2809="","",$F2809&amp;"")</f>
        <v/>
      </c>
    </row>
    <row r="2810">
      <c r="A2810" s="75" t="n">
        <v>2026</v>
      </c>
      <c r="B2810" s="75" t="n">
        <v>3</v>
      </c>
      <c r="C2810" s="75" t="inlineStr">
        <is>
          <t>5100000466</t>
        </is>
      </c>
      <c r="D2810" s="78" t="n">
        <v>46091</v>
      </c>
      <c r="E2810" s="75" t="inlineStr">
        <is>
          <t>KR</t>
        </is>
      </c>
      <c r="F2810" s="75" t="n">
        <v>62902000</v>
      </c>
      <c r="G2810" s="75" t="n">
        <v>1401</v>
      </c>
      <c r="H2810" s="76" t="n">
        <v>1353000</v>
      </c>
      <c r="I2810" s="75" t="inlineStr">
        <is>
          <t>3월 업무 위탁 수수료 - X서비스</t>
        </is>
      </c>
      <c r="J2810" s="75" t="inlineStr">
        <is>
          <t>V10016</t>
        </is>
      </c>
      <c r="K2810" s="75" t="inlineStr">
        <is>
          <t>X서비스</t>
        </is>
      </c>
      <c r="M2810" s="9">
        <f>IF($A2810="","",VALUE($A2810&amp;"")*12+VALUE($B2810&amp;""))</f>
        <v/>
      </c>
      <c r="N2810" s="39">
        <f>IF($A2810="","",IFERROR(INDEX(부서매핑!$C$5:$C$504,MATCH($G2810&amp;"",부서매핑!$A$5:$A$504,0)),"미매핑"))</f>
        <v/>
      </c>
      <c r="O2810" s="9">
        <f>IF($A2810="","",N2810&amp;"|"&amp;$F2810)</f>
        <v/>
      </c>
      <c r="P2810" s="77">
        <f>IF($A2810="",0,$H2810*설정!$C$23)</f>
        <v/>
      </c>
      <c r="Q2810" s="39">
        <f>IF($A2810="","",IF(O2810&lt;&gt;원인분석!$C$9,"",IF(AND(M2810&gt;=원인분석!$C$10,M2810&lt;=원인분석!$C$11),"당기",IF(AND(M2810&gt;=원인분석!$C$12,M2810&lt;=원인분석!$C$13),"비교",""))))</f>
        <v/>
      </c>
      <c r="R2810" s="9">
        <f>IF(Q2810="","",$K2810&amp;"")</f>
        <v/>
      </c>
      <c r="S2810" s="9">
        <f>IF(Q2810="","",IF(MATCH(R2810,$R$5:$R$100000,0)=ROW()-4,ROW(),""))</f>
        <v/>
      </c>
      <c r="T2810" s="9">
        <f>IF(Q2810="당기",ABS(P2810)+ROW()/1000000000,"")</f>
        <v/>
      </c>
      <c r="U2810" s="9">
        <f>IF(Q2810="비교",ABS(P2810)+ROW()/1000000000,"")</f>
        <v/>
      </c>
      <c r="V2810" s="39">
        <f>IF($A2810="","",IF(COUNTIF(변동분석!$E$7:$E$506,O2810)&gt;0,"Y","N"))</f>
        <v/>
      </c>
      <c r="W2810" s="39">
        <f>IF($A2810="","",IFERROR(INDEX(계정매핑!$D$5:$D$504,MATCH($F2810&amp;"",계정매핑!$A$5:$A$504,0)),"미매핑"))</f>
        <v/>
      </c>
      <c r="X2810" s="9">
        <f>IF($A2810="","",$F2810&amp;"")</f>
        <v/>
      </c>
    </row>
    <row r="2811">
      <c r="A2811" s="75" t="n">
        <v>2026</v>
      </c>
      <c r="B2811" s="75" t="n">
        <v>3</v>
      </c>
      <c r="C2811" s="75" t="inlineStr">
        <is>
          <t>5100000467</t>
        </is>
      </c>
      <c r="D2811" s="78" t="n">
        <v>46092</v>
      </c>
      <c r="E2811" s="75" t="inlineStr">
        <is>
          <t>KR</t>
        </is>
      </c>
      <c r="F2811" s="75" t="n">
        <v>62102000</v>
      </c>
      <c r="G2811" s="75" t="n">
        <v>1701</v>
      </c>
      <c r="H2811" s="76" t="n">
        <v>37000</v>
      </c>
      <c r="I2811" s="75" t="inlineStr">
        <is>
          <t>3월 해외출장 - M항공</t>
        </is>
      </c>
      <c r="J2811" s="75" t="inlineStr">
        <is>
          <t>V10001</t>
        </is>
      </c>
      <c r="K2811" s="75" t="inlineStr">
        <is>
          <t>M항공</t>
        </is>
      </c>
      <c r="M2811" s="9">
        <f>IF($A2811="","",VALUE($A2811&amp;"")*12+VALUE($B2811&amp;""))</f>
        <v/>
      </c>
      <c r="N2811" s="39">
        <f>IF($A2811="","",IFERROR(INDEX(부서매핑!$C$5:$C$504,MATCH($G2811&amp;"",부서매핑!$A$5:$A$504,0)),"미매핑"))</f>
        <v/>
      </c>
      <c r="O2811" s="9">
        <f>IF($A2811="","",N2811&amp;"|"&amp;$F2811)</f>
        <v/>
      </c>
      <c r="P2811" s="77">
        <f>IF($A2811="",0,$H2811*설정!$C$23)</f>
        <v/>
      </c>
      <c r="Q2811" s="39">
        <f>IF($A2811="","",IF(O2811&lt;&gt;원인분석!$C$9,"",IF(AND(M2811&gt;=원인분석!$C$10,M2811&lt;=원인분석!$C$11),"당기",IF(AND(M2811&gt;=원인분석!$C$12,M2811&lt;=원인분석!$C$13),"비교",""))))</f>
        <v/>
      </c>
      <c r="R2811" s="9">
        <f>IF(Q2811="","",$K2811&amp;"")</f>
        <v/>
      </c>
      <c r="S2811" s="9">
        <f>IF(Q2811="","",IF(MATCH(R2811,$R$5:$R$100000,0)=ROW()-4,ROW(),""))</f>
        <v/>
      </c>
      <c r="T2811" s="9">
        <f>IF(Q2811="당기",ABS(P2811)+ROW()/1000000000,"")</f>
        <v/>
      </c>
      <c r="U2811" s="9">
        <f>IF(Q2811="비교",ABS(P2811)+ROW()/1000000000,"")</f>
        <v/>
      </c>
      <c r="V2811" s="39">
        <f>IF($A2811="","",IF(COUNTIF(변동분석!$E$7:$E$506,O2811)&gt;0,"Y","N"))</f>
        <v/>
      </c>
      <c r="W2811" s="39">
        <f>IF($A2811="","",IFERROR(INDEX(계정매핑!$D$5:$D$504,MATCH($F2811&amp;"",계정매핑!$A$5:$A$504,0)),"미매핑"))</f>
        <v/>
      </c>
      <c r="X2811" s="9">
        <f>IF($A2811="","",$F2811&amp;"")</f>
        <v/>
      </c>
    </row>
    <row r="2812">
      <c r="A2812" s="75" t="n">
        <v>2026</v>
      </c>
      <c r="B2812" s="75" t="n">
        <v>3</v>
      </c>
      <c r="C2812" s="75" t="inlineStr">
        <is>
          <t>5100000468</t>
        </is>
      </c>
      <c r="D2812" s="78" t="n">
        <v>46092</v>
      </c>
      <c r="E2812" s="75" t="inlineStr">
        <is>
          <t>KR</t>
        </is>
      </c>
      <c r="F2812" s="75" t="n">
        <v>62301000</v>
      </c>
      <c r="G2812" s="75" t="n">
        <v>1101</v>
      </c>
      <c r="H2812" s="76" t="n">
        <v>247000</v>
      </c>
      <c r="I2812" s="75" t="inlineStr">
        <is>
          <t>3월 소모품 구입 - Q오피스</t>
        </is>
      </c>
      <c r="J2812" s="75" t="inlineStr">
        <is>
          <t>V10003</t>
        </is>
      </c>
      <c r="K2812" s="75" t="inlineStr">
        <is>
          <t>Q오피스</t>
        </is>
      </c>
      <c r="M2812" s="9">
        <f>IF($A2812="","",VALUE($A2812&amp;"")*12+VALUE($B2812&amp;""))</f>
        <v/>
      </c>
      <c r="N2812" s="39">
        <f>IF($A2812="","",IFERROR(INDEX(부서매핑!$C$5:$C$504,MATCH($G2812&amp;"",부서매핑!$A$5:$A$504,0)),"미매핑"))</f>
        <v/>
      </c>
      <c r="O2812" s="9">
        <f>IF($A2812="","",N2812&amp;"|"&amp;$F2812)</f>
        <v/>
      </c>
      <c r="P2812" s="77">
        <f>IF($A2812="",0,$H2812*설정!$C$23)</f>
        <v/>
      </c>
      <c r="Q2812" s="39">
        <f>IF($A2812="","",IF(O2812&lt;&gt;원인분석!$C$9,"",IF(AND(M2812&gt;=원인분석!$C$10,M2812&lt;=원인분석!$C$11),"당기",IF(AND(M2812&gt;=원인분석!$C$12,M2812&lt;=원인분석!$C$13),"비교",""))))</f>
        <v/>
      </c>
      <c r="R2812" s="9">
        <f>IF(Q2812="","",$K2812&amp;"")</f>
        <v/>
      </c>
      <c r="S2812" s="9">
        <f>IF(Q2812="","",IF(MATCH(R2812,$R$5:$R$100000,0)=ROW()-4,ROW(),""))</f>
        <v/>
      </c>
      <c r="T2812" s="9">
        <f>IF(Q2812="당기",ABS(P2812)+ROW()/1000000000,"")</f>
        <v/>
      </c>
      <c r="U2812" s="9">
        <f>IF(Q2812="비교",ABS(P2812)+ROW()/1000000000,"")</f>
        <v/>
      </c>
      <c r="V2812" s="39">
        <f>IF($A2812="","",IF(COUNTIF(변동분석!$E$7:$E$506,O2812)&gt;0,"Y","N"))</f>
        <v/>
      </c>
      <c r="W2812" s="39">
        <f>IF($A2812="","",IFERROR(INDEX(계정매핑!$D$5:$D$504,MATCH($F2812&amp;"",계정매핑!$A$5:$A$504,0)),"미매핑"))</f>
        <v/>
      </c>
      <c r="X2812" s="9">
        <f>IF($A2812="","",$F2812&amp;"")</f>
        <v/>
      </c>
    </row>
    <row r="2813">
      <c r="A2813" s="75" t="n">
        <v>2026</v>
      </c>
      <c r="B2813" s="75" t="n">
        <v>3</v>
      </c>
      <c r="C2813" s="75" t="inlineStr">
        <is>
          <t>5100000469</t>
        </is>
      </c>
      <c r="D2813" s="78" t="n">
        <v>46093</v>
      </c>
      <c r="E2813" s="75" t="inlineStr">
        <is>
          <t>KR</t>
        </is>
      </c>
      <c r="F2813" s="75" t="n">
        <v>62101000</v>
      </c>
      <c r="G2813" s="75" t="n">
        <v>1501</v>
      </c>
      <c r="H2813" s="76" t="n">
        <v>397000</v>
      </c>
      <c r="I2813" s="75" t="inlineStr">
        <is>
          <t>3월 국내출장 - L여행사</t>
        </is>
      </c>
      <c r="J2813" s="75" t="inlineStr">
        <is>
          <t>V10014</t>
        </is>
      </c>
      <c r="K2813" s="75" t="inlineStr">
        <is>
          <t>L여행사</t>
        </is>
      </c>
      <c r="M2813" s="9">
        <f>IF($A2813="","",VALUE($A2813&amp;"")*12+VALUE($B2813&amp;""))</f>
        <v/>
      </c>
      <c r="N2813" s="39">
        <f>IF($A2813="","",IFERROR(INDEX(부서매핑!$C$5:$C$504,MATCH($G2813&amp;"",부서매핑!$A$5:$A$504,0)),"미매핑"))</f>
        <v/>
      </c>
      <c r="O2813" s="9">
        <f>IF($A2813="","",N2813&amp;"|"&amp;$F2813)</f>
        <v/>
      </c>
      <c r="P2813" s="77">
        <f>IF($A2813="",0,$H2813*설정!$C$23)</f>
        <v/>
      </c>
      <c r="Q2813" s="39">
        <f>IF($A2813="","",IF(O2813&lt;&gt;원인분석!$C$9,"",IF(AND(M2813&gt;=원인분석!$C$10,M2813&lt;=원인분석!$C$11),"당기",IF(AND(M2813&gt;=원인분석!$C$12,M2813&lt;=원인분석!$C$13),"비교",""))))</f>
        <v/>
      </c>
      <c r="R2813" s="9">
        <f>IF(Q2813="","",$K2813&amp;"")</f>
        <v/>
      </c>
      <c r="S2813" s="9">
        <f>IF(Q2813="","",IF(MATCH(R2813,$R$5:$R$100000,0)=ROW()-4,ROW(),""))</f>
        <v/>
      </c>
      <c r="T2813" s="9">
        <f>IF(Q2813="당기",ABS(P2813)+ROW()/1000000000,"")</f>
        <v/>
      </c>
      <c r="U2813" s="9">
        <f>IF(Q2813="비교",ABS(P2813)+ROW()/1000000000,"")</f>
        <v/>
      </c>
      <c r="V2813" s="39">
        <f>IF($A2813="","",IF(COUNTIF(변동분석!$E$7:$E$506,O2813)&gt;0,"Y","N"))</f>
        <v/>
      </c>
      <c r="W2813" s="39">
        <f>IF($A2813="","",IFERROR(INDEX(계정매핑!$D$5:$D$504,MATCH($F2813&amp;"",계정매핑!$A$5:$A$504,0)),"미매핑"))</f>
        <v/>
      </c>
      <c r="X2813" s="9">
        <f>IF($A2813="","",$F2813&amp;"")</f>
        <v/>
      </c>
    </row>
    <row r="2814">
      <c r="A2814" s="75" t="n">
        <v>2026</v>
      </c>
      <c r="B2814" s="75" t="n">
        <v>3</v>
      </c>
      <c r="C2814" s="75" t="inlineStr">
        <is>
          <t>5100000470</t>
        </is>
      </c>
      <c r="D2814" s="78" t="n">
        <v>46093</v>
      </c>
      <c r="E2814" s="75" t="inlineStr">
        <is>
          <t>KR</t>
        </is>
      </c>
      <c r="F2814" s="75" t="n">
        <v>62102000</v>
      </c>
      <c r="G2814" s="75" t="n">
        <v>1801</v>
      </c>
      <c r="H2814" s="76" t="n">
        <v>65000</v>
      </c>
      <c r="I2814" s="75" t="inlineStr">
        <is>
          <t>3월 해외출장 - N호텔</t>
        </is>
      </c>
      <c r="J2814" s="75" t="inlineStr">
        <is>
          <t>V10007</t>
        </is>
      </c>
      <c r="K2814" s="75" t="inlineStr">
        <is>
          <t>N호텔</t>
        </is>
      </c>
      <c r="M2814" s="9">
        <f>IF($A2814="","",VALUE($A2814&amp;"")*12+VALUE($B2814&amp;""))</f>
        <v/>
      </c>
      <c r="N2814" s="39">
        <f>IF($A2814="","",IFERROR(INDEX(부서매핑!$C$5:$C$504,MATCH($G2814&amp;"",부서매핑!$A$5:$A$504,0)),"미매핑"))</f>
        <v/>
      </c>
      <c r="O2814" s="9">
        <f>IF($A2814="","",N2814&amp;"|"&amp;$F2814)</f>
        <v/>
      </c>
      <c r="P2814" s="77">
        <f>IF($A2814="",0,$H2814*설정!$C$23)</f>
        <v/>
      </c>
      <c r="Q2814" s="39">
        <f>IF($A2814="","",IF(O2814&lt;&gt;원인분석!$C$9,"",IF(AND(M2814&gt;=원인분석!$C$10,M2814&lt;=원인분석!$C$11),"당기",IF(AND(M2814&gt;=원인분석!$C$12,M2814&lt;=원인분석!$C$13),"비교",""))))</f>
        <v/>
      </c>
      <c r="R2814" s="9">
        <f>IF(Q2814="","",$K2814&amp;"")</f>
        <v/>
      </c>
      <c r="S2814" s="9">
        <f>IF(Q2814="","",IF(MATCH(R2814,$R$5:$R$100000,0)=ROW()-4,ROW(),""))</f>
        <v/>
      </c>
      <c r="T2814" s="9">
        <f>IF(Q2814="당기",ABS(P2814)+ROW()/1000000000,"")</f>
        <v/>
      </c>
      <c r="U2814" s="9">
        <f>IF(Q2814="비교",ABS(P2814)+ROW()/1000000000,"")</f>
        <v/>
      </c>
      <c r="V2814" s="39">
        <f>IF($A2814="","",IF(COUNTIF(변동분석!$E$7:$E$506,O2814)&gt;0,"Y","N"))</f>
        <v/>
      </c>
      <c r="W2814" s="39">
        <f>IF($A2814="","",IFERROR(INDEX(계정매핑!$D$5:$D$504,MATCH($F2814&amp;"",계정매핑!$A$5:$A$504,0)),"미매핑"))</f>
        <v/>
      </c>
      <c r="X2814" s="9">
        <f>IF($A2814="","",$F2814&amp;"")</f>
        <v/>
      </c>
    </row>
    <row r="2815">
      <c r="A2815" s="75" t="n">
        <v>2026</v>
      </c>
      <c r="B2815" s="75" t="n">
        <v>3</v>
      </c>
      <c r="C2815" s="75" t="inlineStr">
        <is>
          <t>5100000471</t>
        </is>
      </c>
      <c r="D2815" s="78" t="n">
        <v>46093</v>
      </c>
      <c r="E2815" s="75" t="inlineStr">
        <is>
          <t>KR</t>
        </is>
      </c>
      <c r="F2815" s="75" t="n">
        <v>62201000</v>
      </c>
      <c r="G2815" s="75" t="n">
        <v>1401</v>
      </c>
      <c r="H2815" s="76" t="n">
        <v>253000</v>
      </c>
      <c r="I2815" s="75" t="inlineStr">
        <is>
          <t>3월 통신요금 - P통신</t>
        </is>
      </c>
      <c r="J2815" s="75" t="inlineStr">
        <is>
          <t>V10011</t>
        </is>
      </c>
      <c r="K2815" s="75" t="inlineStr">
        <is>
          <t>P통신</t>
        </is>
      </c>
      <c r="M2815" s="9">
        <f>IF($A2815="","",VALUE($A2815&amp;"")*12+VALUE($B2815&amp;""))</f>
        <v/>
      </c>
      <c r="N2815" s="39">
        <f>IF($A2815="","",IFERROR(INDEX(부서매핑!$C$5:$C$504,MATCH($G2815&amp;"",부서매핑!$A$5:$A$504,0)),"미매핑"))</f>
        <v/>
      </c>
      <c r="O2815" s="9">
        <f>IF($A2815="","",N2815&amp;"|"&amp;$F2815)</f>
        <v/>
      </c>
      <c r="P2815" s="77">
        <f>IF($A2815="",0,$H2815*설정!$C$23)</f>
        <v/>
      </c>
      <c r="Q2815" s="39">
        <f>IF($A2815="","",IF(O2815&lt;&gt;원인분석!$C$9,"",IF(AND(M2815&gt;=원인분석!$C$10,M2815&lt;=원인분석!$C$11),"당기",IF(AND(M2815&gt;=원인분석!$C$12,M2815&lt;=원인분석!$C$13),"비교",""))))</f>
        <v/>
      </c>
      <c r="R2815" s="9">
        <f>IF(Q2815="","",$K2815&amp;"")</f>
        <v/>
      </c>
      <c r="S2815" s="9">
        <f>IF(Q2815="","",IF(MATCH(R2815,$R$5:$R$100000,0)=ROW()-4,ROW(),""))</f>
        <v/>
      </c>
      <c r="T2815" s="9">
        <f>IF(Q2815="당기",ABS(P2815)+ROW()/1000000000,"")</f>
        <v/>
      </c>
      <c r="U2815" s="9">
        <f>IF(Q2815="비교",ABS(P2815)+ROW()/1000000000,"")</f>
        <v/>
      </c>
      <c r="V2815" s="39">
        <f>IF($A2815="","",IF(COUNTIF(변동분석!$E$7:$E$506,O2815)&gt;0,"Y","N"))</f>
        <v/>
      </c>
      <c r="W2815" s="39">
        <f>IF($A2815="","",IFERROR(INDEX(계정매핑!$D$5:$D$504,MATCH($F2815&amp;"",계정매핑!$A$5:$A$504,0)),"미매핑"))</f>
        <v/>
      </c>
      <c r="X2815" s="9">
        <f>IF($A2815="","",$F2815&amp;"")</f>
        <v/>
      </c>
    </row>
    <row r="2816">
      <c r="A2816" s="75" t="n">
        <v>2026</v>
      </c>
      <c r="B2816" s="75" t="n">
        <v>3</v>
      </c>
      <c r="C2816" s="75" t="inlineStr">
        <is>
          <t>5100000472</t>
        </is>
      </c>
      <c r="D2816" s="78" t="n">
        <v>46093</v>
      </c>
      <c r="E2816" s="75" t="inlineStr">
        <is>
          <t>KR</t>
        </is>
      </c>
      <c r="F2816" s="75" t="n">
        <v>62801000</v>
      </c>
      <c r="G2816" s="75" t="n">
        <v>1301</v>
      </c>
      <c r="H2816" s="76" t="n">
        <v>2749000</v>
      </c>
      <c r="I2816" s="75" t="inlineStr">
        <is>
          <t>3월 사내교육 - U에듀</t>
        </is>
      </c>
      <c r="J2816" s="75" t="inlineStr">
        <is>
          <t>V10026</t>
        </is>
      </c>
      <c r="K2816" s="75" t="inlineStr">
        <is>
          <t>U에듀</t>
        </is>
      </c>
      <c r="M2816" s="9">
        <f>IF($A2816="","",VALUE($A2816&amp;"")*12+VALUE($B2816&amp;""))</f>
        <v/>
      </c>
      <c r="N2816" s="39">
        <f>IF($A2816="","",IFERROR(INDEX(부서매핑!$C$5:$C$504,MATCH($G2816&amp;"",부서매핑!$A$5:$A$504,0)),"미매핑"))</f>
        <v/>
      </c>
      <c r="O2816" s="9">
        <f>IF($A2816="","",N2816&amp;"|"&amp;$F2816)</f>
        <v/>
      </c>
      <c r="P2816" s="77">
        <f>IF($A2816="",0,$H2816*설정!$C$23)</f>
        <v/>
      </c>
      <c r="Q2816" s="39">
        <f>IF($A2816="","",IF(O2816&lt;&gt;원인분석!$C$9,"",IF(AND(M2816&gt;=원인분석!$C$10,M2816&lt;=원인분석!$C$11),"당기",IF(AND(M2816&gt;=원인분석!$C$12,M2816&lt;=원인분석!$C$13),"비교",""))))</f>
        <v/>
      </c>
      <c r="R2816" s="9">
        <f>IF(Q2816="","",$K2816&amp;"")</f>
        <v/>
      </c>
      <c r="S2816" s="9">
        <f>IF(Q2816="","",IF(MATCH(R2816,$R$5:$R$100000,0)=ROW()-4,ROW(),""))</f>
        <v/>
      </c>
      <c r="T2816" s="9">
        <f>IF(Q2816="당기",ABS(P2816)+ROW()/1000000000,"")</f>
        <v/>
      </c>
      <c r="U2816" s="9">
        <f>IF(Q2816="비교",ABS(P2816)+ROW()/1000000000,"")</f>
        <v/>
      </c>
      <c r="V2816" s="39">
        <f>IF($A2816="","",IF(COUNTIF(변동분석!$E$7:$E$506,O2816)&gt;0,"Y","N"))</f>
        <v/>
      </c>
      <c r="W2816" s="39">
        <f>IF($A2816="","",IFERROR(INDEX(계정매핑!$D$5:$D$504,MATCH($F2816&amp;"",계정매핑!$A$5:$A$504,0)),"미매핑"))</f>
        <v/>
      </c>
      <c r="X2816" s="9">
        <f>IF($A2816="","",$F2816&amp;"")</f>
        <v/>
      </c>
    </row>
    <row r="2817">
      <c r="A2817" s="75" t="n">
        <v>2026</v>
      </c>
      <c r="B2817" s="75" t="n">
        <v>3</v>
      </c>
      <c r="C2817" s="75" t="inlineStr">
        <is>
          <t>5100000473</t>
        </is>
      </c>
      <c r="D2817" s="78" t="n">
        <v>46093</v>
      </c>
      <c r="E2817" s="75" t="inlineStr">
        <is>
          <t>KR</t>
        </is>
      </c>
      <c r="F2817" s="75" t="n">
        <v>62801000</v>
      </c>
      <c r="G2817" s="75" t="n">
        <v>1301</v>
      </c>
      <c r="H2817" s="76" t="n">
        <v>3758000</v>
      </c>
      <c r="I2817" s="75" t="inlineStr">
        <is>
          <t>3월 사내교육 - U에듀</t>
        </is>
      </c>
      <c r="J2817" s="75" t="inlineStr">
        <is>
          <t>V10026</t>
        </is>
      </c>
      <c r="K2817" s="75" t="inlineStr">
        <is>
          <t>U에듀</t>
        </is>
      </c>
      <c r="M2817" s="9">
        <f>IF($A2817="","",VALUE($A2817&amp;"")*12+VALUE($B2817&amp;""))</f>
        <v/>
      </c>
      <c r="N2817" s="39">
        <f>IF($A2817="","",IFERROR(INDEX(부서매핑!$C$5:$C$504,MATCH($G2817&amp;"",부서매핑!$A$5:$A$504,0)),"미매핑"))</f>
        <v/>
      </c>
      <c r="O2817" s="9">
        <f>IF($A2817="","",N2817&amp;"|"&amp;$F2817)</f>
        <v/>
      </c>
      <c r="P2817" s="77">
        <f>IF($A2817="",0,$H2817*설정!$C$23)</f>
        <v/>
      </c>
      <c r="Q2817" s="39">
        <f>IF($A2817="","",IF(O2817&lt;&gt;원인분석!$C$9,"",IF(AND(M2817&gt;=원인분석!$C$10,M2817&lt;=원인분석!$C$11),"당기",IF(AND(M2817&gt;=원인분석!$C$12,M2817&lt;=원인분석!$C$13),"비교",""))))</f>
        <v/>
      </c>
      <c r="R2817" s="9">
        <f>IF(Q2817="","",$K2817&amp;"")</f>
        <v/>
      </c>
      <c r="S2817" s="9">
        <f>IF(Q2817="","",IF(MATCH(R2817,$R$5:$R$100000,0)=ROW()-4,ROW(),""))</f>
        <v/>
      </c>
      <c r="T2817" s="9">
        <f>IF(Q2817="당기",ABS(P2817)+ROW()/1000000000,"")</f>
        <v/>
      </c>
      <c r="U2817" s="9">
        <f>IF(Q2817="비교",ABS(P2817)+ROW()/1000000000,"")</f>
        <v/>
      </c>
      <c r="V2817" s="39">
        <f>IF($A2817="","",IF(COUNTIF(변동분석!$E$7:$E$506,O2817)&gt;0,"Y","N"))</f>
        <v/>
      </c>
      <c r="W2817" s="39">
        <f>IF($A2817="","",IFERROR(INDEX(계정매핑!$D$5:$D$504,MATCH($F2817&amp;"",계정매핑!$A$5:$A$504,0)),"미매핑"))</f>
        <v/>
      </c>
      <c r="X2817" s="9">
        <f>IF($A2817="","",$F2817&amp;"")</f>
        <v/>
      </c>
    </row>
    <row r="2818">
      <c r="A2818" s="75" t="n">
        <v>2026</v>
      </c>
      <c r="B2818" s="75" t="n">
        <v>3</v>
      </c>
      <c r="C2818" s="75" t="inlineStr">
        <is>
          <t>5100000474</t>
        </is>
      </c>
      <c r="D2818" s="78" t="n">
        <v>46093</v>
      </c>
      <c r="E2818" s="75" t="inlineStr">
        <is>
          <t>KR</t>
        </is>
      </c>
      <c r="F2818" s="75" t="n">
        <v>62902000</v>
      </c>
      <c r="G2818" s="75" t="n">
        <v>1801</v>
      </c>
      <c r="H2818" s="76" t="n">
        <v>1847000</v>
      </c>
      <c r="I2818" s="75" t="inlineStr">
        <is>
          <t>3월 콜 위탁 수수료(건별)</t>
        </is>
      </c>
      <c r="J2818" s="75" t="inlineStr">
        <is>
          <t>V10013</t>
        </is>
      </c>
      <c r="K2818" s="75" t="inlineStr">
        <is>
          <t>J콜센터</t>
        </is>
      </c>
      <c r="M2818" s="9">
        <f>IF($A2818="","",VALUE($A2818&amp;"")*12+VALUE($B2818&amp;""))</f>
        <v/>
      </c>
      <c r="N2818" s="39">
        <f>IF($A2818="","",IFERROR(INDEX(부서매핑!$C$5:$C$504,MATCH($G2818&amp;"",부서매핑!$A$5:$A$504,0)),"미매핑"))</f>
        <v/>
      </c>
      <c r="O2818" s="9">
        <f>IF($A2818="","",N2818&amp;"|"&amp;$F2818)</f>
        <v/>
      </c>
      <c r="P2818" s="77">
        <f>IF($A2818="",0,$H2818*설정!$C$23)</f>
        <v/>
      </c>
      <c r="Q2818" s="39">
        <f>IF($A2818="","",IF(O2818&lt;&gt;원인분석!$C$9,"",IF(AND(M2818&gt;=원인분석!$C$10,M2818&lt;=원인분석!$C$11),"당기",IF(AND(M2818&gt;=원인분석!$C$12,M2818&lt;=원인분석!$C$13),"비교",""))))</f>
        <v/>
      </c>
      <c r="R2818" s="9">
        <f>IF(Q2818="","",$K2818&amp;"")</f>
        <v/>
      </c>
      <c r="S2818" s="9">
        <f>IF(Q2818="","",IF(MATCH(R2818,$R$5:$R$100000,0)=ROW()-4,ROW(),""))</f>
        <v/>
      </c>
      <c r="T2818" s="9">
        <f>IF(Q2818="당기",ABS(P2818)+ROW()/1000000000,"")</f>
        <v/>
      </c>
      <c r="U2818" s="9">
        <f>IF(Q2818="비교",ABS(P2818)+ROW()/1000000000,"")</f>
        <v/>
      </c>
      <c r="V2818" s="39">
        <f>IF($A2818="","",IF(COUNTIF(변동분석!$E$7:$E$506,O2818)&gt;0,"Y","N"))</f>
        <v/>
      </c>
      <c r="W2818" s="39">
        <f>IF($A2818="","",IFERROR(INDEX(계정매핑!$D$5:$D$504,MATCH($F2818&amp;"",계정매핑!$A$5:$A$504,0)),"미매핑"))</f>
        <v/>
      </c>
      <c r="X2818" s="9">
        <f>IF($A2818="","",$F2818&amp;"")</f>
        <v/>
      </c>
    </row>
    <row r="2819">
      <c r="A2819" s="75" t="n">
        <v>2026</v>
      </c>
      <c r="B2819" s="75" t="n">
        <v>3</v>
      </c>
      <c r="C2819" s="75" t="inlineStr">
        <is>
          <t>5100000475</t>
        </is>
      </c>
      <c r="D2819" s="78" t="n">
        <v>46093</v>
      </c>
      <c r="E2819" s="75" t="inlineStr">
        <is>
          <t>KR</t>
        </is>
      </c>
      <c r="F2819" s="75" t="n">
        <v>63001000</v>
      </c>
      <c r="G2819" s="75" t="n">
        <v>1701</v>
      </c>
      <c r="H2819" s="76" t="n">
        <v>41761000</v>
      </c>
      <c r="I2819" s="75" t="inlineStr">
        <is>
          <t>3월 SW 유지보수 - Y소프트</t>
        </is>
      </c>
      <c r="J2819" s="75" t="inlineStr">
        <is>
          <t>V10017</t>
        </is>
      </c>
      <c r="K2819" s="75" t="inlineStr">
        <is>
          <t>Y소프트</t>
        </is>
      </c>
      <c r="M2819" s="9">
        <f>IF($A2819="","",VALUE($A2819&amp;"")*12+VALUE($B2819&amp;""))</f>
        <v/>
      </c>
      <c r="N2819" s="39">
        <f>IF($A2819="","",IFERROR(INDEX(부서매핑!$C$5:$C$504,MATCH($G2819&amp;"",부서매핑!$A$5:$A$504,0)),"미매핑"))</f>
        <v/>
      </c>
      <c r="O2819" s="9">
        <f>IF($A2819="","",N2819&amp;"|"&amp;$F2819)</f>
        <v/>
      </c>
      <c r="P2819" s="77">
        <f>IF($A2819="",0,$H2819*설정!$C$23)</f>
        <v/>
      </c>
      <c r="Q2819" s="39">
        <f>IF($A2819="","",IF(O2819&lt;&gt;원인분석!$C$9,"",IF(AND(M2819&gt;=원인분석!$C$10,M2819&lt;=원인분석!$C$11),"당기",IF(AND(M2819&gt;=원인분석!$C$12,M2819&lt;=원인분석!$C$13),"비교",""))))</f>
        <v/>
      </c>
      <c r="R2819" s="9">
        <f>IF(Q2819="","",$K2819&amp;"")</f>
        <v/>
      </c>
      <c r="S2819" s="9">
        <f>IF(Q2819="","",IF(MATCH(R2819,$R$5:$R$100000,0)=ROW()-4,ROW(),""))</f>
        <v/>
      </c>
      <c r="T2819" s="9">
        <f>IF(Q2819="당기",ABS(P2819)+ROW()/1000000000,"")</f>
        <v/>
      </c>
      <c r="U2819" s="9">
        <f>IF(Q2819="비교",ABS(P2819)+ROW()/1000000000,"")</f>
        <v/>
      </c>
      <c r="V2819" s="39">
        <f>IF($A2819="","",IF(COUNTIF(변동분석!$E$7:$E$506,O2819)&gt;0,"Y","N"))</f>
        <v/>
      </c>
      <c r="W2819" s="39">
        <f>IF($A2819="","",IFERROR(INDEX(계정매핑!$D$5:$D$504,MATCH($F2819&amp;"",계정매핑!$A$5:$A$504,0)),"미매핑"))</f>
        <v/>
      </c>
      <c r="X2819" s="9">
        <f>IF($A2819="","",$F2819&amp;"")</f>
        <v/>
      </c>
    </row>
    <row r="2820">
      <c r="A2820" s="75" t="n">
        <v>2026</v>
      </c>
      <c r="B2820" s="75" t="n">
        <v>3</v>
      </c>
      <c r="C2820" s="75" t="inlineStr">
        <is>
          <t>5100000476</t>
        </is>
      </c>
      <c r="D2820" s="78" t="n">
        <v>46094</v>
      </c>
      <c r="E2820" s="75" t="inlineStr">
        <is>
          <t>KR</t>
        </is>
      </c>
      <c r="F2820" s="75" t="n">
        <v>62102000</v>
      </c>
      <c r="G2820" s="75" t="n">
        <v>1201</v>
      </c>
      <c r="H2820" s="76" t="n">
        <v>61000</v>
      </c>
      <c r="I2820" s="75" t="inlineStr">
        <is>
          <t>3월 해외출장 - N호텔</t>
        </is>
      </c>
      <c r="J2820" s="75" t="inlineStr">
        <is>
          <t>V10007</t>
        </is>
      </c>
      <c r="K2820" s="75" t="inlineStr">
        <is>
          <t>N호텔</t>
        </is>
      </c>
      <c r="M2820" s="9">
        <f>IF($A2820="","",VALUE($A2820&amp;"")*12+VALUE($B2820&amp;""))</f>
        <v/>
      </c>
      <c r="N2820" s="39">
        <f>IF($A2820="","",IFERROR(INDEX(부서매핑!$C$5:$C$504,MATCH($G2820&amp;"",부서매핑!$A$5:$A$504,0)),"미매핑"))</f>
        <v/>
      </c>
      <c r="O2820" s="9">
        <f>IF($A2820="","",N2820&amp;"|"&amp;$F2820)</f>
        <v/>
      </c>
      <c r="P2820" s="77">
        <f>IF($A2820="",0,$H2820*설정!$C$23)</f>
        <v/>
      </c>
      <c r="Q2820" s="39">
        <f>IF($A2820="","",IF(O2820&lt;&gt;원인분석!$C$9,"",IF(AND(M2820&gt;=원인분석!$C$10,M2820&lt;=원인분석!$C$11),"당기",IF(AND(M2820&gt;=원인분석!$C$12,M2820&lt;=원인분석!$C$13),"비교",""))))</f>
        <v/>
      </c>
      <c r="R2820" s="9">
        <f>IF(Q2820="","",$K2820&amp;"")</f>
        <v/>
      </c>
      <c r="S2820" s="9">
        <f>IF(Q2820="","",IF(MATCH(R2820,$R$5:$R$100000,0)=ROW()-4,ROW(),""))</f>
        <v/>
      </c>
      <c r="T2820" s="9">
        <f>IF(Q2820="당기",ABS(P2820)+ROW()/1000000000,"")</f>
        <v/>
      </c>
      <c r="U2820" s="9">
        <f>IF(Q2820="비교",ABS(P2820)+ROW()/1000000000,"")</f>
        <v/>
      </c>
      <c r="V2820" s="39">
        <f>IF($A2820="","",IF(COUNTIF(변동분석!$E$7:$E$506,O2820)&gt;0,"Y","N"))</f>
        <v/>
      </c>
      <c r="W2820" s="39">
        <f>IF($A2820="","",IFERROR(INDEX(계정매핑!$D$5:$D$504,MATCH($F2820&amp;"",계정매핑!$A$5:$A$504,0)),"미매핑"))</f>
        <v/>
      </c>
      <c r="X2820" s="9">
        <f>IF($A2820="","",$F2820&amp;"")</f>
        <v/>
      </c>
    </row>
    <row r="2821">
      <c r="A2821" s="75" t="n">
        <v>2026</v>
      </c>
      <c r="B2821" s="75" t="n">
        <v>3</v>
      </c>
      <c r="C2821" s="75" t="inlineStr">
        <is>
          <t>5100000477</t>
        </is>
      </c>
      <c r="D2821" s="78" t="n">
        <v>46094</v>
      </c>
      <c r="E2821" s="75" t="inlineStr">
        <is>
          <t>KR</t>
        </is>
      </c>
      <c r="F2821" s="75" t="n">
        <v>62201000</v>
      </c>
      <c r="G2821" s="75" t="n">
        <v>1301</v>
      </c>
      <c r="H2821" s="76" t="n">
        <v>165000</v>
      </c>
      <c r="I2821" s="75" t="inlineStr">
        <is>
          <t>3월 통신요금 - O텔레콤</t>
        </is>
      </c>
      <c r="J2821" s="75" t="inlineStr">
        <is>
          <t>V10002</t>
        </is>
      </c>
      <c r="K2821" s="75" t="inlineStr">
        <is>
          <t>O텔레콤</t>
        </is>
      </c>
      <c r="M2821" s="9">
        <f>IF($A2821="","",VALUE($A2821&amp;"")*12+VALUE($B2821&amp;""))</f>
        <v/>
      </c>
      <c r="N2821" s="39">
        <f>IF($A2821="","",IFERROR(INDEX(부서매핑!$C$5:$C$504,MATCH($G2821&amp;"",부서매핑!$A$5:$A$504,0)),"미매핑"))</f>
        <v/>
      </c>
      <c r="O2821" s="9">
        <f>IF($A2821="","",N2821&amp;"|"&amp;$F2821)</f>
        <v/>
      </c>
      <c r="P2821" s="77">
        <f>IF($A2821="",0,$H2821*설정!$C$23)</f>
        <v/>
      </c>
      <c r="Q2821" s="39">
        <f>IF($A2821="","",IF(O2821&lt;&gt;원인분석!$C$9,"",IF(AND(M2821&gt;=원인분석!$C$10,M2821&lt;=원인분석!$C$11),"당기",IF(AND(M2821&gt;=원인분석!$C$12,M2821&lt;=원인분석!$C$13),"비교",""))))</f>
        <v/>
      </c>
      <c r="R2821" s="9">
        <f>IF(Q2821="","",$K2821&amp;"")</f>
        <v/>
      </c>
      <c r="S2821" s="9">
        <f>IF(Q2821="","",IF(MATCH(R2821,$R$5:$R$100000,0)=ROW()-4,ROW(),""))</f>
        <v/>
      </c>
      <c r="T2821" s="9">
        <f>IF(Q2821="당기",ABS(P2821)+ROW()/1000000000,"")</f>
        <v/>
      </c>
      <c r="U2821" s="9">
        <f>IF(Q2821="비교",ABS(P2821)+ROW()/1000000000,"")</f>
        <v/>
      </c>
      <c r="V2821" s="39">
        <f>IF($A2821="","",IF(COUNTIF(변동분석!$E$7:$E$506,O2821)&gt;0,"Y","N"))</f>
        <v/>
      </c>
      <c r="W2821" s="39">
        <f>IF($A2821="","",IFERROR(INDEX(계정매핑!$D$5:$D$504,MATCH($F2821&amp;"",계정매핑!$A$5:$A$504,0)),"미매핑"))</f>
        <v/>
      </c>
      <c r="X2821" s="9">
        <f>IF($A2821="","",$F2821&amp;"")</f>
        <v/>
      </c>
    </row>
    <row r="2822">
      <c r="A2822" s="75" t="n">
        <v>2026</v>
      </c>
      <c r="B2822" s="75" t="n">
        <v>3</v>
      </c>
      <c r="C2822" s="75" t="inlineStr">
        <is>
          <t>5100000478</t>
        </is>
      </c>
      <c r="D2822" s="78" t="n">
        <v>46094</v>
      </c>
      <c r="E2822" s="75" t="inlineStr">
        <is>
          <t>KR</t>
        </is>
      </c>
      <c r="F2822" s="75" t="n">
        <v>62201000</v>
      </c>
      <c r="G2822" s="75" t="n">
        <v>1401</v>
      </c>
      <c r="H2822" s="76" t="n">
        <v>159000</v>
      </c>
      <c r="I2822" s="75" t="inlineStr">
        <is>
          <t>3월 통신요금 - O텔레콤</t>
        </is>
      </c>
      <c r="J2822" s="75" t="inlineStr">
        <is>
          <t>V10002</t>
        </is>
      </c>
      <c r="K2822" s="75" t="inlineStr">
        <is>
          <t>O텔레콤</t>
        </is>
      </c>
      <c r="M2822" s="9">
        <f>IF($A2822="","",VALUE($A2822&amp;"")*12+VALUE($B2822&amp;""))</f>
        <v/>
      </c>
      <c r="N2822" s="39">
        <f>IF($A2822="","",IFERROR(INDEX(부서매핑!$C$5:$C$504,MATCH($G2822&amp;"",부서매핑!$A$5:$A$504,0)),"미매핑"))</f>
        <v/>
      </c>
      <c r="O2822" s="9">
        <f>IF($A2822="","",N2822&amp;"|"&amp;$F2822)</f>
        <v/>
      </c>
      <c r="P2822" s="77">
        <f>IF($A2822="",0,$H2822*설정!$C$23)</f>
        <v/>
      </c>
      <c r="Q2822" s="39">
        <f>IF($A2822="","",IF(O2822&lt;&gt;원인분석!$C$9,"",IF(AND(M2822&gt;=원인분석!$C$10,M2822&lt;=원인분석!$C$11),"당기",IF(AND(M2822&gt;=원인분석!$C$12,M2822&lt;=원인분석!$C$13),"비교",""))))</f>
        <v/>
      </c>
      <c r="R2822" s="9">
        <f>IF(Q2822="","",$K2822&amp;"")</f>
        <v/>
      </c>
      <c r="S2822" s="9">
        <f>IF(Q2822="","",IF(MATCH(R2822,$R$5:$R$100000,0)=ROW()-4,ROW(),""))</f>
        <v/>
      </c>
      <c r="T2822" s="9">
        <f>IF(Q2822="당기",ABS(P2822)+ROW()/1000000000,"")</f>
        <v/>
      </c>
      <c r="U2822" s="9">
        <f>IF(Q2822="비교",ABS(P2822)+ROW()/1000000000,"")</f>
        <v/>
      </c>
      <c r="V2822" s="39">
        <f>IF($A2822="","",IF(COUNTIF(변동분석!$E$7:$E$506,O2822)&gt;0,"Y","N"))</f>
        <v/>
      </c>
      <c r="W2822" s="39">
        <f>IF($A2822="","",IFERROR(INDEX(계정매핑!$D$5:$D$504,MATCH($F2822&amp;"",계정매핑!$A$5:$A$504,0)),"미매핑"))</f>
        <v/>
      </c>
      <c r="X2822" s="9">
        <f>IF($A2822="","",$F2822&amp;"")</f>
        <v/>
      </c>
    </row>
    <row r="2823">
      <c r="A2823" s="75" t="n">
        <v>2026</v>
      </c>
      <c r="B2823" s="75" t="n">
        <v>3</v>
      </c>
      <c r="C2823" s="75" t="inlineStr">
        <is>
          <t>5100000479</t>
        </is>
      </c>
      <c r="D2823" s="78" t="n">
        <v>46094</v>
      </c>
      <c r="E2823" s="75" t="inlineStr">
        <is>
          <t>KR</t>
        </is>
      </c>
      <c r="F2823" s="75" t="n">
        <v>62401000</v>
      </c>
      <c r="G2823" s="75" t="n">
        <v>1401</v>
      </c>
      <c r="H2823" s="76" t="n">
        <v>418000</v>
      </c>
      <c r="I2823" s="75" t="inlineStr">
        <is>
          <t>3월 인쇄물 제작 - G인쇄</t>
        </is>
      </c>
      <c r="J2823" s="75" t="inlineStr">
        <is>
          <t>V10004</t>
        </is>
      </c>
      <c r="K2823" s="75" t="inlineStr">
        <is>
          <t>G인쇄</t>
        </is>
      </c>
      <c r="M2823" s="9">
        <f>IF($A2823="","",VALUE($A2823&amp;"")*12+VALUE($B2823&amp;""))</f>
        <v/>
      </c>
      <c r="N2823" s="39">
        <f>IF($A2823="","",IFERROR(INDEX(부서매핑!$C$5:$C$504,MATCH($G2823&amp;"",부서매핑!$A$5:$A$504,0)),"미매핑"))</f>
        <v/>
      </c>
      <c r="O2823" s="9">
        <f>IF($A2823="","",N2823&amp;"|"&amp;$F2823)</f>
        <v/>
      </c>
      <c r="P2823" s="77">
        <f>IF($A2823="",0,$H2823*설정!$C$23)</f>
        <v/>
      </c>
      <c r="Q2823" s="39">
        <f>IF($A2823="","",IF(O2823&lt;&gt;원인분석!$C$9,"",IF(AND(M2823&gt;=원인분석!$C$10,M2823&lt;=원인분석!$C$11),"당기",IF(AND(M2823&gt;=원인분석!$C$12,M2823&lt;=원인분석!$C$13),"비교",""))))</f>
        <v/>
      </c>
      <c r="R2823" s="9">
        <f>IF(Q2823="","",$K2823&amp;"")</f>
        <v/>
      </c>
      <c r="S2823" s="9">
        <f>IF(Q2823="","",IF(MATCH(R2823,$R$5:$R$100000,0)=ROW()-4,ROW(),""))</f>
        <v/>
      </c>
      <c r="T2823" s="9">
        <f>IF(Q2823="당기",ABS(P2823)+ROW()/1000000000,"")</f>
        <v/>
      </c>
      <c r="U2823" s="9">
        <f>IF(Q2823="비교",ABS(P2823)+ROW()/1000000000,"")</f>
        <v/>
      </c>
      <c r="V2823" s="39">
        <f>IF($A2823="","",IF(COUNTIF(변동분석!$E$7:$E$506,O2823)&gt;0,"Y","N"))</f>
        <v/>
      </c>
      <c r="W2823" s="39">
        <f>IF($A2823="","",IFERROR(INDEX(계정매핑!$D$5:$D$504,MATCH($F2823&amp;"",계정매핑!$A$5:$A$504,0)),"미매핑"))</f>
        <v/>
      </c>
      <c r="X2823" s="9">
        <f>IF($A2823="","",$F2823&amp;"")</f>
        <v/>
      </c>
    </row>
    <row r="2824">
      <c r="A2824" s="75" t="n">
        <v>2026</v>
      </c>
      <c r="B2824" s="75" t="n">
        <v>3</v>
      </c>
      <c r="C2824" s="75" t="inlineStr">
        <is>
          <t>5100000480</t>
        </is>
      </c>
      <c r="D2824" s="78" t="n">
        <v>46094</v>
      </c>
      <c r="E2824" s="75" t="inlineStr">
        <is>
          <t>KR</t>
        </is>
      </c>
      <c r="F2824" s="75" t="n">
        <v>62501000</v>
      </c>
      <c r="G2824" s="75" t="n">
        <v>1201</v>
      </c>
      <c r="H2824" s="76" t="n">
        <v>208000</v>
      </c>
      <c r="I2824" s="75" t="inlineStr">
        <is>
          <t>3월 회의 다과 - T케이터링</t>
        </is>
      </c>
      <c r="J2824" s="75" t="inlineStr">
        <is>
          <t>V10005</t>
        </is>
      </c>
      <c r="K2824" s="75" t="inlineStr">
        <is>
          <t>T케이터링</t>
        </is>
      </c>
      <c r="M2824" s="9">
        <f>IF($A2824="","",VALUE($A2824&amp;"")*12+VALUE($B2824&amp;""))</f>
        <v/>
      </c>
      <c r="N2824" s="39">
        <f>IF($A2824="","",IFERROR(INDEX(부서매핑!$C$5:$C$504,MATCH($G2824&amp;"",부서매핑!$A$5:$A$504,0)),"미매핑"))</f>
        <v/>
      </c>
      <c r="O2824" s="9">
        <f>IF($A2824="","",N2824&amp;"|"&amp;$F2824)</f>
        <v/>
      </c>
      <c r="P2824" s="77">
        <f>IF($A2824="",0,$H2824*설정!$C$23)</f>
        <v/>
      </c>
      <c r="Q2824" s="39">
        <f>IF($A2824="","",IF(O2824&lt;&gt;원인분석!$C$9,"",IF(AND(M2824&gt;=원인분석!$C$10,M2824&lt;=원인분석!$C$11),"당기",IF(AND(M2824&gt;=원인분석!$C$12,M2824&lt;=원인분석!$C$13),"비교",""))))</f>
        <v/>
      </c>
      <c r="R2824" s="9">
        <f>IF(Q2824="","",$K2824&amp;"")</f>
        <v/>
      </c>
      <c r="S2824" s="9">
        <f>IF(Q2824="","",IF(MATCH(R2824,$R$5:$R$100000,0)=ROW()-4,ROW(),""))</f>
        <v/>
      </c>
      <c r="T2824" s="9">
        <f>IF(Q2824="당기",ABS(P2824)+ROW()/1000000000,"")</f>
        <v/>
      </c>
      <c r="U2824" s="9">
        <f>IF(Q2824="비교",ABS(P2824)+ROW()/1000000000,"")</f>
        <v/>
      </c>
      <c r="V2824" s="39">
        <f>IF($A2824="","",IF(COUNTIF(변동분석!$E$7:$E$506,O2824)&gt;0,"Y","N"))</f>
        <v/>
      </c>
      <c r="W2824" s="39">
        <f>IF($A2824="","",IFERROR(INDEX(계정매핑!$D$5:$D$504,MATCH($F2824&amp;"",계정매핑!$A$5:$A$504,0)),"미매핑"))</f>
        <v/>
      </c>
      <c r="X2824" s="9">
        <f>IF($A2824="","",$F2824&amp;"")</f>
        <v/>
      </c>
    </row>
    <row r="2825">
      <c r="A2825" s="75" t="n">
        <v>2026</v>
      </c>
      <c r="B2825" s="75" t="n">
        <v>3</v>
      </c>
      <c r="C2825" s="75" t="inlineStr">
        <is>
          <t>5100000481</t>
        </is>
      </c>
      <c r="D2825" s="78" t="n">
        <v>46094</v>
      </c>
      <c r="E2825" s="75" t="inlineStr">
        <is>
          <t>KR</t>
        </is>
      </c>
      <c r="F2825" s="75" t="n">
        <v>62902000</v>
      </c>
      <c r="G2825" s="75" t="n">
        <v>1101</v>
      </c>
      <c r="H2825" s="76" t="n">
        <v>1870000</v>
      </c>
      <c r="I2825" s="75" t="inlineStr">
        <is>
          <t>3월 업무 위탁 수수료 - J콜센터</t>
        </is>
      </c>
      <c r="J2825" s="75" t="inlineStr">
        <is>
          <t>V10013</t>
        </is>
      </c>
      <c r="K2825" s="75" t="inlineStr">
        <is>
          <t>J콜센터</t>
        </is>
      </c>
      <c r="M2825" s="9">
        <f>IF($A2825="","",VALUE($A2825&amp;"")*12+VALUE($B2825&amp;""))</f>
        <v/>
      </c>
      <c r="N2825" s="39">
        <f>IF($A2825="","",IFERROR(INDEX(부서매핑!$C$5:$C$504,MATCH($G2825&amp;"",부서매핑!$A$5:$A$504,0)),"미매핑"))</f>
        <v/>
      </c>
      <c r="O2825" s="9">
        <f>IF($A2825="","",N2825&amp;"|"&amp;$F2825)</f>
        <v/>
      </c>
      <c r="P2825" s="77">
        <f>IF($A2825="",0,$H2825*설정!$C$23)</f>
        <v/>
      </c>
      <c r="Q2825" s="39">
        <f>IF($A2825="","",IF(O2825&lt;&gt;원인분석!$C$9,"",IF(AND(M2825&gt;=원인분석!$C$10,M2825&lt;=원인분석!$C$11),"당기",IF(AND(M2825&gt;=원인분석!$C$12,M2825&lt;=원인분석!$C$13),"비교",""))))</f>
        <v/>
      </c>
      <c r="R2825" s="9">
        <f>IF(Q2825="","",$K2825&amp;"")</f>
        <v/>
      </c>
      <c r="S2825" s="9">
        <f>IF(Q2825="","",IF(MATCH(R2825,$R$5:$R$100000,0)=ROW()-4,ROW(),""))</f>
        <v/>
      </c>
      <c r="T2825" s="9">
        <f>IF(Q2825="당기",ABS(P2825)+ROW()/1000000000,"")</f>
        <v/>
      </c>
      <c r="U2825" s="9">
        <f>IF(Q2825="비교",ABS(P2825)+ROW()/1000000000,"")</f>
        <v/>
      </c>
      <c r="V2825" s="39">
        <f>IF($A2825="","",IF(COUNTIF(변동분석!$E$7:$E$506,O2825)&gt;0,"Y","N"))</f>
        <v/>
      </c>
      <c r="W2825" s="39">
        <f>IF($A2825="","",IFERROR(INDEX(계정매핑!$D$5:$D$504,MATCH($F2825&amp;"",계정매핑!$A$5:$A$504,0)),"미매핑"))</f>
        <v/>
      </c>
      <c r="X2825" s="9">
        <f>IF($A2825="","",$F2825&amp;"")</f>
        <v/>
      </c>
    </row>
    <row r="2826">
      <c r="A2826" s="75" t="n">
        <v>2026</v>
      </c>
      <c r="B2826" s="75" t="n">
        <v>3</v>
      </c>
      <c r="C2826" s="75" t="inlineStr">
        <is>
          <t>5100000482</t>
        </is>
      </c>
      <c r="D2826" s="78" t="n">
        <v>46094</v>
      </c>
      <c r="E2826" s="75" t="inlineStr">
        <is>
          <t>KR</t>
        </is>
      </c>
      <c r="F2826" s="75" t="n">
        <v>62902000</v>
      </c>
      <c r="G2826" s="75" t="n">
        <v>1801</v>
      </c>
      <c r="H2826" s="76" t="n">
        <v>1754000</v>
      </c>
      <c r="I2826" s="75" t="inlineStr">
        <is>
          <t>3월 콜 위탁 수수료(건별)</t>
        </is>
      </c>
      <c r="J2826" s="75" t="inlineStr">
        <is>
          <t>V10013</t>
        </is>
      </c>
      <c r="K2826" s="75" t="inlineStr">
        <is>
          <t>J콜센터</t>
        </is>
      </c>
      <c r="M2826" s="9">
        <f>IF($A2826="","",VALUE($A2826&amp;"")*12+VALUE($B2826&amp;""))</f>
        <v/>
      </c>
      <c r="N2826" s="39">
        <f>IF($A2826="","",IFERROR(INDEX(부서매핑!$C$5:$C$504,MATCH($G2826&amp;"",부서매핑!$A$5:$A$504,0)),"미매핑"))</f>
        <v/>
      </c>
      <c r="O2826" s="9">
        <f>IF($A2826="","",N2826&amp;"|"&amp;$F2826)</f>
        <v/>
      </c>
      <c r="P2826" s="77">
        <f>IF($A2826="",0,$H2826*설정!$C$23)</f>
        <v/>
      </c>
      <c r="Q2826" s="39">
        <f>IF($A2826="","",IF(O2826&lt;&gt;원인분석!$C$9,"",IF(AND(M2826&gt;=원인분석!$C$10,M2826&lt;=원인분석!$C$11),"당기",IF(AND(M2826&gt;=원인분석!$C$12,M2826&lt;=원인분석!$C$13),"비교",""))))</f>
        <v/>
      </c>
      <c r="R2826" s="9">
        <f>IF(Q2826="","",$K2826&amp;"")</f>
        <v/>
      </c>
      <c r="S2826" s="9">
        <f>IF(Q2826="","",IF(MATCH(R2826,$R$5:$R$100000,0)=ROW()-4,ROW(),""))</f>
        <v/>
      </c>
      <c r="T2826" s="9">
        <f>IF(Q2826="당기",ABS(P2826)+ROW()/1000000000,"")</f>
        <v/>
      </c>
      <c r="U2826" s="9">
        <f>IF(Q2826="비교",ABS(P2826)+ROW()/1000000000,"")</f>
        <v/>
      </c>
      <c r="V2826" s="39">
        <f>IF($A2826="","",IF(COUNTIF(변동분석!$E$7:$E$506,O2826)&gt;0,"Y","N"))</f>
        <v/>
      </c>
      <c r="W2826" s="39">
        <f>IF($A2826="","",IFERROR(INDEX(계정매핑!$D$5:$D$504,MATCH($F2826&amp;"",계정매핑!$A$5:$A$504,0)),"미매핑"))</f>
        <v/>
      </c>
      <c r="X2826" s="9">
        <f>IF($A2826="","",$F2826&amp;"")</f>
        <v/>
      </c>
    </row>
    <row r="2827">
      <c r="A2827" s="75" t="n">
        <v>2026</v>
      </c>
      <c r="B2827" s="75" t="n">
        <v>3</v>
      </c>
      <c r="C2827" s="75" t="inlineStr">
        <is>
          <t>5100000483</t>
        </is>
      </c>
      <c r="D2827" s="78" t="n">
        <v>46095</v>
      </c>
      <c r="E2827" s="75" t="inlineStr">
        <is>
          <t>KR</t>
        </is>
      </c>
      <c r="F2827" s="75" t="n">
        <v>62101000</v>
      </c>
      <c r="G2827" s="75" t="n">
        <v>1502</v>
      </c>
      <c r="H2827" s="76" t="n">
        <v>694000</v>
      </c>
      <c r="I2827" s="75" t="inlineStr">
        <is>
          <t>3월 국내출장 - M항공</t>
        </is>
      </c>
      <c r="J2827" s="75" t="inlineStr">
        <is>
          <t>V10001</t>
        </is>
      </c>
      <c r="K2827" s="75" t="inlineStr">
        <is>
          <t>M항공</t>
        </is>
      </c>
      <c r="M2827" s="9">
        <f>IF($A2827="","",VALUE($A2827&amp;"")*12+VALUE($B2827&amp;""))</f>
        <v/>
      </c>
      <c r="N2827" s="39">
        <f>IF($A2827="","",IFERROR(INDEX(부서매핑!$C$5:$C$504,MATCH($G2827&amp;"",부서매핑!$A$5:$A$504,0)),"미매핑"))</f>
        <v/>
      </c>
      <c r="O2827" s="9">
        <f>IF($A2827="","",N2827&amp;"|"&amp;$F2827)</f>
        <v/>
      </c>
      <c r="P2827" s="77">
        <f>IF($A2827="",0,$H2827*설정!$C$23)</f>
        <v/>
      </c>
      <c r="Q2827" s="39">
        <f>IF($A2827="","",IF(O2827&lt;&gt;원인분석!$C$9,"",IF(AND(M2827&gt;=원인분석!$C$10,M2827&lt;=원인분석!$C$11),"당기",IF(AND(M2827&gt;=원인분석!$C$12,M2827&lt;=원인분석!$C$13),"비교",""))))</f>
        <v/>
      </c>
      <c r="R2827" s="9">
        <f>IF(Q2827="","",$K2827&amp;"")</f>
        <v/>
      </c>
      <c r="S2827" s="9">
        <f>IF(Q2827="","",IF(MATCH(R2827,$R$5:$R$100000,0)=ROW()-4,ROW(),""))</f>
        <v/>
      </c>
      <c r="T2827" s="9">
        <f>IF(Q2827="당기",ABS(P2827)+ROW()/1000000000,"")</f>
        <v/>
      </c>
      <c r="U2827" s="9">
        <f>IF(Q2827="비교",ABS(P2827)+ROW()/1000000000,"")</f>
        <v/>
      </c>
      <c r="V2827" s="39">
        <f>IF($A2827="","",IF(COUNTIF(변동분석!$E$7:$E$506,O2827)&gt;0,"Y","N"))</f>
        <v/>
      </c>
      <c r="W2827" s="39">
        <f>IF($A2827="","",IFERROR(INDEX(계정매핑!$D$5:$D$504,MATCH($F2827&amp;"",계정매핑!$A$5:$A$504,0)),"미매핑"))</f>
        <v/>
      </c>
      <c r="X2827" s="9">
        <f>IF($A2827="","",$F2827&amp;"")</f>
        <v/>
      </c>
    </row>
    <row r="2828">
      <c r="A2828" s="75" t="n">
        <v>2026</v>
      </c>
      <c r="B2828" s="75" t="n">
        <v>3</v>
      </c>
      <c r="C2828" s="75" t="inlineStr">
        <is>
          <t>5100000484</t>
        </is>
      </c>
      <c r="D2828" s="78" t="n">
        <v>46095</v>
      </c>
      <c r="E2828" s="75" t="inlineStr">
        <is>
          <t>KR</t>
        </is>
      </c>
      <c r="F2828" s="75" t="n">
        <v>62102000</v>
      </c>
      <c r="G2828" s="75" t="n">
        <v>1301</v>
      </c>
      <c r="H2828" s="76" t="n">
        <v>69000</v>
      </c>
      <c r="I2828" s="75" t="inlineStr">
        <is>
          <t>3월 해외출장 - M항공</t>
        </is>
      </c>
      <c r="J2828" s="75" t="inlineStr">
        <is>
          <t>V10001</t>
        </is>
      </c>
      <c r="K2828" s="75" t="inlineStr">
        <is>
          <t>M항공</t>
        </is>
      </c>
      <c r="M2828" s="9">
        <f>IF($A2828="","",VALUE($A2828&amp;"")*12+VALUE($B2828&amp;""))</f>
        <v/>
      </c>
      <c r="N2828" s="39">
        <f>IF($A2828="","",IFERROR(INDEX(부서매핑!$C$5:$C$504,MATCH($G2828&amp;"",부서매핑!$A$5:$A$504,0)),"미매핑"))</f>
        <v/>
      </c>
      <c r="O2828" s="9">
        <f>IF($A2828="","",N2828&amp;"|"&amp;$F2828)</f>
        <v/>
      </c>
      <c r="P2828" s="77">
        <f>IF($A2828="",0,$H2828*설정!$C$23)</f>
        <v/>
      </c>
      <c r="Q2828" s="39">
        <f>IF($A2828="","",IF(O2828&lt;&gt;원인분석!$C$9,"",IF(AND(M2828&gt;=원인분석!$C$10,M2828&lt;=원인분석!$C$11),"당기",IF(AND(M2828&gt;=원인분석!$C$12,M2828&lt;=원인분석!$C$13),"비교",""))))</f>
        <v/>
      </c>
      <c r="R2828" s="9">
        <f>IF(Q2828="","",$K2828&amp;"")</f>
        <v/>
      </c>
      <c r="S2828" s="9">
        <f>IF(Q2828="","",IF(MATCH(R2828,$R$5:$R$100000,0)=ROW()-4,ROW(),""))</f>
        <v/>
      </c>
      <c r="T2828" s="9">
        <f>IF(Q2828="당기",ABS(P2828)+ROW()/1000000000,"")</f>
        <v/>
      </c>
      <c r="U2828" s="9">
        <f>IF(Q2828="비교",ABS(P2828)+ROW()/1000000000,"")</f>
        <v/>
      </c>
      <c r="V2828" s="39">
        <f>IF($A2828="","",IF(COUNTIF(변동분석!$E$7:$E$506,O2828)&gt;0,"Y","N"))</f>
        <v/>
      </c>
      <c r="W2828" s="39">
        <f>IF($A2828="","",IFERROR(INDEX(계정매핑!$D$5:$D$504,MATCH($F2828&amp;"",계정매핑!$A$5:$A$504,0)),"미매핑"))</f>
        <v/>
      </c>
      <c r="X2828" s="9">
        <f>IF($A2828="","",$F2828&amp;"")</f>
        <v/>
      </c>
    </row>
    <row r="2829">
      <c r="A2829" s="75" t="n">
        <v>2026</v>
      </c>
      <c r="B2829" s="75" t="n">
        <v>3</v>
      </c>
      <c r="C2829" s="75" t="inlineStr">
        <is>
          <t>5100000485</t>
        </is>
      </c>
      <c r="D2829" s="78" t="n">
        <v>46095</v>
      </c>
      <c r="E2829" s="75" t="inlineStr">
        <is>
          <t>KR</t>
        </is>
      </c>
      <c r="F2829" s="75" t="n">
        <v>62201000</v>
      </c>
      <c r="G2829" s="75" t="n">
        <v>1801</v>
      </c>
      <c r="H2829" s="76" t="n">
        <v>4237000</v>
      </c>
      <c r="I2829" s="75" t="inlineStr">
        <is>
          <t>3월 통신요금 - O텔레콤</t>
        </is>
      </c>
      <c r="J2829" s="75" t="inlineStr">
        <is>
          <t>V10002</t>
        </is>
      </c>
      <c r="K2829" s="75" t="inlineStr">
        <is>
          <t>O텔레콤</t>
        </is>
      </c>
      <c r="M2829" s="9">
        <f>IF($A2829="","",VALUE($A2829&amp;"")*12+VALUE($B2829&amp;""))</f>
        <v/>
      </c>
      <c r="N2829" s="39">
        <f>IF($A2829="","",IFERROR(INDEX(부서매핑!$C$5:$C$504,MATCH($G2829&amp;"",부서매핑!$A$5:$A$504,0)),"미매핑"))</f>
        <v/>
      </c>
      <c r="O2829" s="9">
        <f>IF($A2829="","",N2829&amp;"|"&amp;$F2829)</f>
        <v/>
      </c>
      <c r="P2829" s="77">
        <f>IF($A2829="",0,$H2829*설정!$C$23)</f>
        <v/>
      </c>
      <c r="Q2829" s="39">
        <f>IF($A2829="","",IF(O2829&lt;&gt;원인분석!$C$9,"",IF(AND(M2829&gt;=원인분석!$C$10,M2829&lt;=원인분석!$C$11),"당기",IF(AND(M2829&gt;=원인분석!$C$12,M2829&lt;=원인분석!$C$13),"비교",""))))</f>
        <v/>
      </c>
      <c r="R2829" s="9">
        <f>IF(Q2829="","",$K2829&amp;"")</f>
        <v/>
      </c>
      <c r="S2829" s="9">
        <f>IF(Q2829="","",IF(MATCH(R2829,$R$5:$R$100000,0)=ROW()-4,ROW(),""))</f>
        <v/>
      </c>
      <c r="T2829" s="9">
        <f>IF(Q2829="당기",ABS(P2829)+ROW()/1000000000,"")</f>
        <v/>
      </c>
      <c r="U2829" s="9">
        <f>IF(Q2829="비교",ABS(P2829)+ROW()/1000000000,"")</f>
        <v/>
      </c>
      <c r="V2829" s="39">
        <f>IF($A2829="","",IF(COUNTIF(변동분석!$E$7:$E$506,O2829)&gt;0,"Y","N"))</f>
        <v/>
      </c>
      <c r="W2829" s="39">
        <f>IF($A2829="","",IFERROR(INDEX(계정매핑!$D$5:$D$504,MATCH($F2829&amp;"",계정매핑!$A$5:$A$504,0)),"미매핑"))</f>
        <v/>
      </c>
      <c r="X2829" s="9">
        <f>IF($A2829="","",$F2829&amp;"")</f>
        <v/>
      </c>
    </row>
    <row r="2830">
      <c r="A2830" s="75" t="n">
        <v>2026</v>
      </c>
      <c r="B2830" s="75" t="n">
        <v>3</v>
      </c>
      <c r="C2830" s="75" t="inlineStr">
        <is>
          <t>5100000486</t>
        </is>
      </c>
      <c r="D2830" s="78" t="n">
        <v>46095</v>
      </c>
      <c r="E2830" s="75" t="inlineStr">
        <is>
          <t>KR</t>
        </is>
      </c>
      <c r="F2830" s="75" t="n">
        <v>62301000</v>
      </c>
      <c r="G2830" s="75" t="n">
        <v>1502</v>
      </c>
      <c r="H2830" s="76" t="n">
        <v>181000</v>
      </c>
      <c r="I2830" s="75" t="inlineStr">
        <is>
          <t>3월 소모품 구입 - R문구</t>
        </is>
      </c>
      <c r="J2830" s="75" t="inlineStr">
        <is>
          <t>V10018</t>
        </is>
      </c>
      <c r="K2830" s="75" t="inlineStr">
        <is>
          <t>R문구</t>
        </is>
      </c>
      <c r="M2830" s="9">
        <f>IF($A2830="","",VALUE($A2830&amp;"")*12+VALUE($B2830&amp;""))</f>
        <v/>
      </c>
      <c r="N2830" s="39">
        <f>IF($A2830="","",IFERROR(INDEX(부서매핑!$C$5:$C$504,MATCH($G2830&amp;"",부서매핑!$A$5:$A$504,0)),"미매핑"))</f>
        <v/>
      </c>
      <c r="O2830" s="9">
        <f>IF($A2830="","",N2830&amp;"|"&amp;$F2830)</f>
        <v/>
      </c>
      <c r="P2830" s="77">
        <f>IF($A2830="",0,$H2830*설정!$C$23)</f>
        <v/>
      </c>
      <c r="Q2830" s="39">
        <f>IF($A2830="","",IF(O2830&lt;&gt;원인분석!$C$9,"",IF(AND(M2830&gt;=원인분석!$C$10,M2830&lt;=원인분석!$C$11),"당기",IF(AND(M2830&gt;=원인분석!$C$12,M2830&lt;=원인분석!$C$13),"비교",""))))</f>
        <v/>
      </c>
      <c r="R2830" s="9">
        <f>IF(Q2830="","",$K2830&amp;"")</f>
        <v/>
      </c>
      <c r="S2830" s="9">
        <f>IF(Q2830="","",IF(MATCH(R2830,$R$5:$R$100000,0)=ROW()-4,ROW(),""))</f>
        <v/>
      </c>
      <c r="T2830" s="9">
        <f>IF(Q2830="당기",ABS(P2830)+ROW()/1000000000,"")</f>
        <v/>
      </c>
      <c r="U2830" s="9">
        <f>IF(Q2830="비교",ABS(P2830)+ROW()/1000000000,"")</f>
        <v/>
      </c>
      <c r="V2830" s="39">
        <f>IF($A2830="","",IF(COUNTIF(변동분석!$E$7:$E$506,O2830)&gt;0,"Y","N"))</f>
        <v/>
      </c>
      <c r="W2830" s="39">
        <f>IF($A2830="","",IFERROR(INDEX(계정매핑!$D$5:$D$504,MATCH($F2830&amp;"",계정매핑!$A$5:$A$504,0)),"미매핑"))</f>
        <v/>
      </c>
      <c r="X2830" s="9">
        <f>IF($A2830="","",$F2830&amp;"")</f>
        <v/>
      </c>
    </row>
    <row r="2831">
      <c r="A2831" s="75" t="n">
        <v>2026</v>
      </c>
      <c r="B2831" s="75" t="n">
        <v>3</v>
      </c>
      <c r="C2831" s="75" t="inlineStr">
        <is>
          <t>5100000487</t>
        </is>
      </c>
      <c r="D2831" s="78" t="n">
        <v>46095</v>
      </c>
      <c r="E2831" s="75" t="inlineStr">
        <is>
          <t>KR</t>
        </is>
      </c>
      <c r="F2831" s="75" t="n">
        <v>62301000</v>
      </c>
      <c r="G2831" s="75" t="n">
        <v>1602</v>
      </c>
      <c r="H2831" s="76" t="n">
        <v>293000</v>
      </c>
      <c r="I2831" s="75" t="inlineStr">
        <is>
          <t>3월 소모품 구입 - R문구</t>
        </is>
      </c>
      <c r="J2831" s="75" t="inlineStr">
        <is>
          <t>V10018</t>
        </is>
      </c>
      <c r="K2831" s="75" t="inlineStr">
        <is>
          <t>R문구</t>
        </is>
      </c>
      <c r="M2831" s="9">
        <f>IF($A2831="","",VALUE($A2831&amp;"")*12+VALUE($B2831&amp;""))</f>
        <v/>
      </c>
      <c r="N2831" s="39">
        <f>IF($A2831="","",IFERROR(INDEX(부서매핑!$C$5:$C$504,MATCH($G2831&amp;"",부서매핑!$A$5:$A$504,0)),"미매핑"))</f>
        <v/>
      </c>
      <c r="O2831" s="9">
        <f>IF($A2831="","",N2831&amp;"|"&amp;$F2831)</f>
        <v/>
      </c>
      <c r="P2831" s="77">
        <f>IF($A2831="",0,$H2831*설정!$C$23)</f>
        <v/>
      </c>
      <c r="Q2831" s="39">
        <f>IF($A2831="","",IF(O2831&lt;&gt;원인분석!$C$9,"",IF(AND(M2831&gt;=원인분석!$C$10,M2831&lt;=원인분석!$C$11),"당기",IF(AND(M2831&gt;=원인분석!$C$12,M2831&lt;=원인분석!$C$13),"비교",""))))</f>
        <v/>
      </c>
      <c r="R2831" s="9">
        <f>IF(Q2831="","",$K2831&amp;"")</f>
        <v/>
      </c>
      <c r="S2831" s="9">
        <f>IF(Q2831="","",IF(MATCH(R2831,$R$5:$R$100000,0)=ROW()-4,ROW(),""))</f>
        <v/>
      </c>
      <c r="T2831" s="9">
        <f>IF(Q2831="당기",ABS(P2831)+ROW()/1000000000,"")</f>
        <v/>
      </c>
      <c r="U2831" s="9">
        <f>IF(Q2831="비교",ABS(P2831)+ROW()/1000000000,"")</f>
        <v/>
      </c>
      <c r="V2831" s="39">
        <f>IF($A2831="","",IF(COUNTIF(변동분석!$E$7:$E$506,O2831)&gt;0,"Y","N"))</f>
        <v/>
      </c>
      <c r="W2831" s="39">
        <f>IF($A2831="","",IFERROR(INDEX(계정매핑!$D$5:$D$504,MATCH($F2831&amp;"",계정매핑!$A$5:$A$504,0)),"미매핑"))</f>
        <v/>
      </c>
      <c r="X2831" s="9">
        <f>IF($A2831="","",$F2831&amp;"")</f>
        <v/>
      </c>
    </row>
    <row r="2832">
      <c r="A2832" s="75" t="n">
        <v>2026</v>
      </c>
      <c r="B2832" s="75" t="n">
        <v>3</v>
      </c>
      <c r="C2832" s="75" t="inlineStr">
        <is>
          <t>5100000488</t>
        </is>
      </c>
      <c r="D2832" s="78" t="n">
        <v>46095</v>
      </c>
      <c r="E2832" s="75" t="inlineStr">
        <is>
          <t>KR</t>
        </is>
      </c>
      <c r="F2832" s="75" t="n">
        <v>62401000</v>
      </c>
      <c r="G2832" s="75" t="n">
        <v>1501</v>
      </c>
      <c r="H2832" s="76" t="n">
        <v>2101000</v>
      </c>
      <c r="I2832" s="75" t="inlineStr">
        <is>
          <t>3월 인쇄물 제작 - S출판</t>
        </is>
      </c>
      <c r="J2832" s="75" t="inlineStr">
        <is>
          <t>V10012</t>
        </is>
      </c>
      <c r="K2832" s="75" t="inlineStr">
        <is>
          <t>S출판</t>
        </is>
      </c>
      <c r="M2832" s="9">
        <f>IF($A2832="","",VALUE($A2832&amp;"")*12+VALUE($B2832&amp;""))</f>
        <v/>
      </c>
      <c r="N2832" s="39">
        <f>IF($A2832="","",IFERROR(INDEX(부서매핑!$C$5:$C$504,MATCH($G2832&amp;"",부서매핑!$A$5:$A$504,0)),"미매핑"))</f>
        <v/>
      </c>
      <c r="O2832" s="9">
        <f>IF($A2832="","",N2832&amp;"|"&amp;$F2832)</f>
        <v/>
      </c>
      <c r="P2832" s="77">
        <f>IF($A2832="",0,$H2832*설정!$C$23)</f>
        <v/>
      </c>
      <c r="Q2832" s="39">
        <f>IF($A2832="","",IF(O2832&lt;&gt;원인분석!$C$9,"",IF(AND(M2832&gt;=원인분석!$C$10,M2832&lt;=원인분석!$C$11),"당기",IF(AND(M2832&gt;=원인분석!$C$12,M2832&lt;=원인분석!$C$13),"비교",""))))</f>
        <v/>
      </c>
      <c r="R2832" s="9">
        <f>IF(Q2832="","",$K2832&amp;"")</f>
        <v/>
      </c>
      <c r="S2832" s="9">
        <f>IF(Q2832="","",IF(MATCH(R2832,$R$5:$R$100000,0)=ROW()-4,ROW(),""))</f>
        <v/>
      </c>
      <c r="T2832" s="9">
        <f>IF(Q2832="당기",ABS(P2832)+ROW()/1000000000,"")</f>
        <v/>
      </c>
      <c r="U2832" s="9">
        <f>IF(Q2832="비교",ABS(P2832)+ROW()/1000000000,"")</f>
        <v/>
      </c>
      <c r="V2832" s="39">
        <f>IF($A2832="","",IF(COUNTIF(변동분석!$E$7:$E$506,O2832)&gt;0,"Y","N"))</f>
        <v/>
      </c>
      <c r="W2832" s="39">
        <f>IF($A2832="","",IFERROR(INDEX(계정매핑!$D$5:$D$504,MATCH($F2832&amp;"",계정매핑!$A$5:$A$504,0)),"미매핑"))</f>
        <v/>
      </c>
      <c r="X2832" s="9">
        <f>IF($A2832="","",$F2832&amp;"")</f>
        <v/>
      </c>
    </row>
    <row r="2833">
      <c r="A2833" s="75" t="n">
        <v>2026</v>
      </c>
      <c r="B2833" s="75" t="n">
        <v>3</v>
      </c>
      <c r="C2833" s="75" t="inlineStr">
        <is>
          <t>5100000489</t>
        </is>
      </c>
      <c r="D2833" s="78" t="n">
        <v>46095</v>
      </c>
      <c r="E2833" s="75" t="inlineStr">
        <is>
          <t>KR</t>
        </is>
      </c>
      <c r="F2833" s="75" t="n">
        <v>62501000</v>
      </c>
      <c r="G2833" s="75" t="n">
        <v>1401</v>
      </c>
      <c r="H2833" s="76" t="n">
        <v>189000</v>
      </c>
      <c r="I2833" s="75" t="inlineStr">
        <is>
          <t>3월 회의 다과 - (법인카드)</t>
        </is>
      </c>
      <c r="J2833" s="75" t="inlineStr">
        <is>
          <t>V10008</t>
        </is>
      </c>
      <c r="K2833" s="75" t="inlineStr">
        <is>
          <t>(법인카드)</t>
        </is>
      </c>
      <c r="M2833" s="9">
        <f>IF($A2833="","",VALUE($A2833&amp;"")*12+VALUE($B2833&amp;""))</f>
        <v/>
      </c>
      <c r="N2833" s="39">
        <f>IF($A2833="","",IFERROR(INDEX(부서매핑!$C$5:$C$504,MATCH($G2833&amp;"",부서매핑!$A$5:$A$504,0)),"미매핑"))</f>
        <v/>
      </c>
      <c r="O2833" s="9">
        <f>IF($A2833="","",N2833&amp;"|"&amp;$F2833)</f>
        <v/>
      </c>
      <c r="P2833" s="77">
        <f>IF($A2833="",0,$H2833*설정!$C$23)</f>
        <v/>
      </c>
      <c r="Q2833" s="39">
        <f>IF($A2833="","",IF(O2833&lt;&gt;원인분석!$C$9,"",IF(AND(M2833&gt;=원인분석!$C$10,M2833&lt;=원인분석!$C$11),"당기",IF(AND(M2833&gt;=원인분석!$C$12,M2833&lt;=원인분석!$C$13),"비교",""))))</f>
        <v/>
      </c>
      <c r="R2833" s="9">
        <f>IF(Q2833="","",$K2833&amp;"")</f>
        <v/>
      </c>
      <c r="S2833" s="9">
        <f>IF(Q2833="","",IF(MATCH(R2833,$R$5:$R$100000,0)=ROW()-4,ROW(),""))</f>
        <v/>
      </c>
      <c r="T2833" s="9">
        <f>IF(Q2833="당기",ABS(P2833)+ROW()/1000000000,"")</f>
        <v/>
      </c>
      <c r="U2833" s="9">
        <f>IF(Q2833="비교",ABS(P2833)+ROW()/1000000000,"")</f>
        <v/>
      </c>
      <c r="V2833" s="39">
        <f>IF($A2833="","",IF(COUNTIF(변동분석!$E$7:$E$506,O2833)&gt;0,"Y","N"))</f>
        <v/>
      </c>
      <c r="W2833" s="39">
        <f>IF($A2833="","",IFERROR(INDEX(계정매핑!$D$5:$D$504,MATCH($F2833&amp;"",계정매핑!$A$5:$A$504,0)),"미매핑"))</f>
        <v/>
      </c>
      <c r="X2833" s="9">
        <f>IF($A2833="","",$F2833&amp;"")</f>
        <v/>
      </c>
    </row>
    <row r="2834">
      <c r="A2834" s="75" t="n">
        <v>2026</v>
      </c>
      <c r="B2834" s="75" t="n">
        <v>3</v>
      </c>
      <c r="C2834" s="75" t="inlineStr">
        <is>
          <t>5100000490</t>
        </is>
      </c>
      <c r="D2834" s="78" t="n">
        <v>46095</v>
      </c>
      <c r="E2834" s="75" t="inlineStr">
        <is>
          <t>KR</t>
        </is>
      </c>
      <c r="F2834" s="75" t="n">
        <v>62501000</v>
      </c>
      <c r="G2834" s="75" t="n">
        <v>1501</v>
      </c>
      <c r="H2834" s="76" t="n">
        <v>573000</v>
      </c>
      <c r="I2834" s="75" t="inlineStr">
        <is>
          <t>3월 회의 다과 - T케이터링</t>
        </is>
      </c>
      <c r="J2834" s="75" t="inlineStr">
        <is>
          <t>V10005</t>
        </is>
      </c>
      <c r="K2834" s="75" t="inlineStr">
        <is>
          <t>T케이터링</t>
        </is>
      </c>
      <c r="M2834" s="9">
        <f>IF($A2834="","",VALUE($A2834&amp;"")*12+VALUE($B2834&amp;""))</f>
        <v/>
      </c>
      <c r="N2834" s="39">
        <f>IF($A2834="","",IFERROR(INDEX(부서매핑!$C$5:$C$504,MATCH($G2834&amp;"",부서매핑!$A$5:$A$504,0)),"미매핑"))</f>
        <v/>
      </c>
      <c r="O2834" s="9">
        <f>IF($A2834="","",N2834&amp;"|"&amp;$F2834)</f>
        <v/>
      </c>
      <c r="P2834" s="77">
        <f>IF($A2834="",0,$H2834*설정!$C$23)</f>
        <v/>
      </c>
      <c r="Q2834" s="39">
        <f>IF($A2834="","",IF(O2834&lt;&gt;원인분석!$C$9,"",IF(AND(M2834&gt;=원인분석!$C$10,M2834&lt;=원인분석!$C$11),"당기",IF(AND(M2834&gt;=원인분석!$C$12,M2834&lt;=원인분석!$C$13),"비교",""))))</f>
        <v/>
      </c>
      <c r="R2834" s="9">
        <f>IF(Q2834="","",$K2834&amp;"")</f>
        <v/>
      </c>
      <c r="S2834" s="9">
        <f>IF(Q2834="","",IF(MATCH(R2834,$R$5:$R$100000,0)=ROW()-4,ROW(),""))</f>
        <v/>
      </c>
      <c r="T2834" s="9">
        <f>IF(Q2834="당기",ABS(P2834)+ROW()/1000000000,"")</f>
        <v/>
      </c>
      <c r="U2834" s="9">
        <f>IF(Q2834="비교",ABS(P2834)+ROW()/1000000000,"")</f>
        <v/>
      </c>
      <c r="V2834" s="39">
        <f>IF($A2834="","",IF(COUNTIF(변동분석!$E$7:$E$506,O2834)&gt;0,"Y","N"))</f>
        <v/>
      </c>
      <c r="W2834" s="39">
        <f>IF($A2834="","",IFERROR(INDEX(계정매핑!$D$5:$D$504,MATCH($F2834&amp;"",계정매핑!$A$5:$A$504,0)),"미매핑"))</f>
        <v/>
      </c>
      <c r="X2834" s="9">
        <f>IF($A2834="","",$F2834&amp;"")</f>
        <v/>
      </c>
    </row>
    <row r="2835">
      <c r="A2835" s="75" t="n">
        <v>2026</v>
      </c>
      <c r="B2835" s="75" t="n">
        <v>3</v>
      </c>
      <c r="C2835" s="75" t="inlineStr">
        <is>
          <t>5100000491</t>
        </is>
      </c>
      <c r="D2835" s="78" t="n">
        <v>46095</v>
      </c>
      <c r="E2835" s="75" t="inlineStr">
        <is>
          <t>KR</t>
        </is>
      </c>
      <c r="F2835" s="75" t="n">
        <v>62501000</v>
      </c>
      <c r="G2835" s="75" t="n">
        <v>1601</v>
      </c>
      <c r="H2835" s="76" t="n">
        <v>434000</v>
      </c>
      <c r="I2835" s="75" t="inlineStr">
        <is>
          <t>3월 회의 다과 - T케이터링</t>
        </is>
      </c>
      <c r="J2835" s="75" t="inlineStr">
        <is>
          <t>V10005</t>
        </is>
      </c>
      <c r="K2835" s="75" t="inlineStr">
        <is>
          <t>T케이터링</t>
        </is>
      </c>
      <c r="M2835" s="9">
        <f>IF($A2835="","",VALUE($A2835&amp;"")*12+VALUE($B2835&amp;""))</f>
        <v/>
      </c>
      <c r="N2835" s="39">
        <f>IF($A2835="","",IFERROR(INDEX(부서매핑!$C$5:$C$504,MATCH($G2835&amp;"",부서매핑!$A$5:$A$504,0)),"미매핑"))</f>
        <v/>
      </c>
      <c r="O2835" s="9">
        <f>IF($A2835="","",N2835&amp;"|"&amp;$F2835)</f>
        <v/>
      </c>
      <c r="P2835" s="77">
        <f>IF($A2835="",0,$H2835*설정!$C$23)</f>
        <v/>
      </c>
      <c r="Q2835" s="39">
        <f>IF($A2835="","",IF(O2835&lt;&gt;원인분석!$C$9,"",IF(AND(M2835&gt;=원인분석!$C$10,M2835&lt;=원인분석!$C$11),"당기",IF(AND(M2835&gt;=원인분석!$C$12,M2835&lt;=원인분석!$C$13),"비교",""))))</f>
        <v/>
      </c>
      <c r="R2835" s="9">
        <f>IF(Q2835="","",$K2835&amp;"")</f>
        <v/>
      </c>
      <c r="S2835" s="9">
        <f>IF(Q2835="","",IF(MATCH(R2835,$R$5:$R$100000,0)=ROW()-4,ROW(),""))</f>
        <v/>
      </c>
      <c r="T2835" s="9">
        <f>IF(Q2835="당기",ABS(P2835)+ROW()/1000000000,"")</f>
        <v/>
      </c>
      <c r="U2835" s="9">
        <f>IF(Q2835="비교",ABS(P2835)+ROW()/1000000000,"")</f>
        <v/>
      </c>
      <c r="V2835" s="39">
        <f>IF($A2835="","",IF(COUNTIF(변동분석!$E$7:$E$506,O2835)&gt;0,"Y","N"))</f>
        <v/>
      </c>
      <c r="W2835" s="39">
        <f>IF($A2835="","",IFERROR(INDEX(계정매핑!$D$5:$D$504,MATCH($F2835&amp;"",계정매핑!$A$5:$A$504,0)),"미매핑"))</f>
        <v/>
      </c>
      <c r="X2835" s="9">
        <f>IF($A2835="","",$F2835&amp;"")</f>
        <v/>
      </c>
    </row>
    <row r="2836">
      <c r="A2836" s="75" t="n">
        <v>2026</v>
      </c>
      <c r="B2836" s="75" t="n">
        <v>3</v>
      </c>
      <c r="C2836" s="75" t="inlineStr">
        <is>
          <t>5100000492</t>
        </is>
      </c>
      <c r="D2836" s="78" t="n">
        <v>46095</v>
      </c>
      <c r="E2836" s="75" t="inlineStr">
        <is>
          <t>KR</t>
        </is>
      </c>
      <c r="F2836" s="75" t="n">
        <v>62701000</v>
      </c>
      <c r="G2836" s="75" t="n">
        <v>1301</v>
      </c>
      <c r="H2836" s="76" t="n">
        <v>4800000</v>
      </c>
      <c r="I2836" s="75" t="inlineStr">
        <is>
          <t>경력직 채용공고</t>
        </is>
      </c>
      <c r="J2836" s="75" t="inlineStr">
        <is>
          <t>V10029</t>
        </is>
      </c>
      <c r="K2836" s="75" t="inlineStr">
        <is>
          <t>LL채용</t>
        </is>
      </c>
      <c r="M2836" s="9">
        <f>IF($A2836="","",VALUE($A2836&amp;"")*12+VALUE($B2836&amp;""))</f>
        <v/>
      </c>
      <c r="N2836" s="39">
        <f>IF($A2836="","",IFERROR(INDEX(부서매핑!$C$5:$C$504,MATCH($G2836&amp;"",부서매핑!$A$5:$A$504,0)),"미매핑"))</f>
        <v/>
      </c>
      <c r="O2836" s="9">
        <f>IF($A2836="","",N2836&amp;"|"&amp;$F2836)</f>
        <v/>
      </c>
      <c r="P2836" s="77">
        <f>IF($A2836="",0,$H2836*설정!$C$23)</f>
        <v/>
      </c>
      <c r="Q2836" s="39">
        <f>IF($A2836="","",IF(O2836&lt;&gt;원인분석!$C$9,"",IF(AND(M2836&gt;=원인분석!$C$10,M2836&lt;=원인분석!$C$11),"당기",IF(AND(M2836&gt;=원인분석!$C$12,M2836&lt;=원인분석!$C$13),"비교",""))))</f>
        <v/>
      </c>
      <c r="R2836" s="9">
        <f>IF(Q2836="","",$K2836&amp;"")</f>
        <v/>
      </c>
      <c r="S2836" s="9">
        <f>IF(Q2836="","",IF(MATCH(R2836,$R$5:$R$100000,0)=ROW()-4,ROW(),""))</f>
        <v/>
      </c>
      <c r="T2836" s="9">
        <f>IF(Q2836="당기",ABS(P2836)+ROW()/1000000000,"")</f>
        <v/>
      </c>
      <c r="U2836" s="9">
        <f>IF(Q2836="비교",ABS(P2836)+ROW()/1000000000,"")</f>
        <v/>
      </c>
      <c r="V2836" s="39">
        <f>IF($A2836="","",IF(COUNTIF(변동분석!$E$7:$E$506,O2836)&gt;0,"Y","N"))</f>
        <v/>
      </c>
      <c r="W2836" s="39">
        <f>IF($A2836="","",IFERROR(INDEX(계정매핑!$D$5:$D$504,MATCH($F2836&amp;"",계정매핑!$A$5:$A$504,0)),"미매핑"))</f>
        <v/>
      </c>
      <c r="X2836" s="9">
        <f>IF($A2836="","",$F2836&amp;"")</f>
        <v/>
      </c>
    </row>
    <row r="2837">
      <c r="A2837" s="75" t="n">
        <v>2026</v>
      </c>
      <c r="B2837" s="75" t="n">
        <v>3</v>
      </c>
      <c r="C2837" s="75" t="inlineStr">
        <is>
          <t>5100000493</t>
        </is>
      </c>
      <c r="D2837" s="78" t="n">
        <v>46095</v>
      </c>
      <c r="E2837" s="75" t="inlineStr">
        <is>
          <t>KR</t>
        </is>
      </c>
      <c r="F2837" s="75" t="n">
        <v>62902000</v>
      </c>
      <c r="G2837" s="75" t="n">
        <v>1801</v>
      </c>
      <c r="H2837" s="76" t="n">
        <v>1778000</v>
      </c>
      <c r="I2837" s="75" t="inlineStr">
        <is>
          <t>3월 콜 위탁 수수료(건별)</t>
        </is>
      </c>
      <c r="J2837" s="75" t="inlineStr">
        <is>
          <t>V10013</t>
        </is>
      </c>
      <c r="K2837" s="75" t="inlineStr">
        <is>
          <t>J콜센터</t>
        </is>
      </c>
      <c r="M2837" s="9">
        <f>IF($A2837="","",VALUE($A2837&amp;"")*12+VALUE($B2837&amp;""))</f>
        <v/>
      </c>
      <c r="N2837" s="39">
        <f>IF($A2837="","",IFERROR(INDEX(부서매핑!$C$5:$C$504,MATCH($G2837&amp;"",부서매핑!$A$5:$A$504,0)),"미매핑"))</f>
        <v/>
      </c>
      <c r="O2837" s="9">
        <f>IF($A2837="","",N2837&amp;"|"&amp;$F2837)</f>
        <v/>
      </c>
      <c r="P2837" s="77">
        <f>IF($A2837="",0,$H2837*설정!$C$23)</f>
        <v/>
      </c>
      <c r="Q2837" s="39">
        <f>IF($A2837="","",IF(O2837&lt;&gt;원인분석!$C$9,"",IF(AND(M2837&gt;=원인분석!$C$10,M2837&lt;=원인분석!$C$11),"당기",IF(AND(M2837&gt;=원인분석!$C$12,M2837&lt;=원인분석!$C$13),"비교",""))))</f>
        <v/>
      </c>
      <c r="R2837" s="9">
        <f>IF(Q2837="","",$K2837&amp;"")</f>
        <v/>
      </c>
      <c r="S2837" s="9">
        <f>IF(Q2837="","",IF(MATCH(R2837,$R$5:$R$100000,0)=ROW()-4,ROW(),""))</f>
        <v/>
      </c>
      <c r="T2837" s="9">
        <f>IF(Q2837="당기",ABS(P2837)+ROW()/1000000000,"")</f>
        <v/>
      </c>
      <c r="U2837" s="9">
        <f>IF(Q2837="비교",ABS(P2837)+ROW()/1000000000,"")</f>
        <v/>
      </c>
      <c r="V2837" s="39">
        <f>IF($A2837="","",IF(COUNTIF(변동분석!$E$7:$E$506,O2837)&gt;0,"Y","N"))</f>
        <v/>
      </c>
      <c r="W2837" s="39">
        <f>IF($A2837="","",IFERROR(INDEX(계정매핑!$D$5:$D$504,MATCH($F2837&amp;"",계정매핑!$A$5:$A$504,0)),"미매핑"))</f>
        <v/>
      </c>
      <c r="X2837" s="9">
        <f>IF($A2837="","",$F2837&amp;"")</f>
        <v/>
      </c>
    </row>
    <row r="2838">
      <c r="A2838" s="75" t="n">
        <v>2026</v>
      </c>
      <c r="B2838" s="75" t="n">
        <v>3</v>
      </c>
      <c r="C2838" s="75" t="inlineStr">
        <is>
          <t>5100000494</t>
        </is>
      </c>
      <c r="D2838" s="78" t="n">
        <v>46096</v>
      </c>
      <c r="E2838" s="75" t="inlineStr">
        <is>
          <t>KR</t>
        </is>
      </c>
      <c r="F2838" s="75" t="n">
        <v>62102000</v>
      </c>
      <c r="G2838" s="75" t="n">
        <v>1701</v>
      </c>
      <c r="H2838" s="76" t="n">
        <v>31000</v>
      </c>
      <c r="I2838" s="75" t="inlineStr">
        <is>
          <t>3월 해외출장 - N호텔</t>
        </is>
      </c>
      <c r="J2838" s="75" t="inlineStr">
        <is>
          <t>V10007</t>
        </is>
      </c>
      <c r="K2838" s="75" t="inlineStr">
        <is>
          <t>N호텔</t>
        </is>
      </c>
      <c r="M2838" s="9">
        <f>IF($A2838="","",VALUE($A2838&amp;"")*12+VALUE($B2838&amp;""))</f>
        <v/>
      </c>
      <c r="N2838" s="39">
        <f>IF($A2838="","",IFERROR(INDEX(부서매핑!$C$5:$C$504,MATCH($G2838&amp;"",부서매핑!$A$5:$A$504,0)),"미매핑"))</f>
        <v/>
      </c>
      <c r="O2838" s="9">
        <f>IF($A2838="","",N2838&amp;"|"&amp;$F2838)</f>
        <v/>
      </c>
      <c r="P2838" s="77">
        <f>IF($A2838="",0,$H2838*설정!$C$23)</f>
        <v/>
      </c>
      <c r="Q2838" s="39">
        <f>IF($A2838="","",IF(O2838&lt;&gt;원인분석!$C$9,"",IF(AND(M2838&gt;=원인분석!$C$10,M2838&lt;=원인분석!$C$11),"당기",IF(AND(M2838&gt;=원인분석!$C$12,M2838&lt;=원인분석!$C$13),"비교",""))))</f>
        <v/>
      </c>
      <c r="R2838" s="9">
        <f>IF(Q2838="","",$K2838&amp;"")</f>
        <v/>
      </c>
      <c r="S2838" s="9">
        <f>IF(Q2838="","",IF(MATCH(R2838,$R$5:$R$100000,0)=ROW()-4,ROW(),""))</f>
        <v/>
      </c>
      <c r="T2838" s="9">
        <f>IF(Q2838="당기",ABS(P2838)+ROW()/1000000000,"")</f>
        <v/>
      </c>
      <c r="U2838" s="9">
        <f>IF(Q2838="비교",ABS(P2838)+ROW()/1000000000,"")</f>
        <v/>
      </c>
      <c r="V2838" s="39">
        <f>IF($A2838="","",IF(COUNTIF(변동분석!$E$7:$E$506,O2838)&gt;0,"Y","N"))</f>
        <v/>
      </c>
      <c r="W2838" s="39">
        <f>IF($A2838="","",IFERROR(INDEX(계정매핑!$D$5:$D$504,MATCH($F2838&amp;"",계정매핑!$A$5:$A$504,0)),"미매핑"))</f>
        <v/>
      </c>
      <c r="X2838" s="9">
        <f>IF($A2838="","",$F2838&amp;"")</f>
        <v/>
      </c>
    </row>
    <row r="2839">
      <c r="A2839" s="75" t="n">
        <v>2026</v>
      </c>
      <c r="B2839" s="75" t="n">
        <v>3</v>
      </c>
      <c r="C2839" s="75" t="inlineStr">
        <is>
          <t>5100000495</t>
        </is>
      </c>
      <c r="D2839" s="78" t="n">
        <v>46096</v>
      </c>
      <c r="E2839" s="75" t="inlineStr">
        <is>
          <t>KR</t>
        </is>
      </c>
      <c r="F2839" s="75" t="n">
        <v>62201000</v>
      </c>
      <c r="G2839" s="75" t="n">
        <v>1301</v>
      </c>
      <c r="H2839" s="76" t="n">
        <v>200000</v>
      </c>
      <c r="I2839" s="75" t="inlineStr">
        <is>
          <t>3월 통신요금 - P통신</t>
        </is>
      </c>
      <c r="J2839" s="75" t="inlineStr">
        <is>
          <t>V10011</t>
        </is>
      </c>
      <c r="K2839" s="75" t="inlineStr">
        <is>
          <t>P통신</t>
        </is>
      </c>
      <c r="M2839" s="9">
        <f>IF($A2839="","",VALUE($A2839&amp;"")*12+VALUE($B2839&amp;""))</f>
        <v/>
      </c>
      <c r="N2839" s="39">
        <f>IF($A2839="","",IFERROR(INDEX(부서매핑!$C$5:$C$504,MATCH($G2839&amp;"",부서매핑!$A$5:$A$504,0)),"미매핑"))</f>
        <v/>
      </c>
      <c r="O2839" s="9">
        <f>IF($A2839="","",N2839&amp;"|"&amp;$F2839)</f>
        <v/>
      </c>
      <c r="P2839" s="77">
        <f>IF($A2839="",0,$H2839*설정!$C$23)</f>
        <v/>
      </c>
      <c r="Q2839" s="39">
        <f>IF($A2839="","",IF(O2839&lt;&gt;원인분석!$C$9,"",IF(AND(M2839&gt;=원인분석!$C$10,M2839&lt;=원인분석!$C$11),"당기",IF(AND(M2839&gt;=원인분석!$C$12,M2839&lt;=원인분석!$C$13),"비교",""))))</f>
        <v/>
      </c>
      <c r="R2839" s="9">
        <f>IF(Q2839="","",$K2839&amp;"")</f>
        <v/>
      </c>
      <c r="S2839" s="9">
        <f>IF(Q2839="","",IF(MATCH(R2839,$R$5:$R$100000,0)=ROW()-4,ROW(),""))</f>
        <v/>
      </c>
      <c r="T2839" s="9">
        <f>IF(Q2839="당기",ABS(P2839)+ROW()/1000000000,"")</f>
        <v/>
      </c>
      <c r="U2839" s="9">
        <f>IF(Q2839="비교",ABS(P2839)+ROW()/1000000000,"")</f>
        <v/>
      </c>
      <c r="V2839" s="39">
        <f>IF($A2839="","",IF(COUNTIF(변동분석!$E$7:$E$506,O2839)&gt;0,"Y","N"))</f>
        <v/>
      </c>
      <c r="W2839" s="39">
        <f>IF($A2839="","",IFERROR(INDEX(계정매핑!$D$5:$D$504,MATCH($F2839&amp;"",계정매핑!$A$5:$A$504,0)),"미매핑"))</f>
        <v/>
      </c>
      <c r="X2839" s="9">
        <f>IF($A2839="","",$F2839&amp;"")</f>
        <v/>
      </c>
    </row>
    <row r="2840">
      <c r="A2840" s="75" t="n">
        <v>2026</v>
      </c>
      <c r="B2840" s="75" t="n">
        <v>3</v>
      </c>
      <c r="C2840" s="75" t="inlineStr">
        <is>
          <t>5100000496</t>
        </is>
      </c>
      <c r="D2840" s="78" t="n">
        <v>46096</v>
      </c>
      <c r="E2840" s="75" t="inlineStr">
        <is>
          <t>KR</t>
        </is>
      </c>
      <c r="F2840" s="75" t="n">
        <v>62301000</v>
      </c>
      <c r="G2840" s="75" t="n">
        <v>1401</v>
      </c>
      <c r="H2840" s="76" t="n">
        <v>74000</v>
      </c>
      <c r="I2840" s="75" t="inlineStr">
        <is>
          <t>3월 소모품 구입 - Q오피스</t>
        </is>
      </c>
      <c r="J2840" s="75" t="inlineStr">
        <is>
          <t>V10003</t>
        </is>
      </c>
      <c r="K2840" s="75" t="inlineStr">
        <is>
          <t>Q오피스</t>
        </is>
      </c>
      <c r="M2840" s="9">
        <f>IF($A2840="","",VALUE($A2840&amp;"")*12+VALUE($B2840&amp;""))</f>
        <v/>
      </c>
      <c r="N2840" s="39">
        <f>IF($A2840="","",IFERROR(INDEX(부서매핑!$C$5:$C$504,MATCH($G2840&amp;"",부서매핑!$A$5:$A$504,0)),"미매핑"))</f>
        <v/>
      </c>
      <c r="O2840" s="9">
        <f>IF($A2840="","",N2840&amp;"|"&amp;$F2840)</f>
        <v/>
      </c>
      <c r="P2840" s="77">
        <f>IF($A2840="",0,$H2840*설정!$C$23)</f>
        <v/>
      </c>
      <c r="Q2840" s="39">
        <f>IF($A2840="","",IF(O2840&lt;&gt;원인분석!$C$9,"",IF(AND(M2840&gt;=원인분석!$C$10,M2840&lt;=원인분석!$C$11),"당기",IF(AND(M2840&gt;=원인분석!$C$12,M2840&lt;=원인분석!$C$13),"비교",""))))</f>
        <v/>
      </c>
      <c r="R2840" s="9">
        <f>IF(Q2840="","",$K2840&amp;"")</f>
        <v/>
      </c>
      <c r="S2840" s="9">
        <f>IF(Q2840="","",IF(MATCH(R2840,$R$5:$R$100000,0)=ROW()-4,ROW(),""))</f>
        <v/>
      </c>
      <c r="T2840" s="9">
        <f>IF(Q2840="당기",ABS(P2840)+ROW()/1000000000,"")</f>
        <v/>
      </c>
      <c r="U2840" s="9">
        <f>IF(Q2840="비교",ABS(P2840)+ROW()/1000000000,"")</f>
        <v/>
      </c>
      <c r="V2840" s="39">
        <f>IF($A2840="","",IF(COUNTIF(변동분석!$E$7:$E$506,O2840)&gt;0,"Y","N"))</f>
        <v/>
      </c>
      <c r="W2840" s="39">
        <f>IF($A2840="","",IFERROR(INDEX(계정매핑!$D$5:$D$504,MATCH($F2840&amp;"",계정매핑!$A$5:$A$504,0)),"미매핑"))</f>
        <v/>
      </c>
      <c r="X2840" s="9">
        <f>IF($A2840="","",$F2840&amp;"")</f>
        <v/>
      </c>
    </row>
    <row r="2841">
      <c r="A2841" s="75" t="n">
        <v>2026</v>
      </c>
      <c r="B2841" s="75" t="n">
        <v>3</v>
      </c>
      <c r="C2841" s="75" t="inlineStr">
        <is>
          <t>5100000497</t>
        </is>
      </c>
      <c r="D2841" s="78" t="n">
        <v>46096</v>
      </c>
      <c r="E2841" s="75" t="inlineStr">
        <is>
          <t>KR</t>
        </is>
      </c>
      <c r="F2841" s="75" t="n">
        <v>62301000</v>
      </c>
      <c r="G2841" s="75" t="n">
        <v>1501</v>
      </c>
      <c r="H2841" s="76" t="n">
        <v>227000</v>
      </c>
      <c r="I2841" s="75" t="inlineStr">
        <is>
          <t>3월 소모품 구입 - Q오피스</t>
        </is>
      </c>
      <c r="J2841" s="75" t="inlineStr">
        <is>
          <t>V10003</t>
        </is>
      </c>
      <c r="K2841" s="75" t="inlineStr">
        <is>
          <t>Q오피스</t>
        </is>
      </c>
      <c r="M2841" s="9">
        <f>IF($A2841="","",VALUE($A2841&amp;"")*12+VALUE($B2841&amp;""))</f>
        <v/>
      </c>
      <c r="N2841" s="39">
        <f>IF($A2841="","",IFERROR(INDEX(부서매핑!$C$5:$C$504,MATCH($G2841&amp;"",부서매핑!$A$5:$A$504,0)),"미매핑"))</f>
        <v/>
      </c>
      <c r="O2841" s="9">
        <f>IF($A2841="","",N2841&amp;"|"&amp;$F2841)</f>
        <v/>
      </c>
      <c r="P2841" s="77">
        <f>IF($A2841="",0,$H2841*설정!$C$23)</f>
        <v/>
      </c>
      <c r="Q2841" s="39">
        <f>IF($A2841="","",IF(O2841&lt;&gt;원인분석!$C$9,"",IF(AND(M2841&gt;=원인분석!$C$10,M2841&lt;=원인분석!$C$11),"당기",IF(AND(M2841&gt;=원인분석!$C$12,M2841&lt;=원인분석!$C$13),"비교",""))))</f>
        <v/>
      </c>
      <c r="R2841" s="9">
        <f>IF(Q2841="","",$K2841&amp;"")</f>
        <v/>
      </c>
      <c r="S2841" s="9">
        <f>IF(Q2841="","",IF(MATCH(R2841,$R$5:$R$100000,0)=ROW()-4,ROW(),""))</f>
        <v/>
      </c>
      <c r="T2841" s="9">
        <f>IF(Q2841="당기",ABS(P2841)+ROW()/1000000000,"")</f>
        <v/>
      </c>
      <c r="U2841" s="9">
        <f>IF(Q2841="비교",ABS(P2841)+ROW()/1000000000,"")</f>
        <v/>
      </c>
      <c r="V2841" s="39">
        <f>IF($A2841="","",IF(COUNTIF(변동분석!$E$7:$E$506,O2841)&gt;0,"Y","N"))</f>
        <v/>
      </c>
      <c r="W2841" s="39">
        <f>IF($A2841="","",IFERROR(INDEX(계정매핑!$D$5:$D$504,MATCH($F2841&amp;"",계정매핑!$A$5:$A$504,0)),"미매핑"))</f>
        <v/>
      </c>
      <c r="X2841" s="9">
        <f>IF($A2841="","",$F2841&amp;"")</f>
        <v/>
      </c>
    </row>
    <row r="2842">
      <c r="A2842" s="75" t="n">
        <v>2026</v>
      </c>
      <c r="B2842" s="75" t="n">
        <v>3</v>
      </c>
      <c r="C2842" s="75" t="inlineStr">
        <is>
          <t>5100000498</t>
        </is>
      </c>
      <c r="D2842" s="78" t="n">
        <v>46096</v>
      </c>
      <c r="E2842" s="75" t="inlineStr">
        <is>
          <t>KR</t>
        </is>
      </c>
      <c r="F2842" s="75" t="n">
        <v>62301000</v>
      </c>
      <c r="G2842" s="75" t="n">
        <v>1602</v>
      </c>
      <c r="H2842" s="76" t="n">
        <v>296000</v>
      </c>
      <c r="I2842" s="75" t="inlineStr">
        <is>
          <t>3월 소모품 구입 - Q오피스</t>
        </is>
      </c>
      <c r="J2842" s="75" t="inlineStr">
        <is>
          <t>V10003</t>
        </is>
      </c>
      <c r="K2842" s="75" t="inlineStr">
        <is>
          <t>Q오피스</t>
        </is>
      </c>
      <c r="M2842" s="9">
        <f>IF($A2842="","",VALUE($A2842&amp;"")*12+VALUE($B2842&amp;""))</f>
        <v/>
      </c>
      <c r="N2842" s="39">
        <f>IF($A2842="","",IFERROR(INDEX(부서매핑!$C$5:$C$504,MATCH($G2842&amp;"",부서매핑!$A$5:$A$504,0)),"미매핑"))</f>
        <v/>
      </c>
      <c r="O2842" s="9">
        <f>IF($A2842="","",N2842&amp;"|"&amp;$F2842)</f>
        <v/>
      </c>
      <c r="P2842" s="77">
        <f>IF($A2842="",0,$H2842*설정!$C$23)</f>
        <v/>
      </c>
      <c r="Q2842" s="39">
        <f>IF($A2842="","",IF(O2842&lt;&gt;원인분석!$C$9,"",IF(AND(M2842&gt;=원인분석!$C$10,M2842&lt;=원인분석!$C$11),"당기",IF(AND(M2842&gt;=원인분석!$C$12,M2842&lt;=원인분석!$C$13),"비교",""))))</f>
        <v/>
      </c>
      <c r="R2842" s="9">
        <f>IF(Q2842="","",$K2842&amp;"")</f>
        <v/>
      </c>
      <c r="S2842" s="9">
        <f>IF(Q2842="","",IF(MATCH(R2842,$R$5:$R$100000,0)=ROW()-4,ROW(),""))</f>
        <v/>
      </c>
      <c r="T2842" s="9">
        <f>IF(Q2842="당기",ABS(P2842)+ROW()/1000000000,"")</f>
        <v/>
      </c>
      <c r="U2842" s="9">
        <f>IF(Q2842="비교",ABS(P2842)+ROW()/1000000000,"")</f>
        <v/>
      </c>
      <c r="V2842" s="39">
        <f>IF($A2842="","",IF(COUNTIF(변동분석!$E$7:$E$506,O2842)&gt;0,"Y","N"))</f>
        <v/>
      </c>
      <c r="W2842" s="39">
        <f>IF($A2842="","",IFERROR(INDEX(계정매핑!$D$5:$D$504,MATCH($F2842&amp;"",계정매핑!$A$5:$A$504,0)),"미매핑"))</f>
        <v/>
      </c>
      <c r="X2842" s="9">
        <f>IF($A2842="","",$F2842&amp;"")</f>
        <v/>
      </c>
    </row>
    <row r="2843">
      <c r="A2843" s="75" t="n">
        <v>2026</v>
      </c>
      <c r="B2843" s="75" t="n">
        <v>3</v>
      </c>
      <c r="C2843" s="75" t="inlineStr">
        <is>
          <t>5100000499</t>
        </is>
      </c>
      <c r="D2843" s="78" t="n">
        <v>46096</v>
      </c>
      <c r="E2843" s="75" t="inlineStr">
        <is>
          <t>KR</t>
        </is>
      </c>
      <c r="F2843" s="75" t="n">
        <v>62701000</v>
      </c>
      <c r="G2843" s="75" t="n">
        <v>1501</v>
      </c>
      <c r="H2843" s="76" t="n">
        <v>54706000</v>
      </c>
      <c r="I2843" s="75" t="inlineStr">
        <is>
          <t>3월 광고 집행 - E미디어</t>
        </is>
      </c>
      <c r="J2843" s="75" t="inlineStr">
        <is>
          <t>V10027</t>
        </is>
      </c>
      <c r="K2843" s="75" t="inlineStr">
        <is>
          <t>E미디어</t>
        </is>
      </c>
      <c r="M2843" s="9">
        <f>IF($A2843="","",VALUE($A2843&amp;"")*12+VALUE($B2843&amp;""))</f>
        <v/>
      </c>
      <c r="N2843" s="39">
        <f>IF($A2843="","",IFERROR(INDEX(부서매핑!$C$5:$C$504,MATCH($G2843&amp;"",부서매핑!$A$5:$A$504,0)),"미매핑"))</f>
        <v/>
      </c>
      <c r="O2843" s="9">
        <f>IF($A2843="","",N2843&amp;"|"&amp;$F2843)</f>
        <v/>
      </c>
      <c r="P2843" s="77">
        <f>IF($A2843="",0,$H2843*설정!$C$23)</f>
        <v/>
      </c>
      <c r="Q2843" s="39">
        <f>IF($A2843="","",IF(O2843&lt;&gt;원인분석!$C$9,"",IF(AND(M2843&gt;=원인분석!$C$10,M2843&lt;=원인분석!$C$11),"당기",IF(AND(M2843&gt;=원인분석!$C$12,M2843&lt;=원인분석!$C$13),"비교",""))))</f>
        <v/>
      </c>
      <c r="R2843" s="9">
        <f>IF(Q2843="","",$K2843&amp;"")</f>
        <v/>
      </c>
      <c r="S2843" s="9">
        <f>IF(Q2843="","",IF(MATCH(R2843,$R$5:$R$100000,0)=ROW()-4,ROW(),""))</f>
        <v/>
      </c>
      <c r="T2843" s="9">
        <f>IF(Q2843="당기",ABS(P2843)+ROW()/1000000000,"")</f>
        <v/>
      </c>
      <c r="U2843" s="9">
        <f>IF(Q2843="비교",ABS(P2843)+ROW()/1000000000,"")</f>
        <v/>
      </c>
      <c r="V2843" s="39">
        <f>IF($A2843="","",IF(COUNTIF(변동분석!$E$7:$E$506,O2843)&gt;0,"Y","N"))</f>
        <v/>
      </c>
      <c r="W2843" s="39">
        <f>IF($A2843="","",IFERROR(INDEX(계정매핑!$D$5:$D$504,MATCH($F2843&amp;"",계정매핑!$A$5:$A$504,0)),"미매핑"))</f>
        <v/>
      </c>
      <c r="X2843" s="9">
        <f>IF($A2843="","",$F2843&amp;"")</f>
        <v/>
      </c>
    </row>
    <row r="2844">
      <c r="A2844" s="75" t="n">
        <v>2026</v>
      </c>
      <c r="B2844" s="75" t="n">
        <v>3</v>
      </c>
      <c r="C2844" s="75" t="inlineStr">
        <is>
          <t>5100000500</t>
        </is>
      </c>
      <c r="D2844" s="78" t="n">
        <v>46096</v>
      </c>
      <c r="E2844" s="75" t="inlineStr">
        <is>
          <t>KR</t>
        </is>
      </c>
      <c r="F2844" s="75" t="n">
        <v>62902000</v>
      </c>
      <c r="G2844" s="75" t="n">
        <v>1101</v>
      </c>
      <c r="H2844" s="76" t="n">
        <v>1169000</v>
      </c>
      <c r="I2844" s="75" t="inlineStr">
        <is>
          <t>3월 업무 위탁 수수료 - J콜센터</t>
        </is>
      </c>
      <c r="J2844" s="75" t="inlineStr">
        <is>
          <t>V10013</t>
        </is>
      </c>
      <c r="K2844" s="75" t="inlineStr">
        <is>
          <t>J콜센터</t>
        </is>
      </c>
      <c r="M2844" s="9">
        <f>IF($A2844="","",VALUE($A2844&amp;"")*12+VALUE($B2844&amp;""))</f>
        <v/>
      </c>
      <c r="N2844" s="39">
        <f>IF($A2844="","",IFERROR(INDEX(부서매핑!$C$5:$C$504,MATCH($G2844&amp;"",부서매핑!$A$5:$A$504,0)),"미매핑"))</f>
        <v/>
      </c>
      <c r="O2844" s="9">
        <f>IF($A2844="","",N2844&amp;"|"&amp;$F2844)</f>
        <v/>
      </c>
      <c r="P2844" s="77">
        <f>IF($A2844="",0,$H2844*설정!$C$23)</f>
        <v/>
      </c>
      <c r="Q2844" s="39">
        <f>IF($A2844="","",IF(O2844&lt;&gt;원인분석!$C$9,"",IF(AND(M2844&gt;=원인분석!$C$10,M2844&lt;=원인분석!$C$11),"당기",IF(AND(M2844&gt;=원인분석!$C$12,M2844&lt;=원인분석!$C$13),"비교",""))))</f>
        <v/>
      </c>
      <c r="R2844" s="9">
        <f>IF(Q2844="","",$K2844&amp;"")</f>
        <v/>
      </c>
      <c r="S2844" s="9">
        <f>IF(Q2844="","",IF(MATCH(R2844,$R$5:$R$100000,0)=ROW()-4,ROW(),""))</f>
        <v/>
      </c>
      <c r="T2844" s="9">
        <f>IF(Q2844="당기",ABS(P2844)+ROW()/1000000000,"")</f>
        <v/>
      </c>
      <c r="U2844" s="9">
        <f>IF(Q2844="비교",ABS(P2844)+ROW()/1000000000,"")</f>
        <v/>
      </c>
      <c r="V2844" s="39">
        <f>IF($A2844="","",IF(COUNTIF(변동분석!$E$7:$E$506,O2844)&gt;0,"Y","N"))</f>
        <v/>
      </c>
      <c r="W2844" s="39">
        <f>IF($A2844="","",IFERROR(INDEX(계정매핑!$D$5:$D$504,MATCH($F2844&amp;"",계정매핑!$A$5:$A$504,0)),"미매핑"))</f>
        <v/>
      </c>
      <c r="X2844" s="9">
        <f>IF($A2844="","",$F2844&amp;"")</f>
        <v/>
      </c>
    </row>
    <row r="2845">
      <c r="A2845" s="75" t="n">
        <v>2026</v>
      </c>
      <c r="B2845" s="75" t="n">
        <v>3</v>
      </c>
      <c r="C2845" s="75" t="inlineStr">
        <is>
          <t>5100000501</t>
        </is>
      </c>
      <c r="D2845" s="78" t="n">
        <v>46096</v>
      </c>
      <c r="E2845" s="75" t="inlineStr">
        <is>
          <t>KR</t>
        </is>
      </c>
      <c r="F2845" s="75" t="n">
        <v>62902000</v>
      </c>
      <c r="G2845" s="75" t="n">
        <v>1401</v>
      </c>
      <c r="H2845" s="76" t="n">
        <v>2306000</v>
      </c>
      <c r="I2845" s="75" t="inlineStr">
        <is>
          <t>3월 업무 위탁 수수료 - X서비스</t>
        </is>
      </c>
      <c r="J2845" s="75" t="inlineStr">
        <is>
          <t>V10016</t>
        </is>
      </c>
      <c r="K2845" s="75" t="inlineStr">
        <is>
          <t>X서비스</t>
        </is>
      </c>
      <c r="M2845" s="9">
        <f>IF($A2845="","",VALUE($A2845&amp;"")*12+VALUE($B2845&amp;""))</f>
        <v/>
      </c>
      <c r="N2845" s="39">
        <f>IF($A2845="","",IFERROR(INDEX(부서매핑!$C$5:$C$504,MATCH($G2845&amp;"",부서매핑!$A$5:$A$504,0)),"미매핑"))</f>
        <v/>
      </c>
      <c r="O2845" s="9">
        <f>IF($A2845="","",N2845&amp;"|"&amp;$F2845)</f>
        <v/>
      </c>
      <c r="P2845" s="77">
        <f>IF($A2845="",0,$H2845*설정!$C$23)</f>
        <v/>
      </c>
      <c r="Q2845" s="39">
        <f>IF($A2845="","",IF(O2845&lt;&gt;원인분석!$C$9,"",IF(AND(M2845&gt;=원인분석!$C$10,M2845&lt;=원인분석!$C$11),"당기",IF(AND(M2845&gt;=원인분석!$C$12,M2845&lt;=원인분석!$C$13),"비교",""))))</f>
        <v/>
      </c>
      <c r="R2845" s="9">
        <f>IF(Q2845="","",$K2845&amp;"")</f>
        <v/>
      </c>
      <c r="S2845" s="9">
        <f>IF(Q2845="","",IF(MATCH(R2845,$R$5:$R$100000,0)=ROW()-4,ROW(),""))</f>
        <v/>
      </c>
      <c r="T2845" s="9">
        <f>IF(Q2845="당기",ABS(P2845)+ROW()/1000000000,"")</f>
        <v/>
      </c>
      <c r="U2845" s="9">
        <f>IF(Q2845="비교",ABS(P2845)+ROW()/1000000000,"")</f>
        <v/>
      </c>
      <c r="V2845" s="39">
        <f>IF($A2845="","",IF(COUNTIF(변동분석!$E$7:$E$506,O2845)&gt;0,"Y","N"))</f>
        <v/>
      </c>
      <c r="W2845" s="39">
        <f>IF($A2845="","",IFERROR(INDEX(계정매핑!$D$5:$D$504,MATCH($F2845&amp;"",계정매핑!$A$5:$A$504,0)),"미매핑"))</f>
        <v/>
      </c>
      <c r="X2845" s="9">
        <f>IF($A2845="","",$F2845&amp;"")</f>
        <v/>
      </c>
    </row>
    <row r="2846">
      <c r="A2846" s="75" t="n">
        <v>2026</v>
      </c>
      <c r="B2846" s="75" t="n">
        <v>3</v>
      </c>
      <c r="C2846" s="75" t="inlineStr">
        <is>
          <t>5100000502</t>
        </is>
      </c>
      <c r="D2846" s="78" t="n">
        <v>46097</v>
      </c>
      <c r="E2846" s="75" t="inlineStr">
        <is>
          <t>KR</t>
        </is>
      </c>
      <c r="F2846" s="75" t="n">
        <v>62101000</v>
      </c>
      <c r="G2846" s="75" t="n">
        <v>1401</v>
      </c>
      <c r="H2846" s="76" t="n">
        <v>444000</v>
      </c>
      <c r="I2846" s="75" t="inlineStr">
        <is>
          <t>3월 국내출장 - M항공</t>
        </is>
      </c>
      <c r="J2846" s="75" t="inlineStr">
        <is>
          <t>V10001</t>
        </is>
      </c>
      <c r="K2846" s="75" t="inlineStr">
        <is>
          <t>M항공</t>
        </is>
      </c>
      <c r="M2846" s="9">
        <f>IF($A2846="","",VALUE($A2846&amp;"")*12+VALUE($B2846&amp;""))</f>
        <v/>
      </c>
      <c r="N2846" s="39">
        <f>IF($A2846="","",IFERROR(INDEX(부서매핑!$C$5:$C$504,MATCH($G2846&amp;"",부서매핑!$A$5:$A$504,0)),"미매핑"))</f>
        <v/>
      </c>
      <c r="O2846" s="9">
        <f>IF($A2846="","",N2846&amp;"|"&amp;$F2846)</f>
        <v/>
      </c>
      <c r="P2846" s="77">
        <f>IF($A2846="",0,$H2846*설정!$C$23)</f>
        <v/>
      </c>
      <c r="Q2846" s="39">
        <f>IF($A2846="","",IF(O2846&lt;&gt;원인분석!$C$9,"",IF(AND(M2846&gt;=원인분석!$C$10,M2846&lt;=원인분석!$C$11),"당기",IF(AND(M2846&gt;=원인분석!$C$12,M2846&lt;=원인분석!$C$13),"비교",""))))</f>
        <v/>
      </c>
      <c r="R2846" s="9">
        <f>IF(Q2846="","",$K2846&amp;"")</f>
        <v/>
      </c>
      <c r="S2846" s="9">
        <f>IF(Q2846="","",IF(MATCH(R2846,$R$5:$R$100000,0)=ROW()-4,ROW(),""))</f>
        <v/>
      </c>
      <c r="T2846" s="9">
        <f>IF(Q2846="당기",ABS(P2846)+ROW()/1000000000,"")</f>
        <v/>
      </c>
      <c r="U2846" s="9">
        <f>IF(Q2846="비교",ABS(P2846)+ROW()/1000000000,"")</f>
        <v/>
      </c>
      <c r="V2846" s="39">
        <f>IF($A2846="","",IF(COUNTIF(변동분석!$E$7:$E$506,O2846)&gt;0,"Y","N"))</f>
        <v/>
      </c>
      <c r="W2846" s="39">
        <f>IF($A2846="","",IFERROR(INDEX(계정매핑!$D$5:$D$504,MATCH($F2846&amp;"",계정매핑!$A$5:$A$504,0)),"미매핑"))</f>
        <v/>
      </c>
      <c r="X2846" s="9">
        <f>IF($A2846="","",$F2846&amp;"")</f>
        <v/>
      </c>
    </row>
    <row r="2847">
      <c r="A2847" s="75" t="n">
        <v>2026</v>
      </c>
      <c r="B2847" s="75" t="n">
        <v>3</v>
      </c>
      <c r="C2847" s="75" t="inlineStr">
        <is>
          <t>5100000503</t>
        </is>
      </c>
      <c r="D2847" s="78" t="n">
        <v>46097</v>
      </c>
      <c r="E2847" s="75" t="inlineStr">
        <is>
          <t>KR</t>
        </is>
      </c>
      <c r="F2847" s="75" t="n">
        <v>62102000</v>
      </c>
      <c r="G2847" s="75" t="n">
        <v>1602</v>
      </c>
      <c r="H2847" s="76" t="n">
        <v>702000</v>
      </c>
      <c r="I2847" s="75" t="inlineStr">
        <is>
          <t>3월 해외출장 - M항공</t>
        </is>
      </c>
      <c r="J2847" s="75" t="inlineStr">
        <is>
          <t>V10001</t>
        </is>
      </c>
      <c r="K2847" s="75" t="inlineStr">
        <is>
          <t>M항공</t>
        </is>
      </c>
      <c r="M2847" s="9">
        <f>IF($A2847="","",VALUE($A2847&amp;"")*12+VALUE($B2847&amp;""))</f>
        <v/>
      </c>
      <c r="N2847" s="39">
        <f>IF($A2847="","",IFERROR(INDEX(부서매핑!$C$5:$C$504,MATCH($G2847&amp;"",부서매핑!$A$5:$A$504,0)),"미매핑"))</f>
        <v/>
      </c>
      <c r="O2847" s="9">
        <f>IF($A2847="","",N2847&amp;"|"&amp;$F2847)</f>
        <v/>
      </c>
      <c r="P2847" s="77">
        <f>IF($A2847="",0,$H2847*설정!$C$23)</f>
        <v/>
      </c>
      <c r="Q2847" s="39">
        <f>IF($A2847="","",IF(O2847&lt;&gt;원인분석!$C$9,"",IF(AND(M2847&gt;=원인분석!$C$10,M2847&lt;=원인분석!$C$11),"당기",IF(AND(M2847&gt;=원인분석!$C$12,M2847&lt;=원인분석!$C$13),"비교",""))))</f>
        <v/>
      </c>
      <c r="R2847" s="9">
        <f>IF(Q2847="","",$K2847&amp;"")</f>
        <v/>
      </c>
      <c r="S2847" s="9">
        <f>IF(Q2847="","",IF(MATCH(R2847,$R$5:$R$100000,0)=ROW()-4,ROW(),""))</f>
        <v/>
      </c>
      <c r="T2847" s="9">
        <f>IF(Q2847="당기",ABS(P2847)+ROW()/1000000000,"")</f>
        <v/>
      </c>
      <c r="U2847" s="9">
        <f>IF(Q2847="비교",ABS(P2847)+ROW()/1000000000,"")</f>
        <v/>
      </c>
      <c r="V2847" s="39">
        <f>IF($A2847="","",IF(COUNTIF(변동분석!$E$7:$E$506,O2847)&gt;0,"Y","N"))</f>
        <v/>
      </c>
      <c r="W2847" s="39">
        <f>IF($A2847="","",IFERROR(INDEX(계정매핑!$D$5:$D$504,MATCH($F2847&amp;"",계정매핑!$A$5:$A$504,0)),"미매핑"))</f>
        <v/>
      </c>
      <c r="X2847" s="9">
        <f>IF($A2847="","",$F2847&amp;"")</f>
        <v/>
      </c>
    </row>
    <row r="2848">
      <c r="A2848" s="75" t="n">
        <v>2026</v>
      </c>
      <c r="B2848" s="75" t="n">
        <v>3</v>
      </c>
      <c r="C2848" s="75" t="inlineStr">
        <is>
          <t>5100000504</t>
        </is>
      </c>
      <c r="D2848" s="78" t="n">
        <v>46097</v>
      </c>
      <c r="E2848" s="75" t="inlineStr">
        <is>
          <t>KR</t>
        </is>
      </c>
      <c r="F2848" s="75" t="n">
        <v>62201000</v>
      </c>
      <c r="G2848" s="75" t="n">
        <v>1401</v>
      </c>
      <c r="H2848" s="76" t="n">
        <v>140000</v>
      </c>
      <c r="I2848" s="75" t="inlineStr">
        <is>
          <t>3월 통신요금 - O텔레콤</t>
        </is>
      </c>
      <c r="J2848" s="75" t="inlineStr">
        <is>
          <t>V10002</t>
        </is>
      </c>
      <c r="K2848" s="75" t="inlineStr">
        <is>
          <t>O텔레콤</t>
        </is>
      </c>
      <c r="M2848" s="9">
        <f>IF($A2848="","",VALUE($A2848&amp;"")*12+VALUE($B2848&amp;""))</f>
        <v/>
      </c>
      <c r="N2848" s="39">
        <f>IF($A2848="","",IFERROR(INDEX(부서매핑!$C$5:$C$504,MATCH($G2848&amp;"",부서매핑!$A$5:$A$504,0)),"미매핑"))</f>
        <v/>
      </c>
      <c r="O2848" s="9">
        <f>IF($A2848="","",N2848&amp;"|"&amp;$F2848)</f>
        <v/>
      </c>
      <c r="P2848" s="77">
        <f>IF($A2848="",0,$H2848*설정!$C$23)</f>
        <v/>
      </c>
      <c r="Q2848" s="39">
        <f>IF($A2848="","",IF(O2848&lt;&gt;원인분석!$C$9,"",IF(AND(M2848&gt;=원인분석!$C$10,M2848&lt;=원인분석!$C$11),"당기",IF(AND(M2848&gt;=원인분석!$C$12,M2848&lt;=원인분석!$C$13),"비교",""))))</f>
        <v/>
      </c>
      <c r="R2848" s="9">
        <f>IF(Q2848="","",$K2848&amp;"")</f>
        <v/>
      </c>
      <c r="S2848" s="9">
        <f>IF(Q2848="","",IF(MATCH(R2848,$R$5:$R$100000,0)=ROW()-4,ROW(),""))</f>
        <v/>
      </c>
      <c r="T2848" s="9">
        <f>IF(Q2848="당기",ABS(P2848)+ROW()/1000000000,"")</f>
        <v/>
      </c>
      <c r="U2848" s="9">
        <f>IF(Q2848="비교",ABS(P2848)+ROW()/1000000000,"")</f>
        <v/>
      </c>
      <c r="V2848" s="39">
        <f>IF($A2848="","",IF(COUNTIF(변동분석!$E$7:$E$506,O2848)&gt;0,"Y","N"))</f>
        <v/>
      </c>
      <c r="W2848" s="39">
        <f>IF($A2848="","",IFERROR(INDEX(계정매핑!$D$5:$D$504,MATCH($F2848&amp;"",계정매핑!$A$5:$A$504,0)),"미매핑"))</f>
        <v/>
      </c>
      <c r="X2848" s="9">
        <f>IF($A2848="","",$F2848&amp;"")</f>
        <v/>
      </c>
    </row>
    <row r="2849">
      <c r="A2849" s="75" t="n">
        <v>2026</v>
      </c>
      <c r="B2849" s="75" t="n">
        <v>3</v>
      </c>
      <c r="C2849" s="75" t="inlineStr">
        <is>
          <t>5100000505</t>
        </is>
      </c>
      <c r="D2849" s="78" t="n">
        <v>46097</v>
      </c>
      <c r="E2849" s="75" t="inlineStr">
        <is>
          <t>KR</t>
        </is>
      </c>
      <c r="F2849" s="75" t="n">
        <v>62201000</v>
      </c>
      <c r="G2849" s="75" t="n">
        <v>1501</v>
      </c>
      <c r="H2849" s="76" t="n">
        <v>250000</v>
      </c>
      <c r="I2849" s="75" t="inlineStr">
        <is>
          <t>3월 통신요금 - O텔레콤</t>
        </is>
      </c>
      <c r="J2849" s="75" t="inlineStr">
        <is>
          <t>V10002</t>
        </is>
      </c>
      <c r="K2849" s="75" t="inlineStr">
        <is>
          <t>O텔레콤</t>
        </is>
      </c>
      <c r="M2849" s="9">
        <f>IF($A2849="","",VALUE($A2849&amp;"")*12+VALUE($B2849&amp;""))</f>
        <v/>
      </c>
      <c r="N2849" s="39">
        <f>IF($A2849="","",IFERROR(INDEX(부서매핑!$C$5:$C$504,MATCH($G2849&amp;"",부서매핑!$A$5:$A$504,0)),"미매핑"))</f>
        <v/>
      </c>
      <c r="O2849" s="9">
        <f>IF($A2849="","",N2849&amp;"|"&amp;$F2849)</f>
        <v/>
      </c>
      <c r="P2849" s="77">
        <f>IF($A2849="",0,$H2849*설정!$C$23)</f>
        <v/>
      </c>
      <c r="Q2849" s="39">
        <f>IF($A2849="","",IF(O2849&lt;&gt;원인분석!$C$9,"",IF(AND(M2849&gt;=원인분석!$C$10,M2849&lt;=원인분석!$C$11),"당기",IF(AND(M2849&gt;=원인분석!$C$12,M2849&lt;=원인분석!$C$13),"비교",""))))</f>
        <v/>
      </c>
      <c r="R2849" s="9">
        <f>IF(Q2849="","",$K2849&amp;"")</f>
        <v/>
      </c>
      <c r="S2849" s="9">
        <f>IF(Q2849="","",IF(MATCH(R2849,$R$5:$R$100000,0)=ROW()-4,ROW(),""))</f>
        <v/>
      </c>
      <c r="T2849" s="9">
        <f>IF(Q2849="당기",ABS(P2849)+ROW()/1000000000,"")</f>
        <v/>
      </c>
      <c r="U2849" s="9">
        <f>IF(Q2849="비교",ABS(P2849)+ROW()/1000000000,"")</f>
        <v/>
      </c>
      <c r="V2849" s="39">
        <f>IF($A2849="","",IF(COUNTIF(변동분석!$E$7:$E$506,O2849)&gt;0,"Y","N"))</f>
        <v/>
      </c>
      <c r="W2849" s="39">
        <f>IF($A2849="","",IFERROR(INDEX(계정매핑!$D$5:$D$504,MATCH($F2849&amp;"",계정매핑!$A$5:$A$504,0)),"미매핑"))</f>
        <v/>
      </c>
      <c r="X2849" s="9">
        <f>IF($A2849="","",$F2849&amp;"")</f>
        <v/>
      </c>
    </row>
    <row r="2850">
      <c r="A2850" s="75" t="n">
        <v>2026</v>
      </c>
      <c r="B2850" s="75" t="n">
        <v>3</v>
      </c>
      <c r="C2850" s="75" t="inlineStr">
        <is>
          <t>5100000506</t>
        </is>
      </c>
      <c r="D2850" s="78" t="n">
        <v>46097</v>
      </c>
      <c r="E2850" s="75" t="inlineStr">
        <is>
          <t>KR</t>
        </is>
      </c>
      <c r="F2850" s="75" t="n">
        <v>62401000</v>
      </c>
      <c r="G2850" s="75" t="n">
        <v>1502</v>
      </c>
      <c r="H2850" s="76" t="n">
        <v>3574000</v>
      </c>
      <c r="I2850" s="75" t="inlineStr">
        <is>
          <t>3월 인쇄물 제작 - G인쇄</t>
        </is>
      </c>
      <c r="J2850" s="75" t="inlineStr">
        <is>
          <t>V10004</t>
        </is>
      </c>
      <c r="K2850" s="75" t="inlineStr">
        <is>
          <t>G인쇄</t>
        </is>
      </c>
      <c r="M2850" s="9">
        <f>IF($A2850="","",VALUE($A2850&amp;"")*12+VALUE($B2850&amp;""))</f>
        <v/>
      </c>
      <c r="N2850" s="39">
        <f>IF($A2850="","",IFERROR(INDEX(부서매핑!$C$5:$C$504,MATCH($G2850&amp;"",부서매핑!$A$5:$A$504,0)),"미매핑"))</f>
        <v/>
      </c>
      <c r="O2850" s="9">
        <f>IF($A2850="","",N2850&amp;"|"&amp;$F2850)</f>
        <v/>
      </c>
      <c r="P2850" s="77">
        <f>IF($A2850="",0,$H2850*설정!$C$23)</f>
        <v/>
      </c>
      <c r="Q2850" s="39">
        <f>IF($A2850="","",IF(O2850&lt;&gt;원인분석!$C$9,"",IF(AND(M2850&gt;=원인분석!$C$10,M2850&lt;=원인분석!$C$11),"당기",IF(AND(M2850&gt;=원인분석!$C$12,M2850&lt;=원인분석!$C$13),"비교",""))))</f>
        <v/>
      </c>
      <c r="R2850" s="9">
        <f>IF(Q2850="","",$K2850&amp;"")</f>
        <v/>
      </c>
      <c r="S2850" s="9">
        <f>IF(Q2850="","",IF(MATCH(R2850,$R$5:$R$100000,0)=ROW()-4,ROW(),""))</f>
        <v/>
      </c>
      <c r="T2850" s="9">
        <f>IF(Q2850="당기",ABS(P2850)+ROW()/1000000000,"")</f>
        <v/>
      </c>
      <c r="U2850" s="9">
        <f>IF(Q2850="비교",ABS(P2850)+ROW()/1000000000,"")</f>
        <v/>
      </c>
      <c r="V2850" s="39">
        <f>IF($A2850="","",IF(COUNTIF(변동분석!$E$7:$E$506,O2850)&gt;0,"Y","N"))</f>
        <v/>
      </c>
      <c r="W2850" s="39">
        <f>IF($A2850="","",IFERROR(INDEX(계정매핑!$D$5:$D$504,MATCH($F2850&amp;"",계정매핑!$A$5:$A$504,0)),"미매핑"))</f>
        <v/>
      </c>
      <c r="X2850" s="9">
        <f>IF($A2850="","",$F2850&amp;"")</f>
        <v/>
      </c>
    </row>
    <row r="2851">
      <c r="A2851" s="75" t="n">
        <v>2026</v>
      </c>
      <c r="B2851" s="75" t="n">
        <v>3</v>
      </c>
      <c r="C2851" s="75" t="inlineStr">
        <is>
          <t>5100000507</t>
        </is>
      </c>
      <c r="D2851" s="78" t="n">
        <v>46097</v>
      </c>
      <c r="E2851" s="75" t="inlineStr">
        <is>
          <t>KR</t>
        </is>
      </c>
      <c r="F2851" s="75" t="n">
        <v>62401000</v>
      </c>
      <c r="G2851" s="75" t="n">
        <v>1801</v>
      </c>
      <c r="H2851" s="76" t="n">
        <v>2435000</v>
      </c>
      <c r="I2851" s="75" t="inlineStr">
        <is>
          <t>3월 인쇄물 제작 - S출판</t>
        </is>
      </c>
      <c r="J2851" s="75" t="inlineStr">
        <is>
          <t>V10012</t>
        </is>
      </c>
      <c r="K2851" s="75" t="inlineStr">
        <is>
          <t>S출판</t>
        </is>
      </c>
      <c r="M2851" s="9">
        <f>IF($A2851="","",VALUE($A2851&amp;"")*12+VALUE($B2851&amp;""))</f>
        <v/>
      </c>
      <c r="N2851" s="39">
        <f>IF($A2851="","",IFERROR(INDEX(부서매핑!$C$5:$C$504,MATCH($G2851&amp;"",부서매핑!$A$5:$A$504,0)),"미매핑"))</f>
        <v/>
      </c>
      <c r="O2851" s="9">
        <f>IF($A2851="","",N2851&amp;"|"&amp;$F2851)</f>
        <v/>
      </c>
      <c r="P2851" s="77">
        <f>IF($A2851="",0,$H2851*설정!$C$23)</f>
        <v/>
      </c>
      <c r="Q2851" s="39">
        <f>IF($A2851="","",IF(O2851&lt;&gt;원인분석!$C$9,"",IF(AND(M2851&gt;=원인분석!$C$10,M2851&lt;=원인분석!$C$11),"당기",IF(AND(M2851&gt;=원인분석!$C$12,M2851&lt;=원인분석!$C$13),"비교",""))))</f>
        <v/>
      </c>
      <c r="R2851" s="9">
        <f>IF(Q2851="","",$K2851&amp;"")</f>
        <v/>
      </c>
      <c r="S2851" s="9">
        <f>IF(Q2851="","",IF(MATCH(R2851,$R$5:$R$100000,0)=ROW()-4,ROW(),""))</f>
        <v/>
      </c>
      <c r="T2851" s="9">
        <f>IF(Q2851="당기",ABS(P2851)+ROW()/1000000000,"")</f>
        <v/>
      </c>
      <c r="U2851" s="9">
        <f>IF(Q2851="비교",ABS(P2851)+ROW()/1000000000,"")</f>
        <v/>
      </c>
      <c r="V2851" s="39">
        <f>IF($A2851="","",IF(COUNTIF(변동분석!$E$7:$E$506,O2851)&gt;0,"Y","N"))</f>
        <v/>
      </c>
      <c r="W2851" s="39">
        <f>IF($A2851="","",IFERROR(INDEX(계정매핑!$D$5:$D$504,MATCH($F2851&amp;"",계정매핑!$A$5:$A$504,0)),"미매핑"))</f>
        <v/>
      </c>
      <c r="X2851" s="9">
        <f>IF($A2851="","",$F2851&amp;"")</f>
        <v/>
      </c>
    </row>
    <row r="2852">
      <c r="A2852" s="75" t="n">
        <v>2026</v>
      </c>
      <c r="B2852" s="75" t="n">
        <v>3</v>
      </c>
      <c r="C2852" s="75" t="inlineStr">
        <is>
          <t>5100000508</t>
        </is>
      </c>
      <c r="D2852" s="78" t="n">
        <v>46098</v>
      </c>
      <c r="E2852" s="75" t="inlineStr">
        <is>
          <t>KR</t>
        </is>
      </c>
      <c r="F2852" s="75" t="n">
        <v>62102000</v>
      </c>
      <c r="G2852" s="75" t="n">
        <v>1201</v>
      </c>
      <c r="H2852" s="76" t="n">
        <v>55000</v>
      </c>
      <c r="I2852" s="75" t="inlineStr">
        <is>
          <t>3월 해외출장 - M항공</t>
        </is>
      </c>
      <c r="J2852" s="75" t="inlineStr">
        <is>
          <t>V10001</t>
        </is>
      </c>
      <c r="K2852" s="75" t="inlineStr">
        <is>
          <t>M항공</t>
        </is>
      </c>
      <c r="M2852" s="9">
        <f>IF($A2852="","",VALUE($A2852&amp;"")*12+VALUE($B2852&amp;""))</f>
        <v/>
      </c>
      <c r="N2852" s="39">
        <f>IF($A2852="","",IFERROR(INDEX(부서매핑!$C$5:$C$504,MATCH($G2852&amp;"",부서매핑!$A$5:$A$504,0)),"미매핑"))</f>
        <v/>
      </c>
      <c r="O2852" s="9">
        <f>IF($A2852="","",N2852&amp;"|"&amp;$F2852)</f>
        <v/>
      </c>
      <c r="P2852" s="77">
        <f>IF($A2852="",0,$H2852*설정!$C$23)</f>
        <v/>
      </c>
      <c r="Q2852" s="39">
        <f>IF($A2852="","",IF(O2852&lt;&gt;원인분석!$C$9,"",IF(AND(M2852&gt;=원인분석!$C$10,M2852&lt;=원인분석!$C$11),"당기",IF(AND(M2852&gt;=원인분석!$C$12,M2852&lt;=원인분석!$C$13),"비교",""))))</f>
        <v/>
      </c>
      <c r="R2852" s="9">
        <f>IF(Q2852="","",$K2852&amp;"")</f>
        <v/>
      </c>
      <c r="S2852" s="9">
        <f>IF(Q2852="","",IF(MATCH(R2852,$R$5:$R$100000,0)=ROW()-4,ROW(),""))</f>
        <v/>
      </c>
      <c r="T2852" s="9">
        <f>IF(Q2852="당기",ABS(P2852)+ROW()/1000000000,"")</f>
        <v/>
      </c>
      <c r="U2852" s="9">
        <f>IF(Q2852="비교",ABS(P2852)+ROW()/1000000000,"")</f>
        <v/>
      </c>
      <c r="V2852" s="39">
        <f>IF($A2852="","",IF(COUNTIF(변동분석!$E$7:$E$506,O2852)&gt;0,"Y","N"))</f>
        <v/>
      </c>
      <c r="W2852" s="39">
        <f>IF($A2852="","",IFERROR(INDEX(계정매핑!$D$5:$D$504,MATCH($F2852&amp;"",계정매핑!$A$5:$A$504,0)),"미매핑"))</f>
        <v/>
      </c>
      <c r="X2852" s="9">
        <f>IF($A2852="","",$F2852&amp;"")</f>
        <v/>
      </c>
    </row>
    <row r="2853">
      <c r="A2853" s="75" t="n">
        <v>2026</v>
      </c>
      <c r="B2853" s="75" t="n">
        <v>3</v>
      </c>
      <c r="C2853" s="75" t="inlineStr">
        <is>
          <t>5100000509</t>
        </is>
      </c>
      <c r="D2853" s="78" t="n">
        <v>46098</v>
      </c>
      <c r="E2853" s="75" t="inlineStr">
        <is>
          <t>KR</t>
        </is>
      </c>
      <c r="F2853" s="75" t="n">
        <v>62102000</v>
      </c>
      <c r="G2853" s="75" t="n">
        <v>1301</v>
      </c>
      <c r="H2853" s="76" t="n">
        <v>82000</v>
      </c>
      <c r="I2853" s="75" t="inlineStr">
        <is>
          <t>3월 해외출장 - N호텔</t>
        </is>
      </c>
      <c r="J2853" s="75" t="inlineStr">
        <is>
          <t>V10007</t>
        </is>
      </c>
      <c r="K2853" s="75" t="inlineStr">
        <is>
          <t>N호텔</t>
        </is>
      </c>
      <c r="M2853" s="9">
        <f>IF($A2853="","",VALUE($A2853&amp;"")*12+VALUE($B2853&amp;""))</f>
        <v/>
      </c>
      <c r="N2853" s="39">
        <f>IF($A2853="","",IFERROR(INDEX(부서매핑!$C$5:$C$504,MATCH($G2853&amp;"",부서매핑!$A$5:$A$504,0)),"미매핑"))</f>
        <v/>
      </c>
      <c r="O2853" s="9">
        <f>IF($A2853="","",N2853&amp;"|"&amp;$F2853)</f>
        <v/>
      </c>
      <c r="P2853" s="77">
        <f>IF($A2853="",0,$H2853*설정!$C$23)</f>
        <v/>
      </c>
      <c r="Q2853" s="39">
        <f>IF($A2853="","",IF(O2853&lt;&gt;원인분석!$C$9,"",IF(AND(M2853&gt;=원인분석!$C$10,M2853&lt;=원인분석!$C$11),"당기",IF(AND(M2853&gt;=원인분석!$C$12,M2853&lt;=원인분석!$C$13),"비교",""))))</f>
        <v/>
      </c>
      <c r="R2853" s="9">
        <f>IF(Q2853="","",$K2853&amp;"")</f>
        <v/>
      </c>
      <c r="S2853" s="9">
        <f>IF(Q2853="","",IF(MATCH(R2853,$R$5:$R$100000,0)=ROW()-4,ROW(),""))</f>
        <v/>
      </c>
      <c r="T2853" s="9">
        <f>IF(Q2853="당기",ABS(P2853)+ROW()/1000000000,"")</f>
        <v/>
      </c>
      <c r="U2853" s="9">
        <f>IF(Q2853="비교",ABS(P2853)+ROW()/1000000000,"")</f>
        <v/>
      </c>
      <c r="V2853" s="39">
        <f>IF($A2853="","",IF(COUNTIF(변동분석!$E$7:$E$506,O2853)&gt;0,"Y","N"))</f>
        <v/>
      </c>
      <c r="W2853" s="39">
        <f>IF($A2853="","",IFERROR(INDEX(계정매핑!$D$5:$D$504,MATCH($F2853&amp;"",계정매핑!$A$5:$A$504,0)),"미매핑"))</f>
        <v/>
      </c>
      <c r="X2853" s="9">
        <f>IF($A2853="","",$F2853&amp;"")</f>
        <v/>
      </c>
    </row>
    <row r="2854">
      <c r="A2854" s="75" t="n">
        <v>2026</v>
      </c>
      <c r="B2854" s="75" t="n">
        <v>3</v>
      </c>
      <c r="C2854" s="75" t="inlineStr">
        <is>
          <t>5100000510</t>
        </is>
      </c>
      <c r="D2854" s="78" t="n">
        <v>46098</v>
      </c>
      <c r="E2854" s="75" t="inlineStr">
        <is>
          <t>KR</t>
        </is>
      </c>
      <c r="F2854" s="75" t="n">
        <v>62102000</v>
      </c>
      <c r="G2854" s="75" t="n">
        <v>1701</v>
      </c>
      <c r="H2854" s="76" t="n">
        <v>42000</v>
      </c>
      <c r="I2854" s="75" t="inlineStr">
        <is>
          <t>3월 해외출장 - M항공</t>
        </is>
      </c>
      <c r="J2854" s="75" t="inlineStr">
        <is>
          <t>V10001</t>
        </is>
      </c>
      <c r="K2854" s="75" t="inlineStr">
        <is>
          <t>M항공</t>
        </is>
      </c>
      <c r="M2854" s="9">
        <f>IF($A2854="","",VALUE($A2854&amp;"")*12+VALUE($B2854&amp;""))</f>
        <v/>
      </c>
      <c r="N2854" s="39">
        <f>IF($A2854="","",IFERROR(INDEX(부서매핑!$C$5:$C$504,MATCH($G2854&amp;"",부서매핑!$A$5:$A$504,0)),"미매핑"))</f>
        <v/>
      </c>
      <c r="O2854" s="9">
        <f>IF($A2854="","",N2854&amp;"|"&amp;$F2854)</f>
        <v/>
      </c>
      <c r="P2854" s="77">
        <f>IF($A2854="",0,$H2854*설정!$C$23)</f>
        <v/>
      </c>
      <c r="Q2854" s="39">
        <f>IF($A2854="","",IF(O2854&lt;&gt;원인분석!$C$9,"",IF(AND(M2854&gt;=원인분석!$C$10,M2854&lt;=원인분석!$C$11),"당기",IF(AND(M2854&gt;=원인분석!$C$12,M2854&lt;=원인분석!$C$13),"비교",""))))</f>
        <v/>
      </c>
      <c r="R2854" s="9">
        <f>IF(Q2854="","",$K2854&amp;"")</f>
        <v/>
      </c>
      <c r="S2854" s="9">
        <f>IF(Q2854="","",IF(MATCH(R2854,$R$5:$R$100000,0)=ROW()-4,ROW(),""))</f>
        <v/>
      </c>
      <c r="T2854" s="9">
        <f>IF(Q2854="당기",ABS(P2854)+ROW()/1000000000,"")</f>
        <v/>
      </c>
      <c r="U2854" s="9">
        <f>IF(Q2854="비교",ABS(P2854)+ROW()/1000000000,"")</f>
        <v/>
      </c>
      <c r="V2854" s="39">
        <f>IF($A2854="","",IF(COUNTIF(변동분석!$E$7:$E$506,O2854)&gt;0,"Y","N"))</f>
        <v/>
      </c>
      <c r="W2854" s="39">
        <f>IF($A2854="","",IFERROR(INDEX(계정매핑!$D$5:$D$504,MATCH($F2854&amp;"",계정매핑!$A$5:$A$504,0)),"미매핑"))</f>
        <v/>
      </c>
      <c r="X2854" s="9">
        <f>IF($A2854="","",$F2854&amp;"")</f>
        <v/>
      </c>
    </row>
    <row r="2855">
      <c r="A2855" s="75" t="n">
        <v>2026</v>
      </c>
      <c r="B2855" s="75" t="n">
        <v>3</v>
      </c>
      <c r="C2855" s="75" t="inlineStr">
        <is>
          <t>5100000511</t>
        </is>
      </c>
      <c r="D2855" s="78" t="n">
        <v>46098</v>
      </c>
      <c r="E2855" s="75" t="inlineStr">
        <is>
          <t>KR</t>
        </is>
      </c>
      <c r="F2855" s="75" t="n">
        <v>62501000</v>
      </c>
      <c r="G2855" s="75" t="n">
        <v>1301</v>
      </c>
      <c r="H2855" s="76" t="n">
        <v>204000</v>
      </c>
      <c r="I2855" s="75" t="inlineStr">
        <is>
          <t>3월 회의 다과 - T케이터링</t>
        </is>
      </c>
      <c r="J2855" s="75" t="inlineStr">
        <is>
          <t>V10005</t>
        </is>
      </c>
      <c r="K2855" s="75" t="inlineStr">
        <is>
          <t>T케이터링</t>
        </is>
      </c>
      <c r="M2855" s="9">
        <f>IF($A2855="","",VALUE($A2855&amp;"")*12+VALUE($B2855&amp;""))</f>
        <v/>
      </c>
      <c r="N2855" s="39">
        <f>IF($A2855="","",IFERROR(INDEX(부서매핑!$C$5:$C$504,MATCH($G2855&amp;"",부서매핑!$A$5:$A$504,0)),"미매핑"))</f>
        <v/>
      </c>
      <c r="O2855" s="9">
        <f>IF($A2855="","",N2855&amp;"|"&amp;$F2855)</f>
        <v/>
      </c>
      <c r="P2855" s="77">
        <f>IF($A2855="",0,$H2855*설정!$C$23)</f>
        <v/>
      </c>
      <c r="Q2855" s="39">
        <f>IF($A2855="","",IF(O2855&lt;&gt;원인분석!$C$9,"",IF(AND(M2855&gt;=원인분석!$C$10,M2855&lt;=원인분석!$C$11),"당기",IF(AND(M2855&gt;=원인분석!$C$12,M2855&lt;=원인분석!$C$13),"비교",""))))</f>
        <v/>
      </c>
      <c r="R2855" s="9">
        <f>IF(Q2855="","",$K2855&amp;"")</f>
        <v/>
      </c>
      <c r="S2855" s="9">
        <f>IF(Q2855="","",IF(MATCH(R2855,$R$5:$R$100000,0)=ROW()-4,ROW(),""))</f>
        <v/>
      </c>
      <c r="T2855" s="9">
        <f>IF(Q2855="당기",ABS(P2855)+ROW()/1000000000,"")</f>
        <v/>
      </c>
      <c r="U2855" s="9">
        <f>IF(Q2855="비교",ABS(P2855)+ROW()/1000000000,"")</f>
        <v/>
      </c>
      <c r="V2855" s="39">
        <f>IF($A2855="","",IF(COUNTIF(변동분석!$E$7:$E$506,O2855)&gt;0,"Y","N"))</f>
        <v/>
      </c>
      <c r="W2855" s="39">
        <f>IF($A2855="","",IFERROR(INDEX(계정매핑!$D$5:$D$504,MATCH($F2855&amp;"",계정매핑!$A$5:$A$504,0)),"미매핑"))</f>
        <v/>
      </c>
      <c r="X2855" s="9">
        <f>IF($A2855="","",$F2855&amp;"")</f>
        <v/>
      </c>
    </row>
    <row r="2856">
      <c r="A2856" s="75" t="n">
        <v>2026</v>
      </c>
      <c r="B2856" s="75" t="n">
        <v>3</v>
      </c>
      <c r="C2856" s="75" t="inlineStr">
        <is>
          <t>5100000512</t>
        </is>
      </c>
      <c r="D2856" s="78" t="n">
        <v>46098</v>
      </c>
      <c r="E2856" s="75" t="inlineStr">
        <is>
          <t>KR</t>
        </is>
      </c>
      <c r="F2856" s="75" t="n">
        <v>62501000</v>
      </c>
      <c r="G2856" s="75" t="n">
        <v>1401</v>
      </c>
      <c r="H2856" s="76" t="n">
        <v>357000</v>
      </c>
      <c r="I2856" s="75" t="inlineStr">
        <is>
          <t>3월 회의 다과 - T케이터링</t>
        </is>
      </c>
      <c r="J2856" s="75" t="inlineStr">
        <is>
          <t>V10005</t>
        </is>
      </c>
      <c r="K2856" s="75" t="inlineStr">
        <is>
          <t>T케이터링</t>
        </is>
      </c>
      <c r="M2856" s="9">
        <f>IF($A2856="","",VALUE($A2856&amp;"")*12+VALUE($B2856&amp;""))</f>
        <v/>
      </c>
      <c r="N2856" s="39">
        <f>IF($A2856="","",IFERROR(INDEX(부서매핑!$C$5:$C$504,MATCH($G2856&amp;"",부서매핑!$A$5:$A$504,0)),"미매핑"))</f>
        <v/>
      </c>
      <c r="O2856" s="9">
        <f>IF($A2856="","",N2856&amp;"|"&amp;$F2856)</f>
        <v/>
      </c>
      <c r="P2856" s="77">
        <f>IF($A2856="",0,$H2856*설정!$C$23)</f>
        <v/>
      </c>
      <c r="Q2856" s="39">
        <f>IF($A2856="","",IF(O2856&lt;&gt;원인분석!$C$9,"",IF(AND(M2856&gt;=원인분석!$C$10,M2856&lt;=원인분석!$C$11),"당기",IF(AND(M2856&gt;=원인분석!$C$12,M2856&lt;=원인분석!$C$13),"비교",""))))</f>
        <v/>
      </c>
      <c r="R2856" s="9">
        <f>IF(Q2856="","",$K2856&amp;"")</f>
        <v/>
      </c>
      <c r="S2856" s="9">
        <f>IF(Q2856="","",IF(MATCH(R2856,$R$5:$R$100000,0)=ROW()-4,ROW(),""))</f>
        <v/>
      </c>
      <c r="T2856" s="9">
        <f>IF(Q2856="당기",ABS(P2856)+ROW()/1000000000,"")</f>
        <v/>
      </c>
      <c r="U2856" s="9">
        <f>IF(Q2856="비교",ABS(P2856)+ROW()/1000000000,"")</f>
        <v/>
      </c>
      <c r="V2856" s="39">
        <f>IF($A2856="","",IF(COUNTIF(변동분석!$E$7:$E$506,O2856)&gt;0,"Y","N"))</f>
        <v/>
      </c>
      <c r="W2856" s="39">
        <f>IF($A2856="","",IFERROR(INDEX(계정매핑!$D$5:$D$504,MATCH($F2856&amp;"",계정매핑!$A$5:$A$504,0)),"미매핑"))</f>
        <v/>
      </c>
      <c r="X2856" s="9">
        <f>IF($A2856="","",$F2856&amp;"")</f>
        <v/>
      </c>
    </row>
    <row r="2857">
      <c r="A2857" s="75" t="n">
        <v>2026</v>
      </c>
      <c r="B2857" s="75" t="n">
        <v>3</v>
      </c>
      <c r="C2857" s="75" t="inlineStr">
        <is>
          <t>5100000513</t>
        </is>
      </c>
      <c r="D2857" s="78" t="n">
        <v>46098</v>
      </c>
      <c r="E2857" s="75" t="inlineStr">
        <is>
          <t>KR</t>
        </is>
      </c>
      <c r="F2857" s="75" t="n">
        <v>62902000</v>
      </c>
      <c r="G2857" s="75" t="n">
        <v>1801</v>
      </c>
      <c r="H2857" s="76" t="n">
        <v>1853000</v>
      </c>
      <c r="I2857" s="75" t="inlineStr">
        <is>
          <t>3월 콜 위탁 수수료(건별)</t>
        </is>
      </c>
      <c r="J2857" s="75" t="inlineStr">
        <is>
          <t>V10013</t>
        </is>
      </c>
      <c r="K2857" s="75" t="inlineStr">
        <is>
          <t>J콜센터</t>
        </is>
      </c>
      <c r="M2857" s="9">
        <f>IF($A2857="","",VALUE($A2857&amp;"")*12+VALUE($B2857&amp;""))</f>
        <v/>
      </c>
      <c r="N2857" s="39">
        <f>IF($A2857="","",IFERROR(INDEX(부서매핑!$C$5:$C$504,MATCH($G2857&amp;"",부서매핑!$A$5:$A$504,0)),"미매핑"))</f>
        <v/>
      </c>
      <c r="O2857" s="9">
        <f>IF($A2857="","",N2857&amp;"|"&amp;$F2857)</f>
        <v/>
      </c>
      <c r="P2857" s="77">
        <f>IF($A2857="",0,$H2857*설정!$C$23)</f>
        <v/>
      </c>
      <c r="Q2857" s="39">
        <f>IF($A2857="","",IF(O2857&lt;&gt;원인분석!$C$9,"",IF(AND(M2857&gt;=원인분석!$C$10,M2857&lt;=원인분석!$C$11),"당기",IF(AND(M2857&gt;=원인분석!$C$12,M2857&lt;=원인분석!$C$13),"비교",""))))</f>
        <v/>
      </c>
      <c r="R2857" s="9">
        <f>IF(Q2857="","",$K2857&amp;"")</f>
        <v/>
      </c>
      <c r="S2857" s="9">
        <f>IF(Q2857="","",IF(MATCH(R2857,$R$5:$R$100000,0)=ROW()-4,ROW(),""))</f>
        <v/>
      </c>
      <c r="T2857" s="9">
        <f>IF(Q2857="당기",ABS(P2857)+ROW()/1000000000,"")</f>
        <v/>
      </c>
      <c r="U2857" s="9">
        <f>IF(Q2857="비교",ABS(P2857)+ROW()/1000000000,"")</f>
        <v/>
      </c>
      <c r="V2857" s="39">
        <f>IF($A2857="","",IF(COUNTIF(변동분석!$E$7:$E$506,O2857)&gt;0,"Y","N"))</f>
        <v/>
      </c>
      <c r="W2857" s="39">
        <f>IF($A2857="","",IFERROR(INDEX(계정매핑!$D$5:$D$504,MATCH($F2857&amp;"",계정매핑!$A$5:$A$504,0)),"미매핑"))</f>
        <v/>
      </c>
      <c r="X2857" s="9">
        <f>IF($A2857="","",$F2857&amp;"")</f>
        <v/>
      </c>
    </row>
    <row r="2858">
      <c r="A2858" s="75" t="n">
        <v>2026</v>
      </c>
      <c r="B2858" s="75" t="n">
        <v>3</v>
      </c>
      <c r="C2858" s="75" t="inlineStr">
        <is>
          <t>5100000514</t>
        </is>
      </c>
      <c r="D2858" s="78" t="n">
        <v>46098</v>
      </c>
      <c r="E2858" s="75" t="inlineStr">
        <is>
          <t>KR</t>
        </is>
      </c>
      <c r="F2858" s="75" t="n">
        <v>63201000</v>
      </c>
      <c r="G2858" s="75" t="n">
        <v>1601</v>
      </c>
      <c r="H2858" s="76" t="n">
        <v>6142000</v>
      </c>
      <c r="I2858" s="75" t="inlineStr">
        <is>
          <t>3월 차량 유지 - D정비</t>
        </is>
      </c>
      <c r="J2858" s="75" t="inlineStr">
        <is>
          <t>V10022</t>
        </is>
      </c>
      <c r="K2858" s="75" t="inlineStr">
        <is>
          <t>D정비</t>
        </is>
      </c>
      <c r="M2858" s="9">
        <f>IF($A2858="","",VALUE($A2858&amp;"")*12+VALUE($B2858&amp;""))</f>
        <v/>
      </c>
      <c r="N2858" s="39">
        <f>IF($A2858="","",IFERROR(INDEX(부서매핑!$C$5:$C$504,MATCH($G2858&amp;"",부서매핑!$A$5:$A$504,0)),"미매핑"))</f>
        <v/>
      </c>
      <c r="O2858" s="9">
        <f>IF($A2858="","",N2858&amp;"|"&amp;$F2858)</f>
        <v/>
      </c>
      <c r="P2858" s="77">
        <f>IF($A2858="",0,$H2858*설정!$C$23)</f>
        <v/>
      </c>
      <c r="Q2858" s="39">
        <f>IF($A2858="","",IF(O2858&lt;&gt;원인분석!$C$9,"",IF(AND(M2858&gt;=원인분석!$C$10,M2858&lt;=원인분석!$C$11),"당기",IF(AND(M2858&gt;=원인분석!$C$12,M2858&lt;=원인분석!$C$13),"비교",""))))</f>
        <v/>
      </c>
      <c r="R2858" s="9">
        <f>IF(Q2858="","",$K2858&amp;"")</f>
        <v/>
      </c>
      <c r="S2858" s="9">
        <f>IF(Q2858="","",IF(MATCH(R2858,$R$5:$R$100000,0)=ROW()-4,ROW(),""))</f>
        <v/>
      </c>
      <c r="T2858" s="9">
        <f>IF(Q2858="당기",ABS(P2858)+ROW()/1000000000,"")</f>
        <v/>
      </c>
      <c r="U2858" s="9">
        <f>IF(Q2858="비교",ABS(P2858)+ROW()/1000000000,"")</f>
        <v/>
      </c>
      <c r="V2858" s="39">
        <f>IF($A2858="","",IF(COUNTIF(변동분석!$E$7:$E$506,O2858)&gt;0,"Y","N"))</f>
        <v/>
      </c>
      <c r="W2858" s="39">
        <f>IF($A2858="","",IFERROR(INDEX(계정매핑!$D$5:$D$504,MATCH($F2858&amp;"",계정매핑!$A$5:$A$504,0)),"미매핑"))</f>
        <v/>
      </c>
      <c r="X2858" s="9">
        <f>IF($A2858="","",$F2858&amp;"")</f>
        <v/>
      </c>
    </row>
    <row r="2859">
      <c r="A2859" s="75" t="n">
        <v>2026</v>
      </c>
      <c r="B2859" s="75" t="n">
        <v>3</v>
      </c>
      <c r="C2859" s="75" t="inlineStr">
        <is>
          <t>5100000515</t>
        </is>
      </c>
      <c r="D2859" s="78" t="n">
        <v>46099</v>
      </c>
      <c r="E2859" s="75" t="inlineStr">
        <is>
          <t>KR</t>
        </is>
      </c>
      <c r="F2859" s="75" t="n">
        <v>62101000</v>
      </c>
      <c r="G2859" s="75" t="n">
        <v>1401</v>
      </c>
      <c r="H2859" s="76" t="n">
        <v>254000</v>
      </c>
      <c r="I2859" s="75" t="inlineStr">
        <is>
          <t>3월 국내출장 - L여행사</t>
        </is>
      </c>
      <c r="J2859" s="75" t="inlineStr">
        <is>
          <t>V10014</t>
        </is>
      </c>
      <c r="K2859" s="75" t="inlineStr">
        <is>
          <t>L여행사</t>
        </is>
      </c>
      <c r="M2859" s="9">
        <f>IF($A2859="","",VALUE($A2859&amp;"")*12+VALUE($B2859&amp;""))</f>
        <v/>
      </c>
      <c r="N2859" s="39">
        <f>IF($A2859="","",IFERROR(INDEX(부서매핑!$C$5:$C$504,MATCH($G2859&amp;"",부서매핑!$A$5:$A$504,0)),"미매핑"))</f>
        <v/>
      </c>
      <c r="O2859" s="9">
        <f>IF($A2859="","",N2859&amp;"|"&amp;$F2859)</f>
        <v/>
      </c>
      <c r="P2859" s="77">
        <f>IF($A2859="",0,$H2859*설정!$C$23)</f>
        <v/>
      </c>
      <c r="Q2859" s="39">
        <f>IF($A2859="","",IF(O2859&lt;&gt;원인분석!$C$9,"",IF(AND(M2859&gt;=원인분석!$C$10,M2859&lt;=원인분석!$C$11),"당기",IF(AND(M2859&gt;=원인분석!$C$12,M2859&lt;=원인분석!$C$13),"비교",""))))</f>
        <v/>
      </c>
      <c r="R2859" s="9">
        <f>IF(Q2859="","",$K2859&amp;"")</f>
        <v/>
      </c>
      <c r="S2859" s="9">
        <f>IF(Q2859="","",IF(MATCH(R2859,$R$5:$R$100000,0)=ROW()-4,ROW(),""))</f>
        <v/>
      </c>
      <c r="T2859" s="9">
        <f>IF(Q2859="당기",ABS(P2859)+ROW()/1000000000,"")</f>
        <v/>
      </c>
      <c r="U2859" s="9">
        <f>IF(Q2859="비교",ABS(P2859)+ROW()/1000000000,"")</f>
        <v/>
      </c>
      <c r="V2859" s="39">
        <f>IF($A2859="","",IF(COUNTIF(변동분석!$E$7:$E$506,O2859)&gt;0,"Y","N"))</f>
        <v/>
      </c>
      <c r="W2859" s="39">
        <f>IF($A2859="","",IFERROR(INDEX(계정매핑!$D$5:$D$504,MATCH($F2859&amp;"",계정매핑!$A$5:$A$504,0)),"미매핑"))</f>
        <v/>
      </c>
      <c r="X2859" s="9">
        <f>IF($A2859="","",$F2859&amp;"")</f>
        <v/>
      </c>
    </row>
    <row r="2860">
      <c r="A2860" s="75" t="n">
        <v>2026</v>
      </c>
      <c r="B2860" s="75" t="n">
        <v>3</v>
      </c>
      <c r="C2860" s="75" t="inlineStr">
        <is>
          <t>5100000516</t>
        </is>
      </c>
      <c r="D2860" s="78" t="n">
        <v>46099</v>
      </c>
      <c r="E2860" s="75" t="inlineStr">
        <is>
          <t>KR</t>
        </is>
      </c>
      <c r="F2860" s="75" t="n">
        <v>62501000</v>
      </c>
      <c r="G2860" s="75" t="n">
        <v>1101</v>
      </c>
      <c r="H2860" s="76" t="n">
        <v>215000</v>
      </c>
      <c r="I2860" s="75" t="inlineStr">
        <is>
          <t>3월 회의 다과 - (법인카드)</t>
        </is>
      </c>
      <c r="J2860" s="75" t="inlineStr">
        <is>
          <t>V10008</t>
        </is>
      </c>
      <c r="K2860" s="75" t="inlineStr">
        <is>
          <t>(법인카드)</t>
        </is>
      </c>
      <c r="M2860" s="9">
        <f>IF($A2860="","",VALUE($A2860&amp;"")*12+VALUE($B2860&amp;""))</f>
        <v/>
      </c>
      <c r="N2860" s="39">
        <f>IF($A2860="","",IFERROR(INDEX(부서매핑!$C$5:$C$504,MATCH($G2860&amp;"",부서매핑!$A$5:$A$504,0)),"미매핑"))</f>
        <v/>
      </c>
      <c r="O2860" s="9">
        <f>IF($A2860="","",N2860&amp;"|"&amp;$F2860)</f>
        <v/>
      </c>
      <c r="P2860" s="77">
        <f>IF($A2860="",0,$H2860*설정!$C$23)</f>
        <v/>
      </c>
      <c r="Q2860" s="39">
        <f>IF($A2860="","",IF(O2860&lt;&gt;원인분석!$C$9,"",IF(AND(M2860&gt;=원인분석!$C$10,M2860&lt;=원인분석!$C$11),"당기",IF(AND(M2860&gt;=원인분석!$C$12,M2860&lt;=원인분석!$C$13),"비교",""))))</f>
        <v/>
      </c>
      <c r="R2860" s="9">
        <f>IF(Q2860="","",$K2860&amp;"")</f>
        <v/>
      </c>
      <c r="S2860" s="9">
        <f>IF(Q2860="","",IF(MATCH(R2860,$R$5:$R$100000,0)=ROW()-4,ROW(),""))</f>
        <v/>
      </c>
      <c r="T2860" s="9">
        <f>IF(Q2860="당기",ABS(P2860)+ROW()/1000000000,"")</f>
        <v/>
      </c>
      <c r="U2860" s="9">
        <f>IF(Q2860="비교",ABS(P2860)+ROW()/1000000000,"")</f>
        <v/>
      </c>
      <c r="V2860" s="39">
        <f>IF($A2860="","",IF(COUNTIF(변동분석!$E$7:$E$506,O2860)&gt;0,"Y","N"))</f>
        <v/>
      </c>
      <c r="W2860" s="39">
        <f>IF($A2860="","",IFERROR(INDEX(계정매핑!$D$5:$D$504,MATCH($F2860&amp;"",계정매핑!$A$5:$A$504,0)),"미매핑"))</f>
        <v/>
      </c>
      <c r="X2860" s="9">
        <f>IF($A2860="","",$F2860&amp;"")</f>
        <v/>
      </c>
    </row>
    <row r="2861">
      <c r="A2861" s="75" t="n">
        <v>2026</v>
      </c>
      <c r="B2861" s="75" t="n">
        <v>3</v>
      </c>
      <c r="C2861" s="75" t="inlineStr">
        <is>
          <t>5100000517</t>
        </is>
      </c>
      <c r="D2861" s="78" t="n">
        <v>46099</v>
      </c>
      <c r="E2861" s="75" t="inlineStr">
        <is>
          <t>KR</t>
        </is>
      </c>
      <c r="F2861" s="75" t="n">
        <v>62501000</v>
      </c>
      <c r="G2861" s="75" t="n">
        <v>1301</v>
      </c>
      <c r="H2861" s="76" t="n">
        <v>240000</v>
      </c>
      <c r="I2861" s="75" t="inlineStr">
        <is>
          <t>3월 회의 다과 - (법인카드)</t>
        </is>
      </c>
      <c r="J2861" s="75" t="inlineStr">
        <is>
          <t>V10008</t>
        </is>
      </c>
      <c r="K2861" s="75" t="inlineStr">
        <is>
          <t>(법인카드)</t>
        </is>
      </c>
      <c r="M2861" s="9">
        <f>IF($A2861="","",VALUE($A2861&amp;"")*12+VALUE($B2861&amp;""))</f>
        <v/>
      </c>
      <c r="N2861" s="39">
        <f>IF($A2861="","",IFERROR(INDEX(부서매핑!$C$5:$C$504,MATCH($G2861&amp;"",부서매핑!$A$5:$A$504,0)),"미매핑"))</f>
        <v/>
      </c>
      <c r="O2861" s="9">
        <f>IF($A2861="","",N2861&amp;"|"&amp;$F2861)</f>
        <v/>
      </c>
      <c r="P2861" s="77">
        <f>IF($A2861="",0,$H2861*설정!$C$23)</f>
        <v/>
      </c>
      <c r="Q2861" s="39">
        <f>IF($A2861="","",IF(O2861&lt;&gt;원인분석!$C$9,"",IF(AND(M2861&gt;=원인분석!$C$10,M2861&lt;=원인분석!$C$11),"당기",IF(AND(M2861&gt;=원인분석!$C$12,M2861&lt;=원인분석!$C$13),"비교",""))))</f>
        <v/>
      </c>
      <c r="R2861" s="9">
        <f>IF(Q2861="","",$K2861&amp;"")</f>
        <v/>
      </c>
      <c r="S2861" s="9">
        <f>IF(Q2861="","",IF(MATCH(R2861,$R$5:$R$100000,0)=ROW()-4,ROW(),""))</f>
        <v/>
      </c>
      <c r="T2861" s="9">
        <f>IF(Q2861="당기",ABS(P2861)+ROW()/1000000000,"")</f>
        <v/>
      </c>
      <c r="U2861" s="9">
        <f>IF(Q2861="비교",ABS(P2861)+ROW()/1000000000,"")</f>
        <v/>
      </c>
      <c r="V2861" s="39">
        <f>IF($A2861="","",IF(COUNTIF(변동분석!$E$7:$E$506,O2861)&gt;0,"Y","N"))</f>
        <v/>
      </c>
      <c r="W2861" s="39">
        <f>IF($A2861="","",IFERROR(INDEX(계정매핑!$D$5:$D$504,MATCH($F2861&amp;"",계정매핑!$A$5:$A$504,0)),"미매핑"))</f>
        <v/>
      </c>
      <c r="X2861" s="9">
        <f>IF($A2861="","",$F2861&amp;"")</f>
        <v/>
      </c>
    </row>
    <row r="2862">
      <c r="A2862" s="75" t="n">
        <v>2026</v>
      </c>
      <c r="B2862" s="75" t="n">
        <v>3</v>
      </c>
      <c r="C2862" s="75" t="inlineStr">
        <is>
          <t>5100000518</t>
        </is>
      </c>
      <c r="D2862" s="78" t="n">
        <v>46099</v>
      </c>
      <c r="E2862" s="75" t="inlineStr">
        <is>
          <t>KR</t>
        </is>
      </c>
      <c r="F2862" s="75" t="n">
        <v>62601000</v>
      </c>
      <c r="G2862" s="75" t="n">
        <v>1101</v>
      </c>
      <c r="H2862" s="76" t="n">
        <v>3442000</v>
      </c>
      <c r="I2862" s="75" t="inlineStr">
        <is>
          <t>3월 업무추진 - (법인카드)</t>
        </is>
      </c>
      <c r="J2862" s="75" t="inlineStr">
        <is>
          <t>V10008</t>
        </is>
      </c>
      <c r="K2862" s="75" t="inlineStr">
        <is>
          <t>(법인카드)</t>
        </is>
      </c>
      <c r="M2862" s="9">
        <f>IF($A2862="","",VALUE($A2862&amp;"")*12+VALUE($B2862&amp;""))</f>
        <v/>
      </c>
      <c r="N2862" s="39">
        <f>IF($A2862="","",IFERROR(INDEX(부서매핑!$C$5:$C$504,MATCH($G2862&amp;"",부서매핑!$A$5:$A$504,0)),"미매핑"))</f>
        <v/>
      </c>
      <c r="O2862" s="9">
        <f>IF($A2862="","",N2862&amp;"|"&amp;$F2862)</f>
        <v/>
      </c>
      <c r="P2862" s="77">
        <f>IF($A2862="",0,$H2862*설정!$C$23)</f>
        <v/>
      </c>
      <c r="Q2862" s="39">
        <f>IF($A2862="","",IF(O2862&lt;&gt;원인분석!$C$9,"",IF(AND(M2862&gt;=원인분석!$C$10,M2862&lt;=원인분석!$C$11),"당기",IF(AND(M2862&gt;=원인분석!$C$12,M2862&lt;=원인분석!$C$13),"비교",""))))</f>
        <v/>
      </c>
      <c r="R2862" s="9">
        <f>IF(Q2862="","",$K2862&amp;"")</f>
        <v/>
      </c>
      <c r="S2862" s="9">
        <f>IF(Q2862="","",IF(MATCH(R2862,$R$5:$R$100000,0)=ROW()-4,ROW(),""))</f>
        <v/>
      </c>
      <c r="T2862" s="9">
        <f>IF(Q2862="당기",ABS(P2862)+ROW()/1000000000,"")</f>
        <v/>
      </c>
      <c r="U2862" s="9">
        <f>IF(Q2862="비교",ABS(P2862)+ROW()/1000000000,"")</f>
        <v/>
      </c>
      <c r="V2862" s="39">
        <f>IF($A2862="","",IF(COUNTIF(변동분석!$E$7:$E$506,O2862)&gt;0,"Y","N"))</f>
        <v/>
      </c>
      <c r="W2862" s="39">
        <f>IF($A2862="","",IFERROR(INDEX(계정매핑!$D$5:$D$504,MATCH($F2862&amp;"",계정매핑!$A$5:$A$504,0)),"미매핑"))</f>
        <v/>
      </c>
      <c r="X2862" s="9">
        <f>IF($A2862="","",$F2862&amp;"")</f>
        <v/>
      </c>
    </row>
    <row r="2863">
      <c r="A2863" s="75" t="n">
        <v>2026</v>
      </c>
      <c r="B2863" s="75" t="n">
        <v>3</v>
      </c>
      <c r="C2863" s="75" t="inlineStr">
        <is>
          <t>5100000519</t>
        </is>
      </c>
      <c r="D2863" s="78" t="n">
        <v>46099</v>
      </c>
      <c r="E2863" s="75" t="inlineStr">
        <is>
          <t>KR</t>
        </is>
      </c>
      <c r="F2863" s="75" t="n">
        <v>62802000</v>
      </c>
      <c r="G2863" s="75" t="n">
        <v>1301</v>
      </c>
      <c r="H2863" s="76" t="n">
        <v>1619000</v>
      </c>
      <c r="I2863" s="75" t="inlineStr">
        <is>
          <t>3월 위탁교육 - V아카데미</t>
        </is>
      </c>
      <c r="J2863" s="75" t="inlineStr">
        <is>
          <t>V10023</t>
        </is>
      </c>
      <c r="K2863" s="75" t="inlineStr">
        <is>
          <t>V아카데미</t>
        </is>
      </c>
      <c r="M2863" s="9">
        <f>IF($A2863="","",VALUE($A2863&amp;"")*12+VALUE($B2863&amp;""))</f>
        <v/>
      </c>
      <c r="N2863" s="39">
        <f>IF($A2863="","",IFERROR(INDEX(부서매핑!$C$5:$C$504,MATCH($G2863&amp;"",부서매핑!$A$5:$A$504,0)),"미매핑"))</f>
        <v/>
      </c>
      <c r="O2863" s="9">
        <f>IF($A2863="","",N2863&amp;"|"&amp;$F2863)</f>
        <v/>
      </c>
      <c r="P2863" s="77">
        <f>IF($A2863="",0,$H2863*설정!$C$23)</f>
        <v/>
      </c>
      <c r="Q2863" s="39">
        <f>IF($A2863="","",IF(O2863&lt;&gt;원인분석!$C$9,"",IF(AND(M2863&gt;=원인분석!$C$10,M2863&lt;=원인분석!$C$11),"당기",IF(AND(M2863&gt;=원인분석!$C$12,M2863&lt;=원인분석!$C$13),"비교",""))))</f>
        <v/>
      </c>
      <c r="R2863" s="9">
        <f>IF(Q2863="","",$K2863&amp;"")</f>
        <v/>
      </c>
      <c r="S2863" s="9">
        <f>IF(Q2863="","",IF(MATCH(R2863,$R$5:$R$100000,0)=ROW()-4,ROW(),""))</f>
        <v/>
      </c>
      <c r="T2863" s="9">
        <f>IF(Q2863="당기",ABS(P2863)+ROW()/1000000000,"")</f>
        <v/>
      </c>
      <c r="U2863" s="9">
        <f>IF(Q2863="비교",ABS(P2863)+ROW()/1000000000,"")</f>
        <v/>
      </c>
      <c r="V2863" s="39">
        <f>IF($A2863="","",IF(COUNTIF(변동분석!$E$7:$E$506,O2863)&gt;0,"Y","N"))</f>
        <v/>
      </c>
      <c r="W2863" s="39">
        <f>IF($A2863="","",IFERROR(INDEX(계정매핑!$D$5:$D$504,MATCH($F2863&amp;"",계정매핑!$A$5:$A$504,0)),"미매핑"))</f>
        <v/>
      </c>
      <c r="X2863" s="9">
        <f>IF($A2863="","",$F2863&amp;"")</f>
        <v/>
      </c>
    </row>
    <row r="2864">
      <c r="A2864" s="75" t="n">
        <v>2026</v>
      </c>
      <c r="B2864" s="75" t="n">
        <v>3</v>
      </c>
      <c r="C2864" s="75" t="inlineStr">
        <is>
          <t>5100000520</t>
        </is>
      </c>
      <c r="D2864" s="78" t="n">
        <v>46099</v>
      </c>
      <c r="E2864" s="75" t="inlineStr">
        <is>
          <t>KR</t>
        </is>
      </c>
      <c r="F2864" s="75" t="n">
        <v>62902000</v>
      </c>
      <c r="G2864" s="75" t="n">
        <v>1801</v>
      </c>
      <c r="H2864" s="76" t="n">
        <v>1801000</v>
      </c>
      <c r="I2864" s="75" t="inlineStr">
        <is>
          <t>3월 콜 위탁 수수료(건별)</t>
        </is>
      </c>
      <c r="J2864" s="75" t="inlineStr">
        <is>
          <t>V10013</t>
        </is>
      </c>
      <c r="K2864" s="75" t="inlineStr">
        <is>
          <t>J콜센터</t>
        </is>
      </c>
      <c r="M2864" s="9">
        <f>IF($A2864="","",VALUE($A2864&amp;"")*12+VALUE($B2864&amp;""))</f>
        <v/>
      </c>
      <c r="N2864" s="39">
        <f>IF($A2864="","",IFERROR(INDEX(부서매핑!$C$5:$C$504,MATCH($G2864&amp;"",부서매핑!$A$5:$A$504,0)),"미매핑"))</f>
        <v/>
      </c>
      <c r="O2864" s="9">
        <f>IF($A2864="","",N2864&amp;"|"&amp;$F2864)</f>
        <v/>
      </c>
      <c r="P2864" s="77">
        <f>IF($A2864="",0,$H2864*설정!$C$23)</f>
        <v/>
      </c>
      <c r="Q2864" s="39">
        <f>IF($A2864="","",IF(O2864&lt;&gt;원인분석!$C$9,"",IF(AND(M2864&gt;=원인분석!$C$10,M2864&lt;=원인분석!$C$11),"당기",IF(AND(M2864&gt;=원인분석!$C$12,M2864&lt;=원인분석!$C$13),"비교",""))))</f>
        <v/>
      </c>
      <c r="R2864" s="9">
        <f>IF(Q2864="","",$K2864&amp;"")</f>
        <v/>
      </c>
      <c r="S2864" s="9">
        <f>IF(Q2864="","",IF(MATCH(R2864,$R$5:$R$100000,0)=ROW()-4,ROW(),""))</f>
        <v/>
      </c>
      <c r="T2864" s="9">
        <f>IF(Q2864="당기",ABS(P2864)+ROW()/1000000000,"")</f>
        <v/>
      </c>
      <c r="U2864" s="9">
        <f>IF(Q2864="비교",ABS(P2864)+ROW()/1000000000,"")</f>
        <v/>
      </c>
      <c r="V2864" s="39">
        <f>IF($A2864="","",IF(COUNTIF(변동분석!$E$7:$E$506,O2864)&gt;0,"Y","N"))</f>
        <v/>
      </c>
      <c r="W2864" s="39">
        <f>IF($A2864="","",IFERROR(INDEX(계정매핑!$D$5:$D$504,MATCH($F2864&amp;"",계정매핑!$A$5:$A$504,0)),"미매핑"))</f>
        <v/>
      </c>
      <c r="X2864" s="9">
        <f>IF($A2864="","",$F2864&amp;"")</f>
        <v/>
      </c>
    </row>
    <row r="2865">
      <c r="A2865" s="75" t="n">
        <v>2026</v>
      </c>
      <c r="B2865" s="75" t="n">
        <v>3</v>
      </c>
      <c r="C2865" s="75" t="inlineStr">
        <is>
          <t>5100000521</t>
        </is>
      </c>
      <c r="D2865" s="78" t="n">
        <v>46099</v>
      </c>
      <c r="E2865" s="75" t="inlineStr">
        <is>
          <t>KR</t>
        </is>
      </c>
      <c r="F2865" s="75" t="n">
        <v>63001000</v>
      </c>
      <c r="G2865" s="75" t="n">
        <v>1701</v>
      </c>
      <c r="H2865" s="76" t="n">
        <v>22019000</v>
      </c>
      <c r="I2865" s="75" t="inlineStr">
        <is>
          <t>3월 SW 유지보수 - Z시스템</t>
        </is>
      </c>
      <c r="J2865" s="75" t="inlineStr">
        <is>
          <t>V10021</t>
        </is>
      </c>
      <c r="K2865" s="75" t="inlineStr">
        <is>
          <t>Z시스템</t>
        </is>
      </c>
      <c r="M2865" s="9">
        <f>IF($A2865="","",VALUE($A2865&amp;"")*12+VALUE($B2865&amp;""))</f>
        <v/>
      </c>
      <c r="N2865" s="39">
        <f>IF($A2865="","",IFERROR(INDEX(부서매핑!$C$5:$C$504,MATCH($G2865&amp;"",부서매핑!$A$5:$A$504,0)),"미매핑"))</f>
        <v/>
      </c>
      <c r="O2865" s="9">
        <f>IF($A2865="","",N2865&amp;"|"&amp;$F2865)</f>
        <v/>
      </c>
      <c r="P2865" s="77">
        <f>IF($A2865="",0,$H2865*설정!$C$23)</f>
        <v/>
      </c>
      <c r="Q2865" s="39">
        <f>IF($A2865="","",IF(O2865&lt;&gt;원인분석!$C$9,"",IF(AND(M2865&gt;=원인분석!$C$10,M2865&lt;=원인분석!$C$11),"당기",IF(AND(M2865&gt;=원인분석!$C$12,M2865&lt;=원인분석!$C$13),"비교",""))))</f>
        <v/>
      </c>
      <c r="R2865" s="9">
        <f>IF(Q2865="","",$K2865&amp;"")</f>
        <v/>
      </c>
      <c r="S2865" s="9">
        <f>IF(Q2865="","",IF(MATCH(R2865,$R$5:$R$100000,0)=ROW()-4,ROW(),""))</f>
        <v/>
      </c>
      <c r="T2865" s="9">
        <f>IF(Q2865="당기",ABS(P2865)+ROW()/1000000000,"")</f>
        <v/>
      </c>
      <c r="U2865" s="9">
        <f>IF(Q2865="비교",ABS(P2865)+ROW()/1000000000,"")</f>
        <v/>
      </c>
      <c r="V2865" s="39">
        <f>IF($A2865="","",IF(COUNTIF(변동분석!$E$7:$E$506,O2865)&gt;0,"Y","N"))</f>
        <v/>
      </c>
      <c r="W2865" s="39">
        <f>IF($A2865="","",IFERROR(INDEX(계정매핑!$D$5:$D$504,MATCH($F2865&amp;"",계정매핑!$A$5:$A$504,0)),"미매핑"))</f>
        <v/>
      </c>
      <c r="X2865" s="9">
        <f>IF($A2865="","",$F2865&amp;"")</f>
        <v/>
      </c>
    </row>
    <row r="2866">
      <c r="A2866" s="75" t="n">
        <v>2026</v>
      </c>
      <c r="B2866" s="75" t="n">
        <v>3</v>
      </c>
      <c r="C2866" s="75" t="inlineStr">
        <is>
          <t>5100000522</t>
        </is>
      </c>
      <c r="D2866" s="78" t="n">
        <v>46100</v>
      </c>
      <c r="E2866" s="75" t="inlineStr">
        <is>
          <t>KR</t>
        </is>
      </c>
      <c r="F2866" s="75" t="n">
        <v>62101000</v>
      </c>
      <c r="G2866" s="75" t="n">
        <v>1301</v>
      </c>
      <c r="H2866" s="76" t="n">
        <v>373000</v>
      </c>
      <c r="I2866" s="75" t="inlineStr">
        <is>
          <t>3월 국내출장 - M항공</t>
        </is>
      </c>
      <c r="J2866" s="75" t="inlineStr">
        <is>
          <t>V10001</t>
        </is>
      </c>
      <c r="K2866" s="75" t="inlineStr">
        <is>
          <t>M항공</t>
        </is>
      </c>
      <c r="M2866" s="9">
        <f>IF($A2866="","",VALUE($A2866&amp;"")*12+VALUE($B2866&amp;""))</f>
        <v/>
      </c>
      <c r="N2866" s="39">
        <f>IF($A2866="","",IFERROR(INDEX(부서매핑!$C$5:$C$504,MATCH($G2866&amp;"",부서매핑!$A$5:$A$504,0)),"미매핑"))</f>
        <v/>
      </c>
      <c r="O2866" s="9">
        <f>IF($A2866="","",N2866&amp;"|"&amp;$F2866)</f>
        <v/>
      </c>
      <c r="P2866" s="77">
        <f>IF($A2866="",0,$H2866*설정!$C$23)</f>
        <v/>
      </c>
      <c r="Q2866" s="39">
        <f>IF($A2866="","",IF(O2866&lt;&gt;원인분석!$C$9,"",IF(AND(M2866&gt;=원인분석!$C$10,M2866&lt;=원인분석!$C$11),"당기",IF(AND(M2866&gt;=원인분석!$C$12,M2866&lt;=원인분석!$C$13),"비교",""))))</f>
        <v/>
      </c>
      <c r="R2866" s="9">
        <f>IF(Q2866="","",$K2866&amp;"")</f>
        <v/>
      </c>
      <c r="S2866" s="9">
        <f>IF(Q2866="","",IF(MATCH(R2866,$R$5:$R$100000,0)=ROW()-4,ROW(),""))</f>
        <v/>
      </c>
      <c r="T2866" s="9">
        <f>IF(Q2866="당기",ABS(P2866)+ROW()/1000000000,"")</f>
        <v/>
      </c>
      <c r="U2866" s="9">
        <f>IF(Q2866="비교",ABS(P2866)+ROW()/1000000000,"")</f>
        <v/>
      </c>
      <c r="V2866" s="39">
        <f>IF($A2866="","",IF(COUNTIF(변동분석!$E$7:$E$506,O2866)&gt;0,"Y","N"))</f>
        <v/>
      </c>
      <c r="W2866" s="39">
        <f>IF($A2866="","",IFERROR(INDEX(계정매핑!$D$5:$D$504,MATCH($F2866&amp;"",계정매핑!$A$5:$A$504,0)),"미매핑"))</f>
        <v/>
      </c>
      <c r="X2866" s="9">
        <f>IF($A2866="","",$F2866&amp;"")</f>
        <v/>
      </c>
    </row>
    <row r="2867">
      <c r="A2867" s="75" t="n">
        <v>2026</v>
      </c>
      <c r="B2867" s="75" t="n">
        <v>3</v>
      </c>
      <c r="C2867" s="75" t="inlineStr">
        <is>
          <t>5100000523</t>
        </is>
      </c>
      <c r="D2867" s="78" t="n">
        <v>46100</v>
      </c>
      <c r="E2867" s="75" t="inlineStr">
        <is>
          <t>KR</t>
        </is>
      </c>
      <c r="F2867" s="75" t="n">
        <v>62301000</v>
      </c>
      <c r="G2867" s="75" t="n">
        <v>1701</v>
      </c>
      <c r="H2867" s="76" t="n">
        <v>291000</v>
      </c>
      <c r="I2867" s="75" t="inlineStr">
        <is>
          <t>3월 소모품 구입 - Q오피스</t>
        </is>
      </c>
      <c r="J2867" s="75" t="inlineStr">
        <is>
          <t>V10003</t>
        </is>
      </c>
      <c r="K2867" s="75" t="inlineStr">
        <is>
          <t>Q오피스</t>
        </is>
      </c>
      <c r="M2867" s="9">
        <f>IF($A2867="","",VALUE($A2867&amp;"")*12+VALUE($B2867&amp;""))</f>
        <v/>
      </c>
      <c r="N2867" s="39">
        <f>IF($A2867="","",IFERROR(INDEX(부서매핑!$C$5:$C$504,MATCH($G2867&amp;"",부서매핑!$A$5:$A$504,0)),"미매핑"))</f>
        <v/>
      </c>
      <c r="O2867" s="9">
        <f>IF($A2867="","",N2867&amp;"|"&amp;$F2867)</f>
        <v/>
      </c>
      <c r="P2867" s="77">
        <f>IF($A2867="",0,$H2867*설정!$C$23)</f>
        <v/>
      </c>
      <c r="Q2867" s="39">
        <f>IF($A2867="","",IF(O2867&lt;&gt;원인분석!$C$9,"",IF(AND(M2867&gt;=원인분석!$C$10,M2867&lt;=원인분석!$C$11),"당기",IF(AND(M2867&gt;=원인분석!$C$12,M2867&lt;=원인분석!$C$13),"비교",""))))</f>
        <v/>
      </c>
      <c r="R2867" s="9">
        <f>IF(Q2867="","",$K2867&amp;"")</f>
        <v/>
      </c>
      <c r="S2867" s="9">
        <f>IF(Q2867="","",IF(MATCH(R2867,$R$5:$R$100000,0)=ROW()-4,ROW(),""))</f>
        <v/>
      </c>
      <c r="T2867" s="9">
        <f>IF(Q2867="당기",ABS(P2867)+ROW()/1000000000,"")</f>
        <v/>
      </c>
      <c r="U2867" s="9">
        <f>IF(Q2867="비교",ABS(P2867)+ROW()/1000000000,"")</f>
        <v/>
      </c>
      <c r="V2867" s="39">
        <f>IF($A2867="","",IF(COUNTIF(변동분석!$E$7:$E$506,O2867)&gt;0,"Y","N"))</f>
        <v/>
      </c>
      <c r="W2867" s="39">
        <f>IF($A2867="","",IFERROR(INDEX(계정매핑!$D$5:$D$504,MATCH($F2867&amp;"",계정매핑!$A$5:$A$504,0)),"미매핑"))</f>
        <v/>
      </c>
      <c r="X2867" s="9">
        <f>IF($A2867="","",$F2867&amp;"")</f>
        <v/>
      </c>
    </row>
    <row r="2868">
      <c r="A2868" s="75" t="n">
        <v>2026</v>
      </c>
      <c r="B2868" s="75" t="n">
        <v>3</v>
      </c>
      <c r="C2868" s="75" t="inlineStr">
        <is>
          <t>5100000524</t>
        </is>
      </c>
      <c r="D2868" s="78" t="n">
        <v>46100</v>
      </c>
      <c r="E2868" s="75" t="inlineStr">
        <is>
          <t>KR</t>
        </is>
      </c>
      <c r="F2868" s="75" t="n">
        <v>62301000</v>
      </c>
      <c r="G2868" s="75" t="n">
        <v>1701</v>
      </c>
      <c r="H2868" s="76" t="n">
        <v>365000</v>
      </c>
      <c r="I2868" s="75" t="inlineStr">
        <is>
          <t>3월 소모품 구입 - R문구</t>
        </is>
      </c>
      <c r="J2868" s="75" t="inlineStr">
        <is>
          <t>V10018</t>
        </is>
      </c>
      <c r="K2868" s="75" t="inlineStr">
        <is>
          <t>R문구</t>
        </is>
      </c>
      <c r="M2868" s="9">
        <f>IF($A2868="","",VALUE($A2868&amp;"")*12+VALUE($B2868&amp;""))</f>
        <v/>
      </c>
      <c r="N2868" s="39">
        <f>IF($A2868="","",IFERROR(INDEX(부서매핑!$C$5:$C$504,MATCH($G2868&amp;"",부서매핑!$A$5:$A$504,0)),"미매핑"))</f>
        <v/>
      </c>
      <c r="O2868" s="9">
        <f>IF($A2868="","",N2868&amp;"|"&amp;$F2868)</f>
        <v/>
      </c>
      <c r="P2868" s="77">
        <f>IF($A2868="",0,$H2868*설정!$C$23)</f>
        <v/>
      </c>
      <c r="Q2868" s="39">
        <f>IF($A2868="","",IF(O2868&lt;&gt;원인분석!$C$9,"",IF(AND(M2868&gt;=원인분석!$C$10,M2868&lt;=원인분석!$C$11),"당기",IF(AND(M2868&gt;=원인분석!$C$12,M2868&lt;=원인분석!$C$13),"비교",""))))</f>
        <v/>
      </c>
      <c r="R2868" s="9">
        <f>IF(Q2868="","",$K2868&amp;"")</f>
        <v/>
      </c>
      <c r="S2868" s="9">
        <f>IF(Q2868="","",IF(MATCH(R2868,$R$5:$R$100000,0)=ROW()-4,ROW(),""))</f>
        <v/>
      </c>
      <c r="T2868" s="9">
        <f>IF(Q2868="당기",ABS(P2868)+ROW()/1000000000,"")</f>
        <v/>
      </c>
      <c r="U2868" s="9">
        <f>IF(Q2868="비교",ABS(P2868)+ROW()/1000000000,"")</f>
        <v/>
      </c>
      <c r="V2868" s="39">
        <f>IF($A2868="","",IF(COUNTIF(변동분석!$E$7:$E$506,O2868)&gt;0,"Y","N"))</f>
        <v/>
      </c>
      <c r="W2868" s="39">
        <f>IF($A2868="","",IFERROR(INDEX(계정매핑!$D$5:$D$504,MATCH($F2868&amp;"",계정매핑!$A$5:$A$504,0)),"미매핑"))</f>
        <v/>
      </c>
      <c r="X2868" s="9">
        <f>IF($A2868="","",$F2868&amp;"")</f>
        <v/>
      </c>
    </row>
    <row r="2869">
      <c r="A2869" s="75" t="n">
        <v>2026</v>
      </c>
      <c r="B2869" s="75" t="n">
        <v>3</v>
      </c>
      <c r="C2869" s="75" t="inlineStr">
        <is>
          <t>5100000525</t>
        </is>
      </c>
      <c r="D2869" s="78" t="n">
        <v>46100</v>
      </c>
      <c r="E2869" s="75" t="inlineStr">
        <is>
          <t>KR</t>
        </is>
      </c>
      <c r="F2869" s="75" t="n">
        <v>62501000</v>
      </c>
      <c r="G2869" s="75" t="n">
        <v>1101</v>
      </c>
      <c r="H2869" s="76" t="n">
        <v>178000</v>
      </c>
      <c r="I2869" s="75" t="inlineStr">
        <is>
          <t>3월 회의 다과 - T케이터링</t>
        </is>
      </c>
      <c r="J2869" s="75" t="inlineStr">
        <is>
          <t>V10005</t>
        </is>
      </c>
      <c r="K2869" s="75" t="inlineStr">
        <is>
          <t>T케이터링</t>
        </is>
      </c>
      <c r="M2869" s="9">
        <f>IF($A2869="","",VALUE($A2869&amp;"")*12+VALUE($B2869&amp;""))</f>
        <v/>
      </c>
      <c r="N2869" s="39">
        <f>IF($A2869="","",IFERROR(INDEX(부서매핑!$C$5:$C$504,MATCH($G2869&amp;"",부서매핑!$A$5:$A$504,0)),"미매핑"))</f>
        <v/>
      </c>
      <c r="O2869" s="9">
        <f>IF($A2869="","",N2869&amp;"|"&amp;$F2869)</f>
        <v/>
      </c>
      <c r="P2869" s="77">
        <f>IF($A2869="",0,$H2869*설정!$C$23)</f>
        <v/>
      </c>
      <c r="Q2869" s="39">
        <f>IF($A2869="","",IF(O2869&lt;&gt;원인분석!$C$9,"",IF(AND(M2869&gt;=원인분석!$C$10,M2869&lt;=원인분석!$C$11),"당기",IF(AND(M2869&gt;=원인분석!$C$12,M2869&lt;=원인분석!$C$13),"비교",""))))</f>
        <v/>
      </c>
      <c r="R2869" s="9">
        <f>IF(Q2869="","",$K2869&amp;"")</f>
        <v/>
      </c>
      <c r="S2869" s="9">
        <f>IF(Q2869="","",IF(MATCH(R2869,$R$5:$R$100000,0)=ROW()-4,ROW(),""))</f>
        <v/>
      </c>
      <c r="T2869" s="9">
        <f>IF(Q2869="당기",ABS(P2869)+ROW()/1000000000,"")</f>
        <v/>
      </c>
      <c r="U2869" s="9">
        <f>IF(Q2869="비교",ABS(P2869)+ROW()/1000000000,"")</f>
        <v/>
      </c>
      <c r="V2869" s="39">
        <f>IF($A2869="","",IF(COUNTIF(변동분석!$E$7:$E$506,O2869)&gt;0,"Y","N"))</f>
        <v/>
      </c>
      <c r="W2869" s="39">
        <f>IF($A2869="","",IFERROR(INDEX(계정매핑!$D$5:$D$504,MATCH($F2869&amp;"",계정매핑!$A$5:$A$504,0)),"미매핑"))</f>
        <v/>
      </c>
      <c r="X2869" s="9">
        <f>IF($A2869="","",$F2869&amp;"")</f>
        <v/>
      </c>
    </row>
    <row r="2870">
      <c r="A2870" s="75" t="n">
        <v>2026</v>
      </c>
      <c r="B2870" s="75" t="n">
        <v>3</v>
      </c>
      <c r="C2870" s="75" t="inlineStr">
        <is>
          <t>5100000526</t>
        </is>
      </c>
      <c r="D2870" s="78" t="n">
        <v>46100</v>
      </c>
      <c r="E2870" s="75" t="inlineStr">
        <is>
          <t>KR</t>
        </is>
      </c>
      <c r="F2870" s="75" t="n">
        <v>62901000</v>
      </c>
      <c r="G2870" s="75" t="n">
        <v>1101</v>
      </c>
      <c r="H2870" s="76" t="n">
        <v>5221000</v>
      </c>
      <c r="I2870" s="75" t="inlineStr">
        <is>
          <t>3월 자문 수수료 - K회계법인</t>
        </is>
      </c>
      <c r="J2870" s="75" t="inlineStr">
        <is>
          <t>V10010</t>
        </is>
      </c>
      <c r="K2870" s="75" t="inlineStr">
        <is>
          <t>K회계법인</t>
        </is>
      </c>
      <c r="M2870" s="9">
        <f>IF($A2870="","",VALUE($A2870&amp;"")*12+VALUE($B2870&amp;""))</f>
        <v/>
      </c>
      <c r="N2870" s="39">
        <f>IF($A2870="","",IFERROR(INDEX(부서매핑!$C$5:$C$504,MATCH($G2870&amp;"",부서매핑!$A$5:$A$504,0)),"미매핑"))</f>
        <v/>
      </c>
      <c r="O2870" s="9">
        <f>IF($A2870="","",N2870&amp;"|"&amp;$F2870)</f>
        <v/>
      </c>
      <c r="P2870" s="77">
        <f>IF($A2870="",0,$H2870*설정!$C$23)</f>
        <v/>
      </c>
      <c r="Q2870" s="39">
        <f>IF($A2870="","",IF(O2870&lt;&gt;원인분석!$C$9,"",IF(AND(M2870&gt;=원인분석!$C$10,M2870&lt;=원인분석!$C$11),"당기",IF(AND(M2870&gt;=원인분석!$C$12,M2870&lt;=원인분석!$C$13),"비교",""))))</f>
        <v/>
      </c>
      <c r="R2870" s="9">
        <f>IF(Q2870="","",$K2870&amp;"")</f>
        <v/>
      </c>
      <c r="S2870" s="9">
        <f>IF(Q2870="","",IF(MATCH(R2870,$R$5:$R$100000,0)=ROW()-4,ROW(),""))</f>
        <v/>
      </c>
      <c r="T2870" s="9">
        <f>IF(Q2870="당기",ABS(P2870)+ROW()/1000000000,"")</f>
        <v/>
      </c>
      <c r="U2870" s="9">
        <f>IF(Q2870="비교",ABS(P2870)+ROW()/1000000000,"")</f>
        <v/>
      </c>
      <c r="V2870" s="39">
        <f>IF($A2870="","",IF(COUNTIF(변동분석!$E$7:$E$506,O2870)&gt;0,"Y","N"))</f>
        <v/>
      </c>
      <c r="W2870" s="39">
        <f>IF($A2870="","",IFERROR(INDEX(계정매핑!$D$5:$D$504,MATCH($F2870&amp;"",계정매핑!$A$5:$A$504,0)),"미매핑"))</f>
        <v/>
      </c>
      <c r="X2870" s="9">
        <f>IF($A2870="","",$F2870&amp;"")</f>
        <v/>
      </c>
    </row>
    <row r="2871">
      <c r="A2871" s="75" t="n">
        <v>2026</v>
      </c>
      <c r="B2871" s="75" t="n">
        <v>3</v>
      </c>
      <c r="C2871" s="75" t="inlineStr">
        <is>
          <t>5100000527</t>
        </is>
      </c>
      <c r="D2871" s="78" t="n">
        <v>46100</v>
      </c>
      <c r="E2871" s="75" t="inlineStr">
        <is>
          <t>KR</t>
        </is>
      </c>
      <c r="F2871" s="75" t="n">
        <v>62901000</v>
      </c>
      <c r="G2871" s="75" t="n">
        <v>1201</v>
      </c>
      <c r="H2871" s="76" t="n">
        <v>6837000</v>
      </c>
      <c r="I2871" s="75" t="inlineStr">
        <is>
          <t>3월 자문 수수료 - W컨설팅</t>
        </is>
      </c>
      <c r="J2871" s="75" t="inlineStr">
        <is>
          <t>V10009</t>
        </is>
      </c>
      <c r="K2871" s="75" t="inlineStr">
        <is>
          <t>W컨설팅</t>
        </is>
      </c>
      <c r="M2871" s="9">
        <f>IF($A2871="","",VALUE($A2871&amp;"")*12+VALUE($B2871&amp;""))</f>
        <v/>
      </c>
      <c r="N2871" s="39">
        <f>IF($A2871="","",IFERROR(INDEX(부서매핑!$C$5:$C$504,MATCH($G2871&amp;"",부서매핑!$A$5:$A$504,0)),"미매핑"))</f>
        <v/>
      </c>
      <c r="O2871" s="9">
        <f>IF($A2871="","",N2871&amp;"|"&amp;$F2871)</f>
        <v/>
      </c>
      <c r="P2871" s="77">
        <f>IF($A2871="",0,$H2871*설정!$C$23)</f>
        <v/>
      </c>
      <c r="Q2871" s="39">
        <f>IF($A2871="","",IF(O2871&lt;&gt;원인분석!$C$9,"",IF(AND(M2871&gt;=원인분석!$C$10,M2871&lt;=원인분석!$C$11),"당기",IF(AND(M2871&gt;=원인분석!$C$12,M2871&lt;=원인분석!$C$13),"비교",""))))</f>
        <v/>
      </c>
      <c r="R2871" s="9">
        <f>IF(Q2871="","",$K2871&amp;"")</f>
        <v/>
      </c>
      <c r="S2871" s="9">
        <f>IF(Q2871="","",IF(MATCH(R2871,$R$5:$R$100000,0)=ROW()-4,ROW(),""))</f>
        <v/>
      </c>
      <c r="T2871" s="9">
        <f>IF(Q2871="당기",ABS(P2871)+ROW()/1000000000,"")</f>
        <v/>
      </c>
      <c r="U2871" s="9">
        <f>IF(Q2871="비교",ABS(P2871)+ROW()/1000000000,"")</f>
        <v/>
      </c>
      <c r="V2871" s="39">
        <f>IF($A2871="","",IF(COUNTIF(변동분석!$E$7:$E$506,O2871)&gt;0,"Y","N"))</f>
        <v/>
      </c>
      <c r="W2871" s="39">
        <f>IF($A2871="","",IFERROR(INDEX(계정매핑!$D$5:$D$504,MATCH($F2871&amp;"",계정매핑!$A$5:$A$504,0)),"미매핑"))</f>
        <v/>
      </c>
      <c r="X2871" s="9">
        <f>IF($A2871="","",$F2871&amp;"")</f>
        <v/>
      </c>
    </row>
    <row r="2872">
      <c r="A2872" s="75" t="n">
        <v>2026</v>
      </c>
      <c r="B2872" s="75" t="n">
        <v>3</v>
      </c>
      <c r="C2872" s="75" t="inlineStr">
        <is>
          <t>5100000528</t>
        </is>
      </c>
      <c r="D2872" s="78" t="n">
        <v>46101</v>
      </c>
      <c r="E2872" s="75" t="inlineStr">
        <is>
          <t>KR</t>
        </is>
      </c>
      <c r="F2872" s="75" t="n">
        <v>62101000</v>
      </c>
      <c r="G2872" s="75" t="n">
        <v>1301</v>
      </c>
      <c r="H2872" s="76" t="n">
        <v>347000</v>
      </c>
      <c r="I2872" s="75" t="inlineStr">
        <is>
          <t>3월 국내출장 - (법인카드)</t>
        </is>
      </c>
      <c r="J2872" s="75" t="inlineStr">
        <is>
          <t>V10008</t>
        </is>
      </c>
      <c r="K2872" s="75" t="inlineStr">
        <is>
          <t>(법인카드)</t>
        </is>
      </c>
      <c r="M2872" s="9">
        <f>IF($A2872="","",VALUE($A2872&amp;"")*12+VALUE($B2872&amp;""))</f>
        <v/>
      </c>
      <c r="N2872" s="39">
        <f>IF($A2872="","",IFERROR(INDEX(부서매핑!$C$5:$C$504,MATCH($G2872&amp;"",부서매핑!$A$5:$A$504,0)),"미매핑"))</f>
        <v/>
      </c>
      <c r="O2872" s="9">
        <f>IF($A2872="","",N2872&amp;"|"&amp;$F2872)</f>
        <v/>
      </c>
      <c r="P2872" s="77">
        <f>IF($A2872="",0,$H2872*설정!$C$23)</f>
        <v/>
      </c>
      <c r="Q2872" s="39">
        <f>IF($A2872="","",IF(O2872&lt;&gt;원인분석!$C$9,"",IF(AND(M2872&gt;=원인분석!$C$10,M2872&lt;=원인분석!$C$11),"당기",IF(AND(M2872&gt;=원인분석!$C$12,M2872&lt;=원인분석!$C$13),"비교",""))))</f>
        <v/>
      </c>
      <c r="R2872" s="9">
        <f>IF(Q2872="","",$K2872&amp;"")</f>
        <v/>
      </c>
      <c r="S2872" s="9">
        <f>IF(Q2872="","",IF(MATCH(R2872,$R$5:$R$100000,0)=ROW()-4,ROW(),""))</f>
        <v/>
      </c>
      <c r="T2872" s="9">
        <f>IF(Q2872="당기",ABS(P2872)+ROW()/1000000000,"")</f>
        <v/>
      </c>
      <c r="U2872" s="9">
        <f>IF(Q2872="비교",ABS(P2872)+ROW()/1000000000,"")</f>
        <v/>
      </c>
      <c r="V2872" s="39">
        <f>IF($A2872="","",IF(COUNTIF(변동분석!$E$7:$E$506,O2872)&gt;0,"Y","N"))</f>
        <v/>
      </c>
      <c r="W2872" s="39">
        <f>IF($A2872="","",IFERROR(INDEX(계정매핑!$D$5:$D$504,MATCH($F2872&amp;"",계정매핑!$A$5:$A$504,0)),"미매핑"))</f>
        <v/>
      </c>
      <c r="X2872" s="9">
        <f>IF($A2872="","",$F2872&amp;"")</f>
        <v/>
      </c>
    </row>
    <row r="2873">
      <c r="A2873" s="75" t="n">
        <v>2026</v>
      </c>
      <c r="B2873" s="75" t="n">
        <v>3</v>
      </c>
      <c r="C2873" s="75" t="inlineStr">
        <is>
          <t>5100000529</t>
        </is>
      </c>
      <c r="D2873" s="78" t="n">
        <v>46101</v>
      </c>
      <c r="E2873" s="75" t="inlineStr">
        <is>
          <t>KR</t>
        </is>
      </c>
      <c r="F2873" s="75" t="n">
        <v>62201000</v>
      </c>
      <c r="G2873" s="75" t="n">
        <v>1101</v>
      </c>
      <c r="H2873" s="76" t="n">
        <v>229000</v>
      </c>
      <c r="I2873" s="75" t="inlineStr">
        <is>
          <t>3월 통신요금 - O텔레콤</t>
        </is>
      </c>
      <c r="J2873" s="75" t="inlineStr">
        <is>
          <t>V10002</t>
        </is>
      </c>
      <c r="K2873" s="75" t="inlineStr">
        <is>
          <t>O텔레콤</t>
        </is>
      </c>
      <c r="M2873" s="9">
        <f>IF($A2873="","",VALUE($A2873&amp;"")*12+VALUE($B2873&amp;""))</f>
        <v/>
      </c>
      <c r="N2873" s="39">
        <f>IF($A2873="","",IFERROR(INDEX(부서매핑!$C$5:$C$504,MATCH($G2873&amp;"",부서매핑!$A$5:$A$504,0)),"미매핑"))</f>
        <v/>
      </c>
      <c r="O2873" s="9">
        <f>IF($A2873="","",N2873&amp;"|"&amp;$F2873)</f>
        <v/>
      </c>
      <c r="P2873" s="77">
        <f>IF($A2873="",0,$H2873*설정!$C$23)</f>
        <v/>
      </c>
      <c r="Q2873" s="39">
        <f>IF($A2873="","",IF(O2873&lt;&gt;원인분석!$C$9,"",IF(AND(M2873&gt;=원인분석!$C$10,M2873&lt;=원인분석!$C$11),"당기",IF(AND(M2873&gt;=원인분석!$C$12,M2873&lt;=원인분석!$C$13),"비교",""))))</f>
        <v/>
      </c>
      <c r="R2873" s="9">
        <f>IF(Q2873="","",$K2873&amp;"")</f>
        <v/>
      </c>
      <c r="S2873" s="9">
        <f>IF(Q2873="","",IF(MATCH(R2873,$R$5:$R$100000,0)=ROW()-4,ROW(),""))</f>
        <v/>
      </c>
      <c r="T2873" s="9">
        <f>IF(Q2873="당기",ABS(P2873)+ROW()/1000000000,"")</f>
        <v/>
      </c>
      <c r="U2873" s="9">
        <f>IF(Q2873="비교",ABS(P2873)+ROW()/1000000000,"")</f>
        <v/>
      </c>
      <c r="V2873" s="39">
        <f>IF($A2873="","",IF(COUNTIF(변동분석!$E$7:$E$506,O2873)&gt;0,"Y","N"))</f>
        <v/>
      </c>
      <c r="W2873" s="39">
        <f>IF($A2873="","",IFERROR(INDEX(계정매핑!$D$5:$D$504,MATCH($F2873&amp;"",계정매핑!$A$5:$A$504,0)),"미매핑"))</f>
        <v/>
      </c>
      <c r="X2873" s="9">
        <f>IF($A2873="","",$F2873&amp;"")</f>
        <v/>
      </c>
    </row>
    <row r="2874">
      <c r="A2874" s="75" t="n">
        <v>2026</v>
      </c>
      <c r="B2874" s="75" t="n">
        <v>3</v>
      </c>
      <c r="C2874" s="75" t="inlineStr">
        <is>
          <t>5100000530</t>
        </is>
      </c>
      <c r="D2874" s="78" t="n">
        <v>46101</v>
      </c>
      <c r="E2874" s="75" t="inlineStr">
        <is>
          <t>KR</t>
        </is>
      </c>
      <c r="F2874" s="75" t="n">
        <v>62201000</v>
      </c>
      <c r="G2874" s="75" t="n">
        <v>1701</v>
      </c>
      <c r="H2874" s="76" t="n">
        <v>3527000</v>
      </c>
      <c r="I2874" s="75" t="inlineStr">
        <is>
          <t>3월 통신요금 - O텔레콤</t>
        </is>
      </c>
      <c r="J2874" s="75" t="inlineStr">
        <is>
          <t>V10002</t>
        </is>
      </c>
      <c r="K2874" s="75" t="inlineStr">
        <is>
          <t>O텔레콤</t>
        </is>
      </c>
      <c r="M2874" s="9">
        <f>IF($A2874="","",VALUE($A2874&amp;"")*12+VALUE($B2874&amp;""))</f>
        <v/>
      </c>
      <c r="N2874" s="39">
        <f>IF($A2874="","",IFERROR(INDEX(부서매핑!$C$5:$C$504,MATCH($G2874&amp;"",부서매핑!$A$5:$A$504,0)),"미매핑"))</f>
        <v/>
      </c>
      <c r="O2874" s="9">
        <f>IF($A2874="","",N2874&amp;"|"&amp;$F2874)</f>
        <v/>
      </c>
      <c r="P2874" s="77">
        <f>IF($A2874="",0,$H2874*설정!$C$23)</f>
        <v/>
      </c>
      <c r="Q2874" s="39">
        <f>IF($A2874="","",IF(O2874&lt;&gt;원인분석!$C$9,"",IF(AND(M2874&gt;=원인분석!$C$10,M2874&lt;=원인분석!$C$11),"당기",IF(AND(M2874&gt;=원인분석!$C$12,M2874&lt;=원인분석!$C$13),"비교",""))))</f>
        <v/>
      </c>
      <c r="R2874" s="9">
        <f>IF(Q2874="","",$K2874&amp;"")</f>
        <v/>
      </c>
      <c r="S2874" s="9">
        <f>IF(Q2874="","",IF(MATCH(R2874,$R$5:$R$100000,0)=ROW()-4,ROW(),""))</f>
        <v/>
      </c>
      <c r="T2874" s="9">
        <f>IF(Q2874="당기",ABS(P2874)+ROW()/1000000000,"")</f>
        <v/>
      </c>
      <c r="U2874" s="9">
        <f>IF(Q2874="비교",ABS(P2874)+ROW()/1000000000,"")</f>
        <v/>
      </c>
      <c r="V2874" s="39">
        <f>IF($A2874="","",IF(COUNTIF(변동분석!$E$7:$E$506,O2874)&gt;0,"Y","N"))</f>
        <v/>
      </c>
      <c r="W2874" s="39">
        <f>IF($A2874="","",IFERROR(INDEX(계정매핑!$D$5:$D$504,MATCH($F2874&amp;"",계정매핑!$A$5:$A$504,0)),"미매핑"))</f>
        <v/>
      </c>
      <c r="X2874" s="9">
        <f>IF($A2874="","",$F2874&amp;"")</f>
        <v/>
      </c>
    </row>
    <row r="2875">
      <c r="A2875" s="75" t="n">
        <v>2026</v>
      </c>
      <c r="B2875" s="75" t="n">
        <v>3</v>
      </c>
      <c r="C2875" s="75" t="inlineStr">
        <is>
          <t>5100000531</t>
        </is>
      </c>
      <c r="D2875" s="78" t="n">
        <v>46101</v>
      </c>
      <c r="E2875" s="75" t="inlineStr">
        <is>
          <t>KR</t>
        </is>
      </c>
      <c r="F2875" s="75" t="n">
        <v>62301000</v>
      </c>
      <c r="G2875" s="75" t="n">
        <v>1801</v>
      </c>
      <c r="H2875" s="76" t="n">
        <v>320000</v>
      </c>
      <c r="I2875" s="75" t="inlineStr">
        <is>
          <t>3월 소모품 구입 - Q오피스</t>
        </is>
      </c>
      <c r="J2875" s="75" t="inlineStr">
        <is>
          <t>V10003</t>
        </is>
      </c>
      <c r="K2875" s="75" t="inlineStr">
        <is>
          <t>Q오피스</t>
        </is>
      </c>
      <c r="M2875" s="9">
        <f>IF($A2875="","",VALUE($A2875&amp;"")*12+VALUE($B2875&amp;""))</f>
        <v/>
      </c>
      <c r="N2875" s="39">
        <f>IF($A2875="","",IFERROR(INDEX(부서매핑!$C$5:$C$504,MATCH($G2875&amp;"",부서매핑!$A$5:$A$504,0)),"미매핑"))</f>
        <v/>
      </c>
      <c r="O2875" s="9">
        <f>IF($A2875="","",N2875&amp;"|"&amp;$F2875)</f>
        <v/>
      </c>
      <c r="P2875" s="77">
        <f>IF($A2875="",0,$H2875*설정!$C$23)</f>
        <v/>
      </c>
      <c r="Q2875" s="39">
        <f>IF($A2875="","",IF(O2875&lt;&gt;원인분석!$C$9,"",IF(AND(M2875&gt;=원인분석!$C$10,M2875&lt;=원인분석!$C$11),"당기",IF(AND(M2875&gt;=원인분석!$C$12,M2875&lt;=원인분석!$C$13),"비교",""))))</f>
        <v/>
      </c>
      <c r="R2875" s="9">
        <f>IF(Q2875="","",$K2875&amp;"")</f>
        <v/>
      </c>
      <c r="S2875" s="9">
        <f>IF(Q2875="","",IF(MATCH(R2875,$R$5:$R$100000,0)=ROW()-4,ROW(),""))</f>
        <v/>
      </c>
      <c r="T2875" s="9">
        <f>IF(Q2875="당기",ABS(P2875)+ROW()/1000000000,"")</f>
        <v/>
      </c>
      <c r="U2875" s="9">
        <f>IF(Q2875="비교",ABS(P2875)+ROW()/1000000000,"")</f>
        <v/>
      </c>
      <c r="V2875" s="39">
        <f>IF($A2875="","",IF(COUNTIF(변동분석!$E$7:$E$506,O2875)&gt;0,"Y","N"))</f>
        <v/>
      </c>
      <c r="W2875" s="39">
        <f>IF($A2875="","",IFERROR(INDEX(계정매핑!$D$5:$D$504,MATCH($F2875&amp;"",계정매핑!$A$5:$A$504,0)),"미매핑"))</f>
        <v/>
      </c>
      <c r="X2875" s="9">
        <f>IF($A2875="","",$F2875&amp;"")</f>
        <v/>
      </c>
    </row>
    <row r="2876">
      <c r="A2876" s="75" t="n">
        <v>2026</v>
      </c>
      <c r="B2876" s="75" t="n">
        <v>3</v>
      </c>
      <c r="C2876" s="75" t="inlineStr">
        <is>
          <t>5100000532</t>
        </is>
      </c>
      <c r="D2876" s="78" t="n">
        <v>46101</v>
      </c>
      <c r="E2876" s="75" t="inlineStr">
        <is>
          <t>KR</t>
        </is>
      </c>
      <c r="F2876" s="75" t="n">
        <v>62501000</v>
      </c>
      <c r="G2876" s="75" t="n">
        <v>1701</v>
      </c>
      <c r="H2876" s="76" t="n">
        <v>119000</v>
      </c>
      <c r="I2876" s="75" t="inlineStr">
        <is>
          <t>3월 회의 다과 - (법인카드)</t>
        </is>
      </c>
      <c r="J2876" s="75" t="inlineStr">
        <is>
          <t>V10008</t>
        </is>
      </c>
      <c r="K2876" s="75" t="inlineStr">
        <is>
          <t>(법인카드)</t>
        </is>
      </c>
      <c r="M2876" s="9">
        <f>IF($A2876="","",VALUE($A2876&amp;"")*12+VALUE($B2876&amp;""))</f>
        <v/>
      </c>
      <c r="N2876" s="39">
        <f>IF($A2876="","",IFERROR(INDEX(부서매핑!$C$5:$C$504,MATCH($G2876&amp;"",부서매핑!$A$5:$A$504,0)),"미매핑"))</f>
        <v/>
      </c>
      <c r="O2876" s="9">
        <f>IF($A2876="","",N2876&amp;"|"&amp;$F2876)</f>
        <v/>
      </c>
      <c r="P2876" s="77">
        <f>IF($A2876="",0,$H2876*설정!$C$23)</f>
        <v/>
      </c>
      <c r="Q2876" s="39">
        <f>IF($A2876="","",IF(O2876&lt;&gt;원인분석!$C$9,"",IF(AND(M2876&gt;=원인분석!$C$10,M2876&lt;=원인분석!$C$11),"당기",IF(AND(M2876&gt;=원인분석!$C$12,M2876&lt;=원인분석!$C$13),"비교",""))))</f>
        <v/>
      </c>
      <c r="R2876" s="9">
        <f>IF(Q2876="","",$K2876&amp;"")</f>
        <v/>
      </c>
      <c r="S2876" s="9">
        <f>IF(Q2876="","",IF(MATCH(R2876,$R$5:$R$100000,0)=ROW()-4,ROW(),""))</f>
        <v/>
      </c>
      <c r="T2876" s="9">
        <f>IF(Q2876="당기",ABS(P2876)+ROW()/1000000000,"")</f>
        <v/>
      </c>
      <c r="U2876" s="9">
        <f>IF(Q2876="비교",ABS(P2876)+ROW()/1000000000,"")</f>
        <v/>
      </c>
      <c r="V2876" s="39">
        <f>IF($A2876="","",IF(COUNTIF(변동분석!$E$7:$E$506,O2876)&gt;0,"Y","N"))</f>
        <v/>
      </c>
      <c r="W2876" s="39">
        <f>IF($A2876="","",IFERROR(INDEX(계정매핑!$D$5:$D$504,MATCH($F2876&amp;"",계정매핑!$A$5:$A$504,0)),"미매핑"))</f>
        <v/>
      </c>
      <c r="X2876" s="9">
        <f>IF($A2876="","",$F2876&amp;"")</f>
        <v/>
      </c>
    </row>
    <row r="2877">
      <c r="A2877" s="75" t="n">
        <v>2026</v>
      </c>
      <c r="B2877" s="75" t="n">
        <v>3</v>
      </c>
      <c r="C2877" s="75" t="inlineStr">
        <is>
          <t>5100000533</t>
        </is>
      </c>
      <c r="D2877" s="78" t="n">
        <v>46101</v>
      </c>
      <c r="E2877" s="75" t="inlineStr">
        <is>
          <t>KR</t>
        </is>
      </c>
      <c r="F2877" s="75" t="n">
        <v>62601000</v>
      </c>
      <c r="G2877" s="75" t="n">
        <v>1301</v>
      </c>
      <c r="H2877" s="76" t="n">
        <v>1698000</v>
      </c>
      <c r="I2877" s="75" t="inlineStr">
        <is>
          <t>3월 업무추진 - (법인카드)</t>
        </is>
      </c>
      <c r="J2877" s="75" t="inlineStr">
        <is>
          <t>V10008</t>
        </is>
      </c>
      <c r="K2877" s="75" t="inlineStr">
        <is>
          <t>(법인카드)</t>
        </is>
      </c>
      <c r="M2877" s="9">
        <f>IF($A2877="","",VALUE($A2877&amp;"")*12+VALUE($B2877&amp;""))</f>
        <v/>
      </c>
      <c r="N2877" s="39">
        <f>IF($A2877="","",IFERROR(INDEX(부서매핑!$C$5:$C$504,MATCH($G2877&amp;"",부서매핑!$A$5:$A$504,0)),"미매핑"))</f>
        <v/>
      </c>
      <c r="O2877" s="9">
        <f>IF($A2877="","",N2877&amp;"|"&amp;$F2877)</f>
        <v/>
      </c>
      <c r="P2877" s="77">
        <f>IF($A2877="",0,$H2877*설정!$C$23)</f>
        <v/>
      </c>
      <c r="Q2877" s="39">
        <f>IF($A2877="","",IF(O2877&lt;&gt;원인분석!$C$9,"",IF(AND(M2877&gt;=원인분석!$C$10,M2877&lt;=원인분석!$C$11),"당기",IF(AND(M2877&gt;=원인분석!$C$12,M2877&lt;=원인분석!$C$13),"비교",""))))</f>
        <v/>
      </c>
      <c r="R2877" s="9">
        <f>IF(Q2877="","",$K2877&amp;"")</f>
        <v/>
      </c>
      <c r="S2877" s="9">
        <f>IF(Q2877="","",IF(MATCH(R2877,$R$5:$R$100000,0)=ROW()-4,ROW(),""))</f>
        <v/>
      </c>
      <c r="T2877" s="9">
        <f>IF(Q2877="당기",ABS(P2877)+ROW()/1000000000,"")</f>
        <v/>
      </c>
      <c r="U2877" s="9">
        <f>IF(Q2877="비교",ABS(P2877)+ROW()/1000000000,"")</f>
        <v/>
      </c>
      <c r="V2877" s="39">
        <f>IF($A2877="","",IF(COUNTIF(변동분석!$E$7:$E$506,O2877)&gt;0,"Y","N"))</f>
        <v/>
      </c>
      <c r="W2877" s="39">
        <f>IF($A2877="","",IFERROR(INDEX(계정매핑!$D$5:$D$504,MATCH($F2877&amp;"",계정매핑!$A$5:$A$504,0)),"미매핑"))</f>
        <v/>
      </c>
      <c r="X2877" s="9">
        <f>IF($A2877="","",$F2877&amp;"")</f>
        <v/>
      </c>
    </row>
    <row r="2878">
      <c r="A2878" s="75" t="n">
        <v>2026</v>
      </c>
      <c r="B2878" s="75" t="n">
        <v>3</v>
      </c>
      <c r="C2878" s="75" t="inlineStr">
        <is>
          <t>5100000534</t>
        </is>
      </c>
      <c r="D2878" s="78" t="n">
        <v>46102</v>
      </c>
      <c r="E2878" s="75" t="inlineStr">
        <is>
          <t>KR</t>
        </is>
      </c>
      <c r="F2878" s="75" t="n">
        <v>62101000</v>
      </c>
      <c r="G2878" s="75" t="n">
        <v>1701</v>
      </c>
      <c r="H2878" s="76" t="n">
        <v>124000</v>
      </c>
      <c r="I2878" s="75" t="inlineStr">
        <is>
          <t>3월 국내출장 - L여행사</t>
        </is>
      </c>
      <c r="J2878" s="75" t="inlineStr">
        <is>
          <t>V10014</t>
        </is>
      </c>
      <c r="K2878" s="75" t="inlineStr">
        <is>
          <t>L여행사</t>
        </is>
      </c>
      <c r="M2878" s="9">
        <f>IF($A2878="","",VALUE($A2878&amp;"")*12+VALUE($B2878&amp;""))</f>
        <v/>
      </c>
      <c r="N2878" s="39">
        <f>IF($A2878="","",IFERROR(INDEX(부서매핑!$C$5:$C$504,MATCH($G2878&amp;"",부서매핑!$A$5:$A$504,0)),"미매핑"))</f>
        <v/>
      </c>
      <c r="O2878" s="9">
        <f>IF($A2878="","",N2878&amp;"|"&amp;$F2878)</f>
        <v/>
      </c>
      <c r="P2878" s="77">
        <f>IF($A2878="",0,$H2878*설정!$C$23)</f>
        <v/>
      </c>
      <c r="Q2878" s="39">
        <f>IF($A2878="","",IF(O2878&lt;&gt;원인분석!$C$9,"",IF(AND(M2878&gt;=원인분석!$C$10,M2878&lt;=원인분석!$C$11),"당기",IF(AND(M2878&gt;=원인분석!$C$12,M2878&lt;=원인분석!$C$13),"비교",""))))</f>
        <v/>
      </c>
      <c r="R2878" s="9">
        <f>IF(Q2878="","",$K2878&amp;"")</f>
        <v/>
      </c>
      <c r="S2878" s="9">
        <f>IF(Q2878="","",IF(MATCH(R2878,$R$5:$R$100000,0)=ROW()-4,ROW(),""))</f>
        <v/>
      </c>
      <c r="T2878" s="9">
        <f>IF(Q2878="당기",ABS(P2878)+ROW()/1000000000,"")</f>
        <v/>
      </c>
      <c r="U2878" s="9">
        <f>IF(Q2878="비교",ABS(P2878)+ROW()/1000000000,"")</f>
        <v/>
      </c>
      <c r="V2878" s="39">
        <f>IF($A2878="","",IF(COUNTIF(변동분석!$E$7:$E$506,O2878)&gt;0,"Y","N"))</f>
        <v/>
      </c>
      <c r="W2878" s="39">
        <f>IF($A2878="","",IFERROR(INDEX(계정매핑!$D$5:$D$504,MATCH($F2878&amp;"",계정매핑!$A$5:$A$504,0)),"미매핑"))</f>
        <v/>
      </c>
      <c r="X2878" s="9">
        <f>IF($A2878="","",$F2878&amp;"")</f>
        <v/>
      </c>
    </row>
    <row r="2879">
      <c r="A2879" s="75" t="n">
        <v>2026</v>
      </c>
      <c r="B2879" s="75" t="n">
        <v>3</v>
      </c>
      <c r="C2879" s="75" t="inlineStr">
        <is>
          <t>5100000535</t>
        </is>
      </c>
      <c r="D2879" s="78" t="n">
        <v>46102</v>
      </c>
      <c r="E2879" s="75" t="inlineStr">
        <is>
          <t>KR</t>
        </is>
      </c>
      <c r="F2879" s="75" t="n">
        <v>62201000</v>
      </c>
      <c r="G2879" s="75" t="n">
        <v>1201</v>
      </c>
      <c r="H2879" s="76" t="n">
        <v>146000</v>
      </c>
      <c r="I2879" s="75" t="inlineStr">
        <is>
          <t>3월 통신요금 - P통신</t>
        </is>
      </c>
      <c r="J2879" s="75" t="inlineStr">
        <is>
          <t>V10011</t>
        </is>
      </c>
      <c r="K2879" s="75" t="inlineStr">
        <is>
          <t>P통신</t>
        </is>
      </c>
      <c r="M2879" s="9">
        <f>IF($A2879="","",VALUE($A2879&amp;"")*12+VALUE($B2879&amp;""))</f>
        <v/>
      </c>
      <c r="N2879" s="39">
        <f>IF($A2879="","",IFERROR(INDEX(부서매핑!$C$5:$C$504,MATCH($G2879&amp;"",부서매핑!$A$5:$A$504,0)),"미매핑"))</f>
        <v/>
      </c>
      <c r="O2879" s="9">
        <f>IF($A2879="","",N2879&amp;"|"&amp;$F2879)</f>
        <v/>
      </c>
      <c r="P2879" s="77">
        <f>IF($A2879="",0,$H2879*설정!$C$23)</f>
        <v/>
      </c>
      <c r="Q2879" s="39">
        <f>IF($A2879="","",IF(O2879&lt;&gt;원인분석!$C$9,"",IF(AND(M2879&gt;=원인분석!$C$10,M2879&lt;=원인분석!$C$11),"당기",IF(AND(M2879&gt;=원인분석!$C$12,M2879&lt;=원인분석!$C$13),"비교",""))))</f>
        <v/>
      </c>
      <c r="R2879" s="9">
        <f>IF(Q2879="","",$K2879&amp;"")</f>
        <v/>
      </c>
      <c r="S2879" s="9">
        <f>IF(Q2879="","",IF(MATCH(R2879,$R$5:$R$100000,0)=ROW()-4,ROW(),""))</f>
        <v/>
      </c>
      <c r="T2879" s="9">
        <f>IF(Q2879="당기",ABS(P2879)+ROW()/1000000000,"")</f>
        <v/>
      </c>
      <c r="U2879" s="9">
        <f>IF(Q2879="비교",ABS(P2879)+ROW()/1000000000,"")</f>
        <v/>
      </c>
      <c r="V2879" s="39">
        <f>IF($A2879="","",IF(COUNTIF(변동분석!$E$7:$E$506,O2879)&gt;0,"Y","N"))</f>
        <v/>
      </c>
      <c r="W2879" s="39">
        <f>IF($A2879="","",IFERROR(INDEX(계정매핑!$D$5:$D$504,MATCH($F2879&amp;"",계정매핑!$A$5:$A$504,0)),"미매핑"))</f>
        <v/>
      </c>
      <c r="X2879" s="9">
        <f>IF($A2879="","",$F2879&amp;"")</f>
        <v/>
      </c>
    </row>
    <row r="2880">
      <c r="A2880" s="75" t="n">
        <v>2026</v>
      </c>
      <c r="B2880" s="75" t="n">
        <v>3</v>
      </c>
      <c r="C2880" s="75" t="inlineStr">
        <is>
          <t>5100000536</t>
        </is>
      </c>
      <c r="D2880" s="78" t="n">
        <v>46102</v>
      </c>
      <c r="E2880" s="75" t="inlineStr">
        <is>
          <t>KR</t>
        </is>
      </c>
      <c r="F2880" s="75" t="n">
        <v>62201000</v>
      </c>
      <c r="G2880" s="75" t="n">
        <v>1701</v>
      </c>
      <c r="H2880" s="76" t="n">
        <v>3283000</v>
      </c>
      <c r="I2880" s="75" t="inlineStr">
        <is>
          <t>3월 통신요금 - P통신</t>
        </is>
      </c>
      <c r="J2880" s="75" t="inlineStr">
        <is>
          <t>V10011</t>
        </is>
      </c>
      <c r="K2880" s="75" t="inlineStr">
        <is>
          <t>P통신</t>
        </is>
      </c>
      <c r="M2880" s="9">
        <f>IF($A2880="","",VALUE($A2880&amp;"")*12+VALUE($B2880&amp;""))</f>
        <v/>
      </c>
      <c r="N2880" s="39">
        <f>IF($A2880="","",IFERROR(INDEX(부서매핑!$C$5:$C$504,MATCH($G2880&amp;"",부서매핑!$A$5:$A$504,0)),"미매핑"))</f>
        <v/>
      </c>
      <c r="O2880" s="9">
        <f>IF($A2880="","",N2880&amp;"|"&amp;$F2880)</f>
        <v/>
      </c>
      <c r="P2880" s="77">
        <f>IF($A2880="",0,$H2880*설정!$C$23)</f>
        <v/>
      </c>
      <c r="Q2880" s="39">
        <f>IF($A2880="","",IF(O2880&lt;&gt;원인분석!$C$9,"",IF(AND(M2880&gt;=원인분석!$C$10,M2880&lt;=원인분석!$C$11),"당기",IF(AND(M2880&gt;=원인분석!$C$12,M2880&lt;=원인분석!$C$13),"비교",""))))</f>
        <v/>
      </c>
      <c r="R2880" s="9">
        <f>IF(Q2880="","",$K2880&amp;"")</f>
        <v/>
      </c>
      <c r="S2880" s="9">
        <f>IF(Q2880="","",IF(MATCH(R2880,$R$5:$R$100000,0)=ROW()-4,ROW(),""))</f>
        <v/>
      </c>
      <c r="T2880" s="9">
        <f>IF(Q2880="당기",ABS(P2880)+ROW()/1000000000,"")</f>
        <v/>
      </c>
      <c r="U2880" s="9">
        <f>IF(Q2880="비교",ABS(P2880)+ROW()/1000000000,"")</f>
        <v/>
      </c>
      <c r="V2880" s="39">
        <f>IF($A2880="","",IF(COUNTIF(변동분석!$E$7:$E$506,O2880)&gt;0,"Y","N"))</f>
        <v/>
      </c>
      <c r="W2880" s="39">
        <f>IF($A2880="","",IFERROR(INDEX(계정매핑!$D$5:$D$504,MATCH($F2880&amp;"",계정매핑!$A$5:$A$504,0)),"미매핑"))</f>
        <v/>
      </c>
      <c r="X2880" s="9">
        <f>IF($A2880="","",$F2880&amp;"")</f>
        <v/>
      </c>
    </row>
    <row r="2881">
      <c r="A2881" s="75" t="n">
        <v>2026</v>
      </c>
      <c r="B2881" s="75" t="n">
        <v>3</v>
      </c>
      <c r="C2881" s="75" t="inlineStr">
        <is>
          <t>5100000537</t>
        </is>
      </c>
      <c r="D2881" s="78" t="n">
        <v>46102</v>
      </c>
      <c r="E2881" s="75" t="inlineStr">
        <is>
          <t>KR</t>
        </is>
      </c>
      <c r="F2881" s="75" t="n">
        <v>62301000</v>
      </c>
      <c r="G2881" s="75" t="n">
        <v>1201</v>
      </c>
      <c r="H2881" s="76" t="n">
        <v>109000</v>
      </c>
      <c r="I2881" s="75" t="inlineStr">
        <is>
          <t>3월 소모품 구입 - Q오피스</t>
        </is>
      </c>
      <c r="J2881" s="75" t="inlineStr">
        <is>
          <t>V10003</t>
        </is>
      </c>
      <c r="K2881" s="75" t="inlineStr">
        <is>
          <t>Q오피스</t>
        </is>
      </c>
      <c r="M2881" s="9">
        <f>IF($A2881="","",VALUE($A2881&amp;"")*12+VALUE($B2881&amp;""))</f>
        <v/>
      </c>
      <c r="N2881" s="39">
        <f>IF($A2881="","",IFERROR(INDEX(부서매핑!$C$5:$C$504,MATCH($G2881&amp;"",부서매핑!$A$5:$A$504,0)),"미매핑"))</f>
        <v/>
      </c>
      <c r="O2881" s="9">
        <f>IF($A2881="","",N2881&amp;"|"&amp;$F2881)</f>
        <v/>
      </c>
      <c r="P2881" s="77">
        <f>IF($A2881="",0,$H2881*설정!$C$23)</f>
        <v/>
      </c>
      <c r="Q2881" s="39">
        <f>IF($A2881="","",IF(O2881&lt;&gt;원인분석!$C$9,"",IF(AND(M2881&gt;=원인분석!$C$10,M2881&lt;=원인분석!$C$11),"당기",IF(AND(M2881&gt;=원인분석!$C$12,M2881&lt;=원인분석!$C$13),"비교",""))))</f>
        <v/>
      </c>
      <c r="R2881" s="9">
        <f>IF(Q2881="","",$K2881&amp;"")</f>
        <v/>
      </c>
      <c r="S2881" s="9">
        <f>IF(Q2881="","",IF(MATCH(R2881,$R$5:$R$100000,0)=ROW()-4,ROW(),""))</f>
        <v/>
      </c>
      <c r="T2881" s="9">
        <f>IF(Q2881="당기",ABS(P2881)+ROW()/1000000000,"")</f>
        <v/>
      </c>
      <c r="U2881" s="9">
        <f>IF(Q2881="비교",ABS(P2881)+ROW()/1000000000,"")</f>
        <v/>
      </c>
      <c r="V2881" s="39">
        <f>IF($A2881="","",IF(COUNTIF(변동분석!$E$7:$E$506,O2881)&gt;0,"Y","N"))</f>
        <v/>
      </c>
      <c r="W2881" s="39">
        <f>IF($A2881="","",IFERROR(INDEX(계정매핑!$D$5:$D$504,MATCH($F2881&amp;"",계정매핑!$A$5:$A$504,0)),"미매핑"))</f>
        <v/>
      </c>
      <c r="X2881" s="9">
        <f>IF($A2881="","",$F2881&amp;"")</f>
        <v/>
      </c>
    </row>
    <row r="2882">
      <c r="A2882" s="75" t="n">
        <v>2026</v>
      </c>
      <c r="B2882" s="75" t="n">
        <v>3</v>
      </c>
      <c r="C2882" s="75" t="inlineStr">
        <is>
          <t>5100000538</t>
        </is>
      </c>
      <c r="D2882" s="78" t="n">
        <v>46102</v>
      </c>
      <c r="E2882" s="75" t="inlineStr">
        <is>
          <t>KR</t>
        </is>
      </c>
      <c r="F2882" s="75" t="n">
        <v>62401000</v>
      </c>
      <c r="G2882" s="75" t="n">
        <v>1401</v>
      </c>
      <c r="H2882" s="76" t="n">
        <v>228000</v>
      </c>
      <c r="I2882" s="75" t="inlineStr">
        <is>
          <t>3월 인쇄물 제작 - G인쇄</t>
        </is>
      </c>
      <c r="J2882" s="75" t="inlineStr">
        <is>
          <t>V10004</t>
        </is>
      </c>
      <c r="K2882" s="75" t="inlineStr">
        <is>
          <t>G인쇄</t>
        </is>
      </c>
      <c r="M2882" s="9">
        <f>IF($A2882="","",VALUE($A2882&amp;"")*12+VALUE($B2882&amp;""))</f>
        <v/>
      </c>
      <c r="N2882" s="39">
        <f>IF($A2882="","",IFERROR(INDEX(부서매핑!$C$5:$C$504,MATCH($G2882&amp;"",부서매핑!$A$5:$A$504,0)),"미매핑"))</f>
        <v/>
      </c>
      <c r="O2882" s="9">
        <f>IF($A2882="","",N2882&amp;"|"&amp;$F2882)</f>
        <v/>
      </c>
      <c r="P2882" s="77">
        <f>IF($A2882="",0,$H2882*설정!$C$23)</f>
        <v/>
      </c>
      <c r="Q2882" s="39">
        <f>IF($A2882="","",IF(O2882&lt;&gt;원인분석!$C$9,"",IF(AND(M2882&gt;=원인분석!$C$10,M2882&lt;=원인분석!$C$11),"당기",IF(AND(M2882&gt;=원인분석!$C$12,M2882&lt;=원인분석!$C$13),"비교",""))))</f>
        <v/>
      </c>
      <c r="R2882" s="9">
        <f>IF(Q2882="","",$K2882&amp;"")</f>
        <v/>
      </c>
      <c r="S2882" s="9">
        <f>IF(Q2882="","",IF(MATCH(R2882,$R$5:$R$100000,0)=ROW()-4,ROW(),""))</f>
        <v/>
      </c>
      <c r="T2882" s="9">
        <f>IF(Q2882="당기",ABS(P2882)+ROW()/1000000000,"")</f>
        <v/>
      </c>
      <c r="U2882" s="9">
        <f>IF(Q2882="비교",ABS(P2882)+ROW()/1000000000,"")</f>
        <v/>
      </c>
      <c r="V2882" s="39">
        <f>IF($A2882="","",IF(COUNTIF(변동분석!$E$7:$E$506,O2882)&gt;0,"Y","N"))</f>
        <v/>
      </c>
      <c r="W2882" s="39">
        <f>IF($A2882="","",IFERROR(INDEX(계정매핑!$D$5:$D$504,MATCH($F2882&amp;"",계정매핑!$A$5:$A$504,0)),"미매핑"))</f>
        <v/>
      </c>
      <c r="X2882" s="9">
        <f>IF($A2882="","",$F2882&amp;"")</f>
        <v/>
      </c>
    </row>
    <row r="2883">
      <c r="A2883" s="75" t="n">
        <v>2026</v>
      </c>
      <c r="B2883" s="75" t="n">
        <v>3</v>
      </c>
      <c r="C2883" s="75" t="inlineStr">
        <is>
          <t>5100000539</t>
        </is>
      </c>
      <c r="D2883" s="78" t="n">
        <v>46102</v>
      </c>
      <c r="E2883" s="75" t="inlineStr">
        <is>
          <t>KR</t>
        </is>
      </c>
      <c r="F2883" s="75" t="n">
        <v>62801000</v>
      </c>
      <c r="G2883" s="75" t="n">
        <v>1301</v>
      </c>
      <c r="H2883" s="76" t="n">
        <v>4426000</v>
      </c>
      <c r="I2883" s="75" t="inlineStr">
        <is>
          <t>3월 사내교육 - (사내강사료)</t>
        </is>
      </c>
      <c r="J2883" s="75" t="inlineStr">
        <is>
          <t>V10020</t>
        </is>
      </c>
      <c r="K2883" s="75" t="inlineStr">
        <is>
          <t>(사내강사료)</t>
        </is>
      </c>
      <c r="M2883" s="9">
        <f>IF($A2883="","",VALUE($A2883&amp;"")*12+VALUE($B2883&amp;""))</f>
        <v/>
      </c>
      <c r="N2883" s="39">
        <f>IF($A2883="","",IFERROR(INDEX(부서매핑!$C$5:$C$504,MATCH($G2883&amp;"",부서매핑!$A$5:$A$504,0)),"미매핑"))</f>
        <v/>
      </c>
      <c r="O2883" s="9">
        <f>IF($A2883="","",N2883&amp;"|"&amp;$F2883)</f>
        <v/>
      </c>
      <c r="P2883" s="77">
        <f>IF($A2883="",0,$H2883*설정!$C$23)</f>
        <v/>
      </c>
      <c r="Q2883" s="39">
        <f>IF($A2883="","",IF(O2883&lt;&gt;원인분석!$C$9,"",IF(AND(M2883&gt;=원인분석!$C$10,M2883&lt;=원인분석!$C$11),"당기",IF(AND(M2883&gt;=원인분석!$C$12,M2883&lt;=원인분석!$C$13),"비교",""))))</f>
        <v/>
      </c>
      <c r="R2883" s="9">
        <f>IF(Q2883="","",$K2883&amp;"")</f>
        <v/>
      </c>
      <c r="S2883" s="9">
        <f>IF(Q2883="","",IF(MATCH(R2883,$R$5:$R$100000,0)=ROW()-4,ROW(),""))</f>
        <v/>
      </c>
      <c r="T2883" s="9">
        <f>IF(Q2883="당기",ABS(P2883)+ROW()/1000000000,"")</f>
        <v/>
      </c>
      <c r="U2883" s="9">
        <f>IF(Q2883="비교",ABS(P2883)+ROW()/1000000000,"")</f>
        <v/>
      </c>
      <c r="V2883" s="39">
        <f>IF($A2883="","",IF(COUNTIF(변동분석!$E$7:$E$506,O2883)&gt;0,"Y","N"))</f>
        <v/>
      </c>
      <c r="W2883" s="39">
        <f>IF($A2883="","",IFERROR(INDEX(계정매핑!$D$5:$D$504,MATCH($F2883&amp;"",계정매핑!$A$5:$A$504,0)),"미매핑"))</f>
        <v/>
      </c>
      <c r="X2883" s="9">
        <f>IF($A2883="","",$F2883&amp;"")</f>
        <v/>
      </c>
    </row>
    <row r="2884">
      <c r="A2884" s="75" t="n">
        <v>2026</v>
      </c>
      <c r="B2884" s="75" t="n">
        <v>3</v>
      </c>
      <c r="C2884" s="75" t="inlineStr">
        <is>
          <t>5100000540</t>
        </is>
      </c>
      <c r="D2884" s="78" t="n">
        <v>46102</v>
      </c>
      <c r="E2884" s="75" t="inlineStr">
        <is>
          <t>KR</t>
        </is>
      </c>
      <c r="F2884" s="75" t="n">
        <v>63201000</v>
      </c>
      <c r="G2884" s="75" t="n">
        <v>1601</v>
      </c>
      <c r="H2884" s="76" t="n">
        <v>1903000</v>
      </c>
      <c r="I2884" s="75" t="inlineStr">
        <is>
          <t>3월 차량 유지 - H에너지</t>
        </is>
      </c>
      <c r="J2884" s="75" t="inlineStr">
        <is>
          <t>V10025</t>
        </is>
      </c>
      <c r="K2884" s="75" t="inlineStr">
        <is>
          <t>H에너지</t>
        </is>
      </c>
      <c r="M2884" s="9">
        <f>IF($A2884="","",VALUE($A2884&amp;"")*12+VALUE($B2884&amp;""))</f>
        <v/>
      </c>
      <c r="N2884" s="39">
        <f>IF($A2884="","",IFERROR(INDEX(부서매핑!$C$5:$C$504,MATCH($G2884&amp;"",부서매핑!$A$5:$A$504,0)),"미매핑"))</f>
        <v/>
      </c>
      <c r="O2884" s="9">
        <f>IF($A2884="","",N2884&amp;"|"&amp;$F2884)</f>
        <v/>
      </c>
      <c r="P2884" s="77">
        <f>IF($A2884="",0,$H2884*설정!$C$23)</f>
        <v/>
      </c>
      <c r="Q2884" s="39">
        <f>IF($A2884="","",IF(O2884&lt;&gt;원인분석!$C$9,"",IF(AND(M2884&gt;=원인분석!$C$10,M2884&lt;=원인분석!$C$11),"당기",IF(AND(M2884&gt;=원인분석!$C$12,M2884&lt;=원인분석!$C$13),"비교",""))))</f>
        <v/>
      </c>
      <c r="R2884" s="9">
        <f>IF(Q2884="","",$K2884&amp;"")</f>
        <v/>
      </c>
      <c r="S2884" s="9">
        <f>IF(Q2884="","",IF(MATCH(R2884,$R$5:$R$100000,0)=ROW()-4,ROW(),""))</f>
        <v/>
      </c>
      <c r="T2884" s="9">
        <f>IF(Q2884="당기",ABS(P2884)+ROW()/1000000000,"")</f>
        <v/>
      </c>
      <c r="U2884" s="9">
        <f>IF(Q2884="비교",ABS(P2884)+ROW()/1000000000,"")</f>
        <v/>
      </c>
      <c r="V2884" s="39">
        <f>IF($A2884="","",IF(COUNTIF(변동분석!$E$7:$E$506,O2884)&gt;0,"Y","N"))</f>
        <v/>
      </c>
      <c r="W2884" s="39">
        <f>IF($A2884="","",IFERROR(INDEX(계정매핑!$D$5:$D$504,MATCH($F2884&amp;"",계정매핑!$A$5:$A$504,0)),"미매핑"))</f>
        <v/>
      </c>
      <c r="X2884" s="9">
        <f>IF($A2884="","",$F2884&amp;"")</f>
        <v/>
      </c>
    </row>
    <row r="2885">
      <c r="A2885" s="75" t="n">
        <v>2026</v>
      </c>
      <c r="B2885" s="75" t="n">
        <v>3</v>
      </c>
      <c r="C2885" s="75" t="inlineStr">
        <is>
          <t>5100000541</t>
        </is>
      </c>
      <c r="D2885" s="78" t="n">
        <v>46103</v>
      </c>
      <c r="E2885" s="75" t="inlineStr">
        <is>
          <t>KR</t>
        </is>
      </c>
      <c r="F2885" s="75" t="n">
        <v>62101000</v>
      </c>
      <c r="G2885" s="75" t="n">
        <v>1101</v>
      </c>
      <c r="H2885" s="76" t="n">
        <v>509000</v>
      </c>
      <c r="I2885" s="75" t="inlineStr">
        <is>
          <t>3월 국내출장 - M항공</t>
        </is>
      </c>
      <c r="J2885" s="75" t="inlineStr">
        <is>
          <t>V10001</t>
        </is>
      </c>
      <c r="K2885" s="75" t="inlineStr">
        <is>
          <t>M항공</t>
        </is>
      </c>
      <c r="M2885" s="9">
        <f>IF($A2885="","",VALUE($A2885&amp;"")*12+VALUE($B2885&amp;""))</f>
        <v/>
      </c>
      <c r="N2885" s="39">
        <f>IF($A2885="","",IFERROR(INDEX(부서매핑!$C$5:$C$504,MATCH($G2885&amp;"",부서매핑!$A$5:$A$504,0)),"미매핑"))</f>
        <v/>
      </c>
      <c r="O2885" s="9">
        <f>IF($A2885="","",N2885&amp;"|"&amp;$F2885)</f>
        <v/>
      </c>
      <c r="P2885" s="77">
        <f>IF($A2885="",0,$H2885*설정!$C$23)</f>
        <v/>
      </c>
      <c r="Q2885" s="39">
        <f>IF($A2885="","",IF(O2885&lt;&gt;원인분석!$C$9,"",IF(AND(M2885&gt;=원인분석!$C$10,M2885&lt;=원인분석!$C$11),"당기",IF(AND(M2885&gt;=원인분석!$C$12,M2885&lt;=원인분석!$C$13),"비교",""))))</f>
        <v/>
      </c>
      <c r="R2885" s="9">
        <f>IF(Q2885="","",$K2885&amp;"")</f>
        <v/>
      </c>
      <c r="S2885" s="9">
        <f>IF(Q2885="","",IF(MATCH(R2885,$R$5:$R$100000,0)=ROW()-4,ROW(),""))</f>
        <v/>
      </c>
      <c r="T2885" s="9">
        <f>IF(Q2885="당기",ABS(P2885)+ROW()/1000000000,"")</f>
        <v/>
      </c>
      <c r="U2885" s="9">
        <f>IF(Q2885="비교",ABS(P2885)+ROW()/1000000000,"")</f>
        <v/>
      </c>
      <c r="V2885" s="39">
        <f>IF($A2885="","",IF(COUNTIF(변동분석!$E$7:$E$506,O2885)&gt;0,"Y","N"))</f>
        <v/>
      </c>
      <c r="W2885" s="39">
        <f>IF($A2885="","",IFERROR(INDEX(계정매핑!$D$5:$D$504,MATCH($F2885&amp;"",계정매핑!$A$5:$A$504,0)),"미매핑"))</f>
        <v/>
      </c>
      <c r="X2885" s="9">
        <f>IF($A2885="","",$F2885&amp;"")</f>
        <v/>
      </c>
    </row>
    <row r="2886">
      <c r="A2886" s="75" t="n">
        <v>2026</v>
      </c>
      <c r="B2886" s="75" t="n">
        <v>3</v>
      </c>
      <c r="C2886" s="75" t="inlineStr">
        <is>
          <t>5100000542</t>
        </is>
      </c>
      <c r="D2886" s="78" t="n">
        <v>46103</v>
      </c>
      <c r="E2886" s="75" t="inlineStr">
        <is>
          <t>KR</t>
        </is>
      </c>
      <c r="F2886" s="75" t="n">
        <v>62102000</v>
      </c>
      <c r="G2886" s="75" t="n">
        <v>1502</v>
      </c>
      <c r="H2886" s="76" t="n">
        <v>136000</v>
      </c>
      <c r="I2886" s="75" t="inlineStr">
        <is>
          <t>3월 해외출장 - M항공</t>
        </is>
      </c>
      <c r="J2886" s="75" t="inlineStr">
        <is>
          <t>V10001</t>
        </is>
      </c>
      <c r="K2886" s="75" t="inlineStr">
        <is>
          <t>M항공</t>
        </is>
      </c>
      <c r="M2886" s="9">
        <f>IF($A2886="","",VALUE($A2886&amp;"")*12+VALUE($B2886&amp;""))</f>
        <v/>
      </c>
      <c r="N2886" s="39">
        <f>IF($A2886="","",IFERROR(INDEX(부서매핑!$C$5:$C$504,MATCH($G2886&amp;"",부서매핑!$A$5:$A$504,0)),"미매핑"))</f>
        <v/>
      </c>
      <c r="O2886" s="9">
        <f>IF($A2886="","",N2886&amp;"|"&amp;$F2886)</f>
        <v/>
      </c>
      <c r="P2886" s="77">
        <f>IF($A2886="",0,$H2886*설정!$C$23)</f>
        <v/>
      </c>
      <c r="Q2886" s="39">
        <f>IF($A2886="","",IF(O2886&lt;&gt;원인분석!$C$9,"",IF(AND(M2886&gt;=원인분석!$C$10,M2886&lt;=원인분석!$C$11),"당기",IF(AND(M2886&gt;=원인분석!$C$12,M2886&lt;=원인분석!$C$13),"비교",""))))</f>
        <v/>
      </c>
      <c r="R2886" s="9">
        <f>IF(Q2886="","",$K2886&amp;"")</f>
        <v/>
      </c>
      <c r="S2886" s="9">
        <f>IF(Q2886="","",IF(MATCH(R2886,$R$5:$R$100000,0)=ROW()-4,ROW(),""))</f>
        <v/>
      </c>
      <c r="T2886" s="9">
        <f>IF(Q2886="당기",ABS(P2886)+ROW()/1000000000,"")</f>
        <v/>
      </c>
      <c r="U2886" s="9">
        <f>IF(Q2886="비교",ABS(P2886)+ROW()/1000000000,"")</f>
        <v/>
      </c>
      <c r="V2886" s="39">
        <f>IF($A2886="","",IF(COUNTIF(변동분석!$E$7:$E$506,O2886)&gt;0,"Y","N"))</f>
        <v/>
      </c>
      <c r="W2886" s="39">
        <f>IF($A2886="","",IFERROR(INDEX(계정매핑!$D$5:$D$504,MATCH($F2886&amp;"",계정매핑!$A$5:$A$504,0)),"미매핑"))</f>
        <v/>
      </c>
      <c r="X2886" s="9">
        <f>IF($A2886="","",$F2886&amp;"")</f>
        <v/>
      </c>
    </row>
    <row r="2887">
      <c r="A2887" s="75" t="n">
        <v>2026</v>
      </c>
      <c r="B2887" s="75" t="n">
        <v>3</v>
      </c>
      <c r="C2887" s="75" t="inlineStr">
        <is>
          <t>5100000543</t>
        </is>
      </c>
      <c r="D2887" s="78" t="n">
        <v>46103</v>
      </c>
      <c r="E2887" s="75" t="inlineStr">
        <is>
          <t>KR</t>
        </is>
      </c>
      <c r="F2887" s="75" t="n">
        <v>62401000</v>
      </c>
      <c r="G2887" s="75" t="n">
        <v>1801</v>
      </c>
      <c r="H2887" s="76" t="n">
        <v>3430000</v>
      </c>
      <c r="I2887" s="75" t="inlineStr">
        <is>
          <t>3월 인쇄물 제작 - G인쇄</t>
        </is>
      </c>
      <c r="J2887" s="75" t="inlineStr">
        <is>
          <t>V10004</t>
        </is>
      </c>
      <c r="K2887" s="75" t="inlineStr">
        <is>
          <t>G인쇄</t>
        </is>
      </c>
      <c r="M2887" s="9">
        <f>IF($A2887="","",VALUE($A2887&amp;"")*12+VALUE($B2887&amp;""))</f>
        <v/>
      </c>
      <c r="N2887" s="39">
        <f>IF($A2887="","",IFERROR(INDEX(부서매핑!$C$5:$C$504,MATCH($G2887&amp;"",부서매핑!$A$5:$A$504,0)),"미매핑"))</f>
        <v/>
      </c>
      <c r="O2887" s="9">
        <f>IF($A2887="","",N2887&amp;"|"&amp;$F2887)</f>
        <v/>
      </c>
      <c r="P2887" s="77">
        <f>IF($A2887="",0,$H2887*설정!$C$23)</f>
        <v/>
      </c>
      <c r="Q2887" s="39">
        <f>IF($A2887="","",IF(O2887&lt;&gt;원인분석!$C$9,"",IF(AND(M2887&gt;=원인분석!$C$10,M2887&lt;=원인분석!$C$11),"당기",IF(AND(M2887&gt;=원인분석!$C$12,M2887&lt;=원인분석!$C$13),"비교",""))))</f>
        <v/>
      </c>
      <c r="R2887" s="9">
        <f>IF(Q2887="","",$K2887&amp;"")</f>
        <v/>
      </c>
      <c r="S2887" s="9">
        <f>IF(Q2887="","",IF(MATCH(R2887,$R$5:$R$100000,0)=ROW()-4,ROW(),""))</f>
        <v/>
      </c>
      <c r="T2887" s="9">
        <f>IF(Q2887="당기",ABS(P2887)+ROW()/1000000000,"")</f>
        <v/>
      </c>
      <c r="U2887" s="9">
        <f>IF(Q2887="비교",ABS(P2887)+ROW()/1000000000,"")</f>
        <v/>
      </c>
      <c r="V2887" s="39">
        <f>IF($A2887="","",IF(COUNTIF(변동분석!$E$7:$E$506,O2887)&gt;0,"Y","N"))</f>
        <v/>
      </c>
      <c r="W2887" s="39">
        <f>IF($A2887="","",IFERROR(INDEX(계정매핑!$D$5:$D$504,MATCH($F2887&amp;"",계정매핑!$A$5:$A$504,0)),"미매핑"))</f>
        <v/>
      </c>
      <c r="X2887" s="9">
        <f>IF($A2887="","",$F2887&amp;"")</f>
        <v/>
      </c>
    </row>
    <row r="2888">
      <c r="A2888" s="75" t="n">
        <v>2026</v>
      </c>
      <c r="B2888" s="75" t="n">
        <v>3</v>
      </c>
      <c r="C2888" s="75" t="inlineStr">
        <is>
          <t>5100000544</t>
        </is>
      </c>
      <c r="D2888" s="78" t="n">
        <v>46103</v>
      </c>
      <c r="E2888" s="75" t="inlineStr">
        <is>
          <t>KR</t>
        </is>
      </c>
      <c r="F2888" s="75" t="n">
        <v>62501000</v>
      </c>
      <c r="G2888" s="75" t="n">
        <v>1101</v>
      </c>
      <c r="H2888" s="76" t="n">
        <v>198000</v>
      </c>
      <c r="I2888" s="75" t="inlineStr">
        <is>
          <t>3월 회의 다과 - (법인카드)</t>
        </is>
      </c>
      <c r="J2888" s="75" t="inlineStr">
        <is>
          <t>V10008</t>
        </is>
      </c>
      <c r="K2888" s="75" t="inlineStr">
        <is>
          <t>(법인카드)</t>
        </is>
      </c>
      <c r="M2888" s="9">
        <f>IF($A2888="","",VALUE($A2888&amp;"")*12+VALUE($B2888&amp;""))</f>
        <v/>
      </c>
      <c r="N2888" s="39">
        <f>IF($A2888="","",IFERROR(INDEX(부서매핑!$C$5:$C$504,MATCH($G2888&amp;"",부서매핑!$A$5:$A$504,0)),"미매핑"))</f>
        <v/>
      </c>
      <c r="O2888" s="9">
        <f>IF($A2888="","",N2888&amp;"|"&amp;$F2888)</f>
        <v/>
      </c>
      <c r="P2888" s="77">
        <f>IF($A2888="",0,$H2888*설정!$C$23)</f>
        <v/>
      </c>
      <c r="Q2888" s="39">
        <f>IF($A2888="","",IF(O2888&lt;&gt;원인분석!$C$9,"",IF(AND(M2888&gt;=원인분석!$C$10,M2888&lt;=원인분석!$C$11),"당기",IF(AND(M2888&gt;=원인분석!$C$12,M2888&lt;=원인분석!$C$13),"비교",""))))</f>
        <v/>
      </c>
      <c r="R2888" s="9">
        <f>IF(Q2888="","",$K2888&amp;"")</f>
        <v/>
      </c>
      <c r="S2888" s="9">
        <f>IF(Q2888="","",IF(MATCH(R2888,$R$5:$R$100000,0)=ROW()-4,ROW(),""))</f>
        <v/>
      </c>
      <c r="T2888" s="9">
        <f>IF(Q2888="당기",ABS(P2888)+ROW()/1000000000,"")</f>
        <v/>
      </c>
      <c r="U2888" s="9">
        <f>IF(Q2888="비교",ABS(P2888)+ROW()/1000000000,"")</f>
        <v/>
      </c>
      <c r="V2888" s="39">
        <f>IF($A2888="","",IF(COUNTIF(변동분석!$E$7:$E$506,O2888)&gt;0,"Y","N"))</f>
        <v/>
      </c>
      <c r="W2888" s="39">
        <f>IF($A2888="","",IFERROR(INDEX(계정매핑!$D$5:$D$504,MATCH($F2888&amp;"",계정매핑!$A$5:$A$504,0)),"미매핑"))</f>
        <v/>
      </c>
      <c r="X2888" s="9">
        <f>IF($A2888="","",$F2888&amp;"")</f>
        <v/>
      </c>
    </row>
    <row r="2889">
      <c r="A2889" s="75" t="n">
        <v>2026</v>
      </c>
      <c r="B2889" s="75" t="n">
        <v>3</v>
      </c>
      <c r="C2889" s="75" t="inlineStr">
        <is>
          <t>5100000545</t>
        </is>
      </c>
      <c r="D2889" s="78" t="n">
        <v>46103</v>
      </c>
      <c r="E2889" s="75" t="inlineStr">
        <is>
          <t>KR</t>
        </is>
      </c>
      <c r="F2889" s="75" t="n">
        <v>62601000</v>
      </c>
      <c r="G2889" s="75" t="n">
        <v>1501</v>
      </c>
      <c r="H2889" s="76" t="n">
        <v>1616000</v>
      </c>
      <c r="I2889" s="75" t="inlineStr">
        <is>
          <t>3월 업무추진 - (법인카드)</t>
        </is>
      </c>
      <c r="J2889" s="75" t="inlineStr">
        <is>
          <t>V10008</t>
        </is>
      </c>
      <c r="K2889" s="75" t="inlineStr">
        <is>
          <t>(법인카드)</t>
        </is>
      </c>
      <c r="M2889" s="9">
        <f>IF($A2889="","",VALUE($A2889&amp;"")*12+VALUE($B2889&amp;""))</f>
        <v/>
      </c>
      <c r="N2889" s="39">
        <f>IF($A2889="","",IFERROR(INDEX(부서매핑!$C$5:$C$504,MATCH($G2889&amp;"",부서매핑!$A$5:$A$504,0)),"미매핑"))</f>
        <v/>
      </c>
      <c r="O2889" s="9">
        <f>IF($A2889="","",N2889&amp;"|"&amp;$F2889)</f>
        <v/>
      </c>
      <c r="P2889" s="77">
        <f>IF($A2889="",0,$H2889*설정!$C$23)</f>
        <v/>
      </c>
      <c r="Q2889" s="39">
        <f>IF($A2889="","",IF(O2889&lt;&gt;원인분석!$C$9,"",IF(AND(M2889&gt;=원인분석!$C$10,M2889&lt;=원인분석!$C$11),"당기",IF(AND(M2889&gt;=원인분석!$C$12,M2889&lt;=원인분석!$C$13),"비교",""))))</f>
        <v/>
      </c>
      <c r="R2889" s="9">
        <f>IF(Q2889="","",$K2889&amp;"")</f>
        <v/>
      </c>
      <c r="S2889" s="9">
        <f>IF(Q2889="","",IF(MATCH(R2889,$R$5:$R$100000,0)=ROW()-4,ROW(),""))</f>
        <v/>
      </c>
      <c r="T2889" s="9">
        <f>IF(Q2889="당기",ABS(P2889)+ROW()/1000000000,"")</f>
        <v/>
      </c>
      <c r="U2889" s="9">
        <f>IF(Q2889="비교",ABS(P2889)+ROW()/1000000000,"")</f>
        <v/>
      </c>
      <c r="V2889" s="39">
        <f>IF($A2889="","",IF(COUNTIF(변동분석!$E$7:$E$506,O2889)&gt;0,"Y","N"))</f>
        <v/>
      </c>
      <c r="W2889" s="39">
        <f>IF($A2889="","",IFERROR(INDEX(계정매핑!$D$5:$D$504,MATCH($F2889&amp;"",계정매핑!$A$5:$A$504,0)),"미매핑"))</f>
        <v/>
      </c>
      <c r="X2889" s="9">
        <f>IF($A2889="","",$F2889&amp;"")</f>
        <v/>
      </c>
    </row>
    <row r="2890">
      <c r="A2890" s="75" t="n">
        <v>2026</v>
      </c>
      <c r="B2890" s="75" t="n">
        <v>3</v>
      </c>
      <c r="C2890" s="75" t="inlineStr">
        <is>
          <t>5100000546</t>
        </is>
      </c>
      <c r="D2890" s="78" t="n">
        <v>46103</v>
      </c>
      <c r="E2890" s="75" t="inlineStr">
        <is>
          <t>KR</t>
        </is>
      </c>
      <c r="F2890" s="75" t="n">
        <v>62801000</v>
      </c>
      <c r="G2890" s="75" t="n">
        <v>1301</v>
      </c>
      <c r="H2890" s="76" t="n">
        <v>3614000</v>
      </c>
      <c r="I2890" s="75" t="inlineStr">
        <is>
          <t>3월 사내교육 - (사내강사료)</t>
        </is>
      </c>
      <c r="J2890" s="75" t="inlineStr">
        <is>
          <t>V10020</t>
        </is>
      </c>
      <c r="K2890" s="75" t="inlineStr">
        <is>
          <t>(사내강사료)</t>
        </is>
      </c>
      <c r="M2890" s="9">
        <f>IF($A2890="","",VALUE($A2890&amp;"")*12+VALUE($B2890&amp;""))</f>
        <v/>
      </c>
      <c r="N2890" s="39">
        <f>IF($A2890="","",IFERROR(INDEX(부서매핑!$C$5:$C$504,MATCH($G2890&amp;"",부서매핑!$A$5:$A$504,0)),"미매핑"))</f>
        <v/>
      </c>
      <c r="O2890" s="9">
        <f>IF($A2890="","",N2890&amp;"|"&amp;$F2890)</f>
        <v/>
      </c>
      <c r="P2890" s="77">
        <f>IF($A2890="",0,$H2890*설정!$C$23)</f>
        <v/>
      </c>
      <c r="Q2890" s="39">
        <f>IF($A2890="","",IF(O2890&lt;&gt;원인분석!$C$9,"",IF(AND(M2890&gt;=원인분석!$C$10,M2890&lt;=원인분석!$C$11),"당기",IF(AND(M2890&gt;=원인분석!$C$12,M2890&lt;=원인분석!$C$13),"비교",""))))</f>
        <v/>
      </c>
      <c r="R2890" s="9">
        <f>IF(Q2890="","",$K2890&amp;"")</f>
        <v/>
      </c>
      <c r="S2890" s="9">
        <f>IF(Q2890="","",IF(MATCH(R2890,$R$5:$R$100000,0)=ROW()-4,ROW(),""))</f>
        <v/>
      </c>
      <c r="T2890" s="9">
        <f>IF(Q2890="당기",ABS(P2890)+ROW()/1000000000,"")</f>
        <v/>
      </c>
      <c r="U2890" s="9">
        <f>IF(Q2890="비교",ABS(P2890)+ROW()/1000000000,"")</f>
        <v/>
      </c>
      <c r="V2890" s="39">
        <f>IF($A2890="","",IF(COUNTIF(변동분석!$E$7:$E$506,O2890)&gt;0,"Y","N"))</f>
        <v/>
      </c>
      <c r="W2890" s="39">
        <f>IF($A2890="","",IFERROR(INDEX(계정매핑!$D$5:$D$504,MATCH($F2890&amp;"",계정매핑!$A$5:$A$504,0)),"미매핑"))</f>
        <v/>
      </c>
      <c r="X2890" s="9">
        <f>IF($A2890="","",$F2890&amp;"")</f>
        <v/>
      </c>
    </row>
    <row r="2891">
      <c r="A2891" s="75" t="n">
        <v>2026</v>
      </c>
      <c r="B2891" s="75" t="n">
        <v>3</v>
      </c>
      <c r="C2891" s="75" t="inlineStr">
        <is>
          <t>5100000547</t>
        </is>
      </c>
      <c r="D2891" s="78" t="n">
        <v>46103</v>
      </c>
      <c r="E2891" s="75" t="inlineStr">
        <is>
          <t>KR</t>
        </is>
      </c>
      <c r="F2891" s="75" t="n">
        <v>62901000</v>
      </c>
      <c r="G2891" s="75" t="n">
        <v>1401</v>
      </c>
      <c r="H2891" s="76" t="n">
        <v>7394000</v>
      </c>
      <c r="I2891" s="75" t="inlineStr">
        <is>
          <t>3월 자문 수수료 - K회계법인</t>
        </is>
      </c>
      <c r="J2891" s="75" t="inlineStr">
        <is>
          <t>V10010</t>
        </is>
      </c>
      <c r="K2891" s="75" t="inlineStr">
        <is>
          <t>K회계법인</t>
        </is>
      </c>
      <c r="M2891" s="9">
        <f>IF($A2891="","",VALUE($A2891&amp;"")*12+VALUE($B2891&amp;""))</f>
        <v/>
      </c>
      <c r="N2891" s="39">
        <f>IF($A2891="","",IFERROR(INDEX(부서매핑!$C$5:$C$504,MATCH($G2891&amp;"",부서매핑!$A$5:$A$504,0)),"미매핑"))</f>
        <v/>
      </c>
      <c r="O2891" s="9">
        <f>IF($A2891="","",N2891&amp;"|"&amp;$F2891)</f>
        <v/>
      </c>
      <c r="P2891" s="77">
        <f>IF($A2891="",0,$H2891*설정!$C$23)</f>
        <v/>
      </c>
      <c r="Q2891" s="39">
        <f>IF($A2891="","",IF(O2891&lt;&gt;원인분석!$C$9,"",IF(AND(M2891&gt;=원인분석!$C$10,M2891&lt;=원인분석!$C$11),"당기",IF(AND(M2891&gt;=원인분석!$C$12,M2891&lt;=원인분석!$C$13),"비교",""))))</f>
        <v/>
      </c>
      <c r="R2891" s="9">
        <f>IF(Q2891="","",$K2891&amp;"")</f>
        <v/>
      </c>
      <c r="S2891" s="9">
        <f>IF(Q2891="","",IF(MATCH(R2891,$R$5:$R$100000,0)=ROW()-4,ROW(),""))</f>
        <v/>
      </c>
      <c r="T2891" s="9">
        <f>IF(Q2891="당기",ABS(P2891)+ROW()/1000000000,"")</f>
        <v/>
      </c>
      <c r="U2891" s="9">
        <f>IF(Q2891="비교",ABS(P2891)+ROW()/1000000000,"")</f>
        <v/>
      </c>
      <c r="V2891" s="39">
        <f>IF($A2891="","",IF(COUNTIF(변동분석!$E$7:$E$506,O2891)&gt;0,"Y","N"))</f>
        <v/>
      </c>
      <c r="W2891" s="39">
        <f>IF($A2891="","",IFERROR(INDEX(계정매핑!$D$5:$D$504,MATCH($F2891&amp;"",계정매핑!$A$5:$A$504,0)),"미매핑"))</f>
        <v/>
      </c>
      <c r="X2891" s="9">
        <f>IF($A2891="","",$F2891&amp;"")</f>
        <v/>
      </c>
    </row>
    <row r="2892">
      <c r="A2892" s="75" t="n">
        <v>2026</v>
      </c>
      <c r="B2892" s="75" t="n">
        <v>3</v>
      </c>
      <c r="C2892" s="75" t="inlineStr">
        <is>
          <t>5100000548</t>
        </is>
      </c>
      <c r="D2892" s="78" t="n">
        <v>46103</v>
      </c>
      <c r="E2892" s="75" t="inlineStr">
        <is>
          <t>KR</t>
        </is>
      </c>
      <c r="F2892" s="75" t="n">
        <v>63101000</v>
      </c>
      <c r="G2892" s="75" t="n">
        <v>1602</v>
      </c>
      <c r="H2892" s="76" t="n">
        <v>9021000</v>
      </c>
      <c r="I2892" s="75" t="inlineStr">
        <is>
          <t>3월 사무실 임차료 - BB부동산</t>
        </is>
      </c>
      <c r="J2892" s="75" t="inlineStr">
        <is>
          <t>V10024</t>
        </is>
      </c>
      <c r="K2892" s="75" t="inlineStr">
        <is>
          <t>BB부동산</t>
        </is>
      </c>
      <c r="M2892" s="9">
        <f>IF($A2892="","",VALUE($A2892&amp;"")*12+VALUE($B2892&amp;""))</f>
        <v/>
      </c>
      <c r="N2892" s="39">
        <f>IF($A2892="","",IFERROR(INDEX(부서매핑!$C$5:$C$504,MATCH($G2892&amp;"",부서매핑!$A$5:$A$504,0)),"미매핑"))</f>
        <v/>
      </c>
      <c r="O2892" s="9">
        <f>IF($A2892="","",N2892&amp;"|"&amp;$F2892)</f>
        <v/>
      </c>
      <c r="P2892" s="77">
        <f>IF($A2892="",0,$H2892*설정!$C$23)</f>
        <v/>
      </c>
      <c r="Q2892" s="39">
        <f>IF($A2892="","",IF(O2892&lt;&gt;원인분석!$C$9,"",IF(AND(M2892&gt;=원인분석!$C$10,M2892&lt;=원인분석!$C$11),"당기",IF(AND(M2892&gt;=원인분석!$C$12,M2892&lt;=원인분석!$C$13),"비교",""))))</f>
        <v/>
      </c>
      <c r="R2892" s="9">
        <f>IF(Q2892="","",$K2892&amp;"")</f>
        <v/>
      </c>
      <c r="S2892" s="9">
        <f>IF(Q2892="","",IF(MATCH(R2892,$R$5:$R$100000,0)=ROW()-4,ROW(),""))</f>
        <v/>
      </c>
      <c r="T2892" s="9">
        <f>IF(Q2892="당기",ABS(P2892)+ROW()/1000000000,"")</f>
        <v/>
      </c>
      <c r="U2892" s="9">
        <f>IF(Q2892="비교",ABS(P2892)+ROW()/1000000000,"")</f>
        <v/>
      </c>
      <c r="V2892" s="39">
        <f>IF($A2892="","",IF(COUNTIF(변동분석!$E$7:$E$506,O2892)&gt;0,"Y","N"))</f>
        <v/>
      </c>
      <c r="W2892" s="39">
        <f>IF($A2892="","",IFERROR(INDEX(계정매핑!$D$5:$D$504,MATCH($F2892&amp;"",계정매핑!$A$5:$A$504,0)),"미매핑"))</f>
        <v/>
      </c>
      <c r="X2892" s="9">
        <f>IF($A2892="","",$F2892&amp;"")</f>
        <v/>
      </c>
    </row>
    <row r="2893">
      <c r="A2893" s="75" t="n">
        <v>2026</v>
      </c>
      <c r="B2893" s="75" t="n">
        <v>3</v>
      </c>
      <c r="C2893" s="75" t="inlineStr">
        <is>
          <t>5100000549</t>
        </is>
      </c>
      <c r="D2893" s="78" t="n">
        <v>46104</v>
      </c>
      <c r="E2893" s="75" t="inlineStr">
        <is>
          <t>KR</t>
        </is>
      </c>
      <c r="F2893" s="75" t="n">
        <v>62101000</v>
      </c>
      <c r="G2893" s="75" t="n">
        <v>1101</v>
      </c>
      <c r="H2893" s="76" t="n">
        <v>602000</v>
      </c>
      <c r="I2893" s="75" t="inlineStr">
        <is>
          <t>3월 국내출장 - L여행사</t>
        </is>
      </c>
      <c r="J2893" s="75" t="inlineStr">
        <is>
          <t>V10014</t>
        </is>
      </c>
      <c r="K2893" s="75" t="inlineStr">
        <is>
          <t>L여행사</t>
        </is>
      </c>
      <c r="M2893" s="9">
        <f>IF($A2893="","",VALUE($A2893&amp;"")*12+VALUE($B2893&amp;""))</f>
        <v/>
      </c>
      <c r="N2893" s="39">
        <f>IF($A2893="","",IFERROR(INDEX(부서매핑!$C$5:$C$504,MATCH($G2893&amp;"",부서매핑!$A$5:$A$504,0)),"미매핑"))</f>
        <v/>
      </c>
      <c r="O2893" s="9">
        <f>IF($A2893="","",N2893&amp;"|"&amp;$F2893)</f>
        <v/>
      </c>
      <c r="P2893" s="77">
        <f>IF($A2893="",0,$H2893*설정!$C$23)</f>
        <v/>
      </c>
      <c r="Q2893" s="39">
        <f>IF($A2893="","",IF(O2893&lt;&gt;원인분석!$C$9,"",IF(AND(M2893&gt;=원인분석!$C$10,M2893&lt;=원인분석!$C$11),"당기",IF(AND(M2893&gt;=원인분석!$C$12,M2893&lt;=원인분석!$C$13),"비교",""))))</f>
        <v/>
      </c>
      <c r="R2893" s="9">
        <f>IF(Q2893="","",$K2893&amp;"")</f>
        <v/>
      </c>
      <c r="S2893" s="9">
        <f>IF(Q2893="","",IF(MATCH(R2893,$R$5:$R$100000,0)=ROW()-4,ROW(),""))</f>
        <v/>
      </c>
      <c r="T2893" s="9">
        <f>IF(Q2893="당기",ABS(P2893)+ROW()/1000000000,"")</f>
        <v/>
      </c>
      <c r="U2893" s="9">
        <f>IF(Q2893="비교",ABS(P2893)+ROW()/1000000000,"")</f>
        <v/>
      </c>
      <c r="V2893" s="39">
        <f>IF($A2893="","",IF(COUNTIF(변동분석!$E$7:$E$506,O2893)&gt;0,"Y","N"))</f>
        <v/>
      </c>
      <c r="W2893" s="39">
        <f>IF($A2893="","",IFERROR(INDEX(계정매핑!$D$5:$D$504,MATCH($F2893&amp;"",계정매핑!$A$5:$A$504,0)),"미매핑"))</f>
        <v/>
      </c>
      <c r="X2893" s="9">
        <f>IF($A2893="","",$F2893&amp;"")</f>
        <v/>
      </c>
    </row>
    <row r="2894">
      <c r="A2894" s="75" t="n">
        <v>2026</v>
      </c>
      <c r="B2894" s="75" t="n">
        <v>3</v>
      </c>
      <c r="C2894" s="75" t="inlineStr">
        <is>
          <t>5100000550</t>
        </is>
      </c>
      <c r="D2894" s="78" t="n">
        <v>46104</v>
      </c>
      <c r="E2894" s="75" t="inlineStr">
        <is>
          <t>KR</t>
        </is>
      </c>
      <c r="F2894" s="75" t="n">
        <v>62101000</v>
      </c>
      <c r="G2894" s="75" t="n">
        <v>1201</v>
      </c>
      <c r="H2894" s="76" t="n">
        <v>292000</v>
      </c>
      <c r="I2894" s="75" t="inlineStr">
        <is>
          <t>3월 국내출장 - M항공</t>
        </is>
      </c>
      <c r="J2894" s="75" t="inlineStr">
        <is>
          <t>V10001</t>
        </is>
      </c>
      <c r="K2894" s="75" t="inlineStr">
        <is>
          <t>M항공</t>
        </is>
      </c>
      <c r="M2894" s="9">
        <f>IF($A2894="","",VALUE($A2894&amp;"")*12+VALUE($B2894&amp;""))</f>
        <v/>
      </c>
      <c r="N2894" s="39">
        <f>IF($A2894="","",IFERROR(INDEX(부서매핑!$C$5:$C$504,MATCH($G2894&amp;"",부서매핑!$A$5:$A$504,0)),"미매핑"))</f>
        <v/>
      </c>
      <c r="O2894" s="9">
        <f>IF($A2894="","",N2894&amp;"|"&amp;$F2894)</f>
        <v/>
      </c>
      <c r="P2894" s="77">
        <f>IF($A2894="",0,$H2894*설정!$C$23)</f>
        <v/>
      </c>
      <c r="Q2894" s="39">
        <f>IF($A2894="","",IF(O2894&lt;&gt;원인분석!$C$9,"",IF(AND(M2894&gt;=원인분석!$C$10,M2894&lt;=원인분석!$C$11),"당기",IF(AND(M2894&gt;=원인분석!$C$12,M2894&lt;=원인분석!$C$13),"비교",""))))</f>
        <v/>
      </c>
      <c r="R2894" s="9">
        <f>IF(Q2894="","",$K2894&amp;"")</f>
        <v/>
      </c>
      <c r="S2894" s="9">
        <f>IF(Q2894="","",IF(MATCH(R2894,$R$5:$R$100000,0)=ROW()-4,ROW(),""))</f>
        <v/>
      </c>
      <c r="T2894" s="9">
        <f>IF(Q2894="당기",ABS(P2894)+ROW()/1000000000,"")</f>
        <v/>
      </c>
      <c r="U2894" s="9">
        <f>IF(Q2894="비교",ABS(P2894)+ROW()/1000000000,"")</f>
        <v/>
      </c>
      <c r="V2894" s="39">
        <f>IF($A2894="","",IF(COUNTIF(변동분석!$E$7:$E$506,O2894)&gt;0,"Y","N"))</f>
        <v/>
      </c>
      <c r="W2894" s="39">
        <f>IF($A2894="","",IFERROR(INDEX(계정매핑!$D$5:$D$504,MATCH($F2894&amp;"",계정매핑!$A$5:$A$504,0)),"미매핑"))</f>
        <v/>
      </c>
      <c r="X2894" s="9">
        <f>IF($A2894="","",$F2894&amp;"")</f>
        <v/>
      </c>
    </row>
    <row r="2895">
      <c r="A2895" s="75" t="n">
        <v>2026</v>
      </c>
      <c r="B2895" s="75" t="n">
        <v>3</v>
      </c>
      <c r="C2895" s="75" t="inlineStr">
        <is>
          <t>5100000551</t>
        </is>
      </c>
      <c r="D2895" s="78" t="n">
        <v>46104</v>
      </c>
      <c r="E2895" s="75" t="inlineStr">
        <is>
          <t>KR</t>
        </is>
      </c>
      <c r="F2895" s="75" t="n">
        <v>62101000</v>
      </c>
      <c r="G2895" s="75" t="n">
        <v>1301</v>
      </c>
      <c r="H2895" s="76" t="n">
        <v>396000</v>
      </c>
      <c r="I2895" s="75" t="inlineStr">
        <is>
          <t>3월 국내출장 - M항공</t>
        </is>
      </c>
      <c r="J2895" s="75" t="inlineStr">
        <is>
          <t>V10001</t>
        </is>
      </c>
      <c r="K2895" s="75" t="inlineStr">
        <is>
          <t>M항공</t>
        </is>
      </c>
      <c r="M2895" s="9">
        <f>IF($A2895="","",VALUE($A2895&amp;"")*12+VALUE($B2895&amp;""))</f>
        <v/>
      </c>
      <c r="N2895" s="39">
        <f>IF($A2895="","",IFERROR(INDEX(부서매핑!$C$5:$C$504,MATCH($G2895&amp;"",부서매핑!$A$5:$A$504,0)),"미매핑"))</f>
        <v/>
      </c>
      <c r="O2895" s="9">
        <f>IF($A2895="","",N2895&amp;"|"&amp;$F2895)</f>
        <v/>
      </c>
      <c r="P2895" s="77">
        <f>IF($A2895="",0,$H2895*설정!$C$23)</f>
        <v/>
      </c>
      <c r="Q2895" s="39">
        <f>IF($A2895="","",IF(O2895&lt;&gt;원인분석!$C$9,"",IF(AND(M2895&gt;=원인분석!$C$10,M2895&lt;=원인분석!$C$11),"당기",IF(AND(M2895&gt;=원인분석!$C$12,M2895&lt;=원인분석!$C$13),"비교",""))))</f>
        <v/>
      </c>
      <c r="R2895" s="9">
        <f>IF(Q2895="","",$K2895&amp;"")</f>
        <v/>
      </c>
      <c r="S2895" s="9">
        <f>IF(Q2895="","",IF(MATCH(R2895,$R$5:$R$100000,0)=ROW()-4,ROW(),""))</f>
        <v/>
      </c>
      <c r="T2895" s="9">
        <f>IF(Q2895="당기",ABS(P2895)+ROW()/1000000000,"")</f>
        <v/>
      </c>
      <c r="U2895" s="9">
        <f>IF(Q2895="비교",ABS(P2895)+ROW()/1000000000,"")</f>
        <v/>
      </c>
      <c r="V2895" s="39">
        <f>IF($A2895="","",IF(COUNTIF(변동분석!$E$7:$E$506,O2895)&gt;0,"Y","N"))</f>
        <v/>
      </c>
      <c r="W2895" s="39">
        <f>IF($A2895="","",IFERROR(INDEX(계정매핑!$D$5:$D$504,MATCH($F2895&amp;"",계정매핑!$A$5:$A$504,0)),"미매핑"))</f>
        <v/>
      </c>
      <c r="X2895" s="9">
        <f>IF($A2895="","",$F2895&amp;"")</f>
        <v/>
      </c>
    </row>
    <row r="2896">
      <c r="A2896" s="75" t="n">
        <v>2026</v>
      </c>
      <c r="B2896" s="75" t="n">
        <v>3</v>
      </c>
      <c r="C2896" s="75" t="inlineStr">
        <is>
          <t>5100000552</t>
        </is>
      </c>
      <c r="D2896" s="78" t="n">
        <v>46104</v>
      </c>
      <c r="E2896" s="75" t="inlineStr">
        <is>
          <t>KR</t>
        </is>
      </c>
      <c r="F2896" s="75" t="n">
        <v>62101000</v>
      </c>
      <c r="G2896" s="75" t="n">
        <v>1602</v>
      </c>
      <c r="H2896" s="76" t="n">
        <v>927000</v>
      </c>
      <c r="I2896" s="75" t="inlineStr">
        <is>
          <t>3월 국내출장 - M항공</t>
        </is>
      </c>
      <c r="J2896" s="75" t="inlineStr">
        <is>
          <t>V10001</t>
        </is>
      </c>
      <c r="K2896" s="75" t="inlineStr">
        <is>
          <t>M항공</t>
        </is>
      </c>
      <c r="M2896" s="9">
        <f>IF($A2896="","",VALUE($A2896&amp;"")*12+VALUE($B2896&amp;""))</f>
        <v/>
      </c>
      <c r="N2896" s="39">
        <f>IF($A2896="","",IFERROR(INDEX(부서매핑!$C$5:$C$504,MATCH($G2896&amp;"",부서매핑!$A$5:$A$504,0)),"미매핑"))</f>
        <v/>
      </c>
      <c r="O2896" s="9">
        <f>IF($A2896="","",N2896&amp;"|"&amp;$F2896)</f>
        <v/>
      </c>
      <c r="P2896" s="77">
        <f>IF($A2896="",0,$H2896*설정!$C$23)</f>
        <v/>
      </c>
      <c r="Q2896" s="39">
        <f>IF($A2896="","",IF(O2896&lt;&gt;원인분석!$C$9,"",IF(AND(M2896&gt;=원인분석!$C$10,M2896&lt;=원인분석!$C$11),"당기",IF(AND(M2896&gt;=원인분석!$C$12,M2896&lt;=원인분석!$C$13),"비교",""))))</f>
        <v/>
      </c>
      <c r="R2896" s="9">
        <f>IF(Q2896="","",$K2896&amp;"")</f>
        <v/>
      </c>
      <c r="S2896" s="9">
        <f>IF(Q2896="","",IF(MATCH(R2896,$R$5:$R$100000,0)=ROW()-4,ROW(),""))</f>
        <v/>
      </c>
      <c r="T2896" s="9">
        <f>IF(Q2896="당기",ABS(P2896)+ROW()/1000000000,"")</f>
        <v/>
      </c>
      <c r="U2896" s="9">
        <f>IF(Q2896="비교",ABS(P2896)+ROW()/1000000000,"")</f>
        <v/>
      </c>
      <c r="V2896" s="39">
        <f>IF($A2896="","",IF(COUNTIF(변동분석!$E$7:$E$506,O2896)&gt;0,"Y","N"))</f>
        <v/>
      </c>
      <c r="W2896" s="39">
        <f>IF($A2896="","",IFERROR(INDEX(계정매핑!$D$5:$D$504,MATCH($F2896&amp;"",계정매핑!$A$5:$A$504,0)),"미매핑"))</f>
        <v/>
      </c>
      <c r="X2896" s="9">
        <f>IF($A2896="","",$F2896&amp;"")</f>
        <v/>
      </c>
    </row>
    <row r="2897">
      <c r="A2897" s="75" t="n">
        <v>2026</v>
      </c>
      <c r="B2897" s="75" t="n">
        <v>3</v>
      </c>
      <c r="C2897" s="75" t="inlineStr">
        <is>
          <t>5100000553</t>
        </is>
      </c>
      <c r="D2897" s="78" t="n">
        <v>46104</v>
      </c>
      <c r="E2897" s="75" t="inlineStr">
        <is>
          <t>KR</t>
        </is>
      </c>
      <c r="F2897" s="75" t="n">
        <v>62201000</v>
      </c>
      <c r="G2897" s="75" t="n">
        <v>1201</v>
      </c>
      <c r="H2897" s="76" t="n">
        <v>124000</v>
      </c>
      <c r="I2897" s="75" t="inlineStr">
        <is>
          <t>3월 통신요금 - O텔레콤</t>
        </is>
      </c>
      <c r="J2897" s="75" t="inlineStr">
        <is>
          <t>V10002</t>
        </is>
      </c>
      <c r="K2897" s="75" t="inlineStr">
        <is>
          <t>O텔레콤</t>
        </is>
      </c>
      <c r="M2897" s="9">
        <f>IF($A2897="","",VALUE($A2897&amp;"")*12+VALUE($B2897&amp;""))</f>
        <v/>
      </c>
      <c r="N2897" s="39">
        <f>IF($A2897="","",IFERROR(INDEX(부서매핑!$C$5:$C$504,MATCH($G2897&amp;"",부서매핑!$A$5:$A$504,0)),"미매핑"))</f>
        <v/>
      </c>
      <c r="O2897" s="9">
        <f>IF($A2897="","",N2897&amp;"|"&amp;$F2897)</f>
        <v/>
      </c>
      <c r="P2897" s="77">
        <f>IF($A2897="",0,$H2897*설정!$C$23)</f>
        <v/>
      </c>
      <c r="Q2897" s="39">
        <f>IF($A2897="","",IF(O2897&lt;&gt;원인분석!$C$9,"",IF(AND(M2897&gt;=원인분석!$C$10,M2897&lt;=원인분석!$C$11),"당기",IF(AND(M2897&gt;=원인분석!$C$12,M2897&lt;=원인분석!$C$13),"비교",""))))</f>
        <v/>
      </c>
      <c r="R2897" s="9">
        <f>IF(Q2897="","",$K2897&amp;"")</f>
        <v/>
      </c>
      <c r="S2897" s="9">
        <f>IF(Q2897="","",IF(MATCH(R2897,$R$5:$R$100000,0)=ROW()-4,ROW(),""))</f>
        <v/>
      </c>
      <c r="T2897" s="9">
        <f>IF(Q2897="당기",ABS(P2897)+ROW()/1000000000,"")</f>
        <v/>
      </c>
      <c r="U2897" s="9">
        <f>IF(Q2897="비교",ABS(P2897)+ROW()/1000000000,"")</f>
        <v/>
      </c>
      <c r="V2897" s="39">
        <f>IF($A2897="","",IF(COUNTIF(변동분석!$E$7:$E$506,O2897)&gt;0,"Y","N"))</f>
        <v/>
      </c>
      <c r="W2897" s="39">
        <f>IF($A2897="","",IFERROR(INDEX(계정매핑!$D$5:$D$504,MATCH($F2897&amp;"",계정매핑!$A$5:$A$504,0)),"미매핑"))</f>
        <v/>
      </c>
      <c r="X2897" s="9">
        <f>IF($A2897="","",$F2897&amp;"")</f>
        <v/>
      </c>
    </row>
    <row r="2898">
      <c r="A2898" s="75" t="n">
        <v>2026</v>
      </c>
      <c r="B2898" s="75" t="n">
        <v>3</v>
      </c>
      <c r="C2898" s="75" t="inlineStr">
        <is>
          <t>5100000554</t>
        </is>
      </c>
      <c r="D2898" s="78" t="n">
        <v>46104</v>
      </c>
      <c r="E2898" s="75" t="inlineStr">
        <is>
          <t>KR</t>
        </is>
      </c>
      <c r="F2898" s="75" t="n">
        <v>62201000</v>
      </c>
      <c r="G2898" s="75" t="n">
        <v>1701</v>
      </c>
      <c r="H2898" s="76" t="n">
        <v>2177000</v>
      </c>
      <c r="I2898" s="75" t="inlineStr">
        <is>
          <t>3월 통신요금 - O텔레콤</t>
        </is>
      </c>
      <c r="J2898" s="75" t="inlineStr">
        <is>
          <t>V10002</t>
        </is>
      </c>
      <c r="K2898" s="75" t="inlineStr">
        <is>
          <t>O텔레콤</t>
        </is>
      </c>
      <c r="M2898" s="9">
        <f>IF($A2898="","",VALUE($A2898&amp;"")*12+VALUE($B2898&amp;""))</f>
        <v/>
      </c>
      <c r="N2898" s="39">
        <f>IF($A2898="","",IFERROR(INDEX(부서매핑!$C$5:$C$504,MATCH($G2898&amp;"",부서매핑!$A$5:$A$504,0)),"미매핑"))</f>
        <v/>
      </c>
      <c r="O2898" s="9">
        <f>IF($A2898="","",N2898&amp;"|"&amp;$F2898)</f>
        <v/>
      </c>
      <c r="P2898" s="77">
        <f>IF($A2898="",0,$H2898*설정!$C$23)</f>
        <v/>
      </c>
      <c r="Q2898" s="39">
        <f>IF($A2898="","",IF(O2898&lt;&gt;원인분석!$C$9,"",IF(AND(M2898&gt;=원인분석!$C$10,M2898&lt;=원인분석!$C$11),"당기",IF(AND(M2898&gt;=원인분석!$C$12,M2898&lt;=원인분석!$C$13),"비교",""))))</f>
        <v/>
      </c>
      <c r="R2898" s="9">
        <f>IF(Q2898="","",$K2898&amp;"")</f>
        <v/>
      </c>
      <c r="S2898" s="9">
        <f>IF(Q2898="","",IF(MATCH(R2898,$R$5:$R$100000,0)=ROW()-4,ROW(),""))</f>
        <v/>
      </c>
      <c r="T2898" s="9">
        <f>IF(Q2898="당기",ABS(P2898)+ROW()/1000000000,"")</f>
        <v/>
      </c>
      <c r="U2898" s="9">
        <f>IF(Q2898="비교",ABS(P2898)+ROW()/1000000000,"")</f>
        <v/>
      </c>
      <c r="V2898" s="39">
        <f>IF($A2898="","",IF(COUNTIF(변동분석!$E$7:$E$506,O2898)&gt;0,"Y","N"))</f>
        <v/>
      </c>
      <c r="W2898" s="39">
        <f>IF($A2898="","",IFERROR(INDEX(계정매핑!$D$5:$D$504,MATCH($F2898&amp;"",계정매핑!$A$5:$A$504,0)),"미매핑"))</f>
        <v/>
      </c>
      <c r="X2898" s="9">
        <f>IF($A2898="","",$F2898&amp;"")</f>
        <v/>
      </c>
    </row>
    <row r="2899">
      <c r="A2899" s="75" t="n">
        <v>2026</v>
      </c>
      <c r="B2899" s="75" t="n">
        <v>3</v>
      </c>
      <c r="C2899" s="75" t="inlineStr">
        <is>
          <t>5100000555</t>
        </is>
      </c>
      <c r="D2899" s="78" t="n">
        <v>46104</v>
      </c>
      <c r="E2899" s="75" t="inlineStr">
        <is>
          <t>KR</t>
        </is>
      </c>
      <c r="F2899" s="75" t="n">
        <v>62901000</v>
      </c>
      <c r="G2899" s="75" t="n">
        <v>1201</v>
      </c>
      <c r="H2899" s="76" t="n">
        <v>8151000</v>
      </c>
      <c r="I2899" s="75" t="inlineStr">
        <is>
          <t>3월 자문 수수료 - W컨설팅</t>
        </is>
      </c>
      <c r="J2899" s="75" t="inlineStr">
        <is>
          <t>V10009</t>
        </is>
      </c>
      <c r="K2899" s="75" t="inlineStr">
        <is>
          <t>W컨설팅</t>
        </is>
      </c>
      <c r="M2899" s="9">
        <f>IF($A2899="","",VALUE($A2899&amp;"")*12+VALUE($B2899&amp;""))</f>
        <v/>
      </c>
      <c r="N2899" s="39">
        <f>IF($A2899="","",IFERROR(INDEX(부서매핑!$C$5:$C$504,MATCH($G2899&amp;"",부서매핑!$A$5:$A$504,0)),"미매핑"))</f>
        <v/>
      </c>
      <c r="O2899" s="9">
        <f>IF($A2899="","",N2899&amp;"|"&amp;$F2899)</f>
        <v/>
      </c>
      <c r="P2899" s="77">
        <f>IF($A2899="",0,$H2899*설정!$C$23)</f>
        <v/>
      </c>
      <c r="Q2899" s="39">
        <f>IF($A2899="","",IF(O2899&lt;&gt;원인분석!$C$9,"",IF(AND(M2899&gt;=원인분석!$C$10,M2899&lt;=원인분석!$C$11),"당기",IF(AND(M2899&gt;=원인분석!$C$12,M2899&lt;=원인분석!$C$13),"비교",""))))</f>
        <v/>
      </c>
      <c r="R2899" s="9">
        <f>IF(Q2899="","",$K2899&amp;"")</f>
        <v/>
      </c>
      <c r="S2899" s="9">
        <f>IF(Q2899="","",IF(MATCH(R2899,$R$5:$R$100000,0)=ROW()-4,ROW(),""))</f>
        <v/>
      </c>
      <c r="T2899" s="9">
        <f>IF(Q2899="당기",ABS(P2899)+ROW()/1000000000,"")</f>
        <v/>
      </c>
      <c r="U2899" s="9">
        <f>IF(Q2899="비교",ABS(P2899)+ROW()/1000000000,"")</f>
        <v/>
      </c>
      <c r="V2899" s="39">
        <f>IF($A2899="","",IF(COUNTIF(변동분석!$E$7:$E$506,O2899)&gt;0,"Y","N"))</f>
        <v/>
      </c>
      <c r="W2899" s="39">
        <f>IF($A2899="","",IFERROR(INDEX(계정매핑!$D$5:$D$504,MATCH($F2899&amp;"",계정매핑!$A$5:$A$504,0)),"미매핑"))</f>
        <v/>
      </c>
      <c r="X2899" s="9">
        <f>IF($A2899="","",$F2899&amp;"")</f>
        <v/>
      </c>
    </row>
    <row r="2900">
      <c r="A2900" s="75" t="n">
        <v>2026</v>
      </c>
      <c r="B2900" s="75" t="n">
        <v>3</v>
      </c>
      <c r="C2900" s="75" t="inlineStr">
        <is>
          <t>5100000556</t>
        </is>
      </c>
      <c r="D2900" s="78" t="n">
        <v>46104</v>
      </c>
      <c r="E2900" s="75" t="inlineStr">
        <is>
          <t>KR</t>
        </is>
      </c>
      <c r="F2900" s="75" t="n">
        <v>62901000</v>
      </c>
      <c r="G2900" s="75" t="n">
        <v>1401</v>
      </c>
      <c r="H2900" s="76" t="n">
        <v>6483000</v>
      </c>
      <c r="I2900" s="75" t="inlineStr">
        <is>
          <t>3월 자문 수수료 - W컨설팅</t>
        </is>
      </c>
      <c r="J2900" s="75" t="inlineStr">
        <is>
          <t>V10009</t>
        </is>
      </c>
      <c r="K2900" s="75" t="inlineStr">
        <is>
          <t>W컨설팅</t>
        </is>
      </c>
      <c r="M2900" s="9">
        <f>IF($A2900="","",VALUE($A2900&amp;"")*12+VALUE($B2900&amp;""))</f>
        <v/>
      </c>
      <c r="N2900" s="39">
        <f>IF($A2900="","",IFERROR(INDEX(부서매핑!$C$5:$C$504,MATCH($G2900&amp;"",부서매핑!$A$5:$A$504,0)),"미매핑"))</f>
        <v/>
      </c>
      <c r="O2900" s="9">
        <f>IF($A2900="","",N2900&amp;"|"&amp;$F2900)</f>
        <v/>
      </c>
      <c r="P2900" s="77">
        <f>IF($A2900="",0,$H2900*설정!$C$23)</f>
        <v/>
      </c>
      <c r="Q2900" s="39">
        <f>IF($A2900="","",IF(O2900&lt;&gt;원인분석!$C$9,"",IF(AND(M2900&gt;=원인분석!$C$10,M2900&lt;=원인분석!$C$11),"당기",IF(AND(M2900&gt;=원인분석!$C$12,M2900&lt;=원인분석!$C$13),"비교",""))))</f>
        <v/>
      </c>
      <c r="R2900" s="9">
        <f>IF(Q2900="","",$K2900&amp;"")</f>
        <v/>
      </c>
      <c r="S2900" s="9">
        <f>IF(Q2900="","",IF(MATCH(R2900,$R$5:$R$100000,0)=ROW()-4,ROW(),""))</f>
        <v/>
      </c>
      <c r="T2900" s="9">
        <f>IF(Q2900="당기",ABS(P2900)+ROW()/1000000000,"")</f>
        <v/>
      </c>
      <c r="U2900" s="9">
        <f>IF(Q2900="비교",ABS(P2900)+ROW()/1000000000,"")</f>
        <v/>
      </c>
      <c r="V2900" s="39">
        <f>IF($A2900="","",IF(COUNTIF(변동분석!$E$7:$E$506,O2900)&gt;0,"Y","N"))</f>
        <v/>
      </c>
      <c r="W2900" s="39">
        <f>IF($A2900="","",IFERROR(INDEX(계정매핑!$D$5:$D$504,MATCH($F2900&amp;"",계정매핑!$A$5:$A$504,0)),"미매핑"))</f>
        <v/>
      </c>
      <c r="X2900" s="9">
        <f>IF($A2900="","",$F2900&amp;"")</f>
        <v/>
      </c>
    </row>
    <row r="2901">
      <c r="A2901" s="75" t="n">
        <v>2026</v>
      </c>
      <c r="B2901" s="75" t="n">
        <v>3</v>
      </c>
      <c r="C2901" s="75" t="inlineStr">
        <is>
          <t>5100000557</t>
        </is>
      </c>
      <c r="D2901" s="78" t="n">
        <v>46104</v>
      </c>
      <c r="E2901" s="75" t="inlineStr">
        <is>
          <t>KR</t>
        </is>
      </c>
      <c r="F2901" s="75" t="n">
        <v>62902000</v>
      </c>
      <c r="G2901" s="75" t="n">
        <v>1801</v>
      </c>
      <c r="H2901" s="76" t="n">
        <v>3000000</v>
      </c>
      <c r="I2901" s="75" t="inlineStr">
        <is>
          <t>3월 업무 위탁 수수료 - X서비스</t>
        </is>
      </c>
      <c r="J2901" s="75" t="inlineStr">
        <is>
          <t>V10016</t>
        </is>
      </c>
      <c r="K2901" s="75" t="inlineStr">
        <is>
          <t>X서비스</t>
        </is>
      </c>
      <c r="M2901" s="9">
        <f>IF($A2901="","",VALUE($A2901&amp;"")*12+VALUE($B2901&amp;""))</f>
        <v/>
      </c>
      <c r="N2901" s="39">
        <f>IF($A2901="","",IFERROR(INDEX(부서매핑!$C$5:$C$504,MATCH($G2901&amp;"",부서매핑!$A$5:$A$504,0)),"미매핑"))</f>
        <v/>
      </c>
      <c r="O2901" s="9">
        <f>IF($A2901="","",N2901&amp;"|"&amp;$F2901)</f>
        <v/>
      </c>
      <c r="P2901" s="77">
        <f>IF($A2901="",0,$H2901*설정!$C$23)</f>
        <v/>
      </c>
      <c r="Q2901" s="39">
        <f>IF($A2901="","",IF(O2901&lt;&gt;원인분석!$C$9,"",IF(AND(M2901&gt;=원인분석!$C$10,M2901&lt;=원인분석!$C$11),"당기",IF(AND(M2901&gt;=원인분석!$C$12,M2901&lt;=원인분석!$C$13),"비교",""))))</f>
        <v/>
      </c>
      <c r="R2901" s="9">
        <f>IF(Q2901="","",$K2901&amp;"")</f>
        <v/>
      </c>
      <c r="S2901" s="9">
        <f>IF(Q2901="","",IF(MATCH(R2901,$R$5:$R$100000,0)=ROW()-4,ROW(),""))</f>
        <v/>
      </c>
      <c r="T2901" s="9">
        <f>IF(Q2901="당기",ABS(P2901)+ROW()/1000000000,"")</f>
        <v/>
      </c>
      <c r="U2901" s="9">
        <f>IF(Q2901="비교",ABS(P2901)+ROW()/1000000000,"")</f>
        <v/>
      </c>
      <c r="V2901" s="39">
        <f>IF($A2901="","",IF(COUNTIF(변동분석!$E$7:$E$506,O2901)&gt;0,"Y","N"))</f>
        <v/>
      </c>
      <c r="W2901" s="39">
        <f>IF($A2901="","",IFERROR(INDEX(계정매핑!$D$5:$D$504,MATCH($F2901&amp;"",계정매핑!$A$5:$A$504,0)),"미매핑"))</f>
        <v/>
      </c>
      <c r="X2901" s="9">
        <f>IF($A2901="","",$F2901&amp;"")</f>
        <v/>
      </c>
    </row>
    <row r="2902">
      <c r="A2902" s="75" t="n">
        <v>2026</v>
      </c>
      <c r="B2902" s="75" t="n">
        <v>3</v>
      </c>
      <c r="C2902" s="75" t="inlineStr">
        <is>
          <t>5100000558</t>
        </is>
      </c>
      <c r="D2902" s="78" t="n">
        <v>46105</v>
      </c>
      <c r="E2902" s="75" t="inlineStr">
        <is>
          <t>KR</t>
        </is>
      </c>
      <c r="F2902" s="75" t="n">
        <v>62101000</v>
      </c>
      <c r="G2902" s="75" t="n">
        <v>1201</v>
      </c>
      <c r="H2902" s="76" t="n">
        <v>237000</v>
      </c>
      <c r="I2902" s="75" t="inlineStr">
        <is>
          <t>3월 국내출장 - (법인카드)</t>
        </is>
      </c>
      <c r="J2902" s="75" t="inlineStr">
        <is>
          <t>V10008</t>
        </is>
      </c>
      <c r="K2902" s="75" t="inlineStr">
        <is>
          <t>(법인카드)</t>
        </is>
      </c>
      <c r="M2902" s="9">
        <f>IF($A2902="","",VALUE($A2902&amp;"")*12+VALUE($B2902&amp;""))</f>
        <v/>
      </c>
      <c r="N2902" s="39">
        <f>IF($A2902="","",IFERROR(INDEX(부서매핑!$C$5:$C$504,MATCH($G2902&amp;"",부서매핑!$A$5:$A$504,0)),"미매핑"))</f>
        <v/>
      </c>
      <c r="O2902" s="9">
        <f>IF($A2902="","",N2902&amp;"|"&amp;$F2902)</f>
        <v/>
      </c>
      <c r="P2902" s="77">
        <f>IF($A2902="",0,$H2902*설정!$C$23)</f>
        <v/>
      </c>
      <c r="Q2902" s="39">
        <f>IF($A2902="","",IF(O2902&lt;&gt;원인분석!$C$9,"",IF(AND(M2902&gt;=원인분석!$C$10,M2902&lt;=원인분석!$C$11),"당기",IF(AND(M2902&gt;=원인분석!$C$12,M2902&lt;=원인분석!$C$13),"비교",""))))</f>
        <v/>
      </c>
      <c r="R2902" s="9">
        <f>IF(Q2902="","",$K2902&amp;"")</f>
        <v/>
      </c>
      <c r="S2902" s="9">
        <f>IF(Q2902="","",IF(MATCH(R2902,$R$5:$R$100000,0)=ROW()-4,ROW(),""))</f>
        <v/>
      </c>
      <c r="T2902" s="9">
        <f>IF(Q2902="당기",ABS(P2902)+ROW()/1000000000,"")</f>
        <v/>
      </c>
      <c r="U2902" s="9">
        <f>IF(Q2902="비교",ABS(P2902)+ROW()/1000000000,"")</f>
        <v/>
      </c>
      <c r="V2902" s="39">
        <f>IF($A2902="","",IF(COUNTIF(변동분석!$E$7:$E$506,O2902)&gt;0,"Y","N"))</f>
        <v/>
      </c>
      <c r="W2902" s="39">
        <f>IF($A2902="","",IFERROR(INDEX(계정매핑!$D$5:$D$504,MATCH($F2902&amp;"",계정매핑!$A$5:$A$504,0)),"미매핑"))</f>
        <v/>
      </c>
      <c r="X2902" s="9">
        <f>IF($A2902="","",$F2902&amp;"")</f>
        <v/>
      </c>
    </row>
    <row r="2903">
      <c r="A2903" s="75" t="n">
        <v>2026</v>
      </c>
      <c r="B2903" s="75" t="n">
        <v>3</v>
      </c>
      <c r="C2903" s="75" t="inlineStr">
        <is>
          <t>5100000559</t>
        </is>
      </c>
      <c r="D2903" s="78" t="n">
        <v>46105</v>
      </c>
      <c r="E2903" s="75" t="inlineStr">
        <is>
          <t>KR</t>
        </is>
      </c>
      <c r="F2903" s="75" t="n">
        <v>62101000</v>
      </c>
      <c r="G2903" s="75" t="n">
        <v>1801</v>
      </c>
      <c r="H2903" s="76" t="n">
        <v>203000</v>
      </c>
      <c r="I2903" s="75" t="inlineStr">
        <is>
          <t>3월 국내출장 - L여행사</t>
        </is>
      </c>
      <c r="J2903" s="75" t="inlineStr">
        <is>
          <t>V10014</t>
        </is>
      </c>
      <c r="K2903" s="75" t="inlineStr">
        <is>
          <t>L여행사</t>
        </is>
      </c>
      <c r="M2903" s="9">
        <f>IF($A2903="","",VALUE($A2903&amp;"")*12+VALUE($B2903&amp;""))</f>
        <v/>
      </c>
      <c r="N2903" s="39">
        <f>IF($A2903="","",IFERROR(INDEX(부서매핑!$C$5:$C$504,MATCH($G2903&amp;"",부서매핑!$A$5:$A$504,0)),"미매핑"))</f>
        <v/>
      </c>
      <c r="O2903" s="9">
        <f>IF($A2903="","",N2903&amp;"|"&amp;$F2903)</f>
        <v/>
      </c>
      <c r="P2903" s="77">
        <f>IF($A2903="",0,$H2903*설정!$C$23)</f>
        <v/>
      </c>
      <c r="Q2903" s="39">
        <f>IF($A2903="","",IF(O2903&lt;&gt;원인분석!$C$9,"",IF(AND(M2903&gt;=원인분석!$C$10,M2903&lt;=원인분석!$C$11),"당기",IF(AND(M2903&gt;=원인분석!$C$12,M2903&lt;=원인분석!$C$13),"비교",""))))</f>
        <v/>
      </c>
      <c r="R2903" s="9">
        <f>IF(Q2903="","",$K2903&amp;"")</f>
        <v/>
      </c>
      <c r="S2903" s="9">
        <f>IF(Q2903="","",IF(MATCH(R2903,$R$5:$R$100000,0)=ROW()-4,ROW(),""))</f>
        <v/>
      </c>
      <c r="T2903" s="9">
        <f>IF(Q2903="당기",ABS(P2903)+ROW()/1000000000,"")</f>
        <v/>
      </c>
      <c r="U2903" s="9">
        <f>IF(Q2903="비교",ABS(P2903)+ROW()/1000000000,"")</f>
        <v/>
      </c>
      <c r="V2903" s="39">
        <f>IF($A2903="","",IF(COUNTIF(변동분석!$E$7:$E$506,O2903)&gt;0,"Y","N"))</f>
        <v/>
      </c>
      <c r="W2903" s="39">
        <f>IF($A2903="","",IFERROR(INDEX(계정매핑!$D$5:$D$504,MATCH($F2903&amp;"",계정매핑!$A$5:$A$504,0)),"미매핑"))</f>
        <v/>
      </c>
      <c r="X2903" s="9">
        <f>IF($A2903="","",$F2903&amp;"")</f>
        <v/>
      </c>
    </row>
    <row r="2904">
      <c r="A2904" s="75" t="n">
        <v>2026</v>
      </c>
      <c r="B2904" s="75" t="n">
        <v>3</v>
      </c>
      <c r="C2904" s="75" t="inlineStr">
        <is>
          <t>5100000560</t>
        </is>
      </c>
      <c r="D2904" s="78" t="n">
        <v>46105</v>
      </c>
      <c r="E2904" s="75" t="inlineStr">
        <is>
          <t>KR</t>
        </is>
      </c>
      <c r="F2904" s="75" t="n">
        <v>62902000</v>
      </c>
      <c r="G2904" s="75" t="n">
        <v>1201</v>
      </c>
      <c r="H2904" s="76" t="n">
        <v>2792000</v>
      </c>
      <c r="I2904" s="75" t="inlineStr">
        <is>
          <t>3월 업무 위탁 수수료 - X서비스</t>
        </is>
      </c>
      <c r="J2904" s="75" t="inlineStr">
        <is>
          <t>V10016</t>
        </is>
      </c>
      <c r="K2904" s="75" t="inlineStr">
        <is>
          <t>X서비스</t>
        </is>
      </c>
      <c r="M2904" s="9">
        <f>IF($A2904="","",VALUE($A2904&amp;"")*12+VALUE($B2904&amp;""))</f>
        <v/>
      </c>
      <c r="N2904" s="39">
        <f>IF($A2904="","",IFERROR(INDEX(부서매핑!$C$5:$C$504,MATCH($G2904&amp;"",부서매핑!$A$5:$A$504,0)),"미매핑"))</f>
        <v/>
      </c>
      <c r="O2904" s="9">
        <f>IF($A2904="","",N2904&amp;"|"&amp;$F2904)</f>
        <v/>
      </c>
      <c r="P2904" s="77">
        <f>IF($A2904="",0,$H2904*설정!$C$23)</f>
        <v/>
      </c>
      <c r="Q2904" s="39">
        <f>IF($A2904="","",IF(O2904&lt;&gt;원인분석!$C$9,"",IF(AND(M2904&gt;=원인분석!$C$10,M2904&lt;=원인분석!$C$11),"당기",IF(AND(M2904&gt;=원인분석!$C$12,M2904&lt;=원인분석!$C$13),"비교",""))))</f>
        <v/>
      </c>
      <c r="R2904" s="9">
        <f>IF(Q2904="","",$K2904&amp;"")</f>
        <v/>
      </c>
      <c r="S2904" s="9">
        <f>IF(Q2904="","",IF(MATCH(R2904,$R$5:$R$100000,0)=ROW()-4,ROW(),""))</f>
        <v/>
      </c>
      <c r="T2904" s="9">
        <f>IF(Q2904="당기",ABS(P2904)+ROW()/1000000000,"")</f>
        <v/>
      </c>
      <c r="U2904" s="9">
        <f>IF(Q2904="비교",ABS(P2904)+ROW()/1000000000,"")</f>
        <v/>
      </c>
      <c r="V2904" s="39">
        <f>IF($A2904="","",IF(COUNTIF(변동분석!$E$7:$E$506,O2904)&gt;0,"Y","N"))</f>
        <v/>
      </c>
      <c r="W2904" s="39">
        <f>IF($A2904="","",IFERROR(INDEX(계정매핑!$D$5:$D$504,MATCH($F2904&amp;"",계정매핑!$A$5:$A$504,0)),"미매핑"))</f>
        <v/>
      </c>
      <c r="X2904" s="9">
        <f>IF($A2904="","",$F2904&amp;"")</f>
        <v/>
      </c>
    </row>
    <row r="2905">
      <c r="A2905" s="75" t="n">
        <v>2026</v>
      </c>
      <c r="B2905" s="75" t="n">
        <v>3</v>
      </c>
      <c r="C2905" s="75" t="inlineStr">
        <is>
          <t>5100000561</t>
        </is>
      </c>
      <c r="D2905" s="78" t="n">
        <v>46105</v>
      </c>
      <c r="E2905" s="75" t="inlineStr">
        <is>
          <t>KR</t>
        </is>
      </c>
      <c r="F2905" s="75" t="n">
        <v>63101000</v>
      </c>
      <c r="G2905" s="75" t="n">
        <v>1601</v>
      </c>
      <c r="H2905" s="76" t="n">
        <v>5967000</v>
      </c>
      <c r="I2905" s="75" t="inlineStr">
        <is>
          <t>3월 사무실 임차료 - AA빌딩</t>
        </is>
      </c>
      <c r="J2905" s="75" t="inlineStr">
        <is>
          <t>V10006</t>
        </is>
      </c>
      <c r="K2905" s="75" t="inlineStr">
        <is>
          <t>AA빌딩</t>
        </is>
      </c>
      <c r="M2905" s="9">
        <f>IF($A2905="","",VALUE($A2905&amp;"")*12+VALUE($B2905&amp;""))</f>
        <v/>
      </c>
      <c r="N2905" s="39">
        <f>IF($A2905="","",IFERROR(INDEX(부서매핑!$C$5:$C$504,MATCH($G2905&amp;"",부서매핑!$A$5:$A$504,0)),"미매핑"))</f>
        <v/>
      </c>
      <c r="O2905" s="9">
        <f>IF($A2905="","",N2905&amp;"|"&amp;$F2905)</f>
        <v/>
      </c>
      <c r="P2905" s="77">
        <f>IF($A2905="",0,$H2905*설정!$C$23)</f>
        <v/>
      </c>
      <c r="Q2905" s="39">
        <f>IF($A2905="","",IF(O2905&lt;&gt;원인분석!$C$9,"",IF(AND(M2905&gt;=원인분석!$C$10,M2905&lt;=원인분석!$C$11),"당기",IF(AND(M2905&gt;=원인분석!$C$12,M2905&lt;=원인분석!$C$13),"비교",""))))</f>
        <v/>
      </c>
      <c r="R2905" s="9">
        <f>IF(Q2905="","",$K2905&amp;"")</f>
        <v/>
      </c>
      <c r="S2905" s="9">
        <f>IF(Q2905="","",IF(MATCH(R2905,$R$5:$R$100000,0)=ROW()-4,ROW(),""))</f>
        <v/>
      </c>
      <c r="T2905" s="9">
        <f>IF(Q2905="당기",ABS(P2905)+ROW()/1000000000,"")</f>
        <v/>
      </c>
      <c r="U2905" s="9">
        <f>IF(Q2905="비교",ABS(P2905)+ROW()/1000000000,"")</f>
        <v/>
      </c>
      <c r="V2905" s="39">
        <f>IF($A2905="","",IF(COUNTIF(변동분석!$E$7:$E$506,O2905)&gt;0,"Y","N"))</f>
        <v/>
      </c>
      <c r="W2905" s="39">
        <f>IF($A2905="","",IFERROR(INDEX(계정매핑!$D$5:$D$504,MATCH($F2905&amp;"",계정매핑!$A$5:$A$504,0)),"미매핑"))</f>
        <v/>
      </c>
      <c r="X2905" s="9">
        <f>IF($A2905="","",$F2905&amp;"")</f>
        <v/>
      </c>
    </row>
    <row r="2906">
      <c r="A2906" s="75" t="n">
        <v>2026</v>
      </c>
      <c r="B2906" s="75" t="n">
        <v>3</v>
      </c>
      <c r="C2906" s="75" t="inlineStr">
        <is>
          <t>5100000562</t>
        </is>
      </c>
      <c r="D2906" s="78" t="n">
        <v>46106</v>
      </c>
      <c r="E2906" s="75" t="inlineStr">
        <is>
          <t>KR</t>
        </is>
      </c>
      <c r="F2906" s="75" t="n">
        <v>62101000</v>
      </c>
      <c r="G2906" s="75" t="n">
        <v>1602</v>
      </c>
      <c r="H2906" s="76" t="n">
        <v>1166000</v>
      </c>
      <c r="I2906" s="75" t="inlineStr">
        <is>
          <t>3월 국내출장 - L여행사</t>
        </is>
      </c>
      <c r="J2906" s="75" t="inlineStr">
        <is>
          <t>V10014</t>
        </is>
      </c>
      <c r="K2906" s="75" t="inlineStr">
        <is>
          <t>L여행사</t>
        </is>
      </c>
      <c r="M2906" s="9">
        <f>IF($A2906="","",VALUE($A2906&amp;"")*12+VALUE($B2906&amp;""))</f>
        <v/>
      </c>
      <c r="N2906" s="39">
        <f>IF($A2906="","",IFERROR(INDEX(부서매핑!$C$5:$C$504,MATCH($G2906&amp;"",부서매핑!$A$5:$A$504,0)),"미매핑"))</f>
        <v/>
      </c>
      <c r="O2906" s="9">
        <f>IF($A2906="","",N2906&amp;"|"&amp;$F2906)</f>
        <v/>
      </c>
      <c r="P2906" s="77">
        <f>IF($A2906="",0,$H2906*설정!$C$23)</f>
        <v/>
      </c>
      <c r="Q2906" s="39">
        <f>IF($A2906="","",IF(O2906&lt;&gt;원인분석!$C$9,"",IF(AND(M2906&gt;=원인분석!$C$10,M2906&lt;=원인분석!$C$11),"당기",IF(AND(M2906&gt;=원인분석!$C$12,M2906&lt;=원인분석!$C$13),"비교",""))))</f>
        <v/>
      </c>
      <c r="R2906" s="9">
        <f>IF(Q2906="","",$K2906&amp;"")</f>
        <v/>
      </c>
      <c r="S2906" s="9">
        <f>IF(Q2906="","",IF(MATCH(R2906,$R$5:$R$100000,0)=ROW()-4,ROW(),""))</f>
        <v/>
      </c>
      <c r="T2906" s="9">
        <f>IF(Q2906="당기",ABS(P2906)+ROW()/1000000000,"")</f>
        <v/>
      </c>
      <c r="U2906" s="9">
        <f>IF(Q2906="비교",ABS(P2906)+ROW()/1000000000,"")</f>
        <v/>
      </c>
      <c r="V2906" s="39">
        <f>IF($A2906="","",IF(COUNTIF(변동분석!$E$7:$E$506,O2906)&gt;0,"Y","N"))</f>
        <v/>
      </c>
      <c r="W2906" s="39">
        <f>IF($A2906="","",IFERROR(INDEX(계정매핑!$D$5:$D$504,MATCH($F2906&amp;"",계정매핑!$A$5:$A$504,0)),"미매핑"))</f>
        <v/>
      </c>
      <c r="X2906" s="9">
        <f>IF($A2906="","",$F2906&amp;"")</f>
        <v/>
      </c>
    </row>
    <row r="2907">
      <c r="A2907" s="75" t="n">
        <v>2026</v>
      </c>
      <c r="B2907" s="75" t="n">
        <v>3</v>
      </c>
      <c r="C2907" s="75" t="inlineStr">
        <is>
          <t>5100000563</t>
        </is>
      </c>
      <c r="D2907" s="78" t="n">
        <v>46106</v>
      </c>
      <c r="E2907" s="75" t="inlineStr">
        <is>
          <t>KR</t>
        </is>
      </c>
      <c r="F2907" s="75" t="n">
        <v>62102000</v>
      </c>
      <c r="G2907" s="75" t="n">
        <v>1101</v>
      </c>
      <c r="H2907" s="76" t="n">
        <v>150000</v>
      </c>
      <c r="I2907" s="75" t="inlineStr">
        <is>
          <t>3월 해외출장 - M항공</t>
        </is>
      </c>
      <c r="J2907" s="75" t="inlineStr">
        <is>
          <t>V10001</t>
        </is>
      </c>
      <c r="K2907" s="75" t="inlineStr">
        <is>
          <t>M항공</t>
        </is>
      </c>
      <c r="M2907" s="9">
        <f>IF($A2907="","",VALUE($A2907&amp;"")*12+VALUE($B2907&amp;""))</f>
        <v/>
      </c>
      <c r="N2907" s="39">
        <f>IF($A2907="","",IFERROR(INDEX(부서매핑!$C$5:$C$504,MATCH($G2907&amp;"",부서매핑!$A$5:$A$504,0)),"미매핑"))</f>
        <v/>
      </c>
      <c r="O2907" s="9">
        <f>IF($A2907="","",N2907&amp;"|"&amp;$F2907)</f>
        <v/>
      </c>
      <c r="P2907" s="77">
        <f>IF($A2907="",0,$H2907*설정!$C$23)</f>
        <v/>
      </c>
      <c r="Q2907" s="39">
        <f>IF($A2907="","",IF(O2907&lt;&gt;원인분석!$C$9,"",IF(AND(M2907&gt;=원인분석!$C$10,M2907&lt;=원인분석!$C$11),"당기",IF(AND(M2907&gt;=원인분석!$C$12,M2907&lt;=원인분석!$C$13),"비교",""))))</f>
        <v/>
      </c>
      <c r="R2907" s="9">
        <f>IF(Q2907="","",$K2907&amp;"")</f>
        <v/>
      </c>
      <c r="S2907" s="9">
        <f>IF(Q2907="","",IF(MATCH(R2907,$R$5:$R$100000,0)=ROW()-4,ROW(),""))</f>
        <v/>
      </c>
      <c r="T2907" s="9">
        <f>IF(Q2907="당기",ABS(P2907)+ROW()/1000000000,"")</f>
        <v/>
      </c>
      <c r="U2907" s="9">
        <f>IF(Q2907="비교",ABS(P2907)+ROW()/1000000000,"")</f>
        <v/>
      </c>
      <c r="V2907" s="39">
        <f>IF($A2907="","",IF(COUNTIF(변동분석!$E$7:$E$506,O2907)&gt;0,"Y","N"))</f>
        <v/>
      </c>
      <c r="W2907" s="39">
        <f>IF($A2907="","",IFERROR(INDEX(계정매핑!$D$5:$D$504,MATCH($F2907&amp;"",계정매핑!$A$5:$A$504,0)),"미매핑"))</f>
        <v/>
      </c>
      <c r="X2907" s="9">
        <f>IF($A2907="","",$F2907&amp;"")</f>
        <v/>
      </c>
    </row>
    <row r="2908">
      <c r="A2908" s="75" t="n">
        <v>2026</v>
      </c>
      <c r="B2908" s="75" t="n">
        <v>3</v>
      </c>
      <c r="C2908" s="75" t="inlineStr">
        <is>
          <t>5100000564</t>
        </is>
      </c>
      <c r="D2908" s="78" t="n">
        <v>46106</v>
      </c>
      <c r="E2908" s="75" t="inlineStr">
        <is>
          <t>KR</t>
        </is>
      </c>
      <c r="F2908" s="75" t="n">
        <v>62102000</v>
      </c>
      <c r="G2908" s="75" t="n">
        <v>1201</v>
      </c>
      <c r="H2908" s="76" t="n">
        <v>74000</v>
      </c>
      <c r="I2908" s="75" t="inlineStr">
        <is>
          <t>3월 해외출장 - N호텔</t>
        </is>
      </c>
      <c r="J2908" s="75" t="inlineStr">
        <is>
          <t>V10007</t>
        </is>
      </c>
      <c r="K2908" s="75" t="inlineStr">
        <is>
          <t>N호텔</t>
        </is>
      </c>
      <c r="M2908" s="9">
        <f>IF($A2908="","",VALUE($A2908&amp;"")*12+VALUE($B2908&amp;""))</f>
        <v/>
      </c>
      <c r="N2908" s="39">
        <f>IF($A2908="","",IFERROR(INDEX(부서매핑!$C$5:$C$504,MATCH($G2908&amp;"",부서매핑!$A$5:$A$504,0)),"미매핑"))</f>
        <v/>
      </c>
      <c r="O2908" s="9">
        <f>IF($A2908="","",N2908&amp;"|"&amp;$F2908)</f>
        <v/>
      </c>
      <c r="P2908" s="77">
        <f>IF($A2908="",0,$H2908*설정!$C$23)</f>
        <v/>
      </c>
      <c r="Q2908" s="39">
        <f>IF($A2908="","",IF(O2908&lt;&gt;원인분석!$C$9,"",IF(AND(M2908&gt;=원인분석!$C$10,M2908&lt;=원인분석!$C$11),"당기",IF(AND(M2908&gt;=원인분석!$C$12,M2908&lt;=원인분석!$C$13),"비교",""))))</f>
        <v/>
      </c>
      <c r="R2908" s="9">
        <f>IF(Q2908="","",$K2908&amp;"")</f>
        <v/>
      </c>
      <c r="S2908" s="9">
        <f>IF(Q2908="","",IF(MATCH(R2908,$R$5:$R$100000,0)=ROW()-4,ROW(),""))</f>
        <v/>
      </c>
      <c r="T2908" s="9">
        <f>IF(Q2908="당기",ABS(P2908)+ROW()/1000000000,"")</f>
        <v/>
      </c>
      <c r="U2908" s="9">
        <f>IF(Q2908="비교",ABS(P2908)+ROW()/1000000000,"")</f>
        <v/>
      </c>
      <c r="V2908" s="39">
        <f>IF($A2908="","",IF(COUNTIF(변동분석!$E$7:$E$506,O2908)&gt;0,"Y","N"))</f>
        <v/>
      </c>
      <c r="W2908" s="39">
        <f>IF($A2908="","",IFERROR(INDEX(계정매핑!$D$5:$D$504,MATCH($F2908&amp;"",계정매핑!$A$5:$A$504,0)),"미매핑"))</f>
        <v/>
      </c>
      <c r="X2908" s="9">
        <f>IF($A2908="","",$F2908&amp;"")</f>
        <v/>
      </c>
    </row>
    <row r="2909">
      <c r="A2909" s="75" t="n">
        <v>2026</v>
      </c>
      <c r="B2909" s="75" t="n">
        <v>3</v>
      </c>
      <c r="C2909" s="75" t="inlineStr">
        <is>
          <t>5100000565</t>
        </is>
      </c>
      <c r="D2909" s="78" t="n">
        <v>46106</v>
      </c>
      <c r="E2909" s="75" t="inlineStr">
        <is>
          <t>KR</t>
        </is>
      </c>
      <c r="F2909" s="75" t="n">
        <v>62201000</v>
      </c>
      <c r="G2909" s="75" t="n">
        <v>1201</v>
      </c>
      <c r="H2909" s="76" t="n">
        <v>134000</v>
      </c>
      <c r="I2909" s="75" t="inlineStr">
        <is>
          <t>3월 통신요금 - P통신</t>
        </is>
      </c>
      <c r="J2909" s="75" t="inlineStr">
        <is>
          <t>V10011</t>
        </is>
      </c>
      <c r="K2909" s="75" t="inlineStr">
        <is>
          <t>P통신</t>
        </is>
      </c>
      <c r="M2909" s="9">
        <f>IF($A2909="","",VALUE($A2909&amp;"")*12+VALUE($B2909&amp;""))</f>
        <v/>
      </c>
      <c r="N2909" s="39">
        <f>IF($A2909="","",IFERROR(INDEX(부서매핑!$C$5:$C$504,MATCH($G2909&amp;"",부서매핑!$A$5:$A$504,0)),"미매핑"))</f>
        <v/>
      </c>
      <c r="O2909" s="9">
        <f>IF($A2909="","",N2909&amp;"|"&amp;$F2909)</f>
        <v/>
      </c>
      <c r="P2909" s="77">
        <f>IF($A2909="",0,$H2909*설정!$C$23)</f>
        <v/>
      </c>
      <c r="Q2909" s="39">
        <f>IF($A2909="","",IF(O2909&lt;&gt;원인분석!$C$9,"",IF(AND(M2909&gt;=원인분석!$C$10,M2909&lt;=원인분석!$C$11),"당기",IF(AND(M2909&gt;=원인분석!$C$12,M2909&lt;=원인분석!$C$13),"비교",""))))</f>
        <v/>
      </c>
      <c r="R2909" s="9">
        <f>IF(Q2909="","",$K2909&amp;"")</f>
        <v/>
      </c>
      <c r="S2909" s="9">
        <f>IF(Q2909="","",IF(MATCH(R2909,$R$5:$R$100000,0)=ROW()-4,ROW(),""))</f>
        <v/>
      </c>
      <c r="T2909" s="9">
        <f>IF(Q2909="당기",ABS(P2909)+ROW()/1000000000,"")</f>
        <v/>
      </c>
      <c r="U2909" s="9">
        <f>IF(Q2909="비교",ABS(P2909)+ROW()/1000000000,"")</f>
        <v/>
      </c>
      <c r="V2909" s="39">
        <f>IF($A2909="","",IF(COUNTIF(변동분석!$E$7:$E$506,O2909)&gt;0,"Y","N"))</f>
        <v/>
      </c>
      <c r="W2909" s="39">
        <f>IF($A2909="","",IFERROR(INDEX(계정매핑!$D$5:$D$504,MATCH($F2909&amp;"",계정매핑!$A$5:$A$504,0)),"미매핑"))</f>
        <v/>
      </c>
      <c r="X2909" s="9">
        <f>IF($A2909="","",$F2909&amp;"")</f>
        <v/>
      </c>
    </row>
    <row r="2910">
      <c r="A2910" s="75" t="n">
        <v>2026</v>
      </c>
      <c r="B2910" s="75" t="n">
        <v>3</v>
      </c>
      <c r="C2910" s="75" t="inlineStr">
        <is>
          <t>5100000566</t>
        </is>
      </c>
      <c r="D2910" s="78" t="n">
        <v>46106</v>
      </c>
      <c r="E2910" s="75" t="inlineStr">
        <is>
          <t>KR</t>
        </is>
      </c>
      <c r="F2910" s="75" t="n">
        <v>62201000</v>
      </c>
      <c r="G2910" s="75" t="n">
        <v>1501</v>
      </c>
      <c r="H2910" s="76" t="n">
        <v>325000</v>
      </c>
      <c r="I2910" s="75" t="inlineStr">
        <is>
          <t>3월 통신요금 - P통신</t>
        </is>
      </c>
      <c r="J2910" s="75" t="inlineStr">
        <is>
          <t>V10011</t>
        </is>
      </c>
      <c r="K2910" s="75" t="inlineStr">
        <is>
          <t>P통신</t>
        </is>
      </c>
      <c r="M2910" s="9">
        <f>IF($A2910="","",VALUE($A2910&amp;"")*12+VALUE($B2910&amp;""))</f>
        <v/>
      </c>
      <c r="N2910" s="39">
        <f>IF($A2910="","",IFERROR(INDEX(부서매핑!$C$5:$C$504,MATCH($G2910&amp;"",부서매핑!$A$5:$A$504,0)),"미매핑"))</f>
        <v/>
      </c>
      <c r="O2910" s="9">
        <f>IF($A2910="","",N2910&amp;"|"&amp;$F2910)</f>
        <v/>
      </c>
      <c r="P2910" s="77">
        <f>IF($A2910="",0,$H2910*설정!$C$23)</f>
        <v/>
      </c>
      <c r="Q2910" s="39">
        <f>IF($A2910="","",IF(O2910&lt;&gt;원인분석!$C$9,"",IF(AND(M2910&gt;=원인분석!$C$10,M2910&lt;=원인분석!$C$11),"당기",IF(AND(M2910&gt;=원인분석!$C$12,M2910&lt;=원인분석!$C$13),"비교",""))))</f>
        <v/>
      </c>
      <c r="R2910" s="9">
        <f>IF(Q2910="","",$K2910&amp;"")</f>
        <v/>
      </c>
      <c r="S2910" s="9">
        <f>IF(Q2910="","",IF(MATCH(R2910,$R$5:$R$100000,0)=ROW()-4,ROW(),""))</f>
        <v/>
      </c>
      <c r="T2910" s="9">
        <f>IF(Q2910="당기",ABS(P2910)+ROW()/1000000000,"")</f>
        <v/>
      </c>
      <c r="U2910" s="9">
        <f>IF(Q2910="비교",ABS(P2910)+ROW()/1000000000,"")</f>
        <v/>
      </c>
      <c r="V2910" s="39">
        <f>IF($A2910="","",IF(COUNTIF(변동분석!$E$7:$E$506,O2910)&gt;0,"Y","N"))</f>
        <v/>
      </c>
      <c r="W2910" s="39">
        <f>IF($A2910="","",IFERROR(INDEX(계정매핑!$D$5:$D$504,MATCH($F2910&amp;"",계정매핑!$A$5:$A$504,0)),"미매핑"))</f>
        <v/>
      </c>
      <c r="X2910" s="9">
        <f>IF($A2910="","",$F2910&amp;"")</f>
        <v/>
      </c>
    </row>
    <row r="2911">
      <c r="A2911" s="75" t="n">
        <v>2026</v>
      </c>
      <c r="B2911" s="75" t="n">
        <v>3</v>
      </c>
      <c r="C2911" s="75" t="inlineStr">
        <is>
          <t>5100000567</t>
        </is>
      </c>
      <c r="D2911" s="78" t="n">
        <v>46106</v>
      </c>
      <c r="E2911" s="75" t="inlineStr">
        <is>
          <t>KR</t>
        </is>
      </c>
      <c r="F2911" s="75" t="n">
        <v>62301000</v>
      </c>
      <c r="G2911" s="75" t="n">
        <v>1301</v>
      </c>
      <c r="H2911" s="76" t="n">
        <v>320000</v>
      </c>
      <c r="I2911" s="75" t="inlineStr">
        <is>
          <t>3월 소모품 구입 - R문구</t>
        </is>
      </c>
      <c r="J2911" s="75" t="inlineStr">
        <is>
          <t>V10018</t>
        </is>
      </c>
      <c r="K2911" s="75" t="inlineStr">
        <is>
          <t>R문구</t>
        </is>
      </c>
      <c r="M2911" s="9">
        <f>IF($A2911="","",VALUE($A2911&amp;"")*12+VALUE($B2911&amp;""))</f>
        <v/>
      </c>
      <c r="N2911" s="39">
        <f>IF($A2911="","",IFERROR(INDEX(부서매핑!$C$5:$C$504,MATCH($G2911&amp;"",부서매핑!$A$5:$A$504,0)),"미매핑"))</f>
        <v/>
      </c>
      <c r="O2911" s="9">
        <f>IF($A2911="","",N2911&amp;"|"&amp;$F2911)</f>
        <v/>
      </c>
      <c r="P2911" s="77">
        <f>IF($A2911="",0,$H2911*설정!$C$23)</f>
        <v/>
      </c>
      <c r="Q2911" s="39">
        <f>IF($A2911="","",IF(O2911&lt;&gt;원인분석!$C$9,"",IF(AND(M2911&gt;=원인분석!$C$10,M2911&lt;=원인분석!$C$11),"당기",IF(AND(M2911&gt;=원인분석!$C$12,M2911&lt;=원인분석!$C$13),"비교",""))))</f>
        <v/>
      </c>
      <c r="R2911" s="9">
        <f>IF(Q2911="","",$K2911&amp;"")</f>
        <v/>
      </c>
      <c r="S2911" s="9">
        <f>IF(Q2911="","",IF(MATCH(R2911,$R$5:$R$100000,0)=ROW()-4,ROW(),""))</f>
        <v/>
      </c>
      <c r="T2911" s="9">
        <f>IF(Q2911="당기",ABS(P2911)+ROW()/1000000000,"")</f>
        <v/>
      </c>
      <c r="U2911" s="9">
        <f>IF(Q2911="비교",ABS(P2911)+ROW()/1000000000,"")</f>
        <v/>
      </c>
      <c r="V2911" s="39">
        <f>IF($A2911="","",IF(COUNTIF(변동분석!$E$7:$E$506,O2911)&gt;0,"Y","N"))</f>
        <v/>
      </c>
      <c r="W2911" s="39">
        <f>IF($A2911="","",IFERROR(INDEX(계정매핑!$D$5:$D$504,MATCH($F2911&amp;"",계정매핑!$A$5:$A$504,0)),"미매핑"))</f>
        <v/>
      </c>
      <c r="X2911" s="9">
        <f>IF($A2911="","",$F2911&amp;"")</f>
        <v/>
      </c>
    </row>
    <row r="2912">
      <c r="A2912" s="75" t="n">
        <v>2026</v>
      </c>
      <c r="B2912" s="75" t="n">
        <v>3</v>
      </c>
      <c r="C2912" s="75" t="inlineStr">
        <is>
          <t>5100000568</t>
        </is>
      </c>
      <c r="D2912" s="78" t="n">
        <v>46106</v>
      </c>
      <c r="E2912" s="75" t="inlineStr">
        <is>
          <t>KR</t>
        </is>
      </c>
      <c r="F2912" s="75" t="n">
        <v>62501000</v>
      </c>
      <c r="G2912" s="75" t="n">
        <v>1301</v>
      </c>
      <c r="H2912" s="76" t="n">
        <v>164000</v>
      </c>
      <c r="I2912" s="75" t="inlineStr">
        <is>
          <t>3월 회의 다과 - T케이터링</t>
        </is>
      </c>
      <c r="J2912" s="75" t="inlineStr">
        <is>
          <t>V10005</t>
        </is>
      </c>
      <c r="K2912" s="75" t="inlineStr">
        <is>
          <t>T케이터링</t>
        </is>
      </c>
      <c r="M2912" s="9">
        <f>IF($A2912="","",VALUE($A2912&amp;"")*12+VALUE($B2912&amp;""))</f>
        <v/>
      </c>
      <c r="N2912" s="39">
        <f>IF($A2912="","",IFERROR(INDEX(부서매핑!$C$5:$C$504,MATCH($G2912&amp;"",부서매핑!$A$5:$A$504,0)),"미매핑"))</f>
        <v/>
      </c>
      <c r="O2912" s="9">
        <f>IF($A2912="","",N2912&amp;"|"&amp;$F2912)</f>
        <v/>
      </c>
      <c r="P2912" s="77">
        <f>IF($A2912="",0,$H2912*설정!$C$23)</f>
        <v/>
      </c>
      <c r="Q2912" s="39">
        <f>IF($A2912="","",IF(O2912&lt;&gt;원인분석!$C$9,"",IF(AND(M2912&gt;=원인분석!$C$10,M2912&lt;=원인분석!$C$11),"당기",IF(AND(M2912&gt;=원인분석!$C$12,M2912&lt;=원인분석!$C$13),"비교",""))))</f>
        <v/>
      </c>
      <c r="R2912" s="9">
        <f>IF(Q2912="","",$K2912&amp;"")</f>
        <v/>
      </c>
      <c r="S2912" s="9">
        <f>IF(Q2912="","",IF(MATCH(R2912,$R$5:$R$100000,0)=ROW()-4,ROW(),""))</f>
        <v/>
      </c>
      <c r="T2912" s="9">
        <f>IF(Q2912="당기",ABS(P2912)+ROW()/1000000000,"")</f>
        <v/>
      </c>
      <c r="U2912" s="9">
        <f>IF(Q2912="비교",ABS(P2912)+ROW()/1000000000,"")</f>
        <v/>
      </c>
      <c r="V2912" s="39">
        <f>IF($A2912="","",IF(COUNTIF(변동분석!$E$7:$E$506,O2912)&gt;0,"Y","N"))</f>
        <v/>
      </c>
      <c r="W2912" s="39">
        <f>IF($A2912="","",IFERROR(INDEX(계정매핑!$D$5:$D$504,MATCH($F2912&amp;"",계정매핑!$A$5:$A$504,0)),"미매핑"))</f>
        <v/>
      </c>
      <c r="X2912" s="9">
        <f>IF($A2912="","",$F2912&amp;"")</f>
        <v/>
      </c>
    </row>
    <row r="2913">
      <c r="A2913" s="75" t="n">
        <v>2026</v>
      </c>
      <c r="B2913" s="75" t="n">
        <v>3</v>
      </c>
      <c r="C2913" s="75" t="inlineStr">
        <is>
          <t>5100000569</t>
        </is>
      </c>
      <c r="D2913" s="78" t="n">
        <v>46106</v>
      </c>
      <c r="E2913" s="75" t="inlineStr">
        <is>
          <t>KR</t>
        </is>
      </c>
      <c r="F2913" s="75" t="n">
        <v>62802000</v>
      </c>
      <c r="G2913" s="75" t="n">
        <v>1301</v>
      </c>
      <c r="H2913" s="76" t="n">
        <v>3174000</v>
      </c>
      <c r="I2913" s="75" t="inlineStr">
        <is>
          <t>3월 위탁교육 - V아카데미</t>
        </is>
      </c>
      <c r="J2913" s="75" t="inlineStr">
        <is>
          <t>V10023</t>
        </is>
      </c>
      <c r="K2913" s="75" t="inlineStr">
        <is>
          <t>V아카데미</t>
        </is>
      </c>
      <c r="M2913" s="9">
        <f>IF($A2913="","",VALUE($A2913&amp;"")*12+VALUE($B2913&amp;""))</f>
        <v/>
      </c>
      <c r="N2913" s="39">
        <f>IF($A2913="","",IFERROR(INDEX(부서매핑!$C$5:$C$504,MATCH($G2913&amp;"",부서매핑!$A$5:$A$504,0)),"미매핑"))</f>
        <v/>
      </c>
      <c r="O2913" s="9">
        <f>IF($A2913="","",N2913&amp;"|"&amp;$F2913)</f>
        <v/>
      </c>
      <c r="P2913" s="77">
        <f>IF($A2913="",0,$H2913*설정!$C$23)</f>
        <v/>
      </c>
      <c r="Q2913" s="39">
        <f>IF($A2913="","",IF(O2913&lt;&gt;원인분석!$C$9,"",IF(AND(M2913&gt;=원인분석!$C$10,M2913&lt;=원인분석!$C$11),"당기",IF(AND(M2913&gt;=원인분석!$C$12,M2913&lt;=원인분석!$C$13),"비교",""))))</f>
        <v/>
      </c>
      <c r="R2913" s="9">
        <f>IF(Q2913="","",$K2913&amp;"")</f>
        <v/>
      </c>
      <c r="S2913" s="9">
        <f>IF(Q2913="","",IF(MATCH(R2913,$R$5:$R$100000,0)=ROW()-4,ROW(),""))</f>
        <v/>
      </c>
      <c r="T2913" s="9">
        <f>IF(Q2913="당기",ABS(P2913)+ROW()/1000000000,"")</f>
        <v/>
      </c>
      <c r="U2913" s="9">
        <f>IF(Q2913="비교",ABS(P2913)+ROW()/1000000000,"")</f>
        <v/>
      </c>
      <c r="V2913" s="39">
        <f>IF($A2913="","",IF(COUNTIF(변동분석!$E$7:$E$506,O2913)&gt;0,"Y","N"))</f>
        <v/>
      </c>
      <c r="W2913" s="39">
        <f>IF($A2913="","",IFERROR(INDEX(계정매핑!$D$5:$D$504,MATCH($F2913&amp;"",계정매핑!$A$5:$A$504,0)),"미매핑"))</f>
        <v/>
      </c>
      <c r="X2913" s="9">
        <f>IF($A2913="","",$F2913&amp;"")</f>
        <v/>
      </c>
    </row>
    <row r="2914">
      <c r="A2914" s="75" t="n">
        <v>2026</v>
      </c>
      <c r="B2914" s="75" t="n">
        <v>3</v>
      </c>
      <c r="C2914" s="75" t="inlineStr">
        <is>
          <t>5100000570</t>
        </is>
      </c>
      <c r="D2914" s="78" t="n">
        <v>46106</v>
      </c>
      <c r="E2914" s="75" t="inlineStr">
        <is>
          <t>KR</t>
        </is>
      </c>
      <c r="F2914" s="75" t="n">
        <v>63002000</v>
      </c>
      <c r="G2914" s="75" t="n">
        <v>1701</v>
      </c>
      <c r="H2914" s="76" t="n">
        <v>78000000</v>
      </c>
      <c r="I2914" s="75" t="inlineStr">
        <is>
          <t>3월 클라우드 사용료 - C클라우드</t>
        </is>
      </c>
      <c r="J2914" s="75" t="inlineStr">
        <is>
          <t>V10028</t>
        </is>
      </c>
      <c r="K2914" s="75" t="inlineStr">
        <is>
          <t>C클라우드</t>
        </is>
      </c>
      <c r="M2914" s="9">
        <f>IF($A2914="","",VALUE($A2914&amp;"")*12+VALUE($B2914&amp;""))</f>
        <v/>
      </c>
      <c r="N2914" s="39">
        <f>IF($A2914="","",IFERROR(INDEX(부서매핑!$C$5:$C$504,MATCH($G2914&amp;"",부서매핑!$A$5:$A$504,0)),"미매핑"))</f>
        <v/>
      </c>
      <c r="O2914" s="9">
        <f>IF($A2914="","",N2914&amp;"|"&amp;$F2914)</f>
        <v/>
      </c>
      <c r="P2914" s="77">
        <f>IF($A2914="",0,$H2914*설정!$C$23)</f>
        <v/>
      </c>
      <c r="Q2914" s="39">
        <f>IF($A2914="","",IF(O2914&lt;&gt;원인분석!$C$9,"",IF(AND(M2914&gt;=원인분석!$C$10,M2914&lt;=원인분석!$C$11),"당기",IF(AND(M2914&gt;=원인분석!$C$12,M2914&lt;=원인분석!$C$13),"비교",""))))</f>
        <v/>
      </c>
      <c r="R2914" s="9">
        <f>IF(Q2914="","",$K2914&amp;"")</f>
        <v/>
      </c>
      <c r="S2914" s="9">
        <f>IF(Q2914="","",IF(MATCH(R2914,$R$5:$R$100000,0)=ROW()-4,ROW(),""))</f>
        <v/>
      </c>
      <c r="T2914" s="9">
        <f>IF(Q2914="당기",ABS(P2914)+ROW()/1000000000,"")</f>
        <v/>
      </c>
      <c r="U2914" s="9">
        <f>IF(Q2914="비교",ABS(P2914)+ROW()/1000000000,"")</f>
        <v/>
      </c>
      <c r="V2914" s="39">
        <f>IF($A2914="","",IF(COUNTIF(변동분석!$E$7:$E$506,O2914)&gt;0,"Y","N"))</f>
        <v/>
      </c>
      <c r="W2914" s="39">
        <f>IF($A2914="","",IFERROR(INDEX(계정매핑!$D$5:$D$504,MATCH($F2914&amp;"",계정매핑!$A$5:$A$504,0)),"미매핑"))</f>
        <v/>
      </c>
      <c r="X2914" s="9">
        <f>IF($A2914="","",$F2914&amp;"")</f>
        <v/>
      </c>
    </row>
    <row r="2915">
      <c r="A2915" s="75" t="n">
        <v>2026</v>
      </c>
      <c r="B2915" s="75" t="n">
        <v>3</v>
      </c>
      <c r="C2915" s="75" t="inlineStr">
        <is>
          <t>5100000571</t>
        </is>
      </c>
      <c r="D2915" s="78" t="n">
        <v>46107</v>
      </c>
      <c r="E2915" s="75" t="inlineStr">
        <is>
          <t>KR</t>
        </is>
      </c>
      <c r="F2915" s="75" t="n">
        <v>62101000</v>
      </c>
      <c r="G2915" s="75" t="n">
        <v>1201</v>
      </c>
      <c r="H2915" s="76" t="n">
        <v>402000</v>
      </c>
      <c r="I2915" s="75" t="inlineStr">
        <is>
          <t>3월 국내출장 - L여행사</t>
        </is>
      </c>
      <c r="J2915" s="75" t="inlineStr">
        <is>
          <t>V10014</t>
        </is>
      </c>
      <c r="K2915" s="75" t="inlineStr">
        <is>
          <t>L여행사</t>
        </is>
      </c>
      <c r="M2915" s="9">
        <f>IF($A2915="","",VALUE($A2915&amp;"")*12+VALUE($B2915&amp;""))</f>
        <v/>
      </c>
      <c r="N2915" s="39">
        <f>IF($A2915="","",IFERROR(INDEX(부서매핑!$C$5:$C$504,MATCH($G2915&amp;"",부서매핑!$A$5:$A$504,0)),"미매핑"))</f>
        <v/>
      </c>
      <c r="O2915" s="9">
        <f>IF($A2915="","",N2915&amp;"|"&amp;$F2915)</f>
        <v/>
      </c>
      <c r="P2915" s="77">
        <f>IF($A2915="",0,$H2915*설정!$C$23)</f>
        <v/>
      </c>
      <c r="Q2915" s="39">
        <f>IF($A2915="","",IF(O2915&lt;&gt;원인분석!$C$9,"",IF(AND(M2915&gt;=원인분석!$C$10,M2915&lt;=원인분석!$C$11),"당기",IF(AND(M2915&gt;=원인분석!$C$12,M2915&lt;=원인분석!$C$13),"비교",""))))</f>
        <v/>
      </c>
      <c r="R2915" s="9">
        <f>IF(Q2915="","",$K2915&amp;"")</f>
        <v/>
      </c>
      <c r="S2915" s="9">
        <f>IF(Q2915="","",IF(MATCH(R2915,$R$5:$R$100000,0)=ROW()-4,ROW(),""))</f>
        <v/>
      </c>
      <c r="T2915" s="9">
        <f>IF(Q2915="당기",ABS(P2915)+ROW()/1000000000,"")</f>
        <v/>
      </c>
      <c r="U2915" s="9">
        <f>IF(Q2915="비교",ABS(P2915)+ROW()/1000000000,"")</f>
        <v/>
      </c>
      <c r="V2915" s="39">
        <f>IF($A2915="","",IF(COUNTIF(변동분석!$E$7:$E$506,O2915)&gt;0,"Y","N"))</f>
        <v/>
      </c>
      <c r="W2915" s="39">
        <f>IF($A2915="","",IFERROR(INDEX(계정매핑!$D$5:$D$504,MATCH($F2915&amp;"",계정매핑!$A$5:$A$504,0)),"미매핑"))</f>
        <v/>
      </c>
      <c r="X2915" s="9">
        <f>IF($A2915="","",$F2915&amp;"")</f>
        <v/>
      </c>
    </row>
    <row r="2916">
      <c r="A2916" s="75" t="n">
        <v>2026</v>
      </c>
      <c r="B2916" s="75" t="n">
        <v>3</v>
      </c>
      <c r="C2916" s="75" t="inlineStr">
        <is>
          <t>5100000572</t>
        </is>
      </c>
      <c r="D2916" s="78" t="n">
        <v>46107</v>
      </c>
      <c r="E2916" s="75" t="inlineStr">
        <is>
          <t>KR</t>
        </is>
      </c>
      <c r="F2916" s="75" t="n">
        <v>62101000</v>
      </c>
      <c r="G2916" s="75" t="n">
        <v>1301</v>
      </c>
      <c r="H2916" s="76" t="n">
        <v>240000</v>
      </c>
      <c r="I2916" s="75" t="inlineStr">
        <is>
          <t>3월 국내출장 - L여행사</t>
        </is>
      </c>
      <c r="J2916" s="75" t="inlineStr">
        <is>
          <t>V10014</t>
        </is>
      </c>
      <c r="K2916" s="75" t="inlineStr">
        <is>
          <t>L여행사</t>
        </is>
      </c>
      <c r="M2916" s="9">
        <f>IF($A2916="","",VALUE($A2916&amp;"")*12+VALUE($B2916&amp;""))</f>
        <v/>
      </c>
      <c r="N2916" s="39">
        <f>IF($A2916="","",IFERROR(INDEX(부서매핑!$C$5:$C$504,MATCH($G2916&amp;"",부서매핑!$A$5:$A$504,0)),"미매핑"))</f>
        <v/>
      </c>
      <c r="O2916" s="9">
        <f>IF($A2916="","",N2916&amp;"|"&amp;$F2916)</f>
        <v/>
      </c>
      <c r="P2916" s="77">
        <f>IF($A2916="",0,$H2916*설정!$C$23)</f>
        <v/>
      </c>
      <c r="Q2916" s="39">
        <f>IF($A2916="","",IF(O2916&lt;&gt;원인분석!$C$9,"",IF(AND(M2916&gt;=원인분석!$C$10,M2916&lt;=원인분석!$C$11),"당기",IF(AND(M2916&gt;=원인분석!$C$12,M2916&lt;=원인분석!$C$13),"비교",""))))</f>
        <v/>
      </c>
      <c r="R2916" s="9">
        <f>IF(Q2916="","",$K2916&amp;"")</f>
        <v/>
      </c>
      <c r="S2916" s="9">
        <f>IF(Q2916="","",IF(MATCH(R2916,$R$5:$R$100000,0)=ROW()-4,ROW(),""))</f>
        <v/>
      </c>
      <c r="T2916" s="9">
        <f>IF(Q2916="당기",ABS(P2916)+ROW()/1000000000,"")</f>
        <v/>
      </c>
      <c r="U2916" s="9">
        <f>IF(Q2916="비교",ABS(P2916)+ROW()/1000000000,"")</f>
        <v/>
      </c>
      <c r="V2916" s="39">
        <f>IF($A2916="","",IF(COUNTIF(변동분석!$E$7:$E$506,O2916)&gt;0,"Y","N"))</f>
        <v/>
      </c>
      <c r="W2916" s="39">
        <f>IF($A2916="","",IFERROR(INDEX(계정매핑!$D$5:$D$504,MATCH($F2916&amp;"",계정매핑!$A$5:$A$504,0)),"미매핑"))</f>
        <v/>
      </c>
      <c r="X2916" s="9">
        <f>IF($A2916="","",$F2916&amp;"")</f>
        <v/>
      </c>
    </row>
    <row r="2917">
      <c r="A2917" s="75" t="n">
        <v>2026</v>
      </c>
      <c r="B2917" s="75" t="n">
        <v>3</v>
      </c>
      <c r="C2917" s="75" t="inlineStr">
        <is>
          <t>5100000573</t>
        </is>
      </c>
      <c r="D2917" s="78" t="n">
        <v>46107</v>
      </c>
      <c r="E2917" s="75" t="inlineStr">
        <is>
          <t>KR</t>
        </is>
      </c>
      <c r="F2917" s="75" t="n">
        <v>62101000</v>
      </c>
      <c r="G2917" s="75" t="n">
        <v>1801</v>
      </c>
      <c r="H2917" s="76" t="n">
        <v>166000</v>
      </c>
      <c r="I2917" s="75" t="inlineStr">
        <is>
          <t>3월 국내출장 - (법인카드)</t>
        </is>
      </c>
      <c r="J2917" s="75" t="inlineStr">
        <is>
          <t>V10008</t>
        </is>
      </c>
      <c r="K2917" s="75" t="inlineStr">
        <is>
          <t>(법인카드)</t>
        </is>
      </c>
      <c r="M2917" s="9">
        <f>IF($A2917="","",VALUE($A2917&amp;"")*12+VALUE($B2917&amp;""))</f>
        <v/>
      </c>
      <c r="N2917" s="39">
        <f>IF($A2917="","",IFERROR(INDEX(부서매핑!$C$5:$C$504,MATCH($G2917&amp;"",부서매핑!$A$5:$A$504,0)),"미매핑"))</f>
        <v/>
      </c>
      <c r="O2917" s="9">
        <f>IF($A2917="","",N2917&amp;"|"&amp;$F2917)</f>
        <v/>
      </c>
      <c r="P2917" s="77">
        <f>IF($A2917="",0,$H2917*설정!$C$23)</f>
        <v/>
      </c>
      <c r="Q2917" s="39">
        <f>IF($A2917="","",IF(O2917&lt;&gt;원인분석!$C$9,"",IF(AND(M2917&gt;=원인분석!$C$10,M2917&lt;=원인분석!$C$11),"당기",IF(AND(M2917&gt;=원인분석!$C$12,M2917&lt;=원인분석!$C$13),"비교",""))))</f>
        <v/>
      </c>
      <c r="R2917" s="9">
        <f>IF(Q2917="","",$K2917&amp;"")</f>
        <v/>
      </c>
      <c r="S2917" s="9">
        <f>IF(Q2917="","",IF(MATCH(R2917,$R$5:$R$100000,0)=ROW()-4,ROW(),""))</f>
        <v/>
      </c>
      <c r="T2917" s="9">
        <f>IF(Q2917="당기",ABS(P2917)+ROW()/1000000000,"")</f>
        <v/>
      </c>
      <c r="U2917" s="9">
        <f>IF(Q2917="비교",ABS(P2917)+ROW()/1000000000,"")</f>
        <v/>
      </c>
      <c r="V2917" s="39">
        <f>IF($A2917="","",IF(COUNTIF(변동분석!$E$7:$E$506,O2917)&gt;0,"Y","N"))</f>
        <v/>
      </c>
      <c r="W2917" s="39">
        <f>IF($A2917="","",IFERROR(INDEX(계정매핑!$D$5:$D$504,MATCH($F2917&amp;"",계정매핑!$A$5:$A$504,0)),"미매핑"))</f>
        <v/>
      </c>
      <c r="X2917" s="9">
        <f>IF($A2917="","",$F2917&amp;"")</f>
        <v/>
      </c>
    </row>
    <row r="2918">
      <c r="A2918" s="75" t="n">
        <v>2026</v>
      </c>
      <c r="B2918" s="75" t="n">
        <v>3</v>
      </c>
      <c r="C2918" s="75" t="inlineStr">
        <is>
          <t>5100000574</t>
        </is>
      </c>
      <c r="D2918" s="78" t="n">
        <v>46107</v>
      </c>
      <c r="E2918" s="75" t="inlineStr">
        <is>
          <t>KR</t>
        </is>
      </c>
      <c r="F2918" s="75" t="n">
        <v>62301000</v>
      </c>
      <c r="G2918" s="75" t="n">
        <v>1201</v>
      </c>
      <c r="H2918" s="76" t="n">
        <v>211000</v>
      </c>
      <c r="I2918" s="75" t="inlineStr">
        <is>
          <t>3월 소모품 구입 - Q오피스</t>
        </is>
      </c>
      <c r="J2918" s="75" t="inlineStr">
        <is>
          <t>V10003</t>
        </is>
      </c>
      <c r="K2918" s="75" t="inlineStr">
        <is>
          <t>Q오피스</t>
        </is>
      </c>
      <c r="M2918" s="9">
        <f>IF($A2918="","",VALUE($A2918&amp;"")*12+VALUE($B2918&amp;""))</f>
        <v/>
      </c>
      <c r="N2918" s="39">
        <f>IF($A2918="","",IFERROR(INDEX(부서매핑!$C$5:$C$504,MATCH($G2918&amp;"",부서매핑!$A$5:$A$504,0)),"미매핑"))</f>
        <v/>
      </c>
      <c r="O2918" s="9">
        <f>IF($A2918="","",N2918&amp;"|"&amp;$F2918)</f>
        <v/>
      </c>
      <c r="P2918" s="77">
        <f>IF($A2918="",0,$H2918*설정!$C$23)</f>
        <v/>
      </c>
      <c r="Q2918" s="39">
        <f>IF($A2918="","",IF(O2918&lt;&gt;원인분석!$C$9,"",IF(AND(M2918&gt;=원인분석!$C$10,M2918&lt;=원인분석!$C$11),"당기",IF(AND(M2918&gt;=원인분석!$C$12,M2918&lt;=원인분석!$C$13),"비교",""))))</f>
        <v/>
      </c>
      <c r="R2918" s="9">
        <f>IF(Q2918="","",$K2918&amp;"")</f>
        <v/>
      </c>
      <c r="S2918" s="9">
        <f>IF(Q2918="","",IF(MATCH(R2918,$R$5:$R$100000,0)=ROW()-4,ROW(),""))</f>
        <v/>
      </c>
      <c r="T2918" s="9">
        <f>IF(Q2918="당기",ABS(P2918)+ROW()/1000000000,"")</f>
        <v/>
      </c>
      <c r="U2918" s="9">
        <f>IF(Q2918="비교",ABS(P2918)+ROW()/1000000000,"")</f>
        <v/>
      </c>
      <c r="V2918" s="39">
        <f>IF($A2918="","",IF(COUNTIF(변동분석!$E$7:$E$506,O2918)&gt;0,"Y","N"))</f>
        <v/>
      </c>
      <c r="W2918" s="39">
        <f>IF($A2918="","",IFERROR(INDEX(계정매핑!$D$5:$D$504,MATCH($F2918&amp;"",계정매핑!$A$5:$A$504,0)),"미매핑"))</f>
        <v/>
      </c>
      <c r="X2918" s="9">
        <f>IF($A2918="","",$F2918&amp;"")</f>
        <v/>
      </c>
    </row>
    <row r="2919">
      <c r="A2919" s="75" t="n">
        <v>2026</v>
      </c>
      <c r="B2919" s="75" t="n">
        <v>3</v>
      </c>
      <c r="C2919" s="75" t="inlineStr">
        <is>
          <t>5100000575</t>
        </is>
      </c>
      <c r="D2919" s="78" t="n">
        <v>46107</v>
      </c>
      <c r="E2919" s="75" t="inlineStr">
        <is>
          <t>KR</t>
        </is>
      </c>
      <c r="F2919" s="75" t="n">
        <v>62301000</v>
      </c>
      <c r="G2919" s="75" t="n">
        <v>1501</v>
      </c>
      <c r="H2919" s="76" t="n">
        <v>240000</v>
      </c>
      <c r="I2919" s="75" t="inlineStr">
        <is>
          <t>3월 소모품 구입 - R문구</t>
        </is>
      </c>
      <c r="J2919" s="75" t="inlineStr">
        <is>
          <t>V10018</t>
        </is>
      </c>
      <c r="K2919" s="75" t="inlineStr">
        <is>
          <t>R문구</t>
        </is>
      </c>
      <c r="M2919" s="9">
        <f>IF($A2919="","",VALUE($A2919&amp;"")*12+VALUE($B2919&amp;""))</f>
        <v/>
      </c>
      <c r="N2919" s="39">
        <f>IF($A2919="","",IFERROR(INDEX(부서매핑!$C$5:$C$504,MATCH($G2919&amp;"",부서매핑!$A$5:$A$504,0)),"미매핑"))</f>
        <v/>
      </c>
      <c r="O2919" s="9">
        <f>IF($A2919="","",N2919&amp;"|"&amp;$F2919)</f>
        <v/>
      </c>
      <c r="P2919" s="77">
        <f>IF($A2919="",0,$H2919*설정!$C$23)</f>
        <v/>
      </c>
      <c r="Q2919" s="39">
        <f>IF($A2919="","",IF(O2919&lt;&gt;원인분석!$C$9,"",IF(AND(M2919&gt;=원인분석!$C$10,M2919&lt;=원인분석!$C$11),"당기",IF(AND(M2919&gt;=원인분석!$C$12,M2919&lt;=원인분석!$C$13),"비교",""))))</f>
        <v/>
      </c>
      <c r="R2919" s="9">
        <f>IF(Q2919="","",$K2919&amp;"")</f>
        <v/>
      </c>
      <c r="S2919" s="9">
        <f>IF(Q2919="","",IF(MATCH(R2919,$R$5:$R$100000,0)=ROW()-4,ROW(),""))</f>
        <v/>
      </c>
      <c r="T2919" s="9">
        <f>IF(Q2919="당기",ABS(P2919)+ROW()/1000000000,"")</f>
        <v/>
      </c>
      <c r="U2919" s="9">
        <f>IF(Q2919="비교",ABS(P2919)+ROW()/1000000000,"")</f>
        <v/>
      </c>
      <c r="V2919" s="39">
        <f>IF($A2919="","",IF(COUNTIF(변동분석!$E$7:$E$506,O2919)&gt;0,"Y","N"))</f>
        <v/>
      </c>
      <c r="W2919" s="39">
        <f>IF($A2919="","",IFERROR(INDEX(계정매핑!$D$5:$D$504,MATCH($F2919&amp;"",계정매핑!$A$5:$A$504,0)),"미매핑"))</f>
        <v/>
      </c>
      <c r="X2919" s="9">
        <f>IF($A2919="","",$F2919&amp;"")</f>
        <v/>
      </c>
    </row>
    <row r="2920">
      <c r="A2920" s="75" t="n">
        <v>2026</v>
      </c>
      <c r="B2920" s="75" t="n">
        <v>3</v>
      </c>
      <c r="C2920" s="75" t="inlineStr">
        <is>
          <t>5100000576</t>
        </is>
      </c>
      <c r="D2920" s="78" t="n">
        <v>46107</v>
      </c>
      <c r="E2920" s="75" t="inlineStr">
        <is>
          <t>KR</t>
        </is>
      </c>
      <c r="F2920" s="75" t="n">
        <v>62301000</v>
      </c>
      <c r="G2920" s="75" t="n">
        <v>1801</v>
      </c>
      <c r="H2920" s="76" t="n">
        <v>405000</v>
      </c>
      <c r="I2920" s="75" t="inlineStr">
        <is>
          <t>3월 소모품 구입 - R문구</t>
        </is>
      </c>
      <c r="J2920" s="75" t="inlineStr">
        <is>
          <t>V10018</t>
        </is>
      </c>
      <c r="K2920" s="75" t="inlineStr">
        <is>
          <t>R문구</t>
        </is>
      </c>
      <c r="M2920" s="9">
        <f>IF($A2920="","",VALUE($A2920&amp;"")*12+VALUE($B2920&amp;""))</f>
        <v/>
      </c>
      <c r="N2920" s="39">
        <f>IF($A2920="","",IFERROR(INDEX(부서매핑!$C$5:$C$504,MATCH($G2920&amp;"",부서매핑!$A$5:$A$504,0)),"미매핑"))</f>
        <v/>
      </c>
      <c r="O2920" s="9">
        <f>IF($A2920="","",N2920&amp;"|"&amp;$F2920)</f>
        <v/>
      </c>
      <c r="P2920" s="77">
        <f>IF($A2920="",0,$H2920*설정!$C$23)</f>
        <v/>
      </c>
      <c r="Q2920" s="39">
        <f>IF($A2920="","",IF(O2920&lt;&gt;원인분석!$C$9,"",IF(AND(M2920&gt;=원인분석!$C$10,M2920&lt;=원인분석!$C$11),"당기",IF(AND(M2920&gt;=원인분석!$C$12,M2920&lt;=원인분석!$C$13),"비교",""))))</f>
        <v/>
      </c>
      <c r="R2920" s="9">
        <f>IF(Q2920="","",$K2920&amp;"")</f>
        <v/>
      </c>
      <c r="S2920" s="9">
        <f>IF(Q2920="","",IF(MATCH(R2920,$R$5:$R$100000,0)=ROW()-4,ROW(),""))</f>
        <v/>
      </c>
      <c r="T2920" s="9">
        <f>IF(Q2920="당기",ABS(P2920)+ROW()/1000000000,"")</f>
        <v/>
      </c>
      <c r="U2920" s="9">
        <f>IF(Q2920="비교",ABS(P2920)+ROW()/1000000000,"")</f>
        <v/>
      </c>
      <c r="V2920" s="39">
        <f>IF($A2920="","",IF(COUNTIF(변동분석!$E$7:$E$506,O2920)&gt;0,"Y","N"))</f>
        <v/>
      </c>
      <c r="W2920" s="39">
        <f>IF($A2920="","",IFERROR(INDEX(계정매핑!$D$5:$D$504,MATCH($F2920&amp;"",계정매핑!$A$5:$A$504,0)),"미매핑"))</f>
        <v/>
      </c>
      <c r="X2920" s="9">
        <f>IF($A2920="","",$F2920&amp;"")</f>
        <v/>
      </c>
    </row>
    <row r="2921">
      <c r="A2921" s="75" t="n">
        <v>2026</v>
      </c>
      <c r="B2921" s="75" t="n">
        <v>3</v>
      </c>
      <c r="C2921" s="75" t="inlineStr">
        <is>
          <t>5100000577</t>
        </is>
      </c>
      <c r="D2921" s="78" t="n">
        <v>46107</v>
      </c>
      <c r="E2921" s="75" t="inlineStr">
        <is>
          <t>KR</t>
        </is>
      </c>
      <c r="F2921" s="75" t="n">
        <v>62501000</v>
      </c>
      <c r="G2921" s="75" t="n">
        <v>1101</v>
      </c>
      <c r="H2921" s="76" t="n">
        <v>176000</v>
      </c>
      <c r="I2921" s="75" t="inlineStr">
        <is>
          <t>3월 회의 다과 - T케이터링</t>
        </is>
      </c>
      <c r="J2921" s="75" t="inlineStr">
        <is>
          <t>V10005</t>
        </is>
      </c>
      <c r="K2921" s="75" t="inlineStr">
        <is>
          <t>T케이터링</t>
        </is>
      </c>
      <c r="M2921" s="9">
        <f>IF($A2921="","",VALUE($A2921&amp;"")*12+VALUE($B2921&amp;""))</f>
        <v/>
      </c>
      <c r="N2921" s="39">
        <f>IF($A2921="","",IFERROR(INDEX(부서매핑!$C$5:$C$504,MATCH($G2921&amp;"",부서매핑!$A$5:$A$504,0)),"미매핑"))</f>
        <v/>
      </c>
      <c r="O2921" s="9">
        <f>IF($A2921="","",N2921&amp;"|"&amp;$F2921)</f>
        <v/>
      </c>
      <c r="P2921" s="77">
        <f>IF($A2921="",0,$H2921*설정!$C$23)</f>
        <v/>
      </c>
      <c r="Q2921" s="39">
        <f>IF($A2921="","",IF(O2921&lt;&gt;원인분석!$C$9,"",IF(AND(M2921&gt;=원인분석!$C$10,M2921&lt;=원인분석!$C$11),"당기",IF(AND(M2921&gt;=원인분석!$C$12,M2921&lt;=원인분석!$C$13),"비교",""))))</f>
        <v/>
      </c>
      <c r="R2921" s="9">
        <f>IF(Q2921="","",$K2921&amp;"")</f>
        <v/>
      </c>
      <c r="S2921" s="9">
        <f>IF(Q2921="","",IF(MATCH(R2921,$R$5:$R$100000,0)=ROW()-4,ROW(),""))</f>
        <v/>
      </c>
      <c r="T2921" s="9">
        <f>IF(Q2921="당기",ABS(P2921)+ROW()/1000000000,"")</f>
        <v/>
      </c>
      <c r="U2921" s="9">
        <f>IF(Q2921="비교",ABS(P2921)+ROW()/1000000000,"")</f>
        <v/>
      </c>
      <c r="V2921" s="39">
        <f>IF($A2921="","",IF(COUNTIF(변동분석!$E$7:$E$506,O2921)&gt;0,"Y","N"))</f>
        <v/>
      </c>
      <c r="W2921" s="39">
        <f>IF($A2921="","",IFERROR(INDEX(계정매핑!$D$5:$D$504,MATCH($F2921&amp;"",계정매핑!$A$5:$A$504,0)),"미매핑"))</f>
        <v/>
      </c>
      <c r="X2921" s="9">
        <f>IF($A2921="","",$F2921&amp;"")</f>
        <v/>
      </c>
    </row>
    <row r="2922">
      <c r="A2922" s="75" t="n">
        <v>2026</v>
      </c>
      <c r="B2922" s="75" t="n">
        <v>3</v>
      </c>
      <c r="C2922" s="75" t="inlineStr">
        <is>
          <t>5100000578</t>
        </is>
      </c>
      <c r="D2922" s="78" t="n">
        <v>46107</v>
      </c>
      <c r="E2922" s="75" t="inlineStr">
        <is>
          <t>KR</t>
        </is>
      </c>
      <c r="F2922" s="75" t="n">
        <v>62501000</v>
      </c>
      <c r="G2922" s="75" t="n">
        <v>1602</v>
      </c>
      <c r="H2922" s="76" t="n">
        <v>230000</v>
      </c>
      <c r="I2922" s="75" t="inlineStr">
        <is>
          <t>3월 회의 다과 - (법인카드)</t>
        </is>
      </c>
      <c r="J2922" s="75" t="inlineStr">
        <is>
          <t>V10008</t>
        </is>
      </c>
      <c r="K2922" s="75" t="inlineStr">
        <is>
          <t>(법인카드)</t>
        </is>
      </c>
      <c r="M2922" s="9">
        <f>IF($A2922="","",VALUE($A2922&amp;"")*12+VALUE($B2922&amp;""))</f>
        <v/>
      </c>
      <c r="N2922" s="39">
        <f>IF($A2922="","",IFERROR(INDEX(부서매핑!$C$5:$C$504,MATCH($G2922&amp;"",부서매핑!$A$5:$A$504,0)),"미매핑"))</f>
        <v/>
      </c>
      <c r="O2922" s="9">
        <f>IF($A2922="","",N2922&amp;"|"&amp;$F2922)</f>
        <v/>
      </c>
      <c r="P2922" s="77">
        <f>IF($A2922="",0,$H2922*설정!$C$23)</f>
        <v/>
      </c>
      <c r="Q2922" s="39">
        <f>IF($A2922="","",IF(O2922&lt;&gt;원인분석!$C$9,"",IF(AND(M2922&gt;=원인분석!$C$10,M2922&lt;=원인분석!$C$11),"당기",IF(AND(M2922&gt;=원인분석!$C$12,M2922&lt;=원인분석!$C$13),"비교",""))))</f>
        <v/>
      </c>
      <c r="R2922" s="9">
        <f>IF(Q2922="","",$K2922&amp;"")</f>
        <v/>
      </c>
      <c r="S2922" s="9">
        <f>IF(Q2922="","",IF(MATCH(R2922,$R$5:$R$100000,0)=ROW()-4,ROW(),""))</f>
        <v/>
      </c>
      <c r="T2922" s="9">
        <f>IF(Q2922="당기",ABS(P2922)+ROW()/1000000000,"")</f>
        <v/>
      </c>
      <c r="U2922" s="9">
        <f>IF(Q2922="비교",ABS(P2922)+ROW()/1000000000,"")</f>
        <v/>
      </c>
      <c r="V2922" s="39">
        <f>IF($A2922="","",IF(COUNTIF(변동분석!$E$7:$E$506,O2922)&gt;0,"Y","N"))</f>
        <v/>
      </c>
      <c r="W2922" s="39">
        <f>IF($A2922="","",IFERROR(INDEX(계정매핑!$D$5:$D$504,MATCH($F2922&amp;"",계정매핑!$A$5:$A$504,0)),"미매핑"))</f>
        <v/>
      </c>
      <c r="X2922" s="9">
        <f>IF($A2922="","",$F2922&amp;"")</f>
        <v/>
      </c>
    </row>
    <row r="2923">
      <c r="A2923" s="75" t="n">
        <v>2026</v>
      </c>
      <c r="B2923" s="75" t="n">
        <v>3</v>
      </c>
      <c r="C2923" s="75" t="inlineStr">
        <is>
          <t>5100000579</t>
        </is>
      </c>
      <c r="D2923" s="78" t="n">
        <v>46107</v>
      </c>
      <c r="E2923" s="75" t="inlineStr">
        <is>
          <t>KR</t>
        </is>
      </c>
      <c r="F2923" s="75" t="n">
        <v>62701000</v>
      </c>
      <c r="G2923" s="75" t="n">
        <v>1502</v>
      </c>
      <c r="H2923" s="76" t="n">
        <v>40802000</v>
      </c>
      <c r="I2923" s="75" t="inlineStr">
        <is>
          <t>3월 광고 집행 - F애드</t>
        </is>
      </c>
      <c r="J2923" s="75" t="inlineStr">
        <is>
          <t>V10019</t>
        </is>
      </c>
      <c r="K2923" s="75" t="inlineStr">
        <is>
          <t>F애드</t>
        </is>
      </c>
      <c r="M2923" s="9">
        <f>IF($A2923="","",VALUE($A2923&amp;"")*12+VALUE($B2923&amp;""))</f>
        <v/>
      </c>
      <c r="N2923" s="39">
        <f>IF($A2923="","",IFERROR(INDEX(부서매핑!$C$5:$C$504,MATCH($G2923&amp;"",부서매핑!$A$5:$A$504,0)),"미매핑"))</f>
        <v/>
      </c>
      <c r="O2923" s="9">
        <f>IF($A2923="","",N2923&amp;"|"&amp;$F2923)</f>
        <v/>
      </c>
      <c r="P2923" s="77">
        <f>IF($A2923="",0,$H2923*설정!$C$23)</f>
        <v/>
      </c>
      <c r="Q2923" s="39">
        <f>IF($A2923="","",IF(O2923&lt;&gt;원인분석!$C$9,"",IF(AND(M2923&gt;=원인분석!$C$10,M2923&lt;=원인분석!$C$11),"당기",IF(AND(M2923&gt;=원인분석!$C$12,M2923&lt;=원인분석!$C$13),"비교",""))))</f>
        <v/>
      </c>
      <c r="R2923" s="9">
        <f>IF(Q2923="","",$K2923&amp;"")</f>
        <v/>
      </c>
      <c r="S2923" s="9">
        <f>IF(Q2923="","",IF(MATCH(R2923,$R$5:$R$100000,0)=ROW()-4,ROW(),""))</f>
        <v/>
      </c>
      <c r="T2923" s="9">
        <f>IF(Q2923="당기",ABS(P2923)+ROW()/1000000000,"")</f>
        <v/>
      </c>
      <c r="U2923" s="9">
        <f>IF(Q2923="비교",ABS(P2923)+ROW()/1000000000,"")</f>
        <v/>
      </c>
      <c r="V2923" s="39">
        <f>IF($A2923="","",IF(COUNTIF(변동분석!$E$7:$E$506,O2923)&gt;0,"Y","N"))</f>
        <v/>
      </c>
      <c r="W2923" s="39">
        <f>IF($A2923="","",IFERROR(INDEX(계정매핑!$D$5:$D$504,MATCH($F2923&amp;"",계정매핑!$A$5:$A$504,0)),"미매핑"))</f>
        <v/>
      </c>
      <c r="X2923" s="9">
        <f>IF($A2923="","",$F2923&amp;"")</f>
        <v/>
      </c>
    </row>
    <row r="2924">
      <c r="A2924" s="75" t="n">
        <v>2026</v>
      </c>
      <c r="B2924" s="75" t="n">
        <v>3</v>
      </c>
      <c r="C2924" s="75" t="inlineStr">
        <is>
          <t>5100000580</t>
        </is>
      </c>
      <c r="D2924" s="78" t="n">
        <v>46108</v>
      </c>
      <c r="E2924" s="75" t="inlineStr">
        <is>
          <t>KR</t>
        </is>
      </c>
      <c r="F2924" s="75" t="n">
        <v>62101000</v>
      </c>
      <c r="G2924" s="75" t="n">
        <v>1101</v>
      </c>
      <c r="H2924" s="76" t="n">
        <v>701000</v>
      </c>
      <c r="I2924" s="75" t="inlineStr">
        <is>
          <t>3월 국내출장 - (법인카드)</t>
        </is>
      </c>
      <c r="J2924" s="75" t="inlineStr">
        <is>
          <t>V10008</t>
        </is>
      </c>
      <c r="K2924" s="75" t="inlineStr">
        <is>
          <t>(법인카드)</t>
        </is>
      </c>
      <c r="M2924" s="9">
        <f>IF($A2924="","",VALUE($A2924&amp;"")*12+VALUE($B2924&amp;""))</f>
        <v/>
      </c>
      <c r="N2924" s="39">
        <f>IF($A2924="","",IFERROR(INDEX(부서매핑!$C$5:$C$504,MATCH($G2924&amp;"",부서매핑!$A$5:$A$504,0)),"미매핑"))</f>
        <v/>
      </c>
      <c r="O2924" s="9">
        <f>IF($A2924="","",N2924&amp;"|"&amp;$F2924)</f>
        <v/>
      </c>
      <c r="P2924" s="77">
        <f>IF($A2924="",0,$H2924*설정!$C$23)</f>
        <v/>
      </c>
      <c r="Q2924" s="39">
        <f>IF($A2924="","",IF(O2924&lt;&gt;원인분석!$C$9,"",IF(AND(M2924&gt;=원인분석!$C$10,M2924&lt;=원인분석!$C$11),"당기",IF(AND(M2924&gt;=원인분석!$C$12,M2924&lt;=원인분석!$C$13),"비교",""))))</f>
        <v/>
      </c>
      <c r="R2924" s="9">
        <f>IF(Q2924="","",$K2924&amp;"")</f>
        <v/>
      </c>
      <c r="S2924" s="9">
        <f>IF(Q2924="","",IF(MATCH(R2924,$R$5:$R$100000,0)=ROW()-4,ROW(),""))</f>
        <v/>
      </c>
      <c r="T2924" s="9">
        <f>IF(Q2924="당기",ABS(P2924)+ROW()/1000000000,"")</f>
        <v/>
      </c>
      <c r="U2924" s="9">
        <f>IF(Q2924="비교",ABS(P2924)+ROW()/1000000000,"")</f>
        <v/>
      </c>
      <c r="V2924" s="39">
        <f>IF($A2924="","",IF(COUNTIF(변동분석!$E$7:$E$506,O2924)&gt;0,"Y","N"))</f>
        <v/>
      </c>
      <c r="W2924" s="39">
        <f>IF($A2924="","",IFERROR(INDEX(계정매핑!$D$5:$D$504,MATCH($F2924&amp;"",계정매핑!$A$5:$A$504,0)),"미매핑"))</f>
        <v/>
      </c>
      <c r="X2924" s="9">
        <f>IF($A2924="","",$F2924&amp;"")</f>
        <v/>
      </c>
    </row>
    <row r="2925">
      <c r="A2925" s="75" t="n">
        <v>2026</v>
      </c>
      <c r="B2925" s="75" t="n">
        <v>3</v>
      </c>
      <c r="C2925" s="75" t="inlineStr">
        <is>
          <t>5100000581</t>
        </is>
      </c>
      <c r="D2925" s="78" t="n">
        <v>46108</v>
      </c>
      <c r="E2925" s="75" t="inlineStr">
        <is>
          <t>KR</t>
        </is>
      </c>
      <c r="F2925" s="75" t="n">
        <v>62101000</v>
      </c>
      <c r="G2925" s="75" t="n">
        <v>1401</v>
      </c>
      <c r="H2925" s="76" t="n">
        <v>216000</v>
      </c>
      <c r="I2925" s="75" t="inlineStr">
        <is>
          <t>3월 국내출장 - (법인카드)</t>
        </is>
      </c>
      <c r="J2925" s="75" t="inlineStr">
        <is>
          <t>V10008</t>
        </is>
      </c>
      <c r="K2925" s="75" t="inlineStr">
        <is>
          <t>(법인카드)</t>
        </is>
      </c>
      <c r="M2925" s="9">
        <f>IF($A2925="","",VALUE($A2925&amp;"")*12+VALUE($B2925&amp;""))</f>
        <v/>
      </c>
      <c r="N2925" s="39">
        <f>IF($A2925="","",IFERROR(INDEX(부서매핑!$C$5:$C$504,MATCH($G2925&amp;"",부서매핑!$A$5:$A$504,0)),"미매핑"))</f>
        <v/>
      </c>
      <c r="O2925" s="9">
        <f>IF($A2925="","",N2925&amp;"|"&amp;$F2925)</f>
        <v/>
      </c>
      <c r="P2925" s="77">
        <f>IF($A2925="",0,$H2925*설정!$C$23)</f>
        <v/>
      </c>
      <c r="Q2925" s="39">
        <f>IF($A2925="","",IF(O2925&lt;&gt;원인분석!$C$9,"",IF(AND(M2925&gt;=원인분석!$C$10,M2925&lt;=원인분석!$C$11),"당기",IF(AND(M2925&gt;=원인분석!$C$12,M2925&lt;=원인분석!$C$13),"비교",""))))</f>
        <v/>
      </c>
      <c r="R2925" s="9">
        <f>IF(Q2925="","",$K2925&amp;"")</f>
        <v/>
      </c>
      <c r="S2925" s="9">
        <f>IF(Q2925="","",IF(MATCH(R2925,$R$5:$R$100000,0)=ROW()-4,ROW(),""))</f>
        <v/>
      </c>
      <c r="T2925" s="9">
        <f>IF(Q2925="당기",ABS(P2925)+ROW()/1000000000,"")</f>
        <v/>
      </c>
      <c r="U2925" s="9">
        <f>IF(Q2925="비교",ABS(P2925)+ROW()/1000000000,"")</f>
        <v/>
      </c>
      <c r="V2925" s="39">
        <f>IF($A2925="","",IF(COUNTIF(변동분석!$E$7:$E$506,O2925)&gt;0,"Y","N"))</f>
        <v/>
      </c>
      <c r="W2925" s="39">
        <f>IF($A2925="","",IFERROR(INDEX(계정매핑!$D$5:$D$504,MATCH($F2925&amp;"",계정매핑!$A$5:$A$504,0)),"미매핑"))</f>
        <v/>
      </c>
      <c r="X2925" s="9">
        <f>IF($A2925="","",$F2925&amp;"")</f>
        <v/>
      </c>
    </row>
    <row r="2926">
      <c r="A2926" s="75" t="n">
        <v>2026</v>
      </c>
      <c r="B2926" s="75" t="n">
        <v>3</v>
      </c>
      <c r="C2926" s="75" t="inlineStr">
        <is>
          <t>5100000582</t>
        </is>
      </c>
      <c r="D2926" s="78" t="n">
        <v>46108</v>
      </c>
      <c r="E2926" s="75" t="inlineStr">
        <is>
          <t>KR</t>
        </is>
      </c>
      <c r="F2926" s="75" t="n">
        <v>62102000</v>
      </c>
      <c r="G2926" s="75" t="n">
        <v>1601</v>
      </c>
      <c r="H2926" s="76" t="n">
        <v>338000</v>
      </c>
      <c r="I2926" s="75" t="inlineStr">
        <is>
          <t>3월 해외출장 - N호텔</t>
        </is>
      </c>
      <c r="J2926" s="75" t="inlineStr">
        <is>
          <t>V10007</t>
        </is>
      </c>
      <c r="K2926" s="75" t="inlineStr">
        <is>
          <t>N호텔</t>
        </is>
      </c>
      <c r="M2926" s="9">
        <f>IF($A2926="","",VALUE($A2926&amp;"")*12+VALUE($B2926&amp;""))</f>
        <v/>
      </c>
      <c r="N2926" s="39">
        <f>IF($A2926="","",IFERROR(INDEX(부서매핑!$C$5:$C$504,MATCH($G2926&amp;"",부서매핑!$A$5:$A$504,0)),"미매핑"))</f>
        <v/>
      </c>
      <c r="O2926" s="9">
        <f>IF($A2926="","",N2926&amp;"|"&amp;$F2926)</f>
        <v/>
      </c>
      <c r="P2926" s="77">
        <f>IF($A2926="",0,$H2926*설정!$C$23)</f>
        <v/>
      </c>
      <c r="Q2926" s="39">
        <f>IF($A2926="","",IF(O2926&lt;&gt;원인분석!$C$9,"",IF(AND(M2926&gt;=원인분석!$C$10,M2926&lt;=원인분석!$C$11),"당기",IF(AND(M2926&gt;=원인분석!$C$12,M2926&lt;=원인분석!$C$13),"비교",""))))</f>
        <v/>
      </c>
      <c r="R2926" s="9">
        <f>IF(Q2926="","",$K2926&amp;"")</f>
        <v/>
      </c>
      <c r="S2926" s="9">
        <f>IF(Q2926="","",IF(MATCH(R2926,$R$5:$R$100000,0)=ROW()-4,ROW(),""))</f>
        <v/>
      </c>
      <c r="T2926" s="9">
        <f>IF(Q2926="당기",ABS(P2926)+ROW()/1000000000,"")</f>
        <v/>
      </c>
      <c r="U2926" s="9">
        <f>IF(Q2926="비교",ABS(P2926)+ROW()/1000000000,"")</f>
        <v/>
      </c>
      <c r="V2926" s="39">
        <f>IF($A2926="","",IF(COUNTIF(변동분석!$E$7:$E$506,O2926)&gt;0,"Y","N"))</f>
        <v/>
      </c>
      <c r="W2926" s="39">
        <f>IF($A2926="","",IFERROR(INDEX(계정매핑!$D$5:$D$504,MATCH($F2926&amp;"",계정매핑!$A$5:$A$504,0)),"미매핑"))</f>
        <v/>
      </c>
      <c r="X2926" s="9">
        <f>IF($A2926="","",$F2926&amp;"")</f>
        <v/>
      </c>
    </row>
    <row r="2927">
      <c r="A2927" s="75" t="n">
        <v>2026</v>
      </c>
      <c r="B2927" s="75" t="n">
        <v>3</v>
      </c>
      <c r="C2927" s="75" t="inlineStr">
        <is>
          <t>5100000583</t>
        </is>
      </c>
      <c r="D2927" s="78" t="n">
        <v>46108</v>
      </c>
      <c r="E2927" s="75" t="inlineStr">
        <is>
          <t>KR</t>
        </is>
      </c>
      <c r="F2927" s="75" t="n">
        <v>62401000</v>
      </c>
      <c r="G2927" s="75" t="n">
        <v>1401</v>
      </c>
      <c r="H2927" s="76" t="n">
        <v>240000</v>
      </c>
      <c r="I2927" s="75" t="inlineStr">
        <is>
          <t>3월 인쇄물 제작 - S출판</t>
        </is>
      </c>
      <c r="J2927" s="75" t="inlineStr">
        <is>
          <t>V10012</t>
        </is>
      </c>
      <c r="K2927" s="75" t="inlineStr">
        <is>
          <t>S출판</t>
        </is>
      </c>
      <c r="M2927" s="9">
        <f>IF($A2927="","",VALUE($A2927&amp;"")*12+VALUE($B2927&amp;""))</f>
        <v/>
      </c>
      <c r="N2927" s="39">
        <f>IF($A2927="","",IFERROR(INDEX(부서매핑!$C$5:$C$504,MATCH($G2927&amp;"",부서매핑!$A$5:$A$504,0)),"미매핑"))</f>
        <v/>
      </c>
      <c r="O2927" s="9">
        <f>IF($A2927="","",N2927&amp;"|"&amp;$F2927)</f>
        <v/>
      </c>
      <c r="P2927" s="77">
        <f>IF($A2927="",0,$H2927*설정!$C$23)</f>
        <v/>
      </c>
      <c r="Q2927" s="39">
        <f>IF($A2927="","",IF(O2927&lt;&gt;원인분석!$C$9,"",IF(AND(M2927&gt;=원인분석!$C$10,M2927&lt;=원인분석!$C$11),"당기",IF(AND(M2927&gt;=원인분석!$C$12,M2927&lt;=원인분석!$C$13),"비교",""))))</f>
        <v/>
      </c>
      <c r="R2927" s="9">
        <f>IF(Q2927="","",$K2927&amp;"")</f>
        <v/>
      </c>
      <c r="S2927" s="9">
        <f>IF(Q2927="","",IF(MATCH(R2927,$R$5:$R$100000,0)=ROW()-4,ROW(),""))</f>
        <v/>
      </c>
      <c r="T2927" s="9">
        <f>IF(Q2927="당기",ABS(P2927)+ROW()/1000000000,"")</f>
        <v/>
      </c>
      <c r="U2927" s="9">
        <f>IF(Q2927="비교",ABS(P2927)+ROW()/1000000000,"")</f>
        <v/>
      </c>
      <c r="V2927" s="39">
        <f>IF($A2927="","",IF(COUNTIF(변동분석!$E$7:$E$506,O2927)&gt;0,"Y","N"))</f>
        <v/>
      </c>
      <c r="W2927" s="39">
        <f>IF($A2927="","",IFERROR(INDEX(계정매핑!$D$5:$D$504,MATCH($F2927&amp;"",계정매핑!$A$5:$A$504,0)),"미매핑"))</f>
        <v/>
      </c>
      <c r="X2927" s="9">
        <f>IF($A2927="","",$F2927&amp;"")</f>
        <v/>
      </c>
    </row>
    <row r="2928">
      <c r="A2928" s="75" t="n">
        <v>2026</v>
      </c>
      <c r="B2928" s="75" t="n">
        <v>3</v>
      </c>
      <c r="C2928" s="75" t="inlineStr">
        <is>
          <t>5100000584</t>
        </is>
      </c>
      <c r="D2928" s="78" t="n">
        <v>46108</v>
      </c>
      <c r="E2928" s="75" t="inlineStr">
        <is>
          <t>KR</t>
        </is>
      </c>
      <c r="F2928" s="75" t="n">
        <v>62501000</v>
      </c>
      <c r="G2928" s="75" t="n">
        <v>1301</v>
      </c>
      <c r="H2928" s="76" t="n">
        <v>141000</v>
      </c>
      <c r="I2928" s="75" t="inlineStr">
        <is>
          <t>3월 회의 다과 - (법인카드)</t>
        </is>
      </c>
      <c r="J2928" s="75" t="inlineStr">
        <is>
          <t>V10008</t>
        </is>
      </c>
      <c r="K2928" s="75" t="inlineStr">
        <is>
          <t>(법인카드)</t>
        </is>
      </c>
      <c r="M2928" s="9">
        <f>IF($A2928="","",VALUE($A2928&amp;"")*12+VALUE($B2928&amp;""))</f>
        <v/>
      </c>
      <c r="N2928" s="39">
        <f>IF($A2928="","",IFERROR(INDEX(부서매핑!$C$5:$C$504,MATCH($G2928&amp;"",부서매핑!$A$5:$A$504,0)),"미매핑"))</f>
        <v/>
      </c>
      <c r="O2928" s="9">
        <f>IF($A2928="","",N2928&amp;"|"&amp;$F2928)</f>
        <v/>
      </c>
      <c r="P2928" s="77">
        <f>IF($A2928="",0,$H2928*설정!$C$23)</f>
        <v/>
      </c>
      <c r="Q2928" s="39">
        <f>IF($A2928="","",IF(O2928&lt;&gt;원인분석!$C$9,"",IF(AND(M2928&gt;=원인분석!$C$10,M2928&lt;=원인분석!$C$11),"당기",IF(AND(M2928&gt;=원인분석!$C$12,M2928&lt;=원인분석!$C$13),"비교",""))))</f>
        <v/>
      </c>
      <c r="R2928" s="9">
        <f>IF(Q2928="","",$K2928&amp;"")</f>
        <v/>
      </c>
      <c r="S2928" s="9">
        <f>IF(Q2928="","",IF(MATCH(R2928,$R$5:$R$100000,0)=ROW()-4,ROW(),""))</f>
        <v/>
      </c>
      <c r="T2928" s="9">
        <f>IF(Q2928="당기",ABS(P2928)+ROW()/1000000000,"")</f>
        <v/>
      </c>
      <c r="U2928" s="9">
        <f>IF(Q2928="비교",ABS(P2928)+ROW()/1000000000,"")</f>
        <v/>
      </c>
      <c r="V2928" s="39">
        <f>IF($A2928="","",IF(COUNTIF(변동분석!$E$7:$E$506,O2928)&gt;0,"Y","N"))</f>
        <v/>
      </c>
      <c r="W2928" s="39">
        <f>IF($A2928="","",IFERROR(INDEX(계정매핑!$D$5:$D$504,MATCH($F2928&amp;"",계정매핑!$A$5:$A$504,0)),"미매핑"))</f>
        <v/>
      </c>
      <c r="X2928" s="9">
        <f>IF($A2928="","",$F2928&amp;"")</f>
        <v/>
      </c>
    </row>
    <row r="2929">
      <c r="A2929" s="75" t="n">
        <v>2026</v>
      </c>
      <c r="B2929" s="75" t="n">
        <v>3</v>
      </c>
      <c r="C2929" s="75" t="inlineStr">
        <is>
          <t>5100000585</t>
        </is>
      </c>
      <c r="D2929" s="78" t="n">
        <v>46108</v>
      </c>
      <c r="E2929" s="75" t="inlineStr">
        <is>
          <t>KR</t>
        </is>
      </c>
      <c r="F2929" s="75" t="n">
        <v>62501000</v>
      </c>
      <c r="G2929" s="75" t="n">
        <v>1801</v>
      </c>
      <c r="H2929" s="76" t="n">
        <v>153000</v>
      </c>
      <c r="I2929" s="75" t="inlineStr">
        <is>
          <t>3월 회의 다과 - T케이터링</t>
        </is>
      </c>
      <c r="J2929" s="75" t="inlineStr">
        <is>
          <t>V10005</t>
        </is>
      </c>
      <c r="K2929" s="75" t="inlineStr">
        <is>
          <t>T케이터링</t>
        </is>
      </c>
      <c r="M2929" s="9">
        <f>IF($A2929="","",VALUE($A2929&amp;"")*12+VALUE($B2929&amp;""))</f>
        <v/>
      </c>
      <c r="N2929" s="39">
        <f>IF($A2929="","",IFERROR(INDEX(부서매핑!$C$5:$C$504,MATCH($G2929&amp;"",부서매핑!$A$5:$A$504,0)),"미매핑"))</f>
        <v/>
      </c>
      <c r="O2929" s="9">
        <f>IF($A2929="","",N2929&amp;"|"&amp;$F2929)</f>
        <v/>
      </c>
      <c r="P2929" s="77">
        <f>IF($A2929="",0,$H2929*설정!$C$23)</f>
        <v/>
      </c>
      <c r="Q2929" s="39">
        <f>IF($A2929="","",IF(O2929&lt;&gt;원인분석!$C$9,"",IF(AND(M2929&gt;=원인분석!$C$10,M2929&lt;=원인분석!$C$11),"당기",IF(AND(M2929&gt;=원인분석!$C$12,M2929&lt;=원인분석!$C$13),"비교",""))))</f>
        <v/>
      </c>
      <c r="R2929" s="9">
        <f>IF(Q2929="","",$K2929&amp;"")</f>
        <v/>
      </c>
      <c r="S2929" s="9">
        <f>IF(Q2929="","",IF(MATCH(R2929,$R$5:$R$100000,0)=ROW()-4,ROW(),""))</f>
        <v/>
      </c>
      <c r="T2929" s="9">
        <f>IF(Q2929="당기",ABS(P2929)+ROW()/1000000000,"")</f>
        <v/>
      </c>
      <c r="U2929" s="9">
        <f>IF(Q2929="비교",ABS(P2929)+ROW()/1000000000,"")</f>
        <v/>
      </c>
      <c r="V2929" s="39">
        <f>IF($A2929="","",IF(COUNTIF(변동분석!$E$7:$E$506,O2929)&gt;0,"Y","N"))</f>
        <v/>
      </c>
      <c r="W2929" s="39">
        <f>IF($A2929="","",IFERROR(INDEX(계정매핑!$D$5:$D$504,MATCH($F2929&amp;"",계정매핑!$A$5:$A$504,0)),"미매핑"))</f>
        <v/>
      </c>
      <c r="X2929" s="9">
        <f>IF($A2929="","",$F2929&amp;"")</f>
        <v/>
      </c>
    </row>
    <row r="2930">
      <c r="A2930" s="75" t="n">
        <v>2026</v>
      </c>
      <c r="B2930" s="75" t="n">
        <v>3</v>
      </c>
      <c r="C2930" s="75" t="inlineStr">
        <is>
          <t>5100000586</t>
        </is>
      </c>
      <c r="D2930" s="78" t="n">
        <v>46108</v>
      </c>
      <c r="E2930" s="75" t="inlineStr">
        <is>
          <t>KR</t>
        </is>
      </c>
      <c r="F2930" s="75" t="n">
        <v>62701000</v>
      </c>
      <c r="G2930" s="75" t="n">
        <v>1502</v>
      </c>
      <c r="H2930" s="76" t="n">
        <v>43758000</v>
      </c>
      <c r="I2930" s="75" t="inlineStr">
        <is>
          <t>3월 광고 집행 - E미디어</t>
        </is>
      </c>
      <c r="J2930" s="75" t="inlineStr">
        <is>
          <t>V10027</t>
        </is>
      </c>
      <c r="K2930" s="75" t="inlineStr">
        <is>
          <t>E미디어</t>
        </is>
      </c>
      <c r="M2930" s="9">
        <f>IF($A2930="","",VALUE($A2930&amp;"")*12+VALUE($B2930&amp;""))</f>
        <v/>
      </c>
      <c r="N2930" s="39">
        <f>IF($A2930="","",IFERROR(INDEX(부서매핑!$C$5:$C$504,MATCH($G2930&amp;"",부서매핑!$A$5:$A$504,0)),"미매핑"))</f>
        <v/>
      </c>
      <c r="O2930" s="9">
        <f>IF($A2930="","",N2930&amp;"|"&amp;$F2930)</f>
        <v/>
      </c>
      <c r="P2930" s="77">
        <f>IF($A2930="",0,$H2930*설정!$C$23)</f>
        <v/>
      </c>
      <c r="Q2930" s="39">
        <f>IF($A2930="","",IF(O2930&lt;&gt;원인분석!$C$9,"",IF(AND(M2930&gt;=원인분석!$C$10,M2930&lt;=원인분석!$C$11),"당기",IF(AND(M2930&gt;=원인분석!$C$12,M2930&lt;=원인분석!$C$13),"비교",""))))</f>
        <v/>
      </c>
      <c r="R2930" s="9">
        <f>IF(Q2930="","",$K2930&amp;"")</f>
        <v/>
      </c>
      <c r="S2930" s="9">
        <f>IF(Q2930="","",IF(MATCH(R2930,$R$5:$R$100000,0)=ROW()-4,ROW(),""))</f>
        <v/>
      </c>
      <c r="T2930" s="9">
        <f>IF(Q2930="당기",ABS(P2930)+ROW()/1000000000,"")</f>
        <v/>
      </c>
      <c r="U2930" s="9">
        <f>IF(Q2930="비교",ABS(P2930)+ROW()/1000000000,"")</f>
        <v/>
      </c>
      <c r="V2930" s="39">
        <f>IF($A2930="","",IF(COUNTIF(변동분석!$E$7:$E$506,O2930)&gt;0,"Y","N"))</f>
        <v/>
      </c>
      <c r="W2930" s="39">
        <f>IF($A2930="","",IFERROR(INDEX(계정매핑!$D$5:$D$504,MATCH($F2930&amp;"",계정매핑!$A$5:$A$504,0)),"미매핑"))</f>
        <v/>
      </c>
      <c r="X2930" s="9">
        <f>IF($A2930="","",$F2930&amp;"")</f>
        <v/>
      </c>
    </row>
    <row r="2931">
      <c r="A2931" s="75" t="n">
        <v>2026</v>
      </c>
      <c r="B2931" s="75" t="n">
        <v>3</v>
      </c>
      <c r="C2931" s="75" t="inlineStr">
        <is>
          <t>5100000587</t>
        </is>
      </c>
      <c r="D2931" s="78" t="n">
        <v>46108</v>
      </c>
      <c r="E2931" s="75" t="inlineStr">
        <is>
          <t>KR</t>
        </is>
      </c>
      <c r="F2931" s="75" t="n">
        <v>62901000</v>
      </c>
      <c r="G2931" s="75" t="n">
        <v>1401</v>
      </c>
      <c r="H2931" s="76" t="n">
        <v>5821000</v>
      </c>
      <c r="I2931" s="75" t="inlineStr">
        <is>
          <t>3월 자문 수수료 - W컨설팅</t>
        </is>
      </c>
      <c r="J2931" s="75" t="inlineStr">
        <is>
          <t>V10009</t>
        </is>
      </c>
      <c r="K2931" s="75" t="inlineStr">
        <is>
          <t>W컨설팅</t>
        </is>
      </c>
      <c r="M2931" s="9">
        <f>IF($A2931="","",VALUE($A2931&amp;"")*12+VALUE($B2931&amp;""))</f>
        <v/>
      </c>
      <c r="N2931" s="39">
        <f>IF($A2931="","",IFERROR(INDEX(부서매핑!$C$5:$C$504,MATCH($G2931&amp;"",부서매핑!$A$5:$A$504,0)),"미매핑"))</f>
        <v/>
      </c>
      <c r="O2931" s="9">
        <f>IF($A2931="","",N2931&amp;"|"&amp;$F2931)</f>
        <v/>
      </c>
      <c r="P2931" s="77">
        <f>IF($A2931="",0,$H2931*설정!$C$23)</f>
        <v/>
      </c>
      <c r="Q2931" s="39">
        <f>IF($A2931="","",IF(O2931&lt;&gt;원인분석!$C$9,"",IF(AND(M2931&gt;=원인분석!$C$10,M2931&lt;=원인분석!$C$11),"당기",IF(AND(M2931&gt;=원인분석!$C$12,M2931&lt;=원인분석!$C$13),"비교",""))))</f>
        <v/>
      </c>
      <c r="R2931" s="9">
        <f>IF(Q2931="","",$K2931&amp;"")</f>
        <v/>
      </c>
      <c r="S2931" s="9">
        <f>IF(Q2931="","",IF(MATCH(R2931,$R$5:$R$100000,0)=ROW()-4,ROW(),""))</f>
        <v/>
      </c>
      <c r="T2931" s="9">
        <f>IF(Q2931="당기",ABS(P2931)+ROW()/1000000000,"")</f>
        <v/>
      </c>
      <c r="U2931" s="9">
        <f>IF(Q2931="비교",ABS(P2931)+ROW()/1000000000,"")</f>
        <v/>
      </c>
      <c r="V2931" s="39">
        <f>IF($A2931="","",IF(COUNTIF(변동분석!$E$7:$E$506,O2931)&gt;0,"Y","N"))</f>
        <v/>
      </c>
      <c r="W2931" s="39">
        <f>IF($A2931="","",IFERROR(INDEX(계정매핑!$D$5:$D$504,MATCH($F2931&amp;"",계정매핑!$A$5:$A$504,0)),"미매핑"))</f>
        <v/>
      </c>
      <c r="X2931" s="9">
        <f>IF($A2931="","",$F2931&amp;"")</f>
        <v/>
      </c>
    </row>
    <row r="2932">
      <c r="A2932" s="75" t="n">
        <v>2026</v>
      </c>
      <c r="B2932" s="75" t="n">
        <v>3</v>
      </c>
      <c r="C2932" s="75" t="inlineStr">
        <is>
          <t>5100000588</t>
        </is>
      </c>
      <c r="D2932" s="78" t="n">
        <v>46108</v>
      </c>
      <c r="E2932" s="75" t="inlineStr">
        <is>
          <t>KR</t>
        </is>
      </c>
      <c r="F2932" s="75" t="n">
        <v>62902000</v>
      </c>
      <c r="G2932" s="75" t="n">
        <v>1801</v>
      </c>
      <c r="H2932" s="76" t="n">
        <v>1759000</v>
      </c>
      <c r="I2932" s="75" t="inlineStr">
        <is>
          <t>3월 콜 위탁 수수료(건별)</t>
        </is>
      </c>
      <c r="J2932" s="75" t="inlineStr">
        <is>
          <t>V10013</t>
        </is>
      </c>
      <c r="K2932" s="75" t="inlineStr">
        <is>
          <t>J콜센터</t>
        </is>
      </c>
      <c r="M2932" s="9">
        <f>IF($A2932="","",VALUE($A2932&amp;"")*12+VALUE($B2932&amp;""))</f>
        <v/>
      </c>
      <c r="N2932" s="39">
        <f>IF($A2932="","",IFERROR(INDEX(부서매핑!$C$5:$C$504,MATCH($G2932&amp;"",부서매핑!$A$5:$A$504,0)),"미매핑"))</f>
        <v/>
      </c>
      <c r="O2932" s="9">
        <f>IF($A2932="","",N2932&amp;"|"&amp;$F2932)</f>
        <v/>
      </c>
      <c r="P2932" s="77">
        <f>IF($A2932="",0,$H2932*설정!$C$23)</f>
        <v/>
      </c>
      <c r="Q2932" s="39">
        <f>IF($A2932="","",IF(O2932&lt;&gt;원인분석!$C$9,"",IF(AND(M2932&gt;=원인분석!$C$10,M2932&lt;=원인분석!$C$11),"당기",IF(AND(M2932&gt;=원인분석!$C$12,M2932&lt;=원인분석!$C$13),"비교",""))))</f>
        <v/>
      </c>
      <c r="R2932" s="9">
        <f>IF(Q2932="","",$K2932&amp;"")</f>
        <v/>
      </c>
      <c r="S2932" s="9">
        <f>IF(Q2932="","",IF(MATCH(R2932,$R$5:$R$100000,0)=ROW()-4,ROW(),""))</f>
        <v/>
      </c>
      <c r="T2932" s="9">
        <f>IF(Q2932="당기",ABS(P2932)+ROW()/1000000000,"")</f>
        <v/>
      </c>
      <c r="U2932" s="9">
        <f>IF(Q2932="비교",ABS(P2932)+ROW()/1000000000,"")</f>
        <v/>
      </c>
      <c r="V2932" s="39">
        <f>IF($A2932="","",IF(COUNTIF(변동분석!$E$7:$E$506,O2932)&gt;0,"Y","N"))</f>
        <v/>
      </c>
      <c r="W2932" s="39">
        <f>IF($A2932="","",IFERROR(INDEX(계정매핑!$D$5:$D$504,MATCH($F2932&amp;"",계정매핑!$A$5:$A$504,0)),"미매핑"))</f>
        <v/>
      </c>
      <c r="X2932" s="9">
        <f>IF($A2932="","",$F2932&amp;"")</f>
        <v/>
      </c>
    </row>
    <row r="2933">
      <c r="A2933" s="75" t="n">
        <v>2026</v>
      </c>
      <c r="B2933" s="75" t="n">
        <v>4</v>
      </c>
      <c r="C2933" s="75" t="inlineStr">
        <is>
          <t>5100000589</t>
        </is>
      </c>
      <c r="D2933" s="78" t="n">
        <v>46114</v>
      </c>
      <c r="E2933" s="75" t="inlineStr">
        <is>
          <t>KR</t>
        </is>
      </c>
      <c r="F2933" s="75" t="n">
        <v>62101000</v>
      </c>
      <c r="G2933" s="75" t="n">
        <v>1601</v>
      </c>
      <c r="H2933" s="76" t="n">
        <v>794000</v>
      </c>
      <c r="I2933" s="75" t="inlineStr">
        <is>
          <t>4월 국내출장 - L여행사</t>
        </is>
      </c>
      <c r="J2933" s="75" t="inlineStr">
        <is>
          <t>V10014</t>
        </is>
      </c>
      <c r="K2933" s="75" t="inlineStr">
        <is>
          <t>L여행사</t>
        </is>
      </c>
      <c r="M2933" s="9">
        <f>IF($A2933="","",VALUE($A2933&amp;"")*12+VALUE($B2933&amp;""))</f>
        <v/>
      </c>
      <c r="N2933" s="39">
        <f>IF($A2933="","",IFERROR(INDEX(부서매핑!$C$5:$C$504,MATCH($G2933&amp;"",부서매핑!$A$5:$A$504,0)),"미매핑"))</f>
        <v/>
      </c>
      <c r="O2933" s="9">
        <f>IF($A2933="","",N2933&amp;"|"&amp;$F2933)</f>
        <v/>
      </c>
      <c r="P2933" s="77">
        <f>IF($A2933="",0,$H2933*설정!$C$23)</f>
        <v/>
      </c>
      <c r="Q2933" s="39">
        <f>IF($A2933="","",IF(O2933&lt;&gt;원인분석!$C$9,"",IF(AND(M2933&gt;=원인분석!$C$10,M2933&lt;=원인분석!$C$11),"당기",IF(AND(M2933&gt;=원인분석!$C$12,M2933&lt;=원인분석!$C$13),"비교",""))))</f>
        <v/>
      </c>
      <c r="R2933" s="9">
        <f>IF(Q2933="","",$K2933&amp;"")</f>
        <v/>
      </c>
      <c r="S2933" s="9">
        <f>IF(Q2933="","",IF(MATCH(R2933,$R$5:$R$100000,0)=ROW()-4,ROW(),""))</f>
        <v/>
      </c>
      <c r="T2933" s="9">
        <f>IF(Q2933="당기",ABS(P2933)+ROW()/1000000000,"")</f>
        <v/>
      </c>
      <c r="U2933" s="9">
        <f>IF(Q2933="비교",ABS(P2933)+ROW()/1000000000,"")</f>
        <v/>
      </c>
      <c r="V2933" s="39">
        <f>IF($A2933="","",IF(COUNTIF(변동분석!$E$7:$E$506,O2933)&gt;0,"Y","N"))</f>
        <v/>
      </c>
      <c r="W2933" s="39">
        <f>IF($A2933="","",IFERROR(INDEX(계정매핑!$D$5:$D$504,MATCH($F2933&amp;"",계정매핑!$A$5:$A$504,0)),"미매핑"))</f>
        <v/>
      </c>
      <c r="X2933" s="9">
        <f>IF($A2933="","",$F2933&amp;"")</f>
        <v/>
      </c>
    </row>
    <row r="2934">
      <c r="A2934" s="75" t="n">
        <v>2026</v>
      </c>
      <c r="B2934" s="75" t="n">
        <v>4</v>
      </c>
      <c r="C2934" s="75" t="inlineStr">
        <is>
          <t>5100000590</t>
        </is>
      </c>
      <c r="D2934" s="78" t="n">
        <v>46114</v>
      </c>
      <c r="E2934" s="75" t="inlineStr">
        <is>
          <t>KR</t>
        </is>
      </c>
      <c r="F2934" s="75" t="n">
        <v>62501000</v>
      </c>
      <c r="G2934" s="75" t="n">
        <v>1301</v>
      </c>
      <c r="H2934" s="76" t="n">
        <v>139000</v>
      </c>
      <c r="I2934" s="75" t="inlineStr">
        <is>
          <t>4월 회의 다과 - T케이터링</t>
        </is>
      </c>
      <c r="J2934" s="75" t="inlineStr">
        <is>
          <t>V10005</t>
        </is>
      </c>
      <c r="K2934" s="75" t="inlineStr">
        <is>
          <t>T케이터링</t>
        </is>
      </c>
      <c r="M2934" s="9">
        <f>IF($A2934="","",VALUE($A2934&amp;"")*12+VALUE($B2934&amp;""))</f>
        <v/>
      </c>
      <c r="N2934" s="39">
        <f>IF($A2934="","",IFERROR(INDEX(부서매핑!$C$5:$C$504,MATCH($G2934&amp;"",부서매핑!$A$5:$A$504,0)),"미매핑"))</f>
        <v/>
      </c>
      <c r="O2934" s="9">
        <f>IF($A2934="","",N2934&amp;"|"&amp;$F2934)</f>
        <v/>
      </c>
      <c r="P2934" s="77">
        <f>IF($A2934="",0,$H2934*설정!$C$23)</f>
        <v/>
      </c>
      <c r="Q2934" s="39">
        <f>IF($A2934="","",IF(O2934&lt;&gt;원인분석!$C$9,"",IF(AND(M2934&gt;=원인분석!$C$10,M2934&lt;=원인분석!$C$11),"당기",IF(AND(M2934&gt;=원인분석!$C$12,M2934&lt;=원인분석!$C$13),"비교",""))))</f>
        <v/>
      </c>
      <c r="R2934" s="9">
        <f>IF(Q2934="","",$K2934&amp;"")</f>
        <v/>
      </c>
      <c r="S2934" s="9">
        <f>IF(Q2934="","",IF(MATCH(R2934,$R$5:$R$100000,0)=ROW()-4,ROW(),""))</f>
        <v/>
      </c>
      <c r="T2934" s="9">
        <f>IF(Q2934="당기",ABS(P2934)+ROW()/1000000000,"")</f>
        <v/>
      </c>
      <c r="U2934" s="9">
        <f>IF(Q2934="비교",ABS(P2934)+ROW()/1000000000,"")</f>
        <v/>
      </c>
      <c r="V2934" s="39">
        <f>IF($A2934="","",IF(COUNTIF(변동분석!$E$7:$E$506,O2934)&gt;0,"Y","N"))</f>
        <v/>
      </c>
      <c r="W2934" s="39">
        <f>IF($A2934="","",IFERROR(INDEX(계정매핑!$D$5:$D$504,MATCH($F2934&amp;"",계정매핑!$A$5:$A$504,0)),"미매핑"))</f>
        <v/>
      </c>
      <c r="X2934" s="9">
        <f>IF($A2934="","",$F2934&amp;"")</f>
        <v/>
      </c>
    </row>
    <row r="2935">
      <c r="A2935" s="75" t="n">
        <v>2026</v>
      </c>
      <c r="B2935" s="75" t="n">
        <v>4</v>
      </c>
      <c r="C2935" s="75" t="inlineStr">
        <is>
          <t>5100000591</t>
        </is>
      </c>
      <c r="D2935" s="78" t="n">
        <v>46114</v>
      </c>
      <c r="E2935" s="75" t="inlineStr">
        <is>
          <t>KR</t>
        </is>
      </c>
      <c r="F2935" s="75" t="n">
        <v>62501000</v>
      </c>
      <c r="G2935" s="75" t="n">
        <v>1501</v>
      </c>
      <c r="H2935" s="76" t="n">
        <v>400000</v>
      </c>
      <c r="I2935" s="75" t="inlineStr">
        <is>
          <t>4월 회의 다과 - (법인카드)</t>
        </is>
      </c>
      <c r="J2935" s="75" t="inlineStr">
        <is>
          <t>V10008</t>
        </is>
      </c>
      <c r="K2935" s="75" t="inlineStr">
        <is>
          <t>(법인카드)</t>
        </is>
      </c>
      <c r="M2935" s="9">
        <f>IF($A2935="","",VALUE($A2935&amp;"")*12+VALUE($B2935&amp;""))</f>
        <v/>
      </c>
      <c r="N2935" s="39">
        <f>IF($A2935="","",IFERROR(INDEX(부서매핑!$C$5:$C$504,MATCH($G2935&amp;"",부서매핑!$A$5:$A$504,0)),"미매핑"))</f>
        <v/>
      </c>
      <c r="O2935" s="9">
        <f>IF($A2935="","",N2935&amp;"|"&amp;$F2935)</f>
        <v/>
      </c>
      <c r="P2935" s="77">
        <f>IF($A2935="",0,$H2935*설정!$C$23)</f>
        <v/>
      </c>
      <c r="Q2935" s="39">
        <f>IF($A2935="","",IF(O2935&lt;&gt;원인분석!$C$9,"",IF(AND(M2935&gt;=원인분석!$C$10,M2935&lt;=원인분석!$C$11),"당기",IF(AND(M2935&gt;=원인분석!$C$12,M2935&lt;=원인분석!$C$13),"비교",""))))</f>
        <v/>
      </c>
      <c r="R2935" s="9">
        <f>IF(Q2935="","",$K2935&amp;"")</f>
        <v/>
      </c>
      <c r="S2935" s="9">
        <f>IF(Q2935="","",IF(MATCH(R2935,$R$5:$R$100000,0)=ROW()-4,ROW(),""))</f>
        <v/>
      </c>
      <c r="T2935" s="9">
        <f>IF(Q2935="당기",ABS(P2935)+ROW()/1000000000,"")</f>
        <v/>
      </c>
      <c r="U2935" s="9">
        <f>IF(Q2935="비교",ABS(P2935)+ROW()/1000000000,"")</f>
        <v/>
      </c>
      <c r="V2935" s="39">
        <f>IF($A2935="","",IF(COUNTIF(변동분석!$E$7:$E$506,O2935)&gt;0,"Y","N"))</f>
        <v/>
      </c>
      <c r="W2935" s="39">
        <f>IF($A2935="","",IFERROR(INDEX(계정매핑!$D$5:$D$504,MATCH($F2935&amp;"",계정매핑!$A$5:$A$504,0)),"미매핑"))</f>
        <v/>
      </c>
      <c r="X2935" s="9">
        <f>IF($A2935="","",$F2935&amp;"")</f>
        <v/>
      </c>
    </row>
    <row r="2936">
      <c r="A2936" s="75" t="n">
        <v>2026</v>
      </c>
      <c r="B2936" s="75" t="n">
        <v>4</v>
      </c>
      <c r="C2936" s="75" t="inlineStr">
        <is>
          <t>5100000592</t>
        </is>
      </c>
      <c r="D2936" s="78" t="n">
        <v>46114</v>
      </c>
      <c r="E2936" s="75" t="inlineStr">
        <is>
          <t>KR</t>
        </is>
      </c>
      <c r="F2936" s="75" t="n">
        <v>62901000</v>
      </c>
      <c r="G2936" s="75" t="n">
        <v>1401</v>
      </c>
      <c r="H2936" s="76" t="n">
        <v>4445000</v>
      </c>
      <c r="I2936" s="75" t="inlineStr">
        <is>
          <t>4월 자문 수수료 - W컨설팅</t>
        </is>
      </c>
      <c r="J2936" s="75" t="inlineStr">
        <is>
          <t>V10009</t>
        </is>
      </c>
      <c r="K2936" s="75" t="inlineStr">
        <is>
          <t>W컨설팅</t>
        </is>
      </c>
      <c r="M2936" s="9">
        <f>IF($A2936="","",VALUE($A2936&amp;"")*12+VALUE($B2936&amp;""))</f>
        <v/>
      </c>
      <c r="N2936" s="39">
        <f>IF($A2936="","",IFERROR(INDEX(부서매핑!$C$5:$C$504,MATCH($G2936&amp;"",부서매핑!$A$5:$A$504,0)),"미매핑"))</f>
        <v/>
      </c>
      <c r="O2936" s="9">
        <f>IF($A2936="","",N2936&amp;"|"&amp;$F2936)</f>
        <v/>
      </c>
      <c r="P2936" s="77">
        <f>IF($A2936="",0,$H2936*설정!$C$23)</f>
        <v/>
      </c>
      <c r="Q2936" s="39">
        <f>IF($A2936="","",IF(O2936&lt;&gt;원인분석!$C$9,"",IF(AND(M2936&gt;=원인분석!$C$10,M2936&lt;=원인분석!$C$11),"당기",IF(AND(M2936&gt;=원인분석!$C$12,M2936&lt;=원인분석!$C$13),"비교",""))))</f>
        <v/>
      </c>
      <c r="R2936" s="9">
        <f>IF(Q2936="","",$K2936&amp;"")</f>
        <v/>
      </c>
      <c r="S2936" s="9">
        <f>IF(Q2936="","",IF(MATCH(R2936,$R$5:$R$100000,0)=ROW()-4,ROW(),""))</f>
        <v/>
      </c>
      <c r="T2936" s="9">
        <f>IF(Q2936="당기",ABS(P2936)+ROW()/1000000000,"")</f>
        <v/>
      </c>
      <c r="U2936" s="9">
        <f>IF(Q2936="비교",ABS(P2936)+ROW()/1000000000,"")</f>
        <v/>
      </c>
      <c r="V2936" s="39">
        <f>IF($A2936="","",IF(COUNTIF(변동분석!$E$7:$E$506,O2936)&gt;0,"Y","N"))</f>
        <v/>
      </c>
      <c r="W2936" s="39">
        <f>IF($A2936="","",IFERROR(INDEX(계정매핑!$D$5:$D$504,MATCH($F2936&amp;"",계정매핑!$A$5:$A$504,0)),"미매핑"))</f>
        <v/>
      </c>
      <c r="X2936" s="9">
        <f>IF($A2936="","",$F2936&amp;"")</f>
        <v/>
      </c>
    </row>
    <row r="2937">
      <c r="A2937" s="75" t="n">
        <v>2026</v>
      </c>
      <c r="B2937" s="75" t="n">
        <v>4</v>
      </c>
      <c r="C2937" s="75" t="inlineStr">
        <is>
          <t>5100000593</t>
        </is>
      </c>
      <c r="D2937" s="78" t="n">
        <v>46114</v>
      </c>
      <c r="E2937" s="75" t="inlineStr">
        <is>
          <t>KR</t>
        </is>
      </c>
      <c r="F2937" s="75" t="n">
        <v>62902000</v>
      </c>
      <c r="G2937" s="75" t="n">
        <v>1401</v>
      </c>
      <c r="H2937" s="76" t="n">
        <v>2195000</v>
      </c>
      <c r="I2937" s="75" t="inlineStr">
        <is>
          <t>4월 업무 위탁 수수료 - X서비스</t>
        </is>
      </c>
      <c r="J2937" s="75" t="inlineStr">
        <is>
          <t>V10016</t>
        </is>
      </c>
      <c r="K2937" s="75" t="inlineStr">
        <is>
          <t>X서비스</t>
        </is>
      </c>
      <c r="M2937" s="9">
        <f>IF($A2937="","",VALUE($A2937&amp;"")*12+VALUE($B2937&amp;""))</f>
        <v/>
      </c>
      <c r="N2937" s="39">
        <f>IF($A2937="","",IFERROR(INDEX(부서매핑!$C$5:$C$504,MATCH($G2937&amp;"",부서매핑!$A$5:$A$504,0)),"미매핑"))</f>
        <v/>
      </c>
      <c r="O2937" s="9">
        <f>IF($A2937="","",N2937&amp;"|"&amp;$F2937)</f>
        <v/>
      </c>
      <c r="P2937" s="77">
        <f>IF($A2937="",0,$H2937*설정!$C$23)</f>
        <v/>
      </c>
      <c r="Q2937" s="39">
        <f>IF($A2937="","",IF(O2937&lt;&gt;원인분석!$C$9,"",IF(AND(M2937&gt;=원인분석!$C$10,M2937&lt;=원인분석!$C$11),"당기",IF(AND(M2937&gt;=원인분석!$C$12,M2937&lt;=원인분석!$C$13),"비교",""))))</f>
        <v/>
      </c>
      <c r="R2937" s="9">
        <f>IF(Q2937="","",$K2937&amp;"")</f>
        <v/>
      </c>
      <c r="S2937" s="9">
        <f>IF(Q2937="","",IF(MATCH(R2937,$R$5:$R$100000,0)=ROW()-4,ROW(),""))</f>
        <v/>
      </c>
      <c r="T2937" s="9">
        <f>IF(Q2937="당기",ABS(P2937)+ROW()/1000000000,"")</f>
        <v/>
      </c>
      <c r="U2937" s="9">
        <f>IF(Q2937="비교",ABS(P2937)+ROW()/1000000000,"")</f>
        <v/>
      </c>
      <c r="V2937" s="39">
        <f>IF($A2937="","",IF(COUNTIF(변동분석!$E$7:$E$506,O2937)&gt;0,"Y","N"))</f>
        <v/>
      </c>
      <c r="W2937" s="39">
        <f>IF($A2937="","",IFERROR(INDEX(계정매핑!$D$5:$D$504,MATCH($F2937&amp;"",계정매핑!$A$5:$A$504,0)),"미매핑"))</f>
        <v/>
      </c>
      <c r="X2937" s="9">
        <f>IF($A2937="","",$F2937&amp;"")</f>
        <v/>
      </c>
    </row>
    <row r="2938">
      <c r="A2938" s="75" t="n">
        <v>2026</v>
      </c>
      <c r="B2938" s="75" t="n">
        <v>4</v>
      </c>
      <c r="C2938" s="75" t="inlineStr">
        <is>
          <t>5100000594</t>
        </is>
      </c>
      <c r="D2938" s="78" t="n">
        <v>46114</v>
      </c>
      <c r="E2938" s="75" t="inlineStr">
        <is>
          <t>KR</t>
        </is>
      </c>
      <c r="F2938" s="75" t="n">
        <v>63001000</v>
      </c>
      <c r="G2938" s="75" t="n">
        <v>1701</v>
      </c>
      <c r="H2938" s="76" t="n">
        <v>20279000</v>
      </c>
      <c r="I2938" s="75" t="inlineStr">
        <is>
          <t>4월 SW 유지보수 - Y소프트</t>
        </is>
      </c>
      <c r="J2938" s="75" t="inlineStr">
        <is>
          <t>V10017</t>
        </is>
      </c>
      <c r="K2938" s="75" t="inlineStr">
        <is>
          <t>Y소프트</t>
        </is>
      </c>
      <c r="M2938" s="9">
        <f>IF($A2938="","",VALUE($A2938&amp;"")*12+VALUE($B2938&amp;""))</f>
        <v/>
      </c>
      <c r="N2938" s="39">
        <f>IF($A2938="","",IFERROR(INDEX(부서매핑!$C$5:$C$504,MATCH($G2938&amp;"",부서매핑!$A$5:$A$504,0)),"미매핑"))</f>
        <v/>
      </c>
      <c r="O2938" s="9">
        <f>IF($A2938="","",N2938&amp;"|"&amp;$F2938)</f>
        <v/>
      </c>
      <c r="P2938" s="77">
        <f>IF($A2938="",0,$H2938*설정!$C$23)</f>
        <v/>
      </c>
      <c r="Q2938" s="39">
        <f>IF($A2938="","",IF(O2938&lt;&gt;원인분석!$C$9,"",IF(AND(M2938&gt;=원인분석!$C$10,M2938&lt;=원인분석!$C$11),"당기",IF(AND(M2938&gt;=원인분석!$C$12,M2938&lt;=원인분석!$C$13),"비교",""))))</f>
        <v/>
      </c>
      <c r="R2938" s="9">
        <f>IF(Q2938="","",$K2938&amp;"")</f>
        <v/>
      </c>
      <c r="S2938" s="9">
        <f>IF(Q2938="","",IF(MATCH(R2938,$R$5:$R$100000,0)=ROW()-4,ROW(),""))</f>
        <v/>
      </c>
      <c r="T2938" s="9">
        <f>IF(Q2938="당기",ABS(P2938)+ROW()/1000000000,"")</f>
        <v/>
      </c>
      <c r="U2938" s="9">
        <f>IF(Q2938="비교",ABS(P2938)+ROW()/1000000000,"")</f>
        <v/>
      </c>
      <c r="V2938" s="39">
        <f>IF($A2938="","",IF(COUNTIF(변동분석!$E$7:$E$506,O2938)&gt;0,"Y","N"))</f>
        <v/>
      </c>
      <c r="W2938" s="39">
        <f>IF($A2938="","",IFERROR(INDEX(계정매핑!$D$5:$D$504,MATCH($F2938&amp;"",계정매핑!$A$5:$A$504,0)),"미매핑"))</f>
        <v/>
      </c>
      <c r="X2938" s="9">
        <f>IF($A2938="","",$F2938&amp;"")</f>
        <v/>
      </c>
    </row>
    <row r="2939">
      <c r="A2939" s="75" t="n">
        <v>2026</v>
      </c>
      <c r="B2939" s="75" t="n">
        <v>4</v>
      </c>
      <c r="C2939" s="75" t="inlineStr">
        <is>
          <t>5100000595</t>
        </is>
      </c>
      <c r="D2939" s="78" t="n">
        <v>46115</v>
      </c>
      <c r="E2939" s="75" t="inlineStr">
        <is>
          <t>KR</t>
        </is>
      </c>
      <c r="F2939" s="75" t="n">
        <v>62101000</v>
      </c>
      <c r="G2939" s="75" t="n">
        <v>1401</v>
      </c>
      <c r="H2939" s="76" t="n">
        <v>463000</v>
      </c>
      <c r="I2939" s="75" t="inlineStr">
        <is>
          <t>4월 국내출장 - M항공</t>
        </is>
      </c>
      <c r="J2939" s="75" t="inlineStr">
        <is>
          <t>V10001</t>
        </is>
      </c>
      <c r="K2939" s="75" t="inlineStr">
        <is>
          <t>M항공</t>
        </is>
      </c>
      <c r="M2939" s="9">
        <f>IF($A2939="","",VALUE($A2939&amp;"")*12+VALUE($B2939&amp;""))</f>
        <v/>
      </c>
      <c r="N2939" s="39">
        <f>IF($A2939="","",IFERROR(INDEX(부서매핑!$C$5:$C$504,MATCH($G2939&amp;"",부서매핑!$A$5:$A$504,0)),"미매핑"))</f>
        <v/>
      </c>
      <c r="O2939" s="9">
        <f>IF($A2939="","",N2939&amp;"|"&amp;$F2939)</f>
        <v/>
      </c>
      <c r="P2939" s="77">
        <f>IF($A2939="",0,$H2939*설정!$C$23)</f>
        <v/>
      </c>
      <c r="Q2939" s="39">
        <f>IF($A2939="","",IF(O2939&lt;&gt;원인분석!$C$9,"",IF(AND(M2939&gt;=원인분석!$C$10,M2939&lt;=원인분석!$C$11),"당기",IF(AND(M2939&gt;=원인분석!$C$12,M2939&lt;=원인분석!$C$13),"비교",""))))</f>
        <v/>
      </c>
      <c r="R2939" s="9">
        <f>IF(Q2939="","",$K2939&amp;"")</f>
        <v/>
      </c>
      <c r="S2939" s="9">
        <f>IF(Q2939="","",IF(MATCH(R2939,$R$5:$R$100000,0)=ROW()-4,ROW(),""))</f>
        <v/>
      </c>
      <c r="T2939" s="9">
        <f>IF(Q2939="당기",ABS(P2939)+ROW()/1000000000,"")</f>
        <v/>
      </c>
      <c r="U2939" s="9">
        <f>IF(Q2939="비교",ABS(P2939)+ROW()/1000000000,"")</f>
        <v/>
      </c>
      <c r="V2939" s="39">
        <f>IF($A2939="","",IF(COUNTIF(변동분석!$E$7:$E$506,O2939)&gt;0,"Y","N"))</f>
        <v/>
      </c>
      <c r="W2939" s="39">
        <f>IF($A2939="","",IFERROR(INDEX(계정매핑!$D$5:$D$504,MATCH($F2939&amp;"",계정매핑!$A$5:$A$504,0)),"미매핑"))</f>
        <v/>
      </c>
      <c r="X2939" s="9">
        <f>IF($A2939="","",$F2939&amp;"")</f>
        <v/>
      </c>
    </row>
    <row r="2940">
      <c r="A2940" s="75" t="n">
        <v>2026</v>
      </c>
      <c r="B2940" s="75" t="n">
        <v>4</v>
      </c>
      <c r="C2940" s="75" t="inlineStr">
        <is>
          <t>5100000596</t>
        </is>
      </c>
      <c r="D2940" s="78" t="n">
        <v>46115</v>
      </c>
      <c r="E2940" s="75" t="inlineStr">
        <is>
          <t>KR</t>
        </is>
      </c>
      <c r="F2940" s="75" t="n">
        <v>62101000</v>
      </c>
      <c r="G2940" s="75" t="n">
        <v>1801</v>
      </c>
      <c r="H2940" s="76" t="n">
        <v>175000</v>
      </c>
      <c r="I2940" s="75" t="inlineStr">
        <is>
          <t>4월 국내출장 - M항공</t>
        </is>
      </c>
      <c r="J2940" s="75" t="inlineStr">
        <is>
          <t>V10001</t>
        </is>
      </c>
      <c r="K2940" s="75" t="inlineStr">
        <is>
          <t>M항공</t>
        </is>
      </c>
      <c r="M2940" s="9">
        <f>IF($A2940="","",VALUE($A2940&amp;"")*12+VALUE($B2940&amp;""))</f>
        <v/>
      </c>
      <c r="N2940" s="39">
        <f>IF($A2940="","",IFERROR(INDEX(부서매핑!$C$5:$C$504,MATCH($G2940&amp;"",부서매핑!$A$5:$A$504,0)),"미매핑"))</f>
        <v/>
      </c>
      <c r="O2940" s="9">
        <f>IF($A2940="","",N2940&amp;"|"&amp;$F2940)</f>
        <v/>
      </c>
      <c r="P2940" s="77">
        <f>IF($A2940="",0,$H2940*설정!$C$23)</f>
        <v/>
      </c>
      <c r="Q2940" s="39">
        <f>IF($A2940="","",IF(O2940&lt;&gt;원인분석!$C$9,"",IF(AND(M2940&gt;=원인분석!$C$10,M2940&lt;=원인분석!$C$11),"당기",IF(AND(M2940&gt;=원인분석!$C$12,M2940&lt;=원인분석!$C$13),"비교",""))))</f>
        <v/>
      </c>
      <c r="R2940" s="9">
        <f>IF(Q2940="","",$K2940&amp;"")</f>
        <v/>
      </c>
      <c r="S2940" s="9">
        <f>IF(Q2940="","",IF(MATCH(R2940,$R$5:$R$100000,0)=ROW()-4,ROW(),""))</f>
        <v/>
      </c>
      <c r="T2940" s="9">
        <f>IF(Q2940="당기",ABS(P2940)+ROW()/1000000000,"")</f>
        <v/>
      </c>
      <c r="U2940" s="9">
        <f>IF(Q2940="비교",ABS(P2940)+ROW()/1000000000,"")</f>
        <v/>
      </c>
      <c r="V2940" s="39">
        <f>IF($A2940="","",IF(COUNTIF(변동분석!$E$7:$E$506,O2940)&gt;0,"Y","N"))</f>
        <v/>
      </c>
      <c r="W2940" s="39">
        <f>IF($A2940="","",IFERROR(INDEX(계정매핑!$D$5:$D$504,MATCH($F2940&amp;"",계정매핑!$A$5:$A$504,0)),"미매핑"))</f>
        <v/>
      </c>
      <c r="X2940" s="9">
        <f>IF($A2940="","",$F2940&amp;"")</f>
        <v/>
      </c>
    </row>
    <row r="2941">
      <c r="A2941" s="75" t="n">
        <v>2026</v>
      </c>
      <c r="B2941" s="75" t="n">
        <v>4</v>
      </c>
      <c r="C2941" s="75" t="inlineStr">
        <is>
          <t>5100000597</t>
        </is>
      </c>
      <c r="D2941" s="78" t="n">
        <v>46115</v>
      </c>
      <c r="E2941" s="75" t="inlineStr">
        <is>
          <t>KR</t>
        </is>
      </c>
      <c r="F2941" s="75" t="n">
        <v>62102000</v>
      </c>
      <c r="G2941" s="75" t="n">
        <v>1501</v>
      </c>
      <c r="H2941" s="76" t="n">
        <v>71000</v>
      </c>
      <c r="I2941" s="75" t="inlineStr">
        <is>
          <t>4월 해외출장 - M항공</t>
        </is>
      </c>
      <c r="J2941" s="75" t="inlineStr">
        <is>
          <t>V10001</t>
        </is>
      </c>
      <c r="K2941" s="75" t="inlineStr">
        <is>
          <t>M항공</t>
        </is>
      </c>
      <c r="M2941" s="9">
        <f>IF($A2941="","",VALUE($A2941&amp;"")*12+VALUE($B2941&amp;""))</f>
        <v/>
      </c>
      <c r="N2941" s="39">
        <f>IF($A2941="","",IFERROR(INDEX(부서매핑!$C$5:$C$504,MATCH($G2941&amp;"",부서매핑!$A$5:$A$504,0)),"미매핑"))</f>
        <v/>
      </c>
      <c r="O2941" s="9">
        <f>IF($A2941="","",N2941&amp;"|"&amp;$F2941)</f>
        <v/>
      </c>
      <c r="P2941" s="77">
        <f>IF($A2941="",0,$H2941*설정!$C$23)</f>
        <v/>
      </c>
      <c r="Q2941" s="39">
        <f>IF($A2941="","",IF(O2941&lt;&gt;원인분석!$C$9,"",IF(AND(M2941&gt;=원인분석!$C$10,M2941&lt;=원인분석!$C$11),"당기",IF(AND(M2941&gt;=원인분석!$C$12,M2941&lt;=원인분석!$C$13),"비교",""))))</f>
        <v/>
      </c>
      <c r="R2941" s="9">
        <f>IF(Q2941="","",$K2941&amp;"")</f>
        <v/>
      </c>
      <c r="S2941" s="9">
        <f>IF(Q2941="","",IF(MATCH(R2941,$R$5:$R$100000,0)=ROW()-4,ROW(),""))</f>
        <v/>
      </c>
      <c r="T2941" s="9">
        <f>IF(Q2941="당기",ABS(P2941)+ROW()/1000000000,"")</f>
        <v/>
      </c>
      <c r="U2941" s="9">
        <f>IF(Q2941="비교",ABS(P2941)+ROW()/1000000000,"")</f>
        <v/>
      </c>
      <c r="V2941" s="39">
        <f>IF($A2941="","",IF(COUNTIF(변동분석!$E$7:$E$506,O2941)&gt;0,"Y","N"))</f>
        <v/>
      </c>
      <c r="W2941" s="39">
        <f>IF($A2941="","",IFERROR(INDEX(계정매핑!$D$5:$D$504,MATCH($F2941&amp;"",계정매핑!$A$5:$A$504,0)),"미매핑"))</f>
        <v/>
      </c>
      <c r="X2941" s="9">
        <f>IF($A2941="","",$F2941&amp;"")</f>
        <v/>
      </c>
    </row>
    <row r="2942">
      <c r="A2942" s="75" t="n">
        <v>2026</v>
      </c>
      <c r="B2942" s="75" t="n">
        <v>4</v>
      </c>
      <c r="C2942" s="75" t="inlineStr">
        <is>
          <t>5100000598</t>
        </is>
      </c>
      <c r="D2942" s="78" t="n">
        <v>46115</v>
      </c>
      <c r="E2942" s="75" t="inlineStr">
        <is>
          <t>KR</t>
        </is>
      </c>
      <c r="F2942" s="75" t="n">
        <v>62102000</v>
      </c>
      <c r="G2942" s="75" t="n">
        <v>1602</v>
      </c>
      <c r="H2942" s="76" t="n">
        <v>304000</v>
      </c>
      <c r="I2942" s="75" t="inlineStr">
        <is>
          <t>4월 해외출장 - M항공</t>
        </is>
      </c>
      <c r="J2942" s="75" t="inlineStr">
        <is>
          <t>V10001</t>
        </is>
      </c>
      <c r="K2942" s="75" t="inlineStr">
        <is>
          <t>M항공</t>
        </is>
      </c>
      <c r="M2942" s="9">
        <f>IF($A2942="","",VALUE($A2942&amp;"")*12+VALUE($B2942&amp;""))</f>
        <v/>
      </c>
      <c r="N2942" s="39">
        <f>IF($A2942="","",IFERROR(INDEX(부서매핑!$C$5:$C$504,MATCH($G2942&amp;"",부서매핑!$A$5:$A$504,0)),"미매핑"))</f>
        <v/>
      </c>
      <c r="O2942" s="9">
        <f>IF($A2942="","",N2942&amp;"|"&amp;$F2942)</f>
        <v/>
      </c>
      <c r="P2942" s="77">
        <f>IF($A2942="",0,$H2942*설정!$C$23)</f>
        <v/>
      </c>
      <c r="Q2942" s="39">
        <f>IF($A2942="","",IF(O2942&lt;&gt;원인분석!$C$9,"",IF(AND(M2942&gt;=원인분석!$C$10,M2942&lt;=원인분석!$C$11),"당기",IF(AND(M2942&gt;=원인분석!$C$12,M2942&lt;=원인분석!$C$13),"비교",""))))</f>
        <v/>
      </c>
      <c r="R2942" s="9">
        <f>IF(Q2942="","",$K2942&amp;"")</f>
        <v/>
      </c>
      <c r="S2942" s="9">
        <f>IF(Q2942="","",IF(MATCH(R2942,$R$5:$R$100000,0)=ROW()-4,ROW(),""))</f>
        <v/>
      </c>
      <c r="T2942" s="9">
        <f>IF(Q2942="당기",ABS(P2942)+ROW()/1000000000,"")</f>
        <v/>
      </c>
      <c r="U2942" s="9">
        <f>IF(Q2942="비교",ABS(P2942)+ROW()/1000000000,"")</f>
        <v/>
      </c>
      <c r="V2942" s="39">
        <f>IF($A2942="","",IF(COUNTIF(변동분석!$E$7:$E$506,O2942)&gt;0,"Y","N"))</f>
        <v/>
      </c>
      <c r="W2942" s="39">
        <f>IF($A2942="","",IFERROR(INDEX(계정매핑!$D$5:$D$504,MATCH($F2942&amp;"",계정매핑!$A$5:$A$504,0)),"미매핑"))</f>
        <v/>
      </c>
      <c r="X2942" s="9">
        <f>IF($A2942="","",$F2942&amp;"")</f>
        <v/>
      </c>
    </row>
    <row r="2943">
      <c r="A2943" s="75" t="n">
        <v>2026</v>
      </c>
      <c r="B2943" s="75" t="n">
        <v>4</v>
      </c>
      <c r="C2943" s="75" t="inlineStr">
        <is>
          <t>5100000599</t>
        </is>
      </c>
      <c r="D2943" s="78" t="n">
        <v>46115</v>
      </c>
      <c r="E2943" s="75" t="inlineStr">
        <is>
          <t>KR</t>
        </is>
      </c>
      <c r="F2943" s="75" t="n">
        <v>62301000</v>
      </c>
      <c r="G2943" s="75" t="n">
        <v>1801</v>
      </c>
      <c r="H2943" s="76" t="n">
        <v>705000</v>
      </c>
      <c r="I2943" s="75" t="inlineStr">
        <is>
          <t>4월 소모품 구입 - Q오피스</t>
        </is>
      </c>
      <c r="J2943" s="75" t="inlineStr">
        <is>
          <t>V10003</t>
        </is>
      </c>
      <c r="K2943" s="75" t="inlineStr">
        <is>
          <t>Q오피스</t>
        </is>
      </c>
      <c r="M2943" s="9">
        <f>IF($A2943="","",VALUE($A2943&amp;"")*12+VALUE($B2943&amp;""))</f>
        <v/>
      </c>
      <c r="N2943" s="39">
        <f>IF($A2943="","",IFERROR(INDEX(부서매핑!$C$5:$C$504,MATCH($G2943&amp;"",부서매핑!$A$5:$A$504,0)),"미매핑"))</f>
        <v/>
      </c>
      <c r="O2943" s="9">
        <f>IF($A2943="","",N2943&amp;"|"&amp;$F2943)</f>
        <v/>
      </c>
      <c r="P2943" s="77">
        <f>IF($A2943="",0,$H2943*설정!$C$23)</f>
        <v/>
      </c>
      <c r="Q2943" s="39">
        <f>IF($A2943="","",IF(O2943&lt;&gt;원인분석!$C$9,"",IF(AND(M2943&gt;=원인분석!$C$10,M2943&lt;=원인분석!$C$11),"당기",IF(AND(M2943&gt;=원인분석!$C$12,M2943&lt;=원인분석!$C$13),"비교",""))))</f>
        <v/>
      </c>
      <c r="R2943" s="9">
        <f>IF(Q2943="","",$K2943&amp;"")</f>
        <v/>
      </c>
      <c r="S2943" s="9">
        <f>IF(Q2943="","",IF(MATCH(R2943,$R$5:$R$100000,0)=ROW()-4,ROW(),""))</f>
        <v/>
      </c>
      <c r="T2943" s="9">
        <f>IF(Q2943="당기",ABS(P2943)+ROW()/1000000000,"")</f>
        <v/>
      </c>
      <c r="U2943" s="9">
        <f>IF(Q2943="비교",ABS(P2943)+ROW()/1000000000,"")</f>
        <v/>
      </c>
      <c r="V2943" s="39">
        <f>IF($A2943="","",IF(COUNTIF(변동분석!$E$7:$E$506,O2943)&gt;0,"Y","N"))</f>
        <v/>
      </c>
      <c r="W2943" s="39">
        <f>IF($A2943="","",IFERROR(INDEX(계정매핑!$D$5:$D$504,MATCH($F2943&amp;"",계정매핑!$A$5:$A$504,0)),"미매핑"))</f>
        <v/>
      </c>
      <c r="X2943" s="9">
        <f>IF($A2943="","",$F2943&amp;"")</f>
        <v/>
      </c>
    </row>
    <row r="2944">
      <c r="A2944" s="75" t="n">
        <v>2026</v>
      </c>
      <c r="B2944" s="75" t="n">
        <v>4</v>
      </c>
      <c r="C2944" s="75" t="inlineStr">
        <is>
          <t>5100000600</t>
        </is>
      </c>
      <c r="D2944" s="78" t="n">
        <v>46115</v>
      </c>
      <c r="E2944" s="75" t="inlineStr">
        <is>
          <t>KR</t>
        </is>
      </c>
      <c r="F2944" s="75" t="n">
        <v>62401000</v>
      </c>
      <c r="G2944" s="75" t="n">
        <v>1801</v>
      </c>
      <c r="H2944" s="76" t="n">
        <v>2559000</v>
      </c>
      <c r="I2944" s="75" t="inlineStr">
        <is>
          <t>4월 인쇄물 제작 - G인쇄</t>
        </is>
      </c>
      <c r="J2944" s="75" t="inlineStr">
        <is>
          <t>V10004</t>
        </is>
      </c>
      <c r="K2944" s="75" t="inlineStr">
        <is>
          <t>G인쇄</t>
        </is>
      </c>
      <c r="M2944" s="9">
        <f>IF($A2944="","",VALUE($A2944&amp;"")*12+VALUE($B2944&amp;""))</f>
        <v/>
      </c>
      <c r="N2944" s="39">
        <f>IF($A2944="","",IFERROR(INDEX(부서매핑!$C$5:$C$504,MATCH($G2944&amp;"",부서매핑!$A$5:$A$504,0)),"미매핑"))</f>
        <v/>
      </c>
      <c r="O2944" s="9">
        <f>IF($A2944="","",N2944&amp;"|"&amp;$F2944)</f>
        <v/>
      </c>
      <c r="P2944" s="77">
        <f>IF($A2944="",0,$H2944*설정!$C$23)</f>
        <v/>
      </c>
      <c r="Q2944" s="39">
        <f>IF($A2944="","",IF(O2944&lt;&gt;원인분석!$C$9,"",IF(AND(M2944&gt;=원인분석!$C$10,M2944&lt;=원인분석!$C$11),"당기",IF(AND(M2944&gt;=원인분석!$C$12,M2944&lt;=원인분석!$C$13),"비교",""))))</f>
        <v/>
      </c>
      <c r="R2944" s="9">
        <f>IF(Q2944="","",$K2944&amp;"")</f>
        <v/>
      </c>
      <c r="S2944" s="9">
        <f>IF(Q2944="","",IF(MATCH(R2944,$R$5:$R$100000,0)=ROW()-4,ROW(),""))</f>
        <v/>
      </c>
      <c r="T2944" s="9">
        <f>IF(Q2944="당기",ABS(P2944)+ROW()/1000000000,"")</f>
        <v/>
      </c>
      <c r="U2944" s="9">
        <f>IF(Q2944="비교",ABS(P2944)+ROW()/1000000000,"")</f>
        <v/>
      </c>
      <c r="V2944" s="39">
        <f>IF($A2944="","",IF(COUNTIF(변동분석!$E$7:$E$506,O2944)&gt;0,"Y","N"))</f>
        <v/>
      </c>
      <c r="W2944" s="39">
        <f>IF($A2944="","",IFERROR(INDEX(계정매핑!$D$5:$D$504,MATCH($F2944&amp;"",계정매핑!$A$5:$A$504,0)),"미매핑"))</f>
        <v/>
      </c>
      <c r="X2944" s="9">
        <f>IF($A2944="","",$F2944&amp;"")</f>
        <v/>
      </c>
    </row>
    <row r="2945">
      <c r="A2945" s="75" t="n">
        <v>2026</v>
      </c>
      <c r="B2945" s="75" t="n">
        <v>4</v>
      </c>
      <c r="C2945" s="75" t="inlineStr">
        <is>
          <t>5100000601</t>
        </is>
      </c>
      <c r="D2945" s="78" t="n">
        <v>46115</v>
      </c>
      <c r="E2945" s="75" t="inlineStr">
        <is>
          <t>KR</t>
        </is>
      </c>
      <c r="F2945" s="75" t="n">
        <v>62501000</v>
      </c>
      <c r="G2945" s="75" t="n">
        <v>1201</v>
      </c>
      <c r="H2945" s="76" t="n">
        <v>138000</v>
      </c>
      <c r="I2945" s="75" t="inlineStr">
        <is>
          <t>4월 회의 다과 - T케이터링</t>
        </is>
      </c>
      <c r="J2945" s="75" t="inlineStr">
        <is>
          <t>V10005</t>
        </is>
      </c>
      <c r="K2945" s="75" t="inlineStr">
        <is>
          <t>T케이터링</t>
        </is>
      </c>
      <c r="M2945" s="9">
        <f>IF($A2945="","",VALUE($A2945&amp;"")*12+VALUE($B2945&amp;""))</f>
        <v/>
      </c>
      <c r="N2945" s="39">
        <f>IF($A2945="","",IFERROR(INDEX(부서매핑!$C$5:$C$504,MATCH($G2945&amp;"",부서매핑!$A$5:$A$504,0)),"미매핑"))</f>
        <v/>
      </c>
      <c r="O2945" s="9">
        <f>IF($A2945="","",N2945&amp;"|"&amp;$F2945)</f>
        <v/>
      </c>
      <c r="P2945" s="77">
        <f>IF($A2945="",0,$H2945*설정!$C$23)</f>
        <v/>
      </c>
      <c r="Q2945" s="39">
        <f>IF($A2945="","",IF(O2945&lt;&gt;원인분석!$C$9,"",IF(AND(M2945&gt;=원인분석!$C$10,M2945&lt;=원인분석!$C$11),"당기",IF(AND(M2945&gt;=원인분석!$C$12,M2945&lt;=원인분석!$C$13),"비교",""))))</f>
        <v/>
      </c>
      <c r="R2945" s="9">
        <f>IF(Q2945="","",$K2945&amp;"")</f>
        <v/>
      </c>
      <c r="S2945" s="9">
        <f>IF(Q2945="","",IF(MATCH(R2945,$R$5:$R$100000,0)=ROW()-4,ROW(),""))</f>
        <v/>
      </c>
      <c r="T2945" s="9">
        <f>IF(Q2945="당기",ABS(P2945)+ROW()/1000000000,"")</f>
        <v/>
      </c>
      <c r="U2945" s="9">
        <f>IF(Q2945="비교",ABS(P2945)+ROW()/1000000000,"")</f>
        <v/>
      </c>
      <c r="V2945" s="39">
        <f>IF($A2945="","",IF(COUNTIF(변동분석!$E$7:$E$506,O2945)&gt;0,"Y","N"))</f>
        <v/>
      </c>
      <c r="W2945" s="39">
        <f>IF($A2945="","",IFERROR(INDEX(계정매핑!$D$5:$D$504,MATCH($F2945&amp;"",계정매핑!$A$5:$A$504,0)),"미매핑"))</f>
        <v/>
      </c>
      <c r="X2945" s="9">
        <f>IF($A2945="","",$F2945&amp;"")</f>
        <v/>
      </c>
    </row>
    <row r="2946">
      <c r="A2946" s="75" t="n">
        <v>2026</v>
      </c>
      <c r="B2946" s="75" t="n">
        <v>4</v>
      </c>
      <c r="C2946" s="75" t="inlineStr">
        <is>
          <t>5100000602</t>
        </is>
      </c>
      <c r="D2946" s="78" t="n">
        <v>46115</v>
      </c>
      <c r="E2946" s="75" t="inlineStr">
        <is>
          <t>KR</t>
        </is>
      </c>
      <c r="F2946" s="75" t="n">
        <v>62902000</v>
      </c>
      <c r="G2946" s="75" t="n">
        <v>1201</v>
      </c>
      <c r="H2946" s="76" t="n">
        <v>3445000</v>
      </c>
      <c r="I2946" s="75" t="inlineStr">
        <is>
          <t>4월 업무 위탁 수수료 - J콜센터</t>
        </is>
      </c>
      <c r="J2946" s="75" t="inlineStr">
        <is>
          <t>V10013</t>
        </is>
      </c>
      <c r="K2946" s="75" t="inlineStr">
        <is>
          <t>J콜센터</t>
        </is>
      </c>
      <c r="M2946" s="9">
        <f>IF($A2946="","",VALUE($A2946&amp;"")*12+VALUE($B2946&amp;""))</f>
        <v/>
      </c>
      <c r="N2946" s="39">
        <f>IF($A2946="","",IFERROR(INDEX(부서매핑!$C$5:$C$504,MATCH($G2946&amp;"",부서매핑!$A$5:$A$504,0)),"미매핑"))</f>
        <v/>
      </c>
      <c r="O2946" s="9">
        <f>IF($A2946="","",N2946&amp;"|"&amp;$F2946)</f>
        <v/>
      </c>
      <c r="P2946" s="77">
        <f>IF($A2946="",0,$H2946*설정!$C$23)</f>
        <v/>
      </c>
      <c r="Q2946" s="39">
        <f>IF($A2946="","",IF(O2946&lt;&gt;원인분석!$C$9,"",IF(AND(M2946&gt;=원인분석!$C$10,M2946&lt;=원인분석!$C$11),"당기",IF(AND(M2946&gt;=원인분석!$C$12,M2946&lt;=원인분석!$C$13),"비교",""))))</f>
        <v/>
      </c>
      <c r="R2946" s="9">
        <f>IF(Q2946="","",$K2946&amp;"")</f>
        <v/>
      </c>
      <c r="S2946" s="9">
        <f>IF(Q2946="","",IF(MATCH(R2946,$R$5:$R$100000,0)=ROW()-4,ROW(),""))</f>
        <v/>
      </c>
      <c r="T2946" s="9">
        <f>IF(Q2946="당기",ABS(P2946)+ROW()/1000000000,"")</f>
        <v/>
      </c>
      <c r="U2946" s="9">
        <f>IF(Q2946="비교",ABS(P2946)+ROW()/1000000000,"")</f>
        <v/>
      </c>
      <c r="V2946" s="39">
        <f>IF($A2946="","",IF(COUNTIF(변동분석!$E$7:$E$506,O2946)&gt;0,"Y","N"))</f>
        <v/>
      </c>
      <c r="W2946" s="39">
        <f>IF($A2946="","",IFERROR(INDEX(계정매핑!$D$5:$D$504,MATCH($F2946&amp;"",계정매핑!$A$5:$A$504,0)),"미매핑"))</f>
        <v/>
      </c>
      <c r="X2946" s="9">
        <f>IF($A2946="","",$F2946&amp;"")</f>
        <v/>
      </c>
    </row>
    <row r="2947">
      <c r="A2947" s="75" t="n">
        <v>2026</v>
      </c>
      <c r="B2947" s="75" t="n">
        <v>4</v>
      </c>
      <c r="C2947" s="75" t="inlineStr">
        <is>
          <t>5100000603</t>
        </is>
      </c>
      <c r="D2947" s="78" t="n">
        <v>46115</v>
      </c>
      <c r="E2947" s="75" t="inlineStr">
        <is>
          <t>KR</t>
        </is>
      </c>
      <c r="F2947" s="75" t="n">
        <v>62902000</v>
      </c>
      <c r="G2947" s="75" t="n">
        <v>1201</v>
      </c>
      <c r="H2947" s="76" t="n">
        <v>3555000</v>
      </c>
      <c r="I2947" s="75" t="inlineStr">
        <is>
          <t>4월 업무 위탁 수수료 - J콜센터</t>
        </is>
      </c>
      <c r="J2947" s="75" t="inlineStr">
        <is>
          <t>V10013</t>
        </is>
      </c>
      <c r="K2947" s="75" t="inlineStr">
        <is>
          <t>J콜센터</t>
        </is>
      </c>
      <c r="M2947" s="9">
        <f>IF($A2947="","",VALUE($A2947&amp;"")*12+VALUE($B2947&amp;""))</f>
        <v/>
      </c>
      <c r="N2947" s="39">
        <f>IF($A2947="","",IFERROR(INDEX(부서매핑!$C$5:$C$504,MATCH($G2947&amp;"",부서매핑!$A$5:$A$504,0)),"미매핑"))</f>
        <v/>
      </c>
      <c r="O2947" s="9">
        <f>IF($A2947="","",N2947&amp;"|"&amp;$F2947)</f>
        <v/>
      </c>
      <c r="P2947" s="77">
        <f>IF($A2947="",0,$H2947*설정!$C$23)</f>
        <v/>
      </c>
      <c r="Q2947" s="39">
        <f>IF($A2947="","",IF(O2947&lt;&gt;원인분석!$C$9,"",IF(AND(M2947&gt;=원인분석!$C$10,M2947&lt;=원인분석!$C$11),"당기",IF(AND(M2947&gt;=원인분석!$C$12,M2947&lt;=원인분석!$C$13),"비교",""))))</f>
        <v/>
      </c>
      <c r="R2947" s="9">
        <f>IF(Q2947="","",$K2947&amp;"")</f>
        <v/>
      </c>
      <c r="S2947" s="9">
        <f>IF(Q2947="","",IF(MATCH(R2947,$R$5:$R$100000,0)=ROW()-4,ROW(),""))</f>
        <v/>
      </c>
      <c r="T2947" s="9">
        <f>IF(Q2947="당기",ABS(P2947)+ROW()/1000000000,"")</f>
        <v/>
      </c>
      <c r="U2947" s="9">
        <f>IF(Q2947="비교",ABS(P2947)+ROW()/1000000000,"")</f>
        <v/>
      </c>
      <c r="V2947" s="39">
        <f>IF($A2947="","",IF(COUNTIF(변동분석!$E$7:$E$506,O2947)&gt;0,"Y","N"))</f>
        <v/>
      </c>
      <c r="W2947" s="39">
        <f>IF($A2947="","",IFERROR(INDEX(계정매핑!$D$5:$D$504,MATCH($F2947&amp;"",계정매핑!$A$5:$A$504,0)),"미매핑"))</f>
        <v/>
      </c>
      <c r="X2947" s="9">
        <f>IF($A2947="","",$F2947&amp;"")</f>
        <v/>
      </c>
    </row>
    <row r="2948">
      <c r="A2948" s="75" t="n">
        <v>2026</v>
      </c>
      <c r="B2948" s="75" t="n">
        <v>4</v>
      </c>
      <c r="C2948" s="75" t="inlineStr">
        <is>
          <t>5100000604</t>
        </is>
      </c>
      <c r="D2948" s="78" t="n">
        <v>46116</v>
      </c>
      <c r="E2948" s="75" t="inlineStr">
        <is>
          <t>KR</t>
        </is>
      </c>
      <c r="F2948" s="75" t="n">
        <v>62101000</v>
      </c>
      <c r="G2948" s="75" t="n">
        <v>1101</v>
      </c>
      <c r="H2948" s="76" t="n">
        <v>424000</v>
      </c>
      <c r="I2948" s="75" t="inlineStr">
        <is>
          <t>4월 국내출장 - L여행사</t>
        </is>
      </c>
      <c r="J2948" s="75" t="inlineStr">
        <is>
          <t>V10014</t>
        </is>
      </c>
      <c r="K2948" s="75" t="inlineStr">
        <is>
          <t>L여행사</t>
        </is>
      </c>
      <c r="M2948" s="9">
        <f>IF($A2948="","",VALUE($A2948&amp;"")*12+VALUE($B2948&amp;""))</f>
        <v/>
      </c>
      <c r="N2948" s="39">
        <f>IF($A2948="","",IFERROR(INDEX(부서매핑!$C$5:$C$504,MATCH($G2948&amp;"",부서매핑!$A$5:$A$504,0)),"미매핑"))</f>
        <v/>
      </c>
      <c r="O2948" s="9">
        <f>IF($A2948="","",N2948&amp;"|"&amp;$F2948)</f>
        <v/>
      </c>
      <c r="P2948" s="77">
        <f>IF($A2948="",0,$H2948*설정!$C$23)</f>
        <v/>
      </c>
      <c r="Q2948" s="39">
        <f>IF($A2948="","",IF(O2948&lt;&gt;원인분석!$C$9,"",IF(AND(M2948&gt;=원인분석!$C$10,M2948&lt;=원인분석!$C$11),"당기",IF(AND(M2948&gt;=원인분석!$C$12,M2948&lt;=원인분석!$C$13),"비교",""))))</f>
        <v/>
      </c>
      <c r="R2948" s="9">
        <f>IF(Q2948="","",$K2948&amp;"")</f>
        <v/>
      </c>
      <c r="S2948" s="9">
        <f>IF(Q2948="","",IF(MATCH(R2948,$R$5:$R$100000,0)=ROW()-4,ROW(),""))</f>
        <v/>
      </c>
      <c r="T2948" s="9">
        <f>IF(Q2948="당기",ABS(P2948)+ROW()/1000000000,"")</f>
        <v/>
      </c>
      <c r="U2948" s="9">
        <f>IF(Q2948="비교",ABS(P2948)+ROW()/1000000000,"")</f>
        <v/>
      </c>
      <c r="V2948" s="39">
        <f>IF($A2948="","",IF(COUNTIF(변동분석!$E$7:$E$506,O2948)&gt;0,"Y","N"))</f>
        <v/>
      </c>
      <c r="W2948" s="39">
        <f>IF($A2948="","",IFERROR(INDEX(계정매핑!$D$5:$D$504,MATCH($F2948&amp;"",계정매핑!$A$5:$A$504,0)),"미매핑"))</f>
        <v/>
      </c>
      <c r="X2948" s="9">
        <f>IF($A2948="","",$F2948&amp;"")</f>
        <v/>
      </c>
    </row>
    <row r="2949">
      <c r="A2949" s="75" t="n">
        <v>2026</v>
      </c>
      <c r="B2949" s="75" t="n">
        <v>4</v>
      </c>
      <c r="C2949" s="75" t="inlineStr">
        <is>
          <t>5100000605</t>
        </is>
      </c>
      <c r="D2949" s="78" t="n">
        <v>46116</v>
      </c>
      <c r="E2949" s="75" t="inlineStr">
        <is>
          <t>KR</t>
        </is>
      </c>
      <c r="F2949" s="75" t="n">
        <v>62101000</v>
      </c>
      <c r="G2949" s="75" t="n">
        <v>1401</v>
      </c>
      <c r="H2949" s="76" t="n">
        <v>428000</v>
      </c>
      <c r="I2949" s="75" t="inlineStr">
        <is>
          <t>4월 국내출장 - L여행사</t>
        </is>
      </c>
      <c r="J2949" s="75" t="inlineStr">
        <is>
          <t>V10014</t>
        </is>
      </c>
      <c r="K2949" s="75" t="inlineStr">
        <is>
          <t>L여행사</t>
        </is>
      </c>
      <c r="M2949" s="9">
        <f>IF($A2949="","",VALUE($A2949&amp;"")*12+VALUE($B2949&amp;""))</f>
        <v/>
      </c>
      <c r="N2949" s="39">
        <f>IF($A2949="","",IFERROR(INDEX(부서매핑!$C$5:$C$504,MATCH($G2949&amp;"",부서매핑!$A$5:$A$504,0)),"미매핑"))</f>
        <v/>
      </c>
      <c r="O2949" s="9">
        <f>IF($A2949="","",N2949&amp;"|"&amp;$F2949)</f>
        <v/>
      </c>
      <c r="P2949" s="77">
        <f>IF($A2949="",0,$H2949*설정!$C$23)</f>
        <v/>
      </c>
      <c r="Q2949" s="39">
        <f>IF($A2949="","",IF(O2949&lt;&gt;원인분석!$C$9,"",IF(AND(M2949&gt;=원인분석!$C$10,M2949&lt;=원인분석!$C$11),"당기",IF(AND(M2949&gt;=원인분석!$C$12,M2949&lt;=원인분석!$C$13),"비교",""))))</f>
        <v/>
      </c>
      <c r="R2949" s="9">
        <f>IF(Q2949="","",$K2949&amp;"")</f>
        <v/>
      </c>
      <c r="S2949" s="9">
        <f>IF(Q2949="","",IF(MATCH(R2949,$R$5:$R$100000,0)=ROW()-4,ROW(),""))</f>
        <v/>
      </c>
      <c r="T2949" s="9">
        <f>IF(Q2949="당기",ABS(P2949)+ROW()/1000000000,"")</f>
        <v/>
      </c>
      <c r="U2949" s="9">
        <f>IF(Q2949="비교",ABS(P2949)+ROW()/1000000000,"")</f>
        <v/>
      </c>
      <c r="V2949" s="39">
        <f>IF($A2949="","",IF(COUNTIF(변동분석!$E$7:$E$506,O2949)&gt;0,"Y","N"))</f>
        <v/>
      </c>
      <c r="W2949" s="39">
        <f>IF($A2949="","",IFERROR(INDEX(계정매핑!$D$5:$D$504,MATCH($F2949&amp;"",계정매핑!$A$5:$A$504,0)),"미매핑"))</f>
        <v/>
      </c>
      <c r="X2949" s="9">
        <f>IF($A2949="","",$F2949&amp;"")</f>
        <v/>
      </c>
    </row>
    <row r="2950">
      <c r="A2950" s="75" t="n">
        <v>2026</v>
      </c>
      <c r="B2950" s="75" t="n">
        <v>4</v>
      </c>
      <c r="C2950" s="75" t="inlineStr">
        <is>
          <t>5100000606</t>
        </is>
      </c>
      <c r="D2950" s="78" t="n">
        <v>46116</v>
      </c>
      <c r="E2950" s="75" t="inlineStr">
        <is>
          <t>KR</t>
        </is>
      </c>
      <c r="F2950" s="75" t="n">
        <v>62101000</v>
      </c>
      <c r="G2950" s="75" t="n">
        <v>1701</v>
      </c>
      <c r="H2950" s="76" t="n">
        <v>255000</v>
      </c>
      <c r="I2950" s="75" t="inlineStr">
        <is>
          <t>4월 국내출장 - L여행사</t>
        </is>
      </c>
      <c r="J2950" s="75" t="inlineStr">
        <is>
          <t>V10014</t>
        </is>
      </c>
      <c r="K2950" s="75" t="inlineStr">
        <is>
          <t>L여행사</t>
        </is>
      </c>
      <c r="M2950" s="9">
        <f>IF($A2950="","",VALUE($A2950&amp;"")*12+VALUE($B2950&amp;""))</f>
        <v/>
      </c>
      <c r="N2950" s="39">
        <f>IF($A2950="","",IFERROR(INDEX(부서매핑!$C$5:$C$504,MATCH($G2950&amp;"",부서매핑!$A$5:$A$504,0)),"미매핑"))</f>
        <v/>
      </c>
      <c r="O2950" s="9">
        <f>IF($A2950="","",N2950&amp;"|"&amp;$F2950)</f>
        <v/>
      </c>
      <c r="P2950" s="77">
        <f>IF($A2950="",0,$H2950*설정!$C$23)</f>
        <v/>
      </c>
      <c r="Q2950" s="39">
        <f>IF($A2950="","",IF(O2950&lt;&gt;원인분석!$C$9,"",IF(AND(M2950&gt;=원인분석!$C$10,M2950&lt;=원인분석!$C$11),"당기",IF(AND(M2950&gt;=원인분석!$C$12,M2950&lt;=원인분석!$C$13),"비교",""))))</f>
        <v/>
      </c>
      <c r="R2950" s="9">
        <f>IF(Q2950="","",$K2950&amp;"")</f>
        <v/>
      </c>
      <c r="S2950" s="9">
        <f>IF(Q2950="","",IF(MATCH(R2950,$R$5:$R$100000,0)=ROW()-4,ROW(),""))</f>
        <v/>
      </c>
      <c r="T2950" s="9">
        <f>IF(Q2950="당기",ABS(P2950)+ROW()/1000000000,"")</f>
        <v/>
      </c>
      <c r="U2950" s="9">
        <f>IF(Q2950="비교",ABS(P2950)+ROW()/1000000000,"")</f>
        <v/>
      </c>
      <c r="V2950" s="39">
        <f>IF($A2950="","",IF(COUNTIF(변동분석!$E$7:$E$506,O2950)&gt;0,"Y","N"))</f>
        <v/>
      </c>
      <c r="W2950" s="39">
        <f>IF($A2950="","",IFERROR(INDEX(계정매핑!$D$5:$D$504,MATCH($F2950&amp;"",계정매핑!$A$5:$A$504,0)),"미매핑"))</f>
        <v/>
      </c>
      <c r="X2950" s="9">
        <f>IF($A2950="","",$F2950&amp;"")</f>
        <v/>
      </c>
    </row>
    <row r="2951">
      <c r="A2951" s="75" t="n">
        <v>2026</v>
      </c>
      <c r="B2951" s="75" t="n">
        <v>4</v>
      </c>
      <c r="C2951" s="75" t="inlineStr">
        <is>
          <t>5100000607</t>
        </is>
      </c>
      <c r="D2951" s="78" t="n">
        <v>46116</v>
      </c>
      <c r="E2951" s="75" t="inlineStr">
        <is>
          <t>KR</t>
        </is>
      </c>
      <c r="F2951" s="75" t="n">
        <v>62101000</v>
      </c>
      <c r="G2951" s="75" t="n">
        <v>1801</v>
      </c>
      <c r="H2951" s="76" t="n">
        <v>86000</v>
      </c>
      <c r="I2951" s="75" t="inlineStr">
        <is>
          <t>4월 국내출장 - M항공</t>
        </is>
      </c>
      <c r="J2951" s="75" t="inlineStr">
        <is>
          <t>V10001</t>
        </is>
      </c>
      <c r="K2951" s="75" t="inlineStr">
        <is>
          <t>M항공</t>
        </is>
      </c>
      <c r="M2951" s="9">
        <f>IF($A2951="","",VALUE($A2951&amp;"")*12+VALUE($B2951&amp;""))</f>
        <v/>
      </c>
      <c r="N2951" s="39">
        <f>IF($A2951="","",IFERROR(INDEX(부서매핑!$C$5:$C$504,MATCH($G2951&amp;"",부서매핑!$A$5:$A$504,0)),"미매핑"))</f>
        <v/>
      </c>
      <c r="O2951" s="9">
        <f>IF($A2951="","",N2951&amp;"|"&amp;$F2951)</f>
        <v/>
      </c>
      <c r="P2951" s="77">
        <f>IF($A2951="",0,$H2951*설정!$C$23)</f>
        <v/>
      </c>
      <c r="Q2951" s="39">
        <f>IF($A2951="","",IF(O2951&lt;&gt;원인분석!$C$9,"",IF(AND(M2951&gt;=원인분석!$C$10,M2951&lt;=원인분석!$C$11),"당기",IF(AND(M2951&gt;=원인분석!$C$12,M2951&lt;=원인분석!$C$13),"비교",""))))</f>
        <v/>
      </c>
      <c r="R2951" s="9">
        <f>IF(Q2951="","",$K2951&amp;"")</f>
        <v/>
      </c>
      <c r="S2951" s="9">
        <f>IF(Q2951="","",IF(MATCH(R2951,$R$5:$R$100000,0)=ROW()-4,ROW(),""))</f>
        <v/>
      </c>
      <c r="T2951" s="9">
        <f>IF(Q2951="당기",ABS(P2951)+ROW()/1000000000,"")</f>
        <v/>
      </c>
      <c r="U2951" s="9">
        <f>IF(Q2951="비교",ABS(P2951)+ROW()/1000000000,"")</f>
        <v/>
      </c>
      <c r="V2951" s="39">
        <f>IF($A2951="","",IF(COUNTIF(변동분석!$E$7:$E$506,O2951)&gt;0,"Y","N"))</f>
        <v/>
      </c>
      <c r="W2951" s="39">
        <f>IF($A2951="","",IFERROR(INDEX(계정매핑!$D$5:$D$504,MATCH($F2951&amp;"",계정매핑!$A$5:$A$504,0)),"미매핑"))</f>
        <v/>
      </c>
      <c r="X2951" s="9">
        <f>IF($A2951="","",$F2951&amp;"")</f>
        <v/>
      </c>
    </row>
    <row r="2952">
      <c r="A2952" s="75" t="n">
        <v>2026</v>
      </c>
      <c r="B2952" s="75" t="n">
        <v>4</v>
      </c>
      <c r="C2952" s="75" t="inlineStr">
        <is>
          <t>5100000608</t>
        </is>
      </c>
      <c r="D2952" s="78" t="n">
        <v>46116</v>
      </c>
      <c r="E2952" s="75" t="inlineStr">
        <is>
          <t>KR</t>
        </is>
      </c>
      <c r="F2952" s="75" t="n">
        <v>62201000</v>
      </c>
      <c r="G2952" s="75" t="n">
        <v>1701</v>
      </c>
      <c r="H2952" s="76" t="n">
        <v>2609000</v>
      </c>
      <c r="I2952" s="75" t="inlineStr">
        <is>
          <t>4월 통신요금 - O텔레콤</t>
        </is>
      </c>
      <c r="J2952" s="75" t="inlineStr">
        <is>
          <t>V10002</t>
        </is>
      </c>
      <c r="K2952" s="75" t="inlineStr">
        <is>
          <t>O텔레콤</t>
        </is>
      </c>
      <c r="M2952" s="9">
        <f>IF($A2952="","",VALUE($A2952&amp;"")*12+VALUE($B2952&amp;""))</f>
        <v/>
      </c>
      <c r="N2952" s="39">
        <f>IF($A2952="","",IFERROR(INDEX(부서매핑!$C$5:$C$504,MATCH($G2952&amp;"",부서매핑!$A$5:$A$504,0)),"미매핑"))</f>
        <v/>
      </c>
      <c r="O2952" s="9">
        <f>IF($A2952="","",N2952&amp;"|"&amp;$F2952)</f>
        <v/>
      </c>
      <c r="P2952" s="77">
        <f>IF($A2952="",0,$H2952*설정!$C$23)</f>
        <v/>
      </c>
      <c r="Q2952" s="39">
        <f>IF($A2952="","",IF(O2952&lt;&gt;원인분석!$C$9,"",IF(AND(M2952&gt;=원인분석!$C$10,M2952&lt;=원인분석!$C$11),"당기",IF(AND(M2952&gt;=원인분석!$C$12,M2952&lt;=원인분석!$C$13),"비교",""))))</f>
        <v/>
      </c>
      <c r="R2952" s="9">
        <f>IF(Q2952="","",$K2952&amp;"")</f>
        <v/>
      </c>
      <c r="S2952" s="9">
        <f>IF(Q2952="","",IF(MATCH(R2952,$R$5:$R$100000,0)=ROW()-4,ROW(),""))</f>
        <v/>
      </c>
      <c r="T2952" s="9">
        <f>IF(Q2952="당기",ABS(P2952)+ROW()/1000000000,"")</f>
        <v/>
      </c>
      <c r="U2952" s="9">
        <f>IF(Q2952="비교",ABS(P2952)+ROW()/1000000000,"")</f>
        <v/>
      </c>
      <c r="V2952" s="39">
        <f>IF($A2952="","",IF(COUNTIF(변동분석!$E$7:$E$506,O2952)&gt;0,"Y","N"))</f>
        <v/>
      </c>
      <c r="W2952" s="39">
        <f>IF($A2952="","",IFERROR(INDEX(계정매핑!$D$5:$D$504,MATCH($F2952&amp;"",계정매핑!$A$5:$A$504,0)),"미매핑"))</f>
        <v/>
      </c>
      <c r="X2952" s="9">
        <f>IF($A2952="","",$F2952&amp;"")</f>
        <v/>
      </c>
    </row>
    <row r="2953">
      <c r="A2953" s="75" t="n">
        <v>2026</v>
      </c>
      <c r="B2953" s="75" t="n">
        <v>4</v>
      </c>
      <c r="C2953" s="75" t="inlineStr">
        <is>
          <t>5100000609</t>
        </is>
      </c>
      <c r="D2953" s="78" t="n">
        <v>46116</v>
      </c>
      <c r="E2953" s="75" t="inlineStr">
        <is>
          <t>KR</t>
        </is>
      </c>
      <c r="F2953" s="75" t="n">
        <v>62401000</v>
      </c>
      <c r="G2953" s="75" t="n">
        <v>1401</v>
      </c>
      <c r="H2953" s="76" t="n">
        <v>352000</v>
      </c>
      <c r="I2953" s="75" t="inlineStr">
        <is>
          <t>4월 인쇄물 제작 - S출판</t>
        </is>
      </c>
      <c r="J2953" s="75" t="inlineStr">
        <is>
          <t>V10012</t>
        </is>
      </c>
      <c r="K2953" s="75" t="inlineStr">
        <is>
          <t>S출판</t>
        </is>
      </c>
      <c r="M2953" s="9">
        <f>IF($A2953="","",VALUE($A2953&amp;"")*12+VALUE($B2953&amp;""))</f>
        <v/>
      </c>
      <c r="N2953" s="39">
        <f>IF($A2953="","",IFERROR(INDEX(부서매핑!$C$5:$C$504,MATCH($G2953&amp;"",부서매핑!$A$5:$A$504,0)),"미매핑"))</f>
        <v/>
      </c>
      <c r="O2953" s="9">
        <f>IF($A2953="","",N2953&amp;"|"&amp;$F2953)</f>
        <v/>
      </c>
      <c r="P2953" s="77">
        <f>IF($A2953="",0,$H2953*설정!$C$23)</f>
        <v/>
      </c>
      <c r="Q2953" s="39">
        <f>IF($A2953="","",IF(O2953&lt;&gt;원인분석!$C$9,"",IF(AND(M2953&gt;=원인분석!$C$10,M2953&lt;=원인분석!$C$11),"당기",IF(AND(M2953&gt;=원인분석!$C$12,M2953&lt;=원인분석!$C$13),"비교",""))))</f>
        <v/>
      </c>
      <c r="R2953" s="9">
        <f>IF(Q2953="","",$K2953&amp;"")</f>
        <v/>
      </c>
      <c r="S2953" s="9">
        <f>IF(Q2953="","",IF(MATCH(R2953,$R$5:$R$100000,0)=ROW()-4,ROW(),""))</f>
        <v/>
      </c>
      <c r="T2953" s="9">
        <f>IF(Q2953="당기",ABS(P2953)+ROW()/1000000000,"")</f>
        <v/>
      </c>
      <c r="U2953" s="9">
        <f>IF(Q2953="비교",ABS(P2953)+ROW()/1000000000,"")</f>
        <v/>
      </c>
      <c r="V2953" s="39">
        <f>IF($A2953="","",IF(COUNTIF(변동분석!$E$7:$E$506,O2953)&gt;0,"Y","N"))</f>
        <v/>
      </c>
      <c r="W2953" s="39">
        <f>IF($A2953="","",IFERROR(INDEX(계정매핑!$D$5:$D$504,MATCH($F2953&amp;"",계정매핑!$A$5:$A$504,0)),"미매핑"))</f>
        <v/>
      </c>
      <c r="X2953" s="9">
        <f>IF($A2953="","",$F2953&amp;"")</f>
        <v/>
      </c>
    </row>
    <row r="2954">
      <c r="A2954" s="75" t="n">
        <v>2026</v>
      </c>
      <c r="B2954" s="75" t="n">
        <v>4</v>
      </c>
      <c r="C2954" s="75" t="inlineStr">
        <is>
          <t>5100000610</t>
        </is>
      </c>
      <c r="D2954" s="78" t="n">
        <v>46116</v>
      </c>
      <c r="E2954" s="75" t="inlineStr">
        <is>
          <t>KR</t>
        </is>
      </c>
      <c r="F2954" s="75" t="n">
        <v>62802000</v>
      </c>
      <c r="G2954" s="75" t="n">
        <v>1301</v>
      </c>
      <c r="H2954" s="76" t="n">
        <v>6609000</v>
      </c>
      <c r="I2954" s="75" t="inlineStr">
        <is>
          <t>4월 위탁교육 - V아카데미</t>
        </is>
      </c>
      <c r="J2954" s="75" t="inlineStr">
        <is>
          <t>V10023</t>
        </is>
      </c>
      <c r="K2954" s="75" t="inlineStr">
        <is>
          <t>V아카데미</t>
        </is>
      </c>
      <c r="M2954" s="9">
        <f>IF($A2954="","",VALUE($A2954&amp;"")*12+VALUE($B2954&amp;""))</f>
        <v/>
      </c>
      <c r="N2954" s="39">
        <f>IF($A2954="","",IFERROR(INDEX(부서매핑!$C$5:$C$504,MATCH($G2954&amp;"",부서매핑!$A$5:$A$504,0)),"미매핑"))</f>
        <v/>
      </c>
      <c r="O2954" s="9">
        <f>IF($A2954="","",N2954&amp;"|"&amp;$F2954)</f>
        <v/>
      </c>
      <c r="P2954" s="77">
        <f>IF($A2954="",0,$H2954*설정!$C$23)</f>
        <v/>
      </c>
      <c r="Q2954" s="39">
        <f>IF($A2954="","",IF(O2954&lt;&gt;원인분석!$C$9,"",IF(AND(M2954&gt;=원인분석!$C$10,M2954&lt;=원인분석!$C$11),"당기",IF(AND(M2954&gt;=원인분석!$C$12,M2954&lt;=원인분석!$C$13),"비교",""))))</f>
        <v/>
      </c>
      <c r="R2954" s="9">
        <f>IF(Q2954="","",$K2954&amp;"")</f>
        <v/>
      </c>
      <c r="S2954" s="9">
        <f>IF(Q2954="","",IF(MATCH(R2954,$R$5:$R$100000,0)=ROW()-4,ROW(),""))</f>
        <v/>
      </c>
      <c r="T2954" s="9">
        <f>IF(Q2954="당기",ABS(P2954)+ROW()/1000000000,"")</f>
        <v/>
      </c>
      <c r="U2954" s="9">
        <f>IF(Q2954="비교",ABS(P2954)+ROW()/1000000000,"")</f>
        <v/>
      </c>
      <c r="V2954" s="39">
        <f>IF($A2954="","",IF(COUNTIF(변동분석!$E$7:$E$506,O2954)&gt;0,"Y","N"))</f>
        <v/>
      </c>
      <c r="W2954" s="39">
        <f>IF($A2954="","",IFERROR(INDEX(계정매핑!$D$5:$D$504,MATCH($F2954&amp;"",계정매핑!$A$5:$A$504,0)),"미매핑"))</f>
        <v/>
      </c>
      <c r="X2954" s="9">
        <f>IF($A2954="","",$F2954&amp;"")</f>
        <v/>
      </c>
    </row>
    <row r="2955">
      <c r="A2955" s="75" t="n">
        <v>2026</v>
      </c>
      <c r="B2955" s="75" t="n">
        <v>4</v>
      </c>
      <c r="C2955" s="75" t="inlineStr">
        <is>
          <t>5100000611</t>
        </is>
      </c>
      <c r="D2955" s="78" t="n">
        <v>46116</v>
      </c>
      <c r="E2955" s="75" t="inlineStr">
        <is>
          <t>KR</t>
        </is>
      </c>
      <c r="F2955" s="75" t="n">
        <v>62901000</v>
      </c>
      <c r="G2955" s="75" t="n">
        <v>1101</v>
      </c>
      <c r="H2955" s="76" t="n">
        <v>3690000</v>
      </c>
      <c r="I2955" s="75" t="inlineStr">
        <is>
          <t>4월 자문 수수료 - W컨설팅</t>
        </is>
      </c>
      <c r="J2955" s="75" t="inlineStr">
        <is>
          <t>V10009</t>
        </is>
      </c>
      <c r="K2955" s="75" t="inlineStr">
        <is>
          <t>W컨설팅</t>
        </is>
      </c>
      <c r="M2955" s="9">
        <f>IF($A2955="","",VALUE($A2955&amp;"")*12+VALUE($B2955&amp;""))</f>
        <v/>
      </c>
      <c r="N2955" s="39">
        <f>IF($A2955="","",IFERROR(INDEX(부서매핑!$C$5:$C$504,MATCH($G2955&amp;"",부서매핑!$A$5:$A$504,0)),"미매핑"))</f>
        <v/>
      </c>
      <c r="O2955" s="9">
        <f>IF($A2955="","",N2955&amp;"|"&amp;$F2955)</f>
        <v/>
      </c>
      <c r="P2955" s="77">
        <f>IF($A2955="",0,$H2955*설정!$C$23)</f>
        <v/>
      </c>
      <c r="Q2955" s="39">
        <f>IF($A2955="","",IF(O2955&lt;&gt;원인분석!$C$9,"",IF(AND(M2955&gt;=원인분석!$C$10,M2955&lt;=원인분석!$C$11),"당기",IF(AND(M2955&gt;=원인분석!$C$12,M2955&lt;=원인분석!$C$13),"비교",""))))</f>
        <v/>
      </c>
      <c r="R2955" s="9">
        <f>IF(Q2955="","",$K2955&amp;"")</f>
        <v/>
      </c>
      <c r="S2955" s="9">
        <f>IF(Q2955="","",IF(MATCH(R2955,$R$5:$R$100000,0)=ROW()-4,ROW(),""))</f>
        <v/>
      </c>
      <c r="T2955" s="9">
        <f>IF(Q2955="당기",ABS(P2955)+ROW()/1000000000,"")</f>
        <v/>
      </c>
      <c r="U2955" s="9">
        <f>IF(Q2955="비교",ABS(P2955)+ROW()/1000000000,"")</f>
        <v/>
      </c>
      <c r="V2955" s="39">
        <f>IF($A2955="","",IF(COUNTIF(변동분석!$E$7:$E$506,O2955)&gt;0,"Y","N"))</f>
        <v/>
      </c>
      <c r="W2955" s="39">
        <f>IF($A2955="","",IFERROR(INDEX(계정매핑!$D$5:$D$504,MATCH($F2955&amp;"",계정매핑!$A$5:$A$504,0)),"미매핑"))</f>
        <v/>
      </c>
      <c r="X2955" s="9">
        <f>IF($A2955="","",$F2955&amp;"")</f>
        <v/>
      </c>
    </row>
    <row r="2956">
      <c r="A2956" s="75" t="n">
        <v>2026</v>
      </c>
      <c r="B2956" s="75" t="n">
        <v>4</v>
      </c>
      <c r="C2956" s="75" t="inlineStr">
        <is>
          <t>5100000612</t>
        </is>
      </c>
      <c r="D2956" s="78" t="n">
        <v>46116</v>
      </c>
      <c r="E2956" s="75" t="inlineStr">
        <is>
          <t>KR</t>
        </is>
      </c>
      <c r="F2956" s="75" t="n">
        <v>62902000</v>
      </c>
      <c r="G2956" s="75" t="n">
        <v>1101</v>
      </c>
      <c r="H2956" s="76" t="n">
        <v>1379000</v>
      </c>
      <c r="I2956" s="75" t="inlineStr">
        <is>
          <t>4월 업무 위탁 수수료 - X서비스</t>
        </is>
      </c>
      <c r="J2956" s="75" t="inlineStr">
        <is>
          <t>V10016</t>
        </is>
      </c>
      <c r="K2956" s="75" t="inlineStr">
        <is>
          <t>X서비스</t>
        </is>
      </c>
      <c r="M2956" s="9">
        <f>IF($A2956="","",VALUE($A2956&amp;"")*12+VALUE($B2956&amp;""))</f>
        <v/>
      </c>
      <c r="N2956" s="39">
        <f>IF($A2956="","",IFERROR(INDEX(부서매핑!$C$5:$C$504,MATCH($G2956&amp;"",부서매핑!$A$5:$A$504,0)),"미매핑"))</f>
        <v/>
      </c>
      <c r="O2956" s="9">
        <f>IF($A2956="","",N2956&amp;"|"&amp;$F2956)</f>
        <v/>
      </c>
      <c r="P2956" s="77">
        <f>IF($A2956="",0,$H2956*설정!$C$23)</f>
        <v/>
      </c>
      <c r="Q2956" s="39">
        <f>IF($A2956="","",IF(O2956&lt;&gt;원인분석!$C$9,"",IF(AND(M2956&gt;=원인분석!$C$10,M2956&lt;=원인분석!$C$11),"당기",IF(AND(M2956&gt;=원인분석!$C$12,M2956&lt;=원인분석!$C$13),"비교",""))))</f>
        <v/>
      </c>
      <c r="R2956" s="9">
        <f>IF(Q2956="","",$K2956&amp;"")</f>
        <v/>
      </c>
      <c r="S2956" s="9">
        <f>IF(Q2956="","",IF(MATCH(R2956,$R$5:$R$100000,0)=ROW()-4,ROW(),""))</f>
        <v/>
      </c>
      <c r="T2956" s="9">
        <f>IF(Q2956="당기",ABS(P2956)+ROW()/1000000000,"")</f>
        <v/>
      </c>
      <c r="U2956" s="9">
        <f>IF(Q2956="비교",ABS(P2956)+ROW()/1000000000,"")</f>
        <v/>
      </c>
      <c r="V2956" s="39">
        <f>IF($A2956="","",IF(COUNTIF(변동분석!$E$7:$E$506,O2956)&gt;0,"Y","N"))</f>
        <v/>
      </c>
      <c r="W2956" s="39">
        <f>IF($A2956="","",IFERROR(INDEX(계정매핑!$D$5:$D$504,MATCH($F2956&amp;"",계정매핑!$A$5:$A$504,0)),"미매핑"))</f>
        <v/>
      </c>
      <c r="X2956" s="9">
        <f>IF($A2956="","",$F2956&amp;"")</f>
        <v/>
      </c>
    </row>
    <row r="2957">
      <c r="A2957" s="75" t="n">
        <v>2026</v>
      </c>
      <c r="B2957" s="75" t="n">
        <v>4</v>
      </c>
      <c r="C2957" s="75" t="inlineStr">
        <is>
          <t>5100000613</t>
        </is>
      </c>
      <c r="D2957" s="78" t="n">
        <v>46116</v>
      </c>
      <c r="E2957" s="75" t="inlineStr">
        <is>
          <t>KR</t>
        </is>
      </c>
      <c r="F2957" s="75" t="n">
        <v>62902000</v>
      </c>
      <c r="G2957" s="75" t="n">
        <v>1801</v>
      </c>
      <c r="H2957" s="76" t="n">
        <v>1780000</v>
      </c>
      <c r="I2957" s="75" t="inlineStr">
        <is>
          <t>4월 콜 위탁 수수료(건별)</t>
        </is>
      </c>
      <c r="J2957" s="75" t="inlineStr">
        <is>
          <t>V10013</t>
        </is>
      </c>
      <c r="K2957" s="75" t="inlineStr">
        <is>
          <t>J콜센터</t>
        </is>
      </c>
      <c r="M2957" s="9">
        <f>IF($A2957="","",VALUE($A2957&amp;"")*12+VALUE($B2957&amp;""))</f>
        <v/>
      </c>
      <c r="N2957" s="39">
        <f>IF($A2957="","",IFERROR(INDEX(부서매핑!$C$5:$C$504,MATCH($G2957&amp;"",부서매핑!$A$5:$A$504,0)),"미매핑"))</f>
        <v/>
      </c>
      <c r="O2957" s="9">
        <f>IF($A2957="","",N2957&amp;"|"&amp;$F2957)</f>
        <v/>
      </c>
      <c r="P2957" s="77">
        <f>IF($A2957="",0,$H2957*설정!$C$23)</f>
        <v/>
      </c>
      <c r="Q2957" s="39">
        <f>IF($A2957="","",IF(O2957&lt;&gt;원인분석!$C$9,"",IF(AND(M2957&gt;=원인분석!$C$10,M2957&lt;=원인분석!$C$11),"당기",IF(AND(M2957&gt;=원인분석!$C$12,M2957&lt;=원인분석!$C$13),"비교",""))))</f>
        <v/>
      </c>
      <c r="R2957" s="9">
        <f>IF(Q2957="","",$K2957&amp;"")</f>
        <v/>
      </c>
      <c r="S2957" s="9">
        <f>IF(Q2957="","",IF(MATCH(R2957,$R$5:$R$100000,0)=ROW()-4,ROW(),""))</f>
        <v/>
      </c>
      <c r="T2957" s="9">
        <f>IF(Q2957="당기",ABS(P2957)+ROW()/1000000000,"")</f>
        <v/>
      </c>
      <c r="U2957" s="9">
        <f>IF(Q2957="비교",ABS(P2957)+ROW()/1000000000,"")</f>
        <v/>
      </c>
      <c r="V2957" s="39">
        <f>IF($A2957="","",IF(COUNTIF(변동분석!$E$7:$E$506,O2957)&gt;0,"Y","N"))</f>
        <v/>
      </c>
      <c r="W2957" s="39">
        <f>IF($A2957="","",IFERROR(INDEX(계정매핑!$D$5:$D$504,MATCH($F2957&amp;"",계정매핑!$A$5:$A$504,0)),"미매핑"))</f>
        <v/>
      </c>
      <c r="X2957" s="9">
        <f>IF($A2957="","",$F2957&amp;"")</f>
        <v/>
      </c>
    </row>
    <row r="2958">
      <c r="A2958" s="75" t="n">
        <v>2026</v>
      </c>
      <c r="B2958" s="75" t="n">
        <v>4</v>
      </c>
      <c r="C2958" s="75" t="inlineStr">
        <is>
          <t>5100000614</t>
        </is>
      </c>
      <c r="D2958" s="78" t="n">
        <v>46117</v>
      </c>
      <c r="E2958" s="75" t="inlineStr">
        <is>
          <t>KR</t>
        </is>
      </c>
      <c r="F2958" s="75" t="n">
        <v>62101000</v>
      </c>
      <c r="G2958" s="75" t="n">
        <v>1101</v>
      </c>
      <c r="H2958" s="76" t="n">
        <v>788000</v>
      </c>
      <c r="I2958" s="75" t="inlineStr">
        <is>
          <t>4월 국내출장 - M항공</t>
        </is>
      </c>
      <c r="J2958" s="75" t="inlineStr">
        <is>
          <t>V10001</t>
        </is>
      </c>
      <c r="K2958" s="75" t="inlineStr">
        <is>
          <t>M항공</t>
        </is>
      </c>
      <c r="M2958" s="9">
        <f>IF($A2958="","",VALUE($A2958&amp;"")*12+VALUE($B2958&amp;""))</f>
        <v/>
      </c>
      <c r="N2958" s="39">
        <f>IF($A2958="","",IFERROR(INDEX(부서매핑!$C$5:$C$504,MATCH($G2958&amp;"",부서매핑!$A$5:$A$504,0)),"미매핑"))</f>
        <v/>
      </c>
      <c r="O2958" s="9">
        <f>IF($A2958="","",N2958&amp;"|"&amp;$F2958)</f>
        <v/>
      </c>
      <c r="P2958" s="77">
        <f>IF($A2958="",0,$H2958*설정!$C$23)</f>
        <v/>
      </c>
      <c r="Q2958" s="39">
        <f>IF($A2958="","",IF(O2958&lt;&gt;원인분석!$C$9,"",IF(AND(M2958&gt;=원인분석!$C$10,M2958&lt;=원인분석!$C$11),"당기",IF(AND(M2958&gt;=원인분석!$C$12,M2958&lt;=원인분석!$C$13),"비교",""))))</f>
        <v/>
      </c>
      <c r="R2958" s="9">
        <f>IF(Q2958="","",$K2958&amp;"")</f>
        <v/>
      </c>
      <c r="S2958" s="9">
        <f>IF(Q2958="","",IF(MATCH(R2958,$R$5:$R$100000,0)=ROW()-4,ROW(),""))</f>
        <v/>
      </c>
      <c r="T2958" s="9">
        <f>IF(Q2958="당기",ABS(P2958)+ROW()/1000000000,"")</f>
        <v/>
      </c>
      <c r="U2958" s="9">
        <f>IF(Q2958="비교",ABS(P2958)+ROW()/1000000000,"")</f>
        <v/>
      </c>
      <c r="V2958" s="39">
        <f>IF($A2958="","",IF(COUNTIF(변동분석!$E$7:$E$506,O2958)&gt;0,"Y","N"))</f>
        <v/>
      </c>
      <c r="W2958" s="39">
        <f>IF($A2958="","",IFERROR(INDEX(계정매핑!$D$5:$D$504,MATCH($F2958&amp;"",계정매핑!$A$5:$A$504,0)),"미매핑"))</f>
        <v/>
      </c>
      <c r="X2958" s="9">
        <f>IF($A2958="","",$F2958&amp;"")</f>
        <v/>
      </c>
    </row>
    <row r="2959">
      <c r="A2959" s="75" t="n">
        <v>2026</v>
      </c>
      <c r="B2959" s="75" t="n">
        <v>4</v>
      </c>
      <c r="C2959" s="75" t="inlineStr">
        <is>
          <t>5100000615</t>
        </is>
      </c>
      <c r="D2959" s="78" t="n">
        <v>46117</v>
      </c>
      <c r="E2959" s="75" t="inlineStr">
        <is>
          <t>KR</t>
        </is>
      </c>
      <c r="F2959" s="75" t="n">
        <v>62601000</v>
      </c>
      <c r="G2959" s="75" t="n">
        <v>1301</v>
      </c>
      <c r="H2959" s="76" t="n">
        <v>672000</v>
      </c>
      <c r="I2959" s="75" t="inlineStr">
        <is>
          <t>4월 업무추진 - (법인카드)</t>
        </is>
      </c>
      <c r="J2959" s="75" t="inlineStr">
        <is>
          <t>V10008</t>
        </is>
      </c>
      <c r="K2959" s="75" t="inlineStr">
        <is>
          <t>(법인카드)</t>
        </is>
      </c>
      <c r="M2959" s="9">
        <f>IF($A2959="","",VALUE($A2959&amp;"")*12+VALUE($B2959&amp;""))</f>
        <v/>
      </c>
      <c r="N2959" s="39">
        <f>IF($A2959="","",IFERROR(INDEX(부서매핑!$C$5:$C$504,MATCH($G2959&amp;"",부서매핑!$A$5:$A$504,0)),"미매핑"))</f>
        <v/>
      </c>
      <c r="O2959" s="9">
        <f>IF($A2959="","",N2959&amp;"|"&amp;$F2959)</f>
        <v/>
      </c>
      <c r="P2959" s="77">
        <f>IF($A2959="",0,$H2959*설정!$C$23)</f>
        <v/>
      </c>
      <c r="Q2959" s="39">
        <f>IF($A2959="","",IF(O2959&lt;&gt;원인분석!$C$9,"",IF(AND(M2959&gt;=원인분석!$C$10,M2959&lt;=원인분석!$C$11),"당기",IF(AND(M2959&gt;=원인분석!$C$12,M2959&lt;=원인분석!$C$13),"비교",""))))</f>
        <v/>
      </c>
      <c r="R2959" s="9">
        <f>IF(Q2959="","",$K2959&amp;"")</f>
        <v/>
      </c>
      <c r="S2959" s="9">
        <f>IF(Q2959="","",IF(MATCH(R2959,$R$5:$R$100000,0)=ROW()-4,ROW(),""))</f>
        <v/>
      </c>
      <c r="T2959" s="9">
        <f>IF(Q2959="당기",ABS(P2959)+ROW()/1000000000,"")</f>
        <v/>
      </c>
      <c r="U2959" s="9">
        <f>IF(Q2959="비교",ABS(P2959)+ROW()/1000000000,"")</f>
        <v/>
      </c>
      <c r="V2959" s="39">
        <f>IF($A2959="","",IF(COUNTIF(변동분석!$E$7:$E$506,O2959)&gt;0,"Y","N"))</f>
        <v/>
      </c>
      <c r="W2959" s="39">
        <f>IF($A2959="","",IFERROR(INDEX(계정매핑!$D$5:$D$504,MATCH($F2959&amp;"",계정매핑!$A$5:$A$504,0)),"미매핑"))</f>
        <v/>
      </c>
      <c r="X2959" s="9">
        <f>IF($A2959="","",$F2959&amp;"")</f>
        <v/>
      </c>
    </row>
    <row r="2960">
      <c r="A2960" s="75" t="n">
        <v>2026</v>
      </c>
      <c r="B2960" s="75" t="n">
        <v>4</v>
      </c>
      <c r="C2960" s="75" t="inlineStr">
        <is>
          <t>5100000616</t>
        </is>
      </c>
      <c r="D2960" s="78" t="n">
        <v>46117</v>
      </c>
      <c r="E2960" s="75" t="inlineStr">
        <is>
          <t>KR</t>
        </is>
      </c>
      <c r="F2960" s="75" t="n">
        <v>62902000</v>
      </c>
      <c r="G2960" s="75" t="n">
        <v>1801</v>
      </c>
      <c r="H2960" s="76" t="n">
        <v>1773000</v>
      </c>
      <c r="I2960" s="75" t="inlineStr">
        <is>
          <t>4월 콜 위탁 수수료(건별)</t>
        </is>
      </c>
      <c r="J2960" s="75" t="inlineStr">
        <is>
          <t>V10013</t>
        </is>
      </c>
      <c r="K2960" s="75" t="inlineStr">
        <is>
          <t>J콜센터</t>
        </is>
      </c>
      <c r="M2960" s="9">
        <f>IF($A2960="","",VALUE($A2960&amp;"")*12+VALUE($B2960&amp;""))</f>
        <v/>
      </c>
      <c r="N2960" s="39">
        <f>IF($A2960="","",IFERROR(INDEX(부서매핑!$C$5:$C$504,MATCH($G2960&amp;"",부서매핑!$A$5:$A$504,0)),"미매핑"))</f>
        <v/>
      </c>
      <c r="O2960" s="9">
        <f>IF($A2960="","",N2960&amp;"|"&amp;$F2960)</f>
        <v/>
      </c>
      <c r="P2960" s="77">
        <f>IF($A2960="",0,$H2960*설정!$C$23)</f>
        <v/>
      </c>
      <c r="Q2960" s="39">
        <f>IF($A2960="","",IF(O2960&lt;&gt;원인분석!$C$9,"",IF(AND(M2960&gt;=원인분석!$C$10,M2960&lt;=원인분석!$C$11),"당기",IF(AND(M2960&gt;=원인분석!$C$12,M2960&lt;=원인분석!$C$13),"비교",""))))</f>
        <v/>
      </c>
      <c r="R2960" s="9">
        <f>IF(Q2960="","",$K2960&amp;"")</f>
        <v/>
      </c>
      <c r="S2960" s="9">
        <f>IF(Q2960="","",IF(MATCH(R2960,$R$5:$R$100000,0)=ROW()-4,ROW(),""))</f>
        <v/>
      </c>
      <c r="T2960" s="9">
        <f>IF(Q2960="당기",ABS(P2960)+ROW()/1000000000,"")</f>
        <v/>
      </c>
      <c r="U2960" s="9">
        <f>IF(Q2960="비교",ABS(P2960)+ROW()/1000000000,"")</f>
        <v/>
      </c>
      <c r="V2960" s="39">
        <f>IF($A2960="","",IF(COUNTIF(변동분석!$E$7:$E$506,O2960)&gt;0,"Y","N"))</f>
        <v/>
      </c>
      <c r="W2960" s="39">
        <f>IF($A2960="","",IFERROR(INDEX(계정매핑!$D$5:$D$504,MATCH($F2960&amp;"",계정매핑!$A$5:$A$504,0)),"미매핑"))</f>
        <v/>
      </c>
      <c r="X2960" s="9">
        <f>IF($A2960="","",$F2960&amp;"")</f>
        <v/>
      </c>
    </row>
    <row r="2961">
      <c r="A2961" s="75" t="n">
        <v>2026</v>
      </c>
      <c r="B2961" s="75" t="n">
        <v>4</v>
      </c>
      <c r="C2961" s="75" t="inlineStr">
        <is>
          <t>5100000617</t>
        </is>
      </c>
      <c r="D2961" s="78" t="n">
        <v>46117</v>
      </c>
      <c r="E2961" s="75" t="inlineStr">
        <is>
          <t>KR</t>
        </is>
      </c>
      <c r="F2961" s="75" t="n">
        <v>62902000</v>
      </c>
      <c r="G2961" s="75" t="n">
        <v>1801</v>
      </c>
      <c r="H2961" s="76" t="n">
        <v>1788000</v>
      </c>
      <c r="I2961" s="75" t="inlineStr">
        <is>
          <t>4월 콜 위탁 수수료(건별)</t>
        </is>
      </c>
      <c r="J2961" s="75" t="inlineStr">
        <is>
          <t>V10013</t>
        </is>
      </c>
      <c r="K2961" s="75" t="inlineStr">
        <is>
          <t>J콜센터</t>
        </is>
      </c>
      <c r="M2961" s="9">
        <f>IF($A2961="","",VALUE($A2961&amp;"")*12+VALUE($B2961&amp;""))</f>
        <v/>
      </c>
      <c r="N2961" s="39">
        <f>IF($A2961="","",IFERROR(INDEX(부서매핑!$C$5:$C$504,MATCH($G2961&amp;"",부서매핑!$A$5:$A$504,0)),"미매핑"))</f>
        <v/>
      </c>
      <c r="O2961" s="9">
        <f>IF($A2961="","",N2961&amp;"|"&amp;$F2961)</f>
        <v/>
      </c>
      <c r="P2961" s="77">
        <f>IF($A2961="",0,$H2961*설정!$C$23)</f>
        <v/>
      </c>
      <c r="Q2961" s="39">
        <f>IF($A2961="","",IF(O2961&lt;&gt;원인분석!$C$9,"",IF(AND(M2961&gt;=원인분석!$C$10,M2961&lt;=원인분석!$C$11),"당기",IF(AND(M2961&gt;=원인분석!$C$12,M2961&lt;=원인분석!$C$13),"비교",""))))</f>
        <v/>
      </c>
      <c r="R2961" s="9">
        <f>IF(Q2961="","",$K2961&amp;"")</f>
        <v/>
      </c>
      <c r="S2961" s="9">
        <f>IF(Q2961="","",IF(MATCH(R2961,$R$5:$R$100000,0)=ROW()-4,ROW(),""))</f>
        <v/>
      </c>
      <c r="T2961" s="9">
        <f>IF(Q2961="당기",ABS(P2961)+ROW()/1000000000,"")</f>
        <v/>
      </c>
      <c r="U2961" s="9">
        <f>IF(Q2961="비교",ABS(P2961)+ROW()/1000000000,"")</f>
        <v/>
      </c>
      <c r="V2961" s="39">
        <f>IF($A2961="","",IF(COUNTIF(변동분석!$E$7:$E$506,O2961)&gt;0,"Y","N"))</f>
        <v/>
      </c>
      <c r="W2961" s="39">
        <f>IF($A2961="","",IFERROR(INDEX(계정매핑!$D$5:$D$504,MATCH($F2961&amp;"",계정매핑!$A$5:$A$504,0)),"미매핑"))</f>
        <v/>
      </c>
      <c r="X2961" s="9">
        <f>IF($A2961="","",$F2961&amp;"")</f>
        <v/>
      </c>
    </row>
    <row r="2962">
      <c r="A2962" s="75" t="n">
        <v>2026</v>
      </c>
      <c r="B2962" s="75" t="n">
        <v>4</v>
      </c>
      <c r="C2962" s="75" t="inlineStr">
        <is>
          <t>5100000618</t>
        </is>
      </c>
      <c r="D2962" s="78" t="n">
        <v>46117</v>
      </c>
      <c r="E2962" s="75" t="inlineStr">
        <is>
          <t>KR</t>
        </is>
      </c>
      <c r="F2962" s="75" t="n">
        <v>63201000</v>
      </c>
      <c r="G2962" s="75" t="n">
        <v>1602</v>
      </c>
      <c r="H2962" s="76" t="n">
        <v>5823000</v>
      </c>
      <c r="I2962" s="75" t="inlineStr">
        <is>
          <t>4월 차량 유지 - D정비</t>
        </is>
      </c>
      <c r="J2962" s="75" t="inlineStr">
        <is>
          <t>V10022</t>
        </is>
      </c>
      <c r="K2962" s="75" t="inlineStr">
        <is>
          <t>D정비</t>
        </is>
      </c>
      <c r="M2962" s="9">
        <f>IF($A2962="","",VALUE($A2962&amp;"")*12+VALUE($B2962&amp;""))</f>
        <v/>
      </c>
      <c r="N2962" s="39">
        <f>IF($A2962="","",IFERROR(INDEX(부서매핑!$C$5:$C$504,MATCH($G2962&amp;"",부서매핑!$A$5:$A$504,0)),"미매핑"))</f>
        <v/>
      </c>
      <c r="O2962" s="9">
        <f>IF($A2962="","",N2962&amp;"|"&amp;$F2962)</f>
        <v/>
      </c>
      <c r="P2962" s="77">
        <f>IF($A2962="",0,$H2962*설정!$C$23)</f>
        <v/>
      </c>
      <c r="Q2962" s="39">
        <f>IF($A2962="","",IF(O2962&lt;&gt;원인분석!$C$9,"",IF(AND(M2962&gt;=원인분석!$C$10,M2962&lt;=원인분석!$C$11),"당기",IF(AND(M2962&gt;=원인분석!$C$12,M2962&lt;=원인분석!$C$13),"비교",""))))</f>
        <v/>
      </c>
      <c r="R2962" s="9">
        <f>IF(Q2962="","",$K2962&amp;"")</f>
        <v/>
      </c>
      <c r="S2962" s="9">
        <f>IF(Q2962="","",IF(MATCH(R2962,$R$5:$R$100000,0)=ROW()-4,ROW(),""))</f>
        <v/>
      </c>
      <c r="T2962" s="9">
        <f>IF(Q2962="당기",ABS(P2962)+ROW()/1000000000,"")</f>
        <v/>
      </c>
      <c r="U2962" s="9">
        <f>IF(Q2962="비교",ABS(P2962)+ROW()/1000000000,"")</f>
        <v/>
      </c>
      <c r="V2962" s="39">
        <f>IF($A2962="","",IF(COUNTIF(변동분석!$E$7:$E$506,O2962)&gt;0,"Y","N"))</f>
        <v/>
      </c>
      <c r="W2962" s="39">
        <f>IF($A2962="","",IFERROR(INDEX(계정매핑!$D$5:$D$504,MATCH($F2962&amp;"",계정매핑!$A$5:$A$504,0)),"미매핑"))</f>
        <v/>
      </c>
      <c r="X2962" s="9">
        <f>IF($A2962="","",$F2962&amp;"")</f>
        <v/>
      </c>
    </row>
    <row r="2963">
      <c r="A2963" s="75" t="n">
        <v>2026</v>
      </c>
      <c r="B2963" s="75" t="n">
        <v>4</v>
      </c>
      <c r="C2963" s="75" t="inlineStr">
        <is>
          <t>5100000619</t>
        </is>
      </c>
      <c r="D2963" s="78" t="n">
        <v>46118</v>
      </c>
      <c r="E2963" s="75" t="inlineStr">
        <is>
          <t>KR</t>
        </is>
      </c>
      <c r="F2963" s="75" t="n">
        <v>62101000</v>
      </c>
      <c r="G2963" s="75" t="n">
        <v>1301</v>
      </c>
      <c r="H2963" s="76" t="n">
        <v>187000</v>
      </c>
      <c r="I2963" s="75" t="inlineStr">
        <is>
          <t>4월 국내출장 - (법인카드)</t>
        </is>
      </c>
      <c r="J2963" s="75" t="inlineStr">
        <is>
          <t>V10008</t>
        </is>
      </c>
      <c r="K2963" s="75" t="inlineStr">
        <is>
          <t>(법인카드)</t>
        </is>
      </c>
      <c r="M2963" s="9">
        <f>IF($A2963="","",VALUE($A2963&amp;"")*12+VALUE($B2963&amp;""))</f>
        <v/>
      </c>
      <c r="N2963" s="39">
        <f>IF($A2963="","",IFERROR(INDEX(부서매핑!$C$5:$C$504,MATCH($G2963&amp;"",부서매핑!$A$5:$A$504,0)),"미매핑"))</f>
        <v/>
      </c>
      <c r="O2963" s="9">
        <f>IF($A2963="","",N2963&amp;"|"&amp;$F2963)</f>
        <v/>
      </c>
      <c r="P2963" s="77">
        <f>IF($A2963="",0,$H2963*설정!$C$23)</f>
        <v/>
      </c>
      <c r="Q2963" s="39">
        <f>IF($A2963="","",IF(O2963&lt;&gt;원인분석!$C$9,"",IF(AND(M2963&gt;=원인분석!$C$10,M2963&lt;=원인분석!$C$11),"당기",IF(AND(M2963&gt;=원인분석!$C$12,M2963&lt;=원인분석!$C$13),"비교",""))))</f>
        <v/>
      </c>
      <c r="R2963" s="9">
        <f>IF(Q2963="","",$K2963&amp;"")</f>
        <v/>
      </c>
      <c r="S2963" s="9">
        <f>IF(Q2963="","",IF(MATCH(R2963,$R$5:$R$100000,0)=ROW()-4,ROW(),""))</f>
        <v/>
      </c>
      <c r="T2963" s="9">
        <f>IF(Q2963="당기",ABS(P2963)+ROW()/1000000000,"")</f>
        <v/>
      </c>
      <c r="U2963" s="9">
        <f>IF(Q2963="비교",ABS(P2963)+ROW()/1000000000,"")</f>
        <v/>
      </c>
      <c r="V2963" s="39">
        <f>IF($A2963="","",IF(COUNTIF(변동분석!$E$7:$E$506,O2963)&gt;0,"Y","N"))</f>
        <v/>
      </c>
      <c r="W2963" s="39">
        <f>IF($A2963="","",IFERROR(INDEX(계정매핑!$D$5:$D$504,MATCH($F2963&amp;"",계정매핑!$A$5:$A$504,0)),"미매핑"))</f>
        <v/>
      </c>
      <c r="X2963" s="9">
        <f>IF($A2963="","",$F2963&amp;"")</f>
        <v/>
      </c>
    </row>
    <row r="2964">
      <c r="A2964" s="75" t="n">
        <v>2026</v>
      </c>
      <c r="B2964" s="75" t="n">
        <v>4</v>
      </c>
      <c r="C2964" s="75" t="inlineStr">
        <is>
          <t>5100000620</t>
        </is>
      </c>
      <c r="D2964" s="78" t="n">
        <v>46118</v>
      </c>
      <c r="E2964" s="75" t="inlineStr">
        <is>
          <t>KR</t>
        </is>
      </c>
      <c r="F2964" s="75" t="n">
        <v>62101000</v>
      </c>
      <c r="G2964" s="75" t="n">
        <v>1501</v>
      </c>
      <c r="H2964" s="76" t="n">
        <v>339000</v>
      </c>
      <c r="I2964" s="75" t="inlineStr">
        <is>
          <t>4월 국내출장 - (법인카드)</t>
        </is>
      </c>
      <c r="J2964" s="75" t="inlineStr">
        <is>
          <t>V10008</t>
        </is>
      </c>
      <c r="K2964" s="75" t="inlineStr">
        <is>
          <t>(법인카드)</t>
        </is>
      </c>
      <c r="M2964" s="9">
        <f>IF($A2964="","",VALUE($A2964&amp;"")*12+VALUE($B2964&amp;""))</f>
        <v/>
      </c>
      <c r="N2964" s="39">
        <f>IF($A2964="","",IFERROR(INDEX(부서매핑!$C$5:$C$504,MATCH($G2964&amp;"",부서매핑!$A$5:$A$504,0)),"미매핑"))</f>
        <v/>
      </c>
      <c r="O2964" s="9">
        <f>IF($A2964="","",N2964&amp;"|"&amp;$F2964)</f>
        <v/>
      </c>
      <c r="P2964" s="77">
        <f>IF($A2964="",0,$H2964*설정!$C$23)</f>
        <v/>
      </c>
      <c r="Q2964" s="39">
        <f>IF($A2964="","",IF(O2964&lt;&gt;원인분석!$C$9,"",IF(AND(M2964&gt;=원인분석!$C$10,M2964&lt;=원인분석!$C$11),"당기",IF(AND(M2964&gt;=원인분석!$C$12,M2964&lt;=원인분석!$C$13),"비교",""))))</f>
        <v/>
      </c>
      <c r="R2964" s="9">
        <f>IF(Q2964="","",$K2964&amp;"")</f>
        <v/>
      </c>
      <c r="S2964" s="9">
        <f>IF(Q2964="","",IF(MATCH(R2964,$R$5:$R$100000,0)=ROW()-4,ROW(),""))</f>
        <v/>
      </c>
      <c r="T2964" s="9">
        <f>IF(Q2964="당기",ABS(P2964)+ROW()/1000000000,"")</f>
        <v/>
      </c>
      <c r="U2964" s="9">
        <f>IF(Q2964="비교",ABS(P2964)+ROW()/1000000000,"")</f>
        <v/>
      </c>
      <c r="V2964" s="39">
        <f>IF($A2964="","",IF(COUNTIF(변동분석!$E$7:$E$506,O2964)&gt;0,"Y","N"))</f>
        <v/>
      </c>
      <c r="W2964" s="39">
        <f>IF($A2964="","",IFERROR(INDEX(계정매핑!$D$5:$D$504,MATCH($F2964&amp;"",계정매핑!$A$5:$A$504,0)),"미매핑"))</f>
        <v/>
      </c>
      <c r="X2964" s="9">
        <f>IF($A2964="","",$F2964&amp;"")</f>
        <v/>
      </c>
    </row>
    <row r="2965">
      <c r="A2965" s="75" t="n">
        <v>2026</v>
      </c>
      <c r="B2965" s="75" t="n">
        <v>4</v>
      </c>
      <c r="C2965" s="75" t="inlineStr">
        <is>
          <t>5100000621</t>
        </is>
      </c>
      <c r="D2965" s="78" t="n">
        <v>46118</v>
      </c>
      <c r="E2965" s="75" t="inlineStr">
        <is>
          <t>KR</t>
        </is>
      </c>
      <c r="F2965" s="75" t="n">
        <v>62101000</v>
      </c>
      <c r="G2965" s="75" t="n">
        <v>1502</v>
      </c>
      <c r="H2965" s="76" t="n">
        <v>629000</v>
      </c>
      <c r="I2965" s="75" t="inlineStr">
        <is>
          <t>4월 국내출장 - L여행사</t>
        </is>
      </c>
      <c r="J2965" s="75" t="inlineStr">
        <is>
          <t>V10014</t>
        </is>
      </c>
      <c r="K2965" s="75" t="inlineStr">
        <is>
          <t>L여행사</t>
        </is>
      </c>
      <c r="M2965" s="9">
        <f>IF($A2965="","",VALUE($A2965&amp;"")*12+VALUE($B2965&amp;""))</f>
        <v/>
      </c>
      <c r="N2965" s="39">
        <f>IF($A2965="","",IFERROR(INDEX(부서매핑!$C$5:$C$504,MATCH($G2965&amp;"",부서매핑!$A$5:$A$504,0)),"미매핑"))</f>
        <v/>
      </c>
      <c r="O2965" s="9">
        <f>IF($A2965="","",N2965&amp;"|"&amp;$F2965)</f>
        <v/>
      </c>
      <c r="P2965" s="77">
        <f>IF($A2965="",0,$H2965*설정!$C$23)</f>
        <v/>
      </c>
      <c r="Q2965" s="39">
        <f>IF($A2965="","",IF(O2965&lt;&gt;원인분석!$C$9,"",IF(AND(M2965&gt;=원인분석!$C$10,M2965&lt;=원인분석!$C$11),"당기",IF(AND(M2965&gt;=원인분석!$C$12,M2965&lt;=원인분석!$C$13),"비교",""))))</f>
        <v/>
      </c>
      <c r="R2965" s="9">
        <f>IF(Q2965="","",$K2965&amp;"")</f>
        <v/>
      </c>
      <c r="S2965" s="9">
        <f>IF(Q2965="","",IF(MATCH(R2965,$R$5:$R$100000,0)=ROW()-4,ROW(),""))</f>
        <v/>
      </c>
      <c r="T2965" s="9">
        <f>IF(Q2965="당기",ABS(P2965)+ROW()/1000000000,"")</f>
        <v/>
      </c>
      <c r="U2965" s="9">
        <f>IF(Q2965="비교",ABS(P2965)+ROW()/1000000000,"")</f>
        <v/>
      </c>
      <c r="V2965" s="39">
        <f>IF($A2965="","",IF(COUNTIF(변동분석!$E$7:$E$506,O2965)&gt;0,"Y","N"))</f>
        <v/>
      </c>
      <c r="W2965" s="39">
        <f>IF($A2965="","",IFERROR(INDEX(계정매핑!$D$5:$D$504,MATCH($F2965&amp;"",계정매핑!$A$5:$A$504,0)),"미매핑"))</f>
        <v/>
      </c>
      <c r="X2965" s="9">
        <f>IF($A2965="","",$F2965&amp;"")</f>
        <v/>
      </c>
    </row>
    <row r="2966">
      <c r="A2966" s="75" t="n">
        <v>2026</v>
      </c>
      <c r="B2966" s="75" t="n">
        <v>4</v>
      </c>
      <c r="C2966" s="75" t="inlineStr">
        <is>
          <t>5100000622</t>
        </is>
      </c>
      <c r="D2966" s="78" t="n">
        <v>46118</v>
      </c>
      <c r="E2966" s="75" t="inlineStr">
        <is>
          <t>KR</t>
        </is>
      </c>
      <c r="F2966" s="75" t="n">
        <v>62201000</v>
      </c>
      <c r="G2966" s="75" t="n">
        <v>1502</v>
      </c>
      <c r="H2966" s="76" t="n">
        <v>254000</v>
      </c>
      <c r="I2966" s="75" t="inlineStr">
        <is>
          <t>4월 통신요금 - O텔레콤</t>
        </is>
      </c>
      <c r="J2966" s="75" t="inlineStr">
        <is>
          <t>V10002</t>
        </is>
      </c>
      <c r="K2966" s="75" t="inlineStr">
        <is>
          <t>O텔레콤</t>
        </is>
      </c>
      <c r="M2966" s="9">
        <f>IF($A2966="","",VALUE($A2966&amp;"")*12+VALUE($B2966&amp;""))</f>
        <v/>
      </c>
      <c r="N2966" s="39">
        <f>IF($A2966="","",IFERROR(INDEX(부서매핑!$C$5:$C$504,MATCH($G2966&amp;"",부서매핑!$A$5:$A$504,0)),"미매핑"))</f>
        <v/>
      </c>
      <c r="O2966" s="9">
        <f>IF($A2966="","",N2966&amp;"|"&amp;$F2966)</f>
        <v/>
      </c>
      <c r="P2966" s="77">
        <f>IF($A2966="",0,$H2966*설정!$C$23)</f>
        <v/>
      </c>
      <c r="Q2966" s="39">
        <f>IF($A2966="","",IF(O2966&lt;&gt;원인분석!$C$9,"",IF(AND(M2966&gt;=원인분석!$C$10,M2966&lt;=원인분석!$C$11),"당기",IF(AND(M2966&gt;=원인분석!$C$12,M2966&lt;=원인분석!$C$13),"비교",""))))</f>
        <v/>
      </c>
      <c r="R2966" s="9">
        <f>IF(Q2966="","",$K2966&amp;"")</f>
        <v/>
      </c>
      <c r="S2966" s="9">
        <f>IF(Q2966="","",IF(MATCH(R2966,$R$5:$R$100000,0)=ROW()-4,ROW(),""))</f>
        <v/>
      </c>
      <c r="T2966" s="9">
        <f>IF(Q2966="당기",ABS(P2966)+ROW()/1000000000,"")</f>
        <v/>
      </c>
      <c r="U2966" s="9">
        <f>IF(Q2966="비교",ABS(P2966)+ROW()/1000000000,"")</f>
        <v/>
      </c>
      <c r="V2966" s="39">
        <f>IF($A2966="","",IF(COUNTIF(변동분석!$E$7:$E$506,O2966)&gt;0,"Y","N"))</f>
        <v/>
      </c>
      <c r="W2966" s="39">
        <f>IF($A2966="","",IFERROR(INDEX(계정매핑!$D$5:$D$504,MATCH($F2966&amp;"",계정매핑!$A$5:$A$504,0)),"미매핑"))</f>
        <v/>
      </c>
      <c r="X2966" s="9">
        <f>IF($A2966="","",$F2966&amp;"")</f>
        <v/>
      </c>
    </row>
    <row r="2967">
      <c r="A2967" s="75" t="n">
        <v>2026</v>
      </c>
      <c r="B2967" s="75" t="n">
        <v>4</v>
      </c>
      <c r="C2967" s="75" t="inlineStr">
        <is>
          <t>5100000623</t>
        </is>
      </c>
      <c r="D2967" s="78" t="n">
        <v>46118</v>
      </c>
      <c r="E2967" s="75" t="inlineStr">
        <is>
          <t>KR</t>
        </is>
      </c>
      <c r="F2967" s="75" t="n">
        <v>62201000</v>
      </c>
      <c r="G2967" s="75" t="n">
        <v>1502</v>
      </c>
      <c r="H2967" s="76" t="n">
        <v>302000</v>
      </c>
      <c r="I2967" s="75" t="inlineStr">
        <is>
          <t>4월 통신요금 - P통신</t>
        </is>
      </c>
      <c r="J2967" s="75" t="inlineStr">
        <is>
          <t>V10011</t>
        </is>
      </c>
      <c r="K2967" s="75" t="inlineStr">
        <is>
          <t>P통신</t>
        </is>
      </c>
      <c r="M2967" s="9">
        <f>IF($A2967="","",VALUE($A2967&amp;"")*12+VALUE($B2967&amp;""))</f>
        <v/>
      </c>
      <c r="N2967" s="39">
        <f>IF($A2967="","",IFERROR(INDEX(부서매핑!$C$5:$C$504,MATCH($G2967&amp;"",부서매핑!$A$5:$A$504,0)),"미매핑"))</f>
        <v/>
      </c>
      <c r="O2967" s="9">
        <f>IF($A2967="","",N2967&amp;"|"&amp;$F2967)</f>
        <v/>
      </c>
      <c r="P2967" s="77">
        <f>IF($A2967="",0,$H2967*설정!$C$23)</f>
        <v/>
      </c>
      <c r="Q2967" s="39">
        <f>IF($A2967="","",IF(O2967&lt;&gt;원인분석!$C$9,"",IF(AND(M2967&gt;=원인분석!$C$10,M2967&lt;=원인분석!$C$11),"당기",IF(AND(M2967&gt;=원인분석!$C$12,M2967&lt;=원인분석!$C$13),"비교",""))))</f>
        <v/>
      </c>
      <c r="R2967" s="9">
        <f>IF(Q2967="","",$K2967&amp;"")</f>
        <v/>
      </c>
      <c r="S2967" s="9">
        <f>IF(Q2967="","",IF(MATCH(R2967,$R$5:$R$100000,0)=ROW()-4,ROW(),""))</f>
        <v/>
      </c>
      <c r="T2967" s="9">
        <f>IF(Q2967="당기",ABS(P2967)+ROW()/1000000000,"")</f>
        <v/>
      </c>
      <c r="U2967" s="9">
        <f>IF(Q2967="비교",ABS(P2967)+ROW()/1000000000,"")</f>
        <v/>
      </c>
      <c r="V2967" s="39">
        <f>IF($A2967="","",IF(COUNTIF(변동분석!$E$7:$E$506,O2967)&gt;0,"Y","N"))</f>
        <v/>
      </c>
      <c r="W2967" s="39">
        <f>IF($A2967="","",IFERROR(INDEX(계정매핑!$D$5:$D$504,MATCH($F2967&amp;"",계정매핑!$A$5:$A$504,0)),"미매핑"))</f>
        <v/>
      </c>
      <c r="X2967" s="9">
        <f>IF($A2967="","",$F2967&amp;"")</f>
        <v/>
      </c>
    </row>
    <row r="2968">
      <c r="A2968" s="75" t="n">
        <v>2026</v>
      </c>
      <c r="B2968" s="75" t="n">
        <v>4</v>
      </c>
      <c r="C2968" s="75" t="inlineStr">
        <is>
          <t>5100000624</t>
        </is>
      </c>
      <c r="D2968" s="78" t="n">
        <v>46118</v>
      </c>
      <c r="E2968" s="75" t="inlineStr">
        <is>
          <t>KR</t>
        </is>
      </c>
      <c r="F2968" s="75" t="n">
        <v>62902000</v>
      </c>
      <c r="G2968" s="75" t="n">
        <v>1401</v>
      </c>
      <c r="H2968" s="76" t="n">
        <v>2176000</v>
      </c>
      <c r="I2968" s="75" t="inlineStr">
        <is>
          <t>4월 업무 위탁 수수료 - J콜센터</t>
        </is>
      </c>
      <c r="J2968" s="75" t="inlineStr">
        <is>
          <t>V10013</t>
        </is>
      </c>
      <c r="K2968" s="75" t="inlineStr">
        <is>
          <t>J콜센터</t>
        </is>
      </c>
      <c r="M2968" s="9">
        <f>IF($A2968="","",VALUE($A2968&amp;"")*12+VALUE($B2968&amp;""))</f>
        <v/>
      </c>
      <c r="N2968" s="39">
        <f>IF($A2968="","",IFERROR(INDEX(부서매핑!$C$5:$C$504,MATCH($G2968&amp;"",부서매핑!$A$5:$A$504,0)),"미매핑"))</f>
        <v/>
      </c>
      <c r="O2968" s="9">
        <f>IF($A2968="","",N2968&amp;"|"&amp;$F2968)</f>
        <v/>
      </c>
      <c r="P2968" s="77">
        <f>IF($A2968="",0,$H2968*설정!$C$23)</f>
        <v/>
      </c>
      <c r="Q2968" s="39">
        <f>IF($A2968="","",IF(O2968&lt;&gt;원인분석!$C$9,"",IF(AND(M2968&gt;=원인분석!$C$10,M2968&lt;=원인분석!$C$11),"당기",IF(AND(M2968&gt;=원인분석!$C$12,M2968&lt;=원인분석!$C$13),"비교",""))))</f>
        <v/>
      </c>
      <c r="R2968" s="9">
        <f>IF(Q2968="","",$K2968&amp;"")</f>
        <v/>
      </c>
      <c r="S2968" s="9">
        <f>IF(Q2968="","",IF(MATCH(R2968,$R$5:$R$100000,0)=ROW()-4,ROW(),""))</f>
        <v/>
      </c>
      <c r="T2968" s="9">
        <f>IF(Q2968="당기",ABS(P2968)+ROW()/1000000000,"")</f>
        <v/>
      </c>
      <c r="U2968" s="9">
        <f>IF(Q2968="비교",ABS(P2968)+ROW()/1000000000,"")</f>
        <v/>
      </c>
      <c r="V2968" s="39">
        <f>IF($A2968="","",IF(COUNTIF(변동분석!$E$7:$E$506,O2968)&gt;0,"Y","N"))</f>
        <v/>
      </c>
      <c r="W2968" s="39">
        <f>IF($A2968="","",IFERROR(INDEX(계정매핑!$D$5:$D$504,MATCH($F2968&amp;"",계정매핑!$A$5:$A$504,0)),"미매핑"))</f>
        <v/>
      </c>
      <c r="X2968" s="9">
        <f>IF($A2968="","",$F2968&amp;"")</f>
        <v/>
      </c>
    </row>
    <row r="2969">
      <c r="A2969" s="75" t="n">
        <v>2026</v>
      </c>
      <c r="B2969" s="75" t="n">
        <v>4</v>
      </c>
      <c r="C2969" s="75" t="inlineStr">
        <is>
          <t>5100000625</t>
        </is>
      </c>
      <c r="D2969" s="78" t="n">
        <v>46119</v>
      </c>
      <c r="E2969" s="75" t="inlineStr">
        <is>
          <t>KR</t>
        </is>
      </c>
      <c r="F2969" s="75" t="n">
        <v>62101000</v>
      </c>
      <c r="G2969" s="75" t="n">
        <v>1201</v>
      </c>
      <c r="H2969" s="76" t="n">
        <v>108000</v>
      </c>
      <c r="I2969" s="75" t="inlineStr">
        <is>
          <t>4월 국내출장 - (법인카드)</t>
        </is>
      </c>
      <c r="J2969" s="75" t="inlineStr">
        <is>
          <t>V10008</t>
        </is>
      </c>
      <c r="K2969" s="75" t="inlineStr">
        <is>
          <t>(법인카드)</t>
        </is>
      </c>
      <c r="M2969" s="9">
        <f>IF($A2969="","",VALUE($A2969&amp;"")*12+VALUE($B2969&amp;""))</f>
        <v/>
      </c>
      <c r="N2969" s="39">
        <f>IF($A2969="","",IFERROR(INDEX(부서매핑!$C$5:$C$504,MATCH($G2969&amp;"",부서매핑!$A$5:$A$504,0)),"미매핑"))</f>
        <v/>
      </c>
      <c r="O2969" s="9">
        <f>IF($A2969="","",N2969&amp;"|"&amp;$F2969)</f>
        <v/>
      </c>
      <c r="P2969" s="77">
        <f>IF($A2969="",0,$H2969*설정!$C$23)</f>
        <v/>
      </c>
      <c r="Q2969" s="39">
        <f>IF($A2969="","",IF(O2969&lt;&gt;원인분석!$C$9,"",IF(AND(M2969&gt;=원인분석!$C$10,M2969&lt;=원인분석!$C$11),"당기",IF(AND(M2969&gt;=원인분석!$C$12,M2969&lt;=원인분석!$C$13),"비교",""))))</f>
        <v/>
      </c>
      <c r="R2969" s="9">
        <f>IF(Q2969="","",$K2969&amp;"")</f>
        <v/>
      </c>
      <c r="S2969" s="9">
        <f>IF(Q2969="","",IF(MATCH(R2969,$R$5:$R$100000,0)=ROW()-4,ROW(),""))</f>
        <v/>
      </c>
      <c r="T2969" s="9">
        <f>IF(Q2969="당기",ABS(P2969)+ROW()/1000000000,"")</f>
        <v/>
      </c>
      <c r="U2969" s="9">
        <f>IF(Q2969="비교",ABS(P2969)+ROW()/1000000000,"")</f>
        <v/>
      </c>
      <c r="V2969" s="39">
        <f>IF($A2969="","",IF(COUNTIF(변동분석!$E$7:$E$506,O2969)&gt;0,"Y","N"))</f>
        <v/>
      </c>
      <c r="W2969" s="39">
        <f>IF($A2969="","",IFERROR(INDEX(계정매핑!$D$5:$D$504,MATCH($F2969&amp;"",계정매핑!$A$5:$A$504,0)),"미매핑"))</f>
        <v/>
      </c>
      <c r="X2969" s="9">
        <f>IF($A2969="","",$F2969&amp;"")</f>
        <v/>
      </c>
    </row>
    <row r="2970">
      <c r="A2970" s="75" t="n">
        <v>2026</v>
      </c>
      <c r="B2970" s="75" t="n">
        <v>4</v>
      </c>
      <c r="C2970" s="75" t="inlineStr">
        <is>
          <t>5100000626</t>
        </is>
      </c>
      <c r="D2970" s="78" t="n">
        <v>46119</v>
      </c>
      <c r="E2970" s="75" t="inlineStr">
        <is>
          <t>KR</t>
        </is>
      </c>
      <c r="F2970" s="75" t="n">
        <v>62201000</v>
      </c>
      <c r="G2970" s="75" t="n">
        <v>1401</v>
      </c>
      <c r="H2970" s="76" t="n">
        <v>222000</v>
      </c>
      <c r="I2970" s="75" t="inlineStr">
        <is>
          <t>4월 통신요금 - O텔레콤</t>
        </is>
      </c>
      <c r="J2970" s="75" t="inlineStr">
        <is>
          <t>V10002</t>
        </is>
      </c>
      <c r="K2970" s="75" t="inlineStr">
        <is>
          <t>O텔레콤</t>
        </is>
      </c>
      <c r="M2970" s="9">
        <f>IF($A2970="","",VALUE($A2970&amp;"")*12+VALUE($B2970&amp;""))</f>
        <v/>
      </c>
      <c r="N2970" s="39">
        <f>IF($A2970="","",IFERROR(INDEX(부서매핑!$C$5:$C$504,MATCH($G2970&amp;"",부서매핑!$A$5:$A$504,0)),"미매핑"))</f>
        <v/>
      </c>
      <c r="O2970" s="9">
        <f>IF($A2970="","",N2970&amp;"|"&amp;$F2970)</f>
        <v/>
      </c>
      <c r="P2970" s="77">
        <f>IF($A2970="",0,$H2970*설정!$C$23)</f>
        <v/>
      </c>
      <c r="Q2970" s="39">
        <f>IF($A2970="","",IF(O2970&lt;&gt;원인분석!$C$9,"",IF(AND(M2970&gt;=원인분석!$C$10,M2970&lt;=원인분석!$C$11),"당기",IF(AND(M2970&gt;=원인분석!$C$12,M2970&lt;=원인분석!$C$13),"비교",""))))</f>
        <v/>
      </c>
      <c r="R2970" s="9">
        <f>IF(Q2970="","",$K2970&amp;"")</f>
        <v/>
      </c>
      <c r="S2970" s="9">
        <f>IF(Q2970="","",IF(MATCH(R2970,$R$5:$R$100000,0)=ROW()-4,ROW(),""))</f>
        <v/>
      </c>
      <c r="T2970" s="9">
        <f>IF(Q2970="당기",ABS(P2970)+ROW()/1000000000,"")</f>
        <v/>
      </c>
      <c r="U2970" s="9">
        <f>IF(Q2970="비교",ABS(P2970)+ROW()/1000000000,"")</f>
        <v/>
      </c>
      <c r="V2970" s="39">
        <f>IF($A2970="","",IF(COUNTIF(변동분석!$E$7:$E$506,O2970)&gt;0,"Y","N"))</f>
        <v/>
      </c>
      <c r="W2970" s="39">
        <f>IF($A2970="","",IFERROR(INDEX(계정매핑!$D$5:$D$504,MATCH($F2970&amp;"",계정매핑!$A$5:$A$504,0)),"미매핑"))</f>
        <v/>
      </c>
      <c r="X2970" s="9">
        <f>IF($A2970="","",$F2970&amp;"")</f>
        <v/>
      </c>
    </row>
    <row r="2971">
      <c r="A2971" s="75" t="n">
        <v>2026</v>
      </c>
      <c r="B2971" s="75" t="n">
        <v>4</v>
      </c>
      <c r="C2971" s="75" t="inlineStr">
        <is>
          <t>5100000627</t>
        </is>
      </c>
      <c r="D2971" s="78" t="n">
        <v>46119</v>
      </c>
      <c r="E2971" s="75" t="inlineStr">
        <is>
          <t>KR</t>
        </is>
      </c>
      <c r="F2971" s="75" t="n">
        <v>62201000</v>
      </c>
      <c r="G2971" s="75" t="n">
        <v>1801</v>
      </c>
      <c r="H2971" s="76" t="n">
        <v>5019000</v>
      </c>
      <c r="I2971" s="75" t="inlineStr">
        <is>
          <t>4월 통신요금 - O텔레콤</t>
        </is>
      </c>
      <c r="J2971" s="75" t="inlineStr">
        <is>
          <t>V10002</t>
        </is>
      </c>
      <c r="K2971" s="75" t="inlineStr">
        <is>
          <t>O텔레콤</t>
        </is>
      </c>
      <c r="M2971" s="9">
        <f>IF($A2971="","",VALUE($A2971&amp;"")*12+VALUE($B2971&amp;""))</f>
        <v/>
      </c>
      <c r="N2971" s="39">
        <f>IF($A2971="","",IFERROR(INDEX(부서매핑!$C$5:$C$504,MATCH($G2971&amp;"",부서매핑!$A$5:$A$504,0)),"미매핑"))</f>
        <v/>
      </c>
      <c r="O2971" s="9">
        <f>IF($A2971="","",N2971&amp;"|"&amp;$F2971)</f>
        <v/>
      </c>
      <c r="P2971" s="77">
        <f>IF($A2971="",0,$H2971*설정!$C$23)</f>
        <v/>
      </c>
      <c r="Q2971" s="39">
        <f>IF($A2971="","",IF(O2971&lt;&gt;원인분석!$C$9,"",IF(AND(M2971&gt;=원인분석!$C$10,M2971&lt;=원인분석!$C$11),"당기",IF(AND(M2971&gt;=원인분석!$C$12,M2971&lt;=원인분석!$C$13),"비교",""))))</f>
        <v/>
      </c>
      <c r="R2971" s="9">
        <f>IF(Q2971="","",$K2971&amp;"")</f>
        <v/>
      </c>
      <c r="S2971" s="9">
        <f>IF(Q2971="","",IF(MATCH(R2971,$R$5:$R$100000,0)=ROW()-4,ROW(),""))</f>
        <v/>
      </c>
      <c r="T2971" s="9">
        <f>IF(Q2971="당기",ABS(P2971)+ROW()/1000000000,"")</f>
        <v/>
      </c>
      <c r="U2971" s="9">
        <f>IF(Q2971="비교",ABS(P2971)+ROW()/1000000000,"")</f>
        <v/>
      </c>
      <c r="V2971" s="39">
        <f>IF($A2971="","",IF(COUNTIF(변동분석!$E$7:$E$506,O2971)&gt;0,"Y","N"))</f>
        <v/>
      </c>
      <c r="W2971" s="39">
        <f>IF($A2971="","",IFERROR(INDEX(계정매핑!$D$5:$D$504,MATCH($F2971&amp;"",계정매핑!$A$5:$A$504,0)),"미매핑"))</f>
        <v/>
      </c>
      <c r="X2971" s="9">
        <f>IF($A2971="","",$F2971&amp;"")</f>
        <v/>
      </c>
    </row>
    <row r="2972">
      <c r="A2972" s="75" t="n">
        <v>2026</v>
      </c>
      <c r="B2972" s="75" t="n">
        <v>4</v>
      </c>
      <c r="C2972" s="75" t="inlineStr">
        <is>
          <t>5100000628</t>
        </is>
      </c>
      <c r="D2972" s="78" t="n">
        <v>46119</v>
      </c>
      <c r="E2972" s="75" t="inlineStr">
        <is>
          <t>KR</t>
        </is>
      </c>
      <c r="F2972" s="75" t="n">
        <v>62301000</v>
      </c>
      <c r="G2972" s="75" t="n">
        <v>1201</v>
      </c>
      <c r="H2972" s="76" t="n">
        <v>333000</v>
      </c>
      <c r="I2972" s="75" t="inlineStr">
        <is>
          <t>4월 소모품 구입 - R문구</t>
        </is>
      </c>
      <c r="J2972" s="75" t="inlineStr">
        <is>
          <t>V10018</t>
        </is>
      </c>
      <c r="K2972" s="75" t="inlineStr">
        <is>
          <t>R문구</t>
        </is>
      </c>
      <c r="M2972" s="9">
        <f>IF($A2972="","",VALUE($A2972&amp;"")*12+VALUE($B2972&amp;""))</f>
        <v/>
      </c>
      <c r="N2972" s="39">
        <f>IF($A2972="","",IFERROR(INDEX(부서매핑!$C$5:$C$504,MATCH($G2972&amp;"",부서매핑!$A$5:$A$504,0)),"미매핑"))</f>
        <v/>
      </c>
      <c r="O2972" s="9">
        <f>IF($A2972="","",N2972&amp;"|"&amp;$F2972)</f>
        <v/>
      </c>
      <c r="P2972" s="77">
        <f>IF($A2972="",0,$H2972*설정!$C$23)</f>
        <v/>
      </c>
      <c r="Q2972" s="39">
        <f>IF($A2972="","",IF(O2972&lt;&gt;원인분석!$C$9,"",IF(AND(M2972&gt;=원인분석!$C$10,M2972&lt;=원인분석!$C$11),"당기",IF(AND(M2972&gt;=원인분석!$C$12,M2972&lt;=원인분석!$C$13),"비교",""))))</f>
        <v/>
      </c>
      <c r="R2972" s="9">
        <f>IF(Q2972="","",$K2972&amp;"")</f>
        <v/>
      </c>
      <c r="S2972" s="9">
        <f>IF(Q2972="","",IF(MATCH(R2972,$R$5:$R$100000,0)=ROW()-4,ROW(),""))</f>
        <v/>
      </c>
      <c r="T2972" s="9">
        <f>IF(Q2972="당기",ABS(P2972)+ROW()/1000000000,"")</f>
        <v/>
      </c>
      <c r="U2972" s="9">
        <f>IF(Q2972="비교",ABS(P2972)+ROW()/1000000000,"")</f>
        <v/>
      </c>
      <c r="V2972" s="39">
        <f>IF($A2972="","",IF(COUNTIF(변동분석!$E$7:$E$506,O2972)&gt;0,"Y","N"))</f>
        <v/>
      </c>
      <c r="W2972" s="39">
        <f>IF($A2972="","",IFERROR(INDEX(계정매핑!$D$5:$D$504,MATCH($F2972&amp;"",계정매핑!$A$5:$A$504,0)),"미매핑"))</f>
        <v/>
      </c>
      <c r="X2972" s="9">
        <f>IF($A2972="","",$F2972&amp;"")</f>
        <v/>
      </c>
    </row>
    <row r="2973">
      <c r="A2973" s="75" t="n">
        <v>2026</v>
      </c>
      <c r="B2973" s="75" t="n">
        <v>4</v>
      </c>
      <c r="C2973" s="75" t="inlineStr">
        <is>
          <t>5100000629</t>
        </is>
      </c>
      <c r="D2973" s="78" t="n">
        <v>46119</v>
      </c>
      <c r="E2973" s="75" t="inlineStr">
        <is>
          <t>KR</t>
        </is>
      </c>
      <c r="F2973" s="75" t="n">
        <v>62501000</v>
      </c>
      <c r="G2973" s="75" t="n">
        <v>1301</v>
      </c>
      <c r="H2973" s="76" t="n">
        <v>185000</v>
      </c>
      <c r="I2973" s="75" t="inlineStr">
        <is>
          <t>4월 회의 다과 - T케이터링</t>
        </is>
      </c>
      <c r="J2973" s="75" t="inlineStr">
        <is>
          <t>V10005</t>
        </is>
      </c>
      <c r="K2973" s="75" t="inlineStr">
        <is>
          <t>T케이터링</t>
        </is>
      </c>
      <c r="M2973" s="9">
        <f>IF($A2973="","",VALUE($A2973&amp;"")*12+VALUE($B2973&amp;""))</f>
        <v/>
      </c>
      <c r="N2973" s="39">
        <f>IF($A2973="","",IFERROR(INDEX(부서매핑!$C$5:$C$504,MATCH($G2973&amp;"",부서매핑!$A$5:$A$504,0)),"미매핑"))</f>
        <v/>
      </c>
      <c r="O2973" s="9">
        <f>IF($A2973="","",N2973&amp;"|"&amp;$F2973)</f>
        <v/>
      </c>
      <c r="P2973" s="77">
        <f>IF($A2973="",0,$H2973*설정!$C$23)</f>
        <v/>
      </c>
      <c r="Q2973" s="39">
        <f>IF($A2973="","",IF(O2973&lt;&gt;원인분석!$C$9,"",IF(AND(M2973&gt;=원인분석!$C$10,M2973&lt;=원인분석!$C$11),"당기",IF(AND(M2973&gt;=원인분석!$C$12,M2973&lt;=원인분석!$C$13),"비교",""))))</f>
        <v/>
      </c>
      <c r="R2973" s="9">
        <f>IF(Q2973="","",$K2973&amp;"")</f>
        <v/>
      </c>
      <c r="S2973" s="9">
        <f>IF(Q2973="","",IF(MATCH(R2973,$R$5:$R$100000,0)=ROW()-4,ROW(),""))</f>
        <v/>
      </c>
      <c r="T2973" s="9">
        <f>IF(Q2973="당기",ABS(P2973)+ROW()/1000000000,"")</f>
        <v/>
      </c>
      <c r="U2973" s="9">
        <f>IF(Q2973="비교",ABS(P2973)+ROW()/1000000000,"")</f>
        <v/>
      </c>
      <c r="V2973" s="39">
        <f>IF($A2973="","",IF(COUNTIF(변동분석!$E$7:$E$506,O2973)&gt;0,"Y","N"))</f>
        <v/>
      </c>
      <c r="W2973" s="39">
        <f>IF($A2973="","",IFERROR(INDEX(계정매핑!$D$5:$D$504,MATCH($F2973&amp;"",계정매핑!$A$5:$A$504,0)),"미매핑"))</f>
        <v/>
      </c>
      <c r="X2973" s="9">
        <f>IF($A2973="","",$F2973&amp;"")</f>
        <v/>
      </c>
    </row>
    <row r="2974">
      <c r="A2974" s="75" t="n">
        <v>2026</v>
      </c>
      <c r="B2974" s="75" t="n">
        <v>4</v>
      </c>
      <c r="C2974" s="75" t="inlineStr">
        <is>
          <t>5100000630</t>
        </is>
      </c>
      <c r="D2974" s="78" t="n">
        <v>46119</v>
      </c>
      <c r="E2974" s="75" t="inlineStr">
        <is>
          <t>KR</t>
        </is>
      </c>
      <c r="F2974" s="75" t="n">
        <v>62901000</v>
      </c>
      <c r="G2974" s="75" t="n">
        <v>1201</v>
      </c>
      <c r="H2974" s="76" t="n">
        <v>6512000</v>
      </c>
      <c r="I2974" s="75" t="inlineStr">
        <is>
          <t>4월 자문 수수료 - W컨설팅</t>
        </is>
      </c>
      <c r="J2974" s="75" t="inlineStr">
        <is>
          <t>V10009</t>
        </is>
      </c>
      <c r="K2974" s="75" t="inlineStr">
        <is>
          <t>W컨설팅</t>
        </is>
      </c>
      <c r="M2974" s="9">
        <f>IF($A2974="","",VALUE($A2974&amp;"")*12+VALUE($B2974&amp;""))</f>
        <v/>
      </c>
      <c r="N2974" s="39">
        <f>IF($A2974="","",IFERROR(INDEX(부서매핑!$C$5:$C$504,MATCH($G2974&amp;"",부서매핑!$A$5:$A$504,0)),"미매핑"))</f>
        <v/>
      </c>
      <c r="O2974" s="9">
        <f>IF($A2974="","",N2974&amp;"|"&amp;$F2974)</f>
        <v/>
      </c>
      <c r="P2974" s="77">
        <f>IF($A2974="",0,$H2974*설정!$C$23)</f>
        <v/>
      </c>
      <c r="Q2974" s="39">
        <f>IF($A2974="","",IF(O2974&lt;&gt;원인분석!$C$9,"",IF(AND(M2974&gt;=원인분석!$C$10,M2974&lt;=원인분석!$C$11),"당기",IF(AND(M2974&gt;=원인분석!$C$12,M2974&lt;=원인분석!$C$13),"비교",""))))</f>
        <v/>
      </c>
      <c r="R2974" s="9">
        <f>IF(Q2974="","",$K2974&amp;"")</f>
        <v/>
      </c>
      <c r="S2974" s="9">
        <f>IF(Q2974="","",IF(MATCH(R2974,$R$5:$R$100000,0)=ROW()-4,ROW(),""))</f>
        <v/>
      </c>
      <c r="T2974" s="9">
        <f>IF(Q2974="당기",ABS(P2974)+ROW()/1000000000,"")</f>
        <v/>
      </c>
      <c r="U2974" s="9">
        <f>IF(Q2974="비교",ABS(P2974)+ROW()/1000000000,"")</f>
        <v/>
      </c>
      <c r="V2974" s="39">
        <f>IF($A2974="","",IF(COUNTIF(변동분석!$E$7:$E$506,O2974)&gt;0,"Y","N"))</f>
        <v/>
      </c>
      <c r="W2974" s="39">
        <f>IF($A2974="","",IFERROR(INDEX(계정매핑!$D$5:$D$504,MATCH($F2974&amp;"",계정매핑!$A$5:$A$504,0)),"미매핑"))</f>
        <v/>
      </c>
      <c r="X2974" s="9">
        <f>IF($A2974="","",$F2974&amp;"")</f>
        <v/>
      </c>
    </row>
    <row r="2975">
      <c r="A2975" s="75" t="n">
        <v>2026</v>
      </c>
      <c r="B2975" s="75" t="n">
        <v>4</v>
      </c>
      <c r="C2975" s="75" t="inlineStr">
        <is>
          <t>5100000631</t>
        </is>
      </c>
      <c r="D2975" s="78" t="n">
        <v>46120</v>
      </c>
      <c r="E2975" s="75" t="inlineStr">
        <is>
          <t>KR</t>
        </is>
      </c>
      <c r="F2975" s="75" t="n">
        <v>62101000</v>
      </c>
      <c r="G2975" s="75" t="n">
        <v>1201</v>
      </c>
      <c r="H2975" s="76" t="n">
        <v>115000</v>
      </c>
      <c r="I2975" s="75" t="inlineStr">
        <is>
          <t>4월 국내출장 - L여행사</t>
        </is>
      </c>
      <c r="J2975" s="75" t="inlineStr">
        <is>
          <t>V10014</t>
        </is>
      </c>
      <c r="K2975" s="75" t="inlineStr">
        <is>
          <t>L여행사</t>
        </is>
      </c>
      <c r="M2975" s="9">
        <f>IF($A2975="","",VALUE($A2975&amp;"")*12+VALUE($B2975&amp;""))</f>
        <v/>
      </c>
      <c r="N2975" s="39">
        <f>IF($A2975="","",IFERROR(INDEX(부서매핑!$C$5:$C$504,MATCH($G2975&amp;"",부서매핑!$A$5:$A$504,0)),"미매핑"))</f>
        <v/>
      </c>
      <c r="O2975" s="9">
        <f>IF($A2975="","",N2975&amp;"|"&amp;$F2975)</f>
        <v/>
      </c>
      <c r="P2975" s="77">
        <f>IF($A2975="",0,$H2975*설정!$C$23)</f>
        <v/>
      </c>
      <c r="Q2975" s="39">
        <f>IF($A2975="","",IF(O2975&lt;&gt;원인분석!$C$9,"",IF(AND(M2975&gt;=원인분석!$C$10,M2975&lt;=원인분석!$C$11),"당기",IF(AND(M2975&gt;=원인분석!$C$12,M2975&lt;=원인분석!$C$13),"비교",""))))</f>
        <v/>
      </c>
      <c r="R2975" s="9">
        <f>IF(Q2975="","",$K2975&amp;"")</f>
        <v/>
      </c>
      <c r="S2975" s="9">
        <f>IF(Q2975="","",IF(MATCH(R2975,$R$5:$R$100000,0)=ROW()-4,ROW(),""))</f>
        <v/>
      </c>
      <c r="T2975" s="9">
        <f>IF(Q2975="당기",ABS(P2975)+ROW()/1000000000,"")</f>
        <v/>
      </c>
      <c r="U2975" s="9">
        <f>IF(Q2975="비교",ABS(P2975)+ROW()/1000000000,"")</f>
        <v/>
      </c>
      <c r="V2975" s="39">
        <f>IF($A2975="","",IF(COUNTIF(변동분석!$E$7:$E$506,O2975)&gt;0,"Y","N"))</f>
        <v/>
      </c>
      <c r="W2975" s="39">
        <f>IF($A2975="","",IFERROR(INDEX(계정매핑!$D$5:$D$504,MATCH($F2975&amp;"",계정매핑!$A$5:$A$504,0)),"미매핑"))</f>
        <v/>
      </c>
      <c r="X2975" s="9">
        <f>IF($A2975="","",$F2975&amp;"")</f>
        <v/>
      </c>
    </row>
    <row r="2976">
      <c r="A2976" s="75" t="n">
        <v>2026</v>
      </c>
      <c r="B2976" s="75" t="n">
        <v>4</v>
      </c>
      <c r="C2976" s="75" t="inlineStr">
        <is>
          <t>5100000632</t>
        </is>
      </c>
      <c r="D2976" s="78" t="n">
        <v>46120</v>
      </c>
      <c r="E2976" s="75" t="inlineStr">
        <is>
          <t>KR</t>
        </is>
      </c>
      <c r="F2976" s="75" t="n">
        <v>62102000</v>
      </c>
      <c r="G2976" s="75" t="n">
        <v>1701</v>
      </c>
      <c r="H2976" s="76" t="n">
        <v>58000</v>
      </c>
      <c r="I2976" s="75" t="inlineStr">
        <is>
          <t>4월 해외출장 - N호텔</t>
        </is>
      </c>
      <c r="J2976" s="75" t="inlineStr">
        <is>
          <t>V10007</t>
        </is>
      </c>
      <c r="K2976" s="75" t="inlineStr">
        <is>
          <t>N호텔</t>
        </is>
      </c>
      <c r="M2976" s="9">
        <f>IF($A2976="","",VALUE($A2976&amp;"")*12+VALUE($B2976&amp;""))</f>
        <v/>
      </c>
      <c r="N2976" s="39">
        <f>IF($A2976="","",IFERROR(INDEX(부서매핑!$C$5:$C$504,MATCH($G2976&amp;"",부서매핑!$A$5:$A$504,0)),"미매핑"))</f>
        <v/>
      </c>
      <c r="O2976" s="9">
        <f>IF($A2976="","",N2976&amp;"|"&amp;$F2976)</f>
        <v/>
      </c>
      <c r="P2976" s="77">
        <f>IF($A2976="",0,$H2976*설정!$C$23)</f>
        <v/>
      </c>
      <c r="Q2976" s="39">
        <f>IF($A2976="","",IF(O2976&lt;&gt;원인분석!$C$9,"",IF(AND(M2976&gt;=원인분석!$C$10,M2976&lt;=원인분석!$C$11),"당기",IF(AND(M2976&gt;=원인분석!$C$12,M2976&lt;=원인분석!$C$13),"비교",""))))</f>
        <v/>
      </c>
      <c r="R2976" s="9">
        <f>IF(Q2976="","",$K2976&amp;"")</f>
        <v/>
      </c>
      <c r="S2976" s="9">
        <f>IF(Q2976="","",IF(MATCH(R2976,$R$5:$R$100000,0)=ROW()-4,ROW(),""))</f>
        <v/>
      </c>
      <c r="T2976" s="9">
        <f>IF(Q2976="당기",ABS(P2976)+ROW()/1000000000,"")</f>
        <v/>
      </c>
      <c r="U2976" s="9">
        <f>IF(Q2976="비교",ABS(P2976)+ROW()/1000000000,"")</f>
        <v/>
      </c>
      <c r="V2976" s="39">
        <f>IF($A2976="","",IF(COUNTIF(변동분석!$E$7:$E$506,O2976)&gt;0,"Y","N"))</f>
        <v/>
      </c>
      <c r="W2976" s="39">
        <f>IF($A2976="","",IFERROR(INDEX(계정매핑!$D$5:$D$504,MATCH($F2976&amp;"",계정매핑!$A$5:$A$504,0)),"미매핑"))</f>
        <v/>
      </c>
      <c r="X2976" s="9">
        <f>IF($A2976="","",$F2976&amp;"")</f>
        <v/>
      </c>
    </row>
    <row r="2977">
      <c r="A2977" s="75" t="n">
        <v>2026</v>
      </c>
      <c r="B2977" s="75" t="n">
        <v>4</v>
      </c>
      <c r="C2977" s="75" t="inlineStr">
        <is>
          <t>5100000633</t>
        </is>
      </c>
      <c r="D2977" s="78" t="n">
        <v>46120</v>
      </c>
      <c r="E2977" s="75" t="inlineStr">
        <is>
          <t>KR</t>
        </is>
      </c>
      <c r="F2977" s="75" t="n">
        <v>62201000</v>
      </c>
      <c r="G2977" s="75" t="n">
        <v>1701</v>
      </c>
      <c r="H2977" s="76" t="n">
        <v>3199000</v>
      </c>
      <c r="I2977" s="75" t="inlineStr">
        <is>
          <t>4월 통신요금 - O텔레콤</t>
        </is>
      </c>
      <c r="J2977" s="75" t="inlineStr">
        <is>
          <t>V10002</t>
        </is>
      </c>
      <c r="K2977" s="75" t="inlineStr">
        <is>
          <t>O텔레콤</t>
        </is>
      </c>
      <c r="M2977" s="9">
        <f>IF($A2977="","",VALUE($A2977&amp;"")*12+VALUE($B2977&amp;""))</f>
        <v/>
      </c>
      <c r="N2977" s="39">
        <f>IF($A2977="","",IFERROR(INDEX(부서매핑!$C$5:$C$504,MATCH($G2977&amp;"",부서매핑!$A$5:$A$504,0)),"미매핑"))</f>
        <v/>
      </c>
      <c r="O2977" s="9">
        <f>IF($A2977="","",N2977&amp;"|"&amp;$F2977)</f>
        <v/>
      </c>
      <c r="P2977" s="77">
        <f>IF($A2977="",0,$H2977*설정!$C$23)</f>
        <v/>
      </c>
      <c r="Q2977" s="39">
        <f>IF($A2977="","",IF(O2977&lt;&gt;원인분석!$C$9,"",IF(AND(M2977&gt;=원인분석!$C$10,M2977&lt;=원인분석!$C$11),"당기",IF(AND(M2977&gt;=원인분석!$C$12,M2977&lt;=원인분석!$C$13),"비교",""))))</f>
        <v/>
      </c>
      <c r="R2977" s="9">
        <f>IF(Q2977="","",$K2977&amp;"")</f>
        <v/>
      </c>
      <c r="S2977" s="9">
        <f>IF(Q2977="","",IF(MATCH(R2977,$R$5:$R$100000,0)=ROW()-4,ROW(),""))</f>
        <v/>
      </c>
      <c r="T2977" s="9">
        <f>IF(Q2977="당기",ABS(P2977)+ROW()/1000000000,"")</f>
        <v/>
      </c>
      <c r="U2977" s="9">
        <f>IF(Q2977="비교",ABS(P2977)+ROW()/1000000000,"")</f>
        <v/>
      </c>
      <c r="V2977" s="39">
        <f>IF($A2977="","",IF(COUNTIF(변동분석!$E$7:$E$506,O2977)&gt;0,"Y","N"))</f>
        <v/>
      </c>
      <c r="W2977" s="39">
        <f>IF($A2977="","",IFERROR(INDEX(계정매핑!$D$5:$D$504,MATCH($F2977&amp;"",계정매핑!$A$5:$A$504,0)),"미매핑"))</f>
        <v/>
      </c>
      <c r="X2977" s="9">
        <f>IF($A2977="","",$F2977&amp;"")</f>
        <v/>
      </c>
    </row>
    <row r="2978">
      <c r="A2978" s="75" t="n">
        <v>2026</v>
      </c>
      <c r="B2978" s="75" t="n">
        <v>4</v>
      </c>
      <c r="C2978" s="75" t="inlineStr">
        <is>
          <t>5100000634</t>
        </is>
      </c>
      <c r="D2978" s="78" t="n">
        <v>46120</v>
      </c>
      <c r="E2978" s="75" t="inlineStr">
        <is>
          <t>KR</t>
        </is>
      </c>
      <c r="F2978" s="75" t="n">
        <v>62401000</v>
      </c>
      <c r="G2978" s="75" t="n">
        <v>1501</v>
      </c>
      <c r="H2978" s="76" t="n">
        <v>1299000</v>
      </c>
      <c r="I2978" s="75" t="inlineStr">
        <is>
          <t>4월 인쇄물 제작 - S출판</t>
        </is>
      </c>
      <c r="J2978" s="75" t="inlineStr">
        <is>
          <t>V10012</t>
        </is>
      </c>
      <c r="K2978" s="75" t="inlineStr">
        <is>
          <t>S출판</t>
        </is>
      </c>
      <c r="M2978" s="9">
        <f>IF($A2978="","",VALUE($A2978&amp;"")*12+VALUE($B2978&amp;""))</f>
        <v/>
      </c>
      <c r="N2978" s="39">
        <f>IF($A2978="","",IFERROR(INDEX(부서매핑!$C$5:$C$504,MATCH($G2978&amp;"",부서매핑!$A$5:$A$504,0)),"미매핑"))</f>
        <v/>
      </c>
      <c r="O2978" s="9">
        <f>IF($A2978="","",N2978&amp;"|"&amp;$F2978)</f>
        <v/>
      </c>
      <c r="P2978" s="77">
        <f>IF($A2978="",0,$H2978*설정!$C$23)</f>
        <v/>
      </c>
      <c r="Q2978" s="39">
        <f>IF($A2978="","",IF(O2978&lt;&gt;원인분석!$C$9,"",IF(AND(M2978&gt;=원인분석!$C$10,M2978&lt;=원인분석!$C$11),"당기",IF(AND(M2978&gt;=원인분석!$C$12,M2978&lt;=원인분석!$C$13),"비교",""))))</f>
        <v/>
      </c>
      <c r="R2978" s="9">
        <f>IF(Q2978="","",$K2978&amp;"")</f>
        <v/>
      </c>
      <c r="S2978" s="9">
        <f>IF(Q2978="","",IF(MATCH(R2978,$R$5:$R$100000,0)=ROW()-4,ROW(),""))</f>
        <v/>
      </c>
      <c r="T2978" s="9">
        <f>IF(Q2978="당기",ABS(P2978)+ROW()/1000000000,"")</f>
        <v/>
      </c>
      <c r="U2978" s="9">
        <f>IF(Q2978="비교",ABS(P2978)+ROW()/1000000000,"")</f>
        <v/>
      </c>
      <c r="V2978" s="39">
        <f>IF($A2978="","",IF(COUNTIF(변동분석!$E$7:$E$506,O2978)&gt;0,"Y","N"))</f>
        <v/>
      </c>
      <c r="W2978" s="39">
        <f>IF($A2978="","",IFERROR(INDEX(계정매핑!$D$5:$D$504,MATCH($F2978&amp;"",계정매핑!$A$5:$A$504,0)),"미매핑"))</f>
        <v/>
      </c>
      <c r="X2978" s="9">
        <f>IF($A2978="","",$F2978&amp;"")</f>
        <v/>
      </c>
    </row>
    <row r="2979">
      <c r="A2979" s="75" t="n">
        <v>2026</v>
      </c>
      <c r="B2979" s="75" t="n">
        <v>4</v>
      </c>
      <c r="C2979" s="75" t="inlineStr">
        <is>
          <t>5100000635</t>
        </is>
      </c>
      <c r="D2979" s="78" t="n">
        <v>46120</v>
      </c>
      <c r="E2979" s="75" t="inlineStr">
        <is>
          <t>KR</t>
        </is>
      </c>
      <c r="F2979" s="75" t="n">
        <v>63101000</v>
      </c>
      <c r="G2979" s="75" t="n">
        <v>1602</v>
      </c>
      <c r="H2979" s="76" t="n">
        <v>3917000</v>
      </c>
      <c r="I2979" s="75" t="inlineStr">
        <is>
          <t>4월 사무실 임차료 - BB부동산</t>
        </is>
      </c>
      <c r="J2979" s="75" t="inlineStr">
        <is>
          <t>V10024</t>
        </is>
      </c>
      <c r="K2979" s="75" t="inlineStr">
        <is>
          <t>BB부동산</t>
        </is>
      </c>
      <c r="M2979" s="9">
        <f>IF($A2979="","",VALUE($A2979&amp;"")*12+VALUE($B2979&amp;""))</f>
        <v/>
      </c>
      <c r="N2979" s="39">
        <f>IF($A2979="","",IFERROR(INDEX(부서매핑!$C$5:$C$504,MATCH($G2979&amp;"",부서매핑!$A$5:$A$504,0)),"미매핑"))</f>
        <v/>
      </c>
      <c r="O2979" s="9">
        <f>IF($A2979="","",N2979&amp;"|"&amp;$F2979)</f>
        <v/>
      </c>
      <c r="P2979" s="77">
        <f>IF($A2979="",0,$H2979*설정!$C$23)</f>
        <v/>
      </c>
      <c r="Q2979" s="39">
        <f>IF($A2979="","",IF(O2979&lt;&gt;원인분석!$C$9,"",IF(AND(M2979&gt;=원인분석!$C$10,M2979&lt;=원인분석!$C$11),"당기",IF(AND(M2979&gt;=원인분석!$C$12,M2979&lt;=원인분석!$C$13),"비교",""))))</f>
        <v/>
      </c>
      <c r="R2979" s="9">
        <f>IF(Q2979="","",$K2979&amp;"")</f>
        <v/>
      </c>
      <c r="S2979" s="9">
        <f>IF(Q2979="","",IF(MATCH(R2979,$R$5:$R$100000,0)=ROW()-4,ROW(),""))</f>
        <v/>
      </c>
      <c r="T2979" s="9">
        <f>IF(Q2979="당기",ABS(P2979)+ROW()/1000000000,"")</f>
        <v/>
      </c>
      <c r="U2979" s="9">
        <f>IF(Q2979="비교",ABS(P2979)+ROW()/1000000000,"")</f>
        <v/>
      </c>
      <c r="V2979" s="39">
        <f>IF($A2979="","",IF(COUNTIF(변동분석!$E$7:$E$506,O2979)&gt;0,"Y","N"))</f>
        <v/>
      </c>
      <c r="W2979" s="39">
        <f>IF($A2979="","",IFERROR(INDEX(계정매핑!$D$5:$D$504,MATCH($F2979&amp;"",계정매핑!$A$5:$A$504,0)),"미매핑"))</f>
        <v/>
      </c>
      <c r="X2979" s="9">
        <f>IF($A2979="","",$F2979&amp;"")</f>
        <v/>
      </c>
    </row>
    <row r="2980">
      <c r="A2980" s="75" t="n">
        <v>2026</v>
      </c>
      <c r="B2980" s="75" t="n">
        <v>4</v>
      </c>
      <c r="C2980" s="75" t="inlineStr">
        <is>
          <t>5100000636</t>
        </is>
      </c>
      <c r="D2980" s="78" t="n">
        <v>46121</v>
      </c>
      <c r="E2980" s="75" t="inlineStr">
        <is>
          <t>KR</t>
        </is>
      </c>
      <c r="F2980" s="75" t="n">
        <v>62101000</v>
      </c>
      <c r="G2980" s="75" t="n">
        <v>1401</v>
      </c>
      <c r="H2980" s="76" t="n">
        <v>358000</v>
      </c>
      <c r="I2980" s="75" t="inlineStr">
        <is>
          <t>4월 국내출장 - M항공</t>
        </is>
      </c>
      <c r="J2980" s="75" t="inlineStr">
        <is>
          <t>V10001</t>
        </is>
      </c>
      <c r="K2980" s="75" t="inlineStr">
        <is>
          <t>M항공</t>
        </is>
      </c>
      <c r="M2980" s="9">
        <f>IF($A2980="","",VALUE($A2980&amp;"")*12+VALUE($B2980&amp;""))</f>
        <v/>
      </c>
      <c r="N2980" s="39">
        <f>IF($A2980="","",IFERROR(INDEX(부서매핑!$C$5:$C$504,MATCH($G2980&amp;"",부서매핑!$A$5:$A$504,0)),"미매핑"))</f>
        <v/>
      </c>
      <c r="O2980" s="9">
        <f>IF($A2980="","",N2980&amp;"|"&amp;$F2980)</f>
        <v/>
      </c>
      <c r="P2980" s="77">
        <f>IF($A2980="",0,$H2980*설정!$C$23)</f>
        <v/>
      </c>
      <c r="Q2980" s="39">
        <f>IF($A2980="","",IF(O2980&lt;&gt;원인분석!$C$9,"",IF(AND(M2980&gt;=원인분석!$C$10,M2980&lt;=원인분석!$C$11),"당기",IF(AND(M2980&gt;=원인분석!$C$12,M2980&lt;=원인분석!$C$13),"비교",""))))</f>
        <v/>
      </c>
      <c r="R2980" s="9">
        <f>IF(Q2980="","",$K2980&amp;"")</f>
        <v/>
      </c>
      <c r="S2980" s="9">
        <f>IF(Q2980="","",IF(MATCH(R2980,$R$5:$R$100000,0)=ROW()-4,ROW(),""))</f>
        <v/>
      </c>
      <c r="T2980" s="9">
        <f>IF(Q2980="당기",ABS(P2980)+ROW()/1000000000,"")</f>
        <v/>
      </c>
      <c r="U2980" s="9">
        <f>IF(Q2980="비교",ABS(P2980)+ROW()/1000000000,"")</f>
        <v/>
      </c>
      <c r="V2980" s="39">
        <f>IF($A2980="","",IF(COUNTIF(변동분석!$E$7:$E$506,O2980)&gt;0,"Y","N"))</f>
        <v/>
      </c>
      <c r="W2980" s="39">
        <f>IF($A2980="","",IFERROR(INDEX(계정매핑!$D$5:$D$504,MATCH($F2980&amp;"",계정매핑!$A$5:$A$504,0)),"미매핑"))</f>
        <v/>
      </c>
      <c r="X2980" s="9">
        <f>IF($A2980="","",$F2980&amp;"")</f>
        <v/>
      </c>
    </row>
    <row r="2981">
      <c r="A2981" s="75" t="n">
        <v>2026</v>
      </c>
      <c r="B2981" s="75" t="n">
        <v>4</v>
      </c>
      <c r="C2981" s="75" t="inlineStr">
        <is>
          <t>5100000637</t>
        </is>
      </c>
      <c r="D2981" s="78" t="n">
        <v>46121</v>
      </c>
      <c r="E2981" s="75" t="inlineStr">
        <is>
          <t>KR</t>
        </is>
      </c>
      <c r="F2981" s="75" t="n">
        <v>62102000</v>
      </c>
      <c r="G2981" s="75" t="n">
        <v>1201</v>
      </c>
      <c r="H2981" s="76" t="n">
        <v>52000</v>
      </c>
      <c r="I2981" s="75" t="inlineStr">
        <is>
          <t>4월 해외출장 - M항공</t>
        </is>
      </c>
      <c r="J2981" s="75" t="inlineStr">
        <is>
          <t>V10001</t>
        </is>
      </c>
      <c r="K2981" s="75" t="inlineStr">
        <is>
          <t>M항공</t>
        </is>
      </c>
      <c r="M2981" s="9">
        <f>IF($A2981="","",VALUE($A2981&amp;"")*12+VALUE($B2981&amp;""))</f>
        <v/>
      </c>
      <c r="N2981" s="39">
        <f>IF($A2981="","",IFERROR(INDEX(부서매핑!$C$5:$C$504,MATCH($G2981&amp;"",부서매핑!$A$5:$A$504,0)),"미매핑"))</f>
        <v/>
      </c>
      <c r="O2981" s="9">
        <f>IF($A2981="","",N2981&amp;"|"&amp;$F2981)</f>
        <v/>
      </c>
      <c r="P2981" s="77">
        <f>IF($A2981="",0,$H2981*설정!$C$23)</f>
        <v/>
      </c>
      <c r="Q2981" s="39">
        <f>IF($A2981="","",IF(O2981&lt;&gt;원인분석!$C$9,"",IF(AND(M2981&gt;=원인분석!$C$10,M2981&lt;=원인분석!$C$11),"당기",IF(AND(M2981&gt;=원인분석!$C$12,M2981&lt;=원인분석!$C$13),"비교",""))))</f>
        <v/>
      </c>
      <c r="R2981" s="9">
        <f>IF(Q2981="","",$K2981&amp;"")</f>
        <v/>
      </c>
      <c r="S2981" s="9">
        <f>IF(Q2981="","",IF(MATCH(R2981,$R$5:$R$100000,0)=ROW()-4,ROW(),""))</f>
        <v/>
      </c>
      <c r="T2981" s="9">
        <f>IF(Q2981="당기",ABS(P2981)+ROW()/1000000000,"")</f>
        <v/>
      </c>
      <c r="U2981" s="9">
        <f>IF(Q2981="비교",ABS(P2981)+ROW()/1000000000,"")</f>
        <v/>
      </c>
      <c r="V2981" s="39">
        <f>IF($A2981="","",IF(COUNTIF(변동분석!$E$7:$E$506,O2981)&gt;0,"Y","N"))</f>
        <v/>
      </c>
      <c r="W2981" s="39">
        <f>IF($A2981="","",IFERROR(INDEX(계정매핑!$D$5:$D$504,MATCH($F2981&amp;"",계정매핑!$A$5:$A$504,0)),"미매핑"))</f>
        <v/>
      </c>
      <c r="X2981" s="9">
        <f>IF($A2981="","",$F2981&amp;"")</f>
        <v/>
      </c>
    </row>
    <row r="2982">
      <c r="A2982" s="75" t="n">
        <v>2026</v>
      </c>
      <c r="B2982" s="75" t="n">
        <v>4</v>
      </c>
      <c r="C2982" s="75" t="inlineStr">
        <is>
          <t>5100000638</t>
        </is>
      </c>
      <c r="D2982" s="78" t="n">
        <v>46121</v>
      </c>
      <c r="E2982" s="75" t="inlineStr">
        <is>
          <t>KR</t>
        </is>
      </c>
      <c r="F2982" s="75" t="n">
        <v>62102000</v>
      </c>
      <c r="G2982" s="75" t="n">
        <v>1301</v>
      </c>
      <c r="H2982" s="76" t="n">
        <v>153000</v>
      </c>
      <c r="I2982" s="75" t="inlineStr">
        <is>
          <t>4월 해외출장 - M항공</t>
        </is>
      </c>
      <c r="J2982" s="75" t="inlineStr">
        <is>
          <t>V10001</t>
        </is>
      </c>
      <c r="K2982" s="75" t="inlineStr">
        <is>
          <t>M항공</t>
        </is>
      </c>
      <c r="M2982" s="9">
        <f>IF($A2982="","",VALUE($A2982&amp;"")*12+VALUE($B2982&amp;""))</f>
        <v/>
      </c>
      <c r="N2982" s="39">
        <f>IF($A2982="","",IFERROR(INDEX(부서매핑!$C$5:$C$504,MATCH($G2982&amp;"",부서매핑!$A$5:$A$504,0)),"미매핑"))</f>
        <v/>
      </c>
      <c r="O2982" s="9">
        <f>IF($A2982="","",N2982&amp;"|"&amp;$F2982)</f>
        <v/>
      </c>
      <c r="P2982" s="77">
        <f>IF($A2982="",0,$H2982*설정!$C$23)</f>
        <v/>
      </c>
      <c r="Q2982" s="39">
        <f>IF($A2982="","",IF(O2982&lt;&gt;원인분석!$C$9,"",IF(AND(M2982&gt;=원인분석!$C$10,M2982&lt;=원인분석!$C$11),"당기",IF(AND(M2982&gt;=원인분석!$C$12,M2982&lt;=원인분석!$C$13),"비교",""))))</f>
        <v/>
      </c>
      <c r="R2982" s="9">
        <f>IF(Q2982="","",$K2982&amp;"")</f>
        <v/>
      </c>
      <c r="S2982" s="9">
        <f>IF(Q2982="","",IF(MATCH(R2982,$R$5:$R$100000,0)=ROW()-4,ROW(),""))</f>
        <v/>
      </c>
      <c r="T2982" s="9">
        <f>IF(Q2982="당기",ABS(P2982)+ROW()/1000000000,"")</f>
        <v/>
      </c>
      <c r="U2982" s="9">
        <f>IF(Q2982="비교",ABS(P2982)+ROW()/1000000000,"")</f>
        <v/>
      </c>
      <c r="V2982" s="39">
        <f>IF($A2982="","",IF(COUNTIF(변동분석!$E$7:$E$506,O2982)&gt;0,"Y","N"))</f>
        <v/>
      </c>
      <c r="W2982" s="39">
        <f>IF($A2982="","",IFERROR(INDEX(계정매핑!$D$5:$D$504,MATCH($F2982&amp;"",계정매핑!$A$5:$A$504,0)),"미매핑"))</f>
        <v/>
      </c>
      <c r="X2982" s="9">
        <f>IF($A2982="","",$F2982&amp;"")</f>
        <v/>
      </c>
    </row>
    <row r="2983">
      <c r="A2983" s="75" t="n">
        <v>2026</v>
      </c>
      <c r="B2983" s="75" t="n">
        <v>4</v>
      </c>
      <c r="C2983" s="75" t="inlineStr">
        <is>
          <t>5100000639</t>
        </is>
      </c>
      <c r="D2983" s="78" t="n">
        <v>46121</v>
      </c>
      <c r="E2983" s="75" t="inlineStr">
        <is>
          <t>KR</t>
        </is>
      </c>
      <c r="F2983" s="75" t="n">
        <v>62301000</v>
      </c>
      <c r="G2983" s="75" t="n">
        <v>1501</v>
      </c>
      <c r="H2983" s="76" t="n">
        <v>154000</v>
      </c>
      <c r="I2983" s="75" t="inlineStr">
        <is>
          <t>4월 소모품 구입 - Q오피스</t>
        </is>
      </c>
      <c r="J2983" s="75" t="inlineStr">
        <is>
          <t>V10003</t>
        </is>
      </c>
      <c r="K2983" s="75" t="inlineStr">
        <is>
          <t>Q오피스</t>
        </is>
      </c>
      <c r="M2983" s="9">
        <f>IF($A2983="","",VALUE($A2983&amp;"")*12+VALUE($B2983&amp;""))</f>
        <v/>
      </c>
      <c r="N2983" s="39">
        <f>IF($A2983="","",IFERROR(INDEX(부서매핑!$C$5:$C$504,MATCH($G2983&amp;"",부서매핑!$A$5:$A$504,0)),"미매핑"))</f>
        <v/>
      </c>
      <c r="O2983" s="9">
        <f>IF($A2983="","",N2983&amp;"|"&amp;$F2983)</f>
        <v/>
      </c>
      <c r="P2983" s="77">
        <f>IF($A2983="",0,$H2983*설정!$C$23)</f>
        <v/>
      </c>
      <c r="Q2983" s="39">
        <f>IF($A2983="","",IF(O2983&lt;&gt;원인분석!$C$9,"",IF(AND(M2983&gt;=원인분석!$C$10,M2983&lt;=원인분석!$C$11),"당기",IF(AND(M2983&gt;=원인분석!$C$12,M2983&lt;=원인분석!$C$13),"비교",""))))</f>
        <v/>
      </c>
      <c r="R2983" s="9">
        <f>IF(Q2983="","",$K2983&amp;"")</f>
        <v/>
      </c>
      <c r="S2983" s="9">
        <f>IF(Q2983="","",IF(MATCH(R2983,$R$5:$R$100000,0)=ROW()-4,ROW(),""))</f>
        <v/>
      </c>
      <c r="T2983" s="9">
        <f>IF(Q2983="당기",ABS(P2983)+ROW()/1000000000,"")</f>
        <v/>
      </c>
      <c r="U2983" s="9">
        <f>IF(Q2983="비교",ABS(P2983)+ROW()/1000000000,"")</f>
        <v/>
      </c>
      <c r="V2983" s="39">
        <f>IF($A2983="","",IF(COUNTIF(변동분석!$E$7:$E$506,O2983)&gt;0,"Y","N"))</f>
        <v/>
      </c>
      <c r="W2983" s="39">
        <f>IF($A2983="","",IFERROR(INDEX(계정매핑!$D$5:$D$504,MATCH($F2983&amp;"",계정매핑!$A$5:$A$504,0)),"미매핑"))</f>
        <v/>
      </c>
      <c r="X2983" s="9">
        <f>IF($A2983="","",$F2983&amp;"")</f>
        <v/>
      </c>
    </row>
    <row r="2984">
      <c r="A2984" s="75" t="n">
        <v>2026</v>
      </c>
      <c r="B2984" s="75" t="n">
        <v>4</v>
      </c>
      <c r="C2984" s="75" t="inlineStr">
        <is>
          <t>5100000640</t>
        </is>
      </c>
      <c r="D2984" s="78" t="n">
        <v>46121</v>
      </c>
      <c r="E2984" s="75" t="inlineStr">
        <is>
          <t>KR</t>
        </is>
      </c>
      <c r="F2984" s="75" t="n">
        <v>62301000</v>
      </c>
      <c r="G2984" s="75" t="n">
        <v>1602</v>
      </c>
      <c r="H2984" s="76" t="n">
        <v>242000</v>
      </c>
      <c r="I2984" s="75" t="inlineStr">
        <is>
          <t>4월 소모품 구입 - Q오피스</t>
        </is>
      </c>
      <c r="J2984" s="75" t="inlineStr">
        <is>
          <t>V10003</t>
        </is>
      </c>
      <c r="K2984" s="75" t="inlineStr">
        <is>
          <t>Q오피스</t>
        </is>
      </c>
      <c r="M2984" s="9">
        <f>IF($A2984="","",VALUE($A2984&amp;"")*12+VALUE($B2984&amp;""))</f>
        <v/>
      </c>
      <c r="N2984" s="39">
        <f>IF($A2984="","",IFERROR(INDEX(부서매핑!$C$5:$C$504,MATCH($G2984&amp;"",부서매핑!$A$5:$A$504,0)),"미매핑"))</f>
        <v/>
      </c>
      <c r="O2984" s="9">
        <f>IF($A2984="","",N2984&amp;"|"&amp;$F2984)</f>
        <v/>
      </c>
      <c r="P2984" s="77">
        <f>IF($A2984="",0,$H2984*설정!$C$23)</f>
        <v/>
      </c>
      <c r="Q2984" s="39">
        <f>IF($A2984="","",IF(O2984&lt;&gt;원인분석!$C$9,"",IF(AND(M2984&gt;=원인분석!$C$10,M2984&lt;=원인분석!$C$11),"당기",IF(AND(M2984&gt;=원인분석!$C$12,M2984&lt;=원인분석!$C$13),"비교",""))))</f>
        <v/>
      </c>
      <c r="R2984" s="9">
        <f>IF(Q2984="","",$K2984&amp;"")</f>
        <v/>
      </c>
      <c r="S2984" s="9">
        <f>IF(Q2984="","",IF(MATCH(R2984,$R$5:$R$100000,0)=ROW()-4,ROW(),""))</f>
        <v/>
      </c>
      <c r="T2984" s="9">
        <f>IF(Q2984="당기",ABS(P2984)+ROW()/1000000000,"")</f>
        <v/>
      </c>
      <c r="U2984" s="9">
        <f>IF(Q2984="비교",ABS(P2984)+ROW()/1000000000,"")</f>
        <v/>
      </c>
      <c r="V2984" s="39">
        <f>IF($A2984="","",IF(COUNTIF(변동분석!$E$7:$E$506,O2984)&gt;0,"Y","N"))</f>
        <v/>
      </c>
      <c r="W2984" s="39">
        <f>IF($A2984="","",IFERROR(INDEX(계정매핑!$D$5:$D$504,MATCH($F2984&amp;"",계정매핑!$A$5:$A$504,0)),"미매핑"))</f>
        <v/>
      </c>
      <c r="X2984" s="9">
        <f>IF($A2984="","",$F2984&amp;"")</f>
        <v/>
      </c>
    </row>
    <row r="2985">
      <c r="A2985" s="75" t="n">
        <v>2026</v>
      </c>
      <c r="B2985" s="75" t="n">
        <v>4</v>
      </c>
      <c r="C2985" s="75" t="inlineStr">
        <is>
          <t>5100000641</t>
        </is>
      </c>
      <c r="D2985" s="78" t="n">
        <v>46121</v>
      </c>
      <c r="E2985" s="75" t="inlineStr">
        <is>
          <t>KR</t>
        </is>
      </c>
      <c r="F2985" s="75" t="n">
        <v>62501000</v>
      </c>
      <c r="G2985" s="75" t="n">
        <v>1101</v>
      </c>
      <c r="H2985" s="76" t="n">
        <v>271000</v>
      </c>
      <c r="I2985" s="75" t="inlineStr">
        <is>
          <t>4월 회의 다과 - (법인카드)</t>
        </is>
      </c>
      <c r="J2985" s="75" t="inlineStr">
        <is>
          <t>V10008</t>
        </is>
      </c>
      <c r="K2985" s="75" t="inlineStr">
        <is>
          <t>(법인카드)</t>
        </is>
      </c>
      <c r="M2985" s="9">
        <f>IF($A2985="","",VALUE($A2985&amp;"")*12+VALUE($B2985&amp;""))</f>
        <v/>
      </c>
      <c r="N2985" s="39">
        <f>IF($A2985="","",IFERROR(INDEX(부서매핑!$C$5:$C$504,MATCH($G2985&amp;"",부서매핑!$A$5:$A$504,0)),"미매핑"))</f>
        <v/>
      </c>
      <c r="O2985" s="9">
        <f>IF($A2985="","",N2985&amp;"|"&amp;$F2985)</f>
        <v/>
      </c>
      <c r="P2985" s="77">
        <f>IF($A2985="",0,$H2985*설정!$C$23)</f>
        <v/>
      </c>
      <c r="Q2985" s="39">
        <f>IF($A2985="","",IF(O2985&lt;&gt;원인분석!$C$9,"",IF(AND(M2985&gt;=원인분석!$C$10,M2985&lt;=원인분석!$C$11),"당기",IF(AND(M2985&gt;=원인분석!$C$12,M2985&lt;=원인분석!$C$13),"비교",""))))</f>
        <v/>
      </c>
      <c r="R2985" s="9">
        <f>IF(Q2985="","",$K2985&amp;"")</f>
        <v/>
      </c>
      <c r="S2985" s="9">
        <f>IF(Q2985="","",IF(MATCH(R2985,$R$5:$R$100000,0)=ROW()-4,ROW(),""))</f>
        <v/>
      </c>
      <c r="T2985" s="9">
        <f>IF(Q2985="당기",ABS(P2985)+ROW()/1000000000,"")</f>
        <v/>
      </c>
      <c r="U2985" s="9">
        <f>IF(Q2985="비교",ABS(P2985)+ROW()/1000000000,"")</f>
        <v/>
      </c>
      <c r="V2985" s="39">
        <f>IF($A2985="","",IF(COUNTIF(변동분석!$E$7:$E$506,O2985)&gt;0,"Y","N"))</f>
        <v/>
      </c>
      <c r="W2985" s="39">
        <f>IF($A2985="","",IFERROR(INDEX(계정매핑!$D$5:$D$504,MATCH($F2985&amp;"",계정매핑!$A$5:$A$504,0)),"미매핑"))</f>
        <v/>
      </c>
      <c r="X2985" s="9">
        <f>IF($A2985="","",$F2985&amp;"")</f>
        <v/>
      </c>
    </row>
    <row r="2986">
      <c r="A2986" s="75" t="n">
        <v>2026</v>
      </c>
      <c r="B2986" s="75" t="n">
        <v>4</v>
      </c>
      <c r="C2986" s="75" t="inlineStr">
        <is>
          <t>5100000642</t>
        </is>
      </c>
      <c r="D2986" s="78" t="n">
        <v>46121</v>
      </c>
      <c r="E2986" s="75" t="inlineStr">
        <is>
          <t>KR</t>
        </is>
      </c>
      <c r="F2986" s="75" t="n">
        <v>62901000</v>
      </c>
      <c r="G2986" s="75" t="n">
        <v>1801</v>
      </c>
      <c r="H2986" s="76" t="n">
        <v>8090000</v>
      </c>
      <c r="I2986" s="75" t="inlineStr">
        <is>
          <t>4월 자문 수수료 - K회계법인</t>
        </is>
      </c>
      <c r="J2986" s="75" t="inlineStr">
        <is>
          <t>V10010</t>
        </is>
      </c>
      <c r="K2986" s="75" t="inlineStr">
        <is>
          <t>K회계법인</t>
        </is>
      </c>
      <c r="M2986" s="9">
        <f>IF($A2986="","",VALUE($A2986&amp;"")*12+VALUE($B2986&amp;""))</f>
        <v/>
      </c>
      <c r="N2986" s="39">
        <f>IF($A2986="","",IFERROR(INDEX(부서매핑!$C$5:$C$504,MATCH($G2986&amp;"",부서매핑!$A$5:$A$504,0)),"미매핑"))</f>
        <v/>
      </c>
      <c r="O2986" s="9">
        <f>IF($A2986="","",N2986&amp;"|"&amp;$F2986)</f>
        <v/>
      </c>
      <c r="P2986" s="77">
        <f>IF($A2986="",0,$H2986*설정!$C$23)</f>
        <v/>
      </c>
      <c r="Q2986" s="39">
        <f>IF($A2986="","",IF(O2986&lt;&gt;원인분석!$C$9,"",IF(AND(M2986&gt;=원인분석!$C$10,M2986&lt;=원인분석!$C$11),"당기",IF(AND(M2986&gt;=원인분석!$C$12,M2986&lt;=원인분석!$C$13),"비교",""))))</f>
        <v/>
      </c>
      <c r="R2986" s="9">
        <f>IF(Q2986="","",$K2986&amp;"")</f>
        <v/>
      </c>
      <c r="S2986" s="9">
        <f>IF(Q2986="","",IF(MATCH(R2986,$R$5:$R$100000,0)=ROW()-4,ROW(),""))</f>
        <v/>
      </c>
      <c r="T2986" s="9">
        <f>IF(Q2986="당기",ABS(P2986)+ROW()/1000000000,"")</f>
        <v/>
      </c>
      <c r="U2986" s="9">
        <f>IF(Q2986="비교",ABS(P2986)+ROW()/1000000000,"")</f>
        <v/>
      </c>
      <c r="V2986" s="39">
        <f>IF($A2986="","",IF(COUNTIF(변동분석!$E$7:$E$506,O2986)&gt;0,"Y","N"))</f>
        <v/>
      </c>
      <c r="W2986" s="39">
        <f>IF($A2986="","",IFERROR(INDEX(계정매핑!$D$5:$D$504,MATCH($F2986&amp;"",계정매핑!$A$5:$A$504,0)),"미매핑"))</f>
        <v/>
      </c>
      <c r="X2986" s="9">
        <f>IF($A2986="","",$F2986&amp;"")</f>
        <v/>
      </c>
    </row>
    <row r="2987">
      <c r="A2987" s="75" t="n">
        <v>2026</v>
      </c>
      <c r="B2987" s="75" t="n">
        <v>4</v>
      </c>
      <c r="C2987" s="75" t="inlineStr">
        <is>
          <t>5100000643</t>
        </is>
      </c>
      <c r="D2987" s="78" t="n">
        <v>46122</v>
      </c>
      <c r="E2987" s="75" t="inlineStr">
        <is>
          <t>KR</t>
        </is>
      </c>
      <c r="F2987" s="75" t="n">
        <v>62101000</v>
      </c>
      <c r="G2987" s="75" t="n">
        <v>1101</v>
      </c>
      <c r="H2987" s="76" t="n">
        <v>527000</v>
      </c>
      <c r="I2987" s="75" t="inlineStr">
        <is>
          <t>4월 국내출장 - L여행사</t>
        </is>
      </c>
      <c r="J2987" s="75" t="inlineStr">
        <is>
          <t>V10014</t>
        </is>
      </c>
      <c r="K2987" s="75" t="inlineStr">
        <is>
          <t>L여행사</t>
        </is>
      </c>
      <c r="M2987" s="9">
        <f>IF($A2987="","",VALUE($A2987&amp;"")*12+VALUE($B2987&amp;""))</f>
        <v/>
      </c>
      <c r="N2987" s="39">
        <f>IF($A2987="","",IFERROR(INDEX(부서매핑!$C$5:$C$504,MATCH($G2987&amp;"",부서매핑!$A$5:$A$504,0)),"미매핑"))</f>
        <v/>
      </c>
      <c r="O2987" s="9">
        <f>IF($A2987="","",N2987&amp;"|"&amp;$F2987)</f>
        <v/>
      </c>
      <c r="P2987" s="77">
        <f>IF($A2987="",0,$H2987*설정!$C$23)</f>
        <v/>
      </c>
      <c r="Q2987" s="39">
        <f>IF($A2987="","",IF(O2987&lt;&gt;원인분석!$C$9,"",IF(AND(M2987&gt;=원인분석!$C$10,M2987&lt;=원인분석!$C$11),"당기",IF(AND(M2987&gt;=원인분석!$C$12,M2987&lt;=원인분석!$C$13),"비교",""))))</f>
        <v/>
      </c>
      <c r="R2987" s="9">
        <f>IF(Q2987="","",$K2987&amp;"")</f>
        <v/>
      </c>
      <c r="S2987" s="9">
        <f>IF(Q2987="","",IF(MATCH(R2987,$R$5:$R$100000,0)=ROW()-4,ROW(),""))</f>
        <v/>
      </c>
      <c r="T2987" s="9">
        <f>IF(Q2987="당기",ABS(P2987)+ROW()/1000000000,"")</f>
        <v/>
      </c>
      <c r="U2987" s="9">
        <f>IF(Q2987="비교",ABS(P2987)+ROW()/1000000000,"")</f>
        <v/>
      </c>
      <c r="V2987" s="39">
        <f>IF($A2987="","",IF(COUNTIF(변동분석!$E$7:$E$506,O2987)&gt;0,"Y","N"))</f>
        <v/>
      </c>
      <c r="W2987" s="39">
        <f>IF($A2987="","",IFERROR(INDEX(계정매핑!$D$5:$D$504,MATCH($F2987&amp;"",계정매핑!$A$5:$A$504,0)),"미매핑"))</f>
        <v/>
      </c>
      <c r="X2987" s="9">
        <f>IF($A2987="","",$F2987&amp;"")</f>
        <v/>
      </c>
    </row>
    <row r="2988">
      <c r="A2988" s="75" t="n">
        <v>2026</v>
      </c>
      <c r="B2988" s="75" t="n">
        <v>4</v>
      </c>
      <c r="C2988" s="75" t="inlineStr">
        <is>
          <t>5100000644</t>
        </is>
      </c>
      <c r="D2988" s="78" t="n">
        <v>46122</v>
      </c>
      <c r="E2988" s="75" t="inlineStr">
        <is>
          <t>KR</t>
        </is>
      </c>
      <c r="F2988" s="75" t="n">
        <v>62101000</v>
      </c>
      <c r="G2988" s="75" t="n">
        <v>1101</v>
      </c>
      <c r="H2988" s="76" t="n">
        <v>379000</v>
      </c>
      <c r="I2988" s="75" t="inlineStr">
        <is>
          <t>4월 국내출장 - (법인카드)</t>
        </is>
      </c>
      <c r="J2988" s="75" t="inlineStr">
        <is>
          <t>V10008</t>
        </is>
      </c>
      <c r="K2988" s="75" t="inlineStr">
        <is>
          <t>(법인카드)</t>
        </is>
      </c>
      <c r="M2988" s="9">
        <f>IF($A2988="","",VALUE($A2988&amp;"")*12+VALUE($B2988&amp;""))</f>
        <v/>
      </c>
      <c r="N2988" s="39">
        <f>IF($A2988="","",IFERROR(INDEX(부서매핑!$C$5:$C$504,MATCH($G2988&amp;"",부서매핑!$A$5:$A$504,0)),"미매핑"))</f>
        <v/>
      </c>
      <c r="O2988" s="9">
        <f>IF($A2988="","",N2988&amp;"|"&amp;$F2988)</f>
        <v/>
      </c>
      <c r="P2988" s="77">
        <f>IF($A2988="",0,$H2988*설정!$C$23)</f>
        <v/>
      </c>
      <c r="Q2988" s="39">
        <f>IF($A2988="","",IF(O2988&lt;&gt;원인분석!$C$9,"",IF(AND(M2988&gt;=원인분석!$C$10,M2988&lt;=원인분석!$C$11),"당기",IF(AND(M2988&gt;=원인분석!$C$12,M2988&lt;=원인분석!$C$13),"비교",""))))</f>
        <v/>
      </c>
      <c r="R2988" s="9">
        <f>IF(Q2988="","",$K2988&amp;"")</f>
        <v/>
      </c>
      <c r="S2988" s="9">
        <f>IF(Q2988="","",IF(MATCH(R2988,$R$5:$R$100000,0)=ROW()-4,ROW(),""))</f>
        <v/>
      </c>
      <c r="T2988" s="9">
        <f>IF(Q2988="당기",ABS(P2988)+ROW()/1000000000,"")</f>
        <v/>
      </c>
      <c r="U2988" s="9">
        <f>IF(Q2988="비교",ABS(P2988)+ROW()/1000000000,"")</f>
        <v/>
      </c>
      <c r="V2988" s="39">
        <f>IF($A2988="","",IF(COUNTIF(변동분석!$E$7:$E$506,O2988)&gt;0,"Y","N"))</f>
        <v/>
      </c>
      <c r="W2988" s="39">
        <f>IF($A2988="","",IFERROR(INDEX(계정매핑!$D$5:$D$504,MATCH($F2988&amp;"",계정매핑!$A$5:$A$504,0)),"미매핑"))</f>
        <v/>
      </c>
      <c r="X2988" s="9">
        <f>IF($A2988="","",$F2988&amp;"")</f>
        <v/>
      </c>
    </row>
    <row r="2989">
      <c r="A2989" s="75" t="n">
        <v>2026</v>
      </c>
      <c r="B2989" s="75" t="n">
        <v>4</v>
      </c>
      <c r="C2989" s="75" t="inlineStr">
        <is>
          <t>5100000645</t>
        </is>
      </c>
      <c r="D2989" s="78" t="n">
        <v>46122</v>
      </c>
      <c r="E2989" s="75" t="inlineStr">
        <is>
          <t>KR</t>
        </is>
      </c>
      <c r="F2989" s="75" t="n">
        <v>62201000</v>
      </c>
      <c r="G2989" s="75" t="n">
        <v>1601</v>
      </c>
      <c r="H2989" s="76" t="n">
        <v>972000</v>
      </c>
      <c r="I2989" s="75" t="inlineStr">
        <is>
          <t>4월 통신요금 - P통신</t>
        </is>
      </c>
      <c r="J2989" s="75" t="inlineStr">
        <is>
          <t>V10011</t>
        </is>
      </c>
      <c r="K2989" s="75" t="inlineStr">
        <is>
          <t>P통신</t>
        </is>
      </c>
      <c r="M2989" s="9">
        <f>IF($A2989="","",VALUE($A2989&amp;"")*12+VALUE($B2989&amp;""))</f>
        <v/>
      </c>
      <c r="N2989" s="39">
        <f>IF($A2989="","",IFERROR(INDEX(부서매핑!$C$5:$C$504,MATCH($G2989&amp;"",부서매핑!$A$5:$A$504,0)),"미매핑"))</f>
        <v/>
      </c>
      <c r="O2989" s="9">
        <f>IF($A2989="","",N2989&amp;"|"&amp;$F2989)</f>
        <v/>
      </c>
      <c r="P2989" s="77">
        <f>IF($A2989="",0,$H2989*설정!$C$23)</f>
        <v/>
      </c>
      <c r="Q2989" s="39">
        <f>IF($A2989="","",IF(O2989&lt;&gt;원인분석!$C$9,"",IF(AND(M2989&gt;=원인분석!$C$10,M2989&lt;=원인분석!$C$11),"당기",IF(AND(M2989&gt;=원인분석!$C$12,M2989&lt;=원인분석!$C$13),"비교",""))))</f>
        <v/>
      </c>
      <c r="R2989" s="9">
        <f>IF(Q2989="","",$K2989&amp;"")</f>
        <v/>
      </c>
      <c r="S2989" s="9">
        <f>IF(Q2989="","",IF(MATCH(R2989,$R$5:$R$100000,0)=ROW()-4,ROW(),""))</f>
        <v/>
      </c>
      <c r="T2989" s="9">
        <f>IF(Q2989="당기",ABS(P2989)+ROW()/1000000000,"")</f>
        <v/>
      </c>
      <c r="U2989" s="9">
        <f>IF(Q2989="비교",ABS(P2989)+ROW()/1000000000,"")</f>
        <v/>
      </c>
      <c r="V2989" s="39">
        <f>IF($A2989="","",IF(COUNTIF(변동분석!$E$7:$E$506,O2989)&gt;0,"Y","N"))</f>
        <v/>
      </c>
      <c r="W2989" s="39">
        <f>IF($A2989="","",IFERROR(INDEX(계정매핑!$D$5:$D$504,MATCH($F2989&amp;"",계정매핑!$A$5:$A$504,0)),"미매핑"))</f>
        <v/>
      </c>
      <c r="X2989" s="9">
        <f>IF($A2989="","",$F2989&amp;"")</f>
        <v/>
      </c>
    </row>
    <row r="2990">
      <c r="A2990" s="75" t="n">
        <v>2026</v>
      </c>
      <c r="B2990" s="75" t="n">
        <v>4</v>
      </c>
      <c r="C2990" s="75" t="inlineStr">
        <is>
          <t>5100000646</t>
        </is>
      </c>
      <c r="D2990" s="78" t="n">
        <v>46122</v>
      </c>
      <c r="E2990" s="75" t="inlineStr">
        <is>
          <t>KR</t>
        </is>
      </c>
      <c r="F2990" s="75" t="n">
        <v>62201000</v>
      </c>
      <c r="G2990" s="75" t="n">
        <v>1801</v>
      </c>
      <c r="H2990" s="76" t="n">
        <v>3952000</v>
      </c>
      <c r="I2990" s="75" t="inlineStr">
        <is>
          <t>4월 통신요금 - P통신</t>
        </is>
      </c>
      <c r="J2990" s="75" t="inlineStr">
        <is>
          <t>V10011</t>
        </is>
      </c>
      <c r="K2990" s="75" t="inlineStr">
        <is>
          <t>P통신</t>
        </is>
      </c>
      <c r="M2990" s="9">
        <f>IF($A2990="","",VALUE($A2990&amp;"")*12+VALUE($B2990&amp;""))</f>
        <v/>
      </c>
      <c r="N2990" s="39">
        <f>IF($A2990="","",IFERROR(INDEX(부서매핑!$C$5:$C$504,MATCH($G2990&amp;"",부서매핑!$A$5:$A$504,0)),"미매핑"))</f>
        <v/>
      </c>
      <c r="O2990" s="9">
        <f>IF($A2990="","",N2990&amp;"|"&amp;$F2990)</f>
        <v/>
      </c>
      <c r="P2990" s="77">
        <f>IF($A2990="",0,$H2990*설정!$C$23)</f>
        <v/>
      </c>
      <c r="Q2990" s="39">
        <f>IF($A2990="","",IF(O2990&lt;&gt;원인분석!$C$9,"",IF(AND(M2990&gt;=원인분석!$C$10,M2990&lt;=원인분석!$C$11),"당기",IF(AND(M2990&gt;=원인분석!$C$12,M2990&lt;=원인분석!$C$13),"비교",""))))</f>
        <v/>
      </c>
      <c r="R2990" s="9">
        <f>IF(Q2990="","",$K2990&amp;"")</f>
        <v/>
      </c>
      <c r="S2990" s="9">
        <f>IF(Q2990="","",IF(MATCH(R2990,$R$5:$R$100000,0)=ROW()-4,ROW(),""))</f>
        <v/>
      </c>
      <c r="T2990" s="9">
        <f>IF(Q2990="당기",ABS(P2990)+ROW()/1000000000,"")</f>
        <v/>
      </c>
      <c r="U2990" s="9">
        <f>IF(Q2990="비교",ABS(P2990)+ROW()/1000000000,"")</f>
        <v/>
      </c>
      <c r="V2990" s="39">
        <f>IF($A2990="","",IF(COUNTIF(변동분석!$E$7:$E$506,O2990)&gt;0,"Y","N"))</f>
        <v/>
      </c>
      <c r="W2990" s="39">
        <f>IF($A2990="","",IFERROR(INDEX(계정매핑!$D$5:$D$504,MATCH($F2990&amp;"",계정매핑!$A$5:$A$504,0)),"미매핑"))</f>
        <v/>
      </c>
      <c r="X2990" s="9">
        <f>IF($A2990="","",$F2990&amp;"")</f>
        <v/>
      </c>
    </row>
    <row r="2991">
      <c r="A2991" s="75" t="n">
        <v>2026</v>
      </c>
      <c r="B2991" s="75" t="n">
        <v>4</v>
      </c>
      <c r="C2991" s="75" t="inlineStr">
        <is>
          <t>5100000647</t>
        </is>
      </c>
      <c r="D2991" s="78" t="n">
        <v>46122</v>
      </c>
      <c r="E2991" s="75" t="inlineStr">
        <is>
          <t>KR</t>
        </is>
      </c>
      <c r="F2991" s="75" t="n">
        <v>62301000</v>
      </c>
      <c r="G2991" s="75" t="n">
        <v>1301</v>
      </c>
      <c r="H2991" s="76" t="n">
        <v>170000</v>
      </c>
      <c r="I2991" s="75" t="inlineStr">
        <is>
          <t>4월 소모품 구입 - R문구</t>
        </is>
      </c>
      <c r="J2991" s="75" t="inlineStr">
        <is>
          <t>V10018</t>
        </is>
      </c>
      <c r="K2991" s="75" t="inlineStr">
        <is>
          <t>R문구</t>
        </is>
      </c>
      <c r="M2991" s="9">
        <f>IF($A2991="","",VALUE($A2991&amp;"")*12+VALUE($B2991&amp;""))</f>
        <v/>
      </c>
      <c r="N2991" s="39">
        <f>IF($A2991="","",IFERROR(INDEX(부서매핑!$C$5:$C$504,MATCH($G2991&amp;"",부서매핑!$A$5:$A$504,0)),"미매핑"))</f>
        <v/>
      </c>
      <c r="O2991" s="9">
        <f>IF($A2991="","",N2991&amp;"|"&amp;$F2991)</f>
        <v/>
      </c>
      <c r="P2991" s="77">
        <f>IF($A2991="",0,$H2991*설정!$C$23)</f>
        <v/>
      </c>
      <c r="Q2991" s="39">
        <f>IF($A2991="","",IF(O2991&lt;&gt;원인분석!$C$9,"",IF(AND(M2991&gt;=원인분석!$C$10,M2991&lt;=원인분석!$C$11),"당기",IF(AND(M2991&gt;=원인분석!$C$12,M2991&lt;=원인분석!$C$13),"비교",""))))</f>
        <v/>
      </c>
      <c r="R2991" s="9">
        <f>IF(Q2991="","",$K2991&amp;"")</f>
        <v/>
      </c>
      <c r="S2991" s="9">
        <f>IF(Q2991="","",IF(MATCH(R2991,$R$5:$R$100000,0)=ROW()-4,ROW(),""))</f>
        <v/>
      </c>
      <c r="T2991" s="9">
        <f>IF(Q2991="당기",ABS(P2991)+ROW()/1000000000,"")</f>
        <v/>
      </c>
      <c r="U2991" s="9">
        <f>IF(Q2991="비교",ABS(P2991)+ROW()/1000000000,"")</f>
        <v/>
      </c>
      <c r="V2991" s="39">
        <f>IF($A2991="","",IF(COUNTIF(변동분석!$E$7:$E$506,O2991)&gt;0,"Y","N"))</f>
        <v/>
      </c>
      <c r="W2991" s="39">
        <f>IF($A2991="","",IFERROR(INDEX(계정매핑!$D$5:$D$504,MATCH($F2991&amp;"",계정매핑!$A$5:$A$504,0)),"미매핑"))</f>
        <v/>
      </c>
      <c r="X2991" s="9">
        <f>IF($A2991="","",$F2991&amp;"")</f>
        <v/>
      </c>
    </row>
    <row r="2992">
      <c r="A2992" s="75" t="n">
        <v>2026</v>
      </c>
      <c r="B2992" s="75" t="n">
        <v>4</v>
      </c>
      <c r="C2992" s="75" t="inlineStr">
        <is>
          <t>5100000648</t>
        </is>
      </c>
      <c r="D2992" s="78" t="n">
        <v>46122</v>
      </c>
      <c r="E2992" s="75" t="inlineStr">
        <is>
          <t>KR</t>
        </is>
      </c>
      <c r="F2992" s="75" t="n">
        <v>62301000</v>
      </c>
      <c r="G2992" s="75" t="n">
        <v>1502</v>
      </c>
      <c r="H2992" s="76" t="n">
        <v>277000</v>
      </c>
      <c r="I2992" s="75" t="inlineStr">
        <is>
          <t>4월 소모품 구입 - Q오피스</t>
        </is>
      </c>
      <c r="J2992" s="75" t="inlineStr">
        <is>
          <t>V10003</t>
        </is>
      </c>
      <c r="K2992" s="75" t="inlineStr">
        <is>
          <t>Q오피스</t>
        </is>
      </c>
      <c r="M2992" s="9">
        <f>IF($A2992="","",VALUE($A2992&amp;"")*12+VALUE($B2992&amp;""))</f>
        <v/>
      </c>
      <c r="N2992" s="39">
        <f>IF($A2992="","",IFERROR(INDEX(부서매핑!$C$5:$C$504,MATCH($G2992&amp;"",부서매핑!$A$5:$A$504,0)),"미매핑"))</f>
        <v/>
      </c>
      <c r="O2992" s="9">
        <f>IF($A2992="","",N2992&amp;"|"&amp;$F2992)</f>
        <v/>
      </c>
      <c r="P2992" s="77">
        <f>IF($A2992="",0,$H2992*설정!$C$23)</f>
        <v/>
      </c>
      <c r="Q2992" s="39">
        <f>IF($A2992="","",IF(O2992&lt;&gt;원인분석!$C$9,"",IF(AND(M2992&gt;=원인분석!$C$10,M2992&lt;=원인분석!$C$11),"당기",IF(AND(M2992&gt;=원인분석!$C$12,M2992&lt;=원인분석!$C$13),"비교",""))))</f>
        <v/>
      </c>
      <c r="R2992" s="9">
        <f>IF(Q2992="","",$K2992&amp;"")</f>
        <v/>
      </c>
      <c r="S2992" s="9">
        <f>IF(Q2992="","",IF(MATCH(R2992,$R$5:$R$100000,0)=ROW()-4,ROW(),""))</f>
        <v/>
      </c>
      <c r="T2992" s="9">
        <f>IF(Q2992="당기",ABS(P2992)+ROW()/1000000000,"")</f>
        <v/>
      </c>
      <c r="U2992" s="9">
        <f>IF(Q2992="비교",ABS(P2992)+ROW()/1000000000,"")</f>
        <v/>
      </c>
      <c r="V2992" s="39">
        <f>IF($A2992="","",IF(COUNTIF(변동분석!$E$7:$E$506,O2992)&gt;0,"Y","N"))</f>
        <v/>
      </c>
      <c r="W2992" s="39">
        <f>IF($A2992="","",IFERROR(INDEX(계정매핑!$D$5:$D$504,MATCH($F2992&amp;"",계정매핑!$A$5:$A$504,0)),"미매핑"))</f>
        <v/>
      </c>
      <c r="X2992" s="9">
        <f>IF($A2992="","",$F2992&amp;"")</f>
        <v/>
      </c>
    </row>
    <row r="2993">
      <c r="A2993" s="75" t="n">
        <v>2026</v>
      </c>
      <c r="B2993" s="75" t="n">
        <v>4</v>
      </c>
      <c r="C2993" s="75" t="inlineStr">
        <is>
          <t>5100000649</t>
        </is>
      </c>
      <c r="D2993" s="78" t="n">
        <v>46122</v>
      </c>
      <c r="E2993" s="75" t="inlineStr">
        <is>
          <t>KR</t>
        </is>
      </c>
      <c r="F2993" s="75" t="n">
        <v>62901000</v>
      </c>
      <c r="G2993" s="75" t="n">
        <v>1101</v>
      </c>
      <c r="H2993" s="76" t="n">
        <v>4573000</v>
      </c>
      <c r="I2993" s="75" t="inlineStr">
        <is>
          <t>4월 자문 수수료 - K회계법인</t>
        </is>
      </c>
      <c r="J2993" s="75" t="inlineStr">
        <is>
          <t>V10010</t>
        </is>
      </c>
      <c r="K2993" s="75" t="inlineStr">
        <is>
          <t>K회계법인</t>
        </is>
      </c>
      <c r="M2993" s="9">
        <f>IF($A2993="","",VALUE($A2993&amp;"")*12+VALUE($B2993&amp;""))</f>
        <v/>
      </c>
      <c r="N2993" s="39">
        <f>IF($A2993="","",IFERROR(INDEX(부서매핑!$C$5:$C$504,MATCH($G2993&amp;"",부서매핑!$A$5:$A$504,0)),"미매핑"))</f>
        <v/>
      </c>
      <c r="O2993" s="9">
        <f>IF($A2993="","",N2993&amp;"|"&amp;$F2993)</f>
        <v/>
      </c>
      <c r="P2993" s="77">
        <f>IF($A2993="",0,$H2993*설정!$C$23)</f>
        <v/>
      </c>
      <c r="Q2993" s="39">
        <f>IF($A2993="","",IF(O2993&lt;&gt;원인분석!$C$9,"",IF(AND(M2993&gt;=원인분석!$C$10,M2993&lt;=원인분석!$C$11),"당기",IF(AND(M2993&gt;=원인분석!$C$12,M2993&lt;=원인분석!$C$13),"비교",""))))</f>
        <v/>
      </c>
      <c r="R2993" s="9">
        <f>IF(Q2993="","",$K2993&amp;"")</f>
        <v/>
      </c>
      <c r="S2993" s="9">
        <f>IF(Q2993="","",IF(MATCH(R2993,$R$5:$R$100000,0)=ROW()-4,ROW(),""))</f>
        <v/>
      </c>
      <c r="T2993" s="9">
        <f>IF(Q2993="당기",ABS(P2993)+ROW()/1000000000,"")</f>
        <v/>
      </c>
      <c r="U2993" s="9">
        <f>IF(Q2993="비교",ABS(P2993)+ROW()/1000000000,"")</f>
        <v/>
      </c>
      <c r="V2993" s="39">
        <f>IF($A2993="","",IF(COUNTIF(변동분석!$E$7:$E$506,O2993)&gt;0,"Y","N"))</f>
        <v/>
      </c>
      <c r="W2993" s="39">
        <f>IF($A2993="","",IFERROR(INDEX(계정매핑!$D$5:$D$504,MATCH($F2993&amp;"",계정매핑!$A$5:$A$504,0)),"미매핑"))</f>
        <v/>
      </c>
      <c r="X2993" s="9">
        <f>IF($A2993="","",$F2993&amp;"")</f>
        <v/>
      </c>
    </row>
    <row r="2994">
      <c r="A2994" s="75" t="n">
        <v>2026</v>
      </c>
      <c r="B2994" s="75" t="n">
        <v>4</v>
      </c>
      <c r="C2994" s="75" t="inlineStr">
        <is>
          <t>5100000650</t>
        </is>
      </c>
      <c r="D2994" s="78" t="n">
        <v>46122</v>
      </c>
      <c r="E2994" s="75" t="inlineStr">
        <is>
          <t>KR</t>
        </is>
      </c>
      <c r="F2994" s="75" t="n">
        <v>62901000</v>
      </c>
      <c r="G2994" s="75" t="n">
        <v>1101</v>
      </c>
      <c r="H2994" s="76" t="n">
        <v>2855000</v>
      </c>
      <c r="I2994" s="75" t="inlineStr">
        <is>
          <t>4월 자문 수수료 - W컨설팅</t>
        </is>
      </c>
      <c r="J2994" s="75" t="inlineStr">
        <is>
          <t>V10009</t>
        </is>
      </c>
      <c r="K2994" s="75" t="inlineStr">
        <is>
          <t>W컨설팅</t>
        </is>
      </c>
      <c r="M2994" s="9">
        <f>IF($A2994="","",VALUE($A2994&amp;"")*12+VALUE($B2994&amp;""))</f>
        <v/>
      </c>
      <c r="N2994" s="39">
        <f>IF($A2994="","",IFERROR(INDEX(부서매핑!$C$5:$C$504,MATCH($G2994&amp;"",부서매핑!$A$5:$A$504,0)),"미매핑"))</f>
        <v/>
      </c>
      <c r="O2994" s="9">
        <f>IF($A2994="","",N2994&amp;"|"&amp;$F2994)</f>
        <v/>
      </c>
      <c r="P2994" s="77">
        <f>IF($A2994="",0,$H2994*설정!$C$23)</f>
        <v/>
      </c>
      <c r="Q2994" s="39">
        <f>IF($A2994="","",IF(O2994&lt;&gt;원인분석!$C$9,"",IF(AND(M2994&gt;=원인분석!$C$10,M2994&lt;=원인분석!$C$11),"당기",IF(AND(M2994&gt;=원인분석!$C$12,M2994&lt;=원인분석!$C$13),"비교",""))))</f>
        <v/>
      </c>
      <c r="R2994" s="9">
        <f>IF(Q2994="","",$K2994&amp;"")</f>
        <v/>
      </c>
      <c r="S2994" s="9">
        <f>IF(Q2994="","",IF(MATCH(R2994,$R$5:$R$100000,0)=ROW()-4,ROW(),""))</f>
        <v/>
      </c>
      <c r="T2994" s="9">
        <f>IF(Q2994="당기",ABS(P2994)+ROW()/1000000000,"")</f>
        <v/>
      </c>
      <c r="U2994" s="9">
        <f>IF(Q2994="비교",ABS(P2994)+ROW()/1000000000,"")</f>
        <v/>
      </c>
      <c r="V2994" s="39">
        <f>IF($A2994="","",IF(COUNTIF(변동분석!$E$7:$E$506,O2994)&gt;0,"Y","N"))</f>
        <v/>
      </c>
      <c r="W2994" s="39">
        <f>IF($A2994="","",IFERROR(INDEX(계정매핑!$D$5:$D$504,MATCH($F2994&amp;"",계정매핑!$A$5:$A$504,0)),"미매핑"))</f>
        <v/>
      </c>
      <c r="X2994" s="9">
        <f>IF($A2994="","",$F2994&amp;"")</f>
        <v/>
      </c>
    </row>
    <row r="2995">
      <c r="A2995" s="75" t="n">
        <v>2026</v>
      </c>
      <c r="B2995" s="75" t="n">
        <v>4</v>
      </c>
      <c r="C2995" s="75" t="inlineStr">
        <is>
          <t>5100000651</t>
        </is>
      </c>
      <c r="D2995" s="78" t="n">
        <v>46122</v>
      </c>
      <c r="E2995" s="75" t="inlineStr">
        <is>
          <t>KR</t>
        </is>
      </c>
      <c r="F2995" s="75" t="n">
        <v>62902000</v>
      </c>
      <c r="G2995" s="75" t="n">
        <v>1801</v>
      </c>
      <c r="H2995" s="76" t="n">
        <v>1754000</v>
      </c>
      <c r="I2995" s="75" t="inlineStr">
        <is>
          <t>4월 콜 위탁 수수료(건별)</t>
        </is>
      </c>
      <c r="J2995" s="75" t="inlineStr">
        <is>
          <t>V10013</t>
        </is>
      </c>
      <c r="K2995" s="75" t="inlineStr">
        <is>
          <t>J콜센터</t>
        </is>
      </c>
      <c r="M2995" s="9">
        <f>IF($A2995="","",VALUE($A2995&amp;"")*12+VALUE($B2995&amp;""))</f>
        <v/>
      </c>
      <c r="N2995" s="39">
        <f>IF($A2995="","",IFERROR(INDEX(부서매핑!$C$5:$C$504,MATCH($G2995&amp;"",부서매핑!$A$5:$A$504,0)),"미매핑"))</f>
        <v/>
      </c>
      <c r="O2995" s="9">
        <f>IF($A2995="","",N2995&amp;"|"&amp;$F2995)</f>
        <v/>
      </c>
      <c r="P2995" s="77">
        <f>IF($A2995="",0,$H2995*설정!$C$23)</f>
        <v/>
      </c>
      <c r="Q2995" s="39">
        <f>IF($A2995="","",IF(O2995&lt;&gt;원인분석!$C$9,"",IF(AND(M2995&gt;=원인분석!$C$10,M2995&lt;=원인분석!$C$11),"당기",IF(AND(M2995&gt;=원인분석!$C$12,M2995&lt;=원인분석!$C$13),"비교",""))))</f>
        <v/>
      </c>
      <c r="R2995" s="9">
        <f>IF(Q2995="","",$K2995&amp;"")</f>
        <v/>
      </c>
      <c r="S2995" s="9">
        <f>IF(Q2995="","",IF(MATCH(R2995,$R$5:$R$100000,0)=ROW()-4,ROW(),""))</f>
        <v/>
      </c>
      <c r="T2995" s="9">
        <f>IF(Q2995="당기",ABS(P2995)+ROW()/1000000000,"")</f>
        <v/>
      </c>
      <c r="U2995" s="9">
        <f>IF(Q2995="비교",ABS(P2995)+ROW()/1000000000,"")</f>
        <v/>
      </c>
      <c r="V2995" s="39">
        <f>IF($A2995="","",IF(COUNTIF(변동분석!$E$7:$E$506,O2995)&gt;0,"Y","N"))</f>
        <v/>
      </c>
      <c r="W2995" s="39">
        <f>IF($A2995="","",IFERROR(INDEX(계정매핑!$D$5:$D$504,MATCH($F2995&amp;"",계정매핑!$A$5:$A$504,0)),"미매핑"))</f>
        <v/>
      </c>
      <c r="X2995" s="9">
        <f>IF($A2995="","",$F2995&amp;"")</f>
        <v/>
      </c>
    </row>
    <row r="2996">
      <c r="A2996" s="75" t="n">
        <v>2026</v>
      </c>
      <c r="B2996" s="75" t="n">
        <v>4</v>
      </c>
      <c r="C2996" s="75" t="inlineStr">
        <is>
          <t>5100000652</t>
        </is>
      </c>
      <c r="D2996" s="78" t="n">
        <v>46122</v>
      </c>
      <c r="E2996" s="75" t="inlineStr">
        <is>
          <t>KR</t>
        </is>
      </c>
      <c r="F2996" s="75" t="n">
        <v>62902000</v>
      </c>
      <c r="G2996" s="75" t="n">
        <v>1801</v>
      </c>
      <c r="H2996" s="76" t="n">
        <v>1816000</v>
      </c>
      <c r="I2996" s="75" t="inlineStr">
        <is>
          <t>4월 콜 위탁 수수료(건별)</t>
        </is>
      </c>
      <c r="J2996" s="75" t="inlineStr">
        <is>
          <t>V10013</t>
        </is>
      </c>
      <c r="K2996" s="75" t="inlineStr">
        <is>
          <t>J콜센터</t>
        </is>
      </c>
      <c r="M2996" s="9">
        <f>IF($A2996="","",VALUE($A2996&amp;"")*12+VALUE($B2996&amp;""))</f>
        <v/>
      </c>
      <c r="N2996" s="39">
        <f>IF($A2996="","",IFERROR(INDEX(부서매핑!$C$5:$C$504,MATCH($G2996&amp;"",부서매핑!$A$5:$A$504,0)),"미매핑"))</f>
        <v/>
      </c>
      <c r="O2996" s="9">
        <f>IF($A2996="","",N2996&amp;"|"&amp;$F2996)</f>
        <v/>
      </c>
      <c r="P2996" s="77">
        <f>IF($A2996="",0,$H2996*설정!$C$23)</f>
        <v/>
      </c>
      <c r="Q2996" s="39">
        <f>IF($A2996="","",IF(O2996&lt;&gt;원인분석!$C$9,"",IF(AND(M2996&gt;=원인분석!$C$10,M2996&lt;=원인분석!$C$11),"당기",IF(AND(M2996&gt;=원인분석!$C$12,M2996&lt;=원인분석!$C$13),"비교",""))))</f>
        <v/>
      </c>
      <c r="R2996" s="9">
        <f>IF(Q2996="","",$K2996&amp;"")</f>
        <v/>
      </c>
      <c r="S2996" s="9">
        <f>IF(Q2996="","",IF(MATCH(R2996,$R$5:$R$100000,0)=ROW()-4,ROW(),""))</f>
        <v/>
      </c>
      <c r="T2996" s="9">
        <f>IF(Q2996="당기",ABS(P2996)+ROW()/1000000000,"")</f>
        <v/>
      </c>
      <c r="U2996" s="9">
        <f>IF(Q2996="비교",ABS(P2996)+ROW()/1000000000,"")</f>
        <v/>
      </c>
      <c r="V2996" s="39">
        <f>IF($A2996="","",IF(COUNTIF(변동분석!$E$7:$E$506,O2996)&gt;0,"Y","N"))</f>
        <v/>
      </c>
      <c r="W2996" s="39">
        <f>IF($A2996="","",IFERROR(INDEX(계정매핑!$D$5:$D$504,MATCH($F2996&amp;"",계정매핑!$A$5:$A$504,0)),"미매핑"))</f>
        <v/>
      </c>
      <c r="X2996" s="9">
        <f>IF($A2996="","",$F2996&amp;"")</f>
        <v/>
      </c>
    </row>
    <row r="2997">
      <c r="A2997" s="75" t="n">
        <v>2026</v>
      </c>
      <c r="B2997" s="75" t="n">
        <v>4</v>
      </c>
      <c r="C2997" s="75" t="inlineStr">
        <is>
          <t>5100000653</t>
        </is>
      </c>
      <c r="D2997" s="78" t="n">
        <v>46123</v>
      </c>
      <c r="E2997" s="75" t="inlineStr">
        <is>
          <t>KR</t>
        </is>
      </c>
      <c r="F2997" s="75" t="n">
        <v>62101000</v>
      </c>
      <c r="G2997" s="75" t="n">
        <v>1602</v>
      </c>
      <c r="H2997" s="76" t="n">
        <v>925000</v>
      </c>
      <c r="I2997" s="75" t="inlineStr">
        <is>
          <t>4월 국내출장 - L여행사</t>
        </is>
      </c>
      <c r="J2997" s="75" t="inlineStr">
        <is>
          <t>V10014</t>
        </is>
      </c>
      <c r="K2997" s="75" t="inlineStr">
        <is>
          <t>L여행사</t>
        </is>
      </c>
      <c r="M2997" s="9">
        <f>IF($A2997="","",VALUE($A2997&amp;"")*12+VALUE($B2997&amp;""))</f>
        <v/>
      </c>
      <c r="N2997" s="39">
        <f>IF($A2997="","",IFERROR(INDEX(부서매핑!$C$5:$C$504,MATCH($G2997&amp;"",부서매핑!$A$5:$A$504,0)),"미매핑"))</f>
        <v/>
      </c>
      <c r="O2997" s="9">
        <f>IF($A2997="","",N2997&amp;"|"&amp;$F2997)</f>
        <v/>
      </c>
      <c r="P2997" s="77">
        <f>IF($A2997="",0,$H2997*설정!$C$23)</f>
        <v/>
      </c>
      <c r="Q2997" s="39">
        <f>IF($A2997="","",IF(O2997&lt;&gt;원인분석!$C$9,"",IF(AND(M2997&gt;=원인분석!$C$10,M2997&lt;=원인분석!$C$11),"당기",IF(AND(M2997&gt;=원인분석!$C$12,M2997&lt;=원인분석!$C$13),"비교",""))))</f>
        <v/>
      </c>
      <c r="R2997" s="9">
        <f>IF(Q2997="","",$K2997&amp;"")</f>
        <v/>
      </c>
      <c r="S2997" s="9">
        <f>IF(Q2997="","",IF(MATCH(R2997,$R$5:$R$100000,0)=ROW()-4,ROW(),""))</f>
        <v/>
      </c>
      <c r="T2997" s="9">
        <f>IF(Q2997="당기",ABS(P2997)+ROW()/1000000000,"")</f>
        <v/>
      </c>
      <c r="U2997" s="9">
        <f>IF(Q2997="비교",ABS(P2997)+ROW()/1000000000,"")</f>
        <v/>
      </c>
      <c r="V2997" s="39">
        <f>IF($A2997="","",IF(COUNTIF(변동분석!$E$7:$E$506,O2997)&gt;0,"Y","N"))</f>
        <v/>
      </c>
      <c r="W2997" s="39">
        <f>IF($A2997="","",IFERROR(INDEX(계정매핑!$D$5:$D$504,MATCH($F2997&amp;"",계정매핑!$A$5:$A$504,0)),"미매핑"))</f>
        <v/>
      </c>
      <c r="X2997" s="9">
        <f>IF($A2997="","",$F2997&amp;"")</f>
        <v/>
      </c>
    </row>
    <row r="2998">
      <c r="A2998" s="75" t="n">
        <v>2026</v>
      </c>
      <c r="B2998" s="75" t="n">
        <v>4</v>
      </c>
      <c r="C2998" s="75" t="inlineStr">
        <is>
          <t>5100000654</t>
        </is>
      </c>
      <c r="D2998" s="78" t="n">
        <v>46123</v>
      </c>
      <c r="E2998" s="75" t="inlineStr">
        <is>
          <t>KR</t>
        </is>
      </c>
      <c r="F2998" s="75" t="n">
        <v>62201000</v>
      </c>
      <c r="G2998" s="75" t="n">
        <v>1101</v>
      </c>
      <c r="H2998" s="76" t="n">
        <v>290000</v>
      </c>
      <c r="I2998" s="75" t="inlineStr">
        <is>
          <t>4월 통신요금 - O텔레콤</t>
        </is>
      </c>
      <c r="J2998" s="75" t="inlineStr">
        <is>
          <t>V10002</t>
        </is>
      </c>
      <c r="K2998" s="75" t="inlineStr">
        <is>
          <t>O텔레콤</t>
        </is>
      </c>
      <c r="M2998" s="9">
        <f>IF($A2998="","",VALUE($A2998&amp;"")*12+VALUE($B2998&amp;""))</f>
        <v/>
      </c>
      <c r="N2998" s="39">
        <f>IF($A2998="","",IFERROR(INDEX(부서매핑!$C$5:$C$504,MATCH($G2998&amp;"",부서매핑!$A$5:$A$504,0)),"미매핑"))</f>
        <v/>
      </c>
      <c r="O2998" s="9">
        <f>IF($A2998="","",N2998&amp;"|"&amp;$F2998)</f>
        <v/>
      </c>
      <c r="P2998" s="77">
        <f>IF($A2998="",0,$H2998*설정!$C$23)</f>
        <v/>
      </c>
      <c r="Q2998" s="39">
        <f>IF($A2998="","",IF(O2998&lt;&gt;원인분석!$C$9,"",IF(AND(M2998&gt;=원인분석!$C$10,M2998&lt;=원인분석!$C$11),"당기",IF(AND(M2998&gt;=원인분석!$C$12,M2998&lt;=원인분석!$C$13),"비교",""))))</f>
        <v/>
      </c>
      <c r="R2998" s="9">
        <f>IF(Q2998="","",$K2998&amp;"")</f>
        <v/>
      </c>
      <c r="S2998" s="9">
        <f>IF(Q2998="","",IF(MATCH(R2998,$R$5:$R$100000,0)=ROW()-4,ROW(),""))</f>
        <v/>
      </c>
      <c r="T2998" s="9">
        <f>IF(Q2998="당기",ABS(P2998)+ROW()/1000000000,"")</f>
        <v/>
      </c>
      <c r="U2998" s="9">
        <f>IF(Q2998="비교",ABS(P2998)+ROW()/1000000000,"")</f>
        <v/>
      </c>
      <c r="V2998" s="39">
        <f>IF($A2998="","",IF(COUNTIF(변동분석!$E$7:$E$506,O2998)&gt;0,"Y","N"))</f>
        <v/>
      </c>
      <c r="W2998" s="39">
        <f>IF($A2998="","",IFERROR(INDEX(계정매핑!$D$5:$D$504,MATCH($F2998&amp;"",계정매핑!$A$5:$A$504,0)),"미매핑"))</f>
        <v/>
      </c>
      <c r="X2998" s="9">
        <f>IF($A2998="","",$F2998&amp;"")</f>
        <v/>
      </c>
    </row>
    <row r="2999">
      <c r="A2999" s="75" t="n">
        <v>2026</v>
      </c>
      <c r="B2999" s="75" t="n">
        <v>4</v>
      </c>
      <c r="C2999" s="75" t="inlineStr">
        <is>
          <t>5100000655</t>
        </is>
      </c>
      <c r="D2999" s="78" t="n">
        <v>46123</v>
      </c>
      <c r="E2999" s="75" t="inlineStr">
        <is>
          <t>KR</t>
        </is>
      </c>
      <c r="F2999" s="75" t="n">
        <v>62301000</v>
      </c>
      <c r="G2999" s="75" t="n">
        <v>1101</v>
      </c>
      <c r="H2999" s="76" t="n">
        <v>124000</v>
      </c>
      <c r="I2999" s="75" t="inlineStr">
        <is>
          <t>4월 소모품 구입 - Q오피스</t>
        </is>
      </c>
      <c r="J2999" s="75" t="inlineStr">
        <is>
          <t>V10003</t>
        </is>
      </c>
      <c r="K2999" s="75" t="inlineStr">
        <is>
          <t>Q오피스</t>
        </is>
      </c>
      <c r="M2999" s="9">
        <f>IF($A2999="","",VALUE($A2999&amp;"")*12+VALUE($B2999&amp;""))</f>
        <v/>
      </c>
      <c r="N2999" s="39">
        <f>IF($A2999="","",IFERROR(INDEX(부서매핑!$C$5:$C$504,MATCH($G2999&amp;"",부서매핑!$A$5:$A$504,0)),"미매핑"))</f>
        <v/>
      </c>
      <c r="O2999" s="9">
        <f>IF($A2999="","",N2999&amp;"|"&amp;$F2999)</f>
        <v/>
      </c>
      <c r="P2999" s="77">
        <f>IF($A2999="",0,$H2999*설정!$C$23)</f>
        <v/>
      </c>
      <c r="Q2999" s="39">
        <f>IF($A2999="","",IF(O2999&lt;&gt;원인분석!$C$9,"",IF(AND(M2999&gt;=원인분석!$C$10,M2999&lt;=원인분석!$C$11),"당기",IF(AND(M2999&gt;=원인분석!$C$12,M2999&lt;=원인분석!$C$13),"비교",""))))</f>
        <v/>
      </c>
      <c r="R2999" s="9">
        <f>IF(Q2999="","",$K2999&amp;"")</f>
        <v/>
      </c>
      <c r="S2999" s="9">
        <f>IF(Q2999="","",IF(MATCH(R2999,$R$5:$R$100000,0)=ROW()-4,ROW(),""))</f>
        <v/>
      </c>
      <c r="T2999" s="9">
        <f>IF(Q2999="당기",ABS(P2999)+ROW()/1000000000,"")</f>
        <v/>
      </c>
      <c r="U2999" s="9">
        <f>IF(Q2999="비교",ABS(P2999)+ROW()/1000000000,"")</f>
        <v/>
      </c>
      <c r="V2999" s="39">
        <f>IF($A2999="","",IF(COUNTIF(변동분석!$E$7:$E$506,O2999)&gt;0,"Y","N"))</f>
        <v/>
      </c>
      <c r="W2999" s="39">
        <f>IF($A2999="","",IFERROR(INDEX(계정매핑!$D$5:$D$504,MATCH($F2999&amp;"",계정매핑!$A$5:$A$504,0)),"미매핑"))</f>
        <v/>
      </c>
      <c r="X2999" s="9">
        <f>IF($A2999="","",$F2999&amp;"")</f>
        <v/>
      </c>
    </row>
    <row r="3000">
      <c r="A3000" s="75" t="n">
        <v>2026</v>
      </c>
      <c r="B3000" s="75" t="n">
        <v>4</v>
      </c>
      <c r="C3000" s="75" t="inlineStr">
        <is>
          <t>5100000656</t>
        </is>
      </c>
      <c r="D3000" s="78" t="n">
        <v>46123</v>
      </c>
      <c r="E3000" s="75" t="inlineStr">
        <is>
          <t>KR</t>
        </is>
      </c>
      <c r="F3000" s="75" t="n">
        <v>62501000</v>
      </c>
      <c r="G3000" s="75" t="n">
        <v>1301</v>
      </c>
      <c r="H3000" s="76" t="n">
        <v>251000</v>
      </c>
      <c r="I3000" s="75" t="inlineStr">
        <is>
          <t>4월 회의 다과 - (법인카드)</t>
        </is>
      </c>
      <c r="J3000" s="75" t="inlineStr">
        <is>
          <t>V10008</t>
        </is>
      </c>
      <c r="K3000" s="75" t="inlineStr">
        <is>
          <t>(법인카드)</t>
        </is>
      </c>
      <c r="M3000" s="9">
        <f>IF($A3000="","",VALUE($A3000&amp;"")*12+VALUE($B3000&amp;""))</f>
        <v/>
      </c>
      <c r="N3000" s="39">
        <f>IF($A3000="","",IFERROR(INDEX(부서매핑!$C$5:$C$504,MATCH($G3000&amp;"",부서매핑!$A$5:$A$504,0)),"미매핑"))</f>
        <v/>
      </c>
      <c r="O3000" s="9">
        <f>IF($A3000="","",N3000&amp;"|"&amp;$F3000)</f>
        <v/>
      </c>
      <c r="P3000" s="77">
        <f>IF($A3000="",0,$H3000*설정!$C$23)</f>
        <v/>
      </c>
      <c r="Q3000" s="39">
        <f>IF($A3000="","",IF(O3000&lt;&gt;원인분석!$C$9,"",IF(AND(M3000&gt;=원인분석!$C$10,M3000&lt;=원인분석!$C$11),"당기",IF(AND(M3000&gt;=원인분석!$C$12,M3000&lt;=원인분석!$C$13),"비교",""))))</f>
        <v/>
      </c>
      <c r="R3000" s="9">
        <f>IF(Q3000="","",$K3000&amp;"")</f>
        <v/>
      </c>
      <c r="S3000" s="9">
        <f>IF(Q3000="","",IF(MATCH(R3000,$R$5:$R$100000,0)=ROW()-4,ROW(),""))</f>
        <v/>
      </c>
      <c r="T3000" s="9">
        <f>IF(Q3000="당기",ABS(P3000)+ROW()/1000000000,"")</f>
        <v/>
      </c>
      <c r="U3000" s="9">
        <f>IF(Q3000="비교",ABS(P3000)+ROW()/1000000000,"")</f>
        <v/>
      </c>
      <c r="V3000" s="39">
        <f>IF($A3000="","",IF(COUNTIF(변동분석!$E$7:$E$506,O3000)&gt;0,"Y","N"))</f>
        <v/>
      </c>
      <c r="W3000" s="39">
        <f>IF($A3000="","",IFERROR(INDEX(계정매핑!$D$5:$D$504,MATCH($F3000&amp;"",계정매핑!$A$5:$A$504,0)),"미매핑"))</f>
        <v/>
      </c>
      <c r="X3000" s="9">
        <f>IF($A3000="","",$F3000&amp;"")</f>
        <v/>
      </c>
    </row>
    <row r="3001">
      <c r="A3001" s="75" t="n">
        <v>2026</v>
      </c>
      <c r="B3001" s="75" t="n">
        <v>4</v>
      </c>
      <c r="C3001" s="75" t="inlineStr">
        <is>
          <t>5100000657</t>
        </is>
      </c>
      <c r="D3001" s="78" t="n">
        <v>46123</v>
      </c>
      <c r="E3001" s="75" t="inlineStr">
        <is>
          <t>KR</t>
        </is>
      </c>
      <c r="F3001" s="75" t="n">
        <v>62501000</v>
      </c>
      <c r="G3001" s="75" t="n">
        <v>1601</v>
      </c>
      <c r="H3001" s="76" t="n">
        <v>548000</v>
      </c>
      <c r="I3001" s="75" t="inlineStr">
        <is>
          <t>4월 회의 다과 - (법인카드)</t>
        </is>
      </c>
      <c r="J3001" s="75" t="inlineStr">
        <is>
          <t>V10008</t>
        </is>
      </c>
      <c r="K3001" s="75" t="inlineStr">
        <is>
          <t>(법인카드)</t>
        </is>
      </c>
      <c r="M3001" s="9">
        <f>IF($A3001="","",VALUE($A3001&amp;"")*12+VALUE($B3001&amp;""))</f>
        <v/>
      </c>
      <c r="N3001" s="39">
        <f>IF($A3001="","",IFERROR(INDEX(부서매핑!$C$5:$C$504,MATCH($G3001&amp;"",부서매핑!$A$5:$A$504,0)),"미매핑"))</f>
        <v/>
      </c>
      <c r="O3001" s="9">
        <f>IF($A3001="","",N3001&amp;"|"&amp;$F3001)</f>
        <v/>
      </c>
      <c r="P3001" s="77">
        <f>IF($A3001="",0,$H3001*설정!$C$23)</f>
        <v/>
      </c>
      <c r="Q3001" s="39">
        <f>IF($A3001="","",IF(O3001&lt;&gt;원인분석!$C$9,"",IF(AND(M3001&gt;=원인분석!$C$10,M3001&lt;=원인분석!$C$11),"당기",IF(AND(M3001&gt;=원인분석!$C$12,M3001&lt;=원인분석!$C$13),"비교",""))))</f>
        <v/>
      </c>
      <c r="R3001" s="9">
        <f>IF(Q3001="","",$K3001&amp;"")</f>
        <v/>
      </c>
      <c r="S3001" s="9">
        <f>IF(Q3001="","",IF(MATCH(R3001,$R$5:$R$100000,0)=ROW()-4,ROW(),""))</f>
        <v/>
      </c>
      <c r="T3001" s="9">
        <f>IF(Q3001="당기",ABS(P3001)+ROW()/1000000000,"")</f>
        <v/>
      </c>
      <c r="U3001" s="9">
        <f>IF(Q3001="비교",ABS(P3001)+ROW()/1000000000,"")</f>
        <v/>
      </c>
      <c r="V3001" s="39">
        <f>IF($A3001="","",IF(COUNTIF(변동분석!$E$7:$E$506,O3001)&gt;0,"Y","N"))</f>
        <v/>
      </c>
      <c r="W3001" s="39">
        <f>IF($A3001="","",IFERROR(INDEX(계정매핑!$D$5:$D$504,MATCH($F3001&amp;"",계정매핑!$A$5:$A$504,0)),"미매핑"))</f>
        <v/>
      </c>
      <c r="X3001" s="9">
        <f>IF($A3001="","",$F3001&amp;"")</f>
        <v/>
      </c>
    </row>
    <row r="3002">
      <c r="A3002" s="75" t="n">
        <v>2026</v>
      </c>
      <c r="B3002" s="75" t="n">
        <v>4</v>
      </c>
      <c r="C3002" s="75" t="inlineStr">
        <is>
          <t>5100000658</t>
        </is>
      </c>
      <c r="D3002" s="78" t="n">
        <v>46123</v>
      </c>
      <c r="E3002" s="75" t="inlineStr">
        <is>
          <t>KR</t>
        </is>
      </c>
      <c r="F3002" s="75" t="n">
        <v>62501000</v>
      </c>
      <c r="G3002" s="75" t="n">
        <v>1701</v>
      </c>
      <c r="H3002" s="76" t="n">
        <v>86000</v>
      </c>
      <c r="I3002" s="75" t="inlineStr">
        <is>
          <t>4월 회의 다과 - (법인카드)</t>
        </is>
      </c>
      <c r="J3002" s="75" t="inlineStr">
        <is>
          <t>V10008</t>
        </is>
      </c>
      <c r="K3002" s="75" t="inlineStr">
        <is>
          <t>(법인카드)</t>
        </is>
      </c>
      <c r="M3002" s="9">
        <f>IF($A3002="","",VALUE($A3002&amp;"")*12+VALUE($B3002&amp;""))</f>
        <v/>
      </c>
      <c r="N3002" s="39">
        <f>IF($A3002="","",IFERROR(INDEX(부서매핑!$C$5:$C$504,MATCH($G3002&amp;"",부서매핑!$A$5:$A$504,0)),"미매핑"))</f>
        <v/>
      </c>
      <c r="O3002" s="9">
        <f>IF($A3002="","",N3002&amp;"|"&amp;$F3002)</f>
        <v/>
      </c>
      <c r="P3002" s="77">
        <f>IF($A3002="",0,$H3002*설정!$C$23)</f>
        <v/>
      </c>
      <c r="Q3002" s="39">
        <f>IF($A3002="","",IF(O3002&lt;&gt;원인분석!$C$9,"",IF(AND(M3002&gt;=원인분석!$C$10,M3002&lt;=원인분석!$C$11),"당기",IF(AND(M3002&gt;=원인분석!$C$12,M3002&lt;=원인분석!$C$13),"비교",""))))</f>
        <v/>
      </c>
      <c r="R3002" s="9">
        <f>IF(Q3002="","",$K3002&amp;"")</f>
        <v/>
      </c>
      <c r="S3002" s="9">
        <f>IF(Q3002="","",IF(MATCH(R3002,$R$5:$R$100000,0)=ROW()-4,ROW(),""))</f>
        <v/>
      </c>
      <c r="T3002" s="9">
        <f>IF(Q3002="당기",ABS(P3002)+ROW()/1000000000,"")</f>
        <v/>
      </c>
      <c r="U3002" s="9">
        <f>IF(Q3002="비교",ABS(P3002)+ROW()/1000000000,"")</f>
        <v/>
      </c>
      <c r="V3002" s="39">
        <f>IF($A3002="","",IF(COUNTIF(변동분석!$E$7:$E$506,O3002)&gt;0,"Y","N"))</f>
        <v/>
      </c>
      <c r="W3002" s="39">
        <f>IF($A3002="","",IFERROR(INDEX(계정매핑!$D$5:$D$504,MATCH($F3002&amp;"",계정매핑!$A$5:$A$504,0)),"미매핑"))</f>
        <v/>
      </c>
      <c r="X3002" s="9">
        <f>IF($A3002="","",$F3002&amp;"")</f>
        <v/>
      </c>
    </row>
    <row r="3003">
      <c r="A3003" s="75" t="n">
        <v>2026</v>
      </c>
      <c r="B3003" s="75" t="n">
        <v>4</v>
      </c>
      <c r="C3003" s="75" t="inlineStr">
        <is>
          <t>5100000659</t>
        </is>
      </c>
      <c r="D3003" s="78" t="n">
        <v>46123</v>
      </c>
      <c r="E3003" s="75" t="inlineStr">
        <is>
          <t>KR</t>
        </is>
      </c>
      <c r="F3003" s="75" t="n">
        <v>62802000</v>
      </c>
      <c r="G3003" s="75" t="n">
        <v>1301</v>
      </c>
      <c r="H3003" s="76" t="n">
        <v>5462000</v>
      </c>
      <c r="I3003" s="75" t="inlineStr">
        <is>
          <t>4월 위탁교육 - I교육원</t>
        </is>
      </c>
      <c r="J3003" s="75" t="inlineStr">
        <is>
          <t>V10015</t>
        </is>
      </c>
      <c r="K3003" s="75" t="inlineStr">
        <is>
          <t>I교육원</t>
        </is>
      </c>
      <c r="M3003" s="9">
        <f>IF($A3003="","",VALUE($A3003&amp;"")*12+VALUE($B3003&amp;""))</f>
        <v/>
      </c>
      <c r="N3003" s="39">
        <f>IF($A3003="","",IFERROR(INDEX(부서매핑!$C$5:$C$504,MATCH($G3003&amp;"",부서매핑!$A$5:$A$504,0)),"미매핑"))</f>
        <v/>
      </c>
      <c r="O3003" s="9">
        <f>IF($A3003="","",N3003&amp;"|"&amp;$F3003)</f>
        <v/>
      </c>
      <c r="P3003" s="77">
        <f>IF($A3003="",0,$H3003*설정!$C$23)</f>
        <v/>
      </c>
      <c r="Q3003" s="39">
        <f>IF($A3003="","",IF(O3003&lt;&gt;원인분석!$C$9,"",IF(AND(M3003&gt;=원인분석!$C$10,M3003&lt;=원인분석!$C$11),"당기",IF(AND(M3003&gt;=원인분석!$C$12,M3003&lt;=원인분석!$C$13),"비교",""))))</f>
        <v/>
      </c>
      <c r="R3003" s="9">
        <f>IF(Q3003="","",$K3003&amp;"")</f>
        <v/>
      </c>
      <c r="S3003" s="9">
        <f>IF(Q3003="","",IF(MATCH(R3003,$R$5:$R$100000,0)=ROW()-4,ROW(),""))</f>
        <v/>
      </c>
      <c r="T3003" s="9">
        <f>IF(Q3003="당기",ABS(P3003)+ROW()/1000000000,"")</f>
        <v/>
      </c>
      <c r="U3003" s="9">
        <f>IF(Q3003="비교",ABS(P3003)+ROW()/1000000000,"")</f>
        <v/>
      </c>
      <c r="V3003" s="39">
        <f>IF($A3003="","",IF(COUNTIF(변동분석!$E$7:$E$506,O3003)&gt;0,"Y","N"))</f>
        <v/>
      </c>
      <c r="W3003" s="39">
        <f>IF($A3003="","",IFERROR(INDEX(계정매핑!$D$5:$D$504,MATCH($F3003&amp;"",계정매핑!$A$5:$A$504,0)),"미매핑"))</f>
        <v/>
      </c>
      <c r="X3003" s="9">
        <f>IF($A3003="","",$F3003&amp;"")</f>
        <v/>
      </c>
    </row>
    <row r="3004">
      <c r="A3004" s="75" t="n">
        <v>2026</v>
      </c>
      <c r="B3004" s="75" t="n">
        <v>4</v>
      </c>
      <c r="C3004" s="75" t="inlineStr">
        <is>
          <t>5100000660</t>
        </is>
      </c>
      <c r="D3004" s="78" t="n">
        <v>46123</v>
      </c>
      <c r="E3004" s="75" t="inlineStr">
        <is>
          <t>KR</t>
        </is>
      </c>
      <c r="F3004" s="75" t="n">
        <v>62902000</v>
      </c>
      <c r="G3004" s="75" t="n">
        <v>1101</v>
      </c>
      <c r="H3004" s="76" t="n">
        <v>1772000</v>
      </c>
      <c r="I3004" s="75" t="inlineStr">
        <is>
          <t>4월 업무 위탁 수수료 - J콜센터</t>
        </is>
      </c>
      <c r="J3004" s="75" t="inlineStr">
        <is>
          <t>V10013</t>
        </is>
      </c>
      <c r="K3004" s="75" t="inlineStr">
        <is>
          <t>J콜센터</t>
        </is>
      </c>
      <c r="M3004" s="9">
        <f>IF($A3004="","",VALUE($A3004&amp;"")*12+VALUE($B3004&amp;""))</f>
        <v/>
      </c>
      <c r="N3004" s="39">
        <f>IF($A3004="","",IFERROR(INDEX(부서매핑!$C$5:$C$504,MATCH($G3004&amp;"",부서매핑!$A$5:$A$504,0)),"미매핑"))</f>
        <v/>
      </c>
      <c r="O3004" s="9">
        <f>IF($A3004="","",N3004&amp;"|"&amp;$F3004)</f>
        <v/>
      </c>
      <c r="P3004" s="77">
        <f>IF($A3004="",0,$H3004*설정!$C$23)</f>
        <v/>
      </c>
      <c r="Q3004" s="39">
        <f>IF($A3004="","",IF(O3004&lt;&gt;원인분석!$C$9,"",IF(AND(M3004&gt;=원인분석!$C$10,M3004&lt;=원인분석!$C$11),"당기",IF(AND(M3004&gt;=원인분석!$C$12,M3004&lt;=원인분석!$C$13),"비교",""))))</f>
        <v/>
      </c>
      <c r="R3004" s="9">
        <f>IF(Q3004="","",$K3004&amp;"")</f>
        <v/>
      </c>
      <c r="S3004" s="9">
        <f>IF(Q3004="","",IF(MATCH(R3004,$R$5:$R$100000,0)=ROW()-4,ROW(),""))</f>
        <v/>
      </c>
      <c r="T3004" s="9">
        <f>IF(Q3004="당기",ABS(P3004)+ROW()/1000000000,"")</f>
        <v/>
      </c>
      <c r="U3004" s="9">
        <f>IF(Q3004="비교",ABS(P3004)+ROW()/1000000000,"")</f>
        <v/>
      </c>
      <c r="V3004" s="39">
        <f>IF($A3004="","",IF(COUNTIF(변동분석!$E$7:$E$506,O3004)&gt;0,"Y","N"))</f>
        <v/>
      </c>
      <c r="W3004" s="39">
        <f>IF($A3004="","",IFERROR(INDEX(계정매핑!$D$5:$D$504,MATCH($F3004&amp;"",계정매핑!$A$5:$A$504,0)),"미매핑"))</f>
        <v/>
      </c>
      <c r="X3004" s="9">
        <f>IF($A3004="","",$F3004&amp;"")</f>
        <v/>
      </c>
    </row>
    <row r="3005">
      <c r="A3005" s="75" t="n">
        <v>2026</v>
      </c>
      <c r="B3005" s="75" t="n">
        <v>4</v>
      </c>
      <c r="C3005" s="75" t="inlineStr">
        <is>
          <t>5100000661</t>
        </is>
      </c>
      <c r="D3005" s="78" t="n">
        <v>46124</v>
      </c>
      <c r="E3005" s="75" t="inlineStr">
        <is>
          <t>KR</t>
        </is>
      </c>
      <c r="F3005" s="75" t="n">
        <v>62102000</v>
      </c>
      <c r="G3005" s="75" t="n">
        <v>1401</v>
      </c>
      <c r="H3005" s="76" t="n">
        <v>172000</v>
      </c>
      <c r="I3005" s="75" t="inlineStr">
        <is>
          <t>4월 해외출장 - N호텔</t>
        </is>
      </c>
      <c r="J3005" s="75" t="inlineStr">
        <is>
          <t>V10007</t>
        </is>
      </c>
      <c r="K3005" s="75" t="inlineStr">
        <is>
          <t>N호텔</t>
        </is>
      </c>
      <c r="M3005" s="9">
        <f>IF($A3005="","",VALUE($A3005&amp;"")*12+VALUE($B3005&amp;""))</f>
        <v/>
      </c>
      <c r="N3005" s="39">
        <f>IF($A3005="","",IFERROR(INDEX(부서매핑!$C$5:$C$504,MATCH($G3005&amp;"",부서매핑!$A$5:$A$504,0)),"미매핑"))</f>
        <v/>
      </c>
      <c r="O3005" s="9">
        <f>IF($A3005="","",N3005&amp;"|"&amp;$F3005)</f>
        <v/>
      </c>
      <c r="P3005" s="77">
        <f>IF($A3005="",0,$H3005*설정!$C$23)</f>
        <v/>
      </c>
      <c r="Q3005" s="39">
        <f>IF($A3005="","",IF(O3005&lt;&gt;원인분석!$C$9,"",IF(AND(M3005&gt;=원인분석!$C$10,M3005&lt;=원인분석!$C$11),"당기",IF(AND(M3005&gt;=원인분석!$C$12,M3005&lt;=원인분석!$C$13),"비교",""))))</f>
        <v/>
      </c>
      <c r="R3005" s="9">
        <f>IF(Q3005="","",$K3005&amp;"")</f>
        <v/>
      </c>
      <c r="S3005" s="9">
        <f>IF(Q3005="","",IF(MATCH(R3005,$R$5:$R$100000,0)=ROW()-4,ROW(),""))</f>
        <v/>
      </c>
      <c r="T3005" s="9">
        <f>IF(Q3005="당기",ABS(P3005)+ROW()/1000000000,"")</f>
        <v/>
      </c>
      <c r="U3005" s="9">
        <f>IF(Q3005="비교",ABS(P3005)+ROW()/1000000000,"")</f>
        <v/>
      </c>
      <c r="V3005" s="39">
        <f>IF($A3005="","",IF(COUNTIF(변동분석!$E$7:$E$506,O3005)&gt;0,"Y","N"))</f>
        <v/>
      </c>
      <c r="W3005" s="39">
        <f>IF($A3005="","",IFERROR(INDEX(계정매핑!$D$5:$D$504,MATCH($F3005&amp;"",계정매핑!$A$5:$A$504,0)),"미매핑"))</f>
        <v/>
      </c>
      <c r="X3005" s="9">
        <f>IF($A3005="","",$F3005&amp;"")</f>
        <v/>
      </c>
    </row>
    <row r="3006">
      <c r="A3006" s="75" t="n">
        <v>2026</v>
      </c>
      <c r="B3006" s="75" t="n">
        <v>4</v>
      </c>
      <c r="C3006" s="75" t="inlineStr">
        <is>
          <t>5100000662</t>
        </is>
      </c>
      <c r="D3006" s="78" t="n">
        <v>46124</v>
      </c>
      <c r="E3006" s="75" t="inlineStr">
        <is>
          <t>KR</t>
        </is>
      </c>
      <c r="F3006" s="75" t="n">
        <v>62102000</v>
      </c>
      <c r="G3006" s="75" t="n">
        <v>1501</v>
      </c>
      <c r="H3006" s="76" t="n">
        <v>142000</v>
      </c>
      <c r="I3006" s="75" t="inlineStr">
        <is>
          <t>4월 해외출장 - N호텔</t>
        </is>
      </c>
      <c r="J3006" s="75" t="inlineStr">
        <is>
          <t>V10007</t>
        </is>
      </c>
      <c r="K3006" s="75" t="inlineStr">
        <is>
          <t>N호텔</t>
        </is>
      </c>
      <c r="M3006" s="9">
        <f>IF($A3006="","",VALUE($A3006&amp;"")*12+VALUE($B3006&amp;""))</f>
        <v/>
      </c>
      <c r="N3006" s="39">
        <f>IF($A3006="","",IFERROR(INDEX(부서매핑!$C$5:$C$504,MATCH($G3006&amp;"",부서매핑!$A$5:$A$504,0)),"미매핑"))</f>
        <v/>
      </c>
      <c r="O3006" s="9">
        <f>IF($A3006="","",N3006&amp;"|"&amp;$F3006)</f>
        <v/>
      </c>
      <c r="P3006" s="77">
        <f>IF($A3006="",0,$H3006*설정!$C$23)</f>
        <v/>
      </c>
      <c r="Q3006" s="39">
        <f>IF($A3006="","",IF(O3006&lt;&gt;원인분석!$C$9,"",IF(AND(M3006&gt;=원인분석!$C$10,M3006&lt;=원인분석!$C$11),"당기",IF(AND(M3006&gt;=원인분석!$C$12,M3006&lt;=원인분석!$C$13),"비교",""))))</f>
        <v/>
      </c>
      <c r="R3006" s="9">
        <f>IF(Q3006="","",$K3006&amp;"")</f>
        <v/>
      </c>
      <c r="S3006" s="9">
        <f>IF(Q3006="","",IF(MATCH(R3006,$R$5:$R$100000,0)=ROW()-4,ROW(),""))</f>
        <v/>
      </c>
      <c r="T3006" s="9">
        <f>IF(Q3006="당기",ABS(P3006)+ROW()/1000000000,"")</f>
        <v/>
      </c>
      <c r="U3006" s="9">
        <f>IF(Q3006="비교",ABS(P3006)+ROW()/1000000000,"")</f>
        <v/>
      </c>
      <c r="V3006" s="39">
        <f>IF($A3006="","",IF(COUNTIF(변동분석!$E$7:$E$506,O3006)&gt;0,"Y","N"))</f>
        <v/>
      </c>
      <c r="W3006" s="39">
        <f>IF($A3006="","",IFERROR(INDEX(계정매핑!$D$5:$D$504,MATCH($F3006&amp;"",계정매핑!$A$5:$A$504,0)),"미매핑"))</f>
        <v/>
      </c>
      <c r="X3006" s="9">
        <f>IF($A3006="","",$F3006&amp;"")</f>
        <v/>
      </c>
    </row>
    <row r="3007">
      <c r="A3007" s="75" t="n">
        <v>2026</v>
      </c>
      <c r="B3007" s="75" t="n">
        <v>4</v>
      </c>
      <c r="C3007" s="75" t="inlineStr">
        <is>
          <t>5100000663</t>
        </is>
      </c>
      <c r="D3007" s="78" t="n">
        <v>46124</v>
      </c>
      <c r="E3007" s="75" t="inlineStr">
        <is>
          <t>KR</t>
        </is>
      </c>
      <c r="F3007" s="75" t="n">
        <v>62102000</v>
      </c>
      <c r="G3007" s="75" t="n">
        <v>1601</v>
      </c>
      <c r="H3007" s="76" t="n">
        <v>293000</v>
      </c>
      <c r="I3007" s="75" t="inlineStr">
        <is>
          <t>4월 해외출장 - M항공</t>
        </is>
      </c>
      <c r="J3007" s="75" t="inlineStr">
        <is>
          <t>V10001</t>
        </is>
      </c>
      <c r="K3007" s="75" t="inlineStr">
        <is>
          <t>M항공</t>
        </is>
      </c>
      <c r="M3007" s="9">
        <f>IF($A3007="","",VALUE($A3007&amp;"")*12+VALUE($B3007&amp;""))</f>
        <v/>
      </c>
      <c r="N3007" s="39">
        <f>IF($A3007="","",IFERROR(INDEX(부서매핑!$C$5:$C$504,MATCH($G3007&amp;"",부서매핑!$A$5:$A$504,0)),"미매핑"))</f>
        <v/>
      </c>
      <c r="O3007" s="9">
        <f>IF($A3007="","",N3007&amp;"|"&amp;$F3007)</f>
        <v/>
      </c>
      <c r="P3007" s="77">
        <f>IF($A3007="",0,$H3007*설정!$C$23)</f>
        <v/>
      </c>
      <c r="Q3007" s="39">
        <f>IF($A3007="","",IF(O3007&lt;&gt;원인분석!$C$9,"",IF(AND(M3007&gt;=원인분석!$C$10,M3007&lt;=원인분석!$C$11),"당기",IF(AND(M3007&gt;=원인분석!$C$12,M3007&lt;=원인분석!$C$13),"비교",""))))</f>
        <v/>
      </c>
      <c r="R3007" s="9">
        <f>IF(Q3007="","",$K3007&amp;"")</f>
        <v/>
      </c>
      <c r="S3007" s="9">
        <f>IF(Q3007="","",IF(MATCH(R3007,$R$5:$R$100000,0)=ROW()-4,ROW(),""))</f>
        <v/>
      </c>
      <c r="T3007" s="9">
        <f>IF(Q3007="당기",ABS(P3007)+ROW()/1000000000,"")</f>
        <v/>
      </c>
      <c r="U3007" s="9">
        <f>IF(Q3007="비교",ABS(P3007)+ROW()/1000000000,"")</f>
        <v/>
      </c>
      <c r="V3007" s="39">
        <f>IF($A3007="","",IF(COUNTIF(변동분석!$E$7:$E$506,O3007)&gt;0,"Y","N"))</f>
        <v/>
      </c>
      <c r="W3007" s="39">
        <f>IF($A3007="","",IFERROR(INDEX(계정매핑!$D$5:$D$504,MATCH($F3007&amp;"",계정매핑!$A$5:$A$504,0)),"미매핑"))</f>
        <v/>
      </c>
      <c r="X3007" s="9">
        <f>IF($A3007="","",$F3007&amp;"")</f>
        <v/>
      </c>
    </row>
    <row r="3008">
      <c r="A3008" s="75" t="n">
        <v>2026</v>
      </c>
      <c r="B3008" s="75" t="n">
        <v>4</v>
      </c>
      <c r="C3008" s="75" t="inlineStr">
        <is>
          <t>5100000664</t>
        </is>
      </c>
      <c r="D3008" s="78" t="n">
        <v>46124</v>
      </c>
      <c r="E3008" s="75" t="inlineStr">
        <is>
          <t>KR</t>
        </is>
      </c>
      <c r="F3008" s="75" t="n">
        <v>62301000</v>
      </c>
      <c r="G3008" s="75" t="n">
        <v>1401</v>
      </c>
      <c r="H3008" s="76" t="n">
        <v>95000</v>
      </c>
      <c r="I3008" s="75" t="inlineStr">
        <is>
          <t>4월 소모품 구입 - R문구</t>
        </is>
      </c>
      <c r="J3008" s="75" t="inlineStr">
        <is>
          <t>V10018</t>
        </is>
      </c>
      <c r="K3008" s="75" t="inlineStr">
        <is>
          <t>R문구</t>
        </is>
      </c>
      <c r="M3008" s="9">
        <f>IF($A3008="","",VALUE($A3008&amp;"")*12+VALUE($B3008&amp;""))</f>
        <v/>
      </c>
      <c r="N3008" s="39">
        <f>IF($A3008="","",IFERROR(INDEX(부서매핑!$C$5:$C$504,MATCH($G3008&amp;"",부서매핑!$A$5:$A$504,0)),"미매핑"))</f>
        <v/>
      </c>
      <c r="O3008" s="9">
        <f>IF($A3008="","",N3008&amp;"|"&amp;$F3008)</f>
        <v/>
      </c>
      <c r="P3008" s="77">
        <f>IF($A3008="",0,$H3008*설정!$C$23)</f>
        <v/>
      </c>
      <c r="Q3008" s="39">
        <f>IF($A3008="","",IF(O3008&lt;&gt;원인분석!$C$9,"",IF(AND(M3008&gt;=원인분석!$C$10,M3008&lt;=원인분석!$C$11),"당기",IF(AND(M3008&gt;=원인분석!$C$12,M3008&lt;=원인분석!$C$13),"비교",""))))</f>
        <v/>
      </c>
      <c r="R3008" s="9">
        <f>IF(Q3008="","",$K3008&amp;"")</f>
        <v/>
      </c>
      <c r="S3008" s="9">
        <f>IF(Q3008="","",IF(MATCH(R3008,$R$5:$R$100000,0)=ROW()-4,ROW(),""))</f>
        <v/>
      </c>
      <c r="T3008" s="9">
        <f>IF(Q3008="당기",ABS(P3008)+ROW()/1000000000,"")</f>
        <v/>
      </c>
      <c r="U3008" s="9">
        <f>IF(Q3008="비교",ABS(P3008)+ROW()/1000000000,"")</f>
        <v/>
      </c>
      <c r="V3008" s="39">
        <f>IF($A3008="","",IF(COUNTIF(변동분석!$E$7:$E$506,O3008)&gt;0,"Y","N"))</f>
        <v/>
      </c>
      <c r="W3008" s="39">
        <f>IF($A3008="","",IFERROR(INDEX(계정매핑!$D$5:$D$504,MATCH($F3008&amp;"",계정매핑!$A$5:$A$504,0)),"미매핑"))</f>
        <v/>
      </c>
      <c r="X3008" s="9">
        <f>IF($A3008="","",$F3008&amp;"")</f>
        <v/>
      </c>
    </row>
    <row r="3009">
      <c r="A3009" s="75" t="n">
        <v>2026</v>
      </c>
      <c r="B3009" s="75" t="n">
        <v>4</v>
      </c>
      <c r="C3009" s="75" t="inlineStr">
        <is>
          <t>5100000665</t>
        </is>
      </c>
      <c r="D3009" s="78" t="n">
        <v>46124</v>
      </c>
      <c r="E3009" s="75" t="inlineStr">
        <is>
          <t>KR</t>
        </is>
      </c>
      <c r="F3009" s="75" t="n">
        <v>62301000</v>
      </c>
      <c r="G3009" s="75" t="n">
        <v>1601</v>
      </c>
      <c r="H3009" s="76" t="n">
        <v>244000</v>
      </c>
      <c r="I3009" s="75" t="inlineStr">
        <is>
          <t>4월 소모품 구입 - R문구</t>
        </is>
      </c>
      <c r="J3009" s="75" t="inlineStr">
        <is>
          <t>V10018</t>
        </is>
      </c>
      <c r="K3009" s="75" t="inlineStr">
        <is>
          <t>R문구</t>
        </is>
      </c>
      <c r="M3009" s="9">
        <f>IF($A3009="","",VALUE($A3009&amp;"")*12+VALUE($B3009&amp;""))</f>
        <v/>
      </c>
      <c r="N3009" s="39">
        <f>IF($A3009="","",IFERROR(INDEX(부서매핑!$C$5:$C$504,MATCH($G3009&amp;"",부서매핑!$A$5:$A$504,0)),"미매핑"))</f>
        <v/>
      </c>
      <c r="O3009" s="9">
        <f>IF($A3009="","",N3009&amp;"|"&amp;$F3009)</f>
        <v/>
      </c>
      <c r="P3009" s="77">
        <f>IF($A3009="",0,$H3009*설정!$C$23)</f>
        <v/>
      </c>
      <c r="Q3009" s="39">
        <f>IF($A3009="","",IF(O3009&lt;&gt;원인분석!$C$9,"",IF(AND(M3009&gt;=원인분석!$C$10,M3009&lt;=원인분석!$C$11),"당기",IF(AND(M3009&gt;=원인분석!$C$12,M3009&lt;=원인분석!$C$13),"비교",""))))</f>
        <v/>
      </c>
      <c r="R3009" s="9">
        <f>IF(Q3009="","",$K3009&amp;"")</f>
        <v/>
      </c>
      <c r="S3009" s="9">
        <f>IF(Q3009="","",IF(MATCH(R3009,$R$5:$R$100000,0)=ROW()-4,ROW(),""))</f>
        <v/>
      </c>
      <c r="T3009" s="9">
        <f>IF(Q3009="당기",ABS(P3009)+ROW()/1000000000,"")</f>
        <v/>
      </c>
      <c r="U3009" s="9">
        <f>IF(Q3009="비교",ABS(P3009)+ROW()/1000000000,"")</f>
        <v/>
      </c>
      <c r="V3009" s="39">
        <f>IF($A3009="","",IF(COUNTIF(변동분석!$E$7:$E$506,O3009)&gt;0,"Y","N"))</f>
        <v/>
      </c>
      <c r="W3009" s="39">
        <f>IF($A3009="","",IFERROR(INDEX(계정매핑!$D$5:$D$504,MATCH($F3009&amp;"",계정매핑!$A$5:$A$504,0)),"미매핑"))</f>
        <v/>
      </c>
      <c r="X3009" s="9">
        <f>IF($A3009="","",$F3009&amp;"")</f>
        <v/>
      </c>
    </row>
    <row r="3010">
      <c r="A3010" s="75" t="n">
        <v>2026</v>
      </c>
      <c r="B3010" s="75" t="n">
        <v>4</v>
      </c>
      <c r="C3010" s="75" t="inlineStr">
        <is>
          <t>5100000666</t>
        </is>
      </c>
      <c r="D3010" s="78" t="n">
        <v>46124</v>
      </c>
      <c r="E3010" s="75" t="inlineStr">
        <is>
          <t>KR</t>
        </is>
      </c>
      <c r="F3010" s="75" t="n">
        <v>62301000</v>
      </c>
      <c r="G3010" s="75" t="n">
        <v>1701</v>
      </c>
      <c r="H3010" s="76" t="n">
        <v>317000</v>
      </c>
      <c r="I3010" s="75" t="inlineStr">
        <is>
          <t>4월 소모품 구입 - Q오피스</t>
        </is>
      </c>
      <c r="J3010" s="75" t="inlineStr">
        <is>
          <t>V10003</t>
        </is>
      </c>
      <c r="K3010" s="75" t="inlineStr">
        <is>
          <t>Q오피스</t>
        </is>
      </c>
      <c r="M3010" s="9">
        <f>IF($A3010="","",VALUE($A3010&amp;"")*12+VALUE($B3010&amp;""))</f>
        <v/>
      </c>
      <c r="N3010" s="39">
        <f>IF($A3010="","",IFERROR(INDEX(부서매핑!$C$5:$C$504,MATCH($G3010&amp;"",부서매핑!$A$5:$A$504,0)),"미매핑"))</f>
        <v/>
      </c>
      <c r="O3010" s="9">
        <f>IF($A3010="","",N3010&amp;"|"&amp;$F3010)</f>
        <v/>
      </c>
      <c r="P3010" s="77">
        <f>IF($A3010="",0,$H3010*설정!$C$23)</f>
        <v/>
      </c>
      <c r="Q3010" s="39">
        <f>IF($A3010="","",IF(O3010&lt;&gt;원인분석!$C$9,"",IF(AND(M3010&gt;=원인분석!$C$10,M3010&lt;=원인분석!$C$11),"당기",IF(AND(M3010&gt;=원인분석!$C$12,M3010&lt;=원인분석!$C$13),"비교",""))))</f>
        <v/>
      </c>
      <c r="R3010" s="9">
        <f>IF(Q3010="","",$K3010&amp;"")</f>
        <v/>
      </c>
      <c r="S3010" s="9">
        <f>IF(Q3010="","",IF(MATCH(R3010,$R$5:$R$100000,0)=ROW()-4,ROW(),""))</f>
        <v/>
      </c>
      <c r="T3010" s="9">
        <f>IF(Q3010="당기",ABS(P3010)+ROW()/1000000000,"")</f>
        <v/>
      </c>
      <c r="U3010" s="9">
        <f>IF(Q3010="비교",ABS(P3010)+ROW()/1000000000,"")</f>
        <v/>
      </c>
      <c r="V3010" s="39">
        <f>IF($A3010="","",IF(COUNTIF(변동분석!$E$7:$E$506,O3010)&gt;0,"Y","N"))</f>
        <v/>
      </c>
      <c r="W3010" s="39">
        <f>IF($A3010="","",IFERROR(INDEX(계정매핑!$D$5:$D$504,MATCH($F3010&amp;"",계정매핑!$A$5:$A$504,0)),"미매핑"))</f>
        <v/>
      </c>
      <c r="X3010" s="9">
        <f>IF($A3010="","",$F3010&amp;"")</f>
        <v/>
      </c>
    </row>
    <row r="3011">
      <c r="A3011" s="75" t="n">
        <v>2026</v>
      </c>
      <c r="B3011" s="75" t="n">
        <v>4</v>
      </c>
      <c r="C3011" s="75" t="inlineStr">
        <is>
          <t>5100000667</t>
        </is>
      </c>
      <c r="D3011" s="78" t="n">
        <v>46124</v>
      </c>
      <c r="E3011" s="75" t="inlineStr">
        <is>
          <t>KR</t>
        </is>
      </c>
      <c r="F3011" s="75" t="n">
        <v>62501000</v>
      </c>
      <c r="G3011" s="75" t="n">
        <v>1601</v>
      </c>
      <c r="H3011" s="76" t="n">
        <v>343000</v>
      </c>
      <c r="I3011" s="75" t="inlineStr">
        <is>
          <t>4월 회의 다과 - T케이터링</t>
        </is>
      </c>
      <c r="J3011" s="75" t="inlineStr">
        <is>
          <t>V10005</t>
        </is>
      </c>
      <c r="K3011" s="75" t="inlineStr">
        <is>
          <t>T케이터링</t>
        </is>
      </c>
      <c r="M3011" s="9">
        <f>IF($A3011="","",VALUE($A3011&amp;"")*12+VALUE($B3011&amp;""))</f>
        <v/>
      </c>
      <c r="N3011" s="39">
        <f>IF($A3011="","",IFERROR(INDEX(부서매핑!$C$5:$C$504,MATCH($G3011&amp;"",부서매핑!$A$5:$A$504,0)),"미매핑"))</f>
        <v/>
      </c>
      <c r="O3011" s="9">
        <f>IF($A3011="","",N3011&amp;"|"&amp;$F3011)</f>
        <v/>
      </c>
      <c r="P3011" s="77">
        <f>IF($A3011="",0,$H3011*설정!$C$23)</f>
        <v/>
      </c>
      <c r="Q3011" s="39">
        <f>IF($A3011="","",IF(O3011&lt;&gt;원인분석!$C$9,"",IF(AND(M3011&gt;=원인분석!$C$10,M3011&lt;=원인분석!$C$11),"당기",IF(AND(M3011&gt;=원인분석!$C$12,M3011&lt;=원인분석!$C$13),"비교",""))))</f>
        <v/>
      </c>
      <c r="R3011" s="9">
        <f>IF(Q3011="","",$K3011&amp;"")</f>
        <v/>
      </c>
      <c r="S3011" s="9">
        <f>IF(Q3011="","",IF(MATCH(R3011,$R$5:$R$100000,0)=ROW()-4,ROW(),""))</f>
        <v/>
      </c>
      <c r="T3011" s="9">
        <f>IF(Q3011="당기",ABS(P3011)+ROW()/1000000000,"")</f>
        <v/>
      </c>
      <c r="U3011" s="9">
        <f>IF(Q3011="비교",ABS(P3011)+ROW()/1000000000,"")</f>
        <v/>
      </c>
      <c r="V3011" s="39">
        <f>IF($A3011="","",IF(COUNTIF(변동분석!$E$7:$E$506,O3011)&gt;0,"Y","N"))</f>
        <v/>
      </c>
      <c r="W3011" s="39">
        <f>IF($A3011="","",IFERROR(INDEX(계정매핑!$D$5:$D$504,MATCH($F3011&amp;"",계정매핑!$A$5:$A$504,0)),"미매핑"))</f>
        <v/>
      </c>
      <c r="X3011" s="9">
        <f>IF($A3011="","",$F3011&amp;"")</f>
        <v/>
      </c>
    </row>
    <row r="3012">
      <c r="A3012" s="75" t="n">
        <v>2026</v>
      </c>
      <c r="B3012" s="75" t="n">
        <v>4</v>
      </c>
      <c r="C3012" s="75" t="inlineStr">
        <is>
          <t>5100000668</t>
        </is>
      </c>
      <c r="D3012" s="78" t="n">
        <v>46125</v>
      </c>
      <c r="E3012" s="75" t="inlineStr">
        <is>
          <t>KR</t>
        </is>
      </c>
      <c r="F3012" s="75" t="n">
        <v>62101000</v>
      </c>
      <c r="G3012" s="75" t="n">
        <v>1201</v>
      </c>
      <c r="H3012" s="76" t="n">
        <v>193000</v>
      </c>
      <c r="I3012" s="75" t="inlineStr">
        <is>
          <t>4월 국내출장 - M항공</t>
        </is>
      </c>
      <c r="J3012" s="75" t="inlineStr">
        <is>
          <t>V10001</t>
        </is>
      </c>
      <c r="K3012" s="75" t="inlineStr">
        <is>
          <t>M항공</t>
        </is>
      </c>
      <c r="M3012" s="9">
        <f>IF($A3012="","",VALUE($A3012&amp;"")*12+VALUE($B3012&amp;""))</f>
        <v/>
      </c>
      <c r="N3012" s="39">
        <f>IF($A3012="","",IFERROR(INDEX(부서매핑!$C$5:$C$504,MATCH($G3012&amp;"",부서매핑!$A$5:$A$504,0)),"미매핑"))</f>
        <v/>
      </c>
      <c r="O3012" s="9">
        <f>IF($A3012="","",N3012&amp;"|"&amp;$F3012)</f>
        <v/>
      </c>
      <c r="P3012" s="77">
        <f>IF($A3012="",0,$H3012*설정!$C$23)</f>
        <v/>
      </c>
      <c r="Q3012" s="39">
        <f>IF($A3012="","",IF(O3012&lt;&gt;원인분석!$C$9,"",IF(AND(M3012&gt;=원인분석!$C$10,M3012&lt;=원인분석!$C$11),"당기",IF(AND(M3012&gt;=원인분석!$C$12,M3012&lt;=원인분석!$C$13),"비교",""))))</f>
        <v/>
      </c>
      <c r="R3012" s="9">
        <f>IF(Q3012="","",$K3012&amp;"")</f>
        <v/>
      </c>
      <c r="S3012" s="9">
        <f>IF(Q3012="","",IF(MATCH(R3012,$R$5:$R$100000,0)=ROW()-4,ROW(),""))</f>
        <v/>
      </c>
      <c r="T3012" s="9">
        <f>IF(Q3012="당기",ABS(P3012)+ROW()/1000000000,"")</f>
        <v/>
      </c>
      <c r="U3012" s="9">
        <f>IF(Q3012="비교",ABS(P3012)+ROW()/1000000000,"")</f>
        <v/>
      </c>
      <c r="V3012" s="39">
        <f>IF($A3012="","",IF(COUNTIF(변동분석!$E$7:$E$506,O3012)&gt;0,"Y","N"))</f>
        <v/>
      </c>
      <c r="W3012" s="39">
        <f>IF($A3012="","",IFERROR(INDEX(계정매핑!$D$5:$D$504,MATCH($F3012&amp;"",계정매핑!$A$5:$A$504,0)),"미매핑"))</f>
        <v/>
      </c>
      <c r="X3012" s="9">
        <f>IF($A3012="","",$F3012&amp;"")</f>
        <v/>
      </c>
    </row>
    <row r="3013">
      <c r="A3013" s="75" t="n">
        <v>2026</v>
      </c>
      <c r="B3013" s="75" t="n">
        <v>4</v>
      </c>
      <c r="C3013" s="75" t="inlineStr">
        <is>
          <t>5100000669</t>
        </is>
      </c>
      <c r="D3013" s="78" t="n">
        <v>46125</v>
      </c>
      <c r="E3013" s="75" t="inlineStr">
        <is>
          <t>KR</t>
        </is>
      </c>
      <c r="F3013" s="75" t="n">
        <v>62101000</v>
      </c>
      <c r="G3013" s="75" t="n">
        <v>1201</v>
      </c>
      <c r="H3013" s="76" t="n">
        <v>196000</v>
      </c>
      <c r="I3013" s="75" t="inlineStr">
        <is>
          <t>4월 국내출장 - (법인카드)</t>
        </is>
      </c>
      <c r="J3013" s="75" t="inlineStr">
        <is>
          <t>V10008</t>
        </is>
      </c>
      <c r="K3013" s="75" t="inlineStr">
        <is>
          <t>(법인카드)</t>
        </is>
      </c>
      <c r="M3013" s="9">
        <f>IF($A3013="","",VALUE($A3013&amp;"")*12+VALUE($B3013&amp;""))</f>
        <v/>
      </c>
      <c r="N3013" s="39">
        <f>IF($A3013="","",IFERROR(INDEX(부서매핑!$C$5:$C$504,MATCH($G3013&amp;"",부서매핑!$A$5:$A$504,0)),"미매핑"))</f>
        <v/>
      </c>
      <c r="O3013" s="9">
        <f>IF($A3013="","",N3013&amp;"|"&amp;$F3013)</f>
        <v/>
      </c>
      <c r="P3013" s="77">
        <f>IF($A3013="",0,$H3013*설정!$C$23)</f>
        <v/>
      </c>
      <c r="Q3013" s="39">
        <f>IF($A3013="","",IF(O3013&lt;&gt;원인분석!$C$9,"",IF(AND(M3013&gt;=원인분석!$C$10,M3013&lt;=원인분석!$C$11),"당기",IF(AND(M3013&gt;=원인분석!$C$12,M3013&lt;=원인분석!$C$13),"비교",""))))</f>
        <v/>
      </c>
      <c r="R3013" s="9">
        <f>IF(Q3013="","",$K3013&amp;"")</f>
        <v/>
      </c>
      <c r="S3013" s="9">
        <f>IF(Q3013="","",IF(MATCH(R3013,$R$5:$R$100000,0)=ROW()-4,ROW(),""))</f>
        <v/>
      </c>
      <c r="T3013" s="9">
        <f>IF(Q3013="당기",ABS(P3013)+ROW()/1000000000,"")</f>
        <v/>
      </c>
      <c r="U3013" s="9">
        <f>IF(Q3013="비교",ABS(P3013)+ROW()/1000000000,"")</f>
        <v/>
      </c>
      <c r="V3013" s="39">
        <f>IF($A3013="","",IF(COUNTIF(변동분석!$E$7:$E$506,O3013)&gt;0,"Y","N"))</f>
        <v/>
      </c>
      <c r="W3013" s="39">
        <f>IF($A3013="","",IFERROR(INDEX(계정매핑!$D$5:$D$504,MATCH($F3013&amp;"",계정매핑!$A$5:$A$504,0)),"미매핑"))</f>
        <v/>
      </c>
      <c r="X3013" s="9">
        <f>IF($A3013="","",$F3013&amp;"")</f>
        <v/>
      </c>
    </row>
    <row r="3014">
      <c r="A3014" s="75" t="n">
        <v>2026</v>
      </c>
      <c r="B3014" s="75" t="n">
        <v>4</v>
      </c>
      <c r="C3014" s="75" t="inlineStr">
        <is>
          <t>5100000670</t>
        </is>
      </c>
      <c r="D3014" s="78" t="n">
        <v>46125</v>
      </c>
      <c r="E3014" s="75" t="inlineStr">
        <is>
          <t>KR</t>
        </is>
      </c>
      <c r="F3014" s="75" t="n">
        <v>62101000</v>
      </c>
      <c r="G3014" s="75" t="n">
        <v>1601</v>
      </c>
      <c r="H3014" s="76" t="n">
        <v>1271000</v>
      </c>
      <c r="I3014" s="75" t="inlineStr">
        <is>
          <t>4월 국내출장 - M항공</t>
        </is>
      </c>
      <c r="J3014" s="75" t="inlineStr">
        <is>
          <t>V10001</t>
        </is>
      </c>
      <c r="K3014" s="75" t="inlineStr">
        <is>
          <t>M항공</t>
        </is>
      </c>
      <c r="M3014" s="9">
        <f>IF($A3014="","",VALUE($A3014&amp;"")*12+VALUE($B3014&amp;""))</f>
        <v/>
      </c>
      <c r="N3014" s="39">
        <f>IF($A3014="","",IFERROR(INDEX(부서매핑!$C$5:$C$504,MATCH($G3014&amp;"",부서매핑!$A$5:$A$504,0)),"미매핑"))</f>
        <v/>
      </c>
      <c r="O3014" s="9">
        <f>IF($A3014="","",N3014&amp;"|"&amp;$F3014)</f>
        <v/>
      </c>
      <c r="P3014" s="77">
        <f>IF($A3014="",0,$H3014*설정!$C$23)</f>
        <v/>
      </c>
      <c r="Q3014" s="39">
        <f>IF($A3014="","",IF(O3014&lt;&gt;원인분석!$C$9,"",IF(AND(M3014&gt;=원인분석!$C$10,M3014&lt;=원인분석!$C$11),"당기",IF(AND(M3014&gt;=원인분석!$C$12,M3014&lt;=원인분석!$C$13),"비교",""))))</f>
        <v/>
      </c>
      <c r="R3014" s="9">
        <f>IF(Q3014="","",$K3014&amp;"")</f>
        <v/>
      </c>
      <c r="S3014" s="9">
        <f>IF(Q3014="","",IF(MATCH(R3014,$R$5:$R$100000,0)=ROW()-4,ROW(),""))</f>
        <v/>
      </c>
      <c r="T3014" s="9">
        <f>IF(Q3014="당기",ABS(P3014)+ROW()/1000000000,"")</f>
        <v/>
      </c>
      <c r="U3014" s="9">
        <f>IF(Q3014="비교",ABS(P3014)+ROW()/1000000000,"")</f>
        <v/>
      </c>
      <c r="V3014" s="39">
        <f>IF($A3014="","",IF(COUNTIF(변동분석!$E$7:$E$506,O3014)&gt;0,"Y","N"))</f>
        <v/>
      </c>
      <c r="W3014" s="39">
        <f>IF($A3014="","",IFERROR(INDEX(계정매핑!$D$5:$D$504,MATCH($F3014&amp;"",계정매핑!$A$5:$A$504,0)),"미매핑"))</f>
        <v/>
      </c>
      <c r="X3014" s="9">
        <f>IF($A3014="","",$F3014&amp;"")</f>
        <v/>
      </c>
    </row>
    <row r="3015">
      <c r="A3015" s="75" t="n">
        <v>2026</v>
      </c>
      <c r="B3015" s="75" t="n">
        <v>4</v>
      </c>
      <c r="C3015" s="75" t="inlineStr">
        <is>
          <t>5100000671</t>
        </is>
      </c>
      <c r="D3015" s="78" t="n">
        <v>46125</v>
      </c>
      <c r="E3015" s="75" t="inlineStr">
        <is>
          <t>KR</t>
        </is>
      </c>
      <c r="F3015" s="75" t="n">
        <v>62102000</v>
      </c>
      <c r="G3015" s="75" t="n">
        <v>1301</v>
      </c>
      <c r="H3015" s="76" t="n">
        <v>131000</v>
      </c>
      <c r="I3015" s="75" t="inlineStr">
        <is>
          <t>4월 해외출장 - N호텔</t>
        </is>
      </c>
      <c r="J3015" s="75" t="inlineStr">
        <is>
          <t>V10007</t>
        </is>
      </c>
      <c r="K3015" s="75" t="inlineStr">
        <is>
          <t>N호텔</t>
        </is>
      </c>
      <c r="M3015" s="9">
        <f>IF($A3015="","",VALUE($A3015&amp;"")*12+VALUE($B3015&amp;""))</f>
        <v/>
      </c>
      <c r="N3015" s="39">
        <f>IF($A3015="","",IFERROR(INDEX(부서매핑!$C$5:$C$504,MATCH($G3015&amp;"",부서매핑!$A$5:$A$504,0)),"미매핑"))</f>
        <v/>
      </c>
      <c r="O3015" s="9">
        <f>IF($A3015="","",N3015&amp;"|"&amp;$F3015)</f>
        <v/>
      </c>
      <c r="P3015" s="77">
        <f>IF($A3015="",0,$H3015*설정!$C$23)</f>
        <v/>
      </c>
      <c r="Q3015" s="39">
        <f>IF($A3015="","",IF(O3015&lt;&gt;원인분석!$C$9,"",IF(AND(M3015&gt;=원인분석!$C$10,M3015&lt;=원인분석!$C$11),"당기",IF(AND(M3015&gt;=원인분석!$C$12,M3015&lt;=원인분석!$C$13),"비교",""))))</f>
        <v/>
      </c>
      <c r="R3015" s="9">
        <f>IF(Q3015="","",$K3015&amp;"")</f>
        <v/>
      </c>
      <c r="S3015" s="9">
        <f>IF(Q3015="","",IF(MATCH(R3015,$R$5:$R$100000,0)=ROW()-4,ROW(),""))</f>
        <v/>
      </c>
      <c r="T3015" s="9">
        <f>IF(Q3015="당기",ABS(P3015)+ROW()/1000000000,"")</f>
        <v/>
      </c>
      <c r="U3015" s="9">
        <f>IF(Q3015="비교",ABS(P3015)+ROW()/1000000000,"")</f>
        <v/>
      </c>
      <c r="V3015" s="39">
        <f>IF($A3015="","",IF(COUNTIF(변동분석!$E$7:$E$506,O3015)&gt;0,"Y","N"))</f>
        <v/>
      </c>
      <c r="W3015" s="39">
        <f>IF($A3015="","",IFERROR(INDEX(계정매핑!$D$5:$D$504,MATCH($F3015&amp;"",계정매핑!$A$5:$A$504,0)),"미매핑"))</f>
        <v/>
      </c>
      <c r="X3015" s="9">
        <f>IF($A3015="","",$F3015&amp;"")</f>
        <v/>
      </c>
    </row>
    <row r="3016">
      <c r="A3016" s="75" t="n">
        <v>2026</v>
      </c>
      <c r="B3016" s="75" t="n">
        <v>4</v>
      </c>
      <c r="C3016" s="75" t="inlineStr">
        <is>
          <t>5100000672</t>
        </is>
      </c>
      <c r="D3016" s="78" t="n">
        <v>46125</v>
      </c>
      <c r="E3016" s="75" t="inlineStr">
        <is>
          <t>KR</t>
        </is>
      </c>
      <c r="F3016" s="75" t="n">
        <v>62201000</v>
      </c>
      <c r="G3016" s="75" t="n">
        <v>1301</v>
      </c>
      <c r="H3016" s="76" t="n">
        <v>113000</v>
      </c>
      <c r="I3016" s="75" t="inlineStr">
        <is>
          <t>4월 통신요금 - O텔레콤</t>
        </is>
      </c>
      <c r="J3016" s="75" t="inlineStr">
        <is>
          <t>V10002</t>
        </is>
      </c>
      <c r="K3016" s="75" t="inlineStr">
        <is>
          <t>O텔레콤</t>
        </is>
      </c>
      <c r="M3016" s="9">
        <f>IF($A3016="","",VALUE($A3016&amp;"")*12+VALUE($B3016&amp;""))</f>
        <v/>
      </c>
      <c r="N3016" s="39">
        <f>IF($A3016="","",IFERROR(INDEX(부서매핑!$C$5:$C$504,MATCH($G3016&amp;"",부서매핑!$A$5:$A$504,0)),"미매핑"))</f>
        <v/>
      </c>
      <c r="O3016" s="9">
        <f>IF($A3016="","",N3016&amp;"|"&amp;$F3016)</f>
        <v/>
      </c>
      <c r="P3016" s="77">
        <f>IF($A3016="",0,$H3016*설정!$C$23)</f>
        <v/>
      </c>
      <c r="Q3016" s="39">
        <f>IF($A3016="","",IF(O3016&lt;&gt;원인분석!$C$9,"",IF(AND(M3016&gt;=원인분석!$C$10,M3016&lt;=원인분석!$C$11),"당기",IF(AND(M3016&gt;=원인분석!$C$12,M3016&lt;=원인분석!$C$13),"비교",""))))</f>
        <v/>
      </c>
      <c r="R3016" s="9">
        <f>IF(Q3016="","",$K3016&amp;"")</f>
        <v/>
      </c>
      <c r="S3016" s="9">
        <f>IF(Q3016="","",IF(MATCH(R3016,$R$5:$R$100000,0)=ROW()-4,ROW(),""))</f>
        <v/>
      </c>
      <c r="T3016" s="9">
        <f>IF(Q3016="당기",ABS(P3016)+ROW()/1000000000,"")</f>
        <v/>
      </c>
      <c r="U3016" s="9">
        <f>IF(Q3016="비교",ABS(P3016)+ROW()/1000000000,"")</f>
        <v/>
      </c>
      <c r="V3016" s="39">
        <f>IF($A3016="","",IF(COUNTIF(변동분석!$E$7:$E$506,O3016)&gt;0,"Y","N"))</f>
        <v/>
      </c>
      <c r="W3016" s="39">
        <f>IF($A3016="","",IFERROR(INDEX(계정매핑!$D$5:$D$504,MATCH($F3016&amp;"",계정매핑!$A$5:$A$504,0)),"미매핑"))</f>
        <v/>
      </c>
      <c r="X3016" s="9">
        <f>IF($A3016="","",$F3016&amp;"")</f>
        <v/>
      </c>
    </row>
    <row r="3017">
      <c r="A3017" s="75" t="n">
        <v>2026</v>
      </c>
      <c r="B3017" s="75" t="n">
        <v>4</v>
      </c>
      <c r="C3017" s="75" t="inlineStr">
        <is>
          <t>5100000673</t>
        </is>
      </c>
      <c r="D3017" s="78" t="n">
        <v>46125</v>
      </c>
      <c r="E3017" s="75" t="inlineStr">
        <is>
          <t>KR</t>
        </is>
      </c>
      <c r="F3017" s="75" t="n">
        <v>62301000</v>
      </c>
      <c r="G3017" s="75" t="n">
        <v>1101</v>
      </c>
      <c r="H3017" s="76" t="n">
        <v>107000</v>
      </c>
      <c r="I3017" s="75" t="inlineStr">
        <is>
          <t>4월 소모품 구입 - Q오피스</t>
        </is>
      </c>
      <c r="J3017" s="75" t="inlineStr">
        <is>
          <t>V10003</t>
        </is>
      </c>
      <c r="K3017" s="75" t="inlineStr">
        <is>
          <t>Q오피스</t>
        </is>
      </c>
      <c r="M3017" s="9">
        <f>IF($A3017="","",VALUE($A3017&amp;"")*12+VALUE($B3017&amp;""))</f>
        <v/>
      </c>
      <c r="N3017" s="39">
        <f>IF($A3017="","",IFERROR(INDEX(부서매핑!$C$5:$C$504,MATCH($G3017&amp;"",부서매핑!$A$5:$A$504,0)),"미매핑"))</f>
        <v/>
      </c>
      <c r="O3017" s="9">
        <f>IF($A3017="","",N3017&amp;"|"&amp;$F3017)</f>
        <v/>
      </c>
      <c r="P3017" s="77">
        <f>IF($A3017="",0,$H3017*설정!$C$23)</f>
        <v/>
      </c>
      <c r="Q3017" s="39">
        <f>IF($A3017="","",IF(O3017&lt;&gt;원인분석!$C$9,"",IF(AND(M3017&gt;=원인분석!$C$10,M3017&lt;=원인분석!$C$11),"당기",IF(AND(M3017&gt;=원인분석!$C$12,M3017&lt;=원인분석!$C$13),"비교",""))))</f>
        <v/>
      </c>
      <c r="R3017" s="9">
        <f>IF(Q3017="","",$K3017&amp;"")</f>
        <v/>
      </c>
      <c r="S3017" s="9">
        <f>IF(Q3017="","",IF(MATCH(R3017,$R$5:$R$100000,0)=ROW()-4,ROW(),""))</f>
        <v/>
      </c>
      <c r="T3017" s="9">
        <f>IF(Q3017="당기",ABS(P3017)+ROW()/1000000000,"")</f>
        <v/>
      </c>
      <c r="U3017" s="9">
        <f>IF(Q3017="비교",ABS(P3017)+ROW()/1000000000,"")</f>
        <v/>
      </c>
      <c r="V3017" s="39">
        <f>IF($A3017="","",IF(COUNTIF(변동분석!$E$7:$E$506,O3017)&gt;0,"Y","N"))</f>
        <v/>
      </c>
      <c r="W3017" s="39">
        <f>IF($A3017="","",IFERROR(INDEX(계정매핑!$D$5:$D$504,MATCH($F3017&amp;"",계정매핑!$A$5:$A$504,0)),"미매핑"))</f>
        <v/>
      </c>
      <c r="X3017" s="9">
        <f>IF($A3017="","",$F3017&amp;"")</f>
        <v/>
      </c>
    </row>
    <row r="3018">
      <c r="A3018" s="75" t="n">
        <v>2026</v>
      </c>
      <c r="B3018" s="75" t="n">
        <v>4</v>
      </c>
      <c r="C3018" s="75" t="inlineStr">
        <is>
          <t>5100000674</t>
        </is>
      </c>
      <c r="D3018" s="78" t="n">
        <v>46125</v>
      </c>
      <c r="E3018" s="75" t="inlineStr">
        <is>
          <t>KR</t>
        </is>
      </c>
      <c r="F3018" s="75" t="n">
        <v>62401000</v>
      </c>
      <c r="G3018" s="75" t="n">
        <v>1502</v>
      </c>
      <c r="H3018" s="76" t="n">
        <v>2539000</v>
      </c>
      <c r="I3018" s="75" t="inlineStr">
        <is>
          <t>4월 인쇄물 제작 - G인쇄</t>
        </is>
      </c>
      <c r="J3018" s="75" t="inlineStr">
        <is>
          <t>V10004</t>
        </is>
      </c>
      <c r="K3018" s="75" t="inlineStr">
        <is>
          <t>G인쇄</t>
        </is>
      </c>
      <c r="M3018" s="9">
        <f>IF($A3018="","",VALUE($A3018&amp;"")*12+VALUE($B3018&amp;""))</f>
        <v/>
      </c>
      <c r="N3018" s="39">
        <f>IF($A3018="","",IFERROR(INDEX(부서매핑!$C$5:$C$504,MATCH($G3018&amp;"",부서매핑!$A$5:$A$504,0)),"미매핑"))</f>
        <v/>
      </c>
      <c r="O3018" s="9">
        <f>IF($A3018="","",N3018&amp;"|"&amp;$F3018)</f>
        <v/>
      </c>
      <c r="P3018" s="77">
        <f>IF($A3018="",0,$H3018*설정!$C$23)</f>
        <v/>
      </c>
      <c r="Q3018" s="39">
        <f>IF($A3018="","",IF(O3018&lt;&gt;원인분석!$C$9,"",IF(AND(M3018&gt;=원인분석!$C$10,M3018&lt;=원인분석!$C$11),"당기",IF(AND(M3018&gt;=원인분석!$C$12,M3018&lt;=원인분석!$C$13),"비교",""))))</f>
        <v/>
      </c>
      <c r="R3018" s="9">
        <f>IF(Q3018="","",$K3018&amp;"")</f>
        <v/>
      </c>
      <c r="S3018" s="9">
        <f>IF(Q3018="","",IF(MATCH(R3018,$R$5:$R$100000,0)=ROW()-4,ROW(),""))</f>
        <v/>
      </c>
      <c r="T3018" s="9">
        <f>IF(Q3018="당기",ABS(P3018)+ROW()/1000000000,"")</f>
        <v/>
      </c>
      <c r="U3018" s="9">
        <f>IF(Q3018="비교",ABS(P3018)+ROW()/1000000000,"")</f>
        <v/>
      </c>
      <c r="V3018" s="39">
        <f>IF($A3018="","",IF(COUNTIF(변동분석!$E$7:$E$506,O3018)&gt;0,"Y","N"))</f>
        <v/>
      </c>
      <c r="W3018" s="39">
        <f>IF($A3018="","",IFERROR(INDEX(계정매핑!$D$5:$D$504,MATCH($F3018&amp;"",계정매핑!$A$5:$A$504,0)),"미매핑"))</f>
        <v/>
      </c>
      <c r="X3018" s="9">
        <f>IF($A3018="","",$F3018&amp;"")</f>
        <v/>
      </c>
    </row>
    <row r="3019">
      <c r="A3019" s="75" t="n">
        <v>2026</v>
      </c>
      <c r="B3019" s="75" t="n">
        <v>4</v>
      </c>
      <c r="C3019" s="75" t="inlineStr">
        <is>
          <t>5100000675</t>
        </is>
      </c>
      <c r="D3019" s="78" t="n">
        <v>46125</v>
      </c>
      <c r="E3019" s="75" t="inlineStr">
        <is>
          <t>KR</t>
        </is>
      </c>
      <c r="F3019" s="75" t="n">
        <v>62501000</v>
      </c>
      <c r="G3019" s="75" t="n">
        <v>1301</v>
      </c>
      <c r="H3019" s="76" t="n">
        <v>156000</v>
      </c>
      <c r="I3019" s="75" t="inlineStr">
        <is>
          <t>4월 회의 다과 - (법인카드)</t>
        </is>
      </c>
      <c r="J3019" s="75" t="inlineStr">
        <is>
          <t>V10008</t>
        </is>
      </c>
      <c r="K3019" s="75" t="inlineStr">
        <is>
          <t>(법인카드)</t>
        </is>
      </c>
      <c r="M3019" s="9">
        <f>IF($A3019="","",VALUE($A3019&amp;"")*12+VALUE($B3019&amp;""))</f>
        <v/>
      </c>
      <c r="N3019" s="39">
        <f>IF($A3019="","",IFERROR(INDEX(부서매핑!$C$5:$C$504,MATCH($G3019&amp;"",부서매핑!$A$5:$A$504,0)),"미매핑"))</f>
        <v/>
      </c>
      <c r="O3019" s="9">
        <f>IF($A3019="","",N3019&amp;"|"&amp;$F3019)</f>
        <v/>
      </c>
      <c r="P3019" s="77">
        <f>IF($A3019="",0,$H3019*설정!$C$23)</f>
        <v/>
      </c>
      <c r="Q3019" s="39">
        <f>IF($A3019="","",IF(O3019&lt;&gt;원인분석!$C$9,"",IF(AND(M3019&gt;=원인분석!$C$10,M3019&lt;=원인분석!$C$11),"당기",IF(AND(M3019&gt;=원인분석!$C$12,M3019&lt;=원인분석!$C$13),"비교",""))))</f>
        <v/>
      </c>
      <c r="R3019" s="9">
        <f>IF(Q3019="","",$K3019&amp;"")</f>
        <v/>
      </c>
      <c r="S3019" s="9">
        <f>IF(Q3019="","",IF(MATCH(R3019,$R$5:$R$100000,0)=ROW()-4,ROW(),""))</f>
        <v/>
      </c>
      <c r="T3019" s="9">
        <f>IF(Q3019="당기",ABS(P3019)+ROW()/1000000000,"")</f>
        <v/>
      </c>
      <c r="U3019" s="9">
        <f>IF(Q3019="비교",ABS(P3019)+ROW()/1000000000,"")</f>
        <v/>
      </c>
      <c r="V3019" s="39">
        <f>IF($A3019="","",IF(COUNTIF(변동분석!$E$7:$E$506,O3019)&gt;0,"Y","N"))</f>
        <v/>
      </c>
      <c r="W3019" s="39">
        <f>IF($A3019="","",IFERROR(INDEX(계정매핑!$D$5:$D$504,MATCH($F3019&amp;"",계정매핑!$A$5:$A$504,0)),"미매핑"))</f>
        <v/>
      </c>
      <c r="X3019" s="9">
        <f>IF($A3019="","",$F3019&amp;"")</f>
        <v/>
      </c>
    </row>
    <row r="3020">
      <c r="A3020" s="75" t="n">
        <v>2026</v>
      </c>
      <c r="B3020" s="75" t="n">
        <v>4</v>
      </c>
      <c r="C3020" s="75" t="inlineStr">
        <is>
          <t>5100000676</t>
        </is>
      </c>
      <c r="D3020" s="78" t="n">
        <v>46125</v>
      </c>
      <c r="E3020" s="75" t="inlineStr">
        <is>
          <t>KR</t>
        </is>
      </c>
      <c r="F3020" s="75" t="n">
        <v>62601000</v>
      </c>
      <c r="G3020" s="75" t="n">
        <v>1502</v>
      </c>
      <c r="H3020" s="76" t="n">
        <v>1422000</v>
      </c>
      <c r="I3020" s="75" t="inlineStr">
        <is>
          <t>4월 업무추진 - (법인카드)</t>
        </is>
      </c>
      <c r="J3020" s="75" t="inlineStr">
        <is>
          <t>V10008</t>
        </is>
      </c>
      <c r="K3020" s="75" t="inlineStr">
        <is>
          <t>(법인카드)</t>
        </is>
      </c>
      <c r="M3020" s="9">
        <f>IF($A3020="","",VALUE($A3020&amp;"")*12+VALUE($B3020&amp;""))</f>
        <v/>
      </c>
      <c r="N3020" s="39">
        <f>IF($A3020="","",IFERROR(INDEX(부서매핑!$C$5:$C$504,MATCH($G3020&amp;"",부서매핑!$A$5:$A$504,0)),"미매핑"))</f>
        <v/>
      </c>
      <c r="O3020" s="9">
        <f>IF($A3020="","",N3020&amp;"|"&amp;$F3020)</f>
        <v/>
      </c>
      <c r="P3020" s="77">
        <f>IF($A3020="",0,$H3020*설정!$C$23)</f>
        <v/>
      </c>
      <c r="Q3020" s="39">
        <f>IF($A3020="","",IF(O3020&lt;&gt;원인분석!$C$9,"",IF(AND(M3020&gt;=원인분석!$C$10,M3020&lt;=원인분석!$C$11),"당기",IF(AND(M3020&gt;=원인분석!$C$12,M3020&lt;=원인분석!$C$13),"비교",""))))</f>
        <v/>
      </c>
      <c r="R3020" s="9">
        <f>IF(Q3020="","",$K3020&amp;"")</f>
        <v/>
      </c>
      <c r="S3020" s="9">
        <f>IF(Q3020="","",IF(MATCH(R3020,$R$5:$R$100000,0)=ROW()-4,ROW(),""))</f>
        <v/>
      </c>
      <c r="T3020" s="9">
        <f>IF(Q3020="당기",ABS(P3020)+ROW()/1000000000,"")</f>
        <v/>
      </c>
      <c r="U3020" s="9">
        <f>IF(Q3020="비교",ABS(P3020)+ROW()/1000000000,"")</f>
        <v/>
      </c>
      <c r="V3020" s="39">
        <f>IF($A3020="","",IF(COUNTIF(변동분석!$E$7:$E$506,O3020)&gt;0,"Y","N"))</f>
        <v/>
      </c>
      <c r="W3020" s="39">
        <f>IF($A3020="","",IFERROR(INDEX(계정매핑!$D$5:$D$504,MATCH($F3020&amp;"",계정매핑!$A$5:$A$504,0)),"미매핑"))</f>
        <v/>
      </c>
      <c r="X3020" s="9">
        <f>IF($A3020="","",$F3020&amp;"")</f>
        <v/>
      </c>
    </row>
    <row r="3021">
      <c r="A3021" s="75" t="n">
        <v>2026</v>
      </c>
      <c r="B3021" s="75" t="n">
        <v>4</v>
      </c>
      <c r="C3021" s="75" t="inlineStr">
        <is>
          <t>5100000677</t>
        </is>
      </c>
      <c r="D3021" s="78" t="n">
        <v>46125</v>
      </c>
      <c r="E3021" s="75" t="inlineStr">
        <is>
          <t>KR</t>
        </is>
      </c>
      <c r="F3021" s="75" t="n">
        <v>62801000</v>
      </c>
      <c r="G3021" s="75" t="n">
        <v>1301</v>
      </c>
      <c r="H3021" s="76" t="n">
        <v>7101000</v>
      </c>
      <c r="I3021" s="75" t="inlineStr">
        <is>
          <t>4월 사내교육 - U에듀</t>
        </is>
      </c>
      <c r="J3021" s="75" t="inlineStr">
        <is>
          <t>V10026</t>
        </is>
      </c>
      <c r="K3021" s="75" t="inlineStr">
        <is>
          <t>U에듀</t>
        </is>
      </c>
      <c r="M3021" s="9">
        <f>IF($A3021="","",VALUE($A3021&amp;"")*12+VALUE($B3021&amp;""))</f>
        <v/>
      </c>
      <c r="N3021" s="39">
        <f>IF($A3021="","",IFERROR(INDEX(부서매핑!$C$5:$C$504,MATCH($G3021&amp;"",부서매핑!$A$5:$A$504,0)),"미매핑"))</f>
        <v/>
      </c>
      <c r="O3021" s="9">
        <f>IF($A3021="","",N3021&amp;"|"&amp;$F3021)</f>
        <v/>
      </c>
      <c r="P3021" s="77">
        <f>IF($A3021="",0,$H3021*설정!$C$23)</f>
        <v/>
      </c>
      <c r="Q3021" s="39">
        <f>IF($A3021="","",IF(O3021&lt;&gt;원인분석!$C$9,"",IF(AND(M3021&gt;=원인분석!$C$10,M3021&lt;=원인분석!$C$11),"당기",IF(AND(M3021&gt;=원인분석!$C$12,M3021&lt;=원인분석!$C$13),"비교",""))))</f>
        <v/>
      </c>
      <c r="R3021" s="9">
        <f>IF(Q3021="","",$K3021&amp;"")</f>
        <v/>
      </c>
      <c r="S3021" s="9">
        <f>IF(Q3021="","",IF(MATCH(R3021,$R$5:$R$100000,0)=ROW()-4,ROW(),""))</f>
        <v/>
      </c>
      <c r="T3021" s="9">
        <f>IF(Q3021="당기",ABS(P3021)+ROW()/1000000000,"")</f>
        <v/>
      </c>
      <c r="U3021" s="9">
        <f>IF(Q3021="비교",ABS(P3021)+ROW()/1000000000,"")</f>
        <v/>
      </c>
      <c r="V3021" s="39">
        <f>IF($A3021="","",IF(COUNTIF(변동분석!$E$7:$E$506,O3021)&gt;0,"Y","N"))</f>
        <v/>
      </c>
      <c r="W3021" s="39">
        <f>IF($A3021="","",IFERROR(INDEX(계정매핑!$D$5:$D$504,MATCH($F3021&amp;"",계정매핑!$A$5:$A$504,0)),"미매핑"))</f>
        <v/>
      </c>
      <c r="X3021" s="9">
        <f>IF($A3021="","",$F3021&amp;"")</f>
        <v/>
      </c>
    </row>
    <row r="3022">
      <c r="A3022" s="75" t="n">
        <v>2026</v>
      </c>
      <c r="B3022" s="75" t="n">
        <v>4</v>
      </c>
      <c r="C3022" s="75" t="inlineStr">
        <is>
          <t>5100000678</t>
        </is>
      </c>
      <c r="D3022" s="78" t="n">
        <v>46125</v>
      </c>
      <c r="E3022" s="75" t="inlineStr">
        <is>
          <t>KR</t>
        </is>
      </c>
      <c r="F3022" s="75" t="n">
        <v>62901000</v>
      </c>
      <c r="G3022" s="75" t="n">
        <v>1401</v>
      </c>
      <c r="H3022" s="76" t="n">
        <v>4361000</v>
      </c>
      <c r="I3022" s="75" t="inlineStr">
        <is>
          <t>4월 자문 수수료 - K회계법인</t>
        </is>
      </c>
      <c r="J3022" s="75" t="inlineStr">
        <is>
          <t>V10010</t>
        </is>
      </c>
      <c r="K3022" s="75" t="inlineStr">
        <is>
          <t>K회계법인</t>
        </is>
      </c>
      <c r="M3022" s="9">
        <f>IF($A3022="","",VALUE($A3022&amp;"")*12+VALUE($B3022&amp;""))</f>
        <v/>
      </c>
      <c r="N3022" s="39">
        <f>IF($A3022="","",IFERROR(INDEX(부서매핑!$C$5:$C$504,MATCH($G3022&amp;"",부서매핑!$A$5:$A$504,0)),"미매핑"))</f>
        <v/>
      </c>
      <c r="O3022" s="9">
        <f>IF($A3022="","",N3022&amp;"|"&amp;$F3022)</f>
        <v/>
      </c>
      <c r="P3022" s="77">
        <f>IF($A3022="",0,$H3022*설정!$C$23)</f>
        <v/>
      </c>
      <c r="Q3022" s="39">
        <f>IF($A3022="","",IF(O3022&lt;&gt;원인분석!$C$9,"",IF(AND(M3022&gt;=원인분석!$C$10,M3022&lt;=원인분석!$C$11),"당기",IF(AND(M3022&gt;=원인분석!$C$12,M3022&lt;=원인분석!$C$13),"비교",""))))</f>
        <v/>
      </c>
      <c r="R3022" s="9">
        <f>IF(Q3022="","",$K3022&amp;"")</f>
        <v/>
      </c>
      <c r="S3022" s="9">
        <f>IF(Q3022="","",IF(MATCH(R3022,$R$5:$R$100000,0)=ROW()-4,ROW(),""))</f>
        <v/>
      </c>
      <c r="T3022" s="9">
        <f>IF(Q3022="당기",ABS(P3022)+ROW()/1000000000,"")</f>
        <v/>
      </c>
      <c r="U3022" s="9">
        <f>IF(Q3022="비교",ABS(P3022)+ROW()/1000000000,"")</f>
        <v/>
      </c>
      <c r="V3022" s="39">
        <f>IF($A3022="","",IF(COUNTIF(변동분석!$E$7:$E$506,O3022)&gt;0,"Y","N"))</f>
        <v/>
      </c>
      <c r="W3022" s="39">
        <f>IF($A3022="","",IFERROR(INDEX(계정매핑!$D$5:$D$504,MATCH($F3022&amp;"",계정매핑!$A$5:$A$504,0)),"미매핑"))</f>
        <v/>
      </c>
      <c r="X3022" s="9">
        <f>IF($A3022="","",$F3022&amp;"")</f>
        <v/>
      </c>
    </row>
    <row r="3023">
      <c r="A3023" s="75" t="n">
        <v>2026</v>
      </c>
      <c r="B3023" s="75" t="n">
        <v>4</v>
      </c>
      <c r="C3023" s="75" t="inlineStr">
        <is>
          <t>5100000679</t>
        </is>
      </c>
      <c r="D3023" s="78" t="n">
        <v>46125</v>
      </c>
      <c r="E3023" s="75" t="inlineStr">
        <is>
          <t>KR</t>
        </is>
      </c>
      <c r="F3023" s="75" t="n">
        <v>62902000</v>
      </c>
      <c r="G3023" s="75" t="n">
        <v>1801</v>
      </c>
      <c r="H3023" s="76" t="n">
        <v>1777000</v>
      </c>
      <c r="I3023" s="75" t="inlineStr">
        <is>
          <t>4월 콜 위탁 수수료(건별)</t>
        </is>
      </c>
      <c r="J3023" s="75" t="inlineStr">
        <is>
          <t>V10013</t>
        </is>
      </c>
      <c r="K3023" s="75" t="inlineStr">
        <is>
          <t>J콜센터</t>
        </is>
      </c>
      <c r="M3023" s="9">
        <f>IF($A3023="","",VALUE($A3023&amp;"")*12+VALUE($B3023&amp;""))</f>
        <v/>
      </c>
      <c r="N3023" s="39">
        <f>IF($A3023="","",IFERROR(INDEX(부서매핑!$C$5:$C$504,MATCH($G3023&amp;"",부서매핑!$A$5:$A$504,0)),"미매핑"))</f>
        <v/>
      </c>
      <c r="O3023" s="9">
        <f>IF($A3023="","",N3023&amp;"|"&amp;$F3023)</f>
        <v/>
      </c>
      <c r="P3023" s="77">
        <f>IF($A3023="",0,$H3023*설정!$C$23)</f>
        <v/>
      </c>
      <c r="Q3023" s="39">
        <f>IF($A3023="","",IF(O3023&lt;&gt;원인분석!$C$9,"",IF(AND(M3023&gt;=원인분석!$C$10,M3023&lt;=원인분석!$C$11),"당기",IF(AND(M3023&gt;=원인분석!$C$12,M3023&lt;=원인분석!$C$13),"비교",""))))</f>
        <v/>
      </c>
      <c r="R3023" s="9">
        <f>IF(Q3023="","",$K3023&amp;"")</f>
        <v/>
      </c>
      <c r="S3023" s="9">
        <f>IF(Q3023="","",IF(MATCH(R3023,$R$5:$R$100000,0)=ROW()-4,ROW(),""))</f>
        <v/>
      </c>
      <c r="T3023" s="9">
        <f>IF(Q3023="당기",ABS(P3023)+ROW()/1000000000,"")</f>
        <v/>
      </c>
      <c r="U3023" s="9">
        <f>IF(Q3023="비교",ABS(P3023)+ROW()/1000000000,"")</f>
        <v/>
      </c>
      <c r="V3023" s="39">
        <f>IF($A3023="","",IF(COUNTIF(변동분석!$E$7:$E$506,O3023)&gt;0,"Y","N"))</f>
        <v/>
      </c>
      <c r="W3023" s="39">
        <f>IF($A3023="","",IFERROR(INDEX(계정매핑!$D$5:$D$504,MATCH($F3023&amp;"",계정매핑!$A$5:$A$504,0)),"미매핑"))</f>
        <v/>
      </c>
      <c r="X3023" s="9">
        <f>IF($A3023="","",$F3023&amp;"")</f>
        <v/>
      </c>
    </row>
    <row r="3024">
      <c r="A3024" s="75" t="n">
        <v>2026</v>
      </c>
      <c r="B3024" s="75" t="n">
        <v>4</v>
      </c>
      <c r="C3024" s="75" t="inlineStr">
        <is>
          <t>5100000680</t>
        </is>
      </c>
      <c r="D3024" s="78" t="n">
        <v>46126</v>
      </c>
      <c r="E3024" s="75" t="inlineStr">
        <is>
          <t>KR</t>
        </is>
      </c>
      <c r="F3024" s="75" t="n">
        <v>62101000</v>
      </c>
      <c r="G3024" s="75" t="n">
        <v>1301</v>
      </c>
      <c r="H3024" s="76" t="n">
        <v>389000</v>
      </c>
      <c r="I3024" s="75" t="inlineStr">
        <is>
          <t>4월 국내출장 - L여행사</t>
        </is>
      </c>
      <c r="J3024" s="75" t="inlineStr">
        <is>
          <t>V10014</t>
        </is>
      </c>
      <c r="K3024" s="75" t="inlineStr">
        <is>
          <t>L여행사</t>
        </is>
      </c>
      <c r="M3024" s="9">
        <f>IF($A3024="","",VALUE($A3024&amp;"")*12+VALUE($B3024&amp;""))</f>
        <v/>
      </c>
      <c r="N3024" s="39">
        <f>IF($A3024="","",IFERROR(INDEX(부서매핑!$C$5:$C$504,MATCH($G3024&amp;"",부서매핑!$A$5:$A$504,0)),"미매핑"))</f>
        <v/>
      </c>
      <c r="O3024" s="9">
        <f>IF($A3024="","",N3024&amp;"|"&amp;$F3024)</f>
        <v/>
      </c>
      <c r="P3024" s="77">
        <f>IF($A3024="",0,$H3024*설정!$C$23)</f>
        <v/>
      </c>
      <c r="Q3024" s="39">
        <f>IF($A3024="","",IF(O3024&lt;&gt;원인분석!$C$9,"",IF(AND(M3024&gt;=원인분석!$C$10,M3024&lt;=원인분석!$C$11),"당기",IF(AND(M3024&gt;=원인분석!$C$12,M3024&lt;=원인분석!$C$13),"비교",""))))</f>
        <v/>
      </c>
      <c r="R3024" s="9">
        <f>IF(Q3024="","",$K3024&amp;"")</f>
        <v/>
      </c>
      <c r="S3024" s="9">
        <f>IF(Q3024="","",IF(MATCH(R3024,$R$5:$R$100000,0)=ROW()-4,ROW(),""))</f>
        <v/>
      </c>
      <c r="T3024" s="9">
        <f>IF(Q3024="당기",ABS(P3024)+ROW()/1000000000,"")</f>
        <v/>
      </c>
      <c r="U3024" s="9">
        <f>IF(Q3024="비교",ABS(P3024)+ROW()/1000000000,"")</f>
        <v/>
      </c>
      <c r="V3024" s="39">
        <f>IF($A3024="","",IF(COUNTIF(변동분석!$E$7:$E$506,O3024)&gt;0,"Y","N"))</f>
        <v/>
      </c>
      <c r="W3024" s="39">
        <f>IF($A3024="","",IFERROR(INDEX(계정매핑!$D$5:$D$504,MATCH($F3024&amp;"",계정매핑!$A$5:$A$504,0)),"미매핑"))</f>
        <v/>
      </c>
      <c r="X3024" s="9">
        <f>IF($A3024="","",$F3024&amp;"")</f>
        <v/>
      </c>
    </row>
    <row r="3025">
      <c r="A3025" s="75" t="n">
        <v>2026</v>
      </c>
      <c r="B3025" s="75" t="n">
        <v>4</v>
      </c>
      <c r="C3025" s="75" t="inlineStr">
        <is>
          <t>5100000681</t>
        </is>
      </c>
      <c r="D3025" s="78" t="n">
        <v>46126</v>
      </c>
      <c r="E3025" s="75" t="inlineStr">
        <is>
          <t>KR</t>
        </is>
      </c>
      <c r="F3025" s="75" t="n">
        <v>62102000</v>
      </c>
      <c r="G3025" s="75" t="n">
        <v>1502</v>
      </c>
      <c r="H3025" s="76" t="n">
        <v>133000</v>
      </c>
      <c r="I3025" s="75" t="inlineStr">
        <is>
          <t>4월 해외출장 - N호텔</t>
        </is>
      </c>
      <c r="J3025" s="75" t="inlineStr">
        <is>
          <t>V10007</t>
        </is>
      </c>
      <c r="K3025" s="75" t="inlineStr">
        <is>
          <t>N호텔</t>
        </is>
      </c>
      <c r="M3025" s="9">
        <f>IF($A3025="","",VALUE($A3025&amp;"")*12+VALUE($B3025&amp;""))</f>
        <v/>
      </c>
      <c r="N3025" s="39">
        <f>IF($A3025="","",IFERROR(INDEX(부서매핑!$C$5:$C$504,MATCH($G3025&amp;"",부서매핑!$A$5:$A$504,0)),"미매핑"))</f>
        <v/>
      </c>
      <c r="O3025" s="9">
        <f>IF($A3025="","",N3025&amp;"|"&amp;$F3025)</f>
        <v/>
      </c>
      <c r="P3025" s="77">
        <f>IF($A3025="",0,$H3025*설정!$C$23)</f>
        <v/>
      </c>
      <c r="Q3025" s="39">
        <f>IF($A3025="","",IF(O3025&lt;&gt;원인분석!$C$9,"",IF(AND(M3025&gt;=원인분석!$C$10,M3025&lt;=원인분석!$C$11),"당기",IF(AND(M3025&gt;=원인분석!$C$12,M3025&lt;=원인분석!$C$13),"비교",""))))</f>
        <v/>
      </c>
      <c r="R3025" s="9">
        <f>IF(Q3025="","",$K3025&amp;"")</f>
        <v/>
      </c>
      <c r="S3025" s="9">
        <f>IF(Q3025="","",IF(MATCH(R3025,$R$5:$R$100000,0)=ROW()-4,ROW(),""))</f>
        <v/>
      </c>
      <c r="T3025" s="9">
        <f>IF(Q3025="당기",ABS(P3025)+ROW()/1000000000,"")</f>
        <v/>
      </c>
      <c r="U3025" s="9">
        <f>IF(Q3025="비교",ABS(P3025)+ROW()/1000000000,"")</f>
        <v/>
      </c>
      <c r="V3025" s="39">
        <f>IF($A3025="","",IF(COUNTIF(변동분석!$E$7:$E$506,O3025)&gt;0,"Y","N"))</f>
        <v/>
      </c>
      <c r="W3025" s="39">
        <f>IF($A3025="","",IFERROR(INDEX(계정매핑!$D$5:$D$504,MATCH($F3025&amp;"",계정매핑!$A$5:$A$504,0)),"미매핑"))</f>
        <v/>
      </c>
      <c r="X3025" s="9">
        <f>IF($A3025="","",$F3025&amp;"")</f>
        <v/>
      </c>
    </row>
    <row r="3026">
      <c r="A3026" s="75" t="n">
        <v>2026</v>
      </c>
      <c r="B3026" s="75" t="n">
        <v>4</v>
      </c>
      <c r="C3026" s="75" t="inlineStr">
        <is>
          <t>5100000682</t>
        </is>
      </c>
      <c r="D3026" s="78" t="n">
        <v>46126</v>
      </c>
      <c r="E3026" s="75" t="inlineStr">
        <is>
          <t>KR</t>
        </is>
      </c>
      <c r="F3026" s="75" t="n">
        <v>62201000</v>
      </c>
      <c r="G3026" s="75" t="n">
        <v>1501</v>
      </c>
      <c r="H3026" s="76" t="n">
        <v>332000</v>
      </c>
      <c r="I3026" s="75" t="inlineStr">
        <is>
          <t>4월 통신요금 - O텔레콤</t>
        </is>
      </c>
      <c r="J3026" s="75" t="inlineStr">
        <is>
          <t>V10002</t>
        </is>
      </c>
      <c r="K3026" s="75" t="inlineStr">
        <is>
          <t>O텔레콤</t>
        </is>
      </c>
      <c r="M3026" s="9">
        <f>IF($A3026="","",VALUE($A3026&amp;"")*12+VALUE($B3026&amp;""))</f>
        <v/>
      </c>
      <c r="N3026" s="39">
        <f>IF($A3026="","",IFERROR(INDEX(부서매핑!$C$5:$C$504,MATCH($G3026&amp;"",부서매핑!$A$5:$A$504,0)),"미매핑"))</f>
        <v/>
      </c>
      <c r="O3026" s="9">
        <f>IF($A3026="","",N3026&amp;"|"&amp;$F3026)</f>
        <v/>
      </c>
      <c r="P3026" s="77">
        <f>IF($A3026="",0,$H3026*설정!$C$23)</f>
        <v/>
      </c>
      <c r="Q3026" s="39">
        <f>IF($A3026="","",IF(O3026&lt;&gt;원인분석!$C$9,"",IF(AND(M3026&gt;=원인분석!$C$10,M3026&lt;=원인분석!$C$11),"당기",IF(AND(M3026&gt;=원인분석!$C$12,M3026&lt;=원인분석!$C$13),"비교",""))))</f>
        <v/>
      </c>
      <c r="R3026" s="9">
        <f>IF(Q3026="","",$K3026&amp;"")</f>
        <v/>
      </c>
      <c r="S3026" s="9">
        <f>IF(Q3026="","",IF(MATCH(R3026,$R$5:$R$100000,0)=ROW()-4,ROW(),""))</f>
        <v/>
      </c>
      <c r="T3026" s="9">
        <f>IF(Q3026="당기",ABS(P3026)+ROW()/1000000000,"")</f>
        <v/>
      </c>
      <c r="U3026" s="9">
        <f>IF(Q3026="비교",ABS(P3026)+ROW()/1000000000,"")</f>
        <v/>
      </c>
      <c r="V3026" s="39">
        <f>IF($A3026="","",IF(COUNTIF(변동분석!$E$7:$E$506,O3026)&gt;0,"Y","N"))</f>
        <v/>
      </c>
      <c r="W3026" s="39">
        <f>IF($A3026="","",IFERROR(INDEX(계정매핑!$D$5:$D$504,MATCH($F3026&amp;"",계정매핑!$A$5:$A$504,0)),"미매핑"))</f>
        <v/>
      </c>
      <c r="X3026" s="9">
        <f>IF($A3026="","",$F3026&amp;"")</f>
        <v/>
      </c>
    </row>
    <row r="3027">
      <c r="A3027" s="75" t="n">
        <v>2026</v>
      </c>
      <c r="B3027" s="75" t="n">
        <v>4</v>
      </c>
      <c r="C3027" s="75" t="inlineStr">
        <is>
          <t>5100000683</t>
        </is>
      </c>
      <c r="D3027" s="78" t="n">
        <v>46126</v>
      </c>
      <c r="E3027" s="75" t="inlineStr">
        <is>
          <t>KR</t>
        </is>
      </c>
      <c r="F3027" s="75" t="n">
        <v>62701000</v>
      </c>
      <c r="G3027" s="75" t="n">
        <v>1301</v>
      </c>
      <c r="H3027" s="76" t="n">
        <v>3200000</v>
      </c>
      <c r="I3027" s="75" t="inlineStr">
        <is>
          <t>경력직 채용공고</t>
        </is>
      </c>
      <c r="J3027" s="75" t="inlineStr">
        <is>
          <t>V10029</t>
        </is>
      </c>
      <c r="K3027" s="75" t="inlineStr">
        <is>
          <t>LL채용</t>
        </is>
      </c>
      <c r="M3027" s="9">
        <f>IF($A3027="","",VALUE($A3027&amp;"")*12+VALUE($B3027&amp;""))</f>
        <v/>
      </c>
      <c r="N3027" s="39">
        <f>IF($A3027="","",IFERROR(INDEX(부서매핑!$C$5:$C$504,MATCH($G3027&amp;"",부서매핑!$A$5:$A$504,0)),"미매핑"))</f>
        <v/>
      </c>
      <c r="O3027" s="9">
        <f>IF($A3027="","",N3027&amp;"|"&amp;$F3027)</f>
        <v/>
      </c>
      <c r="P3027" s="77">
        <f>IF($A3027="",0,$H3027*설정!$C$23)</f>
        <v/>
      </c>
      <c r="Q3027" s="39">
        <f>IF($A3027="","",IF(O3027&lt;&gt;원인분석!$C$9,"",IF(AND(M3027&gt;=원인분석!$C$10,M3027&lt;=원인분석!$C$11),"당기",IF(AND(M3027&gt;=원인분석!$C$12,M3027&lt;=원인분석!$C$13),"비교",""))))</f>
        <v/>
      </c>
      <c r="R3027" s="9">
        <f>IF(Q3027="","",$K3027&amp;"")</f>
        <v/>
      </c>
      <c r="S3027" s="9">
        <f>IF(Q3027="","",IF(MATCH(R3027,$R$5:$R$100000,0)=ROW()-4,ROW(),""))</f>
        <v/>
      </c>
      <c r="T3027" s="9">
        <f>IF(Q3027="당기",ABS(P3027)+ROW()/1000000000,"")</f>
        <v/>
      </c>
      <c r="U3027" s="9">
        <f>IF(Q3027="비교",ABS(P3027)+ROW()/1000000000,"")</f>
        <v/>
      </c>
      <c r="V3027" s="39">
        <f>IF($A3027="","",IF(COUNTIF(변동분석!$E$7:$E$506,O3027)&gt;0,"Y","N"))</f>
        <v/>
      </c>
      <c r="W3027" s="39">
        <f>IF($A3027="","",IFERROR(INDEX(계정매핑!$D$5:$D$504,MATCH($F3027&amp;"",계정매핑!$A$5:$A$504,0)),"미매핑"))</f>
        <v/>
      </c>
      <c r="X3027" s="9">
        <f>IF($A3027="","",$F3027&amp;"")</f>
        <v/>
      </c>
    </row>
    <row r="3028">
      <c r="A3028" s="75" t="n">
        <v>2026</v>
      </c>
      <c r="B3028" s="75" t="n">
        <v>4</v>
      </c>
      <c r="C3028" s="75" t="inlineStr">
        <is>
          <t>5100000684</t>
        </is>
      </c>
      <c r="D3028" s="78" t="n">
        <v>46126</v>
      </c>
      <c r="E3028" s="75" t="inlineStr">
        <is>
          <t>KR</t>
        </is>
      </c>
      <c r="F3028" s="75" t="n">
        <v>62902000</v>
      </c>
      <c r="G3028" s="75" t="n">
        <v>1801</v>
      </c>
      <c r="H3028" s="76" t="n">
        <v>1775000</v>
      </c>
      <c r="I3028" s="75" t="inlineStr">
        <is>
          <t>4월 콜 위탁 수수료(건별)</t>
        </is>
      </c>
      <c r="J3028" s="75" t="inlineStr">
        <is>
          <t>V10013</t>
        </is>
      </c>
      <c r="K3028" s="75" t="inlineStr">
        <is>
          <t>J콜센터</t>
        </is>
      </c>
      <c r="M3028" s="9">
        <f>IF($A3028="","",VALUE($A3028&amp;"")*12+VALUE($B3028&amp;""))</f>
        <v/>
      </c>
      <c r="N3028" s="39">
        <f>IF($A3028="","",IFERROR(INDEX(부서매핑!$C$5:$C$504,MATCH($G3028&amp;"",부서매핑!$A$5:$A$504,0)),"미매핑"))</f>
        <v/>
      </c>
      <c r="O3028" s="9">
        <f>IF($A3028="","",N3028&amp;"|"&amp;$F3028)</f>
        <v/>
      </c>
      <c r="P3028" s="77">
        <f>IF($A3028="",0,$H3028*설정!$C$23)</f>
        <v/>
      </c>
      <c r="Q3028" s="39">
        <f>IF($A3028="","",IF(O3028&lt;&gt;원인분석!$C$9,"",IF(AND(M3028&gt;=원인분석!$C$10,M3028&lt;=원인분석!$C$11),"당기",IF(AND(M3028&gt;=원인분석!$C$12,M3028&lt;=원인분석!$C$13),"비교",""))))</f>
        <v/>
      </c>
      <c r="R3028" s="9">
        <f>IF(Q3028="","",$K3028&amp;"")</f>
        <v/>
      </c>
      <c r="S3028" s="9">
        <f>IF(Q3028="","",IF(MATCH(R3028,$R$5:$R$100000,0)=ROW()-4,ROW(),""))</f>
        <v/>
      </c>
      <c r="T3028" s="9">
        <f>IF(Q3028="당기",ABS(P3028)+ROW()/1000000000,"")</f>
        <v/>
      </c>
      <c r="U3028" s="9">
        <f>IF(Q3028="비교",ABS(P3028)+ROW()/1000000000,"")</f>
        <v/>
      </c>
      <c r="V3028" s="39">
        <f>IF($A3028="","",IF(COUNTIF(변동분석!$E$7:$E$506,O3028)&gt;0,"Y","N"))</f>
        <v/>
      </c>
      <c r="W3028" s="39">
        <f>IF($A3028="","",IFERROR(INDEX(계정매핑!$D$5:$D$504,MATCH($F3028&amp;"",계정매핑!$A$5:$A$504,0)),"미매핑"))</f>
        <v/>
      </c>
      <c r="X3028" s="9">
        <f>IF($A3028="","",$F3028&amp;"")</f>
        <v/>
      </c>
    </row>
    <row r="3029">
      <c r="A3029" s="75" t="n">
        <v>2026</v>
      </c>
      <c r="B3029" s="75" t="n">
        <v>4</v>
      </c>
      <c r="C3029" s="75" t="inlineStr">
        <is>
          <t>5100000685</t>
        </is>
      </c>
      <c r="D3029" s="78" t="n">
        <v>46126</v>
      </c>
      <c r="E3029" s="75" t="inlineStr">
        <is>
          <t>KR</t>
        </is>
      </c>
      <c r="F3029" s="75" t="n">
        <v>62902000</v>
      </c>
      <c r="G3029" s="75" t="n">
        <v>1801</v>
      </c>
      <c r="H3029" s="76" t="n">
        <v>3000000</v>
      </c>
      <c r="I3029" s="75" t="inlineStr">
        <is>
          <t>4월 업무 위탁 수수료 - X서비스</t>
        </is>
      </c>
      <c r="J3029" s="75" t="inlineStr">
        <is>
          <t>V10016</t>
        </is>
      </c>
      <c r="K3029" s="75" t="inlineStr">
        <is>
          <t>X서비스</t>
        </is>
      </c>
      <c r="M3029" s="9">
        <f>IF($A3029="","",VALUE($A3029&amp;"")*12+VALUE($B3029&amp;""))</f>
        <v/>
      </c>
      <c r="N3029" s="39">
        <f>IF($A3029="","",IFERROR(INDEX(부서매핑!$C$5:$C$504,MATCH($G3029&amp;"",부서매핑!$A$5:$A$504,0)),"미매핑"))</f>
        <v/>
      </c>
      <c r="O3029" s="9">
        <f>IF($A3029="","",N3029&amp;"|"&amp;$F3029)</f>
        <v/>
      </c>
      <c r="P3029" s="77">
        <f>IF($A3029="",0,$H3029*설정!$C$23)</f>
        <v/>
      </c>
      <c r="Q3029" s="39">
        <f>IF($A3029="","",IF(O3029&lt;&gt;원인분석!$C$9,"",IF(AND(M3029&gt;=원인분석!$C$10,M3029&lt;=원인분석!$C$11),"당기",IF(AND(M3029&gt;=원인분석!$C$12,M3029&lt;=원인분석!$C$13),"비교",""))))</f>
        <v/>
      </c>
      <c r="R3029" s="9">
        <f>IF(Q3029="","",$K3029&amp;"")</f>
        <v/>
      </c>
      <c r="S3029" s="9">
        <f>IF(Q3029="","",IF(MATCH(R3029,$R$5:$R$100000,0)=ROW()-4,ROW(),""))</f>
        <v/>
      </c>
      <c r="T3029" s="9">
        <f>IF(Q3029="당기",ABS(P3029)+ROW()/1000000000,"")</f>
        <v/>
      </c>
      <c r="U3029" s="9">
        <f>IF(Q3029="비교",ABS(P3029)+ROW()/1000000000,"")</f>
        <v/>
      </c>
      <c r="V3029" s="39">
        <f>IF($A3029="","",IF(COUNTIF(변동분석!$E$7:$E$506,O3029)&gt;0,"Y","N"))</f>
        <v/>
      </c>
      <c r="W3029" s="39">
        <f>IF($A3029="","",IFERROR(INDEX(계정매핑!$D$5:$D$504,MATCH($F3029&amp;"",계정매핑!$A$5:$A$504,0)),"미매핑"))</f>
        <v/>
      </c>
      <c r="X3029" s="9">
        <f>IF($A3029="","",$F3029&amp;"")</f>
        <v/>
      </c>
    </row>
    <row r="3030">
      <c r="A3030" s="75" t="n">
        <v>2026</v>
      </c>
      <c r="B3030" s="75" t="n">
        <v>4</v>
      </c>
      <c r="C3030" s="75" t="inlineStr">
        <is>
          <t>5100000686</t>
        </is>
      </c>
      <c r="D3030" s="78" t="n">
        <v>46126</v>
      </c>
      <c r="E3030" s="75" t="inlineStr">
        <is>
          <t>KR</t>
        </is>
      </c>
      <c r="F3030" s="75" t="n">
        <v>63201000</v>
      </c>
      <c r="G3030" s="75" t="n">
        <v>1601</v>
      </c>
      <c r="H3030" s="76" t="n">
        <v>2047000</v>
      </c>
      <c r="I3030" s="75" t="inlineStr">
        <is>
          <t>4월 차량 유지 - H에너지</t>
        </is>
      </c>
      <c r="J3030" s="75" t="inlineStr">
        <is>
          <t>V10025</t>
        </is>
      </c>
      <c r="K3030" s="75" t="inlineStr">
        <is>
          <t>H에너지</t>
        </is>
      </c>
      <c r="M3030" s="9">
        <f>IF($A3030="","",VALUE($A3030&amp;"")*12+VALUE($B3030&amp;""))</f>
        <v/>
      </c>
      <c r="N3030" s="39">
        <f>IF($A3030="","",IFERROR(INDEX(부서매핑!$C$5:$C$504,MATCH($G3030&amp;"",부서매핑!$A$5:$A$504,0)),"미매핑"))</f>
        <v/>
      </c>
      <c r="O3030" s="9">
        <f>IF($A3030="","",N3030&amp;"|"&amp;$F3030)</f>
        <v/>
      </c>
      <c r="P3030" s="77">
        <f>IF($A3030="",0,$H3030*설정!$C$23)</f>
        <v/>
      </c>
      <c r="Q3030" s="39">
        <f>IF($A3030="","",IF(O3030&lt;&gt;원인분석!$C$9,"",IF(AND(M3030&gt;=원인분석!$C$10,M3030&lt;=원인분석!$C$11),"당기",IF(AND(M3030&gt;=원인분석!$C$12,M3030&lt;=원인분석!$C$13),"비교",""))))</f>
        <v/>
      </c>
      <c r="R3030" s="9">
        <f>IF(Q3030="","",$K3030&amp;"")</f>
        <v/>
      </c>
      <c r="S3030" s="9">
        <f>IF(Q3030="","",IF(MATCH(R3030,$R$5:$R$100000,0)=ROW()-4,ROW(),""))</f>
        <v/>
      </c>
      <c r="T3030" s="9">
        <f>IF(Q3030="당기",ABS(P3030)+ROW()/1000000000,"")</f>
        <v/>
      </c>
      <c r="U3030" s="9">
        <f>IF(Q3030="비교",ABS(P3030)+ROW()/1000000000,"")</f>
        <v/>
      </c>
      <c r="V3030" s="39">
        <f>IF($A3030="","",IF(COUNTIF(변동분석!$E$7:$E$506,O3030)&gt;0,"Y","N"))</f>
        <v/>
      </c>
      <c r="W3030" s="39">
        <f>IF($A3030="","",IFERROR(INDEX(계정매핑!$D$5:$D$504,MATCH($F3030&amp;"",계정매핑!$A$5:$A$504,0)),"미매핑"))</f>
        <v/>
      </c>
      <c r="X3030" s="9">
        <f>IF($A3030="","",$F3030&amp;"")</f>
        <v/>
      </c>
    </row>
    <row r="3031">
      <c r="A3031" s="75" t="n">
        <v>2026</v>
      </c>
      <c r="B3031" s="75" t="n">
        <v>4</v>
      </c>
      <c r="C3031" s="75" t="inlineStr">
        <is>
          <t>5100000687</t>
        </is>
      </c>
      <c r="D3031" s="78" t="n">
        <v>46127</v>
      </c>
      <c r="E3031" s="75" t="inlineStr">
        <is>
          <t>KR</t>
        </is>
      </c>
      <c r="F3031" s="75" t="n">
        <v>62101000</v>
      </c>
      <c r="G3031" s="75" t="n">
        <v>1602</v>
      </c>
      <c r="H3031" s="76" t="n">
        <v>855000</v>
      </c>
      <c r="I3031" s="75" t="inlineStr">
        <is>
          <t>4월 국내출장 - (법인카드)</t>
        </is>
      </c>
      <c r="J3031" s="75" t="inlineStr">
        <is>
          <t>V10008</t>
        </is>
      </c>
      <c r="K3031" s="75" t="inlineStr">
        <is>
          <t>(법인카드)</t>
        </is>
      </c>
      <c r="M3031" s="9">
        <f>IF($A3031="","",VALUE($A3031&amp;"")*12+VALUE($B3031&amp;""))</f>
        <v/>
      </c>
      <c r="N3031" s="39">
        <f>IF($A3031="","",IFERROR(INDEX(부서매핑!$C$5:$C$504,MATCH($G3031&amp;"",부서매핑!$A$5:$A$504,0)),"미매핑"))</f>
        <v/>
      </c>
      <c r="O3031" s="9">
        <f>IF($A3031="","",N3031&amp;"|"&amp;$F3031)</f>
        <v/>
      </c>
      <c r="P3031" s="77">
        <f>IF($A3031="",0,$H3031*설정!$C$23)</f>
        <v/>
      </c>
      <c r="Q3031" s="39">
        <f>IF($A3031="","",IF(O3031&lt;&gt;원인분석!$C$9,"",IF(AND(M3031&gt;=원인분석!$C$10,M3031&lt;=원인분석!$C$11),"당기",IF(AND(M3031&gt;=원인분석!$C$12,M3031&lt;=원인분석!$C$13),"비교",""))))</f>
        <v/>
      </c>
      <c r="R3031" s="9">
        <f>IF(Q3031="","",$K3031&amp;"")</f>
        <v/>
      </c>
      <c r="S3031" s="9">
        <f>IF(Q3031="","",IF(MATCH(R3031,$R$5:$R$100000,0)=ROW()-4,ROW(),""))</f>
        <v/>
      </c>
      <c r="T3031" s="9">
        <f>IF(Q3031="당기",ABS(P3031)+ROW()/1000000000,"")</f>
        <v/>
      </c>
      <c r="U3031" s="9">
        <f>IF(Q3031="비교",ABS(P3031)+ROW()/1000000000,"")</f>
        <v/>
      </c>
      <c r="V3031" s="39">
        <f>IF($A3031="","",IF(COUNTIF(변동분석!$E$7:$E$506,O3031)&gt;0,"Y","N"))</f>
        <v/>
      </c>
      <c r="W3031" s="39">
        <f>IF($A3031="","",IFERROR(INDEX(계정매핑!$D$5:$D$504,MATCH($F3031&amp;"",계정매핑!$A$5:$A$504,0)),"미매핑"))</f>
        <v/>
      </c>
      <c r="X3031" s="9">
        <f>IF($A3031="","",$F3031&amp;"")</f>
        <v/>
      </c>
    </row>
    <row r="3032">
      <c r="A3032" s="75" t="n">
        <v>2026</v>
      </c>
      <c r="B3032" s="75" t="n">
        <v>4</v>
      </c>
      <c r="C3032" s="75" t="inlineStr">
        <is>
          <t>5100000688</t>
        </is>
      </c>
      <c r="D3032" s="78" t="n">
        <v>46127</v>
      </c>
      <c r="E3032" s="75" t="inlineStr">
        <is>
          <t>KR</t>
        </is>
      </c>
      <c r="F3032" s="75" t="n">
        <v>62102000</v>
      </c>
      <c r="G3032" s="75" t="n">
        <v>1502</v>
      </c>
      <c r="H3032" s="76" t="n">
        <v>114000</v>
      </c>
      <c r="I3032" s="75" t="inlineStr">
        <is>
          <t>4월 해외출장 - M항공</t>
        </is>
      </c>
      <c r="J3032" s="75" t="inlineStr">
        <is>
          <t>V10001</t>
        </is>
      </c>
      <c r="K3032" s="75" t="inlineStr">
        <is>
          <t>M항공</t>
        </is>
      </c>
      <c r="M3032" s="9">
        <f>IF($A3032="","",VALUE($A3032&amp;"")*12+VALUE($B3032&amp;""))</f>
        <v/>
      </c>
      <c r="N3032" s="39">
        <f>IF($A3032="","",IFERROR(INDEX(부서매핑!$C$5:$C$504,MATCH($G3032&amp;"",부서매핑!$A$5:$A$504,0)),"미매핑"))</f>
        <v/>
      </c>
      <c r="O3032" s="9">
        <f>IF($A3032="","",N3032&amp;"|"&amp;$F3032)</f>
        <v/>
      </c>
      <c r="P3032" s="77">
        <f>IF($A3032="",0,$H3032*설정!$C$23)</f>
        <v/>
      </c>
      <c r="Q3032" s="39">
        <f>IF($A3032="","",IF(O3032&lt;&gt;원인분석!$C$9,"",IF(AND(M3032&gt;=원인분석!$C$10,M3032&lt;=원인분석!$C$11),"당기",IF(AND(M3032&gt;=원인분석!$C$12,M3032&lt;=원인분석!$C$13),"비교",""))))</f>
        <v/>
      </c>
      <c r="R3032" s="9">
        <f>IF(Q3032="","",$K3032&amp;"")</f>
        <v/>
      </c>
      <c r="S3032" s="9">
        <f>IF(Q3032="","",IF(MATCH(R3032,$R$5:$R$100000,0)=ROW()-4,ROW(),""))</f>
        <v/>
      </c>
      <c r="T3032" s="9">
        <f>IF(Q3032="당기",ABS(P3032)+ROW()/1000000000,"")</f>
        <v/>
      </c>
      <c r="U3032" s="9">
        <f>IF(Q3032="비교",ABS(P3032)+ROW()/1000000000,"")</f>
        <v/>
      </c>
      <c r="V3032" s="39">
        <f>IF($A3032="","",IF(COUNTIF(변동분석!$E$7:$E$506,O3032)&gt;0,"Y","N"))</f>
        <v/>
      </c>
      <c r="W3032" s="39">
        <f>IF($A3032="","",IFERROR(INDEX(계정매핑!$D$5:$D$504,MATCH($F3032&amp;"",계정매핑!$A$5:$A$504,0)),"미매핑"))</f>
        <v/>
      </c>
      <c r="X3032" s="9">
        <f>IF($A3032="","",$F3032&amp;"")</f>
        <v/>
      </c>
    </row>
    <row r="3033">
      <c r="A3033" s="75" t="n">
        <v>2026</v>
      </c>
      <c r="B3033" s="75" t="n">
        <v>4</v>
      </c>
      <c r="C3033" s="75" t="inlineStr">
        <is>
          <t>5100000689</t>
        </is>
      </c>
      <c r="D3033" s="78" t="n">
        <v>46127</v>
      </c>
      <c r="E3033" s="75" t="inlineStr">
        <is>
          <t>KR</t>
        </is>
      </c>
      <c r="F3033" s="75" t="n">
        <v>62201000</v>
      </c>
      <c r="G3033" s="75" t="n">
        <v>1101</v>
      </c>
      <c r="H3033" s="76" t="n">
        <v>271000</v>
      </c>
      <c r="I3033" s="75" t="inlineStr">
        <is>
          <t>4월 통신요금 - P통신</t>
        </is>
      </c>
      <c r="J3033" s="75" t="inlineStr">
        <is>
          <t>V10011</t>
        </is>
      </c>
      <c r="K3033" s="75" t="inlineStr">
        <is>
          <t>P통신</t>
        </is>
      </c>
      <c r="M3033" s="9">
        <f>IF($A3033="","",VALUE($A3033&amp;"")*12+VALUE($B3033&amp;""))</f>
        <v/>
      </c>
      <c r="N3033" s="39">
        <f>IF($A3033="","",IFERROR(INDEX(부서매핑!$C$5:$C$504,MATCH($G3033&amp;"",부서매핑!$A$5:$A$504,0)),"미매핑"))</f>
        <v/>
      </c>
      <c r="O3033" s="9">
        <f>IF($A3033="","",N3033&amp;"|"&amp;$F3033)</f>
        <v/>
      </c>
      <c r="P3033" s="77">
        <f>IF($A3033="",0,$H3033*설정!$C$23)</f>
        <v/>
      </c>
      <c r="Q3033" s="39">
        <f>IF($A3033="","",IF(O3033&lt;&gt;원인분석!$C$9,"",IF(AND(M3033&gt;=원인분석!$C$10,M3033&lt;=원인분석!$C$11),"당기",IF(AND(M3033&gt;=원인분석!$C$12,M3033&lt;=원인분석!$C$13),"비교",""))))</f>
        <v/>
      </c>
      <c r="R3033" s="9">
        <f>IF(Q3033="","",$K3033&amp;"")</f>
        <v/>
      </c>
      <c r="S3033" s="9">
        <f>IF(Q3033="","",IF(MATCH(R3033,$R$5:$R$100000,0)=ROW()-4,ROW(),""))</f>
        <v/>
      </c>
      <c r="T3033" s="9">
        <f>IF(Q3033="당기",ABS(P3033)+ROW()/1000000000,"")</f>
        <v/>
      </c>
      <c r="U3033" s="9">
        <f>IF(Q3033="비교",ABS(P3033)+ROW()/1000000000,"")</f>
        <v/>
      </c>
      <c r="V3033" s="39">
        <f>IF($A3033="","",IF(COUNTIF(변동분석!$E$7:$E$506,O3033)&gt;0,"Y","N"))</f>
        <v/>
      </c>
      <c r="W3033" s="39">
        <f>IF($A3033="","",IFERROR(INDEX(계정매핑!$D$5:$D$504,MATCH($F3033&amp;"",계정매핑!$A$5:$A$504,0)),"미매핑"))</f>
        <v/>
      </c>
      <c r="X3033" s="9">
        <f>IF($A3033="","",$F3033&amp;"")</f>
        <v/>
      </c>
    </row>
    <row r="3034">
      <c r="A3034" s="75" t="n">
        <v>2026</v>
      </c>
      <c r="B3034" s="75" t="n">
        <v>4</v>
      </c>
      <c r="C3034" s="75" t="inlineStr">
        <is>
          <t>5100000690</t>
        </is>
      </c>
      <c r="D3034" s="78" t="n">
        <v>46127</v>
      </c>
      <c r="E3034" s="75" t="inlineStr">
        <is>
          <t>KR</t>
        </is>
      </c>
      <c r="F3034" s="75" t="n">
        <v>62201000</v>
      </c>
      <c r="G3034" s="75" t="n">
        <v>1301</v>
      </c>
      <c r="H3034" s="76" t="n">
        <v>136000</v>
      </c>
      <c r="I3034" s="75" t="inlineStr">
        <is>
          <t>4월 통신요금 - P통신</t>
        </is>
      </c>
      <c r="J3034" s="75" t="inlineStr">
        <is>
          <t>V10011</t>
        </is>
      </c>
      <c r="K3034" s="75" t="inlineStr">
        <is>
          <t>P통신</t>
        </is>
      </c>
      <c r="M3034" s="9">
        <f>IF($A3034="","",VALUE($A3034&amp;"")*12+VALUE($B3034&amp;""))</f>
        <v/>
      </c>
      <c r="N3034" s="39">
        <f>IF($A3034="","",IFERROR(INDEX(부서매핑!$C$5:$C$504,MATCH($G3034&amp;"",부서매핑!$A$5:$A$504,0)),"미매핑"))</f>
        <v/>
      </c>
      <c r="O3034" s="9">
        <f>IF($A3034="","",N3034&amp;"|"&amp;$F3034)</f>
        <v/>
      </c>
      <c r="P3034" s="77">
        <f>IF($A3034="",0,$H3034*설정!$C$23)</f>
        <v/>
      </c>
      <c r="Q3034" s="39">
        <f>IF($A3034="","",IF(O3034&lt;&gt;원인분석!$C$9,"",IF(AND(M3034&gt;=원인분석!$C$10,M3034&lt;=원인분석!$C$11),"당기",IF(AND(M3034&gt;=원인분석!$C$12,M3034&lt;=원인분석!$C$13),"비교",""))))</f>
        <v/>
      </c>
      <c r="R3034" s="9">
        <f>IF(Q3034="","",$K3034&amp;"")</f>
        <v/>
      </c>
      <c r="S3034" s="9">
        <f>IF(Q3034="","",IF(MATCH(R3034,$R$5:$R$100000,0)=ROW()-4,ROW(),""))</f>
        <v/>
      </c>
      <c r="T3034" s="9">
        <f>IF(Q3034="당기",ABS(P3034)+ROW()/1000000000,"")</f>
        <v/>
      </c>
      <c r="U3034" s="9">
        <f>IF(Q3034="비교",ABS(P3034)+ROW()/1000000000,"")</f>
        <v/>
      </c>
      <c r="V3034" s="39">
        <f>IF($A3034="","",IF(COUNTIF(변동분석!$E$7:$E$506,O3034)&gt;0,"Y","N"))</f>
        <v/>
      </c>
      <c r="W3034" s="39">
        <f>IF($A3034="","",IFERROR(INDEX(계정매핑!$D$5:$D$504,MATCH($F3034&amp;"",계정매핑!$A$5:$A$504,0)),"미매핑"))</f>
        <v/>
      </c>
      <c r="X3034" s="9">
        <f>IF($A3034="","",$F3034&amp;"")</f>
        <v/>
      </c>
    </row>
    <row r="3035">
      <c r="A3035" s="75" t="n">
        <v>2026</v>
      </c>
      <c r="B3035" s="75" t="n">
        <v>4</v>
      </c>
      <c r="C3035" s="75" t="inlineStr">
        <is>
          <t>5100000691</t>
        </is>
      </c>
      <c r="D3035" s="78" t="n">
        <v>46127</v>
      </c>
      <c r="E3035" s="75" t="inlineStr">
        <is>
          <t>KR</t>
        </is>
      </c>
      <c r="F3035" s="75" t="n">
        <v>62301000</v>
      </c>
      <c r="G3035" s="75" t="n">
        <v>1401</v>
      </c>
      <c r="H3035" s="76" t="n">
        <v>162000</v>
      </c>
      <c r="I3035" s="75" t="inlineStr">
        <is>
          <t>4월 소모품 구입 - Q오피스</t>
        </is>
      </c>
      <c r="J3035" s="75" t="inlineStr">
        <is>
          <t>V10003</t>
        </is>
      </c>
      <c r="K3035" s="75" t="inlineStr">
        <is>
          <t>Q오피스</t>
        </is>
      </c>
      <c r="M3035" s="9">
        <f>IF($A3035="","",VALUE($A3035&amp;"")*12+VALUE($B3035&amp;""))</f>
        <v/>
      </c>
      <c r="N3035" s="39">
        <f>IF($A3035="","",IFERROR(INDEX(부서매핑!$C$5:$C$504,MATCH($G3035&amp;"",부서매핑!$A$5:$A$504,0)),"미매핑"))</f>
        <v/>
      </c>
      <c r="O3035" s="9">
        <f>IF($A3035="","",N3035&amp;"|"&amp;$F3035)</f>
        <v/>
      </c>
      <c r="P3035" s="77">
        <f>IF($A3035="",0,$H3035*설정!$C$23)</f>
        <v/>
      </c>
      <c r="Q3035" s="39">
        <f>IF($A3035="","",IF(O3035&lt;&gt;원인분석!$C$9,"",IF(AND(M3035&gt;=원인분석!$C$10,M3035&lt;=원인분석!$C$11),"당기",IF(AND(M3035&gt;=원인분석!$C$12,M3035&lt;=원인분석!$C$13),"비교",""))))</f>
        <v/>
      </c>
      <c r="R3035" s="9">
        <f>IF(Q3035="","",$K3035&amp;"")</f>
        <v/>
      </c>
      <c r="S3035" s="9">
        <f>IF(Q3035="","",IF(MATCH(R3035,$R$5:$R$100000,0)=ROW()-4,ROW(),""))</f>
        <v/>
      </c>
      <c r="T3035" s="9">
        <f>IF(Q3035="당기",ABS(P3035)+ROW()/1000000000,"")</f>
        <v/>
      </c>
      <c r="U3035" s="9">
        <f>IF(Q3035="비교",ABS(P3035)+ROW()/1000000000,"")</f>
        <v/>
      </c>
      <c r="V3035" s="39">
        <f>IF($A3035="","",IF(COUNTIF(변동분석!$E$7:$E$506,O3035)&gt;0,"Y","N"))</f>
        <v/>
      </c>
      <c r="W3035" s="39">
        <f>IF($A3035="","",IFERROR(INDEX(계정매핑!$D$5:$D$504,MATCH($F3035&amp;"",계정매핑!$A$5:$A$504,0)),"미매핑"))</f>
        <v/>
      </c>
      <c r="X3035" s="9">
        <f>IF($A3035="","",$F3035&amp;"")</f>
        <v/>
      </c>
    </row>
    <row r="3036">
      <c r="A3036" s="75" t="n">
        <v>2026</v>
      </c>
      <c r="B3036" s="75" t="n">
        <v>4</v>
      </c>
      <c r="C3036" s="75" t="inlineStr">
        <is>
          <t>5100000692</t>
        </is>
      </c>
      <c r="D3036" s="78" t="n">
        <v>46127</v>
      </c>
      <c r="E3036" s="75" t="inlineStr">
        <is>
          <t>KR</t>
        </is>
      </c>
      <c r="F3036" s="75" t="n">
        <v>62301000</v>
      </c>
      <c r="G3036" s="75" t="n">
        <v>1701</v>
      </c>
      <c r="H3036" s="76" t="n">
        <v>226000</v>
      </c>
      <c r="I3036" s="75" t="inlineStr">
        <is>
          <t>4월 소모품 구입 - Q오피스</t>
        </is>
      </c>
      <c r="J3036" s="75" t="inlineStr">
        <is>
          <t>V10003</t>
        </is>
      </c>
      <c r="K3036" s="75" t="inlineStr">
        <is>
          <t>Q오피스</t>
        </is>
      </c>
      <c r="M3036" s="9">
        <f>IF($A3036="","",VALUE($A3036&amp;"")*12+VALUE($B3036&amp;""))</f>
        <v/>
      </c>
      <c r="N3036" s="39">
        <f>IF($A3036="","",IFERROR(INDEX(부서매핑!$C$5:$C$504,MATCH($G3036&amp;"",부서매핑!$A$5:$A$504,0)),"미매핑"))</f>
        <v/>
      </c>
      <c r="O3036" s="9">
        <f>IF($A3036="","",N3036&amp;"|"&amp;$F3036)</f>
        <v/>
      </c>
      <c r="P3036" s="77">
        <f>IF($A3036="",0,$H3036*설정!$C$23)</f>
        <v/>
      </c>
      <c r="Q3036" s="39">
        <f>IF($A3036="","",IF(O3036&lt;&gt;원인분석!$C$9,"",IF(AND(M3036&gt;=원인분석!$C$10,M3036&lt;=원인분석!$C$11),"당기",IF(AND(M3036&gt;=원인분석!$C$12,M3036&lt;=원인분석!$C$13),"비교",""))))</f>
        <v/>
      </c>
      <c r="R3036" s="9">
        <f>IF(Q3036="","",$K3036&amp;"")</f>
        <v/>
      </c>
      <c r="S3036" s="9">
        <f>IF(Q3036="","",IF(MATCH(R3036,$R$5:$R$100000,0)=ROW()-4,ROW(),""))</f>
        <v/>
      </c>
      <c r="T3036" s="9">
        <f>IF(Q3036="당기",ABS(P3036)+ROW()/1000000000,"")</f>
        <v/>
      </c>
      <c r="U3036" s="9">
        <f>IF(Q3036="비교",ABS(P3036)+ROW()/1000000000,"")</f>
        <v/>
      </c>
      <c r="V3036" s="39">
        <f>IF($A3036="","",IF(COUNTIF(변동분석!$E$7:$E$506,O3036)&gt;0,"Y","N"))</f>
        <v/>
      </c>
      <c r="W3036" s="39">
        <f>IF($A3036="","",IFERROR(INDEX(계정매핑!$D$5:$D$504,MATCH($F3036&amp;"",계정매핑!$A$5:$A$504,0)),"미매핑"))</f>
        <v/>
      </c>
      <c r="X3036" s="9">
        <f>IF($A3036="","",$F3036&amp;"")</f>
        <v/>
      </c>
    </row>
    <row r="3037">
      <c r="A3037" s="75" t="n">
        <v>2026</v>
      </c>
      <c r="B3037" s="75" t="n">
        <v>4</v>
      </c>
      <c r="C3037" s="75" t="inlineStr">
        <is>
          <t>5100000693</t>
        </is>
      </c>
      <c r="D3037" s="78" t="n">
        <v>46127</v>
      </c>
      <c r="E3037" s="75" t="inlineStr">
        <is>
          <t>KR</t>
        </is>
      </c>
      <c r="F3037" s="75" t="n">
        <v>62501000</v>
      </c>
      <c r="G3037" s="75" t="n">
        <v>1201</v>
      </c>
      <c r="H3037" s="76" t="n">
        <v>138000</v>
      </c>
      <c r="I3037" s="75" t="inlineStr">
        <is>
          <t>4월 회의 다과 - (법인카드)</t>
        </is>
      </c>
      <c r="J3037" s="75" t="inlineStr">
        <is>
          <t>V10008</t>
        </is>
      </c>
      <c r="K3037" s="75" t="inlineStr">
        <is>
          <t>(법인카드)</t>
        </is>
      </c>
      <c r="M3037" s="9">
        <f>IF($A3037="","",VALUE($A3037&amp;"")*12+VALUE($B3037&amp;""))</f>
        <v/>
      </c>
      <c r="N3037" s="39">
        <f>IF($A3037="","",IFERROR(INDEX(부서매핑!$C$5:$C$504,MATCH($G3037&amp;"",부서매핑!$A$5:$A$504,0)),"미매핑"))</f>
        <v/>
      </c>
      <c r="O3037" s="9">
        <f>IF($A3037="","",N3037&amp;"|"&amp;$F3037)</f>
        <v/>
      </c>
      <c r="P3037" s="77">
        <f>IF($A3037="",0,$H3037*설정!$C$23)</f>
        <v/>
      </c>
      <c r="Q3037" s="39">
        <f>IF($A3037="","",IF(O3037&lt;&gt;원인분석!$C$9,"",IF(AND(M3037&gt;=원인분석!$C$10,M3037&lt;=원인분석!$C$11),"당기",IF(AND(M3037&gt;=원인분석!$C$12,M3037&lt;=원인분석!$C$13),"비교",""))))</f>
        <v/>
      </c>
      <c r="R3037" s="9">
        <f>IF(Q3037="","",$K3037&amp;"")</f>
        <v/>
      </c>
      <c r="S3037" s="9">
        <f>IF(Q3037="","",IF(MATCH(R3037,$R$5:$R$100000,0)=ROW()-4,ROW(),""))</f>
        <v/>
      </c>
      <c r="T3037" s="9">
        <f>IF(Q3037="당기",ABS(P3037)+ROW()/1000000000,"")</f>
        <v/>
      </c>
      <c r="U3037" s="9">
        <f>IF(Q3037="비교",ABS(P3037)+ROW()/1000000000,"")</f>
        <v/>
      </c>
      <c r="V3037" s="39">
        <f>IF($A3037="","",IF(COUNTIF(변동분석!$E$7:$E$506,O3037)&gt;0,"Y","N"))</f>
        <v/>
      </c>
      <c r="W3037" s="39">
        <f>IF($A3037="","",IFERROR(INDEX(계정매핑!$D$5:$D$504,MATCH($F3037&amp;"",계정매핑!$A$5:$A$504,0)),"미매핑"))</f>
        <v/>
      </c>
      <c r="X3037" s="9">
        <f>IF($A3037="","",$F3037&amp;"")</f>
        <v/>
      </c>
    </row>
    <row r="3038">
      <c r="A3038" s="75" t="n">
        <v>2026</v>
      </c>
      <c r="B3038" s="75" t="n">
        <v>4</v>
      </c>
      <c r="C3038" s="75" t="inlineStr">
        <is>
          <t>5100000694</t>
        </is>
      </c>
      <c r="D3038" s="78" t="n">
        <v>46127</v>
      </c>
      <c r="E3038" s="75" t="inlineStr">
        <is>
          <t>KR</t>
        </is>
      </c>
      <c r="F3038" s="75" t="n">
        <v>62701000</v>
      </c>
      <c r="G3038" s="75" t="n">
        <v>1502</v>
      </c>
      <c r="H3038" s="76" t="n">
        <v>63357000</v>
      </c>
      <c r="I3038" s="75" t="inlineStr">
        <is>
          <t>4월 광고 집행 - F애드</t>
        </is>
      </c>
      <c r="J3038" s="75" t="inlineStr">
        <is>
          <t>V10019</t>
        </is>
      </c>
      <c r="K3038" s="75" t="inlineStr">
        <is>
          <t>F애드</t>
        </is>
      </c>
      <c r="M3038" s="9">
        <f>IF($A3038="","",VALUE($A3038&amp;"")*12+VALUE($B3038&amp;""))</f>
        <v/>
      </c>
      <c r="N3038" s="39">
        <f>IF($A3038="","",IFERROR(INDEX(부서매핑!$C$5:$C$504,MATCH($G3038&amp;"",부서매핑!$A$5:$A$504,0)),"미매핑"))</f>
        <v/>
      </c>
      <c r="O3038" s="9">
        <f>IF($A3038="","",N3038&amp;"|"&amp;$F3038)</f>
        <v/>
      </c>
      <c r="P3038" s="77">
        <f>IF($A3038="",0,$H3038*설정!$C$23)</f>
        <v/>
      </c>
      <c r="Q3038" s="39">
        <f>IF($A3038="","",IF(O3038&lt;&gt;원인분석!$C$9,"",IF(AND(M3038&gt;=원인분석!$C$10,M3038&lt;=원인분석!$C$11),"당기",IF(AND(M3038&gt;=원인분석!$C$12,M3038&lt;=원인분석!$C$13),"비교",""))))</f>
        <v/>
      </c>
      <c r="R3038" s="9">
        <f>IF(Q3038="","",$K3038&amp;"")</f>
        <v/>
      </c>
      <c r="S3038" s="9">
        <f>IF(Q3038="","",IF(MATCH(R3038,$R$5:$R$100000,0)=ROW()-4,ROW(),""))</f>
        <v/>
      </c>
      <c r="T3038" s="9">
        <f>IF(Q3038="당기",ABS(P3038)+ROW()/1000000000,"")</f>
        <v/>
      </c>
      <c r="U3038" s="9">
        <f>IF(Q3038="비교",ABS(P3038)+ROW()/1000000000,"")</f>
        <v/>
      </c>
      <c r="V3038" s="39">
        <f>IF($A3038="","",IF(COUNTIF(변동분석!$E$7:$E$506,O3038)&gt;0,"Y","N"))</f>
        <v/>
      </c>
      <c r="W3038" s="39">
        <f>IF($A3038="","",IFERROR(INDEX(계정매핑!$D$5:$D$504,MATCH($F3038&amp;"",계정매핑!$A$5:$A$504,0)),"미매핑"))</f>
        <v/>
      </c>
      <c r="X3038" s="9">
        <f>IF($A3038="","",$F3038&amp;"")</f>
        <v/>
      </c>
    </row>
    <row r="3039">
      <c r="A3039" s="75" t="n">
        <v>2026</v>
      </c>
      <c r="B3039" s="75" t="n">
        <v>4</v>
      </c>
      <c r="C3039" s="75" t="inlineStr">
        <is>
          <t>5100000695</t>
        </is>
      </c>
      <c r="D3039" s="78" t="n">
        <v>46127</v>
      </c>
      <c r="E3039" s="75" t="inlineStr">
        <is>
          <t>KR</t>
        </is>
      </c>
      <c r="F3039" s="75" t="n">
        <v>63001000</v>
      </c>
      <c r="G3039" s="75" t="n">
        <v>1701</v>
      </c>
      <c r="H3039" s="76" t="n">
        <v>26623000</v>
      </c>
      <c r="I3039" s="75" t="inlineStr">
        <is>
          <t>4월 SW 유지보수 - Y소프트</t>
        </is>
      </c>
      <c r="J3039" s="75" t="inlineStr">
        <is>
          <t>V10017</t>
        </is>
      </c>
      <c r="K3039" s="75" t="inlineStr">
        <is>
          <t>Y소프트</t>
        </is>
      </c>
      <c r="M3039" s="9">
        <f>IF($A3039="","",VALUE($A3039&amp;"")*12+VALUE($B3039&amp;""))</f>
        <v/>
      </c>
      <c r="N3039" s="39">
        <f>IF($A3039="","",IFERROR(INDEX(부서매핑!$C$5:$C$504,MATCH($G3039&amp;"",부서매핑!$A$5:$A$504,0)),"미매핑"))</f>
        <v/>
      </c>
      <c r="O3039" s="9">
        <f>IF($A3039="","",N3039&amp;"|"&amp;$F3039)</f>
        <v/>
      </c>
      <c r="P3039" s="77">
        <f>IF($A3039="",0,$H3039*설정!$C$23)</f>
        <v/>
      </c>
      <c r="Q3039" s="39">
        <f>IF($A3039="","",IF(O3039&lt;&gt;원인분석!$C$9,"",IF(AND(M3039&gt;=원인분석!$C$10,M3039&lt;=원인분석!$C$11),"당기",IF(AND(M3039&gt;=원인분석!$C$12,M3039&lt;=원인분석!$C$13),"비교",""))))</f>
        <v/>
      </c>
      <c r="R3039" s="9">
        <f>IF(Q3039="","",$K3039&amp;"")</f>
        <v/>
      </c>
      <c r="S3039" s="9">
        <f>IF(Q3039="","",IF(MATCH(R3039,$R$5:$R$100000,0)=ROW()-4,ROW(),""))</f>
        <v/>
      </c>
      <c r="T3039" s="9">
        <f>IF(Q3039="당기",ABS(P3039)+ROW()/1000000000,"")</f>
        <v/>
      </c>
      <c r="U3039" s="9">
        <f>IF(Q3039="비교",ABS(P3039)+ROW()/1000000000,"")</f>
        <v/>
      </c>
      <c r="V3039" s="39">
        <f>IF($A3039="","",IF(COUNTIF(변동분석!$E$7:$E$506,O3039)&gt;0,"Y","N"))</f>
        <v/>
      </c>
      <c r="W3039" s="39">
        <f>IF($A3039="","",IFERROR(INDEX(계정매핑!$D$5:$D$504,MATCH($F3039&amp;"",계정매핑!$A$5:$A$504,0)),"미매핑"))</f>
        <v/>
      </c>
      <c r="X3039" s="9">
        <f>IF($A3039="","",$F3039&amp;"")</f>
        <v/>
      </c>
    </row>
    <row r="3040">
      <c r="A3040" s="75" t="n">
        <v>2026</v>
      </c>
      <c r="B3040" s="75" t="n">
        <v>4</v>
      </c>
      <c r="C3040" s="75" t="inlineStr">
        <is>
          <t>5100000696</t>
        </is>
      </c>
      <c r="D3040" s="78" t="n">
        <v>46127</v>
      </c>
      <c r="E3040" s="75" t="inlineStr">
        <is>
          <t>KR</t>
        </is>
      </c>
      <c r="F3040" s="75" t="n">
        <v>63101000</v>
      </c>
      <c r="G3040" s="75" t="n">
        <v>1602</v>
      </c>
      <c r="H3040" s="76" t="n">
        <v>5815000</v>
      </c>
      <c r="I3040" s="75" t="inlineStr">
        <is>
          <t>4월 사무실 임차료 - AA빌딩</t>
        </is>
      </c>
      <c r="J3040" s="75" t="inlineStr">
        <is>
          <t>V10006</t>
        </is>
      </c>
      <c r="K3040" s="75" t="inlineStr">
        <is>
          <t>AA빌딩</t>
        </is>
      </c>
      <c r="M3040" s="9">
        <f>IF($A3040="","",VALUE($A3040&amp;"")*12+VALUE($B3040&amp;""))</f>
        <v/>
      </c>
      <c r="N3040" s="39">
        <f>IF($A3040="","",IFERROR(INDEX(부서매핑!$C$5:$C$504,MATCH($G3040&amp;"",부서매핑!$A$5:$A$504,0)),"미매핑"))</f>
        <v/>
      </c>
      <c r="O3040" s="9">
        <f>IF($A3040="","",N3040&amp;"|"&amp;$F3040)</f>
        <v/>
      </c>
      <c r="P3040" s="77">
        <f>IF($A3040="",0,$H3040*설정!$C$23)</f>
        <v/>
      </c>
      <c r="Q3040" s="39">
        <f>IF($A3040="","",IF(O3040&lt;&gt;원인분석!$C$9,"",IF(AND(M3040&gt;=원인분석!$C$10,M3040&lt;=원인분석!$C$11),"당기",IF(AND(M3040&gt;=원인분석!$C$12,M3040&lt;=원인분석!$C$13),"비교",""))))</f>
        <v/>
      </c>
      <c r="R3040" s="9">
        <f>IF(Q3040="","",$K3040&amp;"")</f>
        <v/>
      </c>
      <c r="S3040" s="9">
        <f>IF(Q3040="","",IF(MATCH(R3040,$R$5:$R$100000,0)=ROW()-4,ROW(),""))</f>
        <v/>
      </c>
      <c r="T3040" s="9">
        <f>IF(Q3040="당기",ABS(P3040)+ROW()/1000000000,"")</f>
        <v/>
      </c>
      <c r="U3040" s="9">
        <f>IF(Q3040="비교",ABS(P3040)+ROW()/1000000000,"")</f>
        <v/>
      </c>
      <c r="V3040" s="39">
        <f>IF($A3040="","",IF(COUNTIF(변동분석!$E$7:$E$506,O3040)&gt;0,"Y","N"))</f>
        <v/>
      </c>
      <c r="W3040" s="39">
        <f>IF($A3040="","",IFERROR(INDEX(계정매핑!$D$5:$D$504,MATCH($F3040&amp;"",계정매핑!$A$5:$A$504,0)),"미매핑"))</f>
        <v/>
      </c>
      <c r="X3040" s="9">
        <f>IF($A3040="","",$F3040&amp;"")</f>
        <v/>
      </c>
    </row>
    <row r="3041">
      <c r="A3041" s="75" t="n">
        <v>2026</v>
      </c>
      <c r="B3041" s="75" t="n">
        <v>4</v>
      </c>
      <c r="C3041" s="75" t="inlineStr">
        <is>
          <t>5100000697</t>
        </is>
      </c>
      <c r="D3041" s="78" t="n">
        <v>46128</v>
      </c>
      <c r="E3041" s="75" t="inlineStr">
        <is>
          <t>KR</t>
        </is>
      </c>
      <c r="F3041" s="75" t="n">
        <v>62101000</v>
      </c>
      <c r="G3041" s="75" t="n">
        <v>1301</v>
      </c>
      <c r="H3041" s="76" t="n">
        <v>336000</v>
      </c>
      <c r="I3041" s="75" t="inlineStr">
        <is>
          <t>4월 국내출장 - M항공</t>
        </is>
      </c>
      <c r="J3041" s="75" t="inlineStr">
        <is>
          <t>V10001</t>
        </is>
      </c>
      <c r="K3041" s="75" t="inlineStr">
        <is>
          <t>M항공</t>
        </is>
      </c>
      <c r="M3041" s="9">
        <f>IF($A3041="","",VALUE($A3041&amp;"")*12+VALUE($B3041&amp;""))</f>
        <v/>
      </c>
      <c r="N3041" s="39">
        <f>IF($A3041="","",IFERROR(INDEX(부서매핑!$C$5:$C$504,MATCH($G3041&amp;"",부서매핑!$A$5:$A$504,0)),"미매핑"))</f>
        <v/>
      </c>
      <c r="O3041" s="9">
        <f>IF($A3041="","",N3041&amp;"|"&amp;$F3041)</f>
        <v/>
      </c>
      <c r="P3041" s="77">
        <f>IF($A3041="",0,$H3041*설정!$C$23)</f>
        <v/>
      </c>
      <c r="Q3041" s="39">
        <f>IF($A3041="","",IF(O3041&lt;&gt;원인분석!$C$9,"",IF(AND(M3041&gt;=원인분석!$C$10,M3041&lt;=원인분석!$C$11),"당기",IF(AND(M3041&gt;=원인분석!$C$12,M3041&lt;=원인분석!$C$13),"비교",""))))</f>
        <v/>
      </c>
      <c r="R3041" s="9">
        <f>IF(Q3041="","",$K3041&amp;"")</f>
        <v/>
      </c>
      <c r="S3041" s="9">
        <f>IF(Q3041="","",IF(MATCH(R3041,$R$5:$R$100000,0)=ROW()-4,ROW(),""))</f>
        <v/>
      </c>
      <c r="T3041" s="9">
        <f>IF(Q3041="당기",ABS(P3041)+ROW()/1000000000,"")</f>
        <v/>
      </c>
      <c r="U3041" s="9">
        <f>IF(Q3041="비교",ABS(P3041)+ROW()/1000000000,"")</f>
        <v/>
      </c>
      <c r="V3041" s="39">
        <f>IF($A3041="","",IF(COUNTIF(변동분석!$E$7:$E$506,O3041)&gt;0,"Y","N"))</f>
        <v/>
      </c>
      <c r="W3041" s="39">
        <f>IF($A3041="","",IFERROR(INDEX(계정매핑!$D$5:$D$504,MATCH($F3041&amp;"",계정매핑!$A$5:$A$504,0)),"미매핑"))</f>
        <v/>
      </c>
      <c r="X3041" s="9">
        <f>IF($A3041="","",$F3041&amp;"")</f>
        <v/>
      </c>
    </row>
    <row r="3042">
      <c r="A3042" s="75" t="n">
        <v>2026</v>
      </c>
      <c r="B3042" s="75" t="n">
        <v>4</v>
      </c>
      <c r="C3042" s="75" t="inlineStr">
        <is>
          <t>5100000698</t>
        </is>
      </c>
      <c r="D3042" s="78" t="n">
        <v>46128</v>
      </c>
      <c r="E3042" s="75" t="inlineStr">
        <is>
          <t>KR</t>
        </is>
      </c>
      <c r="F3042" s="75" t="n">
        <v>62101000</v>
      </c>
      <c r="G3042" s="75" t="n">
        <v>1501</v>
      </c>
      <c r="H3042" s="76" t="n">
        <v>331000</v>
      </c>
      <c r="I3042" s="75" t="inlineStr">
        <is>
          <t>4월 국내출장 - M항공</t>
        </is>
      </c>
      <c r="J3042" s="75" t="inlineStr">
        <is>
          <t>V10001</t>
        </is>
      </c>
      <c r="K3042" s="75" t="inlineStr">
        <is>
          <t>M항공</t>
        </is>
      </c>
      <c r="M3042" s="9">
        <f>IF($A3042="","",VALUE($A3042&amp;"")*12+VALUE($B3042&amp;""))</f>
        <v/>
      </c>
      <c r="N3042" s="39">
        <f>IF($A3042="","",IFERROR(INDEX(부서매핑!$C$5:$C$504,MATCH($G3042&amp;"",부서매핑!$A$5:$A$504,0)),"미매핑"))</f>
        <v/>
      </c>
      <c r="O3042" s="9">
        <f>IF($A3042="","",N3042&amp;"|"&amp;$F3042)</f>
        <v/>
      </c>
      <c r="P3042" s="77">
        <f>IF($A3042="",0,$H3042*설정!$C$23)</f>
        <v/>
      </c>
      <c r="Q3042" s="39">
        <f>IF($A3042="","",IF(O3042&lt;&gt;원인분석!$C$9,"",IF(AND(M3042&gt;=원인분석!$C$10,M3042&lt;=원인분석!$C$11),"당기",IF(AND(M3042&gt;=원인분석!$C$12,M3042&lt;=원인분석!$C$13),"비교",""))))</f>
        <v/>
      </c>
      <c r="R3042" s="9">
        <f>IF(Q3042="","",$K3042&amp;"")</f>
        <v/>
      </c>
      <c r="S3042" s="9">
        <f>IF(Q3042="","",IF(MATCH(R3042,$R$5:$R$100000,0)=ROW()-4,ROW(),""))</f>
        <v/>
      </c>
      <c r="T3042" s="9">
        <f>IF(Q3042="당기",ABS(P3042)+ROW()/1000000000,"")</f>
        <v/>
      </c>
      <c r="U3042" s="9">
        <f>IF(Q3042="비교",ABS(P3042)+ROW()/1000000000,"")</f>
        <v/>
      </c>
      <c r="V3042" s="39">
        <f>IF($A3042="","",IF(COUNTIF(변동분석!$E$7:$E$506,O3042)&gt;0,"Y","N"))</f>
        <v/>
      </c>
      <c r="W3042" s="39">
        <f>IF($A3042="","",IFERROR(INDEX(계정매핑!$D$5:$D$504,MATCH($F3042&amp;"",계정매핑!$A$5:$A$504,0)),"미매핑"))</f>
        <v/>
      </c>
      <c r="X3042" s="9">
        <f>IF($A3042="","",$F3042&amp;"")</f>
        <v/>
      </c>
    </row>
    <row r="3043">
      <c r="A3043" s="75" t="n">
        <v>2026</v>
      </c>
      <c r="B3043" s="75" t="n">
        <v>4</v>
      </c>
      <c r="C3043" s="75" t="inlineStr">
        <is>
          <t>5100000699</t>
        </is>
      </c>
      <c r="D3043" s="78" t="n">
        <v>46128</v>
      </c>
      <c r="E3043" s="75" t="inlineStr">
        <is>
          <t>KR</t>
        </is>
      </c>
      <c r="F3043" s="75" t="n">
        <v>62101000</v>
      </c>
      <c r="G3043" s="75" t="n">
        <v>1701</v>
      </c>
      <c r="H3043" s="76" t="n">
        <v>131000</v>
      </c>
      <c r="I3043" s="75" t="inlineStr">
        <is>
          <t>4월 국내출장 - (법인카드)</t>
        </is>
      </c>
      <c r="J3043" s="75" t="inlineStr">
        <is>
          <t>V10008</t>
        </is>
      </c>
      <c r="K3043" s="75" t="inlineStr">
        <is>
          <t>(법인카드)</t>
        </is>
      </c>
      <c r="M3043" s="9">
        <f>IF($A3043="","",VALUE($A3043&amp;"")*12+VALUE($B3043&amp;""))</f>
        <v/>
      </c>
      <c r="N3043" s="39">
        <f>IF($A3043="","",IFERROR(INDEX(부서매핑!$C$5:$C$504,MATCH($G3043&amp;"",부서매핑!$A$5:$A$504,0)),"미매핑"))</f>
        <v/>
      </c>
      <c r="O3043" s="9">
        <f>IF($A3043="","",N3043&amp;"|"&amp;$F3043)</f>
        <v/>
      </c>
      <c r="P3043" s="77">
        <f>IF($A3043="",0,$H3043*설정!$C$23)</f>
        <v/>
      </c>
      <c r="Q3043" s="39">
        <f>IF($A3043="","",IF(O3043&lt;&gt;원인분석!$C$9,"",IF(AND(M3043&gt;=원인분석!$C$10,M3043&lt;=원인분석!$C$11),"당기",IF(AND(M3043&gt;=원인분석!$C$12,M3043&lt;=원인분석!$C$13),"비교",""))))</f>
        <v/>
      </c>
      <c r="R3043" s="9">
        <f>IF(Q3043="","",$K3043&amp;"")</f>
        <v/>
      </c>
      <c r="S3043" s="9">
        <f>IF(Q3043="","",IF(MATCH(R3043,$R$5:$R$100000,0)=ROW()-4,ROW(),""))</f>
        <v/>
      </c>
      <c r="T3043" s="9">
        <f>IF(Q3043="당기",ABS(P3043)+ROW()/1000000000,"")</f>
        <v/>
      </c>
      <c r="U3043" s="9">
        <f>IF(Q3043="비교",ABS(P3043)+ROW()/1000000000,"")</f>
        <v/>
      </c>
      <c r="V3043" s="39">
        <f>IF($A3043="","",IF(COUNTIF(변동분석!$E$7:$E$506,O3043)&gt;0,"Y","N"))</f>
        <v/>
      </c>
      <c r="W3043" s="39">
        <f>IF($A3043="","",IFERROR(INDEX(계정매핑!$D$5:$D$504,MATCH($F3043&amp;"",계정매핑!$A$5:$A$504,0)),"미매핑"))</f>
        <v/>
      </c>
      <c r="X3043" s="9">
        <f>IF($A3043="","",$F3043&amp;"")</f>
        <v/>
      </c>
    </row>
    <row r="3044">
      <c r="A3044" s="75" t="n">
        <v>2026</v>
      </c>
      <c r="B3044" s="75" t="n">
        <v>4</v>
      </c>
      <c r="C3044" s="75" t="inlineStr">
        <is>
          <t>5100000700</t>
        </is>
      </c>
      <c r="D3044" s="78" t="n">
        <v>46128</v>
      </c>
      <c r="E3044" s="75" t="inlineStr">
        <is>
          <t>KR</t>
        </is>
      </c>
      <c r="F3044" s="75" t="n">
        <v>62201000</v>
      </c>
      <c r="G3044" s="75" t="n">
        <v>1601</v>
      </c>
      <c r="H3044" s="76" t="n">
        <v>934000</v>
      </c>
      <c r="I3044" s="75" t="inlineStr">
        <is>
          <t>4월 통신요금 - O텔레콤</t>
        </is>
      </c>
      <c r="J3044" s="75" t="inlineStr">
        <is>
          <t>V10002</t>
        </is>
      </c>
      <c r="K3044" s="75" t="inlineStr">
        <is>
          <t>O텔레콤</t>
        </is>
      </c>
      <c r="M3044" s="9">
        <f>IF($A3044="","",VALUE($A3044&amp;"")*12+VALUE($B3044&amp;""))</f>
        <v/>
      </c>
      <c r="N3044" s="39">
        <f>IF($A3044="","",IFERROR(INDEX(부서매핑!$C$5:$C$504,MATCH($G3044&amp;"",부서매핑!$A$5:$A$504,0)),"미매핑"))</f>
        <v/>
      </c>
      <c r="O3044" s="9">
        <f>IF($A3044="","",N3044&amp;"|"&amp;$F3044)</f>
        <v/>
      </c>
      <c r="P3044" s="77">
        <f>IF($A3044="",0,$H3044*설정!$C$23)</f>
        <v/>
      </c>
      <c r="Q3044" s="39">
        <f>IF($A3044="","",IF(O3044&lt;&gt;원인분석!$C$9,"",IF(AND(M3044&gt;=원인분석!$C$10,M3044&lt;=원인분석!$C$11),"당기",IF(AND(M3044&gt;=원인분석!$C$12,M3044&lt;=원인분석!$C$13),"비교",""))))</f>
        <v/>
      </c>
      <c r="R3044" s="9">
        <f>IF(Q3044="","",$K3044&amp;"")</f>
        <v/>
      </c>
      <c r="S3044" s="9">
        <f>IF(Q3044="","",IF(MATCH(R3044,$R$5:$R$100000,0)=ROW()-4,ROW(),""))</f>
        <v/>
      </c>
      <c r="T3044" s="9">
        <f>IF(Q3044="당기",ABS(P3044)+ROW()/1000000000,"")</f>
        <v/>
      </c>
      <c r="U3044" s="9">
        <f>IF(Q3044="비교",ABS(P3044)+ROW()/1000000000,"")</f>
        <v/>
      </c>
      <c r="V3044" s="39">
        <f>IF($A3044="","",IF(COUNTIF(변동분석!$E$7:$E$506,O3044)&gt;0,"Y","N"))</f>
        <v/>
      </c>
      <c r="W3044" s="39">
        <f>IF($A3044="","",IFERROR(INDEX(계정매핑!$D$5:$D$504,MATCH($F3044&amp;"",계정매핑!$A$5:$A$504,0)),"미매핑"))</f>
        <v/>
      </c>
      <c r="X3044" s="9">
        <f>IF($A3044="","",$F3044&amp;"")</f>
        <v/>
      </c>
    </row>
    <row r="3045">
      <c r="A3045" s="75" t="n">
        <v>2026</v>
      </c>
      <c r="B3045" s="75" t="n">
        <v>4</v>
      </c>
      <c r="C3045" s="75" t="inlineStr">
        <is>
          <t>5100000701</t>
        </is>
      </c>
      <c r="D3045" s="78" t="n">
        <v>46128</v>
      </c>
      <c r="E3045" s="75" t="inlineStr">
        <is>
          <t>KR</t>
        </is>
      </c>
      <c r="F3045" s="75" t="n">
        <v>62201000</v>
      </c>
      <c r="G3045" s="75" t="n">
        <v>1701</v>
      </c>
      <c r="H3045" s="76" t="n">
        <v>3303000</v>
      </c>
      <c r="I3045" s="75" t="inlineStr">
        <is>
          <t>4월 통신요금 - P통신</t>
        </is>
      </c>
      <c r="J3045" s="75" t="inlineStr">
        <is>
          <t>V10011</t>
        </is>
      </c>
      <c r="K3045" s="75" t="inlineStr">
        <is>
          <t>P통신</t>
        </is>
      </c>
      <c r="M3045" s="9">
        <f>IF($A3045="","",VALUE($A3045&amp;"")*12+VALUE($B3045&amp;""))</f>
        <v/>
      </c>
      <c r="N3045" s="39">
        <f>IF($A3045="","",IFERROR(INDEX(부서매핑!$C$5:$C$504,MATCH($G3045&amp;"",부서매핑!$A$5:$A$504,0)),"미매핑"))</f>
        <v/>
      </c>
      <c r="O3045" s="9">
        <f>IF($A3045="","",N3045&amp;"|"&amp;$F3045)</f>
        <v/>
      </c>
      <c r="P3045" s="77">
        <f>IF($A3045="",0,$H3045*설정!$C$23)</f>
        <v/>
      </c>
      <c r="Q3045" s="39">
        <f>IF($A3045="","",IF(O3045&lt;&gt;원인분석!$C$9,"",IF(AND(M3045&gt;=원인분석!$C$10,M3045&lt;=원인분석!$C$11),"당기",IF(AND(M3045&gt;=원인분석!$C$12,M3045&lt;=원인분석!$C$13),"비교",""))))</f>
        <v/>
      </c>
      <c r="R3045" s="9">
        <f>IF(Q3045="","",$K3045&amp;"")</f>
        <v/>
      </c>
      <c r="S3045" s="9">
        <f>IF(Q3045="","",IF(MATCH(R3045,$R$5:$R$100000,0)=ROW()-4,ROW(),""))</f>
        <v/>
      </c>
      <c r="T3045" s="9">
        <f>IF(Q3045="당기",ABS(P3045)+ROW()/1000000000,"")</f>
        <v/>
      </c>
      <c r="U3045" s="9">
        <f>IF(Q3045="비교",ABS(P3045)+ROW()/1000000000,"")</f>
        <v/>
      </c>
      <c r="V3045" s="39">
        <f>IF($A3045="","",IF(COUNTIF(변동분석!$E$7:$E$506,O3045)&gt;0,"Y","N"))</f>
        <v/>
      </c>
      <c r="W3045" s="39">
        <f>IF($A3045="","",IFERROR(INDEX(계정매핑!$D$5:$D$504,MATCH($F3045&amp;"",계정매핑!$A$5:$A$504,0)),"미매핑"))</f>
        <v/>
      </c>
      <c r="X3045" s="9">
        <f>IF($A3045="","",$F3045&amp;"")</f>
        <v/>
      </c>
    </row>
    <row r="3046">
      <c r="A3046" s="75" t="n">
        <v>2026</v>
      </c>
      <c r="B3046" s="75" t="n">
        <v>4</v>
      </c>
      <c r="C3046" s="75" t="inlineStr">
        <is>
          <t>5100000702</t>
        </is>
      </c>
      <c r="D3046" s="78" t="n">
        <v>46128</v>
      </c>
      <c r="E3046" s="75" t="inlineStr">
        <is>
          <t>KR</t>
        </is>
      </c>
      <c r="F3046" s="75" t="n">
        <v>62301000</v>
      </c>
      <c r="G3046" s="75" t="n">
        <v>1301</v>
      </c>
      <c r="H3046" s="76" t="n">
        <v>172000</v>
      </c>
      <c r="I3046" s="75" t="inlineStr">
        <is>
          <t>4월 소모품 구입 - Q오피스</t>
        </is>
      </c>
      <c r="J3046" s="75" t="inlineStr">
        <is>
          <t>V10003</t>
        </is>
      </c>
      <c r="K3046" s="75" t="inlineStr">
        <is>
          <t>Q오피스</t>
        </is>
      </c>
      <c r="M3046" s="9">
        <f>IF($A3046="","",VALUE($A3046&amp;"")*12+VALUE($B3046&amp;""))</f>
        <v/>
      </c>
      <c r="N3046" s="39">
        <f>IF($A3046="","",IFERROR(INDEX(부서매핑!$C$5:$C$504,MATCH($G3046&amp;"",부서매핑!$A$5:$A$504,0)),"미매핑"))</f>
        <v/>
      </c>
      <c r="O3046" s="9">
        <f>IF($A3046="","",N3046&amp;"|"&amp;$F3046)</f>
        <v/>
      </c>
      <c r="P3046" s="77">
        <f>IF($A3046="",0,$H3046*설정!$C$23)</f>
        <v/>
      </c>
      <c r="Q3046" s="39">
        <f>IF($A3046="","",IF(O3046&lt;&gt;원인분석!$C$9,"",IF(AND(M3046&gt;=원인분석!$C$10,M3046&lt;=원인분석!$C$11),"당기",IF(AND(M3046&gt;=원인분석!$C$12,M3046&lt;=원인분석!$C$13),"비교",""))))</f>
        <v/>
      </c>
      <c r="R3046" s="9">
        <f>IF(Q3046="","",$K3046&amp;"")</f>
        <v/>
      </c>
      <c r="S3046" s="9">
        <f>IF(Q3046="","",IF(MATCH(R3046,$R$5:$R$100000,0)=ROW()-4,ROW(),""))</f>
        <v/>
      </c>
      <c r="T3046" s="9">
        <f>IF(Q3046="당기",ABS(P3046)+ROW()/1000000000,"")</f>
        <v/>
      </c>
      <c r="U3046" s="9">
        <f>IF(Q3046="비교",ABS(P3046)+ROW()/1000000000,"")</f>
        <v/>
      </c>
      <c r="V3046" s="39">
        <f>IF($A3046="","",IF(COUNTIF(변동분석!$E$7:$E$506,O3046)&gt;0,"Y","N"))</f>
        <v/>
      </c>
      <c r="W3046" s="39">
        <f>IF($A3046="","",IFERROR(INDEX(계정매핑!$D$5:$D$504,MATCH($F3046&amp;"",계정매핑!$A$5:$A$504,0)),"미매핑"))</f>
        <v/>
      </c>
      <c r="X3046" s="9">
        <f>IF($A3046="","",$F3046&amp;"")</f>
        <v/>
      </c>
    </row>
    <row r="3047">
      <c r="A3047" s="75" t="n">
        <v>2026</v>
      </c>
      <c r="B3047" s="75" t="n">
        <v>4</v>
      </c>
      <c r="C3047" s="75" t="inlineStr">
        <is>
          <t>5100000703</t>
        </is>
      </c>
      <c r="D3047" s="78" t="n">
        <v>46128</v>
      </c>
      <c r="E3047" s="75" t="inlineStr">
        <is>
          <t>KR</t>
        </is>
      </c>
      <c r="F3047" s="75" t="n">
        <v>62501000</v>
      </c>
      <c r="G3047" s="75" t="n">
        <v>1401</v>
      </c>
      <c r="H3047" s="76" t="n">
        <v>130000</v>
      </c>
      <c r="I3047" s="75" t="inlineStr">
        <is>
          <t>4월 회의 다과 - T케이터링</t>
        </is>
      </c>
      <c r="J3047" s="75" t="inlineStr">
        <is>
          <t>V10005</t>
        </is>
      </c>
      <c r="K3047" s="75" t="inlineStr">
        <is>
          <t>T케이터링</t>
        </is>
      </c>
      <c r="M3047" s="9">
        <f>IF($A3047="","",VALUE($A3047&amp;"")*12+VALUE($B3047&amp;""))</f>
        <v/>
      </c>
      <c r="N3047" s="39">
        <f>IF($A3047="","",IFERROR(INDEX(부서매핑!$C$5:$C$504,MATCH($G3047&amp;"",부서매핑!$A$5:$A$504,0)),"미매핑"))</f>
        <v/>
      </c>
      <c r="O3047" s="9">
        <f>IF($A3047="","",N3047&amp;"|"&amp;$F3047)</f>
        <v/>
      </c>
      <c r="P3047" s="77">
        <f>IF($A3047="",0,$H3047*설정!$C$23)</f>
        <v/>
      </c>
      <c r="Q3047" s="39">
        <f>IF($A3047="","",IF(O3047&lt;&gt;원인분석!$C$9,"",IF(AND(M3047&gt;=원인분석!$C$10,M3047&lt;=원인분석!$C$11),"당기",IF(AND(M3047&gt;=원인분석!$C$12,M3047&lt;=원인분석!$C$13),"비교",""))))</f>
        <v/>
      </c>
      <c r="R3047" s="9">
        <f>IF(Q3047="","",$K3047&amp;"")</f>
        <v/>
      </c>
      <c r="S3047" s="9">
        <f>IF(Q3047="","",IF(MATCH(R3047,$R$5:$R$100000,0)=ROW()-4,ROW(),""))</f>
        <v/>
      </c>
      <c r="T3047" s="9">
        <f>IF(Q3047="당기",ABS(P3047)+ROW()/1000000000,"")</f>
        <v/>
      </c>
      <c r="U3047" s="9">
        <f>IF(Q3047="비교",ABS(P3047)+ROW()/1000000000,"")</f>
        <v/>
      </c>
      <c r="V3047" s="39">
        <f>IF($A3047="","",IF(COUNTIF(변동분석!$E$7:$E$506,O3047)&gt;0,"Y","N"))</f>
        <v/>
      </c>
      <c r="W3047" s="39">
        <f>IF($A3047="","",IFERROR(INDEX(계정매핑!$D$5:$D$504,MATCH($F3047&amp;"",계정매핑!$A$5:$A$504,0)),"미매핑"))</f>
        <v/>
      </c>
      <c r="X3047" s="9">
        <f>IF($A3047="","",$F3047&amp;"")</f>
        <v/>
      </c>
    </row>
    <row r="3048">
      <c r="A3048" s="75" t="n">
        <v>2026</v>
      </c>
      <c r="B3048" s="75" t="n">
        <v>4</v>
      </c>
      <c r="C3048" s="75" t="inlineStr">
        <is>
          <t>5100000704</t>
        </is>
      </c>
      <c r="D3048" s="78" t="n">
        <v>46128</v>
      </c>
      <c r="E3048" s="75" t="inlineStr">
        <is>
          <t>KR</t>
        </is>
      </c>
      <c r="F3048" s="75" t="n">
        <v>62501000</v>
      </c>
      <c r="G3048" s="75" t="n">
        <v>1501</v>
      </c>
      <c r="H3048" s="76" t="n">
        <v>279000</v>
      </c>
      <c r="I3048" s="75" t="inlineStr">
        <is>
          <t>4월 회의 다과 - T케이터링</t>
        </is>
      </c>
      <c r="J3048" s="75" t="inlineStr">
        <is>
          <t>V10005</t>
        </is>
      </c>
      <c r="K3048" s="75" t="inlineStr">
        <is>
          <t>T케이터링</t>
        </is>
      </c>
      <c r="M3048" s="9">
        <f>IF($A3048="","",VALUE($A3048&amp;"")*12+VALUE($B3048&amp;""))</f>
        <v/>
      </c>
      <c r="N3048" s="39">
        <f>IF($A3048="","",IFERROR(INDEX(부서매핑!$C$5:$C$504,MATCH($G3048&amp;"",부서매핑!$A$5:$A$504,0)),"미매핑"))</f>
        <v/>
      </c>
      <c r="O3048" s="9">
        <f>IF($A3048="","",N3048&amp;"|"&amp;$F3048)</f>
        <v/>
      </c>
      <c r="P3048" s="77">
        <f>IF($A3048="",0,$H3048*설정!$C$23)</f>
        <v/>
      </c>
      <c r="Q3048" s="39">
        <f>IF($A3048="","",IF(O3048&lt;&gt;원인분석!$C$9,"",IF(AND(M3048&gt;=원인분석!$C$10,M3048&lt;=원인분석!$C$11),"당기",IF(AND(M3048&gt;=원인분석!$C$12,M3048&lt;=원인분석!$C$13),"비교",""))))</f>
        <v/>
      </c>
      <c r="R3048" s="9">
        <f>IF(Q3048="","",$K3048&amp;"")</f>
        <v/>
      </c>
      <c r="S3048" s="9">
        <f>IF(Q3048="","",IF(MATCH(R3048,$R$5:$R$100000,0)=ROW()-4,ROW(),""))</f>
        <v/>
      </c>
      <c r="T3048" s="9">
        <f>IF(Q3048="당기",ABS(P3048)+ROW()/1000000000,"")</f>
        <v/>
      </c>
      <c r="U3048" s="9">
        <f>IF(Q3048="비교",ABS(P3048)+ROW()/1000000000,"")</f>
        <v/>
      </c>
      <c r="V3048" s="39">
        <f>IF($A3048="","",IF(COUNTIF(변동분석!$E$7:$E$506,O3048)&gt;0,"Y","N"))</f>
        <v/>
      </c>
      <c r="W3048" s="39">
        <f>IF($A3048="","",IFERROR(INDEX(계정매핑!$D$5:$D$504,MATCH($F3048&amp;"",계정매핑!$A$5:$A$504,0)),"미매핑"))</f>
        <v/>
      </c>
      <c r="X3048" s="9">
        <f>IF($A3048="","",$F3048&amp;"")</f>
        <v/>
      </c>
    </row>
    <row r="3049">
      <c r="A3049" s="75" t="n">
        <v>2026</v>
      </c>
      <c r="B3049" s="75" t="n">
        <v>4</v>
      </c>
      <c r="C3049" s="75" t="inlineStr">
        <is>
          <t>5100000705</t>
        </is>
      </c>
      <c r="D3049" s="78" t="n">
        <v>46128</v>
      </c>
      <c r="E3049" s="75" t="inlineStr">
        <is>
          <t>KR</t>
        </is>
      </c>
      <c r="F3049" s="75" t="n">
        <v>62601000</v>
      </c>
      <c r="G3049" s="75" t="n">
        <v>1301</v>
      </c>
      <c r="H3049" s="76" t="n">
        <v>1188000</v>
      </c>
      <c r="I3049" s="75" t="inlineStr">
        <is>
          <t>4월 업무추진 - (법인카드)</t>
        </is>
      </c>
      <c r="J3049" s="75" t="inlineStr">
        <is>
          <t>V10008</t>
        </is>
      </c>
      <c r="K3049" s="75" t="inlineStr">
        <is>
          <t>(법인카드)</t>
        </is>
      </c>
      <c r="M3049" s="9">
        <f>IF($A3049="","",VALUE($A3049&amp;"")*12+VALUE($B3049&amp;""))</f>
        <v/>
      </c>
      <c r="N3049" s="39">
        <f>IF($A3049="","",IFERROR(INDEX(부서매핑!$C$5:$C$504,MATCH($G3049&amp;"",부서매핑!$A$5:$A$504,0)),"미매핑"))</f>
        <v/>
      </c>
      <c r="O3049" s="9">
        <f>IF($A3049="","",N3049&amp;"|"&amp;$F3049)</f>
        <v/>
      </c>
      <c r="P3049" s="77">
        <f>IF($A3049="",0,$H3049*설정!$C$23)</f>
        <v/>
      </c>
      <c r="Q3049" s="39">
        <f>IF($A3049="","",IF(O3049&lt;&gt;원인분석!$C$9,"",IF(AND(M3049&gt;=원인분석!$C$10,M3049&lt;=원인분석!$C$11),"당기",IF(AND(M3049&gt;=원인분석!$C$12,M3049&lt;=원인분석!$C$13),"비교",""))))</f>
        <v/>
      </c>
      <c r="R3049" s="9">
        <f>IF(Q3049="","",$K3049&amp;"")</f>
        <v/>
      </c>
      <c r="S3049" s="9">
        <f>IF(Q3049="","",IF(MATCH(R3049,$R$5:$R$100000,0)=ROW()-4,ROW(),""))</f>
        <v/>
      </c>
      <c r="T3049" s="9">
        <f>IF(Q3049="당기",ABS(P3049)+ROW()/1000000000,"")</f>
        <v/>
      </c>
      <c r="U3049" s="9">
        <f>IF(Q3049="비교",ABS(P3049)+ROW()/1000000000,"")</f>
        <v/>
      </c>
      <c r="V3049" s="39">
        <f>IF($A3049="","",IF(COUNTIF(변동분석!$E$7:$E$506,O3049)&gt;0,"Y","N"))</f>
        <v/>
      </c>
      <c r="W3049" s="39">
        <f>IF($A3049="","",IFERROR(INDEX(계정매핑!$D$5:$D$504,MATCH($F3049&amp;"",계정매핑!$A$5:$A$504,0)),"미매핑"))</f>
        <v/>
      </c>
      <c r="X3049" s="9">
        <f>IF($A3049="","",$F3049&amp;"")</f>
        <v/>
      </c>
    </row>
    <row r="3050">
      <c r="A3050" s="75" t="n">
        <v>2026</v>
      </c>
      <c r="B3050" s="75" t="n">
        <v>4</v>
      </c>
      <c r="C3050" s="75" t="inlineStr">
        <is>
          <t>5100000706</t>
        </is>
      </c>
      <c r="D3050" s="78" t="n">
        <v>46128</v>
      </c>
      <c r="E3050" s="75" t="inlineStr">
        <is>
          <t>KR</t>
        </is>
      </c>
      <c r="F3050" s="75" t="n">
        <v>62902000</v>
      </c>
      <c r="G3050" s="75" t="n">
        <v>1101</v>
      </c>
      <c r="H3050" s="76" t="n">
        <v>2163000</v>
      </c>
      <c r="I3050" s="75" t="inlineStr">
        <is>
          <t>4월 업무 위탁 수수료 - X서비스</t>
        </is>
      </c>
      <c r="J3050" s="75" t="inlineStr">
        <is>
          <t>V10016</t>
        </is>
      </c>
      <c r="K3050" s="75" t="inlineStr">
        <is>
          <t>X서비스</t>
        </is>
      </c>
      <c r="M3050" s="9">
        <f>IF($A3050="","",VALUE($A3050&amp;"")*12+VALUE($B3050&amp;""))</f>
        <v/>
      </c>
      <c r="N3050" s="39">
        <f>IF($A3050="","",IFERROR(INDEX(부서매핑!$C$5:$C$504,MATCH($G3050&amp;"",부서매핑!$A$5:$A$504,0)),"미매핑"))</f>
        <v/>
      </c>
      <c r="O3050" s="9">
        <f>IF($A3050="","",N3050&amp;"|"&amp;$F3050)</f>
        <v/>
      </c>
      <c r="P3050" s="77">
        <f>IF($A3050="",0,$H3050*설정!$C$23)</f>
        <v/>
      </c>
      <c r="Q3050" s="39">
        <f>IF($A3050="","",IF(O3050&lt;&gt;원인분석!$C$9,"",IF(AND(M3050&gt;=원인분석!$C$10,M3050&lt;=원인분석!$C$11),"당기",IF(AND(M3050&gt;=원인분석!$C$12,M3050&lt;=원인분석!$C$13),"비교",""))))</f>
        <v/>
      </c>
      <c r="R3050" s="9">
        <f>IF(Q3050="","",$K3050&amp;"")</f>
        <v/>
      </c>
      <c r="S3050" s="9">
        <f>IF(Q3050="","",IF(MATCH(R3050,$R$5:$R$100000,0)=ROW()-4,ROW(),""))</f>
        <v/>
      </c>
      <c r="T3050" s="9">
        <f>IF(Q3050="당기",ABS(P3050)+ROW()/1000000000,"")</f>
        <v/>
      </c>
      <c r="U3050" s="9">
        <f>IF(Q3050="비교",ABS(P3050)+ROW()/1000000000,"")</f>
        <v/>
      </c>
      <c r="V3050" s="39">
        <f>IF($A3050="","",IF(COUNTIF(변동분석!$E$7:$E$506,O3050)&gt;0,"Y","N"))</f>
        <v/>
      </c>
      <c r="W3050" s="39">
        <f>IF($A3050="","",IFERROR(INDEX(계정매핑!$D$5:$D$504,MATCH($F3050&amp;"",계정매핑!$A$5:$A$504,0)),"미매핑"))</f>
        <v/>
      </c>
      <c r="X3050" s="9">
        <f>IF($A3050="","",$F3050&amp;"")</f>
        <v/>
      </c>
    </row>
    <row r="3051">
      <c r="A3051" s="75" t="n">
        <v>2026</v>
      </c>
      <c r="B3051" s="75" t="n">
        <v>4</v>
      </c>
      <c r="C3051" s="75" t="inlineStr">
        <is>
          <t>5100000707</t>
        </is>
      </c>
      <c r="D3051" s="78" t="n">
        <v>46129</v>
      </c>
      <c r="E3051" s="75" t="inlineStr">
        <is>
          <t>KR</t>
        </is>
      </c>
      <c r="F3051" s="75" t="n">
        <v>62101000</v>
      </c>
      <c r="G3051" s="75" t="n">
        <v>1401</v>
      </c>
      <c r="H3051" s="76" t="n">
        <v>253000</v>
      </c>
      <c r="I3051" s="75" t="inlineStr">
        <is>
          <t>4월 국내출장 - (법인카드)</t>
        </is>
      </c>
      <c r="J3051" s="75" t="inlineStr">
        <is>
          <t>V10008</t>
        </is>
      </c>
      <c r="K3051" s="75" t="inlineStr">
        <is>
          <t>(법인카드)</t>
        </is>
      </c>
      <c r="M3051" s="9">
        <f>IF($A3051="","",VALUE($A3051&amp;"")*12+VALUE($B3051&amp;""))</f>
        <v/>
      </c>
      <c r="N3051" s="39">
        <f>IF($A3051="","",IFERROR(INDEX(부서매핑!$C$5:$C$504,MATCH($G3051&amp;"",부서매핑!$A$5:$A$504,0)),"미매핑"))</f>
        <v/>
      </c>
      <c r="O3051" s="9">
        <f>IF($A3051="","",N3051&amp;"|"&amp;$F3051)</f>
        <v/>
      </c>
      <c r="P3051" s="77">
        <f>IF($A3051="",0,$H3051*설정!$C$23)</f>
        <v/>
      </c>
      <c r="Q3051" s="39">
        <f>IF($A3051="","",IF(O3051&lt;&gt;원인분석!$C$9,"",IF(AND(M3051&gt;=원인분석!$C$10,M3051&lt;=원인분석!$C$11),"당기",IF(AND(M3051&gt;=원인분석!$C$12,M3051&lt;=원인분석!$C$13),"비교",""))))</f>
        <v/>
      </c>
      <c r="R3051" s="9">
        <f>IF(Q3051="","",$K3051&amp;"")</f>
        <v/>
      </c>
      <c r="S3051" s="9">
        <f>IF(Q3051="","",IF(MATCH(R3051,$R$5:$R$100000,0)=ROW()-4,ROW(),""))</f>
        <v/>
      </c>
      <c r="T3051" s="9">
        <f>IF(Q3051="당기",ABS(P3051)+ROW()/1000000000,"")</f>
        <v/>
      </c>
      <c r="U3051" s="9">
        <f>IF(Q3051="비교",ABS(P3051)+ROW()/1000000000,"")</f>
        <v/>
      </c>
      <c r="V3051" s="39">
        <f>IF($A3051="","",IF(COUNTIF(변동분석!$E$7:$E$506,O3051)&gt;0,"Y","N"))</f>
        <v/>
      </c>
      <c r="W3051" s="39">
        <f>IF($A3051="","",IFERROR(INDEX(계정매핑!$D$5:$D$504,MATCH($F3051&amp;"",계정매핑!$A$5:$A$504,0)),"미매핑"))</f>
        <v/>
      </c>
      <c r="X3051" s="9">
        <f>IF($A3051="","",$F3051&amp;"")</f>
        <v/>
      </c>
    </row>
    <row r="3052">
      <c r="A3052" s="75" t="n">
        <v>2026</v>
      </c>
      <c r="B3052" s="75" t="n">
        <v>4</v>
      </c>
      <c r="C3052" s="75" t="inlineStr">
        <is>
          <t>5100000708</t>
        </is>
      </c>
      <c r="D3052" s="78" t="n">
        <v>46129</v>
      </c>
      <c r="E3052" s="75" t="inlineStr">
        <is>
          <t>KR</t>
        </is>
      </c>
      <c r="F3052" s="75" t="n">
        <v>62101000</v>
      </c>
      <c r="G3052" s="75" t="n">
        <v>1801</v>
      </c>
      <c r="H3052" s="76" t="n">
        <v>78000</v>
      </c>
      <c r="I3052" s="75" t="inlineStr">
        <is>
          <t>4월 국내출장 - (법인카드)</t>
        </is>
      </c>
      <c r="J3052" s="75" t="inlineStr">
        <is>
          <t>V10008</t>
        </is>
      </c>
      <c r="K3052" s="75" t="inlineStr">
        <is>
          <t>(법인카드)</t>
        </is>
      </c>
      <c r="M3052" s="9">
        <f>IF($A3052="","",VALUE($A3052&amp;"")*12+VALUE($B3052&amp;""))</f>
        <v/>
      </c>
      <c r="N3052" s="39">
        <f>IF($A3052="","",IFERROR(INDEX(부서매핑!$C$5:$C$504,MATCH($G3052&amp;"",부서매핑!$A$5:$A$504,0)),"미매핑"))</f>
        <v/>
      </c>
      <c r="O3052" s="9">
        <f>IF($A3052="","",N3052&amp;"|"&amp;$F3052)</f>
        <v/>
      </c>
      <c r="P3052" s="77">
        <f>IF($A3052="",0,$H3052*설정!$C$23)</f>
        <v/>
      </c>
      <c r="Q3052" s="39">
        <f>IF($A3052="","",IF(O3052&lt;&gt;원인분석!$C$9,"",IF(AND(M3052&gt;=원인분석!$C$10,M3052&lt;=원인분석!$C$11),"당기",IF(AND(M3052&gt;=원인분석!$C$12,M3052&lt;=원인분석!$C$13),"비교",""))))</f>
        <v/>
      </c>
      <c r="R3052" s="9">
        <f>IF(Q3052="","",$K3052&amp;"")</f>
        <v/>
      </c>
      <c r="S3052" s="9">
        <f>IF(Q3052="","",IF(MATCH(R3052,$R$5:$R$100000,0)=ROW()-4,ROW(),""))</f>
        <v/>
      </c>
      <c r="T3052" s="9">
        <f>IF(Q3052="당기",ABS(P3052)+ROW()/1000000000,"")</f>
        <v/>
      </c>
      <c r="U3052" s="9">
        <f>IF(Q3052="비교",ABS(P3052)+ROW()/1000000000,"")</f>
        <v/>
      </c>
      <c r="V3052" s="39">
        <f>IF($A3052="","",IF(COUNTIF(변동분석!$E$7:$E$506,O3052)&gt;0,"Y","N"))</f>
        <v/>
      </c>
      <c r="W3052" s="39">
        <f>IF($A3052="","",IFERROR(INDEX(계정매핑!$D$5:$D$504,MATCH($F3052&amp;"",계정매핑!$A$5:$A$504,0)),"미매핑"))</f>
        <v/>
      </c>
      <c r="X3052" s="9">
        <f>IF($A3052="","",$F3052&amp;"")</f>
        <v/>
      </c>
    </row>
    <row r="3053">
      <c r="A3053" s="75" t="n">
        <v>2026</v>
      </c>
      <c r="B3053" s="75" t="n">
        <v>4</v>
      </c>
      <c r="C3053" s="75" t="inlineStr">
        <is>
          <t>5100000709</t>
        </is>
      </c>
      <c r="D3053" s="78" t="n">
        <v>46129</v>
      </c>
      <c r="E3053" s="75" t="inlineStr">
        <is>
          <t>KR</t>
        </is>
      </c>
      <c r="F3053" s="75" t="n">
        <v>62301000</v>
      </c>
      <c r="G3053" s="75" t="n">
        <v>1301</v>
      </c>
      <c r="H3053" s="76" t="n">
        <v>197000</v>
      </c>
      <c r="I3053" s="75" t="inlineStr">
        <is>
          <t>4월 소모품 구입 - R문구</t>
        </is>
      </c>
      <c r="J3053" s="75" t="inlineStr">
        <is>
          <t>V10018</t>
        </is>
      </c>
      <c r="K3053" s="75" t="inlineStr">
        <is>
          <t>R문구</t>
        </is>
      </c>
      <c r="M3053" s="9">
        <f>IF($A3053="","",VALUE($A3053&amp;"")*12+VALUE($B3053&amp;""))</f>
        <v/>
      </c>
      <c r="N3053" s="39">
        <f>IF($A3053="","",IFERROR(INDEX(부서매핑!$C$5:$C$504,MATCH($G3053&amp;"",부서매핑!$A$5:$A$504,0)),"미매핑"))</f>
        <v/>
      </c>
      <c r="O3053" s="9">
        <f>IF($A3053="","",N3053&amp;"|"&amp;$F3053)</f>
        <v/>
      </c>
      <c r="P3053" s="77">
        <f>IF($A3053="",0,$H3053*설정!$C$23)</f>
        <v/>
      </c>
      <c r="Q3053" s="39">
        <f>IF($A3053="","",IF(O3053&lt;&gt;원인분석!$C$9,"",IF(AND(M3053&gt;=원인분석!$C$10,M3053&lt;=원인분석!$C$11),"당기",IF(AND(M3053&gt;=원인분석!$C$12,M3053&lt;=원인분석!$C$13),"비교",""))))</f>
        <v/>
      </c>
      <c r="R3053" s="9">
        <f>IF(Q3053="","",$K3053&amp;"")</f>
        <v/>
      </c>
      <c r="S3053" s="9">
        <f>IF(Q3053="","",IF(MATCH(R3053,$R$5:$R$100000,0)=ROW()-4,ROW(),""))</f>
        <v/>
      </c>
      <c r="T3053" s="9">
        <f>IF(Q3053="당기",ABS(P3053)+ROW()/1000000000,"")</f>
        <v/>
      </c>
      <c r="U3053" s="9">
        <f>IF(Q3053="비교",ABS(P3053)+ROW()/1000000000,"")</f>
        <v/>
      </c>
      <c r="V3053" s="39">
        <f>IF($A3053="","",IF(COUNTIF(변동분석!$E$7:$E$506,O3053)&gt;0,"Y","N"))</f>
        <v/>
      </c>
      <c r="W3053" s="39">
        <f>IF($A3053="","",IFERROR(INDEX(계정매핑!$D$5:$D$504,MATCH($F3053&amp;"",계정매핑!$A$5:$A$504,0)),"미매핑"))</f>
        <v/>
      </c>
      <c r="X3053" s="9">
        <f>IF($A3053="","",$F3053&amp;"")</f>
        <v/>
      </c>
    </row>
    <row r="3054">
      <c r="A3054" s="75" t="n">
        <v>2026</v>
      </c>
      <c r="B3054" s="75" t="n">
        <v>4</v>
      </c>
      <c r="C3054" s="75" t="inlineStr">
        <is>
          <t>5100000710</t>
        </is>
      </c>
      <c r="D3054" s="78" t="n">
        <v>46129</v>
      </c>
      <c r="E3054" s="75" t="inlineStr">
        <is>
          <t>KR</t>
        </is>
      </c>
      <c r="F3054" s="75" t="n">
        <v>62301000</v>
      </c>
      <c r="G3054" s="75" t="n">
        <v>1401</v>
      </c>
      <c r="H3054" s="76" t="n">
        <v>84000</v>
      </c>
      <c r="I3054" s="75" t="inlineStr">
        <is>
          <t>4월 소모품 구입 - R문구</t>
        </is>
      </c>
      <c r="J3054" s="75" t="inlineStr">
        <is>
          <t>V10018</t>
        </is>
      </c>
      <c r="K3054" s="75" t="inlineStr">
        <is>
          <t>R문구</t>
        </is>
      </c>
      <c r="M3054" s="9">
        <f>IF($A3054="","",VALUE($A3054&amp;"")*12+VALUE($B3054&amp;""))</f>
        <v/>
      </c>
      <c r="N3054" s="39">
        <f>IF($A3054="","",IFERROR(INDEX(부서매핑!$C$5:$C$504,MATCH($G3054&amp;"",부서매핑!$A$5:$A$504,0)),"미매핑"))</f>
        <v/>
      </c>
      <c r="O3054" s="9">
        <f>IF($A3054="","",N3054&amp;"|"&amp;$F3054)</f>
        <v/>
      </c>
      <c r="P3054" s="77">
        <f>IF($A3054="",0,$H3054*설정!$C$23)</f>
        <v/>
      </c>
      <c r="Q3054" s="39">
        <f>IF($A3054="","",IF(O3054&lt;&gt;원인분석!$C$9,"",IF(AND(M3054&gt;=원인분석!$C$10,M3054&lt;=원인분석!$C$11),"당기",IF(AND(M3054&gt;=원인분석!$C$12,M3054&lt;=원인분석!$C$13),"비교",""))))</f>
        <v/>
      </c>
      <c r="R3054" s="9">
        <f>IF(Q3054="","",$K3054&amp;"")</f>
        <v/>
      </c>
      <c r="S3054" s="9">
        <f>IF(Q3054="","",IF(MATCH(R3054,$R$5:$R$100000,0)=ROW()-4,ROW(),""))</f>
        <v/>
      </c>
      <c r="T3054" s="9">
        <f>IF(Q3054="당기",ABS(P3054)+ROW()/1000000000,"")</f>
        <v/>
      </c>
      <c r="U3054" s="9">
        <f>IF(Q3054="비교",ABS(P3054)+ROW()/1000000000,"")</f>
        <v/>
      </c>
      <c r="V3054" s="39">
        <f>IF($A3054="","",IF(COUNTIF(변동분석!$E$7:$E$506,O3054)&gt;0,"Y","N"))</f>
        <v/>
      </c>
      <c r="W3054" s="39">
        <f>IF($A3054="","",IFERROR(INDEX(계정매핑!$D$5:$D$504,MATCH($F3054&amp;"",계정매핑!$A$5:$A$504,0)),"미매핑"))</f>
        <v/>
      </c>
      <c r="X3054" s="9">
        <f>IF($A3054="","",$F3054&amp;"")</f>
        <v/>
      </c>
    </row>
    <row r="3055">
      <c r="A3055" s="75" t="n">
        <v>2026</v>
      </c>
      <c r="B3055" s="75" t="n">
        <v>4</v>
      </c>
      <c r="C3055" s="75" t="inlineStr">
        <is>
          <t>5100000711</t>
        </is>
      </c>
      <c r="D3055" s="78" t="n">
        <v>46129</v>
      </c>
      <c r="E3055" s="75" t="inlineStr">
        <is>
          <t>KR</t>
        </is>
      </c>
      <c r="F3055" s="75" t="n">
        <v>62501000</v>
      </c>
      <c r="G3055" s="75" t="n">
        <v>1502</v>
      </c>
      <c r="H3055" s="76" t="n">
        <v>367000</v>
      </c>
      <c r="I3055" s="75" t="inlineStr">
        <is>
          <t>4월 회의 다과 - (법인카드)</t>
        </is>
      </c>
      <c r="J3055" s="75" t="inlineStr">
        <is>
          <t>V10008</t>
        </is>
      </c>
      <c r="K3055" s="75" t="inlineStr">
        <is>
          <t>(법인카드)</t>
        </is>
      </c>
      <c r="M3055" s="9">
        <f>IF($A3055="","",VALUE($A3055&amp;"")*12+VALUE($B3055&amp;""))</f>
        <v/>
      </c>
      <c r="N3055" s="39">
        <f>IF($A3055="","",IFERROR(INDEX(부서매핑!$C$5:$C$504,MATCH($G3055&amp;"",부서매핑!$A$5:$A$504,0)),"미매핑"))</f>
        <v/>
      </c>
      <c r="O3055" s="9">
        <f>IF($A3055="","",N3055&amp;"|"&amp;$F3055)</f>
        <v/>
      </c>
      <c r="P3055" s="77">
        <f>IF($A3055="",0,$H3055*설정!$C$23)</f>
        <v/>
      </c>
      <c r="Q3055" s="39">
        <f>IF($A3055="","",IF(O3055&lt;&gt;원인분석!$C$9,"",IF(AND(M3055&gt;=원인분석!$C$10,M3055&lt;=원인분석!$C$11),"당기",IF(AND(M3055&gt;=원인분석!$C$12,M3055&lt;=원인분석!$C$13),"비교",""))))</f>
        <v/>
      </c>
      <c r="R3055" s="9">
        <f>IF(Q3055="","",$K3055&amp;"")</f>
        <v/>
      </c>
      <c r="S3055" s="9">
        <f>IF(Q3055="","",IF(MATCH(R3055,$R$5:$R$100000,0)=ROW()-4,ROW(),""))</f>
        <v/>
      </c>
      <c r="T3055" s="9">
        <f>IF(Q3055="당기",ABS(P3055)+ROW()/1000000000,"")</f>
        <v/>
      </c>
      <c r="U3055" s="9">
        <f>IF(Q3055="비교",ABS(P3055)+ROW()/1000000000,"")</f>
        <v/>
      </c>
      <c r="V3055" s="39">
        <f>IF($A3055="","",IF(COUNTIF(변동분석!$E$7:$E$506,O3055)&gt;0,"Y","N"))</f>
        <v/>
      </c>
      <c r="W3055" s="39">
        <f>IF($A3055="","",IFERROR(INDEX(계정매핑!$D$5:$D$504,MATCH($F3055&amp;"",계정매핑!$A$5:$A$504,0)),"미매핑"))</f>
        <v/>
      </c>
      <c r="X3055" s="9">
        <f>IF($A3055="","",$F3055&amp;"")</f>
        <v/>
      </c>
    </row>
    <row r="3056">
      <c r="A3056" s="75" t="n">
        <v>2026</v>
      </c>
      <c r="B3056" s="75" t="n">
        <v>4</v>
      </c>
      <c r="C3056" s="75" t="inlineStr">
        <is>
          <t>5100000712</t>
        </is>
      </c>
      <c r="D3056" s="78" t="n">
        <v>46129</v>
      </c>
      <c r="E3056" s="75" t="inlineStr">
        <is>
          <t>KR</t>
        </is>
      </c>
      <c r="F3056" s="75" t="n">
        <v>62601000</v>
      </c>
      <c r="G3056" s="75" t="n">
        <v>1601</v>
      </c>
      <c r="H3056" s="76" t="n">
        <v>2986000</v>
      </c>
      <c r="I3056" s="75" t="inlineStr">
        <is>
          <t>4월 업무추진 - (법인카드)</t>
        </is>
      </c>
      <c r="J3056" s="75" t="inlineStr">
        <is>
          <t>V10008</t>
        </is>
      </c>
      <c r="K3056" s="75" t="inlineStr">
        <is>
          <t>(법인카드)</t>
        </is>
      </c>
      <c r="M3056" s="9">
        <f>IF($A3056="","",VALUE($A3056&amp;"")*12+VALUE($B3056&amp;""))</f>
        <v/>
      </c>
      <c r="N3056" s="39">
        <f>IF($A3056="","",IFERROR(INDEX(부서매핑!$C$5:$C$504,MATCH($G3056&amp;"",부서매핑!$A$5:$A$504,0)),"미매핑"))</f>
        <v/>
      </c>
      <c r="O3056" s="9">
        <f>IF($A3056="","",N3056&amp;"|"&amp;$F3056)</f>
        <v/>
      </c>
      <c r="P3056" s="77">
        <f>IF($A3056="",0,$H3056*설정!$C$23)</f>
        <v/>
      </c>
      <c r="Q3056" s="39">
        <f>IF($A3056="","",IF(O3056&lt;&gt;원인분석!$C$9,"",IF(AND(M3056&gt;=원인분석!$C$10,M3056&lt;=원인분석!$C$11),"당기",IF(AND(M3056&gt;=원인분석!$C$12,M3056&lt;=원인분석!$C$13),"비교",""))))</f>
        <v/>
      </c>
      <c r="R3056" s="9">
        <f>IF(Q3056="","",$K3056&amp;"")</f>
        <v/>
      </c>
      <c r="S3056" s="9">
        <f>IF(Q3056="","",IF(MATCH(R3056,$R$5:$R$100000,0)=ROW()-4,ROW(),""))</f>
        <v/>
      </c>
      <c r="T3056" s="9">
        <f>IF(Q3056="당기",ABS(P3056)+ROW()/1000000000,"")</f>
        <v/>
      </c>
      <c r="U3056" s="9">
        <f>IF(Q3056="비교",ABS(P3056)+ROW()/1000000000,"")</f>
        <v/>
      </c>
      <c r="V3056" s="39">
        <f>IF($A3056="","",IF(COUNTIF(변동분석!$E$7:$E$506,O3056)&gt;0,"Y","N"))</f>
        <v/>
      </c>
      <c r="W3056" s="39">
        <f>IF($A3056="","",IFERROR(INDEX(계정매핑!$D$5:$D$504,MATCH($F3056&amp;"",계정매핑!$A$5:$A$504,0)),"미매핑"))</f>
        <v/>
      </c>
      <c r="X3056" s="9">
        <f>IF($A3056="","",$F3056&amp;"")</f>
        <v/>
      </c>
    </row>
    <row r="3057">
      <c r="A3057" s="75" t="n">
        <v>2026</v>
      </c>
      <c r="B3057" s="75" t="n">
        <v>4</v>
      </c>
      <c r="C3057" s="75" t="inlineStr">
        <is>
          <t>5100000713</t>
        </is>
      </c>
      <c r="D3057" s="78" t="n">
        <v>46129</v>
      </c>
      <c r="E3057" s="75" t="inlineStr">
        <is>
          <t>KR</t>
        </is>
      </c>
      <c r="F3057" s="75" t="n">
        <v>62901000</v>
      </c>
      <c r="G3057" s="75" t="n">
        <v>1401</v>
      </c>
      <c r="H3057" s="76" t="n">
        <v>8967000</v>
      </c>
      <c r="I3057" s="75" t="inlineStr">
        <is>
          <t>4월 자문 수수료 - K회계법인</t>
        </is>
      </c>
      <c r="J3057" s="75" t="inlineStr">
        <is>
          <t>V10010</t>
        </is>
      </c>
      <c r="K3057" s="75" t="inlineStr">
        <is>
          <t>K회계법인</t>
        </is>
      </c>
      <c r="M3057" s="9">
        <f>IF($A3057="","",VALUE($A3057&amp;"")*12+VALUE($B3057&amp;""))</f>
        <v/>
      </c>
      <c r="N3057" s="39">
        <f>IF($A3057="","",IFERROR(INDEX(부서매핑!$C$5:$C$504,MATCH($G3057&amp;"",부서매핑!$A$5:$A$504,0)),"미매핑"))</f>
        <v/>
      </c>
      <c r="O3057" s="9">
        <f>IF($A3057="","",N3057&amp;"|"&amp;$F3057)</f>
        <v/>
      </c>
      <c r="P3057" s="77">
        <f>IF($A3057="",0,$H3057*설정!$C$23)</f>
        <v/>
      </c>
      <c r="Q3057" s="39">
        <f>IF($A3057="","",IF(O3057&lt;&gt;원인분석!$C$9,"",IF(AND(M3057&gt;=원인분석!$C$10,M3057&lt;=원인분석!$C$11),"당기",IF(AND(M3057&gt;=원인분석!$C$12,M3057&lt;=원인분석!$C$13),"비교",""))))</f>
        <v/>
      </c>
      <c r="R3057" s="9">
        <f>IF(Q3057="","",$K3057&amp;"")</f>
        <v/>
      </c>
      <c r="S3057" s="9">
        <f>IF(Q3057="","",IF(MATCH(R3057,$R$5:$R$100000,0)=ROW()-4,ROW(),""))</f>
        <v/>
      </c>
      <c r="T3057" s="9">
        <f>IF(Q3057="당기",ABS(P3057)+ROW()/1000000000,"")</f>
        <v/>
      </c>
      <c r="U3057" s="9">
        <f>IF(Q3057="비교",ABS(P3057)+ROW()/1000000000,"")</f>
        <v/>
      </c>
      <c r="V3057" s="39">
        <f>IF($A3057="","",IF(COUNTIF(변동분석!$E$7:$E$506,O3057)&gt;0,"Y","N"))</f>
        <v/>
      </c>
      <c r="W3057" s="39">
        <f>IF($A3057="","",IFERROR(INDEX(계정매핑!$D$5:$D$504,MATCH($F3057&amp;"",계정매핑!$A$5:$A$504,0)),"미매핑"))</f>
        <v/>
      </c>
      <c r="X3057" s="9">
        <f>IF($A3057="","",$F3057&amp;"")</f>
        <v/>
      </c>
    </row>
    <row r="3058">
      <c r="A3058" s="75" t="n">
        <v>2026</v>
      </c>
      <c r="B3058" s="75" t="n">
        <v>4</v>
      </c>
      <c r="C3058" s="75" t="inlineStr">
        <is>
          <t>5100000714</t>
        </is>
      </c>
      <c r="D3058" s="78" t="n">
        <v>46129</v>
      </c>
      <c r="E3058" s="75" t="inlineStr">
        <is>
          <t>KR</t>
        </is>
      </c>
      <c r="F3058" s="75" t="n">
        <v>62902000</v>
      </c>
      <c r="G3058" s="75" t="n">
        <v>1801</v>
      </c>
      <c r="H3058" s="76" t="n">
        <v>1768000</v>
      </c>
      <c r="I3058" s="75" t="inlineStr">
        <is>
          <t>4월 콜 위탁 수수료(건별)</t>
        </is>
      </c>
      <c r="J3058" s="75" t="inlineStr">
        <is>
          <t>V10013</t>
        </is>
      </c>
      <c r="K3058" s="75" t="inlineStr">
        <is>
          <t>J콜센터</t>
        </is>
      </c>
      <c r="M3058" s="9">
        <f>IF($A3058="","",VALUE($A3058&amp;"")*12+VALUE($B3058&amp;""))</f>
        <v/>
      </c>
      <c r="N3058" s="39">
        <f>IF($A3058="","",IFERROR(INDEX(부서매핑!$C$5:$C$504,MATCH($G3058&amp;"",부서매핑!$A$5:$A$504,0)),"미매핑"))</f>
        <v/>
      </c>
      <c r="O3058" s="9">
        <f>IF($A3058="","",N3058&amp;"|"&amp;$F3058)</f>
        <v/>
      </c>
      <c r="P3058" s="77">
        <f>IF($A3058="",0,$H3058*설정!$C$23)</f>
        <v/>
      </c>
      <c r="Q3058" s="39">
        <f>IF($A3058="","",IF(O3058&lt;&gt;원인분석!$C$9,"",IF(AND(M3058&gt;=원인분석!$C$10,M3058&lt;=원인분석!$C$11),"당기",IF(AND(M3058&gt;=원인분석!$C$12,M3058&lt;=원인분석!$C$13),"비교",""))))</f>
        <v/>
      </c>
      <c r="R3058" s="9">
        <f>IF(Q3058="","",$K3058&amp;"")</f>
        <v/>
      </c>
      <c r="S3058" s="9">
        <f>IF(Q3058="","",IF(MATCH(R3058,$R$5:$R$100000,0)=ROW()-4,ROW(),""))</f>
        <v/>
      </c>
      <c r="T3058" s="9">
        <f>IF(Q3058="당기",ABS(P3058)+ROW()/1000000000,"")</f>
        <v/>
      </c>
      <c r="U3058" s="9">
        <f>IF(Q3058="비교",ABS(P3058)+ROW()/1000000000,"")</f>
        <v/>
      </c>
      <c r="V3058" s="39">
        <f>IF($A3058="","",IF(COUNTIF(변동분석!$E$7:$E$506,O3058)&gt;0,"Y","N"))</f>
        <v/>
      </c>
      <c r="W3058" s="39">
        <f>IF($A3058="","",IFERROR(INDEX(계정매핑!$D$5:$D$504,MATCH($F3058&amp;"",계정매핑!$A$5:$A$504,0)),"미매핑"))</f>
        <v/>
      </c>
      <c r="X3058" s="9">
        <f>IF($A3058="","",$F3058&amp;"")</f>
        <v/>
      </c>
    </row>
    <row r="3059">
      <c r="A3059" s="75" t="n">
        <v>2026</v>
      </c>
      <c r="B3059" s="75" t="n">
        <v>4</v>
      </c>
      <c r="C3059" s="75" t="inlineStr">
        <is>
          <t>5100000715</t>
        </is>
      </c>
      <c r="D3059" s="78" t="n">
        <v>46130</v>
      </c>
      <c r="E3059" s="75" t="inlineStr">
        <is>
          <t>KR</t>
        </is>
      </c>
      <c r="F3059" s="75" t="n">
        <v>62101000</v>
      </c>
      <c r="G3059" s="75" t="n">
        <v>1501</v>
      </c>
      <c r="H3059" s="76" t="n">
        <v>647000</v>
      </c>
      <c r="I3059" s="75" t="inlineStr">
        <is>
          <t>4월 국내출장 - M항공</t>
        </is>
      </c>
      <c r="J3059" s="75" t="inlineStr">
        <is>
          <t>V10001</t>
        </is>
      </c>
      <c r="K3059" s="75" t="inlineStr">
        <is>
          <t>M항공</t>
        </is>
      </c>
      <c r="M3059" s="9">
        <f>IF($A3059="","",VALUE($A3059&amp;"")*12+VALUE($B3059&amp;""))</f>
        <v/>
      </c>
      <c r="N3059" s="39">
        <f>IF($A3059="","",IFERROR(INDEX(부서매핑!$C$5:$C$504,MATCH($G3059&amp;"",부서매핑!$A$5:$A$504,0)),"미매핑"))</f>
        <v/>
      </c>
      <c r="O3059" s="9">
        <f>IF($A3059="","",N3059&amp;"|"&amp;$F3059)</f>
        <v/>
      </c>
      <c r="P3059" s="77">
        <f>IF($A3059="",0,$H3059*설정!$C$23)</f>
        <v/>
      </c>
      <c r="Q3059" s="39">
        <f>IF($A3059="","",IF(O3059&lt;&gt;원인분석!$C$9,"",IF(AND(M3059&gt;=원인분석!$C$10,M3059&lt;=원인분석!$C$11),"당기",IF(AND(M3059&gt;=원인분석!$C$12,M3059&lt;=원인분석!$C$13),"비교",""))))</f>
        <v/>
      </c>
      <c r="R3059" s="9">
        <f>IF(Q3059="","",$K3059&amp;"")</f>
        <v/>
      </c>
      <c r="S3059" s="9">
        <f>IF(Q3059="","",IF(MATCH(R3059,$R$5:$R$100000,0)=ROW()-4,ROW(),""))</f>
        <v/>
      </c>
      <c r="T3059" s="9">
        <f>IF(Q3059="당기",ABS(P3059)+ROW()/1000000000,"")</f>
        <v/>
      </c>
      <c r="U3059" s="9">
        <f>IF(Q3059="비교",ABS(P3059)+ROW()/1000000000,"")</f>
        <v/>
      </c>
      <c r="V3059" s="39">
        <f>IF($A3059="","",IF(COUNTIF(변동분석!$E$7:$E$506,O3059)&gt;0,"Y","N"))</f>
        <v/>
      </c>
      <c r="W3059" s="39">
        <f>IF($A3059="","",IFERROR(INDEX(계정매핑!$D$5:$D$504,MATCH($F3059&amp;"",계정매핑!$A$5:$A$504,0)),"미매핑"))</f>
        <v/>
      </c>
      <c r="X3059" s="9">
        <f>IF($A3059="","",$F3059&amp;"")</f>
        <v/>
      </c>
    </row>
    <row r="3060">
      <c r="A3060" s="75" t="n">
        <v>2026</v>
      </c>
      <c r="B3060" s="75" t="n">
        <v>4</v>
      </c>
      <c r="C3060" s="75" t="inlineStr">
        <is>
          <t>5100000716</t>
        </is>
      </c>
      <c r="D3060" s="78" t="n">
        <v>46130</v>
      </c>
      <c r="E3060" s="75" t="inlineStr">
        <is>
          <t>KR</t>
        </is>
      </c>
      <c r="F3060" s="75" t="n">
        <v>62102000</v>
      </c>
      <c r="G3060" s="75" t="n">
        <v>1101</v>
      </c>
      <c r="H3060" s="76" t="n">
        <v>110000</v>
      </c>
      <c r="I3060" s="75" t="inlineStr">
        <is>
          <t>4월 해외출장 - N호텔</t>
        </is>
      </c>
      <c r="J3060" s="75" t="inlineStr">
        <is>
          <t>V10007</t>
        </is>
      </c>
      <c r="K3060" s="75" t="inlineStr">
        <is>
          <t>N호텔</t>
        </is>
      </c>
      <c r="M3060" s="9">
        <f>IF($A3060="","",VALUE($A3060&amp;"")*12+VALUE($B3060&amp;""))</f>
        <v/>
      </c>
      <c r="N3060" s="39">
        <f>IF($A3060="","",IFERROR(INDEX(부서매핑!$C$5:$C$504,MATCH($G3060&amp;"",부서매핑!$A$5:$A$504,0)),"미매핑"))</f>
        <v/>
      </c>
      <c r="O3060" s="9">
        <f>IF($A3060="","",N3060&amp;"|"&amp;$F3060)</f>
        <v/>
      </c>
      <c r="P3060" s="77">
        <f>IF($A3060="",0,$H3060*설정!$C$23)</f>
        <v/>
      </c>
      <c r="Q3060" s="39">
        <f>IF($A3060="","",IF(O3060&lt;&gt;원인분석!$C$9,"",IF(AND(M3060&gt;=원인분석!$C$10,M3060&lt;=원인분석!$C$11),"당기",IF(AND(M3060&gt;=원인분석!$C$12,M3060&lt;=원인분석!$C$13),"비교",""))))</f>
        <v/>
      </c>
      <c r="R3060" s="9">
        <f>IF(Q3060="","",$K3060&amp;"")</f>
        <v/>
      </c>
      <c r="S3060" s="9">
        <f>IF(Q3060="","",IF(MATCH(R3060,$R$5:$R$100000,0)=ROW()-4,ROW(),""))</f>
        <v/>
      </c>
      <c r="T3060" s="9">
        <f>IF(Q3060="당기",ABS(P3060)+ROW()/1000000000,"")</f>
        <v/>
      </c>
      <c r="U3060" s="9">
        <f>IF(Q3060="비교",ABS(P3060)+ROW()/1000000000,"")</f>
        <v/>
      </c>
      <c r="V3060" s="39">
        <f>IF($A3060="","",IF(COUNTIF(변동분석!$E$7:$E$506,O3060)&gt;0,"Y","N"))</f>
        <v/>
      </c>
      <c r="W3060" s="39">
        <f>IF($A3060="","",IFERROR(INDEX(계정매핑!$D$5:$D$504,MATCH($F3060&amp;"",계정매핑!$A$5:$A$504,0)),"미매핑"))</f>
        <v/>
      </c>
      <c r="X3060" s="9">
        <f>IF($A3060="","",$F3060&amp;"")</f>
        <v/>
      </c>
    </row>
    <row r="3061">
      <c r="A3061" s="75" t="n">
        <v>2026</v>
      </c>
      <c r="B3061" s="75" t="n">
        <v>4</v>
      </c>
      <c r="C3061" s="75" t="inlineStr">
        <is>
          <t>5100000717</t>
        </is>
      </c>
      <c r="D3061" s="78" t="n">
        <v>46130</v>
      </c>
      <c r="E3061" s="75" t="inlineStr">
        <is>
          <t>KR</t>
        </is>
      </c>
      <c r="F3061" s="75" t="n">
        <v>62102000</v>
      </c>
      <c r="G3061" s="75" t="n">
        <v>1201</v>
      </c>
      <c r="H3061" s="76" t="n">
        <v>67000</v>
      </c>
      <c r="I3061" s="75" t="inlineStr">
        <is>
          <t>4월 해외출장 - N호텔</t>
        </is>
      </c>
      <c r="J3061" s="75" t="inlineStr">
        <is>
          <t>V10007</t>
        </is>
      </c>
      <c r="K3061" s="75" t="inlineStr">
        <is>
          <t>N호텔</t>
        </is>
      </c>
      <c r="M3061" s="9">
        <f>IF($A3061="","",VALUE($A3061&amp;"")*12+VALUE($B3061&amp;""))</f>
        <v/>
      </c>
      <c r="N3061" s="39">
        <f>IF($A3061="","",IFERROR(INDEX(부서매핑!$C$5:$C$504,MATCH($G3061&amp;"",부서매핑!$A$5:$A$504,0)),"미매핑"))</f>
        <v/>
      </c>
      <c r="O3061" s="9">
        <f>IF($A3061="","",N3061&amp;"|"&amp;$F3061)</f>
        <v/>
      </c>
      <c r="P3061" s="77">
        <f>IF($A3061="",0,$H3061*설정!$C$23)</f>
        <v/>
      </c>
      <c r="Q3061" s="39">
        <f>IF($A3061="","",IF(O3061&lt;&gt;원인분석!$C$9,"",IF(AND(M3061&gt;=원인분석!$C$10,M3061&lt;=원인분석!$C$11),"당기",IF(AND(M3061&gt;=원인분석!$C$12,M3061&lt;=원인분석!$C$13),"비교",""))))</f>
        <v/>
      </c>
      <c r="R3061" s="9">
        <f>IF(Q3061="","",$K3061&amp;"")</f>
        <v/>
      </c>
      <c r="S3061" s="9">
        <f>IF(Q3061="","",IF(MATCH(R3061,$R$5:$R$100000,0)=ROW()-4,ROW(),""))</f>
        <v/>
      </c>
      <c r="T3061" s="9">
        <f>IF(Q3061="당기",ABS(P3061)+ROW()/1000000000,"")</f>
        <v/>
      </c>
      <c r="U3061" s="9">
        <f>IF(Q3061="비교",ABS(P3061)+ROW()/1000000000,"")</f>
        <v/>
      </c>
      <c r="V3061" s="39">
        <f>IF($A3061="","",IF(COUNTIF(변동분석!$E$7:$E$506,O3061)&gt;0,"Y","N"))</f>
        <v/>
      </c>
      <c r="W3061" s="39">
        <f>IF($A3061="","",IFERROR(INDEX(계정매핑!$D$5:$D$504,MATCH($F3061&amp;"",계정매핑!$A$5:$A$504,0)),"미매핑"))</f>
        <v/>
      </c>
      <c r="X3061" s="9">
        <f>IF($A3061="","",$F3061&amp;"")</f>
        <v/>
      </c>
    </row>
    <row r="3062">
      <c r="A3062" s="75" t="n">
        <v>2026</v>
      </c>
      <c r="B3062" s="75" t="n">
        <v>4</v>
      </c>
      <c r="C3062" s="75" t="inlineStr">
        <is>
          <t>5100000718</t>
        </is>
      </c>
      <c r="D3062" s="78" t="n">
        <v>46130</v>
      </c>
      <c r="E3062" s="75" t="inlineStr">
        <is>
          <t>KR</t>
        </is>
      </c>
      <c r="F3062" s="75" t="n">
        <v>62201000</v>
      </c>
      <c r="G3062" s="75" t="n">
        <v>1401</v>
      </c>
      <c r="H3062" s="76" t="n">
        <v>275000</v>
      </c>
      <c r="I3062" s="75" t="inlineStr">
        <is>
          <t>4월 통신요금 - P통신</t>
        </is>
      </c>
      <c r="J3062" s="75" t="inlineStr">
        <is>
          <t>V10011</t>
        </is>
      </c>
      <c r="K3062" s="75" t="inlineStr">
        <is>
          <t>P통신</t>
        </is>
      </c>
      <c r="M3062" s="9">
        <f>IF($A3062="","",VALUE($A3062&amp;"")*12+VALUE($B3062&amp;""))</f>
        <v/>
      </c>
      <c r="N3062" s="39">
        <f>IF($A3062="","",IFERROR(INDEX(부서매핑!$C$5:$C$504,MATCH($G3062&amp;"",부서매핑!$A$5:$A$504,0)),"미매핑"))</f>
        <v/>
      </c>
      <c r="O3062" s="9">
        <f>IF($A3062="","",N3062&amp;"|"&amp;$F3062)</f>
        <v/>
      </c>
      <c r="P3062" s="77">
        <f>IF($A3062="",0,$H3062*설정!$C$23)</f>
        <v/>
      </c>
      <c r="Q3062" s="39">
        <f>IF($A3062="","",IF(O3062&lt;&gt;원인분석!$C$9,"",IF(AND(M3062&gt;=원인분석!$C$10,M3062&lt;=원인분석!$C$11),"당기",IF(AND(M3062&gt;=원인분석!$C$12,M3062&lt;=원인분석!$C$13),"비교",""))))</f>
        <v/>
      </c>
      <c r="R3062" s="9">
        <f>IF(Q3062="","",$K3062&amp;"")</f>
        <v/>
      </c>
      <c r="S3062" s="9">
        <f>IF(Q3062="","",IF(MATCH(R3062,$R$5:$R$100000,0)=ROW()-4,ROW(),""))</f>
        <v/>
      </c>
      <c r="T3062" s="9">
        <f>IF(Q3062="당기",ABS(P3062)+ROW()/1000000000,"")</f>
        <v/>
      </c>
      <c r="U3062" s="9">
        <f>IF(Q3062="비교",ABS(P3062)+ROW()/1000000000,"")</f>
        <v/>
      </c>
      <c r="V3062" s="39">
        <f>IF($A3062="","",IF(COUNTIF(변동분석!$E$7:$E$506,O3062)&gt;0,"Y","N"))</f>
        <v/>
      </c>
      <c r="W3062" s="39">
        <f>IF($A3062="","",IFERROR(INDEX(계정매핑!$D$5:$D$504,MATCH($F3062&amp;"",계정매핑!$A$5:$A$504,0)),"미매핑"))</f>
        <v/>
      </c>
      <c r="X3062" s="9">
        <f>IF($A3062="","",$F3062&amp;"")</f>
        <v/>
      </c>
    </row>
    <row r="3063">
      <c r="A3063" s="75" t="n">
        <v>2026</v>
      </c>
      <c r="B3063" s="75" t="n">
        <v>4</v>
      </c>
      <c r="C3063" s="75" t="inlineStr">
        <is>
          <t>5100000719</t>
        </is>
      </c>
      <c r="D3063" s="78" t="n">
        <v>46130</v>
      </c>
      <c r="E3063" s="75" t="inlineStr">
        <is>
          <t>KR</t>
        </is>
      </c>
      <c r="F3063" s="75" t="n">
        <v>62301000</v>
      </c>
      <c r="G3063" s="75" t="n">
        <v>1101</v>
      </c>
      <c r="H3063" s="76" t="n">
        <v>72000</v>
      </c>
      <c r="I3063" s="75" t="inlineStr">
        <is>
          <t>4월 소모품 구입 - R문구</t>
        </is>
      </c>
      <c r="J3063" s="75" t="inlineStr">
        <is>
          <t>V10018</t>
        </is>
      </c>
      <c r="K3063" s="75" t="inlineStr">
        <is>
          <t>R문구</t>
        </is>
      </c>
      <c r="M3063" s="9">
        <f>IF($A3063="","",VALUE($A3063&amp;"")*12+VALUE($B3063&amp;""))</f>
        <v/>
      </c>
      <c r="N3063" s="39">
        <f>IF($A3063="","",IFERROR(INDEX(부서매핑!$C$5:$C$504,MATCH($G3063&amp;"",부서매핑!$A$5:$A$504,0)),"미매핑"))</f>
        <v/>
      </c>
      <c r="O3063" s="9">
        <f>IF($A3063="","",N3063&amp;"|"&amp;$F3063)</f>
        <v/>
      </c>
      <c r="P3063" s="77">
        <f>IF($A3063="",0,$H3063*설정!$C$23)</f>
        <v/>
      </c>
      <c r="Q3063" s="39">
        <f>IF($A3063="","",IF(O3063&lt;&gt;원인분석!$C$9,"",IF(AND(M3063&gt;=원인분석!$C$10,M3063&lt;=원인분석!$C$11),"당기",IF(AND(M3063&gt;=원인분석!$C$12,M3063&lt;=원인분석!$C$13),"비교",""))))</f>
        <v/>
      </c>
      <c r="R3063" s="9">
        <f>IF(Q3063="","",$K3063&amp;"")</f>
        <v/>
      </c>
      <c r="S3063" s="9">
        <f>IF(Q3063="","",IF(MATCH(R3063,$R$5:$R$100000,0)=ROW()-4,ROW(),""))</f>
        <v/>
      </c>
      <c r="T3063" s="9">
        <f>IF(Q3063="당기",ABS(P3063)+ROW()/1000000000,"")</f>
        <v/>
      </c>
      <c r="U3063" s="9">
        <f>IF(Q3063="비교",ABS(P3063)+ROW()/1000000000,"")</f>
        <v/>
      </c>
      <c r="V3063" s="39">
        <f>IF($A3063="","",IF(COUNTIF(변동분석!$E$7:$E$506,O3063)&gt;0,"Y","N"))</f>
        <v/>
      </c>
      <c r="W3063" s="39">
        <f>IF($A3063="","",IFERROR(INDEX(계정매핑!$D$5:$D$504,MATCH($F3063&amp;"",계정매핑!$A$5:$A$504,0)),"미매핑"))</f>
        <v/>
      </c>
      <c r="X3063" s="9">
        <f>IF($A3063="","",$F3063&amp;"")</f>
        <v/>
      </c>
    </row>
    <row r="3064">
      <c r="A3064" s="75" t="n">
        <v>2026</v>
      </c>
      <c r="B3064" s="75" t="n">
        <v>4</v>
      </c>
      <c r="C3064" s="75" t="inlineStr">
        <is>
          <t>5100000720</t>
        </is>
      </c>
      <c r="D3064" s="78" t="n">
        <v>46130</v>
      </c>
      <c r="E3064" s="75" t="inlineStr">
        <is>
          <t>KR</t>
        </is>
      </c>
      <c r="F3064" s="75" t="n">
        <v>62301000</v>
      </c>
      <c r="G3064" s="75" t="n">
        <v>1701</v>
      </c>
      <c r="H3064" s="76" t="n">
        <v>333000</v>
      </c>
      <c r="I3064" s="75" t="inlineStr">
        <is>
          <t>4월 소모품 구입 - R문구</t>
        </is>
      </c>
      <c r="J3064" s="75" t="inlineStr">
        <is>
          <t>V10018</t>
        </is>
      </c>
      <c r="K3064" s="75" t="inlineStr">
        <is>
          <t>R문구</t>
        </is>
      </c>
      <c r="M3064" s="9">
        <f>IF($A3064="","",VALUE($A3064&amp;"")*12+VALUE($B3064&amp;""))</f>
        <v/>
      </c>
      <c r="N3064" s="39">
        <f>IF($A3064="","",IFERROR(INDEX(부서매핑!$C$5:$C$504,MATCH($G3064&amp;"",부서매핑!$A$5:$A$504,0)),"미매핑"))</f>
        <v/>
      </c>
      <c r="O3064" s="9">
        <f>IF($A3064="","",N3064&amp;"|"&amp;$F3064)</f>
        <v/>
      </c>
      <c r="P3064" s="77">
        <f>IF($A3064="",0,$H3064*설정!$C$23)</f>
        <v/>
      </c>
      <c r="Q3064" s="39">
        <f>IF($A3064="","",IF(O3064&lt;&gt;원인분석!$C$9,"",IF(AND(M3064&gt;=원인분석!$C$10,M3064&lt;=원인분석!$C$11),"당기",IF(AND(M3064&gt;=원인분석!$C$12,M3064&lt;=원인분석!$C$13),"비교",""))))</f>
        <v/>
      </c>
      <c r="R3064" s="9">
        <f>IF(Q3064="","",$K3064&amp;"")</f>
        <v/>
      </c>
      <c r="S3064" s="9">
        <f>IF(Q3064="","",IF(MATCH(R3064,$R$5:$R$100000,0)=ROW()-4,ROW(),""))</f>
        <v/>
      </c>
      <c r="T3064" s="9">
        <f>IF(Q3064="당기",ABS(P3064)+ROW()/1000000000,"")</f>
        <v/>
      </c>
      <c r="U3064" s="9">
        <f>IF(Q3064="비교",ABS(P3064)+ROW()/1000000000,"")</f>
        <v/>
      </c>
      <c r="V3064" s="39">
        <f>IF($A3064="","",IF(COUNTIF(변동분석!$E$7:$E$506,O3064)&gt;0,"Y","N"))</f>
        <v/>
      </c>
      <c r="W3064" s="39">
        <f>IF($A3064="","",IFERROR(INDEX(계정매핑!$D$5:$D$504,MATCH($F3064&amp;"",계정매핑!$A$5:$A$504,0)),"미매핑"))</f>
        <v/>
      </c>
      <c r="X3064" s="9">
        <f>IF($A3064="","",$F3064&amp;"")</f>
        <v/>
      </c>
    </row>
    <row r="3065">
      <c r="A3065" s="75" t="n">
        <v>2026</v>
      </c>
      <c r="B3065" s="75" t="n">
        <v>4</v>
      </c>
      <c r="C3065" s="75" t="inlineStr">
        <is>
          <t>5100000721</t>
        </is>
      </c>
      <c r="D3065" s="78" t="n">
        <v>46130</v>
      </c>
      <c r="E3065" s="75" t="inlineStr">
        <is>
          <t>KR</t>
        </is>
      </c>
      <c r="F3065" s="75" t="n">
        <v>62301000</v>
      </c>
      <c r="G3065" s="75" t="n">
        <v>1801</v>
      </c>
      <c r="H3065" s="76" t="n">
        <v>609000</v>
      </c>
      <c r="I3065" s="75" t="inlineStr">
        <is>
          <t>4월 소모품 구입 - R문구</t>
        </is>
      </c>
      <c r="J3065" s="75" t="inlineStr">
        <is>
          <t>V10018</t>
        </is>
      </c>
      <c r="K3065" s="75" t="inlineStr">
        <is>
          <t>R문구</t>
        </is>
      </c>
      <c r="M3065" s="9">
        <f>IF($A3065="","",VALUE($A3065&amp;"")*12+VALUE($B3065&amp;""))</f>
        <v/>
      </c>
      <c r="N3065" s="39">
        <f>IF($A3065="","",IFERROR(INDEX(부서매핑!$C$5:$C$504,MATCH($G3065&amp;"",부서매핑!$A$5:$A$504,0)),"미매핑"))</f>
        <v/>
      </c>
      <c r="O3065" s="9">
        <f>IF($A3065="","",N3065&amp;"|"&amp;$F3065)</f>
        <v/>
      </c>
      <c r="P3065" s="77">
        <f>IF($A3065="",0,$H3065*설정!$C$23)</f>
        <v/>
      </c>
      <c r="Q3065" s="39">
        <f>IF($A3065="","",IF(O3065&lt;&gt;원인분석!$C$9,"",IF(AND(M3065&gt;=원인분석!$C$10,M3065&lt;=원인분석!$C$11),"당기",IF(AND(M3065&gt;=원인분석!$C$12,M3065&lt;=원인분석!$C$13),"비교",""))))</f>
        <v/>
      </c>
      <c r="R3065" s="9">
        <f>IF(Q3065="","",$K3065&amp;"")</f>
        <v/>
      </c>
      <c r="S3065" s="9">
        <f>IF(Q3065="","",IF(MATCH(R3065,$R$5:$R$100000,0)=ROW()-4,ROW(),""))</f>
        <v/>
      </c>
      <c r="T3065" s="9">
        <f>IF(Q3065="당기",ABS(P3065)+ROW()/1000000000,"")</f>
        <v/>
      </c>
      <c r="U3065" s="9">
        <f>IF(Q3065="비교",ABS(P3065)+ROW()/1000000000,"")</f>
        <v/>
      </c>
      <c r="V3065" s="39">
        <f>IF($A3065="","",IF(COUNTIF(변동분석!$E$7:$E$506,O3065)&gt;0,"Y","N"))</f>
        <v/>
      </c>
      <c r="W3065" s="39">
        <f>IF($A3065="","",IFERROR(INDEX(계정매핑!$D$5:$D$504,MATCH($F3065&amp;"",계정매핑!$A$5:$A$504,0)),"미매핑"))</f>
        <v/>
      </c>
      <c r="X3065" s="9">
        <f>IF($A3065="","",$F3065&amp;"")</f>
        <v/>
      </c>
    </row>
    <row r="3066">
      <c r="A3066" s="75" t="n">
        <v>2026</v>
      </c>
      <c r="B3066" s="75" t="n">
        <v>4</v>
      </c>
      <c r="C3066" s="75" t="inlineStr">
        <is>
          <t>5100000722</t>
        </is>
      </c>
      <c r="D3066" s="78" t="n">
        <v>46130</v>
      </c>
      <c r="E3066" s="75" t="inlineStr">
        <is>
          <t>KR</t>
        </is>
      </c>
      <c r="F3066" s="75" t="n">
        <v>62501000</v>
      </c>
      <c r="G3066" s="75" t="n">
        <v>1401</v>
      </c>
      <c r="H3066" s="76" t="n">
        <v>111000</v>
      </c>
      <c r="I3066" s="75" t="inlineStr">
        <is>
          <t>4월 회의 다과 - T케이터링</t>
        </is>
      </c>
      <c r="J3066" s="75" t="inlineStr">
        <is>
          <t>V10005</t>
        </is>
      </c>
      <c r="K3066" s="75" t="inlineStr">
        <is>
          <t>T케이터링</t>
        </is>
      </c>
      <c r="M3066" s="9">
        <f>IF($A3066="","",VALUE($A3066&amp;"")*12+VALUE($B3066&amp;""))</f>
        <v/>
      </c>
      <c r="N3066" s="39">
        <f>IF($A3066="","",IFERROR(INDEX(부서매핑!$C$5:$C$504,MATCH($G3066&amp;"",부서매핑!$A$5:$A$504,0)),"미매핑"))</f>
        <v/>
      </c>
      <c r="O3066" s="9">
        <f>IF($A3066="","",N3066&amp;"|"&amp;$F3066)</f>
        <v/>
      </c>
      <c r="P3066" s="77">
        <f>IF($A3066="",0,$H3066*설정!$C$23)</f>
        <v/>
      </c>
      <c r="Q3066" s="39">
        <f>IF($A3066="","",IF(O3066&lt;&gt;원인분석!$C$9,"",IF(AND(M3066&gt;=원인분석!$C$10,M3066&lt;=원인분석!$C$11),"당기",IF(AND(M3066&gt;=원인분석!$C$12,M3066&lt;=원인분석!$C$13),"비교",""))))</f>
        <v/>
      </c>
      <c r="R3066" s="9">
        <f>IF(Q3066="","",$K3066&amp;"")</f>
        <v/>
      </c>
      <c r="S3066" s="9">
        <f>IF(Q3066="","",IF(MATCH(R3066,$R$5:$R$100000,0)=ROW()-4,ROW(),""))</f>
        <v/>
      </c>
      <c r="T3066" s="9">
        <f>IF(Q3066="당기",ABS(P3066)+ROW()/1000000000,"")</f>
        <v/>
      </c>
      <c r="U3066" s="9">
        <f>IF(Q3066="비교",ABS(P3066)+ROW()/1000000000,"")</f>
        <v/>
      </c>
      <c r="V3066" s="39">
        <f>IF($A3066="","",IF(COUNTIF(변동분석!$E$7:$E$506,O3066)&gt;0,"Y","N"))</f>
        <v/>
      </c>
      <c r="W3066" s="39">
        <f>IF($A3066="","",IFERROR(INDEX(계정매핑!$D$5:$D$504,MATCH($F3066&amp;"",계정매핑!$A$5:$A$504,0)),"미매핑"))</f>
        <v/>
      </c>
      <c r="X3066" s="9">
        <f>IF($A3066="","",$F3066&amp;"")</f>
        <v/>
      </c>
    </row>
    <row r="3067">
      <c r="A3067" s="75" t="n">
        <v>2026</v>
      </c>
      <c r="B3067" s="75" t="n">
        <v>4</v>
      </c>
      <c r="C3067" s="75" t="inlineStr">
        <is>
          <t>5100000723</t>
        </is>
      </c>
      <c r="D3067" s="78" t="n">
        <v>46130</v>
      </c>
      <c r="E3067" s="75" t="inlineStr">
        <is>
          <t>KR</t>
        </is>
      </c>
      <c r="F3067" s="75" t="n">
        <v>62901000</v>
      </c>
      <c r="G3067" s="75" t="n">
        <v>1801</v>
      </c>
      <c r="H3067" s="76" t="n">
        <v>13208000</v>
      </c>
      <c r="I3067" s="75" t="inlineStr">
        <is>
          <t>4월 자문 수수료 - W컨설팅</t>
        </is>
      </c>
      <c r="J3067" s="75" t="inlineStr">
        <is>
          <t>V10009</t>
        </is>
      </c>
      <c r="K3067" s="75" t="inlineStr">
        <is>
          <t>W컨설팅</t>
        </is>
      </c>
      <c r="M3067" s="9">
        <f>IF($A3067="","",VALUE($A3067&amp;"")*12+VALUE($B3067&amp;""))</f>
        <v/>
      </c>
      <c r="N3067" s="39">
        <f>IF($A3067="","",IFERROR(INDEX(부서매핑!$C$5:$C$504,MATCH($G3067&amp;"",부서매핑!$A$5:$A$504,0)),"미매핑"))</f>
        <v/>
      </c>
      <c r="O3067" s="9">
        <f>IF($A3067="","",N3067&amp;"|"&amp;$F3067)</f>
        <v/>
      </c>
      <c r="P3067" s="77">
        <f>IF($A3067="",0,$H3067*설정!$C$23)</f>
        <v/>
      </c>
      <c r="Q3067" s="39">
        <f>IF($A3067="","",IF(O3067&lt;&gt;원인분석!$C$9,"",IF(AND(M3067&gt;=원인분석!$C$10,M3067&lt;=원인분석!$C$11),"당기",IF(AND(M3067&gt;=원인분석!$C$12,M3067&lt;=원인분석!$C$13),"비교",""))))</f>
        <v/>
      </c>
      <c r="R3067" s="9">
        <f>IF(Q3067="","",$K3067&amp;"")</f>
        <v/>
      </c>
      <c r="S3067" s="9">
        <f>IF(Q3067="","",IF(MATCH(R3067,$R$5:$R$100000,0)=ROW()-4,ROW(),""))</f>
        <v/>
      </c>
      <c r="T3067" s="9">
        <f>IF(Q3067="당기",ABS(P3067)+ROW()/1000000000,"")</f>
        <v/>
      </c>
      <c r="U3067" s="9">
        <f>IF(Q3067="비교",ABS(P3067)+ROW()/1000000000,"")</f>
        <v/>
      </c>
      <c r="V3067" s="39">
        <f>IF($A3067="","",IF(COUNTIF(변동분석!$E$7:$E$506,O3067)&gt;0,"Y","N"))</f>
        <v/>
      </c>
      <c r="W3067" s="39">
        <f>IF($A3067="","",IFERROR(INDEX(계정매핑!$D$5:$D$504,MATCH($F3067&amp;"",계정매핑!$A$5:$A$504,0)),"미매핑"))</f>
        <v/>
      </c>
      <c r="X3067" s="9">
        <f>IF($A3067="","",$F3067&amp;"")</f>
        <v/>
      </c>
    </row>
    <row r="3068">
      <c r="A3068" s="75" t="n">
        <v>2026</v>
      </c>
      <c r="B3068" s="75" t="n">
        <v>4</v>
      </c>
      <c r="C3068" s="75" t="inlineStr">
        <is>
          <t>5100000724</t>
        </is>
      </c>
      <c r="D3068" s="78" t="n">
        <v>46130</v>
      </c>
      <c r="E3068" s="75" t="inlineStr">
        <is>
          <t>KR</t>
        </is>
      </c>
      <c r="F3068" s="75" t="n">
        <v>62902000</v>
      </c>
      <c r="G3068" s="75" t="n">
        <v>1401</v>
      </c>
      <c r="H3068" s="76" t="n">
        <v>3277000</v>
      </c>
      <c r="I3068" s="75" t="inlineStr">
        <is>
          <t>4월 업무 위탁 수수료 - X서비스</t>
        </is>
      </c>
      <c r="J3068" s="75" t="inlineStr">
        <is>
          <t>V10016</t>
        </is>
      </c>
      <c r="K3068" s="75" t="inlineStr">
        <is>
          <t>X서비스</t>
        </is>
      </c>
      <c r="M3068" s="9">
        <f>IF($A3068="","",VALUE($A3068&amp;"")*12+VALUE($B3068&amp;""))</f>
        <v/>
      </c>
      <c r="N3068" s="39">
        <f>IF($A3068="","",IFERROR(INDEX(부서매핑!$C$5:$C$504,MATCH($G3068&amp;"",부서매핑!$A$5:$A$504,0)),"미매핑"))</f>
        <v/>
      </c>
      <c r="O3068" s="9">
        <f>IF($A3068="","",N3068&amp;"|"&amp;$F3068)</f>
        <v/>
      </c>
      <c r="P3068" s="77">
        <f>IF($A3068="",0,$H3068*설정!$C$23)</f>
        <v/>
      </c>
      <c r="Q3068" s="39">
        <f>IF($A3068="","",IF(O3068&lt;&gt;원인분석!$C$9,"",IF(AND(M3068&gt;=원인분석!$C$10,M3068&lt;=원인분석!$C$11),"당기",IF(AND(M3068&gt;=원인분석!$C$12,M3068&lt;=원인분석!$C$13),"비교",""))))</f>
        <v/>
      </c>
      <c r="R3068" s="9">
        <f>IF(Q3068="","",$K3068&amp;"")</f>
        <v/>
      </c>
      <c r="S3068" s="9">
        <f>IF(Q3068="","",IF(MATCH(R3068,$R$5:$R$100000,0)=ROW()-4,ROW(),""))</f>
        <v/>
      </c>
      <c r="T3068" s="9">
        <f>IF(Q3068="당기",ABS(P3068)+ROW()/1000000000,"")</f>
        <v/>
      </c>
      <c r="U3068" s="9">
        <f>IF(Q3068="비교",ABS(P3068)+ROW()/1000000000,"")</f>
        <v/>
      </c>
      <c r="V3068" s="39">
        <f>IF($A3068="","",IF(COUNTIF(변동분석!$E$7:$E$506,O3068)&gt;0,"Y","N"))</f>
        <v/>
      </c>
      <c r="W3068" s="39">
        <f>IF($A3068="","",IFERROR(INDEX(계정매핑!$D$5:$D$504,MATCH($F3068&amp;"",계정매핑!$A$5:$A$504,0)),"미매핑"))</f>
        <v/>
      </c>
      <c r="X3068" s="9">
        <f>IF($A3068="","",$F3068&amp;"")</f>
        <v/>
      </c>
    </row>
    <row r="3069">
      <c r="A3069" s="75" t="n">
        <v>2026</v>
      </c>
      <c r="B3069" s="75" t="n">
        <v>4</v>
      </c>
      <c r="C3069" s="75" t="inlineStr">
        <is>
          <t>5100000725</t>
        </is>
      </c>
      <c r="D3069" s="78" t="n">
        <v>46131</v>
      </c>
      <c r="E3069" s="75" t="inlineStr">
        <is>
          <t>KR</t>
        </is>
      </c>
      <c r="F3069" s="75" t="n">
        <v>62101000</v>
      </c>
      <c r="G3069" s="75" t="n">
        <v>1201</v>
      </c>
      <c r="H3069" s="76" t="n">
        <v>217000</v>
      </c>
      <c r="I3069" s="75" t="inlineStr">
        <is>
          <t>4월 국내출장 - L여행사</t>
        </is>
      </c>
      <c r="J3069" s="75" t="inlineStr">
        <is>
          <t>V10014</t>
        </is>
      </c>
      <c r="K3069" s="75" t="inlineStr">
        <is>
          <t>L여행사</t>
        </is>
      </c>
      <c r="M3069" s="9">
        <f>IF($A3069="","",VALUE($A3069&amp;"")*12+VALUE($B3069&amp;""))</f>
        <v/>
      </c>
      <c r="N3069" s="39">
        <f>IF($A3069="","",IFERROR(INDEX(부서매핑!$C$5:$C$504,MATCH($G3069&amp;"",부서매핑!$A$5:$A$504,0)),"미매핑"))</f>
        <v/>
      </c>
      <c r="O3069" s="9">
        <f>IF($A3069="","",N3069&amp;"|"&amp;$F3069)</f>
        <v/>
      </c>
      <c r="P3069" s="77">
        <f>IF($A3069="",0,$H3069*설정!$C$23)</f>
        <v/>
      </c>
      <c r="Q3069" s="39">
        <f>IF($A3069="","",IF(O3069&lt;&gt;원인분석!$C$9,"",IF(AND(M3069&gt;=원인분석!$C$10,M3069&lt;=원인분석!$C$11),"당기",IF(AND(M3069&gt;=원인분석!$C$12,M3069&lt;=원인분석!$C$13),"비교",""))))</f>
        <v/>
      </c>
      <c r="R3069" s="9">
        <f>IF(Q3069="","",$K3069&amp;"")</f>
        <v/>
      </c>
      <c r="S3069" s="9">
        <f>IF(Q3069="","",IF(MATCH(R3069,$R$5:$R$100000,0)=ROW()-4,ROW(),""))</f>
        <v/>
      </c>
      <c r="T3069" s="9">
        <f>IF(Q3069="당기",ABS(P3069)+ROW()/1000000000,"")</f>
        <v/>
      </c>
      <c r="U3069" s="9">
        <f>IF(Q3069="비교",ABS(P3069)+ROW()/1000000000,"")</f>
        <v/>
      </c>
      <c r="V3069" s="39">
        <f>IF($A3069="","",IF(COUNTIF(변동분석!$E$7:$E$506,O3069)&gt;0,"Y","N"))</f>
        <v/>
      </c>
      <c r="W3069" s="39">
        <f>IF($A3069="","",IFERROR(INDEX(계정매핑!$D$5:$D$504,MATCH($F3069&amp;"",계정매핑!$A$5:$A$504,0)),"미매핑"))</f>
        <v/>
      </c>
      <c r="X3069" s="9">
        <f>IF($A3069="","",$F3069&amp;"")</f>
        <v/>
      </c>
    </row>
    <row r="3070">
      <c r="A3070" s="75" t="n">
        <v>2026</v>
      </c>
      <c r="B3070" s="75" t="n">
        <v>4</v>
      </c>
      <c r="C3070" s="75" t="inlineStr">
        <is>
          <t>5100000726</t>
        </is>
      </c>
      <c r="D3070" s="78" t="n">
        <v>46131</v>
      </c>
      <c r="E3070" s="75" t="inlineStr">
        <is>
          <t>KR</t>
        </is>
      </c>
      <c r="F3070" s="75" t="n">
        <v>62201000</v>
      </c>
      <c r="G3070" s="75" t="n">
        <v>1201</v>
      </c>
      <c r="H3070" s="76" t="n">
        <v>186000</v>
      </c>
      <c r="I3070" s="75" t="inlineStr">
        <is>
          <t>4월 통신요금 - O텔레콤</t>
        </is>
      </c>
      <c r="J3070" s="75" t="inlineStr">
        <is>
          <t>V10002</t>
        </is>
      </c>
      <c r="K3070" s="75" t="inlineStr">
        <is>
          <t>O텔레콤</t>
        </is>
      </c>
      <c r="M3070" s="9">
        <f>IF($A3070="","",VALUE($A3070&amp;"")*12+VALUE($B3070&amp;""))</f>
        <v/>
      </c>
      <c r="N3070" s="39">
        <f>IF($A3070="","",IFERROR(INDEX(부서매핑!$C$5:$C$504,MATCH($G3070&amp;"",부서매핑!$A$5:$A$504,0)),"미매핑"))</f>
        <v/>
      </c>
      <c r="O3070" s="9">
        <f>IF($A3070="","",N3070&amp;"|"&amp;$F3070)</f>
        <v/>
      </c>
      <c r="P3070" s="77">
        <f>IF($A3070="",0,$H3070*설정!$C$23)</f>
        <v/>
      </c>
      <c r="Q3070" s="39">
        <f>IF($A3070="","",IF(O3070&lt;&gt;원인분석!$C$9,"",IF(AND(M3070&gt;=원인분석!$C$10,M3070&lt;=원인분석!$C$11),"당기",IF(AND(M3070&gt;=원인분석!$C$12,M3070&lt;=원인분석!$C$13),"비교",""))))</f>
        <v/>
      </c>
      <c r="R3070" s="9">
        <f>IF(Q3070="","",$K3070&amp;"")</f>
        <v/>
      </c>
      <c r="S3070" s="9">
        <f>IF(Q3070="","",IF(MATCH(R3070,$R$5:$R$100000,0)=ROW()-4,ROW(),""))</f>
        <v/>
      </c>
      <c r="T3070" s="9">
        <f>IF(Q3070="당기",ABS(P3070)+ROW()/1000000000,"")</f>
        <v/>
      </c>
      <c r="U3070" s="9">
        <f>IF(Q3070="비교",ABS(P3070)+ROW()/1000000000,"")</f>
        <v/>
      </c>
      <c r="V3070" s="39">
        <f>IF($A3070="","",IF(COUNTIF(변동분석!$E$7:$E$506,O3070)&gt;0,"Y","N"))</f>
        <v/>
      </c>
      <c r="W3070" s="39">
        <f>IF($A3070="","",IFERROR(INDEX(계정매핑!$D$5:$D$504,MATCH($F3070&amp;"",계정매핑!$A$5:$A$504,0)),"미매핑"))</f>
        <v/>
      </c>
      <c r="X3070" s="9">
        <f>IF($A3070="","",$F3070&amp;"")</f>
        <v/>
      </c>
    </row>
    <row r="3071">
      <c r="A3071" s="75" t="n">
        <v>2026</v>
      </c>
      <c r="B3071" s="75" t="n">
        <v>4</v>
      </c>
      <c r="C3071" s="75" t="inlineStr">
        <is>
          <t>5100000727</t>
        </is>
      </c>
      <c r="D3071" s="78" t="n">
        <v>46131</v>
      </c>
      <c r="E3071" s="75" t="inlineStr">
        <is>
          <t>KR</t>
        </is>
      </c>
      <c r="F3071" s="75" t="n">
        <v>62501000</v>
      </c>
      <c r="G3071" s="75" t="n">
        <v>1101</v>
      </c>
      <c r="H3071" s="76" t="n">
        <v>210000</v>
      </c>
      <c r="I3071" s="75" t="inlineStr">
        <is>
          <t>4월 회의 다과 - T케이터링</t>
        </is>
      </c>
      <c r="J3071" s="75" t="inlineStr">
        <is>
          <t>V10005</t>
        </is>
      </c>
      <c r="K3071" s="75" t="inlineStr">
        <is>
          <t>T케이터링</t>
        </is>
      </c>
      <c r="M3071" s="9">
        <f>IF($A3071="","",VALUE($A3071&amp;"")*12+VALUE($B3071&amp;""))</f>
        <v/>
      </c>
      <c r="N3071" s="39">
        <f>IF($A3071="","",IFERROR(INDEX(부서매핑!$C$5:$C$504,MATCH($G3071&amp;"",부서매핑!$A$5:$A$504,0)),"미매핑"))</f>
        <v/>
      </c>
      <c r="O3071" s="9">
        <f>IF($A3071="","",N3071&amp;"|"&amp;$F3071)</f>
        <v/>
      </c>
      <c r="P3071" s="77">
        <f>IF($A3071="",0,$H3071*설정!$C$23)</f>
        <v/>
      </c>
      <c r="Q3071" s="39">
        <f>IF($A3071="","",IF(O3071&lt;&gt;원인분석!$C$9,"",IF(AND(M3071&gt;=원인분석!$C$10,M3071&lt;=원인분석!$C$11),"당기",IF(AND(M3071&gt;=원인분석!$C$12,M3071&lt;=원인분석!$C$13),"비교",""))))</f>
        <v/>
      </c>
      <c r="R3071" s="9">
        <f>IF(Q3071="","",$K3071&amp;"")</f>
        <v/>
      </c>
      <c r="S3071" s="9">
        <f>IF(Q3071="","",IF(MATCH(R3071,$R$5:$R$100000,0)=ROW()-4,ROW(),""))</f>
        <v/>
      </c>
      <c r="T3071" s="9">
        <f>IF(Q3071="당기",ABS(P3071)+ROW()/1000000000,"")</f>
        <v/>
      </c>
      <c r="U3071" s="9">
        <f>IF(Q3071="비교",ABS(P3071)+ROW()/1000000000,"")</f>
        <v/>
      </c>
      <c r="V3071" s="39">
        <f>IF($A3071="","",IF(COUNTIF(변동분석!$E$7:$E$506,O3071)&gt;0,"Y","N"))</f>
        <v/>
      </c>
      <c r="W3071" s="39">
        <f>IF($A3071="","",IFERROR(INDEX(계정매핑!$D$5:$D$504,MATCH($F3071&amp;"",계정매핑!$A$5:$A$504,0)),"미매핑"))</f>
        <v/>
      </c>
      <c r="X3071" s="9">
        <f>IF($A3071="","",$F3071&amp;"")</f>
        <v/>
      </c>
    </row>
    <row r="3072">
      <c r="A3072" s="75" t="n">
        <v>2026</v>
      </c>
      <c r="B3072" s="75" t="n">
        <v>4</v>
      </c>
      <c r="C3072" s="75" t="inlineStr">
        <is>
          <t>5100000728</t>
        </is>
      </c>
      <c r="D3072" s="78" t="n">
        <v>46131</v>
      </c>
      <c r="E3072" s="75" t="inlineStr">
        <is>
          <t>KR</t>
        </is>
      </c>
      <c r="F3072" s="75" t="n">
        <v>62501000</v>
      </c>
      <c r="G3072" s="75" t="n">
        <v>1801</v>
      </c>
      <c r="H3072" s="76" t="n">
        <v>110000</v>
      </c>
      <c r="I3072" s="75" t="inlineStr">
        <is>
          <t>4월 회의 다과 - T케이터링</t>
        </is>
      </c>
      <c r="J3072" s="75" t="inlineStr">
        <is>
          <t>V10005</t>
        </is>
      </c>
      <c r="K3072" s="75" t="inlineStr">
        <is>
          <t>T케이터링</t>
        </is>
      </c>
      <c r="M3072" s="9">
        <f>IF($A3072="","",VALUE($A3072&amp;"")*12+VALUE($B3072&amp;""))</f>
        <v/>
      </c>
      <c r="N3072" s="39">
        <f>IF($A3072="","",IFERROR(INDEX(부서매핑!$C$5:$C$504,MATCH($G3072&amp;"",부서매핑!$A$5:$A$504,0)),"미매핑"))</f>
        <v/>
      </c>
      <c r="O3072" s="9">
        <f>IF($A3072="","",N3072&amp;"|"&amp;$F3072)</f>
        <v/>
      </c>
      <c r="P3072" s="77">
        <f>IF($A3072="",0,$H3072*설정!$C$23)</f>
        <v/>
      </c>
      <c r="Q3072" s="39">
        <f>IF($A3072="","",IF(O3072&lt;&gt;원인분석!$C$9,"",IF(AND(M3072&gt;=원인분석!$C$10,M3072&lt;=원인분석!$C$11),"당기",IF(AND(M3072&gt;=원인분석!$C$12,M3072&lt;=원인분석!$C$13),"비교",""))))</f>
        <v/>
      </c>
      <c r="R3072" s="9">
        <f>IF(Q3072="","",$K3072&amp;"")</f>
        <v/>
      </c>
      <c r="S3072" s="9">
        <f>IF(Q3072="","",IF(MATCH(R3072,$R$5:$R$100000,0)=ROW()-4,ROW(),""))</f>
        <v/>
      </c>
      <c r="T3072" s="9">
        <f>IF(Q3072="당기",ABS(P3072)+ROW()/1000000000,"")</f>
        <v/>
      </c>
      <c r="U3072" s="9">
        <f>IF(Q3072="비교",ABS(P3072)+ROW()/1000000000,"")</f>
        <v/>
      </c>
      <c r="V3072" s="39">
        <f>IF($A3072="","",IF(COUNTIF(변동분석!$E$7:$E$506,O3072)&gt;0,"Y","N"))</f>
        <v/>
      </c>
      <c r="W3072" s="39">
        <f>IF($A3072="","",IFERROR(INDEX(계정매핑!$D$5:$D$504,MATCH($F3072&amp;"",계정매핑!$A$5:$A$504,0)),"미매핑"))</f>
        <v/>
      </c>
      <c r="X3072" s="9">
        <f>IF($A3072="","",$F3072&amp;"")</f>
        <v/>
      </c>
    </row>
    <row r="3073">
      <c r="A3073" s="75" t="n">
        <v>2026</v>
      </c>
      <c r="B3073" s="75" t="n">
        <v>4</v>
      </c>
      <c r="C3073" s="75" t="inlineStr">
        <is>
          <t>5100000729</t>
        </is>
      </c>
      <c r="D3073" s="78" t="n">
        <v>46132</v>
      </c>
      <c r="E3073" s="75" t="inlineStr">
        <is>
          <t>KR</t>
        </is>
      </c>
      <c r="F3073" s="75" t="n">
        <v>62102000</v>
      </c>
      <c r="G3073" s="75" t="n">
        <v>1101</v>
      </c>
      <c r="H3073" s="76" t="n">
        <v>117000</v>
      </c>
      <c r="I3073" s="75" t="inlineStr">
        <is>
          <t>4월 해외출장 - N호텔</t>
        </is>
      </c>
      <c r="J3073" s="75" t="inlineStr">
        <is>
          <t>V10007</t>
        </is>
      </c>
      <c r="K3073" s="75" t="inlineStr">
        <is>
          <t>N호텔</t>
        </is>
      </c>
      <c r="M3073" s="9">
        <f>IF($A3073="","",VALUE($A3073&amp;"")*12+VALUE($B3073&amp;""))</f>
        <v/>
      </c>
      <c r="N3073" s="39">
        <f>IF($A3073="","",IFERROR(INDEX(부서매핑!$C$5:$C$504,MATCH($G3073&amp;"",부서매핑!$A$5:$A$504,0)),"미매핑"))</f>
        <v/>
      </c>
      <c r="O3073" s="9">
        <f>IF($A3073="","",N3073&amp;"|"&amp;$F3073)</f>
        <v/>
      </c>
      <c r="P3073" s="77">
        <f>IF($A3073="",0,$H3073*설정!$C$23)</f>
        <v/>
      </c>
      <c r="Q3073" s="39">
        <f>IF($A3073="","",IF(O3073&lt;&gt;원인분석!$C$9,"",IF(AND(M3073&gt;=원인분석!$C$10,M3073&lt;=원인분석!$C$11),"당기",IF(AND(M3073&gt;=원인분석!$C$12,M3073&lt;=원인분석!$C$13),"비교",""))))</f>
        <v/>
      </c>
      <c r="R3073" s="9">
        <f>IF(Q3073="","",$K3073&amp;"")</f>
        <v/>
      </c>
      <c r="S3073" s="9">
        <f>IF(Q3073="","",IF(MATCH(R3073,$R$5:$R$100000,0)=ROW()-4,ROW(),""))</f>
        <v/>
      </c>
      <c r="T3073" s="9">
        <f>IF(Q3073="당기",ABS(P3073)+ROW()/1000000000,"")</f>
        <v/>
      </c>
      <c r="U3073" s="9">
        <f>IF(Q3073="비교",ABS(P3073)+ROW()/1000000000,"")</f>
        <v/>
      </c>
      <c r="V3073" s="39">
        <f>IF($A3073="","",IF(COUNTIF(변동분석!$E$7:$E$506,O3073)&gt;0,"Y","N"))</f>
        <v/>
      </c>
      <c r="W3073" s="39">
        <f>IF($A3073="","",IFERROR(INDEX(계정매핑!$D$5:$D$504,MATCH($F3073&amp;"",계정매핑!$A$5:$A$504,0)),"미매핑"))</f>
        <v/>
      </c>
      <c r="X3073" s="9">
        <f>IF($A3073="","",$F3073&amp;"")</f>
        <v/>
      </c>
    </row>
    <row r="3074">
      <c r="A3074" s="75" t="n">
        <v>2026</v>
      </c>
      <c r="B3074" s="75" t="n">
        <v>4</v>
      </c>
      <c r="C3074" s="75" t="inlineStr">
        <is>
          <t>5100000730</t>
        </is>
      </c>
      <c r="D3074" s="78" t="n">
        <v>46132</v>
      </c>
      <c r="E3074" s="75" t="inlineStr">
        <is>
          <t>KR</t>
        </is>
      </c>
      <c r="F3074" s="75" t="n">
        <v>62102000</v>
      </c>
      <c r="G3074" s="75" t="n">
        <v>1601</v>
      </c>
      <c r="H3074" s="76" t="n">
        <v>312000</v>
      </c>
      <c r="I3074" s="75" t="inlineStr">
        <is>
          <t>4월 해외출장 - N호텔</t>
        </is>
      </c>
      <c r="J3074" s="75" t="inlineStr">
        <is>
          <t>V10007</t>
        </is>
      </c>
      <c r="K3074" s="75" t="inlineStr">
        <is>
          <t>N호텔</t>
        </is>
      </c>
      <c r="M3074" s="9">
        <f>IF($A3074="","",VALUE($A3074&amp;"")*12+VALUE($B3074&amp;""))</f>
        <v/>
      </c>
      <c r="N3074" s="39">
        <f>IF($A3074="","",IFERROR(INDEX(부서매핑!$C$5:$C$504,MATCH($G3074&amp;"",부서매핑!$A$5:$A$504,0)),"미매핑"))</f>
        <v/>
      </c>
      <c r="O3074" s="9">
        <f>IF($A3074="","",N3074&amp;"|"&amp;$F3074)</f>
        <v/>
      </c>
      <c r="P3074" s="77">
        <f>IF($A3074="",0,$H3074*설정!$C$23)</f>
        <v/>
      </c>
      <c r="Q3074" s="39">
        <f>IF($A3074="","",IF(O3074&lt;&gt;원인분석!$C$9,"",IF(AND(M3074&gt;=원인분석!$C$10,M3074&lt;=원인분석!$C$11),"당기",IF(AND(M3074&gt;=원인분석!$C$12,M3074&lt;=원인분석!$C$13),"비교",""))))</f>
        <v/>
      </c>
      <c r="R3074" s="9">
        <f>IF(Q3074="","",$K3074&amp;"")</f>
        <v/>
      </c>
      <c r="S3074" s="9">
        <f>IF(Q3074="","",IF(MATCH(R3074,$R$5:$R$100000,0)=ROW()-4,ROW(),""))</f>
        <v/>
      </c>
      <c r="T3074" s="9">
        <f>IF(Q3074="당기",ABS(P3074)+ROW()/1000000000,"")</f>
        <v/>
      </c>
      <c r="U3074" s="9">
        <f>IF(Q3074="비교",ABS(P3074)+ROW()/1000000000,"")</f>
        <v/>
      </c>
      <c r="V3074" s="39">
        <f>IF($A3074="","",IF(COUNTIF(변동분석!$E$7:$E$506,O3074)&gt;0,"Y","N"))</f>
        <v/>
      </c>
      <c r="W3074" s="39">
        <f>IF($A3074="","",IFERROR(INDEX(계정매핑!$D$5:$D$504,MATCH($F3074&amp;"",계정매핑!$A$5:$A$504,0)),"미매핑"))</f>
        <v/>
      </c>
      <c r="X3074" s="9">
        <f>IF($A3074="","",$F3074&amp;"")</f>
        <v/>
      </c>
    </row>
    <row r="3075">
      <c r="A3075" s="75" t="n">
        <v>2026</v>
      </c>
      <c r="B3075" s="75" t="n">
        <v>4</v>
      </c>
      <c r="C3075" s="75" t="inlineStr">
        <is>
          <t>5100000731</t>
        </is>
      </c>
      <c r="D3075" s="78" t="n">
        <v>46132</v>
      </c>
      <c r="E3075" s="75" t="inlineStr">
        <is>
          <t>KR</t>
        </is>
      </c>
      <c r="F3075" s="75" t="n">
        <v>62102000</v>
      </c>
      <c r="G3075" s="75" t="n">
        <v>1801</v>
      </c>
      <c r="H3075" s="76" t="n">
        <v>74000</v>
      </c>
      <c r="I3075" s="75" t="inlineStr">
        <is>
          <t>4월 해외출장 - N호텔</t>
        </is>
      </c>
      <c r="J3075" s="75" t="inlineStr">
        <is>
          <t>V10007</t>
        </is>
      </c>
      <c r="K3075" s="75" t="inlineStr">
        <is>
          <t>N호텔</t>
        </is>
      </c>
      <c r="M3075" s="9">
        <f>IF($A3075="","",VALUE($A3075&amp;"")*12+VALUE($B3075&amp;""))</f>
        <v/>
      </c>
      <c r="N3075" s="39">
        <f>IF($A3075="","",IFERROR(INDEX(부서매핑!$C$5:$C$504,MATCH($G3075&amp;"",부서매핑!$A$5:$A$504,0)),"미매핑"))</f>
        <v/>
      </c>
      <c r="O3075" s="9">
        <f>IF($A3075="","",N3075&amp;"|"&amp;$F3075)</f>
        <v/>
      </c>
      <c r="P3075" s="77">
        <f>IF($A3075="",0,$H3075*설정!$C$23)</f>
        <v/>
      </c>
      <c r="Q3075" s="39">
        <f>IF($A3075="","",IF(O3075&lt;&gt;원인분석!$C$9,"",IF(AND(M3075&gt;=원인분석!$C$10,M3075&lt;=원인분석!$C$11),"당기",IF(AND(M3075&gt;=원인분석!$C$12,M3075&lt;=원인분석!$C$13),"비교",""))))</f>
        <v/>
      </c>
      <c r="R3075" s="9">
        <f>IF(Q3075="","",$K3075&amp;"")</f>
        <v/>
      </c>
      <c r="S3075" s="9">
        <f>IF(Q3075="","",IF(MATCH(R3075,$R$5:$R$100000,0)=ROW()-4,ROW(),""))</f>
        <v/>
      </c>
      <c r="T3075" s="9">
        <f>IF(Q3075="당기",ABS(P3075)+ROW()/1000000000,"")</f>
        <v/>
      </c>
      <c r="U3075" s="9">
        <f>IF(Q3075="비교",ABS(P3075)+ROW()/1000000000,"")</f>
        <v/>
      </c>
      <c r="V3075" s="39">
        <f>IF($A3075="","",IF(COUNTIF(변동분석!$E$7:$E$506,O3075)&gt;0,"Y","N"))</f>
        <v/>
      </c>
      <c r="W3075" s="39">
        <f>IF($A3075="","",IFERROR(INDEX(계정매핑!$D$5:$D$504,MATCH($F3075&amp;"",계정매핑!$A$5:$A$504,0)),"미매핑"))</f>
        <v/>
      </c>
      <c r="X3075" s="9">
        <f>IF($A3075="","",$F3075&amp;"")</f>
        <v/>
      </c>
    </row>
    <row r="3076">
      <c r="A3076" s="75" t="n">
        <v>2026</v>
      </c>
      <c r="B3076" s="75" t="n">
        <v>4</v>
      </c>
      <c r="C3076" s="75" t="inlineStr">
        <is>
          <t>5100000732</t>
        </is>
      </c>
      <c r="D3076" s="78" t="n">
        <v>46132</v>
      </c>
      <c r="E3076" s="75" t="inlineStr">
        <is>
          <t>KR</t>
        </is>
      </c>
      <c r="F3076" s="75" t="n">
        <v>62201000</v>
      </c>
      <c r="G3076" s="75" t="n">
        <v>1801</v>
      </c>
      <c r="H3076" s="76" t="n">
        <v>3811000</v>
      </c>
      <c r="I3076" s="75" t="inlineStr">
        <is>
          <t>4월 통신요금 - O텔레콤</t>
        </is>
      </c>
      <c r="J3076" s="75" t="inlineStr">
        <is>
          <t>V10002</t>
        </is>
      </c>
      <c r="K3076" s="75" t="inlineStr">
        <is>
          <t>O텔레콤</t>
        </is>
      </c>
      <c r="M3076" s="9">
        <f>IF($A3076="","",VALUE($A3076&amp;"")*12+VALUE($B3076&amp;""))</f>
        <v/>
      </c>
      <c r="N3076" s="39">
        <f>IF($A3076="","",IFERROR(INDEX(부서매핑!$C$5:$C$504,MATCH($G3076&amp;"",부서매핑!$A$5:$A$504,0)),"미매핑"))</f>
        <v/>
      </c>
      <c r="O3076" s="9">
        <f>IF($A3076="","",N3076&amp;"|"&amp;$F3076)</f>
        <v/>
      </c>
      <c r="P3076" s="77">
        <f>IF($A3076="",0,$H3076*설정!$C$23)</f>
        <v/>
      </c>
      <c r="Q3076" s="39">
        <f>IF($A3076="","",IF(O3076&lt;&gt;원인분석!$C$9,"",IF(AND(M3076&gt;=원인분석!$C$10,M3076&lt;=원인분석!$C$11),"당기",IF(AND(M3076&gt;=원인분석!$C$12,M3076&lt;=원인분석!$C$13),"비교",""))))</f>
        <v/>
      </c>
      <c r="R3076" s="9">
        <f>IF(Q3076="","",$K3076&amp;"")</f>
        <v/>
      </c>
      <c r="S3076" s="9">
        <f>IF(Q3076="","",IF(MATCH(R3076,$R$5:$R$100000,0)=ROW()-4,ROW(),""))</f>
        <v/>
      </c>
      <c r="T3076" s="9">
        <f>IF(Q3076="당기",ABS(P3076)+ROW()/1000000000,"")</f>
        <v/>
      </c>
      <c r="U3076" s="9">
        <f>IF(Q3076="비교",ABS(P3076)+ROW()/1000000000,"")</f>
        <v/>
      </c>
      <c r="V3076" s="39">
        <f>IF($A3076="","",IF(COUNTIF(변동분석!$E$7:$E$506,O3076)&gt;0,"Y","N"))</f>
        <v/>
      </c>
      <c r="W3076" s="39">
        <f>IF($A3076="","",IFERROR(INDEX(계정매핑!$D$5:$D$504,MATCH($F3076&amp;"",계정매핑!$A$5:$A$504,0)),"미매핑"))</f>
        <v/>
      </c>
      <c r="X3076" s="9">
        <f>IF($A3076="","",$F3076&amp;"")</f>
        <v/>
      </c>
    </row>
    <row r="3077">
      <c r="A3077" s="75" t="n">
        <v>2026</v>
      </c>
      <c r="B3077" s="75" t="n">
        <v>4</v>
      </c>
      <c r="C3077" s="75" t="inlineStr">
        <is>
          <t>5100000733</t>
        </is>
      </c>
      <c r="D3077" s="78" t="n">
        <v>46132</v>
      </c>
      <c r="E3077" s="75" t="inlineStr">
        <is>
          <t>KR</t>
        </is>
      </c>
      <c r="F3077" s="75" t="n">
        <v>62501000</v>
      </c>
      <c r="G3077" s="75" t="n">
        <v>1201</v>
      </c>
      <c r="H3077" s="76" t="n">
        <v>172000</v>
      </c>
      <c r="I3077" s="75" t="inlineStr">
        <is>
          <t>4월 회의 다과 - (법인카드)</t>
        </is>
      </c>
      <c r="J3077" s="75" t="inlineStr">
        <is>
          <t>V10008</t>
        </is>
      </c>
      <c r="K3077" s="75" t="inlineStr">
        <is>
          <t>(법인카드)</t>
        </is>
      </c>
      <c r="M3077" s="9">
        <f>IF($A3077="","",VALUE($A3077&amp;"")*12+VALUE($B3077&amp;""))</f>
        <v/>
      </c>
      <c r="N3077" s="39">
        <f>IF($A3077="","",IFERROR(INDEX(부서매핑!$C$5:$C$504,MATCH($G3077&amp;"",부서매핑!$A$5:$A$504,0)),"미매핑"))</f>
        <v/>
      </c>
      <c r="O3077" s="9">
        <f>IF($A3077="","",N3077&amp;"|"&amp;$F3077)</f>
        <v/>
      </c>
      <c r="P3077" s="77">
        <f>IF($A3077="",0,$H3077*설정!$C$23)</f>
        <v/>
      </c>
      <c r="Q3077" s="39">
        <f>IF($A3077="","",IF(O3077&lt;&gt;원인분석!$C$9,"",IF(AND(M3077&gt;=원인분석!$C$10,M3077&lt;=원인분석!$C$11),"당기",IF(AND(M3077&gt;=원인분석!$C$12,M3077&lt;=원인분석!$C$13),"비교",""))))</f>
        <v/>
      </c>
      <c r="R3077" s="9">
        <f>IF(Q3077="","",$K3077&amp;"")</f>
        <v/>
      </c>
      <c r="S3077" s="9">
        <f>IF(Q3077="","",IF(MATCH(R3077,$R$5:$R$100000,0)=ROW()-4,ROW(),""))</f>
        <v/>
      </c>
      <c r="T3077" s="9">
        <f>IF(Q3077="당기",ABS(P3077)+ROW()/1000000000,"")</f>
        <v/>
      </c>
      <c r="U3077" s="9">
        <f>IF(Q3077="비교",ABS(P3077)+ROW()/1000000000,"")</f>
        <v/>
      </c>
      <c r="V3077" s="39">
        <f>IF($A3077="","",IF(COUNTIF(변동분석!$E$7:$E$506,O3077)&gt;0,"Y","N"))</f>
        <v/>
      </c>
      <c r="W3077" s="39">
        <f>IF($A3077="","",IFERROR(INDEX(계정매핑!$D$5:$D$504,MATCH($F3077&amp;"",계정매핑!$A$5:$A$504,0)),"미매핑"))</f>
        <v/>
      </c>
      <c r="X3077" s="9">
        <f>IF($A3077="","",$F3077&amp;"")</f>
        <v/>
      </c>
    </row>
    <row r="3078">
      <c r="A3078" s="75" t="n">
        <v>2026</v>
      </c>
      <c r="B3078" s="75" t="n">
        <v>4</v>
      </c>
      <c r="C3078" s="75" t="inlineStr">
        <is>
          <t>5100000734</t>
        </is>
      </c>
      <c r="D3078" s="78" t="n">
        <v>46132</v>
      </c>
      <c r="E3078" s="75" t="inlineStr">
        <is>
          <t>KR</t>
        </is>
      </c>
      <c r="F3078" s="75" t="n">
        <v>62501000</v>
      </c>
      <c r="G3078" s="75" t="n">
        <v>1601</v>
      </c>
      <c r="H3078" s="76" t="n">
        <v>481000</v>
      </c>
      <c r="I3078" s="75" t="inlineStr">
        <is>
          <t>4월 회의 다과 - T케이터링</t>
        </is>
      </c>
      <c r="J3078" s="75" t="inlineStr">
        <is>
          <t>V10005</t>
        </is>
      </c>
      <c r="K3078" s="75" t="inlineStr">
        <is>
          <t>T케이터링</t>
        </is>
      </c>
      <c r="M3078" s="9">
        <f>IF($A3078="","",VALUE($A3078&amp;"")*12+VALUE($B3078&amp;""))</f>
        <v/>
      </c>
      <c r="N3078" s="39">
        <f>IF($A3078="","",IFERROR(INDEX(부서매핑!$C$5:$C$504,MATCH($G3078&amp;"",부서매핑!$A$5:$A$504,0)),"미매핑"))</f>
        <v/>
      </c>
      <c r="O3078" s="9">
        <f>IF($A3078="","",N3078&amp;"|"&amp;$F3078)</f>
        <v/>
      </c>
      <c r="P3078" s="77">
        <f>IF($A3078="",0,$H3078*설정!$C$23)</f>
        <v/>
      </c>
      <c r="Q3078" s="39">
        <f>IF($A3078="","",IF(O3078&lt;&gt;원인분석!$C$9,"",IF(AND(M3078&gt;=원인분석!$C$10,M3078&lt;=원인분석!$C$11),"당기",IF(AND(M3078&gt;=원인분석!$C$12,M3078&lt;=원인분석!$C$13),"비교",""))))</f>
        <v/>
      </c>
      <c r="R3078" s="9">
        <f>IF(Q3078="","",$K3078&amp;"")</f>
        <v/>
      </c>
      <c r="S3078" s="9">
        <f>IF(Q3078="","",IF(MATCH(R3078,$R$5:$R$100000,0)=ROW()-4,ROW(),""))</f>
        <v/>
      </c>
      <c r="T3078" s="9">
        <f>IF(Q3078="당기",ABS(P3078)+ROW()/1000000000,"")</f>
        <v/>
      </c>
      <c r="U3078" s="9">
        <f>IF(Q3078="비교",ABS(P3078)+ROW()/1000000000,"")</f>
        <v/>
      </c>
      <c r="V3078" s="39">
        <f>IF($A3078="","",IF(COUNTIF(변동분석!$E$7:$E$506,O3078)&gt;0,"Y","N"))</f>
        <v/>
      </c>
      <c r="W3078" s="39">
        <f>IF($A3078="","",IFERROR(INDEX(계정매핑!$D$5:$D$504,MATCH($F3078&amp;"",계정매핑!$A$5:$A$504,0)),"미매핑"))</f>
        <v/>
      </c>
      <c r="X3078" s="9">
        <f>IF($A3078="","",$F3078&amp;"")</f>
        <v/>
      </c>
    </row>
    <row r="3079">
      <c r="A3079" s="75" t="n">
        <v>2026</v>
      </c>
      <c r="B3079" s="75" t="n">
        <v>4</v>
      </c>
      <c r="C3079" s="75" t="inlineStr">
        <is>
          <t>5100000735</t>
        </is>
      </c>
      <c r="D3079" s="78" t="n">
        <v>46132</v>
      </c>
      <c r="E3079" s="75" t="inlineStr">
        <is>
          <t>KR</t>
        </is>
      </c>
      <c r="F3079" s="75" t="n">
        <v>62501000</v>
      </c>
      <c r="G3079" s="75" t="n">
        <v>1801</v>
      </c>
      <c r="H3079" s="76" t="n">
        <v>146000</v>
      </c>
      <c r="I3079" s="75" t="inlineStr">
        <is>
          <t>4월 회의 다과 - (법인카드)</t>
        </is>
      </c>
      <c r="J3079" s="75" t="inlineStr">
        <is>
          <t>V10008</t>
        </is>
      </c>
      <c r="K3079" s="75" t="inlineStr">
        <is>
          <t>(법인카드)</t>
        </is>
      </c>
      <c r="M3079" s="9">
        <f>IF($A3079="","",VALUE($A3079&amp;"")*12+VALUE($B3079&amp;""))</f>
        <v/>
      </c>
      <c r="N3079" s="39">
        <f>IF($A3079="","",IFERROR(INDEX(부서매핑!$C$5:$C$504,MATCH($G3079&amp;"",부서매핑!$A$5:$A$504,0)),"미매핑"))</f>
        <v/>
      </c>
      <c r="O3079" s="9">
        <f>IF($A3079="","",N3079&amp;"|"&amp;$F3079)</f>
        <v/>
      </c>
      <c r="P3079" s="77">
        <f>IF($A3079="",0,$H3079*설정!$C$23)</f>
        <v/>
      </c>
      <c r="Q3079" s="39">
        <f>IF($A3079="","",IF(O3079&lt;&gt;원인분석!$C$9,"",IF(AND(M3079&gt;=원인분석!$C$10,M3079&lt;=원인분석!$C$11),"당기",IF(AND(M3079&gt;=원인분석!$C$12,M3079&lt;=원인분석!$C$13),"비교",""))))</f>
        <v/>
      </c>
      <c r="R3079" s="9">
        <f>IF(Q3079="","",$K3079&amp;"")</f>
        <v/>
      </c>
      <c r="S3079" s="9">
        <f>IF(Q3079="","",IF(MATCH(R3079,$R$5:$R$100000,0)=ROW()-4,ROW(),""))</f>
        <v/>
      </c>
      <c r="T3079" s="9">
        <f>IF(Q3079="당기",ABS(P3079)+ROW()/1000000000,"")</f>
        <v/>
      </c>
      <c r="U3079" s="9">
        <f>IF(Q3079="비교",ABS(P3079)+ROW()/1000000000,"")</f>
        <v/>
      </c>
      <c r="V3079" s="39">
        <f>IF($A3079="","",IF(COUNTIF(변동분석!$E$7:$E$506,O3079)&gt;0,"Y","N"))</f>
        <v/>
      </c>
      <c r="W3079" s="39">
        <f>IF($A3079="","",IFERROR(INDEX(계정매핑!$D$5:$D$504,MATCH($F3079&amp;"",계정매핑!$A$5:$A$504,0)),"미매핑"))</f>
        <v/>
      </c>
      <c r="X3079" s="9">
        <f>IF($A3079="","",$F3079&amp;"")</f>
        <v/>
      </c>
    </row>
    <row r="3080">
      <c r="A3080" s="75" t="n">
        <v>2026</v>
      </c>
      <c r="B3080" s="75" t="n">
        <v>4</v>
      </c>
      <c r="C3080" s="75" t="inlineStr">
        <is>
          <t>5100000736</t>
        </is>
      </c>
      <c r="D3080" s="78" t="n">
        <v>46132</v>
      </c>
      <c r="E3080" s="75" t="inlineStr">
        <is>
          <t>KR</t>
        </is>
      </c>
      <c r="F3080" s="75" t="n">
        <v>63001000</v>
      </c>
      <c r="G3080" s="75" t="n">
        <v>1701</v>
      </c>
      <c r="H3080" s="76" t="n">
        <v>24098000</v>
      </c>
      <c r="I3080" s="75" t="inlineStr">
        <is>
          <t>4월 SW 유지보수 - Z시스템</t>
        </is>
      </c>
      <c r="J3080" s="75" t="inlineStr">
        <is>
          <t>V10021</t>
        </is>
      </c>
      <c r="K3080" s="75" t="inlineStr">
        <is>
          <t>Z시스템</t>
        </is>
      </c>
      <c r="M3080" s="9">
        <f>IF($A3080="","",VALUE($A3080&amp;"")*12+VALUE($B3080&amp;""))</f>
        <v/>
      </c>
      <c r="N3080" s="39">
        <f>IF($A3080="","",IFERROR(INDEX(부서매핑!$C$5:$C$504,MATCH($G3080&amp;"",부서매핑!$A$5:$A$504,0)),"미매핑"))</f>
        <v/>
      </c>
      <c r="O3080" s="9">
        <f>IF($A3080="","",N3080&amp;"|"&amp;$F3080)</f>
        <v/>
      </c>
      <c r="P3080" s="77">
        <f>IF($A3080="",0,$H3080*설정!$C$23)</f>
        <v/>
      </c>
      <c r="Q3080" s="39">
        <f>IF($A3080="","",IF(O3080&lt;&gt;원인분석!$C$9,"",IF(AND(M3080&gt;=원인분석!$C$10,M3080&lt;=원인분석!$C$11),"당기",IF(AND(M3080&gt;=원인분석!$C$12,M3080&lt;=원인분석!$C$13),"비교",""))))</f>
        <v/>
      </c>
      <c r="R3080" s="9">
        <f>IF(Q3080="","",$K3080&amp;"")</f>
        <v/>
      </c>
      <c r="S3080" s="9">
        <f>IF(Q3080="","",IF(MATCH(R3080,$R$5:$R$100000,0)=ROW()-4,ROW(),""))</f>
        <v/>
      </c>
      <c r="T3080" s="9">
        <f>IF(Q3080="당기",ABS(P3080)+ROW()/1000000000,"")</f>
        <v/>
      </c>
      <c r="U3080" s="9">
        <f>IF(Q3080="비교",ABS(P3080)+ROW()/1000000000,"")</f>
        <v/>
      </c>
      <c r="V3080" s="39">
        <f>IF($A3080="","",IF(COUNTIF(변동분석!$E$7:$E$506,O3080)&gt;0,"Y","N"))</f>
        <v/>
      </c>
      <c r="W3080" s="39">
        <f>IF($A3080="","",IFERROR(INDEX(계정매핑!$D$5:$D$504,MATCH($F3080&amp;"",계정매핑!$A$5:$A$504,0)),"미매핑"))</f>
        <v/>
      </c>
      <c r="X3080" s="9">
        <f>IF($A3080="","",$F3080&amp;"")</f>
        <v/>
      </c>
    </row>
    <row r="3081">
      <c r="A3081" s="75" t="n">
        <v>2026</v>
      </c>
      <c r="B3081" s="75" t="n">
        <v>4</v>
      </c>
      <c r="C3081" s="75" t="inlineStr">
        <is>
          <t>5100000737</t>
        </is>
      </c>
      <c r="D3081" s="78" t="n">
        <v>46133</v>
      </c>
      <c r="E3081" s="75" t="inlineStr">
        <is>
          <t>KR</t>
        </is>
      </c>
      <c r="F3081" s="75" t="n">
        <v>62101000</v>
      </c>
      <c r="G3081" s="75" t="n">
        <v>1301</v>
      </c>
      <c r="H3081" s="76" t="n">
        <v>214000</v>
      </c>
      <c r="I3081" s="75" t="inlineStr">
        <is>
          <t>4월 국내출장 - (법인카드)</t>
        </is>
      </c>
      <c r="J3081" s="75" t="inlineStr">
        <is>
          <t>V10008</t>
        </is>
      </c>
      <c r="K3081" s="75" t="inlineStr">
        <is>
          <t>(법인카드)</t>
        </is>
      </c>
      <c r="M3081" s="9">
        <f>IF($A3081="","",VALUE($A3081&amp;"")*12+VALUE($B3081&amp;""))</f>
        <v/>
      </c>
      <c r="N3081" s="39">
        <f>IF($A3081="","",IFERROR(INDEX(부서매핑!$C$5:$C$504,MATCH($G3081&amp;"",부서매핑!$A$5:$A$504,0)),"미매핑"))</f>
        <v/>
      </c>
      <c r="O3081" s="9">
        <f>IF($A3081="","",N3081&amp;"|"&amp;$F3081)</f>
        <v/>
      </c>
      <c r="P3081" s="77">
        <f>IF($A3081="",0,$H3081*설정!$C$23)</f>
        <v/>
      </c>
      <c r="Q3081" s="39">
        <f>IF($A3081="","",IF(O3081&lt;&gt;원인분석!$C$9,"",IF(AND(M3081&gt;=원인분석!$C$10,M3081&lt;=원인분석!$C$11),"당기",IF(AND(M3081&gt;=원인분석!$C$12,M3081&lt;=원인분석!$C$13),"비교",""))))</f>
        <v/>
      </c>
      <c r="R3081" s="9">
        <f>IF(Q3081="","",$K3081&amp;"")</f>
        <v/>
      </c>
      <c r="S3081" s="9">
        <f>IF(Q3081="","",IF(MATCH(R3081,$R$5:$R$100000,0)=ROW()-4,ROW(),""))</f>
        <v/>
      </c>
      <c r="T3081" s="9">
        <f>IF(Q3081="당기",ABS(P3081)+ROW()/1000000000,"")</f>
        <v/>
      </c>
      <c r="U3081" s="9">
        <f>IF(Q3081="비교",ABS(P3081)+ROW()/1000000000,"")</f>
        <v/>
      </c>
      <c r="V3081" s="39">
        <f>IF($A3081="","",IF(COUNTIF(변동분석!$E$7:$E$506,O3081)&gt;0,"Y","N"))</f>
        <v/>
      </c>
      <c r="W3081" s="39">
        <f>IF($A3081="","",IFERROR(INDEX(계정매핑!$D$5:$D$504,MATCH($F3081&amp;"",계정매핑!$A$5:$A$504,0)),"미매핑"))</f>
        <v/>
      </c>
      <c r="X3081" s="9">
        <f>IF($A3081="","",$F3081&amp;"")</f>
        <v/>
      </c>
    </row>
    <row r="3082">
      <c r="A3082" s="75" t="n">
        <v>2026</v>
      </c>
      <c r="B3082" s="75" t="n">
        <v>4</v>
      </c>
      <c r="C3082" s="75" t="inlineStr">
        <is>
          <t>5100000738</t>
        </is>
      </c>
      <c r="D3082" s="78" t="n">
        <v>46133</v>
      </c>
      <c r="E3082" s="75" t="inlineStr">
        <is>
          <t>KR</t>
        </is>
      </c>
      <c r="F3082" s="75" t="n">
        <v>62101000</v>
      </c>
      <c r="G3082" s="75" t="n">
        <v>1401</v>
      </c>
      <c r="H3082" s="76" t="n">
        <v>408000</v>
      </c>
      <c r="I3082" s="75" t="inlineStr">
        <is>
          <t>4월 국내출장 - (법인카드)</t>
        </is>
      </c>
      <c r="J3082" s="75" t="inlineStr">
        <is>
          <t>V10008</t>
        </is>
      </c>
      <c r="K3082" s="75" t="inlineStr">
        <is>
          <t>(법인카드)</t>
        </is>
      </c>
      <c r="M3082" s="9">
        <f>IF($A3082="","",VALUE($A3082&amp;"")*12+VALUE($B3082&amp;""))</f>
        <v/>
      </c>
      <c r="N3082" s="39">
        <f>IF($A3082="","",IFERROR(INDEX(부서매핑!$C$5:$C$504,MATCH($G3082&amp;"",부서매핑!$A$5:$A$504,0)),"미매핑"))</f>
        <v/>
      </c>
      <c r="O3082" s="9">
        <f>IF($A3082="","",N3082&amp;"|"&amp;$F3082)</f>
        <v/>
      </c>
      <c r="P3082" s="77">
        <f>IF($A3082="",0,$H3082*설정!$C$23)</f>
        <v/>
      </c>
      <c r="Q3082" s="39">
        <f>IF($A3082="","",IF(O3082&lt;&gt;원인분석!$C$9,"",IF(AND(M3082&gt;=원인분석!$C$10,M3082&lt;=원인분석!$C$11),"당기",IF(AND(M3082&gt;=원인분석!$C$12,M3082&lt;=원인분석!$C$13),"비교",""))))</f>
        <v/>
      </c>
      <c r="R3082" s="9">
        <f>IF(Q3082="","",$K3082&amp;"")</f>
        <v/>
      </c>
      <c r="S3082" s="9">
        <f>IF(Q3082="","",IF(MATCH(R3082,$R$5:$R$100000,0)=ROW()-4,ROW(),""))</f>
        <v/>
      </c>
      <c r="T3082" s="9">
        <f>IF(Q3082="당기",ABS(P3082)+ROW()/1000000000,"")</f>
        <v/>
      </c>
      <c r="U3082" s="9">
        <f>IF(Q3082="비교",ABS(P3082)+ROW()/1000000000,"")</f>
        <v/>
      </c>
      <c r="V3082" s="39">
        <f>IF($A3082="","",IF(COUNTIF(변동분석!$E$7:$E$506,O3082)&gt;0,"Y","N"))</f>
        <v/>
      </c>
      <c r="W3082" s="39">
        <f>IF($A3082="","",IFERROR(INDEX(계정매핑!$D$5:$D$504,MATCH($F3082&amp;"",계정매핑!$A$5:$A$504,0)),"미매핑"))</f>
        <v/>
      </c>
      <c r="X3082" s="9">
        <f>IF($A3082="","",$F3082&amp;"")</f>
        <v/>
      </c>
    </row>
    <row r="3083">
      <c r="A3083" s="75" t="n">
        <v>2026</v>
      </c>
      <c r="B3083" s="75" t="n">
        <v>4</v>
      </c>
      <c r="C3083" s="75" t="inlineStr">
        <is>
          <t>5100000739</t>
        </is>
      </c>
      <c r="D3083" s="78" t="n">
        <v>46133</v>
      </c>
      <c r="E3083" s="75" t="inlineStr">
        <is>
          <t>KR</t>
        </is>
      </c>
      <c r="F3083" s="75" t="n">
        <v>62101000</v>
      </c>
      <c r="G3083" s="75" t="n">
        <v>1601</v>
      </c>
      <c r="H3083" s="76" t="n">
        <v>1127000</v>
      </c>
      <c r="I3083" s="75" t="inlineStr">
        <is>
          <t>4월 국내출장 - (법인카드)</t>
        </is>
      </c>
      <c r="J3083" s="75" t="inlineStr">
        <is>
          <t>V10008</t>
        </is>
      </c>
      <c r="K3083" s="75" t="inlineStr">
        <is>
          <t>(법인카드)</t>
        </is>
      </c>
      <c r="M3083" s="9">
        <f>IF($A3083="","",VALUE($A3083&amp;"")*12+VALUE($B3083&amp;""))</f>
        <v/>
      </c>
      <c r="N3083" s="39">
        <f>IF($A3083="","",IFERROR(INDEX(부서매핑!$C$5:$C$504,MATCH($G3083&amp;"",부서매핑!$A$5:$A$504,0)),"미매핑"))</f>
        <v/>
      </c>
      <c r="O3083" s="9">
        <f>IF($A3083="","",N3083&amp;"|"&amp;$F3083)</f>
        <v/>
      </c>
      <c r="P3083" s="77">
        <f>IF($A3083="",0,$H3083*설정!$C$23)</f>
        <v/>
      </c>
      <c r="Q3083" s="39">
        <f>IF($A3083="","",IF(O3083&lt;&gt;원인분석!$C$9,"",IF(AND(M3083&gt;=원인분석!$C$10,M3083&lt;=원인분석!$C$11),"당기",IF(AND(M3083&gt;=원인분석!$C$12,M3083&lt;=원인분석!$C$13),"비교",""))))</f>
        <v/>
      </c>
      <c r="R3083" s="9">
        <f>IF(Q3083="","",$K3083&amp;"")</f>
        <v/>
      </c>
      <c r="S3083" s="9">
        <f>IF(Q3083="","",IF(MATCH(R3083,$R$5:$R$100000,0)=ROW()-4,ROW(),""))</f>
        <v/>
      </c>
      <c r="T3083" s="9">
        <f>IF(Q3083="당기",ABS(P3083)+ROW()/1000000000,"")</f>
        <v/>
      </c>
      <c r="U3083" s="9">
        <f>IF(Q3083="비교",ABS(P3083)+ROW()/1000000000,"")</f>
        <v/>
      </c>
      <c r="V3083" s="39">
        <f>IF($A3083="","",IF(COUNTIF(변동분석!$E$7:$E$506,O3083)&gt;0,"Y","N"))</f>
        <v/>
      </c>
      <c r="W3083" s="39">
        <f>IF($A3083="","",IFERROR(INDEX(계정매핑!$D$5:$D$504,MATCH($F3083&amp;"",계정매핑!$A$5:$A$504,0)),"미매핑"))</f>
        <v/>
      </c>
      <c r="X3083" s="9">
        <f>IF($A3083="","",$F3083&amp;"")</f>
        <v/>
      </c>
    </row>
    <row r="3084">
      <c r="A3084" s="75" t="n">
        <v>2026</v>
      </c>
      <c r="B3084" s="75" t="n">
        <v>4</v>
      </c>
      <c r="C3084" s="75" t="inlineStr">
        <is>
          <t>5100000740</t>
        </is>
      </c>
      <c r="D3084" s="78" t="n">
        <v>46133</v>
      </c>
      <c r="E3084" s="75" t="inlineStr">
        <is>
          <t>KR</t>
        </is>
      </c>
      <c r="F3084" s="75" t="n">
        <v>62102000</v>
      </c>
      <c r="G3084" s="75" t="n">
        <v>1201</v>
      </c>
      <c r="H3084" s="76" t="n">
        <v>48000</v>
      </c>
      <c r="I3084" s="75" t="inlineStr">
        <is>
          <t>4월 해외출장 - M항공</t>
        </is>
      </c>
      <c r="J3084" s="75" t="inlineStr">
        <is>
          <t>V10001</t>
        </is>
      </c>
      <c r="K3084" s="75" t="inlineStr">
        <is>
          <t>M항공</t>
        </is>
      </c>
      <c r="M3084" s="9">
        <f>IF($A3084="","",VALUE($A3084&amp;"")*12+VALUE($B3084&amp;""))</f>
        <v/>
      </c>
      <c r="N3084" s="39">
        <f>IF($A3084="","",IFERROR(INDEX(부서매핑!$C$5:$C$504,MATCH($G3084&amp;"",부서매핑!$A$5:$A$504,0)),"미매핑"))</f>
        <v/>
      </c>
      <c r="O3084" s="9">
        <f>IF($A3084="","",N3084&amp;"|"&amp;$F3084)</f>
        <v/>
      </c>
      <c r="P3084" s="77">
        <f>IF($A3084="",0,$H3084*설정!$C$23)</f>
        <v/>
      </c>
      <c r="Q3084" s="39">
        <f>IF($A3084="","",IF(O3084&lt;&gt;원인분석!$C$9,"",IF(AND(M3084&gt;=원인분석!$C$10,M3084&lt;=원인분석!$C$11),"당기",IF(AND(M3084&gt;=원인분석!$C$12,M3084&lt;=원인분석!$C$13),"비교",""))))</f>
        <v/>
      </c>
      <c r="R3084" s="9">
        <f>IF(Q3084="","",$K3084&amp;"")</f>
        <v/>
      </c>
      <c r="S3084" s="9">
        <f>IF(Q3084="","",IF(MATCH(R3084,$R$5:$R$100000,0)=ROW()-4,ROW(),""))</f>
        <v/>
      </c>
      <c r="T3084" s="9">
        <f>IF(Q3084="당기",ABS(P3084)+ROW()/1000000000,"")</f>
        <v/>
      </c>
      <c r="U3084" s="9">
        <f>IF(Q3084="비교",ABS(P3084)+ROW()/1000000000,"")</f>
        <v/>
      </c>
      <c r="V3084" s="39">
        <f>IF($A3084="","",IF(COUNTIF(변동분석!$E$7:$E$506,O3084)&gt;0,"Y","N"))</f>
        <v/>
      </c>
      <c r="W3084" s="39">
        <f>IF($A3084="","",IFERROR(INDEX(계정매핑!$D$5:$D$504,MATCH($F3084&amp;"",계정매핑!$A$5:$A$504,0)),"미매핑"))</f>
        <v/>
      </c>
      <c r="X3084" s="9">
        <f>IF($A3084="","",$F3084&amp;"")</f>
        <v/>
      </c>
    </row>
    <row r="3085">
      <c r="A3085" s="75" t="n">
        <v>2026</v>
      </c>
      <c r="B3085" s="75" t="n">
        <v>4</v>
      </c>
      <c r="C3085" s="75" t="inlineStr">
        <is>
          <t>5100000741</t>
        </is>
      </c>
      <c r="D3085" s="78" t="n">
        <v>46133</v>
      </c>
      <c r="E3085" s="75" t="inlineStr">
        <is>
          <t>KR</t>
        </is>
      </c>
      <c r="F3085" s="75" t="n">
        <v>62102000</v>
      </c>
      <c r="G3085" s="75" t="n">
        <v>1701</v>
      </c>
      <c r="H3085" s="76" t="n">
        <v>101000</v>
      </c>
      <c r="I3085" s="75" t="inlineStr">
        <is>
          <t>4월 해외출장 - M항공</t>
        </is>
      </c>
      <c r="J3085" s="75" t="inlineStr">
        <is>
          <t>V10001</t>
        </is>
      </c>
      <c r="K3085" s="75" t="inlineStr">
        <is>
          <t>M항공</t>
        </is>
      </c>
      <c r="M3085" s="9">
        <f>IF($A3085="","",VALUE($A3085&amp;"")*12+VALUE($B3085&amp;""))</f>
        <v/>
      </c>
      <c r="N3085" s="39">
        <f>IF($A3085="","",IFERROR(INDEX(부서매핑!$C$5:$C$504,MATCH($G3085&amp;"",부서매핑!$A$5:$A$504,0)),"미매핑"))</f>
        <v/>
      </c>
      <c r="O3085" s="9">
        <f>IF($A3085="","",N3085&amp;"|"&amp;$F3085)</f>
        <v/>
      </c>
      <c r="P3085" s="77">
        <f>IF($A3085="",0,$H3085*설정!$C$23)</f>
        <v/>
      </c>
      <c r="Q3085" s="39">
        <f>IF($A3085="","",IF(O3085&lt;&gt;원인분석!$C$9,"",IF(AND(M3085&gt;=원인분석!$C$10,M3085&lt;=원인분석!$C$11),"당기",IF(AND(M3085&gt;=원인분석!$C$12,M3085&lt;=원인분석!$C$13),"비교",""))))</f>
        <v/>
      </c>
      <c r="R3085" s="9">
        <f>IF(Q3085="","",$K3085&amp;"")</f>
        <v/>
      </c>
      <c r="S3085" s="9">
        <f>IF(Q3085="","",IF(MATCH(R3085,$R$5:$R$100000,0)=ROW()-4,ROW(),""))</f>
        <v/>
      </c>
      <c r="T3085" s="9">
        <f>IF(Q3085="당기",ABS(P3085)+ROW()/1000000000,"")</f>
        <v/>
      </c>
      <c r="U3085" s="9">
        <f>IF(Q3085="비교",ABS(P3085)+ROW()/1000000000,"")</f>
        <v/>
      </c>
      <c r="V3085" s="39">
        <f>IF($A3085="","",IF(COUNTIF(변동분석!$E$7:$E$506,O3085)&gt;0,"Y","N"))</f>
        <v/>
      </c>
      <c r="W3085" s="39">
        <f>IF($A3085="","",IFERROR(INDEX(계정매핑!$D$5:$D$504,MATCH($F3085&amp;"",계정매핑!$A$5:$A$504,0)),"미매핑"))</f>
        <v/>
      </c>
      <c r="X3085" s="9">
        <f>IF($A3085="","",$F3085&amp;"")</f>
        <v/>
      </c>
    </row>
    <row r="3086">
      <c r="A3086" s="75" t="n">
        <v>2026</v>
      </c>
      <c r="B3086" s="75" t="n">
        <v>4</v>
      </c>
      <c r="C3086" s="75" t="inlineStr">
        <is>
          <t>5100000742</t>
        </is>
      </c>
      <c r="D3086" s="78" t="n">
        <v>46133</v>
      </c>
      <c r="E3086" s="75" t="inlineStr">
        <is>
          <t>KR</t>
        </is>
      </c>
      <c r="F3086" s="75" t="n">
        <v>62201000</v>
      </c>
      <c r="G3086" s="75" t="n">
        <v>1801</v>
      </c>
      <c r="H3086" s="76" t="n">
        <v>3268000</v>
      </c>
      <c r="I3086" s="75" t="inlineStr">
        <is>
          <t>4월 통신요금 - P통신</t>
        </is>
      </c>
      <c r="J3086" s="75" t="inlineStr">
        <is>
          <t>V10011</t>
        </is>
      </c>
      <c r="K3086" s="75" t="inlineStr">
        <is>
          <t>P통신</t>
        </is>
      </c>
      <c r="M3086" s="9">
        <f>IF($A3086="","",VALUE($A3086&amp;"")*12+VALUE($B3086&amp;""))</f>
        <v/>
      </c>
      <c r="N3086" s="39">
        <f>IF($A3086="","",IFERROR(INDEX(부서매핑!$C$5:$C$504,MATCH($G3086&amp;"",부서매핑!$A$5:$A$504,0)),"미매핑"))</f>
        <v/>
      </c>
      <c r="O3086" s="9">
        <f>IF($A3086="","",N3086&amp;"|"&amp;$F3086)</f>
        <v/>
      </c>
      <c r="P3086" s="77">
        <f>IF($A3086="",0,$H3086*설정!$C$23)</f>
        <v/>
      </c>
      <c r="Q3086" s="39">
        <f>IF($A3086="","",IF(O3086&lt;&gt;원인분석!$C$9,"",IF(AND(M3086&gt;=원인분석!$C$10,M3086&lt;=원인분석!$C$11),"당기",IF(AND(M3086&gt;=원인분석!$C$12,M3086&lt;=원인분석!$C$13),"비교",""))))</f>
        <v/>
      </c>
      <c r="R3086" s="9">
        <f>IF(Q3086="","",$K3086&amp;"")</f>
        <v/>
      </c>
      <c r="S3086" s="9">
        <f>IF(Q3086="","",IF(MATCH(R3086,$R$5:$R$100000,0)=ROW()-4,ROW(),""))</f>
        <v/>
      </c>
      <c r="T3086" s="9">
        <f>IF(Q3086="당기",ABS(P3086)+ROW()/1000000000,"")</f>
        <v/>
      </c>
      <c r="U3086" s="9">
        <f>IF(Q3086="비교",ABS(P3086)+ROW()/1000000000,"")</f>
        <v/>
      </c>
      <c r="V3086" s="39">
        <f>IF($A3086="","",IF(COUNTIF(변동분석!$E$7:$E$506,O3086)&gt;0,"Y","N"))</f>
        <v/>
      </c>
      <c r="W3086" s="39">
        <f>IF($A3086="","",IFERROR(INDEX(계정매핑!$D$5:$D$504,MATCH($F3086&amp;"",계정매핑!$A$5:$A$504,0)),"미매핑"))</f>
        <v/>
      </c>
      <c r="X3086" s="9">
        <f>IF($A3086="","",$F3086&amp;"")</f>
        <v/>
      </c>
    </row>
    <row r="3087">
      <c r="A3087" s="75" t="n">
        <v>2026</v>
      </c>
      <c r="B3087" s="75" t="n">
        <v>4</v>
      </c>
      <c r="C3087" s="75" t="inlineStr">
        <is>
          <t>5100000743</t>
        </is>
      </c>
      <c r="D3087" s="78" t="n">
        <v>46133</v>
      </c>
      <c r="E3087" s="75" t="inlineStr">
        <is>
          <t>KR</t>
        </is>
      </c>
      <c r="F3087" s="75" t="n">
        <v>62401000</v>
      </c>
      <c r="G3087" s="75" t="n">
        <v>1502</v>
      </c>
      <c r="H3087" s="76" t="n">
        <v>1599000</v>
      </c>
      <c r="I3087" s="75" t="inlineStr">
        <is>
          <t>4월 인쇄물 제작 - S출판</t>
        </is>
      </c>
      <c r="J3087" s="75" t="inlineStr">
        <is>
          <t>V10012</t>
        </is>
      </c>
      <c r="K3087" s="75" t="inlineStr">
        <is>
          <t>S출판</t>
        </is>
      </c>
      <c r="M3087" s="9">
        <f>IF($A3087="","",VALUE($A3087&amp;"")*12+VALUE($B3087&amp;""))</f>
        <v/>
      </c>
      <c r="N3087" s="39">
        <f>IF($A3087="","",IFERROR(INDEX(부서매핑!$C$5:$C$504,MATCH($G3087&amp;"",부서매핑!$A$5:$A$504,0)),"미매핑"))</f>
        <v/>
      </c>
      <c r="O3087" s="9">
        <f>IF($A3087="","",N3087&amp;"|"&amp;$F3087)</f>
        <v/>
      </c>
      <c r="P3087" s="77">
        <f>IF($A3087="",0,$H3087*설정!$C$23)</f>
        <v/>
      </c>
      <c r="Q3087" s="39">
        <f>IF($A3087="","",IF(O3087&lt;&gt;원인분석!$C$9,"",IF(AND(M3087&gt;=원인분석!$C$10,M3087&lt;=원인분석!$C$11),"당기",IF(AND(M3087&gt;=원인분석!$C$12,M3087&lt;=원인분석!$C$13),"비교",""))))</f>
        <v/>
      </c>
      <c r="R3087" s="9">
        <f>IF(Q3087="","",$K3087&amp;"")</f>
        <v/>
      </c>
      <c r="S3087" s="9">
        <f>IF(Q3087="","",IF(MATCH(R3087,$R$5:$R$100000,0)=ROW()-4,ROW(),""))</f>
        <v/>
      </c>
      <c r="T3087" s="9">
        <f>IF(Q3087="당기",ABS(P3087)+ROW()/1000000000,"")</f>
        <v/>
      </c>
      <c r="U3087" s="9">
        <f>IF(Q3087="비교",ABS(P3087)+ROW()/1000000000,"")</f>
        <v/>
      </c>
      <c r="V3087" s="39">
        <f>IF($A3087="","",IF(COUNTIF(변동분석!$E$7:$E$506,O3087)&gt;0,"Y","N"))</f>
        <v/>
      </c>
      <c r="W3087" s="39">
        <f>IF($A3087="","",IFERROR(INDEX(계정매핑!$D$5:$D$504,MATCH($F3087&amp;"",계정매핑!$A$5:$A$504,0)),"미매핑"))</f>
        <v/>
      </c>
      <c r="X3087" s="9">
        <f>IF($A3087="","",$F3087&amp;"")</f>
        <v/>
      </c>
    </row>
    <row r="3088">
      <c r="A3088" s="75" t="n">
        <v>2026</v>
      </c>
      <c r="B3088" s="75" t="n">
        <v>4</v>
      </c>
      <c r="C3088" s="75" t="inlineStr">
        <is>
          <t>5100000744</t>
        </is>
      </c>
      <c r="D3088" s="78" t="n">
        <v>46133</v>
      </c>
      <c r="E3088" s="75" t="inlineStr">
        <is>
          <t>KR</t>
        </is>
      </c>
      <c r="F3088" s="75" t="n">
        <v>62501000</v>
      </c>
      <c r="G3088" s="75" t="n">
        <v>1801</v>
      </c>
      <c r="H3088" s="76" t="n">
        <v>186000</v>
      </c>
      <c r="I3088" s="75" t="inlineStr">
        <is>
          <t>4월 회의 다과 - T케이터링</t>
        </is>
      </c>
      <c r="J3088" s="75" t="inlineStr">
        <is>
          <t>V10005</t>
        </is>
      </c>
      <c r="K3088" s="75" t="inlineStr">
        <is>
          <t>T케이터링</t>
        </is>
      </c>
      <c r="M3088" s="9">
        <f>IF($A3088="","",VALUE($A3088&amp;"")*12+VALUE($B3088&amp;""))</f>
        <v/>
      </c>
      <c r="N3088" s="39">
        <f>IF($A3088="","",IFERROR(INDEX(부서매핑!$C$5:$C$504,MATCH($G3088&amp;"",부서매핑!$A$5:$A$504,0)),"미매핑"))</f>
        <v/>
      </c>
      <c r="O3088" s="9">
        <f>IF($A3088="","",N3088&amp;"|"&amp;$F3088)</f>
        <v/>
      </c>
      <c r="P3088" s="77">
        <f>IF($A3088="",0,$H3088*설정!$C$23)</f>
        <v/>
      </c>
      <c r="Q3088" s="39">
        <f>IF($A3088="","",IF(O3088&lt;&gt;원인분석!$C$9,"",IF(AND(M3088&gt;=원인분석!$C$10,M3088&lt;=원인분석!$C$11),"당기",IF(AND(M3088&gt;=원인분석!$C$12,M3088&lt;=원인분석!$C$13),"비교",""))))</f>
        <v/>
      </c>
      <c r="R3088" s="9">
        <f>IF(Q3088="","",$K3088&amp;"")</f>
        <v/>
      </c>
      <c r="S3088" s="9">
        <f>IF(Q3088="","",IF(MATCH(R3088,$R$5:$R$100000,0)=ROW()-4,ROW(),""))</f>
        <v/>
      </c>
      <c r="T3088" s="9">
        <f>IF(Q3088="당기",ABS(P3088)+ROW()/1000000000,"")</f>
        <v/>
      </c>
      <c r="U3088" s="9">
        <f>IF(Q3088="비교",ABS(P3088)+ROW()/1000000000,"")</f>
        <v/>
      </c>
      <c r="V3088" s="39">
        <f>IF($A3088="","",IF(COUNTIF(변동분석!$E$7:$E$506,O3088)&gt;0,"Y","N"))</f>
        <v/>
      </c>
      <c r="W3088" s="39">
        <f>IF($A3088="","",IFERROR(INDEX(계정매핑!$D$5:$D$504,MATCH($F3088&amp;"",계정매핑!$A$5:$A$504,0)),"미매핑"))</f>
        <v/>
      </c>
      <c r="X3088" s="9">
        <f>IF($A3088="","",$F3088&amp;"")</f>
        <v/>
      </c>
    </row>
    <row r="3089">
      <c r="A3089" s="75" t="n">
        <v>2026</v>
      </c>
      <c r="B3089" s="75" t="n">
        <v>4</v>
      </c>
      <c r="C3089" s="75" t="inlineStr">
        <is>
          <t>5100000745</t>
        </is>
      </c>
      <c r="D3089" s="78" t="n">
        <v>46133</v>
      </c>
      <c r="E3089" s="75" t="inlineStr">
        <is>
          <t>KR</t>
        </is>
      </c>
      <c r="F3089" s="75" t="n">
        <v>62902000</v>
      </c>
      <c r="G3089" s="75" t="n">
        <v>1801</v>
      </c>
      <c r="H3089" s="76" t="n">
        <v>1799000</v>
      </c>
      <c r="I3089" s="75" t="inlineStr">
        <is>
          <t>4월 콜 위탁 수수료(건별)</t>
        </is>
      </c>
      <c r="J3089" s="75" t="inlineStr">
        <is>
          <t>V10013</t>
        </is>
      </c>
      <c r="K3089" s="75" t="inlineStr">
        <is>
          <t>J콜센터</t>
        </is>
      </c>
      <c r="M3089" s="9">
        <f>IF($A3089="","",VALUE($A3089&amp;"")*12+VALUE($B3089&amp;""))</f>
        <v/>
      </c>
      <c r="N3089" s="39">
        <f>IF($A3089="","",IFERROR(INDEX(부서매핑!$C$5:$C$504,MATCH($G3089&amp;"",부서매핑!$A$5:$A$504,0)),"미매핑"))</f>
        <v/>
      </c>
      <c r="O3089" s="9">
        <f>IF($A3089="","",N3089&amp;"|"&amp;$F3089)</f>
        <v/>
      </c>
      <c r="P3089" s="77">
        <f>IF($A3089="",0,$H3089*설정!$C$23)</f>
        <v/>
      </c>
      <c r="Q3089" s="39">
        <f>IF($A3089="","",IF(O3089&lt;&gt;원인분석!$C$9,"",IF(AND(M3089&gt;=원인분석!$C$10,M3089&lt;=원인분석!$C$11),"당기",IF(AND(M3089&gt;=원인분석!$C$12,M3089&lt;=원인분석!$C$13),"비교",""))))</f>
        <v/>
      </c>
      <c r="R3089" s="9">
        <f>IF(Q3089="","",$K3089&amp;"")</f>
        <v/>
      </c>
      <c r="S3089" s="9">
        <f>IF(Q3089="","",IF(MATCH(R3089,$R$5:$R$100000,0)=ROW()-4,ROW(),""))</f>
        <v/>
      </c>
      <c r="T3089" s="9">
        <f>IF(Q3089="당기",ABS(P3089)+ROW()/1000000000,"")</f>
        <v/>
      </c>
      <c r="U3089" s="9">
        <f>IF(Q3089="비교",ABS(P3089)+ROW()/1000000000,"")</f>
        <v/>
      </c>
      <c r="V3089" s="39">
        <f>IF($A3089="","",IF(COUNTIF(변동분석!$E$7:$E$506,O3089)&gt;0,"Y","N"))</f>
        <v/>
      </c>
      <c r="W3089" s="39">
        <f>IF($A3089="","",IFERROR(INDEX(계정매핑!$D$5:$D$504,MATCH($F3089&amp;"",계정매핑!$A$5:$A$504,0)),"미매핑"))</f>
        <v/>
      </c>
      <c r="X3089" s="9">
        <f>IF($A3089="","",$F3089&amp;"")</f>
        <v/>
      </c>
    </row>
    <row r="3090">
      <c r="A3090" s="75" t="n">
        <v>2026</v>
      </c>
      <c r="B3090" s="75" t="n">
        <v>4</v>
      </c>
      <c r="C3090" s="75" t="inlineStr">
        <is>
          <t>5100000746</t>
        </is>
      </c>
      <c r="D3090" s="78" t="n">
        <v>46134</v>
      </c>
      <c r="E3090" s="75" t="inlineStr">
        <is>
          <t>KR</t>
        </is>
      </c>
      <c r="F3090" s="75" t="n">
        <v>62102000</v>
      </c>
      <c r="G3090" s="75" t="n">
        <v>1101</v>
      </c>
      <c r="H3090" s="76" t="n">
        <v>124000</v>
      </c>
      <c r="I3090" s="75" t="inlineStr">
        <is>
          <t>4월 해외출장 - M항공</t>
        </is>
      </c>
      <c r="J3090" s="75" t="inlineStr">
        <is>
          <t>V10001</t>
        </is>
      </c>
      <c r="K3090" s="75" t="inlineStr">
        <is>
          <t>M항공</t>
        </is>
      </c>
      <c r="M3090" s="9">
        <f>IF($A3090="","",VALUE($A3090&amp;"")*12+VALUE($B3090&amp;""))</f>
        <v/>
      </c>
      <c r="N3090" s="39">
        <f>IF($A3090="","",IFERROR(INDEX(부서매핑!$C$5:$C$504,MATCH($G3090&amp;"",부서매핑!$A$5:$A$504,0)),"미매핑"))</f>
        <v/>
      </c>
      <c r="O3090" s="9">
        <f>IF($A3090="","",N3090&amp;"|"&amp;$F3090)</f>
        <v/>
      </c>
      <c r="P3090" s="77">
        <f>IF($A3090="",0,$H3090*설정!$C$23)</f>
        <v/>
      </c>
      <c r="Q3090" s="39">
        <f>IF($A3090="","",IF(O3090&lt;&gt;원인분석!$C$9,"",IF(AND(M3090&gt;=원인분석!$C$10,M3090&lt;=원인분석!$C$11),"당기",IF(AND(M3090&gt;=원인분석!$C$12,M3090&lt;=원인분석!$C$13),"비교",""))))</f>
        <v/>
      </c>
      <c r="R3090" s="9">
        <f>IF(Q3090="","",$K3090&amp;"")</f>
        <v/>
      </c>
      <c r="S3090" s="9">
        <f>IF(Q3090="","",IF(MATCH(R3090,$R$5:$R$100000,0)=ROW()-4,ROW(),""))</f>
        <v/>
      </c>
      <c r="T3090" s="9">
        <f>IF(Q3090="당기",ABS(P3090)+ROW()/1000000000,"")</f>
        <v/>
      </c>
      <c r="U3090" s="9">
        <f>IF(Q3090="비교",ABS(P3090)+ROW()/1000000000,"")</f>
        <v/>
      </c>
      <c r="V3090" s="39">
        <f>IF($A3090="","",IF(COUNTIF(변동분석!$E$7:$E$506,O3090)&gt;0,"Y","N"))</f>
        <v/>
      </c>
      <c r="W3090" s="39">
        <f>IF($A3090="","",IFERROR(INDEX(계정매핑!$D$5:$D$504,MATCH($F3090&amp;"",계정매핑!$A$5:$A$504,0)),"미매핑"))</f>
        <v/>
      </c>
      <c r="X3090" s="9">
        <f>IF($A3090="","",$F3090&amp;"")</f>
        <v/>
      </c>
    </row>
    <row r="3091">
      <c r="A3091" s="75" t="n">
        <v>2026</v>
      </c>
      <c r="B3091" s="75" t="n">
        <v>4</v>
      </c>
      <c r="C3091" s="75" t="inlineStr">
        <is>
          <t>5100000747</t>
        </is>
      </c>
      <c r="D3091" s="78" t="n">
        <v>46134</v>
      </c>
      <c r="E3091" s="75" t="inlineStr">
        <is>
          <t>KR</t>
        </is>
      </c>
      <c r="F3091" s="75" t="n">
        <v>62201000</v>
      </c>
      <c r="G3091" s="75" t="n">
        <v>1101</v>
      </c>
      <c r="H3091" s="76" t="n">
        <v>241000</v>
      </c>
      <c r="I3091" s="75" t="inlineStr">
        <is>
          <t>4월 통신요금 - O텔레콤</t>
        </is>
      </c>
      <c r="J3091" s="75" t="inlineStr">
        <is>
          <t>V10002</t>
        </is>
      </c>
      <c r="K3091" s="75" t="inlineStr">
        <is>
          <t>O텔레콤</t>
        </is>
      </c>
      <c r="M3091" s="9">
        <f>IF($A3091="","",VALUE($A3091&amp;"")*12+VALUE($B3091&amp;""))</f>
        <v/>
      </c>
      <c r="N3091" s="39">
        <f>IF($A3091="","",IFERROR(INDEX(부서매핑!$C$5:$C$504,MATCH($G3091&amp;"",부서매핑!$A$5:$A$504,0)),"미매핑"))</f>
        <v/>
      </c>
      <c r="O3091" s="9">
        <f>IF($A3091="","",N3091&amp;"|"&amp;$F3091)</f>
        <v/>
      </c>
      <c r="P3091" s="77">
        <f>IF($A3091="",0,$H3091*설정!$C$23)</f>
        <v/>
      </c>
      <c r="Q3091" s="39">
        <f>IF($A3091="","",IF(O3091&lt;&gt;원인분석!$C$9,"",IF(AND(M3091&gt;=원인분석!$C$10,M3091&lt;=원인분석!$C$11),"당기",IF(AND(M3091&gt;=원인분석!$C$12,M3091&lt;=원인분석!$C$13),"비교",""))))</f>
        <v/>
      </c>
      <c r="R3091" s="9">
        <f>IF(Q3091="","",$K3091&amp;"")</f>
        <v/>
      </c>
      <c r="S3091" s="9">
        <f>IF(Q3091="","",IF(MATCH(R3091,$R$5:$R$100000,0)=ROW()-4,ROW(),""))</f>
        <v/>
      </c>
      <c r="T3091" s="9">
        <f>IF(Q3091="당기",ABS(P3091)+ROW()/1000000000,"")</f>
        <v/>
      </c>
      <c r="U3091" s="9">
        <f>IF(Q3091="비교",ABS(P3091)+ROW()/1000000000,"")</f>
        <v/>
      </c>
      <c r="V3091" s="39">
        <f>IF($A3091="","",IF(COUNTIF(변동분석!$E$7:$E$506,O3091)&gt;0,"Y","N"))</f>
        <v/>
      </c>
      <c r="W3091" s="39">
        <f>IF($A3091="","",IFERROR(INDEX(계정매핑!$D$5:$D$504,MATCH($F3091&amp;"",계정매핑!$A$5:$A$504,0)),"미매핑"))</f>
        <v/>
      </c>
      <c r="X3091" s="9">
        <f>IF($A3091="","",$F3091&amp;"")</f>
        <v/>
      </c>
    </row>
    <row r="3092">
      <c r="A3092" s="75" t="n">
        <v>2026</v>
      </c>
      <c r="B3092" s="75" t="n">
        <v>4</v>
      </c>
      <c r="C3092" s="75" t="inlineStr">
        <is>
          <t>5100000748</t>
        </is>
      </c>
      <c r="D3092" s="78" t="n">
        <v>46134</v>
      </c>
      <c r="E3092" s="75" t="inlineStr">
        <is>
          <t>KR</t>
        </is>
      </c>
      <c r="F3092" s="75" t="n">
        <v>62501000</v>
      </c>
      <c r="G3092" s="75" t="n">
        <v>1401</v>
      </c>
      <c r="H3092" s="76" t="n">
        <v>197000</v>
      </c>
      <c r="I3092" s="75" t="inlineStr">
        <is>
          <t>4월 회의 다과 - (법인카드)</t>
        </is>
      </c>
      <c r="J3092" s="75" t="inlineStr">
        <is>
          <t>V10008</t>
        </is>
      </c>
      <c r="K3092" s="75" t="inlineStr">
        <is>
          <t>(법인카드)</t>
        </is>
      </c>
      <c r="M3092" s="9">
        <f>IF($A3092="","",VALUE($A3092&amp;"")*12+VALUE($B3092&amp;""))</f>
        <v/>
      </c>
      <c r="N3092" s="39">
        <f>IF($A3092="","",IFERROR(INDEX(부서매핑!$C$5:$C$504,MATCH($G3092&amp;"",부서매핑!$A$5:$A$504,0)),"미매핑"))</f>
        <v/>
      </c>
      <c r="O3092" s="9">
        <f>IF($A3092="","",N3092&amp;"|"&amp;$F3092)</f>
        <v/>
      </c>
      <c r="P3092" s="77">
        <f>IF($A3092="",0,$H3092*설정!$C$23)</f>
        <v/>
      </c>
      <c r="Q3092" s="39">
        <f>IF($A3092="","",IF(O3092&lt;&gt;원인분석!$C$9,"",IF(AND(M3092&gt;=원인분석!$C$10,M3092&lt;=원인분석!$C$11),"당기",IF(AND(M3092&gt;=원인분석!$C$12,M3092&lt;=원인분석!$C$13),"비교",""))))</f>
        <v/>
      </c>
      <c r="R3092" s="9">
        <f>IF(Q3092="","",$K3092&amp;"")</f>
        <v/>
      </c>
      <c r="S3092" s="9">
        <f>IF(Q3092="","",IF(MATCH(R3092,$R$5:$R$100000,0)=ROW()-4,ROW(),""))</f>
        <v/>
      </c>
      <c r="T3092" s="9">
        <f>IF(Q3092="당기",ABS(P3092)+ROW()/1000000000,"")</f>
        <v/>
      </c>
      <c r="U3092" s="9">
        <f>IF(Q3092="비교",ABS(P3092)+ROW()/1000000000,"")</f>
        <v/>
      </c>
      <c r="V3092" s="39">
        <f>IF($A3092="","",IF(COUNTIF(변동분석!$E$7:$E$506,O3092)&gt;0,"Y","N"))</f>
        <v/>
      </c>
      <c r="W3092" s="39">
        <f>IF($A3092="","",IFERROR(INDEX(계정매핑!$D$5:$D$504,MATCH($F3092&amp;"",계정매핑!$A$5:$A$504,0)),"미매핑"))</f>
        <v/>
      </c>
      <c r="X3092" s="9">
        <f>IF($A3092="","",$F3092&amp;"")</f>
        <v/>
      </c>
    </row>
    <row r="3093">
      <c r="A3093" s="75" t="n">
        <v>2026</v>
      </c>
      <c r="B3093" s="75" t="n">
        <v>4</v>
      </c>
      <c r="C3093" s="75" t="inlineStr">
        <is>
          <t>5100000749</t>
        </is>
      </c>
      <c r="D3093" s="78" t="n">
        <v>46134</v>
      </c>
      <c r="E3093" s="75" t="inlineStr">
        <is>
          <t>KR</t>
        </is>
      </c>
      <c r="F3093" s="75" t="n">
        <v>62901000</v>
      </c>
      <c r="G3093" s="75" t="n">
        <v>1201</v>
      </c>
      <c r="H3093" s="76" t="n">
        <v>7953000</v>
      </c>
      <c r="I3093" s="75" t="inlineStr">
        <is>
          <t>4월 자문 수수료 - K회계법인</t>
        </is>
      </c>
      <c r="J3093" s="75" t="inlineStr">
        <is>
          <t>V10010</t>
        </is>
      </c>
      <c r="K3093" s="75" t="inlineStr">
        <is>
          <t>K회계법인</t>
        </is>
      </c>
      <c r="M3093" s="9">
        <f>IF($A3093="","",VALUE($A3093&amp;"")*12+VALUE($B3093&amp;""))</f>
        <v/>
      </c>
      <c r="N3093" s="39">
        <f>IF($A3093="","",IFERROR(INDEX(부서매핑!$C$5:$C$504,MATCH($G3093&amp;"",부서매핑!$A$5:$A$504,0)),"미매핑"))</f>
        <v/>
      </c>
      <c r="O3093" s="9">
        <f>IF($A3093="","",N3093&amp;"|"&amp;$F3093)</f>
        <v/>
      </c>
      <c r="P3093" s="77">
        <f>IF($A3093="",0,$H3093*설정!$C$23)</f>
        <v/>
      </c>
      <c r="Q3093" s="39">
        <f>IF($A3093="","",IF(O3093&lt;&gt;원인분석!$C$9,"",IF(AND(M3093&gt;=원인분석!$C$10,M3093&lt;=원인분석!$C$11),"당기",IF(AND(M3093&gt;=원인분석!$C$12,M3093&lt;=원인분석!$C$13),"비교",""))))</f>
        <v/>
      </c>
      <c r="R3093" s="9">
        <f>IF(Q3093="","",$K3093&amp;"")</f>
        <v/>
      </c>
      <c r="S3093" s="9">
        <f>IF(Q3093="","",IF(MATCH(R3093,$R$5:$R$100000,0)=ROW()-4,ROW(),""))</f>
        <v/>
      </c>
      <c r="T3093" s="9">
        <f>IF(Q3093="당기",ABS(P3093)+ROW()/1000000000,"")</f>
        <v/>
      </c>
      <c r="U3093" s="9">
        <f>IF(Q3093="비교",ABS(P3093)+ROW()/1000000000,"")</f>
        <v/>
      </c>
      <c r="V3093" s="39">
        <f>IF($A3093="","",IF(COUNTIF(변동분석!$E$7:$E$506,O3093)&gt;0,"Y","N"))</f>
        <v/>
      </c>
      <c r="W3093" s="39">
        <f>IF($A3093="","",IFERROR(INDEX(계정매핑!$D$5:$D$504,MATCH($F3093&amp;"",계정매핑!$A$5:$A$504,0)),"미매핑"))</f>
        <v/>
      </c>
      <c r="X3093" s="9">
        <f>IF($A3093="","",$F3093&amp;"")</f>
        <v/>
      </c>
    </row>
    <row r="3094">
      <c r="A3094" s="75" t="n">
        <v>2026</v>
      </c>
      <c r="B3094" s="75" t="n">
        <v>4</v>
      </c>
      <c r="C3094" s="75" t="inlineStr">
        <is>
          <t>5100000750</t>
        </is>
      </c>
      <c r="D3094" s="78" t="n">
        <v>46135</v>
      </c>
      <c r="E3094" s="75" t="inlineStr">
        <is>
          <t>KR</t>
        </is>
      </c>
      <c r="F3094" s="75" t="n">
        <v>62101000</v>
      </c>
      <c r="G3094" s="75" t="n">
        <v>1701</v>
      </c>
      <c r="H3094" s="76" t="n">
        <v>205000</v>
      </c>
      <c r="I3094" s="75" t="inlineStr">
        <is>
          <t>4월 국내출장 - L여행사</t>
        </is>
      </c>
      <c r="J3094" s="75" t="inlineStr">
        <is>
          <t>V10014</t>
        </is>
      </c>
      <c r="K3094" s="75" t="inlineStr">
        <is>
          <t>L여행사</t>
        </is>
      </c>
      <c r="M3094" s="9">
        <f>IF($A3094="","",VALUE($A3094&amp;"")*12+VALUE($B3094&amp;""))</f>
        <v/>
      </c>
      <c r="N3094" s="39">
        <f>IF($A3094="","",IFERROR(INDEX(부서매핑!$C$5:$C$504,MATCH($G3094&amp;"",부서매핑!$A$5:$A$504,0)),"미매핑"))</f>
        <v/>
      </c>
      <c r="O3094" s="9">
        <f>IF($A3094="","",N3094&amp;"|"&amp;$F3094)</f>
        <v/>
      </c>
      <c r="P3094" s="77">
        <f>IF($A3094="",0,$H3094*설정!$C$23)</f>
        <v/>
      </c>
      <c r="Q3094" s="39">
        <f>IF($A3094="","",IF(O3094&lt;&gt;원인분석!$C$9,"",IF(AND(M3094&gt;=원인분석!$C$10,M3094&lt;=원인분석!$C$11),"당기",IF(AND(M3094&gt;=원인분석!$C$12,M3094&lt;=원인분석!$C$13),"비교",""))))</f>
        <v/>
      </c>
      <c r="R3094" s="9">
        <f>IF(Q3094="","",$K3094&amp;"")</f>
        <v/>
      </c>
      <c r="S3094" s="9">
        <f>IF(Q3094="","",IF(MATCH(R3094,$R$5:$R$100000,0)=ROW()-4,ROW(),""))</f>
        <v/>
      </c>
      <c r="T3094" s="9">
        <f>IF(Q3094="당기",ABS(P3094)+ROW()/1000000000,"")</f>
        <v/>
      </c>
      <c r="U3094" s="9">
        <f>IF(Q3094="비교",ABS(P3094)+ROW()/1000000000,"")</f>
        <v/>
      </c>
      <c r="V3094" s="39">
        <f>IF($A3094="","",IF(COUNTIF(변동분석!$E$7:$E$506,O3094)&gt;0,"Y","N"))</f>
        <v/>
      </c>
      <c r="W3094" s="39">
        <f>IF($A3094="","",IFERROR(INDEX(계정매핑!$D$5:$D$504,MATCH($F3094&amp;"",계정매핑!$A$5:$A$504,0)),"미매핑"))</f>
        <v/>
      </c>
      <c r="X3094" s="9">
        <f>IF($A3094="","",$F3094&amp;"")</f>
        <v/>
      </c>
    </row>
    <row r="3095">
      <c r="A3095" s="75" t="n">
        <v>2026</v>
      </c>
      <c r="B3095" s="75" t="n">
        <v>4</v>
      </c>
      <c r="C3095" s="75" t="inlineStr">
        <is>
          <t>5100000751</t>
        </is>
      </c>
      <c r="D3095" s="78" t="n">
        <v>46135</v>
      </c>
      <c r="E3095" s="75" t="inlineStr">
        <is>
          <t>KR</t>
        </is>
      </c>
      <c r="F3095" s="75" t="n">
        <v>62101000</v>
      </c>
      <c r="G3095" s="75" t="n">
        <v>1801</v>
      </c>
      <c r="H3095" s="76" t="n">
        <v>126000</v>
      </c>
      <c r="I3095" s="75" t="inlineStr">
        <is>
          <t>4월 국내출장 - L여행사</t>
        </is>
      </c>
      <c r="J3095" s="75" t="inlineStr">
        <is>
          <t>V10014</t>
        </is>
      </c>
      <c r="K3095" s="75" t="inlineStr">
        <is>
          <t>L여행사</t>
        </is>
      </c>
      <c r="M3095" s="9">
        <f>IF($A3095="","",VALUE($A3095&amp;"")*12+VALUE($B3095&amp;""))</f>
        <v/>
      </c>
      <c r="N3095" s="39">
        <f>IF($A3095="","",IFERROR(INDEX(부서매핑!$C$5:$C$504,MATCH($G3095&amp;"",부서매핑!$A$5:$A$504,0)),"미매핑"))</f>
        <v/>
      </c>
      <c r="O3095" s="9">
        <f>IF($A3095="","",N3095&amp;"|"&amp;$F3095)</f>
        <v/>
      </c>
      <c r="P3095" s="77">
        <f>IF($A3095="",0,$H3095*설정!$C$23)</f>
        <v/>
      </c>
      <c r="Q3095" s="39">
        <f>IF($A3095="","",IF(O3095&lt;&gt;원인분석!$C$9,"",IF(AND(M3095&gt;=원인분석!$C$10,M3095&lt;=원인분석!$C$11),"당기",IF(AND(M3095&gt;=원인분석!$C$12,M3095&lt;=원인분석!$C$13),"비교",""))))</f>
        <v/>
      </c>
      <c r="R3095" s="9">
        <f>IF(Q3095="","",$K3095&amp;"")</f>
        <v/>
      </c>
      <c r="S3095" s="9">
        <f>IF(Q3095="","",IF(MATCH(R3095,$R$5:$R$100000,0)=ROW()-4,ROW(),""))</f>
        <v/>
      </c>
      <c r="T3095" s="9">
        <f>IF(Q3095="당기",ABS(P3095)+ROW()/1000000000,"")</f>
        <v/>
      </c>
      <c r="U3095" s="9">
        <f>IF(Q3095="비교",ABS(P3095)+ROW()/1000000000,"")</f>
        <v/>
      </c>
      <c r="V3095" s="39">
        <f>IF($A3095="","",IF(COUNTIF(변동분석!$E$7:$E$506,O3095)&gt;0,"Y","N"))</f>
        <v/>
      </c>
      <c r="W3095" s="39">
        <f>IF($A3095="","",IFERROR(INDEX(계정매핑!$D$5:$D$504,MATCH($F3095&amp;"",계정매핑!$A$5:$A$504,0)),"미매핑"))</f>
        <v/>
      </c>
      <c r="X3095" s="9">
        <f>IF($A3095="","",$F3095&amp;"")</f>
        <v/>
      </c>
    </row>
    <row r="3096">
      <c r="A3096" s="75" t="n">
        <v>2026</v>
      </c>
      <c r="B3096" s="75" t="n">
        <v>4</v>
      </c>
      <c r="C3096" s="75" t="inlineStr">
        <is>
          <t>5100000752</t>
        </is>
      </c>
      <c r="D3096" s="78" t="n">
        <v>46135</v>
      </c>
      <c r="E3096" s="75" t="inlineStr">
        <is>
          <t>KR</t>
        </is>
      </c>
      <c r="F3096" s="75" t="n">
        <v>62102000</v>
      </c>
      <c r="G3096" s="75" t="n">
        <v>1201</v>
      </c>
      <c r="H3096" s="76" t="n">
        <v>43000</v>
      </c>
      <c r="I3096" s="75" t="inlineStr">
        <is>
          <t>4월 해외출장 - N호텔</t>
        </is>
      </c>
      <c r="J3096" s="75" t="inlineStr">
        <is>
          <t>V10007</t>
        </is>
      </c>
      <c r="K3096" s="75" t="inlineStr">
        <is>
          <t>N호텔</t>
        </is>
      </c>
      <c r="M3096" s="9">
        <f>IF($A3096="","",VALUE($A3096&amp;"")*12+VALUE($B3096&amp;""))</f>
        <v/>
      </c>
      <c r="N3096" s="39">
        <f>IF($A3096="","",IFERROR(INDEX(부서매핑!$C$5:$C$504,MATCH($G3096&amp;"",부서매핑!$A$5:$A$504,0)),"미매핑"))</f>
        <v/>
      </c>
      <c r="O3096" s="9">
        <f>IF($A3096="","",N3096&amp;"|"&amp;$F3096)</f>
        <v/>
      </c>
      <c r="P3096" s="77">
        <f>IF($A3096="",0,$H3096*설정!$C$23)</f>
        <v/>
      </c>
      <c r="Q3096" s="39">
        <f>IF($A3096="","",IF(O3096&lt;&gt;원인분석!$C$9,"",IF(AND(M3096&gt;=원인분석!$C$10,M3096&lt;=원인분석!$C$11),"당기",IF(AND(M3096&gt;=원인분석!$C$12,M3096&lt;=원인분석!$C$13),"비교",""))))</f>
        <v/>
      </c>
      <c r="R3096" s="9">
        <f>IF(Q3096="","",$K3096&amp;"")</f>
        <v/>
      </c>
      <c r="S3096" s="9">
        <f>IF(Q3096="","",IF(MATCH(R3096,$R$5:$R$100000,0)=ROW()-4,ROW(),""))</f>
        <v/>
      </c>
      <c r="T3096" s="9">
        <f>IF(Q3096="당기",ABS(P3096)+ROW()/1000000000,"")</f>
        <v/>
      </c>
      <c r="U3096" s="9">
        <f>IF(Q3096="비교",ABS(P3096)+ROW()/1000000000,"")</f>
        <v/>
      </c>
      <c r="V3096" s="39">
        <f>IF($A3096="","",IF(COUNTIF(변동분석!$E$7:$E$506,O3096)&gt;0,"Y","N"))</f>
        <v/>
      </c>
      <c r="W3096" s="39">
        <f>IF($A3096="","",IFERROR(INDEX(계정매핑!$D$5:$D$504,MATCH($F3096&amp;"",계정매핑!$A$5:$A$504,0)),"미매핑"))</f>
        <v/>
      </c>
      <c r="X3096" s="9">
        <f>IF($A3096="","",$F3096&amp;"")</f>
        <v/>
      </c>
    </row>
    <row r="3097">
      <c r="A3097" s="75" t="n">
        <v>2026</v>
      </c>
      <c r="B3097" s="75" t="n">
        <v>4</v>
      </c>
      <c r="C3097" s="75" t="inlineStr">
        <is>
          <t>5100000753</t>
        </is>
      </c>
      <c r="D3097" s="78" t="n">
        <v>46135</v>
      </c>
      <c r="E3097" s="75" t="inlineStr">
        <is>
          <t>KR</t>
        </is>
      </c>
      <c r="F3097" s="75" t="n">
        <v>62201000</v>
      </c>
      <c r="G3097" s="75" t="n">
        <v>1301</v>
      </c>
      <c r="H3097" s="76" t="n">
        <v>199000</v>
      </c>
      <c r="I3097" s="75" t="inlineStr">
        <is>
          <t>4월 통신요금 - O텔레콤</t>
        </is>
      </c>
      <c r="J3097" s="75" t="inlineStr">
        <is>
          <t>V10002</t>
        </is>
      </c>
      <c r="K3097" s="75" t="inlineStr">
        <is>
          <t>O텔레콤</t>
        </is>
      </c>
      <c r="M3097" s="9">
        <f>IF($A3097="","",VALUE($A3097&amp;"")*12+VALUE($B3097&amp;""))</f>
        <v/>
      </c>
      <c r="N3097" s="39">
        <f>IF($A3097="","",IFERROR(INDEX(부서매핑!$C$5:$C$504,MATCH($G3097&amp;"",부서매핑!$A$5:$A$504,0)),"미매핑"))</f>
        <v/>
      </c>
      <c r="O3097" s="9">
        <f>IF($A3097="","",N3097&amp;"|"&amp;$F3097)</f>
        <v/>
      </c>
      <c r="P3097" s="77">
        <f>IF($A3097="",0,$H3097*설정!$C$23)</f>
        <v/>
      </c>
      <c r="Q3097" s="39">
        <f>IF($A3097="","",IF(O3097&lt;&gt;원인분석!$C$9,"",IF(AND(M3097&gt;=원인분석!$C$10,M3097&lt;=원인분석!$C$11),"당기",IF(AND(M3097&gt;=원인분석!$C$12,M3097&lt;=원인분석!$C$13),"비교",""))))</f>
        <v/>
      </c>
      <c r="R3097" s="9">
        <f>IF(Q3097="","",$K3097&amp;"")</f>
        <v/>
      </c>
      <c r="S3097" s="9">
        <f>IF(Q3097="","",IF(MATCH(R3097,$R$5:$R$100000,0)=ROW()-4,ROW(),""))</f>
        <v/>
      </c>
      <c r="T3097" s="9">
        <f>IF(Q3097="당기",ABS(P3097)+ROW()/1000000000,"")</f>
        <v/>
      </c>
      <c r="U3097" s="9">
        <f>IF(Q3097="비교",ABS(P3097)+ROW()/1000000000,"")</f>
        <v/>
      </c>
      <c r="V3097" s="39">
        <f>IF($A3097="","",IF(COUNTIF(변동분석!$E$7:$E$506,O3097)&gt;0,"Y","N"))</f>
        <v/>
      </c>
      <c r="W3097" s="39">
        <f>IF($A3097="","",IFERROR(INDEX(계정매핑!$D$5:$D$504,MATCH($F3097&amp;"",계정매핑!$A$5:$A$504,0)),"미매핑"))</f>
        <v/>
      </c>
      <c r="X3097" s="9">
        <f>IF($A3097="","",$F3097&amp;"")</f>
        <v/>
      </c>
    </row>
    <row r="3098">
      <c r="A3098" s="75" t="n">
        <v>2026</v>
      </c>
      <c r="B3098" s="75" t="n">
        <v>4</v>
      </c>
      <c r="C3098" s="75" t="inlineStr">
        <is>
          <t>5100000754</t>
        </is>
      </c>
      <c r="D3098" s="78" t="n">
        <v>46135</v>
      </c>
      <c r="E3098" s="75" t="inlineStr">
        <is>
          <t>KR</t>
        </is>
      </c>
      <c r="F3098" s="75" t="n">
        <v>62301000</v>
      </c>
      <c r="G3098" s="75" t="n">
        <v>1501</v>
      </c>
      <c r="H3098" s="76" t="n">
        <v>190000</v>
      </c>
      <c r="I3098" s="75" t="inlineStr">
        <is>
          <t>4월 소모품 구입 - R문구</t>
        </is>
      </c>
      <c r="J3098" s="75" t="inlineStr">
        <is>
          <t>V10018</t>
        </is>
      </c>
      <c r="K3098" s="75" t="inlineStr">
        <is>
          <t>R문구</t>
        </is>
      </c>
      <c r="M3098" s="9">
        <f>IF($A3098="","",VALUE($A3098&amp;"")*12+VALUE($B3098&amp;""))</f>
        <v/>
      </c>
      <c r="N3098" s="39">
        <f>IF($A3098="","",IFERROR(INDEX(부서매핑!$C$5:$C$504,MATCH($G3098&amp;"",부서매핑!$A$5:$A$504,0)),"미매핑"))</f>
        <v/>
      </c>
      <c r="O3098" s="9">
        <f>IF($A3098="","",N3098&amp;"|"&amp;$F3098)</f>
        <v/>
      </c>
      <c r="P3098" s="77">
        <f>IF($A3098="",0,$H3098*설정!$C$23)</f>
        <v/>
      </c>
      <c r="Q3098" s="39">
        <f>IF($A3098="","",IF(O3098&lt;&gt;원인분석!$C$9,"",IF(AND(M3098&gt;=원인분석!$C$10,M3098&lt;=원인분석!$C$11),"당기",IF(AND(M3098&gt;=원인분석!$C$12,M3098&lt;=원인분석!$C$13),"비교",""))))</f>
        <v/>
      </c>
      <c r="R3098" s="9">
        <f>IF(Q3098="","",$K3098&amp;"")</f>
        <v/>
      </c>
      <c r="S3098" s="9">
        <f>IF(Q3098="","",IF(MATCH(R3098,$R$5:$R$100000,0)=ROW()-4,ROW(),""))</f>
        <v/>
      </c>
      <c r="T3098" s="9">
        <f>IF(Q3098="당기",ABS(P3098)+ROW()/1000000000,"")</f>
        <v/>
      </c>
      <c r="U3098" s="9">
        <f>IF(Q3098="비교",ABS(P3098)+ROW()/1000000000,"")</f>
        <v/>
      </c>
      <c r="V3098" s="39">
        <f>IF($A3098="","",IF(COUNTIF(변동분석!$E$7:$E$506,O3098)&gt;0,"Y","N"))</f>
        <v/>
      </c>
      <c r="W3098" s="39">
        <f>IF($A3098="","",IFERROR(INDEX(계정매핑!$D$5:$D$504,MATCH($F3098&amp;"",계정매핑!$A$5:$A$504,0)),"미매핑"))</f>
        <v/>
      </c>
      <c r="X3098" s="9">
        <f>IF($A3098="","",$F3098&amp;"")</f>
        <v/>
      </c>
    </row>
    <row r="3099">
      <c r="A3099" s="75" t="n">
        <v>2026</v>
      </c>
      <c r="B3099" s="75" t="n">
        <v>4</v>
      </c>
      <c r="C3099" s="75" t="inlineStr">
        <is>
          <t>5100000755</t>
        </is>
      </c>
      <c r="D3099" s="78" t="n">
        <v>46135</v>
      </c>
      <c r="E3099" s="75" t="inlineStr">
        <is>
          <t>KR</t>
        </is>
      </c>
      <c r="F3099" s="75" t="n">
        <v>62401000</v>
      </c>
      <c r="G3099" s="75" t="n">
        <v>1801</v>
      </c>
      <c r="H3099" s="76" t="n">
        <v>2155000</v>
      </c>
      <c r="I3099" s="75" t="inlineStr">
        <is>
          <t>4월 인쇄물 제작 - G인쇄</t>
        </is>
      </c>
      <c r="J3099" s="75" t="inlineStr">
        <is>
          <t>V10004</t>
        </is>
      </c>
      <c r="K3099" s="75" t="inlineStr">
        <is>
          <t>G인쇄</t>
        </is>
      </c>
      <c r="M3099" s="9">
        <f>IF($A3099="","",VALUE($A3099&amp;"")*12+VALUE($B3099&amp;""))</f>
        <v/>
      </c>
      <c r="N3099" s="39">
        <f>IF($A3099="","",IFERROR(INDEX(부서매핑!$C$5:$C$504,MATCH($G3099&amp;"",부서매핑!$A$5:$A$504,0)),"미매핑"))</f>
        <v/>
      </c>
      <c r="O3099" s="9">
        <f>IF($A3099="","",N3099&amp;"|"&amp;$F3099)</f>
        <v/>
      </c>
      <c r="P3099" s="77">
        <f>IF($A3099="",0,$H3099*설정!$C$23)</f>
        <v/>
      </c>
      <c r="Q3099" s="39">
        <f>IF($A3099="","",IF(O3099&lt;&gt;원인분석!$C$9,"",IF(AND(M3099&gt;=원인분석!$C$10,M3099&lt;=원인분석!$C$11),"당기",IF(AND(M3099&gt;=원인분석!$C$12,M3099&lt;=원인분석!$C$13),"비교",""))))</f>
        <v/>
      </c>
      <c r="R3099" s="9">
        <f>IF(Q3099="","",$K3099&amp;"")</f>
        <v/>
      </c>
      <c r="S3099" s="9">
        <f>IF(Q3099="","",IF(MATCH(R3099,$R$5:$R$100000,0)=ROW()-4,ROW(),""))</f>
        <v/>
      </c>
      <c r="T3099" s="9">
        <f>IF(Q3099="당기",ABS(P3099)+ROW()/1000000000,"")</f>
        <v/>
      </c>
      <c r="U3099" s="9">
        <f>IF(Q3099="비교",ABS(P3099)+ROW()/1000000000,"")</f>
        <v/>
      </c>
      <c r="V3099" s="39">
        <f>IF($A3099="","",IF(COUNTIF(변동분석!$E$7:$E$506,O3099)&gt;0,"Y","N"))</f>
        <v/>
      </c>
      <c r="W3099" s="39">
        <f>IF($A3099="","",IFERROR(INDEX(계정매핑!$D$5:$D$504,MATCH($F3099&amp;"",계정매핑!$A$5:$A$504,0)),"미매핑"))</f>
        <v/>
      </c>
      <c r="X3099" s="9">
        <f>IF($A3099="","",$F3099&amp;"")</f>
        <v/>
      </c>
    </row>
    <row r="3100">
      <c r="A3100" s="75" t="n">
        <v>2026</v>
      </c>
      <c r="B3100" s="75" t="n">
        <v>4</v>
      </c>
      <c r="C3100" s="75" t="inlineStr">
        <is>
          <t>5100000756</t>
        </is>
      </c>
      <c r="D3100" s="78" t="n">
        <v>46135</v>
      </c>
      <c r="E3100" s="75" t="inlineStr">
        <is>
          <t>KR</t>
        </is>
      </c>
      <c r="F3100" s="75" t="n">
        <v>62501000</v>
      </c>
      <c r="G3100" s="75" t="n">
        <v>1701</v>
      </c>
      <c r="H3100" s="76" t="n">
        <v>141000</v>
      </c>
      <c r="I3100" s="75" t="inlineStr">
        <is>
          <t>4월 회의 다과 - T케이터링</t>
        </is>
      </c>
      <c r="J3100" s="75" t="inlineStr">
        <is>
          <t>V10005</t>
        </is>
      </c>
      <c r="K3100" s="75" t="inlineStr">
        <is>
          <t>T케이터링</t>
        </is>
      </c>
      <c r="M3100" s="9">
        <f>IF($A3100="","",VALUE($A3100&amp;"")*12+VALUE($B3100&amp;""))</f>
        <v/>
      </c>
      <c r="N3100" s="39">
        <f>IF($A3100="","",IFERROR(INDEX(부서매핑!$C$5:$C$504,MATCH($G3100&amp;"",부서매핑!$A$5:$A$504,0)),"미매핑"))</f>
        <v/>
      </c>
      <c r="O3100" s="9">
        <f>IF($A3100="","",N3100&amp;"|"&amp;$F3100)</f>
        <v/>
      </c>
      <c r="P3100" s="77">
        <f>IF($A3100="",0,$H3100*설정!$C$23)</f>
        <v/>
      </c>
      <c r="Q3100" s="39">
        <f>IF($A3100="","",IF(O3100&lt;&gt;원인분석!$C$9,"",IF(AND(M3100&gt;=원인분석!$C$10,M3100&lt;=원인분석!$C$11),"당기",IF(AND(M3100&gt;=원인분석!$C$12,M3100&lt;=원인분석!$C$13),"비교",""))))</f>
        <v/>
      </c>
      <c r="R3100" s="9">
        <f>IF(Q3100="","",$K3100&amp;"")</f>
        <v/>
      </c>
      <c r="S3100" s="9">
        <f>IF(Q3100="","",IF(MATCH(R3100,$R$5:$R$100000,0)=ROW()-4,ROW(),""))</f>
        <v/>
      </c>
      <c r="T3100" s="9">
        <f>IF(Q3100="당기",ABS(P3100)+ROW()/1000000000,"")</f>
        <v/>
      </c>
      <c r="U3100" s="9">
        <f>IF(Q3100="비교",ABS(P3100)+ROW()/1000000000,"")</f>
        <v/>
      </c>
      <c r="V3100" s="39">
        <f>IF($A3100="","",IF(COUNTIF(변동분석!$E$7:$E$506,O3100)&gt;0,"Y","N"))</f>
        <v/>
      </c>
      <c r="W3100" s="39">
        <f>IF($A3100="","",IFERROR(INDEX(계정매핑!$D$5:$D$504,MATCH($F3100&amp;"",계정매핑!$A$5:$A$504,0)),"미매핑"))</f>
        <v/>
      </c>
      <c r="X3100" s="9">
        <f>IF($A3100="","",$F3100&amp;"")</f>
        <v/>
      </c>
    </row>
    <row r="3101">
      <c r="A3101" s="75" t="n">
        <v>2026</v>
      </c>
      <c r="B3101" s="75" t="n">
        <v>4</v>
      </c>
      <c r="C3101" s="75" t="inlineStr">
        <is>
          <t>5100000757</t>
        </is>
      </c>
      <c r="D3101" s="78" t="n">
        <v>46135</v>
      </c>
      <c r="E3101" s="75" t="inlineStr">
        <is>
          <t>KR</t>
        </is>
      </c>
      <c r="F3101" s="75" t="n">
        <v>62901000</v>
      </c>
      <c r="G3101" s="75" t="n">
        <v>1201</v>
      </c>
      <c r="H3101" s="76" t="n">
        <v>4479000</v>
      </c>
      <c r="I3101" s="75" t="inlineStr">
        <is>
          <t>4월 자문 수수료 - K회계법인</t>
        </is>
      </c>
      <c r="J3101" s="75" t="inlineStr">
        <is>
          <t>V10010</t>
        </is>
      </c>
      <c r="K3101" s="75" t="inlineStr">
        <is>
          <t>K회계법인</t>
        </is>
      </c>
      <c r="M3101" s="9">
        <f>IF($A3101="","",VALUE($A3101&amp;"")*12+VALUE($B3101&amp;""))</f>
        <v/>
      </c>
      <c r="N3101" s="39">
        <f>IF($A3101="","",IFERROR(INDEX(부서매핑!$C$5:$C$504,MATCH($G3101&amp;"",부서매핑!$A$5:$A$504,0)),"미매핑"))</f>
        <v/>
      </c>
      <c r="O3101" s="9">
        <f>IF($A3101="","",N3101&amp;"|"&amp;$F3101)</f>
        <v/>
      </c>
      <c r="P3101" s="77">
        <f>IF($A3101="",0,$H3101*설정!$C$23)</f>
        <v/>
      </c>
      <c r="Q3101" s="39">
        <f>IF($A3101="","",IF(O3101&lt;&gt;원인분석!$C$9,"",IF(AND(M3101&gt;=원인분석!$C$10,M3101&lt;=원인분석!$C$11),"당기",IF(AND(M3101&gt;=원인분석!$C$12,M3101&lt;=원인분석!$C$13),"비교",""))))</f>
        <v/>
      </c>
      <c r="R3101" s="9">
        <f>IF(Q3101="","",$K3101&amp;"")</f>
        <v/>
      </c>
      <c r="S3101" s="9">
        <f>IF(Q3101="","",IF(MATCH(R3101,$R$5:$R$100000,0)=ROW()-4,ROW(),""))</f>
        <v/>
      </c>
      <c r="T3101" s="9">
        <f>IF(Q3101="당기",ABS(P3101)+ROW()/1000000000,"")</f>
        <v/>
      </c>
      <c r="U3101" s="9">
        <f>IF(Q3101="비교",ABS(P3101)+ROW()/1000000000,"")</f>
        <v/>
      </c>
      <c r="V3101" s="39">
        <f>IF($A3101="","",IF(COUNTIF(변동분석!$E$7:$E$506,O3101)&gt;0,"Y","N"))</f>
        <v/>
      </c>
      <c r="W3101" s="39">
        <f>IF($A3101="","",IFERROR(INDEX(계정매핑!$D$5:$D$504,MATCH($F3101&amp;"",계정매핑!$A$5:$A$504,0)),"미매핑"))</f>
        <v/>
      </c>
      <c r="X3101" s="9">
        <f>IF($A3101="","",$F3101&amp;"")</f>
        <v/>
      </c>
    </row>
    <row r="3102">
      <c r="A3102" s="75" t="n">
        <v>2026</v>
      </c>
      <c r="B3102" s="75" t="n">
        <v>4</v>
      </c>
      <c r="C3102" s="75" t="inlineStr">
        <is>
          <t>5100000758</t>
        </is>
      </c>
      <c r="D3102" s="78" t="n">
        <v>46136</v>
      </c>
      <c r="E3102" s="75" t="inlineStr">
        <is>
          <t>KR</t>
        </is>
      </c>
      <c r="F3102" s="75" t="n">
        <v>62201000</v>
      </c>
      <c r="G3102" s="75" t="n">
        <v>1201</v>
      </c>
      <c r="H3102" s="76" t="n">
        <v>202000</v>
      </c>
      <c r="I3102" s="75" t="inlineStr">
        <is>
          <t>4월 통신요금 - P통신</t>
        </is>
      </c>
      <c r="J3102" s="75" t="inlineStr">
        <is>
          <t>V10011</t>
        </is>
      </c>
      <c r="K3102" s="75" t="inlineStr">
        <is>
          <t>P통신</t>
        </is>
      </c>
      <c r="M3102" s="9">
        <f>IF($A3102="","",VALUE($A3102&amp;"")*12+VALUE($B3102&amp;""))</f>
        <v/>
      </c>
      <c r="N3102" s="39">
        <f>IF($A3102="","",IFERROR(INDEX(부서매핑!$C$5:$C$504,MATCH($G3102&amp;"",부서매핑!$A$5:$A$504,0)),"미매핑"))</f>
        <v/>
      </c>
      <c r="O3102" s="9">
        <f>IF($A3102="","",N3102&amp;"|"&amp;$F3102)</f>
        <v/>
      </c>
      <c r="P3102" s="77">
        <f>IF($A3102="",0,$H3102*설정!$C$23)</f>
        <v/>
      </c>
      <c r="Q3102" s="39">
        <f>IF($A3102="","",IF(O3102&lt;&gt;원인분석!$C$9,"",IF(AND(M3102&gt;=원인분석!$C$10,M3102&lt;=원인분석!$C$11),"당기",IF(AND(M3102&gt;=원인분석!$C$12,M3102&lt;=원인분석!$C$13),"비교",""))))</f>
        <v/>
      </c>
      <c r="R3102" s="9">
        <f>IF(Q3102="","",$K3102&amp;"")</f>
        <v/>
      </c>
      <c r="S3102" s="9">
        <f>IF(Q3102="","",IF(MATCH(R3102,$R$5:$R$100000,0)=ROW()-4,ROW(),""))</f>
        <v/>
      </c>
      <c r="T3102" s="9">
        <f>IF(Q3102="당기",ABS(P3102)+ROW()/1000000000,"")</f>
        <v/>
      </c>
      <c r="U3102" s="9">
        <f>IF(Q3102="비교",ABS(P3102)+ROW()/1000000000,"")</f>
        <v/>
      </c>
      <c r="V3102" s="39">
        <f>IF($A3102="","",IF(COUNTIF(변동분석!$E$7:$E$506,O3102)&gt;0,"Y","N"))</f>
        <v/>
      </c>
      <c r="W3102" s="39">
        <f>IF($A3102="","",IFERROR(INDEX(계정매핑!$D$5:$D$504,MATCH($F3102&amp;"",계정매핑!$A$5:$A$504,0)),"미매핑"))</f>
        <v/>
      </c>
      <c r="X3102" s="9">
        <f>IF($A3102="","",$F3102&amp;"")</f>
        <v/>
      </c>
    </row>
    <row r="3103">
      <c r="A3103" s="75" t="n">
        <v>2026</v>
      </c>
      <c r="B3103" s="75" t="n">
        <v>4</v>
      </c>
      <c r="C3103" s="75" t="inlineStr">
        <is>
          <t>5100000759</t>
        </is>
      </c>
      <c r="D3103" s="78" t="n">
        <v>46136</v>
      </c>
      <c r="E3103" s="75" t="inlineStr">
        <is>
          <t>KR</t>
        </is>
      </c>
      <c r="F3103" s="75" t="n">
        <v>62201000</v>
      </c>
      <c r="G3103" s="75" t="n">
        <v>1301</v>
      </c>
      <c r="H3103" s="76" t="n">
        <v>143000</v>
      </c>
      <c r="I3103" s="75" t="inlineStr">
        <is>
          <t>4월 통신요금 - P통신</t>
        </is>
      </c>
      <c r="J3103" s="75" t="inlineStr">
        <is>
          <t>V10011</t>
        </is>
      </c>
      <c r="K3103" s="75" t="inlineStr">
        <is>
          <t>P통신</t>
        </is>
      </c>
      <c r="M3103" s="9">
        <f>IF($A3103="","",VALUE($A3103&amp;"")*12+VALUE($B3103&amp;""))</f>
        <v/>
      </c>
      <c r="N3103" s="39">
        <f>IF($A3103="","",IFERROR(INDEX(부서매핑!$C$5:$C$504,MATCH($G3103&amp;"",부서매핑!$A$5:$A$504,0)),"미매핑"))</f>
        <v/>
      </c>
      <c r="O3103" s="9">
        <f>IF($A3103="","",N3103&amp;"|"&amp;$F3103)</f>
        <v/>
      </c>
      <c r="P3103" s="77">
        <f>IF($A3103="",0,$H3103*설정!$C$23)</f>
        <v/>
      </c>
      <c r="Q3103" s="39">
        <f>IF($A3103="","",IF(O3103&lt;&gt;원인분석!$C$9,"",IF(AND(M3103&gt;=원인분석!$C$10,M3103&lt;=원인분석!$C$11),"당기",IF(AND(M3103&gt;=원인분석!$C$12,M3103&lt;=원인분석!$C$13),"비교",""))))</f>
        <v/>
      </c>
      <c r="R3103" s="9">
        <f>IF(Q3103="","",$K3103&amp;"")</f>
        <v/>
      </c>
      <c r="S3103" s="9">
        <f>IF(Q3103="","",IF(MATCH(R3103,$R$5:$R$100000,0)=ROW()-4,ROW(),""))</f>
        <v/>
      </c>
      <c r="T3103" s="9">
        <f>IF(Q3103="당기",ABS(P3103)+ROW()/1000000000,"")</f>
        <v/>
      </c>
      <c r="U3103" s="9">
        <f>IF(Q3103="비교",ABS(P3103)+ROW()/1000000000,"")</f>
        <v/>
      </c>
      <c r="V3103" s="39">
        <f>IF($A3103="","",IF(COUNTIF(변동분석!$E$7:$E$506,O3103)&gt;0,"Y","N"))</f>
        <v/>
      </c>
      <c r="W3103" s="39">
        <f>IF($A3103="","",IFERROR(INDEX(계정매핑!$D$5:$D$504,MATCH($F3103&amp;"",계정매핑!$A$5:$A$504,0)),"미매핑"))</f>
        <v/>
      </c>
      <c r="X3103" s="9">
        <f>IF($A3103="","",$F3103&amp;"")</f>
        <v/>
      </c>
    </row>
    <row r="3104">
      <c r="A3104" s="75" t="n">
        <v>2026</v>
      </c>
      <c r="B3104" s="75" t="n">
        <v>4</v>
      </c>
      <c r="C3104" s="75" t="inlineStr">
        <is>
          <t>5100000760</t>
        </is>
      </c>
      <c r="D3104" s="78" t="n">
        <v>46136</v>
      </c>
      <c r="E3104" s="75" t="inlineStr">
        <is>
          <t>KR</t>
        </is>
      </c>
      <c r="F3104" s="75" t="n">
        <v>62301000</v>
      </c>
      <c r="G3104" s="75" t="n">
        <v>1101</v>
      </c>
      <c r="H3104" s="76" t="n">
        <v>120000</v>
      </c>
      <c r="I3104" s="75" t="inlineStr">
        <is>
          <t>4월 소모품 구입 - R문구</t>
        </is>
      </c>
      <c r="J3104" s="75" t="inlineStr">
        <is>
          <t>V10018</t>
        </is>
      </c>
      <c r="K3104" s="75" t="inlineStr">
        <is>
          <t>R문구</t>
        </is>
      </c>
      <c r="M3104" s="9">
        <f>IF($A3104="","",VALUE($A3104&amp;"")*12+VALUE($B3104&amp;""))</f>
        <v/>
      </c>
      <c r="N3104" s="39">
        <f>IF($A3104="","",IFERROR(INDEX(부서매핑!$C$5:$C$504,MATCH($G3104&amp;"",부서매핑!$A$5:$A$504,0)),"미매핑"))</f>
        <v/>
      </c>
      <c r="O3104" s="9">
        <f>IF($A3104="","",N3104&amp;"|"&amp;$F3104)</f>
        <v/>
      </c>
      <c r="P3104" s="77">
        <f>IF($A3104="",0,$H3104*설정!$C$23)</f>
        <v/>
      </c>
      <c r="Q3104" s="39">
        <f>IF($A3104="","",IF(O3104&lt;&gt;원인분석!$C$9,"",IF(AND(M3104&gt;=원인분석!$C$10,M3104&lt;=원인분석!$C$11),"당기",IF(AND(M3104&gt;=원인분석!$C$12,M3104&lt;=원인분석!$C$13),"비교",""))))</f>
        <v/>
      </c>
      <c r="R3104" s="9">
        <f>IF(Q3104="","",$K3104&amp;"")</f>
        <v/>
      </c>
      <c r="S3104" s="9">
        <f>IF(Q3104="","",IF(MATCH(R3104,$R$5:$R$100000,0)=ROW()-4,ROW(),""))</f>
        <v/>
      </c>
      <c r="T3104" s="9">
        <f>IF(Q3104="당기",ABS(P3104)+ROW()/1000000000,"")</f>
        <v/>
      </c>
      <c r="U3104" s="9">
        <f>IF(Q3104="비교",ABS(P3104)+ROW()/1000000000,"")</f>
        <v/>
      </c>
      <c r="V3104" s="39">
        <f>IF($A3104="","",IF(COUNTIF(변동분석!$E$7:$E$506,O3104)&gt;0,"Y","N"))</f>
        <v/>
      </c>
      <c r="W3104" s="39">
        <f>IF($A3104="","",IFERROR(INDEX(계정매핑!$D$5:$D$504,MATCH($F3104&amp;"",계정매핑!$A$5:$A$504,0)),"미매핑"))</f>
        <v/>
      </c>
      <c r="X3104" s="9">
        <f>IF($A3104="","",$F3104&amp;"")</f>
        <v/>
      </c>
    </row>
    <row r="3105">
      <c r="A3105" s="75" t="n">
        <v>2026</v>
      </c>
      <c r="B3105" s="75" t="n">
        <v>4</v>
      </c>
      <c r="C3105" s="75" t="inlineStr">
        <is>
          <t>5100000761</t>
        </is>
      </c>
      <c r="D3105" s="78" t="n">
        <v>46136</v>
      </c>
      <c r="E3105" s="75" t="inlineStr">
        <is>
          <t>KR</t>
        </is>
      </c>
      <c r="F3105" s="75" t="n">
        <v>62501000</v>
      </c>
      <c r="G3105" s="75" t="n">
        <v>1101</v>
      </c>
      <c r="H3105" s="76" t="n">
        <v>296000</v>
      </c>
      <c r="I3105" s="75" t="inlineStr">
        <is>
          <t>4월 회의 다과 - (법인카드)</t>
        </is>
      </c>
      <c r="J3105" s="75" t="inlineStr">
        <is>
          <t>V10008</t>
        </is>
      </c>
      <c r="K3105" s="75" t="inlineStr">
        <is>
          <t>(법인카드)</t>
        </is>
      </c>
      <c r="M3105" s="9">
        <f>IF($A3105="","",VALUE($A3105&amp;"")*12+VALUE($B3105&amp;""))</f>
        <v/>
      </c>
      <c r="N3105" s="39">
        <f>IF($A3105="","",IFERROR(INDEX(부서매핑!$C$5:$C$504,MATCH($G3105&amp;"",부서매핑!$A$5:$A$504,0)),"미매핑"))</f>
        <v/>
      </c>
      <c r="O3105" s="9">
        <f>IF($A3105="","",N3105&amp;"|"&amp;$F3105)</f>
        <v/>
      </c>
      <c r="P3105" s="77">
        <f>IF($A3105="",0,$H3105*설정!$C$23)</f>
        <v/>
      </c>
      <c r="Q3105" s="39">
        <f>IF($A3105="","",IF(O3105&lt;&gt;원인분석!$C$9,"",IF(AND(M3105&gt;=원인분석!$C$10,M3105&lt;=원인분석!$C$11),"당기",IF(AND(M3105&gt;=원인분석!$C$12,M3105&lt;=원인분석!$C$13),"비교",""))))</f>
        <v/>
      </c>
      <c r="R3105" s="9">
        <f>IF(Q3105="","",$K3105&amp;"")</f>
        <v/>
      </c>
      <c r="S3105" s="9">
        <f>IF(Q3105="","",IF(MATCH(R3105,$R$5:$R$100000,0)=ROW()-4,ROW(),""))</f>
        <v/>
      </c>
      <c r="T3105" s="9">
        <f>IF(Q3105="당기",ABS(P3105)+ROW()/1000000000,"")</f>
        <v/>
      </c>
      <c r="U3105" s="9">
        <f>IF(Q3105="비교",ABS(P3105)+ROW()/1000000000,"")</f>
        <v/>
      </c>
      <c r="V3105" s="39">
        <f>IF($A3105="","",IF(COUNTIF(변동분석!$E$7:$E$506,O3105)&gt;0,"Y","N"))</f>
        <v/>
      </c>
      <c r="W3105" s="39">
        <f>IF($A3105="","",IFERROR(INDEX(계정매핑!$D$5:$D$504,MATCH($F3105&amp;"",계정매핑!$A$5:$A$504,0)),"미매핑"))</f>
        <v/>
      </c>
      <c r="X3105" s="9">
        <f>IF($A3105="","",$F3105&amp;"")</f>
        <v/>
      </c>
    </row>
    <row r="3106">
      <c r="A3106" s="75" t="n">
        <v>2026</v>
      </c>
      <c r="B3106" s="75" t="n">
        <v>4</v>
      </c>
      <c r="C3106" s="75" t="inlineStr">
        <is>
          <t>5100000762</t>
        </is>
      </c>
      <c r="D3106" s="78" t="n">
        <v>46136</v>
      </c>
      <c r="E3106" s="75" t="inlineStr">
        <is>
          <t>KR</t>
        </is>
      </c>
      <c r="F3106" s="75" t="n">
        <v>62501000</v>
      </c>
      <c r="G3106" s="75" t="n">
        <v>1401</v>
      </c>
      <c r="H3106" s="76" t="n">
        <v>100000</v>
      </c>
      <c r="I3106" s="75" t="inlineStr">
        <is>
          <t>4월 회의 다과 - (법인카드)</t>
        </is>
      </c>
      <c r="J3106" s="75" t="inlineStr">
        <is>
          <t>V10008</t>
        </is>
      </c>
      <c r="K3106" s="75" t="inlineStr">
        <is>
          <t>(법인카드)</t>
        </is>
      </c>
      <c r="M3106" s="9">
        <f>IF($A3106="","",VALUE($A3106&amp;"")*12+VALUE($B3106&amp;""))</f>
        <v/>
      </c>
      <c r="N3106" s="39">
        <f>IF($A3106="","",IFERROR(INDEX(부서매핑!$C$5:$C$504,MATCH($G3106&amp;"",부서매핑!$A$5:$A$504,0)),"미매핑"))</f>
        <v/>
      </c>
      <c r="O3106" s="9">
        <f>IF($A3106="","",N3106&amp;"|"&amp;$F3106)</f>
        <v/>
      </c>
      <c r="P3106" s="77">
        <f>IF($A3106="",0,$H3106*설정!$C$23)</f>
        <v/>
      </c>
      <c r="Q3106" s="39">
        <f>IF($A3106="","",IF(O3106&lt;&gt;원인분석!$C$9,"",IF(AND(M3106&gt;=원인분석!$C$10,M3106&lt;=원인분석!$C$11),"당기",IF(AND(M3106&gt;=원인분석!$C$12,M3106&lt;=원인분석!$C$13),"비교",""))))</f>
        <v/>
      </c>
      <c r="R3106" s="9">
        <f>IF(Q3106="","",$K3106&amp;"")</f>
        <v/>
      </c>
      <c r="S3106" s="9">
        <f>IF(Q3106="","",IF(MATCH(R3106,$R$5:$R$100000,0)=ROW()-4,ROW(),""))</f>
        <v/>
      </c>
      <c r="T3106" s="9">
        <f>IF(Q3106="당기",ABS(P3106)+ROW()/1000000000,"")</f>
        <v/>
      </c>
      <c r="U3106" s="9">
        <f>IF(Q3106="비교",ABS(P3106)+ROW()/1000000000,"")</f>
        <v/>
      </c>
      <c r="V3106" s="39">
        <f>IF($A3106="","",IF(COUNTIF(변동분석!$E$7:$E$506,O3106)&gt;0,"Y","N"))</f>
        <v/>
      </c>
      <c r="W3106" s="39">
        <f>IF($A3106="","",IFERROR(INDEX(계정매핑!$D$5:$D$504,MATCH($F3106&amp;"",계정매핑!$A$5:$A$504,0)),"미매핑"))</f>
        <v/>
      </c>
      <c r="X3106" s="9">
        <f>IF($A3106="","",$F3106&amp;"")</f>
        <v/>
      </c>
    </row>
    <row r="3107">
      <c r="A3107" s="75" t="n">
        <v>2026</v>
      </c>
      <c r="B3107" s="75" t="n">
        <v>4</v>
      </c>
      <c r="C3107" s="75" t="inlineStr">
        <is>
          <t>5100000763</t>
        </is>
      </c>
      <c r="D3107" s="78" t="n">
        <v>46136</v>
      </c>
      <c r="E3107" s="75" t="inlineStr">
        <is>
          <t>KR</t>
        </is>
      </c>
      <c r="F3107" s="75" t="n">
        <v>62601000</v>
      </c>
      <c r="G3107" s="75" t="n">
        <v>1101</v>
      </c>
      <c r="H3107" s="76" t="n">
        <v>1584000</v>
      </c>
      <c r="I3107" s="75" t="inlineStr">
        <is>
          <t>4월 업무추진 - (법인카드)</t>
        </is>
      </c>
      <c r="J3107" s="75" t="inlineStr">
        <is>
          <t>V10008</t>
        </is>
      </c>
      <c r="K3107" s="75" t="inlineStr">
        <is>
          <t>(법인카드)</t>
        </is>
      </c>
      <c r="M3107" s="9">
        <f>IF($A3107="","",VALUE($A3107&amp;"")*12+VALUE($B3107&amp;""))</f>
        <v/>
      </c>
      <c r="N3107" s="39">
        <f>IF($A3107="","",IFERROR(INDEX(부서매핑!$C$5:$C$504,MATCH($G3107&amp;"",부서매핑!$A$5:$A$504,0)),"미매핑"))</f>
        <v/>
      </c>
      <c r="O3107" s="9">
        <f>IF($A3107="","",N3107&amp;"|"&amp;$F3107)</f>
        <v/>
      </c>
      <c r="P3107" s="77">
        <f>IF($A3107="",0,$H3107*설정!$C$23)</f>
        <v/>
      </c>
      <c r="Q3107" s="39">
        <f>IF($A3107="","",IF(O3107&lt;&gt;원인분석!$C$9,"",IF(AND(M3107&gt;=원인분석!$C$10,M3107&lt;=원인분석!$C$11),"당기",IF(AND(M3107&gt;=원인분석!$C$12,M3107&lt;=원인분석!$C$13),"비교",""))))</f>
        <v/>
      </c>
      <c r="R3107" s="9">
        <f>IF(Q3107="","",$K3107&amp;"")</f>
        <v/>
      </c>
      <c r="S3107" s="9">
        <f>IF(Q3107="","",IF(MATCH(R3107,$R$5:$R$100000,0)=ROW()-4,ROW(),""))</f>
        <v/>
      </c>
      <c r="T3107" s="9">
        <f>IF(Q3107="당기",ABS(P3107)+ROW()/1000000000,"")</f>
        <v/>
      </c>
      <c r="U3107" s="9">
        <f>IF(Q3107="비교",ABS(P3107)+ROW()/1000000000,"")</f>
        <v/>
      </c>
      <c r="V3107" s="39">
        <f>IF($A3107="","",IF(COUNTIF(변동분석!$E$7:$E$506,O3107)&gt;0,"Y","N"))</f>
        <v/>
      </c>
      <c r="W3107" s="39">
        <f>IF($A3107="","",IFERROR(INDEX(계정매핑!$D$5:$D$504,MATCH($F3107&amp;"",계정매핑!$A$5:$A$504,0)),"미매핑"))</f>
        <v/>
      </c>
      <c r="X3107" s="9">
        <f>IF($A3107="","",$F3107&amp;"")</f>
        <v/>
      </c>
    </row>
    <row r="3108">
      <c r="A3108" s="75" t="n">
        <v>2026</v>
      </c>
      <c r="B3108" s="75" t="n">
        <v>4</v>
      </c>
      <c r="C3108" s="75" t="inlineStr">
        <is>
          <t>5100000764</t>
        </is>
      </c>
      <c r="D3108" s="78" t="n">
        <v>46136</v>
      </c>
      <c r="E3108" s="75" t="inlineStr">
        <is>
          <t>KR</t>
        </is>
      </c>
      <c r="F3108" s="75" t="n">
        <v>62601000</v>
      </c>
      <c r="G3108" s="75" t="n">
        <v>1101</v>
      </c>
      <c r="H3108" s="76" t="n">
        <v>1677000</v>
      </c>
      <c r="I3108" s="75" t="inlineStr">
        <is>
          <t>4월 업무추진 - (법인카드)</t>
        </is>
      </c>
      <c r="J3108" s="75" t="inlineStr">
        <is>
          <t>V10008</t>
        </is>
      </c>
      <c r="K3108" s="75" t="inlineStr">
        <is>
          <t>(법인카드)</t>
        </is>
      </c>
      <c r="M3108" s="9">
        <f>IF($A3108="","",VALUE($A3108&amp;"")*12+VALUE($B3108&amp;""))</f>
        <v/>
      </c>
      <c r="N3108" s="39">
        <f>IF($A3108="","",IFERROR(INDEX(부서매핑!$C$5:$C$504,MATCH($G3108&amp;"",부서매핑!$A$5:$A$504,0)),"미매핑"))</f>
        <v/>
      </c>
      <c r="O3108" s="9">
        <f>IF($A3108="","",N3108&amp;"|"&amp;$F3108)</f>
        <v/>
      </c>
      <c r="P3108" s="77">
        <f>IF($A3108="",0,$H3108*설정!$C$23)</f>
        <v/>
      </c>
      <c r="Q3108" s="39">
        <f>IF($A3108="","",IF(O3108&lt;&gt;원인분석!$C$9,"",IF(AND(M3108&gt;=원인분석!$C$10,M3108&lt;=원인분석!$C$11),"당기",IF(AND(M3108&gt;=원인분석!$C$12,M3108&lt;=원인분석!$C$13),"비교",""))))</f>
        <v/>
      </c>
      <c r="R3108" s="9">
        <f>IF(Q3108="","",$K3108&amp;"")</f>
        <v/>
      </c>
      <c r="S3108" s="9">
        <f>IF(Q3108="","",IF(MATCH(R3108,$R$5:$R$100000,0)=ROW()-4,ROW(),""))</f>
        <v/>
      </c>
      <c r="T3108" s="9">
        <f>IF(Q3108="당기",ABS(P3108)+ROW()/1000000000,"")</f>
        <v/>
      </c>
      <c r="U3108" s="9">
        <f>IF(Q3108="비교",ABS(P3108)+ROW()/1000000000,"")</f>
        <v/>
      </c>
      <c r="V3108" s="39">
        <f>IF($A3108="","",IF(COUNTIF(변동분석!$E$7:$E$506,O3108)&gt;0,"Y","N"))</f>
        <v/>
      </c>
      <c r="W3108" s="39">
        <f>IF($A3108="","",IFERROR(INDEX(계정매핑!$D$5:$D$504,MATCH($F3108&amp;"",계정매핑!$A$5:$A$504,0)),"미매핑"))</f>
        <v/>
      </c>
      <c r="X3108" s="9">
        <f>IF($A3108="","",$F3108&amp;"")</f>
        <v/>
      </c>
    </row>
    <row r="3109">
      <c r="A3109" s="75" t="n">
        <v>2026</v>
      </c>
      <c r="B3109" s="75" t="n">
        <v>4</v>
      </c>
      <c r="C3109" s="75" t="inlineStr">
        <is>
          <t>5100000765</t>
        </is>
      </c>
      <c r="D3109" s="78" t="n">
        <v>46137</v>
      </c>
      <c r="E3109" s="75" t="inlineStr">
        <is>
          <t>KR</t>
        </is>
      </c>
      <c r="F3109" s="75" t="n">
        <v>62101000</v>
      </c>
      <c r="G3109" s="75" t="n">
        <v>1801</v>
      </c>
      <c r="H3109" s="76" t="n">
        <v>175000</v>
      </c>
      <c r="I3109" s="75" t="inlineStr">
        <is>
          <t>4월 국내출장 - (법인카드)</t>
        </is>
      </c>
      <c r="J3109" s="75" t="inlineStr">
        <is>
          <t>V10008</t>
        </is>
      </c>
      <c r="K3109" s="75" t="inlineStr">
        <is>
          <t>(법인카드)</t>
        </is>
      </c>
      <c r="M3109" s="9">
        <f>IF($A3109="","",VALUE($A3109&amp;"")*12+VALUE($B3109&amp;""))</f>
        <v/>
      </c>
      <c r="N3109" s="39">
        <f>IF($A3109="","",IFERROR(INDEX(부서매핑!$C$5:$C$504,MATCH($G3109&amp;"",부서매핑!$A$5:$A$504,0)),"미매핑"))</f>
        <v/>
      </c>
      <c r="O3109" s="9">
        <f>IF($A3109="","",N3109&amp;"|"&amp;$F3109)</f>
        <v/>
      </c>
      <c r="P3109" s="77">
        <f>IF($A3109="",0,$H3109*설정!$C$23)</f>
        <v/>
      </c>
      <c r="Q3109" s="39">
        <f>IF($A3109="","",IF(O3109&lt;&gt;원인분석!$C$9,"",IF(AND(M3109&gt;=원인분석!$C$10,M3109&lt;=원인분석!$C$11),"당기",IF(AND(M3109&gt;=원인분석!$C$12,M3109&lt;=원인분석!$C$13),"비교",""))))</f>
        <v/>
      </c>
      <c r="R3109" s="9">
        <f>IF(Q3109="","",$K3109&amp;"")</f>
        <v/>
      </c>
      <c r="S3109" s="9">
        <f>IF(Q3109="","",IF(MATCH(R3109,$R$5:$R$100000,0)=ROW()-4,ROW(),""))</f>
        <v/>
      </c>
      <c r="T3109" s="9">
        <f>IF(Q3109="당기",ABS(P3109)+ROW()/1000000000,"")</f>
        <v/>
      </c>
      <c r="U3109" s="9">
        <f>IF(Q3109="비교",ABS(P3109)+ROW()/1000000000,"")</f>
        <v/>
      </c>
      <c r="V3109" s="39">
        <f>IF($A3109="","",IF(COUNTIF(변동분석!$E$7:$E$506,O3109)&gt;0,"Y","N"))</f>
        <v/>
      </c>
      <c r="W3109" s="39">
        <f>IF($A3109="","",IFERROR(INDEX(계정매핑!$D$5:$D$504,MATCH($F3109&amp;"",계정매핑!$A$5:$A$504,0)),"미매핑"))</f>
        <v/>
      </c>
      <c r="X3109" s="9">
        <f>IF($A3109="","",$F3109&amp;"")</f>
        <v/>
      </c>
    </row>
    <row r="3110">
      <c r="A3110" s="75" t="n">
        <v>2026</v>
      </c>
      <c r="B3110" s="75" t="n">
        <v>4</v>
      </c>
      <c r="C3110" s="75" t="inlineStr">
        <is>
          <t>5100000766</t>
        </is>
      </c>
      <c r="D3110" s="78" t="n">
        <v>46137</v>
      </c>
      <c r="E3110" s="75" t="inlineStr">
        <is>
          <t>KR</t>
        </is>
      </c>
      <c r="F3110" s="75" t="n">
        <v>62102000</v>
      </c>
      <c r="G3110" s="75" t="n">
        <v>1801</v>
      </c>
      <c r="H3110" s="76" t="n">
        <v>46000</v>
      </c>
      <c r="I3110" s="75" t="inlineStr">
        <is>
          <t>4월 해외출장 - M항공</t>
        </is>
      </c>
      <c r="J3110" s="75" t="inlineStr">
        <is>
          <t>V10001</t>
        </is>
      </c>
      <c r="K3110" s="75" t="inlineStr">
        <is>
          <t>M항공</t>
        </is>
      </c>
      <c r="M3110" s="9">
        <f>IF($A3110="","",VALUE($A3110&amp;"")*12+VALUE($B3110&amp;""))</f>
        <v/>
      </c>
      <c r="N3110" s="39">
        <f>IF($A3110="","",IFERROR(INDEX(부서매핑!$C$5:$C$504,MATCH($G3110&amp;"",부서매핑!$A$5:$A$504,0)),"미매핑"))</f>
        <v/>
      </c>
      <c r="O3110" s="9">
        <f>IF($A3110="","",N3110&amp;"|"&amp;$F3110)</f>
        <v/>
      </c>
      <c r="P3110" s="77">
        <f>IF($A3110="",0,$H3110*설정!$C$23)</f>
        <v/>
      </c>
      <c r="Q3110" s="39">
        <f>IF($A3110="","",IF(O3110&lt;&gt;원인분석!$C$9,"",IF(AND(M3110&gt;=원인분석!$C$10,M3110&lt;=원인분석!$C$11),"당기",IF(AND(M3110&gt;=원인분석!$C$12,M3110&lt;=원인분석!$C$13),"비교",""))))</f>
        <v/>
      </c>
      <c r="R3110" s="9">
        <f>IF(Q3110="","",$K3110&amp;"")</f>
        <v/>
      </c>
      <c r="S3110" s="9">
        <f>IF(Q3110="","",IF(MATCH(R3110,$R$5:$R$100000,0)=ROW()-4,ROW(),""))</f>
        <v/>
      </c>
      <c r="T3110" s="9">
        <f>IF(Q3110="당기",ABS(P3110)+ROW()/1000000000,"")</f>
        <v/>
      </c>
      <c r="U3110" s="9">
        <f>IF(Q3110="비교",ABS(P3110)+ROW()/1000000000,"")</f>
        <v/>
      </c>
      <c r="V3110" s="39">
        <f>IF($A3110="","",IF(COUNTIF(변동분석!$E$7:$E$506,O3110)&gt;0,"Y","N"))</f>
        <v/>
      </c>
      <c r="W3110" s="39">
        <f>IF($A3110="","",IFERROR(INDEX(계정매핑!$D$5:$D$504,MATCH($F3110&amp;"",계정매핑!$A$5:$A$504,0)),"미매핑"))</f>
        <v/>
      </c>
      <c r="X3110" s="9">
        <f>IF($A3110="","",$F3110&amp;"")</f>
        <v/>
      </c>
    </row>
    <row r="3111">
      <c r="A3111" s="75" t="n">
        <v>2026</v>
      </c>
      <c r="B3111" s="75" t="n">
        <v>4</v>
      </c>
      <c r="C3111" s="75" t="inlineStr">
        <is>
          <t>5100000767</t>
        </is>
      </c>
      <c r="D3111" s="78" t="n">
        <v>46137</v>
      </c>
      <c r="E3111" s="75" t="inlineStr">
        <is>
          <t>KR</t>
        </is>
      </c>
      <c r="F3111" s="75" t="n">
        <v>62201000</v>
      </c>
      <c r="G3111" s="75" t="n">
        <v>1201</v>
      </c>
      <c r="H3111" s="76" t="n">
        <v>130000</v>
      </c>
      <c r="I3111" s="75" t="inlineStr">
        <is>
          <t>4월 통신요금 - O텔레콤</t>
        </is>
      </c>
      <c r="J3111" s="75" t="inlineStr">
        <is>
          <t>V10002</t>
        </is>
      </c>
      <c r="K3111" s="75" t="inlineStr">
        <is>
          <t>O텔레콤</t>
        </is>
      </c>
      <c r="M3111" s="9">
        <f>IF($A3111="","",VALUE($A3111&amp;"")*12+VALUE($B3111&amp;""))</f>
        <v/>
      </c>
      <c r="N3111" s="39">
        <f>IF($A3111="","",IFERROR(INDEX(부서매핑!$C$5:$C$504,MATCH($G3111&amp;"",부서매핑!$A$5:$A$504,0)),"미매핑"))</f>
        <v/>
      </c>
      <c r="O3111" s="9">
        <f>IF($A3111="","",N3111&amp;"|"&amp;$F3111)</f>
        <v/>
      </c>
      <c r="P3111" s="77">
        <f>IF($A3111="",0,$H3111*설정!$C$23)</f>
        <v/>
      </c>
      <c r="Q3111" s="39">
        <f>IF($A3111="","",IF(O3111&lt;&gt;원인분석!$C$9,"",IF(AND(M3111&gt;=원인분석!$C$10,M3111&lt;=원인분석!$C$11),"당기",IF(AND(M3111&gt;=원인분석!$C$12,M3111&lt;=원인분석!$C$13),"비교",""))))</f>
        <v/>
      </c>
      <c r="R3111" s="9">
        <f>IF(Q3111="","",$K3111&amp;"")</f>
        <v/>
      </c>
      <c r="S3111" s="9">
        <f>IF(Q3111="","",IF(MATCH(R3111,$R$5:$R$100000,0)=ROW()-4,ROW(),""))</f>
        <v/>
      </c>
      <c r="T3111" s="9">
        <f>IF(Q3111="당기",ABS(P3111)+ROW()/1000000000,"")</f>
        <v/>
      </c>
      <c r="U3111" s="9">
        <f>IF(Q3111="비교",ABS(P3111)+ROW()/1000000000,"")</f>
        <v/>
      </c>
      <c r="V3111" s="39">
        <f>IF($A3111="","",IF(COUNTIF(변동분석!$E$7:$E$506,O3111)&gt;0,"Y","N"))</f>
        <v/>
      </c>
      <c r="W3111" s="39">
        <f>IF($A3111="","",IFERROR(INDEX(계정매핑!$D$5:$D$504,MATCH($F3111&amp;"",계정매핑!$A$5:$A$504,0)),"미매핑"))</f>
        <v/>
      </c>
      <c r="X3111" s="9">
        <f>IF($A3111="","",$F3111&amp;"")</f>
        <v/>
      </c>
    </row>
    <row r="3112">
      <c r="A3112" s="75" t="n">
        <v>2026</v>
      </c>
      <c r="B3112" s="75" t="n">
        <v>4</v>
      </c>
      <c r="C3112" s="75" t="inlineStr">
        <is>
          <t>5100000768</t>
        </is>
      </c>
      <c r="D3112" s="78" t="n">
        <v>46137</v>
      </c>
      <c r="E3112" s="75" t="inlineStr">
        <is>
          <t>KR</t>
        </is>
      </c>
      <c r="F3112" s="75" t="n">
        <v>62201000</v>
      </c>
      <c r="G3112" s="75" t="n">
        <v>1701</v>
      </c>
      <c r="H3112" s="76" t="n">
        <v>3215000</v>
      </c>
      <c r="I3112" s="75" t="inlineStr">
        <is>
          <t>4월 통신요금 - P통신</t>
        </is>
      </c>
      <c r="J3112" s="75" t="inlineStr">
        <is>
          <t>V10011</t>
        </is>
      </c>
      <c r="K3112" s="75" t="inlineStr">
        <is>
          <t>P통신</t>
        </is>
      </c>
      <c r="M3112" s="9">
        <f>IF($A3112="","",VALUE($A3112&amp;"")*12+VALUE($B3112&amp;""))</f>
        <v/>
      </c>
      <c r="N3112" s="39">
        <f>IF($A3112="","",IFERROR(INDEX(부서매핑!$C$5:$C$504,MATCH($G3112&amp;"",부서매핑!$A$5:$A$504,0)),"미매핑"))</f>
        <v/>
      </c>
      <c r="O3112" s="9">
        <f>IF($A3112="","",N3112&amp;"|"&amp;$F3112)</f>
        <v/>
      </c>
      <c r="P3112" s="77">
        <f>IF($A3112="",0,$H3112*설정!$C$23)</f>
        <v/>
      </c>
      <c r="Q3112" s="39">
        <f>IF($A3112="","",IF(O3112&lt;&gt;원인분석!$C$9,"",IF(AND(M3112&gt;=원인분석!$C$10,M3112&lt;=원인분석!$C$11),"당기",IF(AND(M3112&gt;=원인분석!$C$12,M3112&lt;=원인분석!$C$13),"비교",""))))</f>
        <v/>
      </c>
      <c r="R3112" s="9">
        <f>IF(Q3112="","",$K3112&amp;"")</f>
        <v/>
      </c>
      <c r="S3112" s="9">
        <f>IF(Q3112="","",IF(MATCH(R3112,$R$5:$R$100000,0)=ROW()-4,ROW(),""))</f>
        <v/>
      </c>
      <c r="T3112" s="9">
        <f>IF(Q3112="당기",ABS(P3112)+ROW()/1000000000,"")</f>
        <v/>
      </c>
      <c r="U3112" s="9">
        <f>IF(Q3112="비교",ABS(P3112)+ROW()/1000000000,"")</f>
        <v/>
      </c>
      <c r="V3112" s="39">
        <f>IF($A3112="","",IF(COUNTIF(변동분석!$E$7:$E$506,O3112)&gt;0,"Y","N"))</f>
        <v/>
      </c>
      <c r="W3112" s="39">
        <f>IF($A3112="","",IFERROR(INDEX(계정매핑!$D$5:$D$504,MATCH($F3112&amp;"",계정매핑!$A$5:$A$504,0)),"미매핑"))</f>
        <v/>
      </c>
      <c r="X3112" s="9">
        <f>IF($A3112="","",$F3112&amp;"")</f>
        <v/>
      </c>
    </row>
    <row r="3113">
      <c r="A3113" s="75" t="n">
        <v>2026</v>
      </c>
      <c r="B3113" s="75" t="n">
        <v>4</v>
      </c>
      <c r="C3113" s="75" t="inlineStr">
        <is>
          <t>5100000769</t>
        </is>
      </c>
      <c r="D3113" s="78" t="n">
        <v>46137</v>
      </c>
      <c r="E3113" s="75" t="inlineStr">
        <is>
          <t>KR</t>
        </is>
      </c>
      <c r="F3113" s="75" t="n">
        <v>62301000</v>
      </c>
      <c r="G3113" s="75" t="n">
        <v>1201</v>
      </c>
      <c r="H3113" s="76" t="n">
        <v>215000</v>
      </c>
      <c r="I3113" s="75" t="inlineStr">
        <is>
          <t>4월 소모품 구입 - Q오피스</t>
        </is>
      </c>
      <c r="J3113" s="75" t="inlineStr">
        <is>
          <t>V10003</t>
        </is>
      </c>
      <c r="K3113" s="75" t="inlineStr">
        <is>
          <t>Q오피스</t>
        </is>
      </c>
      <c r="M3113" s="9">
        <f>IF($A3113="","",VALUE($A3113&amp;"")*12+VALUE($B3113&amp;""))</f>
        <v/>
      </c>
      <c r="N3113" s="39">
        <f>IF($A3113="","",IFERROR(INDEX(부서매핑!$C$5:$C$504,MATCH($G3113&amp;"",부서매핑!$A$5:$A$504,0)),"미매핑"))</f>
        <v/>
      </c>
      <c r="O3113" s="9">
        <f>IF($A3113="","",N3113&amp;"|"&amp;$F3113)</f>
        <v/>
      </c>
      <c r="P3113" s="77">
        <f>IF($A3113="",0,$H3113*설정!$C$23)</f>
        <v/>
      </c>
      <c r="Q3113" s="39">
        <f>IF($A3113="","",IF(O3113&lt;&gt;원인분석!$C$9,"",IF(AND(M3113&gt;=원인분석!$C$10,M3113&lt;=원인분석!$C$11),"당기",IF(AND(M3113&gt;=원인분석!$C$12,M3113&lt;=원인분석!$C$13),"비교",""))))</f>
        <v/>
      </c>
      <c r="R3113" s="9">
        <f>IF(Q3113="","",$K3113&amp;"")</f>
        <v/>
      </c>
      <c r="S3113" s="9">
        <f>IF(Q3113="","",IF(MATCH(R3113,$R$5:$R$100000,0)=ROW()-4,ROW(),""))</f>
        <v/>
      </c>
      <c r="T3113" s="9">
        <f>IF(Q3113="당기",ABS(P3113)+ROW()/1000000000,"")</f>
        <v/>
      </c>
      <c r="U3113" s="9">
        <f>IF(Q3113="비교",ABS(P3113)+ROW()/1000000000,"")</f>
        <v/>
      </c>
      <c r="V3113" s="39">
        <f>IF($A3113="","",IF(COUNTIF(변동분석!$E$7:$E$506,O3113)&gt;0,"Y","N"))</f>
        <v/>
      </c>
      <c r="W3113" s="39">
        <f>IF($A3113="","",IFERROR(INDEX(계정매핑!$D$5:$D$504,MATCH($F3113&amp;"",계정매핑!$A$5:$A$504,0)),"미매핑"))</f>
        <v/>
      </c>
      <c r="X3113" s="9">
        <f>IF($A3113="","",$F3113&amp;"")</f>
        <v/>
      </c>
    </row>
    <row r="3114">
      <c r="A3114" s="75" t="n">
        <v>2026</v>
      </c>
      <c r="B3114" s="75" t="n">
        <v>4</v>
      </c>
      <c r="C3114" s="75" t="inlineStr">
        <is>
          <t>5100000770</t>
        </is>
      </c>
      <c r="D3114" s="78" t="n">
        <v>46137</v>
      </c>
      <c r="E3114" s="75" t="inlineStr">
        <is>
          <t>KR</t>
        </is>
      </c>
      <c r="F3114" s="75" t="n">
        <v>62301000</v>
      </c>
      <c r="G3114" s="75" t="n">
        <v>1602</v>
      </c>
      <c r="H3114" s="76" t="n">
        <v>272000</v>
      </c>
      <c r="I3114" s="75" t="inlineStr">
        <is>
          <t>4월 소모품 구입 - Q오피스</t>
        </is>
      </c>
      <c r="J3114" s="75" t="inlineStr">
        <is>
          <t>V10003</t>
        </is>
      </c>
      <c r="K3114" s="75" t="inlineStr">
        <is>
          <t>Q오피스</t>
        </is>
      </c>
      <c r="M3114" s="9">
        <f>IF($A3114="","",VALUE($A3114&amp;"")*12+VALUE($B3114&amp;""))</f>
        <v/>
      </c>
      <c r="N3114" s="39">
        <f>IF($A3114="","",IFERROR(INDEX(부서매핑!$C$5:$C$504,MATCH($G3114&amp;"",부서매핑!$A$5:$A$504,0)),"미매핑"))</f>
        <v/>
      </c>
      <c r="O3114" s="9">
        <f>IF($A3114="","",N3114&amp;"|"&amp;$F3114)</f>
        <v/>
      </c>
      <c r="P3114" s="77">
        <f>IF($A3114="",0,$H3114*설정!$C$23)</f>
        <v/>
      </c>
      <c r="Q3114" s="39">
        <f>IF($A3114="","",IF(O3114&lt;&gt;원인분석!$C$9,"",IF(AND(M3114&gt;=원인분석!$C$10,M3114&lt;=원인분석!$C$11),"당기",IF(AND(M3114&gt;=원인분석!$C$12,M3114&lt;=원인분석!$C$13),"비교",""))))</f>
        <v/>
      </c>
      <c r="R3114" s="9">
        <f>IF(Q3114="","",$K3114&amp;"")</f>
        <v/>
      </c>
      <c r="S3114" s="9">
        <f>IF(Q3114="","",IF(MATCH(R3114,$R$5:$R$100000,0)=ROW()-4,ROW(),""))</f>
        <v/>
      </c>
      <c r="T3114" s="9">
        <f>IF(Q3114="당기",ABS(P3114)+ROW()/1000000000,"")</f>
        <v/>
      </c>
      <c r="U3114" s="9">
        <f>IF(Q3114="비교",ABS(P3114)+ROW()/1000000000,"")</f>
        <v/>
      </c>
      <c r="V3114" s="39">
        <f>IF($A3114="","",IF(COUNTIF(변동분석!$E$7:$E$506,O3114)&gt;0,"Y","N"))</f>
        <v/>
      </c>
      <c r="W3114" s="39">
        <f>IF($A3114="","",IFERROR(INDEX(계정매핑!$D$5:$D$504,MATCH($F3114&amp;"",계정매핑!$A$5:$A$504,0)),"미매핑"))</f>
        <v/>
      </c>
      <c r="X3114" s="9">
        <f>IF($A3114="","",$F3114&amp;"")</f>
        <v/>
      </c>
    </row>
    <row r="3115">
      <c r="A3115" s="75" t="n">
        <v>2026</v>
      </c>
      <c r="B3115" s="75" t="n">
        <v>4</v>
      </c>
      <c r="C3115" s="75" t="inlineStr">
        <is>
          <t>5100000771</t>
        </is>
      </c>
      <c r="D3115" s="78" t="n">
        <v>46137</v>
      </c>
      <c r="E3115" s="75" t="inlineStr">
        <is>
          <t>KR</t>
        </is>
      </c>
      <c r="F3115" s="75" t="n">
        <v>62401000</v>
      </c>
      <c r="G3115" s="75" t="n">
        <v>1401</v>
      </c>
      <c r="H3115" s="76" t="n">
        <v>489000</v>
      </c>
      <c r="I3115" s="75" t="inlineStr">
        <is>
          <t>4월 인쇄물 제작 - G인쇄</t>
        </is>
      </c>
      <c r="J3115" s="75" t="inlineStr">
        <is>
          <t>V10004</t>
        </is>
      </c>
      <c r="K3115" s="75" t="inlineStr">
        <is>
          <t>G인쇄</t>
        </is>
      </c>
      <c r="M3115" s="9">
        <f>IF($A3115="","",VALUE($A3115&amp;"")*12+VALUE($B3115&amp;""))</f>
        <v/>
      </c>
      <c r="N3115" s="39">
        <f>IF($A3115="","",IFERROR(INDEX(부서매핑!$C$5:$C$504,MATCH($G3115&amp;"",부서매핑!$A$5:$A$504,0)),"미매핑"))</f>
        <v/>
      </c>
      <c r="O3115" s="9">
        <f>IF($A3115="","",N3115&amp;"|"&amp;$F3115)</f>
        <v/>
      </c>
      <c r="P3115" s="77">
        <f>IF($A3115="",0,$H3115*설정!$C$23)</f>
        <v/>
      </c>
      <c r="Q3115" s="39">
        <f>IF($A3115="","",IF(O3115&lt;&gt;원인분석!$C$9,"",IF(AND(M3115&gt;=원인분석!$C$10,M3115&lt;=원인분석!$C$11),"당기",IF(AND(M3115&gt;=원인분석!$C$12,M3115&lt;=원인분석!$C$13),"비교",""))))</f>
        <v/>
      </c>
      <c r="R3115" s="9">
        <f>IF(Q3115="","",$K3115&amp;"")</f>
        <v/>
      </c>
      <c r="S3115" s="9">
        <f>IF(Q3115="","",IF(MATCH(R3115,$R$5:$R$100000,0)=ROW()-4,ROW(),""))</f>
        <v/>
      </c>
      <c r="T3115" s="9">
        <f>IF(Q3115="당기",ABS(P3115)+ROW()/1000000000,"")</f>
        <v/>
      </c>
      <c r="U3115" s="9">
        <f>IF(Q3115="비교",ABS(P3115)+ROW()/1000000000,"")</f>
        <v/>
      </c>
      <c r="V3115" s="39">
        <f>IF($A3115="","",IF(COUNTIF(변동분석!$E$7:$E$506,O3115)&gt;0,"Y","N"))</f>
        <v/>
      </c>
      <c r="W3115" s="39">
        <f>IF($A3115="","",IFERROR(INDEX(계정매핑!$D$5:$D$504,MATCH($F3115&amp;"",계정매핑!$A$5:$A$504,0)),"미매핑"))</f>
        <v/>
      </c>
      <c r="X3115" s="9">
        <f>IF($A3115="","",$F3115&amp;"")</f>
        <v/>
      </c>
    </row>
    <row r="3116">
      <c r="A3116" s="75" t="n">
        <v>2026</v>
      </c>
      <c r="B3116" s="75" t="n">
        <v>4</v>
      </c>
      <c r="C3116" s="75" t="inlineStr">
        <is>
          <t>5100000772</t>
        </is>
      </c>
      <c r="D3116" s="78" t="n">
        <v>46137</v>
      </c>
      <c r="E3116" s="75" t="inlineStr">
        <is>
          <t>KR</t>
        </is>
      </c>
      <c r="F3116" s="75" t="n">
        <v>62401000</v>
      </c>
      <c r="G3116" s="75" t="n">
        <v>1801</v>
      </c>
      <c r="H3116" s="76" t="n">
        <v>1691000</v>
      </c>
      <c r="I3116" s="75" t="inlineStr">
        <is>
          <t>4월 인쇄물 제작 - S출판</t>
        </is>
      </c>
      <c r="J3116" s="75" t="inlineStr">
        <is>
          <t>V10012</t>
        </is>
      </c>
      <c r="K3116" s="75" t="inlineStr">
        <is>
          <t>S출판</t>
        </is>
      </c>
      <c r="M3116" s="9">
        <f>IF($A3116="","",VALUE($A3116&amp;"")*12+VALUE($B3116&amp;""))</f>
        <v/>
      </c>
      <c r="N3116" s="39">
        <f>IF($A3116="","",IFERROR(INDEX(부서매핑!$C$5:$C$504,MATCH($G3116&amp;"",부서매핑!$A$5:$A$504,0)),"미매핑"))</f>
        <v/>
      </c>
      <c r="O3116" s="9">
        <f>IF($A3116="","",N3116&amp;"|"&amp;$F3116)</f>
        <v/>
      </c>
      <c r="P3116" s="77">
        <f>IF($A3116="",0,$H3116*설정!$C$23)</f>
        <v/>
      </c>
      <c r="Q3116" s="39">
        <f>IF($A3116="","",IF(O3116&lt;&gt;원인분석!$C$9,"",IF(AND(M3116&gt;=원인분석!$C$10,M3116&lt;=원인분석!$C$11),"당기",IF(AND(M3116&gt;=원인분석!$C$12,M3116&lt;=원인분석!$C$13),"비교",""))))</f>
        <v/>
      </c>
      <c r="R3116" s="9">
        <f>IF(Q3116="","",$K3116&amp;"")</f>
        <v/>
      </c>
      <c r="S3116" s="9">
        <f>IF(Q3116="","",IF(MATCH(R3116,$R$5:$R$100000,0)=ROW()-4,ROW(),""))</f>
        <v/>
      </c>
      <c r="T3116" s="9">
        <f>IF(Q3116="당기",ABS(P3116)+ROW()/1000000000,"")</f>
        <v/>
      </c>
      <c r="U3116" s="9">
        <f>IF(Q3116="비교",ABS(P3116)+ROW()/1000000000,"")</f>
        <v/>
      </c>
      <c r="V3116" s="39">
        <f>IF($A3116="","",IF(COUNTIF(변동분석!$E$7:$E$506,O3116)&gt;0,"Y","N"))</f>
        <v/>
      </c>
      <c r="W3116" s="39">
        <f>IF($A3116="","",IFERROR(INDEX(계정매핑!$D$5:$D$504,MATCH($F3116&amp;"",계정매핑!$A$5:$A$504,0)),"미매핑"))</f>
        <v/>
      </c>
      <c r="X3116" s="9">
        <f>IF($A3116="","",$F3116&amp;"")</f>
        <v/>
      </c>
    </row>
    <row r="3117">
      <c r="A3117" s="75" t="n">
        <v>2026</v>
      </c>
      <c r="B3117" s="75" t="n">
        <v>4</v>
      </c>
      <c r="C3117" s="75" t="inlineStr">
        <is>
          <t>5100000773</t>
        </is>
      </c>
      <c r="D3117" s="78" t="n">
        <v>46137</v>
      </c>
      <c r="E3117" s="75" t="inlineStr">
        <is>
          <t>KR</t>
        </is>
      </c>
      <c r="F3117" s="75" t="n">
        <v>63001000</v>
      </c>
      <c r="G3117" s="75" t="n">
        <v>1701</v>
      </c>
      <c r="H3117" s="76" t="n">
        <v>17357000</v>
      </c>
      <c r="I3117" s="75" t="inlineStr">
        <is>
          <t>4월 SW 유지보수 - Z시스템</t>
        </is>
      </c>
      <c r="J3117" s="75" t="inlineStr">
        <is>
          <t>V10021</t>
        </is>
      </c>
      <c r="K3117" s="75" t="inlineStr">
        <is>
          <t>Z시스템</t>
        </is>
      </c>
      <c r="M3117" s="9">
        <f>IF($A3117="","",VALUE($A3117&amp;"")*12+VALUE($B3117&amp;""))</f>
        <v/>
      </c>
      <c r="N3117" s="39">
        <f>IF($A3117="","",IFERROR(INDEX(부서매핑!$C$5:$C$504,MATCH($G3117&amp;"",부서매핑!$A$5:$A$504,0)),"미매핑"))</f>
        <v/>
      </c>
      <c r="O3117" s="9">
        <f>IF($A3117="","",N3117&amp;"|"&amp;$F3117)</f>
        <v/>
      </c>
      <c r="P3117" s="77">
        <f>IF($A3117="",0,$H3117*설정!$C$23)</f>
        <v/>
      </c>
      <c r="Q3117" s="39">
        <f>IF($A3117="","",IF(O3117&lt;&gt;원인분석!$C$9,"",IF(AND(M3117&gt;=원인분석!$C$10,M3117&lt;=원인분석!$C$11),"당기",IF(AND(M3117&gt;=원인분석!$C$12,M3117&lt;=원인분석!$C$13),"비교",""))))</f>
        <v/>
      </c>
      <c r="R3117" s="9">
        <f>IF(Q3117="","",$K3117&amp;"")</f>
        <v/>
      </c>
      <c r="S3117" s="9">
        <f>IF(Q3117="","",IF(MATCH(R3117,$R$5:$R$100000,0)=ROW()-4,ROW(),""))</f>
        <v/>
      </c>
      <c r="T3117" s="9">
        <f>IF(Q3117="당기",ABS(P3117)+ROW()/1000000000,"")</f>
        <v/>
      </c>
      <c r="U3117" s="9">
        <f>IF(Q3117="비교",ABS(P3117)+ROW()/1000000000,"")</f>
        <v/>
      </c>
      <c r="V3117" s="39">
        <f>IF($A3117="","",IF(COUNTIF(변동분석!$E$7:$E$506,O3117)&gt;0,"Y","N"))</f>
        <v/>
      </c>
      <c r="W3117" s="39">
        <f>IF($A3117="","",IFERROR(INDEX(계정매핑!$D$5:$D$504,MATCH($F3117&amp;"",계정매핑!$A$5:$A$504,0)),"미매핑"))</f>
        <v/>
      </c>
      <c r="X3117" s="9">
        <f>IF($A3117="","",$F3117&amp;"")</f>
        <v/>
      </c>
    </row>
    <row r="3118">
      <c r="A3118" s="75" t="n">
        <v>2026</v>
      </c>
      <c r="B3118" s="75" t="n">
        <v>4</v>
      </c>
      <c r="C3118" s="75" t="inlineStr">
        <is>
          <t>5100000774</t>
        </is>
      </c>
      <c r="D3118" s="78" t="n">
        <v>46137</v>
      </c>
      <c r="E3118" s="75" t="inlineStr">
        <is>
          <t>KR</t>
        </is>
      </c>
      <c r="F3118" s="75" t="n">
        <v>63002000</v>
      </c>
      <c r="G3118" s="75" t="n">
        <v>1701</v>
      </c>
      <c r="H3118" s="76" t="n">
        <v>80000000</v>
      </c>
      <c r="I3118" s="75" t="inlineStr">
        <is>
          <t>4월 클라우드 사용료 - C클라우드</t>
        </is>
      </c>
      <c r="J3118" s="75" t="inlineStr">
        <is>
          <t>V10028</t>
        </is>
      </c>
      <c r="K3118" s="75" t="inlineStr">
        <is>
          <t>C클라우드</t>
        </is>
      </c>
      <c r="M3118" s="9">
        <f>IF($A3118="","",VALUE($A3118&amp;"")*12+VALUE($B3118&amp;""))</f>
        <v/>
      </c>
      <c r="N3118" s="39">
        <f>IF($A3118="","",IFERROR(INDEX(부서매핑!$C$5:$C$504,MATCH($G3118&amp;"",부서매핑!$A$5:$A$504,0)),"미매핑"))</f>
        <v/>
      </c>
      <c r="O3118" s="9">
        <f>IF($A3118="","",N3118&amp;"|"&amp;$F3118)</f>
        <v/>
      </c>
      <c r="P3118" s="77">
        <f>IF($A3118="",0,$H3118*설정!$C$23)</f>
        <v/>
      </c>
      <c r="Q3118" s="39">
        <f>IF($A3118="","",IF(O3118&lt;&gt;원인분석!$C$9,"",IF(AND(M3118&gt;=원인분석!$C$10,M3118&lt;=원인분석!$C$11),"당기",IF(AND(M3118&gt;=원인분석!$C$12,M3118&lt;=원인분석!$C$13),"비교",""))))</f>
        <v/>
      </c>
      <c r="R3118" s="9">
        <f>IF(Q3118="","",$K3118&amp;"")</f>
        <v/>
      </c>
      <c r="S3118" s="9">
        <f>IF(Q3118="","",IF(MATCH(R3118,$R$5:$R$100000,0)=ROW()-4,ROW(),""))</f>
        <v/>
      </c>
      <c r="T3118" s="9">
        <f>IF(Q3118="당기",ABS(P3118)+ROW()/1000000000,"")</f>
        <v/>
      </c>
      <c r="U3118" s="9">
        <f>IF(Q3118="비교",ABS(P3118)+ROW()/1000000000,"")</f>
        <v/>
      </c>
      <c r="V3118" s="39">
        <f>IF($A3118="","",IF(COUNTIF(변동분석!$E$7:$E$506,O3118)&gt;0,"Y","N"))</f>
        <v/>
      </c>
      <c r="W3118" s="39">
        <f>IF($A3118="","",IFERROR(INDEX(계정매핑!$D$5:$D$504,MATCH($F3118&amp;"",계정매핑!$A$5:$A$504,0)),"미매핑"))</f>
        <v/>
      </c>
      <c r="X3118" s="9">
        <f>IF($A3118="","",$F3118&amp;"")</f>
        <v/>
      </c>
    </row>
    <row r="3119">
      <c r="A3119" s="75" t="n">
        <v>2026</v>
      </c>
      <c r="B3119" s="75" t="n">
        <v>4</v>
      </c>
      <c r="C3119" s="75" t="inlineStr">
        <is>
          <t>5100000775</t>
        </is>
      </c>
      <c r="D3119" s="78" t="n">
        <v>46137</v>
      </c>
      <c r="E3119" s="75" t="inlineStr">
        <is>
          <t>KR</t>
        </is>
      </c>
      <c r="F3119" s="75" t="n">
        <v>63101000</v>
      </c>
      <c r="G3119" s="75" t="n">
        <v>1602</v>
      </c>
      <c r="H3119" s="76" t="n">
        <v>5608000</v>
      </c>
      <c r="I3119" s="75" t="inlineStr">
        <is>
          <t>4월 사무실 임차료 - AA빌딩</t>
        </is>
      </c>
      <c r="J3119" s="75" t="inlineStr">
        <is>
          <t>V10006</t>
        </is>
      </c>
      <c r="K3119" s="75" t="inlineStr">
        <is>
          <t>AA빌딩</t>
        </is>
      </c>
      <c r="M3119" s="9">
        <f>IF($A3119="","",VALUE($A3119&amp;"")*12+VALUE($B3119&amp;""))</f>
        <v/>
      </c>
      <c r="N3119" s="39">
        <f>IF($A3119="","",IFERROR(INDEX(부서매핑!$C$5:$C$504,MATCH($G3119&amp;"",부서매핑!$A$5:$A$504,0)),"미매핑"))</f>
        <v/>
      </c>
      <c r="O3119" s="9">
        <f>IF($A3119="","",N3119&amp;"|"&amp;$F3119)</f>
        <v/>
      </c>
      <c r="P3119" s="77">
        <f>IF($A3119="",0,$H3119*설정!$C$23)</f>
        <v/>
      </c>
      <c r="Q3119" s="39">
        <f>IF($A3119="","",IF(O3119&lt;&gt;원인분석!$C$9,"",IF(AND(M3119&gt;=원인분석!$C$10,M3119&lt;=원인분석!$C$11),"당기",IF(AND(M3119&gt;=원인분석!$C$12,M3119&lt;=원인분석!$C$13),"비교",""))))</f>
        <v/>
      </c>
      <c r="R3119" s="9">
        <f>IF(Q3119="","",$K3119&amp;"")</f>
        <v/>
      </c>
      <c r="S3119" s="9">
        <f>IF(Q3119="","",IF(MATCH(R3119,$R$5:$R$100000,0)=ROW()-4,ROW(),""))</f>
        <v/>
      </c>
      <c r="T3119" s="9">
        <f>IF(Q3119="당기",ABS(P3119)+ROW()/1000000000,"")</f>
        <v/>
      </c>
      <c r="U3119" s="9">
        <f>IF(Q3119="비교",ABS(P3119)+ROW()/1000000000,"")</f>
        <v/>
      </c>
      <c r="V3119" s="39">
        <f>IF($A3119="","",IF(COUNTIF(변동분석!$E$7:$E$506,O3119)&gt;0,"Y","N"))</f>
        <v/>
      </c>
      <c r="W3119" s="39">
        <f>IF($A3119="","",IFERROR(INDEX(계정매핑!$D$5:$D$504,MATCH($F3119&amp;"",계정매핑!$A$5:$A$504,0)),"미매핑"))</f>
        <v/>
      </c>
      <c r="X3119" s="9">
        <f>IF($A3119="","",$F3119&amp;"")</f>
        <v/>
      </c>
    </row>
    <row r="3120">
      <c r="A3120" s="75" t="n">
        <v>2026</v>
      </c>
      <c r="B3120" s="75" t="n">
        <v>4</v>
      </c>
      <c r="C3120" s="75" t="inlineStr">
        <is>
          <t>5100000776</t>
        </is>
      </c>
      <c r="D3120" s="78" t="n">
        <v>46138</v>
      </c>
      <c r="E3120" s="75" t="inlineStr">
        <is>
          <t>KR</t>
        </is>
      </c>
      <c r="F3120" s="75" t="n">
        <v>62101000</v>
      </c>
      <c r="G3120" s="75" t="n">
        <v>1201</v>
      </c>
      <c r="H3120" s="76" t="n">
        <v>199000</v>
      </c>
      <c r="I3120" s="75" t="inlineStr">
        <is>
          <t>4월 국내출장 - M항공</t>
        </is>
      </c>
      <c r="J3120" s="75" t="inlineStr">
        <is>
          <t>V10001</t>
        </is>
      </c>
      <c r="K3120" s="75" t="inlineStr">
        <is>
          <t>M항공</t>
        </is>
      </c>
      <c r="M3120" s="9">
        <f>IF($A3120="","",VALUE($A3120&amp;"")*12+VALUE($B3120&amp;""))</f>
        <v/>
      </c>
      <c r="N3120" s="39">
        <f>IF($A3120="","",IFERROR(INDEX(부서매핑!$C$5:$C$504,MATCH($G3120&amp;"",부서매핑!$A$5:$A$504,0)),"미매핑"))</f>
        <v/>
      </c>
      <c r="O3120" s="9">
        <f>IF($A3120="","",N3120&amp;"|"&amp;$F3120)</f>
        <v/>
      </c>
      <c r="P3120" s="77">
        <f>IF($A3120="",0,$H3120*설정!$C$23)</f>
        <v/>
      </c>
      <c r="Q3120" s="39">
        <f>IF($A3120="","",IF(O3120&lt;&gt;원인분석!$C$9,"",IF(AND(M3120&gt;=원인분석!$C$10,M3120&lt;=원인분석!$C$11),"당기",IF(AND(M3120&gt;=원인분석!$C$12,M3120&lt;=원인분석!$C$13),"비교",""))))</f>
        <v/>
      </c>
      <c r="R3120" s="9">
        <f>IF(Q3120="","",$K3120&amp;"")</f>
        <v/>
      </c>
      <c r="S3120" s="9">
        <f>IF(Q3120="","",IF(MATCH(R3120,$R$5:$R$100000,0)=ROW()-4,ROW(),""))</f>
        <v/>
      </c>
      <c r="T3120" s="9">
        <f>IF(Q3120="당기",ABS(P3120)+ROW()/1000000000,"")</f>
        <v/>
      </c>
      <c r="U3120" s="9">
        <f>IF(Q3120="비교",ABS(P3120)+ROW()/1000000000,"")</f>
        <v/>
      </c>
      <c r="V3120" s="39">
        <f>IF($A3120="","",IF(COUNTIF(변동분석!$E$7:$E$506,O3120)&gt;0,"Y","N"))</f>
        <v/>
      </c>
      <c r="W3120" s="39">
        <f>IF($A3120="","",IFERROR(INDEX(계정매핑!$D$5:$D$504,MATCH($F3120&amp;"",계정매핑!$A$5:$A$504,0)),"미매핑"))</f>
        <v/>
      </c>
      <c r="X3120" s="9">
        <f>IF($A3120="","",$F3120&amp;"")</f>
        <v/>
      </c>
    </row>
    <row r="3121">
      <c r="A3121" s="75" t="n">
        <v>2026</v>
      </c>
      <c r="B3121" s="75" t="n">
        <v>4</v>
      </c>
      <c r="C3121" s="75" t="inlineStr">
        <is>
          <t>5100000777</t>
        </is>
      </c>
      <c r="D3121" s="78" t="n">
        <v>46138</v>
      </c>
      <c r="E3121" s="75" t="inlineStr">
        <is>
          <t>KR</t>
        </is>
      </c>
      <c r="F3121" s="75" t="n">
        <v>62101000</v>
      </c>
      <c r="G3121" s="75" t="n">
        <v>1501</v>
      </c>
      <c r="H3121" s="76" t="n">
        <v>506000</v>
      </c>
      <c r="I3121" s="75" t="inlineStr">
        <is>
          <t>4월 국내출장 - L여행사</t>
        </is>
      </c>
      <c r="J3121" s="75" t="inlineStr">
        <is>
          <t>V10014</t>
        </is>
      </c>
      <c r="K3121" s="75" t="inlineStr">
        <is>
          <t>L여행사</t>
        </is>
      </c>
      <c r="M3121" s="9">
        <f>IF($A3121="","",VALUE($A3121&amp;"")*12+VALUE($B3121&amp;""))</f>
        <v/>
      </c>
      <c r="N3121" s="39">
        <f>IF($A3121="","",IFERROR(INDEX(부서매핑!$C$5:$C$504,MATCH($G3121&amp;"",부서매핑!$A$5:$A$504,0)),"미매핑"))</f>
        <v/>
      </c>
      <c r="O3121" s="9">
        <f>IF($A3121="","",N3121&amp;"|"&amp;$F3121)</f>
        <v/>
      </c>
      <c r="P3121" s="77">
        <f>IF($A3121="",0,$H3121*설정!$C$23)</f>
        <v/>
      </c>
      <c r="Q3121" s="39">
        <f>IF($A3121="","",IF(O3121&lt;&gt;원인분석!$C$9,"",IF(AND(M3121&gt;=원인분석!$C$10,M3121&lt;=원인분석!$C$11),"당기",IF(AND(M3121&gt;=원인분석!$C$12,M3121&lt;=원인분석!$C$13),"비교",""))))</f>
        <v/>
      </c>
      <c r="R3121" s="9">
        <f>IF(Q3121="","",$K3121&amp;"")</f>
        <v/>
      </c>
      <c r="S3121" s="9">
        <f>IF(Q3121="","",IF(MATCH(R3121,$R$5:$R$100000,0)=ROW()-4,ROW(),""))</f>
        <v/>
      </c>
      <c r="T3121" s="9">
        <f>IF(Q3121="당기",ABS(P3121)+ROW()/1000000000,"")</f>
        <v/>
      </c>
      <c r="U3121" s="9">
        <f>IF(Q3121="비교",ABS(P3121)+ROW()/1000000000,"")</f>
        <v/>
      </c>
      <c r="V3121" s="39">
        <f>IF($A3121="","",IF(COUNTIF(변동분석!$E$7:$E$506,O3121)&gt;0,"Y","N"))</f>
        <v/>
      </c>
      <c r="W3121" s="39">
        <f>IF($A3121="","",IFERROR(INDEX(계정매핑!$D$5:$D$504,MATCH($F3121&amp;"",계정매핑!$A$5:$A$504,0)),"미매핑"))</f>
        <v/>
      </c>
      <c r="X3121" s="9">
        <f>IF($A3121="","",$F3121&amp;"")</f>
        <v/>
      </c>
    </row>
    <row r="3122">
      <c r="A3122" s="75" t="n">
        <v>2026</v>
      </c>
      <c r="B3122" s="75" t="n">
        <v>4</v>
      </c>
      <c r="C3122" s="75" t="inlineStr">
        <is>
          <t>5100000778</t>
        </is>
      </c>
      <c r="D3122" s="78" t="n">
        <v>46138</v>
      </c>
      <c r="E3122" s="75" t="inlineStr">
        <is>
          <t>KR</t>
        </is>
      </c>
      <c r="F3122" s="75" t="n">
        <v>62101000</v>
      </c>
      <c r="G3122" s="75" t="n">
        <v>1602</v>
      </c>
      <c r="H3122" s="76" t="n">
        <v>1096000</v>
      </c>
      <c r="I3122" s="75" t="inlineStr">
        <is>
          <t>4월 국내출장 - M항공</t>
        </is>
      </c>
      <c r="J3122" s="75" t="inlineStr">
        <is>
          <t>V10001</t>
        </is>
      </c>
      <c r="K3122" s="75" t="inlineStr">
        <is>
          <t>M항공</t>
        </is>
      </c>
      <c r="M3122" s="9">
        <f>IF($A3122="","",VALUE($A3122&amp;"")*12+VALUE($B3122&amp;""))</f>
        <v/>
      </c>
      <c r="N3122" s="39">
        <f>IF($A3122="","",IFERROR(INDEX(부서매핑!$C$5:$C$504,MATCH($G3122&amp;"",부서매핑!$A$5:$A$504,0)),"미매핑"))</f>
        <v/>
      </c>
      <c r="O3122" s="9">
        <f>IF($A3122="","",N3122&amp;"|"&amp;$F3122)</f>
        <v/>
      </c>
      <c r="P3122" s="77">
        <f>IF($A3122="",0,$H3122*설정!$C$23)</f>
        <v/>
      </c>
      <c r="Q3122" s="39">
        <f>IF($A3122="","",IF(O3122&lt;&gt;원인분석!$C$9,"",IF(AND(M3122&gt;=원인분석!$C$10,M3122&lt;=원인분석!$C$11),"당기",IF(AND(M3122&gt;=원인분석!$C$12,M3122&lt;=원인분석!$C$13),"비교",""))))</f>
        <v/>
      </c>
      <c r="R3122" s="9">
        <f>IF(Q3122="","",$K3122&amp;"")</f>
        <v/>
      </c>
      <c r="S3122" s="9">
        <f>IF(Q3122="","",IF(MATCH(R3122,$R$5:$R$100000,0)=ROW()-4,ROW(),""))</f>
        <v/>
      </c>
      <c r="T3122" s="9">
        <f>IF(Q3122="당기",ABS(P3122)+ROW()/1000000000,"")</f>
        <v/>
      </c>
      <c r="U3122" s="9">
        <f>IF(Q3122="비교",ABS(P3122)+ROW()/1000000000,"")</f>
        <v/>
      </c>
      <c r="V3122" s="39">
        <f>IF($A3122="","",IF(COUNTIF(변동분석!$E$7:$E$506,O3122)&gt;0,"Y","N"))</f>
        <v/>
      </c>
      <c r="W3122" s="39">
        <f>IF($A3122="","",IFERROR(INDEX(계정매핑!$D$5:$D$504,MATCH($F3122&amp;"",계정매핑!$A$5:$A$504,0)),"미매핑"))</f>
        <v/>
      </c>
      <c r="X3122" s="9">
        <f>IF($A3122="","",$F3122&amp;"")</f>
        <v/>
      </c>
    </row>
    <row r="3123">
      <c r="A3123" s="75" t="n">
        <v>2026</v>
      </c>
      <c r="B3123" s="75" t="n">
        <v>4</v>
      </c>
      <c r="C3123" s="75" t="inlineStr">
        <is>
          <t>5100000779</t>
        </is>
      </c>
      <c r="D3123" s="78" t="n">
        <v>46138</v>
      </c>
      <c r="E3123" s="75" t="inlineStr">
        <is>
          <t>KR</t>
        </is>
      </c>
      <c r="F3123" s="75" t="n">
        <v>62101000</v>
      </c>
      <c r="G3123" s="75" t="n">
        <v>1701</v>
      </c>
      <c r="H3123" s="76" t="n">
        <v>230000</v>
      </c>
      <c r="I3123" s="75" t="inlineStr">
        <is>
          <t>4월 국내출장 - M항공</t>
        </is>
      </c>
      <c r="J3123" s="75" t="inlineStr">
        <is>
          <t>V10001</t>
        </is>
      </c>
      <c r="K3123" s="75" t="inlineStr">
        <is>
          <t>M항공</t>
        </is>
      </c>
      <c r="M3123" s="9">
        <f>IF($A3123="","",VALUE($A3123&amp;"")*12+VALUE($B3123&amp;""))</f>
        <v/>
      </c>
      <c r="N3123" s="39">
        <f>IF($A3123="","",IFERROR(INDEX(부서매핑!$C$5:$C$504,MATCH($G3123&amp;"",부서매핑!$A$5:$A$504,0)),"미매핑"))</f>
        <v/>
      </c>
      <c r="O3123" s="9">
        <f>IF($A3123="","",N3123&amp;"|"&amp;$F3123)</f>
        <v/>
      </c>
      <c r="P3123" s="77">
        <f>IF($A3123="",0,$H3123*설정!$C$23)</f>
        <v/>
      </c>
      <c r="Q3123" s="39">
        <f>IF($A3123="","",IF(O3123&lt;&gt;원인분석!$C$9,"",IF(AND(M3123&gt;=원인분석!$C$10,M3123&lt;=원인분석!$C$11),"당기",IF(AND(M3123&gt;=원인분석!$C$12,M3123&lt;=원인분석!$C$13),"비교",""))))</f>
        <v/>
      </c>
      <c r="R3123" s="9">
        <f>IF(Q3123="","",$K3123&amp;"")</f>
        <v/>
      </c>
      <c r="S3123" s="9">
        <f>IF(Q3123="","",IF(MATCH(R3123,$R$5:$R$100000,0)=ROW()-4,ROW(),""))</f>
        <v/>
      </c>
      <c r="T3123" s="9">
        <f>IF(Q3123="당기",ABS(P3123)+ROW()/1000000000,"")</f>
        <v/>
      </c>
      <c r="U3123" s="9">
        <f>IF(Q3123="비교",ABS(P3123)+ROW()/1000000000,"")</f>
        <v/>
      </c>
      <c r="V3123" s="39">
        <f>IF($A3123="","",IF(COUNTIF(변동분석!$E$7:$E$506,O3123)&gt;0,"Y","N"))</f>
        <v/>
      </c>
      <c r="W3123" s="39">
        <f>IF($A3123="","",IFERROR(INDEX(계정매핑!$D$5:$D$504,MATCH($F3123&amp;"",계정매핑!$A$5:$A$504,0)),"미매핑"))</f>
        <v/>
      </c>
      <c r="X3123" s="9">
        <f>IF($A3123="","",$F3123&amp;"")</f>
        <v/>
      </c>
    </row>
    <row r="3124">
      <c r="A3124" s="75" t="n">
        <v>2026</v>
      </c>
      <c r="B3124" s="75" t="n">
        <v>4</v>
      </c>
      <c r="C3124" s="75" t="inlineStr">
        <is>
          <t>5100000780</t>
        </is>
      </c>
      <c r="D3124" s="78" t="n">
        <v>46138</v>
      </c>
      <c r="E3124" s="75" t="inlineStr">
        <is>
          <t>KR</t>
        </is>
      </c>
      <c r="F3124" s="75" t="n">
        <v>62101000</v>
      </c>
      <c r="G3124" s="75" t="n">
        <v>1801</v>
      </c>
      <c r="H3124" s="76" t="n">
        <v>161000</v>
      </c>
      <c r="I3124" s="75" t="inlineStr">
        <is>
          <t>4월 국내출장 - L여행사</t>
        </is>
      </c>
      <c r="J3124" s="75" t="inlineStr">
        <is>
          <t>V10014</t>
        </is>
      </c>
      <c r="K3124" s="75" t="inlineStr">
        <is>
          <t>L여행사</t>
        </is>
      </c>
      <c r="M3124" s="9">
        <f>IF($A3124="","",VALUE($A3124&amp;"")*12+VALUE($B3124&amp;""))</f>
        <v/>
      </c>
      <c r="N3124" s="39">
        <f>IF($A3124="","",IFERROR(INDEX(부서매핑!$C$5:$C$504,MATCH($G3124&amp;"",부서매핑!$A$5:$A$504,0)),"미매핑"))</f>
        <v/>
      </c>
      <c r="O3124" s="9">
        <f>IF($A3124="","",N3124&amp;"|"&amp;$F3124)</f>
        <v/>
      </c>
      <c r="P3124" s="77">
        <f>IF($A3124="",0,$H3124*설정!$C$23)</f>
        <v/>
      </c>
      <c r="Q3124" s="39">
        <f>IF($A3124="","",IF(O3124&lt;&gt;원인분석!$C$9,"",IF(AND(M3124&gt;=원인분석!$C$10,M3124&lt;=원인분석!$C$11),"당기",IF(AND(M3124&gt;=원인분석!$C$12,M3124&lt;=원인분석!$C$13),"비교",""))))</f>
        <v/>
      </c>
      <c r="R3124" s="9">
        <f>IF(Q3124="","",$K3124&amp;"")</f>
        <v/>
      </c>
      <c r="S3124" s="9">
        <f>IF(Q3124="","",IF(MATCH(R3124,$R$5:$R$100000,0)=ROW()-4,ROW(),""))</f>
        <v/>
      </c>
      <c r="T3124" s="9">
        <f>IF(Q3124="당기",ABS(P3124)+ROW()/1000000000,"")</f>
        <v/>
      </c>
      <c r="U3124" s="9">
        <f>IF(Q3124="비교",ABS(P3124)+ROW()/1000000000,"")</f>
        <v/>
      </c>
      <c r="V3124" s="39">
        <f>IF($A3124="","",IF(COUNTIF(변동분석!$E$7:$E$506,O3124)&gt;0,"Y","N"))</f>
        <v/>
      </c>
      <c r="W3124" s="39">
        <f>IF($A3124="","",IFERROR(INDEX(계정매핑!$D$5:$D$504,MATCH($F3124&amp;"",계정매핑!$A$5:$A$504,0)),"미매핑"))</f>
        <v/>
      </c>
      <c r="X3124" s="9">
        <f>IF($A3124="","",$F3124&amp;"")</f>
        <v/>
      </c>
    </row>
    <row r="3125">
      <c r="A3125" s="75" t="n">
        <v>2026</v>
      </c>
      <c r="B3125" s="75" t="n">
        <v>4</v>
      </c>
      <c r="C3125" s="75" t="inlineStr">
        <is>
          <t>5100000781</t>
        </is>
      </c>
      <c r="D3125" s="78" t="n">
        <v>46138</v>
      </c>
      <c r="E3125" s="75" t="inlineStr">
        <is>
          <t>KR</t>
        </is>
      </c>
      <c r="F3125" s="75" t="n">
        <v>62301000</v>
      </c>
      <c r="G3125" s="75" t="n">
        <v>1601</v>
      </c>
      <c r="H3125" s="76" t="n">
        <v>278000</v>
      </c>
      <c r="I3125" s="75" t="inlineStr">
        <is>
          <t>4월 소모품 구입 - R문구</t>
        </is>
      </c>
      <c r="J3125" s="75" t="inlineStr">
        <is>
          <t>V10018</t>
        </is>
      </c>
      <c r="K3125" s="75" t="inlineStr">
        <is>
          <t>R문구</t>
        </is>
      </c>
      <c r="M3125" s="9">
        <f>IF($A3125="","",VALUE($A3125&amp;"")*12+VALUE($B3125&amp;""))</f>
        <v/>
      </c>
      <c r="N3125" s="39">
        <f>IF($A3125="","",IFERROR(INDEX(부서매핑!$C$5:$C$504,MATCH($G3125&amp;"",부서매핑!$A$5:$A$504,0)),"미매핑"))</f>
        <v/>
      </c>
      <c r="O3125" s="9">
        <f>IF($A3125="","",N3125&amp;"|"&amp;$F3125)</f>
        <v/>
      </c>
      <c r="P3125" s="77">
        <f>IF($A3125="",0,$H3125*설정!$C$23)</f>
        <v/>
      </c>
      <c r="Q3125" s="39">
        <f>IF($A3125="","",IF(O3125&lt;&gt;원인분석!$C$9,"",IF(AND(M3125&gt;=원인분석!$C$10,M3125&lt;=원인분석!$C$11),"당기",IF(AND(M3125&gt;=원인분석!$C$12,M3125&lt;=원인분석!$C$13),"비교",""))))</f>
        <v/>
      </c>
      <c r="R3125" s="9">
        <f>IF(Q3125="","",$K3125&amp;"")</f>
        <v/>
      </c>
      <c r="S3125" s="9">
        <f>IF(Q3125="","",IF(MATCH(R3125,$R$5:$R$100000,0)=ROW()-4,ROW(),""))</f>
        <v/>
      </c>
      <c r="T3125" s="9">
        <f>IF(Q3125="당기",ABS(P3125)+ROW()/1000000000,"")</f>
        <v/>
      </c>
      <c r="U3125" s="9">
        <f>IF(Q3125="비교",ABS(P3125)+ROW()/1000000000,"")</f>
        <v/>
      </c>
      <c r="V3125" s="39">
        <f>IF($A3125="","",IF(COUNTIF(변동분석!$E$7:$E$506,O3125)&gt;0,"Y","N"))</f>
        <v/>
      </c>
      <c r="W3125" s="39">
        <f>IF($A3125="","",IFERROR(INDEX(계정매핑!$D$5:$D$504,MATCH($F3125&amp;"",계정매핑!$A$5:$A$504,0)),"미매핑"))</f>
        <v/>
      </c>
      <c r="X3125" s="9">
        <f>IF($A3125="","",$F3125&amp;"")</f>
        <v/>
      </c>
    </row>
    <row r="3126">
      <c r="A3126" s="75" t="n">
        <v>2026</v>
      </c>
      <c r="B3126" s="75" t="n">
        <v>4</v>
      </c>
      <c r="C3126" s="75" t="inlineStr">
        <is>
          <t>5100000782</t>
        </is>
      </c>
      <c r="D3126" s="78" t="n">
        <v>46138</v>
      </c>
      <c r="E3126" s="75" t="inlineStr">
        <is>
          <t>KR</t>
        </is>
      </c>
      <c r="F3126" s="75" t="n">
        <v>62501000</v>
      </c>
      <c r="G3126" s="75" t="n">
        <v>1701</v>
      </c>
      <c r="H3126" s="76" t="n">
        <v>108000</v>
      </c>
      <c r="I3126" s="75" t="inlineStr">
        <is>
          <t>4월 회의 다과 - T케이터링</t>
        </is>
      </c>
      <c r="J3126" s="75" t="inlineStr">
        <is>
          <t>V10005</t>
        </is>
      </c>
      <c r="K3126" s="75" t="inlineStr">
        <is>
          <t>T케이터링</t>
        </is>
      </c>
      <c r="M3126" s="9">
        <f>IF($A3126="","",VALUE($A3126&amp;"")*12+VALUE($B3126&amp;""))</f>
        <v/>
      </c>
      <c r="N3126" s="39">
        <f>IF($A3126="","",IFERROR(INDEX(부서매핑!$C$5:$C$504,MATCH($G3126&amp;"",부서매핑!$A$5:$A$504,0)),"미매핑"))</f>
        <v/>
      </c>
      <c r="O3126" s="9">
        <f>IF($A3126="","",N3126&amp;"|"&amp;$F3126)</f>
        <v/>
      </c>
      <c r="P3126" s="77">
        <f>IF($A3126="",0,$H3126*설정!$C$23)</f>
        <v/>
      </c>
      <c r="Q3126" s="39">
        <f>IF($A3126="","",IF(O3126&lt;&gt;원인분석!$C$9,"",IF(AND(M3126&gt;=원인분석!$C$10,M3126&lt;=원인분석!$C$11),"당기",IF(AND(M3126&gt;=원인분석!$C$12,M3126&lt;=원인분석!$C$13),"비교",""))))</f>
        <v/>
      </c>
      <c r="R3126" s="9">
        <f>IF(Q3126="","",$K3126&amp;"")</f>
        <v/>
      </c>
      <c r="S3126" s="9">
        <f>IF(Q3126="","",IF(MATCH(R3126,$R$5:$R$100000,0)=ROW()-4,ROW(),""))</f>
        <v/>
      </c>
      <c r="T3126" s="9">
        <f>IF(Q3126="당기",ABS(P3126)+ROW()/1000000000,"")</f>
        <v/>
      </c>
      <c r="U3126" s="9">
        <f>IF(Q3126="비교",ABS(P3126)+ROW()/1000000000,"")</f>
        <v/>
      </c>
      <c r="V3126" s="39">
        <f>IF($A3126="","",IF(COUNTIF(변동분석!$E$7:$E$506,O3126)&gt;0,"Y","N"))</f>
        <v/>
      </c>
      <c r="W3126" s="39">
        <f>IF($A3126="","",IFERROR(INDEX(계정매핑!$D$5:$D$504,MATCH($F3126&amp;"",계정매핑!$A$5:$A$504,0)),"미매핑"))</f>
        <v/>
      </c>
      <c r="X3126" s="9">
        <f>IF($A3126="","",$F3126&amp;"")</f>
        <v/>
      </c>
    </row>
    <row r="3127">
      <c r="A3127" s="75" t="n">
        <v>2026</v>
      </c>
      <c r="B3127" s="75" t="n">
        <v>4</v>
      </c>
      <c r="C3127" s="75" t="inlineStr">
        <is>
          <t>5100000783</t>
        </is>
      </c>
      <c r="D3127" s="78" t="n">
        <v>46138</v>
      </c>
      <c r="E3127" s="75" t="inlineStr">
        <is>
          <t>KR</t>
        </is>
      </c>
      <c r="F3127" s="75" t="n">
        <v>62801000</v>
      </c>
      <c r="G3127" s="75" t="n">
        <v>1301</v>
      </c>
      <c r="H3127" s="76" t="n">
        <v>6313000</v>
      </c>
      <c r="I3127" s="75" t="inlineStr">
        <is>
          <t>4월 사내교육 - (사내강사료)</t>
        </is>
      </c>
      <c r="J3127" s="75" t="inlineStr">
        <is>
          <t>V10020</t>
        </is>
      </c>
      <c r="K3127" s="75" t="inlineStr">
        <is>
          <t>(사내강사료)</t>
        </is>
      </c>
      <c r="M3127" s="9">
        <f>IF($A3127="","",VALUE($A3127&amp;"")*12+VALUE($B3127&amp;""))</f>
        <v/>
      </c>
      <c r="N3127" s="39">
        <f>IF($A3127="","",IFERROR(INDEX(부서매핑!$C$5:$C$504,MATCH($G3127&amp;"",부서매핑!$A$5:$A$504,0)),"미매핑"))</f>
        <v/>
      </c>
      <c r="O3127" s="9">
        <f>IF($A3127="","",N3127&amp;"|"&amp;$F3127)</f>
        <v/>
      </c>
      <c r="P3127" s="77">
        <f>IF($A3127="",0,$H3127*설정!$C$23)</f>
        <v/>
      </c>
      <c r="Q3127" s="39">
        <f>IF($A3127="","",IF(O3127&lt;&gt;원인분석!$C$9,"",IF(AND(M3127&gt;=원인분석!$C$10,M3127&lt;=원인분석!$C$11),"당기",IF(AND(M3127&gt;=원인분석!$C$12,M3127&lt;=원인분석!$C$13),"비교",""))))</f>
        <v/>
      </c>
      <c r="R3127" s="9">
        <f>IF(Q3127="","",$K3127&amp;"")</f>
        <v/>
      </c>
      <c r="S3127" s="9">
        <f>IF(Q3127="","",IF(MATCH(R3127,$R$5:$R$100000,0)=ROW()-4,ROW(),""))</f>
        <v/>
      </c>
      <c r="T3127" s="9">
        <f>IF(Q3127="당기",ABS(P3127)+ROW()/1000000000,"")</f>
        <v/>
      </c>
      <c r="U3127" s="9">
        <f>IF(Q3127="비교",ABS(P3127)+ROW()/1000000000,"")</f>
        <v/>
      </c>
      <c r="V3127" s="39">
        <f>IF($A3127="","",IF(COUNTIF(변동분석!$E$7:$E$506,O3127)&gt;0,"Y","N"))</f>
        <v/>
      </c>
      <c r="W3127" s="39">
        <f>IF($A3127="","",IFERROR(INDEX(계정매핑!$D$5:$D$504,MATCH($F3127&amp;"",계정매핑!$A$5:$A$504,0)),"미매핑"))</f>
        <v/>
      </c>
      <c r="X3127" s="9">
        <f>IF($A3127="","",$F3127&amp;"")</f>
        <v/>
      </c>
    </row>
    <row r="3128">
      <c r="A3128" s="75" t="n">
        <v>2026</v>
      </c>
      <c r="B3128" s="75" t="n">
        <v>4</v>
      </c>
      <c r="C3128" s="75" t="inlineStr">
        <is>
          <t>5100000784</t>
        </is>
      </c>
      <c r="D3128" s="78" t="n">
        <v>46138</v>
      </c>
      <c r="E3128" s="75" t="inlineStr">
        <is>
          <t>KR</t>
        </is>
      </c>
      <c r="F3128" s="75" t="n">
        <v>62902000</v>
      </c>
      <c r="G3128" s="75" t="n">
        <v>1201</v>
      </c>
      <c r="H3128" s="76" t="n">
        <v>3153000</v>
      </c>
      <c r="I3128" s="75" t="inlineStr">
        <is>
          <t>4월 업무 위탁 수수료 - X서비스</t>
        </is>
      </c>
      <c r="J3128" s="75" t="inlineStr">
        <is>
          <t>V10016</t>
        </is>
      </c>
      <c r="K3128" s="75" t="inlineStr">
        <is>
          <t>X서비스</t>
        </is>
      </c>
      <c r="M3128" s="9">
        <f>IF($A3128="","",VALUE($A3128&amp;"")*12+VALUE($B3128&amp;""))</f>
        <v/>
      </c>
      <c r="N3128" s="39">
        <f>IF($A3128="","",IFERROR(INDEX(부서매핑!$C$5:$C$504,MATCH($G3128&amp;"",부서매핑!$A$5:$A$504,0)),"미매핑"))</f>
        <v/>
      </c>
      <c r="O3128" s="9">
        <f>IF($A3128="","",N3128&amp;"|"&amp;$F3128)</f>
        <v/>
      </c>
      <c r="P3128" s="77">
        <f>IF($A3128="",0,$H3128*설정!$C$23)</f>
        <v/>
      </c>
      <c r="Q3128" s="39">
        <f>IF($A3128="","",IF(O3128&lt;&gt;원인분석!$C$9,"",IF(AND(M3128&gt;=원인분석!$C$10,M3128&lt;=원인분석!$C$11),"당기",IF(AND(M3128&gt;=원인분석!$C$12,M3128&lt;=원인분석!$C$13),"비교",""))))</f>
        <v/>
      </c>
      <c r="R3128" s="9">
        <f>IF(Q3128="","",$K3128&amp;"")</f>
        <v/>
      </c>
      <c r="S3128" s="9">
        <f>IF(Q3128="","",IF(MATCH(R3128,$R$5:$R$100000,0)=ROW()-4,ROW(),""))</f>
        <v/>
      </c>
      <c r="T3128" s="9">
        <f>IF(Q3128="당기",ABS(P3128)+ROW()/1000000000,"")</f>
        <v/>
      </c>
      <c r="U3128" s="9">
        <f>IF(Q3128="비교",ABS(P3128)+ROW()/1000000000,"")</f>
        <v/>
      </c>
      <c r="V3128" s="39">
        <f>IF($A3128="","",IF(COUNTIF(변동분석!$E$7:$E$506,O3128)&gt;0,"Y","N"))</f>
        <v/>
      </c>
      <c r="W3128" s="39">
        <f>IF($A3128="","",IFERROR(INDEX(계정매핑!$D$5:$D$504,MATCH($F3128&amp;"",계정매핑!$A$5:$A$504,0)),"미매핑"))</f>
        <v/>
      </c>
      <c r="X3128" s="9">
        <f>IF($A3128="","",$F3128&amp;"")</f>
        <v/>
      </c>
    </row>
    <row r="3129">
      <c r="A3129" s="75" t="n">
        <v>2026</v>
      </c>
      <c r="B3129" s="75" t="n">
        <v>4</v>
      </c>
      <c r="C3129" s="75" t="inlineStr">
        <is>
          <t>5100000785</t>
        </is>
      </c>
      <c r="D3129" s="78" t="n">
        <v>46139</v>
      </c>
      <c r="E3129" s="75" t="inlineStr">
        <is>
          <t>KR</t>
        </is>
      </c>
      <c r="F3129" s="75" t="n">
        <v>62101000</v>
      </c>
      <c r="G3129" s="75" t="n">
        <v>1301</v>
      </c>
      <c r="H3129" s="76" t="n">
        <v>275000</v>
      </c>
      <c r="I3129" s="75" t="inlineStr">
        <is>
          <t>4월 국내출장 - M항공</t>
        </is>
      </c>
      <c r="J3129" s="75" t="inlineStr">
        <is>
          <t>V10001</t>
        </is>
      </c>
      <c r="K3129" s="75" t="inlineStr">
        <is>
          <t>M항공</t>
        </is>
      </c>
      <c r="M3129" s="9">
        <f>IF($A3129="","",VALUE($A3129&amp;"")*12+VALUE($B3129&amp;""))</f>
        <v/>
      </c>
      <c r="N3129" s="39">
        <f>IF($A3129="","",IFERROR(INDEX(부서매핑!$C$5:$C$504,MATCH($G3129&amp;"",부서매핑!$A$5:$A$504,0)),"미매핑"))</f>
        <v/>
      </c>
      <c r="O3129" s="9">
        <f>IF($A3129="","",N3129&amp;"|"&amp;$F3129)</f>
        <v/>
      </c>
      <c r="P3129" s="77">
        <f>IF($A3129="",0,$H3129*설정!$C$23)</f>
        <v/>
      </c>
      <c r="Q3129" s="39">
        <f>IF($A3129="","",IF(O3129&lt;&gt;원인분석!$C$9,"",IF(AND(M3129&gt;=원인분석!$C$10,M3129&lt;=원인분석!$C$11),"당기",IF(AND(M3129&gt;=원인분석!$C$12,M3129&lt;=원인분석!$C$13),"비교",""))))</f>
        <v/>
      </c>
      <c r="R3129" s="9">
        <f>IF(Q3129="","",$K3129&amp;"")</f>
        <v/>
      </c>
      <c r="S3129" s="9">
        <f>IF(Q3129="","",IF(MATCH(R3129,$R$5:$R$100000,0)=ROW()-4,ROW(),""))</f>
        <v/>
      </c>
      <c r="T3129" s="9">
        <f>IF(Q3129="당기",ABS(P3129)+ROW()/1000000000,"")</f>
        <v/>
      </c>
      <c r="U3129" s="9">
        <f>IF(Q3129="비교",ABS(P3129)+ROW()/1000000000,"")</f>
        <v/>
      </c>
      <c r="V3129" s="39">
        <f>IF($A3129="","",IF(COUNTIF(변동분석!$E$7:$E$506,O3129)&gt;0,"Y","N"))</f>
        <v/>
      </c>
      <c r="W3129" s="39">
        <f>IF($A3129="","",IFERROR(INDEX(계정매핑!$D$5:$D$504,MATCH($F3129&amp;"",계정매핑!$A$5:$A$504,0)),"미매핑"))</f>
        <v/>
      </c>
      <c r="X3129" s="9">
        <f>IF($A3129="","",$F3129&amp;"")</f>
        <v/>
      </c>
    </row>
    <row r="3130">
      <c r="A3130" s="75" t="n">
        <v>2026</v>
      </c>
      <c r="B3130" s="75" t="n">
        <v>4</v>
      </c>
      <c r="C3130" s="75" t="inlineStr">
        <is>
          <t>5100000786</t>
        </is>
      </c>
      <c r="D3130" s="78" t="n">
        <v>46139</v>
      </c>
      <c r="E3130" s="75" t="inlineStr">
        <is>
          <t>KR</t>
        </is>
      </c>
      <c r="F3130" s="75" t="n">
        <v>62102000</v>
      </c>
      <c r="G3130" s="75" t="n">
        <v>1401</v>
      </c>
      <c r="H3130" s="76" t="n">
        <v>157000</v>
      </c>
      <c r="I3130" s="75" t="inlineStr">
        <is>
          <t>4월 해외출장 - M항공</t>
        </is>
      </c>
      <c r="J3130" s="75" t="inlineStr">
        <is>
          <t>V10001</t>
        </is>
      </c>
      <c r="K3130" s="75" t="inlineStr">
        <is>
          <t>M항공</t>
        </is>
      </c>
      <c r="M3130" s="9">
        <f>IF($A3130="","",VALUE($A3130&amp;"")*12+VALUE($B3130&amp;""))</f>
        <v/>
      </c>
      <c r="N3130" s="39">
        <f>IF($A3130="","",IFERROR(INDEX(부서매핑!$C$5:$C$504,MATCH($G3130&amp;"",부서매핑!$A$5:$A$504,0)),"미매핑"))</f>
        <v/>
      </c>
      <c r="O3130" s="9">
        <f>IF($A3130="","",N3130&amp;"|"&amp;$F3130)</f>
        <v/>
      </c>
      <c r="P3130" s="77">
        <f>IF($A3130="",0,$H3130*설정!$C$23)</f>
        <v/>
      </c>
      <c r="Q3130" s="39">
        <f>IF($A3130="","",IF(O3130&lt;&gt;원인분석!$C$9,"",IF(AND(M3130&gt;=원인분석!$C$10,M3130&lt;=원인분석!$C$11),"당기",IF(AND(M3130&gt;=원인분석!$C$12,M3130&lt;=원인분석!$C$13),"비교",""))))</f>
        <v/>
      </c>
      <c r="R3130" s="9">
        <f>IF(Q3130="","",$K3130&amp;"")</f>
        <v/>
      </c>
      <c r="S3130" s="9">
        <f>IF(Q3130="","",IF(MATCH(R3130,$R$5:$R$100000,0)=ROW()-4,ROW(),""))</f>
        <v/>
      </c>
      <c r="T3130" s="9">
        <f>IF(Q3130="당기",ABS(P3130)+ROW()/1000000000,"")</f>
        <v/>
      </c>
      <c r="U3130" s="9">
        <f>IF(Q3130="비교",ABS(P3130)+ROW()/1000000000,"")</f>
        <v/>
      </c>
      <c r="V3130" s="39">
        <f>IF($A3130="","",IF(COUNTIF(변동분석!$E$7:$E$506,O3130)&gt;0,"Y","N"))</f>
        <v/>
      </c>
      <c r="W3130" s="39">
        <f>IF($A3130="","",IFERROR(INDEX(계정매핑!$D$5:$D$504,MATCH($F3130&amp;"",계정매핑!$A$5:$A$504,0)),"미매핑"))</f>
        <v/>
      </c>
      <c r="X3130" s="9">
        <f>IF($A3130="","",$F3130&amp;"")</f>
        <v/>
      </c>
    </row>
    <row r="3131">
      <c r="A3131" s="75" t="n">
        <v>2026</v>
      </c>
      <c r="B3131" s="75" t="n">
        <v>4</v>
      </c>
      <c r="C3131" s="75" t="inlineStr">
        <is>
          <t>5100000787</t>
        </is>
      </c>
      <c r="D3131" s="78" t="n">
        <v>46139</v>
      </c>
      <c r="E3131" s="75" t="inlineStr">
        <is>
          <t>KR</t>
        </is>
      </c>
      <c r="F3131" s="75" t="n">
        <v>62301000</v>
      </c>
      <c r="G3131" s="75" t="n">
        <v>1301</v>
      </c>
      <c r="H3131" s="76" t="n">
        <v>246000</v>
      </c>
      <c r="I3131" s="75" t="inlineStr">
        <is>
          <t>4월 소모품 구입 - Q오피스</t>
        </is>
      </c>
      <c r="J3131" s="75" t="inlineStr">
        <is>
          <t>V10003</t>
        </is>
      </c>
      <c r="K3131" s="75" t="inlineStr">
        <is>
          <t>Q오피스</t>
        </is>
      </c>
      <c r="M3131" s="9">
        <f>IF($A3131="","",VALUE($A3131&amp;"")*12+VALUE($B3131&amp;""))</f>
        <v/>
      </c>
      <c r="N3131" s="39">
        <f>IF($A3131="","",IFERROR(INDEX(부서매핑!$C$5:$C$504,MATCH($G3131&amp;"",부서매핑!$A$5:$A$504,0)),"미매핑"))</f>
        <v/>
      </c>
      <c r="O3131" s="9">
        <f>IF($A3131="","",N3131&amp;"|"&amp;$F3131)</f>
        <v/>
      </c>
      <c r="P3131" s="77">
        <f>IF($A3131="",0,$H3131*설정!$C$23)</f>
        <v/>
      </c>
      <c r="Q3131" s="39">
        <f>IF($A3131="","",IF(O3131&lt;&gt;원인분석!$C$9,"",IF(AND(M3131&gt;=원인분석!$C$10,M3131&lt;=원인분석!$C$11),"당기",IF(AND(M3131&gt;=원인분석!$C$12,M3131&lt;=원인분석!$C$13),"비교",""))))</f>
        <v/>
      </c>
      <c r="R3131" s="9">
        <f>IF(Q3131="","",$K3131&amp;"")</f>
        <v/>
      </c>
      <c r="S3131" s="9">
        <f>IF(Q3131="","",IF(MATCH(R3131,$R$5:$R$100000,0)=ROW()-4,ROW(),""))</f>
        <v/>
      </c>
      <c r="T3131" s="9">
        <f>IF(Q3131="당기",ABS(P3131)+ROW()/1000000000,"")</f>
        <v/>
      </c>
      <c r="U3131" s="9">
        <f>IF(Q3131="비교",ABS(P3131)+ROW()/1000000000,"")</f>
        <v/>
      </c>
      <c r="V3131" s="39">
        <f>IF($A3131="","",IF(COUNTIF(변동분석!$E$7:$E$506,O3131)&gt;0,"Y","N"))</f>
        <v/>
      </c>
      <c r="W3131" s="39">
        <f>IF($A3131="","",IFERROR(INDEX(계정매핑!$D$5:$D$504,MATCH($F3131&amp;"",계정매핑!$A$5:$A$504,0)),"미매핑"))</f>
        <v/>
      </c>
      <c r="X3131" s="9">
        <f>IF($A3131="","",$F3131&amp;"")</f>
        <v/>
      </c>
    </row>
    <row r="3132">
      <c r="A3132" s="75" t="n">
        <v>2026</v>
      </c>
      <c r="B3132" s="75" t="n">
        <v>4</v>
      </c>
      <c r="C3132" s="75" t="inlineStr">
        <is>
          <t>5100000788</t>
        </is>
      </c>
      <c r="D3132" s="78" t="n">
        <v>46139</v>
      </c>
      <c r="E3132" s="75" t="inlineStr">
        <is>
          <t>KR</t>
        </is>
      </c>
      <c r="F3132" s="75" t="n">
        <v>62601000</v>
      </c>
      <c r="G3132" s="75" t="n">
        <v>1502</v>
      </c>
      <c r="H3132" s="76" t="n">
        <v>1422000</v>
      </c>
      <c r="I3132" s="75" t="inlineStr">
        <is>
          <t>4월 업무추진 - (법인카드)</t>
        </is>
      </c>
      <c r="J3132" s="75" t="inlineStr">
        <is>
          <t>V10008</t>
        </is>
      </c>
      <c r="K3132" s="75" t="inlineStr">
        <is>
          <t>(법인카드)</t>
        </is>
      </c>
      <c r="M3132" s="9">
        <f>IF($A3132="","",VALUE($A3132&amp;"")*12+VALUE($B3132&amp;""))</f>
        <v/>
      </c>
      <c r="N3132" s="39">
        <f>IF($A3132="","",IFERROR(INDEX(부서매핑!$C$5:$C$504,MATCH($G3132&amp;"",부서매핑!$A$5:$A$504,0)),"미매핑"))</f>
        <v/>
      </c>
      <c r="O3132" s="9">
        <f>IF($A3132="","",N3132&amp;"|"&amp;$F3132)</f>
        <v/>
      </c>
      <c r="P3132" s="77">
        <f>IF($A3132="",0,$H3132*설정!$C$23)</f>
        <v/>
      </c>
      <c r="Q3132" s="39">
        <f>IF($A3132="","",IF(O3132&lt;&gt;원인분석!$C$9,"",IF(AND(M3132&gt;=원인분석!$C$10,M3132&lt;=원인분석!$C$11),"당기",IF(AND(M3132&gt;=원인분석!$C$12,M3132&lt;=원인분석!$C$13),"비교",""))))</f>
        <v/>
      </c>
      <c r="R3132" s="9">
        <f>IF(Q3132="","",$K3132&amp;"")</f>
        <v/>
      </c>
      <c r="S3132" s="9">
        <f>IF(Q3132="","",IF(MATCH(R3132,$R$5:$R$100000,0)=ROW()-4,ROW(),""))</f>
        <v/>
      </c>
      <c r="T3132" s="9">
        <f>IF(Q3132="당기",ABS(P3132)+ROW()/1000000000,"")</f>
        <v/>
      </c>
      <c r="U3132" s="9">
        <f>IF(Q3132="비교",ABS(P3132)+ROW()/1000000000,"")</f>
        <v/>
      </c>
      <c r="V3132" s="39">
        <f>IF($A3132="","",IF(COUNTIF(변동분석!$E$7:$E$506,O3132)&gt;0,"Y","N"))</f>
        <v/>
      </c>
      <c r="W3132" s="39">
        <f>IF($A3132="","",IFERROR(INDEX(계정매핑!$D$5:$D$504,MATCH($F3132&amp;"",계정매핑!$A$5:$A$504,0)),"미매핑"))</f>
        <v/>
      </c>
      <c r="X3132" s="9">
        <f>IF($A3132="","",$F3132&amp;"")</f>
        <v/>
      </c>
    </row>
    <row r="3133">
      <c r="A3133" s="75" t="n">
        <v>2026</v>
      </c>
      <c r="B3133" s="75" t="n">
        <v>4</v>
      </c>
      <c r="C3133" s="75" t="inlineStr">
        <is>
          <t>5100000789</t>
        </is>
      </c>
      <c r="D3133" s="78" t="n">
        <v>46139</v>
      </c>
      <c r="E3133" s="75" t="inlineStr">
        <is>
          <t>KR</t>
        </is>
      </c>
      <c r="F3133" s="75" t="n">
        <v>62701000</v>
      </c>
      <c r="G3133" s="75" t="n">
        <v>1501</v>
      </c>
      <c r="H3133" s="76" t="n">
        <v>76643000</v>
      </c>
      <c r="I3133" s="75" t="inlineStr">
        <is>
          <t>4월 광고 집행 - E미디어</t>
        </is>
      </c>
      <c r="J3133" s="75" t="inlineStr">
        <is>
          <t>V10027</t>
        </is>
      </c>
      <c r="K3133" s="75" t="inlineStr">
        <is>
          <t>E미디어</t>
        </is>
      </c>
      <c r="M3133" s="9">
        <f>IF($A3133="","",VALUE($A3133&amp;"")*12+VALUE($B3133&amp;""))</f>
        <v/>
      </c>
      <c r="N3133" s="39">
        <f>IF($A3133="","",IFERROR(INDEX(부서매핑!$C$5:$C$504,MATCH($G3133&amp;"",부서매핑!$A$5:$A$504,0)),"미매핑"))</f>
        <v/>
      </c>
      <c r="O3133" s="9">
        <f>IF($A3133="","",N3133&amp;"|"&amp;$F3133)</f>
        <v/>
      </c>
      <c r="P3133" s="77">
        <f>IF($A3133="",0,$H3133*설정!$C$23)</f>
        <v/>
      </c>
      <c r="Q3133" s="39">
        <f>IF($A3133="","",IF(O3133&lt;&gt;원인분석!$C$9,"",IF(AND(M3133&gt;=원인분석!$C$10,M3133&lt;=원인분석!$C$11),"당기",IF(AND(M3133&gt;=원인분석!$C$12,M3133&lt;=원인분석!$C$13),"비교",""))))</f>
        <v/>
      </c>
      <c r="R3133" s="9">
        <f>IF(Q3133="","",$K3133&amp;"")</f>
        <v/>
      </c>
      <c r="S3133" s="9">
        <f>IF(Q3133="","",IF(MATCH(R3133,$R$5:$R$100000,0)=ROW()-4,ROW(),""))</f>
        <v/>
      </c>
      <c r="T3133" s="9">
        <f>IF(Q3133="당기",ABS(P3133)+ROW()/1000000000,"")</f>
        <v/>
      </c>
      <c r="U3133" s="9">
        <f>IF(Q3133="비교",ABS(P3133)+ROW()/1000000000,"")</f>
        <v/>
      </c>
      <c r="V3133" s="39">
        <f>IF($A3133="","",IF(COUNTIF(변동분석!$E$7:$E$506,O3133)&gt;0,"Y","N"))</f>
        <v/>
      </c>
      <c r="W3133" s="39">
        <f>IF($A3133="","",IFERROR(INDEX(계정매핑!$D$5:$D$504,MATCH($F3133&amp;"",계정매핑!$A$5:$A$504,0)),"미매핑"))</f>
        <v/>
      </c>
      <c r="X3133" s="9">
        <f>IF($A3133="","",$F3133&amp;"")</f>
        <v/>
      </c>
    </row>
    <row r="3134">
      <c r="A3134" s="75" t="n">
        <v>2026</v>
      </c>
      <c r="B3134" s="75" t="n">
        <v>4</v>
      </c>
      <c r="C3134" s="75" t="inlineStr">
        <is>
          <t>5100000790</t>
        </is>
      </c>
      <c r="D3134" s="78" t="n">
        <v>46139</v>
      </c>
      <c r="E3134" s="75" t="inlineStr">
        <is>
          <t>KR</t>
        </is>
      </c>
      <c r="F3134" s="75" t="n">
        <v>62901000</v>
      </c>
      <c r="G3134" s="75" t="n">
        <v>1801</v>
      </c>
      <c r="H3134" s="76" t="n">
        <v>9127000</v>
      </c>
      <c r="I3134" s="75" t="inlineStr">
        <is>
          <t>4월 자문 수수료 - K회계법인</t>
        </is>
      </c>
      <c r="J3134" s="75" t="inlineStr">
        <is>
          <t>V10010</t>
        </is>
      </c>
      <c r="K3134" s="75" t="inlineStr">
        <is>
          <t>K회계법인</t>
        </is>
      </c>
      <c r="M3134" s="9">
        <f>IF($A3134="","",VALUE($A3134&amp;"")*12+VALUE($B3134&amp;""))</f>
        <v/>
      </c>
      <c r="N3134" s="39">
        <f>IF($A3134="","",IFERROR(INDEX(부서매핑!$C$5:$C$504,MATCH($G3134&amp;"",부서매핑!$A$5:$A$504,0)),"미매핑"))</f>
        <v/>
      </c>
      <c r="O3134" s="9">
        <f>IF($A3134="","",N3134&amp;"|"&amp;$F3134)</f>
        <v/>
      </c>
      <c r="P3134" s="77">
        <f>IF($A3134="",0,$H3134*설정!$C$23)</f>
        <v/>
      </c>
      <c r="Q3134" s="39">
        <f>IF($A3134="","",IF(O3134&lt;&gt;원인분석!$C$9,"",IF(AND(M3134&gt;=원인분석!$C$10,M3134&lt;=원인분석!$C$11),"당기",IF(AND(M3134&gt;=원인분석!$C$12,M3134&lt;=원인분석!$C$13),"비교",""))))</f>
        <v/>
      </c>
      <c r="R3134" s="9">
        <f>IF(Q3134="","",$K3134&amp;"")</f>
        <v/>
      </c>
      <c r="S3134" s="9">
        <f>IF(Q3134="","",IF(MATCH(R3134,$R$5:$R$100000,0)=ROW()-4,ROW(),""))</f>
        <v/>
      </c>
      <c r="T3134" s="9">
        <f>IF(Q3134="당기",ABS(P3134)+ROW()/1000000000,"")</f>
        <v/>
      </c>
      <c r="U3134" s="9">
        <f>IF(Q3134="비교",ABS(P3134)+ROW()/1000000000,"")</f>
        <v/>
      </c>
      <c r="V3134" s="39">
        <f>IF($A3134="","",IF(COUNTIF(변동분석!$E$7:$E$506,O3134)&gt;0,"Y","N"))</f>
        <v/>
      </c>
      <c r="W3134" s="39">
        <f>IF($A3134="","",IFERROR(INDEX(계정매핑!$D$5:$D$504,MATCH($F3134&amp;"",계정매핑!$A$5:$A$504,0)),"미매핑"))</f>
        <v/>
      </c>
      <c r="X3134" s="9">
        <f>IF($A3134="","",$F3134&amp;"")</f>
        <v/>
      </c>
    </row>
    <row r="3135">
      <c r="A3135" s="75" t="n">
        <v>2026</v>
      </c>
      <c r="B3135" s="75" t="n">
        <v>4</v>
      </c>
      <c r="C3135" s="75" t="inlineStr">
        <is>
          <t>5100000791</t>
        </is>
      </c>
      <c r="D3135" s="78" t="n">
        <v>46139</v>
      </c>
      <c r="E3135" s="75" t="inlineStr">
        <is>
          <t>KR</t>
        </is>
      </c>
      <c r="F3135" s="75" t="n">
        <v>62902000</v>
      </c>
      <c r="G3135" s="75" t="n">
        <v>1801</v>
      </c>
      <c r="H3135" s="76" t="n">
        <v>1837000</v>
      </c>
      <c r="I3135" s="75" t="inlineStr">
        <is>
          <t>4월 콜 위탁 수수료(건별)</t>
        </is>
      </c>
      <c r="J3135" s="75" t="inlineStr">
        <is>
          <t>V10013</t>
        </is>
      </c>
      <c r="K3135" s="75" t="inlineStr">
        <is>
          <t>J콜센터</t>
        </is>
      </c>
      <c r="M3135" s="9">
        <f>IF($A3135="","",VALUE($A3135&amp;"")*12+VALUE($B3135&amp;""))</f>
        <v/>
      </c>
      <c r="N3135" s="39">
        <f>IF($A3135="","",IFERROR(INDEX(부서매핑!$C$5:$C$504,MATCH($G3135&amp;"",부서매핑!$A$5:$A$504,0)),"미매핑"))</f>
        <v/>
      </c>
      <c r="O3135" s="9">
        <f>IF($A3135="","",N3135&amp;"|"&amp;$F3135)</f>
        <v/>
      </c>
      <c r="P3135" s="77">
        <f>IF($A3135="",0,$H3135*설정!$C$23)</f>
        <v/>
      </c>
      <c r="Q3135" s="39">
        <f>IF($A3135="","",IF(O3135&lt;&gt;원인분석!$C$9,"",IF(AND(M3135&gt;=원인분석!$C$10,M3135&lt;=원인분석!$C$11),"당기",IF(AND(M3135&gt;=원인분석!$C$12,M3135&lt;=원인분석!$C$13),"비교",""))))</f>
        <v/>
      </c>
      <c r="R3135" s="9">
        <f>IF(Q3135="","",$K3135&amp;"")</f>
        <v/>
      </c>
      <c r="S3135" s="9">
        <f>IF(Q3135="","",IF(MATCH(R3135,$R$5:$R$100000,0)=ROW()-4,ROW(),""))</f>
        <v/>
      </c>
      <c r="T3135" s="9">
        <f>IF(Q3135="당기",ABS(P3135)+ROW()/1000000000,"")</f>
        <v/>
      </c>
      <c r="U3135" s="9">
        <f>IF(Q3135="비교",ABS(P3135)+ROW()/1000000000,"")</f>
        <v/>
      </c>
      <c r="V3135" s="39">
        <f>IF($A3135="","",IF(COUNTIF(변동분석!$E$7:$E$506,O3135)&gt;0,"Y","N"))</f>
        <v/>
      </c>
      <c r="W3135" s="39">
        <f>IF($A3135="","",IFERROR(INDEX(계정매핑!$D$5:$D$504,MATCH($F3135&amp;"",계정매핑!$A$5:$A$504,0)),"미매핑"))</f>
        <v/>
      </c>
      <c r="X3135" s="9">
        <f>IF($A3135="","",$F3135&amp;"")</f>
        <v/>
      </c>
    </row>
    <row r="3136">
      <c r="A3136" s="75" t="n">
        <v>2026</v>
      </c>
      <c r="B3136" s="75" t="n">
        <v>5</v>
      </c>
      <c r="C3136" s="75" t="inlineStr">
        <is>
          <t>5100000792</t>
        </is>
      </c>
      <c r="D3136" s="78" t="n">
        <v>46144</v>
      </c>
      <c r="E3136" s="75" t="inlineStr">
        <is>
          <t>KR</t>
        </is>
      </c>
      <c r="F3136" s="75" t="n">
        <v>62102000</v>
      </c>
      <c r="G3136" s="75" t="n">
        <v>1201</v>
      </c>
      <c r="H3136" s="76" t="n">
        <v>64000</v>
      </c>
      <c r="I3136" s="75" t="inlineStr">
        <is>
          <t>5월 해외출장 - N호텔</t>
        </is>
      </c>
      <c r="J3136" s="75" t="inlineStr">
        <is>
          <t>V10007</t>
        </is>
      </c>
      <c r="K3136" s="75" t="inlineStr">
        <is>
          <t>N호텔</t>
        </is>
      </c>
      <c r="M3136" s="9">
        <f>IF($A3136="","",VALUE($A3136&amp;"")*12+VALUE($B3136&amp;""))</f>
        <v/>
      </c>
      <c r="N3136" s="39">
        <f>IF($A3136="","",IFERROR(INDEX(부서매핑!$C$5:$C$504,MATCH($G3136&amp;"",부서매핑!$A$5:$A$504,0)),"미매핑"))</f>
        <v/>
      </c>
      <c r="O3136" s="9">
        <f>IF($A3136="","",N3136&amp;"|"&amp;$F3136)</f>
        <v/>
      </c>
      <c r="P3136" s="77">
        <f>IF($A3136="",0,$H3136*설정!$C$23)</f>
        <v/>
      </c>
      <c r="Q3136" s="39">
        <f>IF($A3136="","",IF(O3136&lt;&gt;원인분석!$C$9,"",IF(AND(M3136&gt;=원인분석!$C$10,M3136&lt;=원인분석!$C$11),"당기",IF(AND(M3136&gt;=원인분석!$C$12,M3136&lt;=원인분석!$C$13),"비교",""))))</f>
        <v/>
      </c>
      <c r="R3136" s="9">
        <f>IF(Q3136="","",$K3136&amp;"")</f>
        <v/>
      </c>
      <c r="S3136" s="9">
        <f>IF(Q3136="","",IF(MATCH(R3136,$R$5:$R$100000,0)=ROW()-4,ROW(),""))</f>
        <v/>
      </c>
      <c r="T3136" s="9">
        <f>IF(Q3136="당기",ABS(P3136)+ROW()/1000000000,"")</f>
        <v/>
      </c>
      <c r="U3136" s="9">
        <f>IF(Q3136="비교",ABS(P3136)+ROW()/1000000000,"")</f>
        <v/>
      </c>
      <c r="V3136" s="39">
        <f>IF($A3136="","",IF(COUNTIF(변동분석!$E$7:$E$506,O3136)&gt;0,"Y","N"))</f>
        <v/>
      </c>
      <c r="W3136" s="39">
        <f>IF($A3136="","",IFERROR(INDEX(계정매핑!$D$5:$D$504,MATCH($F3136&amp;"",계정매핑!$A$5:$A$504,0)),"미매핑"))</f>
        <v/>
      </c>
      <c r="X3136" s="9">
        <f>IF($A3136="","",$F3136&amp;"")</f>
        <v/>
      </c>
    </row>
    <row r="3137">
      <c r="A3137" s="75" t="n">
        <v>2026</v>
      </c>
      <c r="B3137" s="75" t="n">
        <v>5</v>
      </c>
      <c r="C3137" s="75" t="inlineStr">
        <is>
          <t>5100000793</t>
        </is>
      </c>
      <c r="D3137" s="78" t="n">
        <v>46144</v>
      </c>
      <c r="E3137" s="75" t="inlineStr">
        <is>
          <t>KR</t>
        </is>
      </c>
      <c r="F3137" s="75" t="n">
        <v>62301000</v>
      </c>
      <c r="G3137" s="75" t="n">
        <v>1602</v>
      </c>
      <c r="H3137" s="76" t="n">
        <v>319000</v>
      </c>
      <c r="I3137" s="75" t="inlineStr">
        <is>
          <t>5월 소모품 구입 - R문구</t>
        </is>
      </c>
      <c r="J3137" s="75" t="inlineStr">
        <is>
          <t>V10018</t>
        </is>
      </c>
      <c r="K3137" s="75" t="inlineStr">
        <is>
          <t>R문구</t>
        </is>
      </c>
      <c r="M3137" s="9">
        <f>IF($A3137="","",VALUE($A3137&amp;"")*12+VALUE($B3137&amp;""))</f>
        <v/>
      </c>
      <c r="N3137" s="39">
        <f>IF($A3137="","",IFERROR(INDEX(부서매핑!$C$5:$C$504,MATCH($G3137&amp;"",부서매핑!$A$5:$A$504,0)),"미매핑"))</f>
        <v/>
      </c>
      <c r="O3137" s="9">
        <f>IF($A3137="","",N3137&amp;"|"&amp;$F3137)</f>
        <v/>
      </c>
      <c r="P3137" s="77">
        <f>IF($A3137="",0,$H3137*설정!$C$23)</f>
        <v/>
      </c>
      <c r="Q3137" s="39">
        <f>IF($A3137="","",IF(O3137&lt;&gt;원인분석!$C$9,"",IF(AND(M3137&gt;=원인분석!$C$10,M3137&lt;=원인분석!$C$11),"당기",IF(AND(M3137&gt;=원인분석!$C$12,M3137&lt;=원인분석!$C$13),"비교",""))))</f>
        <v/>
      </c>
      <c r="R3137" s="9">
        <f>IF(Q3137="","",$K3137&amp;"")</f>
        <v/>
      </c>
      <c r="S3137" s="9">
        <f>IF(Q3137="","",IF(MATCH(R3137,$R$5:$R$100000,0)=ROW()-4,ROW(),""))</f>
        <v/>
      </c>
      <c r="T3137" s="9">
        <f>IF(Q3137="당기",ABS(P3137)+ROW()/1000000000,"")</f>
        <v/>
      </c>
      <c r="U3137" s="9">
        <f>IF(Q3137="비교",ABS(P3137)+ROW()/1000000000,"")</f>
        <v/>
      </c>
      <c r="V3137" s="39">
        <f>IF($A3137="","",IF(COUNTIF(변동분석!$E$7:$E$506,O3137)&gt;0,"Y","N"))</f>
        <v/>
      </c>
      <c r="W3137" s="39">
        <f>IF($A3137="","",IFERROR(INDEX(계정매핑!$D$5:$D$504,MATCH($F3137&amp;"",계정매핑!$A$5:$A$504,0)),"미매핑"))</f>
        <v/>
      </c>
      <c r="X3137" s="9">
        <f>IF($A3137="","",$F3137&amp;"")</f>
        <v/>
      </c>
    </row>
    <row r="3138">
      <c r="A3138" s="75" t="n">
        <v>2026</v>
      </c>
      <c r="B3138" s="75" t="n">
        <v>5</v>
      </c>
      <c r="C3138" s="75" t="inlineStr">
        <is>
          <t>5100000794</t>
        </is>
      </c>
      <c r="D3138" s="78" t="n">
        <v>46145</v>
      </c>
      <c r="E3138" s="75" t="inlineStr">
        <is>
          <t>KR</t>
        </is>
      </c>
      <c r="F3138" s="75" t="n">
        <v>62102000</v>
      </c>
      <c r="G3138" s="75" t="n">
        <v>1301</v>
      </c>
      <c r="H3138" s="76" t="n">
        <v>81000</v>
      </c>
      <c r="I3138" s="75" t="inlineStr">
        <is>
          <t>5월 해외출장 - N호텔</t>
        </is>
      </c>
      <c r="J3138" s="75" t="inlineStr">
        <is>
          <t>V10007</t>
        </is>
      </c>
      <c r="K3138" s="75" t="inlineStr">
        <is>
          <t>N호텔</t>
        </is>
      </c>
      <c r="M3138" s="9">
        <f>IF($A3138="","",VALUE($A3138&amp;"")*12+VALUE($B3138&amp;""))</f>
        <v/>
      </c>
      <c r="N3138" s="39">
        <f>IF($A3138="","",IFERROR(INDEX(부서매핑!$C$5:$C$504,MATCH($G3138&amp;"",부서매핑!$A$5:$A$504,0)),"미매핑"))</f>
        <v/>
      </c>
      <c r="O3138" s="9">
        <f>IF($A3138="","",N3138&amp;"|"&amp;$F3138)</f>
        <v/>
      </c>
      <c r="P3138" s="77">
        <f>IF($A3138="",0,$H3138*설정!$C$23)</f>
        <v/>
      </c>
      <c r="Q3138" s="39">
        <f>IF($A3138="","",IF(O3138&lt;&gt;원인분석!$C$9,"",IF(AND(M3138&gt;=원인분석!$C$10,M3138&lt;=원인분석!$C$11),"당기",IF(AND(M3138&gt;=원인분석!$C$12,M3138&lt;=원인분석!$C$13),"비교",""))))</f>
        <v/>
      </c>
      <c r="R3138" s="9">
        <f>IF(Q3138="","",$K3138&amp;"")</f>
        <v/>
      </c>
      <c r="S3138" s="9">
        <f>IF(Q3138="","",IF(MATCH(R3138,$R$5:$R$100000,0)=ROW()-4,ROW(),""))</f>
        <v/>
      </c>
      <c r="T3138" s="9">
        <f>IF(Q3138="당기",ABS(P3138)+ROW()/1000000000,"")</f>
        <v/>
      </c>
      <c r="U3138" s="9">
        <f>IF(Q3138="비교",ABS(P3138)+ROW()/1000000000,"")</f>
        <v/>
      </c>
      <c r="V3138" s="39">
        <f>IF($A3138="","",IF(COUNTIF(변동분석!$E$7:$E$506,O3138)&gt;0,"Y","N"))</f>
        <v/>
      </c>
      <c r="W3138" s="39">
        <f>IF($A3138="","",IFERROR(INDEX(계정매핑!$D$5:$D$504,MATCH($F3138&amp;"",계정매핑!$A$5:$A$504,0)),"미매핑"))</f>
        <v/>
      </c>
      <c r="X3138" s="9">
        <f>IF($A3138="","",$F3138&amp;"")</f>
        <v/>
      </c>
    </row>
    <row r="3139">
      <c r="A3139" s="75" t="n">
        <v>2026</v>
      </c>
      <c r="B3139" s="75" t="n">
        <v>5</v>
      </c>
      <c r="C3139" s="75" t="inlineStr">
        <is>
          <t>5100000795</t>
        </is>
      </c>
      <c r="D3139" s="78" t="n">
        <v>46145</v>
      </c>
      <c r="E3139" s="75" t="inlineStr">
        <is>
          <t>KR</t>
        </is>
      </c>
      <c r="F3139" s="75" t="n">
        <v>62102000</v>
      </c>
      <c r="G3139" s="75" t="n">
        <v>1401</v>
      </c>
      <c r="H3139" s="76" t="n">
        <v>110000</v>
      </c>
      <c r="I3139" s="75" t="inlineStr">
        <is>
          <t>5월 해외출장 - M항공</t>
        </is>
      </c>
      <c r="J3139" s="75" t="inlineStr">
        <is>
          <t>V10001</t>
        </is>
      </c>
      <c r="K3139" s="75" t="inlineStr">
        <is>
          <t>M항공</t>
        </is>
      </c>
      <c r="M3139" s="9">
        <f>IF($A3139="","",VALUE($A3139&amp;"")*12+VALUE($B3139&amp;""))</f>
        <v/>
      </c>
      <c r="N3139" s="39">
        <f>IF($A3139="","",IFERROR(INDEX(부서매핑!$C$5:$C$504,MATCH($G3139&amp;"",부서매핑!$A$5:$A$504,0)),"미매핑"))</f>
        <v/>
      </c>
      <c r="O3139" s="9">
        <f>IF($A3139="","",N3139&amp;"|"&amp;$F3139)</f>
        <v/>
      </c>
      <c r="P3139" s="77">
        <f>IF($A3139="",0,$H3139*설정!$C$23)</f>
        <v/>
      </c>
      <c r="Q3139" s="39">
        <f>IF($A3139="","",IF(O3139&lt;&gt;원인분석!$C$9,"",IF(AND(M3139&gt;=원인분석!$C$10,M3139&lt;=원인분석!$C$11),"당기",IF(AND(M3139&gt;=원인분석!$C$12,M3139&lt;=원인분석!$C$13),"비교",""))))</f>
        <v/>
      </c>
      <c r="R3139" s="9">
        <f>IF(Q3139="","",$K3139&amp;"")</f>
        <v/>
      </c>
      <c r="S3139" s="9">
        <f>IF(Q3139="","",IF(MATCH(R3139,$R$5:$R$100000,0)=ROW()-4,ROW(),""))</f>
        <v/>
      </c>
      <c r="T3139" s="9">
        <f>IF(Q3139="당기",ABS(P3139)+ROW()/1000000000,"")</f>
        <v/>
      </c>
      <c r="U3139" s="9">
        <f>IF(Q3139="비교",ABS(P3139)+ROW()/1000000000,"")</f>
        <v/>
      </c>
      <c r="V3139" s="39">
        <f>IF($A3139="","",IF(COUNTIF(변동분석!$E$7:$E$506,O3139)&gt;0,"Y","N"))</f>
        <v/>
      </c>
      <c r="W3139" s="39">
        <f>IF($A3139="","",IFERROR(INDEX(계정매핑!$D$5:$D$504,MATCH($F3139&amp;"",계정매핑!$A$5:$A$504,0)),"미매핑"))</f>
        <v/>
      </c>
      <c r="X3139" s="9">
        <f>IF($A3139="","",$F3139&amp;"")</f>
        <v/>
      </c>
    </row>
    <row r="3140">
      <c r="A3140" s="75" t="n">
        <v>2026</v>
      </c>
      <c r="B3140" s="75" t="n">
        <v>5</v>
      </c>
      <c r="C3140" s="75" t="inlineStr">
        <is>
          <t>5100000796</t>
        </is>
      </c>
      <c r="D3140" s="78" t="n">
        <v>46145</v>
      </c>
      <c r="E3140" s="75" t="inlineStr">
        <is>
          <t>KR</t>
        </is>
      </c>
      <c r="F3140" s="75" t="n">
        <v>62102000</v>
      </c>
      <c r="G3140" s="75" t="n">
        <v>1502</v>
      </c>
      <c r="H3140" s="76" t="n">
        <v>163000</v>
      </c>
      <c r="I3140" s="75" t="inlineStr">
        <is>
          <t>5월 해외출장 - N호텔</t>
        </is>
      </c>
      <c r="J3140" s="75" t="inlineStr">
        <is>
          <t>V10007</t>
        </is>
      </c>
      <c r="K3140" s="75" t="inlineStr">
        <is>
          <t>N호텔</t>
        </is>
      </c>
      <c r="M3140" s="9">
        <f>IF($A3140="","",VALUE($A3140&amp;"")*12+VALUE($B3140&amp;""))</f>
        <v/>
      </c>
      <c r="N3140" s="39">
        <f>IF($A3140="","",IFERROR(INDEX(부서매핑!$C$5:$C$504,MATCH($G3140&amp;"",부서매핑!$A$5:$A$504,0)),"미매핑"))</f>
        <v/>
      </c>
      <c r="O3140" s="9">
        <f>IF($A3140="","",N3140&amp;"|"&amp;$F3140)</f>
        <v/>
      </c>
      <c r="P3140" s="77">
        <f>IF($A3140="",0,$H3140*설정!$C$23)</f>
        <v/>
      </c>
      <c r="Q3140" s="39">
        <f>IF($A3140="","",IF(O3140&lt;&gt;원인분석!$C$9,"",IF(AND(M3140&gt;=원인분석!$C$10,M3140&lt;=원인분석!$C$11),"당기",IF(AND(M3140&gt;=원인분석!$C$12,M3140&lt;=원인분석!$C$13),"비교",""))))</f>
        <v/>
      </c>
      <c r="R3140" s="9">
        <f>IF(Q3140="","",$K3140&amp;"")</f>
        <v/>
      </c>
      <c r="S3140" s="9">
        <f>IF(Q3140="","",IF(MATCH(R3140,$R$5:$R$100000,0)=ROW()-4,ROW(),""))</f>
        <v/>
      </c>
      <c r="T3140" s="9">
        <f>IF(Q3140="당기",ABS(P3140)+ROW()/1000000000,"")</f>
        <v/>
      </c>
      <c r="U3140" s="9">
        <f>IF(Q3140="비교",ABS(P3140)+ROW()/1000000000,"")</f>
        <v/>
      </c>
      <c r="V3140" s="39">
        <f>IF($A3140="","",IF(COUNTIF(변동분석!$E$7:$E$506,O3140)&gt;0,"Y","N"))</f>
        <v/>
      </c>
      <c r="W3140" s="39">
        <f>IF($A3140="","",IFERROR(INDEX(계정매핑!$D$5:$D$504,MATCH($F3140&amp;"",계정매핑!$A$5:$A$504,0)),"미매핑"))</f>
        <v/>
      </c>
      <c r="X3140" s="9">
        <f>IF($A3140="","",$F3140&amp;"")</f>
        <v/>
      </c>
    </row>
    <row r="3141">
      <c r="A3141" s="75" t="n">
        <v>2026</v>
      </c>
      <c r="B3141" s="75" t="n">
        <v>5</v>
      </c>
      <c r="C3141" s="75" t="inlineStr">
        <is>
          <t>5100000797</t>
        </is>
      </c>
      <c r="D3141" s="78" t="n">
        <v>46145</v>
      </c>
      <c r="E3141" s="75" t="inlineStr">
        <is>
          <t>KR</t>
        </is>
      </c>
      <c r="F3141" s="75" t="n">
        <v>62201000</v>
      </c>
      <c r="G3141" s="75" t="n">
        <v>1401</v>
      </c>
      <c r="H3141" s="76" t="n">
        <v>109000</v>
      </c>
      <c r="I3141" s="75" t="inlineStr">
        <is>
          <t>5월 통신요금 - P통신</t>
        </is>
      </c>
      <c r="J3141" s="75" t="inlineStr">
        <is>
          <t>V10011</t>
        </is>
      </c>
      <c r="K3141" s="75" t="inlineStr">
        <is>
          <t>P통신</t>
        </is>
      </c>
      <c r="M3141" s="9">
        <f>IF($A3141="","",VALUE($A3141&amp;"")*12+VALUE($B3141&amp;""))</f>
        <v/>
      </c>
      <c r="N3141" s="39">
        <f>IF($A3141="","",IFERROR(INDEX(부서매핑!$C$5:$C$504,MATCH($G3141&amp;"",부서매핑!$A$5:$A$504,0)),"미매핑"))</f>
        <v/>
      </c>
      <c r="O3141" s="9">
        <f>IF($A3141="","",N3141&amp;"|"&amp;$F3141)</f>
        <v/>
      </c>
      <c r="P3141" s="77">
        <f>IF($A3141="",0,$H3141*설정!$C$23)</f>
        <v/>
      </c>
      <c r="Q3141" s="39">
        <f>IF($A3141="","",IF(O3141&lt;&gt;원인분석!$C$9,"",IF(AND(M3141&gt;=원인분석!$C$10,M3141&lt;=원인분석!$C$11),"당기",IF(AND(M3141&gt;=원인분석!$C$12,M3141&lt;=원인분석!$C$13),"비교",""))))</f>
        <v/>
      </c>
      <c r="R3141" s="9">
        <f>IF(Q3141="","",$K3141&amp;"")</f>
        <v/>
      </c>
      <c r="S3141" s="9">
        <f>IF(Q3141="","",IF(MATCH(R3141,$R$5:$R$100000,0)=ROW()-4,ROW(),""))</f>
        <v/>
      </c>
      <c r="T3141" s="9">
        <f>IF(Q3141="당기",ABS(P3141)+ROW()/1000000000,"")</f>
        <v/>
      </c>
      <c r="U3141" s="9">
        <f>IF(Q3141="비교",ABS(P3141)+ROW()/1000000000,"")</f>
        <v/>
      </c>
      <c r="V3141" s="39">
        <f>IF($A3141="","",IF(COUNTIF(변동분석!$E$7:$E$506,O3141)&gt;0,"Y","N"))</f>
        <v/>
      </c>
      <c r="W3141" s="39">
        <f>IF($A3141="","",IFERROR(INDEX(계정매핑!$D$5:$D$504,MATCH($F3141&amp;"",계정매핑!$A$5:$A$504,0)),"미매핑"))</f>
        <v/>
      </c>
      <c r="X3141" s="9">
        <f>IF($A3141="","",$F3141&amp;"")</f>
        <v/>
      </c>
    </row>
    <row r="3142">
      <c r="A3142" s="75" t="n">
        <v>2026</v>
      </c>
      <c r="B3142" s="75" t="n">
        <v>5</v>
      </c>
      <c r="C3142" s="75" t="inlineStr">
        <is>
          <t>5100000798</t>
        </is>
      </c>
      <c r="D3142" s="78" t="n">
        <v>46145</v>
      </c>
      <c r="E3142" s="75" t="inlineStr">
        <is>
          <t>KR</t>
        </is>
      </c>
      <c r="F3142" s="75" t="n">
        <v>62201000</v>
      </c>
      <c r="G3142" s="75" t="n">
        <v>1701</v>
      </c>
      <c r="H3142" s="76" t="n">
        <v>6522000</v>
      </c>
      <c r="I3142" s="75" t="inlineStr">
        <is>
          <t>5월 통신요금 - O텔레콤</t>
        </is>
      </c>
      <c r="J3142" s="75" t="inlineStr">
        <is>
          <t>V10002</t>
        </is>
      </c>
      <c r="K3142" s="75" t="inlineStr">
        <is>
          <t>O텔레콤</t>
        </is>
      </c>
      <c r="M3142" s="9">
        <f>IF($A3142="","",VALUE($A3142&amp;"")*12+VALUE($B3142&amp;""))</f>
        <v/>
      </c>
      <c r="N3142" s="39">
        <f>IF($A3142="","",IFERROR(INDEX(부서매핑!$C$5:$C$504,MATCH($G3142&amp;"",부서매핑!$A$5:$A$504,0)),"미매핑"))</f>
        <v/>
      </c>
      <c r="O3142" s="9">
        <f>IF($A3142="","",N3142&amp;"|"&amp;$F3142)</f>
        <v/>
      </c>
      <c r="P3142" s="77">
        <f>IF($A3142="",0,$H3142*설정!$C$23)</f>
        <v/>
      </c>
      <c r="Q3142" s="39">
        <f>IF($A3142="","",IF(O3142&lt;&gt;원인분석!$C$9,"",IF(AND(M3142&gt;=원인분석!$C$10,M3142&lt;=원인분석!$C$11),"당기",IF(AND(M3142&gt;=원인분석!$C$12,M3142&lt;=원인분석!$C$13),"비교",""))))</f>
        <v/>
      </c>
      <c r="R3142" s="9">
        <f>IF(Q3142="","",$K3142&amp;"")</f>
        <v/>
      </c>
      <c r="S3142" s="9">
        <f>IF(Q3142="","",IF(MATCH(R3142,$R$5:$R$100000,0)=ROW()-4,ROW(),""))</f>
        <v/>
      </c>
      <c r="T3142" s="9">
        <f>IF(Q3142="당기",ABS(P3142)+ROW()/1000000000,"")</f>
        <v/>
      </c>
      <c r="U3142" s="9">
        <f>IF(Q3142="비교",ABS(P3142)+ROW()/1000000000,"")</f>
        <v/>
      </c>
      <c r="V3142" s="39">
        <f>IF($A3142="","",IF(COUNTIF(변동분석!$E$7:$E$506,O3142)&gt;0,"Y","N"))</f>
        <v/>
      </c>
      <c r="W3142" s="39">
        <f>IF($A3142="","",IFERROR(INDEX(계정매핑!$D$5:$D$504,MATCH($F3142&amp;"",계정매핑!$A$5:$A$504,0)),"미매핑"))</f>
        <v/>
      </c>
      <c r="X3142" s="9">
        <f>IF($A3142="","",$F3142&amp;"")</f>
        <v/>
      </c>
    </row>
    <row r="3143">
      <c r="A3143" s="75" t="n">
        <v>2026</v>
      </c>
      <c r="B3143" s="75" t="n">
        <v>5</v>
      </c>
      <c r="C3143" s="75" t="inlineStr">
        <is>
          <t>5100000799</t>
        </is>
      </c>
      <c r="D3143" s="78" t="n">
        <v>46145</v>
      </c>
      <c r="E3143" s="75" t="inlineStr">
        <is>
          <t>KR</t>
        </is>
      </c>
      <c r="F3143" s="75" t="n">
        <v>62501000</v>
      </c>
      <c r="G3143" s="75" t="n">
        <v>1701</v>
      </c>
      <c r="H3143" s="76" t="n">
        <v>145000</v>
      </c>
      <c r="I3143" s="75" t="inlineStr">
        <is>
          <t>5월 회의 다과 - T케이터링</t>
        </is>
      </c>
      <c r="J3143" s="75" t="inlineStr">
        <is>
          <t>V10005</t>
        </is>
      </c>
      <c r="K3143" s="75" t="inlineStr">
        <is>
          <t>T케이터링</t>
        </is>
      </c>
      <c r="M3143" s="9">
        <f>IF($A3143="","",VALUE($A3143&amp;"")*12+VALUE($B3143&amp;""))</f>
        <v/>
      </c>
      <c r="N3143" s="39">
        <f>IF($A3143="","",IFERROR(INDEX(부서매핑!$C$5:$C$504,MATCH($G3143&amp;"",부서매핑!$A$5:$A$504,0)),"미매핑"))</f>
        <v/>
      </c>
      <c r="O3143" s="9">
        <f>IF($A3143="","",N3143&amp;"|"&amp;$F3143)</f>
        <v/>
      </c>
      <c r="P3143" s="77">
        <f>IF($A3143="",0,$H3143*설정!$C$23)</f>
        <v/>
      </c>
      <c r="Q3143" s="39">
        <f>IF($A3143="","",IF(O3143&lt;&gt;원인분석!$C$9,"",IF(AND(M3143&gt;=원인분석!$C$10,M3143&lt;=원인분석!$C$11),"당기",IF(AND(M3143&gt;=원인분석!$C$12,M3143&lt;=원인분석!$C$13),"비교",""))))</f>
        <v/>
      </c>
      <c r="R3143" s="9">
        <f>IF(Q3143="","",$K3143&amp;"")</f>
        <v/>
      </c>
      <c r="S3143" s="9">
        <f>IF(Q3143="","",IF(MATCH(R3143,$R$5:$R$100000,0)=ROW()-4,ROW(),""))</f>
        <v/>
      </c>
      <c r="T3143" s="9">
        <f>IF(Q3143="당기",ABS(P3143)+ROW()/1000000000,"")</f>
        <v/>
      </c>
      <c r="U3143" s="9">
        <f>IF(Q3143="비교",ABS(P3143)+ROW()/1000000000,"")</f>
        <v/>
      </c>
      <c r="V3143" s="39">
        <f>IF($A3143="","",IF(COUNTIF(변동분석!$E$7:$E$506,O3143)&gt;0,"Y","N"))</f>
        <v/>
      </c>
      <c r="W3143" s="39">
        <f>IF($A3143="","",IFERROR(INDEX(계정매핑!$D$5:$D$504,MATCH($F3143&amp;"",계정매핑!$A$5:$A$504,0)),"미매핑"))</f>
        <v/>
      </c>
      <c r="X3143" s="9">
        <f>IF($A3143="","",$F3143&amp;"")</f>
        <v/>
      </c>
    </row>
    <row r="3144">
      <c r="A3144" s="75" t="n">
        <v>2026</v>
      </c>
      <c r="B3144" s="75" t="n">
        <v>5</v>
      </c>
      <c r="C3144" s="75" t="inlineStr">
        <is>
          <t>5100000800</t>
        </is>
      </c>
      <c r="D3144" s="78" t="n">
        <v>46145</v>
      </c>
      <c r="E3144" s="75" t="inlineStr">
        <is>
          <t>KR</t>
        </is>
      </c>
      <c r="F3144" s="75" t="n">
        <v>62901000</v>
      </c>
      <c r="G3144" s="75" t="n">
        <v>1801</v>
      </c>
      <c r="H3144" s="76" t="n">
        <v>8946000</v>
      </c>
      <c r="I3144" s="75" t="inlineStr">
        <is>
          <t>5월 자문 수수료 - K회계법인</t>
        </is>
      </c>
      <c r="J3144" s="75" t="inlineStr">
        <is>
          <t>V10010</t>
        </is>
      </c>
      <c r="K3144" s="75" t="inlineStr">
        <is>
          <t>K회계법인</t>
        </is>
      </c>
      <c r="M3144" s="9">
        <f>IF($A3144="","",VALUE($A3144&amp;"")*12+VALUE($B3144&amp;""))</f>
        <v/>
      </c>
      <c r="N3144" s="39">
        <f>IF($A3144="","",IFERROR(INDEX(부서매핑!$C$5:$C$504,MATCH($G3144&amp;"",부서매핑!$A$5:$A$504,0)),"미매핑"))</f>
        <v/>
      </c>
      <c r="O3144" s="9">
        <f>IF($A3144="","",N3144&amp;"|"&amp;$F3144)</f>
        <v/>
      </c>
      <c r="P3144" s="77">
        <f>IF($A3144="",0,$H3144*설정!$C$23)</f>
        <v/>
      </c>
      <c r="Q3144" s="39">
        <f>IF($A3144="","",IF(O3144&lt;&gt;원인분석!$C$9,"",IF(AND(M3144&gt;=원인분석!$C$10,M3144&lt;=원인분석!$C$11),"당기",IF(AND(M3144&gt;=원인분석!$C$12,M3144&lt;=원인분석!$C$13),"비교",""))))</f>
        <v/>
      </c>
      <c r="R3144" s="9">
        <f>IF(Q3144="","",$K3144&amp;"")</f>
        <v/>
      </c>
      <c r="S3144" s="9">
        <f>IF(Q3144="","",IF(MATCH(R3144,$R$5:$R$100000,0)=ROW()-4,ROW(),""))</f>
        <v/>
      </c>
      <c r="T3144" s="9">
        <f>IF(Q3144="당기",ABS(P3144)+ROW()/1000000000,"")</f>
        <v/>
      </c>
      <c r="U3144" s="9">
        <f>IF(Q3144="비교",ABS(P3144)+ROW()/1000000000,"")</f>
        <v/>
      </c>
      <c r="V3144" s="39">
        <f>IF($A3144="","",IF(COUNTIF(변동분석!$E$7:$E$506,O3144)&gt;0,"Y","N"))</f>
        <v/>
      </c>
      <c r="W3144" s="39">
        <f>IF($A3144="","",IFERROR(INDEX(계정매핑!$D$5:$D$504,MATCH($F3144&amp;"",계정매핑!$A$5:$A$504,0)),"미매핑"))</f>
        <v/>
      </c>
      <c r="X3144" s="9">
        <f>IF($A3144="","",$F3144&amp;"")</f>
        <v/>
      </c>
    </row>
    <row r="3145">
      <c r="A3145" s="75" t="n">
        <v>2026</v>
      </c>
      <c r="B3145" s="75" t="n">
        <v>5</v>
      </c>
      <c r="C3145" s="75" t="inlineStr">
        <is>
          <t>5100000801</t>
        </is>
      </c>
      <c r="D3145" s="78" t="n">
        <v>46146</v>
      </c>
      <c r="E3145" s="75" t="inlineStr">
        <is>
          <t>KR</t>
        </is>
      </c>
      <c r="F3145" s="75" t="n">
        <v>62101000</v>
      </c>
      <c r="G3145" s="75" t="n">
        <v>1301</v>
      </c>
      <c r="H3145" s="76" t="n">
        <v>726000</v>
      </c>
      <c r="I3145" s="75" t="inlineStr">
        <is>
          <t>5월 국내출장 - L여행사</t>
        </is>
      </c>
      <c r="J3145" s="75" t="inlineStr">
        <is>
          <t>V10014</t>
        </is>
      </c>
      <c r="K3145" s="75" t="inlineStr">
        <is>
          <t>L여행사</t>
        </is>
      </c>
      <c r="M3145" s="9">
        <f>IF($A3145="","",VALUE($A3145&amp;"")*12+VALUE($B3145&amp;""))</f>
        <v/>
      </c>
      <c r="N3145" s="39">
        <f>IF($A3145="","",IFERROR(INDEX(부서매핑!$C$5:$C$504,MATCH($G3145&amp;"",부서매핑!$A$5:$A$504,0)),"미매핑"))</f>
        <v/>
      </c>
      <c r="O3145" s="9">
        <f>IF($A3145="","",N3145&amp;"|"&amp;$F3145)</f>
        <v/>
      </c>
      <c r="P3145" s="77">
        <f>IF($A3145="",0,$H3145*설정!$C$23)</f>
        <v/>
      </c>
      <c r="Q3145" s="39">
        <f>IF($A3145="","",IF(O3145&lt;&gt;원인분석!$C$9,"",IF(AND(M3145&gt;=원인분석!$C$10,M3145&lt;=원인분석!$C$11),"당기",IF(AND(M3145&gt;=원인분석!$C$12,M3145&lt;=원인분석!$C$13),"비교",""))))</f>
        <v/>
      </c>
      <c r="R3145" s="9">
        <f>IF(Q3145="","",$K3145&amp;"")</f>
        <v/>
      </c>
      <c r="S3145" s="9">
        <f>IF(Q3145="","",IF(MATCH(R3145,$R$5:$R$100000,0)=ROW()-4,ROW(),""))</f>
        <v/>
      </c>
      <c r="T3145" s="9">
        <f>IF(Q3145="당기",ABS(P3145)+ROW()/1000000000,"")</f>
        <v/>
      </c>
      <c r="U3145" s="9">
        <f>IF(Q3145="비교",ABS(P3145)+ROW()/1000000000,"")</f>
        <v/>
      </c>
      <c r="V3145" s="39">
        <f>IF($A3145="","",IF(COUNTIF(변동분석!$E$7:$E$506,O3145)&gt;0,"Y","N"))</f>
        <v/>
      </c>
      <c r="W3145" s="39">
        <f>IF($A3145="","",IFERROR(INDEX(계정매핑!$D$5:$D$504,MATCH($F3145&amp;"",계정매핑!$A$5:$A$504,0)),"미매핑"))</f>
        <v/>
      </c>
      <c r="X3145" s="9">
        <f>IF($A3145="","",$F3145&amp;"")</f>
        <v/>
      </c>
    </row>
    <row r="3146">
      <c r="A3146" s="75" t="n">
        <v>2026</v>
      </c>
      <c r="B3146" s="75" t="n">
        <v>5</v>
      </c>
      <c r="C3146" s="75" t="inlineStr">
        <is>
          <t>5100000802</t>
        </is>
      </c>
      <c r="D3146" s="78" t="n">
        <v>46146</v>
      </c>
      <c r="E3146" s="75" t="inlineStr">
        <is>
          <t>KR</t>
        </is>
      </c>
      <c r="F3146" s="75" t="n">
        <v>62101000</v>
      </c>
      <c r="G3146" s="75" t="n">
        <v>1601</v>
      </c>
      <c r="H3146" s="76" t="n">
        <v>1136000</v>
      </c>
      <c r="I3146" s="75" t="inlineStr">
        <is>
          <t>5월 국내출장 - L여행사</t>
        </is>
      </c>
      <c r="J3146" s="75" t="inlineStr">
        <is>
          <t>V10014</t>
        </is>
      </c>
      <c r="K3146" s="75" t="inlineStr">
        <is>
          <t>L여행사</t>
        </is>
      </c>
      <c r="M3146" s="9">
        <f>IF($A3146="","",VALUE($A3146&amp;"")*12+VALUE($B3146&amp;""))</f>
        <v/>
      </c>
      <c r="N3146" s="39">
        <f>IF($A3146="","",IFERROR(INDEX(부서매핑!$C$5:$C$504,MATCH($G3146&amp;"",부서매핑!$A$5:$A$504,0)),"미매핑"))</f>
        <v/>
      </c>
      <c r="O3146" s="9">
        <f>IF($A3146="","",N3146&amp;"|"&amp;$F3146)</f>
        <v/>
      </c>
      <c r="P3146" s="77">
        <f>IF($A3146="",0,$H3146*설정!$C$23)</f>
        <v/>
      </c>
      <c r="Q3146" s="39">
        <f>IF($A3146="","",IF(O3146&lt;&gt;원인분석!$C$9,"",IF(AND(M3146&gt;=원인분석!$C$10,M3146&lt;=원인분석!$C$11),"당기",IF(AND(M3146&gt;=원인분석!$C$12,M3146&lt;=원인분석!$C$13),"비교",""))))</f>
        <v/>
      </c>
      <c r="R3146" s="9">
        <f>IF(Q3146="","",$K3146&amp;"")</f>
        <v/>
      </c>
      <c r="S3146" s="9">
        <f>IF(Q3146="","",IF(MATCH(R3146,$R$5:$R$100000,0)=ROW()-4,ROW(),""))</f>
        <v/>
      </c>
      <c r="T3146" s="9">
        <f>IF(Q3146="당기",ABS(P3146)+ROW()/1000000000,"")</f>
        <v/>
      </c>
      <c r="U3146" s="9">
        <f>IF(Q3146="비교",ABS(P3146)+ROW()/1000000000,"")</f>
        <v/>
      </c>
      <c r="V3146" s="39">
        <f>IF($A3146="","",IF(COUNTIF(변동분석!$E$7:$E$506,O3146)&gt;0,"Y","N"))</f>
        <v/>
      </c>
      <c r="W3146" s="39">
        <f>IF($A3146="","",IFERROR(INDEX(계정매핑!$D$5:$D$504,MATCH($F3146&amp;"",계정매핑!$A$5:$A$504,0)),"미매핑"))</f>
        <v/>
      </c>
      <c r="X3146" s="9">
        <f>IF($A3146="","",$F3146&amp;"")</f>
        <v/>
      </c>
    </row>
    <row r="3147">
      <c r="A3147" s="75" t="n">
        <v>2026</v>
      </c>
      <c r="B3147" s="75" t="n">
        <v>5</v>
      </c>
      <c r="C3147" s="75" t="inlineStr">
        <is>
          <t>5100000803</t>
        </is>
      </c>
      <c r="D3147" s="78" t="n">
        <v>46146</v>
      </c>
      <c r="E3147" s="75" t="inlineStr">
        <is>
          <t>KR</t>
        </is>
      </c>
      <c r="F3147" s="75" t="n">
        <v>62101000</v>
      </c>
      <c r="G3147" s="75" t="n">
        <v>1601</v>
      </c>
      <c r="H3147" s="76" t="n">
        <v>1626000</v>
      </c>
      <c r="I3147" s="75" t="inlineStr">
        <is>
          <t>5월 국내출장 - M항공</t>
        </is>
      </c>
      <c r="J3147" s="75" t="inlineStr">
        <is>
          <t>V10001</t>
        </is>
      </c>
      <c r="K3147" s="75" t="inlineStr">
        <is>
          <t>M항공</t>
        </is>
      </c>
      <c r="M3147" s="9">
        <f>IF($A3147="","",VALUE($A3147&amp;"")*12+VALUE($B3147&amp;""))</f>
        <v/>
      </c>
      <c r="N3147" s="39">
        <f>IF($A3147="","",IFERROR(INDEX(부서매핑!$C$5:$C$504,MATCH($G3147&amp;"",부서매핑!$A$5:$A$504,0)),"미매핑"))</f>
        <v/>
      </c>
      <c r="O3147" s="9">
        <f>IF($A3147="","",N3147&amp;"|"&amp;$F3147)</f>
        <v/>
      </c>
      <c r="P3147" s="77">
        <f>IF($A3147="",0,$H3147*설정!$C$23)</f>
        <v/>
      </c>
      <c r="Q3147" s="39">
        <f>IF($A3147="","",IF(O3147&lt;&gt;원인분석!$C$9,"",IF(AND(M3147&gt;=원인분석!$C$10,M3147&lt;=원인분석!$C$11),"당기",IF(AND(M3147&gt;=원인분석!$C$12,M3147&lt;=원인분석!$C$13),"비교",""))))</f>
        <v/>
      </c>
      <c r="R3147" s="9">
        <f>IF(Q3147="","",$K3147&amp;"")</f>
        <v/>
      </c>
      <c r="S3147" s="9">
        <f>IF(Q3147="","",IF(MATCH(R3147,$R$5:$R$100000,0)=ROW()-4,ROW(),""))</f>
        <v/>
      </c>
      <c r="T3147" s="9">
        <f>IF(Q3147="당기",ABS(P3147)+ROW()/1000000000,"")</f>
        <v/>
      </c>
      <c r="U3147" s="9">
        <f>IF(Q3147="비교",ABS(P3147)+ROW()/1000000000,"")</f>
        <v/>
      </c>
      <c r="V3147" s="39">
        <f>IF($A3147="","",IF(COUNTIF(변동분석!$E$7:$E$506,O3147)&gt;0,"Y","N"))</f>
        <v/>
      </c>
      <c r="W3147" s="39">
        <f>IF($A3147="","",IFERROR(INDEX(계정매핑!$D$5:$D$504,MATCH($F3147&amp;"",계정매핑!$A$5:$A$504,0)),"미매핑"))</f>
        <v/>
      </c>
      <c r="X3147" s="9">
        <f>IF($A3147="","",$F3147&amp;"")</f>
        <v/>
      </c>
    </row>
    <row r="3148">
      <c r="A3148" s="75" t="n">
        <v>2026</v>
      </c>
      <c r="B3148" s="75" t="n">
        <v>5</v>
      </c>
      <c r="C3148" s="75" t="inlineStr">
        <is>
          <t>5100000804</t>
        </is>
      </c>
      <c r="D3148" s="78" t="n">
        <v>46146</v>
      </c>
      <c r="E3148" s="75" t="inlineStr">
        <is>
          <t>KR</t>
        </is>
      </c>
      <c r="F3148" s="75" t="n">
        <v>62102000</v>
      </c>
      <c r="G3148" s="75" t="n">
        <v>1301</v>
      </c>
      <c r="H3148" s="76" t="n">
        <v>49000</v>
      </c>
      <c r="I3148" s="75" t="inlineStr">
        <is>
          <t>5월 해외출장 - M항공</t>
        </is>
      </c>
      <c r="J3148" s="75" t="inlineStr">
        <is>
          <t>V10001</t>
        </is>
      </c>
      <c r="K3148" s="75" t="inlineStr">
        <is>
          <t>M항공</t>
        </is>
      </c>
      <c r="M3148" s="9">
        <f>IF($A3148="","",VALUE($A3148&amp;"")*12+VALUE($B3148&amp;""))</f>
        <v/>
      </c>
      <c r="N3148" s="39">
        <f>IF($A3148="","",IFERROR(INDEX(부서매핑!$C$5:$C$504,MATCH($G3148&amp;"",부서매핑!$A$5:$A$504,0)),"미매핑"))</f>
        <v/>
      </c>
      <c r="O3148" s="9">
        <f>IF($A3148="","",N3148&amp;"|"&amp;$F3148)</f>
        <v/>
      </c>
      <c r="P3148" s="77">
        <f>IF($A3148="",0,$H3148*설정!$C$23)</f>
        <v/>
      </c>
      <c r="Q3148" s="39">
        <f>IF($A3148="","",IF(O3148&lt;&gt;원인분석!$C$9,"",IF(AND(M3148&gt;=원인분석!$C$10,M3148&lt;=원인분석!$C$11),"당기",IF(AND(M3148&gt;=원인분석!$C$12,M3148&lt;=원인분석!$C$13),"비교",""))))</f>
        <v/>
      </c>
      <c r="R3148" s="9">
        <f>IF(Q3148="","",$K3148&amp;"")</f>
        <v/>
      </c>
      <c r="S3148" s="9">
        <f>IF(Q3148="","",IF(MATCH(R3148,$R$5:$R$100000,0)=ROW()-4,ROW(),""))</f>
        <v/>
      </c>
      <c r="T3148" s="9">
        <f>IF(Q3148="당기",ABS(P3148)+ROW()/1000000000,"")</f>
        <v/>
      </c>
      <c r="U3148" s="9">
        <f>IF(Q3148="비교",ABS(P3148)+ROW()/1000000000,"")</f>
        <v/>
      </c>
      <c r="V3148" s="39">
        <f>IF($A3148="","",IF(COUNTIF(변동분석!$E$7:$E$506,O3148)&gt;0,"Y","N"))</f>
        <v/>
      </c>
      <c r="W3148" s="39">
        <f>IF($A3148="","",IFERROR(INDEX(계정매핑!$D$5:$D$504,MATCH($F3148&amp;"",계정매핑!$A$5:$A$504,0)),"미매핑"))</f>
        <v/>
      </c>
      <c r="X3148" s="9">
        <f>IF($A3148="","",$F3148&amp;"")</f>
        <v/>
      </c>
    </row>
    <row r="3149">
      <c r="A3149" s="75" t="n">
        <v>2026</v>
      </c>
      <c r="B3149" s="75" t="n">
        <v>5</v>
      </c>
      <c r="C3149" s="75" t="inlineStr">
        <is>
          <t>5100000805</t>
        </is>
      </c>
      <c r="D3149" s="78" t="n">
        <v>46146</v>
      </c>
      <c r="E3149" s="75" t="inlineStr">
        <is>
          <t>KR</t>
        </is>
      </c>
      <c r="F3149" s="75" t="n">
        <v>62201000</v>
      </c>
      <c r="G3149" s="75" t="n">
        <v>1101</v>
      </c>
      <c r="H3149" s="76" t="n">
        <v>156000</v>
      </c>
      <c r="I3149" s="75" t="inlineStr">
        <is>
          <t>5월 통신요금 - O텔레콤</t>
        </is>
      </c>
      <c r="J3149" s="75" t="inlineStr">
        <is>
          <t>V10002</t>
        </is>
      </c>
      <c r="K3149" s="75" t="inlineStr">
        <is>
          <t>O텔레콤</t>
        </is>
      </c>
      <c r="M3149" s="9">
        <f>IF($A3149="","",VALUE($A3149&amp;"")*12+VALUE($B3149&amp;""))</f>
        <v/>
      </c>
      <c r="N3149" s="39">
        <f>IF($A3149="","",IFERROR(INDEX(부서매핑!$C$5:$C$504,MATCH($G3149&amp;"",부서매핑!$A$5:$A$504,0)),"미매핑"))</f>
        <v/>
      </c>
      <c r="O3149" s="9">
        <f>IF($A3149="","",N3149&amp;"|"&amp;$F3149)</f>
        <v/>
      </c>
      <c r="P3149" s="77">
        <f>IF($A3149="",0,$H3149*설정!$C$23)</f>
        <v/>
      </c>
      <c r="Q3149" s="39">
        <f>IF($A3149="","",IF(O3149&lt;&gt;원인분석!$C$9,"",IF(AND(M3149&gt;=원인분석!$C$10,M3149&lt;=원인분석!$C$11),"당기",IF(AND(M3149&gt;=원인분석!$C$12,M3149&lt;=원인분석!$C$13),"비교",""))))</f>
        <v/>
      </c>
      <c r="R3149" s="9">
        <f>IF(Q3149="","",$K3149&amp;"")</f>
        <v/>
      </c>
      <c r="S3149" s="9">
        <f>IF(Q3149="","",IF(MATCH(R3149,$R$5:$R$100000,0)=ROW()-4,ROW(),""))</f>
        <v/>
      </c>
      <c r="T3149" s="9">
        <f>IF(Q3149="당기",ABS(P3149)+ROW()/1000000000,"")</f>
        <v/>
      </c>
      <c r="U3149" s="9">
        <f>IF(Q3149="비교",ABS(P3149)+ROW()/1000000000,"")</f>
        <v/>
      </c>
      <c r="V3149" s="39">
        <f>IF($A3149="","",IF(COUNTIF(변동분석!$E$7:$E$506,O3149)&gt;0,"Y","N"))</f>
        <v/>
      </c>
      <c r="W3149" s="39">
        <f>IF($A3149="","",IFERROR(INDEX(계정매핑!$D$5:$D$504,MATCH($F3149&amp;"",계정매핑!$A$5:$A$504,0)),"미매핑"))</f>
        <v/>
      </c>
      <c r="X3149" s="9">
        <f>IF($A3149="","",$F3149&amp;"")</f>
        <v/>
      </c>
    </row>
    <row r="3150">
      <c r="A3150" s="75" t="n">
        <v>2026</v>
      </c>
      <c r="B3150" s="75" t="n">
        <v>5</v>
      </c>
      <c r="C3150" s="75" t="inlineStr">
        <is>
          <t>5100000806</t>
        </is>
      </c>
      <c r="D3150" s="78" t="n">
        <v>46146</v>
      </c>
      <c r="E3150" s="75" t="inlineStr">
        <is>
          <t>KR</t>
        </is>
      </c>
      <c r="F3150" s="75" t="n">
        <v>62201000</v>
      </c>
      <c r="G3150" s="75" t="n">
        <v>1701</v>
      </c>
      <c r="H3150" s="76" t="n">
        <v>3654000</v>
      </c>
      <c r="I3150" s="75" t="inlineStr">
        <is>
          <t>5월 통신요금 - P통신</t>
        </is>
      </c>
      <c r="J3150" s="75" t="inlineStr">
        <is>
          <t>V10011</t>
        </is>
      </c>
      <c r="K3150" s="75" t="inlineStr">
        <is>
          <t>P통신</t>
        </is>
      </c>
      <c r="M3150" s="9">
        <f>IF($A3150="","",VALUE($A3150&amp;"")*12+VALUE($B3150&amp;""))</f>
        <v/>
      </c>
      <c r="N3150" s="39">
        <f>IF($A3150="","",IFERROR(INDEX(부서매핑!$C$5:$C$504,MATCH($G3150&amp;"",부서매핑!$A$5:$A$504,0)),"미매핑"))</f>
        <v/>
      </c>
      <c r="O3150" s="9">
        <f>IF($A3150="","",N3150&amp;"|"&amp;$F3150)</f>
        <v/>
      </c>
      <c r="P3150" s="77">
        <f>IF($A3150="",0,$H3150*설정!$C$23)</f>
        <v/>
      </c>
      <c r="Q3150" s="39">
        <f>IF($A3150="","",IF(O3150&lt;&gt;원인분석!$C$9,"",IF(AND(M3150&gt;=원인분석!$C$10,M3150&lt;=원인분석!$C$11),"당기",IF(AND(M3150&gt;=원인분석!$C$12,M3150&lt;=원인분석!$C$13),"비교",""))))</f>
        <v/>
      </c>
      <c r="R3150" s="9">
        <f>IF(Q3150="","",$K3150&amp;"")</f>
        <v/>
      </c>
      <c r="S3150" s="9">
        <f>IF(Q3150="","",IF(MATCH(R3150,$R$5:$R$100000,0)=ROW()-4,ROW(),""))</f>
        <v/>
      </c>
      <c r="T3150" s="9">
        <f>IF(Q3150="당기",ABS(P3150)+ROW()/1000000000,"")</f>
        <v/>
      </c>
      <c r="U3150" s="9">
        <f>IF(Q3150="비교",ABS(P3150)+ROW()/1000000000,"")</f>
        <v/>
      </c>
      <c r="V3150" s="39">
        <f>IF($A3150="","",IF(COUNTIF(변동분석!$E$7:$E$506,O3150)&gt;0,"Y","N"))</f>
        <v/>
      </c>
      <c r="W3150" s="39">
        <f>IF($A3150="","",IFERROR(INDEX(계정매핑!$D$5:$D$504,MATCH($F3150&amp;"",계정매핑!$A$5:$A$504,0)),"미매핑"))</f>
        <v/>
      </c>
      <c r="X3150" s="9">
        <f>IF($A3150="","",$F3150&amp;"")</f>
        <v/>
      </c>
    </row>
    <row r="3151">
      <c r="A3151" s="75" t="n">
        <v>2026</v>
      </c>
      <c r="B3151" s="75" t="n">
        <v>5</v>
      </c>
      <c r="C3151" s="75" t="inlineStr">
        <is>
          <t>5100000807</t>
        </is>
      </c>
      <c r="D3151" s="78" t="n">
        <v>46146</v>
      </c>
      <c r="E3151" s="75" t="inlineStr">
        <is>
          <t>KR</t>
        </is>
      </c>
      <c r="F3151" s="75" t="n">
        <v>62301000</v>
      </c>
      <c r="G3151" s="75" t="n">
        <v>1101</v>
      </c>
      <c r="H3151" s="76" t="n">
        <v>298000</v>
      </c>
      <c r="I3151" s="75" t="inlineStr">
        <is>
          <t>5월 소모품 구입 - Q오피스</t>
        </is>
      </c>
      <c r="J3151" s="75" t="inlineStr">
        <is>
          <t>V10003</t>
        </is>
      </c>
      <c r="K3151" s="75" t="inlineStr">
        <is>
          <t>Q오피스</t>
        </is>
      </c>
      <c r="M3151" s="9">
        <f>IF($A3151="","",VALUE($A3151&amp;"")*12+VALUE($B3151&amp;""))</f>
        <v/>
      </c>
      <c r="N3151" s="39">
        <f>IF($A3151="","",IFERROR(INDEX(부서매핑!$C$5:$C$504,MATCH($G3151&amp;"",부서매핑!$A$5:$A$504,0)),"미매핑"))</f>
        <v/>
      </c>
      <c r="O3151" s="9">
        <f>IF($A3151="","",N3151&amp;"|"&amp;$F3151)</f>
        <v/>
      </c>
      <c r="P3151" s="77">
        <f>IF($A3151="",0,$H3151*설정!$C$23)</f>
        <v/>
      </c>
      <c r="Q3151" s="39">
        <f>IF($A3151="","",IF(O3151&lt;&gt;원인분석!$C$9,"",IF(AND(M3151&gt;=원인분석!$C$10,M3151&lt;=원인분석!$C$11),"당기",IF(AND(M3151&gt;=원인분석!$C$12,M3151&lt;=원인분석!$C$13),"비교",""))))</f>
        <v/>
      </c>
      <c r="R3151" s="9">
        <f>IF(Q3151="","",$K3151&amp;"")</f>
        <v/>
      </c>
      <c r="S3151" s="9">
        <f>IF(Q3151="","",IF(MATCH(R3151,$R$5:$R$100000,0)=ROW()-4,ROW(),""))</f>
        <v/>
      </c>
      <c r="T3151" s="9">
        <f>IF(Q3151="당기",ABS(P3151)+ROW()/1000000000,"")</f>
        <v/>
      </c>
      <c r="U3151" s="9">
        <f>IF(Q3151="비교",ABS(P3151)+ROW()/1000000000,"")</f>
        <v/>
      </c>
      <c r="V3151" s="39">
        <f>IF($A3151="","",IF(COUNTIF(변동분석!$E$7:$E$506,O3151)&gt;0,"Y","N"))</f>
        <v/>
      </c>
      <c r="W3151" s="39">
        <f>IF($A3151="","",IFERROR(INDEX(계정매핑!$D$5:$D$504,MATCH($F3151&amp;"",계정매핑!$A$5:$A$504,0)),"미매핑"))</f>
        <v/>
      </c>
      <c r="X3151" s="9">
        <f>IF($A3151="","",$F3151&amp;"")</f>
        <v/>
      </c>
    </row>
    <row r="3152">
      <c r="A3152" s="75" t="n">
        <v>2026</v>
      </c>
      <c r="B3152" s="75" t="n">
        <v>5</v>
      </c>
      <c r="C3152" s="75" t="inlineStr">
        <is>
          <t>5100000808</t>
        </is>
      </c>
      <c r="D3152" s="78" t="n">
        <v>46146</v>
      </c>
      <c r="E3152" s="75" t="inlineStr">
        <is>
          <t>KR</t>
        </is>
      </c>
      <c r="F3152" s="75" t="n">
        <v>62301000</v>
      </c>
      <c r="G3152" s="75" t="n">
        <v>1401</v>
      </c>
      <c r="H3152" s="76" t="n">
        <v>138000</v>
      </c>
      <c r="I3152" s="75" t="inlineStr">
        <is>
          <t>5월 소모품 구입 - R문구</t>
        </is>
      </c>
      <c r="J3152" s="75" t="inlineStr">
        <is>
          <t>V10018</t>
        </is>
      </c>
      <c r="K3152" s="75" t="inlineStr">
        <is>
          <t>R문구</t>
        </is>
      </c>
      <c r="M3152" s="9">
        <f>IF($A3152="","",VALUE($A3152&amp;"")*12+VALUE($B3152&amp;""))</f>
        <v/>
      </c>
      <c r="N3152" s="39">
        <f>IF($A3152="","",IFERROR(INDEX(부서매핑!$C$5:$C$504,MATCH($G3152&amp;"",부서매핑!$A$5:$A$504,0)),"미매핑"))</f>
        <v/>
      </c>
      <c r="O3152" s="9">
        <f>IF($A3152="","",N3152&amp;"|"&amp;$F3152)</f>
        <v/>
      </c>
      <c r="P3152" s="77">
        <f>IF($A3152="",0,$H3152*설정!$C$23)</f>
        <v/>
      </c>
      <c r="Q3152" s="39">
        <f>IF($A3152="","",IF(O3152&lt;&gt;원인분석!$C$9,"",IF(AND(M3152&gt;=원인분석!$C$10,M3152&lt;=원인분석!$C$11),"당기",IF(AND(M3152&gt;=원인분석!$C$12,M3152&lt;=원인분석!$C$13),"비교",""))))</f>
        <v/>
      </c>
      <c r="R3152" s="9">
        <f>IF(Q3152="","",$K3152&amp;"")</f>
        <v/>
      </c>
      <c r="S3152" s="9">
        <f>IF(Q3152="","",IF(MATCH(R3152,$R$5:$R$100000,0)=ROW()-4,ROW(),""))</f>
        <v/>
      </c>
      <c r="T3152" s="9">
        <f>IF(Q3152="당기",ABS(P3152)+ROW()/1000000000,"")</f>
        <v/>
      </c>
      <c r="U3152" s="9">
        <f>IF(Q3152="비교",ABS(P3152)+ROW()/1000000000,"")</f>
        <v/>
      </c>
      <c r="V3152" s="39">
        <f>IF($A3152="","",IF(COUNTIF(변동분석!$E$7:$E$506,O3152)&gt;0,"Y","N"))</f>
        <v/>
      </c>
      <c r="W3152" s="39">
        <f>IF($A3152="","",IFERROR(INDEX(계정매핑!$D$5:$D$504,MATCH($F3152&amp;"",계정매핑!$A$5:$A$504,0)),"미매핑"))</f>
        <v/>
      </c>
      <c r="X3152" s="9">
        <f>IF($A3152="","",$F3152&amp;"")</f>
        <v/>
      </c>
    </row>
    <row r="3153">
      <c r="A3153" s="75" t="n">
        <v>2026</v>
      </c>
      <c r="B3153" s="75" t="n">
        <v>5</v>
      </c>
      <c r="C3153" s="75" t="inlineStr">
        <is>
          <t>5100000809</t>
        </is>
      </c>
      <c r="D3153" s="78" t="n">
        <v>46146</v>
      </c>
      <c r="E3153" s="75" t="inlineStr">
        <is>
          <t>KR</t>
        </is>
      </c>
      <c r="F3153" s="75" t="n">
        <v>62301000</v>
      </c>
      <c r="G3153" s="75" t="n">
        <v>1502</v>
      </c>
      <c r="H3153" s="76" t="n">
        <v>233000</v>
      </c>
      <c r="I3153" s="75" t="inlineStr">
        <is>
          <t>5월 소모품 구입 - Q오피스</t>
        </is>
      </c>
      <c r="J3153" s="75" t="inlineStr">
        <is>
          <t>V10003</t>
        </is>
      </c>
      <c r="K3153" s="75" t="inlineStr">
        <is>
          <t>Q오피스</t>
        </is>
      </c>
      <c r="M3153" s="9">
        <f>IF($A3153="","",VALUE($A3153&amp;"")*12+VALUE($B3153&amp;""))</f>
        <v/>
      </c>
      <c r="N3153" s="39">
        <f>IF($A3153="","",IFERROR(INDEX(부서매핑!$C$5:$C$504,MATCH($G3153&amp;"",부서매핑!$A$5:$A$504,0)),"미매핑"))</f>
        <v/>
      </c>
      <c r="O3153" s="9">
        <f>IF($A3153="","",N3153&amp;"|"&amp;$F3153)</f>
        <v/>
      </c>
      <c r="P3153" s="77">
        <f>IF($A3153="",0,$H3153*설정!$C$23)</f>
        <v/>
      </c>
      <c r="Q3153" s="39">
        <f>IF($A3153="","",IF(O3153&lt;&gt;원인분석!$C$9,"",IF(AND(M3153&gt;=원인분석!$C$10,M3153&lt;=원인분석!$C$11),"당기",IF(AND(M3153&gt;=원인분석!$C$12,M3153&lt;=원인분석!$C$13),"비교",""))))</f>
        <v/>
      </c>
      <c r="R3153" s="9">
        <f>IF(Q3153="","",$K3153&amp;"")</f>
        <v/>
      </c>
      <c r="S3153" s="9">
        <f>IF(Q3153="","",IF(MATCH(R3153,$R$5:$R$100000,0)=ROW()-4,ROW(),""))</f>
        <v/>
      </c>
      <c r="T3153" s="9">
        <f>IF(Q3153="당기",ABS(P3153)+ROW()/1000000000,"")</f>
        <v/>
      </c>
      <c r="U3153" s="9">
        <f>IF(Q3153="비교",ABS(P3153)+ROW()/1000000000,"")</f>
        <v/>
      </c>
      <c r="V3153" s="39">
        <f>IF($A3153="","",IF(COUNTIF(변동분석!$E$7:$E$506,O3153)&gt;0,"Y","N"))</f>
        <v/>
      </c>
      <c r="W3153" s="39">
        <f>IF($A3153="","",IFERROR(INDEX(계정매핑!$D$5:$D$504,MATCH($F3153&amp;"",계정매핑!$A$5:$A$504,0)),"미매핑"))</f>
        <v/>
      </c>
      <c r="X3153" s="9">
        <f>IF($A3153="","",$F3153&amp;"")</f>
        <v/>
      </c>
    </row>
    <row r="3154">
      <c r="A3154" s="75" t="n">
        <v>2026</v>
      </c>
      <c r="B3154" s="75" t="n">
        <v>5</v>
      </c>
      <c r="C3154" s="75" t="inlineStr">
        <is>
          <t>5100000810</t>
        </is>
      </c>
      <c r="D3154" s="78" t="n">
        <v>46146</v>
      </c>
      <c r="E3154" s="75" t="inlineStr">
        <is>
          <t>KR</t>
        </is>
      </c>
      <c r="F3154" s="75" t="n">
        <v>62901000</v>
      </c>
      <c r="G3154" s="75" t="n">
        <v>1201</v>
      </c>
      <c r="H3154" s="76" t="n">
        <v>8420000</v>
      </c>
      <c r="I3154" s="75" t="inlineStr">
        <is>
          <t>5월 자문 수수료 - K회계법인</t>
        </is>
      </c>
      <c r="J3154" s="75" t="inlineStr">
        <is>
          <t>V10010</t>
        </is>
      </c>
      <c r="K3154" s="75" t="inlineStr">
        <is>
          <t>K회계법인</t>
        </is>
      </c>
      <c r="M3154" s="9">
        <f>IF($A3154="","",VALUE($A3154&amp;"")*12+VALUE($B3154&amp;""))</f>
        <v/>
      </c>
      <c r="N3154" s="39">
        <f>IF($A3154="","",IFERROR(INDEX(부서매핑!$C$5:$C$504,MATCH($G3154&amp;"",부서매핑!$A$5:$A$504,0)),"미매핑"))</f>
        <v/>
      </c>
      <c r="O3154" s="9">
        <f>IF($A3154="","",N3154&amp;"|"&amp;$F3154)</f>
        <v/>
      </c>
      <c r="P3154" s="77">
        <f>IF($A3154="",0,$H3154*설정!$C$23)</f>
        <v/>
      </c>
      <c r="Q3154" s="39">
        <f>IF($A3154="","",IF(O3154&lt;&gt;원인분석!$C$9,"",IF(AND(M3154&gt;=원인분석!$C$10,M3154&lt;=원인분석!$C$11),"당기",IF(AND(M3154&gt;=원인분석!$C$12,M3154&lt;=원인분석!$C$13),"비교",""))))</f>
        <v/>
      </c>
      <c r="R3154" s="9">
        <f>IF(Q3154="","",$K3154&amp;"")</f>
        <v/>
      </c>
      <c r="S3154" s="9">
        <f>IF(Q3154="","",IF(MATCH(R3154,$R$5:$R$100000,0)=ROW()-4,ROW(),""))</f>
        <v/>
      </c>
      <c r="T3154" s="9">
        <f>IF(Q3154="당기",ABS(P3154)+ROW()/1000000000,"")</f>
        <v/>
      </c>
      <c r="U3154" s="9">
        <f>IF(Q3154="비교",ABS(P3154)+ROW()/1000000000,"")</f>
        <v/>
      </c>
      <c r="V3154" s="39">
        <f>IF($A3154="","",IF(COUNTIF(변동분석!$E$7:$E$506,O3154)&gt;0,"Y","N"))</f>
        <v/>
      </c>
      <c r="W3154" s="39">
        <f>IF($A3154="","",IFERROR(INDEX(계정매핑!$D$5:$D$504,MATCH($F3154&amp;"",계정매핑!$A$5:$A$504,0)),"미매핑"))</f>
        <v/>
      </c>
      <c r="X3154" s="9">
        <f>IF($A3154="","",$F3154&amp;"")</f>
        <v/>
      </c>
    </row>
    <row r="3155">
      <c r="A3155" s="75" t="n">
        <v>2026</v>
      </c>
      <c r="B3155" s="75" t="n">
        <v>5</v>
      </c>
      <c r="C3155" s="75" t="inlineStr">
        <is>
          <t>5100000811</t>
        </is>
      </c>
      <c r="D3155" s="78" t="n">
        <v>46146</v>
      </c>
      <c r="E3155" s="75" t="inlineStr">
        <is>
          <t>KR</t>
        </is>
      </c>
      <c r="F3155" s="75" t="n">
        <v>62902000</v>
      </c>
      <c r="G3155" s="75" t="n">
        <v>1801</v>
      </c>
      <c r="H3155" s="76" t="n">
        <v>1823000</v>
      </c>
      <c r="I3155" s="75" t="inlineStr">
        <is>
          <t>5월 콜 위탁 수수료(건별)</t>
        </is>
      </c>
      <c r="J3155" s="75" t="inlineStr">
        <is>
          <t>V10013</t>
        </is>
      </c>
      <c r="K3155" s="75" t="inlineStr">
        <is>
          <t>J콜센터</t>
        </is>
      </c>
      <c r="M3155" s="9">
        <f>IF($A3155="","",VALUE($A3155&amp;"")*12+VALUE($B3155&amp;""))</f>
        <v/>
      </c>
      <c r="N3155" s="39">
        <f>IF($A3155="","",IFERROR(INDEX(부서매핑!$C$5:$C$504,MATCH($G3155&amp;"",부서매핑!$A$5:$A$504,0)),"미매핑"))</f>
        <v/>
      </c>
      <c r="O3155" s="9">
        <f>IF($A3155="","",N3155&amp;"|"&amp;$F3155)</f>
        <v/>
      </c>
      <c r="P3155" s="77">
        <f>IF($A3155="",0,$H3155*설정!$C$23)</f>
        <v/>
      </c>
      <c r="Q3155" s="39">
        <f>IF($A3155="","",IF(O3155&lt;&gt;원인분석!$C$9,"",IF(AND(M3155&gt;=원인분석!$C$10,M3155&lt;=원인분석!$C$11),"당기",IF(AND(M3155&gt;=원인분석!$C$12,M3155&lt;=원인분석!$C$13),"비교",""))))</f>
        <v/>
      </c>
      <c r="R3155" s="9">
        <f>IF(Q3155="","",$K3155&amp;"")</f>
        <v/>
      </c>
      <c r="S3155" s="9">
        <f>IF(Q3155="","",IF(MATCH(R3155,$R$5:$R$100000,0)=ROW()-4,ROW(),""))</f>
        <v/>
      </c>
      <c r="T3155" s="9">
        <f>IF(Q3155="당기",ABS(P3155)+ROW()/1000000000,"")</f>
        <v/>
      </c>
      <c r="U3155" s="9">
        <f>IF(Q3155="비교",ABS(P3155)+ROW()/1000000000,"")</f>
        <v/>
      </c>
      <c r="V3155" s="39">
        <f>IF($A3155="","",IF(COUNTIF(변동분석!$E$7:$E$506,O3155)&gt;0,"Y","N"))</f>
        <v/>
      </c>
      <c r="W3155" s="39">
        <f>IF($A3155="","",IFERROR(INDEX(계정매핑!$D$5:$D$504,MATCH($F3155&amp;"",계정매핑!$A$5:$A$504,0)),"미매핑"))</f>
        <v/>
      </c>
      <c r="X3155" s="9">
        <f>IF($A3155="","",$F3155&amp;"")</f>
        <v/>
      </c>
    </row>
    <row r="3156">
      <c r="A3156" s="75" t="n">
        <v>2026</v>
      </c>
      <c r="B3156" s="75" t="n">
        <v>5</v>
      </c>
      <c r="C3156" s="75" t="inlineStr">
        <is>
          <t>5100000812</t>
        </is>
      </c>
      <c r="D3156" s="78" t="n">
        <v>46146</v>
      </c>
      <c r="E3156" s="75" t="inlineStr">
        <is>
          <t>KR</t>
        </is>
      </c>
      <c r="F3156" s="75" t="n">
        <v>62902000</v>
      </c>
      <c r="G3156" s="75" t="n">
        <v>1801</v>
      </c>
      <c r="H3156" s="76" t="n">
        <v>3000000</v>
      </c>
      <c r="I3156" s="75" t="inlineStr">
        <is>
          <t>5월 업무 위탁 수수료 - X서비스</t>
        </is>
      </c>
      <c r="J3156" s="75" t="inlineStr">
        <is>
          <t>V10016</t>
        </is>
      </c>
      <c r="K3156" s="75" t="inlineStr">
        <is>
          <t>X서비스</t>
        </is>
      </c>
      <c r="M3156" s="9">
        <f>IF($A3156="","",VALUE($A3156&amp;"")*12+VALUE($B3156&amp;""))</f>
        <v/>
      </c>
      <c r="N3156" s="39">
        <f>IF($A3156="","",IFERROR(INDEX(부서매핑!$C$5:$C$504,MATCH($G3156&amp;"",부서매핑!$A$5:$A$504,0)),"미매핑"))</f>
        <v/>
      </c>
      <c r="O3156" s="9">
        <f>IF($A3156="","",N3156&amp;"|"&amp;$F3156)</f>
        <v/>
      </c>
      <c r="P3156" s="77">
        <f>IF($A3156="",0,$H3156*설정!$C$23)</f>
        <v/>
      </c>
      <c r="Q3156" s="39">
        <f>IF($A3156="","",IF(O3156&lt;&gt;원인분석!$C$9,"",IF(AND(M3156&gt;=원인분석!$C$10,M3156&lt;=원인분석!$C$11),"당기",IF(AND(M3156&gt;=원인분석!$C$12,M3156&lt;=원인분석!$C$13),"비교",""))))</f>
        <v/>
      </c>
      <c r="R3156" s="9">
        <f>IF(Q3156="","",$K3156&amp;"")</f>
        <v/>
      </c>
      <c r="S3156" s="9">
        <f>IF(Q3156="","",IF(MATCH(R3156,$R$5:$R$100000,0)=ROW()-4,ROW(),""))</f>
        <v/>
      </c>
      <c r="T3156" s="9">
        <f>IF(Q3156="당기",ABS(P3156)+ROW()/1000000000,"")</f>
        <v/>
      </c>
      <c r="U3156" s="9">
        <f>IF(Q3156="비교",ABS(P3156)+ROW()/1000000000,"")</f>
        <v/>
      </c>
      <c r="V3156" s="39">
        <f>IF($A3156="","",IF(COUNTIF(변동분석!$E$7:$E$506,O3156)&gt;0,"Y","N"))</f>
        <v/>
      </c>
      <c r="W3156" s="39">
        <f>IF($A3156="","",IFERROR(INDEX(계정매핑!$D$5:$D$504,MATCH($F3156&amp;"",계정매핑!$A$5:$A$504,0)),"미매핑"))</f>
        <v/>
      </c>
      <c r="X3156" s="9">
        <f>IF($A3156="","",$F3156&amp;"")</f>
        <v/>
      </c>
    </row>
    <row r="3157">
      <c r="A3157" s="75" t="n">
        <v>2026</v>
      </c>
      <c r="B3157" s="75" t="n">
        <v>5</v>
      </c>
      <c r="C3157" s="75" t="inlineStr">
        <is>
          <t>5100000813</t>
        </is>
      </c>
      <c r="D3157" s="78" t="n">
        <v>46146</v>
      </c>
      <c r="E3157" s="75" t="inlineStr">
        <is>
          <t>KR</t>
        </is>
      </c>
      <c r="F3157" s="75" t="n">
        <v>63001000</v>
      </c>
      <c r="G3157" s="75" t="n">
        <v>1701</v>
      </c>
      <c r="H3157" s="76" t="n">
        <v>26005000</v>
      </c>
      <c r="I3157" s="75" t="inlineStr">
        <is>
          <t>5월 SW 유지보수 - Y소프트</t>
        </is>
      </c>
      <c r="J3157" s="75" t="inlineStr">
        <is>
          <t>V10017</t>
        </is>
      </c>
      <c r="K3157" s="75" t="inlineStr">
        <is>
          <t>Y소프트</t>
        </is>
      </c>
      <c r="M3157" s="9">
        <f>IF($A3157="","",VALUE($A3157&amp;"")*12+VALUE($B3157&amp;""))</f>
        <v/>
      </c>
      <c r="N3157" s="39">
        <f>IF($A3157="","",IFERROR(INDEX(부서매핑!$C$5:$C$504,MATCH($G3157&amp;"",부서매핑!$A$5:$A$504,0)),"미매핑"))</f>
        <v/>
      </c>
      <c r="O3157" s="9">
        <f>IF($A3157="","",N3157&amp;"|"&amp;$F3157)</f>
        <v/>
      </c>
      <c r="P3157" s="77">
        <f>IF($A3157="",0,$H3157*설정!$C$23)</f>
        <v/>
      </c>
      <c r="Q3157" s="39">
        <f>IF($A3157="","",IF(O3157&lt;&gt;원인분석!$C$9,"",IF(AND(M3157&gt;=원인분석!$C$10,M3157&lt;=원인분석!$C$11),"당기",IF(AND(M3157&gt;=원인분석!$C$12,M3157&lt;=원인분석!$C$13),"비교",""))))</f>
        <v/>
      </c>
      <c r="R3157" s="9">
        <f>IF(Q3157="","",$K3157&amp;"")</f>
        <v/>
      </c>
      <c r="S3157" s="9">
        <f>IF(Q3157="","",IF(MATCH(R3157,$R$5:$R$100000,0)=ROW()-4,ROW(),""))</f>
        <v/>
      </c>
      <c r="T3157" s="9">
        <f>IF(Q3157="당기",ABS(P3157)+ROW()/1000000000,"")</f>
        <v/>
      </c>
      <c r="U3157" s="9">
        <f>IF(Q3157="비교",ABS(P3157)+ROW()/1000000000,"")</f>
        <v/>
      </c>
      <c r="V3157" s="39">
        <f>IF($A3157="","",IF(COUNTIF(변동분석!$E$7:$E$506,O3157)&gt;0,"Y","N"))</f>
        <v/>
      </c>
      <c r="W3157" s="39">
        <f>IF($A3157="","",IFERROR(INDEX(계정매핑!$D$5:$D$504,MATCH($F3157&amp;"",계정매핑!$A$5:$A$504,0)),"미매핑"))</f>
        <v/>
      </c>
      <c r="X3157" s="9">
        <f>IF($A3157="","",$F3157&amp;"")</f>
        <v/>
      </c>
    </row>
    <row r="3158">
      <c r="A3158" s="75" t="n">
        <v>2026</v>
      </c>
      <c r="B3158" s="75" t="n">
        <v>5</v>
      </c>
      <c r="C3158" s="75" t="inlineStr">
        <is>
          <t>5100000814</t>
        </is>
      </c>
      <c r="D3158" s="78" t="n">
        <v>46147</v>
      </c>
      <c r="E3158" s="75" t="inlineStr">
        <is>
          <t>KR</t>
        </is>
      </c>
      <c r="F3158" s="75" t="n">
        <v>62102000</v>
      </c>
      <c r="G3158" s="75" t="n">
        <v>1201</v>
      </c>
      <c r="H3158" s="76" t="n">
        <v>94000</v>
      </c>
      <c r="I3158" s="75" t="inlineStr">
        <is>
          <t>5월 해외출장 - N호텔</t>
        </is>
      </c>
      <c r="J3158" s="75" t="inlineStr">
        <is>
          <t>V10007</t>
        </is>
      </c>
      <c r="K3158" s="75" t="inlineStr">
        <is>
          <t>N호텔</t>
        </is>
      </c>
      <c r="M3158" s="9">
        <f>IF($A3158="","",VALUE($A3158&amp;"")*12+VALUE($B3158&amp;""))</f>
        <v/>
      </c>
      <c r="N3158" s="39">
        <f>IF($A3158="","",IFERROR(INDEX(부서매핑!$C$5:$C$504,MATCH($G3158&amp;"",부서매핑!$A$5:$A$504,0)),"미매핑"))</f>
        <v/>
      </c>
      <c r="O3158" s="9">
        <f>IF($A3158="","",N3158&amp;"|"&amp;$F3158)</f>
        <v/>
      </c>
      <c r="P3158" s="77">
        <f>IF($A3158="",0,$H3158*설정!$C$23)</f>
        <v/>
      </c>
      <c r="Q3158" s="39">
        <f>IF($A3158="","",IF(O3158&lt;&gt;원인분석!$C$9,"",IF(AND(M3158&gt;=원인분석!$C$10,M3158&lt;=원인분석!$C$11),"당기",IF(AND(M3158&gt;=원인분석!$C$12,M3158&lt;=원인분석!$C$13),"비교",""))))</f>
        <v/>
      </c>
      <c r="R3158" s="9">
        <f>IF(Q3158="","",$K3158&amp;"")</f>
        <v/>
      </c>
      <c r="S3158" s="9">
        <f>IF(Q3158="","",IF(MATCH(R3158,$R$5:$R$100000,0)=ROW()-4,ROW(),""))</f>
        <v/>
      </c>
      <c r="T3158" s="9">
        <f>IF(Q3158="당기",ABS(P3158)+ROW()/1000000000,"")</f>
        <v/>
      </c>
      <c r="U3158" s="9">
        <f>IF(Q3158="비교",ABS(P3158)+ROW()/1000000000,"")</f>
        <v/>
      </c>
      <c r="V3158" s="39">
        <f>IF($A3158="","",IF(COUNTIF(변동분석!$E$7:$E$506,O3158)&gt;0,"Y","N"))</f>
        <v/>
      </c>
      <c r="W3158" s="39">
        <f>IF($A3158="","",IFERROR(INDEX(계정매핑!$D$5:$D$504,MATCH($F3158&amp;"",계정매핑!$A$5:$A$504,0)),"미매핑"))</f>
        <v/>
      </c>
      <c r="X3158" s="9">
        <f>IF($A3158="","",$F3158&amp;"")</f>
        <v/>
      </c>
    </row>
    <row r="3159">
      <c r="A3159" s="75" t="n">
        <v>2026</v>
      </c>
      <c r="B3159" s="75" t="n">
        <v>5</v>
      </c>
      <c r="C3159" s="75" t="inlineStr">
        <is>
          <t>5100000815</t>
        </is>
      </c>
      <c r="D3159" s="78" t="n">
        <v>46147</v>
      </c>
      <c r="E3159" s="75" t="inlineStr">
        <is>
          <t>KR</t>
        </is>
      </c>
      <c r="F3159" s="75" t="n">
        <v>62102000</v>
      </c>
      <c r="G3159" s="75" t="n">
        <v>1401</v>
      </c>
      <c r="H3159" s="76" t="n">
        <v>110000</v>
      </c>
      <c r="I3159" s="75" t="inlineStr">
        <is>
          <t>5월 해외출장 - N호텔</t>
        </is>
      </c>
      <c r="J3159" s="75" t="inlineStr">
        <is>
          <t>V10007</t>
        </is>
      </c>
      <c r="K3159" s="75" t="inlineStr">
        <is>
          <t>N호텔</t>
        </is>
      </c>
      <c r="M3159" s="9">
        <f>IF($A3159="","",VALUE($A3159&amp;"")*12+VALUE($B3159&amp;""))</f>
        <v/>
      </c>
      <c r="N3159" s="39">
        <f>IF($A3159="","",IFERROR(INDEX(부서매핑!$C$5:$C$504,MATCH($G3159&amp;"",부서매핑!$A$5:$A$504,0)),"미매핑"))</f>
        <v/>
      </c>
      <c r="O3159" s="9">
        <f>IF($A3159="","",N3159&amp;"|"&amp;$F3159)</f>
        <v/>
      </c>
      <c r="P3159" s="77">
        <f>IF($A3159="",0,$H3159*설정!$C$23)</f>
        <v/>
      </c>
      <c r="Q3159" s="39">
        <f>IF($A3159="","",IF(O3159&lt;&gt;원인분석!$C$9,"",IF(AND(M3159&gt;=원인분석!$C$10,M3159&lt;=원인분석!$C$11),"당기",IF(AND(M3159&gt;=원인분석!$C$12,M3159&lt;=원인분석!$C$13),"비교",""))))</f>
        <v/>
      </c>
      <c r="R3159" s="9">
        <f>IF(Q3159="","",$K3159&amp;"")</f>
        <v/>
      </c>
      <c r="S3159" s="9">
        <f>IF(Q3159="","",IF(MATCH(R3159,$R$5:$R$100000,0)=ROW()-4,ROW(),""))</f>
        <v/>
      </c>
      <c r="T3159" s="9">
        <f>IF(Q3159="당기",ABS(P3159)+ROW()/1000000000,"")</f>
        <v/>
      </c>
      <c r="U3159" s="9">
        <f>IF(Q3159="비교",ABS(P3159)+ROW()/1000000000,"")</f>
        <v/>
      </c>
      <c r="V3159" s="39">
        <f>IF($A3159="","",IF(COUNTIF(변동분석!$E$7:$E$506,O3159)&gt;0,"Y","N"))</f>
        <v/>
      </c>
      <c r="W3159" s="39">
        <f>IF($A3159="","",IFERROR(INDEX(계정매핑!$D$5:$D$504,MATCH($F3159&amp;"",계정매핑!$A$5:$A$504,0)),"미매핑"))</f>
        <v/>
      </c>
      <c r="X3159" s="9">
        <f>IF($A3159="","",$F3159&amp;"")</f>
        <v/>
      </c>
    </row>
    <row r="3160">
      <c r="A3160" s="75" t="n">
        <v>2026</v>
      </c>
      <c r="B3160" s="75" t="n">
        <v>5</v>
      </c>
      <c r="C3160" s="75" t="inlineStr">
        <is>
          <t>5100000816</t>
        </is>
      </c>
      <c r="D3160" s="78" t="n">
        <v>46147</v>
      </c>
      <c r="E3160" s="75" t="inlineStr">
        <is>
          <t>KR</t>
        </is>
      </c>
      <c r="F3160" s="75" t="n">
        <v>62201000</v>
      </c>
      <c r="G3160" s="75" t="n">
        <v>1801</v>
      </c>
      <c r="H3160" s="76" t="n">
        <v>8510000</v>
      </c>
      <c r="I3160" s="75" t="inlineStr">
        <is>
          <t>5월 통신요금 - P통신</t>
        </is>
      </c>
      <c r="J3160" s="75" t="inlineStr">
        <is>
          <t>V10011</t>
        </is>
      </c>
      <c r="K3160" s="75" t="inlineStr">
        <is>
          <t>P통신</t>
        </is>
      </c>
      <c r="M3160" s="9">
        <f>IF($A3160="","",VALUE($A3160&amp;"")*12+VALUE($B3160&amp;""))</f>
        <v/>
      </c>
      <c r="N3160" s="39">
        <f>IF($A3160="","",IFERROR(INDEX(부서매핑!$C$5:$C$504,MATCH($G3160&amp;"",부서매핑!$A$5:$A$504,0)),"미매핑"))</f>
        <v/>
      </c>
      <c r="O3160" s="9">
        <f>IF($A3160="","",N3160&amp;"|"&amp;$F3160)</f>
        <v/>
      </c>
      <c r="P3160" s="77">
        <f>IF($A3160="",0,$H3160*설정!$C$23)</f>
        <v/>
      </c>
      <c r="Q3160" s="39">
        <f>IF($A3160="","",IF(O3160&lt;&gt;원인분석!$C$9,"",IF(AND(M3160&gt;=원인분석!$C$10,M3160&lt;=원인분석!$C$11),"당기",IF(AND(M3160&gt;=원인분석!$C$12,M3160&lt;=원인분석!$C$13),"비교",""))))</f>
        <v/>
      </c>
      <c r="R3160" s="9">
        <f>IF(Q3160="","",$K3160&amp;"")</f>
        <v/>
      </c>
      <c r="S3160" s="9">
        <f>IF(Q3160="","",IF(MATCH(R3160,$R$5:$R$100000,0)=ROW()-4,ROW(),""))</f>
        <v/>
      </c>
      <c r="T3160" s="9">
        <f>IF(Q3160="당기",ABS(P3160)+ROW()/1000000000,"")</f>
        <v/>
      </c>
      <c r="U3160" s="9">
        <f>IF(Q3160="비교",ABS(P3160)+ROW()/1000000000,"")</f>
        <v/>
      </c>
      <c r="V3160" s="39">
        <f>IF($A3160="","",IF(COUNTIF(변동분석!$E$7:$E$506,O3160)&gt;0,"Y","N"))</f>
        <v/>
      </c>
      <c r="W3160" s="39">
        <f>IF($A3160="","",IFERROR(INDEX(계정매핑!$D$5:$D$504,MATCH($F3160&amp;"",계정매핑!$A$5:$A$504,0)),"미매핑"))</f>
        <v/>
      </c>
      <c r="X3160" s="9">
        <f>IF($A3160="","",$F3160&amp;"")</f>
        <v/>
      </c>
    </row>
    <row r="3161">
      <c r="A3161" s="75" t="n">
        <v>2026</v>
      </c>
      <c r="B3161" s="75" t="n">
        <v>5</v>
      </c>
      <c r="C3161" s="75" t="inlineStr">
        <is>
          <t>5100000817</t>
        </is>
      </c>
      <c r="D3161" s="78" t="n">
        <v>46147</v>
      </c>
      <c r="E3161" s="75" t="inlineStr">
        <is>
          <t>KR</t>
        </is>
      </c>
      <c r="F3161" s="75" t="n">
        <v>62501000</v>
      </c>
      <c r="G3161" s="75" t="n">
        <v>1601</v>
      </c>
      <c r="H3161" s="76" t="n">
        <v>671000</v>
      </c>
      <c r="I3161" s="75" t="inlineStr">
        <is>
          <t>5월 회의 다과 - (법인카드)</t>
        </is>
      </c>
      <c r="J3161" s="75" t="inlineStr">
        <is>
          <t>V10008</t>
        </is>
      </c>
      <c r="K3161" s="75" t="inlineStr">
        <is>
          <t>(법인카드)</t>
        </is>
      </c>
      <c r="M3161" s="9">
        <f>IF($A3161="","",VALUE($A3161&amp;"")*12+VALUE($B3161&amp;""))</f>
        <v/>
      </c>
      <c r="N3161" s="39">
        <f>IF($A3161="","",IFERROR(INDEX(부서매핑!$C$5:$C$504,MATCH($G3161&amp;"",부서매핑!$A$5:$A$504,0)),"미매핑"))</f>
        <v/>
      </c>
      <c r="O3161" s="9">
        <f>IF($A3161="","",N3161&amp;"|"&amp;$F3161)</f>
        <v/>
      </c>
      <c r="P3161" s="77">
        <f>IF($A3161="",0,$H3161*설정!$C$23)</f>
        <v/>
      </c>
      <c r="Q3161" s="39">
        <f>IF($A3161="","",IF(O3161&lt;&gt;원인분석!$C$9,"",IF(AND(M3161&gt;=원인분석!$C$10,M3161&lt;=원인분석!$C$11),"당기",IF(AND(M3161&gt;=원인분석!$C$12,M3161&lt;=원인분석!$C$13),"비교",""))))</f>
        <v/>
      </c>
      <c r="R3161" s="9">
        <f>IF(Q3161="","",$K3161&amp;"")</f>
        <v/>
      </c>
      <c r="S3161" s="9">
        <f>IF(Q3161="","",IF(MATCH(R3161,$R$5:$R$100000,0)=ROW()-4,ROW(),""))</f>
        <v/>
      </c>
      <c r="T3161" s="9">
        <f>IF(Q3161="당기",ABS(P3161)+ROW()/1000000000,"")</f>
        <v/>
      </c>
      <c r="U3161" s="9">
        <f>IF(Q3161="비교",ABS(P3161)+ROW()/1000000000,"")</f>
        <v/>
      </c>
      <c r="V3161" s="39">
        <f>IF($A3161="","",IF(COUNTIF(변동분석!$E$7:$E$506,O3161)&gt;0,"Y","N"))</f>
        <v/>
      </c>
      <c r="W3161" s="39">
        <f>IF($A3161="","",IFERROR(INDEX(계정매핑!$D$5:$D$504,MATCH($F3161&amp;"",계정매핑!$A$5:$A$504,0)),"미매핑"))</f>
        <v/>
      </c>
      <c r="X3161" s="9">
        <f>IF($A3161="","",$F3161&amp;"")</f>
        <v/>
      </c>
    </row>
    <row r="3162">
      <c r="A3162" s="75" t="n">
        <v>2026</v>
      </c>
      <c r="B3162" s="75" t="n">
        <v>5</v>
      </c>
      <c r="C3162" s="75" t="inlineStr">
        <is>
          <t>5100000818</t>
        </is>
      </c>
      <c r="D3162" s="78" t="n">
        <v>46147</v>
      </c>
      <c r="E3162" s="75" t="inlineStr">
        <is>
          <t>KR</t>
        </is>
      </c>
      <c r="F3162" s="75" t="n">
        <v>62902000</v>
      </c>
      <c r="G3162" s="75" t="n">
        <v>1801</v>
      </c>
      <c r="H3162" s="76" t="n">
        <v>1779000</v>
      </c>
      <c r="I3162" s="75" t="inlineStr">
        <is>
          <t>5월 콜 위탁 수수료(건별)</t>
        </is>
      </c>
      <c r="J3162" s="75" t="inlineStr">
        <is>
          <t>V10013</t>
        </is>
      </c>
      <c r="K3162" s="75" t="inlineStr">
        <is>
          <t>J콜센터</t>
        </is>
      </c>
      <c r="M3162" s="9">
        <f>IF($A3162="","",VALUE($A3162&amp;"")*12+VALUE($B3162&amp;""))</f>
        <v/>
      </c>
      <c r="N3162" s="39">
        <f>IF($A3162="","",IFERROR(INDEX(부서매핑!$C$5:$C$504,MATCH($G3162&amp;"",부서매핑!$A$5:$A$504,0)),"미매핑"))</f>
        <v/>
      </c>
      <c r="O3162" s="9">
        <f>IF($A3162="","",N3162&amp;"|"&amp;$F3162)</f>
        <v/>
      </c>
      <c r="P3162" s="77">
        <f>IF($A3162="",0,$H3162*설정!$C$23)</f>
        <v/>
      </c>
      <c r="Q3162" s="39">
        <f>IF($A3162="","",IF(O3162&lt;&gt;원인분석!$C$9,"",IF(AND(M3162&gt;=원인분석!$C$10,M3162&lt;=원인분석!$C$11),"당기",IF(AND(M3162&gt;=원인분석!$C$12,M3162&lt;=원인분석!$C$13),"비교",""))))</f>
        <v/>
      </c>
      <c r="R3162" s="9">
        <f>IF(Q3162="","",$K3162&amp;"")</f>
        <v/>
      </c>
      <c r="S3162" s="9">
        <f>IF(Q3162="","",IF(MATCH(R3162,$R$5:$R$100000,0)=ROW()-4,ROW(),""))</f>
        <v/>
      </c>
      <c r="T3162" s="9">
        <f>IF(Q3162="당기",ABS(P3162)+ROW()/1000000000,"")</f>
        <v/>
      </c>
      <c r="U3162" s="9">
        <f>IF(Q3162="비교",ABS(P3162)+ROW()/1000000000,"")</f>
        <v/>
      </c>
      <c r="V3162" s="39">
        <f>IF($A3162="","",IF(COUNTIF(변동분석!$E$7:$E$506,O3162)&gt;0,"Y","N"))</f>
        <v/>
      </c>
      <c r="W3162" s="39">
        <f>IF($A3162="","",IFERROR(INDEX(계정매핑!$D$5:$D$504,MATCH($F3162&amp;"",계정매핑!$A$5:$A$504,0)),"미매핑"))</f>
        <v/>
      </c>
      <c r="X3162" s="9">
        <f>IF($A3162="","",$F3162&amp;"")</f>
        <v/>
      </c>
    </row>
    <row r="3163">
      <c r="A3163" s="75" t="n">
        <v>2026</v>
      </c>
      <c r="B3163" s="75" t="n">
        <v>5</v>
      </c>
      <c r="C3163" s="75" t="inlineStr">
        <is>
          <t>5100000819</t>
        </is>
      </c>
      <c r="D3163" s="78" t="n">
        <v>46148</v>
      </c>
      <c r="E3163" s="75" t="inlineStr">
        <is>
          <t>KR</t>
        </is>
      </c>
      <c r="F3163" s="75" t="n">
        <v>62101000</v>
      </c>
      <c r="G3163" s="75" t="n">
        <v>1401</v>
      </c>
      <c r="H3163" s="76" t="n">
        <v>414000</v>
      </c>
      <c r="I3163" s="75" t="inlineStr">
        <is>
          <t>5월 국내출장 - L여행사</t>
        </is>
      </c>
      <c r="J3163" s="75" t="inlineStr">
        <is>
          <t>V10014</t>
        </is>
      </c>
      <c r="K3163" s="75" t="inlineStr">
        <is>
          <t>L여행사</t>
        </is>
      </c>
      <c r="M3163" s="9">
        <f>IF($A3163="","",VALUE($A3163&amp;"")*12+VALUE($B3163&amp;""))</f>
        <v/>
      </c>
      <c r="N3163" s="39">
        <f>IF($A3163="","",IFERROR(INDEX(부서매핑!$C$5:$C$504,MATCH($G3163&amp;"",부서매핑!$A$5:$A$504,0)),"미매핑"))</f>
        <v/>
      </c>
      <c r="O3163" s="9">
        <f>IF($A3163="","",N3163&amp;"|"&amp;$F3163)</f>
        <v/>
      </c>
      <c r="P3163" s="77">
        <f>IF($A3163="",0,$H3163*설정!$C$23)</f>
        <v/>
      </c>
      <c r="Q3163" s="39">
        <f>IF($A3163="","",IF(O3163&lt;&gt;원인분석!$C$9,"",IF(AND(M3163&gt;=원인분석!$C$10,M3163&lt;=원인분석!$C$11),"당기",IF(AND(M3163&gt;=원인분석!$C$12,M3163&lt;=원인분석!$C$13),"비교",""))))</f>
        <v/>
      </c>
      <c r="R3163" s="9">
        <f>IF(Q3163="","",$K3163&amp;"")</f>
        <v/>
      </c>
      <c r="S3163" s="9">
        <f>IF(Q3163="","",IF(MATCH(R3163,$R$5:$R$100000,0)=ROW()-4,ROW(),""))</f>
        <v/>
      </c>
      <c r="T3163" s="9">
        <f>IF(Q3163="당기",ABS(P3163)+ROW()/1000000000,"")</f>
        <v/>
      </c>
      <c r="U3163" s="9">
        <f>IF(Q3163="비교",ABS(P3163)+ROW()/1000000000,"")</f>
        <v/>
      </c>
      <c r="V3163" s="39">
        <f>IF($A3163="","",IF(COUNTIF(변동분석!$E$7:$E$506,O3163)&gt;0,"Y","N"))</f>
        <v/>
      </c>
      <c r="W3163" s="39">
        <f>IF($A3163="","",IFERROR(INDEX(계정매핑!$D$5:$D$504,MATCH($F3163&amp;"",계정매핑!$A$5:$A$504,0)),"미매핑"))</f>
        <v/>
      </c>
      <c r="X3163" s="9">
        <f>IF($A3163="","",$F3163&amp;"")</f>
        <v/>
      </c>
    </row>
    <row r="3164">
      <c r="A3164" s="75" t="n">
        <v>2026</v>
      </c>
      <c r="B3164" s="75" t="n">
        <v>5</v>
      </c>
      <c r="C3164" s="75" t="inlineStr">
        <is>
          <t>5100000820</t>
        </is>
      </c>
      <c r="D3164" s="78" t="n">
        <v>46148</v>
      </c>
      <c r="E3164" s="75" t="inlineStr">
        <is>
          <t>KR</t>
        </is>
      </c>
      <c r="F3164" s="75" t="n">
        <v>62102000</v>
      </c>
      <c r="G3164" s="75" t="n">
        <v>1601</v>
      </c>
      <c r="H3164" s="76" t="n">
        <v>532000</v>
      </c>
      <c r="I3164" s="75" t="inlineStr">
        <is>
          <t>5월 해외출장 - M항공</t>
        </is>
      </c>
      <c r="J3164" s="75" t="inlineStr">
        <is>
          <t>V10001</t>
        </is>
      </c>
      <c r="K3164" s="75" t="inlineStr">
        <is>
          <t>M항공</t>
        </is>
      </c>
      <c r="M3164" s="9">
        <f>IF($A3164="","",VALUE($A3164&amp;"")*12+VALUE($B3164&amp;""))</f>
        <v/>
      </c>
      <c r="N3164" s="39">
        <f>IF($A3164="","",IFERROR(INDEX(부서매핑!$C$5:$C$504,MATCH($G3164&amp;"",부서매핑!$A$5:$A$504,0)),"미매핑"))</f>
        <v/>
      </c>
      <c r="O3164" s="9">
        <f>IF($A3164="","",N3164&amp;"|"&amp;$F3164)</f>
        <v/>
      </c>
      <c r="P3164" s="77">
        <f>IF($A3164="",0,$H3164*설정!$C$23)</f>
        <v/>
      </c>
      <c r="Q3164" s="39">
        <f>IF($A3164="","",IF(O3164&lt;&gt;원인분석!$C$9,"",IF(AND(M3164&gt;=원인분석!$C$10,M3164&lt;=원인분석!$C$11),"당기",IF(AND(M3164&gt;=원인분석!$C$12,M3164&lt;=원인분석!$C$13),"비교",""))))</f>
        <v/>
      </c>
      <c r="R3164" s="9">
        <f>IF(Q3164="","",$K3164&amp;"")</f>
        <v/>
      </c>
      <c r="S3164" s="9">
        <f>IF(Q3164="","",IF(MATCH(R3164,$R$5:$R$100000,0)=ROW()-4,ROW(),""))</f>
        <v/>
      </c>
      <c r="T3164" s="9">
        <f>IF(Q3164="당기",ABS(P3164)+ROW()/1000000000,"")</f>
        <v/>
      </c>
      <c r="U3164" s="9">
        <f>IF(Q3164="비교",ABS(P3164)+ROW()/1000000000,"")</f>
        <v/>
      </c>
      <c r="V3164" s="39">
        <f>IF($A3164="","",IF(COUNTIF(변동분석!$E$7:$E$506,O3164)&gt;0,"Y","N"))</f>
        <v/>
      </c>
      <c r="W3164" s="39">
        <f>IF($A3164="","",IFERROR(INDEX(계정매핑!$D$5:$D$504,MATCH($F3164&amp;"",계정매핑!$A$5:$A$504,0)),"미매핑"))</f>
        <v/>
      </c>
      <c r="X3164" s="9">
        <f>IF($A3164="","",$F3164&amp;"")</f>
        <v/>
      </c>
    </row>
    <row r="3165">
      <c r="A3165" s="75" t="n">
        <v>2026</v>
      </c>
      <c r="B3165" s="75" t="n">
        <v>5</v>
      </c>
      <c r="C3165" s="75" t="inlineStr">
        <is>
          <t>5100000821</t>
        </is>
      </c>
      <c r="D3165" s="78" t="n">
        <v>46148</v>
      </c>
      <c r="E3165" s="75" t="inlineStr">
        <is>
          <t>KR</t>
        </is>
      </c>
      <c r="F3165" s="75" t="n">
        <v>62201000</v>
      </c>
      <c r="G3165" s="75" t="n">
        <v>1401</v>
      </c>
      <c r="H3165" s="76" t="n">
        <v>236000</v>
      </c>
      <c r="I3165" s="75" t="inlineStr">
        <is>
          <t>5월 통신요금 - O텔레콤</t>
        </is>
      </c>
      <c r="J3165" s="75" t="inlineStr">
        <is>
          <t>V10002</t>
        </is>
      </c>
      <c r="K3165" s="75" t="inlineStr">
        <is>
          <t>O텔레콤</t>
        </is>
      </c>
      <c r="M3165" s="9">
        <f>IF($A3165="","",VALUE($A3165&amp;"")*12+VALUE($B3165&amp;""))</f>
        <v/>
      </c>
      <c r="N3165" s="39">
        <f>IF($A3165="","",IFERROR(INDEX(부서매핑!$C$5:$C$504,MATCH($G3165&amp;"",부서매핑!$A$5:$A$504,0)),"미매핑"))</f>
        <v/>
      </c>
      <c r="O3165" s="9">
        <f>IF($A3165="","",N3165&amp;"|"&amp;$F3165)</f>
        <v/>
      </c>
      <c r="P3165" s="77">
        <f>IF($A3165="",0,$H3165*설정!$C$23)</f>
        <v/>
      </c>
      <c r="Q3165" s="39">
        <f>IF($A3165="","",IF(O3165&lt;&gt;원인분석!$C$9,"",IF(AND(M3165&gt;=원인분석!$C$10,M3165&lt;=원인분석!$C$11),"당기",IF(AND(M3165&gt;=원인분석!$C$12,M3165&lt;=원인분석!$C$13),"비교",""))))</f>
        <v/>
      </c>
      <c r="R3165" s="9">
        <f>IF(Q3165="","",$K3165&amp;"")</f>
        <v/>
      </c>
      <c r="S3165" s="9">
        <f>IF(Q3165="","",IF(MATCH(R3165,$R$5:$R$100000,0)=ROW()-4,ROW(),""))</f>
        <v/>
      </c>
      <c r="T3165" s="9">
        <f>IF(Q3165="당기",ABS(P3165)+ROW()/1000000000,"")</f>
        <v/>
      </c>
      <c r="U3165" s="9">
        <f>IF(Q3165="비교",ABS(P3165)+ROW()/1000000000,"")</f>
        <v/>
      </c>
      <c r="V3165" s="39">
        <f>IF($A3165="","",IF(COUNTIF(변동분석!$E$7:$E$506,O3165)&gt;0,"Y","N"))</f>
        <v/>
      </c>
      <c r="W3165" s="39">
        <f>IF($A3165="","",IFERROR(INDEX(계정매핑!$D$5:$D$504,MATCH($F3165&amp;"",계정매핑!$A$5:$A$504,0)),"미매핑"))</f>
        <v/>
      </c>
      <c r="X3165" s="9">
        <f>IF($A3165="","",$F3165&amp;"")</f>
        <v/>
      </c>
    </row>
    <row r="3166">
      <c r="A3166" s="75" t="n">
        <v>2026</v>
      </c>
      <c r="B3166" s="75" t="n">
        <v>5</v>
      </c>
      <c r="C3166" s="75" t="inlineStr">
        <is>
          <t>5100000822</t>
        </is>
      </c>
      <c r="D3166" s="78" t="n">
        <v>46148</v>
      </c>
      <c r="E3166" s="75" t="inlineStr">
        <is>
          <t>KR</t>
        </is>
      </c>
      <c r="F3166" s="75" t="n">
        <v>62901000</v>
      </c>
      <c r="G3166" s="75" t="n">
        <v>1101</v>
      </c>
      <c r="H3166" s="76" t="n">
        <v>5213000</v>
      </c>
      <c r="I3166" s="75" t="inlineStr">
        <is>
          <t>5월 자문 수수료 - W컨설팅</t>
        </is>
      </c>
      <c r="J3166" s="75" t="inlineStr">
        <is>
          <t>V10009</t>
        </is>
      </c>
      <c r="K3166" s="75" t="inlineStr">
        <is>
          <t>W컨설팅</t>
        </is>
      </c>
      <c r="M3166" s="9">
        <f>IF($A3166="","",VALUE($A3166&amp;"")*12+VALUE($B3166&amp;""))</f>
        <v/>
      </c>
      <c r="N3166" s="39">
        <f>IF($A3166="","",IFERROR(INDEX(부서매핑!$C$5:$C$504,MATCH($G3166&amp;"",부서매핑!$A$5:$A$504,0)),"미매핑"))</f>
        <v/>
      </c>
      <c r="O3166" s="9">
        <f>IF($A3166="","",N3166&amp;"|"&amp;$F3166)</f>
        <v/>
      </c>
      <c r="P3166" s="77">
        <f>IF($A3166="",0,$H3166*설정!$C$23)</f>
        <v/>
      </c>
      <c r="Q3166" s="39">
        <f>IF($A3166="","",IF(O3166&lt;&gt;원인분석!$C$9,"",IF(AND(M3166&gt;=원인분석!$C$10,M3166&lt;=원인분석!$C$11),"당기",IF(AND(M3166&gt;=원인분석!$C$12,M3166&lt;=원인분석!$C$13),"비교",""))))</f>
        <v/>
      </c>
      <c r="R3166" s="9">
        <f>IF(Q3166="","",$K3166&amp;"")</f>
        <v/>
      </c>
      <c r="S3166" s="9">
        <f>IF(Q3166="","",IF(MATCH(R3166,$R$5:$R$100000,0)=ROW()-4,ROW(),""))</f>
        <v/>
      </c>
      <c r="T3166" s="9">
        <f>IF(Q3166="당기",ABS(P3166)+ROW()/1000000000,"")</f>
        <v/>
      </c>
      <c r="U3166" s="9">
        <f>IF(Q3166="비교",ABS(P3166)+ROW()/1000000000,"")</f>
        <v/>
      </c>
      <c r="V3166" s="39">
        <f>IF($A3166="","",IF(COUNTIF(변동분석!$E$7:$E$506,O3166)&gt;0,"Y","N"))</f>
        <v/>
      </c>
      <c r="W3166" s="39">
        <f>IF($A3166="","",IFERROR(INDEX(계정매핑!$D$5:$D$504,MATCH($F3166&amp;"",계정매핑!$A$5:$A$504,0)),"미매핑"))</f>
        <v/>
      </c>
      <c r="X3166" s="9">
        <f>IF($A3166="","",$F3166&amp;"")</f>
        <v/>
      </c>
    </row>
    <row r="3167">
      <c r="A3167" s="75" t="n">
        <v>2026</v>
      </c>
      <c r="B3167" s="75" t="n">
        <v>5</v>
      </c>
      <c r="C3167" s="75" t="inlineStr">
        <is>
          <t>5100000823</t>
        </is>
      </c>
      <c r="D3167" s="78" t="n">
        <v>46149</v>
      </c>
      <c r="E3167" s="75" t="inlineStr">
        <is>
          <t>KR</t>
        </is>
      </c>
      <c r="F3167" s="75" t="n">
        <v>62101000</v>
      </c>
      <c r="G3167" s="75" t="n">
        <v>1301</v>
      </c>
      <c r="H3167" s="76" t="n">
        <v>442000</v>
      </c>
      <c r="I3167" s="75" t="inlineStr">
        <is>
          <t>5월 국내출장 - (법인카드)</t>
        </is>
      </c>
      <c r="J3167" s="75" t="inlineStr">
        <is>
          <t>V10008</t>
        </is>
      </c>
      <c r="K3167" s="75" t="inlineStr">
        <is>
          <t>(법인카드)</t>
        </is>
      </c>
      <c r="M3167" s="9">
        <f>IF($A3167="","",VALUE($A3167&amp;"")*12+VALUE($B3167&amp;""))</f>
        <v/>
      </c>
      <c r="N3167" s="39">
        <f>IF($A3167="","",IFERROR(INDEX(부서매핑!$C$5:$C$504,MATCH($G3167&amp;"",부서매핑!$A$5:$A$504,0)),"미매핑"))</f>
        <v/>
      </c>
      <c r="O3167" s="9">
        <f>IF($A3167="","",N3167&amp;"|"&amp;$F3167)</f>
        <v/>
      </c>
      <c r="P3167" s="77">
        <f>IF($A3167="",0,$H3167*설정!$C$23)</f>
        <v/>
      </c>
      <c r="Q3167" s="39">
        <f>IF($A3167="","",IF(O3167&lt;&gt;원인분석!$C$9,"",IF(AND(M3167&gt;=원인분석!$C$10,M3167&lt;=원인분석!$C$11),"당기",IF(AND(M3167&gt;=원인분석!$C$12,M3167&lt;=원인분석!$C$13),"비교",""))))</f>
        <v/>
      </c>
      <c r="R3167" s="9">
        <f>IF(Q3167="","",$K3167&amp;"")</f>
        <v/>
      </c>
      <c r="S3167" s="9">
        <f>IF(Q3167="","",IF(MATCH(R3167,$R$5:$R$100000,0)=ROW()-4,ROW(),""))</f>
        <v/>
      </c>
      <c r="T3167" s="9">
        <f>IF(Q3167="당기",ABS(P3167)+ROW()/1000000000,"")</f>
        <v/>
      </c>
      <c r="U3167" s="9">
        <f>IF(Q3167="비교",ABS(P3167)+ROW()/1000000000,"")</f>
        <v/>
      </c>
      <c r="V3167" s="39">
        <f>IF($A3167="","",IF(COUNTIF(변동분석!$E$7:$E$506,O3167)&gt;0,"Y","N"))</f>
        <v/>
      </c>
      <c r="W3167" s="39">
        <f>IF($A3167="","",IFERROR(INDEX(계정매핑!$D$5:$D$504,MATCH($F3167&amp;"",계정매핑!$A$5:$A$504,0)),"미매핑"))</f>
        <v/>
      </c>
      <c r="X3167" s="9">
        <f>IF($A3167="","",$F3167&amp;"")</f>
        <v/>
      </c>
    </row>
    <row r="3168">
      <c r="A3168" s="75" t="n">
        <v>2026</v>
      </c>
      <c r="B3168" s="75" t="n">
        <v>5</v>
      </c>
      <c r="C3168" s="75" t="inlineStr">
        <is>
          <t>5100000824</t>
        </is>
      </c>
      <c r="D3168" s="78" t="n">
        <v>46149</v>
      </c>
      <c r="E3168" s="75" t="inlineStr">
        <is>
          <t>KR</t>
        </is>
      </c>
      <c r="F3168" s="75" t="n">
        <v>62102000</v>
      </c>
      <c r="G3168" s="75" t="n">
        <v>1401</v>
      </c>
      <c r="H3168" s="76" t="n">
        <v>78000</v>
      </c>
      <c r="I3168" s="75" t="inlineStr">
        <is>
          <t>5월 해외출장 - M항공</t>
        </is>
      </c>
      <c r="J3168" s="75" t="inlineStr">
        <is>
          <t>V10001</t>
        </is>
      </c>
      <c r="K3168" s="75" t="inlineStr">
        <is>
          <t>M항공</t>
        </is>
      </c>
      <c r="M3168" s="9">
        <f>IF($A3168="","",VALUE($A3168&amp;"")*12+VALUE($B3168&amp;""))</f>
        <v/>
      </c>
      <c r="N3168" s="39">
        <f>IF($A3168="","",IFERROR(INDEX(부서매핑!$C$5:$C$504,MATCH($G3168&amp;"",부서매핑!$A$5:$A$504,0)),"미매핑"))</f>
        <v/>
      </c>
      <c r="O3168" s="9">
        <f>IF($A3168="","",N3168&amp;"|"&amp;$F3168)</f>
        <v/>
      </c>
      <c r="P3168" s="77">
        <f>IF($A3168="",0,$H3168*설정!$C$23)</f>
        <v/>
      </c>
      <c r="Q3168" s="39">
        <f>IF($A3168="","",IF(O3168&lt;&gt;원인분석!$C$9,"",IF(AND(M3168&gt;=원인분석!$C$10,M3168&lt;=원인분석!$C$11),"당기",IF(AND(M3168&gt;=원인분석!$C$12,M3168&lt;=원인분석!$C$13),"비교",""))))</f>
        <v/>
      </c>
      <c r="R3168" s="9">
        <f>IF(Q3168="","",$K3168&amp;"")</f>
        <v/>
      </c>
      <c r="S3168" s="9">
        <f>IF(Q3168="","",IF(MATCH(R3168,$R$5:$R$100000,0)=ROW()-4,ROW(),""))</f>
        <v/>
      </c>
      <c r="T3168" s="9">
        <f>IF(Q3168="당기",ABS(P3168)+ROW()/1000000000,"")</f>
        <v/>
      </c>
      <c r="U3168" s="9">
        <f>IF(Q3168="비교",ABS(P3168)+ROW()/1000000000,"")</f>
        <v/>
      </c>
      <c r="V3168" s="39">
        <f>IF($A3168="","",IF(COUNTIF(변동분석!$E$7:$E$506,O3168)&gt;0,"Y","N"))</f>
        <v/>
      </c>
      <c r="W3168" s="39">
        <f>IF($A3168="","",IFERROR(INDEX(계정매핑!$D$5:$D$504,MATCH($F3168&amp;"",계정매핑!$A$5:$A$504,0)),"미매핑"))</f>
        <v/>
      </c>
      <c r="X3168" s="9">
        <f>IF($A3168="","",$F3168&amp;"")</f>
        <v/>
      </c>
    </row>
    <row r="3169">
      <c r="A3169" s="75" t="n">
        <v>2026</v>
      </c>
      <c r="B3169" s="75" t="n">
        <v>5</v>
      </c>
      <c r="C3169" s="75" t="inlineStr">
        <is>
          <t>5100000825</t>
        </is>
      </c>
      <c r="D3169" s="78" t="n">
        <v>46149</v>
      </c>
      <c r="E3169" s="75" t="inlineStr">
        <is>
          <t>KR</t>
        </is>
      </c>
      <c r="F3169" s="75" t="n">
        <v>62301000</v>
      </c>
      <c r="G3169" s="75" t="n">
        <v>1301</v>
      </c>
      <c r="H3169" s="76" t="n">
        <v>270000</v>
      </c>
      <c r="I3169" s="75" t="inlineStr">
        <is>
          <t>5월 소모품 구입 - R문구</t>
        </is>
      </c>
      <c r="J3169" s="75" t="inlineStr">
        <is>
          <t>V10018</t>
        </is>
      </c>
      <c r="K3169" s="75" t="inlineStr">
        <is>
          <t>R문구</t>
        </is>
      </c>
      <c r="M3169" s="9">
        <f>IF($A3169="","",VALUE($A3169&amp;"")*12+VALUE($B3169&amp;""))</f>
        <v/>
      </c>
      <c r="N3169" s="39">
        <f>IF($A3169="","",IFERROR(INDEX(부서매핑!$C$5:$C$504,MATCH($G3169&amp;"",부서매핑!$A$5:$A$504,0)),"미매핑"))</f>
        <v/>
      </c>
      <c r="O3169" s="9">
        <f>IF($A3169="","",N3169&amp;"|"&amp;$F3169)</f>
        <v/>
      </c>
      <c r="P3169" s="77">
        <f>IF($A3169="",0,$H3169*설정!$C$23)</f>
        <v/>
      </c>
      <c r="Q3169" s="39">
        <f>IF($A3169="","",IF(O3169&lt;&gt;원인분석!$C$9,"",IF(AND(M3169&gt;=원인분석!$C$10,M3169&lt;=원인분석!$C$11),"당기",IF(AND(M3169&gt;=원인분석!$C$12,M3169&lt;=원인분석!$C$13),"비교",""))))</f>
        <v/>
      </c>
      <c r="R3169" s="9">
        <f>IF(Q3169="","",$K3169&amp;"")</f>
        <v/>
      </c>
      <c r="S3169" s="9">
        <f>IF(Q3169="","",IF(MATCH(R3169,$R$5:$R$100000,0)=ROW()-4,ROW(),""))</f>
        <v/>
      </c>
      <c r="T3169" s="9">
        <f>IF(Q3169="당기",ABS(P3169)+ROW()/1000000000,"")</f>
        <v/>
      </c>
      <c r="U3169" s="9">
        <f>IF(Q3169="비교",ABS(P3169)+ROW()/1000000000,"")</f>
        <v/>
      </c>
      <c r="V3169" s="39">
        <f>IF($A3169="","",IF(COUNTIF(변동분석!$E$7:$E$506,O3169)&gt;0,"Y","N"))</f>
        <v/>
      </c>
      <c r="W3169" s="39">
        <f>IF($A3169="","",IFERROR(INDEX(계정매핑!$D$5:$D$504,MATCH($F3169&amp;"",계정매핑!$A$5:$A$504,0)),"미매핑"))</f>
        <v/>
      </c>
      <c r="X3169" s="9">
        <f>IF($A3169="","",$F3169&amp;"")</f>
        <v/>
      </c>
    </row>
    <row r="3170">
      <c r="A3170" s="75" t="n">
        <v>2026</v>
      </c>
      <c r="B3170" s="75" t="n">
        <v>5</v>
      </c>
      <c r="C3170" s="75" t="inlineStr">
        <is>
          <t>5100000826</t>
        </is>
      </c>
      <c r="D3170" s="78" t="n">
        <v>46149</v>
      </c>
      <c r="E3170" s="75" t="inlineStr">
        <is>
          <t>KR</t>
        </is>
      </c>
      <c r="F3170" s="75" t="n">
        <v>62501000</v>
      </c>
      <c r="G3170" s="75" t="n">
        <v>1101</v>
      </c>
      <c r="H3170" s="76" t="n">
        <v>139000</v>
      </c>
      <c r="I3170" s="75" t="inlineStr">
        <is>
          <t>5월 회의 다과 - (법인카드)</t>
        </is>
      </c>
      <c r="J3170" s="75" t="inlineStr">
        <is>
          <t>V10008</t>
        </is>
      </c>
      <c r="K3170" s="75" t="inlineStr">
        <is>
          <t>(법인카드)</t>
        </is>
      </c>
      <c r="M3170" s="9">
        <f>IF($A3170="","",VALUE($A3170&amp;"")*12+VALUE($B3170&amp;""))</f>
        <v/>
      </c>
      <c r="N3170" s="39">
        <f>IF($A3170="","",IFERROR(INDEX(부서매핑!$C$5:$C$504,MATCH($G3170&amp;"",부서매핑!$A$5:$A$504,0)),"미매핑"))</f>
        <v/>
      </c>
      <c r="O3170" s="9">
        <f>IF($A3170="","",N3170&amp;"|"&amp;$F3170)</f>
        <v/>
      </c>
      <c r="P3170" s="77">
        <f>IF($A3170="",0,$H3170*설정!$C$23)</f>
        <v/>
      </c>
      <c r="Q3170" s="39">
        <f>IF($A3170="","",IF(O3170&lt;&gt;원인분석!$C$9,"",IF(AND(M3170&gt;=원인분석!$C$10,M3170&lt;=원인분석!$C$11),"당기",IF(AND(M3170&gt;=원인분석!$C$12,M3170&lt;=원인분석!$C$13),"비교",""))))</f>
        <v/>
      </c>
      <c r="R3170" s="9">
        <f>IF(Q3170="","",$K3170&amp;"")</f>
        <v/>
      </c>
      <c r="S3170" s="9">
        <f>IF(Q3170="","",IF(MATCH(R3170,$R$5:$R$100000,0)=ROW()-4,ROW(),""))</f>
        <v/>
      </c>
      <c r="T3170" s="9">
        <f>IF(Q3170="당기",ABS(P3170)+ROW()/1000000000,"")</f>
        <v/>
      </c>
      <c r="U3170" s="9">
        <f>IF(Q3170="비교",ABS(P3170)+ROW()/1000000000,"")</f>
        <v/>
      </c>
      <c r="V3170" s="39">
        <f>IF($A3170="","",IF(COUNTIF(변동분석!$E$7:$E$506,O3170)&gt;0,"Y","N"))</f>
        <v/>
      </c>
      <c r="W3170" s="39">
        <f>IF($A3170="","",IFERROR(INDEX(계정매핑!$D$5:$D$504,MATCH($F3170&amp;"",계정매핑!$A$5:$A$504,0)),"미매핑"))</f>
        <v/>
      </c>
      <c r="X3170" s="9">
        <f>IF($A3170="","",$F3170&amp;"")</f>
        <v/>
      </c>
    </row>
    <row r="3171">
      <c r="A3171" s="75" t="n">
        <v>2026</v>
      </c>
      <c r="B3171" s="75" t="n">
        <v>5</v>
      </c>
      <c r="C3171" s="75" t="inlineStr">
        <is>
          <t>5100000827</t>
        </is>
      </c>
      <c r="D3171" s="78" t="n">
        <v>46149</v>
      </c>
      <c r="E3171" s="75" t="inlineStr">
        <is>
          <t>KR</t>
        </is>
      </c>
      <c r="F3171" s="75" t="n">
        <v>62501000</v>
      </c>
      <c r="G3171" s="75" t="n">
        <v>1401</v>
      </c>
      <c r="H3171" s="76" t="n">
        <v>249000</v>
      </c>
      <c r="I3171" s="75" t="inlineStr">
        <is>
          <t>5월 회의 다과 - T케이터링</t>
        </is>
      </c>
      <c r="J3171" s="75" t="inlineStr">
        <is>
          <t>V10005</t>
        </is>
      </c>
      <c r="K3171" s="75" t="inlineStr">
        <is>
          <t>T케이터링</t>
        </is>
      </c>
      <c r="M3171" s="9">
        <f>IF($A3171="","",VALUE($A3171&amp;"")*12+VALUE($B3171&amp;""))</f>
        <v/>
      </c>
      <c r="N3171" s="39">
        <f>IF($A3171="","",IFERROR(INDEX(부서매핑!$C$5:$C$504,MATCH($G3171&amp;"",부서매핑!$A$5:$A$504,0)),"미매핑"))</f>
        <v/>
      </c>
      <c r="O3171" s="9">
        <f>IF($A3171="","",N3171&amp;"|"&amp;$F3171)</f>
        <v/>
      </c>
      <c r="P3171" s="77">
        <f>IF($A3171="",0,$H3171*설정!$C$23)</f>
        <v/>
      </c>
      <c r="Q3171" s="39">
        <f>IF($A3171="","",IF(O3171&lt;&gt;원인분석!$C$9,"",IF(AND(M3171&gt;=원인분석!$C$10,M3171&lt;=원인분석!$C$11),"당기",IF(AND(M3171&gt;=원인분석!$C$12,M3171&lt;=원인분석!$C$13),"비교",""))))</f>
        <v/>
      </c>
      <c r="R3171" s="9">
        <f>IF(Q3171="","",$K3171&amp;"")</f>
        <v/>
      </c>
      <c r="S3171" s="9">
        <f>IF(Q3171="","",IF(MATCH(R3171,$R$5:$R$100000,0)=ROW()-4,ROW(),""))</f>
        <v/>
      </c>
      <c r="T3171" s="9">
        <f>IF(Q3171="당기",ABS(P3171)+ROW()/1000000000,"")</f>
        <v/>
      </c>
      <c r="U3171" s="9">
        <f>IF(Q3171="비교",ABS(P3171)+ROW()/1000000000,"")</f>
        <v/>
      </c>
      <c r="V3171" s="39">
        <f>IF($A3171="","",IF(COUNTIF(변동분석!$E$7:$E$506,O3171)&gt;0,"Y","N"))</f>
        <v/>
      </c>
      <c r="W3171" s="39">
        <f>IF($A3171="","",IFERROR(INDEX(계정매핑!$D$5:$D$504,MATCH($F3171&amp;"",계정매핑!$A$5:$A$504,0)),"미매핑"))</f>
        <v/>
      </c>
      <c r="X3171" s="9">
        <f>IF($A3171="","",$F3171&amp;"")</f>
        <v/>
      </c>
    </row>
    <row r="3172">
      <c r="A3172" s="75" t="n">
        <v>2026</v>
      </c>
      <c r="B3172" s="75" t="n">
        <v>5</v>
      </c>
      <c r="C3172" s="75" t="inlineStr">
        <is>
          <t>5100000828</t>
        </is>
      </c>
      <c r="D3172" s="78" t="n">
        <v>46149</v>
      </c>
      <c r="E3172" s="75" t="inlineStr">
        <is>
          <t>KR</t>
        </is>
      </c>
      <c r="F3172" s="75" t="n">
        <v>62501000</v>
      </c>
      <c r="G3172" s="75" t="n">
        <v>1801</v>
      </c>
      <c r="H3172" s="76" t="n">
        <v>79000</v>
      </c>
      <c r="I3172" s="75" t="inlineStr">
        <is>
          <t>5월 회의 다과 - T케이터링</t>
        </is>
      </c>
      <c r="J3172" s="75" t="inlineStr">
        <is>
          <t>V10005</t>
        </is>
      </c>
      <c r="K3172" s="75" t="inlineStr">
        <is>
          <t>T케이터링</t>
        </is>
      </c>
      <c r="M3172" s="9">
        <f>IF($A3172="","",VALUE($A3172&amp;"")*12+VALUE($B3172&amp;""))</f>
        <v/>
      </c>
      <c r="N3172" s="39">
        <f>IF($A3172="","",IFERROR(INDEX(부서매핑!$C$5:$C$504,MATCH($G3172&amp;"",부서매핑!$A$5:$A$504,0)),"미매핑"))</f>
        <v/>
      </c>
      <c r="O3172" s="9">
        <f>IF($A3172="","",N3172&amp;"|"&amp;$F3172)</f>
        <v/>
      </c>
      <c r="P3172" s="77">
        <f>IF($A3172="",0,$H3172*설정!$C$23)</f>
        <v/>
      </c>
      <c r="Q3172" s="39">
        <f>IF($A3172="","",IF(O3172&lt;&gt;원인분석!$C$9,"",IF(AND(M3172&gt;=원인분석!$C$10,M3172&lt;=원인분석!$C$11),"당기",IF(AND(M3172&gt;=원인분석!$C$12,M3172&lt;=원인분석!$C$13),"비교",""))))</f>
        <v/>
      </c>
      <c r="R3172" s="9">
        <f>IF(Q3172="","",$K3172&amp;"")</f>
        <v/>
      </c>
      <c r="S3172" s="9">
        <f>IF(Q3172="","",IF(MATCH(R3172,$R$5:$R$100000,0)=ROW()-4,ROW(),""))</f>
        <v/>
      </c>
      <c r="T3172" s="9">
        <f>IF(Q3172="당기",ABS(P3172)+ROW()/1000000000,"")</f>
        <v/>
      </c>
      <c r="U3172" s="9">
        <f>IF(Q3172="비교",ABS(P3172)+ROW()/1000000000,"")</f>
        <v/>
      </c>
      <c r="V3172" s="39">
        <f>IF($A3172="","",IF(COUNTIF(변동분석!$E$7:$E$506,O3172)&gt;0,"Y","N"))</f>
        <v/>
      </c>
      <c r="W3172" s="39">
        <f>IF($A3172="","",IFERROR(INDEX(계정매핑!$D$5:$D$504,MATCH($F3172&amp;"",계정매핑!$A$5:$A$504,0)),"미매핑"))</f>
        <v/>
      </c>
      <c r="X3172" s="9">
        <f>IF($A3172="","",$F3172&amp;"")</f>
        <v/>
      </c>
    </row>
    <row r="3173">
      <c r="A3173" s="75" t="n">
        <v>2026</v>
      </c>
      <c r="B3173" s="75" t="n">
        <v>5</v>
      </c>
      <c r="C3173" s="75" t="inlineStr">
        <is>
          <t>5100000829</t>
        </is>
      </c>
      <c r="D3173" s="78" t="n">
        <v>46149</v>
      </c>
      <c r="E3173" s="75" t="inlineStr">
        <is>
          <t>KR</t>
        </is>
      </c>
      <c r="F3173" s="75" t="n">
        <v>62802000</v>
      </c>
      <c r="G3173" s="75" t="n">
        <v>1301</v>
      </c>
      <c r="H3173" s="76" t="n">
        <v>4148000</v>
      </c>
      <c r="I3173" s="75" t="inlineStr">
        <is>
          <t>5월 위탁교육 - I교육원</t>
        </is>
      </c>
      <c r="J3173" s="75" t="inlineStr">
        <is>
          <t>V10015</t>
        </is>
      </c>
      <c r="K3173" s="75" t="inlineStr">
        <is>
          <t>I교육원</t>
        </is>
      </c>
      <c r="M3173" s="9">
        <f>IF($A3173="","",VALUE($A3173&amp;"")*12+VALUE($B3173&amp;""))</f>
        <v/>
      </c>
      <c r="N3173" s="39">
        <f>IF($A3173="","",IFERROR(INDEX(부서매핑!$C$5:$C$504,MATCH($G3173&amp;"",부서매핑!$A$5:$A$504,0)),"미매핑"))</f>
        <v/>
      </c>
      <c r="O3173" s="9">
        <f>IF($A3173="","",N3173&amp;"|"&amp;$F3173)</f>
        <v/>
      </c>
      <c r="P3173" s="77">
        <f>IF($A3173="",0,$H3173*설정!$C$23)</f>
        <v/>
      </c>
      <c r="Q3173" s="39">
        <f>IF($A3173="","",IF(O3173&lt;&gt;원인분석!$C$9,"",IF(AND(M3173&gt;=원인분석!$C$10,M3173&lt;=원인분석!$C$11),"당기",IF(AND(M3173&gt;=원인분석!$C$12,M3173&lt;=원인분석!$C$13),"비교",""))))</f>
        <v/>
      </c>
      <c r="R3173" s="9">
        <f>IF(Q3173="","",$K3173&amp;"")</f>
        <v/>
      </c>
      <c r="S3173" s="9">
        <f>IF(Q3173="","",IF(MATCH(R3173,$R$5:$R$100000,0)=ROW()-4,ROW(),""))</f>
        <v/>
      </c>
      <c r="T3173" s="9">
        <f>IF(Q3173="당기",ABS(P3173)+ROW()/1000000000,"")</f>
        <v/>
      </c>
      <c r="U3173" s="9">
        <f>IF(Q3173="비교",ABS(P3173)+ROW()/1000000000,"")</f>
        <v/>
      </c>
      <c r="V3173" s="39">
        <f>IF($A3173="","",IF(COUNTIF(변동분석!$E$7:$E$506,O3173)&gt;0,"Y","N"))</f>
        <v/>
      </c>
      <c r="W3173" s="39">
        <f>IF($A3173="","",IFERROR(INDEX(계정매핑!$D$5:$D$504,MATCH($F3173&amp;"",계정매핑!$A$5:$A$504,0)),"미매핑"))</f>
        <v/>
      </c>
      <c r="X3173" s="9">
        <f>IF($A3173="","",$F3173&amp;"")</f>
        <v/>
      </c>
    </row>
    <row r="3174">
      <c r="A3174" s="75" t="n">
        <v>2026</v>
      </c>
      <c r="B3174" s="75" t="n">
        <v>5</v>
      </c>
      <c r="C3174" s="75" t="inlineStr">
        <is>
          <t>5100000830</t>
        </is>
      </c>
      <c r="D3174" s="78" t="n">
        <v>46149</v>
      </c>
      <c r="E3174" s="75" t="inlineStr">
        <is>
          <t>KR</t>
        </is>
      </c>
      <c r="F3174" s="75" t="n">
        <v>62802000</v>
      </c>
      <c r="G3174" s="75" t="n">
        <v>1301</v>
      </c>
      <c r="H3174" s="76" t="n">
        <v>4242000</v>
      </c>
      <c r="I3174" s="75" t="inlineStr">
        <is>
          <t>5월 위탁교육 - V아카데미</t>
        </is>
      </c>
      <c r="J3174" s="75" t="inlineStr">
        <is>
          <t>V10023</t>
        </is>
      </c>
      <c r="K3174" s="75" t="inlineStr">
        <is>
          <t>V아카데미</t>
        </is>
      </c>
      <c r="M3174" s="9">
        <f>IF($A3174="","",VALUE($A3174&amp;"")*12+VALUE($B3174&amp;""))</f>
        <v/>
      </c>
      <c r="N3174" s="39">
        <f>IF($A3174="","",IFERROR(INDEX(부서매핑!$C$5:$C$504,MATCH($G3174&amp;"",부서매핑!$A$5:$A$504,0)),"미매핑"))</f>
        <v/>
      </c>
      <c r="O3174" s="9">
        <f>IF($A3174="","",N3174&amp;"|"&amp;$F3174)</f>
        <v/>
      </c>
      <c r="P3174" s="77">
        <f>IF($A3174="",0,$H3174*설정!$C$23)</f>
        <v/>
      </c>
      <c r="Q3174" s="39">
        <f>IF($A3174="","",IF(O3174&lt;&gt;원인분석!$C$9,"",IF(AND(M3174&gt;=원인분석!$C$10,M3174&lt;=원인분석!$C$11),"당기",IF(AND(M3174&gt;=원인분석!$C$12,M3174&lt;=원인분석!$C$13),"비교",""))))</f>
        <v/>
      </c>
      <c r="R3174" s="9">
        <f>IF(Q3174="","",$K3174&amp;"")</f>
        <v/>
      </c>
      <c r="S3174" s="9">
        <f>IF(Q3174="","",IF(MATCH(R3174,$R$5:$R$100000,0)=ROW()-4,ROW(),""))</f>
        <v/>
      </c>
      <c r="T3174" s="9">
        <f>IF(Q3174="당기",ABS(P3174)+ROW()/1000000000,"")</f>
        <v/>
      </c>
      <c r="U3174" s="9">
        <f>IF(Q3174="비교",ABS(P3174)+ROW()/1000000000,"")</f>
        <v/>
      </c>
      <c r="V3174" s="39">
        <f>IF($A3174="","",IF(COUNTIF(변동분석!$E$7:$E$506,O3174)&gt;0,"Y","N"))</f>
        <v/>
      </c>
      <c r="W3174" s="39">
        <f>IF($A3174="","",IFERROR(INDEX(계정매핑!$D$5:$D$504,MATCH($F3174&amp;"",계정매핑!$A$5:$A$504,0)),"미매핑"))</f>
        <v/>
      </c>
      <c r="X3174" s="9">
        <f>IF($A3174="","",$F3174&amp;"")</f>
        <v/>
      </c>
    </row>
    <row r="3175">
      <c r="A3175" s="75" t="n">
        <v>2026</v>
      </c>
      <c r="B3175" s="75" t="n">
        <v>5</v>
      </c>
      <c r="C3175" s="75" t="inlineStr">
        <is>
          <t>5100000831</t>
        </is>
      </c>
      <c r="D3175" s="78" t="n">
        <v>46149</v>
      </c>
      <c r="E3175" s="75" t="inlineStr">
        <is>
          <t>KR</t>
        </is>
      </c>
      <c r="F3175" s="75" t="n">
        <v>62901000</v>
      </c>
      <c r="G3175" s="75" t="n">
        <v>1101</v>
      </c>
      <c r="H3175" s="76" t="n">
        <v>2613000</v>
      </c>
      <c r="I3175" s="75" t="inlineStr">
        <is>
          <t>5월 자문 수수료 - K회계법인</t>
        </is>
      </c>
      <c r="J3175" s="75" t="inlineStr">
        <is>
          <t>V10010</t>
        </is>
      </c>
      <c r="K3175" s="75" t="inlineStr">
        <is>
          <t>K회계법인</t>
        </is>
      </c>
      <c r="M3175" s="9">
        <f>IF($A3175="","",VALUE($A3175&amp;"")*12+VALUE($B3175&amp;""))</f>
        <v/>
      </c>
      <c r="N3175" s="39">
        <f>IF($A3175="","",IFERROR(INDEX(부서매핑!$C$5:$C$504,MATCH($G3175&amp;"",부서매핑!$A$5:$A$504,0)),"미매핑"))</f>
        <v/>
      </c>
      <c r="O3175" s="9">
        <f>IF($A3175="","",N3175&amp;"|"&amp;$F3175)</f>
        <v/>
      </c>
      <c r="P3175" s="77">
        <f>IF($A3175="",0,$H3175*설정!$C$23)</f>
        <v/>
      </c>
      <c r="Q3175" s="39">
        <f>IF($A3175="","",IF(O3175&lt;&gt;원인분석!$C$9,"",IF(AND(M3175&gt;=원인분석!$C$10,M3175&lt;=원인분석!$C$11),"당기",IF(AND(M3175&gt;=원인분석!$C$12,M3175&lt;=원인분석!$C$13),"비교",""))))</f>
        <v/>
      </c>
      <c r="R3175" s="9">
        <f>IF(Q3175="","",$K3175&amp;"")</f>
        <v/>
      </c>
      <c r="S3175" s="9">
        <f>IF(Q3175="","",IF(MATCH(R3175,$R$5:$R$100000,0)=ROW()-4,ROW(),""))</f>
        <v/>
      </c>
      <c r="T3175" s="9">
        <f>IF(Q3175="당기",ABS(P3175)+ROW()/1000000000,"")</f>
        <v/>
      </c>
      <c r="U3175" s="9">
        <f>IF(Q3175="비교",ABS(P3175)+ROW()/1000000000,"")</f>
        <v/>
      </c>
      <c r="V3175" s="39">
        <f>IF($A3175="","",IF(COUNTIF(변동분석!$E$7:$E$506,O3175)&gt;0,"Y","N"))</f>
        <v/>
      </c>
      <c r="W3175" s="39">
        <f>IF($A3175="","",IFERROR(INDEX(계정매핑!$D$5:$D$504,MATCH($F3175&amp;"",계정매핑!$A$5:$A$504,0)),"미매핑"))</f>
        <v/>
      </c>
      <c r="X3175" s="9">
        <f>IF($A3175="","",$F3175&amp;"")</f>
        <v/>
      </c>
    </row>
    <row r="3176">
      <c r="A3176" s="75" t="n">
        <v>2026</v>
      </c>
      <c r="B3176" s="75" t="n">
        <v>5</v>
      </c>
      <c r="C3176" s="75" t="inlineStr">
        <is>
          <t>5100000832</t>
        </is>
      </c>
      <c r="D3176" s="78" t="n">
        <v>46149</v>
      </c>
      <c r="E3176" s="75" t="inlineStr">
        <is>
          <t>KR</t>
        </is>
      </c>
      <c r="F3176" s="75" t="n">
        <v>62901000</v>
      </c>
      <c r="G3176" s="75" t="n">
        <v>1401</v>
      </c>
      <c r="H3176" s="76" t="n">
        <v>6594000</v>
      </c>
      <c r="I3176" s="75" t="inlineStr">
        <is>
          <t>5월 자문 수수료 - K회계법인</t>
        </is>
      </c>
      <c r="J3176" s="75" t="inlineStr">
        <is>
          <t>V10010</t>
        </is>
      </c>
      <c r="K3176" s="75" t="inlineStr">
        <is>
          <t>K회계법인</t>
        </is>
      </c>
      <c r="M3176" s="9">
        <f>IF($A3176="","",VALUE($A3176&amp;"")*12+VALUE($B3176&amp;""))</f>
        <v/>
      </c>
      <c r="N3176" s="39">
        <f>IF($A3176="","",IFERROR(INDEX(부서매핑!$C$5:$C$504,MATCH($G3176&amp;"",부서매핑!$A$5:$A$504,0)),"미매핑"))</f>
        <v/>
      </c>
      <c r="O3176" s="9">
        <f>IF($A3176="","",N3176&amp;"|"&amp;$F3176)</f>
        <v/>
      </c>
      <c r="P3176" s="77">
        <f>IF($A3176="",0,$H3176*설정!$C$23)</f>
        <v/>
      </c>
      <c r="Q3176" s="39">
        <f>IF($A3176="","",IF(O3176&lt;&gt;원인분석!$C$9,"",IF(AND(M3176&gt;=원인분석!$C$10,M3176&lt;=원인분석!$C$11),"당기",IF(AND(M3176&gt;=원인분석!$C$12,M3176&lt;=원인분석!$C$13),"비교",""))))</f>
        <v/>
      </c>
      <c r="R3176" s="9">
        <f>IF(Q3176="","",$K3176&amp;"")</f>
        <v/>
      </c>
      <c r="S3176" s="9">
        <f>IF(Q3176="","",IF(MATCH(R3176,$R$5:$R$100000,0)=ROW()-4,ROW(),""))</f>
        <v/>
      </c>
      <c r="T3176" s="9">
        <f>IF(Q3176="당기",ABS(P3176)+ROW()/1000000000,"")</f>
        <v/>
      </c>
      <c r="U3176" s="9">
        <f>IF(Q3176="비교",ABS(P3176)+ROW()/1000000000,"")</f>
        <v/>
      </c>
      <c r="V3176" s="39">
        <f>IF($A3176="","",IF(COUNTIF(변동분석!$E$7:$E$506,O3176)&gt;0,"Y","N"))</f>
        <v/>
      </c>
      <c r="W3176" s="39">
        <f>IF($A3176="","",IFERROR(INDEX(계정매핑!$D$5:$D$504,MATCH($F3176&amp;"",계정매핑!$A$5:$A$504,0)),"미매핑"))</f>
        <v/>
      </c>
      <c r="X3176" s="9">
        <f>IF($A3176="","",$F3176&amp;"")</f>
        <v/>
      </c>
    </row>
    <row r="3177">
      <c r="A3177" s="75" t="n">
        <v>2026</v>
      </c>
      <c r="B3177" s="75" t="n">
        <v>5</v>
      </c>
      <c r="C3177" s="75" t="inlineStr">
        <is>
          <t>5100000833</t>
        </is>
      </c>
      <c r="D3177" s="78" t="n">
        <v>46149</v>
      </c>
      <c r="E3177" s="75" t="inlineStr">
        <is>
          <t>KR</t>
        </is>
      </c>
      <c r="F3177" s="75" t="n">
        <v>62902000</v>
      </c>
      <c r="G3177" s="75" t="n">
        <v>1401</v>
      </c>
      <c r="H3177" s="76" t="n">
        <v>1804000</v>
      </c>
      <c r="I3177" s="75" t="inlineStr">
        <is>
          <t>5월 업무 위탁 수수료 - X서비스</t>
        </is>
      </c>
      <c r="J3177" s="75" t="inlineStr">
        <is>
          <t>V10016</t>
        </is>
      </c>
      <c r="K3177" s="75" t="inlineStr">
        <is>
          <t>X서비스</t>
        </is>
      </c>
      <c r="M3177" s="9">
        <f>IF($A3177="","",VALUE($A3177&amp;"")*12+VALUE($B3177&amp;""))</f>
        <v/>
      </c>
      <c r="N3177" s="39">
        <f>IF($A3177="","",IFERROR(INDEX(부서매핑!$C$5:$C$504,MATCH($G3177&amp;"",부서매핑!$A$5:$A$504,0)),"미매핑"))</f>
        <v/>
      </c>
      <c r="O3177" s="9">
        <f>IF($A3177="","",N3177&amp;"|"&amp;$F3177)</f>
        <v/>
      </c>
      <c r="P3177" s="77">
        <f>IF($A3177="",0,$H3177*설정!$C$23)</f>
        <v/>
      </c>
      <c r="Q3177" s="39">
        <f>IF($A3177="","",IF(O3177&lt;&gt;원인분석!$C$9,"",IF(AND(M3177&gt;=원인분석!$C$10,M3177&lt;=원인분석!$C$11),"당기",IF(AND(M3177&gt;=원인분석!$C$12,M3177&lt;=원인분석!$C$13),"비교",""))))</f>
        <v/>
      </c>
      <c r="R3177" s="9">
        <f>IF(Q3177="","",$K3177&amp;"")</f>
        <v/>
      </c>
      <c r="S3177" s="9">
        <f>IF(Q3177="","",IF(MATCH(R3177,$R$5:$R$100000,0)=ROW()-4,ROW(),""))</f>
        <v/>
      </c>
      <c r="T3177" s="9">
        <f>IF(Q3177="당기",ABS(P3177)+ROW()/1000000000,"")</f>
        <v/>
      </c>
      <c r="U3177" s="9">
        <f>IF(Q3177="비교",ABS(P3177)+ROW()/1000000000,"")</f>
        <v/>
      </c>
      <c r="V3177" s="39">
        <f>IF($A3177="","",IF(COUNTIF(변동분석!$E$7:$E$506,O3177)&gt;0,"Y","N"))</f>
        <v/>
      </c>
      <c r="W3177" s="39">
        <f>IF($A3177="","",IFERROR(INDEX(계정매핑!$D$5:$D$504,MATCH($F3177&amp;"",계정매핑!$A$5:$A$504,0)),"미매핑"))</f>
        <v/>
      </c>
      <c r="X3177" s="9">
        <f>IF($A3177="","",$F3177&amp;"")</f>
        <v/>
      </c>
    </row>
    <row r="3178">
      <c r="A3178" s="75" t="n">
        <v>2026</v>
      </c>
      <c r="B3178" s="75" t="n">
        <v>5</v>
      </c>
      <c r="C3178" s="75" t="inlineStr">
        <is>
          <t>5100000834</t>
        </is>
      </c>
      <c r="D3178" s="78" t="n">
        <v>46150</v>
      </c>
      <c r="E3178" s="75" t="inlineStr">
        <is>
          <t>KR</t>
        </is>
      </c>
      <c r="F3178" s="75" t="n">
        <v>62101000</v>
      </c>
      <c r="G3178" s="75" t="n">
        <v>1501</v>
      </c>
      <c r="H3178" s="76" t="n">
        <v>369000</v>
      </c>
      <c r="I3178" s="75" t="inlineStr">
        <is>
          <t>5월 국내출장 - L여행사</t>
        </is>
      </c>
      <c r="J3178" s="75" t="inlineStr">
        <is>
          <t>V10014</t>
        </is>
      </c>
      <c r="K3178" s="75" t="inlineStr">
        <is>
          <t>L여행사</t>
        </is>
      </c>
      <c r="M3178" s="9">
        <f>IF($A3178="","",VALUE($A3178&amp;"")*12+VALUE($B3178&amp;""))</f>
        <v/>
      </c>
      <c r="N3178" s="39">
        <f>IF($A3178="","",IFERROR(INDEX(부서매핑!$C$5:$C$504,MATCH($G3178&amp;"",부서매핑!$A$5:$A$504,0)),"미매핑"))</f>
        <v/>
      </c>
      <c r="O3178" s="9">
        <f>IF($A3178="","",N3178&amp;"|"&amp;$F3178)</f>
        <v/>
      </c>
      <c r="P3178" s="77">
        <f>IF($A3178="",0,$H3178*설정!$C$23)</f>
        <v/>
      </c>
      <c r="Q3178" s="39">
        <f>IF($A3178="","",IF(O3178&lt;&gt;원인분석!$C$9,"",IF(AND(M3178&gt;=원인분석!$C$10,M3178&lt;=원인분석!$C$11),"당기",IF(AND(M3178&gt;=원인분석!$C$12,M3178&lt;=원인분석!$C$13),"비교",""))))</f>
        <v/>
      </c>
      <c r="R3178" s="9">
        <f>IF(Q3178="","",$K3178&amp;"")</f>
        <v/>
      </c>
      <c r="S3178" s="9">
        <f>IF(Q3178="","",IF(MATCH(R3178,$R$5:$R$100000,0)=ROW()-4,ROW(),""))</f>
        <v/>
      </c>
      <c r="T3178" s="9">
        <f>IF(Q3178="당기",ABS(P3178)+ROW()/1000000000,"")</f>
        <v/>
      </c>
      <c r="U3178" s="9">
        <f>IF(Q3178="비교",ABS(P3178)+ROW()/1000000000,"")</f>
        <v/>
      </c>
      <c r="V3178" s="39">
        <f>IF($A3178="","",IF(COUNTIF(변동분석!$E$7:$E$506,O3178)&gt;0,"Y","N"))</f>
        <v/>
      </c>
      <c r="W3178" s="39">
        <f>IF($A3178="","",IFERROR(INDEX(계정매핑!$D$5:$D$504,MATCH($F3178&amp;"",계정매핑!$A$5:$A$504,0)),"미매핑"))</f>
        <v/>
      </c>
      <c r="X3178" s="9">
        <f>IF($A3178="","",$F3178&amp;"")</f>
        <v/>
      </c>
    </row>
    <row r="3179">
      <c r="A3179" s="75" t="n">
        <v>2026</v>
      </c>
      <c r="B3179" s="75" t="n">
        <v>5</v>
      </c>
      <c r="C3179" s="75" t="inlineStr">
        <is>
          <t>5100000835</t>
        </is>
      </c>
      <c r="D3179" s="78" t="n">
        <v>46150</v>
      </c>
      <c r="E3179" s="75" t="inlineStr">
        <is>
          <t>KR</t>
        </is>
      </c>
      <c r="F3179" s="75" t="n">
        <v>62102000</v>
      </c>
      <c r="G3179" s="75" t="n">
        <v>1801</v>
      </c>
      <c r="H3179" s="76" t="n">
        <v>38000</v>
      </c>
      <c r="I3179" s="75" t="inlineStr">
        <is>
          <t>5월 해외출장 - M항공</t>
        </is>
      </c>
      <c r="J3179" s="75" t="inlineStr">
        <is>
          <t>V10001</t>
        </is>
      </c>
      <c r="K3179" s="75" t="inlineStr">
        <is>
          <t>M항공</t>
        </is>
      </c>
      <c r="M3179" s="9">
        <f>IF($A3179="","",VALUE($A3179&amp;"")*12+VALUE($B3179&amp;""))</f>
        <v/>
      </c>
      <c r="N3179" s="39">
        <f>IF($A3179="","",IFERROR(INDEX(부서매핑!$C$5:$C$504,MATCH($G3179&amp;"",부서매핑!$A$5:$A$504,0)),"미매핑"))</f>
        <v/>
      </c>
      <c r="O3179" s="9">
        <f>IF($A3179="","",N3179&amp;"|"&amp;$F3179)</f>
        <v/>
      </c>
      <c r="P3179" s="77">
        <f>IF($A3179="",0,$H3179*설정!$C$23)</f>
        <v/>
      </c>
      <c r="Q3179" s="39">
        <f>IF($A3179="","",IF(O3179&lt;&gt;원인분석!$C$9,"",IF(AND(M3179&gt;=원인분석!$C$10,M3179&lt;=원인분석!$C$11),"당기",IF(AND(M3179&gt;=원인분석!$C$12,M3179&lt;=원인분석!$C$13),"비교",""))))</f>
        <v/>
      </c>
      <c r="R3179" s="9">
        <f>IF(Q3179="","",$K3179&amp;"")</f>
        <v/>
      </c>
      <c r="S3179" s="9">
        <f>IF(Q3179="","",IF(MATCH(R3179,$R$5:$R$100000,0)=ROW()-4,ROW(),""))</f>
        <v/>
      </c>
      <c r="T3179" s="9">
        <f>IF(Q3179="당기",ABS(P3179)+ROW()/1000000000,"")</f>
        <v/>
      </c>
      <c r="U3179" s="9">
        <f>IF(Q3179="비교",ABS(P3179)+ROW()/1000000000,"")</f>
        <v/>
      </c>
      <c r="V3179" s="39">
        <f>IF($A3179="","",IF(COUNTIF(변동분석!$E$7:$E$506,O3179)&gt;0,"Y","N"))</f>
        <v/>
      </c>
      <c r="W3179" s="39">
        <f>IF($A3179="","",IFERROR(INDEX(계정매핑!$D$5:$D$504,MATCH($F3179&amp;"",계정매핑!$A$5:$A$504,0)),"미매핑"))</f>
        <v/>
      </c>
      <c r="X3179" s="9">
        <f>IF($A3179="","",$F3179&amp;"")</f>
        <v/>
      </c>
    </row>
    <row r="3180">
      <c r="A3180" s="75" t="n">
        <v>2026</v>
      </c>
      <c r="B3180" s="75" t="n">
        <v>5</v>
      </c>
      <c r="C3180" s="75" t="inlineStr">
        <is>
          <t>5100000836</t>
        </is>
      </c>
      <c r="D3180" s="78" t="n">
        <v>46150</v>
      </c>
      <c r="E3180" s="75" t="inlineStr">
        <is>
          <t>KR</t>
        </is>
      </c>
      <c r="F3180" s="75" t="n">
        <v>62201000</v>
      </c>
      <c r="G3180" s="75" t="n">
        <v>1201</v>
      </c>
      <c r="H3180" s="76" t="n">
        <v>121000</v>
      </c>
      <c r="I3180" s="75" t="inlineStr">
        <is>
          <t>5월 통신요금 - O텔레콤</t>
        </is>
      </c>
      <c r="J3180" s="75" t="inlineStr">
        <is>
          <t>V10002</t>
        </is>
      </c>
      <c r="K3180" s="75" t="inlineStr">
        <is>
          <t>O텔레콤</t>
        </is>
      </c>
      <c r="M3180" s="9">
        <f>IF($A3180="","",VALUE($A3180&amp;"")*12+VALUE($B3180&amp;""))</f>
        <v/>
      </c>
      <c r="N3180" s="39">
        <f>IF($A3180="","",IFERROR(INDEX(부서매핑!$C$5:$C$504,MATCH($G3180&amp;"",부서매핑!$A$5:$A$504,0)),"미매핑"))</f>
        <v/>
      </c>
      <c r="O3180" s="9">
        <f>IF($A3180="","",N3180&amp;"|"&amp;$F3180)</f>
        <v/>
      </c>
      <c r="P3180" s="77">
        <f>IF($A3180="",0,$H3180*설정!$C$23)</f>
        <v/>
      </c>
      <c r="Q3180" s="39">
        <f>IF($A3180="","",IF(O3180&lt;&gt;원인분석!$C$9,"",IF(AND(M3180&gt;=원인분석!$C$10,M3180&lt;=원인분석!$C$11),"당기",IF(AND(M3180&gt;=원인분석!$C$12,M3180&lt;=원인분석!$C$13),"비교",""))))</f>
        <v/>
      </c>
      <c r="R3180" s="9">
        <f>IF(Q3180="","",$K3180&amp;"")</f>
        <v/>
      </c>
      <c r="S3180" s="9">
        <f>IF(Q3180="","",IF(MATCH(R3180,$R$5:$R$100000,0)=ROW()-4,ROW(),""))</f>
        <v/>
      </c>
      <c r="T3180" s="9">
        <f>IF(Q3180="당기",ABS(P3180)+ROW()/1000000000,"")</f>
        <v/>
      </c>
      <c r="U3180" s="9">
        <f>IF(Q3180="비교",ABS(P3180)+ROW()/1000000000,"")</f>
        <v/>
      </c>
      <c r="V3180" s="39">
        <f>IF($A3180="","",IF(COUNTIF(변동분석!$E$7:$E$506,O3180)&gt;0,"Y","N"))</f>
        <v/>
      </c>
      <c r="W3180" s="39">
        <f>IF($A3180="","",IFERROR(INDEX(계정매핑!$D$5:$D$504,MATCH($F3180&amp;"",계정매핑!$A$5:$A$504,0)),"미매핑"))</f>
        <v/>
      </c>
      <c r="X3180" s="9">
        <f>IF($A3180="","",$F3180&amp;"")</f>
        <v/>
      </c>
    </row>
    <row r="3181">
      <c r="A3181" s="75" t="n">
        <v>2026</v>
      </c>
      <c r="B3181" s="75" t="n">
        <v>5</v>
      </c>
      <c r="C3181" s="75" t="inlineStr">
        <is>
          <t>5100000837</t>
        </is>
      </c>
      <c r="D3181" s="78" t="n">
        <v>46150</v>
      </c>
      <c r="E3181" s="75" t="inlineStr">
        <is>
          <t>KR</t>
        </is>
      </c>
      <c r="F3181" s="75" t="n">
        <v>62201000</v>
      </c>
      <c r="G3181" s="75" t="n">
        <v>1201</v>
      </c>
      <c r="H3181" s="76" t="n">
        <v>138000</v>
      </c>
      <c r="I3181" s="75" t="inlineStr">
        <is>
          <t>5월 통신요금 - P통신</t>
        </is>
      </c>
      <c r="J3181" s="75" t="inlineStr">
        <is>
          <t>V10011</t>
        </is>
      </c>
      <c r="K3181" s="75" t="inlineStr">
        <is>
          <t>P통신</t>
        </is>
      </c>
      <c r="M3181" s="9">
        <f>IF($A3181="","",VALUE($A3181&amp;"")*12+VALUE($B3181&amp;""))</f>
        <v/>
      </c>
      <c r="N3181" s="39">
        <f>IF($A3181="","",IFERROR(INDEX(부서매핑!$C$5:$C$504,MATCH($G3181&amp;"",부서매핑!$A$5:$A$504,0)),"미매핑"))</f>
        <v/>
      </c>
      <c r="O3181" s="9">
        <f>IF($A3181="","",N3181&amp;"|"&amp;$F3181)</f>
        <v/>
      </c>
      <c r="P3181" s="77">
        <f>IF($A3181="",0,$H3181*설정!$C$23)</f>
        <v/>
      </c>
      <c r="Q3181" s="39">
        <f>IF($A3181="","",IF(O3181&lt;&gt;원인분석!$C$9,"",IF(AND(M3181&gt;=원인분석!$C$10,M3181&lt;=원인분석!$C$11),"당기",IF(AND(M3181&gt;=원인분석!$C$12,M3181&lt;=원인분석!$C$13),"비교",""))))</f>
        <v/>
      </c>
      <c r="R3181" s="9">
        <f>IF(Q3181="","",$K3181&amp;"")</f>
        <v/>
      </c>
      <c r="S3181" s="9">
        <f>IF(Q3181="","",IF(MATCH(R3181,$R$5:$R$100000,0)=ROW()-4,ROW(),""))</f>
        <v/>
      </c>
      <c r="T3181" s="9">
        <f>IF(Q3181="당기",ABS(P3181)+ROW()/1000000000,"")</f>
        <v/>
      </c>
      <c r="U3181" s="9">
        <f>IF(Q3181="비교",ABS(P3181)+ROW()/1000000000,"")</f>
        <v/>
      </c>
      <c r="V3181" s="39">
        <f>IF($A3181="","",IF(COUNTIF(변동분석!$E$7:$E$506,O3181)&gt;0,"Y","N"))</f>
        <v/>
      </c>
      <c r="W3181" s="39">
        <f>IF($A3181="","",IFERROR(INDEX(계정매핑!$D$5:$D$504,MATCH($F3181&amp;"",계정매핑!$A$5:$A$504,0)),"미매핑"))</f>
        <v/>
      </c>
      <c r="X3181" s="9">
        <f>IF($A3181="","",$F3181&amp;"")</f>
        <v/>
      </c>
    </row>
    <row r="3182">
      <c r="A3182" s="75" t="n">
        <v>2026</v>
      </c>
      <c r="B3182" s="75" t="n">
        <v>5</v>
      </c>
      <c r="C3182" s="75" t="inlineStr">
        <is>
          <t>5100000838</t>
        </is>
      </c>
      <c r="D3182" s="78" t="n">
        <v>46150</v>
      </c>
      <c r="E3182" s="75" t="inlineStr">
        <is>
          <t>KR</t>
        </is>
      </c>
      <c r="F3182" s="75" t="n">
        <v>62301000</v>
      </c>
      <c r="G3182" s="75" t="n">
        <v>1601</v>
      </c>
      <c r="H3182" s="76" t="n">
        <v>441000</v>
      </c>
      <c r="I3182" s="75" t="inlineStr">
        <is>
          <t>5월 소모품 구입 - Q오피스</t>
        </is>
      </c>
      <c r="J3182" s="75" t="inlineStr">
        <is>
          <t>V10003</t>
        </is>
      </c>
      <c r="K3182" s="75" t="inlineStr">
        <is>
          <t>Q오피스</t>
        </is>
      </c>
      <c r="M3182" s="9">
        <f>IF($A3182="","",VALUE($A3182&amp;"")*12+VALUE($B3182&amp;""))</f>
        <v/>
      </c>
      <c r="N3182" s="39">
        <f>IF($A3182="","",IFERROR(INDEX(부서매핑!$C$5:$C$504,MATCH($G3182&amp;"",부서매핑!$A$5:$A$504,0)),"미매핑"))</f>
        <v/>
      </c>
      <c r="O3182" s="9">
        <f>IF($A3182="","",N3182&amp;"|"&amp;$F3182)</f>
        <v/>
      </c>
      <c r="P3182" s="77">
        <f>IF($A3182="",0,$H3182*설정!$C$23)</f>
        <v/>
      </c>
      <c r="Q3182" s="39">
        <f>IF($A3182="","",IF(O3182&lt;&gt;원인분석!$C$9,"",IF(AND(M3182&gt;=원인분석!$C$10,M3182&lt;=원인분석!$C$11),"당기",IF(AND(M3182&gt;=원인분석!$C$12,M3182&lt;=원인분석!$C$13),"비교",""))))</f>
        <v/>
      </c>
      <c r="R3182" s="9">
        <f>IF(Q3182="","",$K3182&amp;"")</f>
        <v/>
      </c>
      <c r="S3182" s="9">
        <f>IF(Q3182="","",IF(MATCH(R3182,$R$5:$R$100000,0)=ROW()-4,ROW(),""))</f>
        <v/>
      </c>
      <c r="T3182" s="9">
        <f>IF(Q3182="당기",ABS(P3182)+ROW()/1000000000,"")</f>
        <v/>
      </c>
      <c r="U3182" s="9">
        <f>IF(Q3182="비교",ABS(P3182)+ROW()/1000000000,"")</f>
        <v/>
      </c>
      <c r="V3182" s="39">
        <f>IF($A3182="","",IF(COUNTIF(변동분석!$E$7:$E$506,O3182)&gt;0,"Y","N"))</f>
        <v/>
      </c>
      <c r="W3182" s="39">
        <f>IF($A3182="","",IFERROR(INDEX(계정매핑!$D$5:$D$504,MATCH($F3182&amp;"",계정매핑!$A$5:$A$504,0)),"미매핑"))</f>
        <v/>
      </c>
      <c r="X3182" s="9">
        <f>IF($A3182="","",$F3182&amp;"")</f>
        <v/>
      </c>
    </row>
    <row r="3183">
      <c r="A3183" s="75" t="n">
        <v>2026</v>
      </c>
      <c r="B3183" s="75" t="n">
        <v>5</v>
      </c>
      <c r="C3183" s="75" t="inlineStr">
        <is>
          <t>5100000839</t>
        </is>
      </c>
      <c r="D3183" s="78" t="n">
        <v>46150</v>
      </c>
      <c r="E3183" s="75" t="inlineStr">
        <is>
          <t>KR</t>
        </is>
      </c>
      <c r="F3183" s="75" t="n">
        <v>62401000</v>
      </c>
      <c r="G3183" s="75" t="n">
        <v>1801</v>
      </c>
      <c r="H3183" s="76" t="n">
        <v>1753000</v>
      </c>
      <c r="I3183" s="75" t="inlineStr">
        <is>
          <t>5월 인쇄물 제작 - S출판</t>
        </is>
      </c>
      <c r="J3183" s="75" t="inlineStr">
        <is>
          <t>V10012</t>
        </is>
      </c>
      <c r="K3183" s="75" t="inlineStr">
        <is>
          <t>S출판</t>
        </is>
      </c>
      <c r="M3183" s="9">
        <f>IF($A3183="","",VALUE($A3183&amp;"")*12+VALUE($B3183&amp;""))</f>
        <v/>
      </c>
      <c r="N3183" s="39">
        <f>IF($A3183="","",IFERROR(INDEX(부서매핑!$C$5:$C$504,MATCH($G3183&amp;"",부서매핑!$A$5:$A$504,0)),"미매핑"))</f>
        <v/>
      </c>
      <c r="O3183" s="9">
        <f>IF($A3183="","",N3183&amp;"|"&amp;$F3183)</f>
        <v/>
      </c>
      <c r="P3183" s="77">
        <f>IF($A3183="",0,$H3183*설정!$C$23)</f>
        <v/>
      </c>
      <c r="Q3183" s="39">
        <f>IF($A3183="","",IF(O3183&lt;&gt;원인분석!$C$9,"",IF(AND(M3183&gt;=원인분석!$C$10,M3183&lt;=원인분석!$C$11),"당기",IF(AND(M3183&gt;=원인분석!$C$12,M3183&lt;=원인분석!$C$13),"비교",""))))</f>
        <v/>
      </c>
      <c r="R3183" s="9">
        <f>IF(Q3183="","",$K3183&amp;"")</f>
        <v/>
      </c>
      <c r="S3183" s="9">
        <f>IF(Q3183="","",IF(MATCH(R3183,$R$5:$R$100000,0)=ROW()-4,ROW(),""))</f>
        <v/>
      </c>
      <c r="T3183" s="9">
        <f>IF(Q3183="당기",ABS(P3183)+ROW()/1000000000,"")</f>
        <v/>
      </c>
      <c r="U3183" s="9">
        <f>IF(Q3183="비교",ABS(P3183)+ROW()/1000000000,"")</f>
        <v/>
      </c>
      <c r="V3183" s="39">
        <f>IF($A3183="","",IF(COUNTIF(변동분석!$E$7:$E$506,O3183)&gt;0,"Y","N"))</f>
        <v/>
      </c>
      <c r="W3183" s="39">
        <f>IF($A3183="","",IFERROR(INDEX(계정매핑!$D$5:$D$504,MATCH($F3183&amp;"",계정매핑!$A$5:$A$504,0)),"미매핑"))</f>
        <v/>
      </c>
      <c r="X3183" s="9">
        <f>IF($A3183="","",$F3183&amp;"")</f>
        <v/>
      </c>
    </row>
    <row r="3184">
      <c r="A3184" s="75" t="n">
        <v>2026</v>
      </c>
      <c r="B3184" s="75" t="n">
        <v>5</v>
      </c>
      <c r="C3184" s="75" t="inlineStr">
        <is>
          <t>5100000840</t>
        </is>
      </c>
      <c r="D3184" s="78" t="n">
        <v>46150</v>
      </c>
      <c r="E3184" s="75" t="inlineStr">
        <is>
          <t>KR</t>
        </is>
      </c>
      <c r="F3184" s="75" t="n">
        <v>62501000</v>
      </c>
      <c r="G3184" s="75" t="n">
        <v>1401</v>
      </c>
      <c r="H3184" s="76" t="n">
        <v>294000</v>
      </c>
      <c r="I3184" s="75" t="inlineStr">
        <is>
          <t>5월 회의 다과 - (법인카드)</t>
        </is>
      </c>
      <c r="J3184" s="75" t="inlineStr">
        <is>
          <t>V10008</t>
        </is>
      </c>
      <c r="K3184" s="75" t="inlineStr">
        <is>
          <t>(법인카드)</t>
        </is>
      </c>
      <c r="M3184" s="9">
        <f>IF($A3184="","",VALUE($A3184&amp;"")*12+VALUE($B3184&amp;""))</f>
        <v/>
      </c>
      <c r="N3184" s="39">
        <f>IF($A3184="","",IFERROR(INDEX(부서매핑!$C$5:$C$504,MATCH($G3184&amp;"",부서매핑!$A$5:$A$504,0)),"미매핑"))</f>
        <v/>
      </c>
      <c r="O3184" s="9">
        <f>IF($A3184="","",N3184&amp;"|"&amp;$F3184)</f>
        <v/>
      </c>
      <c r="P3184" s="77">
        <f>IF($A3184="",0,$H3184*설정!$C$23)</f>
        <v/>
      </c>
      <c r="Q3184" s="39">
        <f>IF($A3184="","",IF(O3184&lt;&gt;원인분석!$C$9,"",IF(AND(M3184&gt;=원인분석!$C$10,M3184&lt;=원인분석!$C$11),"당기",IF(AND(M3184&gt;=원인분석!$C$12,M3184&lt;=원인분석!$C$13),"비교",""))))</f>
        <v/>
      </c>
      <c r="R3184" s="9">
        <f>IF(Q3184="","",$K3184&amp;"")</f>
        <v/>
      </c>
      <c r="S3184" s="9">
        <f>IF(Q3184="","",IF(MATCH(R3184,$R$5:$R$100000,0)=ROW()-4,ROW(),""))</f>
        <v/>
      </c>
      <c r="T3184" s="9">
        <f>IF(Q3184="당기",ABS(P3184)+ROW()/1000000000,"")</f>
        <v/>
      </c>
      <c r="U3184" s="9">
        <f>IF(Q3184="비교",ABS(P3184)+ROW()/1000000000,"")</f>
        <v/>
      </c>
      <c r="V3184" s="39">
        <f>IF($A3184="","",IF(COUNTIF(변동분석!$E$7:$E$506,O3184)&gt;0,"Y","N"))</f>
        <v/>
      </c>
      <c r="W3184" s="39">
        <f>IF($A3184="","",IFERROR(INDEX(계정매핑!$D$5:$D$504,MATCH($F3184&amp;"",계정매핑!$A$5:$A$504,0)),"미매핑"))</f>
        <v/>
      </c>
      <c r="X3184" s="9">
        <f>IF($A3184="","",$F3184&amp;"")</f>
        <v/>
      </c>
    </row>
    <row r="3185">
      <c r="A3185" s="75" t="n">
        <v>2026</v>
      </c>
      <c r="B3185" s="75" t="n">
        <v>5</v>
      </c>
      <c r="C3185" s="75" t="inlineStr">
        <is>
          <t>5100000841</t>
        </is>
      </c>
      <c r="D3185" s="78" t="n">
        <v>46150</v>
      </c>
      <c r="E3185" s="75" t="inlineStr">
        <is>
          <t>KR</t>
        </is>
      </c>
      <c r="F3185" s="75" t="n">
        <v>62601000</v>
      </c>
      <c r="G3185" s="75" t="n">
        <v>1101</v>
      </c>
      <c r="H3185" s="76" t="n">
        <v>2148000</v>
      </c>
      <c r="I3185" s="75" t="inlineStr">
        <is>
          <t>5월 업무추진 - (법인카드)</t>
        </is>
      </c>
      <c r="J3185" s="75" t="inlineStr">
        <is>
          <t>V10008</t>
        </is>
      </c>
      <c r="K3185" s="75" t="inlineStr">
        <is>
          <t>(법인카드)</t>
        </is>
      </c>
      <c r="M3185" s="9">
        <f>IF($A3185="","",VALUE($A3185&amp;"")*12+VALUE($B3185&amp;""))</f>
        <v/>
      </c>
      <c r="N3185" s="39">
        <f>IF($A3185="","",IFERROR(INDEX(부서매핑!$C$5:$C$504,MATCH($G3185&amp;"",부서매핑!$A$5:$A$504,0)),"미매핑"))</f>
        <v/>
      </c>
      <c r="O3185" s="9">
        <f>IF($A3185="","",N3185&amp;"|"&amp;$F3185)</f>
        <v/>
      </c>
      <c r="P3185" s="77">
        <f>IF($A3185="",0,$H3185*설정!$C$23)</f>
        <v/>
      </c>
      <c r="Q3185" s="39">
        <f>IF($A3185="","",IF(O3185&lt;&gt;원인분석!$C$9,"",IF(AND(M3185&gt;=원인분석!$C$10,M3185&lt;=원인분석!$C$11),"당기",IF(AND(M3185&gt;=원인분석!$C$12,M3185&lt;=원인분석!$C$13),"비교",""))))</f>
        <v/>
      </c>
      <c r="R3185" s="9">
        <f>IF(Q3185="","",$K3185&amp;"")</f>
        <v/>
      </c>
      <c r="S3185" s="9">
        <f>IF(Q3185="","",IF(MATCH(R3185,$R$5:$R$100000,0)=ROW()-4,ROW(),""))</f>
        <v/>
      </c>
      <c r="T3185" s="9">
        <f>IF(Q3185="당기",ABS(P3185)+ROW()/1000000000,"")</f>
        <v/>
      </c>
      <c r="U3185" s="9">
        <f>IF(Q3185="비교",ABS(P3185)+ROW()/1000000000,"")</f>
        <v/>
      </c>
      <c r="V3185" s="39">
        <f>IF($A3185="","",IF(COUNTIF(변동분석!$E$7:$E$506,O3185)&gt;0,"Y","N"))</f>
        <v/>
      </c>
      <c r="W3185" s="39">
        <f>IF($A3185="","",IFERROR(INDEX(계정매핑!$D$5:$D$504,MATCH($F3185&amp;"",계정매핑!$A$5:$A$504,0)),"미매핑"))</f>
        <v/>
      </c>
      <c r="X3185" s="9">
        <f>IF($A3185="","",$F3185&amp;"")</f>
        <v/>
      </c>
    </row>
    <row r="3186">
      <c r="A3186" s="75" t="n">
        <v>2026</v>
      </c>
      <c r="B3186" s="75" t="n">
        <v>5</v>
      </c>
      <c r="C3186" s="75" t="inlineStr">
        <is>
          <t>5100000842</t>
        </is>
      </c>
      <c r="D3186" s="78" t="n">
        <v>46150</v>
      </c>
      <c r="E3186" s="75" t="inlineStr">
        <is>
          <t>KR</t>
        </is>
      </c>
      <c r="F3186" s="75" t="n">
        <v>62601000</v>
      </c>
      <c r="G3186" s="75" t="n">
        <v>1601</v>
      </c>
      <c r="H3186" s="76" t="n">
        <v>3054000</v>
      </c>
      <c r="I3186" s="75" t="inlineStr">
        <is>
          <t>5월 업무추진 - (법인카드)</t>
        </is>
      </c>
      <c r="J3186" s="75" t="inlineStr">
        <is>
          <t>V10008</t>
        </is>
      </c>
      <c r="K3186" s="75" t="inlineStr">
        <is>
          <t>(법인카드)</t>
        </is>
      </c>
      <c r="M3186" s="9">
        <f>IF($A3186="","",VALUE($A3186&amp;"")*12+VALUE($B3186&amp;""))</f>
        <v/>
      </c>
      <c r="N3186" s="39">
        <f>IF($A3186="","",IFERROR(INDEX(부서매핑!$C$5:$C$504,MATCH($G3186&amp;"",부서매핑!$A$5:$A$504,0)),"미매핑"))</f>
        <v/>
      </c>
      <c r="O3186" s="9">
        <f>IF($A3186="","",N3186&amp;"|"&amp;$F3186)</f>
        <v/>
      </c>
      <c r="P3186" s="77">
        <f>IF($A3186="",0,$H3186*설정!$C$23)</f>
        <v/>
      </c>
      <c r="Q3186" s="39">
        <f>IF($A3186="","",IF(O3186&lt;&gt;원인분석!$C$9,"",IF(AND(M3186&gt;=원인분석!$C$10,M3186&lt;=원인분석!$C$11),"당기",IF(AND(M3186&gt;=원인분석!$C$12,M3186&lt;=원인분석!$C$13),"비교",""))))</f>
        <v/>
      </c>
      <c r="R3186" s="9">
        <f>IF(Q3186="","",$K3186&amp;"")</f>
        <v/>
      </c>
      <c r="S3186" s="9">
        <f>IF(Q3186="","",IF(MATCH(R3186,$R$5:$R$100000,0)=ROW()-4,ROW(),""))</f>
        <v/>
      </c>
      <c r="T3186" s="9">
        <f>IF(Q3186="당기",ABS(P3186)+ROW()/1000000000,"")</f>
        <v/>
      </c>
      <c r="U3186" s="9">
        <f>IF(Q3186="비교",ABS(P3186)+ROW()/1000000000,"")</f>
        <v/>
      </c>
      <c r="V3186" s="39">
        <f>IF($A3186="","",IF(COUNTIF(변동분석!$E$7:$E$506,O3186)&gt;0,"Y","N"))</f>
        <v/>
      </c>
      <c r="W3186" s="39">
        <f>IF($A3186="","",IFERROR(INDEX(계정매핑!$D$5:$D$504,MATCH($F3186&amp;"",계정매핑!$A$5:$A$504,0)),"미매핑"))</f>
        <v/>
      </c>
      <c r="X3186" s="9">
        <f>IF($A3186="","",$F3186&amp;"")</f>
        <v/>
      </c>
    </row>
    <row r="3187">
      <c r="A3187" s="75" t="n">
        <v>2026</v>
      </c>
      <c r="B3187" s="75" t="n">
        <v>5</v>
      </c>
      <c r="C3187" s="75" t="inlineStr">
        <is>
          <t>5100000843</t>
        </is>
      </c>
      <c r="D3187" s="78" t="n">
        <v>46151</v>
      </c>
      <c r="E3187" s="75" t="inlineStr">
        <is>
          <t>KR</t>
        </is>
      </c>
      <c r="F3187" s="75" t="n">
        <v>62101000</v>
      </c>
      <c r="G3187" s="75" t="n">
        <v>1501</v>
      </c>
      <c r="H3187" s="76" t="n">
        <v>575000</v>
      </c>
      <c r="I3187" s="75" t="inlineStr">
        <is>
          <t>5월 국내출장 - (법인카드)</t>
        </is>
      </c>
      <c r="J3187" s="75" t="inlineStr">
        <is>
          <t>V10008</t>
        </is>
      </c>
      <c r="K3187" s="75" t="inlineStr">
        <is>
          <t>(법인카드)</t>
        </is>
      </c>
      <c r="M3187" s="9">
        <f>IF($A3187="","",VALUE($A3187&amp;"")*12+VALUE($B3187&amp;""))</f>
        <v/>
      </c>
      <c r="N3187" s="39">
        <f>IF($A3187="","",IFERROR(INDEX(부서매핑!$C$5:$C$504,MATCH($G3187&amp;"",부서매핑!$A$5:$A$504,0)),"미매핑"))</f>
        <v/>
      </c>
      <c r="O3187" s="9">
        <f>IF($A3187="","",N3187&amp;"|"&amp;$F3187)</f>
        <v/>
      </c>
      <c r="P3187" s="77">
        <f>IF($A3187="",0,$H3187*설정!$C$23)</f>
        <v/>
      </c>
      <c r="Q3187" s="39">
        <f>IF($A3187="","",IF(O3187&lt;&gt;원인분석!$C$9,"",IF(AND(M3187&gt;=원인분석!$C$10,M3187&lt;=원인분석!$C$11),"당기",IF(AND(M3187&gt;=원인분석!$C$12,M3187&lt;=원인분석!$C$13),"비교",""))))</f>
        <v/>
      </c>
      <c r="R3187" s="9">
        <f>IF(Q3187="","",$K3187&amp;"")</f>
        <v/>
      </c>
      <c r="S3187" s="9">
        <f>IF(Q3187="","",IF(MATCH(R3187,$R$5:$R$100000,0)=ROW()-4,ROW(),""))</f>
        <v/>
      </c>
      <c r="T3187" s="9">
        <f>IF(Q3187="당기",ABS(P3187)+ROW()/1000000000,"")</f>
        <v/>
      </c>
      <c r="U3187" s="9">
        <f>IF(Q3187="비교",ABS(P3187)+ROW()/1000000000,"")</f>
        <v/>
      </c>
      <c r="V3187" s="39">
        <f>IF($A3187="","",IF(COUNTIF(변동분석!$E$7:$E$506,O3187)&gt;0,"Y","N"))</f>
        <v/>
      </c>
      <c r="W3187" s="39">
        <f>IF($A3187="","",IFERROR(INDEX(계정매핑!$D$5:$D$504,MATCH($F3187&amp;"",계정매핑!$A$5:$A$504,0)),"미매핑"))</f>
        <v/>
      </c>
      <c r="X3187" s="9">
        <f>IF($A3187="","",$F3187&amp;"")</f>
        <v/>
      </c>
    </row>
    <row r="3188">
      <c r="A3188" s="75" t="n">
        <v>2026</v>
      </c>
      <c r="B3188" s="75" t="n">
        <v>5</v>
      </c>
      <c r="C3188" s="75" t="inlineStr">
        <is>
          <t>5100000844</t>
        </is>
      </c>
      <c r="D3188" s="78" t="n">
        <v>46151</v>
      </c>
      <c r="E3188" s="75" t="inlineStr">
        <is>
          <t>KR</t>
        </is>
      </c>
      <c r="F3188" s="75" t="n">
        <v>62101000</v>
      </c>
      <c r="G3188" s="75" t="n">
        <v>1701</v>
      </c>
      <c r="H3188" s="76" t="n">
        <v>239000</v>
      </c>
      <c r="I3188" s="75" t="inlineStr">
        <is>
          <t>5월 국내출장 - (법인카드)</t>
        </is>
      </c>
      <c r="J3188" s="75" t="inlineStr">
        <is>
          <t>V10008</t>
        </is>
      </c>
      <c r="K3188" s="75" t="inlineStr">
        <is>
          <t>(법인카드)</t>
        </is>
      </c>
      <c r="M3188" s="9">
        <f>IF($A3188="","",VALUE($A3188&amp;"")*12+VALUE($B3188&amp;""))</f>
        <v/>
      </c>
      <c r="N3188" s="39">
        <f>IF($A3188="","",IFERROR(INDEX(부서매핑!$C$5:$C$504,MATCH($G3188&amp;"",부서매핑!$A$5:$A$504,0)),"미매핑"))</f>
        <v/>
      </c>
      <c r="O3188" s="9">
        <f>IF($A3188="","",N3188&amp;"|"&amp;$F3188)</f>
        <v/>
      </c>
      <c r="P3188" s="77">
        <f>IF($A3188="",0,$H3188*설정!$C$23)</f>
        <v/>
      </c>
      <c r="Q3188" s="39">
        <f>IF($A3188="","",IF(O3188&lt;&gt;원인분석!$C$9,"",IF(AND(M3188&gt;=원인분석!$C$10,M3188&lt;=원인분석!$C$11),"당기",IF(AND(M3188&gt;=원인분석!$C$12,M3188&lt;=원인분석!$C$13),"비교",""))))</f>
        <v/>
      </c>
      <c r="R3188" s="9">
        <f>IF(Q3188="","",$K3188&amp;"")</f>
        <v/>
      </c>
      <c r="S3188" s="9">
        <f>IF(Q3188="","",IF(MATCH(R3188,$R$5:$R$100000,0)=ROW()-4,ROW(),""))</f>
        <v/>
      </c>
      <c r="T3188" s="9">
        <f>IF(Q3188="당기",ABS(P3188)+ROW()/1000000000,"")</f>
        <v/>
      </c>
      <c r="U3188" s="9">
        <f>IF(Q3188="비교",ABS(P3188)+ROW()/1000000000,"")</f>
        <v/>
      </c>
      <c r="V3188" s="39">
        <f>IF($A3188="","",IF(COUNTIF(변동분석!$E$7:$E$506,O3188)&gt;0,"Y","N"))</f>
        <v/>
      </c>
      <c r="W3188" s="39">
        <f>IF($A3188="","",IFERROR(INDEX(계정매핑!$D$5:$D$504,MATCH($F3188&amp;"",계정매핑!$A$5:$A$504,0)),"미매핑"))</f>
        <v/>
      </c>
      <c r="X3188" s="9">
        <f>IF($A3188="","",$F3188&amp;"")</f>
        <v/>
      </c>
    </row>
    <row r="3189">
      <c r="A3189" s="75" t="n">
        <v>2026</v>
      </c>
      <c r="B3189" s="75" t="n">
        <v>5</v>
      </c>
      <c r="C3189" s="75" t="inlineStr">
        <is>
          <t>5100000845</t>
        </is>
      </c>
      <c r="D3189" s="78" t="n">
        <v>46151</v>
      </c>
      <c r="E3189" s="75" t="inlineStr">
        <is>
          <t>KR</t>
        </is>
      </c>
      <c r="F3189" s="75" t="n">
        <v>62102000</v>
      </c>
      <c r="G3189" s="75" t="n">
        <v>1301</v>
      </c>
      <c r="H3189" s="76" t="n">
        <v>53000</v>
      </c>
      <c r="I3189" s="75" t="inlineStr">
        <is>
          <t>5월 해외출장 - M항공</t>
        </is>
      </c>
      <c r="J3189" s="75" t="inlineStr">
        <is>
          <t>V10001</t>
        </is>
      </c>
      <c r="K3189" s="75" t="inlineStr">
        <is>
          <t>M항공</t>
        </is>
      </c>
      <c r="M3189" s="9">
        <f>IF($A3189="","",VALUE($A3189&amp;"")*12+VALUE($B3189&amp;""))</f>
        <v/>
      </c>
      <c r="N3189" s="39">
        <f>IF($A3189="","",IFERROR(INDEX(부서매핑!$C$5:$C$504,MATCH($G3189&amp;"",부서매핑!$A$5:$A$504,0)),"미매핑"))</f>
        <v/>
      </c>
      <c r="O3189" s="9">
        <f>IF($A3189="","",N3189&amp;"|"&amp;$F3189)</f>
        <v/>
      </c>
      <c r="P3189" s="77">
        <f>IF($A3189="",0,$H3189*설정!$C$23)</f>
        <v/>
      </c>
      <c r="Q3189" s="39">
        <f>IF($A3189="","",IF(O3189&lt;&gt;원인분석!$C$9,"",IF(AND(M3189&gt;=원인분석!$C$10,M3189&lt;=원인분석!$C$11),"당기",IF(AND(M3189&gt;=원인분석!$C$12,M3189&lt;=원인분석!$C$13),"비교",""))))</f>
        <v/>
      </c>
      <c r="R3189" s="9">
        <f>IF(Q3189="","",$K3189&amp;"")</f>
        <v/>
      </c>
      <c r="S3189" s="9">
        <f>IF(Q3189="","",IF(MATCH(R3189,$R$5:$R$100000,0)=ROW()-4,ROW(),""))</f>
        <v/>
      </c>
      <c r="T3189" s="9">
        <f>IF(Q3189="당기",ABS(P3189)+ROW()/1000000000,"")</f>
        <v/>
      </c>
      <c r="U3189" s="9">
        <f>IF(Q3189="비교",ABS(P3189)+ROW()/1000000000,"")</f>
        <v/>
      </c>
      <c r="V3189" s="39">
        <f>IF($A3189="","",IF(COUNTIF(변동분석!$E$7:$E$506,O3189)&gt;0,"Y","N"))</f>
        <v/>
      </c>
      <c r="W3189" s="39">
        <f>IF($A3189="","",IFERROR(INDEX(계정매핑!$D$5:$D$504,MATCH($F3189&amp;"",계정매핑!$A$5:$A$504,0)),"미매핑"))</f>
        <v/>
      </c>
      <c r="X3189" s="9">
        <f>IF($A3189="","",$F3189&amp;"")</f>
        <v/>
      </c>
    </row>
    <row r="3190">
      <c r="A3190" s="75" t="n">
        <v>2026</v>
      </c>
      <c r="B3190" s="75" t="n">
        <v>5</v>
      </c>
      <c r="C3190" s="75" t="inlineStr">
        <is>
          <t>5100000846</t>
        </is>
      </c>
      <c r="D3190" s="78" t="n">
        <v>46151</v>
      </c>
      <c r="E3190" s="75" t="inlineStr">
        <is>
          <t>KR</t>
        </is>
      </c>
      <c r="F3190" s="75" t="n">
        <v>62102000</v>
      </c>
      <c r="G3190" s="75" t="n">
        <v>1601</v>
      </c>
      <c r="H3190" s="76" t="n">
        <v>417000</v>
      </c>
      <c r="I3190" s="75" t="inlineStr">
        <is>
          <t>5월 해외출장 - N호텔</t>
        </is>
      </c>
      <c r="J3190" s="75" t="inlineStr">
        <is>
          <t>V10007</t>
        </is>
      </c>
      <c r="K3190" s="75" t="inlineStr">
        <is>
          <t>N호텔</t>
        </is>
      </c>
      <c r="M3190" s="9">
        <f>IF($A3190="","",VALUE($A3190&amp;"")*12+VALUE($B3190&amp;""))</f>
        <v/>
      </c>
      <c r="N3190" s="39">
        <f>IF($A3190="","",IFERROR(INDEX(부서매핑!$C$5:$C$504,MATCH($G3190&amp;"",부서매핑!$A$5:$A$504,0)),"미매핑"))</f>
        <v/>
      </c>
      <c r="O3190" s="9">
        <f>IF($A3190="","",N3190&amp;"|"&amp;$F3190)</f>
        <v/>
      </c>
      <c r="P3190" s="77">
        <f>IF($A3190="",0,$H3190*설정!$C$23)</f>
        <v/>
      </c>
      <c r="Q3190" s="39">
        <f>IF($A3190="","",IF(O3190&lt;&gt;원인분석!$C$9,"",IF(AND(M3190&gt;=원인분석!$C$10,M3190&lt;=원인분석!$C$11),"당기",IF(AND(M3190&gt;=원인분석!$C$12,M3190&lt;=원인분석!$C$13),"비교",""))))</f>
        <v/>
      </c>
      <c r="R3190" s="9">
        <f>IF(Q3190="","",$K3190&amp;"")</f>
        <v/>
      </c>
      <c r="S3190" s="9">
        <f>IF(Q3190="","",IF(MATCH(R3190,$R$5:$R$100000,0)=ROW()-4,ROW(),""))</f>
        <v/>
      </c>
      <c r="T3190" s="9">
        <f>IF(Q3190="당기",ABS(P3190)+ROW()/1000000000,"")</f>
        <v/>
      </c>
      <c r="U3190" s="9">
        <f>IF(Q3190="비교",ABS(P3190)+ROW()/1000000000,"")</f>
        <v/>
      </c>
      <c r="V3190" s="39">
        <f>IF($A3190="","",IF(COUNTIF(변동분석!$E$7:$E$506,O3190)&gt;0,"Y","N"))</f>
        <v/>
      </c>
      <c r="W3190" s="39">
        <f>IF($A3190="","",IFERROR(INDEX(계정매핑!$D$5:$D$504,MATCH($F3190&amp;"",계정매핑!$A$5:$A$504,0)),"미매핑"))</f>
        <v/>
      </c>
      <c r="X3190" s="9">
        <f>IF($A3190="","",$F3190&amp;"")</f>
        <v/>
      </c>
    </row>
    <row r="3191">
      <c r="A3191" s="75" t="n">
        <v>2026</v>
      </c>
      <c r="B3191" s="75" t="n">
        <v>5</v>
      </c>
      <c r="C3191" s="75" t="inlineStr">
        <is>
          <t>5100000847</t>
        </is>
      </c>
      <c r="D3191" s="78" t="n">
        <v>46151</v>
      </c>
      <c r="E3191" s="75" t="inlineStr">
        <is>
          <t>KR</t>
        </is>
      </c>
      <c r="F3191" s="75" t="n">
        <v>62201000</v>
      </c>
      <c r="G3191" s="75" t="n">
        <v>1301</v>
      </c>
      <c r="H3191" s="76" t="n">
        <v>271000</v>
      </c>
      <c r="I3191" s="75" t="inlineStr">
        <is>
          <t>5월 통신요금 - O텔레콤</t>
        </is>
      </c>
      <c r="J3191" s="75" t="inlineStr">
        <is>
          <t>V10002</t>
        </is>
      </c>
      <c r="K3191" s="75" t="inlineStr">
        <is>
          <t>O텔레콤</t>
        </is>
      </c>
      <c r="M3191" s="9">
        <f>IF($A3191="","",VALUE($A3191&amp;"")*12+VALUE($B3191&amp;""))</f>
        <v/>
      </c>
      <c r="N3191" s="39">
        <f>IF($A3191="","",IFERROR(INDEX(부서매핑!$C$5:$C$504,MATCH($G3191&amp;"",부서매핑!$A$5:$A$504,0)),"미매핑"))</f>
        <v/>
      </c>
      <c r="O3191" s="9">
        <f>IF($A3191="","",N3191&amp;"|"&amp;$F3191)</f>
        <v/>
      </c>
      <c r="P3191" s="77">
        <f>IF($A3191="",0,$H3191*설정!$C$23)</f>
        <v/>
      </c>
      <c r="Q3191" s="39">
        <f>IF($A3191="","",IF(O3191&lt;&gt;원인분석!$C$9,"",IF(AND(M3191&gt;=원인분석!$C$10,M3191&lt;=원인분석!$C$11),"당기",IF(AND(M3191&gt;=원인분석!$C$12,M3191&lt;=원인분석!$C$13),"비교",""))))</f>
        <v/>
      </c>
      <c r="R3191" s="9">
        <f>IF(Q3191="","",$K3191&amp;"")</f>
        <v/>
      </c>
      <c r="S3191" s="9">
        <f>IF(Q3191="","",IF(MATCH(R3191,$R$5:$R$100000,0)=ROW()-4,ROW(),""))</f>
        <v/>
      </c>
      <c r="T3191" s="9">
        <f>IF(Q3191="당기",ABS(P3191)+ROW()/1000000000,"")</f>
        <v/>
      </c>
      <c r="U3191" s="9">
        <f>IF(Q3191="비교",ABS(P3191)+ROW()/1000000000,"")</f>
        <v/>
      </c>
      <c r="V3191" s="39">
        <f>IF($A3191="","",IF(COUNTIF(변동분석!$E$7:$E$506,O3191)&gt;0,"Y","N"))</f>
        <v/>
      </c>
      <c r="W3191" s="39">
        <f>IF($A3191="","",IFERROR(INDEX(계정매핑!$D$5:$D$504,MATCH($F3191&amp;"",계정매핑!$A$5:$A$504,0)),"미매핑"))</f>
        <v/>
      </c>
      <c r="X3191" s="9">
        <f>IF($A3191="","",$F3191&amp;"")</f>
        <v/>
      </c>
    </row>
    <row r="3192">
      <c r="A3192" s="75" t="n">
        <v>2026</v>
      </c>
      <c r="B3192" s="75" t="n">
        <v>5</v>
      </c>
      <c r="C3192" s="75" t="inlineStr">
        <is>
          <t>5100000848</t>
        </is>
      </c>
      <c r="D3192" s="78" t="n">
        <v>46151</v>
      </c>
      <c r="E3192" s="75" t="inlineStr">
        <is>
          <t>KR</t>
        </is>
      </c>
      <c r="F3192" s="75" t="n">
        <v>62301000</v>
      </c>
      <c r="G3192" s="75" t="n">
        <v>1501</v>
      </c>
      <c r="H3192" s="76" t="n">
        <v>257000</v>
      </c>
      <c r="I3192" s="75" t="inlineStr">
        <is>
          <t>5월 소모품 구입 - Q오피스</t>
        </is>
      </c>
      <c r="J3192" s="75" t="inlineStr">
        <is>
          <t>V10003</t>
        </is>
      </c>
      <c r="K3192" s="75" t="inlineStr">
        <is>
          <t>Q오피스</t>
        </is>
      </c>
      <c r="M3192" s="9">
        <f>IF($A3192="","",VALUE($A3192&amp;"")*12+VALUE($B3192&amp;""))</f>
        <v/>
      </c>
      <c r="N3192" s="39">
        <f>IF($A3192="","",IFERROR(INDEX(부서매핑!$C$5:$C$504,MATCH($G3192&amp;"",부서매핑!$A$5:$A$504,0)),"미매핑"))</f>
        <v/>
      </c>
      <c r="O3192" s="9">
        <f>IF($A3192="","",N3192&amp;"|"&amp;$F3192)</f>
        <v/>
      </c>
      <c r="P3192" s="77">
        <f>IF($A3192="",0,$H3192*설정!$C$23)</f>
        <v/>
      </c>
      <c r="Q3192" s="39">
        <f>IF($A3192="","",IF(O3192&lt;&gt;원인분석!$C$9,"",IF(AND(M3192&gt;=원인분석!$C$10,M3192&lt;=원인분석!$C$11),"당기",IF(AND(M3192&gt;=원인분석!$C$12,M3192&lt;=원인분석!$C$13),"비교",""))))</f>
        <v/>
      </c>
      <c r="R3192" s="9">
        <f>IF(Q3192="","",$K3192&amp;"")</f>
        <v/>
      </c>
      <c r="S3192" s="9">
        <f>IF(Q3192="","",IF(MATCH(R3192,$R$5:$R$100000,0)=ROW()-4,ROW(),""))</f>
        <v/>
      </c>
      <c r="T3192" s="9">
        <f>IF(Q3192="당기",ABS(P3192)+ROW()/1000000000,"")</f>
        <v/>
      </c>
      <c r="U3192" s="9">
        <f>IF(Q3192="비교",ABS(P3192)+ROW()/1000000000,"")</f>
        <v/>
      </c>
      <c r="V3192" s="39">
        <f>IF($A3192="","",IF(COUNTIF(변동분석!$E$7:$E$506,O3192)&gt;0,"Y","N"))</f>
        <v/>
      </c>
      <c r="W3192" s="39">
        <f>IF($A3192="","",IFERROR(INDEX(계정매핑!$D$5:$D$504,MATCH($F3192&amp;"",계정매핑!$A$5:$A$504,0)),"미매핑"))</f>
        <v/>
      </c>
      <c r="X3192" s="9">
        <f>IF($A3192="","",$F3192&amp;"")</f>
        <v/>
      </c>
    </row>
    <row r="3193">
      <c r="A3193" s="75" t="n">
        <v>2026</v>
      </c>
      <c r="B3193" s="75" t="n">
        <v>5</v>
      </c>
      <c r="C3193" s="75" t="inlineStr">
        <is>
          <t>5100000849</t>
        </is>
      </c>
      <c r="D3193" s="78" t="n">
        <v>46151</v>
      </c>
      <c r="E3193" s="75" t="inlineStr">
        <is>
          <t>KR</t>
        </is>
      </c>
      <c r="F3193" s="75" t="n">
        <v>62501000</v>
      </c>
      <c r="G3193" s="75" t="n">
        <v>1801</v>
      </c>
      <c r="H3193" s="76" t="n">
        <v>69000</v>
      </c>
      <c r="I3193" s="75" t="inlineStr">
        <is>
          <t>5월 회의 다과 - (법인카드)</t>
        </is>
      </c>
      <c r="J3193" s="75" t="inlineStr">
        <is>
          <t>V10008</t>
        </is>
      </c>
      <c r="K3193" s="75" t="inlineStr">
        <is>
          <t>(법인카드)</t>
        </is>
      </c>
      <c r="M3193" s="9">
        <f>IF($A3193="","",VALUE($A3193&amp;"")*12+VALUE($B3193&amp;""))</f>
        <v/>
      </c>
      <c r="N3193" s="39">
        <f>IF($A3193="","",IFERROR(INDEX(부서매핑!$C$5:$C$504,MATCH($G3193&amp;"",부서매핑!$A$5:$A$504,0)),"미매핑"))</f>
        <v/>
      </c>
      <c r="O3193" s="9">
        <f>IF($A3193="","",N3193&amp;"|"&amp;$F3193)</f>
        <v/>
      </c>
      <c r="P3193" s="77">
        <f>IF($A3193="",0,$H3193*설정!$C$23)</f>
        <v/>
      </c>
      <c r="Q3193" s="39">
        <f>IF($A3193="","",IF(O3193&lt;&gt;원인분석!$C$9,"",IF(AND(M3193&gt;=원인분석!$C$10,M3193&lt;=원인분석!$C$11),"당기",IF(AND(M3193&gt;=원인분석!$C$12,M3193&lt;=원인분석!$C$13),"비교",""))))</f>
        <v/>
      </c>
      <c r="R3193" s="9">
        <f>IF(Q3193="","",$K3193&amp;"")</f>
        <v/>
      </c>
      <c r="S3193" s="9">
        <f>IF(Q3193="","",IF(MATCH(R3193,$R$5:$R$100000,0)=ROW()-4,ROW(),""))</f>
        <v/>
      </c>
      <c r="T3193" s="9">
        <f>IF(Q3193="당기",ABS(P3193)+ROW()/1000000000,"")</f>
        <v/>
      </c>
      <c r="U3193" s="9">
        <f>IF(Q3193="비교",ABS(P3193)+ROW()/1000000000,"")</f>
        <v/>
      </c>
      <c r="V3193" s="39">
        <f>IF($A3193="","",IF(COUNTIF(변동분석!$E$7:$E$506,O3193)&gt;0,"Y","N"))</f>
        <v/>
      </c>
      <c r="W3193" s="39">
        <f>IF($A3193="","",IFERROR(INDEX(계정매핑!$D$5:$D$504,MATCH($F3193&amp;"",계정매핑!$A$5:$A$504,0)),"미매핑"))</f>
        <v/>
      </c>
      <c r="X3193" s="9">
        <f>IF($A3193="","",$F3193&amp;"")</f>
        <v/>
      </c>
    </row>
    <row r="3194">
      <c r="A3194" s="75" t="n">
        <v>2026</v>
      </c>
      <c r="B3194" s="75" t="n">
        <v>5</v>
      </c>
      <c r="C3194" s="75" t="inlineStr">
        <is>
          <t>5100000850</t>
        </is>
      </c>
      <c r="D3194" s="78" t="n">
        <v>46151</v>
      </c>
      <c r="E3194" s="75" t="inlineStr">
        <is>
          <t>KR</t>
        </is>
      </c>
      <c r="F3194" s="75" t="n">
        <v>62501000</v>
      </c>
      <c r="G3194" s="75" t="n">
        <v>1801</v>
      </c>
      <c r="H3194" s="76" t="n">
        <v>155000</v>
      </c>
      <c r="I3194" s="75" t="inlineStr">
        <is>
          <t>5월 회의 다과 - T케이터링</t>
        </is>
      </c>
      <c r="J3194" s="75" t="inlineStr">
        <is>
          <t>V10005</t>
        </is>
      </c>
      <c r="K3194" s="75" t="inlineStr">
        <is>
          <t>T케이터링</t>
        </is>
      </c>
      <c r="M3194" s="9">
        <f>IF($A3194="","",VALUE($A3194&amp;"")*12+VALUE($B3194&amp;""))</f>
        <v/>
      </c>
      <c r="N3194" s="39">
        <f>IF($A3194="","",IFERROR(INDEX(부서매핑!$C$5:$C$504,MATCH($G3194&amp;"",부서매핑!$A$5:$A$504,0)),"미매핑"))</f>
        <v/>
      </c>
      <c r="O3194" s="9">
        <f>IF($A3194="","",N3194&amp;"|"&amp;$F3194)</f>
        <v/>
      </c>
      <c r="P3194" s="77">
        <f>IF($A3194="",0,$H3194*설정!$C$23)</f>
        <v/>
      </c>
      <c r="Q3194" s="39">
        <f>IF($A3194="","",IF(O3194&lt;&gt;원인분석!$C$9,"",IF(AND(M3194&gt;=원인분석!$C$10,M3194&lt;=원인분석!$C$11),"당기",IF(AND(M3194&gt;=원인분석!$C$12,M3194&lt;=원인분석!$C$13),"비교",""))))</f>
        <v/>
      </c>
      <c r="R3194" s="9">
        <f>IF(Q3194="","",$K3194&amp;"")</f>
        <v/>
      </c>
      <c r="S3194" s="9">
        <f>IF(Q3194="","",IF(MATCH(R3194,$R$5:$R$100000,0)=ROW()-4,ROW(),""))</f>
        <v/>
      </c>
      <c r="T3194" s="9">
        <f>IF(Q3194="당기",ABS(P3194)+ROW()/1000000000,"")</f>
        <v/>
      </c>
      <c r="U3194" s="9">
        <f>IF(Q3194="비교",ABS(P3194)+ROW()/1000000000,"")</f>
        <v/>
      </c>
      <c r="V3194" s="39">
        <f>IF($A3194="","",IF(COUNTIF(변동분석!$E$7:$E$506,O3194)&gt;0,"Y","N"))</f>
        <v/>
      </c>
      <c r="W3194" s="39">
        <f>IF($A3194="","",IFERROR(INDEX(계정매핑!$D$5:$D$504,MATCH($F3194&amp;"",계정매핑!$A$5:$A$504,0)),"미매핑"))</f>
        <v/>
      </c>
      <c r="X3194" s="9">
        <f>IF($A3194="","",$F3194&amp;"")</f>
        <v/>
      </c>
    </row>
    <row r="3195">
      <c r="A3195" s="75" t="n">
        <v>2026</v>
      </c>
      <c r="B3195" s="75" t="n">
        <v>5</v>
      </c>
      <c r="C3195" s="75" t="inlineStr">
        <is>
          <t>5100000851</t>
        </is>
      </c>
      <c r="D3195" s="78" t="n">
        <v>46151</v>
      </c>
      <c r="E3195" s="75" t="inlineStr">
        <is>
          <t>KR</t>
        </is>
      </c>
      <c r="F3195" s="75" t="n">
        <v>62601000</v>
      </c>
      <c r="G3195" s="75" t="n">
        <v>1501</v>
      </c>
      <c r="H3195" s="76" t="n">
        <v>1195000</v>
      </c>
      <c r="I3195" s="75" t="inlineStr">
        <is>
          <t>5월 업무추진 - (법인카드)</t>
        </is>
      </c>
      <c r="J3195" s="75" t="inlineStr">
        <is>
          <t>V10008</t>
        </is>
      </c>
      <c r="K3195" s="75" t="inlineStr">
        <is>
          <t>(법인카드)</t>
        </is>
      </c>
      <c r="M3195" s="9">
        <f>IF($A3195="","",VALUE($A3195&amp;"")*12+VALUE($B3195&amp;""))</f>
        <v/>
      </c>
      <c r="N3195" s="39">
        <f>IF($A3195="","",IFERROR(INDEX(부서매핑!$C$5:$C$504,MATCH($G3195&amp;"",부서매핑!$A$5:$A$504,0)),"미매핑"))</f>
        <v/>
      </c>
      <c r="O3195" s="9">
        <f>IF($A3195="","",N3195&amp;"|"&amp;$F3195)</f>
        <v/>
      </c>
      <c r="P3195" s="77">
        <f>IF($A3195="",0,$H3195*설정!$C$23)</f>
        <v/>
      </c>
      <c r="Q3195" s="39">
        <f>IF($A3195="","",IF(O3195&lt;&gt;원인분석!$C$9,"",IF(AND(M3195&gt;=원인분석!$C$10,M3195&lt;=원인분석!$C$11),"당기",IF(AND(M3195&gt;=원인분석!$C$12,M3195&lt;=원인분석!$C$13),"비교",""))))</f>
        <v/>
      </c>
      <c r="R3195" s="9">
        <f>IF(Q3195="","",$K3195&amp;"")</f>
        <v/>
      </c>
      <c r="S3195" s="9">
        <f>IF(Q3195="","",IF(MATCH(R3195,$R$5:$R$100000,0)=ROW()-4,ROW(),""))</f>
        <v/>
      </c>
      <c r="T3195" s="9">
        <f>IF(Q3195="당기",ABS(P3195)+ROW()/1000000000,"")</f>
        <v/>
      </c>
      <c r="U3195" s="9">
        <f>IF(Q3195="비교",ABS(P3195)+ROW()/1000000000,"")</f>
        <v/>
      </c>
      <c r="V3195" s="39">
        <f>IF($A3195="","",IF(COUNTIF(변동분석!$E$7:$E$506,O3195)&gt;0,"Y","N"))</f>
        <v/>
      </c>
      <c r="W3195" s="39">
        <f>IF($A3195="","",IFERROR(INDEX(계정매핑!$D$5:$D$504,MATCH($F3195&amp;"",계정매핑!$A$5:$A$504,0)),"미매핑"))</f>
        <v/>
      </c>
      <c r="X3195" s="9">
        <f>IF($A3195="","",$F3195&amp;"")</f>
        <v/>
      </c>
    </row>
    <row r="3196">
      <c r="A3196" s="75" t="n">
        <v>2026</v>
      </c>
      <c r="B3196" s="75" t="n">
        <v>5</v>
      </c>
      <c r="C3196" s="75" t="inlineStr">
        <is>
          <t>5100000852</t>
        </is>
      </c>
      <c r="D3196" s="78" t="n">
        <v>46151</v>
      </c>
      <c r="E3196" s="75" t="inlineStr">
        <is>
          <t>KR</t>
        </is>
      </c>
      <c r="F3196" s="75" t="n">
        <v>62701000</v>
      </c>
      <c r="G3196" s="75" t="n">
        <v>1501</v>
      </c>
      <c r="H3196" s="76" t="n">
        <v>41597000</v>
      </c>
      <c r="I3196" s="75" t="inlineStr">
        <is>
          <t>5월 광고 집행 - F애드</t>
        </is>
      </c>
      <c r="J3196" s="75" t="inlineStr">
        <is>
          <t>V10019</t>
        </is>
      </c>
      <c r="K3196" s="75" t="inlineStr">
        <is>
          <t>F애드</t>
        </is>
      </c>
      <c r="M3196" s="9">
        <f>IF($A3196="","",VALUE($A3196&amp;"")*12+VALUE($B3196&amp;""))</f>
        <v/>
      </c>
      <c r="N3196" s="39">
        <f>IF($A3196="","",IFERROR(INDEX(부서매핑!$C$5:$C$504,MATCH($G3196&amp;"",부서매핑!$A$5:$A$504,0)),"미매핑"))</f>
        <v/>
      </c>
      <c r="O3196" s="9">
        <f>IF($A3196="","",N3196&amp;"|"&amp;$F3196)</f>
        <v/>
      </c>
      <c r="P3196" s="77">
        <f>IF($A3196="",0,$H3196*설정!$C$23)</f>
        <v/>
      </c>
      <c r="Q3196" s="39">
        <f>IF($A3196="","",IF(O3196&lt;&gt;원인분석!$C$9,"",IF(AND(M3196&gt;=원인분석!$C$10,M3196&lt;=원인분석!$C$11),"당기",IF(AND(M3196&gt;=원인분석!$C$12,M3196&lt;=원인분석!$C$13),"비교",""))))</f>
        <v/>
      </c>
      <c r="R3196" s="9">
        <f>IF(Q3196="","",$K3196&amp;"")</f>
        <v/>
      </c>
      <c r="S3196" s="9">
        <f>IF(Q3196="","",IF(MATCH(R3196,$R$5:$R$100000,0)=ROW()-4,ROW(),""))</f>
        <v/>
      </c>
      <c r="T3196" s="9">
        <f>IF(Q3196="당기",ABS(P3196)+ROW()/1000000000,"")</f>
        <v/>
      </c>
      <c r="U3196" s="9">
        <f>IF(Q3196="비교",ABS(P3196)+ROW()/1000000000,"")</f>
        <v/>
      </c>
      <c r="V3196" s="39">
        <f>IF($A3196="","",IF(COUNTIF(변동분석!$E$7:$E$506,O3196)&gt;0,"Y","N"))</f>
        <v/>
      </c>
      <c r="W3196" s="39">
        <f>IF($A3196="","",IFERROR(INDEX(계정매핑!$D$5:$D$504,MATCH($F3196&amp;"",계정매핑!$A$5:$A$504,0)),"미매핑"))</f>
        <v/>
      </c>
      <c r="X3196" s="9">
        <f>IF($A3196="","",$F3196&amp;"")</f>
        <v/>
      </c>
    </row>
    <row r="3197">
      <c r="A3197" s="75" t="n">
        <v>2026</v>
      </c>
      <c r="B3197" s="75" t="n">
        <v>5</v>
      </c>
      <c r="C3197" s="75" t="inlineStr">
        <is>
          <t>5100000853</t>
        </is>
      </c>
      <c r="D3197" s="78" t="n">
        <v>46152</v>
      </c>
      <c r="E3197" s="75" t="inlineStr">
        <is>
          <t>KR</t>
        </is>
      </c>
      <c r="F3197" s="75" t="n">
        <v>62101000</v>
      </c>
      <c r="G3197" s="75" t="n">
        <v>1201</v>
      </c>
      <c r="H3197" s="76" t="n">
        <v>212000</v>
      </c>
      <c r="I3197" s="75" t="inlineStr">
        <is>
          <t>5월 국내출장 - L여행사</t>
        </is>
      </c>
      <c r="J3197" s="75" t="inlineStr">
        <is>
          <t>V10014</t>
        </is>
      </c>
      <c r="K3197" s="75" t="inlineStr">
        <is>
          <t>L여행사</t>
        </is>
      </c>
      <c r="M3197" s="9">
        <f>IF($A3197="","",VALUE($A3197&amp;"")*12+VALUE($B3197&amp;""))</f>
        <v/>
      </c>
      <c r="N3197" s="39">
        <f>IF($A3197="","",IFERROR(INDEX(부서매핑!$C$5:$C$504,MATCH($G3197&amp;"",부서매핑!$A$5:$A$504,0)),"미매핑"))</f>
        <v/>
      </c>
      <c r="O3197" s="9">
        <f>IF($A3197="","",N3197&amp;"|"&amp;$F3197)</f>
        <v/>
      </c>
      <c r="P3197" s="77">
        <f>IF($A3197="",0,$H3197*설정!$C$23)</f>
        <v/>
      </c>
      <c r="Q3197" s="39">
        <f>IF($A3197="","",IF(O3197&lt;&gt;원인분석!$C$9,"",IF(AND(M3197&gt;=원인분석!$C$10,M3197&lt;=원인분석!$C$11),"당기",IF(AND(M3197&gt;=원인분석!$C$12,M3197&lt;=원인분석!$C$13),"비교",""))))</f>
        <v/>
      </c>
      <c r="R3197" s="9">
        <f>IF(Q3197="","",$K3197&amp;"")</f>
        <v/>
      </c>
      <c r="S3197" s="9">
        <f>IF(Q3197="","",IF(MATCH(R3197,$R$5:$R$100000,0)=ROW()-4,ROW(),""))</f>
        <v/>
      </c>
      <c r="T3197" s="9">
        <f>IF(Q3197="당기",ABS(P3197)+ROW()/1000000000,"")</f>
        <v/>
      </c>
      <c r="U3197" s="9">
        <f>IF(Q3197="비교",ABS(P3197)+ROW()/1000000000,"")</f>
        <v/>
      </c>
      <c r="V3197" s="39">
        <f>IF($A3197="","",IF(COUNTIF(변동분석!$E$7:$E$506,O3197)&gt;0,"Y","N"))</f>
        <v/>
      </c>
      <c r="W3197" s="39">
        <f>IF($A3197="","",IFERROR(INDEX(계정매핑!$D$5:$D$504,MATCH($F3197&amp;"",계정매핑!$A$5:$A$504,0)),"미매핑"))</f>
        <v/>
      </c>
      <c r="X3197" s="9">
        <f>IF($A3197="","",$F3197&amp;"")</f>
        <v/>
      </c>
    </row>
    <row r="3198">
      <c r="A3198" s="75" t="n">
        <v>2026</v>
      </c>
      <c r="B3198" s="75" t="n">
        <v>5</v>
      </c>
      <c r="C3198" s="75" t="inlineStr">
        <is>
          <t>5100000854</t>
        </is>
      </c>
      <c r="D3198" s="78" t="n">
        <v>46152</v>
      </c>
      <c r="E3198" s="75" t="inlineStr">
        <is>
          <t>KR</t>
        </is>
      </c>
      <c r="F3198" s="75" t="n">
        <v>62101000</v>
      </c>
      <c r="G3198" s="75" t="n">
        <v>1201</v>
      </c>
      <c r="H3198" s="76" t="n">
        <v>164000</v>
      </c>
      <c r="I3198" s="75" t="inlineStr">
        <is>
          <t>5월 국내출장 - L여행사</t>
        </is>
      </c>
      <c r="J3198" s="75" t="inlineStr">
        <is>
          <t>V10014</t>
        </is>
      </c>
      <c r="K3198" s="75" t="inlineStr">
        <is>
          <t>L여행사</t>
        </is>
      </c>
      <c r="M3198" s="9">
        <f>IF($A3198="","",VALUE($A3198&amp;"")*12+VALUE($B3198&amp;""))</f>
        <v/>
      </c>
      <c r="N3198" s="39">
        <f>IF($A3198="","",IFERROR(INDEX(부서매핑!$C$5:$C$504,MATCH($G3198&amp;"",부서매핑!$A$5:$A$504,0)),"미매핑"))</f>
        <v/>
      </c>
      <c r="O3198" s="9">
        <f>IF($A3198="","",N3198&amp;"|"&amp;$F3198)</f>
        <v/>
      </c>
      <c r="P3198" s="77">
        <f>IF($A3198="",0,$H3198*설정!$C$23)</f>
        <v/>
      </c>
      <c r="Q3198" s="39">
        <f>IF($A3198="","",IF(O3198&lt;&gt;원인분석!$C$9,"",IF(AND(M3198&gt;=원인분석!$C$10,M3198&lt;=원인분석!$C$11),"당기",IF(AND(M3198&gt;=원인분석!$C$12,M3198&lt;=원인분석!$C$13),"비교",""))))</f>
        <v/>
      </c>
      <c r="R3198" s="9">
        <f>IF(Q3198="","",$K3198&amp;"")</f>
        <v/>
      </c>
      <c r="S3198" s="9">
        <f>IF(Q3198="","",IF(MATCH(R3198,$R$5:$R$100000,0)=ROW()-4,ROW(),""))</f>
        <v/>
      </c>
      <c r="T3198" s="9">
        <f>IF(Q3198="당기",ABS(P3198)+ROW()/1000000000,"")</f>
        <v/>
      </c>
      <c r="U3198" s="9">
        <f>IF(Q3198="비교",ABS(P3198)+ROW()/1000000000,"")</f>
        <v/>
      </c>
      <c r="V3198" s="39">
        <f>IF($A3198="","",IF(COUNTIF(변동분석!$E$7:$E$506,O3198)&gt;0,"Y","N"))</f>
        <v/>
      </c>
      <c r="W3198" s="39">
        <f>IF($A3198="","",IFERROR(INDEX(계정매핑!$D$5:$D$504,MATCH($F3198&amp;"",계정매핑!$A$5:$A$504,0)),"미매핑"))</f>
        <v/>
      </c>
      <c r="X3198" s="9">
        <f>IF($A3198="","",$F3198&amp;"")</f>
        <v/>
      </c>
    </row>
    <row r="3199">
      <c r="A3199" s="75" t="n">
        <v>2026</v>
      </c>
      <c r="B3199" s="75" t="n">
        <v>5</v>
      </c>
      <c r="C3199" s="75" t="inlineStr">
        <is>
          <t>5100000855</t>
        </is>
      </c>
      <c r="D3199" s="78" t="n">
        <v>46152</v>
      </c>
      <c r="E3199" s="75" t="inlineStr">
        <is>
          <t>KR</t>
        </is>
      </c>
      <c r="F3199" s="75" t="n">
        <v>62101000</v>
      </c>
      <c r="G3199" s="75" t="n">
        <v>1201</v>
      </c>
      <c r="H3199" s="76" t="n">
        <v>273000</v>
      </c>
      <c r="I3199" s="75" t="inlineStr">
        <is>
          <t>5월 국내출장 - M항공</t>
        </is>
      </c>
      <c r="J3199" s="75" t="inlineStr">
        <is>
          <t>V10001</t>
        </is>
      </c>
      <c r="K3199" s="75" t="inlineStr">
        <is>
          <t>M항공</t>
        </is>
      </c>
      <c r="M3199" s="9">
        <f>IF($A3199="","",VALUE($A3199&amp;"")*12+VALUE($B3199&amp;""))</f>
        <v/>
      </c>
      <c r="N3199" s="39">
        <f>IF($A3199="","",IFERROR(INDEX(부서매핑!$C$5:$C$504,MATCH($G3199&amp;"",부서매핑!$A$5:$A$504,0)),"미매핑"))</f>
        <v/>
      </c>
      <c r="O3199" s="9">
        <f>IF($A3199="","",N3199&amp;"|"&amp;$F3199)</f>
        <v/>
      </c>
      <c r="P3199" s="77">
        <f>IF($A3199="",0,$H3199*설정!$C$23)</f>
        <v/>
      </c>
      <c r="Q3199" s="39">
        <f>IF($A3199="","",IF(O3199&lt;&gt;원인분석!$C$9,"",IF(AND(M3199&gt;=원인분석!$C$10,M3199&lt;=원인분석!$C$11),"당기",IF(AND(M3199&gt;=원인분석!$C$12,M3199&lt;=원인분석!$C$13),"비교",""))))</f>
        <v/>
      </c>
      <c r="R3199" s="9">
        <f>IF(Q3199="","",$K3199&amp;"")</f>
        <v/>
      </c>
      <c r="S3199" s="9">
        <f>IF(Q3199="","",IF(MATCH(R3199,$R$5:$R$100000,0)=ROW()-4,ROW(),""))</f>
        <v/>
      </c>
      <c r="T3199" s="9">
        <f>IF(Q3199="당기",ABS(P3199)+ROW()/1000000000,"")</f>
        <v/>
      </c>
      <c r="U3199" s="9">
        <f>IF(Q3199="비교",ABS(P3199)+ROW()/1000000000,"")</f>
        <v/>
      </c>
      <c r="V3199" s="39">
        <f>IF($A3199="","",IF(COUNTIF(변동분석!$E$7:$E$506,O3199)&gt;0,"Y","N"))</f>
        <v/>
      </c>
      <c r="W3199" s="39">
        <f>IF($A3199="","",IFERROR(INDEX(계정매핑!$D$5:$D$504,MATCH($F3199&amp;"",계정매핑!$A$5:$A$504,0)),"미매핑"))</f>
        <v/>
      </c>
      <c r="X3199" s="9">
        <f>IF($A3199="","",$F3199&amp;"")</f>
        <v/>
      </c>
    </row>
    <row r="3200">
      <c r="A3200" s="75" t="n">
        <v>2026</v>
      </c>
      <c r="B3200" s="75" t="n">
        <v>5</v>
      </c>
      <c r="C3200" s="75" t="inlineStr">
        <is>
          <t>5100000856</t>
        </is>
      </c>
      <c r="D3200" s="78" t="n">
        <v>46152</v>
      </c>
      <c r="E3200" s="75" t="inlineStr">
        <is>
          <t>KR</t>
        </is>
      </c>
      <c r="F3200" s="75" t="n">
        <v>62301000</v>
      </c>
      <c r="G3200" s="75" t="n">
        <v>1401</v>
      </c>
      <c r="H3200" s="76" t="n">
        <v>203000</v>
      </c>
      <c r="I3200" s="75" t="inlineStr">
        <is>
          <t>5월 소모품 구입 - Q오피스</t>
        </is>
      </c>
      <c r="J3200" s="75" t="inlineStr">
        <is>
          <t>V10003</t>
        </is>
      </c>
      <c r="K3200" s="75" t="inlineStr">
        <is>
          <t>Q오피스</t>
        </is>
      </c>
      <c r="M3200" s="9">
        <f>IF($A3200="","",VALUE($A3200&amp;"")*12+VALUE($B3200&amp;""))</f>
        <v/>
      </c>
      <c r="N3200" s="39">
        <f>IF($A3200="","",IFERROR(INDEX(부서매핑!$C$5:$C$504,MATCH($G3200&amp;"",부서매핑!$A$5:$A$504,0)),"미매핑"))</f>
        <v/>
      </c>
      <c r="O3200" s="9">
        <f>IF($A3200="","",N3200&amp;"|"&amp;$F3200)</f>
        <v/>
      </c>
      <c r="P3200" s="77">
        <f>IF($A3200="",0,$H3200*설정!$C$23)</f>
        <v/>
      </c>
      <c r="Q3200" s="39">
        <f>IF($A3200="","",IF(O3200&lt;&gt;원인분석!$C$9,"",IF(AND(M3200&gt;=원인분석!$C$10,M3200&lt;=원인분석!$C$11),"당기",IF(AND(M3200&gt;=원인분석!$C$12,M3200&lt;=원인분석!$C$13),"비교",""))))</f>
        <v/>
      </c>
      <c r="R3200" s="9">
        <f>IF(Q3200="","",$K3200&amp;"")</f>
        <v/>
      </c>
      <c r="S3200" s="9">
        <f>IF(Q3200="","",IF(MATCH(R3200,$R$5:$R$100000,0)=ROW()-4,ROW(),""))</f>
        <v/>
      </c>
      <c r="T3200" s="9">
        <f>IF(Q3200="당기",ABS(P3200)+ROW()/1000000000,"")</f>
        <v/>
      </c>
      <c r="U3200" s="9">
        <f>IF(Q3200="비교",ABS(P3200)+ROW()/1000000000,"")</f>
        <v/>
      </c>
      <c r="V3200" s="39">
        <f>IF($A3200="","",IF(COUNTIF(변동분석!$E$7:$E$506,O3200)&gt;0,"Y","N"))</f>
        <v/>
      </c>
      <c r="W3200" s="39">
        <f>IF($A3200="","",IFERROR(INDEX(계정매핑!$D$5:$D$504,MATCH($F3200&amp;"",계정매핑!$A$5:$A$504,0)),"미매핑"))</f>
        <v/>
      </c>
      <c r="X3200" s="9">
        <f>IF($A3200="","",$F3200&amp;"")</f>
        <v/>
      </c>
    </row>
    <row r="3201">
      <c r="A3201" s="75" t="n">
        <v>2026</v>
      </c>
      <c r="B3201" s="75" t="n">
        <v>5</v>
      </c>
      <c r="C3201" s="75" t="inlineStr">
        <is>
          <t>5100000857</t>
        </is>
      </c>
      <c r="D3201" s="78" t="n">
        <v>46152</v>
      </c>
      <c r="E3201" s="75" t="inlineStr">
        <is>
          <t>KR</t>
        </is>
      </c>
      <c r="F3201" s="75" t="n">
        <v>62401000</v>
      </c>
      <c r="G3201" s="75" t="n">
        <v>1801</v>
      </c>
      <c r="H3201" s="76" t="n">
        <v>1791000</v>
      </c>
      <c r="I3201" s="75" t="inlineStr">
        <is>
          <t>5월 인쇄물 제작 - S출판</t>
        </is>
      </c>
      <c r="J3201" s="75" t="inlineStr">
        <is>
          <t>V10012</t>
        </is>
      </c>
      <c r="K3201" s="75" t="inlineStr">
        <is>
          <t>S출판</t>
        </is>
      </c>
      <c r="M3201" s="9">
        <f>IF($A3201="","",VALUE($A3201&amp;"")*12+VALUE($B3201&amp;""))</f>
        <v/>
      </c>
      <c r="N3201" s="39">
        <f>IF($A3201="","",IFERROR(INDEX(부서매핑!$C$5:$C$504,MATCH($G3201&amp;"",부서매핑!$A$5:$A$504,0)),"미매핑"))</f>
        <v/>
      </c>
      <c r="O3201" s="9">
        <f>IF($A3201="","",N3201&amp;"|"&amp;$F3201)</f>
        <v/>
      </c>
      <c r="P3201" s="77">
        <f>IF($A3201="",0,$H3201*설정!$C$23)</f>
        <v/>
      </c>
      <c r="Q3201" s="39">
        <f>IF($A3201="","",IF(O3201&lt;&gt;원인분석!$C$9,"",IF(AND(M3201&gt;=원인분석!$C$10,M3201&lt;=원인분석!$C$11),"당기",IF(AND(M3201&gt;=원인분석!$C$12,M3201&lt;=원인분석!$C$13),"비교",""))))</f>
        <v/>
      </c>
      <c r="R3201" s="9">
        <f>IF(Q3201="","",$K3201&amp;"")</f>
        <v/>
      </c>
      <c r="S3201" s="9">
        <f>IF(Q3201="","",IF(MATCH(R3201,$R$5:$R$100000,0)=ROW()-4,ROW(),""))</f>
        <v/>
      </c>
      <c r="T3201" s="9">
        <f>IF(Q3201="당기",ABS(P3201)+ROW()/1000000000,"")</f>
        <v/>
      </c>
      <c r="U3201" s="9">
        <f>IF(Q3201="비교",ABS(P3201)+ROW()/1000000000,"")</f>
        <v/>
      </c>
      <c r="V3201" s="39">
        <f>IF($A3201="","",IF(COUNTIF(변동분석!$E$7:$E$506,O3201)&gt;0,"Y","N"))</f>
        <v/>
      </c>
      <c r="W3201" s="39">
        <f>IF($A3201="","",IFERROR(INDEX(계정매핑!$D$5:$D$504,MATCH($F3201&amp;"",계정매핑!$A$5:$A$504,0)),"미매핑"))</f>
        <v/>
      </c>
      <c r="X3201" s="9">
        <f>IF($A3201="","",$F3201&amp;"")</f>
        <v/>
      </c>
    </row>
    <row r="3202">
      <c r="A3202" s="75" t="n">
        <v>2026</v>
      </c>
      <c r="B3202" s="75" t="n">
        <v>5</v>
      </c>
      <c r="C3202" s="75" t="inlineStr">
        <is>
          <t>5100000858</t>
        </is>
      </c>
      <c r="D3202" s="78" t="n">
        <v>46152</v>
      </c>
      <c r="E3202" s="75" t="inlineStr">
        <is>
          <t>KR</t>
        </is>
      </c>
      <c r="F3202" s="75" t="n">
        <v>62501000</v>
      </c>
      <c r="G3202" s="75" t="n">
        <v>1201</v>
      </c>
      <c r="H3202" s="76" t="n">
        <v>76000</v>
      </c>
      <c r="I3202" s="75" t="inlineStr">
        <is>
          <t>5월 회의 다과 - T케이터링</t>
        </is>
      </c>
      <c r="J3202" s="75" t="inlineStr">
        <is>
          <t>V10005</t>
        </is>
      </c>
      <c r="K3202" s="75" t="inlineStr">
        <is>
          <t>T케이터링</t>
        </is>
      </c>
      <c r="M3202" s="9">
        <f>IF($A3202="","",VALUE($A3202&amp;"")*12+VALUE($B3202&amp;""))</f>
        <v/>
      </c>
      <c r="N3202" s="39">
        <f>IF($A3202="","",IFERROR(INDEX(부서매핑!$C$5:$C$504,MATCH($G3202&amp;"",부서매핑!$A$5:$A$504,0)),"미매핑"))</f>
        <v/>
      </c>
      <c r="O3202" s="9">
        <f>IF($A3202="","",N3202&amp;"|"&amp;$F3202)</f>
        <v/>
      </c>
      <c r="P3202" s="77">
        <f>IF($A3202="",0,$H3202*설정!$C$23)</f>
        <v/>
      </c>
      <c r="Q3202" s="39">
        <f>IF($A3202="","",IF(O3202&lt;&gt;원인분석!$C$9,"",IF(AND(M3202&gt;=원인분석!$C$10,M3202&lt;=원인분석!$C$11),"당기",IF(AND(M3202&gt;=원인분석!$C$12,M3202&lt;=원인분석!$C$13),"비교",""))))</f>
        <v/>
      </c>
      <c r="R3202" s="9">
        <f>IF(Q3202="","",$K3202&amp;"")</f>
        <v/>
      </c>
      <c r="S3202" s="9">
        <f>IF(Q3202="","",IF(MATCH(R3202,$R$5:$R$100000,0)=ROW()-4,ROW(),""))</f>
        <v/>
      </c>
      <c r="T3202" s="9">
        <f>IF(Q3202="당기",ABS(P3202)+ROW()/1000000000,"")</f>
        <v/>
      </c>
      <c r="U3202" s="9">
        <f>IF(Q3202="비교",ABS(P3202)+ROW()/1000000000,"")</f>
        <v/>
      </c>
      <c r="V3202" s="39">
        <f>IF($A3202="","",IF(COUNTIF(변동분석!$E$7:$E$506,O3202)&gt;0,"Y","N"))</f>
        <v/>
      </c>
      <c r="W3202" s="39">
        <f>IF($A3202="","",IFERROR(INDEX(계정매핑!$D$5:$D$504,MATCH($F3202&amp;"",계정매핑!$A$5:$A$504,0)),"미매핑"))</f>
        <v/>
      </c>
      <c r="X3202" s="9">
        <f>IF($A3202="","",$F3202&amp;"")</f>
        <v/>
      </c>
    </row>
    <row r="3203">
      <c r="A3203" s="75" t="n">
        <v>2026</v>
      </c>
      <c r="B3203" s="75" t="n">
        <v>5</v>
      </c>
      <c r="C3203" s="75" t="inlineStr">
        <is>
          <t>5100000859</t>
        </is>
      </c>
      <c r="D3203" s="78" t="n">
        <v>46152</v>
      </c>
      <c r="E3203" s="75" t="inlineStr">
        <is>
          <t>KR</t>
        </is>
      </c>
      <c r="F3203" s="75" t="n">
        <v>62902000</v>
      </c>
      <c r="G3203" s="75" t="n">
        <v>1101</v>
      </c>
      <c r="H3203" s="76" t="n">
        <v>1220000</v>
      </c>
      <c r="I3203" s="75" t="inlineStr">
        <is>
          <t>5월 업무 위탁 수수료 - X서비스</t>
        </is>
      </c>
      <c r="J3203" s="75" t="inlineStr">
        <is>
          <t>V10016</t>
        </is>
      </c>
      <c r="K3203" s="75" t="inlineStr">
        <is>
          <t>X서비스</t>
        </is>
      </c>
      <c r="M3203" s="9">
        <f>IF($A3203="","",VALUE($A3203&amp;"")*12+VALUE($B3203&amp;""))</f>
        <v/>
      </c>
      <c r="N3203" s="39">
        <f>IF($A3203="","",IFERROR(INDEX(부서매핑!$C$5:$C$504,MATCH($G3203&amp;"",부서매핑!$A$5:$A$504,0)),"미매핑"))</f>
        <v/>
      </c>
      <c r="O3203" s="9">
        <f>IF($A3203="","",N3203&amp;"|"&amp;$F3203)</f>
        <v/>
      </c>
      <c r="P3203" s="77">
        <f>IF($A3203="",0,$H3203*설정!$C$23)</f>
        <v/>
      </c>
      <c r="Q3203" s="39">
        <f>IF($A3203="","",IF(O3203&lt;&gt;원인분석!$C$9,"",IF(AND(M3203&gt;=원인분석!$C$10,M3203&lt;=원인분석!$C$11),"당기",IF(AND(M3203&gt;=원인분석!$C$12,M3203&lt;=원인분석!$C$13),"비교",""))))</f>
        <v/>
      </c>
      <c r="R3203" s="9">
        <f>IF(Q3203="","",$K3203&amp;"")</f>
        <v/>
      </c>
      <c r="S3203" s="9">
        <f>IF(Q3203="","",IF(MATCH(R3203,$R$5:$R$100000,0)=ROW()-4,ROW(),""))</f>
        <v/>
      </c>
      <c r="T3203" s="9">
        <f>IF(Q3203="당기",ABS(P3203)+ROW()/1000000000,"")</f>
        <v/>
      </c>
      <c r="U3203" s="9">
        <f>IF(Q3203="비교",ABS(P3203)+ROW()/1000000000,"")</f>
        <v/>
      </c>
      <c r="V3203" s="39">
        <f>IF($A3203="","",IF(COUNTIF(변동분석!$E$7:$E$506,O3203)&gt;0,"Y","N"))</f>
        <v/>
      </c>
      <c r="W3203" s="39">
        <f>IF($A3203="","",IFERROR(INDEX(계정매핑!$D$5:$D$504,MATCH($F3203&amp;"",계정매핑!$A$5:$A$504,0)),"미매핑"))</f>
        <v/>
      </c>
      <c r="X3203" s="9">
        <f>IF($A3203="","",$F3203&amp;"")</f>
        <v/>
      </c>
    </row>
    <row r="3204">
      <c r="A3204" s="75" t="n">
        <v>2026</v>
      </c>
      <c r="B3204" s="75" t="n">
        <v>5</v>
      </c>
      <c r="C3204" s="75" t="inlineStr">
        <is>
          <t>5100000860</t>
        </is>
      </c>
      <c r="D3204" s="78" t="n">
        <v>46152</v>
      </c>
      <c r="E3204" s="75" t="inlineStr">
        <is>
          <t>KR</t>
        </is>
      </c>
      <c r="F3204" s="75" t="n">
        <v>63001000</v>
      </c>
      <c r="G3204" s="75" t="n">
        <v>1701</v>
      </c>
      <c r="H3204" s="76" t="n">
        <v>39280000</v>
      </c>
      <c r="I3204" s="75" t="inlineStr">
        <is>
          <t>5월 SW 유지보수 - Y소프트</t>
        </is>
      </c>
      <c r="J3204" s="75" t="inlineStr">
        <is>
          <t>V10017</t>
        </is>
      </c>
      <c r="K3204" s="75" t="inlineStr">
        <is>
          <t>Y소프트</t>
        </is>
      </c>
      <c r="M3204" s="9">
        <f>IF($A3204="","",VALUE($A3204&amp;"")*12+VALUE($B3204&amp;""))</f>
        <v/>
      </c>
      <c r="N3204" s="39">
        <f>IF($A3204="","",IFERROR(INDEX(부서매핑!$C$5:$C$504,MATCH($G3204&amp;"",부서매핑!$A$5:$A$504,0)),"미매핑"))</f>
        <v/>
      </c>
      <c r="O3204" s="9">
        <f>IF($A3204="","",N3204&amp;"|"&amp;$F3204)</f>
        <v/>
      </c>
      <c r="P3204" s="77">
        <f>IF($A3204="",0,$H3204*설정!$C$23)</f>
        <v/>
      </c>
      <c r="Q3204" s="39">
        <f>IF($A3204="","",IF(O3204&lt;&gt;원인분석!$C$9,"",IF(AND(M3204&gt;=원인분석!$C$10,M3204&lt;=원인분석!$C$11),"당기",IF(AND(M3204&gt;=원인분석!$C$12,M3204&lt;=원인분석!$C$13),"비교",""))))</f>
        <v/>
      </c>
      <c r="R3204" s="9">
        <f>IF(Q3204="","",$K3204&amp;"")</f>
        <v/>
      </c>
      <c r="S3204" s="9">
        <f>IF(Q3204="","",IF(MATCH(R3204,$R$5:$R$100000,0)=ROW()-4,ROW(),""))</f>
        <v/>
      </c>
      <c r="T3204" s="9">
        <f>IF(Q3204="당기",ABS(P3204)+ROW()/1000000000,"")</f>
        <v/>
      </c>
      <c r="U3204" s="9">
        <f>IF(Q3204="비교",ABS(P3204)+ROW()/1000000000,"")</f>
        <v/>
      </c>
      <c r="V3204" s="39">
        <f>IF($A3204="","",IF(COUNTIF(변동분석!$E$7:$E$506,O3204)&gt;0,"Y","N"))</f>
        <v/>
      </c>
      <c r="W3204" s="39">
        <f>IF($A3204="","",IFERROR(INDEX(계정매핑!$D$5:$D$504,MATCH($F3204&amp;"",계정매핑!$A$5:$A$504,0)),"미매핑"))</f>
        <v/>
      </c>
      <c r="X3204" s="9">
        <f>IF($A3204="","",$F3204&amp;"")</f>
        <v/>
      </c>
    </row>
    <row r="3205">
      <c r="A3205" s="75" t="n">
        <v>2026</v>
      </c>
      <c r="B3205" s="75" t="n">
        <v>5</v>
      </c>
      <c r="C3205" s="75" t="inlineStr">
        <is>
          <t>5100000861</t>
        </is>
      </c>
      <c r="D3205" s="78" t="n">
        <v>46153</v>
      </c>
      <c r="E3205" s="75" t="inlineStr">
        <is>
          <t>KR</t>
        </is>
      </c>
      <c r="F3205" s="75" t="n">
        <v>62401000</v>
      </c>
      <c r="G3205" s="75" t="n">
        <v>1502</v>
      </c>
      <c r="H3205" s="76" t="n">
        <v>1555000</v>
      </c>
      <c r="I3205" s="75" t="inlineStr">
        <is>
          <t>5월 인쇄물 제작 - G인쇄</t>
        </is>
      </c>
      <c r="J3205" s="75" t="inlineStr">
        <is>
          <t>V10004</t>
        </is>
      </c>
      <c r="K3205" s="75" t="inlineStr">
        <is>
          <t>G인쇄</t>
        </is>
      </c>
      <c r="M3205" s="9">
        <f>IF($A3205="","",VALUE($A3205&amp;"")*12+VALUE($B3205&amp;""))</f>
        <v/>
      </c>
      <c r="N3205" s="39">
        <f>IF($A3205="","",IFERROR(INDEX(부서매핑!$C$5:$C$504,MATCH($G3205&amp;"",부서매핑!$A$5:$A$504,0)),"미매핑"))</f>
        <v/>
      </c>
      <c r="O3205" s="9">
        <f>IF($A3205="","",N3205&amp;"|"&amp;$F3205)</f>
        <v/>
      </c>
      <c r="P3205" s="77">
        <f>IF($A3205="",0,$H3205*설정!$C$23)</f>
        <v/>
      </c>
      <c r="Q3205" s="39">
        <f>IF($A3205="","",IF(O3205&lt;&gt;원인분석!$C$9,"",IF(AND(M3205&gt;=원인분석!$C$10,M3205&lt;=원인분석!$C$11),"당기",IF(AND(M3205&gt;=원인분석!$C$12,M3205&lt;=원인분석!$C$13),"비교",""))))</f>
        <v/>
      </c>
      <c r="R3205" s="9">
        <f>IF(Q3205="","",$K3205&amp;"")</f>
        <v/>
      </c>
      <c r="S3205" s="9">
        <f>IF(Q3205="","",IF(MATCH(R3205,$R$5:$R$100000,0)=ROW()-4,ROW(),""))</f>
        <v/>
      </c>
      <c r="T3205" s="9">
        <f>IF(Q3205="당기",ABS(P3205)+ROW()/1000000000,"")</f>
        <v/>
      </c>
      <c r="U3205" s="9">
        <f>IF(Q3205="비교",ABS(P3205)+ROW()/1000000000,"")</f>
        <v/>
      </c>
      <c r="V3205" s="39">
        <f>IF($A3205="","",IF(COUNTIF(변동분석!$E$7:$E$506,O3205)&gt;0,"Y","N"))</f>
        <v/>
      </c>
      <c r="W3205" s="39">
        <f>IF($A3205="","",IFERROR(INDEX(계정매핑!$D$5:$D$504,MATCH($F3205&amp;"",계정매핑!$A$5:$A$504,0)),"미매핑"))</f>
        <v/>
      </c>
      <c r="X3205" s="9">
        <f>IF($A3205="","",$F3205&amp;"")</f>
        <v/>
      </c>
    </row>
    <row r="3206">
      <c r="A3206" s="75" t="n">
        <v>2026</v>
      </c>
      <c r="B3206" s="75" t="n">
        <v>5</v>
      </c>
      <c r="C3206" s="75" t="inlineStr">
        <is>
          <t>5100000862</t>
        </is>
      </c>
      <c r="D3206" s="78" t="n">
        <v>46153</v>
      </c>
      <c r="E3206" s="75" t="inlineStr">
        <is>
          <t>KR</t>
        </is>
      </c>
      <c r="F3206" s="75" t="n">
        <v>62902000</v>
      </c>
      <c r="G3206" s="75" t="n">
        <v>1801</v>
      </c>
      <c r="H3206" s="76" t="n">
        <v>1822000</v>
      </c>
      <c r="I3206" s="75" t="inlineStr">
        <is>
          <t>5월 콜 위탁 수수료(건별)</t>
        </is>
      </c>
      <c r="J3206" s="75" t="inlineStr">
        <is>
          <t>V10013</t>
        </is>
      </c>
      <c r="K3206" s="75" t="inlineStr">
        <is>
          <t>J콜센터</t>
        </is>
      </c>
      <c r="M3206" s="9">
        <f>IF($A3206="","",VALUE($A3206&amp;"")*12+VALUE($B3206&amp;""))</f>
        <v/>
      </c>
      <c r="N3206" s="39">
        <f>IF($A3206="","",IFERROR(INDEX(부서매핑!$C$5:$C$504,MATCH($G3206&amp;"",부서매핑!$A$5:$A$504,0)),"미매핑"))</f>
        <v/>
      </c>
      <c r="O3206" s="9">
        <f>IF($A3206="","",N3206&amp;"|"&amp;$F3206)</f>
        <v/>
      </c>
      <c r="P3206" s="77">
        <f>IF($A3206="",0,$H3206*설정!$C$23)</f>
        <v/>
      </c>
      <c r="Q3206" s="39">
        <f>IF($A3206="","",IF(O3206&lt;&gt;원인분석!$C$9,"",IF(AND(M3206&gt;=원인분석!$C$10,M3206&lt;=원인분석!$C$11),"당기",IF(AND(M3206&gt;=원인분석!$C$12,M3206&lt;=원인분석!$C$13),"비교",""))))</f>
        <v/>
      </c>
      <c r="R3206" s="9">
        <f>IF(Q3206="","",$K3206&amp;"")</f>
        <v/>
      </c>
      <c r="S3206" s="9">
        <f>IF(Q3206="","",IF(MATCH(R3206,$R$5:$R$100000,0)=ROW()-4,ROW(),""))</f>
        <v/>
      </c>
      <c r="T3206" s="9">
        <f>IF(Q3206="당기",ABS(P3206)+ROW()/1000000000,"")</f>
        <v/>
      </c>
      <c r="U3206" s="9">
        <f>IF(Q3206="비교",ABS(P3206)+ROW()/1000000000,"")</f>
        <v/>
      </c>
      <c r="V3206" s="39">
        <f>IF($A3206="","",IF(COUNTIF(변동분석!$E$7:$E$506,O3206)&gt;0,"Y","N"))</f>
        <v/>
      </c>
      <c r="W3206" s="39">
        <f>IF($A3206="","",IFERROR(INDEX(계정매핑!$D$5:$D$504,MATCH($F3206&amp;"",계정매핑!$A$5:$A$504,0)),"미매핑"))</f>
        <v/>
      </c>
      <c r="X3206" s="9">
        <f>IF($A3206="","",$F3206&amp;"")</f>
        <v/>
      </c>
    </row>
    <row r="3207">
      <c r="A3207" s="75" t="n">
        <v>2026</v>
      </c>
      <c r="B3207" s="75" t="n">
        <v>5</v>
      </c>
      <c r="C3207" s="75" t="inlineStr">
        <is>
          <t>5100000863</t>
        </is>
      </c>
      <c r="D3207" s="78" t="n">
        <v>46154</v>
      </c>
      <c r="E3207" s="75" t="inlineStr">
        <is>
          <t>KR</t>
        </is>
      </c>
      <c r="F3207" s="75" t="n">
        <v>62101000</v>
      </c>
      <c r="G3207" s="75" t="n">
        <v>1501</v>
      </c>
      <c r="H3207" s="76" t="n">
        <v>345000</v>
      </c>
      <c r="I3207" s="75" t="inlineStr">
        <is>
          <t>5월 국내출장 - (법인카드)</t>
        </is>
      </c>
      <c r="J3207" s="75" t="inlineStr">
        <is>
          <t>V10008</t>
        </is>
      </c>
      <c r="K3207" s="75" t="inlineStr">
        <is>
          <t>(법인카드)</t>
        </is>
      </c>
      <c r="M3207" s="9">
        <f>IF($A3207="","",VALUE($A3207&amp;"")*12+VALUE($B3207&amp;""))</f>
        <v/>
      </c>
      <c r="N3207" s="39">
        <f>IF($A3207="","",IFERROR(INDEX(부서매핑!$C$5:$C$504,MATCH($G3207&amp;"",부서매핑!$A$5:$A$504,0)),"미매핑"))</f>
        <v/>
      </c>
      <c r="O3207" s="9">
        <f>IF($A3207="","",N3207&amp;"|"&amp;$F3207)</f>
        <v/>
      </c>
      <c r="P3207" s="77">
        <f>IF($A3207="",0,$H3207*설정!$C$23)</f>
        <v/>
      </c>
      <c r="Q3207" s="39">
        <f>IF($A3207="","",IF(O3207&lt;&gt;원인분석!$C$9,"",IF(AND(M3207&gt;=원인분석!$C$10,M3207&lt;=원인분석!$C$11),"당기",IF(AND(M3207&gt;=원인분석!$C$12,M3207&lt;=원인분석!$C$13),"비교",""))))</f>
        <v/>
      </c>
      <c r="R3207" s="9">
        <f>IF(Q3207="","",$K3207&amp;"")</f>
        <v/>
      </c>
      <c r="S3207" s="9">
        <f>IF(Q3207="","",IF(MATCH(R3207,$R$5:$R$100000,0)=ROW()-4,ROW(),""))</f>
        <v/>
      </c>
      <c r="T3207" s="9">
        <f>IF(Q3207="당기",ABS(P3207)+ROW()/1000000000,"")</f>
        <v/>
      </c>
      <c r="U3207" s="9">
        <f>IF(Q3207="비교",ABS(P3207)+ROW()/1000000000,"")</f>
        <v/>
      </c>
      <c r="V3207" s="39">
        <f>IF($A3207="","",IF(COUNTIF(변동분석!$E$7:$E$506,O3207)&gt;0,"Y","N"))</f>
        <v/>
      </c>
      <c r="W3207" s="39">
        <f>IF($A3207="","",IFERROR(INDEX(계정매핑!$D$5:$D$504,MATCH($F3207&amp;"",계정매핑!$A$5:$A$504,0)),"미매핑"))</f>
        <v/>
      </c>
      <c r="X3207" s="9">
        <f>IF($A3207="","",$F3207&amp;"")</f>
        <v/>
      </c>
    </row>
    <row r="3208">
      <c r="A3208" s="75" t="n">
        <v>2026</v>
      </c>
      <c r="B3208" s="75" t="n">
        <v>5</v>
      </c>
      <c r="C3208" s="75" t="inlineStr">
        <is>
          <t>5100000864</t>
        </is>
      </c>
      <c r="D3208" s="78" t="n">
        <v>46154</v>
      </c>
      <c r="E3208" s="75" t="inlineStr">
        <is>
          <t>KR</t>
        </is>
      </c>
      <c r="F3208" s="75" t="n">
        <v>62102000</v>
      </c>
      <c r="G3208" s="75" t="n">
        <v>1101</v>
      </c>
      <c r="H3208" s="76" t="n">
        <v>90000</v>
      </c>
      <c r="I3208" s="75" t="inlineStr">
        <is>
          <t>5월 해외출장 - M항공</t>
        </is>
      </c>
      <c r="J3208" s="75" t="inlineStr">
        <is>
          <t>V10001</t>
        </is>
      </c>
      <c r="K3208" s="75" t="inlineStr">
        <is>
          <t>M항공</t>
        </is>
      </c>
      <c r="M3208" s="9">
        <f>IF($A3208="","",VALUE($A3208&amp;"")*12+VALUE($B3208&amp;""))</f>
        <v/>
      </c>
      <c r="N3208" s="39">
        <f>IF($A3208="","",IFERROR(INDEX(부서매핑!$C$5:$C$504,MATCH($G3208&amp;"",부서매핑!$A$5:$A$504,0)),"미매핑"))</f>
        <v/>
      </c>
      <c r="O3208" s="9">
        <f>IF($A3208="","",N3208&amp;"|"&amp;$F3208)</f>
        <v/>
      </c>
      <c r="P3208" s="77">
        <f>IF($A3208="",0,$H3208*설정!$C$23)</f>
        <v/>
      </c>
      <c r="Q3208" s="39">
        <f>IF($A3208="","",IF(O3208&lt;&gt;원인분석!$C$9,"",IF(AND(M3208&gt;=원인분석!$C$10,M3208&lt;=원인분석!$C$11),"당기",IF(AND(M3208&gt;=원인분석!$C$12,M3208&lt;=원인분석!$C$13),"비교",""))))</f>
        <v/>
      </c>
      <c r="R3208" s="9">
        <f>IF(Q3208="","",$K3208&amp;"")</f>
        <v/>
      </c>
      <c r="S3208" s="9">
        <f>IF(Q3208="","",IF(MATCH(R3208,$R$5:$R$100000,0)=ROW()-4,ROW(),""))</f>
        <v/>
      </c>
      <c r="T3208" s="9">
        <f>IF(Q3208="당기",ABS(P3208)+ROW()/1000000000,"")</f>
        <v/>
      </c>
      <c r="U3208" s="9">
        <f>IF(Q3208="비교",ABS(P3208)+ROW()/1000000000,"")</f>
        <v/>
      </c>
      <c r="V3208" s="39">
        <f>IF($A3208="","",IF(COUNTIF(변동분석!$E$7:$E$506,O3208)&gt;0,"Y","N"))</f>
        <v/>
      </c>
      <c r="W3208" s="39">
        <f>IF($A3208="","",IFERROR(INDEX(계정매핑!$D$5:$D$504,MATCH($F3208&amp;"",계정매핑!$A$5:$A$504,0)),"미매핑"))</f>
        <v/>
      </c>
      <c r="X3208" s="9">
        <f>IF($A3208="","",$F3208&amp;"")</f>
        <v/>
      </c>
    </row>
    <row r="3209">
      <c r="A3209" s="75" t="n">
        <v>2026</v>
      </c>
      <c r="B3209" s="75" t="n">
        <v>5</v>
      </c>
      <c r="C3209" s="75" t="inlineStr">
        <is>
          <t>5100000865</t>
        </is>
      </c>
      <c r="D3209" s="78" t="n">
        <v>46154</v>
      </c>
      <c r="E3209" s="75" t="inlineStr">
        <is>
          <t>KR</t>
        </is>
      </c>
      <c r="F3209" s="75" t="n">
        <v>62102000</v>
      </c>
      <c r="G3209" s="75" t="n">
        <v>1201</v>
      </c>
      <c r="H3209" s="76" t="n">
        <v>69000</v>
      </c>
      <c r="I3209" s="75" t="inlineStr">
        <is>
          <t>5월 해외출장 - M항공</t>
        </is>
      </c>
      <c r="J3209" s="75" t="inlineStr">
        <is>
          <t>V10001</t>
        </is>
      </c>
      <c r="K3209" s="75" t="inlineStr">
        <is>
          <t>M항공</t>
        </is>
      </c>
      <c r="M3209" s="9">
        <f>IF($A3209="","",VALUE($A3209&amp;"")*12+VALUE($B3209&amp;""))</f>
        <v/>
      </c>
      <c r="N3209" s="39">
        <f>IF($A3209="","",IFERROR(INDEX(부서매핑!$C$5:$C$504,MATCH($G3209&amp;"",부서매핑!$A$5:$A$504,0)),"미매핑"))</f>
        <v/>
      </c>
      <c r="O3209" s="9">
        <f>IF($A3209="","",N3209&amp;"|"&amp;$F3209)</f>
        <v/>
      </c>
      <c r="P3209" s="77">
        <f>IF($A3209="",0,$H3209*설정!$C$23)</f>
        <v/>
      </c>
      <c r="Q3209" s="39">
        <f>IF($A3209="","",IF(O3209&lt;&gt;원인분석!$C$9,"",IF(AND(M3209&gt;=원인분석!$C$10,M3209&lt;=원인분석!$C$11),"당기",IF(AND(M3209&gt;=원인분석!$C$12,M3209&lt;=원인분석!$C$13),"비교",""))))</f>
        <v/>
      </c>
      <c r="R3209" s="9">
        <f>IF(Q3209="","",$K3209&amp;"")</f>
        <v/>
      </c>
      <c r="S3209" s="9">
        <f>IF(Q3209="","",IF(MATCH(R3209,$R$5:$R$100000,0)=ROW()-4,ROW(),""))</f>
        <v/>
      </c>
      <c r="T3209" s="9">
        <f>IF(Q3209="당기",ABS(P3209)+ROW()/1000000000,"")</f>
        <v/>
      </c>
      <c r="U3209" s="9">
        <f>IF(Q3209="비교",ABS(P3209)+ROW()/1000000000,"")</f>
        <v/>
      </c>
      <c r="V3209" s="39">
        <f>IF($A3209="","",IF(COUNTIF(변동분석!$E$7:$E$506,O3209)&gt;0,"Y","N"))</f>
        <v/>
      </c>
      <c r="W3209" s="39">
        <f>IF($A3209="","",IFERROR(INDEX(계정매핑!$D$5:$D$504,MATCH($F3209&amp;"",계정매핑!$A$5:$A$504,0)),"미매핑"))</f>
        <v/>
      </c>
      <c r="X3209" s="9">
        <f>IF($A3209="","",$F3209&amp;"")</f>
        <v/>
      </c>
    </row>
    <row r="3210">
      <c r="A3210" s="75" t="n">
        <v>2026</v>
      </c>
      <c r="B3210" s="75" t="n">
        <v>5</v>
      </c>
      <c r="C3210" s="75" t="inlineStr">
        <is>
          <t>5100000866</t>
        </is>
      </c>
      <c r="D3210" s="78" t="n">
        <v>46154</v>
      </c>
      <c r="E3210" s="75" t="inlineStr">
        <is>
          <t>KR</t>
        </is>
      </c>
      <c r="F3210" s="75" t="n">
        <v>62201000</v>
      </c>
      <c r="G3210" s="75" t="n">
        <v>1501</v>
      </c>
      <c r="H3210" s="76" t="n">
        <v>503000</v>
      </c>
      <c r="I3210" s="75" t="inlineStr">
        <is>
          <t>5월 통신요금 - P통신</t>
        </is>
      </c>
      <c r="J3210" s="75" t="inlineStr">
        <is>
          <t>V10011</t>
        </is>
      </c>
      <c r="K3210" s="75" t="inlineStr">
        <is>
          <t>P통신</t>
        </is>
      </c>
      <c r="M3210" s="9">
        <f>IF($A3210="","",VALUE($A3210&amp;"")*12+VALUE($B3210&amp;""))</f>
        <v/>
      </c>
      <c r="N3210" s="39">
        <f>IF($A3210="","",IFERROR(INDEX(부서매핑!$C$5:$C$504,MATCH($G3210&amp;"",부서매핑!$A$5:$A$504,0)),"미매핑"))</f>
        <v/>
      </c>
      <c r="O3210" s="9">
        <f>IF($A3210="","",N3210&amp;"|"&amp;$F3210)</f>
        <v/>
      </c>
      <c r="P3210" s="77">
        <f>IF($A3210="",0,$H3210*설정!$C$23)</f>
        <v/>
      </c>
      <c r="Q3210" s="39">
        <f>IF($A3210="","",IF(O3210&lt;&gt;원인분석!$C$9,"",IF(AND(M3210&gt;=원인분석!$C$10,M3210&lt;=원인분석!$C$11),"당기",IF(AND(M3210&gt;=원인분석!$C$12,M3210&lt;=원인분석!$C$13),"비교",""))))</f>
        <v/>
      </c>
      <c r="R3210" s="9">
        <f>IF(Q3210="","",$K3210&amp;"")</f>
        <v/>
      </c>
      <c r="S3210" s="9">
        <f>IF(Q3210="","",IF(MATCH(R3210,$R$5:$R$100000,0)=ROW()-4,ROW(),""))</f>
        <v/>
      </c>
      <c r="T3210" s="9">
        <f>IF(Q3210="당기",ABS(P3210)+ROW()/1000000000,"")</f>
        <v/>
      </c>
      <c r="U3210" s="9">
        <f>IF(Q3210="비교",ABS(P3210)+ROW()/1000000000,"")</f>
        <v/>
      </c>
      <c r="V3210" s="39">
        <f>IF($A3210="","",IF(COUNTIF(변동분석!$E$7:$E$506,O3210)&gt;0,"Y","N"))</f>
        <v/>
      </c>
      <c r="W3210" s="39">
        <f>IF($A3210="","",IFERROR(INDEX(계정매핑!$D$5:$D$504,MATCH($F3210&amp;"",계정매핑!$A$5:$A$504,0)),"미매핑"))</f>
        <v/>
      </c>
      <c r="X3210" s="9">
        <f>IF($A3210="","",$F3210&amp;"")</f>
        <v/>
      </c>
    </row>
    <row r="3211">
      <c r="A3211" s="75" t="n">
        <v>2026</v>
      </c>
      <c r="B3211" s="75" t="n">
        <v>5</v>
      </c>
      <c r="C3211" s="75" t="inlineStr">
        <is>
          <t>5100000867</t>
        </is>
      </c>
      <c r="D3211" s="78" t="n">
        <v>46154</v>
      </c>
      <c r="E3211" s="75" t="inlineStr">
        <is>
          <t>KR</t>
        </is>
      </c>
      <c r="F3211" s="75" t="n">
        <v>62301000</v>
      </c>
      <c r="G3211" s="75" t="n">
        <v>1201</v>
      </c>
      <c r="H3211" s="76" t="n">
        <v>249000</v>
      </c>
      <c r="I3211" s="75" t="inlineStr">
        <is>
          <t>5월 소모품 구입 - R문구</t>
        </is>
      </c>
      <c r="J3211" s="75" t="inlineStr">
        <is>
          <t>V10018</t>
        </is>
      </c>
      <c r="K3211" s="75" t="inlineStr">
        <is>
          <t>R문구</t>
        </is>
      </c>
      <c r="M3211" s="9">
        <f>IF($A3211="","",VALUE($A3211&amp;"")*12+VALUE($B3211&amp;""))</f>
        <v/>
      </c>
      <c r="N3211" s="39">
        <f>IF($A3211="","",IFERROR(INDEX(부서매핑!$C$5:$C$504,MATCH($G3211&amp;"",부서매핑!$A$5:$A$504,0)),"미매핑"))</f>
        <v/>
      </c>
      <c r="O3211" s="9">
        <f>IF($A3211="","",N3211&amp;"|"&amp;$F3211)</f>
        <v/>
      </c>
      <c r="P3211" s="77">
        <f>IF($A3211="",0,$H3211*설정!$C$23)</f>
        <v/>
      </c>
      <c r="Q3211" s="39">
        <f>IF($A3211="","",IF(O3211&lt;&gt;원인분석!$C$9,"",IF(AND(M3211&gt;=원인분석!$C$10,M3211&lt;=원인분석!$C$11),"당기",IF(AND(M3211&gt;=원인분석!$C$12,M3211&lt;=원인분석!$C$13),"비교",""))))</f>
        <v/>
      </c>
      <c r="R3211" s="9">
        <f>IF(Q3211="","",$K3211&amp;"")</f>
        <v/>
      </c>
      <c r="S3211" s="9">
        <f>IF(Q3211="","",IF(MATCH(R3211,$R$5:$R$100000,0)=ROW()-4,ROW(),""))</f>
        <v/>
      </c>
      <c r="T3211" s="9">
        <f>IF(Q3211="당기",ABS(P3211)+ROW()/1000000000,"")</f>
        <v/>
      </c>
      <c r="U3211" s="9">
        <f>IF(Q3211="비교",ABS(P3211)+ROW()/1000000000,"")</f>
        <v/>
      </c>
      <c r="V3211" s="39">
        <f>IF($A3211="","",IF(COUNTIF(변동분석!$E$7:$E$506,O3211)&gt;0,"Y","N"))</f>
        <v/>
      </c>
      <c r="W3211" s="39">
        <f>IF($A3211="","",IFERROR(INDEX(계정매핑!$D$5:$D$504,MATCH($F3211&amp;"",계정매핑!$A$5:$A$504,0)),"미매핑"))</f>
        <v/>
      </c>
      <c r="X3211" s="9">
        <f>IF($A3211="","",$F3211&amp;"")</f>
        <v/>
      </c>
    </row>
    <row r="3212">
      <c r="A3212" s="75" t="n">
        <v>2026</v>
      </c>
      <c r="B3212" s="75" t="n">
        <v>5</v>
      </c>
      <c r="C3212" s="75" t="inlineStr">
        <is>
          <t>5100000868</t>
        </is>
      </c>
      <c r="D3212" s="78" t="n">
        <v>46154</v>
      </c>
      <c r="E3212" s="75" t="inlineStr">
        <is>
          <t>KR</t>
        </is>
      </c>
      <c r="F3212" s="75" t="n">
        <v>62301000</v>
      </c>
      <c r="G3212" s="75" t="n">
        <v>1701</v>
      </c>
      <c r="H3212" s="76" t="n">
        <v>289000</v>
      </c>
      <c r="I3212" s="75" t="inlineStr">
        <is>
          <t>5월 소모품 구입 - R문구</t>
        </is>
      </c>
      <c r="J3212" s="75" t="inlineStr">
        <is>
          <t>V10018</t>
        </is>
      </c>
      <c r="K3212" s="75" t="inlineStr">
        <is>
          <t>R문구</t>
        </is>
      </c>
      <c r="M3212" s="9">
        <f>IF($A3212="","",VALUE($A3212&amp;"")*12+VALUE($B3212&amp;""))</f>
        <v/>
      </c>
      <c r="N3212" s="39">
        <f>IF($A3212="","",IFERROR(INDEX(부서매핑!$C$5:$C$504,MATCH($G3212&amp;"",부서매핑!$A$5:$A$504,0)),"미매핑"))</f>
        <v/>
      </c>
      <c r="O3212" s="9">
        <f>IF($A3212="","",N3212&amp;"|"&amp;$F3212)</f>
        <v/>
      </c>
      <c r="P3212" s="77">
        <f>IF($A3212="",0,$H3212*설정!$C$23)</f>
        <v/>
      </c>
      <c r="Q3212" s="39">
        <f>IF($A3212="","",IF(O3212&lt;&gt;원인분석!$C$9,"",IF(AND(M3212&gt;=원인분석!$C$10,M3212&lt;=원인분석!$C$11),"당기",IF(AND(M3212&gt;=원인분석!$C$12,M3212&lt;=원인분석!$C$13),"비교",""))))</f>
        <v/>
      </c>
      <c r="R3212" s="9">
        <f>IF(Q3212="","",$K3212&amp;"")</f>
        <v/>
      </c>
      <c r="S3212" s="9">
        <f>IF(Q3212="","",IF(MATCH(R3212,$R$5:$R$100000,0)=ROW()-4,ROW(),""))</f>
        <v/>
      </c>
      <c r="T3212" s="9">
        <f>IF(Q3212="당기",ABS(P3212)+ROW()/1000000000,"")</f>
        <v/>
      </c>
      <c r="U3212" s="9">
        <f>IF(Q3212="비교",ABS(P3212)+ROW()/1000000000,"")</f>
        <v/>
      </c>
      <c r="V3212" s="39">
        <f>IF($A3212="","",IF(COUNTIF(변동분석!$E$7:$E$506,O3212)&gt;0,"Y","N"))</f>
        <v/>
      </c>
      <c r="W3212" s="39">
        <f>IF($A3212="","",IFERROR(INDEX(계정매핑!$D$5:$D$504,MATCH($F3212&amp;"",계정매핑!$A$5:$A$504,0)),"미매핑"))</f>
        <v/>
      </c>
      <c r="X3212" s="9">
        <f>IF($A3212="","",$F3212&amp;"")</f>
        <v/>
      </c>
    </row>
    <row r="3213">
      <c r="A3213" s="75" t="n">
        <v>2026</v>
      </c>
      <c r="B3213" s="75" t="n">
        <v>5</v>
      </c>
      <c r="C3213" s="75" t="inlineStr">
        <is>
          <t>5100000869</t>
        </is>
      </c>
      <c r="D3213" s="78" t="n">
        <v>46154</v>
      </c>
      <c r="E3213" s="75" t="inlineStr">
        <is>
          <t>KR</t>
        </is>
      </c>
      <c r="F3213" s="75" t="n">
        <v>62301000</v>
      </c>
      <c r="G3213" s="75" t="n">
        <v>1701</v>
      </c>
      <c r="H3213" s="76" t="n">
        <v>289000</v>
      </c>
      <c r="I3213" s="75" t="inlineStr">
        <is>
          <t>5월 소모품 구입 - R문구</t>
        </is>
      </c>
      <c r="J3213" s="75" t="inlineStr">
        <is>
          <t>V10018</t>
        </is>
      </c>
      <c r="K3213" s="75" t="inlineStr">
        <is>
          <t>R문구</t>
        </is>
      </c>
      <c r="M3213" s="9">
        <f>IF($A3213="","",VALUE($A3213&amp;"")*12+VALUE($B3213&amp;""))</f>
        <v/>
      </c>
      <c r="N3213" s="39">
        <f>IF($A3213="","",IFERROR(INDEX(부서매핑!$C$5:$C$504,MATCH($G3213&amp;"",부서매핑!$A$5:$A$504,0)),"미매핑"))</f>
        <v/>
      </c>
      <c r="O3213" s="9">
        <f>IF($A3213="","",N3213&amp;"|"&amp;$F3213)</f>
        <v/>
      </c>
      <c r="P3213" s="77">
        <f>IF($A3213="",0,$H3213*설정!$C$23)</f>
        <v/>
      </c>
      <c r="Q3213" s="39">
        <f>IF($A3213="","",IF(O3213&lt;&gt;원인분석!$C$9,"",IF(AND(M3213&gt;=원인분석!$C$10,M3213&lt;=원인분석!$C$11),"당기",IF(AND(M3213&gt;=원인분석!$C$12,M3213&lt;=원인분석!$C$13),"비교",""))))</f>
        <v/>
      </c>
      <c r="R3213" s="9">
        <f>IF(Q3213="","",$K3213&amp;"")</f>
        <v/>
      </c>
      <c r="S3213" s="9">
        <f>IF(Q3213="","",IF(MATCH(R3213,$R$5:$R$100000,0)=ROW()-4,ROW(),""))</f>
        <v/>
      </c>
      <c r="T3213" s="9">
        <f>IF(Q3213="당기",ABS(P3213)+ROW()/1000000000,"")</f>
        <v/>
      </c>
      <c r="U3213" s="9">
        <f>IF(Q3213="비교",ABS(P3213)+ROW()/1000000000,"")</f>
        <v/>
      </c>
      <c r="V3213" s="39">
        <f>IF($A3213="","",IF(COUNTIF(변동분석!$E$7:$E$506,O3213)&gt;0,"Y","N"))</f>
        <v/>
      </c>
      <c r="W3213" s="39">
        <f>IF($A3213="","",IFERROR(INDEX(계정매핑!$D$5:$D$504,MATCH($F3213&amp;"",계정매핑!$A$5:$A$504,0)),"미매핑"))</f>
        <v/>
      </c>
      <c r="X3213" s="9">
        <f>IF($A3213="","",$F3213&amp;"")</f>
        <v/>
      </c>
    </row>
    <row r="3214">
      <c r="A3214" s="75" t="n">
        <v>2026</v>
      </c>
      <c r="B3214" s="75" t="n">
        <v>5</v>
      </c>
      <c r="C3214" s="75" t="inlineStr">
        <is>
          <t>5100000870</t>
        </is>
      </c>
      <c r="D3214" s="78" t="n">
        <v>46154</v>
      </c>
      <c r="E3214" s="75" t="inlineStr">
        <is>
          <t>KR</t>
        </is>
      </c>
      <c r="F3214" s="75" t="n">
        <v>62301000</v>
      </c>
      <c r="G3214" s="75" t="n">
        <v>1801</v>
      </c>
      <c r="H3214" s="76" t="n">
        <v>393000</v>
      </c>
      <c r="I3214" s="75" t="inlineStr">
        <is>
          <t>5월 소모품 구입 - Q오피스</t>
        </is>
      </c>
      <c r="J3214" s="75" t="inlineStr">
        <is>
          <t>V10003</t>
        </is>
      </c>
      <c r="K3214" s="75" t="inlineStr">
        <is>
          <t>Q오피스</t>
        </is>
      </c>
      <c r="M3214" s="9">
        <f>IF($A3214="","",VALUE($A3214&amp;"")*12+VALUE($B3214&amp;""))</f>
        <v/>
      </c>
      <c r="N3214" s="39">
        <f>IF($A3214="","",IFERROR(INDEX(부서매핑!$C$5:$C$504,MATCH($G3214&amp;"",부서매핑!$A$5:$A$504,0)),"미매핑"))</f>
        <v/>
      </c>
      <c r="O3214" s="9">
        <f>IF($A3214="","",N3214&amp;"|"&amp;$F3214)</f>
        <v/>
      </c>
      <c r="P3214" s="77">
        <f>IF($A3214="",0,$H3214*설정!$C$23)</f>
        <v/>
      </c>
      <c r="Q3214" s="39">
        <f>IF($A3214="","",IF(O3214&lt;&gt;원인분석!$C$9,"",IF(AND(M3214&gt;=원인분석!$C$10,M3214&lt;=원인분석!$C$11),"당기",IF(AND(M3214&gt;=원인분석!$C$12,M3214&lt;=원인분석!$C$13),"비교",""))))</f>
        <v/>
      </c>
      <c r="R3214" s="9">
        <f>IF(Q3214="","",$K3214&amp;"")</f>
        <v/>
      </c>
      <c r="S3214" s="9">
        <f>IF(Q3214="","",IF(MATCH(R3214,$R$5:$R$100000,0)=ROW()-4,ROW(),""))</f>
        <v/>
      </c>
      <c r="T3214" s="9">
        <f>IF(Q3214="당기",ABS(P3214)+ROW()/1000000000,"")</f>
        <v/>
      </c>
      <c r="U3214" s="9">
        <f>IF(Q3214="비교",ABS(P3214)+ROW()/1000000000,"")</f>
        <v/>
      </c>
      <c r="V3214" s="39">
        <f>IF($A3214="","",IF(COUNTIF(변동분석!$E$7:$E$506,O3214)&gt;0,"Y","N"))</f>
        <v/>
      </c>
      <c r="W3214" s="39">
        <f>IF($A3214="","",IFERROR(INDEX(계정매핑!$D$5:$D$504,MATCH($F3214&amp;"",계정매핑!$A$5:$A$504,0)),"미매핑"))</f>
        <v/>
      </c>
      <c r="X3214" s="9">
        <f>IF($A3214="","",$F3214&amp;"")</f>
        <v/>
      </c>
    </row>
    <row r="3215">
      <c r="A3215" s="75" t="n">
        <v>2026</v>
      </c>
      <c r="B3215" s="75" t="n">
        <v>5</v>
      </c>
      <c r="C3215" s="75" t="inlineStr">
        <is>
          <t>5100000871</t>
        </is>
      </c>
      <c r="D3215" s="78" t="n">
        <v>46154</v>
      </c>
      <c r="E3215" s="75" t="inlineStr">
        <is>
          <t>KR</t>
        </is>
      </c>
      <c r="F3215" s="75" t="n">
        <v>62501000</v>
      </c>
      <c r="G3215" s="75" t="n">
        <v>1501</v>
      </c>
      <c r="H3215" s="76" t="n">
        <v>251000</v>
      </c>
      <c r="I3215" s="75" t="inlineStr">
        <is>
          <t>5월 회의 다과 - T케이터링</t>
        </is>
      </c>
      <c r="J3215" s="75" t="inlineStr">
        <is>
          <t>V10005</t>
        </is>
      </c>
      <c r="K3215" s="75" t="inlineStr">
        <is>
          <t>T케이터링</t>
        </is>
      </c>
      <c r="M3215" s="9">
        <f>IF($A3215="","",VALUE($A3215&amp;"")*12+VALUE($B3215&amp;""))</f>
        <v/>
      </c>
      <c r="N3215" s="39">
        <f>IF($A3215="","",IFERROR(INDEX(부서매핑!$C$5:$C$504,MATCH($G3215&amp;"",부서매핑!$A$5:$A$504,0)),"미매핑"))</f>
        <v/>
      </c>
      <c r="O3215" s="9">
        <f>IF($A3215="","",N3215&amp;"|"&amp;$F3215)</f>
        <v/>
      </c>
      <c r="P3215" s="77">
        <f>IF($A3215="",0,$H3215*설정!$C$23)</f>
        <v/>
      </c>
      <c r="Q3215" s="39">
        <f>IF($A3215="","",IF(O3215&lt;&gt;원인분석!$C$9,"",IF(AND(M3215&gt;=원인분석!$C$10,M3215&lt;=원인분석!$C$11),"당기",IF(AND(M3215&gt;=원인분석!$C$12,M3215&lt;=원인분석!$C$13),"비교",""))))</f>
        <v/>
      </c>
      <c r="R3215" s="9">
        <f>IF(Q3215="","",$K3215&amp;"")</f>
        <v/>
      </c>
      <c r="S3215" s="9">
        <f>IF(Q3215="","",IF(MATCH(R3215,$R$5:$R$100000,0)=ROW()-4,ROW(),""))</f>
        <v/>
      </c>
      <c r="T3215" s="9">
        <f>IF(Q3215="당기",ABS(P3215)+ROW()/1000000000,"")</f>
        <v/>
      </c>
      <c r="U3215" s="9">
        <f>IF(Q3215="비교",ABS(P3215)+ROW()/1000000000,"")</f>
        <v/>
      </c>
      <c r="V3215" s="39">
        <f>IF($A3215="","",IF(COUNTIF(변동분석!$E$7:$E$506,O3215)&gt;0,"Y","N"))</f>
        <v/>
      </c>
      <c r="W3215" s="39">
        <f>IF($A3215="","",IFERROR(INDEX(계정매핑!$D$5:$D$504,MATCH($F3215&amp;"",계정매핑!$A$5:$A$504,0)),"미매핑"))</f>
        <v/>
      </c>
      <c r="X3215" s="9">
        <f>IF($A3215="","",$F3215&amp;"")</f>
        <v/>
      </c>
    </row>
    <row r="3216">
      <c r="A3216" s="75" t="n">
        <v>2026</v>
      </c>
      <c r="B3216" s="75" t="n">
        <v>5</v>
      </c>
      <c r="C3216" s="75" t="inlineStr">
        <is>
          <t>5100000872</t>
        </is>
      </c>
      <c r="D3216" s="78" t="n">
        <v>46154</v>
      </c>
      <c r="E3216" s="75" t="inlineStr">
        <is>
          <t>KR</t>
        </is>
      </c>
      <c r="F3216" s="75" t="n">
        <v>62901000</v>
      </c>
      <c r="G3216" s="75" t="n">
        <v>1801</v>
      </c>
      <c r="H3216" s="76" t="n">
        <v>8051000</v>
      </c>
      <c r="I3216" s="75" t="inlineStr">
        <is>
          <t>5월 자문 수수료 - W컨설팅</t>
        </is>
      </c>
      <c r="J3216" s="75" t="inlineStr">
        <is>
          <t>V10009</t>
        </is>
      </c>
      <c r="K3216" s="75" t="inlineStr">
        <is>
          <t>W컨설팅</t>
        </is>
      </c>
      <c r="M3216" s="9">
        <f>IF($A3216="","",VALUE($A3216&amp;"")*12+VALUE($B3216&amp;""))</f>
        <v/>
      </c>
      <c r="N3216" s="39">
        <f>IF($A3216="","",IFERROR(INDEX(부서매핑!$C$5:$C$504,MATCH($G3216&amp;"",부서매핑!$A$5:$A$504,0)),"미매핑"))</f>
        <v/>
      </c>
      <c r="O3216" s="9">
        <f>IF($A3216="","",N3216&amp;"|"&amp;$F3216)</f>
        <v/>
      </c>
      <c r="P3216" s="77">
        <f>IF($A3216="",0,$H3216*설정!$C$23)</f>
        <v/>
      </c>
      <c r="Q3216" s="39">
        <f>IF($A3216="","",IF(O3216&lt;&gt;원인분석!$C$9,"",IF(AND(M3216&gt;=원인분석!$C$10,M3216&lt;=원인분석!$C$11),"당기",IF(AND(M3216&gt;=원인분석!$C$12,M3216&lt;=원인분석!$C$13),"비교",""))))</f>
        <v/>
      </c>
      <c r="R3216" s="9">
        <f>IF(Q3216="","",$K3216&amp;"")</f>
        <v/>
      </c>
      <c r="S3216" s="9">
        <f>IF(Q3216="","",IF(MATCH(R3216,$R$5:$R$100000,0)=ROW()-4,ROW(),""))</f>
        <v/>
      </c>
      <c r="T3216" s="9">
        <f>IF(Q3216="당기",ABS(P3216)+ROW()/1000000000,"")</f>
        <v/>
      </c>
      <c r="U3216" s="9">
        <f>IF(Q3216="비교",ABS(P3216)+ROW()/1000000000,"")</f>
        <v/>
      </c>
      <c r="V3216" s="39">
        <f>IF($A3216="","",IF(COUNTIF(변동분석!$E$7:$E$506,O3216)&gt;0,"Y","N"))</f>
        <v/>
      </c>
      <c r="W3216" s="39">
        <f>IF($A3216="","",IFERROR(INDEX(계정매핑!$D$5:$D$504,MATCH($F3216&amp;"",계정매핑!$A$5:$A$504,0)),"미매핑"))</f>
        <v/>
      </c>
      <c r="X3216" s="9">
        <f>IF($A3216="","",$F3216&amp;"")</f>
        <v/>
      </c>
    </row>
    <row r="3217">
      <c r="A3217" s="75" t="n">
        <v>2026</v>
      </c>
      <c r="B3217" s="75" t="n">
        <v>5</v>
      </c>
      <c r="C3217" s="75" t="inlineStr">
        <is>
          <t>5100000873</t>
        </is>
      </c>
      <c r="D3217" s="78" t="n">
        <v>46154</v>
      </c>
      <c r="E3217" s="75" t="inlineStr">
        <is>
          <t>KR</t>
        </is>
      </c>
      <c r="F3217" s="75" t="n">
        <v>63101000</v>
      </c>
      <c r="G3217" s="75" t="n">
        <v>1601</v>
      </c>
      <c r="H3217" s="76" t="n">
        <v>6570000</v>
      </c>
      <c r="I3217" s="75" t="inlineStr">
        <is>
          <t>5월 사무실 임차료 - AA빌딩</t>
        </is>
      </c>
      <c r="J3217" s="75" t="inlineStr">
        <is>
          <t>V10006</t>
        </is>
      </c>
      <c r="K3217" s="75" t="inlineStr">
        <is>
          <t>AA빌딩</t>
        </is>
      </c>
      <c r="M3217" s="9">
        <f>IF($A3217="","",VALUE($A3217&amp;"")*12+VALUE($B3217&amp;""))</f>
        <v/>
      </c>
      <c r="N3217" s="39">
        <f>IF($A3217="","",IFERROR(INDEX(부서매핑!$C$5:$C$504,MATCH($G3217&amp;"",부서매핑!$A$5:$A$504,0)),"미매핑"))</f>
        <v/>
      </c>
      <c r="O3217" s="9">
        <f>IF($A3217="","",N3217&amp;"|"&amp;$F3217)</f>
        <v/>
      </c>
      <c r="P3217" s="77">
        <f>IF($A3217="",0,$H3217*설정!$C$23)</f>
        <v/>
      </c>
      <c r="Q3217" s="39">
        <f>IF($A3217="","",IF(O3217&lt;&gt;원인분석!$C$9,"",IF(AND(M3217&gt;=원인분석!$C$10,M3217&lt;=원인분석!$C$11),"당기",IF(AND(M3217&gt;=원인분석!$C$12,M3217&lt;=원인분석!$C$13),"비교",""))))</f>
        <v/>
      </c>
      <c r="R3217" s="9">
        <f>IF(Q3217="","",$K3217&amp;"")</f>
        <v/>
      </c>
      <c r="S3217" s="9">
        <f>IF(Q3217="","",IF(MATCH(R3217,$R$5:$R$100000,0)=ROW()-4,ROW(),""))</f>
        <v/>
      </c>
      <c r="T3217" s="9">
        <f>IF(Q3217="당기",ABS(P3217)+ROW()/1000000000,"")</f>
        <v/>
      </c>
      <c r="U3217" s="9">
        <f>IF(Q3217="비교",ABS(P3217)+ROW()/1000000000,"")</f>
        <v/>
      </c>
      <c r="V3217" s="39">
        <f>IF($A3217="","",IF(COUNTIF(변동분석!$E$7:$E$506,O3217)&gt;0,"Y","N"))</f>
        <v/>
      </c>
      <c r="W3217" s="39">
        <f>IF($A3217="","",IFERROR(INDEX(계정매핑!$D$5:$D$504,MATCH($F3217&amp;"",계정매핑!$A$5:$A$504,0)),"미매핑"))</f>
        <v/>
      </c>
      <c r="X3217" s="9">
        <f>IF($A3217="","",$F3217&amp;"")</f>
        <v/>
      </c>
    </row>
    <row r="3218">
      <c r="A3218" s="75" t="n">
        <v>2026</v>
      </c>
      <c r="B3218" s="75" t="n">
        <v>5</v>
      </c>
      <c r="C3218" s="75" t="inlineStr">
        <is>
          <t>5100000874</t>
        </is>
      </c>
      <c r="D3218" s="78" t="n">
        <v>46155</v>
      </c>
      <c r="E3218" s="75" t="inlineStr">
        <is>
          <t>KR</t>
        </is>
      </c>
      <c r="F3218" s="75" t="n">
        <v>62101000</v>
      </c>
      <c r="G3218" s="75" t="n">
        <v>1101</v>
      </c>
      <c r="H3218" s="76" t="n">
        <v>399000</v>
      </c>
      <c r="I3218" s="75" t="inlineStr">
        <is>
          <t>5월 국내출장 - M항공</t>
        </is>
      </c>
      <c r="J3218" s="75" t="inlineStr">
        <is>
          <t>V10001</t>
        </is>
      </c>
      <c r="K3218" s="75" t="inlineStr">
        <is>
          <t>M항공</t>
        </is>
      </c>
      <c r="M3218" s="9">
        <f>IF($A3218="","",VALUE($A3218&amp;"")*12+VALUE($B3218&amp;""))</f>
        <v/>
      </c>
      <c r="N3218" s="39">
        <f>IF($A3218="","",IFERROR(INDEX(부서매핑!$C$5:$C$504,MATCH($G3218&amp;"",부서매핑!$A$5:$A$504,0)),"미매핑"))</f>
        <v/>
      </c>
      <c r="O3218" s="9">
        <f>IF($A3218="","",N3218&amp;"|"&amp;$F3218)</f>
        <v/>
      </c>
      <c r="P3218" s="77">
        <f>IF($A3218="",0,$H3218*설정!$C$23)</f>
        <v/>
      </c>
      <c r="Q3218" s="39">
        <f>IF($A3218="","",IF(O3218&lt;&gt;원인분석!$C$9,"",IF(AND(M3218&gt;=원인분석!$C$10,M3218&lt;=원인분석!$C$11),"당기",IF(AND(M3218&gt;=원인분석!$C$12,M3218&lt;=원인분석!$C$13),"비교",""))))</f>
        <v/>
      </c>
      <c r="R3218" s="9">
        <f>IF(Q3218="","",$K3218&amp;"")</f>
        <v/>
      </c>
      <c r="S3218" s="9">
        <f>IF(Q3218="","",IF(MATCH(R3218,$R$5:$R$100000,0)=ROW()-4,ROW(),""))</f>
        <v/>
      </c>
      <c r="T3218" s="9">
        <f>IF(Q3218="당기",ABS(P3218)+ROW()/1000000000,"")</f>
        <v/>
      </c>
      <c r="U3218" s="9">
        <f>IF(Q3218="비교",ABS(P3218)+ROW()/1000000000,"")</f>
        <v/>
      </c>
      <c r="V3218" s="39">
        <f>IF($A3218="","",IF(COUNTIF(변동분석!$E$7:$E$506,O3218)&gt;0,"Y","N"))</f>
        <v/>
      </c>
      <c r="W3218" s="39">
        <f>IF($A3218="","",IFERROR(INDEX(계정매핑!$D$5:$D$504,MATCH($F3218&amp;"",계정매핑!$A$5:$A$504,0)),"미매핑"))</f>
        <v/>
      </c>
      <c r="X3218" s="9">
        <f>IF($A3218="","",$F3218&amp;"")</f>
        <v/>
      </c>
    </row>
    <row r="3219">
      <c r="A3219" s="75" t="n">
        <v>2026</v>
      </c>
      <c r="B3219" s="75" t="n">
        <v>5</v>
      </c>
      <c r="C3219" s="75" t="inlineStr">
        <is>
          <t>5100000875</t>
        </is>
      </c>
      <c r="D3219" s="78" t="n">
        <v>46155</v>
      </c>
      <c r="E3219" s="75" t="inlineStr">
        <is>
          <t>KR</t>
        </is>
      </c>
      <c r="F3219" s="75" t="n">
        <v>62101000</v>
      </c>
      <c r="G3219" s="75" t="n">
        <v>1701</v>
      </c>
      <c r="H3219" s="76" t="n">
        <v>272000</v>
      </c>
      <c r="I3219" s="75" t="inlineStr">
        <is>
          <t>5월 국내출장 - M항공</t>
        </is>
      </c>
      <c r="J3219" s="75" t="inlineStr">
        <is>
          <t>V10001</t>
        </is>
      </c>
      <c r="K3219" s="75" t="inlineStr">
        <is>
          <t>M항공</t>
        </is>
      </c>
      <c r="M3219" s="9">
        <f>IF($A3219="","",VALUE($A3219&amp;"")*12+VALUE($B3219&amp;""))</f>
        <v/>
      </c>
      <c r="N3219" s="39">
        <f>IF($A3219="","",IFERROR(INDEX(부서매핑!$C$5:$C$504,MATCH($G3219&amp;"",부서매핑!$A$5:$A$504,0)),"미매핑"))</f>
        <v/>
      </c>
      <c r="O3219" s="9">
        <f>IF($A3219="","",N3219&amp;"|"&amp;$F3219)</f>
        <v/>
      </c>
      <c r="P3219" s="77">
        <f>IF($A3219="",0,$H3219*설정!$C$23)</f>
        <v/>
      </c>
      <c r="Q3219" s="39">
        <f>IF($A3219="","",IF(O3219&lt;&gt;원인분석!$C$9,"",IF(AND(M3219&gt;=원인분석!$C$10,M3219&lt;=원인분석!$C$11),"당기",IF(AND(M3219&gt;=원인분석!$C$12,M3219&lt;=원인분석!$C$13),"비교",""))))</f>
        <v/>
      </c>
      <c r="R3219" s="9">
        <f>IF(Q3219="","",$K3219&amp;"")</f>
        <v/>
      </c>
      <c r="S3219" s="9">
        <f>IF(Q3219="","",IF(MATCH(R3219,$R$5:$R$100000,0)=ROW()-4,ROW(),""))</f>
        <v/>
      </c>
      <c r="T3219" s="9">
        <f>IF(Q3219="당기",ABS(P3219)+ROW()/1000000000,"")</f>
        <v/>
      </c>
      <c r="U3219" s="9">
        <f>IF(Q3219="비교",ABS(P3219)+ROW()/1000000000,"")</f>
        <v/>
      </c>
      <c r="V3219" s="39">
        <f>IF($A3219="","",IF(COUNTIF(변동분석!$E$7:$E$506,O3219)&gt;0,"Y","N"))</f>
        <v/>
      </c>
      <c r="W3219" s="39">
        <f>IF($A3219="","",IFERROR(INDEX(계정매핑!$D$5:$D$504,MATCH($F3219&amp;"",계정매핑!$A$5:$A$504,0)),"미매핑"))</f>
        <v/>
      </c>
      <c r="X3219" s="9">
        <f>IF($A3219="","",$F3219&amp;"")</f>
        <v/>
      </c>
    </row>
    <row r="3220">
      <c r="A3220" s="75" t="n">
        <v>2026</v>
      </c>
      <c r="B3220" s="75" t="n">
        <v>5</v>
      </c>
      <c r="C3220" s="75" t="inlineStr">
        <is>
          <t>5100000876</t>
        </is>
      </c>
      <c r="D3220" s="78" t="n">
        <v>46155</v>
      </c>
      <c r="E3220" s="75" t="inlineStr">
        <is>
          <t>KR</t>
        </is>
      </c>
      <c r="F3220" s="75" t="n">
        <v>62102000</v>
      </c>
      <c r="G3220" s="75" t="n">
        <v>1501</v>
      </c>
      <c r="H3220" s="76" t="n">
        <v>137000</v>
      </c>
      <c r="I3220" s="75" t="inlineStr">
        <is>
          <t>5월 해외출장 - M항공</t>
        </is>
      </c>
      <c r="J3220" s="75" t="inlineStr">
        <is>
          <t>V10001</t>
        </is>
      </c>
      <c r="K3220" s="75" t="inlineStr">
        <is>
          <t>M항공</t>
        </is>
      </c>
      <c r="M3220" s="9">
        <f>IF($A3220="","",VALUE($A3220&amp;"")*12+VALUE($B3220&amp;""))</f>
        <v/>
      </c>
      <c r="N3220" s="39">
        <f>IF($A3220="","",IFERROR(INDEX(부서매핑!$C$5:$C$504,MATCH($G3220&amp;"",부서매핑!$A$5:$A$504,0)),"미매핑"))</f>
        <v/>
      </c>
      <c r="O3220" s="9">
        <f>IF($A3220="","",N3220&amp;"|"&amp;$F3220)</f>
        <v/>
      </c>
      <c r="P3220" s="77">
        <f>IF($A3220="",0,$H3220*설정!$C$23)</f>
        <v/>
      </c>
      <c r="Q3220" s="39">
        <f>IF($A3220="","",IF(O3220&lt;&gt;원인분석!$C$9,"",IF(AND(M3220&gt;=원인분석!$C$10,M3220&lt;=원인분석!$C$11),"당기",IF(AND(M3220&gt;=원인분석!$C$12,M3220&lt;=원인분석!$C$13),"비교",""))))</f>
        <v/>
      </c>
      <c r="R3220" s="9">
        <f>IF(Q3220="","",$K3220&amp;"")</f>
        <v/>
      </c>
      <c r="S3220" s="9">
        <f>IF(Q3220="","",IF(MATCH(R3220,$R$5:$R$100000,0)=ROW()-4,ROW(),""))</f>
        <v/>
      </c>
      <c r="T3220" s="9">
        <f>IF(Q3220="당기",ABS(P3220)+ROW()/1000000000,"")</f>
        <v/>
      </c>
      <c r="U3220" s="9">
        <f>IF(Q3220="비교",ABS(P3220)+ROW()/1000000000,"")</f>
        <v/>
      </c>
      <c r="V3220" s="39">
        <f>IF($A3220="","",IF(COUNTIF(변동분석!$E$7:$E$506,O3220)&gt;0,"Y","N"))</f>
        <v/>
      </c>
      <c r="W3220" s="39">
        <f>IF($A3220="","",IFERROR(INDEX(계정매핑!$D$5:$D$504,MATCH($F3220&amp;"",계정매핑!$A$5:$A$504,0)),"미매핑"))</f>
        <v/>
      </c>
      <c r="X3220" s="9">
        <f>IF($A3220="","",$F3220&amp;"")</f>
        <v/>
      </c>
    </row>
    <row r="3221">
      <c r="A3221" s="75" t="n">
        <v>2026</v>
      </c>
      <c r="B3221" s="75" t="n">
        <v>5</v>
      </c>
      <c r="C3221" s="75" t="inlineStr">
        <is>
          <t>5100000877</t>
        </is>
      </c>
      <c r="D3221" s="78" t="n">
        <v>46155</v>
      </c>
      <c r="E3221" s="75" t="inlineStr">
        <is>
          <t>KR</t>
        </is>
      </c>
      <c r="F3221" s="75" t="n">
        <v>62201000</v>
      </c>
      <c r="G3221" s="75" t="n">
        <v>1301</v>
      </c>
      <c r="H3221" s="76" t="n">
        <v>289000</v>
      </c>
      <c r="I3221" s="75" t="inlineStr">
        <is>
          <t>5월 통신요금 - P통신</t>
        </is>
      </c>
      <c r="J3221" s="75" t="inlineStr">
        <is>
          <t>V10011</t>
        </is>
      </c>
      <c r="K3221" s="75" t="inlineStr">
        <is>
          <t>P통신</t>
        </is>
      </c>
      <c r="M3221" s="9">
        <f>IF($A3221="","",VALUE($A3221&amp;"")*12+VALUE($B3221&amp;""))</f>
        <v/>
      </c>
      <c r="N3221" s="39">
        <f>IF($A3221="","",IFERROR(INDEX(부서매핑!$C$5:$C$504,MATCH($G3221&amp;"",부서매핑!$A$5:$A$504,0)),"미매핑"))</f>
        <v/>
      </c>
      <c r="O3221" s="9">
        <f>IF($A3221="","",N3221&amp;"|"&amp;$F3221)</f>
        <v/>
      </c>
      <c r="P3221" s="77">
        <f>IF($A3221="",0,$H3221*설정!$C$23)</f>
        <v/>
      </c>
      <c r="Q3221" s="39">
        <f>IF($A3221="","",IF(O3221&lt;&gt;원인분석!$C$9,"",IF(AND(M3221&gt;=원인분석!$C$10,M3221&lt;=원인분석!$C$11),"당기",IF(AND(M3221&gt;=원인분석!$C$12,M3221&lt;=원인분석!$C$13),"비교",""))))</f>
        <v/>
      </c>
      <c r="R3221" s="9">
        <f>IF(Q3221="","",$K3221&amp;"")</f>
        <v/>
      </c>
      <c r="S3221" s="9">
        <f>IF(Q3221="","",IF(MATCH(R3221,$R$5:$R$100000,0)=ROW()-4,ROW(),""))</f>
        <v/>
      </c>
      <c r="T3221" s="9">
        <f>IF(Q3221="당기",ABS(P3221)+ROW()/1000000000,"")</f>
        <v/>
      </c>
      <c r="U3221" s="9">
        <f>IF(Q3221="비교",ABS(P3221)+ROW()/1000000000,"")</f>
        <v/>
      </c>
      <c r="V3221" s="39">
        <f>IF($A3221="","",IF(COUNTIF(변동분석!$E$7:$E$506,O3221)&gt;0,"Y","N"))</f>
        <v/>
      </c>
      <c r="W3221" s="39">
        <f>IF($A3221="","",IFERROR(INDEX(계정매핑!$D$5:$D$504,MATCH($F3221&amp;"",계정매핑!$A$5:$A$504,0)),"미매핑"))</f>
        <v/>
      </c>
      <c r="X3221" s="9">
        <f>IF($A3221="","",$F3221&amp;"")</f>
        <v/>
      </c>
    </row>
    <row r="3222">
      <c r="A3222" s="75" t="n">
        <v>2026</v>
      </c>
      <c r="B3222" s="75" t="n">
        <v>5</v>
      </c>
      <c r="C3222" s="75" t="inlineStr">
        <is>
          <t>5100000878</t>
        </is>
      </c>
      <c r="D3222" s="78" t="n">
        <v>46155</v>
      </c>
      <c r="E3222" s="75" t="inlineStr">
        <is>
          <t>KR</t>
        </is>
      </c>
      <c r="F3222" s="75" t="n">
        <v>62401000</v>
      </c>
      <c r="G3222" s="75" t="n">
        <v>1401</v>
      </c>
      <c r="H3222" s="76" t="n">
        <v>472000</v>
      </c>
      <c r="I3222" s="75" t="inlineStr">
        <is>
          <t>5월 인쇄물 제작 - S출판</t>
        </is>
      </c>
      <c r="J3222" s="75" t="inlineStr">
        <is>
          <t>V10012</t>
        </is>
      </c>
      <c r="K3222" s="75" t="inlineStr">
        <is>
          <t>S출판</t>
        </is>
      </c>
      <c r="M3222" s="9">
        <f>IF($A3222="","",VALUE($A3222&amp;"")*12+VALUE($B3222&amp;""))</f>
        <v/>
      </c>
      <c r="N3222" s="39">
        <f>IF($A3222="","",IFERROR(INDEX(부서매핑!$C$5:$C$504,MATCH($G3222&amp;"",부서매핑!$A$5:$A$504,0)),"미매핑"))</f>
        <v/>
      </c>
      <c r="O3222" s="9">
        <f>IF($A3222="","",N3222&amp;"|"&amp;$F3222)</f>
        <v/>
      </c>
      <c r="P3222" s="77">
        <f>IF($A3222="",0,$H3222*설정!$C$23)</f>
        <v/>
      </c>
      <c r="Q3222" s="39">
        <f>IF($A3222="","",IF(O3222&lt;&gt;원인분석!$C$9,"",IF(AND(M3222&gt;=원인분석!$C$10,M3222&lt;=원인분석!$C$11),"당기",IF(AND(M3222&gt;=원인분석!$C$12,M3222&lt;=원인분석!$C$13),"비교",""))))</f>
        <v/>
      </c>
      <c r="R3222" s="9">
        <f>IF(Q3222="","",$K3222&amp;"")</f>
        <v/>
      </c>
      <c r="S3222" s="9">
        <f>IF(Q3222="","",IF(MATCH(R3222,$R$5:$R$100000,0)=ROW()-4,ROW(),""))</f>
        <v/>
      </c>
      <c r="T3222" s="9">
        <f>IF(Q3222="당기",ABS(P3222)+ROW()/1000000000,"")</f>
        <v/>
      </c>
      <c r="U3222" s="9">
        <f>IF(Q3222="비교",ABS(P3222)+ROW()/1000000000,"")</f>
        <v/>
      </c>
      <c r="V3222" s="39">
        <f>IF($A3222="","",IF(COUNTIF(변동분석!$E$7:$E$506,O3222)&gt;0,"Y","N"))</f>
        <v/>
      </c>
      <c r="W3222" s="39">
        <f>IF($A3222="","",IFERROR(INDEX(계정매핑!$D$5:$D$504,MATCH($F3222&amp;"",계정매핑!$A$5:$A$504,0)),"미매핑"))</f>
        <v/>
      </c>
      <c r="X3222" s="9">
        <f>IF($A3222="","",$F3222&amp;"")</f>
        <v/>
      </c>
    </row>
    <row r="3223">
      <c r="A3223" s="75" t="n">
        <v>2026</v>
      </c>
      <c r="B3223" s="75" t="n">
        <v>5</v>
      </c>
      <c r="C3223" s="75" t="inlineStr">
        <is>
          <t>5100000879</t>
        </is>
      </c>
      <c r="D3223" s="78" t="n">
        <v>46155</v>
      </c>
      <c r="E3223" s="75" t="inlineStr">
        <is>
          <t>KR</t>
        </is>
      </c>
      <c r="F3223" s="75" t="n">
        <v>62801000</v>
      </c>
      <c r="G3223" s="75" t="n">
        <v>1301</v>
      </c>
      <c r="H3223" s="76" t="n">
        <v>3905000</v>
      </c>
      <c r="I3223" s="75" t="inlineStr">
        <is>
          <t>5월 사내교육 - U에듀</t>
        </is>
      </c>
      <c r="J3223" s="75" t="inlineStr">
        <is>
          <t>V10026</t>
        </is>
      </c>
      <c r="K3223" s="75" t="inlineStr">
        <is>
          <t>U에듀</t>
        </is>
      </c>
      <c r="M3223" s="9">
        <f>IF($A3223="","",VALUE($A3223&amp;"")*12+VALUE($B3223&amp;""))</f>
        <v/>
      </c>
      <c r="N3223" s="39">
        <f>IF($A3223="","",IFERROR(INDEX(부서매핑!$C$5:$C$504,MATCH($G3223&amp;"",부서매핑!$A$5:$A$504,0)),"미매핑"))</f>
        <v/>
      </c>
      <c r="O3223" s="9">
        <f>IF($A3223="","",N3223&amp;"|"&amp;$F3223)</f>
        <v/>
      </c>
      <c r="P3223" s="77">
        <f>IF($A3223="",0,$H3223*설정!$C$23)</f>
        <v/>
      </c>
      <c r="Q3223" s="39">
        <f>IF($A3223="","",IF(O3223&lt;&gt;원인분석!$C$9,"",IF(AND(M3223&gt;=원인분석!$C$10,M3223&lt;=원인분석!$C$11),"당기",IF(AND(M3223&gt;=원인분석!$C$12,M3223&lt;=원인분석!$C$13),"비교",""))))</f>
        <v/>
      </c>
      <c r="R3223" s="9">
        <f>IF(Q3223="","",$K3223&amp;"")</f>
        <v/>
      </c>
      <c r="S3223" s="9">
        <f>IF(Q3223="","",IF(MATCH(R3223,$R$5:$R$100000,0)=ROW()-4,ROW(),""))</f>
        <v/>
      </c>
      <c r="T3223" s="9">
        <f>IF(Q3223="당기",ABS(P3223)+ROW()/1000000000,"")</f>
        <v/>
      </c>
      <c r="U3223" s="9">
        <f>IF(Q3223="비교",ABS(P3223)+ROW()/1000000000,"")</f>
        <v/>
      </c>
      <c r="V3223" s="39">
        <f>IF($A3223="","",IF(COUNTIF(변동분석!$E$7:$E$506,O3223)&gt;0,"Y","N"))</f>
        <v/>
      </c>
      <c r="W3223" s="39">
        <f>IF($A3223="","",IFERROR(INDEX(계정매핑!$D$5:$D$504,MATCH($F3223&amp;"",계정매핑!$A$5:$A$504,0)),"미매핑"))</f>
        <v/>
      </c>
      <c r="X3223" s="9">
        <f>IF($A3223="","",$F3223&amp;"")</f>
        <v/>
      </c>
    </row>
    <row r="3224">
      <c r="A3224" s="75" t="n">
        <v>2026</v>
      </c>
      <c r="B3224" s="75" t="n">
        <v>5</v>
      </c>
      <c r="C3224" s="75" t="inlineStr">
        <is>
          <t>5100000880</t>
        </is>
      </c>
      <c r="D3224" s="78" t="n">
        <v>46155</v>
      </c>
      <c r="E3224" s="75" t="inlineStr">
        <is>
          <t>KR</t>
        </is>
      </c>
      <c r="F3224" s="75" t="n">
        <v>62901000</v>
      </c>
      <c r="G3224" s="75" t="n">
        <v>1201</v>
      </c>
      <c r="H3224" s="76" t="n">
        <v>7103000</v>
      </c>
      <c r="I3224" s="75" t="inlineStr">
        <is>
          <t>5월 자문 수수료 - W컨설팅</t>
        </is>
      </c>
      <c r="J3224" s="75" t="inlineStr">
        <is>
          <t>V10009</t>
        </is>
      </c>
      <c r="K3224" s="75" t="inlineStr">
        <is>
          <t>W컨설팅</t>
        </is>
      </c>
      <c r="M3224" s="9">
        <f>IF($A3224="","",VALUE($A3224&amp;"")*12+VALUE($B3224&amp;""))</f>
        <v/>
      </c>
      <c r="N3224" s="39">
        <f>IF($A3224="","",IFERROR(INDEX(부서매핑!$C$5:$C$504,MATCH($G3224&amp;"",부서매핑!$A$5:$A$504,0)),"미매핑"))</f>
        <v/>
      </c>
      <c r="O3224" s="9">
        <f>IF($A3224="","",N3224&amp;"|"&amp;$F3224)</f>
        <v/>
      </c>
      <c r="P3224" s="77">
        <f>IF($A3224="",0,$H3224*설정!$C$23)</f>
        <v/>
      </c>
      <c r="Q3224" s="39">
        <f>IF($A3224="","",IF(O3224&lt;&gt;원인분석!$C$9,"",IF(AND(M3224&gt;=원인분석!$C$10,M3224&lt;=원인분석!$C$11),"당기",IF(AND(M3224&gt;=원인분석!$C$12,M3224&lt;=원인분석!$C$13),"비교",""))))</f>
        <v/>
      </c>
      <c r="R3224" s="9">
        <f>IF(Q3224="","",$K3224&amp;"")</f>
        <v/>
      </c>
      <c r="S3224" s="9">
        <f>IF(Q3224="","",IF(MATCH(R3224,$R$5:$R$100000,0)=ROW()-4,ROW(),""))</f>
        <v/>
      </c>
      <c r="T3224" s="9">
        <f>IF(Q3224="당기",ABS(P3224)+ROW()/1000000000,"")</f>
        <v/>
      </c>
      <c r="U3224" s="9">
        <f>IF(Q3224="비교",ABS(P3224)+ROW()/1000000000,"")</f>
        <v/>
      </c>
      <c r="V3224" s="39">
        <f>IF($A3224="","",IF(COUNTIF(변동분석!$E$7:$E$506,O3224)&gt;0,"Y","N"))</f>
        <v/>
      </c>
      <c r="W3224" s="39">
        <f>IF($A3224="","",IFERROR(INDEX(계정매핑!$D$5:$D$504,MATCH($F3224&amp;"",계정매핑!$A$5:$A$504,0)),"미매핑"))</f>
        <v/>
      </c>
      <c r="X3224" s="9">
        <f>IF($A3224="","",$F3224&amp;"")</f>
        <v/>
      </c>
    </row>
    <row r="3225">
      <c r="A3225" s="75" t="n">
        <v>2026</v>
      </c>
      <c r="B3225" s="75" t="n">
        <v>5</v>
      </c>
      <c r="C3225" s="75" t="inlineStr">
        <is>
          <t>5100000881</t>
        </is>
      </c>
      <c r="D3225" s="78" t="n">
        <v>46155</v>
      </c>
      <c r="E3225" s="75" t="inlineStr">
        <is>
          <t>KR</t>
        </is>
      </c>
      <c r="F3225" s="75" t="n">
        <v>62901000</v>
      </c>
      <c r="G3225" s="75" t="n">
        <v>1801</v>
      </c>
      <c r="H3225" s="76" t="n">
        <v>7695000</v>
      </c>
      <c r="I3225" s="75" t="inlineStr">
        <is>
          <t>5월 자문 수수료 - W컨설팅</t>
        </is>
      </c>
      <c r="J3225" s="75" t="inlineStr">
        <is>
          <t>V10009</t>
        </is>
      </c>
      <c r="K3225" s="75" t="inlineStr">
        <is>
          <t>W컨설팅</t>
        </is>
      </c>
      <c r="M3225" s="9">
        <f>IF($A3225="","",VALUE($A3225&amp;"")*12+VALUE($B3225&amp;""))</f>
        <v/>
      </c>
      <c r="N3225" s="39">
        <f>IF($A3225="","",IFERROR(INDEX(부서매핑!$C$5:$C$504,MATCH($G3225&amp;"",부서매핑!$A$5:$A$504,0)),"미매핑"))</f>
        <v/>
      </c>
      <c r="O3225" s="9">
        <f>IF($A3225="","",N3225&amp;"|"&amp;$F3225)</f>
        <v/>
      </c>
      <c r="P3225" s="77">
        <f>IF($A3225="",0,$H3225*설정!$C$23)</f>
        <v/>
      </c>
      <c r="Q3225" s="39">
        <f>IF($A3225="","",IF(O3225&lt;&gt;원인분석!$C$9,"",IF(AND(M3225&gt;=원인분석!$C$10,M3225&lt;=원인분석!$C$11),"당기",IF(AND(M3225&gt;=원인분석!$C$12,M3225&lt;=원인분석!$C$13),"비교",""))))</f>
        <v/>
      </c>
      <c r="R3225" s="9">
        <f>IF(Q3225="","",$K3225&amp;"")</f>
        <v/>
      </c>
      <c r="S3225" s="9">
        <f>IF(Q3225="","",IF(MATCH(R3225,$R$5:$R$100000,0)=ROW()-4,ROW(),""))</f>
        <v/>
      </c>
      <c r="T3225" s="9">
        <f>IF(Q3225="당기",ABS(P3225)+ROW()/1000000000,"")</f>
        <v/>
      </c>
      <c r="U3225" s="9">
        <f>IF(Q3225="비교",ABS(P3225)+ROW()/1000000000,"")</f>
        <v/>
      </c>
      <c r="V3225" s="39">
        <f>IF($A3225="","",IF(COUNTIF(변동분석!$E$7:$E$506,O3225)&gt;0,"Y","N"))</f>
        <v/>
      </c>
      <c r="W3225" s="39">
        <f>IF($A3225="","",IFERROR(INDEX(계정매핑!$D$5:$D$504,MATCH($F3225&amp;"",계정매핑!$A$5:$A$504,0)),"미매핑"))</f>
        <v/>
      </c>
      <c r="X3225" s="9">
        <f>IF($A3225="","",$F3225&amp;"")</f>
        <v/>
      </c>
    </row>
    <row r="3226">
      <c r="A3226" s="75" t="n">
        <v>2026</v>
      </c>
      <c r="B3226" s="75" t="n">
        <v>5</v>
      </c>
      <c r="C3226" s="75" t="inlineStr">
        <is>
          <t>5100000882</t>
        </is>
      </c>
      <c r="D3226" s="78" t="n">
        <v>46155</v>
      </c>
      <c r="E3226" s="75" t="inlineStr">
        <is>
          <t>KR</t>
        </is>
      </c>
      <c r="F3226" s="75" t="n">
        <v>62902000</v>
      </c>
      <c r="G3226" s="75" t="n">
        <v>1801</v>
      </c>
      <c r="H3226" s="76" t="n">
        <v>1821000</v>
      </c>
      <c r="I3226" s="75" t="inlineStr">
        <is>
          <t>5월 콜 위탁 수수료(건별)</t>
        </is>
      </c>
      <c r="J3226" s="75" t="inlineStr">
        <is>
          <t>V10013</t>
        </is>
      </c>
      <c r="K3226" s="75" t="inlineStr">
        <is>
          <t>J콜센터</t>
        </is>
      </c>
      <c r="M3226" s="9">
        <f>IF($A3226="","",VALUE($A3226&amp;"")*12+VALUE($B3226&amp;""))</f>
        <v/>
      </c>
      <c r="N3226" s="39">
        <f>IF($A3226="","",IFERROR(INDEX(부서매핑!$C$5:$C$504,MATCH($G3226&amp;"",부서매핑!$A$5:$A$504,0)),"미매핑"))</f>
        <v/>
      </c>
      <c r="O3226" s="9">
        <f>IF($A3226="","",N3226&amp;"|"&amp;$F3226)</f>
        <v/>
      </c>
      <c r="P3226" s="77">
        <f>IF($A3226="",0,$H3226*설정!$C$23)</f>
        <v/>
      </c>
      <c r="Q3226" s="39">
        <f>IF($A3226="","",IF(O3226&lt;&gt;원인분석!$C$9,"",IF(AND(M3226&gt;=원인분석!$C$10,M3226&lt;=원인분석!$C$11),"당기",IF(AND(M3226&gt;=원인분석!$C$12,M3226&lt;=원인분석!$C$13),"비교",""))))</f>
        <v/>
      </c>
      <c r="R3226" s="9">
        <f>IF(Q3226="","",$K3226&amp;"")</f>
        <v/>
      </c>
      <c r="S3226" s="9">
        <f>IF(Q3226="","",IF(MATCH(R3226,$R$5:$R$100000,0)=ROW()-4,ROW(),""))</f>
        <v/>
      </c>
      <c r="T3226" s="9">
        <f>IF(Q3226="당기",ABS(P3226)+ROW()/1000000000,"")</f>
        <v/>
      </c>
      <c r="U3226" s="9">
        <f>IF(Q3226="비교",ABS(P3226)+ROW()/1000000000,"")</f>
        <v/>
      </c>
      <c r="V3226" s="39">
        <f>IF($A3226="","",IF(COUNTIF(변동분석!$E$7:$E$506,O3226)&gt;0,"Y","N"))</f>
        <v/>
      </c>
      <c r="W3226" s="39">
        <f>IF($A3226="","",IFERROR(INDEX(계정매핑!$D$5:$D$504,MATCH($F3226&amp;"",계정매핑!$A$5:$A$504,0)),"미매핑"))</f>
        <v/>
      </c>
      <c r="X3226" s="9">
        <f>IF($A3226="","",$F3226&amp;"")</f>
        <v/>
      </c>
    </row>
    <row r="3227">
      <c r="A3227" s="75" t="n">
        <v>2026</v>
      </c>
      <c r="B3227" s="75" t="n">
        <v>5</v>
      </c>
      <c r="C3227" s="75" t="inlineStr">
        <is>
          <t>5100000883</t>
        </is>
      </c>
      <c r="D3227" s="78" t="n">
        <v>46156</v>
      </c>
      <c r="E3227" s="75" t="inlineStr">
        <is>
          <t>KR</t>
        </is>
      </c>
      <c r="F3227" s="75" t="n">
        <v>62101000</v>
      </c>
      <c r="G3227" s="75" t="n">
        <v>1502</v>
      </c>
      <c r="H3227" s="76" t="n">
        <v>525000</v>
      </c>
      <c r="I3227" s="75" t="inlineStr">
        <is>
          <t>5월 국내출장 - M항공</t>
        </is>
      </c>
      <c r="J3227" s="75" t="inlineStr">
        <is>
          <t>V10001</t>
        </is>
      </c>
      <c r="K3227" s="75" t="inlineStr">
        <is>
          <t>M항공</t>
        </is>
      </c>
      <c r="M3227" s="9">
        <f>IF($A3227="","",VALUE($A3227&amp;"")*12+VALUE($B3227&amp;""))</f>
        <v/>
      </c>
      <c r="N3227" s="39">
        <f>IF($A3227="","",IFERROR(INDEX(부서매핑!$C$5:$C$504,MATCH($G3227&amp;"",부서매핑!$A$5:$A$504,0)),"미매핑"))</f>
        <v/>
      </c>
      <c r="O3227" s="9">
        <f>IF($A3227="","",N3227&amp;"|"&amp;$F3227)</f>
        <v/>
      </c>
      <c r="P3227" s="77">
        <f>IF($A3227="",0,$H3227*설정!$C$23)</f>
        <v/>
      </c>
      <c r="Q3227" s="39">
        <f>IF($A3227="","",IF(O3227&lt;&gt;원인분석!$C$9,"",IF(AND(M3227&gt;=원인분석!$C$10,M3227&lt;=원인분석!$C$11),"당기",IF(AND(M3227&gt;=원인분석!$C$12,M3227&lt;=원인분석!$C$13),"비교",""))))</f>
        <v/>
      </c>
      <c r="R3227" s="9">
        <f>IF(Q3227="","",$K3227&amp;"")</f>
        <v/>
      </c>
      <c r="S3227" s="9">
        <f>IF(Q3227="","",IF(MATCH(R3227,$R$5:$R$100000,0)=ROW()-4,ROW(),""))</f>
        <v/>
      </c>
      <c r="T3227" s="9">
        <f>IF(Q3227="당기",ABS(P3227)+ROW()/1000000000,"")</f>
        <v/>
      </c>
      <c r="U3227" s="9">
        <f>IF(Q3227="비교",ABS(P3227)+ROW()/1000000000,"")</f>
        <v/>
      </c>
      <c r="V3227" s="39">
        <f>IF($A3227="","",IF(COUNTIF(변동분석!$E$7:$E$506,O3227)&gt;0,"Y","N"))</f>
        <v/>
      </c>
      <c r="W3227" s="39">
        <f>IF($A3227="","",IFERROR(INDEX(계정매핑!$D$5:$D$504,MATCH($F3227&amp;"",계정매핑!$A$5:$A$504,0)),"미매핑"))</f>
        <v/>
      </c>
      <c r="X3227" s="9">
        <f>IF($A3227="","",$F3227&amp;"")</f>
        <v/>
      </c>
    </row>
    <row r="3228">
      <c r="A3228" s="75" t="n">
        <v>2026</v>
      </c>
      <c r="B3228" s="75" t="n">
        <v>5</v>
      </c>
      <c r="C3228" s="75" t="inlineStr">
        <is>
          <t>5100000884</t>
        </is>
      </c>
      <c r="D3228" s="78" t="n">
        <v>46156</v>
      </c>
      <c r="E3228" s="75" t="inlineStr">
        <is>
          <t>KR</t>
        </is>
      </c>
      <c r="F3228" s="75" t="n">
        <v>62102000</v>
      </c>
      <c r="G3228" s="75" t="n">
        <v>1101</v>
      </c>
      <c r="H3228" s="76" t="n">
        <v>100000</v>
      </c>
      <c r="I3228" s="75" t="inlineStr">
        <is>
          <t>5월 해외출장 - M항공</t>
        </is>
      </c>
      <c r="J3228" s="75" t="inlineStr">
        <is>
          <t>V10001</t>
        </is>
      </c>
      <c r="K3228" s="75" t="inlineStr">
        <is>
          <t>M항공</t>
        </is>
      </c>
      <c r="M3228" s="9">
        <f>IF($A3228="","",VALUE($A3228&amp;"")*12+VALUE($B3228&amp;""))</f>
        <v/>
      </c>
      <c r="N3228" s="39">
        <f>IF($A3228="","",IFERROR(INDEX(부서매핑!$C$5:$C$504,MATCH($G3228&amp;"",부서매핑!$A$5:$A$504,0)),"미매핑"))</f>
        <v/>
      </c>
      <c r="O3228" s="9">
        <f>IF($A3228="","",N3228&amp;"|"&amp;$F3228)</f>
        <v/>
      </c>
      <c r="P3228" s="77">
        <f>IF($A3228="",0,$H3228*설정!$C$23)</f>
        <v/>
      </c>
      <c r="Q3228" s="39">
        <f>IF($A3228="","",IF(O3228&lt;&gt;원인분석!$C$9,"",IF(AND(M3228&gt;=원인분석!$C$10,M3228&lt;=원인분석!$C$11),"당기",IF(AND(M3228&gt;=원인분석!$C$12,M3228&lt;=원인분석!$C$13),"비교",""))))</f>
        <v/>
      </c>
      <c r="R3228" s="9">
        <f>IF(Q3228="","",$K3228&amp;"")</f>
        <v/>
      </c>
      <c r="S3228" s="9">
        <f>IF(Q3228="","",IF(MATCH(R3228,$R$5:$R$100000,0)=ROW()-4,ROW(),""))</f>
        <v/>
      </c>
      <c r="T3228" s="9">
        <f>IF(Q3228="당기",ABS(P3228)+ROW()/1000000000,"")</f>
        <v/>
      </c>
      <c r="U3228" s="9">
        <f>IF(Q3228="비교",ABS(P3228)+ROW()/1000000000,"")</f>
        <v/>
      </c>
      <c r="V3228" s="39">
        <f>IF($A3228="","",IF(COUNTIF(변동분석!$E$7:$E$506,O3228)&gt;0,"Y","N"))</f>
        <v/>
      </c>
      <c r="W3228" s="39">
        <f>IF($A3228="","",IFERROR(INDEX(계정매핑!$D$5:$D$504,MATCH($F3228&amp;"",계정매핑!$A$5:$A$504,0)),"미매핑"))</f>
        <v/>
      </c>
      <c r="X3228" s="9">
        <f>IF($A3228="","",$F3228&amp;"")</f>
        <v/>
      </c>
    </row>
    <row r="3229">
      <c r="A3229" s="75" t="n">
        <v>2026</v>
      </c>
      <c r="B3229" s="75" t="n">
        <v>5</v>
      </c>
      <c r="C3229" s="75" t="inlineStr">
        <is>
          <t>5100000885</t>
        </is>
      </c>
      <c r="D3229" s="78" t="n">
        <v>46156</v>
      </c>
      <c r="E3229" s="75" t="inlineStr">
        <is>
          <t>KR</t>
        </is>
      </c>
      <c r="F3229" s="75" t="n">
        <v>62201000</v>
      </c>
      <c r="G3229" s="75" t="n">
        <v>1401</v>
      </c>
      <c r="H3229" s="76" t="n">
        <v>130000</v>
      </c>
      <c r="I3229" s="75" t="inlineStr">
        <is>
          <t>5월 통신요금 - P통신</t>
        </is>
      </c>
      <c r="J3229" s="75" t="inlineStr">
        <is>
          <t>V10011</t>
        </is>
      </c>
      <c r="K3229" s="75" t="inlineStr">
        <is>
          <t>P통신</t>
        </is>
      </c>
      <c r="M3229" s="9">
        <f>IF($A3229="","",VALUE($A3229&amp;"")*12+VALUE($B3229&amp;""))</f>
        <v/>
      </c>
      <c r="N3229" s="39">
        <f>IF($A3229="","",IFERROR(INDEX(부서매핑!$C$5:$C$504,MATCH($G3229&amp;"",부서매핑!$A$5:$A$504,0)),"미매핑"))</f>
        <v/>
      </c>
      <c r="O3229" s="9">
        <f>IF($A3229="","",N3229&amp;"|"&amp;$F3229)</f>
        <v/>
      </c>
      <c r="P3229" s="77">
        <f>IF($A3229="",0,$H3229*설정!$C$23)</f>
        <v/>
      </c>
      <c r="Q3229" s="39">
        <f>IF($A3229="","",IF(O3229&lt;&gt;원인분석!$C$9,"",IF(AND(M3229&gt;=원인분석!$C$10,M3229&lt;=원인분석!$C$11),"당기",IF(AND(M3229&gt;=원인분석!$C$12,M3229&lt;=원인분석!$C$13),"비교",""))))</f>
        <v/>
      </c>
      <c r="R3229" s="9">
        <f>IF(Q3229="","",$K3229&amp;"")</f>
        <v/>
      </c>
      <c r="S3229" s="9">
        <f>IF(Q3229="","",IF(MATCH(R3229,$R$5:$R$100000,0)=ROW()-4,ROW(),""))</f>
        <v/>
      </c>
      <c r="T3229" s="9">
        <f>IF(Q3229="당기",ABS(P3229)+ROW()/1000000000,"")</f>
        <v/>
      </c>
      <c r="U3229" s="9">
        <f>IF(Q3229="비교",ABS(P3229)+ROW()/1000000000,"")</f>
        <v/>
      </c>
      <c r="V3229" s="39">
        <f>IF($A3229="","",IF(COUNTIF(변동분석!$E$7:$E$506,O3229)&gt;0,"Y","N"))</f>
        <v/>
      </c>
      <c r="W3229" s="39">
        <f>IF($A3229="","",IFERROR(INDEX(계정매핑!$D$5:$D$504,MATCH($F3229&amp;"",계정매핑!$A$5:$A$504,0)),"미매핑"))</f>
        <v/>
      </c>
      <c r="X3229" s="9">
        <f>IF($A3229="","",$F3229&amp;"")</f>
        <v/>
      </c>
    </row>
    <row r="3230">
      <c r="A3230" s="75" t="n">
        <v>2026</v>
      </c>
      <c r="B3230" s="75" t="n">
        <v>5</v>
      </c>
      <c r="C3230" s="75" t="inlineStr">
        <is>
          <t>5100000886</t>
        </is>
      </c>
      <c r="D3230" s="78" t="n">
        <v>46156</v>
      </c>
      <c r="E3230" s="75" t="inlineStr">
        <is>
          <t>KR</t>
        </is>
      </c>
      <c r="F3230" s="75" t="n">
        <v>62201000</v>
      </c>
      <c r="G3230" s="75" t="n">
        <v>1601</v>
      </c>
      <c r="H3230" s="76" t="n">
        <v>538000</v>
      </c>
      <c r="I3230" s="75" t="inlineStr">
        <is>
          <t>5월 통신요금 - P통신</t>
        </is>
      </c>
      <c r="J3230" s="75" t="inlineStr">
        <is>
          <t>V10011</t>
        </is>
      </c>
      <c r="K3230" s="75" t="inlineStr">
        <is>
          <t>P통신</t>
        </is>
      </c>
      <c r="M3230" s="9">
        <f>IF($A3230="","",VALUE($A3230&amp;"")*12+VALUE($B3230&amp;""))</f>
        <v/>
      </c>
      <c r="N3230" s="39">
        <f>IF($A3230="","",IFERROR(INDEX(부서매핑!$C$5:$C$504,MATCH($G3230&amp;"",부서매핑!$A$5:$A$504,0)),"미매핑"))</f>
        <v/>
      </c>
      <c r="O3230" s="9">
        <f>IF($A3230="","",N3230&amp;"|"&amp;$F3230)</f>
        <v/>
      </c>
      <c r="P3230" s="77">
        <f>IF($A3230="",0,$H3230*설정!$C$23)</f>
        <v/>
      </c>
      <c r="Q3230" s="39">
        <f>IF($A3230="","",IF(O3230&lt;&gt;원인분석!$C$9,"",IF(AND(M3230&gt;=원인분석!$C$10,M3230&lt;=원인분석!$C$11),"당기",IF(AND(M3230&gt;=원인분석!$C$12,M3230&lt;=원인분석!$C$13),"비교",""))))</f>
        <v/>
      </c>
      <c r="R3230" s="9">
        <f>IF(Q3230="","",$K3230&amp;"")</f>
        <v/>
      </c>
      <c r="S3230" s="9">
        <f>IF(Q3230="","",IF(MATCH(R3230,$R$5:$R$100000,0)=ROW()-4,ROW(),""))</f>
        <v/>
      </c>
      <c r="T3230" s="9">
        <f>IF(Q3230="당기",ABS(P3230)+ROW()/1000000000,"")</f>
        <v/>
      </c>
      <c r="U3230" s="9">
        <f>IF(Q3230="비교",ABS(P3230)+ROW()/1000000000,"")</f>
        <v/>
      </c>
      <c r="V3230" s="39">
        <f>IF($A3230="","",IF(COUNTIF(변동분석!$E$7:$E$506,O3230)&gt;0,"Y","N"))</f>
        <v/>
      </c>
      <c r="W3230" s="39">
        <f>IF($A3230="","",IFERROR(INDEX(계정매핑!$D$5:$D$504,MATCH($F3230&amp;"",계정매핑!$A$5:$A$504,0)),"미매핑"))</f>
        <v/>
      </c>
      <c r="X3230" s="9">
        <f>IF($A3230="","",$F3230&amp;"")</f>
        <v/>
      </c>
    </row>
    <row r="3231">
      <c r="A3231" s="75" t="n">
        <v>2026</v>
      </c>
      <c r="B3231" s="75" t="n">
        <v>5</v>
      </c>
      <c r="C3231" s="75" t="inlineStr">
        <is>
          <t>5100000887</t>
        </is>
      </c>
      <c r="D3231" s="78" t="n">
        <v>46156</v>
      </c>
      <c r="E3231" s="75" t="inlineStr">
        <is>
          <t>KR</t>
        </is>
      </c>
      <c r="F3231" s="75" t="n">
        <v>62501000</v>
      </c>
      <c r="G3231" s="75" t="n">
        <v>1801</v>
      </c>
      <c r="H3231" s="76" t="n">
        <v>102000</v>
      </c>
      <c r="I3231" s="75" t="inlineStr">
        <is>
          <t>5월 회의 다과 - (법인카드)</t>
        </is>
      </c>
      <c r="J3231" s="75" t="inlineStr">
        <is>
          <t>V10008</t>
        </is>
      </c>
      <c r="K3231" s="75" t="inlineStr">
        <is>
          <t>(법인카드)</t>
        </is>
      </c>
      <c r="M3231" s="9">
        <f>IF($A3231="","",VALUE($A3231&amp;"")*12+VALUE($B3231&amp;""))</f>
        <v/>
      </c>
      <c r="N3231" s="39">
        <f>IF($A3231="","",IFERROR(INDEX(부서매핑!$C$5:$C$504,MATCH($G3231&amp;"",부서매핑!$A$5:$A$504,0)),"미매핑"))</f>
        <v/>
      </c>
      <c r="O3231" s="9">
        <f>IF($A3231="","",N3231&amp;"|"&amp;$F3231)</f>
        <v/>
      </c>
      <c r="P3231" s="77">
        <f>IF($A3231="",0,$H3231*설정!$C$23)</f>
        <v/>
      </c>
      <c r="Q3231" s="39">
        <f>IF($A3231="","",IF(O3231&lt;&gt;원인분석!$C$9,"",IF(AND(M3231&gt;=원인분석!$C$10,M3231&lt;=원인분석!$C$11),"당기",IF(AND(M3231&gt;=원인분석!$C$12,M3231&lt;=원인분석!$C$13),"비교",""))))</f>
        <v/>
      </c>
      <c r="R3231" s="9">
        <f>IF(Q3231="","",$K3231&amp;"")</f>
        <v/>
      </c>
      <c r="S3231" s="9">
        <f>IF(Q3231="","",IF(MATCH(R3231,$R$5:$R$100000,0)=ROW()-4,ROW(),""))</f>
        <v/>
      </c>
      <c r="T3231" s="9">
        <f>IF(Q3231="당기",ABS(P3231)+ROW()/1000000000,"")</f>
        <v/>
      </c>
      <c r="U3231" s="9">
        <f>IF(Q3231="비교",ABS(P3231)+ROW()/1000000000,"")</f>
        <v/>
      </c>
      <c r="V3231" s="39">
        <f>IF($A3231="","",IF(COUNTIF(변동분석!$E$7:$E$506,O3231)&gt;0,"Y","N"))</f>
        <v/>
      </c>
      <c r="W3231" s="39">
        <f>IF($A3231="","",IFERROR(INDEX(계정매핑!$D$5:$D$504,MATCH($F3231&amp;"",계정매핑!$A$5:$A$504,0)),"미매핑"))</f>
        <v/>
      </c>
      <c r="X3231" s="9">
        <f>IF($A3231="","",$F3231&amp;"")</f>
        <v/>
      </c>
    </row>
    <row r="3232">
      <c r="A3232" s="75" t="n">
        <v>2026</v>
      </c>
      <c r="B3232" s="75" t="n">
        <v>5</v>
      </c>
      <c r="C3232" s="75" t="inlineStr">
        <is>
          <t>5100000888</t>
        </is>
      </c>
      <c r="D3232" s="78" t="n">
        <v>46156</v>
      </c>
      <c r="E3232" s="75" t="inlineStr">
        <is>
          <t>KR</t>
        </is>
      </c>
      <c r="F3232" s="75" t="n">
        <v>62601000</v>
      </c>
      <c r="G3232" s="75" t="n">
        <v>1301</v>
      </c>
      <c r="H3232" s="76" t="n">
        <v>1656000</v>
      </c>
      <c r="I3232" s="75" t="inlineStr">
        <is>
          <t>5월 업무추진 - (법인카드)</t>
        </is>
      </c>
      <c r="J3232" s="75" t="inlineStr">
        <is>
          <t>V10008</t>
        </is>
      </c>
      <c r="K3232" s="75" t="inlineStr">
        <is>
          <t>(법인카드)</t>
        </is>
      </c>
      <c r="M3232" s="9">
        <f>IF($A3232="","",VALUE($A3232&amp;"")*12+VALUE($B3232&amp;""))</f>
        <v/>
      </c>
      <c r="N3232" s="39">
        <f>IF($A3232="","",IFERROR(INDEX(부서매핑!$C$5:$C$504,MATCH($G3232&amp;"",부서매핑!$A$5:$A$504,0)),"미매핑"))</f>
        <v/>
      </c>
      <c r="O3232" s="9">
        <f>IF($A3232="","",N3232&amp;"|"&amp;$F3232)</f>
        <v/>
      </c>
      <c r="P3232" s="77">
        <f>IF($A3232="",0,$H3232*설정!$C$23)</f>
        <v/>
      </c>
      <c r="Q3232" s="39">
        <f>IF($A3232="","",IF(O3232&lt;&gt;원인분석!$C$9,"",IF(AND(M3232&gt;=원인분석!$C$10,M3232&lt;=원인분석!$C$11),"당기",IF(AND(M3232&gt;=원인분석!$C$12,M3232&lt;=원인분석!$C$13),"비교",""))))</f>
        <v/>
      </c>
      <c r="R3232" s="9">
        <f>IF(Q3232="","",$K3232&amp;"")</f>
        <v/>
      </c>
      <c r="S3232" s="9">
        <f>IF(Q3232="","",IF(MATCH(R3232,$R$5:$R$100000,0)=ROW()-4,ROW(),""))</f>
        <v/>
      </c>
      <c r="T3232" s="9">
        <f>IF(Q3232="당기",ABS(P3232)+ROW()/1000000000,"")</f>
        <v/>
      </c>
      <c r="U3232" s="9">
        <f>IF(Q3232="비교",ABS(P3232)+ROW()/1000000000,"")</f>
        <v/>
      </c>
      <c r="V3232" s="39">
        <f>IF($A3232="","",IF(COUNTIF(변동분석!$E$7:$E$506,O3232)&gt;0,"Y","N"))</f>
        <v/>
      </c>
      <c r="W3232" s="39">
        <f>IF($A3232="","",IFERROR(INDEX(계정매핑!$D$5:$D$504,MATCH($F3232&amp;"",계정매핑!$A$5:$A$504,0)),"미매핑"))</f>
        <v/>
      </c>
      <c r="X3232" s="9">
        <f>IF($A3232="","",$F3232&amp;"")</f>
        <v/>
      </c>
    </row>
    <row r="3233">
      <c r="A3233" s="75" t="n">
        <v>2026</v>
      </c>
      <c r="B3233" s="75" t="n">
        <v>5</v>
      </c>
      <c r="C3233" s="75" t="inlineStr">
        <is>
          <t>5100000889</t>
        </is>
      </c>
      <c r="D3233" s="78" t="n">
        <v>46156</v>
      </c>
      <c r="E3233" s="75" t="inlineStr">
        <is>
          <t>KR</t>
        </is>
      </c>
      <c r="F3233" s="75" t="n">
        <v>62701000</v>
      </c>
      <c r="G3233" s="75" t="n">
        <v>1501</v>
      </c>
      <c r="H3233" s="76" t="n">
        <v>58700000</v>
      </c>
      <c r="I3233" s="75" t="inlineStr">
        <is>
          <t>5월 광고 집행 - F애드</t>
        </is>
      </c>
      <c r="J3233" s="75" t="inlineStr">
        <is>
          <t>V10019</t>
        </is>
      </c>
      <c r="K3233" s="75" t="inlineStr">
        <is>
          <t>F애드</t>
        </is>
      </c>
      <c r="M3233" s="9">
        <f>IF($A3233="","",VALUE($A3233&amp;"")*12+VALUE($B3233&amp;""))</f>
        <v/>
      </c>
      <c r="N3233" s="39">
        <f>IF($A3233="","",IFERROR(INDEX(부서매핑!$C$5:$C$504,MATCH($G3233&amp;"",부서매핑!$A$5:$A$504,0)),"미매핑"))</f>
        <v/>
      </c>
      <c r="O3233" s="9">
        <f>IF($A3233="","",N3233&amp;"|"&amp;$F3233)</f>
        <v/>
      </c>
      <c r="P3233" s="77">
        <f>IF($A3233="",0,$H3233*설정!$C$23)</f>
        <v/>
      </c>
      <c r="Q3233" s="39">
        <f>IF($A3233="","",IF(O3233&lt;&gt;원인분석!$C$9,"",IF(AND(M3233&gt;=원인분석!$C$10,M3233&lt;=원인분석!$C$11),"당기",IF(AND(M3233&gt;=원인분석!$C$12,M3233&lt;=원인분석!$C$13),"비교",""))))</f>
        <v/>
      </c>
      <c r="R3233" s="9">
        <f>IF(Q3233="","",$K3233&amp;"")</f>
        <v/>
      </c>
      <c r="S3233" s="9">
        <f>IF(Q3233="","",IF(MATCH(R3233,$R$5:$R$100000,0)=ROW()-4,ROW(),""))</f>
        <v/>
      </c>
      <c r="T3233" s="9">
        <f>IF(Q3233="당기",ABS(P3233)+ROW()/1000000000,"")</f>
        <v/>
      </c>
      <c r="U3233" s="9">
        <f>IF(Q3233="비교",ABS(P3233)+ROW()/1000000000,"")</f>
        <v/>
      </c>
      <c r="V3233" s="39">
        <f>IF($A3233="","",IF(COUNTIF(변동분석!$E$7:$E$506,O3233)&gt;0,"Y","N"))</f>
        <v/>
      </c>
      <c r="W3233" s="39">
        <f>IF($A3233="","",IFERROR(INDEX(계정매핑!$D$5:$D$504,MATCH($F3233&amp;"",계정매핑!$A$5:$A$504,0)),"미매핑"))</f>
        <v/>
      </c>
      <c r="X3233" s="9">
        <f>IF($A3233="","",$F3233&amp;"")</f>
        <v/>
      </c>
    </row>
    <row r="3234">
      <c r="A3234" s="75" t="n">
        <v>2026</v>
      </c>
      <c r="B3234" s="75" t="n">
        <v>5</v>
      </c>
      <c r="C3234" s="75" t="inlineStr">
        <is>
          <t>5100000890</t>
        </is>
      </c>
      <c r="D3234" s="78" t="n">
        <v>46156</v>
      </c>
      <c r="E3234" s="75" t="inlineStr">
        <is>
          <t>KR</t>
        </is>
      </c>
      <c r="F3234" s="75" t="n">
        <v>62902000</v>
      </c>
      <c r="G3234" s="75" t="n">
        <v>1801</v>
      </c>
      <c r="H3234" s="76" t="n">
        <v>1786000</v>
      </c>
      <c r="I3234" s="75" t="inlineStr">
        <is>
          <t>5월 콜 위탁 수수료(건별)</t>
        </is>
      </c>
      <c r="J3234" s="75" t="inlineStr">
        <is>
          <t>V10013</t>
        </is>
      </c>
      <c r="K3234" s="75" t="inlineStr">
        <is>
          <t>J콜센터</t>
        </is>
      </c>
      <c r="M3234" s="9">
        <f>IF($A3234="","",VALUE($A3234&amp;"")*12+VALUE($B3234&amp;""))</f>
        <v/>
      </c>
      <c r="N3234" s="39">
        <f>IF($A3234="","",IFERROR(INDEX(부서매핑!$C$5:$C$504,MATCH($G3234&amp;"",부서매핑!$A$5:$A$504,0)),"미매핑"))</f>
        <v/>
      </c>
      <c r="O3234" s="9">
        <f>IF($A3234="","",N3234&amp;"|"&amp;$F3234)</f>
        <v/>
      </c>
      <c r="P3234" s="77">
        <f>IF($A3234="",0,$H3234*설정!$C$23)</f>
        <v/>
      </c>
      <c r="Q3234" s="39">
        <f>IF($A3234="","",IF(O3234&lt;&gt;원인분석!$C$9,"",IF(AND(M3234&gt;=원인분석!$C$10,M3234&lt;=원인분석!$C$11),"당기",IF(AND(M3234&gt;=원인분석!$C$12,M3234&lt;=원인분석!$C$13),"비교",""))))</f>
        <v/>
      </c>
      <c r="R3234" s="9">
        <f>IF(Q3234="","",$K3234&amp;"")</f>
        <v/>
      </c>
      <c r="S3234" s="9">
        <f>IF(Q3234="","",IF(MATCH(R3234,$R$5:$R$100000,0)=ROW()-4,ROW(),""))</f>
        <v/>
      </c>
      <c r="T3234" s="9">
        <f>IF(Q3234="당기",ABS(P3234)+ROW()/1000000000,"")</f>
        <v/>
      </c>
      <c r="U3234" s="9">
        <f>IF(Q3234="비교",ABS(P3234)+ROW()/1000000000,"")</f>
        <v/>
      </c>
      <c r="V3234" s="39">
        <f>IF($A3234="","",IF(COUNTIF(변동분석!$E$7:$E$506,O3234)&gt;0,"Y","N"))</f>
        <v/>
      </c>
      <c r="W3234" s="39">
        <f>IF($A3234="","",IFERROR(INDEX(계정매핑!$D$5:$D$504,MATCH($F3234&amp;"",계정매핑!$A$5:$A$504,0)),"미매핑"))</f>
        <v/>
      </c>
      <c r="X3234" s="9">
        <f>IF($A3234="","",$F3234&amp;"")</f>
        <v/>
      </c>
    </row>
    <row r="3235">
      <c r="A3235" s="75" t="n">
        <v>2026</v>
      </c>
      <c r="B3235" s="75" t="n">
        <v>5</v>
      </c>
      <c r="C3235" s="75" t="inlineStr">
        <is>
          <t>5100000891</t>
        </is>
      </c>
      <c r="D3235" s="78" t="n">
        <v>46156</v>
      </c>
      <c r="E3235" s="75" t="inlineStr">
        <is>
          <t>KR</t>
        </is>
      </c>
      <c r="F3235" s="75" t="n">
        <v>63101000</v>
      </c>
      <c r="G3235" s="75" t="n">
        <v>1602</v>
      </c>
      <c r="H3235" s="76" t="n">
        <v>6712000</v>
      </c>
      <c r="I3235" s="75" t="inlineStr">
        <is>
          <t>5월 사무실 임차료 - BB부동산</t>
        </is>
      </c>
      <c r="J3235" s="75" t="inlineStr">
        <is>
          <t>V10024</t>
        </is>
      </c>
      <c r="K3235" s="75" t="inlineStr">
        <is>
          <t>BB부동산</t>
        </is>
      </c>
      <c r="M3235" s="9">
        <f>IF($A3235="","",VALUE($A3235&amp;"")*12+VALUE($B3235&amp;""))</f>
        <v/>
      </c>
      <c r="N3235" s="39">
        <f>IF($A3235="","",IFERROR(INDEX(부서매핑!$C$5:$C$504,MATCH($G3235&amp;"",부서매핑!$A$5:$A$504,0)),"미매핑"))</f>
        <v/>
      </c>
      <c r="O3235" s="9">
        <f>IF($A3235="","",N3235&amp;"|"&amp;$F3235)</f>
        <v/>
      </c>
      <c r="P3235" s="77">
        <f>IF($A3235="",0,$H3235*설정!$C$23)</f>
        <v/>
      </c>
      <c r="Q3235" s="39">
        <f>IF($A3235="","",IF(O3235&lt;&gt;원인분석!$C$9,"",IF(AND(M3235&gt;=원인분석!$C$10,M3235&lt;=원인분석!$C$11),"당기",IF(AND(M3235&gt;=원인분석!$C$12,M3235&lt;=원인분석!$C$13),"비교",""))))</f>
        <v/>
      </c>
      <c r="R3235" s="9">
        <f>IF(Q3235="","",$K3235&amp;"")</f>
        <v/>
      </c>
      <c r="S3235" s="9">
        <f>IF(Q3235="","",IF(MATCH(R3235,$R$5:$R$100000,0)=ROW()-4,ROW(),""))</f>
        <v/>
      </c>
      <c r="T3235" s="9">
        <f>IF(Q3235="당기",ABS(P3235)+ROW()/1000000000,"")</f>
        <v/>
      </c>
      <c r="U3235" s="9">
        <f>IF(Q3235="비교",ABS(P3235)+ROW()/1000000000,"")</f>
        <v/>
      </c>
      <c r="V3235" s="39">
        <f>IF($A3235="","",IF(COUNTIF(변동분석!$E$7:$E$506,O3235)&gt;0,"Y","N"))</f>
        <v/>
      </c>
      <c r="W3235" s="39">
        <f>IF($A3235="","",IFERROR(INDEX(계정매핑!$D$5:$D$504,MATCH($F3235&amp;"",계정매핑!$A$5:$A$504,0)),"미매핑"))</f>
        <v/>
      </c>
      <c r="X3235" s="9">
        <f>IF($A3235="","",$F3235&amp;"")</f>
        <v/>
      </c>
    </row>
    <row r="3236">
      <c r="A3236" s="75" t="n">
        <v>2026</v>
      </c>
      <c r="B3236" s="75" t="n">
        <v>5</v>
      </c>
      <c r="C3236" s="75" t="inlineStr">
        <is>
          <t>5100000892</t>
        </is>
      </c>
      <c r="D3236" s="78" t="n">
        <v>46157</v>
      </c>
      <c r="E3236" s="75" t="inlineStr">
        <is>
          <t>KR</t>
        </is>
      </c>
      <c r="F3236" s="75" t="n">
        <v>62102000</v>
      </c>
      <c r="G3236" s="75" t="n">
        <v>1101</v>
      </c>
      <c r="H3236" s="76" t="n">
        <v>94000</v>
      </c>
      <c r="I3236" s="75" t="inlineStr">
        <is>
          <t>5월 해외출장 - N호텔</t>
        </is>
      </c>
      <c r="J3236" s="75" t="inlineStr">
        <is>
          <t>V10007</t>
        </is>
      </c>
      <c r="K3236" s="75" t="inlineStr">
        <is>
          <t>N호텔</t>
        </is>
      </c>
      <c r="M3236" s="9">
        <f>IF($A3236="","",VALUE($A3236&amp;"")*12+VALUE($B3236&amp;""))</f>
        <v/>
      </c>
      <c r="N3236" s="39">
        <f>IF($A3236="","",IFERROR(INDEX(부서매핑!$C$5:$C$504,MATCH($G3236&amp;"",부서매핑!$A$5:$A$504,0)),"미매핑"))</f>
        <v/>
      </c>
      <c r="O3236" s="9">
        <f>IF($A3236="","",N3236&amp;"|"&amp;$F3236)</f>
        <v/>
      </c>
      <c r="P3236" s="77">
        <f>IF($A3236="",0,$H3236*설정!$C$23)</f>
        <v/>
      </c>
      <c r="Q3236" s="39">
        <f>IF($A3236="","",IF(O3236&lt;&gt;원인분석!$C$9,"",IF(AND(M3236&gt;=원인분석!$C$10,M3236&lt;=원인분석!$C$11),"당기",IF(AND(M3236&gt;=원인분석!$C$12,M3236&lt;=원인분석!$C$13),"비교",""))))</f>
        <v/>
      </c>
      <c r="R3236" s="9">
        <f>IF(Q3236="","",$K3236&amp;"")</f>
        <v/>
      </c>
      <c r="S3236" s="9">
        <f>IF(Q3236="","",IF(MATCH(R3236,$R$5:$R$100000,0)=ROW()-4,ROW(),""))</f>
        <v/>
      </c>
      <c r="T3236" s="9">
        <f>IF(Q3236="당기",ABS(P3236)+ROW()/1000000000,"")</f>
        <v/>
      </c>
      <c r="U3236" s="9">
        <f>IF(Q3236="비교",ABS(P3236)+ROW()/1000000000,"")</f>
        <v/>
      </c>
      <c r="V3236" s="39">
        <f>IF($A3236="","",IF(COUNTIF(변동분석!$E$7:$E$506,O3236)&gt;0,"Y","N"))</f>
        <v/>
      </c>
      <c r="W3236" s="39">
        <f>IF($A3236="","",IFERROR(INDEX(계정매핑!$D$5:$D$504,MATCH($F3236&amp;"",계정매핑!$A$5:$A$504,0)),"미매핑"))</f>
        <v/>
      </c>
      <c r="X3236" s="9">
        <f>IF($A3236="","",$F3236&amp;"")</f>
        <v/>
      </c>
    </row>
    <row r="3237">
      <c r="A3237" s="75" t="n">
        <v>2026</v>
      </c>
      <c r="B3237" s="75" t="n">
        <v>5</v>
      </c>
      <c r="C3237" s="75" t="inlineStr">
        <is>
          <t>5100000893</t>
        </is>
      </c>
      <c r="D3237" s="78" t="n">
        <v>46157</v>
      </c>
      <c r="E3237" s="75" t="inlineStr">
        <is>
          <t>KR</t>
        </is>
      </c>
      <c r="F3237" s="75" t="n">
        <v>62201000</v>
      </c>
      <c r="G3237" s="75" t="n">
        <v>1201</v>
      </c>
      <c r="H3237" s="76" t="n">
        <v>163000</v>
      </c>
      <c r="I3237" s="75" t="inlineStr">
        <is>
          <t>5월 통신요금 - O텔레콤</t>
        </is>
      </c>
      <c r="J3237" s="75" t="inlineStr">
        <is>
          <t>V10002</t>
        </is>
      </c>
      <c r="K3237" s="75" t="inlineStr">
        <is>
          <t>O텔레콤</t>
        </is>
      </c>
      <c r="M3237" s="9">
        <f>IF($A3237="","",VALUE($A3237&amp;"")*12+VALUE($B3237&amp;""))</f>
        <v/>
      </c>
      <c r="N3237" s="39">
        <f>IF($A3237="","",IFERROR(INDEX(부서매핑!$C$5:$C$504,MATCH($G3237&amp;"",부서매핑!$A$5:$A$504,0)),"미매핑"))</f>
        <v/>
      </c>
      <c r="O3237" s="9">
        <f>IF($A3237="","",N3237&amp;"|"&amp;$F3237)</f>
        <v/>
      </c>
      <c r="P3237" s="77">
        <f>IF($A3237="",0,$H3237*설정!$C$23)</f>
        <v/>
      </c>
      <c r="Q3237" s="39">
        <f>IF($A3237="","",IF(O3237&lt;&gt;원인분석!$C$9,"",IF(AND(M3237&gt;=원인분석!$C$10,M3237&lt;=원인분석!$C$11),"당기",IF(AND(M3237&gt;=원인분석!$C$12,M3237&lt;=원인분석!$C$13),"비교",""))))</f>
        <v/>
      </c>
      <c r="R3237" s="9">
        <f>IF(Q3237="","",$K3237&amp;"")</f>
        <v/>
      </c>
      <c r="S3237" s="9">
        <f>IF(Q3237="","",IF(MATCH(R3237,$R$5:$R$100000,0)=ROW()-4,ROW(),""))</f>
        <v/>
      </c>
      <c r="T3237" s="9">
        <f>IF(Q3237="당기",ABS(P3237)+ROW()/1000000000,"")</f>
        <v/>
      </c>
      <c r="U3237" s="9">
        <f>IF(Q3237="비교",ABS(P3237)+ROW()/1000000000,"")</f>
        <v/>
      </c>
      <c r="V3237" s="39">
        <f>IF($A3237="","",IF(COUNTIF(변동분석!$E$7:$E$506,O3237)&gt;0,"Y","N"))</f>
        <v/>
      </c>
      <c r="W3237" s="39">
        <f>IF($A3237="","",IFERROR(INDEX(계정매핑!$D$5:$D$504,MATCH($F3237&amp;"",계정매핑!$A$5:$A$504,0)),"미매핑"))</f>
        <v/>
      </c>
      <c r="X3237" s="9">
        <f>IF($A3237="","",$F3237&amp;"")</f>
        <v/>
      </c>
    </row>
    <row r="3238">
      <c r="A3238" s="75" t="n">
        <v>2026</v>
      </c>
      <c r="B3238" s="75" t="n">
        <v>5</v>
      </c>
      <c r="C3238" s="75" t="inlineStr">
        <is>
          <t>5100000894</t>
        </is>
      </c>
      <c r="D3238" s="78" t="n">
        <v>46157</v>
      </c>
      <c r="E3238" s="75" t="inlineStr">
        <is>
          <t>KR</t>
        </is>
      </c>
      <c r="F3238" s="75" t="n">
        <v>62201000</v>
      </c>
      <c r="G3238" s="75" t="n">
        <v>1601</v>
      </c>
      <c r="H3238" s="76" t="n">
        <v>634000</v>
      </c>
      <c r="I3238" s="75" t="inlineStr">
        <is>
          <t>5월 통신요금 - O텔레콤</t>
        </is>
      </c>
      <c r="J3238" s="75" t="inlineStr">
        <is>
          <t>V10002</t>
        </is>
      </c>
      <c r="K3238" s="75" t="inlineStr">
        <is>
          <t>O텔레콤</t>
        </is>
      </c>
      <c r="M3238" s="9">
        <f>IF($A3238="","",VALUE($A3238&amp;"")*12+VALUE($B3238&amp;""))</f>
        <v/>
      </c>
      <c r="N3238" s="39">
        <f>IF($A3238="","",IFERROR(INDEX(부서매핑!$C$5:$C$504,MATCH($G3238&amp;"",부서매핑!$A$5:$A$504,0)),"미매핑"))</f>
        <v/>
      </c>
      <c r="O3238" s="9">
        <f>IF($A3238="","",N3238&amp;"|"&amp;$F3238)</f>
        <v/>
      </c>
      <c r="P3238" s="77">
        <f>IF($A3238="",0,$H3238*설정!$C$23)</f>
        <v/>
      </c>
      <c r="Q3238" s="39">
        <f>IF($A3238="","",IF(O3238&lt;&gt;원인분석!$C$9,"",IF(AND(M3238&gt;=원인분석!$C$10,M3238&lt;=원인분석!$C$11),"당기",IF(AND(M3238&gt;=원인분석!$C$12,M3238&lt;=원인분석!$C$13),"비교",""))))</f>
        <v/>
      </c>
      <c r="R3238" s="9">
        <f>IF(Q3238="","",$K3238&amp;"")</f>
        <v/>
      </c>
      <c r="S3238" s="9">
        <f>IF(Q3238="","",IF(MATCH(R3238,$R$5:$R$100000,0)=ROW()-4,ROW(),""))</f>
        <v/>
      </c>
      <c r="T3238" s="9">
        <f>IF(Q3238="당기",ABS(P3238)+ROW()/1000000000,"")</f>
        <v/>
      </c>
      <c r="U3238" s="9">
        <f>IF(Q3238="비교",ABS(P3238)+ROW()/1000000000,"")</f>
        <v/>
      </c>
      <c r="V3238" s="39">
        <f>IF($A3238="","",IF(COUNTIF(변동분석!$E$7:$E$506,O3238)&gt;0,"Y","N"))</f>
        <v/>
      </c>
      <c r="W3238" s="39">
        <f>IF($A3238="","",IFERROR(INDEX(계정매핑!$D$5:$D$504,MATCH($F3238&amp;"",계정매핑!$A$5:$A$504,0)),"미매핑"))</f>
        <v/>
      </c>
      <c r="X3238" s="9">
        <f>IF($A3238="","",$F3238&amp;"")</f>
        <v/>
      </c>
    </row>
    <row r="3239">
      <c r="A3239" s="75" t="n">
        <v>2026</v>
      </c>
      <c r="B3239" s="75" t="n">
        <v>5</v>
      </c>
      <c r="C3239" s="75" t="inlineStr">
        <is>
          <t>5100000895</t>
        </is>
      </c>
      <c r="D3239" s="78" t="n">
        <v>46157</v>
      </c>
      <c r="E3239" s="75" t="inlineStr">
        <is>
          <t>KR</t>
        </is>
      </c>
      <c r="F3239" s="75" t="n">
        <v>62301000</v>
      </c>
      <c r="G3239" s="75" t="n">
        <v>1701</v>
      </c>
      <c r="H3239" s="76" t="n">
        <v>234000</v>
      </c>
      <c r="I3239" s="75" t="inlineStr">
        <is>
          <t>5월 소모품 구입 - Q오피스</t>
        </is>
      </c>
      <c r="J3239" s="75" t="inlineStr">
        <is>
          <t>V10003</t>
        </is>
      </c>
      <c r="K3239" s="75" t="inlineStr">
        <is>
          <t>Q오피스</t>
        </is>
      </c>
      <c r="M3239" s="9">
        <f>IF($A3239="","",VALUE($A3239&amp;"")*12+VALUE($B3239&amp;""))</f>
        <v/>
      </c>
      <c r="N3239" s="39">
        <f>IF($A3239="","",IFERROR(INDEX(부서매핑!$C$5:$C$504,MATCH($G3239&amp;"",부서매핑!$A$5:$A$504,0)),"미매핑"))</f>
        <v/>
      </c>
      <c r="O3239" s="9">
        <f>IF($A3239="","",N3239&amp;"|"&amp;$F3239)</f>
        <v/>
      </c>
      <c r="P3239" s="77">
        <f>IF($A3239="",0,$H3239*설정!$C$23)</f>
        <v/>
      </c>
      <c r="Q3239" s="39">
        <f>IF($A3239="","",IF(O3239&lt;&gt;원인분석!$C$9,"",IF(AND(M3239&gt;=원인분석!$C$10,M3239&lt;=원인분석!$C$11),"당기",IF(AND(M3239&gt;=원인분석!$C$12,M3239&lt;=원인분석!$C$13),"비교",""))))</f>
        <v/>
      </c>
      <c r="R3239" s="9">
        <f>IF(Q3239="","",$K3239&amp;"")</f>
        <v/>
      </c>
      <c r="S3239" s="9">
        <f>IF(Q3239="","",IF(MATCH(R3239,$R$5:$R$100000,0)=ROW()-4,ROW(),""))</f>
        <v/>
      </c>
      <c r="T3239" s="9">
        <f>IF(Q3239="당기",ABS(P3239)+ROW()/1000000000,"")</f>
        <v/>
      </c>
      <c r="U3239" s="9">
        <f>IF(Q3239="비교",ABS(P3239)+ROW()/1000000000,"")</f>
        <v/>
      </c>
      <c r="V3239" s="39">
        <f>IF($A3239="","",IF(COUNTIF(변동분석!$E$7:$E$506,O3239)&gt;0,"Y","N"))</f>
        <v/>
      </c>
      <c r="W3239" s="39">
        <f>IF($A3239="","",IFERROR(INDEX(계정매핑!$D$5:$D$504,MATCH($F3239&amp;"",계정매핑!$A$5:$A$504,0)),"미매핑"))</f>
        <v/>
      </c>
      <c r="X3239" s="9">
        <f>IF($A3239="","",$F3239&amp;"")</f>
        <v/>
      </c>
    </row>
    <row r="3240">
      <c r="A3240" s="75" t="n">
        <v>2026</v>
      </c>
      <c r="B3240" s="75" t="n">
        <v>5</v>
      </c>
      <c r="C3240" s="75" t="inlineStr">
        <is>
          <t>5100000896</t>
        </is>
      </c>
      <c r="D3240" s="78" t="n">
        <v>46157</v>
      </c>
      <c r="E3240" s="75" t="inlineStr">
        <is>
          <t>KR</t>
        </is>
      </c>
      <c r="F3240" s="75" t="n">
        <v>62301000</v>
      </c>
      <c r="G3240" s="75" t="n">
        <v>1801</v>
      </c>
      <c r="H3240" s="76" t="n">
        <v>319000</v>
      </c>
      <c r="I3240" s="75" t="inlineStr">
        <is>
          <t>5월 소모품 구입 - R문구</t>
        </is>
      </c>
      <c r="J3240" s="75" t="inlineStr">
        <is>
          <t>V10018</t>
        </is>
      </c>
      <c r="K3240" s="75" t="inlineStr">
        <is>
          <t>R문구</t>
        </is>
      </c>
      <c r="M3240" s="9">
        <f>IF($A3240="","",VALUE($A3240&amp;"")*12+VALUE($B3240&amp;""))</f>
        <v/>
      </c>
      <c r="N3240" s="39">
        <f>IF($A3240="","",IFERROR(INDEX(부서매핑!$C$5:$C$504,MATCH($G3240&amp;"",부서매핑!$A$5:$A$504,0)),"미매핑"))</f>
        <v/>
      </c>
      <c r="O3240" s="9">
        <f>IF($A3240="","",N3240&amp;"|"&amp;$F3240)</f>
        <v/>
      </c>
      <c r="P3240" s="77">
        <f>IF($A3240="",0,$H3240*설정!$C$23)</f>
        <v/>
      </c>
      <c r="Q3240" s="39">
        <f>IF($A3240="","",IF(O3240&lt;&gt;원인분석!$C$9,"",IF(AND(M3240&gt;=원인분석!$C$10,M3240&lt;=원인분석!$C$11),"당기",IF(AND(M3240&gt;=원인분석!$C$12,M3240&lt;=원인분석!$C$13),"비교",""))))</f>
        <v/>
      </c>
      <c r="R3240" s="9">
        <f>IF(Q3240="","",$K3240&amp;"")</f>
        <v/>
      </c>
      <c r="S3240" s="9">
        <f>IF(Q3240="","",IF(MATCH(R3240,$R$5:$R$100000,0)=ROW()-4,ROW(),""))</f>
        <v/>
      </c>
      <c r="T3240" s="9">
        <f>IF(Q3240="당기",ABS(P3240)+ROW()/1000000000,"")</f>
        <v/>
      </c>
      <c r="U3240" s="9">
        <f>IF(Q3240="비교",ABS(P3240)+ROW()/1000000000,"")</f>
        <v/>
      </c>
      <c r="V3240" s="39">
        <f>IF($A3240="","",IF(COUNTIF(변동분석!$E$7:$E$506,O3240)&gt;0,"Y","N"))</f>
        <v/>
      </c>
      <c r="W3240" s="39">
        <f>IF($A3240="","",IFERROR(INDEX(계정매핑!$D$5:$D$504,MATCH($F3240&amp;"",계정매핑!$A$5:$A$504,0)),"미매핑"))</f>
        <v/>
      </c>
      <c r="X3240" s="9">
        <f>IF($A3240="","",$F3240&amp;"")</f>
        <v/>
      </c>
    </row>
    <row r="3241">
      <c r="A3241" s="75" t="n">
        <v>2026</v>
      </c>
      <c r="B3241" s="75" t="n">
        <v>5</v>
      </c>
      <c r="C3241" s="75" t="inlineStr">
        <is>
          <t>5100000897</t>
        </is>
      </c>
      <c r="D3241" s="78" t="n">
        <v>46157</v>
      </c>
      <c r="E3241" s="75" t="inlineStr">
        <is>
          <t>KR</t>
        </is>
      </c>
      <c r="F3241" s="75" t="n">
        <v>62401000</v>
      </c>
      <c r="G3241" s="75" t="n">
        <v>1401</v>
      </c>
      <c r="H3241" s="76" t="n">
        <v>244000</v>
      </c>
      <c r="I3241" s="75" t="inlineStr">
        <is>
          <t>5월 인쇄물 제작 - S출판</t>
        </is>
      </c>
      <c r="J3241" s="75" t="inlineStr">
        <is>
          <t>V10012</t>
        </is>
      </c>
      <c r="K3241" s="75" t="inlineStr">
        <is>
          <t>S출판</t>
        </is>
      </c>
      <c r="M3241" s="9">
        <f>IF($A3241="","",VALUE($A3241&amp;"")*12+VALUE($B3241&amp;""))</f>
        <v/>
      </c>
      <c r="N3241" s="39">
        <f>IF($A3241="","",IFERROR(INDEX(부서매핑!$C$5:$C$504,MATCH($G3241&amp;"",부서매핑!$A$5:$A$504,0)),"미매핑"))</f>
        <v/>
      </c>
      <c r="O3241" s="9">
        <f>IF($A3241="","",N3241&amp;"|"&amp;$F3241)</f>
        <v/>
      </c>
      <c r="P3241" s="77">
        <f>IF($A3241="",0,$H3241*설정!$C$23)</f>
        <v/>
      </c>
      <c r="Q3241" s="39">
        <f>IF($A3241="","",IF(O3241&lt;&gt;원인분석!$C$9,"",IF(AND(M3241&gt;=원인분석!$C$10,M3241&lt;=원인분석!$C$11),"당기",IF(AND(M3241&gt;=원인분석!$C$12,M3241&lt;=원인분석!$C$13),"비교",""))))</f>
        <v/>
      </c>
      <c r="R3241" s="9">
        <f>IF(Q3241="","",$K3241&amp;"")</f>
        <v/>
      </c>
      <c r="S3241" s="9">
        <f>IF(Q3241="","",IF(MATCH(R3241,$R$5:$R$100000,0)=ROW()-4,ROW(),""))</f>
        <v/>
      </c>
      <c r="T3241" s="9">
        <f>IF(Q3241="당기",ABS(P3241)+ROW()/1000000000,"")</f>
        <v/>
      </c>
      <c r="U3241" s="9">
        <f>IF(Q3241="비교",ABS(P3241)+ROW()/1000000000,"")</f>
        <v/>
      </c>
      <c r="V3241" s="39">
        <f>IF($A3241="","",IF(COUNTIF(변동분석!$E$7:$E$506,O3241)&gt;0,"Y","N"))</f>
        <v/>
      </c>
      <c r="W3241" s="39">
        <f>IF($A3241="","",IFERROR(INDEX(계정매핑!$D$5:$D$504,MATCH($F3241&amp;"",계정매핑!$A$5:$A$504,0)),"미매핑"))</f>
        <v/>
      </c>
      <c r="X3241" s="9">
        <f>IF($A3241="","",$F3241&amp;"")</f>
        <v/>
      </c>
    </row>
    <row r="3242">
      <c r="A3242" s="75" t="n">
        <v>2026</v>
      </c>
      <c r="B3242" s="75" t="n">
        <v>5</v>
      </c>
      <c r="C3242" s="75" t="inlineStr">
        <is>
          <t>5100000898</t>
        </is>
      </c>
      <c r="D3242" s="78" t="n">
        <v>46157</v>
      </c>
      <c r="E3242" s="75" t="inlineStr">
        <is>
          <t>KR</t>
        </is>
      </c>
      <c r="F3242" s="75" t="n">
        <v>62501000</v>
      </c>
      <c r="G3242" s="75" t="n">
        <v>1701</v>
      </c>
      <c r="H3242" s="76" t="n">
        <v>157000</v>
      </c>
      <c r="I3242" s="75" t="inlineStr">
        <is>
          <t>5월 회의 다과 - (법인카드)</t>
        </is>
      </c>
      <c r="J3242" s="75" t="inlineStr">
        <is>
          <t>V10008</t>
        </is>
      </c>
      <c r="K3242" s="75" t="inlineStr">
        <is>
          <t>(법인카드)</t>
        </is>
      </c>
      <c r="M3242" s="9">
        <f>IF($A3242="","",VALUE($A3242&amp;"")*12+VALUE($B3242&amp;""))</f>
        <v/>
      </c>
      <c r="N3242" s="39">
        <f>IF($A3242="","",IFERROR(INDEX(부서매핑!$C$5:$C$504,MATCH($G3242&amp;"",부서매핑!$A$5:$A$504,0)),"미매핑"))</f>
        <v/>
      </c>
      <c r="O3242" s="9">
        <f>IF($A3242="","",N3242&amp;"|"&amp;$F3242)</f>
        <v/>
      </c>
      <c r="P3242" s="77">
        <f>IF($A3242="",0,$H3242*설정!$C$23)</f>
        <v/>
      </c>
      <c r="Q3242" s="39">
        <f>IF($A3242="","",IF(O3242&lt;&gt;원인분석!$C$9,"",IF(AND(M3242&gt;=원인분석!$C$10,M3242&lt;=원인분석!$C$11),"당기",IF(AND(M3242&gt;=원인분석!$C$12,M3242&lt;=원인분석!$C$13),"비교",""))))</f>
        <v/>
      </c>
      <c r="R3242" s="9">
        <f>IF(Q3242="","",$K3242&amp;"")</f>
        <v/>
      </c>
      <c r="S3242" s="9">
        <f>IF(Q3242="","",IF(MATCH(R3242,$R$5:$R$100000,0)=ROW()-4,ROW(),""))</f>
        <v/>
      </c>
      <c r="T3242" s="9">
        <f>IF(Q3242="당기",ABS(P3242)+ROW()/1000000000,"")</f>
        <v/>
      </c>
      <c r="U3242" s="9">
        <f>IF(Q3242="비교",ABS(P3242)+ROW()/1000000000,"")</f>
        <v/>
      </c>
      <c r="V3242" s="39">
        <f>IF($A3242="","",IF(COUNTIF(변동분석!$E$7:$E$506,O3242)&gt;0,"Y","N"))</f>
        <v/>
      </c>
      <c r="W3242" s="39">
        <f>IF($A3242="","",IFERROR(INDEX(계정매핑!$D$5:$D$504,MATCH($F3242&amp;"",계정매핑!$A$5:$A$504,0)),"미매핑"))</f>
        <v/>
      </c>
      <c r="X3242" s="9">
        <f>IF($A3242="","",$F3242&amp;"")</f>
        <v/>
      </c>
    </row>
    <row r="3243">
      <c r="A3243" s="75" t="n">
        <v>2026</v>
      </c>
      <c r="B3243" s="75" t="n">
        <v>5</v>
      </c>
      <c r="C3243" s="75" t="inlineStr">
        <is>
          <t>5100000899</t>
        </is>
      </c>
      <c r="D3243" s="78" t="n">
        <v>46157</v>
      </c>
      <c r="E3243" s="75" t="inlineStr">
        <is>
          <t>KR</t>
        </is>
      </c>
      <c r="F3243" s="75" t="n">
        <v>62701000</v>
      </c>
      <c r="G3243" s="75" t="n">
        <v>1501</v>
      </c>
      <c r="H3243" s="76" t="n">
        <v>29704000</v>
      </c>
      <c r="I3243" s="75" t="inlineStr">
        <is>
          <t>5월 광고 집행 - E미디어</t>
        </is>
      </c>
      <c r="J3243" s="75" t="inlineStr">
        <is>
          <t>V10027</t>
        </is>
      </c>
      <c r="K3243" s="75" t="inlineStr">
        <is>
          <t>E미디어</t>
        </is>
      </c>
      <c r="M3243" s="9">
        <f>IF($A3243="","",VALUE($A3243&amp;"")*12+VALUE($B3243&amp;""))</f>
        <v/>
      </c>
      <c r="N3243" s="39">
        <f>IF($A3243="","",IFERROR(INDEX(부서매핑!$C$5:$C$504,MATCH($G3243&amp;"",부서매핑!$A$5:$A$504,0)),"미매핑"))</f>
        <v/>
      </c>
      <c r="O3243" s="9">
        <f>IF($A3243="","",N3243&amp;"|"&amp;$F3243)</f>
        <v/>
      </c>
      <c r="P3243" s="77">
        <f>IF($A3243="",0,$H3243*설정!$C$23)</f>
        <v/>
      </c>
      <c r="Q3243" s="39">
        <f>IF($A3243="","",IF(O3243&lt;&gt;원인분석!$C$9,"",IF(AND(M3243&gt;=원인분석!$C$10,M3243&lt;=원인분석!$C$11),"당기",IF(AND(M3243&gt;=원인분석!$C$12,M3243&lt;=원인분석!$C$13),"비교",""))))</f>
        <v/>
      </c>
      <c r="R3243" s="9">
        <f>IF(Q3243="","",$K3243&amp;"")</f>
        <v/>
      </c>
      <c r="S3243" s="9">
        <f>IF(Q3243="","",IF(MATCH(R3243,$R$5:$R$100000,0)=ROW()-4,ROW(),""))</f>
        <v/>
      </c>
      <c r="T3243" s="9">
        <f>IF(Q3243="당기",ABS(P3243)+ROW()/1000000000,"")</f>
        <v/>
      </c>
      <c r="U3243" s="9">
        <f>IF(Q3243="비교",ABS(P3243)+ROW()/1000000000,"")</f>
        <v/>
      </c>
      <c r="V3243" s="39">
        <f>IF($A3243="","",IF(COUNTIF(변동분석!$E$7:$E$506,O3243)&gt;0,"Y","N"))</f>
        <v/>
      </c>
      <c r="W3243" s="39">
        <f>IF($A3243="","",IFERROR(INDEX(계정매핑!$D$5:$D$504,MATCH($F3243&amp;"",계정매핑!$A$5:$A$504,0)),"미매핑"))</f>
        <v/>
      </c>
      <c r="X3243" s="9">
        <f>IF($A3243="","",$F3243&amp;"")</f>
        <v/>
      </c>
    </row>
    <row r="3244">
      <c r="A3244" s="75" t="n">
        <v>2026</v>
      </c>
      <c r="B3244" s="75" t="n">
        <v>5</v>
      </c>
      <c r="C3244" s="75" t="inlineStr">
        <is>
          <t>5100000900</t>
        </is>
      </c>
      <c r="D3244" s="78" t="n">
        <v>46157</v>
      </c>
      <c r="E3244" s="75" t="inlineStr">
        <is>
          <t>KR</t>
        </is>
      </c>
      <c r="F3244" s="75" t="n">
        <v>62902000</v>
      </c>
      <c r="G3244" s="75" t="n">
        <v>1101</v>
      </c>
      <c r="H3244" s="76" t="n">
        <v>2024000</v>
      </c>
      <c r="I3244" s="75" t="inlineStr">
        <is>
          <t>5월 업무 위탁 수수료 - J콜센터</t>
        </is>
      </c>
      <c r="J3244" s="75" t="inlineStr">
        <is>
          <t>V10013</t>
        </is>
      </c>
      <c r="K3244" s="75" t="inlineStr">
        <is>
          <t>J콜센터</t>
        </is>
      </c>
      <c r="M3244" s="9">
        <f>IF($A3244="","",VALUE($A3244&amp;"")*12+VALUE($B3244&amp;""))</f>
        <v/>
      </c>
      <c r="N3244" s="39">
        <f>IF($A3244="","",IFERROR(INDEX(부서매핑!$C$5:$C$504,MATCH($G3244&amp;"",부서매핑!$A$5:$A$504,0)),"미매핑"))</f>
        <v/>
      </c>
      <c r="O3244" s="9">
        <f>IF($A3244="","",N3244&amp;"|"&amp;$F3244)</f>
        <v/>
      </c>
      <c r="P3244" s="77">
        <f>IF($A3244="",0,$H3244*설정!$C$23)</f>
        <v/>
      </c>
      <c r="Q3244" s="39">
        <f>IF($A3244="","",IF(O3244&lt;&gt;원인분석!$C$9,"",IF(AND(M3244&gt;=원인분석!$C$10,M3244&lt;=원인분석!$C$11),"당기",IF(AND(M3244&gt;=원인분석!$C$12,M3244&lt;=원인분석!$C$13),"비교",""))))</f>
        <v/>
      </c>
      <c r="R3244" s="9">
        <f>IF(Q3244="","",$K3244&amp;"")</f>
        <v/>
      </c>
      <c r="S3244" s="9">
        <f>IF(Q3244="","",IF(MATCH(R3244,$R$5:$R$100000,0)=ROW()-4,ROW(),""))</f>
        <v/>
      </c>
      <c r="T3244" s="9">
        <f>IF(Q3244="당기",ABS(P3244)+ROW()/1000000000,"")</f>
        <v/>
      </c>
      <c r="U3244" s="9">
        <f>IF(Q3244="비교",ABS(P3244)+ROW()/1000000000,"")</f>
        <v/>
      </c>
      <c r="V3244" s="39">
        <f>IF($A3244="","",IF(COUNTIF(변동분석!$E$7:$E$506,O3244)&gt;0,"Y","N"))</f>
        <v/>
      </c>
      <c r="W3244" s="39">
        <f>IF($A3244="","",IFERROR(INDEX(계정매핑!$D$5:$D$504,MATCH($F3244&amp;"",계정매핑!$A$5:$A$504,0)),"미매핑"))</f>
        <v/>
      </c>
      <c r="X3244" s="9">
        <f>IF($A3244="","",$F3244&amp;"")</f>
        <v/>
      </c>
    </row>
    <row r="3245">
      <c r="A3245" s="75" t="n">
        <v>2026</v>
      </c>
      <c r="B3245" s="75" t="n">
        <v>5</v>
      </c>
      <c r="C3245" s="75" t="inlineStr">
        <is>
          <t>5100000901</t>
        </is>
      </c>
      <c r="D3245" s="78" t="n">
        <v>46158</v>
      </c>
      <c r="E3245" s="75" t="inlineStr">
        <is>
          <t>KR</t>
        </is>
      </c>
      <c r="F3245" s="75" t="n">
        <v>62101000</v>
      </c>
      <c r="G3245" s="75" t="n">
        <v>1101</v>
      </c>
      <c r="H3245" s="76" t="n">
        <v>298000</v>
      </c>
      <c r="I3245" s="75" t="inlineStr">
        <is>
          <t>5월 국내출장 - (법인카드)</t>
        </is>
      </c>
      <c r="J3245" s="75" t="inlineStr">
        <is>
          <t>V10008</t>
        </is>
      </c>
      <c r="K3245" s="75" t="inlineStr">
        <is>
          <t>(법인카드)</t>
        </is>
      </c>
      <c r="M3245" s="9">
        <f>IF($A3245="","",VALUE($A3245&amp;"")*12+VALUE($B3245&amp;""))</f>
        <v/>
      </c>
      <c r="N3245" s="39">
        <f>IF($A3245="","",IFERROR(INDEX(부서매핑!$C$5:$C$504,MATCH($G3245&amp;"",부서매핑!$A$5:$A$504,0)),"미매핑"))</f>
        <v/>
      </c>
      <c r="O3245" s="9">
        <f>IF($A3245="","",N3245&amp;"|"&amp;$F3245)</f>
        <v/>
      </c>
      <c r="P3245" s="77">
        <f>IF($A3245="",0,$H3245*설정!$C$23)</f>
        <v/>
      </c>
      <c r="Q3245" s="39">
        <f>IF($A3245="","",IF(O3245&lt;&gt;원인분석!$C$9,"",IF(AND(M3245&gt;=원인분석!$C$10,M3245&lt;=원인분석!$C$11),"당기",IF(AND(M3245&gt;=원인분석!$C$12,M3245&lt;=원인분석!$C$13),"비교",""))))</f>
        <v/>
      </c>
      <c r="R3245" s="9">
        <f>IF(Q3245="","",$K3245&amp;"")</f>
        <v/>
      </c>
      <c r="S3245" s="9">
        <f>IF(Q3245="","",IF(MATCH(R3245,$R$5:$R$100000,0)=ROW()-4,ROW(),""))</f>
        <v/>
      </c>
      <c r="T3245" s="9">
        <f>IF(Q3245="당기",ABS(P3245)+ROW()/1000000000,"")</f>
        <v/>
      </c>
      <c r="U3245" s="9">
        <f>IF(Q3245="비교",ABS(P3245)+ROW()/1000000000,"")</f>
        <v/>
      </c>
      <c r="V3245" s="39">
        <f>IF($A3245="","",IF(COUNTIF(변동분석!$E$7:$E$506,O3245)&gt;0,"Y","N"))</f>
        <v/>
      </c>
      <c r="W3245" s="39">
        <f>IF($A3245="","",IFERROR(INDEX(계정매핑!$D$5:$D$504,MATCH($F3245&amp;"",계정매핑!$A$5:$A$504,0)),"미매핑"))</f>
        <v/>
      </c>
      <c r="X3245" s="9">
        <f>IF($A3245="","",$F3245&amp;"")</f>
        <v/>
      </c>
    </row>
    <row r="3246">
      <c r="A3246" s="75" t="n">
        <v>2026</v>
      </c>
      <c r="B3246" s="75" t="n">
        <v>5</v>
      </c>
      <c r="C3246" s="75" t="inlineStr">
        <is>
          <t>5100000902</t>
        </is>
      </c>
      <c r="D3246" s="78" t="n">
        <v>46158</v>
      </c>
      <c r="E3246" s="75" t="inlineStr">
        <is>
          <t>KR</t>
        </is>
      </c>
      <c r="F3246" s="75" t="n">
        <v>62101000</v>
      </c>
      <c r="G3246" s="75" t="n">
        <v>1301</v>
      </c>
      <c r="H3246" s="76" t="n">
        <v>444000</v>
      </c>
      <c r="I3246" s="75" t="inlineStr">
        <is>
          <t>5월 국내출장 - M항공</t>
        </is>
      </c>
      <c r="J3246" s="75" t="inlineStr">
        <is>
          <t>V10001</t>
        </is>
      </c>
      <c r="K3246" s="75" t="inlineStr">
        <is>
          <t>M항공</t>
        </is>
      </c>
      <c r="M3246" s="9">
        <f>IF($A3246="","",VALUE($A3246&amp;"")*12+VALUE($B3246&amp;""))</f>
        <v/>
      </c>
      <c r="N3246" s="39">
        <f>IF($A3246="","",IFERROR(INDEX(부서매핑!$C$5:$C$504,MATCH($G3246&amp;"",부서매핑!$A$5:$A$504,0)),"미매핑"))</f>
        <v/>
      </c>
      <c r="O3246" s="9">
        <f>IF($A3246="","",N3246&amp;"|"&amp;$F3246)</f>
        <v/>
      </c>
      <c r="P3246" s="77">
        <f>IF($A3246="",0,$H3246*설정!$C$23)</f>
        <v/>
      </c>
      <c r="Q3246" s="39">
        <f>IF($A3246="","",IF(O3246&lt;&gt;원인분석!$C$9,"",IF(AND(M3246&gt;=원인분석!$C$10,M3246&lt;=원인분석!$C$11),"당기",IF(AND(M3246&gt;=원인분석!$C$12,M3246&lt;=원인분석!$C$13),"비교",""))))</f>
        <v/>
      </c>
      <c r="R3246" s="9">
        <f>IF(Q3246="","",$K3246&amp;"")</f>
        <v/>
      </c>
      <c r="S3246" s="9">
        <f>IF(Q3246="","",IF(MATCH(R3246,$R$5:$R$100000,0)=ROW()-4,ROW(),""))</f>
        <v/>
      </c>
      <c r="T3246" s="9">
        <f>IF(Q3246="당기",ABS(P3246)+ROW()/1000000000,"")</f>
        <v/>
      </c>
      <c r="U3246" s="9">
        <f>IF(Q3246="비교",ABS(P3246)+ROW()/1000000000,"")</f>
        <v/>
      </c>
      <c r="V3246" s="39">
        <f>IF($A3246="","",IF(COUNTIF(변동분석!$E$7:$E$506,O3246)&gt;0,"Y","N"))</f>
        <v/>
      </c>
      <c r="W3246" s="39">
        <f>IF($A3246="","",IFERROR(INDEX(계정매핑!$D$5:$D$504,MATCH($F3246&amp;"",계정매핑!$A$5:$A$504,0)),"미매핑"))</f>
        <v/>
      </c>
      <c r="X3246" s="9">
        <f>IF($A3246="","",$F3246&amp;"")</f>
        <v/>
      </c>
    </row>
    <row r="3247">
      <c r="A3247" s="75" t="n">
        <v>2026</v>
      </c>
      <c r="B3247" s="75" t="n">
        <v>5</v>
      </c>
      <c r="C3247" s="75" t="inlineStr">
        <is>
          <t>5100000903</t>
        </is>
      </c>
      <c r="D3247" s="78" t="n">
        <v>46158</v>
      </c>
      <c r="E3247" s="75" t="inlineStr">
        <is>
          <t>KR</t>
        </is>
      </c>
      <c r="F3247" s="75" t="n">
        <v>62101000</v>
      </c>
      <c r="G3247" s="75" t="n">
        <v>1801</v>
      </c>
      <c r="H3247" s="76" t="n">
        <v>156000</v>
      </c>
      <c r="I3247" s="75" t="inlineStr">
        <is>
          <t>5월 국내출장 - M항공</t>
        </is>
      </c>
      <c r="J3247" s="75" t="inlineStr">
        <is>
          <t>V10001</t>
        </is>
      </c>
      <c r="K3247" s="75" t="inlineStr">
        <is>
          <t>M항공</t>
        </is>
      </c>
      <c r="M3247" s="9">
        <f>IF($A3247="","",VALUE($A3247&amp;"")*12+VALUE($B3247&amp;""))</f>
        <v/>
      </c>
      <c r="N3247" s="39">
        <f>IF($A3247="","",IFERROR(INDEX(부서매핑!$C$5:$C$504,MATCH($G3247&amp;"",부서매핑!$A$5:$A$504,0)),"미매핑"))</f>
        <v/>
      </c>
      <c r="O3247" s="9">
        <f>IF($A3247="","",N3247&amp;"|"&amp;$F3247)</f>
        <v/>
      </c>
      <c r="P3247" s="77">
        <f>IF($A3247="",0,$H3247*설정!$C$23)</f>
        <v/>
      </c>
      <c r="Q3247" s="39">
        <f>IF($A3247="","",IF(O3247&lt;&gt;원인분석!$C$9,"",IF(AND(M3247&gt;=원인분석!$C$10,M3247&lt;=원인분석!$C$11),"당기",IF(AND(M3247&gt;=원인분석!$C$12,M3247&lt;=원인분석!$C$13),"비교",""))))</f>
        <v/>
      </c>
      <c r="R3247" s="9">
        <f>IF(Q3247="","",$K3247&amp;"")</f>
        <v/>
      </c>
      <c r="S3247" s="9">
        <f>IF(Q3247="","",IF(MATCH(R3247,$R$5:$R$100000,0)=ROW()-4,ROW(),""))</f>
        <v/>
      </c>
      <c r="T3247" s="9">
        <f>IF(Q3247="당기",ABS(P3247)+ROW()/1000000000,"")</f>
        <v/>
      </c>
      <c r="U3247" s="9">
        <f>IF(Q3247="비교",ABS(P3247)+ROW()/1000000000,"")</f>
        <v/>
      </c>
      <c r="V3247" s="39">
        <f>IF($A3247="","",IF(COUNTIF(변동분석!$E$7:$E$506,O3247)&gt;0,"Y","N"))</f>
        <v/>
      </c>
      <c r="W3247" s="39">
        <f>IF($A3247="","",IFERROR(INDEX(계정매핑!$D$5:$D$504,MATCH($F3247&amp;"",계정매핑!$A$5:$A$504,0)),"미매핑"))</f>
        <v/>
      </c>
      <c r="X3247" s="9">
        <f>IF($A3247="","",$F3247&amp;"")</f>
        <v/>
      </c>
    </row>
    <row r="3248">
      <c r="A3248" s="75" t="n">
        <v>2026</v>
      </c>
      <c r="B3248" s="75" t="n">
        <v>5</v>
      </c>
      <c r="C3248" s="75" t="inlineStr">
        <is>
          <t>5100000904</t>
        </is>
      </c>
      <c r="D3248" s="78" t="n">
        <v>46158</v>
      </c>
      <c r="E3248" s="75" t="inlineStr">
        <is>
          <t>KR</t>
        </is>
      </c>
      <c r="F3248" s="75" t="n">
        <v>62201000</v>
      </c>
      <c r="G3248" s="75" t="n">
        <v>1801</v>
      </c>
      <c r="H3248" s="76" t="n">
        <v>9588000</v>
      </c>
      <c r="I3248" s="75" t="inlineStr">
        <is>
          <t>5월 통신요금 - O텔레콤</t>
        </is>
      </c>
      <c r="J3248" s="75" t="inlineStr">
        <is>
          <t>V10002</t>
        </is>
      </c>
      <c r="K3248" s="75" t="inlineStr">
        <is>
          <t>O텔레콤</t>
        </is>
      </c>
      <c r="M3248" s="9">
        <f>IF($A3248="","",VALUE($A3248&amp;"")*12+VALUE($B3248&amp;""))</f>
        <v/>
      </c>
      <c r="N3248" s="39">
        <f>IF($A3248="","",IFERROR(INDEX(부서매핑!$C$5:$C$504,MATCH($G3248&amp;"",부서매핑!$A$5:$A$504,0)),"미매핑"))</f>
        <v/>
      </c>
      <c r="O3248" s="9">
        <f>IF($A3248="","",N3248&amp;"|"&amp;$F3248)</f>
        <v/>
      </c>
      <c r="P3248" s="77">
        <f>IF($A3248="",0,$H3248*설정!$C$23)</f>
        <v/>
      </c>
      <c r="Q3248" s="39">
        <f>IF($A3248="","",IF(O3248&lt;&gt;원인분석!$C$9,"",IF(AND(M3248&gt;=원인분석!$C$10,M3248&lt;=원인분석!$C$11),"당기",IF(AND(M3248&gt;=원인분석!$C$12,M3248&lt;=원인분석!$C$13),"비교",""))))</f>
        <v/>
      </c>
      <c r="R3248" s="9">
        <f>IF(Q3248="","",$K3248&amp;"")</f>
        <v/>
      </c>
      <c r="S3248" s="9">
        <f>IF(Q3248="","",IF(MATCH(R3248,$R$5:$R$100000,0)=ROW()-4,ROW(),""))</f>
        <v/>
      </c>
      <c r="T3248" s="9">
        <f>IF(Q3248="당기",ABS(P3248)+ROW()/1000000000,"")</f>
        <v/>
      </c>
      <c r="U3248" s="9">
        <f>IF(Q3248="비교",ABS(P3248)+ROW()/1000000000,"")</f>
        <v/>
      </c>
      <c r="V3248" s="39">
        <f>IF($A3248="","",IF(COUNTIF(변동분석!$E$7:$E$506,O3248)&gt;0,"Y","N"))</f>
        <v/>
      </c>
      <c r="W3248" s="39">
        <f>IF($A3248="","",IFERROR(INDEX(계정매핑!$D$5:$D$504,MATCH($F3248&amp;"",계정매핑!$A$5:$A$504,0)),"미매핑"))</f>
        <v/>
      </c>
      <c r="X3248" s="9">
        <f>IF($A3248="","",$F3248&amp;"")</f>
        <v/>
      </c>
    </row>
    <row r="3249">
      <c r="A3249" s="75" t="n">
        <v>2026</v>
      </c>
      <c r="B3249" s="75" t="n">
        <v>5</v>
      </c>
      <c r="C3249" s="75" t="inlineStr">
        <is>
          <t>5100000905</t>
        </is>
      </c>
      <c r="D3249" s="78" t="n">
        <v>46158</v>
      </c>
      <c r="E3249" s="75" t="inlineStr">
        <is>
          <t>KR</t>
        </is>
      </c>
      <c r="F3249" s="75" t="n">
        <v>62501000</v>
      </c>
      <c r="G3249" s="75" t="n">
        <v>1602</v>
      </c>
      <c r="H3249" s="76" t="n">
        <v>517000</v>
      </c>
      <c r="I3249" s="75" t="inlineStr">
        <is>
          <t>5월 회의 다과 - T케이터링</t>
        </is>
      </c>
      <c r="J3249" s="75" t="inlineStr">
        <is>
          <t>V10005</t>
        </is>
      </c>
      <c r="K3249" s="75" t="inlineStr">
        <is>
          <t>T케이터링</t>
        </is>
      </c>
      <c r="M3249" s="9">
        <f>IF($A3249="","",VALUE($A3249&amp;"")*12+VALUE($B3249&amp;""))</f>
        <v/>
      </c>
      <c r="N3249" s="39">
        <f>IF($A3249="","",IFERROR(INDEX(부서매핑!$C$5:$C$504,MATCH($G3249&amp;"",부서매핑!$A$5:$A$504,0)),"미매핑"))</f>
        <v/>
      </c>
      <c r="O3249" s="9">
        <f>IF($A3249="","",N3249&amp;"|"&amp;$F3249)</f>
        <v/>
      </c>
      <c r="P3249" s="77">
        <f>IF($A3249="",0,$H3249*설정!$C$23)</f>
        <v/>
      </c>
      <c r="Q3249" s="39">
        <f>IF($A3249="","",IF(O3249&lt;&gt;원인분석!$C$9,"",IF(AND(M3249&gt;=원인분석!$C$10,M3249&lt;=원인분석!$C$11),"당기",IF(AND(M3249&gt;=원인분석!$C$12,M3249&lt;=원인분석!$C$13),"비교",""))))</f>
        <v/>
      </c>
      <c r="R3249" s="9">
        <f>IF(Q3249="","",$K3249&amp;"")</f>
        <v/>
      </c>
      <c r="S3249" s="9">
        <f>IF(Q3249="","",IF(MATCH(R3249,$R$5:$R$100000,0)=ROW()-4,ROW(),""))</f>
        <v/>
      </c>
      <c r="T3249" s="9">
        <f>IF(Q3249="당기",ABS(P3249)+ROW()/1000000000,"")</f>
        <v/>
      </c>
      <c r="U3249" s="9">
        <f>IF(Q3249="비교",ABS(P3249)+ROW()/1000000000,"")</f>
        <v/>
      </c>
      <c r="V3249" s="39">
        <f>IF($A3249="","",IF(COUNTIF(변동분석!$E$7:$E$506,O3249)&gt;0,"Y","N"))</f>
        <v/>
      </c>
      <c r="W3249" s="39">
        <f>IF($A3249="","",IFERROR(INDEX(계정매핑!$D$5:$D$504,MATCH($F3249&amp;"",계정매핑!$A$5:$A$504,0)),"미매핑"))</f>
        <v/>
      </c>
      <c r="X3249" s="9">
        <f>IF($A3249="","",$F3249&amp;"")</f>
        <v/>
      </c>
    </row>
    <row r="3250">
      <c r="A3250" s="75" t="n">
        <v>2026</v>
      </c>
      <c r="B3250" s="75" t="n">
        <v>5</v>
      </c>
      <c r="C3250" s="75" t="inlineStr">
        <is>
          <t>5100000906</t>
        </is>
      </c>
      <c r="D3250" s="78" t="n">
        <v>46158</v>
      </c>
      <c r="E3250" s="75" t="inlineStr">
        <is>
          <t>KR</t>
        </is>
      </c>
      <c r="F3250" s="75" t="n">
        <v>62601000</v>
      </c>
      <c r="G3250" s="75" t="n">
        <v>1501</v>
      </c>
      <c r="H3250" s="76" t="n">
        <v>1720000</v>
      </c>
      <c r="I3250" s="75" t="inlineStr">
        <is>
          <t>5월 업무추진 - (법인카드)</t>
        </is>
      </c>
      <c r="J3250" s="75" t="inlineStr">
        <is>
          <t>V10008</t>
        </is>
      </c>
      <c r="K3250" s="75" t="inlineStr">
        <is>
          <t>(법인카드)</t>
        </is>
      </c>
      <c r="M3250" s="9">
        <f>IF($A3250="","",VALUE($A3250&amp;"")*12+VALUE($B3250&amp;""))</f>
        <v/>
      </c>
      <c r="N3250" s="39">
        <f>IF($A3250="","",IFERROR(INDEX(부서매핑!$C$5:$C$504,MATCH($G3250&amp;"",부서매핑!$A$5:$A$504,0)),"미매핑"))</f>
        <v/>
      </c>
      <c r="O3250" s="9">
        <f>IF($A3250="","",N3250&amp;"|"&amp;$F3250)</f>
        <v/>
      </c>
      <c r="P3250" s="77">
        <f>IF($A3250="",0,$H3250*설정!$C$23)</f>
        <v/>
      </c>
      <c r="Q3250" s="39">
        <f>IF($A3250="","",IF(O3250&lt;&gt;원인분석!$C$9,"",IF(AND(M3250&gt;=원인분석!$C$10,M3250&lt;=원인분석!$C$11),"당기",IF(AND(M3250&gt;=원인분석!$C$12,M3250&lt;=원인분석!$C$13),"비교",""))))</f>
        <v/>
      </c>
      <c r="R3250" s="9">
        <f>IF(Q3250="","",$K3250&amp;"")</f>
        <v/>
      </c>
      <c r="S3250" s="9">
        <f>IF(Q3250="","",IF(MATCH(R3250,$R$5:$R$100000,0)=ROW()-4,ROW(),""))</f>
        <v/>
      </c>
      <c r="T3250" s="9">
        <f>IF(Q3250="당기",ABS(P3250)+ROW()/1000000000,"")</f>
        <v/>
      </c>
      <c r="U3250" s="9">
        <f>IF(Q3250="비교",ABS(P3250)+ROW()/1000000000,"")</f>
        <v/>
      </c>
      <c r="V3250" s="39">
        <f>IF($A3250="","",IF(COUNTIF(변동분석!$E$7:$E$506,O3250)&gt;0,"Y","N"))</f>
        <v/>
      </c>
      <c r="W3250" s="39">
        <f>IF($A3250="","",IFERROR(INDEX(계정매핑!$D$5:$D$504,MATCH($F3250&amp;"",계정매핑!$A$5:$A$504,0)),"미매핑"))</f>
        <v/>
      </c>
      <c r="X3250" s="9">
        <f>IF($A3250="","",$F3250&amp;"")</f>
        <v/>
      </c>
    </row>
    <row r="3251">
      <c r="A3251" s="75" t="n">
        <v>2026</v>
      </c>
      <c r="B3251" s="75" t="n">
        <v>5</v>
      </c>
      <c r="C3251" s="75" t="inlineStr">
        <is>
          <t>5100000907</t>
        </is>
      </c>
      <c r="D3251" s="78" t="n">
        <v>46158</v>
      </c>
      <c r="E3251" s="75" t="inlineStr">
        <is>
          <t>KR</t>
        </is>
      </c>
      <c r="F3251" s="75" t="n">
        <v>62802000</v>
      </c>
      <c r="G3251" s="75" t="n">
        <v>1301</v>
      </c>
      <c r="H3251" s="76" t="n">
        <v>3054000</v>
      </c>
      <c r="I3251" s="75" t="inlineStr">
        <is>
          <t>5월 위탁교육 - V아카데미</t>
        </is>
      </c>
      <c r="J3251" s="75" t="inlineStr">
        <is>
          <t>V10023</t>
        </is>
      </c>
      <c r="K3251" s="75" t="inlineStr">
        <is>
          <t>V아카데미</t>
        </is>
      </c>
      <c r="M3251" s="9">
        <f>IF($A3251="","",VALUE($A3251&amp;"")*12+VALUE($B3251&amp;""))</f>
        <v/>
      </c>
      <c r="N3251" s="39">
        <f>IF($A3251="","",IFERROR(INDEX(부서매핑!$C$5:$C$504,MATCH($G3251&amp;"",부서매핑!$A$5:$A$504,0)),"미매핑"))</f>
        <v/>
      </c>
      <c r="O3251" s="9">
        <f>IF($A3251="","",N3251&amp;"|"&amp;$F3251)</f>
        <v/>
      </c>
      <c r="P3251" s="77">
        <f>IF($A3251="",0,$H3251*설정!$C$23)</f>
        <v/>
      </c>
      <c r="Q3251" s="39">
        <f>IF($A3251="","",IF(O3251&lt;&gt;원인분석!$C$9,"",IF(AND(M3251&gt;=원인분석!$C$10,M3251&lt;=원인분석!$C$11),"당기",IF(AND(M3251&gt;=원인분석!$C$12,M3251&lt;=원인분석!$C$13),"비교",""))))</f>
        <v/>
      </c>
      <c r="R3251" s="9">
        <f>IF(Q3251="","",$K3251&amp;"")</f>
        <v/>
      </c>
      <c r="S3251" s="9">
        <f>IF(Q3251="","",IF(MATCH(R3251,$R$5:$R$100000,0)=ROW()-4,ROW(),""))</f>
        <v/>
      </c>
      <c r="T3251" s="9">
        <f>IF(Q3251="당기",ABS(P3251)+ROW()/1000000000,"")</f>
        <v/>
      </c>
      <c r="U3251" s="9">
        <f>IF(Q3251="비교",ABS(P3251)+ROW()/1000000000,"")</f>
        <v/>
      </c>
      <c r="V3251" s="39">
        <f>IF($A3251="","",IF(COUNTIF(변동분석!$E$7:$E$506,O3251)&gt;0,"Y","N"))</f>
        <v/>
      </c>
      <c r="W3251" s="39">
        <f>IF($A3251="","",IFERROR(INDEX(계정매핑!$D$5:$D$504,MATCH($F3251&amp;"",계정매핑!$A$5:$A$504,0)),"미매핑"))</f>
        <v/>
      </c>
      <c r="X3251" s="9">
        <f>IF($A3251="","",$F3251&amp;"")</f>
        <v/>
      </c>
    </row>
    <row r="3252">
      <c r="A3252" s="75" t="n">
        <v>2026</v>
      </c>
      <c r="B3252" s="75" t="n">
        <v>5</v>
      </c>
      <c r="C3252" s="75" t="inlineStr">
        <is>
          <t>5100000908</t>
        </is>
      </c>
      <c r="D3252" s="78" t="n">
        <v>46158</v>
      </c>
      <c r="E3252" s="75" t="inlineStr">
        <is>
          <t>KR</t>
        </is>
      </c>
      <c r="F3252" s="75" t="n">
        <v>62901000</v>
      </c>
      <c r="G3252" s="75" t="n">
        <v>1401</v>
      </c>
      <c r="H3252" s="76" t="n">
        <v>6707000</v>
      </c>
      <c r="I3252" s="75" t="inlineStr">
        <is>
          <t>5월 자문 수수료 - W컨설팅</t>
        </is>
      </c>
      <c r="J3252" s="75" t="inlineStr">
        <is>
          <t>V10009</t>
        </is>
      </c>
      <c r="K3252" s="75" t="inlineStr">
        <is>
          <t>W컨설팅</t>
        </is>
      </c>
      <c r="M3252" s="9">
        <f>IF($A3252="","",VALUE($A3252&amp;"")*12+VALUE($B3252&amp;""))</f>
        <v/>
      </c>
      <c r="N3252" s="39">
        <f>IF($A3252="","",IFERROR(INDEX(부서매핑!$C$5:$C$504,MATCH($G3252&amp;"",부서매핑!$A$5:$A$504,0)),"미매핑"))</f>
        <v/>
      </c>
      <c r="O3252" s="9">
        <f>IF($A3252="","",N3252&amp;"|"&amp;$F3252)</f>
        <v/>
      </c>
      <c r="P3252" s="77">
        <f>IF($A3252="",0,$H3252*설정!$C$23)</f>
        <v/>
      </c>
      <c r="Q3252" s="39">
        <f>IF($A3252="","",IF(O3252&lt;&gt;원인분석!$C$9,"",IF(AND(M3252&gt;=원인분석!$C$10,M3252&lt;=원인분석!$C$11),"당기",IF(AND(M3252&gt;=원인분석!$C$12,M3252&lt;=원인분석!$C$13),"비교",""))))</f>
        <v/>
      </c>
      <c r="R3252" s="9">
        <f>IF(Q3252="","",$K3252&amp;"")</f>
        <v/>
      </c>
      <c r="S3252" s="9">
        <f>IF(Q3252="","",IF(MATCH(R3252,$R$5:$R$100000,0)=ROW()-4,ROW(),""))</f>
        <v/>
      </c>
      <c r="T3252" s="9">
        <f>IF(Q3252="당기",ABS(P3252)+ROW()/1000000000,"")</f>
        <v/>
      </c>
      <c r="U3252" s="9">
        <f>IF(Q3252="비교",ABS(P3252)+ROW()/1000000000,"")</f>
        <v/>
      </c>
      <c r="V3252" s="39">
        <f>IF($A3252="","",IF(COUNTIF(변동분석!$E$7:$E$506,O3252)&gt;0,"Y","N"))</f>
        <v/>
      </c>
      <c r="W3252" s="39">
        <f>IF($A3252="","",IFERROR(INDEX(계정매핑!$D$5:$D$504,MATCH($F3252&amp;"",계정매핑!$A$5:$A$504,0)),"미매핑"))</f>
        <v/>
      </c>
      <c r="X3252" s="9">
        <f>IF($A3252="","",$F3252&amp;"")</f>
        <v/>
      </c>
    </row>
    <row r="3253">
      <c r="A3253" s="75" t="n">
        <v>2026</v>
      </c>
      <c r="B3253" s="75" t="n">
        <v>5</v>
      </c>
      <c r="C3253" s="75" t="inlineStr">
        <is>
          <t>5100000909</t>
        </is>
      </c>
      <c r="D3253" s="78" t="n">
        <v>46159</v>
      </c>
      <c r="E3253" s="75" t="inlineStr">
        <is>
          <t>KR</t>
        </is>
      </c>
      <c r="F3253" s="75" t="n">
        <v>62101000</v>
      </c>
      <c r="G3253" s="75" t="n">
        <v>1602</v>
      </c>
      <c r="H3253" s="76" t="n">
        <v>900000</v>
      </c>
      <c r="I3253" s="75" t="inlineStr">
        <is>
          <t>5월 국내출장 - (법인카드)</t>
        </is>
      </c>
      <c r="J3253" s="75" t="inlineStr">
        <is>
          <t>V10008</t>
        </is>
      </c>
      <c r="K3253" s="75" t="inlineStr">
        <is>
          <t>(법인카드)</t>
        </is>
      </c>
      <c r="M3253" s="9">
        <f>IF($A3253="","",VALUE($A3253&amp;"")*12+VALUE($B3253&amp;""))</f>
        <v/>
      </c>
      <c r="N3253" s="39">
        <f>IF($A3253="","",IFERROR(INDEX(부서매핑!$C$5:$C$504,MATCH($G3253&amp;"",부서매핑!$A$5:$A$504,0)),"미매핑"))</f>
        <v/>
      </c>
      <c r="O3253" s="9">
        <f>IF($A3253="","",N3253&amp;"|"&amp;$F3253)</f>
        <v/>
      </c>
      <c r="P3253" s="77">
        <f>IF($A3253="",0,$H3253*설정!$C$23)</f>
        <v/>
      </c>
      <c r="Q3253" s="39">
        <f>IF($A3253="","",IF(O3253&lt;&gt;원인분석!$C$9,"",IF(AND(M3253&gt;=원인분석!$C$10,M3253&lt;=원인분석!$C$11),"당기",IF(AND(M3253&gt;=원인분석!$C$12,M3253&lt;=원인분석!$C$13),"비교",""))))</f>
        <v/>
      </c>
      <c r="R3253" s="9">
        <f>IF(Q3253="","",$K3253&amp;"")</f>
        <v/>
      </c>
      <c r="S3253" s="9">
        <f>IF(Q3253="","",IF(MATCH(R3253,$R$5:$R$100000,0)=ROW()-4,ROW(),""))</f>
        <v/>
      </c>
      <c r="T3253" s="9">
        <f>IF(Q3253="당기",ABS(P3253)+ROW()/1000000000,"")</f>
        <v/>
      </c>
      <c r="U3253" s="9">
        <f>IF(Q3253="비교",ABS(P3253)+ROW()/1000000000,"")</f>
        <v/>
      </c>
      <c r="V3253" s="39">
        <f>IF($A3253="","",IF(COUNTIF(변동분석!$E$7:$E$506,O3253)&gt;0,"Y","N"))</f>
        <v/>
      </c>
      <c r="W3253" s="39">
        <f>IF($A3253="","",IFERROR(INDEX(계정매핑!$D$5:$D$504,MATCH($F3253&amp;"",계정매핑!$A$5:$A$504,0)),"미매핑"))</f>
        <v/>
      </c>
      <c r="X3253" s="9">
        <f>IF($A3253="","",$F3253&amp;"")</f>
        <v/>
      </c>
    </row>
    <row r="3254">
      <c r="A3254" s="75" t="n">
        <v>2026</v>
      </c>
      <c r="B3254" s="75" t="n">
        <v>5</v>
      </c>
      <c r="C3254" s="75" t="inlineStr">
        <is>
          <t>5100000910</t>
        </is>
      </c>
      <c r="D3254" s="78" t="n">
        <v>46159</v>
      </c>
      <c r="E3254" s="75" t="inlineStr">
        <is>
          <t>KR</t>
        </is>
      </c>
      <c r="F3254" s="75" t="n">
        <v>62201000</v>
      </c>
      <c r="G3254" s="75" t="n">
        <v>1701</v>
      </c>
      <c r="H3254" s="76" t="n">
        <v>3914000</v>
      </c>
      <c r="I3254" s="75" t="inlineStr">
        <is>
          <t>5월 통신요금 - O텔레콤</t>
        </is>
      </c>
      <c r="J3254" s="75" t="inlineStr">
        <is>
          <t>V10002</t>
        </is>
      </c>
      <c r="K3254" s="75" t="inlineStr">
        <is>
          <t>O텔레콤</t>
        </is>
      </c>
      <c r="M3254" s="9">
        <f>IF($A3254="","",VALUE($A3254&amp;"")*12+VALUE($B3254&amp;""))</f>
        <v/>
      </c>
      <c r="N3254" s="39">
        <f>IF($A3254="","",IFERROR(INDEX(부서매핑!$C$5:$C$504,MATCH($G3254&amp;"",부서매핑!$A$5:$A$504,0)),"미매핑"))</f>
        <v/>
      </c>
      <c r="O3254" s="9">
        <f>IF($A3254="","",N3254&amp;"|"&amp;$F3254)</f>
        <v/>
      </c>
      <c r="P3254" s="77">
        <f>IF($A3254="",0,$H3254*설정!$C$23)</f>
        <v/>
      </c>
      <c r="Q3254" s="39">
        <f>IF($A3254="","",IF(O3254&lt;&gt;원인분석!$C$9,"",IF(AND(M3254&gt;=원인분석!$C$10,M3254&lt;=원인분석!$C$11),"당기",IF(AND(M3254&gt;=원인분석!$C$12,M3254&lt;=원인분석!$C$13),"비교",""))))</f>
        <v/>
      </c>
      <c r="R3254" s="9">
        <f>IF(Q3254="","",$K3254&amp;"")</f>
        <v/>
      </c>
      <c r="S3254" s="9">
        <f>IF(Q3254="","",IF(MATCH(R3254,$R$5:$R$100000,0)=ROW()-4,ROW(),""))</f>
        <v/>
      </c>
      <c r="T3254" s="9">
        <f>IF(Q3254="당기",ABS(P3254)+ROW()/1000000000,"")</f>
        <v/>
      </c>
      <c r="U3254" s="9">
        <f>IF(Q3254="비교",ABS(P3254)+ROW()/1000000000,"")</f>
        <v/>
      </c>
      <c r="V3254" s="39">
        <f>IF($A3254="","",IF(COUNTIF(변동분석!$E$7:$E$506,O3254)&gt;0,"Y","N"))</f>
        <v/>
      </c>
      <c r="W3254" s="39">
        <f>IF($A3254="","",IFERROR(INDEX(계정매핑!$D$5:$D$504,MATCH($F3254&amp;"",계정매핑!$A$5:$A$504,0)),"미매핑"))</f>
        <v/>
      </c>
      <c r="X3254" s="9">
        <f>IF($A3254="","",$F3254&amp;"")</f>
        <v/>
      </c>
    </row>
    <row r="3255">
      <c r="A3255" s="75" t="n">
        <v>2026</v>
      </c>
      <c r="B3255" s="75" t="n">
        <v>5</v>
      </c>
      <c r="C3255" s="75" t="inlineStr">
        <is>
          <t>5100000911</t>
        </is>
      </c>
      <c r="D3255" s="78" t="n">
        <v>46159</v>
      </c>
      <c r="E3255" s="75" t="inlineStr">
        <is>
          <t>KR</t>
        </is>
      </c>
      <c r="F3255" s="75" t="n">
        <v>62301000</v>
      </c>
      <c r="G3255" s="75" t="n">
        <v>1101</v>
      </c>
      <c r="H3255" s="76" t="n">
        <v>205000</v>
      </c>
      <c r="I3255" s="75" t="inlineStr">
        <is>
          <t>5월 소모품 구입 - R문구</t>
        </is>
      </c>
      <c r="J3255" s="75" t="inlineStr">
        <is>
          <t>V10018</t>
        </is>
      </c>
      <c r="K3255" s="75" t="inlineStr">
        <is>
          <t>R문구</t>
        </is>
      </c>
      <c r="M3255" s="9">
        <f>IF($A3255="","",VALUE($A3255&amp;"")*12+VALUE($B3255&amp;""))</f>
        <v/>
      </c>
      <c r="N3255" s="39">
        <f>IF($A3255="","",IFERROR(INDEX(부서매핑!$C$5:$C$504,MATCH($G3255&amp;"",부서매핑!$A$5:$A$504,0)),"미매핑"))</f>
        <v/>
      </c>
      <c r="O3255" s="9">
        <f>IF($A3255="","",N3255&amp;"|"&amp;$F3255)</f>
        <v/>
      </c>
      <c r="P3255" s="77">
        <f>IF($A3255="",0,$H3255*설정!$C$23)</f>
        <v/>
      </c>
      <c r="Q3255" s="39">
        <f>IF($A3255="","",IF(O3255&lt;&gt;원인분석!$C$9,"",IF(AND(M3255&gt;=원인분석!$C$10,M3255&lt;=원인분석!$C$11),"당기",IF(AND(M3255&gt;=원인분석!$C$12,M3255&lt;=원인분석!$C$13),"비교",""))))</f>
        <v/>
      </c>
      <c r="R3255" s="9">
        <f>IF(Q3255="","",$K3255&amp;"")</f>
        <v/>
      </c>
      <c r="S3255" s="9">
        <f>IF(Q3255="","",IF(MATCH(R3255,$R$5:$R$100000,0)=ROW()-4,ROW(),""))</f>
        <v/>
      </c>
      <c r="T3255" s="9">
        <f>IF(Q3255="당기",ABS(P3255)+ROW()/1000000000,"")</f>
        <v/>
      </c>
      <c r="U3255" s="9">
        <f>IF(Q3255="비교",ABS(P3255)+ROW()/1000000000,"")</f>
        <v/>
      </c>
      <c r="V3255" s="39">
        <f>IF($A3255="","",IF(COUNTIF(변동분석!$E$7:$E$506,O3255)&gt;0,"Y","N"))</f>
        <v/>
      </c>
      <c r="W3255" s="39">
        <f>IF($A3255="","",IFERROR(INDEX(계정매핑!$D$5:$D$504,MATCH($F3255&amp;"",계정매핑!$A$5:$A$504,0)),"미매핑"))</f>
        <v/>
      </c>
      <c r="X3255" s="9">
        <f>IF($A3255="","",$F3255&amp;"")</f>
        <v/>
      </c>
    </row>
    <row r="3256">
      <c r="A3256" s="75" t="n">
        <v>2026</v>
      </c>
      <c r="B3256" s="75" t="n">
        <v>5</v>
      </c>
      <c r="C3256" s="75" t="inlineStr">
        <is>
          <t>5100000912</t>
        </is>
      </c>
      <c r="D3256" s="78" t="n">
        <v>46159</v>
      </c>
      <c r="E3256" s="75" t="inlineStr">
        <is>
          <t>KR</t>
        </is>
      </c>
      <c r="F3256" s="75" t="n">
        <v>62301000</v>
      </c>
      <c r="G3256" s="75" t="n">
        <v>1201</v>
      </c>
      <c r="H3256" s="76" t="n">
        <v>231000</v>
      </c>
      <c r="I3256" s="75" t="inlineStr">
        <is>
          <t>5월 소모품 구입 - Q오피스</t>
        </is>
      </c>
      <c r="J3256" s="75" t="inlineStr">
        <is>
          <t>V10003</t>
        </is>
      </c>
      <c r="K3256" s="75" t="inlineStr">
        <is>
          <t>Q오피스</t>
        </is>
      </c>
      <c r="M3256" s="9">
        <f>IF($A3256="","",VALUE($A3256&amp;"")*12+VALUE($B3256&amp;""))</f>
        <v/>
      </c>
      <c r="N3256" s="39">
        <f>IF($A3256="","",IFERROR(INDEX(부서매핑!$C$5:$C$504,MATCH($G3256&amp;"",부서매핑!$A$5:$A$504,0)),"미매핑"))</f>
        <v/>
      </c>
      <c r="O3256" s="9">
        <f>IF($A3256="","",N3256&amp;"|"&amp;$F3256)</f>
        <v/>
      </c>
      <c r="P3256" s="77">
        <f>IF($A3256="",0,$H3256*설정!$C$23)</f>
        <v/>
      </c>
      <c r="Q3256" s="39">
        <f>IF($A3256="","",IF(O3256&lt;&gt;원인분석!$C$9,"",IF(AND(M3256&gt;=원인분석!$C$10,M3256&lt;=원인분석!$C$11),"당기",IF(AND(M3256&gt;=원인분석!$C$12,M3256&lt;=원인분석!$C$13),"비교",""))))</f>
        <v/>
      </c>
      <c r="R3256" s="9">
        <f>IF(Q3256="","",$K3256&amp;"")</f>
        <v/>
      </c>
      <c r="S3256" s="9">
        <f>IF(Q3256="","",IF(MATCH(R3256,$R$5:$R$100000,0)=ROW()-4,ROW(),""))</f>
        <v/>
      </c>
      <c r="T3256" s="9">
        <f>IF(Q3256="당기",ABS(P3256)+ROW()/1000000000,"")</f>
        <v/>
      </c>
      <c r="U3256" s="9">
        <f>IF(Q3256="비교",ABS(P3256)+ROW()/1000000000,"")</f>
        <v/>
      </c>
      <c r="V3256" s="39">
        <f>IF($A3256="","",IF(COUNTIF(변동분석!$E$7:$E$506,O3256)&gt;0,"Y","N"))</f>
        <v/>
      </c>
      <c r="W3256" s="39">
        <f>IF($A3256="","",IFERROR(INDEX(계정매핑!$D$5:$D$504,MATCH($F3256&amp;"",계정매핑!$A$5:$A$504,0)),"미매핑"))</f>
        <v/>
      </c>
      <c r="X3256" s="9">
        <f>IF($A3256="","",$F3256&amp;"")</f>
        <v/>
      </c>
    </row>
    <row r="3257">
      <c r="A3257" s="75" t="n">
        <v>2026</v>
      </c>
      <c r="B3257" s="75" t="n">
        <v>5</v>
      </c>
      <c r="C3257" s="75" t="inlineStr">
        <is>
          <t>5100000913</t>
        </is>
      </c>
      <c r="D3257" s="78" t="n">
        <v>46159</v>
      </c>
      <c r="E3257" s="75" t="inlineStr">
        <is>
          <t>KR</t>
        </is>
      </c>
      <c r="F3257" s="75" t="n">
        <v>62501000</v>
      </c>
      <c r="G3257" s="75" t="n">
        <v>1101</v>
      </c>
      <c r="H3257" s="76" t="n">
        <v>260000</v>
      </c>
      <c r="I3257" s="75" t="inlineStr">
        <is>
          <t>5월 회의 다과 - T케이터링</t>
        </is>
      </c>
      <c r="J3257" s="75" t="inlineStr">
        <is>
          <t>V10005</t>
        </is>
      </c>
      <c r="K3257" s="75" t="inlineStr">
        <is>
          <t>T케이터링</t>
        </is>
      </c>
      <c r="M3257" s="9">
        <f>IF($A3257="","",VALUE($A3257&amp;"")*12+VALUE($B3257&amp;""))</f>
        <v/>
      </c>
      <c r="N3257" s="39">
        <f>IF($A3257="","",IFERROR(INDEX(부서매핑!$C$5:$C$504,MATCH($G3257&amp;"",부서매핑!$A$5:$A$504,0)),"미매핑"))</f>
        <v/>
      </c>
      <c r="O3257" s="9">
        <f>IF($A3257="","",N3257&amp;"|"&amp;$F3257)</f>
        <v/>
      </c>
      <c r="P3257" s="77">
        <f>IF($A3257="",0,$H3257*설정!$C$23)</f>
        <v/>
      </c>
      <c r="Q3257" s="39">
        <f>IF($A3257="","",IF(O3257&lt;&gt;원인분석!$C$9,"",IF(AND(M3257&gt;=원인분석!$C$10,M3257&lt;=원인분석!$C$11),"당기",IF(AND(M3257&gt;=원인분석!$C$12,M3257&lt;=원인분석!$C$13),"비교",""))))</f>
        <v/>
      </c>
      <c r="R3257" s="9">
        <f>IF(Q3257="","",$K3257&amp;"")</f>
        <v/>
      </c>
      <c r="S3257" s="9">
        <f>IF(Q3257="","",IF(MATCH(R3257,$R$5:$R$100000,0)=ROW()-4,ROW(),""))</f>
        <v/>
      </c>
      <c r="T3257" s="9">
        <f>IF(Q3257="당기",ABS(P3257)+ROW()/1000000000,"")</f>
        <v/>
      </c>
      <c r="U3257" s="9">
        <f>IF(Q3257="비교",ABS(P3257)+ROW()/1000000000,"")</f>
        <v/>
      </c>
      <c r="V3257" s="39">
        <f>IF($A3257="","",IF(COUNTIF(변동분석!$E$7:$E$506,O3257)&gt;0,"Y","N"))</f>
        <v/>
      </c>
      <c r="W3257" s="39">
        <f>IF($A3257="","",IFERROR(INDEX(계정매핑!$D$5:$D$504,MATCH($F3257&amp;"",계정매핑!$A$5:$A$504,0)),"미매핑"))</f>
        <v/>
      </c>
      <c r="X3257" s="9">
        <f>IF($A3257="","",$F3257&amp;"")</f>
        <v/>
      </c>
    </row>
    <row r="3258">
      <c r="A3258" s="75" t="n">
        <v>2026</v>
      </c>
      <c r="B3258" s="75" t="n">
        <v>5</v>
      </c>
      <c r="C3258" s="75" t="inlineStr">
        <is>
          <t>5100000914</t>
        </is>
      </c>
      <c r="D3258" s="78" t="n">
        <v>46159</v>
      </c>
      <c r="E3258" s="75" t="inlineStr">
        <is>
          <t>KR</t>
        </is>
      </c>
      <c r="F3258" s="75" t="n">
        <v>62501000</v>
      </c>
      <c r="G3258" s="75" t="n">
        <v>1201</v>
      </c>
      <c r="H3258" s="76" t="n">
        <v>152000</v>
      </c>
      <c r="I3258" s="75" t="inlineStr">
        <is>
          <t>5월 회의 다과 - (법인카드)</t>
        </is>
      </c>
      <c r="J3258" s="75" t="inlineStr">
        <is>
          <t>V10008</t>
        </is>
      </c>
      <c r="K3258" s="75" t="inlineStr">
        <is>
          <t>(법인카드)</t>
        </is>
      </c>
      <c r="M3258" s="9">
        <f>IF($A3258="","",VALUE($A3258&amp;"")*12+VALUE($B3258&amp;""))</f>
        <v/>
      </c>
      <c r="N3258" s="39">
        <f>IF($A3258="","",IFERROR(INDEX(부서매핑!$C$5:$C$504,MATCH($G3258&amp;"",부서매핑!$A$5:$A$504,0)),"미매핑"))</f>
        <v/>
      </c>
      <c r="O3258" s="9">
        <f>IF($A3258="","",N3258&amp;"|"&amp;$F3258)</f>
        <v/>
      </c>
      <c r="P3258" s="77">
        <f>IF($A3258="",0,$H3258*설정!$C$23)</f>
        <v/>
      </c>
      <c r="Q3258" s="39">
        <f>IF($A3258="","",IF(O3258&lt;&gt;원인분석!$C$9,"",IF(AND(M3258&gt;=원인분석!$C$10,M3258&lt;=원인분석!$C$11),"당기",IF(AND(M3258&gt;=원인분석!$C$12,M3258&lt;=원인분석!$C$13),"비교",""))))</f>
        <v/>
      </c>
      <c r="R3258" s="9">
        <f>IF(Q3258="","",$K3258&amp;"")</f>
        <v/>
      </c>
      <c r="S3258" s="9">
        <f>IF(Q3258="","",IF(MATCH(R3258,$R$5:$R$100000,0)=ROW()-4,ROW(),""))</f>
        <v/>
      </c>
      <c r="T3258" s="9">
        <f>IF(Q3258="당기",ABS(P3258)+ROW()/1000000000,"")</f>
        <v/>
      </c>
      <c r="U3258" s="9">
        <f>IF(Q3258="비교",ABS(P3258)+ROW()/1000000000,"")</f>
        <v/>
      </c>
      <c r="V3258" s="39">
        <f>IF($A3258="","",IF(COUNTIF(변동분석!$E$7:$E$506,O3258)&gt;0,"Y","N"))</f>
        <v/>
      </c>
      <c r="W3258" s="39">
        <f>IF($A3258="","",IFERROR(INDEX(계정매핑!$D$5:$D$504,MATCH($F3258&amp;"",계정매핑!$A$5:$A$504,0)),"미매핑"))</f>
        <v/>
      </c>
      <c r="X3258" s="9">
        <f>IF($A3258="","",$F3258&amp;"")</f>
        <v/>
      </c>
    </row>
    <row r="3259">
      <c r="A3259" s="75" t="n">
        <v>2026</v>
      </c>
      <c r="B3259" s="75" t="n">
        <v>5</v>
      </c>
      <c r="C3259" s="75" t="inlineStr">
        <is>
          <t>5100000915</t>
        </is>
      </c>
      <c r="D3259" s="78" t="n">
        <v>46159</v>
      </c>
      <c r="E3259" s="75" t="inlineStr">
        <is>
          <t>KR</t>
        </is>
      </c>
      <c r="F3259" s="75" t="n">
        <v>62501000</v>
      </c>
      <c r="G3259" s="75" t="n">
        <v>1201</v>
      </c>
      <c r="H3259" s="76" t="n">
        <v>138000</v>
      </c>
      <c r="I3259" s="75" t="inlineStr">
        <is>
          <t>5월 회의 다과 - (법인카드)</t>
        </is>
      </c>
      <c r="J3259" s="75" t="inlineStr">
        <is>
          <t>V10008</t>
        </is>
      </c>
      <c r="K3259" s="75" t="inlineStr">
        <is>
          <t>(법인카드)</t>
        </is>
      </c>
      <c r="M3259" s="9">
        <f>IF($A3259="","",VALUE($A3259&amp;"")*12+VALUE($B3259&amp;""))</f>
        <v/>
      </c>
      <c r="N3259" s="39">
        <f>IF($A3259="","",IFERROR(INDEX(부서매핑!$C$5:$C$504,MATCH($G3259&amp;"",부서매핑!$A$5:$A$504,0)),"미매핑"))</f>
        <v/>
      </c>
      <c r="O3259" s="9">
        <f>IF($A3259="","",N3259&amp;"|"&amp;$F3259)</f>
        <v/>
      </c>
      <c r="P3259" s="77">
        <f>IF($A3259="",0,$H3259*설정!$C$23)</f>
        <v/>
      </c>
      <c r="Q3259" s="39">
        <f>IF($A3259="","",IF(O3259&lt;&gt;원인분석!$C$9,"",IF(AND(M3259&gt;=원인분석!$C$10,M3259&lt;=원인분석!$C$11),"당기",IF(AND(M3259&gt;=원인분석!$C$12,M3259&lt;=원인분석!$C$13),"비교",""))))</f>
        <v/>
      </c>
      <c r="R3259" s="9">
        <f>IF(Q3259="","",$K3259&amp;"")</f>
        <v/>
      </c>
      <c r="S3259" s="9">
        <f>IF(Q3259="","",IF(MATCH(R3259,$R$5:$R$100000,0)=ROW()-4,ROW(),""))</f>
        <v/>
      </c>
      <c r="T3259" s="9">
        <f>IF(Q3259="당기",ABS(P3259)+ROW()/1000000000,"")</f>
        <v/>
      </c>
      <c r="U3259" s="9">
        <f>IF(Q3259="비교",ABS(P3259)+ROW()/1000000000,"")</f>
        <v/>
      </c>
      <c r="V3259" s="39">
        <f>IF($A3259="","",IF(COUNTIF(변동분석!$E$7:$E$506,O3259)&gt;0,"Y","N"))</f>
        <v/>
      </c>
      <c r="W3259" s="39">
        <f>IF($A3259="","",IFERROR(INDEX(계정매핑!$D$5:$D$504,MATCH($F3259&amp;"",계정매핑!$A$5:$A$504,0)),"미매핑"))</f>
        <v/>
      </c>
      <c r="X3259" s="9">
        <f>IF($A3259="","",$F3259&amp;"")</f>
        <v/>
      </c>
    </row>
    <row r="3260">
      <c r="A3260" s="75" t="n">
        <v>2026</v>
      </c>
      <c r="B3260" s="75" t="n">
        <v>5</v>
      </c>
      <c r="C3260" s="75" t="inlineStr">
        <is>
          <t>5100000916</t>
        </is>
      </c>
      <c r="D3260" s="78" t="n">
        <v>46159</v>
      </c>
      <c r="E3260" s="75" t="inlineStr">
        <is>
          <t>KR</t>
        </is>
      </c>
      <c r="F3260" s="75" t="n">
        <v>62901000</v>
      </c>
      <c r="G3260" s="75" t="n">
        <v>1201</v>
      </c>
      <c r="H3260" s="76" t="n">
        <v>6729000</v>
      </c>
      <c r="I3260" s="75" t="inlineStr">
        <is>
          <t>5월 자문 수수료 - K회계법인</t>
        </is>
      </c>
      <c r="J3260" s="75" t="inlineStr">
        <is>
          <t>V10010</t>
        </is>
      </c>
      <c r="K3260" s="75" t="inlineStr">
        <is>
          <t>K회계법인</t>
        </is>
      </c>
      <c r="M3260" s="9">
        <f>IF($A3260="","",VALUE($A3260&amp;"")*12+VALUE($B3260&amp;""))</f>
        <v/>
      </c>
      <c r="N3260" s="39">
        <f>IF($A3260="","",IFERROR(INDEX(부서매핑!$C$5:$C$504,MATCH($G3260&amp;"",부서매핑!$A$5:$A$504,0)),"미매핑"))</f>
        <v/>
      </c>
      <c r="O3260" s="9">
        <f>IF($A3260="","",N3260&amp;"|"&amp;$F3260)</f>
        <v/>
      </c>
      <c r="P3260" s="77">
        <f>IF($A3260="",0,$H3260*설정!$C$23)</f>
        <v/>
      </c>
      <c r="Q3260" s="39">
        <f>IF($A3260="","",IF(O3260&lt;&gt;원인분석!$C$9,"",IF(AND(M3260&gt;=원인분석!$C$10,M3260&lt;=원인분석!$C$11),"당기",IF(AND(M3260&gt;=원인분석!$C$12,M3260&lt;=원인분석!$C$13),"비교",""))))</f>
        <v/>
      </c>
      <c r="R3260" s="9">
        <f>IF(Q3260="","",$K3260&amp;"")</f>
        <v/>
      </c>
      <c r="S3260" s="9">
        <f>IF(Q3260="","",IF(MATCH(R3260,$R$5:$R$100000,0)=ROW()-4,ROW(),""))</f>
        <v/>
      </c>
      <c r="T3260" s="9">
        <f>IF(Q3260="당기",ABS(P3260)+ROW()/1000000000,"")</f>
        <v/>
      </c>
      <c r="U3260" s="9">
        <f>IF(Q3260="비교",ABS(P3260)+ROW()/1000000000,"")</f>
        <v/>
      </c>
      <c r="V3260" s="39">
        <f>IF($A3260="","",IF(COUNTIF(변동분석!$E$7:$E$506,O3260)&gt;0,"Y","N"))</f>
        <v/>
      </c>
      <c r="W3260" s="39">
        <f>IF($A3260="","",IFERROR(INDEX(계정매핑!$D$5:$D$504,MATCH($F3260&amp;"",계정매핑!$A$5:$A$504,0)),"미매핑"))</f>
        <v/>
      </c>
      <c r="X3260" s="9">
        <f>IF($A3260="","",$F3260&amp;"")</f>
        <v/>
      </c>
    </row>
    <row r="3261">
      <c r="A3261" s="75" t="n">
        <v>2026</v>
      </c>
      <c r="B3261" s="75" t="n">
        <v>5</v>
      </c>
      <c r="C3261" s="75" t="inlineStr">
        <is>
          <t>5100000917</t>
        </is>
      </c>
      <c r="D3261" s="78" t="n">
        <v>46159</v>
      </c>
      <c r="E3261" s="75" t="inlineStr">
        <is>
          <t>KR</t>
        </is>
      </c>
      <c r="F3261" s="75" t="n">
        <v>62902000</v>
      </c>
      <c r="G3261" s="75" t="n">
        <v>1801</v>
      </c>
      <c r="H3261" s="76" t="n">
        <v>1837000</v>
      </c>
      <c r="I3261" s="75" t="inlineStr">
        <is>
          <t>5월 콜 위탁 수수료(건별)</t>
        </is>
      </c>
      <c r="J3261" s="75" t="inlineStr">
        <is>
          <t>V10013</t>
        </is>
      </c>
      <c r="K3261" s="75" t="inlineStr">
        <is>
          <t>J콜센터</t>
        </is>
      </c>
      <c r="M3261" s="9">
        <f>IF($A3261="","",VALUE($A3261&amp;"")*12+VALUE($B3261&amp;""))</f>
        <v/>
      </c>
      <c r="N3261" s="39">
        <f>IF($A3261="","",IFERROR(INDEX(부서매핑!$C$5:$C$504,MATCH($G3261&amp;"",부서매핑!$A$5:$A$504,0)),"미매핑"))</f>
        <v/>
      </c>
      <c r="O3261" s="9">
        <f>IF($A3261="","",N3261&amp;"|"&amp;$F3261)</f>
        <v/>
      </c>
      <c r="P3261" s="77">
        <f>IF($A3261="",0,$H3261*설정!$C$23)</f>
        <v/>
      </c>
      <c r="Q3261" s="39">
        <f>IF($A3261="","",IF(O3261&lt;&gt;원인분석!$C$9,"",IF(AND(M3261&gt;=원인분석!$C$10,M3261&lt;=원인분석!$C$11),"당기",IF(AND(M3261&gt;=원인분석!$C$12,M3261&lt;=원인분석!$C$13),"비교",""))))</f>
        <v/>
      </c>
      <c r="R3261" s="9">
        <f>IF(Q3261="","",$K3261&amp;"")</f>
        <v/>
      </c>
      <c r="S3261" s="9">
        <f>IF(Q3261="","",IF(MATCH(R3261,$R$5:$R$100000,0)=ROW()-4,ROW(),""))</f>
        <v/>
      </c>
      <c r="T3261" s="9">
        <f>IF(Q3261="당기",ABS(P3261)+ROW()/1000000000,"")</f>
        <v/>
      </c>
      <c r="U3261" s="9">
        <f>IF(Q3261="비교",ABS(P3261)+ROW()/1000000000,"")</f>
        <v/>
      </c>
      <c r="V3261" s="39">
        <f>IF($A3261="","",IF(COUNTIF(변동분석!$E$7:$E$506,O3261)&gt;0,"Y","N"))</f>
        <v/>
      </c>
      <c r="W3261" s="39">
        <f>IF($A3261="","",IFERROR(INDEX(계정매핑!$D$5:$D$504,MATCH($F3261&amp;"",계정매핑!$A$5:$A$504,0)),"미매핑"))</f>
        <v/>
      </c>
      <c r="X3261" s="9">
        <f>IF($A3261="","",$F3261&amp;"")</f>
        <v/>
      </c>
    </row>
    <row r="3262">
      <c r="A3262" s="75" t="n">
        <v>2026</v>
      </c>
      <c r="B3262" s="75" t="n">
        <v>5</v>
      </c>
      <c r="C3262" s="75" t="inlineStr">
        <is>
          <t>5100000918</t>
        </is>
      </c>
      <c r="D3262" s="78" t="n">
        <v>46159</v>
      </c>
      <c r="E3262" s="75" t="inlineStr">
        <is>
          <t>KR</t>
        </is>
      </c>
      <c r="F3262" s="75" t="n">
        <v>62902000</v>
      </c>
      <c r="G3262" s="75" t="n">
        <v>1801</v>
      </c>
      <c r="H3262" s="76" t="n">
        <v>1836000</v>
      </c>
      <c r="I3262" s="75" t="inlineStr">
        <is>
          <t>5월 콜 위탁 수수료(건별)</t>
        </is>
      </c>
      <c r="J3262" s="75" t="inlineStr">
        <is>
          <t>V10013</t>
        </is>
      </c>
      <c r="K3262" s="75" t="inlineStr">
        <is>
          <t>J콜센터</t>
        </is>
      </c>
      <c r="M3262" s="9">
        <f>IF($A3262="","",VALUE($A3262&amp;"")*12+VALUE($B3262&amp;""))</f>
        <v/>
      </c>
      <c r="N3262" s="39">
        <f>IF($A3262="","",IFERROR(INDEX(부서매핑!$C$5:$C$504,MATCH($G3262&amp;"",부서매핑!$A$5:$A$504,0)),"미매핑"))</f>
        <v/>
      </c>
      <c r="O3262" s="9">
        <f>IF($A3262="","",N3262&amp;"|"&amp;$F3262)</f>
        <v/>
      </c>
      <c r="P3262" s="77">
        <f>IF($A3262="",0,$H3262*설정!$C$23)</f>
        <v/>
      </c>
      <c r="Q3262" s="39">
        <f>IF($A3262="","",IF(O3262&lt;&gt;원인분석!$C$9,"",IF(AND(M3262&gt;=원인분석!$C$10,M3262&lt;=원인분석!$C$11),"당기",IF(AND(M3262&gt;=원인분석!$C$12,M3262&lt;=원인분석!$C$13),"비교",""))))</f>
        <v/>
      </c>
      <c r="R3262" s="9">
        <f>IF(Q3262="","",$K3262&amp;"")</f>
        <v/>
      </c>
      <c r="S3262" s="9">
        <f>IF(Q3262="","",IF(MATCH(R3262,$R$5:$R$100000,0)=ROW()-4,ROW(),""))</f>
        <v/>
      </c>
      <c r="T3262" s="9">
        <f>IF(Q3262="당기",ABS(P3262)+ROW()/1000000000,"")</f>
        <v/>
      </c>
      <c r="U3262" s="9">
        <f>IF(Q3262="비교",ABS(P3262)+ROW()/1000000000,"")</f>
        <v/>
      </c>
      <c r="V3262" s="39">
        <f>IF($A3262="","",IF(COUNTIF(변동분석!$E$7:$E$506,O3262)&gt;0,"Y","N"))</f>
        <v/>
      </c>
      <c r="W3262" s="39">
        <f>IF($A3262="","",IFERROR(INDEX(계정매핑!$D$5:$D$504,MATCH($F3262&amp;"",계정매핑!$A$5:$A$504,0)),"미매핑"))</f>
        <v/>
      </c>
      <c r="X3262" s="9">
        <f>IF($A3262="","",$F3262&amp;"")</f>
        <v/>
      </c>
    </row>
    <row r="3263">
      <c r="A3263" s="75" t="n">
        <v>2026</v>
      </c>
      <c r="B3263" s="75" t="n">
        <v>5</v>
      </c>
      <c r="C3263" s="75" t="inlineStr">
        <is>
          <t>5100000919</t>
        </is>
      </c>
      <c r="D3263" s="78" t="n">
        <v>46160</v>
      </c>
      <c r="E3263" s="75" t="inlineStr">
        <is>
          <t>KR</t>
        </is>
      </c>
      <c r="F3263" s="75" t="n">
        <v>62101000</v>
      </c>
      <c r="G3263" s="75" t="n">
        <v>1201</v>
      </c>
      <c r="H3263" s="76" t="n">
        <v>222000</v>
      </c>
      <c r="I3263" s="75" t="inlineStr">
        <is>
          <t>5월 국내출장 - (법인카드)</t>
        </is>
      </c>
      <c r="J3263" s="75" t="inlineStr">
        <is>
          <t>V10008</t>
        </is>
      </c>
      <c r="K3263" s="75" t="inlineStr">
        <is>
          <t>(법인카드)</t>
        </is>
      </c>
      <c r="M3263" s="9">
        <f>IF($A3263="","",VALUE($A3263&amp;"")*12+VALUE($B3263&amp;""))</f>
        <v/>
      </c>
      <c r="N3263" s="39">
        <f>IF($A3263="","",IFERROR(INDEX(부서매핑!$C$5:$C$504,MATCH($G3263&amp;"",부서매핑!$A$5:$A$504,0)),"미매핑"))</f>
        <v/>
      </c>
      <c r="O3263" s="9">
        <f>IF($A3263="","",N3263&amp;"|"&amp;$F3263)</f>
        <v/>
      </c>
      <c r="P3263" s="77">
        <f>IF($A3263="",0,$H3263*설정!$C$23)</f>
        <v/>
      </c>
      <c r="Q3263" s="39">
        <f>IF($A3263="","",IF(O3263&lt;&gt;원인분석!$C$9,"",IF(AND(M3263&gt;=원인분석!$C$10,M3263&lt;=원인분석!$C$11),"당기",IF(AND(M3263&gt;=원인분석!$C$12,M3263&lt;=원인분석!$C$13),"비교",""))))</f>
        <v/>
      </c>
      <c r="R3263" s="9">
        <f>IF(Q3263="","",$K3263&amp;"")</f>
        <v/>
      </c>
      <c r="S3263" s="9">
        <f>IF(Q3263="","",IF(MATCH(R3263,$R$5:$R$100000,0)=ROW()-4,ROW(),""))</f>
        <v/>
      </c>
      <c r="T3263" s="9">
        <f>IF(Q3263="당기",ABS(P3263)+ROW()/1000000000,"")</f>
        <v/>
      </c>
      <c r="U3263" s="9">
        <f>IF(Q3263="비교",ABS(P3263)+ROW()/1000000000,"")</f>
        <v/>
      </c>
      <c r="V3263" s="39">
        <f>IF($A3263="","",IF(COUNTIF(변동분석!$E$7:$E$506,O3263)&gt;0,"Y","N"))</f>
        <v/>
      </c>
      <c r="W3263" s="39">
        <f>IF($A3263="","",IFERROR(INDEX(계정매핑!$D$5:$D$504,MATCH($F3263&amp;"",계정매핑!$A$5:$A$504,0)),"미매핑"))</f>
        <v/>
      </c>
      <c r="X3263" s="9">
        <f>IF($A3263="","",$F3263&amp;"")</f>
        <v/>
      </c>
    </row>
    <row r="3264">
      <c r="A3264" s="75" t="n">
        <v>2026</v>
      </c>
      <c r="B3264" s="75" t="n">
        <v>5</v>
      </c>
      <c r="C3264" s="75" t="inlineStr">
        <is>
          <t>5100000920</t>
        </is>
      </c>
      <c r="D3264" s="78" t="n">
        <v>46160</v>
      </c>
      <c r="E3264" s="75" t="inlineStr">
        <is>
          <t>KR</t>
        </is>
      </c>
      <c r="F3264" s="75" t="n">
        <v>62101000</v>
      </c>
      <c r="G3264" s="75" t="n">
        <v>1701</v>
      </c>
      <c r="H3264" s="76" t="n">
        <v>302000</v>
      </c>
      <c r="I3264" s="75" t="inlineStr">
        <is>
          <t>5월 국내출장 - L여행사</t>
        </is>
      </c>
      <c r="J3264" s="75" t="inlineStr">
        <is>
          <t>V10014</t>
        </is>
      </c>
      <c r="K3264" s="75" t="inlineStr">
        <is>
          <t>L여행사</t>
        </is>
      </c>
      <c r="M3264" s="9">
        <f>IF($A3264="","",VALUE($A3264&amp;"")*12+VALUE($B3264&amp;""))</f>
        <v/>
      </c>
      <c r="N3264" s="39">
        <f>IF($A3264="","",IFERROR(INDEX(부서매핑!$C$5:$C$504,MATCH($G3264&amp;"",부서매핑!$A$5:$A$504,0)),"미매핑"))</f>
        <v/>
      </c>
      <c r="O3264" s="9">
        <f>IF($A3264="","",N3264&amp;"|"&amp;$F3264)</f>
        <v/>
      </c>
      <c r="P3264" s="77">
        <f>IF($A3264="",0,$H3264*설정!$C$23)</f>
        <v/>
      </c>
      <c r="Q3264" s="39">
        <f>IF($A3264="","",IF(O3264&lt;&gt;원인분석!$C$9,"",IF(AND(M3264&gt;=원인분석!$C$10,M3264&lt;=원인분석!$C$11),"당기",IF(AND(M3264&gt;=원인분석!$C$12,M3264&lt;=원인분석!$C$13),"비교",""))))</f>
        <v/>
      </c>
      <c r="R3264" s="9">
        <f>IF(Q3264="","",$K3264&amp;"")</f>
        <v/>
      </c>
      <c r="S3264" s="9">
        <f>IF(Q3264="","",IF(MATCH(R3264,$R$5:$R$100000,0)=ROW()-4,ROW(),""))</f>
        <v/>
      </c>
      <c r="T3264" s="9">
        <f>IF(Q3264="당기",ABS(P3264)+ROW()/1000000000,"")</f>
        <v/>
      </c>
      <c r="U3264" s="9">
        <f>IF(Q3264="비교",ABS(P3264)+ROW()/1000000000,"")</f>
        <v/>
      </c>
      <c r="V3264" s="39">
        <f>IF($A3264="","",IF(COUNTIF(변동분석!$E$7:$E$506,O3264)&gt;0,"Y","N"))</f>
        <v/>
      </c>
      <c r="W3264" s="39">
        <f>IF($A3264="","",IFERROR(INDEX(계정매핑!$D$5:$D$504,MATCH($F3264&amp;"",계정매핑!$A$5:$A$504,0)),"미매핑"))</f>
        <v/>
      </c>
      <c r="X3264" s="9">
        <f>IF($A3264="","",$F3264&amp;"")</f>
        <v/>
      </c>
    </row>
    <row r="3265">
      <c r="A3265" s="75" t="n">
        <v>2026</v>
      </c>
      <c r="B3265" s="75" t="n">
        <v>5</v>
      </c>
      <c r="C3265" s="75" t="inlineStr">
        <is>
          <t>5100000921</t>
        </is>
      </c>
      <c r="D3265" s="78" t="n">
        <v>46160</v>
      </c>
      <c r="E3265" s="75" t="inlineStr">
        <is>
          <t>KR</t>
        </is>
      </c>
      <c r="F3265" s="75" t="n">
        <v>62102000</v>
      </c>
      <c r="G3265" s="75" t="n">
        <v>1301</v>
      </c>
      <c r="H3265" s="76" t="n">
        <v>67000</v>
      </c>
      <c r="I3265" s="75" t="inlineStr">
        <is>
          <t>5월 해외출장 - N호텔</t>
        </is>
      </c>
      <c r="J3265" s="75" t="inlineStr">
        <is>
          <t>V10007</t>
        </is>
      </c>
      <c r="K3265" s="75" t="inlineStr">
        <is>
          <t>N호텔</t>
        </is>
      </c>
      <c r="M3265" s="9">
        <f>IF($A3265="","",VALUE($A3265&amp;"")*12+VALUE($B3265&amp;""))</f>
        <v/>
      </c>
      <c r="N3265" s="39">
        <f>IF($A3265="","",IFERROR(INDEX(부서매핑!$C$5:$C$504,MATCH($G3265&amp;"",부서매핑!$A$5:$A$504,0)),"미매핑"))</f>
        <v/>
      </c>
      <c r="O3265" s="9">
        <f>IF($A3265="","",N3265&amp;"|"&amp;$F3265)</f>
        <v/>
      </c>
      <c r="P3265" s="77">
        <f>IF($A3265="",0,$H3265*설정!$C$23)</f>
        <v/>
      </c>
      <c r="Q3265" s="39">
        <f>IF($A3265="","",IF(O3265&lt;&gt;원인분석!$C$9,"",IF(AND(M3265&gt;=원인분석!$C$10,M3265&lt;=원인분석!$C$11),"당기",IF(AND(M3265&gt;=원인분석!$C$12,M3265&lt;=원인분석!$C$13),"비교",""))))</f>
        <v/>
      </c>
      <c r="R3265" s="9">
        <f>IF(Q3265="","",$K3265&amp;"")</f>
        <v/>
      </c>
      <c r="S3265" s="9">
        <f>IF(Q3265="","",IF(MATCH(R3265,$R$5:$R$100000,0)=ROW()-4,ROW(),""))</f>
        <v/>
      </c>
      <c r="T3265" s="9">
        <f>IF(Q3265="당기",ABS(P3265)+ROW()/1000000000,"")</f>
        <v/>
      </c>
      <c r="U3265" s="9">
        <f>IF(Q3265="비교",ABS(P3265)+ROW()/1000000000,"")</f>
        <v/>
      </c>
      <c r="V3265" s="39">
        <f>IF($A3265="","",IF(COUNTIF(변동분석!$E$7:$E$506,O3265)&gt;0,"Y","N"))</f>
        <v/>
      </c>
      <c r="W3265" s="39">
        <f>IF($A3265="","",IFERROR(INDEX(계정매핑!$D$5:$D$504,MATCH($F3265&amp;"",계정매핑!$A$5:$A$504,0)),"미매핑"))</f>
        <v/>
      </c>
      <c r="X3265" s="9">
        <f>IF($A3265="","",$F3265&amp;"")</f>
        <v/>
      </c>
    </row>
    <row r="3266">
      <c r="A3266" s="75" t="n">
        <v>2026</v>
      </c>
      <c r="B3266" s="75" t="n">
        <v>5</v>
      </c>
      <c r="C3266" s="75" t="inlineStr">
        <is>
          <t>5100000922</t>
        </is>
      </c>
      <c r="D3266" s="78" t="n">
        <v>46160</v>
      </c>
      <c r="E3266" s="75" t="inlineStr">
        <is>
          <t>KR</t>
        </is>
      </c>
      <c r="F3266" s="75" t="n">
        <v>62301000</v>
      </c>
      <c r="G3266" s="75" t="n">
        <v>1301</v>
      </c>
      <c r="H3266" s="76" t="n">
        <v>217000</v>
      </c>
      <c r="I3266" s="75" t="inlineStr">
        <is>
          <t>5월 소모품 구입 - R문구</t>
        </is>
      </c>
      <c r="J3266" s="75" t="inlineStr">
        <is>
          <t>V10018</t>
        </is>
      </c>
      <c r="K3266" s="75" t="inlineStr">
        <is>
          <t>R문구</t>
        </is>
      </c>
      <c r="M3266" s="9">
        <f>IF($A3266="","",VALUE($A3266&amp;"")*12+VALUE($B3266&amp;""))</f>
        <v/>
      </c>
      <c r="N3266" s="39">
        <f>IF($A3266="","",IFERROR(INDEX(부서매핑!$C$5:$C$504,MATCH($G3266&amp;"",부서매핑!$A$5:$A$504,0)),"미매핑"))</f>
        <v/>
      </c>
      <c r="O3266" s="9">
        <f>IF($A3266="","",N3266&amp;"|"&amp;$F3266)</f>
        <v/>
      </c>
      <c r="P3266" s="77">
        <f>IF($A3266="",0,$H3266*설정!$C$23)</f>
        <v/>
      </c>
      <c r="Q3266" s="39">
        <f>IF($A3266="","",IF(O3266&lt;&gt;원인분석!$C$9,"",IF(AND(M3266&gt;=원인분석!$C$10,M3266&lt;=원인분석!$C$11),"당기",IF(AND(M3266&gt;=원인분석!$C$12,M3266&lt;=원인분석!$C$13),"비교",""))))</f>
        <v/>
      </c>
      <c r="R3266" s="9">
        <f>IF(Q3266="","",$K3266&amp;"")</f>
        <v/>
      </c>
      <c r="S3266" s="9">
        <f>IF(Q3266="","",IF(MATCH(R3266,$R$5:$R$100000,0)=ROW()-4,ROW(),""))</f>
        <v/>
      </c>
      <c r="T3266" s="9">
        <f>IF(Q3266="당기",ABS(P3266)+ROW()/1000000000,"")</f>
        <v/>
      </c>
      <c r="U3266" s="9">
        <f>IF(Q3266="비교",ABS(P3266)+ROW()/1000000000,"")</f>
        <v/>
      </c>
      <c r="V3266" s="39">
        <f>IF($A3266="","",IF(COUNTIF(변동분석!$E$7:$E$506,O3266)&gt;0,"Y","N"))</f>
        <v/>
      </c>
      <c r="W3266" s="39">
        <f>IF($A3266="","",IFERROR(INDEX(계정매핑!$D$5:$D$504,MATCH($F3266&amp;"",계정매핑!$A$5:$A$504,0)),"미매핑"))</f>
        <v/>
      </c>
      <c r="X3266" s="9">
        <f>IF($A3266="","",$F3266&amp;"")</f>
        <v/>
      </c>
    </row>
    <row r="3267">
      <c r="A3267" s="75" t="n">
        <v>2026</v>
      </c>
      <c r="B3267" s="75" t="n">
        <v>5</v>
      </c>
      <c r="C3267" s="75" t="inlineStr">
        <is>
          <t>5100000923</t>
        </is>
      </c>
      <c r="D3267" s="78" t="n">
        <v>46160</v>
      </c>
      <c r="E3267" s="75" t="inlineStr">
        <is>
          <t>KR</t>
        </is>
      </c>
      <c r="F3267" s="75" t="n">
        <v>62501000</v>
      </c>
      <c r="G3267" s="75" t="n">
        <v>1101</v>
      </c>
      <c r="H3267" s="76" t="n">
        <v>235000</v>
      </c>
      <c r="I3267" s="75" t="inlineStr">
        <is>
          <t>5월 회의 다과 - T케이터링</t>
        </is>
      </c>
      <c r="J3267" s="75" t="inlineStr">
        <is>
          <t>V10005</t>
        </is>
      </c>
      <c r="K3267" s="75" t="inlineStr">
        <is>
          <t>T케이터링</t>
        </is>
      </c>
      <c r="M3267" s="9">
        <f>IF($A3267="","",VALUE($A3267&amp;"")*12+VALUE($B3267&amp;""))</f>
        <v/>
      </c>
      <c r="N3267" s="39">
        <f>IF($A3267="","",IFERROR(INDEX(부서매핑!$C$5:$C$504,MATCH($G3267&amp;"",부서매핑!$A$5:$A$504,0)),"미매핑"))</f>
        <v/>
      </c>
      <c r="O3267" s="9">
        <f>IF($A3267="","",N3267&amp;"|"&amp;$F3267)</f>
        <v/>
      </c>
      <c r="P3267" s="77">
        <f>IF($A3267="",0,$H3267*설정!$C$23)</f>
        <v/>
      </c>
      <c r="Q3267" s="39">
        <f>IF($A3267="","",IF(O3267&lt;&gt;원인분석!$C$9,"",IF(AND(M3267&gt;=원인분석!$C$10,M3267&lt;=원인분석!$C$11),"당기",IF(AND(M3267&gt;=원인분석!$C$12,M3267&lt;=원인분석!$C$13),"비교",""))))</f>
        <v/>
      </c>
      <c r="R3267" s="9">
        <f>IF(Q3267="","",$K3267&amp;"")</f>
        <v/>
      </c>
      <c r="S3267" s="9">
        <f>IF(Q3267="","",IF(MATCH(R3267,$R$5:$R$100000,0)=ROW()-4,ROW(),""))</f>
        <v/>
      </c>
      <c r="T3267" s="9">
        <f>IF(Q3267="당기",ABS(P3267)+ROW()/1000000000,"")</f>
        <v/>
      </c>
      <c r="U3267" s="9">
        <f>IF(Q3267="비교",ABS(P3267)+ROW()/1000000000,"")</f>
        <v/>
      </c>
      <c r="V3267" s="39">
        <f>IF($A3267="","",IF(COUNTIF(변동분석!$E$7:$E$506,O3267)&gt;0,"Y","N"))</f>
        <v/>
      </c>
      <c r="W3267" s="39">
        <f>IF($A3267="","",IFERROR(INDEX(계정매핑!$D$5:$D$504,MATCH($F3267&amp;"",계정매핑!$A$5:$A$504,0)),"미매핑"))</f>
        <v/>
      </c>
      <c r="X3267" s="9">
        <f>IF($A3267="","",$F3267&amp;"")</f>
        <v/>
      </c>
    </row>
    <row r="3268">
      <c r="A3268" s="75" t="n">
        <v>2026</v>
      </c>
      <c r="B3268" s="75" t="n">
        <v>5</v>
      </c>
      <c r="C3268" s="75" t="inlineStr">
        <is>
          <t>5100000924</t>
        </is>
      </c>
      <c r="D3268" s="78" t="n">
        <v>46160</v>
      </c>
      <c r="E3268" s="75" t="inlineStr">
        <is>
          <t>KR</t>
        </is>
      </c>
      <c r="F3268" s="75" t="n">
        <v>62501000</v>
      </c>
      <c r="G3268" s="75" t="n">
        <v>1201</v>
      </c>
      <c r="H3268" s="76" t="n">
        <v>121000</v>
      </c>
      <c r="I3268" s="75" t="inlineStr">
        <is>
          <t>5월 회의 다과 - T케이터링</t>
        </is>
      </c>
      <c r="J3268" s="75" t="inlineStr">
        <is>
          <t>V10005</t>
        </is>
      </c>
      <c r="K3268" s="75" t="inlineStr">
        <is>
          <t>T케이터링</t>
        </is>
      </c>
      <c r="M3268" s="9">
        <f>IF($A3268="","",VALUE($A3268&amp;"")*12+VALUE($B3268&amp;""))</f>
        <v/>
      </c>
      <c r="N3268" s="39">
        <f>IF($A3268="","",IFERROR(INDEX(부서매핑!$C$5:$C$504,MATCH($G3268&amp;"",부서매핑!$A$5:$A$504,0)),"미매핑"))</f>
        <v/>
      </c>
      <c r="O3268" s="9">
        <f>IF($A3268="","",N3268&amp;"|"&amp;$F3268)</f>
        <v/>
      </c>
      <c r="P3268" s="77">
        <f>IF($A3268="",0,$H3268*설정!$C$23)</f>
        <v/>
      </c>
      <c r="Q3268" s="39">
        <f>IF($A3268="","",IF(O3268&lt;&gt;원인분석!$C$9,"",IF(AND(M3268&gt;=원인분석!$C$10,M3268&lt;=원인분석!$C$11),"당기",IF(AND(M3268&gt;=원인분석!$C$12,M3268&lt;=원인분석!$C$13),"비교",""))))</f>
        <v/>
      </c>
      <c r="R3268" s="9">
        <f>IF(Q3268="","",$K3268&amp;"")</f>
        <v/>
      </c>
      <c r="S3268" s="9">
        <f>IF(Q3268="","",IF(MATCH(R3268,$R$5:$R$100000,0)=ROW()-4,ROW(),""))</f>
        <v/>
      </c>
      <c r="T3268" s="9">
        <f>IF(Q3268="당기",ABS(P3268)+ROW()/1000000000,"")</f>
        <v/>
      </c>
      <c r="U3268" s="9">
        <f>IF(Q3268="비교",ABS(P3268)+ROW()/1000000000,"")</f>
        <v/>
      </c>
      <c r="V3268" s="39">
        <f>IF($A3268="","",IF(COUNTIF(변동분석!$E$7:$E$506,O3268)&gt;0,"Y","N"))</f>
        <v/>
      </c>
      <c r="W3268" s="39">
        <f>IF($A3268="","",IFERROR(INDEX(계정매핑!$D$5:$D$504,MATCH($F3268&amp;"",계정매핑!$A$5:$A$504,0)),"미매핑"))</f>
        <v/>
      </c>
      <c r="X3268" s="9">
        <f>IF($A3268="","",$F3268&amp;"")</f>
        <v/>
      </c>
    </row>
    <row r="3269">
      <c r="A3269" s="75" t="n">
        <v>2026</v>
      </c>
      <c r="B3269" s="75" t="n">
        <v>5</v>
      </c>
      <c r="C3269" s="75" t="inlineStr">
        <is>
          <t>5100000925</t>
        </is>
      </c>
      <c r="D3269" s="78" t="n">
        <v>46160</v>
      </c>
      <c r="E3269" s="75" t="inlineStr">
        <is>
          <t>KR</t>
        </is>
      </c>
      <c r="F3269" s="75" t="n">
        <v>62902000</v>
      </c>
      <c r="G3269" s="75" t="n">
        <v>1401</v>
      </c>
      <c r="H3269" s="76" t="n">
        <v>2241000</v>
      </c>
      <c r="I3269" s="75" t="inlineStr">
        <is>
          <t>5월 업무 위탁 수수료 - X서비스</t>
        </is>
      </c>
      <c r="J3269" s="75" t="inlineStr">
        <is>
          <t>V10016</t>
        </is>
      </c>
      <c r="K3269" s="75" t="inlineStr">
        <is>
          <t>X서비스</t>
        </is>
      </c>
      <c r="M3269" s="9">
        <f>IF($A3269="","",VALUE($A3269&amp;"")*12+VALUE($B3269&amp;""))</f>
        <v/>
      </c>
      <c r="N3269" s="39">
        <f>IF($A3269="","",IFERROR(INDEX(부서매핑!$C$5:$C$504,MATCH($G3269&amp;"",부서매핑!$A$5:$A$504,0)),"미매핑"))</f>
        <v/>
      </c>
      <c r="O3269" s="9">
        <f>IF($A3269="","",N3269&amp;"|"&amp;$F3269)</f>
        <v/>
      </c>
      <c r="P3269" s="77">
        <f>IF($A3269="",0,$H3269*설정!$C$23)</f>
        <v/>
      </c>
      <c r="Q3269" s="39">
        <f>IF($A3269="","",IF(O3269&lt;&gt;원인분석!$C$9,"",IF(AND(M3269&gt;=원인분석!$C$10,M3269&lt;=원인분석!$C$11),"당기",IF(AND(M3269&gt;=원인분석!$C$12,M3269&lt;=원인분석!$C$13),"비교",""))))</f>
        <v/>
      </c>
      <c r="R3269" s="9">
        <f>IF(Q3269="","",$K3269&amp;"")</f>
        <v/>
      </c>
      <c r="S3269" s="9">
        <f>IF(Q3269="","",IF(MATCH(R3269,$R$5:$R$100000,0)=ROW()-4,ROW(),""))</f>
        <v/>
      </c>
      <c r="T3269" s="9">
        <f>IF(Q3269="당기",ABS(P3269)+ROW()/1000000000,"")</f>
        <v/>
      </c>
      <c r="U3269" s="9">
        <f>IF(Q3269="비교",ABS(P3269)+ROW()/1000000000,"")</f>
        <v/>
      </c>
      <c r="V3269" s="39">
        <f>IF($A3269="","",IF(COUNTIF(변동분석!$E$7:$E$506,O3269)&gt;0,"Y","N"))</f>
        <v/>
      </c>
      <c r="W3269" s="39">
        <f>IF($A3269="","",IFERROR(INDEX(계정매핑!$D$5:$D$504,MATCH($F3269&amp;"",계정매핑!$A$5:$A$504,0)),"미매핑"))</f>
        <v/>
      </c>
      <c r="X3269" s="9">
        <f>IF($A3269="","",$F3269&amp;"")</f>
        <v/>
      </c>
    </row>
    <row r="3270">
      <c r="A3270" s="75" t="n">
        <v>2026</v>
      </c>
      <c r="B3270" s="75" t="n">
        <v>5</v>
      </c>
      <c r="C3270" s="75" t="inlineStr">
        <is>
          <t>5100000926</t>
        </is>
      </c>
      <c r="D3270" s="78" t="n">
        <v>46161</v>
      </c>
      <c r="E3270" s="75" t="inlineStr">
        <is>
          <t>KR</t>
        </is>
      </c>
      <c r="F3270" s="75" t="n">
        <v>62101000</v>
      </c>
      <c r="G3270" s="75" t="n">
        <v>1501</v>
      </c>
      <c r="H3270" s="76" t="n">
        <v>429000</v>
      </c>
      <c r="I3270" s="75" t="inlineStr">
        <is>
          <t>5월 국내출장 - M항공</t>
        </is>
      </c>
      <c r="J3270" s="75" t="inlineStr">
        <is>
          <t>V10001</t>
        </is>
      </c>
      <c r="K3270" s="75" t="inlineStr">
        <is>
          <t>M항공</t>
        </is>
      </c>
      <c r="M3270" s="9">
        <f>IF($A3270="","",VALUE($A3270&amp;"")*12+VALUE($B3270&amp;""))</f>
        <v/>
      </c>
      <c r="N3270" s="39">
        <f>IF($A3270="","",IFERROR(INDEX(부서매핑!$C$5:$C$504,MATCH($G3270&amp;"",부서매핑!$A$5:$A$504,0)),"미매핑"))</f>
        <v/>
      </c>
      <c r="O3270" s="9">
        <f>IF($A3270="","",N3270&amp;"|"&amp;$F3270)</f>
        <v/>
      </c>
      <c r="P3270" s="77">
        <f>IF($A3270="",0,$H3270*설정!$C$23)</f>
        <v/>
      </c>
      <c r="Q3270" s="39">
        <f>IF($A3270="","",IF(O3270&lt;&gt;원인분석!$C$9,"",IF(AND(M3270&gt;=원인분석!$C$10,M3270&lt;=원인분석!$C$11),"당기",IF(AND(M3270&gt;=원인분석!$C$12,M3270&lt;=원인분석!$C$13),"비교",""))))</f>
        <v/>
      </c>
      <c r="R3270" s="9">
        <f>IF(Q3270="","",$K3270&amp;"")</f>
        <v/>
      </c>
      <c r="S3270" s="9">
        <f>IF(Q3270="","",IF(MATCH(R3270,$R$5:$R$100000,0)=ROW()-4,ROW(),""))</f>
        <v/>
      </c>
      <c r="T3270" s="9">
        <f>IF(Q3270="당기",ABS(P3270)+ROW()/1000000000,"")</f>
        <v/>
      </c>
      <c r="U3270" s="9">
        <f>IF(Q3270="비교",ABS(P3270)+ROW()/1000000000,"")</f>
        <v/>
      </c>
      <c r="V3270" s="39">
        <f>IF($A3270="","",IF(COUNTIF(변동분석!$E$7:$E$506,O3270)&gt;0,"Y","N"))</f>
        <v/>
      </c>
      <c r="W3270" s="39">
        <f>IF($A3270="","",IFERROR(INDEX(계정매핑!$D$5:$D$504,MATCH($F3270&amp;"",계정매핑!$A$5:$A$504,0)),"미매핑"))</f>
        <v/>
      </c>
      <c r="X3270" s="9">
        <f>IF($A3270="","",$F3270&amp;"")</f>
        <v/>
      </c>
    </row>
    <row r="3271">
      <c r="A3271" s="75" t="n">
        <v>2026</v>
      </c>
      <c r="B3271" s="75" t="n">
        <v>5</v>
      </c>
      <c r="C3271" s="75" t="inlineStr">
        <is>
          <t>5100000927</t>
        </is>
      </c>
      <c r="D3271" s="78" t="n">
        <v>46161</v>
      </c>
      <c r="E3271" s="75" t="inlineStr">
        <is>
          <t>KR</t>
        </is>
      </c>
      <c r="F3271" s="75" t="n">
        <v>62101000</v>
      </c>
      <c r="G3271" s="75" t="n">
        <v>1801</v>
      </c>
      <c r="H3271" s="76" t="n">
        <v>244000</v>
      </c>
      <c r="I3271" s="75" t="inlineStr">
        <is>
          <t>5월 국내출장 - (법인카드)</t>
        </is>
      </c>
      <c r="J3271" s="75" t="inlineStr">
        <is>
          <t>V10008</t>
        </is>
      </c>
      <c r="K3271" s="75" t="inlineStr">
        <is>
          <t>(법인카드)</t>
        </is>
      </c>
      <c r="M3271" s="9">
        <f>IF($A3271="","",VALUE($A3271&amp;"")*12+VALUE($B3271&amp;""))</f>
        <v/>
      </c>
      <c r="N3271" s="39">
        <f>IF($A3271="","",IFERROR(INDEX(부서매핑!$C$5:$C$504,MATCH($G3271&amp;"",부서매핑!$A$5:$A$504,0)),"미매핑"))</f>
        <v/>
      </c>
      <c r="O3271" s="9">
        <f>IF($A3271="","",N3271&amp;"|"&amp;$F3271)</f>
        <v/>
      </c>
      <c r="P3271" s="77">
        <f>IF($A3271="",0,$H3271*설정!$C$23)</f>
        <v/>
      </c>
      <c r="Q3271" s="39">
        <f>IF($A3271="","",IF(O3271&lt;&gt;원인분석!$C$9,"",IF(AND(M3271&gt;=원인분석!$C$10,M3271&lt;=원인분석!$C$11),"당기",IF(AND(M3271&gt;=원인분석!$C$12,M3271&lt;=원인분석!$C$13),"비교",""))))</f>
        <v/>
      </c>
      <c r="R3271" s="9">
        <f>IF(Q3271="","",$K3271&amp;"")</f>
        <v/>
      </c>
      <c r="S3271" s="9">
        <f>IF(Q3271="","",IF(MATCH(R3271,$R$5:$R$100000,0)=ROW()-4,ROW(),""))</f>
        <v/>
      </c>
      <c r="T3271" s="9">
        <f>IF(Q3271="당기",ABS(P3271)+ROW()/1000000000,"")</f>
        <v/>
      </c>
      <c r="U3271" s="9">
        <f>IF(Q3271="비교",ABS(P3271)+ROW()/1000000000,"")</f>
        <v/>
      </c>
      <c r="V3271" s="39">
        <f>IF($A3271="","",IF(COUNTIF(변동분석!$E$7:$E$506,O3271)&gt;0,"Y","N"))</f>
        <v/>
      </c>
      <c r="W3271" s="39">
        <f>IF($A3271="","",IFERROR(INDEX(계정매핑!$D$5:$D$504,MATCH($F3271&amp;"",계정매핑!$A$5:$A$504,0)),"미매핑"))</f>
        <v/>
      </c>
      <c r="X3271" s="9">
        <f>IF($A3271="","",$F3271&amp;"")</f>
        <v/>
      </c>
    </row>
    <row r="3272">
      <c r="A3272" s="75" t="n">
        <v>2026</v>
      </c>
      <c r="B3272" s="75" t="n">
        <v>5</v>
      </c>
      <c r="C3272" s="75" t="inlineStr">
        <is>
          <t>5100000928</t>
        </is>
      </c>
      <c r="D3272" s="78" t="n">
        <v>46161</v>
      </c>
      <c r="E3272" s="75" t="inlineStr">
        <is>
          <t>KR</t>
        </is>
      </c>
      <c r="F3272" s="75" t="n">
        <v>62102000</v>
      </c>
      <c r="G3272" s="75" t="n">
        <v>1801</v>
      </c>
      <c r="H3272" s="76" t="n">
        <v>41000</v>
      </c>
      <c r="I3272" s="75" t="inlineStr">
        <is>
          <t>5월 해외출장 - N호텔</t>
        </is>
      </c>
      <c r="J3272" s="75" t="inlineStr">
        <is>
          <t>V10007</t>
        </is>
      </c>
      <c r="K3272" s="75" t="inlineStr">
        <is>
          <t>N호텔</t>
        </is>
      </c>
      <c r="M3272" s="9">
        <f>IF($A3272="","",VALUE($A3272&amp;"")*12+VALUE($B3272&amp;""))</f>
        <v/>
      </c>
      <c r="N3272" s="39">
        <f>IF($A3272="","",IFERROR(INDEX(부서매핑!$C$5:$C$504,MATCH($G3272&amp;"",부서매핑!$A$5:$A$504,0)),"미매핑"))</f>
        <v/>
      </c>
      <c r="O3272" s="9">
        <f>IF($A3272="","",N3272&amp;"|"&amp;$F3272)</f>
        <v/>
      </c>
      <c r="P3272" s="77">
        <f>IF($A3272="",0,$H3272*설정!$C$23)</f>
        <v/>
      </c>
      <c r="Q3272" s="39">
        <f>IF($A3272="","",IF(O3272&lt;&gt;원인분석!$C$9,"",IF(AND(M3272&gt;=원인분석!$C$10,M3272&lt;=원인분석!$C$11),"당기",IF(AND(M3272&gt;=원인분석!$C$12,M3272&lt;=원인분석!$C$13),"비교",""))))</f>
        <v/>
      </c>
      <c r="R3272" s="9">
        <f>IF(Q3272="","",$K3272&amp;"")</f>
        <v/>
      </c>
      <c r="S3272" s="9">
        <f>IF(Q3272="","",IF(MATCH(R3272,$R$5:$R$100000,0)=ROW()-4,ROW(),""))</f>
        <v/>
      </c>
      <c r="T3272" s="9">
        <f>IF(Q3272="당기",ABS(P3272)+ROW()/1000000000,"")</f>
        <v/>
      </c>
      <c r="U3272" s="9">
        <f>IF(Q3272="비교",ABS(P3272)+ROW()/1000000000,"")</f>
        <v/>
      </c>
      <c r="V3272" s="39">
        <f>IF($A3272="","",IF(COUNTIF(변동분석!$E$7:$E$506,O3272)&gt;0,"Y","N"))</f>
        <v/>
      </c>
      <c r="W3272" s="39">
        <f>IF($A3272="","",IFERROR(INDEX(계정매핑!$D$5:$D$504,MATCH($F3272&amp;"",계정매핑!$A$5:$A$504,0)),"미매핑"))</f>
        <v/>
      </c>
      <c r="X3272" s="9">
        <f>IF($A3272="","",$F3272&amp;"")</f>
        <v/>
      </c>
    </row>
    <row r="3273">
      <c r="A3273" s="75" t="n">
        <v>2026</v>
      </c>
      <c r="B3273" s="75" t="n">
        <v>5</v>
      </c>
      <c r="C3273" s="75" t="inlineStr">
        <is>
          <t>5100000929</t>
        </is>
      </c>
      <c r="D3273" s="78" t="n">
        <v>46161</v>
      </c>
      <c r="E3273" s="75" t="inlineStr">
        <is>
          <t>KR</t>
        </is>
      </c>
      <c r="F3273" s="75" t="n">
        <v>62301000</v>
      </c>
      <c r="G3273" s="75" t="n">
        <v>1301</v>
      </c>
      <c r="H3273" s="76" t="n">
        <v>214000</v>
      </c>
      <c r="I3273" s="75" t="inlineStr">
        <is>
          <t>5월 소모품 구입 - Q오피스</t>
        </is>
      </c>
      <c r="J3273" s="75" t="inlineStr">
        <is>
          <t>V10003</t>
        </is>
      </c>
      <c r="K3273" s="75" t="inlineStr">
        <is>
          <t>Q오피스</t>
        </is>
      </c>
      <c r="M3273" s="9">
        <f>IF($A3273="","",VALUE($A3273&amp;"")*12+VALUE($B3273&amp;""))</f>
        <v/>
      </c>
      <c r="N3273" s="39">
        <f>IF($A3273="","",IFERROR(INDEX(부서매핑!$C$5:$C$504,MATCH($G3273&amp;"",부서매핑!$A$5:$A$504,0)),"미매핑"))</f>
        <v/>
      </c>
      <c r="O3273" s="9">
        <f>IF($A3273="","",N3273&amp;"|"&amp;$F3273)</f>
        <v/>
      </c>
      <c r="P3273" s="77">
        <f>IF($A3273="",0,$H3273*설정!$C$23)</f>
        <v/>
      </c>
      <c r="Q3273" s="39">
        <f>IF($A3273="","",IF(O3273&lt;&gt;원인분석!$C$9,"",IF(AND(M3273&gt;=원인분석!$C$10,M3273&lt;=원인분석!$C$11),"당기",IF(AND(M3273&gt;=원인분석!$C$12,M3273&lt;=원인분석!$C$13),"비교",""))))</f>
        <v/>
      </c>
      <c r="R3273" s="9">
        <f>IF(Q3273="","",$K3273&amp;"")</f>
        <v/>
      </c>
      <c r="S3273" s="9">
        <f>IF(Q3273="","",IF(MATCH(R3273,$R$5:$R$100000,0)=ROW()-4,ROW(),""))</f>
        <v/>
      </c>
      <c r="T3273" s="9">
        <f>IF(Q3273="당기",ABS(P3273)+ROW()/1000000000,"")</f>
        <v/>
      </c>
      <c r="U3273" s="9">
        <f>IF(Q3273="비교",ABS(P3273)+ROW()/1000000000,"")</f>
        <v/>
      </c>
      <c r="V3273" s="39">
        <f>IF($A3273="","",IF(COUNTIF(변동분석!$E$7:$E$506,O3273)&gt;0,"Y","N"))</f>
        <v/>
      </c>
      <c r="W3273" s="39">
        <f>IF($A3273="","",IFERROR(INDEX(계정매핑!$D$5:$D$504,MATCH($F3273&amp;"",계정매핑!$A$5:$A$504,0)),"미매핑"))</f>
        <v/>
      </c>
      <c r="X3273" s="9">
        <f>IF($A3273="","",$F3273&amp;"")</f>
        <v/>
      </c>
    </row>
    <row r="3274">
      <c r="A3274" s="75" t="n">
        <v>2026</v>
      </c>
      <c r="B3274" s="75" t="n">
        <v>5</v>
      </c>
      <c r="C3274" s="75" t="inlineStr">
        <is>
          <t>5100000930</t>
        </is>
      </c>
      <c r="D3274" s="78" t="n">
        <v>46161</v>
      </c>
      <c r="E3274" s="75" t="inlineStr">
        <is>
          <t>KR</t>
        </is>
      </c>
      <c r="F3274" s="75" t="n">
        <v>62401000</v>
      </c>
      <c r="G3274" s="75" t="n">
        <v>1801</v>
      </c>
      <c r="H3274" s="76" t="n">
        <v>2252000</v>
      </c>
      <c r="I3274" s="75" t="inlineStr">
        <is>
          <t>5월 인쇄물 제작 - G인쇄</t>
        </is>
      </c>
      <c r="J3274" s="75" t="inlineStr">
        <is>
          <t>V10004</t>
        </is>
      </c>
      <c r="K3274" s="75" t="inlineStr">
        <is>
          <t>G인쇄</t>
        </is>
      </c>
      <c r="M3274" s="9">
        <f>IF($A3274="","",VALUE($A3274&amp;"")*12+VALUE($B3274&amp;""))</f>
        <v/>
      </c>
      <c r="N3274" s="39">
        <f>IF($A3274="","",IFERROR(INDEX(부서매핑!$C$5:$C$504,MATCH($G3274&amp;"",부서매핑!$A$5:$A$504,0)),"미매핑"))</f>
        <v/>
      </c>
      <c r="O3274" s="9">
        <f>IF($A3274="","",N3274&amp;"|"&amp;$F3274)</f>
        <v/>
      </c>
      <c r="P3274" s="77">
        <f>IF($A3274="",0,$H3274*설정!$C$23)</f>
        <v/>
      </c>
      <c r="Q3274" s="39">
        <f>IF($A3274="","",IF(O3274&lt;&gt;원인분석!$C$9,"",IF(AND(M3274&gt;=원인분석!$C$10,M3274&lt;=원인분석!$C$11),"당기",IF(AND(M3274&gt;=원인분석!$C$12,M3274&lt;=원인분석!$C$13),"비교",""))))</f>
        <v/>
      </c>
      <c r="R3274" s="9">
        <f>IF(Q3274="","",$K3274&amp;"")</f>
        <v/>
      </c>
      <c r="S3274" s="9">
        <f>IF(Q3274="","",IF(MATCH(R3274,$R$5:$R$100000,0)=ROW()-4,ROW(),""))</f>
        <v/>
      </c>
      <c r="T3274" s="9">
        <f>IF(Q3274="당기",ABS(P3274)+ROW()/1000000000,"")</f>
        <v/>
      </c>
      <c r="U3274" s="9">
        <f>IF(Q3274="비교",ABS(P3274)+ROW()/1000000000,"")</f>
        <v/>
      </c>
      <c r="V3274" s="39">
        <f>IF($A3274="","",IF(COUNTIF(변동분석!$E$7:$E$506,O3274)&gt;0,"Y","N"))</f>
        <v/>
      </c>
      <c r="W3274" s="39">
        <f>IF($A3274="","",IFERROR(INDEX(계정매핑!$D$5:$D$504,MATCH($F3274&amp;"",계정매핑!$A$5:$A$504,0)),"미매핑"))</f>
        <v/>
      </c>
      <c r="X3274" s="9">
        <f>IF($A3274="","",$F3274&amp;"")</f>
        <v/>
      </c>
    </row>
    <row r="3275">
      <c r="A3275" s="75" t="n">
        <v>2026</v>
      </c>
      <c r="B3275" s="75" t="n">
        <v>5</v>
      </c>
      <c r="C3275" s="75" t="inlineStr">
        <is>
          <t>5100000931</t>
        </is>
      </c>
      <c r="D3275" s="78" t="n">
        <v>46161</v>
      </c>
      <c r="E3275" s="75" t="inlineStr">
        <is>
          <t>KR</t>
        </is>
      </c>
      <c r="F3275" s="75" t="n">
        <v>62601000</v>
      </c>
      <c r="G3275" s="75" t="n">
        <v>1101</v>
      </c>
      <c r="H3275" s="76" t="n">
        <v>1361000</v>
      </c>
      <c r="I3275" s="75" t="inlineStr">
        <is>
          <t>5월 업무추진 - (법인카드)</t>
        </is>
      </c>
      <c r="J3275" s="75" t="inlineStr">
        <is>
          <t>V10008</t>
        </is>
      </c>
      <c r="K3275" s="75" t="inlineStr">
        <is>
          <t>(법인카드)</t>
        </is>
      </c>
      <c r="M3275" s="9">
        <f>IF($A3275="","",VALUE($A3275&amp;"")*12+VALUE($B3275&amp;""))</f>
        <v/>
      </c>
      <c r="N3275" s="39">
        <f>IF($A3275="","",IFERROR(INDEX(부서매핑!$C$5:$C$504,MATCH($G3275&amp;"",부서매핑!$A$5:$A$504,0)),"미매핑"))</f>
        <v/>
      </c>
      <c r="O3275" s="9">
        <f>IF($A3275="","",N3275&amp;"|"&amp;$F3275)</f>
        <v/>
      </c>
      <c r="P3275" s="77">
        <f>IF($A3275="",0,$H3275*설정!$C$23)</f>
        <v/>
      </c>
      <c r="Q3275" s="39">
        <f>IF($A3275="","",IF(O3275&lt;&gt;원인분석!$C$9,"",IF(AND(M3275&gt;=원인분석!$C$10,M3275&lt;=원인분석!$C$11),"당기",IF(AND(M3275&gt;=원인분석!$C$12,M3275&lt;=원인분석!$C$13),"비교",""))))</f>
        <v/>
      </c>
      <c r="R3275" s="9">
        <f>IF(Q3275="","",$K3275&amp;"")</f>
        <v/>
      </c>
      <c r="S3275" s="9">
        <f>IF(Q3275="","",IF(MATCH(R3275,$R$5:$R$100000,0)=ROW()-4,ROW(),""))</f>
        <v/>
      </c>
      <c r="T3275" s="9">
        <f>IF(Q3275="당기",ABS(P3275)+ROW()/1000000000,"")</f>
        <v/>
      </c>
      <c r="U3275" s="9">
        <f>IF(Q3275="비교",ABS(P3275)+ROW()/1000000000,"")</f>
        <v/>
      </c>
      <c r="V3275" s="39">
        <f>IF($A3275="","",IF(COUNTIF(변동분석!$E$7:$E$506,O3275)&gt;0,"Y","N"))</f>
        <v/>
      </c>
      <c r="W3275" s="39">
        <f>IF($A3275="","",IFERROR(INDEX(계정매핑!$D$5:$D$504,MATCH($F3275&amp;"",계정매핑!$A$5:$A$504,0)),"미매핑"))</f>
        <v/>
      </c>
      <c r="X3275" s="9">
        <f>IF($A3275="","",$F3275&amp;"")</f>
        <v/>
      </c>
    </row>
    <row r="3276">
      <c r="A3276" s="75" t="n">
        <v>2026</v>
      </c>
      <c r="B3276" s="75" t="n">
        <v>5</v>
      </c>
      <c r="C3276" s="75" t="inlineStr">
        <is>
          <t>5100000932</t>
        </is>
      </c>
      <c r="D3276" s="78" t="n">
        <v>46162</v>
      </c>
      <c r="E3276" s="75" t="inlineStr">
        <is>
          <t>KR</t>
        </is>
      </c>
      <c r="F3276" s="75" t="n">
        <v>62101000</v>
      </c>
      <c r="G3276" s="75" t="n">
        <v>1401</v>
      </c>
      <c r="H3276" s="76" t="n">
        <v>459000</v>
      </c>
      <c r="I3276" s="75" t="inlineStr">
        <is>
          <t>5월 국내출장 - (법인카드)</t>
        </is>
      </c>
      <c r="J3276" s="75" t="inlineStr">
        <is>
          <t>V10008</t>
        </is>
      </c>
      <c r="K3276" s="75" t="inlineStr">
        <is>
          <t>(법인카드)</t>
        </is>
      </c>
      <c r="M3276" s="9">
        <f>IF($A3276="","",VALUE($A3276&amp;"")*12+VALUE($B3276&amp;""))</f>
        <v/>
      </c>
      <c r="N3276" s="39">
        <f>IF($A3276="","",IFERROR(INDEX(부서매핑!$C$5:$C$504,MATCH($G3276&amp;"",부서매핑!$A$5:$A$504,0)),"미매핑"))</f>
        <v/>
      </c>
      <c r="O3276" s="9">
        <f>IF($A3276="","",N3276&amp;"|"&amp;$F3276)</f>
        <v/>
      </c>
      <c r="P3276" s="77">
        <f>IF($A3276="",0,$H3276*설정!$C$23)</f>
        <v/>
      </c>
      <c r="Q3276" s="39">
        <f>IF($A3276="","",IF(O3276&lt;&gt;원인분석!$C$9,"",IF(AND(M3276&gt;=원인분석!$C$10,M3276&lt;=원인분석!$C$11),"당기",IF(AND(M3276&gt;=원인분석!$C$12,M3276&lt;=원인분석!$C$13),"비교",""))))</f>
        <v/>
      </c>
      <c r="R3276" s="9">
        <f>IF(Q3276="","",$K3276&amp;"")</f>
        <v/>
      </c>
      <c r="S3276" s="9">
        <f>IF(Q3276="","",IF(MATCH(R3276,$R$5:$R$100000,0)=ROW()-4,ROW(),""))</f>
        <v/>
      </c>
      <c r="T3276" s="9">
        <f>IF(Q3276="당기",ABS(P3276)+ROW()/1000000000,"")</f>
        <v/>
      </c>
      <c r="U3276" s="9">
        <f>IF(Q3276="비교",ABS(P3276)+ROW()/1000000000,"")</f>
        <v/>
      </c>
      <c r="V3276" s="39">
        <f>IF($A3276="","",IF(COUNTIF(변동분석!$E$7:$E$506,O3276)&gt;0,"Y","N"))</f>
        <v/>
      </c>
      <c r="W3276" s="39">
        <f>IF($A3276="","",IFERROR(INDEX(계정매핑!$D$5:$D$504,MATCH($F3276&amp;"",계정매핑!$A$5:$A$504,0)),"미매핑"))</f>
        <v/>
      </c>
      <c r="X3276" s="9">
        <f>IF($A3276="","",$F3276&amp;"")</f>
        <v/>
      </c>
    </row>
    <row r="3277">
      <c r="A3277" s="75" t="n">
        <v>2026</v>
      </c>
      <c r="B3277" s="75" t="n">
        <v>5</v>
      </c>
      <c r="C3277" s="75" t="inlineStr">
        <is>
          <t>5100000933</t>
        </is>
      </c>
      <c r="D3277" s="78" t="n">
        <v>46162</v>
      </c>
      <c r="E3277" s="75" t="inlineStr">
        <is>
          <t>KR</t>
        </is>
      </c>
      <c r="F3277" s="75" t="n">
        <v>62201000</v>
      </c>
      <c r="G3277" s="75" t="n">
        <v>1201</v>
      </c>
      <c r="H3277" s="76" t="n">
        <v>116000</v>
      </c>
      <c r="I3277" s="75" t="inlineStr">
        <is>
          <t>5월 통신요금 - P통신</t>
        </is>
      </c>
      <c r="J3277" s="75" t="inlineStr">
        <is>
          <t>V10011</t>
        </is>
      </c>
      <c r="K3277" s="75" t="inlineStr">
        <is>
          <t>P통신</t>
        </is>
      </c>
      <c r="M3277" s="9">
        <f>IF($A3277="","",VALUE($A3277&amp;"")*12+VALUE($B3277&amp;""))</f>
        <v/>
      </c>
      <c r="N3277" s="39">
        <f>IF($A3277="","",IFERROR(INDEX(부서매핑!$C$5:$C$504,MATCH($G3277&amp;"",부서매핑!$A$5:$A$504,0)),"미매핑"))</f>
        <v/>
      </c>
      <c r="O3277" s="9">
        <f>IF($A3277="","",N3277&amp;"|"&amp;$F3277)</f>
        <v/>
      </c>
      <c r="P3277" s="77">
        <f>IF($A3277="",0,$H3277*설정!$C$23)</f>
        <v/>
      </c>
      <c r="Q3277" s="39">
        <f>IF($A3277="","",IF(O3277&lt;&gt;원인분석!$C$9,"",IF(AND(M3277&gt;=원인분석!$C$10,M3277&lt;=원인분석!$C$11),"당기",IF(AND(M3277&gt;=원인분석!$C$12,M3277&lt;=원인분석!$C$13),"비교",""))))</f>
        <v/>
      </c>
      <c r="R3277" s="9">
        <f>IF(Q3277="","",$K3277&amp;"")</f>
        <v/>
      </c>
      <c r="S3277" s="9">
        <f>IF(Q3277="","",IF(MATCH(R3277,$R$5:$R$100000,0)=ROW()-4,ROW(),""))</f>
        <v/>
      </c>
      <c r="T3277" s="9">
        <f>IF(Q3277="당기",ABS(P3277)+ROW()/1000000000,"")</f>
        <v/>
      </c>
      <c r="U3277" s="9">
        <f>IF(Q3277="비교",ABS(P3277)+ROW()/1000000000,"")</f>
        <v/>
      </c>
      <c r="V3277" s="39">
        <f>IF($A3277="","",IF(COUNTIF(변동분석!$E$7:$E$506,O3277)&gt;0,"Y","N"))</f>
        <v/>
      </c>
      <c r="W3277" s="39">
        <f>IF($A3277="","",IFERROR(INDEX(계정매핑!$D$5:$D$504,MATCH($F3277&amp;"",계정매핑!$A$5:$A$504,0)),"미매핑"))</f>
        <v/>
      </c>
      <c r="X3277" s="9">
        <f>IF($A3277="","",$F3277&amp;"")</f>
        <v/>
      </c>
    </row>
    <row r="3278">
      <c r="A3278" s="75" t="n">
        <v>2026</v>
      </c>
      <c r="B3278" s="75" t="n">
        <v>5</v>
      </c>
      <c r="C3278" s="75" t="inlineStr">
        <is>
          <t>5100000934</t>
        </is>
      </c>
      <c r="D3278" s="78" t="n">
        <v>46162</v>
      </c>
      <c r="E3278" s="75" t="inlineStr">
        <is>
          <t>KR</t>
        </is>
      </c>
      <c r="F3278" s="75" t="n">
        <v>62201000</v>
      </c>
      <c r="G3278" s="75" t="n">
        <v>1601</v>
      </c>
      <c r="H3278" s="76" t="n">
        <v>932000</v>
      </c>
      <c r="I3278" s="75" t="inlineStr">
        <is>
          <t>5월 통신요금 - O텔레콤</t>
        </is>
      </c>
      <c r="J3278" s="75" t="inlineStr">
        <is>
          <t>V10002</t>
        </is>
      </c>
      <c r="K3278" s="75" t="inlineStr">
        <is>
          <t>O텔레콤</t>
        </is>
      </c>
      <c r="M3278" s="9">
        <f>IF($A3278="","",VALUE($A3278&amp;"")*12+VALUE($B3278&amp;""))</f>
        <v/>
      </c>
      <c r="N3278" s="39">
        <f>IF($A3278="","",IFERROR(INDEX(부서매핑!$C$5:$C$504,MATCH($G3278&amp;"",부서매핑!$A$5:$A$504,0)),"미매핑"))</f>
        <v/>
      </c>
      <c r="O3278" s="9">
        <f>IF($A3278="","",N3278&amp;"|"&amp;$F3278)</f>
        <v/>
      </c>
      <c r="P3278" s="77">
        <f>IF($A3278="",0,$H3278*설정!$C$23)</f>
        <v/>
      </c>
      <c r="Q3278" s="39">
        <f>IF($A3278="","",IF(O3278&lt;&gt;원인분석!$C$9,"",IF(AND(M3278&gt;=원인분석!$C$10,M3278&lt;=원인분석!$C$11),"당기",IF(AND(M3278&gt;=원인분석!$C$12,M3278&lt;=원인분석!$C$13),"비교",""))))</f>
        <v/>
      </c>
      <c r="R3278" s="9">
        <f>IF(Q3278="","",$K3278&amp;"")</f>
        <v/>
      </c>
      <c r="S3278" s="9">
        <f>IF(Q3278="","",IF(MATCH(R3278,$R$5:$R$100000,0)=ROW()-4,ROW(),""))</f>
        <v/>
      </c>
      <c r="T3278" s="9">
        <f>IF(Q3278="당기",ABS(P3278)+ROW()/1000000000,"")</f>
        <v/>
      </c>
      <c r="U3278" s="9">
        <f>IF(Q3278="비교",ABS(P3278)+ROW()/1000000000,"")</f>
        <v/>
      </c>
      <c r="V3278" s="39">
        <f>IF($A3278="","",IF(COUNTIF(변동분석!$E$7:$E$506,O3278)&gt;0,"Y","N"))</f>
        <v/>
      </c>
      <c r="W3278" s="39">
        <f>IF($A3278="","",IFERROR(INDEX(계정매핑!$D$5:$D$504,MATCH($F3278&amp;"",계정매핑!$A$5:$A$504,0)),"미매핑"))</f>
        <v/>
      </c>
      <c r="X3278" s="9">
        <f>IF($A3278="","",$F3278&amp;"")</f>
        <v/>
      </c>
    </row>
    <row r="3279">
      <c r="A3279" s="75" t="n">
        <v>2026</v>
      </c>
      <c r="B3279" s="75" t="n">
        <v>5</v>
      </c>
      <c r="C3279" s="75" t="inlineStr">
        <is>
          <t>5100000935</t>
        </is>
      </c>
      <c r="D3279" s="78" t="n">
        <v>46162</v>
      </c>
      <c r="E3279" s="75" t="inlineStr">
        <is>
          <t>KR</t>
        </is>
      </c>
      <c r="F3279" s="75" t="n">
        <v>62401000</v>
      </c>
      <c r="G3279" s="75" t="n">
        <v>1501</v>
      </c>
      <c r="H3279" s="76" t="n">
        <v>1776000</v>
      </c>
      <c r="I3279" s="75" t="inlineStr">
        <is>
          <t>5월 인쇄물 제작 - S출판</t>
        </is>
      </c>
      <c r="J3279" s="75" t="inlineStr">
        <is>
          <t>V10012</t>
        </is>
      </c>
      <c r="K3279" s="75" t="inlineStr">
        <is>
          <t>S출판</t>
        </is>
      </c>
      <c r="M3279" s="9">
        <f>IF($A3279="","",VALUE($A3279&amp;"")*12+VALUE($B3279&amp;""))</f>
        <v/>
      </c>
      <c r="N3279" s="39">
        <f>IF($A3279="","",IFERROR(INDEX(부서매핑!$C$5:$C$504,MATCH($G3279&amp;"",부서매핑!$A$5:$A$504,0)),"미매핑"))</f>
        <v/>
      </c>
      <c r="O3279" s="9">
        <f>IF($A3279="","",N3279&amp;"|"&amp;$F3279)</f>
        <v/>
      </c>
      <c r="P3279" s="77">
        <f>IF($A3279="",0,$H3279*설정!$C$23)</f>
        <v/>
      </c>
      <c r="Q3279" s="39">
        <f>IF($A3279="","",IF(O3279&lt;&gt;원인분석!$C$9,"",IF(AND(M3279&gt;=원인분석!$C$10,M3279&lt;=원인분석!$C$11),"당기",IF(AND(M3279&gt;=원인분석!$C$12,M3279&lt;=원인분석!$C$13),"비교",""))))</f>
        <v/>
      </c>
      <c r="R3279" s="9">
        <f>IF(Q3279="","",$K3279&amp;"")</f>
        <v/>
      </c>
      <c r="S3279" s="9">
        <f>IF(Q3279="","",IF(MATCH(R3279,$R$5:$R$100000,0)=ROW()-4,ROW(),""))</f>
        <v/>
      </c>
      <c r="T3279" s="9">
        <f>IF(Q3279="당기",ABS(P3279)+ROW()/1000000000,"")</f>
        <v/>
      </c>
      <c r="U3279" s="9">
        <f>IF(Q3279="비교",ABS(P3279)+ROW()/1000000000,"")</f>
        <v/>
      </c>
      <c r="V3279" s="39">
        <f>IF($A3279="","",IF(COUNTIF(변동분석!$E$7:$E$506,O3279)&gt;0,"Y","N"))</f>
        <v/>
      </c>
      <c r="W3279" s="39">
        <f>IF($A3279="","",IFERROR(INDEX(계정매핑!$D$5:$D$504,MATCH($F3279&amp;"",계정매핑!$A$5:$A$504,0)),"미매핑"))</f>
        <v/>
      </c>
      <c r="X3279" s="9">
        <f>IF($A3279="","",$F3279&amp;"")</f>
        <v/>
      </c>
    </row>
    <row r="3280">
      <c r="A3280" s="75" t="n">
        <v>2026</v>
      </c>
      <c r="B3280" s="75" t="n">
        <v>5</v>
      </c>
      <c r="C3280" s="75" t="inlineStr">
        <is>
          <t>5100000936</t>
        </is>
      </c>
      <c r="D3280" s="78" t="n">
        <v>46162</v>
      </c>
      <c r="E3280" s="75" t="inlineStr">
        <is>
          <t>KR</t>
        </is>
      </c>
      <c r="F3280" s="75" t="n">
        <v>62401000</v>
      </c>
      <c r="G3280" s="75" t="n">
        <v>1502</v>
      </c>
      <c r="H3280" s="76" t="n">
        <v>1334000</v>
      </c>
      <c r="I3280" s="75" t="inlineStr">
        <is>
          <t>5월 인쇄물 제작 - G인쇄</t>
        </is>
      </c>
      <c r="J3280" s="75" t="inlineStr">
        <is>
          <t>V10004</t>
        </is>
      </c>
      <c r="K3280" s="75" t="inlineStr">
        <is>
          <t>G인쇄</t>
        </is>
      </c>
      <c r="M3280" s="9">
        <f>IF($A3280="","",VALUE($A3280&amp;"")*12+VALUE($B3280&amp;""))</f>
        <v/>
      </c>
      <c r="N3280" s="39">
        <f>IF($A3280="","",IFERROR(INDEX(부서매핑!$C$5:$C$504,MATCH($G3280&amp;"",부서매핑!$A$5:$A$504,0)),"미매핑"))</f>
        <v/>
      </c>
      <c r="O3280" s="9">
        <f>IF($A3280="","",N3280&amp;"|"&amp;$F3280)</f>
        <v/>
      </c>
      <c r="P3280" s="77">
        <f>IF($A3280="",0,$H3280*설정!$C$23)</f>
        <v/>
      </c>
      <c r="Q3280" s="39">
        <f>IF($A3280="","",IF(O3280&lt;&gt;원인분석!$C$9,"",IF(AND(M3280&gt;=원인분석!$C$10,M3280&lt;=원인분석!$C$11),"당기",IF(AND(M3280&gt;=원인분석!$C$12,M3280&lt;=원인분석!$C$13),"비교",""))))</f>
        <v/>
      </c>
      <c r="R3280" s="9">
        <f>IF(Q3280="","",$K3280&amp;"")</f>
        <v/>
      </c>
      <c r="S3280" s="9">
        <f>IF(Q3280="","",IF(MATCH(R3280,$R$5:$R$100000,0)=ROW()-4,ROW(),""))</f>
        <v/>
      </c>
      <c r="T3280" s="9">
        <f>IF(Q3280="당기",ABS(P3280)+ROW()/1000000000,"")</f>
        <v/>
      </c>
      <c r="U3280" s="9">
        <f>IF(Q3280="비교",ABS(P3280)+ROW()/1000000000,"")</f>
        <v/>
      </c>
      <c r="V3280" s="39">
        <f>IF($A3280="","",IF(COUNTIF(변동분석!$E$7:$E$506,O3280)&gt;0,"Y","N"))</f>
        <v/>
      </c>
      <c r="W3280" s="39">
        <f>IF($A3280="","",IFERROR(INDEX(계정매핑!$D$5:$D$504,MATCH($F3280&amp;"",계정매핑!$A$5:$A$504,0)),"미매핑"))</f>
        <v/>
      </c>
      <c r="X3280" s="9">
        <f>IF($A3280="","",$F3280&amp;"")</f>
        <v/>
      </c>
    </row>
    <row r="3281">
      <c r="A3281" s="75" t="n">
        <v>2026</v>
      </c>
      <c r="B3281" s="75" t="n">
        <v>5</v>
      </c>
      <c r="C3281" s="75" t="inlineStr">
        <is>
          <t>5100000937</t>
        </is>
      </c>
      <c r="D3281" s="78" t="n">
        <v>46162</v>
      </c>
      <c r="E3281" s="75" t="inlineStr">
        <is>
          <t>KR</t>
        </is>
      </c>
      <c r="F3281" s="75" t="n">
        <v>62901000</v>
      </c>
      <c r="G3281" s="75" t="n">
        <v>1401</v>
      </c>
      <c r="H3281" s="76" t="n">
        <v>7036000</v>
      </c>
      <c r="I3281" s="75" t="inlineStr">
        <is>
          <t>5월 자문 수수료 - W컨설팅</t>
        </is>
      </c>
      <c r="J3281" s="75" t="inlineStr">
        <is>
          <t>V10009</t>
        </is>
      </c>
      <c r="K3281" s="75" t="inlineStr">
        <is>
          <t>W컨설팅</t>
        </is>
      </c>
      <c r="M3281" s="9">
        <f>IF($A3281="","",VALUE($A3281&amp;"")*12+VALUE($B3281&amp;""))</f>
        <v/>
      </c>
      <c r="N3281" s="39">
        <f>IF($A3281="","",IFERROR(INDEX(부서매핑!$C$5:$C$504,MATCH($G3281&amp;"",부서매핑!$A$5:$A$504,0)),"미매핑"))</f>
        <v/>
      </c>
      <c r="O3281" s="9">
        <f>IF($A3281="","",N3281&amp;"|"&amp;$F3281)</f>
        <v/>
      </c>
      <c r="P3281" s="77">
        <f>IF($A3281="",0,$H3281*설정!$C$23)</f>
        <v/>
      </c>
      <c r="Q3281" s="39">
        <f>IF($A3281="","",IF(O3281&lt;&gt;원인분석!$C$9,"",IF(AND(M3281&gt;=원인분석!$C$10,M3281&lt;=원인분석!$C$11),"당기",IF(AND(M3281&gt;=원인분석!$C$12,M3281&lt;=원인분석!$C$13),"비교",""))))</f>
        <v/>
      </c>
      <c r="R3281" s="9">
        <f>IF(Q3281="","",$K3281&amp;"")</f>
        <v/>
      </c>
      <c r="S3281" s="9">
        <f>IF(Q3281="","",IF(MATCH(R3281,$R$5:$R$100000,0)=ROW()-4,ROW(),""))</f>
        <v/>
      </c>
      <c r="T3281" s="9">
        <f>IF(Q3281="당기",ABS(P3281)+ROW()/1000000000,"")</f>
        <v/>
      </c>
      <c r="U3281" s="9">
        <f>IF(Q3281="비교",ABS(P3281)+ROW()/1000000000,"")</f>
        <v/>
      </c>
      <c r="V3281" s="39">
        <f>IF($A3281="","",IF(COUNTIF(변동분석!$E$7:$E$506,O3281)&gt;0,"Y","N"))</f>
        <v/>
      </c>
      <c r="W3281" s="39">
        <f>IF($A3281="","",IFERROR(INDEX(계정매핑!$D$5:$D$504,MATCH($F3281&amp;"",계정매핑!$A$5:$A$504,0)),"미매핑"))</f>
        <v/>
      </c>
      <c r="X3281" s="9">
        <f>IF($A3281="","",$F3281&amp;"")</f>
        <v/>
      </c>
    </row>
    <row r="3282">
      <c r="A3282" s="75" t="n">
        <v>2026</v>
      </c>
      <c r="B3282" s="75" t="n">
        <v>5</v>
      </c>
      <c r="C3282" s="75" t="inlineStr">
        <is>
          <t>5100000938</t>
        </is>
      </c>
      <c r="D3282" s="78" t="n">
        <v>46162</v>
      </c>
      <c r="E3282" s="75" t="inlineStr">
        <is>
          <t>KR</t>
        </is>
      </c>
      <c r="F3282" s="75" t="n">
        <v>62902000</v>
      </c>
      <c r="G3282" s="75" t="n">
        <v>1101</v>
      </c>
      <c r="H3282" s="76" t="n">
        <v>1795000</v>
      </c>
      <c r="I3282" s="75" t="inlineStr">
        <is>
          <t>5월 업무 위탁 수수료 - X서비스</t>
        </is>
      </c>
      <c r="J3282" s="75" t="inlineStr">
        <is>
          <t>V10016</t>
        </is>
      </c>
      <c r="K3282" s="75" t="inlineStr">
        <is>
          <t>X서비스</t>
        </is>
      </c>
      <c r="M3282" s="9">
        <f>IF($A3282="","",VALUE($A3282&amp;"")*12+VALUE($B3282&amp;""))</f>
        <v/>
      </c>
      <c r="N3282" s="39">
        <f>IF($A3282="","",IFERROR(INDEX(부서매핑!$C$5:$C$504,MATCH($G3282&amp;"",부서매핑!$A$5:$A$504,0)),"미매핑"))</f>
        <v/>
      </c>
      <c r="O3282" s="9">
        <f>IF($A3282="","",N3282&amp;"|"&amp;$F3282)</f>
        <v/>
      </c>
      <c r="P3282" s="77">
        <f>IF($A3282="",0,$H3282*설정!$C$23)</f>
        <v/>
      </c>
      <c r="Q3282" s="39">
        <f>IF($A3282="","",IF(O3282&lt;&gt;원인분석!$C$9,"",IF(AND(M3282&gt;=원인분석!$C$10,M3282&lt;=원인분석!$C$11),"당기",IF(AND(M3282&gt;=원인분석!$C$12,M3282&lt;=원인분석!$C$13),"비교",""))))</f>
        <v/>
      </c>
      <c r="R3282" s="9">
        <f>IF(Q3282="","",$K3282&amp;"")</f>
        <v/>
      </c>
      <c r="S3282" s="9">
        <f>IF(Q3282="","",IF(MATCH(R3282,$R$5:$R$100000,0)=ROW()-4,ROW(),""))</f>
        <v/>
      </c>
      <c r="T3282" s="9">
        <f>IF(Q3282="당기",ABS(P3282)+ROW()/1000000000,"")</f>
        <v/>
      </c>
      <c r="U3282" s="9">
        <f>IF(Q3282="비교",ABS(P3282)+ROW()/1000000000,"")</f>
        <v/>
      </c>
      <c r="V3282" s="39">
        <f>IF($A3282="","",IF(COUNTIF(변동분석!$E$7:$E$506,O3282)&gt;0,"Y","N"))</f>
        <v/>
      </c>
      <c r="W3282" s="39">
        <f>IF($A3282="","",IFERROR(INDEX(계정매핑!$D$5:$D$504,MATCH($F3282&amp;"",계정매핑!$A$5:$A$504,0)),"미매핑"))</f>
        <v/>
      </c>
      <c r="X3282" s="9">
        <f>IF($A3282="","",$F3282&amp;"")</f>
        <v/>
      </c>
    </row>
    <row r="3283">
      <c r="A3283" s="75" t="n">
        <v>2026</v>
      </c>
      <c r="B3283" s="75" t="n">
        <v>5</v>
      </c>
      <c r="C3283" s="75" t="inlineStr">
        <is>
          <t>5100000939</t>
        </is>
      </c>
      <c r="D3283" s="78" t="n">
        <v>46162</v>
      </c>
      <c r="E3283" s="75" t="inlineStr">
        <is>
          <t>KR</t>
        </is>
      </c>
      <c r="F3283" s="75" t="n">
        <v>62902000</v>
      </c>
      <c r="G3283" s="75" t="n">
        <v>1401</v>
      </c>
      <c r="H3283" s="76" t="n">
        <v>1529000</v>
      </c>
      <c r="I3283" s="75" t="inlineStr">
        <is>
          <t>5월 업무 위탁 수수료 - J콜센터</t>
        </is>
      </c>
      <c r="J3283" s="75" t="inlineStr">
        <is>
          <t>V10013</t>
        </is>
      </c>
      <c r="K3283" s="75" t="inlineStr">
        <is>
          <t>J콜센터</t>
        </is>
      </c>
      <c r="M3283" s="9">
        <f>IF($A3283="","",VALUE($A3283&amp;"")*12+VALUE($B3283&amp;""))</f>
        <v/>
      </c>
      <c r="N3283" s="39">
        <f>IF($A3283="","",IFERROR(INDEX(부서매핑!$C$5:$C$504,MATCH($G3283&amp;"",부서매핑!$A$5:$A$504,0)),"미매핑"))</f>
        <v/>
      </c>
      <c r="O3283" s="9">
        <f>IF($A3283="","",N3283&amp;"|"&amp;$F3283)</f>
        <v/>
      </c>
      <c r="P3283" s="77">
        <f>IF($A3283="",0,$H3283*설정!$C$23)</f>
        <v/>
      </c>
      <c r="Q3283" s="39">
        <f>IF($A3283="","",IF(O3283&lt;&gt;원인분석!$C$9,"",IF(AND(M3283&gt;=원인분석!$C$10,M3283&lt;=원인분석!$C$11),"당기",IF(AND(M3283&gt;=원인분석!$C$12,M3283&lt;=원인분석!$C$13),"비교",""))))</f>
        <v/>
      </c>
      <c r="R3283" s="9">
        <f>IF(Q3283="","",$K3283&amp;"")</f>
        <v/>
      </c>
      <c r="S3283" s="9">
        <f>IF(Q3283="","",IF(MATCH(R3283,$R$5:$R$100000,0)=ROW()-4,ROW(),""))</f>
        <v/>
      </c>
      <c r="T3283" s="9">
        <f>IF(Q3283="당기",ABS(P3283)+ROW()/1000000000,"")</f>
        <v/>
      </c>
      <c r="U3283" s="9">
        <f>IF(Q3283="비교",ABS(P3283)+ROW()/1000000000,"")</f>
        <v/>
      </c>
      <c r="V3283" s="39">
        <f>IF($A3283="","",IF(COUNTIF(변동분석!$E$7:$E$506,O3283)&gt;0,"Y","N"))</f>
        <v/>
      </c>
      <c r="W3283" s="39">
        <f>IF($A3283="","",IFERROR(INDEX(계정매핑!$D$5:$D$504,MATCH($F3283&amp;"",계정매핑!$A$5:$A$504,0)),"미매핑"))</f>
        <v/>
      </c>
      <c r="X3283" s="9">
        <f>IF($A3283="","",$F3283&amp;"")</f>
        <v/>
      </c>
    </row>
    <row r="3284">
      <c r="A3284" s="75" t="n">
        <v>2026</v>
      </c>
      <c r="B3284" s="75" t="n">
        <v>5</v>
      </c>
      <c r="C3284" s="75" t="inlineStr">
        <is>
          <t>5100000940</t>
        </is>
      </c>
      <c r="D3284" s="78" t="n">
        <v>46163</v>
      </c>
      <c r="E3284" s="75" t="inlineStr">
        <is>
          <t>KR</t>
        </is>
      </c>
      <c r="F3284" s="75" t="n">
        <v>62101000</v>
      </c>
      <c r="G3284" s="75" t="n">
        <v>1101</v>
      </c>
      <c r="H3284" s="76" t="n">
        <v>425000</v>
      </c>
      <c r="I3284" s="75" t="inlineStr">
        <is>
          <t>5월 국내출장 - L여행사</t>
        </is>
      </c>
      <c r="J3284" s="75" t="inlineStr">
        <is>
          <t>V10014</t>
        </is>
      </c>
      <c r="K3284" s="75" t="inlineStr">
        <is>
          <t>L여행사</t>
        </is>
      </c>
      <c r="M3284" s="9">
        <f>IF($A3284="","",VALUE($A3284&amp;"")*12+VALUE($B3284&amp;""))</f>
        <v/>
      </c>
      <c r="N3284" s="39">
        <f>IF($A3284="","",IFERROR(INDEX(부서매핑!$C$5:$C$504,MATCH($G3284&amp;"",부서매핑!$A$5:$A$504,0)),"미매핑"))</f>
        <v/>
      </c>
      <c r="O3284" s="9">
        <f>IF($A3284="","",N3284&amp;"|"&amp;$F3284)</f>
        <v/>
      </c>
      <c r="P3284" s="77">
        <f>IF($A3284="",0,$H3284*설정!$C$23)</f>
        <v/>
      </c>
      <c r="Q3284" s="39">
        <f>IF($A3284="","",IF(O3284&lt;&gt;원인분석!$C$9,"",IF(AND(M3284&gt;=원인분석!$C$10,M3284&lt;=원인분석!$C$11),"당기",IF(AND(M3284&gt;=원인분석!$C$12,M3284&lt;=원인분석!$C$13),"비교",""))))</f>
        <v/>
      </c>
      <c r="R3284" s="9">
        <f>IF(Q3284="","",$K3284&amp;"")</f>
        <v/>
      </c>
      <c r="S3284" s="9">
        <f>IF(Q3284="","",IF(MATCH(R3284,$R$5:$R$100000,0)=ROW()-4,ROW(),""))</f>
        <v/>
      </c>
      <c r="T3284" s="9">
        <f>IF(Q3284="당기",ABS(P3284)+ROW()/1000000000,"")</f>
        <v/>
      </c>
      <c r="U3284" s="9">
        <f>IF(Q3284="비교",ABS(P3284)+ROW()/1000000000,"")</f>
        <v/>
      </c>
      <c r="V3284" s="39">
        <f>IF($A3284="","",IF(COUNTIF(변동분석!$E$7:$E$506,O3284)&gt;0,"Y","N"))</f>
        <v/>
      </c>
      <c r="W3284" s="39">
        <f>IF($A3284="","",IFERROR(INDEX(계정매핑!$D$5:$D$504,MATCH($F3284&amp;"",계정매핑!$A$5:$A$504,0)),"미매핑"))</f>
        <v/>
      </c>
      <c r="X3284" s="9">
        <f>IF($A3284="","",$F3284&amp;"")</f>
        <v/>
      </c>
    </row>
    <row r="3285">
      <c r="A3285" s="75" t="n">
        <v>2026</v>
      </c>
      <c r="B3285" s="75" t="n">
        <v>5</v>
      </c>
      <c r="C3285" s="75" t="inlineStr">
        <is>
          <t>5100000941</t>
        </is>
      </c>
      <c r="D3285" s="78" t="n">
        <v>46163</v>
      </c>
      <c r="E3285" s="75" t="inlineStr">
        <is>
          <t>KR</t>
        </is>
      </c>
      <c r="F3285" s="75" t="n">
        <v>62201000</v>
      </c>
      <c r="G3285" s="75" t="n">
        <v>1501</v>
      </c>
      <c r="H3285" s="76" t="n">
        <v>366000</v>
      </c>
      <c r="I3285" s="75" t="inlineStr">
        <is>
          <t>5월 통신요금 - O텔레콤</t>
        </is>
      </c>
      <c r="J3285" s="75" t="inlineStr">
        <is>
          <t>V10002</t>
        </is>
      </c>
      <c r="K3285" s="75" t="inlineStr">
        <is>
          <t>O텔레콤</t>
        </is>
      </c>
      <c r="M3285" s="9">
        <f>IF($A3285="","",VALUE($A3285&amp;"")*12+VALUE($B3285&amp;""))</f>
        <v/>
      </c>
      <c r="N3285" s="39">
        <f>IF($A3285="","",IFERROR(INDEX(부서매핑!$C$5:$C$504,MATCH($G3285&amp;"",부서매핑!$A$5:$A$504,0)),"미매핑"))</f>
        <v/>
      </c>
      <c r="O3285" s="9">
        <f>IF($A3285="","",N3285&amp;"|"&amp;$F3285)</f>
        <v/>
      </c>
      <c r="P3285" s="77">
        <f>IF($A3285="",0,$H3285*설정!$C$23)</f>
        <v/>
      </c>
      <c r="Q3285" s="39">
        <f>IF($A3285="","",IF(O3285&lt;&gt;원인분석!$C$9,"",IF(AND(M3285&gt;=원인분석!$C$10,M3285&lt;=원인분석!$C$11),"당기",IF(AND(M3285&gt;=원인분석!$C$12,M3285&lt;=원인분석!$C$13),"비교",""))))</f>
        <v/>
      </c>
      <c r="R3285" s="9">
        <f>IF(Q3285="","",$K3285&amp;"")</f>
        <v/>
      </c>
      <c r="S3285" s="9">
        <f>IF(Q3285="","",IF(MATCH(R3285,$R$5:$R$100000,0)=ROW()-4,ROW(),""))</f>
        <v/>
      </c>
      <c r="T3285" s="9">
        <f>IF(Q3285="당기",ABS(P3285)+ROW()/1000000000,"")</f>
        <v/>
      </c>
      <c r="U3285" s="9">
        <f>IF(Q3285="비교",ABS(P3285)+ROW()/1000000000,"")</f>
        <v/>
      </c>
      <c r="V3285" s="39">
        <f>IF($A3285="","",IF(COUNTIF(변동분석!$E$7:$E$506,O3285)&gt;0,"Y","N"))</f>
        <v/>
      </c>
      <c r="W3285" s="39">
        <f>IF($A3285="","",IFERROR(INDEX(계정매핑!$D$5:$D$504,MATCH($F3285&amp;"",계정매핑!$A$5:$A$504,0)),"미매핑"))</f>
        <v/>
      </c>
      <c r="X3285" s="9">
        <f>IF($A3285="","",$F3285&amp;"")</f>
        <v/>
      </c>
    </row>
    <row r="3286">
      <c r="A3286" s="75" t="n">
        <v>2026</v>
      </c>
      <c r="B3286" s="75" t="n">
        <v>5</v>
      </c>
      <c r="C3286" s="75" t="inlineStr">
        <is>
          <t>5100000942</t>
        </is>
      </c>
      <c r="D3286" s="78" t="n">
        <v>46163</v>
      </c>
      <c r="E3286" s="75" t="inlineStr">
        <is>
          <t>KR</t>
        </is>
      </c>
      <c r="F3286" s="75" t="n">
        <v>62301000</v>
      </c>
      <c r="G3286" s="75" t="n">
        <v>1602</v>
      </c>
      <c r="H3286" s="76" t="n">
        <v>296000</v>
      </c>
      <c r="I3286" s="75" t="inlineStr">
        <is>
          <t>5월 소모품 구입 - Q오피스</t>
        </is>
      </c>
      <c r="J3286" s="75" t="inlineStr">
        <is>
          <t>V10003</t>
        </is>
      </c>
      <c r="K3286" s="75" t="inlineStr">
        <is>
          <t>Q오피스</t>
        </is>
      </c>
      <c r="M3286" s="9">
        <f>IF($A3286="","",VALUE($A3286&amp;"")*12+VALUE($B3286&amp;""))</f>
        <v/>
      </c>
      <c r="N3286" s="39">
        <f>IF($A3286="","",IFERROR(INDEX(부서매핑!$C$5:$C$504,MATCH($G3286&amp;"",부서매핑!$A$5:$A$504,0)),"미매핑"))</f>
        <v/>
      </c>
      <c r="O3286" s="9">
        <f>IF($A3286="","",N3286&amp;"|"&amp;$F3286)</f>
        <v/>
      </c>
      <c r="P3286" s="77">
        <f>IF($A3286="",0,$H3286*설정!$C$23)</f>
        <v/>
      </c>
      <c r="Q3286" s="39">
        <f>IF($A3286="","",IF(O3286&lt;&gt;원인분석!$C$9,"",IF(AND(M3286&gt;=원인분석!$C$10,M3286&lt;=원인분석!$C$11),"당기",IF(AND(M3286&gt;=원인분석!$C$12,M3286&lt;=원인분석!$C$13),"비교",""))))</f>
        <v/>
      </c>
      <c r="R3286" s="9">
        <f>IF(Q3286="","",$K3286&amp;"")</f>
        <v/>
      </c>
      <c r="S3286" s="9">
        <f>IF(Q3286="","",IF(MATCH(R3286,$R$5:$R$100000,0)=ROW()-4,ROW(),""))</f>
        <v/>
      </c>
      <c r="T3286" s="9">
        <f>IF(Q3286="당기",ABS(P3286)+ROW()/1000000000,"")</f>
        <v/>
      </c>
      <c r="U3286" s="9">
        <f>IF(Q3286="비교",ABS(P3286)+ROW()/1000000000,"")</f>
        <v/>
      </c>
      <c r="V3286" s="39">
        <f>IF($A3286="","",IF(COUNTIF(변동분석!$E$7:$E$506,O3286)&gt;0,"Y","N"))</f>
        <v/>
      </c>
      <c r="W3286" s="39">
        <f>IF($A3286="","",IFERROR(INDEX(계정매핑!$D$5:$D$504,MATCH($F3286&amp;"",계정매핑!$A$5:$A$504,0)),"미매핑"))</f>
        <v/>
      </c>
      <c r="X3286" s="9">
        <f>IF($A3286="","",$F3286&amp;"")</f>
        <v/>
      </c>
    </row>
    <row r="3287">
      <c r="A3287" s="75" t="n">
        <v>2026</v>
      </c>
      <c r="B3287" s="75" t="n">
        <v>5</v>
      </c>
      <c r="C3287" s="75" t="inlineStr">
        <is>
          <t>5100000943</t>
        </is>
      </c>
      <c r="D3287" s="78" t="n">
        <v>46163</v>
      </c>
      <c r="E3287" s="75" t="inlineStr">
        <is>
          <t>KR</t>
        </is>
      </c>
      <c r="F3287" s="75" t="n">
        <v>62301000</v>
      </c>
      <c r="G3287" s="75" t="n">
        <v>1801</v>
      </c>
      <c r="H3287" s="76" t="n">
        <v>214000</v>
      </c>
      <c r="I3287" s="75" t="inlineStr">
        <is>
          <t>5월 소모품 구입 - R문구</t>
        </is>
      </c>
      <c r="J3287" s="75" t="inlineStr">
        <is>
          <t>V10018</t>
        </is>
      </c>
      <c r="K3287" s="75" t="inlineStr">
        <is>
          <t>R문구</t>
        </is>
      </c>
      <c r="M3287" s="9">
        <f>IF($A3287="","",VALUE($A3287&amp;"")*12+VALUE($B3287&amp;""))</f>
        <v/>
      </c>
      <c r="N3287" s="39">
        <f>IF($A3287="","",IFERROR(INDEX(부서매핑!$C$5:$C$504,MATCH($G3287&amp;"",부서매핑!$A$5:$A$504,0)),"미매핑"))</f>
        <v/>
      </c>
      <c r="O3287" s="9">
        <f>IF($A3287="","",N3287&amp;"|"&amp;$F3287)</f>
        <v/>
      </c>
      <c r="P3287" s="77">
        <f>IF($A3287="",0,$H3287*설정!$C$23)</f>
        <v/>
      </c>
      <c r="Q3287" s="39">
        <f>IF($A3287="","",IF(O3287&lt;&gt;원인분석!$C$9,"",IF(AND(M3287&gt;=원인분석!$C$10,M3287&lt;=원인분석!$C$11),"당기",IF(AND(M3287&gt;=원인분석!$C$12,M3287&lt;=원인분석!$C$13),"비교",""))))</f>
        <v/>
      </c>
      <c r="R3287" s="9">
        <f>IF(Q3287="","",$K3287&amp;"")</f>
        <v/>
      </c>
      <c r="S3287" s="9">
        <f>IF(Q3287="","",IF(MATCH(R3287,$R$5:$R$100000,0)=ROW()-4,ROW(),""))</f>
        <v/>
      </c>
      <c r="T3287" s="9">
        <f>IF(Q3287="당기",ABS(P3287)+ROW()/1000000000,"")</f>
        <v/>
      </c>
      <c r="U3287" s="9">
        <f>IF(Q3287="비교",ABS(P3287)+ROW()/1000000000,"")</f>
        <v/>
      </c>
      <c r="V3287" s="39">
        <f>IF($A3287="","",IF(COUNTIF(변동분석!$E$7:$E$506,O3287)&gt;0,"Y","N"))</f>
        <v/>
      </c>
      <c r="W3287" s="39">
        <f>IF($A3287="","",IFERROR(INDEX(계정매핑!$D$5:$D$504,MATCH($F3287&amp;"",계정매핑!$A$5:$A$504,0)),"미매핑"))</f>
        <v/>
      </c>
      <c r="X3287" s="9">
        <f>IF($A3287="","",$F3287&amp;"")</f>
        <v/>
      </c>
    </row>
    <row r="3288">
      <c r="A3288" s="75" t="n">
        <v>2026</v>
      </c>
      <c r="B3288" s="75" t="n">
        <v>5</v>
      </c>
      <c r="C3288" s="75" t="inlineStr">
        <is>
          <t>5100000944</t>
        </is>
      </c>
      <c r="D3288" s="78" t="n">
        <v>46163</v>
      </c>
      <c r="E3288" s="75" t="inlineStr">
        <is>
          <t>KR</t>
        </is>
      </c>
      <c r="F3288" s="75" t="n">
        <v>62501000</v>
      </c>
      <c r="G3288" s="75" t="n">
        <v>1101</v>
      </c>
      <c r="H3288" s="76" t="n">
        <v>239000</v>
      </c>
      <c r="I3288" s="75" t="inlineStr">
        <is>
          <t>5월 회의 다과 - (법인카드)</t>
        </is>
      </c>
      <c r="J3288" s="75" t="inlineStr">
        <is>
          <t>V10008</t>
        </is>
      </c>
      <c r="K3288" s="75" t="inlineStr">
        <is>
          <t>(법인카드)</t>
        </is>
      </c>
      <c r="M3288" s="9">
        <f>IF($A3288="","",VALUE($A3288&amp;"")*12+VALUE($B3288&amp;""))</f>
        <v/>
      </c>
      <c r="N3288" s="39">
        <f>IF($A3288="","",IFERROR(INDEX(부서매핑!$C$5:$C$504,MATCH($G3288&amp;"",부서매핑!$A$5:$A$504,0)),"미매핑"))</f>
        <v/>
      </c>
      <c r="O3288" s="9">
        <f>IF($A3288="","",N3288&amp;"|"&amp;$F3288)</f>
        <v/>
      </c>
      <c r="P3288" s="77">
        <f>IF($A3288="",0,$H3288*설정!$C$23)</f>
        <v/>
      </c>
      <c r="Q3288" s="39">
        <f>IF($A3288="","",IF(O3288&lt;&gt;원인분석!$C$9,"",IF(AND(M3288&gt;=원인분석!$C$10,M3288&lt;=원인분석!$C$11),"당기",IF(AND(M3288&gt;=원인분석!$C$12,M3288&lt;=원인분석!$C$13),"비교",""))))</f>
        <v/>
      </c>
      <c r="R3288" s="9">
        <f>IF(Q3288="","",$K3288&amp;"")</f>
        <v/>
      </c>
      <c r="S3288" s="9">
        <f>IF(Q3288="","",IF(MATCH(R3288,$R$5:$R$100000,0)=ROW()-4,ROW(),""))</f>
        <v/>
      </c>
      <c r="T3288" s="9">
        <f>IF(Q3288="당기",ABS(P3288)+ROW()/1000000000,"")</f>
        <v/>
      </c>
      <c r="U3288" s="9">
        <f>IF(Q3288="비교",ABS(P3288)+ROW()/1000000000,"")</f>
        <v/>
      </c>
      <c r="V3288" s="39">
        <f>IF($A3288="","",IF(COUNTIF(변동분석!$E$7:$E$506,O3288)&gt;0,"Y","N"))</f>
        <v/>
      </c>
      <c r="W3288" s="39">
        <f>IF($A3288="","",IFERROR(INDEX(계정매핑!$D$5:$D$504,MATCH($F3288&amp;"",계정매핑!$A$5:$A$504,0)),"미매핑"))</f>
        <v/>
      </c>
      <c r="X3288" s="9">
        <f>IF($A3288="","",$F3288&amp;"")</f>
        <v/>
      </c>
    </row>
    <row r="3289">
      <c r="A3289" s="75" t="n">
        <v>2026</v>
      </c>
      <c r="B3289" s="75" t="n">
        <v>5</v>
      </c>
      <c r="C3289" s="75" t="inlineStr">
        <is>
          <t>5100000945</t>
        </is>
      </c>
      <c r="D3289" s="78" t="n">
        <v>46163</v>
      </c>
      <c r="E3289" s="75" t="inlineStr">
        <is>
          <t>KR</t>
        </is>
      </c>
      <c r="F3289" s="75" t="n">
        <v>62501000</v>
      </c>
      <c r="G3289" s="75" t="n">
        <v>1301</v>
      </c>
      <c r="H3289" s="76" t="n">
        <v>121000</v>
      </c>
      <c r="I3289" s="75" t="inlineStr">
        <is>
          <t>5월 회의 다과 - (법인카드)</t>
        </is>
      </c>
      <c r="J3289" s="75" t="inlineStr">
        <is>
          <t>V10008</t>
        </is>
      </c>
      <c r="K3289" s="75" t="inlineStr">
        <is>
          <t>(법인카드)</t>
        </is>
      </c>
      <c r="M3289" s="9">
        <f>IF($A3289="","",VALUE($A3289&amp;"")*12+VALUE($B3289&amp;""))</f>
        <v/>
      </c>
      <c r="N3289" s="39">
        <f>IF($A3289="","",IFERROR(INDEX(부서매핑!$C$5:$C$504,MATCH($G3289&amp;"",부서매핑!$A$5:$A$504,0)),"미매핑"))</f>
        <v/>
      </c>
      <c r="O3289" s="9">
        <f>IF($A3289="","",N3289&amp;"|"&amp;$F3289)</f>
        <v/>
      </c>
      <c r="P3289" s="77">
        <f>IF($A3289="",0,$H3289*설정!$C$23)</f>
        <v/>
      </c>
      <c r="Q3289" s="39">
        <f>IF($A3289="","",IF(O3289&lt;&gt;원인분석!$C$9,"",IF(AND(M3289&gt;=원인분석!$C$10,M3289&lt;=원인분석!$C$11),"당기",IF(AND(M3289&gt;=원인분석!$C$12,M3289&lt;=원인분석!$C$13),"비교",""))))</f>
        <v/>
      </c>
      <c r="R3289" s="9">
        <f>IF(Q3289="","",$K3289&amp;"")</f>
        <v/>
      </c>
      <c r="S3289" s="9">
        <f>IF(Q3289="","",IF(MATCH(R3289,$R$5:$R$100000,0)=ROW()-4,ROW(),""))</f>
        <v/>
      </c>
      <c r="T3289" s="9">
        <f>IF(Q3289="당기",ABS(P3289)+ROW()/1000000000,"")</f>
        <v/>
      </c>
      <c r="U3289" s="9">
        <f>IF(Q3289="비교",ABS(P3289)+ROW()/1000000000,"")</f>
        <v/>
      </c>
      <c r="V3289" s="39">
        <f>IF($A3289="","",IF(COUNTIF(변동분석!$E$7:$E$506,O3289)&gt;0,"Y","N"))</f>
        <v/>
      </c>
      <c r="W3289" s="39">
        <f>IF($A3289="","",IFERROR(INDEX(계정매핑!$D$5:$D$504,MATCH($F3289&amp;"",계정매핑!$A$5:$A$504,0)),"미매핑"))</f>
        <v/>
      </c>
      <c r="X3289" s="9">
        <f>IF($A3289="","",$F3289&amp;"")</f>
        <v/>
      </c>
    </row>
    <row r="3290">
      <c r="A3290" s="75" t="n">
        <v>2026</v>
      </c>
      <c r="B3290" s="75" t="n">
        <v>5</v>
      </c>
      <c r="C3290" s="75" t="inlineStr">
        <is>
          <t>5100000946</t>
        </is>
      </c>
      <c r="D3290" s="78" t="n">
        <v>46163</v>
      </c>
      <c r="E3290" s="75" t="inlineStr">
        <is>
          <t>KR</t>
        </is>
      </c>
      <c r="F3290" s="75" t="n">
        <v>62501000</v>
      </c>
      <c r="G3290" s="75" t="n">
        <v>1301</v>
      </c>
      <c r="H3290" s="76" t="n">
        <v>202000</v>
      </c>
      <c r="I3290" s="75" t="inlineStr">
        <is>
          <t>5월 회의 다과 - (법인카드)</t>
        </is>
      </c>
      <c r="J3290" s="75" t="inlineStr">
        <is>
          <t>V10008</t>
        </is>
      </c>
      <c r="K3290" s="75" t="inlineStr">
        <is>
          <t>(법인카드)</t>
        </is>
      </c>
      <c r="M3290" s="9">
        <f>IF($A3290="","",VALUE($A3290&amp;"")*12+VALUE($B3290&amp;""))</f>
        <v/>
      </c>
      <c r="N3290" s="39">
        <f>IF($A3290="","",IFERROR(INDEX(부서매핑!$C$5:$C$504,MATCH($G3290&amp;"",부서매핑!$A$5:$A$504,0)),"미매핑"))</f>
        <v/>
      </c>
      <c r="O3290" s="9">
        <f>IF($A3290="","",N3290&amp;"|"&amp;$F3290)</f>
        <v/>
      </c>
      <c r="P3290" s="77">
        <f>IF($A3290="",0,$H3290*설정!$C$23)</f>
        <v/>
      </c>
      <c r="Q3290" s="39">
        <f>IF($A3290="","",IF(O3290&lt;&gt;원인분석!$C$9,"",IF(AND(M3290&gt;=원인분석!$C$10,M3290&lt;=원인분석!$C$11),"당기",IF(AND(M3290&gt;=원인분석!$C$12,M3290&lt;=원인분석!$C$13),"비교",""))))</f>
        <v/>
      </c>
      <c r="R3290" s="9">
        <f>IF(Q3290="","",$K3290&amp;"")</f>
        <v/>
      </c>
      <c r="S3290" s="9">
        <f>IF(Q3290="","",IF(MATCH(R3290,$R$5:$R$100000,0)=ROW()-4,ROW(),""))</f>
        <v/>
      </c>
      <c r="T3290" s="9">
        <f>IF(Q3290="당기",ABS(P3290)+ROW()/1000000000,"")</f>
        <v/>
      </c>
      <c r="U3290" s="9">
        <f>IF(Q3290="비교",ABS(P3290)+ROW()/1000000000,"")</f>
        <v/>
      </c>
      <c r="V3290" s="39">
        <f>IF($A3290="","",IF(COUNTIF(변동분석!$E$7:$E$506,O3290)&gt;0,"Y","N"))</f>
        <v/>
      </c>
      <c r="W3290" s="39">
        <f>IF($A3290="","",IFERROR(INDEX(계정매핑!$D$5:$D$504,MATCH($F3290&amp;"",계정매핑!$A$5:$A$504,0)),"미매핑"))</f>
        <v/>
      </c>
      <c r="X3290" s="9">
        <f>IF($A3290="","",$F3290&amp;"")</f>
        <v/>
      </c>
    </row>
    <row r="3291">
      <c r="A3291" s="75" t="n">
        <v>2026</v>
      </c>
      <c r="B3291" s="75" t="n">
        <v>5</v>
      </c>
      <c r="C3291" s="75" t="inlineStr">
        <is>
          <t>5100000947</t>
        </is>
      </c>
      <c r="D3291" s="78" t="n">
        <v>46163</v>
      </c>
      <c r="E3291" s="75" t="inlineStr">
        <is>
          <t>KR</t>
        </is>
      </c>
      <c r="F3291" s="75" t="n">
        <v>62902000</v>
      </c>
      <c r="G3291" s="75" t="n">
        <v>1801</v>
      </c>
      <c r="H3291" s="76" t="n">
        <v>1749000</v>
      </c>
      <c r="I3291" s="75" t="inlineStr">
        <is>
          <t>5월 콜 위탁 수수료(건별)</t>
        </is>
      </c>
      <c r="J3291" s="75" t="inlineStr">
        <is>
          <t>V10013</t>
        </is>
      </c>
      <c r="K3291" s="75" t="inlineStr">
        <is>
          <t>J콜센터</t>
        </is>
      </c>
      <c r="M3291" s="9">
        <f>IF($A3291="","",VALUE($A3291&amp;"")*12+VALUE($B3291&amp;""))</f>
        <v/>
      </c>
      <c r="N3291" s="39">
        <f>IF($A3291="","",IFERROR(INDEX(부서매핑!$C$5:$C$504,MATCH($G3291&amp;"",부서매핑!$A$5:$A$504,0)),"미매핑"))</f>
        <v/>
      </c>
      <c r="O3291" s="9">
        <f>IF($A3291="","",N3291&amp;"|"&amp;$F3291)</f>
        <v/>
      </c>
      <c r="P3291" s="77">
        <f>IF($A3291="",0,$H3291*설정!$C$23)</f>
        <v/>
      </c>
      <c r="Q3291" s="39">
        <f>IF($A3291="","",IF(O3291&lt;&gt;원인분석!$C$9,"",IF(AND(M3291&gt;=원인분석!$C$10,M3291&lt;=원인분석!$C$11),"당기",IF(AND(M3291&gt;=원인분석!$C$12,M3291&lt;=원인분석!$C$13),"비교",""))))</f>
        <v/>
      </c>
      <c r="R3291" s="9">
        <f>IF(Q3291="","",$K3291&amp;"")</f>
        <v/>
      </c>
      <c r="S3291" s="9">
        <f>IF(Q3291="","",IF(MATCH(R3291,$R$5:$R$100000,0)=ROW()-4,ROW(),""))</f>
        <v/>
      </c>
      <c r="T3291" s="9">
        <f>IF(Q3291="당기",ABS(P3291)+ROW()/1000000000,"")</f>
        <v/>
      </c>
      <c r="U3291" s="9">
        <f>IF(Q3291="비교",ABS(P3291)+ROW()/1000000000,"")</f>
        <v/>
      </c>
      <c r="V3291" s="39">
        <f>IF($A3291="","",IF(COUNTIF(변동분석!$E$7:$E$506,O3291)&gt;0,"Y","N"))</f>
        <v/>
      </c>
      <c r="W3291" s="39">
        <f>IF($A3291="","",IFERROR(INDEX(계정매핑!$D$5:$D$504,MATCH($F3291&amp;"",계정매핑!$A$5:$A$504,0)),"미매핑"))</f>
        <v/>
      </c>
      <c r="X3291" s="9">
        <f>IF($A3291="","",$F3291&amp;"")</f>
        <v/>
      </c>
    </row>
    <row r="3292">
      <c r="A3292" s="75" t="n">
        <v>2026</v>
      </c>
      <c r="B3292" s="75" t="n">
        <v>5</v>
      </c>
      <c r="C3292" s="75" t="inlineStr">
        <is>
          <t>5100000948</t>
        </is>
      </c>
      <c r="D3292" s="78" t="n">
        <v>46164</v>
      </c>
      <c r="E3292" s="75" t="inlineStr">
        <is>
          <t>KR</t>
        </is>
      </c>
      <c r="F3292" s="75" t="n">
        <v>62101000</v>
      </c>
      <c r="G3292" s="75" t="n">
        <v>1101</v>
      </c>
      <c r="H3292" s="76" t="n">
        <v>458000</v>
      </c>
      <c r="I3292" s="75" t="inlineStr">
        <is>
          <t>5월 국내출장 - (법인카드)</t>
        </is>
      </c>
      <c r="J3292" s="75" t="inlineStr">
        <is>
          <t>V10008</t>
        </is>
      </c>
      <c r="K3292" s="75" t="inlineStr">
        <is>
          <t>(법인카드)</t>
        </is>
      </c>
      <c r="M3292" s="9">
        <f>IF($A3292="","",VALUE($A3292&amp;"")*12+VALUE($B3292&amp;""))</f>
        <v/>
      </c>
      <c r="N3292" s="39">
        <f>IF($A3292="","",IFERROR(INDEX(부서매핑!$C$5:$C$504,MATCH($G3292&amp;"",부서매핑!$A$5:$A$504,0)),"미매핑"))</f>
        <v/>
      </c>
      <c r="O3292" s="9">
        <f>IF($A3292="","",N3292&amp;"|"&amp;$F3292)</f>
        <v/>
      </c>
      <c r="P3292" s="77">
        <f>IF($A3292="",0,$H3292*설정!$C$23)</f>
        <v/>
      </c>
      <c r="Q3292" s="39">
        <f>IF($A3292="","",IF(O3292&lt;&gt;원인분석!$C$9,"",IF(AND(M3292&gt;=원인분석!$C$10,M3292&lt;=원인분석!$C$11),"당기",IF(AND(M3292&gt;=원인분석!$C$12,M3292&lt;=원인분석!$C$13),"비교",""))))</f>
        <v/>
      </c>
      <c r="R3292" s="9">
        <f>IF(Q3292="","",$K3292&amp;"")</f>
        <v/>
      </c>
      <c r="S3292" s="9">
        <f>IF(Q3292="","",IF(MATCH(R3292,$R$5:$R$100000,0)=ROW()-4,ROW(),""))</f>
        <v/>
      </c>
      <c r="T3292" s="9">
        <f>IF(Q3292="당기",ABS(P3292)+ROW()/1000000000,"")</f>
        <v/>
      </c>
      <c r="U3292" s="9">
        <f>IF(Q3292="비교",ABS(P3292)+ROW()/1000000000,"")</f>
        <v/>
      </c>
      <c r="V3292" s="39">
        <f>IF($A3292="","",IF(COUNTIF(변동분석!$E$7:$E$506,O3292)&gt;0,"Y","N"))</f>
        <v/>
      </c>
      <c r="W3292" s="39">
        <f>IF($A3292="","",IFERROR(INDEX(계정매핑!$D$5:$D$504,MATCH($F3292&amp;"",계정매핑!$A$5:$A$504,0)),"미매핑"))</f>
        <v/>
      </c>
      <c r="X3292" s="9">
        <f>IF($A3292="","",$F3292&amp;"")</f>
        <v/>
      </c>
    </row>
    <row r="3293">
      <c r="A3293" s="75" t="n">
        <v>2026</v>
      </c>
      <c r="B3293" s="75" t="n">
        <v>5</v>
      </c>
      <c r="C3293" s="75" t="inlineStr">
        <is>
          <t>5100000949</t>
        </is>
      </c>
      <c r="D3293" s="78" t="n">
        <v>46164</v>
      </c>
      <c r="E3293" s="75" t="inlineStr">
        <is>
          <t>KR</t>
        </is>
      </c>
      <c r="F3293" s="75" t="n">
        <v>62101000</v>
      </c>
      <c r="G3293" s="75" t="n">
        <v>1401</v>
      </c>
      <c r="H3293" s="76" t="n">
        <v>451000</v>
      </c>
      <c r="I3293" s="75" t="inlineStr">
        <is>
          <t>5월 국내출장 - (법인카드)</t>
        </is>
      </c>
      <c r="J3293" s="75" t="inlineStr">
        <is>
          <t>V10008</t>
        </is>
      </c>
      <c r="K3293" s="75" t="inlineStr">
        <is>
          <t>(법인카드)</t>
        </is>
      </c>
      <c r="M3293" s="9">
        <f>IF($A3293="","",VALUE($A3293&amp;"")*12+VALUE($B3293&amp;""))</f>
        <v/>
      </c>
      <c r="N3293" s="39">
        <f>IF($A3293="","",IFERROR(INDEX(부서매핑!$C$5:$C$504,MATCH($G3293&amp;"",부서매핑!$A$5:$A$504,0)),"미매핑"))</f>
        <v/>
      </c>
      <c r="O3293" s="9">
        <f>IF($A3293="","",N3293&amp;"|"&amp;$F3293)</f>
        <v/>
      </c>
      <c r="P3293" s="77">
        <f>IF($A3293="",0,$H3293*설정!$C$23)</f>
        <v/>
      </c>
      <c r="Q3293" s="39">
        <f>IF($A3293="","",IF(O3293&lt;&gt;원인분석!$C$9,"",IF(AND(M3293&gt;=원인분석!$C$10,M3293&lt;=원인분석!$C$11),"당기",IF(AND(M3293&gt;=원인분석!$C$12,M3293&lt;=원인분석!$C$13),"비교",""))))</f>
        <v/>
      </c>
      <c r="R3293" s="9">
        <f>IF(Q3293="","",$K3293&amp;"")</f>
        <v/>
      </c>
      <c r="S3293" s="9">
        <f>IF(Q3293="","",IF(MATCH(R3293,$R$5:$R$100000,0)=ROW()-4,ROW(),""))</f>
        <v/>
      </c>
      <c r="T3293" s="9">
        <f>IF(Q3293="당기",ABS(P3293)+ROW()/1000000000,"")</f>
        <v/>
      </c>
      <c r="U3293" s="9">
        <f>IF(Q3293="비교",ABS(P3293)+ROW()/1000000000,"")</f>
        <v/>
      </c>
      <c r="V3293" s="39">
        <f>IF($A3293="","",IF(COUNTIF(변동분석!$E$7:$E$506,O3293)&gt;0,"Y","N"))</f>
        <v/>
      </c>
      <c r="W3293" s="39">
        <f>IF($A3293="","",IFERROR(INDEX(계정매핑!$D$5:$D$504,MATCH($F3293&amp;"",계정매핑!$A$5:$A$504,0)),"미매핑"))</f>
        <v/>
      </c>
      <c r="X3293" s="9">
        <f>IF($A3293="","",$F3293&amp;"")</f>
        <v/>
      </c>
    </row>
    <row r="3294">
      <c r="A3294" s="75" t="n">
        <v>2026</v>
      </c>
      <c r="B3294" s="75" t="n">
        <v>5</v>
      </c>
      <c r="C3294" s="75" t="inlineStr">
        <is>
          <t>5100000950</t>
        </is>
      </c>
      <c r="D3294" s="78" t="n">
        <v>46164</v>
      </c>
      <c r="E3294" s="75" t="inlineStr">
        <is>
          <t>KR</t>
        </is>
      </c>
      <c r="F3294" s="75" t="n">
        <v>62101000</v>
      </c>
      <c r="G3294" s="75" t="n">
        <v>1801</v>
      </c>
      <c r="H3294" s="76" t="n">
        <v>245000</v>
      </c>
      <c r="I3294" s="75" t="inlineStr">
        <is>
          <t>5월 국내출장 - (법인카드)</t>
        </is>
      </c>
      <c r="J3294" s="75" t="inlineStr">
        <is>
          <t>V10008</t>
        </is>
      </c>
      <c r="K3294" s="75" t="inlineStr">
        <is>
          <t>(법인카드)</t>
        </is>
      </c>
      <c r="M3294" s="9">
        <f>IF($A3294="","",VALUE($A3294&amp;"")*12+VALUE($B3294&amp;""))</f>
        <v/>
      </c>
      <c r="N3294" s="39">
        <f>IF($A3294="","",IFERROR(INDEX(부서매핑!$C$5:$C$504,MATCH($G3294&amp;"",부서매핑!$A$5:$A$504,0)),"미매핑"))</f>
        <v/>
      </c>
      <c r="O3294" s="9">
        <f>IF($A3294="","",N3294&amp;"|"&amp;$F3294)</f>
        <v/>
      </c>
      <c r="P3294" s="77">
        <f>IF($A3294="",0,$H3294*설정!$C$23)</f>
        <v/>
      </c>
      <c r="Q3294" s="39">
        <f>IF($A3294="","",IF(O3294&lt;&gt;원인분석!$C$9,"",IF(AND(M3294&gt;=원인분석!$C$10,M3294&lt;=원인분석!$C$11),"당기",IF(AND(M3294&gt;=원인분석!$C$12,M3294&lt;=원인분석!$C$13),"비교",""))))</f>
        <v/>
      </c>
      <c r="R3294" s="9">
        <f>IF(Q3294="","",$K3294&amp;"")</f>
        <v/>
      </c>
      <c r="S3294" s="9">
        <f>IF(Q3294="","",IF(MATCH(R3294,$R$5:$R$100000,0)=ROW()-4,ROW(),""))</f>
        <v/>
      </c>
      <c r="T3294" s="9">
        <f>IF(Q3294="당기",ABS(P3294)+ROW()/1000000000,"")</f>
        <v/>
      </c>
      <c r="U3294" s="9">
        <f>IF(Q3294="비교",ABS(P3294)+ROW()/1000000000,"")</f>
        <v/>
      </c>
      <c r="V3294" s="39">
        <f>IF($A3294="","",IF(COUNTIF(변동분석!$E$7:$E$506,O3294)&gt;0,"Y","N"))</f>
        <v/>
      </c>
      <c r="W3294" s="39">
        <f>IF($A3294="","",IFERROR(INDEX(계정매핑!$D$5:$D$504,MATCH($F3294&amp;"",계정매핑!$A$5:$A$504,0)),"미매핑"))</f>
        <v/>
      </c>
      <c r="X3294" s="9">
        <f>IF($A3294="","",$F3294&amp;"")</f>
        <v/>
      </c>
    </row>
    <row r="3295">
      <c r="A3295" s="75" t="n">
        <v>2026</v>
      </c>
      <c r="B3295" s="75" t="n">
        <v>5</v>
      </c>
      <c r="C3295" s="75" t="inlineStr">
        <is>
          <t>5100000951</t>
        </is>
      </c>
      <c r="D3295" s="78" t="n">
        <v>46164</v>
      </c>
      <c r="E3295" s="75" t="inlineStr">
        <is>
          <t>KR</t>
        </is>
      </c>
      <c r="F3295" s="75" t="n">
        <v>62201000</v>
      </c>
      <c r="G3295" s="75" t="n">
        <v>1101</v>
      </c>
      <c r="H3295" s="76" t="n">
        <v>279000</v>
      </c>
      <c r="I3295" s="75" t="inlineStr">
        <is>
          <t>5월 통신요금 - P통신</t>
        </is>
      </c>
      <c r="J3295" s="75" t="inlineStr">
        <is>
          <t>V10011</t>
        </is>
      </c>
      <c r="K3295" s="75" t="inlineStr">
        <is>
          <t>P통신</t>
        </is>
      </c>
      <c r="M3295" s="9">
        <f>IF($A3295="","",VALUE($A3295&amp;"")*12+VALUE($B3295&amp;""))</f>
        <v/>
      </c>
      <c r="N3295" s="39">
        <f>IF($A3295="","",IFERROR(INDEX(부서매핑!$C$5:$C$504,MATCH($G3295&amp;"",부서매핑!$A$5:$A$504,0)),"미매핑"))</f>
        <v/>
      </c>
      <c r="O3295" s="9">
        <f>IF($A3295="","",N3295&amp;"|"&amp;$F3295)</f>
        <v/>
      </c>
      <c r="P3295" s="77">
        <f>IF($A3295="",0,$H3295*설정!$C$23)</f>
        <v/>
      </c>
      <c r="Q3295" s="39">
        <f>IF($A3295="","",IF(O3295&lt;&gt;원인분석!$C$9,"",IF(AND(M3295&gt;=원인분석!$C$10,M3295&lt;=원인분석!$C$11),"당기",IF(AND(M3295&gt;=원인분석!$C$12,M3295&lt;=원인분석!$C$13),"비교",""))))</f>
        <v/>
      </c>
      <c r="R3295" s="9">
        <f>IF(Q3295="","",$K3295&amp;"")</f>
        <v/>
      </c>
      <c r="S3295" s="9">
        <f>IF(Q3295="","",IF(MATCH(R3295,$R$5:$R$100000,0)=ROW()-4,ROW(),""))</f>
        <v/>
      </c>
      <c r="T3295" s="9">
        <f>IF(Q3295="당기",ABS(P3295)+ROW()/1000000000,"")</f>
        <v/>
      </c>
      <c r="U3295" s="9">
        <f>IF(Q3295="비교",ABS(P3295)+ROW()/1000000000,"")</f>
        <v/>
      </c>
      <c r="V3295" s="39">
        <f>IF($A3295="","",IF(COUNTIF(변동분석!$E$7:$E$506,O3295)&gt;0,"Y","N"))</f>
        <v/>
      </c>
      <c r="W3295" s="39">
        <f>IF($A3295="","",IFERROR(INDEX(계정매핑!$D$5:$D$504,MATCH($F3295&amp;"",계정매핑!$A$5:$A$504,0)),"미매핑"))</f>
        <v/>
      </c>
      <c r="X3295" s="9">
        <f>IF($A3295="","",$F3295&amp;"")</f>
        <v/>
      </c>
    </row>
    <row r="3296">
      <c r="A3296" s="75" t="n">
        <v>2026</v>
      </c>
      <c r="B3296" s="75" t="n">
        <v>5</v>
      </c>
      <c r="C3296" s="75" t="inlineStr">
        <is>
          <t>5100000952</t>
        </is>
      </c>
      <c r="D3296" s="78" t="n">
        <v>46164</v>
      </c>
      <c r="E3296" s="75" t="inlineStr">
        <is>
          <t>KR</t>
        </is>
      </c>
      <c r="F3296" s="75" t="n">
        <v>62501000</v>
      </c>
      <c r="G3296" s="75" t="n">
        <v>1301</v>
      </c>
      <c r="H3296" s="76" t="n">
        <v>241000</v>
      </c>
      <c r="I3296" s="75" t="inlineStr">
        <is>
          <t>5월 회의 다과 - T케이터링</t>
        </is>
      </c>
      <c r="J3296" s="75" t="inlineStr">
        <is>
          <t>V10005</t>
        </is>
      </c>
      <c r="K3296" s="75" t="inlineStr">
        <is>
          <t>T케이터링</t>
        </is>
      </c>
      <c r="M3296" s="9">
        <f>IF($A3296="","",VALUE($A3296&amp;"")*12+VALUE($B3296&amp;""))</f>
        <v/>
      </c>
      <c r="N3296" s="39">
        <f>IF($A3296="","",IFERROR(INDEX(부서매핑!$C$5:$C$504,MATCH($G3296&amp;"",부서매핑!$A$5:$A$504,0)),"미매핑"))</f>
        <v/>
      </c>
      <c r="O3296" s="9">
        <f>IF($A3296="","",N3296&amp;"|"&amp;$F3296)</f>
        <v/>
      </c>
      <c r="P3296" s="77">
        <f>IF($A3296="",0,$H3296*설정!$C$23)</f>
        <v/>
      </c>
      <c r="Q3296" s="39">
        <f>IF($A3296="","",IF(O3296&lt;&gt;원인분석!$C$9,"",IF(AND(M3296&gt;=원인분석!$C$10,M3296&lt;=원인분석!$C$11),"당기",IF(AND(M3296&gt;=원인분석!$C$12,M3296&lt;=원인분석!$C$13),"비교",""))))</f>
        <v/>
      </c>
      <c r="R3296" s="9">
        <f>IF(Q3296="","",$K3296&amp;"")</f>
        <v/>
      </c>
      <c r="S3296" s="9">
        <f>IF(Q3296="","",IF(MATCH(R3296,$R$5:$R$100000,0)=ROW()-4,ROW(),""))</f>
        <v/>
      </c>
      <c r="T3296" s="9">
        <f>IF(Q3296="당기",ABS(P3296)+ROW()/1000000000,"")</f>
        <v/>
      </c>
      <c r="U3296" s="9">
        <f>IF(Q3296="비교",ABS(P3296)+ROW()/1000000000,"")</f>
        <v/>
      </c>
      <c r="V3296" s="39">
        <f>IF($A3296="","",IF(COUNTIF(변동분석!$E$7:$E$506,O3296)&gt;0,"Y","N"))</f>
        <v/>
      </c>
      <c r="W3296" s="39">
        <f>IF($A3296="","",IFERROR(INDEX(계정매핑!$D$5:$D$504,MATCH($F3296&amp;"",계정매핑!$A$5:$A$504,0)),"미매핑"))</f>
        <v/>
      </c>
      <c r="X3296" s="9">
        <f>IF($A3296="","",$F3296&amp;"")</f>
        <v/>
      </c>
    </row>
    <row r="3297">
      <c r="A3297" s="75" t="n">
        <v>2026</v>
      </c>
      <c r="B3297" s="75" t="n">
        <v>5</v>
      </c>
      <c r="C3297" s="75" t="inlineStr">
        <is>
          <t>5100000953</t>
        </is>
      </c>
      <c r="D3297" s="78" t="n">
        <v>46164</v>
      </c>
      <c r="E3297" s="75" t="inlineStr">
        <is>
          <t>KR</t>
        </is>
      </c>
      <c r="F3297" s="75" t="n">
        <v>62801000</v>
      </c>
      <c r="G3297" s="75" t="n">
        <v>1301</v>
      </c>
      <c r="H3297" s="76" t="n">
        <v>7062000</v>
      </c>
      <c r="I3297" s="75" t="inlineStr">
        <is>
          <t>5월 사내교육 - (사내강사료)</t>
        </is>
      </c>
      <c r="J3297" s="75" t="inlineStr">
        <is>
          <t>V10020</t>
        </is>
      </c>
      <c r="K3297" s="75" t="inlineStr">
        <is>
          <t>(사내강사료)</t>
        </is>
      </c>
      <c r="M3297" s="9">
        <f>IF($A3297="","",VALUE($A3297&amp;"")*12+VALUE($B3297&amp;""))</f>
        <v/>
      </c>
      <c r="N3297" s="39">
        <f>IF($A3297="","",IFERROR(INDEX(부서매핑!$C$5:$C$504,MATCH($G3297&amp;"",부서매핑!$A$5:$A$504,0)),"미매핑"))</f>
        <v/>
      </c>
      <c r="O3297" s="9">
        <f>IF($A3297="","",N3297&amp;"|"&amp;$F3297)</f>
        <v/>
      </c>
      <c r="P3297" s="77">
        <f>IF($A3297="",0,$H3297*설정!$C$23)</f>
        <v/>
      </c>
      <c r="Q3297" s="39">
        <f>IF($A3297="","",IF(O3297&lt;&gt;원인분석!$C$9,"",IF(AND(M3297&gt;=원인분석!$C$10,M3297&lt;=원인분석!$C$11),"당기",IF(AND(M3297&gt;=원인분석!$C$12,M3297&lt;=원인분석!$C$13),"비교",""))))</f>
        <v/>
      </c>
      <c r="R3297" s="9">
        <f>IF(Q3297="","",$K3297&amp;"")</f>
        <v/>
      </c>
      <c r="S3297" s="9">
        <f>IF(Q3297="","",IF(MATCH(R3297,$R$5:$R$100000,0)=ROW()-4,ROW(),""))</f>
        <v/>
      </c>
      <c r="T3297" s="9">
        <f>IF(Q3297="당기",ABS(P3297)+ROW()/1000000000,"")</f>
        <v/>
      </c>
      <c r="U3297" s="9">
        <f>IF(Q3297="비교",ABS(P3297)+ROW()/1000000000,"")</f>
        <v/>
      </c>
      <c r="V3297" s="39">
        <f>IF($A3297="","",IF(COUNTIF(변동분석!$E$7:$E$506,O3297)&gt;0,"Y","N"))</f>
        <v/>
      </c>
      <c r="W3297" s="39">
        <f>IF($A3297="","",IFERROR(INDEX(계정매핑!$D$5:$D$504,MATCH($F3297&amp;"",계정매핑!$A$5:$A$504,0)),"미매핑"))</f>
        <v/>
      </c>
      <c r="X3297" s="9">
        <f>IF($A3297="","",$F3297&amp;"")</f>
        <v/>
      </c>
    </row>
    <row r="3298">
      <c r="A3298" s="75" t="n">
        <v>2026</v>
      </c>
      <c r="B3298" s="75" t="n">
        <v>5</v>
      </c>
      <c r="C3298" s="75" t="inlineStr">
        <is>
          <t>5100000954</t>
        </is>
      </c>
      <c r="D3298" s="78" t="n">
        <v>46164</v>
      </c>
      <c r="E3298" s="75" t="inlineStr">
        <is>
          <t>KR</t>
        </is>
      </c>
      <c r="F3298" s="75" t="n">
        <v>62902000</v>
      </c>
      <c r="G3298" s="75" t="n">
        <v>1201</v>
      </c>
      <c r="H3298" s="76" t="n">
        <v>3649000</v>
      </c>
      <c r="I3298" s="75" t="inlineStr">
        <is>
          <t>5월 업무 위탁 수수료 - J콜센터</t>
        </is>
      </c>
      <c r="J3298" s="75" t="inlineStr">
        <is>
          <t>V10013</t>
        </is>
      </c>
      <c r="K3298" s="75" t="inlineStr">
        <is>
          <t>J콜센터</t>
        </is>
      </c>
      <c r="M3298" s="9">
        <f>IF($A3298="","",VALUE($A3298&amp;"")*12+VALUE($B3298&amp;""))</f>
        <v/>
      </c>
      <c r="N3298" s="39">
        <f>IF($A3298="","",IFERROR(INDEX(부서매핑!$C$5:$C$504,MATCH($G3298&amp;"",부서매핑!$A$5:$A$504,0)),"미매핑"))</f>
        <v/>
      </c>
      <c r="O3298" s="9">
        <f>IF($A3298="","",N3298&amp;"|"&amp;$F3298)</f>
        <v/>
      </c>
      <c r="P3298" s="77">
        <f>IF($A3298="",0,$H3298*설정!$C$23)</f>
        <v/>
      </c>
      <c r="Q3298" s="39">
        <f>IF($A3298="","",IF(O3298&lt;&gt;원인분석!$C$9,"",IF(AND(M3298&gt;=원인분석!$C$10,M3298&lt;=원인분석!$C$11),"당기",IF(AND(M3298&gt;=원인분석!$C$12,M3298&lt;=원인분석!$C$13),"비교",""))))</f>
        <v/>
      </c>
      <c r="R3298" s="9">
        <f>IF(Q3298="","",$K3298&amp;"")</f>
        <v/>
      </c>
      <c r="S3298" s="9">
        <f>IF(Q3298="","",IF(MATCH(R3298,$R$5:$R$100000,0)=ROW()-4,ROW(),""))</f>
        <v/>
      </c>
      <c r="T3298" s="9">
        <f>IF(Q3298="당기",ABS(P3298)+ROW()/1000000000,"")</f>
        <v/>
      </c>
      <c r="U3298" s="9">
        <f>IF(Q3298="비교",ABS(P3298)+ROW()/1000000000,"")</f>
        <v/>
      </c>
      <c r="V3298" s="39">
        <f>IF($A3298="","",IF(COUNTIF(변동분석!$E$7:$E$506,O3298)&gt;0,"Y","N"))</f>
        <v/>
      </c>
      <c r="W3298" s="39">
        <f>IF($A3298="","",IFERROR(INDEX(계정매핑!$D$5:$D$504,MATCH($F3298&amp;"",계정매핑!$A$5:$A$504,0)),"미매핑"))</f>
        <v/>
      </c>
      <c r="X3298" s="9">
        <f>IF($A3298="","",$F3298&amp;"")</f>
        <v/>
      </c>
    </row>
    <row r="3299">
      <c r="A3299" s="75" t="n">
        <v>2026</v>
      </c>
      <c r="B3299" s="75" t="n">
        <v>5</v>
      </c>
      <c r="C3299" s="75" t="inlineStr">
        <is>
          <t>5100000955</t>
        </is>
      </c>
      <c r="D3299" s="78" t="n">
        <v>46164</v>
      </c>
      <c r="E3299" s="75" t="inlineStr">
        <is>
          <t>KR</t>
        </is>
      </c>
      <c r="F3299" s="75" t="n">
        <v>63101000</v>
      </c>
      <c r="G3299" s="75" t="n">
        <v>1601</v>
      </c>
      <c r="H3299" s="76" t="n">
        <v>3384000</v>
      </c>
      <c r="I3299" s="75" t="inlineStr">
        <is>
          <t>5월 사무실 임차료 - BB부동산</t>
        </is>
      </c>
      <c r="J3299" s="75" t="inlineStr">
        <is>
          <t>V10024</t>
        </is>
      </c>
      <c r="K3299" s="75" t="inlineStr">
        <is>
          <t>BB부동산</t>
        </is>
      </c>
      <c r="M3299" s="9">
        <f>IF($A3299="","",VALUE($A3299&amp;"")*12+VALUE($B3299&amp;""))</f>
        <v/>
      </c>
      <c r="N3299" s="39">
        <f>IF($A3299="","",IFERROR(INDEX(부서매핑!$C$5:$C$504,MATCH($G3299&amp;"",부서매핑!$A$5:$A$504,0)),"미매핑"))</f>
        <v/>
      </c>
      <c r="O3299" s="9">
        <f>IF($A3299="","",N3299&amp;"|"&amp;$F3299)</f>
        <v/>
      </c>
      <c r="P3299" s="77">
        <f>IF($A3299="",0,$H3299*설정!$C$23)</f>
        <v/>
      </c>
      <c r="Q3299" s="39">
        <f>IF($A3299="","",IF(O3299&lt;&gt;원인분석!$C$9,"",IF(AND(M3299&gt;=원인분석!$C$10,M3299&lt;=원인분석!$C$11),"당기",IF(AND(M3299&gt;=원인분석!$C$12,M3299&lt;=원인분석!$C$13),"비교",""))))</f>
        <v/>
      </c>
      <c r="R3299" s="9">
        <f>IF(Q3299="","",$K3299&amp;"")</f>
        <v/>
      </c>
      <c r="S3299" s="9">
        <f>IF(Q3299="","",IF(MATCH(R3299,$R$5:$R$100000,0)=ROW()-4,ROW(),""))</f>
        <v/>
      </c>
      <c r="T3299" s="9">
        <f>IF(Q3299="당기",ABS(P3299)+ROW()/1000000000,"")</f>
        <v/>
      </c>
      <c r="U3299" s="9">
        <f>IF(Q3299="비교",ABS(P3299)+ROW()/1000000000,"")</f>
        <v/>
      </c>
      <c r="V3299" s="39">
        <f>IF($A3299="","",IF(COUNTIF(변동분석!$E$7:$E$506,O3299)&gt;0,"Y","N"))</f>
        <v/>
      </c>
      <c r="W3299" s="39">
        <f>IF($A3299="","",IFERROR(INDEX(계정매핑!$D$5:$D$504,MATCH($F3299&amp;"",계정매핑!$A$5:$A$504,0)),"미매핑"))</f>
        <v/>
      </c>
      <c r="X3299" s="9">
        <f>IF($A3299="","",$F3299&amp;"")</f>
        <v/>
      </c>
    </row>
    <row r="3300">
      <c r="A3300" s="75" t="n">
        <v>2026</v>
      </c>
      <c r="B3300" s="75" t="n">
        <v>5</v>
      </c>
      <c r="C3300" s="75" t="inlineStr">
        <is>
          <t>5100000956</t>
        </is>
      </c>
      <c r="D3300" s="78" t="n">
        <v>46165</v>
      </c>
      <c r="E3300" s="75" t="inlineStr">
        <is>
          <t>KR</t>
        </is>
      </c>
      <c r="F3300" s="75" t="n">
        <v>62101000</v>
      </c>
      <c r="G3300" s="75" t="n">
        <v>1401</v>
      </c>
      <c r="H3300" s="76" t="n">
        <v>571000</v>
      </c>
      <c r="I3300" s="75" t="inlineStr">
        <is>
          <t>5월 국내출장 - M항공</t>
        </is>
      </c>
      <c r="J3300" s="75" t="inlineStr">
        <is>
          <t>V10001</t>
        </is>
      </c>
      <c r="K3300" s="75" t="inlineStr">
        <is>
          <t>M항공</t>
        </is>
      </c>
      <c r="M3300" s="9">
        <f>IF($A3300="","",VALUE($A3300&amp;"")*12+VALUE($B3300&amp;""))</f>
        <v/>
      </c>
      <c r="N3300" s="39">
        <f>IF($A3300="","",IFERROR(INDEX(부서매핑!$C$5:$C$504,MATCH($G3300&amp;"",부서매핑!$A$5:$A$504,0)),"미매핑"))</f>
        <v/>
      </c>
      <c r="O3300" s="9">
        <f>IF($A3300="","",N3300&amp;"|"&amp;$F3300)</f>
        <v/>
      </c>
      <c r="P3300" s="77">
        <f>IF($A3300="",0,$H3300*설정!$C$23)</f>
        <v/>
      </c>
      <c r="Q3300" s="39">
        <f>IF($A3300="","",IF(O3300&lt;&gt;원인분석!$C$9,"",IF(AND(M3300&gt;=원인분석!$C$10,M3300&lt;=원인분석!$C$11),"당기",IF(AND(M3300&gt;=원인분석!$C$12,M3300&lt;=원인분석!$C$13),"비교",""))))</f>
        <v/>
      </c>
      <c r="R3300" s="9">
        <f>IF(Q3300="","",$K3300&amp;"")</f>
        <v/>
      </c>
      <c r="S3300" s="9">
        <f>IF(Q3300="","",IF(MATCH(R3300,$R$5:$R$100000,0)=ROW()-4,ROW(),""))</f>
        <v/>
      </c>
      <c r="T3300" s="9">
        <f>IF(Q3300="당기",ABS(P3300)+ROW()/1000000000,"")</f>
        <v/>
      </c>
      <c r="U3300" s="9">
        <f>IF(Q3300="비교",ABS(P3300)+ROW()/1000000000,"")</f>
        <v/>
      </c>
      <c r="V3300" s="39">
        <f>IF($A3300="","",IF(COUNTIF(변동분석!$E$7:$E$506,O3300)&gt;0,"Y","N"))</f>
        <v/>
      </c>
      <c r="W3300" s="39">
        <f>IF($A3300="","",IFERROR(INDEX(계정매핑!$D$5:$D$504,MATCH($F3300&amp;"",계정매핑!$A$5:$A$504,0)),"미매핑"))</f>
        <v/>
      </c>
      <c r="X3300" s="9">
        <f>IF($A3300="","",$F3300&amp;"")</f>
        <v/>
      </c>
    </row>
    <row r="3301">
      <c r="A3301" s="75" t="n">
        <v>2026</v>
      </c>
      <c r="B3301" s="75" t="n">
        <v>5</v>
      </c>
      <c r="C3301" s="75" t="inlineStr">
        <is>
          <t>5100000957</t>
        </is>
      </c>
      <c r="D3301" s="78" t="n">
        <v>46165</v>
      </c>
      <c r="E3301" s="75" t="inlineStr">
        <is>
          <t>KR</t>
        </is>
      </c>
      <c r="F3301" s="75" t="n">
        <v>62101000</v>
      </c>
      <c r="G3301" s="75" t="n">
        <v>1801</v>
      </c>
      <c r="H3301" s="76" t="n">
        <v>163000</v>
      </c>
      <c r="I3301" s="75" t="inlineStr">
        <is>
          <t>5월 국내출장 - L여행사</t>
        </is>
      </c>
      <c r="J3301" s="75" t="inlineStr">
        <is>
          <t>V10014</t>
        </is>
      </c>
      <c r="K3301" s="75" t="inlineStr">
        <is>
          <t>L여행사</t>
        </is>
      </c>
      <c r="M3301" s="9">
        <f>IF($A3301="","",VALUE($A3301&amp;"")*12+VALUE($B3301&amp;""))</f>
        <v/>
      </c>
      <c r="N3301" s="39">
        <f>IF($A3301="","",IFERROR(INDEX(부서매핑!$C$5:$C$504,MATCH($G3301&amp;"",부서매핑!$A$5:$A$504,0)),"미매핑"))</f>
        <v/>
      </c>
      <c r="O3301" s="9">
        <f>IF($A3301="","",N3301&amp;"|"&amp;$F3301)</f>
        <v/>
      </c>
      <c r="P3301" s="77">
        <f>IF($A3301="",0,$H3301*설정!$C$23)</f>
        <v/>
      </c>
      <c r="Q3301" s="39">
        <f>IF($A3301="","",IF(O3301&lt;&gt;원인분석!$C$9,"",IF(AND(M3301&gt;=원인분석!$C$10,M3301&lt;=원인분석!$C$11),"당기",IF(AND(M3301&gt;=원인분석!$C$12,M3301&lt;=원인분석!$C$13),"비교",""))))</f>
        <v/>
      </c>
      <c r="R3301" s="9">
        <f>IF(Q3301="","",$K3301&amp;"")</f>
        <v/>
      </c>
      <c r="S3301" s="9">
        <f>IF(Q3301="","",IF(MATCH(R3301,$R$5:$R$100000,0)=ROW()-4,ROW(),""))</f>
        <v/>
      </c>
      <c r="T3301" s="9">
        <f>IF(Q3301="당기",ABS(P3301)+ROW()/1000000000,"")</f>
        <v/>
      </c>
      <c r="U3301" s="9">
        <f>IF(Q3301="비교",ABS(P3301)+ROW()/1000000000,"")</f>
        <v/>
      </c>
      <c r="V3301" s="39">
        <f>IF($A3301="","",IF(COUNTIF(변동분석!$E$7:$E$506,O3301)&gt;0,"Y","N"))</f>
        <v/>
      </c>
      <c r="W3301" s="39">
        <f>IF($A3301="","",IFERROR(INDEX(계정매핑!$D$5:$D$504,MATCH($F3301&amp;"",계정매핑!$A$5:$A$504,0)),"미매핑"))</f>
        <v/>
      </c>
      <c r="X3301" s="9">
        <f>IF($A3301="","",$F3301&amp;"")</f>
        <v/>
      </c>
    </row>
    <row r="3302">
      <c r="A3302" s="75" t="n">
        <v>2026</v>
      </c>
      <c r="B3302" s="75" t="n">
        <v>5</v>
      </c>
      <c r="C3302" s="75" t="inlineStr">
        <is>
          <t>5100000958</t>
        </is>
      </c>
      <c r="D3302" s="78" t="n">
        <v>46165</v>
      </c>
      <c r="E3302" s="75" t="inlineStr">
        <is>
          <t>KR</t>
        </is>
      </c>
      <c r="F3302" s="75" t="n">
        <v>62102000</v>
      </c>
      <c r="G3302" s="75" t="n">
        <v>1701</v>
      </c>
      <c r="H3302" s="76" t="n">
        <v>68000</v>
      </c>
      <c r="I3302" s="75" t="inlineStr">
        <is>
          <t>5월 해외출장 - M항공</t>
        </is>
      </c>
      <c r="J3302" s="75" t="inlineStr">
        <is>
          <t>V10001</t>
        </is>
      </c>
      <c r="K3302" s="75" t="inlineStr">
        <is>
          <t>M항공</t>
        </is>
      </c>
      <c r="M3302" s="9">
        <f>IF($A3302="","",VALUE($A3302&amp;"")*12+VALUE($B3302&amp;""))</f>
        <v/>
      </c>
      <c r="N3302" s="39">
        <f>IF($A3302="","",IFERROR(INDEX(부서매핑!$C$5:$C$504,MATCH($G3302&amp;"",부서매핑!$A$5:$A$504,0)),"미매핑"))</f>
        <v/>
      </c>
      <c r="O3302" s="9">
        <f>IF($A3302="","",N3302&amp;"|"&amp;$F3302)</f>
        <v/>
      </c>
      <c r="P3302" s="77">
        <f>IF($A3302="",0,$H3302*설정!$C$23)</f>
        <v/>
      </c>
      <c r="Q3302" s="39">
        <f>IF($A3302="","",IF(O3302&lt;&gt;원인분석!$C$9,"",IF(AND(M3302&gt;=원인분석!$C$10,M3302&lt;=원인분석!$C$11),"당기",IF(AND(M3302&gt;=원인분석!$C$12,M3302&lt;=원인분석!$C$13),"비교",""))))</f>
        <v/>
      </c>
      <c r="R3302" s="9">
        <f>IF(Q3302="","",$K3302&amp;"")</f>
        <v/>
      </c>
      <c r="S3302" s="9">
        <f>IF(Q3302="","",IF(MATCH(R3302,$R$5:$R$100000,0)=ROW()-4,ROW(),""))</f>
        <v/>
      </c>
      <c r="T3302" s="9">
        <f>IF(Q3302="당기",ABS(P3302)+ROW()/1000000000,"")</f>
        <v/>
      </c>
      <c r="U3302" s="9">
        <f>IF(Q3302="비교",ABS(P3302)+ROW()/1000000000,"")</f>
        <v/>
      </c>
      <c r="V3302" s="39">
        <f>IF($A3302="","",IF(COUNTIF(변동분석!$E$7:$E$506,O3302)&gt;0,"Y","N"))</f>
        <v/>
      </c>
      <c r="W3302" s="39">
        <f>IF($A3302="","",IFERROR(INDEX(계정매핑!$D$5:$D$504,MATCH($F3302&amp;"",계정매핑!$A$5:$A$504,0)),"미매핑"))</f>
        <v/>
      </c>
      <c r="X3302" s="9">
        <f>IF($A3302="","",$F3302&amp;"")</f>
        <v/>
      </c>
    </row>
    <row r="3303">
      <c r="A3303" s="75" t="n">
        <v>2026</v>
      </c>
      <c r="B3303" s="75" t="n">
        <v>5</v>
      </c>
      <c r="C3303" s="75" t="inlineStr">
        <is>
          <t>5100000959</t>
        </is>
      </c>
      <c r="D3303" s="78" t="n">
        <v>46165</v>
      </c>
      <c r="E3303" s="75" t="inlineStr">
        <is>
          <t>KR</t>
        </is>
      </c>
      <c r="F3303" s="75" t="n">
        <v>62102000</v>
      </c>
      <c r="G3303" s="75" t="n">
        <v>1701</v>
      </c>
      <c r="H3303" s="76" t="n">
        <v>83000</v>
      </c>
      <c r="I3303" s="75" t="inlineStr">
        <is>
          <t>5월 해외출장 - N호텔</t>
        </is>
      </c>
      <c r="J3303" s="75" t="inlineStr">
        <is>
          <t>V10007</t>
        </is>
      </c>
      <c r="K3303" s="75" t="inlineStr">
        <is>
          <t>N호텔</t>
        </is>
      </c>
      <c r="M3303" s="9">
        <f>IF($A3303="","",VALUE($A3303&amp;"")*12+VALUE($B3303&amp;""))</f>
        <v/>
      </c>
      <c r="N3303" s="39">
        <f>IF($A3303="","",IFERROR(INDEX(부서매핑!$C$5:$C$504,MATCH($G3303&amp;"",부서매핑!$A$5:$A$504,0)),"미매핑"))</f>
        <v/>
      </c>
      <c r="O3303" s="9">
        <f>IF($A3303="","",N3303&amp;"|"&amp;$F3303)</f>
        <v/>
      </c>
      <c r="P3303" s="77">
        <f>IF($A3303="",0,$H3303*설정!$C$23)</f>
        <v/>
      </c>
      <c r="Q3303" s="39">
        <f>IF($A3303="","",IF(O3303&lt;&gt;원인분석!$C$9,"",IF(AND(M3303&gt;=원인분석!$C$10,M3303&lt;=원인분석!$C$11),"당기",IF(AND(M3303&gt;=원인분석!$C$12,M3303&lt;=원인분석!$C$13),"비교",""))))</f>
        <v/>
      </c>
      <c r="R3303" s="9">
        <f>IF(Q3303="","",$K3303&amp;"")</f>
        <v/>
      </c>
      <c r="S3303" s="9">
        <f>IF(Q3303="","",IF(MATCH(R3303,$R$5:$R$100000,0)=ROW()-4,ROW(),""))</f>
        <v/>
      </c>
      <c r="T3303" s="9">
        <f>IF(Q3303="당기",ABS(P3303)+ROW()/1000000000,"")</f>
        <v/>
      </c>
      <c r="U3303" s="9">
        <f>IF(Q3303="비교",ABS(P3303)+ROW()/1000000000,"")</f>
        <v/>
      </c>
      <c r="V3303" s="39">
        <f>IF($A3303="","",IF(COUNTIF(변동분석!$E$7:$E$506,O3303)&gt;0,"Y","N"))</f>
        <v/>
      </c>
      <c r="W3303" s="39">
        <f>IF($A3303="","",IFERROR(INDEX(계정매핑!$D$5:$D$504,MATCH($F3303&amp;"",계정매핑!$A$5:$A$504,0)),"미매핑"))</f>
        <v/>
      </c>
      <c r="X3303" s="9">
        <f>IF($A3303="","",$F3303&amp;"")</f>
        <v/>
      </c>
    </row>
    <row r="3304">
      <c r="A3304" s="75" t="n">
        <v>2026</v>
      </c>
      <c r="B3304" s="75" t="n">
        <v>5</v>
      </c>
      <c r="C3304" s="75" t="inlineStr">
        <is>
          <t>5100000960</t>
        </is>
      </c>
      <c r="D3304" s="78" t="n">
        <v>46165</v>
      </c>
      <c r="E3304" s="75" t="inlineStr">
        <is>
          <t>KR</t>
        </is>
      </c>
      <c r="F3304" s="75" t="n">
        <v>62102000</v>
      </c>
      <c r="G3304" s="75" t="n">
        <v>1801</v>
      </c>
      <c r="H3304" s="76" t="n">
        <v>33000</v>
      </c>
      <c r="I3304" s="75" t="inlineStr">
        <is>
          <t>5월 해외출장 - M항공</t>
        </is>
      </c>
      <c r="J3304" s="75" t="inlineStr">
        <is>
          <t>V10001</t>
        </is>
      </c>
      <c r="K3304" s="75" t="inlineStr">
        <is>
          <t>M항공</t>
        </is>
      </c>
      <c r="M3304" s="9">
        <f>IF($A3304="","",VALUE($A3304&amp;"")*12+VALUE($B3304&amp;""))</f>
        <v/>
      </c>
      <c r="N3304" s="39">
        <f>IF($A3304="","",IFERROR(INDEX(부서매핑!$C$5:$C$504,MATCH($G3304&amp;"",부서매핑!$A$5:$A$504,0)),"미매핑"))</f>
        <v/>
      </c>
      <c r="O3304" s="9">
        <f>IF($A3304="","",N3304&amp;"|"&amp;$F3304)</f>
        <v/>
      </c>
      <c r="P3304" s="77">
        <f>IF($A3304="",0,$H3304*설정!$C$23)</f>
        <v/>
      </c>
      <c r="Q3304" s="39">
        <f>IF($A3304="","",IF(O3304&lt;&gt;원인분석!$C$9,"",IF(AND(M3304&gt;=원인분석!$C$10,M3304&lt;=원인분석!$C$11),"당기",IF(AND(M3304&gt;=원인분석!$C$12,M3304&lt;=원인분석!$C$13),"비교",""))))</f>
        <v/>
      </c>
      <c r="R3304" s="9">
        <f>IF(Q3304="","",$K3304&amp;"")</f>
        <v/>
      </c>
      <c r="S3304" s="9">
        <f>IF(Q3304="","",IF(MATCH(R3304,$R$5:$R$100000,0)=ROW()-4,ROW(),""))</f>
        <v/>
      </c>
      <c r="T3304" s="9">
        <f>IF(Q3304="당기",ABS(P3304)+ROW()/1000000000,"")</f>
        <v/>
      </c>
      <c r="U3304" s="9">
        <f>IF(Q3304="비교",ABS(P3304)+ROW()/1000000000,"")</f>
        <v/>
      </c>
      <c r="V3304" s="39">
        <f>IF($A3304="","",IF(COUNTIF(변동분석!$E$7:$E$506,O3304)&gt;0,"Y","N"))</f>
        <v/>
      </c>
      <c r="W3304" s="39">
        <f>IF($A3304="","",IFERROR(INDEX(계정매핑!$D$5:$D$504,MATCH($F3304&amp;"",계정매핑!$A$5:$A$504,0)),"미매핑"))</f>
        <v/>
      </c>
      <c r="X3304" s="9">
        <f>IF($A3304="","",$F3304&amp;"")</f>
        <v/>
      </c>
    </row>
    <row r="3305">
      <c r="A3305" s="75" t="n">
        <v>2026</v>
      </c>
      <c r="B3305" s="75" t="n">
        <v>5</v>
      </c>
      <c r="C3305" s="75" t="inlineStr">
        <is>
          <t>5100000961</t>
        </is>
      </c>
      <c r="D3305" s="78" t="n">
        <v>46165</v>
      </c>
      <c r="E3305" s="75" t="inlineStr">
        <is>
          <t>KR</t>
        </is>
      </c>
      <c r="F3305" s="75" t="n">
        <v>62401000</v>
      </c>
      <c r="G3305" s="75" t="n">
        <v>1502</v>
      </c>
      <c r="H3305" s="76" t="n">
        <v>1188000</v>
      </c>
      <c r="I3305" s="75" t="inlineStr">
        <is>
          <t>5월 인쇄물 제작 - S출판</t>
        </is>
      </c>
      <c r="J3305" s="75" t="inlineStr">
        <is>
          <t>V10012</t>
        </is>
      </c>
      <c r="K3305" s="75" t="inlineStr">
        <is>
          <t>S출판</t>
        </is>
      </c>
      <c r="M3305" s="9">
        <f>IF($A3305="","",VALUE($A3305&amp;"")*12+VALUE($B3305&amp;""))</f>
        <v/>
      </c>
      <c r="N3305" s="39">
        <f>IF($A3305="","",IFERROR(INDEX(부서매핑!$C$5:$C$504,MATCH($G3305&amp;"",부서매핑!$A$5:$A$504,0)),"미매핑"))</f>
        <v/>
      </c>
      <c r="O3305" s="9">
        <f>IF($A3305="","",N3305&amp;"|"&amp;$F3305)</f>
        <v/>
      </c>
      <c r="P3305" s="77">
        <f>IF($A3305="",0,$H3305*설정!$C$23)</f>
        <v/>
      </c>
      <c r="Q3305" s="39">
        <f>IF($A3305="","",IF(O3305&lt;&gt;원인분석!$C$9,"",IF(AND(M3305&gt;=원인분석!$C$10,M3305&lt;=원인분석!$C$11),"당기",IF(AND(M3305&gt;=원인분석!$C$12,M3305&lt;=원인분석!$C$13),"비교",""))))</f>
        <v/>
      </c>
      <c r="R3305" s="9">
        <f>IF(Q3305="","",$K3305&amp;"")</f>
        <v/>
      </c>
      <c r="S3305" s="9">
        <f>IF(Q3305="","",IF(MATCH(R3305,$R$5:$R$100000,0)=ROW()-4,ROW(),""))</f>
        <v/>
      </c>
      <c r="T3305" s="9">
        <f>IF(Q3305="당기",ABS(P3305)+ROW()/1000000000,"")</f>
        <v/>
      </c>
      <c r="U3305" s="9">
        <f>IF(Q3305="비교",ABS(P3305)+ROW()/1000000000,"")</f>
        <v/>
      </c>
      <c r="V3305" s="39">
        <f>IF($A3305="","",IF(COUNTIF(변동분석!$E$7:$E$506,O3305)&gt;0,"Y","N"))</f>
        <v/>
      </c>
      <c r="W3305" s="39">
        <f>IF($A3305="","",IFERROR(INDEX(계정매핑!$D$5:$D$504,MATCH($F3305&amp;"",계정매핑!$A$5:$A$504,0)),"미매핑"))</f>
        <v/>
      </c>
      <c r="X3305" s="9">
        <f>IF($A3305="","",$F3305&amp;"")</f>
        <v/>
      </c>
    </row>
    <row r="3306">
      <c r="A3306" s="75" t="n">
        <v>2026</v>
      </c>
      <c r="B3306" s="75" t="n">
        <v>5</v>
      </c>
      <c r="C3306" s="75" t="inlineStr">
        <is>
          <t>5100000962</t>
        </is>
      </c>
      <c r="D3306" s="78" t="n">
        <v>46165</v>
      </c>
      <c r="E3306" s="75" t="inlineStr">
        <is>
          <t>KR</t>
        </is>
      </c>
      <c r="F3306" s="75" t="n">
        <v>62901000</v>
      </c>
      <c r="G3306" s="75" t="n">
        <v>1101</v>
      </c>
      <c r="H3306" s="76" t="n">
        <v>3111000</v>
      </c>
      <c r="I3306" s="75" t="inlineStr">
        <is>
          <t>5월 자문 수수료 - K회계법인</t>
        </is>
      </c>
      <c r="J3306" s="75" t="inlineStr">
        <is>
          <t>V10010</t>
        </is>
      </c>
      <c r="K3306" s="75" t="inlineStr">
        <is>
          <t>K회계법인</t>
        </is>
      </c>
      <c r="M3306" s="9">
        <f>IF($A3306="","",VALUE($A3306&amp;"")*12+VALUE($B3306&amp;""))</f>
        <v/>
      </c>
      <c r="N3306" s="39">
        <f>IF($A3306="","",IFERROR(INDEX(부서매핑!$C$5:$C$504,MATCH($G3306&amp;"",부서매핑!$A$5:$A$504,0)),"미매핑"))</f>
        <v/>
      </c>
      <c r="O3306" s="9">
        <f>IF($A3306="","",N3306&amp;"|"&amp;$F3306)</f>
        <v/>
      </c>
      <c r="P3306" s="77">
        <f>IF($A3306="",0,$H3306*설정!$C$23)</f>
        <v/>
      </c>
      <c r="Q3306" s="39">
        <f>IF($A3306="","",IF(O3306&lt;&gt;원인분석!$C$9,"",IF(AND(M3306&gt;=원인분석!$C$10,M3306&lt;=원인분석!$C$11),"당기",IF(AND(M3306&gt;=원인분석!$C$12,M3306&lt;=원인분석!$C$13),"비교",""))))</f>
        <v/>
      </c>
      <c r="R3306" s="9">
        <f>IF(Q3306="","",$K3306&amp;"")</f>
        <v/>
      </c>
      <c r="S3306" s="9">
        <f>IF(Q3306="","",IF(MATCH(R3306,$R$5:$R$100000,0)=ROW()-4,ROW(),""))</f>
        <v/>
      </c>
      <c r="T3306" s="9">
        <f>IF(Q3306="당기",ABS(P3306)+ROW()/1000000000,"")</f>
        <v/>
      </c>
      <c r="U3306" s="9">
        <f>IF(Q3306="비교",ABS(P3306)+ROW()/1000000000,"")</f>
        <v/>
      </c>
      <c r="V3306" s="39">
        <f>IF($A3306="","",IF(COUNTIF(변동분석!$E$7:$E$506,O3306)&gt;0,"Y","N"))</f>
        <v/>
      </c>
      <c r="W3306" s="39">
        <f>IF($A3306="","",IFERROR(INDEX(계정매핑!$D$5:$D$504,MATCH($F3306&amp;"",계정매핑!$A$5:$A$504,0)),"미매핑"))</f>
        <v/>
      </c>
      <c r="X3306" s="9">
        <f>IF($A3306="","",$F3306&amp;"")</f>
        <v/>
      </c>
    </row>
    <row r="3307">
      <c r="A3307" s="75" t="n">
        <v>2026</v>
      </c>
      <c r="B3307" s="75" t="n">
        <v>5</v>
      </c>
      <c r="C3307" s="75" t="inlineStr">
        <is>
          <t>5100000963</t>
        </is>
      </c>
      <c r="D3307" s="78" t="n">
        <v>46165</v>
      </c>
      <c r="E3307" s="75" t="inlineStr">
        <is>
          <t>KR</t>
        </is>
      </c>
      <c r="F3307" s="75" t="n">
        <v>63001000</v>
      </c>
      <c r="G3307" s="75" t="n">
        <v>1701</v>
      </c>
      <c r="H3307" s="76" t="n">
        <v>24959000</v>
      </c>
      <c r="I3307" s="75" t="inlineStr">
        <is>
          <t>5월 SW 유지보수 - Z시스템</t>
        </is>
      </c>
      <c r="J3307" s="75" t="inlineStr">
        <is>
          <t>V10021</t>
        </is>
      </c>
      <c r="K3307" s="75" t="inlineStr">
        <is>
          <t>Z시스템</t>
        </is>
      </c>
      <c r="M3307" s="9">
        <f>IF($A3307="","",VALUE($A3307&amp;"")*12+VALUE($B3307&amp;""))</f>
        <v/>
      </c>
      <c r="N3307" s="39">
        <f>IF($A3307="","",IFERROR(INDEX(부서매핑!$C$5:$C$504,MATCH($G3307&amp;"",부서매핑!$A$5:$A$504,0)),"미매핑"))</f>
        <v/>
      </c>
      <c r="O3307" s="9">
        <f>IF($A3307="","",N3307&amp;"|"&amp;$F3307)</f>
        <v/>
      </c>
      <c r="P3307" s="77">
        <f>IF($A3307="",0,$H3307*설정!$C$23)</f>
        <v/>
      </c>
      <c r="Q3307" s="39">
        <f>IF($A3307="","",IF(O3307&lt;&gt;원인분석!$C$9,"",IF(AND(M3307&gt;=원인분석!$C$10,M3307&lt;=원인분석!$C$11),"당기",IF(AND(M3307&gt;=원인분석!$C$12,M3307&lt;=원인분석!$C$13),"비교",""))))</f>
        <v/>
      </c>
      <c r="R3307" s="9">
        <f>IF(Q3307="","",$K3307&amp;"")</f>
        <v/>
      </c>
      <c r="S3307" s="9">
        <f>IF(Q3307="","",IF(MATCH(R3307,$R$5:$R$100000,0)=ROW()-4,ROW(),""))</f>
        <v/>
      </c>
      <c r="T3307" s="9">
        <f>IF(Q3307="당기",ABS(P3307)+ROW()/1000000000,"")</f>
        <v/>
      </c>
      <c r="U3307" s="9">
        <f>IF(Q3307="비교",ABS(P3307)+ROW()/1000000000,"")</f>
        <v/>
      </c>
      <c r="V3307" s="39">
        <f>IF($A3307="","",IF(COUNTIF(변동분석!$E$7:$E$506,O3307)&gt;0,"Y","N"))</f>
        <v/>
      </c>
      <c r="W3307" s="39">
        <f>IF($A3307="","",IFERROR(INDEX(계정매핑!$D$5:$D$504,MATCH($F3307&amp;"",계정매핑!$A$5:$A$504,0)),"미매핑"))</f>
        <v/>
      </c>
      <c r="X3307" s="9">
        <f>IF($A3307="","",$F3307&amp;"")</f>
        <v/>
      </c>
    </row>
    <row r="3308">
      <c r="A3308" s="75" t="n">
        <v>2026</v>
      </c>
      <c r="B3308" s="75" t="n">
        <v>5</v>
      </c>
      <c r="C3308" s="75" t="inlineStr">
        <is>
          <t>5100000964</t>
        </is>
      </c>
      <c r="D3308" s="78" t="n">
        <v>46166</v>
      </c>
      <c r="E3308" s="75" t="inlineStr">
        <is>
          <t>KR</t>
        </is>
      </c>
      <c r="F3308" s="75" t="n">
        <v>62101000</v>
      </c>
      <c r="G3308" s="75" t="n">
        <v>1101</v>
      </c>
      <c r="H3308" s="76" t="n">
        <v>462000</v>
      </c>
      <c r="I3308" s="75" t="inlineStr">
        <is>
          <t>5월 국내출장 - L여행사</t>
        </is>
      </c>
      <c r="J3308" s="75" t="inlineStr">
        <is>
          <t>V10014</t>
        </is>
      </c>
      <c r="K3308" s="75" t="inlineStr">
        <is>
          <t>L여행사</t>
        </is>
      </c>
      <c r="M3308" s="9">
        <f>IF($A3308="","",VALUE($A3308&amp;"")*12+VALUE($B3308&amp;""))</f>
        <v/>
      </c>
      <c r="N3308" s="39">
        <f>IF($A3308="","",IFERROR(INDEX(부서매핑!$C$5:$C$504,MATCH($G3308&amp;"",부서매핑!$A$5:$A$504,0)),"미매핑"))</f>
        <v/>
      </c>
      <c r="O3308" s="9">
        <f>IF($A3308="","",N3308&amp;"|"&amp;$F3308)</f>
        <v/>
      </c>
      <c r="P3308" s="77">
        <f>IF($A3308="",0,$H3308*설정!$C$23)</f>
        <v/>
      </c>
      <c r="Q3308" s="39">
        <f>IF($A3308="","",IF(O3308&lt;&gt;원인분석!$C$9,"",IF(AND(M3308&gt;=원인분석!$C$10,M3308&lt;=원인분석!$C$11),"당기",IF(AND(M3308&gt;=원인분석!$C$12,M3308&lt;=원인분석!$C$13),"비교",""))))</f>
        <v/>
      </c>
      <c r="R3308" s="9">
        <f>IF(Q3308="","",$K3308&amp;"")</f>
        <v/>
      </c>
      <c r="S3308" s="9">
        <f>IF(Q3308="","",IF(MATCH(R3308,$R$5:$R$100000,0)=ROW()-4,ROW(),""))</f>
        <v/>
      </c>
      <c r="T3308" s="9">
        <f>IF(Q3308="당기",ABS(P3308)+ROW()/1000000000,"")</f>
        <v/>
      </c>
      <c r="U3308" s="9">
        <f>IF(Q3308="비교",ABS(P3308)+ROW()/1000000000,"")</f>
        <v/>
      </c>
      <c r="V3308" s="39">
        <f>IF($A3308="","",IF(COUNTIF(변동분석!$E$7:$E$506,O3308)&gt;0,"Y","N"))</f>
        <v/>
      </c>
      <c r="W3308" s="39">
        <f>IF($A3308="","",IFERROR(INDEX(계정매핑!$D$5:$D$504,MATCH($F3308&amp;"",계정매핑!$A$5:$A$504,0)),"미매핑"))</f>
        <v/>
      </c>
      <c r="X3308" s="9">
        <f>IF($A3308="","",$F3308&amp;"")</f>
        <v/>
      </c>
    </row>
    <row r="3309">
      <c r="A3309" s="75" t="n">
        <v>2026</v>
      </c>
      <c r="B3309" s="75" t="n">
        <v>5</v>
      </c>
      <c r="C3309" s="75" t="inlineStr">
        <is>
          <t>5100000965</t>
        </is>
      </c>
      <c r="D3309" s="78" t="n">
        <v>46166</v>
      </c>
      <c r="E3309" s="75" t="inlineStr">
        <is>
          <t>KR</t>
        </is>
      </c>
      <c r="F3309" s="75" t="n">
        <v>62102000</v>
      </c>
      <c r="G3309" s="75" t="n">
        <v>1101</v>
      </c>
      <c r="H3309" s="76" t="n">
        <v>92000</v>
      </c>
      <c r="I3309" s="75" t="inlineStr">
        <is>
          <t>5월 해외출장 - N호텔</t>
        </is>
      </c>
      <c r="J3309" s="75" t="inlineStr">
        <is>
          <t>V10007</t>
        </is>
      </c>
      <c r="K3309" s="75" t="inlineStr">
        <is>
          <t>N호텔</t>
        </is>
      </c>
      <c r="M3309" s="9">
        <f>IF($A3309="","",VALUE($A3309&amp;"")*12+VALUE($B3309&amp;""))</f>
        <v/>
      </c>
      <c r="N3309" s="39">
        <f>IF($A3309="","",IFERROR(INDEX(부서매핑!$C$5:$C$504,MATCH($G3309&amp;"",부서매핑!$A$5:$A$504,0)),"미매핑"))</f>
        <v/>
      </c>
      <c r="O3309" s="9">
        <f>IF($A3309="","",N3309&amp;"|"&amp;$F3309)</f>
        <v/>
      </c>
      <c r="P3309" s="77">
        <f>IF($A3309="",0,$H3309*설정!$C$23)</f>
        <v/>
      </c>
      <c r="Q3309" s="39">
        <f>IF($A3309="","",IF(O3309&lt;&gt;원인분석!$C$9,"",IF(AND(M3309&gt;=원인분석!$C$10,M3309&lt;=원인분석!$C$11),"당기",IF(AND(M3309&gt;=원인분석!$C$12,M3309&lt;=원인분석!$C$13),"비교",""))))</f>
        <v/>
      </c>
      <c r="R3309" s="9">
        <f>IF(Q3309="","",$K3309&amp;"")</f>
        <v/>
      </c>
      <c r="S3309" s="9">
        <f>IF(Q3309="","",IF(MATCH(R3309,$R$5:$R$100000,0)=ROW()-4,ROW(),""))</f>
        <v/>
      </c>
      <c r="T3309" s="9">
        <f>IF(Q3309="당기",ABS(P3309)+ROW()/1000000000,"")</f>
        <v/>
      </c>
      <c r="U3309" s="9">
        <f>IF(Q3309="비교",ABS(P3309)+ROW()/1000000000,"")</f>
        <v/>
      </c>
      <c r="V3309" s="39">
        <f>IF($A3309="","",IF(COUNTIF(변동분석!$E$7:$E$506,O3309)&gt;0,"Y","N"))</f>
        <v/>
      </c>
      <c r="W3309" s="39">
        <f>IF($A3309="","",IFERROR(INDEX(계정매핑!$D$5:$D$504,MATCH($F3309&amp;"",계정매핑!$A$5:$A$504,0)),"미매핑"))</f>
        <v/>
      </c>
      <c r="X3309" s="9">
        <f>IF($A3309="","",$F3309&amp;"")</f>
        <v/>
      </c>
    </row>
    <row r="3310">
      <c r="A3310" s="75" t="n">
        <v>2026</v>
      </c>
      <c r="B3310" s="75" t="n">
        <v>5</v>
      </c>
      <c r="C3310" s="75" t="inlineStr">
        <is>
          <t>5100000966</t>
        </is>
      </c>
      <c r="D3310" s="78" t="n">
        <v>46166</v>
      </c>
      <c r="E3310" s="75" t="inlineStr">
        <is>
          <t>KR</t>
        </is>
      </c>
      <c r="F3310" s="75" t="n">
        <v>62501000</v>
      </c>
      <c r="G3310" s="75" t="n">
        <v>1301</v>
      </c>
      <c r="H3310" s="76" t="n">
        <v>118000</v>
      </c>
      <c r="I3310" s="75" t="inlineStr">
        <is>
          <t>5월 회의 다과 - T케이터링</t>
        </is>
      </c>
      <c r="J3310" s="75" t="inlineStr">
        <is>
          <t>V10005</t>
        </is>
      </c>
      <c r="K3310" s="75" t="inlineStr">
        <is>
          <t>T케이터링</t>
        </is>
      </c>
      <c r="M3310" s="9">
        <f>IF($A3310="","",VALUE($A3310&amp;"")*12+VALUE($B3310&amp;""))</f>
        <v/>
      </c>
      <c r="N3310" s="39">
        <f>IF($A3310="","",IFERROR(INDEX(부서매핑!$C$5:$C$504,MATCH($G3310&amp;"",부서매핑!$A$5:$A$504,0)),"미매핑"))</f>
        <v/>
      </c>
      <c r="O3310" s="9">
        <f>IF($A3310="","",N3310&amp;"|"&amp;$F3310)</f>
        <v/>
      </c>
      <c r="P3310" s="77">
        <f>IF($A3310="",0,$H3310*설정!$C$23)</f>
        <v/>
      </c>
      <c r="Q3310" s="39">
        <f>IF($A3310="","",IF(O3310&lt;&gt;원인분석!$C$9,"",IF(AND(M3310&gt;=원인분석!$C$10,M3310&lt;=원인분석!$C$11),"당기",IF(AND(M3310&gt;=원인분석!$C$12,M3310&lt;=원인분석!$C$13),"비교",""))))</f>
        <v/>
      </c>
      <c r="R3310" s="9">
        <f>IF(Q3310="","",$K3310&amp;"")</f>
        <v/>
      </c>
      <c r="S3310" s="9">
        <f>IF(Q3310="","",IF(MATCH(R3310,$R$5:$R$100000,0)=ROW()-4,ROW(),""))</f>
        <v/>
      </c>
      <c r="T3310" s="9">
        <f>IF(Q3310="당기",ABS(P3310)+ROW()/1000000000,"")</f>
        <v/>
      </c>
      <c r="U3310" s="9">
        <f>IF(Q3310="비교",ABS(P3310)+ROW()/1000000000,"")</f>
        <v/>
      </c>
      <c r="V3310" s="39">
        <f>IF($A3310="","",IF(COUNTIF(변동분석!$E$7:$E$506,O3310)&gt;0,"Y","N"))</f>
        <v/>
      </c>
      <c r="W3310" s="39">
        <f>IF($A3310="","",IFERROR(INDEX(계정매핑!$D$5:$D$504,MATCH($F3310&amp;"",계정매핑!$A$5:$A$504,0)),"미매핑"))</f>
        <v/>
      </c>
      <c r="X3310" s="9">
        <f>IF($A3310="","",$F3310&amp;"")</f>
        <v/>
      </c>
    </row>
    <row r="3311">
      <c r="A3311" s="75" t="n">
        <v>2026</v>
      </c>
      <c r="B3311" s="75" t="n">
        <v>5</v>
      </c>
      <c r="C3311" s="75" t="inlineStr">
        <is>
          <t>5100000967</t>
        </is>
      </c>
      <c r="D3311" s="78" t="n">
        <v>46166</v>
      </c>
      <c r="E3311" s="75" t="inlineStr">
        <is>
          <t>KR</t>
        </is>
      </c>
      <c r="F3311" s="75" t="n">
        <v>62801000</v>
      </c>
      <c r="G3311" s="75" t="n">
        <v>1301</v>
      </c>
      <c r="H3311" s="76" t="n">
        <v>4297000</v>
      </c>
      <c r="I3311" s="75" t="inlineStr">
        <is>
          <t>5월 사내교육 - (사내강사료)</t>
        </is>
      </c>
      <c r="J3311" s="75" t="inlineStr">
        <is>
          <t>V10020</t>
        </is>
      </c>
      <c r="K3311" s="75" t="inlineStr">
        <is>
          <t>(사내강사료)</t>
        </is>
      </c>
      <c r="M3311" s="9">
        <f>IF($A3311="","",VALUE($A3311&amp;"")*12+VALUE($B3311&amp;""))</f>
        <v/>
      </c>
      <c r="N3311" s="39">
        <f>IF($A3311="","",IFERROR(INDEX(부서매핑!$C$5:$C$504,MATCH($G3311&amp;"",부서매핑!$A$5:$A$504,0)),"미매핑"))</f>
        <v/>
      </c>
      <c r="O3311" s="9">
        <f>IF($A3311="","",N3311&amp;"|"&amp;$F3311)</f>
        <v/>
      </c>
      <c r="P3311" s="77">
        <f>IF($A3311="",0,$H3311*설정!$C$23)</f>
        <v/>
      </c>
      <c r="Q3311" s="39">
        <f>IF($A3311="","",IF(O3311&lt;&gt;원인분석!$C$9,"",IF(AND(M3311&gt;=원인분석!$C$10,M3311&lt;=원인분석!$C$11),"당기",IF(AND(M3311&gt;=원인분석!$C$12,M3311&lt;=원인분석!$C$13),"비교",""))))</f>
        <v/>
      </c>
      <c r="R3311" s="9">
        <f>IF(Q3311="","",$K3311&amp;"")</f>
        <v/>
      </c>
      <c r="S3311" s="9">
        <f>IF(Q3311="","",IF(MATCH(R3311,$R$5:$R$100000,0)=ROW()-4,ROW(),""))</f>
        <v/>
      </c>
      <c r="T3311" s="9">
        <f>IF(Q3311="당기",ABS(P3311)+ROW()/1000000000,"")</f>
        <v/>
      </c>
      <c r="U3311" s="9">
        <f>IF(Q3311="비교",ABS(P3311)+ROW()/1000000000,"")</f>
        <v/>
      </c>
      <c r="V3311" s="39">
        <f>IF($A3311="","",IF(COUNTIF(변동분석!$E$7:$E$506,O3311)&gt;0,"Y","N"))</f>
        <v/>
      </c>
      <c r="W3311" s="39">
        <f>IF($A3311="","",IFERROR(INDEX(계정매핑!$D$5:$D$504,MATCH($F3311&amp;"",계정매핑!$A$5:$A$504,0)),"미매핑"))</f>
        <v/>
      </c>
      <c r="X3311" s="9">
        <f>IF($A3311="","",$F3311&amp;"")</f>
        <v/>
      </c>
    </row>
    <row r="3312">
      <c r="A3312" s="75" t="n">
        <v>2026</v>
      </c>
      <c r="B3312" s="75" t="n">
        <v>5</v>
      </c>
      <c r="C3312" s="75" t="inlineStr">
        <is>
          <t>5100000968</t>
        </is>
      </c>
      <c r="D3312" s="78" t="n">
        <v>46166</v>
      </c>
      <c r="E3312" s="75" t="inlineStr">
        <is>
          <t>KR</t>
        </is>
      </c>
      <c r="F3312" s="75" t="n">
        <v>62901000</v>
      </c>
      <c r="G3312" s="75" t="n">
        <v>1801</v>
      </c>
      <c r="H3312" s="76" t="n">
        <v>7050000</v>
      </c>
      <c r="I3312" s="75" t="inlineStr">
        <is>
          <t>5월 자문 수수료 - K회계법인</t>
        </is>
      </c>
      <c r="J3312" s="75" t="inlineStr">
        <is>
          <t>V10010</t>
        </is>
      </c>
      <c r="K3312" s="75" t="inlineStr">
        <is>
          <t>K회계법인</t>
        </is>
      </c>
      <c r="M3312" s="9">
        <f>IF($A3312="","",VALUE($A3312&amp;"")*12+VALUE($B3312&amp;""))</f>
        <v/>
      </c>
      <c r="N3312" s="39">
        <f>IF($A3312="","",IFERROR(INDEX(부서매핑!$C$5:$C$504,MATCH($G3312&amp;"",부서매핑!$A$5:$A$504,0)),"미매핑"))</f>
        <v/>
      </c>
      <c r="O3312" s="9">
        <f>IF($A3312="","",N3312&amp;"|"&amp;$F3312)</f>
        <v/>
      </c>
      <c r="P3312" s="77">
        <f>IF($A3312="",0,$H3312*설정!$C$23)</f>
        <v/>
      </c>
      <c r="Q3312" s="39">
        <f>IF($A3312="","",IF(O3312&lt;&gt;원인분석!$C$9,"",IF(AND(M3312&gt;=원인분석!$C$10,M3312&lt;=원인분석!$C$11),"당기",IF(AND(M3312&gt;=원인분석!$C$12,M3312&lt;=원인분석!$C$13),"비교",""))))</f>
        <v/>
      </c>
      <c r="R3312" s="9">
        <f>IF(Q3312="","",$K3312&amp;"")</f>
        <v/>
      </c>
      <c r="S3312" s="9">
        <f>IF(Q3312="","",IF(MATCH(R3312,$R$5:$R$100000,0)=ROW()-4,ROW(),""))</f>
        <v/>
      </c>
      <c r="T3312" s="9">
        <f>IF(Q3312="당기",ABS(P3312)+ROW()/1000000000,"")</f>
        <v/>
      </c>
      <c r="U3312" s="9">
        <f>IF(Q3312="비교",ABS(P3312)+ROW()/1000000000,"")</f>
        <v/>
      </c>
      <c r="V3312" s="39">
        <f>IF($A3312="","",IF(COUNTIF(변동분석!$E$7:$E$506,O3312)&gt;0,"Y","N"))</f>
        <v/>
      </c>
      <c r="W3312" s="39">
        <f>IF($A3312="","",IFERROR(INDEX(계정매핑!$D$5:$D$504,MATCH($F3312&amp;"",계정매핑!$A$5:$A$504,0)),"미매핑"))</f>
        <v/>
      </c>
      <c r="X3312" s="9">
        <f>IF($A3312="","",$F3312&amp;"")</f>
        <v/>
      </c>
    </row>
    <row r="3313">
      <c r="A3313" s="75" t="n">
        <v>2026</v>
      </c>
      <c r="B3313" s="75" t="n">
        <v>5</v>
      </c>
      <c r="C3313" s="75" t="inlineStr">
        <is>
          <t>5100000969</t>
        </is>
      </c>
      <c r="D3313" s="78" t="n">
        <v>46166</v>
      </c>
      <c r="E3313" s="75" t="inlineStr">
        <is>
          <t>KR</t>
        </is>
      </c>
      <c r="F3313" s="75" t="n">
        <v>63201000</v>
      </c>
      <c r="G3313" s="75" t="n">
        <v>1602</v>
      </c>
      <c r="H3313" s="76" t="n">
        <v>5751000</v>
      </c>
      <c r="I3313" s="75" t="inlineStr">
        <is>
          <t>5월 차량 유지 - D정비</t>
        </is>
      </c>
      <c r="J3313" s="75" t="inlineStr">
        <is>
          <t>V10022</t>
        </is>
      </c>
      <c r="K3313" s="75" t="inlineStr">
        <is>
          <t>D정비</t>
        </is>
      </c>
      <c r="M3313" s="9">
        <f>IF($A3313="","",VALUE($A3313&amp;"")*12+VALUE($B3313&amp;""))</f>
        <v/>
      </c>
      <c r="N3313" s="39">
        <f>IF($A3313="","",IFERROR(INDEX(부서매핑!$C$5:$C$504,MATCH($G3313&amp;"",부서매핑!$A$5:$A$504,0)),"미매핑"))</f>
        <v/>
      </c>
      <c r="O3313" s="9">
        <f>IF($A3313="","",N3313&amp;"|"&amp;$F3313)</f>
        <v/>
      </c>
      <c r="P3313" s="77">
        <f>IF($A3313="",0,$H3313*설정!$C$23)</f>
        <v/>
      </c>
      <c r="Q3313" s="39">
        <f>IF($A3313="","",IF(O3313&lt;&gt;원인분석!$C$9,"",IF(AND(M3313&gt;=원인분석!$C$10,M3313&lt;=원인분석!$C$11),"당기",IF(AND(M3313&gt;=원인분석!$C$12,M3313&lt;=원인분석!$C$13),"비교",""))))</f>
        <v/>
      </c>
      <c r="R3313" s="9">
        <f>IF(Q3313="","",$K3313&amp;"")</f>
        <v/>
      </c>
      <c r="S3313" s="9">
        <f>IF(Q3313="","",IF(MATCH(R3313,$R$5:$R$100000,0)=ROW()-4,ROW(),""))</f>
        <v/>
      </c>
      <c r="T3313" s="9">
        <f>IF(Q3313="당기",ABS(P3313)+ROW()/1000000000,"")</f>
        <v/>
      </c>
      <c r="U3313" s="9">
        <f>IF(Q3313="비교",ABS(P3313)+ROW()/1000000000,"")</f>
        <v/>
      </c>
      <c r="V3313" s="39">
        <f>IF($A3313="","",IF(COUNTIF(변동분석!$E$7:$E$506,O3313)&gt;0,"Y","N"))</f>
        <v/>
      </c>
      <c r="W3313" s="39">
        <f>IF($A3313="","",IFERROR(INDEX(계정매핑!$D$5:$D$504,MATCH($F3313&amp;"",계정매핑!$A$5:$A$504,0)),"미매핑"))</f>
        <v/>
      </c>
      <c r="X3313" s="9">
        <f>IF($A3313="","",$F3313&amp;"")</f>
        <v/>
      </c>
    </row>
    <row r="3314">
      <c r="A3314" s="75" t="n">
        <v>2026</v>
      </c>
      <c r="B3314" s="75" t="n">
        <v>5</v>
      </c>
      <c r="C3314" s="75" t="inlineStr">
        <is>
          <t>5100000970</t>
        </is>
      </c>
      <c r="D3314" s="78" t="n">
        <v>46167</v>
      </c>
      <c r="E3314" s="75" t="inlineStr">
        <is>
          <t>KR</t>
        </is>
      </c>
      <c r="F3314" s="75" t="n">
        <v>62201000</v>
      </c>
      <c r="G3314" s="75" t="n">
        <v>1101</v>
      </c>
      <c r="H3314" s="76" t="n">
        <v>309000</v>
      </c>
      <c r="I3314" s="75" t="inlineStr">
        <is>
          <t>5월 통신요금 - P통신</t>
        </is>
      </c>
      <c r="J3314" s="75" t="inlineStr">
        <is>
          <t>V10011</t>
        </is>
      </c>
      <c r="K3314" s="75" t="inlineStr">
        <is>
          <t>P통신</t>
        </is>
      </c>
      <c r="M3314" s="9">
        <f>IF($A3314="","",VALUE($A3314&amp;"")*12+VALUE($B3314&amp;""))</f>
        <v/>
      </c>
      <c r="N3314" s="39">
        <f>IF($A3314="","",IFERROR(INDEX(부서매핑!$C$5:$C$504,MATCH($G3314&amp;"",부서매핑!$A$5:$A$504,0)),"미매핑"))</f>
        <v/>
      </c>
      <c r="O3314" s="9">
        <f>IF($A3314="","",N3314&amp;"|"&amp;$F3314)</f>
        <v/>
      </c>
      <c r="P3314" s="77">
        <f>IF($A3314="",0,$H3314*설정!$C$23)</f>
        <v/>
      </c>
      <c r="Q3314" s="39">
        <f>IF($A3314="","",IF(O3314&lt;&gt;원인분석!$C$9,"",IF(AND(M3314&gt;=원인분석!$C$10,M3314&lt;=원인분석!$C$11),"당기",IF(AND(M3314&gt;=원인분석!$C$12,M3314&lt;=원인분석!$C$13),"비교",""))))</f>
        <v/>
      </c>
      <c r="R3314" s="9">
        <f>IF(Q3314="","",$K3314&amp;"")</f>
        <v/>
      </c>
      <c r="S3314" s="9">
        <f>IF(Q3314="","",IF(MATCH(R3314,$R$5:$R$100000,0)=ROW()-4,ROW(),""))</f>
        <v/>
      </c>
      <c r="T3314" s="9">
        <f>IF(Q3314="당기",ABS(P3314)+ROW()/1000000000,"")</f>
        <v/>
      </c>
      <c r="U3314" s="9">
        <f>IF(Q3314="비교",ABS(P3314)+ROW()/1000000000,"")</f>
        <v/>
      </c>
      <c r="V3314" s="39">
        <f>IF($A3314="","",IF(COUNTIF(변동분석!$E$7:$E$506,O3314)&gt;0,"Y","N"))</f>
        <v/>
      </c>
      <c r="W3314" s="39">
        <f>IF($A3314="","",IFERROR(INDEX(계정매핑!$D$5:$D$504,MATCH($F3314&amp;"",계정매핑!$A$5:$A$504,0)),"미매핑"))</f>
        <v/>
      </c>
      <c r="X3314" s="9">
        <f>IF($A3314="","",$F3314&amp;"")</f>
        <v/>
      </c>
    </row>
    <row r="3315">
      <c r="A3315" s="75" t="n">
        <v>2026</v>
      </c>
      <c r="B3315" s="75" t="n">
        <v>5</v>
      </c>
      <c r="C3315" s="75" t="inlineStr">
        <is>
          <t>5100000971</t>
        </is>
      </c>
      <c r="D3315" s="78" t="n">
        <v>46167</v>
      </c>
      <c r="E3315" s="75" t="inlineStr">
        <is>
          <t>KR</t>
        </is>
      </c>
      <c r="F3315" s="75" t="n">
        <v>62301000</v>
      </c>
      <c r="G3315" s="75" t="n">
        <v>1801</v>
      </c>
      <c r="H3315" s="76" t="n">
        <v>256000</v>
      </c>
      <c r="I3315" s="75" t="inlineStr">
        <is>
          <t>5월 소모품 구입 - Q오피스</t>
        </is>
      </c>
      <c r="J3315" s="75" t="inlineStr">
        <is>
          <t>V10003</t>
        </is>
      </c>
      <c r="K3315" s="75" t="inlineStr">
        <is>
          <t>Q오피스</t>
        </is>
      </c>
      <c r="M3315" s="9">
        <f>IF($A3315="","",VALUE($A3315&amp;"")*12+VALUE($B3315&amp;""))</f>
        <v/>
      </c>
      <c r="N3315" s="39">
        <f>IF($A3315="","",IFERROR(INDEX(부서매핑!$C$5:$C$504,MATCH($G3315&amp;"",부서매핑!$A$5:$A$504,0)),"미매핑"))</f>
        <v/>
      </c>
      <c r="O3315" s="9">
        <f>IF($A3315="","",N3315&amp;"|"&amp;$F3315)</f>
        <v/>
      </c>
      <c r="P3315" s="77">
        <f>IF($A3315="",0,$H3315*설정!$C$23)</f>
        <v/>
      </c>
      <c r="Q3315" s="39">
        <f>IF($A3315="","",IF(O3315&lt;&gt;원인분석!$C$9,"",IF(AND(M3315&gt;=원인분석!$C$10,M3315&lt;=원인분석!$C$11),"당기",IF(AND(M3315&gt;=원인분석!$C$12,M3315&lt;=원인분석!$C$13),"비교",""))))</f>
        <v/>
      </c>
      <c r="R3315" s="9">
        <f>IF(Q3315="","",$K3315&amp;"")</f>
        <v/>
      </c>
      <c r="S3315" s="9">
        <f>IF(Q3315="","",IF(MATCH(R3315,$R$5:$R$100000,0)=ROW()-4,ROW(),""))</f>
        <v/>
      </c>
      <c r="T3315" s="9">
        <f>IF(Q3315="당기",ABS(P3315)+ROW()/1000000000,"")</f>
        <v/>
      </c>
      <c r="U3315" s="9">
        <f>IF(Q3315="비교",ABS(P3315)+ROW()/1000000000,"")</f>
        <v/>
      </c>
      <c r="V3315" s="39">
        <f>IF($A3315="","",IF(COUNTIF(변동분석!$E$7:$E$506,O3315)&gt;0,"Y","N"))</f>
        <v/>
      </c>
      <c r="W3315" s="39">
        <f>IF($A3315="","",IFERROR(INDEX(계정매핑!$D$5:$D$504,MATCH($F3315&amp;"",계정매핑!$A$5:$A$504,0)),"미매핑"))</f>
        <v/>
      </c>
      <c r="X3315" s="9">
        <f>IF($A3315="","",$F3315&amp;"")</f>
        <v/>
      </c>
    </row>
    <row r="3316">
      <c r="A3316" s="75" t="n">
        <v>2026</v>
      </c>
      <c r="B3316" s="75" t="n">
        <v>5</v>
      </c>
      <c r="C3316" s="75" t="inlineStr">
        <is>
          <t>5100000972</t>
        </is>
      </c>
      <c r="D3316" s="78" t="n">
        <v>46167</v>
      </c>
      <c r="E3316" s="75" t="inlineStr">
        <is>
          <t>KR</t>
        </is>
      </c>
      <c r="F3316" s="75" t="n">
        <v>62902000</v>
      </c>
      <c r="G3316" s="75" t="n">
        <v>1201</v>
      </c>
      <c r="H3316" s="76" t="n">
        <v>2882000</v>
      </c>
      <c r="I3316" s="75" t="inlineStr">
        <is>
          <t>5월 업무 위탁 수수료 - X서비스</t>
        </is>
      </c>
      <c r="J3316" s="75" t="inlineStr">
        <is>
          <t>V10016</t>
        </is>
      </c>
      <c r="K3316" s="75" t="inlineStr">
        <is>
          <t>X서비스</t>
        </is>
      </c>
      <c r="M3316" s="9">
        <f>IF($A3316="","",VALUE($A3316&amp;"")*12+VALUE($B3316&amp;""))</f>
        <v/>
      </c>
      <c r="N3316" s="39">
        <f>IF($A3316="","",IFERROR(INDEX(부서매핑!$C$5:$C$504,MATCH($G3316&amp;"",부서매핑!$A$5:$A$504,0)),"미매핑"))</f>
        <v/>
      </c>
      <c r="O3316" s="9">
        <f>IF($A3316="","",N3316&amp;"|"&amp;$F3316)</f>
        <v/>
      </c>
      <c r="P3316" s="77">
        <f>IF($A3316="",0,$H3316*설정!$C$23)</f>
        <v/>
      </c>
      <c r="Q3316" s="39">
        <f>IF($A3316="","",IF(O3316&lt;&gt;원인분석!$C$9,"",IF(AND(M3316&gt;=원인분석!$C$10,M3316&lt;=원인분석!$C$11),"당기",IF(AND(M3316&gt;=원인분석!$C$12,M3316&lt;=원인분석!$C$13),"비교",""))))</f>
        <v/>
      </c>
      <c r="R3316" s="9">
        <f>IF(Q3316="","",$K3316&amp;"")</f>
        <v/>
      </c>
      <c r="S3316" s="9">
        <f>IF(Q3316="","",IF(MATCH(R3316,$R$5:$R$100000,0)=ROW()-4,ROW(),""))</f>
        <v/>
      </c>
      <c r="T3316" s="9">
        <f>IF(Q3316="당기",ABS(P3316)+ROW()/1000000000,"")</f>
        <v/>
      </c>
      <c r="U3316" s="9">
        <f>IF(Q3316="비교",ABS(P3316)+ROW()/1000000000,"")</f>
        <v/>
      </c>
      <c r="V3316" s="39">
        <f>IF($A3316="","",IF(COUNTIF(변동분석!$E$7:$E$506,O3316)&gt;0,"Y","N"))</f>
        <v/>
      </c>
      <c r="W3316" s="39">
        <f>IF($A3316="","",IFERROR(INDEX(계정매핑!$D$5:$D$504,MATCH($F3316&amp;"",계정매핑!$A$5:$A$504,0)),"미매핑"))</f>
        <v/>
      </c>
      <c r="X3316" s="9">
        <f>IF($A3316="","",$F3316&amp;"")</f>
        <v/>
      </c>
    </row>
    <row r="3317">
      <c r="A3317" s="75" t="n">
        <v>2026</v>
      </c>
      <c r="B3317" s="75" t="n">
        <v>5</v>
      </c>
      <c r="C3317" s="75" t="inlineStr">
        <is>
          <t>5100000973</t>
        </is>
      </c>
      <c r="D3317" s="78" t="n">
        <v>46167</v>
      </c>
      <c r="E3317" s="75" t="inlineStr">
        <is>
          <t>KR</t>
        </is>
      </c>
      <c r="F3317" s="75" t="n">
        <v>62902000</v>
      </c>
      <c r="G3317" s="75" t="n">
        <v>1401</v>
      </c>
      <c r="H3317" s="76" t="n">
        <v>1239000</v>
      </c>
      <c r="I3317" s="75" t="inlineStr">
        <is>
          <t>5월 업무 위탁 수수료 - J콜센터</t>
        </is>
      </c>
      <c r="J3317" s="75" t="inlineStr">
        <is>
          <t>V10013</t>
        </is>
      </c>
      <c r="K3317" s="75" t="inlineStr">
        <is>
          <t>J콜센터</t>
        </is>
      </c>
      <c r="M3317" s="9">
        <f>IF($A3317="","",VALUE($A3317&amp;"")*12+VALUE($B3317&amp;""))</f>
        <v/>
      </c>
      <c r="N3317" s="39">
        <f>IF($A3317="","",IFERROR(INDEX(부서매핑!$C$5:$C$504,MATCH($G3317&amp;"",부서매핑!$A$5:$A$504,0)),"미매핑"))</f>
        <v/>
      </c>
      <c r="O3317" s="9">
        <f>IF($A3317="","",N3317&amp;"|"&amp;$F3317)</f>
        <v/>
      </c>
      <c r="P3317" s="77">
        <f>IF($A3317="",0,$H3317*설정!$C$23)</f>
        <v/>
      </c>
      <c r="Q3317" s="39">
        <f>IF($A3317="","",IF(O3317&lt;&gt;원인분석!$C$9,"",IF(AND(M3317&gt;=원인분석!$C$10,M3317&lt;=원인분석!$C$11),"당기",IF(AND(M3317&gt;=원인분석!$C$12,M3317&lt;=원인분석!$C$13),"비교",""))))</f>
        <v/>
      </c>
      <c r="R3317" s="9">
        <f>IF(Q3317="","",$K3317&amp;"")</f>
        <v/>
      </c>
      <c r="S3317" s="9">
        <f>IF(Q3317="","",IF(MATCH(R3317,$R$5:$R$100000,0)=ROW()-4,ROW(),""))</f>
        <v/>
      </c>
      <c r="T3317" s="9">
        <f>IF(Q3317="당기",ABS(P3317)+ROW()/1000000000,"")</f>
        <v/>
      </c>
      <c r="U3317" s="9">
        <f>IF(Q3317="비교",ABS(P3317)+ROW()/1000000000,"")</f>
        <v/>
      </c>
      <c r="V3317" s="39">
        <f>IF($A3317="","",IF(COUNTIF(변동분석!$E$7:$E$506,O3317)&gt;0,"Y","N"))</f>
        <v/>
      </c>
      <c r="W3317" s="39">
        <f>IF($A3317="","",IFERROR(INDEX(계정매핑!$D$5:$D$504,MATCH($F3317&amp;"",계정매핑!$A$5:$A$504,0)),"미매핑"))</f>
        <v/>
      </c>
      <c r="X3317" s="9">
        <f>IF($A3317="","",$F3317&amp;"")</f>
        <v/>
      </c>
    </row>
    <row r="3318">
      <c r="A3318" s="75" t="n">
        <v>2026</v>
      </c>
      <c r="B3318" s="75" t="n">
        <v>5</v>
      </c>
      <c r="C3318" s="75" t="inlineStr">
        <is>
          <t>5100000974</t>
        </is>
      </c>
      <c r="D3318" s="78" t="n">
        <v>46167</v>
      </c>
      <c r="E3318" s="75" t="inlineStr">
        <is>
          <t>KR</t>
        </is>
      </c>
      <c r="F3318" s="75" t="n">
        <v>62902000</v>
      </c>
      <c r="G3318" s="75" t="n">
        <v>1801</v>
      </c>
      <c r="H3318" s="76" t="n">
        <v>1752000</v>
      </c>
      <c r="I3318" s="75" t="inlineStr">
        <is>
          <t>5월 콜 위탁 수수료(건별)</t>
        </is>
      </c>
      <c r="J3318" s="75" t="inlineStr">
        <is>
          <t>V10013</t>
        </is>
      </c>
      <c r="K3318" s="75" t="inlineStr">
        <is>
          <t>J콜센터</t>
        </is>
      </c>
      <c r="M3318" s="9">
        <f>IF($A3318="","",VALUE($A3318&amp;"")*12+VALUE($B3318&amp;""))</f>
        <v/>
      </c>
      <c r="N3318" s="39">
        <f>IF($A3318="","",IFERROR(INDEX(부서매핑!$C$5:$C$504,MATCH($G3318&amp;"",부서매핑!$A$5:$A$504,0)),"미매핑"))</f>
        <v/>
      </c>
      <c r="O3318" s="9">
        <f>IF($A3318="","",N3318&amp;"|"&amp;$F3318)</f>
        <v/>
      </c>
      <c r="P3318" s="77">
        <f>IF($A3318="",0,$H3318*설정!$C$23)</f>
        <v/>
      </c>
      <c r="Q3318" s="39">
        <f>IF($A3318="","",IF(O3318&lt;&gt;원인분석!$C$9,"",IF(AND(M3318&gt;=원인분석!$C$10,M3318&lt;=원인분석!$C$11),"당기",IF(AND(M3318&gt;=원인분석!$C$12,M3318&lt;=원인분석!$C$13),"비교",""))))</f>
        <v/>
      </c>
      <c r="R3318" s="9">
        <f>IF(Q3318="","",$K3318&amp;"")</f>
        <v/>
      </c>
      <c r="S3318" s="9">
        <f>IF(Q3318="","",IF(MATCH(R3318,$R$5:$R$100000,0)=ROW()-4,ROW(),""))</f>
        <v/>
      </c>
      <c r="T3318" s="9">
        <f>IF(Q3318="당기",ABS(P3318)+ROW()/1000000000,"")</f>
        <v/>
      </c>
      <c r="U3318" s="9">
        <f>IF(Q3318="비교",ABS(P3318)+ROW()/1000000000,"")</f>
        <v/>
      </c>
      <c r="V3318" s="39">
        <f>IF($A3318="","",IF(COUNTIF(변동분석!$E$7:$E$506,O3318)&gt;0,"Y","N"))</f>
        <v/>
      </c>
      <c r="W3318" s="39">
        <f>IF($A3318="","",IFERROR(INDEX(계정매핑!$D$5:$D$504,MATCH($F3318&amp;"",계정매핑!$A$5:$A$504,0)),"미매핑"))</f>
        <v/>
      </c>
      <c r="X3318" s="9">
        <f>IF($A3318="","",$F3318&amp;"")</f>
        <v/>
      </c>
    </row>
    <row r="3319">
      <c r="A3319" s="75" t="n">
        <v>2026</v>
      </c>
      <c r="B3319" s="75" t="n">
        <v>5</v>
      </c>
      <c r="C3319" s="75" t="inlineStr">
        <is>
          <t>5100000975</t>
        </is>
      </c>
      <c r="D3319" s="78" t="n">
        <v>46167</v>
      </c>
      <c r="E3319" s="75" t="inlineStr">
        <is>
          <t>KR</t>
        </is>
      </c>
      <c r="F3319" s="75" t="n">
        <v>63002000</v>
      </c>
      <c r="G3319" s="75" t="n">
        <v>1701</v>
      </c>
      <c r="H3319" s="76" t="n">
        <v>79000000</v>
      </c>
      <c r="I3319" s="75" t="inlineStr">
        <is>
          <t>5월 클라우드 사용료 - C클라우드</t>
        </is>
      </c>
      <c r="J3319" s="75" t="inlineStr">
        <is>
          <t>V10028</t>
        </is>
      </c>
      <c r="K3319" s="75" t="inlineStr">
        <is>
          <t>C클라우드</t>
        </is>
      </c>
      <c r="M3319" s="9">
        <f>IF($A3319="","",VALUE($A3319&amp;"")*12+VALUE($B3319&amp;""))</f>
        <v/>
      </c>
      <c r="N3319" s="39">
        <f>IF($A3319="","",IFERROR(INDEX(부서매핑!$C$5:$C$504,MATCH($G3319&amp;"",부서매핑!$A$5:$A$504,0)),"미매핑"))</f>
        <v/>
      </c>
      <c r="O3319" s="9">
        <f>IF($A3319="","",N3319&amp;"|"&amp;$F3319)</f>
        <v/>
      </c>
      <c r="P3319" s="77">
        <f>IF($A3319="",0,$H3319*설정!$C$23)</f>
        <v/>
      </c>
      <c r="Q3319" s="39">
        <f>IF($A3319="","",IF(O3319&lt;&gt;원인분석!$C$9,"",IF(AND(M3319&gt;=원인분석!$C$10,M3319&lt;=원인분석!$C$11),"당기",IF(AND(M3319&gt;=원인분석!$C$12,M3319&lt;=원인분석!$C$13),"비교",""))))</f>
        <v/>
      </c>
      <c r="R3319" s="9">
        <f>IF(Q3319="","",$K3319&amp;"")</f>
        <v/>
      </c>
      <c r="S3319" s="9">
        <f>IF(Q3319="","",IF(MATCH(R3319,$R$5:$R$100000,0)=ROW()-4,ROW(),""))</f>
        <v/>
      </c>
      <c r="T3319" s="9">
        <f>IF(Q3319="당기",ABS(P3319)+ROW()/1000000000,"")</f>
        <v/>
      </c>
      <c r="U3319" s="9">
        <f>IF(Q3319="비교",ABS(P3319)+ROW()/1000000000,"")</f>
        <v/>
      </c>
      <c r="V3319" s="39">
        <f>IF($A3319="","",IF(COUNTIF(변동분석!$E$7:$E$506,O3319)&gt;0,"Y","N"))</f>
        <v/>
      </c>
      <c r="W3319" s="39">
        <f>IF($A3319="","",IFERROR(INDEX(계정매핑!$D$5:$D$504,MATCH($F3319&amp;"",계정매핑!$A$5:$A$504,0)),"미매핑"))</f>
        <v/>
      </c>
      <c r="X3319" s="9">
        <f>IF($A3319="","",$F3319&amp;"")</f>
        <v/>
      </c>
    </row>
    <row r="3320">
      <c r="A3320" s="75" t="n">
        <v>2026</v>
      </c>
      <c r="B3320" s="75" t="n">
        <v>5</v>
      </c>
      <c r="C3320" s="75" t="inlineStr">
        <is>
          <t>5100000976</t>
        </is>
      </c>
      <c r="D3320" s="78" t="n">
        <v>46168</v>
      </c>
      <c r="E3320" s="75" t="inlineStr">
        <is>
          <t>KR</t>
        </is>
      </c>
      <c r="F3320" s="75" t="n">
        <v>62101000</v>
      </c>
      <c r="G3320" s="75" t="n">
        <v>1602</v>
      </c>
      <c r="H3320" s="76" t="n">
        <v>1711000</v>
      </c>
      <c r="I3320" s="75" t="inlineStr">
        <is>
          <t>5월 국내출장 - L여행사</t>
        </is>
      </c>
      <c r="J3320" s="75" t="inlineStr">
        <is>
          <t>V10014</t>
        </is>
      </c>
      <c r="K3320" s="75" t="inlineStr">
        <is>
          <t>L여행사</t>
        </is>
      </c>
      <c r="M3320" s="9">
        <f>IF($A3320="","",VALUE($A3320&amp;"")*12+VALUE($B3320&amp;""))</f>
        <v/>
      </c>
      <c r="N3320" s="39">
        <f>IF($A3320="","",IFERROR(INDEX(부서매핑!$C$5:$C$504,MATCH($G3320&amp;"",부서매핑!$A$5:$A$504,0)),"미매핑"))</f>
        <v/>
      </c>
      <c r="O3320" s="9">
        <f>IF($A3320="","",N3320&amp;"|"&amp;$F3320)</f>
        <v/>
      </c>
      <c r="P3320" s="77">
        <f>IF($A3320="",0,$H3320*설정!$C$23)</f>
        <v/>
      </c>
      <c r="Q3320" s="39">
        <f>IF($A3320="","",IF(O3320&lt;&gt;원인분석!$C$9,"",IF(AND(M3320&gt;=원인분석!$C$10,M3320&lt;=원인분석!$C$11),"당기",IF(AND(M3320&gt;=원인분석!$C$12,M3320&lt;=원인분석!$C$13),"비교",""))))</f>
        <v/>
      </c>
      <c r="R3320" s="9">
        <f>IF(Q3320="","",$K3320&amp;"")</f>
        <v/>
      </c>
      <c r="S3320" s="9">
        <f>IF(Q3320="","",IF(MATCH(R3320,$R$5:$R$100000,0)=ROW()-4,ROW(),""))</f>
        <v/>
      </c>
      <c r="T3320" s="9">
        <f>IF(Q3320="당기",ABS(P3320)+ROW()/1000000000,"")</f>
        <v/>
      </c>
      <c r="U3320" s="9">
        <f>IF(Q3320="비교",ABS(P3320)+ROW()/1000000000,"")</f>
        <v/>
      </c>
      <c r="V3320" s="39">
        <f>IF($A3320="","",IF(COUNTIF(변동분석!$E$7:$E$506,O3320)&gt;0,"Y","N"))</f>
        <v/>
      </c>
      <c r="W3320" s="39">
        <f>IF($A3320="","",IFERROR(INDEX(계정매핑!$D$5:$D$504,MATCH($F3320&amp;"",계정매핑!$A$5:$A$504,0)),"미매핑"))</f>
        <v/>
      </c>
      <c r="X3320" s="9">
        <f>IF($A3320="","",$F3320&amp;"")</f>
        <v/>
      </c>
    </row>
    <row r="3321">
      <c r="A3321" s="75" t="n">
        <v>2026</v>
      </c>
      <c r="B3321" s="75" t="n">
        <v>5</v>
      </c>
      <c r="C3321" s="75" t="inlineStr">
        <is>
          <t>5100000977</t>
        </is>
      </c>
      <c r="D3321" s="78" t="n">
        <v>46168</v>
      </c>
      <c r="E3321" s="75" t="inlineStr">
        <is>
          <t>KR</t>
        </is>
      </c>
      <c r="F3321" s="75" t="n">
        <v>62102000</v>
      </c>
      <c r="G3321" s="75" t="n">
        <v>1502</v>
      </c>
      <c r="H3321" s="76" t="n">
        <v>131000</v>
      </c>
      <c r="I3321" s="75" t="inlineStr">
        <is>
          <t>5월 해외출장 - N호텔</t>
        </is>
      </c>
      <c r="J3321" s="75" t="inlineStr">
        <is>
          <t>V10007</t>
        </is>
      </c>
      <c r="K3321" s="75" t="inlineStr">
        <is>
          <t>N호텔</t>
        </is>
      </c>
      <c r="M3321" s="9">
        <f>IF($A3321="","",VALUE($A3321&amp;"")*12+VALUE($B3321&amp;""))</f>
        <v/>
      </c>
      <c r="N3321" s="39">
        <f>IF($A3321="","",IFERROR(INDEX(부서매핑!$C$5:$C$504,MATCH($G3321&amp;"",부서매핑!$A$5:$A$504,0)),"미매핑"))</f>
        <v/>
      </c>
      <c r="O3321" s="9">
        <f>IF($A3321="","",N3321&amp;"|"&amp;$F3321)</f>
        <v/>
      </c>
      <c r="P3321" s="77">
        <f>IF($A3321="",0,$H3321*설정!$C$23)</f>
        <v/>
      </c>
      <c r="Q3321" s="39">
        <f>IF($A3321="","",IF(O3321&lt;&gt;원인분석!$C$9,"",IF(AND(M3321&gt;=원인분석!$C$10,M3321&lt;=원인분석!$C$11),"당기",IF(AND(M3321&gt;=원인분석!$C$12,M3321&lt;=원인분석!$C$13),"비교",""))))</f>
        <v/>
      </c>
      <c r="R3321" s="9">
        <f>IF(Q3321="","",$K3321&amp;"")</f>
        <v/>
      </c>
      <c r="S3321" s="9">
        <f>IF(Q3321="","",IF(MATCH(R3321,$R$5:$R$100000,0)=ROW()-4,ROW(),""))</f>
        <v/>
      </c>
      <c r="T3321" s="9">
        <f>IF(Q3321="당기",ABS(P3321)+ROW()/1000000000,"")</f>
        <v/>
      </c>
      <c r="U3321" s="9">
        <f>IF(Q3321="비교",ABS(P3321)+ROW()/1000000000,"")</f>
        <v/>
      </c>
      <c r="V3321" s="39">
        <f>IF($A3321="","",IF(COUNTIF(변동분석!$E$7:$E$506,O3321)&gt;0,"Y","N"))</f>
        <v/>
      </c>
      <c r="W3321" s="39">
        <f>IF($A3321="","",IFERROR(INDEX(계정매핑!$D$5:$D$504,MATCH($F3321&amp;"",계정매핑!$A$5:$A$504,0)),"미매핑"))</f>
        <v/>
      </c>
      <c r="X3321" s="9">
        <f>IF($A3321="","",$F3321&amp;"")</f>
        <v/>
      </c>
    </row>
    <row r="3322">
      <c r="A3322" s="75" t="n">
        <v>2026</v>
      </c>
      <c r="B3322" s="75" t="n">
        <v>5</v>
      </c>
      <c r="C3322" s="75" t="inlineStr">
        <is>
          <t>5100000978</t>
        </is>
      </c>
      <c r="D3322" s="78" t="n">
        <v>46168</v>
      </c>
      <c r="E3322" s="75" t="inlineStr">
        <is>
          <t>KR</t>
        </is>
      </c>
      <c r="F3322" s="75" t="n">
        <v>62301000</v>
      </c>
      <c r="G3322" s="75" t="n">
        <v>1501</v>
      </c>
      <c r="H3322" s="76" t="n">
        <v>146000</v>
      </c>
      <c r="I3322" s="75" t="inlineStr">
        <is>
          <t>5월 소모품 구입 - R문구</t>
        </is>
      </c>
      <c r="J3322" s="75" t="inlineStr">
        <is>
          <t>V10018</t>
        </is>
      </c>
      <c r="K3322" s="75" t="inlineStr">
        <is>
          <t>R문구</t>
        </is>
      </c>
      <c r="M3322" s="9">
        <f>IF($A3322="","",VALUE($A3322&amp;"")*12+VALUE($B3322&amp;""))</f>
        <v/>
      </c>
      <c r="N3322" s="39">
        <f>IF($A3322="","",IFERROR(INDEX(부서매핑!$C$5:$C$504,MATCH($G3322&amp;"",부서매핑!$A$5:$A$504,0)),"미매핑"))</f>
        <v/>
      </c>
      <c r="O3322" s="9">
        <f>IF($A3322="","",N3322&amp;"|"&amp;$F3322)</f>
        <v/>
      </c>
      <c r="P3322" s="77">
        <f>IF($A3322="",0,$H3322*설정!$C$23)</f>
        <v/>
      </c>
      <c r="Q3322" s="39">
        <f>IF($A3322="","",IF(O3322&lt;&gt;원인분석!$C$9,"",IF(AND(M3322&gt;=원인분석!$C$10,M3322&lt;=원인분석!$C$11),"당기",IF(AND(M3322&gt;=원인분석!$C$12,M3322&lt;=원인분석!$C$13),"비교",""))))</f>
        <v/>
      </c>
      <c r="R3322" s="9">
        <f>IF(Q3322="","",$K3322&amp;"")</f>
        <v/>
      </c>
      <c r="S3322" s="9">
        <f>IF(Q3322="","",IF(MATCH(R3322,$R$5:$R$100000,0)=ROW()-4,ROW(),""))</f>
        <v/>
      </c>
      <c r="T3322" s="9">
        <f>IF(Q3322="당기",ABS(P3322)+ROW()/1000000000,"")</f>
        <v/>
      </c>
      <c r="U3322" s="9">
        <f>IF(Q3322="비교",ABS(P3322)+ROW()/1000000000,"")</f>
        <v/>
      </c>
      <c r="V3322" s="39">
        <f>IF($A3322="","",IF(COUNTIF(변동분석!$E$7:$E$506,O3322)&gt;0,"Y","N"))</f>
        <v/>
      </c>
      <c r="W3322" s="39">
        <f>IF($A3322="","",IFERROR(INDEX(계정매핑!$D$5:$D$504,MATCH($F3322&amp;"",계정매핑!$A$5:$A$504,0)),"미매핑"))</f>
        <v/>
      </c>
      <c r="X3322" s="9">
        <f>IF($A3322="","",$F3322&amp;"")</f>
        <v/>
      </c>
    </row>
    <row r="3323">
      <c r="A3323" s="75" t="n">
        <v>2026</v>
      </c>
      <c r="B3323" s="75" t="n">
        <v>5</v>
      </c>
      <c r="C3323" s="75" t="inlineStr">
        <is>
          <t>5100000979</t>
        </is>
      </c>
      <c r="D3323" s="78" t="n">
        <v>46168</v>
      </c>
      <c r="E3323" s="75" t="inlineStr">
        <is>
          <t>KR</t>
        </is>
      </c>
      <c r="F3323" s="75" t="n">
        <v>62401000</v>
      </c>
      <c r="G3323" s="75" t="n">
        <v>1401</v>
      </c>
      <c r="H3323" s="76" t="n">
        <v>239000</v>
      </c>
      <c r="I3323" s="75" t="inlineStr">
        <is>
          <t>5월 인쇄물 제작 - G인쇄</t>
        </is>
      </c>
      <c r="J3323" s="75" t="inlineStr">
        <is>
          <t>V10004</t>
        </is>
      </c>
      <c r="K3323" s="75" t="inlineStr">
        <is>
          <t>G인쇄</t>
        </is>
      </c>
      <c r="M3323" s="9">
        <f>IF($A3323="","",VALUE($A3323&amp;"")*12+VALUE($B3323&amp;""))</f>
        <v/>
      </c>
      <c r="N3323" s="39">
        <f>IF($A3323="","",IFERROR(INDEX(부서매핑!$C$5:$C$504,MATCH($G3323&amp;"",부서매핑!$A$5:$A$504,0)),"미매핑"))</f>
        <v/>
      </c>
      <c r="O3323" s="9">
        <f>IF($A3323="","",N3323&amp;"|"&amp;$F3323)</f>
        <v/>
      </c>
      <c r="P3323" s="77">
        <f>IF($A3323="",0,$H3323*설정!$C$23)</f>
        <v/>
      </c>
      <c r="Q3323" s="39">
        <f>IF($A3323="","",IF(O3323&lt;&gt;원인분석!$C$9,"",IF(AND(M3323&gt;=원인분석!$C$10,M3323&lt;=원인분석!$C$11),"당기",IF(AND(M3323&gt;=원인분석!$C$12,M3323&lt;=원인분석!$C$13),"비교",""))))</f>
        <v/>
      </c>
      <c r="R3323" s="9">
        <f>IF(Q3323="","",$K3323&amp;"")</f>
        <v/>
      </c>
      <c r="S3323" s="9">
        <f>IF(Q3323="","",IF(MATCH(R3323,$R$5:$R$100000,0)=ROW()-4,ROW(),""))</f>
        <v/>
      </c>
      <c r="T3323" s="9">
        <f>IF(Q3323="당기",ABS(P3323)+ROW()/1000000000,"")</f>
        <v/>
      </c>
      <c r="U3323" s="9">
        <f>IF(Q3323="비교",ABS(P3323)+ROW()/1000000000,"")</f>
        <v/>
      </c>
      <c r="V3323" s="39">
        <f>IF($A3323="","",IF(COUNTIF(변동분석!$E$7:$E$506,O3323)&gt;0,"Y","N"))</f>
        <v/>
      </c>
      <c r="W3323" s="39">
        <f>IF($A3323="","",IFERROR(INDEX(계정매핑!$D$5:$D$504,MATCH($F3323&amp;"",계정매핑!$A$5:$A$504,0)),"미매핑"))</f>
        <v/>
      </c>
      <c r="X3323" s="9">
        <f>IF($A3323="","",$F3323&amp;"")</f>
        <v/>
      </c>
    </row>
    <row r="3324">
      <c r="A3324" s="75" t="n">
        <v>2026</v>
      </c>
      <c r="B3324" s="75" t="n">
        <v>5</v>
      </c>
      <c r="C3324" s="75" t="inlineStr">
        <is>
          <t>5100000980</t>
        </is>
      </c>
      <c r="D3324" s="78" t="n">
        <v>46168</v>
      </c>
      <c r="E3324" s="75" t="inlineStr">
        <is>
          <t>KR</t>
        </is>
      </c>
      <c r="F3324" s="75" t="n">
        <v>62501000</v>
      </c>
      <c r="G3324" s="75" t="n">
        <v>1502</v>
      </c>
      <c r="H3324" s="76" t="n">
        <v>352000</v>
      </c>
      <c r="I3324" s="75" t="inlineStr">
        <is>
          <t>5월 회의 다과 - (법인카드)</t>
        </is>
      </c>
      <c r="J3324" s="75" t="inlineStr">
        <is>
          <t>V10008</t>
        </is>
      </c>
      <c r="K3324" s="75" t="inlineStr">
        <is>
          <t>(법인카드)</t>
        </is>
      </c>
      <c r="M3324" s="9">
        <f>IF($A3324="","",VALUE($A3324&amp;"")*12+VALUE($B3324&amp;""))</f>
        <v/>
      </c>
      <c r="N3324" s="39">
        <f>IF($A3324="","",IFERROR(INDEX(부서매핑!$C$5:$C$504,MATCH($G3324&amp;"",부서매핑!$A$5:$A$504,0)),"미매핑"))</f>
        <v/>
      </c>
      <c r="O3324" s="9">
        <f>IF($A3324="","",N3324&amp;"|"&amp;$F3324)</f>
        <v/>
      </c>
      <c r="P3324" s="77">
        <f>IF($A3324="",0,$H3324*설정!$C$23)</f>
        <v/>
      </c>
      <c r="Q3324" s="39">
        <f>IF($A3324="","",IF(O3324&lt;&gt;원인분석!$C$9,"",IF(AND(M3324&gt;=원인분석!$C$10,M3324&lt;=원인분석!$C$11),"당기",IF(AND(M3324&gt;=원인분석!$C$12,M3324&lt;=원인분석!$C$13),"비교",""))))</f>
        <v/>
      </c>
      <c r="R3324" s="9">
        <f>IF(Q3324="","",$K3324&amp;"")</f>
        <v/>
      </c>
      <c r="S3324" s="9">
        <f>IF(Q3324="","",IF(MATCH(R3324,$R$5:$R$100000,0)=ROW()-4,ROW(),""))</f>
        <v/>
      </c>
      <c r="T3324" s="9">
        <f>IF(Q3324="당기",ABS(P3324)+ROW()/1000000000,"")</f>
        <v/>
      </c>
      <c r="U3324" s="9">
        <f>IF(Q3324="비교",ABS(P3324)+ROW()/1000000000,"")</f>
        <v/>
      </c>
      <c r="V3324" s="39">
        <f>IF($A3324="","",IF(COUNTIF(변동분석!$E$7:$E$506,O3324)&gt;0,"Y","N"))</f>
        <v/>
      </c>
      <c r="W3324" s="39">
        <f>IF($A3324="","",IFERROR(INDEX(계정매핑!$D$5:$D$504,MATCH($F3324&amp;"",계정매핑!$A$5:$A$504,0)),"미매핑"))</f>
        <v/>
      </c>
      <c r="X3324" s="9">
        <f>IF($A3324="","",$F3324&amp;"")</f>
        <v/>
      </c>
    </row>
    <row r="3325">
      <c r="A3325" s="75" t="n">
        <v>2026</v>
      </c>
      <c r="B3325" s="75" t="n">
        <v>5</v>
      </c>
      <c r="C3325" s="75" t="inlineStr">
        <is>
          <t>5100000981</t>
        </is>
      </c>
      <c r="D3325" s="78" t="n">
        <v>46168</v>
      </c>
      <c r="E3325" s="75" t="inlineStr">
        <is>
          <t>KR</t>
        </is>
      </c>
      <c r="F3325" s="75" t="n">
        <v>62902000</v>
      </c>
      <c r="G3325" s="75" t="n">
        <v>1201</v>
      </c>
      <c r="H3325" s="76" t="n">
        <v>3723000</v>
      </c>
      <c r="I3325" s="75" t="inlineStr">
        <is>
          <t>5월 업무 위탁 수수료 - J콜센터</t>
        </is>
      </c>
      <c r="J3325" s="75" t="inlineStr">
        <is>
          <t>V10013</t>
        </is>
      </c>
      <c r="K3325" s="75" t="inlineStr">
        <is>
          <t>J콜센터</t>
        </is>
      </c>
      <c r="M3325" s="9">
        <f>IF($A3325="","",VALUE($A3325&amp;"")*12+VALUE($B3325&amp;""))</f>
        <v/>
      </c>
      <c r="N3325" s="39">
        <f>IF($A3325="","",IFERROR(INDEX(부서매핑!$C$5:$C$504,MATCH($G3325&amp;"",부서매핑!$A$5:$A$504,0)),"미매핑"))</f>
        <v/>
      </c>
      <c r="O3325" s="9">
        <f>IF($A3325="","",N3325&amp;"|"&amp;$F3325)</f>
        <v/>
      </c>
      <c r="P3325" s="77">
        <f>IF($A3325="",0,$H3325*설정!$C$23)</f>
        <v/>
      </c>
      <c r="Q3325" s="39">
        <f>IF($A3325="","",IF(O3325&lt;&gt;원인분석!$C$9,"",IF(AND(M3325&gt;=원인분석!$C$10,M3325&lt;=원인분석!$C$11),"당기",IF(AND(M3325&gt;=원인분석!$C$12,M3325&lt;=원인분석!$C$13),"비교",""))))</f>
        <v/>
      </c>
      <c r="R3325" s="9">
        <f>IF(Q3325="","",$K3325&amp;"")</f>
        <v/>
      </c>
      <c r="S3325" s="9">
        <f>IF(Q3325="","",IF(MATCH(R3325,$R$5:$R$100000,0)=ROW()-4,ROW(),""))</f>
        <v/>
      </c>
      <c r="T3325" s="9">
        <f>IF(Q3325="당기",ABS(P3325)+ROW()/1000000000,"")</f>
        <v/>
      </c>
      <c r="U3325" s="9">
        <f>IF(Q3325="비교",ABS(P3325)+ROW()/1000000000,"")</f>
        <v/>
      </c>
      <c r="V3325" s="39">
        <f>IF($A3325="","",IF(COUNTIF(변동분석!$E$7:$E$506,O3325)&gt;0,"Y","N"))</f>
        <v/>
      </c>
      <c r="W3325" s="39">
        <f>IF($A3325="","",IFERROR(INDEX(계정매핑!$D$5:$D$504,MATCH($F3325&amp;"",계정매핑!$A$5:$A$504,0)),"미매핑"))</f>
        <v/>
      </c>
      <c r="X3325" s="9">
        <f>IF($A3325="","",$F3325&amp;"")</f>
        <v/>
      </c>
    </row>
    <row r="3326">
      <c r="A3326" s="75" t="n">
        <v>2026</v>
      </c>
      <c r="B3326" s="75" t="n">
        <v>5</v>
      </c>
      <c r="C3326" s="75" t="inlineStr">
        <is>
          <t>5100000982</t>
        </is>
      </c>
      <c r="D3326" s="78" t="n">
        <v>46168</v>
      </c>
      <c r="E3326" s="75" t="inlineStr">
        <is>
          <t>KR</t>
        </is>
      </c>
      <c r="F3326" s="75" t="n">
        <v>62902000</v>
      </c>
      <c r="G3326" s="75" t="n">
        <v>1801</v>
      </c>
      <c r="H3326" s="76" t="n">
        <v>1811000</v>
      </c>
      <c r="I3326" s="75" t="inlineStr">
        <is>
          <t>5월 콜 위탁 수수료(건별)</t>
        </is>
      </c>
      <c r="J3326" s="75" t="inlineStr">
        <is>
          <t>V10013</t>
        </is>
      </c>
      <c r="K3326" s="75" t="inlineStr">
        <is>
          <t>J콜센터</t>
        </is>
      </c>
      <c r="M3326" s="9">
        <f>IF($A3326="","",VALUE($A3326&amp;"")*12+VALUE($B3326&amp;""))</f>
        <v/>
      </c>
      <c r="N3326" s="39">
        <f>IF($A3326="","",IFERROR(INDEX(부서매핑!$C$5:$C$504,MATCH($G3326&amp;"",부서매핑!$A$5:$A$504,0)),"미매핑"))</f>
        <v/>
      </c>
      <c r="O3326" s="9">
        <f>IF($A3326="","",N3326&amp;"|"&amp;$F3326)</f>
        <v/>
      </c>
      <c r="P3326" s="77">
        <f>IF($A3326="",0,$H3326*설정!$C$23)</f>
        <v/>
      </c>
      <c r="Q3326" s="39">
        <f>IF($A3326="","",IF(O3326&lt;&gt;원인분석!$C$9,"",IF(AND(M3326&gt;=원인분석!$C$10,M3326&lt;=원인분석!$C$11),"당기",IF(AND(M3326&gt;=원인분석!$C$12,M3326&lt;=원인분석!$C$13),"비교",""))))</f>
        <v/>
      </c>
      <c r="R3326" s="9">
        <f>IF(Q3326="","",$K3326&amp;"")</f>
        <v/>
      </c>
      <c r="S3326" s="9">
        <f>IF(Q3326="","",IF(MATCH(R3326,$R$5:$R$100000,0)=ROW()-4,ROW(),""))</f>
        <v/>
      </c>
      <c r="T3326" s="9">
        <f>IF(Q3326="당기",ABS(P3326)+ROW()/1000000000,"")</f>
        <v/>
      </c>
      <c r="U3326" s="9">
        <f>IF(Q3326="비교",ABS(P3326)+ROW()/1000000000,"")</f>
        <v/>
      </c>
      <c r="V3326" s="39">
        <f>IF($A3326="","",IF(COUNTIF(변동분석!$E$7:$E$506,O3326)&gt;0,"Y","N"))</f>
        <v/>
      </c>
      <c r="W3326" s="39">
        <f>IF($A3326="","",IFERROR(INDEX(계정매핑!$D$5:$D$504,MATCH($F3326&amp;"",계정매핑!$A$5:$A$504,0)),"미매핑"))</f>
        <v/>
      </c>
      <c r="X3326" s="9">
        <f>IF($A3326="","",$F3326&amp;"")</f>
        <v/>
      </c>
    </row>
    <row r="3327">
      <c r="A3327" s="75" t="n">
        <v>2026</v>
      </c>
      <c r="B3327" s="75" t="n">
        <v>5</v>
      </c>
      <c r="C3327" s="75" t="inlineStr">
        <is>
          <t>5100000983</t>
        </is>
      </c>
      <c r="D3327" s="78" t="n">
        <v>46169</v>
      </c>
      <c r="E3327" s="75" t="inlineStr">
        <is>
          <t>KR</t>
        </is>
      </c>
      <c r="F3327" s="75" t="n">
        <v>62101000</v>
      </c>
      <c r="G3327" s="75" t="n">
        <v>1101</v>
      </c>
      <c r="H3327" s="76" t="n">
        <v>310000</v>
      </c>
      <c r="I3327" s="75" t="inlineStr">
        <is>
          <t>5월 국내출장 - M항공</t>
        </is>
      </c>
      <c r="J3327" s="75" t="inlineStr">
        <is>
          <t>V10001</t>
        </is>
      </c>
      <c r="K3327" s="75" t="inlineStr">
        <is>
          <t>M항공</t>
        </is>
      </c>
      <c r="M3327" s="9">
        <f>IF($A3327="","",VALUE($A3327&amp;"")*12+VALUE($B3327&amp;""))</f>
        <v/>
      </c>
      <c r="N3327" s="39">
        <f>IF($A3327="","",IFERROR(INDEX(부서매핑!$C$5:$C$504,MATCH($G3327&amp;"",부서매핑!$A$5:$A$504,0)),"미매핑"))</f>
        <v/>
      </c>
      <c r="O3327" s="9">
        <f>IF($A3327="","",N3327&amp;"|"&amp;$F3327)</f>
        <v/>
      </c>
      <c r="P3327" s="77">
        <f>IF($A3327="",0,$H3327*설정!$C$23)</f>
        <v/>
      </c>
      <c r="Q3327" s="39">
        <f>IF($A3327="","",IF(O3327&lt;&gt;원인분석!$C$9,"",IF(AND(M3327&gt;=원인분석!$C$10,M3327&lt;=원인분석!$C$11),"당기",IF(AND(M3327&gt;=원인분석!$C$12,M3327&lt;=원인분석!$C$13),"비교",""))))</f>
        <v/>
      </c>
      <c r="R3327" s="9">
        <f>IF(Q3327="","",$K3327&amp;"")</f>
        <v/>
      </c>
      <c r="S3327" s="9">
        <f>IF(Q3327="","",IF(MATCH(R3327,$R$5:$R$100000,0)=ROW()-4,ROW(),""))</f>
        <v/>
      </c>
      <c r="T3327" s="9">
        <f>IF(Q3327="당기",ABS(P3327)+ROW()/1000000000,"")</f>
        <v/>
      </c>
      <c r="U3327" s="9">
        <f>IF(Q3327="비교",ABS(P3327)+ROW()/1000000000,"")</f>
        <v/>
      </c>
      <c r="V3327" s="39">
        <f>IF($A3327="","",IF(COUNTIF(변동분석!$E$7:$E$506,O3327)&gt;0,"Y","N"))</f>
        <v/>
      </c>
      <c r="W3327" s="39">
        <f>IF($A3327="","",IFERROR(INDEX(계정매핑!$D$5:$D$504,MATCH($F3327&amp;"",계정매핑!$A$5:$A$504,0)),"미매핑"))</f>
        <v/>
      </c>
      <c r="X3327" s="9">
        <f>IF($A3327="","",$F3327&amp;"")</f>
        <v/>
      </c>
    </row>
    <row r="3328">
      <c r="A3328" s="75" t="n">
        <v>2026</v>
      </c>
      <c r="B3328" s="75" t="n">
        <v>5</v>
      </c>
      <c r="C3328" s="75" t="inlineStr">
        <is>
          <t>5100000984</t>
        </is>
      </c>
      <c r="D3328" s="78" t="n">
        <v>46169</v>
      </c>
      <c r="E3328" s="75" t="inlineStr">
        <is>
          <t>KR</t>
        </is>
      </c>
      <c r="F3328" s="75" t="n">
        <v>62101000</v>
      </c>
      <c r="G3328" s="75" t="n">
        <v>1201</v>
      </c>
      <c r="H3328" s="76" t="n">
        <v>213000</v>
      </c>
      <c r="I3328" s="75" t="inlineStr">
        <is>
          <t>5월 국내출장 - M항공</t>
        </is>
      </c>
      <c r="J3328" s="75" t="inlineStr">
        <is>
          <t>V10001</t>
        </is>
      </c>
      <c r="K3328" s="75" t="inlineStr">
        <is>
          <t>M항공</t>
        </is>
      </c>
      <c r="M3328" s="9">
        <f>IF($A3328="","",VALUE($A3328&amp;"")*12+VALUE($B3328&amp;""))</f>
        <v/>
      </c>
      <c r="N3328" s="39">
        <f>IF($A3328="","",IFERROR(INDEX(부서매핑!$C$5:$C$504,MATCH($G3328&amp;"",부서매핑!$A$5:$A$504,0)),"미매핑"))</f>
        <v/>
      </c>
      <c r="O3328" s="9">
        <f>IF($A3328="","",N3328&amp;"|"&amp;$F3328)</f>
        <v/>
      </c>
      <c r="P3328" s="77">
        <f>IF($A3328="",0,$H3328*설정!$C$23)</f>
        <v/>
      </c>
      <c r="Q3328" s="39">
        <f>IF($A3328="","",IF(O3328&lt;&gt;원인분석!$C$9,"",IF(AND(M3328&gt;=원인분석!$C$10,M3328&lt;=원인분석!$C$11),"당기",IF(AND(M3328&gt;=원인분석!$C$12,M3328&lt;=원인분석!$C$13),"비교",""))))</f>
        <v/>
      </c>
      <c r="R3328" s="9">
        <f>IF(Q3328="","",$K3328&amp;"")</f>
        <v/>
      </c>
      <c r="S3328" s="9">
        <f>IF(Q3328="","",IF(MATCH(R3328,$R$5:$R$100000,0)=ROW()-4,ROW(),""))</f>
        <v/>
      </c>
      <c r="T3328" s="9">
        <f>IF(Q3328="당기",ABS(P3328)+ROW()/1000000000,"")</f>
        <v/>
      </c>
      <c r="U3328" s="9">
        <f>IF(Q3328="비교",ABS(P3328)+ROW()/1000000000,"")</f>
        <v/>
      </c>
      <c r="V3328" s="39">
        <f>IF($A3328="","",IF(COUNTIF(변동분석!$E$7:$E$506,O3328)&gt;0,"Y","N"))</f>
        <v/>
      </c>
      <c r="W3328" s="39">
        <f>IF($A3328="","",IFERROR(INDEX(계정매핑!$D$5:$D$504,MATCH($F3328&amp;"",계정매핑!$A$5:$A$504,0)),"미매핑"))</f>
        <v/>
      </c>
      <c r="X3328" s="9">
        <f>IF($A3328="","",$F3328&amp;"")</f>
        <v/>
      </c>
    </row>
    <row r="3329">
      <c r="A3329" s="75" t="n">
        <v>2026</v>
      </c>
      <c r="B3329" s="75" t="n">
        <v>5</v>
      </c>
      <c r="C3329" s="75" t="inlineStr">
        <is>
          <t>5100000985</t>
        </is>
      </c>
      <c r="D3329" s="78" t="n">
        <v>46169</v>
      </c>
      <c r="E3329" s="75" t="inlineStr">
        <is>
          <t>KR</t>
        </is>
      </c>
      <c r="F3329" s="75" t="n">
        <v>62101000</v>
      </c>
      <c r="G3329" s="75" t="n">
        <v>1501</v>
      </c>
      <c r="H3329" s="76" t="n">
        <v>522000</v>
      </c>
      <c r="I3329" s="75" t="inlineStr">
        <is>
          <t>5월 국내출장 - L여행사</t>
        </is>
      </c>
      <c r="J3329" s="75" t="inlineStr">
        <is>
          <t>V10014</t>
        </is>
      </c>
      <c r="K3329" s="75" t="inlineStr">
        <is>
          <t>L여행사</t>
        </is>
      </c>
      <c r="M3329" s="9">
        <f>IF($A3329="","",VALUE($A3329&amp;"")*12+VALUE($B3329&amp;""))</f>
        <v/>
      </c>
      <c r="N3329" s="39">
        <f>IF($A3329="","",IFERROR(INDEX(부서매핑!$C$5:$C$504,MATCH($G3329&amp;"",부서매핑!$A$5:$A$504,0)),"미매핑"))</f>
        <v/>
      </c>
      <c r="O3329" s="9">
        <f>IF($A3329="","",N3329&amp;"|"&amp;$F3329)</f>
        <v/>
      </c>
      <c r="P3329" s="77">
        <f>IF($A3329="",0,$H3329*설정!$C$23)</f>
        <v/>
      </c>
      <c r="Q3329" s="39">
        <f>IF($A3329="","",IF(O3329&lt;&gt;원인분석!$C$9,"",IF(AND(M3329&gt;=원인분석!$C$10,M3329&lt;=원인분석!$C$11),"당기",IF(AND(M3329&gt;=원인분석!$C$12,M3329&lt;=원인분석!$C$13),"비교",""))))</f>
        <v/>
      </c>
      <c r="R3329" s="9">
        <f>IF(Q3329="","",$K3329&amp;"")</f>
        <v/>
      </c>
      <c r="S3329" s="9">
        <f>IF(Q3329="","",IF(MATCH(R3329,$R$5:$R$100000,0)=ROW()-4,ROW(),""))</f>
        <v/>
      </c>
      <c r="T3329" s="9">
        <f>IF(Q3329="당기",ABS(P3329)+ROW()/1000000000,"")</f>
        <v/>
      </c>
      <c r="U3329" s="9">
        <f>IF(Q3329="비교",ABS(P3329)+ROW()/1000000000,"")</f>
        <v/>
      </c>
      <c r="V3329" s="39">
        <f>IF($A3329="","",IF(COUNTIF(변동분석!$E$7:$E$506,O3329)&gt;0,"Y","N"))</f>
        <v/>
      </c>
      <c r="W3329" s="39">
        <f>IF($A3329="","",IFERROR(INDEX(계정매핑!$D$5:$D$504,MATCH($F3329&amp;"",계정매핑!$A$5:$A$504,0)),"미매핑"))</f>
        <v/>
      </c>
      <c r="X3329" s="9">
        <f>IF($A3329="","",$F3329&amp;"")</f>
        <v/>
      </c>
    </row>
    <row r="3330">
      <c r="A3330" s="75" t="n">
        <v>2026</v>
      </c>
      <c r="B3330" s="75" t="n">
        <v>5</v>
      </c>
      <c r="C3330" s="75" t="inlineStr">
        <is>
          <t>5100000986</t>
        </is>
      </c>
      <c r="D3330" s="78" t="n">
        <v>46169</v>
      </c>
      <c r="E3330" s="75" t="inlineStr">
        <is>
          <t>KR</t>
        </is>
      </c>
      <c r="F3330" s="75" t="n">
        <v>62101000</v>
      </c>
      <c r="G3330" s="75" t="n">
        <v>1701</v>
      </c>
      <c r="H3330" s="76" t="n">
        <v>143000</v>
      </c>
      <c r="I3330" s="75" t="inlineStr">
        <is>
          <t>5월 국내출장 - M항공</t>
        </is>
      </c>
      <c r="J3330" s="75" t="inlineStr">
        <is>
          <t>V10001</t>
        </is>
      </c>
      <c r="K3330" s="75" t="inlineStr">
        <is>
          <t>M항공</t>
        </is>
      </c>
      <c r="M3330" s="9">
        <f>IF($A3330="","",VALUE($A3330&amp;"")*12+VALUE($B3330&amp;""))</f>
        <v/>
      </c>
      <c r="N3330" s="39">
        <f>IF($A3330="","",IFERROR(INDEX(부서매핑!$C$5:$C$504,MATCH($G3330&amp;"",부서매핑!$A$5:$A$504,0)),"미매핑"))</f>
        <v/>
      </c>
      <c r="O3330" s="9">
        <f>IF($A3330="","",N3330&amp;"|"&amp;$F3330)</f>
        <v/>
      </c>
      <c r="P3330" s="77">
        <f>IF($A3330="",0,$H3330*설정!$C$23)</f>
        <v/>
      </c>
      <c r="Q3330" s="39">
        <f>IF($A3330="","",IF(O3330&lt;&gt;원인분석!$C$9,"",IF(AND(M3330&gt;=원인분석!$C$10,M3330&lt;=원인분석!$C$11),"당기",IF(AND(M3330&gt;=원인분석!$C$12,M3330&lt;=원인분석!$C$13),"비교",""))))</f>
        <v/>
      </c>
      <c r="R3330" s="9">
        <f>IF(Q3330="","",$K3330&amp;"")</f>
        <v/>
      </c>
      <c r="S3330" s="9">
        <f>IF(Q3330="","",IF(MATCH(R3330,$R$5:$R$100000,0)=ROW()-4,ROW(),""))</f>
        <v/>
      </c>
      <c r="T3330" s="9">
        <f>IF(Q3330="당기",ABS(P3330)+ROW()/1000000000,"")</f>
        <v/>
      </c>
      <c r="U3330" s="9">
        <f>IF(Q3330="비교",ABS(P3330)+ROW()/1000000000,"")</f>
        <v/>
      </c>
      <c r="V3330" s="39">
        <f>IF($A3330="","",IF(COUNTIF(변동분석!$E$7:$E$506,O3330)&gt;0,"Y","N"))</f>
        <v/>
      </c>
      <c r="W3330" s="39">
        <f>IF($A3330="","",IFERROR(INDEX(계정매핑!$D$5:$D$504,MATCH($F3330&amp;"",계정매핑!$A$5:$A$504,0)),"미매핑"))</f>
        <v/>
      </c>
      <c r="X3330" s="9">
        <f>IF($A3330="","",$F3330&amp;"")</f>
        <v/>
      </c>
    </row>
    <row r="3331">
      <c r="A3331" s="75" t="n">
        <v>2026</v>
      </c>
      <c r="B3331" s="75" t="n">
        <v>5</v>
      </c>
      <c r="C3331" s="75" t="inlineStr">
        <is>
          <t>5100000987</t>
        </is>
      </c>
      <c r="D3331" s="78" t="n">
        <v>46169</v>
      </c>
      <c r="E3331" s="75" t="inlineStr">
        <is>
          <t>KR</t>
        </is>
      </c>
      <c r="F3331" s="75" t="n">
        <v>62501000</v>
      </c>
      <c r="G3331" s="75" t="n">
        <v>1501</v>
      </c>
      <c r="H3331" s="76" t="n">
        <v>320000</v>
      </c>
      <c r="I3331" s="75" t="inlineStr">
        <is>
          <t>5월 회의 다과 - T케이터링</t>
        </is>
      </c>
      <c r="J3331" s="75" t="inlineStr">
        <is>
          <t>V10005</t>
        </is>
      </c>
      <c r="K3331" s="75" t="inlineStr">
        <is>
          <t>T케이터링</t>
        </is>
      </c>
      <c r="M3331" s="9">
        <f>IF($A3331="","",VALUE($A3331&amp;"")*12+VALUE($B3331&amp;""))</f>
        <v/>
      </c>
      <c r="N3331" s="39">
        <f>IF($A3331="","",IFERROR(INDEX(부서매핑!$C$5:$C$504,MATCH($G3331&amp;"",부서매핑!$A$5:$A$504,0)),"미매핑"))</f>
        <v/>
      </c>
      <c r="O3331" s="9">
        <f>IF($A3331="","",N3331&amp;"|"&amp;$F3331)</f>
        <v/>
      </c>
      <c r="P3331" s="77">
        <f>IF($A3331="",0,$H3331*설정!$C$23)</f>
        <v/>
      </c>
      <c r="Q3331" s="39">
        <f>IF($A3331="","",IF(O3331&lt;&gt;원인분석!$C$9,"",IF(AND(M3331&gt;=원인분석!$C$10,M3331&lt;=원인분석!$C$11),"당기",IF(AND(M3331&gt;=원인분석!$C$12,M3331&lt;=원인분석!$C$13),"비교",""))))</f>
        <v/>
      </c>
      <c r="R3331" s="9">
        <f>IF(Q3331="","",$K3331&amp;"")</f>
        <v/>
      </c>
      <c r="S3331" s="9">
        <f>IF(Q3331="","",IF(MATCH(R3331,$R$5:$R$100000,0)=ROW()-4,ROW(),""))</f>
        <v/>
      </c>
      <c r="T3331" s="9">
        <f>IF(Q3331="당기",ABS(P3331)+ROW()/1000000000,"")</f>
        <v/>
      </c>
      <c r="U3331" s="9">
        <f>IF(Q3331="비교",ABS(P3331)+ROW()/1000000000,"")</f>
        <v/>
      </c>
      <c r="V3331" s="39">
        <f>IF($A3331="","",IF(COUNTIF(변동분석!$E$7:$E$506,O3331)&gt;0,"Y","N"))</f>
        <v/>
      </c>
      <c r="W3331" s="39">
        <f>IF($A3331="","",IFERROR(INDEX(계정매핑!$D$5:$D$504,MATCH($F3331&amp;"",계정매핑!$A$5:$A$504,0)),"미매핑"))</f>
        <v/>
      </c>
      <c r="X3331" s="9">
        <f>IF($A3331="","",$F3331&amp;"")</f>
        <v/>
      </c>
    </row>
    <row r="3332">
      <c r="A3332" s="75" t="n">
        <v>2026</v>
      </c>
      <c r="B3332" s="75" t="n">
        <v>5</v>
      </c>
      <c r="C3332" s="75" t="inlineStr">
        <is>
          <t>5100000988</t>
        </is>
      </c>
      <c r="D3332" s="78" t="n">
        <v>46169</v>
      </c>
      <c r="E3332" s="75" t="inlineStr">
        <is>
          <t>KR</t>
        </is>
      </c>
      <c r="F3332" s="75" t="n">
        <v>63201000</v>
      </c>
      <c r="G3332" s="75" t="n">
        <v>1601</v>
      </c>
      <c r="H3332" s="76" t="n">
        <v>1954000</v>
      </c>
      <c r="I3332" s="75" t="inlineStr">
        <is>
          <t>5월 차량 유지 - H에너지</t>
        </is>
      </c>
      <c r="J3332" s="75" t="inlineStr">
        <is>
          <t>V10025</t>
        </is>
      </c>
      <c r="K3332" s="75" t="inlineStr">
        <is>
          <t>H에너지</t>
        </is>
      </c>
      <c r="M3332" s="9">
        <f>IF($A3332="","",VALUE($A3332&amp;"")*12+VALUE($B3332&amp;""))</f>
        <v/>
      </c>
      <c r="N3332" s="39">
        <f>IF($A3332="","",IFERROR(INDEX(부서매핑!$C$5:$C$504,MATCH($G3332&amp;"",부서매핑!$A$5:$A$504,0)),"미매핑"))</f>
        <v/>
      </c>
      <c r="O3332" s="9">
        <f>IF($A3332="","",N3332&amp;"|"&amp;$F3332)</f>
        <v/>
      </c>
      <c r="P3332" s="77">
        <f>IF($A3332="",0,$H3332*설정!$C$23)</f>
        <v/>
      </c>
      <c r="Q3332" s="39">
        <f>IF($A3332="","",IF(O3332&lt;&gt;원인분석!$C$9,"",IF(AND(M3332&gt;=원인분석!$C$10,M3332&lt;=원인분석!$C$11),"당기",IF(AND(M3332&gt;=원인분석!$C$12,M3332&lt;=원인분석!$C$13),"비교",""))))</f>
        <v/>
      </c>
      <c r="R3332" s="9">
        <f>IF(Q3332="","",$K3332&amp;"")</f>
        <v/>
      </c>
      <c r="S3332" s="9">
        <f>IF(Q3332="","",IF(MATCH(R3332,$R$5:$R$100000,0)=ROW()-4,ROW(),""))</f>
        <v/>
      </c>
      <c r="T3332" s="9">
        <f>IF(Q3332="당기",ABS(P3332)+ROW()/1000000000,"")</f>
        <v/>
      </c>
      <c r="U3332" s="9">
        <f>IF(Q3332="비교",ABS(P3332)+ROW()/1000000000,"")</f>
        <v/>
      </c>
      <c r="V3332" s="39">
        <f>IF($A3332="","",IF(COUNTIF(변동분석!$E$7:$E$506,O3332)&gt;0,"Y","N"))</f>
        <v/>
      </c>
      <c r="W3332" s="39">
        <f>IF($A3332="","",IFERROR(INDEX(계정매핑!$D$5:$D$504,MATCH($F3332&amp;"",계정매핑!$A$5:$A$504,0)),"미매핑"))</f>
        <v/>
      </c>
      <c r="X3332" s="9">
        <f>IF($A3332="","",$F3332&amp;"")</f>
        <v/>
      </c>
    </row>
    <row r="3333">
      <c r="A3333" s="75" t="n">
        <v>2026</v>
      </c>
      <c r="B3333" s="75" t="n">
        <v>6</v>
      </c>
      <c r="C3333" s="75" t="inlineStr">
        <is>
          <t>5100000989</t>
        </is>
      </c>
      <c r="D3333" s="78" t="n">
        <v>46175</v>
      </c>
      <c r="E3333" s="75" t="inlineStr">
        <is>
          <t>KR</t>
        </is>
      </c>
      <c r="F3333" s="75" t="n">
        <v>62201000</v>
      </c>
      <c r="G3333" s="75" t="n">
        <v>1201</v>
      </c>
      <c r="H3333" s="76" t="n">
        <v>95000</v>
      </c>
      <c r="I3333" s="75" t="inlineStr">
        <is>
          <t>6월 통신요금 - O텔레콤</t>
        </is>
      </c>
      <c r="J3333" s="75" t="inlineStr">
        <is>
          <t>V10002</t>
        </is>
      </c>
      <c r="K3333" s="75" t="inlineStr">
        <is>
          <t>O텔레콤</t>
        </is>
      </c>
      <c r="M3333" s="9">
        <f>IF($A3333="","",VALUE($A3333&amp;"")*12+VALUE($B3333&amp;""))</f>
        <v/>
      </c>
      <c r="N3333" s="39">
        <f>IF($A3333="","",IFERROR(INDEX(부서매핑!$C$5:$C$504,MATCH($G3333&amp;"",부서매핑!$A$5:$A$504,0)),"미매핑"))</f>
        <v/>
      </c>
      <c r="O3333" s="9">
        <f>IF($A3333="","",N3333&amp;"|"&amp;$F3333)</f>
        <v/>
      </c>
      <c r="P3333" s="77">
        <f>IF($A3333="",0,$H3333*설정!$C$23)</f>
        <v/>
      </c>
      <c r="Q3333" s="39">
        <f>IF($A3333="","",IF(O3333&lt;&gt;원인분석!$C$9,"",IF(AND(M3333&gt;=원인분석!$C$10,M3333&lt;=원인분석!$C$11),"당기",IF(AND(M3333&gt;=원인분석!$C$12,M3333&lt;=원인분석!$C$13),"비교",""))))</f>
        <v/>
      </c>
      <c r="R3333" s="9">
        <f>IF(Q3333="","",$K3333&amp;"")</f>
        <v/>
      </c>
      <c r="S3333" s="9">
        <f>IF(Q3333="","",IF(MATCH(R3333,$R$5:$R$100000,0)=ROW()-4,ROW(),""))</f>
        <v/>
      </c>
      <c r="T3333" s="9">
        <f>IF(Q3333="당기",ABS(P3333)+ROW()/1000000000,"")</f>
        <v/>
      </c>
      <c r="U3333" s="9">
        <f>IF(Q3333="비교",ABS(P3333)+ROW()/1000000000,"")</f>
        <v/>
      </c>
      <c r="V3333" s="39">
        <f>IF($A3333="","",IF(COUNTIF(변동분석!$E$7:$E$506,O3333)&gt;0,"Y","N"))</f>
        <v/>
      </c>
      <c r="W3333" s="39">
        <f>IF($A3333="","",IFERROR(INDEX(계정매핑!$D$5:$D$504,MATCH($F3333&amp;"",계정매핑!$A$5:$A$504,0)),"미매핑"))</f>
        <v/>
      </c>
      <c r="X3333" s="9">
        <f>IF($A3333="","",$F3333&amp;"")</f>
        <v/>
      </c>
    </row>
    <row r="3334">
      <c r="A3334" s="75" t="n">
        <v>2026</v>
      </c>
      <c r="B3334" s="75" t="n">
        <v>6</v>
      </c>
      <c r="C3334" s="75" t="inlineStr">
        <is>
          <t>5100000990</t>
        </is>
      </c>
      <c r="D3334" s="78" t="n">
        <v>46175</v>
      </c>
      <c r="E3334" s="75" t="inlineStr">
        <is>
          <t>KR</t>
        </is>
      </c>
      <c r="F3334" s="75" t="n">
        <v>62401000</v>
      </c>
      <c r="G3334" s="75" t="n">
        <v>1801</v>
      </c>
      <c r="H3334" s="76" t="n">
        <v>1425000</v>
      </c>
      <c r="I3334" s="75" t="inlineStr">
        <is>
          <t>6월 인쇄물 제작 - S출판</t>
        </is>
      </c>
      <c r="J3334" s="75" t="inlineStr">
        <is>
          <t>V10012</t>
        </is>
      </c>
      <c r="K3334" s="75" t="inlineStr">
        <is>
          <t>S출판</t>
        </is>
      </c>
      <c r="M3334" s="9">
        <f>IF($A3334="","",VALUE($A3334&amp;"")*12+VALUE($B3334&amp;""))</f>
        <v/>
      </c>
      <c r="N3334" s="39">
        <f>IF($A3334="","",IFERROR(INDEX(부서매핑!$C$5:$C$504,MATCH($G3334&amp;"",부서매핑!$A$5:$A$504,0)),"미매핑"))</f>
        <v/>
      </c>
      <c r="O3334" s="9">
        <f>IF($A3334="","",N3334&amp;"|"&amp;$F3334)</f>
        <v/>
      </c>
      <c r="P3334" s="77">
        <f>IF($A3334="",0,$H3334*설정!$C$23)</f>
        <v/>
      </c>
      <c r="Q3334" s="39">
        <f>IF($A3334="","",IF(O3334&lt;&gt;원인분석!$C$9,"",IF(AND(M3334&gt;=원인분석!$C$10,M3334&lt;=원인분석!$C$11),"당기",IF(AND(M3334&gt;=원인분석!$C$12,M3334&lt;=원인분석!$C$13),"비교",""))))</f>
        <v/>
      </c>
      <c r="R3334" s="9">
        <f>IF(Q3334="","",$K3334&amp;"")</f>
        <v/>
      </c>
      <c r="S3334" s="9">
        <f>IF(Q3334="","",IF(MATCH(R3334,$R$5:$R$100000,0)=ROW()-4,ROW(),""))</f>
        <v/>
      </c>
      <c r="T3334" s="9">
        <f>IF(Q3334="당기",ABS(P3334)+ROW()/1000000000,"")</f>
        <v/>
      </c>
      <c r="U3334" s="9">
        <f>IF(Q3334="비교",ABS(P3334)+ROW()/1000000000,"")</f>
        <v/>
      </c>
      <c r="V3334" s="39">
        <f>IF($A3334="","",IF(COUNTIF(변동분석!$E$7:$E$506,O3334)&gt;0,"Y","N"))</f>
        <v/>
      </c>
      <c r="W3334" s="39">
        <f>IF($A3334="","",IFERROR(INDEX(계정매핑!$D$5:$D$504,MATCH($F3334&amp;"",계정매핑!$A$5:$A$504,0)),"미매핑"))</f>
        <v/>
      </c>
      <c r="X3334" s="9">
        <f>IF($A3334="","",$F3334&amp;"")</f>
        <v/>
      </c>
    </row>
    <row r="3335">
      <c r="A3335" s="75" t="n">
        <v>2026</v>
      </c>
      <c r="B3335" s="75" t="n">
        <v>6</v>
      </c>
      <c r="C3335" s="75" t="inlineStr">
        <is>
          <t>5100000991</t>
        </is>
      </c>
      <c r="D3335" s="78" t="n">
        <v>46175</v>
      </c>
      <c r="E3335" s="75" t="inlineStr">
        <is>
          <t>KR</t>
        </is>
      </c>
      <c r="F3335" s="75" t="n">
        <v>62501000</v>
      </c>
      <c r="G3335" s="75" t="n">
        <v>1401</v>
      </c>
      <c r="H3335" s="76" t="n">
        <v>98000</v>
      </c>
      <c r="I3335" s="75" t="inlineStr">
        <is>
          <t>6월 회의 다과 - T케이터링</t>
        </is>
      </c>
      <c r="J3335" s="75" t="inlineStr">
        <is>
          <t>V10005</t>
        </is>
      </c>
      <c r="K3335" s="75" t="inlineStr">
        <is>
          <t>T케이터링</t>
        </is>
      </c>
      <c r="M3335" s="9">
        <f>IF($A3335="","",VALUE($A3335&amp;"")*12+VALUE($B3335&amp;""))</f>
        <v/>
      </c>
      <c r="N3335" s="39">
        <f>IF($A3335="","",IFERROR(INDEX(부서매핑!$C$5:$C$504,MATCH($G3335&amp;"",부서매핑!$A$5:$A$504,0)),"미매핑"))</f>
        <v/>
      </c>
      <c r="O3335" s="9">
        <f>IF($A3335="","",N3335&amp;"|"&amp;$F3335)</f>
        <v/>
      </c>
      <c r="P3335" s="77">
        <f>IF($A3335="",0,$H3335*설정!$C$23)</f>
        <v/>
      </c>
      <c r="Q3335" s="39">
        <f>IF($A3335="","",IF(O3335&lt;&gt;원인분석!$C$9,"",IF(AND(M3335&gt;=원인분석!$C$10,M3335&lt;=원인분석!$C$11),"당기",IF(AND(M3335&gt;=원인분석!$C$12,M3335&lt;=원인분석!$C$13),"비교",""))))</f>
        <v/>
      </c>
      <c r="R3335" s="9">
        <f>IF(Q3335="","",$K3335&amp;"")</f>
        <v/>
      </c>
      <c r="S3335" s="9">
        <f>IF(Q3335="","",IF(MATCH(R3335,$R$5:$R$100000,0)=ROW()-4,ROW(),""))</f>
        <v/>
      </c>
      <c r="T3335" s="9">
        <f>IF(Q3335="당기",ABS(P3335)+ROW()/1000000000,"")</f>
        <v/>
      </c>
      <c r="U3335" s="9">
        <f>IF(Q3335="비교",ABS(P3335)+ROW()/1000000000,"")</f>
        <v/>
      </c>
      <c r="V3335" s="39">
        <f>IF($A3335="","",IF(COUNTIF(변동분석!$E$7:$E$506,O3335)&gt;0,"Y","N"))</f>
        <v/>
      </c>
      <c r="W3335" s="39">
        <f>IF($A3335="","",IFERROR(INDEX(계정매핑!$D$5:$D$504,MATCH($F3335&amp;"",계정매핑!$A$5:$A$504,0)),"미매핑"))</f>
        <v/>
      </c>
      <c r="X3335" s="9">
        <f>IF($A3335="","",$F3335&amp;"")</f>
        <v/>
      </c>
    </row>
    <row r="3336">
      <c r="A3336" s="75" t="n">
        <v>2026</v>
      </c>
      <c r="B3336" s="75" t="n">
        <v>6</v>
      </c>
      <c r="C3336" s="75" t="inlineStr">
        <is>
          <t>5100000992</t>
        </is>
      </c>
      <c r="D3336" s="78" t="n">
        <v>46175</v>
      </c>
      <c r="E3336" s="75" t="inlineStr">
        <is>
          <t>KR</t>
        </is>
      </c>
      <c r="F3336" s="75" t="n">
        <v>62501000</v>
      </c>
      <c r="G3336" s="75" t="n">
        <v>1601</v>
      </c>
      <c r="H3336" s="76" t="n">
        <v>517000</v>
      </c>
      <c r="I3336" s="75" t="inlineStr">
        <is>
          <t>6월 회의 다과 - T케이터링</t>
        </is>
      </c>
      <c r="J3336" s="75" t="inlineStr">
        <is>
          <t>V10005</t>
        </is>
      </c>
      <c r="K3336" s="75" t="inlineStr">
        <is>
          <t>T케이터링</t>
        </is>
      </c>
      <c r="M3336" s="9">
        <f>IF($A3336="","",VALUE($A3336&amp;"")*12+VALUE($B3336&amp;""))</f>
        <v/>
      </c>
      <c r="N3336" s="39">
        <f>IF($A3336="","",IFERROR(INDEX(부서매핑!$C$5:$C$504,MATCH($G3336&amp;"",부서매핑!$A$5:$A$504,0)),"미매핑"))</f>
        <v/>
      </c>
      <c r="O3336" s="9">
        <f>IF($A3336="","",N3336&amp;"|"&amp;$F3336)</f>
        <v/>
      </c>
      <c r="P3336" s="77">
        <f>IF($A3336="",0,$H3336*설정!$C$23)</f>
        <v/>
      </c>
      <c r="Q3336" s="39">
        <f>IF($A3336="","",IF(O3336&lt;&gt;원인분석!$C$9,"",IF(AND(M3336&gt;=원인분석!$C$10,M3336&lt;=원인분석!$C$11),"당기",IF(AND(M3336&gt;=원인분석!$C$12,M3336&lt;=원인분석!$C$13),"비교",""))))</f>
        <v/>
      </c>
      <c r="R3336" s="9">
        <f>IF(Q3336="","",$K3336&amp;"")</f>
        <v/>
      </c>
      <c r="S3336" s="9">
        <f>IF(Q3336="","",IF(MATCH(R3336,$R$5:$R$100000,0)=ROW()-4,ROW(),""))</f>
        <v/>
      </c>
      <c r="T3336" s="9">
        <f>IF(Q3336="당기",ABS(P3336)+ROW()/1000000000,"")</f>
        <v/>
      </c>
      <c r="U3336" s="9">
        <f>IF(Q3336="비교",ABS(P3336)+ROW()/1000000000,"")</f>
        <v/>
      </c>
      <c r="V3336" s="39">
        <f>IF($A3336="","",IF(COUNTIF(변동분석!$E$7:$E$506,O3336)&gt;0,"Y","N"))</f>
        <v/>
      </c>
      <c r="W3336" s="39">
        <f>IF($A3336="","",IFERROR(INDEX(계정매핑!$D$5:$D$504,MATCH($F3336&amp;"",계정매핑!$A$5:$A$504,0)),"미매핑"))</f>
        <v/>
      </c>
      <c r="X3336" s="9">
        <f>IF($A3336="","",$F3336&amp;"")</f>
        <v/>
      </c>
    </row>
    <row r="3337">
      <c r="A3337" s="75" t="n">
        <v>2026</v>
      </c>
      <c r="B3337" s="75" t="n">
        <v>6</v>
      </c>
      <c r="C3337" s="75" t="inlineStr">
        <is>
          <t>5100000993</t>
        </is>
      </c>
      <c r="D3337" s="78" t="n">
        <v>46175</v>
      </c>
      <c r="E3337" s="75" t="inlineStr">
        <is>
          <t>KR</t>
        </is>
      </c>
      <c r="F3337" s="75" t="n">
        <v>62601000</v>
      </c>
      <c r="G3337" s="75" t="n">
        <v>1301</v>
      </c>
      <c r="H3337" s="76" t="n">
        <v>829000</v>
      </c>
      <c r="I3337" s="75" t="inlineStr">
        <is>
          <t>6월 업무추진 - (법인카드)</t>
        </is>
      </c>
      <c r="J3337" s="75" t="inlineStr">
        <is>
          <t>V10008</t>
        </is>
      </c>
      <c r="K3337" s="75" t="inlineStr">
        <is>
          <t>(법인카드)</t>
        </is>
      </c>
      <c r="M3337" s="9">
        <f>IF($A3337="","",VALUE($A3337&amp;"")*12+VALUE($B3337&amp;""))</f>
        <v/>
      </c>
      <c r="N3337" s="39">
        <f>IF($A3337="","",IFERROR(INDEX(부서매핑!$C$5:$C$504,MATCH($G3337&amp;"",부서매핑!$A$5:$A$504,0)),"미매핑"))</f>
        <v/>
      </c>
      <c r="O3337" s="9">
        <f>IF($A3337="","",N3337&amp;"|"&amp;$F3337)</f>
        <v/>
      </c>
      <c r="P3337" s="77">
        <f>IF($A3337="",0,$H3337*설정!$C$23)</f>
        <v/>
      </c>
      <c r="Q3337" s="39">
        <f>IF($A3337="","",IF(O3337&lt;&gt;원인분석!$C$9,"",IF(AND(M3337&gt;=원인분석!$C$10,M3337&lt;=원인분석!$C$11),"당기",IF(AND(M3337&gt;=원인분석!$C$12,M3337&lt;=원인분석!$C$13),"비교",""))))</f>
        <v/>
      </c>
      <c r="R3337" s="9">
        <f>IF(Q3337="","",$K3337&amp;"")</f>
        <v/>
      </c>
      <c r="S3337" s="9">
        <f>IF(Q3337="","",IF(MATCH(R3337,$R$5:$R$100000,0)=ROW()-4,ROW(),""))</f>
        <v/>
      </c>
      <c r="T3337" s="9">
        <f>IF(Q3337="당기",ABS(P3337)+ROW()/1000000000,"")</f>
        <v/>
      </c>
      <c r="U3337" s="9">
        <f>IF(Q3337="비교",ABS(P3337)+ROW()/1000000000,"")</f>
        <v/>
      </c>
      <c r="V3337" s="39">
        <f>IF($A3337="","",IF(COUNTIF(변동분석!$E$7:$E$506,O3337)&gt;0,"Y","N"))</f>
        <v/>
      </c>
      <c r="W3337" s="39">
        <f>IF($A3337="","",IFERROR(INDEX(계정매핑!$D$5:$D$504,MATCH($F3337&amp;"",계정매핑!$A$5:$A$504,0)),"미매핑"))</f>
        <v/>
      </c>
      <c r="X3337" s="9">
        <f>IF($A3337="","",$F3337&amp;"")</f>
        <v/>
      </c>
    </row>
    <row r="3338">
      <c r="A3338" s="75" t="n">
        <v>2026</v>
      </c>
      <c r="B3338" s="75" t="n">
        <v>6</v>
      </c>
      <c r="C3338" s="75" t="inlineStr">
        <is>
          <t>5100000994</t>
        </is>
      </c>
      <c r="D3338" s="78" t="n">
        <v>46175</v>
      </c>
      <c r="E3338" s="75" t="inlineStr">
        <is>
          <t>KR</t>
        </is>
      </c>
      <c r="F3338" s="75" t="n">
        <v>62902000</v>
      </c>
      <c r="G3338" s="75" t="n">
        <v>1801</v>
      </c>
      <c r="H3338" s="76" t="n">
        <v>1848000</v>
      </c>
      <c r="I3338" s="75" t="inlineStr">
        <is>
          <t>6월 콜 위탁 수수료(건별)</t>
        </is>
      </c>
      <c r="J3338" s="75" t="inlineStr">
        <is>
          <t>V10013</t>
        </is>
      </c>
      <c r="K3338" s="75" t="inlineStr">
        <is>
          <t>J콜센터</t>
        </is>
      </c>
      <c r="M3338" s="9">
        <f>IF($A3338="","",VALUE($A3338&amp;"")*12+VALUE($B3338&amp;""))</f>
        <v/>
      </c>
      <c r="N3338" s="39">
        <f>IF($A3338="","",IFERROR(INDEX(부서매핑!$C$5:$C$504,MATCH($G3338&amp;"",부서매핑!$A$5:$A$504,0)),"미매핑"))</f>
        <v/>
      </c>
      <c r="O3338" s="9">
        <f>IF($A3338="","",N3338&amp;"|"&amp;$F3338)</f>
        <v/>
      </c>
      <c r="P3338" s="77">
        <f>IF($A3338="",0,$H3338*설정!$C$23)</f>
        <v/>
      </c>
      <c r="Q3338" s="39">
        <f>IF($A3338="","",IF(O3338&lt;&gt;원인분석!$C$9,"",IF(AND(M3338&gt;=원인분석!$C$10,M3338&lt;=원인분석!$C$11),"당기",IF(AND(M3338&gt;=원인분석!$C$12,M3338&lt;=원인분석!$C$13),"비교",""))))</f>
        <v/>
      </c>
      <c r="R3338" s="9">
        <f>IF(Q3338="","",$K3338&amp;"")</f>
        <v/>
      </c>
      <c r="S3338" s="9">
        <f>IF(Q3338="","",IF(MATCH(R3338,$R$5:$R$100000,0)=ROW()-4,ROW(),""))</f>
        <v/>
      </c>
      <c r="T3338" s="9">
        <f>IF(Q3338="당기",ABS(P3338)+ROW()/1000000000,"")</f>
        <v/>
      </c>
      <c r="U3338" s="9">
        <f>IF(Q3338="비교",ABS(P3338)+ROW()/1000000000,"")</f>
        <v/>
      </c>
      <c r="V3338" s="39">
        <f>IF($A3338="","",IF(COUNTIF(변동분석!$E$7:$E$506,O3338)&gt;0,"Y","N"))</f>
        <v/>
      </c>
      <c r="W3338" s="39">
        <f>IF($A3338="","",IFERROR(INDEX(계정매핑!$D$5:$D$504,MATCH($F3338&amp;"",계정매핑!$A$5:$A$504,0)),"미매핑"))</f>
        <v/>
      </c>
      <c r="X3338" s="9">
        <f>IF($A3338="","",$F3338&amp;"")</f>
        <v/>
      </c>
    </row>
    <row r="3339">
      <c r="A3339" s="75" t="n">
        <v>2026</v>
      </c>
      <c r="B3339" s="75" t="n">
        <v>6</v>
      </c>
      <c r="C3339" s="75" t="inlineStr">
        <is>
          <t>5100000995</t>
        </is>
      </c>
      <c r="D3339" s="78" t="n">
        <v>46176</v>
      </c>
      <c r="E3339" s="75" t="inlineStr">
        <is>
          <t>KR</t>
        </is>
      </c>
      <c r="F3339" s="75" t="n">
        <v>62102000</v>
      </c>
      <c r="G3339" s="75" t="n">
        <v>1201</v>
      </c>
      <c r="H3339" s="76" t="n">
        <v>56000</v>
      </c>
      <c r="I3339" s="75" t="inlineStr">
        <is>
          <t>6월 해외출장 - M항공</t>
        </is>
      </c>
      <c r="J3339" s="75" t="inlineStr">
        <is>
          <t>V10001</t>
        </is>
      </c>
      <c r="K3339" s="75" t="inlineStr">
        <is>
          <t>M항공</t>
        </is>
      </c>
      <c r="M3339" s="9">
        <f>IF($A3339="","",VALUE($A3339&amp;"")*12+VALUE($B3339&amp;""))</f>
        <v/>
      </c>
      <c r="N3339" s="39">
        <f>IF($A3339="","",IFERROR(INDEX(부서매핑!$C$5:$C$504,MATCH($G3339&amp;"",부서매핑!$A$5:$A$504,0)),"미매핑"))</f>
        <v/>
      </c>
      <c r="O3339" s="9">
        <f>IF($A3339="","",N3339&amp;"|"&amp;$F3339)</f>
        <v/>
      </c>
      <c r="P3339" s="77">
        <f>IF($A3339="",0,$H3339*설정!$C$23)</f>
        <v/>
      </c>
      <c r="Q3339" s="39">
        <f>IF($A3339="","",IF(O3339&lt;&gt;원인분석!$C$9,"",IF(AND(M3339&gt;=원인분석!$C$10,M3339&lt;=원인분석!$C$11),"당기",IF(AND(M3339&gt;=원인분석!$C$12,M3339&lt;=원인분석!$C$13),"비교",""))))</f>
        <v/>
      </c>
      <c r="R3339" s="9">
        <f>IF(Q3339="","",$K3339&amp;"")</f>
        <v/>
      </c>
      <c r="S3339" s="9">
        <f>IF(Q3339="","",IF(MATCH(R3339,$R$5:$R$100000,0)=ROW()-4,ROW(),""))</f>
        <v/>
      </c>
      <c r="T3339" s="9">
        <f>IF(Q3339="당기",ABS(P3339)+ROW()/1000000000,"")</f>
        <v/>
      </c>
      <c r="U3339" s="9">
        <f>IF(Q3339="비교",ABS(P3339)+ROW()/1000000000,"")</f>
        <v/>
      </c>
      <c r="V3339" s="39">
        <f>IF($A3339="","",IF(COUNTIF(변동분석!$E$7:$E$506,O3339)&gt;0,"Y","N"))</f>
        <v/>
      </c>
      <c r="W3339" s="39">
        <f>IF($A3339="","",IFERROR(INDEX(계정매핑!$D$5:$D$504,MATCH($F3339&amp;"",계정매핑!$A$5:$A$504,0)),"미매핑"))</f>
        <v/>
      </c>
      <c r="X3339" s="9">
        <f>IF($A3339="","",$F3339&amp;"")</f>
        <v/>
      </c>
    </row>
    <row r="3340">
      <c r="A3340" s="75" t="n">
        <v>2026</v>
      </c>
      <c r="B3340" s="75" t="n">
        <v>6</v>
      </c>
      <c r="C3340" s="75" t="inlineStr">
        <is>
          <t>5100000996</t>
        </is>
      </c>
      <c r="D3340" s="78" t="n">
        <v>46176</v>
      </c>
      <c r="E3340" s="75" t="inlineStr">
        <is>
          <t>KR</t>
        </is>
      </c>
      <c r="F3340" s="75" t="n">
        <v>62102000</v>
      </c>
      <c r="G3340" s="75" t="n">
        <v>1201</v>
      </c>
      <c r="H3340" s="76" t="n">
        <v>50000</v>
      </c>
      <c r="I3340" s="75" t="inlineStr">
        <is>
          <t>6월 해외출장 - N호텔</t>
        </is>
      </c>
      <c r="J3340" s="75" t="inlineStr">
        <is>
          <t>V10007</t>
        </is>
      </c>
      <c r="K3340" s="75" t="inlineStr">
        <is>
          <t>N호텔</t>
        </is>
      </c>
      <c r="M3340" s="9">
        <f>IF($A3340="","",VALUE($A3340&amp;"")*12+VALUE($B3340&amp;""))</f>
        <v/>
      </c>
      <c r="N3340" s="39">
        <f>IF($A3340="","",IFERROR(INDEX(부서매핑!$C$5:$C$504,MATCH($G3340&amp;"",부서매핑!$A$5:$A$504,0)),"미매핑"))</f>
        <v/>
      </c>
      <c r="O3340" s="9">
        <f>IF($A3340="","",N3340&amp;"|"&amp;$F3340)</f>
        <v/>
      </c>
      <c r="P3340" s="77">
        <f>IF($A3340="",0,$H3340*설정!$C$23)</f>
        <v/>
      </c>
      <c r="Q3340" s="39">
        <f>IF($A3340="","",IF(O3340&lt;&gt;원인분석!$C$9,"",IF(AND(M3340&gt;=원인분석!$C$10,M3340&lt;=원인분석!$C$11),"당기",IF(AND(M3340&gt;=원인분석!$C$12,M3340&lt;=원인분석!$C$13),"비교",""))))</f>
        <v/>
      </c>
      <c r="R3340" s="9">
        <f>IF(Q3340="","",$K3340&amp;"")</f>
        <v/>
      </c>
      <c r="S3340" s="9">
        <f>IF(Q3340="","",IF(MATCH(R3340,$R$5:$R$100000,0)=ROW()-4,ROW(),""))</f>
        <v/>
      </c>
      <c r="T3340" s="9">
        <f>IF(Q3340="당기",ABS(P3340)+ROW()/1000000000,"")</f>
        <v/>
      </c>
      <c r="U3340" s="9">
        <f>IF(Q3340="비교",ABS(P3340)+ROW()/1000000000,"")</f>
        <v/>
      </c>
      <c r="V3340" s="39">
        <f>IF($A3340="","",IF(COUNTIF(변동분석!$E$7:$E$506,O3340)&gt;0,"Y","N"))</f>
        <v/>
      </c>
      <c r="W3340" s="39">
        <f>IF($A3340="","",IFERROR(INDEX(계정매핑!$D$5:$D$504,MATCH($F3340&amp;"",계정매핑!$A$5:$A$504,0)),"미매핑"))</f>
        <v/>
      </c>
      <c r="X3340" s="9">
        <f>IF($A3340="","",$F3340&amp;"")</f>
        <v/>
      </c>
    </row>
    <row r="3341">
      <c r="A3341" s="75" t="n">
        <v>2026</v>
      </c>
      <c r="B3341" s="75" t="n">
        <v>6</v>
      </c>
      <c r="C3341" s="75" t="inlineStr">
        <is>
          <t>5100000997</t>
        </is>
      </c>
      <c r="D3341" s="78" t="n">
        <v>46176</v>
      </c>
      <c r="E3341" s="75" t="inlineStr">
        <is>
          <t>KR</t>
        </is>
      </c>
      <c r="F3341" s="75" t="n">
        <v>62201000</v>
      </c>
      <c r="G3341" s="75" t="n">
        <v>1401</v>
      </c>
      <c r="H3341" s="76" t="n">
        <v>172000</v>
      </c>
      <c r="I3341" s="75" t="inlineStr">
        <is>
          <t>6월 통신요금 - O텔레콤</t>
        </is>
      </c>
      <c r="J3341" s="75" t="inlineStr">
        <is>
          <t>V10002</t>
        </is>
      </c>
      <c r="K3341" s="75" t="inlineStr">
        <is>
          <t>O텔레콤</t>
        </is>
      </c>
      <c r="M3341" s="9">
        <f>IF($A3341="","",VALUE($A3341&amp;"")*12+VALUE($B3341&amp;""))</f>
        <v/>
      </c>
      <c r="N3341" s="39">
        <f>IF($A3341="","",IFERROR(INDEX(부서매핑!$C$5:$C$504,MATCH($G3341&amp;"",부서매핑!$A$5:$A$504,0)),"미매핑"))</f>
        <v/>
      </c>
      <c r="O3341" s="9">
        <f>IF($A3341="","",N3341&amp;"|"&amp;$F3341)</f>
        <v/>
      </c>
      <c r="P3341" s="77">
        <f>IF($A3341="",0,$H3341*설정!$C$23)</f>
        <v/>
      </c>
      <c r="Q3341" s="39">
        <f>IF($A3341="","",IF(O3341&lt;&gt;원인분석!$C$9,"",IF(AND(M3341&gt;=원인분석!$C$10,M3341&lt;=원인분석!$C$11),"당기",IF(AND(M3341&gt;=원인분석!$C$12,M3341&lt;=원인분석!$C$13),"비교",""))))</f>
        <v/>
      </c>
      <c r="R3341" s="9">
        <f>IF(Q3341="","",$K3341&amp;"")</f>
        <v/>
      </c>
      <c r="S3341" s="9">
        <f>IF(Q3341="","",IF(MATCH(R3341,$R$5:$R$100000,0)=ROW()-4,ROW(),""))</f>
        <v/>
      </c>
      <c r="T3341" s="9">
        <f>IF(Q3341="당기",ABS(P3341)+ROW()/1000000000,"")</f>
        <v/>
      </c>
      <c r="U3341" s="9">
        <f>IF(Q3341="비교",ABS(P3341)+ROW()/1000000000,"")</f>
        <v/>
      </c>
      <c r="V3341" s="39">
        <f>IF($A3341="","",IF(COUNTIF(변동분석!$E$7:$E$506,O3341)&gt;0,"Y","N"))</f>
        <v/>
      </c>
      <c r="W3341" s="39">
        <f>IF($A3341="","",IFERROR(INDEX(계정매핑!$D$5:$D$504,MATCH($F3341&amp;"",계정매핑!$A$5:$A$504,0)),"미매핑"))</f>
        <v/>
      </c>
      <c r="X3341" s="9">
        <f>IF($A3341="","",$F3341&amp;"")</f>
        <v/>
      </c>
    </row>
    <row r="3342">
      <c r="A3342" s="75" t="n">
        <v>2026</v>
      </c>
      <c r="B3342" s="75" t="n">
        <v>6</v>
      </c>
      <c r="C3342" s="75" t="inlineStr">
        <is>
          <t>5100000998</t>
        </is>
      </c>
      <c r="D3342" s="78" t="n">
        <v>46176</v>
      </c>
      <c r="E3342" s="75" t="inlineStr">
        <is>
          <t>KR</t>
        </is>
      </c>
      <c r="F3342" s="75" t="n">
        <v>62301000</v>
      </c>
      <c r="G3342" s="75" t="n">
        <v>1201</v>
      </c>
      <c r="H3342" s="76" t="n">
        <v>185000</v>
      </c>
      <c r="I3342" s="75" t="inlineStr">
        <is>
          <t>6월 소모품 구입 - Q오피스</t>
        </is>
      </c>
      <c r="J3342" s="75" t="inlineStr">
        <is>
          <t>V10003</t>
        </is>
      </c>
      <c r="K3342" s="75" t="inlineStr">
        <is>
          <t>Q오피스</t>
        </is>
      </c>
      <c r="M3342" s="9">
        <f>IF($A3342="","",VALUE($A3342&amp;"")*12+VALUE($B3342&amp;""))</f>
        <v/>
      </c>
      <c r="N3342" s="39">
        <f>IF($A3342="","",IFERROR(INDEX(부서매핑!$C$5:$C$504,MATCH($G3342&amp;"",부서매핑!$A$5:$A$504,0)),"미매핑"))</f>
        <v/>
      </c>
      <c r="O3342" s="9">
        <f>IF($A3342="","",N3342&amp;"|"&amp;$F3342)</f>
        <v/>
      </c>
      <c r="P3342" s="77">
        <f>IF($A3342="",0,$H3342*설정!$C$23)</f>
        <v/>
      </c>
      <c r="Q3342" s="39">
        <f>IF($A3342="","",IF(O3342&lt;&gt;원인분석!$C$9,"",IF(AND(M3342&gt;=원인분석!$C$10,M3342&lt;=원인분석!$C$11),"당기",IF(AND(M3342&gt;=원인분석!$C$12,M3342&lt;=원인분석!$C$13),"비교",""))))</f>
        <v/>
      </c>
      <c r="R3342" s="9">
        <f>IF(Q3342="","",$K3342&amp;"")</f>
        <v/>
      </c>
      <c r="S3342" s="9">
        <f>IF(Q3342="","",IF(MATCH(R3342,$R$5:$R$100000,0)=ROW()-4,ROW(),""))</f>
        <v/>
      </c>
      <c r="T3342" s="9">
        <f>IF(Q3342="당기",ABS(P3342)+ROW()/1000000000,"")</f>
        <v/>
      </c>
      <c r="U3342" s="9">
        <f>IF(Q3342="비교",ABS(P3342)+ROW()/1000000000,"")</f>
        <v/>
      </c>
      <c r="V3342" s="39">
        <f>IF($A3342="","",IF(COUNTIF(변동분석!$E$7:$E$506,O3342)&gt;0,"Y","N"))</f>
        <v/>
      </c>
      <c r="W3342" s="39">
        <f>IF($A3342="","",IFERROR(INDEX(계정매핑!$D$5:$D$504,MATCH($F3342&amp;"",계정매핑!$A$5:$A$504,0)),"미매핑"))</f>
        <v/>
      </c>
      <c r="X3342" s="9">
        <f>IF($A3342="","",$F3342&amp;"")</f>
        <v/>
      </c>
    </row>
    <row r="3343">
      <c r="A3343" s="75" t="n">
        <v>2026</v>
      </c>
      <c r="B3343" s="75" t="n">
        <v>6</v>
      </c>
      <c r="C3343" s="75" t="inlineStr">
        <is>
          <t>5100000999</t>
        </is>
      </c>
      <c r="D3343" s="78" t="n">
        <v>46176</v>
      </c>
      <c r="E3343" s="75" t="inlineStr">
        <is>
          <t>KR</t>
        </is>
      </c>
      <c r="F3343" s="75" t="n">
        <v>62301000</v>
      </c>
      <c r="G3343" s="75" t="n">
        <v>1301</v>
      </c>
      <c r="H3343" s="76" t="n">
        <v>288000</v>
      </c>
      <c r="I3343" s="75" t="inlineStr">
        <is>
          <t>6월 소모품 구입 - R문구</t>
        </is>
      </c>
      <c r="J3343" s="75" t="inlineStr">
        <is>
          <t>V10018</t>
        </is>
      </c>
      <c r="K3343" s="75" t="inlineStr">
        <is>
          <t>R문구</t>
        </is>
      </c>
      <c r="M3343" s="9">
        <f>IF($A3343="","",VALUE($A3343&amp;"")*12+VALUE($B3343&amp;""))</f>
        <v/>
      </c>
      <c r="N3343" s="39">
        <f>IF($A3343="","",IFERROR(INDEX(부서매핑!$C$5:$C$504,MATCH($G3343&amp;"",부서매핑!$A$5:$A$504,0)),"미매핑"))</f>
        <v/>
      </c>
      <c r="O3343" s="9">
        <f>IF($A3343="","",N3343&amp;"|"&amp;$F3343)</f>
        <v/>
      </c>
      <c r="P3343" s="77">
        <f>IF($A3343="",0,$H3343*설정!$C$23)</f>
        <v/>
      </c>
      <c r="Q3343" s="39">
        <f>IF($A3343="","",IF(O3343&lt;&gt;원인분석!$C$9,"",IF(AND(M3343&gt;=원인분석!$C$10,M3343&lt;=원인분석!$C$11),"당기",IF(AND(M3343&gt;=원인분석!$C$12,M3343&lt;=원인분석!$C$13),"비교",""))))</f>
        <v/>
      </c>
      <c r="R3343" s="9">
        <f>IF(Q3343="","",$K3343&amp;"")</f>
        <v/>
      </c>
      <c r="S3343" s="9">
        <f>IF(Q3343="","",IF(MATCH(R3343,$R$5:$R$100000,0)=ROW()-4,ROW(),""))</f>
        <v/>
      </c>
      <c r="T3343" s="9">
        <f>IF(Q3343="당기",ABS(P3343)+ROW()/1000000000,"")</f>
        <v/>
      </c>
      <c r="U3343" s="9">
        <f>IF(Q3343="비교",ABS(P3343)+ROW()/1000000000,"")</f>
        <v/>
      </c>
      <c r="V3343" s="39">
        <f>IF($A3343="","",IF(COUNTIF(변동분석!$E$7:$E$506,O3343)&gt;0,"Y","N"))</f>
        <v/>
      </c>
      <c r="W3343" s="39">
        <f>IF($A3343="","",IFERROR(INDEX(계정매핑!$D$5:$D$504,MATCH($F3343&amp;"",계정매핑!$A$5:$A$504,0)),"미매핑"))</f>
        <v/>
      </c>
      <c r="X3343" s="9">
        <f>IF($A3343="","",$F3343&amp;"")</f>
        <v/>
      </c>
    </row>
    <row r="3344">
      <c r="A3344" s="75" t="n">
        <v>2026</v>
      </c>
      <c r="B3344" s="75" t="n">
        <v>6</v>
      </c>
      <c r="C3344" s="75" t="inlineStr">
        <is>
          <t>5100001000</t>
        </is>
      </c>
      <c r="D3344" s="78" t="n">
        <v>46176</v>
      </c>
      <c r="E3344" s="75" t="inlineStr">
        <is>
          <t>KR</t>
        </is>
      </c>
      <c r="F3344" s="75" t="n">
        <v>62301000</v>
      </c>
      <c r="G3344" s="75" t="n">
        <v>1801</v>
      </c>
      <c r="H3344" s="76" t="n">
        <v>515000</v>
      </c>
      <c r="I3344" s="75" t="inlineStr">
        <is>
          <t>6월 소모품 구입 - R문구</t>
        </is>
      </c>
      <c r="J3344" s="75" t="inlineStr">
        <is>
          <t>V10018</t>
        </is>
      </c>
      <c r="K3344" s="75" t="inlineStr">
        <is>
          <t>R문구</t>
        </is>
      </c>
      <c r="M3344" s="9">
        <f>IF($A3344="","",VALUE($A3344&amp;"")*12+VALUE($B3344&amp;""))</f>
        <v/>
      </c>
      <c r="N3344" s="39">
        <f>IF($A3344="","",IFERROR(INDEX(부서매핑!$C$5:$C$504,MATCH($G3344&amp;"",부서매핑!$A$5:$A$504,0)),"미매핑"))</f>
        <v/>
      </c>
      <c r="O3344" s="9">
        <f>IF($A3344="","",N3344&amp;"|"&amp;$F3344)</f>
        <v/>
      </c>
      <c r="P3344" s="77">
        <f>IF($A3344="",0,$H3344*설정!$C$23)</f>
        <v/>
      </c>
      <c r="Q3344" s="39">
        <f>IF($A3344="","",IF(O3344&lt;&gt;원인분석!$C$9,"",IF(AND(M3344&gt;=원인분석!$C$10,M3344&lt;=원인분석!$C$11),"당기",IF(AND(M3344&gt;=원인분석!$C$12,M3344&lt;=원인분석!$C$13),"비교",""))))</f>
        <v/>
      </c>
      <c r="R3344" s="9">
        <f>IF(Q3344="","",$K3344&amp;"")</f>
        <v/>
      </c>
      <c r="S3344" s="9">
        <f>IF(Q3344="","",IF(MATCH(R3344,$R$5:$R$100000,0)=ROW()-4,ROW(),""))</f>
        <v/>
      </c>
      <c r="T3344" s="9">
        <f>IF(Q3344="당기",ABS(P3344)+ROW()/1000000000,"")</f>
        <v/>
      </c>
      <c r="U3344" s="9">
        <f>IF(Q3344="비교",ABS(P3344)+ROW()/1000000000,"")</f>
        <v/>
      </c>
      <c r="V3344" s="39">
        <f>IF($A3344="","",IF(COUNTIF(변동분석!$E$7:$E$506,O3344)&gt;0,"Y","N"))</f>
        <v/>
      </c>
      <c r="W3344" s="39">
        <f>IF($A3344="","",IFERROR(INDEX(계정매핑!$D$5:$D$504,MATCH($F3344&amp;"",계정매핑!$A$5:$A$504,0)),"미매핑"))</f>
        <v/>
      </c>
      <c r="X3344" s="9">
        <f>IF($A3344="","",$F3344&amp;"")</f>
        <v/>
      </c>
    </row>
    <row r="3345">
      <c r="A3345" s="75" t="n">
        <v>2026</v>
      </c>
      <c r="B3345" s="75" t="n">
        <v>6</v>
      </c>
      <c r="C3345" s="75" t="inlineStr">
        <is>
          <t>5100001001</t>
        </is>
      </c>
      <c r="D3345" s="78" t="n">
        <v>46176</v>
      </c>
      <c r="E3345" s="75" t="inlineStr">
        <is>
          <t>KR</t>
        </is>
      </c>
      <c r="F3345" s="75" t="n">
        <v>62501000</v>
      </c>
      <c r="G3345" s="75" t="n">
        <v>1601</v>
      </c>
      <c r="H3345" s="76" t="n">
        <v>391000</v>
      </c>
      <c r="I3345" s="75" t="inlineStr">
        <is>
          <t>6월 회의 다과 - (법인카드)</t>
        </is>
      </c>
      <c r="J3345" s="75" t="inlineStr">
        <is>
          <t>V10008</t>
        </is>
      </c>
      <c r="K3345" s="75" t="inlineStr">
        <is>
          <t>(법인카드)</t>
        </is>
      </c>
      <c r="M3345" s="9">
        <f>IF($A3345="","",VALUE($A3345&amp;"")*12+VALUE($B3345&amp;""))</f>
        <v/>
      </c>
      <c r="N3345" s="39">
        <f>IF($A3345="","",IFERROR(INDEX(부서매핑!$C$5:$C$504,MATCH($G3345&amp;"",부서매핑!$A$5:$A$504,0)),"미매핑"))</f>
        <v/>
      </c>
      <c r="O3345" s="9">
        <f>IF($A3345="","",N3345&amp;"|"&amp;$F3345)</f>
        <v/>
      </c>
      <c r="P3345" s="77">
        <f>IF($A3345="",0,$H3345*설정!$C$23)</f>
        <v/>
      </c>
      <c r="Q3345" s="39">
        <f>IF($A3345="","",IF(O3345&lt;&gt;원인분석!$C$9,"",IF(AND(M3345&gt;=원인분석!$C$10,M3345&lt;=원인분석!$C$11),"당기",IF(AND(M3345&gt;=원인분석!$C$12,M3345&lt;=원인분석!$C$13),"비교",""))))</f>
        <v/>
      </c>
      <c r="R3345" s="9">
        <f>IF(Q3345="","",$K3345&amp;"")</f>
        <v/>
      </c>
      <c r="S3345" s="9">
        <f>IF(Q3345="","",IF(MATCH(R3345,$R$5:$R$100000,0)=ROW()-4,ROW(),""))</f>
        <v/>
      </c>
      <c r="T3345" s="9">
        <f>IF(Q3345="당기",ABS(P3345)+ROW()/1000000000,"")</f>
        <v/>
      </c>
      <c r="U3345" s="9">
        <f>IF(Q3345="비교",ABS(P3345)+ROW()/1000000000,"")</f>
        <v/>
      </c>
      <c r="V3345" s="39">
        <f>IF($A3345="","",IF(COUNTIF(변동분석!$E$7:$E$506,O3345)&gt;0,"Y","N"))</f>
        <v/>
      </c>
      <c r="W3345" s="39">
        <f>IF($A3345="","",IFERROR(INDEX(계정매핑!$D$5:$D$504,MATCH($F3345&amp;"",계정매핑!$A$5:$A$504,0)),"미매핑"))</f>
        <v/>
      </c>
      <c r="X3345" s="9">
        <f>IF($A3345="","",$F3345&amp;"")</f>
        <v/>
      </c>
    </row>
    <row r="3346">
      <c r="A3346" s="75" t="n">
        <v>2026</v>
      </c>
      <c r="B3346" s="75" t="n">
        <v>6</v>
      </c>
      <c r="C3346" s="75" t="inlineStr">
        <is>
          <t>5100001002</t>
        </is>
      </c>
      <c r="D3346" s="78" t="n">
        <v>46176</v>
      </c>
      <c r="E3346" s="75" t="inlineStr">
        <is>
          <t>KR</t>
        </is>
      </c>
      <c r="F3346" s="75" t="n">
        <v>62501000</v>
      </c>
      <c r="G3346" s="75" t="n">
        <v>1701</v>
      </c>
      <c r="H3346" s="76" t="n">
        <v>140000</v>
      </c>
      <c r="I3346" s="75" t="inlineStr">
        <is>
          <t>6월 회의 다과 - T케이터링</t>
        </is>
      </c>
      <c r="J3346" s="75" t="inlineStr">
        <is>
          <t>V10005</t>
        </is>
      </c>
      <c r="K3346" s="75" t="inlineStr">
        <is>
          <t>T케이터링</t>
        </is>
      </c>
      <c r="M3346" s="9">
        <f>IF($A3346="","",VALUE($A3346&amp;"")*12+VALUE($B3346&amp;""))</f>
        <v/>
      </c>
      <c r="N3346" s="39">
        <f>IF($A3346="","",IFERROR(INDEX(부서매핑!$C$5:$C$504,MATCH($G3346&amp;"",부서매핑!$A$5:$A$504,0)),"미매핑"))</f>
        <v/>
      </c>
      <c r="O3346" s="9">
        <f>IF($A3346="","",N3346&amp;"|"&amp;$F3346)</f>
        <v/>
      </c>
      <c r="P3346" s="77">
        <f>IF($A3346="",0,$H3346*설정!$C$23)</f>
        <v/>
      </c>
      <c r="Q3346" s="39">
        <f>IF($A3346="","",IF(O3346&lt;&gt;원인분석!$C$9,"",IF(AND(M3346&gt;=원인분석!$C$10,M3346&lt;=원인분석!$C$11),"당기",IF(AND(M3346&gt;=원인분석!$C$12,M3346&lt;=원인분석!$C$13),"비교",""))))</f>
        <v/>
      </c>
      <c r="R3346" s="9">
        <f>IF(Q3346="","",$K3346&amp;"")</f>
        <v/>
      </c>
      <c r="S3346" s="9">
        <f>IF(Q3346="","",IF(MATCH(R3346,$R$5:$R$100000,0)=ROW()-4,ROW(),""))</f>
        <v/>
      </c>
      <c r="T3346" s="9">
        <f>IF(Q3346="당기",ABS(P3346)+ROW()/1000000000,"")</f>
        <v/>
      </c>
      <c r="U3346" s="9">
        <f>IF(Q3346="비교",ABS(P3346)+ROW()/1000000000,"")</f>
        <v/>
      </c>
      <c r="V3346" s="39">
        <f>IF($A3346="","",IF(COUNTIF(변동분석!$E$7:$E$506,O3346)&gt;0,"Y","N"))</f>
        <v/>
      </c>
      <c r="W3346" s="39">
        <f>IF($A3346="","",IFERROR(INDEX(계정매핑!$D$5:$D$504,MATCH($F3346&amp;"",계정매핑!$A$5:$A$504,0)),"미매핑"))</f>
        <v/>
      </c>
      <c r="X3346" s="9">
        <f>IF($A3346="","",$F3346&amp;"")</f>
        <v/>
      </c>
    </row>
    <row r="3347">
      <c r="A3347" s="75" t="n">
        <v>2026</v>
      </c>
      <c r="B3347" s="75" t="n">
        <v>6</v>
      </c>
      <c r="C3347" s="75" t="inlineStr">
        <is>
          <t>5100001003</t>
        </is>
      </c>
      <c r="D3347" s="78" t="n">
        <v>46176</v>
      </c>
      <c r="E3347" s="75" t="inlineStr">
        <is>
          <t>KR</t>
        </is>
      </c>
      <c r="F3347" s="75" t="n">
        <v>62601000</v>
      </c>
      <c r="G3347" s="75" t="n">
        <v>1501</v>
      </c>
      <c r="H3347" s="76" t="n">
        <v>2875000</v>
      </c>
      <c r="I3347" s="75" t="inlineStr">
        <is>
          <t>6월 업무추진 - (법인카드)</t>
        </is>
      </c>
      <c r="J3347" s="75" t="inlineStr">
        <is>
          <t>V10008</t>
        </is>
      </c>
      <c r="K3347" s="75" t="inlineStr">
        <is>
          <t>(법인카드)</t>
        </is>
      </c>
      <c r="M3347" s="9">
        <f>IF($A3347="","",VALUE($A3347&amp;"")*12+VALUE($B3347&amp;""))</f>
        <v/>
      </c>
      <c r="N3347" s="39">
        <f>IF($A3347="","",IFERROR(INDEX(부서매핑!$C$5:$C$504,MATCH($G3347&amp;"",부서매핑!$A$5:$A$504,0)),"미매핑"))</f>
        <v/>
      </c>
      <c r="O3347" s="9">
        <f>IF($A3347="","",N3347&amp;"|"&amp;$F3347)</f>
        <v/>
      </c>
      <c r="P3347" s="77">
        <f>IF($A3347="",0,$H3347*설정!$C$23)</f>
        <v/>
      </c>
      <c r="Q3347" s="39">
        <f>IF($A3347="","",IF(O3347&lt;&gt;원인분석!$C$9,"",IF(AND(M3347&gt;=원인분석!$C$10,M3347&lt;=원인분석!$C$11),"당기",IF(AND(M3347&gt;=원인분석!$C$12,M3347&lt;=원인분석!$C$13),"비교",""))))</f>
        <v/>
      </c>
      <c r="R3347" s="9">
        <f>IF(Q3347="","",$K3347&amp;"")</f>
        <v/>
      </c>
      <c r="S3347" s="9">
        <f>IF(Q3347="","",IF(MATCH(R3347,$R$5:$R$100000,0)=ROW()-4,ROW(),""))</f>
        <v/>
      </c>
      <c r="T3347" s="9">
        <f>IF(Q3347="당기",ABS(P3347)+ROW()/1000000000,"")</f>
        <v/>
      </c>
      <c r="U3347" s="9">
        <f>IF(Q3347="비교",ABS(P3347)+ROW()/1000000000,"")</f>
        <v/>
      </c>
      <c r="V3347" s="39">
        <f>IF($A3347="","",IF(COUNTIF(변동분석!$E$7:$E$506,O3347)&gt;0,"Y","N"))</f>
        <v/>
      </c>
      <c r="W3347" s="39">
        <f>IF($A3347="","",IFERROR(INDEX(계정매핑!$D$5:$D$504,MATCH($F3347&amp;"",계정매핑!$A$5:$A$504,0)),"미매핑"))</f>
        <v/>
      </c>
      <c r="X3347" s="9">
        <f>IF($A3347="","",$F3347&amp;"")</f>
        <v/>
      </c>
    </row>
    <row r="3348">
      <c r="A3348" s="75" t="n">
        <v>2026</v>
      </c>
      <c r="B3348" s="75" t="n">
        <v>6</v>
      </c>
      <c r="C3348" s="75" t="inlineStr">
        <is>
          <t>5100001004</t>
        </is>
      </c>
      <c r="D3348" s="78" t="n">
        <v>46176</v>
      </c>
      <c r="E3348" s="75" t="inlineStr">
        <is>
          <t>KR</t>
        </is>
      </c>
      <c r="F3348" s="75" t="n">
        <v>62902000</v>
      </c>
      <c r="G3348" s="75" t="n">
        <v>1801</v>
      </c>
      <c r="H3348" s="76" t="n">
        <v>3000000</v>
      </c>
      <c r="I3348" s="75" t="inlineStr">
        <is>
          <t>6월 업무 위탁 수수료 - X서비스</t>
        </is>
      </c>
      <c r="J3348" s="75" t="inlineStr">
        <is>
          <t>V10016</t>
        </is>
      </c>
      <c r="K3348" s="75" t="inlineStr">
        <is>
          <t>X서비스</t>
        </is>
      </c>
      <c r="M3348" s="9">
        <f>IF($A3348="","",VALUE($A3348&amp;"")*12+VALUE($B3348&amp;""))</f>
        <v/>
      </c>
      <c r="N3348" s="39">
        <f>IF($A3348="","",IFERROR(INDEX(부서매핑!$C$5:$C$504,MATCH($G3348&amp;"",부서매핑!$A$5:$A$504,0)),"미매핑"))</f>
        <v/>
      </c>
      <c r="O3348" s="9">
        <f>IF($A3348="","",N3348&amp;"|"&amp;$F3348)</f>
        <v/>
      </c>
      <c r="P3348" s="77">
        <f>IF($A3348="",0,$H3348*설정!$C$23)</f>
        <v/>
      </c>
      <c r="Q3348" s="39">
        <f>IF($A3348="","",IF(O3348&lt;&gt;원인분석!$C$9,"",IF(AND(M3348&gt;=원인분석!$C$10,M3348&lt;=원인분석!$C$11),"당기",IF(AND(M3348&gt;=원인분석!$C$12,M3348&lt;=원인분석!$C$13),"비교",""))))</f>
        <v/>
      </c>
      <c r="R3348" s="9">
        <f>IF(Q3348="","",$K3348&amp;"")</f>
        <v/>
      </c>
      <c r="S3348" s="9">
        <f>IF(Q3348="","",IF(MATCH(R3348,$R$5:$R$100000,0)=ROW()-4,ROW(),""))</f>
        <v/>
      </c>
      <c r="T3348" s="9">
        <f>IF(Q3348="당기",ABS(P3348)+ROW()/1000000000,"")</f>
        <v/>
      </c>
      <c r="U3348" s="9">
        <f>IF(Q3348="비교",ABS(P3348)+ROW()/1000000000,"")</f>
        <v/>
      </c>
      <c r="V3348" s="39">
        <f>IF($A3348="","",IF(COUNTIF(변동분석!$E$7:$E$506,O3348)&gt;0,"Y","N"))</f>
        <v/>
      </c>
      <c r="W3348" s="39">
        <f>IF($A3348="","",IFERROR(INDEX(계정매핑!$D$5:$D$504,MATCH($F3348&amp;"",계정매핑!$A$5:$A$504,0)),"미매핑"))</f>
        <v/>
      </c>
      <c r="X3348" s="9">
        <f>IF($A3348="","",$F3348&amp;"")</f>
        <v/>
      </c>
    </row>
    <row r="3349">
      <c r="A3349" s="75" t="n">
        <v>2026</v>
      </c>
      <c r="B3349" s="75" t="n">
        <v>6</v>
      </c>
      <c r="C3349" s="75" t="inlineStr">
        <is>
          <t>5100001005</t>
        </is>
      </c>
      <c r="D3349" s="78" t="n">
        <v>46177</v>
      </c>
      <c r="E3349" s="75" t="inlineStr">
        <is>
          <t>KR</t>
        </is>
      </c>
      <c r="F3349" s="75" t="n">
        <v>62101000</v>
      </c>
      <c r="G3349" s="75" t="n">
        <v>1101</v>
      </c>
      <c r="H3349" s="76" t="n">
        <v>401000</v>
      </c>
      <c r="I3349" s="75" t="inlineStr">
        <is>
          <t>6월 국내출장 - M항공</t>
        </is>
      </c>
      <c r="J3349" s="75" t="inlineStr">
        <is>
          <t>V10001</t>
        </is>
      </c>
      <c r="K3349" s="75" t="inlineStr">
        <is>
          <t>M항공</t>
        </is>
      </c>
      <c r="M3349" s="9">
        <f>IF($A3349="","",VALUE($A3349&amp;"")*12+VALUE($B3349&amp;""))</f>
        <v/>
      </c>
      <c r="N3349" s="39">
        <f>IF($A3349="","",IFERROR(INDEX(부서매핑!$C$5:$C$504,MATCH($G3349&amp;"",부서매핑!$A$5:$A$504,0)),"미매핑"))</f>
        <v/>
      </c>
      <c r="O3349" s="9">
        <f>IF($A3349="","",N3349&amp;"|"&amp;$F3349)</f>
        <v/>
      </c>
      <c r="P3349" s="77">
        <f>IF($A3349="",0,$H3349*설정!$C$23)</f>
        <v/>
      </c>
      <c r="Q3349" s="39">
        <f>IF($A3349="","",IF(O3349&lt;&gt;원인분석!$C$9,"",IF(AND(M3349&gt;=원인분석!$C$10,M3349&lt;=원인분석!$C$11),"당기",IF(AND(M3349&gt;=원인분석!$C$12,M3349&lt;=원인분석!$C$13),"비교",""))))</f>
        <v/>
      </c>
      <c r="R3349" s="9">
        <f>IF(Q3349="","",$K3349&amp;"")</f>
        <v/>
      </c>
      <c r="S3349" s="9">
        <f>IF(Q3349="","",IF(MATCH(R3349,$R$5:$R$100000,0)=ROW()-4,ROW(),""))</f>
        <v/>
      </c>
      <c r="T3349" s="9">
        <f>IF(Q3349="당기",ABS(P3349)+ROW()/1000000000,"")</f>
        <v/>
      </c>
      <c r="U3349" s="9">
        <f>IF(Q3349="비교",ABS(P3349)+ROW()/1000000000,"")</f>
        <v/>
      </c>
      <c r="V3349" s="39">
        <f>IF($A3349="","",IF(COUNTIF(변동분석!$E$7:$E$506,O3349)&gt;0,"Y","N"))</f>
        <v/>
      </c>
      <c r="W3349" s="39">
        <f>IF($A3349="","",IFERROR(INDEX(계정매핑!$D$5:$D$504,MATCH($F3349&amp;"",계정매핑!$A$5:$A$504,0)),"미매핑"))</f>
        <v/>
      </c>
      <c r="X3349" s="9">
        <f>IF($A3349="","",$F3349&amp;"")</f>
        <v/>
      </c>
    </row>
    <row r="3350">
      <c r="A3350" s="75" t="n">
        <v>2026</v>
      </c>
      <c r="B3350" s="75" t="n">
        <v>6</v>
      </c>
      <c r="C3350" s="75" t="inlineStr">
        <is>
          <t>5100001006</t>
        </is>
      </c>
      <c r="D3350" s="78" t="n">
        <v>46177</v>
      </c>
      <c r="E3350" s="75" t="inlineStr">
        <is>
          <t>KR</t>
        </is>
      </c>
      <c r="F3350" s="75" t="n">
        <v>62101000</v>
      </c>
      <c r="G3350" s="75" t="n">
        <v>1601</v>
      </c>
      <c r="H3350" s="76" t="n">
        <v>885000</v>
      </c>
      <c r="I3350" s="75" t="inlineStr">
        <is>
          <t>6월 국내출장 - M항공</t>
        </is>
      </c>
      <c r="J3350" s="75" t="inlineStr">
        <is>
          <t>V10001</t>
        </is>
      </c>
      <c r="K3350" s="75" t="inlineStr">
        <is>
          <t>M항공</t>
        </is>
      </c>
      <c r="M3350" s="9">
        <f>IF($A3350="","",VALUE($A3350&amp;"")*12+VALUE($B3350&amp;""))</f>
        <v/>
      </c>
      <c r="N3350" s="39">
        <f>IF($A3350="","",IFERROR(INDEX(부서매핑!$C$5:$C$504,MATCH($G3350&amp;"",부서매핑!$A$5:$A$504,0)),"미매핑"))</f>
        <v/>
      </c>
      <c r="O3350" s="9">
        <f>IF($A3350="","",N3350&amp;"|"&amp;$F3350)</f>
        <v/>
      </c>
      <c r="P3350" s="77">
        <f>IF($A3350="",0,$H3350*설정!$C$23)</f>
        <v/>
      </c>
      <c r="Q3350" s="39">
        <f>IF($A3350="","",IF(O3350&lt;&gt;원인분석!$C$9,"",IF(AND(M3350&gt;=원인분석!$C$10,M3350&lt;=원인분석!$C$11),"당기",IF(AND(M3350&gt;=원인분석!$C$12,M3350&lt;=원인분석!$C$13),"비교",""))))</f>
        <v/>
      </c>
      <c r="R3350" s="9">
        <f>IF(Q3350="","",$K3350&amp;"")</f>
        <v/>
      </c>
      <c r="S3350" s="9">
        <f>IF(Q3350="","",IF(MATCH(R3350,$R$5:$R$100000,0)=ROW()-4,ROW(),""))</f>
        <v/>
      </c>
      <c r="T3350" s="9">
        <f>IF(Q3350="당기",ABS(P3350)+ROW()/1000000000,"")</f>
        <v/>
      </c>
      <c r="U3350" s="9">
        <f>IF(Q3350="비교",ABS(P3350)+ROW()/1000000000,"")</f>
        <v/>
      </c>
      <c r="V3350" s="39">
        <f>IF($A3350="","",IF(COUNTIF(변동분석!$E$7:$E$506,O3350)&gt;0,"Y","N"))</f>
        <v/>
      </c>
      <c r="W3350" s="39">
        <f>IF($A3350="","",IFERROR(INDEX(계정매핑!$D$5:$D$504,MATCH($F3350&amp;"",계정매핑!$A$5:$A$504,0)),"미매핑"))</f>
        <v/>
      </c>
      <c r="X3350" s="9">
        <f>IF($A3350="","",$F3350&amp;"")</f>
        <v/>
      </c>
    </row>
    <row r="3351">
      <c r="A3351" s="75" t="n">
        <v>2026</v>
      </c>
      <c r="B3351" s="75" t="n">
        <v>6</v>
      </c>
      <c r="C3351" s="75" t="inlineStr">
        <is>
          <t>5100001007</t>
        </is>
      </c>
      <c r="D3351" s="78" t="n">
        <v>46177</v>
      </c>
      <c r="E3351" s="75" t="inlineStr">
        <is>
          <t>KR</t>
        </is>
      </c>
      <c r="F3351" s="75" t="n">
        <v>62201000</v>
      </c>
      <c r="G3351" s="75" t="n">
        <v>1401</v>
      </c>
      <c r="H3351" s="76" t="n">
        <v>193000</v>
      </c>
      <c r="I3351" s="75" t="inlineStr">
        <is>
          <t>6월 통신요금 - P통신</t>
        </is>
      </c>
      <c r="J3351" s="75" t="inlineStr">
        <is>
          <t>V10011</t>
        </is>
      </c>
      <c r="K3351" s="75" t="inlineStr">
        <is>
          <t>P통신</t>
        </is>
      </c>
      <c r="M3351" s="9">
        <f>IF($A3351="","",VALUE($A3351&amp;"")*12+VALUE($B3351&amp;""))</f>
        <v/>
      </c>
      <c r="N3351" s="39">
        <f>IF($A3351="","",IFERROR(INDEX(부서매핑!$C$5:$C$504,MATCH($G3351&amp;"",부서매핑!$A$5:$A$504,0)),"미매핑"))</f>
        <v/>
      </c>
      <c r="O3351" s="9">
        <f>IF($A3351="","",N3351&amp;"|"&amp;$F3351)</f>
        <v/>
      </c>
      <c r="P3351" s="77">
        <f>IF($A3351="",0,$H3351*설정!$C$23)</f>
        <v/>
      </c>
      <c r="Q3351" s="39">
        <f>IF($A3351="","",IF(O3351&lt;&gt;원인분석!$C$9,"",IF(AND(M3351&gt;=원인분석!$C$10,M3351&lt;=원인분석!$C$11),"당기",IF(AND(M3351&gt;=원인분석!$C$12,M3351&lt;=원인분석!$C$13),"비교",""))))</f>
        <v/>
      </c>
      <c r="R3351" s="9">
        <f>IF(Q3351="","",$K3351&amp;"")</f>
        <v/>
      </c>
      <c r="S3351" s="9">
        <f>IF(Q3351="","",IF(MATCH(R3351,$R$5:$R$100000,0)=ROW()-4,ROW(),""))</f>
        <v/>
      </c>
      <c r="T3351" s="9">
        <f>IF(Q3351="당기",ABS(P3351)+ROW()/1000000000,"")</f>
        <v/>
      </c>
      <c r="U3351" s="9">
        <f>IF(Q3351="비교",ABS(P3351)+ROW()/1000000000,"")</f>
        <v/>
      </c>
      <c r="V3351" s="39">
        <f>IF($A3351="","",IF(COUNTIF(변동분석!$E$7:$E$506,O3351)&gt;0,"Y","N"))</f>
        <v/>
      </c>
      <c r="W3351" s="39">
        <f>IF($A3351="","",IFERROR(INDEX(계정매핑!$D$5:$D$504,MATCH($F3351&amp;"",계정매핑!$A$5:$A$504,0)),"미매핑"))</f>
        <v/>
      </c>
      <c r="X3351" s="9">
        <f>IF($A3351="","",$F3351&amp;"")</f>
        <v/>
      </c>
    </row>
    <row r="3352">
      <c r="A3352" s="75" t="n">
        <v>2026</v>
      </c>
      <c r="B3352" s="75" t="n">
        <v>6</v>
      </c>
      <c r="C3352" s="75" t="inlineStr">
        <is>
          <t>5100001008</t>
        </is>
      </c>
      <c r="D3352" s="78" t="n">
        <v>46177</v>
      </c>
      <c r="E3352" s="75" t="inlineStr">
        <is>
          <t>KR</t>
        </is>
      </c>
      <c r="F3352" s="75" t="n">
        <v>62301000</v>
      </c>
      <c r="G3352" s="75" t="n">
        <v>1301</v>
      </c>
      <c r="H3352" s="76" t="n">
        <v>297000</v>
      </c>
      <c r="I3352" s="75" t="inlineStr">
        <is>
          <t>6월 소모품 구입 - Q오피스</t>
        </is>
      </c>
      <c r="J3352" s="75" t="inlineStr">
        <is>
          <t>V10003</t>
        </is>
      </c>
      <c r="K3352" s="75" t="inlineStr">
        <is>
          <t>Q오피스</t>
        </is>
      </c>
      <c r="M3352" s="9">
        <f>IF($A3352="","",VALUE($A3352&amp;"")*12+VALUE($B3352&amp;""))</f>
        <v/>
      </c>
      <c r="N3352" s="39">
        <f>IF($A3352="","",IFERROR(INDEX(부서매핑!$C$5:$C$504,MATCH($G3352&amp;"",부서매핑!$A$5:$A$504,0)),"미매핑"))</f>
        <v/>
      </c>
      <c r="O3352" s="9">
        <f>IF($A3352="","",N3352&amp;"|"&amp;$F3352)</f>
        <v/>
      </c>
      <c r="P3352" s="77">
        <f>IF($A3352="",0,$H3352*설정!$C$23)</f>
        <v/>
      </c>
      <c r="Q3352" s="39">
        <f>IF($A3352="","",IF(O3352&lt;&gt;원인분석!$C$9,"",IF(AND(M3352&gt;=원인분석!$C$10,M3352&lt;=원인분석!$C$11),"당기",IF(AND(M3352&gt;=원인분석!$C$12,M3352&lt;=원인분석!$C$13),"비교",""))))</f>
        <v/>
      </c>
      <c r="R3352" s="9">
        <f>IF(Q3352="","",$K3352&amp;"")</f>
        <v/>
      </c>
      <c r="S3352" s="9">
        <f>IF(Q3352="","",IF(MATCH(R3352,$R$5:$R$100000,0)=ROW()-4,ROW(),""))</f>
        <v/>
      </c>
      <c r="T3352" s="9">
        <f>IF(Q3352="당기",ABS(P3352)+ROW()/1000000000,"")</f>
        <v/>
      </c>
      <c r="U3352" s="9">
        <f>IF(Q3352="비교",ABS(P3352)+ROW()/1000000000,"")</f>
        <v/>
      </c>
      <c r="V3352" s="39">
        <f>IF($A3352="","",IF(COUNTIF(변동분석!$E$7:$E$506,O3352)&gt;0,"Y","N"))</f>
        <v/>
      </c>
      <c r="W3352" s="39">
        <f>IF($A3352="","",IFERROR(INDEX(계정매핑!$D$5:$D$504,MATCH($F3352&amp;"",계정매핑!$A$5:$A$504,0)),"미매핑"))</f>
        <v/>
      </c>
      <c r="X3352" s="9">
        <f>IF($A3352="","",$F3352&amp;"")</f>
        <v/>
      </c>
    </row>
    <row r="3353">
      <c r="A3353" s="75" t="n">
        <v>2026</v>
      </c>
      <c r="B3353" s="75" t="n">
        <v>6</v>
      </c>
      <c r="C3353" s="75" t="inlineStr">
        <is>
          <t>5100001009</t>
        </is>
      </c>
      <c r="D3353" s="78" t="n">
        <v>46177</v>
      </c>
      <c r="E3353" s="75" t="inlineStr">
        <is>
          <t>KR</t>
        </is>
      </c>
      <c r="F3353" s="75" t="n">
        <v>62902000</v>
      </c>
      <c r="G3353" s="75" t="n">
        <v>1801</v>
      </c>
      <c r="H3353" s="76" t="n">
        <v>1850000</v>
      </c>
      <c r="I3353" s="75" t="inlineStr">
        <is>
          <t>6월 콜 위탁 수수료(건별)</t>
        </is>
      </c>
      <c r="J3353" s="75" t="inlineStr">
        <is>
          <t>V10013</t>
        </is>
      </c>
      <c r="K3353" s="75" t="inlineStr">
        <is>
          <t>J콜센터</t>
        </is>
      </c>
      <c r="M3353" s="9">
        <f>IF($A3353="","",VALUE($A3353&amp;"")*12+VALUE($B3353&amp;""))</f>
        <v/>
      </c>
      <c r="N3353" s="39">
        <f>IF($A3353="","",IFERROR(INDEX(부서매핑!$C$5:$C$504,MATCH($G3353&amp;"",부서매핑!$A$5:$A$504,0)),"미매핑"))</f>
        <v/>
      </c>
      <c r="O3353" s="9">
        <f>IF($A3353="","",N3353&amp;"|"&amp;$F3353)</f>
        <v/>
      </c>
      <c r="P3353" s="77">
        <f>IF($A3353="",0,$H3353*설정!$C$23)</f>
        <v/>
      </c>
      <c r="Q3353" s="39">
        <f>IF($A3353="","",IF(O3353&lt;&gt;원인분석!$C$9,"",IF(AND(M3353&gt;=원인분석!$C$10,M3353&lt;=원인분석!$C$11),"당기",IF(AND(M3353&gt;=원인분석!$C$12,M3353&lt;=원인분석!$C$13),"비교",""))))</f>
        <v/>
      </c>
      <c r="R3353" s="9">
        <f>IF(Q3353="","",$K3353&amp;"")</f>
        <v/>
      </c>
      <c r="S3353" s="9">
        <f>IF(Q3353="","",IF(MATCH(R3353,$R$5:$R$100000,0)=ROW()-4,ROW(),""))</f>
        <v/>
      </c>
      <c r="T3353" s="9">
        <f>IF(Q3353="당기",ABS(P3353)+ROW()/1000000000,"")</f>
        <v/>
      </c>
      <c r="U3353" s="9">
        <f>IF(Q3353="비교",ABS(P3353)+ROW()/1000000000,"")</f>
        <v/>
      </c>
      <c r="V3353" s="39">
        <f>IF($A3353="","",IF(COUNTIF(변동분석!$E$7:$E$506,O3353)&gt;0,"Y","N"))</f>
        <v/>
      </c>
      <c r="W3353" s="39">
        <f>IF($A3353="","",IFERROR(INDEX(계정매핑!$D$5:$D$504,MATCH($F3353&amp;"",계정매핑!$A$5:$A$504,0)),"미매핑"))</f>
        <v/>
      </c>
      <c r="X3353" s="9">
        <f>IF($A3353="","",$F3353&amp;"")</f>
        <v/>
      </c>
    </row>
    <row r="3354">
      <c r="A3354" s="75" t="n">
        <v>2026</v>
      </c>
      <c r="B3354" s="75" t="n">
        <v>6</v>
      </c>
      <c r="C3354" s="75" t="inlineStr">
        <is>
          <t>5100001010</t>
        </is>
      </c>
      <c r="D3354" s="78" t="n">
        <v>46178</v>
      </c>
      <c r="E3354" s="75" t="inlineStr">
        <is>
          <t>KR</t>
        </is>
      </c>
      <c r="F3354" s="75" t="n">
        <v>62102000</v>
      </c>
      <c r="G3354" s="75" t="n">
        <v>1101</v>
      </c>
      <c r="H3354" s="76" t="n">
        <v>227000</v>
      </c>
      <c r="I3354" s="75" t="inlineStr">
        <is>
          <t>6월 해외출장 - M항공</t>
        </is>
      </c>
      <c r="J3354" s="75" t="inlineStr">
        <is>
          <t>V10001</t>
        </is>
      </c>
      <c r="K3354" s="75" t="inlineStr">
        <is>
          <t>M항공</t>
        </is>
      </c>
      <c r="M3354" s="9">
        <f>IF($A3354="","",VALUE($A3354&amp;"")*12+VALUE($B3354&amp;""))</f>
        <v/>
      </c>
      <c r="N3354" s="39">
        <f>IF($A3354="","",IFERROR(INDEX(부서매핑!$C$5:$C$504,MATCH($G3354&amp;"",부서매핑!$A$5:$A$504,0)),"미매핑"))</f>
        <v/>
      </c>
      <c r="O3354" s="9">
        <f>IF($A3354="","",N3354&amp;"|"&amp;$F3354)</f>
        <v/>
      </c>
      <c r="P3354" s="77">
        <f>IF($A3354="",0,$H3354*설정!$C$23)</f>
        <v/>
      </c>
      <c r="Q3354" s="39">
        <f>IF($A3354="","",IF(O3354&lt;&gt;원인분석!$C$9,"",IF(AND(M3354&gt;=원인분석!$C$10,M3354&lt;=원인분석!$C$11),"당기",IF(AND(M3354&gt;=원인분석!$C$12,M3354&lt;=원인분석!$C$13),"비교",""))))</f>
        <v/>
      </c>
      <c r="R3354" s="9">
        <f>IF(Q3354="","",$K3354&amp;"")</f>
        <v/>
      </c>
      <c r="S3354" s="9">
        <f>IF(Q3354="","",IF(MATCH(R3354,$R$5:$R$100000,0)=ROW()-4,ROW(),""))</f>
        <v/>
      </c>
      <c r="T3354" s="9">
        <f>IF(Q3354="당기",ABS(P3354)+ROW()/1000000000,"")</f>
        <v/>
      </c>
      <c r="U3354" s="9">
        <f>IF(Q3354="비교",ABS(P3354)+ROW()/1000000000,"")</f>
        <v/>
      </c>
      <c r="V3354" s="39">
        <f>IF($A3354="","",IF(COUNTIF(변동분석!$E$7:$E$506,O3354)&gt;0,"Y","N"))</f>
        <v/>
      </c>
      <c r="W3354" s="39">
        <f>IF($A3354="","",IFERROR(INDEX(계정매핑!$D$5:$D$504,MATCH($F3354&amp;"",계정매핑!$A$5:$A$504,0)),"미매핑"))</f>
        <v/>
      </c>
      <c r="X3354" s="9">
        <f>IF($A3354="","",$F3354&amp;"")</f>
        <v/>
      </c>
    </row>
    <row r="3355">
      <c r="A3355" s="75" t="n">
        <v>2026</v>
      </c>
      <c r="B3355" s="75" t="n">
        <v>6</v>
      </c>
      <c r="C3355" s="75" t="inlineStr">
        <is>
          <t>5100001011</t>
        </is>
      </c>
      <c r="D3355" s="78" t="n">
        <v>46178</v>
      </c>
      <c r="E3355" s="75" t="inlineStr">
        <is>
          <t>KR</t>
        </is>
      </c>
      <c r="F3355" s="75" t="n">
        <v>62102000</v>
      </c>
      <c r="G3355" s="75" t="n">
        <v>1801</v>
      </c>
      <c r="H3355" s="76" t="n">
        <v>27000</v>
      </c>
      <c r="I3355" s="75" t="inlineStr">
        <is>
          <t>6월 해외출장 - N호텔</t>
        </is>
      </c>
      <c r="J3355" s="75" t="inlineStr">
        <is>
          <t>V10007</t>
        </is>
      </c>
      <c r="K3355" s="75" t="inlineStr">
        <is>
          <t>N호텔</t>
        </is>
      </c>
      <c r="M3355" s="9">
        <f>IF($A3355="","",VALUE($A3355&amp;"")*12+VALUE($B3355&amp;""))</f>
        <v/>
      </c>
      <c r="N3355" s="39">
        <f>IF($A3355="","",IFERROR(INDEX(부서매핑!$C$5:$C$504,MATCH($G3355&amp;"",부서매핑!$A$5:$A$504,0)),"미매핑"))</f>
        <v/>
      </c>
      <c r="O3355" s="9">
        <f>IF($A3355="","",N3355&amp;"|"&amp;$F3355)</f>
        <v/>
      </c>
      <c r="P3355" s="77">
        <f>IF($A3355="",0,$H3355*설정!$C$23)</f>
        <v/>
      </c>
      <c r="Q3355" s="39">
        <f>IF($A3355="","",IF(O3355&lt;&gt;원인분석!$C$9,"",IF(AND(M3355&gt;=원인분석!$C$10,M3355&lt;=원인분석!$C$11),"당기",IF(AND(M3355&gt;=원인분석!$C$12,M3355&lt;=원인분석!$C$13),"비교",""))))</f>
        <v/>
      </c>
      <c r="R3355" s="9">
        <f>IF(Q3355="","",$K3355&amp;"")</f>
        <v/>
      </c>
      <c r="S3355" s="9">
        <f>IF(Q3355="","",IF(MATCH(R3355,$R$5:$R$100000,0)=ROW()-4,ROW(),""))</f>
        <v/>
      </c>
      <c r="T3355" s="9">
        <f>IF(Q3355="당기",ABS(P3355)+ROW()/1000000000,"")</f>
        <v/>
      </c>
      <c r="U3355" s="9">
        <f>IF(Q3355="비교",ABS(P3355)+ROW()/1000000000,"")</f>
        <v/>
      </c>
      <c r="V3355" s="39">
        <f>IF($A3355="","",IF(COUNTIF(변동분석!$E$7:$E$506,O3355)&gt;0,"Y","N"))</f>
        <v/>
      </c>
      <c r="W3355" s="39">
        <f>IF($A3355="","",IFERROR(INDEX(계정매핑!$D$5:$D$504,MATCH($F3355&amp;"",계정매핑!$A$5:$A$504,0)),"미매핑"))</f>
        <v/>
      </c>
      <c r="X3355" s="9">
        <f>IF($A3355="","",$F3355&amp;"")</f>
        <v/>
      </c>
    </row>
    <row r="3356">
      <c r="A3356" s="75" t="n">
        <v>2026</v>
      </c>
      <c r="B3356" s="75" t="n">
        <v>6</v>
      </c>
      <c r="C3356" s="75" t="inlineStr">
        <is>
          <t>5100001012</t>
        </is>
      </c>
      <c r="D3356" s="78" t="n">
        <v>46178</v>
      </c>
      <c r="E3356" s="75" t="inlineStr">
        <is>
          <t>KR</t>
        </is>
      </c>
      <c r="F3356" s="75" t="n">
        <v>62301000</v>
      </c>
      <c r="G3356" s="75" t="n">
        <v>1101</v>
      </c>
      <c r="H3356" s="76" t="n">
        <v>200000</v>
      </c>
      <c r="I3356" s="75" t="inlineStr">
        <is>
          <t>6월 소모품 구입 - Q오피스</t>
        </is>
      </c>
      <c r="J3356" s="75" t="inlineStr">
        <is>
          <t>V10003</t>
        </is>
      </c>
      <c r="K3356" s="75" t="inlineStr">
        <is>
          <t>Q오피스</t>
        </is>
      </c>
      <c r="M3356" s="9">
        <f>IF($A3356="","",VALUE($A3356&amp;"")*12+VALUE($B3356&amp;""))</f>
        <v/>
      </c>
      <c r="N3356" s="39">
        <f>IF($A3356="","",IFERROR(INDEX(부서매핑!$C$5:$C$504,MATCH($G3356&amp;"",부서매핑!$A$5:$A$504,0)),"미매핑"))</f>
        <v/>
      </c>
      <c r="O3356" s="9">
        <f>IF($A3356="","",N3356&amp;"|"&amp;$F3356)</f>
        <v/>
      </c>
      <c r="P3356" s="77">
        <f>IF($A3356="",0,$H3356*설정!$C$23)</f>
        <v/>
      </c>
      <c r="Q3356" s="39">
        <f>IF($A3356="","",IF(O3356&lt;&gt;원인분석!$C$9,"",IF(AND(M3356&gt;=원인분석!$C$10,M3356&lt;=원인분석!$C$11),"당기",IF(AND(M3356&gt;=원인분석!$C$12,M3356&lt;=원인분석!$C$13),"비교",""))))</f>
        <v/>
      </c>
      <c r="R3356" s="9">
        <f>IF(Q3356="","",$K3356&amp;"")</f>
        <v/>
      </c>
      <c r="S3356" s="9">
        <f>IF(Q3356="","",IF(MATCH(R3356,$R$5:$R$100000,0)=ROW()-4,ROW(),""))</f>
        <v/>
      </c>
      <c r="T3356" s="9">
        <f>IF(Q3356="당기",ABS(P3356)+ROW()/1000000000,"")</f>
        <v/>
      </c>
      <c r="U3356" s="9">
        <f>IF(Q3356="비교",ABS(P3356)+ROW()/1000000000,"")</f>
        <v/>
      </c>
      <c r="V3356" s="39">
        <f>IF($A3356="","",IF(COUNTIF(변동분석!$E$7:$E$506,O3356)&gt;0,"Y","N"))</f>
        <v/>
      </c>
      <c r="W3356" s="39">
        <f>IF($A3356="","",IFERROR(INDEX(계정매핑!$D$5:$D$504,MATCH($F3356&amp;"",계정매핑!$A$5:$A$504,0)),"미매핑"))</f>
        <v/>
      </c>
      <c r="X3356" s="9">
        <f>IF($A3356="","",$F3356&amp;"")</f>
        <v/>
      </c>
    </row>
    <row r="3357">
      <c r="A3357" s="75" t="n">
        <v>2026</v>
      </c>
      <c r="B3357" s="75" t="n">
        <v>6</v>
      </c>
      <c r="C3357" s="75" t="inlineStr">
        <is>
          <t>5100001013</t>
        </is>
      </c>
      <c r="D3357" s="78" t="n">
        <v>46178</v>
      </c>
      <c r="E3357" s="75" t="inlineStr">
        <is>
          <t>KR</t>
        </is>
      </c>
      <c r="F3357" s="75" t="n">
        <v>62501000</v>
      </c>
      <c r="G3357" s="75" t="n">
        <v>1401</v>
      </c>
      <c r="H3357" s="76" t="n">
        <v>143000</v>
      </c>
      <c r="I3357" s="75" t="inlineStr">
        <is>
          <t>6월 회의 다과 - (법인카드)</t>
        </is>
      </c>
      <c r="J3357" s="75" t="inlineStr">
        <is>
          <t>V10008</t>
        </is>
      </c>
      <c r="K3357" s="75" t="inlineStr">
        <is>
          <t>(법인카드)</t>
        </is>
      </c>
      <c r="M3357" s="9">
        <f>IF($A3357="","",VALUE($A3357&amp;"")*12+VALUE($B3357&amp;""))</f>
        <v/>
      </c>
      <c r="N3357" s="39">
        <f>IF($A3357="","",IFERROR(INDEX(부서매핑!$C$5:$C$504,MATCH($G3357&amp;"",부서매핑!$A$5:$A$504,0)),"미매핑"))</f>
        <v/>
      </c>
      <c r="O3357" s="9">
        <f>IF($A3357="","",N3357&amp;"|"&amp;$F3357)</f>
        <v/>
      </c>
      <c r="P3357" s="77">
        <f>IF($A3357="",0,$H3357*설정!$C$23)</f>
        <v/>
      </c>
      <c r="Q3357" s="39">
        <f>IF($A3357="","",IF(O3357&lt;&gt;원인분석!$C$9,"",IF(AND(M3357&gt;=원인분석!$C$10,M3357&lt;=원인분석!$C$11),"당기",IF(AND(M3357&gt;=원인분석!$C$12,M3357&lt;=원인분석!$C$13),"비교",""))))</f>
        <v/>
      </c>
      <c r="R3357" s="9">
        <f>IF(Q3357="","",$K3357&amp;"")</f>
        <v/>
      </c>
      <c r="S3357" s="9">
        <f>IF(Q3357="","",IF(MATCH(R3357,$R$5:$R$100000,0)=ROW()-4,ROW(),""))</f>
        <v/>
      </c>
      <c r="T3357" s="9">
        <f>IF(Q3357="당기",ABS(P3357)+ROW()/1000000000,"")</f>
        <v/>
      </c>
      <c r="U3357" s="9">
        <f>IF(Q3357="비교",ABS(P3357)+ROW()/1000000000,"")</f>
        <v/>
      </c>
      <c r="V3357" s="39">
        <f>IF($A3357="","",IF(COUNTIF(변동분석!$E$7:$E$506,O3357)&gt;0,"Y","N"))</f>
        <v/>
      </c>
      <c r="W3357" s="39">
        <f>IF($A3357="","",IFERROR(INDEX(계정매핑!$D$5:$D$504,MATCH($F3357&amp;"",계정매핑!$A$5:$A$504,0)),"미매핑"))</f>
        <v/>
      </c>
      <c r="X3357" s="9">
        <f>IF($A3357="","",$F3357&amp;"")</f>
        <v/>
      </c>
    </row>
    <row r="3358">
      <c r="A3358" s="75" t="n">
        <v>2026</v>
      </c>
      <c r="B3358" s="75" t="n">
        <v>6</v>
      </c>
      <c r="C3358" s="75" t="inlineStr">
        <is>
          <t>5100001014</t>
        </is>
      </c>
      <c r="D3358" s="78" t="n">
        <v>46178</v>
      </c>
      <c r="E3358" s="75" t="inlineStr">
        <is>
          <t>KR</t>
        </is>
      </c>
      <c r="F3358" s="75" t="n">
        <v>62501000</v>
      </c>
      <c r="G3358" s="75" t="n">
        <v>1701</v>
      </c>
      <c r="H3358" s="76" t="n">
        <v>85000</v>
      </c>
      <c r="I3358" s="75" t="inlineStr">
        <is>
          <t>6월 회의 다과 - (법인카드)</t>
        </is>
      </c>
      <c r="J3358" s="75" t="inlineStr">
        <is>
          <t>V10008</t>
        </is>
      </c>
      <c r="K3358" s="75" t="inlineStr">
        <is>
          <t>(법인카드)</t>
        </is>
      </c>
      <c r="M3358" s="9">
        <f>IF($A3358="","",VALUE($A3358&amp;"")*12+VALUE($B3358&amp;""))</f>
        <v/>
      </c>
      <c r="N3358" s="39">
        <f>IF($A3358="","",IFERROR(INDEX(부서매핑!$C$5:$C$504,MATCH($G3358&amp;"",부서매핑!$A$5:$A$504,0)),"미매핑"))</f>
        <v/>
      </c>
      <c r="O3358" s="9">
        <f>IF($A3358="","",N3358&amp;"|"&amp;$F3358)</f>
        <v/>
      </c>
      <c r="P3358" s="77">
        <f>IF($A3358="",0,$H3358*설정!$C$23)</f>
        <v/>
      </c>
      <c r="Q3358" s="39">
        <f>IF($A3358="","",IF(O3358&lt;&gt;원인분석!$C$9,"",IF(AND(M3358&gt;=원인분석!$C$10,M3358&lt;=원인분석!$C$11),"당기",IF(AND(M3358&gt;=원인분석!$C$12,M3358&lt;=원인분석!$C$13),"비교",""))))</f>
        <v/>
      </c>
      <c r="R3358" s="9">
        <f>IF(Q3358="","",$K3358&amp;"")</f>
        <v/>
      </c>
      <c r="S3358" s="9">
        <f>IF(Q3358="","",IF(MATCH(R3358,$R$5:$R$100000,0)=ROW()-4,ROW(),""))</f>
        <v/>
      </c>
      <c r="T3358" s="9">
        <f>IF(Q3358="당기",ABS(P3358)+ROW()/1000000000,"")</f>
        <v/>
      </c>
      <c r="U3358" s="9">
        <f>IF(Q3358="비교",ABS(P3358)+ROW()/1000000000,"")</f>
        <v/>
      </c>
      <c r="V3358" s="39">
        <f>IF($A3358="","",IF(COUNTIF(변동분석!$E$7:$E$506,O3358)&gt;0,"Y","N"))</f>
        <v/>
      </c>
      <c r="W3358" s="39">
        <f>IF($A3358="","",IFERROR(INDEX(계정매핑!$D$5:$D$504,MATCH($F3358&amp;"",계정매핑!$A$5:$A$504,0)),"미매핑"))</f>
        <v/>
      </c>
      <c r="X3358" s="9">
        <f>IF($A3358="","",$F3358&amp;"")</f>
        <v/>
      </c>
    </row>
    <row r="3359">
      <c r="A3359" s="75" t="n">
        <v>2026</v>
      </c>
      <c r="B3359" s="75" t="n">
        <v>6</v>
      </c>
      <c r="C3359" s="75" t="inlineStr">
        <is>
          <t>5100001015</t>
        </is>
      </c>
      <c r="D3359" s="78" t="n">
        <v>46178</v>
      </c>
      <c r="E3359" s="75" t="inlineStr">
        <is>
          <t>KR</t>
        </is>
      </c>
      <c r="F3359" s="75" t="n">
        <v>62601000</v>
      </c>
      <c r="G3359" s="75" t="n">
        <v>1101</v>
      </c>
      <c r="H3359" s="76" t="n">
        <v>1917000</v>
      </c>
      <c r="I3359" s="75" t="inlineStr">
        <is>
          <t>6월 업무추진 - (법인카드)</t>
        </is>
      </c>
      <c r="J3359" s="75" t="inlineStr">
        <is>
          <t>V10008</t>
        </is>
      </c>
      <c r="K3359" s="75" t="inlineStr">
        <is>
          <t>(법인카드)</t>
        </is>
      </c>
      <c r="M3359" s="9">
        <f>IF($A3359="","",VALUE($A3359&amp;"")*12+VALUE($B3359&amp;""))</f>
        <v/>
      </c>
      <c r="N3359" s="39">
        <f>IF($A3359="","",IFERROR(INDEX(부서매핑!$C$5:$C$504,MATCH($G3359&amp;"",부서매핑!$A$5:$A$504,0)),"미매핑"))</f>
        <v/>
      </c>
      <c r="O3359" s="9">
        <f>IF($A3359="","",N3359&amp;"|"&amp;$F3359)</f>
        <v/>
      </c>
      <c r="P3359" s="77">
        <f>IF($A3359="",0,$H3359*설정!$C$23)</f>
        <v/>
      </c>
      <c r="Q3359" s="39">
        <f>IF($A3359="","",IF(O3359&lt;&gt;원인분석!$C$9,"",IF(AND(M3359&gt;=원인분석!$C$10,M3359&lt;=원인분석!$C$11),"당기",IF(AND(M3359&gt;=원인분석!$C$12,M3359&lt;=원인분석!$C$13),"비교",""))))</f>
        <v/>
      </c>
      <c r="R3359" s="9">
        <f>IF(Q3359="","",$K3359&amp;"")</f>
        <v/>
      </c>
      <c r="S3359" s="9">
        <f>IF(Q3359="","",IF(MATCH(R3359,$R$5:$R$100000,0)=ROW()-4,ROW(),""))</f>
        <v/>
      </c>
      <c r="T3359" s="9">
        <f>IF(Q3359="당기",ABS(P3359)+ROW()/1000000000,"")</f>
        <v/>
      </c>
      <c r="U3359" s="9">
        <f>IF(Q3359="비교",ABS(P3359)+ROW()/1000000000,"")</f>
        <v/>
      </c>
      <c r="V3359" s="39">
        <f>IF($A3359="","",IF(COUNTIF(변동분석!$E$7:$E$506,O3359)&gt;0,"Y","N"))</f>
        <v/>
      </c>
      <c r="W3359" s="39">
        <f>IF($A3359="","",IFERROR(INDEX(계정매핑!$D$5:$D$504,MATCH($F3359&amp;"",계정매핑!$A$5:$A$504,0)),"미매핑"))</f>
        <v/>
      </c>
      <c r="X3359" s="9">
        <f>IF($A3359="","",$F3359&amp;"")</f>
        <v/>
      </c>
    </row>
    <row r="3360">
      <c r="A3360" s="75" t="n">
        <v>2026</v>
      </c>
      <c r="B3360" s="75" t="n">
        <v>6</v>
      </c>
      <c r="C3360" s="75" t="inlineStr">
        <is>
          <t>5100001016</t>
        </is>
      </c>
      <c r="D3360" s="78" t="n">
        <v>46178</v>
      </c>
      <c r="E3360" s="75" t="inlineStr">
        <is>
          <t>KR</t>
        </is>
      </c>
      <c r="F3360" s="75" t="n">
        <v>62802000</v>
      </c>
      <c r="G3360" s="75" t="n">
        <v>1301</v>
      </c>
      <c r="H3360" s="76" t="n">
        <v>6701000</v>
      </c>
      <c r="I3360" s="75" t="inlineStr">
        <is>
          <t>6월 위탁교육 - V아카데미</t>
        </is>
      </c>
      <c r="J3360" s="75" t="inlineStr">
        <is>
          <t>V10023</t>
        </is>
      </c>
      <c r="K3360" s="75" t="inlineStr">
        <is>
          <t>V아카데미</t>
        </is>
      </c>
      <c r="M3360" s="9">
        <f>IF($A3360="","",VALUE($A3360&amp;"")*12+VALUE($B3360&amp;""))</f>
        <v/>
      </c>
      <c r="N3360" s="39">
        <f>IF($A3360="","",IFERROR(INDEX(부서매핑!$C$5:$C$504,MATCH($G3360&amp;"",부서매핑!$A$5:$A$504,0)),"미매핑"))</f>
        <v/>
      </c>
      <c r="O3360" s="9">
        <f>IF($A3360="","",N3360&amp;"|"&amp;$F3360)</f>
        <v/>
      </c>
      <c r="P3360" s="77">
        <f>IF($A3360="",0,$H3360*설정!$C$23)</f>
        <v/>
      </c>
      <c r="Q3360" s="39">
        <f>IF($A3360="","",IF(O3360&lt;&gt;원인분석!$C$9,"",IF(AND(M3360&gt;=원인분석!$C$10,M3360&lt;=원인분석!$C$11),"당기",IF(AND(M3360&gt;=원인분석!$C$12,M3360&lt;=원인분석!$C$13),"비교",""))))</f>
        <v/>
      </c>
      <c r="R3360" s="9">
        <f>IF(Q3360="","",$K3360&amp;"")</f>
        <v/>
      </c>
      <c r="S3360" s="9">
        <f>IF(Q3360="","",IF(MATCH(R3360,$R$5:$R$100000,0)=ROW()-4,ROW(),""))</f>
        <v/>
      </c>
      <c r="T3360" s="9">
        <f>IF(Q3360="당기",ABS(P3360)+ROW()/1000000000,"")</f>
        <v/>
      </c>
      <c r="U3360" s="9">
        <f>IF(Q3360="비교",ABS(P3360)+ROW()/1000000000,"")</f>
        <v/>
      </c>
      <c r="V3360" s="39">
        <f>IF($A3360="","",IF(COUNTIF(변동분석!$E$7:$E$506,O3360)&gt;0,"Y","N"))</f>
        <v/>
      </c>
      <c r="W3360" s="39">
        <f>IF($A3360="","",IFERROR(INDEX(계정매핑!$D$5:$D$504,MATCH($F3360&amp;"",계정매핑!$A$5:$A$504,0)),"미매핑"))</f>
        <v/>
      </c>
      <c r="X3360" s="9">
        <f>IF($A3360="","",$F3360&amp;"")</f>
        <v/>
      </c>
    </row>
    <row r="3361">
      <c r="A3361" s="75" t="n">
        <v>2026</v>
      </c>
      <c r="B3361" s="75" t="n">
        <v>6</v>
      </c>
      <c r="C3361" s="75" t="inlineStr">
        <is>
          <t>5100001017</t>
        </is>
      </c>
      <c r="D3361" s="78" t="n">
        <v>46179</v>
      </c>
      <c r="E3361" s="75" t="inlineStr">
        <is>
          <t>KR</t>
        </is>
      </c>
      <c r="F3361" s="75" t="n">
        <v>62101000</v>
      </c>
      <c r="G3361" s="75" t="n">
        <v>1301</v>
      </c>
      <c r="H3361" s="76" t="n">
        <v>537000</v>
      </c>
      <c r="I3361" s="75" t="inlineStr">
        <is>
          <t>6월 국내출장 - L여행사</t>
        </is>
      </c>
      <c r="J3361" s="75" t="inlineStr">
        <is>
          <t>V10014</t>
        </is>
      </c>
      <c r="K3361" s="75" t="inlineStr">
        <is>
          <t>L여행사</t>
        </is>
      </c>
      <c r="M3361" s="9">
        <f>IF($A3361="","",VALUE($A3361&amp;"")*12+VALUE($B3361&amp;""))</f>
        <v/>
      </c>
      <c r="N3361" s="39">
        <f>IF($A3361="","",IFERROR(INDEX(부서매핑!$C$5:$C$504,MATCH($G3361&amp;"",부서매핑!$A$5:$A$504,0)),"미매핑"))</f>
        <v/>
      </c>
      <c r="O3361" s="9">
        <f>IF($A3361="","",N3361&amp;"|"&amp;$F3361)</f>
        <v/>
      </c>
      <c r="P3361" s="77">
        <f>IF($A3361="",0,$H3361*설정!$C$23)</f>
        <v/>
      </c>
      <c r="Q3361" s="39">
        <f>IF($A3361="","",IF(O3361&lt;&gt;원인분석!$C$9,"",IF(AND(M3361&gt;=원인분석!$C$10,M3361&lt;=원인분석!$C$11),"당기",IF(AND(M3361&gt;=원인분석!$C$12,M3361&lt;=원인분석!$C$13),"비교",""))))</f>
        <v/>
      </c>
      <c r="R3361" s="9">
        <f>IF(Q3361="","",$K3361&amp;"")</f>
        <v/>
      </c>
      <c r="S3361" s="9">
        <f>IF(Q3361="","",IF(MATCH(R3361,$R$5:$R$100000,0)=ROW()-4,ROW(),""))</f>
        <v/>
      </c>
      <c r="T3361" s="9">
        <f>IF(Q3361="당기",ABS(P3361)+ROW()/1000000000,"")</f>
        <v/>
      </c>
      <c r="U3361" s="9">
        <f>IF(Q3361="비교",ABS(P3361)+ROW()/1000000000,"")</f>
        <v/>
      </c>
      <c r="V3361" s="39">
        <f>IF($A3361="","",IF(COUNTIF(변동분석!$E$7:$E$506,O3361)&gt;0,"Y","N"))</f>
        <v/>
      </c>
      <c r="W3361" s="39">
        <f>IF($A3361="","",IFERROR(INDEX(계정매핑!$D$5:$D$504,MATCH($F3361&amp;"",계정매핑!$A$5:$A$504,0)),"미매핑"))</f>
        <v/>
      </c>
      <c r="X3361" s="9">
        <f>IF($A3361="","",$F3361&amp;"")</f>
        <v/>
      </c>
    </row>
    <row r="3362">
      <c r="A3362" s="75" t="n">
        <v>2026</v>
      </c>
      <c r="B3362" s="75" t="n">
        <v>6</v>
      </c>
      <c r="C3362" s="75" t="inlineStr">
        <is>
          <t>5100001018</t>
        </is>
      </c>
      <c r="D3362" s="78" t="n">
        <v>46179</v>
      </c>
      <c r="E3362" s="75" t="inlineStr">
        <is>
          <t>KR</t>
        </is>
      </c>
      <c r="F3362" s="75" t="n">
        <v>62102000</v>
      </c>
      <c r="G3362" s="75" t="n">
        <v>1401</v>
      </c>
      <c r="H3362" s="76" t="n">
        <v>103000</v>
      </c>
      <c r="I3362" s="75" t="inlineStr">
        <is>
          <t>6월 해외출장 - M항공</t>
        </is>
      </c>
      <c r="J3362" s="75" t="inlineStr">
        <is>
          <t>V10001</t>
        </is>
      </c>
      <c r="K3362" s="75" t="inlineStr">
        <is>
          <t>M항공</t>
        </is>
      </c>
      <c r="M3362" s="9">
        <f>IF($A3362="","",VALUE($A3362&amp;"")*12+VALUE($B3362&amp;""))</f>
        <v/>
      </c>
      <c r="N3362" s="39">
        <f>IF($A3362="","",IFERROR(INDEX(부서매핑!$C$5:$C$504,MATCH($G3362&amp;"",부서매핑!$A$5:$A$504,0)),"미매핑"))</f>
        <v/>
      </c>
      <c r="O3362" s="9">
        <f>IF($A3362="","",N3362&amp;"|"&amp;$F3362)</f>
        <v/>
      </c>
      <c r="P3362" s="77">
        <f>IF($A3362="",0,$H3362*설정!$C$23)</f>
        <v/>
      </c>
      <c r="Q3362" s="39">
        <f>IF($A3362="","",IF(O3362&lt;&gt;원인분석!$C$9,"",IF(AND(M3362&gt;=원인분석!$C$10,M3362&lt;=원인분석!$C$11),"당기",IF(AND(M3362&gt;=원인분석!$C$12,M3362&lt;=원인분석!$C$13),"비교",""))))</f>
        <v/>
      </c>
      <c r="R3362" s="9">
        <f>IF(Q3362="","",$K3362&amp;"")</f>
        <v/>
      </c>
      <c r="S3362" s="9">
        <f>IF(Q3362="","",IF(MATCH(R3362,$R$5:$R$100000,0)=ROW()-4,ROW(),""))</f>
        <v/>
      </c>
      <c r="T3362" s="9">
        <f>IF(Q3362="당기",ABS(P3362)+ROW()/1000000000,"")</f>
        <v/>
      </c>
      <c r="U3362" s="9">
        <f>IF(Q3362="비교",ABS(P3362)+ROW()/1000000000,"")</f>
        <v/>
      </c>
      <c r="V3362" s="39">
        <f>IF($A3362="","",IF(COUNTIF(변동분석!$E$7:$E$506,O3362)&gt;0,"Y","N"))</f>
        <v/>
      </c>
      <c r="W3362" s="39">
        <f>IF($A3362="","",IFERROR(INDEX(계정매핑!$D$5:$D$504,MATCH($F3362&amp;"",계정매핑!$A$5:$A$504,0)),"미매핑"))</f>
        <v/>
      </c>
      <c r="X3362" s="9">
        <f>IF($A3362="","",$F3362&amp;"")</f>
        <v/>
      </c>
    </row>
    <row r="3363">
      <c r="A3363" s="75" t="n">
        <v>2026</v>
      </c>
      <c r="B3363" s="75" t="n">
        <v>6</v>
      </c>
      <c r="C3363" s="75" t="inlineStr">
        <is>
          <t>5100001019</t>
        </is>
      </c>
      <c r="D3363" s="78" t="n">
        <v>46179</v>
      </c>
      <c r="E3363" s="75" t="inlineStr">
        <is>
          <t>KR</t>
        </is>
      </c>
      <c r="F3363" s="75" t="n">
        <v>62201000</v>
      </c>
      <c r="G3363" s="75" t="n">
        <v>1401</v>
      </c>
      <c r="H3363" s="76" t="n">
        <v>148000</v>
      </c>
      <c r="I3363" s="75" t="inlineStr">
        <is>
          <t>6월 통신요금 - P통신</t>
        </is>
      </c>
      <c r="J3363" s="75" t="inlineStr">
        <is>
          <t>V10011</t>
        </is>
      </c>
      <c r="K3363" s="75" t="inlineStr">
        <is>
          <t>P통신</t>
        </is>
      </c>
      <c r="M3363" s="9">
        <f>IF($A3363="","",VALUE($A3363&amp;"")*12+VALUE($B3363&amp;""))</f>
        <v/>
      </c>
      <c r="N3363" s="39">
        <f>IF($A3363="","",IFERROR(INDEX(부서매핑!$C$5:$C$504,MATCH($G3363&amp;"",부서매핑!$A$5:$A$504,0)),"미매핑"))</f>
        <v/>
      </c>
      <c r="O3363" s="9">
        <f>IF($A3363="","",N3363&amp;"|"&amp;$F3363)</f>
        <v/>
      </c>
      <c r="P3363" s="77">
        <f>IF($A3363="",0,$H3363*설정!$C$23)</f>
        <v/>
      </c>
      <c r="Q3363" s="39">
        <f>IF($A3363="","",IF(O3363&lt;&gt;원인분석!$C$9,"",IF(AND(M3363&gt;=원인분석!$C$10,M3363&lt;=원인분석!$C$11),"당기",IF(AND(M3363&gt;=원인분석!$C$12,M3363&lt;=원인분석!$C$13),"비교",""))))</f>
        <v/>
      </c>
      <c r="R3363" s="9">
        <f>IF(Q3363="","",$K3363&amp;"")</f>
        <v/>
      </c>
      <c r="S3363" s="9">
        <f>IF(Q3363="","",IF(MATCH(R3363,$R$5:$R$100000,0)=ROW()-4,ROW(),""))</f>
        <v/>
      </c>
      <c r="T3363" s="9">
        <f>IF(Q3363="당기",ABS(P3363)+ROW()/1000000000,"")</f>
        <v/>
      </c>
      <c r="U3363" s="9">
        <f>IF(Q3363="비교",ABS(P3363)+ROW()/1000000000,"")</f>
        <v/>
      </c>
      <c r="V3363" s="39">
        <f>IF($A3363="","",IF(COUNTIF(변동분석!$E$7:$E$506,O3363)&gt;0,"Y","N"))</f>
        <v/>
      </c>
      <c r="W3363" s="39">
        <f>IF($A3363="","",IFERROR(INDEX(계정매핑!$D$5:$D$504,MATCH($F3363&amp;"",계정매핑!$A$5:$A$504,0)),"미매핑"))</f>
        <v/>
      </c>
      <c r="X3363" s="9">
        <f>IF($A3363="","",$F3363&amp;"")</f>
        <v/>
      </c>
    </row>
    <row r="3364">
      <c r="A3364" s="75" t="n">
        <v>2026</v>
      </c>
      <c r="B3364" s="75" t="n">
        <v>6</v>
      </c>
      <c r="C3364" s="75" t="inlineStr">
        <is>
          <t>5100001020</t>
        </is>
      </c>
      <c r="D3364" s="78" t="n">
        <v>46179</v>
      </c>
      <c r="E3364" s="75" t="inlineStr">
        <is>
          <t>KR</t>
        </is>
      </c>
      <c r="F3364" s="75" t="n">
        <v>62601000</v>
      </c>
      <c r="G3364" s="75" t="n">
        <v>1301</v>
      </c>
      <c r="H3364" s="76" t="n">
        <v>786000</v>
      </c>
      <c r="I3364" s="75" t="inlineStr">
        <is>
          <t>6월 업무추진 - (법인카드)</t>
        </is>
      </c>
      <c r="J3364" s="75" t="inlineStr">
        <is>
          <t>V10008</t>
        </is>
      </c>
      <c r="K3364" s="75" t="inlineStr">
        <is>
          <t>(법인카드)</t>
        </is>
      </c>
      <c r="M3364" s="9">
        <f>IF($A3364="","",VALUE($A3364&amp;"")*12+VALUE($B3364&amp;""))</f>
        <v/>
      </c>
      <c r="N3364" s="39">
        <f>IF($A3364="","",IFERROR(INDEX(부서매핑!$C$5:$C$504,MATCH($G3364&amp;"",부서매핑!$A$5:$A$504,0)),"미매핑"))</f>
        <v/>
      </c>
      <c r="O3364" s="9">
        <f>IF($A3364="","",N3364&amp;"|"&amp;$F3364)</f>
        <v/>
      </c>
      <c r="P3364" s="77">
        <f>IF($A3364="",0,$H3364*설정!$C$23)</f>
        <v/>
      </c>
      <c r="Q3364" s="39">
        <f>IF($A3364="","",IF(O3364&lt;&gt;원인분석!$C$9,"",IF(AND(M3364&gt;=원인분석!$C$10,M3364&lt;=원인분석!$C$11),"당기",IF(AND(M3364&gt;=원인분석!$C$12,M3364&lt;=원인분석!$C$13),"비교",""))))</f>
        <v/>
      </c>
      <c r="R3364" s="9">
        <f>IF(Q3364="","",$K3364&amp;"")</f>
        <v/>
      </c>
      <c r="S3364" s="9">
        <f>IF(Q3364="","",IF(MATCH(R3364,$R$5:$R$100000,0)=ROW()-4,ROW(),""))</f>
        <v/>
      </c>
      <c r="T3364" s="9">
        <f>IF(Q3364="당기",ABS(P3364)+ROW()/1000000000,"")</f>
        <v/>
      </c>
      <c r="U3364" s="9">
        <f>IF(Q3364="비교",ABS(P3364)+ROW()/1000000000,"")</f>
        <v/>
      </c>
      <c r="V3364" s="39">
        <f>IF($A3364="","",IF(COUNTIF(변동분석!$E$7:$E$506,O3364)&gt;0,"Y","N"))</f>
        <v/>
      </c>
      <c r="W3364" s="39">
        <f>IF($A3364="","",IFERROR(INDEX(계정매핑!$D$5:$D$504,MATCH($F3364&amp;"",계정매핑!$A$5:$A$504,0)),"미매핑"))</f>
        <v/>
      </c>
      <c r="X3364" s="9">
        <f>IF($A3364="","",$F3364&amp;"")</f>
        <v/>
      </c>
    </row>
    <row r="3365">
      <c r="A3365" s="75" t="n">
        <v>2026</v>
      </c>
      <c r="B3365" s="75" t="n">
        <v>6</v>
      </c>
      <c r="C3365" s="75" t="inlineStr">
        <is>
          <t>5100001021</t>
        </is>
      </c>
      <c r="D3365" s="78" t="n">
        <v>46179</v>
      </c>
      <c r="E3365" s="75" t="inlineStr">
        <is>
          <t>KR</t>
        </is>
      </c>
      <c r="F3365" s="75" t="n">
        <v>62901000</v>
      </c>
      <c r="G3365" s="75" t="n">
        <v>1201</v>
      </c>
      <c r="H3365" s="76" t="n">
        <v>5380000</v>
      </c>
      <c r="I3365" s="75" t="inlineStr">
        <is>
          <t>6월 자문 수수료 - W컨설팅</t>
        </is>
      </c>
      <c r="J3365" s="75" t="inlineStr">
        <is>
          <t>V10009</t>
        </is>
      </c>
      <c r="K3365" s="75" t="inlineStr">
        <is>
          <t>W컨설팅</t>
        </is>
      </c>
      <c r="M3365" s="9">
        <f>IF($A3365="","",VALUE($A3365&amp;"")*12+VALUE($B3365&amp;""))</f>
        <v/>
      </c>
      <c r="N3365" s="39">
        <f>IF($A3365="","",IFERROR(INDEX(부서매핑!$C$5:$C$504,MATCH($G3365&amp;"",부서매핑!$A$5:$A$504,0)),"미매핑"))</f>
        <v/>
      </c>
      <c r="O3365" s="9">
        <f>IF($A3365="","",N3365&amp;"|"&amp;$F3365)</f>
        <v/>
      </c>
      <c r="P3365" s="77">
        <f>IF($A3365="",0,$H3365*설정!$C$23)</f>
        <v/>
      </c>
      <c r="Q3365" s="39">
        <f>IF($A3365="","",IF(O3365&lt;&gt;원인분석!$C$9,"",IF(AND(M3365&gt;=원인분석!$C$10,M3365&lt;=원인분석!$C$11),"당기",IF(AND(M3365&gt;=원인분석!$C$12,M3365&lt;=원인분석!$C$13),"비교",""))))</f>
        <v/>
      </c>
      <c r="R3365" s="9">
        <f>IF(Q3365="","",$K3365&amp;"")</f>
        <v/>
      </c>
      <c r="S3365" s="9">
        <f>IF(Q3365="","",IF(MATCH(R3365,$R$5:$R$100000,0)=ROW()-4,ROW(),""))</f>
        <v/>
      </c>
      <c r="T3365" s="9">
        <f>IF(Q3365="당기",ABS(P3365)+ROW()/1000000000,"")</f>
        <v/>
      </c>
      <c r="U3365" s="9">
        <f>IF(Q3365="비교",ABS(P3365)+ROW()/1000000000,"")</f>
        <v/>
      </c>
      <c r="V3365" s="39">
        <f>IF($A3365="","",IF(COUNTIF(변동분석!$E$7:$E$506,O3365)&gt;0,"Y","N"))</f>
        <v/>
      </c>
      <c r="W3365" s="39">
        <f>IF($A3365="","",IFERROR(INDEX(계정매핑!$D$5:$D$504,MATCH($F3365&amp;"",계정매핑!$A$5:$A$504,0)),"미매핑"))</f>
        <v/>
      </c>
      <c r="X3365" s="9">
        <f>IF($A3365="","",$F3365&amp;"")</f>
        <v/>
      </c>
    </row>
    <row r="3366">
      <c r="A3366" s="75" t="n">
        <v>2026</v>
      </c>
      <c r="B3366" s="75" t="n">
        <v>6</v>
      </c>
      <c r="C3366" s="75" t="inlineStr">
        <is>
          <t>5100001022</t>
        </is>
      </c>
      <c r="D3366" s="78" t="n">
        <v>46179</v>
      </c>
      <c r="E3366" s="75" t="inlineStr">
        <is>
          <t>KR</t>
        </is>
      </c>
      <c r="F3366" s="75" t="n">
        <v>62902000</v>
      </c>
      <c r="G3366" s="75" t="n">
        <v>1801</v>
      </c>
      <c r="H3366" s="76" t="n">
        <v>1825000</v>
      </c>
      <c r="I3366" s="75" t="inlineStr">
        <is>
          <t>6월 콜 위탁 수수료(건별)</t>
        </is>
      </c>
      <c r="J3366" s="75" t="inlineStr">
        <is>
          <t>V10013</t>
        </is>
      </c>
      <c r="K3366" s="75" t="inlineStr">
        <is>
          <t>J콜센터</t>
        </is>
      </c>
      <c r="M3366" s="9">
        <f>IF($A3366="","",VALUE($A3366&amp;"")*12+VALUE($B3366&amp;""))</f>
        <v/>
      </c>
      <c r="N3366" s="39">
        <f>IF($A3366="","",IFERROR(INDEX(부서매핑!$C$5:$C$504,MATCH($G3366&amp;"",부서매핑!$A$5:$A$504,0)),"미매핑"))</f>
        <v/>
      </c>
      <c r="O3366" s="9">
        <f>IF($A3366="","",N3366&amp;"|"&amp;$F3366)</f>
        <v/>
      </c>
      <c r="P3366" s="77">
        <f>IF($A3366="",0,$H3366*설정!$C$23)</f>
        <v/>
      </c>
      <c r="Q3366" s="39">
        <f>IF($A3366="","",IF(O3366&lt;&gt;원인분석!$C$9,"",IF(AND(M3366&gt;=원인분석!$C$10,M3366&lt;=원인분석!$C$11),"당기",IF(AND(M3366&gt;=원인분석!$C$12,M3366&lt;=원인분석!$C$13),"비교",""))))</f>
        <v/>
      </c>
      <c r="R3366" s="9">
        <f>IF(Q3366="","",$K3366&amp;"")</f>
        <v/>
      </c>
      <c r="S3366" s="9">
        <f>IF(Q3366="","",IF(MATCH(R3366,$R$5:$R$100000,0)=ROW()-4,ROW(),""))</f>
        <v/>
      </c>
      <c r="T3366" s="9">
        <f>IF(Q3366="당기",ABS(P3366)+ROW()/1000000000,"")</f>
        <v/>
      </c>
      <c r="U3366" s="9">
        <f>IF(Q3366="비교",ABS(P3366)+ROW()/1000000000,"")</f>
        <v/>
      </c>
      <c r="V3366" s="39">
        <f>IF($A3366="","",IF(COUNTIF(변동분석!$E$7:$E$506,O3366)&gt;0,"Y","N"))</f>
        <v/>
      </c>
      <c r="W3366" s="39">
        <f>IF($A3366="","",IFERROR(INDEX(계정매핑!$D$5:$D$504,MATCH($F3366&amp;"",계정매핑!$A$5:$A$504,0)),"미매핑"))</f>
        <v/>
      </c>
      <c r="X3366" s="9">
        <f>IF($A3366="","",$F3366&amp;"")</f>
        <v/>
      </c>
    </row>
    <row r="3367">
      <c r="A3367" s="75" t="n">
        <v>2026</v>
      </c>
      <c r="B3367" s="75" t="n">
        <v>6</v>
      </c>
      <c r="C3367" s="75" t="inlineStr">
        <is>
          <t>5100001023</t>
        </is>
      </c>
      <c r="D3367" s="78" t="n">
        <v>46180</v>
      </c>
      <c r="E3367" s="75" t="inlineStr">
        <is>
          <t>KR</t>
        </is>
      </c>
      <c r="F3367" s="75" t="n">
        <v>62102000</v>
      </c>
      <c r="G3367" s="75" t="n">
        <v>1401</v>
      </c>
      <c r="H3367" s="76" t="n">
        <v>105000</v>
      </c>
      <c r="I3367" s="75" t="inlineStr">
        <is>
          <t>6월 해외출장 - N호텔</t>
        </is>
      </c>
      <c r="J3367" s="75" t="inlineStr">
        <is>
          <t>V10007</t>
        </is>
      </c>
      <c r="K3367" s="75" t="inlineStr">
        <is>
          <t>N호텔</t>
        </is>
      </c>
      <c r="M3367" s="9">
        <f>IF($A3367="","",VALUE($A3367&amp;"")*12+VALUE($B3367&amp;""))</f>
        <v/>
      </c>
      <c r="N3367" s="39">
        <f>IF($A3367="","",IFERROR(INDEX(부서매핑!$C$5:$C$504,MATCH($G3367&amp;"",부서매핑!$A$5:$A$504,0)),"미매핑"))</f>
        <v/>
      </c>
      <c r="O3367" s="9">
        <f>IF($A3367="","",N3367&amp;"|"&amp;$F3367)</f>
        <v/>
      </c>
      <c r="P3367" s="77">
        <f>IF($A3367="",0,$H3367*설정!$C$23)</f>
        <v/>
      </c>
      <c r="Q3367" s="39">
        <f>IF($A3367="","",IF(O3367&lt;&gt;원인분석!$C$9,"",IF(AND(M3367&gt;=원인분석!$C$10,M3367&lt;=원인분석!$C$11),"당기",IF(AND(M3367&gt;=원인분석!$C$12,M3367&lt;=원인분석!$C$13),"비교",""))))</f>
        <v/>
      </c>
      <c r="R3367" s="9">
        <f>IF(Q3367="","",$K3367&amp;"")</f>
        <v/>
      </c>
      <c r="S3367" s="9">
        <f>IF(Q3367="","",IF(MATCH(R3367,$R$5:$R$100000,0)=ROW()-4,ROW(),""))</f>
        <v/>
      </c>
      <c r="T3367" s="9">
        <f>IF(Q3367="당기",ABS(P3367)+ROW()/1000000000,"")</f>
        <v/>
      </c>
      <c r="U3367" s="9">
        <f>IF(Q3367="비교",ABS(P3367)+ROW()/1000000000,"")</f>
        <v/>
      </c>
      <c r="V3367" s="39">
        <f>IF($A3367="","",IF(COUNTIF(변동분석!$E$7:$E$506,O3367)&gt;0,"Y","N"))</f>
        <v/>
      </c>
      <c r="W3367" s="39">
        <f>IF($A3367="","",IFERROR(INDEX(계정매핑!$D$5:$D$504,MATCH($F3367&amp;"",계정매핑!$A$5:$A$504,0)),"미매핑"))</f>
        <v/>
      </c>
      <c r="X3367" s="9">
        <f>IF($A3367="","",$F3367&amp;"")</f>
        <v/>
      </c>
    </row>
    <row r="3368">
      <c r="A3368" s="75" t="n">
        <v>2026</v>
      </c>
      <c r="B3368" s="75" t="n">
        <v>6</v>
      </c>
      <c r="C3368" s="75" t="inlineStr">
        <is>
          <t>5100001024</t>
        </is>
      </c>
      <c r="D3368" s="78" t="n">
        <v>46180</v>
      </c>
      <c r="E3368" s="75" t="inlineStr">
        <is>
          <t>KR</t>
        </is>
      </c>
      <c r="F3368" s="75" t="n">
        <v>62301000</v>
      </c>
      <c r="G3368" s="75" t="n">
        <v>1401</v>
      </c>
      <c r="H3368" s="76" t="n">
        <v>212000</v>
      </c>
      <c r="I3368" s="75" t="inlineStr">
        <is>
          <t>6월 소모품 구입 - R문구</t>
        </is>
      </c>
      <c r="J3368" s="75" t="inlineStr">
        <is>
          <t>V10018</t>
        </is>
      </c>
      <c r="K3368" s="75" t="inlineStr">
        <is>
          <t>R문구</t>
        </is>
      </c>
      <c r="M3368" s="9">
        <f>IF($A3368="","",VALUE($A3368&amp;"")*12+VALUE($B3368&amp;""))</f>
        <v/>
      </c>
      <c r="N3368" s="39">
        <f>IF($A3368="","",IFERROR(INDEX(부서매핑!$C$5:$C$504,MATCH($G3368&amp;"",부서매핑!$A$5:$A$504,0)),"미매핑"))</f>
        <v/>
      </c>
      <c r="O3368" s="9">
        <f>IF($A3368="","",N3368&amp;"|"&amp;$F3368)</f>
        <v/>
      </c>
      <c r="P3368" s="77">
        <f>IF($A3368="",0,$H3368*설정!$C$23)</f>
        <v/>
      </c>
      <c r="Q3368" s="39">
        <f>IF($A3368="","",IF(O3368&lt;&gt;원인분석!$C$9,"",IF(AND(M3368&gt;=원인분석!$C$10,M3368&lt;=원인분석!$C$11),"당기",IF(AND(M3368&gt;=원인분석!$C$12,M3368&lt;=원인분석!$C$13),"비교",""))))</f>
        <v/>
      </c>
      <c r="R3368" s="9">
        <f>IF(Q3368="","",$K3368&amp;"")</f>
        <v/>
      </c>
      <c r="S3368" s="9">
        <f>IF(Q3368="","",IF(MATCH(R3368,$R$5:$R$100000,0)=ROW()-4,ROW(),""))</f>
        <v/>
      </c>
      <c r="T3368" s="9">
        <f>IF(Q3368="당기",ABS(P3368)+ROW()/1000000000,"")</f>
        <v/>
      </c>
      <c r="U3368" s="9">
        <f>IF(Q3368="비교",ABS(P3368)+ROW()/1000000000,"")</f>
        <v/>
      </c>
      <c r="V3368" s="39">
        <f>IF($A3368="","",IF(COUNTIF(변동분석!$E$7:$E$506,O3368)&gt;0,"Y","N"))</f>
        <v/>
      </c>
      <c r="W3368" s="39">
        <f>IF($A3368="","",IFERROR(INDEX(계정매핑!$D$5:$D$504,MATCH($F3368&amp;"",계정매핑!$A$5:$A$504,0)),"미매핑"))</f>
        <v/>
      </c>
      <c r="X3368" s="9">
        <f>IF($A3368="","",$F3368&amp;"")</f>
        <v/>
      </c>
    </row>
    <row r="3369">
      <c r="A3369" s="75" t="n">
        <v>2026</v>
      </c>
      <c r="B3369" s="75" t="n">
        <v>6</v>
      </c>
      <c r="C3369" s="75" t="inlineStr">
        <is>
          <t>5100001025</t>
        </is>
      </c>
      <c r="D3369" s="78" t="n">
        <v>46180</v>
      </c>
      <c r="E3369" s="75" t="inlineStr">
        <is>
          <t>KR</t>
        </is>
      </c>
      <c r="F3369" s="75" t="n">
        <v>62501000</v>
      </c>
      <c r="G3369" s="75" t="n">
        <v>1301</v>
      </c>
      <c r="H3369" s="76" t="n">
        <v>212000</v>
      </c>
      <c r="I3369" s="75" t="inlineStr">
        <is>
          <t>6월 회의 다과 - T케이터링</t>
        </is>
      </c>
      <c r="J3369" s="75" t="inlineStr">
        <is>
          <t>V10005</t>
        </is>
      </c>
      <c r="K3369" s="75" t="inlineStr">
        <is>
          <t>T케이터링</t>
        </is>
      </c>
      <c r="M3369" s="9">
        <f>IF($A3369="","",VALUE($A3369&amp;"")*12+VALUE($B3369&amp;""))</f>
        <v/>
      </c>
      <c r="N3369" s="39">
        <f>IF($A3369="","",IFERROR(INDEX(부서매핑!$C$5:$C$504,MATCH($G3369&amp;"",부서매핑!$A$5:$A$504,0)),"미매핑"))</f>
        <v/>
      </c>
      <c r="O3369" s="9">
        <f>IF($A3369="","",N3369&amp;"|"&amp;$F3369)</f>
        <v/>
      </c>
      <c r="P3369" s="77">
        <f>IF($A3369="",0,$H3369*설정!$C$23)</f>
        <v/>
      </c>
      <c r="Q3369" s="39">
        <f>IF($A3369="","",IF(O3369&lt;&gt;원인분석!$C$9,"",IF(AND(M3369&gt;=원인분석!$C$10,M3369&lt;=원인분석!$C$11),"당기",IF(AND(M3369&gt;=원인분석!$C$12,M3369&lt;=원인분석!$C$13),"비교",""))))</f>
        <v/>
      </c>
      <c r="R3369" s="9">
        <f>IF(Q3369="","",$K3369&amp;"")</f>
        <v/>
      </c>
      <c r="S3369" s="9">
        <f>IF(Q3369="","",IF(MATCH(R3369,$R$5:$R$100000,0)=ROW()-4,ROW(),""))</f>
        <v/>
      </c>
      <c r="T3369" s="9">
        <f>IF(Q3369="당기",ABS(P3369)+ROW()/1000000000,"")</f>
        <v/>
      </c>
      <c r="U3369" s="9">
        <f>IF(Q3369="비교",ABS(P3369)+ROW()/1000000000,"")</f>
        <v/>
      </c>
      <c r="V3369" s="39">
        <f>IF($A3369="","",IF(COUNTIF(변동분석!$E$7:$E$506,O3369)&gt;0,"Y","N"))</f>
        <v/>
      </c>
      <c r="W3369" s="39">
        <f>IF($A3369="","",IFERROR(INDEX(계정매핑!$D$5:$D$504,MATCH($F3369&amp;"",계정매핑!$A$5:$A$504,0)),"미매핑"))</f>
        <v/>
      </c>
      <c r="X3369" s="9">
        <f>IF($A3369="","",$F3369&amp;"")</f>
        <v/>
      </c>
    </row>
    <row r="3370">
      <c r="A3370" s="75" t="n">
        <v>2026</v>
      </c>
      <c r="B3370" s="75" t="n">
        <v>6</v>
      </c>
      <c r="C3370" s="75" t="inlineStr">
        <is>
          <t>5100001026</t>
        </is>
      </c>
      <c r="D3370" s="78" t="n">
        <v>46180</v>
      </c>
      <c r="E3370" s="75" t="inlineStr">
        <is>
          <t>KR</t>
        </is>
      </c>
      <c r="F3370" s="75" t="n">
        <v>62902000</v>
      </c>
      <c r="G3370" s="75" t="n">
        <v>1201</v>
      </c>
      <c r="H3370" s="76" t="n">
        <v>4977000</v>
      </c>
      <c r="I3370" s="75" t="inlineStr">
        <is>
          <t>6월 업무 위탁 수수료 - X서비스</t>
        </is>
      </c>
      <c r="J3370" s="75" t="inlineStr">
        <is>
          <t>V10016</t>
        </is>
      </c>
      <c r="K3370" s="75" t="inlineStr">
        <is>
          <t>X서비스</t>
        </is>
      </c>
      <c r="M3370" s="9">
        <f>IF($A3370="","",VALUE($A3370&amp;"")*12+VALUE($B3370&amp;""))</f>
        <v/>
      </c>
      <c r="N3370" s="39">
        <f>IF($A3370="","",IFERROR(INDEX(부서매핑!$C$5:$C$504,MATCH($G3370&amp;"",부서매핑!$A$5:$A$504,0)),"미매핑"))</f>
        <v/>
      </c>
      <c r="O3370" s="9">
        <f>IF($A3370="","",N3370&amp;"|"&amp;$F3370)</f>
        <v/>
      </c>
      <c r="P3370" s="77">
        <f>IF($A3370="",0,$H3370*설정!$C$23)</f>
        <v/>
      </c>
      <c r="Q3370" s="39">
        <f>IF($A3370="","",IF(O3370&lt;&gt;원인분석!$C$9,"",IF(AND(M3370&gt;=원인분석!$C$10,M3370&lt;=원인분석!$C$11),"당기",IF(AND(M3370&gt;=원인분석!$C$12,M3370&lt;=원인분석!$C$13),"비교",""))))</f>
        <v/>
      </c>
      <c r="R3370" s="9">
        <f>IF(Q3370="","",$K3370&amp;"")</f>
        <v/>
      </c>
      <c r="S3370" s="9">
        <f>IF(Q3370="","",IF(MATCH(R3370,$R$5:$R$100000,0)=ROW()-4,ROW(),""))</f>
        <v/>
      </c>
      <c r="T3370" s="9">
        <f>IF(Q3370="당기",ABS(P3370)+ROW()/1000000000,"")</f>
        <v/>
      </c>
      <c r="U3370" s="9">
        <f>IF(Q3370="비교",ABS(P3370)+ROW()/1000000000,"")</f>
        <v/>
      </c>
      <c r="V3370" s="39">
        <f>IF($A3370="","",IF(COUNTIF(변동분석!$E$7:$E$506,O3370)&gt;0,"Y","N"))</f>
        <v/>
      </c>
      <c r="W3370" s="39">
        <f>IF($A3370="","",IFERROR(INDEX(계정매핑!$D$5:$D$504,MATCH($F3370&amp;"",계정매핑!$A$5:$A$504,0)),"미매핑"))</f>
        <v/>
      </c>
      <c r="X3370" s="9">
        <f>IF($A3370="","",$F3370&amp;"")</f>
        <v/>
      </c>
    </row>
    <row r="3371">
      <c r="A3371" s="75" t="n">
        <v>2026</v>
      </c>
      <c r="B3371" s="75" t="n">
        <v>6</v>
      </c>
      <c r="C3371" s="75" t="inlineStr">
        <is>
          <t>5100001027</t>
        </is>
      </c>
      <c r="D3371" s="78" t="n">
        <v>46181</v>
      </c>
      <c r="E3371" s="75" t="inlineStr">
        <is>
          <t>KR</t>
        </is>
      </c>
      <c r="F3371" s="75" t="n">
        <v>62101000</v>
      </c>
      <c r="G3371" s="75" t="n">
        <v>1101</v>
      </c>
      <c r="H3371" s="76" t="n">
        <v>398000</v>
      </c>
      <c r="I3371" s="75" t="inlineStr">
        <is>
          <t>6월 국내출장 - (법인카드)</t>
        </is>
      </c>
      <c r="J3371" s="75" t="inlineStr">
        <is>
          <t>V10008</t>
        </is>
      </c>
      <c r="K3371" s="75" t="inlineStr">
        <is>
          <t>(법인카드)</t>
        </is>
      </c>
      <c r="M3371" s="9">
        <f>IF($A3371="","",VALUE($A3371&amp;"")*12+VALUE($B3371&amp;""))</f>
        <v/>
      </c>
      <c r="N3371" s="39">
        <f>IF($A3371="","",IFERROR(INDEX(부서매핑!$C$5:$C$504,MATCH($G3371&amp;"",부서매핑!$A$5:$A$504,0)),"미매핑"))</f>
        <v/>
      </c>
      <c r="O3371" s="9">
        <f>IF($A3371="","",N3371&amp;"|"&amp;$F3371)</f>
        <v/>
      </c>
      <c r="P3371" s="77">
        <f>IF($A3371="",0,$H3371*설정!$C$23)</f>
        <v/>
      </c>
      <c r="Q3371" s="39">
        <f>IF($A3371="","",IF(O3371&lt;&gt;원인분석!$C$9,"",IF(AND(M3371&gt;=원인분석!$C$10,M3371&lt;=원인분석!$C$11),"당기",IF(AND(M3371&gt;=원인분석!$C$12,M3371&lt;=원인분석!$C$13),"비교",""))))</f>
        <v/>
      </c>
      <c r="R3371" s="9">
        <f>IF(Q3371="","",$K3371&amp;"")</f>
        <v/>
      </c>
      <c r="S3371" s="9">
        <f>IF(Q3371="","",IF(MATCH(R3371,$R$5:$R$100000,0)=ROW()-4,ROW(),""))</f>
        <v/>
      </c>
      <c r="T3371" s="9">
        <f>IF(Q3371="당기",ABS(P3371)+ROW()/1000000000,"")</f>
        <v/>
      </c>
      <c r="U3371" s="9">
        <f>IF(Q3371="비교",ABS(P3371)+ROW()/1000000000,"")</f>
        <v/>
      </c>
      <c r="V3371" s="39">
        <f>IF($A3371="","",IF(COUNTIF(변동분석!$E$7:$E$506,O3371)&gt;0,"Y","N"))</f>
        <v/>
      </c>
      <c r="W3371" s="39">
        <f>IF($A3371="","",IFERROR(INDEX(계정매핑!$D$5:$D$504,MATCH($F3371&amp;"",계정매핑!$A$5:$A$504,0)),"미매핑"))</f>
        <v/>
      </c>
      <c r="X3371" s="9">
        <f>IF($A3371="","",$F3371&amp;"")</f>
        <v/>
      </c>
    </row>
    <row r="3372">
      <c r="A3372" s="75" t="n">
        <v>2026</v>
      </c>
      <c r="B3372" s="75" t="n">
        <v>6</v>
      </c>
      <c r="C3372" s="75" t="inlineStr">
        <is>
          <t>5100001028</t>
        </is>
      </c>
      <c r="D3372" s="78" t="n">
        <v>46181</v>
      </c>
      <c r="E3372" s="75" t="inlineStr">
        <is>
          <t>KR</t>
        </is>
      </c>
      <c r="F3372" s="75" t="n">
        <v>62101000</v>
      </c>
      <c r="G3372" s="75" t="n">
        <v>1301</v>
      </c>
      <c r="H3372" s="76" t="n">
        <v>733000</v>
      </c>
      <c r="I3372" s="75" t="inlineStr">
        <is>
          <t>6월 국내출장 - (법인카드)</t>
        </is>
      </c>
      <c r="J3372" s="75" t="inlineStr">
        <is>
          <t>V10008</t>
        </is>
      </c>
      <c r="K3372" s="75" t="inlineStr">
        <is>
          <t>(법인카드)</t>
        </is>
      </c>
      <c r="M3372" s="9">
        <f>IF($A3372="","",VALUE($A3372&amp;"")*12+VALUE($B3372&amp;""))</f>
        <v/>
      </c>
      <c r="N3372" s="39">
        <f>IF($A3372="","",IFERROR(INDEX(부서매핑!$C$5:$C$504,MATCH($G3372&amp;"",부서매핑!$A$5:$A$504,0)),"미매핑"))</f>
        <v/>
      </c>
      <c r="O3372" s="9">
        <f>IF($A3372="","",N3372&amp;"|"&amp;$F3372)</f>
        <v/>
      </c>
      <c r="P3372" s="77">
        <f>IF($A3372="",0,$H3372*설정!$C$23)</f>
        <v/>
      </c>
      <c r="Q3372" s="39">
        <f>IF($A3372="","",IF(O3372&lt;&gt;원인분석!$C$9,"",IF(AND(M3372&gt;=원인분석!$C$10,M3372&lt;=원인분석!$C$11),"당기",IF(AND(M3372&gt;=원인분석!$C$12,M3372&lt;=원인분석!$C$13),"비교",""))))</f>
        <v/>
      </c>
      <c r="R3372" s="9">
        <f>IF(Q3372="","",$K3372&amp;"")</f>
        <v/>
      </c>
      <c r="S3372" s="9">
        <f>IF(Q3372="","",IF(MATCH(R3372,$R$5:$R$100000,0)=ROW()-4,ROW(),""))</f>
        <v/>
      </c>
      <c r="T3372" s="9">
        <f>IF(Q3372="당기",ABS(P3372)+ROW()/1000000000,"")</f>
        <v/>
      </c>
      <c r="U3372" s="9">
        <f>IF(Q3372="비교",ABS(P3372)+ROW()/1000000000,"")</f>
        <v/>
      </c>
      <c r="V3372" s="39">
        <f>IF($A3372="","",IF(COUNTIF(변동분석!$E$7:$E$506,O3372)&gt;0,"Y","N"))</f>
        <v/>
      </c>
      <c r="W3372" s="39">
        <f>IF($A3372="","",IFERROR(INDEX(계정매핑!$D$5:$D$504,MATCH($F3372&amp;"",계정매핑!$A$5:$A$504,0)),"미매핑"))</f>
        <v/>
      </c>
      <c r="X3372" s="9">
        <f>IF($A3372="","",$F3372&amp;"")</f>
        <v/>
      </c>
    </row>
    <row r="3373">
      <c r="A3373" s="75" t="n">
        <v>2026</v>
      </c>
      <c r="B3373" s="75" t="n">
        <v>6</v>
      </c>
      <c r="C3373" s="75" t="inlineStr">
        <is>
          <t>5100001029</t>
        </is>
      </c>
      <c r="D3373" s="78" t="n">
        <v>46181</v>
      </c>
      <c r="E3373" s="75" t="inlineStr">
        <is>
          <t>KR</t>
        </is>
      </c>
      <c r="F3373" s="75" t="n">
        <v>62101000</v>
      </c>
      <c r="G3373" s="75" t="n">
        <v>1701</v>
      </c>
      <c r="H3373" s="76" t="n">
        <v>194000</v>
      </c>
      <c r="I3373" s="75" t="inlineStr">
        <is>
          <t>6월 국내출장 - M항공</t>
        </is>
      </c>
      <c r="J3373" s="75" t="inlineStr">
        <is>
          <t>V10001</t>
        </is>
      </c>
      <c r="K3373" s="75" t="inlineStr">
        <is>
          <t>M항공</t>
        </is>
      </c>
      <c r="M3373" s="9">
        <f>IF($A3373="","",VALUE($A3373&amp;"")*12+VALUE($B3373&amp;""))</f>
        <v/>
      </c>
      <c r="N3373" s="39">
        <f>IF($A3373="","",IFERROR(INDEX(부서매핑!$C$5:$C$504,MATCH($G3373&amp;"",부서매핑!$A$5:$A$504,0)),"미매핑"))</f>
        <v/>
      </c>
      <c r="O3373" s="9">
        <f>IF($A3373="","",N3373&amp;"|"&amp;$F3373)</f>
        <v/>
      </c>
      <c r="P3373" s="77">
        <f>IF($A3373="",0,$H3373*설정!$C$23)</f>
        <v/>
      </c>
      <c r="Q3373" s="39">
        <f>IF($A3373="","",IF(O3373&lt;&gt;원인분석!$C$9,"",IF(AND(M3373&gt;=원인분석!$C$10,M3373&lt;=원인분석!$C$11),"당기",IF(AND(M3373&gt;=원인분석!$C$12,M3373&lt;=원인분석!$C$13),"비교",""))))</f>
        <v/>
      </c>
      <c r="R3373" s="9">
        <f>IF(Q3373="","",$K3373&amp;"")</f>
        <v/>
      </c>
      <c r="S3373" s="9">
        <f>IF(Q3373="","",IF(MATCH(R3373,$R$5:$R$100000,0)=ROW()-4,ROW(),""))</f>
        <v/>
      </c>
      <c r="T3373" s="9">
        <f>IF(Q3373="당기",ABS(P3373)+ROW()/1000000000,"")</f>
        <v/>
      </c>
      <c r="U3373" s="9">
        <f>IF(Q3373="비교",ABS(P3373)+ROW()/1000000000,"")</f>
        <v/>
      </c>
      <c r="V3373" s="39">
        <f>IF($A3373="","",IF(COUNTIF(변동분석!$E$7:$E$506,O3373)&gt;0,"Y","N"))</f>
        <v/>
      </c>
      <c r="W3373" s="39">
        <f>IF($A3373="","",IFERROR(INDEX(계정매핑!$D$5:$D$504,MATCH($F3373&amp;"",계정매핑!$A$5:$A$504,0)),"미매핑"))</f>
        <v/>
      </c>
      <c r="X3373" s="9">
        <f>IF($A3373="","",$F3373&amp;"")</f>
        <v/>
      </c>
    </row>
    <row r="3374">
      <c r="A3374" s="75" t="n">
        <v>2026</v>
      </c>
      <c r="B3374" s="75" t="n">
        <v>6</v>
      </c>
      <c r="C3374" s="75" t="inlineStr">
        <is>
          <t>5100001030</t>
        </is>
      </c>
      <c r="D3374" s="78" t="n">
        <v>46181</v>
      </c>
      <c r="E3374" s="75" t="inlineStr">
        <is>
          <t>KR</t>
        </is>
      </c>
      <c r="F3374" s="75" t="n">
        <v>62201000</v>
      </c>
      <c r="G3374" s="75" t="n">
        <v>1301</v>
      </c>
      <c r="H3374" s="76" t="n">
        <v>150000</v>
      </c>
      <c r="I3374" s="75" t="inlineStr">
        <is>
          <t>6월 통신요금 - P통신</t>
        </is>
      </c>
      <c r="J3374" s="75" t="inlineStr">
        <is>
          <t>V10011</t>
        </is>
      </c>
      <c r="K3374" s="75" t="inlineStr">
        <is>
          <t>P통신</t>
        </is>
      </c>
      <c r="M3374" s="9">
        <f>IF($A3374="","",VALUE($A3374&amp;"")*12+VALUE($B3374&amp;""))</f>
        <v/>
      </c>
      <c r="N3374" s="39">
        <f>IF($A3374="","",IFERROR(INDEX(부서매핑!$C$5:$C$504,MATCH($G3374&amp;"",부서매핑!$A$5:$A$504,0)),"미매핑"))</f>
        <v/>
      </c>
      <c r="O3374" s="9">
        <f>IF($A3374="","",N3374&amp;"|"&amp;$F3374)</f>
        <v/>
      </c>
      <c r="P3374" s="77">
        <f>IF($A3374="",0,$H3374*설정!$C$23)</f>
        <v/>
      </c>
      <c r="Q3374" s="39">
        <f>IF($A3374="","",IF(O3374&lt;&gt;원인분석!$C$9,"",IF(AND(M3374&gt;=원인분석!$C$10,M3374&lt;=원인분석!$C$11),"당기",IF(AND(M3374&gt;=원인분석!$C$12,M3374&lt;=원인분석!$C$13),"비교",""))))</f>
        <v/>
      </c>
      <c r="R3374" s="9">
        <f>IF(Q3374="","",$K3374&amp;"")</f>
        <v/>
      </c>
      <c r="S3374" s="9">
        <f>IF(Q3374="","",IF(MATCH(R3374,$R$5:$R$100000,0)=ROW()-4,ROW(),""))</f>
        <v/>
      </c>
      <c r="T3374" s="9">
        <f>IF(Q3374="당기",ABS(P3374)+ROW()/1000000000,"")</f>
        <v/>
      </c>
      <c r="U3374" s="9">
        <f>IF(Q3374="비교",ABS(P3374)+ROW()/1000000000,"")</f>
        <v/>
      </c>
      <c r="V3374" s="39">
        <f>IF($A3374="","",IF(COUNTIF(변동분석!$E$7:$E$506,O3374)&gt;0,"Y","N"))</f>
        <v/>
      </c>
      <c r="W3374" s="39">
        <f>IF($A3374="","",IFERROR(INDEX(계정매핑!$D$5:$D$504,MATCH($F3374&amp;"",계정매핑!$A$5:$A$504,0)),"미매핑"))</f>
        <v/>
      </c>
      <c r="X3374" s="9">
        <f>IF($A3374="","",$F3374&amp;"")</f>
        <v/>
      </c>
    </row>
    <row r="3375">
      <c r="A3375" s="75" t="n">
        <v>2026</v>
      </c>
      <c r="B3375" s="75" t="n">
        <v>6</v>
      </c>
      <c r="C3375" s="75" t="inlineStr">
        <is>
          <t>5100001031</t>
        </is>
      </c>
      <c r="D3375" s="78" t="n">
        <v>46181</v>
      </c>
      <c r="E3375" s="75" t="inlineStr">
        <is>
          <t>KR</t>
        </is>
      </c>
      <c r="F3375" s="75" t="n">
        <v>62301000</v>
      </c>
      <c r="G3375" s="75" t="n">
        <v>1601</v>
      </c>
      <c r="H3375" s="76" t="n">
        <v>525000</v>
      </c>
      <c r="I3375" s="75" t="inlineStr">
        <is>
          <t>6월 소모품 구입 - R문구</t>
        </is>
      </c>
      <c r="J3375" s="75" t="inlineStr">
        <is>
          <t>V10018</t>
        </is>
      </c>
      <c r="K3375" s="75" t="inlineStr">
        <is>
          <t>R문구</t>
        </is>
      </c>
      <c r="M3375" s="9">
        <f>IF($A3375="","",VALUE($A3375&amp;"")*12+VALUE($B3375&amp;""))</f>
        <v/>
      </c>
      <c r="N3375" s="39">
        <f>IF($A3375="","",IFERROR(INDEX(부서매핑!$C$5:$C$504,MATCH($G3375&amp;"",부서매핑!$A$5:$A$504,0)),"미매핑"))</f>
        <v/>
      </c>
      <c r="O3375" s="9">
        <f>IF($A3375="","",N3375&amp;"|"&amp;$F3375)</f>
        <v/>
      </c>
      <c r="P3375" s="77">
        <f>IF($A3375="",0,$H3375*설정!$C$23)</f>
        <v/>
      </c>
      <c r="Q3375" s="39">
        <f>IF($A3375="","",IF(O3375&lt;&gt;원인분석!$C$9,"",IF(AND(M3375&gt;=원인분석!$C$10,M3375&lt;=원인분석!$C$11),"당기",IF(AND(M3375&gt;=원인분석!$C$12,M3375&lt;=원인분석!$C$13),"비교",""))))</f>
        <v/>
      </c>
      <c r="R3375" s="9">
        <f>IF(Q3375="","",$K3375&amp;"")</f>
        <v/>
      </c>
      <c r="S3375" s="9">
        <f>IF(Q3375="","",IF(MATCH(R3375,$R$5:$R$100000,0)=ROW()-4,ROW(),""))</f>
        <v/>
      </c>
      <c r="T3375" s="9">
        <f>IF(Q3375="당기",ABS(P3375)+ROW()/1000000000,"")</f>
        <v/>
      </c>
      <c r="U3375" s="9">
        <f>IF(Q3375="비교",ABS(P3375)+ROW()/1000000000,"")</f>
        <v/>
      </c>
      <c r="V3375" s="39">
        <f>IF($A3375="","",IF(COUNTIF(변동분석!$E$7:$E$506,O3375)&gt;0,"Y","N"))</f>
        <v/>
      </c>
      <c r="W3375" s="39">
        <f>IF($A3375="","",IFERROR(INDEX(계정매핑!$D$5:$D$504,MATCH($F3375&amp;"",계정매핑!$A$5:$A$504,0)),"미매핑"))</f>
        <v/>
      </c>
      <c r="X3375" s="9">
        <f>IF($A3375="","",$F3375&amp;"")</f>
        <v/>
      </c>
    </row>
    <row r="3376">
      <c r="A3376" s="75" t="n">
        <v>2026</v>
      </c>
      <c r="B3376" s="75" t="n">
        <v>6</v>
      </c>
      <c r="C3376" s="75" t="inlineStr">
        <is>
          <t>5100001032</t>
        </is>
      </c>
      <c r="D3376" s="78" t="n">
        <v>46181</v>
      </c>
      <c r="E3376" s="75" t="inlineStr">
        <is>
          <t>KR</t>
        </is>
      </c>
      <c r="F3376" s="75" t="n">
        <v>62601000</v>
      </c>
      <c r="G3376" s="75" t="n">
        <v>1602</v>
      </c>
      <c r="H3376" s="76" t="n">
        <v>1730000</v>
      </c>
      <c r="I3376" s="75" t="inlineStr">
        <is>
          <t>6월 업무추진 - (법인카드)</t>
        </is>
      </c>
      <c r="J3376" s="75" t="inlineStr">
        <is>
          <t>V10008</t>
        </is>
      </c>
      <c r="K3376" s="75" t="inlineStr">
        <is>
          <t>(법인카드)</t>
        </is>
      </c>
      <c r="M3376" s="9">
        <f>IF($A3376="","",VALUE($A3376&amp;"")*12+VALUE($B3376&amp;""))</f>
        <v/>
      </c>
      <c r="N3376" s="39">
        <f>IF($A3376="","",IFERROR(INDEX(부서매핑!$C$5:$C$504,MATCH($G3376&amp;"",부서매핑!$A$5:$A$504,0)),"미매핑"))</f>
        <v/>
      </c>
      <c r="O3376" s="9">
        <f>IF($A3376="","",N3376&amp;"|"&amp;$F3376)</f>
        <v/>
      </c>
      <c r="P3376" s="77">
        <f>IF($A3376="",0,$H3376*설정!$C$23)</f>
        <v/>
      </c>
      <c r="Q3376" s="39">
        <f>IF($A3376="","",IF(O3376&lt;&gt;원인분석!$C$9,"",IF(AND(M3376&gt;=원인분석!$C$10,M3376&lt;=원인분석!$C$11),"당기",IF(AND(M3376&gt;=원인분석!$C$12,M3376&lt;=원인분석!$C$13),"비교",""))))</f>
        <v/>
      </c>
      <c r="R3376" s="9">
        <f>IF(Q3376="","",$K3376&amp;"")</f>
        <v/>
      </c>
      <c r="S3376" s="9">
        <f>IF(Q3376="","",IF(MATCH(R3376,$R$5:$R$100000,0)=ROW()-4,ROW(),""))</f>
        <v/>
      </c>
      <c r="T3376" s="9">
        <f>IF(Q3376="당기",ABS(P3376)+ROW()/1000000000,"")</f>
        <v/>
      </c>
      <c r="U3376" s="9">
        <f>IF(Q3376="비교",ABS(P3376)+ROW()/1000000000,"")</f>
        <v/>
      </c>
      <c r="V3376" s="39">
        <f>IF($A3376="","",IF(COUNTIF(변동분석!$E$7:$E$506,O3376)&gt;0,"Y","N"))</f>
        <v/>
      </c>
      <c r="W3376" s="39">
        <f>IF($A3376="","",IFERROR(INDEX(계정매핑!$D$5:$D$504,MATCH($F3376&amp;"",계정매핑!$A$5:$A$504,0)),"미매핑"))</f>
        <v/>
      </c>
      <c r="X3376" s="9">
        <f>IF($A3376="","",$F3376&amp;"")</f>
        <v/>
      </c>
    </row>
    <row r="3377">
      <c r="A3377" s="75" t="n">
        <v>2026</v>
      </c>
      <c r="B3377" s="75" t="n">
        <v>6</v>
      </c>
      <c r="C3377" s="75" t="inlineStr">
        <is>
          <t>5100001033</t>
        </is>
      </c>
      <c r="D3377" s="78" t="n">
        <v>46181</v>
      </c>
      <c r="E3377" s="75" t="inlineStr">
        <is>
          <t>KR</t>
        </is>
      </c>
      <c r="F3377" s="75" t="n">
        <v>62901000</v>
      </c>
      <c r="G3377" s="75" t="n">
        <v>1101</v>
      </c>
      <c r="H3377" s="76" t="n">
        <v>1824000</v>
      </c>
      <c r="I3377" s="75" t="inlineStr">
        <is>
          <t>6월 자문 수수료 - K회계법인</t>
        </is>
      </c>
      <c r="J3377" s="75" t="inlineStr">
        <is>
          <t>V10010</t>
        </is>
      </c>
      <c r="K3377" s="75" t="inlineStr">
        <is>
          <t>K회계법인</t>
        </is>
      </c>
      <c r="M3377" s="9">
        <f>IF($A3377="","",VALUE($A3377&amp;"")*12+VALUE($B3377&amp;""))</f>
        <v/>
      </c>
      <c r="N3377" s="39">
        <f>IF($A3377="","",IFERROR(INDEX(부서매핑!$C$5:$C$504,MATCH($G3377&amp;"",부서매핑!$A$5:$A$504,0)),"미매핑"))</f>
        <v/>
      </c>
      <c r="O3377" s="9">
        <f>IF($A3377="","",N3377&amp;"|"&amp;$F3377)</f>
        <v/>
      </c>
      <c r="P3377" s="77">
        <f>IF($A3377="",0,$H3377*설정!$C$23)</f>
        <v/>
      </c>
      <c r="Q3377" s="39">
        <f>IF($A3377="","",IF(O3377&lt;&gt;원인분석!$C$9,"",IF(AND(M3377&gt;=원인분석!$C$10,M3377&lt;=원인분석!$C$11),"당기",IF(AND(M3377&gt;=원인분석!$C$12,M3377&lt;=원인분석!$C$13),"비교",""))))</f>
        <v/>
      </c>
      <c r="R3377" s="9">
        <f>IF(Q3377="","",$K3377&amp;"")</f>
        <v/>
      </c>
      <c r="S3377" s="9">
        <f>IF(Q3377="","",IF(MATCH(R3377,$R$5:$R$100000,0)=ROW()-4,ROW(),""))</f>
        <v/>
      </c>
      <c r="T3377" s="9">
        <f>IF(Q3377="당기",ABS(P3377)+ROW()/1000000000,"")</f>
        <v/>
      </c>
      <c r="U3377" s="9">
        <f>IF(Q3377="비교",ABS(P3377)+ROW()/1000000000,"")</f>
        <v/>
      </c>
      <c r="V3377" s="39">
        <f>IF($A3377="","",IF(COUNTIF(변동분석!$E$7:$E$506,O3377)&gt;0,"Y","N"))</f>
        <v/>
      </c>
      <c r="W3377" s="39">
        <f>IF($A3377="","",IFERROR(INDEX(계정매핑!$D$5:$D$504,MATCH($F3377&amp;"",계정매핑!$A$5:$A$504,0)),"미매핑"))</f>
        <v/>
      </c>
      <c r="X3377" s="9">
        <f>IF($A3377="","",$F3377&amp;"")</f>
        <v/>
      </c>
    </row>
    <row r="3378">
      <c r="A3378" s="75" t="n">
        <v>2026</v>
      </c>
      <c r="B3378" s="75" t="n">
        <v>6</v>
      </c>
      <c r="C3378" s="75" t="inlineStr">
        <is>
          <t>5100001034</t>
        </is>
      </c>
      <c r="D3378" s="78" t="n">
        <v>46181</v>
      </c>
      <c r="E3378" s="75" t="inlineStr">
        <is>
          <t>KR</t>
        </is>
      </c>
      <c r="F3378" s="75" t="n">
        <v>62902000</v>
      </c>
      <c r="G3378" s="75" t="n">
        <v>1401</v>
      </c>
      <c r="H3378" s="76" t="n">
        <v>1459000</v>
      </c>
      <c r="I3378" s="75" t="inlineStr">
        <is>
          <t>6월 업무 위탁 수수료 - J콜센터</t>
        </is>
      </c>
      <c r="J3378" s="75" t="inlineStr">
        <is>
          <t>V10013</t>
        </is>
      </c>
      <c r="K3378" s="75" t="inlineStr">
        <is>
          <t>J콜센터</t>
        </is>
      </c>
      <c r="M3378" s="9">
        <f>IF($A3378="","",VALUE($A3378&amp;"")*12+VALUE($B3378&amp;""))</f>
        <v/>
      </c>
      <c r="N3378" s="39">
        <f>IF($A3378="","",IFERROR(INDEX(부서매핑!$C$5:$C$504,MATCH($G3378&amp;"",부서매핑!$A$5:$A$504,0)),"미매핑"))</f>
        <v/>
      </c>
      <c r="O3378" s="9">
        <f>IF($A3378="","",N3378&amp;"|"&amp;$F3378)</f>
        <v/>
      </c>
      <c r="P3378" s="77">
        <f>IF($A3378="",0,$H3378*설정!$C$23)</f>
        <v/>
      </c>
      <c r="Q3378" s="39">
        <f>IF($A3378="","",IF(O3378&lt;&gt;원인분석!$C$9,"",IF(AND(M3378&gt;=원인분석!$C$10,M3378&lt;=원인분석!$C$11),"당기",IF(AND(M3378&gt;=원인분석!$C$12,M3378&lt;=원인분석!$C$13),"비교",""))))</f>
        <v/>
      </c>
      <c r="R3378" s="9">
        <f>IF(Q3378="","",$K3378&amp;"")</f>
        <v/>
      </c>
      <c r="S3378" s="9">
        <f>IF(Q3378="","",IF(MATCH(R3378,$R$5:$R$100000,0)=ROW()-4,ROW(),""))</f>
        <v/>
      </c>
      <c r="T3378" s="9">
        <f>IF(Q3378="당기",ABS(P3378)+ROW()/1000000000,"")</f>
        <v/>
      </c>
      <c r="U3378" s="9">
        <f>IF(Q3378="비교",ABS(P3378)+ROW()/1000000000,"")</f>
        <v/>
      </c>
      <c r="V3378" s="39">
        <f>IF($A3378="","",IF(COUNTIF(변동분석!$E$7:$E$506,O3378)&gt;0,"Y","N"))</f>
        <v/>
      </c>
      <c r="W3378" s="39">
        <f>IF($A3378="","",IFERROR(INDEX(계정매핑!$D$5:$D$504,MATCH($F3378&amp;"",계정매핑!$A$5:$A$504,0)),"미매핑"))</f>
        <v/>
      </c>
      <c r="X3378" s="9">
        <f>IF($A3378="","",$F3378&amp;"")</f>
        <v/>
      </c>
    </row>
    <row r="3379">
      <c r="A3379" s="75" t="n">
        <v>2026</v>
      </c>
      <c r="B3379" s="75" t="n">
        <v>6</v>
      </c>
      <c r="C3379" s="75" t="inlineStr">
        <is>
          <t>5100001035</t>
        </is>
      </c>
      <c r="D3379" s="78" t="n">
        <v>46182</v>
      </c>
      <c r="E3379" s="75" t="inlineStr">
        <is>
          <t>KR</t>
        </is>
      </c>
      <c r="F3379" s="75" t="n">
        <v>62101000</v>
      </c>
      <c r="G3379" s="75" t="n">
        <v>1401</v>
      </c>
      <c r="H3379" s="76" t="n">
        <v>736000</v>
      </c>
      <c r="I3379" s="75" t="inlineStr">
        <is>
          <t>6월 국내출장 - M항공</t>
        </is>
      </c>
      <c r="J3379" s="75" t="inlineStr">
        <is>
          <t>V10001</t>
        </is>
      </c>
      <c r="K3379" s="75" t="inlineStr">
        <is>
          <t>M항공</t>
        </is>
      </c>
      <c r="M3379" s="9">
        <f>IF($A3379="","",VALUE($A3379&amp;"")*12+VALUE($B3379&amp;""))</f>
        <v/>
      </c>
      <c r="N3379" s="39">
        <f>IF($A3379="","",IFERROR(INDEX(부서매핑!$C$5:$C$504,MATCH($G3379&amp;"",부서매핑!$A$5:$A$504,0)),"미매핑"))</f>
        <v/>
      </c>
      <c r="O3379" s="9">
        <f>IF($A3379="","",N3379&amp;"|"&amp;$F3379)</f>
        <v/>
      </c>
      <c r="P3379" s="77">
        <f>IF($A3379="",0,$H3379*설정!$C$23)</f>
        <v/>
      </c>
      <c r="Q3379" s="39">
        <f>IF($A3379="","",IF(O3379&lt;&gt;원인분석!$C$9,"",IF(AND(M3379&gt;=원인분석!$C$10,M3379&lt;=원인분석!$C$11),"당기",IF(AND(M3379&gt;=원인분석!$C$12,M3379&lt;=원인분석!$C$13),"비교",""))))</f>
        <v/>
      </c>
      <c r="R3379" s="9">
        <f>IF(Q3379="","",$K3379&amp;"")</f>
        <v/>
      </c>
      <c r="S3379" s="9">
        <f>IF(Q3379="","",IF(MATCH(R3379,$R$5:$R$100000,0)=ROW()-4,ROW(),""))</f>
        <v/>
      </c>
      <c r="T3379" s="9">
        <f>IF(Q3379="당기",ABS(P3379)+ROW()/1000000000,"")</f>
        <v/>
      </c>
      <c r="U3379" s="9">
        <f>IF(Q3379="비교",ABS(P3379)+ROW()/1000000000,"")</f>
        <v/>
      </c>
      <c r="V3379" s="39">
        <f>IF($A3379="","",IF(COUNTIF(변동분석!$E$7:$E$506,O3379)&gt;0,"Y","N"))</f>
        <v/>
      </c>
      <c r="W3379" s="39">
        <f>IF($A3379="","",IFERROR(INDEX(계정매핑!$D$5:$D$504,MATCH($F3379&amp;"",계정매핑!$A$5:$A$504,0)),"미매핑"))</f>
        <v/>
      </c>
      <c r="X3379" s="9">
        <f>IF($A3379="","",$F3379&amp;"")</f>
        <v/>
      </c>
    </row>
    <row r="3380">
      <c r="A3380" s="75" t="n">
        <v>2026</v>
      </c>
      <c r="B3380" s="75" t="n">
        <v>6</v>
      </c>
      <c r="C3380" s="75" t="inlineStr">
        <is>
          <t>5100001036</t>
        </is>
      </c>
      <c r="D3380" s="78" t="n">
        <v>46182</v>
      </c>
      <c r="E3380" s="75" t="inlineStr">
        <is>
          <t>KR</t>
        </is>
      </c>
      <c r="F3380" s="75" t="n">
        <v>62101000</v>
      </c>
      <c r="G3380" s="75" t="n">
        <v>1601</v>
      </c>
      <c r="H3380" s="76" t="n">
        <v>1012000</v>
      </c>
      <c r="I3380" s="75" t="inlineStr">
        <is>
          <t>6월 국내출장 - L여행사</t>
        </is>
      </c>
      <c r="J3380" s="75" t="inlineStr">
        <is>
          <t>V10014</t>
        </is>
      </c>
      <c r="K3380" s="75" t="inlineStr">
        <is>
          <t>L여행사</t>
        </is>
      </c>
      <c r="M3380" s="9">
        <f>IF($A3380="","",VALUE($A3380&amp;"")*12+VALUE($B3380&amp;""))</f>
        <v/>
      </c>
      <c r="N3380" s="39">
        <f>IF($A3380="","",IFERROR(INDEX(부서매핑!$C$5:$C$504,MATCH($G3380&amp;"",부서매핑!$A$5:$A$504,0)),"미매핑"))</f>
        <v/>
      </c>
      <c r="O3380" s="9">
        <f>IF($A3380="","",N3380&amp;"|"&amp;$F3380)</f>
        <v/>
      </c>
      <c r="P3380" s="77">
        <f>IF($A3380="",0,$H3380*설정!$C$23)</f>
        <v/>
      </c>
      <c r="Q3380" s="39">
        <f>IF($A3380="","",IF(O3380&lt;&gt;원인분석!$C$9,"",IF(AND(M3380&gt;=원인분석!$C$10,M3380&lt;=원인분석!$C$11),"당기",IF(AND(M3380&gt;=원인분석!$C$12,M3380&lt;=원인분석!$C$13),"비교",""))))</f>
        <v/>
      </c>
      <c r="R3380" s="9">
        <f>IF(Q3380="","",$K3380&amp;"")</f>
        <v/>
      </c>
      <c r="S3380" s="9">
        <f>IF(Q3380="","",IF(MATCH(R3380,$R$5:$R$100000,0)=ROW()-4,ROW(),""))</f>
        <v/>
      </c>
      <c r="T3380" s="9">
        <f>IF(Q3380="당기",ABS(P3380)+ROW()/1000000000,"")</f>
        <v/>
      </c>
      <c r="U3380" s="9">
        <f>IF(Q3380="비교",ABS(P3380)+ROW()/1000000000,"")</f>
        <v/>
      </c>
      <c r="V3380" s="39">
        <f>IF($A3380="","",IF(COUNTIF(변동분석!$E$7:$E$506,O3380)&gt;0,"Y","N"))</f>
        <v/>
      </c>
      <c r="W3380" s="39">
        <f>IF($A3380="","",IFERROR(INDEX(계정매핑!$D$5:$D$504,MATCH($F3380&amp;"",계정매핑!$A$5:$A$504,0)),"미매핑"))</f>
        <v/>
      </c>
      <c r="X3380" s="9">
        <f>IF($A3380="","",$F3380&amp;"")</f>
        <v/>
      </c>
    </row>
    <row r="3381">
      <c r="A3381" s="75" t="n">
        <v>2026</v>
      </c>
      <c r="B3381" s="75" t="n">
        <v>6</v>
      </c>
      <c r="C3381" s="75" t="inlineStr">
        <is>
          <t>5100001037</t>
        </is>
      </c>
      <c r="D3381" s="78" t="n">
        <v>46182</v>
      </c>
      <c r="E3381" s="75" t="inlineStr">
        <is>
          <t>KR</t>
        </is>
      </c>
      <c r="F3381" s="75" t="n">
        <v>62101000</v>
      </c>
      <c r="G3381" s="75" t="n">
        <v>1601</v>
      </c>
      <c r="H3381" s="76" t="n">
        <v>1479000</v>
      </c>
      <c r="I3381" s="75" t="inlineStr">
        <is>
          <t>6월 국내출장 - (법인카드)</t>
        </is>
      </c>
      <c r="J3381" s="75" t="inlineStr">
        <is>
          <t>V10008</t>
        </is>
      </c>
      <c r="K3381" s="75" t="inlineStr">
        <is>
          <t>(법인카드)</t>
        </is>
      </c>
      <c r="M3381" s="9">
        <f>IF($A3381="","",VALUE($A3381&amp;"")*12+VALUE($B3381&amp;""))</f>
        <v/>
      </c>
      <c r="N3381" s="39">
        <f>IF($A3381="","",IFERROR(INDEX(부서매핑!$C$5:$C$504,MATCH($G3381&amp;"",부서매핑!$A$5:$A$504,0)),"미매핑"))</f>
        <v/>
      </c>
      <c r="O3381" s="9">
        <f>IF($A3381="","",N3381&amp;"|"&amp;$F3381)</f>
        <v/>
      </c>
      <c r="P3381" s="77">
        <f>IF($A3381="",0,$H3381*설정!$C$23)</f>
        <v/>
      </c>
      <c r="Q3381" s="39">
        <f>IF($A3381="","",IF(O3381&lt;&gt;원인분석!$C$9,"",IF(AND(M3381&gt;=원인분석!$C$10,M3381&lt;=원인분석!$C$11),"당기",IF(AND(M3381&gt;=원인분석!$C$12,M3381&lt;=원인분석!$C$13),"비교",""))))</f>
        <v/>
      </c>
      <c r="R3381" s="9">
        <f>IF(Q3381="","",$K3381&amp;"")</f>
        <v/>
      </c>
      <c r="S3381" s="9">
        <f>IF(Q3381="","",IF(MATCH(R3381,$R$5:$R$100000,0)=ROW()-4,ROW(),""))</f>
        <v/>
      </c>
      <c r="T3381" s="9">
        <f>IF(Q3381="당기",ABS(P3381)+ROW()/1000000000,"")</f>
        <v/>
      </c>
      <c r="U3381" s="9">
        <f>IF(Q3381="비교",ABS(P3381)+ROW()/1000000000,"")</f>
        <v/>
      </c>
      <c r="V3381" s="39">
        <f>IF($A3381="","",IF(COUNTIF(변동분석!$E$7:$E$506,O3381)&gt;0,"Y","N"))</f>
        <v/>
      </c>
      <c r="W3381" s="39">
        <f>IF($A3381="","",IFERROR(INDEX(계정매핑!$D$5:$D$504,MATCH($F3381&amp;"",계정매핑!$A$5:$A$504,0)),"미매핑"))</f>
        <v/>
      </c>
      <c r="X3381" s="9">
        <f>IF($A3381="","",$F3381&amp;"")</f>
        <v/>
      </c>
    </row>
    <row r="3382">
      <c r="A3382" s="75" t="n">
        <v>2026</v>
      </c>
      <c r="B3382" s="75" t="n">
        <v>6</v>
      </c>
      <c r="C3382" s="75" t="inlineStr">
        <is>
          <t>5100001038</t>
        </is>
      </c>
      <c r="D3382" s="78" t="n">
        <v>46182</v>
      </c>
      <c r="E3382" s="75" t="inlineStr">
        <is>
          <t>KR</t>
        </is>
      </c>
      <c r="F3382" s="75" t="n">
        <v>62101000</v>
      </c>
      <c r="G3382" s="75" t="n">
        <v>1601</v>
      </c>
      <c r="H3382" s="76" t="n">
        <v>876000</v>
      </c>
      <c r="I3382" s="75" t="inlineStr">
        <is>
          <t>6월 국내출장 - (법인카드)</t>
        </is>
      </c>
      <c r="J3382" s="75" t="inlineStr">
        <is>
          <t>V10008</t>
        </is>
      </c>
      <c r="K3382" s="75" t="inlineStr">
        <is>
          <t>(법인카드)</t>
        </is>
      </c>
      <c r="M3382" s="9">
        <f>IF($A3382="","",VALUE($A3382&amp;"")*12+VALUE($B3382&amp;""))</f>
        <v/>
      </c>
      <c r="N3382" s="39">
        <f>IF($A3382="","",IFERROR(INDEX(부서매핑!$C$5:$C$504,MATCH($G3382&amp;"",부서매핑!$A$5:$A$504,0)),"미매핑"))</f>
        <v/>
      </c>
      <c r="O3382" s="9">
        <f>IF($A3382="","",N3382&amp;"|"&amp;$F3382)</f>
        <v/>
      </c>
      <c r="P3382" s="77">
        <f>IF($A3382="",0,$H3382*설정!$C$23)</f>
        <v/>
      </c>
      <c r="Q3382" s="39">
        <f>IF($A3382="","",IF(O3382&lt;&gt;원인분석!$C$9,"",IF(AND(M3382&gt;=원인분석!$C$10,M3382&lt;=원인분석!$C$11),"당기",IF(AND(M3382&gt;=원인분석!$C$12,M3382&lt;=원인분석!$C$13),"비교",""))))</f>
        <v/>
      </c>
      <c r="R3382" s="9">
        <f>IF(Q3382="","",$K3382&amp;"")</f>
        <v/>
      </c>
      <c r="S3382" s="9">
        <f>IF(Q3382="","",IF(MATCH(R3382,$R$5:$R$100000,0)=ROW()-4,ROW(),""))</f>
        <v/>
      </c>
      <c r="T3382" s="9">
        <f>IF(Q3382="당기",ABS(P3382)+ROW()/1000000000,"")</f>
        <v/>
      </c>
      <c r="U3382" s="9">
        <f>IF(Q3382="비교",ABS(P3382)+ROW()/1000000000,"")</f>
        <v/>
      </c>
      <c r="V3382" s="39">
        <f>IF($A3382="","",IF(COUNTIF(변동분석!$E$7:$E$506,O3382)&gt;0,"Y","N"))</f>
        <v/>
      </c>
      <c r="W3382" s="39">
        <f>IF($A3382="","",IFERROR(INDEX(계정매핑!$D$5:$D$504,MATCH($F3382&amp;"",계정매핑!$A$5:$A$504,0)),"미매핑"))</f>
        <v/>
      </c>
      <c r="X3382" s="9">
        <f>IF($A3382="","",$F3382&amp;"")</f>
        <v/>
      </c>
    </row>
    <row r="3383">
      <c r="A3383" s="75" t="n">
        <v>2026</v>
      </c>
      <c r="B3383" s="75" t="n">
        <v>6</v>
      </c>
      <c r="C3383" s="75" t="inlineStr">
        <is>
          <t>5100001039</t>
        </is>
      </c>
      <c r="D3383" s="78" t="n">
        <v>46182</v>
      </c>
      <c r="E3383" s="75" t="inlineStr">
        <is>
          <t>KR</t>
        </is>
      </c>
      <c r="F3383" s="75" t="n">
        <v>62501000</v>
      </c>
      <c r="G3383" s="75" t="n">
        <v>1301</v>
      </c>
      <c r="H3383" s="76" t="n">
        <v>148000</v>
      </c>
      <c r="I3383" s="75" t="inlineStr">
        <is>
          <t>6월 회의 다과 - (법인카드)</t>
        </is>
      </c>
      <c r="J3383" s="75" t="inlineStr">
        <is>
          <t>V10008</t>
        </is>
      </c>
      <c r="K3383" s="75" t="inlineStr">
        <is>
          <t>(법인카드)</t>
        </is>
      </c>
      <c r="M3383" s="9">
        <f>IF($A3383="","",VALUE($A3383&amp;"")*12+VALUE($B3383&amp;""))</f>
        <v/>
      </c>
      <c r="N3383" s="39">
        <f>IF($A3383="","",IFERROR(INDEX(부서매핑!$C$5:$C$504,MATCH($G3383&amp;"",부서매핑!$A$5:$A$504,0)),"미매핑"))</f>
        <v/>
      </c>
      <c r="O3383" s="9">
        <f>IF($A3383="","",N3383&amp;"|"&amp;$F3383)</f>
        <v/>
      </c>
      <c r="P3383" s="77">
        <f>IF($A3383="",0,$H3383*설정!$C$23)</f>
        <v/>
      </c>
      <c r="Q3383" s="39">
        <f>IF($A3383="","",IF(O3383&lt;&gt;원인분석!$C$9,"",IF(AND(M3383&gt;=원인분석!$C$10,M3383&lt;=원인분석!$C$11),"당기",IF(AND(M3383&gt;=원인분석!$C$12,M3383&lt;=원인분석!$C$13),"비교",""))))</f>
        <v/>
      </c>
      <c r="R3383" s="9">
        <f>IF(Q3383="","",$K3383&amp;"")</f>
        <v/>
      </c>
      <c r="S3383" s="9">
        <f>IF(Q3383="","",IF(MATCH(R3383,$R$5:$R$100000,0)=ROW()-4,ROW(),""))</f>
        <v/>
      </c>
      <c r="T3383" s="9">
        <f>IF(Q3383="당기",ABS(P3383)+ROW()/1000000000,"")</f>
        <v/>
      </c>
      <c r="U3383" s="9">
        <f>IF(Q3383="비교",ABS(P3383)+ROW()/1000000000,"")</f>
        <v/>
      </c>
      <c r="V3383" s="39">
        <f>IF($A3383="","",IF(COUNTIF(변동분석!$E$7:$E$506,O3383)&gt;0,"Y","N"))</f>
        <v/>
      </c>
      <c r="W3383" s="39">
        <f>IF($A3383="","",IFERROR(INDEX(계정매핑!$D$5:$D$504,MATCH($F3383&amp;"",계정매핑!$A$5:$A$504,0)),"미매핑"))</f>
        <v/>
      </c>
      <c r="X3383" s="9">
        <f>IF($A3383="","",$F3383&amp;"")</f>
        <v/>
      </c>
    </row>
    <row r="3384">
      <c r="A3384" s="75" t="n">
        <v>2026</v>
      </c>
      <c r="B3384" s="75" t="n">
        <v>6</v>
      </c>
      <c r="C3384" s="75" t="inlineStr">
        <is>
          <t>5100001040</t>
        </is>
      </c>
      <c r="D3384" s="78" t="n">
        <v>46182</v>
      </c>
      <c r="E3384" s="75" t="inlineStr">
        <is>
          <t>KR</t>
        </is>
      </c>
      <c r="F3384" s="75" t="n">
        <v>62701000</v>
      </c>
      <c r="G3384" s="75" t="n">
        <v>1501</v>
      </c>
      <c r="H3384" s="76" t="n">
        <v>41978000</v>
      </c>
      <c r="I3384" s="75" t="inlineStr">
        <is>
          <t>6월 광고 집행 - F애드</t>
        </is>
      </c>
      <c r="J3384" s="75" t="inlineStr">
        <is>
          <t>V10019</t>
        </is>
      </c>
      <c r="K3384" s="75" t="inlineStr">
        <is>
          <t>F애드</t>
        </is>
      </c>
      <c r="M3384" s="9">
        <f>IF($A3384="","",VALUE($A3384&amp;"")*12+VALUE($B3384&amp;""))</f>
        <v/>
      </c>
      <c r="N3384" s="39">
        <f>IF($A3384="","",IFERROR(INDEX(부서매핑!$C$5:$C$504,MATCH($G3384&amp;"",부서매핑!$A$5:$A$504,0)),"미매핑"))</f>
        <v/>
      </c>
      <c r="O3384" s="9">
        <f>IF($A3384="","",N3384&amp;"|"&amp;$F3384)</f>
        <v/>
      </c>
      <c r="P3384" s="77">
        <f>IF($A3384="",0,$H3384*설정!$C$23)</f>
        <v/>
      </c>
      <c r="Q3384" s="39">
        <f>IF($A3384="","",IF(O3384&lt;&gt;원인분석!$C$9,"",IF(AND(M3384&gt;=원인분석!$C$10,M3384&lt;=원인분석!$C$11),"당기",IF(AND(M3384&gt;=원인분석!$C$12,M3384&lt;=원인분석!$C$13),"비교",""))))</f>
        <v/>
      </c>
      <c r="R3384" s="9">
        <f>IF(Q3384="","",$K3384&amp;"")</f>
        <v/>
      </c>
      <c r="S3384" s="9">
        <f>IF(Q3384="","",IF(MATCH(R3384,$R$5:$R$100000,0)=ROW()-4,ROW(),""))</f>
        <v/>
      </c>
      <c r="T3384" s="9">
        <f>IF(Q3384="당기",ABS(P3384)+ROW()/1000000000,"")</f>
        <v/>
      </c>
      <c r="U3384" s="9">
        <f>IF(Q3384="비교",ABS(P3384)+ROW()/1000000000,"")</f>
        <v/>
      </c>
      <c r="V3384" s="39">
        <f>IF($A3384="","",IF(COUNTIF(변동분석!$E$7:$E$506,O3384)&gt;0,"Y","N"))</f>
        <v/>
      </c>
      <c r="W3384" s="39">
        <f>IF($A3384="","",IFERROR(INDEX(계정매핑!$D$5:$D$504,MATCH($F3384&amp;"",계정매핑!$A$5:$A$504,0)),"미매핑"))</f>
        <v/>
      </c>
      <c r="X3384" s="9">
        <f>IF($A3384="","",$F3384&amp;"")</f>
        <v/>
      </c>
    </row>
    <row r="3385">
      <c r="A3385" s="75" t="n">
        <v>2026</v>
      </c>
      <c r="B3385" s="75" t="n">
        <v>6</v>
      </c>
      <c r="C3385" s="75" t="inlineStr">
        <is>
          <t>5100001041</t>
        </is>
      </c>
      <c r="D3385" s="78" t="n">
        <v>46182</v>
      </c>
      <c r="E3385" s="75" t="inlineStr">
        <is>
          <t>KR</t>
        </is>
      </c>
      <c r="F3385" s="75" t="n">
        <v>62902000</v>
      </c>
      <c r="G3385" s="75" t="n">
        <v>1401</v>
      </c>
      <c r="H3385" s="76" t="n">
        <v>2414000</v>
      </c>
      <c r="I3385" s="75" t="inlineStr">
        <is>
          <t>6월 업무 위탁 수수료 - X서비스</t>
        </is>
      </c>
      <c r="J3385" s="75" t="inlineStr">
        <is>
          <t>V10016</t>
        </is>
      </c>
      <c r="K3385" s="75" t="inlineStr">
        <is>
          <t>X서비스</t>
        </is>
      </c>
      <c r="M3385" s="9">
        <f>IF($A3385="","",VALUE($A3385&amp;"")*12+VALUE($B3385&amp;""))</f>
        <v/>
      </c>
      <c r="N3385" s="39">
        <f>IF($A3385="","",IFERROR(INDEX(부서매핑!$C$5:$C$504,MATCH($G3385&amp;"",부서매핑!$A$5:$A$504,0)),"미매핑"))</f>
        <v/>
      </c>
      <c r="O3385" s="9">
        <f>IF($A3385="","",N3385&amp;"|"&amp;$F3385)</f>
        <v/>
      </c>
      <c r="P3385" s="77">
        <f>IF($A3385="",0,$H3385*설정!$C$23)</f>
        <v/>
      </c>
      <c r="Q3385" s="39">
        <f>IF($A3385="","",IF(O3385&lt;&gt;원인분석!$C$9,"",IF(AND(M3385&gt;=원인분석!$C$10,M3385&lt;=원인분석!$C$11),"당기",IF(AND(M3385&gt;=원인분석!$C$12,M3385&lt;=원인분석!$C$13),"비교",""))))</f>
        <v/>
      </c>
      <c r="R3385" s="9">
        <f>IF(Q3385="","",$K3385&amp;"")</f>
        <v/>
      </c>
      <c r="S3385" s="9">
        <f>IF(Q3385="","",IF(MATCH(R3385,$R$5:$R$100000,0)=ROW()-4,ROW(),""))</f>
        <v/>
      </c>
      <c r="T3385" s="9">
        <f>IF(Q3385="당기",ABS(P3385)+ROW()/1000000000,"")</f>
        <v/>
      </c>
      <c r="U3385" s="9">
        <f>IF(Q3385="비교",ABS(P3385)+ROW()/1000000000,"")</f>
        <v/>
      </c>
      <c r="V3385" s="39">
        <f>IF($A3385="","",IF(COUNTIF(변동분석!$E$7:$E$506,O3385)&gt;0,"Y","N"))</f>
        <v/>
      </c>
      <c r="W3385" s="39">
        <f>IF($A3385="","",IFERROR(INDEX(계정매핑!$D$5:$D$504,MATCH($F3385&amp;"",계정매핑!$A$5:$A$504,0)),"미매핑"))</f>
        <v/>
      </c>
      <c r="X3385" s="9">
        <f>IF($A3385="","",$F3385&amp;"")</f>
        <v/>
      </c>
    </row>
    <row r="3386">
      <c r="A3386" s="75" t="n">
        <v>2026</v>
      </c>
      <c r="B3386" s="75" t="n">
        <v>6</v>
      </c>
      <c r="C3386" s="75" t="inlineStr">
        <is>
          <t>5100001042</t>
        </is>
      </c>
      <c r="D3386" s="78" t="n">
        <v>46183</v>
      </c>
      <c r="E3386" s="75" t="inlineStr">
        <is>
          <t>KR</t>
        </is>
      </c>
      <c r="F3386" s="75" t="n">
        <v>62101000</v>
      </c>
      <c r="G3386" s="75" t="n">
        <v>1301</v>
      </c>
      <c r="H3386" s="76" t="n">
        <v>414000</v>
      </c>
      <c r="I3386" s="75" t="inlineStr">
        <is>
          <t>6월 국내출장 - M항공</t>
        </is>
      </c>
      <c r="J3386" s="75" t="inlineStr">
        <is>
          <t>V10001</t>
        </is>
      </c>
      <c r="K3386" s="75" t="inlineStr">
        <is>
          <t>M항공</t>
        </is>
      </c>
      <c r="M3386" s="9">
        <f>IF($A3386="","",VALUE($A3386&amp;"")*12+VALUE($B3386&amp;""))</f>
        <v/>
      </c>
      <c r="N3386" s="39">
        <f>IF($A3386="","",IFERROR(INDEX(부서매핑!$C$5:$C$504,MATCH($G3386&amp;"",부서매핑!$A$5:$A$504,0)),"미매핑"))</f>
        <v/>
      </c>
      <c r="O3386" s="9">
        <f>IF($A3386="","",N3386&amp;"|"&amp;$F3386)</f>
        <v/>
      </c>
      <c r="P3386" s="77">
        <f>IF($A3386="",0,$H3386*설정!$C$23)</f>
        <v/>
      </c>
      <c r="Q3386" s="39">
        <f>IF($A3386="","",IF(O3386&lt;&gt;원인분석!$C$9,"",IF(AND(M3386&gt;=원인분석!$C$10,M3386&lt;=원인분석!$C$11),"당기",IF(AND(M3386&gt;=원인분석!$C$12,M3386&lt;=원인분석!$C$13),"비교",""))))</f>
        <v/>
      </c>
      <c r="R3386" s="9">
        <f>IF(Q3386="","",$K3386&amp;"")</f>
        <v/>
      </c>
      <c r="S3386" s="9">
        <f>IF(Q3386="","",IF(MATCH(R3386,$R$5:$R$100000,0)=ROW()-4,ROW(),""))</f>
        <v/>
      </c>
      <c r="T3386" s="9">
        <f>IF(Q3386="당기",ABS(P3386)+ROW()/1000000000,"")</f>
        <v/>
      </c>
      <c r="U3386" s="9">
        <f>IF(Q3386="비교",ABS(P3386)+ROW()/1000000000,"")</f>
        <v/>
      </c>
      <c r="V3386" s="39">
        <f>IF($A3386="","",IF(COUNTIF(변동분석!$E$7:$E$506,O3386)&gt;0,"Y","N"))</f>
        <v/>
      </c>
      <c r="W3386" s="39">
        <f>IF($A3386="","",IFERROR(INDEX(계정매핑!$D$5:$D$504,MATCH($F3386&amp;"",계정매핑!$A$5:$A$504,0)),"미매핑"))</f>
        <v/>
      </c>
      <c r="X3386" s="9">
        <f>IF($A3386="","",$F3386&amp;"")</f>
        <v/>
      </c>
    </row>
    <row r="3387">
      <c r="A3387" s="75" t="n">
        <v>2026</v>
      </c>
      <c r="B3387" s="75" t="n">
        <v>6</v>
      </c>
      <c r="C3387" s="75" t="inlineStr">
        <is>
          <t>5100001043</t>
        </is>
      </c>
      <c r="D3387" s="78" t="n">
        <v>46183</v>
      </c>
      <c r="E3387" s="75" t="inlineStr">
        <is>
          <t>KR</t>
        </is>
      </c>
      <c r="F3387" s="75" t="n">
        <v>62102000</v>
      </c>
      <c r="G3387" s="75" t="n">
        <v>1301</v>
      </c>
      <c r="H3387" s="76" t="n">
        <v>62000</v>
      </c>
      <c r="I3387" s="75" t="inlineStr">
        <is>
          <t>6월 해외출장 - N호텔</t>
        </is>
      </c>
      <c r="J3387" s="75" t="inlineStr">
        <is>
          <t>V10007</t>
        </is>
      </c>
      <c r="K3387" s="75" t="inlineStr">
        <is>
          <t>N호텔</t>
        </is>
      </c>
      <c r="M3387" s="9">
        <f>IF($A3387="","",VALUE($A3387&amp;"")*12+VALUE($B3387&amp;""))</f>
        <v/>
      </c>
      <c r="N3387" s="39">
        <f>IF($A3387="","",IFERROR(INDEX(부서매핑!$C$5:$C$504,MATCH($G3387&amp;"",부서매핑!$A$5:$A$504,0)),"미매핑"))</f>
        <v/>
      </c>
      <c r="O3387" s="9">
        <f>IF($A3387="","",N3387&amp;"|"&amp;$F3387)</f>
        <v/>
      </c>
      <c r="P3387" s="77">
        <f>IF($A3387="",0,$H3387*설정!$C$23)</f>
        <v/>
      </c>
      <c r="Q3387" s="39">
        <f>IF($A3387="","",IF(O3387&lt;&gt;원인분석!$C$9,"",IF(AND(M3387&gt;=원인분석!$C$10,M3387&lt;=원인분석!$C$11),"당기",IF(AND(M3387&gt;=원인분석!$C$12,M3387&lt;=원인분석!$C$13),"비교",""))))</f>
        <v/>
      </c>
      <c r="R3387" s="9">
        <f>IF(Q3387="","",$K3387&amp;"")</f>
        <v/>
      </c>
      <c r="S3387" s="9">
        <f>IF(Q3387="","",IF(MATCH(R3387,$R$5:$R$100000,0)=ROW()-4,ROW(),""))</f>
        <v/>
      </c>
      <c r="T3387" s="9">
        <f>IF(Q3387="당기",ABS(P3387)+ROW()/1000000000,"")</f>
        <v/>
      </c>
      <c r="U3387" s="9">
        <f>IF(Q3387="비교",ABS(P3387)+ROW()/1000000000,"")</f>
        <v/>
      </c>
      <c r="V3387" s="39">
        <f>IF($A3387="","",IF(COUNTIF(변동분석!$E$7:$E$506,O3387)&gt;0,"Y","N"))</f>
        <v/>
      </c>
      <c r="W3387" s="39">
        <f>IF($A3387="","",IFERROR(INDEX(계정매핑!$D$5:$D$504,MATCH($F3387&amp;"",계정매핑!$A$5:$A$504,0)),"미매핑"))</f>
        <v/>
      </c>
      <c r="X3387" s="9">
        <f>IF($A3387="","",$F3387&amp;"")</f>
        <v/>
      </c>
    </row>
    <row r="3388">
      <c r="A3388" s="75" t="n">
        <v>2026</v>
      </c>
      <c r="B3388" s="75" t="n">
        <v>6</v>
      </c>
      <c r="C3388" s="75" t="inlineStr">
        <is>
          <t>5100001044</t>
        </is>
      </c>
      <c r="D3388" s="78" t="n">
        <v>46183</v>
      </c>
      <c r="E3388" s="75" t="inlineStr">
        <is>
          <t>KR</t>
        </is>
      </c>
      <c r="F3388" s="75" t="n">
        <v>62201000</v>
      </c>
      <c r="G3388" s="75" t="n">
        <v>1502</v>
      </c>
      <c r="H3388" s="76" t="n">
        <v>264000</v>
      </c>
      <c r="I3388" s="75" t="inlineStr">
        <is>
          <t>6월 통신요금 - P통신</t>
        </is>
      </c>
      <c r="J3388" s="75" t="inlineStr">
        <is>
          <t>V10011</t>
        </is>
      </c>
      <c r="K3388" s="75" t="inlineStr">
        <is>
          <t>P통신</t>
        </is>
      </c>
      <c r="M3388" s="9">
        <f>IF($A3388="","",VALUE($A3388&amp;"")*12+VALUE($B3388&amp;""))</f>
        <v/>
      </c>
      <c r="N3388" s="39">
        <f>IF($A3388="","",IFERROR(INDEX(부서매핑!$C$5:$C$504,MATCH($G3388&amp;"",부서매핑!$A$5:$A$504,0)),"미매핑"))</f>
        <v/>
      </c>
      <c r="O3388" s="9">
        <f>IF($A3388="","",N3388&amp;"|"&amp;$F3388)</f>
        <v/>
      </c>
      <c r="P3388" s="77">
        <f>IF($A3388="",0,$H3388*설정!$C$23)</f>
        <v/>
      </c>
      <c r="Q3388" s="39">
        <f>IF($A3388="","",IF(O3388&lt;&gt;원인분석!$C$9,"",IF(AND(M3388&gt;=원인분석!$C$10,M3388&lt;=원인분석!$C$11),"당기",IF(AND(M3388&gt;=원인분석!$C$12,M3388&lt;=원인분석!$C$13),"비교",""))))</f>
        <v/>
      </c>
      <c r="R3388" s="9">
        <f>IF(Q3388="","",$K3388&amp;"")</f>
        <v/>
      </c>
      <c r="S3388" s="9">
        <f>IF(Q3388="","",IF(MATCH(R3388,$R$5:$R$100000,0)=ROW()-4,ROW(),""))</f>
        <v/>
      </c>
      <c r="T3388" s="9">
        <f>IF(Q3388="당기",ABS(P3388)+ROW()/1000000000,"")</f>
        <v/>
      </c>
      <c r="U3388" s="9">
        <f>IF(Q3388="비교",ABS(P3388)+ROW()/1000000000,"")</f>
        <v/>
      </c>
      <c r="V3388" s="39">
        <f>IF($A3388="","",IF(COUNTIF(변동분석!$E$7:$E$506,O3388)&gt;0,"Y","N"))</f>
        <v/>
      </c>
      <c r="W3388" s="39">
        <f>IF($A3388="","",IFERROR(INDEX(계정매핑!$D$5:$D$504,MATCH($F3388&amp;"",계정매핑!$A$5:$A$504,0)),"미매핑"))</f>
        <v/>
      </c>
      <c r="X3388" s="9">
        <f>IF($A3388="","",$F3388&amp;"")</f>
        <v/>
      </c>
    </row>
    <row r="3389">
      <c r="A3389" s="75" t="n">
        <v>2026</v>
      </c>
      <c r="B3389" s="75" t="n">
        <v>6</v>
      </c>
      <c r="C3389" s="75" t="inlineStr">
        <is>
          <t>5100001045</t>
        </is>
      </c>
      <c r="D3389" s="78" t="n">
        <v>46183</v>
      </c>
      <c r="E3389" s="75" t="inlineStr">
        <is>
          <t>KR</t>
        </is>
      </c>
      <c r="F3389" s="75" t="n">
        <v>62401000</v>
      </c>
      <c r="G3389" s="75" t="n">
        <v>1801</v>
      </c>
      <c r="H3389" s="76" t="n">
        <v>2028000</v>
      </c>
      <c r="I3389" s="75" t="inlineStr">
        <is>
          <t>6월 인쇄물 제작 - G인쇄</t>
        </is>
      </c>
      <c r="J3389" s="75" t="inlineStr">
        <is>
          <t>V10004</t>
        </is>
      </c>
      <c r="K3389" s="75" t="inlineStr">
        <is>
          <t>G인쇄</t>
        </is>
      </c>
      <c r="M3389" s="9">
        <f>IF($A3389="","",VALUE($A3389&amp;"")*12+VALUE($B3389&amp;""))</f>
        <v/>
      </c>
      <c r="N3389" s="39">
        <f>IF($A3389="","",IFERROR(INDEX(부서매핑!$C$5:$C$504,MATCH($G3389&amp;"",부서매핑!$A$5:$A$504,0)),"미매핑"))</f>
        <v/>
      </c>
      <c r="O3389" s="9">
        <f>IF($A3389="","",N3389&amp;"|"&amp;$F3389)</f>
        <v/>
      </c>
      <c r="P3389" s="77">
        <f>IF($A3389="",0,$H3389*설정!$C$23)</f>
        <v/>
      </c>
      <c r="Q3389" s="39">
        <f>IF($A3389="","",IF(O3389&lt;&gt;원인분석!$C$9,"",IF(AND(M3389&gt;=원인분석!$C$10,M3389&lt;=원인분석!$C$11),"당기",IF(AND(M3389&gt;=원인분석!$C$12,M3389&lt;=원인분석!$C$13),"비교",""))))</f>
        <v/>
      </c>
      <c r="R3389" s="9">
        <f>IF(Q3389="","",$K3389&amp;"")</f>
        <v/>
      </c>
      <c r="S3389" s="9">
        <f>IF(Q3389="","",IF(MATCH(R3389,$R$5:$R$100000,0)=ROW()-4,ROW(),""))</f>
        <v/>
      </c>
      <c r="T3389" s="9">
        <f>IF(Q3389="당기",ABS(P3389)+ROW()/1000000000,"")</f>
        <v/>
      </c>
      <c r="U3389" s="9">
        <f>IF(Q3389="비교",ABS(P3389)+ROW()/1000000000,"")</f>
        <v/>
      </c>
      <c r="V3389" s="39">
        <f>IF($A3389="","",IF(COUNTIF(변동분석!$E$7:$E$506,O3389)&gt;0,"Y","N"))</f>
        <v/>
      </c>
      <c r="W3389" s="39">
        <f>IF($A3389="","",IFERROR(INDEX(계정매핑!$D$5:$D$504,MATCH($F3389&amp;"",계정매핑!$A$5:$A$504,0)),"미매핑"))</f>
        <v/>
      </c>
      <c r="X3389" s="9">
        <f>IF($A3389="","",$F3389&amp;"")</f>
        <v/>
      </c>
    </row>
    <row r="3390">
      <c r="A3390" s="75" t="n">
        <v>2026</v>
      </c>
      <c r="B3390" s="75" t="n">
        <v>6</v>
      </c>
      <c r="C3390" s="75" t="inlineStr">
        <is>
          <t>5100001046</t>
        </is>
      </c>
      <c r="D3390" s="78" t="n">
        <v>46183</v>
      </c>
      <c r="E3390" s="75" t="inlineStr">
        <is>
          <t>KR</t>
        </is>
      </c>
      <c r="F3390" s="75" t="n">
        <v>62501000</v>
      </c>
      <c r="G3390" s="75" t="n">
        <v>1401</v>
      </c>
      <c r="H3390" s="76" t="n">
        <v>117000</v>
      </c>
      <c r="I3390" s="75" t="inlineStr">
        <is>
          <t>6월 회의 다과 - (법인카드)</t>
        </is>
      </c>
      <c r="J3390" s="75" t="inlineStr">
        <is>
          <t>V10008</t>
        </is>
      </c>
      <c r="K3390" s="75" t="inlineStr">
        <is>
          <t>(법인카드)</t>
        </is>
      </c>
      <c r="M3390" s="9">
        <f>IF($A3390="","",VALUE($A3390&amp;"")*12+VALUE($B3390&amp;""))</f>
        <v/>
      </c>
      <c r="N3390" s="39">
        <f>IF($A3390="","",IFERROR(INDEX(부서매핑!$C$5:$C$504,MATCH($G3390&amp;"",부서매핑!$A$5:$A$504,0)),"미매핑"))</f>
        <v/>
      </c>
      <c r="O3390" s="9">
        <f>IF($A3390="","",N3390&amp;"|"&amp;$F3390)</f>
        <v/>
      </c>
      <c r="P3390" s="77">
        <f>IF($A3390="",0,$H3390*설정!$C$23)</f>
        <v/>
      </c>
      <c r="Q3390" s="39">
        <f>IF($A3390="","",IF(O3390&lt;&gt;원인분석!$C$9,"",IF(AND(M3390&gt;=원인분석!$C$10,M3390&lt;=원인분석!$C$11),"당기",IF(AND(M3390&gt;=원인분석!$C$12,M3390&lt;=원인분석!$C$13),"비교",""))))</f>
        <v/>
      </c>
      <c r="R3390" s="9">
        <f>IF(Q3390="","",$K3390&amp;"")</f>
        <v/>
      </c>
      <c r="S3390" s="9">
        <f>IF(Q3390="","",IF(MATCH(R3390,$R$5:$R$100000,0)=ROW()-4,ROW(),""))</f>
        <v/>
      </c>
      <c r="T3390" s="9">
        <f>IF(Q3390="당기",ABS(P3390)+ROW()/1000000000,"")</f>
        <v/>
      </c>
      <c r="U3390" s="9">
        <f>IF(Q3390="비교",ABS(P3390)+ROW()/1000000000,"")</f>
        <v/>
      </c>
      <c r="V3390" s="39">
        <f>IF($A3390="","",IF(COUNTIF(변동분석!$E$7:$E$506,O3390)&gt;0,"Y","N"))</f>
        <v/>
      </c>
      <c r="W3390" s="39">
        <f>IF($A3390="","",IFERROR(INDEX(계정매핑!$D$5:$D$504,MATCH($F3390&amp;"",계정매핑!$A$5:$A$504,0)),"미매핑"))</f>
        <v/>
      </c>
      <c r="X3390" s="9">
        <f>IF($A3390="","",$F3390&amp;"")</f>
        <v/>
      </c>
    </row>
    <row r="3391">
      <c r="A3391" s="75" t="n">
        <v>2026</v>
      </c>
      <c r="B3391" s="75" t="n">
        <v>6</v>
      </c>
      <c r="C3391" s="75" t="inlineStr">
        <is>
          <t>5100001047</t>
        </is>
      </c>
      <c r="D3391" s="78" t="n">
        <v>46183</v>
      </c>
      <c r="E3391" s="75" t="inlineStr">
        <is>
          <t>KR</t>
        </is>
      </c>
      <c r="F3391" s="75" t="n">
        <v>62501000</v>
      </c>
      <c r="G3391" s="75" t="n">
        <v>1501</v>
      </c>
      <c r="H3391" s="76" t="n">
        <v>417000</v>
      </c>
      <c r="I3391" s="75" t="inlineStr">
        <is>
          <t>6월 회의 다과 - T케이터링</t>
        </is>
      </c>
      <c r="J3391" s="75" t="inlineStr">
        <is>
          <t>V10005</t>
        </is>
      </c>
      <c r="K3391" s="75" t="inlineStr">
        <is>
          <t>T케이터링</t>
        </is>
      </c>
      <c r="M3391" s="9">
        <f>IF($A3391="","",VALUE($A3391&amp;"")*12+VALUE($B3391&amp;""))</f>
        <v/>
      </c>
      <c r="N3391" s="39">
        <f>IF($A3391="","",IFERROR(INDEX(부서매핑!$C$5:$C$504,MATCH($G3391&amp;"",부서매핑!$A$5:$A$504,0)),"미매핑"))</f>
        <v/>
      </c>
      <c r="O3391" s="9">
        <f>IF($A3391="","",N3391&amp;"|"&amp;$F3391)</f>
        <v/>
      </c>
      <c r="P3391" s="77">
        <f>IF($A3391="",0,$H3391*설정!$C$23)</f>
        <v/>
      </c>
      <c r="Q3391" s="39">
        <f>IF($A3391="","",IF(O3391&lt;&gt;원인분석!$C$9,"",IF(AND(M3391&gt;=원인분석!$C$10,M3391&lt;=원인분석!$C$11),"당기",IF(AND(M3391&gt;=원인분석!$C$12,M3391&lt;=원인분석!$C$13),"비교",""))))</f>
        <v/>
      </c>
      <c r="R3391" s="9">
        <f>IF(Q3391="","",$K3391&amp;"")</f>
        <v/>
      </c>
      <c r="S3391" s="9">
        <f>IF(Q3391="","",IF(MATCH(R3391,$R$5:$R$100000,0)=ROW()-4,ROW(),""))</f>
        <v/>
      </c>
      <c r="T3391" s="9">
        <f>IF(Q3391="당기",ABS(P3391)+ROW()/1000000000,"")</f>
        <v/>
      </c>
      <c r="U3391" s="9">
        <f>IF(Q3391="비교",ABS(P3391)+ROW()/1000000000,"")</f>
        <v/>
      </c>
      <c r="V3391" s="39">
        <f>IF($A3391="","",IF(COUNTIF(변동분석!$E$7:$E$506,O3391)&gt;0,"Y","N"))</f>
        <v/>
      </c>
      <c r="W3391" s="39">
        <f>IF($A3391="","",IFERROR(INDEX(계정매핑!$D$5:$D$504,MATCH($F3391&amp;"",계정매핑!$A$5:$A$504,0)),"미매핑"))</f>
        <v/>
      </c>
      <c r="X3391" s="9">
        <f>IF($A3391="","",$F3391&amp;"")</f>
        <v/>
      </c>
    </row>
    <row r="3392">
      <c r="A3392" s="75" t="n">
        <v>2026</v>
      </c>
      <c r="B3392" s="75" t="n">
        <v>6</v>
      </c>
      <c r="C3392" s="75" t="inlineStr">
        <is>
          <t>5100001048</t>
        </is>
      </c>
      <c r="D3392" s="78" t="n">
        <v>46183</v>
      </c>
      <c r="E3392" s="75" t="inlineStr">
        <is>
          <t>KR</t>
        </is>
      </c>
      <c r="F3392" s="75" t="n">
        <v>62901000</v>
      </c>
      <c r="G3392" s="75" t="n">
        <v>1101</v>
      </c>
      <c r="H3392" s="76" t="n">
        <v>3054000</v>
      </c>
      <c r="I3392" s="75" t="inlineStr">
        <is>
          <t>6월 자문 수수료 - W컨설팅</t>
        </is>
      </c>
      <c r="J3392" s="75" t="inlineStr">
        <is>
          <t>V10009</t>
        </is>
      </c>
      <c r="K3392" s="75" t="inlineStr">
        <is>
          <t>W컨설팅</t>
        </is>
      </c>
      <c r="M3392" s="9">
        <f>IF($A3392="","",VALUE($A3392&amp;"")*12+VALUE($B3392&amp;""))</f>
        <v/>
      </c>
      <c r="N3392" s="39">
        <f>IF($A3392="","",IFERROR(INDEX(부서매핑!$C$5:$C$504,MATCH($G3392&amp;"",부서매핑!$A$5:$A$504,0)),"미매핑"))</f>
        <v/>
      </c>
      <c r="O3392" s="9">
        <f>IF($A3392="","",N3392&amp;"|"&amp;$F3392)</f>
        <v/>
      </c>
      <c r="P3392" s="77">
        <f>IF($A3392="",0,$H3392*설정!$C$23)</f>
        <v/>
      </c>
      <c r="Q3392" s="39">
        <f>IF($A3392="","",IF(O3392&lt;&gt;원인분석!$C$9,"",IF(AND(M3392&gt;=원인분석!$C$10,M3392&lt;=원인분석!$C$11),"당기",IF(AND(M3392&gt;=원인분석!$C$12,M3392&lt;=원인분석!$C$13),"비교",""))))</f>
        <v/>
      </c>
      <c r="R3392" s="9">
        <f>IF(Q3392="","",$K3392&amp;"")</f>
        <v/>
      </c>
      <c r="S3392" s="9">
        <f>IF(Q3392="","",IF(MATCH(R3392,$R$5:$R$100000,0)=ROW()-4,ROW(),""))</f>
        <v/>
      </c>
      <c r="T3392" s="9">
        <f>IF(Q3392="당기",ABS(P3392)+ROW()/1000000000,"")</f>
        <v/>
      </c>
      <c r="U3392" s="9">
        <f>IF(Q3392="비교",ABS(P3392)+ROW()/1000000000,"")</f>
        <v/>
      </c>
      <c r="V3392" s="39">
        <f>IF($A3392="","",IF(COUNTIF(변동분석!$E$7:$E$506,O3392)&gt;0,"Y","N"))</f>
        <v/>
      </c>
      <c r="W3392" s="39">
        <f>IF($A3392="","",IFERROR(INDEX(계정매핑!$D$5:$D$504,MATCH($F3392&amp;"",계정매핑!$A$5:$A$504,0)),"미매핑"))</f>
        <v/>
      </c>
      <c r="X3392" s="9">
        <f>IF($A3392="","",$F3392&amp;"")</f>
        <v/>
      </c>
    </row>
    <row r="3393">
      <c r="A3393" s="75" t="n">
        <v>2026</v>
      </c>
      <c r="B3393" s="75" t="n">
        <v>6</v>
      </c>
      <c r="C3393" s="75" t="inlineStr">
        <is>
          <t>5100001049</t>
        </is>
      </c>
      <c r="D3393" s="78" t="n">
        <v>46183</v>
      </c>
      <c r="E3393" s="75" t="inlineStr">
        <is>
          <t>KR</t>
        </is>
      </c>
      <c r="F3393" s="75" t="n">
        <v>62902000</v>
      </c>
      <c r="G3393" s="75" t="n">
        <v>1101</v>
      </c>
      <c r="H3393" s="76" t="n">
        <v>3014000</v>
      </c>
      <c r="I3393" s="75" t="inlineStr">
        <is>
          <t>6월 업무 위탁 수수료 - J콜센터</t>
        </is>
      </c>
      <c r="J3393" s="75" t="inlineStr">
        <is>
          <t>V10013</t>
        </is>
      </c>
      <c r="K3393" s="75" t="inlineStr">
        <is>
          <t>J콜센터</t>
        </is>
      </c>
      <c r="M3393" s="9">
        <f>IF($A3393="","",VALUE($A3393&amp;"")*12+VALUE($B3393&amp;""))</f>
        <v/>
      </c>
      <c r="N3393" s="39">
        <f>IF($A3393="","",IFERROR(INDEX(부서매핑!$C$5:$C$504,MATCH($G3393&amp;"",부서매핑!$A$5:$A$504,0)),"미매핑"))</f>
        <v/>
      </c>
      <c r="O3393" s="9">
        <f>IF($A3393="","",N3393&amp;"|"&amp;$F3393)</f>
        <v/>
      </c>
      <c r="P3393" s="77">
        <f>IF($A3393="",0,$H3393*설정!$C$23)</f>
        <v/>
      </c>
      <c r="Q3393" s="39">
        <f>IF($A3393="","",IF(O3393&lt;&gt;원인분석!$C$9,"",IF(AND(M3393&gt;=원인분석!$C$10,M3393&lt;=원인분석!$C$11),"당기",IF(AND(M3393&gt;=원인분석!$C$12,M3393&lt;=원인분석!$C$13),"비교",""))))</f>
        <v/>
      </c>
      <c r="R3393" s="9">
        <f>IF(Q3393="","",$K3393&amp;"")</f>
        <v/>
      </c>
      <c r="S3393" s="9">
        <f>IF(Q3393="","",IF(MATCH(R3393,$R$5:$R$100000,0)=ROW()-4,ROW(),""))</f>
        <v/>
      </c>
      <c r="T3393" s="9">
        <f>IF(Q3393="당기",ABS(P3393)+ROW()/1000000000,"")</f>
        <v/>
      </c>
      <c r="U3393" s="9">
        <f>IF(Q3393="비교",ABS(P3393)+ROW()/1000000000,"")</f>
        <v/>
      </c>
      <c r="V3393" s="39">
        <f>IF($A3393="","",IF(COUNTIF(변동분석!$E$7:$E$506,O3393)&gt;0,"Y","N"))</f>
        <v/>
      </c>
      <c r="W3393" s="39">
        <f>IF($A3393="","",IFERROR(INDEX(계정매핑!$D$5:$D$504,MATCH($F3393&amp;"",계정매핑!$A$5:$A$504,0)),"미매핑"))</f>
        <v/>
      </c>
      <c r="X3393" s="9">
        <f>IF($A3393="","",$F3393&amp;"")</f>
        <v/>
      </c>
    </row>
    <row r="3394">
      <c r="A3394" s="75" t="n">
        <v>2026</v>
      </c>
      <c r="B3394" s="75" t="n">
        <v>6</v>
      </c>
      <c r="C3394" s="75" t="inlineStr">
        <is>
          <t>5100001050</t>
        </is>
      </c>
      <c r="D3394" s="78" t="n">
        <v>46183</v>
      </c>
      <c r="E3394" s="75" t="inlineStr">
        <is>
          <t>KR</t>
        </is>
      </c>
      <c r="F3394" s="75" t="n">
        <v>62902000</v>
      </c>
      <c r="G3394" s="75" t="n">
        <v>1101</v>
      </c>
      <c r="H3394" s="76" t="n">
        <v>2289000</v>
      </c>
      <c r="I3394" s="75" t="inlineStr">
        <is>
          <t>6월 업무 위탁 수수료 - X서비스</t>
        </is>
      </c>
      <c r="J3394" s="75" t="inlineStr">
        <is>
          <t>V10016</t>
        </is>
      </c>
      <c r="K3394" s="75" t="inlineStr">
        <is>
          <t>X서비스</t>
        </is>
      </c>
      <c r="M3394" s="9">
        <f>IF($A3394="","",VALUE($A3394&amp;"")*12+VALUE($B3394&amp;""))</f>
        <v/>
      </c>
      <c r="N3394" s="39">
        <f>IF($A3394="","",IFERROR(INDEX(부서매핑!$C$5:$C$504,MATCH($G3394&amp;"",부서매핑!$A$5:$A$504,0)),"미매핑"))</f>
        <v/>
      </c>
      <c r="O3394" s="9">
        <f>IF($A3394="","",N3394&amp;"|"&amp;$F3394)</f>
        <v/>
      </c>
      <c r="P3394" s="77">
        <f>IF($A3394="",0,$H3394*설정!$C$23)</f>
        <v/>
      </c>
      <c r="Q3394" s="39">
        <f>IF($A3394="","",IF(O3394&lt;&gt;원인분석!$C$9,"",IF(AND(M3394&gt;=원인분석!$C$10,M3394&lt;=원인분석!$C$11),"당기",IF(AND(M3394&gt;=원인분석!$C$12,M3394&lt;=원인분석!$C$13),"비교",""))))</f>
        <v/>
      </c>
      <c r="R3394" s="9">
        <f>IF(Q3394="","",$K3394&amp;"")</f>
        <v/>
      </c>
      <c r="S3394" s="9">
        <f>IF(Q3394="","",IF(MATCH(R3394,$R$5:$R$100000,0)=ROW()-4,ROW(),""))</f>
        <v/>
      </c>
      <c r="T3394" s="9">
        <f>IF(Q3394="당기",ABS(P3394)+ROW()/1000000000,"")</f>
        <v/>
      </c>
      <c r="U3394" s="9">
        <f>IF(Q3394="비교",ABS(P3394)+ROW()/1000000000,"")</f>
        <v/>
      </c>
      <c r="V3394" s="39">
        <f>IF($A3394="","",IF(COUNTIF(변동분석!$E$7:$E$506,O3394)&gt;0,"Y","N"))</f>
        <v/>
      </c>
      <c r="W3394" s="39">
        <f>IF($A3394="","",IFERROR(INDEX(계정매핑!$D$5:$D$504,MATCH($F3394&amp;"",계정매핑!$A$5:$A$504,0)),"미매핑"))</f>
        <v/>
      </c>
      <c r="X3394" s="9">
        <f>IF($A3394="","",$F3394&amp;"")</f>
        <v/>
      </c>
    </row>
    <row r="3395">
      <c r="A3395" s="75" t="n">
        <v>2026</v>
      </c>
      <c r="B3395" s="75" t="n">
        <v>6</v>
      </c>
      <c r="C3395" s="75" t="inlineStr">
        <is>
          <t>5100001051</t>
        </is>
      </c>
      <c r="D3395" s="78" t="n">
        <v>46183</v>
      </c>
      <c r="E3395" s="75" t="inlineStr">
        <is>
          <t>KR</t>
        </is>
      </c>
      <c r="F3395" s="75" t="n">
        <v>63101000</v>
      </c>
      <c r="G3395" s="75" t="n">
        <v>1602</v>
      </c>
      <c r="H3395" s="76" t="n">
        <v>4267000</v>
      </c>
      <c r="I3395" s="75" t="inlineStr">
        <is>
          <t>6월 사무실 임차료 - AA빌딩</t>
        </is>
      </c>
      <c r="J3395" s="75" t="inlineStr">
        <is>
          <t>V10006</t>
        </is>
      </c>
      <c r="K3395" s="75" t="inlineStr">
        <is>
          <t>AA빌딩</t>
        </is>
      </c>
      <c r="M3395" s="9">
        <f>IF($A3395="","",VALUE($A3395&amp;"")*12+VALUE($B3395&amp;""))</f>
        <v/>
      </c>
      <c r="N3395" s="39">
        <f>IF($A3395="","",IFERROR(INDEX(부서매핑!$C$5:$C$504,MATCH($G3395&amp;"",부서매핑!$A$5:$A$504,0)),"미매핑"))</f>
        <v/>
      </c>
      <c r="O3395" s="9">
        <f>IF($A3395="","",N3395&amp;"|"&amp;$F3395)</f>
        <v/>
      </c>
      <c r="P3395" s="77">
        <f>IF($A3395="",0,$H3395*설정!$C$23)</f>
        <v/>
      </c>
      <c r="Q3395" s="39">
        <f>IF($A3395="","",IF(O3395&lt;&gt;원인분석!$C$9,"",IF(AND(M3395&gt;=원인분석!$C$10,M3395&lt;=원인분석!$C$11),"당기",IF(AND(M3395&gt;=원인분석!$C$12,M3395&lt;=원인분석!$C$13),"비교",""))))</f>
        <v/>
      </c>
      <c r="R3395" s="9">
        <f>IF(Q3395="","",$K3395&amp;"")</f>
        <v/>
      </c>
      <c r="S3395" s="9">
        <f>IF(Q3395="","",IF(MATCH(R3395,$R$5:$R$100000,0)=ROW()-4,ROW(),""))</f>
        <v/>
      </c>
      <c r="T3395" s="9">
        <f>IF(Q3395="당기",ABS(P3395)+ROW()/1000000000,"")</f>
        <v/>
      </c>
      <c r="U3395" s="9">
        <f>IF(Q3395="비교",ABS(P3395)+ROW()/1000000000,"")</f>
        <v/>
      </c>
      <c r="V3395" s="39">
        <f>IF($A3395="","",IF(COUNTIF(변동분석!$E$7:$E$506,O3395)&gt;0,"Y","N"))</f>
        <v/>
      </c>
      <c r="W3395" s="39">
        <f>IF($A3395="","",IFERROR(INDEX(계정매핑!$D$5:$D$504,MATCH($F3395&amp;"",계정매핑!$A$5:$A$504,0)),"미매핑"))</f>
        <v/>
      </c>
      <c r="X3395" s="9">
        <f>IF($A3395="","",$F3395&amp;"")</f>
        <v/>
      </c>
    </row>
    <row r="3396">
      <c r="A3396" s="75" t="n">
        <v>2026</v>
      </c>
      <c r="B3396" s="75" t="n">
        <v>6</v>
      </c>
      <c r="C3396" s="75" t="inlineStr">
        <is>
          <t>5100001052</t>
        </is>
      </c>
      <c r="D3396" s="78" t="n">
        <v>46184</v>
      </c>
      <c r="E3396" s="75" t="inlineStr">
        <is>
          <t>KR</t>
        </is>
      </c>
      <c r="F3396" s="75" t="n">
        <v>62101000</v>
      </c>
      <c r="G3396" s="75" t="n">
        <v>1201</v>
      </c>
      <c r="H3396" s="76" t="n">
        <v>352000</v>
      </c>
      <c r="I3396" s="75" t="inlineStr">
        <is>
          <t>6월 국내출장 - M항공</t>
        </is>
      </c>
      <c r="J3396" s="75" t="inlineStr">
        <is>
          <t>V10001</t>
        </is>
      </c>
      <c r="K3396" s="75" t="inlineStr">
        <is>
          <t>M항공</t>
        </is>
      </c>
      <c r="M3396" s="9">
        <f>IF($A3396="","",VALUE($A3396&amp;"")*12+VALUE($B3396&amp;""))</f>
        <v/>
      </c>
      <c r="N3396" s="39">
        <f>IF($A3396="","",IFERROR(INDEX(부서매핑!$C$5:$C$504,MATCH($G3396&amp;"",부서매핑!$A$5:$A$504,0)),"미매핑"))</f>
        <v/>
      </c>
      <c r="O3396" s="9">
        <f>IF($A3396="","",N3396&amp;"|"&amp;$F3396)</f>
        <v/>
      </c>
      <c r="P3396" s="77">
        <f>IF($A3396="",0,$H3396*설정!$C$23)</f>
        <v/>
      </c>
      <c r="Q3396" s="39">
        <f>IF($A3396="","",IF(O3396&lt;&gt;원인분석!$C$9,"",IF(AND(M3396&gt;=원인분석!$C$10,M3396&lt;=원인분석!$C$11),"당기",IF(AND(M3396&gt;=원인분석!$C$12,M3396&lt;=원인분석!$C$13),"비교",""))))</f>
        <v/>
      </c>
      <c r="R3396" s="9">
        <f>IF(Q3396="","",$K3396&amp;"")</f>
        <v/>
      </c>
      <c r="S3396" s="9">
        <f>IF(Q3396="","",IF(MATCH(R3396,$R$5:$R$100000,0)=ROW()-4,ROW(),""))</f>
        <v/>
      </c>
      <c r="T3396" s="9">
        <f>IF(Q3396="당기",ABS(P3396)+ROW()/1000000000,"")</f>
        <v/>
      </c>
      <c r="U3396" s="9">
        <f>IF(Q3396="비교",ABS(P3396)+ROW()/1000000000,"")</f>
        <v/>
      </c>
      <c r="V3396" s="39">
        <f>IF($A3396="","",IF(COUNTIF(변동분석!$E$7:$E$506,O3396)&gt;0,"Y","N"))</f>
        <v/>
      </c>
      <c r="W3396" s="39">
        <f>IF($A3396="","",IFERROR(INDEX(계정매핑!$D$5:$D$504,MATCH($F3396&amp;"",계정매핑!$A$5:$A$504,0)),"미매핑"))</f>
        <v/>
      </c>
      <c r="X3396" s="9">
        <f>IF($A3396="","",$F3396&amp;"")</f>
        <v/>
      </c>
    </row>
    <row r="3397">
      <c r="A3397" s="75" t="n">
        <v>2026</v>
      </c>
      <c r="B3397" s="75" t="n">
        <v>6</v>
      </c>
      <c r="C3397" s="75" t="inlineStr">
        <is>
          <t>5100001053</t>
        </is>
      </c>
      <c r="D3397" s="78" t="n">
        <v>46184</v>
      </c>
      <c r="E3397" s="75" t="inlineStr">
        <is>
          <t>KR</t>
        </is>
      </c>
      <c r="F3397" s="75" t="n">
        <v>62101000</v>
      </c>
      <c r="G3397" s="75" t="n">
        <v>1701</v>
      </c>
      <c r="H3397" s="76" t="n">
        <v>318000</v>
      </c>
      <c r="I3397" s="75" t="inlineStr">
        <is>
          <t>6월 국내출장 - L여행사</t>
        </is>
      </c>
      <c r="J3397" s="75" t="inlineStr">
        <is>
          <t>V10014</t>
        </is>
      </c>
      <c r="K3397" s="75" t="inlineStr">
        <is>
          <t>L여행사</t>
        </is>
      </c>
      <c r="M3397" s="9">
        <f>IF($A3397="","",VALUE($A3397&amp;"")*12+VALUE($B3397&amp;""))</f>
        <v/>
      </c>
      <c r="N3397" s="39">
        <f>IF($A3397="","",IFERROR(INDEX(부서매핑!$C$5:$C$504,MATCH($G3397&amp;"",부서매핑!$A$5:$A$504,0)),"미매핑"))</f>
        <v/>
      </c>
      <c r="O3397" s="9">
        <f>IF($A3397="","",N3397&amp;"|"&amp;$F3397)</f>
        <v/>
      </c>
      <c r="P3397" s="77">
        <f>IF($A3397="",0,$H3397*설정!$C$23)</f>
        <v/>
      </c>
      <c r="Q3397" s="39">
        <f>IF($A3397="","",IF(O3397&lt;&gt;원인분석!$C$9,"",IF(AND(M3397&gt;=원인분석!$C$10,M3397&lt;=원인분석!$C$11),"당기",IF(AND(M3397&gt;=원인분석!$C$12,M3397&lt;=원인분석!$C$13),"비교",""))))</f>
        <v/>
      </c>
      <c r="R3397" s="9">
        <f>IF(Q3397="","",$K3397&amp;"")</f>
        <v/>
      </c>
      <c r="S3397" s="9">
        <f>IF(Q3397="","",IF(MATCH(R3397,$R$5:$R$100000,0)=ROW()-4,ROW(),""))</f>
        <v/>
      </c>
      <c r="T3397" s="9">
        <f>IF(Q3397="당기",ABS(P3397)+ROW()/1000000000,"")</f>
        <v/>
      </c>
      <c r="U3397" s="9">
        <f>IF(Q3397="비교",ABS(P3397)+ROW()/1000000000,"")</f>
        <v/>
      </c>
      <c r="V3397" s="39">
        <f>IF($A3397="","",IF(COUNTIF(변동분석!$E$7:$E$506,O3397)&gt;0,"Y","N"))</f>
        <v/>
      </c>
      <c r="W3397" s="39">
        <f>IF($A3397="","",IFERROR(INDEX(계정매핑!$D$5:$D$504,MATCH($F3397&amp;"",계정매핑!$A$5:$A$504,0)),"미매핑"))</f>
        <v/>
      </c>
      <c r="X3397" s="9">
        <f>IF($A3397="","",$F3397&amp;"")</f>
        <v/>
      </c>
    </row>
    <row r="3398">
      <c r="A3398" s="75" t="n">
        <v>2026</v>
      </c>
      <c r="B3398" s="75" t="n">
        <v>6</v>
      </c>
      <c r="C3398" s="75" t="inlineStr">
        <is>
          <t>5100001054</t>
        </is>
      </c>
      <c r="D3398" s="78" t="n">
        <v>46184</v>
      </c>
      <c r="E3398" s="75" t="inlineStr">
        <is>
          <t>KR</t>
        </is>
      </c>
      <c r="F3398" s="75" t="n">
        <v>62101000</v>
      </c>
      <c r="G3398" s="75" t="n">
        <v>1701</v>
      </c>
      <c r="H3398" s="76" t="n">
        <v>197000</v>
      </c>
      <c r="I3398" s="75" t="inlineStr">
        <is>
          <t>6월 국내출장 - L여행사</t>
        </is>
      </c>
      <c r="J3398" s="75" t="inlineStr">
        <is>
          <t>V10014</t>
        </is>
      </c>
      <c r="K3398" s="75" t="inlineStr">
        <is>
          <t>L여행사</t>
        </is>
      </c>
      <c r="M3398" s="9">
        <f>IF($A3398="","",VALUE($A3398&amp;"")*12+VALUE($B3398&amp;""))</f>
        <v/>
      </c>
      <c r="N3398" s="39">
        <f>IF($A3398="","",IFERROR(INDEX(부서매핑!$C$5:$C$504,MATCH($G3398&amp;"",부서매핑!$A$5:$A$504,0)),"미매핑"))</f>
        <v/>
      </c>
      <c r="O3398" s="9">
        <f>IF($A3398="","",N3398&amp;"|"&amp;$F3398)</f>
        <v/>
      </c>
      <c r="P3398" s="77">
        <f>IF($A3398="",0,$H3398*설정!$C$23)</f>
        <v/>
      </c>
      <c r="Q3398" s="39">
        <f>IF($A3398="","",IF(O3398&lt;&gt;원인분석!$C$9,"",IF(AND(M3398&gt;=원인분석!$C$10,M3398&lt;=원인분석!$C$11),"당기",IF(AND(M3398&gt;=원인분석!$C$12,M3398&lt;=원인분석!$C$13),"비교",""))))</f>
        <v/>
      </c>
      <c r="R3398" s="9">
        <f>IF(Q3398="","",$K3398&amp;"")</f>
        <v/>
      </c>
      <c r="S3398" s="9">
        <f>IF(Q3398="","",IF(MATCH(R3398,$R$5:$R$100000,0)=ROW()-4,ROW(),""))</f>
        <v/>
      </c>
      <c r="T3398" s="9">
        <f>IF(Q3398="당기",ABS(P3398)+ROW()/1000000000,"")</f>
        <v/>
      </c>
      <c r="U3398" s="9">
        <f>IF(Q3398="비교",ABS(P3398)+ROW()/1000000000,"")</f>
        <v/>
      </c>
      <c r="V3398" s="39">
        <f>IF($A3398="","",IF(COUNTIF(변동분석!$E$7:$E$506,O3398)&gt;0,"Y","N"))</f>
        <v/>
      </c>
      <c r="W3398" s="39">
        <f>IF($A3398="","",IFERROR(INDEX(계정매핑!$D$5:$D$504,MATCH($F3398&amp;"",계정매핑!$A$5:$A$504,0)),"미매핑"))</f>
        <v/>
      </c>
      <c r="X3398" s="9">
        <f>IF($A3398="","",$F3398&amp;"")</f>
        <v/>
      </c>
    </row>
    <row r="3399">
      <c r="A3399" s="75" t="n">
        <v>2026</v>
      </c>
      <c r="B3399" s="75" t="n">
        <v>6</v>
      </c>
      <c r="C3399" s="75" t="inlineStr">
        <is>
          <t>5100001055</t>
        </is>
      </c>
      <c r="D3399" s="78" t="n">
        <v>46184</v>
      </c>
      <c r="E3399" s="75" t="inlineStr">
        <is>
          <t>KR</t>
        </is>
      </c>
      <c r="F3399" s="75" t="n">
        <v>62102000</v>
      </c>
      <c r="G3399" s="75" t="n">
        <v>1801</v>
      </c>
      <c r="H3399" s="76" t="n">
        <v>24000</v>
      </c>
      <c r="I3399" s="75" t="inlineStr">
        <is>
          <t>6월 해외출장 - N호텔</t>
        </is>
      </c>
      <c r="J3399" s="75" t="inlineStr">
        <is>
          <t>V10007</t>
        </is>
      </c>
      <c r="K3399" s="75" t="inlineStr">
        <is>
          <t>N호텔</t>
        </is>
      </c>
      <c r="M3399" s="9">
        <f>IF($A3399="","",VALUE($A3399&amp;"")*12+VALUE($B3399&amp;""))</f>
        <v/>
      </c>
      <c r="N3399" s="39">
        <f>IF($A3399="","",IFERROR(INDEX(부서매핑!$C$5:$C$504,MATCH($G3399&amp;"",부서매핑!$A$5:$A$504,0)),"미매핑"))</f>
        <v/>
      </c>
      <c r="O3399" s="9">
        <f>IF($A3399="","",N3399&amp;"|"&amp;$F3399)</f>
        <v/>
      </c>
      <c r="P3399" s="77">
        <f>IF($A3399="",0,$H3399*설정!$C$23)</f>
        <v/>
      </c>
      <c r="Q3399" s="39">
        <f>IF($A3399="","",IF(O3399&lt;&gt;원인분석!$C$9,"",IF(AND(M3399&gt;=원인분석!$C$10,M3399&lt;=원인분석!$C$11),"당기",IF(AND(M3399&gt;=원인분석!$C$12,M3399&lt;=원인분석!$C$13),"비교",""))))</f>
        <v/>
      </c>
      <c r="R3399" s="9">
        <f>IF(Q3399="","",$K3399&amp;"")</f>
        <v/>
      </c>
      <c r="S3399" s="9">
        <f>IF(Q3399="","",IF(MATCH(R3399,$R$5:$R$100000,0)=ROW()-4,ROW(),""))</f>
        <v/>
      </c>
      <c r="T3399" s="9">
        <f>IF(Q3399="당기",ABS(P3399)+ROW()/1000000000,"")</f>
        <v/>
      </c>
      <c r="U3399" s="9">
        <f>IF(Q3399="비교",ABS(P3399)+ROW()/1000000000,"")</f>
        <v/>
      </c>
      <c r="V3399" s="39">
        <f>IF($A3399="","",IF(COUNTIF(변동분석!$E$7:$E$506,O3399)&gt;0,"Y","N"))</f>
        <v/>
      </c>
      <c r="W3399" s="39">
        <f>IF($A3399="","",IFERROR(INDEX(계정매핑!$D$5:$D$504,MATCH($F3399&amp;"",계정매핑!$A$5:$A$504,0)),"미매핑"))</f>
        <v/>
      </c>
      <c r="X3399" s="9">
        <f>IF($A3399="","",$F3399&amp;"")</f>
        <v/>
      </c>
    </row>
    <row r="3400">
      <c r="A3400" s="75" t="n">
        <v>2026</v>
      </c>
      <c r="B3400" s="75" t="n">
        <v>6</v>
      </c>
      <c r="C3400" s="75" t="inlineStr">
        <is>
          <t>5100001056</t>
        </is>
      </c>
      <c r="D3400" s="78" t="n">
        <v>46184</v>
      </c>
      <c r="E3400" s="75" t="inlineStr">
        <is>
          <t>KR</t>
        </is>
      </c>
      <c r="F3400" s="75" t="n">
        <v>62301000</v>
      </c>
      <c r="G3400" s="75" t="n">
        <v>1201</v>
      </c>
      <c r="H3400" s="76" t="n">
        <v>182000</v>
      </c>
      <c r="I3400" s="75" t="inlineStr">
        <is>
          <t>6월 소모품 구입 - R문구</t>
        </is>
      </c>
      <c r="J3400" s="75" t="inlineStr">
        <is>
          <t>V10018</t>
        </is>
      </c>
      <c r="K3400" s="75" t="inlineStr">
        <is>
          <t>R문구</t>
        </is>
      </c>
      <c r="M3400" s="9">
        <f>IF($A3400="","",VALUE($A3400&amp;"")*12+VALUE($B3400&amp;""))</f>
        <v/>
      </c>
      <c r="N3400" s="39">
        <f>IF($A3400="","",IFERROR(INDEX(부서매핑!$C$5:$C$504,MATCH($G3400&amp;"",부서매핑!$A$5:$A$504,0)),"미매핑"))</f>
        <v/>
      </c>
      <c r="O3400" s="9">
        <f>IF($A3400="","",N3400&amp;"|"&amp;$F3400)</f>
        <v/>
      </c>
      <c r="P3400" s="77">
        <f>IF($A3400="",0,$H3400*설정!$C$23)</f>
        <v/>
      </c>
      <c r="Q3400" s="39">
        <f>IF($A3400="","",IF(O3400&lt;&gt;원인분석!$C$9,"",IF(AND(M3400&gt;=원인분석!$C$10,M3400&lt;=원인분석!$C$11),"당기",IF(AND(M3400&gt;=원인분석!$C$12,M3400&lt;=원인분석!$C$13),"비교",""))))</f>
        <v/>
      </c>
      <c r="R3400" s="9">
        <f>IF(Q3400="","",$K3400&amp;"")</f>
        <v/>
      </c>
      <c r="S3400" s="9">
        <f>IF(Q3400="","",IF(MATCH(R3400,$R$5:$R$100000,0)=ROW()-4,ROW(),""))</f>
        <v/>
      </c>
      <c r="T3400" s="9">
        <f>IF(Q3400="당기",ABS(P3400)+ROW()/1000000000,"")</f>
        <v/>
      </c>
      <c r="U3400" s="9">
        <f>IF(Q3400="비교",ABS(P3400)+ROW()/1000000000,"")</f>
        <v/>
      </c>
      <c r="V3400" s="39">
        <f>IF($A3400="","",IF(COUNTIF(변동분석!$E$7:$E$506,O3400)&gt;0,"Y","N"))</f>
        <v/>
      </c>
      <c r="W3400" s="39">
        <f>IF($A3400="","",IFERROR(INDEX(계정매핑!$D$5:$D$504,MATCH($F3400&amp;"",계정매핑!$A$5:$A$504,0)),"미매핑"))</f>
        <v/>
      </c>
      <c r="X3400" s="9">
        <f>IF($A3400="","",$F3400&amp;"")</f>
        <v/>
      </c>
    </row>
    <row r="3401">
      <c r="A3401" s="75" t="n">
        <v>2026</v>
      </c>
      <c r="B3401" s="75" t="n">
        <v>6</v>
      </c>
      <c r="C3401" s="75" t="inlineStr">
        <is>
          <t>5100001057</t>
        </is>
      </c>
      <c r="D3401" s="78" t="n">
        <v>46184</v>
      </c>
      <c r="E3401" s="75" t="inlineStr">
        <is>
          <t>KR</t>
        </is>
      </c>
      <c r="F3401" s="75" t="n">
        <v>62801000</v>
      </c>
      <c r="G3401" s="75" t="n">
        <v>1301</v>
      </c>
      <c r="H3401" s="76" t="n">
        <v>4781000</v>
      </c>
      <c r="I3401" s="75" t="inlineStr">
        <is>
          <t>6월 사내교육 - (사내강사료)</t>
        </is>
      </c>
      <c r="J3401" s="75" t="inlineStr">
        <is>
          <t>V10020</t>
        </is>
      </c>
      <c r="K3401" s="75" t="inlineStr">
        <is>
          <t>(사내강사료)</t>
        </is>
      </c>
      <c r="M3401" s="9">
        <f>IF($A3401="","",VALUE($A3401&amp;"")*12+VALUE($B3401&amp;""))</f>
        <v/>
      </c>
      <c r="N3401" s="39">
        <f>IF($A3401="","",IFERROR(INDEX(부서매핑!$C$5:$C$504,MATCH($G3401&amp;"",부서매핑!$A$5:$A$504,0)),"미매핑"))</f>
        <v/>
      </c>
      <c r="O3401" s="9">
        <f>IF($A3401="","",N3401&amp;"|"&amp;$F3401)</f>
        <v/>
      </c>
      <c r="P3401" s="77">
        <f>IF($A3401="",0,$H3401*설정!$C$23)</f>
        <v/>
      </c>
      <c r="Q3401" s="39">
        <f>IF($A3401="","",IF(O3401&lt;&gt;원인분석!$C$9,"",IF(AND(M3401&gt;=원인분석!$C$10,M3401&lt;=원인분석!$C$11),"당기",IF(AND(M3401&gt;=원인분석!$C$12,M3401&lt;=원인분석!$C$13),"비교",""))))</f>
        <v/>
      </c>
      <c r="R3401" s="9">
        <f>IF(Q3401="","",$K3401&amp;"")</f>
        <v/>
      </c>
      <c r="S3401" s="9">
        <f>IF(Q3401="","",IF(MATCH(R3401,$R$5:$R$100000,0)=ROW()-4,ROW(),""))</f>
        <v/>
      </c>
      <c r="T3401" s="9">
        <f>IF(Q3401="당기",ABS(P3401)+ROW()/1000000000,"")</f>
        <v/>
      </c>
      <c r="U3401" s="9">
        <f>IF(Q3401="비교",ABS(P3401)+ROW()/1000000000,"")</f>
        <v/>
      </c>
      <c r="V3401" s="39">
        <f>IF($A3401="","",IF(COUNTIF(변동분석!$E$7:$E$506,O3401)&gt;0,"Y","N"))</f>
        <v/>
      </c>
      <c r="W3401" s="39">
        <f>IF($A3401="","",IFERROR(INDEX(계정매핑!$D$5:$D$504,MATCH($F3401&amp;"",계정매핑!$A$5:$A$504,0)),"미매핑"))</f>
        <v/>
      </c>
      <c r="X3401" s="9">
        <f>IF($A3401="","",$F3401&amp;"")</f>
        <v/>
      </c>
    </row>
    <row r="3402">
      <c r="A3402" s="75" t="n">
        <v>2026</v>
      </c>
      <c r="B3402" s="75" t="n">
        <v>6</v>
      </c>
      <c r="C3402" s="75" t="inlineStr">
        <is>
          <t>5100001058</t>
        </is>
      </c>
      <c r="D3402" s="78" t="n">
        <v>46184</v>
      </c>
      <c r="E3402" s="75" t="inlineStr">
        <is>
          <t>KR</t>
        </is>
      </c>
      <c r="F3402" s="75" t="n">
        <v>62901000</v>
      </c>
      <c r="G3402" s="75" t="n">
        <v>1101</v>
      </c>
      <c r="H3402" s="76" t="n">
        <v>3048000</v>
      </c>
      <c r="I3402" s="75" t="inlineStr">
        <is>
          <t>6월 자문 수수료 - W컨설팅</t>
        </is>
      </c>
      <c r="J3402" s="75" t="inlineStr">
        <is>
          <t>V10009</t>
        </is>
      </c>
      <c r="K3402" s="75" t="inlineStr">
        <is>
          <t>W컨설팅</t>
        </is>
      </c>
      <c r="M3402" s="9">
        <f>IF($A3402="","",VALUE($A3402&amp;"")*12+VALUE($B3402&amp;""))</f>
        <v/>
      </c>
      <c r="N3402" s="39">
        <f>IF($A3402="","",IFERROR(INDEX(부서매핑!$C$5:$C$504,MATCH($G3402&amp;"",부서매핑!$A$5:$A$504,0)),"미매핑"))</f>
        <v/>
      </c>
      <c r="O3402" s="9">
        <f>IF($A3402="","",N3402&amp;"|"&amp;$F3402)</f>
        <v/>
      </c>
      <c r="P3402" s="77">
        <f>IF($A3402="",0,$H3402*설정!$C$23)</f>
        <v/>
      </c>
      <c r="Q3402" s="39">
        <f>IF($A3402="","",IF(O3402&lt;&gt;원인분석!$C$9,"",IF(AND(M3402&gt;=원인분석!$C$10,M3402&lt;=원인분석!$C$11),"당기",IF(AND(M3402&gt;=원인분석!$C$12,M3402&lt;=원인분석!$C$13),"비교",""))))</f>
        <v/>
      </c>
      <c r="R3402" s="9">
        <f>IF(Q3402="","",$K3402&amp;"")</f>
        <v/>
      </c>
      <c r="S3402" s="9">
        <f>IF(Q3402="","",IF(MATCH(R3402,$R$5:$R$100000,0)=ROW()-4,ROW(),""))</f>
        <v/>
      </c>
      <c r="T3402" s="9">
        <f>IF(Q3402="당기",ABS(P3402)+ROW()/1000000000,"")</f>
        <v/>
      </c>
      <c r="U3402" s="9">
        <f>IF(Q3402="비교",ABS(P3402)+ROW()/1000000000,"")</f>
        <v/>
      </c>
      <c r="V3402" s="39">
        <f>IF($A3402="","",IF(COUNTIF(변동분석!$E$7:$E$506,O3402)&gt;0,"Y","N"))</f>
        <v/>
      </c>
      <c r="W3402" s="39">
        <f>IF($A3402="","",IFERROR(INDEX(계정매핑!$D$5:$D$504,MATCH($F3402&amp;"",계정매핑!$A$5:$A$504,0)),"미매핑"))</f>
        <v/>
      </c>
      <c r="X3402" s="9">
        <f>IF($A3402="","",$F3402&amp;"")</f>
        <v/>
      </c>
    </row>
    <row r="3403">
      <c r="A3403" s="75" t="n">
        <v>2026</v>
      </c>
      <c r="B3403" s="75" t="n">
        <v>6</v>
      </c>
      <c r="C3403" s="75" t="inlineStr">
        <is>
          <t>5100001059</t>
        </is>
      </c>
      <c r="D3403" s="78" t="n">
        <v>46184</v>
      </c>
      <c r="E3403" s="75" t="inlineStr">
        <is>
          <t>KR</t>
        </is>
      </c>
      <c r="F3403" s="75" t="n">
        <v>62901000</v>
      </c>
      <c r="G3403" s="75" t="n">
        <v>1401</v>
      </c>
      <c r="H3403" s="76" t="n">
        <v>9147000</v>
      </c>
      <c r="I3403" s="75" t="inlineStr">
        <is>
          <t>6월 자문 수수료 - W컨설팅</t>
        </is>
      </c>
      <c r="J3403" s="75" t="inlineStr">
        <is>
          <t>V10009</t>
        </is>
      </c>
      <c r="K3403" s="75" t="inlineStr">
        <is>
          <t>W컨설팅</t>
        </is>
      </c>
      <c r="M3403" s="9">
        <f>IF($A3403="","",VALUE($A3403&amp;"")*12+VALUE($B3403&amp;""))</f>
        <v/>
      </c>
      <c r="N3403" s="39">
        <f>IF($A3403="","",IFERROR(INDEX(부서매핑!$C$5:$C$504,MATCH($G3403&amp;"",부서매핑!$A$5:$A$504,0)),"미매핑"))</f>
        <v/>
      </c>
      <c r="O3403" s="9">
        <f>IF($A3403="","",N3403&amp;"|"&amp;$F3403)</f>
        <v/>
      </c>
      <c r="P3403" s="77">
        <f>IF($A3403="",0,$H3403*설정!$C$23)</f>
        <v/>
      </c>
      <c r="Q3403" s="39">
        <f>IF($A3403="","",IF(O3403&lt;&gt;원인분석!$C$9,"",IF(AND(M3403&gt;=원인분석!$C$10,M3403&lt;=원인분석!$C$11),"당기",IF(AND(M3403&gt;=원인분석!$C$12,M3403&lt;=원인분석!$C$13),"비교",""))))</f>
        <v/>
      </c>
      <c r="R3403" s="9">
        <f>IF(Q3403="","",$K3403&amp;"")</f>
        <v/>
      </c>
      <c r="S3403" s="9">
        <f>IF(Q3403="","",IF(MATCH(R3403,$R$5:$R$100000,0)=ROW()-4,ROW(),""))</f>
        <v/>
      </c>
      <c r="T3403" s="9">
        <f>IF(Q3403="당기",ABS(P3403)+ROW()/1000000000,"")</f>
        <v/>
      </c>
      <c r="U3403" s="9">
        <f>IF(Q3403="비교",ABS(P3403)+ROW()/1000000000,"")</f>
        <v/>
      </c>
      <c r="V3403" s="39">
        <f>IF($A3403="","",IF(COUNTIF(변동분석!$E$7:$E$506,O3403)&gt;0,"Y","N"))</f>
        <v/>
      </c>
      <c r="W3403" s="39">
        <f>IF($A3403="","",IFERROR(INDEX(계정매핑!$D$5:$D$504,MATCH($F3403&amp;"",계정매핑!$A$5:$A$504,0)),"미매핑"))</f>
        <v/>
      </c>
      <c r="X3403" s="9">
        <f>IF($A3403="","",$F3403&amp;"")</f>
        <v/>
      </c>
    </row>
    <row r="3404">
      <c r="A3404" s="75" t="n">
        <v>2026</v>
      </c>
      <c r="B3404" s="75" t="n">
        <v>6</v>
      </c>
      <c r="C3404" s="75" t="inlineStr">
        <is>
          <t>5100001060</t>
        </is>
      </c>
      <c r="D3404" s="78" t="n">
        <v>46185</v>
      </c>
      <c r="E3404" s="75" t="inlineStr">
        <is>
          <t>KR</t>
        </is>
      </c>
      <c r="F3404" s="75" t="n">
        <v>62301000</v>
      </c>
      <c r="G3404" s="75" t="n">
        <v>1401</v>
      </c>
      <c r="H3404" s="76" t="n">
        <v>157000</v>
      </c>
      <c r="I3404" s="75" t="inlineStr">
        <is>
          <t>6월 소모품 구입 - Q오피스</t>
        </is>
      </c>
      <c r="J3404" s="75" t="inlineStr">
        <is>
          <t>V10003</t>
        </is>
      </c>
      <c r="K3404" s="75" t="inlineStr">
        <is>
          <t>Q오피스</t>
        </is>
      </c>
      <c r="M3404" s="9">
        <f>IF($A3404="","",VALUE($A3404&amp;"")*12+VALUE($B3404&amp;""))</f>
        <v/>
      </c>
      <c r="N3404" s="39">
        <f>IF($A3404="","",IFERROR(INDEX(부서매핑!$C$5:$C$504,MATCH($G3404&amp;"",부서매핑!$A$5:$A$504,0)),"미매핑"))</f>
        <v/>
      </c>
      <c r="O3404" s="9">
        <f>IF($A3404="","",N3404&amp;"|"&amp;$F3404)</f>
        <v/>
      </c>
      <c r="P3404" s="77">
        <f>IF($A3404="",0,$H3404*설정!$C$23)</f>
        <v/>
      </c>
      <c r="Q3404" s="39">
        <f>IF($A3404="","",IF(O3404&lt;&gt;원인분석!$C$9,"",IF(AND(M3404&gt;=원인분석!$C$10,M3404&lt;=원인분석!$C$11),"당기",IF(AND(M3404&gt;=원인분석!$C$12,M3404&lt;=원인분석!$C$13),"비교",""))))</f>
        <v/>
      </c>
      <c r="R3404" s="9">
        <f>IF(Q3404="","",$K3404&amp;"")</f>
        <v/>
      </c>
      <c r="S3404" s="9">
        <f>IF(Q3404="","",IF(MATCH(R3404,$R$5:$R$100000,0)=ROW()-4,ROW(),""))</f>
        <v/>
      </c>
      <c r="T3404" s="9">
        <f>IF(Q3404="당기",ABS(P3404)+ROW()/1000000000,"")</f>
        <v/>
      </c>
      <c r="U3404" s="9">
        <f>IF(Q3404="비교",ABS(P3404)+ROW()/1000000000,"")</f>
        <v/>
      </c>
      <c r="V3404" s="39">
        <f>IF($A3404="","",IF(COUNTIF(변동분석!$E$7:$E$506,O3404)&gt;0,"Y","N"))</f>
        <v/>
      </c>
      <c r="W3404" s="39">
        <f>IF($A3404="","",IFERROR(INDEX(계정매핑!$D$5:$D$504,MATCH($F3404&amp;"",계정매핑!$A$5:$A$504,0)),"미매핑"))</f>
        <v/>
      </c>
      <c r="X3404" s="9">
        <f>IF($A3404="","",$F3404&amp;"")</f>
        <v/>
      </c>
    </row>
    <row r="3405">
      <c r="A3405" s="75" t="n">
        <v>2026</v>
      </c>
      <c r="B3405" s="75" t="n">
        <v>6</v>
      </c>
      <c r="C3405" s="75" t="inlineStr">
        <is>
          <t>5100001061</t>
        </is>
      </c>
      <c r="D3405" s="78" t="n">
        <v>46185</v>
      </c>
      <c r="E3405" s="75" t="inlineStr">
        <is>
          <t>KR</t>
        </is>
      </c>
      <c r="F3405" s="75" t="n">
        <v>62301000</v>
      </c>
      <c r="G3405" s="75" t="n">
        <v>1801</v>
      </c>
      <c r="H3405" s="76" t="n">
        <v>300000</v>
      </c>
      <c r="I3405" s="75" t="inlineStr">
        <is>
          <t>6월 소모품 구입 - Q오피스</t>
        </is>
      </c>
      <c r="J3405" s="75" t="inlineStr">
        <is>
          <t>V10003</t>
        </is>
      </c>
      <c r="K3405" s="75" t="inlineStr">
        <is>
          <t>Q오피스</t>
        </is>
      </c>
      <c r="M3405" s="9">
        <f>IF($A3405="","",VALUE($A3405&amp;"")*12+VALUE($B3405&amp;""))</f>
        <v/>
      </c>
      <c r="N3405" s="39">
        <f>IF($A3405="","",IFERROR(INDEX(부서매핑!$C$5:$C$504,MATCH($G3405&amp;"",부서매핑!$A$5:$A$504,0)),"미매핑"))</f>
        <v/>
      </c>
      <c r="O3405" s="9">
        <f>IF($A3405="","",N3405&amp;"|"&amp;$F3405)</f>
        <v/>
      </c>
      <c r="P3405" s="77">
        <f>IF($A3405="",0,$H3405*설정!$C$23)</f>
        <v/>
      </c>
      <c r="Q3405" s="39">
        <f>IF($A3405="","",IF(O3405&lt;&gt;원인분석!$C$9,"",IF(AND(M3405&gt;=원인분석!$C$10,M3405&lt;=원인분석!$C$11),"당기",IF(AND(M3405&gt;=원인분석!$C$12,M3405&lt;=원인분석!$C$13),"비교",""))))</f>
        <v/>
      </c>
      <c r="R3405" s="9">
        <f>IF(Q3405="","",$K3405&amp;"")</f>
        <v/>
      </c>
      <c r="S3405" s="9">
        <f>IF(Q3405="","",IF(MATCH(R3405,$R$5:$R$100000,0)=ROW()-4,ROW(),""))</f>
        <v/>
      </c>
      <c r="T3405" s="9">
        <f>IF(Q3405="당기",ABS(P3405)+ROW()/1000000000,"")</f>
        <v/>
      </c>
      <c r="U3405" s="9">
        <f>IF(Q3405="비교",ABS(P3405)+ROW()/1000000000,"")</f>
        <v/>
      </c>
      <c r="V3405" s="39">
        <f>IF($A3405="","",IF(COUNTIF(변동분석!$E$7:$E$506,O3405)&gt;0,"Y","N"))</f>
        <v/>
      </c>
      <c r="W3405" s="39">
        <f>IF($A3405="","",IFERROR(INDEX(계정매핑!$D$5:$D$504,MATCH($F3405&amp;"",계정매핑!$A$5:$A$504,0)),"미매핑"))</f>
        <v/>
      </c>
      <c r="X3405" s="9">
        <f>IF($A3405="","",$F3405&amp;"")</f>
        <v/>
      </c>
    </row>
    <row r="3406">
      <c r="A3406" s="75" t="n">
        <v>2026</v>
      </c>
      <c r="B3406" s="75" t="n">
        <v>6</v>
      </c>
      <c r="C3406" s="75" t="inlineStr">
        <is>
          <t>5100001062</t>
        </is>
      </c>
      <c r="D3406" s="78" t="n">
        <v>46185</v>
      </c>
      <c r="E3406" s="75" t="inlineStr">
        <is>
          <t>KR</t>
        </is>
      </c>
      <c r="F3406" s="75" t="n">
        <v>62501000</v>
      </c>
      <c r="G3406" s="75" t="n">
        <v>1401</v>
      </c>
      <c r="H3406" s="76" t="n">
        <v>105000</v>
      </c>
      <c r="I3406" s="75" t="inlineStr">
        <is>
          <t>6월 회의 다과 - T케이터링</t>
        </is>
      </c>
      <c r="J3406" s="75" t="inlineStr">
        <is>
          <t>V10005</t>
        </is>
      </c>
      <c r="K3406" s="75" t="inlineStr">
        <is>
          <t>T케이터링</t>
        </is>
      </c>
      <c r="M3406" s="9">
        <f>IF($A3406="","",VALUE($A3406&amp;"")*12+VALUE($B3406&amp;""))</f>
        <v/>
      </c>
      <c r="N3406" s="39">
        <f>IF($A3406="","",IFERROR(INDEX(부서매핑!$C$5:$C$504,MATCH($G3406&amp;"",부서매핑!$A$5:$A$504,0)),"미매핑"))</f>
        <v/>
      </c>
      <c r="O3406" s="9">
        <f>IF($A3406="","",N3406&amp;"|"&amp;$F3406)</f>
        <v/>
      </c>
      <c r="P3406" s="77">
        <f>IF($A3406="",0,$H3406*설정!$C$23)</f>
        <v/>
      </c>
      <c r="Q3406" s="39">
        <f>IF($A3406="","",IF(O3406&lt;&gt;원인분석!$C$9,"",IF(AND(M3406&gt;=원인분석!$C$10,M3406&lt;=원인분석!$C$11),"당기",IF(AND(M3406&gt;=원인분석!$C$12,M3406&lt;=원인분석!$C$13),"비교",""))))</f>
        <v/>
      </c>
      <c r="R3406" s="9">
        <f>IF(Q3406="","",$K3406&amp;"")</f>
        <v/>
      </c>
      <c r="S3406" s="9">
        <f>IF(Q3406="","",IF(MATCH(R3406,$R$5:$R$100000,0)=ROW()-4,ROW(),""))</f>
        <v/>
      </c>
      <c r="T3406" s="9">
        <f>IF(Q3406="당기",ABS(P3406)+ROW()/1000000000,"")</f>
        <v/>
      </c>
      <c r="U3406" s="9">
        <f>IF(Q3406="비교",ABS(P3406)+ROW()/1000000000,"")</f>
        <v/>
      </c>
      <c r="V3406" s="39">
        <f>IF($A3406="","",IF(COUNTIF(변동분석!$E$7:$E$506,O3406)&gt;0,"Y","N"))</f>
        <v/>
      </c>
      <c r="W3406" s="39">
        <f>IF($A3406="","",IFERROR(INDEX(계정매핑!$D$5:$D$504,MATCH($F3406&amp;"",계정매핑!$A$5:$A$504,0)),"미매핑"))</f>
        <v/>
      </c>
      <c r="X3406" s="9">
        <f>IF($A3406="","",$F3406&amp;"")</f>
        <v/>
      </c>
    </row>
    <row r="3407">
      <c r="A3407" s="75" t="n">
        <v>2026</v>
      </c>
      <c r="B3407" s="75" t="n">
        <v>6</v>
      </c>
      <c r="C3407" s="75" t="inlineStr">
        <is>
          <t>5100001063</t>
        </is>
      </c>
      <c r="D3407" s="78" t="n">
        <v>46185</v>
      </c>
      <c r="E3407" s="75" t="inlineStr">
        <is>
          <t>KR</t>
        </is>
      </c>
      <c r="F3407" s="75" t="n">
        <v>62701000</v>
      </c>
      <c r="G3407" s="75" t="n">
        <v>1502</v>
      </c>
      <c r="H3407" s="76" t="n">
        <v>40911000</v>
      </c>
      <c r="I3407" s="75" t="inlineStr">
        <is>
          <t>6월 광고 집행 - E미디어</t>
        </is>
      </c>
      <c r="J3407" s="75" t="inlineStr">
        <is>
          <t>V10027</t>
        </is>
      </c>
      <c r="K3407" s="75" t="inlineStr">
        <is>
          <t>E미디어</t>
        </is>
      </c>
      <c r="M3407" s="9">
        <f>IF($A3407="","",VALUE($A3407&amp;"")*12+VALUE($B3407&amp;""))</f>
        <v/>
      </c>
      <c r="N3407" s="39">
        <f>IF($A3407="","",IFERROR(INDEX(부서매핑!$C$5:$C$504,MATCH($G3407&amp;"",부서매핑!$A$5:$A$504,0)),"미매핑"))</f>
        <v/>
      </c>
      <c r="O3407" s="9">
        <f>IF($A3407="","",N3407&amp;"|"&amp;$F3407)</f>
        <v/>
      </c>
      <c r="P3407" s="77">
        <f>IF($A3407="",0,$H3407*설정!$C$23)</f>
        <v/>
      </c>
      <c r="Q3407" s="39">
        <f>IF($A3407="","",IF(O3407&lt;&gt;원인분석!$C$9,"",IF(AND(M3407&gt;=원인분석!$C$10,M3407&lt;=원인분석!$C$11),"당기",IF(AND(M3407&gt;=원인분석!$C$12,M3407&lt;=원인분석!$C$13),"비교",""))))</f>
        <v/>
      </c>
      <c r="R3407" s="9">
        <f>IF(Q3407="","",$K3407&amp;"")</f>
        <v/>
      </c>
      <c r="S3407" s="9">
        <f>IF(Q3407="","",IF(MATCH(R3407,$R$5:$R$100000,0)=ROW()-4,ROW(),""))</f>
        <v/>
      </c>
      <c r="T3407" s="9">
        <f>IF(Q3407="당기",ABS(P3407)+ROW()/1000000000,"")</f>
        <v/>
      </c>
      <c r="U3407" s="9">
        <f>IF(Q3407="비교",ABS(P3407)+ROW()/1000000000,"")</f>
        <v/>
      </c>
      <c r="V3407" s="39">
        <f>IF($A3407="","",IF(COUNTIF(변동분석!$E$7:$E$506,O3407)&gt;0,"Y","N"))</f>
        <v/>
      </c>
      <c r="W3407" s="39">
        <f>IF($A3407="","",IFERROR(INDEX(계정매핑!$D$5:$D$504,MATCH($F3407&amp;"",계정매핑!$A$5:$A$504,0)),"미매핑"))</f>
        <v/>
      </c>
      <c r="X3407" s="9">
        <f>IF($A3407="","",$F3407&amp;"")</f>
        <v/>
      </c>
    </row>
    <row r="3408">
      <c r="A3408" s="75" t="n">
        <v>2026</v>
      </c>
      <c r="B3408" s="75" t="n">
        <v>6</v>
      </c>
      <c r="C3408" s="75" t="inlineStr">
        <is>
          <t>5100001064</t>
        </is>
      </c>
      <c r="D3408" s="78" t="n">
        <v>46185</v>
      </c>
      <c r="E3408" s="75" t="inlineStr">
        <is>
          <t>KR</t>
        </is>
      </c>
      <c r="F3408" s="75" t="n">
        <v>62902000</v>
      </c>
      <c r="G3408" s="75" t="n">
        <v>1801</v>
      </c>
      <c r="H3408" s="76" t="n">
        <v>1851000</v>
      </c>
      <c r="I3408" s="75" t="inlineStr">
        <is>
          <t>6월 콜 위탁 수수료(건별)</t>
        </is>
      </c>
      <c r="J3408" s="75" t="inlineStr">
        <is>
          <t>V10013</t>
        </is>
      </c>
      <c r="K3408" s="75" t="inlineStr">
        <is>
          <t>J콜센터</t>
        </is>
      </c>
      <c r="M3408" s="9">
        <f>IF($A3408="","",VALUE($A3408&amp;"")*12+VALUE($B3408&amp;""))</f>
        <v/>
      </c>
      <c r="N3408" s="39">
        <f>IF($A3408="","",IFERROR(INDEX(부서매핑!$C$5:$C$504,MATCH($G3408&amp;"",부서매핑!$A$5:$A$504,0)),"미매핑"))</f>
        <v/>
      </c>
      <c r="O3408" s="9">
        <f>IF($A3408="","",N3408&amp;"|"&amp;$F3408)</f>
        <v/>
      </c>
      <c r="P3408" s="77">
        <f>IF($A3408="",0,$H3408*설정!$C$23)</f>
        <v/>
      </c>
      <c r="Q3408" s="39">
        <f>IF($A3408="","",IF(O3408&lt;&gt;원인분석!$C$9,"",IF(AND(M3408&gt;=원인분석!$C$10,M3408&lt;=원인분석!$C$11),"당기",IF(AND(M3408&gt;=원인분석!$C$12,M3408&lt;=원인분석!$C$13),"비교",""))))</f>
        <v/>
      </c>
      <c r="R3408" s="9">
        <f>IF(Q3408="","",$K3408&amp;"")</f>
        <v/>
      </c>
      <c r="S3408" s="9">
        <f>IF(Q3408="","",IF(MATCH(R3408,$R$5:$R$100000,0)=ROW()-4,ROW(),""))</f>
        <v/>
      </c>
      <c r="T3408" s="9">
        <f>IF(Q3408="당기",ABS(P3408)+ROW()/1000000000,"")</f>
        <v/>
      </c>
      <c r="U3408" s="9">
        <f>IF(Q3408="비교",ABS(P3408)+ROW()/1000000000,"")</f>
        <v/>
      </c>
      <c r="V3408" s="39">
        <f>IF($A3408="","",IF(COUNTIF(변동분석!$E$7:$E$506,O3408)&gt;0,"Y","N"))</f>
        <v/>
      </c>
      <c r="W3408" s="39">
        <f>IF($A3408="","",IFERROR(INDEX(계정매핑!$D$5:$D$504,MATCH($F3408&amp;"",계정매핑!$A$5:$A$504,0)),"미매핑"))</f>
        <v/>
      </c>
      <c r="X3408" s="9">
        <f>IF($A3408="","",$F3408&amp;"")</f>
        <v/>
      </c>
    </row>
    <row r="3409">
      <c r="A3409" s="75" t="n">
        <v>2026</v>
      </c>
      <c r="B3409" s="75" t="n">
        <v>6</v>
      </c>
      <c r="C3409" s="75" t="inlineStr">
        <is>
          <t>5100001065</t>
        </is>
      </c>
      <c r="D3409" s="78" t="n">
        <v>46186</v>
      </c>
      <c r="E3409" s="75" t="inlineStr">
        <is>
          <t>KR</t>
        </is>
      </c>
      <c r="F3409" s="75" t="n">
        <v>62102000</v>
      </c>
      <c r="G3409" s="75" t="n">
        <v>1101</v>
      </c>
      <c r="H3409" s="76" t="n">
        <v>154000</v>
      </c>
      <c r="I3409" s="75" t="inlineStr">
        <is>
          <t>6월 해외출장 - N호텔</t>
        </is>
      </c>
      <c r="J3409" s="75" t="inlineStr">
        <is>
          <t>V10007</t>
        </is>
      </c>
      <c r="K3409" s="75" t="inlineStr">
        <is>
          <t>N호텔</t>
        </is>
      </c>
      <c r="M3409" s="9">
        <f>IF($A3409="","",VALUE($A3409&amp;"")*12+VALUE($B3409&amp;""))</f>
        <v/>
      </c>
      <c r="N3409" s="39">
        <f>IF($A3409="","",IFERROR(INDEX(부서매핑!$C$5:$C$504,MATCH($G3409&amp;"",부서매핑!$A$5:$A$504,0)),"미매핑"))</f>
        <v/>
      </c>
      <c r="O3409" s="9">
        <f>IF($A3409="","",N3409&amp;"|"&amp;$F3409)</f>
        <v/>
      </c>
      <c r="P3409" s="77">
        <f>IF($A3409="",0,$H3409*설정!$C$23)</f>
        <v/>
      </c>
      <c r="Q3409" s="39">
        <f>IF($A3409="","",IF(O3409&lt;&gt;원인분석!$C$9,"",IF(AND(M3409&gt;=원인분석!$C$10,M3409&lt;=원인분석!$C$11),"당기",IF(AND(M3409&gt;=원인분석!$C$12,M3409&lt;=원인분석!$C$13),"비교",""))))</f>
        <v/>
      </c>
      <c r="R3409" s="9">
        <f>IF(Q3409="","",$K3409&amp;"")</f>
        <v/>
      </c>
      <c r="S3409" s="9">
        <f>IF(Q3409="","",IF(MATCH(R3409,$R$5:$R$100000,0)=ROW()-4,ROW(),""))</f>
        <v/>
      </c>
      <c r="T3409" s="9">
        <f>IF(Q3409="당기",ABS(P3409)+ROW()/1000000000,"")</f>
        <v/>
      </c>
      <c r="U3409" s="9">
        <f>IF(Q3409="비교",ABS(P3409)+ROW()/1000000000,"")</f>
        <v/>
      </c>
      <c r="V3409" s="39">
        <f>IF($A3409="","",IF(COUNTIF(변동분석!$E$7:$E$506,O3409)&gt;0,"Y","N"))</f>
        <v/>
      </c>
      <c r="W3409" s="39">
        <f>IF($A3409="","",IFERROR(INDEX(계정매핑!$D$5:$D$504,MATCH($F3409&amp;"",계정매핑!$A$5:$A$504,0)),"미매핑"))</f>
        <v/>
      </c>
      <c r="X3409" s="9">
        <f>IF($A3409="","",$F3409&amp;"")</f>
        <v/>
      </c>
    </row>
    <row r="3410">
      <c r="A3410" s="75" t="n">
        <v>2026</v>
      </c>
      <c r="B3410" s="75" t="n">
        <v>6</v>
      </c>
      <c r="C3410" s="75" t="inlineStr">
        <is>
          <t>5100001066</t>
        </is>
      </c>
      <c r="D3410" s="78" t="n">
        <v>46186</v>
      </c>
      <c r="E3410" s="75" t="inlineStr">
        <is>
          <t>KR</t>
        </is>
      </c>
      <c r="F3410" s="75" t="n">
        <v>62102000</v>
      </c>
      <c r="G3410" s="75" t="n">
        <v>1801</v>
      </c>
      <c r="H3410" s="76" t="n">
        <v>41000</v>
      </c>
      <c r="I3410" s="75" t="inlineStr">
        <is>
          <t>6월 해외출장 - M항공</t>
        </is>
      </c>
      <c r="J3410" s="75" t="inlineStr">
        <is>
          <t>V10001</t>
        </is>
      </c>
      <c r="K3410" s="75" t="inlineStr">
        <is>
          <t>M항공</t>
        </is>
      </c>
      <c r="M3410" s="9">
        <f>IF($A3410="","",VALUE($A3410&amp;"")*12+VALUE($B3410&amp;""))</f>
        <v/>
      </c>
      <c r="N3410" s="39">
        <f>IF($A3410="","",IFERROR(INDEX(부서매핑!$C$5:$C$504,MATCH($G3410&amp;"",부서매핑!$A$5:$A$504,0)),"미매핑"))</f>
        <v/>
      </c>
      <c r="O3410" s="9">
        <f>IF($A3410="","",N3410&amp;"|"&amp;$F3410)</f>
        <v/>
      </c>
      <c r="P3410" s="77">
        <f>IF($A3410="",0,$H3410*설정!$C$23)</f>
        <v/>
      </c>
      <c r="Q3410" s="39">
        <f>IF($A3410="","",IF(O3410&lt;&gt;원인분석!$C$9,"",IF(AND(M3410&gt;=원인분석!$C$10,M3410&lt;=원인분석!$C$11),"당기",IF(AND(M3410&gt;=원인분석!$C$12,M3410&lt;=원인분석!$C$13),"비교",""))))</f>
        <v/>
      </c>
      <c r="R3410" s="9">
        <f>IF(Q3410="","",$K3410&amp;"")</f>
        <v/>
      </c>
      <c r="S3410" s="9">
        <f>IF(Q3410="","",IF(MATCH(R3410,$R$5:$R$100000,0)=ROW()-4,ROW(),""))</f>
        <v/>
      </c>
      <c r="T3410" s="9">
        <f>IF(Q3410="당기",ABS(P3410)+ROW()/1000000000,"")</f>
        <v/>
      </c>
      <c r="U3410" s="9">
        <f>IF(Q3410="비교",ABS(P3410)+ROW()/1000000000,"")</f>
        <v/>
      </c>
      <c r="V3410" s="39">
        <f>IF($A3410="","",IF(COUNTIF(변동분석!$E$7:$E$506,O3410)&gt;0,"Y","N"))</f>
        <v/>
      </c>
      <c r="W3410" s="39">
        <f>IF($A3410="","",IFERROR(INDEX(계정매핑!$D$5:$D$504,MATCH($F3410&amp;"",계정매핑!$A$5:$A$504,0)),"미매핑"))</f>
        <v/>
      </c>
      <c r="X3410" s="9">
        <f>IF($A3410="","",$F3410&amp;"")</f>
        <v/>
      </c>
    </row>
    <row r="3411">
      <c r="A3411" s="75" t="n">
        <v>2026</v>
      </c>
      <c r="B3411" s="75" t="n">
        <v>6</v>
      </c>
      <c r="C3411" s="75" t="inlineStr">
        <is>
          <t>5100001067</t>
        </is>
      </c>
      <c r="D3411" s="78" t="n">
        <v>46186</v>
      </c>
      <c r="E3411" s="75" t="inlineStr">
        <is>
          <t>KR</t>
        </is>
      </c>
      <c r="F3411" s="75" t="n">
        <v>62201000</v>
      </c>
      <c r="G3411" s="75" t="n">
        <v>1601</v>
      </c>
      <c r="H3411" s="76" t="n">
        <v>719000</v>
      </c>
      <c r="I3411" s="75" t="inlineStr">
        <is>
          <t>6월 통신요금 - P통신</t>
        </is>
      </c>
      <c r="J3411" s="75" t="inlineStr">
        <is>
          <t>V10011</t>
        </is>
      </c>
      <c r="K3411" s="75" t="inlineStr">
        <is>
          <t>P통신</t>
        </is>
      </c>
      <c r="M3411" s="9">
        <f>IF($A3411="","",VALUE($A3411&amp;"")*12+VALUE($B3411&amp;""))</f>
        <v/>
      </c>
      <c r="N3411" s="39">
        <f>IF($A3411="","",IFERROR(INDEX(부서매핑!$C$5:$C$504,MATCH($G3411&amp;"",부서매핑!$A$5:$A$504,0)),"미매핑"))</f>
        <v/>
      </c>
      <c r="O3411" s="9">
        <f>IF($A3411="","",N3411&amp;"|"&amp;$F3411)</f>
        <v/>
      </c>
      <c r="P3411" s="77">
        <f>IF($A3411="",0,$H3411*설정!$C$23)</f>
        <v/>
      </c>
      <c r="Q3411" s="39">
        <f>IF($A3411="","",IF(O3411&lt;&gt;원인분석!$C$9,"",IF(AND(M3411&gt;=원인분석!$C$10,M3411&lt;=원인분석!$C$11),"당기",IF(AND(M3411&gt;=원인분석!$C$12,M3411&lt;=원인분석!$C$13),"비교",""))))</f>
        <v/>
      </c>
      <c r="R3411" s="9">
        <f>IF(Q3411="","",$K3411&amp;"")</f>
        <v/>
      </c>
      <c r="S3411" s="9">
        <f>IF(Q3411="","",IF(MATCH(R3411,$R$5:$R$100000,0)=ROW()-4,ROW(),""))</f>
        <v/>
      </c>
      <c r="T3411" s="9">
        <f>IF(Q3411="당기",ABS(P3411)+ROW()/1000000000,"")</f>
        <v/>
      </c>
      <c r="U3411" s="9">
        <f>IF(Q3411="비교",ABS(P3411)+ROW()/1000000000,"")</f>
        <v/>
      </c>
      <c r="V3411" s="39">
        <f>IF($A3411="","",IF(COUNTIF(변동분석!$E$7:$E$506,O3411)&gt;0,"Y","N"))</f>
        <v/>
      </c>
      <c r="W3411" s="39">
        <f>IF($A3411="","",IFERROR(INDEX(계정매핑!$D$5:$D$504,MATCH($F3411&amp;"",계정매핑!$A$5:$A$504,0)),"미매핑"))</f>
        <v/>
      </c>
      <c r="X3411" s="9">
        <f>IF($A3411="","",$F3411&amp;"")</f>
        <v/>
      </c>
    </row>
    <row r="3412">
      <c r="A3412" s="75" t="n">
        <v>2026</v>
      </c>
      <c r="B3412" s="75" t="n">
        <v>6</v>
      </c>
      <c r="C3412" s="75" t="inlineStr">
        <is>
          <t>5100001068</t>
        </is>
      </c>
      <c r="D3412" s="78" t="n">
        <v>46186</v>
      </c>
      <c r="E3412" s="75" t="inlineStr">
        <is>
          <t>KR</t>
        </is>
      </c>
      <c r="F3412" s="75" t="n">
        <v>62601000</v>
      </c>
      <c r="G3412" s="75" t="n">
        <v>1101</v>
      </c>
      <c r="H3412" s="76" t="n">
        <v>1673000</v>
      </c>
      <c r="I3412" s="75" t="inlineStr">
        <is>
          <t>6월 업무추진 - (법인카드)</t>
        </is>
      </c>
      <c r="J3412" s="75" t="inlineStr">
        <is>
          <t>V10008</t>
        </is>
      </c>
      <c r="K3412" s="75" t="inlineStr">
        <is>
          <t>(법인카드)</t>
        </is>
      </c>
      <c r="M3412" s="9">
        <f>IF($A3412="","",VALUE($A3412&amp;"")*12+VALUE($B3412&amp;""))</f>
        <v/>
      </c>
      <c r="N3412" s="39">
        <f>IF($A3412="","",IFERROR(INDEX(부서매핑!$C$5:$C$504,MATCH($G3412&amp;"",부서매핑!$A$5:$A$504,0)),"미매핑"))</f>
        <v/>
      </c>
      <c r="O3412" s="9">
        <f>IF($A3412="","",N3412&amp;"|"&amp;$F3412)</f>
        <v/>
      </c>
      <c r="P3412" s="77">
        <f>IF($A3412="",0,$H3412*설정!$C$23)</f>
        <v/>
      </c>
      <c r="Q3412" s="39">
        <f>IF($A3412="","",IF(O3412&lt;&gt;원인분석!$C$9,"",IF(AND(M3412&gt;=원인분석!$C$10,M3412&lt;=원인분석!$C$11),"당기",IF(AND(M3412&gt;=원인분석!$C$12,M3412&lt;=원인분석!$C$13),"비교",""))))</f>
        <v/>
      </c>
      <c r="R3412" s="9">
        <f>IF(Q3412="","",$K3412&amp;"")</f>
        <v/>
      </c>
      <c r="S3412" s="9">
        <f>IF(Q3412="","",IF(MATCH(R3412,$R$5:$R$100000,0)=ROW()-4,ROW(),""))</f>
        <v/>
      </c>
      <c r="T3412" s="9">
        <f>IF(Q3412="당기",ABS(P3412)+ROW()/1000000000,"")</f>
        <v/>
      </c>
      <c r="U3412" s="9">
        <f>IF(Q3412="비교",ABS(P3412)+ROW()/1000000000,"")</f>
        <v/>
      </c>
      <c r="V3412" s="39">
        <f>IF($A3412="","",IF(COUNTIF(변동분석!$E$7:$E$506,O3412)&gt;0,"Y","N"))</f>
        <v/>
      </c>
      <c r="W3412" s="39">
        <f>IF($A3412="","",IFERROR(INDEX(계정매핑!$D$5:$D$504,MATCH($F3412&amp;"",계정매핑!$A$5:$A$504,0)),"미매핑"))</f>
        <v/>
      </c>
      <c r="X3412" s="9">
        <f>IF($A3412="","",$F3412&amp;"")</f>
        <v/>
      </c>
    </row>
    <row r="3413">
      <c r="A3413" s="75" t="n">
        <v>2026</v>
      </c>
      <c r="B3413" s="75" t="n">
        <v>6</v>
      </c>
      <c r="C3413" s="75" t="inlineStr">
        <is>
          <t>5100001069</t>
        </is>
      </c>
      <c r="D3413" s="78" t="n">
        <v>46186</v>
      </c>
      <c r="E3413" s="75" t="inlineStr">
        <is>
          <t>KR</t>
        </is>
      </c>
      <c r="F3413" s="75" t="n">
        <v>62802000</v>
      </c>
      <c r="G3413" s="75" t="n">
        <v>1301</v>
      </c>
      <c r="H3413" s="76" t="n">
        <v>4271000</v>
      </c>
      <c r="I3413" s="75" t="inlineStr">
        <is>
          <t>6월 위탁교육 - I교육원</t>
        </is>
      </c>
      <c r="J3413" s="75" t="inlineStr">
        <is>
          <t>V10015</t>
        </is>
      </c>
      <c r="K3413" s="75" t="inlineStr">
        <is>
          <t>I교육원</t>
        </is>
      </c>
      <c r="M3413" s="9">
        <f>IF($A3413="","",VALUE($A3413&amp;"")*12+VALUE($B3413&amp;""))</f>
        <v/>
      </c>
      <c r="N3413" s="39">
        <f>IF($A3413="","",IFERROR(INDEX(부서매핑!$C$5:$C$504,MATCH($G3413&amp;"",부서매핑!$A$5:$A$504,0)),"미매핑"))</f>
        <v/>
      </c>
      <c r="O3413" s="9">
        <f>IF($A3413="","",N3413&amp;"|"&amp;$F3413)</f>
        <v/>
      </c>
      <c r="P3413" s="77">
        <f>IF($A3413="",0,$H3413*설정!$C$23)</f>
        <v/>
      </c>
      <c r="Q3413" s="39">
        <f>IF($A3413="","",IF(O3413&lt;&gt;원인분석!$C$9,"",IF(AND(M3413&gt;=원인분석!$C$10,M3413&lt;=원인분석!$C$11),"당기",IF(AND(M3413&gt;=원인분석!$C$12,M3413&lt;=원인분석!$C$13),"비교",""))))</f>
        <v/>
      </c>
      <c r="R3413" s="9">
        <f>IF(Q3413="","",$K3413&amp;"")</f>
        <v/>
      </c>
      <c r="S3413" s="9">
        <f>IF(Q3413="","",IF(MATCH(R3413,$R$5:$R$100000,0)=ROW()-4,ROW(),""))</f>
        <v/>
      </c>
      <c r="T3413" s="9">
        <f>IF(Q3413="당기",ABS(P3413)+ROW()/1000000000,"")</f>
        <v/>
      </c>
      <c r="U3413" s="9">
        <f>IF(Q3413="비교",ABS(P3413)+ROW()/1000000000,"")</f>
        <v/>
      </c>
      <c r="V3413" s="39">
        <f>IF($A3413="","",IF(COUNTIF(변동분석!$E$7:$E$506,O3413)&gt;0,"Y","N"))</f>
        <v/>
      </c>
      <c r="W3413" s="39">
        <f>IF($A3413="","",IFERROR(INDEX(계정매핑!$D$5:$D$504,MATCH($F3413&amp;"",계정매핑!$A$5:$A$504,0)),"미매핑"))</f>
        <v/>
      </c>
      <c r="X3413" s="9">
        <f>IF($A3413="","",$F3413&amp;"")</f>
        <v/>
      </c>
    </row>
    <row r="3414">
      <c r="A3414" s="75" t="n">
        <v>2026</v>
      </c>
      <c r="B3414" s="75" t="n">
        <v>6</v>
      </c>
      <c r="C3414" s="75" t="inlineStr">
        <is>
          <t>5100001070</t>
        </is>
      </c>
      <c r="D3414" s="78" t="n">
        <v>46186</v>
      </c>
      <c r="E3414" s="75" t="inlineStr">
        <is>
          <t>KR</t>
        </is>
      </c>
      <c r="F3414" s="75" t="n">
        <v>62902000</v>
      </c>
      <c r="G3414" s="75" t="n">
        <v>1801</v>
      </c>
      <c r="H3414" s="76" t="n">
        <v>1787000</v>
      </c>
      <c r="I3414" s="75" t="inlineStr">
        <is>
          <t>6월 콜 위탁 수수료(건별)</t>
        </is>
      </c>
      <c r="J3414" s="75" t="inlineStr">
        <is>
          <t>V10013</t>
        </is>
      </c>
      <c r="K3414" s="75" t="inlineStr">
        <is>
          <t>J콜센터</t>
        </is>
      </c>
      <c r="M3414" s="9">
        <f>IF($A3414="","",VALUE($A3414&amp;"")*12+VALUE($B3414&amp;""))</f>
        <v/>
      </c>
      <c r="N3414" s="39">
        <f>IF($A3414="","",IFERROR(INDEX(부서매핑!$C$5:$C$504,MATCH($G3414&amp;"",부서매핑!$A$5:$A$504,0)),"미매핑"))</f>
        <v/>
      </c>
      <c r="O3414" s="9">
        <f>IF($A3414="","",N3414&amp;"|"&amp;$F3414)</f>
        <v/>
      </c>
      <c r="P3414" s="77">
        <f>IF($A3414="",0,$H3414*설정!$C$23)</f>
        <v/>
      </c>
      <c r="Q3414" s="39">
        <f>IF($A3414="","",IF(O3414&lt;&gt;원인분석!$C$9,"",IF(AND(M3414&gt;=원인분석!$C$10,M3414&lt;=원인분석!$C$11),"당기",IF(AND(M3414&gt;=원인분석!$C$12,M3414&lt;=원인분석!$C$13),"비교",""))))</f>
        <v/>
      </c>
      <c r="R3414" s="9">
        <f>IF(Q3414="","",$K3414&amp;"")</f>
        <v/>
      </c>
      <c r="S3414" s="9">
        <f>IF(Q3414="","",IF(MATCH(R3414,$R$5:$R$100000,0)=ROW()-4,ROW(),""))</f>
        <v/>
      </c>
      <c r="T3414" s="9">
        <f>IF(Q3414="당기",ABS(P3414)+ROW()/1000000000,"")</f>
        <v/>
      </c>
      <c r="U3414" s="9">
        <f>IF(Q3414="비교",ABS(P3414)+ROW()/1000000000,"")</f>
        <v/>
      </c>
      <c r="V3414" s="39">
        <f>IF($A3414="","",IF(COUNTIF(변동분석!$E$7:$E$506,O3414)&gt;0,"Y","N"))</f>
        <v/>
      </c>
      <c r="W3414" s="39">
        <f>IF($A3414="","",IFERROR(INDEX(계정매핑!$D$5:$D$504,MATCH($F3414&amp;"",계정매핑!$A$5:$A$504,0)),"미매핑"))</f>
        <v/>
      </c>
      <c r="X3414" s="9">
        <f>IF($A3414="","",$F3414&amp;"")</f>
        <v/>
      </c>
    </row>
    <row r="3415">
      <c r="A3415" s="75" t="n">
        <v>2026</v>
      </c>
      <c r="B3415" s="75" t="n">
        <v>6</v>
      </c>
      <c r="C3415" s="75" t="inlineStr">
        <is>
          <t>5100001071</t>
        </is>
      </c>
      <c r="D3415" s="78" t="n">
        <v>46186</v>
      </c>
      <c r="E3415" s="75" t="inlineStr">
        <is>
          <t>KR</t>
        </is>
      </c>
      <c r="F3415" s="75" t="n">
        <v>62902000</v>
      </c>
      <c r="G3415" s="75" t="n">
        <v>1801</v>
      </c>
      <c r="H3415" s="76" t="n">
        <v>1761000</v>
      </c>
      <c r="I3415" s="75" t="inlineStr">
        <is>
          <t>6월 콜 위탁 수수료(건별)</t>
        </is>
      </c>
      <c r="J3415" s="75" t="inlineStr">
        <is>
          <t>V10013</t>
        </is>
      </c>
      <c r="K3415" s="75" t="inlineStr">
        <is>
          <t>J콜센터</t>
        </is>
      </c>
      <c r="M3415" s="9">
        <f>IF($A3415="","",VALUE($A3415&amp;"")*12+VALUE($B3415&amp;""))</f>
        <v/>
      </c>
      <c r="N3415" s="39">
        <f>IF($A3415="","",IFERROR(INDEX(부서매핑!$C$5:$C$504,MATCH($G3415&amp;"",부서매핑!$A$5:$A$504,0)),"미매핑"))</f>
        <v/>
      </c>
      <c r="O3415" s="9">
        <f>IF($A3415="","",N3415&amp;"|"&amp;$F3415)</f>
        <v/>
      </c>
      <c r="P3415" s="77">
        <f>IF($A3415="",0,$H3415*설정!$C$23)</f>
        <v/>
      </c>
      <c r="Q3415" s="39">
        <f>IF($A3415="","",IF(O3415&lt;&gt;원인분석!$C$9,"",IF(AND(M3415&gt;=원인분석!$C$10,M3415&lt;=원인분석!$C$11),"당기",IF(AND(M3415&gt;=원인분석!$C$12,M3415&lt;=원인분석!$C$13),"비교",""))))</f>
        <v/>
      </c>
      <c r="R3415" s="9">
        <f>IF(Q3415="","",$K3415&amp;"")</f>
        <v/>
      </c>
      <c r="S3415" s="9">
        <f>IF(Q3415="","",IF(MATCH(R3415,$R$5:$R$100000,0)=ROW()-4,ROW(),""))</f>
        <v/>
      </c>
      <c r="T3415" s="9">
        <f>IF(Q3415="당기",ABS(P3415)+ROW()/1000000000,"")</f>
        <v/>
      </c>
      <c r="U3415" s="9">
        <f>IF(Q3415="비교",ABS(P3415)+ROW()/1000000000,"")</f>
        <v/>
      </c>
      <c r="V3415" s="39">
        <f>IF($A3415="","",IF(COUNTIF(변동분석!$E$7:$E$506,O3415)&gt;0,"Y","N"))</f>
        <v/>
      </c>
      <c r="W3415" s="39">
        <f>IF($A3415="","",IFERROR(INDEX(계정매핑!$D$5:$D$504,MATCH($F3415&amp;"",계정매핑!$A$5:$A$504,0)),"미매핑"))</f>
        <v/>
      </c>
      <c r="X3415" s="9">
        <f>IF($A3415="","",$F3415&amp;"")</f>
        <v/>
      </c>
    </row>
    <row r="3416">
      <c r="A3416" s="75" t="n">
        <v>2026</v>
      </c>
      <c r="B3416" s="75" t="n">
        <v>6</v>
      </c>
      <c r="C3416" s="75" t="inlineStr">
        <is>
          <t>5100001072</t>
        </is>
      </c>
      <c r="D3416" s="78" t="n">
        <v>46187</v>
      </c>
      <c r="E3416" s="75" t="inlineStr">
        <is>
          <t>KR</t>
        </is>
      </c>
      <c r="F3416" s="75" t="n">
        <v>62101000</v>
      </c>
      <c r="G3416" s="75" t="n">
        <v>1401</v>
      </c>
      <c r="H3416" s="76" t="n">
        <v>514000</v>
      </c>
      <c r="I3416" s="75" t="inlineStr">
        <is>
          <t>6월 국내출장 - (법인카드)</t>
        </is>
      </c>
      <c r="J3416" s="75" t="inlineStr">
        <is>
          <t>V10008</t>
        </is>
      </c>
      <c r="K3416" s="75" t="inlineStr">
        <is>
          <t>(법인카드)</t>
        </is>
      </c>
      <c r="M3416" s="9">
        <f>IF($A3416="","",VALUE($A3416&amp;"")*12+VALUE($B3416&amp;""))</f>
        <v/>
      </c>
      <c r="N3416" s="39">
        <f>IF($A3416="","",IFERROR(INDEX(부서매핑!$C$5:$C$504,MATCH($G3416&amp;"",부서매핑!$A$5:$A$504,0)),"미매핑"))</f>
        <v/>
      </c>
      <c r="O3416" s="9">
        <f>IF($A3416="","",N3416&amp;"|"&amp;$F3416)</f>
        <v/>
      </c>
      <c r="P3416" s="77">
        <f>IF($A3416="",0,$H3416*설정!$C$23)</f>
        <v/>
      </c>
      <c r="Q3416" s="39">
        <f>IF($A3416="","",IF(O3416&lt;&gt;원인분석!$C$9,"",IF(AND(M3416&gt;=원인분석!$C$10,M3416&lt;=원인분석!$C$11),"당기",IF(AND(M3416&gt;=원인분석!$C$12,M3416&lt;=원인분석!$C$13),"비교",""))))</f>
        <v/>
      </c>
      <c r="R3416" s="9">
        <f>IF(Q3416="","",$K3416&amp;"")</f>
        <v/>
      </c>
      <c r="S3416" s="9">
        <f>IF(Q3416="","",IF(MATCH(R3416,$R$5:$R$100000,0)=ROW()-4,ROW(),""))</f>
        <v/>
      </c>
      <c r="T3416" s="9">
        <f>IF(Q3416="당기",ABS(P3416)+ROW()/1000000000,"")</f>
        <v/>
      </c>
      <c r="U3416" s="9">
        <f>IF(Q3416="비교",ABS(P3416)+ROW()/1000000000,"")</f>
        <v/>
      </c>
      <c r="V3416" s="39">
        <f>IF($A3416="","",IF(COUNTIF(변동분석!$E$7:$E$506,O3416)&gt;0,"Y","N"))</f>
        <v/>
      </c>
      <c r="W3416" s="39">
        <f>IF($A3416="","",IFERROR(INDEX(계정매핑!$D$5:$D$504,MATCH($F3416&amp;"",계정매핑!$A$5:$A$504,0)),"미매핑"))</f>
        <v/>
      </c>
      <c r="X3416" s="9">
        <f>IF($A3416="","",$F3416&amp;"")</f>
        <v/>
      </c>
    </row>
    <row r="3417">
      <c r="A3417" s="75" t="n">
        <v>2026</v>
      </c>
      <c r="B3417" s="75" t="n">
        <v>6</v>
      </c>
      <c r="C3417" s="75" t="inlineStr">
        <is>
          <t>5100001073</t>
        </is>
      </c>
      <c r="D3417" s="78" t="n">
        <v>46187</v>
      </c>
      <c r="E3417" s="75" t="inlineStr">
        <is>
          <t>KR</t>
        </is>
      </c>
      <c r="F3417" s="75" t="n">
        <v>62201000</v>
      </c>
      <c r="G3417" s="75" t="n">
        <v>1101</v>
      </c>
      <c r="H3417" s="76" t="n">
        <v>254000</v>
      </c>
      <c r="I3417" s="75" t="inlineStr">
        <is>
          <t>6월 통신요금 - O텔레콤</t>
        </is>
      </c>
      <c r="J3417" s="75" t="inlineStr">
        <is>
          <t>V10002</t>
        </is>
      </c>
      <c r="K3417" s="75" t="inlineStr">
        <is>
          <t>O텔레콤</t>
        </is>
      </c>
      <c r="M3417" s="9">
        <f>IF($A3417="","",VALUE($A3417&amp;"")*12+VALUE($B3417&amp;""))</f>
        <v/>
      </c>
      <c r="N3417" s="39">
        <f>IF($A3417="","",IFERROR(INDEX(부서매핑!$C$5:$C$504,MATCH($G3417&amp;"",부서매핑!$A$5:$A$504,0)),"미매핑"))</f>
        <v/>
      </c>
      <c r="O3417" s="9">
        <f>IF($A3417="","",N3417&amp;"|"&amp;$F3417)</f>
        <v/>
      </c>
      <c r="P3417" s="77">
        <f>IF($A3417="",0,$H3417*설정!$C$23)</f>
        <v/>
      </c>
      <c r="Q3417" s="39">
        <f>IF($A3417="","",IF(O3417&lt;&gt;원인분석!$C$9,"",IF(AND(M3417&gt;=원인분석!$C$10,M3417&lt;=원인분석!$C$11),"당기",IF(AND(M3417&gt;=원인분석!$C$12,M3417&lt;=원인분석!$C$13),"비교",""))))</f>
        <v/>
      </c>
      <c r="R3417" s="9">
        <f>IF(Q3417="","",$K3417&amp;"")</f>
        <v/>
      </c>
      <c r="S3417" s="9">
        <f>IF(Q3417="","",IF(MATCH(R3417,$R$5:$R$100000,0)=ROW()-4,ROW(),""))</f>
        <v/>
      </c>
      <c r="T3417" s="9">
        <f>IF(Q3417="당기",ABS(P3417)+ROW()/1000000000,"")</f>
        <v/>
      </c>
      <c r="U3417" s="9">
        <f>IF(Q3417="비교",ABS(P3417)+ROW()/1000000000,"")</f>
        <v/>
      </c>
      <c r="V3417" s="39">
        <f>IF($A3417="","",IF(COUNTIF(변동분석!$E$7:$E$506,O3417)&gt;0,"Y","N"))</f>
        <v/>
      </c>
      <c r="W3417" s="39">
        <f>IF($A3417="","",IFERROR(INDEX(계정매핑!$D$5:$D$504,MATCH($F3417&amp;"",계정매핑!$A$5:$A$504,0)),"미매핑"))</f>
        <v/>
      </c>
      <c r="X3417" s="9">
        <f>IF($A3417="","",$F3417&amp;"")</f>
        <v/>
      </c>
    </row>
    <row r="3418">
      <c r="A3418" s="75" t="n">
        <v>2026</v>
      </c>
      <c r="B3418" s="75" t="n">
        <v>6</v>
      </c>
      <c r="C3418" s="75" t="inlineStr">
        <is>
          <t>5100001074</t>
        </is>
      </c>
      <c r="D3418" s="78" t="n">
        <v>46187</v>
      </c>
      <c r="E3418" s="75" t="inlineStr">
        <is>
          <t>KR</t>
        </is>
      </c>
      <c r="F3418" s="75" t="n">
        <v>62301000</v>
      </c>
      <c r="G3418" s="75" t="n">
        <v>1701</v>
      </c>
      <c r="H3418" s="76" t="n">
        <v>306000</v>
      </c>
      <c r="I3418" s="75" t="inlineStr">
        <is>
          <t>6월 소모품 구입 - Q오피스</t>
        </is>
      </c>
      <c r="J3418" s="75" t="inlineStr">
        <is>
          <t>V10003</t>
        </is>
      </c>
      <c r="K3418" s="75" t="inlineStr">
        <is>
          <t>Q오피스</t>
        </is>
      </c>
      <c r="M3418" s="9">
        <f>IF($A3418="","",VALUE($A3418&amp;"")*12+VALUE($B3418&amp;""))</f>
        <v/>
      </c>
      <c r="N3418" s="39">
        <f>IF($A3418="","",IFERROR(INDEX(부서매핑!$C$5:$C$504,MATCH($G3418&amp;"",부서매핑!$A$5:$A$504,0)),"미매핑"))</f>
        <v/>
      </c>
      <c r="O3418" s="9">
        <f>IF($A3418="","",N3418&amp;"|"&amp;$F3418)</f>
        <v/>
      </c>
      <c r="P3418" s="77">
        <f>IF($A3418="",0,$H3418*설정!$C$23)</f>
        <v/>
      </c>
      <c r="Q3418" s="39">
        <f>IF($A3418="","",IF(O3418&lt;&gt;원인분석!$C$9,"",IF(AND(M3418&gt;=원인분석!$C$10,M3418&lt;=원인분석!$C$11),"당기",IF(AND(M3418&gt;=원인분석!$C$12,M3418&lt;=원인분석!$C$13),"비교",""))))</f>
        <v/>
      </c>
      <c r="R3418" s="9">
        <f>IF(Q3418="","",$K3418&amp;"")</f>
        <v/>
      </c>
      <c r="S3418" s="9">
        <f>IF(Q3418="","",IF(MATCH(R3418,$R$5:$R$100000,0)=ROW()-4,ROW(),""))</f>
        <v/>
      </c>
      <c r="T3418" s="9">
        <f>IF(Q3418="당기",ABS(P3418)+ROW()/1000000000,"")</f>
        <v/>
      </c>
      <c r="U3418" s="9">
        <f>IF(Q3418="비교",ABS(P3418)+ROW()/1000000000,"")</f>
        <v/>
      </c>
      <c r="V3418" s="39">
        <f>IF($A3418="","",IF(COUNTIF(변동분석!$E$7:$E$506,O3418)&gt;0,"Y","N"))</f>
        <v/>
      </c>
      <c r="W3418" s="39">
        <f>IF($A3418="","",IFERROR(INDEX(계정매핑!$D$5:$D$504,MATCH($F3418&amp;"",계정매핑!$A$5:$A$504,0)),"미매핑"))</f>
        <v/>
      </c>
      <c r="X3418" s="9">
        <f>IF($A3418="","",$F3418&amp;"")</f>
        <v/>
      </c>
    </row>
    <row r="3419">
      <c r="A3419" s="75" t="n">
        <v>2026</v>
      </c>
      <c r="B3419" s="75" t="n">
        <v>6</v>
      </c>
      <c r="C3419" s="75" t="inlineStr">
        <is>
          <t>5100001075</t>
        </is>
      </c>
      <c r="D3419" s="78" t="n">
        <v>46187</v>
      </c>
      <c r="E3419" s="75" t="inlineStr">
        <is>
          <t>KR</t>
        </is>
      </c>
      <c r="F3419" s="75" t="n">
        <v>62501000</v>
      </c>
      <c r="G3419" s="75" t="n">
        <v>1201</v>
      </c>
      <c r="H3419" s="76" t="n">
        <v>96000</v>
      </c>
      <c r="I3419" s="75" t="inlineStr">
        <is>
          <t>6월 회의 다과 - T케이터링</t>
        </is>
      </c>
      <c r="J3419" s="75" t="inlineStr">
        <is>
          <t>V10005</t>
        </is>
      </c>
      <c r="K3419" s="75" t="inlineStr">
        <is>
          <t>T케이터링</t>
        </is>
      </c>
      <c r="M3419" s="9">
        <f>IF($A3419="","",VALUE($A3419&amp;"")*12+VALUE($B3419&amp;""))</f>
        <v/>
      </c>
      <c r="N3419" s="39">
        <f>IF($A3419="","",IFERROR(INDEX(부서매핑!$C$5:$C$504,MATCH($G3419&amp;"",부서매핑!$A$5:$A$504,0)),"미매핑"))</f>
        <v/>
      </c>
      <c r="O3419" s="9">
        <f>IF($A3419="","",N3419&amp;"|"&amp;$F3419)</f>
        <v/>
      </c>
      <c r="P3419" s="77">
        <f>IF($A3419="",0,$H3419*설정!$C$23)</f>
        <v/>
      </c>
      <c r="Q3419" s="39">
        <f>IF($A3419="","",IF(O3419&lt;&gt;원인분석!$C$9,"",IF(AND(M3419&gt;=원인분석!$C$10,M3419&lt;=원인분석!$C$11),"당기",IF(AND(M3419&gt;=원인분석!$C$12,M3419&lt;=원인분석!$C$13),"비교",""))))</f>
        <v/>
      </c>
      <c r="R3419" s="9">
        <f>IF(Q3419="","",$K3419&amp;"")</f>
        <v/>
      </c>
      <c r="S3419" s="9">
        <f>IF(Q3419="","",IF(MATCH(R3419,$R$5:$R$100000,0)=ROW()-4,ROW(),""))</f>
        <v/>
      </c>
      <c r="T3419" s="9">
        <f>IF(Q3419="당기",ABS(P3419)+ROW()/1000000000,"")</f>
        <v/>
      </c>
      <c r="U3419" s="9">
        <f>IF(Q3419="비교",ABS(P3419)+ROW()/1000000000,"")</f>
        <v/>
      </c>
      <c r="V3419" s="39">
        <f>IF($A3419="","",IF(COUNTIF(변동분석!$E$7:$E$506,O3419)&gt;0,"Y","N"))</f>
        <v/>
      </c>
      <c r="W3419" s="39">
        <f>IF($A3419="","",IFERROR(INDEX(계정매핑!$D$5:$D$504,MATCH($F3419&amp;"",계정매핑!$A$5:$A$504,0)),"미매핑"))</f>
        <v/>
      </c>
      <c r="X3419" s="9">
        <f>IF($A3419="","",$F3419&amp;"")</f>
        <v/>
      </c>
    </row>
    <row r="3420">
      <c r="A3420" s="75" t="n">
        <v>2026</v>
      </c>
      <c r="B3420" s="75" t="n">
        <v>6</v>
      </c>
      <c r="C3420" s="75" t="inlineStr">
        <is>
          <t>5100001076</t>
        </is>
      </c>
      <c r="D3420" s="78" t="n">
        <v>46187</v>
      </c>
      <c r="E3420" s="75" t="inlineStr">
        <is>
          <t>KR</t>
        </is>
      </c>
      <c r="F3420" s="75" t="n">
        <v>62801000</v>
      </c>
      <c r="G3420" s="75" t="n">
        <v>1301</v>
      </c>
      <c r="H3420" s="76" t="n">
        <v>4464000</v>
      </c>
      <c r="I3420" s="75" t="inlineStr">
        <is>
          <t>6월 사내교육 - U에듀</t>
        </is>
      </c>
      <c r="J3420" s="75" t="inlineStr">
        <is>
          <t>V10026</t>
        </is>
      </c>
      <c r="K3420" s="75" t="inlineStr">
        <is>
          <t>U에듀</t>
        </is>
      </c>
      <c r="M3420" s="9">
        <f>IF($A3420="","",VALUE($A3420&amp;"")*12+VALUE($B3420&amp;""))</f>
        <v/>
      </c>
      <c r="N3420" s="39">
        <f>IF($A3420="","",IFERROR(INDEX(부서매핑!$C$5:$C$504,MATCH($G3420&amp;"",부서매핑!$A$5:$A$504,0)),"미매핑"))</f>
        <v/>
      </c>
      <c r="O3420" s="9">
        <f>IF($A3420="","",N3420&amp;"|"&amp;$F3420)</f>
        <v/>
      </c>
      <c r="P3420" s="77">
        <f>IF($A3420="",0,$H3420*설정!$C$23)</f>
        <v/>
      </c>
      <c r="Q3420" s="39">
        <f>IF($A3420="","",IF(O3420&lt;&gt;원인분석!$C$9,"",IF(AND(M3420&gt;=원인분석!$C$10,M3420&lt;=원인분석!$C$11),"당기",IF(AND(M3420&gt;=원인분석!$C$12,M3420&lt;=원인분석!$C$13),"비교",""))))</f>
        <v/>
      </c>
      <c r="R3420" s="9">
        <f>IF(Q3420="","",$K3420&amp;"")</f>
        <v/>
      </c>
      <c r="S3420" s="9">
        <f>IF(Q3420="","",IF(MATCH(R3420,$R$5:$R$100000,0)=ROW()-4,ROW(),""))</f>
        <v/>
      </c>
      <c r="T3420" s="9">
        <f>IF(Q3420="당기",ABS(P3420)+ROW()/1000000000,"")</f>
        <v/>
      </c>
      <c r="U3420" s="9">
        <f>IF(Q3420="비교",ABS(P3420)+ROW()/1000000000,"")</f>
        <v/>
      </c>
      <c r="V3420" s="39">
        <f>IF($A3420="","",IF(COUNTIF(변동분석!$E$7:$E$506,O3420)&gt;0,"Y","N"))</f>
        <v/>
      </c>
      <c r="W3420" s="39">
        <f>IF($A3420="","",IFERROR(INDEX(계정매핑!$D$5:$D$504,MATCH($F3420&amp;"",계정매핑!$A$5:$A$504,0)),"미매핑"))</f>
        <v/>
      </c>
      <c r="X3420" s="9">
        <f>IF($A3420="","",$F3420&amp;"")</f>
        <v/>
      </c>
    </row>
    <row r="3421">
      <c r="A3421" s="75" t="n">
        <v>2026</v>
      </c>
      <c r="B3421" s="75" t="n">
        <v>6</v>
      </c>
      <c r="C3421" s="75" t="inlineStr">
        <is>
          <t>5100001077</t>
        </is>
      </c>
      <c r="D3421" s="78" t="n">
        <v>46187</v>
      </c>
      <c r="E3421" s="75" t="inlineStr">
        <is>
          <t>KR</t>
        </is>
      </c>
      <c r="F3421" s="75" t="n">
        <v>63001000</v>
      </c>
      <c r="G3421" s="75" t="n">
        <v>1701</v>
      </c>
      <c r="H3421" s="76" t="n">
        <v>21844000</v>
      </c>
      <c r="I3421" s="75" t="inlineStr">
        <is>
          <t>6월 SW 유지보수 - Z시스템</t>
        </is>
      </c>
      <c r="J3421" s="75" t="inlineStr">
        <is>
          <t>V10021</t>
        </is>
      </c>
      <c r="K3421" s="75" t="inlineStr">
        <is>
          <t>Z시스템</t>
        </is>
      </c>
      <c r="M3421" s="9">
        <f>IF($A3421="","",VALUE($A3421&amp;"")*12+VALUE($B3421&amp;""))</f>
        <v/>
      </c>
      <c r="N3421" s="39">
        <f>IF($A3421="","",IFERROR(INDEX(부서매핑!$C$5:$C$504,MATCH($G3421&amp;"",부서매핑!$A$5:$A$504,0)),"미매핑"))</f>
        <v/>
      </c>
      <c r="O3421" s="9">
        <f>IF($A3421="","",N3421&amp;"|"&amp;$F3421)</f>
        <v/>
      </c>
      <c r="P3421" s="77">
        <f>IF($A3421="",0,$H3421*설정!$C$23)</f>
        <v/>
      </c>
      <c r="Q3421" s="39">
        <f>IF($A3421="","",IF(O3421&lt;&gt;원인분석!$C$9,"",IF(AND(M3421&gt;=원인분석!$C$10,M3421&lt;=원인분석!$C$11),"당기",IF(AND(M3421&gt;=원인분석!$C$12,M3421&lt;=원인분석!$C$13),"비교",""))))</f>
        <v/>
      </c>
      <c r="R3421" s="9">
        <f>IF(Q3421="","",$K3421&amp;"")</f>
        <v/>
      </c>
      <c r="S3421" s="9">
        <f>IF(Q3421="","",IF(MATCH(R3421,$R$5:$R$100000,0)=ROW()-4,ROW(),""))</f>
        <v/>
      </c>
      <c r="T3421" s="9">
        <f>IF(Q3421="당기",ABS(P3421)+ROW()/1000000000,"")</f>
        <v/>
      </c>
      <c r="U3421" s="9">
        <f>IF(Q3421="비교",ABS(P3421)+ROW()/1000000000,"")</f>
        <v/>
      </c>
      <c r="V3421" s="39">
        <f>IF($A3421="","",IF(COUNTIF(변동분석!$E$7:$E$506,O3421)&gt;0,"Y","N"))</f>
        <v/>
      </c>
      <c r="W3421" s="39">
        <f>IF($A3421="","",IFERROR(INDEX(계정매핑!$D$5:$D$504,MATCH($F3421&amp;"",계정매핑!$A$5:$A$504,0)),"미매핑"))</f>
        <v/>
      </c>
      <c r="X3421" s="9">
        <f>IF($A3421="","",$F3421&amp;"")</f>
        <v/>
      </c>
    </row>
    <row r="3422">
      <c r="A3422" s="75" t="n">
        <v>2026</v>
      </c>
      <c r="B3422" s="75" t="n">
        <v>6</v>
      </c>
      <c r="C3422" s="75" t="inlineStr">
        <is>
          <t>5100001078</t>
        </is>
      </c>
      <c r="D3422" s="78" t="n">
        <v>46187</v>
      </c>
      <c r="E3422" s="75" t="inlineStr">
        <is>
          <t>KR</t>
        </is>
      </c>
      <c r="F3422" s="75" t="n">
        <v>63101000</v>
      </c>
      <c r="G3422" s="75" t="n">
        <v>1601</v>
      </c>
      <c r="H3422" s="76" t="n">
        <v>5444000</v>
      </c>
      <c r="I3422" s="75" t="inlineStr">
        <is>
          <t>6월 사무실 임차료 - BB부동산</t>
        </is>
      </c>
      <c r="J3422" s="75" t="inlineStr">
        <is>
          <t>V10024</t>
        </is>
      </c>
      <c r="K3422" s="75" t="inlineStr">
        <is>
          <t>BB부동산</t>
        </is>
      </c>
      <c r="M3422" s="9">
        <f>IF($A3422="","",VALUE($A3422&amp;"")*12+VALUE($B3422&amp;""))</f>
        <v/>
      </c>
      <c r="N3422" s="39">
        <f>IF($A3422="","",IFERROR(INDEX(부서매핑!$C$5:$C$504,MATCH($G3422&amp;"",부서매핑!$A$5:$A$504,0)),"미매핑"))</f>
        <v/>
      </c>
      <c r="O3422" s="9">
        <f>IF($A3422="","",N3422&amp;"|"&amp;$F3422)</f>
        <v/>
      </c>
      <c r="P3422" s="77">
        <f>IF($A3422="",0,$H3422*설정!$C$23)</f>
        <v/>
      </c>
      <c r="Q3422" s="39">
        <f>IF($A3422="","",IF(O3422&lt;&gt;원인분석!$C$9,"",IF(AND(M3422&gt;=원인분석!$C$10,M3422&lt;=원인분석!$C$11),"당기",IF(AND(M3422&gt;=원인분석!$C$12,M3422&lt;=원인분석!$C$13),"비교",""))))</f>
        <v/>
      </c>
      <c r="R3422" s="9">
        <f>IF(Q3422="","",$K3422&amp;"")</f>
        <v/>
      </c>
      <c r="S3422" s="9">
        <f>IF(Q3422="","",IF(MATCH(R3422,$R$5:$R$100000,0)=ROW()-4,ROW(),""))</f>
        <v/>
      </c>
      <c r="T3422" s="9">
        <f>IF(Q3422="당기",ABS(P3422)+ROW()/1000000000,"")</f>
        <v/>
      </c>
      <c r="U3422" s="9">
        <f>IF(Q3422="비교",ABS(P3422)+ROW()/1000000000,"")</f>
        <v/>
      </c>
      <c r="V3422" s="39">
        <f>IF($A3422="","",IF(COUNTIF(변동분석!$E$7:$E$506,O3422)&gt;0,"Y","N"))</f>
        <v/>
      </c>
      <c r="W3422" s="39">
        <f>IF($A3422="","",IFERROR(INDEX(계정매핑!$D$5:$D$504,MATCH($F3422&amp;"",계정매핑!$A$5:$A$504,0)),"미매핑"))</f>
        <v/>
      </c>
      <c r="X3422" s="9">
        <f>IF($A3422="","",$F3422&amp;"")</f>
        <v/>
      </c>
    </row>
    <row r="3423">
      <c r="A3423" s="75" t="n">
        <v>2026</v>
      </c>
      <c r="B3423" s="75" t="n">
        <v>6</v>
      </c>
      <c r="C3423" s="75" t="inlineStr">
        <is>
          <t>5100001079</t>
        </is>
      </c>
      <c r="D3423" s="78" t="n">
        <v>46188</v>
      </c>
      <c r="E3423" s="75" t="inlineStr">
        <is>
          <t>KR</t>
        </is>
      </c>
      <c r="F3423" s="75" t="n">
        <v>62101000</v>
      </c>
      <c r="G3423" s="75" t="n">
        <v>1601</v>
      </c>
      <c r="H3423" s="76" t="n">
        <v>1527000</v>
      </c>
      <c r="I3423" s="75" t="inlineStr">
        <is>
          <t>6월 국내출장 - L여행사</t>
        </is>
      </c>
      <c r="J3423" s="75" t="inlineStr">
        <is>
          <t>V10014</t>
        </is>
      </c>
      <c r="K3423" s="75" t="inlineStr">
        <is>
          <t>L여행사</t>
        </is>
      </c>
      <c r="M3423" s="9">
        <f>IF($A3423="","",VALUE($A3423&amp;"")*12+VALUE($B3423&amp;""))</f>
        <v/>
      </c>
      <c r="N3423" s="39">
        <f>IF($A3423="","",IFERROR(INDEX(부서매핑!$C$5:$C$504,MATCH($G3423&amp;"",부서매핑!$A$5:$A$504,0)),"미매핑"))</f>
        <v/>
      </c>
      <c r="O3423" s="9">
        <f>IF($A3423="","",N3423&amp;"|"&amp;$F3423)</f>
        <v/>
      </c>
      <c r="P3423" s="77">
        <f>IF($A3423="",0,$H3423*설정!$C$23)</f>
        <v/>
      </c>
      <c r="Q3423" s="39">
        <f>IF($A3423="","",IF(O3423&lt;&gt;원인분석!$C$9,"",IF(AND(M3423&gt;=원인분석!$C$10,M3423&lt;=원인분석!$C$11),"당기",IF(AND(M3423&gt;=원인분석!$C$12,M3423&lt;=원인분석!$C$13),"비교",""))))</f>
        <v/>
      </c>
      <c r="R3423" s="9">
        <f>IF(Q3423="","",$K3423&amp;"")</f>
        <v/>
      </c>
      <c r="S3423" s="9">
        <f>IF(Q3423="","",IF(MATCH(R3423,$R$5:$R$100000,0)=ROW()-4,ROW(),""))</f>
        <v/>
      </c>
      <c r="T3423" s="9">
        <f>IF(Q3423="당기",ABS(P3423)+ROW()/1000000000,"")</f>
        <v/>
      </c>
      <c r="U3423" s="9">
        <f>IF(Q3423="비교",ABS(P3423)+ROW()/1000000000,"")</f>
        <v/>
      </c>
      <c r="V3423" s="39">
        <f>IF($A3423="","",IF(COUNTIF(변동분석!$E$7:$E$506,O3423)&gt;0,"Y","N"))</f>
        <v/>
      </c>
      <c r="W3423" s="39">
        <f>IF($A3423="","",IFERROR(INDEX(계정매핑!$D$5:$D$504,MATCH($F3423&amp;"",계정매핑!$A$5:$A$504,0)),"미매핑"))</f>
        <v/>
      </c>
      <c r="X3423" s="9">
        <f>IF($A3423="","",$F3423&amp;"")</f>
        <v/>
      </c>
    </row>
    <row r="3424">
      <c r="A3424" s="75" t="n">
        <v>2026</v>
      </c>
      <c r="B3424" s="75" t="n">
        <v>6</v>
      </c>
      <c r="C3424" s="75" t="inlineStr">
        <is>
          <t>5100001080</t>
        </is>
      </c>
      <c r="D3424" s="78" t="n">
        <v>46188</v>
      </c>
      <c r="E3424" s="75" t="inlineStr">
        <is>
          <t>KR</t>
        </is>
      </c>
      <c r="F3424" s="75" t="n">
        <v>62102000</v>
      </c>
      <c r="G3424" s="75" t="n">
        <v>1801</v>
      </c>
      <c r="H3424" s="76" t="n">
        <v>34000</v>
      </c>
      <c r="I3424" s="75" t="inlineStr">
        <is>
          <t>6월 해외출장 - M항공</t>
        </is>
      </c>
      <c r="J3424" s="75" t="inlineStr">
        <is>
          <t>V10001</t>
        </is>
      </c>
      <c r="K3424" s="75" t="inlineStr">
        <is>
          <t>M항공</t>
        </is>
      </c>
      <c r="M3424" s="9">
        <f>IF($A3424="","",VALUE($A3424&amp;"")*12+VALUE($B3424&amp;""))</f>
        <v/>
      </c>
      <c r="N3424" s="39">
        <f>IF($A3424="","",IFERROR(INDEX(부서매핑!$C$5:$C$504,MATCH($G3424&amp;"",부서매핑!$A$5:$A$504,0)),"미매핑"))</f>
        <v/>
      </c>
      <c r="O3424" s="9">
        <f>IF($A3424="","",N3424&amp;"|"&amp;$F3424)</f>
        <v/>
      </c>
      <c r="P3424" s="77">
        <f>IF($A3424="",0,$H3424*설정!$C$23)</f>
        <v/>
      </c>
      <c r="Q3424" s="39">
        <f>IF($A3424="","",IF(O3424&lt;&gt;원인분석!$C$9,"",IF(AND(M3424&gt;=원인분석!$C$10,M3424&lt;=원인분석!$C$11),"당기",IF(AND(M3424&gt;=원인분석!$C$12,M3424&lt;=원인분석!$C$13),"비교",""))))</f>
        <v/>
      </c>
      <c r="R3424" s="9">
        <f>IF(Q3424="","",$K3424&amp;"")</f>
        <v/>
      </c>
      <c r="S3424" s="9">
        <f>IF(Q3424="","",IF(MATCH(R3424,$R$5:$R$100000,0)=ROW()-4,ROW(),""))</f>
        <v/>
      </c>
      <c r="T3424" s="9">
        <f>IF(Q3424="당기",ABS(P3424)+ROW()/1000000000,"")</f>
        <v/>
      </c>
      <c r="U3424" s="9">
        <f>IF(Q3424="비교",ABS(P3424)+ROW()/1000000000,"")</f>
        <v/>
      </c>
      <c r="V3424" s="39">
        <f>IF($A3424="","",IF(COUNTIF(변동분석!$E$7:$E$506,O3424)&gt;0,"Y","N"))</f>
        <v/>
      </c>
      <c r="W3424" s="39">
        <f>IF($A3424="","",IFERROR(INDEX(계정매핑!$D$5:$D$504,MATCH($F3424&amp;"",계정매핑!$A$5:$A$504,0)),"미매핑"))</f>
        <v/>
      </c>
      <c r="X3424" s="9">
        <f>IF($A3424="","",$F3424&amp;"")</f>
        <v/>
      </c>
    </row>
    <row r="3425">
      <c r="A3425" s="75" t="n">
        <v>2026</v>
      </c>
      <c r="B3425" s="75" t="n">
        <v>6</v>
      </c>
      <c r="C3425" s="75" t="inlineStr">
        <is>
          <t>5100001081</t>
        </is>
      </c>
      <c r="D3425" s="78" t="n">
        <v>46188</v>
      </c>
      <c r="E3425" s="75" t="inlineStr">
        <is>
          <t>KR</t>
        </is>
      </c>
      <c r="F3425" s="75" t="n">
        <v>62201000</v>
      </c>
      <c r="G3425" s="75" t="n">
        <v>1301</v>
      </c>
      <c r="H3425" s="76" t="n">
        <v>209000</v>
      </c>
      <c r="I3425" s="75" t="inlineStr">
        <is>
          <t>6월 통신요금 - O텔레콤</t>
        </is>
      </c>
      <c r="J3425" s="75" t="inlineStr">
        <is>
          <t>V10002</t>
        </is>
      </c>
      <c r="K3425" s="75" t="inlineStr">
        <is>
          <t>O텔레콤</t>
        </is>
      </c>
      <c r="M3425" s="9">
        <f>IF($A3425="","",VALUE($A3425&amp;"")*12+VALUE($B3425&amp;""))</f>
        <v/>
      </c>
      <c r="N3425" s="39">
        <f>IF($A3425="","",IFERROR(INDEX(부서매핑!$C$5:$C$504,MATCH($G3425&amp;"",부서매핑!$A$5:$A$504,0)),"미매핑"))</f>
        <v/>
      </c>
      <c r="O3425" s="9">
        <f>IF($A3425="","",N3425&amp;"|"&amp;$F3425)</f>
        <v/>
      </c>
      <c r="P3425" s="77">
        <f>IF($A3425="",0,$H3425*설정!$C$23)</f>
        <v/>
      </c>
      <c r="Q3425" s="39">
        <f>IF($A3425="","",IF(O3425&lt;&gt;원인분석!$C$9,"",IF(AND(M3425&gt;=원인분석!$C$10,M3425&lt;=원인분석!$C$11),"당기",IF(AND(M3425&gt;=원인분석!$C$12,M3425&lt;=원인분석!$C$13),"비교",""))))</f>
        <v/>
      </c>
      <c r="R3425" s="9">
        <f>IF(Q3425="","",$K3425&amp;"")</f>
        <v/>
      </c>
      <c r="S3425" s="9">
        <f>IF(Q3425="","",IF(MATCH(R3425,$R$5:$R$100000,0)=ROW()-4,ROW(),""))</f>
        <v/>
      </c>
      <c r="T3425" s="9">
        <f>IF(Q3425="당기",ABS(P3425)+ROW()/1000000000,"")</f>
        <v/>
      </c>
      <c r="U3425" s="9">
        <f>IF(Q3425="비교",ABS(P3425)+ROW()/1000000000,"")</f>
        <v/>
      </c>
      <c r="V3425" s="39">
        <f>IF($A3425="","",IF(COUNTIF(변동분석!$E$7:$E$506,O3425)&gt;0,"Y","N"))</f>
        <v/>
      </c>
      <c r="W3425" s="39">
        <f>IF($A3425="","",IFERROR(INDEX(계정매핑!$D$5:$D$504,MATCH($F3425&amp;"",계정매핑!$A$5:$A$504,0)),"미매핑"))</f>
        <v/>
      </c>
      <c r="X3425" s="9">
        <f>IF($A3425="","",$F3425&amp;"")</f>
        <v/>
      </c>
    </row>
    <row r="3426">
      <c r="A3426" s="75" t="n">
        <v>2026</v>
      </c>
      <c r="B3426" s="75" t="n">
        <v>6</v>
      </c>
      <c r="C3426" s="75" t="inlineStr">
        <is>
          <t>5100001082</t>
        </is>
      </c>
      <c r="D3426" s="78" t="n">
        <v>46188</v>
      </c>
      <c r="E3426" s="75" t="inlineStr">
        <is>
          <t>KR</t>
        </is>
      </c>
      <c r="F3426" s="75" t="n">
        <v>62501000</v>
      </c>
      <c r="G3426" s="75" t="n">
        <v>1201</v>
      </c>
      <c r="H3426" s="76" t="n">
        <v>142000</v>
      </c>
      <c r="I3426" s="75" t="inlineStr">
        <is>
          <t>6월 회의 다과 - (법인카드)</t>
        </is>
      </c>
      <c r="J3426" s="75" t="inlineStr">
        <is>
          <t>V10008</t>
        </is>
      </c>
      <c r="K3426" s="75" t="inlineStr">
        <is>
          <t>(법인카드)</t>
        </is>
      </c>
      <c r="M3426" s="9">
        <f>IF($A3426="","",VALUE($A3426&amp;"")*12+VALUE($B3426&amp;""))</f>
        <v/>
      </c>
      <c r="N3426" s="39">
        <f>IF($A3426="","",IFERROR(INDEX(부서매핑!$C$5:$C$504,MATCH($G3426&amp;"",부서매핑!$A$5:$A$504,0)),"미매핑"))</f>
        <v/>
      </c>
      <c r="O3426" s="9">
        <f>IF($A3426="","",N3426&amp;"|"&amp;$F3426)</f>
        <v/>
      </c>
      <c r="P3426" s="77">
        <f>IF($A3426="",0,$H3426*설정!$C$23)</f>
        <v/>
      </c>
      <c r="Q3426" s="39">
        <f>IF($A3426="","",IF(O3426&lt;&gt;원인분석!$C$9,"",IF(AND(M3426&gt;=원인분석!$C$10,M3426&lt;=원인분석!$C$11),"당기",IF(AND(M3426&gt;=원인분석!$C$12,M3426&lt;=원인분석!$C$13),"비교",""))))</f>
        <v/>
      </c>
      <c r="R3426" s="9">
        <f>IF(Q3426="","",$K3426&amp;"")</f>
        <v/>
      </c>
      <c r="S3426" s="9">
        <f>IF(Q3426="","",IF(MATCH(R3426,$R$5:$R$100000,0)=ROW()-4,ROW(),""))</f>
        <v/>
      </c>
      <c r="T3426" s="9">
        <f>IF(Q3426="당기",ABS(P3426)+ROW()/1000000000,"")</f>
        <v/>
      </c>
      <c r="U3426" s="9">
        <f>IF(Q3426="비교",ABS(P3426)+ROW()/1000000000,"")</f>
        <v/>
      </c>
      <c r="V3426" s="39">
        <f>IF($A3426="","",IF(COUNTIF(변동분석!$E$7:$E$506,O3426)&gt;0,"Y","N"))</f>
        <v/>
      </c>
      <c r="W3426" s="39">
        <f>IF($A3426="","",IFERROR(INDEX(계정매핑!$D$5:$D$504,MATCH($F3426&amp;"",계정매핑!$A$5:$A$504,0)),"미매핑"))</f>
        <v/>
      </c>
      <c r="X3426" s="9">
        <f>IF($A3426="","",$F3426&amp;"")</f>
        <v/>
      </c>
    </row>
    <row r="3427">
      <c r="A3427" s="75" t="n">
        <v>2026</v>
      </c>
      <c r="B3427" s="75" t="n">
        <v>6</v>
      </c>
      <c r="C3427" s="75" t="inlineStr">
        <is>
          <t>5100001083</t>
        </is>
      </c>
      <c r="D3427" s="78" t="n">
        <v>46188</v>
      </c>
      <c r="E3427" s="75" t="inlineStr">
        <is>
          <t>KR</t>
        </is>
      </c>
      <c r="F3427" s="75" t="n">
        <v>62902000</v>
      </c>
      <c r="G3427" s="75" t="n">
        <v>1801</v>
      </c>
      <c r="H3427" s="76" t="n">
        <v>1847000</v>
      </c>
      <c r="I3427" s="75" t="inlineStr">
        <is>
          <t>6월 콜 위탁 수수료(건별)</t>
        </is>
      </c>
      <c r="J3427" s="75" t="inlineStr">
        <is>
          <t>V10013</t>
        </is>
      </c>
      <c r="K3427" s="75" t="inlineStr">
        <is>
          <t>J콜센터</t>
        </is>
      </c>
      <c r="M3427" s="9">
        <f>IF($A3427="","",VALUE($A3427&amp;"")*12+VALUE($B3427&amp;""))</f>
        <v/>
      </c>
      <c r="N3427" s="39">
        <f>IF($A3427="","",IFERROR(INDEX(부서매핑!$C$5:$C$504,MATCH($G3427&amp;"",부서매핑!$A$5:$A$504,0)),"미매핑"))</f>
        <v/>
      </c>
      <c r="O3427" s="9">
        <f>IF($A3427="","",N3427&amp;"|"&amp;$F3427)</f>
        <v/>
      </c>
      <c r="P3427" s="77">
        <f>IF($A3427="",0,$H3427*설정!$C$23)</f>
        <v/>
      </c>
      <c r="Q3427" s="39">
        <f>IF($A3427="","",IF(O3427&lt;&gt;원인분석!$C$9,"",IF(AND(M3427&gt;=원인분석!$C$10,M3427&lt;=원인분석!$C$11),"당기",IF(AND(M3427&gt;=원인분석!$C$12,M3427&lt;=원인분석!$C$13),"비교",""))))</f>
        <v/>
      </c>
      <c r="R3427" s="9">
        <f>IF(Q3427="","",$K3427&amp;"")</f>
        <v/>
      </c>
      <c r="S3427" s="9">
        <f>IF(Q3427="","",IF(MATCH(R3427,$R$5:$R$100000,0)=ROW()-4,ROW(),""))</f>
        <v/>
      </c>
      <c r="T3427" s="9">
        <f>IF(Q3427="당기",ABS(P3427)+ROW()/1000000000,"")</f>
        <v/>
      </c>
      <c r="U3427" s="9">
        <f>IF(Q3427="비교",ABS(P3427)+ROW()/1000000000,"")</f>
        <v/>
      </c>
      <c r="V3427" s="39">
        <f>IF($A3427="","",IF(COUNTIF(변동분석!$E$7:$E$506,O3427)&gt;0,"Y","N"))</f>
        <v/>
      </c>
      <c r="W3427" s="39">
        <f>IF($A3427="","",IFERROR(INDEX(계정매핑!$D$5:$D$504,MATCH($F3427&amp;"",계정매핑!$A$5:$A$504,0)),"미매핑"))</f>
        <v/>
      </c>
      <c r="X3427" s="9">
        <f>IF($A3427="","",$F3427&amp;"")</f>
        <v/>
      </c>
    </row>
    <row r="3428">
      <c r="A3428" s="75" t="n">
        <v>2026</v>
      </c>
      <c r="B3428" s="75" t="n">
        <v>6</v>
      </c>
      <c r="C3428" s="75" t="inlineStr">
        <is>
          <t>5100001084</t>
        </is>
      </c>
      <c r="D3428" s="78" t="n">
        <v>46189</v>
      </c>
      <c r="E3428" s="75" t="inlineStr">
        <is>
          <t>KR</t>
        </is>
      </c>
      <c r="F3428" s="75" t="n">
        <v>62102000</v>
      </c>
      <c r="G3428" s="75" t="n">
        <v>1701</v>
      </c>
      <c r="H3428" s="76" t="n">
        <v>54000</v>
      </c>
      <c r="I3428" s="75" t="inlineStr">
        <is>
          <t>6월 해외출장 - M항공</t>
        </is>
      </c>
      <c r="J3428" s="75" t="inlineStr">
        <is>
          <t>V10001</t>
        </is>
      </c>
      <c r="K3428" s="75" t="inlineStr">
        <is>
          <t>M항공</t>
        </is>
      </c>
      <c r="M3428" s="9">
        <f>IF($A3428="","",VALUE($A3428&amp;"")*12+VALUE($B3428&amp;""))</f>
        <v/>
      </c>
      <c r="N3428" s="39">
        <f>IF($A3428="","",IFERROR(INDEX(부서매핑!$C$5:$C$504,MATCH($G3428&amp;"",부서매핑!$A$5:$A$504,0)),"미매핑"))</f>
        <v/>
      </c>
      <c r="O3428" s="9">
        <f>IF($A3428="","",N3428&amp;"|"&amp;$F3428)</f>
        <v/>
      </c>
      <c r="P3428" s="77">
        <f>IF($A3428="",0,$H3428*설정!$C$23)</f>
        <v/>
      </c>
      <c r="Q3428" s="39">
        <f>IF($A3428="","",IF(O3428&lt;&gt;원인분석!$C$9,"",IF(AND(M3428&gt;=원인분석!$C$10,M3428&lt;=원인분석!$C$11),"당기",IF(AND(M3428&gt;=원인분석!$C$12,M3428&lt;=원인분석!$C$13),"비교",""))))</f>
        <v/>
      </c>
      <c r="R3428" s="9">
        <f>IF(Q3428="","",$K3428&amp;"")</f>
        <v/>
      </c>
      <c r="S3428" s="9">
        <f>IF(Q3428="","",IF(MATCH(R3428,$R$5:$R$100000,0)=ROW()-4,ROW(),""))</f>
        <v/>
      </c>
      <c r="T3428" s="9">
        <f>IF(Q3428="당기",ABS(P3428)+ROW()/1000000000,"")</f>
        <v/>
      </c>
      <c r="U3428" s="9">
        <f>IF(Q3428="비교",ABS(P3428)+ROW()/1000000000,"")</f>
        <v/>
      </c>
      <c r="V3428" s="39">
        <f>IF($A3428="","",IF(COUNTIF(변동분석!$E$7:$E$506,O3428)&gt;0,"Y","N"))</f>
        <v/>
      </c>
      <c r="W3428" s="39">
        <f>IF($A3428="","",IFERROR(INDEX(계정매핑!$D$5:$D$504,MATCH($F3428&amp;"",계정매핑!$A$5:$A$504,0)),"미매핑"))</f>
        <v/>
      </c>
      <c r="X3428" s="9">
        <f>IF($A3428="","",$F3428&amp;"")</f>
        <v/>
      </c>
    </row>
    <row r="3429">
      <c r="A3429" s="75" t="n">
        <v>2026</v>
      </c>
      <c r="B3429" s="75" t="n">
        <v>6</v>
      </c>
      <c r="C3429" s="75" t="inlineStr">
        <is>
          <t>5100001085</t>
        </is>
      </c>
      <c r="D3429" s="78" t="n">
        <v>46189</v>
      </c>
      <c r="E3429" s="75" t="inlineStr">
        <is>
          <t>KR</t>
        </is>
      </c>
      <c r="F3429" s="75" t="n">
        <v>62102000</v>
      </c>
      <c r="G3429" s="75" t="n">
        <v>1701</v>
      </c>
      <c r="H3429" s="76" t="n">
        <v>27000</v>
      </c>
      <c r="I3429" s="75" t="inlineStr">
        <is>
          <t>6월 해외출장 - N호텔</t>
        </is>
      </c>
      <c r="J3429" s="75" t="inlineStr">
        <is>
          <t>V10007</t>
        </is>
      </c>
      <c r="K3429" s="75" t="inlineStr">
        <is>
          <t>N호텔</t>
        </is>
      </c>
      <c r="M3429" s="9">
        <f>IF($A3429="","",VALUE($A3429&amp;"")*12+VALUE($B3429&amp;""))</f>
        <v/>
      </c>
      <c r="N3429" s="39">
        <f>IF($A3429="","",IFERROR(INDEX(부서매핑!$C$5:$C$504,MATCH($G3429&amp;"",부서매핑!$A$5:$A$504,0)),"미매핑"))</f>
        <v/>
      </c>
      <c r="O3429" s="9">
        <f>IF($A3429="","",N3429&amp;"|"&amp;$F3429)</f>
        <v/>
      </c>
      <c r="P3429" s="77">
        <f>IF($A3429="",0,$H3429*설정!$C$23)</f>
        <v/>
      </c>
      <c r="Q3429" s="39">
        <f>IF($A3429="","",IF(O3429&lt;&gt;원인분석!$C$9,"",IF(AND(M3429&gt;=원인분석!$C$10,M3429&lt;=원인분석!$C$11),"당기",IF(AND(M3429&gt;=원인분석!$C$12,M3429&lt;=원인분석!$C$13),"비교",""))))</f>
        <v/>
      </c>
      <c r="R3429" s="9">
        <f>IF(Q3429="","",$K3429&amp;"")</f>
        <v/>
      </c>
      <c r="S3429" s="9">
        <f>IF(Q3429="","",IF(MATCH(R3429,$R$5:$R$100000,0)=ROW()-4,ROW(),""))</f>
        <v/>
      </c>
      <c r="T3429" s="9">
        <f>IF(Q3429="당기",ABS(P3429)+ROW()/1000000000,"")</f>
        <v/>
      </c>
      <c r="U3429" s="9">
        <f>IF(Q3429="비교",ABS(P3429)+ROW()/1000000000,"")</f>
        <v/>
      </c>
      <c r="V3429" s="39">
        <f>IF($A3429="","",IF(COUNTIF(변동분석!$E$7:$E$506,O3429)&gt;0,"Y","N"))</f>
        <v/>
      </c>
      <c r="W3429" s="39">
        <f>IF($A3429="","",IFERROR(INDEX(계정매핑!$D$5:$D$504,MATCH($F3429&amp;"",계정매핑!$A$5:$A$504,0)),"미매핑"))</f>
        <v/>
      </c>
      <c r="X3429" s="9">
        <f>IF($A3429="","",$F3429&amp;"")</f>
        <v/>
      </c>
    </row>
    <row r="3430">
      <c r="A3430" s="75" t="n">
        <v>2026</v>
      </c>
      <c r="B3430" s="75" t="n">
        <v>6</v>
      </c>
      <c r="C3430" s="75" t="inlineStr">
        <is>
          <t>5100001086</t>
        </is>
      </c>
      <c r="D3430" s="78" t="n">
        <v>46189</v>
      </c>
      <c r="E3430" s="75" t="inlineStr">
        <is>
          <t>KR</t>
        </is>
      </c>
      <c r="F3430" s="75" t="n">
        <v>62201000</v>
      </c>
      <c r="G3430" s="75" t="n">
        <v>1801</v>
      </c>
      <c r="H3430" s="76" t="n">
        <v>5001000</v>
      </c>
      <c r="I3430" s="75" t="inlineStr">
        <is>
          <t>6월 통신요금 - P통신</t>
        </is>
      </c>
      <c r="J3430" s="75" t="inlineStr">
        <is>
          <t>V10011</t>
        </is>
      </c>
      <c r="K3430" s="75" t="inlineStr">
        <is>
          <t>P통신</t>
        </is>
      </c>
      <c r="M3430" s="9">
        <f>IF($A3430="","",VALUE($A3430&amp;"")*12+VALUE($B3430&amp;""))</f>
        <v/>
      </c>
      <c r="N3430" s="39">
        <f>IF($A3430="","",IFERROR(INDEX(부서매핑!$C$5:$C$504,MATCH($G3430&amp;"",부서매핑!$A$5:$A$504,0)),"미매핑"))</f>
        <v/>
      </c>
      <c r="O3430" s="9">
        <f>IF($A3430="","",N3430&amp;"|"&amp;$F3430)</f>
        <v/>
      </c>
      <c r="P3430" s="77">
        <f>IF($A3430="",0,$H3430*설정!$C$23)</f>
        <v/>
      </c>
      <c r="Q3430" s="39">
        <f>IF($A3430="","",IF(O3430&lt;&gt;원인분석!$C$9,"",IF(AND(M3430&gt;=원인분석!$C$10,M3430&lt;=원인분석!$C$11),"당기",IF(AND(M3430&gt;=원인분석!$C$12,M3430&lt;=원인분석!$C$13),"비교",""))))</f>
        <v/>
      </c>
      <c r="R3430" s="9">
        <f>IF(Q3430="","",$K3430&amp;"")</f>
        <v/>
      </c>
      <c r="S3430" s="9">
        <f>IF(Q3430="","",IF(MATCH(R3430,$R$5:$R$100000,0)=ROW()-4,ROW(),""))</f>
        <v/>
      </c>
      <c r="T3430" s="9">
        <f>IF(Q3430="당기",ABS(P3430)+ROW()/1000000000,"")</f>
        <v/>
      </c>
      <c r="U3430" s="9">
        <f>IF(Q3430="비교",ABS(P3430)+ROW()/1000000000,"")</f>
        <v/>
      </c>
      <c r="V3430" s="39">
        <f>IF($A3430="","",IF(COUNTIF(변동분석!$E$7:$E$506,O3430)&gt;0,"Y","N"))</f>
        <v/>
      </c>
      <c r="W3430" s="39">
        <f>IF($A3430="","",IFERROR(INDEX(계정매핑!$D$5:$D$504,MATCH($F3430&amp;"",계정매핑!$A$5:$A$504,0)),"미매핑"))</f>
        <v/>
      </c>
      <c r="X3430" s="9">
        <f>IF($A3430="","",$F3430&amp;"")</f>
        <v/>
      </c>
    </row>
    <row r="3431">
      <c r="A3431" s="75" t="n">
        <v>2026</v>
      </c>
      <c r="B3431" s="75" t="n">
        <v>6</v>
      </c>
      <c r="C3431" s="75" t="inlineStr">
        <is>
          <t>5100001087</t>
        </is>
      </c>
      <c r="D3431" s="78" t="n">
        <v>46189</v>
      </c>
      <c r="E3431" s="75" t="inlineStr">
        <is>
          <t>KR</t>
        </is>
      </c>
      <c r="F3431" s="75" t="n">
        <v>62301000</v>
      </c>
      <c r="G3431" s="75" t="n">
        <v>1501</v>
      </c>
      <c r="H3431" s="76" t="n">
        <v>363000</v>
      </c>
      <c r="I3431" s="75" t="inlineStr">
        <is>
          <t>6월 소모품 구입 - Q오피스</t>
        </is>
      </c>
      <c r="J3431" s="75" t="inlineStr">
        <is>
          <t>V10003</t>
        </is>
      </c>
      <c r="K3431" s="75" t="inlineStr">
        <is>
          <t>Q오피스</t>
        </is>
      </c>
      <c r="M3431" s="9">
        <f>IF($A3431="","",VALUE($A3431&amp;"")*12+VALUE($B3431&amp;""))</f>
        <v/>
      </c>
      <c r="N3431" s="39">
        <f>IF($A3431="","",IFERROR(INDEX(부서매핑!$C$5:$C$504,MATCH($G3431&amp;"",부서매핑!$A$5:$A$504,0)),"미매핑"))</f>
        <v/>
      </c>
      <c r="O3431" s="9">
        <f>IF($A3431="","",N3431&amp;"|"&amp;$F3431)</f>
        <v/>
      </c>
      <c r="P3431" s="77">
        <f>IF($A3431="",0,$H3431*설정!$C$23)</f>
        <v/>
      </c>
      <c r="Q3431" s="39">
        <f>IF($A3431="","",IF(O3431&lt;&gt;원인분석!$C$9,"",IF(AND(M3431&gt;=원인분석!$C$10,M3431&lt;=원인분석!$C$11),"당기",IF(AND(M3431&gt;=원인분석!$C$12,M3431&lt;=원인분석!$C$13),"비교",""))))</f>
        <v/>
      </c>
      <c r="R3431" s="9">
        <f>IF(Q3431="","",$K3431&amp;"")</f>
        <v/>
      </c>
      <c r="S3431" s="9">
        <f>IF(Q3431="","",IF(MATCH(R3431,$R$5:$R$100000,0)=ROW()-4,ROW(),""))</f>
        <v/>
      </c>
      <c r="T3431" s="9">
        <f>IF(Q3431="당기",ABS(P3431)+ROW()/1000000000,"")</f>
        <v/>
      </c>
      <c r="U3431" s="9">
        <f>IF(Q3431="비교",ABS(P3431)+ROW()/1000000000,"")</f>
        <v/>
      </c>
      <c r="V3431" s="39">
        <f>IF($A3431="","",IF(COUNTIF(변동분석!$E$7:$E$506,O3431)&gt;0,"Y","N"))</f>
        <v/>
      </c>
      <c r="W3431" s="39">
        <f>IF($A3431="","",IFERROR(INDEX(계정매핑!$D$5:$D$504,MATCH($F3431&amp;"",계정매핑!$A$5:$A$504,0)),"미매핑"))</f>
        <v/>
      </c>
      <c r="X3431" s="9">
        <f>IF($A3431="","",$F3431&amp;"")</f>
        <v/>
      </c>
    </row>
    <row r="3432">
      <c r="A3432" s="75" t="n">
        <v>2026</v>
      </c>
      <c r="B3432" s="75" t="n">
        <v>6</v>
      </c>
      <c r="C3432" s="75" t="inlineStr">
        <is>
          <t>5100001088</t>
        </is>
      </c>
      <c r="D3432" s="78" t="n">
        <v>46189</v>
      </c>
      <c r="E3432" s="75" t="inlineStr">
        <is>
          <t>KR</t>
        </is>
      </c>
      <c r="F3432" s="75" t="n">
        <v>62301000</v>
      </c>
      <c r="G3432" s="75" t="n">
        <v>1502</v>
      </c>
      <c r="H3432" s="76" t="n">
        <v>383000</v>
      </c>
      <c r="I3432" s="75" t="inlineStr">
        <is>
          <t>6월 소모품 구입 - R문구</t>
        </is>
      </c>
      <c r="J3432" s="75" t="inlineStr">
        <is>
          <t>V10018</t>
        </is>
      </c>
      <c r="K3432" s="75" t="inlineStr">
        <is>
          <t>R문구</t>
        </is>
      </c>
      <c r="M3432" s="9">
        <f>IF($A3432="","",VALUE($A3432&amp;"")*12+VALUE($B3432&amp;""))</f>
        <v/>
      </c>
      <c r="N3432" s="39">
        <f>IF($A3432="","",IFERROR(INDEX(부서매핑!$C$5:$C$504,MATCH($G3432&amp;"",부서매핑!$A$5:$A$504,0)),"미매핑"))</f>
        <v/>
      </c>
      <c r="O3432" s="9">
        <f>IF($A3432="","",N3432&amp;"|"&amp;$F3432)</f>
        <v/>
      </c>
      <c r="P3432" s="77">
        <f>IF($A3432="",0,$H3432*설정!$C$23)</f>
        <v/>
      </c>
      <c r="Q3432" s="39">
        <f>IF($A3432="","",IF(O3432&lt;&gt;원인분석!$C$9,"",IF(AND(M3432&gt;=원인분석!$C$10,M3432&lt;=원인분석!$C$11),"당기",IF(AND(M3432&gt;=원인분석!$C$12,M3432&lt;=원인분석!$C$13),"비교",""))))</f>
        <v/>
      </c>
      <c r="R3432" s="9">
        <f>IF(Q3432="","",$K3432&amp;"")</f>
        <v/>
      </c>
      <c r="S3432" s="9">
        <f>IF(Q3432="","",IF(MATCH(R3432,$R$5:$R$100000,0)=ROW()-4,ROW(),""))</f>
        <v/>
      </c>
      <c r="T3432" s="9">
        <f>IF(Q3432="당기",ABS(P3432)+ROW()/1000000000,"")</f>
        <v/>
      </c>
      <c r="U3432" s="9">
        <f>IF(Q3432="비교",ABS(P3432)+ROW()/1000000000,"")</f>
        <v/>
      </c>
      <c r="V3432" s="39">
        <f>IF($A3432="","",IF(COUNTIF(변동분석!$E$7:$E$506,O3432)&gt;0,"Y","N"))</f>
        <v/>
      </c>
      <c r="W3432" s="39">
        <f>IF($A3432="","",IFERROR(INDEX(계정매핑!$D$5:$D$504,MATCH($F3432&amp;"",계정매핑!$A$5:$A$504,0)),"미매핑"))</f>
        <v/>
      </c>
      <c r="X3432" s="9">
        <f>IF($A3432="","",$F3432&amp;"")</f>
        <v/>
      </c>
    </row>
    <row r="3433">
      <c r="A3433" s="75" t="n">
        <v>2026</v>
      </c>
      <c r="B3433" s="75" t="n">
        <v>6</v>
      </c>
      <c r="C3433" s="75" t="inlineStr">
        <is>
          <t>5100001089</t>
        </is>
      </c>
      <c r="D3433" s="78" t="n">
        <v>46189</v>
      </c>
      <c r="E3433" s="75" t="inlineStr">
        <is>
          <t>KR</t>
        </is>
      </c>
      <c r="F3433" s="75" t="n">
        <v>62501000</v>
      </c>
      <c r="G3433" s="75" t="n">
        <v>1201</v>
      </c>
      <c r="H3433" s="76" t="n">
        <v>160000</v>
      </c>
      <c r="I3433" s="75" t="inlineStr">
        <is>
          <t>6월 회의 다과 - (법인카드)</t>
        </is>
      </c>
      <c r="J3433" s="75" t="inlineStr">
        <is>
          <t>V10008</t>
        </is>
      </c>
      <c r="K3433" s="75" t="inlineStr">
        <is>
          <t>(법인카드)</t>
        </is>
      </c>
      <c r="M3433" s="9">
        <f>IF($A3433="","",VALUE($A3433&amp;"")*12+VALUE($B3433&amp;""))</f>
        <v/>
      </c>
      <c r="N3433" s="39">
        <f>IF($A3433="","",IFERROR(INDEX(부서매핑!$C$5:$C$504,MATCH($G3433&amp;"",부서매핑!$A$5:$A$504,0)),"미매핑"))</f>
        <v/>
      </c>
      <c r="O3433" s="9">
        <f>IF($A3433="","",N3433&amp;"|"&amp;$F3433)</f>
        <v/>
      </c>
      <c r="P3433" s="77">
        <f>IF($A3433="",0,$H3433*설정!$C$23)</f>
        <v/>
      </c>
      <c r="Q3433" s="39">
        <f>IF($A3433="","",IF(O3433&lt;&gt;원인분석!$C$9,"",IF(AND(M3433&gt;=원인분석!$C$10,M3433&lt;=원인분석!$C$11),"당기",IF(AND(M3433&gt;=원인분석!$C$12,M3433&lt;=원인분석!$C$13),"비교",""))))</f>
        <v/>
      </c>
      <c r="R3433" s="9">
        <f>IF(Q3433="","",$K3433&amp;"")</f>
        <v/>
      </c>
      <c r="S3433" s="9">
        <f>IF(Q3433="","",IF(MATCH(R3433,$R$5:$R$100000,0)=ROW()-4,ROW(),""))</f>
        <v/>
      </c>
      <c r="T3433" s="9">
        <f>IF(Q3433="당기",ABS(P3433)+ROW()/1000000000,"")</f>
        <v/>
      </c>
      <c r="U3433" s="9">
        <f>IF(Q3433="비교",ABS(P3433)+ROW()/1000000000,"")</f>
        <v/>
      </c>
      <c r="V3433" s="39">
        <f>IF($A3433="","",IF(COUNTIF(변동분석!$E$7:$E$506,O3433)&gt;0,"Y","N"))</f>
        <v/>
      </c>
      <c r="W3433" s="39">
        <f>IF($A3433="","",IFERROR(INDEX(계정매핑!$D$5:$D$504,MATCH($F3433&amp;"",계정매핑!$A$5:$A$504,0)),"미매핑"))</f>
        <v/>
      </c>
      <c r="X3433" s="9">
        <f>IF($A3433="","",$F3433&amp;"")</f>
        <v/>
      </c>
    </row>
    <row r="3434">
      <c r="A3434" s="75" t="n">
        <v>2026</v>
      </c>
      <c r="B3434" s="75" t="n">
        <v>6</v>
      </c>
      <c r="C3434" s="75" t="inlineStr">
        <is>
          <t>5100001090</t>
        </is>
      </c>
      <c r="D3434" s="78" t="n">
        <v>46189</v>
      </c>
      <c r="E3434" s="75" t="inlineStr">
        <is>
          <t>KR</t>
        </is>
      </c>
      <c r="F3434" s="75" t="n">
        <v>62701000</v>
      </c>
      <c r="G3434" s="75" t="n">
        <v>1502</v>
      </c>
      <c r="H3434" s="76" t="n">
        <v>19746000</v>
      </c>
      <c r="I3434" s="75" t="inlineStr">
        <is>
          <t>6월 광고 집행 - F애드</t>
        </is>
      </c>
      <c r="J3434" s="75" t="inlineStr">
        <is>
          <t>V10019</t>
        </is>
      </c>
      <c r="K3434" s="75" t="inlineStr">
        <is>
          <t>F애드</t>
        </is>
      </c>
      <c r="M3434" s="9">
        <f>IF($A3434="","",VALUE($A3434&amp;"")*12+VALUE($B3434&amp;""))</f>
        <v/>
      </c>
      <c r="N3434" s="39">
        <f>IF($A3434="","",IFERROR(INDEX(부서매핑!$C$5:$C$504,MATCH($G3434&amp;"",부서매핑!$A$5:$A$504,0)),"미매핑"))</f>
        <v/>
      </c>
      <c r="O3434" s="9">
        <f>IF($A3434="","",N3434&amp;"|"&amp;$F3434)</f>
        <v/>
      </c>
      <c r="P3434" s="77">
        <f>IF($A3434="",0,$H3434*설정!$C$23)</f>
        <v/>
      </c>
      <c r="Q3434" s="39">
        <f>IF($A3434="","",IF(O3434&lt;&gt;원인분석!$C$9,"",IF(AND(M3434&gt;=원인분석!$C$10,M3434&lt;=원인분석!$C$11),"당기",IF(AND(M3434&gt;=원인분석!$C$12,M3434&lt;=원인분석!$C$13),"비교",""))))</f>
        <v/>
      </c>
      <c r="R3434" s="9">
        <f>IF(Q3434="","",$K3434&amp;"")</f>
        <v/>
      </c>
      <c r="S3434" s="9">
        <f>IF(Q3434="","",IF(MATCH(R3434,$R$5:$R$100000,0)=ROW()-4,ROW(),""))</f>
        <v/>
      </c>
      <c r="T3434" s="9">
        <f>IF(Q3434="당기",ABS(P3434)+ROW()/1000000000,"")</f>
        <v/>
      </c>
      <c r="U3434" s="9">
        <f>IF(Q3434="비교",ABS(P3434)+ROW()/1000000000,"")</f>
        <v/>
      </c>
      <c r="V3434" s="39">
        <f>IF($A3434="","",IF(COUNTIF(변동분석!$E$7:$E$506,O3434)&gt;0,"Y","N"))</f>
        <v/>
      </c>
      <c r="W3434" s="39">
        <f>IF($A3434="","",IFERROR(INDEX(계정매핑!$D$5:$D$504,MATCH($F3434&amp;"",계정매핑!$A$5:$A$504,0)),"미매핑"))</f>
        <v/>
      </c>
      <c r="X3434" s="9">
        <f>IF($A3434="","",$F3434&amp;"")</f>
        <v/>
      </c>
    </row>
    <row r="3435">
      <c r="A3435" s="75" t="n">
        <v>2026</v>
      </c>
      <c r="B3435" s="75" t="n">
        <v>6</v>
      </c>
      <c r="C3435" s="75" t="inlineStr">
        <is>
          <t>5100001091</t>
        </is>
      </c>
      <c r="D3435" s="78" t="n">
        <v>46189</v>
      </c>
      <c r="E3435" s="75" t="inlineStr">
        <is>
          <t>KR</t>
        </is>
      </c>
      <c r="F3435" s="75" t="n">
        <v>62901000</v>
      </c>
      <c r="G3435" s="75" t="n">
        <v>1401</v>
      </c>
      <c r="H3435" s="76" t="n">
        <v>9240000</v>
      </c>
      <c r="I3435" s="75" t="inlineStr">
        <is>
          <t>6월 자문 수수료 - K회계법인</t>
        </is>
      </c>
      <c r="J3435" s="75" t="inlineStr">
        <is>
          <t>V10010</t>
        </is>
      </c>
      <c r="K3435" s="75" t="inlineStr">
        <is>
          <t>K회계법인</t>
        </is>
      </c>
      <c r="M3435" s="9">
        <f>IF($A3435="","",VALUE($A3435&amp;"")*12+VALUE($B3435&amp;""))</f>
        <v/>
      </c>
      <c r="N3435" s="39">
        <f>IF($A3435="","",IFERROR(INDEX(부서매핑!$C$5:$C$504,MATCH($G3435&amp;"",부서매핑!$A$5:$A$504,0)),"미매핑"))</f>
        <v/>
      </c>
      <c r="O3435" s="9">
        <f>IF($A3435="","",N3435&amp;"|"&amp;$F3435)</f>
        <v/>
      </c>
      <c r="P3435" s="77">
        <f>IF($A3435="",0,$H3435*설정!$C$23)</f>
        <v/>
      </c>
      <c r="Q3435" s="39">
        <f>IF($A3435="","",IF(O3435&lt;&gt;원인분석!$C$9,"",IF(AND(M3435&gt;=원인분석!$C$10,M3435&lt;=원인분석!$C$11),"당기",IF(AND(M3435&gt;=원인분석!$C$12,M3435&lt;=원인분석!$C$13),"비교",""))))</f>
        <v/>
      </c>
      <c r="R3435" s="9">
        <f>IF(Q3435="","",$K3435&amp;"")</f>
        <v/>
      </c>
      <c r="S3435" s="9">
        <f>IF(Q3435="","",IF(MATCH(R3435,$R$5:$R$100000,0)=ROW()-4,ROW(),""))</f>
        <v/>
      </c>
      <c r="T3435" s="9">
        <f>IF(Q3435="당기",ABS(P3435)+ROW()/1000000000,"")</f>
        <v/>
      </c>
      <c r="U3435" s="9">
        <f>IF(Q3435="비교",ABS(P3435)+ROW()/1000000000,"")</f>
        <v/>
      </c>
      <c r="V3435" s="39">
        <f>IF($A3435="","",IF(COUNTIF(변동분석!$E$7:$E$506,O3435)&gt;0,"Y","N"))</f>
        <v/>
      </c>
      <c r="W3435" s="39">
        <f>IF($A3435="","",IFERROR(INDEX(계정매핑!$D$5:$D$504,MATCH($F3435&amp;"",계정매핑!$A$5:$A$504,0)),"미매핑"))</f>
        <v/>
      </c>
      <c r="X3435" s="9">
        <f>IF($A3435="","",$F3435&amp;"")</f>
        <v/>
      </c>
    </row>
    <row r="3436">
      <c r="A3436" s="75" t="n">
        <v>2026</v>
      </c>
      <c r="B3436" s="75" t="n">
        <v>6</v>
      </c>
      <c r="C3436" s="75" t="inlineStr">
        <is>
          <t>5100001092</t>
        </is>
      </c>
      <c r="D3436" s="78" t="n">
        <v>46190</v>
      </c>
      <c r="E3436" s="75" t="inlineStr">
        <is>
          <t>KR</t>
        </is>
      </c>
      <c r="F3436" s="75" t="n">
        <v>62101000</v>
      </c>
      <c r="G3436" s="75" t="n">
        <v>1501</v>
      </c>
      <c r="H3436" s="76" t="n">
        <v>771000</v>
      </c>
      <c r="I3436" s="75" t="inlineStr">
        <is>
          <t>6월 국내출장 - M항공</t>
        </is>
      </c>
      <c r="J3436" s="75" t="inlineStr">
        <is>
          <t>V10001</t>
        </is>
      </c>
      <c r="K3436" s="75" t="inlineStr">
        <is>
          <t>M항공</t>
        </is>
      </c>
      <c r="M3436" s="9">
        <f>IF($A3436="","",VALUE($A3436&amp;"")*12+VALUE($B3436&amp;""))</f>
        <v/>
      </c>
      <c r="N3436" s="39">
        <f>IF($A3436="","",IFERROR(INDEX(부서매핑!$C$5:$C$504,MATCH($G3436&amp;"",부서매핑!$A$5:$A$504,0)),"미매핑"))</f>
        <v/>
      </c>
      <c r="O3436" s="9">
        <f>IF($A3436="","",N3436&amp;"|"&amp;$F3436)</f>
        <v/>
      </c>
      <c r="P3436" s="77">
        <f>IF($A3436="",0,$H3436*설정!$C$23)</f>
        <v/>
      </c>
      <c r="Q3436" s="39">
        <f>IF($A3436="","",IF(O3436&lt;&gt;원인분석!$C$9,"",IF(AND(M3436&gt;=원인분석!$C$10,M3436&lt;=원인분석!$C$11),"당기",IF(AND(M3436&gt;=원인분석!$C$12,M3436&lt;=원인분석!$C$13),"비교",""))))</f>
        <v/>
      </c>
      <c r="R3436" s="9">
        <f>IF(Q3436="","",$K3436&amp;"")</f>
        <v/>
      </c>
      <c r="S3436" s="9">
        <f>IF(Q3436="","",IF(MATCH(R3436,$R$5:$R$100000,0)=ROW()-4,ROW(),""))</f>
        <v/>
      </c>
      <c r="T3436" s="9">
        <f>IF(Q3436="당기",ABS(P3436)+ROW()/1000000000,"")</f>
        <v/>
      </c>
      <c r="U3436" s="9">
        <f>IF(Q3436="비교",ABS(P3436)+ROW()/1000000000,"")</f>
        <v/>
      </c>
      <c r="V3436" s="39">
        <f>IF($A3436="","",IF(COUNTIF(변동분석!$E$7:$E$506,O3436)&gt;0,"Y","N"))</f>
        <v/>
      </c>
      <c r="W3436" s="39">
        <f>IF($A3436="","",IFERROR(INDEX(계정매핑!$D$5:$D$504,MATCH($F3436&amp;"",계정매핑!$A$5:$A$504,0)),"미매핑"))</f>
        <v/>
      </c>
      <c r="X3436" s="9">
        <f>IF($A3436="","",$F3436&amp;"")</f>
        <v/>
      </c>
    </row>
    <row r="3437">
      <c r="A3437" s="75" t="n">
        <v>2026</v>
      </c>
      <c r="B3437" s="75" t="n">
        <v>6</v>
      </c>
      <c r="C3437" s="75" t="inlineStr">
        <is>
          <t>5100001093</t>
        </is>
      </c>
      <c r="D3437" s="78" t="n">
        <v>46190</v>
      </c>
      <c r="E3437" s="75" t="inlineStr">
        <is>
          <t>KR</t>
        </is>
      </c>
      <c r="F3437" s="75" t="n">
        <v>62102000</v>
      </c>
      <c r="G3437" s="75" t="n">
        <v>1201</v>
      </c>
      <c r="H3437" s="76" t="n">
        <v>46000</v>
      </c>
      <c r="I3437" s="75" t="inlineStr">
        <is>
          <t>6월 해외출장 - N호텔</t>
        </is>
      </c>
      <c r="J3437" s="75" t="inlineStr">
        <is>
          <t>V10007</t>
        </is>
      </c>
      <c r="K3437" s="75" t="inlineStr">
        <is>
          <t>N호텔</t>
        </is>
      </c>
      <c r="M3437" s="9">
        <f>IF($A3437="","",VALUE($A3437&amp;"")*12+VALUE($B3437&amp;""))</f>
        <v/>
      </c>
      <c r="N3437" s="39">
        <f>IF($A3437="","",IFERROR(INDEX(부서매핑!$C$5:$C$504,MATCH($G3437&amp;"",부서매핑!$A$5:$A$504,0)),"미매핑"))</f>
        <v/>
      </c>
      <c r="O3437" s="9">
        <f>IF($A3437="","",N3437&amp;"|"&amp;$F3437)</f>
        <v/>
      </c>
      <c r="P3437" s="77">
        <f>IF($A3437="",0,$H3437*설정!$C$23)</f>
        <v/>
      </c>
      <c r="Q3437" s="39">
        <f>IF($A3437="","",IF(O3437&lt;&gt;원인분석!$C$9,"",IF(AND(M3437&gt;=원인분석!$C$10,M3437&lt;=원인분석!$C$11),"당기",IF(AND(M3437&gt;=원인분석!$C$12,M3437&lt;=원인분석!$C$13),"비교",""))))</f>
        <v/>
      </c>
      <c r="R3437" s="9">
        <f>IF(Q3437="","",$K3437&amp;"")</f>
        <v/>
      </c>
      <c r="S3437" s="9">
        <f>IF(Q3437="","",IF(MATCH(R3437,$R$5:$R$100000,0)=ROW()-4,ROW(),""))</f>
        <v/>
      </c>
      <c r="T3437" s="9">
        <f>IF(Q3437="당기",ABS(P3437)+ROW()/1000000000,"")</f>
        <v/>
      </c>
      <c r="U3437" s="9">
        <f>IF(Q3437="비교",ABS(P3437)+ROW()/1000000000,"")</f>
        <v/>
      </c>
      <c r="V3437" s="39">
        <f>IF($A3437="","",IF(COUNTIF(변동분석!$E$7:$E$506,O3437)&gt;0,"Y","N"))</f>
        <v/>
      </c>
      <c r="W3437" s="39">
        <f>IF($A3437="","",IFERROR(INDEX(계정매핑!$D$5:$D$504,MATCH($F3437&amp;"",계정매핑!$A$5:$A$504,0)),"미매핑"))</f>
        <v/>
      </c>
      <c r="X3437" s="9">
        <f>IF($A3437="","",$F3437&amp;"")</f>
        <v/>
      </c>
    </row>
    <row r="3438">
      <c r="A3438" s="75" t="n">
        <v>2026</v>
      </c>
      <c r="B3438" s="75" t="n">
        <v>6</v>
      </c>
      <c r="C3438" s="75" t="inlineStr">
        <is>
          <t>5100001094</t>
        </is>
      </c>
      <c r="D3438" s="78" t="n">
        <v>46190</v>
      </c>
      <c r="E3438" s="75" t="inlineStr">
        <is>
          <t>KR</t>
        </is>
      </c>
      <c r="F3438" s="75" t="n">
        <v>62102000</v>
      </c>
      <c r="G3438" s="75" t="n">
        <v>1301</v>
      </c>
      <c r="H3438" s="76" t="n">
        <v>86000</v>
      </c>
      <c r="I3438" s="75" t="inlineStr">
        <is>
          <t>6월 해외출장 - M항공</t>
        </is>
      </c>
      <c r="J3438" s="75" t="inlineStr">
        <is>
          <t>V10001</t>
        </is>
      </c>
      <c r="K3438" s="75" t="inlineStr">
        <is>
          <t>M항공</t>
        </is>
      </c>
      <c r="M3438" s="9">
        <f>IF($A3438="","",VALUE($A3438&amp;"")*12+VALUE($B3438&amp;""))</f>
        <v/>
      </c>
      <c r="N3438" s="39">
        <f>IF($A3438="","",IFERROR(INDEX(부서매핑!$C$5:$C$504,MATCH($G3438&amp;"",부서매핑!$A$5:$A$504,0)),"미매핑"))</f>
        <v/>
      </c>
      <c r="O3438" s="9">
        <f>IF($A3438="","",N3438&amp;"|"&amp;$F3438)</f>
        <v/>
      </c>
      <c r="P3438" s="77">
        <f>IF($A3438="",0,$H3438*설정!$C$23)</f>
        <v/>
      </c>
      <c r="Q3438" s="39">
        <f>IF($A3438="","",IF(O3438&lt;&gt;원인분석!$C$9,"",IF(AND(M3438&gt;=원인분석!$C$10,M3438&lt;=원인분석!$C$11),"당기",IF(AND(M3438&gt;=원인분석!$C$12,M3438&lt;=원인분석!$C$13),"비교",""))))</f>
        <v/>
      </c>
      <c r="R3438" s="9">
        <f>IF(Q3438="","",$K3438&amp;"")</f>
        <v/>
      </c>
      <c r="S3438" s="9">
        <f>IF(Q3438="","",IF(MATCH(R3438,$R$5:$R$100000,0)=ROW()-4,ROW(),""))</f>
        <v/>
      </c>
      <c r="T3438" s="9">
        <f>IF(Q3438="당기",ABS(P3438)+ROW()/1000000000,"")</f>
        <v/>
      </c>
      <c r="U3438" s="9">
        <f>IF(Q3438="비교",ABS(P3438)+ROW()/1000000000,"")</f>
        <v/>
      </c>
      <c r="V3438" s="39">
        <f>IF($A3438="","",IF(COUNTIF(변동분석!$E$7:$E$506,O3438)&gt;0,"Y","N"))</f>
        <v/>
      </c>
      <c r="W3438" s="39">
        <f>IF($A3438="","",IFERROR(INDEX(계정매핑!$D$5:$D$504,MATCH($F3438&amp;"",계정매핑!$A$5:$A$504,0)),"미매핑"))</f>
        <v/>
      </c>
      <c r="X3438" s="9">
        <f>IF($A3438="","",$F3438&amp;"")</f>
        <v/>
      </c>
    </row>
    <row r="3439">
      <c r="A3439" s="75" t="n">
        <v>2026</v>
      </c>
      <c r="B3439" s="75" t="n">
        <v>6</v>
      </c>
      <c r="C3439" s="75" t="inlineStr">
        <is>
          <t>5100001095</t>
        </is>
      </c>
      <c r="D3439" s="78" t="n">
        <v>46190</v>
      </c>
      <c r="E3439" s="75" t="inlineStr">
        <is>
          <t>KR</t>
        </is>
      </c>
      <c r="F3439" s="75" t="n">
        <v>62102000</v>
      </c>
      <c r="G3439" s="75" t="n">
        <v>1401</v>
      </c>
      <c r="H3439" s="76" t="n">
        <v>87000</v>
      </c>
      <c r="I3439" s="75" t="inlineStr">
        <is>
          <t>6월 해외출장 - N호텔</t>
        </is>
      </c>
      <c r="J3439" s="75" t="inlineStr">
        <is>
          <t>V10007</t>
        </is>
      </c>
      <c r="K3439" s="75" t="inlineStr">
        <is>
          <t>N호텔</t>
        </is>
      </c>
      <c r="M3439" s="9">
        <f>IF($A3439="","",VALUE($A3439&amp;"")*12+VALUE($B3439&amp;""))</f>
        <v/>
      </c>
      <c r="N3439" s="39">
        <f>IF($A3439="","",IFERROR(INDEX(부서매핑!$C$5:$C$504,MATCH($G3439&amp;"",부서매핑!$A$5:$A$504,0)),"미매핑"))</f>
        <v/>
      </c>
      <c r="O3439" s="9">
        <f>IF($A3439="","",N3439&amp;"|"&amp;$F3439)</f>
        <v/>
      </c>
      <c r="P3439" s="77">
        <f>IF($A3439="",0,$H3439*설정!$C$23)</f>
        <v/>
      </c>
      <c r="Q3439" s="39">
        <f>IF($A3439="","",IF(O3439&lt;&gt;원인분석!$C$9,"",IF(AND(M3439&gt;=원인분석!$C$10,M3439&lt;=원인분석!$C$11),"당기",IF(AND(M3439&gt;=원인분석!$C$12,M3439&lt;=원인분석!$C$13),"비교",""))))</f>
        <v/>
      </c>
      <c r="R3439" s="9">
        <f>IF(Q3439="","",$K3439&amp;"")</f>
        <v/>
      </c>
      <c r="S3439" s="9">
        <f>IF(Q3439="","",IF(MATCH(R3439,$R$5:$R$100000,0)=ROW()-4,ROW(),""))</f>
        <v/>
      </c>
      <c r="T3439" s="9">
        <f>IF(Q3439="당기",ABS(P3439)+ROW()/1000000000,"")</f>
        <v/>
      </c>
      <c r="U3439" s="9">
        <f>IF(Q3439="비교",ABS(P3439)+ROW()/1000000000,"")</f>
        <v/>
      </c>
      <c r="V3439" s="39">
        <f>IF($A3439="","",IF(COUNTIF(변동분석!$E$7:$E$506,O3439)&gt;0,"Y","N"))</f>
        <v/>
      </c>
      <c r="W3439" s="39">
        <f>IF($A3439="","",IFERROR(INDEX(계정매핑!$D$5:$D$504,MATCH($F3439&amp;"",계정매핑!$A$5:$A$504,0)),"미매핑"))</f>
        <v/>
      </c>
      <c r="X3439" s="9">
        <f>IF($A3439="","",$F3439&amp;"")</f>
        <v/>
      </c>
    </row>
    <row r="3440">
      <c r="A3440" s="75" t="n">
        <v>2026</v>
      </c>
      <c r="B3440" s="75" t="n">
        <v>6</v>
      </c>
      <c r="C3440" s="75" t="inlineStr">
        <is>
          <t>5100001096</t>
        </is>
      </c>
      <c r="D3440" s="78" t="n">
        <v>46190</v>
      </c>
      <c r="E3440" s="75" t="inlineStr">
        <is>
          <t>KR</t>
        </is>
      </c>
      <c r="F3440" s="75" t="n">
        <v>62201000</v>
      </c>
      <c r="G3440" s="75" t="n">
        <v>1501</v>
      </c>
      <c r="H3440" s="76" t="n">
        <v>376000</v>
      </c>
      <c r="I3440" s="75" t="inlineStr">
        <is>
          <t>6월 통신요금 - O텔레콤</t>
        </is>
      </c>
      <c r="J3440" s="75" t="inlineStr">
        <is>
          <t>V10002</t>
        </is>
      </c>
      <c r="K3440" s="75" t="inlineStr">
        <is>
          <t>O텔레콤</t>
        </is>
      </c>
      <c r="M3440" s="9">
        <f>IF($A3440="","",VALUE($A3440&amp;"")*12+VALUE($B3440&amp;""))</f>
        <v/>
      </c>
      <c r="N3440" s="39">
        <f>IF($A3440="","",IFERROR(INDEX(부서매핑!$C$5:$C$504,MATCH($G3440&amp;"",부서매핑!$A$5:$A$504,0)),"미매핑"))</f>
        <v/>
      </c>
      <c r="O3440" s="9">
        <f>IF($A3440="","",N3440&amp;"|"&amp;$F3440)</f>
        <v/>
      </c>
      <c r="P3440" s="77">
        <f>IF($A3440="",0,$H3440*설정!$C$23)</f>
        <v/>
      </c>
      <c r="Q3440" s="39">
        <f>IF($A3440="","",IF(O3440&lt;&gt;원인분석!$C$9,"",IF(AND(M3440&gt;=원인분석!$C$10,M3440&lt;=원인분석!$C$11),"당기",IF(AND(M3440&gt;=원인분석!$C$12,M3440&lt;=원인분석!$C$13),"비교",""))))</f>
        <v/>
      </c>
      <c r="R3440" s="9">
        <f>IF(Q3440="","",$K3440&amp;"")</f>
        <v/>
      </c>
      <c r="S3440" s="9">
        <f>IF(Q3440="","",IF(MATCH(R3440,$R$5:$R$100000,0)=ROW()-4,ROW(),""))</f>
        <v/>
      </c>
      <c r="T3440" s="9">
        <f>IF(Q3440="당기",ABS(P3440)+ROW()/1000000000,"")</f>
        <v/>
      </c>
      <c r="U3440" s="9">
        <f>IF(Q3440="비교",ABS(P3440)+ROW()/1000000000,"")</f>
        <v/>
      </c>
      <c r="V3440" s="39">
        <f>IF($A3440="","",IF(COUNTIF(변동분석!$E$7:$E$506,O3440)&gt;0,"Y","N"))</f>
        <v/>
      </c>
      <c r="W3440" s="39">
        <f>IF($A3440="","",IFERROR(INDEX(계정매핑!$D$5:$D$504,MATCH($F3440&amp;"",계정매핑!$A$5:$A$504,0)),"미매핑"))</f>
        <v/>
      </c>
      <c r="X3440" s="9">
        <f>IF($A3440="","",$F3440&amp;"")</f>
        <v/>
      </c>
    </row>
    <row r="3441">
      <c r="A3441" s="75" t="n">
        <v>2026</v>
      </c>
      <c r="B3441" s="75" t="n">
        <v>6</v>
      </c>
      <c r="C3441" s="75" t="inlineStr">
        <is>
          <t>5100001097</t>
        </is>
      </c>
      <c r="D3441" s="78" t="n">
        <v>46190</v>
      </c>
      <c r="E3441" s="75" t="inlineStr">
        <is>
          <t>KR</t>
        </is>
      </c>
      <c r="F3441" s="75" t="n">
        <v>62201000</v>
      </c>
      <c r="G3441" s="75" t="n">
        <v>1801</v>
      </c>
      <c r="H3441" s="76" t="n">
        <v>7826000</v>
      </c>
      <c r="I3441" s="75" t="inlineStr">
        <is>
          <t>6월 통신요금 - O텔레콤</t>
        </is>
      </c>
      <c r="J3441" s="75" t="inlineStr">
        <is>
          <t>V10002</t>
        </is>
      </c>
      <c r="K3441" s="75" t="inlineStr">
        <is>
          <t>O텔레콤</t>
        </is>
      </c>
      <c r="M3441" s="9">
        <f>IF($A3441="","",VALUE($A3441&amp;"")*12+VALUE($B3441&amp;""))</f>
        <v/>
      </c>
      <c r="N3441" s="39">
        <f>IF($A3441="","",IFERROR(INDEX(부서매핑!$C$5:$C$504,MATCH($G3441&amp;"",부서매핑!$A$5:$A$504,0)),"미매핑"))</f>
        <v/>
      </c>
      <c r="O3441" s="9">
        <f>IF($A3441="","",N3441&amp;"|"&amp;$F3441)</f>
        <v/>
      </c>
      <c r="P3441" s="77">
        <f>IF($A3441="",0,$H3441*설정!$C$23)</f>
        <v/>
      </c>
      <c r="Q3441" s="39">
        <f>IF($A3441="","",IF(O3441&lt;&gt;원인분석!$C$9,"",IF(AND(M3441&gt;=원인분석!$C$10,M3441&lt;=원인분석!$C$11),"당기",IF(AND(M3441&gt;=원인분석!$C$12,M3441&lt;=원인분석!$C$13),"비교",""))))</f>
        <v/>
      </c>
      <c r="R3441" s="9">
        <f>IF(Q3441="","",$K3441&amp;"")</f>
        <v/>
      </c>
      <c r="S3441" s="9">
        <f>IF(Q3441="","",IF(MATCH(R3441,$R$5:$R$100000,0)=ROW()-4,ROW(),""))</f>
        <v/>
      </c>
      <c r="T3441" s="9">
        <f>IF(Q3441="당기",ABS(P3441)+ROW()/1000000000,"")</f>
        <v/>
      </c>
      <c r="U3441" s="9">
        <f>IF(Q3441="비교",ABS(P3441)+ROW()/1000000000,"")</f>
        <v/>
      </c>
      <c r="V3441" s="39">
        <f>IF($A3441="","",IF(COUNTIF(변동분석!$E$7:$E$506,O3441)&gt;0,"Y","N"))</f>
        <v/>
      </c>
      <c r="W3441" s="39">
        <f>IF($A3441="","",IFERROR(INDEX(계정매핑!$D$5:$D$504,MATCH($F3441&amp;"",계정매핑!$A$5:$A$504,0)),"미매핑"))</f>
        <v/>
      </c>
      <c r="X3441" s="9">
        <f>IF($A3441="","",$F3441&amp;"")</f>
        <v/>
      </c>
    </row>
    <row r="3442">
      <c r="A3442" s="75" t="n">
        <v>2026</v>
      </c>
      <c r="B3442" s="75" t="n">
        <v>6</v>
      </c>
      <c r="C3442" s="75" t="inlineStr">
        <is>
          <t>5100001098</t>
        </is>
      </c>
      <c r="D3442" s="78" t="n">
        <v>46190</v>
      </c>
      <c r="E3442" s="75" t="inlineStr">
        <is>
          <t>KR</t>
        </is>
      </c>
      <c r="F3442" s="75" t="n">
        <v>62301000</v>
      </c>
      <c r="G3442" s="75" t="n">
        <v>1601</v>
      </c>
      <c r="H3442" s="76" t="n">
        <v>569000</v>
      </c>
      <c r="I3442" s="75" t="inlineStr">
        <is>
          <t>6월 소모품 구입 - Q오피스</t>
        </is>
      </c>
      <c r="J3442" s="75" t="inlineStr">
        <is>
          <t>V10003</t>
        </is>
      </c>
      <c r="K3442" s="75" t="inlineStr">
        <is>
          <t>Q오피스</t>
        </is>
      </c>
      <c r="M3442" s="9">
        <f>IF($A3442="","",VALUE($A3442&amp;"")*12+VALUE($B3442&amp;""))</f>
        <v/>
      </c>
      <c r="N3442" s="39">
        <f>IF($A3442="","",IFERROR(INDEX(부서매핑!$C$5:$C$504,MATCH($G3442&amp;"",부서매핑!$A$5:$A$504,0)),"미매핑"))</f>
        <v/>
      </c>
      <c r="O3442" s="9">
        <f>IF($A3442="","",N3442&amp;"|"&amp;$F3442)</f>
        <v/>
      </c>
      <c r="P3442" s="77">
        <f>IF($A3442="",0,$H3442*설정!$C$23)</f>
        <v/>
      </c>
      <c r="Q3442" s="39">
        <f>IF($A3442="","",IF(O3442&lt;&gt;원인분석!$C$9,"",IF(AND(M3442&gt;=원인분석!$C$10,M3442&lt;=원인분석!$C$11),"당기",IF(AND(M3442&gt;=원인분석!$C$12,M3442&lt;=원인분석!$C$13),"비교",""))))</f>
        <v/>
      </c>
      <c r="R3442" s="9">
        <f>IF(Q3442="","",$K3442&amp;"")</f>
        <v/>
      </c>
      <c r="S3442" s="9">
        <f>IF(Q3442="","",IF(MATCH(R3442,$R$5:$R$100000,0)=ROW()-4,ROW(),""))</f>
        <v/>
      </c>
      <c r="T3442" s="9">
        <f>IF(Q3442="당기",ABS(P3442)+ROW()/1000000000,"")</f>
        <v/>
      </c>
      <c r="U3442" s="9">
        <f>IF(Q3442="비교",ABS(P3442)+ROW()/1000000000,"")</f>
        <v/>
      </c>
      <c r="V3442" s="39">
        <f>IF($A3442="","",IF(COUNTIF(변동분석!$E$7:$E$506,O3442)&gt;0,"Y","N"))</f>
        <v/>
      </c>
      <c r="W3442" s="39">
        <f>IF($A3442="","",IFERROR(INDEX(계정매핑!$D$5:$D$504,MATCH($F3442&amp;"",계정매핑!$A$5:$A$504,0)),"미매핑"))</f>
        <v/>
      </c>
      <c r="X3442" s="9">
        <f>IF($A3442="","",$F3442&amp;"")</f>
        <v/>
      </c>
    </row>
    <row r="3443">
      <c r="A3443" s="75" t="n">
        <v>2026</v>
      </c>
      <c r="B3443" s="75" t="n">
        <v>6</v>
      </c>
      <c r="C3443" s="75" t="inlineStr">
        <is>
          <t>5100001099</t>
        </is>
      </c>
      <c r="D3443" s="78" t="n">
        <v>46190</v>
      </c>
      <c r="E3443" s="75" t="inlineStr">
        <is>
          <t>KR</t>
        </is>
      </c>
      <c r="F3443" s="75" t="n">
        <v>62901000</v>
      </c>
      <c r="G3443" s="75" t="n">
        <v>1801</v>
      </c>
      <c r="H3443" s="76" t="n">
        <v>16054000</v>
      </c>
      <c r="I3443" s="75" t="inlineStr">
        <is>
          <t>6월 자문 수수료 - W컨설팅</t>
        </is>
      </c>
      <c r="J3443" s="75" t="inlineStr">
        <is>
          <t>V10009</t>
        </is>
      </c>
      <c r="K3443" s="75" t="inlineStr">
        <is>
          <t>W컨설팅</t>
        </is>
      </c>
      <c r="M3443" s="9">
        <f>IF($A3443="","",VALUE($A3443&amp;"")*12+VALUE($B3443&amp;""))</f>
        <v/>
      </c>
      <c r="N3443" s="39">
        <f>IF($A3443="","",IFERROR(INDEX(부서매핑!$C$5:$C$504,MATCH($G3443&amp;"",부서매핑!$A$5:$A$504,0)),"미매핑"))</f>
        <v/>
      </c>
      <c r="O3443" s="9">
        <f>IF($A3443="","",N3443&amp;"|"&amp;$F3443)</f>
        <v/>
      </c>
      <c r="P3443" s="77">
        <f>IF($A3443="",0,$H3443*설정!$C$23)</f>
        <v/>
      </c>
      <c r="Q3443" s="39">
        <f>IF($A3443="","",IF(O3443&lt;&gt;원인분석!$C$9,"",IF(AND(M3443&gt;=원인분석!$C$10,M3443&lt;=원인분석!$C$11),"당기",IF(AND(M3443&gt;=원인분석!$C$12,M3443&lt;=원인분석!$C$13),"비교",""))))</f>
        <v/>
      </c>
      <c r="R3443" s="9">
        <f>IF(Q3443="","",$K3443&amp;"")</f>
        <v/>
      </c>
      <c r="S3443" s="9">
        <f>IF(Q3443="","",IF(MATCH(R3443,$R$5:$R$100000,0)=ROW()-4,ROW(),""))</f>
        <v/>
      </c>
      <c r="T3443" s="9">
        <f>IF(Q3443="당기",ABS(P3443)+ROW()/1000000000,"")</f>
        <v/>
      </c>
      <c r="U3443" s="9">
        <f>IF(Q3443="비교",ABS(P3443)+ROW()/1000000000,"")</f>
        <v/>
      </c>
      <c r="V3443" s="39">
        <f>IF($A3443="","",IF(COUNTIF(변동분석!$E$7:$E$506,O3443)&gt;0,"Y","N"))</f>
        <v/>
      </c>
      <c r="W3443" s="39">
        <f>IF($A3443="","",IFERROR(INDEX(계정매핑!$D$5:$D$504,MATCH($F3443&amp;"",계정매핑!$A$5:$A$504,0)),"미매핑"))</f>
        <v/>
      </c>
      <c r="X3443" s="9">
        <f>IF($A3443="","",$F3443&amp;"")</f>
        <v/>
      </c>
    </row>
    <row r="3444">
      <c r="A3444" s="75" t="n">
        <v>2026</v>
      </c>
      <c r="B3444" s="75" t="n">
        <v>6</v>
      </c>
      <c r="C3444" s="75" t="inlineStr">
        <is>
          <t>5100001100</t>
        </is>
      </c>
      <c r="D3444" s="78" t="n">
        <v>46190</v>
      </c>
      <c r="E3444" s="75" t="inlineStr">
        <is>
          <t>KR</t>
        </is>
      </c>
      <c r="F3444" s="75" t="n">
        <v>62902000</v>
      </c>
      <c r="G3444" s="75" t="n">
        <v>1401</v>
      </c>
      <c r="H3444" s="76" t="n">
        <v>2163000</v>
      </c>
      <c r="I3444" s="75" t="inlineStr">
        <is>
          <t>6월 업무 위탁 수수료 - J콜센터</t>
        </is>
      </c>
      <c r="J3444" s="75" t="inlineStr">
        <is>
          <t>V10013</t>
        </is>
      </c>
      <c r="K3444" s="75" t="inlineStr">
        <is>
          <t>J콜센터</t>
        </is>
      </c>
      <c r="M3444" s="9">
        <f>IF($A3444="","",VALUE($A3444&amp;"")*12+VALUE($B3444&amp;""))</f>
        <v/>
      </c>
      <c r="N3444" s="39">
        <f>IF($A3444="","",IFERROR(INDEX(부서매핑!$C$5:$C$504,MATCH($G3444&amp;"",부서매핑!$A$5:$A$504,0)),"미매핑"))</f>
        <v/>
      </c>
      <c r="O3444" s="9">
        <f>IF($A3444="","",N3444&amp;"|"&amp;$F3444)</f>
        <v/>
      </c>
      <c r="P3444" s="77">
        <f>IF($A3444="",0,$H3444*설정!$C$23)</f>
        <v/>
      </c>
      <c r="Q3444" s="39">
        <f>IF($A3444="","",IF(O3444&lt;&gt;원인분석!$C$9,"",IF(AND(M3444&gt;=원인분석!$C$10,M3444&lt;=원인분석!$C$11),"당기",IF(AND(M3444&gt;=원인분석!$C$12,M3444&lt;=원인분석!$C$13),"비교",""))))</f>
        <v/>
      </c>
      <c r="R3444" s="9">
        <f>IF(Q3444="","",$K3444&amp;"")</f>
        <v/>
      </c>
      <c r="S3444" s="9">
        <f>IF(Q3444="","",IF(MATCH(R3444,$R$5:$R$100000,0)=ROW()-4,ROW(),""))</f>
        <v/>
      </c>
      <c r="T3444" s="9">
        <f>IF(Q3444="당기",ABS(P3444)+ROW()/1000000000,"")</f>
        <v/>
      </c>
      <c r="U3444" s="9">
        <f>IF(Q3444="비교",ABS(P3444)+ROW()/1000000000,"")</f>
        <v/>
      </c>
      <c r="V3444" s="39">
        <f>IF($A3444="","",IF(COUNTIF(변동분석!$E$7:$E$506,O3444)&gt;0,"Y","N"))</f>
        <v/>
      </c>
      <c r="W3444" s="39">
        <f>IF($A3444="","",IFERROR(INDEX(계정매핑!$D$5:$D$504,MATCH($F3444&amp;"",계정매핑!$A$5:$A$504,0)),"미매핑"))</f>
        <v/>
      </c>
      <c r="X3444" s="9">
        <f>IF($A3444="","",$F3444&amp;"")</f>
        <v/>
      </c>
    </row>
    <row r="3445">
      <c r="A3445" s="75" t="n">
        <v>2026</v>
      </c>
      <c r="B3445" s="75" t="n">
        <v>6</v>
      </c>
      <c r="C3445" s="75" t="inlineStr">
        <is>
          <t>5100001101</t>
        </is>
      </c>
      <c r="D3445" s="78" t="n">
        <v>46191</v>
      </c>
      <c r="E3445" s="75" t="inlineStr">
        <is>
          <t>KR</t>
        </is>
      </c>
      <c r="F3445" s="75" t="n">
        <v>62102000</v>
      </c>
      <c r="G3445" s="75" t="n">
        <v>1301</v>
      </c>
      <c r="H3445" s="76" t="n">
        <v>101000</v>
      </c>
      <c r="I3445" s="75" t="inlineStr">
        <is>
          <t>6월 해외출장 - N호텔</t>
        </is>
      </c>
      <c r="J3445" s="75" t="inlineStr">
        <is>
          <t>V10007</t>
        </is>
      </c>
      <c r="K3445" s="75" t="inlineStr">
        <is>
          <t>N호텔</t>
        </is>
      </c>
      <c r="M3445" s="9">
        <f>IF($A3445="","",VALUE($A3445&amp;"")*12+VALUE($B3445&amp;""))</f>
        <v/>
      </c>
      <c r="N3445" s="39">
        <f>IF($A3445="","",IFERROR(INDEX(부서매핑!$C$5:$C$504,MATCH($G3445&amp;"",부서매핑!$A$5:$A$504,0)),"미매핑"))</f>
        <v/>
      </c>
      <c r="O3445" s="9">
        <f>IF($A3445="","",N3445&amp;"|"&amp;$F3445)</f>
        <v/>
      </c>
      <c r="P3445" s="77">
        <f>IF($A3445="",0,$H3445*설정!$C$23)</f>
        <v/>
      </c>
      <c r="Q3445" s="39">
        <f>IF($A3445="","",IF(O3445&lt;&gt;원인분석!$C$9,"",IF(AND(M3445&gt;=원인분석!$C$10,M3445&lt;=원인분석!$C$11),"당기",IF(AND(M3445&gt;=원인분석!$C$12,M3445&lt;=원인분석!$C$13),"비교",""))))</f>
        <v/>
      </c>
      <c r="R3445" s="9">
        <f>IF(Q3445="","",$K3445&amp;"")</f>
        <v/>
      </c>
      <c r="S3445" s="9">
        <f>IF(Q3445="","",IF(MATCH(R3445,$R$5:$R$100000,0)=ROW()-4,ROW(),""))</f>
        <v/>
      </c>
      <c r="T3445" s="9">
        <f>IF(Q3445="당기",ABS(P3445)+ROW()/1000000000,"")</f>
        <v/>
      </c>
      <c r="U3445" s="9">
        <f>IF(Q3445="비교",ABS(P3445)+ROW()/1000000000,"")</f>
        <v/>
      </c>
      <c r="V3445" s="39">
        <f>IF($A3445="","",IF(COUNTIF(변동분석!$E$7:$E$506,O3445)&gt;0,"Y","N"))</f>
        <v/>
      </c>
      <c r="W3445" s="39">
        <f>IF($A3445="","",IFERROR(INDEX(계정매핑!$D$5:$D$504,MATCH($F3445&amp;"",계정매핑!$A$5:$A$504,0)),"미매핑"))</f>
        <v/>
      </c>
      <c r="X3445" s="9">
        <f>IF($A3445="","",$F3445&amp;"")</f>
        <v/>
      </c>
    </row>
    <row r="3446">
      <c r="A3446" s="75" t="n">
        <v>2026</v>
      </c>
      <c r="B3446" s="75" t="n">
        <v>6</v>
      </c>
      <c r="C3446" s="75" t="inlineStr">
        <is>
          <t>5100001102</t>
        </is>
      </c>
      <c r="D3446" s="78" t="n">
        <v>46191</v>
      </c>
      <c r="E3446" s="75" t="inlineStr">
        <is>
          <t>KR</t>
        </is>
      </c>
      <c r="F3446" s="75" t="n">
        <v>62901000</v>
      </c>
      <c r="G3446" s="75" t="n">
        <v>1201</v>
      </c>
      <c r="H3446" s="76" t="n">
        <v>5960000</v>
      </c>
      <c r="I3446" s="75" t="inlineStr">
        <is>
          <t>6월 자문 수수료 - K회계법인</t>
        </is>
      </c>
      <c r="J3446" s="75" t="inlineStr">
        <is>
          <t>V10010</t>
        </is>
      </c>
      <c r="K3446" s="75" t="inlineStr">
        <is>
          <t>K회계법인</t>
        </is>
      </c>
      <c r="M3446" s="9">
        <f>IF($A3446="","",VALUE($A3446&amp;"")*12+VALUE($B3446&amp;""))</f>
        <v/>
      </c>
      <c r="N3446" s="39">
        <f>IF($A3446="","",IFERROR(INDEX(부서매핑!$C$5:$C$504,MATCH($G3446&amp;"",부서매핑!$A$5:$A$504,0)),"미매핑"))</f>
        <v/>
      </c>
      <c r="O3446" s="9">
        <f>IF($A3446="","",N3446&amp;"|"&amp;$F3446)</f>
        <v/>
      </c>
      <c r="P3446" s="77">
        <f>IF($A3446="",0,$H3446*설정!$C$23)</f>
        <v/>
      </c>
      <c r="Q3446" s="39">
        <f>IF($A3446="","",IF(O3446&lt;&gt;원인분석!$C$9,"",IF(AND(M3446&gt;=원인분석!$C$10,M3446&lt;=원인분석!$C$11),"당기",IF(AND(M3446&gt;=원인분석!$C$12,M3446&lt;=원인분석!$C$13),"비교",""))))</f>
        <v/>
      </c>
      <c r="R3446" s="9">
        <f>IF(Q3446="","",$K3446&amp;"")</f>
        <v/>
      </c>
      <c r="S3446" s="9">
        <f>IF(Q3446="","",IF(MATCH(R3446,$R$5:$R$100000,0)=ROW()-4,ROW(),""))</f>
        <v/>
      </c>
      <c r="T3446" s="9">
        <f>IF(Q3446="당기",ABS(P3446)+ROW()/1000000000,"")</f>
        <v/>
      </c>
      <c r="U3446" s="9">
        <f>IF(Q3446="비교",ABS(P3446)+ROW()/1000000000,"")</f>
        <v/>
      </c>
      <c r="V3446" s="39">
        <f>IF($A3446="","",IF(COUNTIF(변동분석!$E$7:$E$506,O3446)&gt;0,"Y","N"))</f>
        <v/>
      </c>
      <c r="W3446" s="39">
        <f>IF($A3446="","",IFERROR(INDEX(계정매핑!$D$5:$D$504,MATCH($F3446&amp;"",계정매핑!$A$5:$A$504,0)),"미매핑"))</f>
        <v/>
      </c>
      <c r="X3446" s="9">
        <f>IF($A3446="","",$F3446&amp;"")</f>
        <v/>
      </c>
    </row>
    <row r="3447">
      <c r="A3447" s="75" t="n">
        <v>2026</v>
      </c>
      <c r="B3447" s="75" t="n">
        <v>6</v>
      </c>
      <c r="C3447" s="75" t="inlineStr">
        <is>
          <t>5100001103</t>
        </is>
      </c>
      <c r="D3447" s="78" t="n">
        <v>46191</v>
      </c>
      <c r="E3447" s="75" t="inlineStr">
        <is>
          <t>KR</t>
        </is>
      </c>
      <c r="F3447" s="75" t="n">
        <v>63201000</v>
      </c>
      <c r="G3447" s="75" t="n">
        <v>1602</v>
      </c>
      <c r="H3447" s="76" t="n">
        <v>5982000</v>
      </c>
      <c r="I3447" s="75" t="inlineStr">
        <is>
          <t>6월 차량 유지 - D정비</t>
        </is>
      </c>
      <c r="J3447" s="75" t="inlineStr">
        <is>
          <t>V10022</t>
        </is>
      </c>
      <c r="K3447" s="75" t="inlineStr">
        <is>
          <t>D정비</t>
        </is>
      </c>
      <c r="M3447" s="9">
        <f>IF($A3447="","",VALUE($A3447&amp;"")*12+VALUE($B3447&amp;""))</f>
        <v/>
      </c>
      <c r="N3447" s="39">
        <f>IF($A3447="","",IFERROR(INDEX(부서매핑!$C$5:$C$504,MATCH($G3447&amp;"",부서매핑!$A$5:$A$504,0)),"미매핑"))</f>
        <v/>
      </c>
      <c r="O3447" s="9">
        <f>IF($A3447="","",N3447&amp;"|"&amp;$F3447)</f>
        <v/>
      </c>
      <c r="P3447" s="77">
        <f>IF($A3447="",0,$H3447*설정!$C$23)</f>
        <v/>
      </c>
      <c r="Q3447" s="39">
        <f>IF($A3447="","",IF(O3447&lt;&gt;원인분석!$C$9,"",IF(AND(M3447&gt;=원인분석!$C$10,M3447&lt;=원인분석!$C$11),"당기",IF(AND(M3447&gt;=원인분석!$C$12,M3447&lt;=원인분석!$C$13),"비교",""))))</f>
        <v/>
      </c>
      <c r="R3447" s="9">
        <f>IF(Q3447="","",$K3447&amp;"")</f>
        <v/>
      </c>
      <c r="S3447" s="9">
        <f>IF(Q3447="","",IF(MATCH(R3447,$R$5:$R$100000,0)=ROW()-4,ROW(),""))</f>
        <v/>
      </c>
      <c r="T3447" s="9">
        <f>IF(Q3447="당기",ABS(P3447)+ROW()/1000000000,"")</f>
        <v/>
      </c>
      <c r="U3447" s="9">
        <f>IF(Q3447="비교",ABS(P3447)+ROW()/1000000000,"")</f>
        <v/>
      </c>
      <c r="V3447" s="39">
        <f>IF($A3447="","",IF(COUNTIF(변동분석!$E$7:$E$506,O3447)&gt;0,"Y","N"))</f>
        <v/>
      </c>
      <c r="W3447" s="39">
        <f>IF($A3447="","",IFERROR(INDEX(계정매핑!$D$5:$D$504,MATCH($F3447&amp;"",계정매핑!$A$5:$A$504,0)),"미매핑"))</f>
        <v/>
      </c>
      <c r="X3447" s="9">
        <f>IF($A3447="","",$F3447&amp;"")</f>
        <v/>
      </c>
    </row>
    <row r="3448">
      <c r="A3448" s="75" t="n">
        <v>2026</v>
      </c>
      <c r="B3448" s="75" t="n">
        <v>6</v>
      </c>
      <c r="C3448" s="75" t="inlineStr">
        <is>
          <t>5100001104</t>
        </is>
      </c>
      <c r="D3448" s="78" t="n">
        <v>46192</v>
      </c>
      <c r="E3448" s="75" t="inlineStr">
        <is>
          <t>KR</t>
        </is>
      </c>
      <c r="F3448" s="75" t="n">
        <v>62101000</v>
      </c>
      <c r="G3448" s="75" t="n">
        <v>1101</v>
      </c>
      <c r="H3448" s="76" t="n">
        <v>717000</v>
      </c>
      <c r="I3448" s="75" t="inlineStr">
        <is>
          <t>6월 국내출장 - L여행사</t>
        </is>
      </c>
      <c r="J3448" s="75" t="inlineStr">
        <is>
          <t>V10014</t>
        </is>
      </c>
      <c r="K3448" s="75" t="inlineStr">
        <is>
          <t>L여행사</t>
        </is>
      </c>
      <c r="M3448" s="9">
        <f>IF($A3448="","",VALUE($A3448&amp;"")*12+VALUE($B3448&amp;""))</f>
        <v/>
      </c>
      <c r="N3448" s="39">
        <f>IF($A3448="","",IFERROR(INDEX(부서매핑!$C$5:$C$504,MATCH($G3448&amp;"",부서매핑!$A$5:$A$504,0)),"미매핑"))</f>
        <v/>
      </c>
      <c r="O3448" s="9">
        <f>IF($A3448="","",N3448&amp;"|"&amp;$F3448)</f>
        <v/>
      </c>
      <c r="P3448" s="77">
        <f>IF($A3448="",0,$H3448*설정!$C$23)</f>
        <v/>
      </c>
      <c r="Q3448" s="39">
        <f>IF($A3448="","",IF(O3448&lt;&gt;원인분석!$C$9,"",IF(AND(M3448&gt;=원인분석!$C$10,M3448&lt;=원인분석!$C$11),"당기",IF(AND(M3448&gt;=원인분석!$C$12,M3448&lt;=원인분석!$C$13),"비교",""))))</f>
        <v/>
      </c>
      <c r="R3448" s="9">
        <f>IF(Q3448="","",$K3448&amp;"")</f>
        <v/>
      </c>
      <c r="S3448" s="9">
        <f>IF(Q3448="","",IF(MATCH(R3448,$R$5:$R$100000,0)=ROW()-4,ROW(),""))</f>
        <v/>
      </c>
      <c r="T3448" s="9">
        <f>IF(Q3448="당기",ABS(P3448)+ROW()/1000000000,"")</f>
        <v/>
      </c>
      <c r="U3448" s="9">
        <f>IF(Q3448="비교",ABS(P3448)+ROW()/1000000000,"")</f>
        <v/>
      </c>
      <c r="V3448" s="39">
        <f>IF($A3448="","",IF(COUNTIF(변동분석!$E$7:$E$506,O3448)&gt;0,"Y","N"))</f>
        <v/>
      </c>
      <c r="W3448" s="39">
        <f>IF($A3448="","",IFERROR(INDEX(계정매핑!$D$5:$D$504,MATCH($F3448&amp;"",계정매핑!$A$5:$A$504,0)),"미매핑"))</f>
        <v/>
      </c>
      <c r="X3448" s="9">
        <f>IF($A3448="","",$F3448&amp;"")</f>
        <v/>
      </c>
    </row>
    <row r="3449">
      <c r="A3449" s="75" t="n">
        <v>2026</v>
      </c>
      <c r="B3449" s="75" t="n">
        <v>6</v>
      </c>
      <c r="C3449" s="75" t="inlineStr">
        <is>
          <t>5100001105</t>
        </is>
      </c>
      <c r="D3449" s="78" t="n">
        <v>46192</v>
      </c>
      <c r="E3449" s="75" t="inlineStr">
        <is>
          <t>KR</t>
        </is>
      </c>
      <c r="F3449" s="75" t="n">
        <v>62101000</v>
      </c>
      <c r="G3449" s="75" t="n">
        <v>1801</v>
      </c>
      <c r="H3449" s="76" t="n">
        <v>237000</v>
      </c>
      <c r="I3449" s="75" t="inlineStr">
        <is>
          <t>6월 국내출장 - L여행사</t>
        </is>
      </c>
      <c r="J3449" s="75" t="inlineStr">
        <is>
          <t>V10014</t>
        </is>
      </c>
      <c r="K3449" s="75" t="inlineStr">
        <is>
          <t>L여행사</t>
        </is>
      </c>
      <c r="M3449" s="9">
        <f>IF($A3449="","",VALUE($A3449&amp;"")*12+VALUE($B3449&amp;""))</f>
        <v/>
      </c>
      <c r="N3449" s="39">
        <f>IF($A3449="","",IFERROR(INDEX(부서매핑!$C$5:$C$504,MATCH($G3449&amp;"",부서매핑!$A$5:$A$504,0)),"미매핑"))</f>
        <v/>
      </c>
      <c r="O3449" s="9">
        <f>IF($A3449="","",N3449&amp;"|"&amp;$F3449)</f>
        <v/>
      </c>
      <c r="P3449" s="77">
        <f>IF($A3449="",0,$H3449*설정!$C$23)</f>
        <v/>
      </c>
      <c r="Q3449" s="39">
        <f>IF($A3449="","",IF(O3449&lt;&gt;원인분석!$C$9,"",IF(AND(M3449&gt;=원인분석!$C$10,M3449&lt;=원인분석!$C$11),"당기",IF(AND(M3449&gt;=원인분석!$C$12,M3449&lt;=원인분석!$C$13),"비교",""))))</f>
        <v/>
      </c>
      <c r="R3449" s="9">
        <f>IF(Q3449="","",$K3449&amp;"")</f>
        <v/>
      </c>
      <c r="S3449" s="9">
        <f>IF(Q3449="","",IF(MATCH(R3449,$R$5:$R$100000,0)=ROW()-4,ROW(),""))</f>
        <v/>
      </c>
      <c r="T3449" s="9">
        <f>IF(Q3449="당기",ABS(P3449)+ROW()/1000000000,"")</f>
        <v/>
      </c>
      <c r="U3449" s="9">
        <f>IF(Q3449="비교",ABS(P3449)+ROW()/1000000000,"")</f>
        <v/>
      </c>
      <c r="V3449" s="39">
        <f>IF($A3449="","",IF(COUNTIF(변동분석!$E$7:$E$506,O3449)&gt;0,"Y","N"))</f>
        <v/>
      </c>
      <c r="W3449" s="39">
        <f>IF($A3449="","",IFERROR(INDEX(계정매핑!$D$5:$D$504,MATCH($F3449&amp;"",계정매핑!$A$5:$A$504,0)),"미매핑"))</f>
        <v/>
      </c>
      <c r="X3449" s="9">
        <f>IF($A3449="","",$F3449&amp;"")</f>
        <v/>
      </c>
    </row>
    <row r="3450">
      <c r="A3450" s="75" t="n">
        <v>2026</v>
      </c>
      <c r="B3450" s="75" t="n">
        <v>6</v>
      </c>
      <c r="C3450" s="75" t="inlineStr">
        <is>
          <t>5100001106</t>
        </is>
      </c>
      <c r="D3450" s="78" t="n">
        <v>46192</v>
      </c>
      <c r="E3450" s="75" t="inlineStr">
        <is>
          <t>KR</t>
        </is>
      </c>
      <c r="F3450" s="75" t="n">
        <v>62102000</v>
      </c>
      <c r="G3450" s="75" t="n">
        <v>1701</v>
      </c>
      <c r="H3450" s="76" t="n">
        <v>32000</v>
      </c>
      <c r="I3450" s="75" t="inlineStr">
        <is>
          <t>6월 해외출장 - N호텔</t>
        </is>
      </c>
      <c r="J3450" s="75" t="inlineStr">
        <is>
          <t>V10007</t>
        </is>
      </c>
      <c r="K3450" s="75" t="inlineStr">
        <is>
          <t>N호텔</t>
        </is>
      </c>
      <c r="M3450" s="9">
        <f>IF($A3450="","",VALUE($A3450&amp;"")*12+VALUE($B3450&amp;""))</f>
        <v/>
      </c>
      <c r="N3450" s="39">
        <f>IF($A3450="","",IFERROR(INDEX(부서매핑!$C$5:$C$504,MATCH($G3450&amp;"",부서매핑!$A$5:$A$504,0)),"미매핑"))</f>
        <v/>
      </c>
      <c r="O3450" s="9">
        <f>IF($A3450="","",N3450&amp;"|"&amp;$F3450)</f>
        <v/>
      </c>
      <c r="P3450" s="77">
        <f>IF($A3450="",0,$H3450*설정!$C$23)</f>
        <v/>
      </c>
      <c r="Q3450" s="39">
        <f>IF($A3450="","",IF(O3450&lt;&gt;원인분석!$C$9,"",IF(AND(M3450&gt;=원인분석!$C$10,M3450&lt;=원인분석!$C$11),"당기",IF(AND(M3450&gt;=원인분석!$C$12,M3450&lt;=원인분석!$C$13),"비교",""))))</f>
        <v/>
      </c>
      <c r="R3450" s="9">
        <f>IF(Q3450="","",$K3450&amp;"")</f>
        <v/>
      </c>
      <c r="S3450" s="9">
        <f>IF(Q3450="","",IF(MATCH(R3450,$R$5:$R$100000,0)=ROW()-4,ROW(),""))</f>
        <v/>
      </c>
      <c r="T3450" s="9">
        <f>IF(Q3450="당기",ABS(P3450)+ROW()/1000000000,"")</f>
        <v/>
      </c>
      <c r="U3450" s="9">
        <f>IF(Q3450="비교",ABS(P3450)+ROW()/1000000000,"")</f>
        <v/>
      </c>
      <c r="V3450" s="39">
        <f>IF($A3450="","",IF(COUNTIF(변동분석!$E$7:$E$506,O3450)&gt;0,"Y","N"))</f>
        <v/>
      </c>
      <c r="W3450" s="39">
        <f>IF($A3450="","",IFERROR(INDEX(계정매핑!$D$5:$D$504,MATCH($F3450&amp;"",계정매핑!$A$5:$A$504,0)),"미매핑"))</f>
        <v/>
      </c>
      <c r="X3450" s="9">
        <f>IF($A3450="","",$F3450&amp;"")</f>
        <v/>
      </c>
    </row>
    <row r="3451">
      <c r="A3451" s="75" t="n">
        <v>2026</v>
      </c>
      <c r="B3451" s="75" t="n">
        <v>6</v>
      </c>
      <c r="C3451" s="75" t="inlineStr">
        <is>
          <t>5100001107</t>
        </is>
      </c>
      <c r="D3451" s="78" t="n">
        <v>46192</v>
      </c>
      <c r="E3451" s="75" t="inlineStr">
        <is>
          <t>KR</t>
        </is>
      </c>
      <c r="F3451" s="75" t="n">
        <v>62201000</v>
      </c>
      <c r="G3451" s="75" t="n">
        <v>1201</v>
      </c>
      <c r="H3451" s="76" t="n">
        <v>126000</v>
      </c>
      <c r="I3451" s="75" t="inlineStr">
        <is>
          <t>6월 통신요금 - O텔레콤</t>
        </is>
      </c>
      <c r="J3451" s="75" t="inlineStr">
        <is>
          <t>V10002</t>
        </is>
      </c>
      <c r="K3451" s="75" t="inlineStr">
        <is>
          <t>O텔레콤</t>
        </is>
      </c>
      <c r="M3451" s="9">
        <f>IF($A3451="","",VALUE($A3451&amp;"")*12+VALUE($B3451&amp;""))</f>
        <v/>
      </c>
      <c r="N3451" s="39">
        <f>IF($A3451="","",IFERROR(INDEX(부서매핑!$C$5:$C$504,MATCH($G3451&amp;"",부서매핑!$A$5:$A$504,0)),"미매핑"))</f>
        <v/>
      </c>
      <c r="O3451" s="9">
        <f>IF($A3451="","",N3451&amp;"|"&amp;$F3451)</f>
        <v/>
      </c>
      <c r="P3451" s="77">
        <f>IF($A3451="",0,$H3451*설정!$C$23)</f>
        <v/>
      </c>
      <c r="Q3451" s="39">
        <f>IF($A3451="","",IF(O3451&lt;&gt;원인분석!$C$9,"",IF(AND(M3451&gt;=원인분석!$C$10,M3451&lt;=원인분석!$C$11),"당기",IF(AND(M3451&gt;=원인분석!$C$12,M3451&lt;=원인분석!$C$13),"비교",""))))</f>
        <v/>
      </c>
      <c r="R3451" s="9">
        <f>IF(Q3451="","",$K3451&amp;"")</f>
        <v/>
      </c>
      <c r="S3451" s="9">
        <f>IF(Q3451="","",IF(MATCH(R3451,$R$5:$R$100000,0)=ROW()-4,ROW(),""))</f>
        <v/>
      </c>
      <c r="T3451" s="9">
        <f>IF(Q3451="당기",ABS(P3451)+ROW()/1000000000,"")</f>
        <v/>
      </c>
      <c r="U3451" s="9">
        <f>IF(Q3451="비교",ABS(P3451)+ROW()/1000000000,"")</f>
        <v/>
      </c>
      <c r="V3451" s="39">
        <f>IF($A3451="","",IF(COUNTIF(변동분석!$E$7:$E$506,O3451)&gt;0,"Y","N"))</f>
        <v/>
      </c>
      <c r="W3451" s="39">
        <f>IF($A3451="","",IFERROR(INDEX(계정매핑!$D$5:$D$504,MATCH($F3451&amp;"",계정매핑!$A$5:$A$504,0)),"미매핑"))</f>
        <v/>
      </c>
      <c r="X3451" s="9">
        <f>IF($A3451="","",$F3451&amp;"")</f>
        <v/>
      </c>
    </row>
    <row r="3452">
      <c r="A3452" s="75" t="n">
        <v>2026</v>
      </c>
      <c r="B3452" s="75" t="n">
        <v>6</v>
      </c>
      <c r="C3452" s="75" t="inlineStr">
        <is>
          <t>5100001108</t>
        </is>
      </c>
      <c r="D3452" s="78" t="n">
        <v>46192</v>
      </c>
      <c r="E3452" s="75" t="inlineStr">
        <is>
          <t>KR</t>
        </is>
      </c>
      <c r="F3452" s="75" t="n">
        <v>62201000</v>
      </c>
      <c r="G3452" s="75" t="n">
        <v>1501</v>
      </c>
      <c r="H3452" s="76" t="n">
        <v>337000</v>
      </c>
      <c r="I3452" s="75" t="inlineStr">
        <is>
          <t>6월 통신요금 - P통신</t>
        </is>
      </c>
      <c r="J3452" s="75" t="inlineStr">
        <is>
          <t>V10011</t>
        </is>
      </c>
      <c r="K3452" s="75" t="inlineStr">
        <is>
          <t>P통신</t>
        </is>
      </c>
      <c r="M3452" s="9">
        <f>IF($A3452="","",VALUE($A3452&amp;"")*12+VALUE($B3452&amp;""))</f>
        <v/>
      </c>
      <c r="N3452" s="39">
        <f>IF($A3452="","",IFERROR(INDEX(부서매핑!$C$5:$C$504,MATCH($G3452&amp;"",부서매핑!$A$5:$A$504,0)),"미매핑"))</f>
        <v/>
      </c>
      <c r="O3452" s="9">
        <f>IF($A3452="","",N3452&amp;"|"&amp;$F3452)</f>
        <v/>
      </c>
      <c r="P3452" s="77">
        <f>IF($A3452="",0,$H3452*설정!$C$23)</f>
        <v/>
      </c>
      <c r="Q3452" s="39">
        <f>IF($A3452="","",IF(O3452&lt;&gt;원인분석!$C$9,"",IF(AND(M3452&gt;=원인분석!$C$10,M3452&lt;=원인분석!$C$11),"당기",IF(AND(M3452&gt;=원인분석!$C$12,M3452&lt;=원인분석!$C$13),"비교",""))))</f>
        <v/>
      </c>
      <c r="R3452" s="9">
        <f>IF(Q3452="","",$K3452&amp;"")</f>
        <v/>
      </c>
      <c r="S3452" s="9">
        <f>IF(Q3452="","",IF(MATCH(R3452,$R$5:$R$100000,0)=ROW()-4,ROW(),""))</f>
        <v/>
      </c>
      <c r="T3452" s="9">
        <f>IF(Q3452="당기",ABS(P3452)+ROW()/1000000000,"")</f>
        <v/>
      </c>
      <c r="U3452" s="9">
        <f>IF(Q3452="비교",ABS(P3452)+ROW()/1000000000,"")</f>
        <v/>
      </c>
      <c r="V3452" s="39">
        <f>IF($A3452="","",IF(COUNTIF(변동분석!$E$7:$E$506,O3452)&gt;0,"Y","N"))</f>
        <v/>
      </c>
      <c r="W3452" s="39">
        <f>IF($A3452="","",IFERROR(INDEX(계정매핑!$D$5:$D$504,MATCH($F3452&amp;"",계정매핑!$A$5:$A$504,0)),"미매핑"))</f>
        <v/>
      </c>
      <c r="X3452" s="9">
        <f>IF($A3452="","",$F3452&amp;"")</f>
        <v/>
      </c>
    </row>
    <row r="3453">
      <c r="A3453" s="75" t="n">
        <v>2026</v>
      </c>
      <c r="B3453" s="75" t="n">
        <v>6</v>
      </c>
      <c r="C3453" s="75" t="inlineStr">
        <is>
          <t>5100001109</t>
        </is>
      </c>
      <c r="D3453" s="78" t="n">
        <v>46192</v>
      </c>
      <c r="E3453" s="75" t="inlineStr">
        <is>
          <t>KR</t>
        </is>
      </c>
      <c r="F3453" s="75" t="n">
        <v>62801000</v>
      </c>
      <c r="G3453" s="75" t="n">
        <v>1301</v>
      </c>
      <c r="H3453" s="76" t="n">
        <v>3986000</v>
      </c>
      <c r="I3453" s="75" t="inlineStr">
        <is>
          <t>6월 사내교육 - U에듀</t>
        </is>
      </c>
      <c r="J3453" s="75" t="inlineStr">
        <is>
          <t>V10026</t>
        </is>
      </c>
      <c r="K3453" s="75" t="inlineStr">
        <is>
          <t>U에듀</t>
        </is>
      </c>
      <c r="M3453" s="9">
        <f>IF($A3453="","",VALUE($A3453&amp;"")*12+VALUE($B3453&amp;""))</f>
        <v/>
      </c>
      <c r="N3453" s="39">
        <f>IF($A3453="","",IFERROR(INDEX(부서매핑!$C$5:$C$504,MATCH($G3453&amp;"",부서매핑!$A$5:$A$504,0)),"미매핑"))</f>
        <v/>
      </c>
      <c r="O3453" s="9">
        <f>IF($A3453="","",N3453&amp;"|"&amp;$F3453)</f>
        <v/>
      </c>
      <c r="P3453" s="77">
        <f>IF($A3453="",0,$H3453*설정!$C$23)</f>
        <v/>
      </c>
      <c r="Q3453" s="39">
        <f>IF($A3453="","",IF(O3453&lt;&gt;원인분석!$C$9,"",IF(AND(M3453&gt;=원인분석!$C$10,M3453&lt;=원인분석!$C$11),"당기",IF(AND(M3453&gt;=원인분석!$C$12,M3453&lt;=원인분석!$C$13),"비교",""))))</f>
        <v/>
      </c>
      <c r="R3453" s="9">
        <f>IF(Q3453="","",$K3453&amp;"")</f>
        <v/>
      </c>
      <c r="S3453" s="9">
        <f>IF(Q3453="","",IF(MATCH(R3453,$R$5:$R$100000,0)=ROW()-4,ROW(),""))</f>
        <v/>
      </c>
      <c r="T3453" s="9">
        <f>IF(Q3453="당기",ABS(P3453)+ROW()/1000000000,"")</f>
        <v/>
      </c>
      <c r="U3453" s="9">
        <f>IF(Q3453="비교",ABS(P3453)+ROW()/1000000000,"")</f>
        <v/>
      </c>
      <c r="V3453" s="39">
        <f>IF($A3453="","",IF(COUNTIF(변동분석!$E$7:$E$506,O3453)&gt;0,"Y","N"))</f>
        <v/>
      </c>
      <c r="W3453" s="39">
        <f>IF($A3453="","",IFERROR(INDEX(계정매핑!$D$5:$D$504,MATCH($F3453&amp;"",계정매핑!$A$5:$A$504,0)),"미매핑"))</f>
        <v/>
      </c>
      <c r="X3453" s="9">
        <f>IF($A3453="","",$F3453&amp;"")</f>
        <v/>
      </c>
    </row>
    <row r="3454">
      <c r="A3454" s="75" t="n">
        <v>2026</v>
      </c>
      <c r="B3454" s="75" t="n">
        <v>6</v>
      </c>
      <c r="C3454" s="75" t="inlineStr">
        <is>
          <t>5100001110</t>
        </is>
      </c>
      <c r="D3454" s="78" t="n">
        <v>46192</v>
      </c>
      <c r="E3454" s="75" t="inlineStr">
        <is>
          <t>KR</t>
        </is>
      </c>
      <c r="F3454" s="75" t="n">
        <v>62902000</v>
      </c>
      <c r="G3454" s="75" t="n">
        <v>1201</v>
      </c>
      <c r="H3454" s="76" t="n">
        <v>4179000</v>
      </c>
      <c r="I3454" s="75" t="inlineStr">
        <is>
          <t>6월 업무 위탁 수수료 - J콜센터</t>
        </is>
      </c>
      <c r="J3454" s="75" t="inlineStr">
        <is>
          <t>V10013</t>
        </is>
      </c>
      <c r="K3454" s="75" t="inlineStr">
        <is>
          <t>J콜센터</t>
        </is>
      </c>
      <c r="M3454" s="9">
        <f>IF($A3454="","",VALUE($A3454&amp;"")*12+VALUE($B3454&amp;""))</f>
        <v/>
      </c>
      <c r="N3454" s="39">
        <f>IF($A3454="","",IFERROR(INDEX(부서매핑!$C$5:$C$504,MATCH($G3454&amp;"",부서매핑!$A$5:$A$504,0)),"미매핑"))</f>
        <v/>
      </c>
      <c r="O3454" s="9">
        <f>IF($A3454="","",N3454&amp;"|"&amp;$F3454)</f>
        <v/>
      </c>
      <c r="P3454" s="77">
        <f>IF($A3454="",0,$H3454*설정!$C$23)</f>
        <v/>
      </c>
      <c r="Q3454" s="39">
        <f>IF($A3454="","",IF(O3454&lt;&gt;원인분석!$C$9,"",IF(AND(M3454&gt;=원인분석!$C$10,M3454&lt;=원인분석!$C$11),"당기",IF(AND(M3454&gt;=원인분석!$C$12,M3454&lt;=원인분석!$C$13),"비교",""))))</f>
        <v/>
      </c>
      <c r="R3454" s="9">
        <f>IF(Q3454="","",$K3454&amp;"")</f>
        <v/>
      </c>
      <c r="S3454" s="9">
        <f>IF(Q3454="","",IF(MATCH(R3454,$R$5:$R$100000,0)=ROW()-4,ROW(),""))</f>
        <v/>
      </c>
      <c r="T3454" s="9">
        <f>IF(Q3454="당기",ABS(P3454)+ROW()/1000000000,"")</f>
        <v/>
      </c>
      <c r="U3454" s="9">
        <f>IF(Q3454="비교",ABS(P3454)+ROW()/1000000000,"")</f>
        <v/>
      </c>
      <c r="V3454" s="39">
        <f>IF($A3454="","",IF(COUNTIF(변동분석!$E$7:$E$506,O3454)&gt;0,"Y","N"))</f>
        <v/>
      </c>
      <c r="W3454" s="39">
        <f>IF($A3454="","",IFERROR(INDEX(계정매핑!$D$5:$D$504,MATCH($F3454&amp;"",계정매핑!$A$5:$A$504,0)),"미매핑"))</f>
        <v/>
      </c>
      <c r="X3454" s="9">
        <f>IF($A3454="","",$F3454&amp;"")</f>
        <v/>
      </c>
    </row>
    <row r="3455">
      <c r="A3455" s="75" t="n">
        <v>2026</v>
      </c>
      <c r="B3455" s="75" t="n">
        <v>6</v>
      </c>
      <c r="C3455" s="75" t="inlineStr">
        <is>
          <t>5100001111</t>
        </is>
      </c>
      <c r="D3455" s="78" t="n">
        <v>46192</v>
      </c>
      <c r="E3455" s="75" t="inlineStr">
        <is>
          <t>KR</t>
        </is>
      </c>
      <c r="F3455" s="75" t="n">
        <v>62902000</v>
      </c>
      <c r="G3455" s="75" t="n">
        <v>1401</v>
      </c>
      <c r="H3455" s="76" t="n">
        <v>1380000</v>
      </c>
      <c r="I3455" s="75" t="inlineStr">
        <is>
          <t>6월 업무 위탁 수수료 - X서비스</t>
        </is>
      </c>
      <c r="J3455" s="75" t="inlineStr">
        <is>
          <t>V10016</t>
        </is>
      </c>
      <c r="K3455" s="75" t="inlineStr">
        <is>
          <t>X서비스</t>
        </is>
      </c>
      <c r="M3455" s="9">
        <f>IF($A3455="","",VALUE($A3455&amp;"")*12+VALUE($B3455&amp;""))</f>
        <v/>
      </c>
      <c r="N3455" s="39">
        <f>IF($A3455="","",IFERROR(INDEX(부서매핑!$C$5:$C$504,MATCH($G3455&amp;"",부서매핑!$A$5:$A$504,0)),"미매핑"))</f>
        <v/>
      </c>
      <c r="O3455" s="9">
        <f>IF($A3455="","",N3455&amp;"|"&amp;$F3455)</f>
        <v/>
      </c>
      <c r="P3455" s="77">
        <f>IF($A3455="",0,$H3455*설정!$C$23)</f>
        <v/>
      </c>
      <c r="Q3455" s="39">
        <f>IF($A3455="","",IF(O3455&lt;&gt;원인분석!$C$9,"",IF(AND(M3455&gt;=원인분석!$C$10,M3455&lt;=원인분석!$C$11),"당기",IF(AND(M3455&gt;=원인분석!$C$12,M3455&lt;=원인분석!$C$13),"비교",""))))</f>
        <v/>
      </c>
      <c r="R3455" s="9">
        <f>IF(Q3455="","",$K3455&amp;"")</f>
        <v/>
      </c>
      <c r="S3455" s="9">
        <f>IF(Q3455="","",IF(MATCH(R3455,$R$5:$R$100000,0)=ROW()-4,ROW(),""))</f>
        <v/>
      </c>
      <c r="T3455" s="9">
        <f>IF(Q3455="당기",ABS(P3455)+ROW()/1000000000,"")</f>
        <v/>
      </c>
      <c r="U3455" s="9">
        <f>IF(Q3455="비교",ABS(P3455)+ROW()/1000000000,"")</f>
        <v/>
      </c>
      <c r="V3455" s="39">
        <f>IF($A3455="","",IF(COUNTIF(변동분석!$E$7:$E$506,O3455)&gt;0,"Y","N"))</f>
        <v/>
      </c>
      <c r="W3455" s="39">
        <f>IF($A3455="","",IFERROR(INDEX(계정매핑!$D$5:$D$504,MATCH($F3455&amp;"",계정매핑!$A$5:$A$504,0)),"미매핑"))</f>
        <v/>
      </c>
      <c r="X3455" s="9">
        <f>IF($A3455="","",$F3455&amp;"")</f>
        <v/>
      </c>
    </row>
    <row r="3456">
      <c r="A3456" s="75" t="n">
        <v>2026</v>
      </c>
      <c r="B3456" s="75" t="n">
        <v>6</v>
      </c>
      <c r="C3456" s="75" t="inlineStr">
        <is>
          <t>5100001112</t>
        </is>
      </c>
      <c r="D3456" s="78" t="n">
        <v>46193</v>
      </c>
      <c r="E3456" s="75" t="inlineStr">
        <is>
          <t>KR</t>
        </is>
      </c>
      <c r="F3456" s="75" t="n">
        <v>62101000</v>
      </c>
      <c r="G3456" s="75" t="n">
        <v>1502</v>
      </c>
      <c r="H3456" s="76" t="n">
        <v>785000</v>
      </c>
      <c r="I3456" s="75" t="inlineStr">
        <is>
          <t>6월 국내출장 - L여행사</t>
        </is>
      </c>
      <c r="J3456" s="75" t="inlineStr">
        <is>
          <t>V10014</t>
        </is>
      </c>
      <c r="K3456" s="75" t="inlineStr">
        <is>
          <t>L여행사</t>
        </is>
      </c>
      <c r="M3456" s="9">
        <f>IF($A3456="","",VALUE($A3456&amp;"")*12+VALUE($B3456&amp;""))</f>
        <v/>
      </c>
      <c r="N3456" s="39">
        <f>IF($A3456="","",IFERROR(INDEX(부서매핑!$C$5:$C$504,MATCH($G3456&amp;"",부서매핑!$A$5:$A$504,0)),"미매핑"))</f>
        <v/>
      </c>
      <c r="O3456" s="9">
        <f>IF($A3456="","",N3456&amp;"|"&amp;$F3456)</f>
        <v/>
      </c>
      <c r="P3456" s="77">
        <f>IF($A3456="",0,$H3456*설정!$C$23)</f>
        <v/>
      </c>
      <c r="Q3456" s="39">
        <f>IF($A3456="","",IF(O3456&lt;&gt;원인분석!$C$9,"",IF(AND(M3456&gt;=원인분석!$C$10,M3456&lt;=원인분석!$C$11),"당기",IF(AND(M3456&gt;=원인분석!$C$12,M3456&lt;=원인분석!$C$13),"비교",""))))</f>
        <v/>
      </c>
      <c r="R3456" s="9">
        <f>IF(Q3456="","",$K3456&amp;"")</f>
        <v/>
      </c>
      <c r="S3456" s="9">
        <f>IF(Q3456="","",IF(MATCH(R3456,$R$5:$R$100000,0)=ROW()-4,ROW(),""))</f>
        <v/>
      </c>
      <c r="T3456" s="9">
        <f>IF(Q3456="당기",ABS(P3456)+ROW()/1000000000,"")</f>
        <v/>
      </c>
      <c r="U3456" s="9">
        <f>IF(Q3456="비교",ABS(P3456)+ROW()/1000000000,"")</f>
        <v/>
      </c>
      <c r="V3456" s="39">
        <f>IF($A3456="","",IF(COUNTIF(변동분석!$E$7:$E$506,O3456)&gt;0,"Y","N"))</f>
        <v/>
      </c>
      <c r="W3456" s="39">
        <f>IF($A3456="","",IFERROR(INDEX(계정매핑!$D$5:$D$504,MATCH($F3456&amp;"",계정매핑!$A$5:$A$504,0)),"미매핑"))</f>
        <v/>
      </c>
      <c r="X3456" s="9">
        <f>IF($A3456="","",$F3456&amp;"")</f>
        <v/>
      </c>
    </row>
    <row r="3457">
      <c r="A3457" s="75" t="n">
        <v>2026</v>
      </c>
      <c r="B3457" s="75" t="n">
        <v>6</v>
      </c>
      <c r="C3457" s="75" t="inlineStr">
        <is>
          <t>5100001113</t>
        </is>
      </c>
      <c r="D3457" s="78" t="n">
        <v>46193</v>
      </c>
      <c r="E3457" s="75" t="inlineStr">
        <is>
          <t>KR</t>
        </is>
      </c>
      <c r="F3457" s="75" t="n">
        <v>62201000</v>
      </c>
      <c r="G3457" s="75" t="n">
        <v>1701</v>
      </c>
      <c r="H3457" s="76" t="n">
        <v>4841000</v>
      </c>
      <c r="I3457" s="75" t="inlineStr">
        <is>
          <t>6월 통신요금 - O텔레콤</t>
        </is>
      </c>
      <c r="J3457" s="75" t="inlineStr">
        <is>
          <t>V10002</t>
        </is>
      </c>
      <c r="K3457" s="75" t="inlineStr">
        <is>
          <t>O텔레콤</t>
        </is>
      </c>
      <c r="M3457" s="9">
        <f>IF($A3457="","",VALUE($A3457&amp;"")*12+VALUE($B3457&amp;""))</f>
        <v/>
      </c>
      <c r="N3457" s="39">
        <f>IF($A3457="","",IFERROR(INDEX(부서매핑!$C$5:$C$504,MATCH($G3457&amp;"",부서매핑!$A$5:$A$504,0)),"미매핑"))</f>
        <v/>
      </c>
      <c r="O3457" s="9">
        <f>IF($A3457="","",N3457&amp;"|"&amp;$F3457)</f>
        <v/>
      </c>
      <c r="P3457" s="77">
        <f>IF($A3457="",0,$H3457*설정!$C$23)</f>
        <v/>
      </c>
      <c r="Q3457" s="39">
        <f>IF($A3457="","",IF(O3457&lt;&gt;원인분석!$C$9,"",IF(AND(M3457&gt;=원인분석!$C$10,M3457&lt;=원인분석!$C$11),"당기",IF(AND(M3457&gt;=원인분석!$C$12,M3457&lt;=원인분석!$C$13),"비교",""))))</f>
        <v/>
      </c>
      <c r="R3457" s="9">
        <f>IF(Q3457="","",$K3457&amp;"")</f>
        <v/>
      </c>
      <c r="S3457" s="9">
        <f>IF(Q3457="","",IF(MATCH(R3457,$R$5:$R$100000,0)=ROW()-4,ROW(),""))</f>
        <v/>
      </c>
      <c r="T3457" s="9">
        <f>IF(Q3457="당기",ABS(P3457)+ROW()/1000000000,"")</f>
        <v/>
      </c>
      <c r="U3457" s="9">
        <f>IF(Q3457="비교",ABS(P3457)+ROW()/1000000000,"")</f>
        <v/>
      </c>
      <c r="V3457" s="39">
        <f>IF($A3457="","",IF(COUNTIF(변동분석!$E$7:$E$506,O3457)&gt;0,"Y","N"))</f>
        <v/>
      </c>
      <c r="W3457" s="39">
        <f>IF($A3457="","",IFERROR(INDEX(계정매핑!$D$5:$D$504,MATCH($F3457&amp;"",계정매핑!$A$5:$A$504,0)),"미매핑"))</f>
        <v/>
      </c>
      <c r="X3457" s="9">
        <f>IF($A3457="","",$F3457&amp;"")</f>
        <v/>
      </c>
    </row>
    <row r="3458">
      <c r="A3458" s="75" t="n">
        <v>2026</v>
      </c>
      <c r="B3458" s="75" t="n">
        <v>6</v>
      </c>
      <c r="C3458" s="75" t="inlineStr">
        <is>
          <t>5100001114</t>
        </is>
      </c>
      <c r="D3458" s="78" t="n">
        <v>46193</v>
      </c>
      <c r="E3458" s="75" t="inlineStr">
        <is>
          <t>KR</t>
        </is>
      </c>
      <c r="F3458" s="75" t="n">
        <v>62301000</v>
      </c>
      <c r="G3458" s="75" t="n">
        <v>1101</v>
      </c>
      <c r="H3458" s="76" t="n">
        <v>144000</v>
      </c>
      <c r="I3458" s="75" t="inlineStr">
        <is>
          <t>6월 소모품 구입 - R문구</t>
        </is>
      </c>
      <c r="J3458" s="75" t="inlineStr">
        <is>
          <t>V10018</t>
        </is>
      </c>
      <c r="K3458" s="75" t="inlineStr">
        <is>
          <t>R문구</t>
        </is>
      </c>
      <c r="M3458" s="9">
        <f>IF($A3458="","",VALUE($A3458&amp;"")*12+VALUE($B3458&amp;""))</f>
        <v/>
      </c>
      <c r="N3458" s="39">
        <f>IF($A3458="","",IFERROR(INDEX(부서매핑!$C$5:$C$504,MATCH($G3458&amp;"",부서매핑!$A$5:$A$504,0)),"미매핑"))</f>
        <v/>
      </c>
      <c r="O3458" s="9">
        <f>IF($A3458="","",N3458&amp;"|"&amp;$F3458)</f>
        <v/>
      </c>
      <c r="P3458" s="77">
        <f>IF($A3458="",0,$H3458*설정!$C$23)</f>
        <v/>
      </c>
      <c r="Q3458" s="39">
        <f>IF($A3458="","",IF(O3458&lt;&gt;원인분석!$C$9,"",IF(AND(M3458&gt;=원인분석!$C$10,M3458&lt;=원인분석!$C$11),"당기",IF(AND(M3458&gt;=원인분석!$C$12,M3458&lt;=원인분석!$C$13),"비교",""))))</f>
        <v/>
      </c>
      <c r="R3458" s="9">
        <f>IF(Q3458="","",$K3458&amp;"")</f>
        <v/>
      </c>
      <c r="S3458" s="9">
        <f>IF(Q3458="","",IF(MATCH(R3458,$R$5:$R$100000,0)=ROW()-4,ROW(),""))</f>
        <v/>
      </c>
      <c r="T3458" s="9">
        <f>IF(Q3458="당기",ABS(P3458)+ROW()/1000000000,"")</f>
        <v/>
      </c>
      <c r="U3458" s="9">
        <f>IF(Q3458="비교",ABS(P3458)+ROW()/1000000000,"")</f>
        <v/>
      </c>
      <c r="V3458" s="39">
        <f>IF($A3458="","",IF(COUNTIF(변동분석!$E$7:$E$506,O3458)&gt;0,"Y","N"))</f>
        <v/>
      </c>
      <c r="W3458" s="39">
        <f>IF($A3458="","",IFERROR(INDEX(계정매핑!$D$5:$D$504,MATCH($F3458&amp;"",계정매핑!$A$5:$A$504,0)),"미매핑"))</f>
        <v/>
      </c>
      <c r="X3458" s="9">
        <f>IF($A3458="","",$F3458&amp;"")</f>
        <v/>
      </c>
    </row>
    <row r="3459">
      <c r="A3459" s="75" t="n">
        <v>2026</v>
      </c>
      <c r="B3459" s="75" t="n">
        <v>6</v>
      </c>
      <c r="C3459" s="75" t="inlineStr">
        <is>
          <t>5100001115</t>
        </is>
      </c>
      <c r="D3459" s="78" t="n">
        <v>46193</v>
      </c>
      <c r="E3459" s="75" t="inlineStr">
        <is>
          <t>KR</t>
        </is>
      </c>
      <c r="F3459" s="75" t="n">
        <v>62401000</v>
      </c>
      <c r="G3459" s="75" t="n">
        <v>1501</v>
      </c>
      <c r="H3459" s="76" t="n">
        <v>2431000</v>
      </c>
      <c r="I3459" s="75" t="inlineStr">
        <is>
          <t>6월 인쇄물 제작 - S출판</t>
        </is>
      </c>
      <c r="J3459" s="75" t="inlineStr">
        <is>
          <t>V10012</t>
        </is>
      </c>
      <c r="K3459" s="75" t="inlineStr">
        <is>
          <t>S출판</t>
        </is>
      </c>
      <c r="M3459" s="9">
        <f>IF($A3459="","",VALUE($A3459&amp;"")*12+VALUE($B3459&amp;""))</f>
        <v/>
      </c>
      <c r="N3459" s="39">
        <f>IF($A3459="","",IFERROR(INDEX(부서매핑!$C$5:$C$504,MATCH($G3459&amp;"",부서매핑!$A$5:$A$504,0)),"미매핑"))</f>
        <v/>
      </c>
      <c r="O3459" s="9">
        <f>IF($A3459="","",N3459&amp;"|"&amp;$F3459)</f>
        <v/>
      </c>
      <c r="P3459" s="77">
        <f>IF($A3459="",0,$H3459*설정!$C$23)</f>
        <v/>
      </c>
      <c r="Q3459" s="39">
        <f>IF($A3459="","",IF(O3459&lt;&gt;원인분석!$C$9,"",IF(AND(M3459&gt;=원인분석!$C$10,M3459&lt;=원인분석!$C$11),"당기",IF(AND(M3459&gt;=원인분석!$C$12,M3459&lt;=원인분석!$C$13),"비교",""))))</f>
        <v/>
      </c>
      <c r="R3459" s="9">
        <f>IF(Q3459="","",$K3459&amp;"")</f>
        <v/>
      </c>
      <c r="S3459" s="9">
        <f>IF(Q3459="","",IF(MATCH(R3459,$R$5:$R$100000,0)=ROW()-4,ROW(),""))</f>
        <v/>
      </c>
      <c r="T3459" s="9">
        <f>IF(Q3459="당기",ABS(P3459)+ROW()/1000000000,"")</f>
        <v/>
      </c>
      <c r="U3459" s="9">
        <f>IF(Q3459="비교",ABS(P3459)+ROW()/1000000000,"")</f>
        <v/>
      </c>
      <c r="V3459" s="39">
        <f>IF($A3459="","",IF(COUNTIF(변동분석!$E$7:$E$506,O3459)&gt;0,"Y","N"))</f>
        <v/>
      </c>
      <c r="W3459" s="39">
        <f>IF($A3459="","",IFERROR(INDEX(계정매핑!$D$5:$D$504,MATCH($F3459&amp;"",계정매핑!$A$5:$A$504,0)),"미매핑"))</f>
        <v/>
      </c>
      <c r="X3459" s="9">
        <f>IF($A3459="","",$F3459&amp;"")</f>
        <v/>
      </c>
    </row>
    <row r="3460">
      <c r="A3460" s="75" t="n">
        <v>2026</v>
      </c>
      <c r="B3460" s="75" t="n">
        <v>6</v>
      </c>
      <c r="C3460" s="75" t="inlineStr">
        <is>
          <t>5100001116</t>
        </is>
      </c>
      <c r="D3460" s="78" t="n">
        <v>46193</v>
      </c>
      <c r="E3460" s="75" t="inlineStr">
        <is>
          <t>KR</t>
        </is>
      </c>
      <c r="F3460" s="75" t="n">
        <v>62501000</v>
      </c>
      <c r="G3460" s="75" t="n">
        <v>1301</v>
      </c>
      <c r="H3460" s="76" t="n">
        <v>327000</v>
      </c>
      <c r="I3460" s="75" t="inlineStr">
        <is>
          <t>6월 회의 다과 - (법인카드)</t>
        </is>
      </c>
      <c r="J3460" s="75" t="inlineStr">
        <is>
          <t>V10008</t>
        </is>
      </c>
      <c r="K3460" s="75" t="inlineStr">
        <is>
          <t>(법인카드)</t>
        </is>
      </c>
      <c r="M3460" s="9">
        <f>IF($A3460="","",VALUE($A3460&amp;"")*12+VALUE($B3460&amp;""))</f>
        <v/>
      </c>
      <c r="N3460" s="39">
        <f>IF($A3460="","",IFERROR(INDEX(부서매핑!$C$5:$C$504,MATCH($G3460&amp;"",부서매핑!$A$5:$A$504,0)),"미매핑"))</f>
        <v/>
      </c>
      <c r="O3460" s="9">
        <f>IF($A3460="","",N3460&amp;"|"&amp;$F3460)</f>
        <v/>
      </c>
      <c r="P3460" s="77">
        <f>IF($A3460="",0,$H3460*설정!$C$23)</f>
        <v/>
      </c>
      <c r="Q3460" s="39">
        <f>IF($A3460="","",IF(O3460&lt;&gt;원인분석!$C$9,"",IF(AND(M3460&gt;=원인분석!$C$10,M3460&lt;=원인분석!$C$11),"당기",IF(AND(M3460&gt;=원인분석!$C$12,M3460&lt;=원인분석!$C$13),"비교",""))))</f>
        <v/>
      </c>
      <c r="R3460" s="9">
        <f>IF(Q3460="","",$K3460&amp;"")</f>
        <v/>
      </c>
      <c r="S3460" s="9">
        <f>IF(Q3460="","",IF(MATCH(R3460,$R$5:$R$100000,0)=ROW()-4,ROW(),""))</f>
        <v/>
      </c>
      <c r="T3460" s="9">
        <f>IF(Q3460="당기",ABS(P3460)+ROW()/1000000000,"")</f>
        <v/>
      </c>
      <c r="U3460" s="9">
        <f>IF(Q3460="비교",ABS(P3460)+ROW()/1000000000,"")</f>
        <v/>
      </c>
      <c r="V3460" s="39">
        <f>IF($A3460="","",IF(COUNTIF(변동분석!$E$7:$E$506,O3460)&gt;0,"Y","N"))</f>
        <v/>
      </c>
      <c r="W3460" s="39">
        <f>IF($A3460="","",IFERROR(INDEX(계정매핑!$D$5:$D$504,MATCH($F3460&amp;"",계정매핑!$A$5:$A$504,0)),"미매핑"))</f>
        <v/>
      </c>
      <c r="X3460" s="9">
        <f>IF($A3460="","",$F3460&amp;"")</f>
        <v/>
      </c>
    </row>
    <row r="3461">
      <c r="A3461" s="75" t="n">
        <v>2026</v>
      </c>
      <c r="B3461" s="75" t="n">
        <v>6</v>
      </c>
      <c r="C3461" s="75" t="inlineStr">
        <is>
          <t>5100001117</t>
        </is>
      </c>
      <c r="D3461" s="78" t="n">
        <v>46193</v>
      </c>
      <c r="E3461" s="75" t="inlineStr">
        <is>
          <t>KR</t>
        </is>
      </c>
      <c r="F3461" s="75" t="n">
        <v>62901000</v>
      </c>
      <c r="G3461" s="75" t="n">
        <v>1201</v>
      </c>
      <c r="H3461" s="76" t="n">
        <v>5322000</v>
      </c>
      <c r="I3461" s="75" t="inlineStr">
        <is>
          <t>6월 자문 수수료 - W컨설팅</t>
        </is>
      </c>
      <c r="J3461" s="75" t="inlineStr">
        <is>
          <t>V10009</t>
        </is>
      </c>
      <c r="K3461" s="75" t="inlineStr">
        <is>
          <t>W컨설팅</t>
        </is>
      </c>
      <c r="M3461" s="9">
        <f>IF($A3461="","",VALUE($A3461&amp;"")*12+VALUE($B3461&amp;""))</f>
        <v/>
      </c>
      <c r="N3461" s="39">
        <f>IF($A3461="","",IFERROR(INDEX(부서매핑!$C$5:$C$504,MATCH($G3461&amp;"",부서매핑!$A$5:$A$504,0)),"미매핑"))</f>
        <v/>
      </c>
      <c r="O3461" s="9">
        <f>IF($A3461="","",N3461&amp;"|"&amp;$F3461)</f>
        <v/>
      </c>
      <c r="P3461" s="77">
        <f>IF($A3461="",0,$H3461*설정!$C$23)</f>
        <v/>
      </c>
      <c r="Q3461" s="39">
        <f>IF($A3461="","",IF(O3461&lt;&gt;원인분석!$C$9,"",IF(AND(M3461&gt;=원인분석!$C$10,M3461&lt;=원인분석!$C$11),"당기",IF(AND(M3461&gt;=원인분석!$C$12,M3461&lt;=원인분석!$C$13),"비교",""))))</f>
        <v/>
      </c>
      <c r="R3461" s="9">
        <f>IF(Q3461="","",$K3461&amp;"")</f>
        <v/>
      </c>
      <c r="S3461" s="9">
        <f>IF(Q3461="","",IF(MATCH(R3461,$R$5:$R$100000,0)=ROW()-4,ROW(),""))</f>
        <v/>
      </c>
      <c r="T3461" s="9">
        <f>IF(Q3461="당기",ABS(P3461)+ROW()/1000000000,"")</f>
        <v/>
      </c>
      <c r="U3461" s="9">
        <f>IF(Q3461="비교",ABS(P3461)+ROW()/1000000000,"")</f>
        <v/>
      </c>
      <c r="V3461" s="39">
        <f>IF($A3461="","",IF(COUNTIF(변동분석!$E$7:$E$506,O3461)&gt;0,"Y","N"))</f>
        <v/>
      </c>
      <c r="W3461" s="39">
        <f>IF($A3461="","",IFERROR(INDEX(계정매핑!$D$5:$D$504,MATCH($F3461&amp;"",계정매핑!$A$5:$A$504,0)),"미매핑"))</f>
        <v/>
      </c>
      <c r="X3461" s="9">
        <f>IF($A3461="","",$F3461&amp;"")</f>
        <v/>
      </c>
    </row>
    <row r="3462">
      <c r="A3462" s="75" t="n">
        <v>2026</v>
      </c>
      <c r="B3462" s="75" t="n">
        <v>6</v>
      </c>
      <c r="C3462" s="75" t="inlineStr">
        <is>
          <t>5100001118</t>
        </is>
      </c>
      <c r="D3462" s="78" t="n">
        <v>46194</v>
      </c>
      <c r="E3462" s="75" t="inlineStr">
        <is>
          <t>KR</t>
        </is>
      </c>
      <c r="F3462" s="75" t="n">
        <v>62201000</v>
      </c>
      <c r="G3462" s="75" t="n">
        <v>1601</v>
      </c>
      <c r="H3462" s="76" t="n">
        <v>759000</v>
      </c>
      <c r="I3462" s="75" t="inlineStr">
        <is>
          <t>6월 통신요금 - P통신</t>
        </is>
      </c>
      <c r="J3462" s="75" t="inlineStr">
        <is>
          <t>V10011</t>
        </is>
      </c>
      <c r="K3462" s="75" t="inlineStr">
        <is>
          <t>P통신</t>
        </is>
      </c>
      <c r="M3462" s="9">
        <f>IF($A3462="","",VALUE($A3462&amp;"")*12+VALUE($B3462&amp;""))</f>
        <v/>
      </c>
      <c r="N3462" s="39">
        <f>IF($A3462="","",IFERROR(INDEX(부서매핑!$C$5:$C$504,MATCH($G3462&amp;"",부서매핑!$A$5:$A$504,0)),"미매핑"))</f>
        <v/>
      </c>
      <c r="O3462" s="9">
        <f>IF($A3462="","",N3462&amp;"|"&amp;$F3462)</f>
        <v/>
      </c>
      <c r="P3462" s="77">
        <f>IF($A3462="",0,$H3462*설정!$C$23)</f>
        <v/>
      </c>
      <c r="Q3462" s="39">
        <f>IF($A3462="","",IF(O3462&lt;&gt;원인분석!$C$9,"",IF(AND(M3462&gt;=원인분석!$C$10,M3462&lt;=원인분석!$C$11),"당기",IF(AND(M3462&gt;=원인분석!$C$12,M3462&lt;=원인분석!$C$13),"비교",""))))</f>
        <v/>
      </c>
      <c r="R3462" s="9">
        <f>IF(Q3462="","",$K3462&amp;"")</f>
        <v/>
      </c>
      <c r="S3462" s="9">
        <f>IF(Q3462="","",IF(MATCH(R3462,$R$5:$R$100000,0)=ROW()-4,ROW(),""))</f>
        <v/>
      </c>
      <c r="T3462" s="9">
        <f>IF(Q3462="당기",ABS(P3462)+ROW()/1000000000,"")</f>
        <v/>
      </c>
      <c r="U3462" s="9">
        <f>IF(Q3462="비교",ABS(P3462)+ROW()/1000000000,"")</f>
        <v/>
      </c>
      <c r="V3462" s="39">
        <f>IF($A3462="","",IF(COUNTIF(변동분석!$E$7:$E$506,O3462)&gt;0,"Y","N"))</f>
        <v/>
      </c>
      <c r="W3462" s="39">
        <f>IF($A3462="","",IFERROR(INDEX(계정매핑!$D$5:$D$504,MATCH($F3462&amp;"",계정매핑!$A$5:$A$504,0)),"미매핑"))</f>
        <v/>
      </c>
      <c r="X3462" s="9">
        <f>IF($A3462="","",$F3462&amp;"")</f>
        <v/>
      </c>
    </row>
    <row r="3463">
      <c r="A3463" s="75" t="n">
        <v>2026</v>
      </c>
      <c r="B3463" s="75" t="n">
        <v>6</v>
      </c>
      <c r="C3463" s="75" t="inlineStr">
        <is>
          <t>5100001119</t>
        </is>
      </c>
      <c r="D3463" s="78" t="n">
        <v>46194</v>
      </c>
      <c r="E3463" s="75" t="inlineStr">
        <is>
          <t>KR</t>
        </is>
      </c>
      <c r="F3463" s="75" t="n">
        <v>62301000</v>
      </c>
      <c r="G3463" s="75" t="n">
        <v>1801</v>
      </c>
      <c r="H3463" s="76" t="n">
        <v>358000</v>
      </c>
      <c r="I3463" s="75" t="inlineStr">
        <is>
          <t>6월 소모품 구입 - R문구</t>
        </is>
      </c>
      <c r="J3463" s="75" t="inlineStr">
        <is>
          <t>V10018</t>
        </is>
      </c>
      <c r="K3463" s="75" t="inlineStr">
        <is>
          <t>R문구</t>
        </is>
      </c>
      <c r="M3463" s="9">
        <f>IF($A3463="","",VALUE($A3463&amp;"")*12+VALUE($B3463&amp;""))</f>
        <v/>
      </c>
      <c r="N3463" s="39">
        <f>IF($A3463="","",IFERROR(INDEX(부서매핑!$C$5:$C$504,MATCH($G3463&amp;"",부서매핑!$A$5:$A$504,0)),"미매핑"))</f>
        <v/>
      </c>
      <c r="O3463" s="9">
        <f>IF($A3463="","",N3463&amp;"|"&amp;$F3463)</f>
        <v/>
      </c>
      <c r="P3463" s="77">
        <f>IF($A3463="",0,$H3463*설정!$C$23)</f>
        <v/>
      </c>
      <c r="Q3463" s="39">
        <f>IF($A3463="","",IF(O3463&lt;&gt;원인분석!$C$9,"",IF(AND(M3463&gt;=원인분석!$C$10,M3463&lt;=원인분석!$C$11),"당기",IF(AND(M3463&gt;=원인분석!$C$12,M3463&lt;=원인분석!$C$13),"비교",""))))</f>
        <v/>
      </c>
      <c r="R3463" s="9">
        <f>IF(Q3463="","",$K3463&amp;"")</f>
        <v/>
      </c>
      <c r="S3463" s="9">
        <f>IF(Q3463="","",IF(MATCH(R3463,$R$5:$R$100000,0)=ROW()-4,ROW(),""))</f>
        <v/>
      </c>
      <c r="T3463" s="9">
        <f>IF(Q3463="당기",ABS(P3463)+ROW()/1000000000,"")</f>
        <v/>
      </c>
      <c r="U3463" s="9">
        <f>IF(Q3463="비교",ABS(P3463)+ROW()/1000000000,"")</f>
        <v/>
      </c>
      <c r="V3463" s="39">
        <f>IF($A3463="","",IF(COUNTIF(변동분석!$E$7:$E$506,O3463)&gt;0,"Y","N"))</f>
        <v/>
      </c>
      <c r="W3463" s="39">
        <f>IF($A3463="","",IFERROR(INDEX(계정매핑!$D$5:$D$504,MATCH($F3463&amp;"",계정매핑!$A$5:$A$504,0)),"미매핑"))</f>
        <v/>
      </c>
      <c r="X3463" s="9">
        <f>IF($A3463="","",$F3463&amp;"")</f>
        <v/>
      </c>
    </row>
    <row r="3464">
      <c r="A3464" s="75" t="n">
        <v>2026</v>
      </c>
      <c r="B3464" s="75" t="n">
        <v>6</v>
      </c>
      <c r="C3464" s="75" t="inlineStr">
        <is>
          <t>5100001120</t>
        </is>
      </c>
      <c r="D3464" s="78" t="n">
        <v>46194</v>
      </c>
      <c r="E3464" s="75" t="inlineStr">
        <is>
          <t>KR</t>
        </is>
      </c>
      <c r="F3464" s="75" t="n">
        <v>62501000</v>
      </c>
      <c r="G3464" s="75" t="n">
        <v>1501</v>
      </c>
      <c r="H3464" s="76" t="n">
        <v>457000</v>
      </c>
      <c r="I3464" s="75" t="inlineStr">
        <is>
          <t>6월 회의 다과 - T케이터링</t>
        </is>
      </c>
      <c r="J3464" s="75" t="inlineStr">
        <is>
          <t>V10005</t>
        </is>
      </c>
      <c r="K3464" s="75" t="inlineStr">
        <is>
          <t>T케이터링</t>
        </is>
      </c>
      <c r="M3464" s="9">
        <f>IF($A3464="","",VALUE($A3464&amp;"")*12+VALUE($B3464&amp;""))</f>
        <v/>
      </c>
      <c r="N3464" s="39">
        <f>IF($A3464="","",IFERROR(INDEX(부서매핑!$C$5:$C$504,MATCH($G3464&amp;"",부서매핑!$A$5:$A$504,0)),"미매핑"))</f>
        <v/>
      </c>
      <c r="O3464" s="9">
        <f>IF($A3464="","",N3464&amp;"|"&amp;$F3464)</f>
        <v/>
      </c>
      <c r="P3464" s="77">
        <f>IF($A3464="",0,$H3464*설정!$C$23)</f>
        <v/>
      </c>
      <c r="Q3464" s="39">
        <f>IF($A3464="","",IF(O3464&lt;&gt;원인분석!$C$9,"",IF(AND(M3464&gt;=원인분석!$C$10,M3464&lt;=원인분석!$C$11),"당기",IF(AND(M3464&gt;=원인분석!$C$12,M3464&lt;=원인분석!$C$13),"비교",""))))</f>
        <v/>
      </c>
      <c r="R3464" s="9">
        <f>IF(Q3464="","",$K3464&amp;"")</f>
        <v/>
      </c>
      <c r="S3464" s="9">
        <f>IF(Q3464="","",IF(MATCH(R3464,$R$5:$R$100000,0)=ROW()-4,ROW(),""))</f>
        <v/>
      </c>
      <c r="T3464" s="9">
        <f>IF(Q3464="당기",ABS(P3464)+ROW()/1000000000,"")</f>
        <v/>
      </c>
      <c r="U3464" s="9">
        <f>IF(Q3464="비교",ABS(P3464)+ROW()/1000000000,"")</f>
        <v/>
      </c>
      <c r="V3464" s="39">
        <f>IF($A3464="","",IF(COUNTIF(변동분석!$E$7:$E$506,O3464)&gt;0,"Y","N"))</f>
        <v/>
      </c>
      <c r="W3464" s="39">
        <f>IF($A3464="","",IFERROR(INDEX(계정매핑!$D$5:$D$504,MATCH($F3464&amp;"",계정매핑!$A$5:$A$504,0)),"미매핑"))</f>
        <v/>
      </c>
      <c r="X3464" s="9">
        <f>IF($A3464="","",$F3464&amp;"")</f>
        <v/>
      </c>
    </row>
    <row r="3465">
      <c r="A3465" s="75" t="n">
        <v>2026</v>
      </c>
      <c r="B3465" s="75" t="n">
        <v>6</v>
      </c>
      <c r="C3465" s="75" t="inlineStr">
        <is>
          <t>5100001121</t>
        </is>
      </c>
      <c r="D3465" s="78" t="n">
        <v>46194</v>
      </c>
      <c r="E3465" s="75" t="inlineStr">
        <is>
          <t>KR</t>
        </is>
      </c>
      <c r="F3465" s="75" t="n">
        <v>62902000</v>
      </c>
      <c r="G3465" s="75" t="n">
        <v>1801</v>
      </c>
      <c r="H3465" s="76" t="n">
        <v>1796000</v>
      </c>
      <c r="I3465" s="75" t="inlineStr">
        <is>
          <t>6월 콜 위탁 수수료(건별)</t>
        </is>
      </c>
      <c r="J3465" s="75" t="inlineStr">
        <is>
          <t>V10013</t>
        </is>
      </c>
      <c r="K3465" s="75" t="inlineStr">
        <is>
          <t>J콜센터</t>
        </is>
      </c>
      <c r="M3465" s="9">
        <f>IF($A3465="","",VALUE($A3465&amp;"")*12+VALUE($B3465&amp;""))</f>
        <v/>
      </c>
      <c r="N3465" s="39">
        <f>IF($A3465="","",IFERROR(INDEX(부서매핑!$C$5:$C$504,MATCH($G3465&amp;"",부서매핑!$A$5:$A$504,0)),"미매핑"))</f>
        <v/>
      </c>
      <c r="O3465" s="9">
        <f>IF($A3465="","",N3465&amp;"|"&amp;$F3465)</f>
        <v/>
      </c>
      <c r="P3465" s="77">
        <f>IF($A3465="",0,$H3465*설정!$C$23)</f>
        <v/>
      </c>
      <c r="Q3465" s="39">
        <f>IF($A3465="","",IF(O3465&lt;&gt;원인분석!$C$9,"",IF(AND(M3465&gt;=원인분석!$C$10,M3465&lt;=원인분석!$C$11),"당기",IF(AND(M3465&gt;=원인분석!$C$12,M3465&lt;=원인분석!$C$13),"비교",""))))</f>
        <v/>
      </c>
      <c r="R3465" s="9">
        <f>IF(Q3465="","",$K3465&amp;"")</f>
        <v/>
      </c>
      <c r="S3465" s="9">
        <f>IF(Q3465="","",IF(MATCH(R3465,$R$5:$R$100000,0)=ROW()-4,ROW(),""))</f>
        <v/>
      </c>
      <c r="T3465" s="9">
        <f>IF(Q3465="당기",ABS(P3465)+ROW()/1000000000,"")</f>
        <v/>
      </c>
      <c r="U3465" s="9">
        <f>IF(Q3465="비교",ABS(P3465)+ROW()/1000000000,"")</f>
        <v/>
      </c>
      <c r="V3465" s="39">
        <f>IF($A3465="","",IF(COUNTIF(변동분석!$E$7:$E$506,O3465)&gt;0,"Y","N"))</f>
        <v/>
      </c>
      <c r="W3465" s="39">
        <f>IF($A3465="","",IFERROR(INDEX(계정매핑!$D$5:$D$504,MATCH($F3465&amp;"",계정매핑!$A$5:$A$504,0)),"미매핑"))</f>
        <v/>
      </c>
      <c r="X3465" s="9">
        <f>IF($A3465="","",$F3465&amp;"")</f>
        <v/>
      </c>
    </row>
    <row r="3466">
      <c r="A3466" s="75" t="n">
        <v>2026</v>
      </c>
      <c r="B3466" s="75" t="n">
        <v>6</v>
      </c>
      <c r="C3466" s="75" t="inlineStr">
        <is>
          <t>5100001122</t>
        </is>
      </c>
      <c r="D3466" s="78" t="n">
        <v>46194</v>
      </c>
      <c r="E3466" s="75" t="inlineStr">
        <is>
          <t>KR</t>
        </is>
      </c>
      <c r="F3466" s="75" t="n">
        <v>63101000</v>
      </c>
      <c r="G3466" s="75" t="n">
        <v>1602</v>
      </c>
      <c r="H3466" s="76" t="n">
        <v>5220000</v>
      </c>
      <c r="I3466" s="75" t="inlineStr">
        <is>
          <t>6월 사무실 임차료 - BB부동산</t>
        </is>
      </c>
      <c r="J3466" s="75" t="inlineStr">
        <is>
          <t>V10024</t>
        </is>
      </c>
      <c r="K3466" s="75" t="inlineStr">
        <is>
          <t>BB부동산</t>
        </is>
      </c>
      <c r="M3466" s="9">
        <f>IF($A3466="","",VALUE($A3466&amp;"")*12+VALUE($B3466&amp;""))</f>
        <v/>
      </c>
      <c r="N3466" s="39">
        <f>IF($A3466="","",IFERROR(INDEX(부서매핑!$C$5:$C$504,MATCH($G3466&amp;"",부서매핑!$A$5:$A$504,0)),"미매핑"))</f>
        <v/>
      </c>
      <c r="O3466" s="9">
        <f>IF($A3466="","",N3466&amp;"|"&amp;$F3466)</f>
        <v/>
      </c>
      <c r="P3466" s="77">
        <f>IF($A3466="",0,$H3466*설정!$C$23)</f>
        <v/>
      </c>
      <c r="Q3466" s="39">
        <f>IF($A3466="","",IF(O3466&lt;&gt;원인분석!$C$9,"",IF(AND(M3466&gt;=원인분석!$C$10,M3466&lt;=원인분석!$C$11),"당기",IF(AND(M3466&gt;=원인분석!$C$12,M3466&lt;=원인분석!$C$13),"비교",""))))</f>
        <v/>
      </c>
      <c r="R3466" s="9">
        <f>IF(Q3466="","",$K3466&amp;"")</f>
        <v/>
      </c>
      <c r="S3466" s="9">
        <f>IF(Q3466="","",IF(MATCH(R3466,$R$5:$R$100000,0)=ROW()-4,ROW(),""))</f>
        <v/>
      </c>
      <c r="T3466" s="9">
        <f>IF(Q3466="당기",ABS(P3466)+ROW()/1000000000,"")</f>
        <v/>
      </c>
      <c r="U3466" s="9">
        <f>IF(Q3466="비교",ABS(P3466)+ROW()/1000000000,"")</f>
        <v/>
      </c>
      <c r="V3466" s="39">
        <f>IF($A3466="","",IF(COUNTIF(변동분석!$E$7:$E$506,O3466)&gt;0,"Y","N"))</f>
        <v/>
      </c>
      <c r="W3466" s="39">
        <f>IF($A3466="","",IFERROR(INDEX(계정매핑!$D$5:$D$504,MATCH($F3466&amp;"",계정매핑!$A$5:$A$504,0)),"미매핑"))</f>
        <v/>
      </c>
      <c r="X3466" s="9">
        <f>IF($A3466="","",$F3466&amp;"")</f>
        <v/>
      </c>
    </row>
    <row r="3467">
      <c r="A3467" s="75" t="n">
        <v>2026</v>
      </c>
      <c r="B3467" s="75" t="n">
        <v>6</v>
      </c>
      <c r="C3467" s="75" t="inlineStr">
        <is>
          <t>5100001123</t>
        </is>
      </c>
      <c r="D3467" s="78" t="n">
        <v>46195</v>
      </c>
      <c r="E3467" s="75" t="inlineStr">
        <is>
          <t>KR</t>
        </is>
      </c>
      <c r="F3467" s="75" t="n">
        <v>62101000</v>
      </c>
      <c r="G3467" s="75" t="n">
        <v>1502</v>
      </c>
      <c r="H3467" s="76" t="n">
        <v>549000</v>
      </c>
      <c r="I3467" s="75" t="inlineStr">
        <is>
          <t>6월 국내출장 - (법인카드)</t>
        </is>
      </c>
      <c r="J3467" s="75" t="inlineStr">
        <is>
          <t>V10008</t>
        </is>
      </c>
      <c r="K3467" s="75" t="inlineStr">
        <is>
          <t>(법인카드)</t>
        </is>
      </c>
      <c r="M3467" s="9">
        <f>IF($A3467="","",VALUE($A3467&amp;"")*12+VALUE($B3467&amp;""))</f>
        <v/>
      </c>
      <c r="N3467" s="39">
        <f>IF($A3467="","",IFERROR(INDEX(부서매핑!$C$5:$C$504,MATCH($G3467&amp;"",부서매핑!$A$5:$A$504,0)),"미매핑"))</f>
        <v/>
      </c>
      <c r="O3467" s="9">
        <f>IF($A3467="","",N3467&amp;"|"&amp;$F3467)</f>
        <v/>
      </c>
      <c r="P3467" s="77">
        <f>IF($A3467="",0,$H3467*설정!$C$23)</f>
        <v/>
      </c>
      <c r="Q3467" s="39">
        <f>IF($A3467="","",IF(O3467&lt;&gt;원인분석!$C$9,"",IF(AND(M3467&gt;=원인분석!$C$10,M3467&lt;=원인분석!$C$11),"당기",IF(AND(M3467&gt;=원인분석!$C$12,M3467&lt;=원인분석!$C$13),"비교",""))))</f>
        <v/>
      </c>
      <c r="R3467" s="9">
        <f>IF(Q3467="","",$K3467&amp;"")</f>
        <v/>
      </c>
      <c r="S3467" s="9">
        <f>IF(Q3467="","",IF(MATCH(R3467,$R$5:$R$100000,0)=ROW()-4,ROW(),""))</f>
        <v/>
      </c>
      <c r="T3467" s="9">
        <f>IF(Q3467="당기",ABS(P3467)+ROW()/1000000000,"")</f>
        <v/>
      </c>
      <c r="U3467" s="9">
        <f>IF(Q3467="비교",ABS(P3467)+ROW()/1000000000,"")</f>
        <v/>
      </c>
      <c r="V3467" s="39">
        <f>IF($A3467="","",IF(COUNTIF(변동분석!$E$7:$E$506,O3467)&gt;0,"Y","N"))</f>
        <v/>
      </c>
      <c r="W3467" s="39">
        <f>IF($A3467="","",IFERROR(INDEX(계정매핑!$D$5:$D$504,MATCH($F3467&amp;"",계정매핑!$A$5:$A$504,0)),"미매핑"))</f>
        <v/>
      </c>
      <c r="X3467" s="9">
        <f>IF($A3467="","",$F3467&amp;"")</f>
        <v/>
      </c>
    </row>
    <row r="3468">
      <c r="A3468" s="75" t="n">
        <v>2026</v>
      </c>
      <c r="B3468" s="75" t="n">
        <v>6</v>
      </c>
      <c r="C3468" s="75" t="inlineStr">
        <is>
          <t>5100001124</t>
        </is>
      </c>
      <c r="D3468" s="78" t="n">
        <v>46195</v>
      </c>
      <c r="E3468" s="75" t="inlineStr">
        <is>
          <t>KR</t>
        </is>
      </c>
      <c r="F3468" s="75" t="n">
        <v>62102000</v>
      </c>
      <c r="G3468" s="75" t="n">
        <v>1201</v>
      </c>
      <c r="H3468" s="76" t="n">
        <v>57000</v>
      </c>
      <c r="I3468" s="75" t="inlineStr">
        <is>
          <t>6월 해외출장 - M항공</t>
        </is>
      </c>
      <c r="J3468" s="75" t="inlineStr">
        <is>
          <t>V10001</t>
        </is>
      </c>
      <c r="K3468" s="75" t="inlineStr">
        <is>
          <t>M항공</t>
        </is>
      </c>
      <c r="M3468" s="9">
        <f>IF($A3468="","",VALUE($A3468&amp;"")*12+VALUE($B3468&amp;""))</f>
        <v/>
      </c>
      <c r="N3468" s="39">
        <f>IF($A3468="","",IFERROR(INDEX(부서매핑!$C$5:$C$504,MATCH($G3468&amp;"",부서매핑!$A$5:$A$504,0)),"미매핑"))</f>
        <v/>
      </c>
      <c r="O3468" s="9">
        <f>IF($A3468="","",N3468&amp;"|"&amp;$F3468)</f>
        <v/>
      </c>
      <c r="P3468" s="77">
        <f>IF($A3468="",0,$H3468*설정!$C$23)</f>
        <v/>
      </c>
      <c r="Q3468" s="39">
        <f>IF($A3468="","",IF(O3468&lt;&gt;원인분석!$C$9,"",IF(AND(M3468&gt;=원인분석!$C$10,M3468&lt;=원인분석!$C$11),"당기",IF(AND(M3468&gt;=원인분석!$C$12,M3468&lt;=원인분석!$C$13),"비교",""))))</f>
        <v/>
      </c>
      <c r="R3468" s="9">
        <f>IF(Q3468="","",$K3468&amp;"")</f>
        <v/>
      </c>
      <c r="S3468" s="9">
        <f>IF(Q3468="","",IF(MATCH(R3468,$R$5:$R$100000,0)=ROW()-4,ROW(),""))</f>
        <v/>
      </c>
      <c r="T3468" s="9">
        <f>IF(Q3468="당기",ABS(P3468)+ROW()/1000000000,"")</f>
        <v/>
      </c>
      <c r="U3468" s="9">
        <f>IF(Q3468="비교",ABS(P3468)+ROW()/1000000000,"")</f>
        <v/>
      </c>
      <c r="V3468" s="39">
        <f>IF($A3468="","",IF(COUNTIF(변동분석!$E$7:$E$506,O3468)&gt;0,"Y","N"))</f>
        <v/>
      </c>
      <c r="W3468" s="39">
        <f>IF($A3468="","",IFERROR(INDEX(계정매핑!$D$5:$D$504,MATCH($F3468&amp;"",계정매핑!$A$5:$A$504,0)),"미매핑"))</f>
        <v/>
      </c>
      <c r="X3468" s="9">
        <f>IF($A3468="","",$F3468&amp;"")</f>
        <v/>
      </c>
    </row>
    <row r="3469">
      <c r="A3469" s="75" t="n">
        <v>2026</v>
      </c>
      <c r="B3469" s="75" t="n">
        <v>6</v>
      </c>
      <c r="C3469" s="75" t="inlineStr">
        <is>
          <t>5100001125</t>
        </is>
      </c>
      <c r="D3469" s="78" t="n">
        <v>46195</v>
      </c>
      <c r="E3469" s="75" t="inlineStr">
        <is>
          <t>KR</t>
        </is>
      </c>
      <c r="F3469" s="75" t="n">
        <v>62102000</v>
      </c>
      <c r="G3469" s="75" t="n">
        <v>1701</v>
      </c>
      <c r="H3469" s="76" t="n">
        <v>37000</v>
      </c>
      <c r="I3469" s="75" t="inlineStr">
        <is>
          <t>6월 해외출장 - M항공</t>
        </is>
      </c>
      <c r="J3469" s="75" t="inlineStr">
        <is>
          <t>V10001</t>
        </is>
      </c>
      <c r="K3469" s="75" t="inlineStr">
        <is>
          <t>M항공</t>
        </is>
      </c>
      <c r="M3469" s="9">
        <f>IF($A3469="","",VALUE($A3469&amp;"")*12+VALUE($B3469&amp;""))</f>
        <v/>
      </c>
      <c r="N3469" s="39">
        <f>IF($A3469="","",IFERROR(INDEX(부서매핑!$C$5:$C$504,MATCH($G3469&amp;"",부서매핑!$A$5:$A$504,0)),"미매핑"))</f>
        <v/>
      </c>
      <c r="O3469" s="9">
        <f>IF($A3469="","",N3469&amp;"|"&amp;$F3469)</f>
        <v/>
      </c>
      <c r="P3469" s="77">
        <f>IF($A3469="",0,$H3469*설정!$C$23)</f>
        <v/>
      </c>
      <c r="Q3469" s="39">
        <f>IF($A3469="","",IF(O3469&lt;&gt;원인분석!$C$9,"",IF(AND(M3469&gt;=원인분석!$C$10,M3469&lt;=원인분석!$C$11),"당기",IF(AND(M3469&gt;=원인분석!$C$12,M3469&lt;=원인분석!$C$13),"비교",""))))</f>
        <v/>
      </c>
      <c r="R3469" s="9">
        <f>IF(Q3469="","",$K3469&amp;"")</f>
        <v/>
      </c>
      <c r="S3469" s="9">
        <f>IF(Q3469="","",IF(MATCH(R3469,$R$5:$R$100000,0)=ROW()-4,ROW(),""))</f>
        <v/>
      </c>
      <c r="T3469" s="9">
        <f>IF(Q3469="당기",ABS(P3469)+ROW()/1000000000,"")</f>
        <v/>
      </c>
      <c r="U3469" s="9">
        <f>IF(Q3469="비교",ABS(P3469)+ROW()/1000000000,"")</f>
        <v/>
      </c>
      <c r="V3469" s="39">
        <f>IF($A3469="","",IF(COUNTIF(변동분석!$E$7:$E$506,O3469)&gt;0,"Y","N"))</f>
        <v/>
      </c>
      <c r="W3469" s="39">
        <f>IF($A3469="","",IFERROR(INDEX(계정매핑!$D$5:$D$504,MATCH($F3469&amp;"",계정매핑!$A$5:$A$504,0)),"미매핑"))</f>
        <v/>
      </c>
      <c r="X3469" s="9">
        <f>IF($A3469="","",$F3469&amp;"")</f>
        <v/>
      </c>
    </row>
    <row r="3470">
      <c r="A3470" s="75" t="n">
        <v>2026</v>
      </c>
      <c r="B3470" s="75" t="n">
        <v>6</v>
      </c>
      <c r="C3470" s="75" t="inlineStr">
        <is>
          <t>5100001126</t>
        </is>
      </c>
      <c r="D3470" s="78" t="n">
        <v>46195</v>
      </c>
      <c r="E3470" s="75" t="inlineStr">
        <is>
          <t>KR</t>
        </is>
      </c>
      <c r="F3470" s="75" t="n">
        <v>62201000</v>
      </c>
      <c r="G3470" s="75" t="n">
        <v>1602</v>
      </c>
      <c r="H3470" s="76" t="n">
        <v>365000</v>
      </c>
      <c r="I3470" s="75" t="inlineStr">
        <is>
          <t>6월 통신요금 - O텔레콤</t>
        </is>
      </c>
      <c r="J3470" s="75" t="inlineStr">
        <is>
          <t>V10002</t>
        </is>
      </c>
      <c r="K3470" s="75" t="inlineStr">
        <is>
          <t>O텔레콤</t>
        </is>
      </c>
      <c r="M3470" s="9">
        <f>IF($A3470="","",VALUE($A3470&amp;"")*12+VALUE($B3470&amp;""))</f>
        <v/>
      </c>
      <c r="N3470" s="39">
        <f>IF($A3470="","",IFERROR(INDEX(부서매핑!$C$5:$C$504,MATCH($G3470&amp;"",부서매핑!$A$5:$A$504,0)),"미매핑"))</f>
        <v/>
      </c>
      <c r="O3470" s="9">
        <f>IF($A3470="","",N3470&amp;"|"&amp;$F3470)</f>
        <v/>
      </c>
      <c r="P3470" s="77">
        <f>IF($A3470="",0,$H3470*설정!$C$23)</f>
        <v/>
      </c>
      <c r="Q3470" s="39">
        <f>IF($A3470="","",IF(O3470&lt;&gt;원인분석!$C$9,"",IF(AND(M3470&gt;=원인분석!$C$10,M3470&lt;=원인분석!$C$11),"당기",IF(AND(M3470&gt;=원인분석!$C$12,M3470&lt;=원인분석!$C$13),"비교",""))))</f>
        <v/>
      </c>
      <c r="R3470" s="9">
        <f>IF(Q3470="","",$K3470&amp;"")</f>
        <v/>
      </c>
      <c r="S3470" s="9">
        <f>IF(Q3470="","",IF(MATCH(R3470,$R$5:$R$100000,0)=ROW()-4,ROW(),""))</f>
        <v/>
      </c>
      <c r="T3470" s="9">
        <f>IF(Q3470="당기",ABS(P3470)+ROW()/1000000000,"")</f>
        <v/>
      </c>
      <c r="U3470" s="9">
        <f>IF(Q3470="비교",ABS(P3470)+ROW()/1000000000,"")</f>
        <v/>
      </c>
      <c r="V3470" s="39">
        <f>IF($A3470="","",IF(COUNTIF(변동분석!$E$7:$E$506,O3470)&gt;0,"Y","N"))</f>
        <v/>
      </c>
      <c r="W3470" s="39">
        <f>IF($A3470="","",IFERROR(INDEX(계정매핑!$D$5:$D$504,MATCH($F3470&amp;"",계정매핑!$A$5:$A$504,0)),"미매핑"))</f>
        <v/>
      </c>
      <c r="X3470" s="9">
        <f>IF($A3470="","",$F3470&amp;"")</f>
        <v/>
      </c>
    </row>
    <row r="3471">
      <c r="A3471" s="75" t="n">
        <v>2026</v>
      </c>
      <c r="B3471" s="75" t="n">
        <v>6</v>
      </c>
      <c r="C3471" s="75" t="inlineStr">
        <is>
          <t>5100001127</t>
        </is>
      </c>
      <c r="D3471" s="78" t="n">
        <v>46195</v>
      </c>
      <c r="E3471" s="75" t="inlineStr">
        <is>
          <t>KR</t>
        </is>
      </c>
      <c r="F3471" s="75" t="n">
        <v>62201000</v>
      </c>
      <c r="G3471" s="75" t="n">
        <v>1801</v>
      </c>
      <c r="H3471" s="76" t="n">
        <v>4698000</v>
      </c>
      <c r="I3471" s="75" t="inlineStr">
        <is>
          <t>6월 통신요금 - O텔레콤</t>
        </is>
      </c>
      <c r="J3471" s="75" t="inlineStr">
        <is>
          <t>V10002</t>
        </is>
      </c>
      <c r="K3471" s="75" t="inlineStr">
        <is>
          <t>O텔레콤</t>
        </is>
      </c>
      <c r="M3471" s="9">
        <f>IF($A3471="","",VALUE($A3471&amp;"")*12+VALUE($B3471&amp;""))</f>
        <v/>
      </c>
      <c r="N3471" s="39">
        <f>IF($A3471="","",IFERROR(INDEX(부서매핑!$C$5:$C$504,MATCH($G3471&amp;"",부서매핑!$A$5:$A$504,0)),"미매핑"))</f>
        <v/>
      </c>
      <c r="O3471" s="9">
        <f>IF($A3471="","",N3471&amp;"|"&amp;$F3471)</f>
        <v/>
      </c>
      <c r="P3471" s="77">
        <f>IF($A3471="",0,$H3471*설정!$C$23)</f>
        <v/>
      </c>
      <c r="Q3471" s="39">
        <f>IF($A3471="","",IF(O3471&lt;&gt;원인분석!$C$9,"",IF(AND(M3471&gt;=원인분석!$C$10,M3471&lt;=원인분석!$C$11),"당기",IF(AND(M3471&gt;=원인분석!$C$12,M3471&lt;=원인분석!$C$13),"비교",""))))</f>
        <v/>
      </c>
      <c r="R3471" s="9">
        <f>IF(Q3471="","",$K3471&amp;"")</f>
        <v/>
      </c>
      <c r="S3471" s="9">
        <f>IF(Q3471="","",IF(MATCH(R3471,$R$5:$R$100000,0)=ROW()-4,ROW(),""))</f>
        <v/>
      </c>
      <c r="T3471" s="9">
        <f>IF(Q3471="당기",ABS(P3471)+ROW()/1000000000,"")</f>
        <v/>
      </c>
      <c r="U3471" s="9">
        <f>IF(Q3471="비교",ABS(P3471)+ROW()/1000000000,"")</f>
        <v/>
      </c>
      <c r="V3471" s="39">
        <f>IF($A3471="","",IF(COUNTIF(변동분석!$E$7:$E$506,O3471)&gt;0,"Y","N"))</f>
        <v/>
      </c>
      <c r="W3471" s="39">
        <f>IF($A3471="","",IFERROR(INDEX(계정매핑!$D$5:$D$504,MATCH($F3471&amp;"",계정매핑!$A$5:$A$504,0)),"미매핑"))</f>
        <v/>
      </c>
      <c r="X3471" s="9">
        <f>IF($A3471="","",$F3471&amp;"")</f>
        <v/>
      </c>
    </row>
    <row r="3472">
      <c r="A3472" s="75" t="n">
        <v>2026</v>
      </c>
      <c r="B3472" s="75" t="n">
        <v>6</v>
      </c>
      <c r="C3472" s="75" t="inlineStr">
        <is>
          <t>5100001128</t>
        </is>
      </c>
      <c r="D3472" s="78" t="n">
        <v>46195</v>
      </c>
      <c r="E3472" s="75" t="inlineStr">
        <is>
          <t>KR</t>
        </is>
      </c>
      <c r="F3472" s="75" t="n">
        <v>62401000</v>
      </c>
      <c r="G3472" s="75" t="n">
        <v>1401</v>
      </c>
      <c r="H3472" s="76" t="n">
        <v>274000</v>
      </c>
      <c r="I3472" s="75" t="inlineStr">
        <is>
          <t>6월 인쇄물 제작 - G인쇄</t>
        </is>
      </c>
      <c r="J3472" s="75" t="inlineStr">
        <is>
          <t>V10004</t>
        </is>
      </c>
      <c r="K3472" s="75" t="inlineStr">
        <is>
          <t>G인쇄</t>
        </is>
      </c>
      <c r="M3472" s="9">
        <f>IF($A3472="","",VALUE($A3472&amp;"")*12+VALUE($B3472&amp;""))</f>
        <v/>
      </c>
      <c r="N3472" s="39">
        <f>IF($A3472="","",IFERROR(INDEX(부서매핑!$C$5:$C$504,MATCH($G3472&amp;"",부서매핑!$A$5:$A$504,0)),"미매핑"))</f>
        <v/>
      </c>
      <c r="O3472" s="9">
        <f>IF($A3472="","",N3472&amp;"|"&amp;$F3472)</f>
        <v/>
      </c>
      <c r="P3472" s="77">
        <f>IF($A3472="",0,$H3472*설정!$C$23)</f>
        <v/>
      </c>
      <c r="Q3472" s="39">
        <f>IF($A3472="","",IF(O3472&lt;&gt;원인분석!$C$9,"",IF(AND(M3472&gt;=원인분석!$C$10,M3472&lt;=원인분석!$C$11),"당기",IF(AND(M3472&gt;=원인분석!$C$12,M3472&lt;=원인분석!$C$13),"비교",""))))</f>
        <v/>
      </c>
      <c r="R3472" s="9">
        <f>IF(Q3472="","",$K3472&amp;"")</f>
        <v/>
      </c>
      <c r="S3472" s="9">
        <f>IF(Q3472="","",IF(MATCH(R3472,$R$5:$R$100000,0)=ROW()-4,ROW(),""))</f>
        <v/>
      </c>
      <c r="T3472" s="9">
        <f>IF(Q3472="당기",ABS(P3472)+ROW()/1000000000,"")</f>
        <v/>
      </c>
      <c r="U3472" s="9">
        <f>IF(Q3472="비교",ABS(P3472)+ROW()/1000000000,"")</f>
        <v/>
      </c>
      <c r="V3472" s="39">
        <f>IF($A3472="","",IF(COUNTIF(변동분석!$E$7:$E$506,O3472)&gt;0,"Y","N"))</f>
        <v/>
      </c>
      <c r="W3472" s="39">
        <f>IF($A3472="","",IFERROR(INDEX(계정매핑!$D$5:$D$504,MATCH($F3472&amp;"",계정매핑!$A$5:$A$504,0)),"미매핑"))</f>
        <v/>
      </c>
      <c r="X3472" s="9">
        <f>IF($A3472="","",$F3472&amp;"")</f>
        <v/>
      </c>
    </row>
    <row r="3473">
      <c r="A3473" s="75" t="n">
        <v>2026</v>
      </c>
      <c r="B3473" s="75" t="n">
        <v>6</v>
      </c>
      <c r="C3473" s="75" t="inlineStr">
        <is>
          <t>5100001129</t>
        </is>
      </c>
      <c r="D3473" s="78" t="n">
        <v>46195</v>
      </c>
      <c r="E3473" s="75" t="inlineStr">
        <is>
          <t>KR</t>
        </is>
      </c>
      <c r="F3473" s="75" t="n">
        <v>62401000</v>
      </c>
      <c r="G3473" s="75" t="n">
        <v>1502</v>
      </c>
      <c r="H3473" s="76" t="n">
        <v>2254000</v>
      </c>
      <c r="I3473" s="75" t="inlineStr">
        <is>
          <t>6월 인쇄물 제작 - G인쇄</t>
        </is>
      </c>
      <c r="J3473" s="75" t="inlineStr">
        <is>
          <t>V10004</t>
        </is>
      </c>
      <c r="K3473" s="75" t="inlineStr">
        <is>
          <t>G인쇄</t>
        </is>
      </c>
      <c r="M3473" s="9">
        <f>IF($A3473="","",VALUE($A3473&amp;"")*12+VALUE($B3473&amp;""))</f>
        <v/>
      </c>
      <c r="N3473" s="39">
        <f>IF($A3473="","",IFERROR(INDEX(부서매핑!$C$5:$C$504,MATCH($G3473&amp;"",부서매핑!$A$5:$A$504,0)),"미매핑"))</f>
        <v/>
      </c>
      <c r="O3473" s="9">
        <f>IF($A3473="","",N3473&amp;"|"&amp;$F3473)</f>
        <v/>
      </c>
      <c r="P3473" s="77">
        <f>IF($A3473="",0,$H3473*설정!$C$23)</f>
        <v/>
      </c>
      <c r="Q3473" s="39">
        <f>IF($A3473="","",IF(O3473&lt;&gt;원인분석!$C$9,"",IF(AND(M3473&gt;=원인분석!$C$10,M3473&lt;=원인분석!$C$11),"당기",IF(AND(M3473&gt;=원인분석!$C$12,M3473&lt;=원인분석!$C$13),"비교",""))))</f>
        <v/>
      </c>
      <c r="R3473" s="9">
        <f>IF(Q3473="","",$K3473&amp;"")</f>
        <v/>
      </c>
      <c r="S3473" s="9">
        <f>IF(Q3473="","",IF(MATCH(R3473,$R$5:$R$100000,0)=ROW()-4,ROW(),""))</f>
        <v/>
      </c>
      <c r="T3473" s="9">
        <f>IF(Q3473="당기",ABS(P3473)+ROW()/1000000000,"")</f>
        <v/>
      </c>
      <c r="U3473" s="9">
        <f>IF(Q3473="비교",ABS(P3473)+ROW()/1000000000,"")</f>
        <v/>
      </c>
      <c r="V3473" s="39">
        <f>IF($A3473="","",IF(COUNTIF(변동분석!$E$7:$E$506,O3473)&gt;0,"Y","N"))</f>
        <v/>
      </c>
      <c r="W3473" s="39">
        <f>IF($A3473="","",IFERROR(INDEX(계정매핑!$D$5:$D$504,MATCH($F3473&amp;"",계정매핑!$A$5:$A$504,0)),"미매핑"))</f>
        <v/>
      </c>
      <c r="X3473" s="9">
        <f>IF($A3473="","",$F3473&amp;"")</f>
        <v/>
      </c>
    </row>
    <row r="3474">
      <c r="A3474" s="75" t="n">
        <v>2026</v>
      </c>
      <c r="B3474" s="75" t="n">
        <v>6</v>
      </c>
      <c r="C3474" s="75" t="inlineStr">
        <is>
          <t>5100001130</t>
        </is>
      </c>
      <c r="D3474" s="78" t="n">
        <v>46195</v>
      </c>
      <c r="E3474" s="75" t="inlineStr">
        <is>
          <t>KR</t>
        </is>
      </c>
      <c r="F3474" s="75" t="n">
        <v>62501000</v>
      </c>
      <c r="G3474" s="75" t="n">
        <v>1101</v>
      </c>
      <c r="H3474" s="76" t="n">
        <v>389000</v>
      </c>
      <c r="I3474" s="75" t="inlineStr">
        <is>
          <t>6월 회의 다과 - (법인카드)</t>
        </is>
      </c>
      <c r="J3474" s="75" t="inlineStr">
        <is>
          <t>V10008</t>
        </is>
      </c>
      <c r="K3474" s="75" t="inlineStr">
        <is>
          <t>(법인카드)</t>
        </is>
      </c>
      <c r="M3474" s="9">
        <f>IF($A3474="","",VALUE($A3474&amp;"")*12+VALUE($B3474&amp;""))</f>
        <v/>
      </c>
      <c r="N3474" s="39">
        <f>IF($A3474="","",IFERROR(INDEX(부서매핑!$C$5:$C$504,MATCH($G3474&amp;"",부서매핑!$A$5:$A$504,0)),"미매핑"))</f>
        <v/>
      </c>
      <c r="O3474" s="9">
        <f>IF($A3474="","",N3474&amp;"|"&amp;$F3474)</f>
        <v/>
      </c>
      <c r="P3474" s="77">
        <f>IF($A3474="",0,$H3474*설정!$C$23)</f>
        <v/>
      </c>
      <c r="Q3474" s="39">
        <f>IF($A3474="","",IF(O3474&lt;&gt;원인분석!$C$9,"",IF(AND(M3474&gt;=원인분석!$C$10,M3474&lt;=원인분석!$C$11),"당기",IF(AND(M3474&gt;=원인분석!$C$12,M3474&lt;=원인분석!$C$13),"비교",""))))</f>
        <v/>
      </c>
      <c r="R3474" s="9">
        <f>IF(Q3474="","",$K3474&amp;"")</f>
        <v/>
      </c>
      <c r="S3474" s="9">
        <f>IF(Q3474="","",IF(MATCH(R3474,$R$5:$R$100000,0)=ROW()-4,ROW(),""))</f>
        <v/>
      </c>
      <c r="T3474" s="9">
        <f>IF(Q3474="당기",ABS(P3474)+ROW()/1000000000,"")</f>
        <v/>
      </c>
      <c r="U3474" s="9">
        <f>IF(Q3474="비교",ABS(P3474)+ROW()/1000000000,"")</f>
        <v/>
      </c>
      <c r="V3474" s="39">
        <f>IF($A3474="","",IF(COUNTIF(변동분석!$E$7:$E$506,O3474)&gt;0,"Y","N"))</f>
        <v/>
      </c>
      <c r="W3474" s="39">
        <f>IF($A3474="","",IFERROR(INDEX(계정매핑!$D$5:$D$504,MATCH($F3474&amp;"",계정매핑!$A$5:$A$504,0)),"미매핑"))</f>
        <v/>
      </c>
      <c r="X3474" s="9">
        <f>IF($A3474="","",$F3474&amp;"")</f>
        <v/>
      </c>
    </row>
    <row r="3475">
      <c r="A3475" s="75" t="n">
        <v>2026</v>
      </c>
      <c r="B3475" s="75" t="n">
        <v>6</v>
      </c>
      <c r="C3475" s="75" t="inlineStr">
        <is>
          <t>5100001131</t>
        </is>
      </c>
      <c r="D3475" s="78" t="n">
        <v>46195</v>
      </c>
      <c r="E3475" s="75" t="inlineStr">
        <is>
          <t>KR</t>
        </is>
      </c>
      <c r="F3475" s="75" t="n">
        <v>62601000</v>
      </c>
      <c r="G3475" s="75" t="n">
        <v>1602</v>
      </c>
      <c r="H3475" s="76" t="n">
        <v>1667000</v>
      </c>
      <c r="I3475" s="75" t="inlineStr">
        <is>
          <t>6월 업무추진 - (법인카드)</t>
        </is>
      </c>
      <c r="J3475" s="75" t="inlineStr">
        <is>
          <t>V10008</t>
        </is>
      </c>
      <c r="K3475" s="75" t="inlineStr">
        <is>
          <t>(법인카드)</t>
        </is>
      </c>
      <c r="M3475" s="9">
        <f>IF($A3475="","",VALUE($A3475&amp;"")*12+VALUE($B3475&amp;""))</f>
        <v/>
      </c>
      <c r="N3475" s="39">
        <f>IF($A3475="","",IFERROR(INDEX(부서매핑!$C$5:$C$504,MATCH($G3475&amp;"",부서매핑!$A$5:$A$504,0)),"미매핑"))</f>
        <v/>
      </c>
      <c r="O3475" s="9">
        <f>IF($A3475="","",N3475&amp;"|"&amp;$F3475)</f>
        <v/>
      </c>
      <c r="P3475" s="77">
        <f>IF($A3475="",0,$H3475*설정!$C$23)</f>
        <v/>
      </c>
      <c r="Q3475" s="39">
        <f>IF($A3475="","",IF(O3475&lt;&gt;원인분석!$C$9,"",IF(AND(M3475&gt;=원인분석!$C$10,M3475&lt;=원인분석!$C$11),"당기",IF(AND(M3475&gt;=원인분석!$C$12,M3475&lt;=원인분석!$C$13),"비교",""))))</f>
        <v/>
      </c>
      <c r="R3475" s="9">
        <f>IF(Q3475="","",$K3475&amp;"")</f>
        <v/>
      </c>
      <c r="S3475" s="9">
        <f>IF(Q3475="","",IF(MATCH(R3475,$R$5:$R$100000,0)=ROW()-4,ROW(),""))</f>
        <v/>
      </c>
      <c r="T3475" s="9">
        <f>IF(Q3475="당기",ABS(P3475)+ROW()/1000000000,"")</f>
        <v/>
      </c>
      <c r="U3475" s="9">
        <f>IF(Q3475="비교",ABS(P3475)+ROW()/1000000000,"")</f>
        <v/>
      </c>
      <c r="V3475" s="39">
        <f>IF($A3475="","",IF(COUNTIF(변동분석!$E$7:$E$506,O3475)&gt;0,"Y","N"))</f>
        <v/>
      </c>
      <c r="W3475" s="39">
        <f>IF($A3475="","",IFERROR(INDEX(계정매핑!$D$5:$D$504,MATCH($F3475&amp;"",계정매핑!$A$5:$A$504,0)),"미매핑"))</f>
        <v/>
      </c>
      <c r="X3475" s="9">
        <f>IF($A3475="","",$F3475&amp;"")</f>
        <v/>
      </c>
    </row>
    <row r="3476">
      <c r="A3476" s="75" t="n">
        <v>2026</v>
      </c>
      <c r="B3476" s="75" t="n">
        <v>6</v>
      </c>
      <c r="C3476" s="75" t="inlineStr">
        <is>
          <t>5100001132</t>
        </is>
      </c>
      <c r="D3476" s="78" t="n">
        <v>46195</v>
      </c>
      <c r="E3476" s="75" t="inlineStr">
        <is>
          <t>KR</t>
        </is>
      </c>
      <c r="F3476" s="75" t="n">
        <v>62701000</v>
      </c>
      <c r="G3476" s="75" t="n">
        <v>1502</v>
      </c>
      <c r="H3476" s="76" t="n">
        <v>37364000</v>
      </c>
      <c r="I3476" s="75" t="inlineStr">
        <is>
          <t>6월 광고 집행 - E미디어</t>
        </is>
      </c>
      <c r="J3476" s="75" t="inlineStr">
        <is>
          <t>V10027</t>
        </is>
      </c>
      <c r="K3476" s="75" t="inlineStr">
        <is>
          <t>E미디어</t>
        </is>
      </c>
      <c r="M3476" s="9">
        <f>IF($A3476="","",VALUE($A3476&amp;"")*12+VALUE($B3476&amp;""))</f>
        <v/>
      </c>
      <c r="N3476" s="39">
        <f>IF($A3476="","",IFERROR(INDEX(부서매핑!$C$5:$C$504,MATCH($G3476&amp;"",부서매핑!$A$5:$A$504,0)),"미매핑"))</f>
        <v/>
      </c>
      <c r="O3476" s="9">
        <f>IF($A3476="","",N3476&amp;"|"&amp;$F3476)</f>
        <v/>
      </c>
      <c r="P3476" s="77">
        <f>IF($A3476="",0,$H3476*설정!$C$23)</f>
        <v/>
      </c>
      <c r="Q3476" s="39">
        <f>IF($A3476="","",IF(O3476&lt;&gt;원인분석!$C$9,"",IF(AND(M3476&gt;=원인분석!$C$10,M3476&lt;=원인분석!$C$11),"당기",IF(AND(M3476&gt;=원인분석!$C$12,M3476&lt;=원인분석!$C$13),"비교",""))))</f>
        <v/>
      </c>
      <c r="R3476" s="9">
        <f>IF(Q3476="","",$K3476&amp;"")</f>
        <v/>
      </c>
      <c r="S3476" s="9">
        <f>IF(Q3476="","",IF(MATCH(R3476,$R$5:$R$100000,0)=ROW()-4,ROW(),""))</f>
        <v/>
      </c>
      <c r="T3476" s="9">
        <f>IF(Q3476="당기",ABS(P3476)+ROW()/1000000000,"")</f>
        <v/>
      </c>
      <c r="U3476" s="9">
        <f>IF(Q3476="비교",ABS(P3476)+ROW()/1000000000,"")</f>
        <v/>
      </c>
      <c r="V3476" s="39">
        <f>IF($A3476="","",IF(COUNTIF(변동분석!$E$7:$E$506,O3476)&gt;0,"Y","N"))</f>
        <v/>
      </c>
      <c r="W3476" s="39">
        <f>IF($A3476="","",IFERROR(INDEX(계정매핑!$D$5:$D$504,MATCH($F3476&amp;"",계정매핑!$A$5:$A$504,0)),"미매핑"))</f>
        <v/>
      </c>
      <c r="X3476" s="9">
        <f>IF($A3476="","",$F3476&amp;"")</f>
        <v/>
      </c>
    </row>
    <row r="3477">
      <c r="A3477" s="75" t="n">
        <v>2026</v>
      </c>
      <c r="B3477" s="75" t="n">
        <v>6</v>
      </c>
      <c r="C3477" s="75" t="inlineStr">
        <is>
          <t>5100001133</t>
        </is>
      </c>
      <c r="D3477" s="78" t="n">
        <v>46195</v>
      </c>
      <c r="E3477" s="75" t="inlineStr">
        <is>
          <t>KR</t>
        </is>
      </c>
      <c r="F3477" s="75" t="n">
        <v>62902000</v>
      </c>
      <c r="G3477" s="75" t="n">
        <v>1801</v>
      </c>
      <c r="H3477" s="76" t="n">
        <v>1805000</v>
      </c>
      <c r="I3477" s="75" t="inlineStr">
        <is>
          <t>6월 콜 위탁 수수료(건별)</t>
        </is>
      </c>
      <c r="J3477" s="75" t="inlineStr">
        <is>
          <t>V10013</t>
        </is>
      </c>
      <c r="K3477" s="75" t="inlineStr">
        <is>
          <t>J콜센터</t>
        </is>
      </c>
      <c r="M3477" s="9">
        <f>IF($A3477="","",VALUE($A3477&amp;"")*12+VALUE($B3477&amp;""))</f>
        <v/>
      </c>
      <c r="N3477" s="39">
        <f>IF($A3477="","",IFERROR(INDEX(부서매핑!$C$5:$C$504,MATCH($G3477&amp;"",부서매핑!$A$5:$A$504,0)),"미매핑"))</f>
        <v/>
      </c>
      <c r="O3477" s="9">
        <f>IF($A3477="","",N3477&amp;"|"&amp;$F3477)</f>
        <v/>
      </c>
      <c r="P3477" s="77">
        <f>IF($A3477="",0,$H3477*설정!$C$23)</f>
        <v/>
      </c>
      <c r="Q3477" s="39">
        <f>IF($A3477="","",IF(O3477&lt;&gt;원인분석!$C$9,"",IF(AND(M3477&gt;=원인분석!$C$10,M3477&lt;=원인분석!$C$11),"당기",IF(AND(M3477&gt;=원인분석!$C$12,M3477&lt;=원인분석!$C$13),"비교",""))))</f>
        <v/>
      </c>
      <c r="R3477" s="9">
        <f>IF(Q3477="","",$K3477&amp;"")</f>
        <v/>
      </c>
      <c r="S3477" s="9">
        <f>IF(Q3477="","",IF(MATCH(R3477,$R$5:$R$100000,0)=ROW()-4,ROW(),""))</f>
        <v/>
      </c>
      <c r="T3477" s="9">
        <f>IF(Q3477="당기",ABS(P3477)+ROW()/1000000000,"")</f>
        <v/>
      </c>
      <c r="U3477" s="9">
        <f>IF(Q3477="비교",ABS(P3477)+ROW()/1000000000,"")</f>
        <v/>
      </c>
      <c r="V3477" s="39">
        <f>IF($A3477="","",IF(COUNTIF(변동분석!$E$7:$E$506,O3477)&gt;0,"Y","N"))</f>
        <v/>
      </c>
      <c r="W3477" s="39">
        <f>IF($A3477="","",IFERROR(INDEX(계정매핑!$D$5:$D$504,MATCH($F3477&amp;"",계정매핑!$A$5:$A$504,0)),"미매핑"))</f>
        <v/>
      </c>
      <c r="X3477" s="9">
        <f>IF($A3477="","",$F3477&amp;"")</f>
        <v/>
      </c>
    </row>
    <row r="3478">
      <c r="A3478" s="75" t="n">
        <v>2026</v>
      </c>
      <c r="B3478" s="75" t="n">
        <v>6</v>
      </c>
      <c r="C3478" s="75" t="inlineStr">
        <is>
          <t>5100001134</t>
        </is>
      </c>
      <c r="D3478" s="78" t="n">
        <v>46195</v>
      </c>
      <c r="E3478" s="75" t="inlineStr">
        <is>
          <t>KR</t>
        </is>
      </c>
      <c r="F3478" s="75" t="n">
        <v>62902000</v>
      </c>
      <c r="G3478" s="75" t="n">
        <v>1801</v>
      </c>
      <c r="H3478" s="76" t="n">
        <v>1824000</v>
      </c>
      <c r="I3478" s="75" t="inlineStr">
        <is>
          <t>6월 콜 위탁 수수료(건별)</t>
        </is>
      </c>
      <c r="J3478" s="75" t="inlineStr">
        <is>
          <t>V10013</t>
        </is>
      </c>
      <c r="K3478" s="75" t="inlineStr">
        <is>
          <t>J콜센터</t>
        </is>
      </c>
      <c r="M3478" s="9">
        <f>IF($A3478="","",VALUE($A3478&amp;"")*12+VALUE($B3478&amp;""))</f>
        <v/>
      </c>
      <c r="N3478" s="39">
        <f>IF($A3478="","",IFERROR(INDEX(부서매핑!$C$5:$C$504,MATCH($G3478&amp;"",부서매핑!$A$5:$A$504,0)),"미매핑"))</f>
        <v/>
      </c>
      <c r="O3478" s="9">
        <f>IF($A3478="","",N3478&amp;"|"&amp;$F3478)</f>
        <v/>
      </c>
      <c r="P3478" s="77">
        <f>IF($A3478="",0,$H3478*설정!$C$23)</f>
        <v/>
      </c>
      <c r="Q3478" s="39">
        <f>IF($A3478="","",IF(O3478&lt;&gt;원인분석!$C$9,"",IF(AND(M3478&gt;=원인분석!$C$10,M3478&lt;=원인분석!$C$11),"당기",IF(AND(M3478&gt;=원인분석!$C$12,M3478&lt;=원인분석!$C$13),"비교",""))))</f>
        <v/>
      </c>
      <c r="R3478" s="9">
        <f>IF(Q3478="","",$K3478&amp;"")</f>
        <v/>
      </c>
      <c r="S3478" s="9">
        <f>IF(Q3478="","",IF(MATCH(R3478,$R$5:$R$100000,0)=ROW()-4,ROW(),""))</f>
        <v/>
      </c>
      <c r="T3478" s="9">
        <f>IF(Q3478="당기",ABS(P3478)+ROW()/1000000000,"")</f>
        <v/>
      </c>
      <c r="U3478" s="9">
        <f>IF(Q3478="비교",ABS(P3478)+ROW()/1000000000,"")</f>
        <v/>
      </c>
      <c r="V3478" s="39">
        <f>IF($A3478="","",IF(COUNTIF(변동분석!$E$7:$E$506,O3478)&gt;0,"Y","N"))</f>
        <v/>
      </c>
      <c r="W3478" s="39">
        <f>IF($A3478="","",IFERROR(INDEX(계정매핑!$D$5:$D$504,MATCH($F3478&amp;"",계정매핑!$A$5:$A$504,0)),"미매핑"))</f>
        <v/>
      </c>
      <c r="X3478" s="9">
        <f>IF($A3478="","",$F3478&amp;"")</f>
        <v/>
      </c>
    </row>
    <row r="3479">
      <c r="A3479" s="75" t="n">
        <v>2026</v>
      </c>
      <c r="B3479" s="75" t="n">
        <v>6</v>
      </c>
      <c r="C3479" s="75" t="inlineStr">
        <is>
          <t>5100001135</t>
        </is>
      </c>
      <c r="D3479" s="78" t="n">
        <v>46196</v>
      </c>
      <c r="E3479" s="75" t="inlineStr">
        <is>
          <t>KR</t>
        </is>
      </c>
      <c r="F3479" s="75" t="n">
        <v>62101000</v>
      </c>
      <c r="G3479" s="75" t="n">
        <v>1701</v>
      </c>
      <c r="H3479" s="76" t="n">
        <v>276000</v>
      </c>
      <c r="I3479" s="75" t="inlineStr">
        <is>
          <t>6월 국내출장 - (법인카드)</t>
        </is>
      </c>
      <c r="J3479" s="75" t="inlineStr">
        <is>
          <t>V10008</t>
        </is>
      </c>
      <c r="K3479" s="75" t="inlineStr">
        <is>
          <t>(법인카드)</t>
        </is>
      </c>
      <c r="M3479" s="9">
        <f>IF($A3479="","",VALUE($A3479&amp;"")*12+VALUE($B3479&amp;""))</f>
        <v/>
      </c>
      <c r="N3479" s="39">
        <f>IF($A3479="","",IFERROR(INDEX(부서매핑!$C$5:$C$504,MATCH($G3479&amp;"",부서매핑!$A$5:$A$504,0)),"미매핑"))</f>
        <v/>
      </c>
      <c r="O3479" s="9">
        <f>IF($A3479="","",N3479&amp;"|"&amp;$F3479)</f>
        <v/>
      </c>
      <c r="P3479" s="77">
        <f>IF($A3479="",0,$H3479*설정!$C$23)</f>
        <v/>
      </c>
      <c r="Q3479" s="39">
        <f>IF($A3479="","",IF(O3479&lt;&gt;원인분석!$C$9,"",IF(AND(M3479&gt;=원인분석!$C$10,M3479&lt;=원인분석!$C$11),"당기",IF(AND(M3479&gt;=원인분석!$C$12,M3479&lt;=원인분석!$C$13),"비교",""))))</f>
        <v/>
      </c>
      <c r="R3479" s="9">
        <f>IF(Q3479="","",$K3479&amp;"")</f>
        <v/>
      </c>
      <c r="S3479" s="9">
        <f>IF(Q3479="","",IF(MATCH(R3479,$R$5:$R$100000,0)=ROW()-4,ROW(),""))</f>
        <v/>
      </c>
      <c r="T3479" s="9">
        <f>IF(Q3479="당기",ABS(P3479)+ROW()/1000000000,"")</f>
        <v/>
      </c>
      <c r="U3479" s="9">
        <f>IF(Q3479="비교",ABS(P3479)+ROW()/1000000000,"")</f>
        <v/>
      </c>
      <c r="V3479" s="39">
        <f>IF($A3479="","",IF(COUNTIF(변동분석!$E$7:$E$506,O3479)&gt;0,"Y","N"))</f>
        <v/>
      </c>
      <c r="W3479" s="39">
        <f>IF($A3479="","",IFERROR(INDEX(계정매핑!$D$5:$D$504,MATCH($F3479&amp;"",계정매핑!$A$5:$A$504,0)),"미매핑"))</f>
        <v/>
      </c>
      <c r="X3479" s="9">
        <f>IF($A3479="","",$F3479&amp;"")</f>
        <v/>
      </c>
    </row>
    <row r="3480">
      <c r="A3480" s="75" t="n">
        <v>2026</v>
      </c>
      <c r="B3480" s="75" t="n">
        <v>6</v>
      </c>
      <c r="C3480" s="75" t="inlineStr">
        <is>
          <t>5100001136</t>
        </is>
      </c>
      <c r="D3480" s="78" t="n">
        <v>46196</v>
      </c>
      <c r="E3480" s="75" t="inlineStr">
        <is>
          <t>KR</t>
        </is>
      </c>
      <c r="F3480" s="75" t="n">
        <v>62102000</v>
      </c>
      <c r="G3480" s="75" t="n">
        <v>1501</v>
      </c>
      <c r="H3480" s="76" t="n">
        <v>297000</v>
      </c>
      <c r="I3480" s="75" t="inlineStr">
        <is>
          <t>6월 해외출장 - M항공</t>
        </is>
      </c>
      <c r="J3480" s="75" t="inlineStr">
        <is>
          <t>V10001</t>
        </is>
      </c>
      <c r="K3480" s="75" t="inlineStr">
        <is>
          <t>M항공</t>
        </is>
      </c>
      <c r="M3480" s="9">
        <f>IF($A3480="","",VALUE($A3480&amp;"")*12+VALUE($B3480&amp;""))</f>
        <v/>
      </c>
      <c r="N3480" s="39">
        <f>IF($A3480="","",IFERROR(INDEX(부서매핑!$C$5:$C$504,MATCH($G3480&amp;"",부서매핑!$A$5:$A$504,0)),"미매핑"))</f>
        <v/>
      </c>
      <c r="O3480" s="9">
        <f>IF($A3480="","",N3480&amp;"|"&amp;$F3480)</f>
        <v/>
      </c>
      <c r="P3480" s="77">
        <f>IF($A3480="",0,$H3480*설정!$C$23)</f>
        <v/>
      </c>
      <c r="Q3480" s="39">
        <f>IF($A3480="","",IF(O3480&lt;&gt;원인분석!$C$9,"",IF(AND(M3480&gt;=원인분석!$C$10,M3480&lt;=원인분석!$C$11),"당기",IF(AND(M3480&gt;=원인분석!$C$12,M3480&lt;=원인분석!$C$13),"비교",""))))</f>
        <v/>
      </c>
      <c r="R3480" s="9">
        <f>IF(Q3480="","",$K3480&amp;"")</f>
        <v/>
      </c>
      <c r="S3480" s="9">
        <f>IF(Q3480="","",IF(MATCH(R3480,$R$5:$R$100000,0)=ROW()-4,ROW(),""))</f>
        <v/>
      </c>
      <c r="T3480" s="9">
        <f>IF(Q3480="당기",ABS(P3480)+ROW()/1000000000,"")</f>
        <v/>
      </c>
      <c r="U3480" s="9">
        <f>IF(Q3480="비교",ABS(P3480)+ROW()/1000000000,"")</f>
        <v/>
      </c>
      <c r="V3480" s="39">
        <f>IF($A3480="","",IF(COUNTIF(변동분석!$E$7:$E$506,O3480)&gt;0,"Y","N"))</f>
        <v/>
      </c>
      <c r="W3480" s="39">
        <f>IF($A3480="","",IFERROR(INDEX(계정매핑!$D$5:$D$504,MATCH($F3480&amp;"",계정매핑!$A$5:$A$504,0)),"미매핑"))</f>
        <v/>
      </c>
      <c r="X3480" s="9">
        <f>IF($A3480="","",$F3480&amp;"")</f>
        <v/>
      </c>
    </row>
    <row r="3481">
      <c r="A3481" s="75" t="n">
        <v>2026</v>
      </c>
      <c r="B3481" s="75" t="n">
        <v>6</v>
      </c>
      <c r="C3481" s="75" t="inlineStr">
        <is>
          <t>5100001137</t>
        </is>
      </c>
      <c r="D3481" s="78" t="n">
        <v>46196</v>
      </c>
      <c r="E3481" s="75" t="inlineStr">
        <is>
          <t>KR</t>
        </is>
      </c>
      <c r="F3481" s="75" t="n">
        <v>62201000</v>
      </c>
      <c r="G3481" s="75" t="n">
        <v>1101</v>
      </c>
      <c r="H3481" s="76" t="n">
        <v>254000</v>
      </c>
      <c r="I3481" s="75" t="inlineStr">
        <is>
          <t>6월 통신요금 - P통신</t>
        </is>
      </c>
      <c r="J3481" s="75" t="inlineStr">
        <is>
          <t>V10011</t>
        </is>
      </c>
      <c r="K3481" s="75" t="inlineStr">
        <is>
          <t>P통신</t>
        </is>
      </c>
      <c r="M3481" s="9">
        <f>IF($A3481="","",VALUE($A3481&amp;"")*12+VALUE($B3481&amp;""))</f>
        <v/>
      </c>
      <c r="N3481" s="39">
        <f>IF($A3481="","",IFERROR(INDEX(부서매핑!$C$5:$C$504,MATCH($G3481&amp;"",부서매핑!$A$5:$A$504,0)),"미매핑"))</f>
        <v/>
      </c>
      <c r="O3481" s="9">
        <f>IF($A3481="","",N3481&amp;"|"&amp;$F3481)</f>
        <v/>
      </c>
      <c r="P3481" s="77">
        <f>IF($A3481="",0,$H3481*설정!$C$23)</f>
        <v/>
      </c>
      <c r="Q3481" s="39">
        <f>IF($A3481="","",IF(O3481&lt;&gt;원인분석!$C$9,"",IF(AND(M3481&gt;=원인분석!$C$10,M3481&lt;=원인분석!$C$11),"당기",IF(AND(M3481&gt;=원인분석!$C$12,M3481&lt;=원인분석!$C$13),"비교",""))))</f>
        <v/>
      </c>
      <c r="R3481" s="9">
        <f>IF(Q3481="","",$K3481&amp;"")</f>
        <v/>
      </c>
      <c r="S3481" s="9">
        <f>IF(Q3481="","",IF(MATCH(R3481,$R$5:$R$100000,0)=ROW()-4,ROW(),""))</f>
        <v/>
      </c>
      <c r="T3481" s="9">
        <f>IF(Q3481="당기",ABS(P3481)+ROW()/1000000000,"")</f>
        <v/>
      </c>
      <c r="U3481" s="9">
        <f>IF(Q3481="비교",ABS(P3481)+ROW()/1000000000,"")</f>
        <v/>
      </c>
      <c r="V3481" s="39">
        <f>IF($A3481="","",IF(COUNTIF(변동분석!$E$7:$E$506,O3481)&gt;0,"Y","N"))</f>
        <v/>
      </c>
      <c r="W3481" s="39">
        <f>IF($A3481="","",IFERROR(INDEX(계정매핑!$D$5:$D$504,MATCH($F3481&amp;"",계정매핑!$A$5:$A$504,0)),"미매핑"))</f>
        <v/>
      </c>
      <c r="X3481" s="9">
        <f>IF($A3481="","",$F3481&amp;"")</f>
        <v/>
      </c>
    </row>
    <row r="3482">
      <c r="A3482" s="75" t="n">
        <v>2026</v>
      </c>
      <c r="B3482" s="75" t="n">
        <v>6</v>
      </c>
      <c r="C3482" s="75" t="inlineStr">
        <is>
          <t>5100001138</t>
        </is>
      </c>
      <c r="D3482" s="78" t="n">
        <v>46196</v>
      </c>
      <c r="E3482" s="75" t="inlineStr">
        <is>
          <t>KR</t>
        </is>
      </c>
      <c r="F3482" s="75" t="n">
        <v>62201000</v>
      </c>
      <c r="G3482" s="75" t="n">
        <v>1701</v>
      </c>
      <c r="H3482" s="76" t="n">
        <v>3404000</v>
      </c>
      <c r="I3482" s="75" t="inlineStr">
        <is>
          <t>6월 통신요금 - P통신</t>
        </is>
      </c>
      <c r="J3482" s="75" t="inlineStr">
        <is>
          <t>V10011</t>
        </is>
      </c>
      <c r="K3482" s="75" t="inlineStr">
        <is>
          <t>P통신</t>
        </is>
      </c>
      <c r="M3482" s="9">
        <f>IF($A3482="","",VALUE($A3482&amp;"")*12+VALUE($B3482&amp;""))</f>
        <v/>
      </c>
      <c r="N3482" s="39">
        <f>IF($A3482="","",IFERROR(INDEX(부서매핑!$C$5:$C$504,MATCH($G3482&amp;"",부서매핑!$A$5:$A$504,0)),"미매핑"))</f>
        <v/>
      </c>
      <c r="O3482" s="9">
        <f>IF($A3482="","",N3482&amp;"|"&amp;$F3482)</f>
        <v/>
      </c>
      <c r="P3482" s="77">
        <f>IF($A3482="",0,$H3482*설정!$C$23)</f>
        <v/>
      </c>
      <c r="Q3482" s="39">
        <f>IF($A3482="","",IF(O3482&lt;&gt;원인분석!$C$9,"",IF(AND(M3482&gt;=원인분석!$C$10,M3482&lt;=원인분석!$C$11),"당기",IF(AND(M3482&gt;=원인분석!$C$12,M3482&lt;=원인분석!$C$13),"비교",""))))</f>
        <v/>
      </c>
      <c r="R3482" s="9">
        <f>IF(Q3482="","",$K3482&amp;"")</f>
        <v/>
      </c>
      <c r="S3482" s="9">
        <f>IF(Q3482="","",IF(MATCH(R3482,$R$5:$R$100000,0)=ROW()-4,ROW(),""))</f>
        <v/>
      </c>
      <c r="T3482" s="9">
        <f>IF(Q3482="당기",ABS(P3482)+ROW()/1000000000,"")</f>
        <v/>
      </c>
      <c r="U3482" s="9">
        <f>IF(Q3482="비교",ABS(P3482)+ROW()/1000000000,"")</f>
        <v/>
      </c>
      <c r="V3482" s="39">
        <f>IF($A3482="","",IF(COUNTIF(변동분석!$E$7:$E$506,O3482)&gt;0,"Y","N"))</f>
        <v/>
      </c>
      <c r="W3482" s="39">
        <f>IF($A3482="","",IFERROR(INDEX(계정매핑!$D$5:$D$504,MATCH($F3482&amp;"",계정매핑!$A$5:$A$504,0)),"미매핑"))</f>
        <v/>
      </c>
      <c r="X3482" s="9">
        <f>IF($A3482="","",$F3482&amp;"")</f>
        <v/>
      </c>
    </row>
    <row r="3483">
      <c r="A3483" s="75" t="n">
        <v>2026</v>
      </c>
      <c r="B3483" s="75" t="n">
        <v>6</v>
      </c>
      <c r="C3483" s="75" t="inlineStr">
        <is>
          <t>5100001139</t>
        </is>
      </c>
      <c r="D3483" s="78" t="n">
        <v>46196</v>
      </c>
      <c r="E3483" s="75" t="inlineStr">
        <is>
          <t>KR</t>
        </is>
      </c>
      <c r="F3483" s="75" t="n">
        <v>62301000</v>
      </c>
      <c r="G3483" s="75" t="n">
        <v>1201</v>
      </c>
      <c r="H3483" s="76" t="n">
        <v>225000</v>
      </c>
      <c r="I3483" s="75" t="inlineStr">
        <is>
          <t>6월 소모품 구입 - R문구</t>
        </is>
      </c>
      <c r="J3483" s="75" t="inlineStr">
        <is>
          <t>V10018</t>
        </is>
      </c>
      <c r="K3483" s="75" t="inlineStr">
        <is>
          <t>R문구</t>
        </is>
      </c>
      <c r="M3483" s="9">
        <f>IF($A3483="","",VALUE($A3483&amp;"")*12+VALUE($B3483&amp;""))</f>
        <v/>
      </c>
      <c r="N3483" s="39">
        <f>IF($A3483="","",IFERROR(INDEX(부서매핑!$C$5:$C$504,MATCH($G3483&amp;"",부서매핑!$A$5:$A$504,0)),"미매핑"))</f>
        <v/>
      </c>
      <c r="O3483" s="9">
        <f>IF($A3483="","",N3483&amp;"|"&amp;$F3483)</f>
        <v/>
      </c>
      <c r="P3483" s="77">
        <f>IF($A3483="",0,$H3483*설정!$C$23)</f>
        <v/>
      </c>
      <c r="Q3483" s="39">
        <f>IF($A3483="","",IF(O3483&lt;&gt;원인분석!$C$9,"",IF(AND(M3483&gt;=원인분석!$C$10,M3483&lt;=원인분석!$C$11),"당기",IF(AND(M3483&gt;=원인분석!$C$12,M3483&lt;=원인분석!$C$13),"비교",""))))</f>
        <v/>
      </c>
      <c r="R3483" s="9">
        <f>IF(Q3483="","",$K3483&amp;"")</f>
        <v/>
      </c>
      <c r="S3483" s="9">
        <f>IF(Q3483="","",IF(MATCH(R3483,$R$5:$R$100000,0)=ROW()-4,ROW(),""))</f>
        <v/>
      </c>
      <c r="T3483" s="9">
        <f>IF(Q3483="당기",ABS(P3483)+ROW()/1000000000,"")</f>
        <v/>
      </c>
      <c r="U3483" s="9">
        <f>IF(Q3483="비교",ABS(P3483)+ROW()/1000000000,"")</f>
        <v/>
      </c>
      <c r="V3483" s="39">
        <f>IF($A3483="","",IF(COUNTIF(변동분석!$E$7:$E$506,O3483)&gt;0,"Y","N"))</f>
        <v/>
      </c>
      <c r="W3483" s="39">
        <f>IF($A3483="","",IFERROR(INDEX(계정매핑!$D$5:$D$504,MATCH($F3483&amp;"",계정매핑!$A$5:$A$504,0)),"미매핑"))</f>
        <v/>
      </c>
      <c r="X3483" s="9">
        <f>IF($A3483="","",$F3483&amp;"")</f>
        <v/>
      </c>
    </row>
    <row r="3484">
      <c r="A3484" s="75" t="n">
        <v>2026</v>
      </c>
      <c r="B3484" s="75" t="n">
        <v>6</v>
      </c>
      <c r="C3484" s="75" t="inlineStr">
        <is>
          <t>5100001140</t>
        </is>
      </c>
      <c r="D3484" s="78" t="n">
        <v>46196</v>
      </c>
      <c r="E3484" s="75" t="inlineStr">
        <is>
          <t>KR</t>
        </is>
      </c>
      <c r="F3484" s="75" t="n">
        <v>62301000</v>
      </c>
      <c r="G3484" s="75" t="n">
        <v>1301</v>
      </c>
      <c r="H3484" s="76" t="n">
        <v>179000</v>
      </c>
      <c r="I3484" s="75" t="inlineStr">
        <is>
          <t>6월 소모품 구입 - R문구</t>
        </is>
      </c>
      <c r="J3484" s="75" t="inlineStr">
        <is>
          <t>V10018</t>
        </is>
      </c>
      <c r="K3484" s="75" t="inlineStr">
        <is>
          <t>R문구</t>
        </is>
      </c>
      <c r="M3484" s="9">
        <f>IF($A3484="","",VALUE($A3484&amp;"")*12+VALUE($B3484&amp;""))</f>
        <v/>
      </c>
      <c r="N3484" s="39">
        <f>IF($A3484="","",IFERROR(INDEX(부서매핑!$C$5:$C$504,MATCH($G3484&amp;"",부서매핑!$A$5:$A$504,0)),"미매핑"))</f>
        <v/>
      </c>
      <c r="O3484" s="9">
        <f>IF($A3484="","",N3484&amp;"|"&amp;$F3484)</f>
        <v/>
      </c>
      <c r="P3484" s="77">
        <f>IF($A3484="",0,$H3484*설정!$C$23)</f>
        <v/>
      </c>
      <c r="Q3484" s="39">
        <f>IF($A3484="","",IF(O3484&lt;&gt;원인분석!$C$9,"",IF(AND(M3484&gt;=원인분석!$C$10,M3484&lt;=원인분석!$C$11),"당기",IF(AND(M3484&gt;=원인분석!$C$12,M3484&lt;=원인분석!$C$13),"비교",""))))</f>
        <v/>
      </c>
      <c r="R3484" s="9">
        <f>IF(Q3484="","",$K3484&amp;"")</f>
        <v/>
      </c>
      <c r="S3484" s="9">
        <f>IF(Q3484="","",IF(MATCH(R3484,$R$5:$R$100000,0)=ROW()-4,ROW(),""))</f>
        <v/>
      </c>
      <c r="T3484" s="9">
        <f>IF(Q3484="당기",ABS(P3484)+ROW()/1000000000,"")</f>
        <v/>
      </c>
      <c r="U3484" s="9">
        <f>IF(Q3484="비교",ABS(P3484)+ROW()/1000000000,"")</f>
        <v/>
      </c>
      <c r="V3484" s="39">
        <f>IF($A3484="","",IF(COUNTIF(변동분석!$E$7:$E$506,O3484)&gt;0,"Y","N"))</f>
        <v/>
      </c>
      <c r="W3484" s="39">
        <f>IF($A3484="","",IFERROR(INDEX(계정매핑!$D$5:$D$504,MATCH($F3484&amp;"",계정매핑!$A$5:$A$504,0)),"미매핑"))</f>
        <v/>
      </c>
      <c r="X3484" s="9">
        <f>IF($A3484="","",$F3484&amp;"")</f>
        <v/>
      </c>
    </row>
    <row r="3485">
      <c r="A3485" s="75" t="n">
        <v>2026</v>
      </c>
      <c r="B3485" s="75" t="n">
        <v>6</v>
      </c>
      <c r="C3485" s="75" t="inlineStr">
        <is>
          <t>5100001141</t>
        </is>
      </c>
      <c r="D3485" s="78" t="n">
        <v>46196</v>
      </c>
      <c r="E3485" s="75" t="inlineStr">
        <is>
          <t>KR</t>
        </is>
      </c>
      <c r="F3485" s="75" t="n">
        <v>62401000</v>
      </c>
      <c r="G3485" s="75" t="n">
        <v>1401</v>
      </c>
      <c r="H3485" s="76" t="n">
        <v>287000</v>
      </c>
      <c r="I3485" s="75" t="inlineStr">
        <is>
          <t>6월 인쇄물 제작 - G인쇄</t>
        </is>
      </c>
      <c r="J3485" s="75" t="inlineStr">
        <is>
          <t>V10004</t>
        </is>
      </c>
      <c r="K3485" s="75" t="inlineStr">
        <is>
          <t>G인쇄</t>
        </is>
      </c>
      <c r="M3485" s="9">
        <f>IF($A3485="","",VALUE($A3485&amp;"")*12+VALUE($B3485&amp;""))</f>
        <v/>
      </c>
      <c r="N3485" s="39">
        <f>IF($A3485="","",IFERROR(INDEX(부서매핑!$C$5:$C$504,MATCH($G3485&amp;"",부서매핑!$A$5:$A$504,0)),"미매핑"))</f>
        <v/>
      </c>
      <c r="O3485" s="9">
        <f>IF($A3485="","",N3485&amp;"|"&amp;$F3485)</f>
        <v/>
      </c>
      <c r="P3485" s="77">
        <f>IF($A3485="",0,$H3485*설정!$C$23)</f>
        <v/>
      </c>
      <c r="Q3485" s="39">
        <f>IF($A3485="","",IF(O3485&lt;&gt;원인분석!$C$9,"",IF(AND(M3485&gt;=원인분석!$C$10,M3485&lt;=원인분석!$C$11),"당기",IF(AND(M3485&gt;=원인분석!$C$12,M3485&lt;=원인분석!$C$13),"비교",""))))</f>
        <v/>
      </c>
      <c r="R3485" s="9">
        <f>IF(Q3485="","",$K3485&amp;"")</f>
        <v/>
      </c>
      <c r="S3485" s="9">
        <f>IF(Q3485="","",IF(MATCH(R3485,$R$5:$R$100000,0)=ROW()-4,ROW(),""))</f>
        <v/>
      </c>
      <c r="T3485" s="9">
        <f>IF(Q3485="당기",ABS(P3485)+ROW()/1000000000,"")</f>
        <v/>
      </c>
      <c r="U3485" s="9">
        <f>IF(Q3485="비교",ABS(P3485)+ROW()/1000000000,"")</f>
        <v/>
      </c>
      <c r="V3485" s="39">
        <f>IF($A3485="","",IF(COUNTIF(변동분석!$E$7:$E$506,O3485)&gt;0,"Y","N"))</f>
        <v/>
      </c>
      <c r="W3485" s="39">
        <f>IF($A3485="","",IFERROR(INDEX(계정매핑!$D$5:$D$504,MATCH($F3485&amp;"",계정매핑!$A$5:$A$504,0)),"미매핑"))</f>
        <v/>
      </c>
      <c r="X3485" s="9">
        <f>IF($A3485="","",$F3485&amp;"")</f>
        <v/>
      </c>
    </row>
    <row r="3486">
      <c r="A3486" s="75" t="n">
        <v>2026</v>
      </c>
      <c r="B3486" s="75" t="n">
        <v>6</v>
      </c>
      <c r="C3486" s="75" t="inlineStr">
        <is>
          <t>5100001142</t>
        </is>
      </c>
      <c r="D3486" s="78" t="n">
        <v>46196</v>
      </c>
      <c r="E3486" s="75" t="inlineStr">
        <is>
          <t>KR</t>
        </is>
      </c>
      <c r="F3486" s="75" t="n">
        <v>62401000</v>
      </c>
      <c r="G3486" s="75" t="n">
        <v>1401</v>
      </c>
      <c r="H3486" s="76" t="n">
        <v>364000</v>
      </c>
      <c r="I3486" s="75" t="inlineStr">
        <is>
          <t>6월 인쇄물 제작 - S출판</t>
        </is>
      </c>
      <c r="J3486" s="75" t="inlineStr">
        <is>
          <t>V10012</t>
        </is>
      </c>
      <c r="K3486" s="75" t="inlineStr">
        <is>
          <t>S출판</t>
        </is>
      </c>
      <c r="M3486" s="9">
        <f>IF($A3486="","",VALUE($A3486&amp;"")*12+VALUE($B3486&amp;""))</f>
        <v/>
      </c>
      <c r="N3486" s="39">
        <f>IF($A3486="","",IFERROR(INDEX(부서매핑!$C$5:$C$504,MATCH($G3486&amp;"",부서매핑!$A$5:$A$504,0)),"미매핑"))</f>
        <v/>
      </c>
      <c r="O3486" s="9">
        <f>IF($A3486="","",N3486&amp;"|"&amp;$F3486)</f>
        <v/>
      </c>
      <c r="P3486" s="77">
        <f>IF($A3486="",0,$H3486*설정!$C$23)</f>
        <v/>
      </c>
      <c r="Q3486" s="39">
        <f>IF($A3486="","",IF(O3486&lt;&gt;원인분석!$C$9,"",IF(AND(M3486&gt;=원인분석!$C$10,M3486&lt;=원인분석!$C$11),"당기",IF(AND(M3486&gt;=원인분석!$C$12,M3486&lt;=원인분석!$C$13),"비교",""))))</f>
        <v/>
      </c>
      <c r="R3486" s="9">
        <f>IF(Q3486="","",$K3486&amp;"")</f>
        <v/>
      </c>
      <c r="S3486" s="9">
        <f>IF(Q3486="","",IF(MATCH(R3486,$R$5:$R$100000,0)=ROW()-4,ROW(),""))</f>
        <v/>
      </c>
      <c r="T3486" s="9">
        <f>IF(Q3486="당기",ABS(P3486)+ROW()/1000000000,"")</f>
        <v/>
      </c>
      <c r="U3486" s="9">
        <f>IF(Q3486="비교",ABS(P3486)+ROW()/1000000000,"")</f>
        <v/>
      </c>
      <c r="V3486" s="39">
        <f>IF($A3486="","",IF(COUNTIF(변동분석!$E$7:$E$506,O3486)&gt;0,"Y","N"))</f>
        <v/>
      </c>
      <c r="W3486" s="39">
        <f>IF($A3486="","",IFERROR(INDEX(계정매핑!$D$5:$D$504,MATCH($F3486&amp;"",계정매핑!$A$5:$A$504,0)),"미매핑"))</f>
        <v/>
      </c>
      <c r="X3486" s="9">
        <f>IF($A3486="","",$F3486&amp;"")</f>
        <v/>
      </c>
    </row>
    <row r="3487">
      <c r="A3487" s="75" t="n">
        <v>2026</v>
      </c>
      <c r="B3487" s="75" t="n">
        <v>6</v>
      </c>
      <c r="C3487" s="75" t="inlineStr">
        <is>
          <t>5100001143</t>
        </is>
      </c>
      <c r="D3487" s="78" t="n">
        <v>46196</v>
      </c>
      <c r="E3487" s="75" t="inlineStr">
        <is>
          <t>KR</t>
        </is>
      </c>
      <c r="F3487" s="75" t="n">
        <v>62901000</v>
      </c>
      <c r="G3487" s="75" t="n">
        <v>1101</v>
      </c>
      <c r="H3487" s="76" t="n">
        <v>2568000</v>
      </c>
      <c r="I3487" s="75" t="inlineStr">
        <is>
          <t>6월 자문 수수료 - K회계법인</t>
        </is>
      </c>
      <c r="J3487" s="75" t="inlineStr">
        <is>
          <t>V10010</t>
        </is>
      </c>
      <c r="K3487" s="75" t="inlineStr">
        <is>
          <t>K회계법인</t>
        </is>
      </c>
      <c r="M3487" s="9">
        <f>IF($A3487="","",VALUE($A3487&amp;"")*12+VALUE($B3487&amp;""))</f>
        <v/>
      </c>
      <c r="N3487" s="39">
        <f>IF($A3487="","",IFERROR(INDEX(부서매핑!$C$5:$C$504,MATCH($G3487&amp;"",부서매핑!$A$5:$A$504,0)),"미매핑"))</f>
        <v/>
      </c>
      <c r="O3487" s="9">
        <f>IF($A3487="","",N3487&amp;"|"&amp;$F3487)</f>
        <v/>
      </c>
      <c r="P3487" s="77">
        <f>IF($A3487="",0,$H3487*설정!$C$23)</f>
        <v/>
      </c>
      <c r="Q3487" s="39">
        <f>IF($A3487="","",IF(O3487&lt;&gt;원인분석!$C$9,"",IF(AND(M3487&gt;=원인분석!$C$10,M3487&lt;=원인분석!$C$11),"당기",IF(AND(M3487&gt;=원인분석!$C$12,M3487&lt;=원인분석!$C$13),"비교",""))))</f>
        <v/>
      </c>
      <c r="R3487" s="9">
        <f>IF(Q3487="","",$K3487&amp;"")</f>
        <v/>
      </c>
      <c r="S3487" s="9">
        <f>IF(Q3487="","",IF(MATCH(R3487,$R$5:$R$100000,0)=ROW()-4,ROW(),""))</f>
        <v/>
      </c>
      <c r="T3487" s="9">
        <f>IF(Q3487="당기",ABS(P3487)+ROW()/1000000000,"")</f>
        <v/>
      </c>
      <c r="U3487" s="9">
        <f>IF(Q3487="비교",ABS(P3487)+ROW()/1000000000,"")</f>
        <v/>
      </c>
      <c r="V3487" s="39">
        <f>IF($A3487="","",IF(COUNTIF(변동분석!$E$7:$E$506,O3487)&gt;0,"Y","N"))</f>
        <v/>
      </c>
      <c r="W3487" s="39">
        <f>IF($A3487="","",IFERROR(INDEX(계정매핑!$D$5:$D$504,MATCH($F3487&amp;"",계정매핑!$A$5:$A$504,0)),"미매핑"))</f>
        <v/>
      </c>
      <c r="X3487" s="9">
        <f>IF($A3487="","",$F3487&amp;"")</f>
        <v/>
      </c>
    </row>
    <row r="3488">
      <c r="A3488" s="75" t="n">
        <v>2026</v>
      </c>
      <c r="B3488" s="75" t="n">
        <v>6</v>
      </c>
      <c r="C3488" s="75" t="inlineStr">
        <is>
          <t>5100001144</t>
        </is>
      </c>
      <c r="D3488" s="78" t="n">
        <v>46196</v>
      </c>
      <c r="E3488" s="75" t="inlineStr">
        <is>
          <t>KR</t>
        </is>
      </c>
      <c r="F3488" s="75" t="n">
        <v>62901000</v>
      </c>
      <c r="G3488" s="75" t="n">
        <v>1801</v>
      </c>
      <c r="H3488" s="76" t="n">
        <v>15008000</v>
      </c>
      <c r="I3488" s="75" t="inlineStr">
        <is>
          <t>6월 자문 수수료 - K회계법인</t>
        </is>
      </c>
      <c r="J3488" s="75" t="inlineStr">
        <is>
          <t>V10010</t>
        </is>
      </c>
      <c r="K3488" s="75" t="inlineStr">
        <is>
          <t>K회계법인</t>
        </is>
      </c>
      <c r="M3488" s="9">
        <f>IF($A3488="","",VALUE($A3488&amp;"")*12+VALUE($B3488&amp;""))</f>
        <v/>
      </c>
      <c r="N3488" s="39">
        <f>IF($A3488="","",IFERROR(INDEX(부서매핑!$C$5:$C$504,MATCH($G3488&amp;"",부서매핑!$A$5:$A$504,0)),"미매핑"))</f>
        <v/>
      </c>
      <c r="O3488" s="9">
        <f>IF($A3488="","",N3488&amp;"|"&amp;$F3488)</f>
        <v/>
      </c>
      <c r="P3488" s="77">
        <f>IF($A3488="",0,$H3488*설정!$C$23)</f>
        <v/>
      </c>
      <c r="Q3488" s="39">
        <f>IF($A3488="","",IF(O3488&lt;&gt;원인분석!$C$9,"",IF(AND(M3488&gt;=원인분석!$C$10,M3488&lt;=원인분석!$C$11),"당기",IF(AND(M3488&gt;=원인분석!$C$12,M3488&lt;=원인분석!$C$13),"비교",""))))</f>
        <v/>
      </c>
      <c r="R3488" s="9">
        <f>IF(Q3488="","",$K3488&amp;"")</f>
        <v/>
      </c>
      <c r="S3488" s="9">
        <f>IF(Q3488="","",IF(MATCH(R3488,$R$5:$R$100000,0)=ROW()-4,ROW(),""))</f>
        <v/>
      </c>
      <c r="T3488" s="9">
        <f>IF(Q3488="당기",ABS(P3488)+ROW()/1000000000,"")</f>
        <v/>
      </c>
      <c r="U3488" s="9">
        <f>IF(Q3488="비교",ABS(P3488)+ROW()/1000000000,"")</f>
        <v/>
      </c>
      <c r="V3488" s="39">
        <f>IF($A3488="","",IF(COUNTIF(변동분석!$E$7:$E$506,O3488)&gt;0,"Y","N"))</f>
        <v/>
      </c>
      <c r="W3488" s="39">
        <f>IF($A3488="","",IFERROR(INDEX(계정매핑!$D$5:$D$504,MATCH($F3488&amp;"",계정매핑!$A$5:$A$504,0)),"미매핑"))</f>
        <v/>
      </c>
      <c r="X3488" s="9">
        <f>IF($A3488="","",$F3488&amp;"")</f>
        <v/>
      </c>
    </row>
    <row r="3489">
      <c r="A3489" s="75" t="n">
        <v>2026</v>
      </c>
      <c r="B3489" s="75" t="n">
        <v>6</v>
      </c>
      <c r="C3489" s="75" t="inlineStr">
        <is>
          <t>5100001145</t>
        </is>
      </c>
      <c r="D3489" s="78" t="n">
        <v>46197</v>
      </c>
      <c r="E3489" s="75" t="inlineStr">
        <is>
          <t>KR</t>
        </is>
      </c>
      <c r="F3489" s="75" t="n">
        <v>62101000</v>
      </c>
      <c r="G3489" s="75" t="n">
        <v>1801</v>
      </c>
      <c r="H3489" s="76" t="n">
        <v>148000</v>
      </c>
      <c r="I3489" s="75" t="inlineStr">
        <is>
          <t>6월 국내출장 - (법인카드)</t>
        </is>
      </c>
      <c r="J3489" s="75" t="inlineStr">
        <is>
          <t>V10008</t>
        </is>
      </c>
      <c r="K3489" s="75" t="inlineStr">
        <is>
          <t>(법인카드)</t>
        </is>
      </c>
      <c r="M3489" s="9">
        <f>IF($A3489="","",VALUE($A3489&amp;"")*12+VALUE($B3489&amp;""))</f>
        <v/>
      </c>
      <c r="N3489" s="39">
        <f>IF($A3489="","",IFERROR(INDEX(부서매핑!$C$5:$C$504,MATCH($G3489&amp;"",부서매핑!$A$5:$A$504,0)),"미매핑"))</f>
        <v/>
      </c>
      <c r="O3489" s="9">
        <f>IF($A3489="","",N3489&amp;"|"&amp;$F3489)</f>
        <v/>
      </c>
      <c r="P3489" s="77">
        <f>IF($A3489="",0,$H3489*설정!$C$23)</f>
        <v/>
      </c>
      <c r="Q3489" s="39">
        <f>IF($A3489="","",IF(O3489&lt;&gt;원인분석!$C$9,"",IF(AND(M3489&gt;=원인분석!$C$10,M3489&lt;=원인분석!$C$11),"당기",IF(AND(M3489&gt;=원인분석!$C$12,M3489&lt;=원인분석!$C$13),"비교",""))))</f>
        <v/>
      </c>
      <c r="R3489" s="9">
        <f>IF(Q3489="","",$K3489&amp;"")</f>
        <v/>
      </c>
      <c r="S3489" s="9">
        <f>IF(Q3489="","",IF(MATCH(R3489,$R$5:$R$100000,0)=ROW()-4,ROW(),""))</f>
        <v/>
      </c>
      <c r="T3489" s="9">
        <f>IF(Q3489="당기",ABS(P3489)+ROW()/1000000000,"")</f>
        <v/>
      </c>
      <c r="U3489" s="9">
        <f>IF(Q3489="비교",ABS(P3489)+ROW()/1000000000,"")</f>
        <v/>
      </c>
      <c r="V3489" s="39">
        <f>IF($A3489="","",IF(COUNTIF(변동분석!$E$7:$E$506,O3489)&gt;0,"Y","N"))</f>
        <v/>
      </c>
      <c r="W3489" s="39">
        <f>IF($A3489="","",IFERROR(INDEX(계정매핑!$D$5:$D$504,MATCH($F3489&amp;"",계정매핑!$A$5:$A$504,0)),"미매핑"))</f>
        <v/>
      </c>
      <c r="X3489" s="9">
        <f>IF($A3489="","",$F3489&amp;"")</f>
        <v/>
      </c>
    </row>
    <row r="3490">
      <c r="A3490" s="75" t="n">
        <v>2026</v>
      </c>
      <c r="B3490" s="75" t="n">
        <v>6</v>
      </c>
      <c r="C3490" s="75" t="inlineStr">
        <is>
          <t>5100001146</t>
        </is>
      </c>
      <c r="D3490" s="78" t="n">
        <v>46197</v>
      </c>
      <c r="E3490" s="75" t="inlineStr">
        <is>
          <t>KR</t>
        </is>
      </c>
      <c r="F3490" s="75" t="n">
        <v>62102000</v>
      </c>
      <c r="G3490" s="75" t="n">
        <v>1502</v>
      </c>
      <c r="H3490" s="76" t="n">
        <v>213000</v>
      </c>
      <c r="I3490" s="75" t="inlineStr">
        <is>
          <t>6월 해외출장 - N호텔</t>
        </is>
      </c>
      <c r="J3490" s="75" t="inlineStr">
        <is>
          <t>V10007</t>
        </is>
      </c>
      <c r="K3490" s="75" t="inlineStr">
        <is>
          <t>N호텔</t>
        </is>
      </c>
      <c r="M3490" s="9">
        <f>IF($A3490="","",VALUE($A3490&amp;"")*12+VALUE($B3490&amp;""))</f>
        <v/>
      </c>
      <c r="N3490" s="39">
        <f>IF($A3490="","",IFERROR(INDEX(부서매핑!$C$5:$C$504,MATCH($G3490&amp;"",부서매핑!$A$5:$A$504,0)),"미매핑"))</f>
        <v/>
      </c>
      <c r="O3490" s="9">
        <f>IF($A3490="","",N3490&amp;"|"&amp;$F3490)</f>
        <v/>
      </c>
      <c r="P3490" s="77">
        <f>IF($A3490="",0,$H3490*설정!$C$23)</f>
        <v/>
      </c>
      <c r="Q3490" s="39">
        <f>IF($A3490="","",IF(O3490&lt;&gt;원인분석!$C$9,"",IF(AND(M3490&gt;=원인분석!$C$10,M3490&lt;=원인분석!$C$11),"당기",IF(AND(M3490&gt;=원인분석!$C$12,M3490&lt;=원인분석!$C$13),"비교",""))))</f>
        <v/>
      </c>
      <c r="R3490" s="9">
        <f>IF(Q3490="","",$K3490&amp;"")</f>
        <v/>
      </c>
      <c r="S3490" s="9">
        <f>IF(Q3490="","",IF(MATCH(R3490,$R$5:$R$100000,0)=ROW()-4,ROW(),""))</f>
        <v/>
      </c>
      <c r="T3490" s="9">
        <f>IF(Q3490="당기",ABS(P3490)+ROW()/1000000000,"")</f>
        <v/>
      </c>
      <c r="U3490" s="9">
        <f>IF(Q3490="비교",ABS(P3490)+ROW()/1000000000,"")</f>
        <v/>
      </c>
      <c r="V3490" s="39">
        <f>IF($A3490="","",IF(COUNTIF(변동분석!$E$7:$E$506,O3490)&gt;0,"Y","N"))</f>
        <v/>
      </c>
      <c r="W3490" s="39">
        <f>IF($A3490="","",IFERROR(INDEX(계정매핑!$D$5:$D$504,MATCH($F3490&amp;"",계정매핑!$A$5:$A$504,0)),"미매핑"))</f>
        <v/>
      </c>
      <c r="X3490" s="9">
        <f>IF($A3490="","",$F3490&amp;"")</f>
        <v/>
      </c>
    </row>
    <row r="3491">
      <c r="A3491" s="75" t="n">
        <v>2026</v>
      </c>
      <c r="B3491" s="75" t="n">
        <v>6</v>
      </c>
      <c r="C3491" s="75" t="inlineStr">
        <is>
          <t>5100001147</t>
        </is>
      </c>
      <c r="D3491" s="78" t="n">
        <v>46197</v>
      </c>
      <c r="E3491" s="75" t="inlineStr">
        <is>
          <t>KR</t>
        </is>
      </c>
      <c r="F3491" s="75" t="n">
        <v>62102000</v>
      </c>
      <c r="G3491" s="75" t="n">
        <v>1601</v>
      </c>
      <c r="H3491" s="76" t="n">
        <v>544000</v>
      </c>
      <c r="I3491" s="75" t="inlineStr">
        <is>
          <t>6월 해외출장 - N호텔</t>
        </is>
      </c>
      <c r="J3491" s="75" t="inlineStr">
        <is>
          <t>V10007</t>
        </is>
      </c>
      <c r="K3491" s="75" t="inlineStr">
        <is>
          <t>N호텔</t>
        </is>
      </c>
      <c r="M3491" s="9">
        <f>IF($A3491="","",VALUE($A3491&amp;"")*12+VALUE($B3491&amp;""))</f>
        <v/>
      </c>
      <c r="N3491" s="39">
        <f>IF($A3491="","",IFERROR(INDEX(부서매핑!$C$5:$C$504,MATCH($G3491&amp;"",부서매핑!$A$5:$A$504,0)),"미매핑"))</f>
        <v/>
      </c>
      <c r="O3491" s="9">
        <f>IF($A3491="","",N3491&amp;"|"&amp;$F3491)</f>
        <v/>
      </c>
      <c r="P3491" s="77">
        <f>IF($A3491="",0,$H3491*설정!$C$23)</f>
        <v/>
      </c>
      <c r="Q3491" s="39">
        <f>IF($A3491="","",IF(O3491&lt;&gt;원인분석!$C$9,"",IF(AND(M3491&gt;=원인분석!$C$10,M3491&lt;=원인분석!$C$11),"당기",IF(AND(M3491&gt;=원인분석!$C$12,M3491&lt;=원인분석!$C$13),"비교",""))))</f>
        <v/>
      </c>
      <c r="R3491" s="9">
        <f>IF(Q3491="","",$K3491&amp;"")</f>
        <v/>
      </c>
      <c r="S3491" s="9">
        <f>IF(Q3491="","",IF(MATCH(R3491,$R$5:$R$100000,0)=ROW()-4,ROW(),""))</f>
        <v/>
      </c>
      <c r="T3491" s="9">
        <f>IF(Q3491="당기",ABS(P3491)+ROW()/1000000000,"")</f>
        <v/>
      </c>
      <c r="U3491" s="9">
        <f>IF(Q3491="비교",ABS(P3491)+ROW()/1000000000,"")</f>
        <v/>
      </c>
      <c r="V3491" s="39">
        <f>IF($A3491="","",IF(COUNTIF(변동분석!$E$7:$E$506,O3491)&gt;0,"Y","N"))</f>
        <v/>
      </c>
      <c r="W3491" s="39">
        <f>IF($A3491="","",IFERROR(INDEX(계정매핑!$D$5:$D$504,MATCH($F3491&amp;"",계정매핑!$A$5:$A$504,0)),"미매핑"))</f>
        <v/>
      </c>
      <c r="X3491" s="9">
        <f>IF($A3491="","",$F3491&amp;"")</f>
        <v/>
      </c>
    </row>
    <row r="3492">
      <c r="A3492" s="75" t="n">
        <v>2026</v>
      </c>
      <c r="B3492" s="75" t="n">
        <v>6</v>
      </c>
      <c r="C3492" s="75" t="inlineStr">
        <is>
          <t>5100001148</t>
        </is>
      </c>
      <c r="D3492" s="78" t="n">
        <v>46197</v>
      </c>
      <c r="E3492" s="75" t="inlineStr">
        <is>
          <t>KR</t>
        </is>
      </c>
      <c r="F3492" s="75" t="n">
        <v>62201000</v>
      </c>
      <c r="G3492" s="75" t="n">
        <v>1301</v>
      </c>
      <c r="H3492" s="76" t="n">
        <v>198000</v>
      </c>
      <c r="I3492" s="75" t="inlineStr">
        <is>
          <t>6월 통신요금 - P통신</t>
        </is>
      </c>
      <c r="J3492" s="75" t="inlineStr">
        <is>
          <t>V10011</t>
        </is>
      </c>
      <c r="K3492" s="75" t="inlineStr">
        <is>
          <t>P통신</t>
        </is>
      </c>
      <c r="M3492" s="9">
        <f>IF($A3492="","",VALUE($A3492&amp;"")*12+VALUE($B3492&amp;""))</f>
        <v/>
      </c>
      <c r="N3492" s="39">
        <f>IF($A3492="","",IFERROR(INDEX(부서매핑!$C$5:$C$504,MATCH($G3492&amp;"",부서매핑!$A$5:$A$504,0)),"미매핑"))</f>
        <v/>
      </c>
      <c r="O3492" s="9">
        <f>IF($A3492="","",N3492&amp;"|"&amp;$F3492)</f>
        <v/>
      </c>
      <c r="P3492" s="77">
        <f>IF($A3492="",0,$H3492*설정!$C$23)</f>
        <v/>
      </c>
      <c r="Q3492" s="39">
        <f>IF($A3492="","",IF(O3492&lt;&gt;원인분석!$C$9,"",IF(AND(M3492&gt;=원인분석!$C$10,M3492&lt;=원인분석!$C$11),"당기",IF(AND(M3492&gt;=원인분석!$C$12,M3492&lt;=원인분석!$C$13),"비교",""))))</f>
        <v/>
      </c>
      <c r="R3492" s="9">
        <f>IF(Q3492="","",$K3492&amp;"")</f>
        <v/>
      </c>
      <c r="S3492" s="9">
        <f>IF(Q3492="","",IF(MATCH(R3492,$R$5:$R$100000,0)=ROW()-4,ROW(),""))</f>
        <v/>
      </c>
      <c r="T3492" s="9">
        <f>IF(Q3492="당기",ABS(P3492)+ROW()/1000000000,"")</f>
        <v/>
      </c>
      <c r="U3492" s="9">
        <f>IF(Q3492="비교",ABS(P3492)+ROW()/1000000000,"")</f>
        <v/>
      </c>
      <c r="V3492" s="39">
        <f>IF($A3492="","",IF(COUNTIF(변동분석!$E$7:$E$506,O3492)&gt;0,"Y","N"))</f>
        <v/>
      </c>
      <c r="W3492" s="39">
        <f>IF($A3492="","",IFERROR(INDEX(계정매핑!$D$5:$D$504,MATCH($F3492&amp;"",계정매핑!$A$5:$A$504,0)),"미매핑"))</f>
        <v/>
      </c>
      <c r="X3492" s="9">
        <f>IF($A3492="","",$F3492&amp;"")</f>
        <v/>
      </c>
    </row>
    <row r="3493">
      <c r="A3493" s="75" t="n">
        <v>2026</v>
      </c>
      <c r="B3493" s="75" t="n">
        <v>6</v>
      </c>
      <c r="C3493" s="75" t="inlineStr">
        <is>
          <t>5100001149</t>
        </is>
      </c>
      <c r="D3493" s="78" t="n">
        <v>46197</v>
      </c>
      <c r="E3493" s="75" t="inlineStr">
        <is>
          <t>KR</t>
        </is>
      </c>
      <c r="F3493" s="75" t="n">
        <v>62201000</v>
      </c>
      <c r="G3493" s="75" t="n">
        <v>1701</v>
      </c>
      <c r="H3493" s="76" t="n">
        <v>4057000</v>
      </c>
      <c r="I3493" s="75" t="inlineStr">
        <is>
          <t>6월 통신요금 - P통신</t>
        </is>
      </c>
      <c r="J3493" s="75" t="inlineStr">
        <is>
          <t>V10011</t>
        </is>
      </c>
      <c r="K3493" s="75" t="inlineStr">
        <is>
          <t>P통신</t>
        </is>
      </c>
      <c r="M3493" s="9">
        <f>IF($A3493="","",VALUE($A3493&amp;"")*12+VALUE($B3493&amp;""))</f>
        <v/>
      </c>
      <c r="N3493" s="39">
        <f>IF($A3493="","",IFERROR(INDEX(부서매핑!$C$5:$C$504,MATCH($G3493&amp;"",부서매핑!$A$5:$A$504,0)),"미매핑"))</f>
        <v/>
      </c>
      <c r="O3493" s="9">
        <f>IF($A3493="","",N3493&amp;"|"&amp;$F3493)</f>
        <v/>
      </c>
      <c r="P3493" s="77">
        <f>IF($A3493="",0,$H3493*설정!$C$23)</f>
        <v/>
      </c>
      <c r="Q3493" s="39">
        <f>IF($A3493="","",IF(O3493&lt;&gt;원인분석!$C$9,"",IF(AND(M3493&gt;=원인분석!$C$10,M3493&lt;=원인분석!$C$11),"당기",IF(AND(M3493&gt;=원인분석!$C$12,M3493&lt;=원인분석!$C$13),"비교",""))))</f>
        <v/>
      </c>
      <c r="R3493" s="9">
        <f>IF(Q3493="","",$K3493&amp;"")</f>
        <v/>
      </c>
      <c r="S3493" s="9">
        <f>IF(Q3493="","",IF(MATCH(R3493,$R$5:$R$100000,0)=ROW()-4,ROW(),""))</f>
        <v/>
      </c>
      <c r="T3493" s="9">
        <f>IF(Q3493="당기",ABS(P3493)+ROW()/1000000000,"")</f>
        <v/>
      </c>
      <c r="U3493" s="9">
        <f>IF(Q3493="비교",ABS(P3493)+ROW()/1000000000,"")</f>
        <v/>
      </c>
      <c r="V3493" s="39">
        <f>IF($A3493="","",IF(COUNTIF(변동분석!$E$7:$E$506,O3493)&gt;0,"Y","N"))</f>
        <v/>
      </c>
      <c r="W3493" s="39">
        <f>IF($A3493="","",IFERROR(INDEX(계정매핑!$D$5:$D$504,MATCH($F3493&amp;"",계정매핑!$A$5:$A$504,0)),"미매핑"))</f>
        <v/>
      </c>
      <c r="X3493" s="9">
        <f>IF($A3493="","",$F3493&amp;"")</f>
        <v/>
      </c>
    </row>
    <row r="3494">
      <c r="A3494" s="75" t="n">
        <v>2026</v>
      </c>
      <c r="B3494" s="75" t="n">
        <v>6</v>
      </c>
      <c r="C3494" s="75" t="inlineStr">
        <is>
          <t>5100001150</t>
        </is>
      </c>
      <c r="D3494" s="78" t="n">
        <v>46197</v>
      </c>
      <c r="E3494" s="75" t="inlineStr">
        <is>
          <t>KR</t>
        </is>
      </c>
      <c r="F3494" s="75" t="n">
        <v>62301000</v>
      </c>
      <c r="G3494" s="75" t="n">
        <v>1701</v>
      </c>
      <c r="H3494" s="76" t="n">
        <v>199000</v>
      </c>
      <c r="I3494" s="75" t="inlineStr">
        <is>
          <t>6월 소모품 구입 - R문구</t>
        </is>
      </c>
      <c r="J3494" s="75" t="inlineStr">
        <is>
          <t>V10018</t>
        </is>
      </c>
      <c r="K3494" s="75" t="inlineStr">
        <is>
          <t>R문구</t>
        </is>
      </c>
      <c r="M3494" s="9">
        <f>IF($A3494="","",VALUE($A3494&amp;"")*12+VALUE($B3494&amp;""))</f>
        <v/>
      </c>
      <c r="N3494" s="39">
        <f>IF($A3494="","",IFERROR(INDEX(부서매핑!$C$5:$C$504,MATCH($G3494&amp;"",부서매핑!$A$5:$A$504,0)),"미매핑"))</f>
        <v/>
      </c>
      <c r="O3494" s="9">
        <f>IF($A3494="","",N3494&amp;"|"&amp;$F3494)</f>
        <v/>
      </c>
      <c r="P3494" s="77">
        <f>IF($A3494="",0,$H3494*설정!$C$23)</f>
        <v/>
      </c>
      <c r="Q3494" s="39">
        <f>IF($A3494="","",IF(O3494&lt;&gt;원인분석!$C$9,"",IF(AND(M3494&gt;=원인분석!$C$10,M3494&lt;=원인분석!$C$11),"당기",IF(AND(M3494&gt;=원인분석!$C$12,M3494&lt;=원인분석!$C$13),"비교",""))))</f>
        <v/>
      </c>
      <c r="R3494" s="9">
        <f>IF(Q3494="","",$K3494&amp;"")</f>
        <v/>
      </c>
      <c r="S3494" s="9">
        <f>IF(Q3494="","",IF(MATCH(R3494,$R$5:$R$100000,0)=ROW()-4,ROW(),""))</f>
        <v/>
      </c>
      <c r="T3494" s="9">
        <f>IF(Q3494="당기",ABS(P3494)+ROW()/1000000000,"")</f>
        <v/>
      </c>
      <c r="U3494" s="9">
        <f>IF(Q3494="비교",ABS(P3494)+ROW()/1000000000,"")</f>
        <v/>
      </c>
      <c r="V3494" s="39">
        <f>IF($A3494="","",IF(COUNTIF(변동분석!$E$7:$E$506,O3494)&gt;0,"Y","N"))</f>
        <v/>
      </c>
      <c r="W3494" s="39">
        <f>IF($A3494="","",IFERROR(INDEX(계정매핑!$D$5:$D$504,MATCH($F3494&amp;"",계정매핑!$A$5:$A$504,0)),"미매핑"))</f>
        <v/>
      </c>
      <c r="X3494" s="9">
        <f>IF($A3494="","",$F3494&amp;"")</f>
        <v/>
      </c>
    </row>
    <row r="3495">
      <c r="A3495" s="75" t="n">
        <v>2026</v>
      </c>
      <c r="B3495" s="75" t="n">
        <v>6</v>
      </c>
      <c r="C3495" s="75" t="inlineStr">
        <is>
          <t>5100001151</t>
        </is>
      </c>
      <c r="D3495" s="78" t="n">
        <v>46197</v>
      </c>
      <c r="E3495" s="75" t="inlineStr">
        <is>
          <t>KR</t>
        </is>
      </c>
      <c r="F3495" s="75" t="n">
        <v>62501000</v>
      </c>
      <c r="G3495" s="75" t="n">
        <v>1601</v>
      </c>
      <c r="H3495" s="76" t="n">
        <v>470000</v>
      </c>
      <c r="I3495" s="75" t="inlineStr">
        <is>
          <t>6월 회의 다과 - T케이터링</t>
        </is>
      </c>
      <c r="J3495" s="75" t="inlineStr">
        <is>
          <t>V10005</t>
        </is>
      </c>
      <c r="K3495" s="75" t="inlineStr">
        <is>
          <t>T케이터링</t>
        </is>
      </c>
      <c r="M3495" s="9">
        <f>IF($A3495="","",VALUE($A3495&amp;"")*12+VALUE($B3495&amp;""))</f>
        <v/>
      </c>
      <c r="N3495" s="39">
        <f>IF($A3495="","",IFERROR(INDEX(부서매핑!$C$5:$C$504,MATCH($G3495&amp;"",부서매핑!$A$5:$A$504,0)),"미매핑"))</f>
        <v/>
      </c>
      <c r="O3495" s="9">
        <f>IF($A3495="","",N3495&amp;"|"&amp;$F3495)</f>
        <v/>
      </c>
      <c r="P3495" s="77">
        <f>IF($A3495="",0,$H3495*설정!$C$23)</f>
        <v/>
      </c>
      <c r="Q3495" s="39">
        <f>IF($A3495="","",IF(O3495&lt;&gt;원인분석!$C$9,"",IF(AND(M3495&gt;=원인분석!$C$10,M3495&lt;=원인분석!$C$11),"당기",IF(AND(M3495&gt;=원인분석!$C$12,M3495&lt;=원인분석!$C$13),"비교",""))))</f>
        <v/>
      </c>
      <c r="R3495" s="9">
        <f>IF(Q3495="","",$K3495&amp;"")</f>
        <v/>
      </c>
      <c r="S3495" s="9">
        <f>IF(Q3495="","",IF(MATCH(R3495,$R$5:$R$100000,0)=ROW()-4,ROW(),""))</f>
        <v/>
      </c>
      <c r="T3495" s="9">
        <f>IF(Q3495="당기",ABS(P3495)+ROW()/1000000000,"")</f>
        <v/>
      </c>
      <c r="U3495" s="9">
        <f>IF(Q3495="비교",ABS(P3495)+ROW()/1000000000,"")</f>
        <v/>
      </c>
      <c r="V3495" s="39">
        <f>IF($A3495="","",IF(COUNTIF(변동분석!$E$7:$E$506,O3495)&gt;0,"Y","N"))</f>
        <v/>
      </c>
      <c r="W3495" s="39">
        <f>IF($A3495="","",IFERROR(INDEX(계정매핑!$D$5:$D$504,MATCH($F3495&amp;"",계정매핑!$A$5:$A$504,0)),"미매핑"))</f>
        <v/>
      </c>
      <c r="X3495" s="9">
        <f>IF($A3495="","",$F3495&amp;"")</f>
        <v/>
      </c>
    </row>
    <row r="3496">
      <c r="A3496" s="75" t="n">
        <v>2026</v>
      </c>
      <c r="B3496" s="75" t="n">
        <v>6</v>
      </c>
      <c r="C3496" s="75" t="inlineStr">
        <is>
          <t>5100001152</t>
        </is>
      </c>
      <c r="D3496" s="78" t="n">
        <v>46197</v>
      </c>
      <c r="E3496" s="75" t="inlineStr">
        <is>
          <t>KR</t>
        </is>
      </c>
      <c r="F3496" s="75" t="n">
        <v>62501000</v>
      </c>
      <c r="G3496" s="75" t="n">
        <v>1801</v>
      </c>
      <c r="H3496" s="76" t="n">
        <v>188000</v>
      </c>
      <c r="I3496" s="75" t="inlineStr">
        <is>
          <t>6월 회의 다과 - T케이터링</t>
        </is>
      </c>
      <c r="J3496" s="75" t="inlineStr">
        <is>
          <t>V10005</t>
        </is>
      </c>
      <c r="K3496" s="75" t="inlineStr">
        <is>
          <t>T케이터링</t>
        </is>
      </c>
      <c r="M3496" s="9">
        <f>IF($A3496="","",VALUE($A3496&amp;"")*12+VALUE($B3496&amp;""))</f>
        <v/>
      </c>
      <c r="N3496" s="39">
        <f>IF($A3496="","",IFERROR(INDEX(부서매핑!$C$5:$C$504,MATCH($G3496&amp;"",부서매핑!$A$5:$A$504,0)),"미매핑"))</f>
        <v/>
      </c>
      <c r="O3496" s="9">
        <f>IF($A3496="","",N3496&amp;"|"&amp;$F3496)</f>
        <v/>
      </c>
      <c r="P3496" s="77">
        <f>IF($A3496="",0,$H3496*설정!$C$23)</f>
        <v/>
      </c>
      <c r="Q3496" s="39">
        <f>IF($A3496="","",IF(O3496&lt;&gt;원인분석!$C$9,"",IF(AND(M3496&gt;=원인분석!$C$10,M3496&lt;=원인분석!$C$11),"당기",IF(AND(M3496&gt;=원인분석!$C$12,M3496&lt;=원인분석!$C$13),"비교",""))))</f>
        <v/>
      </c>
      <c r="R3496" s="9">
        <f>IF(Q3496="","",$K3496&amp;"")</f>
        <v/>
      </c>
      <c r="S3496" s="9">
        <f>IF(Q3496="","",IF(MATCH(R3496,$R$5:$R$100000,0)=ROW()-4,ROW(),""))</f>
        <v/>
      </c>
      <c r="T3496" s="9">
        <f>IF(Q3496="당기",ABS(P3496)+ROW()/1000000000,"")</f>
        <v/>
      </c>
      <c r="U3496" s="9">
        <f>IF(Q3496="비교",ABS(P3496)+ROW()/1000000000,"")</f>
        <v/>
      </c>
      <c r="V3496" s="39">
        <f>IF($A3496="","",IF(COUNTIF(변동분석!$E$7:$E$506,O3496)&gt;0,"Y","N"))</f>
        <v/>
      </c>
      <c r="W3496" s="39">
        <f>IF($A3496="","",IFERROR(INDEX(계정매핑!$D$5:$D$504,MATCH($F3496&amp;"",계정매핑!$A$5:$A$504,0)),"미매핑"))</f>
        <v/>
      </c>
      <c r="X3496" s="9">
        <f>IF($A3496="","",$F3496&amp;"")</f>
        <v/>
      </c>
    </row>
    <row r="3497">
      <c r="A3497" s="75" t="n">
        <v>2026</v>
      </c>
      <c r="B3497" s="75" t="n">
        <v>6</v>
      </c>
      <c r="C3497" s="75" t="inlineStr">
        <is>
          <t>5100001153</t>
        </is>
      </c>
      <c r="D3497" s="78" t="n">
        <v>46197</v>
      </c>
      <c r="E3497" s="75" t="inlineStr">
        <is>
          <t>KR</t>
        </is>
      </c>
      <c r="F3497" s="75" t="n">
        <v>62801000</v>
      </c>
      <c r="G3497" s="75" t="n">
        <v>1301</v>
      </c>
      <c r="H3497" s="76" t="n">
        <v>2666000</v>
      </c>
      <c r="I3497" s="75" t="inlineStr">
        <is>
          <t>6월 사내교육 - (사내강사료)</t>
        </is>
      </c>
      <c r="J3497" s="75" t="inlineStr">
        <is>
          <t>V10020</t>
        </is>
      </c>
      <c r="K3497" s="75" t="inlineStr">
        <is>
          <t>(사내강사료)</t>
        </is>
      </c>
      <c r="M3497" s="9">
        <f>IF($A3497="","",VALUE($A3497&amp;"")*12+VALUE($B3497&amp;""))</f>
        <v/>
      </c>
      <c r="N3497" s="39">
        <f>IF($A3497="","",IFERROR(INDEX(부서매핑!$C$5:$C$504,MATCH($G3497&amp;"",부서매핑!$A$5:$A$504,0)),"미매핑"))</f>
        <v/>
      </c>
      <c r="O3497" s="9">
        <f>IF($A3497="","",N3497&amp;"|"&amp;$F3497)</f>
        <v/>
      </c>
      <c r="P3497" s="77">
        <f>IF($A3497="",0,$H3497*설정!$C$23)</f>
        <v/>
      </c>
      <c r="Q3497" s="39">
        <f>IF($A3497="","",IF(O3497&lt;&gt;원인분석!$C$9,"",IF(AND(M3497&gt;=원인분석!$C$10,M3497&lt;=원인분석!$C$11),"당기",IF(AND(M3497&gt;=원인분석!$C$12,M3497&lt;=원인분석!$C$13),"비교",""))))</f>
        <v/>
      </c>
      <c r="R3497" s="9">
        <f>IF(Q3497="","",$K3497&amp;"")</f>
        <v/>
      </c>
      <c r="S3497" s="9">
        <f>IF(Q3497="","",IF(MATCH(R3497,$R$5:$R$100000,0)=ROW()-4,ROW(),""))</f>
        <v/>
      </c>
      <c r="T3497" s="9">
        <f>IF(Q3497="당기",ABS(P3497)+ROW()/1000000000,"")</f>
        <v/>
      </c>
      <c r="U3497" s="9">
        <f>IF(Q3497="비교",ABS(P3497)+ROW()/1000000000,"")</f>
        <v/>
      </c>
      <c r="V3497" s="39">
        <f>IF($A3497="","",IF(COUNTIF(변동분석!$E$7:$E$506,O3497)&gt;0,"Y","N"))</f>
        <v/>
      </c>
      <c r="W3497" s="39">
        <f>IF($A3497="","",IFERROR(INDEX(계정매핑!$D$5:$D$504,MATCH($F3497&amp;"",계정매핑!$A$5:$A$504,0)),"미매핑"))</f>
        <v/>
      </c>
      <c r="X3497" s="9">
        <f>IF($A3497="","",$F3497&amp;"")</f>
        <v/>
      </c>
    </row>
    <row r="3498">
      <c r="A3498" s="75" t="n">
        <v>2026</v>
      </c>
      <c r="B3498" s="75" t="n">
        <v>6</v>
      </c>
      <c r="C3498" s="75" t="inlineStr">
        <is>
          <t>5100001154</t>
        </is>
      </c>
      <c r="D3498" s="78" t="n">
        <v>46197</v>
      </c>
      <c r="E3498" s="75" t="inlineStr">
        <is>
          <t>KR</t>
        </is>
      </c>
      <c r="F3498" s="75" t="n">
        <v>62901000</v>
      </c>
      <c r="G3498" s="75" t="n">
        <v>1201</v>
      </c>
      <c r="H3498" s="76" t="n">
        <v>2709000</v>
      </c>
      <c r="I3498" s="75" t="inlineStr">
        <is>
          <t>6월 자문 수수료 - K회계법인</t>
        </is>
      </c>
      <c r="J3498" s="75" t="inlineStr">
        <is>
          <t>V10010</t>
        </is>
      </c>
      <c r="K3498" s="75" t="inlineStr">
        <is>
          <t>K회계법인</t>
        </is>
      </c>
      <c r="M3498" s="9">
        <f>IF($A3498="","",VALUE($A3498&amp;"")*12+VALUE($B3498&amp;""))</f>
        <v/>
      </c>
      <c r="N3498" s="39">
        <f>IF($A3498="","",IFERROR(INDEX(부서매핑!$C$5:$C$504,MATCH($G3498&amp;"",부서매핑!$A$5:$A$504,0)),"미매핑"))</f>
        <v/>
      </c>
      <c r="O3498" s="9">
        <f>IF($A3498="","",N3498&amp;"|"&amp;$F3498)</f>
        <v/>
      </c>
      <c r="P3498" s="77">
        <f>IF($A3498="",0,$H3498*설정!$C$23)</f>
        <v/>
      </c>
      <c r="Q3498" s="39">
        <f>IF($A3498="","",IF(O3498&lt;&gt;원인분석!$C$9,"",IF(AND(M3498&gt;=원인분석!$C$10,M3498&lt;=원인분석!$C$11),"당기",IF(AND(M3498&gt;=원인분석!$C$12,M3498&lt;=원인분석!$C$13),"비교",""))))</f>
        <v/>
      </c>
      <c r="R3498" s="9">
        <f>IF(Q3498="","",$K3498&amp;"")</f>
        <v/>
      </c>
      <c r="S3498" s="9">
        <f>IF(Q3498="","",IF(MATCH(R3498,$R$5:$R$100000,0)=ROW()-4,ROW(),""))</f>
        <v/>
      </c>
      <c r="T3498" s="9">
        <f>IF(Q3498="당기",ABS(P3498)+ROW()/1000000000,"")</f>
        <v/>
      </c>
      <c r="U3498" s="9">
        <f>IF(Q3498="비교",ABS(P3498)+ROW()/1000000000,"")</f>
        <v/>
      </c>
      <c r="V3498" s="39">
        <f>IF($A3498="","",IF(COUNTIF(변동분석!$E$7:$E$506,O3498)&gt;0,"Y","N"))</f>
        <v/>
      </c>
      <c r="W3498" s="39">
        <f>IF($A3498="","",IFERROR(INDEX(계정매핑!$D$5:$D$504,MATCH($F3498&amp;"",계정매핑!$A$5:$A$504,0)),"미매핑"))</f>
        <v/>
      </c>
      <c r="X3498" s="9">
        <f>IF($A3498="","",$F3498&amp;"")</f>
        <v/>
      </c>
    </row>
    <row r="3499">
      <c r="A3499" s="75" t="n">
        <v>2026</v>
      </c>
      <c r="B3499" s="75" t="n">
        <v>6</v>
      </c>
      <c r="C3499" s="75" t="inlineStr">
        <is>
          <t>5100001155</t>
        </is>
      </c>
      <c r="D3499" s="78" t="n">
        <v>46197</v>
      </c>
      <c r="E3499" s="75" t="inlineStr">
        <is>
          <t>KR</t>
        </is>
      </c>
      <c r="F3499" s="75" t="n">
        <v>63001000</v>
      </c>
      <c r="G3499" s="75" t="n">
        <v>1701</v>
      </c>
      <c r="H3499" s="76" t="n">
        <v>37735000</v>
      </c>
      <c r="I3499" s="75" t="inlineStr">
        <is>
          <t>6월 SW 유지보수 - Y소프트</t>
        </is>
      </c>
      <c r="J3499" s="75" t="inlineStr">
        <is>
          <t>V10017</t>
        </is>
      </c>
      <c r="K3499" s="75" t="inlineStr">
        <is>
          <t>Y소프트</t>
        </is>
      </c>
      <c r="M3499" s="9">
        <f>IF($A3499="","",VALUE($A3499&amp;"")*12+VALUE($B3499&amp;""))</f>
        <v/>
      </c>
      <c r="N3499" s="39">
        <f>IF($A3499="","",IFERROR(INDEX(부서매핑!$C$5:$C$504,MATCH($G3499&amp;"",부서매핑!$A$5:$A$504,0)),"미매핑"))</f>
        <v/>
      </c>
      <c r="O3499" s="9">
        <f>IF($A3499="","",N3499&amp;"|"&amp;$F3499)</f>
        <v/>
      </c>
      <c r="P3499" s="77">
        <f>IF($A3499="",0,$H3499*설정!$C$23)</f>
        <v/>
      </c>
      <c r="Q3499" s="39">
        <f>IF($A3499="","",IF(O3499&lt;&gt;원인분석!$C$9,"",IF(AND(M3499&gt;=원인분석!$C$10,M3499&lt;=원인분석!$C$11),"당기",IF(AND(M3499&gt;=원인분석!$C$12,M3499&lt;=원인분석!$C$13),"비교",""))))</f>
        <v/>
      </c>
      <c r="R3499" s="9">
        <f>IF(Q3499="","",$K3499&amp;"")</f>
        <v/>
      </c>
      <c r="S3499" s="9">
        <f>IF(Q3499="","",IF(MATCH(R3499,$R$5:$R$100000,0)=ROW()-4,ROW(),""))</f>
        <v/>
      </c>
      <c r="T3499" s="9">
        <f>IF(Q3499="당기",ABS(P3499)+ROW()/1000000000,"")</f>
        <v/>
      </c>
      <c r="U3499" s="9">
        <f>IF(Q3499="비교",ABS(P3499)+ROW()/1000000000,"")</f>
        <v/>
      </c>
      <c r="V3499" s="39">
        <f>IF($A3499="","",IF(COUNTIF(변동분석!$E$7:$E$506,O3499)&gt;0,"Y","N"))</f>
        <v/>
      </c>
      <c r="W3499" s="39">
        <f>IF($A3499="","",IFERROR(INDEX(계정매핑!$D$5:$D$504,MATCH($F3499&amp;"",계정매핑!$A$5:$A$504,0)),"미매핑"))</f>
        <v/>
      </c>
      <c r="X3499" s="9">
        <f>IF($A3499="","",$F3499&amp;"")</f>
        <v/>
      </c>
    </row>
    <row r="3500">
      <c r="A3500" s="75" t="n">
        <v>2026</v>
      </c>
      <c r="B3500" s="75" t="n">
        <v>6</v>
      </c>
      <c r="C3500" s="75" t="inlineStr">
        <is>
          <t>5100001156</t>
        </is>
      </c>
      <c r="D3500" s="78" t="n">
        <v>46197</v>
      </c>
      <c r="E3500" s="75" t="inlineStr">
        <is>
          <t>KR</t>
        </is>
      </c>
      <c r="F3500" s="75" t="n">
        <v>63201000</v>
      </c>
      <c r="G3500" s="75" t="n">
        <v>1601</v>
      </c>
      <c r="H3500" s="76" t="n">
        <v>2064000</v>
      </c>
      <c r="I3500" s="75" t="inlineStr">
        <is>
          <t>6월 차량 유지 - H에너지</t>
        </is>
      </c>
      <c r="J3500" s="75" t="inlineStr">
        <is>
          <t>V10025</t>
        </is>
      </c>
      <c r="K3500" s="75" t="inlineStr">
        <is>
          <t>H에너지</t>
        </is>
      </c>
      <c r="M3500" s="9">
        <f>IF($A3500="","",VALUE($A3500&amp;"")*12+VALUE($B3500&amp;""))</f>
        <v/>
      </c>
      <c r="N3500" s="39">
        <f>IF($A3500="","",IFERROR(INDEX(부서매핑!$C$5:$C$504,MATCH($G3500&amp;"",부서매핑!$A$5:$A$504,0)),"미매핑"))</f>
        <v/>
      </c>
      <c r="O3500" s="9">
        <f>IF($A3500="","",N3500&amp;"|"&amp;$F3500)</f>
        <v/>
      </c>
      <c r="P3500" s="77">
        <f>IF($A3500="",0,$H3500*설정!$C$23)</f>
        <v/>
      </c>
      <c r="Q3500" s="39">
        <f>IF($A3500="","",IF(O3500&lt;&gt;원인분석!$C$9,"",IF(AND(M3500&gt;=원인분석!$C$10,M3500&lt;=원인분석!$C$11),"당기",IF(AND(M3500&gt;=원인분석!$C$12,M3500&lt;=원인분석!$C$13),"비교",""))))</f>
        <v/>
      </c>
      <c r="R3500" s="9">
        <f>IF(Q3500="","",$K3500&amp;"")</f>
        <v/>
      </c>
      <c r="S3500" s="9">
        <f>IF(Q3500="","",IF(MATCH(R3500,$R$5:$R$100000,0)=ROW()-4,ROW(),""))</f>
        <v/>
      </c>
      <c r="T3500" s="9">
        <f>IF(Q3500="당기",ABS(P3500)+ROW()/1000000000,"")</f>
        <v/>
      </c>
      <c r="U3500" s="9">
        <f>IF(Q3500="비교",ABS(P3500)+ROW()/1000000000,"")</f>
        <v/>
      </c>
      <c r="V3500" s="39">
        <f>IF($A3500="","",IF(COUNTIF(변동분석!$E$7:$E$506,O3500)&gt;0,"Y","N"))</f>
        <v/>
      </c>
      <c r="W3500" s="39">
        <f>IF($A3500="","",IFERROR(INDEX(계정매핑!$D$5:$D$504,MATCH($F3500&amp;"",계정매핑!$A$5:$A$504,0)),"미매핑"))</f>
        <v/>
      </c>
      <c r="X3500" s="9">
        <f>IF($A3500="","",$F3500&amp;"")</f>
        <v/>
      </c>
    </row>
    <row r="3501">
      <c r="A3501" s="75" t="n">
        <v>2026</v>
      </c>
      <c r="B3501" s="75" t="n">
        <v>6</v>
      </c>
      <c r="C3501" s="75" t="inlineStr">
        <is>
          <t>5100001157</t>
        </is>
      </c>
      <c r="D3501" s="78" t="n">
        <v>46198</v>
      </c>
      <c r="E3501" s="75" t="inlineStr">
        <is>
          <t>KR</t>
        </is>
      </c>
      <c r="F3501" s="75" t="n">
        <v>62101000</v>
      </c>
      <c r="G3501" s="75" t="n">
        <v>1801</v>
      </c>
      <c r="H3501" s="76" t="n">
        <v>189000</v>
      </c>
      <c r="I3501" s="75" t="inlineStr">
        <is>
          <t>6월 국내출장 - M항공</t>
        </is>
      </c>
      <c r="J3501" s="75" t="inlineStr">
        <is>
          <t>V10001</t>
        </is>
      </c>
      <c r="K3501" s="75" t="inlineStr">
        <is>
          <t>M항공</t>
        </is>
      </c>
      <c r="M3501" s="9">
        <f>IF($A3501="","",VALUE($A3501&amp;"")*12+VALUE($B3501&amp;""))</f>
        <v/>
      </c>
      <c r="N3501" s="39">
        <f>IF($A3501="","",IFERROR(INDEX(부서매핑!$C$5:$C$504,MATCH($G3501&amp;"",부서매핑!$A$5:$A$504,0)),"미매핑"))</f>
        <v/>
      </c>
      <c r="O3501" s="9">
        <f>IF($A3501="","",N3501&amp;"|"&amp;$F3501)</f>
        <v/>
      </c>
      <c r="P3501" s="77">
        <f>IF($A3501="",0,$H3501*설정!$C$23)</f>
        <v/>
      </c>
      <c r="Q3501" s="39">
        <f>IF($A3501="","",IF(O3501&lt;&gt;원인분석!$C$9,"",IF(AND(M3501&gt;=원인분석!$C$10,M3501&lt;=원인분석!$C$11),"당기",IF(AND(M3501&gt;=원인분석!$C$12,M3501&lt;=원인분석!$C$13),"비교",""))))</f>
        <v/>
      </c>
      <c r="R3501" s="9">
        <f>IF(Q3501="","",$K3501&amp;"")</f>
        <v/>
      </c>
      <c r="S3501" s="9">
        <f>IF(Q3501="","",IF(MATCH(R3501,$R$5:$R$100000,0)=ROW()-4,ROW(),""))</f>
        <v/>
      </c>
      <c r="T3501" s="9">
        <f>IF(Q3501="당기",ABS(P3501)+ROW()/1000000000,"")</f>
        <v/>
      </c>
      <c r="U3501" s="9">
        <f>IF(Q3501="비교",ABS(P3501)+ROW()/1000000000,"")</f>
        <v/>
      </c>
      <c r="V3501" s="39">
        <f>IF($A3501="","",IF(COUNTIF(변동분석!$E$7:$E$506,O3501)&gt;0,"Y","N"))</f>
        <v/>
      </c>
      <c r="W3501" s="39">
        <f>IF($A3501="","",IFERROR(INDEX(계정매핑!$D$5:$D$504,MATCH($F3501&amp;"",계정매핑!$A$5:$A$504,0)),"미매핑"))</f>
        <v/>
      </c>
      <c r="X3501" s="9">
        <f>IF($A3501="","",$F3501&amp;"")</f>
        <v/>
      </c>
    </row>
    <row r="3502">
      <c r="A3502" s="75" t="n">
        <v>2026</v>
      </c>
      <c r="B3502" s="75" t="n">
        <v>6</v>
      </c>
      <c r="C3502" s="75" t="inlineStr">
        <is>
          <t>5100001158</t>
        </is>
      </c>
      <c r="D3502" s="78" t="n">
        <v>46198</v>
      </c>
      <c r="E3502" s="75" t="inlineStr">
        <is>
          <t>KR</t>
        </is>
      </c>
      <c r="F3502" s="75" t="n">
        <v>62301000</v>
      </c>
      <c r="G3502" s="75" t="n">
        <v>1101</v>
      </c>
      <c r="H3502" s="76" t="n">
        <v>132000</v>
      </c>
      <c r="I3502" s="75" t="inlineStr">
        <is>
          <t>6월 소모품 구입 - Q오피스</t>
        </is>
      </c>
      <c r="J3502" s="75" t="inlineStr">
        <is>
          <t>V10003</t>
        </is>
      </c>
      <c r="K3502" s="75" t="inlineStr">
        <is>
          <t>Q오피스</t>
        </is>
      </c>
      <c r="M3502" s="9">
        <f>IF($A3502="","",VALUE($A3502&amp;"")*12+VALUE($B3502&amp;""))</f>
        <v/>
      </c>
      <c r="N3502" s="39">
        <f>IF($A3502="","",IFERROR(INDEX(부서매핑!$C$5:$C$504,MATCH($G3502&amp;"",부서매핑!$A$5:$A$504,0)),"미매핑"))</f>
        <v/>
      </c>
      <c r="O3502" s="9">
        <f>IF($A3502="","",N3502&amp;"|"&amp;$F3502)</f>
        <v/>
      </c>
      <c r="P3502" s="77">
        <f>IF($A3502="",0,$H3502*설정!$C$23)</f>
        <v/>
      </c>
      <c r="Q3502" s="39">
        <f>IF($A3502="","",IF(O3502&lt;&gt;원인분석!$C$9,"",IF(AND(M3502&gt;=원인분석!$C$10,M3502&lt;=원인분석!$C$11),"당기",IF(AND(M3502&gt;=원인분석!$C$12,M3502&lt;=원인분석!$C$13),"비교",""))))</f>
        <v/>
      </c>
      <c r="R3502" s="9">
        <f>IF(Q3502="","",$K3502&amp;"")</f>
        <v/>
      </c>
      <c r="S3502" s="9">
        <f>IF(Q3502="","",IF(MATCH(R3502,$R$5:$R$100000,0)=ROW()-4,ROW(),""))</f>
        <v/>
      </c>
      <c r="T3502" s="9">
        <f>IF(Q3502="당기",ABS(P3502)+ROW()/1000000000,"")</f>
        <v/>
      </c>
      <c r="U3502" s="9">
        <f>IF(Q3502="비교",ABS(P3502)+ROW()/1000000000,"")</f>
        <v/>
      </c>
      <c r="V3502" s="39">
        <f>IF($A3502="","",IF(COUNTIF(변동분석!$E$7:$E$506,O3502)&gt;0,"Y","N"))</f>
        <v/>
      </c>
      <c r="W3502" s="39">
        <f>IF($A3502="","",IFERROR(INDEX(계정매핑!$D$5:$D$504,MATCH($F3502&amp;"",계정매핑!$A$5:$A$504,0)),"미매핑"))</f>
        <v/>
      </c>
      <c r="X3502" s="9">
        <f>IF($A3502="","",$F3502&amp;"")</f>
        <v/>
      </c>
    </row>
    <row r="3503">
      <c r="A3503" s="75" t="n">
        <v>2026</v>
      </c>
      <c r="B3503" s="75" t="n">
        <v>6</v>
      </c>
      <c r="C3503" s="75" t="inlineStr">
        <is>
          <t>5100001159</t>
        </is>
      </c>
      <c r="D3503" s="78" t="n">
        <v>46198</v>
      </c>
      <c r="E3503" s="75" t="inlineStr">
        <is>
          <t>KR</t>
        </is>
      </c>
      <c r="F3503" s="75" t="n">
        <v>62401000</v>
      </c>
      <c r="G3503" s="75" t="n">
        <v>1502</v>
      </c>
      <c r="H3503" s="76" t="n">
        <v>1811000</v>
      </c>
      <c r="I3503" s="75" t="inlineStr">
        <is>
          <t>6월 인쇄물 제작 - G인쇄</t>
        </is>
      </c>
      <c r="J3503" s="75" t="inlineStr">
        <is>
          <t>V10004</t>
        </is>
      </c>
      <c r="K3503" s="75" t="inlineStr">
        <is>
          <t>G인쇄</t>
        </is>
      </c>
      <c r="M3503" s="9">
        <f>IF($A3503="","",VALUE($A3503&amp;"")*12+VALUE($B3503&amp;""))</f>
        <v/>
      </c>
      <c r="N3503" s="39">
        <f>IF($A3503="","",IFERROR(INDEX(부서매핑!$C$5:$C$504,MATCH($G3503&amp;"",부서매핑!$A$5:$A$504,0)),"미매핑"))</f>
        <v/>
      </c>
      <c r="O3503" s="9">
        <f>IF($A3503="","",N3503&amp;"|"&amp;$F3503)</f>
        <v/>
      </c>
      <c r="P3503" s="77">
        <f>IF($A3503="",0,$H3503*설정!$C$23)</f>
        <v/>
      </c>
      <c r="Q3503" s="39">
        <f>IF($A3503="","",IF(O3503&lt;&gt;원인분석!$C$9,"",IF(AND(M3503&gt;=원인분석!$C$10,M3503&lt;=원인분석!$C$11),"당기",IF(AND(M3503&gt;=원인분석!$C$12,M3503&lt;=원인분석!$C$13),"비교",""))))</f>
        <v/>
      </c>
      <c r="R3503" s="9">
        <f>IF(Q3503="","",$K3503&amp;"")</f>
        <v/>
      </c>
      <c r="S3503" s="9">
        <f>IF(Q3503="","",IF(MATCH(R3503,$R$5:$R$100000,0)=ROW()-4,ROW(),""))</f>
        <v/>
      </c>
      <c r="T3503" s="9">
        <f>IF(Q3503="당기",ABS(P3503)+ROW()/1000000000,"")</f>
        <v/>
      </c>
      <c r="U3503" s="9">
        <f>IF(Q3503="비교",ABS(P3503)+ROW()/1000000000,"")</f>
        <v/>
      </c>
      <c r="V3503" s="39">
        <f>IF($A3503="","",IF(COUNTIF(변동분석!$E$7:$E$506,O3503)&gt;0,"Y","N"))</f>
        <v/>
      </c>
      <c r="W3503" s="39">
        <f>IF($A3503="","",IFERROR(INDEX(계정매핑!$D$5:$D$504,MATCH($F3503&amp;"",계정매핑!$A$5:$A$504,0)),"미매핑"))</f>
        <v/>
      </c>
      <c r="X3503" s="9">
        <f>IF($A3503="","",$F3503&amp;"")</f>
        <v/>
      </c>
    </row>
    <row r="3504">
      <c r="A3504" s="75" t="n">
        <v>2026</v>
      </c>
      <c r="B3504" s="75" t="n">
        <v>6</v>
      </c>
      <c r="C3504" s="75" t="inlineStr">
        <is>
          <t>5100001160</t>
        </is>
      </c>
      <c r="D3504" s="78" t="n">
        <v>46198</v>
      </c>
      <c r="E3504" s="75" t="inlineStr">
        <is>
          <t>KR</t>
        </is>
      </c>
      <c r="F3504" s="75" t="n">
        <v>62501000</v>
      </c>
      <c r="G3504" s="75" t="n">
        <v>1501</v>
      </c>
      <c r="H3504" s="76" t="n">
        <v>282000</v>
      </c>
      <c r="I3504" s="75" t="inlineStr">
        <is>
          <t>6월 회의 다과 - (법인카드)</t>
        </is>
      </c>
      <c r="J3504" s="75" t="inlineStr">
        <is>
          <t>V10008</t>
        </is>
      </c>
      <c r="K3504" s="75" t="inlineStr">
        <is>
          <t>(법인카드)</t>
        </is>
      </c>
      <c r="M3504" s="9">
        <f>IF($A3504="","",VALUE($A3504&amp;"")*12+VALUE($B3504&amp;""))</f>
        <v/>
      </c>
      <c r="N3504" s="39">
        <f>IF($A3504="","",IFERROR(INDEX(부서매핑!$C$5:$C$504,MATCH($G3504&amp;"",부서매핑!$A$5:$A$504,0)),"미매핑"))</f>
        <v/>
      </c>
      <c r="O3504" s="9">
        <f>IF($A3504="","",N3504&amp;"|"&amp;$F3504)</f>
        <v/>
      </c>
      <c r="P3504" s="77">
        <f>IF($A3504="",0,$H3504*설정!$C$23)</f>
        <v/>
      </c>
      <c r="Q3504" s="39">
        <f>IF($A3504="","",IF(O3504&lt;&gt;원인분석!$C$9,"",IF(AND(M3504&gt;=원인분석!$C$10,M3504&lt;=원인분석!$C$11),"당기",IF(AND(M3504&gt;=원인분석!$C$12,M3504&lt;=원인분석!$C$13),"비교",""))))</f>
        <v/>
      </c>
      <c r="R3504" s="9">
        <f>IF(Q3504="","",$K3504&amp;"")</f>
        <v/>
      </c>
      <c r="S3504" s="9">
        <f>IF(Q3504="","",IF(MATCH(R3504,$R$5:$R$100000,0)=ROW()-4,ROW(),""))</f>
        <v/>
      </c>
      <c r="T3504" s="9">
        <f>IF(Q3504="당기",ABS(P3504)+ROW()/1000000000,"")</f>
        <v/>
      </c>
      <c r="U3504" s="9">
        <f>IF(Q3504="비교",ABS(P3504)+ROW()/1000000000,"")</f>
        <v/>
      </c>
      <c r="V3504" s="39">
        <f>IF($A3504="","",IF(COUNTIF(변동분석!$E$7:$E$506,O3504)&gt;0,"Y","N"))</f>
        <v/>
      </c>
      <c r="W3504" s="39">
        <f>IF($A3504="","",IFERROR(INDEX(계정매핑!$D$5:$D$504,MATCH($F3504&amp;"",계정매핑!$A$5:$A$504,0)),"미매핑"))</f>
        <v/>
      </c>
      <c r="X3504" s="9">
        <f>IF($A3504="","",$F3504&amp;"")</f>
        <v/>
      </c>
    </row>
    <row r="3505">
      <c r="A3505" s="75" t="n">
        <v>2026</v>
      </c>
      <c r="B3505" s="75" t="n">
        <v>6</v>
      </c>
      <c r="C3505" s="75" t="inlineStr">
        <is>
          <t>5100001161</t>
        </is>
      </c>
      <c r="D3505" s="78" t="n">
        <v>46198</v>
      </c>
      <c r="E3505" s="75" t="inlineStr">
        <is>
          <t>KR</t>
        </is>
      </c>
      <c r="F3505" s="75" t="n">
        <v>62501000</v>
      </c>
      <c r="G3505" s="75" t="n">
        <v>1701</v>
      </c>
      <c r="H3505" s="76" t="n">
        <v>145000</v>
      </c>
      <c r="I3505" s="75" t="inlineStr">
        <is>
          <t>6월 회의 다과 - T케이터링</t>
        </is>
      </c>
      <c r="J3505" s="75" t="inlineStr">
        <is>
          <t>V10005</t>
        </is>
      </c>
      <c r="K3505" s="75" t="inlineStr">
        <is>
          <t>T케이터링</t>
        </is>
      </c>
      <c r="M3505" s="9">
        <f>IF($A3505="","",VALUE($A3505&amp;"")*12+VALUE($B3505&amp;""))</f>
        <v/>
      </c>
      <c r="N3505" s="39">
        <f>IF($A3505="","",IFERROR(INDEX(부서매핑!$C$5:$C$504,MATCH($G3505&amp;"",부서매핑!$A$5:$A$504,0)),"미매핑"))</f>
        <v/>
      </c>
      <c r="O3505" s="9">
        <f>IF($A3505="","",N3505&amp;"|"&amp;$F3505)</f>
        <v/>
      </c>
      <c r="P3505" s="77">
        <f>IF($A3505="",0,$H3505*설정!$C$23)</f>
        <v/>
      </c>
      <c r="Q3505" s="39">
        <f>IF($A3505="","",IF(O3505&lt;&gt;원인분석!$C$9,"",IF(AND(M3505&gt;=원인분석!$C$10,M3505&lt;=원인분석!$C$11),"당기",IF(AND(M3505&gt;=원인분석!$C$12,M3505&lt;=원인분석!$C$13),"비교",""))))</f>
        <v/>
      </c>
      <c r="R3505" s="9">
        <f>IF(Q3505="","",$K3505&amp;"")</f>
        <v/>
      </c>
      <c r="S3505" s="9">
        <f>IF(Q3505="","",IF(MATCH(R3505,$R$5:$R$100000,0)=ROW()-4,ROW(),""))</f>
        <v/>
      </c>
      <c r="T3505" s="9">
        <f>IF(Q3505="당기",ABS(P3505)+ROW()/1000000000,"")</f>
        <v/>
      </c>
      <c r="U3505" s="9">
        <f>IF(Q3505="비교",ABS(P3505)+ROW()/1000000000,"")</f>
        <v/>
      </c>
      <c r="V3505" s="39">
        <f>IF($A3505="","",IF(COUNTIF(변동분석!$E$7:$E$506,O3505)&gt;0,"Y","N"))</f>
        <v/>
      </c>
      <c r="W3505" s="39">
        <f>IF($A3505="","",IFERROR(INDEX(계정매핑!$D$5:$D$504,MATCH($F3505&amp;"",계정매핑!$A$5:$A$504,0)),"미매핑"))</f>
        <v/>
      </c>
      <c r="X3505" s="9">
        <f>IF($A3505="","",$F3505&amp;"")</f>
        <v/>
      </c>
    </row>
    <row r="3506">
      <c r="A3506" s="75" t="n">
        <v>2026</v>
      </c>
      <c r="B3506" s="75" t="n">
        <v>6</v>
      </c>
      <c r="C3506" s="75" t="inlineStr">
        <is>
          <t>5100001162</t>
        </is>
      </c>
      <c r="D3506" s="78" t="n">
        <v>46198</v>
      </c>
      <c r="E3506" s="75" t="inlineStr">
        <is>
          <t>KR</t>
        </is>
      </c>
      <c r="F3506" s="75" t="n">
        <v>62501000</v>
      </c>
      <c r="G3506" s="75" t="n">
        <v>1801</v>
      </c>
      <c r="H3506" s="76" t="n">
        <v>216000</v>
      </c>
      <c r="I3506" s="75" t="inlineStr">
        <is>
          <t>6월 회의 다과 - (법인카드)</t>
        </is>
      </c>
      <c r="J3506" s="75" t="inlineStr">
        <is>
          <t>V10008</t>
        </is>
      </c>
      <c r="K3506" s="75" t="inlineStr">
        <is>
          <t>(법인카드)</t>
        </is>
      </c>
      <c r="M3506" s="9">
        <f>IF($A3506="","",VALUE($A3506&amp;"")*12+VALUE($B3506&amp;""))</f>
        <v/>
      </c>
      <c r="N3506" s="39">
        <f>IF($A3506="","",IFERROR(INDEX(부서매핑!$C$5:$C$504,MATCH($G3506&amp;"",부서매핑!$A$5:$A$504,0)),"미매핑"))</f>
        <v/>
      </c>
      <c r="O3506" s="9">
        <f>IF($A3506="","",N3506&amp;"|"&amp;$F3506)</f>
        <v/>
      </c>
      <c r="P3506" s="77">
        <f>IF($A3506="",0,$H3506*설정!$C$23)</f>
        <v/>
      </c>
      <c r="Q3506" s="39">
        <f>IF($A3506="","",IF(O3506&lt;&gt;원인분석!$C$9,"",IF(AND(M3506&gt;=원인분석!$C$10,M3506&lt;=원인분석!$C$11),"당기",IF(AND(M3506&gt;=원인분석!$C$12,M3506&lt;=원인분석!$C$13),"비교",""))))</f>
        <v/>
      </c>
      <c r="R3506" s="9">
        <f>IF(Q3506="","",$K3506&amp;"")</f>
        <v/>
      </c>
      <c r="S3506" s="9">
        <f>IF(Q3506="","",IF(MATCH(R3506,$R$5:$R$100000,0)=ROW()-4,ROW(),""))</f>
        <v/>
      </c>
      <c r="T3506" s="9">
        <f>IF(Q3506="당기",ABS(P3506)+ROW()/1000000000,"")</f>
        <v/>
      </c>
      <c r="U3506" s="9">
        <f>IF(Q3506="비교",ABS(P3506)+ROW()/1000000000,"")</f>
        <v/>
      </c>
      <c r="V3506" s="39">
        <f>IF($A3506="","",IF(COUNTIF(변동분석!$E$7:$E$506,O3506)&gt;0,"Y","N"))</f>
        <v/>
      </c>
      <c r="W3506" s="39">
        <f>IF($A3506="","",IFERROR(INDEX(계정매핑!$D$5:$D$504,MATCH($F3506&amp;"",계정매핑!$A$5:$A$504,0)),"미매핑"))</f>
        <v/>
      </c>
      <c r="X3506" s="9">
        <f>IF($A3506="","",$F3506&amp;"")</f>
        <v/>
      </c>
    </row>
    <row r="3507">
      <c r="A3507" s="75" t="n">
        <v>2026</v>
      </c>
      <c r="B3507" s="75" t="n">
        <v>6</v>
      </c>
      <c r="C3507" s="75" t="inlineStr">
        <is>
          <t>5100001163</t>
        </is>
      </c>
      <c r="D3507" s="78" t="n">
        <v>46198</v>
      </c>
      <c r="E3507" s="75" t="inlineStr">
        <is>
          <t>KR</t>
        </is>
      </c>
      <c r="F3507" s="75" t="n">
        <v>63002000</v>
      </c>
      <c r="G3507" s="75" t="n">
        <v>1701</v>
      </c>
      <c r="H3507" s="76" t="n">
        <v>80000000</v>
      </c>
      <c r="I3507" s="75" t="inlineStr">
        <is>
          <t>6월 클라우드 사용료 - C클라우드</t>
        </is>
      </c>
      <c r="J3507" s="75" t="inlineStr">
        <is>
          <t>V10028</t>
        </is>
      </c>
      <c r="K3507" s="75" t="inlineStr">
        <is>
          <t>C클라우드</t>
        </is>
      </c>
      <c r="M3507" s="9">
        <f>IF($A3507="","",VALUE($A3507&amp;"")*12+VALUE($B3507&amp;""))</f>
        <v/>
      </c>
      <c r="N3507" s="39">
        <f>IF($A3507="","",IFERROR(INDEX(부서매핑!$C$5:$C$504,MATCH($G3507&amp;"",부서매핑!$A$5:$A$504,0)),"미매핑"))</f>
        <v/>
      </c>
      <c r="O3507" s="9">
        <f>IF($A3507="","",N3507&amp;"|"&amp;$F3507)</f>
        <v/>
      </c>
      <c r="P3507" s="77">
        <f>IF($A3507="",0,$H3507*설정!$C$23)</f>
        <v/>
      </c>
      <c r="Q3507" s="39">
        <f>IF($A3507="","",IF(O3507&lt;&gt;원인분석!$C$9,"",IF(AND(M3507&gt;=원인분석!$C$10,M3507&lt;=원인분석!$C$11),"당기",IF(AND(M3507&gt;=원인분석!$C$12,M3507&lt;=원인분석!$C$13),"비교",""))))</f>
        <v/>
      </c>
      <c r="R3507" s="9">
        <f>IF(Q3507="","",$K3507&amp;"")</f>
        <v/>
      </c>
      <c r="S3507" s="9">
        <f>IF(Q3507="","",IF(MATCH(R3507,$R$5:$R$100000,0)=ROW()-4,ROW(),""))</f>
        <v/>
      </c>
      <c r="T3507" s="9">
        <f>IF(Q3507="당기",ABS(P3507)+ROW()/1000000000,"")</f>
        <v/>
      </c>
      <c r="U3507" s="9">
        <f>IF(Q3507="비교",ABS(P3507)+ROW()/1000000000,"")</f>
        <v/>
      </c>
      <c r="V3507" s="39">
        <f>IF($A3507="","",IF(COUNTIF(변동분석!$E$7:$E$506,O3507)&gt;0,"Y","N"))</f>
        <v/>
      </c>
      <c r="W3507" s="39">
        <f>IF($A3507="","",IFERROR(INDEX(계정매핑!$D$5:$D$504,MATCH($F3507&amp;"",계정매핑!$A$5:$A$504,0)),"미매핑"))</f>
        <v/>
      </c>
      <c r="X3507" s="9">
        <f>IF($A3507="","",$F3507&amp;"")</f>
        <v/>
      </c>
    </row>
    <row r="3508">
      <c r="A3508" s="75" t="n">
        <v>2026</v>
      </c>
      <c r="B3508" s="75" t="n">
        <v>6</v>
      </c>
      <c r="C3508" s="75" t="inlineStr">
        <is>
          <t>5100001164</t>
        </is>
      </c>
      <c r="D3508" s="78" t="n">
        <v>46199</v>
      </c>
      <c r="E3508" s="75" t="inlineStr">
        <is>
          <t>KR</t>
        </is>
      </c>
      <c r="F3508" s="75" t="n">
        <v>62101000</v>
      </c>
      <c r="G3508" s="75" t="n">
        <v>1201</v>
      </c>
      <c r="H3508" s="76" t="n">
        <v>321000</v>
      </c>
      <c r="I3508" s="75" t="inlineStr">
        <is>
          <t>6월 국내출장 - L여행사</t>
        </is>
      </c>
      <c r="J3508" s="75" t="inlineStr">
        <is>
          <t>V10014</t>
        </is>
      </c>
      <c r="K3508" s="75" t="inlineStr">
        <is>
          <t>L여행사</t>
        </is>
      </c>
      <c r="M3508" s="9">
        <f>IF($A3508="","",VALUE($A3508&amp;"")*12+VALUE($B3508&amp;""))</f>
        <v/>
      </c>
      <c r="N3508" s="39">
        <f>IF($A3508="","",IFERROR(INDEX(부서매핑!$C$5:$C$504,MATCH($G3508&amp;"",부서매핑!$A$5:$A$504,0)),"미매핑"))</f>
        <v/>
      </c>
      <c r="O3508" s="9">
        <f>IF($A3508="","",N3508&amp;"|"&amp;$F3508)</f>
        <v/>
      </c>
      <c r="P3508" s="77">
        <f>IF($A3508="",0,$H3508*설정!$C$23)</f>
        <v/>
      </c>
      <c r="Q3508" s="39">
        <f>IF($A3508="","",IF(O3508&lt;&gt;원인분석!$C$9,"",IF(AND(M3508&gt;=원인분석!$C$10,M3508&lt;=원인분석!$C$11),"당기",IF(AND(M3508&gt;=원인분석!$C$12,M3508&lt;=원인분석!$C$13),"비교",""))))</f>
        <v/>
      </c>
      <c r="R3508" s="9">
        <f>IF(Q3508="","",$K3508&amp;"")</f>
        <v/>
      </c>
      <c r="S3508" s="9">
        <f>IF(Q3508="","",IF(MATCH(R3508,$R$5:$R$100000,0)=ROW()-4,ROW(),""))</f>
        <v/>
      </c>
      <c r="T3508" s="9">
        <f>IF(Q3508="당기",ABS(P3508)+ROW()/1000000000,"")</f>
        <v/>
      </c>
      <c r="U3508" s="9">
        <f>IF(Q3508="비교",ABS(P3508)+ROW()/1000000000,"")</f>
        <v/>
      </c>
      <c r="V3508" s="39">
        <f>IF($A3508="","",IF(COUNTIF(변동분석!$E$7:$E$506,O3508)&gt;0,"Y","N"))</f>
        <v/>
      </c>
      <c r="W3508" s="39">
        <f>IF($A3508="","",IFERROR(INDEX(계정매핑!$D$5:$D$504,MATCH($F3508&amp;"",계정매핑!$A$5:$A$504,0)),"미매핑"))</f>
        <v/>
      </c>
      <c r="X3508" s="9">
        <f>IF($A3508="","",$F3508&amp;"")</f>
        <v/>
      </c>
    </row>
    <row r="3509">
      <c r="A3509" s="75" t="n">
        <v>2026</v>
      </c>
      <c r="B3509" s="75" t="n">
        <v>6</v>
      </c>
      <c r="C3509" s="75" t="inlineStr">
        <is>
          <t>5100001165</t>
        </is>
      </c>
      <c r="D3509" s="78" t="n">
        <v>46199</v>
      </c>
      <c r="E3509" s="75" t="inlineStr">
        <is>
          <t>KR</t>
        </is>
      </c>
      <c r="F3509" s="75" t="n">
        <v>62101000</v>
      </c>
      <c r="G3509" s="75" t="n">
        <v>1201</v>
      </c>
      <c r="H3509" s="76" t="n">
        <v>417000</v>
      </c>
      <c r="I3509" s="75" t="inlineStr">
        <is>
          <t>6월 국내출장 - (법인카드)</t>
        </is>
      </c>
      <c r="J3509" s="75" t="inlineStr">
        <is>
          <t>V10008</t>
        </is>
      </c>
      <c r="K3509" s="75" t="inlineStr">
        <is>
          <t>(법인카드)</t>
        </is>
      </c>
      <c r="M3509" s="9">
        <f>IF($A3509="","",VALUE($A3509&amp;"")*12+VALUE($B3509&amp;""))</f>
        <v/>
      </c>
      <c r="N3509" s="39">
        <f>IF($A3509="","",IFERROR(INDEX(부서매핑!$C$5:$C$504,MATCH($G3509&amp;"",부서매핑!$A$5:$A$504,0)),"미매핑"))</f>
        <v/>
      </c>
      <c r="O3509" s="9">
        <f>IF($A3509="","",N3509&amp;"|"&amp;$F3509)</f>
        <v/>
      </c>
      <c r="P3509" s="77">
        <f>IF($A3509="",0,$H3509*설정!$C$23)</f>
        <v/>
      </c>
      <c r="Q3509" s="39">
        <f>IF($A3509="","",IF(O3509&lt;&gt;원인분석!$C$9,"",IF(AND(M3509&gt;=원인분석!$C$10,M3509&lt;=원인분석!$C$11),"당기",IF(AND(M3509&gt;=원인분석!$C$12,M3509&lt;=원인분석!$C$13),"비교",""))))</f>
        <v/>
      </c>
      <c r="R3509" s="9">
        <f>IF(Q3509="","",$K3509&amp;"")</f>
        <v/>
      </c>
      <c r="S3509" s="9">
        <f>IF(Q3509="","",IF(MATCH(R3509,$R$5:$R$100000,0)=ROW()-4,ROW(),""))</f>
        <v/>
      </c>
      <c r="T3509" s="9">
        <f>IF(Q3509="당기",ABS(P3509)+ROW()/1000000000,"")</f>
        <v/>
      </c>
      <c r="U3509" s="9">
        <f>IF(Q3509="비교",ABS(P3509)+ROW()/1000000000,"")</f>
        <v/>
      </c>
      <c r="V3509" s="39">
        <f>IF($A3509="","",IF(COUNTIF(변동분석!$E$7:$E$506,O3509)&gt;0,"Y","N"))</f>
        <v/>
      </c>
      <c r="W3509" s="39">
        <f>IF($A3509="","",IFERROR(INDEX(계정매핑!$D$5:$D$504,MATCH($F3509&amp;"",계정매핑!$A$5:$A$504,0)),"미매핑"))</f>
        <v/>
      </c>
      <c r="X3509" s="9">
        <f>IF($A3509="","",$F3509&amp;"")</f>
        <v/>
      </c>
    </row>
    <row r="3510">
      <c r="A3510" s="75" t="n">
        <v>2026</v>
      </c>
      <c r="B3510" s="75" t="n">
        <v>6</v>
      </c>
      <c r="C3510" s="75" t="inlineStr">
        <is>
          <t>5100001166</t>
        </is>
      </c>
      <c r="D3510" s="78" t="n">
        <v>46199</v>
      </c>
      <c r="E3510" s="75" t="inlineStr">
        <is>
          <t>KR</t>
        </is>
      </c>
      <c r="F3510" s="75" t="n">
        <v>62101000</v>
      </c>
      <c r="G3510" s="75" t="n">
        <v>1401</v>
      </c>
      <c r="H3510" s="76" t="n">
        <v>465000</v>
      </c>
      <c r="I3510" s="75" t="inlineStr">
        <is>
          <t>6월 국내출장 - L여행사</t>
        </is>
      </c>
      <c r="J3510" s="75" t="inlineStr">
        <is>
          <t>V10014</t>
        </is>
      </c>
      <c r="K3510" s="75" t="inlineStr">
        <is>
          <t>L여행사</t>
        </is>
      </c>
      <c r="M3510" s="9">
        <f>IF($A3510="","",VALUE($A3510&amp;"")*12+VALUE($B3510&amp;""))</f>
        <v/>
      </c>
      <c r="N3510" s="39">
        <f>IF($A3510="","",IFERROR(INDEX(부서매핑!$C$5:$C$504,MATCH($G3510&amp;"",부서매핑!$A$5:$A$504,0)),"미매핑"))</f>
        <v/>
      </c>
      <c r="O3510" s="9">
        <f>IF($A3510="","",N3510&amp;"|"&amp;$F3510)</f>
        <v/>
      </c>
      <c r="P3510" s="77">
        <f>IF($A3510="",0,$H3510*설정!$C$23)</f>
        <v/>
      </c>
      <c r="Q3510" s="39">
        <f>IF($A3510="","",IF(O3510&lt;&gt;원인분석!$C$9,"",IF(AND(M3510&gt;=원인분석!$C$10,M3510&lt;=원인분석!$C$11),"당기",IF(AND(M3510&gt;=원인분석!$C$12,M3510&lt;=원인분석!$C$13),"비교",""))))</f>
        <v/>
      </c>
      <c r="R3510" s="9">
        <f>IF(Q3510="","",$K3510&amp;"")</f>
        <v/>
      </c>
      <c r="S3510" s="9">
        <f>IF(Q3510="","",IF(MATCH(R3510,$R$5:$R$100000,0)=ROW()-4,ROW(),""))</f>
        <v/>
      </c>
      <c r="T3510" s="9">
        <f>IF(Q3510="당기",ABS(P3510)+ROW()/1000000000,"")</f>
        <v/>
      </c>
      <c r="U3510" s="9">
        <f>IF(Q3510="비교",ABS(P3510)+ROW()/1000000000,"")</f>
        <v/>
      </c>
      <c r="V3510" s="39">
        <f>IF($A3510="","",IF(COUNTIF(변동분석!$E$7:$E$506,O3510)&gt;0,"Y","N"))</f>
        <v/>
      </c>
      <c r="W3510" s="39">
        <f>IF($A3510="","",IFERROR(INDEX(계정매핑!$D$5:$D$504,MATCH($F3510&amp;"",계정매핑!$A$5:$A$504,0)),"미매핑"))</f>
        <v/>
      </c>
      <c r="X3510" s="9">
        <f>IF($A3510="","",$F3510&amp;"")</f>
        <v/>
      </c>
    </row>
    <row r="3511">
      <c r="A3511" s="75" t="n">
        <v>2026</v>
      </c>
      <c r="B3511" s="75" t="n">
        <v>6</v>
      </c>
      <c r="C3511" s="75" t="inlineStr">
        <is>
          <t>5100001167</t>
        </is>
      </c>
      <c r="D3511" s="78" t="n">
        <v>46199</v>
      </c>
      <c r="E3511" s="75" t="inlineStr">
        <is>
          <t>KR</t>
        </is>
      </c>
      <c r="F3511" s="75" t="n">
        <v>62101000</v>
      </c>
      <c r="G3511" s="75" t="n">
        <v>1501</v>
      </c>
      <c r="H3511" s="76" t="n">
        <v>477000</v>
      </c>
      <c r="I3511" s="75" t="inlineStr">
        <is>
          <t>6월 국내출장 - (법인카드)</t>
        </is>
      </c>
      <c r="J3511" s="75" t="inlineStr">
        <is>
          <t>V10008</t>
        </is>
      </c>
      <c r="K3511" s="75" t="inlineStr">
        <is>
          <t>(법인카드)</t>
        </is>
      </c>
      <c r="M3511" s="9">
        <f>IF($A3511="","",VALUE($A3511&amp;"")*12+VALUE($B3511&amp;""))</f>
        <v/>
      </c>
      <c r="N3511" s="39">
        <f>IF($A3511="","",IFERROR(INDEX(부서매핑!$C$5:$C$504,MATCH($G3511&amp;"",부서매핑!$A$5:$A$504,0)),"미매핑"))</f>
        <v/>
      </c>
      <c r="O3511" s="9">
        <f>IF($A3511="","",N3511&amp;"|"&amp;$F3511)</f>
        <v/>
      </c>
      <c r="P3511" s="77">
        <f>IF($A3511="",0,$H3511*설정!$C$23)</f>
        <v/>
      </c>
      <c r="Q3511" s="39">
        <f>IF($A3511="","",IF(O3511&lt;&gt;원인분석!$C$9,"",IF(AND(M3511&gt;=원인분석!$C$10,M3511&lt;=원인분석!$C$11),"당기",IF(AND(M3511&gt;=원인분석!$C$12,M3511&lt;=원인분석!$C$13),"비교",""))))</f>
        <v/>
      </c>
      <c r="R3511" s="9">
        <f>IF(Q3511="","",$K3511&amp;"")</f>
        <v/>
      </c>
      <c r="S3511" s="9">
        <f>IF(Q3511="","",IF(MATCH(R3511,$R$5:$R$100000,0)=ROW()-4,ROW(),""))</f>
        <v/>
      </c>
      <c r="T3511" s="9">
        <f>IF(Q3511="당기",ABS(P3511)+ROW()/1000000000,"")</f>
        <v/>
      </c>
      <c r="U3511" s="9">
        <f>IF(Q3511="비교",ABS(P3511)+ROW()/1000000000,"")</f>
        <v/>
      </c>
      <c r="V3511" s="39">
        <f>IF($A3511="","",IF(COUNTIF(변동분석!$E$7:$E$506,O3511)&gt;0,"Y","N"))</f>
        <v/>
      </c>
      <c r="W3511" s="39">
        <f>IF($A3511="","",IFERROR(INDEX(계정매핑!$D$5:$D$504,MATCH($F3511&amp;"",계정매핑!$A$5:$A$504,0)),"미매핑"))</f>
        <v/>
      </c>
      <c r="X3511" s="9">
        <f>IF($A3511="","",$F3511&amp;"")</f>
        <v/>
      </c>
    </row>
    <row r="3512">
      <c r="A3512" s="75" t="n">
        <v>2026</v>
      </c>
      <c r="B3512" s="75" t="n">
        <v>6</v>
      </c>
      <c r="C3512" s="75" t="inlineStr">
        <is>
          <t>5100001168</t>
        </is>
      </c>
      <c r="D3512" s="78" t="n">
        <v>46199</v>
      </c>
      <c r="E3512" s="75" t="inlineStr">
        <is>
          <t>KR</t>
        </is>
      </c>
      <c r="F3512" s="75" t="n">
        <v>62102000</v>
      </c>
      <c r="G3512" s="75" t="n">
        <v>1602</v>
      </c>
      <c r="H3512" s="76" t="n">
        <v>575000</v>
      </c>
      <c r="I3512" s="75" t="inlineStr">
        <is>
          <t>6월 해외출장 - M항공</t>
        </is>
      </c>
      <c r="J3512" s="75" t="inlineStr">
        <is>
          <t>V10001</t>
        </is>
      </c>
      <c r="K3512" s="75" t="inlineStr">
        <is>
          <t>M항공</t>
        </is>
      </c>
      <c r="M3512" s="9">
        <f>IF($A3512="","",VALUE($A3512&amp;"")*12+VALUE($B3512&amp;""))</f>
        <v/>
      </c>
      <c r="N3512" s="39">
        <f>IF($A3512="","",IFERROR(INDEX(부서매핑!$C$5:$C$504,MATCH($G3512&amp;"",부서매핑!$A$5:$A$504,0)),"미매핑"))</f>
        <v/>
      </c>
      <c r="O3512" s="9">
        <f>IF($A3512="","",N3512&amp;"|"&amp;$F3512)</f>
        <v/>
      </c>
      <c r="P3512" s="77">
        <f>IF($A3512="",0,$H3512*설정!$C$23)</f>
        <v/>
      </c>
      <c r="Q3512" s="39">
        <f>IF($A3512="","",IF(O3512&lt;&gt;원인분석!$C$9,"",IF(AND(M3512&gt;=원인분석!$C$10,M3512&lt;=원인분석!$C$11),"당기",IF(AND(M3512&gt;=원인분석!$C$12,M3512&lt;=원인분석!$C$13),"비교",""))))</f>
        <v/>
      </c>
      <c r="R3512" s="9">
        <f>IF(Q3512="","",$K3512&amp;"")</f>
        <v/>
      </c>
      <c r="S3512" s="9">
        <f>IF(Q3512="","",IF(MATCH(R3512,$R$5:$R$100000,0)=ROW()-4,ROW(),""))</f>
        <v/>
      </c>
      <c r="T3512" s="9">
        <f>IF(Q3512="당기",ABS(P3512)+ROW()/1000000000,"")</f>
        <v/>
      </c>
      <c r="U3512" s="9">
        <f>IF(Q3512="비교",ABS(P3512)+ROW()/1000000000,"")</f>
        <v/>
      </c>
      <c r="V3512" s="39">
        <f>IF($A3512="","",IF(COUNTIF(변동분석!$E$7:$E$506,O3512)&gt;0,"Y","N"))</f>
        <v/>
      </c>
      <c r="W3512" s="39">
        <f>IF($A3512="","",IFERROR(INDEX(계정매핑!$D$5:$D$504,MATCH($F3512&amp;"",계정매핑!$A$5:$A$504,0)),"미매핑"))</f>
        <v/>
      </c>
      <c r="X3512" s="9">
        <f>IF($A3512="","",$F3512&amp;"")</f>
        <v/>
      </c>
    </row>
    <row r="3513">
      <c r="A3513" s="75" t="n">
        <v>2026</v>
      </c>
      <c r="B3513" s="75" t="n">
        <v>6</v>
      </c>
      <c r="C3513" s="75" t="inlineStr">
        <is>
          <t>5100001169</t>
        </is>
      </c>
      <c r="D3513" s="78" t="n">
        <v>46199</v>
      </c>
      <c r="E3513" s="75" t="inlineStr">
        <is>
          <t>KR</t>
        </is>
      </c>
      <c r="F3513" s="75" t="n">
        <v>62201000</v>
      </c>
      <c r="G3513" s="75" t="n">
        <v>1201</v>
      </c>
      <c r="H3513" s="76" t="n">
        <v>138000</v>
      </c>
      <c r="I3513" s="75" t="inlineStr">
        <is>
          <t>6월 통신요금 - P통신</t>
        </is>
      </c>
      <c r="J3513" s="75" t="inlineStr">
        <is>
          <t>V10011</t>
        </is>
      </c>
      <c r="K3513" s="75" t="inlineStr">
        <is>
          <t>P통신</t>
        </is>
      </c>
      <c r="M3513" s="9">
        <f>IF($A3513="","",VALUE($A3513&amp;"")*12+VALUE($B3513&amp;""))</f>
        <v/>
      </c>
      <c r="N3513" s="39">
        <f>IF($A3513="","",IFERROR(INDEX(부서매핑!$C$5:$C$504,MATCH($G3513&amp;"",부서매핑!$A$5:$A$504,0)),"미매핑"))</f>
        <v/>
      </c>
      <c r="O3513" s="9">
        <f>IF($A3513="","",N3513&amp;"|"&amp;$F3513)</f>
        <v/>
      </c>
      <c r="P3513" s="77">
        <f>IF($A3513="",0,$H3513*설정!$C$23)</f>
        <v/>
      </c>
      <c r="Q3513" s="39">
        <f>IF($A3513="","",IF(O3513&lt;&gt;원인분석!$C$9,"",IF(AND(M3513&gt;=원인분석!$C$10,M3513&lt;=원인분석!$C$11),"당기",IF(AND(M3513&gt;=원인분석!$C$12,M3513&lt;=원인분석!$C$13),"비교",""))))</f>
        <v/>
      </c>
      <c r="R3513" s="9">
        <f>IF(Q3513="","",$K3513&amp;"")</f>
        <v/>
      </c>
      <c r="S3513" s="9">
        <f>IF(Q3513="","",IF(MATCH(R3513,$R$5:$R$100000,0)=ROW()-4,ROW(),""))</f>
        <v/>
      </c>
      <c r="T3513" s="9">
        <f>IF(Q3513="당기",ABS(P3513)+ROW()/1000000000,"")</f>
        <v/>
      </c>
      <c r="U3513" s="9">
        <f>IF(Q3513="비교",ABS(P3513)+ROW()/1000000000,"")</f>
        <v/>
      </c>
      <c r="V3513" s="39">
        <f>IF($A3513="","",IF(COUNTIF(변동분석!$E$7:$E$506,O3513)&gt;0,"Y","N"))</f>
        <v/>
      </c>
      <c r="W3513" s="39">
        <f>IF($A3513="","",IFERROR(INDEX(계정매핑!$D$5:$D$504,MATCH($F3513&amp;"",계정매핑!$A$5:$A$504,0)),"미매핑"))</f>
        <v/>
      </c>
      <c r="X3513" s="9">
        <f>IF($A3513="","",$F3513&amp;"")</f>
        <v/>
      </c>
    </row>
    <row r="3514">
      <c r="A3514" s="75" t="n">
        <v>2026</v>
      </c>
      <c r="B3514" s="75" t="n">
        <v>6</v>
      </c>
      <c r="C3514" s="75" t="inlineStr">
        <is>
          <t>5100001170</t>
        </is>
      </c>
      <c r="D3514" s="78" t="n">
        <v>46199</v>
      </c>
      <c r="E3514" s="75" t="inlineStr">
        <is>
          <t>KR</t>
        </is>
      </c>
      <c r="F3514" s="75" t="n">
        <v>62301000</v>
      </c>
      <c r="G3514" s="75" t="n">
        <v>1701</v>
      </c>
      <c r="H3514" s="76" t="n">
        <v>352000</v>
      </c>
      <c r="I3514" s="75" t="inlineStr">
        <is>
          <t>6월 소모품 구입 - R문구</t>
        </is>
      </c>
      <c r="J3514" s="75" t="inlineStr">
        <is>
          <t>V10018</t>
        </is>
      </c>
      <c r="K3514" s="75" t="inlineStr">
        <is>
          <t>R문구</t>
        </is>
      </c>
      <c r="M3514" s="9">
        <f>IF($A3514="","",VALUE($A3514&amp;"")*12+VALUE($B3514&amp;""))</f>
        <v/>
      </c>
      <c r="N3514" s="39">
        <f>IF($A3514="","",IFERROR(INDEX(부서매핑!$C$5:$C$504,MATCH($G3514&amp;"",부서매핑!$A$5:$A$504,0)),"미매핑"))</f>
        <v/>
      </c>
      <c r="O3514" s="9">
        <f>IF($A3514="","",N3514&amp;"|"&amp;$F3514)</f>
        <v/>
      </c>
      <c r="P3514" s="77">
        <f>IF($A3514="",0,$H3514*설정!$C$23)</f>
        <v/>
      </c>
      <c r="Q3514" s="39">
        <f>IF($A3514="","",IF(O3514&lt;&gt;원인분석!$C$9,"",IF(AND(M3514&gt;=원인분석!$C$10,M3514&lt;=원인분석!$C$11),"당기",IF(AND(M3514&gt;=원인분석!$C$12,M3514&lt;=원인분석!$C$13),"비교",""))))</f>
        <v/>
      </c>
      <c r="R3514" s="9">
        <f>IF(Q3514="","",$K3514&amp;"")</f>
        <v/>
      </c>
      <c r="S3514" s="9">
        <f>IF(Q3514="","",IF(MATCH(R3514,$R$5:$R$100000,0)=ROW()-4,ROW(),""))</f>
        <v/>
      </c>
      <c r="T3514" s="9">
        <f>IF(Q3514="당기",ABS(P3514)+ROW()/1000000000,"")</f>
        <v/>
      </c>
      <c r="U3514" s="9">
        <f>IF(Q3514="비교",ABS(P3514)+ROW()/1000000000,"")</f>
        <v/>
      </c>
      <c r="V3514" s="39">
        <f>IF($A3514="","",IF(COUNTIF(변동분석!$E$7:$E$506,O3514)&gt;0,"Y","N"))</f>
        <v/>
      </c>
      <c r="W3514" s="39">
        <f>IF($A3514="","",IFERROR(INDEX(계정매핑!$D$5:$D$504,MATCH($F3514&amp;"",계정매핑!$A$5:$A$504,0)),"미매핑"))</f>
        <v/>
      </c>
      <c r="X3514" s="9">
        <f>IF($A3514="","",$F3514&amp;"")</f>
        <v/>
      </c>
    </row>
    <row r="3515">
      <c r="A3515" s="75" t="n">
        <v>2026</v>
      </c>
      <c r="B3515" s="75" t="n">
        <v>6</v>
      </c>
      <c r="C3515" s="75" t="inlineStr">
        <is>
          <t>5100001171</t>
        </is>
      </c>
      <c r="D3515" s="78" t="n">
        <v>46200</v>
      </c>
      <c r="E3515" s="75" t="inlineStr">
        <is>
          <t>KR</t>
        </is>
      </c>
      <c r="F3515" s="75" t="n">
        <v>62101000</v>
      </c>
      <c r="G3515" s="75" t="n">
        <v>1101</v>
      </c>
      <c r="H3515" s="76" t="n">
        <v>803000</v>
      </c>
      <c r="I3515" s="75" t="inlineStr">
        <is>
          <t>6월 국내출장 - L여행사</t>
        </is>
      </c>
      <c r="J3515" s="75" t="inlineStr">
        <is>
          <t>V10014</t>
        </is>
      </c>
      <c r="K3515" s="75" t="inlineStr">
        <is>
          <t>L여행사</t>
        </is>
      </c>
      <c r="M3515" s="9">
        <f>IF($A3515="","",VALUE($A3515&amp;"")*12+VALUE($B3515&amp;""))</f>
        <v/>
      </c>
      <c r="N3515" s="39">
        <f>IF($A3515="","",IFERROR(INDEX(부서매핑!$C$5:$C$504,MATCH($G3515&amp;"",부서매핑!$A$5:$A$504,0)),"미매핑"))</f>
        <v/>
      </c>
      <c r="O3515" s="9">
        <f>IF($A3515="","",N3515&amp;"|"&amp;$F3515)</f>
        <v/>
      </c>
      <c r="P3515" s="77">
        <f>IF($A3515="",0,$H3515*설정!$C$23)</f>
        <v/>
      </c>
      <c r="Q3515" s="39">
        <f>IF($A3515="","",IF(O3515&lt;&gt;원인분석!$C$9,"",IF(AND(M3515&gt;=원인분석!$C$10,M3515&lt;=원인분석!$C$11),"당기",IF(AND(M3515&gt;=원인분석!$C$12,M3515&lt;=원인분석!$C$13),"비교",""))))</f>
        <v/>
      </c>
      <c r="R3515" s="9">
        <f>IF(Q3515="","",$K3515&amp;"")</f>
        <v/>
      </c>
      <c r="S3515" s="9">
        <f>IF(Q3515="","",IF(MATCH(R3515,$R$5:$R$100000,0)=ROW()-4,ROW(),""))</f>
        <v/>
      </c>
      <c r="T3515" s="9">
        <f>IF(Q3515="당기",ABS(P3515)+ROW()/1000000000,"")</f>
        <v/>
      </c>
      <c r="U3515" s="9">
        <f>IF(Q3515="비교",ABS(P3515)+ROW()/1000000000,"")</f>
        <v/>
      </c>
      <c r="V3515" s="39">
        <f>IF($A3515="","",IF(COUNTIF(변동분석!$E$7:$E$506,O3515)&gt;0,"Y","N"))</f>
        <v/>
      </c>
      <c r="W3515" s="39">
        <f>IF($A3515="","",IFERROR(INDEX(계정매핑!$D$5:$D$504,MATCH($F3515&amp;"",계정매핑!$A$5:$A$504,0)),"미매핑"))</f>
        <v/>
      </c>
      <c r="X3515" s="9">
        <f>IF($A3515="","",$F3515&amp;"")</f>
        <v/>
      </c>
    </row>
    <row r="3516">
      <c r="A3516" s="75" t="n">
        <v>2026</v>
      </c>
      <c r="B3516" s="75" t="n">
        <v>6</v>
      </c>
      <c r="C3516" s="75" t="inlineStr">
        <is>
          <t>5100001172</t>
        </is>
      </c>
      <c r="D3516" s="78" t="n">
        <v>46200</v>
      </c>
      <c r="E3516" s="75" t="inlineStr">
        <is>
          <t>KR</t>
        </is>
      </c>
      <c r="F3516" s="75" t="n">
        <v>62101000</v>
      </c>
      <c r="G3516" s="75" t="n">
        <v>1801</v>
      </c>
      <c r="H3516" s="76" t="n">
        <v>277000</v>
      </c>
      <c r="I3516" s="75" t="inlineStr">
        <is>
          <t>6월 국내출장 - (법인카드)</t>
        </is>
      </c>
      <c r="J3516" s="75" t="inlineStr">
        <is>
          <t>V10008</t>
        </is>
      </c>
      <c r="K3516" s="75" t="inlineStr">
        <is>
          <t>(법인카드)</t>
        </is>
      </c>
      <c r="M3516" s="9">
        <f>IF($A3516="","",VALUE($A3516&amp;"")*12+VALUE($B3516&amp;""))</f>
        <v/>
      </c>
      <c r="N3516" s="39">
        <f>IF($A3516="","",IFERROR(INDEX(부서매핑!$C$5:$C$504,MATCH($G3516&amp;"",부서매핑!$A$5:$A$504,0)),"미매핑"))</f>
        <v/>
      </c>
      <c r="O3516" s="9">
        <f>IF($A3516="","",N3516&amp;"|"&amp;$F3516)</f>
        <v/>
      </c>
      <c r="P3516" s="77">
        <f>IF($A3516="",0,$H3516*설정!$C$23)</f>
        <v/>
      </c>
      <c r="Q3516" s="39">
        <f>IF($A3516="","",IF(O3516&lt;&gt;원인분석!$C$9,"",IF(AND(M3516&gt;=원인분석!$C$10,M3516&lt;=원인분석!$C$11),"당기",IF(AND(M3516&gt;=원인분석!$C$12,M3516&lt;=원인분석!$C$13),"비교",""))))</f>
        <v/>
      </c>
      <c r="R3516" s="9">
        <f>IF(Q3516="","",$K3516&amp;"")</f>
        <v/>
      </c>
      <c r="S3516" s="9">
        <f>IF(Q3516="","",IF(MATCH(R3516,$R$5:$R$100000,0)=ROW()-4,ROW(),""))</f>
        <v/>
      </c>
      <c r="T3516" s="9">
        <f>IF(Q3516="당기",ABS(P3516)+ROW()/1000000000,"")</f>
        <v/>
      </c>
      <c r="U3516" s="9">
        <f>IF(Q3516="비교",ABS(P3516)+ROW()/1000000000,"")</f>
        <v/>
      </c>
      <c r="V3516" s="39">
        <f>IF($A3516="","",IF(COUNTIF(변동분석!$E$7:$E$506,O3516)&gt;0,"Y","N"))</f>
        <v/>
      </c>
      <c r="W3516" s="39">
        <f>IF($A3516="","",IFERROR(INDEX(계정매핑!$D$5:$D$504,MATCH($F3516&amp;"",계정매핑!$A$5:$A$504,0)),"미매핑"))</f>
        <v/>
      </c>
      <c r="X3516" s="9">
        <f>IF($A3516="","",$F3516&amp;"")</f>
        <v/>
      </c>
    </row>
    <row r="3517">
      <c r="A3517" s="75" t="n">
        <v>2026</v>
      </c>
      <c r="B3517" s="75" t="n">
        <v>6</v>
      </c>
      <c r="C3517" s="75" t="inlineStr">
        <is>
          <t>5100001173</t>
        </is>
      </c>
      <c r="D3517" s="78" t="n">
        <v>46200</v>
      </c>
      <c r="E3517" s="75" t="inlineStr">
        <is>
          <t>KR</t>
        </is>
      </c>
      <c r="F3517" s="75" t="n">
        <v>62201000</v>
      </c>
      <c r="G3517" s="75" t="n">
        <v>1101</v>
      </c>
      <c r="H3517" s="76" t="n">
        <v>213000</v>
      </c>
      <c r="I3517" s="75" t="inlineStr">
        <is>
          <t>6월 통신요금 - P통신</t>
        </is>
      </c>
      <c r="J3517" s="75" t="inlineStr">
        <is>
          <t>V10011</t>
        </is>
      </c>
      <c r="K3517" s="75" t="inlineStr">
        <is>
          <t>P통신</t>
        </is>
      </c>
      <c r="M3517" s="9">
        <f>IF($A3517="","",VALUE($A3517&amp;"")*12+VALUE($B3517&amp;""))</f>
        <v/>
      </c>
      <c r="N3517" s="39">
        <f>IF($A3517="","",IFERROR(INDEX(부서매핑!$C$5:$C$504,MATCH($G3517&amp;"",부서매핑!$A$5:$A$504,0)),"미매핑"))</f>
        <v/>
      </c>
      <c r="O3517" s="9">
        <f>IF($A3517="","",N3517&amp;"|"&amp;$F3517)</f>
        <v/>
      </c>
      <c r="P3517" s="77">
        <f>IF($A3517="",0,$H3517*설정!$C$23)</f>
        <v/>
      </c>
      <c r="Q3517" s="39">
        <f>IF($A3517="","",IF(O3517&lt;&gt;원인분석!$C$9,"",IF(AND(M3517&gt;=원인분석!$C$10,M3517&lt;=원인분석!$C$11),"당기",IF(AND(M3517&gt;=원인분석!$C$12,M3517&lt;=원인분석!$C$13),"비교",""))))</f>
        <v/>
      </c>
      <c r="R3517" s="9">
        <f>IF(Q3517="","",$K3517&amp;"")</f>
        <v/>
      </c>
      <c r="S3517" s="9">
        <f>IF(Q3517="","",IF(MATCH(R3517,$R$5:$R$100000,0)=ROW()-4,ROW(),""))</f>
        <v/>
      </c>
      <c r="T3517" s="9">
        <f>IF(Q3517="당기",ABS(P3517)+ROW()/1000000000,"")</f>
        <v/>
      </c>
      <c r="U3517" s="9">
        <f>IF(Q3517="비교",ABS(P3517)+ROW()/1000000000,"")</f>
        <v/>
      </c>
      <c r="V3517" s="39">
        <f>IF($A3517="","",IF(COUNTIF(변동분석!$E$7:$E$506,O3517)&gt;0,"Y","N"))</f>
        <v/>
      </c>
      <c r="W3517" s="39">
        <f>IF($A3517="","",IFERROR(INDEX(계정매핑!$D$5:$D$504,MATCH($F3517&amp;"",계정매핑!$A$5:$A$504,0)),"미매핑"))</f>
        <v/>
      </c>
      <c r="X3517" s="9">
        <f>IF($A3517="","",$F3517&amp;"")</f>
        <v/>
      </c>
    </row>
    <row r="3518">
      <c r="A3518" s="75" t="n">
        <v>2026</v>
      </c>
      <c r="B3518" s="75" t="n">
        <v>6</v>
      </c>
      <c r="C3518" s="75" t="inlineStr">
        <is>
          <t>5100001174</t>
        </is>
      </c>
      <c r="D3518" s="78" t="n">
        <v>46200</v>
      </c>
      <c r="E3518" s="75" t="inlineStr">
        <is>
          <t>KR</t>
        </is>
      </c>
      <c r="F3518" s="75" t="n">
        <v>62201000</v>
      </c>
      <c r="G3518" s="75" t="n">
        <v>1201</v>
      </c>
      <c r="H3518" s="76" t="n">
        <v>125000</v>
      </c>
      <c r="I3518" s="75" t="inlineStr">
        <is>
          <t>6월 통신요금 - P통신</t>
        </is>
      </c>
      <c r="J3518" s="75" t="inlineStr">
        <is>
          <t>V10011</t>
        </is>
      </c>
      <c r="K3518" s="75" t="inlineStr">
        <is>
          <t>P통신</t>
        </is>
      </c>
      <c r="M3518" s="9">
        <f>IF($A3518="","",VALUE($A3518&amp;"")*12+VALUE($B3518&amp;""))</f>
        <v/>
      </c>
      <c r="N3518" s="39">
        <f>IF($A3518="","",IFERROR(INDEX(부서매핑!$C$5:$C$504,MATCH($G3518&amp;"",부서매핑!$A$5:$A$504,0)),"미매핑"))</f>
        <v/>
      </c>
      <c r="O3518" s="9">
        <f>IF($A3518="","",N3518&amp;"|"&amp;$F3518)</f>
        <v/>
      </c>
      <c r="P3518" s="77">
        <f>IF($A3518="",0,$H3518*설정!$C$23)</f>
        <v/>
      </c>
      <c r="Q3518" s="39">
        <f>IF($A3518="","",IF(O3518&lt;&gt;원인분석!$C$9,"",IF(AND(M3518&gt;=원인분석!$C$10,M3518&lt;=원인분석!$C$11),"당기",IF(AND(M3518&gt;=원인분석!$C$12,M3518&lt;=원인분석!$C$13),"비교",""))))</f>
        <v/>
      </c>
      <c r="R3518" s="9">
        <f>IF(Q3518="","",$K3518&amp;"")</f>
        <v/>
      </c>
      <c r="S3518" s="9">
        <f>IF(Q3518="","",IF(MATCH(R3518,$R$5:$R$100000,0)=ROW()-4,ROW(),""))</f>
        <v/>
      </c>
      <c r="T3518" s="9">
        <f>IF(Q3518="당기",ABS(P3518)+ROW()/1000000000,"")</f>
        <v/>
      </c>
      <c r="U3518" s="9">
        <f>IF(Q3518="비교",ABS(P3518)+ROW()/1000000000,"")</f>
        <v/>
      </c>
      <c r="V3518" s="39">
        <f>IF($A3518="","",IF(COUNTIF(변동분석!$E$7:$E$506,O3518)&gt;0,"Y","N"))</f>
        <v/>
      </c>
      <c r="W3518" s="39">
        <f>IF($A3518="","",IFERROR(INDEX(계정매핑!$D$5:$D$504,MATCH($F3518&amp;"",계정매핑!$A$5:$A$504,0)),"미매핑"))</f>
        <v/>
      </c>
      <c r="X3518" s="9">
        <f>IF($A3518="","",$F3518&amp;"")</f>
        <v/>
      </c>
    </row>
    <row r="3519">
      <c r="A3519" s="75" t="n">
        <v>2026</v>
      </c>
      <c r="B3519" s="75" t="n">
        <v>6</v>
      </c>
      <c r="C3519" s="75" t="inlineStr">
        <is>
          <t>5100001175</t>
        </is>
      </c>
      <c r="D3519" s="78" t="n">
        <v>46200</v>
      </c>
      <c r="E3519" s="75" t="inlineStr">
        <is>
          <t>KR</t>
        </is>
      </c>
      <c r="F3519" s="75" t="n">
        <v>62401000</v>
      </c>
      <c r="G3519" s="75" t="n">
        <v>1801</v>
      </c>
      <c r="H3519" s="76" t="n">
        <v>2441000</v>
      </c>
      <c r="I3519" s="75" t="inlineStr">
        <is>
          <t>6월 인쇄물 제작 - S출판</t>
        </is>
      </c>
      <c r="J3519" s="75" t="inlineStr">
        <is>
          <t>V10012</t>
        </is>
      </c>
      <c r="K3519" s="75" t="inlineStr">
        <is>
          <t>S출판</t>
        </is>
      </c>
      <c r="M3519" s="9">
        <f>IF($A3519="","",VALUE($A3519&amp;"")*12+VALUE($B3519&amp;""))</f>
        <v/>
      </c>
      <c r="N3519" s="39">
        <f>IF($A3519="","",IFERROR(INDEX(부서매핑!$C$5:$C$504,MATCH($G3519&amp;"",부서매핑!$A$5:$A$504,0)),"미매핑"))</f>
        <v/>
      </c>
      <c r="O3519" s="9">
        <f>IF($A3519="","",N3519&amp;"|"&amp;$F3519)</f>
        <v/>
      </c>
      <c r="P3519" s="77">
        <f>IF($A3519="",0,$H3519*설정!$C$23)</f>
        <v/>
      </c>
      <c r="Q3519" s="39">
        <f>IF($A3519="","",IF(O3519&lt;&gt;원인분석!$C$9,"",IF(AND(M3519&gt;=원인분석!$C$10,M3519&lt;=원인분석!$C$11),"당기",IF(AND(M3519&gt;=원인분석!$C$12,M3519&lt;=원인분석!$C$13),"비교",""))))</f>
        <v/>
      </c>
      <c r="R3519" s="9">
        <f>IF(Q3519="","",$K3519&amp;"")</f>
        <v/>
      </c>
      <c r="S3519" s="9">
        <f>IF(Q3519="","",IF(MATCH(R3519,$R$5:$R$100000,0)=ROW()-4,ROW(),""))</f>
        <v/>
      </c>
      <c r="T3519" s="9">
        <f>IF(Q3519="당기",ABS(P3519)+ROW()/1000000000,"")</f>
        <v/>
      </c>
      <c r="U3519" s="9">
        <f>IF(Q3519="비교",ABS(P3519)+ROW()/1000000000,"")</f>
        <v/>
      </c>
      <c r="V3519" s="39">
        <f>IF($A3519="","",IF(COUNTIF(변동분석!$E$7:$E$506,O3519)&gt;0,"Y","N"))</f>
        <v/>
      </c>
      <c r="W3519" s="39">
        <f>IF($A3519="","",IFERROR(INDEX(계정매핑!$D$5:$D$504,MATCH($F3519&amp;"",계정매핑!$A$5:$A$504,0)),"미매핑"))</f>
        <v/>
      </c>
      <c r="X3519" s="9">
        <f>IF($A3519="","",$F3519&amp;"")</f>
        <v/>
      </c>
    </row>
    <row r="3520">
      <c r="A3520" s="75" t="n">
        <v>2026</v>
      </c>
      <c r="B3520" s="75" t="n">
        <v>6</v>
      </c>
      <c r="C3520" s="75" t="inlineStr">
        <is>
          <t>5100001176</t>
        </is>
      </c>
      <c r="D3520" s="78" t="n">
        <v>46200</v>
      </c>
      <c r="E3520" s="75" t="inlineStr">
        <is>
          <t>KR</t>
        </is>
      </c>
      <c r="F3520" s="75" t="n">
        <v>62501000</v>
      </c>
      <c r="G3520" s="75" t="n">
        <v>1101</v>
      </c>
      <c r="H3520" s="76" t="n">
        <v>418000</v>
      </c>
      <c r="I3520" s="75" t="inlineStr">
        <is>
          <t>6월 회의 다과 - T케이터링</t>
        </is>
      </c>
      <c r="J3520" s="75" t="inlineStr">
        <is>
          <t>V10005</t>
        </is>
      </c>
      <c r="K3520" s="75" t="inlineStr">
        <is>
          <t>T케이터링</t>
        </is>
      </c>
      <c r="M3520" s="9">
        <f>IF($A3520="","",VALUE($A3520&amp;"")*12+VALUE($B3520&amp;""))</f>
        <v/>
      </c>
      <c r="N3520" s="39">
        <f>IF($A3520="","",IFERROR(INDEX(부서매핑!$C$5:$C$504,MATCH($G3520&amp;"",부서매핑!$A$5:$A$504,0)),"미매핑"))</f>
        <v/>
      </c>
      <c r="O3520" s="9">
        <f>IF($A3520="","",N3520&amp;"|"&amp;$F3520)</f>
        <v/>
      </c>
      <c r="P3520" s="77">
        <f>IF($A3520="",0,$H3520*설정!$C$23)</f>
        <v/>
      </c>
      <c r="Q3520" s="39">
        <f>IF($A3520="","",IF(O3520&lt;&gt;원인분석!$C$9,"",IF(AND(M3520&gt;=원인분석!$C$10,M3520&lt;=원인분석!$C$11),"당기",IF(AND(M3520&gt;=원인분석!$C$12,M3520&lt;=원인분석!$C$13),"비교",""))))</f>
        <v/>
      </c>
      <c r="R3520" s="9">
        <f>IF(Q3520="","",$K3520&amp;"")</f>
        <v/>
      </c>
      <c r="S3520" s="9">
        <f>IF(Q3520="","",IF(MATCH(R3520,$R$5:$R$100000,0)=ROW()-4,ROW(),""))</f>
        <v/>
      </c>
      <c r="T3520" s="9">
        <f>IF(Q3520="당기",ABS(P3520)+ROW()/1000000000,"")</f>
        <v/>
      </c>
      <c r="U3520" s="9">
        <f>IF(Q3520="비교",ABS(P3520)+ROW()/1000000000,"")</f>
        <v/>
      </c>
      <c r="V3520" s="39">
        <f>IF($A3520="","",IF(COUNTIF(변동분석!$E$7:$E$506,O3520)&gt;0,"Y","N"))</f>
        <v/>
      </c>
      <c r="W3520" s="39">
        <f>IF($A3520="","",IFERROR(INDEX(계정매핑!$D$5:$D$504,MATCH($F3520&amp;"",계정매핑!$A$5:$A$504,0)),"미매핑"))</f>
        <v/>
      </c>
      <c r="X3520" s="9">
        <f>IF($A3520="","",$F3520&amp;"")</f>
        <v/>
      </c>
    </row>
    <row r="3521">
      <c r="A3521" s="75" t="n">
        <v>2026</v>
      </c>
      <c r="B3521" s="75" t="n">
        <v>6</v>
      </c>
      <c r="C3521" s="75" t="inlineStr">
        <is>
          <t>5100001177</t>
        </is>
      </c>
      <c r="D3521" s="78" t="n">
        <v>46200</v>
      </c>
      <c r="E3521" s="75" t="inlineStr">
        <is>
          <t>KR</t>
        </is>
      </c>
      <c r="F3521" s="75" t="n">
        <v>63001000</v>
      </c>
      <c r="G3521" s="75" t="n">
        <v>1701</v>
      </c>
      <c r="H3521" s="76" t="n">
        <v>37563000</v>
      </c>
      <c r="I3521" s="75" t="inlineStr">
        <is>
          <t>6월 SW 유지보수 - Z시스템</t>
        </is>
      </c>
      <c r="J3521" s="75" t="inlineStr">
        <is>
          <t>V10021</t>
        </is>
      </c>
      <c r="K3521" s="75" t="inlineStr">
        <is>
          <t>Z시스템</t>
        </is>
      </c>
      <c r="M3521" s="9">
        <f>IF($A3521="","",VALUE($A3521&amp;"")*12+VALUE($B3521&amp;""))</f>
        <v/>
      </c>
      <c r="N3521" s="39">
        <f>IF($A3521="","",IFERROR(INDEX(부서매핑!$C$5:$C$504,MATCH($G3521&amp;"",부서매핑!$A$5:$A$504,0)),"미매핑"))</f>
        <v/>
      </c>
      <c r="O3521" s="9">
        <f>IF($A3521="","",N3521&amp;"|"&amp;$F3521)</f>
        <v/>
      </c>
      <c r="P3521" s="77">
        <f>IF($A3521="",0,$H3521*설정!$C$23)</f>
        <v/>
      </c>
      <c r="Q3521" s="39">
        <f>IF($A3521="","",IF(O3521&lt;&gt;원인분석!$C$9,"",IF(AND(M3521&gt;=원인분석!$C$10,M3521&lt;=원인분석!$C$11),"당기",IF(AND(M3521&gt;=원인분석!$C$12,M3521&lt;=원인분석!$C$13),"비교",""))))</f>
        <v/>
      </c>
      <c r="R3521" s="9">
        <f>IF(Q3521="","",$K3521&amp;"")</f>
        <v/>
      </c>
      <c r="S3521" s="9">
        <f>IF(Q3521="","",IF(MATCH(R3521,$R$5:$R$100000,0)=ROW()-4,ROW(),""))</f>
        <v/>
      </c>
      <c r="T3521" s="9">
        <f>IF(Q3521="당기",ABS(P3521)+ROW()/1000000000,"")</f>
        <v/>
      </c>
      <c r="U3521" s="9">
        <f>IF(Q3521="비교",ABS(P3521)+ROW()/1000000000,"")</f>
        <v/>
      </c>
      <c r="V3521" s="39">
        <f>IF($A3521="","",IF(COUNTIF(변동분석!$E$7:$E$506,O3521)&gt;0,"Y","N"))</f>
        <v/>
      </c>
      <c r="W3521" s="39">
        <f>IF($A3521="","",IFERROR(INDEX(계정매핑!$D$5:$D$504,MATCH($F3521&amp;"",계정매핑!$A$5:$A$504,0)),"미매핑"))</f>
        <v/>
      </c>
      <c r="X3521" s="9">
        <f>IF($A3521="","",$F3521&amp;"")</f>
        <v/>
      </c>
    </row>
    <row r="3522">
      <c r="A3522" s="75" t="n">
        <v>2026</v>
      </c>
      <c r="B3522" s="75" t="n">
        <v>7</v>
      </c>
      <c r="C3522" s="75" t="inlineStr">
        <is>
          <t>5100001178</t>
        </is>
      </c>
      <c r="D3522" s="78" t="n">
        <v>46205</v>
      </c>
      <c r="E3522" s="75" t="inlineStr">
        <is>
          <t>KR</t>
        </is>
      </c>
      <c r="F3522" s="75" t="n">
        <v>62101000</v>
      </c>
      <c r="G3522" s="75" t="n">
        <v>1301</v>
      </c>
      <c r="H3522" s="76" t="n">
        <v>383000</v>
      </c>
      <c r="I3522" s="75" t="inlineStr">
        <is>
          <t>7월 국내출장 - M항공</t>
        </is>
      </c>
      <c r="J3522" s="75" t="inlineStr">
        <is>
          <t>V10001</t>
        </is>
      </c>
      <c r="K3522" s="75" t="inlineStr">
        <is>
          <t>M항공</t>
        </is>
      </c>
      <c r="M3522" s="9">
        <f>IF($A3522="","",VALUE($A3522&amp;"")*12+VALUE($B3522&amp;""))</f>
        <v/>
      </c>
      <c r="N3522" s="39">
        <f>IF($A3522="","",IFERROR(INDEX(부서매핑!$C$5:$C$504,MATCH($G3522&amp;"",부서매핑!$A$5:$A$504,0)),"미매핑"))</f>
        <v/>
      </c>
      <c r="O3522" s="9">
        <f>IF($A3522="","",N3522&amp;"|"&amp;$F3522)</f>
        <v/>
      </c>
      <c r="P3522" s="77">
        <f>IF($A3522="",0,$H3522*설정!$C$23)</f>
        <v/>
      </c>
      <c r="Q3522" s="39">
        <f>IF($A3522="","",IF(O3522&lt;&gt;원인분석!$C$9,"",IF(AND(M3522&gt;=원인분석!$C$10,M3522&lt;=원인분석!$C$11),"당기",IF(AND(M3522&gt;=원인분석!$C$12,M3522&lt;=원인분석!$C$13),"비교",""))))</f>
        <v/>
      </c>
      <c r="R3522" s="9">
        <f>IF(Q3522="","",$K3522&amp;"")</f>
        <v/>
      </c>
      <c r="S3522" s="9">
        <f>IF(Q3522="","",IF(MATCH(R3522,$R$5:$R$100000,0)=ROW()-4,ROW(),""))</f>
        <v/>
      </c>
      <c r="T3522" s="9">
        <f>IF(Q3522="당기",ABS(P3522)+ROW()/1000000000,"")</f>
        <v/>
      </c>
      <c r="U3522" s="9">
        <f>IF(Q3522="비교",ABS(P3522)+ROW()/1000000000,"")</f>
        <v/>
      </c>
      <c r="V3522" s="39">
        <f>IF($A3522="","",IF(COUNTIF(변동분석!$E$7:$E$506,O3522)&gt;0,"Y","N"))</f>
        <v/>
      </c>
      <c r="W3522" s="39">
        <f>IF($A3522="","",IFERROR(INDEX(계정매핑!$D$5:$D$504,MATCH($F3522&amp;"",계정매핑!$A$5:$A$504,0)),"미매핑"))</f>
        <v/>
      </c>
      <c r="X3522" s="9">
        <f>IF($A3522="","",$F3522&amp;"")</f>
        <v/>
      </c>
    </row>
    <row r="3523">
      <c r="A3523" s="75" t="n">
        <v>2026</v>
      </c>
      <c r="B3523" s="75" t="n">
        <v>7</v>
      </c>
      <c r="C3523" s="75" t="inlineStr">
        <is>
          <t>5100001179</t>
        </is>
      </c>
      <c r="D3523" s="78" t="n">
        <v>46205</v>
      </c>
      <c r="E3523" s="75" t="inlineStr">
        <is>
          <t>KR</t>
        </is>
      </c>
      <c r="F3523" s="75" t="n">
        <v>62101000</v>
      </c>
      <c r="G3523" s="75" t="n">
        <v>1601</v>
      </c>
      <c r="H3523" s="76" t="n">
        <v>942000</v>
      </c>
      <c r="I3523" s="75" t="inlineStr">
        <is>
          <t>7월 국내출장 - M항공</t>
        </is>
      </c>
      <c r="J3523" s="75" t="inlineStr">
        <is>
          <t>V10001</t>
        </is>
      </c>
      <c r="K3523" s="75" t="inlineStr">
        <is>
          <t>M항공</t>
        </is>
      </c>
      <c r="M3523" s="9">
        <f>IF($A3523="","",VALUE($A3523&amp;"")*12+VALUE($B3523&amp;""))</f>
        <v/>
      </c>
      <c r="N3523" s="39">
        <f>IF($A3523="","",IFERROR(INDEX(부서매핑!$C$5:$C$504,MATCH($G3523&amp;"",부서매핑!$A$5:$A$504,0)),"미매핑"))</f>
        <v/>
      </c>
      <c r="O3523" s="9">
        <f>IF($A3523="","",N3523&amp;"|"&amp;$F3523)</f>
        <v/>
      </c>
      <c r="P3523" s="77">
        <f>IF($A3523="",0,$H3523*설정!$C$23)</f>
        <v/>
      </c>
      <c r="Q3523" s="39">
        <f>IF($A3523="","",IF(O3523&lt;&gt;원인분석!$C$9,"",IF(AND(M3523&gt;=원인분석!$C$10,M3523&lt;=원인분석!$C$11),"당기",IF(AND(M3523&gt;=원인분석!$C$12,M3523&lt;=원인분석!$C$13),"비교",""))))</f>
        <v/>
      </c>
      <c r="R3523" s="9">
        <f>IF(Q3523="","",$K3523&amp;"")</f>
        <v/>
      </c>
      <c r="S3523" s="9">
        <f>IF(Q3523="","",IF(MATCH(R3523,$R$5:$R$100000,0)=ROW()-4,ROW(),""))</f>
        <v/>
      </c>
      <c r="T3523" s="9">
        <f>IF(Q3523="당기",ABS(P3523)+ROW()/1000000000,"")</f>
        <v/>
      </c>
      <c r="U3523" s="9">
        <f>IF(Q3523="비교",ABS(P3523)+ROW()/1000000000,"")</f>
        <v/>
      </c>
      <c r="V3523" s="39">
        <f>IF($A3523="","",IF(COUNTIF(변동분석!$E$7:$E$506,O3523)&gt;0,"Y","N"))</f>
        <v/>
      </c>
      <c r="W3523" s="39">
        <f>IF($A3523="","",IFERROR(INDEX(계정매핑!$D$5:$D$504,MATCH($F3523&amp;"",계정매핑!$A$5:$A$504,0)),"미매핑"))</f>
        <v/>
      </c>
      <c r="X3523" s="9">
        <f>IF($A3523="","",$F3523&amp;"")</f>
        <v/>
      </c>
    </row>
    <row r="3524">
      <c r="A3524" s="75" t="n">
        <v>2026</v>
      </c>
      <c r="B3524" s="75" t="n">
        <v>7</v>
      </c>
      <c r="C3524" s="75" t="inlineStr">
        <is>
          <t>5100001180</t>
        </is>
      </c>
      <c r="D3524" s="78" t="n">
        <v>46205</v>
      </c>
      <c r="E3524" s="75" t="inlineStr">
        <is>
          <t>KR</t>
        </is>
      </c>
      <c r="F3524" s="75" t="n">
        <v>62102000</v>
      </c>
      <c r="G3524" s="75" t="n">
        <v>1301</v>
      </c>
      <c r="H3524" s="76" t="n">
        <v>148000</v>
      </c>
      <c r="I3524" s="75" t="inlineStr">
        <is>
          <t>7월 해외출장 - M항공</t>
        </is>
      </c>
      <c r="J3524" s="75" t="inlineStr">
        <is>
          <t>V10001</t>
        </is>
      </c>
      <c r="K3524" s="75" t="inlineStr">
        <is>
          <t>M항공</t>
        </is>
      </c>
      <c r="M3524" s="9">
        <f>IF($A3524="","",VALUE($A3524&amp;"")*12+VALUE($B3524&amp;""))</f>
        <v/>
      </c>
      <c r="N3524" s="39">
        <f>IF($A3524="","",IFERROR(INDEX(부서매핑!$C$5:$C$504,MATCH($G3524&amp;"",부서매핑!$A$5:$A$504,0)),"미매핑"))</f>
        <v/>
      </c>
      <c r="O3524" s="9">
        <f>IF($A3524="","",N3524&amp;"|"&amp;$F3524)</f>
        <v/>
      </c>
      <c r="P3524" s="77">
        <f>IF($A3524="",0,$H3524*설정!$C$23)</f>
        <v/>
      </c>
      <c r="Q3524" s="39">
        <f>IF($A3524="","",IF(O3524&lt;&gt;원인분석!$C$9,"",IF(AND(M3524&gt;=원인분석!$C$10,M3524&lt;=원인분석!$C$11),"당기",IF(AND(M3524&gt;=원인분석!$C$12,M3524&lt;=원인분석!$C$13),"비교",""))))</f>
        <v/>
      </c>
      <c r="R3524" s="9">
        <f>IF(Q3524="","",$K3524&amp;"")</f>
        <v/>
      </c>
      <c r="S3524" s="9">
        <f>IF(Q3524="","",IF(MATCH(R3524,$R$5:$R$100000,0)=ROW()-4,ROW(),""))</f>
        <v/>
      </c>
      <c r="T3524" s="9">
        <f>IF(Q3524="당기",ABS(P3524)+ROW()/1000000000,"")</f>
        <v/>
      </c>
      <c r="U3524" s="9">
        <f>IF(Q3524="비교",ABS(P3524)+ROW()/1000000000,"")</f>
        <v/>
      </c>
      <c r="V3524" s="39">
        <f>IF($A3524="","",IF(COUNTIF(변동분석!$E$7:$E$506,O3524)&gt;0,"Y","N"))</f>
        <v/>
      </c>
      <c r="W3524" s="39">
        <f>IF($A3524="","",IFERROR(INDEX(계정매핑!$D$5:$D$504,MATCH($F3524&amp;"",계정매핑!$A$5:$A$504,0)),"미매핑"))</f>
        <v/>
      </c>
      <c r="X3524" s="9">
        <f>IF($A3524="","",$F3524&amp;"")</f>
        <v/>
      </c>
    </row>
    <row r="3525">
      <c r="A3525" s="75" t="n">
        <v>2026</v>
      </c>
      <c r="B3525" s="75" t="n">
        <v>7</v>
      </c>
      <c r="C3525" s="75" t="inlineStr">
        <is>
          <t>5100001181</t>
        </is>
      </c>
      <c r="D3525" s="78" t="n">
        <v>46205</v>
      </c>
      <c r="E3525" s="75" t="inlineStr">
        <is>
          <t>KR</t>
        </is>
      </c>
      <c r="F3525" s="75" t="n">
        <v>62102000</v>
      </c>
      <c r="G3525" s="75" t="n">
        <v>1801</v>
      </c>
      <c r="H3525" s="76" t="n">
        <v>37000</v>
      </c>
      <c r="I3525" s="75" t="inlineStr">
        <is>
          <t>7월 해외출장 - N호텔</t>
        </is>
      </c>
      <c r="J3525" s="75" t="inlineStr">
        <is>
          <t>V10007</t>
        </is>
      </c>
      <c r="K3525" s="75" t="inlineStr">
        <is>
          <t>N호텔</t>
        </is>
      </c>
      <c r="M3525" s="9">
        <f>IF($A3525="","",VALUE($A3525&amp;"")*12+VALUE($B3525&amp;""))</f>
        <v/>
      </c>
      <c r="N3525" s="39">
        <f>IF($A3525="","",IFERROR(INDEX(부서매핑!$C$5:$C$504,MATCH($G3525&amp;"",부서매핑!$A$5:$A$504,0)),"미매핑"))</f>
        <v/>
      </c>
      <c r="O3525" s="9">
        <f>IF($A3525="","",N3525&amp;"|"&amp;$F3525)</f>
        <v/>
      </c>
      <c r="P3525" s="77">
        <f>IF($A3525="",0,$H3525*설정!$C$23)</f>
        <v/>
      </c>
      <c r="Q3525" s="39">
        <f>IF($A3525="","",IF(O3525&lt;&gt;원인분석!$C$9,"",IF(AND(M3525&gt;=원인분석!$C$10,M3525&lt;=원인분석!$C$11),"당기",IF(AND(M3525&gt;=원인분석!$C$12,M3525&lt;=원인분석!$C$13),"비교",""))))</f>
        <v/>
      </c>
      <c r="R3525" s="9">
        <f>IF(Q3525="","",$K3525&amp;"")</f>
        <v/>
      </c>
      <c r="S3525" s="9">
        <f>IF(Q3525="","",IF(MATCH(R3525,$R$5:$R$100000,0)=ROW()-4,ROW(),""))</f>
        <v/>
      </c>
      <c r="T3525" s="9">
        <f>IF(Q3525="당기",ABS(P3525)+ROW()/1000000000,"")</f>
        <v/>
      </c>
      <c r="U3525" s="9">
        <f>IF(Q3525="비교",ABS(P3525)+ROW()/1000000000,"")</f>
        <v/>
      </c>
      <c r="V3525" s="39">
        <f>IF($A3525="","",IF(COUNTIF(변동분석!$E$7:$E$506,O3525)&gt;0,"Y","N"))</f>
        <v/>
      </c>
      <c r="W3525" s="39">
        <f>IF($A3525="","",IFERROR(INDEX(계정매핑!$D$5:$D$504,MATCH($F3525&amp;"",계정매핑!$A$5:$A$504,0)),"미매핑"))</f>
        <v/>
      </c>
      <c r="X3525" s="9">
        <f>IF($A3525="","",$F3525&amp;"")</f>
        <v/>
      </c>
    </row>
    <row r="3526">
      <c r="A3526" s="75" t="n">
        <v>2026</v>
      </c>
      <c r="B3526" s="75" t="n">
        <v>7</v>
      </c>
      <c r="C3526" s="75" t="inlineStr">
        <is>
          <t>5100001182</t>
        </is>
      </c>
      <c r="D3526" s="78" t="n">
        <v>46205</v>
      </c>
      <c r="E3526" s="75" t="inlineStr">
        <is>
          <t>KR</t>
        </is>
      </c>
      <c r="F3526" s="75" t="n">
        <v>62201000</v>
      </c>
      <c r="G3526" s="75" t="n">
        <v>1101</v>
      </c>
      <c r="H3526" s="76" t="n">
        <v>422000</v>
      </c>
      <c r="I3526" s="75" t="inlineStr">
        <is>
          <t>7월 통신요금 - P통신</t>
        </is>
      </c>
      <c r="J3526" s="75" t="inlineStr">
        <is>
          <t>V10011</t>
        </is>
      </c>
      <c r="K3526" s="75" t="inlineStr">
        <is>
          <t>P통신</t>
        </is>
      </c>
      <c r="M3526" s="9">
        <f>IF($A3526="","",VALUE($A3526&amp;"")*12+VALUE($B3526&amp;""))</f>
        <v/>
      </c>
      <c r="N3526" s="39">
        <f>IF($A3526="","",IFERROR(INDEX(부서매핑!$C$5:$C$504,MATCH($G3526&amp;"",부서매핑!$A$5:$A$504,0)),"미매핑"))</f>
        <v/>
      </c>
      <c r="O3526" s="9">
        <f>IF($A3526="","",N3526&amp;"|"&amp;$F3526)</f>
        <v/>
      </c>
      <c r="P3526" s="77">
        <f>IF($A3526="",0,$H3526*설정!$C$23)</f>
        <v/>
      </c>
      <c r="Q3526" s="39">
        <f>IF($A3526="","",IF(O3526&lt;&gt;원인분석!$C$9,"",IF(AND(M3526&gt;=원인분석!$C$10,M3526&lt;=원인분석!$C$11),"당기",IF(AND(M3526&gt;=원인분석!$C$12,M3526&lt;=원인분석!$C$13),"비교",""))))</f>
        <v/>
      </c>
      <c r="R3526" s="9">
        <f>IF(Q3526="","",$K3526&amp;"")</f>
        <v/>
      </c>
      <c r="S3526" s="9">
        <f>IF(Q3526="","",IF(MATCH(R3526,$R$5:$R$100000,0)=ROW()-4,ROW(),""))</f>
        <v/>
      </c>
      <c r="T3526" s="9">
        <f>IF(Q3526="당기",ABS(P3526)+ROW()/1000000000,"")</f>
        <v/>
      </c>
      <c r="U3526" s="9">
        <f>IF(Q3526="비교",ABS(P3526)+ROW()/1000000000,"")</f>
        <v/>
      </c>
      <c r="V3526" s="39">
        <f>IF($A3526="","",IF(COUNTIF(변동분석!$E$7:$E$506,O3526)&gt;0,"Y","N"))</f>
        <v/>
      </c>
      <c r="W3526" s="39">
        <f>IF($A3526="","",IFERROR(INDEX(계정매핑!$D$5:$D$504,MATCH($F3526&amp;"",계정매핑!$A$5:$A$504,0)),"미매핑"))</f>
        <v/>
      </c>
      <c r="X3526" s="9">
        <f>IF($A3526="","",$F3526&amp;"")</f>
        <v/>
      </c>
    </row>
    <row r="3527">
      <c r="A3527" s="75" t="n">
        <v>2026</v>
      </c>
      <c r="B3527" s="75" t="n">
        <v>7</v>
      </c>
      <c r="C3527" s="75" t="inlineStr">
        <is>
          <t>5100001183</t>
        </is>
      </c>
      <c r="D3527" s="78" t="n">
        <v>46205</v>
      </c>
      <c r="E3527" s="75" t="inlineStr">
        <is>
          <t>KR</t>
        </is>
      </c>
      <c r="F3527" s="75" t="n">
        <v>62201000</v>
      </c>
      <c r="G3527" s="75" t="n">
        <v>1502</v>
      </c>
      <c r="H3527" s="76" t="n">
        <v>311000</v>
      </c>
      <c r="I3527" s="75" t="inlineStr">
        <is>
          <t>7월 통신요금 - O텔레콤</t>
        </is>
      </c>
      <c r="J3527" s="75" t="inlineStr">
        <is>
          <t>V10002</t>
        </is>
      </c>
      <c r="K3527" s="75" t="inlineStr">
        <is>
          <t>O텔레콤</t>
        </is>
      </c>
      <c r="M3527" s="9">
        <f>IF($A3527="","",VALUE($A3527&amp;"")*12+VALUE($B3527&amp;""))</f>
        <v/>
      </c>
      <c r="N3527" s="39">
        <f>IF($A3527="","",IFERROR(INDEX(부서매핑!$C$5:$C$504,MATCH($G3527&amp;"",부서매핑!$A$5:$A$504,0)),"미매핑"))</f>
        <v/>
      </c>
      <c r="O3527" s="9">
        <f>IF($A3527="","",N3527&amp;"|"&amp;$F3527)</f>
        <v/>
      </c>
      <c r="P3527" s="77">
        <f>IF($A3527="",0,$H3527*설정!$C$23)</f>
        <v/>
      </c>
      <c r="Q3527" s="39">
        <f>IF($A3527="","",IF(O3527&lt;&gt;원인분석!$C$9,"",IF(AND(M3527&gt;=원인분석!$C$10,M3527&lt;=원인분석!$C$11),"당기",IF(AND(M3527&gt;=원인분석!$C$12,M3527&lt;=원인분석!$C$13),"비교",""))))</f>
        <v/>
      </c>
      <c r="R3527" s="9">
        <f>IF(Q3527="","",$K3527&amp;"")</f>
        <v/>
      </c>
      <c r="S3527" s="9">
        <f>IF(Q3527="","",IF(MATCH(R3527,$R$5:$R$100000,0)=ROW()-4,ROW(),""))</f>
        <v/>
      </c>
      <c r="T3527" s="9">
        <f>IF(Q3527="당기",ABS(P3527)+ROW()/1000000000,"")</f>
        <v/>
      </c>
      <c r="U3527" s="9">
        <f>IF(Q3527="비교",ABS(P3527)+ROW()/1000000000,"")</f>
        <v/>
      </c>
      <c r="V3527" s="39">
        <f>IF($A3527="","",IF(COUNTIF(변동분석!$E$7:$E$506,O3527)&gt;0,"Y","N"))</f>
        <v/>
      </c>
      <c r="W3527" s="39">
        <f>IF($A3527="","",IFERROR(INDEX(계정매핑!$D$5:$D$504,MATCH($F3527&amp;"",계정매핑!$A$5:$A$504,0)),"미매핑"))</f>
        <v/>
      </c>
      <c r="X3527" s="9">
        <f>IF($A3527="","",$F3527&amp;"")</f>
        <v/>
      </c>
    </row>
    <row r="3528">
      <c r="A3528" s="75" t="n">
        <v>2026</v>
      </c>
      <c r="B3528" s="75" t="n">
        <v>7</v>
      </c>
      <c r="C3528" s="75" t="inlineStr">
        <is>
          <t>5100001184</t>
        </is>
      </c>
      <c r="D3528" s="78" t="n">
        <v>46205</v>
      </c>
      <c r="E3528" s="75" t="inlineStr">
        <is>
          <t>KR</t>
        </is>
      </c>
      <c r="F3528" s="75" t="n">
        <v>62301000</v>
      </c>
      <c r="G3528" s="75" t="n">
        <v>1101</v>
      </c>
      <c r="H3528" s="76" t="n">
        <v>162000</v>
      </c>
      <c r="I3528" s="75" t="inlineStr">
        <is>
          <t>7월 소모품 구입 - Q오피스</t>
        </is>
      </c>
      <c r="J3528" s="75" t="inlineStr">
        <is>
          <t>V10003</t>
        </is>
      </c>
      <c r="K3528" s="75" t="inlineStr">
        <is>
          <t>Q오피스</t>
        </is>
      </c>
      <c r="M3528" s="9">
        <f>IF($A3528="","",VALUE($A3528&amp;"")*12+VALUE($B3528&amp;""))</f>
        <v/>
      </c>
      <c r="N3528" s="39">
        <f>IF($A3528="","",IFERROR(INDEX(부서매핑!$C$5:$C$504,MATCH($G3528&amp;"",부서매핑!$A$5:$A$504,0)),"미매핑"))</f>
        <v/>
      </c>
      <c r="O3528" s="9">
        <f>IF($A3528="","",N3528&amp;"|"&amp;$F3528)</f>
        <v/>
      </c>
      <c r="P3528" s="77">
        <f>IF($A3528="",0,$H3528*설정!$C$23)</f>
        <v/>
      </c>
      <c r="Q3528" s="39">
        <f>IF($A3528="","",IF(O3528&lt;&gt;원인분석!$C$9,"",IF(AND(M3528&gt;=원인분석!$C$10,M3528&lt;=원인분석!$C$11),"당기",IF(AND(M3528&gt;=원인분석!$C$12,M3528&lt;=원인분석!$C$13),"비교",""))))</f>
        <v/>
      </c>
      <c r="R3528" s="9">
        <f>IF(Q3528="","",$K3528&amp;"")</f>
        <v/>
      </c>
      <c r="S3528" s="9">
        <f>IF(Q3528="","",IF(MATCH(R3528,$R$5:$R$100000,0)=ROW()-4,ROW(),""))</f>
        <v/>
      </c>
      <c r="T3528" s="9">
        <f>IF(Q3528="당기",ABS(P3528)+ROW()/1000000000,"")</f>
        <v/>
      </c>
      <c r="U3528" s="9">
        <f>IF(Q3528="비교",ABS(P3528)+ROW()/1000000000,"")</f>
        <v/>
      </c>
      <c r="V3528" s="39">
        <f>IF($A3528="","",IF(COUNTIF(변동분석!$E$7:$E$506,O3528)&gt;0,"Y","N"))</f>
        <v/>
      </c>
      <c r="W3528" s="39">
        <f>IF($A3528="","",IFERROR(INDEX(계정매핑!$D$5:$D$504,MATCH($F3528&amp;"",계정매핑!$A$5:$A$504,0)),"미매핑"))</f>
        <v/>
      </c>
      <c r="X3528" s="9">
        <f>IF($A3528="","",$F3528&amp;"")</f>
        <v/>
      </c>
    </row>
    <row r="3529">
      <c r="A3529" s="75" t="n">
        <v>2026</v>
      </c>
      <c r="B3529" s="75" t="n">
        <v>7</v>
      </c>
      <c r="C3529" s="75" t="inlineStr">
        <is>
          <t>5100001185</t>
        </is>
      </c>
      <c r="D3529" s="78" t="n">
        <v>46205</v>
      </c>
      <c r="E3529" s="75" t="inlineStr">
        <is>
          <t>KR</t>
        </is>
      </c>
      <c r="F3529" s="75" t="n">
        <v>62301000</v>
      </c>
      <c r="G3529" s="75" t="n">
        <v>1401</v>
      </c>
      <c r="H3529" s="76" t="n">
        <v>116000</v>
      </c>
      <c r="I3529" s="75" t="inlineStr">
        <is>
          <t>7월 소모품 구입 - Q오피스</t>
        </is>
      </c>
      <c r="J3529" s="75" t="inlineStr">
        <is>
          <t>V10003</t>
        </is>
      </c>
      <c r="K3529" s="75" t="inlineStr">
        <is>
          <t>Q오피스</t>
        </is>
      </c>
      <c r="M3529" s="9">
        <f>IF($A3529="","",VALUE($A3529&amp;"")*12+VALUE($B3529&amp;""))</f>
        <v/>
      </c>
      <c r="N3529" s="39">
        <f>IF($A3529="","",IFERROR(INDEX(부서매핑!$C$5:$C$504,MATCH($G3529&amp;"",부서매핑!$A$5:$A$504,0)),"미매핑"))</f>
        <v/>
      </c>
      <c r="O3529" s="9">
        <f>IF($A3529="","",N3529&amp;"|"&amp;$F3529)</f>
        <v/>
      </c>
      <c r="P3529" s="77">
        <f>IF($A3529="",0,$H3529*설정!$C$23)</f>
        <v/>
      </c>
      <c r="Q3529" s="39">
        <f>IF($A3529="","",IF(O3529&lt;&gt;원인분석!$C$9,"",IF(AND(M3529&gt;=원인분석!$C$10,M3529&lt;=원인분석!$C$11),"당기",IF(AND(M3529&gt;=원인분석!$C$12,M3529&lt;=원인분석!$C$13),"비교",""))))</f>
        <v/>
      </c>
      <c r="R3529" s="9">
        <f>IF(Q3529="","",$K3529&amp;"")</f>
        <v/>
      </c>
      <c r="S3529" s="9">
        <f>IF(Q3529="","",IF(MATCH(R3529,$R$5:$R$100000,0)=ROW()-4,ROW(),""))</f>
        <v/>
      </c>
      <c r="T3529" s="9">
        <f>IF(Q3529="당기",ABS(P3529)+ROW()/1000000000,"")</f>
        <v/>
      </c>
      <c r="U3529" s="9">
        <f>IF(Q3529="비교",ABS(P3529)+ROW()/1000000000,"")</f>
        <v/>
      </c>
      <c r="V3529" s="39">
        <f>IF($A3529="","",IF(COUNTIF(변동분석!$E$7:$E$506,O3529)&gt;0,"Y","N"))</f>
        <v/>
      </c>
      <c r="W3529" s="39">
        <f>IF($A3529="","",IFERROR(INDEX(계정매핑!$D$5:$D$504,MATCH($F3529&amp;"",계정매핑!$A$5:$A$504,0)),"미매핑"))</f>
        <v/>
      </c>
      <c r="X3529" s="9">
        <f>IF($A3529="","",$F3529&amp;"")</f>
        <v/>
      </c>
    </row>
    <row r="3530">
      <c r="A3530" s="75" t="n">
        <v>2026</v>
      </c>
      <c r="B3530" s="75" t="n">
        <v>7</v>
      </c>
      <c r="C3530" s="75" t="inlineStr">
        <is>
          <t>5100001186</t>
        </is>
      </c>
      <c r="D3530" s="78" t="n">
        <v>46205</v>
      </c>
      <c r="E3530" s="75" t="inlineStr">
        <is>
          <t>KR</t>
        </is>
      </c>
      <c r="F3530" s="75" t="n">
        <v>62501000</v>
      </c>
      <c r="G3530" s="75" t="n">
        <v>1401</v>
      </c>
      <c r="H3530" s="76" t="n">
        <v>141000</v>
      </c>
      <c r="I3530" s="75" t="inlineStr">
        <is>
          <t>7월 회의 다과 - T케이터링</t>
        </is>
      </c>
      <c r="J3530" s="75" t="inlineStr">
        <is>
          <t>V10005</t>
        </is>
      </c>
      <c r="K3530" s="75" t="inlineStr">
        <is>
          <t>T케이터링</t>
        </is>
      </c>
      <c r="M3530" s="9">
        <f>IF($A3530="","",VALUE($A3530&amp;"")*12+VALUE($B3530&amp;""))</f>
        <v/>
      </c>
      <c r="N3530" s="39">
        <f>IF($A3530="","",IFERROR(INDEX(부서매핑!$C$5:$C$504,MATCH($G3530&amp;"",부서매핑!$A$5:$A$504,0)),"미매핑"))</f>
        <v/>
      </c>
      <c r="O3530" s="9">
        <f>IF($A3530="","",N3530&amp;"|"&amp;$F3530)</f>
        <v/>
      </c>
      <c r="P3530" s="77">
        <f>IF($A3530="",0,$H3530*설정!$C$23)</f>
        <v/>
      </c>
      <c r="Q3530" s="39">
        <f>IF($A3530="","",IF(O3530&lt;&gt;원인분석!$C$9,"",IF(AND(M3530&gt;=원인분석!$C$10,M3530&lt;=원인분석!$C$11),"당기",IF(AND(M3530&gt;=원인분석!$C$12,M3530&lt;=원인분석!$C$13),"비교",""))))</f>
        <v/>
      </c>
      <c r="R3530" s="9">
        <f>IF(Q3530="","",$K3530&amp;"")</f>
        <v/>
      </c>
      <c r="S3530" s="9">
        <f>IF(Q3530="","",IF(MATCH(R3530,$R$5:$R$100000,0)=ROW()-4,ROW(),""))</f>
        <v/>
      </c>
      <c r="T3530" s="9">
        <f>IF(Q3530="당기",ABS(P3530)+ROW()/1000000000,"")</f>
        <v/>
      </c>
      <c r="U3530" s="9">
        <f>IF(Q3530="비교",ABS(P3530)+ROW()/1000000000,"")</f>
        <v/>
      </c>
      <c r="V3530" s="39">
        <f>IF($A3530="","",IF(COUNTIF(변동분석!$E$7:$E$506,O3530)&gt;0,"Y","N"))</f>
        <v/>
      </c>
      <c r="W3530" s="39">
        <f>IF($A3530="","",IFERROR(INDEX(계정매핑!$D$5:$D$504,MATCH($F3530&amp;"",계정매핑!$A$5:$A$504,0)),"미매핑"))</f>
        <v/>
      </c>
      <c r="X3530" s="9">
        <f>IF($A3530="","",$F3530&amp;"")</f>
        <v/>
      </c>
    </row>
    <row r="3531">
      <c r="A3531" s="75" t="n">
        <v>2026</v>
      </c>
      <c r="B3531" s="75" t="n">
        <v>7</v>
      </c>
      <c r="C3531" s="75" t="inlineStr">
        <is>
          <t>5100001187</t>
        </is>
      </c>
      <c r="D3531" s="78" t="n">
        <v>46205</v>
      </c>
      <c r="E3531" s="75" t="inlineStr">
        <is>
          <t>KR</t>
        </is>
      </c>
      <c r="F3531" s="75" t="n">
        <v>62801000</v>
      </c>
      <c r="G3531" s="75" t="n">
        <v>1301</v>
      </c>
      <c r="H3531" s="76" t="n">
        <v>5718000</v>
      </c>
      <c r="I3531" s="75" t="inlineStr">
        <is>
          <t>7월 사내교육 - U에듀</t>
        </is>
      </c>
      <c r="J3531" s="75" t="inlineStr">
        <is>
          <t>V10026</t>
        </is>
      </c>
      <c r="K3531" s="75" t="inlineStr">
        <is>
          <t>U에듀</t>
        </is>
      </c>
      <c r="M3531" s="9">
        <f>IF($A3531="","",VALUE($A3531&amp;"")*12+VALUE($B3531&amp;""))</f>
        <v/>
      </c>
      <c r="N3531" s="39">
        <f>IF($A3531="","",IFERROR(INDEX(부서매핑!$C$5:$C$504,MATCH($G3531&amp;"",부서매핑!$A$5:$A$504,0)),"미매핑"))</f>
        <v/>
      </c>
      <c r="O3531" s="9">
        <f>IF($A3531="","",N3531&amp;"|"&amp;$F3531)</f>
        <v/>
      </c>
      <c r="P3531" s="77">
        <f>IF($A3531="",0,$H3531*설정!$C$23)</f>
        <v/>
      </c>
      <c r="Q3531" s="39">
        <f>IF($A3531="","",IF(O3531&lt;&gt;원인분석!$C$9,"",IF(AND(M3531&gt;=원인분석!$C$10,M3531&lt;=원인분석!$C$11),"당기",IF(AND(M3531&gt;=원인분석!$C$12,M3531&lt;=원인분석!$C$13),"비교",""))))</f>
        <v/>
      </c>
      <c r="R3531" s="9">
        <f>IF(Q3531="","",$K3531&amp;"")</f>
        <v/>
      </c>
      <c r="S3531" s="9">
        <f>IF(Q3531="","",IF(MATCH(R3531,$R$5:$R$100000,0)=ROW()-4,ROW(),""))</f>
        <v/>
      </c>
      <c r="T3531" s="9">
        <f>IF(Q3531="당기",ABS(P3531)+ROW()/1000000000,"")</f>
        <v/>
      </c>
      <c r="U3531" s="9">
        <f>IF(Q3531="비교",ABS(P3531)+ROW()/1000000000,"")</f>
        <v/>
      </c>
      <c r="V3531" s="39">
        <f>IF($A3531="","",IF(COUNTIF(변동분석!$E$7:$E$506,O3531)&gt;0,"Y","N"))</f>
        <v/>
      </c>
      <c r="W3531" s="39">
        <f>IF($A3531="","",IFERROR(INDEX(계정매핑!$D$5:$D$504,MATCH($F3531&amp;"",계정매핑!$A$5:$A$504,0)),"미매핑"))</f>
        <v/>
      </c>
      <c r="X3531" s="9">
        <f>IF($A3531="","",$F3531&amp;"")</f>
        <v/>
      </c>
    </row>
    <row r="3532">
      <c r="A3532" s="75" t="n">
        <v>2026</v>
      </c>
      <c r="B3532" s="75" t="n">
        <v>7</v>
      </c>
      <c r="C3532" s="75" t="inlineStr">
        <is>
          <t>5100001188</t>
        </is>
      </c>
      <c r="D3532" s="78" t="n">
        <v>46205</v>
      </c>
      <c r="E3532" s="75" t="inlineStr">
        <is>
          <t>KR</t>
        </is>
      </c>
      <c r="F3532" s="75" t="n">
        <v>62901000</v>
      </c>
      <c r="G3532" s="75" t="n">
        <v>1201</v>
      </c>
      <c r="H3532" s="76" t="n">
        <v>7492000</v>
      </c>
      <c r="I3532" s="75" t="inlineStr">
        <is>
          <t>7월 자문 수수료 - K회계법인</t>
        </is>
      </c>
      <c r="J3532" s="75" t="inlineStr">
        <is>
          <t>V10010</t>
        </is>
      </c>
      <c r="K3532" s="75" t="inlineStr">
        <is>
          <t>K회계법인</t>
        </is>
      </c>
      <c r="M3532" s="9">
        <f>IF($A3532="","",VALUE($A3532&amp;"")*12+VALUE($B3532&amp;""))</f>
        <v/>
      </c>
      <c r="N3532" s="39">
        <f>IF($A3532="","",IFERROR(INDEX(부서매핑!$C$5:$C$504,MATCH($G3532&amp;"",부서매핑!$A$5:$A$504,0)),"미매핑"))</f>
        <v/>
      </c>
      <c r="O3532" s="9">
        <f>IF($A3532="","",N3532&amp;"|"&amp;$F3532)</f>
        <v/>
      </c>
      <c r="P3532" s="77">
        <f>IF($A3532="",0,$H3532*설정!$C$23)</f>
        <v/>
      </c>
      <c r="Q3532" s="39">
        <f>IF($A3532="","",IF(O3532&lt;&gt;원인분석!$C$9,"",IF(AND(M3532&gt;=원인분석!$C$10,M3532&lt;=원인분석!$C$11),"당기",IF(AND(M3532&gt;=원인분석!$C$12,M3532&lt;=원인분석!$C$13),"비교",""))))</f>
        <v/>
      </c>
      <c r="R3532" s="9">
        <f>IF(Q3532="","",$K3532&amp;"")</f>
        <v/>
      </c>
      <c r="S3532" s="9">
        <f>IF(Q3532="","",IF(MATCH(R3532,$R$5:$R$100000,0)=ROW()-4,ROW(),""))</f>
        <v/>
      </c>
      <c r="T3532" s="9">
        <f>IF(Q3532="당기",ABS(P3532)+ROW()/1000000000,"")</f>
        <v/>
      </c>
      <c r="U3532" s="9">
        <f>IF(Q3532="비교",ABS(P3532)+ROW()/1000000000,"")</f>
        <v/>
      </c>
      <c r="V3532" s="39">
        <f>IF($A3532="","",IF(COUNTIF(변동분석!$E$7:$E$506,O3532)&gt;0,"Y","N"))</f>
        <v/>
      </c>
      <c r="W3532" s="39">
        <f>IF($A3532="","",IFERROR(INDEX(계정매핑!$D$5:$D$504,MATCH($F3532&amp;"",계정매핑!$A$5:$A$504,0)),"미매핑"))</f>
        <v/>
      </c>
      <c r="X3532" s="9">
        <f>IF($A3532="","",$F3532&amp;"")</f>
        <v/>
      </c>
    </row>
    <row r="3533">
      <c r="A3533" s="75" t="n">
        <v>2026</v>
      </c>
      <c r="B3533" s="75" t="n">
        <v>7</v>
      </c>
      <c r="C3533" s="75" t="inlineStr">
        <is>
          <t>5100001189</t>
        </is>
      </c>
      <c r="D3533" s="78" t="n">
        <v>46206</v>
      </c>
      <c r="E3533" s="75" t="inlineStr">
        <is>
          <t>KR</t>
        </is>
      </c>
      <c r="F3533" s="75" t="n">
        <v>62101000</v>
      </c>
      <c r="G3533" s="75" t="n">
        <v>1401</v>
      </c>
      <c r="H3533" s="76" t="n">
        <v>389000</v>
      </c>
      <c r="I3533" s="75" t="inlineStr">
        <is>
          <t>7월 국내출장 - L여행사</t>
        </is>
      </c>
      <c r="J3533" s="75" t="inlineStr">
        <is>
          <t>V10014</t>
        </is>
      </c>
      <c r="K3533" s="75" t="inlineStr">
        <is>
          <t>L여행사</t>
        </is>
      </c>
      <c r="M3533" s="9">
        <f>IF($A3533="","",VALUE($A3533&amp;"")*12+VALUE($B3533&amp;""))</f>
        <v/>
      </c>
      <c r="N3533" s="39">
        <f>IF($A3533="","",IFERROR(INDEX(부서매핑!$C$5:$C$504,MATCH($G3533&amp;"",부서매핑!$A$5:$A$504,0)),"미매핑"))</f>
        <v/>
      </c>
      <c r="O3533" s="9">
        <f>IF($A3533="","",N3533&amp;"|"&amp;$F3533)</f>
        <v/>
      </c>
      <c r="P3533" s="77">
        <f>IF($A3533="",0,$H3533*설정!$C$23)</f>
        <v/>
      </c>
      <c r="Q3533" s="39">
        <f>IF($A3533="","",IF(O3533&lt;&gt;원인분석!$C$9,"",IF(AND(M3533&gt;=원인분석!$C$10,M3533&lt;=원인분석!$C$11),"당기",IF(AND(M3533&gt;=원인분석!$C$12,M3533&lt;=원인분석!$C$13),"비교",""))))</f>
        <v/>
      </c>
      <c r="R3533" s="9">
        <f>IF(Q3533="","",$K3533&amp;"")</f>
        <v/>
      </c>
      <c r="S3533" s="9">
        <f>IF(Q3533="","",IF(MATCH(R3533,$R$5:$R$100000,0)=ROW()-4,ROW(),""))</f>
        <v/>
      </c>
      <c r="T3533" s="9">
        <f>IF(Q3533="당기",ABS(P3533)+ROW()/1000000000,"")</f>
        <v/>
      </c>
      <c r="U3533" s="9">
        <f>IF(Q3533="비교",ABS(P3533)+ROW()/1000000000,"")</f>
        <v/>
      </c>
      <c r="V3533" s="39">
        <f>IF($A3533="","",IF(COUNTIF(변동분석!$E$7:$E$506,O3533)&gt;0,"Y","N"))</f>
        <v/>
      </c>
      <c r="W3533" s="39">
        <f>IF($A3533="","",IFERROR(INDEX(계정매핑!$D$5:$D$504,MATCH($F3533&amp;"",계정매핑!$A$5:$A$504,0)),"미매핑"))</f>
        <v/>
      </c>
      <c r="X3533" s="9">
        <f>IF($A3533="","",$F3533&amp;"")</f>
        <v/>
      </c>
    </row>
    <row r="3534">
      <c r="A3534" s="75" t="n">
        <v>2026</v>
      </c>
      <c r="B3534" s="75" t="n">
        <v>7</v>
      </c>
      <c r="C3534" s="75" t="inlineStr">
        <is>
          <t>5100001190</t>
        </is>
      </c>
      <c r="D3534" s="78" t="n">
        <v>46206</v>
      </c>
      <c r="E3534" s="75" t="inlineStr">
        <is>
          <t>KR</t>
        </is>
      </c>
      <c r="F3534" s="75" t="n">
        <v>62101000</v>
      </c>
      <c r="G3534" s="75" t="n">
        <v>1701</v>
      </c>
      <c r="H3534" s="76" t="n">
        <v>155000</v>
      </c>
      <c r="I3534" s="75" t="inlineStr">
        <is>
          <t>7월 국내출장 - L여행사</t>
        </is>
      </c>
      <c r="J3534" s="75" t="inlineStr">
        <is>
          <t>V10014</t>
        </is>
      </c>
      <c r="K3534" s="75" t="inlineStr">
        <is>
          <t>L여행사</t>
        </is>
      </c>
      <c r="M3534" s="9">
        <f>IF($A3534="","",VALUE($A3534&amp;"")*12+VALUE($B3534&amp;""))</f>
        <v/>
      </c>
      <c r="N3534" s="39">
        <f>IF($A3534="","",IFERROR(INDEX(부서매핑!$C$5:$C$504,MATCH($G3534&amp;"",부서매핑!$A$5:$A$504,0)),"미매핑"))</f>
        <v/>
      </c>
      <c r="O3534" s="9">
        <f>IF($A3534="","",N3534&amp;"|"&amp;$F3534)</f>
        <v/>
      </c>
      <c r="P3534" s="77">
        <f>IF($A3534="",0,$H3534*설정!$C$23)</f>
        <v/>
      </c>
      <c r="Q3534" s="39">
        <f>IF($A3534="","",IF(O3534&lt;&gt;원인분석!$C$9,"",IF(AND(M3534&gt;=원인분석!$C$10,M3534&lt;=원인분석!$C$11),"당기",IF(AND(M3534&gt;=원인분석!$C$12,M3534&lt;=원인분석!$C$13),"비교",""))))</f>
        <v/>
      </c>
      <c r="R3534" s="9">
        <f>IF(Q3534="","",$K3534&amp;"")</f>
        <v/>
      </c>
      <c r="S3534" s="9">
        <f>IF(Q3534="","",IF(MATCH(R3534,$R$5:$R$100000,0)=ROW()-4,ROW(),""))</f>
        <v/>
      </c>
      <c r="T3534" s="9">
        <f>IF(Q3534="당기",ABS(P3534)+ROW()/1000000000,"")</f>
        <v/>
      </c>
      <c r="U3534" s="9">
        <f>IF(Q3534="비교",ABS(P3534)+ROW()/1000000000,"")</f>
        <v/>
      </c>
      <c r="V3534" s="39">
        <f>IF($A3534="","",IF(COUNTIF(변동분석!$E$7:$E$506,O3534)&gt;0,"Y","N"))</f>
        <v/>
      </c>
      <c r="W3534" s="39">
        <f>IF($A3534="","",IFERROR(INDEX(계정매핑!$D$5:$D$504,MATCH($F3534&amp;"",계정매핑!$A$5:$A$504,0)),"미매핑"))</f>
        <v/>
      </c>
      <c r="X3534" s="9">
        <f>IF($A3534="","",$F3534&amp;"")</f>
        <v/>
      </c>
    </row>
    <row r="3535">
      <c r="A3535" s="75" t="n">
        <v>2026</v>
      </c>
      <c r="B3535" s="75" t="n">
        <v>7</v>
      </c>
      <c r="C3535" s="75" t="inlineStr">
        <is>
          <t>5100001191</t>
        </is>
      </c>
      <c r="D3535" s="78" t="n">
        <v>46206</v>
      </c>
      <c r="E3535" s="75" t="inlineStr">
        <is>
          <t>KR</t>
        </is>
      </c>
      <c r="F3535" s="75" t="n">
        <v>62201000</v>
      </c>
      <c r="G3535" s="75" t="n">
        <v>1601</v>
      </c>
      <c r="H3535" s="76" t="n">
        <v>832000</v>
      </c>
      <c r="I3535" s="75" t="inlineStr">
        <is>
          <t>7월 통신요금 - P통신</t>
        </is>
      </c>
      <c r="J3535" s="75" t="inlineStr">
        <is>
          <t>V10011</t>
        </is>
      </c>
      <c r="K3535" s="75" t="inlineStr">
        <is>
          <t>P통신</t>
        </is>
      </c>
      <c r="M3535" s="9">
        <f>IF($A3535="","",VALUE($A3535&amp;"")*12+VALUE($B3535&amp;""))</f>
        <v/>
      </c>
      <c r="N3535" s="39">
        <f>IF($A3535="","",IFERROR(INDEX(부서매핑!$C$5:$C$504,MATCH($G3535&amp;"",부서매핑!$A$5:$A$504,0)),"미매핑"))</f>
        <v/>
      </c>
      <c r="O3535" s="9">
        <f>IF($A3535="","",N3535&amp;"|"&amp;$F3535)</f>
        <v/>
      </c>
      <c r="P3535" s="77">
        <f>IF($A3535="",0,$H3535*설정!$C$23)</f>
        <v/>
      </c>
      <c r="Q3535" s="39">
        <f>IF($A3535="","",IF(O3535&lt;&gt;원인분석!$C$9,"",IF(AND(M3535&gt;=원인분석!$C$10,M3535&lt;=원인분석!$C$11),"당기",IF(AND(M3535&gt;=원인분석!$C$12,M3535&lt;=원인분석!$C$13),"비교",""))))</f>
        <v/>
      </c>
      <c r="R3535" s="9">
        <f>IF(Q3535="","",$K3535&amp;"")</f>
        <v/>
      </c>
      <c r="S3535" s="9">
        <f>IF(Q3535="","",IF(MATCH(R3535,$R$5:$R$100000,0)=ROW()-4,ROW(),""))</f>
        <v/>
      </c>
      <c r="T3535" s="9">
        <f>IF(Q3535="당기",ABS(P3535)+ROW()/1000000000,"")</f>
        <v/>
      </c>
      <c r="U3535" s="9">
        <f>IF(Q3535="비교",ABS(P3535)+ROW()/1000000000,"")</f>
        <v/>
      </c>
      <c r="V3535" s="39">
        <f>IF($A3535="","",IF(COUNTIF(변동분석!$E$7:$E$506,O3535)&gt;0,"Y","N"))</f>
        <v/>
      </c>
      <c r="W3535" s="39">
        <f>IF($A3535="","",IFERROR(INDEX(계정매핑!$D$5:$D$504,MATCH($F3535&amp;"",계정매핑!$A$5:$A$504,0)),"미매핑"))</f>
        <v/>
      </c>
      <c r="X3535" s="9">
        <f>IF($A3535="","",$F3535&amp;"")</f>
        <v/>
      </c>
    </row>
    <row r="3536">
      <c r="A3536" s="75" t="n">
        <v>2026</v>
      </c>
      <c r="B3536" s="75" t="n">
        <v>7</v>
      </c>
      <c r="C3536" s="75" t="inlineStr">
        <is>
          <t>5100001192</t>
        </is>
      </c>
      <c r="D3536" s="78" t="n">
        <v>46206</v>
      </c>
      <c r="E3536" s="75" t="inlineStr">
        <is>
          <t>KR</t>
        </is>
      </c>
      <c r="F3536" s="75" t="n">
        <v>62301000</v>
      </c>
      <c r="G3536" s="75" t="n">
        <v>1301</v>
      </c>
      <c r="H3536" s="76" t="n">
        <v>260000</v>
      </c>
      <c r="I3536" s="75" t="inlineStr">
        <is>
          <t>7월 소모품 구입 - R문구</t>
        </is>
      </c>
      <c r="J3536" s="75" t="inlineStr">
        <is>
          <t>V10018</t>
        </is>
      </c>
      <c r="K3536" s="75" t="inlineStr">
        <is>
          <t>R문구</t>
        </is>
      </c>
      <c r="M3536" s="9">
        <f>IF($A3536="","",VALUE($A3536&amp;"")*12+VALUE($B3536&amp;""))</f>
        <v/>
      </c>
      <c r="N3536" s="39">
        <f>IF($A3536="","",IFERROR(INDEX(부서매핑!$C$5:$C$504,MATCH($G3536&amp;"",부서매핑!$A$5:$A$504,0)),"미매핑"))</f>
        <v/>
      </c>
      <c r="O3536" s="9">
        <f>IF($A3536="","",N3536&amp;"|"&amp;$F3536)</f>
        <v/>
      </c>
      <c r="P3536" s="77">
        <f>IF($A3536="",0,$H3536*설정!$C$23)</f>
        <v/>
      </c>
      <c r="Q3536" s="39">
        <f>IF($A3536="","",IF(O3536&lt;&gt;원인분석!$C$9,"",IF(AND(M3536&gt;=원인분석!$C$10,M3536&lt;=원인분석!$C$11),"당기",IF(AND(M3536&gt;=원인분석!$C$12,M3536&lt;=원인분석!$C$13),"비교",""))))</f>
        <v/>
      </c>
      <c r="R3536" s="9">
        <f>IF(Q3536="","",$K3536&amp;"")</f>
        <v/>
      </c>
      <c r="S3536" s="9">
        <f>IF(Q3536="","",IF(MATCH(R3536,$R$5:$R$100000,0)=ROW()-4,ROW(),""))</f>
        <v/>
      </c>
      <c r="T3536" s="9">
        <f>IF(Q3536="당기",ABS(P3536)+ROW()/1000000000,"")</f>
        <v/>
      </c>
      <c r="U3536" s="9">
        <f>IF(Q3536="비교",ABS(P3536)+ROW()/1000000000,"")</f>
        <v/>
      </c>
      <c r="V3536" s="39">
        <f>IF($A3536="","",IF(COUNTIF(변동분석!$E$7:$E$506,O3536)&gt;0,"Y","N"))</f>
        <v/>
      </c>
      <c r="W3536" s="39">
        <f>IF($A3536="","",IFERROR(INDEX(계정매핑!$D$5:$D$504,MATCH($F3536&amp;"",계정매핑!$A$5:$A$504,0)),"미매핑"))</f>
        <v/>
      </c>
      <c r="X3536" s="9">
        <f>IF($A3536="","",$F3536&amp;"")</f>
        <v/>
      </c>
    </row>
    <row r="3537">
      <c r="A3537" s="75" t="n">
        <v>2026</v>
      </c>
      <c r="B3537" s="75" t="n">
        <v>7</v>
      </c>
      <c r="C3537" s="75" t="inlineStr">
        <is>
          <t>5100001193</t>
        </is>
      </c>
      <c r="D3537" s="78" t="n">
        <v>46206</v>
      </c>
      <c r="E3537" s="75" t="inlineStr">
        <is>
          <t>KR</t>
        </is>
      </c>
      <c r="F3537" s="75" t="n">
        <v>62301000</v>
      </c>
      <c r="G3537" s="75" t="n">
        <v>1601</v>
      </c>
      <c r="H3537" s="76" t="n">
        <v>354000</v>
      </c>
      <c r="I3537" s="75" t="inlineStr">
        <is>
          <t>7월 소모품 구입 - Q오피스</t>
        </is>
      </c>
      <c r="J3537" s="75" t="inlineStr">
        <is>
          <t>V10003</t>
        </is>
      </c>
      <c r="K3537" s="75" t="inlineStr">
        <is>
          <t>Q오피스</t>
        </is>
      </c>
      <c r="M3537" s="9">
        <f>IF($A3537="","",VALUE($A3537&amp;"")*12+VALUE($B3537&amp;""))</f>
        <v/>
      </c>
      <c r="N3537" s="39">
        <f>IF($A3537="","",IFERROR(INDEX(부서매핑!$C$5:$C$504,MATCH($G3537&amp;"",부서매핑!$A$5:$A$504,0)),"미매핑"))</f>
        <v/>
      </c>
      <c r="O3537" s="9">
        <f>IF($A3537="","",N3537&amp;"|"&amp;$F3537)</f>
        <v/>
      </c>
      <c r="P3537" s="77">
        <f>IF($A3537="",0,$H3537*설정!$C$23)</f>
        <v/>
      </c>
      <c r="Q3537" s="39">
        <f>IF($A3537="","",IF(O3537&lt;&gt;원인분석!$C$9,"",IF(AND(M3537&gt;=원인분석!$C$10,M3537&lt;=원인분석!$C$11),"당기",IF(AND(M3537&gt;=원인분석!$C$12,M3537&lt;=원인분석!$C$13),"비교",""))))</f>
        <v/>
      </c>
      <c r="R3537" s="9">
        <f>IF(Q3537="","",$K3537&amp;"")</f>
        <v/>
      </c>
      <c r="S3537" s="9">
        <f>IF(Q3537="","",IF(MATCH(R3537,$R$5:$R$100000,0)=ROW()-4,ROW(),""))</f>
        <v/>
      </c>
      <c r="T3537" s="9">
        <f>IF(Q3537="당기",ABS(P3537)+ROW()/1000000000,"")</f>
        <v/>
      </c>
      <c r="U3537" s="9">
        <f>IF(Q3537="비교",ABS(P3537)+ROW()/1000000000,"")</f>
        <v/>
      </c>
      <c r="V3537" s="39">
        <f>IF($A3537="","",IF(COUNTIF(변동분석!$E$7:$E$506,O3537)&gt;0,"Y","N"))</f>
        <v/>
      </c>
      <c r="W3537" s="39">
        <f>IF($A3537="","",IFERROR(INDEX(계정매핑!$D$5:$D$504,MATCH($F3537&amp;"",계정매핑!$A$5:$A$504,0)),"미매핑"))</f>
        <v/>
      </c>
      <c r="X3537" s="9">
        <f>IF($A3537="","",$F3537&amp;"")</f>
        <v/>
      </c>
    </row>
    <row r="3538">
      <c r="A3538" s="75" t="n">
        <v>2026</v>
      </c>
      <c r="B3538" s="75" t="n">
        <v>7</v>
      </c>
      <c r="C3538" s="75" t="inlineStr">
        <is>
          <t>5100001194</t>
        </is>
      </c>
      <c r="D3538" s="78" t="n">
        <v>46206</v>
      </c>
      <c r="E3538" s="75" t="inlineStr">
        <is>
          <t>KR</t>
        </is>
      </c>
      <c r="F3538" s="75" t="n">
        <v>62401000</v>
      </c>
      <c r="G3538" s="75" t="n">
        <v>1501</v>
      </c>
      <c r="H3538" s="76" t="n">
        <v>2399000</v>
      </c>
      <c r="I3538" s="75" t="inlineStr">
        <is>
          <t>7월 인쇄물 제작 - S출판</t>
        </is>
      </c>
      <c r="J3538" s="75" t="inlineStr">
        <is>
          <t>V10012</t>
        </is>
      </c>
      <c r="K3538" s="75" t="inlineStr">
        <is>
          <t>S출판</t>
        </is>
      </c>
      <c r="M3538" s="9">
        <f>IF($A3538="","",VALUE($A3538&amp;"")*12+VALUE($B3538&amp;""))</f>
        <v/>
      </c>
      <c r="N3538" s="39">
        <f>IF($A3538="","",IFERROR(INDEX(부서매핑!$C$5:$C$504,MATCH($G3538&amp;"",부서매핑!$A$5:$A$504,0)),"미매핑"))</f>
        <v/>
      </c>
      <c r="O3538" s="9">
        <f>IF($A3538="","",N3538&amp;"|"&amp;$F3538)</f>
        <v/>
      </c>
      <c r="P3538" s="77">
        <f>IF($A3538="",0,$H3538*설정!$C$23)</f>
        <v/>
      </c>
      <c r="Q3538" s="39">
        <f>IF($A3538="","",IF(O3538&lt;&gt;원인분석!$C$9,"",IF(AND(M3538&gt;=원인분석!$C$10,M3538&lt;=원인분석!$C$11),"당기",IF(AND(M3538&gt;=원인분석!$C$12,M3538&lt;=원인분석!$C$13),"비교",""))))</f>
        <v/>
      </c>
      <c r="R3538" s="9">
        <f>IF(Q3538="","",$K3538&amp;"")</f>
        <v/>
      </c>
      <c r="S3538" s="9">
        <f>IF(Q3538="","",IF(MATCH(R3538,$R$5:$R$100000,0)=ROW()-4,ROW(),""))</f>
        <v/>
      </c>
      <c r="T3538" s="9">
        <f>IF(Q3538="당기",ABS(P3538)+ROW()/1000000000,"")</f>
        <v/>
      </c>
      <c r="U3538" s="9">
        <f>IF(Q3538="비교",ABS(P3538)+ROW()/1000000000,"")</f>
        <v/>
      </c>
      <c r="V3538" s="39">
        <f>IF($A3538="","",IF(COUNTIF(변동분석!$E$7:$E$506,O3538)&gt;0,"Y","N"))</f>
        <v/>
      </c>
      <c r="W3538" s="39">
        <f>IF($A3538="","",IFERROR(INDEX(계정매핑!$D$5:$D$504,MATCH($F3538&amp;"",계정매핑!$A$5:$A$504,0)),"미매핑"))</f>
        <v/>
      </c>
      <c r="X3538" s="9">
        <f>IF($A3538="","",$F3538&amp;"")</f>
        <v/>
      </c>
    </row>
    <row r="3539">
      <c r="A3539" s="75" t="n">
        <v>2026</v>
      </c>
      <c r="B3539" s="75" t="n">
        <v>7</v>
      </c>
      <c r="C3539" s="75" t="inlineStr">
        <is>
          <t>5100001195</t>
        </is>
      </c>
      <c r="D3539" s="78" t="n">
        <v>46206</v>
      </c>
      <c r="E3539" s="75" t="inlineStr">
        <is>
          <t>KR</t>
        </is>
      </c>
      <c r="F3539" s="75" t="n">
        <v>62401000</v>
      </c>
      <c r="G3539" s="75" t="n">
        <v>1801</v>
      </c>
      <c r="H3539" s="76" t="n">
        <v>1958000</v>
      </c>
      <c r="I3539" s="75" t="inlineStr">
        <is>
          <t>7월 인쇄물 제작 - G인쇄</t>
        </is>
      </c>
      <c r="J3539" s="75" t="inlineStr">
        <is>
          <t>V10004</t>
        </is>
      </c>
      <c r="K3539" s="75" t="inlineStr">
        <is>
          <t>G인쇄</t>
        </is>
      </c>
      <c r="M3539" s="9">
        <f>IF($A3539="","",VALUE($A3539&amp;"")*12+VALUE($B3539&amp;""))</f>
        <v/>
      </c>
      <c r="N3539" s="39">
        <f>IF($A3539="","",IFERROR(INDEX(부서매핑!$C$5:$C$504,MATCH($G3539&amp;"",부서매핑!$A$5:$A$504,0)),"미매핑"))</f>
        <v/>
      </c>
      <c r="O3539" s="9">
        <f>IF($A3539="","",N3539&amp;"|"&amp;$F3539)</f>
        <v/>
      </c>
      <c r="P3539" s="77">
        <f>IF($A3539="",0,$H3539*설정!$C$23)</f>
        <v/>
      </c>
      <c r="Q3539" s="39">
        <f>IF($A3539="","",IF(O3539&lt;&gt;원인분석!$C$9,"",IF(AND(M3539&gt;=원인분석!$C$10,M3539&lt;=원인분석!$C$11),"당기",IF(AND(M3539&gt;=원인분석!$C$12,M3539&lt;=원인분석!$C$13),"비교",""))))</f>
        <v/>
      </c>
      <c r="R3539" s="9">
        <f>IF(Q3539="","",$K3539&amp;"")</f>
        <v/>
      </c>
      <c r="S3539" s="9">
        <f>IF(Q3539="","",IF(MATCH(R3539,$R$5:$R$100000,0)=ROW()-4,ROW(),""))</f>
        <v/>
      </c>
      <c r="T3539" s="9">
        <f>IF(Q3539="당기",ABS(P3539)+ROW()/1000000000,"")</f>
        <v/>
      </c>
      <c r="U3539" s="9">
        <f>IF(Q3539="비교",ABS(P3539)+ROW()/1000000000,"")</f>
        <v/>
      </c>
      <c r="V3539" s="39">
        <f>IF($A3539="","",IF(COUNTIF(변동분석!$E$7:$E$506,O3539)&gt;0,"Y","N"))</f>
        <v/>
      </c>
      <c r="W3539" s="39">
        <f>IF($A3539="","",IFERROR(INDEX(계정매핑!$D$5:$D$504,MATCH($F3539&amp;"",계정매핑!$A$5:$A$504,0)),"미매핑"))</f>
        <v/>
      </c>
      <c r="X3539" s="9">
        <f>IF($A3539="","",$F3539&amp;"")</f>
        <v/>
      </c>
    </row>
    <row r="3540">
      <c r="A3540" s="75" t="n">
        <v>2026</v>
      </c>
      <c r="B3540" s="75" t="n">
        <v>7</v>
      </c>
      <c r="C3540" s="75" t="inlineStr">
        <is>
          <t>5100001196</t>
        </is>
      </c>
      <c r="D3540" s="78" t="n">
        <v>46206</v>
      </c>
      <c r="E3540" s="75" t="inlineStr">
        <is>
          <t>KR</t>
        </is>
      </c>
      <c r="F3540" s="75" t="n">
        <v>62601000</v>
      </c>
      <c r="G3540" s="75" t="n">
        <v>1601</v>
      </c>
      <c r="H3540" s="76" t="n">
        <v>3136000</v>
      </c>
      <c r="I3540" s="75" t="inlineStr">
        <is>
          <t>7월 업무추진 - (법인카드)</t>
        </is>
      </c>
      <c r="J3540" s="75" t="inlineStr">
        <is>
          <t>V10008</t>
        </is>
      </c>
      <c r="K3540" s="75" t="inlineStr">
        <is>
          <t>(법인카드)</t>
        </is>
      </c>
      <c r="M3540" s="9">
        <f>IF($A3540="","",VALUE($A3540&amp;"")*12+VALUE($B3540&amp;""))</f>
        <v/>
      </c>
      <c r="N3540" s="39">
        <f>IF($A3540="","",IFERROR(INDEX(부서매핑!$C$5:$C$504,MATCH($G3540&amp;"",부서매핑!$A$5:$A$504,0)),"미매핑"))</f>
        <v/>
      </c>
      <c r="O3540" s="9">
        <f>IF($A3540="","",N3540&amp;"|"&amp;$F3540)</f>
        <v/>
      </c>
      <c r="P3540" s="77">
        <f>IF($A3540="",0,$H3540*설정!$C$23)</f>
        <v/>
      </c>
      <c r="Q3540" s="39">
        <f>IF($A3540="","",IF(O3540&lt;&gt;원인분석!$C$9,"",IF(AND(M3540&gt;=원인분석!$C$10,M3540&lt;=원인분석!$C$11),"당기",IF(AND(M3540&gt;=원인분석!$C$12,M3540&lt;=원인분석!$C$13),"비교",""))))</f>
        <v/>
      </c>
      <c r="R3540" s="9">
        <f>IF(Q3540="","",$K3540&amp;"")</f>
        <v/>
      </c>
      <c r="S3540" s="9">
        <f>IF(Q3540="","",IF(MATCH(R3540,$R$5:$R$100000,0)=ROW()-4,ROW(),""))</f>
        <v/>
      </c>
      <c r="T3540" s="9">
        <f>IF(Q3540="당기",ABS(P3540)+ROW()/1000000000,"")</f>
        <v/>
      </c>
      <c r="U3540" s="9">
        <f>IF(Q3540="비교",ABS(P3540)+ROW()/1000000000,"")</f>
        <v/>
      </c>
      <c r="V3540" s="39">
        <f>IF($A3540="","",IF(COUNTIF(변동분석!$E$7:$E$506,O3540)&gt;0,"Y","N"))</f>
        <v/>
      </c>
      <c r="W3540" s="39">
        <f>IF($A3540="","",IFERROR(INDEX(계정매핑!$D$5:$D$504,MATCH($F3540&amp;"",계정매핑!$A$5:$A$504,0)),"미매핑"))</f>
        <v/>
      </c>
      <c r="X3540" s="9">
        <f>IF($A3540="","",$F3540&amp;"")</f>
        <v/>
      </c>
    </row>
    <row r="3541">
      <c r="A3541" s="75" t="n">
        <v>2026</v>
      </c>
      <c r="B3541" s="75" t="n">
        <v>7</v>
      </c>
      <c r="C3541" s="75" t="inlineStr">
        <is>
          <t>5100001197</t>
        </is>
      </c>
      <c r="D3541" s="78" t="n">
        <v>46207</v>
      </c>
      <c r="E3541" s="75" t="inlineStr">
        <is>
          <t>KR</t>
        </is>
      </c>
      <c r="F3541" s="75" t="n">
        <v>62201000</v>
      </c>
      <c r="G3541" s="75" t="n">
        <v>1801</v>
      </c>
      <c r="H3541" s="76" t="n">
        <v>7572000</v>
      </c>
      <c r="I3541" s="75" t="inlineStr">
        <is>
          <t>7월 통신요금 - P통신</t>
        </is>
      </c>
      <c r="J3541" s="75" t="inlineStr">
        <is>
          <t>V10011</t>
        </is>
      </c>
      <c r="K3541" s="75" t="inlineStr">
        <is>
          <t>P통신</t>
        </is>
      </c>
      <c r="M3541" s="9">
        <f>IF($A3541="","",VALUE($A3541&amp;"")*12+VALUE($B3541&amp;""))</f>
        <v/>
      </c>
      <c r="N3541" s="39">
        <f>IF($A3541="","",IFERROR(INDEX(부서매핑!$C$5:$C$504,MATCH($G3541&amp;"",부서매핑!$A$5:$A$504,0)),"미매핑"))</f>
        <v/>
      </c>
      <c r="O3541" s="9">
        <f>IF($A3541="","",N3541&amp;"|"&amp;$F3541)</f>
        <v/>
      </c>
      <c r="P3541" s="77">
        <f>IF($A3541="",0,$H3541*설정!$C$23)</f>
        <v/>
      </c>
      <c r="Q3541" s="39">
        <f>IF($A3541="","",IF(O3541&lt;&gt;원인분석!$C$9,"",IF(AND(M3541&gt;=원인분석!$C$10,M3541&lt;=원인분석!$C$11),"당기",IF(AND(M3541&gt;=원인분석!$C$12,M3541&lt;=원인분석!$C$13),"비교",""))))</f>
        <v/>
      </c>
      <c r="R3541" s="9">
        <f>IF(Q3541="","",$K3541&amp;"")</f>
        <v/>
      </c>
      <c r="S3541" s="9">
        <f>IF(Q3541="","",IF(MATCH(R3541,$R$5:$R$100000,0)=ROW()-4,ROW(),""))</f>
        <v/>
      </c>
      <c r="T3541" s="9">
        <f>IF(Q3541="당기",ABS(P3541)+ROW()/1000000000,"")</f>
        <v/>
      </c>
      <c r="U3541" s="9">
        <f>IF(Q3541="비교",ABS(P3541)+ROW()/1000000000,"")</f>
        <v/>
      </c>
      <c r="V3541" s="39">
        <f>IF($A3541="","",IF(COUNTIF(변동분석!$E$7:$E$506,O3541)&gt;0,"Y","N"))</f>
        <v/>
      </c>
      <c r="W3541" s="39">
        <f>IF($A3541="","",IFERROR(INDEX(계정매핑!$D$5:$D$504,MATCH($F3541&amp;"",계정매핑!$A$5:$A$504,0)),"미매핑"))</f>
        <v/>
      </c>
      <c r="X3541" s="9">
        <f>IF($A3541="","",$F3541&amp;"")</f>
        <v/>
      </c>
    </row>
    <row r="3542">
      <c r="A3542" s="75" t="n">
        <v>2026</v>
      </c>
      <c r="B3542" s="75" t="n">
        <v>7</v>
      </c>
      <c r="C3542" s="75" t="inlineStr">
        <is>
          <t>5100001198</t>
        </is>
      </c>
      <c r="D3542" s="78" t="n">
        <v>46207</v>
      </c>
      <c r="E3542" s="75" t="inlineStr">
        <is>
          <t>KR</t>
        </is>
      </c>
      <c r="F3542" s="75" t="n">
        <v>62301000</v>
      </c>
      <c r="G3542" s="75" t="n">
        <v>1201</v>
      </c>
      <c r="H3542" s="76" t="n">
        <v>142000</v>
      </c>
      <c r="I3542" s="75" t="inlineStr">
        <is>
          <t>7월 소모품 구입 - R문구</t>
        </is>
      </c>
      <c r="J3542" s="75" t="inlineStr">
        <is>
          <t>V10018</t>
        </is>
      </c>
      <c r="K3542" s="75" t="inlineStr">
        <is>
          <t>R문구</t>
        </is>
      </c>
      <c r="M3542" s="9">
        <f>IF($A3542="","",VALUE($A3542&amp;"")*12+VALUE($B3542&amp;""))</f>
        <v/>
      </c>
      <c r="N3542" s="39">
        <f>IF($A3542="","",IFERROR(INDEX(부서매핑!$C$5:$C$504,MATCH($G3542&amp;"",부서매핑!$A$5:$A$504,0)),"미매핑"))</f>
        <v/>
      </c>
      <c r="O3542" s="9">
        <f>IF($A3542="","",N3542&amp;"|"&amp;$F3542)</f>
        <v/>
      </c>
      <c r="P3542" s="77">
        <f>IF($A3542="",0,$H3542*설정!$C$23)</f>
        <v/>
      </c>
      <c r="Q3542" s="39">
        <f>IF($A3542="","",IF(O3542&lt;&gt;원인분석!$C$9,"",IF(AND(M3542&gt;=원인분석!$C$10,M3542&lt;=원인분석!$C$11),"당기",IF(AND(M3542&gt;=원인분석!$C$12,M3542&lt;=원인분석!$C$13),"비교",""))))</f>
        <v/>
      </c>
      <c r="R3542" s="9">
        <f>IF(Q3542="","",$K3542&amp;"")</f>
        <v/>
      </c>
      <c r="S3542" s="9">
        <f>IF(Q3542="","",IF(MATCH(R3542,$R$5:$R$100000,0)=ROW()-4,ROW(),""))</f>
        <v/>
      </c>
      <c r="T3542" s="9">
        <f>IF(Q3542="당기",ABS(P3542)+ROW()/1000000000,"")</f>
        <v/>
      </c>
      <c r="U3542" s="9">
        <f>IF(Q3542="비교",ABS(P3542)+ROW()/1000000000,"")</f>
        <v/>
      </c>
      <c r="V3542" s="39">
        <f>IF($A3542="","",IF(COUNTIF(변동분석!$E$7:$E$506,O3542)&gt;0,"Y","N"))</f>
        <v/>
      </c>
      <c r="W3542" s="39">
        <f>IF($A3542="","",IFERROR(INDEX(계정매핑!$D$5:$D$504,MATCH($F3542&amp;"",계정매핑!$A$5:$A$504,0)),"미매핑"))</f>
        <v/>
      </c>
      <c r="X3542" s="9">
        <f>IF($A3542="","",$F3542&amp;"")</f>
        <v/>
      </c>
    </row>
    <row r="3543">
      <c r="A3543" s="75" t="n">
        <v>2026</v>
      </c>
      <c r="B3543" s="75" t="n">
        <v>7</v>
      </c>
      <c r="C3543" s="75" t="inlineStr">
        <is>
          <t>5100001199</t>
        </is>
      </c>
      <c r="D3543" s="78" t="n">
        <v>46207</v>
      </c>
      <c r="E3543" s="75" t="inlineStr">
        <is>
          <t>KR</t>
        </is>
      </c>
      <c r="F3543" s="75" t="n">
        <v>62501000</v>
      </c>
      <c r="G3543" s="75" t="n">
        <v>1602</v>
      </c>
      <c r="H3543" s="76" t="n">
        <v>428000</v>
      </c>
      <c r="I3543" s="75" t="inlineStr">
        <is>
          <t>7월 회의 다과 - (법인카드)</t>
        </is>
      </c>
      <c r="J3543" s="75" t="inlineStr">
        <is>
          <t>V10008</t>
        </is>
      </c>
      <c r="K3543" s="75" t="inlineStr">
        <is>
          <t>(법인카드)</t>
        </is>
      </c>
      <c r="M3543" s="9">
        <f>IF($A3543="","",VALUE($A3543&amp;"")*12+VALUE($B3543&amp;""))</f>
        <v/>
      </c>
      <c r="N3543" s="39">
        <f>IF($A3543="","",IFERROR(INDEX(부서매핑!$C$5:$C$504,MATCH($G3543&amp;"",부서매핑!$A$5:$A$504,0)),"미매핑"))</f>
        <v/>
      </c>
      <c r="O3543" s="9">
        <f>IF($A3543="","",N3543&amp;"|"&amp;$F3543)</f>
        <v/>
      </c>
      <c r="P3543" s="77">
        <f>IF($A3543="",0,$H3543*설정!$C$23)</f>
        <v/>
      </c>
      <c r="Q3543" s="39">
        <f>IF($A3543="","",IF(O3543&lt;&gt;원인분석!$C$9,"",IF(AND(M3543&gt;=원인분석!$C$10,M3543&lt;=원인분석!$C$11),"당기",IF(AND(M3543&gt;=원인분석!$C$12,M3543&lt;=원인분석!$C$13),"비교",""))))</f>
        <v/>
      </c>
      <c r="R3543" s="9">
        <f>IF(Q3543="","",$K3543&amp;"")</f>
        <v/>
      </c>
      <c r="S3543" s="9">
        <f>IF(Q3543="","",IF(MATCH(R3543,$R$5:$R$100000,0)=ROW()-4,ROW(),""))</f>
        <v/>
      </c>
      <c r="T3543" s="9">
        <f>IF(Q3543="당기",ABS(P3543)+ROW()/1000000000,"")</f>
        <v/>
      </c>
      <c r="U3543" s="9">
        <f>IF(Q3543="비교",ABS(P3543)+ROW()/1000000000,"")</f>
        <v/>
      </c>
      <c r="V3543" s="39">
        <f>IF($A3543="","",IF(COUNTIF(변동분석!$E$7:$E$506,O3543)&gt;0,"Y","N"))</f>
        <v/>
      </c>
      <c r="W3543" s="39">
        <f>IF($A3543="","",IFERROR(INDEX(계정매핑!$D$5:$D$504,MATCH($F3543&amp;"",계정매핑!$A$5:$A$504,0)),"미매핑"))</f>
        <v/>
      </c>
      <c r="X3543" s="9">
        <f>IF($A3543="","",$F3543&amp;"")</f>
        <v/>
      </c>
    </row>
    <row r="3544">
      <c r="A3544" s="75" t="n">
        <v>2026</v>
      </c>
      <c r="B3544" s="75" t="n">
        <v>7</v>
      </c>
      <c r="C3544" s="75" t="inlineStr">
        <is>
          <t>5100001200</t>
        </is>
      </c>
      <c r="D3544" s="78" t="n">
        <v>46207</v>
      </c>
      <c r="E3544" s="75" t="inlineStr">
        <is>
          <t>KR</t>
        </is>
      </c>
      <c r="F3544" s="75" t="n">
        <v>62601000</v>
      </c>
      <c r="G3544" s="75" t="n">
        <v>1301</v>
      </c>
      <c r="H3544" s="76" t="n">
        <v>736000</v>
      </c>
      <c r="I3544" s="75" t="inlineStr">
        <is>
          <t>7월 업무추진 - (법인카드)</t>
        </is>
      </c>
      <c r="J3544" s="75" t="inlineStr">
        <is>
          <t>V10008</t>
        </is>
      </c>
      <c r="K3544" s="75" t="inlineStr">
        <is>
          <t>(법인카드)</t>
        </is>
      </c>
      <c r="M3544" s="9">
        <f>IF($A3544="","",VALUE($A3544&amp;"")*12+VALUE($B3544&amp;""))</f>
        <v/>
      </c>
      <c r="N3544" s="39">
        <f>IF($A3544="","",IFERROR(INDEX(부서매핑!$C$5:$C$504,MATCH($G3544&amp;"",부서매핑!$A$5:$A$504,0)),"미매핑"))</f>
        <v/>
      </c>
      <c r="O3544" s="9">
        <f>IF($A3544="","",N3544&amp;"|"&amp;$F3544)</f>
        <v/>
      </c>
      <c r="P3544" s="77">
        <f>IF($A3544="",0,$H3544*설정!$C$23)</f>
        <v/>
      </c>
      <c r="Q3544" s="39">
        <f>IF($A3544="","",IF(O3544&lt;&gt;원인분석!$C$9,"",IF(AND(M3544&gt;=원인분석!$C$10,M3544&lt;=원인분석!$C$11),"당기",IF(AND(M3544&gt;=원인분석!$C$12,M3544&lt;=원인분석!$C$13),"비교",""))))</f>
        <v/>
      </c>
      <c r="R3544" s="9">
        <f>IF(Q3544="","",$K3544&amp;"")</f>
        <v/>
      </c>
      <c r="S3544" s="9">
        <f>IF(Q3544="","",IF(MATCH(R3544,$R$5:$R$100000,0)=ROW()-4,ROW(),""))</f>
        <v/>
      </c>
      <c r="T3544" s="9">
        <f>IF(Q3544="당기",ABS(P3544)+ROW()/1000000000,"")</f>
        <v/>
      </c>
      <c r="U3544" s="9">
        <f>IF(Q3544="비교",ABS(P3544)+ROW()/1000000000,"")</f>
        <v/>
      </c>
      <c r="V3544" s="39">
        <f>IF($A3544="","",IF(COUNTIF(변동분석!$E$7:$E$506,O3544)&gt;0,"Y","N"))</f>
        <v/>
      </c>
      <c r="W3544" s="39">
        <f>IF($A3544="","",IFERROR(INDEX(계정매핑!$D$5:$D$504,MATCH($F3544&amp;"",계정매핑!$A$5:$A$504,0)),"미매핑"))</f>
        <v/>
      </c>
      <c r="X3544" s="9">
        <f>IF($A3544="","",$F3544&amp;"")</f>
        <v/>
      </c>
    </row>
    <row r="3545">
      <c r="A3545" s="75" t="n">
        <v>2026</v>
      </c>
      <c r="B3545" s="75" t="n">
        <v>7</v>
      </c>
      <c r="C3545" s="75" t="inlineStr">
        <is>
          <t>5100001201</t>
        </is>
      </c>
      <c r="D3545" s="78" t="n">
        <v>46208</v>
      </c>
      <c r="E3545" s="75" t="inlineStr">
        <is>
          <t>KR</t>
        </is>
      </c>
      <c r="F3545" s="75" t="n">
        <v>62101000</v>
      </c>
      <c r="G3545" s="75" t="n">
        <v>1401</v>
      </c>
      <c r="H3545" s="76" t="n">
        <v>200000</v>
      </c>
      <c r="I3545" s="75" t="inlineStr">
        <is>
          <t>7월 국내출장 - (법인카드)</t>
        </is>
      </c>
      <c r="J3545" s="75" t="inlineStr">
        <is>
          <t>V10008</t>
        </is>
      </c>
      <c r="K3545" s="75" t="inlineStr">
        <is>
          <t>(법인카드)</t>
        </is>
      </c>
      <c r="M3545" s="9">
        <f>IF($A3545="","",VALUE($A3545&amp;"")*12+VALUE($B3545&amp;""))</f>
        <v/>
      </c>
      <c r="N3545" s="39">
        <f>IF($A3545="","",IFERROR(INDEX(부서매핑!$C$5:$C$504,MATCH($G3545&amp;"",부서매핑!$A$5:$A$504,0)),"미매핑"))</f>
        <v/>
      </c>
      <c r="O3545" s="9">
        <f>IF($A3545="","",N3545&amp;"|"&amp;$F3545)</f>
        <v/>
      </c>
      <c r="P3545" s="77">
        <f>IF($A3545="",0,$H3545*설정!$C$23)</f>
        <v/>
      </c>
      <c r="Q3545" s="39">
        <f>IF($A3545="","",IF(O3545&lt;&gt;원인분석!$C$9,"",IF(AND(M3545&gt;=원인분석!$C$10,M3545&lt;=원인분석!$C$11),"당기",IF(AND(M3545&gt;=원인분석!$C$12,M3545&lt;=원인분석!$C$13),"비교",""))))</f>
        <v/>
      </c>
      <c r="R3545" s="9">
        <f>IF(Q3545="","",$K3545&amp;"")</f>
        <v/>
      </c>
      <c r="S3545" s="9">
        <f>IF(Q3545="","",IF(MATCH(R3545,$R$5:$R$100000,0)=ROW()-4,ROW(),""))</f>
        <v/>
      </c>
      <c r="T3545" s="9">
        <f>IF(Q3545="당기",ABS(P3545)+ROW()/1000000000,"")</f>
        <v/>
      </c>
      <c r="U3545" s="9">
        <f>IF(Q3545="비교",ABS(P3545)+ROW()/1000000000,"")</f>
        <v/>
      </c>
      <c r="V3545" s="39">
        <f>IF($A3545="","",IF(COUNTIF(변동분석!$E$7:$E$506,O3545)&gt;0,"Y","N"))</f>
        <v/>
      </c>
      <c r="W3545" s="39">
        <f>IF($A3545="","",IFERROR(INDEX(계정매핑!$D$5:$D$504,MATCH($F3545&amp;"",계정매핑!$A$5:$A$504,0)),"미매핑"))</f>
        <v/>
      </c>
      <c r="X3545" s="9">
        <f>IF($A3545="","",$F3545&amp;"")</f>
        <v/>
      </c>
    </row>
    <row r="3546">
      <c r="A3546" s="75" t="n">
        <v>2026</v>
      </c>
      <c r="B3546" s="75" t="n">
        <v>7</v>
      </c>
      <c r="C3546" s="75" t="inlineStr">
        <is>
          <t>5100001202</t>
        </is>
      </c>
      <c r="D3546" s="78" t="n">
        <v>46208</v>
      </c>
      <c r="E3546" s="75" t="inlineStr">
        <is>
          <t>KR</t>
        </is>
      </c>
      <c r="F3546" s="75" t="n">
        <v>62101000</v>
      </c>
      <c r="G3546" s="75" t="n">
        <v>1601</v>
      </c>
      <c r="H3546" s="76" t="n">
        <v>912000</v>
      </c>
      <c r="I3546" s="75" t="inlineStr">
        <is>
          <t>7월 국내출장 - (법인카드)</t>
        </is>
      </c>
      <c r="J3546" s="75" t="inlineStr">
        <is>
          <t>V10008</t>
        </is>
      </c>
      <c r="K3546" s="75" t="inlineStr">
        <is>
          <t>(법인카드)</t>
        </is>
      </c>
      <c r="M3546" s="9">
        <f>IF($A3546="","",VALUE($A3546&amp;"")*12+VALUE($B3546&amp;""))</f>
        <v/>
      </c>
      <c r="N3546" s="39">
        <f>IF($A3546="","",IFERROR(INDEX(부서매핑!$C$5:$C$504,MATCH($G3546&amp;"",부서매핑!$A$5:$A$504,0)),"미매핑"))</f>
        <v/>
      </c>
      <c r="O3546" s="9">
        <f>IF($A3546="","",N3546&amp;"|"&amp;$F3546)</f>
        <v/>
      </c>
      <c r="P3546" s="77">
        <f>IF($A3546="",0,$H3546*설정!$C$23)</f>
        <v/>
      </c>
      <c r="Q3546" s="39">
        <f>IF($A3546="","",IF(O3546&lt;&gt;원인분석!$C$9,"",IF(AND(M3546&gt;=원인분석!$C$10,M3546&lt;=원인분석!$C$11),"당기",IF(AND(M3546&gt;=원인분석!$C$12,M3546&lt;=원인분석!$C$13),"비교",""))))</f>
        <v/>
      </c>
      <c r="R3546" s="9">
        <f>IF(Q3546="","",$K3546&amp;"")</f>
        <v/>
      </c>
      <c r="S3546" s="9">
        <f>IF(Q3546="","",IF(MATCH(R3546,$R$5:$R$100000,0)=ROW()-4,ROW(),""))</f>
        <v/>
      </c>
      <c r="T3546" s="9">
        <f>IF(Q3546="당기",ABS(P3546)+ROW()/1000000000,"")</f>
        <v/>
      </c>
      <c r="U3546" s="9">
        <f>IF(Q3546="비교",ABS(P3546)+ROW()/1000000000,"")</f>
        <v/>
      </c>
      <c r="V3546" s="39">
        <f>IF($A3546="","",IF(COUNTIF(변동분석!$E$7:$E$506,O3546)&gt;0,"Y","N"))</f>
        <v/>
      </c>
      <c r="W3546" s="39">
        <f>IF($A3546="","",IFERROR(INDEX(계정매핑!$D$5:$D$504,MATCH($F3546&amp;"",계정매핑!$A$5:$A$504,0)),"미매핑"))</f>
        <v/>
      </c>
      <c r="X3546" s="9">
        <f>IF($A3546="","",$F3546&amp;"")</f>
        <v/>
      </c>
    </row>
    <row r="3547">
      <c r="A3547" s="75" t="n">
        <v>2026</v>
      </c>
      <c r="B3547" s="75" t="n">
        <v>7</v>
      </c>
      <c r="C3547" s="75" t="inlineStr">
        <is>
          <t>5100001203</t>
        </is>
      </c>
      <c r="D3547" s="78" t="n">
        <v>46208</v>
      </c>
      <c r="E3547" s="75" t="inlineStr">
        <is>
          <t>KR</t>
        </is>
      </c>
      <c r="F3547" s="75" t="n">
        <v>62201000</v>
      </c>
      <c r="G3547" s="75" t="n">
        <v>1201</v>
      </c>
      <c r="H3547" s="76" t="n">
        <v>157000</v>
      </c>
      <c r="I3547" s="75" t="inlineStr">
        <is>
          <t>7월 통신요금 - P통신</t>
        </is>
      </c>
      <c r="J3547" s="75" t="inlineStr">
        <is>
          <t>V10011</t>
        </is>
      </c>
      <c r="K3547" s="75" t="inlineStr">
        <is>
          <t>P통신</t>
        </is>
      </c>
      <c r="M3547" s="9">
        <f>IF($A3547="","",VALUE($A3547&amp;"")*12+VALUE($B3547&amp;""))</f>
        <v/>
      </c>
      <c r="N3547" s="39">
        <f>IF($A3547="","",IFERROR(INDEX(부서매핑!$C$5:$C$504,MATCH($G3547&amp;"",부서매핑!$A$5:$A$504,0)),"미매핑"))</f>
        <v/>
      </c>
      <c r="O3547" s="9">
        <f>IF($A3547="","",N3547&amp;"|"&amp;$F3547)</f>
        <v/>
      </c>
      <c r="P3547" s="77">
        <f>IF($A3547="",0,$H3547*설정!$C$23)</f>
        <v/>
      </c>
      <c r="Q3547" s="39">
        <f>IF($A3547="","",IF(O3547&lt;&gt;원인분석!$C$9,"",IF(AND(M3547&gt;=원인분석!$C$10,M3547&lt;=원인분석!$C$11),"당기",IF(AND(M3547&gt;=원인분석!$C$12,M3547&lt;=원인분석!$C$13),"비교",""))))</f>
        <v/>
      </c>
      <c r="R3547" s="9">
        <f>IF(Q3547="","",$K3547&amp;"")</f>
        <v/>
      </c>
      <c r="S3547" s="9">
        <f>IF(Q3547="","",IF(MATCH(R3547,$R$5:$R$100000,0)=ROW()-4,ROW(),""))</f>
        <v/>
      </c>
      <c r="T3547" s="9">
        <f>IF(Q3547="당기",ABS(P3547)+ROW()/1000000000,"")</f>
        <v/>
      </c>
      <c r="U3547" s="9">
        <f>IF(Q3547="비교",ABS(P3547)+ROW()/1000000000,"")</f>
        <v/>
      </c>
      <c r="V3547" s="39">
        <f>IF($A3547="","",IF(COUNTIF(변동분석!$E$7:$E$506,O3547)&gt;0,"Y","N"))</f>
        <v/>
      </c>
      <c r="W3547" s="39">
        <f>IF($A3547="","",IFERROR(INDEX(계정매핑!$D$5:$D$504,MATCH($F3547&amp;"",계정매핑!$A$5:$A$504,0)),"미매핑"))</f>
        <v/>
      </c>
      <c r="X3547" s="9">
        <f>IF($A3547="","",$F3547&amp;"")</f>
        <v/>
      </c>
    </row>
    <row r="3548">
      <c r="A3548" s="75" t="n">
        <v>2026</v>
      </c>
      <c r="B3548" s="75" t="n">
        <v>7</v>
      </c>
      <c r="C3548" s="75" t="inlineStr">
        <is>
          <t>5100001204</t>
        </is>
      </c>
      <c r="D3548" s="78" t="n">
        <v>46208</v>
      </c>
      <c r="E3548" s="75" t="inlineStr">
        <is>
          <t>KR</t>
        </is>
      </c>
      <c r="F3548" s="75" t="n">
        <v>62401000</v>
      </c>
      <c r="G3548" s="75" t="n">
        <v>1502</v>
      </c>
      <c r="H3548" s="76" t="n">
        <v>1520000</v>
      </c>
      <c r="I3548" s="75" t="inlineStr">
        <is>
          <t>7월 인쇄물 제작 - G인쇄</t>
        </is>
      </c>
      <c r="J3548" s="75" t="inlineStr">
        <is>
          <t>V10004</t>
        </is>
      </c>
      <c r="K3548" s="75" t="inlineStr">
        <is>
          <t>G인쇄</t>
        </is>
      </c>
      <c r="M3548" s="9">
        <f>IF($A3548="","",VALUE($A3548&amp;"")*12+VALUE($B3548&amp;""))</f>
        <v/>
      </c>
      <c r="N3548" s="39">
        <f>IF($A3548="","",IFERROR(INDEX(부서매핑!$C$5:$C$504,MATCH($G3548&amp;"",부서매핑!$A$5:$A$504,0)),"미매핑"))</f>
        <v/>
      </c>
      <c r="O3548" s="9">
        <f>IF($A3548="","",N3548&amp;"|"&amp;$F3548)</f>
        <v/>
      </c>
      <c r="P3548" s="77">
        <f>IF($A3548="",0,$H3548*설정!$C$23)</f>
        <v/>
      </c>
      <c r="Q3548" s="39">
        <f>IF($A3548="","",IF(O3548&lt;&gt;원인분석!$C$9,"",IF(AND(M3548&gt;=원인분석!$C$10,M3548&lt;=원인분석!$C$11),"당기",IF(AND(M3548&gt;=원인분석!$C$12,M3548&lt;=원인분석!$C$13),"비교",""))))</f>
        <v/>
      </c>
      <c r="R3548" s="9">
        <f>IF(Q3548="","",$K3548&amp;"")</f>
        <v/>
      </c>
      <c r="S3548" s="9">
        <f>IF(Q3548="","",IF(MATCH(R3548,$R$5:$R$100000,0)=ROW()-4,ROW(),""))</f>
        <v/>
      </c>
      <c r="T3548" s="9">
        <f>IF(Q3548="당기",ABS(P3548)+ROW()/1000000000,"")</f>
        <v/>
      </c>
      <c r="U3548" s="9">
        <f>IF(Q3548="비교",ABS(P3548)+ROW()/1000000000,"")</f>
        <v/>
      </c>
      <c r="V3548" s="39">
        <f>IF($A3548="","",IF(COUNTIF(변동분석!$E$7:$E$506,O3548)&gt;0,"Y","N"))</f>
        <v/>
      </c>
      <c r="W3548" s="39">
        <f>IF($A3548="","",IFERROR(INDEX(계정매핑!$D$5:$D$504,MATCH($F3548&amp;"",계정매핑!$A$5:$A$504,0)),"미매핑"))</f>
        <v/>
      </c>
      <c r="X3548" s="9">
        <f>IF($A3548="","",$F3548&amp;"")</f>
        <v/>
      </c>
    </row>
    <row r="3549">
      <c r="A3549" s="75" t="n">
        <v>2026</v>
      </c>
      <c r="B3549" s="75" t="n">
        <v>7</v>
      </c>
      <c r="C3549" s="75" t="inlineStr">
        <is>
          <t>5100001205</t>
        </is>
      </c>
      <c r="D3549" s="78" t="n">
        <v>46208</v>
      </c>
      <c r="E3549" s="75" t="inlineStr">
        <is>
          <t>KR</t>
        </is>
      </c>
      <c r="F3549" s="75" t="n">
        <v>62501000</v>
      </c>
      <c r="G3549" s="75" t="n">
        <v>1401</v>
      </c>
      <c r="H3549" s="76" t="n">
        <v>179000</v>
      </c>
      <c r="I3549" s="75" t="inlineStr">
        <is>
          <t>7월 회의 다과 - T케이터링</t>
        </is>
      </c>
      <c r="J3549" s="75" t="inlineStr">
        <is>
          <t>V10005</t>
        </is>
      </c>
      <c r="K3549" s="75" t="inlineStr">
        <is>
          <t>T케이터링</t>
        </is>
      </c>
      <c r="M3549" s="9">
        <f>IF($A3549="","",VALUE($A3549&amp;"")*12+VALUE($B3549&amp;""))</f>
        <v/>
      </c>
      <c r="N3549" s="39">
        <f>IF($A3549="","",IFERROR(INDEX(부서매핑!$C$5:$C$504,MATCH($G3549&amp;"",부서매핑!$A$5:$A$504,0)),"미매핑"))</f>
        <v/>
      </c>
      <c r="O3549" s="9">
        <f>IF($A3549="","",N3549&amp;"|"&amp;$F3549)</f>
        <v/>
      </c>
      <c r="P3549" s="77">
        <f>IF($A3549="",0,$H3549*설정!$C$23)</f>
        <v/>
      </c>
      <c r="Q3549" s="39">
        <f>IF($A3549="","",IF(O3549&lt;&gt;원인분석!$C$9,"",IF(AND(M3549&gt;=원인분석!$C$10,M3549&lt;=원인분석!$C$11),"당기",IF(AND(M3549&gt;=원인분석!$C$12,M3549&lt;=원인분석!$C$13),"비교",""))))</f>
        <v/>
      </c>
      <c r="R3549" s="9">
        <f>IF(Q3549="","",$K3549&amp;"")</f>
        <v/>
      </c>
      <c r="S3549" s="9">
        <f>IF(Q3549="","",IF(MATCH(R3549,$R$5:$R$100000,0)=ROW()-4,ROW(),""))</f>
        <v/>
      </c>
      <c r="T3549" s="9">
        <f>IF(Q3549="당기",ABS(P3549)+ROW()/1000000000,"")</f>
        <v/>
      </c>
      <c r="U3549" s="9">
        <f>IF(Q3549="비교",ABS(P3549)+ROW()/1000000000,"")</f>
        <v/>
      </c>
      <c r="V3549" s="39">
        <f>IF($A3549="","",IF(COUNTIF(변동분석!$E$7:$E$506,O3549)&gt;0,"Y","N"))</f>
        <v/>
      </c>
      <c r="W3549" s="39">
        <f>IF($A3549="","",IFERROR(INDEX(계정매핑!$D$5:$D$504,MATCH($F3549&amp;"",계정매핑!$A$5:$A$504,0)),"미매핑"))</f>
        <v/>
      </c>
      <c r="X3549" s="9">
        <f>IF($A3549="","",$F3549&amp;"")</f>
        <v/>
      </c>
    </row>
    <row r="3550">
      <c r="A3550" s="75" t="n">
        <v>2026</v>
      </c>
      <c r="B3550" s="75" t="n">
        <v>7</v>
      </c>
      <c r="C3550" s="75" t="inlineStr">
        <is>
          <t>5100001206</t>
        </is>
      </c>
      <c r="D3550" s="78" t="n">
        <v>46208</v>
      </c>
      <c r="E3550" s="75" t="inlineStr">
        <is>
          <t>KR</t>
        </is>
      </c>
      <c r="F3550" s="75" t="n">
        <v>62501000</v>
      </c>
      <c r="G3550" s="75" t="n">
        <v>1601</v>
      </c>
      <c r="H3550" s="76" t="n">
        <v>335000</v>
      </c>
      <c r="I3550" s="75" t="inlineStr">
        <is>
          <t>7월 회의 다과 - T케이터링</t>
        </is>
      </c>
      <c r="J3550" s="75" t="inlineStr">
        <is>
          <t>V10005</t>
        </is>
      </c>
      <c r="K3550" s="75" t="inlineStr">
        <is>
          <t>T케이터링</t>
        </is>
      </c>
      <c r="M3550" s="9">
        <f>IF($A3550="","",VALUE($A3550&amp;"")*12+VALUE($B3550&amp;""))</f>
        <v/>
      </c>
      <c r="N3550" s="39">
        <f>IF($A3550="","",IFERROR(INDEX(부서매핑!$C$5:$C$504,MATCH($G3550&amp;"",부서매핑!$A$5:$A$504,0)),"미매핑"))</f>
        <v/>
      </c>
      <c r="O3550" s="9">
        <f>IF($A3550="","",N3550&amp;"|"&amp;$F3550)</f>
        <v/>
      </c>
      <c r="P3550" s="77">
        <f>IF($A3550="",0,$H3550*설정!$C$23)</f>
        <v/>
      </c>
      <c r="Q3550" s="39">
        <f>IF($A3550="","",IF(O3550&lt;&gt;원인분석!$C$9,"",IF(AND(M3550&gt;=원인분석!$C$10,M3550&lt;=원인분석!$C$11),"당기",IF(AND(M3550&gt;=원인분석!$C$12,M3550&lt;=원인분석!$C$13),"비교",""))))</f>
        <v/>
      </c>
      <c r="R3550" s="9">
        <f>IF(Q3550="","",$K3550&amp;"")</f>
        <v/>
      </c>
      <c r="S3550" s="9">
        <f>IF(Q3550="","",IF(MATCH(R3550,$R$5:$R$100000,0)=ROW()-4,ROW(),""))</f>
        <v/>
      </c>
      <c r="T3550" s="9">
        <f>IF(Q3550="당기",ABS(P3550)+ROW()/1000000000,"")</f>
        <v/>
      </c>
      <c r="U3550" s="9">
        <f>IF(Q3550="비교",ABS(P3550)+ROW()/1000000000,"")</f>
        <v/>
      </c>
      <c r="V3550" s="39">
        <f>IF($A3550="","",IF(COUNTIF(변동분석!$E$7:$E$506,O3550)&gt;0,"Y","N"))</f>
        <v/>
      </c>
      <c r="W3550" s="39">
        <f>IF($A3550="","",IFERROR(INDEX(계정매핑!$D$5:$D$504,MATCH($F3550&amp;"",계정매핑!$A$5:$A$504,0)),"미매핑"))</f>
        <v/>
      </c>
      <c r="X3550" s="9">
        <f>IF($A3550="","",$F3550&amp;"")</f>
        <v/>
      </c>
    </row>
    <row r="3551">
      <c r="A3551" s="75" t="n">
        <v>2026</v>
      </c>
      <c r="B3551" s="75" t="n">
        <v>7</v>
      </c>
      <c r="C3551" s="75" t="inlineStr">
        <is>
          <t>5100001207</t>
        </is>
      </c>
      <c r="D3551" s="78" t="n">
        <v>46208</v>
      </c>
      <c r="E3551" s="75" t="inlineStr">
        <is>
          <t>KR</t>
        </is>
      </c>
      <c r="F3551" s="75" t="n">
        <v>62701000</v>
      </c>
      <c r="G3551" s="75" t="n">
        <v>1501</v>
      </c>
      <c r="H3551" s="76" t="n">
        <v>37417000</v>
      </c>
      <c r="I3551" s="75" t="inlineStr">
        <is>
          <t>7월 광고 집행 - E미디어</t>
        </is>
      </c>
      <c r="J3551" s="75" t="inlineStr">
        <is>
          <t>V10027</t>
        </is>
      </c>
      <c r="K3551" s="75" t="inlineStr">
        <is>
          <t>E미디어</t>
        </is>
      </c>
      <c r="M3551" s="9">
        <f>IF($A3551="","",VALUE($A3551&amp;"")*12+VALUE($B3551&amp;""))</f>
        <v/>
      </c>
      <c r="N3551" s="39">
        <f>IF($A3551="","",IFERROR(INDEX(부서매핑!$C$5:$C$504,MATCH($G3551&amp;"",부서매핑!$A$5:$A$504,0)),"미매핑"))</f>
        <v/>
      </c>
      <c r="O3551" s="9">
        <f>IF($A3551="","",N3551&amp;"|"&amp;$F3551)</f>
        <v/>
      </c>
      <c r="P3551" s="77">
        <f>IF($A3551="",0,$H3551*설정!$C$23)</f>
        <v/>
      </c>
      <c r="Q3551" s="39">
        <f>IF($A3551="","",IF(O3551&lt;&gt;원인분석!$C$9,"",IF(AND(M3551&gt;=원인분석!$C$10,M3551&lt;=원인분석!$C$11),"당기",IF(AND(M3551&gt;=원인분석!$C$12,M3551&lt;=원인분석!$C$13),"비교",""))))</f>
        <v/>
      </c>
      <c r="R3551" s="9">
        <f>IF(Q3551="","",$K3551&amp;"")</f>
        <v/>
      </c>
      <c r="S3551" s="9">
        <f>IF(Q3551="","",IF(MATCH(R3551,$R$5:$R$100000,0)=ROW()-4,ROW(),""))</f>
        <v/>
      </c>
      <c r="T3551" s="9">
        <f>IF(Q3551="당기",ABS(P3551)+ROW()/1000000000,"")</f>
        <v/>
      </c>
      <c r="U3551" s="9">
        <f>IF(Q3551="비교",ABS(P3551)+ROW()/1000000000,"")</f>
        <v/>
      </c>
      <c r="V3551" s="39">
        <f>IF($A3551="","",IF(COUNTIF(변동분석!$E$7:$E$506,O3551)&gt;0,"Y","N"))</f>
        <v/>
      </c>
      <c r="W3551" s="39">
        <f>IF($A3551="","",IFERROR(INDEX(계정매핑!$D$5:$D$504,MATCH($F3551&amp;"",계정매핑!$A$5:$A$504,0)),"미매핑"))</f>
        <v/>
      </c>
      <c r="X3551" s="9">
        <f>IF($A3551="","",$F3551&amp;"")</f>
        <v/>
      </c>
    </row>
    <row r="3552">
      <c r="A3552" s="75" t="n">
        <v>2026</v>
      </c>
      <c r="B3552" s="75" t="n">
        <v>7</v>
      </c>
      <c r="C3552" s="75" t="inlineStr">
        <is>
          <t>5100001208</t>
        </is>
      </c>
      <c r="D3552" s="78" t="n">
        <v>46208</v>
      </c>
      <c r="E3552" s="75" t="inlineStr">
        <is>
          <t>KR</t>
        </is>
      </c>
      <c r="F3552" s="75" t="n">
        <v>62801000</v>
      </c>
      <c r="G3552" s="75" t="n">
        <v>1301</v>
      </c>
      <c r="H3552" s="76" t="n">
        <v>4832000</v>
      </c>
      <c r="I3552" s="75" t="inlineStr">
        <is>
          <t>7월 사내교육 - (사내강사료)</t>
        </is>
      </c>
      <c r="J3552" s="75" t="inlineStr">
        <is>
          <t>V10020</t>
        </is>
      </c>
      <c r="K3552" s="75" t="inlineStr">
        <is>
          <t>(사내강사료)</t>
        </is>
      </c>
      <c r="M3552" s="9">
        <f>IF($A3552="","",VALUE($A3552&amp;"")*12+VALUE($B3552&amp;""))</f>
        <v/>
      </c>
      <c r="N3552" s="39">
        <f>IF($A3552="","",IFERROR(INDEX(부서매핑!$C$5:$C$504,MATCH($G3552&amp;"",부서매핑!$A$5:$A$504,0)),"미매핑"))</f>
        <v/>
      </c>
      <c r="O3552" s="9">
        <f>IF($A3552="","",N3552&amp;"|"&amp;$F3552)</f>
        <v/>
      </c>
      <c r="P3552" s="77">
        <f>IF($A3552="",0,$H3552*설정!$C$23)</f>
        <v/>
      </c>
      <c r="Q3552" s="39">
        <f>IF($A3552="","",IF(O3552&lt;&gt;원인분석!$C$9,"",IF(AND(M3552&gt;=원인분석!$C$10,M3552&lt;=원인분석!$C$11),"당기",IF(AND(M3552&gt;=원인분석!$C$12,M3552&lt;=원인분석!$C$13),"비교",""))))</f>
        <v/>
      </c>
      <c r="R3552" s="9">
        <f>IF(Q3552="","",$K3552&amp;"")</f>
        <v/>
      </c>
      <c r="S3552" s="9">
        <f>IF(Q3552="","",IF(MATCH(R3552,$R$5:$R$100000,0)=ROW()-4,ROW(),""))</f>
        <v/>
      </c>
      <c r="T3552" s="9">
        <f>IF(Q3552="당기",ABS(P3552)+ROW()/1000000000,"")</f>
        <v/>
      </c>
      <c r="U3552" s="9">
        <f>IF(Q3552="비교",ABS(P3552)+ROW()/1000000000,"")</f>
        <v/>
      </c>
      <c r="V3552" s="39">
        <f>IF($A3552="","",IF(COUNTIF(변동분석!$E$7:$E$506,O3552)&gt;0,"Y","N"))</f>
        <v/>
      </c>
      <c r="W3552" s="39">
        <f>IF($A3552="","",IFERROR(INDEX(계정매핑!$D$5:$D$504,MATCH($F3552&amp;"",계정매핑!$A$5:$A$504,0)),"미매핑"))</f>
        <v/>
      </c>
      <c r="X3552" s="9">
        <f>IF($A3552="","",$F3552&amp;"")</f>
        <v/>
      </c>
    </row>
    <row r="3553">
      <c r="A3553" s="75" t="n">
        <v>2026</v>
      </c>
      <c r="B3553" s="75" t="n">
        <v>7</v>
      </c>
      <c r="C3553" s="75" t="inlineStr">
        <is>
          <t>5100001209</t>
        </is>
      </c>
      <c r="D3553" s="78" t="n">
        <v>46208</v>
      </c>
      <c r="E3553" s="75" t="inlineStr">
        <is>
          <t>KR</t>
        </is>
      </c>
      <c r="F3553" s="75" t="n">
        <v>62901000</v>
      </c>
      <c r="G3553" s="75" t="n">
        <v>1101</v>
      </c>
      <c r="H3553" s="76" t="n">
        <v>4465000</v>
      </c>
      <c r="I3553" s="75" t="inlineStr">
        <is>
          <t>7월 자문 수수료 - K회계법인</t>
        </is>
      </c>
      <c r="J3553" s="75" t="inlineStr">
        <is>
          <t>V10010</t>
        </is>
      </c>
      <c r="K3553" s="75" t="inlineStr">
        <is>
          <t>K회계법인</t>
        </is>
      </c>
      <c r="M3553" s="9">
        <f>IF($A3553="","",VALUE($A3553&amp;"")*12+VALUE($B3553&amp;""))</f>
        <v/>
      </c>
      <c r="N3553" s="39">
        <f>IF($A3553="","",IFERROR(INDEX(부서매핑!$C$5:$C$504,MATCH($G3553&amp;"",부서매핑!$A$5:$A$504,0)),"미매핑"))</f>
        <v/>
      </c>
      <c r="O3553" s="9">
        <f>IF($A3553="","",N3553&amp;"|"&amp;$F3553)</f>
        <v/>
      </c>
      <c r="P3553" s="77">
        <f>IF($A3553="",0,$H3553*설정!$C$23)</f>
        <v/>
      </c>
      <c r="Q3553" s="39">
        <f>IF($A3553="","",IF(O3553&lt;&gt;원인분석!$C$9,"",IF(AND(M3553&gt;=원인분석!$C$10,M3553&lt;=원인분석!$C$11),"당기",IF(AND(M3553&gt;=원인분석!$C$12,M3553&lt;=원인분석!$C$13),"비교",""))))</f>
        <v/>
      </c>
      <c r="R3553" s="9">
        <f>IF(Q3553="","",$K3553&amp;"")</f>
        <v/>
      </c>
      <c r="S3553" s="9">
        <f>IF(Q3553="","",IF(MATCH(R3553,$R$5:$R$100000,0)=ROW()-4,ROW(),""))</f>
        <v/>
      </c>
      <c r="T3553" s="9">
        <f>IF(Q3553="당기",ABS(P3553)+ROW()/1000000000,"")</f>
        <v/>
      </c>
      <c r="U3553" s="9">
        <f>IF(Q3553="비교",ABS(P3553)+ROW()/1000000000,"")</f>
        <v/>
      </c>
      <c r="V3553" s="39">
        <f>IF($A3553="","",IF(COUNTIF(변동분석!$E$7:$E$506,O3553)&gt;0,"Y","N"))</f>
        <v/>
      </c>
      <c r="W3553" s="39">
        <f>IF($A3553="","",IFERROR(INDEX(계정매핑!$D$5:$D$504,MATCH($F3553&amp;"",계정매핑!$A$5:$A$504,0)),"미매핑"))</f>
        <v/>
      </c>
      <c r="X3553" s="9">
        <f>IF($A3553="","",$F3553&amp;"")</f>
        <v/>
      </c>
    </row>
    <row r="3554">
      <c r="A3554" s="75" t="n">
        <v>2026</v>
      </c>
      <c r="B3554" s="75" t="n">
        <v>7</v>
      </c>
      <c r="C3554" s="75" t="inlineStr">
        <is>
          <t>5100001210</t>
        </is>
      </c>
      <c r="D3554" s="78" t="n">
        <v>46209</v>
      </c>
      <c r="E3554" s="75" t="inlineStr">
        <is>
          <t>KR</t>
        </is>
      </c>
      <c r="F3554" s="75" t="n">
        <v>62201000</v>
      </c>
      <c r="G3554" s="75" t="n">
        <v>1401</v>
      </c>
      <c r="H3554" s="76" t="n">
        <v>210000</v>
      </c>
      <c r="I3554" s="75" t="inlineStr">
        <is>
          <t>7월 통신요금 - P통신</t>
        </is>
      </c>
      <c r="J3554" s="75" t="inlineStr">
        <is>
          <t>V10011</t>
        </is>
      </c>
      <c r="K3554" s="75" t="inlineStr">
        <is>
          <t>P통신</t>
        </is>
      </c>
      <c r="M3554" s="9">
        <f>IF($A3554="","",VALUE($A3554&amp;"")*12+VALUE($B3554&amp;""))</f>
        <v/>
      </c>
      <c r="N3554" s="39">
        <f>IF($A3554="","",IFERROR(INDEX(부서매핑!$C$5:$C$504,MATCH($G3554&amp;"",부서매핑!$A$5:$A$504,0)),"미매핑"))</f>
        <v/>
      </c>
      <c r="O3554" s="9">
        <f>IF($A3554="","",N3554&amp;"|"&amp;$F3554)</f>
        <v/>
      </c>
      <c r="P3554" s="77">
        <f>IF($A3554="",0,$H3554*설정!$C$23)</f>
        <v/>
      </c>
      <c r="Q3554" s="39">
        <f>IF($A3554="","",IF(O3554&lt;&gt;원인분석!$C$9,"",IF(AND(M3554&gt;=원인분석!$C$10,M3554&lt;=원인분석!$C$11),"당기",IF(AND(M3554&gt;=원인분석!$C$12,M3554&lt;=원인분석!$C$13),"비교",""))))</f>
        <v/>
      </c>
      <c r="R3554" s="9">
        <f>IF(Q3554="","",$K3554&amp;"")</f>
        <v/>
      </c>
      <c r="S3554" s="9">
        <f>IF(Q3554="","",IF(MATCH(R3554,$R$5:$R$100000,0)=ROW()-4,ROW(),""))</f>
        <v/>
      </c>
      <c r="T3554" s="9">
        <f>IF(Q3554="당기",ABS(P3554)+ROW()/1000000000,"")</f>
        <v/>
      </c>
      <c r="U3554" s="9">
        <f>IF(Q3554="비교",ABS(P3554)+ROW()/1000000000,"")</f>
        <v/>
      </c>
      <c r="V3554" s="39">
        <f>IF($A3554="","",IF(COUNTIF(변동분석!$E$7:$E$506,O3554)&gt;0,"Y","N"))</f>
        <v/>
      </c>
      <c r="W3554" s="39">
        <f>IF($A3554="","",IFERROR(INDEX(계정매핑!$D$5:$D$504,MATCH($F3554&amp;"",계정매핑!$A$5:$A$504,0)),"미매핑"))</f>
        <v/>
      </c>
      <c r="X3554" s="9">
        <f>IF($A3554="","",$F3554&amp;"")</f>
        <v/>
      </c>
    </row>
    <row r="3555">
      <c r="A3555" s="75" t="n">
        <v>2026</v>
      </c>
      <c r="B3555" s="75" t="n">
        <v>7</v>
      </c>
      <c r="C3555" s="75" t="inlineStr">
        <is>
          <t>5100001211</t>
        </is>
      </c>
      <c r="D3555" s="78" t="n">
        <v>46209</v>
      </c>
      <c r="E3555" s="75" t="inlineStr">
        <is>
          <t>KR</t>
        </is>
      </c>
      <c r="F3555" s="75" t="n">
        <v>62901000</v>
      </c>
      <c r="G3555" s="75" t="n">
        <v>1401</v>
      </c>
      <c r="H3555" s="76" t="n">
        <v>6548000</v>
      </c>
      <c r="I3555" s="75" t="inlineStr">
        <is>
          <t>7월 자문 수수료 - K회계법인</t>
        </is>
      </c>
      <c r="J3555" s="75" t="inlineStr">
        <is>
          <t>V10010</t>
        </is>
      </c>
      <c r="K3555" s="75" t="inlineStr">
        <is>
          <t>K회계법인</t>
        </is>
      </c>
      <c r="M3555" s="9">
        <f>IF($A3555="","",VALUE($A3555&amp;"")*12+VALUE($B3555&amp;""))</f>
        <v/>
      </c>
      <c r="N3555" s="39">
        <f>IF($A3555="","",IFERROR(INDEX(부서매핑!$C$5:$C$504,MATCH($G3555&amp;"",부서매핑!$A$5:$A$504,0)),"미매핑"))</f>
        <v/>
      </c>
      <c r="O3555" s="9">
        <f>IF($A3555="","",N3555&amp;"|"&amp;$F3555)</f>
        <v/>
      </c>
      <c r="P3555" s="77">
        <f>IF($A3555="",0,$H3555*설정!$C$23)</f>
        <v/>
      </c>
      <c r="Q3555" s="39">
        <f>IF($A3555="","",IF(O3555&lt;&gt;원인분석!$C$9,"",IF(AND(M3555&gt;=원인분석!$C$10,M3555&lt;=원인분석!$C$11),"당기",IF(AND(M3555&gt;=원인분석!$C$12,M3555&lt;=원인분석!$C$13),"비교",""))))</f>
        <v/>
      </c>
      <c r="R3555" s="9">
        <f>IF(Q3555="","",$K3555&amp;"")</f>
        <v/>
      </c>
      <c r="S3555" s="9">
        <f>IF(Q3555="","",IF(MATCH(R3555,$R$5:$R$100000,0)=ROW()-4,ROW(),""))</f>
        <v/>
      </c>
      <c r="T3555" s="9">
        <f>IF(Q3555="당기",ABS(P3555)+ROW()/1000000000,"")</f>
        <v/>
      </c>
      <c r="U3555" s="9">
        <f>IF(Q3555="비교",ABS(P3555)+ROW()/1000000000,"")</f>
        <v/>
      </c>
      <c r="V3555" s="39">
        <f>IF($A3555="","",IF(COUNTIF(변동분석!$E$7:$E$506,O3555)&gt;0,"Y","N"))</f>
        <v/>
      </c>
      <c r="W3555" s="39">
        <f>IF($A3555="","",IFERROR(INDEX(계정매핑!$D$5:$D$504,MATCH($F3555&amp;"",계정매핑!$A$5:$A$504,0)),"미매핑"))</f>
        <v/>
      </c>
      <c r="X3555" s="9">
        <f>IF($A3555="","",$F3555&amp;"")</f>
        <v/>
      </c>
    </row>
    <row r="3556">
      <c r="A3556" s="75" t="n">
        <v>2026</v>
      </c>
      <c r="B3556" s="75" t="n">
        <v>7</v>
      </c>
      <c r="C3556" s="75" t="inlineStr">
        <is>
          <t>5100001212</t>
        </is>
      </c>
      <c r="D3556" s="78" t="n">
        <v>46209</v>
      </c>
      <c r="E3556" s="75" t="inlineStr">
        <is>
          <t>KR</t>
        </is>
      </c>
      <c r="F3556" s="75" t="n">
        <v>62902000</v>
      </c>
      <c r="G3556" s="75" t="n">
        <v>1201</v>
      </c>
      <c r="H3556" s="76" t="n">
        <v>6027000</v>
      </c>
      <c r="I3556" s="75" t="inlineStr">
        <is>
          <t>7월 업무 위탁 수수료 - X서비스</t>
        </is>
      </c>
      <c r="J3556" s="75" t="inlineStr">
        <is>
          <t>V10016</t>
        </is>
      </c>
      <c r="K3556" s="75" t="inlineStr">
        <is>
          <t>X서비스</t>
        </is>
      </c>
      <c r="M3556" s="9">
        <f>IF($A3556="","",VALUE($A3556&amp;"")*12+VALUE($B3556&amp;""))</f>
        <v/>
      </c>
      <c r="N3556" s="39">
        <f>IF($A3556="","",IFERROR(INDEX(부서매핑!$C$5:$C$504,MATCH($G3556&amp;"",부서매핑!$A$5:$A$504,0)),"미매핑"))</f>
        <v/>
      </c>
      <c r="O3556" s="9">
        <f>IF($A3556="","",N3556&amp;"|"&amp;$F3556)</f>
        <v/>
      </c>
      <c r="P3556" s="77">
        <f>IF($A3556="",0,$H3556*설정!$C$23)</f>
        <v/>
      </c>
      <c r="Q3556" s="39">
        <f>IF($A3556="","",IF(O3556&lt;&gt;원인분석!$C$9,"",IF(AND(M3556&gt;=원인분석!$C$10,M3556&lt;=원인분석!$C$11),"당기",IF(AND(M3556&gt;=원인분석!$C$12,M3556&lt;=원인분석!$C$13),"비교",""))))</f>
        <v/>
      </c>
      <c r="R3556" s="9">
        <f>IF(Q3556="","",$K3556&amp;"")</f>
        <v/>
      </c>
      <c r="S3556" s="9">
        <f>IF(Q3556="","",IF(MATCH(R3556,$R$5:$R$100000,0)=ROW()-4,ROW(),""))</f>
        <v/>
      </c>
      <c r="T3556" s="9">
        <f>IF(Q3556="당기",ABS(P3556)+ROW()/1000000000,"")</f>
        <v/>
      </c>
      <c r="U3556" s="9">
        <f>IF(Q3556="비교",ABS(P3556)+ROW()/1000000000,"")</f>
        <v/>
      </c>
      <c r="V3556" s="39">
        <f>IF($A3556="","",IF(COUNTIF(변동분석!$E$7:$E$506,O3556)&gt;0,"Y","N"))</f>
        <v/>
      </c>
      <c r="W3556" s="39">
        <f>IF($A3556="","",IFERROR(INDEX(계정매핑!$D$5:$D$504,MATCH($F3556&amp;"",계정매핑!$A$5:$A$504,0)),"미매핑"))</f>
        <v/>
      </c>
      <c r="X3556" s="9">
        <f>IF($A3556="","",$F3556&amp;"")</f>
        <v/>
      </c>
    </row>
    <row r="3557">
      <c r="A3557" s="75" t="n">
        <v>2026</v>
      </c>
      <c r="B3557" s="75" t="n">
        <v>7</v>
      </c>
      <c r="C3557" s="75" t="inlineStr">
        <is>
          <t>5100001213</t>
        </is>
      </c>
      <c r="D3557" s="78" t="n">
        <v>46210</v>
      </c>
      <c r="E3557" s="75" t="inlineStr">
        <is>
          <t>KR</t>
        </is>
      </c>
      <c r="F3557" s="75" t="n">
        <v>62101000</v>
      </c>
      <c r="G3557" s="75" t="n">
        <v>1501</v>
      </c>
      <c r="H3557" s="76" t="n">
        <v>821000</v>
      </c>
      <c r="I3557" s="75" t="inlineStr">
        <is>
          <t>7월 국내출장 - (법인카드)</t>
        </is>
      </c>
      <c r="J3557" s="75" t="inlineStr">
        <is>
          <t>V10008</t>
        </is>
      </c>
      <c r="K3557" s="75" t="inlineStr">
        <is>
          <t>(법인카드)</t>
        </is>
      </c>
      <c r="M3557" s="9">
        <f>IF($A3557="","",VALUE($A3557&amp;"")*12+VALUE($B3557&amp;""))</f>
        <v/>
      </c>
      <c r="N3557" s="39">
        <f>IF($A3557="","",IFERROR(INDEX(부서매핑!$C$5:$C$504,MATCH($G3557&amp;"",부서매핑!$A$5:$A$504,0)),"미매핑"))</f>
        <v/>
      </c>
      <c r="O3557" s="9">
        <f>IF($A3557="","",N3557&amp;"|"&amp;$F3557)</f>
        <v/>
      </c>
      <c r="P3557" s="77">
        <f>IF($A3557="",0,$H3557*설정!$C$23)</f>
        <v/>
      </c>
      <c r="Q3557" s="39">
        <f>IF($A3557="","",IF(O3557&lt;&gt;원인분석!$C$9,"",IF(AND(M3557&gt;=원인분석!$C$10,M3557&lt;=원인분석!$C$11),"당기",IF(AND(M3557&gt;=원인분석!$C$12,M3557&lt;=원인분석!$C$13),"비교",""))))</f>
        <v/>
      </c>
      <c r="R3557" s="9">
        <f>IF(Q3557="","",$K3557&amp;"")</f>
        <v/>
      </c>
      <c r="S3557" s="9">
        <f>IF(Q3557="","",IF(MATCH(R3557,$R$5:$R$100000,0)=ROW()-4,ROW(),""))</f>
        <v/>
      </c>
      <c r="T3557" s="9">
        <f>IF(Q3557="당기",ABS(P3557)+ROW()/1000000000,"")</f>
        <v/>
      </c>
      <c r="U3557" s="9">
        <f>IF(Q3557="비교",ABS(P3557)+ROW()/1000000000,"")</f>
        <v/>
      </c>
      <c r="V3557" s="39">
        <f>IF($A3557="","",IF(COUNTIF(변동분석!$E$7:$E$506,O3557)&gt;0,"Y","N"))</f>
        <v/>
      </c>
      <c r="W3557" s="39">
        <f>IF($A3557="","",IFERROR(INDEX(계정매핑!$D$5:$D$504,MATCH($F3557&amp;"",계정매핑!$A$5:$A$504,0)),"미매핑"))</f>
        <v/>
      </c>
      <c r="X3557" s="9">
        <f>IF($A3557="","",$F3557&amp;"")</f>
        <v/>
      </c>
    </row>
    <row r="3558">
      <c r="A3558" s="75" t="n">
        <v>2026</v>
      </c>
      <c r="B3558" s="75" t="n">
        <v>7</v>
      </c>
      <c r="C3558" s="75" t="inlineStr">
        <is>
          <t>5100001214</t>
        </is>
      </c>
      <c r="D3558" s="78" t="n">
        <v>46210</v>
      </c>
      <c r="E3558" s="75" t="inlineStr">
        <is>
          <t>KR</t>
        </is>
      </c>
      <c r="F3558" s="75" t="n">
        <v>62101000</v>
      </c>
      <c r="G3558" s="75" t="n">
        <v>1701</v>
      </c>
      <c r="H3558" s="76" t="n">
        <v>225000</v>
      </c>
      <c r="I3558" s="75" t="inlineStr">
        <is>
          <t>7월 국내출장 - (법인카드)</t>
        </is>
      </c>
      <c r="J3558" s="75" t="inlineStr">
        <is>
          <t>V10008</t>
        </is>
      </c>
      <c r="K3558" s="75" t="inlineStr">
        <is>
          <t>(법인카드)</t>
        </is>
      </c>
      <c r="M3558" s="9">
        <f>IF($A3558="","",VALUE($A3558&amp;"")*12+VALUE($B3558&amp;""))</f>
        <v/>
      </c>
      <c r="N3558" s="39">
        <f>IF($A3558="","",IFERROR(INDEX(부서매핑!$C$5:$C$504,MATCH($G3558&amp;"",부서매핑!$A$5:$A$504,0)),"미매핑"))</f>
        <v/>
      </c>
      <c r="O3558" s="9">
        <f>IF($A3558="","",N3558&amp;"|"&amp;$F3558)</f>
        <v/>
      </c>
      <c r="P3558" s="77">
        <f>IF($A3558="",0,$H3558*설정!$C$23)</f>
        <v/>
      </c>
      <c r="Q3558" s="39">
        <f>IF($A3558="","",IF(O3558&lt;&gt;원인분석!$C$9,"",IF(AND(M3558&gt;=원인분석!$C$10,M3558&lt;=원인분석!$C$11),"당기",IF(AND(M3558&gt;=원인분석!$C$12,M3558&lt;=원인분석!$C$13),"비교",""))))</f>
        <v/>
      </c>
      <c r="R3558" s="9">
        <f>IF(Q3558="","",$K3558&amp;"")</f>
        <v/>
      </c>
      <c r="S3558" s="9">
        <f>IF(Q3558="","",IF(MATCH(R3558,$R$5:$R$100000,0)=ROW()-4,ROW(),""))</f>
        <v/>
      </c>
      <c r="T3558" s="9">
        <f>IF(Q3558="당기",ABS(P3558)+ROW()/1000000000,"")</f>
        <v/>
      </c>
      <c r="U3558" s="9">
        <f>IF(Q3558="비교",ABS(P3558)+ROW()/1000000000,"")</f>
        <v/>
      </c>
      <c r="V3558" s="39">
        <f>IF($A3558="","",IF(COUNTIF(변동분석!$E$7:$E$506,O3558)&gt;0,"Y","N"))</f>
        <v/>
      </c>
      <c r="W3558" s="39">
        <f>IF($A3558="","",IFERROR(INDEX(계정매핑!$D$5:$D$504,MATCH($F3558&amp;"",계정매핑!$A$5:$A$504,0)),"미매핑"))</f>
        <v/>
      </c>
      <c r="X3558" s="9">
        <f>IF($A3558="","",$F3558&amp;"")</f>
        <v/>
      </c>
    </row>
    <row r="3559">
      <c r="A3559" s="75" t="n">
        <v>2026</v>
      </c>
      <c r="B3559" s="75" t="n">
        <v>7</v>
      </c>
      <c r="C3559" s="75" t="inlineStr">
        <is>
          <t>5100001215</t>
        </is>
      </c>
      <c r="D3559" s="78" t="n">
        <v>46210</v>
      </c>
      <c r="E3559" s="75" t="inlineStr">
        <is>
          <t>KR</t>
        </is>
      </c>
      <c r="F3559" s="75" t="n">
        <v>62101000</v>
      </c>
      <c r="G3559" s="75" t="n">
        <v>1801</v>
      </c>
      <c r="H3559" s="76" t="n">
        <v>122000</v>
      </c>
      <c r="I3559" s="75" t="inlineStr">
        <is>
          <t>7월 국내출장 - L여행사</t>
        </is>
      </c>
      <c r="J3559" s="75" t="inlineStr">
        <is>
          <t>V10014</t>
        </is>
      </c>
      <c r="K3559" s="75" t="inlineStr">
        <is>
          <t>L여행사</t>
        </is>
      </c>
      <c r="M3559" s="9">
        <f>IF($A3559="","",VALUE($A3559&amp;"")*12+VALUE($B3559&amp;""))</f>
        <v/>
      </c>
      <c r="N3559" s="39">
        <f>IF($A3559="","",IFERROR(INDEX(부서매핑!$C$5:$C$504,MATCH($G3559&amp;"",부서매핑!$A$5:$A$504,0)),"미매핑"))</f>
        <v/>
      </c>
      <c r="O3559" s="9">
        <f>IF($A3559="","",N3559&amp;"|"&amp;$F3559)</f>
        <v/>
      </c>
      <c r="P3559" s="77">
        <f>IF($A3559="",0,$H3559*설정!$C$23)</f>
        <v/>
      </c>
      <c r="Q3559" s="39">
        <f>IF($A3559="","",IF(O3559&lt;&gt;원인분석!$C$9,"",IF(AND(M3559&gt;=원인분석!$C$10,M3559&lt;=원인분석!$C$11),"당기",IF(AND(M3559&gt;=원인분석!$C$12,M3559&lt;=원인분석!$C$13),"비교",""))))</f>
        <v/>
      </c>
      <c r="R3559" s="9">
        <f>IF(Q3559="","",$K3559&amp;"")</f>
        <v/>
      </c>
      <c r="S3559" s="9">
        <f>IF(Q3559="","",IF(MATCH(R3559,$R$5:$R$100000,0)=ROW()-4,ROW(),""))</f>
        <v/>
      </c>
      <c r="T3559" s="9">
        <f>IF(Q3559="당기",ABS(P3559)+ROW()/1000000000,"")</f>
        <v/>
      </c>
      <c r="U3559" s="9">
        <f>IF(Q3559="비교",ABS(P3559)+ROW()/1000000000,"")</f>
        <v/>
      </c>
      <c r="V3559" s="39">
        <f>IF($A3559="","",IF(COUNTIF(변동분석!$E$7:$E$506,O3559)&gt;0,"Y","N"))</f>
        <v/>
      </c>
      <c r="W3559" s="39">
        <f>IF($A3559="","",IFERROR(INDEX(계정매핑!$D$5:$D$504,MATCH($F3559&amp;"",계정매핑!$A$5:$A$504,0)),"미매핑"))</f>
        <v/>
      </c>
      <c r="X3559" s="9">
        <f>IF($A3559="","",$F3559&amp;"")</f>
        <v/>
      </c>
    </row>
    <row r="3560">
      <c r="A3560" s="75" t="n">
        <v>2026</v>
      </c>
      <c r="B3560" s="75" t="n">
        <v>7</v>
      </c>
      <c r="C3560" s="75" t="inlineStr">
        <is>
          <t>5100001216</t>
        </is>
      </c>
      <c r="D3560" s="78" t="n">
        <v>46210</v>
      </c>
      <c r="E3560" s="75" t="inlineStr">
        <is>
          <t>KR</t>
        </is>
      </c>
      <c r="F3560" s="75" t="n">
        <v>62101000</v>
      </c>
      <c r="G3560" s="75" t="n">
        <v>1801</v>
      </c>
      <c r="H3560" s="76" t="n">
        <v>244000</v>
      </c>
      <c r="I3560" s="75" t="inlineStr">
        <is>
          <t>7월 국내출장 - M항공</t>
        </is>
      </c>
      <c r="J3560" s="75" t="inlineStr">
        <is>
          <t>V10001</t>
        </is>
      </c>
      <c r="K3560" s="75" t="inlineStr">
        <is>
          <t>M항공</t>
        </is>
      </c>
      <c r="M3560" s="9">
        <f>IF($A3560="","",VALUE($A3560&amp;"")*12+VALUE($B3560&amp;""))</f>
        <v/>
      </c>
      <c r="N3560" s="39">
        <f>IF($A3560="","",IFERROR(INDEX(부서매핑!$C$5:$C$504,MATCH($G3560&amp;"",부서매핑!$A$5:$A$504,0)),"미매핑"))</f>
        <v/>
      </c>
      <c r="O3560" s="9">
        <f>IF($A3560="","",N3560&amp;"|"&amp;$F3560)</f>
        <v/>
      </c>
      <c r="P3560" s="77">
        <f>IF($A3560="",0,$H3560*설정!$C$23)</f>
        <v/>
      </c>
      <c r="Q3560" s="39">
        <f>IF($A3560="","",IF(O3560&lt;&gt;원인분석!$C$9,"",IF(AND(M3560&gt;=원인분석!$C$10,M3560&lt;=원인분석!$C$11),"당기",IF(AND(M3560&gt;=원인분석!$C$12,M3560&lt;=원인분석!$C$13),"비교",""))))</f>
        <v/>
      </c>
      <c r="R3560" s="9">
        <f>IF(Q3560="","",$K3560&amp;"")</f>
        <v/>
      </c>
      <c r="S3560" s="9">
        <f>IF(Q3560="","",IF(MATCH(R3560,$R$5:$R$100000,0)=ROW()-4,ROW(),""))</f>
        <v/>
      </c>
      <c r="T3560" s="9">
        <f>IF(Q3560="당기",ABS(P3560)+ROW()/1000000000,"")</f>
        <v/>
      </c>
      <c r="U3560" s="9">
        <f>IF(Q3560="비교",ABS(P3560)+ROW()/1000000000,"")</f>
        <v/>
      </c>
      <c r="V3560" s="39">
        <f>IF($A3560="","",IF(COUNTIF(변동분석!$E$7:$E$506,O3560)&gt;0,"Y","N"))</f>
        <v/>
      </c>
      <c r="W3560" s="39">
        <f>IF($A3560="","",IFERROR(INDEX(계정매핑!$D$5:$D$504,MATCH($F3560&amp;"",계정매핑!$A$5:$A$504,0)),"미매핑"))</f>
        <v/>
      </c>
      <c r="X3560" s="9">
        <f>IF($A3560="","",$F3560&amp;"")</f>
        <v/>
      </c>
    </row>
    <row r="3561">
      <c r="A3561" s="75" t="n">
        <v>2026</v>
      </c>
      <c r="B3561" s="75" t="n">
        <v>7</v>
      </c>
      <c r="C3561" s="75" t="inlineStr">
        <is>
          <t>5100001217</t>
        </is>
      </c>
      <c r="D3561" s="78" t="n">
        <v>46210</v>
      </c>
      <c r="E3561" s="75" t="inlineStr">
        <is>
          <t>KR</t>
        </is>
      </c>
      <c r="F3561" s="75" t="n">
        <v>62102000</v>
      </c>
      <c r="G3561" s="75" t="n">
        <v>1502</v>
      </c>
      <c r="H3561" s="76" t="n">
        <v>176000</v>
      </c>
      <c r="I3561" s="75" t="inlineStr">
        <is>
          <t>7월 해외출장 - N호텔</t>
        </is>
      </c>
      <c r="J3561" s="75" t="inlineStr">
        <is>
          <t>V10007</t>
        </is>
      </c>
      <c r="K3561" s="75" t="inlineStr">
        <is>
          <t>N호텔</t>
        </is>
      </c>
      <c r="M3561" s="9">
        <f>IF($A3561="","",VALUE($A3561&amp;"")*12+VALUE($B3561&amp;""))</f>
        <v/>
      </c>
      <c r="N3561" s="39">
        <f>IF($A3561="","",IFERROR(INDEX(부서매핑!$C$5:$C$504,MATCH($G3561&amp;"",부서매핑!$A$5:$A$504,0)),"미매핑"))</f>
        <v/>
      </c>
      <c r="O3561" s="9">
        <f>IF($A3561="","",N3561&amp;"|"&amp;$F3561)</f>
        <v/>
      </c>
      <c r="P3561" s="77">
        <f>IF($A3561="",0,$H3561*설정!$C$23)</f>
        <v/>
      </c>
      <c r="Q3561" s="39">
        <f>IF($A3561="","",IF(O3561&lt;&gt;원인분석!$C$9,"",IF(AND(M3561&gt;=원인분석!$C$10,M3561&lt;=원인분석!$C$11),"당기",IF(AND(M3561&gt;=원인분석!$C$12,M3561&lt;=원인분석!$C$13),"비교",""))))</f>
        <v/>
      </c>
      <c r="R3561" s="9">
        <f>IF(Q3561="","",$K3561&amp;"")</f>
        <v/>
      </c>
      <c r="S3561" s="9">
        <f>IF(Q3561="","",IF(MATCH(R3561,$R$5:$R$100000,0)=ROW()-4,ROW(),""))</f>
        <v/>
      </c>
      <c r="T3561" s="9">
        <f>IF(Q3561="당기",ABS(P3561)+ROW()/1000000000,"")</f>
        <v/>
      </c>
      <c r="U3561" s="9">
        <f>IF(Q3561="비교",ABS(P3561)+ROW()/1000000000,"")</f>
        <v/>
      </c>
      <c r="V3561" s="39">
        <f>IF($A3561="","",IF(COUNTIF(변동분석!$E$7:$E$506,O3561)&gt;0,"Y","N"))</f>
        <v/>
      </c>
      <c r="W3561" s="39">
        <f>IF($A3561="","",IFERROR(INDEX(계정매핑!$D$5:$D$504,MATCH($F3561&amp;"",계정매핑!$A$5:$A$504,0)),"미매핑"))</f>
        <v/>
      </c>
      <c r="X3561" s="9">
        <f>IF($A3561="","",$F3561&amp;"")</f>
        <v/>
      </c>
    </row>
    <row r="3562">
      <c r="A3562" s="75" t="n">
        <v>2026</v>
      </c>
      <c r="B3562" s="75" t="n">
        <v>7</v>
      </c>
      <c r="C3562" s="75" t="inlineStr">
        <is>
          <t>5100001218</t>
        </is>
      </c>
      <c r="D3562" s="78" t="n">
        <v>46210</v>
      </c>
      <c r="E3562" s="75" t="inlineStr">
        <is>
          <t>KR</t>
        </is>
      </c>
      <c r="F3562" s="75" t="n">
        <v>62102000</v>
      </c>
      <c r="G3562" s="75" t="n">
        <v>1801</v>
      </c>
      <c r="H3562" s="76" t="n">
        <v>39000</v>
      </c>
      <c r="I3562" s="75" t="inlineStr">
        <is>
          <t>7월 해외출장 - N호텔</t>
        </is>
      </c>
      <c r="J3562" s="75" t="inlineStr">
        <is>
          <t>V10007</t>
        </is>
      </c>
      <c r="K3562" s="75" t="inlineStr">
        <is>
          <t>N호텔</t>
        </is>
      </c>
      <c r="M3562" s="9">
        <f>IF($A3562="","",VALUE($A3562&amp;"")*12+VALUE($B3562&amp;""))</f>
        <v/>
      </c>
      <c r="N3562" s="39">
        <f>IF($A3562="","",IFERROR(INDEX(부서매핑!$C$5:$C$504,MATCH($G3562&amp;"",부서매핑!$A$5:$A$504,0)),"미매핑"))</f>
        <v/>
      </c>
      <c r="O3562" s="9">
        <f>IF($A3562="","",N3562&amp;"|"&amp;$F3562)</f>
        <v/>
      </c>
      <c r="P3562" s="77">
        <f>IF($A3562="",0,$H3562*설정!$C$23)</f>
        <v/>
      </c>
      <c r="Q3562" s="39">
        <f>IF($A3562="","",IF(O3562&lt;&gt;원인분석!$C$9,"",IF(AND(M3562&gt;=원인분석!$C$10,M3562&lt;=원인분석!$C$11),"당기",IF(AND(M3562&gt;=원인분석!$C$12,M3562&lt;=원인분석!$C$13),"비교",""))))</f>
        <v/>
      </c>
      <c r="R3562" s="9">
        <f>IF(Q3562="","",$K3562&amp;"")</f>
        <v/>
      </c>
      <c r="S3562" s="9">
        <f>IF(Q3562="","",IF(MATCH(R3562,$R$5:$R$100000,0)=ROW()-4,ROW(),""))</f>
        <v/>
      </c>
      <c r="T3562" s="9">
        <f>IF(Q3562="당기",ABS(P3562)+ROW()/1000000000,"")</f>
        <v/>
      </c>
      <c r="U3562" s="9">
        <f>IF(Q3562="비교",ABS(P3562)+ROW()/1000000000,"")</f>
        <v/>
      </c>
      <c r="V3562" s="39">
        <f>IF($A3562="","",IF(COUNTIF(변동분석!$E$7:$E$506,O3562)&gt;0,"Y","N"))</f>
        <v/>
      </c>
      <c r="W3562" s="39">
        <f>IF($A3562="","",IFERROR(INDEX(계정매핑!$D$5:$D$504,MATCH($F3562&amp;"",계정매핑!$A$5:$A$504,0)),"미매핑"))</f>
        <v/>
      </c>
      <c r="X3562" s="9">
        <f>IF($A3562="","",$F3562&amp;"")</f>
        <v/>
      </c>
    </row>
    <row r="3563">
      <c r="A3563" s="75" t="n">
        <v>2026</v>
      </c>
      <c r="B3563" s="75" t="n">
        <v>7</v>
      </c>
      <c r="C3563" s="75" t="inlineStr">
        <is>
          <t>5100001219</t>
        </is>
      </c>
      <c r="D3563" s="78" t="n">
        <v>46210</v>
      </c>
      <c r="E3563" s="75" t="inlineStr">
        <is>
          <t>KR</t>
        </is>
      </c>
      <c r="F3563" s="75" t="n">
        <v>62201000</v>
      </c>
      <c r="G3563" s="75" t="n">
        <v>1701</v>
      </c>
      <c r="H3563" s="76" t="n">
        <v>4872000</v>
      </c>
      <c r="I3563" s="75" t="inlineStr">
        <is>
          <t>7월 통신요금 - P통신</t>
        </is>
      </c>
      <c r="J3563" s="75" t="inlineStr">
        <is>
          <t>V10011</t>
        </is>
      </c>
      <c r="K3563" s="75" t="inlineStr">
        <is>
          <t>P통신</t>
        </is>
      </c>
      <c r="M3563" s="9">
        <f>IF($A3563="","",VALUE($A3563&amp;"")*12+VALUE($B3563&amp;""))</f>
        <v/>
      </c>
      <c r="N3563" s="39">
        <f>IF($A3563="","",IFERROR(INDEX(부서매핑!$C$5:$C$504,MATCH($G3563&amp;"",부서매핑!$A$5:$A$504,0)),"미매핑"))</f>
        <v/>
      </c>
      <c r="O3563" s="9">
        <f>IF($A3563="","",N3563&amp;"|"&amp;$F3563)</f>
        <v/>
      </c>
      <c r="P3563" s="77">
        <f>IF($A3563="",0,$H3563*설정!$C$23)</f>
        <v/>
      </c>
      <c r="Q3563" s="39">
        <f>IF($A3563="","",IF(O3563&lt;&gt;원인분석!$C$9,"",IF(AND(M3563&gt;=원인분석!$C$10,M3563&lt;=원인분석!$C$11),"당기",IF(AND(M3563&gt;=원인분석!$C$12,M3563&lt;=원인분석!$C$13),"비교",""))))</f>
        <v/>
      </c>
      <c r="R3563" s="9">
        <f>IF(Q3563="","",$K3563&amp;"")</f>
        <v/>
      </c>
      <c r="S3563" s="9">
        <f>IF(Q3563="","",IF(MATCH(R3563,$R$5:$R$100000,0)=ROW()-4,ROW(),""))</f>
        <v/>
      </c>
      <c r="T3563" s="9">
        <f>IF(Q3563="당기",ABS(P3563)+ROW()/1000000000,"")</f>
        <v/>
      </c>
      <c r="U3563" s="9">
        <f>IF(Q3563="비교",ABS(P3563)+ROW()/1000000000,"")</f>
        <v/>
      </c>
      <c r="V3563" s="39">
        <f>IF($A3563="","",IF(COUNTIF(변동분석!$E$7:$E$506,O3563)&gt;0,"Y","N"))</f>
        <v/>
      </c>
      <c r="W3563" s="39">
        <f>IF($A3563="","",IFERROR(INDEX(계정매핑!$D$5:$D$504,MATCH($F3563&amp;"",계정매핑!$A$5:$A$504,0)),"미매핑"))</f>
        <v/>
      </c>
      <c r="X3563" s="9">
        <f>IF($A3563="","",$F3563&amp;"")</f>
        <v/>
      </c>
    </row>
    <row r="3564">
      <c r="A3564" s="75" t="n">
        <v>2026</v>
      </c>
      <c r="B3564" s="75" t="n">
        <v>7</v>
      </c>
      <c r="C3564" s="75" t="inlineStr">
        <is>
          <t>5100001220</t>
        </is>
      </c>
      <c r="D3564" s="78" t="n">
        <v>46210</v>
      </c>
      <c r="E3564" s="75" t="inlineStr">
        <is>
          <t>KR</t>
        </is>
      </c>
      <c r="F3564" s="75" t="n">
        <v>62401000</v>
      </c>
      <c r="G3564" s="75" t="n">
        <v>1801</v>
      </c>
      <c r="H3564" s="76" t="n">
        <v>2332000</v>
      </c>
      <c r="I3564" s="75" t="inlineStr">
        <is>
          <t>7월 인쇄물 제작 - S출판</t>
        </is>
      </c>
      <c r="J3564" s="75" t="inlineStr">
        <is>
          <t>V10012</t>
        </is>
      </c>
      <c r="K3564" s="75" t="inlineStr">
        <is>
          <t>S출판</t>
        </is>
      </c>
      <c r="M3564" s="9">
        <f>IF($A3564="","",VALUE($A3564&amp;"")*12+VALUE($B3564&amp;""))</f>
        <v/>
      </c>
      <c r="N3564" s="39">
        <f>IF($A3564="","",IFERROR(INDEX(부서매핑!$C$5:$C$504,MATCH($G3564&amp;"",부서매핑!$A$5:$A$504,0)),"미매핑"))</f>
        <v/>
      </c>
      <c r="O3564" s="9">
        <f>IF($A3564="","",N3564&amp;"|"&amp;$F3564)</f>
        <v/>
      </c>
      <c r="P3564" s="77">
        <f>IF($A3564="",0,$H3564*설정!$C$23)</f>
        <v/>
      </c>
      <c r="Q3564" s="39">
        <f>IF($A3564="","",IF(O3564&lt;&gt;원인분석!$C$9,"",IF(AND(M3564&gt;=원인분석!$C$10,M3564&lt;=원인분석!$C$11),"당기",IF(AND(M3564&gt;=원인분석!$C$12,M3564&lt;=원인분석!$C$13),"비교",""))))</f>
        <v/>
      </c>
      <c r="R3564" s="9">
        <f>IF(Q3564="","",$K3564&amp;"")</f>
        <v/>
      </c>
      <c r="S3564" s="9">
        <f>IF(Q3564="","",IF(MATCH(R3564,$R$5:$R$100000,0)=ROW()-4,ROW(),""))</f>
        <v/>
      </c>
      <c r="T3564" s="9">
        <f>IF(Q3564="당기",ABS(P3564)+ROW()/1000000000,"")</f>
        <v/>
      </c>
      <c r="U3564" s="9">
        <f>IF(Q3564="비교",ABS(P3564)+ROW()/1000000000,"")</f>
        <v/>
      </c>
      <c r="V3564" s="39">
        <f>IF($A3564="","",IF(COUNTIF(변동분석!$E$7:$E$506,O3564)&gt;0,"Y","N"))</f>
        <v/>
      </c>
      <c r="W3564" s="39">
        <f>IF($A3564="","",IFERROR(INDEX(계정매핑!$D$5:$D$504,MATCH($F3564&amp;"",계정매핑!$A$5:$A$504,0)),"미매핑"))</f>
        <v/>
      </c>
      <c r="X3564" s="9">
        <f>IF($A3564="","",$F3564&amp;"")</f>
        <v/>
      </c>
    </row>
    <row r="3565">
      <c r="A3565" s="75" t="n">
        <v>2026</v>
      </c>
      <c r="B3565" s="75" t="n">
        <v>7</v>
      </c>
      <c r="C3565" s="75" t="inlineStr">
        <is>
          <t>5100001221</t>
        </is>
      </c>
      <c r="D3565" s="78" t="n">
        <v>46210</v>
      </c>
      <c r="E3565" s="75" t="inlineStr">
        <is>
          <t>KR</t>
        </is>
      </c>
      <c r="F3565" s="75" t="n">
        <v>62601000</v>
      </c>
      <c r="G3565" s="75" t="n">
        <v>1301</v>
      </c>
      <c r="H3565" s="76" t="n">
        <v>858000</v>
      </c>
      <c r="I3565" s="75" t="inlineStr">
        <is>
          <t>7월 업무추진 - (법인카드)</t>
        </is>
      </c>
      <c r="J3565" s="75" t="inlineStr">
        <is>
          <t>V10008</t>
        </is>
      </c>
      <c r="K3565" s="75" t="inlineStr">
        <is>
          <t>(법인카드)</t>
        </is>
      </c>
      <c r="M3565" s="9">
        <f>IF($A3565="","",VALUE($A3565&amp;"")*12+VALUE($B3565&amp;""))</f>
        <v/>
      </c>
      <c r="N3565" s="39">
        <f>IF($A3565="","",IFERROR(INDEX(부서매핑!$C$5:$C$504,MATCH($G3565&amp;"",부서매핑!$A$5:$A$504,0)),"미매핑"))</f>
        <v/>
      </c>
      <c r="O3565" s="9">
        <f>IF($A3565="","",N3565&amp;"|"&amp;$F3565)</f>
        <v/>
      </c>
      <c r="P3565" s="77">
        <f>IF($A3565="",0,$H3565*설정!$C$23)</f>
        <v/>
      </c>
      <c r="Q3565" s="39">
        <f>IF($A3565="","",IF(O3565&lt;&gt;원인분석!$C$9,"",IF(AND(M3565&gt;=원인분석!$C$10,M3565&lt;=원인분석!$C$11),"당기",IF(AND(M3565&gt;=원인분석!$C$12,M3565&lt;=원인분석!$C$13),"비교",""))))</f>
        <v/>
      </c>
      <c r="R3565" s="9">
        <f>IF(Q3565="","",$K3565&amp;"")</f>
        <v/>
      </c>
      <c r="S3565" s="9">
        <f>IF(Q3565="","",IF(MATCH(R3565,$R$5:$R$100000,0)=ROW()-4,ROW(),""))</f>
        <v/>
      </c>
      <c r="T3565" s="9">
        <f>IF(Q3565="당기",ABS(P3565)+ROW()/1000000000,"")</f>
        <v/>
      </c>
      <c r="U3565" s="9">
        <f>IF(Q3565="비교",ABS(P3565)+ROW()/1000000000,"")</f>
        <v/>
      </c>
      <c r="V3565" s="39">
        <f>IF($A3565="","",IF(COUNTIF(변동분석!$E$7:$E$506,O3565)&gt;0,"Y","N"))</f>
        <v/>
      </c>
      <c r="W3565" s="39">
        <f>IF($A3565="","",IFERROR(INDEX(계정매핑!$D$5:$D$504,MATCH($F3565&amp;"",계정매핑!$A$5:$A$504,0)),"미매핑"))</f>
        <v/>
      </c>
      <c r="X3565" s="9">
        <f>IF($A3565="","",$F3565&amp;"")</f>
        <v/>
      </c>
    </row>
    <row r="3566">
      <c r="A3566" s="75" t="n">
        <v>2026</v>
      </c>
      <c r="B3566" s="75" t="n">
        <v>7</v>
      </c>
      <c r="C3566" s="75" t="inlineStr">
        <is>
          <t>5100001222</t>
        </is>
      </c>
      <c r="D3566" s="78" t="n">
        <v>46210</v>
      </c>
      <c r="E3566" s="75" t="inlineStr">
        <is>
          <t>KR</t>
        </is>
      </c>
      <c r="F3566" s="75" t="n">
        <v>62902000</v>
      </c>
      <c r="G3566" s="75" t="n">
        <v>1801</v>
      </c>
      <c r="H3566" s="76" t="n">
        <v>1789000</v>
      </c>
      <c r="I3566" s="75" t="inlineStr">
        <is>
          <t>7월 콜 위탁 수수료(건별)</t>
        </is>
      </c>
      <c r="J3566" s="75" t="inlineStr">
        <is>
          <t>V10013</t>
        </is>
      </c>
      <c r="K3566" s="75" t="inlineStr">
        <is>
          <t>J콜센터</t>
        </is>
      </c>
      <c r="M3566" s="9">
        <f>IF($A3566="","",VALUE($A3566&amp;"")*12+VALUE($B3566&amp;""))</f>
        <v/>
      </c>
      <c r="N3566" s="39">
        <f>IF($A3566="","",IFERROR(INDEX(부서매핑!$C$5:$C$504,MATCH($G3566&amp;"",부서매핑!$A$5:$A$504,0)),"미매핑"))</f>
        <v/>
      </c>
      <c r="O3566" s="9">
        <f>IF($A3566="","",N3566&amp;"|"&amp;$F3566)</f>
        <v/>
      </c>
      <c r="P3566" s="77">
        <f>IF($A3566="",0,$H3566*설정!$C$23)</f>
        <v/>
      </c>
      <c r="Q3566" s="39">
        <f>IF($A3566="","",IF(O3566&lt;&gt;원인분석!$C$9,"",IF(AND(M3566&gt;=원인분석!$C$10,M3566&lt;=원인분석!$C$11),"당기",IF(AND(M3566&gt;=원인분석!$C$12,M3566&lt;=원인분석!$C$13),"비교",""))))</f>
        <v/>
      </c>
      <c r="R3566" s="9">
        <f>IF(Q3566="","",$K3566&amp;"")</f>
        <v/>
      </c>
      <c r="S3566" s="9">
        <f>IF(Q3566="","",IF(MATCH(R3566,$R$5:$R$100000,0)=ROW()-4,ROW(),""))</f>
        <v/>
      </c>
      <c r="T3566" s="9">
        <f>IF(Q3566="당기",ABS(P3566)+ROW()/1000000000,"")</f>
        <v/>
      </c>
      <c r="U3566" s="9">
        <f>IF(Q3566="비교",ABS(P3566)+ROW()/1000000000,"")</f>
        <v/>
      </c>
      <c r="V3566" s="39">
        <f>IF($A3566="","",IF(COUNTIF(변동분석!$E$7:$E$506,O3566)&gt;0,"Y","N"))</f>
        <v/>
      </c>
      <c r="W3566" s="39">
        <f>IF($A3566="","",IFERROR(INDEX(계정매핑!$D$5:$D$504,MATCH($F3566&amp;"",계정매핑!$A$5:$A$504,0)),"미매핑"))</f>
        <v/>
      </c>
      <c r="X3566" s="9">
        <f>IF($A3566="","",$F3566&amp;"")</f>
        <v/>
      </c>
    </row>
    <row r="3567">
      <c r="A3567" s="75" t="n">
        <v>2026</v>
      </c>
      <c r="B3567" s="75" t="n">
        <v>7</v>
      </c>
      <c r="C3567" s="75" t="inlineStr">
        <is>
          <t>5100001223</t>
        </is>
      </c>
      <c r="D3567" s="78" t="n">
        <v>46211</v>
      </c>
      <c r="E3567" s="75" t="inlineStr">
        <is>
          <t>KR</t>
        </is>
      </c>
      <c r="F3567" s="75" t="n">
        <v>62101000</v>
      </c>
      <c r="G3567" s="75" t="n">
        <v>1401</v>
      </c>
      <c r="H3567" s="76" t="n">
        <v>427000</v>
      </c>
      <c r="I3567" s="75" t="inlineStr">
        <is>
          <t>7월 국내출장 - (법인카드)</t>
        </is>
      </c>
      <c r="J3567" s="75" t="inlineStr">
        <is>
          <t>V10008</t>
        </is>
      </c>
      <c r="K3567" s="75" t="inlineStr">
        <is>
          <t>(법인카드)</t>
        </is>
      </c>
      <c r="M3567" s="9">
        <f>IF($A3567="","",VALUE($A3567&amp;"")*12+VALUE($B3567&amp;""))</f>
        <v/>
      </c>
      <c r="N3567" s="39">
        <f>IF($A3567="","",IFERROR(INDEX(부서매핑!$C$5:$C$504,MATCH($G3567&amp;"",부서매핑!$A$5:$A$504,0)),"미매핑"))</f>
        <v/>
      </c>
      <c r="O3567" s="9">
        <f>IF($A3567="","",N3567&amp;"|"&amp;$F3567)</f>
        <v/>
      </c>
      <c r="P3567" s="77">
        <f>IF($A3567="",0,$H3567*설정!$C$23)</f>
        <v/>
      </c>
      <c r="Q3567" s="39">
        <f>IF($A3567="","",IF(O3567&lt;&gt;원인분석!$C$9,"",IF(AND(M3567&gt;=원인분석!$C$10,M3567&lt;=원인분석!$C$11),"당기",IF(AND(M3567&gt;=원인분석!$C$12,M3567&lt;=원인분석!$C$13),"비교",""))))</f>
        <v/>
      </c>
      <c r="R3567" s="9">
        <f>IF(Q3567="","",$K3567&amp;"")</f>
        <v/>
      </c>
      <c r="S3567" s="9">
        <f>IF(Q3567="","",IF(MATCH(R3567,$R$5:$R$100000,0)=ROW()-4,ROW(),""))</f>
        <v/>
      </c>
      <c r="T3567" s="9">
        <f>IF(Q3567="당기",ABS(P3567)+ROW()/1000000000,"")</f>
        <v/>
      </c>
      <c r="U3567" s="9">
        <f>IF(Q3567="비교",ABS(P3567)+ROW()/1000000000,"")</f>
        <v/>
      </c>
      <c r="V3567" s="39">
        <f>IF($A3567="","",IF(COUNTIF(변동분석!$E$7:$E$506,O3567)&gt;0,"Y","N"))</f>
        <v/>
      </c>
      <c r="W3567" s="39">
        <f>IF($A3567="","",IFERROR(INDEX(계정매핑!$D$5:$D$504,MATCH($F3567&amp;"",계정매핑!$A$5:$A$504,0)),"미매핑"))</f>
        <v/>
      </c>
      <c r="X3567" s="9">
        <f>IF($A3567="","",$F3567&amp;"")</f>
        <v/>
      </c>
    </row>
    <row r="3568">
      <c r="A3568" s="75" t="n">
        <v>2026</v>
      </c>
      <c r="B3568" s="75" t="n">
        <v>7</v>
      </c>
      <c r="C3568" s="75" t="inlineStr">
        <is>
          <t>5100001224</t>
        </is>
      </c>
      <c r="D3568" s="78" t="n">
        <v>46211</v>
      </c>
      <c r="E3568" s="75" t="inlineStr">
        <is>
          <t>KR</t>
        </is>
      </c>
      <c r="F3568" s="75" t="n">
        <v>62101000</v>
      </c>
      <c r="G3568" s="75" t="n">
        <v>1502</v>
      </c>
      <c r="H3568" s="76" t="n">
        <v>795000</v>
      </c>
      <c r="I3568" s="75" t="inlineStr">
        <is>
          <t>7월 국내출장 - L여행사</t>
        </is>
      </c>
      <c r="J3568" s="75" t="inlineStr">
        <is>
          <t>V10014</t>
        </is>
      </c>
      <c r="K3568" s="75" t="inlineStr">
        <is>
          <t>L여행사</t>
        </is>
      </c>
      <c r="M3568" s="9">
        <f>IF($A3568="","",VALUE($A3568&amp;"")*12+VALUE($B3568&amp;""))</f>
        <v/>
      </c>
      <c r="N3568" s="39">
        <f>IF($A3568="","",IFERROR(INDEX(부서매핑!$C$5:$C$504,MATCH($G3568&amp;"",부서매핑!$A$5:$A$504,0)),"미매핑"))</f>
        <v/>
      </c>
      <c r="O3568" s="9">
        <f>IF($A3568="","",N3568&amp;"|"&amp;$F3568)</f>
        <v/>
      </c>
      <c r="P3568" s="77">
        <f>IF($A3568="",0,$H3568*설정!$C$23)</f>
        <v/>
      </c>
      <c r="Q3568" s="39">
        <f>IF($A3568="","",IF(O3568&lt;&gt;원인분석!$C$9,"",IF(AND(M3568&gt;=원인분석!$C$10,M3568&lt;=원인분석!$C$11),"당기",IF(AND(M3568&gt;=원인분석!$C$12,M3568&lt;=원인분석!$C$13),"비교",""))))</f>
        <v/>
      </c>
      <c r="R3568" s="9">
        <f>IF(Q3568="","",$K3568&amp;"")</f>
        <v/>
      </c>
      <c r="S3568" s="9">
        <f>IF(Q3568="","",IF(MATCH(R3568,$R$5:$R$100000,0)=ROW()-4,ROW(),""))</f>
        <v/>
      </c>
      <c r="T3568" s="9">
        <f>IF(Q3568="당기",ABS(P3568)+ROW()/1000000000,"")</f>
        <v/>
      </c>
      <c r="U3568" s="9">
        <f>IF(Q3568="비교",ABS(P3568)+ROW()/1000000000,"")</f>
        <v/>
      </c>
      <c r="V3568" s="39">
        <f>IF($A3568="","",IF(COUNTIF(변동분석!$E$7:$E$506,O3568)&gt;0,"Y","N"))</f>
        <v/>
      </c>
      <c r="W3568" s="39">
        <f>IF($A3568="","",IFERROR(INDEX(계정매핑!$D$5:$D$504,MATCH($F3568&amp;"",계정매핑!$A$5:$A$504,0)),"미매핑"))</f>
        <v/>
      </c>
      <c r="X3568" s="9">
        <f>IF($A3568="","",$F3568&amp;"")</f>
        <v/>
      </c>
    </row>
    <row r="3569">
      <c r="A3569" s="75" t="n">
        <v>2026</v>
      </c>
      <c r="B3569" s="75" t="n">
        <v>7</v>
      </c>
      <c r="C3569" s="75" t="inlineStr">
        <is>
          <t>5100001225</t>
        </is>
      </c>
      <c r="D3569" s="78" t="n">
        <v>46211</v>
      </c>
      <c r="E3569" s="75" t="inlineStr">
        <is>
          <t>KR</t>
        </is>
      </c>
      <c r="F3569" s="75" t="n">
        <v>62102000</v>
      </c>
      <c r="G3569" s="75" t="n">
        <v>1602</v>
      </c>
      <c r="H3569" s="76" t="n">
        <v>484000</v>
      </c>
      <c r="I3569" s="75" t="inlineStr">
        <is>
          <t>7월 해외출장 - N호텔</t>
        </is>
      </c>
      <c r="J3569" s="75" t="inlineStr">
        <is>
          <t>V10007</t>
        </is>
      </c>
      <c r="K3569" s="75" t="inlineStr">
        <is>
          <t>N호텔</t>
        </is>
      </c>
      <c r="M3569" s="9">
        <f>IF($A3569="","",VALUE($A3569&amp;"")*12+VALUE($B3569&amp;""))</f>
        <v/>
      </c>
      <c r="N3569" s="39">
        <f>IF($A3569="","",IFERROR(INDEX(부서매핑!$C$5:$C$504,MATCH($G3569&amp;"",부서매핑!$A$5:$A$504,0)),"미매핑"))</f>
        <v/>
      </c>
      <c r="O3569" s="9">
        <f>IF($A3569="","",N3569&amp;"|"&amp;$F3569)</f>
        <v/>
      </c>
      <c r="P3569" s="77">
        <f>IF($A3569="",0,$H3569*설정!$C$23)</f>
        <v/>
      </c>
      <c r="Q3569" s="39">
        <f>IF($A3569="","",IF(O3569&lt;&gt;원인분석!$C$9,"",IF(AND(M3569&gt;=원인분석!$C$10,M3569&lt;=원인분석!$C$11),"당기",IF(AND(M3569&gt;=원인분석!$C$12,M3569&lt;=원인분석!$C$13),"비교",""))))</f>
        <v/>
      </c>
      <c r="R3569" s="9">
        <f>IF(Q3569="","",$K3569&amp;"")</f>
        <v/>
      </c>
      <c r="S3569" s="9">
        <f>IF(Q3569="","",IF(MATCH(R3569,$R$5:$R$100000,0)=ROW()-4,ROW(),""))</f>
        <v/>
      </c>
      <c r="T3569" s="9">
        <f>IF(Q3569="당기",ABS(P3569)+ROW()/1000000000,"")</f>
        <v/>
      </c>
      <c r="U3569" s="9">
        <f>IF(Q3569="비교",ABS(P3569)+ROW()/1000000000,"")</f>
        <v/>
      </c>
      <c r="V3569" s="39">
        <f>IF($A3569="","",IF(COUNTIF(변동분석!$E$7:$E$506,O3569)&gt;0,"Y","N"))</f>
        <v/>
      </c>
      <c r="W3569" s="39">
        <f>IF($A3569="","",IFERROR(INDEX(계정매핑!$D$5:$D$504,MATCH($F3569&amp;"",계정매핑!$A$5:$A$504,0)),"미매핑"))</f>
        <v/>
      </c>
      <c r="X3569" s="9">
        <f>IF($A3569="","",$F3569&amp;"")</f>
        <v/>
      </c>
    </row>
    <row r="3570">
      <c r="A3570" s="75" t="n">
        <v>2026</v>
      </c>
      <c r="B3570" s="75" t="n">
        <v>7</v>
      </c>
      <c r="C3570" s="75" t="inlineStr">
        <is>
          <t>5100001226</t>
        </is>
      </c>
      <c r="D3570" s="78" t="n">
        <v>46211</v>
      </c>
      <c r="E3570" s="75" t="inlineStr">
        <is>
          <t>KR</t>
        </is>
      </c>
      <c r="F3570" s="75" t="n">
        <v>62201000</v>
      </c>
      <c r="G3570" s="75" t="n">
        <v>1801</v>
      </c>
      <c r="H3570" s="76" t="n">
        <v>10553000</v>
      </c>
      <c r="I3570" s="75" t="inlineStr">
        <is>
          <t>7월 통신요금 - O텔레콤</t>
        </is>
      </c>
      <c r="J3570" s="75" t="inlineStr">
        <is>
          <t>V10002</t>
        </is>
      </c>
      <c r="K3570" s="75" t="inlineStr">
        <is>
          <t>O텔레콤</t>
        </is>
      </c>
      <c r="M3570" s="9">
        <f>IF($A3570="","",VALUE($A3570&amp;"")*12+VALUE($B3570&amp;""))</f>
        <v/>
      </c>
      <c r="N3570" s="39">
        <f>IF($A3570="","",IFERROR(INDEX(부서매핑!$C$5:$C$504,MATCH($G3570&amp;"",부서매핑!$A$5:$A$504,0)),"미매핑"))</f>
        <v/>
      </c>
      <c r="O3570" s="9">
        <f>IF($A3570="","",N3570&amp;"|"&amp;$F3570)</f>
        <v/>
      </c>
      <c r="P3570" s="77">
        <f>IF($A3570="",0,$H3570*설정!$C$23)</f>
        <v/>
      </c>
      <c r="Q3570" s="39">
        <f>IF($A3570="","",IF(O3570&lt;&gt;원인분석!$C$9,"",IF(AND(M3570&gt;=원인분석!$C$10,M3570&lt;=원인분석!$C$11),"당기",IF(AND(M3570&gt;=원인분석!$C$12,M3570&lt;=원인분석!$C$13),"비교",""))))</f>
        <v/>
      </c>
      <c r="R3570" s="9">
        <f>IF(Q3570="","",$K3570&amp;"")</f>
        <v/>
      </c>
      <c r="S3570" s="9">
        <f>IF(Q3570="","",IF(MATCH(R3570,$R$5:$R$100000,0)=ROW()-4,ROW(),""))</f>
        <v/>
      </c>
      <c r="T3570" s="9">
        <f>IF(Q3570="당기",ABS(P3570)+ROW()/1000000000,"")</f>
        <v/>
      </c>
      <c r="U3570" s="9">
        <f>IF(Q3570="비교",ABS(P3570)+ROW()/1000000000,"")</f>
        <v/>
      </c>
      <c r="V3570" s="39">
        <f>IF($A3570="","",IF(COUNTIF(변동분석!$E$7:$E$506,O3570)&gt;0,"Y","N"))</f>
        <v/>
      </c>
      <c r="W3570" s="39">
        <f>IF($A3570="","",IFERROR(INDEX(계정매핑!$D$5:$D$504,MATCH($F3570&amp;"",계정매핑!$A$5:$A$504,0)),"미매핑"))</f>
        <v/>
      </c>
      <c r="X3570" s="9">
        <f>IF($A3570="","",$F3570&amp;"")</f>
        <v/>
      </c>
    </row>
    <row r="3571">
      <c r="A3571" s="75" t="n">
        <v>2026</v>
      </c>
      <c r="B3571" s="75" t="n">
        <v>7</v>
      </c>
      <c r="C3571" s="75" t="inlineStr">
        <is>
          <t>5100001227</t>
        </is>
      </c>
      <c r="D3571" s="78" t="n">
        <v>46211</v>
      </c>
      <c r="E3571" s="75" t="inlineStr">
        <is>
          <t>KR</t>
        </is>
      </c>
      <c r="F3571" s="75" t="n">
        <v>62301000</v>
      </c>
      <c r="G3571" s="75" t="n">
        <v>1201</v>
      </c>
      <c r="H3571" s="76" t="n">
        <v>247000</v>
      </c>
      <c r="I3571" s="75" t="inlineStr">
        <is>
          <t>7월 소모품 구입 - R문구</t>
        </is>
      </c>
      <c r="J3571" s="75" t="inlineStr">
        <is>
          <t>V10018</t>
        </is>
      </c>
      <c r="K3571" s="75" t="inlineStr">
        <is>
          <t>R문구</t>
        </is>
      </c>
      <c r="M3571" s="9">
        <f>IF($A3571="","",VALUE($A3571&amp;"")*12+VALUE($B3571&amp;""))</f>
        <v/>
      </c>
      <c r="N3571" s="39">
        <f>IF($A3571="","",IFERROR(INDEX(부서매핑!$C$5:$C$504,MATCH($G3571&amp;"",부서매핑!$A$5:$A$504,0)),"미매핑"))</f>
        <v/>
      </c>
      <c r="O3571" s="9">
        <f>IF($A3571="","",N3571&amp;"|"&amp;$F3571)</f>
        <v/>
      </c>
      <c r="P3571" s="77">
        <f>IF($A3571="",0,$H3571*설정!$C$23)</f>
        <v/>
      </c>
      <c r="Q3571" s="39">
        <f>IF($A3571="","",IF(O3571&lt;&gt;원인분석!$C$9,"",IF(AND(M3571&gt;=원인분석!$C$10,M3571&lt;=원인분석!$C$11),"당기",IF(AND(M3571&gt;=원인분석!$C$12,M3571&lt;=원인분석!$C$13),"비교",""))))</f>
        <v/>
      </c>
      <c r="R3571" s="9">
        <f>IF(Q3571="","",$K3571&amp;"")</f>
        <v/>
      </c>
      <c r="S3571" s="9">
        <f>IF(Q3571="","",IF(MATCH(R3571,$R$5:$R$100000,0)=ROW()-4,ROW(),""))</f>
        <v/>
      </c>
      <c r="T3571" s="9">
        <f>IF(Q3571="당기",ABS(P3571)+ROW()/1000000000,"")</f>
        <v/>
      </c>
      <c r="U3571" s="9">
        <f>IF(Q3571="비교",ABS(P3571)+ROW()/1000000000,"")</f>
        <v/>
      </c>
      <c r="V3571" s="39">
        <f>IF($A3571="","",IF(COUNTIF(변동분석!$E$7:$E$506,O3571)&gt;0,"Y","N"))</f>
        <v/>
      </c>
      <c r="W3571" s="39">
        <f>IF($A3571="","",IFERROR(INDEX(계정매핑!$D$5:$D$504,MATCH($F3571&amp;"",계정매핑!$A$5:$A$504,0)),"미매핑"))</f>
        <v/>
      </c>
      <c r="X3571" s="9">
        <f>IF($A3571="","",$F3571&amp;"")</f>
        <v/>
      </c>
    </row>
    <row r="3572">
      <c r="A3572" s="75" t="n">
        <v>2026</v>
      </c>
      <c r="B3572" s="75" t="n">
        <v>7</v>
      </c>
      <c r="C3572" s="75" t="inlineStr">
        <is>
          <t>5100001228</t>
        </is>
      </c>
      <c r="D3572" s="78" t="n">
        <v>46211</v>
      </c>
      <c r="E3572" s="75" t="inlineStr">
        <is>
          <t>KR</t>
        </is>
      </c>
      <c r="F3572" s="75" t="n">
        <v>62301000</v>
      </c>
      <c r="G3572" s="75" t="n">
        <v>1301</v>
      </c>
      <c r="H3572" s="76" t="n">
        <v>362000</v>
      </c>
      <c r="I3572" s="75" t="inlineStr">
        <is>
          <t>7월 소모품 구입 - Q오피스</t>
        </is>
      </c>
      <c r="J3572" s="75" t="inlineStr">
        <is>
          <t>V10003</t>
        </is>
      </c>
      <c r="K3572" s="75" t="inlineStr">
        <is>
          <t>Q오피스</t>
        </is>
      </c>
      <c r="M3572" s="9">
        <f>IF($A3572="","",VALUE($A3572&amp;"")*12+VALUE($B3572&amp;""))</f>
        <v/>
      </c>
      <c r="N3572" s="39">
        <f>IF($A3572="","",IFERROR(INDEX(부서매핑!$C$5:$C$504,MATCH($G3572&amp;"",부서매핑!$A$5:$A$504,0)),"미매핑"))</f>
        <v/>
      </c>
      <c r="O3572" s="9">
        <f>IF($A3572="","",N3572&amp;"|"&amp;$F3572)</f>
        <v/>
      </c>
      <c r="P3572" s="77">
        <f>IF($A3572="",0,$H3572*설정!$C$23)</f>
        <v/>
      </c>
      <c r="Q3572" s="39">
        <f>IF($A3572="","",IF(O3572&lt;&gt;원인분석!$C$9,"",IF(AND(M3572&gt;=원인분석!$C$10,M3572&lt;=원인분석!$C$11),"당기",IF(AND(M3572&gt;=원인분석!$C$12,M3572&lt;=원인분석!$C$13),"비교",""))))</f>
        <v/>
      </c>
      <c r="R3572" s="9">
        <f>IF(Q3572="","",$K3572&amp;"")</f>
        <v/>
      </c>
      <c r="S3572" s="9">
        <f>IF(Q3572="","",IF(MATCH(R3572,$R$5:$R$100000,0)=ROW()-4,ROW(),""))</f>
        <v/>
      </c>
      <c r="T3572" s="9">
        <f>IF(Q3572="당기",ABS(P3572)+ROW()/1000000000,"")</f>
        <v/>
      </c>
      <c r="U3572" s="9">
        <f>IF(Q3572="비교",ABS(P3572)+ROW()/1000000000,"")</f>
        <v/>
      </c>
      <c r="V3572" s="39">
        <f>IF($A3572="","",IF(COUNTIF(변동분석!$E$7:$E$506,O3572)&gt;0,"Y","N"))</f>
        <v/>
      </c>
      <c r="W3572" s="39">
        <f>IF($A3572="","",IFERROR(INDEX(계정매핑!$D$5:$D$504,MATCH($F3572&amp;"",계정매핑!$A$5:$A$504,0)),"미매핑"))</f>
        <v/>
      </c>
      <c r="X3572" s="9">
        <f>IF($A3572="","",$F3572&amp;"")</f>
        <v/>
      </c>
    </row>
    <row r="3573">
      <c r="A3573" s="75" t="n">
        <v>2026</v>
      </c>
      <c r="B3573" s="75" t="n">
        <v>7</v>
      </c>
      <c r="C3573" s="75" t="inlineStr">
        <is>
          <t>5100001229</t>
        </is>
      </c>
      <c r="D3573" s="78" t="n">
        <v>46211</v>
      </c>
      <c r="E3573" s="75" t="inlineStr">
        <is>
          <t>KR</t>
        </is>
      </c>
      <c r="F3573" s="75" t="n">
        <v>62301000</v>
      </c>
      <c r="G3573" s="75" t="n">
        <v>1502</v>
      </c>
      <c r="H3573" s="76" t="n">
        <v>169000</v>
      </c>
      <c r="I3573" s="75" t="inlineStr">
        <is>
          <t>7월 소모품 구입 - R문구</t>
        </is>
      </c>
      <c r="J3573" s="75" t="inlineStr">
        <is>
          <t>V10018</t>
        </is>
      </c>
      <c r="K3573" s="75" t="inlineStr">
        <is>
          <t>R문구</t>
        </is>
      </c>
      <c r="M3573" s="9">
        <f>IF($A3573="","",VALUE($A3573&amp;"")*12+VALUE($B3573&amp;""))</f>
        <v/>
      </c>
      <c r="N3573" s="39">
        <f>IF($A3573="","",IFERROR(INDEX(부서매핑!$C$5:$C$504,MATCH($G3573&amp;"",부서매핑!$A$5:$A$504,0)),"미매핑"))</f>
        <v/>
      </c>
      <c r="O3573" s="9">
        <f>IF($A3573="","",N3573&amp;"|"&amp;$F3573)</f>
        <v/>
      </c>
      <c r="P3573" s="77">
        <f>IF($A3573="",0,$H3573*설정!$C$23)</f>
        <v/>
      </c>
      <c r="Q3573" s="39">
        <f>IF($A3573="","",IF(O3573&lt;&gt;원인분석!$C$9,"",IF(AND(M3573&gt;=원인분석!$C$10,M3573&lt;=원인분석!$C$11),"당기",IF(AND(M3573&gt;=원인분석!$C$12,M3573&lt;=원인분석!$C$13),"비교",""))))</f>
        <v/>
      </c>
      <c r="R3573" s="9">
        <f>IF(Q3573="","",$K3573&amp;"")</f>
        <v/>
      </c>
      <c r="S3573" s="9">
        <f>IF(Q3573="","",IF(MATCH(R3573,$R$5:$R$100000,0)=ROW()-4,ROW(),""))</f>
        <v/>
      </c>
      <c r="T3573" s="9">
        <f>IF(Q3573="당기",ABS(P3573)+ROW()/1000000000,"")</f>
        <v/>
      </c>
      <c r="U3573" s="9">
        <f>IF(Q3573="비교",ABS(P3573)+ROW()/1000000000,"")</f>
        <v/>
      </c>
      <c r="V3573" s="39">
        <f>IF($A3573="","",IF(COUNTIF(변동분석!$E$7:$E$506,O3573)&gt;0,"Y","N"))</f>
        <v/>
      </c>
      <c r="W3573" s="39">
        <f>IF($A3573="","",IFERROR(INDEX(계정매핑!$D$5:$D$504,MATCH($F3573&amp;"",계정매핑!$A$5:$A$504,0)),"미매핑"))</f>
        <v/>
      </c>
      <c r="X3573" s="9">
        <f>IF($A3573="","",$F3573&amp;"")</f>
        <v/>
      </c>
    </row>
    <row r="3574">
      <c r="A3574" s="75" t="n">
        <v>2026</v>
      </c>
      <c r="B3574" s="75" t="n">
        <v>7</v>
      </c>
      <c r="C3574" s="75" t="inlineStr">
        <is>
          <t>5100001230</t>
        </is>
      </c>
      <c r="D3574" s="78" t="n">
        <v>46211</v>
      </c>
      <c r="E3574" s="75" t="inlineStr">
        <is>
          <t>KR</t>
        </is>
      </c>
      <c r="F3574" s="75" t="n">
        <v>62401000</v>
      </c>
      <c r="G3574" s="75" t="n">
        <v>1401</v>
      </c>
      <c r="H3574" s="76" t="n">
        <v>141000</v>
      </c>
      <c r="I3574" s="75" t="inlineStr">
        <is>
          <t>7월 인쇄물 제작 - G인쇄</t>
        </is>
      </c>
      <c r="J3574" s="75" t="inlineStr">
        <is>
          <t>V10004</t>
        </is>
      </c>
      <c r="K3574" s="75" t="inlineStr">
        <is>
          <t>G인쇄</t>
        </is>
      </c>
      <c r="M3574" s="9">
        <f>IF($A3574="","",VALUE($A3574&amp;"")*12+VALUE($B3574&amp;""))</f>
        <v/>
      </c>
      <c r="N3574" s="39">
        <f>IF($A3574="","",IFERROR(INDEX(부서매핑!$C$5:$C$504,MATCH($G3574&amp;"",부서매핑!$A$5:$A$504,0)),"미매핑"))</f>
        <v/>
      </c>
      <c r="O3574" s="9">
        <f>IF($A3574="","",N3574&amp;"|"&amp;$F3574)</f>
        <v/>
      </c>
      <c r="P3574" s="77">
        <f>IF($A3574="",0,$H3574*설정!$C$23)</f>
        <v/>
      </c>
      <c r="Q3574" s="39">
        <f>IF($A3574="","",IF(O3574&lt;&gt;원인분석!$C$9,"",IF(AND(M3574&gt;=원인분석!$C$10,M3574&lt;=원인분석!$C$11),"당기",IF(AND(M3574&gt;=원인분석!$C$12,M3574&lt;=원인분석!$C$13),"비교",""))))</f>
        <v/>
      </c>
      <c r="R3574" s="9">
        <f>IF(Q3574="","",$K3574&amp;"")</f>
        <v/>
      </c>
      <c r="S3574" s="9">
        <f>IF(Q3574="","",IF(MATCH(R3574,$R$5:$R$100000,0)=ROW()-4,ROW(),""))</f>
        <v/>
      </c>
      <c r="T3574" s="9">
        <f>IF(Q3574="당기",ABS(P3574)+ROW()/1000000000,"")</f>
        <v/>
      </c>
      <c r="U3574" s="9">
        <f>IF(Q3574="비교",ABS(P3574)+ROW()/1000000000,"")</f>
        <v/>
      </c>
      <c r="V3574" s="39">
        <f>IF($A3574="","",IF(COUNTIF(변동분석!$E$7:$E$506,O3574)&gt;0,"Y","N"))</f>
        <v/>
      </c>
      <c r="W3574" s="39">
        <f>IF($A3574="","",IFERROR(INDEX(계정매핑!$D$5:$D$504,MATCH($F3574&amp;"",계정매핑!$A$5:$A$504,0)),"미매핑"))</f>
        <v/>
      </c>
      <c r="X3574" s="9">
        <f>IF($A3574="","",$F3574&amp;"")</f>
        <v/>
      </c>
    </row>
    <row r="3575">
      <c r="A3575" s="75" t="n">
        <v>2026</v>
      </c>
      <c r="B3575" s="75" t="n">
        <v>7</v>
      </c>
      <c r="C3575" s="75" t="inlineStr">
        <is>
          <t>5100001231</t>
        </is>
      </c>
      <c r="D3575" s="78" t="n">
        <v>46211</v>
      </c>
      <c r="E3575" s="75" t="inlineStr">
        <is>
          <t>KR</t>
        </is>
      </c>
      <c r="F3575" s="75" t="n">
        <v>62501000</v>
      </c>
      <c r="G3575" s="75" t="n">
        <v>1601</v>
      </c>
      <c r="H3575" s="76" t="n">
        <v>657000</v>
      </c>
      <c r="I3575" s="75" t="inlineStr">
        <is>
          <t>7월 회의 다과 - T케이터링</t>
        </is>
      </c>
      <c r="J3575" s="75" t="inlineStr">
        <is>
          <t>V10005</t>
        </is>
      </c>
      <c r="K3575" s="75" t="inlineStr">
        <is>
          <t>T케이터링</t>
        </is>
      </c>
      <c r="M3575" s="9">
        <f>IF($A3575="","",VALUE($A3575&amp;"")*12+VALUE($B3575&amp;""))</f>
        <v/>
      </c>
      <c r="N3575" s="39">
        <f>IF($A3575="","",IFERROR(INDEX(부서매핑!$C$5:$C$504,MATCH($G3575&amp;"",부서매핑!$A$5:$A$504,0)),"미매핑"))</f>
        <v/>
      </c>
      <c r="O3575" s="9">
        <f>IF($A3575="","",N3575&amp;"|"&amp;$F3575)</f>
        <v/>
      </c>
      <c r="P3575" s="77">
        <f>IF($A3575="",0,$H3575*설정!$C$23)</f>
        <v/>
      </c>
      <c r="Q3575" s="39">
        <f>IF($A3575="","",IF(O3575&lt;&gt;원인분석!$C$9,"",IF(AND(M3575&gt;=원인분석!$C$10,M3575&lt;=원인분석!$C$11),"당기",IF(AND(M3575&gt;=원인분석!$C$12,M3575&lt;=원인분석!$C$13),"비교",""))))</f>
        <v/>
      </c>
      <c r="R3575" s="9">
        <f>IF(Q3575="","",$K3575&amp;"")</f>
        <v/>
      </c>
      <c r="S3575" s="9">
        <f>IF(Q3575="","",IF(MATCH(R3575,$R$5:$R$100000,0)=ROW()-4,ROW(),""))</f>
        <v/>
      </c>
      <c r="T3575" s="9">
        <f>IF(Q3575="당기",ABS(P3575)+ROW()/1000000000,"")</f>
        <v/>
      </c>
      <c r="U3575" s="9">
        <f>IF(Q3575="비교",ABS(P3575)+ROW()/1000000000,"")</f>
        <v/>
      </c>
      <c r="V3575" s="39">
        <f>IF($A3575="","",IF(COUNTIF(변동분석!$E$7:$E$506,O3575)&gt;0,"Y","N"))</f>
        <v/>
      </c>
      <c r="W3575" s="39">
        <f>IF($A3575="","",IFERROR(INDEX(계정매핑!$D$5:$D$504,MATCH($F3575&amp;"",계정매핑!$A$5:$A$504,0)),"미매핑"))</f>
        <v/>
      </c>
      <c r="X3575" s="9">
        <f>IF($A3575="","",$F3575&amp;"")</f>
        <v/>
      </c>
    </row>
    <row r="3576">
      <c r="A3576" s="75" t="n">
        <v>2026</v>
      </c>
      <c r="B3576" s="75" t="n">
        <v>7</v>
      </c>
      <c r="C3576" s="75" t="inlineStr">
        <is>
          <t>5100001232</t>
        </is>
      </c>
      <c r="D3576" s="78" t="n">
        <v>46211</v>
      </c>
      <c r="E3576" s="75" t="inlineStr">
        <is>
          <t>KR</t>
        </is>
      </c>
      <c r="F3576" s="75" t="n">
        <v>62902000</v>
      </c>
      <c r="G3576" s="75" t="n">
        <v>1801</v>
      </c>
      <c r="H3576" s="76" t="n">
        <v>1801000</v>
      </c>
      <c r="I3576" s="75" t="inlineStr">
        <is>
          <t>7월 콜 위탁 수수료(건별)</t>
        </is>
      </c>
      <c r="J3576" s="75" t="inlineStr">
        <is>
          <t>V10013</t>
        </is>
      </c>
      <c r="K3576" s="75" t="inlineStr">
        <is>
          <t>J콜센터</t>
        </is>
      </c>
      <c r="M3576" s="9">
        <f>IF($A3576="","",VALUE($A3576&amp;"")*12+VALUE($B3576&amp;""))</f>
        <v/>
      </c>
      <c r="N3576" s="39">
        <f>IF($A3576="","",IFERROR(INDEX(부서매핑!$C$5:$C$504,MATCH($G3576&amp;"",부서매핑!$A$5:$A$504,0)),"미매핑"))</f>
        <v/>
      </c>
      <c r="O3576" s="9">
        <f>IF($A3576="","",N3576&amp;"|"&amp;$F3576)</f>
        <v/>
      </c>
      <c r="P3576" s="77">
        <f>IF($A3576="",0,$H3576*설정!$C$23)</f>
        <v/>
      </c>
      <c r="Q3576" s="39">
        <f>IF($A3576="","",IF(O3576&lt;&gt;원인분석!$C$9,"",IF(AND(M3576&gt;=원인분석!$C$10,M3576&lt;=원인분석!$C$11),"당기",IF(AND(M3576&gt;=원인분석!$C$12,M3576&lt;=원인분석!$C$13),"비교",""))))</f>
        <v/>
      </c>
      <c r="R3576" s="9">
        <f>IF(Q3576="","",$K3576&amp;"")</f>
        <v/>
      </c>
      <c r="S3576" s="9">
        <f>IF(Q3576="","",IF(MATCH(R3576,$R$5:$R$100000,0)=ROW()-4,ROW(),""))</f>
        <v/>
      </c>
      <c r="T3576" s="9">
        <f>IF(Q3576="당기",ABS(P3576)+ROW()/1000000000,"")</f>
        <v/>
      </c>
      <c r="U3576" s="9">
        <f>IF(Q3576="비교",ABS(P3576)+ROW()/1000000000,"")</f>
        <v/>
      </c>
      <c r="V3576" s="39">
        <f>IF($A3576="","",IF(COUNTIF(변동분석!$E$7:$E$506,O3576)&gt;0,"Y","N"))</f>
        <v/>
      </c>
      <c r="W3576" s="39">
        <f>IF($A3576="","",IFERROR(INDEX(계정매핑!$D$5:$D$504,MATCH($F3576&amp;"",계정매핑!$A$5:$A$504,0)),"미매핑"))</f>
        <v/>
      </c>
      <c r="X3576" s="9">
        <f>IF($A3576="","",$F3576&amp;"")</f>
        <v/>
      </c>
    </row>
    <row r="3577">
      <c r="A3577" s="75" t="n">
        <v>2026</v>
      </c>
      <c r="B3577" s="75" t="n">
        <v>7</v>
      </c>
      <c r="C3577" s="75" t="inlineStr">
        <is>
          <t>5100001233</t>
        </is>
      </c>
      <c r="D3577" s="78" t="n">
        <v>46211</v>
      </c>
      <c r="E3577" s="75" t="inlineStr">
        <is>
          <t>KR</t>
        </is>
      </c>
      <c r="F3577" s="75" t="n">
        <v>62902000</v>
      </c>
      <c r="G3577" s="75" t="n">
        <v>1801</v>
      </c>
      <c r="H3577" s="76" t="n">
        <v>1796000</v>
      </c>
      <c r="I3577" s="75" t="inlineStr">
        <is>
          <t>7월 콜 위탁 수수료(건별)</t>
        </is>
      </c>
      <c r="J3577" s="75" t="inlineStr">
        <is>
          <t>V10013</t>
        </is>
      </c>
      <c r="K3577" s="75" t="inlineStr">
        <is>
          <t>J콜센터</t>
        </is>
      </c>
      <c r="M3577" s="9">
        <f>IF($A3577="","",VALUE($A3577&amp;"")*12+VALUE($B3577&amp;""))</f>
        <v/>
      </c>
      <c r="N3577" s="39">
        <f>IF($A3577="","",IFERROR(INDEX(부서매핑!$C$5:$C$504,MATCH($G3577&amp;"",부서매핑!$A$5:$A$504,0)),"미매핑"))</f>
        <v/>
      </c>
      <c r="O3577" s="9">
        <f>IF($A3577="","",N3577&amp;"|"&amp;$F3577)</f>
        <v/>
      </c>
      <c r="P3577" s="77">
        <f>IF($A3577="",0,$H3577*설정!$C$23)</f>
        <v/>
      </c>
      <c r="Q3577" s="39">
        <f>IF($A3577="","",IF(O3577&lt;&gt;원인분석!$C$9,"",IF(AND(M3577&gt;=원인분석!$C$10,M3577&lt;=원인분석!$C$11),"당기",IF(AND(M3577&gt;=원인분석!$C$12,M3577&lt;=원인분석!$C$13),"비교",""))))</f>
        <v/>
      </c>
      <c r="R3577" s="9">
        <f>IF(Q3577="","",$K3577&amp;"")</f>
        <v/>
      </c>
      <c r="S3577" s="9">
        <f>IF(Q3577="","",IF(MATCH(R3577,$R$5:$R$100000,0)=ROW()-4,ROW(),""))</f>
        <v/>
      </c>
      <c r="T3577" s="9">
        <f>IF(Q3577="당기",ABS(P3577)+ROW()/1000000000,"")</f>
        <v/>
      </c>
      <c r="U3577" s="9">
        <f>IF(Q3577="비교",ABS(P3577)+ROW()/1000000000,"")</f>
        <v/>
      </c>
      <c r="V3577" s="39">
        <f>IF($A3577="","",IF(COUNTIF(변동분석!$E$7:$E$506,O3577)&gt;0,"Y","N"))</f>
        <v/>
      </c>
      <c r="W3577" s="39">
        <f>IF($A3577="","",IFERROR(INDEX(계정매핑!$D$5:$D$504,MATCH($F3577&amp;"",계정매핑!$A$5:$A$504,0)),"미매핑"))</f>
        <v/>
      </c>
      <c r="X3577" s="9">
        <f>IF($A3577="","",$F3577&amp;"")</f>
        <v/>
      </c>
    </row>
    <row r="3578">
      <c r="A3578" s="75" t="n">
        <v>2026</v>
      </c>
      <c r="B3578" s="75" t="n">
        <v>7</v>
      </c>
      <c r="C3578" s="75" t="inlineStr">
        <is>
          <t>5100001234</t>
        </is>
      </c>
      <c r="D3578" s="78" t="n">
        <v>46211</v>
      </c>
      <c r="E3578" s="75" t="inlineStr">
        <is>
          <t>KR</t>
        </is>
      </c>
      <c r="F3578" s="75" t="n">
        <v>62902000</v>
      </c>
      <c r="G3578" s="75" t="n">
        <v>1801</v>
      </c>
      <c r="H3578" s="76" t="n">
        <v>3000000</v>
      </c>
      <c r="I3578" s="75" t="inlineStr">
        <is>
          <t>7월 업무 위탁 수수료 - X서비스</t>
        </is>
      </c>
      <c r="J3578" s="75" t="inlineStr">
        <is>
          <t>V10016</t>
        </is>
      </c>
      <c r="K3578" s="75" t="inlineStr">
        <is>
          <t>X서비스</t>
        </is>
      </c>
      <c r="M3578" s="9">
        <f>IF($A3578="","",VALUE($A3578&amp;"")*12+VALUE($B3578&amp;""))</f>
        <v/>
      </c>
      <c r="N3578" s="39">
        <f>IF($A3578="","",IFERROR(INDEX(부서매핑!$C$5:$C$504,MATCH($G3578&amp;"",부서매핑!$A$5:$A$504,0)),"미매핑"))</f>
        <v/>
      </c>
      <c r="O3578" s="9">
        <f>IF($A3578="","",N3578&amp;"|"&amp;$F3578)</f>
        <v/>
      </c>
      <c r="P3578" s="77">
        <f>IF($A3578="",0,$H3578*설정!$C$23)</f>
        <v/>
      </c>
      <c r="Q3578" s="39">
        <f>IF($A3578="","",IF(O3578&lt;&gt;원인분석!$C$9,"",IF(AND(M3578&gt;=원인분석!$C$10,M3578&lt;=원인분석!$C$11),"당기",IF(AND(M3578&gt;=원인분석!$C$12,M3578&lt;=원인분석!$C$13),"비교",""))))</f>
        <v/>
      </c>
      <c r="R3578" s="9">
        <f>IF(Q3578="","",$K3578&amp;"")</f>
        <v/>
      </c>
      <c r="S3578" s="9">
        <f>IF(Q3578="","",IF(MATCH(R3578,$R$5:$R$100000,0)=ROW()-4,ROW(),""))</f>
        <v/>
      </c>
      <c r="T3578" s="9">
        <f>IF(Q3578="당기",ABS(P3578)+ROW()/1000000000,"")</f>
        <v/>
      </c>
      <c r="U3578" s="9">
        <f>IF(Q3578="비교",ABS(P3578)+ROW()/1000000000,"")</f>
        <v/>
      </c>
      <c r="V3578" s="39">
        <f>IF($A3578="","",IF(COUNTIF(변동분석!$E$7:$E$506,O3578)&gt;0,"Y","N"))</f>
        <v/>
      </c>
      <c r="W3578" s="39">
        <f>IF($A3578="","",IFERROR(INDEX(계정매핑!$D$5:$D$504,MATCH($F3578&amp;"",계정매핑!$A$5:$A$504,0)),"미매핑"))</f>
        <v/>
      </c>
      <c r="X3578" s="9">
        <f>IF($A3578="","",$F3578&amp;"")</f>
        <v/>
      </c>
    </row>
    <row r="3579">
      <c r="A3579" s="75" t="n">
        <v>2026</v>
      </c>
      <c r="B3579" s="75" t="n">
        <v>7</v>
      </c>
      <c r="C3579" s="75" t="inlineStr">
        <is>
          <t>5100001235</t>
        </is>
      </c>
      <c r="D3579" s="78" t="n">
        <v>46211</v>
      </c>
      <c r="E3579" s="75" t="inlineStr">
        <is>
          <t>KR</t>
        </is>
      </c>
      <c r="F3579" s="75" t="n">
        <v>63001000</v>
      </c>
      <c r="G3579" s="75" t="n">
        <v>1701</v>
      </c>
      <c r="H3579" s="76" t="n">
        <v>28071000</v>
      </c>
      <c r="I3579" s="75" t="inlineStr">
        <is>
          <t>7월 SW 유지보수 - Z시스템</t>
        </is>
      </c>
      <c r="J3579" s="75" t="inlineStr">
        <is>
          <t>V10021</t>
        </is>
      </c>
      <c r="K3579" s="75" t="inlineStr">
        <is>
          <t>Z시스템</t>
        </is>
      </c>
      <c r="M3579" s="9">
        <f>IF($A3579="","",VALUE($A3579&amp;"")*12+VALUE($B3579&amp;""))</f>
        <v/>
      </c>
      <c r="N3579" s="39">
        <f>IF($A3579="","",IFERROR(INDEX(부서매핑!$C$5:$C$504,MATCH($G3579&amp;"",부서매핑!$A$5:$A$504,0)),"미매핑"))</f>
        <v/>
      </c>
      <c r="O3579" s="9">
        <f>IF($A3579="","",N3579&amp;"|"&amp;$F3579)</f>
        <v/>
      </c>
      <c r="P3579" s="77">
        <f>IF($A3579="",0,$H3579*설정!$C$23)</f>
        <v/>
      </c>
      <c r="Q3579" s="39">
        <f>IF($A3579="","",IF(O3579&lt;&gt;원인분석!$C$9,"",IF(AND(M3579&gt;=원인분석!$C$10,M3579&lt;=원인분석!$C$11),"당기",IF(AND(M3579&gt;=원인분석!$C$12,M3579&lt;=원인분석!$C$13),"비교",""))))</f>
        <v/>
      </c>
      <c r="R3579" s="9">
        <f>IF(Q3579="","",$K3579&amp;"")</f>
        <v/>
      </c>
      <c r="S3579" s="9">
        <f>IF(Q3579="","",IF(MATCH(R3579,$R$5:$R$100000,0)=ROW()-4,ROW(),""))</f>
        <v/>
      </c>
      <c r="T3579" s="9">
        <f>IF(Q3579="당기",ABS(P3579)+ROW()/1000000000,"")</f>
        <v/>
      </c>
      <c r="U3579" s="9">
        <f>IF(Q3579="비교",ABS(P3579)+ROW()/1000000000,"")</f>
        <v/>
      </c>
      <c r="V3579" s="39">
        <f>IF($A3579="","",IF(COUNTIF(변동분석!$E$7:$E$506,O3579)&gt;0,"Y","N"))</f>
        <v/>
      </c>
      <c r="W3579" s="39">
        <f>IF($A3579="","",IFERROR(INDEX(계정매핑!$D$5:$D$504,MATCH($F3579&amp;"",계정매핑!$A$5:$A$504,0)),"미매핑"))</f>
        <v/>
      </c>
      <c r="X3579" s="9">
        <f>IF($A3579="","",$F3579&amp;"")</f>
        <v/>
      </c>
    </row>
    <row r="3580">
      <c r="A3580" s="75" t="n">
        <v>2026</v>
      </c>
      <c r="B3580" s="75" t="n">
        <v>7</v>
      </c>
      <c r="C3580" s="75" t="inlineStr">
        <is>
          <t>5100001236</t>
        </is>
      </c>
      <c r="D3580" s="78" t="n">
        <v>46212</v>
      </c>
      <c r="E3580" s="75" t="inlineStr">
        <is>
          <t>KR</t>
        </is>
      </c>
      <c r="F3580" s="75" t="n">
        <v>62101000</v>
      </c>
      <c r="G3580" s="75" t="n">
        <v>1101</v>
      </c>
      <c r="H3580" s="76" t="n">
        <v>660000</v>
      </c>
      <c r="I3580" s="75" t="inlineStr">
        <is>
          <t>7월 국내출장 - (법인카드)</t>
        </is>
      </c>
      <c r="J3580" s="75" t="inlineStr">
        <is>
          <t>V10008</t>
        </is>
      </c>
      <c r="K3580" s="75" t="inlineStr">
        <is>
          <t>(법인카드)</t>
        </is>
      </c>
      <c r="M3580" s="9">
        <f>IF($A3580="","",VALUE($A3580&amp;"")*12+VALUE($B3580&amp;""))</f>
        <v/>
      </c>
      <c r="N3580" s="39">
        <f>IF($A3580="","",IFERROR(INDEX(부서매핑!$C$5:$C$504,MATCH($G3580&amp;"",부서매핑!$A$5:$A$504,0)),"미매핑"))</f>
        <v/>
      </c>
      <c r="O3580" s="9">
        <f>IF($A3580="","",N3580&amp;"|"&amp;$F3580)</f>
        <v/>
      </c>
      <c r="P3580" s="77">
        <f>IF($A3580="",0,$H3580*설정!$C$23)</f>
        <v/>
      </c>
      <c r="Q3580" s="39">
        <f>IF($A3580="","",IF(O3580&lt;&gt;원인분석!$C$9,"",IF(AND(M3580&gt;=원인분석!$C$10,M3580&lt;=원인분석!$C$11),"당기",IF(AND(M3580&gt;=원인분석!$C$12,M3580&lt;=원인분석!$C$13),"비교",""))))</f>
        <v/>
      </c>
      <c r="R3580" s="9">
        <f>IF(Q3580="","",$K3580&amp;"")</f>
        <v/>
      </c>
      <c r="S3580" s="9">
        <f>IF(Q3580="","",IF(MATCH(R3580,$R$5:$R$100000,0)=ROW()-4,ROW(),""))</f>
        <v/>
      </c>
      <c r="T3580" s="9">
        <f>IF(Q3580="당기",ABS(P3580)+ROW()/1000000000,"")</f>
        <v/>
      </c>
      <c r="U3580" s="9">
        <f>IF(Q3580="비교",ABS(P3580)+ROW()/1000000000,"")</f>
        <v/>
      </c>
      <c r="V3580" s="39">
        <f>IF($A3580="","",IF(COUNTIF(변동분석!$E$7:$E$506,O3580)&gt;0,"Y","N"))</f>
        <v/>
      </c>
      <c r="W3580" s="39">
        <f>IF($A3580="","",IFERROR(INDEX(계정매핑!$D$5:$D$504,MATCH($F3580&amp;"",계정매핑!$A$5:$A$504,0)),"미매핑"))</f>
        <v/>
      </c>
      <c r="X3580" s="9">
        <f>IF($A3580="","",$F3580&amp;"")</f>
        <v/>
      </c>
    </row>
    <row r="3581">
      <c r="A3581" s="75" t="n">
        <v>2026</v>
      </c>
      <c r="B3581" s="75" t="n">
        <v>7</v>
      </c>
      <c r="C3581" s="75" t="inlineStr">
        <is>
          <t>5100001237</t>
        </is>
      </c>
      <c r="D3581" s="78" t="n">
        <v>46212</v>
      </c>
      <c r="E3581" s="75" t="inlineStr">
        <is>
          <t>KR</t>
        </is>
      </c>
      <c r="F3581" s="75" t="n">
        <v>62101000</v>
      </c>
      <c r="G3581" s="75" t="n">
        <v>1201</v>
      </c>
      <c r="H3581" s="76" t="n">
        <v>222000</v>
      </c>
      <c r="I3581" s="75" t="inlineStr">
        <is>
          <t>7월 국내출장 - M항공</t>
        </is>
      </c>
      <c r="J3581" s="75" t="inlineStr">
        <is>
          <t>V10001</t>
        </is>
      </c>
      <c r="K3581" s="75" t="inlineStr">
        <is>
          <t>M항공</t>
        </is>
      </c>
      <c r="M3581" s="9">
        <f>IF($A3581="","",VALUE($A3581&amp;"")*12+VALUE($B3581&amp;""))</f>
        <v/>
      </c>
      <c r="N3581" s="39">
        <f>IF($A3581="","",IFERROR(INDEX(부서매핑!$C$5:$C$504,MATCH($G3581&amp;"",부서매핑!$A$5:$A$504,0)),"미매핑"))</f>
        <v/>
      </c>
      <c r="O3581" s="9">
        <f>IF($A3581="","",N3581&amp;"|"&amp;$F3581)</f>
        <v/>
      </c>
      <c r="P3581" s="77">
        <f>IF($A3581="",0,$H3581*설정!$C$23)</f>
        <v/>
      </c>
      <c r="Q3581" s="39">
        <f>IF($A3581="","",IF(O3581&lt;&gt;원인분석!$C$9,"",IF(AND(M3581&gt;=원인분석!$C$10,M3581&lt;=원인분석!$C$11),"당기",IF(AND(M3581&gt;=원인분석!$C$12,M3581&lt;=원인분석!$C$13),"비교",""))))</f>
        <v/>
      </c>
      <c r="R3581" s="9">
        <f>IF(Q3581="","",$K3581&amp;"")</f>
        <v/>
      </c>
      <c r="S3581" s="9">
        <f>IF(Q3581="","",IF(MATCH(R3581,$R$5:$R$100000,0)=ROW()-4,ROW(),""))</f>
        <v/>
      </c>
      <c r="T3581" s="9">
        <f>IF(Q3581="당기",ABS(P3581)+ROW()/1000000000,"")</f>
        <v/>
      </c>
      <c r="U3581" s="9">
        <f>IF(Q3581="비교",ABS(P3581)+ROW()/1000000000,"")</f>
        <v/>
      </c>
      <c r="V3581" s="39">
        <f>IF($A3581="","",IF(COUNTIF(변동분석!$E$7:$E$506,O3581)&gt;0,"Y","N"))</f>
        <v/>
      </c>
      <c r="W3581" s="39">
        <f>IF($A3581="","",IFERROR(INDEX(계정매핑!$D$5:$D$504,MATCH($F3581&amp;"",계정매핑!$A$5:$A$504,0)),"미매핑"))</f>
        <v/>
      </c>
      <c r="X3581" s="9">
        <f>IF($A3581="","",$F3581&amp;"")</f>
        <v/>
      </c>
    </row>
    <row r="3582">
      <c r="A3582" s="75" t="n">
        <v>2026</v>
      </c>
      <c r="B3582" s="75" t="n">
        <v>7</v>
      </c>
      <c r="C3582" s="75" t="inlineStr">
        <is>
          <t>5100001238</t>
        </is>
      </c>
      <c r="D3582" s="78" t="n">
        <v>46212</v>
      </c>
      <c r="E3582" s="75" t="inlineStr">
        <is>
          <t>KR</t>
        </is>
      </c>
      <c r="F3582" s="75" t="n">
        <v>62102000</v>
      </c>
      <c r="G3582" s="75" t="n">
        <v>1701</v>
      </c>
      <c r="H3582" s="76" t="n">
        <v>69000</v>
      </c>
      <c r="I3582" s="75" t="inlineStr">
        <is>
          <t>7월 해외출장 - M항공</t>
        </is>
      </c>
      <c r="J3582" s="75" t="inlineStr">
        <is>
          <t>V10001</t>
        </is>
      </c>
      <c r="K3582" s="75" t="inlineStr">
        <is>
          <t>M항공</t>
        </is>
      </c>
      <c r="M3582" s="9">
        <f>IF($A3582="","",VALUE($A3582&amp;"")*12+VALUE($B3582&amp;""))</f>
        <v/>
      </c>
      <c r="N3582" s="39">
        <f>IF($A3582="","",IFERROR(INDEX(부서매핑!$C$5:$C$504,MATCH($G3582&amp;"",부서매핑!$A$5:$A$504,0)),"미매핑"))</f>
        <v/>
      </c>
      <c r="O3582" s="9">
        <f>IF($A3582="","",N3582&amp;"|"&amp;$F3582)</f>
        <v/>
      </c>
      <c r="P3582" s="77">
        <f>IF($A3582="",0,$H3582*설정!$C$23)</f>
        <v/>
      </c>
      <c r="Q3582" s="39">
        <f>IF($A3582="","",IF(O3582&lt;&gt;원인분석!$C$9,"",IF(AND(M3582&gt;=원인분석!$C$10,M3582&lt;=원인분석!$C$11),"당기",IF(AND(M3582&gt;=원인분석!$C$12,M3582&lt;=원인분석!$C$13),"비교",""))))</f>
        <v/>
      </c>
      <c r="R3582" s="9">
        <f>IF(Q3582="","",$K3582&amp;"")</f>
        <v/>
      </c>
      <c r="S3582" s="9">
        <f>IF(Q3582="","",IF(MATCH(R3582,$R$5:$R$100000,0)=ROW()-4,ROW(),""))</f>
        <v/>
      </c>
      <c r="T3582" s="9">
        <f>IF(Q3582="당기",ABS(P3582)+ROW()/1000000000,"")</f>
        <v/>
      </c>
      <c r="U3582" s="9">
        <f>IF(Q3582="비교",ABS(P3582)+ROW()/1000000000,"")</f>
        <v/>
      </c>
      <c r="V3582" s="39">
        <f>IF($A3582="","",IF(COUNTIF(변동분석!$E$7:$E$506,O3582)&gt;0,"Y","N"))</f>
        <v/>
      </c>
      <c r="W3582" s="39">
        <f>IF($A3582="","",IFERROR(INDEX(계정매핑!$D$5:$D$504,MATCH($F3582&amp;"",계정매핑!$A$5:$A$504,0)),"미매핑"))</f>
        <v/>
      </c>
      <c r="X3582" s="9">
        <f>IF($A3582="","",$F3582&amp;"")</f>
        <v/>
      </c>
    </row>
    <row r="3583">
      <c r="A3583" s="75" t="n">
        <v>2026</v>
      </c>
      <c r="B3583" s="75" t="n">
        <v>7</v>
      </c>
      <c r="C3583" s="75" t="inlineStr">
        <is>
          <t>5100001239</t>
        </is>
      </c>
      <c r="D3583" s="78" t="n">
        <v>46212</v>
      </c>
      <c r="E3583" s="75" t="inlineStr">
        <is>
          <t>KR</t>
        </is>
      </c>
      <c r="F3583" s="75" t="n">
        <v>62401000</v>
      </c>
      <c r="G3583" s="75" t="n">
        <v>1501</v>
      </c>
      <c r="H3583" s="76" t="n">
        <v>2375000</v>
      </c>
      <c r="I3583" s="75" t="inlineStr">
        <is>
          <t>7월 인쇄물 제작 - S출판</t>
        </is>
      </c>
      <c r="J3583" s="75" t="inlineStr">
        <is>
          <t>V10012</t>
        </is>
      </c>
      <c r="K3583" s="75" t="inlineStr">
        <is>
          <t>S출판</t>
        </is>
      </c>
      <c r="M3583" s="9">
        <f>IF($A3583="","",VALUE($A3583&amp;"")*12+VALUE($B3583&amp;""))</f>
        <v/>
      </c>
      <c r="N3583" s="39">
        <f>IF($A3583="","",IFERROR(INDEX(부서매핑!$C$5:$C$504,MATCH($G3583&amp;"",부서매핑!$A$5:$A$504,0)),"미매핑"))</f>
        <v/>
      </c>
      <c r="O3583" s="9">
        <f>IF($A3583="","",N3583&amp;"|"&amp;$F3583)</f>
        <v/>
      </c>
      <c r="P3583" s="77">
        <f>IF($A3583="",0,$H3583*설정!$C$23)</f>
        <v/>
      </c>
      <c r="Q3583" s="39">
        <f>IF($A3583="","",IF(O3583&lt;&gt;원인분석!$C$9,"",IF(AND(M3583&gt;=원인분석!$C$10,M3583&lt;=원인분석!$C$11),"당기",IF(AND(M3583&gt;=원인분석!$C$12,M3583&lt;=원인분석!$C$13),"비교",""))))</f>
        <v/>
      </c>
      <c r="R3583" s="9">
        <f>IF(Q3583="","",$K3583&amp;"")</f>
        <v/>
      </c>
      <c r="S3583" s="9">
        <f>IF(Q3583="","",IF(MATCH(R3583,$R$5:$R$100000,0)=ROW()-4,ROW(),""))</f>
        <v/>
      </c>
      <c r="T3583" s="9">
        <f>IF(Q3583="당기",ABS(P3583)+ROW()/1000000000,"")</f>
        <v/>
      </c>
      <c r="U3583" s="9">
        <f>IF(Q3583="비교",ABS(P3583)+ROW()/1000000000,"")</f>
        <v/>
      </c>
      <c r="V3583" s="39">
        <f>IF($A3583="","",IF(COUNTIF(변동분석!$E$7:$E$506,O3583)&gt;0,"Y","N"))</f>
        <v/>
      </c>
      <c r="W3583" s="39">
        <f>IF($A3583="","",IFERROR(INDEX(계정매핑!$D$5:$D$504,MATCH($F3583&amp;"",계정매핑!$A$5:$A$504,0)),"미매핑"))</f>
        <v/>
      </c>
      <c r="X3583" s="9">
        <f>IF($A3583="","",$F3583&amp;"")</f>
        <v/>
      </c>
    </row>
    <row r="3584">
      <c r="A3584" s="75" t="n">
        <v>2026</v>
      </c>
      <c r="B3584" s="75" t="n">
        <v>7</v>
      </c>
      <c r="C3584" s="75" t="inlineStr">
        <is>
          <t>5100001240</t>
        </is>
      </c>
      <c r="D3584" s="78" t="n">
        <v>46212</v>
      </c>
      <c r="E3584" s="75" t="inlineStr">
        <is>
          <t>KR</t>
        </is>
      </c>
      <c r="F3584" s="75" t="n">
        <v>62901000</v>
      </c>
      <c r="G3584" s="75" t="n">
        <v>1201</v>
      </c>
      <c r="H3584" s="76" t="n">
        <v>5921000</v>
      </c>
      <c r="I3584" s="75" t="inlineStr">
        <is>
          <t>7월 자문 수수료 - K회계법인</t>
        </is>
      </c>
      <c r="J3584" s="75" t="inlineStr">
        <is>
          <t>V10010</t>
        </is>
      </c>
      <c r="K3584" s="75" t="inlineStr">
        <is>
          <t>K회계법인</t>
        </is>
      </c>
      <c r="M3584" s="9">
        <f>IF($A3584="","",VALUE($A3584&amp;"")*12+VALUE($B3584&amp;""))</f>
        <v/>
      </c>
      <c r="N3584" s="39">
        <f>IF($A3584="","",IFERROR(INDEX(부서매핑!$C$5:$C$504,MATCH($G3584&amp;"",부서매핑!$A$5:$A$504,0)),"미매핑"))</f>
        <v/>
      </c>
      <c r="O3584" s="9">
        <f>IF($A3584="","",N3584&amp;"|"&amp;$F3584)</f>
        <v/>
      </c>
      <c r="P3584" s="77">
        <f>IF($A3584="",0,$H3584*설정!$C$23)</f>
        <v/>
      </c>
      <c r="Q3584" s="39">
        <f>IF($A3584="","",IF(O3584&lt;&gt;원인분석!$C$9,"",IF(AND(M3584&gt;=원인분석!$C$10,M3584&lt;=원인분석!$C$11),"당기",IF(AND(M3584&gt;=원인분석!$C$12,M3584&lt;=원인분석!$C$13),"비교",""))))</f>
        <v/>
      </c>
      <c r="R3584" s="9">
        <f>IF(Q3584="","",$K3584&amp;"")</f>
        <v/>
      </c>
      <c r="S3584" s="9">
        <f>IF(Q3584="","",IF(MATCH(R3584,$R$5:$R$100000,0)=ROW()-4,ROW(),""))</f>
        <v/>
      </c>
      <c r="T3584" s="9">
        <f>IF(Q3584="당기",ABS(P3584)+ROW()/1000000000,"")</f>
        <v/>
      </c>
      <c r="U3584" s="9">
        <f>IF(Q3584="비교",ABS(P3584)+ROW()/1000000000,"")</f>
        <v/>
      </c>
      <c r="V3584" s="39">
        <f>IF($A3584="","",IF(COUNTIF(변동분석!$E$7:$E$506,O3584)&gt;0,"Y","N"))</f>
        <v/>
      </c>
      <c r="W3584" s="39">
        <f>IF($A3584="","",IFERROR(INDEX(계정매핑!$D$5:$D$504,MATCH($F3584&amp;"",계정매핑!$A$5:$A$504,0)),"미매핑"))</f>
        <v/>
      </c>
      <c r="X3584" s="9">
        <f>IF($A3584="","",$F3584&amp;"")</f>
        <v/>
      </c>
    </row>
    <row r="3585">
      <c r="A3585" s="75" t="n">
        <v>2026</v>
      </c>
      <c r="B3585" s="75" t="n">
        <v>7</v>
      </c>
      <c r="C3585" s="75" t="inlineStr">
        <is>
          <t>5100001241</t>
        </is>
      </c>
      <c r="D3585" s="78" t="n">
        <v>46212</v>
      </c>
      <c r="E3585" s="75" t="inlineStr">
        <is>
          <t>KR</t>
        </is>
      </c>
      <c r="F3585" s="75" t="n">
        <v>62901000</v>
      </c>
      <c r="G3585" s="75" t="n">
        <v>1201</v>
      </c>
      <c r="H3585" s="76" t="n">
        <v>6461000</v>
      </c>
      <c r="I3585" s="75" t="inlineStr">
        <is>
          <t>7월 자문 수수료 - W컨설팅</t>
        </is>
      </c>
      <c r="J3585" s="75" t="inlineStr">
        <is>
          <t>V10009</t>
        </is>
      </c>
      <c r="K3585" s="75" t="inlineStr">
        <is>
          <t>W컨설팅</t>
        </is>
      </c>
      <c r="M3585" s="9">
        <f>IF($A3585="","",VALUE($A3585&amp;"")*12+VALUE($B3585&amp;""))</f>
        <v/>
      </c>
      <c r="N3585" s="39">
        <f>IF($A3585="","",IFERROR(INDEX(부서매핑!$C$5:$C$504,MATCH($G3585&amp;"",부서매핑!$A$5:$A$504,0)),"미매핑"))</f>
        <v/>
      </c>
      <c r="O3585" s="9">
        <f>IF($A3585="","",N3585&amp;"|"&amp;$F3585)</f>
        <v/>
      </c>
      <c r="P3585" s="77">
        <f>IF($A3585="",0,$H3585*설정!$C$23)</f>
        <v/>
      </c>
      <c r="Q3585" s="39">
        <f>IF($A3585="","",IF(O3585&lt;&gt;원인분석!$C$9,"",IF(AND(M3585&gt;=원인분석!$C$10,M3585&lt;=원인분석!$C$11),"당기",IF(AND(M3585&gt;=원인분석!$C$12,M3585&lt;=원인분석!$C$13),"비교",""))))</f>
        <v/>
      </c>
      <c r="R3585" s="9">
        <f>IF(Q3585="","",$K3585&amp;"")</f>
        <v/>
      </c>
      <c r="S3585" s="9">
        <f>IF(Q3585="","",IF(MATCH(R3585,$R$5:$R$100000,0)=ROW()-4,ROW(),""))</f>
        <v/>
      </c>
      <c r="T3585" s="9">
        <f>IF(Q3585="당기",ABS(P3585)+ROW()/1000000000,"")</f>
        <v/>
      </c>
      <c r="U3585" s="9">
        <f>IF(Q3585="비교",ABS(P3585)+ROW()/1000000000,"")</f>
        <v/>
      </c>
      <c r="V3585" s="39">
        <f>IF($A3585="","",IF(COUNTIF(변동분석!$E$7:$E$506,O3585)&gt;0,"Y","N"))</f>
        <v/>
      </c>
      <c r="W3585" s="39">
        <f>IF($A3585="","",IFERROR(INDEX(계정매핑!$D$5:$D$504,MATCH($F3585&amp;"",계정매핑!$A$5:$A$504,0)),"미매핑"))</f>
        <v/>
      </c>
      <c r="X3585" s="9">
        <f>IF($A3585="","",$F3585&amp;"")</f>
        <v/>
      </c>
    </row>
    <row r="3586">
      <c r="A3586" s="75" t="n">
        <v>2026</v>
      </c>
      <c r="B3586" s="75" t="n">
        <v>7</v>
      </c>
      <c r="C3586" s="75" t="inlineStr">
        <is>
          <t>5100001242</t>
        </is>
      </c>
      <c r="D3586" s="78" t="n">
        <v>46212</v>
      </c>
      <c r="E3586" s="75" t="inlineStr">
        <is>
          <t>KR</t>
        </is>
      </c>
      <c r="F3586" s="75" t="n">
        <v>62902000</v>
      </c>
      <c r="G3586" s="75" t="n">
        <v>1801</v>
      </c>
      <c r="H3586" s="76" t="n">
        <v>1748000</v>
      </c>
      <c r="I3586" s="75" t="inlineStr">
        <is>
          <t>7월 콜 위탁 수수료(건별)</t>
        </is>
      </c>
      <c r="J3586" s="75" t="inlineStr">
        <is>
          <t>V10013</t>
        </is>
      </c>
      <c r="K3586" s="75" t="inlineStr">
        <is>
          <t>J콜센터</t>
        </is>
      </c>
      <c r="M3586" s="9">
        <f>IF($A3586="","",VALUE($A3586&amp;"")*12+VALUE($B3586&amp;""))</f>
        <v/>
      </c>
      <c r="N3586" s="39">
        <f>IF($A3586="","",IFERROR(INDEX(부서매핑!$C$5:$C$504,MATCH($G3586&amp;"",부서매핑!$A$5:$A$504,0)),"미매핑"))</f>
        <v/>
      </c>
      <c r="O3586" s="9">
        <f>IF($A3586="","",N3586&amp;"|"&amp;$F3586)</f>
        <v/>
      </c>
      <c r="P3586" s="77">
        <f>IF($A3586="",0,$H3586*설정!$C$23)</f>
        <v/>
      </c>
      <c r="Q3586" s="39">
        <f>IF($A3586="","",IF(O3586&lt;&gt;원인분석!$C$9,"",IF(AND(M3586&gt;=원인분석!$C$10,M3586&lt;=원인분석!$C$11),"당기",IF(AND(M3586&gt;=원인분석!$C$12,M3586&lt;=원인분석!$C$13),"비교",""))))</f>
        <v/>
      </c>
      <c r="R3586" s="9">
        <f>IF(Q3586="","",$K3586&amp;"")</f>
        <v/>
      </c>
      <c r="S3586" s="9">
        <f>IF(Q3586="","",IF(MATCH(R3586,$R$5:$R$100000,0)=ROW()-4,ROW(),""))</f>
        <v/>
      </c>
      <c r="T3586" s="9">
        <f>IF(Q3586="당기",ABS(P3586)+ROW()/1000000000,"")</f>
        <v/>
      </c>
      <c r="U3586" s="9">
        <f>IF(Q3586="비교",ABS(P3586)+ROW()/1000000000,"")</f>
        <v/>
      </c>
      <c r="V3586" s="39">
        <f>IF($A3586="","",IF(COUNTIF(변동분석!$E$7:$E$506,O3586)&gt;0,"Y","N"))</f>
        <v/>
      </c>
      <c r="W3586" s="39">
        <f>IF($A3586="","",IFERROR(INDEX(계정매핑!$D$5:$D$504,MATCH($F3586&amp;"",계정매핑!$A$5:$A$504,0)),"미매핑"))</f>
        <v/>
      </c>
      <c r="X3586" s="9">
        <f>IF($A3586="","",$F3586&amp;"")</f>
        <v/>
      </c>
    </row>
    <row r="3587">
      <c r="A3587" s="75" t="n">
        <v>2026</v>
      </c>
      <c r="B3587" s="75" t="n">
        <v>7</v>
      </c>
      <c r="C3587" s="75" t="inlineStr">
        <is>
          <t>5100001243</t>
        </is>
      </c>
      <c r="D3587" s="78" t="n">
        <v>46213</v>
      </c>
      <c r="E3587" s="75" t="inlineStr">
        <is>
          <t>KR</t>
        </is>
      </c>
      <c r="F3587" s="75" t="n">
        <v>62102000</v>
      </c>
      <c r="G3587" s="75" t="n">
        <v>1201</v>
      </c>
      <c r="H3587" s="76" t="n">
        <v>60000</v>
      </c>
      <c r="I3587" s="75" t="inlineStr">
        <is>
          <t>7월 해외출장 - M항공</t>
        </is>
      </c>
      <c r="J3587" s="75" t="inlineStr">
        <is>
          <t>V10001</t>
        </is>
      </c>
      <c r="K3587" s="75" t="inlineStr">
        <is>
          <t>M항공</t>
        </is>
      </c>
      <c r="M3587" s="9">
        <f>IF($A3587="","",VALUE($A3587&amp;"")*12+VALUE($B3587&amp;""))</f>
        <v/>
      </c>
      <c r="N3587" s="39">
        <f>IF($A3587="","",IFERROR(INDEX(부서매핑!$C$5:$C$504,MATCH($G3587&amp;"",부서매핑!$A$5:$A$504,0)),"미매핑"))</f>
        <v/>
      </c>
      <c r="O3587" s="9">
        <f>IF($A3587="","",N3587&amp;"|"&amp;$F3587)</f>
        <v/>
      </c>
      <c r="P3587" s="77">
        <f>IF($A3587="",0,$H3587*설정!$C$23)</f>
        <v/>
      </c>
      <c r="Q3587" s="39">
        <f>IF($A3587="","",IF(O3587&lt;&gt;원인분석!$C$9,"",IF(AND(M3587&gt;=원인분석!$C$10,M3587&lt;=원인분석!$C$11),"당기",IF(AND(M3587&gt;=원인분석!$C$12,M3587&lt;=원인분석!$C$13),"비교",""))))</f>
        <v/>
      </c>
      <c r="R3587" s="9">
        <f>IF(Q3587="","",$K3587&amp;"")</f>
        <v/>
      </c>
      <c r="S3587" s="9">
        <f>IF(Q3587="","",IF(MATCH(R3587,$R$5:$R$100000,0)=ROW()-4,ROW(),""))</f>
        <v/>
      </c>
      <c r="T3587" s="9">
        <f>IF(Q3587="당기",ABS(P3587)+ROW()/1000000000,"")</f>
        <v/>
      </c>
      <c r="U3587" s="9">
        <f>IF(Q3587="비교",ABS(P3587)+ROW()/1000000000,"")</f>
        <v/>
      </c>
      <c r="V3587" s="39">
        <f>IF($A3587="","",IF(COUNTIF(변동분석!$E$7:$E$506,O3587)&gt;0,"Y","N"))</f>
        <v/>
      </c>
      <c r="W3587" s="39">
        <f>IF($A3587="","",IFERROR(INDEX(계정매핑!$D$5:$D$504,MATCH($F3587&amp;"",계정매핑!$A$5:$A$504,0)),"미매핑"))</f>
        <v/>
      </c>
      <c r="X3587" s="9">
        <f>IF($A3587="","",$F3587&amp;"")</f>
        <v/>
      </c>
    </row>
    <row r="3588">
      <c r="A3588" s="75" t="n">
        <v>2026</v>
      </c>
      <c r="B3588" s="75" t="n">
        <v>7</v>
      </c>
      <c r="C3588" s="75" t="inlineStr">
        <is>
          <t>5100001244</t>
        </is>
      </c>
      <c r="D3588" s="78" t="n">
        <v>46213</v>
      </c>
      <c r="E3588" s="75" t="inlineStr">
        <is>
          <t>KR</t>
        </is>
      </c>
      <c r="F3588" s="75" t="n">
        <v>62102000</v>
      </c>
      <c r="G3588" s="75" t="n">
        <v>1301</v>
      </c>
      <c r="H3588" s="76" t="n">
        <v>137000</v>
      </c>
      <c r="I3588" s="75" t="inlineStr">
        <is>
          <t>7월 해외출장 - N호텔</t>
        </is>
      </c>
      <c r="J3588" s="75" t="inlineStr">
        <is>
          <t>V10007</t>
        </is>
      </c>
      <c r="K3588" s="75" t="inlineStr">
        <is>
          <t>N호텔</t>
        </is>
      </c>
      <c r="M3588" s="9">
        <f>IF($A3588="","",VALUE($A3588&amp;"")*12+VALUE($B3588&amp;""))</f>
        <v/>
      </c>
      <c r="N3588" s="39">
        <f>IF($A3588="","",IFERROR(INDEX(부서매핑!$C$5:$C$504,MATCH($G3588&amp;"",부서매핑!$A$5:$A$504,0)),"미매핑"))</f>
        <v/>
      </c>
      <c r="O3588" s="9">
        <f>IF($A3588="","",N3588&amp;"|"&amp;$F3588)</f>
        <v/>
      </c>
      <c r="P3588" s="77">
        <f>IF($A3588="",0,$H3588*설정!$C$23)</f>
        <v/>
      </c>
      <c r="Q3588" s="39">
        <f>IF($A3588="","",IF(O3588&lt;&gt;원인분석!$C$9,"",IF(AND(M3588&gt;=원인분석!$C$10,M3588&lt;=원인분석!$C$11),"당기",IF(AND(M3588&gt;=원인분석!$C$12,M3588&lt;=원인분석!$C$13),"비교",""))))</f>
        <v/>
      </c>
      <c r="R3588" s="9">
        <f>IF(Q3588="","",$K3588&amp;"")</f>
        <v/>
      </c>
      <c r="S3588" s="9">
        <f>IF(Q3588="","",IF(MATCH(R3588,$R$5:$R$100000,0)=ROW()-4,ROW(),""))</f>
        <v/>
      </c>
      <c r="T3588" s="9">
        <f>IF(Q3588="당기",ABS(P3588)+ROW()/1000000000,"")</f>
        <v/>
      </c>
      <c r="U3588" s="9">
        <f>IF(Q3588="비교",ABS(P3588)+ROW()/1000000000,"")</f>
        <v/>
      </c>
      <c r="V3588" s="39">
        <f>IF($A3588="","",IF(COUNTIF(변동분석!$E$7:$E$506,O3588)&gt;0,"Y","N"))</f>
        <v/>
      </c>
      <c r="W3588" s="39">
        <f>IF($A3588="","",IFERROR(INDEX(계정매핑!$D$5:$D$504,MATCH($F3588&amp;"",계정매핑!$A$5:$A$504,0)),"미매핑"))</f>
        <v/>
      </c>
      <c r="X3588" s="9">
        <f>IF($A3588="","",$F3588&amp;"")</f>
        <v/>
      </c>
    </row>
    <row r="3589">
      <c r="A3589" s="75" t="n">
        <v>2026</v>
      </c>
      <c r="B3589" s="75" t="n">
        <v>7</v>
      </c>
      <c r="C3589" s="75" t="inlineStr">
        <is>
          <t>5100001245</t>
        </is>
      </c>
      <c r="D3589" s="78" t="n">
        <v>46213</v>
      </c>
      <c r="E3589" s="75" t="inlineStr">
        <is>
          <t>KR</t>
        </is>
      </c>
      <c r="F3589" s="75" t="n">
        <v>62102000</v>
      </c>
      <c r="G3589" s="75" t="n">
        <v>1601</v>
      </c>
      <c r="H3589" s="76" t="n">
        <v>532000</v>
      </c>
      <c r="I3589" s="75" t="inlineStr">
        <is>
          <t>7월 해외출장 - M항공</t>
        </is>
      </c>
      <c r="J3589" s="75" t="inlineStr">
        <is>
          <t>V10001</t>
        </is>
      </c>
      <c r="K3589" s="75" t="inlineStr">
        <is>
          <t>M항공</t>
        </is>
      </c>
      <c r="M3589" s="9">
        <f>IF($A3589="","",VALUE($A3589&amp;"")*12+VALUE($B3589&amp;""))</f>
        <v/>
      </c>
      <c r="N3589" s="39">
        <f>IF($A3589="","",IFERROR(INDEX(부서매핑!$C$5:$C$504,MATCH($G3589&amp;"",부서매핑!$A$5:$A$504,0)),"미매핑"))</f>
        <v/>
      </c>
      <c r="O3589" s="9">
        <f>IF($A3589="","",N3589&amp;"|"&amp;$F3589)</f>
        <v/>
      </c>
      <c r="P3589" s="77">
        <f>IF($A3589="",0,$H3589*설정!$C$23)</f>
        <v/>
      </c>
      <c r="Q3589" s="39">
        <f>IF($A3589="","",IF(O3589&lt;&gt;원인분석!$C$9,"",IF(AND(M3589&gt;=원인분석!$C$10,M3589&lt;=원인분석!$C$11),"당기",IF(AND(M3589&gt;=원인분석!$C$12,M3589&lt;=원인분석!$C$13),"비교",""))))</f>
        <v/>
      </c>
      <c r="R3589" s="9">
        <f>IF(Q3589="","",$K3589&amp;"")</f>
        <v/>
      </c>
      <c r="S3589" s="9">
        <f>IF(Q3589="","",IF(MATCH(R3589,$R$5:$R$100000,0)=ROW()-4,ROW(),""))</f>
        <v/>
      </c>
      <c r="T3589" s="9">
        <f>IF(Q3589="당기",ABS(P3589)+ROW()/1000000000,"")</f>
        <v/>
      </c>
      <c r="U3589" s="9">
        <f>IF(Q3589="비교",ABS(P3589)+ROW()/1000000000,"")</f>
        <v/>
      </c>
      <c r="V3589" s="39">
        <f>IF($A3589="","",IF(COUNTIF(변동분석!$E$7:$E$506,O3589)&gt;0,"Y","N"))</f>
        <v/>
      </c>
      <c r="W3589" s="39">
        <f>IF($A3589="","",IFERROR(INDEX(계정매핑!$D$5:$D$504,MATCH($F3589&amp;"",계정매핑!$A$5:$A$504,0)),"미매핑"))</f>
        <v/>
      </c>
      <c r="X3589" s="9">
        <f>IF($A3589="","",$F3589&amp;"")</f>
        <v/>
      </c>
    </row>
    <row r="3590">
      <c r="A3590" s="75" t="n">
        <v>2026</v>
      </c>
      <c r="B3590" s="75" t="n">
        <v>7</v>
      </c>
      <c r="C3590" s="75" t="inlineStr">
        <is>
          <t>5100001246</t>
        </is>
      </c>
      <c r="D3590" s="78" t="n">
        <v>46213</v>
      </c>
      <c r="E3590" s="75" t="inlineStr">
        <is>
          <t>KR</t>
        </is>
      </c>
      <c r="F3590" s="75" t="n">
        <v>62301000</v>
      </c>
      <c r="G3590" s="75" t="n">
        <v>1201</v>
      </c>
      <c r="H3590" s="76" t="n">
        <v>179000</v>
      </c>
      <c r="I3590" s="75" t="inlineStr">
        <is>
          <t>7월 소모품 구입 - Q오피스</t>
        </is>
      </c>
      <c r="J3590" s="75" t="inlineStr">
        <is>
          <t>V10003</t>
        </is>
      </c>
      <c r="K3590" s="75" t="inlineStr">
        <is>
          <t>Q오피스</t>
        </is>
      </c>
      <c r="M3590" s="9">
        <f>IF($A3590="","",VALUE($A3590&amp;"")*12+VALUE($B3590&amp;""))</f>
        <v/>
      </c>
      <c r="N3590" s="39">
        <f>IF($A3590="","",IFERROR(INDEX(부서매핑!$C$5:$C$504,MATCH($G3590&amp;"",부서매핑!$A$5:$A$504,0)),"미매핑"))</f>
        <v/>
      </c>
      <c r="O3590" s="9">
        <f>IF($A3590="","",N3590&amp;"|"&amp;$F3590)</f>
        <v/>
      </c>
      <c r="P3590" s="77">
        <f>IF($A3590="",0,$H3590*설정!$C$23)</f>
        <v/>
      </c>
      <c r="Q3590" s="39">
        <f>IF($A3590="","",IF(O3590&lt;&gt;원인분석!$C$9,"",IF(AND(M3590&gt;=원인분석!$C$10,M3590&lt;=원인분석!$C$11),"당기",IF(AND(M3590&gt;=원인분석!$C$12,M3590&lt;=원인분석!$C$13),"비교",""))))</f>
        <v/>
      </c>
      <c r="R3590" s="9">
        <f>IF(Q3590="","",$K3590&amp;"")</f>
        <v/>
      </c>
      <c r="S3590" s="9">
        <f>IF(Q3590="","",IF(MATCH(R3590,$R$5:$R$100000,0)=ROW()-4,ROW(),""))</f>
        <v/>
      </c>
      <c r="T3590" s="9">
        <f>IF(Q3590="당기",ABS(P3590)+ROW()/1000000000,"")</f>
        <v/>
      </c>
      <c r="U3590" s="9">
        <f>IF(Q3590="비교",ABS(P3590)+ROW()/1000000000,"")</f>
        <v/>
      </c>
      <c r="V3590" s="39">
        <f>IF($A3590="","",IF(COUNTIF(변동분석!$E$7:$E$506,O3590)&gt;0,"Y","N"))</f>
        <v/>
      </c>
      <c r="W3590" s="39">
        <f>IF($A3590="","",IFERROR(INDEX(계정매핑!$D$5:$D$504,MATCH($F3590&amp;"",계정매핑!$A$5:$A$504,0)),"미매핑"))</f>
        <v/>
      </c>
      <c r="X3590" s="9">
        <f>IF($A3590="","",$F3590&amp;"")</f>
        <v/>
      </c>
    </row>
    <row r="3591">
      <c r="A3591" s="75" t="n">
        <v>2026</v>
      </c>
      <c r="B3591" s="75" t="n">
        <v>7</v>
      </c>
      <c r="C3591" s="75" t="inlineStr">
        <is>
          <t>5100001247</t>
        </is>
      </c>
      <c r="D3591" s="78" t="n">
        <v>46213</v>
      </c>
      <c r="E3591" s="75" t="inlineStr">
        <is>
          <t>KR</t>
        </is>
      </c>
      <c r="F3591" s="75" t="n">
        <v>62501000</v>
      </c>
      <c r="G3591" s="75" t="n">
        <v>1101</v>
      </c>
      <c r="H3591" s="76" t="n">
        <v>304000</v>
      </c>
      <c r="I3591" s="75" t="inlineStr">
        <is>
          <t>7월 회의 다과 - T케이터링</t>
        </is>
      </c>
      <c r="J3591" s="75" t="inlineStr">
        <is>
          <t>V10005</t>
        </is>
      </c>
      <c r="K3591" s="75" t="inlineStr">
        <is>
          <t>T케이터링</t>
        </is>
      </c>
      <c r="M3591" s="9">
        <f>IF($A3591="","",VALUE($A3591&amp;"")*12+VALUE($B3591&amp;""))</f>
        <v/>
      </c>
      <c r="N3591" s="39">
        <f>IF($A3591="","",IFERROR(INDEX(부서매핑!$C$5:$C$504,MATCH($G3591&amp;"",부서매핑!$A$5:$A$504,0)),"미매핑"))</f>
        <v/>
      </c>
      <c r="O3591" s="9">
        <f>IF($A3591="","",N3591&amp;"|"&amp;$F3591)</f>
        <v/>
      </c>
      <c r="P3591" s="77">
        <f>IF($A3591="",0,$H3591*설정!$C$23)</f>
        <v/>
      </c>
      <c r="Q3591" s="39">
        <f>IF($A3591="","",IF(O3591&lt;&gt;원인분석!$C$9,"",IF(AND(M3591&gt;=원인분석!$C$10,M3591&lt;=원인분석!$C$11),"당기",IF(AND(M3591&gt;=원인분석!$C$12,M3591&lt;=원인분석!$C$13),"비교",""))))</f>
        <v/>
      </c>
      <c r="R3591" s="9">
        <f>IF(Q3591="","",$K3591&amp;"")</f>
        <v/>
      </c>
      <c r="S3591" s="9">
        <f>IF(Q3591="","",IF(MATCH(R3591,$R$5:$R$100000,0)=ROW()-4,ROW(),""))</f>
        <v/>
      </c>
      <c r="T3591" s="9">
        <f>IF(Q3591="당기",ABS(P3591)+ROW()/1000000000,"")</f>
        <v/>
      </c>
      <c r="U3591" s="9">
        <f>IF(Q3591="비교",ABS(P3591)+ROW()/1000000000,"")</f>
        <v/>
      </c>
      <c r="V3591" s="39">
        <f>IF($A3591="","",IF(COUNTIF(변동분석!$E$7:$E$506,O3591)&gt;0,"Y","N"))</f>
        <v/>
      </c>
      <c r="W3591" s="39">
        <f>IF($A3591="","",IFERROR(INDEX(계정매핑!$D$5:$D$504,MATCH($F3591&amp;"",계정매핑!$A$5:$A$504,0)),"미매핑"))</f>
        <v/>
      </c>
      <c r="X3591" s="9">
        <f>IF($A3591="","",$F3591&amp;"")</f>
        <v/>
      </c>
    </row>
    <row r="3592">
      <c r="A3592" s="75" t="n">
        <v>2026</v>
      </c>
      <c r="B3592" s="75" t="n">
        <v>7</v>
      </c>
      <c r="C3592" s="75" t="inlineStr">
        <is>
          <t>5100001248</t>
        </is>
      </c>
      <c r="D3592" s="78" t="n">
        <v>46213</v>
      </c>
      <c r="E3592" s="75" t="inlineStr">
        <is>
          <t>KR</t>
        </is>
      </c>
      <c r="F3592" s="75" t="n">
        <v>62501000</v>
      </c>
      <c r="G3592" s="75" t="n">
        <v>1401</v>
      </c>
      <c r="H3592" s="76" t="n">
        <v>215000</v>
      </c>
      <c r="I3592" s="75" t="inlineStr">
        <is>
          <t>7월 회의 다과 - (법인카드)</t>
        </is>
      </c>
      <c r="J3592" s="75" t="inlineStr">
        <is>
          <t>V10008</t>
        </is>
      </c>
      <c r="K3592" s="75" t="inlineStr">
        <is>
          <t>(법인카드)</t>
        </is>
      </c>
      <c r="M3592" s="9">
        <f>IF($A3592="","",VALUE($A3592&amp;"")*12+VALUE($B3592&amp;""))</f>
        <v/>
      </c>
      <c r="N3592" s="39">
        <f>IF($A3592="","",IFERROR(INDEX(부서매핑!$C$5:$C$504,MATCH($G3592&amp;"",부서매핑!$A$5:$A$504,0)),"미매핑"))</f>
        <v/>
      </c>
      <c r="O3592" s="9">
        <f>IF($A3592="","",N3592&amp;"|"&amp;$F3592)</f>
        <v/>
      </c>
      <c r="P3592" s="77">
        <f>IF($A3592="",0,$H3592*설정!$C$23)</f>
        <v/>
      </c>
      <c r="Q3592" s="39">
        <f>IF($A3592="","",IF(O3592&lt;&gt;원인분석!$C$9,"",IF(AND(M3592&gt;=원인분석!$C$10,M3592&lt;=원인분석!$C$11),"당기",IF(AND(M3592&gt;=원인분석!$C$12,M3592&lt;=원인분석!$C$13),"비교",""))))</f>
        <v/>
      </c>
      <c r="R3592" s="9">
        <f>IF(Q3592="","",$K3592&amp;"")</f>
        <v/>
      </c>
      <c r="S3592" s="9">
        <f>IF(Q3592="","",IF(MATCH(R3592,$R$5:$R$100000,0)=ROW()-4,ROW(),""))</f>
        <v/>
      </c>
      <c r="T3592" s="9">
        <f>IF(Q3592="당기",ABS(P3592)+ROW()/1000000000,"")</f>
        <v/>
      </c>
      <c r="U3592" s="9">
        <f>IF(Q3592="비교",ABS(P3592)+ROW()/1000000000,"")</f>
        <v/>
      </c>
      <c r="V3592" s="39">
        <f>IF($A3592="","",IF(COUNTIF(변동분석!$E$7:$E$506,O3592)&gt;0,"Y","N"))</f>
        <v/>
      </c>
      <c r="W3592" s="39">
        <f>IF($A3592="","",IFERROR(INDEX(계정매핑!$D$5:$D$504,MATCH($F3592&amp;"",계정매핑!$A$5:$A$504,0)),"미매핑"))</f>
        <v/>
      </c>
      <c r="X3592" s="9">
        <f>IF($A3592="","",$F3592&amp;"")</f>
        <v/>
      </c>
    </row>
    <row r="3593">
      <c r="A3593" s="75" t="n">
        <v>2026</v>
      </c>
      <c r="B3593" s="75" t="n">
        <v>7</v>
      </c>
      <c r="C3593" s="75" t="inlineStr">
        <is>
          <t>5100001249</t>
        </is>
      </c>
      <c r="D3593" s="78" t="n">
        <v>46213</v>
      </c>
      <c r="E3593" s="75" t="inlineStr">
        <is>
          <t>KR</t>
        </is>
      </c>
      <c r="F3593" s="75" t="n">
        <v>62901000</v>
      </c>
      <c r="G3593" s="75" t="n">
        <v>1101</v>
      </c>
      <c r="H3593" s="76" t="n">
        <v>3746000</v>
      </c>
      <c r="I3593" s="75" t="inlineStr">
        <is>
          <t>7월 자문 수수료 - K회계법인</t>
        </is>
      </c>
      <c r="J3593" s="75" t="inlineStr">
        <is>
          <t>V10010</t>
        </is>
      </c>
      <c r="K3593" s="75" t="inlineStr">
        <is>
          <t>K회계법인</t>
        </is>
      </c>
      <c r="M3593" s="9">
        <f>IF($A3593="","",VALUE($A3593&amp;"")*12+VALUE($B3593&amp;""))</f>
        <v/>
      </c>
      <c r="N3593" s="39">
        <f>IF($A3593="","",IFERROR(INDEX(부서매핑!$C$5:$C$504,MATCH($G3593&amp;"",부서매핑!$A$5:$A$504,0)),"미매핑"))</f>
        <v/>
      </c>
      <c r="O3593" s="9">
        <f>IF($A3593="","",N3593&amp;"|"&amp;$F3593)</f>
        <v/>
      </c>
      <c r="P3593" s="77">
        <f>IF($A3593="",0,$H3593*설정!$C$23)</f>
        <v/>
      </c>
      <c r="Q3593" s="39">
        <f>IF($A3593="","",IF(O3593&lt;&gt;원인분석!$C$9,"",IF(AND(M3593&gt;=원인분석!$C$10,M3593&lt;=원인분석!$C$11),"당기",IF(AND(M3593&gt;=원인분석!$C$12,M3593&lt;=원인분석!$C$13),"비교",""))))</f>
        <v/>
      </c>
      <c r="R3593" s="9">
        <f>IF(Q3593="","",$K3593&amp;"")</f>
        <v/>
      </c>
      <c r="S3593" s="9">
        <f>IF(Q3593="","",IF(MATCH(R3593,$R$5:$R$100000,0)=ROW()-4,ROW(),""))</f>
        <v/>
      </c>
      <c r="T3593" s="9">
        <f>IF(Q3593="당기",ABS(P3593)+ROW()/1000000000,"")</f>
        <v/>
      </c>
      <c r="U3593" s="9">
        <f>IF(Q3593="비교",ABS(P3593)+ROW()/1000000000,"")</f>
        <v/>
      </c>
      <c r="V3593" s="39">
        <f>IF($A3593="","",IF(COUNTIF(변동분석!$E$7:$E$506,O3593)&gt;0,"Y","N"))</f>
        <v/>
      </c>
      <c r="W3593" s="39">
        <f>IF($A3593="","",IFERROR(INDEX(계정매핑!$D$5:$D$504,MATCH($F3593&amp;"",계정매핑!$A$5:$A$504,0)),"미매핑"))</f>
        <v/>
      </c>
      <c r="X3593" s="9">
        <f>IF($A3593="","",$F3593&amp;"")</f>
        <v/>
      </c>
    </row>
    <row r="3594">
      <c r="A3594" s="75" t="n">
        <v>2026</v>
      </c>
      <c r="B3594" s="75" t="n">
        <v>7</v>
      </c>
      <c r="C3594" s="75" t="inlineStr">
        <is>
          <t>5100001250</t>
        </is>
      </c>
      <c r="D3594" s="78" t="n">
        <v>46213</v>
      </c>
      <c r="E3594" s="75" t="inlineStr">
        <is>
          <t>KR</t>
        </is>
      </c>
      <c r="F3594" s="75" t="n">
        <v>62902000</v>
      </c>
      <c r="G3594" s="75" t="n">
        <v>1801</v>
      </c>
      <c r="H3594" s="76" t="n">
        <v>1821000</v>
      </c>
      <c r="I3594" s="75" t="inlineStr">
        <is>
          <t>7월 콜 위탁 수수료(건별)</t>
        </is>
      </c>
      <c r="J3594" s="75" t="inlineStr">
        <is>
          <t>V10013</t>
        </is>
      </c>
      <c r="K3594" s="75" t="inlineStr">
        <is>
          <t>J콜센터</t>
        </is>
      </c>
      <c r="M3594" s="9">
        <f>IF($A3594="","",VALUE($A3594&amp;"")*12+VALUE($B3594&amp;""))</f>
        <v/>
      </c>
      <c r="N3594" s="39">
        <f>IF($A3594="","",IFERROR(INDEX(부서매핑!$C$5:$C$504,MATCH($G3594&amp;"",부서매핑!$A$5:$A$504,0)),"미매핑"))</f>
        <v/>
      </c>
      <c r="O3594" s="9">
        <f>IF($A3594="","",N3594&amp;"|"&amp;$F3594)</f>
        <v/>
      </c>
      <c r="P3594" s="77">
        <f>IF($A3594="",0,$H3594*설정!$C$23)</f>
        <v/>
      </c>
      <c r="Q3594" s="39">
        <f>IF($A3594="","",IF(O3594&lt;&gt;원인분석!$C$9,"",IF(AND(M3594&gt;=원인분석!$C$10,M3594&lt;=원인분석!$C$11),"당기",IF(AND(M3594&gt;=원인분석!$C$12,M3594&lt;=원인분석!$C$13),"비교",""))))</f>
        <v/>
      </c>
      <c r="R3594" s="9">
        <f>IF(Q3594="","",$K3594&amp;"")</f>
        <v/>
      </c>
      <c r="S3594" s="9">
        <f>IF(Q3594="","",IF(MATCH(R3594,$R$5:$R$100000,0)=ROW()-4,ROW(),""))</f>
        <v/>
      </c>
      <c r="T3594" s="9">
        <f>IF(Q3594="당기",ABS(P3594)+ROW()/1000000000,"")</f>
        <v/>
      </c>
      <c r="U3594" s="9">
        <f>IF(Q3594="비교",ABS(P3594)+ROW()/1000000000,"")</f>
        <v/>
      </c>
      <c r="V3594" s="39">
        <f>IF($A3594="","",IF(COUNTIF(변동분석!$E$7:$E$506,O3594)&gt;0,"Y","N"))</f>
        <v/>
      </c>
      <c r="W3594" s="39">
        <f>IF($A3594="","",IFERROR(INDEX(계정매핑!$D$5:$D$504,MATCH($F3594&amp;"",계정매핑!$A$5:$A$504,0)),"미매핑"))</f>
        <v/>
      </c>
      <c r="X3594" s="9">
        <f>IF($A3594="","",$F3594&amp;"")</f>
        <v/>
      </c>
    </row>
    <row r="3595">
      <c r="A3595" s="75" t="n">
        <v>2026</v>
      </c>
      <c r="B3595" s="75" t="n">
        <v>7</v>
      </c>
      <c r="C3595" s="75" t="inlineStr">
        <is>
          <t>5100001251</t>
        </is>
      </c>
      <c r="D3595" s="78" t="n">
        <v>46214</v>
      </c>
      <c r="E3595" s="75" t="inlineStr">
        <is>
          <t>KR</t>
        </is>
      </c>
      <c r="F3595" s="75" t="n">
        <v>62101000</v>
      </c>
      <c r="G3595" s="75" t="n">
        <v>1201</v>
      </c>
      <c r="H3595" s="76" t="n">
        <v>207000</v>
      </c>
      <c r="I3595" s="75" t="inlineStr">
        <is>
          <t>7월 국내출장 - (법인카드)</t>
        </is>
      </c>
      <c r="J3595" s="75" t="inlineStr">
        <is>
          <t>V10008</t>
        </is>
      </c>
      <c r="K3595" s="75" t="inlineStr">
        <is>
          <t>(법인카드)</t>
        </is>
      </c>
      <c r="M3595" s="9">
        <f>IF($A3595="","",VALUE($A3595&amp;"")*12+VALUE($B3595&amp;""))</f>
        <v/>
      </c>
      <c r="N3595" s="39">
        <f>IF($A3595="","",IFERROR(INDEX(부서매핑!$C$5:$C$504,MATCH($G3595&amp;"",부서매핑!$A$5:$A$504,0)),"미매핑"))</f>
        <v/>
      </c>
      <c r="O3595" s="9">
        <f>IF($A3595="","",N3595&amp;"|"&amp;$F3595)</f>
        <v/>
      </c>
      <c r="P3595" s="77">
        <f>IF($A3595="",0,$H3595*설정!$C$23)</f>
        <v/>
      </c>
      <c r="Q3595" s="39">
        <f>IF($A3595="","",IF(O3595&lt;&gt;원인분석!$C$9,"",IF(AND(M3595&gt;=원인분석!$C$10,M3595&lt;=원인분석!$C$11),"당기",IF(AND(M3595&gt;=원인분석!$C$12,M3595&lt;=원인분석!$C$13),"비교",""))))</f>
        <v/>
      </c>
      <c r="R3595" s="9">
        <f>IF(Q3595="","",$K3595&amp;"")</f>
        <v/>
      </c>
      <c r="S3595" s="9">
        <f>IF(Q3595="","",IF(MATCH(R3595,$R$5:$R$100000,0)=ROW()-4,ROW(),""))</f>
        <v/>
      </c>
      <c r="T3595" s="9">
        <f>IF(Q3595="당기",ABS(P3595)+ROW()/1000000000,"")</f>
        <v/>
      </c>
      <c r="U3595" s="9">
        <f>IF(Q3595="비교",ABS(P3595)+ROW()/1000000000,"")</f>
        <v/>
      </c>
      <c r="V3595" s="39">
        <f>IF($A3595="","",IF(COUNTIF(변동분석!$E$7:$E$506,O3595)&gt;0,"Y","N"))</f>
        <v/>
      </c>
      <c r="W3595" s="39">
        <f>IF($A3595="","",IFERROR(INDEX(계정매핑!$D$5:$D$504,MATCH($F3595&amp;"",계정매핑!$A$5:$A$504,0)),"미매핑"))</f>
        <v/>
      </c>
      <c r="X3595" s="9">
        <f>IF($A3595="","",$F3595&amp;"")</f>
        <v/>
      </c>
    </row>
    <row r="3596">
      <c r="A3596" s="75" t="n">
        <v>2026</v>
      </c>
      <c r="B3596" s="75" t="n">
        <v>7</v>
      </c>
      <c r="C3596" s="75" t="inlineStr">
        <is>
          <t>5100001252</t>
        </is>
      </c>
      <c r="D3596" s="78" t="n">
        <v>46214</v>
      </c>
      <c r="E3596" s="75" t="inlineStr">
        <is>
          <t>KR</t>
        </is>
      </c>
      <c r="F3596" s="75" t="n">
        <v>62101000</v>
      </c>
      <c r="G3596" s="75" t="n">
        <v>1701</v>
      </c>
      <c r="H3596" s="76" t="n">
        <v>165000</v>
      </c>
      <c r="I3596" s="75" t="inlineStr">
        <is>
          <t>7월 국내출장 - M항공</t>
        </is>
      </c>
      <c r="J3596" s="75" t="inlineStr">
        <is>
          <t>V10001</t>
        </is>
      </c>
      <c r="K3596" s="75" t="inlineStr">
        <is>
          <t>M항공</t>
        </is>
      </c>
      <c r="M3596" s="9">
        <f>IF($A3596="","",VALUE($A3596&amp;"")*12+VALUE($B3596&amp;""))</f>
        <v/>
      </c>
      <c r="N3596" s="39">
        <f>IF($A3596="","",IFERROR(INDEX(부서매핑!$C$5:$C$504,MATCH($G3596&amp;"",부서매핑!$A$5:$A$504,0)),"미매핑"))</f>
        <v/>
      </c>
      <c r="O3596" s="9">
        <f>IF($A3596="","",N3596&amp;"|"&amp;$F3596)</f>
        <v/>
      </c>
      <c r="P3596" s="77">
        <f>IF($A3596="",0,$H3596*설정!$C$23)</f>
        <v/>
      </c>
      <c r="Q3596" s="39">
        <f>IF($A3596="","",IF(O3596&lt;&gt;원인분석!$C$9,"",IF(AND(M3596&gt;=원인분석!$C$10,M3596&lt;=원인분석!$C$11),"당기",IF(AND(M3596&gt;=원인분석!$C$12,M3596&lt;=원인분석!$C$13),"비교",""))))</f>
        <v/>
      </c>
      <c r="R3596" s="9">
        <f>IF(Q3596="","",$K3596&amp;"")</f>
        <v/>
      </c>
      <c r="S3596" s="9">
        <f>IF(Q3596="","",IF(MATCH(R3596,$R$5:$R$100000,0)=ROW()-4,ROW(),""))</f>
        <v/>
      </c>
      <c r="T3596" s="9">
        <f>IF(Q3596="당기",ABS(P3596)+ROW()/1000000000,"")</f>
        <v/>
      </c>
      <c r="U3596" s="9">
        <f>IF(Q3596="비교",ABS(P3596)+ROW()/1000000000,"")</f>
        <v/>
      </c>
      <c r="V3596" s="39">
        <f>IF($A3596="","",IF(COUNTIF(변동분석!$E$7:$E$506,O3596)&gt;0,"Y","N"))</f>
        <v/>
      </c>
      <c r="W3596" s="39">
        <f>IF($A3596="","",IFERROR(INDEX(계정매핑!$D$5:$D$504,MATCH($F3596&amp;"",계정매핑!$A$5:$A$504,0)),"미매핑"))</f>
        <v/>
      </c>
      <c r="X3596" s="9">
        <f>IF($A3596="","",$F3596&amp;"")</f>
        <v/>
      </c>
    </row>
    <row r="3597">
      <c r="A3597" s="75" t="n">
        <v>2026</v>
      </c>
      <c r="B3597" s="75" t="n">
        <v>7</v>
      </c>
      <c r="C3597" s="75" t="inlineStr">
        <is>
          <t>5100001253</t>
        </is>
      </c>
      <c r="D3597" s="78" t="n">
        <v>46214</v>
      </c>
      <c r="E3597" s="75" t="inlineStr">
        <is>
          <t>KR</t>
        </is>
      </c>
      <c r="F3597" s="75" t="n">
        <v>62102000</v>
      </c>
      <c r="G3597" s="75" t="n">
        <v>1101</v>
      </c>
      <c r="H3597" s="76" t="n">
        <v>160000</v>
      </c>
      <c r="I3597" s="75" t="inlineStr">
        <is>
          <t>7월 해외출장 - M항공</t>
        </is>
      </c>
      <c r="J3597" s="75" t="inlineStr">
        <is>
          <t>V10001</t>
        </is>
      </c>
      <c r="K3597" s="75" t="inlineStr">
        <is>
          <t>M항공</t>
        </is>
      </c>
      <c r="M3597" s="9">
        <f>IF($A3597="","",VALUE($A3597&amp;"")*12+VALUE($B3597&amp;""))</f>
        <v/>
      </c>
      <c r="N3597" s="39">
        <f>IF($A3597="","",IFERROR(INDEX(부서매핑!$C$5:$C$504,MATCH($G3597&amp;"",부서매핑!$A$5:$A$504,0)),"미매핑"))</f>
        <v/>
      </c>
      <c r="O3597" s="9">
        <f>IF($A3597="","",N3597&amp;"|"&amp;$F3597)</f>
        <v/>
      </c>
      <c r="P3597" s="77">
        <f>IF($A3597="",0,$H3597*설정!$C$23)</f>
        <v/>
      </c>
      <c r="Q3597" s="39">
        <f>IF($A3597="","",IF(O3597&lt;&gt;원인분석!$C$9,"",IF(AND(M3597&gt;=원인분석!$C$10,M3597&lt;=원인분석!$C$11),"당기",IF(AND(M3597&gt;=원인분석!$C$12,M3597&lt;=원인분석!$C$13),"비교",""))))</f>
        <v/>
      </c>
      <c r="R3597" s="9">
        <f>IF(Q3597="","",$K3597&amp;"")</f>
        <v/>
      </c>
      <c r="S3597" s="9">
        <f>IF(Q3597="","",IF(MATCH(R3597,$R$5:$R$100000,0)=ROW()-4,ROW(),""))</f>
        <v/>
      </c>
      <c r="T3597" s="9">
        <f>IF(Q3597="당기",ABS(P3597)+ROW()/1000000000,"")</f>
        <v/>
      </c>
      <c r="U3597" s="9">
        <f>IF(Q3597="비교",ABS(P3597)+ROW()/1000000000,"")</f>
        <v/>
      </c>
      <c r="V3597" s="39">
        <f>IF($A3597="","",IF(COUNTIF(변동분석!$E$7:$E$506,O3597)&gt;0,"Y","N"))</f>
        <v/>
      </c>
      <c r="W3597" s="39">
        <f>IF($A3597="","",IFERROR(INDEX(계정매핑!$D$5:$D$504,MATCH($F3597&amp;"",계정매핑!$A$5:$A$504,0)),"미매핑"))</f>
        <v/>
      </c>
      <c r="X3597" s="9">
        <f>IF($A3597="","",$F3597&amp;"")</f>
        <v/>
      </c>
    </row>
    <row r="3598">
      <c r="A3598" s="75" t="n">
        <v>2026</v>
      </c>
      <c r="B3598" s="75" t="n">
        <v>7</v>
      </c>
      <c r="C3598" s="75" t="inlineStr">
        <is>
          <t>5100001254</t>
        </is>
      </c>
      <c r="D3598" s="78" t="n">
        <v>46214</v>
      </c>
      <c r="E3598" s="75" t="inlineStr">
        <is>
          <t>KR</t>
        </is>
      </c>
      <c r="F3598" s="75" t="n">
        <v>62201000</v>
      </c>
      <c r="G3598" s="75" t="n">
        <v>1201</v>
      </c>
      <c r="H3598" s="76" t="n">
        <v>143000</v>
      </c>
      <c r="I3598" s="75" t="inlineStr">
        <is>
          <t>7월 통신요금 - O텔레콤</t>
        </is>
      </c>
      <c r="J3598" s="75" t="inlineStr">
        <is>
          <t>V10002</t>
        </is>
      </c>
      <c r="K3598" s="75" t="inlineStr">
        <is>
          <t>O텔레콤</t>
        </is>
      </c>
      <c r="M3598" s="9">
        <f>IF($A3598="","",VALUE($A3598&amp;"")*12+VALUE($B3598&amp;""))</f>
        <v/>
      </c>
      <c r="N3598" s="39">
        <f>IF($A3598="","",IFERROR(INDEX(부서매핑!$C$5:$C$504,MATCH($G3598&amp;"",부서매핑!$A$5:$A$504,0)),"미매핑"))</f>
        <v/>
      </c>
      <c r="O3598" s="9">
        <f>IF($A3598="","",N3598&amp;"|"&amp;$F3598)</f>
        <v/>
      </c>
      <c r="P3598" s="77">
        <f>IF($A3598="",0,$H3598*설정!$C$23)</f>
        <v/>
      </c>
      <c r="Q3598" s="39">
        <f>IF($A3598="","",IF(O3598&lt;&gt;원인분석!$C$9,"",IF(AND(M3598&gt;=원인분석!$C$10,M3598&lt;=원인분석!$C$11),"당기",IF(AND(M3598&gt;=원인분석!$C$12,M3598&lt;=원인분석!$C$13),"비교",""))))</f>
        <v/>
      </c>
      <c r="R3598" s="9">
        <f>IF(Q3598="","",$K3598&amp;"")</f>
        <v/>
      </c>
      <c r="S3598" s="9">
        <f>IF(Q3598="","",IF(MATCH(R3598,$R$5:$R$100000,0)=ROW()-4,ROW(),""))</f>
        <v/>
      </c>
      <c r="T3598" s="9">
        <f>IF(Q3598="당기",ABS(P3598)+ROW()/1000000000,"")</f>
        <v/>
      </c>
      <c r="U3598" s="9">
        <f>IF(Q3598="비교",ABS(P3598)+ROW()/1000000000,"")</f>
        <v/>
      </c>
      <c r="V3598" s="39">
        <f>IF($A3598="","",IF(COUNTIF(변동분석!$E$7:$E$506,O3598)&gt;0,"Y","N"))</f>
        <v/>
      </c>
      <c r="W3598" s="39">
        <f>IF($A3598="","",IFERROR(INDEX(계정매핑!$D$5:$D$504,MATCH($F3598&amp;"",계정매핑!$A$5:$A$504,0)),"미매핑"))</f>
        <v/>
      </c>
      <c r="X3598" s="9">
        <f>IF($A3598="","",$F3598&amp;"")</f>
        <v/>
      </c>
    </row>
    <row r="3599">
      <c r="A3599" s="75" t="n">
        <v>2026</v>
      </c>
      <c r="B3599" s="75" t="n">
        <v>7</v>
      </c>
      <c r="C3599" s="75" t="inlineStr">
        <is>
          <t>5100001255</t>
        </is>
      </c>
      <c r="D3599" s="78" t="n">
        <v>46214</v>
      </c>
      <c r="E3599" s="75" t="inlineStr">
        <is>
          <t>KR</t>
        </is>
      </c>
      <c r="F3599" s="75" t="n">
        <v>62201000</v>
      </c>
      <c r="G3599" s="75" t="n">
        <v>1502</v>
      </c>
      <c r="H3599" s="76" t="n">
        <v>366000</v>
      </c>
      <c r="I3599" s="75" t="inlineStr">
        <is>
          <t>7월 통신요금 - P통신</t>
        </is>
      </c>
      <c r="J3599" s="75" t="inlineStr">
        <is>
          <t>V10011</t>
        </is>
      </c>
      <c r="K3599" s="75" t="inlineStr">
        <is>
          <t>P통신</t>
        </is>
      </c>
      <c r="M3599" s="9">
        <f>IF($A3599="","",VALUE($A3599&amp;"")*12+VALUE($B3599&amp;""))</f>
        <v/>
      </c>
      <c r="N3599" s="39">
        <f>IF($A3599="","",IFERROR(INDEX(부서매핑!$C$5:$C$504,MATCH($G3599&amp;"",부서매핑!$A$5:$A$504,0)),"미매핑"))</f>
        <v/>
      </c>
      <c r="O3599" s="9">
        <f>IF($A3599="","",N3599&amp;"|"&amp;$F3599)</f>
        <v/>
      </c>
      <c r="P3599" s="77">
        <f>IF($A3599="",0,$H3599*설정!$C$23)</f>
        <v/>
      </c>
      <c r="Q3599" s="39">
        <f>IF($A3599="","",IF(O3599&lt;&gt;원인분석!$C$9,"",IF(AND(M3599&gt;=원인분석!$C$10,M3599&lt;=원인분석!$C$11),"당기",IF(AND(M3599&gt;=원인분석!$C$12,M3599&lt;=원인분석!$C$13),"비교",""))))</f>
        <v/>
      </c>
      <c r="R3599" s="9">
        <f>IF(Q3599="","",$K3599&amp;"")</f>
        <v/>
      </c>
      <c r="S3599" s="9">
        <f>IF(Q3599="","",IF(MATCH(R3599,$R$5:$R$100000,0)=ROW()-4,ROW(),""))</f>
        <v/>
      </c>
      <c r="T3599" s="9">
        <f>IF(Q3599="당기",ABS(P3599)+ROW()/1000000000,"")</f>
        <v/>
      </c>
      <c r="U3599" s="9">
        <f>IF(Q3599="비교",ABS(P3599)+ROW()/1000000000,"")</f>
        <v/>
      </c>
      <c r="V3599" s="39">
        <f>IF($A3599="","",IF(COUNTIF(변동분석!$E$7:$E$506,O3599)&gt;0,"Y","N"))</f>
        <v/>
      </c>
      <c r="W3599" s="39">
        <f>IF($A3599="","",IFERROR(INDEX(계정매핑!$D$5:$D$504,MATCH($F3599&amp;"",계정매핑!$A$5:$A$504,0)),"미매핑"))</f>
        <v/>
      </c>
      <c r="X3599" s="9">
        <f>IF($A3599="","",$F3599&amp;"")</f>
        <v/>
      </c>
    </row>
    <row r="3600">
      <c r="A3600" s="75" t="n">
        <v>2026</v>
      </c>
      <c r="B3600" s="75" t="n">
        <v>7</v>
      </c>
      <c r="C3600" s="75" t="inlineStr">
        <is>
          <t>5100001256</t>
        </is>
      </c>
      <c r="D3600" s="78" t="n">
        <v>46214</v>
      </c>
      <c r="E3600" s="75" t="inlineStr">
        <is>
          <t>KR</t>
        </is>
      </c>
      <c r="F3600" s="75" t="n">
        <v>62301000</v>
      </c>
      <c r="G3600" s="75" t="n">
        <v>1501</v>
      </c>
      <c r="H3600" s="76" t="n">
        <v>241000</v>
      </c>
      <c r="I3600" s="75" t="inlineStr">
        <is>
          <t>7월 소모품 구입 - Q오피스</t>
        </is>
      </c>
      <c r="J3600" s="75" t="inlineStr">
        <is>
          <t>V10003</t>
        </is>
      </c>
      <c r="K3600" s="75" t="inlineStr">
        <is>
          <t>Q오피스</t>
        </is>
      </c>
      <c r="M3600" s="9">
        <f>IF($A3600="","",VALUE($A3600&amp;"")*12+VALUE($B3600&amp;""))</f>
        <v/>
      </c>
      <c r="N3600" s="39">
        <f>IF($A3600="","",IFERROR(INDEX(부서매핑!$C$5:$C$504,MATCH($G3600&amp;"",부서매핑!$A$5:$A$504,0)),"미매핑"))</f>
        <v/>
      </c>
      <c r="O3600" s="9">
        <f>IF($A3600="","",N3600&amp;"|"&amp;$F3600)</f>
        <v/>
      </c>
      <c r="P3600" s="77">
        <f>IF($A3600="",0,$H3600*설정!$C$23)</f>
        <v/>
      </c>
      <c r="Q3600" s="39">
        <f>IF($A3600="","",IF(O3600&lt;&gt;원인분석!$C$9,"",IF(AND(M3600&gt;=원인분석!$C$10,M3600&lt;=원인분석!$C$11),"당기",IF(AND(M3600&gt;=원인분석!$C$12,M3600&lt;=원인분석!$C$13),"비교",""))))</f>
        <v/>
      </c>
      <c r="R3600" s="9">
        <f>IF(Q3600="","",$K3600&amp;"")</f>
        <v/>
      </c>
      <c r="S3600" s="9">
        <f>IF(Q3600="","",IF(MATCH(R3600,$R$5:$R$100000,0)=ROW()-4,ROW(),""))</f>
        <v/>
      </c>
      <c r="T3600" s="9">
        <f>IF(Q3600="당기",ABS(P3600)+ROW()/1000000000,"")</f>
        <v/>
      </c>
      <c r="U3600" s="9">
        <f>IF(Q3600="비교",ABS(P3600)+ROW()/1000000000,"")</f>
        <v/>
      </c>
      <c r="V3600" s="39">
        <f>IF($A3600="","",IF(COUNTIF(변동분석!$E$7:$E$506,O3600)&gt;0,"Y","N"))</f>
        <v/>
      </c>
      <c r="W3600" s="39">
        <f>IF($A3600="","",IFERROR(INDEX(계정매핑!$D$5:$D$504,MATCH($F3600&amp;"",계정매핑!$A$5:$A$504,0)),"미매핑"))</f>
        <v/>
      </c>
      <c r="X3600" s="9">
        <f>IF($A3600="","",$F3600&amp;"")</f>
        <v/>
      </c>
    </row>
    <row r="3601">
      <c r="A3601" s="75" t="n">
        <v>2026</v>
      </c>
      <c r="B3601" s="75" t="n">
        <v>7</v>
      </c>
      <c r="C3601" s="75" t="inlineStr">
        <is>
          <t>5100001257</t>
        </is>
      </c>
      <c r="D3601" s="78" t="n">
        <v>46214</v>
      </c>
      <c r="E3601" s="75" t="inlineStr">
        <is>
          <t>KR</t>
        </is>
      </c>
      <c r="F3601" s="75" t="n">
        <v>62501000</v>
      </c>
      <c r="G3601" s="75" t="n">
        <v>1502</v>
      </c>
      <c r="H3601" s="76" t="n">
        <v>285000</v>
      </c>
      <c r="I3601" s="75" t="inlineStr">
        <is>
          <t>7월 회의 다과 - (법인카드)</t>
        </is>
      </c>
      <c r="J3601" s="75" t="inlineStr">
        <is>
          <t>V10008</t>
        </is>
      </c>
      <c r="K3601" s="75" t="inlineStr">
        <is>
          <t>(법인카드)</t>
        </is>
      </c>
      <c r="M3601" s="9">
        <f>IF($A3601="","",VALUE($A3601&amp;"")*12+VALUE($B3601&amp;""))</f>
        <v/>
      </c>
      <c r="N3601" s="39">
        <f>IF($A3601="","",IFERROR(INDEX(부서매핑!$C$5:$C$504,MATCH($G3601&amp;"",부서매핑!$A$5:$A$504,0)),"미매핑"))</f>
        <v/>
      </c>
      <c r="O3601" s="9">
        <f>IF($A3601="","",N3601&amp;"|"&amp;$F3601)</f>
        <v/>
      </c>
      <c r="P3601" s="77">
        <f>IF($A3601="",0,$H3601*설정!$C$23)</f>
        <v/>
      </c>
      <c r="Q3601" s="39">
        <f>IF($A3601="","",IF(O3601&lt;&gt;원인분석!$C$9,"",IF(AND(M3601&gt;=원인분석!$C$10,M3601&lt;=원인분석!$C$11),"당기",IF(AND(M3601&gt;=원인분석!$C$12,M3601&lt;=원인분석!$C$13),"비교",""))))</f>
        <v/>
      </c>
      <c r="R3601" s="9">
        <f>IF(Q3601="","",$K3601&amp;"")</f>
        <v/>
      </c>
      <c r="S3601" s="9">
        <f>IF(Q3601="","",IF(MATCH(R3601,$R$5:$R$100000,0)=ROW()-4,ROW(),""))</f>
        <v/>
      </c>
      <c r="T3601" s="9">
        <f>IF(Q3601="당기",ABS(P3601)+ROW()/1000000000,"")</f>
        <v/>
      </c>
      <c r="U3601" s="9">
        <f>IF(Q3601="비교",ABS(P3601)+ROW()/1000000000,"")</f>
        <v/>
      </c>
      <c r="V3601" s="39">
        <f>IF($A3601="","",IF(COUNTIF(변동분석!$E$7:$E$506,O3601)&gt;0,"Y","N"))</f>
        <v/>
      </c>
      <c r="W3601" s="39">
        <f>IF($A3601="","",IFERROR(INDEX(계정매핑!$D$5:$D$504,MATCH($F3601&amp;"",계정매핑!$A$5:$A$504,0)),"미매핑"))</f>
        <v/>
      </c>
      <c r="X3601" s="9">
        <f>IF($A3601="","",$F3601&amp;"")</f>
        <v/>
      </c>
    </row>
    <row r="3602">
      <c r="A3602" s="75" t="n">
        <v>2026</v>
      </c>
      <c r="B3602" s="75" t="n">
        <v>7</v>
      </c>
      <c r="C3602" s="75" t="inlineStr">
        <is>
          <t>5100001258</t>
        </is>
      </c>
      <c r="D3602" s="78" t="n">
        <v>46214</v>
      </c>
      <c r="E3602" s="75" t="inlineStr">
        <is>
          <t>KR</t>
        </is>
      </c>
      <c r="F3602" s="75" t="n">
        <v>62501000</v>
      </c>
      <c r="G3602" s="75" t="n">
        <v>1801</v>
      </c>
      <c r="H3602" s="76" t="n">
        <v>152000</v>
      </c>
      <c r="I3602" s="75" t="inlineStr">
        <is>
          <t>7월 회의 다과 - (법인카드)</t>
        </is>
      </c>
      <c r="J3602" s="75" t="inlineStr">
        <is>
          <t>V10008</t>
        </is>
      </c>
      <c r="K3602" s="75" t="inlineStr">
        <is>
          <t>(법인카드)</t>
        </is>
      </c>
      <c r="M3602" s="9">
        <f>IF($A3602="","",VALUE($A3602&amp;"")*12+VALUE($B3602&amp;""))</f>
        <v/>
      </c>
      <c r="N3602" s="39">
        <f>IF($A3602="","",IFERROR(INDEX(부서매핑!$C$5:$C$504,MATCH($G3602&amp;"",부서매핑!$A$5:$A$504,0)),"미매핑"))</f>
        <v/>
      </c>
      <c r="O3602" s="9">
        <f>IF($A3602="","",N3602&amp;"|"&amp;$F3602)</f>
        <v/>
      </c>
      <c r="P3602" s="77">
        <f>IF($A3602="",0,$H3602*설정!$C$23)</f>
        <v/>
      </c>
      <c r="Q3602" s="39">
        <f>IF($A3602="","",IF(O3602&lt;&gt;원인분석!$C$9,"",IF(AND(M3602&gt;=원인분석!$C$10,M3602&lt;=원인분석!$C$11),"당기",IF(AND(M3602&gt;=원인분석!$C$12,M3602&lt;=원인분석!$C$13),"비교",""))))</f>
        <v/>
      </c>
      <c r="R3602" s="9">
        <f>IF(Q3602="","",$K3602&amp;"")</f>
        <v/>
      </c>
      <c r="S3602" s="9">
        <f>IF(Q3602="","",IF(MATCH(R3602,$R$5:$R$100000,0)=ROW()-4,ROW(),""))</f>
        <v/>
      </c>
      <c r="T3602" s="9">
        <f>IF(Q3602="당기",ABS(P3602)+ROW()/1000000000,"")</f>
        <v/>
      </c>
      <c r="U3602" s="9">
        <f>IF(Q3602="비교",ABS(P3602)+ROW()/1000000000,"")</f>
        <v/>
      </c>
      <c r="V3602" s="39">
        <f>IF($A3602="","",IF(COUNTIF(변동분석!$E$7:$E$506,O3602)&gt;0,"Y","N"))</f>
        <v/>
      </c>
      <c r="W3602" s="39">
        <f>IF($A3602="","",IFERROR(INDEX(계정매핑!$D$5:$D$504,MATCH($F3602&amp;"",계정매핑!$A$5:$A$504,0)),"미매핑"))</f>
        <v/>
      </c>
      <c r="X3602" s="9">
        <f>IF($A3602="","",$F3602&amp;"")</f>
        <v/>
      </c>
    </row>
    <row r="3603">
      <c r="A3603" s="75" t="n">
        <v>2026</v>
      </c>
      <c r="B3603" s="75" t="n">
        <v>7</v>
      </c>
      <c r="C3603" s="75" t="inlineStr">
        <is>
          <t>5100001259</t>
        </is>
      </c>
      <c r="D3603" s="78" t="n">
        <v>46214</v>
      </c>
      <c r="E3603" s="75" t="inlineStr">
        <is>
          <t>KR</t>
        </is>
      </c>
      <c r="F3603" s="75" t="n">
        <v>62902000</v>
      </c>
      <c r="G3603" s="75" t="n">
        <v>1401</v>
      </c>
      <c r="H3603" s="76" t="n">
        <v>1783000</v>
      </c>
      <c r="I3603" s="75" t="inlineStr">
        <is>
          <t>7월 업무 위탁 수수료 - X서비스</t>
        </is>
      </c>
      <c r="J3603" s="75" t="inlineStr">
        <is>
          <t>V10016</t>
        </is>
      </c>
      <c r="K3603" s="75" t="inlineStr">
        <is>
          <t>X서비스</t>
        </is>
      </c>
      <c r="M3603" s="9">
        <f>IF($A3603="","",VALUE($A3603&amp;"")*12+VALUE($B3603&amp;""))</f>
        <v/>
      </c>
      <c r="N3603" s="39">
        <f>IF($A3603="","",IFERROR(INDEX(부서매핑!$C$5:$C$504,MATCH($G3603&amp;"",부서매핑!$A$5:$A$504,0)),"미매핑"))</f>
        <v/>
      </c>
      <c r="O3603" s="9">
        <f>IF($A3603="","",N3603&amp;"|"&amp;$F3603)</f>
        <v/>
      </c>
      <c r="P3603" s="77">
        <f>IF($A3603="",0,$H3603*설정!$C$23)</f>
        <v/>
      </c>
      <c r="Q3603" s="39">
        <f>IF($A3603="","",IF(O3603&lt;&gt;원인분석!$C$9,"",IF(AND(M3603&gt;=원인분석!$C$10,M3603&lt;=원인분석!$C$11),"당기",IF(AND(M3603&gt;=원인분석!$C$12,M3603&lt;=원인분석!$C$13),"비교",""))))</f>
        <v/>
      </c>
      <c r="R3603" s="9">
        <f>IF(Q3603="","",$K3603&amp;"")</f>
        <v/>
      </c>
      <c r="S3603" s="9">
        <f>IF(Q3603="","",IF(MATCH(R3603,$R$5:$R$100000,0)=ROW()-4,ROW(),""))</f>
        <v/>
      </c>
      <c r="T3603" s="9">
        <f>IF(Q3603="당기",ABS(P3603)+ROW()/1000000000,"")</f>
        <v/>
      </c>
      <c r="U3603" s="9">
        <f>IF(Q3603="비교",ABS(P3603)+ROW()/1000000000,"")</f>
        <v/>
      </c>
      <c r="V3603" s="39">
        <f>IF($A3603="","",IF(COUNTIF(변동분석!$E$7:$E$506,O3603)&gt;0,"Y","N"))</f>
        <v/>
      </c>
      <c r="W3603" s="39">
        <f>IF($A3603="","",IFERROR(INDEX(계정매핑!$D$5:$D$504,MATCH($F3603&amp;"",계정매핑!$A$5:$A$504,0)),"미매핑"))</f>
        <v/>
      </c>
      <c r="X3603" s="9">
        <f>IF($A3603="","",$F3603&amp;"")</f>
        <v/>
      </c>
    </row>
    <row r="3604">
      <c r="A3604" s="75" t="n">
        <v>2026</v>
      </c>
      <c r="B3604" s="75" t="n">
        <v>7</v>
      </c>
      <c r="C3604" s="75" t="inlineStr">
        <is>
          <t>5100001260</t>
        </is>
      </c>
      <c r="D3604" s="78" t="n">
        <v>46214</v>
      </c>
      <c r="E3604" s="75" t="inlineStr">
        <is>
          <t>KR</t>
        </is>
      </c>
      <c r="F3604" s="75" t="n">
        <v>63101000</v>
      </c>
      <c r="G3604" s="75" t="n">
        <v>1601</v>
      </c>
      <c r="H3604" s="76" t="n">
        <v>5308000</v>
      </c>
      <c r="I3604" s="75" t="inlineStr">
        <is>
          <t>7월 사무실 임차료 - BB부동산</t>
        </is>
      </c>
      <c r="J3604" s="75" t="inlineStr">
        <is>
          <t>V10024</t>
        </is>
      </c>
      <c r="K3604" s="75" t="inlineStr">
        <is>
          <t>BB부동산</t>
        </is>
      </c>
      <c r="M3604" s="9">
        <f>IF($A3604="","",VALUE($A3604&amp;"")*12+VALUE($B3604&amp;""))</f>
        <v/>
      </c>
      <c r="N3604" s="39">
        <f>IF($A3604="","",IFERROR(INDEX(부서매핑!$C$5:$C$504,MATCH($G3604&amp;"",부서매핑!$A$5:$A$504,0)),"미매핑"))</f>
        <v/>
      </c>
      <c r="O3604" s="9">
        <f>IF($A3604="","",N3604&amp;"|"&amp;$F3604)</f>
        <v/>
      </c>
      <c r="P3604" s="77">
        <f>IF($A3604="",0,$H3604*설정!$C$23)</f>
        <v/>
      </c>
      <c r="Q3604" s="39">
        <f>IF($A3604="","",IF(O3604&lt;&gt;원인분석!$C$9,"",IF(AND(M3604&gt;=원인분석!$C$10,M3604&lt;=원인분석!$C$11),"당기",IF(AND(M3604&gt;=원인분석!$C$12,M3604&lt;=원인분석!$C$13),"비교",""))))</f>
        <v/>
      </c>
      <c r="R3604" s="9">
        <f>IF(Q3604="","",$K3604&amp;"")</f>
        <v/>
      </c>
      <c r="S3604" s="9">
        <f>IF(Q3604="","",IF(MATCH(R3604,$R$5:$R$100000,0)=ROW()-4,ROW(),""))</f>
        <v/>
      </c>
      <c r="T3604" s="9">
        <f>IF(Q3604="당기",ABS(P3604)+ROW()/1000000000,"")</f>
        <v/>
      </c>
      <c r="U3604" s="9">
        <f>IF(Q3604="비교",ABS(P3604)+ROW()/1000000000,"")</f>
        <v/>
      </c>
      <c r="V3604" s="39">
        <f>IF($A3604="","",IF(COUNTIF(변동분석!$E$7:$E$506,O3604)&gt;0,"Y","N"))</f>
        <v/>
      </c>
      <c r="W3604" s="39">
        <f>IF($A3604="","",IFERROR(INDEX(계정매핑!$D$5:$D$504,MATCH($F3604&amp;"",계정매핑!$A$5:$A$504,0)),"미매핑"))</f>
        <v/>
      </c>
      <c r="X3604" s="9">
        <f>IF($A3604="","",$F3604&amp;"")</f>
        <v/>
      </c>
    </row>
    <row r="3605">
      <c r="A3605" s="75" t="n">
        <v>2026</v>
      </c>
      <c r="B3605" s="75" t="n">
        <v>7</v>
      </c>
      <c r="C3605" s="75" t="inlineStr">
        <is>
          <t>5100001261</t>
        </is>
      </c>
      <c r="D3605" s="78" t="n">
        <v>46214</v>
      </c>
      <c r="E3605" s="75" t="inlineStr">
        <is>
          <t>KR</t>
        </is>
      </c>
      <c r="F3605" s="75" t="n">
        <v>63201000</v>
      </c>
      <c r="G3605" s="75" t="n">
        <v>1602</v>
      </c>
      <c r="H3605" s="76" t="n">
        <v>1913000</v>
      </c>
      <c r="I3605" s="75" t="inlineStr">
        <is>
          <t>7월 차량 유지 - H에너지</t>
        </is>
      </c>
      <c r="J3605" s="75" t="inlineStr">
        <is>
          <t>V10025</t>
        </is>
      </c>
      <c r="K3605" s="75" t="inlineStr">
        <is>
          <t>H에너지</t>
        </is>
      </c>
      <c r="M3605" s="9">
        <f>IF($A3605="","",VALUE($A3605&amp;"")*12+VALUE($B3605&amp;""))</f>
        <v/>
      </c>
      <c r="N3605" s="39">
        <f>IF($A3605="","",IFERROR(INDEX(부서매핑!$C$5:$C$504,MATCH($G3605&amp;"",부서매핑!$A$5:$A$504,0)),"미매핑"))</f>
        <v/>
      </c>
      <c r="O3605" s="9">
        <f>IF($A3605="","",N3605&amp;"|"&amp;$F3605)</f>
        <v/>
      </c>
      <c r="P3605" s="77">
        <f>IF($A3605="",0,$H3605*설정!$C$23)</f>
        <v/>
      </c>
      <c r="Q3605" s="39">
        <f>IF($A3605="","",IF(O3605&lt;&gt;원인분석!$C$9,"",IF(AND(M3605&gt;=원인분석!$C$10,M3605&lt;=원인분석!$C$11),"당기",IF(AND(M3605&gt;=원인분석!$C$12,M3605&lt;=원인분석!$C$13),"비교",""))))</f>
        <v/>
      </c>
      <c r="R3605" s="9">
        <f>IF(Q3605="","",$K3605&amp;"")</f>
        <v/>
      </c>
      <c r="S3605" s="9">
        <f>IF(Q3605="","",IF(MATCH(R3605,$R$5:$R$100000,0)=ROW()-4,ROW(),""))</f>
        <v/>
      </c>
      <c r="T3605" s="9">
        <f>IF(Q3605="당기",ABS(P3605)+ROW()/1000000000,"")</f>
        <v/>
      </c>
      <c r="U3605" s="9">
        <f>IF(Q3605="비교",ABS(P3605)+ROW()/1000000000,"")</f>
        <v/>
      </c>
      <c r="V3605" s="39">
        <f>IF($A3605="","",IF(COUNTIF(변동분석!$E$7:$E$506,O3605)&gt;0,"Y","N"))</f>
        <v/>
      </c>
      <c r="W3605" s="39">
        <f>IF($A3605="","",IFERROR(INDEX(계정매핑!$D$5:$D$504,MATCH($F3605&amp;"",계정매핑!$A$5:$A$504,0)),"미매핑"))</f>
        <v/>
      </c>
      <c r="X3605" s="9">
        <f>IF($A3605="","",$F3605&amp;"")</f>
        <v/>
      </c>
    </row>
    <row r="3606">
      <c r="A3606" s="75" t="n">
        <v>2026</v>
      </c>
      <c r="B3606" s="75" t="n">
        <v>7</v>
      </c>
      <c r="C3606" s="75" t="inlineStr">
        <is>
          <t>5100001262</t>
        </is>
      </c>
      <c r="D3606" s="78" t="n">
        <v>46215</v>
      </c>
      <c r="E3606" s="75" t="inlineStr">
        <is>
          <t>KR</t>
        </is>
      </c>
      <c r="F3606" s="75" t="n">
        <v>62101000</v>
      </c>
      <c r="G3606" s="75" t="n">
        <v>1301</v>
      </c>
      <c r="H3606" s="76" t="n">
        <v>278000</v>
      </c>
      <c r="I3606" s="75" t="inlineStr">
        <is>
          <t>7월 국내출장 - M항공</t>
        </is>
      </c>
      <c r="J3606" s="75" t="inlineStr">
        <is>
          <t>V10001</t>
        </is>
      </c>
      <c r="K3606" s="75" t="inlineStr">
        <is>
          <t>M항공</t>
        </is>
      </c>
      <c r="M3606" s="9">
        <f>IF($A3606="","",VALUE($A3606&amp;"")*12+VALUE($B3606&amp;""))</f>
        <v/>
      </c>
      <c r="N3606" s="39">
        <f>IF($A3606="","",IFERROR(INDEX(부서매핑!$C$5:$C$504,MATCH($G3606&amp;"",부서매핑!$A$5:$A$504,0)),"미매핑"))</f>
        <v/>
      </c>
      <c r="O3606" s="9">
        <f>IF($A3606="","",N3606&amp;"|"&amp;$F3606)</f>
        <v/>
      </c>
      <c r="P3606" s="77">
        <f>IF($A3606="",0,$H3606*설정!$C$23)</f>
        <v/>
      </c>
      <c r="Q3606" s="39">
        <f>IF($A3606="","",IF(O3606&lt;&gt;원인분석!$C$9,"",IF(AND(M3606&gt;=원인분석!$C$10,M3606&lt;=원인분석!$C$11),"당기",IF(AND(M3606&gt;=원인분석!$C$12,M3606&lt;=원인분석!$C$13),"비교",""))))</f>
        <v/>
      </c>
      <c r="R3606" s="9">
        <f>IF(Q3606="","",$K3606&amp;"")</f>
        <v/>
      </c>
      <c r="S3606" s="9">
        <f>IF(Q3606="","",IF(MATCH(R3606,$R$5:$R$100000,0)=ROW()-4,ROW(),""))</f>
        <v/>
      </c>
      <c r="T3606" s="9">
        <f>IF(Q3606="당기",ABS(P3606)+ROW()/1000000000,"")</f>
        <v/>
      </c>
      <c r="U3606" s="9">
        <f>IF(Q3606="비교",ABS(P3606)+ROW()/1000000000,"")</f>
        <v/>
      </c>
      <c r="V3606" s="39">
        <f>IF($A3606="","",IF(COUNTIF(변동분석!$E$7:$E$506,O3606)&gt;0,"Y","N"))</f>
        <v/>
      </c>
      <c r="W3606" s="39">
        <f>IF($A3606="","",IFERROR(INDEX(계정매핑!$D$5:$D$504,MATCH($F3606&amp;"",계정매핑!$A$5:$A$504,0)),"미매핑"))</f>
        <v/>
      </c>
      <c r="X3606" s="9">
        <f>IF($A3606="","",$F3606&amp;"")</f>
        <v/>
      </c>
    </row>
    <row r="3607">
      <c r="A3607" s="75" t="n">
        <v>2026</v>
      </c>
      <c r="B3607" s="75" t="n">
        <v>7</v>
      </c>
      <c r="C3607" s="75" t="inlineStr">
        <is>
          <t>5100001263</t>
        </is>
      </c>
      <c r="D3607" s="78" t="n">
        <v>46215</v>
      </c>
      <c r="E3607" s="75" t="inlineStr">
        <is>
          <t>KR</t>
        </is>
      </c>
      <c r="F3607" s="75" t="n">
        <v>62201000</v>
      </c>
      <c r="G3607" s="75" t="n">
        <v>1301</v>
      </c>
      <c r="H3607" s="76" t="n">
        <v>150000</v>
      </c>
      <c r="I3607" s="75" t="inlineStr">
        <is>
          <t>7월 통신요금 - O텔레콤</t>
        </is>
      </c>
      <c r="J3607" s="75" t="inlineStr">
        <is>
          <t>V10002</t>
        </is>
      </c>
      <c r="K3607" s="75" t="inlineStr">
        <is>
          <t>O텔레콤</t>
        </is>
      </c>
      <c r="M3607" s="9">
        <f>IF($A3607="","",VALUE($A3607&amp;"")*12+VALUE($B3607&amp;""))</f>
        <v/>
      </c>
      <c r="N3607" s="39">
        <f>IF($A3607="","",IFERROR(INDEX(부서매핑!$C$5:$C$504,MATCH($G3607&amp;"",부서매핑!$A$5:$A$504,0)),"미매핑"))</f>
        <v/>
      </c>
      <c r="O3607" s="9">
        <f>IF($A3607="","",N3607&amp;"|"&amp;$F3607)</f>
        <v/>
      </c>
      <c r="P3607" s="77">
        <f>IF($A3607="",0,$H3607*설정!$C$23)</f>
        <v/>
      </c>
      <c r="Q3607" s="39">
        <f>IF($A3607="","",IF(O3607&lt;&gt;원인분석!$C$9,"",IF(AND(M3607&gt;=원인분석!$C$10,M3607&lt;=원인분석!$C$11),"당기",IF(AND(M3607&gt;=원인분석!$C$12,M3607&lt;=원인분석!$C$13),"비교",""))))</f>
        <v/>
      </c>
      <c r="R3607" s="9">
        <f>IF(Q3607="","",$K3607&amp;"")</f>
        <v/>
      </c>
      <c r="S3607" s="9">
        <f>IF(Q3607="","",IF(MATCH(R3607,$R$5:$R$100000,0)=ROW()-4,ROW(),""))</f>
        <v/>
      </c>
      <c r="T3607" s="9">
        <f>IF(Q3607="당기",ABS(P3607)+ROW()/1000000000,"")</f>
        <v/>
      </c>
      <c r="U3607" s="9">
        <f>IF(Q3607="비교",ABS(P3607)+ROW()/1000000000,"")</f>
        <v/>
      </c>
      <c r="V3607" s="39">
        <f>IF($A3607="","",IF(COUNTIF(변동분석!$E$7:$E$506,O3607)&gt;0,"Y","N"))</f>
        <v/>
      </c>
      <c r="W3607" s="39">
        <f>IF($A3607="","",IFERROR(INDEX(계정매핑!$D$5:$D$504,MATCH($F3607&amp;"",계정매핑!$A$5:$A$504,0)),"미매핑"))</f>
        <v/>
      </c>
      <c r="X3607" s="9">
        <f>IF($A3607="","",$F3607&amp;"")</f>
        <v/>
      </c>
    </row>
    <row r="3608">
      <c r="A3608" s="75" t="n">
        <v>2026</v>
      </c>
      <c r="B3608" s="75" t="n">
        <v>7</v>
      </c>
      <c r="C3608" s="75" t="inlineStr">
        <is>
          <t>5100001264</t>
        </is>
      </c>
      <c r="D3608" s="78" t="n">
        <v>46215</v>
      </c>
      <c r="E3608" s="75" t="inlineStr">
        <is>
          <t>KR</t>
        </is>
      </c>
      <c r="F3608" s="75" t="n">
        <v>62401000</v>
      </c>
      <c r="G3608" s="75" t="n">
        <v>1401</v>
      </c>
      <c r="H3608" s="76" t="n">
        <v>242000</v>
      </c>
      <c r="I3608" s="75" t="inlineStr">
        <is>
          <t>7월 인쇄물 제작 - S출판</t>
        </is>
      </c>
      <c r="J3608" s="75" t="inlineStr">
        <is>
          <t>V10012</t>
        </is>
      </c>
      <c r="K3608" s="75" t="inlineStr">
        <is>
          <t>S출판</t>
        </is>
      </c>
      <c r="M3608" s="9">
        <f>IF($A3608="","",VALUE($A3608&amp;"")*12+VALUE($B3608&amp;""))</f>
        <v/>
      </c>
      <c r="N3608" s="39">
        <f>IF($A3608="","",IFERROR(INDEX(부서매핑!$C$5:$C$504,MATCH($G3608&amp;"",부서매핑!$A$5:$A$504,0)),"미매핑"))</f>
        <v/>
      </c>
      <c r="O3608" s="9">
        <f>IF($A3608="","",N3608&amp;"|"&amp;$F3608)</f>
        <v/>
      </c>
      <c r="P3608" s="77">
        <f>IF($A3608="",0,$H3608*설정!$C$23)</f>
        <v/>
      </c>
      <c r="Q3608" s="39">
        <f>IF($A3608="","",IF(O3608&lt;&gt;원인분석!$C$9,"",IF(AND(M3608&gt;=원인분석!$C$10,M3608&lt;=원인분석!$C$11),"당기",IF(AND(M3608&gt;=원인분석!$C$12,M3608&lt;=원인분석!$C$13),"비교",""))))</f>
        <v/>
      </c>
      <c r="R3608" s="9">
        <f>IF(Q3608="","",$K3608&amp;"")</f>
        <v/>
      </c>
      <c r="S3608" s="9">
        <f>IF(Q3608="","",IF(MATCH(R3608,$R$5:$R$100000,0)=ROW()-4,ROW(),""))</f>
        <v/>
      </c>
      <c r="T3608" s="9">
        <f>IF(Q3608="당기",ABS(P3608)+ROW()/1000000000,"")</f>
        <v/>
      </c>
      <c r="U3608" s="9">
        <f>IF(Q3608="비교",ABS(P3608)+ROW()/1000000000,"")</f>
        <v/>
      </c>
      <c r="V3608" s="39">
        <f>IF($A3608="","",IF(COUNTIF(변동분석!$E$7:$E$506,O3608)&gt;0,"Y","N"))</f>
        <v/>
      </c>
      <c r="W3608" s="39">
        <f>IF($A3608="","",IFERROR(INDEX(계정매핑!$D$5:$D$504,MATCH($F3608&amp;"",계정매핑!$A$5:$A$504,0)),"미매핑"))</f>
        <v/>
      </c>
      <c r="X3608" s="9">
        <f>IF($A3608="","",$F3608&amp;"")</f>
        <v/>
      </c>
    </row>
    <row r="3609">
      <c r="A3609" s="75" t="n">
        <v>2026</v>
      </c>
      <c r="B3609" s="75" t="n">
        <v>7</v>
      </c>
      <c r="C3609" s="75" t="inlineStr">
        <is>
          <t>5100001265</t>
        </is>
      </c>
      <c r="D3609" s="78" t="n">
        <v>46215</v>
      </c>
      <c r="E3609" s="75" t="inlineStr">
        <is>
          <t>KR</t>
        </is>
      </c>
      <c r="F3609" s="75" t="n">
        <v>63001000</v>
      </c>
      <c r="G3609" s="75" t="n">
        <v>1701</v>
      </c>
      <c r="H3609" s="76" t="n">
        <v>28115000</v>
      </c>
      <c r="I3609" s="75" t="inlineStr">
        <is>
          <t>7월 SW 유지보수 - Y소프트</t>
        </is>
      </c>
      <c r="J3609" s="75" t="inlineStr">
        <is>
          <t>V10017</t>
        </is>
      </c>
      <c r="K3609" s="75" t="inlineStr">
        <is>
          <t>Y소프트</t>
        </is>
      </c>
      <c r="M3609" s="9">
        <f>IF($A3609="","",VALUE($A3609&amp;"")*12+VALUE($B3609&amp;""))</f>
        <v/>
      </c>
      <c r="N3609" s="39">
        <f>IF($A3609="","",IFERROR(INDEX(부서매핑!$C$5:$C$504,MATCH($G3609&amp;"",부서매핑!$A$5:$A$504,0)),"미매핑"))</f>
        <v/>
      </c>
      <c r="O3609" s="9">
        <f>IF($A3609="","",N3609&amp;"|"&amp;$F3609)</f>
        <v/>
      </c>
      <c r="P3609" s="77">
        <f>IF($A3609="",0,$H3609*설정!$C$23)</f>
        <v/>
      </c>
      <c r="Q3609" s="39">
        <f>IF($A3609="","",IF(O3609&lt;&gt;원인분석!$C$9,"",IF(AND(M3609&gt;=원인분석!$C$10,M3609&lt;=원인분석!$C$11),"당기",IF(AND(M3609&gt;=원인분석!$C$12,M3609&lt;=원인분석!$C$13),"비교",""))))</f>
        <v/>
      </c>
      <c r="R3609" s="9">
        <f>IF(Q3609="","",$K3609&amp;"")</f>
        <v/>
      </c>
      <c r="S3609" s="9">
        <f>IF(Q3609="","",IF(MATCH(R3609,$R$5:$R$100000,0)=ROW()-4,ROW(),""))</f>
        <v/>
      </c>
      <c r="T3609" s="9">
        <f>IF(Q3609="당기",ABS(P3609)+ROW()/1000000000,"")</f>
        <v/>
      </c>
      <c r="U3609" s="9">
        <f>IF(Q3609="비교",ABS(P3609)+ROW()/1000000000,"")</f>
        <v/>
      </c>
      <c r="V3609" s="39">
        <f>IF($A3609="","",IF(COUNTIF(변동분석!$E$7:$E$506,O3609)&gt;0,"Y","N"))</f>
        <v/>
      </c>
      <c r="W3609" s="39">
        <f>IF($A3609="","",IFERROR(INDEX(계정매핑!$D$5:$D$504,MATCH($F3609&amp;"",계정매핑!$A$5:$A$504,0)),"미매핑"))</f>
        <v/>
      </c>
      <c r="X3609" s="9">
        <f>IF($A3609="","",$F3609&amp;"")</f>
        <v/>
      </c>
    </row>
    <row r="3610">
      <c r="A3610" s="75" t="n">
        <v>2026</v>
      </c>
      <c r="B3610" s="75" t="n">
        <v>7</v>
      </c>
      <c r="C3610" s="75" t="inlineStr">
        <is>
          <t>5100001266</t>
        </is>
      </c>
      <c r="D3610" s="78" t="n">
        <v>46215</v>
      </c>
      <c r="E3610" s="75" t="inlineStr">
        <is>
          <t>KR</t>
        </is>
      </c>
      <c r="F3610" s="75" t="n">
        <v>63101000</v>
      </c>
      <c r="G3610" s="75" t="n">
        <v>1601</v>
      </c>
      <c r="H3610" s="76" t="n">
        <v>5406000</v>
      </c>
      <c r="I3610" s="75" t="inlineStr">
        <is>
          <t>7월 사무실 임차료 - BB부동산</t>
        </is>
      </c>
      <c r="J3610" s="75" t="inlineStr">
        <is>
          <t>V10024</t>
        </is>
      </c>
      <c r="K3610" s="75" t="inlineStr">
        <is>
          <t>BB부동산</t>
        </is>
      </c>
      <c r="M3610" s="9">
        <f>IF($A3610="","",VALUE($A3610&amp;"")*12+VALUE($B3610&amp;""))</f>
        <v/>
      </c>
      <c r="N3610" s="39">
        <f>IF($A3610="","",IFERROR(INDEX(부서매핑!$C$5:$C$504,MATCH($G3610&amp;"",부서매핑!$A$5:$A$504,0)),"미매핑"))</f>
        <v/>
      </c>
      <c r="O3610" s="9">
        <f>IF($A3610="","",N3610&amp;"|"&amp;$F3610)</f>
        <v/>
      </c>
      <c r="P3610" s="77">
        <f>IF($A3610="",0,$H3610*설정!$C$23)</f>
        <v/>
      </c>
      <c r="Q3610" s="39">
        <f>IF($A3610="","",IF(O3610&lt;&gt;원인분석!$C$9,"",IF(AND(M3610&gt;=원인분석!$C$10,M3610&lt;=원인분석!$C$11),"당기",IF(AND(M3610&gt;=원인분석!$C$12,M3610&lt;=원인분석!$C$13),"비교",""))))</f>
        <v/>
      </c>
      <c r="R3610" s="9">
        <f>IF(Q3610="","",$K3610&amp;"")</f>
        <v/>
      </c>
      <c r="S3610" s="9">
        <f>IF(Q3610="","",IF(MATCH(R3610,$R$5:$R$100000,0)=ROW()-4,ROW(),""))</f>
        <v/>
      </c>
      <c r="T3610" s="9">
        <f>IF(Q3610="당기",ABS(P3610)+ROW()/1000000000,"")</f>
        <v/>
      </c>
      <c r="U3610" s="9">
        <f>IF(Q3610="비교",ABS(P3610)+ROW()/1000000000,"")</f>
        <v/>
      </c>
      <c r="V3610" s="39">
        <f>IF($A3610="","",IF(COUNTIF(변동분석!$E$7:$E$506,O3610)&gt;0,"Y","N"))</f>
        <v/>
      </c>
      <c r="W3610" s="39">
        <f>IF($A3610="","",IFERROR(INDEX(계정매핑!$D$5:$D$504,MATCH($F3610&amp;"",계정매핑!$A$5:$A$504,0)),"미매핑"))</f>
        <v/>
      </c>
      <c r="X3610" s="9">
        <f>IF($A3610="","",$F3610&amp;"")</f>
        <v/>
      </c>
    </row>
    <row r="3611">
      <c r="A3611" s="75" t="n">
        <v>2026</v>
      </c>
      <c r="B3611" s="75" t="n">
        <v>7</v>
      </c>
      <c r="C3611" s="75" t="inlineStr">
        <is>
          <t>5100001267</t>
        </is>
      </c>
      <c r="D3611" s="78" t="n">
        <v>46216</v>
      </c>
      <c r="E3611" s="75" t="inlineStr">
        <is>
          <t>KR</t>
        </is>
      </c>
      <c r="F3611" s="75" t="n">
        <v>62201000</v>
      </c>
      <c r="G3611" s="75" t="n">
        <v>1301</v>
      </c>
      <c r="H3611" s="76" t="n">
        <v>174000</v>
      </c>
      <c r="I3611" s="75" t="inlineStr">
        <is>
          <t>7월 통신요금 - O텔레콤</t>
        </is>
      </c>
      <c r="J3611" s="75" t="inlineStr">
        <is>
          <t>V10002</t>
        </is>
      </c>
      <c r="K3611" s="75" t="inlineStr">
        <is>
          <t>O텔레콤</t>
        </is>
      </c>
      <c r="M3611" s="9">
        <f>IF($A3611="","",VALUE($A3611&amp;"")*12+VALUE($B3611&amp;""))</f>
        <v/>
      </c>
      <c r="N3611" s="39">
        <f>IF($A3611="","",IFERROR(INDEX(부서매핑!$C$5:$C$504,MATCH($G3611&amp;"",부서매핑!$A$5:$A$504,0)),"미매핑"))</f>
        <v/>
      </c>
      <c r="O3611" s="9">
        <f>IF($A3611="","",N3611&amp;"|"&amp;$F3611)</f>
        <v/>
      </c>
      <c r="P3611" s="77">
        <f>IF($A3611="",0,$H3611*설정!$C$23)</f>
        <v/>
      </c>
      <c r="Q3611" s="39">
        <f>IF($A3611="","",IF(O3611&lt;&gt;원인분석!$C$9,"",IF(AND(M3611&gt;=원인분석!$C$10,M3611&lt;=원인분석!$C$11),"당기",IF(AND(M3611&gt;=원인분석!$C$12,M3611&lt;=원인분석!$C$13),"비교",""))))</f>
        <v/>
      </c>
      <c r="R3611" s="9">
        <f>IF(Q3611="","",$K3611&amp;"")</f>
        <v/>
      </c>
      <c r="S3611" s="9">
        <f>IF(Q3611="","",IF(MATCH(R3611,$R$5:$R$100000,0)=ROW()-4,ROW(),""))</f>
        <v/>
      </c>
      <c r="T3611" s="9">
        <f>IF(Q3611="당기",ABS(P3611)+ROW()/1000000000,"")</f>
        <v/>
      </c>
      <c r="U3611" s="9">
        <f>IF(Q3611="비교",ABS(P3611)+ROW()/1000000000,"")</f>
        <v/>
      </c>
      <c r="V3611" s="39">
        <f>IF($A3611="","",IF(COUNTIF(변동분석!$E$7:$E$506,O3611)&gt;0,"Y","N"))</f>
        <v/>
      </c>
      <c r="W3611" s="39">
        <f>IF($A3611="","",IFERROR(INDEX(계정매핑!$D$5:$D$504,MATCH($F3611&amp;"",계정매핑!$A$5:$A$504,0)),"미매핑"))</f>
        <v/>
      </c>
      <c r="X3611" s="9">
        <f>IF($A3611="","",$F3611&amp;"")</f>
        <v/>
      </c>
    </row>
    <row r="3612">
      <c r="A3612" s="75" t="n">
        <v>2026</v>
      </c>
      <c r="B3612" s="75" t="n">
        <v>7</v>
      </c>
      <c r="C3612" s="75" t="inlineStr">
        <is>
          <t>5100001268</t>
        </is>
      </c>
      <c r="D3612" s="78" t="n">
        <v>46216</v>
      </c>
      <c r="E3612" s="75" t="inlineStr">
        <is>
          <t>KR</t>
        </is>
      </c>
      <c r="F3612" s="75" t="n">
        <v>62301000</v>
      </c>
      <c r="G3612" s="75" t="n">
        <v>1101</v>
      </c>
      <c r="H3612" s="76" t="n">
        <v>146000</v>
      </c>
      <c r="I3612" s="75" t="inlineStr">
        <is>
          <t>7월 소모품 구입 - R문구</t>
        </is>
      </c>
      <c r="J3612" s="75" t="inlineStr">
        <is>
          <t>V10018</t>
        </is>
      </c>
      <c r="K3612" s="75" t="inlineStr">
        <is>
          <t>R문구</t>
        </is>
      </c>
      <c r="M3612" s="9">
        <f>IF($A3612="","",VALUE($A3612&amp;"")*12+VALUE($B3612&amp;""))</f>
        <v/>
      </c>
      <c r="N3612" s="39">
        <f>IF($A3612="","",IFERROR(INDEX(부서매핑!$C$5:$C$504,MATCH($G3612&amp;"",부서매핑!$A$5:$A$504,0)),"미매핑"))</f>
        <v/>
      </c>
      <c r="O3612" s="9">
        <f>IF($A3612="","",N3612&amp;"|"&amp;$F3612)</f>
        <v/>
      </c>
      <c r="P3612" s="77">
        <f>IF($A3612="",0,$H3612*설정!$C$23)</f>
        <v/>
      </c>
      <c r="Q3612" s="39">
        <f>IF($A3612="","",IF(O3612&lt;&gt;원인분석!$C$9,"",IF(AND(M3612&gt;=원인분석!$C$10,M3612&lt;=원인분석!$C$11),"당기",IF(AND(M3612&gt;=원인분석!$C$12,M3612&lt;=원인분석!$C$13),"비교",""))))</f>
        <v/>
      </c>
      <c r="R3612" s="9">
        <f>IF(Q3612="","",$K3612&amp;"")</f>
        <v/>
      </c>
      <c r="S3612" s="9">
        <f>IF(Q3612="","",IF(MATCH(R3612,$R$5:$R$100000,0)=ROW()-4,ROW(),""))</f>
        <v/>
      </c>
      <c r="T3612" s="9">
        <f>IF(Q3612="당기",ABS(P3612)+ROW()/1000000000,"")</f>
        <v/>
      </c>
      <c r="U3612" s="9">
        <f>IF(Q3612="비교",ABS(P3612)+ROW()/1000000000,"")</f>
        <v/>
      </c>
      <c r="V3612" s="39">
        <f>IF($A3612="","",IF(COUNTIF(변동분석!$E$7:$E$506,O3612)&gt;0,"Y","N"))</f>
        <v/>
      </c>
      <c r="W3612" s="39">
        <f>IF($A3612="","",IFERROR(INDEX(계정매핑!$D$5:$D$504,MATCH($F3612&amp;"",계정매핑!$A$5:$A$504,0)),"미매핑"))</f>
        <v/>
      </c>
      <c r="X3612" s="9">
        <f>IF($A3612="","",$F3612&amp;"")</f>
        <v/>
      </c>
    </row>
    <row r="3613">
      <c r="A3613" s="75" t="n">
        <v>2026</v>
      </c>
      <c r="B3613" s="75" t="n">
        <v>7</v>
      </c>
      <c r="C3613" s="75" t="inlineStr">
        <is>
          <t>5100001269</t>
        </is>
      </c>
      <c r="D3613" s="78" t="n">
        <v>46216</v>
      </c>
      <c r="E3613" s="75" t="inlineStr">
        <is>
          <t>KR</t>
        </is>
      </c>
      <c r="F3613" s="75" t="n">
        <v>62301000</v>
      </c>
      <c r="G3613" s="75" t="n">
        <v>1301</v>
      </c>
      <c r="H3613" s="76" t="n">
        <v>164000</v>
      </c>
      <c r="I3613" s="75" t="inlineStr">
        <is>
          <t>7월 소모품 구입 - R문구</t>
        </is>
      </c>
      <c r="J3613" s="75" t="inlineStr">
        <is>
          <t>V10018</t>
        </is>
      </c>
      <c r="K3613" s="75" t="inlineStr">
        <is>
          <t>R문구</t>
        </is>
      </c>
      <c r="M3613" s="9">
        <f>IF($A3613="","",VALUE($A3613&amp;"")*12+VALUE($B3613&amp;""))</f>
        <v/>
      </c>
      <c r="N3613" s="39">
        <f>IF($A3613="","",IFERROR(INDEX(부서매핑!$C$5:$C$504,MATCH($G3613&amp;"",부서매핑!$A$5:$A$504,0)),"미매핑"))</f>
        <v/>
      </c>
      <c r="O3613" s="9">
        <f>IF($A3613="","",N3613&amp;"|"&amp;$F3613)</f>
        <v/>
      </c>
      <c r="P3613" s="77">
        <f>IF($A3613="",0,$H3613*설정!$C$23)</f>
        <v/>
      </c>
      <c r="Q3613" s="39">
        <f>IF($A3613="","",IF(O3613&lt;&gt;원인분석!$C$9,"",IF(AND(M3613&gt;=원인분석!$C$10,M3613&lt;=원인분석!$C$11),"당기",IF(AND(M3613&gt;=원인분석!$C$12,M3613&lt;=원인분석!$C$13),"비교",""))))</f>
        <v/>
      </c>
      <c r="R3613" s="9">
        <f>IF(Q3613="","",$K3613&amp;"")</f>
        <v/>
      </c>
      <c r="S3613" s="9">
        <f>IF(Q3613="","",IF(MATCH(R3613,$R$5:$R$100000,0)=ROW()-4,ROW(),""))</f>
        <v/>
      </c>
      <c r="T3613" s="9">
        <f>IF(Q3613="당기",ABS(P3613)+ROW()/1000000000,"")</f>
        <v/>
      </c>
      <c r="U3613" s="9">
        <f>IF(Q3613="비교",ABS(P3613)+ROW()/1000000000,"")</f>
        <v/>
      </c>
      <c r="V3613" s="39">
        <f>IF($A3613="","",IF(COUNTIF(변동분석!$E$7:$E$506,O3613)&gt;0,"Y","N"))</f>
        <v/>
      </c>
      <c r="W3613" s="39">
        <f>IF($A3613="","",IFERROR(INDEX(계정매핑!$D$5:$D$504,MATCH($F3613&amp;"",계정매핑!$A$5:$A$504,0)),"미매핑"))</f>
        <v/>
      </c>
      <c r="X3613" s="9">
        <f>IF($A3613="","",$F3613&amp;"")</f>
        <v/>
      </c>
    </row>
    <row r="3614">
      <c r="A3614" s="75" t="n">
        <v>2026</v>
      </c>
      <c r="B3614" s="75" t="n">
        <v>7</v>
      </c>
      <c r="C3614" s="75" t="inlineStr">
        <is>
          <t>5100001270</t>
        </is>
      </c>
      <c r="D3614" s="78" t="n">
        <v>46216</v>
      </c>
      <c r="E3614" s="75" t="inlineStr">
        <is>
          <t>KR</t>
        </is>
      </c>
      <c r="F3614" s="75" t="n">
        <v>62301000</v>
      </c>
      <c r="G3614" s="75" t="n">
        <v>1501</v>
      </c>
      <c r="H3614" s="76" t="n">
        <v>308000</v>
      </c>
      <c r="I3614" s="75" t="inlineStr">
        <is>
          <t>7월 소모품 구입 - R문구</t>
        </is>
      </c>
      <c r="J3614" s="75" t="inlineStr">
        <is>
          <t>V10018</t>
        </is>
      </c>
      <c r="K3614" s="75" t="inlineStr">
        <is>
          <t>R문구</t>
        </is>
      </c>
      <c r="M3614" s="9">
        <f>IF($A3614="","",VALUE($A3614&amp;"")*12+VALUE($B3614&amp;""))</f>
        <v/>
      </c>
      <c r="N3614" s="39">
        <f>IF($A3614="","",IFERROR(INDEX(부서매핑!$C$5:$C$504,MATCH($G3614&amp;"",부서매핑!$A$5:$A$504,0)),"미매핑"))</f>
        <v/>
      </c>
      <c r="O3614" s="9">
        <f>IF($A3614="","",N3614&amp;"|"&amp;$F3614)</f>
        <v/>
      </c>
      <c r="P3614" s="77">
        <f>IF($A3614="",0,$H3614*설정!$C$23)</f>
        <v/>
      </c>
      <c r="Q3614" s="39">
        <f>IF($A3614="","",IF(O3614&lt;&gt;원인분석!$C$9,"",IF(AND(M3614&gt;=원인분석!$C$10,M3614&lt;=원인분석!$C$11),"당기",IF(AND(M3614&gt;=원인분석!$C$12,M3614&lt;=원인분석!$C$13),"비교",""))))</f>
        <v/>
      </c>
      <c r="R3614" s="9">
        <f>IF(Q3614="","",$K3614&amp;"")</f>
        <v/>
      </c>
      <c r="S3614" s="9">
        <f>IF(Q3614="","",IF(MATCH(R3614,$R$5:$R$100000,0)=ROW()-4,ROW(),""))</f>
        <v/>
      </c>
      <c r="T3614" s="9">
        <f>IF(Q3614="당기",ABS(P3614)+ROW()/1000000000,"")</f>
        <v/>
      </c>
      <c r="U3614" s="9">
        <f>IF(Q3614="비교",ABS(P3614)+ROW()/1000000000,"")</f>
        <v/>
      </c>
      <c r="V3614" s="39">
        <f>IF($A3614="","",IF(COUNTIF(변동분석!$E$7:$E$506,O3614)&gt;0,"Y","N"))</f>
        <v/>
      </c>
      <c r="W3614" s="39">
        <f>IF($A3614="","",IFERROR(INDEX(계정매핑!$D$5:$D$504,MATCH($F3614&amp;"",계정매핑!$A$5:$A$504,0)),"미매핑"))</f>
        <v/>
      </c>
      <c r="X3614" s="9">
        <f>IF($A3614="","",$F3614&amp;"")</f>
        <v/>
      </c>
    </row>
    <row r="3615">
      <c r="A3615" s="75" t="n">
        <v>2026</v>
      </c>
      <c r="B3615" s="75" t="n">
        <v>7</v>
      </c>
      <c r="C3615" s="75" t="inlineStr">
        <is>
          <t>5100001271</t>
        </is>
      </c>
      <c r="D3615" s="78" t="n">
        <v>46216</v>
      </c>
      <c r="E3615" s="75" t="inlineStr">
        <is>
          <t>KR</t>
        </is>
      </c>
      <c r="F3615" s="75" t="n">
        <v>62301000</v>
      </c>
      <c r="G3615" s="75" t="n">
        <v>1801</v>
      </c>
      <c r="H3615" s="76" t="n">
        <v>499000</v>
      </c>
      <c r="I3615" s="75" t="inlineStr">
        <is>
          <t>7월 소모품 구입 - Q오피스</t>
        </is>
      </c>
      <c r="J3615" s="75" t="inlineStr">
        <is>
          <t>V10003</t>
        </is>
      </c>
      <c r="K3615" s="75" t="inlineStr">
        <is>
          <t>Q오피스</t>
        </is>
      </c>
      <c r="M3615" s="9">
        <f>IF($A3615="","",VALUE($A3615&amp;"")*12+VALUE($B3615&amp;""))</f>
        <v/>
      </c>
      <c r="N3615" s="39">
        <f>IF($A3615="","",IFERROR(INDEX(부서매핑!$C$5:$C$504,MATCH($G3615&amp;"",부서매핑!$A$5:$A$504,0)),"미매핑"))</f>
        <v/>
      </c>
      <c r="O3615" s="9">
        <f>IF($A3615="","",N3615&amp;"|"&amp;$F3615)</f>
        <v/>
      </c>
      <c r="P3615" s="77">
        <f>IF($A3615="",0,$H3615*설정!$C$23)</f>
        <v/>
      </c>
      <c r="Q3615" s="39">
        <f>IF($A3615="","",IF(O3615&lt;&gt;원인분석!$C$9,"",IF(AND(M3615&gt;=원인분석!$C$10,M3615&lt;=원인분석!$C$11),"당기",IF(AND(M3615&gt;=원인분석!$C$12,M3615&lt;=원인분석!$C$13),"비교",""))))</f>
        <v/>
      </c>
      <c r="R3615" s="9">
        <f>IF(Q3615="","",$K3615&amp;"")</f>
        <v/>
      </c>
      <c r="S3615" s="9">
        <f>IF(Q3615="","",IF(MATCH(R3615,$R$5:$R$100000,0)=ROW()-4,ROW(),""))</f>
        <v/>
      </c>
      <c r="T3615" s="9">
        <f>IF(Q3615="당기",ABS(P3615)+ROW()/1000000000,"")</f>
        <v/>
      </c>
      <c r="U3615" s="9">
        <f>IF(Q3615="비교",ABS(P3615)+ROW()/1000000000,"")</f>
        <v/>
      </c>
      <c r="V3615" s="39">
        <f>IF($A3615="","",IF(COUNTIF(변동분석!$E$7:$E$506,O3615)&gt;0,"Y","N"))</f>
        <v/>
      </c>
      <c r="W3615" s="39">
        <f>IF($A3615="","",IFERROR(INDEX(계정매핑!$D$5:$D$504,MATCH($F3615&amp;"",계정매핑!$A$5:$A$504,0)),"미매핑"))</f>
        <v/>
      </c>
      <c r="X3615" s="9">
        <f>IF($A3615="","",$F3615&amp;"")</f>
        <v/>
      </c>
    </row>
    <row r="3616">
      <c r="A3616" s="75" t="n">
        <v>2026</v>
      </c>
      <c r="B3616" s="75" t="n">
        <v>7</v>
      </c>
      <c r="C3616" s="75" t="inlineStr">
        <is>
          <t>5100001272</t>
        </is>
      </c>
      <c r="D3616" s="78" t="n">
        <v>46216</v>
      </c>
      <c r="E3616" s="75" t="inlineStr">
        <is>
          <t>KR</t>
        </is>
      </c>
      <c r="F3616" s="75" t="n">
        <v>62901000</v>
      </c>
      <c r="G3616" s="75" t="n">
        <v>1401</v>
      </c>
      <c r="H3616" s="76" t="n">
        <v>9618000</v>
      </c>
      <c r="I3616" s="75" t="inlineStr">
        <is>
          <t>7월 자문 수수료 - W컨설팅</t>
        </is>
      </c>
      <c r="J3616" s="75" t="inlineStr">
        <is>
          <t>V10009</t>
        </is>
      </c>
      <c r="K3616" s="75" t="inlineStr">
        <is>
          <t>W컨설팅</t>
        </is>
      </c>
      <c r="M3616" s="9">
        <f>IF($A3616="","",VALUE($A3616&amp;"")*12+VALUE($B3616&amp;""))</f>
        <v/>
      </c>
      <c r="N3616" s="39">
        <f>IF($A3616="","",IFERROR(INDEX(부서매핑!$C$5:$C$504,MATCH($G3616&amp;"",부서매핑!$A$5:$A$504,0)),"미매핑"))</f>
        <v/>
      </c>
      <c r="O3616" s="9">
        <f>IF($A3616="","",N3616&amp;"|"&amp;$F3616)</f>
        <v/>
      </c>
      <c r="P3616" s="77">
        <f>IF($A3616="",0,$H3616*설정!$C$23)</f>
        <v/>
      </c>
      <c r="Q3616" s="39">
        <f>IF($A3616="","",IF(O3616&lt;&gt;원인분석!$C$9,"",IF(AND(M3616&gt;=원인분석!$C$10,M3616&lt;=원인분석!$C$11),"당기",IF(AND(M3616&gt;=원인분석!$C$12,M3616&lt;=원인분석!$C$13),"비교",""))))</f>
        <v/>
      </c>
      <c r="R3616" s="9">
        <f>IF(Q3616="","",$K3616&amp;"")</f>
        <v/>
      </c>
      <c r="S3616" s="9">
        <f>IF(Q3616="","",IF(MATCH(R3616,$R$5:$R$100000,0)=ROW()-4,ROW(),""))</f>
        <v/>
      </c>
      <c r="T3616" s="9">
        <f>IF(Q3616="당기",ABS(P3616)+ROW()/1000000000,"")</f>
        <v/>
      </c>
      <c r="U3616" s="9">
        <f>IF(Q3616="비교",ABS(P3616)+ROW()/1000000000,"")</f>
        <v/>
      </c>
      <c r="V3616" s="39">
        <f>IF($A3616="","",IF(COUNTIF(변동분석!$E$7:$E$506,O3616)&gt;0,"Y","N"))</f>
        <v/>
      </c>
      <c r="W3616" s="39">
        <f>IF($A3616="","",IFERROR(INDEX(계정매핑!$D$5:$D$504,MATCH($F3616&amp;"",계정매핑!$A$5:$A$504,0)),"미매핑"))</f>
        <v/>
      </c>
      <c r="X3616" s="9">
        <f>IF($A3616="","",$F3616&amp;"")</f>
        <v/>
      </c>
    </row>
    <row r="3617">
      <c r="A3617" s="75" t="n">
        <v>2026</v>
      </c>
      <c r="B3617" s="75" t="n">
        <v>7</v>
      </c>
      <c r="C3617" s="75" t="inlineStr">
        <is>
          <t>5100001273</t>
        </is>
      </c>
      <c r="D3617" s="78" t="n">
        <v>46216</v>
      </c>
      <c r="E3617" s="75" t="inlineStr">
        <is>
          <t>KR</t>
        </is>
      </c>
      <c r="F3617" s="75" t="n">
        <v>62902000</v>
      </c>
      <c r="G3617" s="75" t="n">
        <v>1101</v>
      </c>
      <c r="H3617" s="76" t="n">
        <v>2420000</v>
      </c>
      <c r="I3617" s="75" t="inlineStr">
        <is>
          <t>7월 업무 위탁 수수료 - X서비스</t>
        </is>
      </c>
      <c r="J3617" s="75" t="inlineStr">
        <is>
          <t>V10016</t>
        </is>
      </c>
      <c r="K3617" s="75" t="inlineStr">
        <is>
          <t>X서비스</t>
        </is>
      </c>
      <c r="M3617" s="9">
        <f>IF($A3617="","",VALUE($A3617&amp;"")*12+VALUE($B3617&amp;""))</f>
        <v/>
      </c>
      <c r="N3617" s="39">
        <f>IF($A3617="","",IFERROR(INDEX(부서매핑!$C$5:$C$504,MATCH($G3617&amp;"",부서매핑!$A$5:$A$504,0)),"미매핑"))</f>
        <v/>
      </c>
      <c r="O3617" s="9">
        <f>IF($A3617="","",N3617&amp;"|"&amp;$F3617)</f>
        <v/>
      </c>
      <c r="P3617" s="77">
        <f>IF($A3617="",0,$H3617*설정!$C$23)</f>
        <v/>
      </c>
      <c r="Q3617" s="39">
        <f>IF($A3617="","",IF(O3617&lt;&gt;원인분석!$C$9,"",IF(AND(M3617&gt;=원인분석!$C$10,M3617&lt;=원인분석!$C$11),"당기",IF(AND(M3617&gt;=원인분석!$C$12,M3617&lt;=원인분석!$C$13),"비교",""))))</f>
        <v/>
      </c>
      <c r="R3617" s="9">
        <f>IF(Q3617="","",$K3617&amp;"")</f>
        <v/>
      </c>
      <c r="S3617" s="9">
        <f>IF(Q3617="","",IF(MATCH(R3617,$R$5:$R$100000,0)=ROW()-4,ROW(),""))</f>
        <v/>
      </c>
      <c r="T3617" s="9">
        <f>IF(Q3617="당기",ABS(P3617)+ROW()/1000000000,"")</f>
        <v/>
      </c>
      <c r="U3617" s="9">
        <f>IF(Q3617="비교",ABS(P3617)+ROW()/1000000000,"")</f>
        <v/>
      </c>
      <c r="V3617" s="39">
        <f>IF($A3617="","",IF(COUNTIF(변동분석!$E$7:$E$506,O3617)&gt;0,"Y","N"))</f>
        <v/>
      </c>
      <c r="W3617" s="39">
        <f>IF($A3617="","",IFERROR(INDEX(계정매핑!$D$5:$D$504,MATCH($F3617&amp;"",계정매핑!$A$5:$A$504,0)),"미매핑"))</f>
        <v/>
      </c>
      <c r="X3617" s="9">
        <f>IF($A3617="","",$F3617&amp;"")</f>
        <v/>
      </c>
    </row>
    <row r="3618">
      <c r="A3618" s="75" t="n">
        <v>2026</v>
      </c>
      <c r="B3618" s="75" t="n">
        <v>7</v>
      </c>
      <c r="C3618" s="75" t="inlineStr">
        <is>
          <t>5100001274</t>
        </is>
      </c>
      <c r="D3618" s="78" t="n">
        <v>46216</v>
      </c>
      <c r="E3618" s="75" t="inlineStr">
        <is>
          <t>KR</t>
        </is>
      </c>
      <c r="F3618" s="75" t="n">
        <v>62902000</v>
      </c>
      <c r="G3618" s="75" t="n">
        <v>1401</v>
      </c>
      <c r="H3618" s="76" t="n">
        <v>2450000</v>
      </c>
      <c r="I3618" s="75" t="inlineStr">
        <is>
          <t>7월 업무 위탁 수수료 - J콜센터</t>
        </is>
      </c>
      <c r="J3618" s="75" t="inlineStr">
        <is>
          <t>V10013</t>
        </is>
      </c>
      <c r="K3618" s="75" t="inlineStr">
        <is>
          <t>J콜센터</t>
        </is>
      </c>
      <c r="M3618" s="9">
        <f>IF($A3618="","",VALUE($A3618&amp;"")*12+VALUE($B3618&amp;""))</f>
        <v/>
      </c>
      <c r="N3618" s="39">
        <f>IF($A3618="","",IFERROR(INDEX(부서매핑!$C$5:$C$504,MATCH($G3618&amp;"",부서매핑!$A$5:$A$504,0)),"미매핑"))</f>
        <v/>
      </c>
      <c r="O3618" s="9">
        <f>IF($A3618="","",N3618&amp;"|"&amp;$F3618)</f>
        <v/>
      </c>
      <c r="P3618" s="77">
        <f>IF($A3618="",0,$H3618*설정!$C$23)</f>
        <v/>
      </c>
      <c r="Q3618" s="39">
        <f>IF($A3618="","",IF(O3618&lt;&gt;원인분석!$C$9,"",IF(AND(M3618&gt;=원인분석!$C$10,M3618&lt;=원인분석!$C$11),"당기",IF(AND(M3618&gt;=원인분석!$C$12,M3618&lt;=원인분석!$C$13),"비교",""))))</f>
        <v/>
      </c>
      <c r="R3618" s="9">
        <f>IF(Q3618="","",$K3618&amp;"")</f>
        <v/>
      </c>
      <c r="S3618" s="9">
        <f>IF(Q3618="","",IF(MATCH(R3618,$R$5:$R$100000,0)=ROW()-4,ROW(),""))</f>
        <v/>
      </c>
      <c r="T3618" s="9">
        <f>IF(Q3618="당기",ABS(P3618)+ROW()/1000000000,"")</f>
        <v/>
      </c>
      <c r="U3618" s="9">
        <f>IF(Q3618="비교",ABS(P3618)+ROW()/1000000000,"")</f>
        <v/>
      </c>
      <c r="V3618" s="39">
        <f>IF($A3618="","",IF(COUNTIF(변동분석!$E$7:$E$506,O3618)&gt;0,"Y","N"))</f>
        <v/>
      </c>
      <c r="W3618" s="39">
        <f>IF($A3618="","",IFERROR(INDEX(계정매핑!$D$5:$D$504,MATCH($F3618&amp;"",계정매핑!$A$5:$A$504,0)),"미매핑"))</f>
        <v/>
      </c>
      <c r="X3618" s="9">
        <f>IF($A3618="","",$F3618&amp;"")</f>
        <v/>
      </c>
    </row>
    <row r="3619">
      <c r="A3619" s="75" t="n">
        <v>2026</v>
      </c>
      <c r="B3619" s="75" t="n">
        <v>7</v>
      </c>
      <c r="C3619" s="75" t="inlineStr">
        <is>
          <t>5100001275</t>
        </is>
      </c>
      <c r="D3619" s="78" t="n">
        <v>46216</v>
      </c>
      <c r="E3619" s="75" t="inlineStr">
        <is>
          <t>KR</t>
        </is>
      </c>
      <c r="F3619" s="75" t="n">
        <v>63001000</v>
      </c>
      <c r="G3619" s="75" t="n">
        <v>1701</v>
      </c>
      <c r="H3619" s="76" t="n">
        <v>35203000</v>
      </c>
      <c r="I3619" s="75" t="inlineStr">
        <is>
          <t>7월 SW 유지보수 - Z시스템</t>
        </is>
      </c>
      <c r="J3619" s="75" t="inlineStr">
        <is>
          <t>V10021</t>
        </is>
      </c>
      <c r="K3619" s="75" t="inlineStr">
        <is>
          <t>Z시스템</t>
        </is>
      </c>
      <c r="M3619" s="9">
        <f>IF($A3619="","",VALUE($A3619&amp;"")*12+VALUE($B3619&amp;""))</f>
        <v/>
      </c>
      <c r="N3619" s="39">
        <f>IF($A3619="","",IFERROR(INDEX(부서매핑!$C$5:$C$504,MATCH($G3619&amp;"",부서매핑!$A$5:$A$504,0)),"미매핑"))</f>
        <v/>
      </c>
      <c r="O3619" s="9">
        <f>IF($A3619="","",N3619&amp;"|"&amp;$F3619)</f>
        <v/>
      </c>
      <c r="P3619" s="77">
        <f>IF($A3619="",0,$H3619*설정!$C$23)</f>
        <v/>
      </c>
      <c r="Q3619" s="39">
        <f>IF($A3619="","",IF(O3619&lt;&gt;원인분석!$C$9,"",IF(AND(M3619&gt;=원인분석!$C$10,M3619&lt;=원인분석!$C$11),"당기",IF(AND(M3619&gt;=원인분석!$C$12,M3619&lt;=원인분석!$C$13),"비교",""))))</f>
        <v/>
      </c>
      <c r="R3619" s="9">
        <f>IF(Q3619="","",$K3619&amp;"")</f>
        <v/>
      </c>
      <c r="S3619" s="9">
        <f>IF(Q3619="","",IF(MATCH(R3619,$R$5:$R$100000,0)=ROW()-4,ROW(),""))</f>
        <v/>
      </c>
      <c r="T3619" s="9">
        <f>IF(Q3619="당기",ABS(P3619)+ROW()/1000000000,"")</f>
        <v/>
      </c>
      <c r="U3619" s="9">
        <f>IF(Q3619="비교",ABS(P3619)+ROW()/1000000000,"")</f>
        <v/>
      </c>
      <c r="V3619" s="39">
        <f>IF($A3619="","",IF(COUNTIF(변동분석!$E$7:$E$506,O3619)&gt;0,"Y","N"))</f>
        <v/>
      </c>
      <c r="W3619" s="39">
        <f>IF($A3619="","",IFERROR(INDEX(계정매핑!$D$5:$D$504,MATCH($F3619&amp;"",계정매핑!$A$5:$A$504,0)),"미매핑"))</f>
        <v/>
      </c>
      <c r="X3619" s="9">
        <f>IF($A3619="","",$F3619&amp;"")</f>
        <v/>
      </c>
    </row>
    <row r="3620">
      <c r="A3620" s="75" t="n">
        <v>2026</v>
      </c>
      <c r="B3620" s="75" t="n">
        <v>7</v>
      </c>
      <c r="C3620" s="75" t="inlineStr">
        <is>
          <t>5100001276</t>
        </is>
      </c>
      <c r="D3620" s="78" t="n">
        <v>46217</v>
      </c>
      <c r="E3620" s="75" t="inlineStr">
        <is>
          <t>KR</t>
        </is>
      </c>
      <c r="F3620" s="75" t="n">
        <v>62101000</v>
      </c>
      <c r="G3620" s="75" t="n">
        <v>1301</v>
      </c>
      <c r="H3620" s="76" t="n">
        <v>317000</v>
      </c>
      <c r="I3620" s="75" t="inlineStr">
        <is>
          <t>7월 국내출장 - L여행사</t>
        </is>
      </c>
      <c r="J3620" s="75" t="inlineStr">
        <is>
          <t>V10014</t>
        </is>
      </c>
      <c r="K3620" s="75" t="inlineStr">
        <is>
          <t>L여행사</t>
        </is>
      </c>
      <c r="M3620" s="9">
        <f>IF($A3620="","",VALUE($A3620&amp;"")*12+VALUE($B3620&amp;""))</f>
        <v/>
      </c>
      <c r="N3620" s="39">
        <f>IF($A3620="","",IFERROR(INDEX(부서매핑!$C$5:$C$504,MATCH($G3620&amp;"",부서매핑!$A$5:$A$504,0)),"미매핑"))</f>
        <v/>
      </c>
      <c r="O3620" s="9">
        <f>IF($A3620="","",N3620&amp;"|"&amp;$F3620)</f>
        <v/>
      </c>
      <c r="P3620" s="77">
        <f>IF($A3620="",0,$H3620*설정!$C$23)</f>
        <v/>
      </c>
      <c r="Q3620" s="39">
        <f>IF($A3620="","",IF(O3620&lt;&gt;원인분석!$C$9,"",IF(AND(M3620&gt;=원인분석!$C$10,M3620&lt;=원인분석!$C$11),"당기",IF(AND(M3620&gt;=원인분석!$C$12,M3620&lt;=원인분석!$C$13),"비교",""))))</f>
        <v/>
      </c>
      <c r="R3620" s="9">
        <f>IF(Q3620="","",$K3620&amp;"")</f>
        <v/>
      </c>
      <c r="S3620" s="9">
        <f>IF(Q3620="","",IF(MATCH(R3620,$R$5:$R$100000,0)=ROW()-4,ROW(),""))</f>
        <v/>
      </c>
      <c r="T3620" s="9">
        <f>IF(Q3620="당기",ABS(P3620)+ROW()/1000000000,"")</f>
        <v/>
      </c>
      <c r="U3620" s="9">
        <f>IF(Q3620="비교",ABS(P3620)+ROW()/1000000000,"")</f>
        <v/>
      </c>
      <c r="V3620" s="39">
        <f>IF($A3620="","",IF(COUNTIF(변동분석!$E$7:$E$506,O3620)&gt;0,"Y","N"))</f>
        <v/>
      </c>
      <c r="W3620" s="39">
        <f>IF($A3620="","",IFERROR(INDEX(계정매핑!$D$5:$D$504,MATCH($F3620&amp;"",계정매핑!$A$5:$A$504,0)),"미매핑"))</f>
        <v/>
      </c>
      <c r="X3620" s="9">
        <f>IF($A3620="","",$F3620&amp;"")</f>
        <v/>
      </c>
    </row>
    <row r="3621">
      <c r="A3621" s="75" t="n">
        <v>2026</v>
      </c>
      <c r="B3621" s="75" t="n">
        <v>7</v>
      </c>
      <c r="C3621" s="75" t="inlineStr">
        <is>
          <t>5100001277</t>
        </is>
      </c>
      <c r="D3621" s="78" t="n">
        <v>46217</v>
      </c>
      <c r="E3621" s="75" t="inlineStr">
        <is>
          <t>KR</t>
        </is>
      </c>
      <c r="F3621" s="75" t="n">
        <v>62102000</v>
      </c>
      <c r="G3621" s="75" t="n">
        <v>1201</v>
      </c>
      <c r="H3621" s="76" t="n">
        <v>46000</v>
      </c>
      <c r="I3621" s="75" t="inlineStr">
        <is>
          <t>7월 해외출장 - M항공</t>
        </is>
      </c>
      <c r="J3621" s="75" t="inlineStr">
        <is>
          <t>V10001</t>
        </is>
      </c>
      <c r="K3621" s="75" t="inlineStr">
        <is>
          <t>M항공</t>
        </is>
      </c>
      <c r="M3621" s="9">
        <f>IF($A3621="","",VALUE($A3621&amp;"")*12+VALUE($B3621&amp;""))</f>
        <v/>
      </c>
      <c r="N3621" s="39">
        <f>IF($A3621="","",IFERROR(INDEX(부서매핑!$C$5:$C$504,MATCH($G3621&amp;"",부서매핑!$A$5:$A$504,0)),"미매핑"))</f>
        <v/>
      </c>
      <c r="O3621" s="9">
        <f>IF($A3621="","",N3621&amp;"|"&amp;$F3621)</f>
        <v/>
      </c>
      <c r="P3621" s="77">
        <f>IF($A3621="",0,$H3621*설정!$C$23)</f>
        <v/>
      </c>
      <c r="Q3621" s="39">
        <f>IF($A3621="","",IF(O3621&lt;&gt;원인분석!$C$9,"",IF(AND(M3621&gt;=원인분석!$C$10,M3621&lt;=원인분석!$C$11),"당기",IF(AND(M3621&gt;=원인분석!$C$12,M3621&lt;=원인분석!$C$13),"비교",""))))</f>
        <v/>
      </c>
      <c r="R3621" s="9">
        <f>IF(Q3621="","",$K3621&amp;"")</f>
        <v/>
      </c>
      <c r="S3621" s="9">
        <f>IF(Q3621="","",IF(MATCH(R3621,$R$5:$R$100000,0)=ROW()-4,ROW(),""))</f>
        <v/>
      </c>
      <c r="T3621" s="9">
        <f>IF(Q3621="당기",ABS(P3621)+ROW()/1000000000,"")</f>
        <v/>
      </c>
      <c r="U3621" s="9">
        <f>IF(Q3621="비교",ABS(P3621)+ROW()/1000000000,"")</f>
        <v/>
      </c>
      <c r="V3621" s="39">
        <f>IF($A3621="","",IF(COUNTIF(변동분석!$E$7:$E$506,O3621)&gt;0,"Y","N"))</f>
        <v/>
      </c>
      <c r="W3621" s="39">
        <f>IF($A3621="","",IFERROR(INDEX(계정매핑!$D$5:$D$504,MATCH($F3621&amp;"",계정매핑!$A$5:$A$504,0)),"미매핑"))</f>
        <v/>
      </c>
      <c r="X3621" s="9">
        <f>IF($A3621="","",$F3621&amp;"")</f>
        <v/>
      </c>
    </row>
    <row r="3622">
      <c r="A3622" s="75" t="n">
        <v>2026</v>
      </c>
      <c r="B3622" s="75" t="n">
        <v>7</v>
      </c>
      <c r="C3622" s="75" t="inlineStr">
        <is>
          <t>5100001278</t>
        </is>
      </c>
      <c r="D3622" s="78" t="n">
        <v>46217</v>
      </c>
      <c r="E3622" s="75" t="inlineStr">
        <is>
          <t>KR</t>
        </is>
      </c>
      <c r="F3622" s="75" t="n">
        <v>62501000</v>
      </c>
      <c r="G3622" s="75" t="n">
        <v>1701</v>
      </c>
      <c r="H3622" s="76" t="n">
        <v>98000</v>
      </c>
      <c r="I3622" s="75" t="inlineStr">
        <is>
          <t>7월 회의 다과 - (법인카드)</t>
        </is>
      </c>
      <c r="J3622" s="75" t="inlineStr">
        <is>
          <t>V10008</t>
        </is>
      </c>
      <c r="K3622" s="75" t="inlineStr">
        <is>
          <t>(법인카드)</t>
        </is>
      </c>
      <c r="M3622" s="9">
        <f>IF($A3622="","",VALUE($A3622&amp;"")*12+VALUE($B3622&amp;""))</f>
        <v/>
      </c>
      <c r="N3622" s="39">
        <f>IF($A3622="","",IFERROR(INDEX(부서매핑!$C$5:$C$504,MATCH($G3622&amp;"",부서매핑!$A$5:$A$504,0)),"미매핑"))</f>
        <v/>
      </c>
      <c r="O3622" s="9">
        <f>IF($A3622="","",N3622&amp;"|"&amp;$F3622)</f>
        <v/>
      </c>
      <c r="P3622" s="77">
        <f>IF($A3622="",0,$H3622*설정!$C$23)</f>
        <v/>
      </c>
      <c r="Q3622" s="39">
        <f>IF($A3622="","",IF(O3622&lt;&gt;원인분석!$C$9,"",IF(AND(M3622&gt;=원인분석!$C$10,M3622&lt;=원인분석!$C$11),"당기",IF(AND(M3622&gt;=원인분석!$C$12,M3622&lt;=원인분석!$C$13),"비교",""))))</f>
        <v/>
      </c>
      <c r="R3622" s="9">
        <f>IF(Q3622="","",$K3622&amp;"")</f>
        <v/>
      </c>
      <c r="S3622" s="9">
        <f>IF(Q3622="","",IF(MATCH(R3622,$R$5:$R$100000,0)=ROW()-4,ROW(),""))</f>
        <v/>
      </c>
      <c r="T3622" s="9">
        <f>IF(Q3622="당기",ABS(P3622)+ROW()/1000000000,"")</f>
        <v/>
      </c>
      <c r="U3622" s="9">
        <f>IF(Q3622="비교",ABS(P3622)+ROW()/1000000000,"")</f>
        <v/>
      </c>
      <c r="V3622" s="39">
        <f>IF($A3622="","",IF(COUNTIF(변동분석!$E$7:$E$506,O3622)&gt;0,"Y","N"))</f>
        <v/>
      </c>
      <c r="W3622" s="39">
        <f>IF($A3622="","",IFERROR(INDEX(계정매핑!$D$5:$D$504,MATCH($F3622&amp;"",계정매핑!$A$5:$A$504,0)),"미매핑"))</f>
        <v/>
      </c>
      <c r="X3622" s="9">
        <f>IF($A3622="","",$F3622&amp;"")</f>
        <v/>
      </c>
    </row>
    <row r="3623">
      <c r="A3623" s="75" t="n">
        <v>2026</v>
      </c>
      <c r="B3623" s="75" t="n">
        <v>7</v>
      </c>
      <c r="C3623" s="75" t="inlineStr">
        <is>
          <t>5100001279</t>
        </is>
      </c>
      <c r="D3623" s="78" t="n">
        <v>46217</v>
      </c>
      <c r="E3623" s="75" t="inlineStr">
        <is>
          <t>KR</t>
        </is>
      </c>
      <c r="F3623" s="75" t="n">
        <v>62501000</v>
      </c>
      <c r="G3623" s="75" t="n">
        <v>1801</v>
      </c>
      <c r="H3623" s="76" t="n">
        <v>102000</v>
      </c>
      <c r="I3623" s="75" t="inlineStr">
        <is>
          <t>7월 회의 다과 - (법인카드)</t>
        </is>
      </c>
      <c r="J3623" s="75" t="inlineStr">
        <is>
          <t>V10008</t>
        </is>
      </c>
      <c r="K3623" s="75" t="inlineStr">
        <is>
          <t>(법인카드)</t>
        </is>
      </c>
      <c r="M3623" s="9">
        <f>IF($A3623="","",VALUE($A3623&amp;"")*12+VALUE($B3623&amp;""))</f>
        <v/>
      </c>
      <c r="N3623" s="39">
        <f>IF($A3623="","",IFERROR(INDEX(부서매핑!$C$5:$C$504,MATCH($G3623&amp;"",부서매핑!$A$5:$A$504,0)),"미매핑"))</f>
        <v/>
      </c>
      <c r="O3623" s="9">
        <f>IF($A3623="","",N3623&amp;"|"&amp;$F3623)</f>
        <v/>
      </c>
      <c r="P3623" s="77">
        <f>IF($A3623="",0,$H3623*설정!$C$23)</f>
        <v/>
      </c>
      <c r="Q3623" s="39">
        <f>IF($A3623="","",IF(O3623&lt;&gt;원인분석!$C$9,"",IF(AND(M3623&gt;=원인분석!$C$10,M3623&lt;=원인분석!$C$11),"당기",IF(AND(M3623&gt;=원인분석!$C$12,M3623&lt;=원인분석!$C$13),"비교",""))))</f>
        <v/>
      </c>
      <c r="R3623" s="9">
        <f>IF(Q3623="","",$K3623&amp;"")</f>
        <v/>
      </c>
      <c r="S3623" s="9">
        <f>IF(Q3623="","",IF(MATCH(R3623,$R$5:$R$100000,0)=ROW()-4,ROW(),""))</f>
        <v/>
      </c>
      <c r="T3623" s="9">
        <f>IF(Q3623="당기",ABS(P3623)+ROW()/1000000000,"")</f>
        <v/>
      </c>
      <c r="U3623" s="9">
        <f>IF(Q3623="비교",ABS(P3623)+ROW()/1000000000,"")</f>
        <v/>
      </c>
      <c r="V3623" s="39">
        <f>IF($A3623="","",IF(COUNTIF(변동분석!$E$7:$E$506,O3623)&gt;0,"Y","N"))</f>
        <v/>
      </c>
      <c r="W3623" s="39">
        <f>IF($A3623="","",IFERROR(INDEX(계정매핑!$D$5:$D$504,MATCH($F3623&amp;"",계정매핑!$A$5:$A$504,0)),"미매핑"))</f>
        <v/>
      </c>
      <c r="X3623" s="9">
        <f>IF($A3623="","",$F3623&amp;"")</f>
        <v/>
      </c>
    </row>
    <row r="3624">
      <c r="A3624" s="75" t="n">
        <v>2026</v>
      </c>
      <c r="B3624" s="75" t="n">
        <v>7</v>
      </c>
      <c r="C3624" s="75" t="inlineStr">
        <is>
          <t>5100001280</t>
        </is>
      </c>
      <c r="D3624" s="78" t="n">
        <v>46217</v>
      </c>
      <c r="E3624" s="75" t="inlineStr">
        <is>
          <t>KR</t>
        </is>
      </c>
      <c r="F3624" s="75" t="n">
        <v>62902000</v>
      </c>
      <c r="G3624" s="75" t="n">
        <v>1401</v>
      </c>
      <c r="H3624" s="76" t="n">
        <v>1477000</v>
      </c>
      <c r="I3624" s="75" t="inlineStr">
        <is>
          <t>7월 업무 위탁 수수료 - X서비스</t>
        </is>
      </c>
      <c r="J3624" s="75" t="inlineStr">
        <is>
          <t>V10016</t>
        </is>
      </c>
      <c r="K3624" s="75" t="inlineStr">
        <is>
          <t>X서비스</t>
        </is>
      </c>
      <c r="M3624" s="9">
        <f>IF($A3624="","",VALUE($A3624&amp;"")*12+VALUE($B3624&amp;""))</f>
        <v/>
      </c>
      <c r="N3624" s="39">
        <f>IF($A3624="","",IFERROR(INDEX(부서매핑!$C$5:$C$504,MATCH($G3624&amp;"",부서매핑!$A$5:$A$504,0)),"미매핑"))</f>
        <v/>
      </c>
      <c r="O3624" s="9">
        <f>IF($A3624="","",N3624&amp;"|"&amp;$F3624)</f>
        <v/>
      </c>
      <c r="P3624" s="77">
        <f>IF($A3624="",0,$H3624*설정!$C$23)</f>
        <v/>
      </c>
      <c r="Q3624" s="39">
        <f>IF($A3624="","",IF(O3624&lt;&gt;원인분석!$C$9,"",IF(AND(M3624&gt;=원인분석!$C$10,M3624&lt;=원인분석!$C$11),"당기",IF(AND(M3624&gt;=원인분석!$C$12,M3624&lt;=원인분석!$C$13),"비교",""))))</f>
        <v/>
      </c>
      <c r="R3624" s="9">
        <f>IF(Q3624="","",$K3624&amp;"")</f>
        <v/>
      </c>
      <c r="S3624" s="9">
        <f>IF(Q3624="","",IF(MATCH(R3624,$R$5:$R$100000,0)=ROW()-4,ROW(),""))</f>
        <v/>
      </c>
      <c r="T3624" s="9">
        <f>IF(Q3624="당기",ABS(P3624)+ROW()/1000000000,"")</f>
        <v/>
      </c>
      <c r="U3624" s="9">
        <f>IF(Q3624="비교",ABS(P3624)+ROW()/1000000000,"")</f>
        <v/>
      </c>
      <c r="V3624" s="39">
        <f>IF($A3624="","",IF(COUNTIF(변동분석!$E$7:$E$506,O3624)&gt;0,"Y","N"))</f>
        <v/>
      </c>
      <c r="W3624" s="39">
        <f>IF($A3624="","",IFERROR(INDEX(계정매핑!$D$5:$D$504,MATCH($F3624&amp;"",계정매핑!$A$5:$A$504,0)),"미매핑"))</f>
        <v/>
      </c>
      <c r="X3624" s="9">
        <f>IF($A3624="","",$F3624&amp;"")</f>
        <v/>
      </c>
    </row>
    <row r="3625">
      <c r="A3625" s="75" t="n">
        <v>2026</v>
      </c>
      <c r="B3625" s="75" t="n">
        <v>7</v>
      </c>
      <c r="C3625" s="75" t="inlineStr">
        <is>
          <t>5100001281</t>
        </is>
      </c>
      <c r="D3625" s="78" t="n">
        <v>46217</v>
      </c>
      <c r="E3625" s="75" t="inlineStr">
        <is>
          <t>KR</t>
        </is>
      </c>
      <c r="F3625" s="75" t="n">
        <v>62902000</v>
      </c>
      <c r="G3625" s="75" t="n">
        <v>1801</v>
      </c>
      <c r="H3625" s="76" t="n">
        <v>1760000</v>
      </c>
      <c r="I3625" s="75" t="inlineStr">
        <is>
          <t>7월 콜 위탁 수수료(건별)</t>
        </is>
      </c>
      <c r="J3625" s="75" t="inlineStr">
        <is>
          <t>V10013</t>
        </is>
      </c>
      <c r="K3625" s="75" t="inlineStr">
        <is>
          <t>J콜센터</t>
        </is>
      </c>
      <c r="M3625" s="9">
        <f>IF($A3625="","",VALUE($A3625&amp;"")*12+VALUE($B3625&amp;""))</f>
        <v/>
      </c>
      <c r="N3625" s="39">
        <f>IF($A3625="","",IFERROR(INDEX(부서매핑!$C$5:$C$504,MATCH($G3625&amp;"",부서매핑!$A$5:$A$504,0)),"미매핑"))</f>
        <v/>
      </c>
      <c r="O3625" s="9">
        <f>IF($A3625="","",N3625&amp;"|"&amp;$F3625)</f>
        <v/>
      </c>
      <c r="P3625" s="77">
        <f>IF($A3625="",0,$H3625*설정!$C$23)</f>
        <v/>
      </c>
      <c r="Q3625" s="39">
        <f>IF($A3625="","",IF(O3625&lt;&gt;원인분석!$C$9,"",IF(AND(M3625&gt;=원인분석!$C$10,M3625&lt;=원인분석!$C$11),"당기",IF(AND(M3625&gt;=원인분석!$C$12,M3625&lt;=원인분석!$C$13),"비교",""))))</f>
        <v/>
      </c>
      <c r="R3625" s="9">
        <f>IF(Q3625="","",$K3625&amp;"")</f>
        <v/>
      </c>
      <c r="S3625" s="9">
        <f>IF(Q3625="","",IF(MATCH(R3625,$R$5:$R$100000,0)=ROW()-4,ROW(),""))</f>
        <v/>
      </c>
      <c r="T3625" s="9">
        <f>IF(Q3625="당기",ABS(P3625)+ROW()/1000000000,"")</f>
        <v/>
      </c>
      <c r="U3625" s="9">
        <f>IF(Q3625="비교",ABS(P3625)+ROW()/1000000000,"")</f>
        <v/>
      </c>
      <c r="V3625" s="39">
        <f>IF($A3625="","",IF(COUNTIF(변동분석!$E$7:$E$506,O3625)&gt;0,"Y","N"))</f>
        <v/>
      </c>
      <c r="W3625" s="39">
        <f>IF($A3625="","",IFERROR(INDEX(계정매핑!$D$5:$D$504,MATCH($F3625&amp;"",계정매핑!$A$5:$A$504,0)),"미매핑"))</f>
        <v/>
      </c>
      <c r="X3625" s="9">
        <f>IF($A3625="","",$F3625&amp;"")</f>
        <v/>
      </c>
    </row>
    <row r="3626">
      <c r="A3626" s="75" t="n">
        <v>2026</v>
      </c>
      <c r="B3626" s="75" t="n">
        <v>7</v>
      </c>
      <c r="C3626" s="75" t="inlineStr">
        <is>
          <t>5100001282</t>
        </is>
      </c>
      <c r="D3626" s="78" t="n">
        <v>46218</v>
      </c>
      <c r="E3626" s="75" t="inlineStr">
        <is>
          <t>KR</t>
        </is>
      </c>
      <c r="F3626" s="75" t="n">
        <v>62101000</v>
      </c>
      <c r="G3626" s="75" t="n">
        <v>1601</v>
      </c>
      <c r="H3626" s="76" t="n">
        <v>754000</v>
      </c>
      <c r="I3626" s="75" t="inlineStr">
        <is>
          <t>7월 국내출장 - (법인카드)</t>
        </is>
      </c>
      <c r="J3626" s="75" t="inlineStr">
        <is>
          <t>V10008</t>
        </is>
      </c>
      <c r="K3626" s="75" t="inlineStr">
        <is>
          <t>(법인카드)</t>
        </is>
      </c>
      <c r="M3626" s="9">
        <f>IF($A3626="","",VALUE($A3626&amp;"")*12+VALUE($B3626&amp;""))</f>
        <v/>
      </c>
      <c r="N3626" s="39">
        <f>IF($A3626="","",IFERROR(INDEX(부서매핑!$C$5:$C$504,MATCH($G3626&amp;"",부서매핑!$A$5:$A$504,0)),"미매핑"))</f>
        <v/>
      </c>
      <c r="O3626" s="9">
        <f>IF($A3626="","",N3626&amp;"|"&amp;$F3626)</f>
        <v/>
      </c>
      <c r="P3626" s="77">
        <f>IF($A3626="",0,$H3626*설정!$C$23)</f>
        <v/>
      </c>
      <c r="Q3626" s="39">
        <f>IF($A3626="","",IF(O3626&lt;&gt;원인분석!$C$9,"",IF(AND(M3626&gt;=원인분석!$C$10,M3626&lt;=원인분석!$C$11),"당기",IF(AND(M3626&gt;=원인분석!$C$12,M3626&lt;=원인분석!$C$13),"비교",""))))</f>
        <v/>
      </c>
      <c r="R3626" s="9">
        <f>IF(Q3626="","",$K3626&amp;"")</f>
        <v/>
      </c>
      <c r="S3626" s="9">
        <f>IF(Q3626="","",IF(MATCH(R3626,$R$5:$R$100000,0)=ROW()-4,ROW(),""))</f>
        <v/>
      </c>
      <c r="T3626" s="9">
        <f>IF(Q3626="당기",ABS(P3626)+ROW()/1000000000,"")</f>
        <v/>
      </c>
      <c r="U3626" s="9">
        <f>IF(Q3626="비교",ABS(P3626)+ROW()/1000000000,"")</f>
        <v/>
      </c>
      <c r="V3626" s="39">
        <f>IF($A3626="","",IF(COUNTIF(변동분석!$E$7:$E$506,O3626)&gt;0,"Y","N"))</f>
        <v/>
      </c>
      <c r="W3626" s="39">
        <f>IF($A3626="","",IFERROR(INDEX(계정매핑!$D$5:$D$504,MATCH($F3626&amp;"",계정매핑!$A$5:$A$504,0)),"미매핑"))</f>
        <v/>
      </c>
      <c r="X3626" s="9">
        <f>IF($A3626="","",$F3626&amp;"")</f>
        <v/>
      </c>
    </row>
    <row r="3627">
      <c r="A3627" s="75" t="n">
        <v>2026</v>
      </c>
      <c r="B3627" s="75" t="n">
        <v>7</v>
      </c>
      <c r="C3627" s="75" t="inlineStr">
        <is>
          <t>5100001283</t>
        </is>
      </c>
      <c r="D3627" s="78" t="n">
        <v>46218</v>
      </c>
      <c r="E3627" s="75" t="inlineStr">
        <is>
          <t>KR</t>
        </is>
      </c>
      <c r="F3627" s="75" t="n">
        <v>62102000</v>
      </c>
      <c r="G3627" s="75" t="n">
        <v>1201</v>
      </c>
      <c r="H3627" s="76" t="n">
        <v>77000</v>
      </c>
      <c r="I3627" s="75" t="inlineStr">
        <is>
          <t>7월 해외출장 - N호텔</t>
        </is>
      </c>
      <c r="J3627" s="75" t="inlineStr">
        <is>
          <t>V10007</t>
        </is>
      </c>
      <c r="K3627" s="75" t="inlineStr">
        <is>
          <t>N호텔</t>
        </is>
      </c>
      <c r="M3627" s="9">
        <f>IF($A3627="","",VALUE($A3627&amp;"")*12+VALUE($B3627&amp;""))</f>
        <v/>
      </c>
      <c r="N3627" s="39">
        <f>IF($A3627="","",IFERROR(INDEX(부서매핑!$C$5:$C$504,MATCH($G3627&amp;"",부서매핑!$A$5:$A$504,0)),"미매핑"))</f>
        <v/>
      </c>
      <c r="O3627" s="9">
        <f>IF($A3627="","",N3627&amp;"|"&amp;$F3627)</f>
        <v/>
      </c>
      <c r="P3627" s="77">
        <f>IF($A3627="",0,$H3627*설정!$C$23)</f>
        <v/>
      </c>
      <c r="Q3627" s="39">
        <f>IF($A3627="","",IF(O3627&lt;&gt;원인분석!$C$9,"",IF(AND(M3627&gt;=원인분석!$C$10,M3627&lt;=원인분석!$C$11),"당기",IF(AND(M3627&gt;=원인분석!$C$12,M3627&lt;=원인분석!$C$13),"비교",""))))</f>
        <v/>
      </c>
      <c r="R3627" s="9">
        <f>IF(Q3627="","",$K3627&amp;"")</f>
        <v/>
      </c>
      <c r="S3627" s="9">
        <f>IF(Q3627="","",IF(MATCH(R3627,$R$5:$R$100000,0)=ROW()-4,ROW(),""))</f>
        <v/>
      </c>
      <c r="T3627" s="9">
        <f>IF(Q3627="당기",ABS(P3627)+ROW()/1000000000,"")</f>
        <v/>
      </c>
      <c r="U3627" s="9">
        <f>IF(Q3627="비교",ABS(P3627)+ROW()/1000000000,"")</f>
        <v/>
      </c>
      <c r="V3627" s="39">
        <f>IF($A3627="","",IF(COUNTIF(변동분석!$E$7:$E$506,O3627)&gt;0,"Y","N"))</f>
        <v/>
      </c>
      <c r="W3627" s="39">
        <f>IF($A3627="","",IFERROR(INDEX(계정매핑!$D$5:$D$504,MATCH($F3627&amp;"",계정매핑!$A$5:$A$504,0)),"미매핑"))</f>
        <v/>
      </c>
      <c r="X3627" s="9">
        <f>IF($A3627="","",$F3627&amp;"")</f>
        <v/>
      </c>
    </row>
    <row r="3628">
      <c r="A3628" s="75" t="n">
        <v>2026</v>
      </c>
      <c r="B3628" s="75" t="n">
        <v>7</v>
      </c>
      <c r="C3628" s="75" t="inlineStr">
        <is>
          <t>5100001284</t>
        </is>
      </c>
      <c r="D3628" s="78" t="n">
        <v>46218</v>
      </c>
      <c r="E3628" s="75" t="inlineStr">
        <is>
          <t>KR</t>
        </is>
      </c>
      <c r="F3628" s="75" t="n">
        <v>62102000</v>
      </c>
      <c r="G3628" s="75" t="n">
        <v>1401</v>
      </c>
      <c r="H3628" s="76" t="n">
        <v>84000</v>
      </c>
      <c r="I3628" s="75" t="inlineStr">
        <is>
          <t>7월 해외출장 - N호텔</t>
        </is>
      </c>
      <c r="J3628" s="75" t="inlineStr">
        <is>
          <t>V10007</t>
        </is>
      </c>
      <c r="K3628" s="75" t="inlineStr">
        <is>
          <t>N호텔</t>
        </is>
      </c>
      <c r="M3628" s="9">
        <f>IF($A3628="","",VALUE($A3628&amp;"")*12+VALUE($B3628&amp;""))</f>
        <v/>
      </c>
      <c r="N3628" s="39">
        <f>IF($A3628="","",IFERROR(INDEX(부서매핑!$C$5:$C$504,MATCH($G3628&amp;"",부서매핑!$A$5:$A$504,0)),"미매핑"))</f>
        <v/>
      </c>
      <c r="O3628" s="9">
        <f>IF($A3628="","",N3628&amp;"|"&amp;$F3628)</f>
        <v/>
      </c>
      <c r="P3628" s="77">
        <f>IF($A3628="",0,$H3628*설정!$C$23)</f>
        <v/>
      </c>
      <c r="Q3628" s="39">
        <f>IF($A3628="","",IF(O3628&lt;&gt;원인분석!$C$9,"",IF(AND(M3628&gt;=원인분석!$C$10,M3628&lt;=원인분석!$C$11),"당기",IF(AND(M3628&gt;=원인분석!$C$12,M3628&lt;=원인분석!$C$13),"비교",""))))</f>
        <v/>
      </c>
      <c r="R3628" s="9">
        <f>IF(Q3628="","",$K3628&amp;"")</f>
        <v/>
      </c>
      <c r="S3628" s="9">
        <f>IF(Q3628="","",IF(MATCH(R3628,$R$5:$R$100000,0)=ROW()-4,ROW(),""))</f>
        <v/>
      </c>
      <c r="T3628" s="9">
        <f>IF(Q3628="당기",ABS(P3628)+ROW()/1000000000,"")</f>
        <v/>
      </c>
      <c r="U3628" s="9">
        <f>IF(Q3628="비교",ABS(P3628)+ROW()/1000000000,"")</f>
        <v/>
      </c>
      <c r="V3628" s="39">
        <f>IF($A3628="","",IF(COUNTIF(변동분석!$E$7:$E$506,O3628)&gt;0,"Y","N"))</f>
        <v/>
      </c>
      <c r="W3628" s="39">
        <f>IF($A3628="","",IFERROR(INDEX(계정매핑!$D$5:$D$504,MATCH($F3628&amp;"",계정매핑!$A$5:$A$504,0)),"미매핑"))</f>
        <v/>
      </c>
      <c r="X3628" s="9">
        <f>IF($A3628="","",$F3628&amp;"")</f>
        <v/>
      </c>
    </row>
    <row r="3629">
      <c r="A3629" s="75" t="n">
        <v>2026</v>
      </c>
      <c r="B3629" s="75" t="n">
        <v>7</v>
      </c>
      <c r="C3629" s="75" t="inlineStr">
        <is>
          <t>5100001285</t>
        </is>
      </c>
      <c r="D3629" s="78" t="n">
        <v>46218</v>
      </c>
      <c r="E3629" s="75" t="inlineStr">
        <is>
          <t>KR</t>
        </is>
      </c>
      <c r="F3629" s="75" t="n">
        <v>62201000</v>
      </c>
      <c r="G3629" s="75" t="n">
        <v>1201</v>
      </c>
      <c r="H3629" s="76" t="n">
        <v>105000</v>
      </c>
      <c r="I3629" s="75" t="inlineStr">
        <is>
          <t>7월 통신요금 - P통신</t>
        </is>
      </c>
      <c r="J3629" s="75" t="inlineStr">
        <is>
          <t>V10011</t>
        </is>
      </c>
      <c r="K3629" s="75" t="inlineStr">
        <is>
          <t>P통신</t>
        </is>
      </c>
      <c r="M3629" s="9">
        <f>IF($A3629="","",VALUE($A3629&amp;"")*12+VALUE($B3629&amp;""))</f>
        <v/>
      </c>
      <c r="N3629" s="39">
        <f>IF($A3629="","",IFERROR(INDEX(부서매핑!$C$5:$C$504,MATCH($G3629&amp;"",부서매핑!$A$5:$A$504,0)),"미매핑"))</f>
        <v/>
      </c>
      <c r="O3629" s="9">
        <f>IF($A3629="","",N3629&amp;"|"&amp;$F3629)</f>
        <v/>
      </c>
      <c r="P3629" s="77">
        <f>IF($A3629="",0,$H3629*설정!$C$23)</f>
        <v/>
      </c>
      <c r="Q3629" s="39">
        <f>IF($A3629="","",IF(O3629&lt;&gt;원인분석!$C$9,"",IF(AND(M3629&gt;=원인분석!$C$10,M3629&lt;=원인분석!$C$11),"당기",IF(AND(M3629&gt;=원인분석!$C$12,M3629&lt;=원인분석!$C$13),"비교",""))))</f>
        <v/>
      </c>
      <c r="R3629" s="9">
        <f>IF(Q3629="","",$K3629&amp;"")</f>
        <v/>
      </c>
      <c r="S3629" s="9">
        <f>IF(Q3629="","",IF(MATCH(R3629,$R$5:$R$100000,0)=ROW()-4,ROW(),""))</f>
        <v/>
      </c>
      <c r="T3629" s="9">
        <f>IF(Q3629="당기",ABS(P3629)+ROW()/1000000000,"")</f>
        <v/>
      </c>
      <c r="U3629" s="9">
        <f>IF(Q3629="비교",ABS(P3629)+ROW()/1000000000,"")</f>
        <v/>
      </c>
      <c r="V3629" s="39">
        <f>IF($A3629="","",IF(COUNTIF(변동분석!$E$7:$E$506,O3629)&gt;0,"Y","N"))</f>
        <v/>
      </c>
      <c r="W3629" s="39">
        <f>IF($A3629="","",IFERROR(INDEX(계정매핑!$D$5:$D$504,MATCH($F3629&amp;"",계정매핑!$A$5:$A$504,0)),"미매핑"))</f>
        <v/>
      </c>
      <c r="X3629" s="9">
        <f>IF($A3629="","",$F3629&amp;"")</f>
        <v/>
      </c>
    </row>
    <row r="3630">
      <c r="A3630" s="75" t="n">
        <v>2026</v>
      </c>
      <c r="B3630" s="75" t="n">
        <v>7</v>
      </c>
      <c r="C3630" s="75" t="inlineStr">
        <is>
          <t>5100001286</t>
        </is>
      </c>
      <c r="D3630" s="78" t="n">
        <v>46218</v>
      </c>
      <c r="E3630" s="75" t="inlineStr">
        <is>
          <t>KR</t>
        </is>
      </c>
      <c r="F3630" s="75" t="n">
        <v>62301000</v>
      </c>
      <c r="G3630" s="75" t="n">
        <v>1401</v>
      </c>
      <c r="H3630" s="76" t="n">
        <v>140000</v>
      </c>
      <c r="I3630" s="75" t="inlineStr">
        <is>
          <t>7월 소모품 구입 - R문구</t>
        </is>
      </c>
      <c r="J3630" s="75" t="inlineStr">
        <is>
          <t>V10018</t>
        </is>
      </c>
      <c r="K3630" s="75" t="inlineStr">
        <is>
          <t>R문구</t>
        </is>
      </c>
      <c r="M3630" s="9">
        <f>IF($A3630="","",VALUE($A3630&amp;"")*12+VALUE($B3630&amp;""))</f>
        <v/>
      </c>
      <c r="N3630" s="39">
        <f>IF($A3630="","",IFERROR(INDEX(부서매핑!$C$5:$C$504,MATCH($G3630&amp;"",부서매핑!$A$5:$A$504,0)),"미매핑"))</f>
        <v/>
      </c>
      <c r="O3630" s="9">
        <f>IF($A3630="","",N3630&amp;"|"&amp;$F3630)</f>
        <v/>
      </c>
      <c r="P3630" s="77">
        <f>IF($A3630="",0,$H3630*설정!$C$23)</f>
        <v/>
      </c>
      <c r="Q3630" s="39">
        <f>IF($A3630="","",IF(O3630&lt;&gt;원인분석!$C$9,"",IF(AND(M3630&gt;=원인분석!$C$10,M3630&lt;=원인분석!$C$11),"당기",IF(AND(M3630&gt;=원인분석!$C$12,M3630&lt;=원인분석!$C$13),"비교",""))))</f>
        <v/>
      </c>
      <c r="R3630" s="9">
        <f>IF(Q3630="","",$K3630&amp;"")</f>
        <v/>
      </c>
      <c r="S3630" s="9">
        <f>IF(Q3630="","",IF(MATCH(R3630,$R$5:$R$100000,0)=ROW()-4,ROW(),""))</f>
        <v/>
      </c>
      <c r="T3630" s="9">
        <f>IF(Q3630="당기",ABS(P3630)+ROW()/1000000000,"")</f>
        <v/>
      </c>
      <c r="U3630" s="9">
        <f>IF(Q3630="비교",ABS(P3630)+ROW()/1000000000,"")</f>
        <v/>
      </c>
      <c r="V3630" s="39">
        <f>IF($A3630="","",IF(COUNTIF(변동분석!$E$7:$E$506,O3630)&gt;0,"Y","N"))</f>
        <v/>
      </c>
      <c r="W3630" s="39">
        <f>IF($A3630="","",IFERROR(INDEX(계정매핑!$D$5:$D$504,MATCH($F3630&amp;"",계정매핑!$A$5:$A$504,0)),"미매핑"))</f>
        <v/>
      </c>
      <c r="X3630" s="9">
        <f>IF($A3630="","",$F3630&amp;"")</f>
        <v/>
      </c>
    </row>
    <row r="3631">
      <c r="A3631" s="75" t="n">
        <v>2026</v>
      </c>
      <c r="B3631" s="75" t="n">
        <v>7</v>
      </c>
      <c r="C3631" s="75" t="inlineStr">
        <is>
          <t>5100001287</t>
        </is>
      </c>
      <c r="D3631" s="78" t="n">
        <v>46218</v>
      </c>
      <c r="E3631" s="75" t="inlineStr">
        <is>
          <t>KR</t>
        </is>
      </c>
      <c r="F3631" s="75" t="n">
        <v>62301000</v>
      </c>
      <c r="G3631" s="75" t="n">
        <v>1701</v>
      </c>
      <c r="H3631" s="76" t="n">
        <v>254000</v>
      </c>
      <c r="I3631" s="75" t="inlineStr">
        <is>
          <t>7월 소모품 구입 - R문구</t>
        </is>
      </c>
      <c r="J3631" s="75" t="inlineStr">
        <is>
          <t>V10018</t>
        </is>
      </c>
      <c r="K3631" s="75" t="inlineStr">
        <is>
          <t>R문구</t>
        </is>
      </c>
      <c r="M3631" s="9">
        <f>IF($A3631="","",VALUE($A3631&amp;"")*12+VALUE($B3631&amp;""))</f>
        <v/>
      </c>
      <c r="N3631" s="39">
        <f>IF($A3631="","",IFERROR(INDEX(부서매핑!$C$5:$C$504,MATCH($G3631&amp;"",부서매핑!$A$5:$A$504,0)),"미매핑"))</f>
        <v/>
      </c>
      <c r="O3631" s="9">
        <f>IF($A3631="","",N3631&amp;"|"&amp;$F3631)</f>
        <v/>
      </c>
      <c r="P3631" s="77">
        <f>IF($A3631="",0,$H3631*설정!$C$23)</f>
        <v/>
      </c>
      <c r="Q3631" s="39">
        <f>IF($A3631="","",IF(O3631&lt;&gt;원인분석!$C$9,"",IF(AND(M3631&gt;=원인분석!$C$10,M3631&lt;=원인분석!$C$11),"당기",IF(AND(M3631&gt;=원인분석!$C$12,M3631&lt;=원인분석!$C$13),"비교",""))))</f>
        <v/>
      </c>
      <c r="R3631" s="9">
        <f>IF(Q3631="","",$K3631&amp;"")</f>
        <v/>
      </c>
      <c r="S3631" s="9">
        <f>IF(Q3631="","",IF(MATCH(R3631,$R$5:$R$100000,0)=ROW()-4,ROW(),""))</f>
        <v/>
      </c>
      <c r="T3631" s="9">
        <f>IF(Q3631="당기",ABS(P3631)+ROW()/1000000000,"")</f>
        <v/>
      </c>
      <c r="U3631" s="9">
        <f>IF(Q3631="비교",ABS(P3631)+ROW()/1000000000,"")</f>
        <v/>
      </c>
      <c r="V3631" s="39">
        <f>IF($A3631="","",IF(COUNTIF(변동분석!$E$7:$E$506,O3631)&gt;0,"Y","N"))</f>
        <v/>
      </c>
      <c r="W3631" s="39">
        <f>IF($A3631="","",IFERROR(INDEX(계정매핑!$D$5:$D$504,MATCH($F3631&amp;"",계정매핑!$A$5:$A$504,0)),"미매핑"))</f>
        <v/>
      </c>
      <c r="X3631" s="9">
        <f>IF($A3631="","",$F3631&amp;"")</f>
        <v/>
      </c>
    </row>
    <row r="3632">
      <c r="A3632" s="75" t="n">
        <v>2026</v>
      </c>
      <c r="B3632" s="75" t="n">
        <v>7</v>
      </c>
      <c r="C3632" s="75" t="inlineStr">
        <is>
          <t>5100001288</t>
        </is>
      </c>
      <c r="D3632" s="78" t="n">
        <v>46218</v>
      </c>
      <c r="E3632" s="75" t="inlineStr">
        <is>
          <t>KR</t>
        </is>
      </c>
      <c r="F3632" s="75" t="n">
        <v>62301000</v>
      </c>
      <c r="G3632" s="75" t="n">
        <v>1801</v>
      </c>
      <c r="H3632" s="76" t="n">
        <v>735000</v>
      </c>
      <c r="I3632" s="75" t="inlineStr">
        <is>
          <t>7월 소모품 구입 - R문구</t>
        </is>
      </c>
      <c r="J3632" s="75" t="inlineStr">
        <is>
          <t>V10018</t>
        </is>
      </c>
      <c r="K3632" s="75" t="inlineStr">
        <is>
          <t>R문구</t>
        </is>
      </c>
      <c r="M3632" s="9">
        <f>IF($A3632="","",VALUE($A3632&amp;"")*12+VALUE($B3632&amp;""))</f>
        <v/>
      </c>
      <c r="N3632" s="39">
        <f>IF($A3632="","",IFERROR(INDEX(부서매핑!$C$5:$C$504,MATCH($G3632&amp;"",부서매핑!$A$5:$A$504,0)),"미매핑"))</f>
        <v/>
      </c>
      <c r="O3632" s="9">
        <f>IF($A3632="","",N3632&amp;"|"&amp;$F3632)</f>
        <v/>
      </c>
      <c r="P3632" s="77">
        <f>IF($A3632="",0,$H3632*설정!$C$23)</f>
        <v/>
      </c>
      <c r="Q3632" s="39">
        <f>IF($A3632="","",IF(O3632&lt;&gt;원인분석!$C$9,"",IF(AND(M3632&gt;=원인분석!$C$10,M3632&lt;=원인분석!$C$11),"당기",IF(AND(M3632&gt;=원인분석!$C$12,M3632&lt;=원인분석!$C$13),"비교",""))))</f>
        <v/>
      </c>
      <c r="R3632" s="9">
        <f>IF(Q3632="","",$K3632&amp;"")</f>
        <v/>
      </c>
      <c r="S3632" s="9">
        <f>IF(Q3632="","",IF(MATCH(R3632,$R$5:$R$100000,0)=ROW()-4,ROW(),""))</f>
        <v/>
      </c>
      <c r="T3632" s="9">
        <f>IF(Q3632="당기",ABS(P3632)+ROW()/1000000000,"")</f>
        <v/>
      </c>
      <c r="U3632" s="9">
        <f>IF(Q3632="비교",ABS(P3632)+ROW()/1000000000,"")</f>
        <v/>
      </c>
      <c r="V3632" s="39">
        <f>IF($A3632="","",IF(COUNTIF(변동분석!$E$7:$E$506,O3632)&gt;0,"Y","N"))</f>
        <v/>
      </c>
      <c r="W3632" s="39">
        <f>IF($A3632="","",IFERROR(INDEX(계정매핑!$D$5:$D$504,MATCH($F3632&amp;"",계정매핑!$A$5:$A$504,0)),"미매핑"))</f>
        <v/>
      </c>
      <c r="X3632" s="9">
        <f>IF($A3632="","",$F3632&amp;"")</f>
        <v/>
      </c>
    </row>
    <row r="3633">
      <c r="A3633" s="75" t="n">
        <v>2026</v>
      </c>
      <c r="B3633" s="75" t="n">
        <v>7</v>
      </c>
      <c r="C3633" s="75" t="inlineStr">
        <is>
          <t>5100001289</t>
        </is>
      </c>
      <c r="D3633" s="78" t="n">
        <v>46218</v>
      </c>
      <c r="E3633" s="75" t="inlineStr">
        <is>
          <t>KR</t>
        </is>
      </c>
      <c r="F3633" s="75" t="n">
        <v>62501000</v>
      </c>
      <c r="G3633" s="75" t="n">
        <v>1201</v>
      </c>
      <c r="H3633" s="76" t="n">
        <v>139000</v>
      </c>
      <c r="I3633" s="75" t="inlineStr">
        <is>
          <t>7월 회의 다과 - T케이터링</t>
        </is>
      </c>
      <c r="J3633" s="75" t="inlineStr">
        <is>
          <t>V10005</t>
        </is>
      </c>
      <c r="K3633" s="75" t="inlineStr">
        <is>
          <t>T케이터링</t>
        </is>
      </c>
      <c r="M3633" s="9">
        <f>IF($A3633="","",VALUE($A3633&amp;"")*12+VALUE($B3633&amp;""))</f>
        <v/>
      </c>
      <c r="N3633" s="39">
        <f>IF($A3633="","",IFERROR(INDEX(부서매핑!$C$5:$C$504,MATCH($G3633&amp;"",부서매핑!$A$5:$A$504,0)),"미매핑"))</f>
        <v/>
      </c>
      <c r="O3633" s="9">
        <f>IF($A3633="","",N3633&amp;"|"&amp;$F3633)</f>
        <v/>
      </c>
      <c r="P3633" s="77">
        <f>IF($A3633="",0,$H3633*설정!$C$23)</f>
        <v/>
      </c>
      <c r="Q3633" s="39">
        <f>IF($A3633="","",IF(O3633&lt;&gt;원인분석!$C$9,"",IF(AND(M3633&gt;=원인분석!$C$10,M3633&lt;=원인분석!$C$11),"당기",IF(AND(M3633&gt;=원인분석!$C$12,M3633&lt;=원인분석!$C$13),"비교",""))))</f>
        <v/>
      </c>
      <c r="R3633" s="9">
        <f>IF(Q3633="","",$K3633&amp;"")</f>
        <v/>
      </c>
      <c r="S3633" s="9">
        <f>IF(Q3633="","",IF(MATCH(R3633,$R$5:$R$100000,0)=ROW()-4,ROW(),""))</f>
        <v/>
      </c>
      <c r="T3633" s="9">
        <f>IF(Q3633="당기",ABS(P3633)+ROW()/1000000000,"")</f>
        <v/>
      </c>
      <c r="U3633" s="9">
        <f>IF(Q3633="비교",ABS(P3633)+ROW()/1000000000,"")</f>
        <v/>
      </c>
      <c r="V3633" s="39">
        <f>IF($A3633="","",IF(COUNTIF(변동분석!$E$7:$E$506,O3633)&gt;0,"Y","N"))</f>
        <v/>
      </c>
      <c r="W3633" s="39">
        <f>IF($A3633="","",IFERROR(INDEX(계정매핑!$D$5:$D$504,MATCH($F3633&amp;"",계정매핑!$A$5:$A$504,0)),"미매핑"))</f>
        <v/>
      </c>
      <c r="X3633" s="9">
        <f>IF($A3633="","",$F3633&amp;"")</f>
        <v/>
      </c>
    </row>
    <row r="3634">
      <c r="A3634" s="75" t="n">
        <v>2026</v>
      </c>
      <c r="B3634" s="75" t="n">
        <v>7</v>
      </c>
      <c r="C3634" s="75" t="inlineStr">
        <is>
          <t>5100001290</t>
        </is>
      </c>
      <c r="D3634" s="78" t="n">
        <v>46218</v>
      </c>
      <c r="E3634" s="75" t="inlineStr">
        <is>
          <t>KR</t>
        </is>
      </c>
      <c r="F3634" s="75" t="n">
        <v>62501000</v>
      </c>
      <c r="G3634" s="75" t="n">
        <v>1701</v>
      </c>
      <c r="H3634" s="76" t="n">
        <v>76000</v>
      </c>
      <c r="I3634" s="75" t="inlineStr">
        <is>
          <t>7월 회의 다과 - T케이터링</t>
        </is>
      </c>
      <c r="J3634" s="75" t="inlineStr">
        <is>
          <t>V10005</t>
        </is>
      </c>
      <c r="K3634" s="75" t="inlineStr">
        <is>
          <t>T케이터링</t>
        </is>
      </c>
      <c r="M3634" s="9">
        <f>IF($A3634="","",VALUE($A3634&amp;"")*12+VALUE($B3634&amp;""))</f>
        <v/>
      </c>
      <c r="N3634" s="39">
        <f>IF($A3634="","",IFERROR(INDEX(부서매핑!$C$5:$C$504,MATCH($G3634&amp;"",부서매핑!$A$5:$A$504,0)),"미매핑"))</f>
        <v/>
      </c>
      <c r="O3634" s="9">
        <f>IF($A3634="","",N3634&amp;"|"&amp;$F3634)</f>
        <v/>
      </c>
      <c r="P3634" s="77">
        <f>IF($A3634="",0,$H3634*설정!$C$23)</f>
        <v/>
      </c>
      <c r="Q3634" s="39">
        <f>IF($A3634="","",IF(O3634&lt;&gt;원인분석!$C$9,"",IF(AND(M3634&gt;=원인분석!$C$10,M3634&lt;=원인분석!$C$11),"당기",IF(AND(M3634&gt;=원인분석!$C$12,M3634&lt;=원인분석!$C$13),"비교",""))))</f>
        <v/>
      </c>
      <c r="R3634" s="9">
        <f>IF(Q3634="","",$K3634&amp;"")</f>
        <v/>
      </c>
      <c r="S3634" s="9">
        <f>IF(Q3634="","",IF(MATCH(R3634,$R$5:$R$100000,0)=ROW()-4,ROW(),""))</f>
        <v/>
      </c>
      <c r="T3634" s="9">
        <f>IF(Q3634="당기",ABS(P3634)+ROW()/1000000000,"")</f>
        <v/>
      </c>
      <c r="U3634" s="9">
        <f>IF(Q3634="비교",ABS(P3634)+ROW()/1000000000,"")</f>
        <v/>
      </c>
      <c r="V3634" s="39">
        <f>IF($A3634="","",IF(COUNTIF(변동분석!$E$7:$E$506,O3634)&gt;0,"Y","N"))</f>
        <v/>
      </c>
      <c r="W3634" s="39">
        <f>IF($A3634="","",IFERROR(INDEX(계정매핑!$D$5:$D$504,MATCH($F3634&amp;"",계정매핑!$A$5:$A$504,0)),"미매핑"))</f>
        <v/>
      </c>
      <c r="X3634" s="9">
        <f>IF($A3634="","",$F3634&amp;"")</f>
        <v/>
      </c>
    </row>
    <row r="3635">
      <c r="A3635" s="75" t="n">
        <v>2026</v>
      </c>
      <c r="B3635" s="75" t="n">
        <v>7</v>
      </c>
      <c r="C3635" s="75" t="inlineStr">
        <is>
          <t>5100001291</t>
        </is>
      </c>
      <c r="D3635" s="78" t="n">
        <v>46218</v>
      </c>
      <c r="E3635" s="75" t="inlineStr">
        <is>
          <t>KR</t>
        </is>
      </c>
      <c r="F3635" s="75" t="n">
        <v>62901000</v>
      </c>
      <c r="G3635" s="75" t="n">
        <v>1801</v>
      </c>
      <c r="H3635" s="76" t="n">
        <v>13672000</v>
      </c>
      <c r="I3635" s="75" t="inlineStr">
        <is>
          <t>7월 자문 수수료 - K회계법인</t>
        </is>
      </c>
      <c r="J3635" s="75" t="inlineStr">
        <is>
          <t>V10010</t>
        </is>
      </c>
      <c r="K3635" s="75" t="inlineStr">
        <is>
          <t>K회계법인</t>
        </is>
      </c>
      <c r="M3635" s="9">
        <f>IF($A3635="","",VALUE($A3635&amp;"")*12+VALUE($B3635&amp;""))</f>
        <v/>
      </c>
      <c r="N3635" s="39">
        <f>IF($A3635="","",IFERROR(INDEX(부서매핑!$C$5:$C$504,MATCH($G3635&amp;"",부서매핑!$A$5:$A$504,0)),"미매핑"))</f>
        <v/>
      </c>
      <c r="O3635" s="9">
        <f>IF($A3635="","",N3635&amp;"|"&amp;$F3635)</f>
        <v/>
      </c>
      <c r="P3635" s="77">
        <f>IF($A3635="",0,$H3635*설정!$C$23)</f>
        <v/>
      </c>
      <c r="Q3635" s="39">
        <f>IF($A3635="","",IF(O3635&lt;&gt;원인분석!$C$9,"",IF(AND(M3635&gt;=원인분석!$C$10,M3635&lt;=원인분석!$C$11),"당기",IF(AND(M3635&gt;=원인분석!$C$12,M3635&lt;=원인분석!$C$13),"비교",""))))</f>
        <v/>
      </c>
      <c r="R3635" s="9">
        <f>IF(Q3635="","",$K3635&amp;"")</f>
        <v/>
      </c>
      <c r="S3635" s="9">
        <f>IF(Q3635="","",IF(MATCH(R3635,$R$5:$R$100000,0)=ROW()-4,ROW(),""))</f>
        <v/>
      </c>
      <c r="T3635" s="9">
        <f>IF(Q3635="당기",ABS(P3635)+ROW()/1000000000,"")</f>
        <v/>
      </c>
      <c r="U3635" s="9">
        <f>IF(Q3635="비교",ABS(P3635)+ROW()/1000000000,"")</f>
        <v/>
      </c>
      <c r="V3635" s="39">
        <f>IF($A3635="","",IF(COUNTIF(변동분석!$E$7:$E$506,O3635)&gt;0,"Y","N"))</f>
        <v/>
      </c>
      <c r="W3635" s="39">
        <f>IF($A3635="","",IFERROR(INDEX(계정매핑!$D$5:$D$504,MATCH($F3635&amp;"",계정매핑!$A$5:$A$504,0)),"미매핑"))</f>
        <v/>
      </c>
      <c r="X3635" s="9">
        <f>IF($A3635="","",$F3635&amp;"")</f>
        <v/>
      </c>
    </row>
    <row r="3636">
      <c r="A3636" s="75" t="n">
        <v>2026</v>
      </c>
      <c r="B3636" s="75" t="n">
        <v>7</v>
      </c>
      <c r="C3636" s="75" t="inlineStr">
        <is>
          <t>5100001292</t>
        </is>
      </c>
      <c r="D3636" s="78" t="n">
        <v>46219</v>
      </c>
      <c r="E3636" s="75" t="inlineStr">
        <is>
          <t>KR</t>
        </is>
      </c>
      <c r="F3636" s="75" t="n">
        <v>62101000</v>
      </c>
      <c r="G3636" s="75" t="n">
        <v>1601</v>
      </c>
      <c r="H3636" s="76" t="n">
        <v>971000</v>
      </c>
      <c r="I3636" s="75" t="inlineStr">
        <is>
          <t>7월 국내출장 - M항공</t>
        </is>
      </c>
      <c r="J3636" s="75" t="inlineStr">
        <is>
          <t>V10001</t>
        </is>
      </c>
      <c r="K3636" s="75" t="inlineStr">
        <is>
          <t>M항공</t>
        </is>
      </c>
      <c r="M3636" s="9">
        <f>IF($A3636="","",VALUE($A3636&amp;"")*12+VALUE($B3636&amp;""))</f>
        <v/>
      </c>
      <c r="N3636" s="39">
        <f>IF($A3636="","",IFERROR(INDEX(부서매핑!$C$5:$C$504,MATCH($G3636&amp;"",부서매핑!$A$5:$A$504,0)),"미매핑"))</f>
        <v/>
      </c>
      <c r="O3636" s="9">
        <f>IF($A3636="","",N3636&amp;"|"&amp;$F3636)</f>
        <v/>
      </c>
      <c r="P3636" s="77">
        <f>IF($A3636="",0,$H3636*설정!$C$23)</f>
        <v/>
      </c>
      <c r="Q3636" s="39">
        <f>IF($A3636="","",IF(O3636&lt;&gt;원인분석!$C$9,"",IF(AND(M3636&gt;=원인분석!$C$10,M3636&lt;=원인분석!$C$11),"당기",IF(AND(M3636&gt;=원인분석!$C$12,M3636&lt;=원인분석!$C$13),"비교",""))))</f>
        <v/>
      </c>
      <c r="R3636" s="9">
        <f>IF(Q3636="","",$K3636&amp;"")</f>
        <v/>
      </c>
      <c r="S3636" s="9">
        <f>IF(Q3636="","",IF(MATCH(R3636,$R$5:$R$100000,0)=ROW()-4,ROW(),""))</f>
        <v/>
      </c>
      <c r="T3636" s="9">
        <f>IF(Q3636="당기",ABS(P3636)+ROW()/1000000000,"")</f>
        <v/>
      </c>
      <c r="U3636" s="9">
        <f>IF(Q3636="비교",ABS(P3636)+ROW()/1000000000,"")</f>
        <v/>
      </c>
      <c r="V3636" s="39">
        <f>IF($A3636="","",IF(COUNTIF(변동분석!$E$7:$E$506,O3636)&gt;0,"Y","N"))</f>
        <v/>
      </c>
      <c r="W3636" s="39">
        <f>IF($A3636="","",IFERROR(INDEX(계정매핑!$D$5:$D$504,MATCH($F3636&amp;"",계정매핑!$A$5:$A$504,0)),"미매핑"))</f>
        <v/>
      </c>
      <c r="X3636" s="9">
        <f>IF($A3636="","",$F3636&amp;"")</f>
        <v/>
      </c>
    </row>
    <row r="3637">
      <c r="A3637" s="75" t="n">
        <v>2026</v>
      </c>
      <c r="B3637" s="75" t="n">
        <v>7</v>
      </c>
      <c r="C3637" s="75" t="inlineStr">
        <is>
          <t>5100001293</t>
        </is>
      </c>
      <c r="D3637" s="78" t="n">
        <v>46219</v>
      </c>
      <c r="E3637" s="75" t="inlineStr">
        <is>
          <t>KR</t>
        </is>
      </c>
      <c r="F3637" s="75" t="n">
        <v>62301000</v>
      </c>
      <c r="G3637" s="75" t="n">
        <v>1602</v>
      </c>
      <c r="H3637" s="76" t="n">
        <v>266000</v>
      </c>
      <c r="I3637" s="75" t="inlineStr">
        <is>
          <t>7월 소모품 구입 - R문구</t>
        </is>
      </c>
      <c r="J3637" s="75" t="inlineStr">
        <is>
          <t>V10018</t>
        </is>
      </c>
      <c r="K3637" s="75" t="inlineStr">
        <is>
          <t>R문구</t>
        </is>
      </c>
      <c r="M3637" s="9">
        <f>IF($A3637="","",VALUE($A3637&amp;"")*12+VALUE($B3637&amp;""))</f>
        <v/>
      </c>
      <c r="N3637" s="39">
        <f>IF($A3637="","",IFERROR(INDEX(부서매핑!$C$5:$C$504,MATCH($G3637&amp;"",부서매핑!$A$5:$A$504,0)),"미매핑"))</f>
        <v/>
      </c>
      <c r="O3637" s="9">
        <f>IF($A3637="","",N3637&amp;"|"&amp;$F3637)</f>
        <v/>
      </c>
      <c r="P3637" s="77">
        <f>IF($A3637="",0,$H3637*설정!$C$23)</f>
        <v/>
      </c>
      <c r="Q3637" s="39">
        <f>IF($A3637="","",IF(O3637&lt;&gt;원인분석!$C$9,"",IF(AND(M3637&gt;=원인분석!$C$10,M3637&lt;=원인분석!$C$11),"당기",IF(AND(M3637&gt;=원인분석!$C$12,M3637&lt;=원인분석!$C$13),"비교",""))))</f>
        <v/>
      </c>
      <c r="R3637" s="9">
        <f>IF(Q3637="","",$K3637&amp;"")</f>
        <v/>
      </c>
      <c r="S3637" s="9">
        <f>IF(Q3637="","",IF(MATCH(R3637,$R$5:$R$100000,0)=ROW()-4,ROW(),""))</f>
        <v/>
      </c>
      <c r="T3637" s="9">
        <f>IF(Q3637="당기",ABS(P3637)+ROW()/1000000000,"")</f>
        <v/>
      </c>
      <c r="U3637" s="9">
        <f>IF(Q3637="비교",ABS(P3637)+ROW()/1000000000,"")</f>
        <v/>
      </c>
      <c r="V3637" s="39">
        <f>IF($A3637="","",IF(COUNTIF(변동분석!$E$7:$E$506,O3637)&gt;0,"Y","N"))</f>
        <v/>
      </c>
      <c r="W3637" s="39">
        <f>IF($A3637="","",IFERROR(INDEX(계정매핑!$D$5:$D$504,MATCH($F3637&amp;"",계정매핑!$A$5:$A$504,0)),"미매핑"))</f>
        <v/>
      </c>
      <c r="X3637" s="9">
        <f>IF($A3637="","",$F3637&amp;"")</f>
        <v/>
      </c>
    </row>
    <row r="3638">
      <c r="A3638" s="75" t="n">
        <v>2026</v>
      </c>
      <c r="B3638" s="75" t="n">
        <v>7</v>
      </c>
      <c r="C3638" s="75" t="inlineStr">
        <is>
          <t>5100001294</t>
        </is>
      </c>
      <c r="D3638" s="78" t="n">
        <v>46219</v>
      </c>
      <c r="E3638" s="75" t="inlineStr">
        <is>
          <t>KR</t>
        </is>
      </c>
      <c r="F3638" s="75" t="n">
        <v>62501000</v>
      </c>
      <c r="G3638" s="75" t="n">
        <v>1201</v>
      </c>
      <c r="H3638" s="76" t="n">
        <v>83000</v>
      </c>
      <c r="I3638" s="75" t="inlineStr">
        <is>
          <t>7월 회의 다과 - T케이터링</t>
        </is>
      </c>
      <c r="J3638" s="75" t="inlineStr">
        <is>
          <t>V10005</t>
        </is>
      </c>
      <c r="K3638" s="75" t="inlineStr">
        <is>
          <t>T케이터링</t>
        </is>
      </c>
      <c r="M3638" s="9">
        <f>IF($A3638="","",VALUE($A3638&amp;"")*12+VALUE($B3638&amp;""))</f>
        <v/>
      </c>
      <c r="N3638" s="39">
        <f>IF($A3638="","",IFERROR(INDEX(부서매핑!$C$5:$C$504,MATCH($G3638&amp;"",부서매핑!$A$5:$A$504,0)),"미매핑"))</f>
        <v/>
      </c>
      <c r="O3638" s="9">
        <f>IF($A3638="","",N3638&amp;"|"&amp;$F3638)</f>
        <v/>
      </c>
      <c r="P3638" s="77">
        <f>IF($A3638="",0,$H3638*설정!$C$23)</f>
        <v/>
      </c>
      <c r="Q3638" s="39">
        <f>IF($A3638="","",IF(O3638&lt;&gt;원인분석!$C$9,"",IF(AND(M3638&gt;=원인분석!$C$10,M3638&lt;=원인분석!$C$11),"당기",IF(AND(M3638&gt;=원인분석!$C$12,M3638&lt;=원인분석!$C$13),"비교",""))))</f>
        <v/>
      </c>
      <c r="R3638" s="9">
        <f>IF(Q3638="","",$K3638&amp;"")</f>
        <v/>
      </c>
      <c r="S3638" s="9">
        <f>IF(Q3638="","",IF(MATCH(R3638,$R$5:$R$100000,0)=ROW()-4,ROW(),""))</f>
        <v/>
      </c>
      <c r="T3638" s="9">
        <f>IF(Q3638="당기",ABS(P3638)+ROW()/1000000000,"")</f>
        <v/>
      </c>
      <c r="U3638" s="9">
        <f>IF(Q3638="비교",ABS(P3638)+ROW()/1000000000,"")</f>
        <v/>
      </c>
      <c r="V3638" s="39">
        <f>IF($A3638="","",IF(COUNTIF(변동분석!$E$7:$E$506,O3638)&gt;0,"Y","N"))</f>
        <v/>
      </c>
      <c r="W3638" s="39">
        <f>IF($A3638="","",IFERROR(INDEX(계정매핑!$D$5:$D$504,MATCH($F3638&amp;"",계정매핑!$A$5:$A$504,0)),"미매핑"))</f>
        <v/>
      </c>
      <c r="X3638" s="9">
        <f>IF($A3638="","",$F3638&amp;"")</f>
        <v/>
      </c>
    </row>
    <row r="3639">
      <c r="A3639" s="75" t="n">
        <v>2026</v>
      </c>
      <c r="B3639" s="75" t="n">
        <v>7</v>
      </c>
      <c r="C3639" s="75" t="inlineStr">
        <is>
          <t>5100001295</t>
        </is>
      </c>
      <c r="D3639" s="78" t="n">
        <v>46219</v>
      </c>
      <c r="E3639" s="75" t="inlineStr">
        <is>
          <t>KR</t>
        </is>
      </c>
      <c r="F3639" s="75" t="n">
        <v>62501000</v>
      </c>
      <c r="G3639" s="75" t="n">
        <v>1701</v>
      </c>
      <c r="H3639" s="76" t="n">
        <v>72000</v>
      </c>
      <c r="I3639" s="75" t="inlineStr">
        <is>
          <t>7월 회의 다과 - T케이터링</t>
        </is>
      </c>
      <c r="J3639" s="75" t="inlineStr">
        <is>
          <t>V10005</t>
        </is>
      </c>
      <c r="K3639" s="75" t="inlineStr">
        <is>
          <t>T케이터링</t>
        </is>
      </c>
      <c r="M3639" s="9">
        <f>IF($A3639="","",VALUE($A3639&amp;"")*12+VALUE($B3639&amp;""))</f>
        <v/>
      </c>
      <c r="N3639" s="39">
        <f>IF($A3639="","",IFERROR(INDEX(부서매핑!$C$5:$C$504,MATCH($G3639&amp;"",부서매핑!$A$5:$A$504,0)),"미매핑"))</f>
        <v/>
      </c>
      <c r="O3639" s="9">
        <f>IF($A3639="","",N3639&amp;"|"&amp;$F3639)</f>
        <v/>
      </c>
      <c r="P3639" s="77">
        <f>IF($A3639="",0,$H3639*설정!$C$23)</f>
        <v/>
      </c>
      <c r="Q3639" s="39">
        <f>IF($A3639="","",IF(O3639&lt;&gt;원인분석!$C$9,"",IF(AND(M3639&gt;=원인분석!$C$10,M3639&lt;=원인분석!$C$11),"당기",IF(AND(M3639&gt;=원인분석!$C$12,M3639&lt;=원인분석!$C$13),"비교",""))))</f>
        <v/>
      </c>
      <c r="R3639" s="9">
        <f>IF(Q3639="","",$K3639&amp;"")</f>
        <v/>
      </c>
      <c r="S3639" s="9">
        <f>IF(Q3639="","",IF(MATCH(R3639,$R$5:$R$100000,0)=ROW()-4,ROW(),""))</f>
        <v/>
      </c>
      <c r="T3639" s="9">
        <f>IF(Q3639="당기",ABS(P3639)+ROW()/1000000000,"")</f>
        <v/>
      </c>
      <c r="U3639" s="9">
        <f>IF(Q3639="비교",ABS(P3639)+ROW()/1000000000,"")</f>
        <v/>
      </c>
      <c r="V3639" s="39">
        <f>IF($A3639="","",IF(COUNTIF(변동분석!$E$7:$E$506,O3639)&gt;0,"Y","N"))</f>
        <v/>
      </c>
      <c r="W3639" s="39">
        <f>IF($A3639="","",IFERROR(INDEX(계정매핑!$D$5:$D$504,MATCH($F3639&amp;"",계정매핑!$A$5:$A$504,0)),"미매핑"))</f>
        <v/>
      </c>
      <c r="X3639" s="9">
        <f>IF($A3639="","",$F3639&amp;"")</f>
        <v/>
      </c>
    </row>
    <row r="3640">
      <c r="A3640" s="75" t="n">
        <v>2026</v>
      </c>
      <c r="B3640" s="75" t="n">
        <v>7</v>
      </c>
      <c r="C3640" s="75" t="inlineStr">
        <is>
          <t>5100001296</t>
        </is>
      </c>
      <c r="D3640" s="78" t="n">
        <v>46220</v>
      </c>
      <c r="E3640" s="75" t="inlineStr">
        <is>
          <t>KR</t>
        </is>
      </c>
      <c r="F3640" s="75" t="n">
        <v>62101000</v>
      </c>
      <c r="G3640" s="75" t="n">
        <v>1502</v>
      </c>
      <c r="H3640" s="76" t="n">
        <v>493000</v>
      </c>
      <c r="I3640" s="75" t="inlineStr">
        <is>
          <t>7월 국내출장 - M항공</t>
        </is>
      </c>
      <c r="J3640" s="75" t="inlineStr">
        <is>
          <t>V10001</t>
        </is>
      </c>
      <c r="K3640" s="75" t="inlineStr">
        <is>
          <t>M항공</t>
        </is>
      </c>
      <c r="M3640" s="9">
        <f>IF($A3640="","",VALUE($A3640&amp;"")*12+VALUE($B3640&amp;""))</f>
        <v/>
      </c>
      <c r="N3640" s="39">
        <f>IF($A3640="","",IFERROR(INDEX(부서매핑!$C$5:$C$504,MATCH($G3640&amp;"",부서매핑!$A$5:$A$504,0)),"미매핑"))</f>
        <v/>
      </c>
      <c r="O3640" s="9">
        <f>IF($A3640="","",N3640&amp;"|"&amp;$F3640)</f>
        <v/>
      </c>
      <c r="P3640" s="77">
        <f>IF($A3640="",0,$H3640*설정!$C$23)</f>
        <v/>
      </c>
      <c r="Q3640" s="39">
        <f>IF($A3640="","",IF(O3640&lt;&gt;원인분석!$C$9,"",IF(AND(M3640&gt;=원인분석!$C$10,M3640&lt;=원인분석!$C$11),"당기",IF(AND(M3640&gt;=원인분석!$C$12,M3640&lt;=원인분석!$C$13),"비교",""))))</f>
        <v/>
      </c>
      <c r="R3640" s="9">
        <f>IF(Q3640="","",$K3640&amp;"")</f>
        <v/>
      </c>
      <c r="S3640" s="9">
        <f>IF(Q3640="","",IF(MATCH(R3640,$R$5:$R$100000,0)=ROW()-4,ROW(),""))</f>
        <v/>
      </c>
      <c r="T3640" s="9">
        <f>IF(Q3640="당기",ABS(P3640)+ROW()/1000000000,"")</f>
        <v/>
      </c>
      <c r="U3640" s="9">
        <f>IF(Q3640="비교",ABS(P3640)+ROW()/1000000000,"")</f>
        <v/>
      </c>
      <c r="V3640" s="39">
        <f>IF($A3640="","",IF(COUNTIF(변동분석!$E$7:$E$506,O3640)&gt;0,"Y","N"))</f>
        <v/>
      </c>
      <c r="W3640" s="39">
        <f>IF($A3640="","",IFERROR(INDEX(계정매핑!$D$5:$D$504,MATCH($F3640&amp;"",계정매핑!$A$5:$A$504,0)),"미매핑"))</f>
        <v/>
      </c>
      <c r="X3640" s="9">
        <f>IF($A3640="","",$F3640&amp;"")</f>
        <v/>
      </c>
    </row>
    <row r="3641">
      <c r="A3641" s="75" t="n">
        <v>2026</v>
      </c>
      <c r="B3641" s="75" t="n">
        <v>7</v>
      </c>
      <c r="C3641" s="75" t="inlineStr">
        <is>
          <t>5100001297</t>
        </is>
      </c>
      <c r="D3641" s="78" t="n">
        <v>46220</v>
      </c>
      <c r="E3641" s="75" t="inlineStr">
        <is>
          <t>KR</t>
        </is>
      </c>
      <c r="F3641" s="75" t="n">
        <v>62201000</v>
      </c>
      <c r="G3641" s="75" t="n">
        <v>1201</v>
      </c>
      <c r="H3641" s="76" t="n">
        <v>146000</v>
      </c>
      <c r="I3641" s="75" t="inlineStr">
        <is>
          <t>7월 통신요금 - O텔레콤</t>
        </is>
      </c>
      <c r="J3641" s="75" t="inlineStr">
        <is>
          <t>V10002</t>
        </is>
      </c>
      <c r="K3641" s="75" t="inlineStr">
        <is>
          <t>O텔레콤</t>
        </is>
      </c>
      <c r="M3641" s="9">
        <f>IF($A3641="","",VALUE($A3641&amp;"")*12+VALUE($B3641&amp;""))</f>
        <v/>
      </c>
      <c r="N3641" s="39">
        <f>IF($A3641="","",IFERROR(INDEX(부서매핑!$C$5:$C$504,MATCH($G3641&amp;"",부서매핑!$A$5:$A$504,0)),"미매핑"))</f>
        <v/>
      </c>
      <c r="O3641" s="9">
        <f>IF($A3641="","",N3641&amp;"|"&amp;$F3641)</f>
        <v/>
      </c>
      <c r="P3641" s="77">
        <f>IF($A3641="",0,$H3641*설정!$C$23)</f>
        <v/>
      </c>
      <c r="Q3641" s="39">
        <f>IF($A3641="","",IF(O3641&lt;&gt;원인분석!$C$9,"",IF(AND(M3641&gt;=원인분석!$C$10,M3641&lt;=원인분석!$C$11),"당기",IF(AND(M3641&gt;=원인분석!$C$12,M3641&lt;=원인분석!$C$13),"비교",""))))</f>
        <v/>
      </c>
      <c r="R3641" s="9">
        <f>IF(Q3641="","",$K3641&amp;"")</f>
        <v/>
      </c>
      <c r="S3641" s="9">
        <f>IF(Q3641="","",IF(MATCH(R3641,$R$5:$R$100000,0)=ROW()-4,ROW(),""))</f>
        <v/>
      </c>
      <c r="T3641" s="9">
        <f>IF(Q3641="당기",ABS(P3641)+ROW()/1000000000,"")</f>
        <v/>
      </c>
      <c r="U3641" s="9">
        <f>IF(Q3641="비교",ABS(P3641)+ROW()/1000000000,"")</f>
        <v/>
      </c>
      <c r="V3641" s="39">
        <f>IF($A3641="","",IF(COUNTIF(변동분석!$E$7:$E$506,O3641)&gt;0,"Y","N"))</f>
        <v/>
      </c>
      <c r="W3641" s="39">
        <f>IF($A3641="","",IFERROR(INDEX(계정매핑!$D$5:$D$504,MATCH($F3641&amp;"",계정매핑!$A$5:$A$504,0)),"미매핑"))</f>
        <v/>
      </c>
      <c r="X3641" s="9">
        <f>IF($A3641="","",$F3641&amp;"")</f>
        <v/>
      </c>
    </row>
    <row r="3642">
      <c r="A3642" s="75" t="n">
        <v>2026</v>
      </c>
      <c r="B3642" s="75" t="n">
        <v>7</v>
      </c>
      <c r="C3642" s="75" t="inlineStr">
        <is>
          <t>5100001298</t>
        </is>
      </c>
      <c r="D3642" s="78" t="n">
        <v>46220</v>
      </c>
      <c r="E3642" s="75" t="inlineStr">
        <is>
          <t>KR</t>
        </is>
      </c>
      <c r="F3642" s="75" t="n">
        <v>62201000</v>
      </c>
      <c r="G3642" s="75" t="n">
        <v>1401</v>
      </c>
      <c r="H3642" s="76" t="n">
        <v>304000</v>
      </c>
      <c r="I3642" s="75" t="inlineStr">
        <is>
          <t>7월 통신요금 - O텔레콤</t>
        </is>
      </c>
      <c r="J3642" s="75" t="inlineStr">
        <is>
          <t>V10002</t>
        </is>
      </c>
      <c r="K3642" s="75" t="inlineStr">
        <is>
          <t>O텔레콤</t>
        </is>
      </c>
      <c r="M3642" s="9">
        <f>IF($A3642="","",VALUE($A3642&amp;"")*12+VALUE($B3642&amp;""))</f>
        <v/>
      </c>
      <c r="N3642" s="39">
        <f>IF($A3642="","",IFERROR(INDEX(부서매핑!$C$5:$C$504,MATCH($G3642&amp;"",부서매핑!$A$5:$A$504,0)),"미매핑"))</f>
        <v/>
      </c>
      <c r="O3642" s="9">
        <f>IF($A3642="","",N3642&amp;"|"&amp;$F3642)</f>
        <v/>
      </c>
      <c r="P3642" s="77">
        <f>IF($A3642="",0,$H3642*설정!$C$23)</f>
        <v/>
      </c>
      <c r="Q3642" s="39">
        <f>IF($A3642="","",IF(O3642&lt;&gt;원인분석!$C$9,"",IF(AND(M3642&gt;=원인분석!$C$10,M3642&lt;=원인분석!$C$11),"당기",IF(AND(M3642&gt;=원인분석!$C$12,M3642&lt;=원인분석!$C$13),"비교",""))))</f>
        <v/>
      </c>
      <c r="R3642" s="9">
        <f>IF(Q3642="","",$K3642&amp;"")</f>
        <v/>
      </c>
      <c r="S3642" s="9">
        <f>IF(Q3642="","",IF(MATCH(R3642,$R$5:$R$100000,0)=ROW()-4,ROW(),""))</f>
        <v/>
      </c>
      <c r="T3642" s="9">
        <f>IF(Q3642="당기",ABS(P3642)+ROW()/1000000000,"")</f>
        <v/>
      </c>
      <c r="U3642" s="9">
        <f>IF(Q3642="비교",ABS(P3642)+ROW()/1000000000,"")</f>
        <v/>
      </c>
      <c r="V3642" s="39">
        <f>IF($A3642="","",IF(COUNTIF(변동분석!$E$7:$E$506,O3642)&gt;0,"Y","N"))</f>
        <v/>
      </c>
      <c r="W3642" s="39">
        <f>IF($A3642="","",IFERROR(INDEX(계정매핑!$D$5:$D$504,MATCH($F3642&amp;"",계정매핑!$A$5:$A$504,0)),"미매핑"))</f>
        <v/>
      </c>
      <c r="X3642" s="9">
        <f>IF($A3642="","",$F3642&amp;"")</f>
        <v/>
      </c>
    </row>
    <row r="3643">
      <c r="A3643" s="75" t="n">
        <v>2026</v>
      </c>
      <c r="B3643" s="75" t="n">
        <v>7</v>
      </c>
      <c r="C3643" s="75" t="inlineStr">
        <is>
          <t>5100001299</t>
        </is>
      </c>
      <c r="D3643" s="78" t="n">
        <v>46220</v>
      </c>
      <c r="E3643" s="75" t="inlineStr">
        <is>
          <t>KR</t>
        </is>
      </c>
      <c r="F3643" s="75" t="n">
        <v>62201000</v>
      </c>
      <c r="G3643" s="75" t="n">
        <v>1501</v>
      </c>
      <c r="H3643" s="76" t="n">
        <v>292000</v>
      </c>
      <c r="I3643" s="75" t="inlineStr">
        <is>
          <t>7월 통신요금 - P통신</t>
        </is>
      </c>
      <c r="J3643" s="75" t="inlineStr">
        <is>
          <t>V10011</t>
        </is>
      </c>
      <c r="K3643" s="75" t="inlineStr">
        <is>
          <t>P통신</t>
        </is>
      </c>
      <c r="M3643" s="9">
        <f>IF($A3643="","",VALUE($A3643&amp;"")*12+VALUE($B3643&amp;""))</f>
        <v/>
      </c>
      <c r="N3643" s="39">
        <f>IF($A3643="","",IFERROR(INDEX(부서매핑!$C$5:$C$504,MATCH($G3643&amp;"",부서매핑!$A$5:$A$504,0)),"미매핑"))</f>
        <v/>
      </c>
      <c r="O3643" s="9">
        <f>IF($A3643="","",N3643&amp;"|"&amp;$F3643)</f>
        <v/>
      </c>
      <c r="P3643" s="77">
        <f>IF($A3643="",0,$H3643*설정!$C$23)</f>
        <v/>
      </c>
      <c r="Q3643" s="39">
        <f>IF($A3643="","",IF(O3643&lt;&gt;원인분석!$C$9,"",IF(AND(M3643&gt;=원인분석!$C$10,M3643&lt;=원인분석!$C$11),"당기",IF(AND(M3643&gt;=원인분석!$C$12,M3643&lt;=원인분석!$C$13),"비교",""))))</f>
        <v/>
      </c>
      <c r="R3643" s="9">
        <f>IF(Q3643="","",$K3643&amp;"")</f>
        <v/>
      </c>
      <c r="S3643" s="9">
        <f>IF(Q3643="","",IF(MATCH(R3643,$R$5:$R$100000,0)=ROW()-4,ROW(),""))</f>
        <v/>
      </c>
      <c r="T3643" s="9">
        <f>IF(Q3643="당기",ABS(P3643)+ROW()/1000000000,"")</f>
        <v/>
      </c>
      <c r="U3643" s="9">
        <f>IF(Q3643="비교",ABS(P3643)+ROW()/1000000000,"")</f>
        <v/>
      </c>
      <c r="V3643" s="39">
        <f>IF($A3643="","",IF(COUNTIF(변동분석!$E$7:$E$506,O3643)&gt;0,"Y","N"))</f>
        <v/>
      </c>
      <c r="W3643" s="39">
        <f>IF($A3643="","",IFERROR(INDEX(계정매핑!$D$5:$D$504,MATCH($F3643&amp;"",계정매핑!$A$5:$A$504,0)),"미매핑"))</f>
        <v/>
      </c>
      <c r="X3643" s="9">
        <f>IF($A3643="","",$F3643&amp;"")</f>
        <v/>
      </c>
    </row>
    <row r="3644">
      <c r="A3644" s="75" t="n">
        <v>2026</v>
      </c>
      <c r="B3644" s="75" t="n">
        <v>7</v>
      </c>
      <c r="C3644" s="75" t="inlineStr">
        <is>
          <t>5100001300</t>
        </is>
      </c>
      <c r="D3644" s="78" t="n">
        <v>46220</v>
      </c>
      <c r="E3644" s="75" t="inlineStr">
        <is>
          <t>KR</t>
        </is>
      </c>
      <c r="F3644" s="75" t="n">
        <v>62501000</v>
      </c>
      <c r="G3644" s="75" t="n">
        <v>1101</v>
      </c>
      <c r="H3644" s="76" t="n">
        <v>330000</v>
      </c>
      <c r="I3644" s="75" t="inlineStr">
        <is>
          <t>7월 회의 다과 - T케이터링</t>
        </is>
      </c>
      <c r="J3644" s="75" t="inlineStr">
        <is>
          <t>V10005</t>
        </is>
      </c>
      <c r="K3644" s="75" t="inlineStr">
        <is>
          <t>T케이터링</t>
        </is>
      </c>
      <c r="M3644" s="9">
        <f>IF($A3644="","",VALUE($A3644&amp;"")*12+VALUE($B3644&amp;""))</f>
        <v/>
      </c>
      <c r="N3644" s="39">
        <f>IF($A3644="","",IFERROR(INDEX(부서매핑!$C$5:$C$504,MATCH($G3644&amp;"",부서매핑!$A$5:$A$504,0)),"미매핑"))</f>
        <v/>
      </c>
      <c r="O3644" s="9">
        <f>IF($A3644="","",N3644&amp;"|"&amp;$F3644)</f>
        <v/>
      </c>
      <c r="P3644" s="77">
        <f>IF($A3644="",0,$H3644*설정!$C$23)</f>
        <v/>
      </c>
      <c r="Q3644" s="39">
        <f>IF($A3644="","",IF(O3644&lt;&gt;원인분석!$C$9,"",IF(AND(M3644&gt;=원인분석!$C$10,M3644&lt;=원인분석!$C$11),"당기",IF(AND(M3644&gt;=원인분석!$C$12,M3644&lt;=원인분석!$C$13),"비교",""))))</f>
        <v/>
      </c>
      <c r="R3644" s="9">
        <f>IF(Q3644="","",$K3644&amp;"")</f>
        <v/>
      </c>
      <c r="S3644" s="9">
        <f>IF(Q3644="","",IF(MATCH(R3644,$R$5:$R$100000,0)=ROW()-4,ROW(),""))</f>
        <v/>
      </c>
      <c r="T3644" s="9">
        <f>IF(Q3644="당기",ABS(P3644)+ROW()/1000000000,"")</f>
        <v/>
      </c>
      <c r="U3644" s="9">
        <f>IF(Q3644="비교",ABS(P3644)+ROW()/1000000000,"")</f>
        <v/>
      </c>
      <c r="V3644" s="39">
        <f>IF($A3644="","",IF(COUNTIF(변동분석!$E$7:$E$506,O3644)&gt;0,"Y","N"))</f>
        <v/>
      </c>
      <c r="W3644" s="39">
        <f>IF($A3644="","",IFERROR(INDEX(계정매핑!$D$5:$D$504,MATCH($F3644&amp;"",계정매핑!$A$5:$A$504,0)),"미매핑"))</f>
        <v/>
      </c>
      <c r="X3644" s="9">
        <f>IF($A3644="","",$F3644&amp;"")</f>
        <v/>
      </c>
    </row>
    <row r="3645">
      <c r="A3645" s="75" t="n">
        <v>2026</v>
      </c>
      <c r="B3645" s="75" t="n">
        <v>7</v>
      </c>
      <c r="C3645" s="75" t="inlineStr">
        <is>
          <t>5100001301</t>
        </is>
      </c>
      <c r="D3645" s="78" t="n">
        <v>46220</v>
      </c>
      <c r="E3645" s="75" t="inlineStr">
        <is>
          <t>KR</t>
        </is>
      </c>
      <c r="F3645" s="75" t="n">
        <v>62501000</v>
      </c>
      <c r="G3645" s="75" t="n">
        <v>1301</v>
      </c>
      <c r="H3645" s="76" t="n">
        <v>269000</v>
      </c>
      <c r="I3645" s="75" t="inlineStr">
        <is>
          <t>7월 회의 다과 - T케이터링</t>
        </is>
      </c>
      <c r="J3645" s="75" t="inlineStr">
        <is>
          <t>V10005</t>
        </is>
      </c>
      <c r="K3645" s="75" t="inlineStr">
        <is>
          <t>T케이터링</t>
        </is>
      </c>
      <c r="M3645" s="9">
        <f>IF($A3645="","",VALUE($A3645&amp;"")*12+VALUE($B3645&amp;""))</f>
        <v/>
      </c>
      <c r="N3645" s="39">
        <f>IF($A3645="","",IFERROR(INDEX(부서매핑!$C$5:$C$504,MATCH($G3645&amp;"",부서매핑!$A$5:$A$504,0)),"미매핑"))</f>
        <v/>
      </c>
      <c r="O3645" s="9">
        <f>IF($A3645="","",N3645&amp;"|"&amp;$F3645)</f>
        <v/>
      </c>
      <c r="P3645" s="77">
        <f>IF($A3645="",0,$H3645*설정!$C$23)</f>
        <v/>
      </c>
      <c r="Q3645" s="39">
        <f>IF($A3645="","",IF(O3645&lt;&gt;원인분석!$C$9,"",IF(AND(M3645&gt;=원인분석!$C$10,M3645&lt;=원인분석!$C$11),"당기",IF(AND(M3645&gt;=원인분석!$C$12,M3645&lt;=원인분석!$C$13),"비교",""))))</f>
        <v/>
      </c>
      <c r="R3645" s="9">
        <f>IF(Q3645="","",$K3645&amp;"")</f>
        <v/>
      </c>
      <c r="S3645" s="9">
        <f>IF(Q3645="","",IF(MATCH(R3645,$R$5:$R$100000,0)=ROW()-4,ROW(),""))</f>
        <v/>
      </c>
      <c r="T3645" s="9">
        <f>IF(Q3645="당기",ABS(P3645)+ROW()/1000000000,"")</f>
        <v/>
      </c>
      <c r="U3645" s="9">
        <f>IF(Q3645="비교",ABS(P3645)+ROW()/1000000000,"")</f>
        <v/>
      </c>
      <c r="V3645" s="39">
        <f>IF($A3645="","",IF(COUNTIF(변동분석!$E$7:$E$506,O3645)&gt;0,"Y","N"))</f>
        <v/>
      </c>
      <c r="W3645" s="39">
        <f>IF($A3645="","",IFERROR(INDEX(계정매핑!$D$5:$D$504,MATCH($F3645&amp;"",계정매핑!$A$5:$A$504,0)),"미매핑"))</f>
        <v/>
      </c>
      <c r="X3645" s="9">
        <f>IF($A3645="","",$F3645&amp;"")</f>
        <v/>
      </c>
    </row>
    <row r="3646">
      <c r="A3646" s="75" t="n">
        <v>2026</v>
      </c>
      <c r="B3646" s="75" t="n">
        <v>7</v>
      </c>
      <c r="C3646" s="75" t="inlineStr">
        <is>
          <t>5100001302</t>
        </is>
      </c>
      <c r="D3646" s="78" t="n">
        <v>46220</v>
      </c>
      <c r="E3646" s="75" t="inlineStr">
        <is>
          <t>KR</t>
        </is>
      </c>
      <c r="F3646" s="75" t="n">
        <v>62601000</v>
      </c>
      <c r="G3646" s="75" t="n">
        <v>1101</v>
      </c>
      <c r="H3646" s="76" t="n">
        <v>3356000</v>
      </c>
      <c r="I3646" s="75" t="inlineStr">
        <is>
          <t>7월 업무추진 - (법인카드)</t>
        </is>
      </c>
      <c r="J3646" s="75" t="inlineStr">
        <is>
          <t>V10008</t>
        </is>
      </c>
      <c r="K3646" s="75" t="inlineStr">
        <is>
          <t>(법인카드)</t>
        </is>
      </c>
      <c r="M3646" s="9">
        <f>IF($A3646="","",VALUE($A3646&amp;"")*12+VALUE($B3646&amp;""))</f>
        <v/>
      </c>
      <c r="N3646" s="39">
        <f>IF($A3646="","",IFERROR(INDEX(부서매핑!$C$5:$C$504,MATCH($G3646&amp;"",부서매핑!$A$5:$A$504,0)),"미매핑"))</f>
        <v/>
      </c>
      <c r="O3646" s="9">
        <f>IF($A3646="","",N3646&amp;"|"&amp;$F3646)</f>
        <v/>
      </c>
      <c r="P3646" s="77">
        <f>IF($A3646="",0,$H3646*설정!$C$23)</f>
        <v/>
      </c>
      <c r="Q3646" s="39">
        <f>IF($A3646="","",IF(O3646&lt;&gt;원인분석!$C$9,"",IF(AND(M3646&gt;=원인분석!$C$10,M3646&lt;=원인분석!$C$11),"당기",IF(AND(M3646&gt;=원인분석!$C$12,M3646&lt;=원인분석!$C$13),"비교",""))))</f>
        <v/>
      </c>
      <c r="R3646" s="9">
        <f>IF(Q3646="","",$K3646&amp;"")</f>
        <v/>
      </c>
      <c r="S3646" s="9">
        <f>IF(Q3646="","",IF(MATCH(R3646,$R$5:$R$100000,0)=ROW()-4,ROW(),""))</f>
        <v/>
      </c>
      <c r="T3646" s="9">
        <f>IF(Q3646="당기",ABS(P3646)+ROW()/1000000000,"")</f>
        <v/>
      </c>
      <c r="U3646" s="9">
        <f>IF(Q3646="비교",ABS(P3646)+ROW()/1000000000,"")</f>
        <v/>
      </c>
      <c r="V3646" s="39">
        <f>IF($A3646="","",IF(COUNTIF(변동분석!$E$7:$E$506,O3646)&gt;0,"Y","N"))</f>
        <v/>
      </c>
      <c r="W3646" s="39">
        <f>IF($A3646="","",IFERROR(INDEX(계정매핑!$D$5:$D$504,MATCH($F3646&amp;"",계정매핑!$A$5:$A$504,0)),"미매핑"))</f>
        <v/>
      </c>
      <c r="X3646" s="9">
        <f>IF($A3646="","",$F3646&amp;"")</f>
        <v/>
      </c>
    </row>
    <row r="3647">
      <c r="A3647" s="75" t="n">
        <v>2026</v>
      </c>
      <c r="B3647" s="75" t="n">
        <v>7</v>
      </c>
      <c r="C3647" s="75" t="inlineStr">
        <is>
          <t>5100001303</t>
        </is>
      </c>
      <c r="D3647" s="78" t="n">
        <v>46221</v>
      </c>
      <c r="E3647" s="75" t="inlineStr">
        <is>
          <t>KR</t>
        </is>
      </c>
      <c r="F3647" s="75" t="n">
        <v>62101000</v>
      </c>
      <c r="G3647" s="75" t="n">
        <v>1101</v>
      </c>
      <c r="H3647" s="76" t="n">
        <v>424000</v>
      </c>
      <c r="I3647" s="75" t="inlineStr">
        <is>
          <t>7월 국내출장 - L여행사</t>
        </is>
      </c>
      <c r="J3647" s="75" t="inlineStr">
        <is>
          <t>V10014</t>
        </is>
      </c>
      <c r="K3647" s="75" t="inlineStr">
        <is>
          <t>L여행사</t>
        </is>
      </c>
      <c r="M3647" s="9">
        <f>IF($A3647="","",VALUE($A3647&amp;"")*12+VALUE($B3647&amp;""))</f>
        <v/>
      </c>
      <c r="N3647" s="39">
        <f>IF($A3647="","",IFERROR(INDEX(부서매핑!$C$5:$C$504,MATCH($G3647&amp;"",부서매핑!$A$5:$A$504,0)),"미매핑"))</f>
        <v/>
      </c>
      <c r="O3647" s="9">
        <f>IF($A3647="","",N3647&amp;"|"&amp;$F3647)</f>
        <v/>
      </c>
      <c r="P3647" s="77">
        <f>IF($A3647="",0,$H3647*설정!$C$23)</f>
        <v/>
      </c>
      <c r="Q3647" s="39">
        <f>IF($A3647="","",IF(O3647&lt;&gt;원인분석!$C$9,"",IF(AND(M3647&gt;=원인분석!$C$10,M3647&lt;=원인분석!$C$11),"당기",IF(AND(M3647&gt;=원인분석!$C$12,M3647&lt;=원인분석!$C$13),"비교",""))))</f>
        <v/>
      </c>
      <c r="R3647" s="9">
        <f>IF(Q3647="","",$K3647&amp;"")</f>
        <v/>
      </c>
      <c r="S3647" s="9">
        <f>IF(Q3647="","",IF(MATCH(R3647,$R$5:$R$100000,0)=ROW()-4,ROW(),""))</f>
        <v/>
      </c>
      <c r="T3647" s="9">
        <f>IF(Q3647="당기",ABS(P3647)+ROW()/1000000000,"")</f>
        <v/>
      </c>
      <c r="U3647" s="9">
        <f>IF(Q3647="비교",ABS(P3647)+ROW()/1000000000,"")</f>
        <v/>
      </c>
      <c r="V3647" s="39">
        <f>IF($A3647="","",IF(COUNTIF(변동분석!$E$7:$E$506,O3647)&gt;0,"Y","N"))</f>
        <v/>
      </c>
      <c r="W3647" s="39">
        <f>IF($A3647="","",IFERROR(INDEX(계정매핑!$D$5:$D$504,MATCH($F3647&amp;"",계정매핑!$A$5:$A$504,0)),"미매핑"))</f>
        <v/>
      </c>
      <c r="X3647" s="9">
        <f>IF($A3647="","",$F3647&amp;"")</f>
        <v/>
      </c>
    </row>
    <row r="3648">
      <c r="A3648" s="75" t="n">
        <v>2026</v>
      </c>
      <c r="B3648" s="75" t="n">
        <v>7</v>
      </c>
      <c r="C3648" s="75" t="inlineStr">
        <is>
          <t>5100001304</t>
        </is>
      </c>
      <c r="D3648" s="78" t="n">
        <v>46221</v>
      </c>
      <c r="E3648" s="75" t="inlineStr">
        <is>
          <t>KR</t>
        </is>
      </c>
      <c r="F3648" s="75" t="n">
        <v>62101000</v>
      </c>
      <c r="G3648" s="75" t="n">
        <v>1401</v>
      </c>
      <c r="H3648" s="76" t="n">
        <v>418000</v>
      </c>
      <c r="I3648" s="75" t="inlineStr">
        <is>
          <t>7월 국내출장 - L여행사</t>
        </is>
      </c>
      <c r="J3648" s="75" t="inlineStr">
        <is>
          <t>V10014</t>
        </is>
      </c>
      <c r="K3648" s="75" t="inlineStr">
        <is>
          <t>L여행사</t>
        </is>
      </c>
      <c r="M3648" s="9">
        <f>IF($A3648="","",VALUE($A3648&amp;"")*12+VALUE($B3648&amp;""))</f>
        <v/>
      </c>
      <c r="N3648" s="39">
        <f>IF($A3648="","",IFERROR(INDEX(부서매핑!$C$5:$C$504,MATCH($G3648&amp;"",부서매핑!$A$5:$A$504,0)),"미매핑"))</f>
        <v/>
      </c>
      <c r="O3648" s="9">
        <f>IF($A3648="","",N3648&amp;"|"&amp;$F3648)</f>
        <v/>
      </c>
      <c r="P3648" s="77">
        <f>IF($A3648="",0,$H3648*설정!$C$23)</f>
        <v/>
      </c>
      <c r="Q3648" s="39">
        <f>IF($A3648="","",IF(O3648&lt;&gt;원인분석!$C$9,"",IF(AND(M3648&gt;=원인분석!$C$10,M3648&lt;=원인분석!$C$11),"당기",IF(AND(M3648&gt;=원인분석!$C$12,M3648&lt;=원인분석!$C$13),"비교",""))))</f>
        <v/>
      </c>
      <c r="R3648" s="9">
        <f>IF(Q3648="","",$K3648&amp;"")</f>
        <v/>
      </c>
      <c r="S3648" s="9">
        <f>IF(Q3648="","",IF(MATCH(R3648,$R$5:$R$100000,0)=ROW()-4,ROW(),""))</f>
        <v/>
      </c>
      <c r="T3648" s="9">
        <f>IF(Q3648="당기",ABS(P3648)+ROW()/1000000000,"")</f>
        <v/>
      </c>
      <c r="U3648" s="9">
        <f>IF(Q3648="비교",ABS(P3648)+ROW()/1000000000,"")</f>
        <v/>
      </c>
      <c r="V3648" s="39">
        <f>IF($A3648="","",IF(COUNTIF(변동분석!$E$7:$E$506,O3648)&gt;0,"Y","N"))</f>
        <v/>
      </c>
      <c r="W3648" s="39">
        <f>IF($A3648="","",IFERROR(INDEX(계정매핑!$D$5:$D$504,MATCH($F3648&amp;"",계정매핑!$A$5:$A$504,0)),"미매핑"))</f>
        <v/>
      </c>
      <c r="X3648" s="9">
        <f>IF($A3648="","",$F3648&amp;"")</f>
        <v/>
      </c>
    </row>
    <row r="3649">
      <c r="A3649" s="75" t="n">
        <v>2026</v>
      </c>
      <c r="B3649" s="75" t="n">
        <v>7</v>
      </c>
      <c r="C3649" s="75" t="inlineStr">
        <is>
          <t>5100001305</t>
        </is>
      </c>
      <c r="D3649" s="78" t="n">
        <v>46221</v>
      </c>
      <c r="E3649" s="75" t="inlineStr">
        <is>
          <t>KR</t>
        </is>
      </c>
      <c r="F3649" s="75" t="n">
        <v>62101000</v>
      </c>
      <c r="G3649" s="75" t="n">
        <v>1602</v>
      </c>
      <c r="H3649" s="76" t="n">
        <v>742000</v>
      </c>
      <c r="I3649" s="75" t="inlineStr">
        <is>
          <t>7월 국내출장 - L여행사</t>
        </is>
      </c>
      <c r="J3649" s="75" t="inlineStr">
        <is>
          <t>V10014</t>
        </is>
      </c>
      <c r="K3649" s="75" t="inlineStr">
        <is>
          <t>L여행사</t>
        </is>
      </c>
      <c r="M3649" s="9">
        <f>IF($A3649="","",VALUE($A3649&amp;"")*12+VALUE($B3649&amp;""))</f>
        <v/>
      </c>
      <c r="N3649" s="39">
        <f>IF($A3649="","",IFERROR(INDEX(부서매핑!$C$5:$C$504,MATCH($G3649&amp;"",부서매핑!$A$5:$A$504,0)),"미매핑"))</f>
        <v/>
      </c>
      <c r="O3649" s="9">
        <f>IF($A3649="","",N3649&amp;"|"&amp;$F3649)</f>
        <v/>
      </c>
      <c r="P3649" s="77">
        <f>IF($A3649="",0,$H3649*설정!$C$23)</f>
        <v/>
      </c>
      <c r="Q3649" s="39">
        <f>IF($A3649="","",IF(O3649&lt;&gt;원인분석!$C$9,"",IF(AND(M3649&gt;=원인분석!$C$10,M3649&lt;=원인분석!$C$11),"당기",IF(AND(M3649&gt;=원인분석!$C$12,M3649&lt;=원인분석!$C$13),"비교",""))))</f>
        <v/>
      </c>
      <c r="R3649" s="9">
        <f>IF(Q3649="","",$K3649&amp;"")</f>
        <v/>
      </c>
      <c r="S3649" s="9">
        <f>IF(Q3649="","",IF(MATCH(R3649,$R$5:$R$100000,0)=ROW()-4,ROW(),""))</f>
        <v/>
      </c>
      <c r="T3649" s="9">
        <f>IF(Q3649="당기",ABS(P3649)+ROW()/1000000000,"")</f>
        <v/>
      </c>
      <c r="U3649" s="9">
        <f>IF(Q3649="비교",ABS(P3649)+ROW()/1000000000,"")</f>
        <v/>
      </c>
      <c r="V3649" s="39">
        <f>IF($A3649="","",IF(COUNTIF(변동분석!$E$7:$E$506,O3649)&gt;0,"Y","N"))</f>
        <v/>
      </c>
      <c r="W3649" s="39">
        <f>IF($A3649="","",IFERROR(INDEX(계정매핑!$D$5:$D$504,MATCH($F3649&amp;"",계정매핑!$A$5:$A$504,0)),"미매핑"))</f>
        <v/>
      </c>
      <c r="X3649" s="9">
        <f>IF($A3649="","",$F3649&amp;"")</f>
        <v/>
      </c>
    </row>
    <row r="3650">
      <c r="A3650" s="75" t="n">
        <v>2026</v>
      </c>
      <c r="B3650" s="75" t="n">
        <v>7</v>
      </c>
      <c r="C3650" s="75" t="inlineStr">
        <is>
          <t>5100001306</t>
        </is>
      </c>
      <c r="D3650" s="78" t="n">
        <v>46221</v>
      </c>
      <c r="E3650" s="75" t="inlineStr">
        <is>
          <t>KR</t>
        </is>
      </c>
      <c r="F3650" s="75" t="n">
        <v>62101000</v>
      </c>
      <c r="G3650" s="75" t="n">
        <v>1701</v>
      </c>
      <c r="H3650" s="76" t="n">
        <v>200000</v>
      </c>
      <c r="I3650" s="75" t="inlineStr">
        <is>
          <t>7월 국내출장 - L여행사</t>
        </is>
      </c>
      <c r="J3650" s="75" t="inlineStr">
        <is>
          <t>V10014</t>
        </is>
      </c>
      <c r="K3650" s="75" t="inlineStr">
        <is>
          <t>L여행사</t>
        </is>
      </c>
      <c r="M3650" s="9">
        <f>IF($A3650="","",VALUE($A3650&amp;"")*12+VALUE($B3650&amp;""))</f>
        <v/>
      </c>
      <c r="N3650" s="39">
        <f>IF($A3650="","",IFERROR(INDEX(부서매핑!$C$5:$C$504,MATCH($G3650&amp;"",부서매핑!$A$5:$A$504,0)),"미매핑"))</f>
        <v/>
      </c>
      <c r="O3650" s="9">
        <f>IF($A3650="","",N3650&amp;"|"&amp;$F3650)</f>
        <v/>
      </c>
      <c r="P3650" s="77">
        <f>IF($A3650="",0,$H3650*설정!$C$23)</f>
        <v/>
      </c>
      <c r="Q3650" s="39">
        <f>IF($A3650="","",IF(O3650&lt;&gt;원인분석!$C$9,"",IF(AND(M3650&gt;=원인분석!$C$10,M3650&lt;=원인분석!$C$11),"당기",IF(AND(M3650&gt;=원인분석!$C$12,M3650&lt;=원인분석!$C$13),"비교",""))))</f>
        <v/>
      </c>
      <c r="R3650" s="9">
        <f>IF(Q3650="","",$K3650&amp;"")</f>
        <v/>
      </c>
      <c r="S3650" s="9">
        <f>IF(Q3650="","",IF(MATCH(R3650,$R$5:$R$100000,0)=ROW()-4,ROW(),""))</f>
        <v/>
      </c>
      <c r="T3650" s="9">
        <f>IF(Q3650="당기",ABS(P3650)+ROW()/1000000000,"")</f>
        <v/>
      </c>
      <c r="U3650" s="9">
        <f>IF(Q3650="비교",ABS(P3650)+ROW()/1000000000,"")</f>
        <v/>
      </c>
      <c r="V3650" s="39">
        <f>IF($A3650="","",IF(COUNTIF(변동분석!$E$7:$E$506,O3650)&gt;0,"Y","N"))</f>
        <v/>
      </c>
      <c r="W3650" s="39">
        <f>IF($A3650="","",IFERROR(INDEX(계정매핑!$D$5:$D$504,MATCH($F3650&amp;"",계정매핑!$A$5:$A$504,0)),"미매핑"))</f>
        <v/>
      </c>
      <c r="X3650" s="9">
        <f>IF($A3650="","",$F3650&amp;"")</f>
        <v/>
      </c>
    </row>
    <row r="3651">
      <c r="A3651" s="75" t="n">
        <v>2026</v>
      </c>
      <c r="B3651" s="75" t="n">
        <v>7</v>
      </c>
      <c r="C3651" s="75" t="inlineStr">
        <is>
          <t>5100001307</t>
        </is>
      </c>
      <c r="D3651" s="78" t="n">
        <v>46221</v>
      </c>
      <c r="E3651" s="75" t="inlineStr">
        <is>
          <t>KR</t>
        </is>
      </c>
      <c r="F3651" s="75" t="n">
        <v>62101000</v>
      </c>
      <c r="G3651" s="75" t="n">
        <v>1801</v>
      </c>
      <c r="H3651" s="76" t="n">
        <v>137000</v>
      </c>
      <c r="I3651" s="75" t="inlineStr">
        <is>
          <t>7월 국내출장 - L여행사</t>
        </is>
      </c>
      <c r="J3651" s="75" t="inlineStr">
        <is>
          <t>V10014</t>
        </is>
      </c>
      <c r="K3651" s="75" t="inlineStr">
        <is>
          <t>L여행사</t>
        </is>
      </c>
      <c r="M3651" s="9">
        <f>IF($A3651="","",VALUE($A3651&amp;"")*12+VALUE($B3651&amp;""))</f>
        <v/>
      </c>
      <c r="N3651" s="39">
        <f>IF($A3651="","",IFERROR(INDEX(부서매핑!$C$5:$C$504,MATCH($G3651&amp;"",부서매핑!$A$5:$A$504,0)),"미매핑"))</f>
        <v/>
      </c>
      <c r="O3651" s="9">
        <f>IF($A3651="","",N3651&amp;"|"&amp;$F3651)</f>
        <v/>
      </c>
      <c r="P3651" s="77">
        <f>IF($A3651="",0,$H3651*설정!$C$23)</f>
        <v/>
      </c>
      <c r="Q3651" s="39">
        <f>IF($A3651="","",IF(O3651&lt;&gt;원인분석!$C$9,"",IF(AND(M3651&gt;=원인분석!$C$10,M3651&lt;=원인분석!$C$11),"당기",IF(AND(M3651&gt;=원인분석!$C$12,M3651&lt;=원인분석!$C$13),"비교",""))))</f>
        <v/>
      </c>
      <c r="R3651" s="9">
        <f>IF(Q3651="","",$K3651&amp;"")</f>
        <v/>
      </c>
      <c r="S3651" s="9">
        <f>IF(Q3651="","",IF(MATCH(R3651,$R$5:$R$100000,0)=ROW()-4,ROW(),""))</f>
        <v/>
      </c>
      <c r="T3651" s="9">
        <f>IF(Q3651="당기",ABS(P3651)+ROW()/1000000000,"")</f>
        <v/>
      </c>
      <c r="U3651" s="9">
        <f>IF(Q3651="비교",ABS(P3651)+ROW()/1000000000,"")</f>
        <v/>
      </c>
      <c r="V3651" s="39">
        <f>IF($A3651="","",IF(COUNTIF(변동분석!$E$7:$E$506,O3651)&gt;0,"Y","N"))</f>
        <v/>
      </c>
      <c r="W3651" s="39">
        <f>IF($A3651="","",IFERROR(INDEX(계정매핑!$D$5:$D$504,MATCH($F3651&amp;"",계정매핑!$A$5:$A$504,0)),"미매핑"))</f>
        <v/>
      </c>
      <c r="X3651" s="9">
        <f>IF($A3651="","",$F3651&amp;"")</f>
        <v/>
      </c>
    </row>
    <row r="3652">
      <c r="A3652" s="75" t="n">
        <v>2026</v>
      </c>
      <c r="B3652" s="75" t="n">
        <v>7</v>
      </c>
      <c r="C3652" s="75" t="inlineStr">
        <is>
          <t>5100001308</t>
        </is>
      </c>
      <c r="D3652" s="78" t="n">
        <v>46221</v>
      </c>
      <c r="E3652" s="75" t="inlineStr">
        <is>
          <t>KR</t>
        </is>
      </c>
      <c r="F3652" s="75" t="n">
        <v>62101000</v>
      </c>
      <c r="G3652" s="75" t="n">
        <v>1801</v>
      </c>
      <c r="H3652" s="76" t="n">
        <v>165000</v>
      </c>
      <c r="I3652" s="75" t="inlineStr">
        <is>
          <t>7월 국내출장 - (법인카드)</t>
        </is>
      </c>
      <c r="J3652" s="75" t="inlineStr">
        <is>
          <t>V10008</t>
        </is>
      </c>
      <c r="K3652" s="75" t="inlineStr">
        <is>
          <t>(법인카드)</t>
        </is>
      </c>
      <c r="M3652" s="9">
        <f>IF($A3652="","",VALUE($A3652&amp;"")*12+VALUE($B3652&amp;""))</f>
        <v/>
      </c>
      <c r="N3652" s="39">
        <f>IF($A3652="","",IFERROR(INDEX(부서매핑!$C$5:$C$504,MATCH($G3652&amp;"",부서매핑!$A$5:$A$504,0)),"미매핑"))</f>
        <v/>
      </c>
      <c r="O3652" s="9">
        <f>IF($A3652="","",N3652&amp;"|"&amp;$F3652)</f>
        <v/>
      </c>
      <c r="P3652" s="77">
        <f>IF($A3652="",0,$H3652*설정!$C$23)</f>
        <v/>
      </c>
      <c r="Q3652" s="39">
        <f>IF($A3652="","",IF(O3652&lt;&gt;원인분석!$C$9,"",IF(AND(M3652&gt;=원인분석!$C$10,M3652&lt;=원인분석!$C$11),"당기",IF(AND(M3652&gt;=원인분석!$C$12,M3652&lt;=원인분석!$C$13),"비교",""))))</f>
        <v/>
      </c>
      <c r="R3652" s="9">
        <f>IF(Q3652="","",$K3652&amp;"")</f>
        <v/>
      </c>
      <c r="S3652" s="9">
        <f>IF(Q3652="","",IF(MATCH(R3652,$R$5:$R$100000,0)=ROW()-4,ROW(),""))</f>
        <v/>
      </c>
      <c r="T3652" s="9">
        <f>IF(Q3652="당기",ABS(P3652)+ROW()/1000000000,"")</f>
        <v/>
      </c>
      <c r="U3652" s="9">
        <f>IF(Q3652="비교",ABS(P3652)+ROW()/1000000000,"")</f>
        <v/>
      </c>
      <c r="V3652" s="39">
        <f>IF($A3652="","",IF(COUNTIF(변동분석!$E$7:$E$506,O3652)&gt;0,"Y","N"))</f>
        <v/>
      </c>
      <c r="W3652" s="39">
        <f>IF($A3652="","",IFERROR(INDEX(계정매핑!$D$5:$D$504,MATCH($F3652&amp;"",계정매핑!$A$5:$A$504,0)),"미매핑"))</f>
        <v/>
      </c>
      <c r="X3652" s="9">
        <f>IF($A3652="","",$F3652&amp;"")</f>
        <v/>
      </c>
    </row>
    <row r="3653">
      <c r="A3653" s="75" t="n">
        <v>2026</v>
      </c>
      <c r="B3653" s="75" t="n">
        <v>7</v>
      </c>
      <c r="C3653" s="75" t="inlineStr">
        <is>
          <t>5100001309</t>
        </is>
      </c>
      <c r="D3653" s="78" t="n">
        <v>46221</v>
      </c>
      <c r="E3653" s="75" t="inlineStr">
        <is>
          <t>KR</t>
        </is>
      </c>
      <c r="F3653" s="75" t="n">
        <v>62201000</v>
      </c>
      <c r="G3653" s="75" t="n">
        <v>1602</v>
      </c>
      <c r="H3653" s="76" t="n">
        <v>459000</v>
      </c>
      <c r="I3653" s="75" t="inlineStr">
        <is>
          <t>7월 통신요금 - O텔레콤</t>
        </is>
      </c>
      <c r="J3653" s="75" t="inlineStr">
        <is>
          <t>V10002</t>
        </is>
      </c>
      <c r="K3653" s="75" t="inlineStr">
        <is>
          <t>O텔레콤</t>
        </is>
      </c>
      <c r="M3653" s="9">
        <f>IF($A3653="","",VALUE($A3653&amp;"")*12+VALUE($B3653&amp;""))</f>
        <v/>
      </c>
      <c r="N3653" s="39">
        <f>IF($A3653="","",IFERROR(INDEX(부서매핑!$C$5:$C$504,MATCH($G3653&amp;"",부서매핑!$A$5:$A$504,0)),"미매핑"))</f>
        <v/>
      </c>
      <c r="O3653" s="9">
        <f>IF($A3653="","",N3653&amp;"|"&amp;$F3653)</f>
        <v/>
      </c>
      <c r="P3653" s="77">
        <f>IF($A3653="",0,$H3653*설정!$C$23)</f>
        <v/>
      </c>
      <c r="Q3653" s="39">
        <f>IF($A3653="","",IF(O3653&lt;&gt;원인분석!$C$9,"",IF(AND(M3653&gt;=원인분석!$C$10,M3653&lt;=원인분석!$C$11),"당기",IF(AND(M3653&gt;=원인분석!$C$12,M3653&lt;=원인분석!$C$13),"비교",""))))</f>
        <v/>
      </c>
      <c r="R3653" s="9">
        <f>IF(Q3653="","",$K3653&amp;"")</f>
        <v/>
      </c>
      <c r="S3653" s="9">
        <f>IF(Q3653="","",IF(MATCH(R3653,$R$5:$R$100000,0)=ROW()-4,ROW(),""))</f>
        <v/>
      </c>
      <c r="T3653" s="9">
        <f>IF(Q3653="당기",ABS(P3653)+ROW()/1000000000,"")</f>
        <v/>
      </c>
      <c r="U3653" s="9">
        <f>IF(Q3653="비교",ABS(P3653)+ROW()/1000000000,"")</f>
        <v/>
      </c>
      <c r="V3653" s="39">
        <f>IF($A3653="","",IF(COUNTIF(변동분석!$E$7:$E$506,O3653)&gt;0,"Y","N"))</f>
        <v/>
      </c>
      <c r="W3653" s="39">
        <f>IF($A3653="","",IFERROR(INDEX(계정매핑!$D$5:$D$504,MATCH($F3653&amp;"",계정매핑!$A$5:$A$504,0)),"미매핑"))</f>
        <v/>
      </c>
      <c r="X3653" s="9">
        <f>IF($A3653="","",$F3653&amp;"")</f>
        <v/>
      </c>
    </row>
    <row r="3654">
      <c r="A3654" s="75" t="n">
        <v>2026</v>
      </c>
      <c r="B3654" s="75" t="n">
        <v>7</v>
      </c>
      <c r="C3654" s="75" t="inlineStr">
        <is>
          <t>5100001310</t>
        </is>
      </c>
      <c r="D3654" s="78" t="n">
        <v>46221</v>
      </c>
      <c r="E3654" s="75" t="inlineStr">
        <is>
          <t>KR</t>
        </is>
      </c>
      <c r="F3654" s="75" t="n">
        <v>62901000</v>
      </c>
      <c r="G3654" s="75" t="n">
        <v>1801</v>
      </c>
      <c r="H3654" s="76" t="n">
        <v>10869000</v>
      </c>
      <c r="I3654" s="75" t="inlineStr">
        <is>
          <t>7월 자문 수수료 - W컨설팅</t>
        </is>
      </c>
      <c r="J3654" s="75" t="inlineStr">
        <is>
          <t>V10009</t>
        </is>
      </c>
      <c r="K3654" s="75" t="inlineStr">
        <is>
          <t>W컨설팅</t>
        </is>
      </c>
      <c r="M3654" s="9">
        <f>IF($A3654="","",VALUE($A3654&amp;"")*12+VALUE($B3654&amp;""))</f>
        <v/>
      </c>
      <c r="N3654" s="39">
        <f>IF($A3654="","",IFERROR(INDEX(부서매핑!$C$5:$C$504,MATCH($G3654&amp;"",부서매핑!$A$5:$A$504,0)),"미매핑"))</f>
        <v/>
      </c>
      <c r="O3654" s="9">
        <f>IF($A3654="","",N3654&amp;"|"&amp;$F3654)</f>
        <v/>
      </c>
      <c r="P3654" s="77">
        <f>IF($A3654="",0,$H3654*설정!$C$23)</f>
        <v/>
      </c>
      <c r="Q3654" s="39">
        <f>IF($A3654="","",IF(O3654&lt;&gt;원인분석!$C$9,"",IF(AND(M3654&gt;=원인분석!$C$10,M3654&lt;=원인분석!$C$11),"당기",IF(AND(M3654&gt;=원인분석!$C$12,M3654&lt;=원인분석!$C$13),"비교",""))))</f>
        <v/>
      </c>
      <c r="R3654" s="9">
        <f>IF(Q3654="","",$K3654&amp;"")</f>
        <v/>
      </c>
      <c r="S3654" s="9">
        <f>IF(Q3654="","",IF(MATCH(R3654,$R$5:$R$100000,0)=ROW()-4,ROW(),""))</f>
        <v/>
      </c>
      <c r="T3654" s="9">
        <f>IF(Q3654="당기",ABS(P3654)+ROW()/1000000000,"")</f>
        <v/>
      </c>
      <c r="U3654" s="9">
        <f>IF(Q3654="비교",ABS(P3654)+ROW()/1000000000,"")</f>
        <v/>
      </c>
      <c r="V3654" s="39">
        <f>IF($A3654="","",IF(COUNTIF(변동분석!$E$7:$E$506,O3654)&gt;0,"Y","N"))</f>
        <v/>
      </c>
      <c r="W3654" s="39">
        <f>IF($A3654="","",IFERROR(INDEX(계정매핑!$D$5:$D$504,MATCH($F3654&amp;"",계정매핑!$A$5:$A$504,0)),"미매핑"))</f>
        <v/>
      </c>
      <c r="X3654" s="9">
        <f>IF($A3654="","",$F3654&amp;"")</f>
        <v/>
      </c>
    </row>
    <row r="3655">
      <c r="A3655" s="75" t="n">
        <v>2026</v>
      </c>
      <c r="B3655" s="75" t="n">
        <v>7</v>
      </c>
      <c r="C3655" s="75" t="inlineStr">
        <is>
          <t>5100001311</t>
        </is>
      </c>
      <c r="D3655" s="78" t="n">
        <v>46222</v>
      </c>
      <c r="E3655" s="75" t="inlineStr">
        <is>
          <t>KR</t>
        </is>
      </c>
      <c r="F3655" s="75" t="n">
        <v>62101000</v>
      </c>
      <c r="G3655" s="75" t="n">
        <v>1201</v>
      </c>
      <c r="H3655" s="76" t="n">
        <v>196000</v>
      </c>
      <c r="I3655" s="75" t="inlineStr">
        <is>
          <t>7월 국내출장 - M항공</t>
        </is>
      </c>
      <c r="J3655" s="75" t="inlineStr">
        <is>
          <t>V10001</t>
        </is>
      </c>
      <c r="K3655" s="75" t="inlineStr">
        <is>
          <t>M항공</t>
        </is>
      </c>
      <c r="M3655" s="9">
        <f>IF($A3655="","",VALUE($A3655&amp;"")*12+VALUE($B3655&amp;""))</f>
        <v/>
      </c>
      <c r="N3655" s="39">
        <f>IF($A3655="","",IFERROR(INDEX(부서매핑!$C$5:$C$504,MATCH($G3655&amp;"",부서매핑!$A$5:$A$504,0)),"미매핑"))</f>
        <v/>
      </c>
      <c r="O3655" s="9">
        <f>IF($A3655="","",N3655&amp;"|"&amp;$F3655)</f>
        <v/>
      </c>
      <c r="P3655" s="77">
        <f>IF($A3655="",0,$H3655*설정!$C$23)</f>
        <v/>
      </c>
      <c r="Q3655" s="39">
        <f>IF($A3655="","",IF(O3655&lt;&gt;원인분석!$C$9,"",IF(AND(M3655&gt;=원인분석!$C$10,M3655&lt;=원인분석!$C$11),"당기",IF(AND(M3655&gt;=원인분석!$C$12,M3655&lt;=원인분석!$C$13),"비교",""))))</f>
        <v/>
      </c>
      <c r="R3655" s="9">
        <f>IF(Q3655="","",$K3655&amp;"")</f>
        <v/>
      </c>
      <c r="S3655" s="9">
        <f>IF(Q3655="","",IF(MATCH(R3655,$R$5:$R$100000,0)=ROW()-4,ROW(),""))</f>
        <v/>
      </c>
      <c r="T3655" s="9">
        <f>IF(Q3655="당기",ABS(P3655)+ROW()/1000000000,"")</f>
        <v/>
      </c>
      <c r="U3655" s="9">
        <f>IF(Q3655="비교",ABS(P3655)+ROW()/1000000000,"")</f>
        <v/>
      </c>
      <c r="V3655" s="39">
        <f>IF($A3655="","",IF(COUNTIF(변동분석!$E$7:$E$506,O3655)&gt;0,"Y","N"))</f>
        <v/>
      </c>
      <c r="W3655" s="39">
        <f>IF($A3655="","",IFERROR(INDEX(계정매핑!$D$5:$D$504,MATCH($F3655&amp;"",계정매핑!$A$5:$A$504,0)),"미매핑"))</f>
        <v/>
      </c>
      <c r="X3655" s="9">
        <f>IF($A3655="","",$F3655&amp;"")</f>
        <v/>
      </c>
    </row>
    <row r="3656">
      <c r="A3656" s="75" t="n">
        <v>2026</v>
      </c>
      <c r="B3656" s="75" t="n">
        <v>7</v>
      </c>
      <c r="C3656" s="75" t="inlineStr">
        <is>
          <t>5100001312</t>
        </is>
      </c>
      <c r="D3656" s="78" t="n">
        <v>46222</v>
      </c>
      <c r="E3656" s="75" t="inlineStr">
        <is>
          <t>KR</t>
        </is>
      </c>
      <c r="F3656" s="75" t="n">
        <v>62102000</v>
      </c>
      <c r="G3656" s="75" t="n">
        <v>1401</v>
      </c>
      <c r="H3656" s="76" t="n">
        <v>109000</v>
      </c>
      <c r="I3656" s="75" t="inlineStr">
        <is>
          <t>7월 해외출장 - M항공</t>
        </is>
      </c>
      <c r="J3656" s="75" t="inlineStr">
        <is>
          <t>V10001</t>
        </is>
      </c>
      <c r="K3656" s="75" t="inlineStr">
        <is>
          <t>M항공</t>
        </is>
      </c>
      <c r="M3656" s="9">
        <f>IF($A3656="","",VALUE($A3656&amp;"")*12+VALUE($B3656&amp;""))</f>
        <v/>
      </c>
      <c r="N3656" s="39">
        <f>IF($A3656="","",IFERROR(INDEX(부서매핑!$C$5:$C$504,MATCH($G3656&amp;"",부서매핑!$A$5:$A$504,0)),"미매핑"))</f>
        <v/>
      </c>
      <c r="O3656" s="9">
        <f>IF($A3656="","",N3656&amp;"|"&amp;$F3656)</f>
        <v/>
      </c>
      <c r="P3656" s="77">
        <f>IF($A3656="",0,$H3656*설정!$C$23)</f>
        <v/>
      </c>
      <c r="Q3656" s="39">
        <f>IF($A3656="","",IF(O3656&lt;&gt;원인분석!$C$9,"",IF(AND(M3656&gt;=원인분석!$C$10,M3656&lt;=원인분석!$C$11),"당기",IF(AND(M3656&gt;=원인분석!$C$12,M3656&lt;=원인분석!$C$13),"비교",""))))</f>
        <v/>
      </c>
      <c r="R3656" s="9">
        <f>IF(Q3656="","",$K3656&amp;"")</f>
        <v/>
      </c>
      <c r="S3656" s="9">
        <f>IF(Q3656="","",IF(MATCH(R3656,$R$5:$R$100000,0)=ROW()-4,ROW(),""))</f>
        <v/>
      </c>
      <c r="T3656" s="9">
        <f>IF(Q3656="당기",ABS(P3656)+ROW()/1000000000,"")</f>
        <v/>
      </c>
      <c r="U3656" s="9">
        <f>IF(Q3656="비교",ABS(P3656)+ROW()/1000000000,"")</f>
        <v/>
      </c>
      <c r="V3656" s="39">
        <f>IF($A3656="","",IF(COUNTIF(변동분석!$E$7:$E$506,O3656)&gt;0,"Y","N"))</f>
        <v/>
      </c>
      <c r="W3656" s="39">
        <f>IF($A3656="","",IFERROR(INDEX(계정매핑!$D$5:$D$504,MATCH($F3656&amp;"",계정매핑!$A$5:$A$504,0)),"미매핑"))</f>
        <v/>
      </c>
      <c r="X3656" s="9">
        <f>IF($A3656="","",$F3656&amp;"")</f>
        <v/>
      </c>
    </row>
    <row r="3657">
      <c r="A3657" s="75" t="n">
        <v>2026</v>
      </c>
      <c r="B3657" s="75" t="n">
        <v>7</v>
      </c>
      <c r="C3657" s="75" t="inlineStr">
        <is>
          <t>5100001313</t>
        </is>
      </c>
      <c r="D3657" s="78" t="n">
        <v>46222</v>
      </c>
      <c r="E3657" s="75" t="inlineStr">
        <is>
          <t>KR</t>
        </is>
      </c>
      <c r="F3657" s="75" t="n">
        <v>62102000</v>
      </c>
      <c r="G3657" s="75" t="n">
        <v>1501</v>
      </c>
      <c r="H3657" s="76" t="n">
        <v>104000</v>
      </c>
      <c r="I3657" s="75" t="inlineStr">
        <is>
          <t>7월 해외출장 - M항공</t>
        </is>
      </c>
      <c r="J3657" s="75" t="inlineStr">
        <is>
          <t>V10001</t>
        </is>
      </c>
      <c r="K3657" s="75" t="inlineStr">
        <is>
          <t>M항공</t>
        </is>
      </c>
      <c r="M3657" s="9">
        <f>IF($A3657="","",VALUE($A3657&amp;"")*12+VALUE($B3657&amp;""))</f>
        <v/>
      </c>
      <c r="N3657" s="39">
        <f>IF($A3657="","",IFERROR(INDEX(부서매핑!$C$5:$C$504,MATCH($G3657&amp;"",부서매핑!$A$5:$A$504,0)),"미매핑"))</f>
        <v/>
      </c>
      <c r="O3657" s="9">
        <f>IF($A3657="","",N3657&amp;"|"&amp;$F3657)</f>
        <v/>
      </c>
      <c r="P3657" s="77">
        <f>IF($A3657="",0,$H3657*설정!$C$23)</f>
        <v/>
      </c>
      <c r="Q3657" s="39">
        <f>IF($A3657="","",IF(O3657&lt;&gt;원인분석!$C$9,"",IF(AND(M3657&gt;=원인분석!$C$10,M3657&lt;=원인분석!$C$11),"당기",IF(AND(M3657&gt;=원인분석!$C$12,M3657&lt;=원인분석!$C$13),"비교",""))))</f>
        <v/>
      </c>
      <c r="R3657" s="9">
        <f>IF(Q3657="","",$K3657&amp;"")</f>
        <v/>
      </c>
      <c r="S3657" s="9">
        <f>IF(Q3657="","",IF(MATCH(R3657,$R$5:$R$100000,0)=ROW()-4,ROW(),""))</f>
        <v/>
      </c>
      <c r="T3657" s="9">
        <f>IF(Q3657="당기",ABS(P3657)+ROW()/1000000000,"")</f>
        <v/>
      </c>
      <c r="U3657" s="9">
        <f>IF(Q3657="비교",ABS(P3657)+ROW()/1000000000,"")</f>
        <v/>
      </c>
      <c r="V3657" s="39">
        <f>IF($A3657="","",IF(COUNTIF(변동분석!$E$7:$E$506,O3657)&gt;0,"Y","N"))</f>
        <v/>
      </c>
      <c r="W3657" s="39">
        <f>IF($A3657="","",IFERROR(INDEX(계정매핑!$D$5:$D$504,MATCH($F3657&amp;"",계정매핑!$A$5:$A$504,0)),"미매핑"))</f>
        <v/>
      </c>
      <c r="X3657" s="9">
        <f>IF($A3657="","",$F3657&amp;"")</f>
        <v/>
      </c>
    </row>
    <row r="3658">
      <c r="A3658" s="75" t="n">
        <v>2026</v>
      </c>
      <c r="B3658" s="75" t="n">
        <v>7</v>
      </c>
      <c r="C3658" s="75" t="inlineStr">
        <is>
          <t>5100001314</t>
        </is>
      </c>
      <c r="D3658" s="78" t="n">
        <v>46222</v>
      </c>
      <c r="E3658" s="75" t="inlineStr">
        <is>
          <t>KR</t>
        </is>
      </c>
      <c r="F3658" s="75" t="n">
        <v>62201000</v>
      </c>
      <c r="G3658" s="75" t="n">
        <v>1701</v>
      </c>
      <c r="H3658" s="76" t="n">
        <v>3521000</v>
      </c>
      <c r="I3658" s="75" t="inlineStr">
        <is>
          <t>7월 통신요금 - O텔레콤</t>
        </is>
      </c>
      <c r="J3658" s="75" t="inlineStr">
        <is>
          <t>V10002</t>
        </is>
      </c>
      <c r="K3658" s="75" t="inlineStr">
        <is>
          <t>O텔레콤</t>
        </is>
      </c>
      <c r="M3658" s="9">
        <f>IF($A3658="","",VALUE($A3658&amp;"")*12+VALUE($B3658&amp;""))</f>
        <v/>
      </c>
      <c r="N3658" s="39">
        <f>IF($A3658="","",IFERROR(INDEX(부서매핑!$C$5:$C$504,MATCH($G3658&amp;"",부서매핑!$A$5:$A$504,0)),"미매핑"))</f>
        <v/>
      </c>
      <c r="O3658" s="9">
        <f>IF($A3658="","",N3658&amp;"|"&amp;$F3658)</f>
        <v/>
      </c>
      <c r="P3658" s="77">
        <f>IF($A3658="",0,$H3658*설정!$C$23)</f>
        <v/>
      </c>
      <c r="Q3658" s="39">
        <f>IF($A3658="","",IF(O3658&lt;&gt;원인분석!$C$9,"",IF(AND(M3658&gt;=원인분석!$C$10,M3658&lt;=원인분석!$C$11),"당기",IF(AND(M3658&gt;=원인분석!$C$12,M3658&lt;=원인분석!$C$13),"비교",""))))</f>
        <v/>
      </c>
      <c r="R3658" s="9">
        <f>IF(Q3658="","",$K3658&amp;"")</f>
        <v/>
      </c>
      <c r="S3658" s="9">
        <f>IF(Q3658="","",IF(MATCH(R3658,$R$5:$R$100000,0)=ROW()-4,ROW(),""))</f>
        <v/>
      </c>
      <c r="T3658" s="9">
        <f>IF(Q3658="당기",ABS(P3658)+ROW()/1000000000,"")</f>
        <v/>
      </c>
      <c r="U3658" s="9">
        <f>IF(Q3658="비교",ABS(P3658)+ROW()/1000000000,"")</f>
        <v/>
      </c>
      <c r="V3658" s="39">
        <f>IF($A3658="","",IF(COUNTIF(변동분석!$E$7:$E$506,O3658)&gt;0,"Y","N"))</f>
        <v/>
      </c>
      <c r="W3658" s="39">
        <f>IF($A3658="","",IFERROR(INDEX(계정매핑!$D$5:$D$504,MATCH($F3658&amp;"",계정매핑!$A$5:$A$504,0)),"미매핑"))</f>
        <v/>
      </c>
      <c r="X3658" s="9">
        <f>IF($A3658="","",$F3658&amp;"")</f>
        <v/>
      </c>
    </row>
    <row r="3659">
      <c r="A3659" s="75" t="n">
        <v>2026</v>
      </c>
      <c r="B3659" s="75" t="n">
        <v>7</v>
      </c>
      <c r="C3659" s="75" t="inlineStr">
        <is>
          <t>5100001315</t>
        </is>
      </c>
      <c r="D3659" s="78" t="n">
        <v>46222</v>
      </c>
      <c r="E3659" s="75" t="inlineStr">
        <is>
          <t>KR</t>
        </is>
      </c>
      <c r="F3659" s="75" t="n">
        <v>62401000</v>
      </c>
      <c r="G3659" s="75" t="n">
        <v>1401</v>
      </c>
      <c r="H3659" s="76" t="n">
        <v>248000</v>
      </c>
      <c r="I3659" s="75" t="inlineStr">
        <is>
          <t>7월 인쇄물 제작 - S출판</t>
        </is>
      </c>
      <c r="J3659" s="75" t="inlineStr">
        <is>
          <t>V10012</t>
        </is>
      </c>
      <c r="K3659" s="75" t="inlineStr">
        <is>
          <t>S출판</t>
        </is>
      </c>
      <c r="M3659" s="9">
        <f>IF($A3659="","",VALUE($A3659&amp;"")*12+VALUE($B3659&amp;""))</f>
        <v/>
      </c>
      <c r="N3659" s="39">
        <f>IF($A3659="","",IFERROR(INDEX(부서매핑!$C$5:$C$504,MATCH($G3659&amp;"",부서매핑!$A$5:$A$504,0)),"미매핑"))</f>
        <v/>
      </c>
      <c r="O3659" s="9">
        <f>IF($A3659="","",N3659&amp;"|"&amp;$F3659)</f>
        <v/>
      </c>
      <c r="P3659" s="77">
        <f>IF($A3659="",0,$H3659*설정!$C$23)</f>
        <v/>
      </c>
      <c r="Q3659" s="39">
        <f>IF($A3659="","",IF(O3659&lt;&gt;원인분석!$C$9,"",IF(AND(M3659&gt;=원인분석!$C$10,M3659&lt;=원인분석!$C$11),"당기",IF(AND(M3659&gt;=원인분석!$C$12,M3659&lt;=원인분석!$C$13),"비교",""))))</f>
        <v/>
      </c>
      <c r="R3659" s="9">
        <f>IF(Q3659="","",$K3659&amp;"")</f>
        <v/>
      </c>
      <c r="S3659" s="9">
        <f>IF(Q3659="","",IF(MATCH(R3659,$R$5:$R$100000,0)=ROW()-4,ROW(),""))</f>
        <v/>
      </c>
      <c r="T3659" s="9">
        <f>IF(Q3659="당기",ABS(P3659)+ROW()/1000000000,"")</f>
        <v/>
      </c>
      <c r="U3659" s="9">
        <f>IF(Q3659="비교",ABS(P3659)+ROW()/1000000000,"")</f>
        <v/>
      </c>
      <c r="V3659" s="39">
        <f>IF($A3659="","",IF(COUNTIF(변동분석!$E$7:$E$506,O3659)&gt;0,"Y","N"))</f>
        <v/>
      </c>
      <c r="W3659" s="39">
        <f>IF($A3659="","",IFERROR(INDEX(계정매핑!$D$5:$D$504,MATCH($F3659&amp;"",계정매핑!$A$5:$A$504,0)),"미매핑"))</f>
        <v/>
      </c>
      <c r="X3659" s="9">
        <f>IF($A3659="","",$F3659&amp;"")</f>
        <v/>
      </c>
    </row>
    <row r="3660">
      <c r="A3660" s="75" t="n">
        <v>2026</v>
      </c>
      <c r="B3660" s="75" t="n">
        <v>7</v>
      </c>
      <c r="C3660" s="75" t="inlineStr">
        <is>
          <t>5100001316</t>
        </is>
      </c>
      <c r="D3660" s="78" t="n">
        <v>46222</v>
      </c>
      <c r="E3660" s="75" t="inlineStr">
        <is>
          <t>KR</t>
        </is>
      </c>
      <c r="F3660" s="75" t="n">
        <v>62501000</v>
      </c>
      <c r="G3660" s="75" t="n">
        <v>1201</v>
      </c>
      <c r="H3660" s="76" t="n">
        <v>154000</v>
      </c>
      <c r="I3660" s="75" t="inlineStr">
        <is>
          <t>7월 회의 다과 - (법인카드)</t>
        </is>
      </c>
      <c r="J3660" s="75" t="inlineStr">
        <is>
          <t>V10008</t>
        </is>
      </c>
      <c r="K3660" s="75" t="inlineStr">
        <is>
          <t>(법인카드)</t>
        </is>
      </c>
      <c r="M3660" s="9">
        <f>IF($A3660="","",VALUE($A3660&amp;"")*12+VALUE($B3660&amp;""))</f>
        <v/>
      </c>
      <c r="N3660" s="39">
        <f>IF($A3660="","",IFERROR(INDEX(부서매핑!$C$5:$C$504,MATCH($G3660&amp;"",부서매핑!$A$5:$A$504,0)),"미매핑"))</f>
        <v/>
      </c>
      <c r="O3660" s="9">
        <f>IF($A3660="","",N3660&amp;"|"&amp;$F3660)</f>
        <v/>
      </c>
      <c r="P3660" s="77">
        <f>IF($A3660="",0,$H3660*설정!$C$23)</f>
        <v/>
      </c>
      <c r="Q3660" s="39">
        <f>IF($A3660="","",IF(O3660&lt;&gt;원인분석!$C$9,"",IF(AND(M3660&gt;=원인분석!$C$10,M3660&lt;=원인분석!$C$11),"당기",IF(AND(M3660&gt;=원인분석!$C$12,M3660&lt;=원인분석!$C$13),"비교",""))))</f>
        <v/>
      </c>
      <c r="R3660" s="9">
        <f>IF(Q3660="","",$K3660&amp;"")</f>
        <v/>
      </c>
      <c r="S3660" s="9">
        <f>IF(Q3660="","",IF(MATCH(R3660,$R$5:$R$100000,0)=ROW()-4,ROW(),""))</f>
        <v/>
      </c>
      <c r="T3660" s="9">
        <f>IF(Q3660="당기",ABS(P3660)+ROW()/1000000000,"")</f>
        <v/>
      </c>
      <c r="U3660" s="9">
        <f>IF(Q3660="비교",ABS(P3660)+ROW()/1000000000,"")</f>
        <v/>
      </c>
      <c r="V3660" s="39">
        <f>IF($A3660="","",IF(COUNTIF(변동분석!$E$7:$E$506,O3660)&gt;0,"Y","N"))</f>
        <v/>
      </c>
      <c r="W3660" s="39">
        <f>IF($A3660="","",IFERROR(INDEX(계정매핑!$D$5:$D$504,MATCH($F3660&amp;"",계정매핑!$A$5:$A$504,0)),"미매핑"))</f>
        <v/>
      </c>
      <c r="X3660" s="9">
        <f>IF($A3660="","",$F3660&amp;"")</f>
        <v/>
      </c>
    </row>
    <row r="3661">
      <c r="A3661" s="75" t="n">
        <v>2026</v>
      </c>
      <c r="B3661" s="75" t="n">
        <v>7</v>
      </c>
      <c r="C3661" s="75" t="inlineStr">
        <is>
          <t>5100001317</t>
        </is>
      </c>
      <c r="D3661" s="78" t="n">
        <v>46223</v>
      </c>
      <c r="E3661" s="75" t="inlineStr">
        <is>
          <t>KR</t>
        </is>
      </c>
      <c r="F3661" s="75" t="n">
        <v>62101000</v>
      </c>
      <c r="G3661" s="75" t="n">
        <v>1401</v>
      </c>
      <c r="H3661" s="76" t="n">
        <v>250000</v>
      </c>
      <c r="I3661" s="75" t="inlineStr">
        <is>
          <t>7월 국내출장 - M항공</t>
        </is>
      </c>
      <c r="J3661" s="75" t="inlineStr">
        <is>
          <t>V10001</t>
        </is>
      </c>
      <c r="K3661" s="75" t="inlineStr">
        <is>
          <t>M항공</t>
        </is>
      </c>
      <c r="M3661" s="9">
        <f>IF($A3661="","",VALUE($A3661&amp;"")*12+VALUE($B3661&amp;""))</f>
        <v/>
      </c>
      <c r="N3661" s="39">
        <f>IF($A3661="","",IFERROR(INDEX(부서매핑!$C$5:$C$504,MATCH($G3661&amp;"",부서매핑!$A$5:$A$504,0)),"미매핑"))</f>
        <v/>
      </c>
      <c r="O3661" s="9">
        <f>IF($A3661="","",N3661&amp;"|"&amp;$F3661)</f>
        <v/>
      </c>
      <c r="P3661" s="77">
        <f>IF($A3661="",0,$H3661*설정!$C$23)</f>
        <v/>
      </c>
      <c r="Q3661" s="39">
        <f>IF($A3661="","",IF(O3661&lt;&gt;원인분석!$C$9,"",IF(AND(M3661&gt;=원인분석!$C$10,M3661&lt;=원인분석!$C$11),"당기",IF(AND(M3661&gt;=원인분석!$C$12,M3661&lt;=원인분석!$C$13),"비교",""))))</f>
        <v/>
      </c>
      <c r="R3661" s="9">
        <f>IF(Q3661="","",$K3661&amp;"")</f>
        <v/>
      </c>
      <c r="S3661" s="9">
        <f>IF(Q3661="","",IF(MATCH(R3661,$R$5:$R$100000,0)=ROW()-4,ROW(),""))</f>
        <v/>
      </c>
      <c r="T3661" s="9">
        <f>IF(Q3661="당기",ABS(P3661)+ROW()/1000000000,"")</f>
        <v/>
      </c>
      <c r="U3661" s="9">
        <f>IF(Q3661="비교",ABS(P3661)+ROW()/1000000000,"")</f>
        <v/>
      </c>
      <c r="V3661" s="39">
        <f>IF($A3661="","",IF(COUNTIF(변동분석!$E$7:$E$506,O3661)&gt;0,"Y","N"))</f>
        <v/>
      </c>
      <c r="W3661" s="39">
        <f>IF($A3661="","",IFERROR(INDEX(계정매핑!$D$5:$D$504,MATCH($F3661&amp;"",계정매핑!$A$5:$A$504,0)),"미매핑"))</f>
        <v/>
      </c>
      <c r="X3661" s="9">
        <f>IF($A3661="","",$F3661&amp;"")</f>
        <v/>
      </c>
    </row>
    <row r="3662">
      <c r="A3662" s="75" t="n">
        <v>2026</v>
      </c>
      <c r="B3662" s="75" t="n">
        <v>7</v>
      </c>
      <c r="C3662" s="75" t="inlineStr">
        <is>
          <t>5100001318</t>
        </is>
      </c>
      <c r="D3662" s="78" t="n">
        <v>46223</v>
      </c>
      <c r="E3662" s="75" t="inlineStr">
        <is>
          <t>KR</t>
        </is>
      </c>
      <c r="F3662" s="75" t="n">
        <v>62201000</v>
      </c>
      <c r="G3662" s="75" t="n">
        <v>1601</v>
      </c>
      <c r="H3662" s="76" t="n">
        <v>470000</v>
      </c>
      <c r="I3662" s="75" t="inlineStr">
        <is>
          <t>7월 통신요금 - P통신</t>
        </is>
      </c>
      <c r="J3662" s="75" t="inlineStr">
        <is>
          <t>V10011</t>
        </is>
      </c>
      <c r="K3662" s="75" t="inlineStr">
        <is>
          <t>P통신</t>
        </is>
      </c>
      <c r="M3662" s="9">
        <f>IF($A3662="","",VALUE($A3662&amp;"")*12+VALUE($B3662&amp;""))</f>
        <v/>
      </c>
      <c r="N3662" s="39">
        <f>IF($A3662="","",IFERROR(INDEX(부서매핑!$C$5:$C$504,MATCH($G3662&amp;"",부서매핑!$A$5:$A$504,0)),"미매핑"))</f>
        <v/>
      </c>
      <c r="O3662" s="9">
        <f>IF($A3662="","",N3662&amp;"|"&amp;$F3662)</f>
        <v/>
      </c>
      <c r="P3662" s="77">
        <f>IF($A3662="",0,$H3662*설정!$C$23)</f>
        <v/>
      </c>
      <c r="Q3662" s="39">
        <f>IF($A3662="","",IF(O3662&lt;&gt;원인분석!$C$9,"",IF(AND(M3662&gt;=원인분석!$C$10,M3662&lt;=원인분석!$C$11),"당기",IF(AND(M3662&gt;=원인분석!$C$12,M3662&lt;=원인분석!$C$13),"비교",""))))</f>
        <v/>
      </c>
      <c r="R3662" s="9">
        <f>IF(Q3662="","",$K3662&amp;"")</f>
        <v/>
      </c>
      <c r="S3662" s="9">
        <f>IF(Q3662="","",IF(MATCH(R3662,$R$5:$R$100000,0)=ROW()-4,ROW(),""))</f>
        <v/>
      </c>
      <c r="T3662" s="9">
        <f>IF(Q3662="당기",ABS(P3662)+ROW()/1000000000,"")</f>
        <v/>
      </c>
      <c r="U3662" s="9">
        <f>IF(Q3662="비교",ABS(P3662)+ROW()/1000000000,"")</f>
        <v/>
      </c>
      <c r="V3662" s="39">
        <f>IF($A3662="","",IF(COUNTIF(변동분석!$E$7:$E$506,O3662)&gt;0,"Y","N"))</f>
        <v/>
      </c>
      <c r="W3662" s="39">
        <f>IF($A3662="","",IFERROR(INDEX(계정매핑!$D$5:$D$504,MATCH($F3662&amp;"",계정매핑!$A$5:$A$504,0)),"미매핑"))</f>
        <v/>
      </c>
      <c r="X3662" s="9">
        <f>IF($A3662="","",$F3662&amp;"")</f>
        <v/>
      </c>
    </row>
    <row r="3663">
      <c r="A3663" s="75" t="n">
        <v>2026</v>
      </c>
      <c r="B3663" s="75" t="n">
        <v>7</v>
      </c>
      <c r="C3663" s="75" t="inlineStr">
        <is>
          <t>5100001319</t>
        </is>
      </c>
      <c r="D3663" s="78" t="n">
        <v>46223</v>
      </c>
      <c r="E3663" s="75" t="inlineStr">
        <is>
          <t>KR</t>
        </is>
      </c>
      <c r="F3663" s="75" t="n">
        <v>62701000</v>
      </c>
      <c r="G3663" s="75" t="n">
        <v>1502</v>
      </c>
      <c r="H3663" s="76" t="n">
        <v>44944000</v>
      </c>
      <c r="I3663" s="75" t="inlineStr">
        <is>
          <t>7월 광고 집행 - F애드</t>
        </is>
      </c>
      <c r="J3663" s="75" t="inlineStr">
        <is>
          <t>V10019</t>
        </is>
      </c>
      <c r="K3663" s="75" t="inlineStr">
        <is>
          <t>F애드</t>
        </is>
      </c>
      <c r="M3663" s="9">
        <f>IF($A3663="","",VALUE($A3663&amp;"")*12+VALUE($B3663&amp;""))</f>
        <v/>
      </c>
      <c r="N3663" s="39">
        <f>IF($A3663="","",IFERROR(INDEX(부서매핑!$C$5:$C$504,MATCH($G3663&amp;"",부서매핑!$A$5:$A$504,0)),"미매핑"))</f>
        <v/>
      </c>
      <c r="O3663" s="9">
        <f>IF($A3663="","",N3663&amp;"|"&amp;$F3663)</f>
        <v/>
      </c>
      <c r="P3663" s="77">
        <f>IF($A3663="",0,$H3663*설정!$C$23)</f>
        <v/>
      </c>
      <c r="Q3663" s="39">
        <f>IF($A3663="","",IF(O3663&lt;&gt;원인분석!$C$9,"",IF(AND(M3663&gt;=원인분석!$C$10,M3663&lt;=원인분석!$C$11),"당기",IF(AND(M3663&gt;=원인분석!$C$12,M3663&lt;=원인분석!$C$13),"비교",""))))</f>
        <v/>
      </c>
      <c r="R3663" s="9">
        <f>IF(Q3663="","",$K3663&amp;"")</f>
        <v/>
      </c>
      <c r="S3663" s="9">
        <f>IF(Q3663="","",IF(MATCH(R3663,$R$5:$R$100000,0)=ROW()-4,ROW(),""))</f>
        <v/>
      </c>
      <c r="T3663" s="9">
        <f>IF(Q3663="당기",ABS(P3663)+ROW()/1000000000,"")</f>
        <v/>
      </c>
      <c r="U3663" s="9">
        <f>IF(Q3663="비교",ABS(P3663)+ROW()/1000000000,"")</f>
        <v/>
      </c>
      <c r="V3663" s="39">
        <f>IF($A3663="","",IF(COUNTIF(변동분석!$E$7:$E$506,O3663)&gt;0,"Y","N"))</f>
        <v/>
      </c>
      <c r="W3663" s="39">
        <f>IF($A3663="","",IFERROR(INDEX(계정매핑!$D$5:$D$504,MATCH($F3663&amp;"",계정매핑!$A$5:$A$504,0)),"미매핑"))</f>
        <v/>
      </c>
      <c r="X3663" s="9">
        <f>IF($A3663="","",$F3663&amp;"")</f>
        <v/>
      </c>
    </row>
    <row r="3664">
      <c r="A3664" s="75" t="n">
        <v>2026</v>
      </c>
      <c r="B3664" s="75" t="n">
        <v>7</v>
      </c>
      <c r="C3664" s="75" t="inlineStr">
        <is>
          <t>5100001320</t>
        </is>
      </c>
      <c r="D3664" s="78" t="n">
        <v>46223</v>
      </c>
      <c r="E3664" s="75" t="inlineStr">
        <is>
          <t>KR</t>
        </is>
      </c>
      <c r="F3664" s="75" t="n">
        <v>62901000</v>
      </c>
      <c r="G3664" s="75" t="n">
        <v>1801</v>
      </c>
      <c r="H3664" s="76" t="n">
        <v>10240000</v>
      </c>
      <c r="I3664" s="75" t="inlineStr">
        <is>
          <t>7월 자문 수수료 - K회계법인</t>
        </is>
      </c>
      <c r="J3664" s="75" t="inlineStr">
        <is>
          <t>V10010</t>
        </is>
      </c>
      <c r="K3664" s="75" t="inlineStr">
        <is>
          <t>K회계법인</t>
        </is>
      </c>
      <c r="M3664" s="9">
        <f>IF($A3664="","",VALUE($A3664&amp;"")*12+VALUE($B3664&amp;""))</f>
        <v/>
      </c>
      <c r="N3664" s="39">
        <f>IF($A3664="","",IFERROR(INDEX(부서매핑!$C$5:$C$504,MATCH($G3664&amp;"",부서매핑!$A$5:$A$504,0)),"미매핑"))</f>
        <v/>
      </c>
      <c r="O3664" s="9">
        <f>IF($A3664="","",N3664&amp;"|"&amp;$F3664)</f>
        <v/>
      </c>
      <c r="P3664" s="77">
        <f>IF($A3664="",0,$H3664*설정!$C$23)</f>
        <v/>
      </c>
      <c r="Q3664" s="39">
        <f>IF($A3664="","",IF(O3664&lt;&gt;원인분석!$C$9,"",IF(AND(M3664&gt;=원인분석!$C$10,M3664&lt;=원인분석!$C$11),"당기",IF(AND(M3664&gt;=원인분석!$C$12,M3664&lt;=원인분석!$C$13),"비교",""))))</f>
        <v/>
      </c>
      <c r="R3664" s="9">
        <f>IF(Q3664="","",$K3664&amp;"")</f>
        <v/>
      </c>
      <c r="S3664" s="9">
        <f>IF(Q3664="","",IF(MATCH(R3664,$R$5:$R$100000,0)=ROW()-4,ROW(),""))</f>
        <v/>
      </c>
      <c r="T3664" s="9">
        <f>IF(Q3664="당기",ABS(P3664)+ROW()/1000000000,"")</f>
        <v/>
      </c>
      <c r="U3664" s="9">
        <f>IF(Q3664="비교",ABS(P3664)+ROW()/1000000000,"")</f>
        <v/>
      </c>
      <c r="V3664" s="39">
        <f>IF($A3664="","",IF(COUNTIF(변동분석!$E$7:$E$506,O3664)&gt;0,"Y","N"))</f>
        <v/>
      </c>
      <c r="W3664" s="39">
        <f>IF($A3664="","",IFERROR(INDEX(계정매핑!$D$5:$D$504,MATCH($F3664&amp;"",계정매핑!$A$5:$A$504,0)),"미매핑"))</f>
        <v/>
      </c>
      <c r="X3664" s="9">
        <f>IF($A3664="","",$F3664&amp;"")</f>
        <v/>
      </c>
    </row>
    <row r="3665">
      <c r="A3665" s="75" t="n">
        <v>2026</v>
      </c>
      <c r="B3665" s="75" t="n">
        <v>7</v>
      </c>
      <c r="C3665" s="75" t="inlineStr">
        <is>
          <t>5100001321</t>
        </is>
      </c>
      <c r="D3665" s="78" t="n">
        <v>46223</v>
      </c>
      <c r="E3665" s="75" t="inlineStr">
        <is>
          <t>KR</t>
        </is>
      </c>
      <c r="F3665" s="75" t="n">
        <v>63201000</v>
      </c>
      <c r="G3665" s="75" t="n">
        <v>1601</v>
      </c>
      <c r="H3665" s="76" t="n">
        <v>5890000</v>
      </c>
      <c r="I3665" s="75" t="inlineStr">
        <is>
          <t>7월 차량 유지 - D정비</t>
        </is>
      </c>
      <c r="J3665" s="75" t="inlineStr">
        <is>
          <t>V10022</t>
        </is>
      </c>
      <c r="K3665" s="75" t="inlineStr">
        <is>
          <t>D정비</t>
        </is>
      </c>
      <c r="M3665" s="9">
        <f>IF($A3665="","",VALUE($A3665&amp;"")*12+VALUE($B3665&amp;""))</f>
        <v/>
      </c>
      <c r="N3665" s="39">
        <f>IF($A3665="","",IFERROR(INDEX(부서매핑!$C$5:$C$504,MATCH($G3665&amp;"",부서매핑!$A$5:$A$504,0)),"미매핑"))</f>
        <v/>
      </c>
      <c r="O3665" s="9">
        <f>IF($A3665="","",N3665&amp;"|"&amp;$F3665)</f>
        <v/>
      </c>
      <c r="P3665" s="77">
        <f>IF($A3665="",0,$H3665*설정!$C$23)</f>
        <v/>
      </c>
      <c r="Q3665" s="39">
        <f>IF($A3665="","",IF(O3665&lt;&gt;원인분석!$C$9,"",IF(AND(M3665&gt;=원인분석!$C$10,M3665&lt;=원인분석!$C$11),"당기",IF(AND(M3665&gt;=원인분석!$C$12,M3665&lt;=원인분석!$C$13),"비교",""))))</f>
        <v/>
      </c>
      <c r="R3665" s="9">
        <f>IF(Q3665="","",$K3665&amp;"")</f>
        <v/>
      </c>
      <c r="S3665" s="9">
        <f>IF(Q3665="","",IF(MATCH(R3665,$R$5:$R$100000,0)=ROW()-4,ROW(),""))</f>
        <v/>
      </c>
      <c r="T3665" s="9">
        <f>IF(Q3665="당기",ABS(P3665)+ROW()/1000000000,"")</f>
        <v/>
      </c>
      <c r="U3665" s="9">
        <f>IF(Q3665="비교",ABS(P3665)+ROW()/1000000000,"")</f>
        <v/>
      </c>
      <c r="V3665" s="39">
        <f>IF($A3665="","",IF(COUNTIF(변동분석!$E$7:$E$506,O3665)&gt;0,"Y","N"))</f>
        <v/>
      </c>
      <c r="W3665" s="39">
        <f>IF($A3665="","",IFERROR(INDEX(계정매핑!$D$5:$D$504,MATCH($F3665&amp;"",계정매핑!$A$5:$A$504,0)),"미매핑"))</f>
        <v/>
      </c>
      <c r="X3665" s="9">
        <f>IF($A3665="","",$F3665&amp;"")</f>
        <v/>
      </c>
    </row>
    <row r="3666">
      <c r="A3666" s="75" t="n">
        <v>2026</v>
      </c>
      <c r="B3666" s="75" t="n">
        <v>7</v>
      </c>
      <c r="C3666" s="75" t="inlineStr">
        <is>
          <t>5100001322</t>
        </is>
      </c>
      <c r="D3666" s="78" t="n">
        <v>46224</v>
      </c>
      <c r="E3666" s="75" t="inlineStr">
        <is>
          <t>KR</t>
        </is>
      </c>
      <c r="F3666" s="75" t="n">
        <v>62101000</v>
      </c>
      <c r="G3666" s="75" t="n">
        <v>1301</v>
      </c>
      <c r="H3666" s="76" t="n">
        <v>520000</v>
      </c>
      <c r="I3666" s="75" t="inlineStr">
        <is>
          <t>7월 국내출장 - (법인카드)</t>
        </is>
      </c>
      <c r="J3666" s="75" t="inlineStr">
        <is>
          <t>V10008</t>
        </is>
      </c>
      <c r="K3666" s="75" t="inlineStr">
        <is>
          <t>(법인카드)</t>
        </is>
      </c>
      <c r="M3666" s="9">
        <f>IF($A3666="","",VALUE($A3666&amp;"")*12+VALUE($B3666&amp;""))</f>
        <v/>
      </c>
      <c r="N3666" s="39">
        <f>IF($A3666="","",IFERROR(INDEX(부서매핑!$C$5:$C$504,MATCH($G3666&amp;"",부서매핑!$A$5:$A$504,0)),"미매핑"))</f>
        <v/>
      </c>
      <c r="O3666" s="9">
        <f>IF($A3666="","",N3666&amp;"|"&amp;$F3666)</f>
        <v/>
      </c>
      <c r="P3666" s="77">
        <f>IF($A3666="",0,$H3666*설정!$C$23)</f>
        <v/>
      </c>
      <c r="Q3666" s="39">
        <f>IF($A3666="","",IF(O3666&lt;&gt;원인분석!$C$9,"",IF(AND(M3666&gt;=원인분석!$C$10,M3666&lt;=원인분석!$C$11),"당기",IF(AND(M3666&gt;=원인분석!$C$12,M3666&lt;=원인분석!$C$13),"비교",""))))</f>
        <v/>
      </c>
      <c r="R3666" s="9">
        <f>IF(Q3666="","",$K3666&amp;"")</f>
        <v/>
      </c>
      <c r="S3666" s="9">
        <f>IF(Q3666="","",IF(MATCH(R3666,$R$5:$R$100000,0)=ROW()-4,ROW(),""))</f>
        <v/>
      </c>
      <c r="T3666" s="9">
        <f>IF(Q3666="당기",ABS(P3666)+ROW()/1000000000,"")</f>
        <v/>
      </c>
      <c r="U3666" s="9">
        <f>IF(Q3666="비교",ABS(P3666)+ROW()/1000000000,"")</f>
        <v/>
      </c>
      <c r="V3666" s="39">
        <f>IF($A3666="","",IF(COUNTIF(변동분석!$E$7:$E$506,O3666)&gt;0,"Y","N"))</f>
        <v/>
      </c>
      <c r="W3666" s="39">
        <f>IF($A3666="","",IFERROR(INDEX(계정매핑!$D$5:$D$504,MATCH($F3666&amp;"",계정매핑!$A$5:$A$504,0)),"미매핑"))</f>
        <v/>
      </c>
      <c r="X3666" s="9">
        <f>IF($A3666="","",$F3666&amp;"")</f>
        <v/>
      </c>
    </row>
    <row r="3667">
      <c r="A3667" s="75" t="n">
        <v>2026</v>
      </c>
      <c r="B3667" s="75" t="n">
        <v>7</v>
      </c>
      <c r="C3667" s="75" t="inlineStr">
        <is>
          <t>5100001323</t>
        </is>
      </c>
      <c r="D3667" s="78" t="n">
        <v>46224</v>
      </c>
      <c r="E3667" s="75" t="inlineStr">
        <is>
          <t>KR</t>
        </is>
      </c>
      <c r="F3667" s="75" t="n">
        <v>62101000</v>
      </c>
      <c r="G3667" s="75" t="n">
        <v>1501</v>
      </c>
      <c r="H3667" s="76" t="n">
        <v>604000</v>
      </c>
      <c r="I3667" s="75" t="inlineStr">
        <is>
          <t>7월 국내출장 - (법인카드)</t>
        </is>
      </c>
      <c r="J3667" s="75" t="inlineStr">
        <is>
          <t>V10008</t>
        </is>
      </c>
      <c r="K3667" s="75" t="inlineStr">
        <is>
          <t>(법인카드)</t>
        </is>
      </c>
      <c r="M3667" s="9">
        <f>IF($A3667="","",VALUE($A3667&amp;"")*12+VALUE($B3667&amp;""))</f>
        <v/>
      </c>
      <c r="N3667" s="39">
        <f>IF($A3667="","",IFERROR(INDEX(부서매핑!$C$5:$C$504,MATCH($G3667&amp;"",부서매핑!$A$5:$A$504,0)),"미매핑"))</f>
        <v/>
      </c>
      <c r="O3667" s="9">
        <f>IF($A3667="","",N3667&amp;"|"&amp;$F3667)</f>
        <v/>
      </c>
      <c r="P3667" s="77">
        <f>IF($A3667="",0,$H3667*설정!$C$23)</f>
        <v/>
      </c>
      <c r="Q3667" s="39">
        <f>IF($A3667="","",IF(O3667&lt;&gt;원인분석!$C$9,"",IF(AND(M3667&gt;=원인분석!$C$10,M3667&lt;=원인분석!$C$11),"당기",IF(AND(M3667&gt;=원인분석!$C$12,M3667&lt;=원인분석!$C$13),"비교",""))))</f>
        <v/>
      </c>
      <c r="R3667" s="9">
        <f>IF(Q3667="","",$K3667&amp;"")</f>
        <v/>
      </c>
      <c r="S3667" s="9">
        <f>IF(Q3667="","",IF(MATCH(R3667,$R$5:$R$100000,0)=ROW()-4,ROW(),""))</f>
        <v/>
      </c>
      <c r="T3667" s="9">
        <f>IF(Q3667="당기",ABS(P3667)+ROW()/1000000000,"")</f>
        <v/>
      </c>
      <c r="U3667" s="9">
        <f>IF(Q3667="비교",ABS(P3667)+ROW()/1000000000,"")</f>
        <v/>
      </c>
      <c r="V3667" s="39">
        <f>IF($A3667="","",IF(COUNTIF(변동분석!$E$7:$E$506,O3667)&gt;0,"Y","N"))</f>
        <v/>
      </c>
      <c r="W3667" s="39">
        <f>IF($A3667="","",IFERROR(INDEX(계정매핑!$D$5:$D$504,MATCH($F3667&amp;"",계정매핑!$A$5:$A$504,0)),"미매핑"))</f>
        <v/>
      </c>
      <c r="X3667" s="9">
        <f>IF($A3667="","",$F3667&amp;"")</f>
        <v/>
      </c>
    </row>
    <row r="3668">
      <c r="A3668" s="75" t="n">
        <v>2026</v>
      </c>
      <c r="B3668" s="75" t="n">
        <v>7</v>
      </c>
      <c r="C3668" s="75" t="inlineStr">
        <is>
          <t>5100001324</t>
        </is>
      </c>
      <c r="D3668" s="78" t="n">
        <v>46224</v>
      </c>
      <c r="E3668" s="75" t="inlineStr">
        <is>
          <t>KR</t>
        </is>
      </c>
      <c r="F3668" s="75" t="n">
        <v>62301000</v>
      </c>
      <c r="G3668" s="75" t="n">
        <v>1101</v>
      </c>
      <c r="H3668" s="76" t="n">
        <v>154000</v>
      </c>
      <c r="I3668" s="75" t="inlineStr">
        <is>
          <t>7월 소모품 구입 - Q오피스</t>
        </is>
      </c>
      <c r="J3668" s="75" t="inlineStr">
        <is>
          <t>V10003</t>
        </is>
      </c>
      <c r="K3668" s="75" t="inlineStr">
        <is>
          <t>Q오피스</t>
        </is>
      </c>
      <c r="M3668" s="9">
        <f>IF($A3668="","",VALUE($A3668&amp;"")*12+VALUE($B3668&amp;""))</f>
        <v/>
      </c>
      <c r="N3668" s="39">
        <f>IF($A3668="","",IFERROR(INDEX(부서매핑!$C$5:$C$504,MATCH($G3668&amp;"",부서매핑!$A$5:$A$504,0)),"미매핑"))</f>
        <v/>
      </c>
      <c r="O3668" s="9">
        <f>IF($A3668="","",N3668&amp;"|"&amp;$F3668)</f>
        <v/>
      </c>
      <c r="P3668" s="77">
        <f>IF($A3668="",0,$H3668*설정!$C$23)</f>
        <v/>
      </c>
      <c r="Q3668" s="39">
        <f>IF($A3668="","",IF(O3668&lt;&gt;원인분석!$C$9,"",IF(AND(M3668&gt;=원인분석!$C$10,M3668&lt;=원인분석!$C$11),"당기",IF(AND(M3668&gt;=원인분석!$C$12,M3668&lt;=원인분석!$C$13),"비교",""))))</f>
        <v/>
      </c>
      <c r="R3668" s="9">
        <f>IF(Q3668="","",$K3668&amp;"")</f>
        <v/>
      </c>
      <c r="S3668" s="9">
        <f>IF(Q3668="","",IF(MATCH(R3668,$R$5:$R$100000,0)=ROW()-4,ROW(),""))</f>
        <v/>
      </c>
      <c r="T3668" s="9">
        <f>IF(Q3668="당기",ABS(P3668)+ROW()/1000000000,"")</f>
        <v/>
      </c>
      <c r="U3668" s="9">
        <f>IF(Q3668="비교",ABS(P3668)+ROW()/1000000000,"")</f>
        <v/>
      </c>
      <c r="V3668" s="39">
        <f>IF($A3668="","",IF(COUNTIF(변동분석!$E$7:$E$506,O3668)&gt;0,"Y","N"))</f>
        <v/>
      </c>
      <c r="W3668" s="39">
        <f>IF($A3668="","",IFERROR(INDEX(계정매핑!$D$5:$D$504,MATCH($F3668&amp;"",계정매핑!$A$5:$A$504,0)),"미매핑"))</f>
        <v/>
      </c>
      <c r="X3668" s="9">
        <f>IF($A3668="","",$F3668&amp;"")</f>
        <v/>
      </c>
    </row>
    <row r="3669">
      <c r="A3669" s="75" t="n">
        <v>2026</v>
      </c>
      <c r="B3669" s="75" t="n">
        <v>7</v>
      </c>
      <c r="C3669" s="75" t="inlineStr">
        <is>
          <t>5100001325</t>
        </is>
      </c>
      <c r="D3669" s="78" t="n">
        <v>46224</v>
      </c>
      <c r="E3669" s="75" t="inlineStr">
        <is>
          <t>KR</t>
        </is>
      </c>
      <c r="F3669" s="75" t="n">
        <v>62401000</v>
      </c>
      <c r="G3669" s="75" t="n">
        <v>1401</v>
      </c>
      <c r="H3669" s="76" t="n">
        <v>226000</v>
      </c>
      <c r="I3669" s="75" t="inlineStr">
        <is>
          <t>7월 인쇄물 제작 - G인쇄</t>
        </is>
      </c>
      <c r="J3669" s="75" t="inlineStr">
        <is>
          <t>V10004</t>
        </is>
      </c>
      <c r="K3669" s="75" t="inlineStr">
        <is>
          <t>G인쇄</t>
        </is>
      </c>
      <c r="M3669" s="9">
        <f>IF($A3669="","",VALUE($A3669&amp;"")*12+VALUE($B3669&amp;""))</f>
        <v/>
      </c>
      <c r="N3669" s="39">
        <f>IF($A3669="","",IFERROR(INDEX(부서매핑!$C$5:$C$504,MATCH($G3669&amp;"",부서매핑!$A$5:$A$504,0)),"미매핑"))</f>
        <v/>
      </c>
      <c r="O3669" s="9">
        <f>IF($A3669="","",N3669&amp;"|"&amp;$F3669)</f>
        <v/>
      </c>
      <c r="P3669" s="77">
        <f>IF($A3669="",0,$H3669*설정!$C$23)</f>
        <v/>
      </c>
      <c r="Q3669" s="39">
        <f>IF($A3669="","",IF(O3669&lt;&gt;원인분석!$C$9,"",IF(AND(M3669&gt;=원인분석!$C$10,M3669&lt;=원인분석!$C$11),"당기",IF(AND(M3669&gt;=원인분석!$C$12,M3669&lt;=원인분석!$C$13),"비교",""))))</f>
        <v/>
      </c>
      <c r="R3669" s="9">
        <f>IF(Q3669="","",$K3669&amp;"")</f>
        <v/>
      </c>
      <c r="S3669" s="9">
        <f>IF(Q3669="","",IF(MATCH(R3669,$R$5:$R$100000,0)=ROW()-4,ROW(),""))</f>
        <v/>
      </c>
      <c r="T3669" s="9">
        <f>IF(Q3669="당기",ABS(P3669)+ROW()/1000000000,"")</f>
        <v/>
      </c>
      <c r="U3669" s="9">
        <f>IF(Q3669="비교",ABS(P3669)+ROW()/1000000000,"")</f>
        <v/>
      </c>
      <c r="V3669" s="39">
        <f>IF($A3669="","",IF(COUNTIF(변동분석!$E$7:$E$506,O3669)&gt;0,"Y","N"))</f>
        <v/>
      </c>
      <c r="W3669" s="39">
        <f>IF($A3669="","",IFERROR(INDEX(계정매핑!$D$5:$D$504,MATCH($F3669&amp;"",계정매핑!$A$5:$A$504,0)),"미매핑"))</f>
        <v/>
      </c>
      <c r="X3669" s="9">
        <f>IF($A3669="","",$F3669&amp;"")</f>
        <v/>
      </c>
    </row>
    <row r="3670">
      <c r="A3670" s="75" t="n">
        <v>2026</v>
      </c>
      <c r="B3670" s="75" t="n">
        <v>7</v>
      </c>
      <c r="C3670" s="75" t="inlineStr">
        <is>
          <t>5100001326</t>
        </is>
      </c>
      <c r="D3670" s="78" t="n">
        <v>46224</v>
      </c>
      <c r="E3670" s="75" t="inlineStr">
        <is>
          <t>KR</t>
        </is>
      </c>
      <c r="F3670" s="75" t="n">
        <v>62501000</v>
      </c>
      <c r="G3670" s="75" t="n">
        <v>1301</v>
      </c>
      <c r="H3670" s="76" t="n">
        <v>444000</v>
      </c>
      <c r="I3670" s="75" t="inlineStr">
        <is>
          <t>7월 회의 다과 - (법인카드)</t>
        </is>
      </c>
      <c r="J3670" s="75" t="inlineStr">
        <is>
          <t>V10008</t>
        </is>
      </c>
      <c r="K3670" s="75" t="inlineStr">
        <is>
          <t>(법인카드)</t>
        </is>
      </c>
      <c r="M3670" s="9">
        <f>IF($A3670="","",VALUE($A3670&amp;"")*12+VALUE($B3670&amp;""))</f>
        <v/>
      </c>
      <c r="N3670" s="39">
        <f>IF($A3670="","",IFERROR(INDEX(부서매핑!$C$5:$C$504,MATCH($G3670&amp;"",부서매핑!$A$5:$A$504,0)),"미매핑"))</f>
        <v/>
      </c>
      <c r="O3670" s="9">
        <f>IF($A3670="","",N3670&amp;"|"&amp;$F3670)</f>
        <v/>
      </c>
      <c r="P3670" s="77">
        <f>IF($A3670="",0,$H3670*설정!$C$23)</f>
        <v/>
      </c>
      <c r="Q3670" s="39">
        <f>IF($A3670="","",IF(O3670&lt;&gt;원인분석!$C$9,"",IF(AND(M3670&gt;=원인분석!$C$10,M3670&lt;=원인분석!$C$11),"당기",IF(AND(M3670&gt;=원인분석!$C$12,M3670&lt;=원인분석!$C$13),"비교",""))))</f>
        <v/>
      </c>
      <c r="R3670" s="9">
        <f>IF(Q3670="","",$K3670&amp;"")</f>
        <v/>
      </c>
      <c r="S3670" s="9">
        <f>IF(Q3670="","",IF(MATCH(R3670,$R$5:$R$100000,0)=ROW()-4,ROW(),""))</f>
        <v/>
      </c>
      <c r="T3670" s="9">
        <f>IF(Q3670="당기",ABS(P3670)+ROW()/1000000000,"")</f>
        <v/>
      </c>
      <c r="U3670" s="9">
        <f>IF(Q3670="비교",ABS(P3670)+ROW()/1000000000,"")</f>
        <v/>
      </c>
      <c r="V3670" s="39">
        <f>IF($A3670="","",IF(COUNTIF(변동분석!$E$7:$E$506,O3670)&gt;0,"Y","N"))</f>
        <v/>
      </c>
      <c r="W3670" s="39">
        <f>IF($A3670="","",IFERROR(INDEX(계정매핑!$D$5:$D$504,MATCH($F3670&amp;"",계정매핑!$A$5:$A$504,0)),"미매핑"))</f>
        <v/>
      </c>
      <c r="X3670" s="9">
        <f>IF($A3670="","",$F3670&amp;"")</f>
        <v/>
      </c>
    </row>
    <row r="3671">
      <c r="A3671" s="75" t="n">
        <v>2026</v>
      </c>
      <c r="B3671" s="75" t="n">
        <v>7</v>
      </c>
      <c r="C3671" s="75" t="inlineStr">
        <is>
          <t>5100001327</t>
        </is>
      </c>
      <c r="D3671" s="78" t="n">
        <v>46224</v>
      </c>
      <c r="E3671" s="75" t="inlineStr">
        <is>
          <t>KR</t>
        </is>
      </c>
      <c r="F3671" s="75" t="n">
        <v>62501000</v>
      </c>
      <c r="G3671" s="75" t="n">
        <v>1801</v>
      </c>
      <c r="H3671" s="76" t="n">
        <v>166000</v>
      </c>
      <c r="I3671" s="75" t="inlineStr">
        <is>
          <t>7월 회의 다과 - T케이터링</t>
        </is>
      </c>
      <c r="J3671" s="75" t="inlineStr">
        <is>
          <t>V10005</t>
        </is>
      </c>
      <c r="K3671" s="75" t="inlineStr">
        <is>
          <t>T케이터링</t>
        </is>
      </c>
      <c r="M3671" s="9">
        <f>IF($A3671="","",VALUE($A3671&amp;"")*12+VALUE($B3671&amp;""))</f>
        <v/>
      </c>
      <c r="N3671" s="39">
        <f>IF($A3671="","",IFERROR(INDEX(부서매핑!$C$5:$C$504,MATCH($G3671&amp;"",부서매핑!$A$5:$A$504,0)),"미매핑"))</f>
        <v/>
      </c>
      <c r="O3671" s="9">
        <f>IF($A3671="","",N3671&amp;"|"&amp;$F3671)</f>
        <v/>
      </c>
      <c r="P3671" s="77">
        <f>IF($A3671="",0,$H3671*설정!$C$23)</f>
        <v/>
      </c>
      <c r="Q3671" s="39">
        <f>IF($A3671="","",IF(O3671&lt;&gt;원인분석!$C$9,"",IF(AND(M3671&gt;=원인분석!$C$10,M3671&lt;=원인분석!$C$11),"당기",IF(AND(M3671&gt;=원인분석!$C$12,M3671&lt;=원인분석!$C$13),"비교",""))))</f>
        <v/>
      </c>
      <c r="R3671" s="9">
        <f>IF(Q3671="","",$K3671&amp;"")</f>
        <v/>
      </c>
      <c r="S3671" s="9">
        <f>IF(Q3671="","",IF(MATCH(R3671,$R$5:$R$100000,0)=ROW()-4,ROW(),""))</f>
        <v/>
      </c>
      <c r="T3671" s="9">
        <f>IF(Q3671="당기",ABS(P3671)+ROW()/1000000000,"")</f>
        <v/>
      </c>
      <c r="U3671" s="9">
        <f>IF(Q3671="비교",ABS(P3671)+ROW()/1000000000,"")</f>
        <v/>
      </c>
      <c r="V3671" s="39">
        <f>IF($A3671="","",IF(COUNTIF(변동분석!$E$7:$E$506,O3671)&gt;0,"Y","N"))</f>
        <v/>
      </c>
      <c r="W3671" s="39">
        <f>IF($A3671="","",IFERROR(INDEX(계정매핑!$D$5:$D$504,MATCH($F3671&amp;"",계정매핑!$A$5:$A$504,0)),"미매핑"))</f>
        <v/>
      </c>
      <c r="X3671" s="9">
        <f>IF($A3671="","",$F3671&amp;"")</f>
        <v/>
      </c>
    </row>
    <row r="3672">
      <c r="A3672" s="75" t="n">
        <v>2026</v>
      </c>
      <c r="B3672" s="75" t="n">
        <v>7</v>
      </c>
      <c r="C3672" s="75" t="inlineStr">
        <is>
          <t>5100001328</t>
        </is>
      </c>
      <c r="D3672" s="78" t="n">
        <v>46224</v>
      </c>
      <c r="E3672" s="75" t="inlineStr">
        <is>
          <t>KR</t>
        </is>
      </c>
      <c r="F3672" s="75" t="n">
        <v>63101000</v>
      </c>
      <c r="G3672" s="75" t="n">
        <v>1601</v>
      </c>
      <c r="H3672" s="76" t="n">
        <v>3829000</v>
      </c>
      <c r="I3672" s="75" t="inlineStr">
        <is>
          <t>7월 사무실 임차료 - AA빌딩</t>
        </is>
      </c>
      <c r="J3672" s="75" t="inlineStr">
        <is>
          <t>V10006</t>
        </is>
      </c>
      <c r="K3672" s="75" t="inlineStr">
        <is>
          <t>AA빌딩</t>
        </is>
      </c>
      <c r="M3672" s="9">
        <f>IF($A3672="","",VALUE($A3672&amp;"")*12+VALUE($B3672&amp;""))</f>
        <v/>
      </c>
      <c r="N3672" s="39">
        <f>IF($A3672="","",IFERROR(INDEX(부서매핑!$C$5:$C$504,MATCH($G3672&amp;"",부서매핑!$A$5:$A$504,0)),"미매핑"))</f>
        <v/>
      </c>
      <c r="O3672" s="9">
        <f>IF($A3672="","",N3672&amp;"|"&amp;$F3672)</f>
        <v/>
      </c>
      <c r="P3672" s="77">
        <f>IF($A3672="",0,$H3672*설정!$C$23)</f>
        <v/>
      </c>
      <c r="Q3672" s="39">
        <f>IF($A3672="","",IF(O3672&lt;&gt;원인분석!$C$9,"",IF(AND(M3672&gt;=원인분석!$C$10,M3672&lt;=원인분석!$C$11),"당기",IF(AND(M3672&gt;=원인분석!$C$12,M3672&lt;=원인분석!$C$13),"비교",""))))</f>
        <v/>
      </c>
      <c r="R3672" s="9">
        <f>IF(Q3672="","",$K3672&amp;"")</f>
        <v/>
      </c>
      <c r="S3672" s="9">
        <f>IF(Q3672="","",IF(MATCH(R3672,$R$5:$R$100000,0)=ROW()-4,ROW(),""))</f>
        <v/>
      </c>
      <c r="T3672" s="9">
        <f>IF(Q3672="당기",ABS(P3672)+ROW()/1000000000,"")</f>
        <v/>
      </c>
      <c r="U3672" s="9">
        <f>IF(Q3672="비교",ABS(P3672)+ROW()/1000000000,"")</f>
        <v/>
      </c>
      <c r="V3672" s="39">
        <f>IF($A3672="","",IF(COUNTIF(변동분석!$E$7:$E$506,O3672)&gt;0,"Y","N"))</f>
        <v/>
      </c>
      <c r="W3672" s="39">
        <f>IF($A3672="","",IFERROR(INDEX(계정매핑!$D$5:$D$504,MATCH($F3672&amp;"",계정매핑!$A$5:$A$504,0)),"미매핑"))</f>
        <v/>
      </c>
      <c r="X3672" s="9">
        <f>IF($A3672="","",$F3672&amp;"")</f>
        <v/>
      </c>
    </row>
    <row r="3673">
      <c r="A3673" s="75" t="n">
        <v>2026</v>
      </c>
      <c r="B3673" s="75" t="n">
        <v>7</v>
      </c>
      <c r="C3673" s="75" t="inlineStr">
        <is>
          <t>5100001329</t>
        </is>
      </c>
      <c r="D3673" s="78" t="n">
        <v>46225</v>
      </c>
      <c r="E3673" s="75" t="inlineStr">
        <is>
          <t>KR</t>
        </is>
      </c>
      <c r="F3673" s="75" t="n">
        <v>62102000</v>
      </c>
      <c r="G3673" s="75" t="n">
        <v>1201</v>
      </c>
      <c r="H3673" s="76" t="n">
        <v>46000</v>
      </c>
      <c r="I3673" s="75" t="inlineStr">
        <is>
          <t>7월 해외출장 - N호텔</t>
        </is>
      </c>
      <c r="J3673" s="75" t="inlineStr">
        <is>
          <t>V10007</t>
        </is>
      </c>
      <c r="K3673" s="75" t="inlineStr">
        <is>
          <t>N호텔</t>
        </is>
      </c>
      <c r="M3673" s="9">
        <f>IF($A3673="","",VALUE($A3673&amp;"")*12+VALUE($B3673&amp;""))</f>
        <v/>
      </c>
      <c r="N3673" s="39">
        <f>IF($A3673="","",IFERROR(INDEX(부서매핑!$C$5:$C$504,MATCH($G3673&amp;"",부서매핑!$A$5:$A$504,0)),"미매핑"))</f>
        <v/>
      </c>
      <c r="O3673" s="9">
        <f>IF($A3673="","",N3673&amp;"|"&amp;$F3673)</f>
        <v/>
      </c>
      <c r="P3673" s="77">
        <f>IF($A3673="",0,$H3673*설정!$C$23)</f>
        <v/>
      </c>
      <c r="Q3673" s="39">
        <f>IF($A3673="","",IF(O3673&lt;&gt;원인분석!$C$9,"",IF(AND(M3673&gt;=원인분석!$C$10,M3673&lt;=원인분석!$C$11),"당기",IF(AND(M3673&gt;=원인분석!$C$12,M3673&lt;=원인분석!$C$13),"비교",""))))</f>
        <v/>
      </c>
      <c r="R3673" s="9">
        <f>IF(Q3673="","",$K3673&amp;"")</f>
        <v/>
      </c>
      <c r="S3673" s="9">
        <f>IF(Q3673="","",IF(MATCH(R3673,$R$5:$R$100000,0)=ROW()-4,ROW(),""))</f>
        <v/>
      </c>
      <c r="T3673" s="9">
        <f>IF(Q3673="당기",ABS(P3673)+ROW()/1000000000,"")</f>
        <v/>
      </c>
      <c r="U3673" s="9">
        <f>IF(Q3673="비교",ABS(P3673)+ROW()/1000000000,"")</f>
        <v/>
      </c>
      <c r="V3673" s="39">
        <f>IF($A3673="","",IF(COUNTIF(변동분석!$E$7:$E$506,O3673)&gt;0,"Y","N"))</f>
        <v/>
      </c>
      <c r="W3673" s="39">
        <f>IF($A3673="","",IFERROR(INDEX(계정매핑!$D$5:$D$504,MATCH($F3673&amp;"",계정매핑!$A$5:$A$504,0)),"미매핑"))</f>
        <v/>
      </c>
      <c r="X3673" s="9">
        <f>IF($A3673="","",$F3673&amp;"")</f>
        <v/>
      </c>
    </row>
    <row r="3674">
      <c r="A3674" s="75" t="n">
        <v>2026</v>
      </c>
      <c r="B3674" s="75" t="n">
        <v>7</v>
      </c>
      <c r="C3674" s="75" t="inlineStr">
        <is>
          <t>5100001330</t>
        </is>
      </c>
      <c r="D3674" s="78" t="n">
        <v>46225</v>
      </c>
      <c r="E3674" s="75" t="inlineStr">
        <is>
          <t>KR</t>
        </is>
      </c>
      <c r="F3674" s="75" t="n">
        <v>62102000</v>
      </c>
      <c r="G3674" s="75" t="n">
        <v>1701</v>
      </c>
      <c r="H3674" s="76" t="n">
        <v>41000</v>
      </c>
      <c r="I3674" s="75" t="inlineStr">
        <is>
          <t>7월 해외출장 - N호텔</t>
        </is>
      </c>
      <c r="J3674" s="75" t="inlineStr">
        <is>
          <t>V10007</t>
        </is>
      </c>
      <c r="K3674" s="75" t="inlineStr">
        <is>
          <t>N호텔</t>
        </is>
      </c>
      <c r="M3674" s="9">
        <f>IF($A3674="","",VALUE($A3674&amp;"")*12+VALUE($B3674&amp;""))</f>
        <v/>
      </c>
      <c r="N3674" s="39">
        <f>IF($A3674="","",IFERROR(INDEX(부서매핑!$C$5:$C$504,MATCH($G3674&amp;"",부서매핑!$A$5:$A$504,0)),"미매핑"))</f>
        <v/>
      </c>
      <c r="O3674" s="9">
        <f>IF($A3674="","",N3674&amp;"|"&amp;$F3674)</f>
        <v/>
      </c>
      <c r="P3674" s="77">
        <f>IF($A3674="",0,$H3674*설정!$C$23)</f>
        <v/>
      </c>
      <c r="Q3674" s="39">
        <f>IF($A3674="","",IF(O3674&lt;&gt;원인분석!$C$9,"",IF(AND(M3674&gt;=원인분석!$C$10,M3674&lt;=원인분석!$C$11),"당기",IF(AND(M3674&gt;=원인분석!$C$12,M3674&lt;=원인분석!$C$13),"비교",""))))</f>
        <v/>
      </c>
      <c r="R3674" s="9">
        <f>IF(Q3674="","",$K3674&amp;"")</f>
        <v/>
      </c>
      <c r="S3674" s="9">
        <f>IF(Q3674="","",IF(MATCH(R3674,$R$5:$R$100000,0)=ROW()-4,ROW(),""))</f>
        <v/>
      </c>
      <c r="T3674" s="9">
        <f>IF(Q3674="당기",ABS(P3674)+ROW()/1000000000,"")</f>
        <v/>
      </c>
      <c r="U3674" s="9">
        <f>IF(Q3674="비교",ABS(P3674)+ROW()/1000000000,"")</f>
        <v/>
      </c>
      <c r="V3674" s="39">
        <f>IF($A3674="","",IF(COUNTIF(변동분석!$E$7:$E$506,O3674)&gt;0,"Y","N"))</f>
        <v/>
      </c>
      <c r="W3674" s="39">
        <f>IF($A3674="","",IFERROR(INDEX(계정매핑!$D$5:$D$504,MATCH($F3674&amp;"",계정매핑!$A$5:$A$504,0)),"미매핑"))</f>
        <v/>
      </c>
      <c r="X3674" s="9">
        <f>IF($A3674="","",$F3674&amp;"")</f>
        <v/>
      </c>
    </row>
    <row r="3675">
      <c r="A3675" s="75" t="n">
        <v>2026</v>
      </c>
      <c r="B3675" s="75" t="n">
        <v>7</v>
      </c>
      <c r="C3675" s="75" t="inlineStr">
        <is>
          <t>5100001331</t>
        </is>
      </c>
      <c r="D3675" s="78" t="n">
        <v>46225</v>
      </c>
      <c r="E3675" s="75" t="inlineStr">
        <is>
          <t>KR</t>
        </is>
      </c>
      <c r="F3675" s="75" t="n">
        <v>62501000</v>
      </c>
      <c r="G3675" s="75" t="n">
        <v>1501</v>
      </c>
      <c r="H3675" s="76" t="n">
        <v>276000</v>
      </c>
      <c r="I3675" s="75" t="inlineStr">
        <is>
          <t>7월 회의 다과 - T케이터링</t>
        </is>
      </c>
      <c r="J3675" s="75" t="inlineStr">
        <is>
          <t>V10005</t>
        </is>
      </c>
      <c r="K3675" s="75" t="inlineStr">
        <is>
          <t>T케이터링</t>
        </is>
      </c>
      <c r="M3675" s="9">
        <f>IF($A3675="","",VALUE($A3675&amp;"")*12+VALUE($B3675&amp;""))</f>
        <v/>
      </c>
      <c r="N3675" s="39">
        <f>IF($A3675="","",IFERROR(INDEX(부서매핑!$C$5:$C$504,MATCH($G3675&amp;"",부서매핑!$A$5:$A$504,0)),"미매핑"))</f>
        <v/>
      </c>
      <c r="O3675" s="9">
        <f>IF($A3675="","",N3675&amp;"|"&amp;$F3675)</f>
        <v/>
      </c>
      <c r="P3675" s="77">
        <f>IF($A3675="",0,$H3675*설정!$C$23)</f>
        <v/>
      </c>
      <c r="Q3675" s="39">
        <f>IF($A3675="","",IF(O3675&lt;&gt;원인분석!$C$9,"",IF(AND(M3675&gt;=원인분석!$C$10,M3675&lt;=원인분석!$C$11),"당기",IF(AND(M3675&gt;=원인분석!$C$12,M3675&lt;=원인분석!$C$13),"비교",""))))</f>
        <v/>
      </c>
      <c r="R3675" s="9">
        <f>IF(Q3675="","",$K3675&amp;"")</f>
        <v/>
      </c>
      <c r="S3675" s="9">
        <f>IF(Q3675="","",IF(MATCH(R3675,$R$5:$R$100000,0)=ROW()-4,ROW(),""))</f>
        <v/>
      </c>
      <c r="T3675" s="9">
        <f>IF(Q3675="당기",ABS(P3675)+ROW()/1000000000,"")</f>
        <v/>
      </c>
      <c r="U3675" s="9">
        <f>IF(Q3675="비교",ABS(P3675)+ROW()/1000000000,"")</f>
        <v/>
      </c>
      <c r="V3675" s="39">
        <f>IF($A3675="","",IF(COUNTIF(변동분석!$E$7:$E$506,O3675)&gt;0,"Y","N"))</f>
        <v/>
      </c>
      <c r="W3675" s="39">
        <f>IF($A3675="","",IFERROR(INDEX(계정매핑!$D$5:$D$504,MATCH($F3675&amp;"",계정매핑!$A$5:$A$504,0)),"미매핑"))</f>
        <v/>
      </c>
      <c r="X3675" s="9">
        <f>IF($A3675="","",$F3675&amp;"")</f>
        <v/>
      </c>
    </row>
    <row r="3676">
      <c r="A3676" s="75" t="n">
        <v>2026</v>
      </c>
      <c r="B3676" s="75" t="n">
        <v>7</v>
      </c>
      <c r="C3676" s="75" t="inlineStr">
        <is>
          <t>5100001332</t>
        </is>
      </c>
      <c r="D3676" s="78" t="n">
        <v>46225</v>
      </c>
      <c r="E3676" s="75" t="inlineStr">
        <is>
          <t>KR</t>
        </is>
      </c>
      <c r="F3676" s="75" t="n">
        <v>62601000</v>
      </c>
      <c r="G3676" s="75" t="n">
        <v>1502</v>
      </c>
      <c r="H3676" s="76" t="n">
        <v>1263000</v>
      </c>
      <c r="I3676" s="75" t="inlineStr">
        <is>
          <t>7월 업무추진 - (법인카드)</t>
        </is>
      </c>
      <c r="J3676" s="75" t="inlineStr">
        <is>
          <t>V10008</t>
        </is>
      </c>
      <c r="K3676" s="75" t="inlineStr">
        <is>
          <t>(법인카드)</t>
        </is>
      </c>
      <c r="M3676" s="9">
        <f>IF($A3676="","",VALUE($A3676&amp;"")*12+VALUE($B3676&amp;""))</f>
        <v/>
      </c>
      <c r="N3676" s="39">
        <f>IF($A3676="","",IFERROR(INDEX(부서매핑!$C$5:$C$504,MATCH($G3676&amp;"",부서매핑!$A$5:$A$504,0)),"미매핑"))</f>
        <v/>
      </c>
      <c r="O3676" s="9">
        <f>IF($A3676="","",N3676&amp;"|"&amp;$F3676)</f>
        <v/>
      </c>
      <c r="P3676" s="77">
        <f>IF($A3676="",0,$H3676*설정!$C$23)</f>
        <v/>
      </c>
      <c r="Q3676" s="39">
        <f>IF($A3676="","",IF(O3676&lt;&gt;원인분석!$C$9,"",IF(AND(M3676&gt;=원인분석!$C$10,M3676&lt;=원인분석!$C$11),"당기",IF(AND(M3676&gt;=원인분석!$C$12,M3676&lt;=원인분석!$C$13),"비교",""))))</f>
        <v/>
      </c>
      <c r="R3676" s="9">
        <f>IF(Q3676="","",$K3676&amp;"")</f>
        <v/>
      </c>
      <c r="S3676" s="9">
        <f>IF(Q3676="","",IF(MATCH(R3676,$R$5:$R$100000,0)=ROW()-4,ROW(),""))</f>
        <v/>
      </c>
      <c r="T3676" s="9">
        <f>IF(Q3676="당기",ABS(P3676)+ROW()/1000000000,"")</f>
        <v/>
      </c>
      <c r="U3676" s="9">
        <f>IF(Q3676="비교",ABS(P3676)+ROW()/1000000000,"")</f>
        <v/>
      </c>
      <c r="V3676" s="39">
        <f>IF($A3676="","",IF(COUNTIF(변동분석!$E$7:$E$506,O3676)&gt;0,"Y","N"))</f>
        <v/>
      </c>
      <c r="W3676" s="39">
        <f>IF($A3676="","",IFERROR(INDEX(계정매핑!$D$5:$D$504,MATCH($F3676&amp;"",계정매핑!$A$5:$A$504,0)),"미매핑"))</f>
        <v/>
      </c>
      <c r="X3676" s="9">
        <f>IF($A3676="","",$F3676&amp;"")</f>
        <v/>
      </c>
    </row>
    <row r="3677">
      <c r="A3677" s="75" t="n">
        <v>2026</v>
      </c>
      <c r="B3677" s="75" t="n">
        <v>7</v>
      </c>
      <c r="C3677" s="75" t="inlineStr">
        <is>
          <t>5100001333</t>
        </is>
      </c>
      <c r="D3677" s="78" t="n">
        <v>46226</v>
      </c>
      <c r="E3677" s="75" t="inlineStr">
        <is>
          <t>KR</t>
        </is>
      </c>
      <c r="F3677" s="75" t="n">
        <v>62101000</v>
      </c>
      <c r="G3677" s="75" t="n">
        <v>1201</v>
      </c>
      <c r="H3677" s="76" t="n">
        <v>282000</v>
      </c>
      <c r="I3677" s="75" t="inlineStr">
        <is>
          <t>7월 국내출장 - (법인카드)</t>
        </is>
      </c>
      <c r="J3677" s="75" t="inlineStr">
        <is>
          <t>V10008</t>
        </is>
      </c>
      <c r="K3677" s="75" t="inlineStr">
        <is>
          <t>(법인카드)</t>
        </is>
      </c>
      <c r="M3677" s="9">
        <f>IF($A3677="","",VALUE($A3677&amp;"")*12+VALUE($B3677&amp;""))</f>
        <v/>
      </c>
      <c r="N3677" s="39">
        <f>IF($A3677="","",IFERROR(INDEX(부서매핑!$C$5:$C$504,MATCH($G3677&amp;"",부서매핑!$A$5:$A$504,0)),"미매핑"))</f>
        <v/>
      </c>
      <c r="O3677" s="9">
        <f>IF($A3677="","",N3677&amp;"|"&amp;$F3677)</f>
        <v/>
      </c>
      <c r="P3677" s="77">
        <f>IF($A3677="",0,$H3677*설정!$C$23)</f>
        <v/>
      </c>
      <c r="Q3677" s="39">
        <f>IF($A3677="","",IF(O3677&lt;&gt;원인분석!$C$9,"",IF(AND(M3677&gt;=원인분석!$C$10,M3677&lt;=원인분석!$C$11),"당기",IF(AND(M3677&gt;=원인분석!$C$12,M3677&lt;=원인분석!$C$13),"비교",""))))</f>
        <v/>
      </c>
      <c r="R3677" s="9">
        <f>IF(Q3677="","",$K3677&amp;"")</f>
        <v/>
      </c>
      <c r="S3677" s="9">
        <f>IF(Q3677="","",IF(MATCH(R3677,$R$5:$R$100000,0)=ROW()-4,ROW(),""))</f>
        <v/>
      </c>
      <c r="T3677" s="9">
        <f>IF(Q3677="당기",ABS(P3677)+ROW()/1000000000,"")</f>
        <v/>
      </c>
      <c r="U3677" s="9">
        <f>IF(Q3677="비교",ABS(P3677)+ROW()/1000000000,"")</f>
        <v/>
      </c>
      <c r="V3677" s="39">
        <f>IF($A3677="","",IF(COUNTIF(변동분석!$E$7:$E$506,O3677)&gt;0,"Y","N"))</f>
        <v/>
      </c>
      <c r="W3677" s="39">
        <f>IF($A3677="","",IFERROR(INDEX(계정매핑!$D$5:$D$504,MATCH($F3677&amp;"",계정매핑!$A$5:$A$504,0)),"미매핑"))</f>
        <v/>
      </c>
      <c r="X3677" s="9">
        <f>IF($A3677="","",$F3677&amp;"")</f>
        <v/>
      </c>
    </row>
    <row r="3678">
      <c r="A3678" s="75" t="n">
        <v>2026</v>
      </c>
      <c r="B3678" s="75" t="n">
        <v>7</v>
      </c>
      <c r="C3678" s="75" t="inlineStr">
        <is>
          <t>5100001334</t>
        </is>
      </c>
      <c r="D3678" s="78" t="n">
        <v>46226</v>
      </c>
      <c r="E3678" s="75" t="inlineStr">
        <is>
          <t>KR</t>
        </is>
      </c>
      <c r="F3678" s="75" t="n">
        <v>62102000</v>
      </c>
      <c r="G3678" s="75" t="n">
        <v>1101</v>
      </c>
      <c r="H3678" s="76" t="n">
        <v>267000</v>
      </c>
      <c r="I3678" s="75" t="inlineStr">
        <is>
          <t>7월 해외출장 - N호텔</t>
        </is>
      </c>
      <c r="J3678" s="75" t="inlineStr">
        <is>
          <t>V10007</t>
        </is>
      </c>
      <c r="K3678" s="75" t="inlineStr">
        <is>
          <t>N호텔</t>
        </is>
      </c>
      <c r="M3678" s="9">
        <f>IF($A3678="","",VALUE($A3678&amp;"")*12+VALUE($B3678&amp;""))</f>
        <v/>
      </c>
      <c r="N3678" s="39">
        <f>IF($A3678="","",IFERROR(INDEX(부서매핑!$C$5:$C$504,MATCH($G3678&amp;"",부서매핑!$A$5:$A$504,0)),"미매핑"))</f>
        <v/>
      </c>
      <c r="O3678" s="9">
        <f>IF($A3678="","",N3678&amp;"|"&amp;$F3678)</f>
        <v/>
      </c>
      <c r="P3678" s="77">
        <f>IF($A3678="",0,$H3678*설정!$C$23)</f>
        <v/>
      </c>
      <c r="Q3678" s="39">
        <f>IF($A3678="","",IF(O3678&lt;&gt;원인분석!$C$9,"",IF(AND(M3678&gt;=원인분석!$C$10,M3678&lt;=원인분석!$C$11),"당기",IF(AND(M3678&gt;=원인분석!$C$12,M3678&lt;=원인분석!$C$13),"비교",""))))</f>
        <v/>
      </c>
      <c r="R3678" s="9">
        <f>IF(Q3678="","",$K3678&amp;"")</f>
        <v/>
      </c>
      <c r="S3678" s="9">
        <f>IF(Q3678="","",IF(MATCH(R3678,$R$5:$R$100000,0)=ROW()-4,ROW(),""))</f>
        <v/>
      </c>
      <c r="T3678" s="9">
        <f>IF(Q3678="당기",ABS(P3678)+ROW()/1000000000,"")</f>
        <v/>
      </c>
      <c r="U3678" s="9">
        <f>IF(Q3678="비교",ABS(P3678)+ROW()/1000000000,"")</f>
        <v/>
      </c>
      <c r="V3678" s="39">
        <f>IF($A3678="","",IF(COUNTIF(변동분석!$E$7:$E$506,O3678)&gt;0,"Y","N"))</f>
        <v/>
      </c>
      <c r="W3678" s="39">
        <f>IF($A3678="","",IFERROR(INDEX(계정매핑!$D$5:$D$504,MATCH($F3678&amp;"",계정매핑!$A$5:$A$504,0)),"미매핑"))</f>
        <v/>
      </c>
      <c r="X3678" s="9">
        <f>IF($A3678="","",$F3678&amp;"")</f>
        <v/>
      </c>
    </row>
    <row r="3679">
      <c r="A3679" s="75" t="n">
        <v>2026</v>
      </c>
      <c r="B3679" s="75" t="n">
        <v>7</v>
      </c>
      <c r="C3679" s="75" t="inlineStr">
        <is>
          <t>5100001335</t>
        </is>
      </c>
      <c r="D3679" s="78" t="n">
        <v>46226</v>
      </c>
      <c r="E3679" s="75" t="inlineStr">
        <is>
          <t>KR</t>
        </is>
      </c>
      <c r="F3679" s="75" t="n">
        <v>62201000</v>
      </c>
      <c r="G3679" s="75" t="n">
        <v>1101</v>
      </c>
      <c r="H3679" s="76" t="n">
        <v>311000</v>
      </c>
      <c r="I3679" s="75" t="inlineStr">
        <is>
          <t>7월 통신요금 - O텔레콤</t>
        </is>
      </c>
      <c r="J3679" s="75" t="inlineStr">
        <is>
          <t>V10002</t>
        </is>
      </c>
      <c r="K3679" s="75" t="inlineStr">
        <is>
          <t>O텔레콤</t>
        </is>
      </c>
      <c r="M3679" s="9">
        <f>IF($A3679="","",VALUE($A3679&amp;"")*12+VALUE($B3679&amp;""))</f>
        <v/>
      </c>
      <c r="N3679" s="39">
        <f>IF($A3679="","",IFERROR(INDEX(부서매핑!$C$5:$C$504,MATCH($G3679&amp;"",부서매핑!$A$5:$A$504,0)),"미매핑"))</f>
        <v/>
      </c>
      <c r="O3679" s="9">
        <f>IF($A3679="","",N3679&amp;"|"&amp;$F3679)</f>
        <v/>
      </c>
      <c r="P3679" s="77">
        <f>IF($A3679="",0,$H3679*설정!$C$23)</f>
        <v/>
      </c>
      <c r="Q3679" s="39">
        <f>IF($A3679="","",IF(O3679&lt;&gt;원인분석!$C$9,"",IF(AND(M3679&gt;=원인분석!$C$10,M3679&lt;=원인분석!$C$11),"당기",IF(AND(M3679&gt;=원인분석!$C$12,M3679&lt;=원인분석!$C$13),"비교",""))))</f>
        <v/>
      </c>
      <c r="R3679" s="9">
        <f>IF(Q3679="","",$K3679&amp;"")</f>
        <v/>
      </c>
      <c r="S3679" s="9">
        <f>IF(Q3679="","",IF(MATCH(R3679,$R$5:$R$100000,0)=ROW()-4,ROW(),""))</f>
        <v/>
      </c>
      <c r="T3679" s="9">
        <f>IF(Q3679="당기",ABS(P3679)+ROW()/1000000000,"")</f>
        <v/>
      </c>
      <c r="U3679" s="9">
        <f>IF(Q3679="비교",ABS(P3679)+ROW()/1000000000,"")</f>
        <v/>
      </c>
      <c r="V3679" s="39">
        <f>IF($A3679="","",IF(COUNTIF(변동분석!$E$7:$E$506,O3679)&gt;0,"Y","N"))</f>
        <v/>
      </c>
      <c r="W3679" s="39">
        <f>IF($A3679="","",IFERROR(INDEX(계정매핑!$D$5:$D$504,MATCH($F3679&amp;"",계정매핑!$A$5:$A$504,0)),"미매핑"))</f>
        <v/>
      </c>
      <c r="X3679" s="9">
        <f>IF($A3679="","",$F3679&amp;"")</f>
        <v/>
      </c>
    </row>
    <row r="3680">
      <c r="A3680" s="75" t="n">
        <v>2026</v>
      </c>
      <c r="B3680" s="75" t="n">
        <v>7</v>
      </c>
      <c r="C3680" s="75" t="inlineStr">
        <is>
          <t>5100001336</t>
        </is>
      </c>
      <c r="D3680" s="78" t="n">
        <v>46226</v>
      </c>
      <c r="E3680" s="75" t="inlineStr">
        <is>
          <t>KR</t>
        </is>
      </c>
      <c r="F3680" s="75" t="n">
        <v>62201000</v>
      </c>
      <c r="G3680" s="75" t="n">
        <v>1701</v>
      </c>
      <c r="H3680" s="76" t="n">
        <v>4066000</v>
      </c>
      <c r="I3680" s="75" t="inlineStr">
        <is>
          <t>7월 통신요금 - P통신</t>
        </is>
      </c>
      <c r="J3680" s="75" t="inlineStr">
        <is>
          <t>V10011</t>
        </is>
      </c>
      <c r="K3680" s="75" t="inlineStr">
        <is>
          <t>P통신</t>
        </is>
      </c>
      <c r="M3680" s="9">
        <f>IF($A3680="","",VALUE($A3680&amp;"")*12+VALUE($B3680&amp;""))</f>
        <v/>
      </c>
      <c r="N3680" s="39">
        <f>IF($A3680="","",IFERROR(INDEX(부서매핑!$C$5:$C$504,MATCH($G3680&amp;"",부서매핑!$A$5:$A$504,0)),"미매핑"))</f>
        <v/>
      </c>
      <c r="O3680" s="9">
        <f>IF($A3680="","",N3680&amp;"|"&amp;$F3680)</f>
        <v/>
      </c>
      <c r="P3680" s="77">
        <f>IF($A3680="",0,$H3680*설정!$C$23)</f>
        <v/>
      </c>
      <c r="Q3680" s="39">
        <f>IF($A3680="","",IF(O3680&lt;&gt;원인분석!$C$9,"",IF(AND(M3680&gt;=원인분석!$C$10,M3680&lt;=원인분석!$C$11),"당기",IF(AND(M3680&gt;=원인분석!$C$12,M3680&lt;=원인분석!$C$13),"비교",""))))</f>
        <v/>
      </c>
      <c r="R3680" s="9">
        <f>IF(Q3680="","",$K3680&amp;"")</f>
        <v/>
      </c>
      <c r="S3680" s="9">
        <f>IF(Q3680="","",IF(MATCH(R3680,$R$5:$R$100000,0)=ROW()-4,ROW(),""))</f>
        <v/>
      </c>
      <c r="T3680" s="9">
        <f>IF(Q3680="당기",ABS(P3680)+ROW()/1000000000,"")</f>
        <v/>
      </c>
      <c r="U3680" s="9">
        <f>IF(Q3680="비교",ABS(P3680)+ROW()/1000000000,"")</f>
        <v/>
      </c>
      <c r="V3680" s="39">
        <f>IF($A3680="","",IF(COUNTIF(변동분석!$E$7:$E$506,O3680)&gt;0,"Y","N"))</f>
        <v/>
      </c>
      <c r="W3680" s="39">
        <f>IF($A3680="","",IFERROR(INDEX(계정매핑!$D$5:$D$504,MATCH($F3680&amp;"",계정매핑!$A$5:$A$504,0)),"미매핑"))</f>
        <v/>
      </c>
      <c r="X3680" s="9">
        <f>IF($A3680="","",$F3680&amp;"")</f>
        <v/>
      </c>
    </row>
    <row r="3681">
      <c r="A3681" s="75" t="n">
        <v>2026</v>
      </c>
      <c r="B3681" s="75" t="n">
        <v>7</v>
      </c>
      <c r="C3681" s="75" t="inlineStr">
        <is>
          <t>5100001337</t>
        </is>
      </c>
      <c r="D3681" s="78" t="n">
        <v>46226</v>
      </c>
      <c r="E3681" s="75" t="inlineStr">
        <is>
          <t>KR</t>
        </is>
      </c>
      <c r="F3681" s="75" t="n">
        <v>62301000</v>
      </c>
      <c r="G3681" s="75" t="n">
        <v>1401</v>
      </c>
      <c r="H3681" s="76" t="n">
        <v>117000</v>
      </c>
      <c r="I3681" s="75" t="inlineStr">
        <is>
          <t>7월 소모품 구입 - R문구</t>
        </is>
      </c>
      <c r="J3681" s="75" t="inlineStr">
        <is>
          <t>V10018</t>
        </is>
      </c>
      <c r="K3681" s="75" t="inlineStr">
        <is>
          <t>R문구</t>
        </is>
      </c>
      <c r="M3681" s="9">
        <f>IF($A3681="","",VALUE($A3681&amp;"")*12+VALUE($B3681&amp;""))</f>
        <v/>
      </c>
      <c r="N3681" s="39">
        <f>IF($A3681="","",IFERROR(INDEX(부서매핑!$C$5:$C$504,MATCH($G3681&amp;"",부서매핑!$A$5:$A$504,0)),"미매핑"))</f>
        <v/>
      </c>
      <c r="O3681" s="9">
        <f>IF($A3681="","",N3681&amp;"|"&amp;$F3681)</f>
        <v/>
      </c>
      <c r="P3681" s="77">
        <f>IF($A3681="",0,$H3681*설정!$C$23)</f>
        <v/>
      </c>
      <c r="Q3681" s="39">
        <f>IF($A3681="","",IF(O3681&lt;&gt;원인분석!$C$9,"",IF(AND(M3681&gt;=원인분석!$C$10,M3681&lt;=원인분석!$C$11),"당기",IF(AND(M3681&gt;=원인분석!$C$12,M3681&lt;=원인분석!$C$13),"비교",""))))</f>
        <v/>
      </c>
      <c r="R3681" s="9">
        <f>IF(Q3681="","",$K3681&amp;"")</f>
        <v/>
      </c>
      <c r="S3681" s="9">
        <f>IF(Q3681="","",IF(MATCH(R3681,$R$5:$R$100000,0)=ROW()-4,ROW(),""))</f>
        <v/>
      </c>
      <c r="T3681" s="9">
        <f>IF(Q3681="당기",ABS(P3681)+ROW()/1000000000,"")</f>
        <v/>
      </c>
      <c r="U3681" s="9">
        <f>IF(Q3681="비교",ABS(P3681)+ROW()/1000000000,"")</f>
        <v/>
      </c>
      <c r="V3681" s="39">
        <f>IF($A3681="","",IF(COUNTIF(변동분석!$E$7:$E$506,O3681)&gt;0,"Y","N"))</f>
        <v/>
      </c>
      <c r="W3681" s="39">
        <f>IF($A3681="","",IFERROR(INDEX(계정매핑!$D$5:$D$504,MATCH($F3681&amp;"",계정매핑!$A$5:$A$504,0)),"미매핑"))</f>
        <v/>
      </c>
      <c r="X3681" s="9">
        <f>IF($A3681="","",$F3681&amp;"")</f>
        <v/>
      </c>
    </row>
    <row r="3682">
      <c r="A3682" s="75" t="n">
        <v>2026</v>
      </c>
      <c r="B3682" s="75" t="n">
        <v>7</v>
      </c>
      <c r="C3682" s="75" t="inlineStr">
        <is>
          <t>5100001338</t>
        </is>
      </c>
      <c r="D3682" s="78" t="n">
        <v>46226</v>
      </c>
      <c r="E3682" s="75" t="inlineStr">
        <is>
          <t>KR</t>
        </is>
      </c>
      <c r="F3682" s="75" t="n">
        <v>62301000</v>
      </c>
      <c r="G3682" s="75" t="n">
        <v>1701</v>
      </c>
      <c r="H3682" s="76" t="n">
        <v>308000</v>
      </c>
      <c r="I3682" s="75" t="inlineStr">
        <is>
          <t>7월 소모품 구입 - Q오피스</t>
        </is>
      </c>
      <c r="J3682" s="75" t="inlineStr">
        <is>
          <t>V10003</t>
        </is>
      </c>
      <c r="K3682" s="75" t="inlineStr">
        <is>
          <t>Q오피스</t>
        </is>
      </c>
      <c r="M3682" s="9">
        <f>IF($A3682="","",VALUE($A3682&amp;"")*12+VALUE($B3682&amp;""))</f>
        <v/>
      </c>
      <c r="N3682" s="39">
        <f>IF($A3682="","",IFERROR(INDEX(부서매핑!$C$5:$C$504,MATCH($G3682&amp;"",부서매핑!$A$5:$A$504,0)),"미매핑"))</f>
        <v/>
      </c>
      <c r="O3682" s="9">
        <f>IF($A3682="","",N3682&amp;"|"&amp;$F3682)</f>
        <v/>
      </c>
      <c r="P3682" s="77">
        <f>IF($A3682="",0,$H3682*설정!$C$23)</f>
        <v/>
      </c>
      <c r="Q3682" s="39">
        <f>IF($A3682="","",IF(O3682&lt;&gt;원인분석!$C$9,"",IF(AND(M3682&gt;=원인분석!$C$10,M3682&lt;=원인분석!$C$11),"당기",IF(AND(M3682&gt;=원인분석!$C$12,M3682&lt;=원인분석!$C$13),"비교",""))))</f>
        <v/>
      </c>
      <c r="R3682" s="9">
        <f>IF(Q3682="","",$K3682&amp;"")</f>
        <v/>
      </c>
      <c r="S3682" s="9">
        <f>IF(Q3682="","",IF(MATCH(R3682,$R$5:$R$100000,0)=ROW()-4,ROW(),""))</f>
        <v/>
      </c>
      <c r="T3682" s="9">
        <f>IF(Q3682="당기",ABS(P3682)+ROW()/1000000000,"")</f>
        <v/>
      </c>
      <c r="U3682" s="9">
        <f>IF(Q3682="비교",ABS(P3682)+ROW()/1000000000,"")</f>
        <v/>
      </c>
      <c r="V3682" s="39">
        <f>IF($A3682="","",IF(COUNTIF(변동분석!$E$7:$E$506,O3682)&gt;0,"Y","N"))</f>
        <v/>
      </c>
      <c r="W3682" s="39">
        <f>IF($A3682="","",IFERROR(INDEX(계정매핑!$D$5:$D$504,MATCH($F3682&amp;"",계정매핑!$A$5:$A$504,0)),"미매핑"))</f>
        <v/>
      </c>
      <c r="X3682" s="9">
        <f>IF($A3682="","",$F3682&amp;"")</f>
        <v/>
      </c>
    </row>
    <row r="3683">
      <c r="A3683" s="75" t="n">
        <v>2026</v>
      </c>
      <c r="B3683" s="75" t="n">
        <v>7</v>
      </c>
      <c r="C3683" s="75" t="inlineStr">
        <is>
          <t>5100001339</t>
        </is>
      </c>
      <c r="D3683" s="78" t="n">
        <v>46226</v>
      </c>
      <c r="E3683" s="75" t="inlineStr">
        <is>
          <t>KR</t>
        </is>
      </c>
      <c r="F3683" s="75" t="n">
        <v>62501000</v>
      </c>
      <c r="G3683" s="75" t="n">
        <v>1201</v>
      </c>
      <c r="H3683" s="76" t="n">
        <v>80000</v>
      </c>
      <c r="I3683" s="75" t="inlineStr">
        <is>
          <t>7월 회의 다과 - (법인카드)</t>
        </is>
      </c>
      <c r="J3683" s="75" t="inlineStr">
        <is>
          <t>V10008</t>
        </is>
      </c>
      <c r="K3683" s="75" t="inlineStr">
        <is>
          <t>(법인카드)</t>
        </is>
      </c>
      <c r="M3683" s="9">
        <f>IF($A3683="","",VALUE($A3683&amp;"")*12+VALUE($B3683&amp;""))</f>
        <v/>
      </c>
      <c r="N3683" s="39">
        <f>IF($A3683="","",IFERROR(INDEX(부서매핑!$C$5:$C$504,MATCH($G3683&amp;"",부서매핑!$A$5:$A$504,0)),"미매핑"))</f>
        <v/>
      </c>
      <c r="O3683" s="9">
        <f>IF($A3683="","",N3683&amp;"|"&amp;$F3683)</f>
        <v/>
      </c>
      <c r="P3683" s="77">
        <f>IF($A3683="",0,$H3683*설정!$C$23)</f>
        <v/>
      </c>
      <c r="Q3683" s="39">
        <f>IF($A3683="","",IF(O3683&lt;&gt;원인분석!$C$9,"",IF(AND(M3683&gt;=원인분석!$C$10,M3683&lt;=원인분석!$C$11),"당기",IF(AND(M3683&gt;=원인분석!$C$12,M3683&lt;=원인분석!$C$13),"비교",""))))</f>
        <v/>
      </c>
      <c r="R3683" s="9">
        <f>IF(Q3683="","",$K3683&amp;"")</f>
        <v/>
      </c>
      <c r="S3683" s="9">
        <f>IF(Q3683="","",IF(MATCH(R3683,$R$5:$R$100000,0)=ROW()-4,ROW(),""))</f>
        <v/>
      </c>
      <c r="T3683" s="9">
        <f>IF(Q3683="당기",ABS(P3683)+ROW()/1000000000,"")</f>
        <v/>
      </c>
      <c r="U3683" s="9">
        <f>IF(Q3683="비교",ABS(P3683)+ROW()/1000000000,"")</f>
        <v/>
      </c>
      <c r="V3683" s="39">
        <f>IF($A3683="","",IF(COUNTIF(변동분석!$E$7:$E$506,O3683)&gt;0,"Y","N"))</f>
        <v/>
      </c>
      <c r="W3683" s="39">
        <f>IF($A3683="","",IFERROR(INDEX(계정매핑!$D$5:$D$504,MATCH($F3683&amp;"",계정매핑!$A$5:$A$504,0)),"미매핑"))</f>
        <v/>
      </c>
      <c r="X3683" s="9">
        <f>IF($A3683="","",$F3683&amp;"")</f>
        <v/>
      </c>
    </row>
    <row r="3684">
      <c r="A3684" s="75" t="n">
        <v>2026</v>
      </c>
      <c r="B3684" s="75" t="n">
        <v>7</v>
      </c>
      <c r="C3684" s="75" t="inlineStr">
        <is>
          <t>5100001340</t>
        </is>
      </c>
      <c r="D3684" s="78" t="n">
        <v>46226</v>
      </c>
      <c r="E3684" s="75" t="inlineStr">
        <is>
          <t>KR</t>
        </is>
      </c>
      <c r="F3684" s="75" t="n">
        <v>62601000</v>
      </c>
      <c r="G3684" s="75" t="n">
        <v>1501</v>
      </c>
      <c r="H3684" s="76" t="n">
        <v>1254000</v>
      </c>
      <c r="I3684" s="75" t="inlineStr">
        <is>
          <t>7월 업무추진 - (법인카드)</t>
        </is>
      </c>
      <c r="J3684" s="75" t="inlineStr">
        <is>
          <t>V10008</t>
        </is>
      </c>
      <c r="K3684" s="75" t="inlineStr">
        <is>
          <t>(법인카드)</t>
        </is>
      </c>
      <c r="M3684" s="9">
        <f>IF($A3684="","",VALUE($A3684&amp;"")*12+VALUE($B3684&amp;""))</f>
        <v/>
      </c>
      <c r="N3684" s="39">
        <f>IF($A3684="","",IFERROR(INDEX(부서매핑!$C$5:$C$504,MATCH($G3684&amp;"",부서매핑!$A$5:$A$504,0)),"미매핑"))</f>
        <v/>
      </c>
      <c r="O3684" s="9">
        <f>IF($A3684="","",N3684&amp;"|"&amp;$F3684)</f>
        <v/>
      </c>
      <c r="P3684" s="77">
        <f>IF($A3684="",0,$H3684*설정!$C$23)</f>
        <v/>
      </c>
      <c r="Q3684" s="39">
        <f>IF($A3684="","",IF(O3684&lt;&gt;원인분석!$C$9,"",IF(AND(M3684&gt;=원인분석!$C$10,M3684&lt;=원인분석!$C$11),"당기",IF(AND(M3684&gt;=원인분석!$C$12,M3684&lt;=원인분석!$C$13),"비교",""))))</f>
        <v/>
      </c>
      <c r="R3684" s="9">
        <f>IF(Q3684="","",$K3684&amp;"")</f>
        <v/>
      </c>
      <c r="S3684" s="9">
        <f>IF(Q3684="","",IF(MATCH(R3684,$R$5:$R$100000,0)=ROW()-4,ROW(),""))</f>
        <v/>
      </c>
      <c r="T3684" s="9">
        <f>IF(Q3684="당기",ABS(P3684)+ROW()/1000000000,"")</f>
        <v/>
      </c>
      <c r="U3684" s="9">
        <f>IF(Q3684="비교",ABS(P3684)+ROW()/1000000000,"")</f>
        <v/>
      </c>
      <c r="V3684" s="39">
        <f>IF($A3684="","",IF(COUNTIF(변동분석!$E$7:$E$506,O3684)&gt;0,"Y","N"))</f>
        <v/>
      </c>
      <c r="W3684" s="39">
        <f>IF($A3684="","",IFERROR(INDEX(계정매핑!$D$5:$D$504,MATCH($F3684&amp;"",계정매핑!$A$5:$A$504,0)),"미매핑"))</f>
        <v/>
      </c>
      <c r="X3684" s="9">
        <f>IF($A3684="","",$F3684&amp;"")</f>
        <v/>
      </c>
    </row>
    <row r="3685">
      <c r="A3685" s="75" t="n">
        <v>2026</v>
      </c>
      <c r="B3685" s="75" t="n">
        <v>7</v>
      </c>
      <c r="C3685" s="75" t="inlineStr">
        <is>
          <t>5100001341</t>
        </is>
      </c>
      <c r="D3685" s="78" t="n">
        <v>46226</v>
      </c>
      <c r="E3685" s="75" t="inlineStr">
        <is>
          <t>KR</t>
        </is>
      </c>
      <c r="F3685" s="75" t="n">
        <v>62902000</v>
      </c>
      <c r="G3685" s="75" t="n">
        <v>1801</v>
      </c>
      <c r="H3685" s="76" t="n">
        <v>1786000</v>
      </c>
      <c r="I3685" s="75" t="inlineStr">
        <is>
          <t>7월 콜 위탁 수수료(건별)</t>
        </is>
      </c>
      <c r="J3685" s="75" t="inlineStr">
        <is>
          <t>V10013</t>
        </is>
      </c>
      <c r="K3685" s="75" t="inlineStr">
        <is>
          <t>J콜센터</t>
        </is>
      </c>
      <c r="M3685" s="9">
        <f>IF($A3685="","",VALUE($A3685&amp;"")*12+VALUE($B3685&amp;""))</f>
        <v/>
      </c>
      <c r="N3685" s="39">
        <f>IF($A3685="","",IFERROR(INDEX(부서매핑!$C$5:$C$504,MATCH($G3685&amp;"",부서매핑!$A$5:$A$504,0)),"미매핑"))</f>
        <v/>
      </c>
      <c r="O3685" s="9">
        <f>IF($A3685="","",N3685&amp;"|"&amp;$F3685)</f>
        <v/>
      </c>
      <c r="P3685" s="77">
        <f>IF($A3685="",0,$H3685*설정!$C$23)</f>
        <v/>
      </c>
      <c r="Q3685" s="39">
        <f>IF($A3685="","",IF(O3685&lt;&gt;원인분석!$C$9,"",IF(AND(M3685&gt;=원인분석!$C$10,M3685&lt;=원인분석!$C$11),"당기",IF(AND(M3685&gt;=원인분석!$C$12,M3685&lt;=원인분석!$C$13),"비교",""))))</f>
        <v/>
      </c>
      <c r="R3685" s="9">
        <f>IF(Q3685="","",$K3685&amp;"")</f>
        <v/>
      </c>
      <c r="S3685" s="9">
        <f>IF(Q3685="","",IF(MATCH(R3685,$R$5:$R$100000,0)=ROW()-4,ROW(),""))</f>
        <v/>
      </c>
      <c r="T3685" s="9">
        <f>IF(Q3685="당기",ABS(P3685)+ROW()/1000000000,"")</f>
        <v/>
      </c>
      <c r="U3685" s="9">
        <f>IF(Q3685="비교",ABS(P3685)+ROW()/1000000000,"")</f>
        <v/>
      </c>
      <c r="V3685" s="39">
        <f>IF($A3685="","",IF(COUNTIF(변동분석!$E$7:$E$506,O3685)&gt;0,"Y","N"))</f>
        <v/>
      </c>
      <c r="W3685" s="39">
        <f>IF($A3685="","",IFERROR(INDEX(계정매핑!$D$5:$D$504,MATCH($F3685&amp;"",계정매핑!$A$5:$A$504,0)),"미매핑"))</f>
        <v/>
      </c>
      <c r="X3685" s="9">
        <f>IF($A3685="","",$F3685&amp;"")</f>
        <v/>
      </c>
    </row>
    <row r="3686">
      <c r="A3686" s="75" t="n">
        <v>2026</v>
      </c>
      <c r="B3686" s="75" t="n">
        <v>7</v>
      </c>
      <c r="C3686" s="75" t="inlineStr">
        <is>
          <t>5100001342</t>
        </is>
      </c>
      <c r="D3686" s="78" t="n">
        <v>46226</v>
      </c>
      <c r="E3686" s="75" t="inlineStr">
        <is>
          <t>KR</t>
        </is>
      </c>
      <c r="F3686" s="75" t="n">
        <v>62902000</v>
      </c>
      <c r="G3686" s="75" t="n">
        <v>1801</v>
      </c>
      <c r="H3686" s="76" t="n">
        <v>1812000</v>
      </c>
      <c r="I3686" s="75" t="inlineStr">
        <is>
          <t>7월 콜 위탁 수수료(건별)</t>
        </is>
      </c>
      <c r="J3686" s="75" t="inlineStr">
        <is>
          <t>V10013</t>
        </is>
      </c>
      <c r="K3686" s="75" t="inlineStr">
        <is>
          <t>J콜센터</t>
        </is>
      </c>
      <c r="M3686" s="9">
        <f>IF($A3686="","",VALUE($A3686&amp;"")*12+VALUE($B3686&amp;""))</f>
        <v/>
      </c>
      <c r="N3686" s="39">
        <f>IF($A3686="","",IFERROR(INDEX(부서매핑!$C$5:$C$504,MATCH($G3686&amp;"",부서매핑!$A$5:$A$504,0)),"미매핑"))</f>
        <v/>
      </c>
      <c r="O3686" s="9">
        <f>IF($A3686="","",N3686&amp;"|"&amp;$F3686)</f>
        <v/>
      </c>
      <c r="P3686" s="77">
        <f>IF($A3686="",0,$H3686*설정!$C$23)</f>
        <v/>
      </c>
      <c r="Q3686" s="39">
        <f>IF($A3686="","",IF(O3686&lt;&gt;원인분석!$C$9,"",IF(AND(M3686&gt;=원인분석!$C$10,M3686&lt;=원인분석!$C$11),"당기",IF(AND(M3686&gt;=원인분석!$C$12,M3686&lt;=원인분석!$C$13),"비교",""))))</f>
        <v/>
      </c>
      <c r="R3686" s="9">
        <f>IF(Q3686="","",$K3686&amp;"")</f>
        <v/>
      </c>
      <c r="S3686" s="9">
        <f>IF(Q3686="","",IF(MATCH(R3686,$R$5:$R$100000,0)=ROW()-4,ROW(),""))</f>
        <v/>
      </c>
      <c r="T3686" s="9">
        <f>IF(Q3686="당기",ABS(P3686)+ROW()/1000000000,"")</f>
        <v/>
      </c>
      <c r="U3686" s="9">
        <f>IF(Q3686="비교",ABS(P3686)+ROW()/1000000000,"")</f>
        <v/>
      </c>
      <c r="V3686" s="39">
        <f>IF($A3686="","",IF(COUNTIF(변동분석!$E$7:$E$506,O3686)&gt;0,"Y","N"))</f>
        <v/>
      </c>
      <c r="W3686" s="39">
        <f>IF($A3686="","",IFERROR(INDEX(계정매핑!$D$5:$D$504,MATCH($F3686&amp;"",계정매핑!$A$5:$A$504,0)),"미매핑"))</f>
        <v/>
      </c>
      <c r="X3686" s="9">
        <f>IF($A3686="","",$F3686&amp;"")</f>
        <v/>
      </c>
    </row>
    <row r="3687">
      <c r="A3687" s="75" t="n">
        <v>2026</v>
      </c>
      <c r="B3687" s="75" t="n">
        <v>7</v>
      </c>
      <c r="C3687" s="75" t="inlineStr">
        <is>
          <t>5100001343</t>
        </is>
      </c>
      <c r="D3687" s="78" t="n">
        <v>46227</v>
      </c>
      <c r="E3687" s="75" t="inlineStr">
        <is>
          <t>KR</t>
        </is>
      </c>
      <c r="F3687" s="75" t="n">
        <v>62101000</v>
      </c>
      <c r="G3687" s="75" t="n">
        <v>1602</v>
      </c>
      <c r="H3687" s="76" t="n">
        <v>782000</v>
      </c>
      <c r="I3687" s="75" t="inlineStr">
        <is>
          <t>7월 국내출장 - L여행사</t>
        </is>
      </c>
      <c r="J3687" s="75" t="inlineStr">
        <is>
          <t>V10014</t>
        </is>
      </c>
      <c r="K3687" s="75" t="inlineStr">
        <is>
          <t>L여행사</t>
        </is>
      </c>
      <c r="M3687" s="9">
        <f>IF($A3687="","",VALUE($A3687&amp;"")*12+VALUE($B3687&amp;""))</f>
        <v/>
      </c>
      <c r="N3687" s="39">
        <f>IF($A3687="","",IFERROR(INDEX(부서매핑!$C$5:$C$504,MATCH($G3687&amp;"",부서매핑!$A$5:$A$504,0)),"미매핑"))</f>
        <v/>
      </c>
      <c r="O3687" s="9">
        <f>IF($A3687="","",N3687&amp;"|"&amp;$F3687)</f>
        <v/>
      </c>
      <c r="P3687" s="77">
        <f>IF($A3687="",0,$H3687*설정!$C$23)</f>
        <v/>
      </c>
      <c r="Q3687" s="39">
        <f>IF($A3687="","",IF(O3687&lt;&gt;원인분석!$C$9,"",IF(AND(M3687&gt;=원인분석!$C$10,M3687&lt;=원인분석!$C$11),"당기",IF(AND(M3687&gt;=원인분석!$C$12,M3687&lt;=원인분석!$C$13),"비교",""))))</f>
        <v/>
      </c>
      <c r="R3687" s="9">
        <f>IF(Q3687="","",$K3687&amp;"")</f>
        <v/>
      </c>
      <c r="S3687" s="9">
        <f>IF(Q3687="","",IF(MATCH(R3687,$R$5:$R$100000,0)=ROW()-4,ROW(),""))</f>
        <v/>
      </c>
      <c r="T3687" s="9">
        <f>IF(Q3687="당기",ABS(P3687)+ROW()/1000000000,"")</f>
        <v/>
      </c>
      <c r="U3687" s="9">
        <f>IF(Q3687="비교",ABS(P3687)+ROW()/1000000000,"")</f>
        <v/>
      </c>
      <c r="V3687" s="39">
        <f>IF($A3687="","",IF(COUNTIF(변동분석!$E$7:$E$506,O3687)&gt;0,"Y","N"))</f>
        <v/>
      </c>
      <c r="W3687" s="39">
        <f>IF($A3687="","",IFERROR(INDEX(계정매핑!$D$5:$D$504,MATCH($F3687&amp;"",계정매핑!$A$5:$A$504,0)),"미매핑"))</f>
        <v/>
      </c>
      <c r="X3687" s="9">
        <f>IF($A3687="","",$F3687&amp;"")</f>
        <v/>
      </c>
    </row>
    <row r="3688">
      <c r="A3688" s="75" t="n">
        <v>2026</v>
      </c>
      <c r="B3688" s="75" t="n">
        <v>7</v>
      </c>
      <c r="C3688" s="75" t="inlineStr">
        <is>
          <t>5100001344</t>
        </is>
      </c>
      <c r="D3688" s="78" t="n">
        <v>46227</v>
      </c>
      <c r="E3688" s="75" t="inlineStr">
        <is>
          <t>KR</t>
        </is>
      </c>
      <c r="F3688" s="75" t="n">
        <v>62101000</v>
      </c>
      <c r="G3688" s="75" t="n">
        <v>1701</v>
      </c>
      <c r="H3688" s="76" t="n">
        <v>210000</v>
      </c>
      <c r="I3688" s="75" t="inlineStr">
        <is>
          <t>7월 국내출장 - M항공</t>
        </is>
      </c>
      <c r="J3688" s="75" t="inlineStr">
        <is>
          <t>V10001</t>
        </is>
      </c>
      <c r="K3688" s="75" t="inlineStr">
        <is>
          <t>M항공</t>
        </is>
      </c>
      <c r="M3688" s="9">
        <f>IF($A3688="","",VALUE($A3688&amp;"")*12+VALUE($B3688&amp;""))</f>
        <v/>
      </c>
      <c r="N3688" s="39">
        <f>IF($A3688="","",IFERROR(INDEX(부서매핑!$C$5:$C$504,MATCH($G3688&amp;"",부서매핑!$A$5:$A$504,0)),"미매핑"))</f>
        <v/>
      </c>
      <c r="O3688" s="9">
        <f>IF($A3688="","",N3688&amp;"|"&amp;$F3688)</f>
        <v/>
      </c>
      <c r="P3688" s="77">
        <f>IF($A3688="",0,$H3688*설정!$C$23)</f>
        <v/>
      </c>
      <c r="Q3688" s="39">
        <f>IF($A3688="","",IF(O3688&lt;&gt;원인분석!$C$9,"",IF(AND(M3688&gt;=원인분석!$C$10,M3688&lt;=원인분석!$C$11),"당기",IF(AND(M3688&gt;=원인분석!$C$12,M3688&lt;=원인분석!$C$13),"비교",""))))</f>
        <v/>
      </c>
      <c r="R3688" s="9">
        <f>IF(Q3688="","",$K3688&amp;"")</f>
        <v/>
      </c>
      <c r="S3688" s="9">
        <f>IF(Q3688="","",IF(MATCH(R3688,$R$5:$R$100000,0)=ROW()-4,ROW(),""))</f>
        <v/>
      </c>
      <c r="T3688" s="9">
        <f>IF(Q3688="당기",ABS(P3688)+ROW()/1000000000,"")</f>
        <v/>
      </c>
      <c r="U3688" s="9">
        <f>IF(Q3688="비교",ABS(P3688)+ROW()/1000000000,"")</f>
        <v/>
      </c>
      <c r="V3688" s="39">
        <f>IF($A3688="","",IF(COUNTIF(변동분석!$E$7:$E$506,O3688)&gt;0,"Y","N"))</f>
        <v/>
      </c>
      <c r="W3688" s="39">
        <f>IF($A3688="","",IFERROR(INDEX(계정매핑!$D$5:$D$504,MATCH($F3688&amp;"",계정매핑!$A$5:$A$504,0)),"미매핑"))</f>
        <v/>
      </c>
      <c r="X3688" s="9">
        <f>IF($A3688="","",$F3688&amp;"")</f>
        <v/>
      </c>
    </row>
    <row r="3689">
      <c r="A3689" s="75" t="n">
        <v>2026</v>
      </c>
      <c r="B3689" s="75" t="n">
        <v>7</v>
      </c>
      <c r="C3689" s="75" t="inlineStr">
        <is>
          <t>5100001345</t>
        </is>
      </c>
      <c r="D3689" s="78" t="n">
        <v>46227</v>
      </c>
      <c r="E3689" s="75" t="inlineStr">
        <is>
          <t>KR</t>
        </is>
      </c>
      <c r="F3689" s="75" t="n">
        <v>62101000</v>
      </c>
      <c r="G3689" s="75" t="n">
        <v>1801</v>
      </c>
      <c r="H3689" s="76" t="n">
        <v>114000</v>
      </c>
      <c r="I3689" s="75" t="inlineStr">
        <is>
          <t>7월 국내출장 - (법인카드)</t>
        </is>
      </c>
      <c r="J3689" s="75" t="inlineStr">
        <is>
          <t>V10008</t>
        </is>
      </c>
      <c r="K3689" s="75" t="inlineStr">
        <is>
          <t>(법인카드)</t>
        </is>
      </c>
      <c r="M3689" s="9">
        <f>IF($A3689="","",VALUE($A3689&amp;"")*12+VALUE($B3689&amp;""))</f>
        <v/>
      </c>
      <c r="N3689" s="39">
        <f>IF($A3689="","",IFERROR(INDEX(부서매핑!$C$5:$C$504,MATCH($G3689&amp;"",부서매핑!$A$5:$A$504,0)),"미매핑"))</f>
        <v/>
      </c>
      <c r="O3689" s="9">
        <f>IF($A3689="","",N3689&amp;"|"&amp;$F3689)</f>
        <v/>
      </c>
      <c r="P3689" s="77">
        <f>IF($A3689="",0,$H3689*설정!$C$23)</f>
        <v/>
      </c>
      <c r="Q3689" s="39">
        <f>IF($A3689="","",IF(O3689&lt;&gt;원인분석!$C$9,"",IF(AND(M3689&gt;=원인분석!$C$10,M3689&lt;=원인분석!$C$11),"당기",IF(AND(M3689&gt;=원인분석!$C$12,M3689&lt;=원인분석!$C$13),"비교",""))))</f>
        <v/>
      </c>
      <c r="R3689" s="9">
        <f>IF(Q3689="","",$K3689&amp;"")</f>
        <v/>
      </c>
      <c r="S3689" s="9">
        <f>IF(Q3689="","",IF(MATCH(R3689,$R$5:$R$100000,0)=ROW()-4,ROW(),""))</f>
        <v/>
      </c>
      <c r="T3689" s="9">
        <f>IF(Q3689="당기",ABS(P3689)+ROW()/1000000000,"")</f>
        <v/>
      </c>
      <c r="U3689" s="9">
        <f>IF(Q3689="비교",ABS(P3689)+ROW()/1000000000,"")</f>
        <v/>
      </c>
      <c r="V3689" s="39">
        <f>IF($A3689="","",IF(COUNTIF(변동분석!$E$7:$E$506,O3689)&gt;0,"Y","N"))</f>
        <v/>
      </c>
      <c r="W3689" s="39">
        <f>IF($A3689="","",IFERROR(INDEX(계정매핑!$D$5:$D$504,MATCH($F3689&amp;"",계정매핑!$A$5:$A$504,0)),"미매핑"))</f>
        <v/>
      </c>
      <c r="X3689" s="9">
        <f>IF($A3689="","",$F3689&amp;"")</f>
        <v/>
      </c>
    </row>
    <row r="3690">
      <c r="A3690" s="75" t="n">
        <v>2026</v>
      </c>
      <c r="B3690" s="75" t="n">
        <v>7</v>
      </c>
      <c r="C3690" s="75" t="inlineStr">
        <is>
          <t>5100001346</t>
        </is>
      </c>
      <c r="D3690" s="78" t="n">
        <v>46227</v>
      </c>
      <c r="E3690" s="75" t="inlineStr">
        <is>
          <t>KR</t>
        </is>
      </c>
      <c r="F3690" s="75" t="n">
        <v>62501000</v>
      </c>
      <c r="G3690" s="75" t="n">
        <v>1701</v>
      </c>
      <c r="H3690" s="76" t="n">
        <v>89000</v>
      </c>
      <c r="I3690" s="75" t="inlineStr">
        <is>
          <t>7월 회의 다과 - (법인카드)</t>
        </is>
      </c>
      <c r="J3690" s="75" t="inlineStr">
        <is>
          <t>V10008</t>
        </is>
      </c>
      <c r="K3690" s="75" t="inlineStr">
        <is>
          <t>(법인카드)</t>
        </is>
      </c>
      <c r="M3690" s="9">
        <f>IF($A3690="","",VALUE($A3690&amp;"")*12+VALUE($B3690&amp;""))</f>
        <v/>
      </c>
      <c r="N3690" s="39">
        <f>IF($A3690="","",IFERROR(INDEX(부서매핑!$C$5:$C$504,MATCH($G3690&amp;"",부서매핑!$A$5:$A$504,0)),"미매핑"))</f>
        <v/>
      </c>
      <c r="O3690" s="9">
        <f>IF($A3690="","",N3690&amp;"|"&amp;$F3690)</f>
        <v/>
      </c>
      <c r="P3690" s="77">
        <f>IF($A3690="",0,$H3690*설정!$C$23)</f>
        <v/>
      </c>
      <c r="Q3690" s="39">
        <f>IF($A3690="","",IF(O3690&lt;&gt;원인분석!$C$9,"",IF(AND(M3690&gt;=원인분석!$C$10,M3690&lt;=원인분석!$C$11),"당기",IF(AND(M3690&gt;=원인분석!$C$12,M3690&lt;=원인분석!$C$13),"비교",""))))</f>
        <v/>
      </c>
      <c r="R3690" s="9">
        <f>IF(Q3690="","",$K3690&amp;"")</f>
        <v/>
      </c>
      <c r="S3690" s="9">
        <f>IF(Q3690="","",IF(MATCH(R3690,$R$5:$R$100000,0)=ROW()-4,ROW(),""))</f>
        <v/>
      </c>
      <c r="T3690" s="9">
        <f>IF(Q3690="당기",ABS(P3690)+ROW()/1000000000,"")</f>
        <v/>
      </c>
      <c r="U3690" s="9">
        <f>IF(Q3690="비교",ABS(P3690)+ROW()/1000000000,"")</f>
        <v/>
      </c>
      <c r="V3690" s="39">
        <f>IF($A3690="","",IF(COUNTIF(변동분석!$E$7:$E$506,O3690)&gt;0,"Y","N"))</f>
        <v/>
      </c>
      <c r="W3690" s="39">
        <f>IF($A3690="","",IFERROR(INDEX(계정매핑!$D$5:$D$504,MATCH($F3690&amp;"",계정매핑!$A$5:$A$504,0)),"미매핑"))</f>
        <v/>
      </c>
      <c r="X3690" s="9">
        <f>IF($A3690="","",$F3690&amp;"")</f>
        <v/>
      </c>
    </row>
    <row r="3691">
      <c r="A3691" s="75" t="n">
        <v>2026</v>
      </c>
      <c r="B3691" s="75" t="n">
        <v>7</v>
      </c>
      <c r="C3691" s="75" t="inlineStr">
        <is>
          <t>5100001347</t>
        </is>
      </c>
      <c r="D3691" s="78" t="n">
        <v>46227</v>
      </c>
      <c r="E3691" s="75" t="inlineStr">
        <is>
          <t>KR</t>
        </is>
      </c>
      <c r="F3691" s="75" t="n">
        <v>62902000</v>
      </c>
      <c r="G3691" s="75" t="n">
        <v>1201</v>
      </c>
      <c r="H3691" s="76" t="n">
        <v>3112000</v>
      </c>
      <c r="I3691" s="75" t="inlineStr">
        <is>
          <t>7월 업무 위탁 수수료 - J콜센터</t>
        </is>
      </c>
      <c r="J3691" s="75" t="inlineStr">
        <is>
          <t>V10013</t>
        </is>
      </c>
      <c r="K3691" s="75" t="inlineStr">
        <is>
          <t>J콜센터</t>
        </is>
      </c>
      <c r="M3691" s="9">
        <f>IF($A3691="","",VALUE($A3691&amp;"")*12+VALUE($B3691&amp;""))</f>
        <v/>
      </c>
      <c r="N3691" s="39">
        <f>IF($A3691="","",IFERROR(INDEX(부서매핑!$C$5:$C$504,MATCH($G3691&amp;"",부서매핑!$A$5:$A$504,0)),"미매핑"))</f>
        <v/>
      </c>
      <c r="O3691" s="9">
        <f>IF($A3691="","",N3691&amp;"|"&amp;$F3691)</f>
        <v/>
      </c>
      <c r="P3691" s="77">
        <f>IF($A3691="",0,$H3691*설정!$C$23)</f>
        <v/>
      </c>
      <c r="Q3691" s="39">
        <f>IF($A3691="","",IF(O3691&lt;&gt;원인분석!$C$9,"",IF(AND(M3691&gt;=원인분석!$C$10,M3691&lt;=원인분석!$C$11),"당기",IF(AND(M3691&gt;=원인분석!$C$12,M3691&lt;=원인분석!$C$13),"비교",""))))</f>
        <v/>
      </c>
      <c r="R3691" s="9">
        <f>IF(Q3691="","",$K3691&amp;"")</f>
        <v/>
      </c>
      <c r="S3691" s="9">
        <f>IF(Q3691="","",IF(MATCH(R3691,$R$5:$R$100000,0)=ROW()-4,ROW(),""))</f>
        <v/>
      </c>
      <c r="T3691" s="9">
        <f>IF(Q3691="당기",ABS(P3691)+ROW()/1000000000,"")</f>
        <v/>
      </c>
      <c r="U3691" s="9">
        <f>IF(Q3691="비교",ABS(P3691)+ROW()/1000000000,"")</f>
        <v/>
      </c>
      <c r="V3691" s="39">
        <f>IF($A3691="","",IF(COUNTIF(변동분석!$E$7:$E$506,O3691)&gt;0,"Y","N"))</f>
        <v/>
      </c>
      <c r="W3691" s="39">
        <f>IF($A3691="","",IFERROR(INDEX(계정매핑!$D$5:$D$504,MATCH($F3691&amp;"",계정매핑!$A$5:$A$504,0)),"미매핑"))</f>
        <v/>
      </c>
      <c r="X3691" s="9">
        <f>IF($A3691="","",$F3691&amp;"")</f>
        <v/>
      </c>
    </row>
    <row r="3692">
      <c r="A3692" s="75" t="n">
        <v>2026</v>
      </c>
      <c r="B3692" s="75" t="n">
        <v>7</v>
      </c>
      <c r="C3692" s="75" t="inlineStr">
        <is>
          <t>5100001348</t>
        </is>
      </c>
      <c r="D3692" s="78" t="n">
        <v>46228</v>
      </c>
      <c r="E3692" s="75" t="inlineStr">
        <is>
          <t>KR</t>
        </is>
      </c>
      <c r="F3692" s="75" t="n">
        <v>62101000</v>
      </c>
      <c r="G3692" s="75" t="n">
        <v>1201</v>
      </c>
      <c r="H3692" s="76" t="n">
        <v>291000</v>
      </c>
      <c r="I3692" s="75" t="inlineStr">
        <is>
          <t>7월 국내출장 - L여행사</t>
        </is>
      </c>
      <c r="J3692" s="75" t="inlineStr">
        <is>
          <t>V10014</t>
        </is>
      </c>
      <c r="K3692" s="75" t="inlineStr">
        <is>
          <t>L여행사</t>
        </is>
      </c>
      <c r="M3692" s="9">
        <f>IF($A3692="","",VALUE($A3692&amp;"")*12+VALUE($B3692&amp;""))</f>
        <v/>
      </c>
      <c r="N3692" s="39">
        <f>IF($A3692="","",IFERROR(INDEX(부서매핑!$C$5:$C$504,MATCH($G3692&amp;"",부서매핑!$A$5:$A$504,0)),"미매핑"))</f>
        <v/>
      </c>
      <c r="O3692" s="9">
        <f>IF($A3692="","",N3692&amp;"|"&amp;$F3692)</f>
        <v/>
      </c>
      <c r="P3692" s="77">
        <f>IF($A3692="",0,$H3692*설정!$C$23)</f>
        <v/>
      </c>
      <c r="Q3692" s="39">
        <f>IF($A3692="","",IF(O3692&lt;&gt;원인분석!$C$9,"",IF(AND(M3692&gt;=원인분석!$C$10,M3692&lt;=원인분석!$C$11),"당기",IF(AND(M3692&gt;=원인분석!$C$12,M3692&lt;=원인분석!$C$13),"비교",""))))</f>
        <v/>
      </c>
      <c r="R3692" s="9">
        <f>IF(Q3692="","",$K3692&amp;"")</f>
        <v/>
      </c>
      <c r="S3692" s="9">
        <f>IF(Q3692="","",IF(MATCH(R3692,$R$5:$R$100000,0)=ROW()-4,ROW(),""))</f>
        <v/>
      </c>
      <c r="T3692" s="9">
        <f>IF(Q3692="당기",ABS(P3692)+ROW()/1000000000,"")</f>
        <v/>
      </c>
      <c r="U3692" s="9">
        <f>IF(Q3692="비교",ABS(P3692)+ROW()/1000000000,"")</f>
        <v/>
      </c>
      <c r="V3692" s="39">
        <f>IF($A3692="","",IF(COUNTIF(변동분석!$E$7:$E$506,O3692)&gt;0,"Y","N"))</f>
        <v/>
      </c>
      <c r="W3692" s="39">
        <f>IF($A3692="","",IFERROR(INDEX(계정매핑!$D$5:$D$504,MATCH($F3692&amp;"",계정매핑!$A$5:$A$504,0)),"미매핑"))</f>
        <v/>
      </c>
      <c r="X3692" s="9">
        <f>IF($A3692="","",$F3692&amp;"")</f>
        <v/>
      </c>
    </row>
    <row r="3693">
      <c r="A3693" s="75" t="n">
        <v>2026</v>
      </c>
      <c r="B3693" s="75" t="n">
        <v>7</v>
      </c>
      <c r="C3693" s="75" t="inlineStr">
        <is>
          <t>5100001349</t>
        </is>
      </c>
      <c r="D3693" s="78" t="n">
        <v>46228</v>
      </c>
      <c r="E3693" s="75" t="inlineStr">
        <is>
          <t>KR</t>
        </is>
      </c>
      <c r="F3693" s="75" t="n">
        <v>62102000</v>
      </c>
      <c r="G3693" s="75" t="n">
        <v>1801</v>
      </c>
      <c r="H3693" s="76" t="n">
        <v>33000</v>
      </c>
      <c r="I3693" s="75" t="inlineStr">
        <is>
          <t>7월 해외출장 - M항공</t>
        </is>
      </c>
      <c r="J3693" s="75" t="inlineStr">
        <is>
          <t>V10001</t>
        </is>
      </c>
      <c r="K3693" s="75" t="inlineStr">
        <is>
          <t>M항공</t>
        </is>
      </c>
      <c r="M3693" s="9">
        <f>IF($A3693="","",VALUE($A3693&amp;"")*12+VALUE($B3693&amp;""))</f>
        <v/>
      </c>
      <c r="N3693" s="39">
        <f>IF($A3693="","",IFERROR(INDEX(부서매핑!$C$5:$C$504,MATCH($G3693&amp;"",부서매핑!$A$5:$A$504,0)),"미매핑"))</f>
        <v/>
      </c>
      <c r="O3693" s="9">
        <f>IF($A3693="","",N3693&amp;"|"&amp;$F3693)</f>
        <v/>
      </c>
      <c r="P3693" s="77">
        <f>IF($A3693="",0,$H3693*설정!$C$23)</f>
        <v/>
      </c>
      <c r="Q3693" s="39">
        <f>IF($A3693="","",IF(O3693&lt;&gt;원인분석!$C$9,"",IF(AND(M3693&gt;=원인분석!$C$10,M3693&lt;=원인분석!$C$11),"당기",IF(AND(M3693&gt;=원인분석!$C$12,M3693&lt;=원인분석!$C$13),"비교",""))))</f>
        <v/>
      </c>
      <c r="R3693" s="9">
        <f>IF(Q3693="","",$K3693&amp;"")</f>
        <v/>
      </c>
      <c r="S3693" s="9">
        <f>IF(Q3693="","",IF(MATCH(R3693,$R$5:$R$100000,0)=ROW()-4,ROW(),""))</f>
        <v/>
      </c>
      <c r="T3693" s="9">
        <f>IF(Q3693="당기",ABS(P3693)+ROW()/1000000000,"")</f>
        <v/>
      </c>
      <c r="U3693" s="9">
        <f>IF(Q3693="비교",ABS(P3693)+ROW()/1000000000,"")</f>
        <v/>
      </c>
      <c r="V3693" s="39">
        <f>IF($A3693="","",IF(COUNTIF(변동분석!$E$7:$E$506,O3693)&gt;0,"Y","N"))</f>
        <v/>
      </c>
      <c r="W3693" s="39">
        <f>IF($A3693="","",IFERROR(INDEX(계정매핑!$D$5:$D$504,MATCH($F3693&amp;"",계정매핑!$A$5:$A$504,0)),"미매핑"))</f>
        <v/>
      </c>
      <c r="X3693" s="9">
        <f>IF($A3693="","",$F3693&amp;"")</f>
        <v/>
      </c>
    </row>
    <row r="3694">
      <c r="A3694" s="75" t="n">
        <v>2026</v>
      </c>
      <c r="B3694" s="75" t="n">
        <v>7</v>
      </c>
      <c r="C3694" s="75" t="inlineStr">
        <is>
          <t>5100001350</t>
        </is>
      </c>
      <c r="D3694" s="78" t="n">
        <v>46228</v>
      </c>
      <c r="E3694" s="75" t="inlineStr">
        <is>
          <t>KR</t>
        </is>
      </c>
      <c r="F3694" s="75" t="n">
        <v>62301000</v>
      </c>
      <c r="G3694" s="75" t="n">
        <v>1701</v>
      </c>
      <c r="H3694" s="76" t="n">
        <v>306000</v>
      </c>
      <c r="I3694" s="75" t="inlineStr">
        <is>
          <t>7월 소모품 구입 - R문구</t>
        </is>
      </c>
      <c r="J3694" s="75" t="inlineStr">
        <is>
          <t>V10018</t>
        </is>
      </c>
      <c r="K3694" s="75" t="inlineStr">
        <is>
          <t>R문구</t>
        </is>
      </c>
      <c r="M3694" s="9">
        <f>IF($A3694="","",VALUE($A3694&amp;"")*12+VALUE($B3694&amp;""))</f>
        <v/>
      </c>
      <c r="N3694" s="39">
        <f>IF($A3694="","",IFERROR(INDEX(부서매핑!$C$5:$C$504,MATCH($G3694&amp;"",부서매핑!$A$5:$A$504,0)),"미매핑"))</f>
        <v/>
      </c>
      <c r="O3694" s="9">
        <f>IF($A3694="","",N3694&amp;"|"&amp;$F3694)</f>
        <v/>
      </c>
      <c r="P3694" s="77">
        <f>IF($A3694="",0,$H3694*설정!$C$23)</f>
        <v/>
      </c>
      <c r="Q3694" s="39">
        <f>IF($A3694="","",IF(O3694&lt;&gt;원인분석!$C$9,"",IF(AND(M3694&gt;=원인분석!$C$10,M3694&lt;=원인분석!$C$11),"당기",IF(AND(M3694&gt;=원인분석!$C$12,M3694&lt;=원인분석!$C$13),"비교",""))))</f>
        <v/>
      </c>
      <c r="R3694" s="9">
        <f>IF(Q3694="","",$K3694&amp;"")</f>
        <v/>
      </c>
      <c r="S3694" s="9">
        <f>IF(Q3694="","",IF(MATCH(R3694,$R$5:$R$100000,0)=ROW()-4,ROW(),""))</f>
        <v/>
      </c>
      <c r="T3694" s="9">
        <f>IF(Q3694="당기",ABS(P3694)+ROW()/1000000000,"")</f>
        <v/>
      </c>
      <c r="U3694" s="9">
        <f>IF(Q3694="비교",ABS(P3694)+ROW()/1000000000,"")</f>
        <v/>
      </c>
      <c r="V3694" s="39">
        <f>IF($A3694="","",IF(COUNTIF(변동분석!$E$7:$E$506,O3694)&gt;0,"Y","N"))</f>
        <v/>
      </c>
      <c r="W3694" s="39">
        <f>IF($A3694="","",IFERROR(INDEX(계정매핑!$D$5:$D$504,MATCH($F3694&amp;"",계정매핑!$A$5:$A$504,0)),"미매핑"))</f>
        <v/>
      </c>
      <c r="X3694" s="9">
        <f>IF($A3694="","",$F3694&amp;"")</f>
        <v/>
      </c>
    </row>
    <row r="3695">
      <c r="A3695" s="75" t="n">
        <v>2026</v>
      </c>
      <c r="B3695" s="75" t="n">
        <v>7</v>
      </c>
      <c r="C3695" s="75" t="inlineStr">
        <is>
          <t>5100001351</t>
        </is>
      </c>
      <c r="D3695" s="78" t="n">
        <v>46228</v>
      </c>
      <c r="E3695" s="75" t="inlineStr">
        <is>
          <t>KR</t>
        </is>
      </c>
      <c r="F3695" s="75" t="n">
        <v>62401000</v>
      </c>
      <c r="G3695" s="75" t="n">
        <v>1801</v>
      </c>
      <c r="H3695" s="76" t="n">
        <v>1212000</v>
      </c>
      <c r="I3695" s="75" t="inlineStr">
        <is>
          <t>7월 인쇄물 제작 - G인쇄</t>
        </is>
      </c>
      <c r="J3695" s="75" t="inlineStr">
        <is>
          <t>V10004</t>
        </is>
      </c>
      <c r="K3695" s="75" t="inlineStr">
        <is>
          <t>G인쇄</t>
        </is>
      </c>
      <c r="M3695" s="9">
        <f>IF($A3695="","",VALUE($A3695&amp;"")*12+VALUE($B3695&amp;""))</f>
        <v/>
      </c>
      <c r="N3695" s="39">
        <f>IF($A3695="","",IFERROR(INDEX(부서매핑!$C$5:$C$504,MATCH($G3695&amp;"",부서매핑!$A$5:$A$504,0)),"미매핑"))</f>
        <v/>
      </c>
      <c r="O3695" s="9">
        <f>IF($A3695="","",N3695&amp;"|"&amp;$F3695)</f>
        <v/>
      </c>
      <c r="P3695" s="77">
        <f>IF($A3695="",0,$H3695*설정!$C$23)</f>
        <v/>
      </c>
      <c r="Q3695" s="39">
        <f>IF($A3695="","",IF(O3695&lt;&gt;원인분석!$C$9,"",IF(AND(M3695&gt;=원인분석!$C$10,M3695&lt;=원인분석!$C$11),"당기",IF(AND(M3695&gt;=원인분석!$C$12,M3695&lt;=원인분석!$C$13),"비교",""))))</f>
        <v/>
      </c>
      <c r="R3695" s="9">
        <f>IF(Q3695="","",$K3695&amp;"")</f>
        <v/>
      </c>
      <c r="S3695" s="9">
        <f>IF(Q3695="","",IF(MATCH(R3695,$R$5:$R$100000,0)=ROW()-4,ROW(),""))</f>
        <v/>
      </c>
      <c r="T3695" s="9">
        <f>IF(Q3695="당기",ABS(P3695)+ROW()/1000000000,"")</f>
        <v/>
      </c>
      <c r="U3695" s="9">
        <f>IF(Q3695="비교",ABS(P3695)+ROW()/1000000000,"")</f>
        <v/>
      </c>
      <c r="V3695" s="39">
        <f>IF($A3695="","",IF(COUNTIF(변동분석!$E$7:$E$506,O3695)&gt;0,"Y","N"))</f>
        <v/>
      </c>
      <c r="W3695" s="39">
        <f>IF($A3695="","",IFERROR(INDEX(계정매핑!$D$5:$D$504,MATCH($F3695&amp;"",계정매핑!$A$5:$A$504,0)),"미매핑"))</f>
        <v/>
      </c>
      <c r="X3695" s="9">
        <f>IF($A3695="","",$F3695&amp;"")</f>
        <v/>
      </c>
    </row>
    <row r="3696">
      <c r="A3696" s="75" t="n">
        <v>2026</v>
      </c>
      <c r="B3696" s="75" t="n">
        <v>7</v>
      </c>
      <c r="C3696" s="75" t="inlineStr">
        <is>
          <t>5100001352</t>
        </is>
      </c>
      <c r="D3696" s="78" t="n">
        <v>46228</v>
      </c>
      <c r="E3696" s="75" t="inlineStr">
        <is>
          <t>KR</t>
        </is>
      </c>
      <c r="F3696" s="75" t="n">
        <v>62501000</v>
      </c>
      <c r="G3696" s="75" t="n">
        <v>1101</v>
      </c>
      <c r="H3696" s="76" t="n">
        <v>247000</v>
      </c>
      <c r="I3696" s="75" t="inlineStr">
        <is>
          <t>7월 회의 다과 - (법인카드)</t>
        </is>
      </c>
      <c r="J3696" s="75" t="inlineStr">
        <is>
          <t>V10008</t>
        </is>
      </c>
      <c r="K3696" s="75" t="inlineStr">
        <is>
          <t>(법인카드)</t>
        </is>
      </c>
      <c r="M3696" s="9">
        <f>IF($A3696="","",VALUE($A3696&amp;"")*12+VALUE($B3696&amp;""))</f>
        <v/>
      </c>
      <c r="N3696" s="39">
        <f>IF($A3696="","",IFERROR(INDEX(부서매핑!$C$5:$C$504,MATCH($G3696&amp;"",부서매핑!$A$5:$A$504,0)),"미매핑"))</f>
        <v/>
      </c>
      <c r="O3696" s="9">
        <f>IF($A3696="","",N3696&amp;"|"&amp;$F3696)</f>
        <v/>
      </c>
      <c r="P3696" s="77">
        <f>IF($A3696="",0,$H3696*설정!$C$23)</f>
        <v/>
      </c>
      <c r="Q3696" s="39">
        <f>IF($A3696="","",IF(O3696&lt;&gt;원인분석!$C$9,"",IF(AND(M3696&gt;=원인분석!$C$10,M3696&lt;=원인분석!$C$11),"당기",IF(AND(M3696&gt;=원인분석!$C$12,M3696&lt;=원인분석!$C$13),"비교",""))))</f>
        <v/>
      </c>
      <c r="R3696" s="9">
        <f>IF(Q3696="","",$K3696&amp;"")</f>
        <v/>
      </c>
      <c r="S3696" s="9">
        <f>IF(Q3696="","",IF(MATCH(R3696,$R$5:$R$100000,0)=ROW()-4,ROW(),""))</f>
        <v/>
      </c>
      <c r="T3696" s="9">
        <f>IF(Q3696="당기",ABS(P3696)+ROW()/1000000000,"")</f>
        <v/>
      </c>
      <c r="U3696" s="9">
        <f>IF(Q3696="비교",ABS(P3696)+ROW()/1000000000,"")</f>
        <v/>
      </c>
      <c r="V3696" s="39">
        <f>IF($A3696="","",IF(COUNTIF(변동분석!$E$7:$E$506,O3696)&gt;0,"Y","N"))</f>
        <v/>
      </c>
      <c r="W3696" s="39">
        <f>IF($A3696="","",IFERROR(INDEX(계정매핑!$D$5:$D$504,MATCH($F3696&amp;"",계정매핑!$A$5:$A$504,0)),"미매핑"))</f>
        <v/>
      </c>
      <c r="X3696" s="9">
        <f>IF($A3696="","",$F3696&amp;"")</f>
        <v/>
      </c>
    </row>
    <row r="3697">
      <c r="A3697" s="75" t="n">
        <v>2026</v>
      </c>
      <c r="B3697" s="75" t="n">
        <v>7</v>
      </c>
      <c r="C3697" s="75" t="inlineStr">
        <is>
          <t>5100001353</t>
        </is>
      </c>
      <c r="D3697" s="78" t="n">
        <v>46228</v>
      </c>
      <c r="E3697" s="75" t="inlineStr">
        <is>
          <t>KR</t>
        </is>
      </c>
      <c r="F3697" s="75" t="n">
        <v>62501000</v>
      </c>
      <c r="G3697" s="75" t="n">
        <v>1501</v>
      </c>
      <c r="H3697" s="76" t="n">
        <v>308000</v>
      </c>
      <c r="I3697" s="75" t="inlineStr">
        <is>
          <t>7월 회의 다과 - (법인카드)</t>
        </is>
      </c>
      <c r="J3697" s="75" t="inlineStr">
        <is>
          <t>V10008</t>
        </is>
      </c>
      <c r="K3697" s="75" t="inlineStr">
        <is>
          <t>(법인카드)</t>
        </is>
      </c>
      <c r="M3697" s="9">
        <f>IF($A3697="","",VALUE($A3697&amp;"")*12+VALUE($B3697&amp;""))</f>
        <v/>
      </c>
      <c r="N3697" s="39">
        <f>IF($A3697="","",IFERROR(INDEX(부서매핑!$C$5:$C$504,MATCH($G3697&amp;"",부서매핑!$A$5:$A$504,0)),"미매핑"))</f>
        <v/>
      </c>
      <c r="O3697" s="9">
        <f>IF($A3697="","",N3697&amp;"|"&amp;$F3697)</f>
        <v/>
      </c>
      <c r="P3697" s="77">
        <f>IF($A3697="",0,$H3697*설정!$C$23)</f>
        <v/>
      </c>
      <c r="Q3697" s="39">
        <f>IF($A3697="","",IF(O3697&lt;&gt;원인분석!$C$9,"",IF(AND(M3697&gt;=원인분석!$C$10,M3697&lt;=원인분석!$C$11),"당기",IF(AND(M3697&gt;=원인분석!$C$12,M3697&lt;=원인분석!$C$13),"비교",""))))</f>
        <v/>
      </c>
      <c r="R3697" s="9">
        <f>IF(Q3697="","",$K3697&amp;"")</f>
        <v/>
      </c>
      <c r="S3697" s="9">
        <f>IF(Q3697="","",IF(MATCH(R3697,$R$5:$R$100000,0)=ROW()-4,ROW(),""))</f>
        <v/>
      </c>
      <c r="T3697" s="9">
        <f>IF(Q3697="당기",ABS(P3697)+ROW()/1000000000,"")</f>
        <v/>
      </c>
      <c r="U3697" s="9">
        <f>IF(Q3697="비교",ABS(P3697)+ROW()/1000000000,"")</f>
        <v/>
      </c>
      <c r="V3697" s="39">
        <f>IF($A3697="","",IF(COUNTIF(변동분석!$E$7:$E$506,O3697)&gt;0,"Y","N"))</f>
        <v/>
      </c>
      <c r="W3697" s="39">
        <f>IF($A3697="","",IFERROR(INDEX(계정매핑!$D$5:$D$504,MATCH($F3697&amp;"",계정매핑!$A$5:$A$504,0)),"미매핑"))</f>
        <v/>
      </c>
      <c r="X3697" s="9">
        <f>IF($A3697="","",$F3697&amp;"")</f>
        <v/>
      </c>
    </row>
    <row r="3698">
      <c r="A3698" s="75" t="n">
        <v>2026</v>
      </c>
      <c r="B3698" s="75" t="n">
        <v>7</v>
      </c>
      <c r="C3698" s="75" t="inlineStr">
        <is>
          <t>5100001354</t>
        </is>
      </c>
      <c r="D3698" s="78" t="n">
        <v>46228</v>
      </c>
      <c r="E3698" s="75" t="inlineStr">
        <is>
          <t>KR</t>
        </is>
      </c>
      <c r="F3698" s="75" t="n">
        <v>62701000</v>
      </c>
      <c r="G3698" s="75" t="n">
        <v>1501</v>
      </c>
      <c r="H3698" s="76" t="n">
        <v>51206000</v>
      </c>
      <c r="I3698" s="75" t="inlineStr">
        <is>
          <t>7월 광고 집행 - E미디어</t>
        </is>
      </c>
      <c r="J3698" s="75" t="inlineStr">
        <is>
          <t>V10027</t>
        </is>
      </c>
      <c r="K3698" s="75" t="inlineStr">
        <is>
          <t>E미디어</t>
        </is>
      </c>
      <c r="M3698" s="9">
        <f>IF($A3698="","",VALUE($A3698&amp;"")*12+VALUE($B3698&amp;""))</f>
        <v/>
      </c>
      <c r="N3698" s="39">
        <f>IF($A3698="","",IFERROR(INDEX(부서매핑!$C$5:$C$504,MATCH($G3698&amp;"",부서매핑!$A$5:$A$504,0)),"미매핑"))</f>
        <v/>
      </c>
      <c r="O3698" s="9">
        <f>IF($A3698="","",N3698&amp;"|"&amp;$F3698)</f>
        <v/>
      </c>
      <c r="P3698" s="77">
        <f>IF($A3698="",0,$H3698*설정!$C$23)</f>
        <v/>
      </c>
      <c r="Q3698" s="39">
        <f>IF($A3698="","",IF(O3698&lt;&gt;원인분석!$C$9,"",IF(AND(M3698&gt;=원인분석!$C$10,M3698&lt;=원인분석!$C$11),"당기",IF(AND(M3698&gt;=원인분석!$C$12,M3698&lt;=원인분석!$C$13),"비교",""))))</f>
        <v/>
      </c>
      <c r="R3698" s="9">
        <f>IF(Q3698="","",$K3698&amp;"")</f>
        <v/>
      </c>
      <c r="S3698" s="9">
        <f>IF(Q3698="","",IF(MATCH(R3698,$R$5:$R$100000,0)=ROW()-4,ROW(),""))</f>
        <v/>
      </c>
      <c r="T3698" s="9">
        <f>IF(Q3698="당기",ABS(P3698)+ROW()/1000000000,"")</f>
        <v/>
      </c>
      <c r="U3698" s="9">
        <f>IF(Q3698="비교",ABS(P3698)+ROW()/1000000000,"")</f>
        <v/>
      </c>
      <c r="V3698" s="39">
        <f>IF($A3698="","",IF(COUNTIF(변동분석!$E$7:$E$506,O3698)&gt;0,"Y","N"))</f>
        <v/>
      </c>
      <c r="W3698" s="39">
        <f>IF($A3698="","",IFERROR(INDEX(계정매핑!$D$5:$D$504,MATCH($F3698&amp;"",계정매핑!$A$5:$A$504,0)),"미매핑"))</f>
        <v/>
      </c>
      <c r="X3698" s="9">
        <f>IF($A3698="","",$F3698&amp;"")</f>
        <v/>
      </c>
    </row>
    <row r="3699">
      <c r="A3699" s="75" t="n">
        <v>2026</v>
      </c>
      <c r="B3699" s="75" t="n">
        <v>7</v>
      </c>
      <c r="C3699" s="75" t="inlineStr">
        <is>
          <t>5100001355</t>
        </is>
      </c>
      <c r="D3699" s="78" t="n">
        <v>46228</v>
      </c>
      <c r="E3699" s="75" t="inlineStr">
        <is>
          <t>KR</t>
        </is>
      </c>
      <c r="F3699" s="75" t="n">
        <v>62802000</v>
      </c>
      <c r="G3699" s="75" t="n">
        <v>1301</v>
      </c>
      <c r="H3699" s="76" t="n">
        <v>6583000</v>
      </c>
      <c r="I3699" s="75" t="inlineStr">
        <is>
          <t>7월 위탁교육 - V아카데미</t>
        </is>
      </c>
      <c r="J3699" s="75" t="inlineStr">
        <is>
          <t>V10023</t>
        </is>
      </c>
      <c r="K3699" s="75" t="inlineStr">
        <is>
          <t>V아카데미</t>
        </is>
      </c>
      <c r="M3699" s="9">
        <f>IF($A3699="","",VALUE($A3699&amp;"")*12+VALUE($B3699&amp;""))</f>
        <v/>
      </c>
      <c r="N3699" s="39">
        <f>IF($A3699="","",IFERROR(INDEX(부서매핑!$C$5:$C$504,MATCH($G3699&amp;"",부서매핑!$A$5:$A$504,0)),"미매핑"))</f>
        <v/>
      </c>
      <c r="O3699" s="9">
        <f>IF($A3699="","",N3699&amp;"|"&amp;$F3699)</f>
        <v/>
      </c>
      <c r="P3699" s="77">
        <f>IF($A3699="",0,$H3699*설정!$C$23)</f>
        <v/>
      </c>
      <c r="Q3699" s="39">
        <f>IF($A3699="","",IF(O3699&lt;&gt;원인분석!$C$9,"",IF(AND(M3699&gt;=원인분석!$C$10,M3699&lt;=원인분석!$C$11),"당기",IF(AND(M3699&gt;=원인분석!$C$12,M3699&lt;=원인분석!$C$13),"비교",""))))</f>
        <v/>
      </c>
      <c r="R3699" s="9">
        <f>IF(Q3699="","",$K3699&amp;"")</f>
        <v/>
      </c>
      <c r="S3699" s="9">
        <f>IF(Q3699="","",IF(MATCH(R3699,$R$5:$R$100000,0)=ROW()-4,ROW(),""))</f>
        <v/>
      </c>
      <c r="T3699" s="9">
        <f>IF(Q3699="당기",ABS(P3699)+ROW()/1000000000,"")</f>
        <v/>
      </c>
      <c r="U3699" s="9">
        <f>IF(Q3699="비교",ABS(P3699)+ROW()/1000000000,"")</f>
        <v/>
      </c>
      <c r="V3699" s="39">
        <f>IF($A3699="","",IF(COUNTIF(변동분석!$E$7:$E$506,O3699)&gt;0,"Y","N"))</f>
        <v/>
      </c>
      <c r="W3699" s="39">
        <f>IF($A3699="","",IFERROR(INDEX(계정매핑!$D$5:$D$504,MATCH($F3699&amp;"",계정매핑!$A$5:$A$504,0)),"미매핑"))</f>
        <v/>
      </c>
      <c r="X3699" s="9">
        <f>IF($A3699="","",$F3699&amp;"")</f>
        <v/>
      </c>
    </row>
    <row r="3700">
      <c r="A3700" s="75" t="n">
        <v>2026</v>
      </c>
      <c r="B3700" s="75" t="n">
        <v>7</v>
      </c>
      <c r="C3700" s="75" t="inlineStr">
        <is>
          <t>5100001356</t>
        </is>
      </c>
      <c r="D3700" s="78" t="n">
        <v>46228</v>
      </c>
      <c r="E3700" s="75" t="inlineStr">
        <is>
          <t>KR</t>
        </is>
      </c>
      <c r="F3700" s="75" t="n">
        <v>62902000</v>
      </c>
      <c r="G3700" s="75" t="n">
        <v>1801</v>
      </c>
      <c r="H3700" s="76" t="n">
        <v>1766000</v>
      </c>
      <c r="I3700" s="75" t="inlineStr">
        <is>
          <t>7월 콜 위탁 수수료(건별)</t>
        </is>
      </c>
      <c r="J3700" s="75" t="inlineStr">
        <is>
          <t>V10013</t>
        </is>
      </c>
      <c r="K3700" s="75" t="inlineStr">
        <is>
          <t>J콜센터</t>
        </is>
      </c>
      <c r="M3700" s="9">
        <f>IF($A3700="","",VALUE($A3700&amp;"")*12+VALUE($B3700&amp;""))</f>
        <v/>
      </c>
      <c r="N3700" s="39">
        <f>IF($A3700="","",IFERROR(INDEX(부서매핑!$C$5:$C$504,MATCH($G3700&amp;"",부서매핑!$A$5:$A$504,0)),"미매핑"))</f>
        <v/>
      </c>
      <c r="O3700" s="9">
        <f>IF($A3700="","",N3700&amp;"|"&amp;$F3700)</f>
        <v/>
      </c>
      <c r="P3700" s="77">
        <f>IF($A3700="",0,$H3700*설정!$C$23)</f>
        <v/>
      </c>
      <c r="Q3700" s="39">
        <f>IF($A3700="","",IF(O3700&lt;&gt;원인분석!$C$9,"",IF(AND(M3700&gt;=원인분석!$C$10,M3700&lt;=원인분석!$C$11),"당기",IF(AND(M3700&gt;=원인분석!$C$12,M3700&lt;=원인분석!$C$13),"비교",""))))</f>
        <v/>
      </c>
      <c r="R3700" s="9">
        <f>IF(Q3700="","",$K3700&amp;"")</f>
        <v/>
      </c>
      <c r="S3700" s="9">
        <f>IF(Q3700="","",IF(MATCH(R3700,$R$5:$R$100000,0)=ROW()-4,ROW(),""))</f>
        <v/>
      </c>
      <c r="T3700" s="9">
        <f>IF(Q3700="당기",ABS(P3700)+ROW()/1000000000,"")</f>
        <v/>
      </c>
      <c r="U3700" s="9">
        <f>IF(Q3700="비교",ABS(P3700)+ROW()/1000000000,"")</f>
        <v/>
      </c>
      <c r="V3700" s="39">
        <f>IF($A3700="","",IF(COUNTIF(변동분석!$E$7:$E$506,O3700)&gt;0,"Y","N"))</f>
        <v/>
      </c>
      <c r="W3700" s="39">
        <f>IF($A3700="","",IFERROR(INDEX(계정매핑!$D$5:$D$504,MATCH($F3700&amp;"",계정매핑!$A$5:$A$504,0)),"미매핑"))</f>
        <v/>
      </c>
      <c r="X3700" s="9">
        <f>IF($A3700="","",$F3700&amp;"")</f>
        <v/>
      </c>
    </row>
    <row r="3701">
      <c r="A3701" s="75" t="n">
        <v>2026</v>
      </c>
      <c r="B3701" s="75" t="n">
        <v>7</v>
      </c>
      <c r="C3701" s="75" t="inlineStr">
        <is>
          <t>5100001357</t>
        </is>
      </c>
      <c r="D3701" s="78" t="n">
        <v>46228</v>
      </c>
      <c r="E3701" s="75" t="inlineStr">
        <is>
          <t>KR</t>
        </is>
      </c>
      <c r="F3701" s="75" t="n">
        <v>63002000</v>
      </c>
      <c r="G3701" s="75" t="n">
        <v>1701</v>
      </c>
      <c r="H3701" s="76" t="n">
        <v>86000000</v>
      </c>
      <c r="I3701" s="75" t="inlineStr">
        <is>
          <t>7월 클라우드 사용료 - C클라우드</t>
        </is>
      </c>
      <c r="J3701" s="75" t="inlineStr">
        <is>
          <t>V10028</t>
        </is>
      </c>
      <c r="K3701" s="75" t="inlineStr">
        <is>
          <t>C클라우드</t>
        </is>
      </c>
      <c r="M3701" s="9">
        <f>IF($A3701="","",VALUE($A3701&amp;"")*12+VALUE($B3701&amp;""))</f>
        <v/>
      </c>
      <c r="N3701" s="39">
        <f>IF($A3701="","",IFERROR(INDEX(부서매핑!$C$5:$C$504,MATCH($G3701&amp;"",부서매핑!$A$5:$A$504,0)),"미매핑"))</f>
        <v/>
      </c>
      <c r="O3701" s="9">
        <f>IF($A3701="","",N3701&amp;"|"&amp;$F3701)</f>
        <v/>
      </c>
      <c r="P3701" s="77">
        <f>IF($A3701="",0,$H3701*설정!$C$23)</f>
        <v/>
      </c>
      <c r="Q3701" s="39">
        <f>IF($A3701="","",IF(O3701&lt;&gt;원인분석!$C$9,"",IF(AND(M3701&gt;=원인분석!$C$10,M3701&lt;=원인분석!$C$11),"당기",IF(AND(M3701&gt;=원인분석!$C$12,M3701&lt;=원인분석!$C$13),"비교",""))))</f>
        <v/>
      </c>
      <c r="R3701" s="9">
        <f>IF(Q3701="","",$K3701&amp;"")</f>
        <v/>
      </c>
      <c r="S3701" s="9">
        <f>IF(Q3701="","",IF(MATCH(R3701,$R$5:$R$100000,0)=ROW()-4,ROW(),""))</f>
        <v/>
      </c>
      <c r="T3701" s="9">
        <f>IF(Q3701="당기",ABS(P3701)+ROW()/1000000000,"")</f>
        <v/>
      </c>
      <c r="U3701" s="9">
        <f>IF(Q3701="비교",ABS(P3701)+ROW()/1000000000,"")</f>
        <v/>
      </c>
      <c r="V3701" s="39">
        <f>IF($A3701="","",IF(COUNTIF(변동분석!$E$7:$E$506,O3701)&gt;0,"Y","N"))</f>
        <v/>
      </c>
      <c r="W3701" s="39">
        <f>IF($A3701="","",IFERROR(INDEX(계정매핑!$D$5:$D$504,MATCH($F3701&amp;"",계정매핑!$A$5:$A$504,0)),"미매핑"))</f>
        <v/>
      </c>
      <c r="X3701" s="9">
        <f>IF($A3701="","",$F3701&amp;"")</f>
        <v/>
      </c>
    </row>
    <row r="3702">
      <c r="A3702" s="75" t="n">
        <v>2026</v>
      </c>
      <c r="B3702" s="75" t="n">
        <v>7</v>
      </c>
      <c r="C3702" s="75" t="inlineStr">
        <is>
          <t>5100001358</t>
        </is>
      </c>
      <c r="D3702" s="78" t="n">
        <v>46229</v>
      </c>
      <c r="E3702" s="75" t="inlineStr">
        <is>
          <t>KR</t>
        </is>
      </c>
      <c r="F3702" s="75" t="n">
        <v>62101000</v>
      </c>
      <c r="G3702" s="75" t="n">
        <v>1101</v>
      </c>
      <c r="H3702" s="76" t="n">
        <v>467000</v>
      </c>
      <c r="I3702" s="75" t="inlineStr">
        <is>
          <t>7월 국내출장 - M항공</t>
        </is>
      </c>
      <c r="J3702" s="75" t="inlineStr">
        <is>
          <t>V10001</t>
        </is>
      </c>
      <c r="K3702" s="75" t="inlineStr">
        <is>
          <t>M항공</t>
        </is>
      </c>
      <c r="M3702" s="9">
        <f>IF($A3702="","",VALUE($A3702&amp;"")*12+VALUE($B3702&amp;""))</f>
        <v/>
      </c>
      <c r="N3702" s="39">
        <f>IF($A3702="","",IFERROR(INDEX(부서매핑!$C$5:$C$504,MATCH($G3702&amp;"",부서매핑!$A$5:$A$504,0)),"미매핑"))</f>
        <v/>
      </c>
      <c r="O3702" s="9">
        <f>IF($A3702="","",N3702&amp;"|"&amp;$F3702)</f>
        <v/>
      </c>
      <c r="P3702" s="77">
        <f>IF($A3702="",0,$H3702*설정!$C$23)</f>
        <v/>
      </c>
      <c r="Q3702" s="39">
        <f>IF($A3702="","",IF(O3702&lt;&gt;원인분석!$C$9,"",IF(AND(M3702&gt;=원인분석!$C$10,M3702&lt;=원인분석!$C$11),"당기",IF(AND(M3702&gt;=원인분석!$C$12,M3702&lt;=원인분석!$C$13),"비교",""))))</f>
        <v/>
      </c>
      <c r="R3702" s="9">
        <f>IF(Q3702="","",$K3702&amp;"")</f>
        <v/>
      </c>
      <c r="S3702" s="9">
        <f>IF(Q3702="","",IF(MATCH(R3702,$R$5:$R$100000,0)=ROW()-4,ROW(),""))</f>
        <v/>
      </c>
      <c r="T3702" s="9">
        <f>IF(Q3702="당기",ABS(P3702)+ROW()/1000000000,"")</f>
        <v/>
      </c>
      <c r="U3702" s="9">
        <f>IF(Q3702="비교",ABS(P3702)+ROW()/1000000000,"")</f>
        <v/>
      </c>
      <c r="V3702" s="39">
        <f>IF($A3702="","",IF(COUNTIF(변동분석!$E$7:$E$506,O3702)&gt;0,"Y","N"))</f>
        <v/>
      </c>
      <c r="W3702" s="39">
        <f>IF($A3702="","",IFERROR(INDEX(계정매핑!$D$5:$D$504,MATCH($F3702&amp;"",계정매핑!$A$5:$A$504,0)),"미매핑"))</f>
        <v/>
      </c>
      <c r="X3702" s="9">
        <f>IF($A3702="","",$F3702&amp;"")</f>
        <v/>
      </c>
    </row>
    <row r="3703">
      <c r="A3703" s="75" t="n">
        <v>2026</v>
      </c>
      <c r="B3703" s="75" t="n">
        <v>7</v>
      </c>
      <c r="C3703" s="75" t="inlineStr">
        <is>
          <t>5100001359</t>
        </is>
      </c>
      <c r="D3703" s="78" t="n">
        <v>46229</v>
      </c>
      <c r="E3703" s="75" t="inlineStr">
        <is>
          <t>KR</t>
        </is>
      </c>
      <c r="F3703" s="75" t="n">
        <v>62102000</v>
      </c>
      <c r="G3703" s="75" t="n">
        <v>1501</v>
      </c>
      <c r="H3703" s="76" t="n">
        <v>155000</v>
      </c>
      <c r="I3703" s="75" t="inlineStr">
        <is>
          <t>7월 해외출장 - M항공</t>
        </is>
      </c>
      <c r="J3703" s="75" t="inlineStr">
        <is>
          <t>V10001</t>
        </is>
      </c>
      <c r="K3703" s="75" t="inlineStr">
        <is>
          <t>M항공</t>
        </is>
      </c>
      <c r="M3703" s="9">
        <f>IF($A3703="","",VALUE($A3703&amp;"")*12+VALUE($B3703&amp;""))</f>
        <v/>
      </c>
      <c r="N3703" s="39">
        <f>IF($A3703="","",IFERROR(INDEX(부서매핑!$C$5:$C$504,MATCH($G3703&amp;"",부서매핑!$A$5:$A$504,0)),"미매핑"))</f>
        <v/>
      </c>
      <c r="O3703" s="9">
        <f>IF($A3703="","",N3703&amp;"|"&amp;$F3703)</f>
        <v/>
      </c>
      <c r="P3703" s="77">
        <f>IF($A3703="",0,$H3703*설정!$C$23)</f>
        <v/>
      </c>
      <c r="Q3703" s="39">
        <f>IF($A3703="","",IF(O3703&lt;&gt;원인분석!$C$9,"",IF(AND(M3703&gt;=원인분석!$C$10,M3703&lt;=원인분석!$C$11),"당기",IF(AND(M3703&gt;=원인분석!$C$12,M3703&lt;=원인분석!$C$13),"비교",""))))</f>
        <v/>
      </c>
      <c r="R3703" s="9">
        <f>IF(Q3703="","",$K3703&amp;"")</f>
        <v/>
      </c>
      <c r="S3703" s="9">
        <f>IF(Q3703="","",IF(MATCH(R3703,$R$5:$R$100000,0)=ROW()-4,ROW(),""))</f>
        <v/>
      </c>
      <c r="T3703" s="9">
        <f>IF(Q3703="당기",ABS(P3703)+ROW()/1000000000,"")</f>
        <v/>
      </c>
      <c r="U3703" s="9">
        <f>IF(Q3703="비교",ABS(P3703)+ROW()/1000000000,"")</f>
        <v/>
      </c>
      <c r="V3703" s="39">
        <f>IF($A3703="","",IF(COUNTIF(변동분석!$E$7:$E$506,O3703)&gt;0,"Y","N"))</f>
        <v/>
      </c>
      <c r="W3703" s="39">
        <f>IF($A3703="","",IFERROR(INDEX(계정매핑!$D$5:$D$504,MATCH($F3703&amp;"",계정매핑!$A$5:$A$504,0)),"미매핑"))</f>
        <v/>
      </c>
      <c r="X3703" s="9">
        <f>IF($A3703="","",$F3703&amp;"")</f>
        <v/>
      </c>
    </row>
    <row r="3704">
      <c r="A3704" s="75" t="n">
        <v>2026</v>
      </c>
      <c r="B3704" s="75" t="n">
        <v>7</v>
      </c>
      <c r="C3704" s="75" t="inlineStr">
        <is>
          <t>5100001360</t>
        </is>
      </c>
      <c r="D3704" s="78" t="n">
        <v>46229</v>
      </c>
      <c r="E3704" s="75" t="inlineStr">
        <is>
          <t>KR</t>
        </is>
      </c>
      <c r="F3704" s="75" t="n">
        <v>62102000</v>
      </c>
      <c r="G3704" s="75" t="n">
        <v>1701</v>
      </c>
      <c r="H3704" s="76" t="n">
        <v>62000</v>
      </c>
      <c r="I3704" s="75" t="inlineStr">
        <is>
          <t>7월 해외출장 - N호텔</t>
        </is>
      </c>
      <c r="J3704" s="75" t="inlineStr">
        <is>
          <t>V10007</t>
        </is>
      </c>
      <c r="K3704" s="75" t="inlineStr">
        <is>
          <t>N호텔</t>
        </is>
      </c>
      <c r="M3704" s="9">
        <f>IF($A3704="","",VALUE($A3704&amp;"")*12+VALUE($B3704&amp;""))</f>
        <v/>
      </c>
      <c r="N3704" s="39">
        <f>IF($A3704="","",IFERROR(INDEX(부서매핑!$C$5:$C$504,MATCH($G3704&amp;"",부서매핑!$A$5:$A$504,0)),"미매핑"))</f>
        <v/>
      </c>
      <c r="O3704" s="9">
        <f>IF($A3704="","",N3704&amp;"|"&amp;$F3704)</f>
        <v/>
      </c>
      <c r="P3704" s="77">
        <f>IF($A3704="",0,$H3704*설정!$C$23)</f>
        <v/>
      </c>
      <c r="Q3704" s="39">
        <f>IF($A3704="","",IF(O3704&lt;&gt;원인분석!$C$9,"",IF(AND(M3704&gt;=원인분석!$C$10,M3704&lt;=원인분석!$C$11),"당기",IF(AND(M3704&gt;=원인분석!$C$12,M3704&lt;=원인분석!$C$13),"비교",""))))</f>
        <v/>
      </c>
      <c r="R3704" s="9">
        <f>IF(Q3704="","",$K3704&amp;"")</f>
        <v/>
      </c>
      <c r="S3704" s="9">
        <f>IF(Q3704="","",IF(MATCH(R3704,$R$5:$R$100000,0)=ROW()-4,ROW(),""))</f>
        <v/>
      </c>
      <c r="T3704" s="9">
        <f>IF(Q3704="당기",ABS(P3704)+ROW()/1000000000,"")</f>
        <v/>
      </c>
      <c r="U3704" s="9">
        <f>IF(Q3704="비교",ABS(P3704)+ROW()/1000000000,"")</f>
        <v/>
      </c>
      <c r="V3704" s="39">
        <f>IF($A3704="","",IF(COUNTIF(변동분석!$E$7:$E$506,O3704)&gt;0,"Y","N"))</f>
        <v/>
      </c>
      <c r="W3704" s="39">
        <f>IF($A3704="","",IFERROR(INDEX(계정매핑!$D$5:$D$504,MATCH($F3704&amp;"",계정매핑!$A$5:$A$504,0)),"미매핑"))</f>
        <v/>
      </c>
      <c r="X3704" s="9">
        <f>IF($A3704="","",$F3704&amp;"")</f>
        <v/>
      </c>
    </row>
    <row r="3705">
      <c r="A3705" s="75" t="n">
        <v>2026</v>
      </c>
      <c r="B3705" s="75" t="n">
        <v>7</v>
      </c>
      <c r="C3705" s="75" t="inlineStr">
        <is>
          <t>5100001361</t>
        </is>
      </c>
      <c r="D3705" s="78" t="n">
        <v>46229</v>
      </c>
      <c r="E3705" s="75" t="inlineStr">
        <is>
          <t>KR</t>
        </is>
      </c>
      <c r="F3705" s="75" t="n">
        <v>62201000</v>
      </c>
      <c r="G3705" s="75" t="n">
        <v>1301</v>
      </c>
      <c r="H3705" s="76" t="n">
        <v>106000</v>
      </c>
      <c r="I3705" s="75" t="inlineStr">
        <is>
          <t>7월 통신요금 - P통신</t>
        </is>
      </c>
      <c r="J3705" s="75" t="inlineStr">
        <is>
          <t>V10011</t>
        </is>
      </c>
      <c r="K3705" s="75" t="inlineStr">
        <is>
          <t>P통신</t>
        </is>
      </c>
      <c r="M3705" s="9">
        <f>IF($A3705="","",VALUE($A3705&amp;"")*12+VALUE($B3705&amp;""))</f>
        <v/>
      </c>
      <c r="N3705" s="39">
        <f>IF($A3705="","",IFERROR(INDEX(부서매핑!$C$5:$C$504,MATCH($G3705&amp;"",부서매핑!$A$5:$A$504,0)),"미매핑"))</f>
        <v/>
      </c>
      <c r="O3705" s="9">
        <f>IF($A3705="","",N3705&amp;"|"&amp;$F3705)</f>
        <v/>
      </c>
      <c r="P3705" s="77">
        <f>IF($A3705="",0,$H3705*설정!$C$23)</f>
        <v/>
      </c>
      <c r="Q3705" s="39">
        <f>IF($A3705="","",IF(O3705&lt;&gt;원인분석!$C$9,"",IF(AND(M3705&gt;=원인분석!$C$10,M3705&lt;=원인분석!$C$11),"당기",IF(AND(M3705&gt;=원인분석!$C$12,M3705&lt;=원인분석!$C$13),"비교",""))))</f>
        <v/>
      </c>
      <c r="R3705" s="9">
        <f>IF(Q3705="","",$K3705&amp;"")</f>
        <v/>
      </c>
      <c r="S3705" s="9">
        <f>IF(Q3705="","",IF(MATCH(R3705,$R$5:$R$100000,0)=ROW()-4,ROW(),""))</f>
        <v/>
      </c>
      <c r="T3705" s="9">
        <f>IF(Q3705="당기",ABS(P3705)+ROW()/1000000000,"")</f>
        <v/>
      </c>
      <c r="U3705" s="9">
        <f>IF(Q3705="비교",ABS(P3705)+ROW()/1000000000,"")</f>
        <v/>
      </c>
      <c r="V3705" s="39">
        <f>IF($A3705="","",IF(COUNTIF(변동분석!$E$7:$E$506,O3705)&gt;0,"Y","N"))</f>
        <v/>
      </c>
      <c r="W3705" s="39">
        <f>IF($A3705="","",IFERROR(INDEX(계정매핑!$D$5:$D$504,MATCH($F3705&amp;"",계정매핑!$A$5:$A$504,0)),"미매핑"))</f>
        <v/>
      </c>
      <c r="X3705" s="9">
        <f>IF($A3705="","",$F3705&amp;"")</f>
        <v/>
      </c>
    </row>
    <row r="3706">
      <c r="A3706" s="75" t="n">
        <v>2026</v>
      </c>
      <c r="B3706" s="75" t="n">
        <v>7</v>
      </c>
      <c r="C3706" s="75" t="inlineStr">
        <is>
          <t>5100001362</t>
        </is>
      </c>
      <c r="D3706" s="78" t="n">
        <v>46229</v>
      </c>
      <c r="E3706" s="75" t="inlineStr">
        <is>
          <t>KR</t>
        </is>
      </c>
      <c r="F3706" s="75" t="n">
        <v>62301000</v>
      </c>
      <c r="G3706" s="75" t="n">
        <v>1602</v>
      </c>
      <c r="H3706" s="76" t="n">
        <v>329000</v>
      </c>
      <c r="I3706" s="75" t="inlineStr">
        <is>
          <t>7월 소모품 구입 - R문구</t>
        </is>
      </c>
      <c r="J3706" s="75" t="inlineStr">
        <is>
          <t>V10018</t>
        </is>
      </c>
      <c r="K3706" s="75" t="inlineStr">
        <is>
          <t>R문구</t>
        </is>
      </c>
      <c r="M3706" s="9">
        <f>IF($A3706="","",VALUE($A3706&amp;"")*12+VALUE($B3706&amp;""))</f>
        <v/>
      </c>
      <c r="N3706" s="39">
        <f>IF($A3706="","",IFERROR(INDEX(부서매핑!$C$5:$C$504,MATCH($G3706&amp;"",부서매핑!$A$5:$A$504,0)),"미매핑"))</f>
        <v/>
      </c>
      <c r="O3706" s="9">
        <f>IF($A3706="","",N3706&amp;"|"&amp;$F3706)</f>
        <v/>
      </c>
      <c r="P3706" s="77">
        <f>IF($A3706="",0,$H3706*설정!$C$23)</f>
        <v/>
      </c>
      <c r="Q3706" s="39">
        <f>IF($A3706="","",IF(O3706&lt;&gt;원인분석!$C$9,"",IF(AND(M3706&gt;=원인분석!$C$10,M3706&lt;=원인분석!$C$11),"당기",IF(AND(M3706&gt;=원인분석!$C$12,M3706&lt;=원인분석!$C$13),"비교",""))))</f>
        <v/>
      </c>
      <c r="R3706" s="9">
        <f>IF(Q3706="","",$K3706&amp;"")</f>
        <v/>
      </c>
      <c r="S3706" s="9">
        <f>IF(Q3706="","",IF(MATCH(R3706,$R$5:$R$100000,0)=ROW()-4,ROW(),""))</f>
        <v/>
      </c>
      <c r="T3706" s="9">
        <f>IF(Q3706="당기",ABS(P3706)+ROW()/1000000000,"")</f>
        <v/>
      </c>
      <c r="U3706" s="9">
        <f>IF(Q3706="비교",ABS(P3706)+ROW()/1000000000,"")</f>
        <v/>
      </c>
      <c r="V3706" s="39">
        <f>IF($A3706="","",IF(COUNTIF(변동분석!$E$7:$E$506,O3706)&gt;0,"Y","N"))</f>
        <v/>
      </c>
      <c r="W3706" s="39">
        <f>IF($A3706="","",IFERROR(INDEX(계정매핑!$D$5:$D$504,MATCH($F3706&amp;"",계정매핑!$A$5:$A$504,0)),"미매핑"))</f>
        <v/>
      </c>
      <c r="X3706" s="9">
        <f>IF($A3706="","",$F3706&amp;"")</f>
        <v/>
      </c>
    </row>
    <row r="3707">
      <c r="A3707" s="75" t="n">
        <v>2026</v>
      </c>
      <c r="B3707" s="75" t="n">
        <v>7</v>
      </c>
      <c r="C3707" s="75" t="inlineStr">
        <is>
          <t>5100001363</t>
        </is>
      </c>
      <c r="D3707" s="78" t="n">
        <v>46229</v>
      </c>
      <c r="E3707" s="75" t="inlineStr">
        <is>
          <t>KR</t>
        </is>
      </c>
      <c r="F3707" s="75" t="n">
        <v>62401000</v>
      </c>
      <c r="G3707" s="75" t="n">
        <v>1801</v>
      </c>
      <c r="H3707" s="76" t="n">
        <v>1801000</v>
      </c>
      <c r="I3707" s="75" t="inlineStr">
        <is>
          <t>7월 인쇄물 제작 - S출판</t>
        </is>
      </c>
      <c r="J3707" s="75" t="inlineStr">
        <is>
          <t>V10012</t>
        </is>
      </c>
      <c r="K3707" s="75" t="inlineStr">
        <is>
          <t>S출판</t>
        </is>
      </c>
      <c r="M3707" s="9">
        <f>IF($A3707="","",VALUE($A3707&amp;"")*12+VALUE($B3707&amp;""))</f>
        <v/>
      </c>
      <c r="N3707" s="39">
        <f>IF($A3707="","",IFERROR(INDEX(부서매핑!$C$5:$C$504,MATCH($G3707&amp;"",부서매핑!$A$5:$A$504,0)),"미매핑"))</f>
        <v/>
      </c>
      <c r="O3707" s="9">
        <f>IF($A3707="","",N3707&amp;"|"&amp;$F3707)</f>
        <v/>
      </c>
      <c r="P3707" s="77">
        <f>IF($A3707="",0,$H3707*설정!$C$23)</f>
        <v/>
      </c>
      <c r="Q3707" s="39">
        <f>IF($A3707="","",IF(O3707&lt;&gt;원인분석!$C$9,"",IF(AND(M3707&gt;=원인분석!$C$10,M3707&lt;=원인분석!$C$11),"당기",IF(AND(M3707&gt;=원인분석!$C$12,M3707&lt;=원인분석!$C$13),"비교",""))))</f>
        <v/>
      </c>
      <c r="R3707" s="9">
        <f>IF(Q3707="","",$K3707&amp;"")</f>
        <v/>
      </c>
      <c r="S3707" s="9">
        <f>IF(Q3707="","",IF(MATCH(R3707,$R$5:$R$100000,0)=ROW()-4,ROW(),""))</f>
        <v/>
      </c>
      <c r="T3707" s="9">
        <f>IF(Q3707="당기",ABS(P3707)+ROW()/1000000000,"")</f>
        <v/>
      </c>
      <c r="U3707" s="9">
        <f>IF(Q3707="비교",ABS(P3707)+ROW()/1000000000,"")</f>
        <v/>
      </c>
      <c r="V3707" s="39">
        <f>IF($A3707="","",IF(COUNTIF(변동분석!$E$7:$E$506,O3707)&gt;0,"Y","N"))</f>
        <v/>
      </c>
      <c r="W3707" s="39">
        <f>IF($A3707="","",IFERROR(INDEX(계정매핑!$D$5:$D$504,MATCH($F3707&amp;"",계정매핑!$A$5:$A$504,0)),"미매핑"))</f>
        <v/>
      </c>
      <c r="X3707" s="9">
        <f>IF($A3707="","",$F3707&amp;"")</f>
        <v/>
      </c>
    </row>
    <row r="3708">
      <c r="A3708" s="75" t="n">
        <v>2026</v>
      </c>
      <c r="B3708" s="75" t="n">
        <v>7</v>
      </c>
      <c r="C3708" s="75" t="inlineStr">
        <is>
          <t>5100001364</t>
        </is>
      </c>
      <c r="D3708" s="78" t="n">
        <v>46229</v>
      </c>
      <c r="E3708" s="75" t="inlineStr">
        <is>
          <t>KR</t>
        </is>
      </c>
      <c r="F3708" s="75" t="n">
        <v>62701000</v>
      </c>
      <c r="G3708" s="75" t="n">
        <v>1502</v>
      </c>
      <c r="H3708" s="76" t="n">
        <v>56434000</v>
      </c>
      <c r="I3708" s="75" t="inlineStr">
        <is>
          <t>7월 광고 집행 - F애드</t>
        </is>
      </c>
      <c r="J3708" s="75" t="inlineStr">
        <is>
          <t>V10019</t>
        </is>
      </c>
      <c r="K3708" s="75" t="inlineStr">
        <is>
          <t>F애드</t>
        </is>
      </c>
      <c r="M3708" s="9">
        <f>IF($A3708="","",VALUE($A3708&amp;"")*12+VALUE($B3708&amp;""))</f>
        <v/>
      </c>
      <c r="N3708" s="39">
        <f>IF($A3708="","",IFERROR(INDEX(부서매핑!$C$5:$C$504,MATCH($G3708&amp;"",부서매핑!$A$5:$A$504,0)),"미매핑"))</f>
        <v/>
      </c>
      <c r="O3708" s="9">
        <f>IF($A3708="","",N3708&amp;"|"&amp;$F3708)</f>
        <v/>
      </c>
      <c r="P3708" s="77">
        <f>IF($A3708="",0,$H3708*설정!$C$23)</f>
        <v/>
      </c>
      <c r="Q3708" s="39">
        <f>IF($A3708="","",IF(O3708&lt;&gt;원인분석!$C$9,"",IF(AND(M3708&gt;=원인분석!$C$10,M3708&lt;=원인분석!$C$11),"당기",IF(AND(M3708&gt;=원인분석!$C$12,M3708&lt;=원인분석!$C$13),"비교",""))))</f>
        <v/>
      </c>
      <c r="R3708" s="9">
        <f>IF(Q3708="","",$K3708&amp;"")</f>
        <v/>
      </c>
      <c r="S3708" s="9">
        <f>IF(Q3708="","",IF(MATCH(R3708,$R$5:$R$100000,0)=ROW()-4,ROW(),""))</f>
        <v/>
      </c>
      <c r="T3708" s="9">
        <f>IF(Q3708="당기",ABS(P3708)+ROW()/1000000000,"")</f>
        <v/>
      </c>
      <c r="U3708" s="9">
        <f>IF(Q3708="비교",ABS(P3708)+ROW()/1000000000,"")</f>
        <v/>
      </c>
      <c r="V3708" s="39">
        <f>IF($A3708="","",IF(COUNTIF(변동분석!$E$7:$E$506,O3708)&gt;0,"Y","N"))</f>
        <v/>
      </c>
      <c r="W3708" s="39">
        <f>IF($A3708="","",IFERROR(INDEX(계정매핑!$D$5:$D$504,MATCH($F3708&amp;"",계정매핑!$A$5:$A$504,0)),"미매핑"))</f>
        <v/>
      </c>
      <c r="X3708" s="9">
        <f>IF($A3708="","",$F3708&amp;"")</f>
        <v/>
      </c>
    </row>
    <row r="3709">
      <c r="A3709" s="75" t="n">
        <v>2026</v>
      </c>
      <c r="B3709" s="75" t="n">
        <v>7</v>
      </c>
      <c r="C3709" s="75" t="inlineStr">
        <is>
          <t>5100001365</t>
        </is>
      </c>
      <c r="D3709" s="78" t="n">
        <v>46229</v>
      </c>
      <c r="E3709" s="75" t="inlineStr">
        <is>
          <t>KR</t>
        </is>
      </c>
      <c r="F3709" s="75" t="n">
        <v>62901000</v>
      </c>
      <c r="G3709" s="75" t="n">
        <v>1101</v>
      </c>
      <c r="H3709" s="76" t="n">
        <v>4431000</v>
      </c>
      <c r="I3709" s="75" t="inlineStr">
        <is>
          <t>7월 자문 수수료 - W컨설팅</t>
        </is>
      </c>
      <c r="J3709" s="75" t="inlineStr">
        <is>
          <t>V10009</t>
        </is>
      </c>
      <c r="K3709" s="75" t="inlineStr">
        <is>
          <t>W컨설팅</t>
        </is>
      </c>
      <c r="M3709" s="9">
        <f>IF($A3709="","",VALUE($A3709&amp;"")*12+VALUE($B3709&amp;""))</f>
        <v/>
      </c>
      <c r="N3709" s="39">
        <f>IF($A3709="","",IFERROR(INDEX(부서매핑!$C$5:$C$504,MATCH($G3709&amp;"",부서매핑!$A$5:$A$504,0)),"미매핑"))</f>
        <v/>
      </c>
      <c r="O3709" s="9">
        <f>IF($A3709="","",N3709&amp;"|"&amp;$F3709)</f>
        <v/>
      </c>
      <c r="P3709" s="77">
        <f>IF($A3709="",0,$H3709*설정!$C$23)</f>
        <v/>
      </c>
      <c r="Q3709" s="39">
        <f>IF($A3709="","",IF(O3709&lt;&gt;원인분석!$C$9,"",IF(AND(M3709&gt;=원인분석!$C$10,M3709&lt;=원인분석!$C$11),"당기",IF(AND(M3709&gt;=원인분석!$C$12,M3709&lt;=원인분석!$C$13),"비교",""))))</f>
        <v/>
      </c>
      <c r="R3709" s="9">
        <f>IF(Q3709="","",$K3709&amp;"")</f>
        <v/>
      </c>
      <c r="S3709" s="9">
        <f>IF(Q3709="","",IF(MATCH(R3709,$R$5:$R$100000,0)=ROW()-4,ROW(),""))</f>
        <v/>
      </c>
      <c r="T3709" s="9">
        <f>IF(Q3709="당기",ABS(P3709)+ROW()/1000000000,"")</f>
        <v/>
      </c>
      <c r="U3709" s="9">
        <f>IF(Q3709="비교",ABS(P3709)+ROW()/1000000000,"")</f>
        <v/>
      </c>
      <c r="V3709" s="39">
        <f>IF($A3709="","",IF(COUNTIF(변동분석!$E$7:$E$506,O3709)&gt;0,"Y","N"))</f>
        <v/>
      </c>
      <c r="W3709" s="39">
        <f>IF($A3709="","",IFERROR(INDEX(계정매핑!$D$5:$D$504,MATCH($F3709&amp;"",계정매핑!$A$5:$A$504,0)),"미매핑"))</f>
        <v/>
      </c>
      <c r="X3709" s="9">
        <f>IF($A3709="","",$F3709&amp;"")</f>
        <v/>
      </c>
    </row>
    <row r="3710">
      <c r="A3710" s="75" t="n">
        <v>2026</v>
      </c>
      <c r="B3710" s="75" t="n">
        <v>7</v>
      </c>
      <c r="C3710" s="75" t="inlineStr">
        <is>
          <t>5100001366</t>
        </is>
      </c>
      <c r="D3710" s="78" t="n">
        <v>46229</v>
      </c>
      <c r="E3710" s="75" t="inlineStr">
        <is>
          <t>KR</t>
        </is>
      </c>
      <c r="F3710" s="75" t="n">
        <v>62902000</v>
      </c>
      <c r="G3710" s="75" t="n">
        <v>1401</v>
      </c>
      <c r="H3710" s="76" t="n">
        <v>1307000</v>
      </c>
      <c r="I3710" s="75" t="inlineStr">
        <is>
          <t>7월 업무 위탁 수수료 - J콜센터</t>
        </is>
      </c>
      <c r="J3710" s="75" t="inlineStr">
        <is>
          <t>V10013</t>
        </is>
      </c>
      <c r="K3710" s="75" t="inlineStr">
        <is>
          <t>J콜센터</t>
        </is>
      </c>
      <c r="M3710" s="9">
        <f>IF($A3710="","",VALUE($A3710&amp;"")*12+VALUE($B3710&amp;""))</f>
        <v/>
      </c>
      <c r="N3710" s="39">
        <f>IF($A3710="","",IFERROR(INDEX(부서매핑!$C$5:$C$504,MATCH($G3710&amp;"",부서매핑!$A$5:$A$504,0)),"미매핑"))</f>
        <v/>
      </c>
      <c r="O3710" s="9">
        <f>IF($A3710="","",N3710&amp;"|"&amp;$F3710)</f>
        <v/>
      </c>
      <c r="P3710" s="77">
        <f>IF($A3710="",0,$H3710*설정!$C$23)</f>
        <v/>
      </c>
      <c r="Q3710" s="39">
        <f>IF($A3710="","",IF(O3710&lt;&gt;원인분석!$C$9,"",IF(AND(M3710&gt;=원인분석!$C$10,M3710&lt;=원인분석!$C$11),"당기",IF(AND(M3710&gt;=원인분석!$C$12,M3710&lt;=원인분석!$C$13),"비교",""))))</f>
        <v/>
      </c>
      <c r="R3710" s="9">
        <f>IF(Q3710="","",$K3710&amp;"")</f>
        <v/>
      </c>
      <c r="S3710" s="9">
        <f>IF(Q3710="","",IF(MATCH(R3710,$R$5:$R$100000,0)=ROW()-4,ROW(),""))</f>
        <v/>
      </c>
      <c r="T3710" s="9">
        <f>IF(Q3710="당기",ABS(P3710)+ROW()/1000000000,"")</f>
        <v/>
      </c>
      <c r="U3710" s="9">
        <f>IF(Q3710="비교",ABS(P3710)+ROW()/1000000000,"")</f>
        <v/>
      </c>
      <c r="V3710" s="39">
        <f>IF($A3710="","",IF(COUNTIF(변동분석!$E$7:$E$506,O3710)&gt;0,"Y","N"))</f>
        <v/>
      </c>
      <c r="W3710" s="39">
        <f>IF($A3710="","",IFERROR(INDEX(계정매핑!$D$5:$D$504,MATCH($F3710&amp;"",계정매핑!$A$5:$A$504,0)),"미매핑"))</f>
        <v/>
      </c>
      <c r="X3710" s="9">
        <f>IF($A3710="","",$F3710&amp;"")</f>
        <v/>
      </c>
    </row>
    <row r="3711">
      <c r="A3711" s="75" t="n">
        <v>2026</v>
      </c>
      <c r="B3711" s="75" t="n">
        <v>7</v>
      </c>
      <c r="C3711" s="75" t="inlineStr">
        <is>
          <t>5100001367</t>
        </is>
      </c>
      <c r="D3711" s="78" t="n">
        <v>46229</v>
      </c>
      <c r="E3711" s="75" t="inlineStr">
        <is>
          <t>KR</t>
        </is>
      </c>
      <c r="F3711" s="75" t="n">
        <v>62902000</v>
      </c>
      <c r="G3711" s="75" t="n">
        <v>1801</v>
      </c>
      <c r="H3711" s="76" t="n">
        <v>1840000</v>
      </c>
      <c r="I3711" s="75" t="inlineStr">
        <is>
          <t>7월 콜 위탁 수수료(건별)</t>
        </is>
      </c>
      <c r="J3711" s="75" t="inlineStr">
        <is>
          <t>V10013</t>
        </is>
      </c>
      <c r="K3711" s="75" t="inlineStr">
        <is>
          <t>J콜센터</t>
        </is>
      </c>
      <c r="M3711" s="9">
        <f>IF($A3711="","",VALUE($A3711&amp;"")*12+VALUE($B3711&amp;""))</f>
        <v/>
      </c>
      <c r="N3711" s="39">
        <f>IF($A3711="","",IFERROR(INDEX(부서매핑!$C$5:$C$504,MATCH($G3711&amp;"",부서매핑!$A$5:$A$504,0)),"미매핑"))</f>
        <v/>
      </c>
      <c r="O3711" s="9">
        <f>IF($A3711="","",N3711&amp;"|"&amp;$F3711)</f>
        <v/>
      </c>
      <c r="P3711" s="77">
        <f>IF($A3711="",0,$H3711*설정!$C$23)</f>
        <v/>
      </c>
      <c r="Q3711" s="39">
        <f>IF($A3711="","",IF(O3711&lt;&gt;원인분석!$C$9,"",IF(AND(M3711&gt;=원인분석!$C$10,M3711&lt;=원인분석!$C$11),"당기",IF(AND(M3711&gt;=원인분석!$C$12,M3711&lt;=원인분석!$C$13),"비교",""))))</f>
        <v/>
      </c>
      <c r="R3711" s="9">
        <f>IF(Q3711="","",$K3711&amp;"")</f>
        <v/>
      </c>
      <c r="S3711" s="9">
        <f>IF(Q3711="","",IF(MATCH(R3711,$R$5:$R$100000,0)=ROW()-4,ROW(),""))</f>
        <v/>
      </c>
      <c r="T3711" s="9">
        <f>IF(Q3711="당기",ABS(P3711)+ROW()/1000000000,"")</f>
        <v/>
      </c>
      <c r="U3711" s="9">
        <f>IF(Q3711="비교",ABS(P3711)+ROW()/1000000000,"")</f>
        <v/>
      </c>
      <c r="V3711" s="39">
        <f>IF($A3711="","",IF(COUNTIF(변동분석!$E$7:$E$506,O3711)&gt;0,"Y","N"))</f>
        <v/>
      </c>
      <c r="W3711" s="39">
        <f>IF($A3711="","",IFERROR(INDEX(계정매핑!$D$5:$D$504,MATCH($F3711&amp;"",계정매핑!$A$5:$A$504,0)),"미매핑"))</f>
        <v/>
      </c>
      <c r="X3711" s="9">
        <f>IF($A3711="","",$F3711&amp;"")</f>
        <v/>
      </c>
    </row>
    <row r="3712">
      <c r="A3712" s="75" t="n">
        <v>2026</v>
      </c>
      <c r="B3712" s="75" t="n">
        <v>7</v>
      </c>
      <c r="C3712" s="75" t="inlineStr">
        <is>
          <t>5100001368</t>
        </is>
      </c>
      <c r="D3712" s="78" t="n">
        <v>46230</v>
      </c>
      <c r="E3712" s="75" t="inlineStr">
        <is>
          <t>KR</t>
        </is>
      </c>
      <c r="F3712" s="75" t="n">
        <v>62101000</v>
      </c>
      <c r="G3712" s="75" t="n">
        <v>1101</v>
      </c>
      <c r="H3712" s="76" t="n">
        <v>500000</v>
      </c>
      <c r="I3712" s="75" t="inlineStr">
        <is>
          <t>7월 국내출장 - M항공</t>
        </is>
      </c>
      <c r="J3712" s="75" t="inlineStr">
        <is>
          <t>V10001</t>
        </is>
      </c>
      <c r="K3712" s="75" t="inlineStr">
        <is>
          <t>M항공</t>
        </is>
      </c>
      <c r="M3712" s="9">
        <f>IF($A3712="","",VALUE($A3712&amp;"")*12+VALUE($B3712&amp;""))</f>
        <v/>
      </c>
      <c r="N3712" s="39">
        <f>IF($A3712="","",IFERROR(INDEX(부서매핑!$C$5:$C$504,MATCH($G3712&amp;"",부서매핑!$A$5:$A$504,0)),"미매핑"))</f>
        <v/>
      </c>
      <c r="O3712" s="9">
        <f>IF($A3712="","",N3712&amp;"|"&amp;$F3712)</f>
        <v/>
      </c>
      <c r="P3712" s="77">
        <f>IF($A3712="",0,$H3712*설정!$C$23)</f>
        <v/>
      </c>
      <c r="Q3712" s="39">
        <f>IF($A3712="","",IF(O3712&lt;&gt;원인분석!$C$9,"",IF(AND(M3712&gt;=원인분석!$C$10,M3712&lt;=원인분석!$C$11),"당기",IF(AND(M3712&gt;=원인분석!$C$12,M3712&lt;=원인분석!$C$13),"비교",""))))</f>
        <v/>
      </c>
      <c r="R3712" s="9">
        <f>IF(Q3712="","",$K3712&amp;"")</f>
        <v/>
      </c>
      <c r="S3712" s="9">
        <f>IF(Q3712="","",IF(MATCH(R3712,$R$5:$R$100000,0)=ROW()-4,ROW(),""))</f>
        <v/>
      </c>
      <c r="T3712" s="9">
        <f>IF(Q3712="당기",ABS(P3712)+ROW()/1000000000,"")</f>
        <v/>
      </c>
      <c r="U3712" s="9">
        <f>IF(Q3712="비교",ABS(P3712)+ROW()/1000000000,"")</f>
        <v/>
      </c>
      <c r="V3712" s="39">
        <f>IF($A3712="","",IF(COUNTIF(변동분석!$E$7:$E$506,O3712)&gt;0,"Y","N"))</f>
        <v/>
      </c>
      <c r="W3712" s="39">
        <f>IF($A3712="","",IFERROR(INDEX(계정매핑!$D$5:$D$504,MATCH($F3712&amp;"",계정매핑!$A$5:$A$504,0)),"미매핑"))</f>
        <v/>
      </c>
      <c r="X3712" s="9">
        <f>IF($A3712="","",$F3712&amp;"")</f>
        <v/>
      </c>
    </row>
    <row r="3713">
      <c r="A3713" s="75" t="n">
        <v>2026</v>
      </c>
      <c r="B3713" s="75" t="n">
        <v>7</v>
      </c>
      <c r="C3713" s="75" t="inlineStr">
        <is>
          <t>5100001369</t>
        </is>
      </c>
      <c r="D3713" s="78" t="n">
        <v>46230</v>
      </c>
      <c r="E3713" s="75" t="inlineStr">
        <is>
          <t>KR</t>
        </is>
      </c>
      <c r="F3713" s="75" t="n">
        <v>62102000</v>
      </c>
      <c r="G3713" s="75" t="n">
        <v>1401</v>
      </c>
      <c r="H3713" s="76" t="n">
        <v>108000</v>
      </c>
      <c r="I3713" s="75" t="inlineStr">
        <is>
          <t>7월 해외출장 - N호텔</t>
        </is>
      </c>
      <c r="J3713" s="75" t="inlineStr">
        <is>
          <t>V10007</t>
        </is>
      </c>
      <c r="K3713" s="75" t="inlineStr">
        <is>
          <t>N호텔</t>
        </is>
      </c>
      <c r="M3713" s="9">
        <f>IF($A3713="","",VALUE($A3713&amp;"")*12+VALUE($B3713&amp;""))</f>
        <v/>
      </c>
      <c r="N3713" s="39">
        <f>IF($A3713="","",IFERROR(INDEX(부서매핑!$C$5:$C$504,MATCH($G3713&amp;"",부서매핑!$A$5:$A$504,0)),"미매핑"))</f>
        <v/>
      </c>
      <c r="O3713" s="9">
        <f>IF($A3713="","",N3713&amp;"|"&amp;$F3713)</f>
        <v/>
      </c>
      <c r="P3713" s="77">
        <f>IF($A3713="",0,$H3713*설정!$C$23)</f>
        <v/>
      </c>
      <c r="Q3713" s="39">
        <f>IF($A3713="","",IF(O3713&lt;&gt;원인분석!$C$9,"",IF(AND(M3713&gt;=원인분석!$C$10,M3713&lt;=원인분석!$C$11),"당기",IF(AND(M3713&gt;=원인분석!$C$12,M3713&lt;=원인분석!$C$13),"비교",""))))</f>
        <v/>
      </c>
      <c r="R3713" s="9">
        <f>IF(Q3713="","",$K3713&amp;"")</f>
        <v/>
      </c>
      <c r="S3713" s="9">
        <f>IF(Q3713="","",IF(MATCH(R3713,$R$5:$R$100000,0)=ROW()-4,ROW(),""))</f>
        <v/>
      </c>
      <c r="T3713" s="9">
        <f>IF(Q3713="당기",ABS(P3713)+ROW()/1000000000,"")</f>
        <v/>
      </c>
      <c r="U3713" s="9">
        <f>IF(Q3713="비교",ABS(P3713)+ROW()/1000000000,"")</f>
        <v/>
      </c>
      <c r="V3713" s="39">
        <f>IF($A3713="","",IF(COUNTIF(변동분석!$E$7:$E$506,O3713)&gt;0,"Y","N"))</f>
        <v/>
      </c>
      <c r="W3713" s="39">
        <f>IF($A3713="","",IFERROR(INDEX(계정매핑!$D$5:$D$504,MATCH($F3713&amp;"",계정매핑!$A$5:$A$504,0)),"미매핑"))</f>
        <v/>
      </c>
      <c r="X3713" s="9">
        <f>IF($A3713="","",$F3713&amp;"")</f>
        <v/>
      </c>
    </row>
    <row r="3714">
      <c r="A3714" s="75" t="n">
        <v>2026</v>
      </c>
      <c r="B3714" s="75" t="n">
        <v>7</v>
      </c>
      <c r="C3714" s="75" t="inlineStr">
        <is>
          <t>5100001370</t>
        </is>
      </c>
      <c r="D3714" s="78" t="n">
        <v>46230</v>
      </c>
      <c r="E3714" s="75" t="inlineStr">
        <is>
          <t>KR</t>
        </is>
      </c>
      <c r="F3714" s="75" t="n">
        <v>62201000</v>
      </c>
      <c r="G3714" s="75" t="n">
        <v>1301</v>
      </c>
      <c r="H3714" s="76" t="n">
        <v>144000</v>
      </c>
      <c r="I3714" s="75" t="inlineStr">
        <is>
          <t>7월 통신요금 - P통신</t>
        </is>
      </c>
      <c r="J3714" s="75" t="inlineStr">
        <is>
          <t>V10011</t>
        </is>
      </c>
      <c r="K3714" s="75" t="inlineStr">
        <is>
          <t>P통신</t>
        </is>
      </c>
      <c r="M3714" s="9">
        <f>IF($A3714="","",VALUE($A3714&amp;"")*12+VALUE($B3714&amp;""))</f>
        <v/>
      </c>
      <c r="N3714" s="39">
        <f>IF($A3714="","",IFERROR(INDEX(부서매핑!$C$5:$C$504,MATCH($G3714&amp;"",부서매핑!$A$5:$A$504,0)),"미매핑"))</f>
        <v/>
      </c>
      <c r="O3714" s="9">
        <f>IF($A3714="","",N3714&amp;"|"&amp;$F3714)</f>
        <v/>
      </c>
      <c r="P3714" s="77">
        <f>IF($A3714="",0,$H3714*설정!$C$23)</f>
        <v/>
      </c>
      <c r="Q3714" s="39">
        <f>IF($A3714="","",IF(O3714&lt;&gt;원인분석!$C$9,"",IF(AND(M3714&gt;=원인분석!$C$10,M3714&lt;=원인분석!$C$11),"당기",IF(AND(M3714&gt;=원인분석!$C$12,M3714&lt;=원인분석!$C$13),"비교",""))))</f>
        <v/>
      </c>
      <c r="R3714" s="9">
        <f>IF(Q3714="","",$K3714&amp;"")</f>
        <v/>
      </c>
      <c r="S3714" s="9">
        <f>IF(Q3714="","",IF(MATCH(R3714,$R$5:$R$100000,0)=ROW()-4,ROW(),""))</f>
        <v/>
      </c>
      <c r="T3714" s="9">
        <f>IF(Q3714="당기",ABS(P3714)+ROW()/1000000000,"")</f>
        <v/>
      </c>
      <c r="U3714" s="9">
        <f>IF(Q3714="비교",ABS(P3714)+ROW()/1000000000,"")</f>
        <v/>
      </c>
      <c r="V3714" s="39">
        <f>IF($A3714="","",IF(COUNTIF(변동분석!$E$7:$E$506,O3714)&gt;0,"Y","N"))</f>
        <v/>
      </c>
      <c r="W3714" s="39">
        <f>IF($A3714="","",IFERROR(INDEX(계정매핑!$D$5:$D$504,MATCH($F3714&amp;"",계정매핑!$A$5:$A$504,0)),"미매핑"))</f>
        <v/>
      </c>
      <c r="X3714" s="9">
        <f>IF($A3714="","",$F3714&amp;"")</f>
        <v/>
      </c>
    </row>
    <row r="3715">
      <c r="A3715" s="75" t="n">
        <v>2026</v>
      </c>
      <c r="B3715" s="75" t="n">
        <v>7</v>
      </c>
      <c r="C3715" s="75" t="inlineStr">
        <is>
          <t>5100001371</t>
        </is>
      </c>
      <c r="D3715" s="78" t="n">
        <v>46230</v>
      </c>
      <c r="E3715" s="75" t="inlineStr">
        <is>
          <t>KR</t>
        </is>
      </c>
      <c r="F3715" s="75" t="n">
        <v>62501000</v>
      </c>
      <c r="G3715" s="75" t="n">
        <v>1502</v>
      </c>
      <c r="H3715" s="76" t="n">
        <v>160000</v>
      </c>
      <c r="I3715" s="75" t="inlineStr">
        <is>
          <t>7월 회의 다과 - T케이터링</t>
        </is>
      </c>
      <c r="J3715" s="75" t="inlineStr">
        <is>
          <t>V10005</t>
        </is>
      </c>
      <c r="K3715" s="75" t="inlineStr">
        <is>
          <t>T케이터링</t>
        </is>
      </c>
      <c r="M3715" s="9">
        <f>IF($A3715="","",VALUE($A3715&amp;"")*12+VALUE($B3715&amp;""))</f>
        <v/>
      </c>
      <c r="N3715" s="39">
        <f>IF($A3715="","",IFERROR(INDEX(부서매핑!$C$5:$C$504,MATCH($G3715&amp;"",부서매핑!$A$5:$A$504,0)),"미매핑"))</f>
        <v/>
      </c>
      <c r="O3715" s="9">
        <f>IF($A3715="","",N3715&amp;"|"&amp;$F3715)</f>
        <v/>
      </c>
      <c r="P3715" s="77">
        <f>IF($A3715="",0,$H3715*설정!$C$23)</f>
        <v/>
      </c>
      <c r="Q3715" s="39">
        <f>IF($A3715="","",IF(O3715&lt;&gt;원인분석!$C$9,"",IF(AND(M3715&gt;=원인분석!$C$10,M3715&lt;=원인분석!$C$11),"당기",IF(AND(M3715&gt;=원인분석!$C$12,M3715&lt;=원인분석!$C$13),"비교",""))))</f>
        <v/>
      </c>
      <c r="R3715" s="9">
        <f>IF(Q3715="","",$K3715&amp;"")</f>
        <v/>
      </c>
      <c r="S3715" s="9">
        <f>IF(Q3715="","",IF(MATCH(R3715,$R$5:$R$100000,0)=ROW()-4,ROW(),""))</f>
        <v/>
      </c>
      <c r="T3715" s="9">
        <f>IF(Q3715="당기",ABS(P3715)+ROW()/1000000000,"")</f>
        <v/>
      </c>
      <c r="U3715" s="9">
        <f>IF(Q3715="비교",ABS(P3715)+ROW()/1000000000,"")</f>
        <v/>
      </c>
      <c r="V3715" s="39">
        <f>IF($A3715="","",IF(COUNTIF(변동분석!$E$7:$E$506,O3715)&gt;0,"Y","N"))</f>
        <v/>
      </c>
      <c r="W3715" s="39">
        <f>IF($A3715="","",IFERROR(INDEX(계정매핑!$D$5:$D$504,MATCH($F3715&amp;"",계정매핑!$A$5:$A$504,0)),"미매핑"))</f>
        <v/>
      </c>
      <c r="X3715" s="9">
        <f>IF($A3715="","",$F3715&amp;"")</f>
        <v/>
      </c>
    </row>
    <row r="3716">
      <c r="A3716" s="75" t="n">
        <v>2026</v>
      </c>
      <c r="B3716" s="75" t="n">
        <v>7</v>
      </c>
      <c r="C3716" s="75" t="inlineStr">
        <is>
          <t>5100001372</t>
        </is>
      </c>
      <c r="D3716" s="78" t="n">
        <v>46230</v>
      </c>
      <c r="E3716" s="75" t="inlineStr">
        <is>
          <t>KR</t>
        </is>
      </c>
      <c r="F3716" s="75" t="n">
        <v>62801000</v>
      </c>
      <c r="G3716" s="75" t="n">
        <v>1301</v>
      </c>
      <c r="H3716" s="76" t="n">
        <v>3666000</v>
      </c>
      <c r="I3716" s="75" t="inlineStr">
        <is>
          <t>7월 사내교육 - U에듀</t>
        </is>
      </c>
      <c r="J3716" s="75" t="inlineStr">
        <is>
          <t>V10026</t>
        </is>
      </c>
      <c r="K3716" s="75" t="inlineStr">
        <is>
          <t>U에듀</t>
        </is>
      </c>
      <c r="M3716" s="9">
        <f>IF($A3716="","",VALUE($A3716&amp;"")*12+VALUE($B3716&amp;""))</f>
        <v/>
      </c>
      <c r="N3716" s="39">
        <f>IF($A3716="","",IFERROR(INDEX(부서매핑!$C$5:$C$504,MATCH($G3716&amp;"",부서매핑!$A$5:$A$504,0)),"미매핑"))</f>
        <v/>
      </c>
      <c r="O3716" s="9">
        <f>IF($A3716="","",N3716&amp;"|"&amp;$F3716)</f>
        <v/>
      </c>
      <c r="P3716" s="77">
        <f>IF($A3716="",0,$H3716*설정!$C$23)</f>
        <v/>
      </c>
      <c r="Q3716" s="39">
        <f>IF($A3716="","",IF(O3716&lt;&gt;원인분석!$C$9,"",IF(AND(M3716&gt;=원인분석!$C$10,M3716&lt;=원인분석!$C$11),"당기",IF(AND(M3716&gt;=원인분석!$C$12,M3716&lt;=원인분석!$C$13),"비교",""))))</f>
        <v/>
      </c>
      <c r="R3716" s="9">
        <f>IF(Q3716="","",$K3716&amp;"")</f>
        <v/>
      </c>
      <c r="S3716" s="9">
        <f>IF(Q3716="","",IF(MATCH(R3716,$R$5:$R$100000,0)=ROW()-4,ROW(),""))</f>
        <v/>
      </c>
      <c r="T3716" s="9">
        <f>IF(Q3716="당기",ABS(P3716)+ROW()/1000000000,"")</f>
        <v/>
      </c>
      <c r="U3716" s="9">
        <f>IF(Q3716="비교",ABS(P3716)+ROW()/1000000000,"")</f>
        <v/>
      </c>
      <c r="V3716" s="39">
        <f>IF($A3716="","",IF(COUNTIF(변동분석!$E$7:$E$506,O3716)&gt;0,"Y","N"))</f>
        <v/>
      </c>
      <c r="W3716" s="39">
        <f>IF($A3716="","",IFERROR(INDEX(계정매핑!$D$5:$D$504,MATCH($F3716&amp;"",계정매핑!$A$5:$A$504,0)),"미매핑"))</f>
        <v/>
      </c>
      <c r="X3716" s="9">
        <f>IF($A3716="","",$F3716&amp;"")</f>
        <v/>
      </c>
    </row>
    <row r="3717">
      <c r="A3717" s="75" t="n">
        <v>2026</v>
      </c>
      <c r="B3717" s="75" t="n">
        <v>7</v>
      </c>
      <c r="C3717" s="75" t="inlineStr">
        <is>
          <t>5100001373</t>
        </is>
      </c>
      <c r="D3717" s="78" t="n">
        <v>46230</v>
      </c>
      <c r="E3717" s="75" t="inlineStr">
        <is>
          <t>KR</t>
        </is>
      </c>
      <c r="F3717" s="75" t="n">
        <v>62802000</v>
      </c>
      <c r="G3717" s="75" t="n">
        <v>1301</v>
      </c>
      <c r="H3717" s="76" t="n">
        <v>5504000</v>
      </c>
      <c r="I3717" s="75" t="inlineStr">
        <is>
          <t>7월 위탁교육 - I교육원</t>
        </is>
      </c>
      <c r="J3717" s="75" t="inlineStr">
        <is>
          <t>V10015</t>
        </is>
      </c>
      <c r="K3717" s="75" t="inlineStr">
        <is>
          <t>I교육원</t>
        </is>
      </c>
      <c r="M3717" s="9">
        <f>IF($A3717="","",VALUE($A3717&amp;"")*12+VALUE($B3717&amp;""))</f>
        <v/>
      </c>
      <c r="N3717" s="39">
        <f>IF($A3717="","",IFERROR(INDEX(부서매핑!$C$5:$C$504,MATCH($G3717&amp;"",부서매핑!$A$5:$A$504,0)),"미매핑"))</f>
        <v/>
      </c>
      <c r="O3717" s="9">
        <f>IF($A3717="","",N3717&amp;"|"&amp;$F3717)</f>
        <v/>
      </c>
      <c r="P3717" s="77">
        <f>IF($A3717="",0,$H3717*설정!$C$23)</f>
        <v/>
      </c>
      <c r="Q3717" s="39">
        <f>IF($A3717="","",IF(O3717&lt;&gt;원인분석!$C$9,"",IF(AND(M3717&gt;=원인분석!$C$10,M3717&lt;=원인분석!$C$11),"당기",IF(AND(M3717&gt;=원인분석!$C$12,M3717&lt;=원인분석!$C$13),"비교",""))))</f>
        <v/>
      </c>
      <c r="R3717" s="9">
        <f>IF(Q3717="","",$K3717&amp;"")</f>
        <v/>
      </c>
      <c r="S3717" s="9">
        <f>IF(Q3717="","",IF(MATCH(R3717,$R$5:$R$100000,0)=ROW()-4,ROW(),""))</f>
        <v/>
      </c>
      <c r="T3717" s="9">
        <f>IF(Q3717="당기",ABS(P3717)+ROW()/1000000000,"")</f>
        <v/>
      </c>
      <c r="U3717" s="9">
        <f>IF(Q3717="비교",ABS(P3717)+ROW()/1000000000,"")</f>
        <v/>
      </c>
      <c r="V3717" s="39">
        <f>IF($A3717="","",IF(COUNTIF(변동분석!$E$7:$E$506,O3717)&gt;0,"Y","N"))</f>
        <v/>
      </c>
      <c r="W3717" s="39">
        <f>IF($A3717="","",IFERROR(INDEX(계정매핑!$D$5:$D$504,MATCH($F3717&amp;"",계정매핑!$A$5:$A$504,0)),"미매핑"))</f>
        <v/>
      </c>
      <c r="X3717" s="9">
        <f>IF($A3717="","",$F3717&amp;"")</f>
        <v/>
      </c>
    </row>
    <row r="3718">
      <c r="A3718" s="75" t="n">
        <v>2026</v>
      </c>
      <c r="B3718" s="75" t="n">
        <v>7</v>
      </c>
      <c r="C3718" s="75" t="inlineStr">
        <is>
          <t>5100001374</t>
        </is>
      </c>
      <c r="D3718" s="78" t="n">
        <v>46230</v>
      </c>
      <c r="E3718" s="75" t="inlineStr">
        <is>
          <t>KR</t>
        </is>
      </c>
      <c r="F3718" s="75" t="n">
        <v>62902000</v>
      </c>
      <c r="G3718" s="75" t="n">
        <v>1101</v>
      </c>
      <c r="H3718" s="76" t="n">
        <v>3035000</v>
      </c>
      <c r="I3718" s="75" t="inlineStr">
        <is>
          <t>7월 업무 위탁 수수료 - J콜센터</t>
        </is>
      </c>
      <c r="J3718" s="75" t="inlineStr">
        <is>
          <t>V10013</t>
        </is>
      </c>
      <c r="K3718" s="75" t="inlineStr">
        <is>
          <t>J콜센터</t>
        </is>
      </c>
      <c r="M3718" s="9">
        <f>IF($A3718="","",VALUE($A3718&amp;"")*12+VALUE($B3718&amp;""))</f>
        <v/>
      </c>
      <c r="N3718" s="39">
        <f>IF($A3718="","",IFERROR(INDEX(부서매핑!$C$5:$C$504,MATCH($G3718&amp;"",부서매핑!$A$5:$A$504,0)),"미매핑"))</f>
        <v/>
      </c>
      <c r="O3718" s="9">
        <f>IF($A3718="","",N3718&amp;"|"&amp;$F3718)</f>
        <v/>
      </c>
      <c r="P3718" s="77">
        <f>IF($A3718="",0,$H3718*설정!$C$23)</f>
        <v/>
      </c>
      <c r="Q3718" s="39">
        <f>IF($A3718="","",IF(O3718&lt;&gt;원인분석!$C$9,"",IF(AND(M3718&gt;=원인분석!$C$10,M3718&lt;=원인분석!$C$11),"당기",IF(AND(M3718&gt;=원인분석!$C$12,M3718&lt;=원인분석!$C$13),"비교",""))))</f>
        <v/>
      </c>
      <c r="R3718" s="9">
        <f>IF(Q3718="","",$K3718&amp;"")</f>
        <v/>
      </c>
      <c r="S3718" s="9">
        <f>IF(Q3718="","",IF(MATCH(R3718,$R$5:$R$100000,0)=ROW()-4,ROW(),""))</f>
        <v/>
      </c>
      <c r="T3718" s="9">
        <f>IF(Q3718="당기",ABS(P3718)+ROW()/1000000000,"")</f>
        <v/>
      </c>
      <c r="U3718" s="9">
        <f>IF(Q3718="비교",ABS(P3718)+ROW()/1000000000,"")</f>
        <v/>
      </c>
      <c r="V3718" s="39">
        <f>IF($A3718="","",IF(COUNTIF(변동분석!$E$7:$E$506,O3718)&gt;0,"Y","N"))</f>
        <v/>
      </c>
      <c r="W3718" s="39">
        <f>IF($A3718="","",IFERROR(INDEX(계정매핑!$D$5:$D$504,MATCH($F3718&amp;"",계정매핑!$A$5:$A$504,0)),"미매핑"))</f>
        <v/>
      </c>
      <c r="X3718" s="9">
        <f>IF($A3718="","",$F3718&amp;"")</f>
        <v/>
      </c>
    </row>
    <row r="3719">
      <c r="A3719" s="75" t="n">
        <v>2026</v>
      </c>
      <c r="B3719" s="75" t="n">
        <v>8</v>
      </c>
      <c r="C3719" s="75" t="inlineStr">
        <is>
          <t>5100001375</t>
        </is>
      </c>
      <c r="D3719" s="78" t="n">
        <v>46236</v>
      </c>
      <c r="E3719" s="75" t="inlineStr">
        <is>
          <t>KR</t>
        </is>
      </c>
      <c r="F3719" s="75" t="n">
        <v>62101000</v>
      </c>
      <c r="G3719" s="75" t="n">
        <v>1401</v>
      </c>
      <c r="H3719" s="76" t="n">
        <v>216000</v>
      </c>
      <c r="I3719" s="75" t="inlineStr">
        <is>
          <t>8월 국내출장 - (법인카드)</t>
        </is>
      </c>
      <c r="J3719" s="75" t="inlineStr">
        <is>
          <t>V10008</t>
        </is>
      </c>
      <c r="K3719" s="75" t="inlineStr">
        <is>
          <t>(법인카드)</t>
        </is>
      </c>
      <c r="M3719" s="9">
        <f>IF($A3719="","",VALUE($A3719&amp;"")*12+VALUE($B3719&amp;""))</f>
        <v/>
      </c>
      <c r="N3719" s="39">
        <f>IF($A3719="","",IFERROR(INDEX(부서매핑!$C$5:$C$504,MATCH($G3719&amp;"",부서매핑!$A$5:$A$504,0)),"미매핑"))</f>
        <v/>
      </c>
      <c r="O3719" s="9">
        <f>IF($A3719="","",N3719&amp;"|"&amp;$F3719)</f>
        <v/>
      </c>
      <c r="P3719" s="77">
        <f>IF($A3719="",0,$H3719*설정!$C$23)</f>
        <v/>
      </c>
      <c r="Q3719" s="39">
        <f>IF($A3719="","",IF(O3719&lt;&gt;원인분석!$C$9,"",IF(AND(M3719&gt;=원인분석!$C$10,M3719&lt;=원인분석!$C$11),"당기",IF(AND(M3719&gt;=원인분석!$C$12,M3719&lt;=원인분석!$C$13),"비교",""))))</f>
        <v/>
      </c>
      <c r="R3719" s="9">
        <f>IF(Q3719="","",$K3719&amp;"")</f>
        <v/>
      </c>
      <c r="S3719" s="9">
        <f>IF(Q3719="","",IF(MATCH(R3719,$R$5:$R$100000,0)=ROW()-4,ROW(),""))</f>
        <v/>
      </c>
      <c r="T3719" s="9">
        <f>IF(Q3719="당기",ABS(P3719)+ROW()/1000000000,"")</f>
        <v/>
      </c>
      <c r="U3719" s="9">
        <f>IF(Q3719="비교",ABS(P3719)+ROW()/1000000000,"")</f>
        <v/>
      </c>
      <c r="V3719" s="39">
        <f>IF($A3719="","",IF(COUNTIF(변동분석!$E$7:$E$506,O3719)&gt;0,"Y","N"))</f>
        <v/>
      </c>
      <c r="W3719" s="39">
        <f>IF($A3719="","",IFERROR(INDEX(계정매핑!$D$5:$D$504,MATCH($F3719&amp;"",계정매핑!$A$5:$A$504,0)),"미매핑"))</f>
        <v/>
      </c>
      <c r="X3719" s="9">
        <f>IF($A3719="","",$F3719&amp;"")</f>
        <v/>
      </c>
    </row>
    <row r="3720">
      <c r="A3720" s="75" t="n">
        <v>2026</v>
      </c>
      <c r="B3720" s="75" t="n">
        <v>8</v>
      </c>
      <c r="C3720" s="75" t="inlineStr">
        <is>
          <t>5100001376</t>
        </is>
      </c>
      <c r="D3720" s="78" t="n">
        <v>46236</v>
      </c>
      <c r="E3720" s="75" t="inlineStr">
        <is>
          <t>KR</t>
        </is>
      </c>
      <c r="F3720" s="75" t="n">
        <v>62301000</v>
      </c>
      <c r="G3720" s="75" t="n">
        <v>1602</v>
      </c>
      <c r="H3720" s="76" t="n">
        <v>618000</v>
      </c>
      <c r="I3720" s="75" t="inlineStr">
        <is>
          <t>8월 소모품 구입 - R문구</t>
        </is>
      </c>
      <c r="J3720" s="75" t="inlineStr">
        <is>
          <t>V10018</t>
        </is>
      </c>
      <c r="K3720" s="75" t="inlineStr">
        <is>
          <t>R문구</t>
        </is>
      </c>
      <c r="M3720" s="9">
        <f>IF($A3720="","",VALUE($A3720&amp;"")*12+VALUE($B3720&amp;""))</f>
        <v/>
      </c>
      <c r="N3720" s="39">
        <f>IF($A3720="","",IFERROR(INDEX(부서매핑!$C$5:$C$504,MATCH($G3720&amp;"",부서매핑!$A$5:$A$504,0)),"미매핑"))</f>
        <v/>
      </c>
      <c r="O3720" s="9">
        <f>IF($A3720="","",N3720&amp;"|"&amp;$F3720)</f>
        <v/>
      </c>
      <c r="P3720" s="77">
        <f>IF($A3720="",0,$H3720*설정!$C$23)</f>
        <v/>
      </c>
      <c r="Q3720" s="39">
        <f>IF($A3720="","",IF(O3720&lt;&gt;원인분석!$C$9,"",IF(AND(M3720&gt;=원인분석!$C$10,M3720&lt;=원인분석!$C$11),"당기",IF(AND(M3720&gt;=원인분석!$C$12,M3720&lt;=원인분석!$C$13),"비교",""))))</f>
        <v/>
      </c>
      <c r="R3720" s="9">
        <f>IF(Q3720="","",$K3720&amp;"")</f>
        <v/>
      </c>
      <c r="S3720" s="9">
        <f>IF(Q3720="","",IF(MATCH(R3720,$R$5:$R$100000,0)=ROW()-4,ROW(),""))</f>
        <v/>
      </c>
      <c r="T3720" s="9">
        <f>IF(Q3720="당기",ABS(P3720)+ROW()/1000000000,"")</f>
        <v/>
      </c>
      <c r="U3720" s="9">
        <f>IF(Q3720="비교",ABS(P3720)+ROW()/1000000000,"")</f>
        <v/>
      </c>
      <c r="V3720" s="39">
        <f>IF($A3720="","",IF(COUNTIF(변동분석!$E$7:$E$506,O3720)&gt;0,"Y","N"))</f>
        <v/>
      </c>
      <c r="W3720" s="39">
        <f>IF($A3720="","",IFERROR(INDEX(계정매핑!$D$5:$D$504,MATCH($F3720&amp;"",계정매핑!$A$5:$A$504,0)),"미매핑"))</f>
        <v/>
      </c>
      <c r="X3720" s="9">
        <f>IF($A3720="","",$F3720&amp;"")</f>
        <v/>
      </c>
    </row>
    <row r="3721">
      <c r="A3721" s="75" t="n">
        <v>2026</v>
      </c>
      <c r="B3721" s="75" t="n">
        <v>8</v>
      </c>
      <c r="C3721" s="75" t="inlineStr">
        <is>
          <t>5100001377</t>
        </is>
      </c>
      <c r="D3721" s="78" t="n">
        <v>46236</v>
      </c>
      <c r="E3721" s="75" t="inlineStr">
        <is>
          <t>KR</t>
        </is>
      </c>
      <c r="F3721" s="75" t="n">
        <v>62401000</v>
      </c>
      <c r="G3721" s="75" t="n">
        <v>1501</v>
      </c>
      <c r="H3721" s="76" t="n">
        <v>1055000</v>
      </c>
      <c r="I3721" s="75" t="inlineStr">
        <is>
          <t>8월 인쇄물 제작 - G인쇄</t>
        </is>
      </c>
      <c r="J3721" s="75" t="inlineStr">
        <is>
          <t>V10004</t>
        </is>
      </c>
      <c r="K3721" s="75" t="inlineStr">
        <is>
          <t>G인쇄</t>
        </is>
      </c>
      <c r="M3721" s="9">
        <f>IF($A3721="","",VALUE($A3721&amp;"")*12+VALUE($B3721&amp;""))</f>
        <v/>
      </c>
      <c r="N3721" s="39">
        <f>IF($A3721="","",IFERROR(INDEX(부서매핑!$C$5:$C$504,MATCH($G3721&amp;"",부서매핑!$A$5:$A$504,0)),"미매핑"))</f>
        <v/>
      </c>
      <c r="O3721" s="9">
        <f>IF($A3721="","",N3721&amp;"|"&amp;$F3721)</f>
        <v/>
      </c>
      <c r="P3721" s="77">
        <f>IF($A3721="",0,$H3721*설정!$C$23)</f>
        <v/>
      </c>
      <c r="Q3721" s="39">
        <f>IF($A3721="","",IF(O3721&lt;&gt;원인분석!$C$9,"",IF(AND(M3721&gt;=원인분석!$C$10,M3721&lt;=원인분석!$C$11),"당기",IF(AND(M3721&gt;=원인분석!$C$12,M3721&lt;=원인분석!$C$13),"비교",""))))</f>
        <v/>
      </c>
      <c r="R3721" s="9">
        <f>IF(Q3721="","",$K3721&amp;"")</f>
        <v/>
      </c>
      <c r="S3721" s="9">
        <f>IF(Q3721="","",IF(MATCH(R3721,$R$5:$R$100000,0)=ROW()-4,ROW(),""))</f>
        <v/>
      </c>
      <c r="T3721" s="9">
        <f>IF(Q3721="당기",ABS(P3721)+ROW()/1000000000,"")</f>
        <v/>
      </c>
      <c r="U3721" s="9">
        <f>IF(Q3721="비교",ABS(P3721)+ROW()/1000000000,"")</f>
        <v/>
      </c>
      <c r="V3721" s="39">
        <f>IF($A3721="","",IF(COUNTIF(변동분석!$E$7:$E$506,O3721)&gt;0,"Y","N"))</f>
        <v/>
      </c>
      <c r="W3721" s="39">
        <f>IF($A3721="","",IFERROR(INDEX(계정매핑!$D$5:$D$504,MATCH($F3721&amp;"",계정매핑!$A$5:$A$504,0)),"미매핑"))</f>
        <v/>
      </c>
      <c r="X3721" s="9">
        <f>IF($A3721="","",$F3721&amp;"")</f>
        <v/>
      </c>
    </row>
    <row r="3722">
      <c r="A3722" s="75" t="n">
        <v>2026</v>
      </c>
      <c r="B3722" s="75" t="n">
        <v>8</v>
      </c>
      <c r="C3722" s="75" t="inlineStr">
        <is>
          <t>5100001378</t>
        </is>
      </c>
      <c r="D3722" s="78" t="n">
        <v>46236</v>
      </c>
      <c r="E3722" s="75" t="inlineStr">
        <is>
          <t>KR</t>
        </is>
      </c>
      <c r="F3722" s="75" t="n">
        <v>62401000</v>
      </c>
      <c r="G3722" s="75" t="n">
        <v>1501</v>
      </c>
      <c r="H3722" s="76" t="n">
        <v>1525000</v>
      </c>
      <c r="I3722" s="75" t="inlineStr">
        <is>
          <t>8월 인쇄물 제작 - S출판</t>
        </is>
      </c>
      <c r="J3722" s="75" t="inlineStr">
        <is>
          <t>V10012</t>
        </is>
      </c>
      <c r="K3722" s="75" t="inlineStr">
        <is>
          <t>S출판</t>
        </is>
      </c>
      <c r="M3722" s="9">
        <f>IF($A3722="","",VALUE($A3722&amp;"")*12+VALUE($B3722&amp;""))</f>
        <v/>
      </c>
      <c r="N3722" s="39">
        <f>IF($A3722="","",IFERROR(INDEX(부서매핑!$C$5:$C$504,MATCH($G3722&amp;"",부서매핑!$A$5:$A$504,0)),"미매핑"))</f>
        <v/>
      </c>
      <c r="O3722" s="9">
        <f>IF($A3722="","",N3722&amp;"|"&amp;$F3722)</f>
        <v/>
      </c>
      <c r="P3722" s="77">
        <f>IF($A3722="",0,$H3722*설정!$C$23)</f>
        <v/>
      </c>
      <c r="Q3722" s="39">
        <f>IF($A3722="","",IF(O3722&lt;&gt;원인분석!$C$9,"",IF(AND(M3722&gt;=원인분석!$C$10,M3722&lt;=원인분석!$C$11),"당기",IF(AND(M3722&gt;=원인분석!$C$12,M3722&lt;=원인분석!$C$13),"비교",""))))</f>
        <v/>
      </c>
      <c r="R3722" s="9">
        <f>IF(Q3722="","",$K3722&amp;"")</f>
        <v/>
      </c>
      <c r="S3722" s="9">
        <f>IF(Q3722="","",IF(MATCH(R3722,$R$5:$R$100000,0)=ROW()-4,ROW(),""))</f>
        <v/>
      </c>
      <c r="T3722" s="9">
        <f>IF(Q3722="당기",ABS(P3722)+ROW()/1000000000,"")</f>
        <v/>
      </c>
      <c r="U3722" s="9">
        <f>IF(Q3722="비교",ABS(P3722)+ROW()/1000000000,"")</f>
        <v/>
      </c>
      <c r="V3722" s="39">
        <f>IF($A3722="","",IF(COUNTIF(변동분석!$E$7:$E$506,O3722)&gt;0,"Y","N"))</f>
        <v/>
      </c>
      <c r="W3722" s="39">
        <f>IF($A3722="","",IFERROR(INDEX(계정매핑!$D$5:$D$504,MATCH($F3722&amp;"",계정매핑!$A$5:$A$504,0)),"미매핑"))</f>
        <v/>
      </c>
      <c r="X3722" s="9">
        <f>IF($A3722="","",$F3722&amp;"")</f>
        <v/>
      </c>
    </row>
    <row r="3723">
      <c r="A3723" s="75" t="n">
        <v>2026</v>
      </c>
      <c r="B3723" s="75" t="n">
        <v>8</v>
      </c>
      <c r="C3723" s="75" t="inlineStr">
        <is>
          <t>5100001379</t>
        </is>
      </c>
      <c r="D3723" s="78" t="n">
        <v>46236</v>
      </c>
      <c r="E3723" s="75" t="inlineStr">
        <is>
          <t>KR</t>
        </is>
      </c>
      <c r="F3723" s="75" t="n">
        <v>62501000</v>
      </c>
      <c r="G3723" s="75" t="n">
        <v>1201</v>
      </c>
      <c r="H3723" s="76" t="n">
        <v>120000</v>
      </c>
      <c r="I3723" s="75" t="inlineStr">
        <is>
          <t>8월 회의 다과 - T케이터링</t>
        </is>
      </c>
      <c r="J3723" s="75" t="inlineStr">
        <is>
          <t>V10005</t>
        </is>
      </c>
      <c r="K3723" s="75" t="inlineStr">
        <is>
          <t>T케이터링</t>
        </is>
      </c>
      <c r="M3723" s="9">
        <f>IF($A3723="","",VALUE($A3723&amp;"")*12+VALUE($B3723&amp;""))</f>
        <v/>
      </c>
      <c r="N3723" s="39">
        <f>IF($A3723="","",IFERROR(INDEX(부서매핑!$C$5:$C$504,MATCH($G3723&amp;"",부서매핑!$A$5:$A$504,0)),"미매핑"))</f>
        <v/>
      </c>
      <c r="O3723" s="9">
        <f>IF($A3723="","",N3723&amp;"|"&amp;$F3723)</f>
        <v/>
      </c>
      <c r="P3723" s="77">
        <f>IF($A3723="",0,$H3723*설정!$C$23)</f>
        <v/>
      </c>
      <c r="Q3723" s="39">
        <f>IF($A3723="","",IF(O3723&lt;&gt;원인분석!$C$9,"",IF(AND(M3723&gt;=원인분석!$C$10,M3723&lt;=원인분석!$C$11),"당기",IF(AND(M3723&gt;=원인분석!$C$12,M3723&lt;=원인분석!$C$13),"비교",""))))</f>
        <v/>
      </c>
      <c r="R3723" s="9">
        <f>IF(Q3723="","",$K3723&amp;"")</f>
        <v/>
      </c>
      <c r="S3723" s="9">
        <f>IF(Q3723="","",IF(MATCH(R3723,$R$5:$R$100000,0)=ROW()-4,ROW(),""))</f>
        <v/>
      </c>
      <c r="T3723" s="9">
        <f>IF(Q3723="당기",ABS(P3723)+ROW()/1000000000,"")</f>
        <v/>
      </c>
      <c r="U3723" s="9">
        <f>IF(Q3723="비교",ABS(P3723)+ROW()/1000000000,"")</f>
        <v/>
      </c>
      <c r="V3723" s="39">
        <f>IF($A3723="","",IF(COUNTIF(변동분석!$E$7:$E$506,O3723)&gt;0,"Y","N"))</f>
        <v/>
      </c>
      <c r="W3723" s="39">
        <f>IF($A3723="","",IFERROR(INDEX(계정매핑!$D$5:$D$504,MATCH($F3723&amp;"",계정매핑!$A$5:$A$504,0)),"미매핑"))</f>
        <v/>
      </c>
      <c r="X3723" s="9">
        <f>IF($A3723="","",$F3723&amp;"")</f>
        <v/>
      </c>
    </row>
    <row r="3724">
      <c r="A3724" s="75" t="n">
        <v>2026</v>
      </c>
      <c r="B3724" s="75" t="n">
        <v>8</v>
      </c>
      <c r="C3724" s="75" t="inlineStr">
        <is>
          <t>5100001380</t>
        </is>
      </c>
      <c r="D3724" s="78" t="n">
        <v>46236</v>
      </c>
      <c r="E3724" s="75" t="inlineStr">
        <is>
          <t>KR</t>
        </is>
      </c>
      <c r="F3724" s="75" t="n">
        <v>62902000</v>
      </c>
      <c r="G3724" s="75" t="n">
        <v>1801</v>
      </c>
      <c r="H3724" s="76" t="n">
        <v>1792000</v>
      </c>
      <c r="I3724" s="75" t="inlineStr">
        <is>
          <t>8월 콜 위탁 수수료(건별)</t>
        </is>
      </c>
      <c r="J3724" s="75" t="inlineStr">
        <is>
          <t>V10013</t>
        </is>
      </c>
      <c r="K3724" s="75" t="inlineStr">
        <is>
          <t>J콜센터</t>
        </is>
      </c>
      <c r="M3724" s="9">
        <f>IF($A3724="","",VALUE($A3724&amp;"")*12+VALUE($B3724&amp;""))</f>
        <v/>
      </c>
      <c r="N3724" s="39">
        <f>IF($A3724="","",IFERROR(INDEX(부서매핑!$C$5:$C$504,MATCH($G3724&amp;"",부서매핑!$A$5:$A$504,0)),"미매핑"))</f>
        <v/>
      </c>
      <c r="O3724" s="9">
        <f>IF($A3724="","",N3724&amp;"|"&amp;$F3724)</f>
        <v/>
      </c>
      <c r="P3724" s="77">
        <f>IF($A3724="",0,$H3724*설정!$C$23)</f>
        <v/>
      </c>
      <c r="Q3724" s="39">
        <f>IF($A3724="","",IF(O3724&lt;&gt;원인분석!$C$9,"",IF(AND(M3724&gt;=원인분석!$C$10,M3724&lt;=원인분석!$C$11),"당기",IF(AND(M3724&gt;=원인분석!$C$12,M3724&lt;=원인분석!$C$13),"비교",""))))</f>
        <v/>
      </c>
      <c r="R3724" s="9">
        <f>IF(Q3724="","",$K3724&amp;"")</f>
        <v/>
      </c>
      <c r="S3724" s="9">
        <f>IF(Q3724="","",IF(MATCH(R3724,$R$5:$R$100000,0)=ROW()-4,ROW(),""))</f>
        <v/>
      </c>
      <c r="T3724" s="9">
        <f>IF(Q3724="당기",ABS(P3724)+ROW()/1000000000,"")</f>
        <v/>
      </c>
      <c r="U3724" s="9">
        <f>IF(Q3724="비교",ABS(P3724)+ROW()/1000000000,"")</f>
        <v/>
      </c>
      <c r="V3724" s="39">
        <f>IF($A3724="","",IF(COUNTIF(변동분석!$E$7:$E$506,O3724)&gt;0,"Y","N"))</f>
        <v/>
      </c>
      <c r="W3724" s="39">
        <f>IF($A3724="","",IFERROR(INDEX(계정매핑!$D$5:$D$504,MATCH($F3724&amp;"",계정매핑!$A$5:$A$504,0)),"미매핑"))</f>
        <v/>
      </c>
      <c r="X3724" s="9">
        <f>IF($A3724="","",$F3724&amp;"")</f>
        <v/>
      </c>
    </row>
    <row r="3725">
      <c r="A3725" s="75" t="n">
        <v>2026</v>
      </c>
      <c r="B3725" s="75" t="n">
        <v>8</v>
      </c>
      <c r="C3725" s="75" t="inlineStr">
        <is>
          <t>5100001381</t>
        </is>
      </c>
      <c r="D3725" s="78" t="n">
        <v>46236</v>
      </c>
      <c r="E3725" s="75" t="inlineStr">
        <is>
          <t>KR</t>
        </is>
      </c>
      <c r="F3725" s="75" t="n">
        <v>63101000</v>
      </c>
      <c r="G3725" s="75" t="n">
        <v>1601</v>
      </c>
      <c r="H3725" s="76" t="n">
        <v>5099000</v>
      </c>
      <c r="I3725" s="75" t="inlineStr">
        <is>
          <t>8월 사무실 임차료 - BB부동산</t>
        </is>
      </c>
      <c r="J3725" s="75" t="inlineStr">
        <is>
          <t>V10024</t>
        </is>
      </c>
      <c r="K3725" s="75" t="inlineStr">
        <is>
          <t>BB부동산</t>
        </is>
      </c>
      <c r="M3725" s="9">
        <f>IF($A3725="","",VALUE($A3725&amp;"")*12+VALUE($B3725&amp;""))</f>
        <v/>
      </c>
      <c r="N3725" s="39">
        <f>IF($A3725="","",IFERROR(INDEX(부서매핑!$C$5:$C$504,MATCH($G3725&amp;"",부서매핑!$A$5:$A$504,0)),"미매핑"))</f>
        <v/>
      </c>
      <c r="O3725" s="9">
        <f>IF($A3725="","",N3725&amp;"|"&amp;$F3725)</f>
        <v/>
      </c>
      <c r="P3725" s="77">
        <f>IF($A3725="",0,$H3725*설정!$C$23)</f>
        <v/>
      </c>
      <c r="Q3725" s="39">
        <f>IF($A3725="","",IF(O3725&lt;&gt;원인분석!$C$9,"",IF(AND(M3725&gt;=원인분석!$C$10,M3725&lt;=원인분석!$C$11),"당기",IF(AND(M3725&gt;=원인분석!$C$12,M3725&lt;=원인분석!$C$13),"비교",""))))</f>
        <v/>
      </c>
      <c r="R3725" s="9">
        <f>IF(Q3725="","",$K3725&amp;"")</f>
        <v/>
      </c>
      <c r="S3725" s="9">
        <f>IF(Q3725="","",IF(MATCH(R3725,$R$5:$R$100000,0)=ROW()-4,ROW(),""))</f>
        <v/>
      </c>
      <c r="T3725" s="9">
        <f>IF(Q3725="당기",ABS(P3725)+ROW()/1000000000,"")</f>
        <v/>
      </c>
      <c r="U3725" s="9">
        <f>IF(Q3725="비교",ABS(P3725)+ROW()/1000000000,"")</f>
        <v/>
      </c>
      <c r="V3725" s="39">
        <f>IF($A3725="","",IF(COUNTIF(변동분석!$E$7:$E$506,O3725)&gt;0,"Y","N"))</f>
        <v/>
      </c>
      <c r="W3725" s="39">
        <f>IF($A3725="","",IFERROR(INDEX(계정매핑!$D$5:$D$504,MATCH($F3725&amp;"",계정매핑!$A$5:$A$504,0)),"미매핑"))</f>
        <v/>
      </c>
      <c r="X3725" s="9">
        <f>IF($A3725="","",$F3725&amp;"")</f>
        <v/>
      </c>
    </row>
    <row r="3726">
      <c r="A3726" s="75" t="n">
        <v>2026</v>
      </c>
      <c r="B3726" s="75" t="n">
        <v>8</v>
      </c>
      <c r="C3726" s="75" t="inlineStr">
        <is>
          <t>5100001382</t>
        </is>
      </c>
      <c r="D3726" s="78" t="n">
        <v>46237</v>
      </c>
      <c r="E3726" s="75" t="inlineStr">
        <is>
          <t>KR</t>
        </is>
      </c>
      <c r="F3726" s="75" t="n">
        <v>62101000</v>
      </c>
      <c r="G3726" s="75" t="n">
        <v>1301</v>
      </c>
      <c r="H3726" s="76" t="n">
        <v>333000</v>
      </c>
      <c r="I3726" s="75" t="inlineStr">
        <is>
          <t>8월 국내출장 - M항공</t>
        </is>
      </c>
      <c r="J3726" s="75" t="inlineStr">
        <is>
          <t>V10001</t>
        </is>
      </c>
      <c r="K3726" s="75" t="inlineStr">
        <is>
          <t>M항공</t>
        </is>
      </c>
      <c r="M3726" s="9">
        <f>IF($A3726="","",VALUE($A3726&amp;"")*12+VALUE($B3726&amp;""))</f>
        <v/>
      </c>
      <c r="N3726" s="39">
        <f>IF($A3726="","",IFERROR(INDEX(부서매핑!$C$5:$C$504,MATCH($G3726&amp;"",부서매핑!$A$5:$A$504,0)),"미매핑"))</f>
        <v/>
      </c>
      <c r="O3726" s="9">
        <f>IF($A3726="","",N3726&amp;"|"&amp;$F3726)</f>
        <v/>
      </c>
      <c r="P3726" s="77">
        <f>IF($A3726="",0,$H3726*설정!$C$23)</f>
        <v/>
      </c>
      <c r="Q3726" s="39">
        <f>IF($A3726="","",IF(O3726&lt;&gt;원인분석!$C$9,"",IF(AND(M3726&gt;=원인분석!$C$10,M3726&lt;=원인분석!$C$11),"당기",IF(AND(M3726&gt;=원인분석!$C$12,M3726&lt;=원인분석!$C$13),"비교",""))))</f>
        <v/>
      </c>
      <c r="R3726" s="9">
        <f>IF(Q3726="","",$K3726&amp;"")</f>
        <v/>
      </c>
      <c r="S3726" s="9">
        <f>IF(Q3726="","",IF(MATCH(R3726,$R$5:$R$100000,0)=ROW()-4,ROW(),""))</f>
        <v/>
      </c>
      <c r="T3726" s="9">
        <f>IF(Q3726="당기",ABS(P3726)+ROW()/1000000000,"")</f>
        <v/>
      </c>
      <c r="U3726" s="9">
        <f>IF(Q3726="비교",ABS(P3726)+ROW()/1000000000,"")</f>
        <v/>
      </c>
      <c r="V3726" s="39">
        <f>IF($A3726="","",IF(COUNTIF(변동분석!$E$7:$E$506,O3726)&gt;0,"Y","N"))</f>
        <v/>
      </c>
      <c r="W3726" s="39">
        <f>IF($A3726="","",IFERROR(INDEX(계정매핑!$D$5:$D$504,MATCH($F3726&amp;"",계정매핑!$A$5:$A$504,0)),"미매핑"))</f>
        <v/>
      </c>
      <c r="X3726" s="9">
        <f>IF($A3726="","",$F3726&amp;"")</f>
        <v/>
      </c>
    </row>
    <row r="3727">
      <c r="A3727" s="75" t="n">
        <v>2026</v>
      </c>
      <c r="B3727" s="75" t="n">
        <v>8</v>
      </c>
      <c r="C3727" s="75" t="inlineStr">
        <is>
          <t>5100001383</t>
        </is>
      </c>
      <c r="D3727" s="78" t="n">
        <v>46237</v>
      </c>
      <c r="E3727" s="75" t="inlineStr">
        <is>
          <t>KR</t>
        </is>
      </c>
      <c r="F3727" s="75" t="n">
        <v>62101000</v>
      </c>
      <c r="G3727" s="75" t="n">
        <v>1701</v>
      </c>
      <c r="H3727" s="76" t="n">
        <v>104000</v>
      </c>
      <c r="I3727" s="75" t="inlineStr">
        <is>
          <t>8월 국내출장 - (법인카드)</t>
        </is>
      </c>
      <c r="J3727" s="75" t="inlineStr">
        <is>
          <t>V10008</t>
        </is>
      </c>
      <c r="K3727" s="75" t="inlineStr">
        <is>
          <t>(법인카드)</t>
        </is>
      </c>
      <c r="M3727" s="9">
        <f>IF($A3727="","",VALUE($A3727&amp;"")*12+VALUE($B3727&amp;""))</f>
        <v/>
      </c>
      <c r="N3727" s="39">
        <f>IF($A3727="","",IFERROR(INDEX(부서매핑!$C$5:$C$504,MATCH($G3727&amp;"",부서매핑!$A$5:$A$504,0)),"미매핑"))</f>
        <v/>
      </c>
      <c r="O3727" s="9">
        <f>IF($A3727="","",N3727&amp;"|"&amp;$F3727)</f>
        <v/>
      </c>
      <c r="P3727" s="77">
        <f>IF($A3727="",0,$H3727*설정!$C$23)</f>
        <v/>
      </c>
      <c r="Q3727" s="39">
        <f>IF($A3727="","",IF(O3727&lt;&gt;원인분석!$C$9,"",IF(AND(M3727&gt;=원인분석!$C$10,M3727&lt;=원인분석!$C$11),"당기",IF(AND(M3727&gt;=원인분석!$C$12,M3727&lt;=원인분석!$C$13),"비교",""))))</f>
        <v/>
      </c>
      <c r="R3727" s="9">
        <f>IF(Q3727="","",$K3727&amp;"")</f>
        <v/>
      </c>
      <c r="S3727" s="9">
        <f>IF(Q3727="","",IF(MATCH(R3727,$R$5:$R$100000,0)=ROW()-4,ROW(),""))</f>
        <v/>
      </c>
      <c r="T3727" s="9">
        <f>IF(Q3727="당기",ABS(P3727)+ROW()/1000000000,"")</f>
        <v/>
      </c>
      <c r="U3727" s="9">
        <f>IF(Q3727="비교",ABS(P3727)+ROW()/1000000000,"")</f>
        <v/>
      </c>
      <c r="V3727" s="39">
        <f>IF($A3727="","",IF(COUNTIF(변동분석!$E$7:$E$506,O3727)&gt;0,"Y","N"))</f>
        <v/>
      </c>
      <c r="W3727" s="39">
        <f>IF($A3727="","",IFERROR(INDEX(계정매핑!$D$5:$D$504,MATCH($F3727&amp;"",계정매핑!$A$5:$A$504,0)),"미매핑"))</f>
        <v/>
      </c>
      <c r="X3727" s="9">
        <f>IF($A3727="","",$F3727&amp;"")</f>
        <v/>
      </c>
    </row>
    <row r="3728">
      <c r="A3728" s="75" t="n">
        <v>2026</v>
      </c>
      <c r="B3728" s="75" t="n">
        <v>8</v>
      </c>
      <c r="C3728" s="75" t="inlineStr">
        <is>
          <t>5100001384</t>
        </is>
      </c>
      <c r="D3728" s="78" t="n">
        <v>46237</v>
      </c>
      <c r="E3728" s="75" t="inlineStr">
        <is>
          <t>KR</t>
        </is>
      </c>
      <c r="F3728" s="75" t="n">
        <v>62102000</v>
      </c>
      <c r="G3728" s="75" t="n">
        <v>1401</v>
      </c>
      <c r="H3728" s="76" t="n">
        <v>110000</v>
      </c>
      <c r="I3728" s="75" t="inlineStr">
        <is>
          <t>8월 해외출장 - M항공</t>
        </is>
      </c>
      <c r="J3728" s="75" t="inlineStr">
        <is>
          <t>V10001</t>
        </is>
      </c>
      <c r="K3728" s="75" t="inlineStr">
        <is>
          <t>M항공</t>
        </is>
      </c>
      <c r="M3728" s="9">
        <f>IF($A3728="","",VALUE($A3728&amp;"")*12+VALUE($B3728&amp;""))</f>
        <v/>
      </c>
      <c r="N3728" s="39">
        <f>IF($A3728="","",IFERROR(INDEX(부서매핑!$C$5:$C$504,MATCH($G3728&amp;"",부서매핑!$A$5:$A$504,0)),"미매핑"))</f>
        <v/>
      </c>
      <c r="O3728" s="9">
        <f>IF($A3728="","",N3728&amp;"|"&amp;$F3728)</f>
        <v/>
      </c>
      <c r="P3728" s="77">
        <f>IF($A3728="",0,$H3728*설정!$C$23)</f>
        <v/>
      </c>
      <c r="Q3728" s="39">
        <f>IF($A3728="","",IF(O3728&lt;&gt;원인분석!$C$9,"",IF(AND(M3728&gt;=원인분석!$C$10,M3728&lt;=원인분석!$C$11),"당기",IF(AND(M3728&gt;=원인분석!$C$12,M3728&lt;=원인분석!$C$13),"비교",""))))</f>
        <v/>
      </c>
      <c r="R3728" s="9">
        <f>IF(Q3728="","",$K3728&amp;"")</f>
        <v/>
      </c>
      <c r="S3728" s="9">
        <f>IF(Q3728="","",IF(MATCH(R3728,$R$5:$R$100000,0)=ROW()-4,ROW(),""))</f>
        <v/>
      </c>
      <c r="T3728" s="9">
        <f>IF(Q3728="당기",ABS(P3728)+ROW()/1000000000,"")</f>
        <v/>
      </c>
      <c r="U3728" s="9">
        <f>IF(Q3728="비교",ABS(P3728)+ROW()/1000000000,"")</f>
        <v/>
      </c>
      <c r="V3728" s="39">
        <f>IF($A3728="","",IF(COUNTIF(변동분석!$E$7:$E$506,O3728)&gt;0,"Y","N"))</f>
        <v/>
      </c>
      <c r="W3728" s="39">
        <f>IF($A3728="","",IFERROR(INDEX(계정매핑!$D$5:$D$504,MATCH($F3728&amp;"",계정매핑!$A$5:$A$504,0)),"미매핑"))</f>
        <v/>
      </c>
      <c r="X3728" s="9">
        <f>IF($A3728="","",$F3728&amp;"")</f>
        <v/>
      </c>
    </row>
    <row r="3729">
      <c r="A3729" s="75" t="n">
        <v>2026</v>
      </c>
      <c r="B3729" s="75" t="n">
        <v>8</v>
      </c>
      <c r="C3729" s="75" t="inlineStr">
        <is>
          <t>5100001385</t>
        </is>
      </c>
      <c r="D3729" s="78" t="n">
        <v>46237</v>
      </c>
      <c r="E3729" s="75" t="inlineStr">
        <is>
          <t>KR</t>
        </is>
      </c>
      <c r="F3729" s="75" t="n">
        <v>62102000</v>
      </c>
      <c r="G3729" s="75" t="n">
        <v>1401</v>
      </c>
      <c r="H3729" s="76" t="n">
        <v>91000</v>
      </c>
      <c r="I3729" s="75" t="inlineStr">
        <is>
          <t>8월 해외출장 - N호텔</t>
        </is>
      </c>
      <c r="J3729" s="75" t="inlineStr">
        <is>
          <t>V10007</t>
        </is>
      </c>
      <c r="K3729" s="75" t="inlineStr">
        <is>
          <t>N호텔</t>
        </is>
      </c>
      <c r="M3729" s="9">
        <f>IF($A3729="","",VALUE($A3729&amp;"")*12+VALUE($B3729&amp;""))</f>
        <v/>
      </c>
      <c r="N3729" s="39">
        <f>IF($A3729="","",IFERROR(INDEX(부서매핑!$C$5:$C$504,MATCH($G3729&amp;"",부서매핑!$A$5:$A$504,0)),"미매핑"))</f>
        <v/>
      </c>
      <c r="O3729" s="9">
        <f>IF($A3729="","",N3729&amp;"|"&amp;$F3729)</f>
        <v/>
      </c>
      <c r="P3729" s="77">
        <f>IF($A3729="",0,$H3729*설정!$C$23)</f>
        <v/>
      </c>
      <c r="Q3729" s="39">
        <f>IF($A3729="","",IF(O3729&lt;&gt;원인분석!$C$9,"",IF(AND(M3729&gt;=원인분석!$C$10,M3729&lt;=원인분석!$C$11),"당기",IF(AND(M3729&gt;=원인분석!$C$12,M3729&lt;=원인분석!$C$13),"비교",""))))</f>
        <v/>
      </c>
      <c r="R3729" s="9">
        <f>IF(Q3729="","",$K3729&amp;"")</f>
        <v/>
      </c>
      <c r="S3729" s="9">
        <f>IF(Q3729="","",IF(MATCH(R3729,$R$5:$R$100000,0)=ROW()-4,ROW(),""))</f>
        <v/>
      </c>
      <c r="T3729" s="9">
        <f>IF(Q3729="당기",ABS(P3729)+ROW()/1000000000,"")</f>
        <v/>
      </c>
      <c r="U3729" s="9">
        <f>IF(Q3729="비교",ABS(P3729)+ROW()/1000000000,"")</f>
        <v/>
      </c>
      <c r="V3729" s="39">
        <f>IF($A3729="","",IF(COUNTIF(변동분석!$E$7:$E$506,O3729)&gt;0,"Y","N"))</f>
        <v/>
      </c>
      <c r="W3729" s="39">
        <f>IF($A3729="","",IFERROR(INDEX(계정매핑!$D$5:$D$504,MATCH($F3729&amp;"",계정매핑!$A$5:$A$504,0)),"미매핑"))</f>
        <v/>
      </c>
      <c r="X3729" s="9">
        <f>IF($A3729="","",$F3729&amp;"")</f>
        <v/>
      </c>
    </row>
    <row r="3730">
      <c r="A3730" s="75" t="n">
        <v>2026</v>
      </c>
      <c r="B3730" s="75" t="n">
        <v>8</v>
      </c>
      <c r="C3730" s="75" t="inlineStr">
        <is>
          <t>5100001386</t>
        </is>
      </c>
      <c r="D3730" s="78" t="n">
        <v>46237</v>
      </c>
      <c r="E3730" s="75" t="inlineStr">
        <is>
          <t>KR</t>
        </is>
      </c>
      <c r="F3730" s="75" t="n">
        <v>62301000</v>
      </c>
      <c r="G3730" s="75" t="n">
        <v>1201</v>
      </c>
      <c r="H3730" s="76" t="n">
        <v>146000</v>
      </c>
      <c r="I3730" s="75" t="inlineStr">
        <is>
          <t>8월 소모품 구입 - R문구</t>
        </is>
      </c>
      <c r="J3730" s="75" t="inlineStr">
        <is>
          <t>V10018</t>
        </is>
      </c>
      <c r="K3730" s="75" t="inlineStr">
        <is>
          <t>R문구</t>
        </is>
      </c>
      <c r="M3730" s="9">
        <f>IF($A3730="","",VALUE($A3730&amp;"")*12+VALUE($B3730&amp;""))</f>
        <v/>
      </c>
      <c r="N3730" s="39">
        <f>IF($A3730="","",IFERROR(INDEX(부서매핑!$C$5:$C$504,MATCH($G3730&amp;"",부서매핑!$A$5:$A$504,0)),"미매핑"))</f>
        <v/>
      </c>
      <c r="O3730" s="9">
        <f>IF($A3730="","",N3730&amp;"|"&amp;$F3730)</f>
        <v/>
      </c>
      <c r="P3730" s="77">
        <f>IF($A3730="",0,$H3730*설정!$C$23)</f>
        <v/>
      </c>
      <c r="Q3730" s="39">
        <f>IF($A3730="","",IF(O3730&lt;&gt;원인분석!$C$9,"",IF(AND(M3730&gt;=원인분석!$C$10,M3730&lt;=원인분석!$C$11),"당기",IF(AND(M3730&gt;=원인분석!$C$12,M3730&lt;=원인분석!$C$13),"비교",""))))</f>
        <v/>
      </c>
      <c r="R3730" s="9">
        <f>IF(Q3730="","",$K3730&amp;"")</f>
        <v/>
      </c>
      <c r="S3730" s="9">
        <f>IF(Q3730="","",IF(MATCH(R3730,$R$5:$R$100000,0)=ROW()-4,ROW(),""))</f>
        <v/>
      </c>
      <c r="T3730" s="9">
        <f>IF(Q3730="당기",ABS(P3730)+ROW()/1000000000,"")</f>
        <v/>
      </c>
      <c r="U3730" s="9">
        <f>IF(Q3730="비교",ABS(P3730)+ROW()/1000000000,"")</f>
        <v/>
      </c>
      <c r="V3730" s="39">
        <f>IF($A3730="","",IF(COUNTIF(변동분석!$E$7:$E$506,O3730)&gt;0,"Y","N"))</f>
        <v/>
      </c>
      <c r="W3730" s="39">
        <f>IF($A3730="","",IFERROR(INDEX(계정매핑!$D$5:$D$504,MATCH($F3730&amp;"",계정매핑!$A$5:$A$504,0)),"미매핑"))</f>
        <v/>
      </c>
      <c r="X3730" s="9">
        <f>IF($A3730="","",$F3730&amp;"")</f>
        <v/>
      </c>
    </row>
    <row r="3731">
      <c r="A3731" s="75" t="n">
        <v>2026</v>
      </c>
      <c r="B3731" s="75" t="n">
        <v>8</v>
      </c>
      <c r="C3731" s="75" t="inlineStr">
        <is>
          <t>5100001387</t>
        </is>
      </c>
      <c r="D3731" s="78" t="n">
        <v>46237</v>
      </c>
      <c r="E3731" s="75" t="inlineStr">
        <is>
          <t>KR</t>
        </is>
      </c>
      <c r="F3731" s="75" t="n">
        <v>62501000</v>
      </c>
      <c r="G3731" s="75" t="n">
        <v>1101</v>
      </c>
      <c r="H3731" s="76" t="n">
        <v>250000</v>
      </c>
      <c r="I3731" s="75" t="inlineStr">
        <is>
          <t>8월 회의 다과 - T케이터링</t>
        </is>
      </c>
      <c r="J3731" s="75" t="inlineStr">
        <is>
          <t>V10005</t>
        </is>
      </c>
      <c r="K3731" s="75" t="inlineStr">
        <is>
          <t>T케이터링</t>
        </is>
      </c>
      <c r="M3731" s="9">
        <f>IF($A3731="","",VALUE($A3731&amp;"")*12+VALUE($B3731&amp;""))</f>
        <v/>
      </c>
      <c r="N3731" s="39">
        <f>IF($A3731="","",IFERROR(INDEX(부서매핑!$C$5:$C$504,MATCH($G3731&amp;"",부서매핑!$A$5:$A$504,0)),"미매핑"))</f>
        <v/>
      </c>
      <c r="O3731" s="9">
        <f>IF($A3731="","",N3731&amp;"|"&amp;$F3731)</f>
        <v/>
      </c>
      <c r="P3731" s="77">
        <f>IF($A3731="",0,$H3731*설정!$C$23)</f>
        <v/>
      </c>
      <c r="Q3731" s="39">
        <f>IF($A3731="","",IF(O3731&lt;&gt;원인분석!$C$9,"",IF(AND(M3731&gt;=원인분석!$C$10,M3731&lt;=원인분석!$C$11),"당기",IF(AND(M3731&gt;=원인분석!$C$12,M3731&lt;=원인분석!$C$13),"비교",""))))</f>
        <v/>
      </c>
      <c r="R3731" s="9">
        <f>IF(Q3731="","",$K3731&amp;"")</f>
        <v/>
      </c>
      <c r="S3731" s="9">
        <f>IF(Q3731="","",IF(MATCH(R3731,$R$5:$R$100000,0)=ROW()-4,ROW(),""))</f>
        <v/>
      </c>
      <c r="T3731" s="9">
        <f>IF(Q3731="당기",ABS(P3731)+ROW()/1000000000,"")</f>
        <v/>
      </c>
      <c r="U3731" s="9">
        <f>IF(Q3731="비교",ABS(P3731)+ROW()/1000000000,"")</f>
        <v/>
      </c>
      <c r="V3731" s="39">
        <f>IF($A3731="","",IF(COUNTIF(변동분석!$E$7:$E$506,O3731)&gt;0,"Y","N"))</f>
        <v/>
      </c>
      <c r="W3731" s="39">
        <f>IF($A3731="","",IFERROR(INDEX(계정매핑!$D$5:$D$504,MATCH($F3731&amp;"",계정매핑!$A$5:$A$504,0)),"미매핑"))</f>
        <v/>
      </c>
      <c r="X3731" s="9">
        <f>IF($A3731="","",$F3731&amp;"")</f>
        <v/>
      </c>
    </row>
    <row r="3732">
      <c r="A3732" s="75" t="n">
        <v>2026</v>
      </c>
      <c r="B3732" s="75" t="n">
        <v>8</v>
      </c>
      <c r="C3732" s="75" t="inlineStr">
        <is>
          <t>5100001388</t>
        </is>
      </c>
      <c r="D3732" s="78" t="n">
        <v>46237</v>
      </c>
      <c r="E3732" s="75" t="inlineStr">
        <is>
          <t>KR</t>
        </is>
      </c>
      <c r="F3732" s="75" t="n">
        <v>62501000</v>
      </c>
      <c r="G3732" s="75" t="n">
        <v>1401</v>
      </c>
      <c r="H3732" s="76" t="n">
        <v>214000</v>
      </c>
      <c r="I3732" s="75" t="inlineStr">
        <is>
          <t>8월 회의 다과 - T케이터링</t>
        </is>
      </c>
      <c r="J3732" s="75" t="inlineStr">
        <is>
          <t>V10005</t>
        </is>
      </c>
      <c r="K3732" s="75" t="inlineStr">
        <is>
          <t>T케이터링</t>
        </is>
      </c>
      <c r="M3732" s="9">
        <f>IF($A3732="","",VALUE($A3732&amp;"")*12+VALUE($B3732&amp;""))</f>
        <v/>
      </c>
      <c r="N3732" s="39">
        <f>IF($A3732="","",IFERROR(INDEX(부서매핑!$C$5:$C$504,MATCH($G3732&amp;"",부서매핑!$A$5:$A$504,0)),"미매핑"))</f>
        <v/>
      </c>
      <c r="O3732" s="9">
        <f>IF($A3732="","",N3732&amp;"|"&amp;$F3732)</f>
        <v/>
      </c>
      <c r="P3732" s="77">
        <f>IF($A3732="",0,$H3732*설정!$C$23)</f>
        <v/>
      </c>
      <c r="Q3732" s="39">
        <f>IF($A3732="","",IF(O3732&lt;&gt;원인분석!$C$9,"",IF(AND(M3732&gt;=원인분석!$C$10,M3732&lt;=원인분석!$C$11),"당기",IF(AND(M3732&gt;=원인분석!$C$12,M3732&lt;=원인분석!$C$13),"비교",""))))</f>
        <v/>
      </c>
      <c r="R3732" s="9">
        <f>IF(Q3732="","",$K3732&amp;"")</f>
        <v/>
      </c>
      <c r="S3732" s="9">
        <f>IF(Q3732="","",IF(MATCH(R3732,$R$5:$R$100000,0)=ROW()-4,ROW(),""))</f>
        <v/>
      </c>
      <c r="T3732" s="9">
        <f>IF(Q3732="당기",ABS(P3732)+ROW()/1000000000,"")</f>
        <v/>
      </c>
      <c r="U3732" s="9">
        <f>IF(Q3732="비교",ABS(P3732)+ROW()/1000000000,"")</f>
        <v/>
      </c>
      <c r="V3732" s="39">
        <f>IF($A3732="","",IF(COUNTIF(변동분석!$E$7:$E$506,O3732)&gt;0,"Y","N"))</f>
        <v/>
      </c>
      <c r="W3732" s="39">
        <f>IF($A3732="","",IFERROR(INDEX(계정매핑!$D$5:$D$504,MATCH($F3732&amp;"",계정매핑!$A$5:$A$504,0)),"미매핑"))</f>
        <v/>
      </c>
      <c r="X3732" s="9">
        <f>IF($A3732="","",$F3732&amp;"")</f>
        <v/>
      </c>
    </row>
    <row r="3733">
      <c r="A3733" s="75" t="n">
        <v>2026</v>
      </c>
      <c r="B3733" s="75" t="n">
        <v>8</v>
      </c>
      <c r="C3733" s="75" t="inlineStr">
        <is>
          <t>5100001389</t>
        </is>
      </c>
      <c r="D3733" s="78" t="n">
        <v>46237</v>
      </c>
      <c r="E3733" s="75" t="inlineStr">
        <is>
          <t>KR</t>
        </is>
      </c>
      <c r="F3733" s="75" t="n">
        <v>62501000</v>
      </c>
      <c r="G3733" s="75" t="n">
        <v>1701</v>
      </c>
      <c r="H3733" s="76" t="n">
        <v>84000</v>
      </c>
      <c r="I3733" s="75" t="inlineStr">
        <is>
          <t>8월 회의 다과 - (법인카드)</t>
        </is>
      </c>
      <c r="J3733" s="75" t="inlineStr">
        <is>
          <t>V10008</t>
        </is>
      </c>
      <c r="K3733" s="75" t="inlineStr">
        <is>
          <t>(법인카드)</t>
        </is>
      </c>
      <c r="M3733" s="9">
        <f>IF($A3733="","",VALUE($A3733&amp;"")*12+VALUE($B3733&amp;""))</f>
        <v/>
      </c>
      <c r="N3733" s="39">
        <f>IF($A3733="","",IFERROR(INDEX(부서매핑!$C$5:$C$504,MATCH($G3733&amp;"",부서매핑!$A$5:$A$504,0)),"미매핑"))</f>
        <v/>
      </c>
      <c r="O3733" s="9">
        <f>IF($A3733="","",N3733&amp;"|"&amp;$F3733)</f>
        <v/>
      </c>
      <c r="P3733" s="77">
        <f>IF($A3733="",0,$H3733*설정!$C$23)</f>
        <v/>
      </c>
      <c r="Q3733" s="39">
        <f>IF($A3733="","",IF(O3733&lt;&gt;원인분석!$C$9,"",IF(AND(M3733&gt;=원인분석!$C$10,M3733&lt;=원인분석!$C$11),"당기",IF(AND(M3733&gt;=원인분석!$C$12,M3733&lt;=원인분석!$C$13),"비교",""))))</f>
        <v/>
      </c>
      <c r="R3733" s="9">
        <f>IF(Q3733="","",$K3733&amp;"")</f>
        <v/>
      </c>
      <c r="S3733" s="9">
        <f>IF(Q3733="","",IF(MATCH(R3733,$R$5:$R$100000,0)=ROW()-4,ROW(),""))</f>
        <v/>
      </c>
      <c r="T3733" s="9">
        <f>IF(Q3733="당기",ABS(P3733)+ROW()/1000000000,"")</f>
        <v/>
      </c>
      <c r="U3733" s="9">
        <f>IF(Q3733="비교",ABS(P3733)+ROW()/1000000000,"")</f>
        <v/>
      </c>
      <c r="V3733" s="39">
        <f>IF($A3733="","",IF(COUNTIF(변동분석!$E$7:$E$506,O3733)&gt;0,"Y","N"))</f>
        <v/>
      </c>
      <c r="W3733" s="39">
        <f>IF($A3733="","",IFERROR(INDEX(계정매핑!$D$5:$D$504,MATCH($F3733&amp;"",계정매핑!$A$5:$A$504,0)),"미매핑"))</f>
        <v/>
      </c>
      <c r="X3733" s="9">
        <f>IF($A3733="","",$F3733&amp;"")</f>
        <v/>
      </c>
    </row>
    <row r="3734">
      <c r="A3734" s="75" t="n">
        <v>2026</v>
      </c>
      <c r="B3734" s="75" t="n">
        <v>8</v>
      </c>
      <c r="C3734" s="75" t="inlineStr">
        <is>
          <t>5100001390</t>
        </is>
      </c>
      <c r="D3734" s="78" t="n">
        <v>46237</v>
      </c>
      <c r="E3734" s="75" t="inlineStr">
        <is>
          <t>KR</t>
        </is>
      </c>
      <c r="F3734" s="75" t="n">
        <v>62802000</v>
      </c>
      <c r="G3734" s="75" t="n">
        <v>1301</v>
      </c>
      <c r="H3734" s="76" t="n">
        <v>2883000</v>
      </c>
      <c r="I3734" s="75" t="inlineStr">
        <is>
          <t>8월 위탁교육 - V아카데미</t>
        </is>
      </c>
      <c r="J3734" s="75" t="inlineStr">
        <is>
          <t>V10023</t>
        </is>
      </c>
      <c r="K3734" s="75" t="inlineStr">
        <is>
          <t>V아카데미</t>
        </is>
      </c>
      <c r="M3734" s="9">
        <f>IF($A3734="","",VALUE($A3734&amp;"")*12+VALUE($B3734&amp;""))</f>
        <v/>
      </c>
      <c r="N3734" s="39">
        <f>IF($A3734="","",IFERROR(INDEX(부서매핑!$C$5:$C$504,MATCH($G3734&amp;"",부서매핑!$A$5:$A$504,0)),"미매핑"))</f>
        <v/>
      </c>
      <c r="O3734" s="9">
        <f>IF($A3734="","",N3734&amp;"|"&amp;$F3734)</f>
        <v/>
      </c>
      <c r="P3734" s="77">
        <f>IF($A3734="",0,$H3734*설정!$C$23)</f>
        <v/>
      </c>
      <c r="Q3734" s="39">
        <f>IF($A3734="","",IF(O3734&lt;&gt;원인분석!$C$9,"",IF(AND(M3734&gt;=원인분석!$C$10,M3734&lt;=원인분석!$C$11),"당기",IF(AND(M3734&gt;=원인분석!$C$12,M3734&lt;=원인분석!$C$13),"비교",""))))</f>
        <v/>
      </c>
      <c r="R3734" s="9">
        <f>IF(Q3734="","",$K3734&amp;"")</f>
        <v/>
      </c>
      <c r="S3734" s="9">
        <f>IF(Q3734="","",IF(MATCH(R3734,$R$5:$R$100000,0)=ROW()-4,ROW(),""))</f>
        <v/>
      </c>
      <c r="T3734" s="9">
        <f>IF(Q3734="당기",ABS(P3734)+ROW()/1000000000,"")</f>
        <v/>
      </c>
      <c r="U3734" s="9">
        <f>IF(Q3734="비교",ABS(P3734)+ROW()/1000000000,"")</f>
        <v/>
      </c>
      <c r="V3734" s="39">
        <f>IF($A3734="","",IF(COUNTIF(변동분석!$E$7:$E$506,O3734)&gt;0,"Y","N"))</f>
        <v/>
      </c>
      <c r="W3734" s="39">
        <f>IF($A3734="","",IFERROR(INDEX(계정매핑!$D$5:$D$504,MATCH($F3734&amp;"",계정매핑!$A$5:$A$504,0)),"미매핑"))</f>
        <v/>
      </c>
      <c r="X3734" s="9">
        <f>IF($A3734="","",$F3734&amp;"")</f>
        <v/>
      </c>
    </row>
    <row r="3735">
      <c r="A3735" s="75" t="n">
        <v>2026</v>
      </c>
      <c r="B3735" s="75" t="n">
        <v>8</v>
      </c>
      <c r="C3735" s="75" t="inlineStr">
        <is>
          <t>5100001391</t>
        </is>
      </c>
      <c r="D3735" s="78" t="n">
        <v>46237</v>
      </c>
      <c r="E3735" s="75" t="inlineStr">
        <is>
          <t>KR</t>
        </is>
      </c>
      <c r="F3735" s="75" t="n">
        <v>62902000</v>
      </c>
      <c r="G3735" s="75" t="n">
        <v>1201</v>
      </c>
      <c r="H3735" s="76" t="n">
        <v>2574000</v>
      </c>
      <c r="I3735" s="75" t="inlineStr">
        <is>
          <t>8월 업무 위탁 수수료 - X서비스</t>
        </is>
      </c>
      <c r="J3735" s="75" t="inlineStr">
        <is>
          <t>V10016</t>
        </is>
      </c>
      <c r="K3735" s="75" t="inlineStr">
        <is>
          <t>X서비스</t>
        </is>
      </c>
      <c r="M3735" s="9">
        <f>IF($A3735="","",VALUE($A3735&amp;"")*12+VALUE($B3735&amp;""))</f>
        <v/>
      </c>
      <c r="N3735" s="39">
        <f>IF($A3735="","",IFERROR(INDEX(부서매핑!$C$5:$C$504,MATCH($G3735&amp;"",부서매핑!$A$5:$A$504,0)),"미매핑"))</f>
        <v/>
      </c>
      <c r="O3735" s="9">
        <f>IF($A3735="","",N3735&amp;"|"&amp;$F3735)</f>
        <v/>
      </c>
      <c r="P3735" s="77">
        <f>IF($A3735="",0,$H3735*설정!$C$23)</f>
        <v/>
      </c>
      <c r="Q3735" s="39">
        <f>IF($A3735="","",IF(O3735&lt;&gt;원인분석!$C$9,"",IF(AND(M3735&gt;=원인분석!$C$10,M3735&lt;=원인분석!$C$11),"당기",IF(AND(M3735&gt;=원인분석!$C$12,M3735&lt;=원인분석!$C$13),"비교",""))))</f>
        <v/>
      </c>
      <c r="R3735" s="9">
        <f>IF(Q3735="","",$K3735&amp;"")</f>
        <v/>
      </c>
      <c r="S3735" s="9">
        <f>IF(Q3735="","",IF(MATCH(R3735,$R$5:$R$100000,0)=ROW()-4,ROW(),""))</f>
        <v/>
      </c>
      <c r="T3735" s="9">
        <f>IF(Q3735="당기",ABS(P3735)+ROW()/1000000000,"")</f>
        <v/>
      </c>
      <c r="U3735" s="9">
        <f>IF(Q3735="비교",ABS(P3735)+ROW()/1000000000,"")</f>
        <v/>
      </c>
      <c r="V3735" s="39">
        <f>IF($A3735="","",IF(COUNTIF(변동분석!$E$7:$E$506,O3735)&gt;0,"Y","N"))</f>
        <v/>
      </c>
      <c r="W3735" s="39">
        <f>IF($A3735="","",IFERROR(INDEX(계정매핑!$D$5:$D$504,MATCH($F3735&amp;"",계정매핑!$A$5:$A$504,0)),"미매핑"))</f>
        <v/>
      </c>
      <c r="X3735" s="9">
        <f>IF($A3735="","",$F3735&amp;"")</f>
        <v/>
      </c>
    </row>
    <row r="3736">
      <c r="A3736" s="75" t="n">
        <v>2026</v>
      </c>
      <c r="B3736" s="75" t="n">
        <v>8</v>
      </c>
      <c r="C3736" s="75" t="inlineStr">
        <is>
          <t>5100001392</t>
        </is>
      </c>
      <c r="D3736" s="78" t="n">
        <v>46238</v>
      </c>
      <c r="E3736" s="75" t="inlineStr">
        <is>
          <t>KR</t>
        </is>
      </c>
      <c r="F3736" s="75" t="n">
        <v>62101000</v>
      </c>
      <c r="G3736" s="75" t="n">
        <v>1201</v>
      </c>
      <c r="H3736" s="76" t="n">
        <v>219000</v>
      </c>
      <c r="I3736" s="75" t="inlineStr">
        <is>
          <t>8월 국내출장 - L여행사</t>
        </is>
      </c>
      <c r="J3736" s="75" t="inlineStr">
        <is>
          <t>V10014</t>
        </is>
      </c>
      <c r="K3736" s="75" t="inlineStr">
        <is>
          <t>L여행사</t>
        </is>
      </c>
      <c r="M3736" s="9">
        <f>IF($A3736="","",VALUE($A3736&amp;"")*12+VALUE($B3736&amp;""))</f>
        <v/>
      </c>
      <c r="N3736" s="39">
        <f>IF($A3736="","",IFERROR(INDEX(부서매핑!$C$5:$C$504,MATCH($G3736&amp;"",부서매핑!$A$5:$A$504,0)),"미매핑"))</f>
        <v/>
      </c>
      <c r="O3736" s="9">
        <f>IF($A3736="","",N3736&amp;"|"&amp;$F3736)</f>
        <v/>
      </c>
      <c r="P3736" s="77">
        <f>IF($A3736="",0,$H3736*설정!$C$23)</f>
        <v/>
      </c>
      <c r="Q3736" s="39">
        <f>IF($A3736="","",IF(O3736&lt;&gt;원인분석!$C$9,"",IF(AND(M3736&gt;=원인분석!$C$10,M3736&lt;=원인분석!$C$11),"당기",IF(AND(M3736&gt;=원인분석!$C$12,M3736&lt;=원인분석!$C$13),"비교",""))))</f>
        <v/>
      </c>
      <c r="R3736" s="9">
        <f>IF(Q3736="","",$K3736&amp;"")</f>
        <v/>
      </c>
      <c r="S3736" s="9">
        <f>IF(Q3736="","",IF(MATCH(R3736,$R$5:$R$100000,0)=ROW()-4,ROW(),""))</f>
        <v/>
      </c>
      <c r="T3736" s="9">
        <f>IF(Q3736="당기",ABS(P3736)+ROW()/1000000000,"")</f>
        <v/>
      </c>
      <c r="U3736" s="9">
        <f>IF(Q3736="비교",ABS(P3736)+ROW()/1000000000,"")</f>
        <v/>
      </c>
      <c r="V3736" s="39">
        <f>IF($A3736="","",IF(COUNTIF(변동분석!$E$7:$E$506,O3736)&gt;0,"Y","N"))</f>
        <v/>
      </c>
      <c r="W3736" s="39">
        <f>IF($A3736="","",IFERROR(INDEX(계정매핑!$D$5:$D$504,MATCH($F3736&amp;"",계정매핑!$A$5:$A$504,0)),"미매핑"))</f>
        <v/>
      </c>
      <c r="X3736" s="9">
        <f>IF($A3736="","",$F3736&amp;"")</f>
        <v/>
      </c>
    </row>
    <row r="3737">
      <c r="A3737" s="75" t="n">
        <v>2026</v>
      </c>
      <c r="B3737" s="75" t="n">
        <v>8</v>
      </c>
      <c r="C3737" s="75" t="inlineStr">
        <is>
          <t>5100001393</t>
        </is>
      </c>
      <c r="D3737" s="78" t="n">
        <v>46238</v>
      </c>
      <c r="E3737" s="75" t="inlineStr">
        <is>
          <t>KR</t>
        </is>
      </c>
      <c r="F3737" s="75" t="n">
        <v>62101000</v>
      </c>
      <c r="G3737" s="75" t="n">
        <v>1801</v>
      </c>
      <c r="H3737" s="76" t="n">
        <v>205000</v>
      </c>
      <c r="I3737" s="75" t="inlineStr">
        <is>
          <t>8월 국내출장 - L여행사</t>
        </is>
      </c>
      <c r="J3737" s="75" t="inlineStr">
        <is>
          <t>V10014</t>
        </is>
      </c>
      <c r="K3737" s="75" t="inlineStr">
        <is>
          <t>L여행사</t>
        </is>
      </c>
      <c r="M3737" s="9">
        <f>IF($A3737="","",VALUE($A3737&amp;"")*12+VALUE($B3737&amp;""))</f>
        <v/>
      </c>
      <c r="N3737" s="39">
        <f>IF($A3737="","",IFERROR(INDEX(부서매핑!$C$5:$C$504,MATCH($G3737&amp;"",부서매핑!$A$5:$A$504,0)),"미매핑"))</f>
        <v/>
      </c>
      <c r="O3737" s="9">
        <f>IF($A3737="","",N3737&amp;"|"&amp;$F3737)</f>
        <v/>
      </c>
      <c r="P3737" s="77">
        <f>IF($A3737="",0,$H3737*설정!$C$23)</f>
        <v/>
      </c>
      <c r="Q3737" s="39">
        <f>IF($A3737="","",IF(O3737&lt;&gt;원인분석!$C$9,"",IF(AND(M3737&gt;=원인분석!$C$10,M3737&lt;=원인분석!$C$11),"당기",IF(AND(M3737&gt;=원인분석!$C$12,M3737&lt;=원인분석!$C$13),"비교",""))))</f>
        <v/>
      </c>
      <c r="R3737" s="9">
        <f>IF(Q3737="","",$K3737&amp;"")</f>
        <v/>
      </c>
      <c r="S3737" s="9">
        <f>IF(Q3737="","",IF(MATCH(R3737,$R$5:$R$100000,0)=ROW()-4,ROW(),""))</f>
        <v/>
      </c>
      <c r="T3737" s="9">
        <f>IF(Q3737="당기",ABS(P3737)+ROW()/1000000000,"")</f>
        <v/>
      </c>
      <c r="U3737" s="9">
        <f>IF(Q3737="비교",ABS(P3737)+ROW()/1000000000,"")</f>
        <v/>
      </c>
      <c r="V3737" s="39">
        <f>IF($A3737="","",IF(COUNTIF(변동분석!$E$7:$E$506,O3737)&gt;0,"Y","N"))</f>
        <v/>
      </c>
      <c r="W3737" s="39">
        <f>IF($A3737="","",IFERROR(INDEX(계정매핑!$D$5:$D$504,MATCH($F3737&amp;"",계정매핑!$A$5:$A$504,0)),"미매핑"))</f>
        <v/>
      </c>
      <c r="X3737" s="9">
        <f>IF($A3737="","",$F3737&amp;"")</f>
        <v/>
      </c>
    </row>
    <row r="3738">
      <c r="A3738" s="75" t="n">
        <v>2026</v>
      </c>
      <c r="B3738" s="75" t="n">
        <v>8</v>
      </c>
      <c r="C3738" s="75" t="inlineStr">
        <is>
          <t>5100001394</t>
        </is>
      </c>
      <c r="D3738" s="78" t="n">
        <v>46238</v>
      </c>
      <c r="E3738" s="75" t="inlineStr">
        <is>
          <t>KR</t>
        </is>
      </c>
      <c r="F3738" s="75" t="n">
        <v>62102000</v>
      </c>
      <c r="G3738" s="75" t="n">
        <v>1501</v>
      </c>
      <c r="H3738" s="76" t="n">
        <v>112000</v>
      </c>
      <c r="I3738" s="75" t="inlineStr">
        <is>
          <t>8월 해외출장 - M항공</t>
        </is>
      </c>
      <c r="J3738" s="75" t="inlineStr">
        <is>
          <t>V10001</t>
        </is>
      </c>
      <c r="K3738" s="75" t="inlineStr">
        <is>
          <t>M항공</t>
        </is>
      </c>
      <c r="M3738" s="9">
        <f>IF($A3738="","",VALUE($A3738&amp;"")*12+VALUE($B3738&amp;""))</f>
        <v/>
      </c>
      <c r="N3738" s="39">
        <f>IF($A3738="","",IFERROR(INDEX(부서매핑!$C$5:$C$504,MATCH($G3738&amp;"",부서매핑!$A$5:$A$504,0)),"미매핑"))</f>
        <v/>
      </c>
      <c r="O3738" s="9">
        <f>IF($A3738="","",N3738&amp;"|"&amp;$F3738)</f>
        <v/>
      </c>
      <c r="P3738" s="77">
        <f>IF($A3738="",0,$H3738*설정!$C$23)</f>
        <v/>
      </c>
      <c r="Q3738" s="39">
        <f>IF($A3738="","",IF(O3738&lt;&gt;원인분석!$C$9,"",IF(AND(M3738&gt;=원인분석!$C$10,M3738&lt;=원인분석!$C$11),"당기",IF(AND(M3738&gt;=원인분석!$C$12,M3738&lt;=원인분석!$C$13),"비교",""))))</f>
        <v/>
      </c>
      <c r="R3738" s="9">
        <f>IF(Q3738="","",$K3738&amp;"")</f>
        <v/>
      </c>
      <c r="S3738" s="9">
        <f>IF(Q3738="","",IF(MATCH(R3738,$R$5:$R$100000,0)=ROW()-4,ROW(),""))</f>
        <v/>
      </c>
      <c r="T3738" s="9">
        <f>IF(Q3738="당기",ABS(P3738)+ROW()/1000000000,"")</f>
        <v/>
      </c>
      <c r="U3738" s="9">
        <f>IF(Q3738="비교",ABS(P3738)+ROW()/1000000000,"")</f>
        <v/>
      </c>
      <c r="V3738" s="39">
        <f>IF($A3738="","",IF(COUNTIF(변동분석!$E$7:$E$506,O3738)&gt;0,"Y","N"))</f>
        <v/>
      </c>
      <c r="W3738" s="39">
        <f>IF($A3738="","",IFERROR(INDEX(계정매핑!$D$5:$D$504,MATCH($F3738&amp;"",계정매핑!$A$5:$A$504,0)),"미매핑"))</f>
        <v/>
      </c>
      <c r="X3738" s="9">
        <f>IF($A3738="","",$F3738&amp;"")</f>
        <v/>
      </c>
    </row>
    <row r="3739">
      <c r="A3739" s="75" t="n">
        <v>2026</v>
      </c>
      <c r="B3739" s="75" t="n">
        <v>8</v>
      </c>
      <c r="C3739" s="75" t="inlineStr">
        <is>
          <t>5100001395</t>
        </is>
      </c>
      <c r="D3739" s="78" t="n">
        <v>46238</v>
      </c>
      <c r="E3739" s="75" t="inlineStr">
        <is>
          <t>KR</t>
        </is>
      </c>
      <c r="F3739" s="75" t="n">
        <v>62201000</v>
      </c>
      <c r="G3739" s="75" t="n">
        <v>1201</v>
      </c>
      <c r="H3739" s="76" t="n">
        <v>195000</v>
      </c>
      <c r="I3739" s="75" t="inlineStr">
        <is>
          <t>8월 통신요금 - O텔레콤</t>
        </is>
      </c>
      <c r="J3739" s="75" t="inlineStr">
        <is>
          <t>V10002</t>
        </is>
      </c>
      <c r="K3739" s="75" t="inlineStr">
        <is>
          <t>O텔레콤</t>
        </is>
      </c>
      <c r="M3739" s="9">
        <f>IF($A3739="","",VALUE($A3739&amp;"")*12+VALUE($B3739&amp;""))</f>
        <v/>
      </c>
      <c r="N3739" s="39">
        <f>IF($A3739="","",IFERROR(INDEX(부서매핑!$C$5:$C$504,MATCH($G3739&amp;"",부서매핑!$A$5:$A$504,0)),"미매핑"))</f>
        <v/>
      </c>
      <c r="O3739" s="9">
        <f>IF($A3739="","",N3739&amp;"|"&amp;$F3739)</f>
        <v/>
      </c>
      <c r="P3739" s="77">
        <f>IF($A3739="",0,$H3739*설정!$C$23)</f>
        <v/>
      </c>
      <c r="Q3739" s="39">
        <f>IF($A3739="","",IF(O3739&lt;&gt;원인분석!$C$9,"",IF(AND(M3739&gt;=원인분석!$C$10,M3739&lt;=원인분석!$C$11),"당기",IF(AND(M3739&gt;=원인분석!$C$12,M3739&lt;=원인분석!$C$13),"비교",""))))</f>
        <v/>
      </c>
      <c r="R3739" s="9">
        <f>IF(Q3739="","",$K3739&amp;"")</f>
        <v/>
      </c>
      <c r="S3739" s="9">
        <f>IF(Q3739="","",IF(MATCH(R3739,$R$5:$R$100000,0)=ROW()-4,ROW(),""))</f>
        <v/>
      </c>
      <c r="T3739" s="9">
        <f>IF(Q3739="당기",ABS(P3739)+ROW()/1000000000,"")</f>
        <v/>
      </c>
      <c r="U3739" s="9">
        <f>IF(Q3739="비교",ABS(P3739)+ROW()/1000000000,"")</f>
        <v/>
      </c>
      <c r="V3739" s="39">
        <f>IF($A3739="","",IF(COUNTIF(변동분석!$E$7:$E$506,O3739)&gt;0,"Y","N"))</f>
        <v/>
      </c>
      <c r="W3739" s="39">
        <f>IF($A3739="","",IFERROR(INDEX(계정매핑!$D$5:$D$504,MATCH($F3739&amp;"",계정매핑!$A$5:$A$504,0)),"미매핑"))</f>
        <v/>
      </c>
      <c r="X3739" s="9">
        <f>IF($A3739="","",$F3739&amp;"")</f>
        <v/>
      </c>
    </row>
    <row r="3740">
      <c r="A3740" s="75" t="n">
        <v>2026</v>
      </c>
      <c r="B3740" s="75" t="n">
        <v>8</v>
      </c>
      <c r="C3740" s="75" t="inlineStr">
        <is>
          <t>5100001396</t>
        </is>
      </c>
      <c r="D3740" s="78" t="n">
        <v>46238</v>
      </c>
      <c r="E3740" s="75" t="inlineStr">
        <is>
          <t>KR</t>
        </is>
      </c>
      <c r="F3740" s="75" t="n">
        <v>62401000</v>
      </c>
      <c r="G3740" s="75" t="n">
        <v>1501</v>
      </c>
      <c r="H3740" s="76" t="n">
        <v>1768000</v>
      </c>
      <c r="I3740" s="75" t="inlineStr">
        <is>
          <t>8월 인쇄물 제작 - S출판</t>
        </is>
      </c>
      <c r="J3740" s="75" t="inlineStr">
        <is>
          <t>V10012</t>
        </is>
      </c>
      <c r="K3740" s="75" t="inlineStr">
        <is>
          <t>S출판</t>
        </is>
      </c>
      <c r="M3740" s="9">
        <f>IF($A3740="","",VALUE($A3740&amp;"")*12+VALUE($B3740&amp;""))</f>
        <v/>
      </c>
      <c r="N3740" s="39">
        <f>IF($A3740="","",IFERROR(INDEX(부서매핑!$C$5:$C$504,MATCH($G3740&amp;"",부서매핑!$A$5:$A$504,0)),"미매핑"))</f>
        <v/>
      </c>
      <c r="O3740" s="9">
        <f>IF($A3740="","",N3740&amp;"|"&amp;$F3740)</f>
        <v/>
      </c>
      <c r="P3740" s="77">
        <f>IF($A3740="",0,$H3740*설정!$C$23)</f>
        <v/>
      </c>
      <c r="Q3740" s="39">
        <f>IF($A3740="","",IF(O3740&lt;&gt;원인분석!$C$9,"",IF(AND(M3740&gt;=원인분석!$C$10,M3740&lt;=원인분석!$C$11),"당기",IF(AND(M3740&gt;=원인분석!$C$12,M3740&lt;=원인분석!$C$13),"비교",""))))</f>
        <v/>
      </c>
      <c r="R3740" s="9">
        <f>IF(Q3740="","",$K3740&amp;"")</f>
        <v/>
      </c>
      <c r="S3740" s="9">
        <f>IF(Q3740="","",IF(MATCH(R3740,$R$5:$R$100000,0)=ROW()-4,ROW(),""))</f>
        <v/>
      </c>
      <c r="T3740" s="9">
        <f>IF(Q3740="당기",ABS(P3740)+ROW()/1000000000,"")</f>
        <v/>
      </c>
      <c r="U3740" s="9">
        <f>IF(Q3740="비교",ABS(P3740)+ROW()/1000000000,"")</f>
        <v/>
      </c>
      <c r="V3740" s="39">
        <f>IF($A3740="","",IF(COUNTIF(변동분석!$E$7:$E$506,O3740)&gt;0,"Y","N"))</f>
        <v/>
      </c>
      <c r="W3740" s="39">
        <f>IF($A3740="","",IFERROR(INDEX(계정매핑!$D$5:$D$504,MATCH($F3740&amp;"",계정매핑!$A$5:$A$504,0)),"미매핑"))</f>
        <v/>
      </c>
      <c r="X3740" s="9">
        <f>IF($A3740="","",$F3740&amp;"")</f>
        <v/>
      </c>
    </row>
    <row r="3741">
      <c r="A3741" s="75" t="n">
        <v>2026</v>
      </c>
      <c r="B3741" s="75" t="n">
        <v>8</v>
      </c>
      <c r="C3741" s="75" t="inlineStr">
        <is>
          <t>5100001397</t>
        </is>
      </c>
      <c r="D3741" s="78" t="n">
        <v>46238</v>
      </c>
      <c r="E3741" s="75" t="inlineStr">
        <is>
          <t>KR</t>
        </is>
      </c>
      <c r="F3741" s="75" t="n">
        <v>62401000</v>
      </c>
      <c r="G3741" s="75" t="n">
        <v>1801</v>
      </c>
      <c r="H3741" s="76" t="n">
        <v>3385000</v>
      </c>
      <c r="I3741" s="75" t="inlineStr">
        <is>
          <t>8월 인쇄물 제작 - G인쇄</t>
        </is>
      </c>
      <c r="J3741" s="75" t="inlineStr">
        <is>
          <t>V10004</t>
        </is>
      </c>
      <c r="K3741" s="75" t="inlineStr">
        <is>
          <t>G인쇄</t>
        </is>
      </c>
      <c r="M3741" s="9">
        <f>IF($A3741="","",VALUE($A3741&amp;"")*12+VALUE($B3741&amp;""))</f>
        <v/>
      </c>
      <c r="N3741" s="39">
        <f>IF($A3741="","",IFERROR(INDEX(부서매핑!$C$5:$C$504,MATCH($G3741&amp;"",부서매핑!$A$5:$A$504,0)),"미매핑"))</f>
        <v/>
      </c>
      <c r="O3741" s="9">
        <f>IF($A3741="","",N3741&amp;"|"&amp;$F3741)</f>
        <v/>
      </c>
      <c r="P3741" s="77">
        <f>IF($A3741="",0,$H3741*설정!$C$23)</f>
        <v/>
      </c>
      <c r="Q3741" s="39">
        <f>IF($A3741="","",IF(O3741&lt;&gt;원인분석!$C$9,"",IF(AND(M3741&gt;=원인분석!$C$10,M3741&lt;=원인분석!$C$11),"당기",IF(AND(M3741&gt;=원인분석!$C$12,M3741&lt;=원인분석!$C$13),"비교",""))))</f>
        <v/>
      </c>
      <c r="R3741" s="9">
        <f>IF(Q3741="","",$K3741&amp;"")</f>
        <v/>
      </c>
      <c r="S3741" s="9">
        <f>IF(Q3741="","",IF(MATCH(R3741,$R$5:$R$100000,0)=ROW()-4,ROW(),""))</f>
        <v/>
      </c>
      <c r="T3741" s="9">
        <f>IF(Q3741="당기",ABS(P3741)+ROW()/1000000000,"")</f>
        <v/>
      </c>
      <c r="U3741" s="9">
        <f>IF(Q3741="비교",ABS(P3741)+ROW()/1000000000,"")</f>
        <v/>
      </c>
      <c r="V3741" s="39">
        <f>IF($A3741="","",IF(COUNTIF(변동분석!$E$7:$E$506,O3741)&gt;0,"Y","N"))</f>
        <v/>
      </c>
      <c r="W3741" s="39">
        <f>IF($A3741="","",IFERROR(INDEX(계정매핑!$D$5:$D$504,MATCH($F3741&amp;"",계정매핑!$A$5:$A$504,0)),"미매핑"))</f>
        <v/>
      </c>
      <c r="X3741" s="9">
        <f>IF($A3741="","",$F3741&amp;"")</f>
        <v/>
      </c>
    </row>
    <row r="3742">
      <c r="A3742" s="75" t="n">
        <v>2026</v>
      </c>
      <c r="B3742" s="75" t="n">
        <v>8</v>
      </c>
      <c r="C3742" s="75" t="inlineStr">
        <is>
          <t>5100001398</t>
        </is>
      </c>
      <c r="D3742" s="78" t="n">
        <v>46238</v>
      </c>
      <c r="E3742" s="75" t="inlineStr">
        <is>
          <t>KR</t>
        </is>
      </c>
      <c r="F3742" s="75" t="n">
        <v>62401000</v>
      </c>
      <c r="G3742" s="75" t="n">
        <v>1801</v>
      </c>
      <c r="H3742" s="76" t="n">
        <v>3906000</v>
      </c>
      <c r="I3742" s="75" t="inlineStr">
        <is>
          <t>8월 인쇄물 제작 - S출판</t>
        </is>
      </c>
      <c r="J3742" s="75" t="inlineStr">
        <is>
          <t>V10012</t>
        </is>
      </c>
      <c r="K3742" s="75" t="inlineStr">
        <is>
          <t>S출판</t>
        </is>
      </c>
      <c r="M3742" s="9">
        <f>IF($A3742="","",VALUE($A3742&amp;"")*12+VALUE($B3742&amp;""))</f>
        <v/>
      </c>
      <c r="N3742" s="39">
        <f>IF($A3742="","",IFERROR(INDEX(부서매핑!$C$5:$C$504,MATCH($G3742&amp;"",부서매핑!$A$5:$A$504,0)),"미매핑"))</f>
        <v/>
      </c>
      <c r="O3742" s="9">
        <f>IF($A3742="","",N3742&amp;"|"&amp;$F3742)</f>
        <v/>
      </c>
      <c r="P3742" s="77">
        <f>IF($A3742="",0,$H3742*설정!$C$23)</f>
        <v/>
      </c>
      <c r="Q3742" s="39">
        <f>IF($A3742="","",IF(O3742&lt;&gt;원인분석!$C$9,"",IF(AND(M3742&gt;=원인분석!$C$10,M3742&lt;=원인분석!$C$11),"당기",IF(AND(M3742&gt;=원인분석!$C$12,M3742&lt;=원인분석!$C$13),"비교",""))))</f>
        <v/>
      </c>
      <c r="R3742" s="9">
        <f>IF(Q3742="","",$K3742&amp;"")</f>
        <v/>
      </c>
      <c r="S3742" s="9">
        <f>IF(Q3742="","",IF(MATCH(R3742,$R$5:$R$100000,0)=ROW()-4,ROW(),""))</f>
        <v/>
      </c>
      <c r="T3742" s="9">
        <f>IF(Q3742="당기",ABS(P3742)+ROW()/1000000000,"")</f>
        <v/>
      </c>
      <c r="U3742" s="9">
        <f>IF(Q3742="비교",ABS(P3742)+ROW()/1000000000,"")</f>
        <v/>
      </c>
      <c r="V3742" s="39">
        <f>IF($A3742="","",IF(COUNTIF(변동분석!$E$7:$E$506,O3742)&gt;0,"Y","N"))</f>
        <v/>
      </c>
      <c r="W3742" s="39">
        <f>IF($A3742="","",IFERROR(INDEX(계정매핑!$D$5:$D$504,MATCH($F3742&amp;"",계정매핑!$A$5:$A$504,0)),"미매핑"))</f>
        <v/>
      </c>
      <c r="X3742" s="9">
        <f>IF($A3742="","",$F3742&amp;"")</f>
        <v/>
      </c>
    </row>
    <row r="3743">
      <c r="A3743" s="75" t="n">
        <v>2026</v>
      </c>
      <c r="B3743" s="75" t="n">
        <v>8</v>
      </c>
      <c r="C3743" s="75" t="inlineStr">
        <is>
          <t>5100001399</t>
        </is>
      </c>
      <c r="D3743" s="78" t="n">
        <v>46238</v>
      </c>
      <c r="E3743" s="75" t="inlineStr">
        <is>
          <t>KR</t>
        </is>
      </c>
      <c r="F3743" s="75" t="n">
        <v>62501000</v>
      </c>
      <c r="G3743" s="75" t="n">
        <v>1401</v>
      </c>
      <c r="H3743" s="76" t="n">
        <v>141000</v>
      </c>
      <c r="I3743" s="75" t="inlineStr">
        <is>
          <t>8월 회의 다과 - T케이터링</t>
        </is>
      </c>
      <c r="J3743" s="75" t="inlineStr">
        <is>
          <t>V10005</t>
        </is>
      </c>
      <c r="K3743" s="75" t="inlineStr">
        <is>
          <t>T케이터링</t>
        </is>
      </c>
      <c r="M3743" s="9">
        <f>IF($A3743="","",VALUE($A3743&amp;"")*12+VALUE($B3743&amp;""))</f>
        <v/>
      </c>
      <c r="N3743" s="39">
        <f>IF($A3743="","",IFERROR(INDEX(부서매핑!$C$5:$C$504,MATCH($G3743&amp;"",부서매핑!$A$5:$A$504,0)),"미매핑"))</f>
        <v/>
      </c>
      <c r="O3743" s="9">
        <f>IF($A3743="","",N3743&amp;"|"&amp;$F3743)</f>
        <v/>
      </c>
      <c r="P3743" s="77">
        <f>IF($A3743="",0,$H3743*설정!$C$23)</f>
        <v/>
      </c>
      <c r="Q3743" s="39">
        <f>IF($A3743="","",IF(O3743&lt;&gt;원인분석!$C$9,"",IF(AND(M3743&gt;=원인분석!$C$10,M3743&lt;=원인분석!$C$11),"당기",IF(AND(M3743&gt;=원인분석!$C$12,M3743&lt;=원인분석!$C$13),"비교",""))))</f>
        <v/>
      </c>
      <c r="R3743" s="9">
        <f>IF(Q3743="","",$K3743&amp;"")</f>
        <v/>
      </c>
      <c r="S3743" s="9">
        <f>IF(Q3743="","",IF(MATCH(R3743,$R$5:$R$100000,0)=ROW()-4,ROW(),""))</f>
        <v/>
      </c>
      <c r="T3743" s="9">
        <f>IF(Q3743="당기",ABS(P3743)+ROW()/1000000000,"")</f>
        <v/>
      </c>
      <c r="U3743" s="9">
        <f>IF(Q3743="비교",ABS(P3743)+ROW()/1000000000,"")</f>
        <v/>
      </c>
      <c r="V3743" s="39">
        <f>IF($A3743="","",IF(COUNTIF(변동분석!$E$7:$E$506,O3743)&gt;0,"Y","N"))</f>
        <v/>
      </c>
      <c r="W3743" s="39">
        <f>IF($A3743="","",IFERROR(INDEX(계정매핑!$D$5:$D$504,MATCH($F3743&amp;"",계정매핑!$A$5:$A$504,0)),"미매핑"))</f>
        <v/>
      </c>
      <c r="X3743" s="9">
        <f>IF($A3743="","",$F3743&amp;"")</f>
        <v/>
      </c>
    </row>
    <row r="3744">
      <c r="A3744" s="75" t="n">
        <v>2026</v>
      </c>
      <c r="B3744" s="75" t="n">
        <v>8</v>
      </c>
      <c r="C3744" s="75" t="inlineStr">
        <is>
          <t>5100001400</t>
        </is>
      </c>
      <c r="D3744" s="78" t="n">
        <v>46238</v>
      </c>
      <c r="E3744" s="75" t="inlineStr">
        <is>
          <t>KR</t>
        </is>
      </c>
      <c r="F3744" s="75" t="n">
        <v>62701000</v>
      </c>
      <c r="G3744" s="75" t="n">
        <v>1501</v>
      </c>
      <c r="H3744" s="76" t="n">
        <v>50178000</v>
      </c>
      <c r="I3744" s="75" t="inlineStr">
        <is>
          <t>8월 광고 집행 - E미디어</t>
        </is>
      </c>
      <c r="J3744" s="75" t="inlineStr">
        <is>
          <t>V10027</t>
        </is>
      </c>
      <c r="K3744" s="75" t="inlineStr">
        <is>
          <t>E미디어</t>
        </is>
      </c>
      <c r="M3744" s="9">
        <f>IF($A3744="","",VALUE($A3744&amp;"")*12+VALUE($B3744&amp;""))</f>
        <v/>
      </c>
      <c r="N3744" s="39">
        <f>IF($A3744="","",IFERROR(INDEX(부서매핑!$C$5:$C$504,MATCH($G3744&amp;"",부서매핑!$A$5:$A$504,0)),"미매핑"))</f>
        <v/>
      </c>
      <c r="O3744" s="9">
        <f>IF($A3744="","",N3744&amp;"|"&amp;$F3744)</f>
        <v/>
      </c>
      <c r="P3744" s="77">
        <f>IF($A3744="",0,$H3744*설정!$C$23)</f>
        <v/>
      </c>
      <c r="Q3744" s="39">
        <f>IF($A3744="","",IF(O3744&lt;&gt;원인분석!$C$9,"",IF(AND(M3744&gt;=원인분석!$C$10,M3744&lt;=원인분석!$C$11),"당기",IF(AND(M3744&gt;=원인분석!$C$12,M3744&lt;=원인분석!$C$13),"비교",""))))</f>
        <v/>
      </c>
      <c r="R3744" s="9">
        <f>IF(Q3744="","",$K3744&amp;"")</f>
        <v/>
      </c>
      <c r="S3744" s="9">
        <f>IF(Q3744="","",IF(MATCH(R3744,$R$5:$R$100000,0)=ROW()-4,ROW(),""))</f>
        <v/>
      </c>
      <c r="T3744" s="9">
        <f>IF(Q3744="당기",ABS(P3744)+ROW()/1000000000,"")</f>
        <v/>
      </c>
      <c r="U3744" s="9">
        <f>IF(Q3744="비교",ABS(P3744)+ROW()/1000000000,"")</f>
        <v/>
      </c>
      <c r="V3744" s="39">
        <f>IF($A3744="","",IF(COUNTIF(변동분석!$E$7:$E$506,O3744)&gt;0,"Y","N"))</f>
        <v/>
      </c>
      <c r="W3744" s="39">
        <f>IF($A3744="","",IFERROR(INDEX(계정매핑!$D$5:$D$504,MATCH($F3744&amp;"",계정매핑!$A$5:$A$504,0)),"미매핑"))</f>
        <v/>
      </c>
      <c r="X3744" s="9">
        <f>IF($A3744="","",$F3744&amp;"")</f>
        <v/>
      </c>
    </row>
    <row r="3745">
      <c r="A3745" s="75" t="n">
        <v>2026</v>
      </c>
      <c r="B3745" s="75" t="n">
        <v>8</v>
      </c>
      <c r="C3745" s="75" t="inlineStr">
        <is>
          <t>5100001401</t>
        </is>
      </c>
      <c r="D3745" s="78" t="n">
        <v>46238</v>
      </c>
      <c r="E3745" s="75" t="inlineStr">
        <is>
          <t>KR</t>
        </is>
      </c>
      <c r="F3745" s="75" t="n">
        <v>62902000</v>
      </c>
      <c r="G3745" s="75" t="n">
        <v>1201</v>
      </c>
      <c r="H3745" s="76" t="n">
        <v>3178000</v>
      </c>
      <c r="I3745" s="75" t="inlineStr">
        <is>
          <t>8월 업무 위탁 수수료 - J콜센터</t>
        </is>
      </c>
      <c r="J3745" s="75" t="inlineStr">
        <is>
          <t>V10013</t>
        </is>
      </c>
      <c r="K3745" s="75" t="inlineStr">
        <is>
          <t>J콜센터</t>
        </is>
      </c>
      <c r="M3745" s="9">
        <f>IF($A3745="","",VALUE($A3745&amp;"")*12+VALUE($B3745&amp;""))</f>
        <v/>
      </c>
      <c r="N3745" s="39">
        <f>IF($A3745="","",IFERROR(INDEX(부서매핑!$C$5:$C$504,MATCH($G3745&amp;"",부서매핑!$A$5:$A$504,0)),"미매핑"))</f>
        <v/>
      </c>
      <c r="O3745" s="9">
        <f>IF($A3745="","",N3745&amp;"|"&amp;$F3745)</f>
        <v/>
      </c>
      <c r="P3745" s="77">
        <f>IF($A3745="",0,$H3745*설정!$C$23)</f>
        <v/>
      </c>
      <c r="Q3745" s="39">
        <f>IF($A3745="","",IF(O3745&lt;&gt;원인분석!$C$9,"",IF(AND(M3745&gt;=원인분석!$C$10,M3745&lt;=원인분석!$C$11),"당기",IF(AND(M3745&gt;=원인분석!$C$12,M3745&lt;=원인분석!$C$13),"비교",""))))</f>
        <v/>
      </c>
      <c r="R3745" s="9">
        <f>IF(Q3745="","",$K3745&amp;"")</f>
        <v/>
      </c>
      <c r="S3745" s="9">
        <f>IF(Q3745="","",IF(MATCH(R3745,$R$5:$R$100000,0)=ROW()-4,ROW(),""))</f>
        <v/>
      </c>
      <c r="T3745" s="9">
        <f>IF(Q3745="당기",ABS(P3745)+ROW()/1000000000,"")</f>
        <v/>
      </c>
      <c r="U3745" s="9">
        <f>IF(Q3745="비교",ABS(P3745)+ROW()/1000000000,"")</f>
        <v/>
      </c>
      <c r="V3745" s="39">
        <f>IF($A3745="","",IF(COUNTIF(변동분석!$E$7:$E$506,O3745)&gt;0,"Y","N"))</f>
        <v/>
      </c>
      <c r="W3745" s="39">
        <f>IF($A3745="","",IFERROR(INDEX(계정매핑!$D$5:$D$504,MATCH($F3745&amp;"",계정매핑!$A$5:$A$504,0)),"미매핑"))</f>
        <v/>
      </c>
      <c r="X3745" s="9">
        <f>IF($A3745="","",$F3745&amp;"")</f>
        <v/>
      </c>
    </row>
    <row r="3746">
      <c r="A3746" s="75" t="n">
        <v>2026</v>
      </c>
      <c r="B3746" s="75" t="n">
        <v>8</v>
      </c>
      <c r="C3746" s="75" t="inlineStr">
        <is>
          <t>5100001402</t>
        </is>
      </c>
      <c r="D3746" s="78" t="n">
        <v>46239</v>
      </c>
      <c r="E3746" s="75" t="inlineStr">
        <is>
          <t>KR</t>
        </is>
      </c>
      <c r="F3746" s="75" t="n">
        <v>62101000</v>
      </c>
      <c r="G3746" s="75" t="n">
        <v>1101</v>
      </c>
      <c r="H3746" s="76" t="n">
        <v>405000</v>
      </c>
      <c r="I3746" s="75" t="inlineStr">
        <is>
          <t>8월 국내출장 - (법인카드)</t>
        </is>
      </c>
      <c r="J3746" s="75" t="inlineStr">
        <is>
          <t>V10008</t>
        </is>
      </c>
      <c r="K3746" s="75" t="inlineStr">
        <is>
          <t>(법인카드)</t>
        </is>
      </c>
      <c r="M3746" s="9">
        <f>IF($A3746="","",VALUE($A3746&amp;"")*12+VALUE($B3746&amp;""))</f>
        <v/>
      </c>
      <c r="N3746" s="39">
        <f>IF($A3746="","",IFERROR(INDEX(부서매핑!$C$5:$C$504,MATCH($G3746&amp;"",부서매핑!$A$5:$A$504,0)),"미매핑"))</f>
        <v/>
      </c>
      <c r="O3746" s="9">
        <f>IF($A3746="","",N3746&amp;"|"&amp;$F3746)</f>
        <v/>
      </c>
      <c r="P3746" s="77">
        <f>IF($A3746="",0,$H3746*설정!$C$23)</f>
        <v/>
      </c>
      <c r="Q3746" s="39">
        <f>IF($A3746="","",IF(O3746&lt;&gt;원인분석!$C$9,"",IF(AND(M3746&gt;=원인분석!$C$10,M3746&lt;=원인분석!$C$11),"당기",IF(AND(M3746&gt;=원인분석!$C$12,M3746&lt;=원인분석!$C$13),"비교",""))))</f>
        <v/>
      </c>
      <c r="R3746" s="9">
        <f>IF(Q3746="","",$K3746&amp;"")</f>
        <v/>
      </c>
      <c r="S3746" s="9">
        <f>IF(Q3746="","",IF(MATCH(R3746,$R$5:$R$100000,0)=ROW()-4,ROW(),""))</f>
        <v/>
      </c>
      <c r="T3746" s="9">
        <f>IF(Q3746="당기",ABS(P3746)+ROW()/1000000000,"")</f>
        <v/>
      </c>
      <c r="U3746" s="9">
        <f>IF(Q3746="비교",ABS(P3746)+ROW()/1000000000,"")</f>
        <v/>
      </c>
      <c r="V3746" s="39">
        <f>IF($A3746="","",IF(COUNTIF(변동분석!$E$7:$E$506,O3746)&gt;0,"Y","N"))</f>
        <v/>
      </c>
      <c r="W3746" s="39">
        <f>IF($A3746="","",IFERROR(INDEX(계정매핑!$D$5:$D$504,MATCH($F3746&amp;"",계정매핑!$A$5:$A$504,0)),"미매핑"))</f>
        <v/>
      </c>
      <c r="X3746" s="9">
        <f>IF($A3746="","",$F3746&amp;"")</f>
        <v/>
      </c>
    </row>
    <row r="3747">
      <c r="A3747" s="75" t="n">
        <v>2026</v>
      </c>
      <c r="B3747" s="75" t="n">
        <v>8</v>
      </c>
      <c r="C3747" s="75" t="inlineStr">
        <is>
          <t>5100001403</t>
        </is>
      </c>
      <c r="D3747" s="78" t="n">
        <v>46239</v>
      </c>
      <c r="E3747" s="75" t="inlineStr">
        <is>
          <t>KR</t>
        </is>
      </c>
      <c r="F3747" s="75" t="n">
        <v>62101000</v>
      </c>
      <c r="G3747" s="75" t="n">
        <v>1301</v>
      </c>
      <c r="H3747" s="76" t="n">
        <v>294000</v>
      </c>
      <c r="I3747" s="75" t="inlineStr">
        <is>
          <t>8월 국내출장 - M항공</t>
        </is>
      </c>
      <c r="J3747" s="75" t="inlineStr">
        <is>
          <t>V10001</t>
        </is>
      </c>
      <c r="K3747" s="75" t="inlineStr">
        <is>
          <t>M항공</t>
        </is>
      </c>
      <c r="M3747" s="9">
        <f>IF($A3747="","",VALUE($A3747&amp;"")*12+VALUE($B3747&amp;""))</f>
        <v/>
      </c>
      <c r="N3747" s="39">
        <f>IF($A3747="","",IFERROR(INDEX(부서매핑!$C$5:$C$504,MATCH($G3747&amp;"",부서매핑!$A$5:$A$504,0)),"미매핑"))</f>
        <v/>
      </c>
      <c r="O3747" s="9">
        <f>IF($A3747="","",N3747&amp;"|"&amp;$F3747)</f>
        <v/>
      </c>
      <c r="P3747" s="77">
        <f>IF($A3747="",0,$H3747*설정!$C$23)</f>
        <v/>
      </c>
      <c r="Q3747" s="39">
        <f>IF($A3747="","",IF(O3747&lt;&gt;원인분석!$C$9,"",IF(AND(M3747&gt;=원인분석!$C$10,M3747&lt;=원인분석!$C$11),"당기",IF(AND(M3747&gt;=원인분석!$C$12,M3747&lt;=원인분석!$C$13),"비교",""))))</f>
        <v/>
      </c>
      <c r="R3747" s="9">
        <f>IF(Q3747="","",$K3747&amp;"")</f>
        <v/>
      </c>
      <c r="S3747" s="9">
        <f>IF(Q3747="","",IF(MATCH(R3747,$R$5:$R$100000,0)=ROW()-4,ROW(),""))</f>
        <v/>
      </c>
      <c r="T3747" s="9">
        <f>IF(Q3747="당기",ABS(P3747)+ROW()/1000000000,"")</f>
        <v/>
      </c>
      <c r="U3747" s="9">
        <f>IF(Q3747="비교",ABS(P3747)+ROW()/1000000000,"")</f>
        <v/>
      </c>
      <c r="V3747" s="39">
        <f>IF($A3747="","",IF(COUNTIF(변동분석!$E$7:$E$506,O3747)&gt;0,"Y","N"))</f>
        <v/>
      </c>
      <c r="W3747" s="39">
        <f>IF($A3747="","",IFERROR(INDEX(계정매핑!$D$5:$D$504,MATCH($F3747&amp;"",계정매핑!$A$5:$A$504,0)),"미매핑"))</f>
        <v/>
      </c>
      <c r="X3747" s="9">
        <f>IF($A3747="","",$F3747&amp;"")</f>
        <v/>
      </c>
    </row>
    <row r="3748">
      <c r="A3748" s="75" t="n">
        <v>2026</v>
      </c>
      <c r="B3748" s="75" t="n">
        <v>8</v>
      </c>
      <c r="C3748" s="75" t="inlineStr">
        <is>
          <t>5100001404</t>
        </is>
      </c>
      <c r="D3748" s="78" t="n">
        <v>46239</v>
      </c>
      <c r="E3748" s="75" t="inlineStr">
        <is>
          <t>KR</t>
        </is>
      </c>
      <c r="F3748" s="75" t="n">
        <v>62101000</v>
      </c>
      <c r="G3748" s="75" t="n">
        <v>1401</v>
      </c>
      <c r="H3748" s="76" t="n">
        <v>459000</v>
      </c>
      <c r="I3748" s="75" t="inlineStr">
        <is>
          <t>8월 국내출장 - (법인카드)</t>
        </is>
      </c>
      <c r="J3748" s="75" t="inlineStr">
        <is>
          <t>V10008</t>
        </is>
      </c>
      <c r="K3748" s="75" t="inlineStr">
        <is>
          <t>(법인카드)</t>
        </is>
      </c>
      <c r="M3748" s="9">
        <f>IF($A3748="","",VALUE($A3748&amp;"")*12+VALUE($B3748&amp;""))</f>
        <v/>
      </c>
      <c r="N3748" s="39">
        <f>IF($A3748="","",IFERROR(INDEX(부서매핑!$C$5:$C$504,MATCH($G3748&amp;"",부서매핑!$A$5:$A$504,0)),"미매핑"))</f>
        <v/>
      </c>
      <c r="O3748" s="9">
        <f>IF($A3748="","",N3748&amp;"|"&amp;$F3748)</f>
        <v/>
      </c>
      <c r="P3748" s="77">
        <f>IF($A3748="",0,$H3748*설정!$C$23)</f>
        <v/>
      </c>
      <c r="Q3748" s="39">
        <f>IF($A3748="","",IF(O3748&lt;&gt;원인분석!$C$9,"",IF(AND(M3748&gt;=원인분석!$C$10,M3748&lt;=원인분석!$C$11),"당기",IF(AND(M3748&gt;=원인분석!$C$12,M3748&lt;=원인분석!$C$13),"비교",""))))</f>
        <v/>
      </c>
      <c r="R3748" s="9">
        <f>IF(Q3748="","",$K3748&amp;"")</f>
        <v/>
      </c>
      <c r="S3748" s="9">
        <f>IF(Q3748="","",IF(MATCH(R3748,$R$5:$R$100000,0)=ROW()-4,ROW(),""))</f>
        <v/>
      </c>
      <c r="T3748" s="9">
        <f>IF(Q3748="당기",ABS(P3748)+ROW()/1000000000,"")</f>
        <v/>
      </c>
      <c r="U3748" s="9">
        <f>IF(Q3748="비교",ABS(P3748)+ROW()/1000000000,"")</f>
        <v/>
      </c>
      <c r="V3748" s="39">
        <f>IF($A3748="","",IF(COUNTIF(변동분석!$E$7:$E$506,O3748)&gt;0,"Y","N"))</f>
        <v/>
      </c>
      <c r="W3748" s="39">
        <f>IF($A3748="","",IFERROR(INDEX(계정매핑!$D$5:$D$504,MATCH($F3748&amp;"",계정매핑!$A$5:$A$504,0)),"미매핑"))</f>
        <v/>
      </c>
      <c r="X3748" s="9">
        <f>IF($A3748="","",$F3748&amp;"")</f>
        <v/>
      </c>
    </row>
    <row r="3749">
      <c r="A3749" s="75" t="n">
        <v>2026</v>
      </c>
      <c r="B3749" s="75" t="n">
        <v>8</v>
      </c>
      <c r="C3749" s="75" t="inlineStr">
        <is>
          <t>5100001405</t>
        </is>
      </c>
      <c r="D3749" s="78" t="n">
        <v>46239</v>
      </c>
      <c r="E3749" s="75" t="inlineStr">
        <is>
          <t>KR</t>
        </is>
      </c>
      <c r="F3749" s="75" t="n">
        <v>62101000</v>
      </c>
      <c r="G3749" s="75" t="n">
        <v>1602</v>
      </c>
      <c r="H3749" s="76" t="n">
        <v>805000</v>
      </c>
      <c r="I3749" s="75" t="inlineStr">
        <is>
          <t>8월 국내출장 - L여행사</t>
        </is>
      </c>
      <c r="J3749" s="75" t="inlineStr">
        <is>
          <t>V10014</t>
        </is>
      </c>
      <c r="K3749" s="75" t="inlineStr">
        <is>
          <t>L여행사</t>
        </is>
      </c>
      <c r="M3749" s="9">
        <f>IF($A3749="","",VALUE($A3749&amp;"")*12+VALUE($B3749&amp;""))</f>
        <v/>
      </c>
      <c r="N3749" s="39">
        <f>IF($A3749="","",IFERROR(INDEX(부서매핑!$C$5:$C$504,MATCH($G3749&amp;"",부서매핑!$A$5:$A$504,0)),"미매핑"))</f>
        <v/>
      </c>
      <c r="O3749" s="9">
        <f>IF($A3749="","",N3749&amp;"|"&amp;$F3749)</f>
        <v/>
      </c>
      <c r="P3749" s="77">
        <f>IF($A3749="",0,$H3749*설정!$C$23)</f>
        <v/>
      </c>
      <c r="Q3749" s="39">
        <f>IF($A3749="","",IF(O3749&lt;&gt;원인분석!$C$9,"",IF(AND(M3749&gt;=원인분석!$C$10,M3749&lt;=원인분석!$C$11),"당기",IF(AND(M3749&gt;=원인분석!$C$12,M3749&lt;=원인분석!$C$13),"비교",""))))</f>
        <v/>
      </c>
      <c r="R3749" s="9">
        <f>IF(Q3749="","",$K3749&amp;"")</f>
        <v/>
      </c>
      <c r="S3749" s="9">
        <f>IF(Q3749="","",IF(MATCH(R3749,$R$5:$R$100000,0)=ROW()-4,ROW(),""))</f>
        <v/>
      </c>
      <c r="T3749" s="9">
        <f>IF(Q3749="당기",ABS(P3749)+ROW()/1000000000,"")</f>
        <v/>
      </c>
      <c r="U3749" s="9">
        <f>IF(Q3749="비교",ABS(P3749)+ROW()/1000000000,"")</f>
        <v/>
      </c>
      <c r="V3749" s="39">
        <f>IF($A3749="","",IF(COUNTIF(변동분석!$E$7:$E$506,O3749)&gt;0,"Y","N"))</f>
        <v/>
      </c>
      <c r="W3749" s="39">
        <f>IF($A3749="","",IFERROR(INDEX(계정매핑!$D$5:$D$504,MATCH($F3749&amp;"",계정매핑!$A$5:$A$504,0)),"미매핑"))</f>
        <v/>
      </c>
      <c r="X3749" s="9">
        <f>IF($A3749="","",$F3749&amp;"")</f>
        <v/>
      </c>
    </row>
    <row r="3750">
      <c r="A3750" s="75" t="n">
        <v>2026</v>
      </c>
      <c r="B3750" s="75" t="n">
        <v>8</v>
      </c>
      <c r="C3750" s="75" t="inlineStr">
        <is>
          <t>5100001406</t>
        </is>
      </c>
      <c r="D3750" s="78" t="n">
        <v>46239</v>
      </c>
      <c r="E3750" s="75" t="inlineStr">
        <is>
          <t>KR</t>
        </is>
      </c>
      <c r="F3750" s="75" t="n">
        <v>62102000</v>
      </c>
      <c r="G3750" s="75" t="n">
        <v>1101</v>
      </c>
      <c r="H3750" s="76" t="n">
        <v>131000</v>
      </c>
      <c r="I3750" s="75" t="inlineStr">
        <is>
          <t>8월 해외출장 - M항공</t>
        </is>
      </c>
      <c r="J3750" s="75" t="inlineStr">
        <is>
          <t>V10001</t>
        </is>
      </c>
      <c r="K3750" s="75" t="inlineStr">
        <is>
          <t>M항공</t>
        </is>
      </c>
      <c r="M3750" s="9">
        <f>IF($A3750="","",VALUE($A3750&amp;"")*12+VALUE($B3750&amp;""))</f>
        <v/>
      </c>
      <c r="N3750" s="39">
        <f>IF($A3750="","",IFERROR(INDEX(부서매핑!$C$5:$C$504,MATCH($G3750&amp;"",부서매핑!$A$5:$A$504,0)),"미매핑"))</f>
        <v/>
      </c>
      <c r="O3750" s="9">
        <f>IF($A3750="","",N3750&amp;"|"&amp;$F3750)</f>
        <v/>
      </c>
      <c r="P3750" s="77">
        <f>IF($A3750="",0,$H3750*설정!$C$23)</f>
        <v/>
      </c>
      <c r="Q3750" s="39">
        <f>IF($A3750="","",IF(O3750&lt;&gt;원인분석!$C$9,"",IF(AND(M3750&gt;=원인분석!$C$10,M3750&lt;=원인분석!$C$11),"당기",IF(AND(M3750&gt;=원인분석!$C$12,M3750&lt;=원인분석!$C$13),"비교",""))))</f>
        <v/>
      </c>
      <c r="R3750" s="9">
        <f>IF(Q3750="","",$K3750&amp;"")</f>
        <v/>
      </c>
      <c r="S3750" s="9">
        <f>IF(Q3750="","",IF(MATCH(R3750,$R$5:$R$100000,0)=ROW()-4,ROW(),""))</f>
        <v/>
      </c>
      <c r="T3750" s="9">
        <f>IF(Q3750="당기",ABS(P3750)+ROW()/1000000000,"")</f>
        <v/>
      </c>
      <c r="U3750" s="9">
        <f>IF(Q3750="비교",ABS(P3750)+ROW()/1000000000,"")</f>
        <v/>
      </c>
      <c r="V3750" s="39">
        <f>IF($A3750="","",IF(COUNTIF(변동분석!$E$7:$E$506,O3750)&gt;0,"Y","N"))</f>
        <v/>
      </c>
      <c r="W3750" s="39">
        <f>IF($A3750="","",IFERROR(INDEX(계정매핑!$D$5:$D$504,MATCH($F3750&amp;"",계정매핑!$A$5:$A$504,0)),"미매핑"))</f>
        <v/>
      </c>
      <c r="X3750" s="9">
        <f>IF($A3750="","",$F3750&amp;"")</f>
        <v/>
      </c>
    </row>
    <row r="3751">
      <c r="A3751" s="75" t="n">
        <v>2026</v>
      </c>
      <c r="B3751" s="75" t="n">
        <v>8</v>
      </c>
      <c r="C3751" s="75" t="inlineStr">
        <is>
          <t>5100001407</t>
        </is>
      </c>
      <c r="D3751" s="78" t="n">
        <v>46239</v>
      </c>
      <c r="E3751" s="75" t="inlineStr">
        <is>
          <t>KR</t>
        </is>
      </c>
      <c r="F3751" s="75" t="n">
        <v>62102000</v>
      </c>
      <c r="G3751" s="75" t="n">
        <v>1801</v>
      </c>
      <c r="H3751" s="76" t="n">
        <v>45000</v>
      </c>
      <c r="I3751" s="75" t="inlineStr">
        <is>
          <t>8월 해외출장 - N호텔</t>
        </is>
      </c>
      <c r="J3751" s="75" t="inlineStr">
        <is>
          <t>V10007</t>
        </is>
      </c>
      <c r="K3751" s="75" t="inlineStr">
        <is>
          <t>N호텔</t>
        </is>
      </c>
      <c r="M3751" s="9">
        <f>IF($A3751="","",VALUE($A3751&amp;"")*12+VALUE($B3751&amp;""))</f>
        <v/>
      </c>
      <c r="N3751" s="39">
        <f>IF($A3751="","",IFERROR(INDEX(부서매핑!$C$5:$C$504,MATCH($G3751&amp;"",부서매핑!$A$5:$A$504,0)),"미매핑"))</f>
        <v/>
      </c>
      <c r="O3751" s="9">
        <f>IF($A3751="","",N3751&amp;"|"&amp;$F3751)</f>
        <v/>
      </c>
      <c r="P3751" s="77">
        <f>IF($A3751="",0,$H3751*설정!$C$23)</f>
        <v/>
      </c>
      <c r="Q3751" s="39">
        <f>IF($A3751="","",IF(O3751&lt;&gt;원인분석!$C$9,"",IF(AND(M3751&gt;=원인분석!$C$10,M3751&lt;=원인분석!$C$11),"당기",IF(AND(M3751&gt;=원인분석!$C$12,M3751&lt;=원인분석!$C$13),"비교",""))))</f>
        <v/>
      </c>
      <c r="R3751" s="9">
        <f>IF(Q3751="","",$K3751&amp;"")</f>
        <v/>
      </c>
      <c r="S3751" s="9">
        <f>IF(Q3751="","",IF(MATCH(R3751,$R$5:$R$100000,0)=ROW()-4,ROW(),""))</f>
        <v/>
      </c>
      <c r="T3751" s="9">
        <f>IF(Q3751="당기",ABS(P3751)+ROW()/1000000000,"")</f>
        <v/>
      </c>
      <c r="U3751" s="9">
        <f>IF(Q3751="비교",ABS(P3751)+ROW()/1000000000,"")</f>
        <v/>
      </c>
      <c r="V3751" s="39">
        <f>IF($A3751="","",IF(COUNTIF(변동분석!$E$7:$E$506,O3751)&gt;0,"Y","N"))</f>
        <v/>
      </c>
      <c r="W3751" s="39">
        <f>IF($A3751="","",IFERROR(INDEX(계정매핑!$D$5:$D$504,MATCH($F3751&amp;"",계정매핑!$A$5:$A$504,0)),"미매핑"))</f>
        <v/>
      </c>
      <c r="X3751" s="9">
        <f>IF($A3751="","",$F3751&amp;"")</f>
        <v/>
      </c>
    </row>
    <row r="3752">
      <c r="A3752" s="75" t="n">
        <v>2026</v>
      </c>
      <c r="B3752" s="75" t="n">
        <v>8</v>
      </c>
      <c r="C3752" s="75" t="inlineStr">
        <is>
          <t>5100001408</t>
        </is>
      </c>
      <c r="D3752" s="78" t="n">
        <v>46239</v>
      </c>
      <c r="E3752" s="75" t="inlineStr">
        <is>
          <t>KR</t>
        </is>
      </c>
      <c r="F3752" s="75" t="n">
        <v>62201000</v>
      </c>
      <c r="G3752" s="75" t="n">
        <v>1601</v>
      </c>
      <c r="H3752" s="76" t="n">
        <v>490000</v>
      </c>
      <c r="I3752" s="75" t="inlineStr">
        <is>
          <t>8월 통신요금 - P통신</t>
        </is>
      </c>
      <c r="J3752" s="75" t="inlineStr">
        <is>
          <t>V10011</t>
        </is>
      </c>
      <c r="K3752" s="75" t="inlineStr">
        <is>
          <t>P통신</t>
        </is>
      </c>
      <c r="M3752" s="9">
        <f>IF($A3752="","",VALUE($A3752&amp;"")*12+VALUE($B3752&amp;""))</f>
        <v/>
      </c>
      <c r="N3752" s="39">
        <f>IF($A3752="","",IFERROR(INDEX(부서매핑!$C$5:$C$504,MATCH($G3752&amp;"",부서매핑!$A$5:$A$504,0)),"미매핑"))</f>
        <v/>
      </c>
      <c r="O3752" s="9">
        <f>IF($A3752="","",N3752&amp;"|"&amp;$F3752)</f>
        <v/>
      </c>
      <c r="P3752" s="77">
        <f>IF($A3752="",0,$H3752*설정!$C$23)</f>
        <v/>
      </c>
      <c r="Q3752" s="39">
        <f>IF($A3752="","",IF(O3752&lt;&gt;원인분석!$C$9,"",IF(AND(M3752&gt;=원인분석!$C$10,M3752&lt;=원인분석!$C$11),"당기",IF(AND(M3752&gt;=원인분석!$C$12,M3752&lt;=원인분석!$C$13),"비교",""))))</f>
        <v/>
      </c>
      <c r="R3752" s="9">
        <f>IF(Q3752="","",$K3752&amp;"")</f>
        <v/>
      </c>
      <c r="S3752" s="9">
        <f>IF(Q3752="","",IF(MATCH(R3752,$R$5:$R$100000,0)=ROW()-4,ROW(),""))</f>
        <v/>
      </c>
      <c r="T3752" s="9">
        <f>IF(Q3752="당기",ABS(P3752)+ROW()/1000000000,"")</f>
        <v/>
      </c>
      <c r="U3752" s="9">
        <f>IF(Q3752="비교",ABS(P3752)+ROW()/1000000000,"")</f>
        <v/>
      </c>
      <c r="V3752" s="39">
        <f>IF($A3752="","",IF(COUNTIF(변동분석!$E$7:$E$506,O3752)&gt;0,"Y","N"))</f>
        <v/>
      </c>
      <c r="W3752" s="39">
        <f>IF($A3752="","",IFERROR(INDEX(계정매핑!$D$5:$D$504,MATCH($F3752&amp;"",계정매핑!$A$5:$A$504,0)),"미매핑"))</f>
        <v/>
      </c>
      <c r="X3752" s="9">
        <f>IF($A3752="","",$F3752&amp;"")</f>
        <v/>
      </c>
    </row>
    <row r="3753">
      <c r="A3753" s="75" t="n">
        <v>2026</v>
      </c>
      <c r="B3753" s="75" t="n">
        <v>8</v>
      </c>
      <c r="C3753" s="75" t="inlineStr">
        <is>
          <t>5100001409</t>
        </is>
      </c>
      <c r="D3753" s="78" t="n">
        <v>46239</v>
      </c>
      <c r="E3753" s="75" t="inlineStr">
        <is>
          <t>KR</t>
        </is>
      </c>
      <c r="F3753" s="75" t="n">
        <v>62501000</v>
      </c>
      <c r="G3753" s="75" t="n">
        <v>1701</v>
      </c>
      <c r="H3753" s="76" t="n">
        <v>104000</v>
      </c>
      <c r="I3753" s="75" t="inlineStr">
        <is>
          <t>8월 회의 다과 - T케이터링</t>
        </is>
      </c>
      <c r="J3753" s="75" t="inlineStr">
        <is>
          <t>V10005</t>
        </is>
      </c>
      <c r="K3753" s="75" t="inlineStr">
        <is>
          <t>T케이터링</t>
        </is>
      </c>
      <c r="M3753" s="9">
        <f>IF($A3753="","",VALUE($A3753&amp;"")*12+VALUE($B3753&amp;""))</f>
        <v/>
      </c>
      <c r="N3753" s="39">
        <f>IF($A3753="","",IFERROR(INDEX(부서매핑!$C$5:$C$504,MATCH($G3753&amp;"",부서매핑!$A$5:$A$504,0)),"미매핑"))</f>
        <v/>
      </c>
      <c r="O3753" s="9">
        <f>IF($A3753="","",N3753&amp;"|"&amp;$F3753)</f>
        <v/>
      </c>
      <c r="P3753" s="77">
        <f>IF($A3753="",0,$H3753*설정!$C$23)</f>
        <v/>
      </c>
      <c r="Q3753" s="39">
        <f>IF($A3753="","",IF(O3753&lt;&gt;원인분석!$C$9,"",IF(AND(M3753&gt;=원인분석!$C$10,M3753&lt;=원인분석!$C$11),"당기",IF(AND(M3753&gt;=원인분석!$C$12,M3753&lt;=원인분석!$C$13),"비교",""))))</f>
        <v/>
      </c>
      <c r="R3753" s="9">
        <f>IF(Q3753="","",$K3753&amp;"")</f>
        <v/>
      </c>
      <c r="S3753" s="9">
        <f>IF(Q3753="","",IF(MATCH(R3753,$R$5:$R$100000,0)=ROW()-4,ROW(),""))</f>
        <v/>
      </c>
      <c r="T3753" s="9">
        <f>IF(Q3753="당기",ABS(P3753)+ROW()/1000000000,"")</f>
        <v/>
      </c>
      <c r="U3753" s="9">
        <f>IF(Q3753="비교",ABS(P3753)+ROW()/1000000000,"")</f>
        <v/>
      </c>
      <c r="V3753" s="39">
        <f>IF($A3753="","",IF(COUNTIF(변동분석!$E$7:$E$506,O3753)&gt;0,"Y","N"))</f>
        <v/>
      </c>
      <c r="W3753" s="39">
        <f>IF($A3753="","",IFERROR(INDEX(계정매핑!$D$5:$D$504,MATCH($F3753&amp;"",계정매핑!$A$5:$A$504,0)),"미매핑"))</f>
        <v/>
      </c>
      <c r="X3753" s="9">
        <f>IF($A3753="","",$F3753&amp;"")</f>
        <v/>
      </c>
    </row>
    <row r="3754">
      <c r="A3754" s="75" t="n">
        <v>2026</v>
      </c>
      <c r="B3754" s="75" t="n">
        <v>8</v>
      </c>
      <c r="C3754" s="75" t="inlineStr">
        <is>
          <t>5100001410</t>
        </is>
      </c>
      <c r="D3754" s="78" t="n">
        <v>46240</v>
      </c>
      <c r="E3754" s="75" t="inlineStr">
        <is>
          <t>KR</t>
        </is>
      </c>
      <c r="F3754" s="75" t="n">
        <v>62101000</v>
      </c>
      <c r="G3754" s="75" t="n">
        <v>1401</v>
      </c>
      <c r="H3754" s="76" t="n">
        <v>443000</v>
      </c>
      <c r="I3754" s="75" t="inlineStr">
        <is>
          <t>8월 국내출장 - L여행사</t>
        </is>
      </c>
      <c r="J3754" s="75" t="inlineStr">
        <is>
          <t>V10014</t>
        </is>
      </c>
      <c r="K3754" s="75" t="inlineStr">
        <is>
          <t>L여행사</t>
        </is>
      </c>
      <c r="M3754" s="9">
        <f>IF($A3754="","",VALUE($A3754&amp;"")*12+VALUE($B3754&amp;""))</f>
        <v/>
      </c>
      <c r="N3754" s="39">
        <f>IF($A3754="","",IFERROR(INDEX(부서매핑!$C$5:$C$504,MATCH($G3754&amp;"",부서매핑!$A$5:$A$504,0)),"미매핑"))</f>
        <v/>
      </c>
      <c r="O3754" s="9">
        <f>IF($A3754="","",N3754&amp;"|"&amp;$F3754)</f>
        <v/>
      </c>
      <c r="P3754" s="77">
        <f>IF($A3754="",0,$H3754*설정!$C$23)</f>
        <v/>
      </c>
      <c r="Q3754" s="39">
        <f>IF($A3754="","",IF(O3754&lt;&gt;원인분석!$C$9,"",IF(AND(M3754&gt;=원인분석!$C$10,M3754&lt;=원인분석!$C$11),"당기",IF(AND(M3754&gt;=원인분석!$C$12,M3754&lt;=원인분석!$C$13),"비교",""))))</f>
        <v/>
      </c>
      <c r="R3754" s="9">
        <f>IF(Q3754="","",$K3754&amp;"")</f>
        <v/>
      </c>
      <c r="S3754" s="9">
        <f>IF(Q3754="","",IF(MATCH(R3754,$R$5:$R$100000,0)=ROW()-4,ROW(),""))</f>
        <v/>
      </c>
      <c r="T3754" s="9">
        <f>IF(Q3754="당기",ABS(P3754)+ROW()/1000000000,"")</f>
        <v/>
      </c>
      <c r="U3754" s="9">
        <f>IF(Q3754="비교",ABS(P3754)+ROW()/1000000000,"")</f>
        <v/>
      </c>
      <c r="V3754" s="39">
        <f>IF($A3754="","",IF(COUNTIF(변동분석!$E$7:$E$506,O3754)&gt;0,"Y","N"))</f>
        <v/>
      </c>
      <c r="W3754" s="39">
        <f>IF($A3754="","",IFERROR(INDEX(계정매핑!$D$5:$D$504,MATCH($F3754&amp;"",계정매핑!$A$5:$A$504,0)),"미매핑"))</f>
        <v/>
      </c>
      <c r="X3754" s="9">
        <f>IF($A3754="","",$F3754&amp;"")</f>
        <v/>
      </c>
    </row>
    <row r="3755">
      <c r="A3755" s="75" t="n">
        <v>2026</v>
      </c>
      <c r="B3755" s="75" t="n">
        <v>8</v>
      </c>
      <c r="C3755" s="75" t="inlineStr">
        <is>
          <t>5100001411</t>
        </is>
      </c>
      <c r="D3755" s="78" t="n">
        <v>46240</v>
      </c>
      <c r="E3755" s="75" t="inlineStr">
        <is>
          <t>KR</t>
        </is>
      </c>
      <c r="F3755" s="75" t="n">
        <v>62101000</v>
      </c>
      <c r="G3755" s="75" t="n">
        <v>1502</v>
      </c>
      <c r="H3755" s="76" t="n">
        <v>469000</v>
      </c>
      <c r="I3755" s="75" t="inlineStr">
        <is>
          <t>8월 국내출장 - (법인카드)</t>
        </is>
      </c>
      <c r="J3755" s="75" t="inlineStr">
        <is>
          <t>V10008</t>
        </is>
      </c>
      <c r="K3755" s="75" t="inlineStr">
        <is>
          <t>(법인카드)</t>
        </is>
      </c>
      <c r="M3755" s="9">
        <f>IF($A3755="","",VALUE($A3755&amp;"")*12+VALUE($B3755&amp;""))</f>
        <v/>
      </c>
      <c r="N3755" s="39">
        <f>IF($A3755="","",IFERROR(INDEX(부서매핑!$C$5:$C$504,MATCH($G3755&amp;"",부서매핑!$A$5:$A$504,0)),"미매핑"))</f>
        <v/>
      </c>
      <c r="O3755" s="9">
        <f>IF($A3755="","",N3755&amp;"|"&amp;$F3755)</f>
        <v/>
      </c>
      <c r="P3755" s="77">
        <f>IF($A3755="",0,$H3755*설정!$C$23)</f>
        <v/>
      </c>
      <c r="Q3755" s="39">
        <f>IF($A3755="","",IF(O3755&lt;&gt;원인분석!$C$9,"",IF(AND(M3755&gt;=원인분석!$C$10,M3755&lt;=원인분석!$C$11),"당기",IF(AND(M3755&gt;=원인분석!$C$12,M3755&lt;=원인분석!$C$13),"비교",""))))</f>
        <v/>
      </c>
      <c r="R3755" s="9">
        <f>IF(Q3755="","",$K3755&amp;"")</f>
        <v/>
      </c>
      <c r="S3755" s="9">
        <f>IF(Q3755="","",IF(MATCH(R3755,$R$5:$R$100000,0)=ROW()-4,ROW(),""))</f>
        <v/>
      </c>
      <c r="T3755" s="9">
        <f>IF(Q3755="당기",ABS(P3755)+ROW()/1000000000,"")</f>
        <v/>
      </c>
      <c r="U3755" s="9">
        <f>IF(Q3755="비교",ABS(P3755)+ROW()/1000000000,"")</f>
        <v/>
      </c>
      <c r="V3755" s="39">
        <f>IF($A3755="","",IF(COUNTIF(변동분석!$E$7:$E$506,O3755)&gt;0,"Y","N"))</f>
        <v/>
      </c>
      <c r="W3755" s="39">
        <f>IF($A3755="","",IFERROR(INDEX(계정매핑!$D$5:$D$504,MATCH($F3755&amp;"",계정매핑!$A$5:$A$504,0)),"미매핑"))</f>
        <v/>
      </c>
      <c r="X3755" s="9">
        <f>IF($A3755="","",$F3755&amp;"")</f>
        <v/>
      </c>
    </row>
    <row r="3756">
      <c r="A3756" s="75" t="n">
        <v>2026</v>
      </c>
      <c r="B3756" s="75" t="n">
        <v>8</v>
      </c>
      <c r="C3756" s="75" t="inlineStr">
        <is>
          <t>5100001412</t>
        </is>
      </c>
      <c r="D3756" s="78" t="n">
        <v>46240</v>
      </c>
      <c r="E3756" s="75" t="inlineStr">
        <is>
          <t>KR</t>
        </is>
      </c>
      <c r="F3756" s="75" t="n">
        <v>62101000</v>
      </c>
      <c r="G3756" s="75" t="n">
        <v>1601</v>
      </c>
      <c r="H3756" s="76" t="n">
        <v>1263000</v>
      </c>
      <c r="I3756" s="75" t="inlineStr">
        <is>
          <t>8월 국내출장 - L여행사</t>
        </is>
      </c>
      <c r="J3756" s="75" t="inlineStr">
        <is>
          <t>V10014</t>
        </is>
      </c>
      <c r="K3756" s="75" t="inlineStr">
        <is>
          <t>L여행사</t>
        </is>
      </c>
      <c r="M3756" s="9">
        <f>IF($A3756="","",VALUE($A3756&amp;"")*12+VALUE($B3756&amp;""))</f>
        <v/>
      </c>
      <c r="N3756" s="39">
        <f>IF($A3756="","",IFERROR(INDEX(부서매핑!$C$5:$C$504,MATCH($G3756&amp;"",부서매핑!$A$5:$A$504,0)),"미매핑"))</f>
        <v/>
      </c>
      <c r="O3756" s="9">
        <f>IF($A3756="","",N3756&amp;"|"&amp;$F3756)</f>
        <v/>
      </c>
      <c r="P3756" s="77">
        <f>IF($A3756="",0,$H3756*설정!$C$23)</f>
        <v/>
      </c>
      <c r="Q3756" s="39">
        <f>IF($A3756="","",IF(O3756&lt;&gt;원인분석!$C$9,"",IF(AND(M3756&gt;=원인분석!$C$10,M3756&lt;=원인분석!$C$11),"당기",IF(AND(M3756&gt;=원인분석!$C$12,M3756&lt;=원인분석!$C$13),"비교",""))))</f>
        <v/>
      </c>
      <c r="R3756" s="9">
        <f>IF(Q3756="","",$K3756&amp;"")</f>
        <v/>
      </c>
      <c r="S3756" s="9">
        <f>IF(Q3756="","",IF(MATCH(R3756,$R$5:$R$100000,0)=ROW()-4,ROW(),""))</f>
        <v/>
      </c>
      <c r="T3756" s="9">
        <f>IF(Q3756="당기",ABS(P3756)+ROW()/1000000000,"")</f>
        <v/>
      </c>
      <c r="U3756" s="9">
        <f>IF(Q3756="비교",ABS(P3756)+ROW()/1000000000,"")</f>
        <v/>
      </c>
      <c r="V3756" s="39">
        <f>IF($A3756="","",IF(COUNTIF(변동분석!$E$7:$E$506,O3756)&gt;0,"Y","N"))</f>
        <v/>
      </c>
      <c r="W3756" s="39">
        <f>IF($A3756="","",IFERROR(INDEX(계정매핑!$D$5:$D$504,MATCH($F3756&amp;"",계정매핑!$A$5:$A$504,0)),"미매핑"))</f>
        <v/>
      </c>
      <c r="X3756" s="9">
        <f>IF($A3756="","",$F3756&amp;"")</f>
        <v/>
      </c>
    </row>
    <row r="3757">
      <c r="A3757" s="75" t="n">
        <v>2026</v>
      </c>
      <c r="B3757" s="75" t="n">
        <v>8</v>
      </c>
      <c r="C3757" s="75" t="inlineStr">
        <is>
          <t>5100001413</t>
        </is>
      </c>
      <c r="D3757" s="78" t="n">
        <v>46240</v>
      </c>
      <c r="E3757" s="75" t="inlineStr">
        <is>
          <t>KR</t>
        </is>
      </c>
      <c r="F3757" s="75" t="n">
        <v>62201000</v>
      </c>
      <c r="G3757" s="75" t="n">
        <v>1101</v>
      </c>
      <c r="H3757" s="76" t="n">
        <v>271000</v>
      </c>
      <c r="I3757" s="75" t="inlineStr">
        <is>
          <t>8월 통신요금 - O텔레콤</t>
        </is>
      </c>
      <c r="J3757" s="75" t="inlineStr">
        <is>
          <t>V10002</t>
        </is>
      </c>
      <c r="K3757" s="75" t="inlineStr">
        <is>
          <t>O텔레콤</t>
        </is>
      </c>
      <c r="M3757" s="9">
        <f>IF($A3757="","",VALUE($A3757&amp;"")*12+VALUE($B3757&amp;""))</f>
        <v/>
      </c>
      <c r="N3757" s="39">
        <f>IF($A3757="","",IFERROR(INDEX(부서매핑!$C$5:$C$504,MATCH($G3757&amp;"",부서매핑!$A$5:$A$504,0)),"미매핑"))</f>
        <v/>
      </c>
      <c r="O3757" s="9">
        <f>IF($A3757="","",N3757&amp;"|"&amp;$F3757)</f>
        <v/>
      </c>
      <c r="P3757" s="77">
        <f>IF($A3757="",0,$H3757*설정!$C$23)</f>
        <v/>
      </c>
      <c r="Q3757" s="39">
        <f>IF($A3757="","",IF(O3757&lt;&gt;원인분석!$C$9,"",IF(AND(M3757&gt;=원인분석!$C$10,M3757&lt;=원인분석!$C$11),"당기",IF(AND(M3757&gt;=원인분석!$C$12,M3757&lt;=원인분석!$C$13),"비교",""))))</f>
        <v/>
      </c>
      <c r="R3757" s="9">
        <f>IF(Q3757="","",$K3757&amp;"")</f>
        <v/>
      </c>
      <c r="S3757" s="9">
        <f>IF(Q3757="","",IF(MATCH(R3757,$R$5:$R$100000,0)=ROW()-4,ROW(),""))</f>
        <v/>
      </c>
      <c r="T3757" s="9">
        <f>IF(Q3757="당기",ABS(P3757)+ROW()/1000000000,"")</f>
        <v/>
      </c>
      <c r="U3757" s="9">
        <f>IF(Q3757="비교",ABS(P3757)+ROW()/1000000000,"")</f>
        <v/>
      </c>
      <c r="V3757" s="39">
        <f>IF($A3757="","",IF(COUNTIF(변동분석!$E$7:$E$506,O3757)&gt;0,"Y","N"))</f>
        <v/>
      </c>
      <c r="W3757" s="39">
        <f>IF($A3757="","",IFERROR(INDEX(계정매핑!$D$5:$D$504,MATCH($F3757&amp;"",계정매핑!$A$5:$A$504,0)),"미매핑"))</f>
        <v/>
      </c>
      <c r="X3757" s="9">
        <f>IF($A3757="","",$F3757&amp;"")</f>
        <v/>
      </c>
    </row>
    <row r="3758">
      <c r="A3758" s="75" t="n">
        <v>2026</v>
      </c>
      <c r="B3758" s="75" t="n">
        <v>8</v>
      </c>
      <c r="C3758" s="75" t="inlineStr">
        <is>
          <t>5100001414</t>
        </is>
      </c>
      <c r="D3758" s="78" t="n">
        <v>46240</v>
      </c>
      <c r="E3758" s="75" t="inlineStr">
        <is>
          <t>KR</t>
        </is>
      </c>
      <c r="F3758" s="75" t="n">
        <v>62201000</v>
      </c>
      <c r="G3758" s="75" t="n">
        <v>1301</v>
      </c>
      <c r="H3758" s="76" t="n">
        <v>370000</v>
      </c>
      <c r="I3758" s="75" t="inlineStr">
        <is>
          <t>8월 통신요금 - P통신</t>
        </is>
      </c>
      <c r="J3758" s="75" t="inlineStr">
        <is>
          <t>V10011</t>
        </is>
      </c>
      <c r="K3758" s="75" t="inlineStr">
        <is>
          <t>P통신</t>
        </is>
      </c>
      <c r="M3758" s="9">
        <f>IF($A3758="","",VALUE($A3758&amp;"")*12+VALUE($B3758&amp;""))</f>
        <v/>
      </c>
      <c r="N3758" s="39">
        <f>IF($A3758="","",IFERROR(INDEX(부서매핑!$C$5:$C$504,MATCH($G3758&amp;"",부서매핑!$A$5:$A$504,0)),"미매핑"))</f>
        <v/>
      </c>
      <c r="O3758" s="9">
        <f>IF($A3758="","",N3758&amp;"|"&amp;$F3758)</f>
        <v/>
      </c>
      <c r="P3758" s="77">
        <f>IF($A3758="",0,$H3758*설정!$C$23)</f>
        <v/>
      </c>
      <c r="Q3758" s="39">
        <f>IF($A3758="","",IF(O3758&lt;&gt;원인분석!$C$9,"",IF(AND(M3758&gt;=원인분석!$C$10,M3758&lt;=원인분석!$C$11),"당기",IF(AND(M3758&gt;=원인분석!$C$12,M3758&lt;=원인분석!$C$13),"비교",""))))</f>
        <v/>
      </c>
      <c r="R3758" s="9">
        <f>IF(Q3758="","",$K3758&amp;"")</f>
        <v/>
      </c>
      <c r="S3758" s="9">
        <f>IF(Q3758="","",IF(MATCH(R3758,$R$5:$R$100000,0)=ROW()-4,ROW(),""))</f>
        <v/>
      </c>
      <c r="T3758" s="9">
        <f>IF(Q3758="당기",ABS(P3758)+ROW()/1000000000,"")</f>
        <v/>
      </c>
      <c r="U3758" s="9">
        <f>IF(Q3758="비교",ABS(P3758)+ROW()/1000000000,"")</f>
        <v/>
      </c>
      <c r="V3758" s="39">
        <f>IF($A3758="","",IF(COUNTIF(변동분석!$E$7:$E$506,O3758)&gt;0,"Y","N"))</f>
        <v/>
      </c>
      <c r="W3758" s="39">
        <f>IF($A3758="","",IFERROR(INDEX(계정매핑!$D$5:$D$504,MATCH($F3758&amp;"",계정매핑!$A$5:$A$504,0)),"미매핑"))</f>
        <v/>
      </c>
      <c r="X3758" s="9">
        <f>IF($A3758="","",$F3758&amp;"")</f>
        <v/>
      </c>
    </row>
    <row r="3759">
      <c r="A3759" s="75" t="n">
        <v>2026</v>
      </c>
      <c r="B3759" s="75" t="n">
        <v>8</v>
      </c>
      <c r="C3759" s="75" t="inlineStr">
        <is>
          <t>5100001415</t>
        </is>
      </c>
      <c r="D3759" s="78" t="n">
        <v>46240</v>
      </c>
      <c r="E3759" s="75" t="inlineStr">
        <is>
          <t>KR</t>
        </is>
      </c>
      <c r="F3759" s="75" t="n">
        <v>62201000</v>
      </c>
      <c r="G3759" s="75" t="n">
        <v>1701</v>
      </c>
      <c r="H3759" s="76" t="n">
        <v>4337000</v>
      </c>
      <c r="I3759" s="75" t="inlineStr">
        <is>
          <t>8월 통신요금 - O텔레콤</t>
        </is>
      </c>
      <c r="J3759" s="75" t="inlineStr">
        <is>
          <t>V10002</t>
        </is>
      </c>
      <c r="K3759" s="75" t="inlineStr">
        <is>
          <t>O텔레콤</t>
        </is>
      </c>
      <c r="M3759" s="9">
        <f>IF($A3759="","",VALUE($A3759&amp;"")*12+VALUE($B3759&amp;""))</f>
        <v/>
      </c>
      <c r="N3759" s="39">
        <f>IF($A3759="","",IFERROR(INDEX(부서매핑!$C$5:$C$504,MATCH($G3759&amp;"",부서매핑!$A$5:$A$504,0)),"미매핑"))</f>
        <v/>
      </c>
      <c r="O3759" s="9">
        <f>IF($A3759="","",N3759&amp;"|"&amp;$F3759)</f>
        <v/>
      </c>
      <c r="P3759" s="77">
        <f>IF($A3759="",0,$H3759*설정!$C$23)</f>
        <v/>
      </c>
      <c r="Q3759" s="39">
        <f>IF($A3759="","",IF(O3759&lt;&gt;원인분석!$C$9,"",IF(AND(M3759&gt;=원인분석!$C$10,M3759&lt;=원인분석!$C$11),"당기",IF(AND(M3759&gt;=원인분석!$C$12,M3759&lt;=원인분석!$C$13),"비교",""))))</f>
        <v/>
      </c>
      <c r="R3759" s="9">
        <f>IF(Q3759="","",$K3759&amp;"")</f>
        <v/>
      </c>
      <c r="S3759" s="9">
        <f>IF(Q3759="","",IF(MATCH(R3759,$R$5:$R$100000,0)=ROW()-4,ROW(),""))</f>
        <v/>
      </c>
      <c r="T3759" s="9">
        <f>IF(Q3759="당기",ABS(P3759)+ROW()/1000000000,"")</f>
        <v/>
      </c>
      <c r="U3759" s="9">
        <f>IF(Q3759="비교",ABS(P3759)+ROW()/1000000000,"")</f>
        <v/>
      </c>
      <c r="V3759" s="39">
        <f>IF($A3759="","",IF(COUNTIF(변동분석!$E$7:$E$506,O3759)&gt;0,"Y","N"))</f>
        <v/>
      </c>
      <c r="W3759" s="39">
        <f>IF($A3759="","",IFERROR(INDEX(계정매핑!$D$5:$D$504,MATCH($F3759&amp;"",계정매핑!$A$5:$A$504,0)),"미매핑"))</f>
        <v/>
      </c>
      <c r="X3759" s="9">
        <f>IF($A3759="","",$F3759&amp;"")</f>
        <v/>
      </c>
    </row>
    <row r="3760">
      <c r="A3760" s="75" t="n">
        <v>2026</v>
      </c>
      <c r="B3760" s="75" t="n">
        <v>8</v>
      </c>
      <c r="C3760" s="75" t="inlineStr">
        <is>
          <t>5100001416</t>
        </is>
      </c>
      <c r="D3760" s="78" t="n">
        <v>46240</v>
      </c>
      <c r="E3760" s="75" t="inlineStr">
        <is>
          <t>KR</t>
        </is>
      </c>
      <c r="F3760" s="75" t="n">
        <v>62301000</v>
      </c>
      <c r="G3760" s="75" t="n">
        <v>1502</v>
      </c>
      <c r="H3760" s="76" t="n">
        <v>197000</v>
      </c>
      <c r="I3760" s="75" t="inlineStr">
        <is>
          <t>8월 소모품 구입 - Q오피스</t>
        </is>
      </c>
      <c r="J3760" s="75" t="inlineStr">
        <is>
          <t>V10003</t>
        </is>
      </c>
      <c r="K3760" s="75" t="inlineStr">
        <is>
          <t>Q오피스</t>
        </is>
      </c>
      <c r="M3760" s="9">
        <f>IF($A3760="","",VALUE($A3760&amp;"")*12+VALUE($B3760&amp;""))</f>
        <v/>
      </c>
      <c r="N3760" s="39">
        <f>IF($A3760="","",IFERROR(INDEX(부서매핑!$C$5:$C$504,MATCH($G3760&amp;"",부서매핑!$A$5:$A$504,0)),"미매핑"))</f>
        <v/>
      </c>
      <c r="O3760" s="9">
        <f>IF($A3760="","",N3760&amp;"|"&amp;$F3760)</f>
        <v/>
      </c>
      <c r="P3760" s="77">
        <f>IF($A3760="",0,$H3760*설정!$C$23)</f>
        <v/>
      </c>
      <c r="Q3760" s="39">
        <f>IF($A3760="","",IF(O3760&lt;&gt;원인분석!$C$9,"",IF(AND(M3760&gt;=원인분석!$C$10,M3760&lt;=원인분석!$C$11),"당기",IF(AND(M3760&gt;=원인분석!$C$12,M3760&lt;=원인분석!$C$13),"비교",""))))</f>
        <v/>
      </c>
      <c r="R3760" s="9">
        <f>IF(Q3760="","",$K3760&amp;"")</f>
        <v/>
      </c>
      <c r="S3760" s="9">
        <f>IF(Q3760="","",IF(MATCH(R3760,$R$5:$R$100000,0)=ROW()-4,ROW(),""))</f>
        <v/>
      </c>
      <c r="T3760" s="9">
        <f>IF(Q3760="당기",ABS(P3760)+ROW()/1000000000,"")</f>
        <v/>
      </c>
      <c r="U3760" s="9">
        <f>IF(Q3760="비교",ABS(P3760)+ROW()/1000000000,"")</f>
        <v/>
      </c>
      <c r="V3760" s="39">
        <f>IF($A3760="","",IF(COUNTIF(변동분석!$E$7:$E$506,O3760)&gt;0,"Y","N"))</f>
        <v/>
      </c>
      <c r="W3760" s="39">
        <f>IF($A3760="","",IFERROR(INDEX(계정매핑!$D$5:$D$504,MATCH($F3760&amp;"",계정매핑!$A$5:$A$504,0)),"미매핑"))</f>
        <v/>
      </c>
      <c r="X3760" s="9">
        <f>IF($A3760="","",$F3760&amp;"")</f>
        <v/>
      </c>
    </row>
    <row r="3761">
      <c r="A3761" s="75" t="n">
        <v>2026</v>
      </c>
      <c r="B3761" s="75" t="n">
        <v>8</v>
      </c>
      <c r="C3761" s="75" t="inlineStr">
        <is>
          <t>5100001417</t>
        </is>
      </c>
      <c r="D3761" s="78" t="n">
        <v>46240</v>
      </c>
      <c r="E3761" s="75" t="inlineStr">
        <is>
          <t>KR</t>
        </is>
      </c>
      <c r="F3761" s="75" t="n">
        <v>62501000</v>
      </c>
      <c r="G3761" s="75" t="n">
        <v>1801</v>
      </c>
      <c r="H3761" s="76" t="n">
        <v>111000</v>
      </c>
      <c r="I3761" s="75" t="inlineStr">
        <is>
          <t>8월 회의 다과 - T케이터링</t>
        </is>
      </c>
      <c r="J3761" s="75" t="inlineStr">
        <is>
          <t>V10005</t>
        </is>
      </c>
      <c r="K3761" s="75" t="inlineStr">
        <is>
          <t>T케이터링</t>
        </is>
      </c>
      <c r="M3761" s="9">
        <f>IF($A3761="","",VALUE($A3761&amp;"")*12+VALUE($B3761&amp;""))</f>
        <v/>
      </c>
      <c r="N3761" s="39">
        <f>IF($A3761="","",IFERROR(INDEX(부서매핑!$C$5:$C$504,MATCH($G3761&amp;"",부서매핑!$A$5:$A$504,0)),"미매핑"))</f>
        <v/>
      </c>
      <c r="O3761" s="9">
        <f>IF($A3761="","",N3761&amp;"|"&amp;$F3761)</f>
        <v/>
      </c>
      <c r="P3761" s="77">
        <f>IF($A3761="",0,$H3761*설정!$C$23)</f>
        <v/>
      </c>
      <c r="Q3761" s="39">
        <f>IF($A3761="","",IF(O3761&lt;&gt;원인분석!$C$9,"",IF(AND(M3761&gt;=원인분석!$C$10,M3761&lt;=원인분석!$C$11),"당기",IF(AND(M3761&gt;=원인분석!$C$12,M3761&lt;=원인분석!$C$13),"비교",""))))</f>
        <v/>
      </c>
      <c r="R3761" s="9">
        <f>IF(Q3761="","",$K3761&amp;"")</f>
        <v/>
      </c>
      <c r="S3761" s="9">
        <f>IF(Q3761="","",IF(MATCH(R3761,$R$5:$R$100000,0)=ROW()-4,ROW(),""))</f>
        <v/>
      </c>
      <c r="T3761" s="9">
        <f>IF(Q3761="당기",ABS(P3761)+ROW()/1000000000,"")</f>
        <v/>
      </c>
      <c r="U3761" s="9">
        <f>IF(Q3761="비교",ABS(P3761)+ROW()/1000000000,"")</f>
        <v/>
      </c>
      <c r="V3761" s="39">
        <f>IF($A3761="","",IF(COUNTIF(변동분석!$E$7:$E$506,O3761)&gt;0,"Y","N"))</f>
        <v/>
      </c>
      <c r="W3761" s="39">
        <f>IF($A3761="","",IFERROR(INDEX(계정매핑!$D$5:$D$504,MATCH($F3761&amp;"",계정매핑!$A$5:$A$504,0)),"미매핑"))</f>
        <v/>
      </c>
      <c r="X3761" s="9">
        <f>IF($A3761="","",$F3761&amp;"")</f>
        <v/>
      </c>
    </row>
    <row r="3762">
      <c r="A3762" s="75" t="n">
        <v>2026</v>
      </c>
      <c r="B3762" s="75" t="n">
        <v>8</v>
      </c>
      <c r="C3762" s="75" t="inlineStr">
        <is>
          <t>5100001418</t>
        </is>
      </c>
      <c r="D3762" s="78" t="n">
        <v>46240</v>
      </c>
      <c r="E3762" s="75" t="inlineStr">
        <is>
          <t>KR</t>
        </is>
      </c>
      <c r="F3762" s="75" t="n">
        <v>62601000</v>
      </c>
      <c r="G3762" s="75" t="n">
        <v>1301</v>
      </c>
      <c r="H3762" s="76" t="n">
        <v>818000</v>
      </c>
      <c r="I3762" s="75" t="inlineStr">
        <is>
          <t>8월 업무추진 - (법인카드)</t>
        </is>
      </c>
      <c r="J3762" s="75" t="inlineStr">
        <is>
          <t>V10008</t>
        </is>
      </c>
      <c r="K3762" s="75" t="inlineStr">
        <is>
          <t>(법인카드)</t>
        </is>
      </c>
      <c r="M3762" s="9">
        <f>IF($A3762="","",VALUE($A3762&amp;"")*12+VALUE($B3762&amp;""))</f>
        <v/>
      </c>
      <c r="N3762" s="39">
        <f>IF($A3762="","",IFERROR(INDEX(부서매핑!$C$5:$C$504,MATCH($G3762&amp;"",부서매핑!$A$5:$A$504,0)),"미매핑"))</f>
        <v/>
      </c>
      <c r="O3762" s="9">
        <f>IF($A3762="","",N3762&amp;"|"&amp;$F3762)</f>
        <v/>
      </c>
      <c r="P3762" s="77">
        <f>IF($A3762="",0,$H3762*설정!$C$23)</f>
        <v/>
      </c>
      <c r="Q3762" s="39">
        <f>IF($A3762="","",IF(O3762&lt;&gt;원인분석!$C$9,"",IF(AND(M3762&gt;=원인분석!$C$10,M3762&lt;=원인분석!$C$11),"당기",IF(AND(M3762&gt;=원인분석!$C$12,M3762&lt;=원인분석!$C$13),"비교",""))))</f>
        <v/>
      </c>
      <c r="R3762" s="9">
        <f>IF(Q3762="","",$K3762&amp;"")</f>
        <v/>
      </c>
      <c r="S3762" s="9">
        <f>IF(Q3762="","",IF(MATCH(R3762,$R$5:$R$100000,0)=ROW()-4,ROW(),""))</f>
        <v/>
      </c>
      <c r="T3762" s="9">
        <f>IF(Q3762="당기",ABS(P3762)+ROW()/1000000000,"")</f>
        <v/>
      </c>
      <c r="U3762" s="9">
        <f>IF(Q3762="비교",ABS(P3762)+ROW()/1000000000,"")</f>
        <v/>
      </c>
      <c r="V3762" s="39">
        <f>IF($A3762="","",IF(COUNTIF(변동분석!$E$7:$E$506,O3762)&gt;0,"Y","N"))</f>
        <v/>
      </c>
      <c r="W3762" s="39">
        <f>IF($A3762="","",IFERROR(INDEX(계정매핑!$D$5:$D$504,MATCH($F3762&amp;"",계정매핑!$A$5:$A$504,0)),"미매핑"))</f>
        <v/>
      </c>
      <c r="X3762" s="9">
        <f>IF($A3762="","",$F3762&amp;"")</f>
        <v/>
      </c>
    </row>
    <row r="3763">
      <c r="A3763" s="75" t="n">
        <v>2026</v>
      </c>
      <c r="B3763" s="75" t="n">
        <v>8</v>
      </c>
      <c r="C3763" s="75" t="inlineStr">
        <is>
          <t>5100001419</t>
        </is>
      </c>
      <c r="D3763" s="78" t="n">
        <v>46240</v>
      </c>
      <c r="E3763" s="75" t="inlineStr">
        <is>
          <t>KR</t>
        </is>
      </c>
      <c r="F3763" s="75" t="n">
        <v>62701000</v>
      </c>
      <c r="G3763" s="75" t="n">
        <v>1502</v>
      </c>
      <c r="H3763" s="76" t="n">
        <v>40084000</v>
      </c>
      <c r="I3763" s="75" t="inlineStr">
        <is>
          <t>8월 광고 집행 - F애드</t>
        </is>
      </c>
      <c r="J3763" s="75" t="inlineStr">
        <is>
          <t>V10019</t>
        </is>
      </c>
      <c r="K3763" s="75" t="inlineStr">
        <is>
          <t>F애드</t>
        </is>
      </c>
      <c r="M3763" s="9">
        <f>IF($A3763="","",VALUE($A3763&amp;"")*12+VALUE($B3763&amp;""))</f>
        <v/>
      </c>
      <c r="N3763" s="39">
        <f>IF($A3763="","",IFERROR(INDEX(부서매핑!$C$5:$C$504,MATCH($G3763&amp;"",부서매핑!$A$5:$A$504,0)),"미매핑"))</f>
        <v/>
      </c>
      <c r="O3763" s="9">
        <f>IF($A3763="","",N3763&amp;"|"&amp;$F3763)</f>
        <v/>
      </c>
      <c r="P3763" s="77">
        <f>IF($A3763="",0,$H3763*설정!$C$23)</f>
        <v/>
      </c>
      <c r="Q3763" s="39">
        <f>IF($A3763="","",IF(O3763&lt;&gt;원인분석!$C$9,"",IF(AND(M3763&gt;=원인분석!$C$10,M3763&lt;=원인분석!$C$11),"당기",IF(AND(M3763&gt;=원인분석!$C$12,M3763&lt;=원인분석!$C$13),"비교",""))))</f>
        <v/>
      </c>
      <c r="R3763" s="9">
        <f>IF(Q3763="","",$K3763&amp;"")</f>
        <v/>
      </c>
      <c r="S3763" s="9">
        <f>IF(Q3763="","",IF(MATCH(R3763,$R$5:$R$100000,0)=ROW()-4,ROW(),""))</f>
        <v/>
      </c>
      <c r="T3763" s="9">
        <f>IF(Q3763="당기",ABS(P3763)+ROW()/1000000000,"")</f>
        <v/>
      </c>
      <c r="U3763" s="9">
        <f>IF(Q3763="비교",ABS(P3763)+ROW()/1000000000,"")</f>
        <v/>
      </c>
      <c r="V3763" s="39">
        <f>IF($A3763="","",IF(COUNTIF(변동분석!$E$7:$E$506,O3763)&gt;0,"Y","N"))</f>
        <v/>
      </c>
      <c r="W3763" s="39">
        <f>IF($A3763="","",IFERROR(INDEX(계정매핑!$D$5:$D$504,MATCH($F3763&amp;"",계정매핑!$A$5:$A$504,0)),"미매핑"))</f>
        <v/>
      </c>
      <c r="X3763" s="9">
        <f>IF($A3763="","",$F3763&amp;"")</f>
        <v/>
      </c>
    </row>
    <row r="3764">
      <c r="A3764" s="75" t="n">
        <v>2026</v>
      </c>
      <c r="B3764" s="75" t="n">
        <v>8</v>
      </c>
      <c r="C3764" s="75" t="inlineStr">
        <is>
          <t>5100001420</t>
        </is>
      </c>
      <c r="D3764" s="78" t="n">
        <v>46240</v>
      </c>
      <c r="E3764" s="75" t="inlineStr">
        <is>
          <t>KR</t>
        </is>
      </c>
      <c r="F3764" s="75" t="n">
        <v>62902000</v>
      </c>
      <c r="G3764" s="75" t="n">
        <v>1801</v>
      </c>
      <c r="H3764" s="76" t="n">
        <v>1834000</v>
      </c>
      <c r="I3764" s="75" t="inlineStr">
        <is>
          <t>8월 콜 위탁 수수료(건별)</t>
        </is>
      </c>
      <c r="J3764" s="75" t="inlineStr">
        <is>
          <t>V10013</t>
        </is>
      </c>
      <c r="K3764" s="75" t="inlineStr">
        <is>
          <t>J콜센터</t>
        </is>
      </c>
      <c r="M3764" s="9">
        <f>IF($A3764="","",VALUE($A3764&amp;"")*12+VALUE($B3764&amp;""))</f>
        <v/>
      </c>
      <c r="N3764" s="39">
        <f>IF($A3764="","",IFERROR(INDEX(부서매핑!$C$5:$C$504,MATCH($G3764&amp;"",부서매핑!$A$5:$A$504,0)),"미매핑"))</f>
        <v/>
      </c>
      <c r="O3764" s="9">
        <f>IF($A3764="","",N3764&amp;"|"&amp;$F3764)</f>
        <v/>
      </c>
      <c r="P3764" s="77">
        <f>IF($A3764="",0,$H3764*설정!$C$23)</f>
        <v/>
      </c>
      <c r="Q3764" s="39">
        <f>IF($A3764="","",IF(O3764&lt;&gt;원인분석!$C$9,"",IF(AND(M3764&gt;=원인분석!$C$10,M3764&lt;=원인분석!$C$11),"당기",IF(AND(M3764&gt;=원인분석!$C$12,M3764&lt;=원인분석!$C$13),"비교",""))))</f>
        <v/>
      </c>
      <c r="R3764" s="9">
        <f>IF(Q3764="","",$K3764&amp;"")</f>
        <v/>
      </c>
      <c r="S3764" s="9">
        <f>IF(Q3764="","",IF(MATCH(R3764,$R$5:$R$100000,0)=ROW()-4,ROW(),""))</f>
        <v/>
      </c>
      <c r="T3764" s="9">
        <f>IF(Q3764="당기",ABS(P3764)+ROW()/1000000000,"")</f>
        <v/>
      </c>
      <c r="U3764" s="9">
        <f>IF(Q3764="비교",ABS(P3764)+ROW()/1000000000,"")</f>
        <v/>
      </c>
      <c r="V3764" s="39">
        <f>IF($A3764="","",IF(COUNTIF(변동분석!$E$7:$E$506,O3764)&gt;0,"Y","N"))</f>
        <v/>
      </c>
      <c r="W3764" s="39">
        <f>IF($A3764="","",IFERROR(INDEX(계정매핑!$D$5:$D$504,MATCH($F3764&amp;"",계정매핑!$A$5:$A$504,0)),"미매핑"))</f>
        <v/>
      </c>
      <c r="X3764" s="9">
        <f>IF($A3764="","",$F3764&amp;"")</f>
        <v/>
      </c>
    </row>
    <row r="3765">
      <c r="A3765" s="75" t="n">
        <v>2026</v>
      </c>
      <c r="B3765" s="75" t="n">
        <v>8</v>
      </c>
      <c r="C3765" s="75" t="inlineStr">
        <is>
          <t>5100001421</t>
        </is>
      </c>
      <c r="D3765" s="78" t="n">
        <v>46240</v>
      </c>
      <c r="E3765" s="75" t="inlineStr">
        <is>
          <t>KR</t>
        </is>
      </c>
      <c r="F3765" s="75" t="n">
        <v>62902000</v>
      </c>
      <c r="G3765" s="75" t="n">
        <v>1801</v>
      </c>
      <c r="H3765" s="76" t="n">
        <v>1784000</v>
      </c>
      <c r="I3765" s="75" t="inlineStr">
        <is>
          <t>8월 콜 위탁 수수료(건별)</t>
        </is>
      </c>
      <c r="J3765" s="75" t="inlineStr">
        <is>
          <t>V10013</t>
        </is>
      </c>
      <c r="K3765" s="75" t="inlineStr">
        <is>
          <t>J콜센터</t>
        </is>
      </c>
      <c r="M3765" s="9">
        <f>IF($A3765="","",VALUE($A3765&amp;"")*12+VALUE($B3765&amp;""))</f>
        <v/>
      </c>
      <c r="N3765" s="39">
        <f>IF($A3765="","",IFERROR(INDEX(부서매핑!$C$5:$C$504,MATCH($G3765&amp;"",부서매핑!$A$5:$A$504,0)),"미매핑"))</f>
        <v/>
      </c>
      <c r="O3765" s="9">
        <f>IF($A3765="","",N3765&amp;"|"&amp;$F3765)</f>
        <v/>
      </c>
      <c r="P3765" s="77">
        <f>IF($A3765="",0,$H3765*설정!$C$23)</f>
        <v/>
      </c>
      <c r="Q3765" s="39">
        <f>IF($A3765="","",IF(O3765&lt;&gt;원인분석!$C$9,"",IF(AND(M3765&gt;=원인분석!$C$10,M3765&lt;=원인분석!$C$11),"당기",IF(AND(M3765&gt;=원인분석!$C$12,M3765&lt;=원인분석!$C$13),"비교",""))))</f>
        <v/>
      </c>
      <c r="R3765" s="9">
        <f>IF(Q3765="","",$K3765&amp;"")</f>
        <v/>
      </c>
      <c r="S3765" s="9">
        <f>IF(Q3765="","",IF(MATCH(R3765,$R$5:$R$100000,0)=ROW()-4,ROW(),""))</f>
        <v/>
      </c>
      <c r="T3765" s="9">
        <f>IF(Q3765="당기",ABS(P3765)+ROW()/1000000000,"")</f>
        <v/>
      </c>
      <c r="U3765" s="9">
        <f>IF(Q3765="비교",ABS(P3765)+ROW()/1000000000,"")</f>
        <v/>
      </c>
      <c r="V3765" s="39">
        <f>IF($A3765="","",IF(COUNTIF(변동분석!$E$7:$E$506,O3765)&gt;0,"Y","N"))</f>
        <v/>
      </c>
      <c r="W3765" s="39">
        <f>IF($A3765="","",IFERROR(INDEX(계정매핑!$D$5:$D$504,MATCH($F3765&amp;"",계정매핑!$A$5:$A$504,0)),"미매핑"))</f>
        <v/>
      </c>
      <c r="X3765" s="9">
        <f>IF($A3765="","",$F3765&amp;"")</f>
        <v/>
      </c>
    </row>
    <row r="3766">
      <c r="A3766" s="75" t="n">
        <v>2026</v>
      </c>
      <c r="B3766" s="75" t="n">
        <v>8</v>
      </c>
      <c r="C3766" s="75" t="inlineStr">
        <is>
          <t>5100001422</t>
        </is>
      </c>
      <c r="D3766" s="78" t="n">
        <v>46241</v>
      </c>
      <c r="E3766" s="75" t="inlineStr">
        <is>
          <t>KR</t>
        </is>
      </c>
      <c r="F3766" s="75" t="n">
        <v>62201000</v>
      </c>
      <c r="G3766" s="75" t="n">
        <v>1101</v>
      </c>
      <c r="H3766" s="76" t="n">
        <v>288000</v>
      </c>
      <c r="I3766" s="75" t="inlineStr">
        <is>
          <t>8월 통신요금 - P통신</t>
        </is>
      </c>
      <c r="J3766" s="75" t="inlineStr">
        <is>
          <t>V10011</t>
        </is>
      </c>
      <c r="K3766" s="75" t="inlineStr">
        <is>
          <t>P통신</t>
        </is>
      </c>
      <c r="M3766" s="9">
        <f>IF($A3766="","",VALUE($A3766&amp;"")*12+VALUE($B3766&amp;""))</f>
        <v/>
      </c>
      <c r="N3766" s="39">
        <f>IF($A3766="","",IFERROR(INDEX(부서매핑!$C$5:$C$504,MATCH($G3766&amp;"",부서매핑!$A$5:$A$504,0)),"미매핑"))</f>
        <v/>
      </c>
      <c r="O3766" s="9">
        <f>IF($A3766="","",N3766&amp;"|"&amp;$F3766)</f>
        <v/>
      </c>
      <c r="P3766" s="77">
        <f>IF($A3766="",0,$H3766*설정!$C$23)</f>
        <v/>
      </c>
      <c r="Q3766" s="39">
        <f>IF($A3766="","",IF(O3766&lt;&gt;원인분석!$C$9,"",IF(AND(M3766&gt;=원인분석!$C$10,M3766&lt;=원인분석!$C$11),"당기",IF(AND(M3766&gt;=원인분석!$C$12,M3766&lt;=원인분석!$C$13),"비교",""))))</f>
        <v/>
      </c>
      <c r="R3766" s="9">
        <f>IF(Q3766="","",$K3766&amp;"")</f>
        <v/>
      </c>
      <c r="S3766" s="9">
        <f>IF(Q3766="","",IF(MATCH(R3766,$R$5:$R$100000,0)=ROW()-4,ROW(),""))</f>
        <v/>
      </c>
      <c r="T3766" s="9">
        <f>IF(Q3766="당기",ABS(P3766)+ROW()/1000000000,"")</f>
        <v/>
      </c>
      <c r="U3766" s="9">
        <f>IF(Q3766="비교",ABS(P3766)+ROW()/1000000000,"")</f>
        <v/>
      </c>
      <c r="V3766" s="39">
        <f>IF($A3766="","",IF(COUNTIF(변동분석!$E$7:$E$506,O3766)&gt;0,"Y","N"))</f>
        <v/>
      </c>
      <c r="W3766" s="39">
        <f>IF($A3766="","",IFERROR(INDEX(계정매핑!$D$5:$D$504,MATCH($F3766&amp;"",계정매핑!$A$5:$A$504,0)),"미매핑"))</f>
        <v/>
      </c>
      <c r="X3766" s="9">
        <f>IF($A3766="","",$F3766&amp;"")</f>
        <v/>
      </c>
    </row>
    <row r="3767">
      <c r="A3767" s="75" t="n">
        <v>2026</v>
      </c>
      <c r="B3767" s="75" t="n">
        <v>8</v>
      </c>
      <c r="C3767" s="75" t="inlineStr">
        <is>
          <t>5100001423</t>
        </is>
      </c>
      <c r="D3767" s="78" t="n">
        <v>46241</v>
      </c>
      <c r="E3767" s="75" t="inlineStr">
        <is>
          <t>KR</t>
        </is>
      </c>
      <c r="F3767" s="75" t="n">
        <v>62301000</v>
      </c>
      <c r="G3767" s="75" t="n">
        <v>1101</v>
      </c>
      <c r="H3767" s="76" t="n">
        <v>249000</v>
      </c>
      <c r="I3767" s="75" t="inlineStr">
        <is>
          <t>8월 소모품 구입 - R문구</t>
        </is>
      </c>
      <c r="J3767" s="75" t="inlineStr">
        <is>
          <t>V10018</t>
        </is>
      </c>
      <c r="K3767" s="75" t="inlineStr">
        <is>
          <t>R문구</t>
        </is>
      </c>
      <c r="M3767" s="9">
        <f>IF($A3767="","",VALUE($A3767&amp;"")*12+VALUE($B3767&amp;""))</f>
        <v/>
      </c>
      <c r="N3767" s="39">
        <f>IF($A3767="","",IFERROR(INDEX(부서매핑!$C$5:$C$504,MATCH($G3767&amp;"",부서매핑!$A$5:$A$504,0)),"미매핑"))</f>
        <v/>
      </c>
      <c r="O3767" s="9">
        <f>IF($A3767="","",N3767&amp;"|"&amp;$F3767)</f>
        <v/>
      </c>
      <c r="P3767" s="77">
        <f>IF($A3767="",0,$H3767*설정!$C$23)</f>
        <v/>
      </c>
      <c r="Q3767" s="39">
        <f>IF($A3767="","",IF(O3767&lt;&gt;원인분석!$C$9,"",IF(AND(M3767&gt;=원인분석!$C$10,M3767&lt;=원인분석!$C$11),"당기",IF(AND(M3767&gt;=원인분석!$C$12,M3767&lt;=원인분석!$C$13),"비교",""))))</f>
        <v/>
      </c>
      <c r="R3767" s="9">
        <f>IF(Q3767="","",$K3767&amp;"")</f>
        <v/>
      </c>
      <c r="S3767" s="9">
        <f>IF(Q3767="","",IF(MATCH(R3767,$R$5:$R$100000,0)=ROW()-4,ROW(),""))</f>
        <v/>
      </c>
      <c r="T3767" s="9">
        <f>IF(Q3767="당기",ABS(P3767)+ROW()/1000000000,"")</f>
        <v/>
      </c>
      <c r="U3767" s="9">
        <f>IF(Q3767="비교",ABS(P3767)+ROW()/1000000000,"")</f>
        <v/>
      </c>
      <c r="V3767" s="39">
        <f>IF($A3767="","",IF(COUNTIF(변동분석!$E$7:$E$506,O3767)&gt;0,"Y","N"))</f>
        <v/>
      </c>
      <c r="W3767" s="39">
        <f>IF($A3767="","",IFERROR(INDEX(계정매핑!$D$5:$D$504,MATCH($F3767&amp;"",계정매핑!$A$5:$A$504,0)),"미매핑"))</f>
        <v/>
      </c>
      <c r="X3767" s="9">
        <f>IF($A3767="","",$F3767&amp;"")</f>
        <v/>
      </c>
    </row>
    <row r="3768">
      <c r="A3768" s="75" t="n">
        <v>2026</v>
      </c>
      <c r="B3768" s="75" t="n">
        <v>8</v>
      </c>
      <c r="C3768" s="75" t="inlineStr">
        <is>
          <t>5100001424</t>
        </is>
      </c>
      <c r="D3768" s="78" t="n">
        <v>46241</v>
      </c>
      <c r="E3768" s="75" t="inlineStr">
        <is>
          <t>KR</t>
        </is>
      </c>
      <c r="F3768" s="75" t="n">
        <v>62301000</v>
      </c>
      <c r="G3768" s="75" t="n">
        <v>1801</v>
      </c>
      <c r="H3768" s="76" t="n">
        <v>319000</v>
      </c>
      <c r="I3768" s="75" t="inlineStr">
        <is>
          <t>8월 소모품 구입 - R문구</t>
        </is>
      </c>
      <c r="J3768" s="75" t="inlineStr">
        <is>
          <t>V10018</t>
        </is>
      </c>
      <c r="K3768" s="75" t="inlineStr">
        <is>
          <t>R문구</t>
        </is>
      </c>
      <c r="M3768" s="9">
        <f>IF($A3768="","",VALUE($A3768&amp;"")*12+VALUE($B3768&amp;""))</f>
        <v/>
      </c>
      <c r="N3768" s="39">
        <f>IF($A3768="","",IFERROR(INDEX(부서매핑!$C$5:$C$504,MATCH($G3768&amp;"",부서매핑!$A$5:$A$504,0)),"미매핑"))</f>
        <v/>
      </c>
      <c r="O3768" s="9">
        <f>IF($A3768="","",N3768&amp;"|"&amp;$F3768)</f>
        <v/>
      </c>
      <c r="P3768" s="77">
        <f>IF($A3768="",0,$H3768*설정!$C$23)</f>
        <v/>
      </c>
      <c r="Q3768" s="39">
        <f>IF($A3768="","",IF(O3768&lt;&gt;원인분석!$C$9,"",IF(AND(M3768&gt;=원인분석!$C$10,M3768&lt;=원인분석!$C$11),"당기",IF(AND(M3768&gt;=원인분석!$C$12,M3768&lt;=원인분석!$C$13),"비교",""))))</f>
        <v/>
      </c>
      <c r="R3768" s="9">
        <f>IF(Q3768="","",$K3768&amp;"")</f>
        <v/>
      </c>
      <c r="S3768" s="9">
        <f>IF(Q3768="","",IF(MATCH(R3768,$R$5:$R$100000,0)=ROW()-4,ROW(),""))</f>
        <v/>
      </c>
      <c r="T3768" s="9">
        <f>IF(Q3768="당기",ABS(P3768)+ROW()/1000000000,"")</f>
        <v/>
      </c>
      <c r="U3768" s="9">
        <f>IF(Q3768="비교",ABS(P3768)+ROW()/1000000000,"")</f>
        <v/>
      </c>
      <c r="V3768" s="39">
        <f>IF($A3768="","",IF(COUNTIF(변동분석!$E$7:$E$506,O3768)&gt;0,"Y","N"))</f>
        <v/>
      </c>
      <c r="W3768" s="39">
        <f>IF($A3768="","",IFERROR(INDEX(계정매핑!$D$5:$D$504,MATCH($F3768&amp;"",계정매핑!$A$5:$A$504,0)),"미매핑"))</f>
        <v/>
      </c>
      <c r="X3768" s="9">
        <f>IF($A3768="","",$F3768&amp;"")</f>
        <v/>
      </c>
    </row>
    <row r="3769">
      <c r="A3769" s="75" t="n">
        <v>2026</v>
      </c>
      <c r="B3769" s="75" t="n">
        <v>8</v>
      </c>
      <c r="C3769" s="75" t="inlineStr">
        <is>
          <t>5100001425</t>
        </is>
      </c>
      <c r="D3769" s="78" t="n">
        <v>46241</v>
      </c>
      <c r="E3769" s="75" t="inlineStr">
        <is>
          <t>KR</t>
        </is>
      </c>
      <c r="F3769" s="75" t="n">
        <v>62501000</v>
      </c>
      <c r="G3769" s="75" t="n">
        <v>1501</v>
      </c>
      <c r="H3769" s="76" t="n">
        <v>250000</v>
      </c>
      <c r="I3769" s="75" t="inlineStr">
        <is>
          <t>8월 회의 다과 - (법인카드)</t>
        </is>
      </c>
      <c r="J3769" s="75" t="inlineStr">
        <is>
          <t>V10008</t>
        </is>
      </c>
      <c r="K3769" s="75" t="inlineStr">
        <is>
          <t>(법인카드)</t>
        </is>
      </c>
      <c r="M3769" s="9">
        <f>IF($A3769="","",VALUE($A3769&amp;"")*12+VALUE($B3769&amp;""))</f>
        <v/>
      </c>
      <c r="N3769" s="39">
        <f>IF($A3769="","",IFERROR(INDEX(부서매핑!$C$5:$C$504,MATCH($G3769&amp;"",부서매핑!$A$5:$A$504,0)),"미매핑"))</f>
        <v/>
      </c>
      <c r="O3769" s="9">
        <f>IF($A3769="","",N3769&amp;"|"&amp;$F3769)</f>
        <v/>
      </c>
      <c r="P3769" s="77">
        <f>IF($A3769="",0,$H3769*설정!$C$23)</f>
        <v/>
      </c>
      <c r="Q3769" s="39">
        <f>IF($A3769="","",IF(O3769&lt;&gt;원인분석!$C$9,"",IF(AND(M3769&gt;=원인분석!$C$10,M3769&lt;=원인분석!$C$11),"당기",IF(AND(M3769&gt;=원인분석!$C$12,M3769&lt;=원인분석!$C$13),"비교",""))))</f>
        <v/>
      </c>
      <c r="R3769" s="9">
        <f>IF(Q3769="","",$K3769&amp;"")</f>
        <v/>
      </c>
      <c r="S3769" s="9">
        <f>IF(Q3769="","",IF(MATCH(R3769,$R$5:$R$100000,0)=ROW()-4,ROW(),""))</f>
        <v/>
      </c>
      <c r="T3769" s="9">
        <f>IF(Q3769="당기",ABS(P3769)+ROW()/1000000000,"")</f>
        <v/>
      </c>
      <c r="U3769" s="9">
        <f>IF(Q3769="비교",ABS(P3769)+ROW()/1000000000,"")</f>
        <v/>
      </c>
      <c r="V3769" s="39">
        <f>IF($A3769="","",IF(COUNTIF(변동분석!$E$7:$E$506,O3769)&gt;0,"Y","N"))</f>
        <v/>
      </c>
      <c r="W3769" s="39">
        <f>IF($A3769="","",IFERROR(INDEX(계정매핑!$D$5:$D$504,MATCH($F3769&amp;"",계정매핑!$A$5:$A$504,0)),"미매핑"))</f>
        <v/>
      </c>
      <c r="X3769" s="9">
        <f>IF($A3769="","",$F3769&amp;"")</f>
        <v/>
      </c>
    </row>
    <row r="3770">
      <c r="A3770" s="75" t="n">
        <v>2026</v>
      </c>
      <c r="B3770" s="75" t="n">
        <v>8</v>
      </c>
      <c r="C3770" s="75" t="inlineStr">
        <is>
          <t>5100001426</t>
        </is>
      </c>
      <c r="D3770" s="78" t="n">
        <v>46241</v>
      </c>
      <c r="E3770" s="75" t="inlineStr">
        <is>
          <t>KR</t>
        </is>
      </c>
      <c r="F3770" s="75" t="n">
        <v>62901000</v>
      </c>
      <c r="G3770" s="75" t="n">
        <v>1201</v>
      </c>
      <c r="H3770" s="76" t="n">
        <v>10578000</v>
      </c>
      <c r="I3770" s="75" t="inlineStr">
        <is>
          <t>8월 자문 수수료 - W컨설팅</t>
        </is>
      </c>
      <c r="J3770" s="75" t="inlineStr">
        <is>
          <t>V10009</t>
        </is>
      </c>
      <c r="K3770" s="75" t="inlineStr">
        <is>
          <t>W컨설팅</t>
        </is>
      </c>
      <c r="M3770" s="9">
        <f>IF($A3770="","",VALUE($A3770&amp;"")*12+VALUE($B3770&amp;""))</f>
        <v/>
      </c>
      <c r="N3770" s="39">
        <f>IF($A3770="","",IFERROR(INDEX(부서매핑!$C$5:$C$504,MATCH($G3770&amp;"",부서매핑!$A$5:$A$504,0)),"미매핑"))</f>
        <v/>
      </c>
      <c r="O3770" s="9">
        <f>IF($A3770="","",N3770&amp;"|"&amp;$F3770)</f>
        <v/>
      </c>
      <c r="P3770" s="77">
        <f>IF($A3770="",0,$H3770*설정!$C$23)</f>
        <v/>
      </c>
      <c r="Q3770" s="39">
        <f>IF($A3770="","",IF(O3770&lt;&gt;원인분석!$C$9,"",IF(AND(M3770&gt;=원인분석!$C$10,M3770&lt;=원인분석!$C$11),"당기",IF(AND(M3770&gt;=원인분석!$C$12,M3770&lt;=원인분석!$C$13),"비교",""))))</f>
        <v/>
      </c>
      <c r="R3770" s="9">
        <f>IF(Q3770="","",$K3770&amp;"")</f>
        <v/>
      </c>
      <c r="S3770" s="9">
        <f>IF(Q3770="","",IF(MATCH(R3770,$R$5:$R$100000,0)=ROW()-4,ROW(),""))</f>
        <v/>
      </c>
      <c r="T3770" s="9">
        <f>IF(Q3770="당기",ABS(P3770)+ROW()/1000000000,"")</f>
        <v/>
      </c>
      <c r="U3770" s="9">
        <f>IF(Q3770="비교",ABS(P3770)+ROW()/1000000000,"")</f>
        <v/>
      </c>
      <c r="V3770" s="39">
        <f>IF($A3770="","",IF(COUNTIF(변동분석!$E$7:$E$506,O3770)&gt;0,"Y","N"))</f>
        <v/>
      </c>
      <c r="W3770" s="39">
        <f>IF($A3770="","",IFERROR(INDEX(계정매핑!$D$5:$D$504,MATCH($F3770&amp;"",계정매핑!$A$5:$A$504,0)),"미매핑"))</f>
        <v/>
      </c>
      <c r="X3770" s="9">
        <f>IF($A3770="","",$F3770&amp;"")</f>
        <v/>
      </c>
    </row>
    <row r="3771">
      <c r="A3771" s="75" t="n">
        <v>2026</v>
      </c>
      <c r="B3771" s="75" t="n">
        <v>8</v>
      </c>
      <c r="C3771" s="75" t="inlineStr">
        <is>
          <t>5100001427</t>
        </is>
      </c>
      <c r="D3771" s="78" t="n">
        <v>46241</v>
      </c>
      <c r="E3771" s="75" t="inlineStr">
        <is>
          <t>KR</t>
        </is>
      </c>
      <c r="F3771" s="75" t="n">
        <v>62902000</v>
      </c>
      <c r="G3771" s="75" t="n">
        <v>1101</v>
      </c>
      <c r="H3771" s="76" t="n">
        <v>2333000</v>
      </c>
      <c r="I3771" s="75" t="inlineStr">
        <is>
          <t>8월 업무 위탁 수수료 - J콜센터</t>
        </is>
      </c>
      <c r="J3771" s="75" t="inlineStr">
        <is>
          <t>V10013</t>
        </is>
      </c>
      <c r="K3771" s="75" t="inlineStr">
        <is>
          <t>J콜센터</t>
        </is>
      </c>
      <c r="M3771" s="9">
        <f>IF($A3771="","",VALUE($A3771&amp;"")*12+VALUE($B3771&amp;""))</f>
        <v/>
      </c>
      <c r="N3771" s="39">
        <f>IF($A3771="","",IFERROR(INDEX(부서매핑!$C$5:$C$504,MATCH($G3771&amp;"",부서매핑!$A$5:$A$504,0)),"미매핑"))</f>
        <v/>
      </c>
      <c r="O3771" s="9">
        <f>IF($A3771="","",N3771&amp;"|"&amp;$F3771)</f>
        <v/>
      </c>
      <c r="P3771" s="77">
        <f>IF($A3771="",0,$H3771*설정!$C$23)</f>
        <v/>
      </c>
      <c r="Q3771" s="39">
        <f>IF($A3771="","",IF(O3771&lt;&gt;원인분석!$C$9,"",IF(AND(M3771&gt;=원인분석!$C$10,M3771&lt;=원인분석!$C$11),"당기",IF(AND(M3771&gt;=원인분석!$C$12,M3771&lt;=원인분석!$C$13),"비교",""))))</f>
        <v/>
      </c>
      <c r="R3771" s="9">
        <f>IF(Q3771="","",$K3771&amp;"")</f>
        <v/>
      </c>
      <c r="S3771" s="9">
        <f>IF(Q3771="","",IF(MATCH(R3771,$R$5:$R$100000,0)=ROW()-4,ROW(),""))</f>
        <v/>
      </c>
      <c r="T3771" s="9">
        <f>IF(Q3771="당기",ABS(P3771)+ROW()/1000000000,"")</f>
        <v/>
      </c>
      <c r="U3771" s="9">
        <f>IF(Q3771="비교",ABS(P3771)+ROW()/1000000000,"")</f>
        <v/>
      </c>
      <c r="V3771" s="39">
        <f>IF($A3771="","",IF(COUNTIF(변동분석!$E$7:$E$506,O3771)&gt;0,"Y","N"))</f>
        <v/>
      </c>
      <c r="W3771" s="39">
        <f>IF($A3771="","",IFERROR(INDEX(계정매핑!$D$5:$D$504,MATCH($F3771&amp;"",계정매핑!$A$5:$A$504,0)),"미매핑"))</f>
        <v/>
      </c>
      <c r="X3771" s="9">
        <f>IF($A3771="","",$F3771&amp;"")</f>
        <v/>
      </c>
    </row>
    <row r="3772">
      <c r="A3772" s="75" t="n">
        <v>2026</v>
      </c>
      <c r="B3772" s="75" t="n">
        <v>8</v>
      </c>
      <c r="C3772" s="75" t="inlineStr">
        <is>
          <t>5100001428</t>
        </is>
      </c>
      <c r="D3772" s="78" t="n">
        <v>46242</v>
      </c>
      <c r="E3772" s="75" t="inlineStr">
        <is>
          <t>KR</t>
        </is>
      </c>
      <c r="F3772" s="75" t="n">
        <v>62101000</v>
      </c>
      <c r="G3772" s="75" t="n">
        <v>1401</v>
      </c>
      <c r="H3772" s="76" t="n">
        <v>246000</v>
      </c>
      <c r="I3772" s="75" t="inlineStr">
        <is>
          <t>8월 국내출장 - L여행사</t>
        </is>
      </c>
      <c r="J3772" s="75" t="inlineStr">
        <is>
          <t>V10014</t>
        </is>
      </c>
      <c r="K3772" s="75" t="inlineStr">
        <is>
          <t>L여행사</t>
        </is>
      </c>
      <c r="M3772" s="9">
        <f>IF($A3772="","",VALUE($A3772&amp;"")*12+VALUE($B3772&amp;""))</f>
        <v/>
      </c>
      <c r="N3772" s="39">
        <f>IF($A3772="","",IFERROR(INDEX(부서매핑!$C$5:$C$504,MATCH($G3772&amp;"",부서매핑!$A$5:$A$504,0)),"미매핑"))</f>
        <v/>
      </c>
      <c r="O3772" s="9">
        <f>IF($A3772="","",N3772&amp;"|"&amp;$F3772)</f>
        <v/>
      </c>
      <c r="P3772" s="77">
        <f>IF($A3772="",0,$H3772*설정!$C$23)</f>
        <v/>
      </c>
      <c r="Q3772" s="39">
        <f>IF($A3772="","",IF(O3772&lt;&gt;원인분석!$C$9,"",IF(AND(M3772&gt;=원인분석!$C$10,M3772&lt;=원인분석!$C$11),"당기",IF(AND(M3772&gt;=원인분석!$C$12,M3772&lt;=원인분석!$C$13),"비교",""))))</f>
        <v/>
      </c>
      <c r="R3772" s="9">
        <f>IF(Q3772="","",$K3772&amp;"")</f>
        <v/>
      </c>
      <c r="S3772" s="9">
        <f>IF(Q3772="","",IF(MATCH(R3772,$R$5:$R$100000,0)=ROW()-4,ROW(),""))</f>
        <v/>
      </c>
      <c r="T3772" s="9">
        <f>IF(Q3772="당기",ABS(P3772)+ROW()/1000000000,"")</f>
        <v/>
      </c>
      <c r="U3772" s="9">
        <f>IF(Q3772="비교",ABS(P3772)+ROW()/1000000000,"")</f>
        <v/>
      </c>
      <c r="V3772" s="39">
        <f>IF($A3772="","",IF(COUNTIF(변동분석!$E$7:$E$506,O3772)&gt;0,"Y","N"))</f>
        <v/>
      </c>
      <c r="W3772" s="39">
        <f>IF($A3772="","",IFERROR(INDEX(계정매핑!$D$5:$D$504,MATCH($F3772&amp;"",계정매핑!$A$5:$A$504,0)),"미매핑"))</f>
        <v/>
      </c>
      <c r="X3772" s="9">
        <f>IF($A3772="","",$F3772&amp;"")</f>
        <v/>
      </c>
    </row>
    <row r="3773">
      <c r="A3773" s="75" t="n">
        <v>2026</v>
      </c>
      <c r="B3773" s="75" t="n">
        <v>8</v>
      </c>
      <c r="C3773" s="75" t="inlineStr">
        <is>
          <t>5100001429</t>
        </is>
      </c>
      <c r="D3773" s="78" t="n">
        <v>46242</v>
      </c>
      <c r="E3773" s="75" t="inlineStr">
        <is>
          <t>KR</t>
        </is>
      </c>
      <c r="F3773" s="75" t="n">
        <v>62102000</v>
      </c>
      <c r="G3773" s="75" t="n">
        <v>1501</v>
      </c>
      <c r="H3773" s="76" t="n">
        <v>115000</v>
      </c>
      <c r="I3773" s="75" t="inlineStr">
        <is>
          <t>8월 해외출장 - M항공</t>
        </is>
      </c>
      <c r="J3773" s="75" t="inlineStr">
        <is>
          <t>V10001</t>
        </is>
      </c>
      <c r="K3773" s="75" t="inlineStr">
        <is>
          <t>M항공</t>
        </is>
      </c>
      <c r="M3773" s="9">
        <f>IF($A3773="","",VALUE($A3773&amp;"")*12+VALUE($B3773&amp;""))</f>
        <v/>
      </c>
      <c r="N3773" s="39">
        <f>IF($A3773="","",IFERROR(INDEX(부서매핑!$C$5:$C$504,MATCH($G3773&amp;"",부서매핑!$A$5:$A$504,0)),"미매핑"))</f>
        <v/>
      </c>
      <c r="O3773" s="9">
        <f>IF($A3773="","",N3773&amp;"|"&amp;$F3773)</f>
        <v/>
      </c>
      <c r="P3773" s="77">
        <f>IF($A3773="",0,$H3773*설정!$C$23)</f>
        <v/>
      </c>
      <c r="Q3773" s="39">
        <f>IF($A3773="","",IF(O3773&lt;&gt;원인분석!$C$9,"",IF(AND(M3773&gt;=원인분석!$C$10,M3773&lt;=원인분석!$C$11),"당기",IF(AND(M3773&gt;=원인분석!$C$12,M3773&lt;=원인분석!$C$13),"비교",""))))</f>
        <v/>
      </c>
      <c r="R3773" s="9">
        <f>IF(Q3773="","",$K3773&amp;"")</f>
        <v/>
      </c>
      <c r="S3773" s="9">
        <f>IF(Q3773="","",IF(MATCH(R3773,$R$5:$R$100000,0)=ROW()-4,ROW(),""))</f>
        <v/>
      </c>
      <c r="T3773" s="9">
        <f>IF(Q3773="당기",ABS(P3773)+ROW()/1000000000,"")</f>
        <v/>
      </c>
      <c r="U3773" s="9">
        <f>IF(Q3773="비교",ABS(P3773)+ROW()/1000000000,"")</f>
        <v/>
      </c>
      <c r="V3773" s="39">
        <f>IF($A3773="","",IF(COUNTIF(변동분석!$E$7:$E$506,O3773)&gt;0,"Y","N"))</f>
        <v/>
      </c>
      <c r="W3773" s="39">
        <f>IF($A3773="","",IFERROR(INDEX(계정매핑!$D$5:$D$504,MATCH($F3773&amp;"",계정매핑!$A$5:$A$504,0)),"미매핑"))</f>
        <v/>
      </c>
      <c r="X3773" s="9">
        <f>IF($A3773="","",$F3773&amp;"")</f>
        <v/>
      </c>
    </row>
    <row r="3774">
      <c r="A3774" s="75" t="n">
        <v>2026</v>
      </c>
      <c r="B3774" s="75" t="n">
        <v>8</v>
      </c>
      <c r="C3774" s="75" t="inlineStr">
        <is>
          <t>5100001430</t>
        </is>
      </c>
      <c r="D3774" s="78" t="n">
        <v>46242</v>
      </c>
      <c r="E3774" s="75" t="inlineStr">
        <is>
          <t>KR</t>
        </is>
      </c>
      <c r="F3774" s="75" t="n">
        <v>62102000</v>
      </c>
      <c r="G3774" s="75" t="n">
        <v>1801</v>
      </c>
      <c r="H3774" s="76" t="n">
        <v>39000</v>
      </c>
      <c r="I3774" s="75" t="inlineStr">
        <is>
          <t>8월 해외출장 - M항공</t>
        </is>
      </c>
      <c r="J3774" s="75" t="inlineStr">
        <is>
          <t>V10001</t>
        </is>
      </c>
      <c r="K3774" s="75" t="inlineStr">
        <is>
          <t>M항공</t>
        </is>
      </c>
      <c r="M3774" s="9">
        <f>IF($A3774="","",VALUE($A3774&amp;"")*12+VALUE($B3774&amp;""))</f>
        <v/>
      </c>
      <c r="N3774" s="39">
        <f>IF($A3774="","",IFERROR(INDEX(부서매핑!$C$5:$C$504,MATCH($G3774&amp;"",부서매핑!$A$5:$A$504,0)),"미매핑"))</f>
        <v/>
      </c>
      <c r="O3774" s="9">
        <f>IF($A3774="","",N3774&amp;"|"&amp;$F3774)</f>
        <v/>
      </c>
      <c r="P3774" s="77">
        <f>IF($A3774="",0,$H3774*설정!$C$23)</f>
        <v/>
      </c>
      <c r="Q3774" s="39">
        <f>IF($A3774="","",IF(O3774&lt;&gt;원인분석!$C$9,"",IF(AND(M3774&gt;=원인분석!$C$10,M3774&lt;=원인분석!$C$11),"당기",IF(AND(M3774&gt;=원인분석!$C$12,M3774&lt;=원인분석!$C$13),"비교",""))))</f>
        <v/>
      </c>
      <c r="R3774" s="9">
        <f>IF(Q3774="","",$K3774&amp;"")</f>
        <v/>
      </c>
      <c r="S3774" s="9">
        <f>IF(Q3774="","",IF(MATCH(R3774,$R$5:$R$100000,0)=ROW()-4,ROW(),""))</f>
        <v/>
      </c>
      <c r="T3774" s="9">
        <f>IF(Q3774="당기",ABS(P3774)+ROW()/1000000000,"")</f>
        <v/>
      </c>
      <c r="U3774" s="9">
        <f>IF(Q3774="비교",ABS(P3774)+ROW()/1000000000,"")</f>
        <v/>
      </c>
      <c r="V3774" s="39">
        <f>IF($A3774="","",IF(COUNTIF(변동분석!$E$7:$E$506,O3774)&gt;0,"Y","N"))</f>
        <v/>
      </c>
      <c r="W3774" s="39">
        <f>IF($A3774="","",IFERROR(INDEX(계정매핑!$D$5:$D$504,MATCH($F3774&amp;"",계정매핑!$A$5:$A$504,0)),"미매핑"))</f>
        <v/>
      </c>
      <c r="X3774" s="9">
        <f>IF($A3774="","",$F3774&amp;"")</f>
        <v/>
      </c>
    </row>
    <row r="3775">
      <c r="A3775" s="75" t="n">
        <v>2026</v>
      </c>
      <c r="B3775" s="75" t="n">
        <v>8</v>
      </c>
      <c r="C3775" s="75" t="inlineStr">
        <is>
          <t>5100001431</t>
        </is>
      </c>
      <c r="D3775" s="78" t="n">
        <v>46242</v>
      </c>
      <c r="E3775" s="75" t="inlineStr">
        <is>
          <t>KR</t>
        </is>
      </c>
      <c r="F3775" s="75" t="n">
        <v>62501000</v>
      </c>
      <c r="G3775" s="75" t="n">
        <v>1201</v>
      </c>
      <c r="H3775" s="76" t="n">
        <v>159000</v>
      </c>
      <c r="I3775" s="75" t="inlineStr">
        <is>
          <t>8월 회의 다과 - (법인카드)</t>
        </is>
      </c>
      <c r="J3775" s="75" t="inlineStr">
        <is>
          <t>V10008</t>
        </is>
      </c>
      <c r="K3775" s="75" t="inlineStr">
        <is>
          <t>(법인카드)</t>
        </is>
      </c>
      <c r="M3775" s="9">
        <f>IF($A3775="","",VALUE($A3775&amp;"")*12+VALUE($B3775&amp;""))</f>
        <v/>
      </c>
      <c r="N3775" s="39">
        <f>IF($A3775="","",IFERROR(INDEX(부서매핑!$C$5:$C$504,MATCH($G3775&amp;"",부서매핑!$A$5:$A$504,0)),"미매핑"))</f>
        <v/>
      </c>
      <c r="O3775" s="9">
        <f>IF($A3775="","",N3775&amp;"|"&amp;$F3775)</f>
        <v/>
      </c>
      <c r="P3775" s="77">
        <f>IF($A3775="",0,$H3775*설정!$C$23)</f>
        <v/>
      </c>
      <c r="Q3775" s="39">
        <f>IF($A3775="","",IF(O3775&lt;&gt;원인분석!$C$9,"",IF(AND(M3775&gt;=원인분석!$C$10,M3775&lt;=원인분석!$C$11),"당기",IF(AND(M3775&gt;=원인분석!$C$12,M3775&lt;=원인분석!$C$13),"비교",""))))</f>
        <v/>
      </c>
      <c r="R3775" s="9">
        <f>IF(Q3775="","",$K3775&amp;"")</f>
        <v/>
      </c>
      <c r="S3775" s="9">
        <f>IF(Q3775="","",IF(MATCH(R3775,$R$5:$R$100000,0)=ROW()-4,ROW(),""))</f>
        <v/>
      </c>
      <c r="T3775" s="9">
        <f>IF(Q3775="당기",ABS(P3775)+ROW()/1000000000,"")</f>
        <v/>
      </c>
      <c r="U3775" s="9">
        <f>IF(Q3775="비교",ABS(P3775)+ROW()/1000000000,"")</f>
        <v/>
      </c>
      <c r="V3775" s="39">
        <f>IF($A3775="","",IF(COUNTIF(변동분석!$E$7:$E$506,O3775)&gt;0,"Y","N"))</f>
        <v/>
      </c>
      <c r="W3775" s="39">
        <f>IF($A3775="","",IFERROR(INDEX(계정매핑!$D$5:$D$504,MATCH($F3775&amp;"",계정매핑!$A$5:$A$504,0)),"미매핑"))</f>
        <v/>
      </c>
      <c r="X3775" s="9">
        <f>IF($A3775="","",$F3775&amp;"")</f>
        <v/>
      </c>
    </row>
    <row r="3776">
      <c r="A3776" s="75" t="n">
        <v>2026</v>
      </c>
      <c r="B3776" s="75" t="n">
        <v>8</v>
      </c>
      <c r="C3776" s="75" t="inlineStr">
        <is>
          <t>5100001432</t>
        </is>
      </c>
      <c r="D3776" s="78" t="n">
        <v>46242</v>
      </c>
      <c r="E3776" s="75" t="inlineStr">
        <is>
          <t>KR</t>
        </is>
      </c>
      <c r="F3776" s="75" t="n">
        <v>62501000</v>
      </c>
      <c r="G3776" s="75" t="n">
        <v>1401</v>
      </c>
      <c r="H3776" s="76" t="n">
        <v>170000</v>
      </c>
      <c r="I3776" s="75" t="inlineStr">
        <is>
          <t>8월 회의 다과 - (법인카드)</t>
        </is>
      </c>
      <c r="J3776" s="75" t="inlineStr">
        <is>
          <t>V10008</t>
        </is>
      </c>
      <c r="K3776" s="75" t="inlineStr">
        <is>
          <t>(법인카드)</t>
        </is>
      </c>
      <c r="M3776" s="9">
        <f>IF($A3776="","",VALUE($A3776&amp;"")*12+VALUE($B3776&amp;""))</f>
        <v/>
      </c>
      <c r="N3776" s="39">
        <f>IF($A3776="","",IFERROR(INDEX(부서매핑!$C$5:$C$504,MATCH($G3776&amp;"",부서매핑!$A$5:$A$504,0)),"미매핑"))</f>
        <v/>
      </c>
      <c r="O3776" s="9">
        <f>IF($A3776="","",N3776&amp;"|"&amp;$F3776)</f>
        <v/>
      </c>
      <c r="P3776" s="77">
        <f>IF($A3776="",0,$H3776*설정!$C$23)</f>
        <v/>
      </c>
      <c r="Q3776" s="39">
        <f>IF($A3776="","",IF(O3776&lt;&gt;원인분석!$C$9,"",IF(AND(M3776&gt;=원인분석!$C$10,M3776&lt;=원인분석!$C$11),"당기",IF(AND(M3776&gt;=원인분석!$C$12,M3776&lt;=원인분석!$C$13),"비교",""))))</f>
        <v/>
      </c>
      <c r="R3776" s="9">
        <f>IF(Q3776="","",$K3776&amp;"")</f>
        <v/>
      </c>
      <c r="S3776" s="9">
        <f>IF(Q3776="","",IF(MATCH(R3776,$R$5:$R$100000,0)=ROW()-4,ROW(),""))</f>
        <v/>
      </c>
      <c r="T3776" s="9">
        <f>IF(Q3776="당기",ABS(P3776)+ROW()/1000000000,"")</f>
        <v/>
      </c>
      <c r="U3776" s="9">
        <f>IF(Q3776="비교",ABS(P3776)+ROW()/1000000000,"")</f>
        <v/>
      </c>
      <c r="V3776" s="39">
        <f>IF($A3776="","",IF(COUNTIF(변동분석!$E$7:$E$506,O3776)&gt;0,"Y","N"))</f>
        <v/>
      </c>
      <c r="W3776" s="39">
        <f>IF($A3776="","",IFERROR(INDEX(계정매핑!$D$5:$D$504,MATCH($F3776&amp;"",계정매핑!$A$5:$A$504,0)),"미매핑"))</f>
        <v/>
      </c>
      <c r="X3776" s="9">
        <f>IF($A3776="","",$F3776&amp;"")</f>
        <v/>
      </c>
    </row>
    <row r="3777">
      <c r="A3777" s="75" t="n">
        <v>2026</v>
      </c>
      <c r="B3777" s="75" t="n">
        <v>8</v>
      </c>
      <c r="C3777" s="75" t="inlineStr">
        <is>
          <t>5100001433</t>
        </is>
      </c>
      <c r="D3777" s="78" t="n">
        <v>46242</v>
      </c>
      <c r="E3777" s="75" t="inlineStr">
        <is>
          <t>KR</t>
        </is>
      </c>
      <c r="F3777" s="75" t="n">
        <v>62601000</v>
      </c>
      <c r="G3777" s="75" t="n">
        <v>1101</v>
      </c>
      <c r="H3777" s="76" t="n">
        <v>2498000</v>
      </c>
      <c r="I3777" s="75" t="inlineStr">
        <is>
          <t>8월 업무추진 - (법인카드)</t>
        </is>
      </c>
      <c r="J3777" s="75" t="inlineStr">
        <is>
          <t>V10008</t>
        </is>
      </c>
      <c r="K3777" s="75" t="inlineStr">
        <is>
          <t>(법인카드)</t>
        </is>
      </c>
      <c r="M3777" s="9">
        <f>IF($A3777="","",VALUE($A3777&amp;"")*12+VALUE($B3777&amp;""))</f>
        <v/>
      </c>
      <c r="N3777" s="39">
        <f>IF($A3777="","",IFERROR(INDEX(부서매핑!$C$5:$C$504,MATCH($G3777&amp;"",부서매핑!$A$5:$A$504,0)),"미매핑"))</f>
        <v/>
      </c>
      <c r="O3777" s="9">
        <f>IF($A3777="","",N3777&amp;"|"&amp;$F3777)</f>
        <v/>
      </c>
      <c r="P3777" s="77">
        <f>IF($A3777="",0,$H3777*설정!$C$23)</f>
        <v/>
      </c>
      <c r="Q3777" s="39">
        <f>IF($A3777="","",IF(O3777&lt;&gt;원인분석!$C$9,"",IF(AND(M3777&gt;=원인분석!$C$10,M3777&lt;=원인분석!$C$11),"당기",IF(AND(M3777&gt;=원인분석!$C$12,M3777&lt;=원인분석!$C$13),"비교",""))))</f>
        <v/>
      </c>
      <c r="R3777" s="9">
        <f>IF(Q3777="","",$K3777&amp;"")</f>
        <v/>
      </c>
      <c r="S3777" s="9">
        <f>IF(Q3777="","",IF(MATCH(R3777,$R$5:$R$100000,0)=ROW()-4,ROW(),""))</f>
        <v/>
      </c>
      <c r="T3777" s="9">
        <f>IF(Q3777="당기",ABS(P3777)+ROW()/1000000000,"")</f>
        <v/>
      </c>
      <c r="U3777" s="9">
        <f>IF(Q3777="비교",ABS(P3777)+ROW()/1000000000,"")</f>
        <v/>
      </c>
      <c r="V3777" s="39">
        <f>IF($A3777="","",IF(COUNTIF(변동분석!$E$7:$E$506,O3777)&gt;0,"Y","N"))</f>
        <v/>
      </c>
      <c r="W3777" s="39">
        <f>IF($A3777="","",IFERROR(INDEX(계정매핑!$D$5:$D$504,MATCH($F3777&amp;"",계정매핑!$A$5:$A$504,0)),"미매핑"))</f>
        <v/>
      </c>
      <c r="X3777" s="9">
        <f>IF($A3777="","",$F3777&amp;"")</f>
        <v/>
      </c>
    </row>
    <row r="3778">
      <c r="A3778" s="75" t="n">
        <v>2026</v>
      </c>
      <c r="B3778" s="75" t="n">
        <v>8</v>
      </c>
      <c r="C3778" s="75" t="inlineStr">
        <is>
          <t>5100001434</t>
        </is>
      </c>
      <c r="D3778" s="78" t="n">
        <v>46242</v>
      </c>
      <c r="E3778" s="75" t="inlineStr">
        <is>
          <t>KR</t>
        </is>
      </c>
      <c r="F3778" s="75" t="n">
        <v>62801000</v>
      </c>
      <c r="G3778" s="75" t="n">
        <v>1301</v>
      </c>
      <c r="H3778" s="76" t="n">
        <v>4143000</v>
      </c>
      <c r="I3778" s="75" t="inlineStr">
        <is>
          <t>8월 사내교육 - (사내강사료)</t>
        </is>
      </c>
      <c r="J3778" s="75" t="inlineStr">
        <is>
          <t>V10020</t>
        </is>
      </c>
      <c r="K3778" s="75" t="inlineStr">
        <is>
          <t>(사내강사료)</t>
        </is>
      </c>
      <c r="M3778" s="9">
        <f>IF($A3778="","",VALUE($A3778&amp;"")*12+VALUE($B3778&amp;""))</f>
        <v/>
      </c>
      <c r="N3778" s="39">
        <f>IF($A3778="","",IFERROR(INDEX(부서매핑!$C$5:$C$504,MATCH($G3778&amp;"",부서매핑!$A$5:$A$504,0)),"미매핑"))</f>
        <v/>
      </c>
      <c r="O3778" s="9">
        <f>IF($A3778="","",N3778&amp;"|"&amp;$F3778)</f>
        <v/>
      </c>
      <c r="P3778" s="77">
        <f>IF($A3778="",0,$H3778*설정!$C$23)</f>
        <v/>
      </c>
      <c r="Q3778" s="39">
        <f>IF($A3778="","",IF(O3778&lt;&gt;원인분석!$C$9,"",IF(AND(M3778&gt;=원인분석!$C$10,M3778&lt;=원인분석!$C$11),"당기",IF(AND(M3778&gt;=원인분석!$C$12,M3778&lt;=원인분석!$C$13),"비교",""))))</f>
        <v/>
      </c>
      <c r="R3778" s="9">
        <f>IF(Q3778="","",$K3778&amp;"")</f>
        <v/>
      </c>
      <c r="S3778" s="9">
        <f>IF(Q3778="","",IF(MATCH(R3778,$R$5:$R$100000,0)=ROW()-4,ROW(),""))</f>
        <v/>
      </c>
      <c r="T3778" s="9">
        <f>IF(Q3778="당기",ABS(P3778)+ROW()/1000000000,"")</f>
        <v/>
      </c>
      <c r="U3778" s="9">
        <f>IF(Q3778="비교",ABS(P3778)+ROW()/1000000000,"")</f>
        <v/>
      </c>
      <c r="V3778" s="39">
        <f>IF($A3778="","",IF(COUNTIF(변동분석!$E$7:$E$506,O3778)&gt;0,"Y","N"))</f>
        <v/>
      </c>
      <c r="W3778" s="39">
        <f>IF($A3778="","",IFERROR(INDEX(계정매핑!$D$5:$D$504,MATCH($F3778&amp;"",계정매핑!$A$5:$A$504,0)),"미매핑"))</f>
        <v/>
      </c>
      <c r="X3778" s="9">
        <f>IF($A3778="","",$F3778&amp;"")</f>
        <v/>
      </c>
    </row>
    <row r="3779">
      <c r="A3779" s="75" t="n">
        <v>2026</v>
      </c>
      <c r="B3779" s="75" t="n">
        <v>8</v>
      </c>
      <c r="C3779" s="75" t="inlineStr">
        <is>
          <t>5100001435</t>
        </is>
      </c>
      <c r="D3779" s="78" t="n">
        <v>46242</v>
      </c>
      <c r="E3779" s="75" t="inlineStr">
        <is>
          <t>KR</t>
        </is>
      </c>
      <c r="F3779" s="75" t="n">
        <v>62901000</v>
      </c>
      <c r="G3779" s="75" t="n">
        <v>1401</v>
      </c>
      <c r="H3779" s="76" t="n">
        <v>4493000</v>
      </c>
      <c r="I3779" s="75" t="inlineStr">
        <is>
          <t>8월 자문 수수료 - W컨설팅</t>
        </is>
      </c>
      <c r="J3779" s="75" t="inlineStr">
        <is>
          <t>V10009</t>
        </is>
      </c>
      <c r="K3779" s="75" t="inlineStr">
        <is>
          <t>W컨설팅</t>
        </is>
      </c>
      <c r="M3779" s="9">
        <f>IF($A3779="","",VALUE($A3779&amp;"")*12+VALUE($B3779&amp;""))</f>
        <v/>
      </c>
      <c r="N3779" s="39">
        <f>IF($A3779="","",IFERROR(INDEX(부서매핑!$C$5:$C$504,MATCH($G3779&amp;"",부서매핑!$A$5:$A$504,0)),"미매핑"))</f>
        <v/>
      </c>
      <c r="O3779" s="9">
        <f>IF($A3779="","",N3779&amp;"|"&amp;$F3779)</f>
        <v/>
      </c>
      <c r="P3779" s="77">
        <f>IF($A3779="",0,$H3779*설정!$C$23)</f>
        <v/>
      </c>
      <c r="Q3779" s="39">
        <f>IF($A3779="","",IF(O3779&lt;&gt;원인분석!$C$9,"",IF(AND(M3779&gt;=원인분석!$C$10,M3779&lt;=원인분석!$C$11),"당기",IF(AND(M3779&gt;=원인분석!$C$12,M3779&lt;=원인분석!$C$13),"비교",""))))</f>
        <v/>
      </c>
      <c r="R3779" s="9">
        <f>IF(Q3779="","",$K3779&amp;"")</f>
        <v/>
      </c>
      <c r="S3779" s="9">
        <f>IF(Q3779="","",IF(MATCH(R3779,$R$5:$R$100000,0)=ROW()-4,ROW(),""))</f>
        <v/>
      </c>
      <c r="T3779" s="9">
        <f>IF(Q3779="당기",ABS(P3779)+ROW()/1000000000,"")</f>
        <v/>
      </c>
      <c r="U3779" s="9">
        <f>IF(Q3779="비교",ABS(P3779)+ROW()/1000000000,"")</f>
        <v/>
      </c>
      <c r="V3779" s="39">
        <f>IF($A3779="","",IF(COUNTIF(변동분석!$E$7:$E$506,O3779)&gt;0,"Y","N"))</f>
        <v/>
      </c>
      <c r="W3779" s="39">
        <f>IF($A3779="","",IFERROR(INDEX(계정매핑!$D$5:$D$504,MATCH($F3779&amp;"",계정매핑!$A$5:$A$504,0)),"미매핑"))</f>
        <v/>
      </c>
      <c r="X3779" s="9">
        <f>IF($A3779="","",$F3779&amp;"")</f>
        <v/>
      </c>
    </row>
    <row r="3780">
      <c r="A3780" s="75" t="n">
        <v>2026</v>
      </c>
      <c r="B3780" s="75" t="n">
        <v>8</v>
      </c>
      <c r="C3780" s="75" t="inlineStr">
        <is>
          <t>5100001436</t>
        </is>
      </c>
      <c r="D3780" s="78" t="n">
        <v>46242</v>
      </c>
      <c r="E3780" s="75" t="inlineStr">
        <is>
          <t>KR</t>
        </is>
      </c>
      <c r="F3780" s="75" t="n">
        <v>62902000</v>
      </c>
      <c r="G3780" s="75" t="n">
        <v>1801</v>
      </c>
      <c r="H3780" s="76" t="n">
        <v>1773000</v>
      </c>
      <c r="I3780" s="75" t="inlineStr">
        <is>
          <t>8월 콜 위탁 수수료(건별)</t>
        </is>
      </c>
      <c r="J3780" s="75" t="inlineStr">
        <is>
          <t>V10013</t>
        </is>
      </c>
      <c r="K3780" s="75" t="inlineStr">
        <is>
          <t>J콜센터</t>
        </is>
      </c>
      <c r="M3780" s="9">
        <f>IF($A3780="","",VALUE($A3780&amp;"")*12+VALUE($B3780&amp;""))</f>
        <v/>
      </c>
      <c r="N3780" s="39">
        <f>IF($A3780="","",IFERROR(INDEX(부서매핑!$C$5:$C$504,MATCH($G3780&amp;"",부서매핑!$A$5:$A$504,0)),"미매핑"))</f>
        <v/>
      </c>
      <c r="O3780" s="9">
        <f>IF($A3780="","",N3780&amp;"|"&amp;$F3780)</f>
        <v/>
      </c>
      <c r="P3780" s="77">
        <f>IF($A3780="",0,$H3780*설정!$C$23)</f>
        <v/>
      </c>
      <c r="Q3780" s="39">
        <f>IF($A3780="","",IF(O3780&lt;&gt;원인분석!$C$9,"",IF(AND(M3780&gt;=원인분석!$C$10,M3780&lt;=원인분석!$C$11),"당기",IF(AND(M3780&gt;=원인분석!$C$12,M3780&lt;=원인분석!$C$13),"비교",""))))</f>
        <v/>
      </c>
      <c r="R3780" s="9">
        <f>IF(Q3780="","",$K3780&amp;"")</f>
        <v/>
      </c>
      <c r="S3780" s="9">
        <f>IF(Q3780="","",IF(MATCH(R3780,$R$5:$R$100000,0)=ROW()-4,ROW(),""))</f>
        <v/>
      </c>
      <c r="T3780" s="9">
        <f>IF(Q3780="당기",ABS(P3780)+ROW()/1000000000,"")</f>
        <v/>
      </c>
      <c r="U3780" s="9">
        <f>IF(Q3780="비교",ABS(P3780)+ROW()/1000000000,"")</f>
        <v/>
      </c>
      <c r="V3780" s="39">
        <f>IF($A3780="","",IF(COUNTIF(변동분석!$E$7:$E$506,O3780)&gt;0,"Y","N"))</f>
        <v/>
      </c>
      <c r="W3780" s="39">
        <f>IF($A3780="","",IFERROR(INDEX(계정매핑!$D$5:$D$504,MATCH($F3780&amp;"",계정매핑!$A$5:$A$504,0)),"미매핑"))</f>
        <v/>
      </c>
      <c r="X3780" s="9">
        <f>IF($A3780="","",$F3780&amp;"")</f>
        <v/>
      </c>
    </row>
    <row r="3781">
      <c r="A3781" s="75" t="n">
        <v>2026</v>
      </c>
      <c r="B3781" s="75" t="n">
        <v>8</v>
      </c>
      <c r="C3781" s="75" t="inlineStr">
        <is>
          <t>5100001437</t>
        </is>
      </c>
      <c r="D3781" s="78" t="n">
        <v>46243</v>
      </c>
      <c r="E3781" s="75" t="inlineStr">
        <is>
          <t>KR</t>
        </is>
      </c>
      <c r="F3781" s="75" t="n">
        <v>62101000</v>
      </c>
      <c r="G3781" s="75" t="n">
        <v>1301</v>
      </c>
      <c r="H3781" s="76" t="n">
        <v>225000</v>
      </c>
      <c r="I3781" s="75" t="inlineStr">
        <is>
          <t>8월 국내출장 - (법인카드)</t>
        </is>
      </c>
      <c r="J3781" s="75" t="inlineStr">
        <is>
          <t>V10008</t>
        </is>
      </c>
      <c r="K3781" s="75" t="inlineStr">
        <is>
          <t>(법인카드)</t>
        </is>
      </c>
      <c r="M3781" s="9">
        <f>IF($A3781="","",VALUE($A3781&amp;"")*12+VALUE($B3781&amp;""))</f>
        <v/>
      </c>
      <c r="N3781" s="39">
        <f>IF($A3781="","",IFERROR(INDEX(부서매핑!$C$5:$C$504,MATCH($G3781&amp;"",부서매핑!$A$5:$A$504,0)),"미매핑"))</f>
        <v/>
      </c>
      <c r="O3781" s="9">
        <f>IF($A3781="","",N3781&amp;"|"&amp;$F3781)</f>
        <v/>
      </c>
      <c r="P3781" s="77">
        <f>IF($A3781="",0,$H3781*설정!$C$23)</f>
        <v/>
      </c>
      <c r="Q3781" s="39">
        <f>IF($A3781="","",IF(O3781&lt;&gt;원인분석!$C$9,"",IF(AND(M3781&gt;=원인분석!$C$10,M3781&lt;=원인분석!$C$11),"당기",IF(AND(M3781&gt;=원인분석!$C$12,M3781&lt;=원인분석!$C$13),"비교",""))))</f>
        <v/>
      </c>
      <c r="R3781" s="9">
        <f>IF(Q3781="","",$K3781&amp;"")</f>
        <v/>
      </c>
      <c r="S3781" s="9">
        <f>IF(Q3781="","",IF(MATCH(R3781,$R$5:$R$100000,0)=ROW()-4,ROW(),""))</f>
        <v/>
      </c>
      <c r="T3781" s="9">
        <f>IF(Q3781="당기",ABS(P3781)+ROW()/1000000000,"")</f>
        <v/>
      </c>
      <c r="U3781" s="9">
        <f>IF(Q3781="비교",ABS(P3781)+ROW()/1000000000,"")</f>
        <v/>
      </c>
      <c r="V3781" s="39">
        <f>IF($A3781="","",IF(COUNTIF(변동분석!$E$7:$E$506,O3781)&gt;0,"Y","N"))</f>
        <v/>
      </c>
      <c r="W3781" s="39">
        <f>IF($A3781="","",IFERROR(INDEX(계정매핑!$D$5:$D$504,MATCH($F3781&amp;"",계정매핑!$A$5:$A$504,0)),"미매핑"))</f>
        <v/>
      </c>
      <c r="X3781" s="9">
        <f>IF($A3781="","",$F3781&amp;"")</f>
        <v/>
      </c>
    </row>
    <row r="3782">
      <c r="A3782" s="75" t="n">
        <v>2026</v>
      </c>
      <c r="B3782" s="75" t="n">
        <v>8</v>
      </c>
      <c r="C3782" s="75" t="inlineStr">
        <is>
          <t>5100001438</t>
        </is>
      </c>
      <c r="D3782" s="78" t="n">
        <v>46243</v>
      </c>
      <c r="E3782" s="75" t="inlineStr">
        <is>
          <t>KR</t>
        </is>
      </c>
      <c r="F3782" s="75" t="n">
        <v>62101000</v>
      </c>
      <c r="G3782" s="75" t="n">
        <v>1701</v>
      </c>
      <c r="H3782" s="76" t="n">
        <v>142000</v>
      </c>
      <c r="I3782" s="75" t="inlineStr">
        <is>
          <t>8월 국내출장 - L여행사</t>
        </is>
      </c>
      <c r="J3782" s="75" t="inlineStr">
        <is>
          <t>V10014</t>
        </is>
      </c>
      <c r="K3782" s="75" t="inlineStr">
        <is>
          <t>L여행사</t>
        </is>
      </c>
      <c r="M3782" s="9">
        <f>IF($A3782="","",VALUE($A3782&amp;"")*12+VALUE($B3782&amp;""))</f>
        <v/>
      </c>
      <c r="N3782" s="39">
        <f>IF($A3782="","",IFERROR(INDEX(부서매핑!$C$5:$C$504,MATCH($G3782&amp;"",부서매핑!$A$5:$A$504,0)),"미매핑"))</f>
        <v/>
      </c>
      <c r="O3782" s="9">
        <f>IF($A3782="","",N3782&amp;"|"&amp;$F3782)</f>
        <v/>
      </c>
      <c r="P3782" s="77">
        <f>IF($A3782="",0,$H3782*설정!$C$23)</f>
        <v/>
      </c>
      <c r="Q3782" s="39">
        <f>IF($A3782="","",IF(O3782&lt;&gt;원인분석!$C$9,"",IF(AND(M3782&gt;=원인분석!$C$10,M3782&lt;=원인분석!$C$11),"당기",IF(AND(M3782&gt;=원인분석!$C$12,M3782&lt;=원인분석!$C$13),"비교",""))))</f>
        <v/>
      </c>
      <c r="R3782" s="9">
        <f>IF(Q3782="","",$K3782&amp;"")</f>
        <v/>
      </c>
      <c r="S3782" s="9">
        <f>IF(Q3782="","",IF(MATCH(R3782,$R$5:$R$100000,0)=ROW()-4,ROW(),""))</f>
        <v/>
      </c>
      <c r="T3782" s="9">
        <f>IF(Q3782="당기",ABS(P3782)+ROW()/1000000000,"")</f>
        <v/>
      </c>
      <c r="U3782" s="9">
        <f>IF(Q3782="비교",ABS(P3782)+ROW()/1000000000,"")</f>
        <v/>
      </c>
      <c r="V3782" s="39">
        <f>IF($A3782="","",IF(COUNTIF(변동분석!$E$7:$E$506,O3782)&gt;0,"Y","N"))</f>
        <v/>
      </c>
      <c r="W3782" s="39">
        <f>IF($A3782="","",IFERROR(INDEX(계정매핑!$D$5:$D$504,MATCH($F3782&amp;"",계정매핑!$A$5:$A$504,0)),"미매핑"))</f>
        <v/>
      </c>
      <c r="X3782" s="9">
        <f>IF($A3782="","",$F3782&amp;"")</f>
        <v/>
      </c>
    </row>
    <row r="3783">
      <c r="A3783" s="75" t="n">
        <v>2026</v>
      </c>
      <c r="B3783" s="75" t="n">
        <v>8</v>
      </c>
      <c r="C3783" s="75" t="inlineStr">
        <is>
          <t>5100001439</t>
        </is>
      </c>
      <c r="D3783" s="78" t="n">
        <v>46243</v>
      </c>
      <c r="E3783" s="75" t="inlineStr">
        <is>
          <t>KR</t>
        </is>
      </c>
      <c r="F3783" s="75" t="n">
        <v>62102000</v>
      </c>
      <c r="G3783" s="75" t="n">
        <v>1301</v>
      </c>
      <c r="H3783" s="76" t="n">
        <v>83000</v>
      </c>
      <c r="I3783" s="75" t="inlineStr">
        <is>
          <t>8월 해외출장 - M항공</t>
        </is>
      </c>
      <c r="J3783" s="75" t="inlineStr">
        <is>
          <t>V10001</t>
        </is>
      </c>
      <c r="K3783" s="75" t="inlineStr">
        <is>
          <t>M항공</t>
        </is>
      </c>
      <c r="M3783" s="9">
        <f>IF($A3783="","",VALUE($A3783&amp;"")*12+VALUE($B3783&amp;""))</f>
        <v/>
      </c>
      <c r="N3783" s="39">
        <f>IF($A3783="","",IFERROR(INDEX(부서매핑!$C$5:$C$504,MATCH($G3783&amp;"",부서매핑!$A$5:$A$504,0)),"미매핑"))</f>
        <v/>
      </c>
      <c r="O3783" s="9">
        <f>IF($A3783="","",N3783&amp;"|"&amp;$F3783)</f>
        <v/>
      </c>
      <c r="P3783" s="77">
        <f>IF($A3783="",0,$H3783*설정!$C$23)</f>
        <v/>
      </c>
      <c r="Q3783" s="39">
        <f>IF($A3783="","",IF(O3783&lt;&gt;원인분석!$C$9,"",IF(AND(M3783&gt;=원인분석!$C$10,M3783&lt;=원인분석!$C$11),"당기",IF(AND(M3783&gt;=원인분석!$C$12,M3783&lt;=원인분석!$C$13),"비교",""))))</f>
        <v/>
      </c>
      <c r="R3783" s="9">
        <f>IF(Q3783="","",$K3783&amp;"")</f>
        <v/>
      </c>
      <c r="S3783" s="9">
        <f>IF(Q3783="","",IF(MATCH(R3783,$R$5:$R$100000,0)=ROW()-4,ROW(),""))</f>
        <v/>
      </c>
      <c r="T3783" s="9">
        <f>IF(Q3783="당기",ABS(P3783)+ROW()/1000000000,"")</f>
        <v/>
      </c>
      <c r="U3783" s="9">
        <f>IF(Q3783="비교",ABS(P3783)+ROW()/1000000000,"")</f>
        <v/>
      </c>
      <c r="V3783" s="39">
        <f>IF($A3783="","",IF(COUNTIF(변동분석!$E$7:$E$506,O3783)&gt;0,"Y","N"))</f>
        <v/>
      </c>
      <c r="W3783" s="39">
        <f>IF($A3783="","",IFERROR(INDEX(계정매핑!$D$5:$D$504,MATCH($F3783&amp;"",계정매핑!$A$5:$A$504,0)),"미매핑"))</f>
        <v/>
      </c>
      <c r="X3783" s="9">
        <f>IF($A3783="","",$F3783&amp;"")</f>
        <v/>
      </c>
    </row>
    <row r="3784">
      <c r="A3784" s="75" t="n">
        <v>2026</v>
      </c>
      <c r="B3784" s="75" t="n">
        <v>8</v>
      </c>
      <c r="C3784" s="75" t="inlineStr">
        <is>
          <t>5100001440</t>
        </is>
      </c>
      <c r="D3784" s="78" t="n">
        <v>46243</v>
      </c>
      <c r="E3784" s="75" t="inlineStr">
        <is>
          <t>KR</t>
        </is>
      </c>
      <c r="F3784" s="75" t="n">
        <v>62102000</v>
      </c>
      <c r="G3784" s="75" t="n">
        <v>1601</v>
      </c>
      <c r="H3784" s="76" t="n">
        <v>222000</v>
      </c>
      <c r="I3784" s="75" t="inlineStr">
        <is>
          <t>8월 해외출장 - M항공</t>
        </is>
      </c>
      <c r="J3784" s="75" t="inlineStr">
        <is>
          <t>V10001</t>
        </is>
      </c>
      <c r="K3784" s="75" t="inlineStr">
        <is>
          <t>M항공</t>
        </is>
      </c>
      <c r="M3784" s="9">
        <f>IF($A3784="","",VALUE($A3784&amp;"")*12+VALUE($B3784&amp;""))</f>
        <v/>
      </c>
      <c r="N3784" s="39">
        <f>IF($A3784="","",IFERROR(INDEX(부서매핑!$C$5:$C$504,MATCH($G3784&amp;"",부서매핑!$A$5:$A$504,0)),"미매핑"))</f>
        <v/>
      </c>
      <c r="O3784" s="9">
        <f>IF($A3784="","",N3784&amp;"|"&amp;$F3784)</f>
        <v/>
      </c>
      <c r="P3784" s="77">
        <f>IF($A3784="",0,$H3784*설정!$C$23)</f>
        <v/>
      </c>
      <c r="Q3784" s="39">
        <f>IF($A3784="","",IF(O3784&lt;&gt;원인분석!$C$9,"",IF(AND(M3784&gt;=원인분석!$C$10,M3784&lt;=원인분석!$C$11),"당기",IF(AND(M3784&gt;=원인분석!$C$12,M3784&lt;=원인분석!$C$13),"비교",""))))</f>
        <v/>
      </c>
      <c r="R3784" s="9">
        <f>IF(Q3784="","",$K3784&amp;"")</f>
        <v/>
      </c>
      <c r="S3784" s="9">
        <f>IF(Q3784="","",IF(MATCH(R3784,$R$5:$R$100000,0)=ROW()-4,ROW(),""))</f>
        <v/>
      </c>
      <c r="T3784" s="9">
        <f>IF(Q3784="당기",ABS(P3784)+ROW()/1000000000,"")</f>
        <v/>
      </c>
      <c r="U3784" s="9">
        <f>IF(Q3784="비교",ABS(P3784)+ROW()/1000000000,"")</f>
        <v/>
      </c>
      <c r="V3784" s="39">
        <f>IF($A3784="","",IF(COUNTIF(변동분석!$E$7:$E$506,O3784)&gt;0,"Y","N"))</f>
        <v/>
      </c>
      <c r="W3784" s="39">
        <f>IF($A3784="","",IFERROR(INDEX(계정매핑!$D$5:$D$504,MATCH($F3784&amp;"",계정매핑!$A$5:$A$504,0)),"미매핑"))</f>
        <v/>
      </c>
      <c r="X3784" s="9">
        <f>IF($A3784="","",$F3784&amp;"")</f>
        <v/>
      </c>
    </row>
    <row r="3785">
      <c r="A3785" s="75" t="n">
        <v>2026</v>
      </c>
      <c r="B3785" s="75" t="n">
        <v>8</v>
      </c>
      <c r="C3785" s="75" t="inlineStr">
        <is>
          <t>5100001441</t>
        </is>
      </c>
      <c r="D3785" s="78" t="n">
        <v>46243</v>
      </c>
      <c r="E3785" s="75" t="inlineStr">
        <is>
          <t>KR</t>
        </is>
      </c>
      <c r="F3785" s="75" t="n">
        <v>62201000</v>
      </c>
      <c r="G3785" s="75" t="n">
        <v>1301</v>
      </c>
      <c r="H3785" s="76" t="n">
        <v>235000</v>
      </c>
      <c r="I3785" s="75" t="inlineStr">
        <is>
          <t>8월 통신요금 - O텔레콤</t>
        </is>
      </c>
      <c r="J3785" s="75" t="inlineStr">
        <is>
          <t>V10002</t>
        </is>
      </c>
      <c r="K3785" s="75" t="inlineStr">
        <is>
          <t>O텔레콤</t>
        </is>
      </c>
      <c r="M3785" s="9">
        <f>IF($A3785="","",VALUE($A3785&amp;"")*12+VALUE($B3785&amp;""))</f>
        <v/>
      </c>
      <c r="N3785" s="39">
        <f>IF($A3785="","",IFERROR(INDEX(부서매핑!$C$5:$C$504,MATCH($G3785&amp;"",부서매핑!$A$5:$A$504,0)),"미매핑"))</f>
        <v/>
      </c>
      <c r="O3785" s="9">
        <f>IF($A3785="","",N3785&amp;"|"&amp;$F3785)</f>
        <v/>
      </c>
      <c r="P3785" s="77">
        <f>IF($A3785="",0,$H3785*설정!$C$23)</f>
        <v/>
      </c>
      <c r="Q3785" s="39">
        <f>IF($A3785="","",IF(O3785&lt;&gt;원인분석!$C$9,"",IF(AND(M3785&gt;=원인분석!$C$10,M3785&lt;=원인분석!$C$11),"당기",IF(AND(M3785&gt;=원인분석!$C$12,M3785&lt;=원인분석!$C$13),"비교",""))))</f>
        <v/>
      </c>
      <c r="R3785" s="9">
        <f>IF(Q3785="","",$K3785&amp;"")</f>
        <v/>
      </c>
      <c r="S3785" s="9">
        <f>IF(Q3785="","",IF(MATCH(R3785,$R$5:$R$100000,0)=ROW()-4,ROW(),""))</f>
        <v/>
      </c>
      <c r="T3785" s="9">
        <f>IF(Q3785="당기",ABS(P3785)+ROW()/1000000000,"")</f>
        <v/>
      </c>
      <c r="U3785" s="9">
        <f>IF(Q3785="비교",ABS(P3785)+ROW()/1000000000,"")</f>
        <v/>
      </c>
      <c r="V3785" s="39">
        <f>IF($A3785="","",IF(COUNTIF(변동분석!$E$7:$E$506,O3785)&gt;0,"Y","N"))</f>
        <v/>
      </c>
      <c r="W3785" s="39">
        <f>IF($A3785="","",IFERROR(INDEX(계정매핑!$D$5:$D$504,MATCH($F3785&amp;"",계정매핑!$A$5:$A$504,0)),"미매핑"))</f>
        <v/>
      </c>
      <c r="X3785" s="9">
        <f>IF($A3785="","",$F3785&amp;"")</f>
        <v/>
      </c>
    </row>
    <row r="3786">
      <c r="A3786" s="75" t="n">
        <v>2026</v>
      </c>
      <c r="B3786" s="75" t="n">
        <v>8</v>
      </c>
      <c r="C3786" s="75" t="inlineStr">
        <is>
          <t>5100001442</t>
        </is>
      </c>
      <c r="D3786" s="78" t="n">
        <v>46243</v>
      </c>
      <c r="E3786" s="75" t="inlineStr">
        <is>
          <t>KR</t>
        </is>
      </c>
      <c r="F3786" s="75" t="n">
        <v>62201000</v>
      </c>
      <c r="G3786" s="75" t="n">
        <v>1502</v>
      </c>
      <c r="H3786" s="76" t="n">
        <v>347000</v>
      </c>
      <c r="I3786" s="75" t="inlineStr">
        <is>
          <t>8월 통신요금 - O텔레콤</t>
        </is>
      </c>
      <c r="J3786" s="75" t="inlineStr">
        <is>
          <t>V10002</t>
        </is>
      </c>
      <c r="K3786" s="75" t="inlineStr">
        <is>
          <t>O텔레콤</t>
        </is>
      </c>
      <c r="M3786" s="9">
        <f>IF($A3786="","",VALUE($A3786&amp;"")*12+VALUE($B3786&amp;""))</f>
        <v/>
      </c>
      <c r="N3786" s="39">
        <f>IF($A3786="","",IFERROR(INDEX(부서매핑!$C$5:$C$504,MATCH($G3786&amp;"",부서매핑!$A$5:$A$504,0)),"미매핑"))</f>
        <v/>
      </c>
      <c r="O3786" s="9">
        <f>IF($A3786="","",N3786&amp;"|"&amp;$F3786)</f>
        <v/>
      </c>
      <c r="P3786" s="77">
        <f>IF($A3786="",0,$H3786*설정!$C$23)</f>
        <v/>
      </c>
      <c r="Q3786" s="39">
        <f>IF($A3786="","",IF(O3786&lt;&gt;원인분석!$C$9,"",IF(AND(M3786&gt;=원인분석!$C$10,M3786&lt;=원인분석!$C$11),"당기",IF(AND(M3786&gt;=원인분석!$C$12,M3786&lt;=원인분석!$C$13),"비교",""))))</f>
        <v/>
      </c>
      <c r="R3786" s="9">
        <f>IF(Q3786="","",$K3786&amp;"")</f>
        <v/>
      </c>
      <c r="S3786" s="9">
        <f>IF(Q3786="","",IF(MATCH(R3786,$R$5:$R$100000,0)=ROW()-4,ROW(),""))</f>
        <v/>
      </c>
      <c r="T3786" s="9">
        <f>IF(Q3786="당기",ABS(P3786)+ROW()/1000000000,"")</f>
        <v/>
      </c>
      <c r="U3786" s="9">
        <f>IF(Q3786="비교",ABS(P3786)+ROW()/1000000000,"")</f>
        <v/>
      </c>
      <c r="V3786" s="39">
        <f>IF($A3786="","",IF(COUNTIF(변동분석!$E$7:$E$506,O3786)&gt;0,"Y","N"))</f>
        <v/>
      </c>
      <c r="W3786" s="39">
        <f>IF($A3786="","",IFERROR(INDEX(계정매핑!$D$5:$D$504,MATCH($F3786&amp;"",계정매핑!$A$5:$A$504,0)),"미매핑"))</f>
        <v/>
      </c>
      <c r="X3786" s="9">
        <f>IF($A3786="","",$F3786&amp;"")</f>
        <v/>
      </c>
    </row>
    <row r="3787">
      <c r="A3787" s="75" t="n">
        <v>2026</v>
      </c>
      <c r="B3787" s="75" t="n">
        <v>8</v>
      </c>
      <c r="C3787" s="75" t="inlineStr">
        <is>
          <t>5100001443</t>
        </is>
      </c>
      <c r="D3787" s="78" t="n">
        <v>46243</v>
      </c>
      <c r="E3787" s="75" t="inlineStr">
        <is>
          <t>KR</t>
        </is>
      </c>
      <c r="F3787" s="75" t="n">
        <v>62201000</v>
      </c>
      <c r="G3787" s="75" t="n">
        <v>1602</v>
      </c>
      <c r="H3787" s="76" t="n">
        <v>457000</v>
      </c>
      <c r="I3787" s="75" t="inlineStr">
        <is>
          <t>8월 통신요금 - O텔레콤</t>
        </is>
      </c>
      <c r="J3787" s="75" t="inlineStr">
        <is>
          <t>V10002</t>
        </is>
      </c>
      <c r="K3787" s="75" t="inlineStr">
        <is>
          <t>O텔레콤</t>
        </is>
      </c>
      <c r="M3787" s="9">
        <f>IF($A3787="","",VALUE($A3787&amp;"")*12+VALUE($B3787&amp;""))</f>
        <v/>
      </c>
      <c r="N3787" s="39">
        <f>IF($A3787="","",IFERROR(INDEX(부서매핑!$C$5:$C$504,MATCH($G3787&amp;"",부서매핑!$A$5:$A$504,0)),"미매핑"))</f>
        <v/>
      </c>
      <c r="O3787" s="9">
        <f>IF($A3787="","",N3787&amp;"|"&amp;$F3787)</f>
        <v/>
      </c>
      <c r="P3787" s="77">
        <f>IF($A3787="",0,$H3787*설정!$C$23)</f>
        <v/>
      </c>
      <c r="Q3787" s="39">
        <f>IF($A3787="","",IF(O3787&lt;&gt;원인분석!$C$9,"",IF(AND(M3787&gt;=원인분석!$C$10,M3787&lt;=원인분석!$C$11),"당기",IF(AND(M3787&gt;=원인분석!$C$12,M3787&lt;=원인분석!$C$13),"비교",""))))</f>
        <v/>
      </c>
      <c r="R3787" s="9">
        <f>IF(Q3787="","",$K3787&amp;"")</f>
        <v/>
      </c>
      <c r="S3787" s="9">
        <f>IF(Q3787="","",IF(MATCH(R3787,$R$5:$R$100000,0)=ROW()-4,ROW(),""))</f>
        <v/>
      </c>
      <c r="T3787" s="9">
        <f>IF(Q3787="당기",ABS(P3787)+ROW()/1000000000,"")</f>
        <v/>
      </c>
      <c r="U3787" s="9">
        <f>IF(Q3787="비교",ABS(P3787)+ROW()/1000000000,"")</f>
        <v/>
      </c>
      <c r="V3787" s="39">
        <f>IF($A3787="","",IF(COUNTIF(변동분석!$E$7:$E$506,O3787)&gt;0,"Y","N"))</f>
        <v/>
      </c>
      <c r="W3787" s="39">
        <f>IF($A3787="","",IFERROR(INDEX(계정매핑!$D$5:$D$504,MATCH($F3787&amp;"",계정매핑!$A$5:$A$504,0)),"미매핑"))</f>
        <v/>
      </c>
      <c r="X3787" s="9">
        <f>IF($A3787="","",$F3787&amp;"")</f>
        <v/>
      </c>
    </row>
    <row r="3788">
      <c r="A3788" s="75" t="n">
        <v>2026</v>
      </c>
      <c r="B3788" s="75" t="n">
        <v>8</v>
      </c>
      <c r="C3788" s="75" t="inlineStr">
        <is>
          <t>5100001444</t>
        </is>
      </c>
      <c r="D3788" s="78" t="n">
        <v>46243</v>
      </c>
      <c r="E3788" s="75" t="inlineStr">
        <is>
          <t>KR</t>
        </is>
      </c>
      <c r="F3788" s="75" t="n">
        <v>62301000</v>
      </c>
      <c r="G3788" s="75" t="n">
        <v>1301</v>
      </c>
      <c r="H3788" s="76" t="n">
        <v>271000</v>
      </c>
      <c r="I3788" s="75" t="inlineStr">
        <is>
          <t>8월 소모품 구입 - Q오피스</t>
        </is>
      </c>
      <c r="J3788" s="75" t="inlineStr">
        <is>
          <t>V10003</t>
        </is>
      </c>
      <c r="K3788" s="75" t="inlineStr">
        <is>
          <t>Q오피스</t>
        </is>
      </c>
      <c r="M3788" s="9">
        <f>IF($A3788="","",VALUE($A3788&amp;"")*12+VALUE($B3788&amp;""))</f>
        <v/>
      </c>
      <c r="N3788" s="39">
        <f>IF($A3788="","",IFERROR(INDEX(부서매핑!$C$5:$C$504,MATCH($G3788&amp;"",부서매핑!$A$5:$A$504,0)),"미매핑"))</f>
        <v/>
      </c>
      <c r="O3788" s="9">
        <f>IF($A3788="","",N3788&amp;"|"&amp;$F3788)</f>
        <v/>
      </c>
      <c r="P3788" s="77">
        <f>IF($A3788="",0,$H3788*설정!$C$23)</f>
        <v/>
      </c>
      <c r="Q3788" s="39">
        <f>IF($A3788="","",IF(O3788&lt;&gt;원인분석!$C$9,"",IF(AND(M3788&gt;=원인분석!$C$10,M3788&lt;=원인분석!$C$11),"당기",IF(AND(M3788&gt;=원인분석!$C$12,M3788&lt;=원인분석!$C$13),"비교",""))))</f>
        <v/>
      </c>
      <c r="R3788" s="9">
        <f>IF(Q3788="","",$K3788&amp;"")</f>
        <v/>
      </c>
      <c r="S3788" s="9">
        <f>IF(Q3788="","",IF(MATCH(R3788,$R$5:$R$100000,0)=ROW()-4,ROW(),""))</f>
        <v/>
      </c>
      <c r="T3788" s="9">
        <f>IF(Q3788="당기",ABS(P3788)+ROW()/1000000000,"")</f>
        <v/>
      </c>
      <c r="U3788" s="9">
        <f>IF(Q3788="비교",ABS(P3788)+ROW()/1000000000,"")</f>
        <v/>
      </c>
      <c r="V3788" s="39">
        <f>IF($A3788="","",IF(COUNTIF(변동분석!$E$7:$E$506,O3788)&gt;0,"Y","N"))</f>
        <v/>
      </c>
      <c r="W3788" s="39">
        <f>IF($A3788="","",IFERROR(INDEX(계정매핑!$D$5:$D$504,MATCH($F3788&amp;"",계정매핑!$A$5:$A$504,0)),"미매핑"))</f>
        <v/>
      </c>
      <c r="X3788" s="9">
        <f>IF($A3788="","",$F3788&amp;"")</f>
        <v/>
      </c>
    </row>
    <row r="3789">
      <c r="A3789" s="75" t="n">
        <v>2026</v>
      </c>
      <c r="B3789" s="75" t="n">
        <v>8</v>
      </c>
      <c r="C3789" s="75" t="inlineStr">
        <is>
          <t>5100001445</t>
        </is>
      </c>
      <c r="D3789" s="78" t="n">
        <v>46243</v>
      </c>
      <c r="E3789" s="75" t="inlineStr">
        <is>
          <t>KR</t>
        </is>
      </c>
      <c r="F3789" s="75" t="n">
        <v>62301000</v>
      </c>
      <c r="G3789" s="75" t="n">
        <v>1502</v>
      </c>
      <c r="H3789" s="76" t="n">
        <v>223000</v>
      </c>
      <c r="I3789" s="75" t="inlineStr">
        <is>
          <t>8월 소모품 구입 - R문구</t>
        </is>
      </c>
      <c r="J3789" s="75" t="inlineStr">
        <is>
          <t>V10018</t>
        </is>
      </c>
      <c r="K3789" s="75" t="inlineStr">
        <is>
          <t>R문구</t>
        </is>
      </c>
      <c r="M3789" s="9">
        <f>IF($A3789="","",VALUE($A3789&amp;"")*12+VALUE($B3789&amp;""))</f>
        <v/>
      </c>
      <c r="N3789" s="39">
        <f>IF($A3789="","",IFERROR(INDEX(부서매핑!$C$5:$C$504,MATCH($G3789&amp;"",부서매핑!$A$5:$A$504,0)),"미매핑"))</f>
        <v/>
      </c>
      <c r="O3789" s="9">
        <f>IF($A3789="","",N3789&amp;"|"&amp;$F3789)</f>
        <v/>
      </c>
      <c r="P3789" s="77">
        <f>IF($A3789="",0,$H3789*설정!$C$23)</f>
        <v/>
      </c>
      <c r="Q3789" s="39">
        <f>IF($A3789="","",IF(O3789&lt;&gt;원인분석!$C$9,"",IF(AND(M3789&gt;=원인분석!$C$10,M3789&lt;=원인분석!$C$11),"당기",IF(AND(M3789&gt;=원인분석!$C$12,M3789&lt;=원인분석!$C$13),"비교",""))))</f>
        <v/>
      </c>
      <c r="R3789" s="9">
        <f>IF(Q3789="","",$K3789&amp;"")</f>
        <v/>
      </c>
      <c r="S3789" s="9">
        <f>IF(Q3789="","",IF(MATCH(R3789,$R$5:$R$100000,0)=ROW()-4,ROW(),""))</f>
        <v/>
      </c>
      <c r="T3789" s="9">
        <f>IF(Q3789="당기",ABS(P3789)+ROW()/1000000000,"")</f>
        <v/>
      </c>
      <c r="U3789" s="9">
        <f>IF(Q3789="비교",ABS(P3789)+ROW()/1000000000,"")</f>
        <v/>
      </c>
      <c r="V3789" s="39">
        <f>IF($A3789="","",IF(COUNTIF(변동분석!$E$7:$E$506,O3789)&gt;0,"Y","N"))</f>
        <v/>
      </c>
      <c r="W3789" s="39">
        <f>IF($A3789="","",IFERROR(INDEX(계정매핑!$D$5:$D$504,MATCH($F3789&amp;"",계정매핑!$A$5:$A$504,0)),"미매핑"))</f>
        <v/>
      </c>
      <c r="X3789" s="9">
        <f>IF($A3789="","",$F3789&amp;"")</f>
        <v/>
      </c>
    </row>
    <row r="3790">
      <c r="A3790" s="75" t="n">
        <v>2026</v>
      </c>
      <c r="B3790" s="75" t="n">
        <v>8</v>
      </c>
      <c r="C3790" s="75" t="inlineStr">
        <is>
          <t>5100001446</t>
        </is>
      </c>
      <c r="D3790" s="78" t="n">
        <v>46243</v>
      </c>
      <c r="E3790" s="75" t="inlineStr">
        <is>
          <t>KR</t>
        </is>
      </c>
      <c r="F3790" s="75" t="n">
        <v>62801000</v>
      </c>
      <c r="G3790" s="75" t="n">
        <v>1301</v>
      </c>
      <c r="H3790" s="76" t="n">
        <v>4603000</v>
      </c>
      <c r="I3790" s="75" t="inlineStr">
        <is>
          <t>8월 사내교육 - U에듀</t>
        </is>
      </c>
      <c r="J3790" s="75" t="inlineStr">
        <is>
          <t>V10026</t>
        </is>
      </c>
      <c r="K3790" s="75" t="inlineStr">
        <is>
          <t>U에듀</t>
        </is>
      </c>
      <c r="M3790" s="9">
        <f>IF($A3790="","",VALUE($A3790&amp;"")*12+VALUE($B3790&amp;""))</f>
        <v/>
      </c>
      <c r="N3790" s="39">
        <f>IF($A3790="","",IFERROR(INDEX(부서매핑!$C$5:$C$504,MATCH($G3790&amp;"",부서매핑!$A$5:$A$504,0)),"미매핑"))</f>
        <v/>
      </c>
      <c r="O3790" s="9">
        <f>IF($A3790="","",N3790&amp;"|"&amp;$F3790)</f>
        <v/>
      </c>
      <c r="P3790" s="77">
        <f>IF($A3790="",0,$H3790*설정!$C$23)</f>
        <v/>
      </c>
      <c r="Q3790" s="39">
        <f>IF($A3790="","",IF(O3790&lt;&gt;원인분석!$C$9,"",IF(AND(M3790&gt;=원인분석!$C$10,M3790&lt;=원인분석!$C$11),"당기",IF(AND(M3790&gt;=원인분석!$C$12,M3790&lt;=원인분석!$C$13),"비교",""))))</f>
        <v/>
      </c>
      <c r="R3790" s="9">
        <f>IF(Q3790="","",$K3790&amp;"")</f>
        <v/>
      </c>
      <c r="S3790" s="9">
        <f>IF(Q3790="","",IF(MATCH(R3790,$R$5:$R$100000,0)=ROW()-4,ROW(),""))</f>
        <v/>
      </c>
      <c r="T3790" s="9">
        <f>IF(Q3790="당기",ABS(P3790)+ROW()/1000000000,"")</f>
        <v/>
      </c>
      <c r="U3790" s="9">
        <f>IF(Q3790="비교",ABS(P3790)+ROW()/1000000000,"")</f>
        <v/>
      </c>
      <c r="V3790" s="39">
        <f>IF($A3790="","",IF(COUNTIF(변동분석!$E$7:$E$506,O3790)&gt;0,"Y","N"))</f>
        <v/>
      </c>
      <c r="W3790" s="39">
        <f>IF($A3790="","",IFERROR(INDEX(계정매핑!$D$5:$D$504,MATCH($F3790&amp;"",계정매핑!$A$5:$A$504,0)),"미매핑"))</f>
        <v/>
      </c>
      <c r="X3790" s="9">
        <f>IF($A3790="","",$F3790&amp;"")</f>
        <v/>
      </c>
    </row>
    <row r="3791">
      <c r="A3791" s="75" t="n">
        <v>2026</v>
      </c>
      <c r="B3791" s="75" t="n">
        <v>8</v>
      </c>
      <c r="C3791" s="75" t="inlineStr">
        <is>
          <t>5100001447</t>
        </is>
      </c>
      <c r="D3791" s="78" t="n">
        <v>46243</v>
      </c>
      <c r="E3791" s="75" t="inlineStr">
        <is>
          <t>KR</t>
        </is>
      </c>
      <c r="F3791" s="75" t="n">
        <v>62901000</v>
      </c>
      <c r="G3791" s="75" t="n">
        <v>1401</v>
      </c>
      <c r="H3791" s="76" t="n">
        <v>4665000</v>
      </c>
      <c r="I3791" s="75" t="inlineStr">
        <is>
          <t>8월 자문 수수료 - K회계법인</t>
        </is>
      </c>
      <c r="J3791" s="75" t="inlineStr">
        <is>
          <t>V10010</t>
        </is>
      </c>
      <c r="K3791" s="75" t="inlineStr">
        <is>
          <t>K회계법인</t>
        </is>
      </c>
      <c r="M3791" s="9">
        <f>IF($A3791="","",VALUE($A3791&amp;"")*12+VALUE($B3791&amp;""))</f>
        <v/>
      </c>
      <c r="N3791" s="39">
        <f>IF($A3791="","",IFERROR(INDEX(부서매핑!$C$5:$C$504,MATCH($G3791&amp;"",부서매핑!$A$5:$A$504,0)),"미매핑"))</f>
        <v/>
      </c>
      <c r="O3791" s="9">
        <f>IF($A3791="","",N3791&amp;"|"&amp;$F3791)</f>
        <v/>
      </c>
      <c r="P3791" s="77">
        <f>IF($A3791="",0,$H3791*설정!$C$23)</f>
        <v/>
      </c>
      <c r="Q3791" s="39">
        <f>IF($A3791="","",IF(O3791&lt;&gt;원인분석!$C$9,"",IF(AND(M3791&gt;=원인분석!$C$10,M3791&lt;=원인분석!$C$11),"당기",IF(AND(M3791&gt;=원인분석!$C$12,M3791&lt;=원인분석!$C$13),"비교",""))))</f>
        <v/>
      </c>
      <c r="R3791" s="9">
        <f>IF(Q3791="","",$K3791&amp;"")</f>
        <v/>
      </c>
      <c r="S3791" s="9">
        <f>IF(Q3791="","",IF(MATCH(R3791,$R$5:$R$100000,0)=ROW()-4,ROW(),""))</f>
        <v/>
      </c>
      <c r="T3791" s="9">
        <f>IF(Q3791="당기",ABS(P3791)+ROW()/1000000000,"")</f>
        <v/>
      </c>
      <c r="U3791" s="9">
        <f>IF(Q3791="비교",ABS(P3791)+ROW()/1000000000,"")</f>
        <v/>
      </c>
      <c r="V3791" s="39">
        <f>IF($A3791="","",IF(COUNTIF(변동분석!$E$7:$E$506,O3791)&gt;0,"Y","N"))</f>
        <v/>
      </c>
      <c r="W3791" s="39">
        <f>IF($A3791="","",IFERROR(INDEX(계정매핑!$D$5:$D$504,MATCH($F3791&amp;"",계정매핑!$A$5:$A$504,0)),"미매핑"))</f>
        <v/>
      </c>
      <c r="X3791" s="9">
        <f>IF($A3791="","",$F3791&amp;"")</f>
        <v/>
      </c>
    </row>
    <row r="3792">
      <c r="A3792" s="75" t="n">
        <v>2026</v>
      </c>
      <c r="B3792" s="75" t="n">
        <v>8</v>
      </c>
      <c r="C3792" s="75" t="inlineStr">
        <is>
          <t>5100001448</t>
        </is>
      </c>
      <c r="D3792" s="78" t="n">
        <v>46243</v>
      </c>
      <c r="E3792" s="75" t="inlineStr">
        <is>
          <t>KR</t>
        </is>
      </c>
      <c r="F3792" s="75" t="n">
        <v>62902000</v>
      </c>
      <c r="G3792" s="75" t="n">
        <v>1801</v>
      </c>
      <c r="H3792" s="76" t="n">
        <v>1802000</v>
      </c>
      <c r="I3792" s="75" t="inlineStr">
        <is>
          <t>8월 콜 위탁 수수료(건별)</t>
        </is>
      </c>
      <c r="J3792" s="75" t="inlineStr">
        <is>
          <t>V10013</t>
        </is>
      </c>
      <c r="K3792" s="75" t="inlineStr">
        <is>
          <t>J콜센터</t>
        </is>
      </c>
      <c r="M3792" s="9">
        <f>IF($A3792="","",VALUE($A3792&amp;"")*12+VALUE($B3792&amp;""))</f>
        <v/>
      </c>
      <c r="N3792" s="39">
        <f>IF($A3792="","",IFERROR(INDEX(부서매핑!$C$5:$C$504,MATCH($G3792&amp;"",부서매핑!$A$5:$A$504,0)),"미매핑"))</f>
        <v/>
      </c>
      <c r="O3792" s="9">
        <f>IF($A3792="","",N3792&amp;"|"&amp;$F3792)</f>
        <v/>
      </c>
      <c r="P3792" s="77">
        <f>IF($A3792="",0,$H3792*설정!$C$23)</f>
        <v/>
      </c>
      <c r="Q3792" s="39">
        <f>IF($A3792="","",IF(O3792&lt;&gt;원인분석!$C$9,"",IF(AND(M3792&gt;=원인분석!$C$10,M3792&lt;=원인분석!$C$11),"당기",IF(AND(M3792&gt;=원인분석!$C$12,M3792&lt;=원인분석!$C$13),"비교",""))))</f>
        <v/>
      </c>
      <c r="R3792" s="9">
        <f>IF(Q3792="","",$K3792&amp;"")</f>
        <v/>
      </c>
      <c r="S3792" s="9">
        <f>IF(Q3792="","",IF(MATCH(R3792,$R$5:$R$100000,0)=ROW()-4,ROW(),""))</f>
        <v/>
      </c>
      <c r="T3792" s="9">
        <f>IF(Q3792="당기",ABS(P3792)+ROW()/1000000000,"")</f>
        <v/>
      </c>
      <c r="U3792" s="9">
        <f>IF(Q3792="비교",ABS(P3792)+ROW()/1000000000,"")</f>
        <v/>
      </c>
      <c r="V3792" s="39">
        <f>IF($A3792="","",IF(COUNTIF(변동분석!$E$7:$E$506,O3792)&gt;0,"Y","N"))</f>
        <v/>
      </c>
      <c r="W3792" s="39">
        <f>IF($A3792="","",IFERROR(INDEX(계정매핑!$D$5:$D$504,MATCH($F3792&amp;"",계정매핑!$A$5:$A$504,0)),"미매핑"))</f>
        <v/>
      </c>
      <c r="X3792" s="9">
        <f>IF($A3792="","",$F3792&amp;"")</f>
        <v/>
      </c>
    </row>
    <row r="3793">
      <c r="A3793" s="75" t="n">
        <v>2026</v>
      </c>
      <c r="B3793" s="75" t="n">
        <v>8</v>
      </c>
      <c r="C3793" s="75" t="inlineStr">
        <is>
          <t>5100001449</t>
        </is>
      </c>
      <c r="D3793" s="78" t="n">
        <v>46244</v>
      </c>
      <c r="E3793" s="75" t="inlineStr">
        <is>
          <t>KR</t>
        </is>
      </c>
      <c r="F3793" s="75" t="n">
        <v>62101000</v>
      </c>
      <c r="G3793" s="75" t="n">
        <v>1301</v>
      </c>
      <c r="H3793" s="76" t="n">
        <v>207000</v>
      </c>
      <c r="I3793" s="75" t="inlineStr">
        <is>
          <t>8월 국내출장 - L여행사</t>
        </is>
      </c>
      <c r="J3793" s="75" t="inlineStr">
        <is>
          <t>V10014</t>
        </is>
      </c>
      <c r="K3793" s="75" t="inlineStr">
        <is>
          <t>L여행사</t>
        </is>
      </c>
      <c r="M3793" s="9">
        <f>IF($A3793="","",VALUE($A3793&amp;"")*12+VALUE($B3793&amp;""))</f>
        <v/>
      </c>
      <c r="N3793" s="39">
        <f>IF($A3793="","",IFERROR(INDEX(부서매핑!$C$5:$C$504,MATCH($G3793&amp;"",부서매핑!$A$5:$A$504,0)),"미매핑"))</f>
        <v/>
      </c>
      <c r="O3793" s="9">
        <f>IF($A3793="","",N3793&amp;"|"&amp;$F3793)</f>
        <v/>
      </c>
      <c r="P3793" s="77">
        <f>IF($A3793="",0,$H3793*설정!$C$23)</f>
        <v/>
      </c>
      <c r="Q3793" s="39">
        <f>IF($A3793="","",IF(O3793&lt;&gt;원인분석!$C$9,"",IF(AND(M3793&gt;=원인분석!$C$10,M3793&lt;=원인분석!$C$11),"당기",IF(AND(M3793&gt;=원인분석!$C$12,M3793&lt;=원인분석!$C$13),"비교",""))))</f>
        <v/>
      </c>
      <c r="R3793" s="9">
        <f>IF(Q3793="","",$K3793&amp;"")</f>
        <v/>
      </c>
      <c r="S3793" s="9">
        <f>IF(Q3793="","",IF(MATCH(R3793,$R$5:$R$100000,0)=ROW()-4,ROW(),""))</f>
        <v/>
      </c>
      <c r="T3793" s="9">
        <f>IF(Q3793="당기",ABS(P3793)+ROW()/1000000000,"")</f>
        <v/>
      </c>
      <c r="U3793" s="9">
        <f>IF(Q3793="비교",ABS(P3793)+ROW()/1000000000,"")</f>
        <v/>
      </c>
      <c r="V3793" s="39">
        <f>IF($A3793="","",IF(COUNTIF(변동분석!$E$7:$E$506,O3793)&gt;0,"Y","N"))</f>
        <v/>
      </c>
      <c r="W3793" s="39">
        <f>IF($A3793="","",IFERROR(INDEX(계정매핑!$D$5:$D$504,MATCH($F3793&amp;"",계정매핑!$A$5:$A$504,0)),"미매핑"))</f>
        <v/>
      </c>
      <c r="X3793" s="9">
        <f>IF($A3793="","",$F3793&amp;"")</f>
        <v/>
      </c>
    </row>
    <row r="3794">
      <c r="A3794" s="75" t="n">
        <v>2026</v>
      </c>
      <c r="B3794" s="75" t="n">
        <v>8</v>
      </c>
      <c r="C3794" s="75" t="inlineStr">
        <is>
          <t>5100001450</t>
        </is>
      </c>
      <c r="D3794" s="78" t="n">
        <v>46244</v>
      </c>
      <c r="E3794" s="75" t="inlineStr">
        <is>
          <t>KR</t>
        </is>
      </c>
      <c r="F3794" s="75" t="n">
        <v>62101000</v>
      </c>
      <c r="G3794" s="75" t="n">
        <v>1601</v>
      </c>
      <c r="H3794" s="76" t="n">
        <v>747000</v>
      </c>
      <c r="I3794" s="75" t="inlineStr">
        <is>
          <t>8월 국내출장 - (법인카드)</t>
        </is>
      </c>
      <c r="J3794" s="75" t="inlineStr">
        <is>
          <t>V10008</t>
        </is>
      </c>
      <c r="K3794" s="75" t="inlineStr">
        <is>
          <t>(법인카드)</t>
        </is>
      </c>
      <c r="M3794" s="9">
        <f>IF($A3794="","",VALUE($A3794&amp;"")*12+VALUE($B3794&amp;""))</f>
        <v/>
      </c>
      <c r="N3794" s="39">
        <f>IF($A3794="","",IFERROR(INDEX(부서매핑!$C$5:$C$504,MATCH($G3794&amp;"",부서매핑!$A$5:$A$504,0)),"미매핑"))</f>
        <v/>
      </c>
      <c r="O3794" s="9">
        <f>IF($A3794="","",N3794&amp;"|"&amp;$F3794)</f>
        <v/>
      </c>
      <c r="P3794" s="77">
        <f>IF($A3794="",0,$H3794*설정!$C$23)</f>
        <v/>
      </c>
      <c r="Q3794" s="39">
        <f>IF($A3794="","",IF(O3794&lt;&gt;원인분석!$C$9,"",IF(AND(M3794&gt;=원인분석!$C$10,M3794&lt;=원인분석!$C$11),"당기",IF(AND(M3794&gt;=원인분석!$C$12,M3794&lt;=원인분석!$C$13),"비교",""))))</f>
        <v/>
      </c>
      <c r="R3794" s="9">
        <f>IF(Q3794="","",$K3794&amp;"")</f>
        <v/>
      </c>
      <c r="S3794" s="9">
        <f>IF(Q3794="","",IF(MATCH(R3794,$R$5:$R$100000,0)=ROW()-4,ROW(),""))</f>
        <v/>
      </c>
      <c r="T3794" s="9">
        <f>IF(Q3794="당기",ABS(P3794)+ROW()/1000000000,"")</f>
        <v/>
      </c>
      <c r="U3794" s="9">
        <f>IF(Q3794="비교",ABS(P3794)+ROW()/1000000000,"")</f>
        <v/>
      </c>
      <c r="V3794" s="39">
        <f>IF($A3794="","",IF(COUNTIF(변동분석!$E$7:$E$506,O3794)&gt;0,"Y","N"))</f>
        <v/>
      </c>
      <c r="W3794" s="39">
        <f>IF($A3794="","",IFERROR(INDEX(계정매핑!$D$5:$D$504,MATCH($F3794&amp;"",계정매핑!$A$5:$A$504,0)),"미매핑"))</f>
        <v/>
      </c>
      <c r="X3794" s="9">
        <f>IF($A3794="","",$F3794&amp;"")</f>
        <v/>
      </c>
    </row>
    <row r="3795">
      <c r="A3795" s="75" t="n">
        <v>2026</v>
      </c>
      <c r="B3795" s="75" t="n">
        <v>8</v>
      </c>
      <c r="C3795" s="75" t="inlineStr">
        <is>
          <t>5100001451</t>
        </is>
      </c>
      <c r="D3795" s="78" t="n">
        <v>46244</v>
      </c>
      <c r="E3795" s="75" t="inlineStr">
        <is>
          <t>KR</t>
        </is>
      </c>
      <c r="F3795" s="75" t="n">
        <v>62301000</v>
      </c>
      <c r="G3795" s="75" t="n">
        <v>1801</v>
      </c>
      <c r="H3795" s="76" t="n">
        <v>549000</v>
      </c>
      <c r="I3795" s="75" t="inlineStr">
        <is>
          <t>8월 소모품 구입 - Q오피스</t>
        </is>
      </c>
      <c r="J3795" s="75" t="inlineStr">
        <is>
          <t>V10003</t>
        </is>
      </c>
      <c r="K3795" s="75" t="inlineStr">
        <is>
          <t>Q오피스</t>
        </is>
      </c>
      <c r="M3795" s="9">
        <f>IF($A3795="","",VALUE($A3795&amp;"")*12+VALUE($B3795&amp;""))</f>
        <v/>
      </c>
      <c r="N3795" s="39">
        <f>IF($A3795="","",IFERROR(INDEX(부서매핑!$C$5:$C$504,MATCH($G3795&amp;"",부서매핑!$A$5:$A$504,0)),"미매핑"))</f>
        <v/>
      </c>
      <c r="O3795" s="9">
        <f>IF($A3795="","",N3795&amp;"|"&amp;$F3795)</f>
        <v/>
      </c>
      <c r="P3795" s="77">
        <f>IF($A3795="",0,$H3795*설정!$C$23)</f>
        <v/>
      </c>
      <c r="Q3795" s="39">
        <f>IF($A3795="","",IF(O3795&lt;&gt;원인분석!$C$9,"",IF(AND(M3795&gt;=원인분석!$C$10,M3795&lt;=원인분석!$C$11),"당기",IF(AND(M3795&gt;=원인분석!$C$12,M3795&lt;=원인분석!$C$13),"비교",""))))</f>
        <v/>
      </c>
      <c r="R3795" s="9">
        <f>IF(Q3795="","",$K3795&amp;"")</f>
        <v/>
      </c>
      <c r="S3795" s="9">
        <f>IF(Q3795="","",IF(MATCH(R3795,$R$5:$R$100000,0)=ROW()-4,ROW(),""))</f>
        <v/>
      </c>
      <c r="T3795" s="9">
        <f>IF(Q3795="당기",ABS(P3795)+ROW()/1000000000,"")</f>
        <v/>
      </c>
      <c r="U3795" s="9">
        <f>IF(Q3795="비교",ABS(P3795)+ROW()/1000000000,"")</f>
        <v/>
      </c>
      <c r="V3795" s="39">
        <f>IF($A3795="","",IF(COUNTIF(변동분석!$E$7:$E$506,O3795)&gt;0,"Y","N"))</f>
        <v/>
      </c>
      <c r="W3795" s="39">
        <f>IF($A3795="","",IFERROR(INDEX(계정매핑!$D$5:$D$504,MATCH($F3795&amp;"",계정매핑!$A$5:$A$504,0)),"미매핑"))</f>
        <v/>
      </c>
      <c r="X3795" s="9">
        <f>IF($A3795="","",$F3795&amp;"")</f>
        <v/>
      </c>
    </row>
    <row r="3796">
      <c r="A3796" s="75" t="n">
        <v>2026</v>
      </c>
      <c r="B3796" s="75" t="n">
        <v>8</v>
      </c>
      <c r="C3796" s="75" t="inlineStr">
        <is>
          <t>5100001452</t>
        </is>
      </c>
      <c r="D3796" s="78" t="n">
        <v>46244</v>
      </c>
      <c r="E3796" s="75" t="inlineStr">
        <is>
          <t>KR</t>
        </is>
      </c>
      <c r="F3796" s="75" t="n">
        <v>62501000</v>
      </c>
      <c r="G3796" s="75" t="n">
        <v>1301</v>
      </c>
      <c r="H3796" s="76" t="n">
        <v>219000</v>
      </c>
      <c r="I3796" s="75" t="inlineStr">
        <is>
          <t>8월 회의 다과 - T케이터링</t>
        </is>
      </c>
      <c r="J3796" s="75" t="inlineStr">
        <is>
          <t>V10005</t>
        </is>
      </c>
      <c r="K3796" s="75" t="inlineStr">
        <is>
          <t>T케이터링</t>
        </is>
      </c>
      <c r="M3796" s="9">
        <f>IF($A3796="","",VALUE($A3796&amp;"")*12+VALUE($B3796&amp;""))</f>
        <v/>
      </c>
      <c r="N3796" s="39">
        <f>IF($A3796="","",IFERROR(INDEX(부서매핑!$C$5:$C$504,MATCH($G3796&amp;"",부서매핑!$A$5:$A$504,0)),"미매핑"))</f>
        <v/>
      </c>
      <c r="O3796" s="9">
        <f>IF($A3796="","",N3796&amp;"|"&amp;$F3796)</f>
        <v/>
      </c>
      <c r="P3796" s="77">
        <f>IF($A3796="",0,$H3796*설정!$C$23)</f>
        <v/>
      </c>
      <c r="Q3796" s="39">
        <f>IF($A3796="","",IF(O3796&lt;&gt;원인분석!$C$9,"",IF(AND(M3796&gt;=원인분석!$C$10,M3796&lt;=원인분석!$C$11),"당기",IF(AND(M3796&gt;=원인분석!$C$12,M3796&lt;=원인분석!$C$13),"비교",""))))</f>
        <v/>
      </c>
      <c r="R3796" s="9">
        <f>IF(Q3796="","",$K3796&amp;"")</f>
        <v/>
      </c>
      <c r="S3796" s="9">
        <f>IF(Q3796="","",IF(MATCH(R3796,$R$5:$R$100000,0)=ROW()-4,ROW(),""))</f>
        <v/>
      </c>
      <c r="T3796" s="9">
        <f>IF(Q3796="당기",ABS(P3796)+ROW()/1000000000,"")</f>
        <v/>
      </c>
      <c r="U3796" s="9">
        <f>IF(Q3796="비교",ABS(P3796)+ROW()/1000000000,"")</f>
        <v/>
      </c>
      <c r="V3796" s="39">
        <f>IF($A3796="","",IF(COUNTIF(변동분석!$E$7:$E$506,O3796)&gt;0,"Y","N"))</f>
        <v/>
      </c>
      <c r="W3796" s="39">
        <f>IF($A3796="","",IFERROR(INDEX(계정매핑!$D$5:$D$504,MATCH($F3796&amp;"",계정매핑!$A$5:$A$504,0)),"미매핑"))</f>
        <v/>
      </c>
      <c r="X3796" s="9">
        <f>IF($A3796="","",$F3796&amp;"")</f>
        <v/>
      </c>
    </row>
    <row r="3797">
      <c r="A3797" s="75" t="n">
        <v>2026</v>
      </c>
      <c r="B3797" s="75" t="n">
        <v>8</v>
      </c>
      <c r="C3797" s="75" t="inlineStr">
        <is>
          <t>5100001453</t>
        </is>
      </c>
      <c r="D3797" s="78" t="n">
        <v>46245</v>
      </c>
      <c r="E3797" s="75" t="inlineStr">
        <is>
          <t>KR</t>
        </is>
      </c>
      <c r="F3797" s="75" t="n">
        <v>62101000</v>
      </c>
      <c r="G3797" s="75" t="n">
        <v>1602</v>
      </c>
      <c r="H3797" s="76" t="n">
        <v>1097000</v>
      </c>
      <c r="I3797" s="75" t="inlineStr">
        <is>
          <t>8월 국내출장 - M항공</t>
        </is>
      </c>
      <c r="J3797" s="75" t="inlineStr">
        <is>
          <t>V10001</t>
        </is>
      </c>
      <c r="K3797" s="75" t="inlineStr">
        <is>
          <t>M항공</t>
        </is>
      </c>
      <c r="M3797" s="9">
        <f>IF($A3797="","",VALUE($A3797&amp;"")*12+VALUE($B3797&amp;""))</f>
        <v/>
      </c>
      <c r="N3797" s="39">
        <f>IF($A3797="","",IFERROR(INDEX(부서매핑!$C$5:$C$504,MATCH($G3797&amp;"",부서매핑!$A$5:$A$504,0)),"미매핑"))</f>
        <v/>
      </c>
      <c r="O3797" s="9">
        <f>IF($A3797="","",N3797&amp;"|"&amp;$F3797)</f>
        <v/>
      </c>
      <c r="P3797" s="77">
        <f>IF($A3797="",0,$H3797*설정!$C$23)</f>
        <v/>
      </c>
      <c r="Q3797" s="39">
        <f>IF($A3797="","",IF(O3797&lt;&gt;원인분석!$C$9,"",IF(AND(M3797&gt;=원인분석!$C$10,M3797&lt;=원인분석!$C$11),"당기",IF(AND(M3797&gt;=원인분석!$C$12,M3797&lt;=원인분석!$C$13),"비교",""))))</f>
        <v/>
      </c>
      <c r="R3797" s="9">
        <f>IF(Q3797="","",$K3797&amp;"")</f>
        <v/>
      </c>
      <c r="S3797" s="9">
        <f>IF(Q3797="","",IF(MATCH(R3797,$R$5:$R$100000,0)=ROW()-4,ROW(),""))</f>
        <v/>
      </c>
      <c r="T3797" s="9">
        <f>IF(Q3797="당기",ABS(P3797)+ROW()/1000000000,"")</f>
        <v/>
      </c>
      <c r="U3797" s="9">
        <f>IF(Q3797="비교",ABS(P3797)+ROW()/1000000000,"")</f>
        <v/>
      </c>
      <c r="V3797" s="39">
        <f>IF($A3797="","",IF(COUNTIF(변동분석!$E$7:$E$506,O3797)&gt;0,"Y","N"))</f>
        <v/>
      </c>
      <c r="W3797" s="39">
        <f>IF($A3797="","",IFERROR(INDEX(계정매핑!$D$5:$D$504,MATCH($F3797&amp;"",계정매핑!$A$5:$A$504,0)),"미매핑"))</f>
        <v/>
      </c>
      <c r="X3797" s="9">
        <f>IF($A3797="","",$F3797&amp;"")</f>
        <v/>
      </c>
    </row>
    <row r="3798">
      <c r="A3798" s="75" t="n">
        <v>2026</v>
      </c>
      <c r="B3798" s="75" t="n">
        <v>8</v>
      </c>
      <c r="C3798" s="75" t="inlineStr">
        <is>
          <t>5100001454</t>
        </is>
      </c>
      <c r="D3798" s="78" t="n">
        <v>46245</v>
      </c>
      <c r="E3798" s="75" t="inlineStr">
        <is>
          <t>KR</t>
        </is>
      </c>
      <c r="F3798" s="75" t="n">
        <v>62102000</v>
      </c>
      <c r="G3798" s="75" t="n">
        <v>1701</v>
      </c>
      <c r="H3798" s="76" t="n">
        <v>44000</v>
      </c>
      <c r="I3798" s="75" t="inlineStr">
        <is>
          <t>8월 해외출장 - M항공</t>
        </is>
      </c>
      <c r="J3798" s="75" t="inlineStr">
        <is>
          <t>V10001</t>
        </is>
      </c>
      <c r="K3798" s="75" t="inlineStr">
        <is>
          <t>M항공</t>
        </is>
      </c>
      <c r="M3798" s="9">
        <f>IF($A3798="","",VALUE($A3798&amp;"")*12+VALUE($B3798&amp;""))</f>
        <v/>
      </c>
      <c r="N3798" s="39">
        <f>IF($A3798="","",IFERROR(INDEX(부서매핑!$C$5:$C$504,MATCH($G3798&amp;"",부서매핑!$A$5:$A$504,0)),"미매핑"))</f>
        <v/>
      </c>
      <c r="O3798" s="9">
        <f>IF($A3798="","",N3798&amp;"|"&amp;$F3798)</f>
        <v/>
      </c>
      <c r="P3798" s="77">
        <f>IF($A3798="",0,$H3798*설정!$C$23)</f>
        <v/>
      </c>
      <c r="Q3798" s="39">
        <f>IF($A3798="","",IF(O3798&lt;&gt;원인분석!$C$9,"",IF(AND(M3798&gt;=원인분석!$C$10,M3798&lt;=원인분석!$C$11),"당기",IF(AND(M3798&gt;=원인분석!$C$12,M3798&lt;=원인분석!$C$13),"비교",""))))</f>
        <v/>
      </c>
      <c r="R3798" s="9">
        <f>IF(Q3798="","",$K3798&amp;"")</f>
        <v/>
      </c>
      <c r="S3798" s="9">
        <f>IF(Q3798="","",IF(MATCH(R3798,$R$5:$R$100000,0)=ROW()-4,ROW(),""))</f>
        <v/>
      </c>
      <c r="T3798" s="9">
        <f>IF(Q3798="당기",ABS(P3798)+ROW()/1000000000,"")</f>
        <v/>
      </c>
      <c r="U3798" s="9">
        <f>IF(Q3798="비교",ABS(P3798)+ROW()/1000000000,"")</f>
        <v/>
      </c>
      <c r="V3798" s="39">
        <f>IF($A3798="","",IF(COUNTIF(변동분석!$E$7:$E$506,O3798)&gt;0,"Y","N"))</f>
        <v/>
      </c>
      <c r="W3798" s="39">
        <f>IF($A3798="","",IFERROR(INDEX(계정매핑!$D$5:$D$504,MATCH($F3798&amp;"",계정매핑!$A$5:$A$504,0)),"미매핑"))</f>
        <v/>
      </c>
      <c r="X3798" s="9">
        <f>IF($A3798="","",$F3798&amp;"")</f>
        <v/>
      </c>
    </row>
    <row r="3799">
      <c r="A3799" s="75" t="n">
        <v>2026</v>
      </c>
      <c r="B3799" s="75" t="n">
        <v>8</v>
      </c>
      <c r="C3799" s="75" t="inlineStr">
        <is>
          <t>5100001455</t>
        </is>
      </c>
      <c r="D3799" s="78" t="n">
        <v>46245</v>
      </c>
      <c r="E3799" s="75" t="inlineStr">
        <is>
          <t>KR</t>
        </is>
      </c>
      <c r="F3799" s="75" t="n">
        <v>62401000</v>
      </c>
      <c r="G3799" s="75" t="n">
        <v>1401</v>
      </c>
      <c r="H3799" s="76" t="n">
        <v>157000</v>
      </c>
      <c r="I3799" s="75" t="inlineStr">
        <is>
          <t>8월 인쇄물 제작 - G인쇄</t>
        </is>
      </c>
      <c r="J3799" s="75" t="inlineStr">
        <is>
          <t>V10004</t>
        </is>
      </c>
      <c r="K3799" s="75" t="inlineStr">
        <is>
          <t>G인쇄</t>
        </is>
      </c>
      <c r="M3799" s="9">
        <f>IF($A3799="","",VALUE($A3799&amp;"")*12+VALUE($B3799&amp;""))</f>
        <v/>
      </c>
      <c r="N3799" s="39">
        <f>IF($A3799="","",IFERROR(INDEX(부서매핑!$C$5:$C$504,MATCH($G3799&amp;"",부서매핑!$A$5:$A$504,0)),"미매핑"))</f>
        <v/>
      </c>
      <c r="O3799" s="9">
        <f>IF($A3799="","",N3799&amp;"|"&amp;$F3799)</f>
        <v/>
      </c>
      <c r="P3799" s="77">
        <f>IF($A3799="",0,$H3799*설정!$C$23)</f>
        <v/>
      </c>
      <c r="Q3799" s="39">
        <f>IF($A3799="","",IF(O3799&lt;&gt;원인분석!$C$9,"",IF(AND(M3799&gt;=원인분석!$C$10,M3799&lt;=원인분석!$C$11),"당기",IF(AND(M3799&gt;=원인분석!$C$12,M3799&lt;=원인분석!$C$13),"비교",""))))</f>
        <v/>
      </c>
      <c r="R3799" s="9">
        <f>IF(Q3799="","",$K3799&amp;"")</f>
        <v/>
      </c>
      <c r="S3799" s="9">
        <f>IF(Q3799="","",IF(MATCH(R3799,$R$5:$R$100000,0)=ROW()-4,ROW(),""))</f>
        <v/>
      </c>
      <c r="T3799" s="9">
        <f>IF(Q3799="당기",ABS(P3799)+ROW()/1000000000,"")</f>
        <v/>
      </c>
      <c r="U3799" s="9">
        <f>IF(Q3799="비교",ABS(P3799)+ROW()/1000000000,"")</f>
        <v/>
      </c>
      <c r="V3799" s="39">
        <f>IF($A3799="","",IF(COUNTIF(변동분석!$E$7:$E$506,O3799)&gt;0,"Y","N"))</f>
        <v/>
      </c>
      <c r="W3799" s="39">
        <f>IF($A3799="","",IFERROR(INDEX(계정매핑!$D$5:$D$504,MATCH($F3799&amp;"",계정매핑!$A$5:$A$504,0)),"미매핑"))</f>
        <v/>
      </c>
      <c r="X3799" s="9">
        <f>IF($A3799="","",$F3799&amp;"")</f>
        <v/>
      </c>
    </row>
    <row r="3800">
      <c r="A3800" s="75" t="n">
        <v>2026</v>
      </c>
      <c r="B3800" s="75" t="n">
        <v>8</v>
      </c>
      <c r="C3800" s="75" t="inlineStr">
        <is>
          <t>5100001456</t>
        </is>
      </c>
      <c r="D3800" s="78" t="n">
        <v>46245</v>
      </c>
      <c r="E3800" s="75" t="inlineStr">
        <is>
          <t>KR</t>
        </is>
      </c>
      <c r="F3800" s="75" t="n">
        <v>62401000</v>
      </c>
      <c r="G3800" s="75" t="n">
        <v>1401</v>
      </c>
      <c r="H3800" s="76" t="n">
        <v>154000</v>
      </c>
      <c r="I3800" s="75" t="inlineStr">
        <is>
          <t>8월 인쇄물 제작 - S출판</t>
        </is>
      </c>
      <c r="J3800" s="75" t="inlineStr">
        <is>
          <t>V10012</t>
        </is>
      </c>
      <c r="K3800" s="75" t="inlineStr">
        <is>
          <t>S출판</t>
        </is>
      </c>
      <c r="M3800" s="9">
        <f>IF($A3800="","",VALUE($A3800&amp;"")*12+VALUE($B3800&amp;""))</f>
        <v/>
      </c>
      <c r="N3800" s="39">
        <f>IF($A3800="","",IFERROR(INDEX(부서매핑!$C$5:$C$504,MATCH($G3800&amp;"",부서매핑!$A$5:$A$504,0)),"미매핑"))</f>
        <v/>
      </c>
      <c r="O3800" s="9">
        <f>IF($A3800="","",N3800&amp;"|"&amp;$F3800)</f>
        <v/>
      </c>
      <c r="P3800" s="77">
        <f>IF($A3800="",0,$H3800*설정!$C$23)</f>
        <v/>
      </c>
      <c r="Q3800" s="39">
        <f>IF($A3800="","",IF(O3800&lt;&gt;원인분석!$C$9,"",IF(AND(M3800&gt;=원인분석!$C$10,M3800&lt;=원인분석!$C$11),"당기",IF(AND(M3800&gt;=원인분석!$C$12,M3800&lt;=원인분석!$C$13),"비교",""))))</f>
        <v/>
      </c>
      <c r="R3800" s="9">
        <f>IF(Q3800="","",$K3800&amp;"")</f>
        <v/>
      </c>
      <c r="S3800" s="9">
        <f>IF(Q3800="","",IF(MATCH(R3800,$R$5:$R$100000,0)=ROW()-4,ROW(),""))</f>
        <v/>
      </c>
      <c r="T3800" s="9">
        <f>IF(Q3800="당기",ABS(P3800)+ROW()/1000000000,"")</f>
        <v/>
      </c>
      <c r="U3800" s="9">
        <f>IF(Q3800="비교",ABS(P3800)+ROW()/1000000000,"")</f>
        <v/>
      </c>
      <c r="V3800" s="39">
        <f>IF($A3800="","",IF(COUNTIF(변동분석!$E$7:$E$506,O3800)&gt;0,"Y","N"))</f>
        <v/>
      </c>
      <c r="W3800" s="39">
        <f>IF($A3800="","",IFERROR(INDEX(계정매핑!$D$5:$D$504,MATCH($F3800&amp;"",계정매핑!$A$5:$A$504,0)),"미매핑"))</f>
        <v/>
      </c>
      <c r="X3800" s="9">
        <f>IF($A3800="","",$F3800&amp;"")</f>
        <v/>
      </c>
    </row>
    <row r="3801">
      <c r="A3801" s="75" t="n">
        <v>2026</v>
      </c>
      <c r="B3801" s="75" t="n">
        <v>8</v>
      </c>
      <c r="C3801" s="75" t="inlineStr">
        <is>
          <t>5100001457</t>
        </is>
      </c>
      <c r="D3801" s="78" t="n">
        <v>46245</v>
      </c>
      <c r="E3801" s="75" t="inlineStr">
        <is>
          <t>KR</t>
        </is>
      </c>
      <c r="F3801" s="75" t="n">
        <v>62902000</v>
      </c>
      <c r="G3801" s="75" t="n">
        <v>1801</v>
      </c>
      <c r="H3801" s="76" t="n">
        <v>1758000</v>
      </c>
      <c r="I3801" s="75" t="inlineStr">
        <is>
          <t>8월 콜 위탁 수수료(건별)</t>
        </is>
      </c>
      <c r="J3801" s="75" t="inlineStr">
        <is>
          <t>V10013</t>
        </is>
      </c>
      <c r="K3801" s="75" t="inlineStr">
        <is>
          <t>J콜센터</t>
        </is>
      </c>
      <c r="M3801" s="9">
        <f>IF($A3801="","",VALUE($A3801&amp;"")*12+VALUE($B3801&amp;""))</f>
        <v/>
      </c>
      <c r="N3801" s="39">
        <f>IF($A3801="","",IFERROR(INDEX(부서매핑!$C$5:$C$504,MATCH($G3801&amp;"",부서매핑!$A$5:$A$504,0)),"미매핑"))</f>
        <v/>
      </c>
      <c r="O3801" s="9">
        <f>IF($A3801="","",N3801&amp;"|"&amp;$F3801)</f>
        <v/>
      </c>
      <c r="P3801" s="77">
        <f>IF($A3801="",0,$H3801*설정!$C$23)</f>
        <v/>
      </c>
      <c r="Q3801" s="39">
        <f>IF($A3801="","",IF(O3801&lt;&gt;원인분석!$C$9,"",IF(AND(M3801&gt;=원인분석!$C$10,M3801&lt;=원인분석!$C$11),"당기",IF(AND(M3801&gt;=원인분석!$C$12,M3801&lt;=원인분석!$C$13),"비교",""))))</f>
        <v/>
      </c>
      <c r="R3801" s="9">
        <f>IF(Q3801="","",$K3801&amp;"")</f>
        <v/>
      </c>
      <c r="S3801" s="9">
        <f>IF(Q3801="","",IF(MATCH(R3801,$R$5:$R$100000,0)=ROW()-4,ROW(),""))</f>
        <v/>
      </c>
      <c r="T3801" s="9">
        <f>IF(Q3801="당기",ABS(P3801)+ROW()/1000000000,"")</f>
        <v/>
      </c>
      <c r="U3801" s="9">
        <f>IF(Q3801="비교",ABS(P3801)+ROW()/1000000000,"")</f>
        <v/>
      </c>
      <c r="V3801" s="39">
        <f>IF($A3801="","",IF(COUNTIF(변동분석!$E$7:$E$506,O3801)&gt;0,"Y","N"))</f>
        <v/>
      </c>
      <c r="W3801" s="39">
        <f>IF($A3801="","",IFERROR(INDEX(계정매핑!$D$5:$D$504,MATCH($F3801&amp;"",계정매핑!$A$5:$A$504,0)),"미매핑"))</f>
        <v/>
      </c>
      <c r="X3801" s="9">
        <f>IF($A3801="","",$F3801&amp;"")</f>
        <v/>
      </c>
    </row>
    <row r="3802">
      <c r="A3802" s="75" t="n">
        <v>2026</v>
      </c>
      <c r="B3802" s="75" t="n">
        <v>8</v>
      </c>
      <c r="C3802" s="75" t="inlineStr">
        <is>
          <t>5100001458</t>
        </is>
      </c>
      <c r="D3802" s="78" t="n">
        <v>46246</v>
      </c>
      <c r="E3802" s="75" t="inlineStr">
        <is>
          <t>KR</t>
        </is>
      </c>
      <c r="F3802" s="75" t="n">
        <v>62101000</v>
      </c>
      <c r="G3802" s="75" t="n">
        <v>1101</v>
      </c>
      <c r="H3802" s="76" t="n">
        <v>495000</v>
      </c>
      <c r="I3802" s="75" t="inlineStr">
        <is>
          <t>8월 국내출장 - L여행사</t>
        </is>
      </c>
      <c r="J3802" s="75" t="inlineStr">
        <is>
          <t>V10014</t>
        </is>
      </c>
      <c r="K3802" s="75" t="inlineStr">
        <is>
          <t>L여행사</t>
        </is>
      </c>
      <c r="M3802" s="9">
        <f>IF($A3802="","",VALUE($A3802&amp;"")*12+VALUE($B3802&amp;""))</f>
        <v/>
      </c>
      <c r="N3802" s="39">
        <f>IF($A3802="","",IFERROR(INDEX(부서매핑!$C$5:$C$504,MATCH($G3802&amp;"",부서매핑!$A$5:$A$504,0)),"미매핑"))</f>
        <v/>
      </c>
      <c r="O3802" s="9">
        <f>IF($A3802="","",N3802&amp;"|"&amp;$F3802)</f>
        <v/>
      </c>
      <c r="P3802" s="77">
        <f>IF($A3802="",0,$H3802*설정!$C$23)</f>
        <v/>
      </c>
      <c r="Q3802" s="39">
        <f>IF($A3802="","",IF(O3802&lt;&gt;원인분석!$C$9,"",IF(AND(M3802&gt;=원인분석!$C$10,M3802&lt;=원인분석!$C$11),"당기",IF(AND(M3802&gt;=원인분석!$C$12,M3802&lt;=원인분석!$C$13),"비교",""))))</f>
        <v/>
      </c>
      <c r="R3802" s="9">
        <f>IF(Q3802="","",$K3802&amp;"")</f>
        <v/>
      </c>
      <c r="S3802" s="9">
        <f>IF(Q3802="","",IF(MATCH(R3802,$R$5:$R$100000,0)=ROW()-4,ROW(),""))</f>
        <v/>
      </c>
      <c r="T3802" s="9">
        <f>IF(Q3802="당기",ABS(P3802)+ROW()/1000000000,"")</f>
        <v/>
      </c>
      <c r="U3802" s="9">
        <f>IF(Q3802="비교",ABS(P3802)+ROW()/1000000000,"")</f>
        <v/>
      </c>
      <c r="V3802" s="39">
        <f>IF($A3802="","",IF(COUNTIF(변동분석!$E$7:$E$506,O3802)&gt;0,"Y","N"))</f>
        <v/>
      </c>
      <c r="W3802" s="39">
        <f>IF($A3802="","",IFERROR(INDEX(계정매핑!$D$5:$D$504,MATCH($F3802&amp;"",계정매핑!$A$5:$A$504,0)),"미매핑"))</f>
        <v/>
      </c>
      <c r="X3802" s="9">
        <f>IF($A3802="","",$F3802&amp;"")</f>
        <v/>
      </c>
    </row>
    <row r="3803">
      <c r="A3803" s="75" t="n">
        <v>2026</v>
      </c>
      <c r="B3803" s="75" t="n">
        <v>8</v>
      </c>
      <c r="C3803" s="75" t="inlineStr">
        <is>
          <t>5100001459</t>
        </is>
      </c>
      <c r="D3803" s="78" t="n">
        <v>46246</v>
      </c>
      <c r="E3803" s="75" t="inlineStr">
        <is>
          <t>KR</t>
        </is>
      </c>
      <c r="F3803" s="75" t="n">
        <v>62101000</v>
      </c>
      <c r="G3803" s="75" t="n">
        <v>1701</v>
      </c>
      <c r="H3803" s="76" t="n">
        <v>184000</v>
      </c>
      <c r="I3803" s="75" t="inlineStr">
        <is>
          <t>8월 국내출장 - M항공</t>
        </is>
      </c>
      <c r="J3803" s="75" t="inlineStr">
        <is>
          <t>V10001</t>
        </is>
      </c>
      <c r="K3803" s="75" t="inlineStr">
        <is>
          <t>M항공</t>
        </is>
      </c>
      <c r="M3803" s="9">
        <f>IF($A3803="","",VALUE($A3803&amp;"")*12+VALUE($B3803&amp;""))</f>
        <v/>
      </c>
      <c r="N3803" s="39">
        <f>IF($A3803="","",IFERROR(INDEX(부서매핑!$C$5:$C$504,MATCH($G3803&amp;"",부서매핑!$A$5:$A$504,0)),"미매핑"))</f>
        <v/>
      </c>
      <c r="O3803" s="9">
        <f>IF($A3803="","",N3803&amp;"|"&amp;$F3803)</f>
        <v/>
      </c>
      <c r="P3803" s="77">
        <f>IF($A3803="",0,$H3803*설정!$C$23)</f>
        <v/>
      </c>
      <c r="Q3803" s="39">
        <f>IF($A3803="","",IF(O3803&lt;&gt;원인분석!$C$9,"",IF(AND(M3803&gt;=원인분석!$C$10,M3803&lt;=원인분석!$C$11),"당기",IF(AND(M3803&gt;=원인분석!$C$12,M3803&lt;=원인분석!$C$13),"비교",""))))</f>
        <v/>
      </c>
      <c r="R3803" s="9">
        <f>IF(Q3803="","",$K3803&amp;"")</f>
        <v/>
      </c>
      <c r="S3803" s="9">
        <f>IF(Q3803="","",IF(MATCH(R3803,$R$5:$R$100000,0)=ROW()-4,ROW(),""))</f>
        <v/>
      </c>
      <c r="T3803" s="9">
        <f>IF(Q3803="당기",ABS(P3803)+ROW()/1000000000,"")</f>
        <v/>
      </c>
      <c r="U3803" s="9">
        <f>IF(Q3803="비교",ABS(P3803)+ROW()/1000000000,"")</f>
        <v/>
      </c>
      <c r="V3803" s="39">
        <f>IF($A3803="","",IF(COUNTIF(변동분석!$E$7:$E$506,O3803)&gt;0,"Y","N"))</f>
        <v/>
      </c>
      <c r="W3803" s="39">
        <f>IF($A3803="","",IFERROR(INDEX(계정매핑!$D$5:$D$504,MATCH($F3803&amp;"",계정매핑!$A$5:$A$504,0)),"미매핑"))</f>
        <v/>
      </c>
      <c r="X3803" s="9">
        <f>IF($A3803="","",$F3803&amp;"")</f>
        <v/>
      </c>
    </row>
    <row r="3804">
      <c r="A3804" s="75" t="n">
        <v>2026</v>
      </c>
      <c r="B3804" s="75" t="n">
        <v>8</v>
      </c>
      <c r="C3804" s="75" t="inlineStr">
        <is>
          <t>5100001460</t>
        </is>
      </c>
      <c r="D3804" s="78" t="n">
        <v>46246</v>
      </c>
      <c r="E3804" s="75" t="inlineStr">
        <is>
          <t>KR</t>
        </is>
      </c>
      <c r="F3804" s="75" t="n">
        <v>62102000</v>
      </c>
      <c r="G3804" s="75" t="n">
        <v>1201</v>
      </c>
      <c r="H3804" s="76" t="n">
        <v>46000</v>
      </c>
      <c r="I3804" s="75" t="inlineStr">
        <is>
          <t>8월 해외출장 - N호텔</t>
        </is>
      </c>
      <c r="J3804" s="75" t="inlineStr">
        <is>
          <t>V10007</t>
        </is>
      </c>
      <c r="K3804" s="75" t="inlineStr">
        <is>
          <t>N호텔</t>
        </is>
      </c>
      <c r="M3804" s="9">
        <f>IF($A3804="","",VALUE($A3804&amp;"")*12+VALUE($B3804&amp;""))</f>
        <v/>
      </c>
      <c r="N3804" s="39">
        <f>IF($A3804="","",IFERROR(INDEX(부서매핑!$C$5:$C$504,MATCH($G3804&amp;"",부서매핑!$A$5:$A$504,0)),"미매핑"))</f>
        <v/>
      </c>
      <c r="O3804" s="9">
        <f>IF($A3804="","",N3804&amp;"|"&amp;$F3804)</f>
        <v/>
      </c>
      <c r="P3804" s="77">
        <f>IF($A3804="",0,$H3804*설정!$C$23)</f>
        <v/>
      </c>
      <c r="Q3804" s="39">
        <f>IF($A3804="","",IF(O3804&lt;&gt;원인분석!$C$9,"",IF(AND(M3804&gt;=원인분석!$C$10,M3804&lt;=원인분석!$C$11),"당기",IF(AND(M3804&gt;=원인분석!$C$12,M3804&lt;=원인분석!$C$13),"비교",""))))</f>
        <v/>
      </c>
      <c r="R3804" s="9">
        <f>IF(Q3804="","",$K3804&amp;"")</f>
        <v/>
      </c>
      <c r="S3804" s="9">
        <f>IF(Q3804="","",IF(MATCH(R3804,$R$5:$R$100000,0)=ROW()-4,ROW(),""))</f>
        <v/>
      </c>
      <c r="T3804" s="9">
        <f>IF(Q3804="당기",ABS(P3804)+ROW()/1000000000,"")</f>
        <v/>
      </c>
      <c r="U3804" s="9">
        <f>IF(Q3804="비교",ABS(P3804)+ROW()/1000000000,"")</f>
        <v/>
      </c>
      <c r="V3804" s="39">
        <f>IF($A3804="","",IF(COUNTIF(변동분석!$E$7:$E$506,O3804)&gt;0,"Y","N"))</f>
        <v/>
      </c>
      <c r="W3804" s="39">
        <f>IF($A3804="","",IFERROR(INDEX(계정매핑!$D$5:$D$504,MATCH($F3804&amp;"",계정매핑!$A$5:$A$504,0)),"미매핑"))</f>
        <v/>
      </c>
      <c r="X3804" s="9">
        <f>IF($A3804="","",$F3804&amp;"")</f>
        <v/>
      </c>
    </row>
    <row r="3805">
      <c r="A3805" s="75" t="n">
        <v>2026</v>
      </c>
      <c r="B3805" s="75" t="n">
        <v>8</v>
      </c>
      <c r="C3805" s="75" t="inlineStr">
        <is>
          <t>5100001461</t>
        </is>
      </c>
      <c r="D3805" s="78" t="n">
        <v>46246</v>
      </c>
      <c r="E3805" s="75" t="inlineStr">
        <is>
          <t>KR</t>
        </is>
      </c>
      <c r="F3805" s="75" t="n">
        <v>62301000</v>
      </c>
      <c r="G3805" s="75" t="n">
        <v>1201</v>
      </c>
      <c r="H3805" s="76" t="n">
        <v>92000</v>
      </c>
      <c r="I3805" s="75" t="inlineStr">
        <is>
          <t>8월 소모품 구입 - R문구</t>
        </is>
      </c>
      <c r="J3805" s="75" t="inlineStr">
        <is>
          <t>V10018</t>
        </is>
      </c>
      <c r="K3805" s="75" t="inlineStr">
        <is>
          <t>R문구</t>
        </is>
      </c>
      <c r="M3805" s="9">
        <f>IF($A3805="","",VALUE($A3805&amp;"")*12+VALUE($B3805&amp;""))</f>
        <v/>
      </c>
      <c r="N3805" s="39">
        <f>IF($A3805="","",IFERROR(INDEX(부서매핑!$C$5:$C$504,MATCH($G3805&amp;"",부서매핑!$A$5:$A$504,0)),"미매핑"))</f>
        <v/>
      </c>
      <c r="O3805" s="9">
        <f>IF($A3805="","",N3805&amp;"|"&amp;$F3805)</f>
        <v/>
      </c>
      <c r="P3805" s="77">
        <f>IF($A3805="",0,$H3805*설정!$C$23)</f>
        <v/>
      </c>
      <c r="Q3805" s="39">
        <f>IF($A3805="","",IF(O3805&lt;&gt;원인분석!$C$9,"",IF(AND(M3805&gt;=원인분석!$C$10,M3805&lt;=원인분석!$C$11),"당기",IF(AND(M3805&gt;=원인분석!$C$12,M3805&lt;=원인분석!$C$13),"비교",""))))</f>
        <v/>
      </c>
      <c r="R3805" s="9">
        <f>IF(Q3805="","",$K3805&amp;"")</f>
        <v/>
      </c>
      <c r="S3805" s="9">
        <f>IF(Q3805="","",IF(MATCH(R3805,$R$5:$R$100000,0)=ROW()-4,ROW(),""))</f>
        <v/>
      </c>
      <c r="T3805" s="9">
        <f>IF(Q3805="당기",ABS(P3805)+ROW()/1000000000,"")</f>
        <v/>
      </c>
      <c r="U3805" s="9">
        <f>IF(Q3805="비교",ABS(P3805)+ROW()/1000000000,"")</f>
        <v/>
      </c>
      <c r="V3805" s="39">
        <f>IF($A3805="","",IF(COUNTIF(변동분석!$E$7:$E$506,O3805)&gt;0,"Y","N"))</f>
        <v/>
      </c>
      <c r="W3805" s="39">
        <f>IF($A3805="","",IFERROR(INDEX(계정매핑!$D$5:$D$504,MATCH($F3805&amp;"",계정매핑!$A$5:$A$504,0)),"미매핑"))</f>
        <v/>
      </c>
      <c r="X3805" s="9">
        <f>IF($A3805="","",$F3805&amp;"")</f>
        <v/>
      </c>
    </row>
    <row r="3806">
      <c r="A3806" s="75" t="n">
        <v>2026</v>
      </c>
      <c r="B3806" s="75" t="n">
        <v>8</v>
      </c>
      <c r="C3806" s="75" t="inlineStr">
        <is>
          <t>5100001462</t>
        </is>
      </c>
      <c r="D3806" s="78" t="n">
        <v>46246</v>
      </c>
      <c r="E3806" s="75" t="inlineStr">
        <is>
          <t>KR</t>
        </is>
      </c>
      <c r="F3806" s="75" t="n">
        <v>62301000</v>
      </c>
      <c r="G3806" s="75" t="n">
        <v>1701</v>
      </c>
      <c r="H3806" s="76" t="n">
        <v>288000</v>
      </c>
      <c r="I3806" s="75" t="inlineStr">
        <is>
          <t>8월 소모품 구입 - R문구</t>
        </is>
      </c>
      <c r="J3806" s="75" t="inlineStr">
        <is>
          <t>V10018</t>
        </is>
      </c>
      <c r="K3806" s="75" t="inlineStr">
        <is>
          <t>R문구</t>
        </is>
      </c>
      <c r="M3806" s="9">
        <f>IF($A3806="","",VALUE($A3806&amp;"")*12+VALUE($B3806&amp;""))</f>
        <v/>
      </c>
      <c r="N3806" s="39">
        <f>IF($A3806="","",IFERROR(INDEX(부서매핑!$C$5:$C$504,MATCH($G3806&amp;"",부서매핑!$A$5:$A$504,0)),"미매핑"))</f>
        <v/>
      </c>
      <c r="O3806" s="9">
        <f>IF($A3806="","",N3806&amp;"|"&amp;$F3806)</f>
        <v/>
      </c>
      <c r="P3806" s="77">
        <f>IF($A3806="",0,$H3806*설정!$C$23)</f>
        <v/>
      </c>
      <c r="Q3806" s="39">
        <f>IF($A3806="","",IF(O3806&lt;&gt;원인분석!$C$9,"",IF(AND(M3806&gt;=원인분석!$C$10,M3806&lt;=원인분석!$C$11),"당기",IF(AND(M3806&gt;=원인분석!$C$12,M3806&lt;=원인분석!$C$13),"비교",""))))</f>
        <v/>
      </c>
      <c r="R3806" s="9">
        <f>IF(Q3806="","",$K3806&amp;"")</f>
        <v/>
      </c>
      <c r="S3806" s="9">
        <f>IF(Q3806="","",IF(MATCH(R3806,$R$5:$R$100000,0)=ROW()-4,ROW(),""))</f>
        <v/>
      </c>
      <c r="T3806" s="9">
        <f>IF(Q3806="당기",ABS(P3806)+ROW()/1000000000,"")</f>
        <v/>
      </c>
      <c r="U3806" s="9">
        <f>IF(Q3806="비교",ABS(P3806)+ROW()/1000000000,"")</f>
        <v/>
      </c>
      <c r="V3806" s="39">
        <f>IF($A3806="","",IF(COUNTIF(변동분석!$E$7:$E$506,O3806)&gt;0,"Y","N"))</f>
        <v/>
      </c>
      <c r="W3806" s="39">
        <f>IF($A3806="","",IFERROR(INDEX(계정매핑!$D$5:$D$504,MATCH($F3806&amp;"",계정매핑!$A$5:$A$504,0)),"미매핑"))</f>
        <v/>
      </c>
      <c r="X3806" s="9">
        <f>IF($A3806="","",$F3806&amp;"")</f>
        <v/>
      </c>
    </row>
    <row r="3807">
      <c r="A3807" s="75" t="n">
        <v>2026</v>
      </c>
      <c r="B3807" s="75" t="n">
        <v>8</v>
      </c>
      <c r="C3807" s="75" t="inlineStr">
        <is>
          <t>5100001463</t>
        </is>
      </c>
      <c r="D3807" s="78" t="n">
        <v>46246</v>
      </c>
      <c r="E3807" s="75" t="inlineStr">
        <is>
          <t>KR</t>
        </is>
      </c>
      <c r="F3807" s="75" t="n">
        <v>62601000</v>
      </c>
      <c r="G3807" s="75" t="n">
        <v>1301</v>
      </c>
      <c r="H3807" s="76" t="n">
        <v>709000</v>
      </c>
      <c r="I3807" s="75" t="inlineStr">
        <is>
          <t>8월 업무추진 - (법인카드)</t>
        </is>
      </c>
      <c r="J3807" s="75" t="inlineStr">
        <is>
          <t>V10008</t>
        </is>
      </c>
      <c r="K3807" s="75" t="inlineStr">
        <is>
          <t>(법인카드)</t>
        </is>
      </c>
      <c r="M3807" s="9">
        <f>IF($A3807="","",VALUE($A3807&amp;"")*12+VALUE($B3807&amp;""))</f>
        <v/>
      </c>
      <c r="N3807" s="39">
        <f>IF($A3807="","",IFERROR(INDEX(부서매핑!$C$5:$C$504,MATCH($G3807&amp;"",부서매핑!$A$5:$A$504,0)),"미매핑"))</f>
        <v/>
      </c>
      <c r="O3807" s="9">
        <f>IF($A3807="","",N3807&amp;"|"&amp;$F3807)</f>
        <v/>
      </c>
      <c r="P3807" s="77">
        <f>IF($A3807="",0,$H3807*설정!$C$23)</f>
        <v/>
      </c>
      <c r="Q3807" s="39">
        <f>IF($A3807="","",IF(O3807&lt;&gt;원인분석!$C$9,"",IF(AND(M3807&gt;=원인분석!$C$10,M3807&lt;=원인분석!$C$11),"당기",IF(AND(M3807&gt;=원인분석!$C$12,M3807&lt;=원인분석!$C$13),"비교",""))))</f>
        <v/>
      </c>
      <c r="R3807" s="9">
        <f>IF(Q3807="","",$K3807&amp;"")</f>
        <v/>
      </c>
      <c r="S3807" s="9">
        <f>IF(Q3807="","",IF(MATCH(R3807,$R$5:$R$100000,0)=ROW()-4,ROW(),""))</f>
        <v/>
      </c>
      <c r="T3807" s="9">
        <f>IF(Q3807="당기",ABS(P3807)+ROW()/1000000000,"")</f>
        <v/>
      </c>
      <c r="U3807" s="9">
        <f>IF(Q3807="비교",ABS(P3807)+ROW()/1000000000,"")</f>
        <v/>
      </c>
      <c r="V3807" s="39">
        <f>IF($A3807="","",IF(COUNTIF(변동분석!$E$7:$E$506,O3807)&gt;0,"Y","N"))</f>
        <v/>
      </c>
      <c r="W3807" s="39">
        <f>IF($A3807="","",IFERROR(INDEX(계정매핑!$D$5:$D$504,MATCH($F3807&amp;"",계정매핑!$A$5:$A$504,0)),"미매핑"))</f>
        <v/>
      </c>
      <c r="X3807" s="9">
        <f>IF($A3807="","",$F3807&amp;"")</f>
        <v/>
      </c>
    </row>
    <row r="3808">
      <c r="A3808" s="75" t="n">
        <v>2026</v>
      </c>
      <c r="B3808" s="75" t="n">
        <v>8</v>
      </c>
      <c r="C3808" s="75" t="inlineStr">
        <is>
          <t>5100001464</t>
        </is>
      </c>
      <c r="D3808" s="78" t="n">
        <v>46246</v>
      </c>
      <c r="E3808" s="75" t="inlineStr">
        <is>
          <t>KR</t>
        </is>
      </c>
      <c r="F3808" s="75" t="n">
        <v>62901000</v>
      </c>
      <c r="G3808" s="75" t="n">
        <v>1801</v>
      </c>
      <c r="H3808" s="76" t="n">
        <v>9487000</v>
      </c>
      <c r="I3808" s="75" t="inlineStr">
        <is>
          <t>8월 자문 수수료 - W컨설팅</t>
        </is>
      </c>
      <c r="J3808" s="75" t="inlineStr">
        <is>
          <t>V10009</t>
        </is>
      </c>
      <c r="K3808" s="75" t="inlineStr">
        <is>
          <t>W컨설팅</t>
        </is>
      </c>
      <c r="M3808" s="9">
        <f>IF($A3808="","",VALUE($A3808&amp;"")*12+VALUE($B3808&amp;""))</f>
        <v/>
      </c>
      <c r="N3808" s="39">
        <f>IF($A3808="","",IFERROR(INDEX(부서매핑!$C$5:$C$504,MATCH($G3808&amp;"",부서매핑!$A$5:$A$504,0)),"미매핑"))</f>
        <v/>
      </c>
      <c r="O3808" s="9">
        <f>IF($A3808="","",N3808&amp;"|"&amp;$F3808)</f>
        <v/>
      </c>
      <c r="P3808" s="77">
        <f>IF($A3808="",0,$H3808*설정!$C$23)</f>
        <v/>
      </c>
      <c r="Q3808" s="39">
        <f>IF($A3808="","",IF(O3808&lt;&gt;원인분석!$C$9,"",IF(AND(M3808&gt;=원인분석!$C$10,M3808&lt;=원인분석!$C$11),"당기",IF(AND(M3808&gt;=원인분석!$C$12,M3808&lt;=원인분석!$C$13),"비교",""))))</f>
        <v/>
      </c>
      <c r="R3808" s="9">
        <f>IF(Q3808="","",$K3808&amp;"")</f>
        <v/>
      </c>
      <c r="S3808" s="9">
        <f>IF(Q3808="","",IF(MATCH(R3808,$R$5:$R$100000,0)=ROW()-4,ROW(),""))</f>
        <v/>
      </c>
      <c r="T3808" s="9">
        <f>IF(Q3808="당기",ABS(P3808)+ROW()/1000000000,"")</f>
        <v/>
      </c>
      <c r="U3808" s="9">
        <f>IF(Q3808="비교",ABS(P3808)+ROW()/1000000000,"")</f>
        <v/>
      </c>
      <c r="V3808" s="39">
        <f>IF($A3808="","",IF(COUNTIF(변동분석!$E$7:$E$506,O3808)&gt;0,"Y","N"))</f>
        <v/>
      </c>
      <c r="W3808" s="39">
        <f>IF($A3808="","",IFERROR(INDEX(계정매핑!$D$5:$D$504,MATCH($F3808&amp;"",계정매핑!$A$5:$A$504,0)),"미매핑"))</f>
        <v/>
      </c>
      <c r="X3808" s="9">
        <f>IF($A3808="","",$F3808&amp;"")</f>
        <v/>
      </c>
    </row>
    <row r="3809">
      <c r="A3809" s="75" t="n">
        <v>2026</v>
      </c>
      <c r="B3809" s="75" t="n">
        <v>8</v>
      </c>
      <c r="C3809" s="75" t="inlineStr">
        <is>
          <t>5100001465</t>
        </is>
      </c>
      <c r="D3809" s="78" t="n">
        <v>46246</v>
      </c>
      <c r="E3809" s="75" t="inlineStr">
        <is>
          <t>KR</t>
        </is>
      </c>
      <c r="F3809" s="75" t="n">
        <v>62901000</v>
      </c>
      <c r="G3809" s="75" t="n">
        <v>1801</v>
      </c>
      <c r="H3809" s="76" t="n">
        <v>9534000</v>
      </c>
      <c r="I3809" s="75" t="inlineStr">
        <is>
          <t>8월 자문 수수료 - W컨설팅</t>
        </is>
      </c>
      <c r="J3809" s="75" t="inlineStr">
        <is>
          <t>V10009</t>
        </is>
      </c>
      <c r="K3809" s="75" t="inlineStr">
        <is>
          <t>W컨설팅</t>
        </is>
      </c>
      <c r="M3809" s="9">
        <f>IF($A3809="","",VALUE($A3809&amp;"")*12+VALUE($B3809&amp;""))</f>
        <v/>
      </c>
      <c r="N3809" s="39">
        <f>IF($A3809="","",IFERROR(INDEX(부서매핑!$C$5:$C$504,MATCH($G3809&amp;"",부서매핑!$A$5:$A$504,0)),"미매핑"))</f>
        <v/>
      </c>
      <c r="O3809" s="9">
        <f>IF($A3809="","",N3809&amp;"|"&amp;$F3809)</f>
        <v/>
      </c>
      <c r="P3809" s="77">
        <f>IF($A3809="",0,$H3809*설정!$C$23)</f>
        <v/>
      </c>
      <c r="Q3809" s="39">
        <f>IF($A3809="","",IF(O3809&lt;&gt;원인분석!$C$9,"",IF(AND(M3809&gt;=원인분석!$C$10,M3809&lt;=원인분석!$C$11),"당기",IF(AND(M3809&gt;=원인분석!$C$12,M3809&lt;=원인분석!$C$13),"비교",""))))</f>
        <v/>
      </c>
      <c r="R3809" s="9">
        <f>IF(Q3809="","",$K3809&amp;"")</f>
        <v/>
      </c>
      <c r="S3809" s="9">
        <f>IF(Q3809="","",IF(MATCH(R3809,$R$5:$R$100000,0)=ROW()-4,ROW(),""))</f>
        <v/>
      </c>
      <c r="T3809" s="9">
        <f>IF(Q3809="당기",ABS(P3809)+ROW()/1000000000,"")</f>
        <v/>
      </c>
      <c r="U3809" s="9">
        <f>IF(Q3809="비교",ABS(P3809)+ROW()/1000000000,"")</f>
        <v/>
      </c>
      <c r="V3809" s="39">
        <f>IF($A3809="","",IF(COUNTIF(변동분석!$E$7:$E$506,O3809)&gt;0,"Y","N"))</f>
        <v/>
      </c>
      <c r="W3809" s="39">
        <f>IF($A3809="","",IFERROR(INDEX(계정매핑!$D$5:$D$504,MATCH($F3809&amp;"",계정매핑!$A$5:$A$504,0)),"미매핑"))</f>
        <v/>
      </c>
      <c r="X3809" s="9">
        <f>IF($A3809="","",$F3809&amp;"")</f>
        <v/>
      </c>
    </row>
    <row r="3810">
      <c r="A3810" s="75" t="n">
        <v>2026</v>
      </c>
      <c r="B3810" s="75" t="n">
        <v>8</v>
      </c>
      <c r="C3810" s="75" t="inlineStr">
        <is>
          <t>5100001466</t>
        </is>
      </c>
      <c r="D3810" s="78" t="n">
        <v>46246</v>
      </c>
      <c r="E3810" s="75" t="inlineStr">
        <is>
          <t>KR</t>
        </is>
      </c>
      <c r="F3810" s="75" t="n">
        <v>62902000</v>
      </c>
      <c r="G3810" s="75" t="n">
        <v>1101</v>
      </c>
      <c r="H3810" s="76" t="n">
        <v>1490000</v>
      </c>
      <c r="I3810" s="75" t="inlineStr">
        <is>
          <t>8월 업무 위탁 수수료 - J콜센터</t>
        </is>
      </c>
      <c r="J3810" s="75" t="inlineStr">
        <is>
          <t>V10013</t>
        </is>
      </c>
      <c r="K3810" s="75" t="inlineStr">
        <is>
          <t>J콜센터</t>
        </is>
      </c>
      <c r="M3810" s="9">
        <f>IF($A3810="","",VALUE($A3810&amp;"")*12+VALUE($B3810&amp;""))</f>
        <v/>
      </c>
      <c r="N3810" s="39">
        <f>IF($A3810="","",IFERROR(INDEX(부서매핑!$C$5:$C$504,MATCH($G3810&amp;"",부서매핑!$A$5:$A$504,0)),"미매핑"))</f>
        <v/>
      </c>
      <c r="O3810" s="9">
        <f>IF($A3810="","",N3810&amp;"|"&amp;$F3810)</f>
        <v/>
      </c>
      <c r="P3810" s="77">
        <f>IF($A3810="",0,$H3810*설정!$C$23)</f>
        <v/>
      </c>
      <c r="Q3810" s="39">
        <f>IF($A3810="","",IF(O3810&lt;&gt;원인분석!$C$9,"",IF(AND(M3810&gt;=원인분석!$C$10,M3810&lt;=원인분석!$C$11),"당기",IF(AND(M3810&gt;=원인분석!$C$12,M3810&lt;=원인분석!$C$13),"비교",""))))</f>
        <v/>
      </c>
      <c r="R3810" s="9">
        <f>IF(Q3810="","",$K3810&amp;"")</f>
        <v/>
      </c>
      <c r="S3810" s="9">
        <f>IF(Q3810="","",IF(MATCH(R3810,$R$5:$R$100000,0)=ROW()-4,ROW(),""))</f>
        <v/>
      </c>
      <c r="T3810" s="9">
        <f>IF(Q3810="당기",ABS(P3810)+ROW()/1000000000,"")</f>
        <v/>
      </c>
      <c r="U3810" s="9">
        <f>IF(Q3810="비교",ABS(P3810)+ROW()/1000000000,"")</f>
        <v/>
      </c>
      <c r="V3810" s="39">
        <f>IF($A3810="","",IF(COUNTIF(변동분석!$E$7:$E$506,O3810)&gt;0,"Y","N"))</f>
        <v/>
      </c>
      <c r="W3810" s="39">
        <f>IF($A3810="","",IFERROR(INDEX(계정매핑!$D$5:$D$504,MATCH($F3810&amp;"",계정매핑!$A$5:$A$504,0)),"미매핑"))</f>
        <v/>
      </c>
      <c r="X3810" s="9">
        <f>IF($A3810="","",$F3810&amp;"")</f>
        <v/>
      </c>
    </row>
    <row r="3811">
      <c r="A3811" s="75" t="n">
        <v>2026</v>
      </c>
      <c r="B3811" s="75" t="n">
        <v>8</v>
      </c>
      <c r="C3811" s="75" t="inlineStr">
        <is>
          <t>5100001467</t>
        </is>
      </c>
      <c r="D3811" s="78" t="n">
        <v>46247</v>
      </c>
      <c r="E3811" s="75" t="inlineStr">
        <is>
          <t>KR</t>
        </is>
      </c>
      <c r="F3811" s="75" t="n">
        <v>62301000</v>
      </c>
      <c r="G3811" s="75" t="n">
        <v>1301</v>
      </c>
      <c r="H3811" s="76" t="n">
        <v>218000</v>
      </c>
      <c r="I3811" s="75" t="inlineStr">
        <is>
          <t>8월 소모품 구입 - R문구</t>
        </is>
      </c>
      <c r="J3811" s="75" t="inlineStr">
        <is>
          <t>V10018</t>
        </is>
      </c>
      <c r="K3811" s="75" t="inlineStr">
        <is>
          <t>R문구</t>
        </is>
      </c>
      <c r="M3811" s="9">
        <f>IF($A3811="","",VALUE($A3811&amp;"")*12+VALUE($B3811&amp;""))</f>
        <v/>
      </c>
      <c r="N3811" s="39">
        <f>IF($A3811="","",IFERROR(INDEX(부서매핑!$C$5:$C$504,MATCH($G3811&amp;"",부서매핑!$A$5:$A$504,0)),"미매핑"))</f>
        <v/>
      </c>
      <c r="O3811" s="9">
        <f>IF($A3811="","",N3811&amp;"|"&amp;$F3811)</f>
        <v/>
      </c>
      <c r="P3811" s="77">
        <f>IF($A3811="",0,$H3811*설정!$C$23)</f>
        <v/>
      </c>
      <c r="Q3811" s="39">
        <f>IF($A3811="","",IF(O3811&lt;&gt;원인분석!$C$9,"",IF(AND(M3811&gt;=원인분석!$C$10,M3811&lt;=원인분석!$C$11),"당기",IF(AND(M3811&gt;=원인분석!$C$12,M3811&lt;=원인분석!$C$13),"비교",""))))</f>
        <v/>
      </c>
      <c r="R3811" s="9">
        <f>IF(Q3811="","",$K3811&amp;"")</f>
        <v/>
      </c>
      <c r="S3811" s="9">
        <f>IF(Q3811="","",IF(MATCH(R3811,$R$5:$R$100000,0)=ROW()-4,ROW(),""))</f>
        <v/>
      </c>
      <c r="T3811" s="9">
        <f>IF(Q3811="당기",ABS(P3811)+ROW()/1000000000,"")</f>
        <v/>
      </c>
      <c r="U3811" s="9">
        <f>IF(Q3811="비교",ABS(P3811)+ROW()/1000000000,"")</f>
        <v/>
      </c>
      <c r="V3811" s="39">
        <f>IF($A3811="","",IF(COUNTIF(변동분석!$E$7:$E$506,O3811)&gt;0,"Y","N"))</f>
        <v/>
      </c>
      <c r="W3811" s="39">
        <f>IF($A3811="","",IFERROR(INDEX(계정매핑!$D$5:$D$504,MATCH($F3811&amp;"",계정매핑!$A$5:$A$504,0)),"미매핑"))</f>
        <v/>
      </c>
      <c r="X3811" s="9">
        <f>IF($A3811="","",$F3811&amp;"")</f>
        <v/>
      </c>
    </row>
    <row r="3812">
      <c r="A3812" s="75" t="n">
        <v>2026</v>
      </c>
      <c r="B3812" s="75" t="n">
        <v>8</v>
      </c>
      <c r="C3812" s="75" t="inlineStr">
        <is>
          <t>5100001468</t>
        </is>
      </c>
      <c r="D3812" s="78" t="n">
        <v>46247</v>
      </c>
      <c r="E3812" s="75" t="inlineStr">
        <is>
          <t>KR</t>
        </is>
      </c>
      <c r="F3812" s="75" t="n">
        <v>62601000</v>
      </c>
      <c r="G3812" s="75" t="n">
        <v>1101</v>
      </c>
      <c r="H3812" s="76" t="n">
        <v>1447000</v>
      </c>
      <c r="I3812" s="75" t="inlineStr">
        <is>
          <t>8월 업무추진 - (법인카드)</t>
        </is>
      </c>
      <c r="J3812" s="75" t="inlineStr">
        <is>
          <t>V10008</t>
        </is>
      </c>
      <c r="K3812" s="75" t="inlineStr">
        <is>
          <t>(법인카드)</t>
        </is>
      </c>
      <c r="M3812" s="9">
        <f>IF($A3812="","",VALUE($A3812&amp;"")*12+VALUE($B3812&amp;""))</f>
        <v/>
      </c>
      <c r="N3812" s="39">
        <f>IF($A3812="","",IFERROR(INDEX(부서매핑!$C$5:$C$504,MATCH($G3812&amp;"",부서매핑!$A$5:$A$504,0)),"미매핑"))</f>
        <v/>
      </c>
      <c r="O3812" s="9">
        <f>IF($A3812="","",N3812&amp;"|"&amp;$F3812)</f>
        <v/>
      </c>
      <c r="P3812" s="77">
        <f>IF($A3812="",0,$H3812*설정!$C$23)</f>
        <v/>
      </c>
      <c r="Q3812" s="39">
        <f>IF($A3812="","",IF(O3812&lt;&gt;원인분석!$C$9,"",IF(AND(M3812&gt;=원인분석!$C$10,M3812&lt;=원인분석!$C$11),"당기",IF(AND(M3812&gt;=원인분석!$C$12,M3812&lt;=원인분석!$C$13),"비교",""))))</f>
        <v/>
      </c>
      <c r="R3812" s="9">
        <f>IF(Q3812="","",$K3812&amp;"")</f>
        <v/>
      </c>
      <c r="S3812" s="9">
        <f>IF(Q3812="","",IF(MATCH(R3812,$R$5:$R$100000,0)=ROW()-4,ROW(),""))</f>
        <v/>
      </c>
      <c r="T3812" s="9">
        <f>IF(Q3812="당기",ABS(P3812)+ROW()/1000000000,"")</f>
        <v/>
      </c>
      <c r="U3812" s="9">
        <f>IF(Q3812="비교",ABS(P3812)+ROW()/1000000000,"")</f>
        <v/>
      </c>
      <c r="V3812" s="39">
        <f>IF($A3812="","",IF(COUNTIF(변동분석!$E$7:$E$506,O3812)&gt;0,"Y","N"))</f>
        <v/>
      </c>
      <c r="W3812" s="39">
        <f>IF($A3812="","",IFERROR(INDEX(계정매핑!$D$5:$D$504,MATCH($F3812&amp;"",계정매핑!$A$5:$A$504,0)),"미매핑"))</f>
        <v/>
      </c>
      <c r="X3812" s="9">
        <f>IF($A3812="","",$F3812&amp;"")</f>
        <v/>
      </c>
    </row>
    <row r="3813">
      <c r="A3813" s="75" t="n">
        <v>2026</v>
      </c>
      <c r="B3813" s="75" t="n">
        <v>8</v>
      </c>
      <c r="C3813" s="75" t="inlineStr">
        <is>
          <t>5100001469</t>
        </is>
      </c>
      <c r="D3813" s="78" t="n">
        <v>46247</v>
      </c>
      <c r="E3813" s="75" t="inlineStr">
        <is>
          <t>KR</t>
        </is>
      </c>
      <c r="F3813" s="75" t="n">
        <v>62901000</v>
      </c>
      <c r="G3813" s="75" t="n">
        <v>1401</v>
      </c>
      <c r="H3813" s="76" t="n">
        <v>4576000</v>
      </c>
      <c r="I3813" s="75" t="inlineStr">
        <is>
          <t>8월 자문 수수료 - K회계법인</t>
        </is>
      </c>
      <c r="J3813" s="75" t="inlineStr">
        <is>
          <t>V10010</t>
        </is>
      </c>
      <c r="K3813" s="75" t="inlineStr">
        <is>
          <t>K회계법인</t>
        </is>
      </c>
      <c r="M3813" s="9">
        <f>IF($A3813="","",VALUE($A3813&amp;"")*12+VALUE($B3813&amp;""))</f>
        <v/>
      </c>
      <c r="N3813" s="39">
        <f>IF($A3813="","",IFERROR(INDEX(부서매핑!$C$5:$C$504,MATCH($G3813&amp;"",부서매핑!$A$5:$A$504,0)),"미매핑"))</f>
        <v/>
      </c>
      <c r="O3813" s="9">
        <f>IF($A3813="","",N3813&amp;"|"&amp;$F3813)</f>
        <v/>
      </c>
      <c r="P3813" s="77">
        <f>IF($A3813="",0,$H3813*설정!$C$23)</f>
        <v/>
      </c>
      <c r="Q3813" s="39">
        <f>IF($A3813="","",IF(O3813&lt;&gt;원인분석!$C$9,"",IF(AND(M3813&gt;=원인분석!$C$10,M3813&lt;=원인분석!$C$11),"당기",IF(AND(M3813&gt;=원인분석!$C$12,M3813&lt;=원인분석!$C$13),"비교",""))))</f>
        <v/>
      </c>
      <c r="R3813" s="9">
        <f>IF(Q3813="","",$K3813&amp;"")</f>
        <v/>
      </c>
      <c r="S3813" s="9">
        <f>IF(Q3813="","",IF(MATCH(R3813,$R$5:$R$100000,0)=ROW()-4,ROW(),""))</f>
        <v/>
      </c>
      <c r="T3813" s="9">
        <f>IF(Q3813="당기",ABS(P3813)+ROW()/1000000000,"")</f>
        <v/>
      </c>
      <c r="U3813" s="9">
        <f>IF(Q3813="비교",ABS(P3813)+ROW()/1000000000,"")</f>
        <v/>
      </c>
      <c r="V3813" s="39">
        <f>IF($A3813="","",IF(COUNTIF(변동분석!$E$7:$E$506,O3813)&gt;0,"Y","N"))</f>
        <v/>
      </c>
      <c r="W3813" s="39">
        <f>IF($A3813="","",IFERROR(INDEX(계정매핑!$D$5:$D$504,MATCH($F3813&amp;"",계정매핑!$A$5:$A$504,0)),"미매핑"))</f>
        <v/>
      </c>
      <c r="X3813" s="9">
        <f>IF($A3813="","",$F3813&amp;"")</f>
        <v/>
      </c>
    </row>
    <row r="3814">
      <c r="A3814" s="75" t="n">
        <v>2026</v>
      </c>
      <c r="B3814" s="75" t="n">
        <v>8</v>
      </c>
      <c r="C3814" s="75" t="inlineStr">
        <is>
          <t>5100001470</t>
        </is>
      </c>
      <c r="D3814" s="78" t="n">
        <v>46247</v>
      </c>
      <c r="E3814" s="75" t="inlineStr">
        <is>
          <t>KR</t>
        </is>
      </c>
      <c r="F3814" s="75" t="n">
        <v>62902000</v>
      </c>
      <c r="G3814" s="75" t="n">
        <v>1801</v>
      </c>
      <c r="H3814" s="76" t="n">
        <v>1791000</v>
      </c>
      <c r="I3814" s="75" t="inlineStr">
        <is>
          <t>8월 콜 위탁 수수료(건별)</t>
        </is>
      </c>
      <c r="J3814" s="75" t="inlineStr">
        <is>
          <t>V10013</t>
        </is>
      </c>
      <c r="K3814" s="75" t="inlineStr">
        <is>
          <t>J콜센터</t>
        </is>
      </c>
      <c r="M3814" s="9">
        <f>IF($A3814="","",VALUE($A3814&amp;"")*12+VALUE($B3814&amp;""))</f>
        <v/>
      </c>
      <c r="N3814" s="39">
        <f>IF($A3814="","",IFERROR(INDEX(부서매핑!$C$5:$C$504,MATCH($G3814&amp;"",부서매핑!$A$5:$A$504,0)),"미매핑"))</f>
        <v/>
      </c>
      <c r="O3814" s="9">
        <f>IF($A3814="","",N3814&amp;"|"&amp;$F3814)</f>
        <v/>
      </c>
      <c r="P3814" s="77">
        <f>IF($A3814="",0,$H3814*설정!$C$23)</f>
        <v/>
      </c>
      <c r="Q3814" s="39">
        <f>IF($A3814="","",IF(O3814&lt;&gt;원인분석!$C$9,"",IF(AND(M3814&gt;=원인분석!$C$10,M3814&lt;=원인분석!$C$11),"당기",IF(AND(M3814&gt;=원인분석!$C$12,M3814&lt;=원인분석!$C$13),"비교",""))))</f>
        <v/>
      </c>
      <c r="R3814" s="9">
        <f>IF(Q3814="","",$K3814&amp;"")</f>
        <v/>
      </c>
      <c r="S3814" s="9">
        <f>IF(Q3814="","",IF(MATCH(R3814,$R$5:$R$100000,0)=ROW()-4,ROW(),""))</f>
        <v/>
      </c>
      <c r="T3814" s="9">
        <f>IF(Q3814="당기",ABS(P3814)+ROW()/1000000000,"")</f>
        <v/>
      </c>
      <c r="U3814" s="9">
        <f>IF(Q3814="비교",ABS(P3814)+ROW()/1000000000,"")</f>
        <v/>
      </c>
      <c r="V3814" s="39">
        <f>IF($A3814="","",IF(COUNTIF(변동분석!$E$7:$E$506,O3814)&gt;0,"Y","N"))</f>
        <v/>
      </c>
      <c r="W3814" s="39">
        <f>IF($A3814="","",IFERROR(INDEX(계정매핑!$D$5:$D$504,MATCH($F3814&amp;"",계정매핑!$A$5:$A$504,0)),"미매핑"))</f>
        <v/>
      </c>
      <c r="X3814" s="9">
        <f>IF($A3814="","",$F3814&amp;"")</f>
        <v/>
      </c>
    </row>
    <row r="3815">
      <c r="A3815" s="75" t="n">
        <v>2026</v>
      </c>
      <c r="B3815" s="75" t="n">
        <v>8</v>
      </c>
      <c r="C3815" s="75" t="inlineStr">
        <is>
          <t>5100001471</t>
        </is>
      </c>
      <c r="D3815" s="78" t="n">
        <v>46247</v>
      </c>
      <c r="E3815" s="75" t="inlineStr">
        <is>
          <t>KR</t>
        </is>
      </c>
      <c r="F3815" s="75" t="n">
        <v>62902000</v>
      </c>
      <c r="G3815" s="75" t="n">
        <v>1801</v>
      </c>
      <c r="H3815" s="76" t="n">
        <v>1847000</v>
      </c>
      <c r="I3815" s="75" t="inlineStr">
        <is>
          <t>8월 콜 위탁 수수료(건별)</t>
        </is>
      </c>
      <c r="J3815" s="75" t="inlineStr">
        <is>
          <t>V10013</t>
        </is>
      </c>
      <c r="K3815" s="75" t="inlineStr">
        <is>
          <t>J콜센터</t>
        </is>
      </c>
      <c r="M3815" s="9">
        <f>IF($A3815="","",VALUE($A3815&amp;"")*12+VALUE($B3815&amp;""))</f>
        <v/>
      </c>
      <c r="N3815" s="39">
        <f>IF($A3815="","",IFERROR(INDEX(부서매핑!$C$5:$C$504,MATCH($G3815&amp;"",부서매핑!$A$5:$A$504,0)),"미매핑"))</f>
        <v/>
      </c>
      <c r="O3815" s="9">
        <f>IF($A3815="","",N3815&amp;"|"&amp;$F3815)</f>
        <v/>
      </c>
      <c r="P3815" s="77">
        <f>IF($A3815="",0,$H3815*설정!$C$23)</f>
        <v/>
      </c>
      <c r="Q3815" s="39">
        <f>IF($A3815="","",IF(O3815&lt;&gt;원인분석!$C$9,"",IF(AND(M3815&gt;=원인분석!$C$10,M3815&lt;=원인분석!$C$11),"당기",IF(AND(M3815&gt;=원인분석!$C$12,M3815&lt;=원인분석!$C$13),"비교",""))))</f>
        <v/>
      </c>
      <c r="R3815" s="9">
        <f>IF(Q3815="","",$K3815&amp;"")</f>
        <v/>
      </c>
      <c r="S3815" s="9">
        <f>IF(Q3815="","",IF(MATCH(R3815,$R$5:$R$100000,0)=ROW()-4,ROW(),""))</f>
        <v/>
      </c>
      <c r="T3815" s="9">
        <f>IF(Q3815="당기",ABS(P3815)+ROW()/1000000000,"")</f>
        <v/>
      </c>
      <c r="U3815" s="9">
        <f>IF(Q3815="비교",ABS(P3815)+ROW()/1000000000,"")</f>
        <v/>
      </c>
      <c r="V3815" s="39">
        <f>IF($A3815="","",IF(COUNTIF(변동분석!$E$7:$E$506,O3815)&gt;0,"Y","N"))</f>
        <v/>
      </c>
      <c r="W3815" s="39">
        <f>IF($A3815="","",IFERROR(INDEX(계정매핑!$D$5:$D$504,MATCH($F3815&amp;"",계정매핑!$A$5:$A$504,0)),"미매핑"))</f>
        <v/>
      </c>
      <c r="X3815" s="9">
        <f>IF($A3815="","",$F3815&amp;"")</f>
        <v/>
      </c>
    </row>
    <row r="3816">
      <c r="A3816" s="75" t="n">
        <v>2026</v>
      </c>
      <c r="B3816" s="75" t="n">
        <v>8</v>
      </c>
      <c r="C3816" s="75" t="inlineStr">
        <is>
          <t>5100001472</t>
        </is>
      </c>
      <c r="D3816" s="78" t="n">
        <v>46248</v>
      </c>
      <c r="E3816" s="75" t="inlineStr">
        <is>
          <t>KR</t>
        </is>
      </c>
      <c r="F3816" s="75" t="n">
        <v>62301000</v>
      </c>
      <c r="G3816" s="75" t="n">
        <v>1201</v>
      </c>
      <c r="H3816" s="76" t="n">
        <v>149000</v>
      </c>
      <c r="I3816" s="75" t="inlineStr">
        <is>
          <t>8월 소모품 구입 - Q오피스</t>
        </is>
      </c>
      <c r="J3816" s="75" t="inlineStr">
        <is>
          <t>V10003</t>
        </is>
      </c>
      <c r="K3816" s="75" t="inlineStr">
        <is>
          <t>Q오피스</t>
        </is>
      </c>
      <c r="M3816" s="9">
        <f>IF($A3816="","",VALUE($A3816&amp;"")*12+VALUE($B3816&amp;""))</f>
        <v/>
      </c>
      <c r="N3816" s="39">
        <f>IF($A3816="","",IFERROR(INDEX(부서매핑!$C$5:$C$504,MATCH($G3816&amp;"",부서매핑!$A$5:$A$504,0)),"미매핑"))</f>
        <v/>
      </c>
      <c r="O3816" s="9">
        <f>IF($A3816="","",N3816&amp;"|"&amp;$F3816)</f>
        <v/>
      </c>
      <c r="P3816" s="77">
        <f>IF($A3816="",0,$H3816*설정!$C$23)</f>
        <v/>
      </c>
      <c r="Q3816" s="39">
        <f>IF($A3816="","",IF(O3816&lt;&gt;원인분석!$C$9,"",IF(AND(M3816&gt;=원인분석!$C$10,M3816&lt;=원인분석!$C$11),"당기",IF(AND(M3816&gt;=원인분석!$C$12,M3816&lt;=원인분석!$C$13),"비교",""))))</f>
        <v/>
      </c>
      <c r="R3816" s="9">
        <f>IF(Q3816="","",$K3816&amp;"")</f>
        <v/>
      </c>
      <c r="S3816" s="9">
        <f>IF(Q3816="","",IF(MATCH(R3816,$R$5:$R$100000,0)=ROW()-4,ROW(),""))</f>
        <v/>
      </c>
      <c r="T3816" s="9">
        <f>IF(Q3816="당기",ABS(P3816)+ROW()/1000000000,"")</f>
        <v/>
      </c>
      <c r="U3816" s="9">
        <f>IF(Q3816="비교",ABS(P3816)+ROW()/1000000000,"")</f>
        <v/>
      </c>
      <c r="V3816" s="39">
        <f>IF($A3816="","",IF(COUNTIF(변동분석!$E$7:$E$506,O3816)&gt;0,"Y","N"))</f>
        <v/>
      </c>
      <c r="W3816" s="39">
        <f>IF($A3816="","",IFERROR(INDEX(계정매핑!$D$5:$D$504,MATCH($F3816&amp;"",계정매핑!$A$5:$A$504,0)),"미매핑"))</f>
        <v/>
      </c>
      <c r="X3816" s="9">
        <f>IF($A3816="","",$F3816&amp;"")</f>
        <v/>
      </c>
    </row>
    <row r="3817">
      <c r="A3817" s="75" t="n">
        <v>2026</v>
      </c>
      <c r="B3817" s="75" t="n">
        <v>8</v>
      </c>
      <c r="C3817" s="75" t="inlineStr">
        <is>
          <t>5100001473</t>
        </is>
      </c>
      <c r="D3817" s="78" t="n">
        <v>46248</v>
      </c>
      <c r="E3817" s="75" t="inlineStr">
        <is>
          <t>KR</t>
        </is>
      </c>
      <c r="F3817" s="75" t="n">
        <v>62401000</v>
      </c>
      <c r="G3817" s="75" t="n">
        <v>1401</v>
      </c>
      <c r="H3817" s="76" t="n">
        <v>346000</v>
      </c>
      <c r="I3817" s="75" t="inlineStr">
        <is>
          <t>8월 인쇄물 제작 - S출판</t>
        </is>
      </c>
      <c r="J3817" s="75" t="inlineStr">
        <is>
          <t>V10012</t>
        </is>
      </c>
      <c r="K3817" s="75" t="inlineStr">
        <is>
          <t>S출판</t>
        </is>
      </c>
      <c r="M3817" s="9">
        <f>IF($A3817="","",VALUE($A3817&amp;"")*12+VALUE($B3817&amp;""))</f>
        <v/>
      </c>
      <c r="N3817" s="39">
        <f>IF($A3817="","",IFERROR(INDEX(부서매핑!$C$5:$C$504,MATCH($G3817&amp;"",부서매핑!$A$5:$A$504,0)),"미매핑"))</f>
        <v/>
      </c>
      <c r="O3817" s="9">
        <f>IF($A3817="","",N3817&amp;"|"&amp;$F3817)</f>
        <v/>
      </c>
      <c r="P3817" s="77">
        <f>IF($A3817="",0,$H3817*설정!$C$23)</f>
        <v/>
      </c>
      <c r="Q3817" s="39">
        <f>IF($A3817="","",IF(O3817&lt;&gt;원인분석!$C$9,"",IF(AND(M3817&gt;=원인분석!$C$10,M3817&lt;=원인분석!$C$11),"당기",IF(AND(M3817&gt;=원인분석!$C$12,M3817&lt;=원인분석!$C$13),"비교",""))))</f>
        <v/>
      </c>
      <c r="R3817" s="9">
        <f>IF(Q3817="","",$K3817&amp;"")</f>
        <v/>
      </c>
      <c r="S3817" s="9">
        <f>IF(Q3817="","",IF(MATCH(R3817,$R$5:$R$100000,0)=ROW()-4,ROW(),""))</f>
        <v/>
      </c>
      <c r="T3817" s="9">
        <f>IF(Q3817="당기",ABS(P3817)+ROW()/1000000000,"")</f>
        <v/>
      </c>
      <c r="U3817" s="9">
        <f>IF(Q3817="비교",ABS(P3817)+ROW()/1000000000,"")</f>
        <v/>
      </c>
      <c r="V3817" s="39">
        <f>IF($A3817="","",IF(COUNTIF(변동분석!$E$7:$E$506,O3817)&gt;0,"Y","N"))</f>
        <v/>
      </c>
      <c r="W3817" s="39">
        <f>IF($A3817="","",IFERROR(INDEX(계정매핑!$D$5:$D$504,MATCH($F3817&amp;"",계정매핑!$A$5:$A$504,0)),"미매핑"))</f>
        <v/>
      </c>
      <c r="X3817" s="9">
        <f>IF($A3817="","",$F3817&amp;"")</f>
        <v/>
      </c>
    </row>
    <row r="3818">
      <c r="A3818" s="75" t="n">
        <v>2026</v>
      </c>
      <c r="B3818" s="75" t="n">
        <v>8</v>
      </c>
      <c r="C3818" s="75" t="inlineStr">
        <is>
          <t>5100001474</t>
        </is>
      </c>
      <c r="D3818" s="78" t="n">
        <v>46248</v>
      </c>
      <c r="E3818" s="75" t="inlineStr">
        <is>
          <t>KR</t>
        </is>
      </c>
      <c r="F3818" s="75" t="n">
        <v>62501000</v>
      </c>
      <c r="G3818" s="75" t="n">
        <v>1601</v>
      </c>
      <c r="H3818" s="76" t="n">
        <v>442000</v>
      </c>
      <c r="I3818" s="75" t="inlineStr">
        <is>
          <t>8월 회의 다과 - (법인카드)</t>
        </is>
      </c>
      <c r="J3818" s="75" t="inlineStr">
        <is>
          <t>V10008</t>
        </is>
      </c>
      <c r="K3818" s="75" t="inlineStr">
        <is>
          <t>(법인카드)</t>
        </is>
      </c>
      <c r="M3818" s="9">
        <f>IF($A3818="","",VALUE($A3818&amp;"")*12+VALUE($B3818&amp;""))</f>
        <v/>
      </c>
      <c r="N3818" s="39">
        <f>IF($A3818="","",IFERROR(INDEX(부서매핑!$C$5:$C$504,MATCH($G3818&amp;"",부서매핑!$A$5:$A$504,0)),"미매핑"))</f>
        <v/>
      </c>
      <c r="O3818" s="9">
        <f>IF($A3818="","",N3818&amp;"|"&amp;$F3818)</f>
        <v/>
      </c>
      <c r="P3818" s="77">
        <f>IF($A3818="",0,$H3818*설정!$C$23)</f>
        <v/>
      </c>
      <c r="Q3818" s="39">
        <f>IF($A3818="","",IF(O3818&lt;&gt;원인분석!$C$9,"",IF(AND(M3818&gt;=원인분석!$C$10,M3818&lt;=원인분석!$C$11),"당기",IF(AND(M3818&gt;=원인분석!$C$12,M3818&lt;=원인분석!$C$13),"비교",""))))</f>
        <v/>
      </c>
      <c r="R3818" s="9">
        <f>IF(Q3818="","",$K3818&amp;"")</f>
        <v/>
      </c>
      <c r="S3818" s="9">
        <f>IF(Q3818="","",IF(MATCH(R3818,$R$5:$R$100000,0)=ROW()-4,ROW(),""))</f>
        <v/>
      </c>
      <c r="T3818" s="9">
        <f>IF(Q3818="당기",ABS(P3818)+ROW()/1000000000,"")</f>
        <v/>
      </c>
      <c r="U3818" s="9">
        <f>IF(Q3818="비교",ABS(P3818)+ROW()/1000000000,"")</f>
        <v/>
      </c>
      <c r="V3818" s="39">
        <f>IF($A3818="","",IF(COUNTIF(변동분석!$E$7:$E$506,O3818)&gt;0,"Y","N"))</f>
        <v/>
      </c>
      <c r="W3818" s="39">
        <f>IF($A3818="","",IFERROR(INDEX(계정매핑!$D$5:$D$504,MATCH($F3818&amp;"",계정매핑!$A$5:$A$504,0)),"미매핑"))</f>
        <v/>
      </c>
      <c r="X3818" s="9">
        <f>IF($A3818="","",$F3818&amp;"")</f>
        <v/>
      </c>
    </row>
    <row r="3819">
      <c r="A3819" s="75" t="n">
        <v>2026</v>
      </c>
      <c r="B3819" s="75" t="n">
        <v>8</v>
      </c>
      <c r="C3819" s="75" t="inlineStr">
        <is>
          <t>5100001475</t>
        </is>
      </c>
      <c r="D3819" s="78" t="n">
        <v>46248</v>
      </c>
      <c r="E3819" s="75" t="inlineStr">
        <is>
          <t>KR</t>
        </is>
      </c>
      <c r="F3819" s="75" t="n">
        <v>62701000</v>
      </c>
      <c r="G3819" s="75" t="n">
        <v>1501</v>
      </c>
      <c r="H3819" s="76" t="n">
        <v>29738000</v>
      </c>
      <c r="I3819" s="75" t="inlineStr">
        <is>
          <t>8월 광고 집행 - E미디어</t>
        </is>
      </c>
      <c r="J3819" s="75" t="inlineStr">
        <is>
          <t>V10027</t>
        </is>
      </c>
      <c r="K3819" s="75" t="inlineStr">
        <is>
          <t>E미디어</t>
        </is>
      </c>
      <c r="M3819" s="9">
        <f>IF($A3819="","",VALUE($A3819&amp;"")*12+VALUE($B3819&amp;""))</f>
        <v/>
      </c>
      <c r="N3819" s="39">
        <f>IF($A3819="","",IFERROR(INDEX(부서매핑!$C$5:$C$504,MATCH($G3819&amp;"",부서매핑!$A$5:$A$504,0)),"미매핑"))</f>
        <v/>
      </c>
      <c r="O3819" s="9">
        <f>IF($A3819="","",N3819&amp;"|"&amp;$F3819)</f>
        <v/>
      </c>
      <c r="P3819" s="77">
        <f>IF($A3819="",0,$H3819*설정!$C$23)</f>
        <v/>
      </c>
      <c r="Q3819" s="39">
        <f>IF($A3819="","",IF(O3819&lt;&gt;원인분석!$C$9,"",IF(AND(M3819&gt;=원인분석!$C$10,M3819&lt;=원인분석!$C$11),"당기",IF(AND(M3819&gt;=원인분석!$C$12,M3819&lt;=원인분석!$C$13),"비교",""))))</f>
        <v/>
      </c>
      <c r="R3819" s="9">
        <f>IF(Q3819="","",$K3819&amp;"")</f>
        <v/>
      </c>
      <c r="S3819" s="9">
        <f>IF(Q3819="","",IF(MATCH(R3819,$R$5:$R$100000,0)=ROW()-4,ROW(),""))</f>
        <v/>
      </c>
      <c r="T3819" s="9">
        <f>IF(Q3819="당기",ABS(P3819)+ROW()/1000000000,"")</f>
        <v/>
      </c>
      <c r="U3819" s="9">
        <f>IF(Q3819="비교",ABS(P3819)+ROW()/1000000000,"")</f>
        <v/>
      </c>
      <c r="V3819" s="39">
        <f>IF($A3819="","",IF(COUNTIF(변동분석!$E$7:$E$506,O3819)&gt;0,"Y","N"))</f>
        <v/>
      </c>
      <c r="W3819" s="39">
        <f>IF($A3819="","",IFERROR(INDEX(계정매핑!$D$5:$D$504,MATCH($F3819&amp;"",계정매핑!$A$5:$A$504,0)),"미매핑"))</f>
        <v/>
      </c>
      <c r="X3819" s="9">
        <f>IF($A3819="","",$F3819&amp;"")</f>
        <v/>
      </c>
    </row>
    <row r="3820">
      <c r="A3820" s="75" t="n">
        <v>2026</v>
      </c>
      <c r="B3820" s="75" t="n">
        <v>8</v>
      </c>
      <c r="C3820" s="75" t="inlineStr">
        <is>
          <t>5100001476</t>
        </is>
      </c>
      <c r="D3820" s="78" t="n">
        <v>46248</v>
      </c>
      <c r="E3820" s="75" t="inlineStr">
        <is>
          <t>KR</t>
        </is>
      </c>
      <c r="F3820" s="75" t="n">
        <v>62901000</v>
      </c>
      <c r="G3820" s="75" t="n">
        <v>1201</v>
      </c>
      <c r="H3820" s="76" t="n">
        <v>8923000</v>
      </c>
      <c r="I3820" s="75" t="inlineStr">
        <is>
          <t>8월 자문 수수료 - K회계법인</t>
        </is>
      </c>
      <c r="J3820" s="75" t="inlineStr">
        <is>
          <t>V10010</t>
        </is>
      </c>
      <c r="K3820" s="75" t="inlineStr">
        <is>
          <t>K회계법인</t>
        </is>
      </c>
      <c r="M3820" s="9">
        <f>IF($A3820="","",VALUE($A3820&amp;"")*12+VALUE($B3820&amp;""))</f>
        <v/>
      </c>
      <c r="N3820" s="39">
        <f>IF($A3820="","",IFERROR(INDEX(부서매핑!$C$5:$C$504,MATCH($G3820&amp;"",부서매핑!$A$5:$A$504,0)),"미매핑"))</f>
        <v/>
      </c>
      <c r="O3820" s="9">
        <f>IF($A3820="","",N3820&amp;"|"&amp;$F3820)</f>
        <v/>
      </c>
      <c r="P3820" s="77">
        <f>IF($A3820="",0,$H3820*설정!$C$23)</f>
        <v/>
      </c>
      <c r="Q3820" s="39">
        <f>IF($A3820="","",IF(O3820&lt;&gt;원인분석!$C$9,"",IF(AND(M3820&gt;=원인분석!$C$10,M3820&lt;=원인분석!$C$11),"당기",IF(AND(M3820&gt;=원인분석!$C$12,M3820&lt;=원인분석!$C$13),"비교",""))))</f>
        <v/>
      </c>
      <c r="R3820" s="9">
        <f>IF(Q3820="","",$K3820&amp;"")</f>
        <v/>
      </c>
      <c r="S3820" s="9">
        <f>IF(Q3820="","",IF(MATCH(R3820,$R$5:$R$100000,0)=ROW()-4,ROW(),""))</f>
        <v/>
      </c>
      <c r="T3820" s="9">
        <f>IF(Q3820="당기",ABS(P3820)+ROW()/1000000000,"")</f>
        <v/>
      </c>
      <c r="U3820" s="9">
        <f>IF(Q3820="비교",ABS(P3820)+ROW()/1000000000,"")</f>
        <v/>
      </c>
      <c r="V3820" s="39">
        <f>IF($A3820="","",IF(COUNTIF(변동분석!$E$7:$E$506,O3820)&gt;0,"Y","N"))</f>
        <v/>
      </c>
      <c r="W3820" s="39">
        <f>IF($A3820="","",IFERROR(INDEX(계정매핑!$D$5:$D$504,MATCH($F3820&amp;"",계정매핑!$A$5:$A$504,0)),"미매핑"))</f>
        <v/>
      </c>
      <c r="X3820" s="9">
        <f>IF($A3820="","",$F3820&amp;"")</f>
        <v/>
      </c>
    </row>
    <row r="3821">
      <c r="A3821" s="75" t="n">
        <v>2026</v>
      </c>
      <c r="B3821" s="75" t="n">
        <v>8</v>
      </c>
      <c r="C3821" s="75" t="inlineStr">
        <is>
          <t>5100001477</t>
        </is>
      </c>
      <c r="D3821" s="78" t="n">
        <v>46248</v>
      </c>
      <c r="E3821" s="75" t="inlineStr">
        <is>
          <t>KR</t>
        </is>
      </c>
      <c r="F3821" s="75" t="n">
        <v>62901000</v>
      </c>
      <c r="G3821" s="75" t="n">
        <v>1401</v>
      </c>
      <c r="H3821" s="76" t="n">
        <v>6248000</v>
      </c>
      <c r="I3821" s="75" t="inlineStr">
        <is>
          <t>8월 자문 수수료 - W컨설팅</t>
        </is>
      </c>
      <c r="J3821" s="75" t="inlineStr">
        <is>
          <t>V10009</t>
        </is>
      </c>
      <c r="K3821" s="75" t="inlineStr">
        <is>
          <t>W컨설팅</t>
        </is>
      </c>
      <c r="M3821" s="9">
        <f>IF($A3821="","",VALUE($A3821&amp;"")*12+VALUE($B3821&amp;""))</f>
        <v/>
      </c>
      <c r="N3821" s="39">
        <f>IF($A3821="","",IFERROR(INDEX(부서매핑!$C$5:$C$504,MATCH($G3821&amp;"",부서매핑!$A$5:$A$504,0)),"미매핑"))</f>
        <v/>
      </c>
      <c r="O3821" s="9">
        <f>IF($A3821="","",N3821&amp;"|"&amp;$F3821)</f>
        <v/>
      </c>
      <c r="P3821" s="77">
        <f>IF($A3821="",0,$H3821*설정!$C$23)</f>
        <v/>
      </c>
      <c r="Q3821" s="39">
        <f>IF($A3821="","",IF(O3821&lt;&gt;원인분석!$C$9,"",IF(AND(M3821&gt;=원인분석!$C$10,M3821&lt;=원인분석!$C$11),"당기",IF(AND(M3821&gt;=원인분석!$C$12,M3821&lt;=원인분석!$C$13),"비교",""))))</f>
        <v/>
      </c>
      <c r="R3821" s="9">
        <f>IF(Q3821="","",$K3821&amp;"")</f>
        <v/>
      </c>
      <c r="S3821" s="9">
        <f>IF(Q3821="","",IF(MATCH(R3821,$R$5:$R$100000,0)=ROW()-4,ROW(),""))</f>
        <v/>
      </c>
      <c r="T3821" s="9">
        <f>IF(Q3821="당기",ABS(P3821)+ROW()/1000000000,"")</f>
        <v/>
      </c>
      <c r="U3821" s="9">
        <f>IF(Q3821="비교",ABS(P3821)+ROW()/1000000000,"")</f>
        <v/>
      </c>
      <c r="V3821" s="39">
        <f>IF($A3821="","",IF(COUNTIF(변동분석!$E$7:$E$506,O3821)&gt;0,"Y","N"))</f>
        <v/>
      </c>
      <c r="W3821" s="39">
        <f>IF($A3821="","",IFERROR(INDEX(계정매핑!$D$5:$D$504,MATCH($F3821&amp;"",계정매핑!$A$5:$A$504,0)),"미매핑"))</f>
        <v/>
      </c>
      <c r="X3821" s="9">
        <f>IF($A3821="","",$F3821&amp;"")</f>
        <v/>
      </c>
    </row>
    <row r="3822">
      <c r="A3822" s="75" t="n">
        <v>2026</v>
      </c>
      <c r="B3822" s="75" t="n">
        <v>8</v>
      </c>
      <c r="C3822" s="75" t="inlineStr">
        <is>
          <t>5100001478</t>
        </is>
      </c>
      <c r="D3822" s="78" t="n">
        <v>46248</v>
      </c>
      <c r="E3822" s="75" t="inlineStr">
        <is>
          <t>KR</t>
        </is>
      </c>
      <c r="F3822" s="75" t="n">
        <v>63101000</v>
      </c>
      <c r="G3822" s="75" t="n">
        <v>1601</v>
      </c>
      <c r="H3822" s="76" t="n">
        <v>4957000</v>
      </c>
      <c r="I3822" s="75" t="inlineStr">
        <is>
          <t>8월 사무실 임차료 - AA빌딩</t>
        </is>
      </c>
      <c r="J3822" s="75" t="inlineStr">
        <is>
          <t>V10006</t>
        </is>
      </c>
      <c r="K3822" s="75" t="inlineStr">
        <is>
          <t>AA빌딩</t>
        </is>
      </c>
      <c r="M3822" s="9">
        <f>IF($A3822="","",VALUE($A3822&amp;"")*12+VALUE($B3822&amp;""))</f>
        <v/>
      </c>
      <c r="N3822" s="39">
        <f>IF($A3822="","",IFERROR(INDEX(부서매핑!$C$5:$C$504,MATCH($G3822&amp;"",부서매핑!$A$5:$A$504,0)),"미매핑"))</f>
        <v/>
      </c>
      <c r="O3822" s="9">
        <f>IF($A3822="","",N3822&amp;"|"&amp;$F3822)</f>
        <v/>
      </c>
      <c r="P3822" s="77">
        <f>IF($A3822="",0,$H3822*설정!$C$23)</f>
        <v/>
      </c>
      <c r="Q3822" s="39">
        <f>IF($A3822="","",IF(O3822&lt;&gt;원인분석!$C$9,"",IF(AND(M3822&gt;=원인분석!$C$10,M3822&lt;=원인분석!$C$11),"당기",IF(AND(M3822&gt;=원인분석!$C$12,M3822&lt;=원인분석!$C$13),"비교",""))))</f>
        <v/>
      </c>
      <c r="R3822" s="9">
        <f>IF(Q3822="","",$K3822&amp;"")</f>
        <v/>
      </c>
      <c r="S3822" s="9">
        <f>IF(Q3822="","",IF(MATCH(R3822,$R$5:$R$100000,0)=ROW()-4,ROW(),""))</f>
        <v/>
      </c>
      <c r="T3822" s="9">
        <f>IF(Q3822="당기",ABS(P3822)+ROW()/1000000000,"")</f>
        <v/>
      </c>
      <c r="U3822" s="9">
        <f>IF(Q3822="비교",ABS(P3822)+ROW()/1000000000,"")</f>
        <v/>
      </c>
      <c r="V3822" s="39">
        <f>IF($A3822="","",IF(COUNTIF(변동분석!$E$7:$E$506,O3822)&gt;0,"Y","N"))</f>
        <v/>
      </c>
      <c r="W3822" s="39">
        <f>IF($A3822="","",IFERROR(INDEX(계정매핑!$D$5:$D$504,MATCH($F3822&amp;"",계정매핑!$A$5:$A$504,0)),"미매핑"))</f>
        <v/>
      </c>
      <c r="X3822" s="9">
        <f>IF($A3822="","",$F3822&amp;"")</f>
        <v/>
      </c>
    </row>
    <row r="3823">
      <c r="A3823" s="75" t="n">
        <v>2026</v>
      </c>
      <c r="B3823" s="75" t="n">
        <v>8</v>
      </c>
      <c r="C3823" s="75" t="inlineStr">
        <is>
          <t>5100001479</t>
        </is>
      </c>
      <c r="D3823" s="78" t="n">
        <v>46249</v>
      </c>
      <c r="E3823" s="75" t="inlineStr">
        <is>
          <t>KR</t>
        </is>
      </c>
      <c r="F3823" s="75" t="n">
        <v>62101000</v>
      </c>
      <c r="G3823" s="75" t="n">
        <v>1201</v>
      </c>
      <c r="H3823" s="76" t="n">
        <v>335000</v>
      </c>
      <c r="I3823" s="75" t="inlineStr">
        <is>
          <t>8월 국내출장 - M항공</t>
        </is>
      </c>
      <c r="J3823" s="75" t="inlineStr">
        <is>
          <t>V10001</t>
        </is>
      </c>
      <c r="K3823" s="75" t="inlineStr">
        <is>
          <t>M항공</t>
        </is>
      </c>
      <c r="M3823" s="9">
        <f>IF($A3823="","",VALUE($A3823&amp;"")*12+VALUE($B3823&amp;""))</f>
        <v/>
      </c>
      <c r="N3823" s="39">
        <f>IF($A3823="","",IFERROR(INDEX(부서매핑!$C$5:$C$504,MATCH($G3823&amp;"",부서매핑!$A$5:$A$504,0)),"미매핑"))</f>
        <v/>
      </c>
      <c r="O3823" s="9">
        <f>IF($A3823="","",N3823&amp;"|"&amp;$F3823)</f>
        <v/>
      </c>
      <c r="P3823" s="77">
        <f>IF($A3823="",0,$H3823*설정!$C$23)</f>
        <v/>
      </c>
      <c r="Q3823" s="39">
        <f>IF($A3823="","",IF(O3823&lt;&gt;원인분석!$C$9,"",IF(AND(M3823&gt;=원인분석!$C$10,M3823&lt;=원인분석!$C$11),"당기",IF(AND(M3823&gt;=원인분석!$C$12,M3823&lt;=원인분석!$C$13),"비교",""))))</f>
        <v/>
      </c>
      <c r="R3823" s="9">
        <f>IF(Q3823="","",$K3823&amp;"")</f>
        <v/>
      </c>
      <c r="S3823" s="9">
        <f>IF(Q3823="","",IF(MATCH(R3823,$R$5:$R$100000,0)=ROW()-4,ROW(),""))</f>
        <v/>
      </c>
      <c r="T3823" s="9">
        <f>IF(Q3823="당기",ABS(P3823)+ROW()/1000000000,"")</f>
        <v/>
      </c>
      <c r="U3823" s="9">
        <f>IF(Q3823="비교",ABS(P3823)+ROW()/1000000000,"")</f>
        <v/>
      </c>
      <c r="V3823" s="39">
        <f>IF($A3823="","",IF(COUNTIF(변동분석!$E$7:$E$506,O3823)&gt;0,"Y","N"))</f>
        <v/>
      </c>
      <c r="W3823" s="39">
        <f>IF($A3823="","",IFERROR(INDEX(계정매핑!$D$5:$D$504,MATCH($F3823&amp;"",계정매핑!$A$5:$A$504,0)),"미매핑"))</f>
        <v/>
      </c>
      <c r="X3823" s="9">
        <f>IF($A3823="","",$F3823&amp;"")</f>
        <v/>
      </c>
    </row>
    <row r="3824">
      <c r="A3824" s="75" t="n">
        <v>2026</v>
      </c>
      <c r="B3824" s="75" t="n">
        <v>8</v>
      </c>
      <c r="C3824" s="75" t="inlineStr">
        <is>
          <t>5100001480</t>
        </is>
      </c>
      <c r="D3824" s="78" t="n">
        <v>46249</v>
      </c>
      <c r="E3824" s="75" t="inlineStr">
        <is>
          <t>KR</t>
        </is>
      </c>
      <c r="F3824" s="75" t="n">
        <v>62101000</v>
      </c>
      <c r="G3824" s="75" t="n">
        <v>1502</v>
      </c>
      <c r="H3824" s="76" t="n">
        <v>739000</v>
      </c>
      <c r="I3824" s="75" t="inlineStr">
        <is>
          <t>8월 국내출장 - (법인카드)</t>
        </is>
      </c>
      <c r="J3824" s="75" t="inlineStr">
        <is>
          <t>V10008</t>
        </is>
      </c>
      <c r="K3824" s="75" t="inlineStr">
        <is>
          <t>(법인카드)</t>
        </is>
      </c>
      <c r="M3824" s="9">
        <f>IF($A3824="","",VALUE($A3824&amp;"")*12+VALUE($B3824&amp;""))</f>
        <v/>
      </c>
      <c r="N3824" s="39">
        <f>IF($A3824="","",IFERROR(INDEX(부서매핑!$C$5:$C$504,MATCH($G3824&amp;"",부서매핑!$A$5:$A$504,0)),"미매핑"))</f>
        <v/>
      </c>
      <c r="O3824" s="9">
        <f>IF($A3824="","",N3824&amp;"|"&amp;$F3824)</f>
        <v/>
      </c>
      <c r="P3824" s="77">
        <f>IF($A3824="",0,$H3824*설정!$C$23)</f>
        <v/>
      </c>
      <c r="Q3824" s="39">
        <f>IF($A3824="","",IF(O3824&lt;&gt;원인분석!$C$9,"",IF(AND(M3824&gt;=원인분석!$C$10,M3824&lt;=원인분석!$C$11),"당기",IF(AND(M3824&gt;=원인분석!$C$12,M3824&lt;=원인분석!$C$13),"비교",""))))</f>
        <v/>
      </c>
      <c r="R3824" s="9">
        <f>IF(Q3824="","",$K3824&amp;"")</f>
        <v/>
      </c>
      <c r="S3824" s="9">
        <f>IF(Q3824="","",IF(MATCH(R3824,$R$5:$R$100000,0)=ROW()-4,ROW(),""))</f>
        <v/>
      </c>
      <c r="T3824" s="9">
        <f>IF(Q3824="당기",ABS(P3824)+ROW()/1000000000,"")</f>
        <v/>
      </c>
      <c r="U3824" s="9">
        <f>IF(Q3824="비교",ABS(P3824)+ROW()/1000000000,"")</f>
        <v/>
      </c>
      <c r="V3824" s="39">
        <f>IF($A3824="","",IF(COUNTIF(변동분석!$E$7:$E$506,O3824)&gt;0,"Y","N"))</f>
        <v/>
      </c>
      <c r="W3824" s="39">
        <f>IF($A3824="","",IFERROR(INDEX(계정매핑!$D$5:$D$504,MATCH($F3824&amp;"",계정매핑!$A$5:$A$504,0)),"미매핑"))</f>
        <v/>
      </c>
      <c r="X3824" s="9">
        <f>IF($A3824="","",$F3824&amp;"")</f>
        <v/>
      </c>
    </row>
    <row r="3825">
      <c r="A3825" s="75" t="n">
        <v>2026</v>
      </c>
      <c r="B3825" s="75" t="n">
        <v>8</v>
      </c>
      <c r="C3825" s="75" t="inlineStr">
        <is>
          <t>5100001481</t>
        </is>
      </c>
      <c r="D3825" s="78" t="n">
        <v>46249</v>
      </c>
      <c r="E3825" s="75" t="inlineStr">
        <is>
          <t>KR</t>
        </is>
      </c>
      <c r="F3825" s="75" t="n">
        <v>62102000</v>
      </c>
      <c r="G3825" s="75" t="n">
        <v>1401</v>
      </c>
      <c r="H3825" s="76" t="n">
        <v>69000</v>
      </c>
      <c r="I3825" s="75" t="inlineStr">
        <is>
          <t>8월 해외출장 - M항공</t>
        </is>
      </c>
      <c r="J3825" s="75" t="inlineStr">
        <is>
          <t>V10001</t>
        </is>
      </c>
      <c r="K3825" s="75" t="inlineStr">
        <is>
          <t>M항공</t>
        </is>
      </c>
      <c r="M3825" s="9">
        <f>IF($A3825="","",VALUE($A3825&amp;"")*12+VALUE($B3825&amp;""))</f>
        <v/>
      </c>
      <c r="N3825" s="39">
        <f>IF($A3825="","",IFERROR(INDEX(부서매핑!$C$5:$C$504,MATCH($G3825&amp;"",부서매핑!$A$5:$A$504,0)),"미매핑"))</f>
        <v/>
      </c>
      <c r="O3825" s="9">
        <f>IF($A3825="","",N3825&amp;"|"&amp;$F3825)</f>
        <v/>
      </c>
      <c r="P3825" s="77">
        <f>IF($A3825="",0,$H3825*설정!$C$23)</f>
        <v/>
      </c>
      <c r="Q3825" s="39">
        <f>IF($A3825="","",IF(O3825&lt;&gt;원인분석!$C$9,"",IF(AND(M3825&gt;=원인분석!$C$10,M3825&lt;=원인분석!$C$11),"당기",IF(AND(M3825&gt;=원인분석!$C$12,M3825&lt;=원인분석!$C$13),"비교",""))))</f>
        <v/>
      </c>
      <c r="R3825" s="9">
        <f>IF(Q3825="","",$K3825&amp;"")</f>
        <v/>
      </c>
      <c r="S3825" s="9">
        <f>IF(Q3825="","",IF(MATCH(R3825,$R$5:$R$100000,0)=ROW()-4,ROW(),""))</f>
        <v/>
      </c>
      <c r="T3825" s="9">
        <f>IF(Q3825="당기",ABS(P3825)+ROW()/1000000000,"")</f>
        <v/>
      </c>
      <c r="U3825" s="9">
        <f>IF(Q3825="비교",ABS(P3825)+ROW()/1000000000,"")</f>
        <v/>
      </c>
      <c r="V3825" s="39">
        <f>IF($A3825="","",IF(COUNTIF(변동분석!$E$7:$E$506,O3825)&gt;0,"Y","N"))</f>
        <v/>
      </c>
      <c r="W3825" s="39">
        <f>IF($A3825="","",IFERROR(INDEX(계정매핑!$D$5:$D$504,MATCH($F3825&amp;"",계정매핑!$A$5:$A$504,0)),"미매핑"))</f>
        <v/>
      </c>
      <c r="X3825" s="9">
        <f>IF($A3825="","",$F3825&amp;"")</f>
        <v/>
      </c>
    </row>
    <row r="3826">
      <c r="A3826" s="75" t="n">
        <v>2026</v>
      </c>
      <c r="B3826" s="75" t="n">
        <v>8</v>
      </c>
      <c r="C3826" s="75" t="inlineStr">
        <is>
          <t>5100001482</t>
        </is>
      </c>
      <c r="D3826" s="78" t="n">
        <v>46249</v>
      </c>
      <c r="E3826" s="75" t="inlineStr">
        <is>
          <t>KR</t>
        </is>
      </c>
      <c r="F3826" s="75" t="n">
        <v>62102000</v>
      </c>
      <c r="G3826" s="75" t="n">
        <v>1801</v>
      </c>
      <c r="H3826" s="76" t="n">
        <v>45000</v>
      </c>
      <c r="I3826" s="75" t="inlineStr">
        <is>
          <t>8월 해외출장 - N호텔</t>
        </is>
      </c>
      <c r="J3826" s="75" t="inlineStr">
        <is>
          <t>V10007</t>
        </is>
      </c>
      <c r="K3826" s="75" t="inlineStr">
        <is>
          <t>N호텔</t>
        </is>
      </c>
      <c r="M3826" s="9">
        <f>IF($A3826="","",VALUE($A3826&amp;"")*12+VALUE($B3826&amp;""))</f>
        <v/>
      </c>
      <c r="N3826" s="39">
        <f>IF($A3826="","",IFERROR(INDEX(부서매핑!$C$5:$C$504,MATCH($G3826&amp;"",부서매핑!$A$5:$A$504,0)),"미매핑"))</f>
        <v/>
      </c>
      <c r="O3826" s="9">
        <f>IF($A3826="","",N3826&amp;"|"&amp;$F3826)</f>
        <v/>
      </c>
      <c r="P3826" s="77">
        <f>IF($A3826="",0,$H3826*설정!$C$23)</f>
        <v/>
      </c>
      <c r="Q3826" s="39">
        <f>IF($A3826="","",IF(O3826&lt;&gt;원인분석!$C$9,"",IF(AND(M3826&gt;=원인분석!$C$10,M3826&lt;=원인분석!$C$11),"당기",IF(AND(M3826&gt;=원인분석!$C$12,M3826&lt;=원인분석!$C$13),"비교",""))))</f>
        <v/>
      </c>
      <c r="R3826" s="9">
        <f>IF(Q3826="","",$K3826&amp;"")</f>
        <v/>
      </c>
      <c r="S3826" s="9">
        <f>IF(Q3826="","",IF(MATCH(R3826,$R$5:$R$100000,0)=ROW()-4,ROW(),""))</f>
        <v/>
      </c>
      <c r="T3826" s="9">
        <f>IF(Q3826="당기",ABS(P3826)+ROW()/1000000000,"")</f>
        <v/>
      </c>
      <c r="U3826" s="9">
        <f>IF(Q3826="비교",ABS(P3826)+ROW()/1000000000,"")</f>
        <v/>
      </c>
      <c r="V3826" s="39">
        <f>IF($A3826="","",IF(COUNTIF(변동분석!$E$7:$E$506,O3826)&gt;0,"Y","N"))</f>
        <v/>
      </c>
      <c r="W3826" s="39">
        <f>IF($A3826="","",IFERROR(INDEX(계정매핑!$D$5:$D$504,MATCH($F3826&amp;"",계정매핑!$A$5:$A$504,0)),"미매핑"))</f>
        <v/>
      </c>
      <c r="X3826" s="9">
        <f>IF($A3826="","",$F3826&amp;"")</f>
        <v/>
      </c>
    </row>
    <row r="3827">
      <c r="A3827" s="75" t="n">
        <v>2026</v>
      </c>
      <c r="B3827" s="75" t="n">
        <v>8</v>
      </c>
      <c r="C3827" s="75" t="inlineStr">
        <is>
          <t>5100001483</t>
        </is>
      </c>
      <c r="D3827" s="78" t="n">
        <v>46249</v>
      </c>
      <c r="E3827" s="75" t="inlineStr">
        <is>
          <t>KR</t>
        </is>
      </c>
      <c r="F3827" s="75" t="n">
        <v>62201000</v>
      </c>
      <c r="G3827" s="75" t="n">
        <v>1101</v>
      </c>
      <c r="H3827" s="76" t="n">
        <v>236000</v>
      </c>
      <c r="I3827" s="75" t="inlineStr">
        <is>
          <t>8월 통신요금 - O텔레콤</t>
        </is>
      </c>
      <c r="J3827" s="75" t="inlineStr">
        <is>
          <t>V10002</t>
        </is>
      </c>
      <c r="K3827" s="75" t="inlineStr">
        <is>
          <t>O텔레콤</t>
        </is>
      </c>
      <c r="M3827" s="9">
        <f>IF($A3827="","",VALUE($A3827&amp;"")*12+VALUE($B3827&amp;""))</f>
        <v/>
      </c>
      <c r="N3827" s="39">
        <f>IF($A3827="","",IFERROR(INDEX(부서매핑!$C$5:$C$504,MATCH($G3827&amp;"",부서매핑!$A$5:$A$504,0)),"미매핑"))</f>
        <v/>
      </c>
      <c r="O3827" s="9">
        <f>IF($A3827="","",N3827&amp;"|"&amp;$F3827)</f>
        <v/>
      </c>
      <c r="P3827" s="77">
        <f>IF($A3827="",0,$H3827*설정!$C$23)</f>
        <v/>
      </c>
      <c r="Q3827" s="39">
        <f>IF($A3827="","",IF(O3827&lt;&gt;원인분석!$C$9,"",IF(AND(M3827&gt;=원인분석!$C$10,M3827&lt;=원인분석!$C$11),"당기",IF(AND(M3827&gt;=원인분석!$C$12,M3827&lt;=원인분석!$C$13),"비교",""))))</f>
        <v/>
      </c>
      <c r="R3827" s="9">
        <f>IF(Q3827="","",$K3827&amp;"")</f>
        <v/>
      </c>
      <c r="S3827" s="9">
        <f>IF(Q3827="","",IF(MATCH(R3827,$R$5:$R$100000,0)=ROW()-4,ROW(),""))</f>
        <v/>
      </c>
      <c r="T3827" s="9">
        <f>IF(Q3827="당기",ABS(P3827)+ROW()/1000000000,"")</f>
        <v/>
      </c>
      <c r="U3827" s="9">
        <f>IF(Q3827="비교",ABS(P3827)+ROW()/1000000000,"")</f>
        <v/>
      </c>
      <c r="V3827" s="39">
        <f>IF($A3827="","",IF(COUNTIF(변동분석!$E$7:$E$506,O3827)&gt;0,"Y","N"))</f>
        <v/>
      </c>
      <c r="W3827" s="39">
        <f>IF($A3827="","",IFERROR(INDEX(계정매핑!$D$5:$D$504,MATCH($F3827&amp;"",계정매핑!$A$5:$A$504,0)),"미매핑"))</f>
        <v/>
      </c>
      <c r="X3827" s="9">
        <f>IF($A3827="","",$F3827&amp;"")</f>
        <v/>
      </c>
    </row>
    <row r="3828">
      <c r="A3828" s="75" t="n">
        <v>2026</v>
      </c>
      <c r="B3828" s="75" t="n">
        <v>8</v>
      </c>
      <c r="C3828" s="75" t="inlineStr">
        <is>
          <t>5100001484</t>
        </is>
      </c>
      <c r="D3828" s="78" t="n">
        <v>46249</v>
      </c>
      <c r="E3828" s="75" t="inlineStr">
        <is>
          <t>KR</t>
        </is>
      </c>
      <c r="F3828" s="75" t="n">
        <v>62201000</v>
      </c>
      <c r="G3828" s="75" t="n">
        <v>1501</v>
      </c>
      <c r="H3828" s="76" t="n">
        <v>350000</v>
      </c>
      <c r="I3828" s="75" t="inlineStr">
        <is>
          <t>8월 통신요금 - P통신</t>
        </is>
      </c>
      <c r="J3828" s="75" t="inlineStr">
        <is>
          <t>V10011</t>
        </is>
      </c>
      <c r="K3828" s="75" t="inlineStr">
        <is>
          <t>P통신</t>
        </is>
      </c>
      <c r="M3828" s="9">
        <f>IF($A3828="","",VALUE($A3828&amp;"")*12+VALUE($B3828&amp;""))</f>
        <v/>
      </c>
      <c r="N3828" s="39">
        <f>IF($A3828="","",IFERROR(INDEX(부서매핑!$C$5:$C$504,MATCH($G3828&amp;"",부서매핑!$A$5:$A$504,0)),"미매핑"))</f>
        <v/>
      </c>
      <c r="O3828" s="9">
        <f>IF($A3828="","",N3828&amp;"|"&amp;$F3828)</f>
        <v/>
      </c>
      <c r="P3828" s="77">
        <f>IF($A3828="",0,$H3828*설정!$C$23)</f>
        <v/>
      </c>
      <c r="Q3828" s="39">
        <f>IF($A3828="","",IF(O3828&lt;&gt;원인분석!$C$9,"",IF(AND(M3828&gt;=원인분석!$C$10,M3828&lt;=원인분석!$C$11),"당기",IF(AND(M3828&gt;=원인분석!$C$12,M3828&lt;=원인분석!$C$13),"비교",""))))</f>
        <v/>
      </c>
      <c r="R3828" s="9">
        <f>IF(Q3828="","",$K3828&amp;"")</f>
        <v/>
      </c>
      <c r="S3828" s="9">
        <f>IF(Q3828="","",IF(MATCH(R3828,$R$5:$R$100000,0)=ROW()-4,ROW(),""))</f>
        <v/>
      </c>
      <c r="T3828" s="9">
        <f>IF(Q3828="당기",ABS(P3828)+ROW()/1000000000,"")</f>
        <v/>
      </c>
      <c r="U3828" s="9">
        <f>IF(Q3828="비교",ABS(P3828)+ROW()/1000000000,"")</f>
        <v/>
      </c>
      <c r="V3828" s="39">
        <f>IF($A3828="","",IF(COUNTIF(변동분석!$E$7:$E$506,O3828)&gt;0,"Y","N"))</f>
        <v/>
      </c>
      <c r="W3828" s="39">
        <f>IF($A3828="","",IFERROR(INDEX(계정매핑!$D$5:$D$504,MATCH($F3828&amp;"",계정매핑!$A$5:$A$504,0)),"미매핑"))</f>
        <v/>
      </c>
      <c r="X3828" s="9">
        <f>IF($A3828="","",$F3828&amp;"")</f>
        <v/>
      </c>
    </row>
    <row r="3829">
      <c r="A3829" s="75" t="n">
        <v>2026</v>
      </c>
      <c r="B3829" s="75" t="n">
        <v>8</v>
      </c>
      <c r="C3829" s="75" t="inlineStr">
        <is>
          <t>5100001485</t>
        </is>
      </c>
      <c r="D3829" s="78" t="n">
        <v>46249</v>
      </c>
      <c r="E3829" s="75" t="inlineStr">
        <is>
          <t>KR</t>
        </is>
      </c>
      <c r="F3829" s="75" t="n">
        <v>62201000</v>
      </c>
      <c r="G3829" s="75" t="n">
        <v>1602</v>
      </c>
      <c r="H3829" s="76" t="n">
        <v>407000</v>
      </c>
      <c r="I3829" s="75" t="inlineStr">
        <is>
          <t>8월 통신요금 - P통신</t>
        </is>
      </c>
      <c r="J3829" s="75" t="inlineStr">
        <is>
          <t>V10011</t>
        </is>
      </c>
      <c r="K3829" s="75" t="inlineStr">
        <is>
          <t>P통신</t>
        </is>
      </c>
      <c r="M3829" s="9">
        <f>IF($A3829="","",VALUE($A3829&amp;"")*12+VALUE($B3829&amp;""))</f>
        <v/>
      </c>
      <c r="N3829" s="39">
        <f>IF($A3829="","",IFERROR(INDEX(부서매핑!$C$5:$C$504,MATCH($G3829&amp;"",부서매핑!$A$5:$A$504,0)),"미매핑"))</f>
        <v/>
      </c>
      <c r="O3829" s="9">
        <f>IF($A3829="","",N3829&amp;"|"&amp;$F3829)</f>
        <v/>
      </c>
      <c r="P3829" s="77">
        <f>IF($A3829="",0,$H3829*설정!$C$23)</f>
        <v/>
      </c>
      <c r="Q3829" s="39">
        <f>IF($A3829="","",IF(O3829&lt;&gt;원인분석!$C$9,"",IF(AND(M3829&gt;=원인분석!$C$10,M3829&lt;=원인분석!$C$11),"당기",IF(AND(M3829&gt;=원인분석!$C$12,M3829&lt;=원인분석!$C$13),"비교",""))))</f>
        <v/>
      </c>
      <c r="R3829" s="9">
        <f>IF(Q3829="","",$K3829&amp;"")</f>
        <v/>
      </c>
      <c r="S3829" s="9">
        <f>IF(Q3829="","",IF(MATCH(R3829,$R$5:$R$100000,0)=ROW()-4,ROW(),""))</f>
        <v/>
      </c>
      <c r="T3829" s="9">
        <f>IF(Q3829="당기",ABS(P3829)+ROW()/1000000000,"")</f>
        <v/>
      </c>
      <c r="U3829" s="9">
        <f>IF(Q3829="비교",ABS(P3829)+ROW()/1000000000,"")</f>
        <v/>
      </c>
      <c r="V3829" s="39">
        <f>IF($A3829="","",IF(COUNTIF(변동분석!$E$7:$E$506,O3829)&gt;0,"Y","N"))</f>
        <v/>
      </c>
      <c r="W3829" s="39">
        <f>IF($A3829="","",IFERROR(INDEX(계정매핑!$D$5:$D$504,MATCH($F3829&amp;"",계정매핑!$A$5:$A$504,0)),"미매핑"))</f>
        <v/>
      </c>
      <c r="X3829" s="9">
        <f>IF($A3829="","",$F3829&amp;"")</f>
        <v/>
      </c>
    </row>
    <row r="3830">
      <c r="A3830" s="75" t="n">
        <v>2026</v>
      </c>
      <c r="B3830" s="75" t="n">
        <v>8</v>
      </c>
      <c r="C3830" s="75" t="inlineStr">
        <is>
          <t>5100001486</t>
        </is>
      </c>
      <c r="D3830" s="78" t="n">
        <v>46249</v>
      </c>
      <c r="E3830" s="75" t="inlineStr">
        <is>
          <t>KR</t>
        </is>
      </c>
      <c r="F3830" s="75" t="n">
        <v>63101000</v>
      </c>
      <c r="G3830" s="75" t="n">
        <v>1601</v>
      </c>
      <c r="H3830" s="76" t="n">
        <v>5238000</v>
      </c>
      <c r="I3830" s="75" t="inlineStr">
        <is>
          <t>8월 사무실 임차료 - BB부동산</t>
        </is>
      </c>
      <c r="J3830" s="75" t="inlineStr">
        <is>
          <t>V10024</t>
        </is>
      </c>
      <c r="K3830" s="75" t="inlineStr">
        <is>
          <t>BB부동산</t>
        </is>
      </c>
      <c r="M3830" s="9">
        <f>IF($A3830="","",VALUE($A3830&amp;"")*12+VALUE($B3830&amp;""))</f>
        <v/>
      </c>
      <c r="N3830" s="39">
        <f>IF($A3830="","",IFERROR(INDEX(부서매핑!$C$5:$C$504,MATCH($G3830&amp;"",부서매핑!$A$5:$A$504,0)),"미매핑"))</f>
        <v/>
      </c>
      <c r="O3830" s="9">
        <f>IF($A3830="","",N3830&amp;"|"&amp;$F3830)</f>
        <v/>
      </c>
      <c r="P3830" s="77">
        <f>IF($A3830="",0,$H3830*설정!$C$23)</f>
        <v/>
      </c>
      <c r="Q3830" s="39">
        <f>IF($A3830="","",IF(O3830&lt;&gt;원인분석!$C$9,"",IF(AND(M3830&gt;=원인분석!$C$10,M3830&lt;=원인분석!$C$11),"당기",IF(AND(M3830&gt;=원인분석!$C$12,M3830&lt;=원인분석!$C$13),"비교",""))))</f>
        <v/>
      </c>
      <c r="R3830" s="9">
        <f>IF(Q3830="","",$K3830&amp;"")</f>
        <v/>
      </c>
      <c r="S3830" s="9">
        <f>IF(Q3830="","",IF(MATCH(R3830,$R$5:$R$100000,0)=ROW()-4,ROW(),""))</f>
        <v/>
      </c>
      <c r="T3830" s="9">
        <f>IF(Q3830="당기",ABS(P3830)+ROW()/1000000000,"")</f>
        <v/>
      </c>
      <c r="U3830" s="9">
        <f>IF(Q3830="비교",ABS(P3830)+ROW()/1000000000,"")</f>
        <v/>
      </c>
      <c r="V3830" s="39">
        <f>IF($A3830="","",IF(COUNTIF(변동분석!$E$7:$E$506,O3830)&gt;0,"Y","N"))</f>
        <v/>
      </c>
      <c r="W3830" s="39">
        <f>IF($A3830="","",IFERROR(INDEX(계정매핑!$D$5:$D$504,MATCH($F3830&amp;"",계정매핑!$A$5:$A$504,0)),"미매핑"))</f>
        <v/>
      </c>
      <c r="X3830" s="9">
        <f>IF($A3830="","",$F3830&amp;"")</f>
        <v/>
      </c>
    </row>
    <row r="3831">
      <c r="A3831" s="75" t="n">
        <v>2026</v>
      </c>
      <c r="B3831" s="75" t="n">
        <v>8</v>
      </c>
      <c r="C3831" s="75" t="inlineStr">
        <is>
          <t>5100001487</t>
        </is>
      </c>
      <c r="D3831" s="78" t="n">
        <v>46249</v>
      </c>
      <c r="E3831" s="75" t="inlineStr">
        <is>
          <t>KR</t>
        </is>
      </c>
      <c r="F3831" s="75" t="n">
        <v>63201000</v>
      </c>
      <c r="G3831" s="75" t="n">
        <v>1602</v>
      </c>
      <c r="H3831" s="76" t="n">
        <v>2004000</v>
      </c>
      <c r="I3831" s="75" t="inlineStr">
        <is>
          <t>8월 차량 유지 - H에너지</t>
        </is>
      </c>
      <c r="J3831" s="75" t="inlineStr">
        <is>
          <t>V10025</t>
        </is>
      </c>
      <c r="K3831" s="75" t="inlineStr">
        <is>
          <t>H에너지</t>
        </is>
      </c>
      <c r="M3831" s="9">
        <f>IF($A3831="","",VALUE($A3831&amp;"")*12+VALUE($B3831&amp;""))</f>
        <v/>
      </c>
      <c r="N3831" s="39">
        <f>IF($A3831="","",IFERROR(INDEX(부서매핑!$C$5:$C$504,MATCH($G3831&amp;"",부서매핑!$A$5:$A$504,0)),"미매핑"))</f>
        <v/>
      </c>
      <c r="O3831" s="9">
        <f>IF($A3831="","",N3831&amp;"|"&amp;$F3831)</f>
        <v/>
      </c>
      <c r="P3831" s="77">
        <f>IF($A3831="",0,$H3831*설정!$C$23)</f>
        <v/>
      </c>
      <c r="Q3831" s="39">
        <f>IF($A3831="","",IF(O3831&lt;&gt;원인분석!$C$9,"",IF(AND(M3831&gt;=원인분석!$C$10,M3831&lt;=원인분석!$C$11),"당기",IF(AND(M3831&gt;=원인분석!$C$12,M3831&lt;=원인분석!$C$13),"비교",""))))</f>
        <v/>
      </c>
      <c r="R3831" s="9">
        <f>IF(Q3831="","",$K3831&amp;"")</f>
        <v/>
      </c>
      <c r="S3831" s="9">
        <f>IF(Q3831="","",IF(MATCH(R3831,$R$5:$R$100000,0)=ROW()-4,ROW(),""))</f>
        <v/>
      </c>
      <c r="T3831" s="9">
        <f>IF(Q3831="당기",ABS(P3831)+ROW()/1000000000,"")</f>
        <v/>
      </c>
      <c r="U3831" s="9">
        <f>IF(Q3831="비교",ABS(P3831)+ROW()/1000000000,"")</f>
        <v/>
      </c>
      <c r="V3831" s="39">
        <f>IF($A3831="","",IF(COUNTIF(변동분석!$E$7:$E$506,O3831)&gt;0,"Y","N"))</f>
        <v/>
      </c>
      <c r="W3831" s="39">
        <f>IF($A3831="","",IFERROR(INDEX(계정매핑!$D$5:$D$504,MATCH($F3831&amp;"",계정매핑!$A$5:$A$504,0)),"미매핑"))</f>
        <v/>
      </c>
      <c r="X3831" s="9">
        <f>IF($A3831="","",$F3831&amp;"")</f>
        <v/>
      </c>
    </row>
    <row r="3832">
      <c r="A3832" s="75" t="n">
        <v>2026</v>
      </c>
      <c r="B3832" s="75" t="n">
        <v>8</v>
      </c>
      <c r="C3832" s="75" t="inlineStr">
        <is>
          <t>5100001488</t>
        </is>
      </c>
      <c r="D3832" s="78" t="n">
        <v>46250</v>
      </c>
      <c r="E3832" s="75" t="inlineStr">
        <is>
          <t>KR</t>
        </is>
      </c>
      <c r="F3832" s="75" t="n">
        <v>62102000</v>
      </c>
      <c r="G3832" s="75" t="n">
        <v>1401</v>
      </c>
      <c r="H3832" s="76" t="n">
        <v>79000</v>
      </c>
      <c r="I3832" s="75" t="inlineStr">
        <is>
          <t>8월 해외출장 - N호텔</t>
        </is>
      </c>
      <c r="J3832" s="75" t="inlineStr">
        <is>
          <t>V10007</t>
        </is>
      </c>
      <c r="K3832" s="75" t="inlineStr">
        <is>
          <t>N호텔</t>
        </is>
      </c>
      <c r="M3832" s="9">
        <f>IF($A3832="","",VALUE($A3832&amp;"")*12+VALUE($B3832&amp;""))</f>
        <v/>
      </c>
      <c r="N3832" s="39">
        <f>IF($A3832="","",IFERROR(INDEX(부서매핑!$C$5:$C$504,MATCH($G3832&amp;"",부서매핑!$A$5:$A$504,0)),"미매핑"))</f>
        <v/>
      </c>
      <c r="O3832" s="9">
        <f>IF($A3832="","",N3832&amp;"|"&amp;$F3832)</f>
        <v/>
      </c>
      <c r="P3832" s="77">
        <f>IF($A3832="",0,$H3832*설정!$C$23)</f>
        <v/>
      </c>
      <c r="Q3832" s="39">
        <f>IF($A3832="","",IF(O3832&lt;&gt;원인분석!$C$9,"",IF(AND(M3832&gt;=원인분석!$C$10,M3832&lt;=원인분석!$C$11),"당기",IF(AND(M3832&gt;=원인분석!$C$12,M3832&lt;=원인분석!$C$13),"비교",""))))</f>
        <v/>
      </c>
      <c r="R3832" s="9">
        <f>IF(Q3832="","",$K3832&amp;"")</f>
        <v/>
      </c>
      <c r="S3832" s="9">
        <f>IF(Q3832="","",IF(MATCH(R3832,$R$5:$R$100000,0)=ROW()-4,ROW(),""))</f>
        <v/>
      </c>
      <c r="T3832" s="9">
        <f>IF(Q3832="당기",ABS(P3832)+ROW()/1000000000,"")</f>
        <v/>
      </c>
      <c r="U3832" s="9">
        <f>IF(Q3832="비교",ABS(P3832)+ROW()/1000000000,"")</f>
        <v/>
      </c>
      <c r="V3832" s="39">
        <f>IF($A3832="","",IF(COUNTIF(변동분석!$E$7:$E$506,O3832)&gt;0,"Y","N"))</f>
        <v/>
      </c>
      <c r="W3832" s="39">
        <f>IF($A3832="","",IFERROR(INDEX(계정매핑!$D$5:$D$504,MATCH($F3832&amp;"",계정매핑!$A$5:$A$504,0)),"미매핑"))</f>
        <v/>
      </c>
      <c r="X3832" s="9">
        <f>IF($A3832="","",$F3832&amp;"")</f>
        <v/>
      </c>
    </row>
    <row r="3833">
      <c r="A3833" s="75" t="n">
        <v>2026</v>
      </c>
      <c r="B3833" s="75" t="n">
        <v>8</v>
      </c>
      <c r="C3833" s="75" t="inlineStr">
        <is>
          <t>5100001489</t>
        </is>
      </c>
      <c r="D3833" s="78" t="n">
        <v>46250</v>
      </c>
      <c r="E3833" s="75" t="inlineStr">
        <is>
          <t>KR</t>
        </is>
      </c>
      <c r="F3833" s="75" t="n">
        <v>62102000</v>
      </c>
      <c r="G3833" s="75" t="n">
        <v>1701</v>
      </c>
      <c r="H3833" s="76" t="n">
        <v>27000</v>
      </c>
      <c r="I3833" s="75" t="inlineStr">
        <is>
          <t>8월 해외출장 - M항공</t>
        </is>
      </c>
      <c r="J3833" s="75" t="inlineStr">
        <is>
          <t>V10001</t>
        </is>
      </c>
      <c r="K3833" s="75" t="inlineStr">
        <is>
          <t>M항공</t>
        </is>
      </c>
      <c r="M3833" s="9">
        <f>IF($A3833="","",VALUE($A3833&amp;"")*12+VALUE($B3833&amp;""))</f>
        <v/>
      </c>
      <c r="N3833" s="39">
        <f>IF($A3833="","",IFERROR(INDEX(부서매핑!$C$5:$C$504,MATCH($G3833&amp;"",부서매핑!$A$5:$A$504,0)),"미매핑"))</f>
        <v/>
      </c>
      <c r="O3833" s="9">
        <f>IF($A3833="","",N3833&amp;"|"&amp;$F3833)</f>
        <v/>
      </c>
      <c r="P3833" s="77">
        <f>IF($A3833="",0,$H3833*설정!$C$23)</f>
        <v/>
      </c>
      <c r="Q3833" s="39">
        <f>IF($A3833="","",IF(O3833&lt;&gt;원인분석!$C$9,"",IF(AND(M3833&gt;=원인분석!$C$10,M3833&lt;=원인분석!$C$11),"당기",IF(AND(M3833&gt;=원인분석!$C$12,M3833&lt;=원인분석!$C$13),"비교",""))))</f>
        <v/>
      </c>
      <c r="R3833" s="9">
        <f>IF(Q3833="","",$K3833&amp;"")</f>
        <v/>
      </c>
      <c r="S3833" s="9">
        <f>IF(Q3833="","",IF(MATCH(R3833,$R$5:$R$100000,0)=ROW()-4,ROW(),""))</f>
        <v/>
      </c>
      <c r="T3833" s="9">
        <f>IF(Q3833="당기",ABS(P3833)+ROW()/1000000000,"")</f>
        <v/>
      </c>
      <c r="U3833" s="9">
        <f>IF(Q3833="비교",ABS(P3833)+ROW()/1000000000,"")</f>
        <v/>
      </c>
      <c r="V3833" s="39">
        <f>IF($A3833="","",IF(COUNTIF(변동분석!$E$7:$E$506,O3833)&gt;0,"Y","N"))</f>
        <v/>
      </c>
      <c r="W3833" s="39">
        <f>IF($A3833="","",IFERROR(INDEX(계정매핑!$D$5:$D$504,MATCH($F3833&amp;"",계정매핑!$A$5:$A$504,0)),"미매핑"))</f>
        <v/>
      </c>
      <c r="X3833" s="9">
        <f>IF($A3833="","",$F3833&amp;"")</f>
        <v/>
      </c>
    </row>
    <row r="3834">
      <c r="A3834" s="75" t="n">
        <v>2026</v>
      </c>
      <c r="B3834" s="75" t="n">
        <v>8</v>
      </c>
      <c r="C3834" s="75" t="inlineStr">
        <is>
          <t>5100001490</t>
        </is>
      </c>
      <c r="D3834" s="78" t="n">
        <v>46250</v>
      </c>
      <c r="E3834" s="75" t="inlineStr">
        <is>
          <t>KR</t>
        </is>
      </c>
      <c r="F3834" s="75" t="n">
        <v>62301000</v>
      </c>
      <c r="G3834" s="75" t="n">
        <v>1101</v>
      </c>
      <c r="H3834" s="76" t="n">
        <v>215000</v>
      </c>
      <c r="I3834" s="75" t="inlineStr">
        <is>
          <t>8월 소모품 구입 - Q오피스</t>
        </is>
      </c>
      <c r="J3834" s="75" t="inlineStr">
        <is>
          <t>V10003</t>
        </is>
      </c>
      <c r="K3834" s="75" t="inlineStr">
        <is>
          <t>Q오피스</t>
        </is>
      </c>
      <c r="M3834" s="9">
        <f>IF($A3834="","",VALUE($A3834&amp;"")*12+VALUE($B3834&amp;""))</f>
        <v/>
      </c>
      <c r="N3834" s="39">
        <f>IF($A3834="","",IFERROR(INDEX(부서매핑!$C$5:$C$504,MATCH($G3834&amp;"",부서매핑!$A$5:$A$504,0)),"미매핑"))</f>
        <v/>
      </c>
      <c r="O3834" s="9">
        <f>IF($A3834="","",N3834&amp;"|"&amp;$F3834)</f>
        <v/>
      </c>
      <c r="P3834" s="77">
        <f>IF($A3834="",0,$H3834*설정!$C$23)</f>
        <v/>
      </c>
      <c r="Q3834" s="39">
        <f>IF($A3834="","",IF(O3834&lt;&gt;원인분석!$C$9,"",IF(AND(M3834&gt;=원인분석!$C$10,M3834&lt;=원인분석!$C$11),"당기",IF(AND(M3834&gt;=원인분석!$C$12,M3834&lt;=원인분석!$C$13),"비교",""))))</f>
        <v/>
      </c>
      <c r="R3834" s="9">
        <f>IF(Q3834="","",$K3834&amp;"")</f>
        <v/>
      </c>
      <c r="S3834" s="9">
        <f>IF(Q3834="","",IF(MATCH(R3834,$R$5:$R$100000,0)=ROW()-4,ROW(),""))</f>
        <v/>
      </c>
      <c r="T3834" s="9">
        <f>IF(Q3834="당기",ABS(P3834)+ROW()/1000000000,"")</f>
        <v/>
      </c>
      <c r="U3834" s="9">
        <f>IF(Q3834="비교",ABS(P3834)+ROW()/1000000000,"")</f>
        <v/>
      </c>
      <c r="V3834" s="39">
        <f>IF($A3834="","",IF(COUNTIF(변동분석!$E$7:$E$506,O3834)&gt;0,"Y","N"))</f>
        <v/>
      </c>
      <c r="W3834" s="39">
        <f>IF($A3834="","",IFERROR(INDEX(계정매핑!$D$5:$D$504,MATCH($F3834&amp;"",계정매핑!$A$5:$A$504,0)),"미매핑"))</f>
        <v/>
      </c>
      <c r="X3834" s="9">
        <f>IF($A3834="","",$F3834&amp;"")</f>
        <v/>
      </c>
    </row>
    <row r="3835">
      <c r="A3835" s="75" t="n">
        <v>2026</v>
      </c>
      <c r="B3835" s="75" t="n">
        <v>8</v>
      </c>
      <c r="C3835" s="75" t="inlineStr">
        <is>
          <t>5100001491</t>
        </is>
      </c>
      <c r="D3835" s="78" t="n">
        <v>46250</v>
      </c>
      <c r="E3835" s="75" t="inlineStr">
        <is>
          <t>KR</t>
        </is>
      </c>
      <c r="F3835" s="75" t="n">
        <v>62501000</v>
      </c>
      <c r="G3835" s="75" t="n">
        <v>1101</v>
      </c>
      <c r="H3835" s="76" t="n">
        <v>396000</v>
      </c>
      <c r="I3835" s="75" t="inlineStr">
        <is>
          <t>8월 회의 다과 - T케이터링</t>
        </is>
      </c>
      <c r="J3835" s="75" t="inlineStr">
        <is>
          <t>V10005</t>
        </is>
      </c>
      <c r="K3835" s="75" t="inlineStr">
        <is>
          <t>T케이터링</t>
        </is>
      </c>
      <c r="M3835" s="9">
        <f>IF($A3835="","",VALUE($A3835&amp;"")*12+VALUE($B3835&amp;""))</f>
        <v/>
      </c>
      <c r="N3835" s="39">
        <f>IF($A3835="","",IFERROR(INDEX(부서매핑!$C$5:$C$504,MATCH($G3835&amp;"",부서매핑!$A$5:$A$504,0)),"미매핑"))</f>
        <v/>
      </c>
      <c r="O3835" s="9">
        <f>IF($A3835="","",N3835&amp;"|"&amp;$F3835)</f>
        <v/>
      </c>
      <c r="P3835" s="77">
        <f>IF($A3835="",0,$H3835*설정!$C$23)</f>
        <v/>
      </c>
      <c r="Q3835" s="39">
        <f>IF($A3835="","",IF(O3835&lt;&gt;원인분석!$C$9,"",IF(AND(M3835&gt;=원인분석!$C$10,M3835&lt;=원인분석!$C$11),"당기",IF(AND(M3835&gt;=원인분석!$C$12,M3835&lt;=원인분석!$C$13),"비교",""))))</f>
        <v/>
      </c>
      <c r="R3835" s="9">
        <f>IF(Q3835="","",$K3835&amp;"")</f>
        <v/>
      </c>
      <c r="S3835" s="9">
        <f>IF(Q3835="","",IF(MATCH(R3835,$R$5:$R$100000,0)=ROW()-4,ROW(),""))</f>
        <v/>
      </c>
      <c r="T3835" s="9">
        <f>IF(Q3835="당기",ABS(P3835)+ROW()/1000000000,"")</f>
        <v/>
      </c>
      <c r="U3835" s="9">
        <f>IF(Q3835="비교",ABS(P3835)+ROW()/1000000000,"")</f>
        <v/>
      </c>
      <c r="V3835" s="39">
        <f>IF($A3835="","",IF(COUNTIF(변동분석!$E$7:$E$506,O3835)&gt;0,"Y","N"))</f>
        <v/>
      </c>
      <c r="W3835" s="39">
        <f>IF($A3835="","",IFERROR(INDEX(계정매핑!$D$5:$D$504,MATCH($F3835&amp;"",계정매핑!$A$5:$A$504,0)),"미매핑"))</f>
        <v/>
      </c>
      <c r="X3835" s="9">
        <f>IF($A3835="","",$F3835&amp;"")</f>
        <v/>
      </c>
    </row>
    <row r="3836">
      <c r="A3836" s="75" t="n">
        <v>2026</v>
      </c>
      <c r="B3836" s="75" t="n">
        <v>8</v>
      </c>
      <c r="C3836" s="75" t="inlineStr">
        <is>
          <t>5100001492</t>
        </is>
      </c>
      <c r="D3836" s="78" t="n">
        <v>46250</v>
      </c>
      <c r="E3836" s="75" t="inlineStr">
        <is>
          <t>KR</t>
        </is>
      </c>
      <c r="F3836" s="75" t="n">
        <v>62902000</v>
      </c>
      <c r="G3836" s="75" t="n">
        <v>1401</v>
      </c>
      <c r="H3836" s="76" t="n">
        <v>2891000</v>
      </c>
      <c r="I3836" s="75" t="inlineStr">
        <is>
          <t>8월 업무 위탁 수수료 - X서비스</t>
        </is>
      </c>
      <c r="J3836" s="75" t="inlineStr">
        <is>
          <t>V10016</t>
        </is>
      </c>
      <c r="K3836" s="75" t="inlineStr">
        <is>
          <t>X서비스</t>
        </is>
      </c>
      <c r="M3836" s="9">
        <f>IF($A3836="","",VALUE($A3836&amp;"")*12+VALUE($B3836&amp;""))</f>
        <v/>
      </c>
      <c r="N3836" s="39">
        <f>IF($A3836="","",IFERROR(INDEX(부서매핑!$C$5:$C$504,MATCH($G3836&amp;"",부서매핑!$A$5:$A$504,0)),"미매핑"))</f>
        <v/>
      </c>
      <c r="O3836" s="9">
        <f>IF($A3836="","",N3836&amp;"|"&amp;$F3836)</f>
        <v/>
      </c>
      <c r="P3836" s="77">
        <f>IF($A3836="",0,$H3836*설정!$C$23)</f>
        <v/>
      </c>
      <c r="Q3836" s="39">
        <f>IF($A3836="","",IF(O3836&lt;&gt;원인분석!$C$9,"",IF(AND(M3836&gt;=원인분석!$C$10,M3836&lt;=원인분석!$C$11),"당기",IF(AND(M3836&gt;=원인분석!$C$12,M3836&lt;=원인분석!$C$13),"비교",""))))</f>
        <v/>
      </c>
      <c r="R3836" s="9">
        <f>IF(Q3836="","",$K3836&amp;"")</f>
        <v/>
      </c>
      <c r="S3836" s="9">
        <f>IF(Q3836="","",IF(MATCH(R3836,$R$5:$R$100000,0)=ROW()-4,ROW(),""))</f>
        <v/>
      </c>
      <c r="T3836" s="9">
        <f>IF(Q3836="당기",ABS(P3836)+ROW()/1000000000,"")</f>
        <v/>
      </c>
      <c r="U3836" s="9">
        <f>IF(Q3836="비교",ABS(P3836)+ROW()/1000000000,"")</f>
        <v/>
      </c>
      <c r="V3836" s="39">
        <f>IF($A3836="","",IF(COUNTIF(변동분석!$E$7:$E$506,O3836)&gt;0,"Y","N"))</f>
        <v/>
      </c>
      <c r="W3836" s="39">
        <f>IF($A3836="","",IFERROR(INDEX(계정매핑!$D$5:$D$504,MATCH($F3836&amp;"",계정매핑!$A$5:$A$504,0)),"미매핑"))</f>
        <v/>
      </c>
      <c r="X3836" s="9">
        <f>IF($A3836="","",$F3836&amp;"")</f>
        <v/>
      </c>
    </row>
    <row r="3837">
      <c r="A3837" s="75" t="n">
        <v>2026</v>
      </c>
      <c r="B3837" s="75" t="n">
        <v>8</v>
      </c>
      <c r="C3837" s="75" t="inlineStr">
        <is>
          <t>5100001493</t>
        </is>
      </c>
      <c r="D3837" s="78" t="n">
        <v>46251</v>
      </c>
      <c r="E3837" s="75" t="inlineStr">
        <is>
          <t>KR</t>
        </is>
      </c>
      <c r="F3837" s="75" t="n">
        <v>62101000</v>
      </c>
      <c r="G3837" s="75" t="n">
        <v>1401</v>
      </c>
      <c r="H3837" s="76" t="n">
        <v>356000</v>
      </c>
      <c r="I3837" s="75" t="inlineStr">
        <is>
          <t>8월 국내출장 - M항공</t>
        </is>
      </c>
      <c r="J3837" s="75" t="inlineStr">
        <is>
          <t>V10001</t>
        </is>
      </c>
      <c r="K3837" s="75" t="inlineStr">
        <is>
          <t>M항공</t>
        </is>
      </c>
      <c r="M3837" s="9">
        <f>IF($A3837="","",VALUE($A3837&amp;"")*12+VALUE($B3837&amp;""))</f>
        <v/>
      </c>
      <c r="N3837" s="39">
        <f>IF($A3837="","",IFERROR(INDEX(부서매핑!$C$5:$C$504,MATCH($G3837&amp;"",부서매핑!$A$5:$A$504,0)),"미매핑"))</f>
        <v/>
      </c>
      <c r="O3837" s="9">
        <f>IF($A3837="","",N3837&amp;"|"&amp;$F3837)</f>
        <v/>
      </c>
      <c r="P3837" s="77">
        <f>IF($A3837="",0,$H3837*설정!$C$23)</f>
        <v/>
      </c>
      <c r="Q3837" s="39">
        <f>IF($A3837="","",IF(O3837&lt;&gt;원인분석!$C$9,"",IF(AND(M3837&gt;=원인분석!$C$10,M3837&lt;=원인분석!$C$11),"당기",IF(AND(M3837&gt;=원인분석!$C$12,M3837&lt;=원인분석!$C$13),"비교",""))))</f>
        <v/>
      </c>
      <c r="R3837" s="9">
        <f>IF(Q3837="","",$K3837&amp;"")</f>
        <v/>
      </c>
      <c r="S3837" s="9">
        <f>IF(Q3837="","",IF(MATCH(R3837,$R$5:$R$100000,0)=ROW()-4,ROW(),""))</f>
        <v/>
      </c>
      <c r="T3837" s="9">
        <f>IF(Q3837="당기",ABS(P3837)+ROW()/1000000000,"")</f>
        <v/>
      </c>
      <c r="U3837" s="9">
        <f>IF(Q3837="비교",ABS(P3837)+ROW()/1000000000,"")</f>
        <v/>
      </c>
      <c r="V3837" s="39">
        <f>IF($A3837="","",IF(COUNTIF(변동분석!$E$7:$E$506,O3837)&gt;0,"Y","N"))</f>
        <v/>
      </c>
      <c r="W3837" s="39">
        <f>IF($A3837="","",IFERROR(INDEX(계정매핑!$D$5:$D$504,MATCH($F3837&amp;"",계정매핑!$A$5:$A$504,0)),"미매핑"))</f>
        <v/>
      </c>
      <c r="X3837" s="9">
        <f>IF($A3837="","",$F3837&amp;"")</f>
        <v/>
      </c>
    </row>
    <row r="3838">
      <c r="A3838" s="75" t="n">
        <v>2026</v>
      </c>
      <c r="B3838" s="75" t="n">
        <v>8</v>
      </c>
      <c r="C3838" s="75" t="inlineStr">
        <is>
          <t>5100001494</t>
        </is>
      </c>
      <c r="D3838" s="78" t="n">
        <v>46251</v>
      </c>
      <c r="E3838" s="75" t="inlineStr">
        <is>
          <t>KR</t>
        </is>
      </c>
      <c r="F3838" s="75" t="n">
        <v>62101000</v>
      </c>
      <c r="G3838" s="75" t="n">
        <v>1501</v>
      </c>
      <c r="H3838" s="76" t="n">
        <v>397000</v>
      </c>
      <c r="I3838" s="75" t="inlineStr">
        <is>
          <t>8월 국내출장 - M항공</t>
        </is>
      </c>
      <c r="J3838" s="75" t="inlineStr">
        <is>
          <t>V10001</t>
        </is>
      </c>
      <c r="K3838" s="75" t="inlineStr">
        <is>
          <t>M항공</t>
        </is>
      </c>
      <c r="M3838" s="9">
        <f>IF($A3838="","",VALUE($A3838&amp;"")*12+VALUE($B3838&amp;""))</f>
        <v/>
      </c>
      <c r="N3838" s="39">
        <f>IF($A3838="","",IFERROR(INDEX(부서매핑!$C$5:$C$504,MATCH($G3838&amp;"",부서매핑!$A$5:$A$504,0)),"미매핑"))</f>
        <v/>
      </c>
      <c r="O3838" s="9">
        <f>IF($A3838="","",N3838&amp;"|"&amp;$F3838)</f>
        <v/>
      </c>
      <c r="P3838" s="77">
        <f>IF($A3838="",0,$H3838*설정!$C$23)</f>
        <v/>
      </c>
      <c r="Q3838" s="39">
        <f>IF($A3838="","",IF(O3838&lt;&gt;원인분석!$C$9,"",IF(AND(M3838&gt;=원인분석!$C$10,M3838&lt;=원인분석!$C$11),"당기",IF(AND(M3838&gt;=원인분석!$C$12,M3838&lt;=원인분석!$C$13),"비교",""))))</f>
        <v/>
      </c>
      <c r="R3838" s="9">
        <f>IF(Q3838="","",$K3838&amp;"")</f>
        <v/>
      </c>
      <c r="S3838" s="9">
        <f>IF(Q3838="","",IF(MATCH(R3838,$R$5:$R$100000,0)=ROW()-4,ROW(),""))</f>
        <v/>
      </c>
      <c r="T3838" s="9">
        <f>IF(Q3838="당기",ABS(P3838)+ROW()/1000000000,"")</f>
        <v/>
      </c>
      <c r="U3838" s="9">
        <f>IF(Q3838="비교",ABS(P3838)+ROW()/1000000000,"")</f>
        <v/>
      </c>
      <c r="V3838" s="39">
        <f>IF($A3838="","",IF(COUNTIF(변동분석!$E$7:$E$506,O3838)&gt;0,"Y","N"))</f>
        <v/>
      </c>
      <c r="W3838" s="39">
        <f>IF($A3838="","",IFERROR(INDEX(계정매핑!$D$5:$D$504,MATCH($F3838&amp;"",계정매핑!$A$5:$A$504,0)),"미매핑"))</f>
        <v/>
      </c>
      <c r="X3838" s="9">
        <f>IF($A3838="","",$F3838&amp;"")</f>
        <v/>
      </c>
    </row>
    <row r="3839">
      <c r="A3839" s="75" t="n">
        <v>2026</v>
      </c>
      <c r="B3839" s="75" t="n">
        <v>8</v>
      </c>
      <c r="C3839" s="75" t="inlineStr">
        <is>
          <t>5100001495</t>
        </is>
      </c>
      <c r="D3839" s="78" t="n">
        <v>46251</v>
      </c>
      <c r="E3839" s="75" t="inlineStr">
        <is>
          <t>KR</t>
        </is>
      </c>
      <c r="F3839" s="75" t="n">
        <v>62101000</v>
      </c>
      <c r="G3839" s="75" t="n">
        <v>1601</v>
      </c>
      <c r="H3839" s="76" t="n">
        <v>1024000</v>
      </c>
      <c r="I3839" s="75" t="inlineStr">
        <is>
          <t>8월 국내출장 - (법인카드)</t>
        </is>
      </c>
      <c r="J3839" s="75" t="inlineStr">
        <is>
          <t>V10008</t>
        </is>
      </c>
      <c r="K3839" s="75" t="inlineStr">
        <is>
          <t>(법인카드)</t>
        </is>
      </c>
      <c r="M3839" s="9">
        <f>IF($A3839="","",VALUE($A3839&amp;"")*12+VALUE($B3839&amp;""))</f>
        <v/>
      </c>
      <c r="N3839" s="39">
        <f>IF($A3839="","",IFERROR(INDEX(부서매핑!$C$5:$C$504,MATCH($G3839&amp;"",부서매핑!$A$5:$A$504,0)),"미매핑"))</f>
        <v/>
      </c>
      <c r="O3839" s="9">
        <f>IF($A3839="","",N3839&amp;"|"&amp;$F3839)</f>
        <v/>
      </c>
      <c r="P3839" s="77">
        <f>IF($A3839="",0,$H3839*설정!$C$23)</f>
        <v/>
      </c>
      <c r="Q3839" s="39">
        <f>IF($A3839="","",IF(O3839&lt;&gt;원인분석!$C$9,"",IF(AND(M3839&gt;=원인분석!$C$10,M3839&lt;=원인분석!$C$11),"당기",IF(AND(M3839&gt;=원인분석!$C$12,M3839&lt;=원인분석!$C$13),"비교",""))))</f>
        <v/>
      </c>
      <c r="R3839" s="9">
        <f>IF(Q3839="","",$K3839&amp;"")</f>
        <v/>
      </c>
      <c r="S3839" s="9">
        <f>IF(Q3839="","",IF(MATCH(R3839,$R$5:$R$100000,0)=ROW()-4,ROW(),""))</f>
        <v/>
      </c>
      <c r="T3839" s="9">
        <f>IF(Q3839="당기",ABS(P3839)+ROW()/1000000000,"")</f>
        <v/>
      </c>
      <c r="U3839" s="9">
        <f>IF(Q3839="비교",ABS(P3839)+ROW()/1000000000,"")</f>
        <v/>
      </c>
      <c r="V3839" s="39">
        <f>IF($A3839="","",IF(COUNTIF(변동분석!$E$7:$E$506,O3839)&gt;0,"Y","N"))</f>
        <v/>
      </c>
      <c r="W3839" s="39">
        <f>IF($A3839="","",IFERROR(INDEX(계정매핑!$D$5:$D$504,MATCH($F3839&amp;"",계정매핑!$A$5:$A$504,0)),"미매핑"))</f>
        <v/>
      </c>
      <c r="X3839" s="9">
        <f>IF($A3839="","",$F3839&amp;"")</f>
        <v/>
      </c>
    </row>
    <row r="3840">
      <c r="A3840" s="75" t="n">
        <v>2026</v>
      </c>
      <c r="B3840" s="75" t="n">
        <v>8</v>
      </c>
      <c r="C3840" s="75" t="inlineStr">
        <is>
          <t>5100001496</t>
        </is>
      </c>
      <c r="D3840" s="78" t="n">
        <v>46251</v>
      </c>
      <c r="E3840" s="75" t="inlineStr">
        <is>
          <t>KR</t>
        </is>
      </c>
      <c r="F3840" s="75" t="n">
        <v>62301000</v>
      </c>
      <c r="G3840" s="75" t="n">
        <v>1501</v>
      </c>
      <c r="H3840" s="76" t="n">
        <v>315000</v>
      </c>
      <c r="I3840" s="75" t="inlineStr">
        <is>
          <t>8월 소모품 구입 - R문구</t>
        </is>
      </c>
      <c r="J3840" s="75" t="inlineStr">
        <is>
          <t>V10018</t>
        </is>
      </c>
      <c r="K3840" s="75" t="inlineStr">
        <is>
          <t>R문구</t>
        </is>
      </c>
      <c r="M3840" s="9">
        <f>IF($A3840="","",VALUE($A3840&amp;"")*12+VALUE($B3840&amp;""))</f>
        <v/>
      </c>
      <c r="N3840" s="39">
        <f>IF($A3840="","",IFERROR(INDEX(부서매핑!$C$5:$C$504,MATCH($G3840&amp;"",부서매핑!$A$5:$A$504,0)),"미매핑"))</f>
        <v/>
      </c>
      <c r="O3840" s="9">
        <f>IF($A3840="","",N3840&amp;"|"&amp;$F3840)</f>
        <v/>
      </c>
      <c r="P3840" s="77">
        <f>IF($A3840="",0,$H3840*설정!$C$23)</f>
        <v/>
      </c>
      <c r="Q3840" s="39">
        <f>IF($A3840="","",IF(O3840&lt;&gt;원인분석!$C$9,"",IF(AND(M3840&gt;=원인분석!$C$10,M3840&lt;=원인분석!$C$11),"당기",IF(AND(M3840&gt;=원인분석!$C$12,M3840&lt;=원인분석!$C$13),"비교",""))))</f>
        <v/>
      </c>
      <c r="R3840" s="9">
        <f>IF(Q3840="","",$K3840&amp;"")</f>
        <v/>
      </c>
      <c r="S3840" s="9">
        <f>IF(Q3840="","",IF(MATCH(R3840,$R$5:$R$100000,0)=ROW()-4,ROW(),""))</f>
        <v/>
      </c>
      <c r="T3840" s="9">
        <f>IF(Q3840="당기",ABS(P3840)+ROW()/1000000000,"")</f>
        <v/>
      </c>
      <c r="U3840" s="9">
        <f>IF(Q3840="비교",ABS(P3840)+ROW()/1000000000,"")</f>
        <v/>
      </c>
      <c r="V3840" s="39">
        <f>IF($A3840="","",IF(COUNTIF(변동분석!$E$7:$E$506,O3840)&gt;0,"Y","N"))</f>
        <v/>
      </c>
      <c r="W3840" s="39">
        <f>IF($A3840="","",IFERROR(INDEX(계정매핑!$D$5:$D$504,MATCH($F3840&amp;"",계정매핑!$A$5:$A$504,0)),"미매핑"))</f>
        <v/>
      </c>
      <c r="X3840" s="9">
        <f>IF($A3840="","",$F3840&amp;"")</f>
        <v/>
      </c>
    </row>
    <row r="3841">
      <c r="A3841" s="75" t="n">
        <v>2026</v>
      </c>
      <c r="B3841" s="75" t="n">
        <v>8</v>
      </c>
      <c r="C3841" s="75" t="inlineStr">
        <is>
          <t>5100001497</t>
        </is>
      </c>
      <c r="D3841" s="78" t="n">
        <v>46251</v>
      </c>
      <c r="E3841" s="75" t="inlineStr">
        <is>
          <t>KR</t>
        </is>
      </c>
      <c r="F3841" s="75" t="n">
        <v>62401000</v>
      </c>
      <c r="G3841" s="75" t="n">
        <v>1401</v>
      </c>
      <c r="H3841" s="76" t="n">
        <v>313000</v>
      </c>
      <c r="I3841" s="75" t="inlineStr">
        <is>
          <t>8월 인쇄물 제작 - G인쇄</t>
        </is>
      </c>
      <c r="J3841" s="75" t="inlineStr">
        <is>
          <t>V10004</t>
        </is>
      </c>
      <c r="K3841" s="75" t="inlineStr">
        <is>
          <t>G인쇄</t>
        </is>
      </c>
      <c r="M3841" s="9">
        <f>IF($A3841="","",VALUE($A3841&amp;"")*12+VALUE($B3841&amp;""))</f>
        <v/>
      </c>
      <c r="N3841" s="39">
        <f>IF($A3841="","",IFERROR(INDEX(부서매핑!$C$5:$C$504,MATCH($G3841&amp;"",부서매핑!$A$5:$A$504,0)),"미매핑"))</f>
        <v/>
      </c>
      <c r="O3841" s="9">
        <f>IF($A3841="","",N3841&amp;"|"&amp;$F3841)</f>
        <v/>
      </c>
      <c r="P3841" s="77">
        <f>IF($A3841="",0,$H3841*설정!$C$23)</f>
        <v/>
      </c>
      <c r="Q3841" s="39">
        <f>IF($A3841="","",IF(O3841&lt;&gt;원인분석!$C$9,"",IF(AND(M3841&gt;=원인분석!$C$10,M3841&lt;=원인분석!$C$11),"당기",IF(AND(M3841&gt;=원인분석!$C$12,M3841&lt;=원인분석!$C$13),"비교",""))))</f>
        <v/>
      </c>
      <c r="R3841" s="9">
        <f>IF(Q3841="","",$K3841&amp;"")</f>
        <v/>
      </c>
      <c r="S3841" s="9">
        <f>IF(Q3841="","",IF(MATCH(R3841,$R$5:$R$100000,0)=ROW()-4,ROW(),""))</f>
        <v/>
      </c>
      <c r="T3841" s="9">
        <f>IF(Q3841="당기",ABS(P3841)+ROW()/1000000000,"")</f>
        <v/>
      </c>
      <c r="U3841" s="9">
        <f>IF(Q3841="비교",ABS(P3841)+ROW()/1000000000,"")</f>
        <v/>
      </c>
      <c r="V3841" s="39">
        <f>IF($A3841="","",IF(COUNTIF(변동분석!$E$7:$E$506,O3841)&gt;0,"Y","N"))</f>
        <v/>
      </c>
      <c r="W3841" s="39">
        <f>IF($A3841="","",IFERROR(INDEX(계정매핑!$D$5:$D$504,MATCH($F3841&amp;"",계정매핑!$A$5:$A$504,0)),"미매핑"))</f>
        <v/>
      </c>
      <c r="X3841" s="9">
        <f>IF($A3841="","",$F3841&amp;"")</f>
        <v/>
      </c>
    </row>
    <row r="3842">
      <c r="A3842" s="75" t="n">
        <v>2026</v>
      </c>
      <c r="B3842" s="75" t="n">
        <v>8</v>
      </c>
      <c r="C3842" s="75" t="inlineStr">
        <is>
          <t>5100001498</t>
        </is>
      </c>
      <c r="D3842" s="78" t="n">
        <v>46251</v>
      </c>
      <c r="E3842" s="75" t="inlineStr">
        <is>
          <t>KR</t>
        </is>
      </c>
      <c r="F3842" s="75" t="n">
        <v>62501000</v>
      </c>
      <c r="G3842" s="75" t="n">
        <v>1201</v>
      </c>
      <c r="H3842" s="76" t="n">
        <v>129000</v>
      </c>
      <c r="I3842" s="75" t="inlineStr">
        <is>
          <t>8월 회의 다과 - T케이터링</t>
        </is>
      </c>
      <c r="J3842" s="75" t="inlineStr">
        <is>
          <t>V10005</t>
        </is>
      </c>
      <c r="K3842" s="75" t="inlineStr">
        <is>
          <t>T케이터링</t>
        </is>
      </c>
      <c r="M3842" s="9">
        <f>IF($A3842="","",VALUE($A3842&amp;"")*12+VALUE($B3842&amp;""))</f>
        <v/>
      </c>
      <c r="N3842" s="39">
        <f>IF($A3842="","",IFERROR(INDEX(부서매핑!$C$5:$C$504,MATCH($G3842&amp;"",부서매핑!$A$5:$A$504,0)),"미매핑"))</f>
        <v/>
      </c>
      <c r="O3842" s="9">
        <f>IF($A3842="","",N3842&amp;"|"&amp;$F3842)</f>
        <v/>
      </c>
      <c r="P3842" s="77">
        <f>IF($A3842="",0,$H3842*설정!$C$23)</f>
        <v/>
      </c>
      <c r="Q3842" s="39">
        <f>IF($A3842="","",IF(O3842&lt;&gt;원인분석!$C$9,"",IF(AND(M3842&gt;=원인분석!$C$10,M3842&lt;=원인분석!$C$11),"당기",IF(AND(M3842&gt;=원인분석!$C$12,M3842&lt;=원인분석!$C$13),"비교",""))))</f>
        <v/>
      </c>
      <c r="R3842" s="9">
        <f>IF(Q3842="","",$K3842&amp;"")</f>
        <v/>
      </c>
      <c r="S3842" s="9">
        <f>IF(Q3842="","",IF(MATCH(R3842,$R$5:$R$100000,0)=ROW()-4,ROW(),""))</f>
        <v/>
      </c>
      <c r="T3842" s="9">
        <f>IF(Q3842="당기",ABS(P3842)+ROW()/1000000000,"")</f>
        <v/>
      </c>
      <c r="U3842" s="9">
        <f>IF(Q3842="비교",ABS(P3842)+ROW()/1000000000,"")</f>
        <v/>
      </c>
      <c r="V3842" s="39">
        <f>IF($A3842="","",IF(COUNTIF(변동분석!$E$7:$E$506,O3842)&gt;0,"Y","N"))</f>
        <v/>
      </c>
      <c r="W3842" s="39">
        <f>IF($A3842="","",IFERROR(INDEX(계정매핑!$D$5:$D$504,MATCH($F3842&amp;"",계정매핑!$A$5:$A$504,0)),"미매핑"))</f>
        <v/>
      </c>
      <c r="X3842" s="9">
        <f>IF($A3842="","",$F3842&amp;"")</f>
        <v/>
      </c>
    </row>
    <row r="3843">
      <c r="A3843" s="75" t="n">
        <v>2026</v>
      </c>
      <c r="B3843" s="75" t="n">
        <v>8</v>
      </c>
      <c r="C3843" s="75" t="inlineStr">
        <is>
          <t>5100001499</t>
        </is>
      </c>
      <c r="D3843" s="78" t="n">
        <v>46252</v>
      </c>
      <c r="E3843" s="75" t="inlineStr">
        <is>
          <t>KR</t>
        </is>
      </c>
      <c r="F3843" s="75" t="n">
        <v>62101000</v>
      </c>
      <c r="G3843" s="75" t="n">
        <v>1101</v>
      </c>
      <c r="H3843" s="76" t="n">
        <v>433000</v>
      </c>
      <c r="I3843" s="75" t="inlineStr">
        <is>
          <t>8월 국내출장 - L여행사</t>
        </is>
      </c>
      <c r="J3843" s="75" t="inlineStr">
        <is>
          <t>V10014</t>
        </is>
      </c>
      <c r="K3843" s="75" t="inlineStr">
        <is>
          <t>L여행사</t>
        </is>
      </c>
      <c r="M3843" s="9">
        <f>IF($A3843="","",VALUE($A3843&amp;"")*12+VALUE($B3843&amp;""))</f>
        <v/>
      </c>
      <c r="N3843" s="39">
        <f>IF($A3843="","",IFERROR(INDEX(부서매핑!$C$5:$C$504,MATCH($G3843&amp;"",부서매핑!$A$5:$A$504,0)),"미매핑"))</f>
        <v/>
      </c>
      <c r="O3843" s="9">
        <f>IF($A3843="","",N3843&amp;"|"&amp;$F3843)</f>
        <v/>
      </c>
      <c r="P3843" s="77">
        <f>IF($A3843="",0,$H3843*설정!$C$23)</f>
        <v/>
      </c>
      <c r="Q3843" s="39">
        <f>IF($A3843="","",IF(O3843&lt;&gt;원인분석!$C$9,"",IF(AND(M3843&gt;=원인분석!$C$10,M3843&lt;=원인분석!$C$11),"당기",IF(AND(M3843&gt;=원인분석!$C$12,M3843&lt;=원인분석!$C$13),"비교",""))))</f>
        <v/>
      </c>
      <c r="R3843" s="9">
        <f>IF(Q3843="","",$K3843&amp;"")</f>
        <v/>
      </c>
      <c r="S3843" s="9">
        <f>IF(Q3843="","",IF(MATCH(R3843,$R$5:$R$100000,0)=ROW()-4,ROW(),""))</f>
        <v/>
      </c>
      <c r="T3843" s="9">
        <f>IF(Q3843="당기",ABS(P3843)+ROW()/1000000000,"")</f>
        <v/>
      </c>
      <c r="U3843" s="9">
        <f>IF(Q3843="비교",ABS(P3843)+ROW()/1000000000,"")</f>
        <v/>
      </c>
      <c r="V3843" s="39">
        <f>IF($A3843="","",IF(COUNTIF(변동분석!$E$7:$E$506,O3843)&gt;0,"Y","N"))</f>
        <v/>
      </c>
      <c r="W3843" s="39">
        <f>IF($A3843="","",IFERROR(INDEX(계정매핑!$D$5:$D$504,MATCH($F3843&amp;"",계정매핑!$A$5:$A$504,0)),"미매핑"))</f>
        <v/>
      </c>
      <c r="X3843" s="9">
        <f>IF($A3843="","",$F3843&amp;"")</f>
        <v/>
      </c>
    </row>
    <row r="3844">
      <c r="A3844" s="75" t="n">
        <v>2026</v>
      </c>
      <c r="B3844" s="75" t="n">
        <v>8</v>
      </c>
      <c r="C3844" s="75" t="inlineStr">
        <is>
          <t>5100001500</t>
        </is>
      </c>
      <c r="D3844" s="78" t="n">
        <v>46252</v>
      </c>
      <c r="E3844" s="75" t="inlineStr">
        <is>
          <t>KR</t>
        </is>
      </c>
      <c r="F3844" s="75" t="n">
        <v>62201000</v>
      </c>
      <c r="G3844" s="75" t="n">
        <v>1401</v>
      </c>
      <c r="H3844" s="76" t="n">
        <v>201000</v>
      </c>
      <c r="I3844" s="75" t="inlineStr">
        <is>
          <t>8월 통신요금 - O텔레콤</t>
        </is>
      </c>
      <c r="J3844" s="75" t="inlineStr">
        <is>
          <t>V10002</t>
        </is>
      </c>
      <c r="K3844" s="75" t="inlineStr">
        <is>
          <t>O텔레콤</t>
        </is>
      </c>
      <c r="M3844" s="9">
        <f>IF($A3844="","",VALUE($A3844&amp;"")*12+VALUE($B3844&amp;""))</f>
        <v/>
      </c>
      <c r="N3844" s="39">
        <f>IF($A3844="","",IFERROR(INDEX(부서매핑!$C$5:$C$504,MATCH($G3844&amp;"",부서매핑!$A$5:$A$504,0)),"미매핑"))</f>
        <v/>
      </c>
      <c r="O3844" s="9">
        <f>IF($A3844="","",N3844&amp;"|"&amp;$F3844)</f>
        <v/>
      </c>
      <c r="P3844" s="77">
        <f>IF($A3844="",0,$H3844*설정!$C$23)</f>
        <v/>
      </c>
      <c r="Q3844" s="39">
        <f>IF($A3844="","",IF(O3844&lt;&gt;원인분석!$C$9,"",IF(AND(M3844&gt;=원인분석!$C$10,M3844&lt;=원인분석!$C$11),"당기",IF(AND(M3844&gt;=원인분석!$C$12,M3844&lt;=원인분석!$C$13),"비교",""))))</f>
        <v/>
      </c>
      <c r="R3844" s="9">
        <f>IF(Q3844="","",$K3844&amp;"")</f>
        <v/>
      </c>
      <c r="S3844" s="9">
        <f>IF(Q3844="","",IF(MATCH(R3844,$R$5:$R$100000,0)=ROW()-4,ROW(),""))</f>
        <v/>
      </c>
      <c r="T3844" s="9">
        <f>IF(Q3844="당기",ABS(P3844)+ROW()/1000000000,"")</f>
        <v/>
      </c>
      <c r="U3844" s="9">
        <f>IF(Q3844="비교",ABS(P3844)+ROW()/1000000000,"")</f>
        <v/>
      </c>
      <c r="V3844" s="39">
        <f>IF($A3844="","",IF(COUNTIF(변동분석!$E$7:$E$506,O3844)&gt;0,"Y","N"))</f>
        <v/>
      </c>
      <c r="W3844" s="39">
        <f>IF($A3844="","",IFERROR(INDEX(계정매핑!$D$5:$D$504,MATCH($F3844&amp;"",계정매핑!$A$5:$A$504,0)),"미매핑"))</f>
        <v/>
      </c>
      <c r="X3844" s="9">
        <f>IF($A3844="","",$F3844&amp;"")</f>
        <v/>
      </c>
    </row>
    <row r="3845">
      <c r="A3845" s="75" t="n">
        <v>2026</v>
      </c>
      <c r="B3845" s="75" t="n">
        <v>8</v>
      </c>
      <c r="C3845" s="75" t="inlineStr">
        <is>
          <t>5100001501</t>
        </is>
      </c>
      <c r="D3845" s="78" t="n">
        <v>46252</v>
      </c>
      <c r="E3845" s="75" t="inlineStr">
        <is>
          <t>KR</t>
        </is>
      </c>
      <c r="F3845" s="75" t="n">
        <v>62201000</v>
      </c>
      <c r="G3845" s="75" t="n">
        <v>1401</v>
      </c>
      <c r="H3845" s="76" t="n">
        <v>198000</v>
      </c>
      <c r="I3845" s="75" t="inlineStr">
        <is>
          <t>8월 통신요금 - P통신</t>
        </is>
      </c>
      <c r="J3845" s="75" t="inlineStr">
        <is>
          <t>V10011</t>
        </is>
      </c>
      <c r="K3845" s="75" t="inlineStr">
        <is>
          <t>P통신</t>
        </is>
      </c>
      <c r="M3845" s="9">
        <f>IF($A3845="","",VALUE($A3845&amp;"")*12+VALUE($B3845&amp;""))</f>
        <v/>
      </c>
      <c r="N3845" s="39">
        <f>IF($A3845="","",IFERROR(INDEX(부서매핑!$C$5:$C$504,MATCH($G3845&amp;"",부서매핑!$A$5:$A$504,0)),"미매핑"))</f>
        <v/>
      </c>
      <c r="O3845" s="9">
        <f>IF($A3845="","",N3845&amp;"|"&amp;$F3845)</f>
        <v/>
      </c>
      <c r="P3845" s="77">
        <f>IF($A3845="",0,$H3845*설정!$C$23)</f>
        <v/>
      </c>
      <c r="Q3845" s="39">
        <f>IF($A3845="","",IF(O3845&lt;&gt;원인분석!$C$9,"",IF(AND(M3845&gt;=원인분석!$C$10,M3845&lt;=원인분석!$C$11),"당기",IF(AND(M3845&gt;=원인분석!$C$12,M3845&lt;=원인분석!$C$13),"비교",""))))</f>
        <v/>
      </c>
      <c r="R3845" s="9">
        <f>IF(Q3845="","",$K3845&amp;"")</f>
        <v/>
      </c>
      <c r="S3845" s="9">
        <f>IF(Q3845="","",IF(MATCH(R3845,$R$5:$R$100000,0)=ROW()-4,ROW(),""))</f>
        <v/>
      </c>
      <c r="T3845" s="9">
        <f>IF(Q3845="당기",ABS(P3845)+ROW()/1000000000,"")</f>
        <v/>
      </c>
      <c r="U3845" s="9">
        <f>IF(Q3845="비교",ABS(P3845)+ROW()/1000000000,"")</f>
        <v/>
      </c>
      <c r="V3845" s="39">
        <f>IF($A3845="","",IF(COUNTIF(변동분석!$E$7:$E$506,O3845)&gt;0,"Y","N"))</f>
        <v/>
      </c>
      <c r="W3845" s="39">
        <f>IF($A3845="","",IFERROR(INDEX(계정매핑!$D$5:$D$504,MATCH($F3845&amp;"",계정매핑!$A$5:$A$504,0)),"미매핑"))</f>
        <v/>
      </c>
      <c r="X3845" s="9">
        <f>IF($A3845="","",$F3845&amp;"")</f>
        <v/>
      </c>
    </row>
    <row r="3846">
      <c r="A3846" s="75" t="n">
        <v>2026</v>
      </c>
      <c r="B3846" s="75" t="n">
        <v>8</v>
      </c>
      <c r="C3846" s="75" t="inlineStr">
        <is>
          <t>5100001502</t>
        </is>
      </c>
      <c r="D3846" s="78" t="n">
        <v>46252</v>
      </c>
      <c r="E3846" s="75" t="inlineStr">
        <is>
          <t>KR</t>
        </is>
      </c>
      <c r="F3846" s="75" t="n">
        <v>62301000</v>
      </c>
      <c r="G3846" s="75" t="n">
        <v>1602</v>
      </c>
      <c r="H3846" s="76" t="n">
        <v>341000</v>
      </c>
      <c r="I3846" s="75" t="inlineStr">
        <is>
          <t>8월 소모품 구입 - Q오피스</t>
        </is>
      </c>
      <c r="J3846" s="75" t="inlineStr">
        <is>
          <t>V10003</t>
        </is>
      </c>
      <c r="K3846" s="75" t="inlineStr">
        <is>
          <t>Q오피스</t>
        </is>
      </c>
      <c r="M3846" s="9">
        <f>IF($A3846="","",VALUE($A3846&amp;"")*12+VALUE($B3846&amp;""))</f>
        <v/>
      </c>
      <c r="N3846" s="39">
        <f>IF($A3846="","",IFERROR(INDEX(부서매핑!$C$5:$C$504,MATCH($G3846&amp;"",부서매핑!$A$5:$A$504,0)),"미매핑"))</f>
        <v/>
      </c>
      <c r="O3846" s="9">
        <f>IF($A3846="","",N3846&amp;"|"&amp;$F3846)</f>
        <v/>
      </c>
      <c r="P3846" s="77">
        <f>IF($A3846="",0,$H3846*설정!$C$23)</f>
        <v/>
      </c>
      <c r="Q3846" s="39">
        <f>IF($A3846="","",IF(O3846&lt;&gt;원인분석!$C$9,"",IF(AND(M3846&gt;=원인분석!$C$10,M3846&lt;=원인분석!$C$11),"당기",IF(AND(M3846&gt;=원인분석!$C$12,M3846&lt;=원인분석!$C$13),"비교",""))))</f>
        <v/>
      </c>
      <c r="R3846" s="9">
        <f>IF(Q3846="","",$K3846&amp;"")</f>
        <v/>
      </c>
      <c r="S3846" s="9">
        <f>IF(Q3846="","",IF(MATCH(R3846,$R$5:$R$100000,0)=ROW()-4,ROW(),""))</f>
        <v/>
      </c>
      <c r="T3846" s="9">
        <f>IF(Q3846="당기",ABS(P3846)+ROW()/1000000000,"")</f>
        <v/>
      </c>
      <c r="U3846" s="9">
        <f>IF(Q3846="비교",ABS(P3846)+ROW()/1000000000,"")</f>
        <v/>
      </c>
      <c r="V3846" s="39">
        <f>IF($A3846="","",IF(COUNTIF(변동분석!$E$7:$E$506,O3846)&gt;0,"Y","N"))</f>
        <v/>
      </c>
      <c r="W3846" s="39">
        <f>IF($A3846="","",IFERROR(INDEX(계정매핑!$D$5:$D$504,MATCH($F3846&amp;"",계정매핑!$A$5:$A$504,0)),"미매핑"))</f>
        <v/>
      </c>
      <c r="X3846" s="9">
        <f>IF($A3846="","",$F3846&amp;"")</f>
        <v/>
      </c>
    </row>
    <row r="3847">
      <c r="A3847" s="75" t="n">
        <v>2026</v>
      </c>
      <c r="B3847" s="75" t="n">
        <v>8</v>
      </c>
      <c r="C3847" s="75" t="inlineStr">
        <is>
          <t>5100001503</t>
        </is>
      </c>
      <c r="D3847" s="78" t="n">
        <v>46252</v>
      </c>
      <c r="E3847" s="75" t="inlineStr">
        <is>
          <t>KR</t>
        </is>
      </c>
      <c r="F3847" s="75" t="n">
        <v>62601000</v>
      </c>
      <c r="G3847" s="75" t="n">
        <v>1601</v>
      </c>
      <c r="H3847" s="76" t="n">
        <v>1590000</v>
      </c>
      <c r="I3847" s="75" t="inlineStr">
        <is>
          <t>8월 업무추진 - (법인카드)</t>
        </is>
      </c>
      <c r="J3847" s="75" t="inlineStr">
        <is>
          <t>V10008</t>
        </is>
      </c>
      <c r="K3847" s="75" t="inlineStr">
        <is>
          <t>(법인카드)</t>
        </is>
      </c>
      <c r="M3847" s="9">
        <f>IF($A3847="","",VALUE($A3847&amp;"")*12+VALUE($B3847&amp;""))</f>
        <v/>
      </c>
      <c r="N3847" s="39">
        <f>IF($A3847="","",IFERROR(INDEX(부서매핑!$C$5:$C$504,MATCH($G3847&amp;"",부서매핑!$A$5:$A$504,0)),"미매핑"))</f>
        <v/>
      </c>
      <c r="O3847" s="9">
        <f>IF($A3847="","",N3847&amp;"|"&amp;$F3847)</f>
        <v/>
      </c>
      <c r="P3847" s="77">
        <f>IF($A3847="",0,$H3847*설정!$C$23)</f>
        <v/>
      </c>
      <c r="Q3847" s="39">
        <f>IF($A3847="","",IF(O3847&lt;&gt;원인분석!$C$9,"",IF(AND(M3847&gt;=원인분석!$C$10,M3847&lt;=원인분석!$C$11),"당기",IF(AND(M3847&gt;=원인분석!$C$12,M3847&lt;=원인분석!$C$13),"비교",""))))</f>
        <v/>
      </c>
      <c r="R3847" s="9">
        <f>IF(Q3847="","",$K3847&amp;"")</f>
        <v/>
      </c>
      <c r="S3847" s="9">
        <f>IF(Q3847="","",IF(MATCH(R3847,$R$5:$R$100000,0)=ROW()-4,ROW(),""))</f>
        <v/>
      </c>
      <c r="T3847" s="9">
        <f>IF(Q3847="당기",ABS(P3847)+ROW()/1000000000,"")</f>
        <v/>
      </c>
      <c r="U3847" s="9">
        <f>IF(Q3847="비교",ABS(P3847)+ROW()/1000000000,"")</f>
        <v/>
      </c>
      <c r="V3847" s="39">
        <f>IF($A3847="","",IF(COUNTIF(변동분석!$E$7:$E$506,O3847)&gt;0,"Y","N"))</f>
        <v/>
      </c>
      <c r="W3847" s="39">
        <f>IF($A3847="","",IFERROR(INDEX(계정매핑!$D$5:$D$504,MATCH($F3847&amp;"",계정매핑!$A$5:$A$504,0)),"미매핑"))</f>
        <v/>
      </c>
      <c r="X3847" s="9">
        <f>IF($A3847="","",$F3847&amp;"")</f>
        <v/>
      </c>
    </row>
    <row r="3848">
      <c r="A3848" s="75" t="n">
        <v>2026</v>
      </c>
      <c r="B3848" s="75" t="n">
        <v>8</v>
      </c>
      <c r="C3848" s="75" t="inlineStr">
        <is>
          <t>5100001504</t>
        </is>
      </c>
      <c r="D3848" s="78" t="n">
        <v>46252</v>
      </c>
      <c r="E3848" s="75" t="inlineStr">
        <is>
          <t>KR</t>
        </is>
      </c>
      <c r="F3848" s="75" t="n">
        <v>62902000</v>
      </c>
      <c r="G3848" s="75" t="n">
        <v>1401</v>
      </c>
      <c r="H3848" s="76" t="n">
        <v>1639000</v>
      </c>
      <c r="I3848" s="75" t="inlineStr">
        <is>
          <t>8월 업무 위탁 수수료 - J콜센터</t>
        </is>
      </c>
      <c r="J3848" s="75" t="inlineStr">
        <is>
          <t>V10013</t>
        </is>
      </c>
      <c r="K3848" s="75" t="inlineStr">
        <is>
          <t>J콜센터</t>
        </is>
      </c>
      <c r="M3848" s="9">
        <f>IF($A3848="","",VALUE($A3848&amp;"")*12+VALUE($B3848&amp;""))</f>
        <v/>
      </c>
      <c r="N3848" s="39">
        <f>IF($A3848="","",IFERROR(INDEX(부서매핑!$C$5:$C$504,MATCH($G3848&amp;"",부서매핑!$A$5:$A$504,0)),"미매핑"))</f>
        <v/>
      </c>
      <c r="O3848" s="9">
        <f>IF($A3848="","",N3848&amp;"|"&amp;$F3848)</f>
        <v/>
      </c>
      <c r="P3848" s="77">
        <f>IF($A3848="",0,$H3848*설정!$C$23)</f>
        <v/>
      </c>
      <c r="Q3848" s="39">
        <f>IF($A3848="","",IF(O3848&lt;&gt;원인분석!$C$9,"",IF(AND(M3848&gt;=원인분석!$C$10,M3848&lt;=원인분석!$C$11),"당기",IF(AND(M3848&gt;=원인분석!$C$12,M3848&lt;=원인분석!$C$13),"비교",""))))</f>
        <v/>
      </c>
      <c r="R3848" s="9">
        <f>IF(Q3848="","",$K3848&amp;"")</f>
        <v/>
      </c>
      <c r="S3848" s="9">
        <f>IF(Q3848="","",IF(MATCH(R3848,$R$5:$R$100000,0)=ROW()-4,ROW(),""))</f>
        <v/>
      </c>
      <c r="T3848" s="9">
        <f>IF(Q3848="당기",ABS(P3848)+ROW()/1000000000,"")</f>
        <v/>
      </c>
      <c r="U3848" s="9">
        <f>IF(Q3848="비교",ABS(P3848)+ROW()/1000000000,"")</f>
        <v/>
      </c>
      <c r="V3848" s="39">
        <f>IF($A3848="","",IF(COUNTIF(변동분석!$E$7:$E$506,O3848)&gt;0,"Y","N"))</f>
        <v/>
      </c>
      <c r="W3848" s="39">
        <f>IF($A3848="","",IFERROR(INDEX(계정매핑!$D$5:$D$504,MATCH($F3848&amp;"",계정매핑!$A$5:$A$504,0)),"미매핑"))</f>
        <v/>
      </c>
      <c r="X3848" s="9">
        <f>IF($A3848="","",$F3848&amp;"")</f>
        <v/>
      </c>
    </row>
    <row r="3849">
      <c r="A3849" s="75" t="n">
        <v>2026</v>
      </c>
      <c r="B3849" s="75" t="n">
        <v>8</v>
      </c>
      <c r="C3849" s="75" t="inlineStr">
        <is>
          <t>5100001505</t>
        </is>
      </c>
      <c r="D3849" s="78" t="n">
        <v>46252</v>
      </c>
      <c r="E3849" s="75" t="inlineStr">
        <is>
          <t>KR</t>
        </is>
      </c>
      <c r="F3849" s="75" t="n">
        <v>63001000</v>
      </c>
      <c r="G3849" s="75" t="n">
        <v>1701</v>
      </c>
      <c r="H3849" s="76" t="n">
        <v>19644000</v>
      </c>
      <c r="I3849" s="75" t="inlineStr">
        <is>
          <t>8월 SW 유지보수 - Z시스템</t>
        </is>
      </c>
      <c r="J3849" s="75" t="inlineStr">
        <is>
          <t>V10021</t>
        </is>
      </c>
      <c r="K3849" s="75" t="inlineStr">
        <is>
          <t>Z시스템</t>
        </is>
      </c>
      <c r="M3849" s="9">
        <f>IF($A3849="","",VALUE($A3849&amp;"")*12+VALUE($B3849&amp;""))</f>
        <v/>
      </c>
      <c r="N3849" s="39">
        <f>IF($A3849="","",IFERROR(INDEX(부서매핑!$C$5:$C$504,MATCH($G3849&amp;"",부서매핑!$A$5:$A$504,0)),"미매핑"))</f>
        <v/>
      </c>
      <c r="O3849" s="9">
        <f>IF($A3849="","",N3849&amp;"|"&amp;$F3849)</f>
        <v/>
      </c>
      <c r="P3849" s="77">
        <f>IF($A3849="",0,$H3849*설정!$C$23)</f>
        <v/>
      </c>
      <c r="Q3849" s="39">
        <f>IF($A3849="","",IF(O3849&lt;&gt;원인분석!$C$9,"",IF(AND(M3849&gt;=원인분석!$C$10,M3849&lt;=원인분석!$C$11),"당기",IF(AND(M3849&gt;=원인분석!$C$12,M3849&lt;=원인분석!$C$13),"비교",""))))</f>
        <v/>
      </c>
      <c r="R3849" s="9">
        <f>IF(Q3849="","",$K3849&amp;"")</f>
        <v/>
      </c>
      <c r="S3849" s="9">
        <f>IF(Q3849="","",IF(MATCH(R3849,$R$5:$R$100000,0)=ROW()-4,ROW(),""))</f>
        <v/>
      </c>
      <c r="T3849" s="9">
        <f>IF(Q3849="당기",ABS(P3849)+ROW()/1000000000,"")</f>
        <v/>
      </c>
      <c r="U3849" s="9">
        <f>IF(Q3849="비교",ABS(P3849)+ROW()/1000000000,"")</f>
        <v/>
      </c>
      <c r="V3849" s="39">
        <f>IF($A3849="","",IF(COUNTIF(변동분석!$E$7:$E$506,O3849)&gt;0,"Y","N"))</f>
        <v/>
      </c>
      <c r="W3849" s="39">
        <f>IF($A3849="","",IFERROR(INDEX(계정매핑!$D$5:$D$504,MATCH($F3849&amp;"",계정매핑!$A$5:$A$504,0)),"미매핑"))</f>
        <v/>
      </c>
      <c r="X3849" s="9">
        <f>IF($A3849="","",$F3849&amp;"")</f>
        <v/>
      </c>
    </row>
    <row r="3850">
      <c r="A3850" s="75" t="n">
        <v>2026</v>
      </c>
      <c r="B3850" s="75" t="n">
        <v>8</v>
      </c>
      <c r="C3850" s="75" t="inlineStr">
        <is>
          <t>5100001506</t>
        </is>
      </c>
      <c r="D3850" s="78" t="n">
        <v>46253</v>
      </c>
      <c r="E3850" s="75" t="inlineStr">
        <is>
          <t>KR</t>
        </is>
      </c>
      <c r="F3850" s="75" t="n">
        <v>62101000</v>
      </c>
      <c r="G3850" s="75" t="n">
        <v>1301</v>
      </c>
      <c r="H3850" s="76" t="n">
        <v>310000</v>
      </c>
      <c r="I3850" s="75" t="inlineStr">
        <is>
          <t>8월 국내출장 - L여행사</t>
        </is>
      </c>
      <c r="J3850" s="75" t="inlineStr">
        <is>
          <t>V10014</t>
        </is>
      </c>
      <c r="K3850" s="75" t="inlineStr">
        <is>
          <t>L여행사</t>
        </is>
      </c>
      <c r="M3850" s="9">
        <f>IF($A3850="","",VALUE($A3850&amp;"")*12+VALUE($B3850&amp;""))</f>
        <v/>
      </c>
      <c r="N3850" s="39">
        <f>IF($A3850="","",IFERROR(INDEX(부서매핑!$C$5:$C$504,MATCH($G3850&amp;"",부서매핑!$A$5:$A$504,0)),"미매핑"))</f>
        <v/>
      </c>
      <c r="O3850" s="9">
        <f>IF($A3850="","",N3850&amp;"|"&amp;$F3850)</f>
        <v/>
      </c>
      <c r="P3850" s="77">
        <f>IF($A3850="",0,$H3850*설정!$C$23)</f>
        <v/>
      </c>
      <c r="Q3850" s="39">
        <f>IF($A3850="","",IF(O3850&lt;&gt;원인분석!$C$9,"",IF(AND(M3850&gt;=원인분석!$C$10,M3850&lt;=원인분석!$C$11),"당기",IF(AND(M3850&gt;=원인분석!$C$12,M3850&lt;=원인분석!$C$13),"비교",""))))</f>
        <v/>
      </c>
      <c r="R3850" s="9">
        <f>IF(Q3850="","",$K3850&amp;"")</f>
        <v/>
      </c>
      <c r="S3850" s="9">
        <f>IF(Q3850="","",IF(MATCH(R3850,$R$5:$R$100000,0)=ROW()-4,ROW(),""))</f>
        <v/>
      </c>
      <c r="T3850" s="9">
        <f>IF(Q3850="당기",ABS(P3850)+ROW()/1000000000,"")</f>
        <v/>
      </c>
      <c r="U3850" s="9">
        <f>IF(Q3850="비교",ABS(P3850)+ROW()/1000000000,"")</f>
        <v/>
      </c>
      <c r="V3850" s="39">
        <f>IF($A3850="","",IF(COUNTIF(변동분석!$E$7:$E$506,O3850)&gt;0,"Y","N"))</f>
        <v/>
      </c>
      <c r="W3850" s="39">
        <f>IF($A3850="","",IFERROR(INDEX(계정매핑!$D$5:$D$504,MATCH($F3850&amp;"",계정매핑!$A$5:$A$504,0)),"미매핑"))</f>
        <v/>
      </c>
      <c r="X3850" s="9">
        <f>IF($A3850="","",$F3850&amp;"")</f>
        <v/>
      </c>
    </row>
    <row r="3851">
      <c r="A3851" s="75" t="n">
        <v>2026</v>
      </c>
      <c r="B3851" s="75" t="n">
        <v>8</v>
      </c>
      <c r="C3851" s="75" t="inlineStr">
        <is>
          <t>5100001507</t>
        </is>
      </c>
      <c r="D3851" s="78" t="n">
        <v>46253</v>
      </c>
      <c r="E3851" s="75" t="inlineStr">
        <is>
          <t>KR</t>
        </is>
      </c>
      <c r="F3851" s="75" t="n">
        <v>62101000</v>
      </c>
      <c r="G3851" s="75" t="n">
        <v>1401</v>
      </c>
      <c r="H3851" s="76" t="n">
        <v>376000</v>
      </c>
      <c r="I3851" s="75" t="inlineStr">
        <is>
          <t>8월 국내출장 - M항공</t>
        </is>
      </c>
      <c r="J3851" s="75" t="inlineStr">
        <is>
          <t>V10001</t>
        </is>
      </c>
      <c r="K3851" s="75" t="inlineStr">
        <is>
          <t>M항공</t>
        </is>
      </c>
      <c r="M3851" s="9">
        <f>IF($A3851="","",VALUE($A3851&amp;"")*12+VALUE($B3851&amp;""))</f>
        <v/>
      </c>
      <c r="N3851" s="39">
        <f>IF($A3851="","",IFERROR(INDEX(부서매핑!$C$5:$C$504,MATCH($G3851&amp;"",부서매핑!$A$5:$A$504,0)),"미매핑"))</f>
        <v/>
      </c>
      <c r="O3851" s="9">
        <f>IF($A3851="","",N3851&amp;"|"&amp;$F3851)</f>
        <v/>
      </c>
      <c r="P3851" s="77">
        <f>IF($A3851="",0,$H3851*설정!$C$23)</f>
        <v/>
      </c>
      <c r="Q3851" s="39">
        <f>IF($A3851="","",IF(O3851&lt;&gt;원인분석!$C$9,"",IF(AND(M3851&gt;=원인분석!$C$10,M3851&lt;=원인분석!$C$11),"당기",IF(AND(M3851&gt;=원인분석!$C$12,M3851&lt;=원인분석!$C$13),"비교",""))))</f>
        <v/>
      </c>
      <c r="R3851" s="9">
        <f>IF(Q3851="","",$K3851&amp;"")</f>
        <v/>
      </c>
      <c r="S3851" s="9">
        <f>IF(Q3851="","",IF(MATCH(R3851,$R$5:$R$100000,0)=ROW()-4,ROW(),""))</f>
        <v/>
      </c>
      <c r="T3851" s="9">
        <f>IF(Q3851="당기",ABS(P3851)+ROW()/1000000000,"")</f>
        <v/>
      </c>
      <c r="U3851" s="9">
        <f>IF(Q3851="비교",ABS(P3851)+ROW()/1000000000,"")</f>
        <v/>
      </c>
      <c r="V3851" s="39">
        <f>IF($A3851="","",IF(COUNTIF(변동분석!$E$7:$E$506,O3851)&gt;0,"Y","N"))</f>
        <v/>
      </c>
      <c r="W3851" s="39">
        <f>IF($A3851="","",IFERROR(INDEX(계정매핑!$D$5:$D$504,MATCH($F3851&amp;"",계정매핑!$A$5:$A$504,0)),"미매핑"))</f>
        <v/>
      </c>
      <c r="X3851" s="9">
        <f>IF($A3851="","",$F3851&amp;"")</f>
        <v/>
      </c>
    </row>
    <row r="3852">
      <c r="A3852" s="75" t="n">
        <v>2026</v>
      </c>
      <c r="B3852" s="75" t="n">
        <v>8</v>
      </c>
      <c r="C3852" s="75" t="inlineStr">
        <is>
          <t>5100001508</t>
        </is>
      </c>
      <c r="D3852" s="78" t="n">
        <v>46253</v>
      </c>
      <c r="E3852" s="75" t="inlineStr">
        <is>
          <t>KR</t>
        </is>
      </c>
      <c r="F3852" s="75" t="n">
        <v>62101000</v>
      </c>
      <c r="G3852" s="75" t="n">
        <v>1701</v>
      </c>
      <c r="H3852" s="76" t="n">
        <v>225000</v>
      </c>
      <c r="I3852" s="75" t="inlineStr">
        <is>
          <t>8월 국내출장 - M항공</t>
        </is>
      </c>
      <c r="J3852" s="75" t="inlineStr">
        <is>
          <t>V10001</t>
        </is>
      </c>
      <c r="K3852" s="75" t="inlineStr">
        <is>
          <t>M항공</t>
        </is>
      </c>
      <c r="M3852" s="9">
        <f>IF($A3852="","",VALUE($A3852&amp;"")*12+VALUE($B3852&amp;""))</f>
        <v/>
      </c>
      <c r="N3852" s="39">
        <f>IF($A3852="","",IFERROR(INDEX(부서매핑!$C$5:$C$504,MATCH($G3852&amp;"",부서매핑!$A$5:$A$504,0)),"미매핑"))</f>
        <v/>
      </c>
      <c r="O3852" s="9">
        <f>IF($A3852="","",N3852&amp;"|"&amp;$F3852)</f>
        <v/>
      </c>
      <c r="P3852" s="77">
        <f>IF($A3852="",0,$H3852*설정!$C$23)</f>
        <v/>
      </c>
      <c r="Q3852" s="39">
        <f>IF($A3852="","",IF(O3852&lt;&gt;원인분석!$C$9,"",IF(AND(M3852&gt;=원인분석!$C$10,M3852&lt;=원인분석!$C$11),"당기",IF(AND(M3852&gt;=원인분석!$C$12,M3852&lt;=원인분석!$C$13),"비교",""))))</f>
        <v/>
      </c>
      <c r="R3852" s="9">
        <f>IF(Q3852="","",$K3852&amp;"")</f>
        <v/>
      </c>
      <c r="S3852" s="9">
        <f>IF(Q3852="","",IF(MATCH(R3852,$R$5:$R$100000,0)=ROW()-4,ROW(),""))</f>
        <v/>
      </c>
      <c r="T3852" s="9">
        <f>IF(Q3852="당기",ABS(P3852)+ROW()/1000000000,"")</f>
        <v/>
      </c>
      <c r="U3852" s="9">
        <f>IF(Q3852="비교",ABS(P3852)+ROW()/1000000000,"")</f>
        <v/>
      </c>
      <c r="V3852" s="39">
        <f>IF($A3852="","",IF(COUNTIF(변동분석!$E$7:$E$506,O3852)&gt;0,"Y","N"))</f>
        <v/>
      </c>
      <c r="W3852" s="39">
        <f>IF($A3852="","",IFERROR(INDEX(계정매핑!$D$5:$D$504,MATCH($F3852&amp;"",계정매핑!$A$5:$A$504,0)),"미매핑"))</f>
        <v/>
      </c>
      <c r="X3852" s="9">
        <f>IF($A3852="","",$F3852&amp;"")</f>
        <v/>
      </c>
    </row>
    <row r="3853">
      <c r="A3853" s="75" t="n">
        <v>2026</v>
      </c>
      <c r="B3853" s="75" t="n">
        <v>8</v>
      </c>
      <c r="C3853" s="75" t="inlineStr">
        <is>
          <t>5100001509</t>
        </is>
      </c>
      <c r="D3853" s="78" t="n">
        <v>46253</v>
      </c>
      <c r="E3853" s="75" t="inlineStr">
        <is>
          <t>KR</t>
        </is>
      </c>
      <c r="F3853" s="75" t="n">
        <v>62101000</v>
      </c>
      <c r="G3853" s="75" t="n">
        <v>1701</v>
      </c>
      <c r="H3853" s="76" t="n">
        <v>212000</v>
      </c>
      <c r="I3853" s="75" t="inlineStr">
        <is>
          <t>8월 국내출장 - (법인카드)</t>
        </is>
      </c>
      <c r="J3853" s="75" t="inlineStr">
        <is>
          <t>V10008</t>
        </is>
      </c>
      <c r="K3853" s="75" t="inlineStr">
        <is>
          <t>(법인카드)</t>
        </is>
      </c>
      <c r="M3853" s="9">
        <f>IF($A3853="","",VALUE($A3853&amp;"")*12+VALUE($B3853&amp;""))</f>
        <v/>
      </c>
      <c r="N3853" s="39">
        <f>IF($A3853="","",IFERROR(INDEX(부서매핑!$C$5:$C$504,MATCH($G3853&amp;"",부서매핑!$A$5:$A$504,0)),"미매핑"))</f>
        <v/>
      </c>
      <c r="O3853" s="9">
        <f>IF($A3853="","",N3853&amp;"|"&amp;$F3853)</f>
        <v/>
      </c>
      <c r="P3853" s="77">
        <f>IF($A3853="",0,$H3853*설정!$C$23)</f>
        <v/>
      </c>
      <c r="Q3853" s="39">
        <f>IF($A3853="","",IF(O3853&lt;&gt;원인분석!$C$9,"",IF(AND(M3853&gt;=원인분석!$C$10,M3853&lt;=원인분석!$C$11),"당기",IF(AND(M3853&gt;=원인분석!$C$12,M3853&lt;=원인분석!$C$13),"비교",""))))</f>
        <v/>
      </c>
      <c r="R3853" s="9">
        <f>IF(Q3853="","",$K3853&amp;"")</f>
        <v/>
      </c>
      <c r="S3853" s="9">
        <f>IF(Q3853="","",IF(MATCH(R3853,$R$5:$R$100000,0)=ROW()-4,ROW(),""))</f>
        <v/>
      </c>
      <c r="T3853" s="9">
        <f>IF(Q3853="당기",ABS(P3853)+ROW()/1000000000,"")</f>
        <v/>
      </c>
      <c r="U3853" s="9">
        <f>IF(Q3853="비교",ABS(P3853)+ROW()/1000000000,"")</f>
        <v/>
      </c>
      <c r="V3853" s="39">
        <f>IF($A3853="","",IF(COUNTIF(변동분석!$E$7:$E$506,O3853)&gt;0,"Y","N"))</f>
        <v/>
      </c>
      <c r="W3853" s="39">
        <f>IF($A3853="","",IFERROR(INDEX(계정매핑!$D$5:$D$504,MATCH($F3853&amp;"",계정매핑!$A$5:$A$504,0)),"미매핑"))</f>
        <v/>
      </c>
      <c r="X3853" s="9">
        <f>IF($A3853="","",$F3853&amp;"")</f>
        <v/>
      </c>
    </row>
    <row r="3854">
      <c r="A3854" s="75" t="n">
        <v>2026</v>
      </c>
      <c r="B3854" s="75" t="n">
        <v>8</v>
      </c>
      <c r="C3854" s="75" t="inlineStr">
        <is>
          <t>5100001510</t>
        </is>
      </c>
      <c r="D3854" s="78" t="n">
        <v>46253</v>
      </c>
      <c r="E3854" s="75" t="inlineStr">
        <is>
          <t>KR</t>
        </is>
      </c>
      <c r="F3854" s="75" t="n">
        <v>62102000</v>
      </c>
      <c r="G3854" s="75" t="n">
        <v>1301</v>
      </c>
      <c r="H3854" s="76" t="n">
        <v>110000</v>
      </c>
      <c r="I3854" s="75" t="inlineStr">
        <is>
          <t>8월 해외출장 - M항공</t>
        </is>
      </c>
      <c r="J3854" s="75" t="inlineStr">
        <is>
          <t>V10001</t>
        </is>
      </c>
      <c r="K3854" s="75" t="inlineStr">
        <is>
          <t>M항공</t>
        </is>
      </c>
      <c r="M3854" s="9">
        <f>IF($A3854="","",VALUE($A3854&amp;"")*12+VALUE($B3854&amp;""))</f>
        <v/>
      </c>
      <c r="N3854" s="39">
        <f>IF($A3854="","",IFERROR(INDEX(부서매핑!$C$5:$C$504,MATCH($G3854&amp;"",부서매핑!$A$5:$A$504,0)),"미매핑"))</f>
        <v/>
      </c>
      <c r="O3854" s="9">
        <f>IF($A3854="","",N3854&amp;"|"&amp;$F3854)</f>
        <v/>
      </c>
      <c r="P3854" s="77">
        <f>IF($A3854="",0,$H3854*설정!$C$23)</f>
        <v/>
      </c>
      <c r="Q3854" s="39">
        <f>IF($A3854="","",IF(O3854&lt;&gt;원인분석!$C$9,"",IF(AND(M3854&gt;=원인분석!$C$10,M3854&lt;=원인분석!$C$11),"당기",IF(AND(M3854&gt;=원인분석!$C$12,M3854&lt;=원인분석!$C$13),"비교",""))))</f>
        <v/>
      </c>
      <c r="R3854" s="9">
        <f>IF(Q3854="","",$K3854&amp;"")</f>
        <v/>
      </c>
      <c r="S3854" s="9">
        <f>IF(Q3854="","",IF(MATCH(R3854,$R$5:$R$100000,0)=ROW()-4,ROW(),""))</f>
        <v/>
      </c>
      <c r="T3854" s="9">
        <f>IF(Q3854="당기",ABS(P3854)+ROW()/1000000000,"")</f>
        <v/>
      </c>
      <c r="U3854" s="9">
        <f>IF(Q3854="비교",ABS(P3854)+ROW()/1000000000,"")</f>
        <v/>
      </c>
      <c r="V3854" s="39">
        <f>IF($A3854="","",IF(COUNTIF(변동분석!$E$7:$E$506,O3854)&gt;0,"Y","N"))</f>
        <v/>
      </c>
      <c r="W3854" s="39">
        <f>IF($A3854="","",IFERROR(INDEX(계정매핑!$D$5:$D$504,MATCH($F3854&amp;"",계정매핑!$A$5:$A$504,0)),"미매핑"))</f>
        <v/>
      </c>
      <c r="X3854" s="9">
        <f>IF($A3854="","",$F3854&amp;"")</f>
        <v/>
      </c>
    </row>
    <row r="3855">
      <c r="A3855" s="75" t="n">
        <v>2026</v>
      </c>
      <c r="B3855" s="75" t="n">
        <v>8</v>
      </c>
      <c r="C3855" s="75" t="inlineStr">
        <is>
          <t>5100001511</t>
        </is>
      </c>
      <c r="D3855" s="78" t="n">
        <v>46253</v>
      </c>
      <c r="E3855" s="75" t="inlineStr">
        <is>
          <t>KR</t>
        </is>
      </c>
      <c r="F3855" s="75" t="n">
        <v>62201000</v>
      </c>
      <c r="G3855" s="75" t="n">
        <v>1201</v>
      </c>
      <c r="H3855" s="76" t="n">
        <v>126000</v>
      </c>
      <c r="I3855" s="75" t="inlineStr">
        <is>
          <t>8월 통신요금 - O텔레콤</t>
        </is>
      </c>
      <c r="J3855" s="75" t="inlineStr">
        <is>
          <t>V10002</t>
        </is>
      </c>
      <c r="K3855" s="75" t="inlineStr">
        <is>
          <t>O텔레콤</t>
        </is>
      </c>
      <c r="M3855" s="9">
        <f>IF($A3855="","",VALUE($A3855&amp;"")*12+VALUE($B3855&amp;""))</f>
        <v/>
      </c>
      <c r="N3855" s="39">
        <f>IF($A3855="","",IFERROR(INDEX(부서매핑!$C$5:$C$504,MATCH($G3855&amp;"",부서매핑!$A$5:$A$504,0)),"미매핑"))</f>
        <v/>
      </c>
      <c r="O3855" s="9">
        <f>IF($A3855="","",N3855&amp;"|"&amp;$F3855)</f>
        <v/>
      </c>
      <c r="P3855" s="77">
        <f>IF($A3855="",0,$H3855*설정!$C$23)</f>
        <v/>
      </c>
      <c r="Q3855" s="39">
        <f>IF($A3855="","",IF(O3855&lt;&gt;원인분석!$C$9,"",IF(AND(M3855&gt;=원인분석!$C$10,M3855&lt;=원인분석!$C$11),"당기",IF(AND(M3855&gt;=원인분석!$C$12,M3855&lt;=원인분석!$C$13),"비교",""))))</f>
        <v/>
      </c>
      <c r="R3855" s="9">
        <f>IF(Q3855="","",$K3855&amp;"")</f>
        <v/>
      </c>
      <c r="S3855" s="9">
        <f>IF(Q3855="","",IF(MATCH(R3855,$R$5:$R$100000,0)=ROW()-4,ROW(),""))</f>
        <v/>
      </c>
      <c r="T3855" s="9">
        <f>IF(Q3855="당기",ABS(P3855)+ROW()/1000000000,"")</f>
        <v/>
      </c>
      <c r="U3855" s="9">
        <f>IF(Q3855="비교",ABS(P3855)+ROW()/1000000000,"")</f>
        <v/>
      </c>
      <c r="V3855" s="39">
        <f>IF($A3855="","",IF(COUNTIF(변동분석!$E$7:$E$506,O3855)&gt;0,"Y","N"))</f>
        <v/>
      </c>
      <c r="W3855" s="39">
        <f>IF($A3855="","",IFERROR(INDEX(계정매핑!$D$5:$D$504,MATCH($F3855&amp;"",계정매핑!$A$5:$A$504,0)),"미매핑"))</f>
        <v/>
      </c>
      <c r="X3855" s="9">
        <f>IF($A3855="","",$F3855&amp;"")</f>
        <v/>
      </c>
    </row>
    <row r="3856">
      <c r="A3856" s="75" t="n">
        <v>2026</v>
      </c>
      <c r="B3856" s="75" t="n">
        <v>8</v>
      </c>
      <c r="C3856" s="75" t="inlineStr">
        <is>
          <t>5100001512</t>
        </is>
      </c>
      <c r="D3856" s="78" t="n">
        <v>46253</v>
      </c>
      <c r="E3856" s="75" t="inlineStr">
        <is>
          <t>KR</t>
        </is>
      </c>
      <c r="F3856" s="75" t="n">
        <v>62201000</v>
      </c>
      <c r="G3856" s="75" t="n">
        <v>1601</v>
      </c>
      <c r="H3856" s="76" t="n">
        <v>695000</v>
      </c>
      <c r="I3856" s="75" t="inlineStr">
        <is>
          <t>8월 통신요금 - O텔레콤</t>
        </is>
      </c>
      <c r="J3856" s="75" t="inlineStr">
        <is>
          <t>V10002</t>
        </is>
      </c>
      <c r="K3856" s="75" t="inlineStr">
        <is>
          <t>O텔레콤</t>
        </is>
      </c>
      <c r="M3856" s="9">
        <f>IF($A3856="","",VALUE($A3856&amp;"")*12+VALUE($B3856&amp;""))</f>
        <v/>
      </c>
      <c r="N3856" s="39">
        <f>IF($A3856="","",IFERROR(INDEX(부서매핑!$C$5:$C$504,MATCH($G3856&amp;"",부서매핑!$A$5:$A$504,0)),"미매핑"))</f>
        <v/>
      </c>
      <c r="O3856" s="9">
        <f>IF($A3856="","",N3856&amp;"|"&amp;$F3856)</f>
        <v/>
      </c>
      <c r="P3856" s="77">
        <f>IF($A3856="",0,$H3856*설정!$C$23)</f>
        <v/>
      </c>
      <c r="Q3856" s="39">
        <f>IF($A3856="","",IF(O3856&lt;&gt;원인분석!$C$9,"",IF(AND(M3856&gt;=원인분석!$C$10,M3856&lt;=원인분석!$C$11),"당기",IF(AND(M3856&gt;=원인분석!$C$12,M3856&lt;=원인분석!$C$13),"비교",""))))</f>
        <v/>
      </c>
      <c r="R3856" s="9">
        <f>IF(Q3856="","",$K3856&amp;"")</f>
        <v/>
      </c>
      <c r="S3856" s="9">
        <f>IF(Q3856="","",IF(MATCH(R3856,$R$5:$R$100000,0)=ROW()-4,ROW(),""))</f>
        <v/>
      </c>
      <c r="T3856" s="9">
        <f>IF(Q3856="당기",ABS(P3856)+ROW()/1000000000,"")</f>
        <v/>
      </c>
      <c r="U3856" s="9">
        <f>IF(Q3856="비교",ABS(P3856)+ROW()/1000000000,"")</f>
        <v/>
      </c>
      <c r="V3856" s="39">
        <f>IF($A3856="","",IF(COUNTIF(변동분석!$E$7:$E$506,O3856)&gt;0,"Y","N"))</f>
        <v/>
      </c>
      <c r="W3856" s="39">
        <f>IF($A3856="","",IFERROR(INDEX(계정매핑!$D$5:$D$504,MATCH($F3856&amp;"",계정매핑!$A$5:$A$504,0)),"미매핑"))</f>
        <v/>
      </c>
      <c r="X3856" s="9">
        <f>IF($A3856="","",$F3856&amp;"")</f>
        <v/>
      </c>
    </row>
    <row r="3857">
      <c r="A3857" s="75" t="n">
        <v>2026</v>
      </c>
      <c r="B3857" s="75" t="n">
        <v>8</v>
      </c>
      <c r="C3857" s="75" t="inlineStr">
        <is>
          <t>5100001513</t>
        </is>
      </c>
      <c r="D3857" s="78" t="n">
        <v>46253</v>
      </c>
      <c r="E3857" s="75" t="inlineStr">
        <is>
          <t>KR</t>
        </is>
      </c>
      <c r="F3857" s="75" t="n">
        <v>62201000</v>
      </c>
      <c r="G3857" s="75" t="n">
        <v>1701</v>
      </c>
      <c r="H3857" s="76" t="n">
        <v>4457000</v>
      </c>
      <c r="I3857" s="75" t="inlineStr">
        <is>
          <t>8월 통신요금 - P통신</t>
        </is>
      </c>
      <c r="J3857" s="75" t="inlineStr">
        <is>
          <t>V10011</t>
        </is>
      </c>
      <c r="K3857" s="75" t="inlineStr">
        <is>
          <t>P통신</t>
        </is>
      </c>
      <c r="M3857" s="9">
        <f>IF($A3857="","",VALUE($A3857&amp;"")*12+VALUE($B3857&amp;""))</f>
        <v/>
      </c>
      <c r="N3857" s="39">
        <f>IF($A3857="","",IFERROR(INDEX(부서매핑!$C$5:$C$504,MATCH($G3857&amp;"",부서매핑!$A$5:$A$504,0)),"미매핑"))</f>
        <v/>
      </c>
      <c r="O3857" s="9">
        <f>IF($A3857="","",N3857&amp;"|"&amp;$F3857)</f>
        <v/>
      </c>
      <c r="P3857" s="77">
        <f>IF($A3857="",0,$H3857*설정!$C$23)</f>
        <v/>
      </c>
      <c r="Q3857" s="39">
        <f>IF($A3857="","",IF(O3857&lt;&gt;원인분석!$C$9,"",IF(AND(M3857&gt;=원인분석!$C$10,M3857&lt;=원인분석!$C$11),"당기",IF(AND(M3857&gt;=원인분석!$C$12,M3857&lt;=원인분석!$C$13),"비교",""))))</f>
        <v/>
      </c>
      <c r="R3857" s="9">
        <f>IF(Q3857="","",$K3857&amp;"")</f>
        <v/>
      </c>
      <c r="S3857" s="9">
        <f>IF(Q3857="","",IF(MATCH(R3857,$R$5:$R$100000,0)=ROW()-4,ROW(),""))</f>
        <v/>
      </c>
      <c r="T3857" s="9">
        <f>IF(Q3857="당기",ABS(P3857)+ROW()/1000000000,"")</f>
        <v/>
      </c>
      <c r="U3857" s="9">
        <f>IF(Q3857="비교",ABS(P3857)+ROW()/1000000000,"")</f>
        <v/>
      </c>
      <c r="V3857" s="39">
        <f>IF($A3857="","",IF(COUNTIF(변동분석!$E$7:$E$506,O3857)&gt;0,"Y","N"))</f>
        <v/>
      </c>
      <c r="W3857" s="39">
        <f>IF($A3857="","",IFERROR(INDEX(계정매핑!$D$5:$D$504,MATCH($F3857&amp;"",계정매핑!$A$5:$A$504,0)),"미매핑"))</f>
        <v/>
      </c>
      <c r="X3857" s="9">
        <f>IF($A3857="","",$F3857&amp;"")</f>
        <v/>
      </c>
    </row>
    <row r="3858">
      <c r="A3858" s="75" t="n">
        <v>2026</v>
      </c>
      <c r="B3858" s="75" t="n">
        <v>8</v>
      </c>
      <c r="C3858" s="75" t="inlineStr">
        <is>
          <t>5100001514</t>
        </is>
      </c>
      <c r="D3858" s="78" t="n">
        <v>46253</v>
      </c>
      <c r="E3858" s="75" t="inlineStr">
        <is>
          <t>KR</t>
        </is>
      </c>
      <c r="F3858" s="75" t="n">
        <v>62301000</v>
      </c>
      <c r="G3858" s="75" t="n">
        <v>1401</v>
      </c>
      <c r="H3858" s="76" t="n">
        <v>144000</v>
      </c>
      <c r="I3858" s="75" t="inlineStr">
        <is>
          <t>8월 소모품 구입 - Q오피스</t>
        </is>
      </c>
      <c r="J3858" s="75" t="inlineStr">
        <is>
          <t>V10003</t>
        </is>
      </c>
      <c r="K3858" s="75" t="inlineStr">
        <is>
          <t>Q오피스</t>
        </is>
      </c>
      <c r="M3858" s="9">
        <f>IF($A3858="","",VALUE($A3858&amp;"")*12+VALUE($B3858&amp;""))</f>
        <v/>
      </c>
      <c r="N3858" s="39">
        <f>IF($A3858="","",IFERROR(INDEX(부서매핑!$C$5:$C$504,MATCH($G3858&amp;"",부서매핑!$A$5:$A$504,0)),"미매핑"))</f>
        <v/>
      </c>
      <c r="O3858" s="9">
        <f>IF($A3858="","",N3858&amp;"|"&amp;$F3858)</f>
        <v/>
      </c>
      <c r="P3858" s="77">
        <f>IF($A3858="",0,$H3858*설정!$C$23)</f>
        <v/>
      </c>
      <c r="Q3858" s="39">
        <f>IF($A3858="","",IF(O3858&lt;&gt;원인분석!$C$9,"",IF(AND(M3858&gt;=원인분석!$C$10,M3858&lt;=원인분석!$C$11),"당기",IF(AND(M3858&gt;=원인분석!$C$12,M3858&lt;=원인분석!$C$13),"비교",""))))</f>
        <v/>
      </c>
      <c r="R3858" s="9">
        <f>IF(Q3858="","",$K3858&amp;"")</f>
        <v/>
      </c>
      <c r="S3858" s="9">
        <f>IF(Q3858="","",IF(MATCH(R3858,$R$5:$R$100000,0)=ROW()-4,ROW(),""))</f>
        <v/>
      </c>
      <c r="T3858" s="9">
        <f>IF(Q3858="당기",ABS(P3858)+ROW()/1000000000,"")</f>
        <v/>
      </c>
      <c r="U3858" s="9">
        <f>IF(Q3858="비교",ABS(P3858)+ROW()/1000000000,"")</f>
        <v/>
      </c>
      <c r="V3858" s="39">
        <f>IF($A3858="","",IF(COUNTIF(변동분석!$E$7:$E$506,O3858)&gt;0,"Y","N"))</f>
        <v/>
      </c>
      <c r="W3858" s="39">
        <f>IF($A3858="","",IFERROR(INDEX(계정매핑!$D$5:$D$504,MATCH($F3858&amp;"",계정매핑!$A$5:$A$504,0)),"미매핑"))</f>
        <v/>
      </c>
      <c r="X3858" s="9">
        <f>IF($A3858="","",$F3858&amp;"")</f>
        <v/>
      </c>
    </row>
    <row r="3859">
      <c r="A3859" s="75" t="n">
        <v>2026</v>
      </c>
      <c r="B3859" s="75" t="n">
        <v>8</v>
      </c>
      <c r="C3859" s="75" t="inlineStr">
        <is>
          <t>5100001515</t>
        </is>
      </c>
      <c r="D3859" s="78" t="n">
        <v>46253</v>
      </c>
      <c r="E3859" s="75" t="inlineStr">
        <is>
          <t>KR</t>
        </is>
      </c>
      <c r="F3859" s="75" t="n">
        <v>62301000</v>
      </c>
      <c r="G3859" s="75" t="n">
        <v>1401</v>
      </c>
      <c r="H3859" s="76" t="n">
        <v>130000</v>
      </c>
      <c r="I3859" s="75" t="inlineStr">
        <is>
          <t>8월 소모품 구입 - Q오피스</t>
        </is>
      </c>
      <c r="J3859" s="75" t="inlineStr">
        <is>
          <t>V10003</t>
        </is>
      </c>
      <c r="K3859" s="75" t="inlineStr">
        <is>
          <t>Q오피스</t>
        </is>
      </c>
      <c r="M3859" s="9">
        <f>IF($A3859="","",VALUE($A3859&amp;"")*12+VALUE($B3859&amp;""))</f>
        <v/>
      </c>
      <c r="N3859" s="39">
        <f>IF($A3859="","",IFERROR(INDEX(부서매핑!$C$5:$C$504,MATCH($G3859&amp;"",부서매핑!$A$5:$A$504,0)),"미매핑"))</f>
        <v/>
      </c>
      <c r="O3859" s="9">
        <f>IF($A3859="","",N3859&amp;"|"&amp;$F3859)</f>
        <v/>
      </c>
      <c r="P3859" s="77">
        <f>IF($A3859="",0,$H3859*설정!$C$23)</f>
        <v/>
      </c>
      <c r="Q3859" s="39">
        <f>IF($A3859="","",IF(O3859&lt;&gt;원인분석!$C$9,"",IF(AND(M3859&gt;=원인분석!$C$10,M3859&lt;=원인분석!$C$11),"당기",IF(AND(M3859&gt;=원인분석!$C$12,M3859&lt;=원인분석!$C$13),"비교",""))))</f>
        <v/>
      </c>
      <c r="R3859" s="9">
        <f>IF(Q3859="","",$K3859&amp;"")</f>
        <v/>
      </c>
      <c r="S3859" s="9">
        <f>IF(Q3859="","",IF(MATCH(R3859,$R$5:$R$100000,0)=ROW()-4,ROW(),""))</f>
        <v/>
      </c>
      <c r="T3859" s="9">
        <f>IF(Q3859="당기",ABS(P3859)+ROW()/1000000000,"")</f>
        <v/>
      </c>
      <c r="U3859" s="9">
        <f>IF(Q3859="비교",ABS(P3859)+ROW()/1000000000,"")</f>
        <v/>
      </c>
      <c r="V3859" s="39">
        <f>IF($A3859="","",IF(COUNTIF(변동분석!$E$7:$E$506,O3859)&gt;0,"Y","N"))</f>
        <v/>
      </c>
      <c r="W3859" s="39">
        <f>IF($A3859="","",IFERROR(INDEX(계정매핑!$D$5:$D$504,MATCH($F3859&amp;"",계정매핑!$A$5:$A$504,0)),"미매핑"))</f>
        <v/>
      </c>
      <c r="X3859" s="9">
        <f>IF($A3859="","",$F3859&amp;"")</f>
        <v/>
      </c>
    </row>
    <row r="3860">
      <c r="A3860" s="75" t="n">
        <v>2026</v>
      </c>
      <c r="B3860" s="75" t="n">
        <v>8</v>
      </c>
      <c r="C3860" s="75" t="inlineStr">
        <is>
          <t>5100001516</t>
        </is>
      </c>
      <c r="D3860" s="78" t="n">
        <v>46253</v>
      </c>
      <c r="E3860" s="75" t="inlineStr">
        <is>
          <t>KR</t>
        </is>
      </c>
      <c r="F3860" s="75" t="n">
        <v>62501000</v>
      </c>
      <c r="G3860" s="75" t="n">
        <v>1601</v>
      </c>
      <c r="H3860" s="76" t="n">
        <v>478000</v>
      </c>
      <c r="I3860" s="75" t="inlineStr">
        <is>
          <t>8월 회의 다과 - (법인카드)</t>
        </is>
      </c>
      <c r="J3860" s="75" t="inlineStr">
        <is>
          <t>V10008</t>
        </is>
      </c>
      <c r="K3860" s="75" t="inlineStr">
        <is>
          <t>(법인카드)</t>
        </is>
      </c>
      <c r="M3860" s="9">
        <f>IF($A3860="","",VALUE($A3860&amp;"")*12+VALUE($B3860&amp;""))</f>
        <v/>
      </c>
      <c r="N3860" s="39">
        <f>IF($A3860="","",IFERROR(INDEX(부서매핑!$C$5:$C$504,MATCH($G3860&amp;"",부서매핑!$A$5:$A$504,0)),"미매핑"))</f>
        <v/>
      </c>
      <c r="O3860" s="9">
        <f>IF($A3860="","",N3860&amp;"|"&amp;$F3860)</f>
        <v/>
      </c>
      <c r="P3860" s="77">
        <f>IF($A3860="",0,$H3860*설정!$C$23)</f>
        <v/>
      </c>
      <c r="Q3860" s="39">
        <f>IF($A3860="","",IF(O3860&lt;&gt;원인분석!$C$9,"",IF(AND(M3860&gt;=원인분석!$C$10,M3860&lt;=원인분석!$C$11),"당기",IF(AND(M3860&gt;=원인분석!$C$12,M3860&lt;=원인분석!$C$13),"비교",""))))</f>
        <v/>
      </c>
      <c r="R3860" s="9">
        <f>IF(Q3860="","",$K3860&amp;"")</f>
        <v/>
      </c>
      <c r="S3860" s="9">
        <f>IF(Q3860="","",IF(MATCH(R3860,$R$5:$R$100000,0)=ROW()-4,ROW(),""))</f>
        <v/>
      </c>
      <c r="T3860" s="9">
        <f>IF(Q3860="당기",ABS(P3860)+ROW()/1000000000,"")</f>
        <v/>
      </c>
      <c r="U3860" s="9">
        <f>IF(Q3860="비교",ABS(P3860)+ROW()/1000000000,"")</f>
        <v/>
      </c>
      <c r="V3860" s="39">
        <f>IF($A3860="","",IF(COUNTIF(변동분석!$E$7:$E$506,O3860)&gt;0,"Y","N"))</f>
        <v/>
      </c>
      <c r="W3860" s="39">
        <f>IF($A3860="","",IFERROR(INDEX(계정매핑!$D$5:$D$504,MATCH($F3860&amp;"",계정매핑!$A$5:$A$504,0)),"미매핑"))</f>
        <v/>
      </c>
      <c r="X3860" s="9">
        <f>IF($A3860="","",$F3860&amp;"")</f>
        <v/>
      </c>
    </row>
    <row r="3861">
      <c r="A3861" s="75" t="n">
        <v>2026</v>
      </c>
      <c r="B3861" s="75" t="n">
        <v>8</v>
      </c>
      <c r="C3861" s="75" t="inlineStr">
        <is>
          <t>5100001517</t>
        </is>
      </c>
      <c r="D3861" s="78" t="n">
        <v>46253</v>
      </c>
      <c r="E3861" s="75" t="inlineStr">
        <is>
          <t>KR</t>
        </is>
      </c>
      <c r="F3861" s="75" t="n">
        <v>62902000</v>
      </c>
      <c r="G3861" s="75" t="n">
        <v>1201</v>
      </c>
      <c r="H3861" s="76" t="n">
        <v>2539000</v>
      </c>
      <c r="I3861" s="75" t="inlineStr">
        <is>
          <t>8월 업무 위탁 수수료 - X서비스</t>
        </is>
      </c>
      <c r="J3861" s="75" t="inlineStr">
        <is>
          <t>V10016</t>
        </is>
      </c>
      <c r="K3861" s="75" t="inlineStr">
        <is>
          <t>X서비스</t>
        </is>
      </c>
      <c r="M3861" s="9">
        <f>IF($A3861="","",VALUE($A3861&amp;"")*12+VALUE($B3861&amp;""))</f>
        <v/>
      </c>
      <c r="N3861" s="39">
        <f>IF($A3861="","",IFERROR(INDEX(부서매핑!$C$5:$C$504,MATCH($G3861&amp;"",부서매핑!$A$5:$A$504,0)),"미매핑"))</f>
        <v/>
      </c>
      <c r="O3861" s="9">
        <f>IF($A3861="","",N3861&amp;"|"&amp;$F3861)</f>
        <v/>
      </c>
      <c r="P3861" s="77">
        <f>IF($A3861="",0,$H3861*설정!$C$23)</f>
        <v/>
      </c>
      <c r="Q3861" s="39">
        <f>IF($A3861="","",IF(O3861&lt;&gt;원인분석!$C$9,"",IF(AND(M3861&gt;=원인분석!$C$10,M3861&lt;=원인분석!$C$11),"당기",IF(AND(M3861&gt;=원인분석!$C$12,M3861&lt;=원인분석!$C$13),"비교",""))))</f>
        <v/>
      </c>
      <c r="R3861" s="9">
        <f>IF(Q3861="","",$K3861&amp;"")</f>
        <v/>
      </c>
      <c r="S3861" s="9">
        <f>IF(Q3861="","",IF(MATCH(R3861,$R$5:$R$100000,0)=ROW()-4,ROW(),""))</f>
        <v/>
      </c>
      <c r="T3861" s="9">
        <f>IF(Q3861="당기",ABS(P3861)+ROW()/1000000000,"")</f>
        <v/>
      </c>
      <c r="U3861" s="9">
        <f>IF(Q3861="비교",ABS(P3861)+ROW()/1000000000,"")</f>
        <v/>
      </c>
      <c r="V3861" s="39">
        <f>IF($A3861="","",IF(COUNTIF(변동분석!$E$7:$E$506,O3861)&gt;0,"Y","N"))</f>
        <v/>
      </c>
      <c r="W3861" s="39">
        <f>IF($A3861="","",IFERROR(INDEX(계정매핑!$D$5:$D$504,MATCH($F3861&amp;"",계정매핑!$A$5:$A$504,0)),"미매핑"))</f>
        <v/>
      </c>
      <c r="X3861" s="9">
        <f>IF($A3861="","",$F3861&amp;"")</f>
        <v/>
      </c>
    </row>
    <row r="3862">
      <c r="A3862" s="75" t="n">
        <v>2026</v>
      </c>
      <c r="B3862" s="75" t="n">
        <v>8</v>
      </c>
      <c r="C3862" s="75" t="inlineStr">
        <is>
          <t>5100001518</t>
        </is>
      </c>
      <c r="D3862" s="78" t="n">
        <v>46253</v>
      </c>
      <c r="E3862" s="75" t="inlineStr">
        <is>
          <t>KR</t>
        </is>
      </c>
      <c r="F3862" s="75" t="n">
        <v>62902000</v>
      </c>
      <c r="G3862" s="75" t="n">
        <v>1801</v>
      </c>
      <c r="H3862" s="76" t="n">
        <v>1812000</v>
      </c>
      <c r="I3862" s="75" t="inlineStr">
        <is>
          <t>8월 콜 위탁 수수료(건별)</t>
        </is>
      </c>
      <c r="J3862" s="75" t="inlineStr">
        <is>
          <t>V10013</t>
        </is>
      </c>
      <c r="K3862" s="75" t="inlineStr">
        <is>
          <t>J콜센터</t>
        </is>
      </c>
      <c r="M3862" s="9">
        <f>IF($A3862="","",VALUE($A3862&amp;"")*12+VALUE($B3862&amp;""))</f>
        <v/>
      </c>
      <c r="N3862" s="39">
        <f>IF($A3862="","",IFERROR(INDEX(부서매핑!$C$5:$C$504,MATCH($G3862&amp;"",부서매핑!$A$5:$A$504,0)),"미매핑"))</f>
        <v/>
      </c>
      <c r="O3862" s="9">
        <f>IF($A3862="","",N3862&amp;"|"&amp;$F3862)</f>
        <v/>
      </c>
      <c r="P3862" s="77">
        <f>IF($A3862="",0,$H3862*설정!$C$23)</f>
        <v/>
      </c>
      <c r="Q3862" s="39">
        <f>IF($A3862="","",IF(O3862&lt;&gt;원인분석!$C$9,"",IF(AND(M3862&gt;=원인분석!$C$10,M3862&lt;=원인분석!$C$11),"당기",IF(AND(M3862&gt;=원인분석!$C$12,M3862&lt;=원인분석!$C$13),"비교",""))))</f>
        <v/>
      </c>
      <c r="R3862" s="9">
        <f>IF(Q3862="","",$K3862&amp;"")</f>
        <v/>
      </c>
      <c r="S3862" s="9">
        <f>IF(Q3862="","",IF(MATCH(R3862,$R$5:$R$100000,0)=ROW()-4,ROW(),""))</f>
        <v/>
      </c>
      <c r="T3862" s="9">
        <f>IF(Q3862="당기",ABS(P3862)+ROW()/1000000000,"")</f>
        <v/>
      </c>
      <c r="U3862" s="9">
        <f>IF(Q3862="비교",ABS(P3862)+ROW()/1000000000,"")</f>
        <v/>
      </c>
      <c r="V3862" s="39">
        <f>IF($A3862="","",IF(COUNTIF(변동분석!$E$7:$E$506,O3862)&gt;0,"Y","N"))</f>
        <v/>
      </c>
      <c r="W3862" s="39">
        <f>IF($A3862="","",IFERROR(INDEX(계정매핑!$D$5:$D$504,MATCH($F3862&amp;"",계정매핑!$A$5:$A$504,0)),"미매핑"))</f>
        <v/>
      </c>
      <c r="X3862" s="9">
        <f>IF($A3862="","",$F3862&amp;"")</f>
        <v/>
      </c>
    </row>
    <row r="3863">
      <c r="A3863" s="75" t="n">
        <v>2026</v>
      </c>
      <c r="B3863" s="75" t="n">
        <v>8</v>
      </c>
      <c r="C3863" s="75" t="inlineStr">
        <is>
          <t>5100001519</t>
        </is>
      </c>
      <c r="D3863" s="78" t="n">
        <v>46254</v>
      </c>
      <c r="E3863" s="75" t="inlineStr">
        <is>
          <t>KR</t>
        </is>
      </c>
      <c r="F3863" s="75" t="n">
        <v>62101000</v>
      </c>
      <c r="G3863" s="75" t="n">
        <v>1301</v>
      </c>
      <c r="H3863" s="76" t="n">
        <v>337000</v>
      </c>
      <c r="I3863" s="75" t="inlineStr">
        <is>
          <t>8월 국내출장 - (법인카드)</t>
        </is>
      </c>
      <c r="J3863" s="75" t="inlineStr">
        <is>
          <t>V10008</t>
        </is>
      </c>
      <c r="K3863" s="75" t="inlineStr">
        <is>
          <t>(법인카드)</t>
        </is>
      </c>
      <c r="M3863" s="9">
        <f>IF($A3863="","",VALUE($A3863&amp;"")*12+VALUE($B3863&amp;""))</f>
        <v/>
      </c>
      <c r="N3863" s="39">
        <f>IF($A3863="","",IFERROR(INDEX(부서매핑!$C$5:$C$504,MATCH($G3863&amp;"",부서매핑!$A$5:$A$504,0)),"미매핑"))</f>
        <v/>
      </c>
      <c r="O3863" s="9">
        <f>IF($A3863="","",N3863&amp;"|"&amp;$F3863)</f>
        <v/>
      </c>
      <c r="P3863" s="77">
        <f>IF($A3863="",0,$H3863*설정!$C$23)</f>
        <v/>
      </c>
      <c r="Q3863" s="39">
        <f>IF($A3863="","",IF(O3863&lt;&gt;원인분석!$C$9,"",IF(AND(M3863&gt;=원인분석!$C$10,M3863&lt;=원인분석!$C$11),"당기",IF(AND(M3863&gt;=원인분석!$C$12,M3863&lt;=원인분석!$C$13),"비교",""))))</f>
        <v/>
      </c>
      <c r="R3863" s="9">
        <f>IF(Q3863="","",$K3863&amp;"")</f>
        <v/>
      </c>
      <c r="S3863" s="9">
        <f>IF(Q3863="","",IF(MATCH(R3863,$R$5:$R$100000,0)=ROW()-4,ROW(),""))</f>
        <v/>
      </c>
      <c r="T3863" s="9">
        <f>IF(Q3863="당기",ABS(P3863)+ROW()/1000000000,"")</f>
        <v/>
      </c>
      <c r="U3863" s="9">
        <f>IF(Q3863="비교",ABS(P3863)+ROW()/1000000000,"")</f>
        <v/>
      </c>
      <c r="V3863" s="39">
        <f>IF($A3863="","",IF(COUNTIF(변동분석!$E$7:$E$506,O3863)&gt;0,"Y","N"))</f>
        <v/>
      </c>
      <c r="W3863" s="39">
        <f>IF($A3863="","",IFERROR(INDEX(계정매핑!$D$5:$D$504,MATCH($F3863&amp;"",계정매핑!$A$5:$A$504,0)),"미매핑"))</f>
        <v/>
      </c>
      <c r="X3863" s="9">
        <f>IF($A3863="","",$F3863&amp;"")</f>
        <v/>
      </c>
    </row>
    <row r="3864">
      <c r="A3864" s="75" t="n">
        <v>2026</v>
      </c>
      <c r="B3864" s="75" t="n">
        <v>8</v>
      </c>
      <c r="C3864" s="75" t="inlineStr">
        <is>
          <t>5100001520</t>
        </is>
      </c>
      <c r="D3864" s="78" t="n">
        <v>46254</v>
      </c>
      <c r="E3864" s="75" t="inlineStr">
        <is>
          <t>KR</t>
        </is>
      </c>
      <c r="F3864" s="75" t="n">
        <v>62102000</v>
      </c>
      <c r="G3864" s="75" t="n">
        <v>1101</v>
      </c>
      <c r="H3864" s="76" t="n">
        <v>129000</v>
      </c>
      <c r="I3864" s="75" t="inlineStr">
        <is>
          <t>8월 해외출장 - N호텔</t>
        </is>
      </c>
      <c r="J3864" s="75" t="inlineStr">
        <is>
          <t>V10007</t>
        </is>
      </c>
      <c r="K3864" s="75" t="inlineStr">
        <is>
          <t>N호텔</t>
        </is>
      </c>
      <c r="M3864" s="9">
        <f>IF($A3864="","",VALUE($A3864&amp;"")*12+VALUE($B3864&amp;""))</f>
        <v/>
      </c>
      <c r="N3864" s="39">
        <f>IF($A3864="","",IFERROR(INDEX(부서매핑!$C$5:$C$504,MATCH($G3864&amp;"",부서매핑!$A$5:$A$504,0)),"미매핑"))</f>
        <v/>
      </c>
      <c r="O3864" s="9">
        <f>IF($A3864="","",N3864&amp;"|"&amp;$F3864)</f>
        <v/>
      </c>
      <c r="P3864" s="77">
        <f>IF($A3864="",0,$H3864*설정!$C$23)</f>
        <v/>
      </c>
      <c r="Q3864" s="39">
        <f>IF($A3864="","",IF(O3864&lt;&gt;원인분석!$C$9,"",IF(AND(M3864&gt;=원인분석!$C$10,M3864&lt;=원인분석!$C$11),"당기",IF(AND(M3864&gt;=원인분석!$C$12,M3864&lt;=원인분석!$C$13),"비교",""))))</f>
        <v/>
      </c>
      <c r="R3864" s="9">
        <f>IF(Q3864="","",$K3864&amp;"")</f>
        <v/>
      </c>
      <c r="S3864" s="9">
        <f>IF(Q3864="","",IF(MATCH(R3864,$R$5:$R$100000,0)=ROW()-4,ROW(),""))</f>
        <v/>
      </c>
      <c r="T3864" s="9">
        <f>IF(Q3864="당기",ABS(P3864)+ROW()/1000000000,"")</f>
        <v/>
      </c>
      <c r="U3864" s="9">
        <f>IF(Q3864="비교",ABS(P3864)+ROW()/1000000000,"")</f>
        <v/>
      </c>
      <c r="V3864" s="39">
        <f>IF($A3864="","",IF(COUNTIF(변동분석!$E$7:$E$506,O3864)&gt;0,"Y","N"))</f>
        <v/>
      </c>
      <c r="W3864" s="39">
        <f>IF($A3864="","",IFERROR(INDEX(계정매핑!$D$5:$D$504,MATCH($F3864&amp;"",계정매핑!$A$5:$A$504,0)),"미매핑"))</f>
        <v/>
      </c>
      <c r="X3864" s="9">
        <f>IF($A3864="","",$F3864&amp;"")</f>
        <v/>
      </c>
    </row>
    <row r="3865">
      <c r="A3865" s="75" t="n">
        <v>2026</v>
      </c>
      <c r="B3865" s="75" t="n">
        <v>8</v>
      </c>
      <c r="C3865" s="75" t="inlineStr">
        <is>
          <t>5100001521</t>
        </is>
      </c>
      <c r="D3865" s="78" t="n">
        <v>46254</v>
      </c>
      <c r="E3865" s="75" t="inlineStr">
        <is>
          <t>KR</t>
        </is>
      </c>
      <c r="F3865" s="75" t="n">
        <v>62201000</v>
      </c>
      <c r="G3865" s="75" t="n">
        <v>1701</v>
      </c>
      <c r="H3865" s="76" t="n">
        <v>3735000</v>
      </c>
      <c r="I3865" s="75" t="inlineStr">
        <is>
          <t>8월 통신요금 - O텔레콤</t>
        </is>
      </c>
      <c r="J3865" s="75" t="inlineStr">
        <is>
          <t>V10002</t>
        </is>
      </c>
      <c r="K3865" s="75" t="inlineStr">
        <is>
          <t>O텔레콤</t>
        </is>
      </c>
      <c r="M3865" s="9">
        <f>IF($A3865="","",VALUE($A3865&amp;"")*12+VALUE($B3865&amp;""))</f>
        <v/>
      </c>
      <c r="N3865" s="39">
        <f>IF($A3865="","",IFERROR(INDEX(부서매핑!$C$5:$C$504,MATCH($G3865&amp;"",부서매핑!$A$5:$A$504,0)),"미매핑"))</f>
        <v/>
      </c>
      <c r="O3865" s="9">
        <f>IF($A3865="","",N3865&amp;"|"&amp;$F3865)</f>
        <v/>
      </c>
      <c r="P3865" s="77">
        <f>IF($A3865="",0,$H3865*설정!$C$23)</f>
        <v/>
      </c>
      <c r="Q3865" s="39">
        <f>IF($A3865="","",IF(O3865&lt;&gt;원인분석!$C$9,"",IF(AND(M3865&gt;=원인분석!$C$10,M3865&lt;=원인분석!$C$11),"당기",IF(AND(M3865&gt;=원인분석!$C$12,M3865&lt;=원인분석!$C$13),"비교",""))))</f>
        <v/>
      </c>
      <c r="R3865" s="9">
        <f>IF(Q3865="","",$K3865&amp;"")</f>
        <v/>
      </c>
      <c r="S3865" s="9">
        <f>IF(Q3865="","",IF(MATCH(R3865,$R$5:$R$100000,0)=ROW()-4,ROW(),""))</f>
        <v/>
      </c>
      <c r="T3865" s="9">
        <f>IF(Q3865="당기",ABS(P3865)+ROW()/1000000000,"")</f>
        <v/>
      </c>
      <c r="U3865" s="9">
        <f>IF(Q3865="비교",ABS(P3865)+ROW()/1000000000,"")</f>
        <v/>
      </c>
      <c r="V3865" s="39">
        <f>IF($A3865="","",IF(COUNTIF(변동분석!$E$7:$E$506,O3865)&gt;0,"Y","N"))</f>
        <v/>
      </c>
      <c r="W3865" s="39">
        <f>IF($A3865="","",IFERROR(INDEX(계정매핑!$D$5:$D$504,MATCH($F3865&amp;"",계정매핑!$A$5:$A$504,0)),"미매핑"))</f>
        <v/>
      </c>
      <c r="X3865" s="9">
        <f>IF($A3865="","",$F3865&amp;"")</f>
        <v/>
      </c>
    </row>
    <row r="3866">
      <c r="A3866" s="75" t="n">
        <v>2026</v>
      </c>
      <c r="B3866" s="75" t="n">
        <v>8</v>
      </c>
      <c r="C3866" s="75" t="inlineStr">
        <is>
          <t>5100001522</t>
        </is>
      </c>
      <c r="D3866" s="78" t="n">
        <v>46254</v>
      </c>
      <c r="E3866" s="75" t="inlineStr">
        <is>
          <t>KR</t>
        </is>
      </c>
      <c r="F3866" s="75" t="n">
        <v>62301000</v>
      </c>
      <c r="G3866" s="75" t="n">
        <v>1301</v>
      </c>
      <c r="H3866" s="76" t="n">
        <v>264000</v>
      </c>
      <c r="I3866" s="75" t="inlineStr">
        <is>
          <t>8월 소모품 구입 - R문구</t>
        </is>
      </c>
      <c r="J3866" s="75" t="inlineStr">
        <is>
          <t>V10018</t>
        </is>
      </c>
      <c r="K3866" s="75" t="inlineStr">
        <is>
          <t>R문구</t>
        </is>
      </c>
      <c r="M3866" s="9">
        <f>IF($A3866="","",VALUE($A3866&amp;"")*12+VALUE($B3866&amp;""))</f>
        <v/>
      </c>
      <c r="N3866" s="39">
        <f>IF($A3866="","",IFERROR(INDEX(부서매핑!$C$5:$C$504,MATCH($G3866&amp;"",부서매핑!$A$5:$A$504,0)),"미매핑"))</f>
        <v/>
      </c>
      <c r="O3866" s="9">
        <f>IF($A3866="","",N3866&amp;"|"&amp;$F3866)</f>
        <v/>
      </c>
      <c r="P3866" s="77">
        <f>IF($A3866="",0,$H3866*설정!$C$23)</f>
        <v/>
      </c>
      <c r="Q3866" s="39">
        <f>IF($A3866="","",IF(O3866&lt;&gt;원인분석!$C$9,"",IF(AND(M3866&gt;=원인분석!$C$10,M3866&lt;=원인분석!$C$11),"당기",IF(AND(M3866&gt;=원인분석!$C$12,M3866&lt;=원인분석!$C$13),"비교",""))))</f>
        <v/>
      </c>
      <c r="R3866" s="9">
        <f>IF(Q3866="","",$K3866&amp;"")</f>
        <v/>
      </c>
      <c r="S3866" s="9">
        <f>IF(Q3866="","",IF(MATCH(R3866,$R$5:$R$100000,0)=ROW()-4,ROW(),""))</f>
        <v/>
      </c>
      <c r="T3866" s="9">
        <f>IF(Q3866="당기",ABS(P3866)+ROW()/1000000000,"")</f>
        <v/>
      </c>
      <c r="U3866" s="9">
        <f>IF(Q3866="비교",ABS(P3866)+ROW()/1000000000,"")</f>
        <v/>
      </c>
      <c r="V3866" s="39">
        <f>IF($A3866="","",IF(COUNTIF(변동분석!$E$7:$E$506,O3866)&gt;0,"Y","N"))</f>
        <v/>
      </c>
      <c r="W3866" s="39">
        <f>IF($A3866="","",IFERROR(INDEX(계정매핑!$D$5:$D$504,MATCH($F3866&amp;"",계정매핑!$A$5:$A$504,0)),"미매핑"))</f>
        <v/>
      </c>
      <c r="X3866" s="9">
        <f>IF($A3866="","",$F3866&amp;"")</f>
        <v/>
      </c>
    </row>
    <row r="3867">
      <c r="A3867" s="75" t="n">
        <v>2026</v>
      </c>
      <c r="B3867" s="75" t="n">
        <v>8</v>
      </c>
      <c r="C3867" s="75" t="inlineStr">
        <is>
          <t>5100001523</t>
        </is>
      </c>
      <c r="D3867" s="78" t="n">
        <v>46254</v>
      </c>
      <c r="E3867" s="75" t="inlineStr">
        <is>
          <t>KR</t>
        </is>
      </c>
      <c r="F3867" s="75" t="n">
        <v>62501000</v>
      </c>
      <c r="G3867" s="75" t="n">
        <v>1701</v>
      </c>
      <c r="H3867" s="76" t="n">
        <v>54000</v>
      </c>
      <c r="I3867" s="75" t="inlineStr">
        <is>
          <t>8월 회의 다과 - T케이터링</t>
        </is>
      </c>
      <c r="J3867" s="75" t="inlineStr">
        <is>
          <t>V10005</t>
        </is>
      </c>
      <c r="K3867" s="75" t="inlineStr">
        <is>
          <t>T케이터링</t>
        </is>
      </c>
      <c r="M3867" s="9">
        <f>IF($A3867="","",VALUE($A3867&amp;"")*12+VALUE($B3867&amp;""))</f>
        <v/>
      </c>
      <c r="N3867" s="39">
        <f>IF($A3867="","",IFERROR(INDEX(부서매핑!$C$5:$C$504,MATCH($G3867&amp;"",부서매핑!$A$5:$A$504,0)),"미매핑"))</f>
        <v/>
      </c>
      <c r="O3867" s="9">
        <f>IF($A3867="","",N3867&amp;"|"&amp;$F3867)</f>
        <v/>
      </c>
      <c r="P3867" s="77">
        <f>IF($A3867="",0,$H3867*설정!$C$23)</f>
        <v/>
      </c>
      <c r="Q3867" s="39">
        <f>IF($A3867="","",IF(O3867&lt;&gt;원인분석!$C$9,"",IF(AND(M3867&gt;=원인분석!$C$10,M3867&lt;=원인분석!$C$11),"당기",IF(AND(M3867&gt;=원인분석!$C$12,M3867&lt;=원인분석!$C$13),"비교",""))))</f>
        <v/>
      </c>
      <c r="R3867" s="9">
        <f>IF(Q3867="","",$K3867&amp;"")</f>
        <v/>
      </c>
      <c r="S3867" s="9">
        <f>IF(Q3867="","",IF(MATCH(R3867,$R$5:$R$100000,0)=ROW()-4,ROW(),""))</f>
        <v/>
      </c>
      <c r="T3867" s="9">
        <f>IF(Q3867="당기",ABS(P3867)+ROW()/1000000000,"")</f>
        <v/>
      </c>
      <c r="U3867" s="9">
        <f>IF(Q3867="비교",ABS(P3867)+ROW()/1000000000,"")</f>
        <v/>
      </c>
      <c r="V3867" s="39">
        <f>IF($A3867="","",IF(COUNTIF(변동분석!$E$7:$E$506,O3867)&gt;0,"Y","N"))</f>
        <v/>
      </c>
      <c r="W3867" s="39">
        <f>IF($A3867="","",IFERROR(INDEX(계정매핑!$D$5:$D$504,MATCH($F3867&amp;"",계정매핑!$A$5:$A$504,0)),"미매핑"))</f>
        <v/>
      </c>
      <c r="X3867" s="9">
        <f>IF($A3867="","",$F3867&amp;"")</f>
        <v/>
      </c>
    </row>
    <row r="3868">
      <c r="A3868" s="75" t="n">
        <v>2026</v>
      </c>
      <c r="B3868" s="75" t="n">
        <v>8</v>
      </c>
      <c r="C3868" s="75" t="inlineStr">
        <is>
          <t>5100001524</t>
        </is>
      </c>
      <c r="D3868" s="78" t="n">
        <v>46254</v>
      </c>
      <c r="E3868" s="75" t="inlineStr">
        <is>
          <t>KR</t>
        </is>
      </c>
      <c r="F3868" s="75" t="n">
        <v>62902000</v>
      </c>
      <c r="G3868" s="75" t="n">
        <v>1801</v>
      </c>
      <c r="H3868" s="76" t="n">
        <v>3000000</v>
      </c>
      <c r="I3868" s="75" t="inlineStr">
        <is>
          <t>8월 업무 위탁 수수료 - X서비스</t>
        </is>
      </c>
      <c r="J3868" s="75" t="inlineStr">
        <is>
          <t>V10016</t>
        </is>
      </c>
      <c r="K3868" s="75" t="inlineStr">
        <is>
          <t>X서비스</t>
        </is>
      </c>
      <c r="M3868" s="9">
        <f>IF($A3868="","",VALUE($A3868&amp;"")*12+VALUE($B3868&amp;""))</f>
        <v/>
      </c>
      <c r="N3868" s="39">
        <f>IF($A3868="","",IFERROR(INDEX(부서매핑!$C$5:$C$504,MATCH($G3868&amp;"",부서매핑!$A$5:$A$504,0)),"미매핑"))</f>
        <v/>
      </c>
      <c r="O3868" s="9">
        <f>IF($A3868="","",N3868&amp;"|"&amp;$F3868)</f>
        <v/>
      </c>
      <c r="P3868" s="77">
        <f>IF($A3868="",0,$H3868*설정!$C$23)</f>
        <v/>
      </c>
      <c r="Q3868" s="39">
        <f>IF($A3868="","",IF(O3868&lt;&gt;원인분석!$C$9,"",IF(AND(M3868&gt;=원인분석!$C$10,M3868&lt;=원인분석!$C$11),"당기",IF(AND(M3868&gt;=원인분석!$C$12,M3868&lt;=원인분석!$C$13),"비교",""))))</f>
        <v/>
      </c>
      <c r="R3868" s="9">
        <f>IF(Q3868="","",$K3868&amp;"")</f>
        <v/>
      </c>
      <c r="S3868" s="9">
        <f>IF(Q3868="","",IF(MATCH(R3868,$R$5:$R$100000,0)=ROW()-4,ROW(),""))</f>
        <v/>
      </c>
      <c r="T3868" s="9">
        <f>IF(Q3868="당기",ABS(P3868)+ROW()/1000000000,"")</f>
        <v/>
      </c>
      <c r="U3868" s="9">
        <f>IF(Q3868="비교",ABS(P3868)+ROW()/1000000000,"")</f>
        <v/>
      </c>
      <c r="V3868" s="39">
        <f>IF($A3868="","",IF(COUNTIF(변동분석!$E$7:$E$506,O3868)&gt;0,"Y","N"))</f>
        <v/>
      </c>
      <c r="W3868" s="39">
        <f>IF($A3868="","",IFERROR(INDEX(계정매핑!$D$5:$D$504,MATCH($F3868&amp;"",계정매핑!$A$5:$A$504,0)),"미매핑"))</f>
        <v/>
      </c>
      <c r="X3868" s="9">
        <f>IF($A3868="","",$F3868&amp;"")</f>
        <v/>
      </c>
    </row>
    <row r="3869">
      <c r="A3869" s="75" t="n">
        <v>2026</v>
      </c>
      <c r="B3869" s="75" t="n">
        <v>8</v>
      </c>
      <c r="C3869" s="75" t="inlineStr">
        <is>
          <t>5100001525</t>
        </is>
      </c>
      <c r="D3869" s="78" t="n">
        <v>46254</v>
      </c>
      <c r="E3869" s="75" t="inlineStr">
        <is>
          <t>KR</t>
        </is>
      </c>
      <c r="F3869" s="75" t="n">
        <v>63001000</v>
      </c>
      <c r="G3869" s="75" t="n">
        <v>1701</v>
      </c>
      <c r="H3869" s="76" t="n">
        <v>28753000</v>
      </c>
      <c r="I3869" s="75" t="inlineStr">
        <is>
          <t>8월 SW 유지보수 - Z시스템</t>
        </is>
      </c>
      <c r="J3869" s="75" t="inlineStr">
        <is>
          <t>V10021</t>
        </is>
      </c>
      <c r="K3869" s="75" t="inlineStr">
        <is>
          <t>Z시스템</t>
        </is>
      </c>
      <c r="M3869" s="9">
        <f>IF($A3869="","",VALUE($A3869&amp;"")*12+VALUE($B3869&amp;""))</f>
        <v/>
      </c>
      <c r="N3869" s="39">
        <f>IF($A3869="","",IFERROR(INDEX(부서매핑!$C$5:$C$504,MATCH($G3869&amp;"",부서매핑!$A$5:$A$504,0)),"미매핑"))</f>
        <v/>
      </c>
      <c r="O3869" s="9">
        <f>IF($A3869="","",N3869&amp;"|"&amp;$F3869)</f>
        <v/>
      </c>
      <c r="P3869" s="77">
        <f>IF($A3869="",0,$H3869*설정!$C$23)</f>
        <v/>
      </c>
      <c r="Q3869" s="39">
        <f>IF($A3869="","",IF(O3869&lt;&gt;원인분석!$C$9,"",IF(AND(M3869&gt;=원인분석!$C$10,M3869&lt;=원인분석!$C$11),"당기",IF(AND(M3869&gt;=원인분석!$C$12,M3869&lt;=원인분석!$C$13),"비교",""))))</f>
        <v/>
      </c>
      <c r="R3869" s="9">
        <f>IF(Q3869="","",$K3869&amp;"")</f>
        <v/>
      </c>
      <c r="S3869" s="9">
        <f>IF(Q3869="","",IF(MATCH(R3869,$R$5:$R$100000,0)=ROW()-4,ROW(),""))</f>
        <v/>
      </c>
      <c r="T3869" s="9">
        <f>IF(Q3869="당기",ABS(P3869)+ROW()/1000000000,"")</f>
        <v/>
      </c>
      <c r="U3869" s="9">
        <f>IF(Q3869="비교",ABS(P3869)+ROW()/1000000000,"")</f>
        <v/>
      </c>
      <c r="V3869" s="39">
        <f>IF($A3869="","",IF(COUNTIF(변동분석!$E$7:$E$506,O3869)&gt;0,"Y","N"))</f>
        <v/>
      </c>
      <c r="W3869" s="39">
        <f>IF($A3869="","",IFERROR(INDEX(계정매핑!$D$5:$D$504,MATCH($F3869&amp;"",계정매핑!$A$5:$A$504,0)),"미매핑"))</f>
        <v/>
      </c>
      <c r="X3869" s="9">
        <f>IF($A3869="","",$F3869&amp;"")</f>
        <v/>
      </c>
    </row>
    <row r="3870">
      <c r="A3870" s="75" t="n">
        <v>2026</v>
      </c>
      <c r="B3870" s="75" t="n">
        <v>8</v>
      </c>
      <c r="C3870" s="75" t="inlineStr">
        <is>
          <t>5100001526</t>
        </is>
      </c>
      <c r="D3870" s="78" t="n">
        <v>46255</v>
      </c>
      <c r="E3870" s="75" t="inlineStr">
        <is>
          <t>KR</t>
        </is>
      </c>
      <c r="F3870" s="75" t="n">
        <v>62102000</v>
      </c>
      <c r="G3870" s="75" t="n">
        <v>1101</v>
      </c>
      <c r="H3870" s="76" t="n">
        <v>100000</v>
      </c>
      <c r="I3870" s="75" t="inlineStr">
        <is>
          <t>8월 해외출장 - N호텔</t>
        </is>
      </c>
      <c r="J3870" s="75" t="inlineStr">
        <is>
          <t>V10007</t>
        </is>
      </c>
      <c r="K3870" s="75" t="inlineStr">
        <is>
          <t>N호텔</t>
        </is>
      </c>
      <c r="M3870" s="9">
        <f>IF($A3870="","",VALUE($A3870&amp;"")*12+VALUE($B3870&amp;""))</f>
        <v/>
      </c>
      <c r="N3870" s="39">
        <f>IF($A3870="","",IFERROR(INDEX(부서매핑!$C$5:$C$504,MATCH($G3870&amp;"",부서매핑!$A$5:$A$504,0)),"미매핑"))</f>
        <v/>
      </c>
      <c r="O3870" s="9">
        <f>IF($A3870="","",N3870&amp;"|"&amp;$F3870)</f>
        <v/>
      </c>
      <c r="P3870" s="77">
        <f>IF($A3870="",0,$H3870*설정!$C$23)</f>
        <v/>
      </c>
      <c r="Q3870" s="39">
        <f>IF($A3870="","",IF(O3870&lt;&gt;원인분석!$C$9,"",IF(AND(M3870&gt;=원인분석!$C$10,M3870&lt;=원인분석!$C$11),"당기",IF(AND(M3870&gt;=원인분석!$C$12,M3870&lt;=원인분석!$C$13),"비교",""))))</f>
        <v/>
      </c>
      <c r="R3870" s="9">
        <f>IF(Q3870="","",$K3870&amp;"")</f>
        <v/>
      </c>
      <c r="S3870" s="9">
        <f>IF(Q3870="","",IF(MATCH(R3870,$R$5:$R$100000,0)=ROW()-4,ROW(),""))</f>
        <v/>
      </c>
      <c r="T3870" s="9">
        <f>IF(Q3870="당기",ABS(P3870)+ROW()/1000000000,"")</f>
        <v/>
      </c>
      <c r="U3870" s="9">
        <f>IF(Q3870="비교",ABS(P3870)+ROW()/1000000000,"")</f>
        <v/>
      </c>
      <c r="V3870" s="39">
        <f>IF($A3870="","",IF(COUNTIF(변동분석!$E$7:$E$506,O3870)&gt;0,"Y","N"))</f>
        <v/>
      </c>
      <c r="W3870" s="39">
        <f>IF($A3870="","",IFERROR(INDEX(계정매핑!$D$5:$D$504,MATCH($F3870&amp;"",계정매핑!$A$5:$A$504,0)),"미매핑"))</f>
        <v/>
      </c>
      <c r="X3870" s="9">
        <f>IF($A3870="","",$F3870&amp;"")</f>
        <v/>
      </c>
    </row>
    <row r="3871">
      <c r="A3871" s="75" t="n">
        <v>2026</v>
      </c>
      <c r="B3871" s="75" t="n">
        <v>8</v>
      </c>
      <c r="C3871" s="75" t="inlineStr">
        <is>
          <t>5100001527</t>
        </is>
      </c>
      <c r="D3871" s="78" t="n">
        <v>46255</v>
      </c>
      <c r="E3871" s="75" t="inlineStr">
        <is>
          <t>KR</t>
        </is>
      </c>
      <c r="F3871" s="75" t="n">
        <v>62102000</v>
      </c>
      <c r="G3871" s="75" t="n">
        <v>1701</v>
      </c>
      <c r="H3871" s="76" t="n">
        <v>29000</v>
      </c>
      <c r="I3871" s="75" t="inlineStr">
        <is>
          <t>8월 해외출장 - N호텔</t>
        </is>
      </c>
      <c r="J3871" s="75" t="inlineStr">
        <is>
          <t>V10007</t>
        </is>
      </c>
      <c r="K3871" s="75" t="inlineStr">
        <is>
          <t>N호텔</t>
        </is>
      </c>
      <c r="M3871" s="9">
        <f>IF($A3871="","",VALUE($A3871&amp;"")*12+VALUE($B3871&amp;""))</f>
        <v/>
      </c>
      <c r="N3871" s="39">
        <f>IF($A3871="","",IFERROR(INDEX(부서매핑!$C$5:$C$504,MATCH($G3871&amp;"",부서매핑!$A$5:$A$504,0)),"미매핑"))</f>
        <v/>
      </c>
      <c r="O3871" s="9">
        <f>IF($A3871="","",N3871&amp;"|"&amp;$F3871)</f>
        <v/>
      </c>
      <c r="P3871" s="77">
        <f>IF($A3871="",0,$H3871*설정!$C$23)</f>
        <v/>
      </c>
      <c r="Q3871" s="39">
        <f>IF($A3871="","",IF(O3871&lt;&gt;원인분석!$C$9,"",IF(AND(M3871&gt;=원인분석!$C$10,M3871&lt;=원인분석!$C$11),"당기",IF(AND(M3871&gt;=원인분석!$C$12,M3871&lt;=원인분석!$C$13),"비교",""))))</f>
        <v/>
      </c>
      <c r="R3871" s="9">
        <f>IF(Q3871="","",$K3871&amp;"")</f>
        <v/>
      </c>
      <c r="S3871" s="9">
        <f>IF(Q3871="","",IF(MATCH(R3871,$R$5:$R$100000,0)=ROW()-4,ROW(),""))</f>
        <v/>
      </c>
      <c r="T3871" s="9">
        <f>IF(Q3871="당기",ABS(P3871)+ROW()/1000000000,"")</f>
        <v/>
      </c>
      <c r="U3871" s="9">
        <f>IF(Q3871="비교",ABS(P3871)+ROW()/1000000000,"")</f>
        <v/>
      </c>
      <c r="V3871" s="39">
        <f>IF($A3871="","",IF(COUNTIF(변동분석!$E$7:$E$506,O3871)&gt;0,"Y","N"))</f>
        <v/>
      </c>
      <c r="W3871" s="39">
        <f>IF($A3871="","",IFERROR(INDEX(계정매핑!$D$5:$D$504,MATCH($F3871&amp;"",계정매핑!$A$5:$A$504,0)),"미매핑"))</f>
        <v/>
      </c>
      <c r="X3871" s="9">
        <f>IF($A3871="","",$F3871&amp;"")</f>
        <v/>
      </c>
    </row>
    <row r="3872">
      <c r="A3872" s="75" t="n">
        <v>2026</v>
      </c>
      <c r="B3872" s="75" t="n">
        <v>8</v>
      </c>
      <c r="C3872" s="75" t="inlineStr">
        <is>
          <t>5100001528</t>
        </is>
      </c>
      <c r="D3872" s="78" t="n">
        <v>46255</v>
      </c>
      <c r="E3872" s="75" t="inlineStr">
        <is>
          <t>KR</t>
        </is>
      </c>
      <c r="F3872" s="75" t="n">
        <v>62401000</v>
      </c>
      <c r="G3872" s="75" t="n">
        <v>1501</v>
      </c>
      <c r="H3872" s="76" t="n">
        <v>1061000</v>
      </c>
      <c r="I3872" s="75" t="inlineStr">
        <is>
          <t>8월 인쇄물 제작 - G인쇄</t>
        </is>
      </c>
      <c r="J3872" s="75" t="inlineStr">
        <is>
          <t>V10004</t>
        </is>
      </c>
      <c r="K3872" s="75" t="inlineStr">
        <is>
          <t>G인쇄</t>
        </is>
      </c>
      <c r="M3872" s="9">
        <f>IF($A3872="","",VALUE($A3872&amp;"")*12+VALUE($B3872&amp;""))</f>
        <v/>
      </c>
      <c r="N3872" s="39">
        <f>IF($A3872="","",IFERROR(INDEX(부서매핑!$C$5:$C$504,MATCH($G3872&amp;"",부서매핑!$A$5:$A$504,0)),"미매핑"))</f>
        <v/>
      </c>
      <c r="O3872" s="9">
        <f>IF($A3872="","",N3872&amp;"|"&amp;$F3872)</f>
        <v/>
      </c>
      <c r="P3872" s="77">
        <f>IF($A3872="",0,$H3872*설정!$C$23)</f>
        <v/>
      </c>
      <c r="Q3872" s="39">
        <f>IF($A3872="","",IF(O3872&lt;&gt;원인분석!$C$9,"",IF(AND(M3872&gt;=원인분석!$C$10,M3872&lt;=원인분석!$C$11),"당기",IF(AND(M3872&gt;=원인분석!$C$12,M3872&lt;=원인분석!$C$13),"비교",""))))</f>
        <v/>
      </c>
      <c r="R3872" s="9">
        <f>IF(Q3872="","",$K3872&amp;"")</f>
        <v/>
      </c>
      <c r="S3872" s="9">
        <f>IF(Q3872="","",IF(MATCH(R3872,$R$5:$R$100000,0)=ROW()-4,ROW(),""))</f>
        <v/>
      </c>
      <c r="T3872" s="9">
        <f>IF(Q3872="당기",ABS(P3872)+ROW()/1000000000,"")</f>
        <v/>
      </c>
      <c r="U3872" s="9">
        <f>IF(Q3872="비교",ABS(P3872)+ROW()/1000000000,"")</f>
        <v/>
      </c>
      <c r="V3872" s="39">
        <f>IF($A3872="","",IF(COUNTIF(변동분석!$E$7:$E$506,O3872)&gt;0,"Y","N"))</f>
        <v/>
      </c>
      <c r="W3872" s="39">
        <f>IF($A3872="","",IFERROR(INDEX(계정매핑!$D$5:$D$504,MATCH($F3872&amp;"",계정매핑!$A$5:$A$504,0)),"미매핑"))</f>
        <v/>
      </c>
      <c r="X3872" s="9">
        <f>IF($A3872="","",$F3872&amp;"")</f>
        <v/>
      </c>
    </row>
    <row r="3873">
      <c r="A3873" s="75" t="n">
        <v>2026</v>
      </c>
      <c r="B3873" s="75" t="n">
        <v>8</v>
      </c>
      <c r="C3873" s="75" t="inlineStr">
        <is>
          <t>5100001529</t>
        </is>
      </c>
      <c r="D3873" s="78" t="n">
        <v>46255</v>
      </c>
      <c r="E3873" s="75" t="inlineStr">
        <is>
          <t>KR</t>
        </is>
      </c>
      <c r="F3873" s="75" t="n">
        <v>62501000</v>
      </c>
      <c r="G3873" s="75" t="n">
        <v>1101</v>
      </c>
      <c r="H3873" s="76" t="n">
        <v>276000</v>
      </c>
      <c r="I3873" s="75" t="inlineStr">
        <is>
          <t>8월 회의 다과 - (법인카드)</t>
        </is>
      </c>
      <c r="J3873" s="75" t="inlineStr">
        <is>
          <t>V10008</t>
        </is>
      </c>
      <c r="K3873" s="75" t="inlineStr">
        <is>
          <t>(법인카드)</t>
        </is>
      </c>
      <c r="M3873" s="9">
        <f>IF($A3873="","",VALUE($A3873&amp;"")*12+VALUE($B3873&amp;""))</f>
        <v/>
      </c>
      <c r="N3873" s="39">
        <f>IF($A3873="","",IFERROR(INDEX(부서매핑!$C$5:$C$504,MATCH($G3873&amp;"",부서매핑!$A$5:$A$504,0)),"미매핑"))</f>
        <v/>
      </c>
      <c r="O3873" s="9">
        <f>IF($A3873="","",N3873&amp;"|"&amp;$F3873)</f>
        <v/>
      </c>
      <c r="P3873" s="77">
        <f>IF($A3873="",0,$H3873*설정!$C$23)</f>
        <v/>
      </c>
      <c r="Q3873" s="39">
        <f>IF($A3873="","",IF(O3873&lt;&gt;원인분석!$C$9,"",IF(AND(M3873&gt;=원인분석!$C$10,M3873&lt;=원인분석!$C$11),"당기",IF(AND(M3873&gt;=원인분석!$C$12,M3873&lt;=원인분석!$C$13),"비교",""))))</f>
        <v/>
      </c>
      <c r="R3873" s="9">
        <f>IF(Q3873="","",$K3873&amp;"")</f>
        <v/>
      </c>
      <c r="S3873" s="9">
        <f>IF(Q3873="","",IF(MATCH(R3873,$R$5:$R$100000,0)=ROW()-4,ROW(),""))</f>
        <v/>
      </c>
      <c r="T3873" s="9">
        <f>IF(Q3873="당기",ABS(P3873)+ROW()/1000000000,"")</f>
        <v/>
      </c>
      <c r="U3873" s="9">
        <f>IF(Q3873="비교",ABS(P3873)+ROW()/1000000000,"")</f>
        <v/>
      </c>
      <c r="V3873" s="39">
        <f>IF($A3873="","",IF(COUNTIF(변동분석!$E$7:$E$506,O3873)&gt;0,"Y","N"))</f>
        <v/>
      </c>
      <c r="W3873" s="39">
        <f>IF($A3873="","",IFERROR(INDEX(계정매핑!$D$5:$D$504,MATCH($F3873&amp;"",계정매핑!$A$5:$A$504,0)),"미매핑"))</f>
        <v/>
      </c>
      <c r="X3873" s="9">
        <f>IF($A3873="","",$F3873&amp;"")</f>
        <v/>
      </c>
    </row>
    <row r="3874">
      <c r="A3874" s="75" t="n">
        <v>2026</v>
      </c>
      <c r="B3874" s="75" t="n">
        <v>8</v>
      </c>
      <c r="C3874" s="75" t="inlineStr">
        <is>
          <t>5100001530</t>
        </is>
      </c>
      <c r="D3874" s="78" t="n">
        <v>46255</v>
      </c>
      <c r="E3874" s="75" t="inlineStr">
        <is>
          <t>KR</t>
        </is>
      </c>
      <c r="F3874" s="75" t="n">
        <v>62501000</v>
      </c>
      <c r="G3874" s="75" t="n">
        <v>1501</v>
      </c>
      <c r="H3874" s="76" t="n">
        <v>334000</v>
      </c>
      <c r="I3874" s="75" t="inlineStr">
        <is>
          <t>8월 회의 다과 - (법인카드)</t>
        </is>
      </c>
      <c r="J3874" s="75" t="inlineStr">
        <is>
          <t>V10008</t>
        </is>
      </c>
      <c r="K3874" s="75" t="inlineStr">
        <is>
          <t>(법인카드)</t>
        </is>
      </c>
      <c r="M3874" s="9">
        <f>IF($A3874="","",VALUE($A3874&amp;"")*12+VALUE($B3874&amp;""))</f>
        <v/>
      </c>
      <c r="N3874" s="39">
        <f>IF($A3874="","",IFERROR(INDEX(부서매핑!$C$5:$C$504,MATCH($G3874&amp;"",부서매핑!$A$5:$A$504,0)),"미매핑"))</f>
        <v/>
      </c>
      <c r="O3874" s="9">
        <f>IF($A3874="","",N3874&amp;"|"&amp;$F3874)</f>
        <v/>
      </c>
      <c r="P3874" s="77">
        <f>IF($A3874="",0,$H3874*설정!$C$23)</f>
        <v/>
      </c>
      <c r="Q3874" s="39">
        <f>IF($A3874="","",IF(O3874&lt;&gt;원인분석!$C$9,"",IF(AND(M3874&gt;=원인분석!$C$10,M3874&lt;=원인분석!$C$11),"당기",IF(AND(M3874&gt;=원인분석!$C$12,M3874&lt;=원인분석!$C$13),"비교",""))))</f>
        <v/>
      </c>
      <c r="R3874" s="9">
        <f>IF(Q3874="","",$K3874&amp;"")</f>
        <v/>
      </c>
      <c r="S3874" s="9">
        <f>IF(Q3874="","",IF(MATCH(R3874,$R$5:$R$100000,0)=ROW()-4,ROW(),""))</f>
        <v/>
      </c>
      <c r="T3874" s="9">
        <f>IF(Q3874="당기",ABS(P3874)+ROW()/1000000000,"")</f>
        <v/>
      </c>
      <c r="U3874" s="9">
        <f>IF(Q3874="비교",ABS(P3874)+ROW()/1000000000,"")</f>
        <v/>
      </c>
      <c r="V3874" s="39">
        <f>IF($A3874="","",IF(COUNTIF(변동분석!$E$7:$E$506,O3874)&gt;0,"Y","N"))</f>
        <v/>
      </c>
      <c r="W3874" s="39">
        <f>IF($A3874="","",IFERROR(INDEX(계정매핑!$D$5:$D$504,MATCH($F3874&amp;"",계정매핑!$A$5:$A$504,0)),"미매핑"))</f>
        <v/>
      </c>
      <c r="X3874" s="9">
        <f>IF($A3874="","",$F3874&amp;"")</f>
        <v/>
      </c>
    </row>
    <row r="3875">
      <c r="A3875" s="75" t="n">
        <v>2026</v>
      </c>
      <c r="B3875" s="75" t="n">
        <v>8</v>
      </c>
      <c r="C3875" s="75" t="inlineStr">
        <is>
          <t>5100001531</t>
        </is>
      </c>
      <c r="D3875" s="78" t="n">
        <v>46255</v>
      </c>
      <c r="E3875" s="75" t="inlineStr">
        <is>
          <t>KR</t>
        </is>
      </c>
      <c r="F3875" s="75" t="n">
        <v>62501000</v>
      </c>
      <c r="G3875" s="75" t="n">
        <v>1601</v>
      </c>
      <c r="H3875" s="76" t="n">
        <v>258000</v>
      </c>
      <c r="I3875" s="75" t="inlineStr">
        <is>
          <t>8월 회의 다과 - T케이터링</t>
        </is>
      </c>
      <c r="J3875" s="75" t="inlineStr">
        <is>
          <t>V10005</t>
        </is>
      </c>
      <c r="K3875" s="75" t="inlineStr">
        <is>
          <t>T케이터링</t>
        </is>
      </c>
      <c r="M3875" s="9">
        <f>IF($A3875="","",VALUE($A3875&amp;"")*12+VALUE($B3875&amp;""))</f>
        <v/>
      </c>
      <c r="N3875" s="39">
        <f>IF($A3875="","",IFERROR(INDEX(부서매핑!$C$5:$C$504,MATCH($G3875&amp;"",부서매핑!$A$5:$A$504,0)),"미매핑"))</f>
        <v/>
      </c>
      <c r="O3875" s="9">
        <f>IF($A3875="","",N3875&amp;"|"&amp;$F3875)</f>
        <v/>
      </c>
      <c r="P3875" s="77">
        <f>IF($A3875="",0,$H3875*설정!$C$23)</f>
        <v/>
      </c>
      <c r="Q3875" s="39">
        <f>IF($A3875="","",IF(O3875&lt;&gt;원인분석!$C$9,"",IF(AND(M3875&gt;=원인분석!$C$10,M3875&lt;=원인분석!$C$11),"당기",IF(AND(M3875&gt;=원인분석!$C$12,M3875&lt;=원인분석!$C$13),"비교",""))))</f>
        <v/>
      </c>
      <c r="R3875" s="9">
        <f>IF(Q3875="","",$K3875&amp;"")</f>
        <v/>
      </c>
      <c r="S3875" s="9">
        <f>IF(Q3875="","",IF(MATCH(R3875,$R$5:$R$100000,0)=ROW()-4,ROW(),""))</f>
        <v/>
      </c>
      <c r="T3875" s="9">
        <f>IF(Q3875="당기",ABS(P3875)+ROW()/1000000000,"")</f>
        <v/>
      </c>
      <c r="U3875" s="9">
        <f>IF(Q3875="비교",ABS(P3875)+ROW()/1000000000,"")</f>
        <v/>
      </c>
      <c r="V3875" s="39">
        <f>IF($A3875="","",IF(COUNTIF(변동분석!$E$7:$E$506,O3875)&gt;0,"Y","N"))</f>
        <v/>
      </c>
      <c r="W3875" s="39">
        <f>IF($A3875="","",IFERROR(INDEX(계정매핑!$D$5:$D$504,MATCH($F3875&amp;"",계정매핑!$A$5:$A$504,0)),"미매핑"))</f>
        <v/>
      </c>
      <c r="X3875" s="9">
        <f>IF($A3875="","",$F3875&amp;"")</f>
        <v/>
      </c>
    </row>
    <row r="3876">
      <c r="A3876" s="75" t="n">
        <v>2026</v>
      </c>
      <c r="B3876" s="75" t="n">
        <v>8</v>
      </c>
      <c r="C3876" s="75" t="inlineStr">
        <is>
          <t>5100001532</t>
        </is>
      </c>
      <c r="D3876" s="78" t="n">
        <v>46256</v>
      </c>
      <c r="E3876" s="75" t="inlineStr">
        <is>
          <t>KR</t>
        </is>
      </c>
      <c r="F3876" s="75" t="n">
        <v>62101000</v>
      </c>
      <c r="G3876" s="75" t="n">
        <v>1101</v>
      </c>
      <c r="H3876" s="76" t="n">
        <v>597000</v>
      </c>
      <c r="I3876" s="75" t="inlineStr">
        <is>
          <t>8월 국내출장 - M항공</t>
        </is>
      </c>
      <c r="J3876" s="75" t="inlineStr">
        <is>
          <t>V10001</t>
        </is>
      </c>
      <c r="K3876" s="75" t="inlineStr">
        <is>
          <t>M항공</t>
        </is>
      </c>
      <c r="M3876" s="9">
        <f>IF($A3876="","",VALUE($A3876&amp;"")*12+VALUE($B3876&amp;""))</f>
        <v/>
      </c>
      <c r="N3876" s="39">
        <f>IF($A3876="","",IFERROR(INDEX(부서매핑!$C$5:$C$504,MATCH($G3876&amp;"",부서매핑!$A$5:$A$504,0)),"미매핑"))</f>
        <v/>
      </c>
      <c r="O3876" s="9">
        <f>IF($A3876="","",N3876&amp;"|"&amp;$F3876)</f>
        <v/>
      </c>
      <c r="P3876" s="77">
        <f>IF($A3876="",0,$H3876*설정!$C$23)</f>
        <v/>
      </c>
      <c r="Q3876" s="39">
        <f>IF($A3876="","",IF(O3876&lt;&gt;원인분석!$C$9,"",IF(AND(M3876&gt;=원인분석!$C$10,M3876&lt;=원인분석!$C$11),"당기",IF(AND(M3876&gt;=원인분석!$C$12,M3876&lt;=원인분석!$C$13),"비교",""))))</f>
        <v/>
      </c>
      <c r="R3876" s="9">
        <f>IF(Q3876="","",$K3876&amp;"")</f>
        <v/>
      </c>
      <c r="S3876" s="9">
        <f>IF(Q3876="","",IF(MATCH(R3876,$R$5:$R$100000,0)=ROW()-4,ROW(),""))</f>
        <v/>
      </c>
      <c r="T3876" s="9">
        <f>IF(Q3876="당기",ABS(P3876)+ROW()/1000000000,"")</f>
        <v/>
      </c>
      <c r="U3876" s="9">
        <f>IF(Q3876="비교",ABS(P3876)+ROW()/1000000000,"")</f>
        <v/>
      </c>
      <c r="V3876" s="39">
        <f>IF($A3876="","",IF(COUNTIF(변동분석!$E$7:$E$506,O3876)&gt;0,"Y","N"))</f>
        <v/>
      </c>
      <c r="W3876" s="39">
        <f>IF($A3876="","",IFERROR(INDEX(계정매핑!$D$5:$D$504,MATCH($F3876&amp;"",계정매핑!$A$5:$A$504,0)),"미매핑"))</f>
        <v/>
      </c>
      <c r="X3876" s="9">
        <f>IF($A3876="","",$F3876&amp;"")</f>
        <v/>
      </c>
    </row>
    <row r="3877">
      <c r="A3877" s="75" t="n">
        <v>2026</v>
      </c>
      <c r="B3877" s="75" t="n">
        <v>8</v>
      </c>
      <c r="C3877" s="75" t="inlineStr">
        <is>
          <t>5100001533</t>
        </is>
      </c>
      <c r="D3877" s="78" t="n">
        <v>46256</v>
      </c>
      <c r="E3877" s="75" t="inlineStr">
        <is>
          <t>KR</t>
        </is>
      </c>
      <c r="F3877" s="75" t="n">
        <v>62101000</v>
      </c>
      <c r="G3877" s="75" t="n">
        <v>1501</v>
      </c>
      <c r="H3877" s="76" t="n">
        <v>540000</v>
      </c>
      <c r="I3877" s="75" t="inlineStr">
        <is>
          <t>8월 국내출장 - L여행사</t>
        </is>
      </c>
      <c r="J3877" s="75" t="inlineStr">
        <is>
          <t>V10014</t>
        </is>
      </c>
      <c r="K3877" s="75" t="inlineStr">
        <is>
          <t>L여행사</t>
        </is>
      </c>
      <c r="M3877" s="9">
        <f>IF($A3877="","",VALUE($A3877&amp;"")*12+VALUE($B3877&amp;""))</f>
        <v/>
      </c>
      <c r="N3877" s="39">
        <f>IF($A3877="","",IFERROR(INDEX(부서매핑!$C$5:$C$504,MATCH($G3877&amp;"",부서매핑!$A$5:$A$504,0)),"미매핑"))</f>
        <v/>
      </c>
      <c r="O3877" s="9">
        <f>IF($A3877="","",N3877&amp;"|"&amp;$F3877)</f>
        <v/>
      </c>
      <c r="P3877" s="77">
        <f>IF($A3877="",0,$H3877*설정!$C$23)</f>
        <v/>
      </c>
      <c r="Q3877" s="39">
        <f>IF($A3877="","",IF(O3877&lt;&gt;원인분석!$C$9,"",IF(AND(M3877&gt;=원인분석!$C$10,M3877&lt;=원인분석!$C$11),"당기",IF(AND(M3877&gt;=원인분석!$C$12,M3877&lt;=원인분석!$C$13),"비교",""))))</f>
        <v/>
      </c>
      <c r="R3877" s="9">
        <f>IF(Q3877="","",$K3877&amp;"")</f>
        <v/>
      </c>
      <c r="S3877" s="9">
        <f>IF(Q3877="","",IF(MATCH(R3877,$R$5:$R$100000,0)=ROW()-4,ROW(),""))</f>
        <v/>
      </c>
      <c r="T3877" s="9">
        <f>IF(Q3877="당기",ABS(P3877)+ROW()/1000000000,"")</f>
        <v/>
      </c>
      <c r="U3877" s="9">
        <f>IF(Q3877="비교",ABS(P3877)+ROW()/1000000000,"")</f>
        <v/>
      </c>
      <c r="V3877" s="39">
        <f>IF($A3877="","",IF(COUNTIF(변동분석!$E$7:$E$506,O3877)&gt;0,"Y","N"))</f>
        <v/>
      </c>
      <c r="W3877" s="39">
        <f>IF($A3877="","",IFERROR(INDEX(계정매핑!$D$5:$D$504,MATCH($F3877&amp;"",계정매핑!$A$5:$A$504,0)),"미매핑"))</f>
        <v/>
      </c>
      <c r="X3877" s="9">
        <f>IF($A3877="","",$F3877&amp;"")</f>
        <v/>
      </c>
    </row>
    <row r="3878">
      <c r="A3878" s="75" t="n">
        <v>2026</v>
      </c>
      <c r="B3878" s="75" t="n">
        <v>8</v>
      </c>
      <c r="C3878" s="75" t="inlineStr">
        <is>
          <t>5100001534</t>
        </is>
      </c>
      <c r="D3878" s="78" t="n">
        <v>46256</v>
      </c>
      <c r="E3878" s="75" t="inlineStr">
        <is>
          <t>KR</t>
        </is>
      </c>
      <c r="F3878" s="75" t="n">
        <v>62102000</v>
      </c>
      <c r="G3878" s="75" t="n">
        <v>1201</v>
      </c>
      <c r="H3878" s="76" t="n">
        <v>55000</v>
      </c>
      <c r="I3878" s="75" t="inlineStr">
        <is>
          <t>8월 해외출장 - N호텔</t>
        </is>
      </c>
      <c r="J3878" s="75" t="inlineStr">
        <is>
          <t>V10007</t>
        </is>
      </c>
      <c r="K3878" s="75" t="inlineStr">
        <is>
          <t>N호텔</t>
        </is>
      </c>
      <c r="M3878" s="9">
        <f>IF($A3878="","",VALUE($A3878&amp;"")*12+VALUE($B3878&amp;""))</f>
        <v/>
      </c>
      <c r="N3878" s="39">
        <f>IF($A3878="","",IFERROR(INDEX(부서매핑!$C$5:$C$504,MATCH($G3878&amp;"",부서매핑!$A$5:$A$504,0)),"미매핑"))</f>
        <v/>
      </c>
      <c r="O3878" s="9">
        <f>IF($A3878="","",N3878&amp;"|"&amp;$F3878)</f>
        <v/>
      </c>
      <c r="P3878" s="77">
        <f>IF($A3878="",0,$H3878*설정!$C$23)</f>
        <v/>
      </c>
      <c r="Q3878" s="39">
        <f>IF($A3878="","",IF(O3878&lt;&gt;원인분석!$C$9,"",IF(AND(M3878&gt;=원인분석!$C$10,M3878&lt;=원인분석!$C$11),"당기",IF(AND(M3878&gt;=원인분석!$C$12,M3878&lt;=원인분석!$C$13),"비교",""))))</f>
        <v/>
      </c>
      <c r="R3878" s="9">
        <f>IF(Q3878="","",$K3878&amp;"")</f>
        <v/>
      </c>
      <c r="S3878" s="9">
        <f>IF(Q3878="","",IF(MATCH(R3878,$R$5:$R$100000,0)=ROW()-4,ROW(),""))</f>
        <v/>
      </c>
      <c r="T3878" s="9">
        <f>IF(Q3878="당기",ABS(P3878)+ROW()/1000000000,"")</f>
        <v/>
      </c>
      <c r="U3878" s="9">
        <f>IF(Q3878="비교",ABS(P3878)+ROW()/1000000000,"")</f>
        <v/>
      </c>
      <c r="V3878" s="39">
        <f>IF($A3878="","",IF(COUNTIF(변동분석!$E$7:$E$506,O3878)&gt;0,"Y","N"))</f>
        <v/>
      </c>
      <c r="W3878" s="39">
        <f>IF($A3878="","",IFERROR(INDEX(계정매핑!$D$5:$D$504,MATCH($F3878&amp;"",계정매핑!$A$5:$A$504,0)),"미매핑"))</f>
        <v/>
      </c>
      <c r="X3878" s="9">
        <f>IF($A3878="","",$F3878&amp;"")</f>
        <v/>
      </c>
    </row>
    <row r="3879">
      <c r="A3879" s="75" t="n">
        <v>2026</v>
      </c>
      <c r="B3879" s="75" t="n">
        <v>8</v>
      </c>
      <c r="C3879" s="75" t="inlineStr">
        <is>
          <t>5100001535</t>
        </is>
      </c>
      <c r="D3879" s="78" t="n">
        <v>46256</v>
      </c>
      <c r="E3879" s="75" t="inlineStr">
        <is>
          <t>KR</t>
        </is>
      </c>
      <c r="F3879" s="75" t="n">
        <v>62201000</v>
      </c>
      <c r="G3879" s="75" t="n">
        <v>1401</v>
      </c>
      <c r="H3879" s="76" t="n">
        <v>140000</v>
      </c>
      <c r="I3879" s="75" t="inlineStr">
        <is>
          <t>8월 통신요금 - P통신</t>
        </is>
      </c>
      <c r="J3879" s="75" t="inlineStr">
        <is>
          <t>V10011</t>
        </is>
      </c>
      <c r="K3879" s="75" t="inlineStr">
        <is>
          <t>P통신</t>
        </is>
      </c>
      <c r="M3879" s="9">
        <f>IF($A3879="","",VALUE($A3879&amp;"")*12+VALUE($B3879&amp;""))</f>
        <v/>
      </c>
      <c r="N3879" s="39">
        <f>IF($A3879="","",IFERROR(INDEX(부서매핑!$C$5:$C$504,MATCH($G3879&amp;"",부서매핑!$A$5:$A$504,0)),"미매핑"))</f>
        <v/>
      </c>
      <c r="O3879" s="9">
        <f>IF($A3879="","",N3879&amp;"|"&amp;$F3879)</f>
        <v/>
      </c>
      <c r="P3879" s="77">
        <f>IF($A3879="",0,$H3879*설정!$C$23)</f>
        <v/>
      </c>
      <c r="Q3879" s="39">
        <f>IF($A3879="","",IF(O3879&lt;&gt;원인분석!$C$9,"",IF(AND(M3879&gt;=원인분석!$C$10,M3879&lt;=원인분석!$C$11),"당기",IF(AND(M3879&gt;=원인분석!$C$12,M3879&lt;=원인분석!$C$13),"비교",""))))</f>
        <v/>
      </c>
      <c r="R3879" s="9">
        <f>IF(Q3879="","",$K3879&amp;"")</f>
        <v/>
      </c>
      <c r="S3879" s="9">
        <f>IF(Q3879="","",IF(MATCH(R3879,$R$5:$R$100000,0)=ROW()-4,ROW(),""))</f>
        <v/>
      </c>
      <c r="T3879" s="9">
        <f>IF(Q3879="당기",ABS(P3879)+ROW()/1000000000,"")</f>
        <v/>
      </c>
      <c r="U3879" s="9">
        <f>IF(Q3879="비교",ABS(P3879)+ROW()/1000000000,"")</f>
        <v/>
      </c>
      <c r="V3879" s="39">
        <f>IF($A3879="","",IF(COUNTIF(변동분석!$E$7:$E$506,O3879)&gt;0,"Y","N"))</f>
        <v/>
      </c>
      <c r="W3879" s="39">
        <f>IF($A3879="","",IFERROR(INDEX(계정매핑!$D$5:$D$504,MATCH($F3879&amp;"",계정매핑!$A$5:$A$504,0)),"미매핑"))</f>
        <v/>
      </c>
      <c r="X3879" s="9">
        <f>IF($A3879="","",$F3879&amp;"")</f>
        <v/>
      </c>
    </row>
    <row r="3880">
      <c r="A3880" s="75" t="n">
        <v>2026</v>
      </c>
      <c r="B3880" s="75" t="n">
        <v>8</v>
      </c>
      <c r="C3880" s="75" t="inlineStr">
        <is>
          <t>5100001536</t>
        </is>
      </c>
      <c r="D3880" s="78" t="n">
        <v>46256</v>
      </c>
      <c r="E3880" s="75" t="inlineStr">
        <is>
          <t>KR</t>
        </is>
      </c>
      <c r="F3880" s="75" t="n">
        <v>62301000</v>
      </c>
      <c r="G3880" s="75" t="n">
        <v>1201</v>
      </c>
      <c r="H3880" s="76" t="n">
        <v>178000</v>
      </c>
      <c r="I3880" s="75" t="inlineStr">
        <is>
          <t>8월 소모품 구입 - Q오피스</t>
        </is>
      </c>
      <c r="J3880" s="75" t="inlineStr">
        <is>
          <t>V10003</t>
        </is>
      </c>
      <c r="K3880" s="75" t="inlineStr">
        <is>
          <t>Q오피스</t>
        </is>
      </c>
      <c r="M3880" s="9">
        <f>IF($A3880="","",VALUE($A3880&amp;"")*12+VALUE($B3880&amp;""))</f>
        <v/>
      </c>
      <c r="N3880" s="39">
        <f>IF($A3880="","",IFERROR(INDEX(부서매핑!$C$5:$C$504,MATCH($G3880&amp;"",부서매핑!$A$5:$A$504,0)),"미매핑"))</f>
        <v/>
      </c>
      <c r="O3880" s="9">
        <f>IF($A3880="","",N3880&amp;"|"&amp;$F3880)</f>
        <v/>
      </c>
      <c r="P3880" s="77">
        <f>IF($A3880="",0,$H3880*설정!$C$23)</f>
        <v/>
      </c>
      <c r="Q3880" s="39">
        <f>IF($A3880="","",IF(O3880&lt;&gt;원인분석!$C$9,"",IF(AND(M3880&gt;=원인분석!$C$10,M3880&lt;=원인분석!$C$11),"당기",IF(AND(M3880&gt;=원인분석!$C$12,M3880&lt;=원인분석!$C$13),"비교",""))))</f>
        <v/>
      </c>
      <c r="R3880" s="9">
        <f>IF(Q3880="","",$K3880&amp;"")</f>
        <v/>
      </c>
      <c r="S3880" s="9">
        <f>IF(Q3880="","",IF(MATCH(R3880,$R$5:$R$100000,0)=ROW()-4,ROW(),""))</f>
        <v/>
      </c>
      <c r="T3880" s="9">
        <f>IF(Q3880="당기",ABS(P3880)+ROW()/1000000000,"")</f>
        <v/>
      </c>
      <c r="U3880" s="9">
        <f>IF(Q3880="비교",ABS(P3880)+ROW()/1000000000,"")</f>
        <v/>
      </c>
      <c r="V3880" s="39">
        <f>IF($A3880="","",IF(COUNTIF(변동분석!$E$7:$E$506,O3880)&gt;0,"Y","N"))</f>
        <v/>
      </c>
      <c r="W3880" s="39">
        <f>IF($A3880="","",IFERROR(INDEX(계정매핑!$D$5:$D$504,MATCH($F3880&amp;"",계정매핑!$A$5:$A$504,0)),"미매핑"))</f>
        <v/>
      </c>
      <c r="X3880" s="9">
        <f>IF($A3880="","",$F3880&amp;"")</f>
        <v/>
      </c>
    </row>
    <row r="3881">
      <c r="A3881" s="75" t="n">
        <v>2026</v>
      </c>
      <c r="B3881" s="75" t="n">
        <v>8</v>
      </c>
      <c r="C3881" s="75" t="inlineStr">
        <is>
          <t>5100001537</t>
        </is>
      </c>
      <c r="D3881" s="78" t="n">
        <v>46256</v>
      </c>
      <c r="E3881" s="75" t="inlineStr">
        <is>
          <t>KR</t>
        </is>
      </c>
      <c r="F3881" s="75" t="n">
        <v>62301000</v>
      </c>
      <c r="G3881" s="75" t="n">
        <v>1401</v>
      </c>
      <c r="H3881" s="76" t="n">
        <v>126000</v>
      </c>
      <c r="I3881" s="75" t="inlineStr">
        <is>
          <t>8월 소모품 구입 - R문구</t>
        </is>
      </c>
      <c r="J3881" s="75" t="inlineStr">
        <is>
          <t>V10018</t>
        </is>
      </c>
      <c r="K3881" s="75" t="inlineStr">
        <is>
          <t>R문구</t>
        </is>
      </c>
      <c r="M3881" s="9">
        <f>IF($A3881="","",VALUE($A3881&amp;"")*12+VALUE($B3881&amp;""))</f>
        <v/>
      </c>
      <c r="N3881" s="39">
        <f>IF($A3881="","",IFERROR(INDEX(부서매핑!$C$5:$C$504,MATCH($G3881&amp;"",부서매핑!$A$5:$A$504,0)),"미매핑"))</f>
        <v/>
      </c>
      <c r="O3881" s="9">
        <f>IF($A3881="","",N3881&amp;"|"&amp;$F3881)</f>
        <v/>
      </c>
      <c r="P3881" s="77">
        <f>IF($A3881="",0,$H3881*설정!$C$23)</f>
        <v/>
      </c>
      <c r="Q3881" s="39">
        <f>IF($A3881="","",IF(O3881&lt;&gt;원인분석!$C$9,"",IF(AND(M3881&gt;=원인분석!$C$10,M3881&lt;=원인분석!$C$11),"당기",IF(AND(M3881&gt;=원인분석!$C$12,M3881&lt;=원인분석!$C$13),"비교",""))))</f>
        <v/>
      </c>
      <c r="R3881" s="9">
        <f>IF(Q3881="","",$K3881&amp;"")</f>
        <v/>
      </c>
      <c r="S3881" s="9">
        <f>IF(Q3881="","",IF(MATCH(R3881,$R$5:$R$100000,0)=ROW()-4,ROW(),""))</f>
        <v/>
      </c>
      <c r="T3881" s="9">
        <f>IF(Q3881="당기",ABS(P3881)+ROW()/1000000000,"")</f>
        <v/>
      </c>
      <c r="U3881" s="9">
        <f>IF(Q3881="비교",ABS(P3881)+ROW()/1000000000,"")</f>
        <v/>
      </c>
      <c r="V3881" s="39">
        <f>IF($A3881="","",IF(COUNTIF(변동분석!$E$7:$E$506,O3881)&gt;0,"Y","N"))</f>
        <v/>
      </c>
      <c r="W3881" s="39">
        <f>IF($A3881="","",IFERROR(INDEX(계정매핑!$D$5:$D$504,MATCH($F3881&amp;"",계정매핑!$A$5:$A$504,0)),"미매핑"))</f>
        <v/>
      </c>
      <c r="X3881" s="9">
        <f>IF($A3881="","",$F3881&amp;"")</f>
        <v/>
      </c>
    </row>
    <row r="3882">
      <c r="A3882" s="75" t="n">
        <v>2026</v>
      </c>
      <c r="B3882" s="75" t="n">
        <v>8</v>
      </c>
      <c r="C3882" s="75" t="inlineStr">
        <is>
          <t>5100001538</t>
        </is>
      </c>
      <c r="D3882" s="78" t="n">
        <v>46256</v>
      </c>
      <c r="E3882" s="75" t="inlineStr">
        <is>
          <t>KR</t>
        </is>
      </c>
      <c r="F3882" s="75" t="n">
        <v>62301000</v>
      </c>
      <c r="G3882" s="75" t="n">
        <v>1801</v>
      </c>
      <c r="H3882" s="76" t="n">
        <v>287000</v>
      </c>
      <c r="I3882" s="75" t="inlineStr">
        <is>
          <t>8월 소모품 구입 - R문구</t>
        </is>
      </c>
      <c r="J3882" s="75" t="inlineStr">
        <is>
          <t>V10018</t>
        </is>
      </c>
      <c r="K3882" s="75" t="inlineStr">
        <is>
          <t>R문구</t>
        </is>
      </c>
      <c r="M3882" s="9">
        <f>IF($A3882="","",VALUE($A3882&amp;"")*12+VALUE($B3882&amp;""))</f>
        <v/>
      </c>
      <c r="N3882" s="39">
        <f>IF($A3882="","",IFERROR(INDEX(부서매핑!$C$5:$C$504,MATCH($G3882&amp;"",부서매핑!$A$5:$A$504,0)),"미매핑"))</f>
        <v/>
      </c>
      <c r="O3882" s="9">
        <f>IF($A3882="","",N3882&amp;"|"&amp;$F3882)</f>
        <v/>
      </c>
      <c r="P3882" s="77">
        <f>IF($A3882="",0,$H3882*설정!$C$23)</f>
        <v/>
      </c>
      <c r="Q3882" s="39">
        <f>IF($A3882="","",IF(O3882&lt;&gt;원인분석!$C$9,"",IF(AND(M3882&gt;=원인분석!$C$10,M3882&lt;=원인분석!$C$11),"당기",IF(AND(M3882&gt;=원인분석!$C$12,M3882&lt;=원인분석!$C$13),"비교",""))))</f>
        <v/>
      </c>
      <c r="R3882" s="9">
        <f>IF(Q3882="","",$K3882&amp;"")</f>
        <v/>
      </c>
      <c r="S3882" s="9">
        <f>IF(Q3882="","",IF(MATCH(R3882,$R$5:$R$100000,0)=ROW()-4,ROW(),""))</f>
        <v/>
      </c>
      <c r="T3882" s="9">
        <f>IF(Q3882="당기",ABS(P3882)+ROW()/1000000000,"")</f>
        <v/>
      </c>
      <c r="U3882" s="9">
        <f>IF(Q3882="비교",ABS(P3882)+ROW()/1000000000,"")</f>
        <v/>
      </c>
      <c r="V3882" s="39">
        <f>IF($A3882="","",IF(COUNTIF(변동분석!$E$7:$E$506,O3882)&gt;0,"Y","N"))</f>
        <v/>
      </c>
      <c r="W3882" s="39">
        <f>IF($A3882="","",IFERROR(INDEX(계정매핑!$D$5:$D$504,MATCH($F3882&amp;"",계정매핑!$A$5:$A$504,0)),"미매핑"))</f>
        <v/>
      </c>
      <c r="X3882" s="9">
        <f>IF($A3882="","",$F3882&amp;"")</f>
        <v/>
      </c>
    </row>
    <row r="3883">
      <c r="A3883" s="75" t="n">
        <v>2026</v>
      </c>
      <c r="B3883" s="75" t="n">
        <v>8</v>
      </c>
      <c r="C3883" s="75" t="inlineStr">
        <is>
          <t>5100001539</t>
        </is>
      </c>
      <c r="D3883" s="78" t="n">
        <v>46256</v>
      </c>
      <c r="E3883" s="75" t="inlineStr">
        <is>
          <t>KR</t>
        </is>
      </c>
      <c r="F3883" s="75" t="n">
        <v>62501000</v>
      </c>
      <c r="G3883" s="75" t="n">
        <v>1301</v>
      </c>
      <c r="H3883" s="76" t="n">
        <v>448000</v>
      </c>
      <c r="I3883" s="75" t="inlineStr">
        <is>
          <t>8월 회의 다과 - (법인카드)</t>
        </is>
      </c>
      <c r="J3883" s="75" t="inlineStr">
        <is>
          <t>V10008</t>
        </is>
      </c>
      <c r="K3883" s="75" t="inlineStr">
        <is>
          <t>(법인카드)</t>
        </is>
      </c>
      <c r="M3883" s="9">
        <f>IF($A3883="","",VALUE($A3883&amp;"")*12+VALUE($B3883&amp;""))</f>
        <v/>
      </c>
      <c r="N3883" s="39">
        <f>IF($A3883="","",IFERROR(INDEX(부서매핑!$C$5:$C$504,MATCH($G3883&amp;"",부서매핑!$A$5:$A$504,0)),"미매핑"))</f>
        <v/>
      </c>
      <c r="O3883" s="9">
        <f>IF($A3883="","",N3883&amp;"|"&amp;$F3883)</f>
        <v/>
      </c>
      <c r="P3883" s="77">
        <f>IF($A3883="",0,$H3883*설정!$C$23)</f>
        <v/>
      </c>
      <c r="Q3883" s="39">
        <f>IF($A3883="","",IF(O3883&lt;&gt;원인분석!$C$9,"",IF(AND(M3883&gt;=원인분석!$C$10,M3883&lt;=원인분석!$C$11),"당기",IF(AND(M3883&gt;=원인분석!$C$12,M3883&lt;=원인분석!$C$13),"비교",""))))</f>
        <v/>
      </c>
      <c r="R3883" s="9">
        <f>IF(Q3883="","",$K3883&amp;"")</f>
        <v/>
      </c>
      <c r="S3883" s="9">
        <f>IF(Q3883="","",IF(MATCH(R3883,$R$5:$R$100000,0)=ROW()-4,ROW(),""))</f>
        <v/>
      </c>
      <c r="T3883" s="9">
        <f>IF(Q3883="당기",ABS(P3883)+ROW()/1000000000,"")</f>
        <v/>
      </c>
      <c r="U3883" s="9">
        <f>IF(Q3883="비교",ABS(P3883)+ROW()/1000000000,"")</f>
        <v/>
      </c>
      <c r="V3883" s="39">
        <f>IF($A3883="","",IF(COUNTIF(변동분석!$E$7:$E$506,O3883)&gt;0,"Y","N"))</f>
        <v/>
      </c>
      <c r="W3883" s="39">
        <f>IF($A3883="","",IFERROR(INDEX(계정매핑!$D$5:$D$504,MATCH($F3883&amp;"",계정매핑!$A$5:$A$504,0)),"미매핑"))</f>
        <v/>
      </c>
      <c r="X3883" s="9">
        <f>IF($A3883="","",$F3883&amp;"")</f>
        <v/>
      </c>
    </row>
    <row r="3884">
      <c r="A3884" s="75" t="n">
        <v>2026</v>
      </c>
      <c r="B3884" s="75" t="n">
        <v>8</v>
      </c>
      <c r="C3884" s="75" t="inlineStr">
        <is>
          <t>5100001540</t>
        </is>
      </c>
      <c r="D3884" s="78" t="n">
        <v>46256</v>
      </c>
      <c r="E3884" s="75" t="inlineStr">
        <is>
          <t>KR</t>
        </is>
      </c>
      <c r="F3884" s="75" t="n">
        <v>62501000</v>
      </c>
      <c r="G3884" s="75" t="n">
        <v>1701</v>
      </c>
      <c r="H3884" s="76" t="n">
        <v>114000</v>
      </c>
      <c r="I3884" s="75" t="inlineStr">
        <is>
          <t>8월 회의 다과 - (법인카드)</t>
        </is>
      </c>
      <c r="J3884" s="75" t="inlineStr">
        <is>
          <t>V10008</t>
        </is>
      </c>
      <c r="K3884" s="75" t="inlineStr">
        <is>
          <t>(법인카드)</t>
        </is>
      </c>
      <c r="M3884" s="9">
        <f>IF($A3884="","",VALUE($A3884&amp;"")*12+VALUE($B3884&amp;""))</f>
        <v/>
      </c>
      <c r="N3884" s="39">
        <f>IF($A3884="","",IFERROR(INDEX(부서매핑!$C$5:$C$504,MATCH($G3884&amp;"",부서매핑!$A$5:$A$504,0)),"미매핑"))</f>
        <v/>
      </c>
      <c r="O3884" s="9">
        <f>IF($A3884="","",N3884&amp;"|"&amp;$F3884)</f>
        <v/>
      </c>
      <c r="P3884" s="77">
        <f>IF($A3884="",0,$H3884*설정!$C$23)</f>
        <v/>
      </c>
      <c r="Q3884" s="39">
        <f>IF($A3884="","",IF(O3884&lt;&gt;원인분석!$C$9,"",IF(AND(M3884&gt;=원인분석!$C$10,M3884&lt;=원인분석!$C$11),"당기",IF(AND(M3884&gt;=원인분석!$C$12,M3884&lt;=원인분석!$C$13),"비교",""))))</f>
        <v/>
      </c>
      <c r="R3884" s="9">
        <f>IF(Q3884="","",$K3884&amp;"")</f>
        <v/>
      </c>
      <c r="S3884" s="9">
        <f>IF(Q3884="","",IF(MATCH(R3884,$R$5:$R$100000,0)=ROW()-4,ROW(),""))</f>
        <v/>
      </c>
      <c r="T3884" s="9">
        <f>IF(Q3884="당기",ABS(P3884)+ROW()/1000000000,"")</f>
        <v/>
      </c>
      <c r="U3884" s="9">
        <f>IF(Q3884="비교",ABS(P3884)+ROW()/1000000000,"")</f>
        <v/>
      </c>
      <c r="V3884" s="39">
        <f>IF($A3884="","",IF(COUNTIF(변동분석!$E$7:$E$506,O3884)&gt;0,"Y","N"))</f>
        <v/>
      </c>
      <c r="W3884" s="39">
        <f>IF($A3884="","",IFERROR(INDEX(계정매핑!$D$5:$D$504,MATCH($F3884&amp;"",계정매핑!$A$5:$A$504,0)),"미매핑"))</f>
        <v/>
      </c>
      <c r="X3884" s="9">
        <f>IF($A3884="","",$F3884&amp;"")</f>
        <v/>
      </c>
    </row>
    <row r="3885">
      <c r="A3885" s="75" t="n">
        <v>2026</v>
      </c>
      <c r="B3885" s="75" t="n">
        <v>8</v>
      </c>
      <c r="C3885" s="75" t="inlineStr">
        <is>
          <t>5100001541</t>
        </is>
      </c>
      <c r="D3885" s="78" t="n">
        <v>46256</v>
      </c>
      <c r="E3885" s="75" t="inlineStr">
        <is>
          <t>KR</t>
        </is>
      </c>
      <c r="F3885" s="75" t="n">
        <v>62802000</v>
      </c>
      <c r="G3885" s="75" t="n">
        <v>1301</v>
      </c>
      <c r="H3885" s="76" t="n">
        <v>4975000</v>
      </c>
      <c r="I3885" s="75" t="inlineStr">
        <is>
          <t>8월 위탁교육 - I교육원</t>
        </is>
      </c>
      <c r="J3885" s="75" t="inlineStr">
        <is>
          <t>V10015</t>
        </is>
      </c>
      <c r="K3885" s="75" t="inlineStr">
        <is>
          <t>I교육원</t>
        </is>
      </c>
      <c r="M3885" s="9">
        <f>IF($A3885="","",VALUE($A3885&amp;"")*12+VALUE($B3885&amp;""))</f>
        <v/>
      </c>
      <c r="N3885" s="39">
        <f>IF($A3885="","",IFERROR(INDEX(부서매핑!$C$5:$C$504,MATCH($G3885&amp;"",부서매핑!$A$5:$A$504,0)),"미매핑"))</f>
        <v/>
      </c>
      <c r="O3885" s="9">
        <f>IF($A3885="","",N3885&amp;"|"&amp;$F3885)</f>
        <v/>
      </c>
      <c r="P3885" s="77">
        <f>IF($A3885="",0,$H3885*설정!$C$23)</f>
        <v/>
      </c>
      <c r="Q3885" s="39">
        <f>IF($A3885="","",IF(O3885&lt;&gt;원인분석!$C$9,"",IF(AND(M3885&gt;=원인분석!$C$10,M3885&lt;=원인분석!$C$11),"당기",IF(AND(M3885&gt;=원인분석!$C$12,M3885&lt;=원인분석!$C$13),"비교",""))))</f>
        <v/>
      </c>
      <c r="R3885" s="9">
        <f>IF(Q3885="","",$K3885&amp;"")</f>
        <v/>
      </c>
      <c r="S3885" s="9">
        <f>IF(Q3885="","",IF(MATCH(R3885,$R$5:$R$100000,0)=ROW()-4,ROW(),""))</f>
        <v/>
      </c>
      <c r="T3885" s="9">
        <f>IF(Q3885="당기",ABS(P3885)+ROW()/1000000000,"")</f>
        <v/>
      </c>
      <c r="U3885" s="9">
        <f>IF(Q3885="비교",ABS(P3885)+ROW()/1000000000,"")</f>
        <v/>
      </c>
      <c r="V3885" s="39">
        <f>IF($A3885="","",IF(COUNTIF(변동분석!$E$7:$E$506,O3885)&gt;0,"Y","N"))</f>
        <v/>
      </c>
      <c r="W3885" s="39">
        <f>IF($A3885="","",IFERROR(INDEX(계정매핑!$D$5:$D$504,MATCH($F3885&amp;"",계정매핑!$A$5:$A$504,0)),"미매핑"))</f>
        <v/>
      </c>
      <c r="X3885" s="9">
        <f>IF($A3885="","",$F3885&amp;"")</f>
        <v/>
      </c>
    </row>
    <row r="3886">
      <c r="A3886" s="75" t="n">
        <v>2026</v>
      </c>
      <c r="B3886" s="75" t="n">
        <v>8</v>
      </c>
      <c r="C3886" s="75" t="inlineStr">
        <is>
          <t>5100001542</t>
        </is>
      </c>
      <c r="D3886" s="78" t="n">
        <v>46256</v>
      </c>
      <c r="E3886" s="75" t="inlineStr">
        <is>
          <t>KR</t>
        </is>
      </c>
      <c r="F3886" s="75" t="n">
        <v>62902000</v>
      </c>
      <c r="G3886" s="75" t="n">
        <v>1101</v>
      </c>
      <c r="H3886" s="76" t="n">
        <v>1353000</v>
      </c>
      <c r="I3886" s="75" t="inlineStr">
        <is>
          <t>8월 업무 위탁 수수료 - X서비스</t>
        </is>
      </c>
      <c r="J3886" s="75" t="inlineStr">
        <is>
          <t>V10016</t>
        </is>
      </c>
      <c r="K3886" s="75" t="inlineStr">
        <is>
          <t>X서비스</t>
        </is>
      </c>
      <c r="M3886" s="9">
        <f>IF($A3886="","",VALUE($A3886&amp;"")*12+VALUE($B3886&amp;""))</f>
        <v/>
      </c>
      <c r="N3886" s="39">
        <f>IF($A3886="","",IFERROR(INDEX(부서매핑!$C$5:$C$504,MATCH($G3886&amp;"",부서매핑!$A$5:$A$504,0)),"미매핑"))</f>
        <v/>
      </c>
      <c r="O3886" s="9">
        <f>IF($A3886="","",N3886&amp;"|"&amp;$F3886)</f>
        <v/>
      </c>
      <c r="P3886" s="77">
        <f>IF($A3886="",0,$H3886*설정!$C$23)</f>
        <v/>
      </c>
      <c r="Q3886" s="39">
        <f>IF($A3886="","",IF(O3886&lt;&gt;원인분석!$C$9,"",IF(AND(M3886&gt;=원인분석!$C$10,M3886&lt;=원인분석!$C$11),"당기",IF(AND(M3886&gt;=원인분석!$C$12,M3886&lt;=원인분석!$C$13),"비교",""))))</f>
        <v/>
      </c>
      <c r="R3886" s="9">
        <f>IF(Q3886="","",$K3886&amp;"")</f>
        <v/>
      </c>
      <c r="S3886" s="9">
        <f>IF(Q3886="","",IF(MATCH(R3886,$R$5:$R$100000,0)=ROW()-4,ROW(),""))</f>
        <v/>
      </c>
      <c r="T3886" s="9">
        <f>IF(Q3886="당기",ABS(P3886)+ROW()/1000000000,"")</f>
        <v/>
      </c>
      <c r="U3886" s="9">
        <f>IF(Q3886="비교",ABS(P3886)+ROW()/1000000000,"")</f>
        <v/>
      </c>
      <c r="V3886" s="39">
        <f>IF($A3886="","",IF(COUNTIF(변동분석!$E$7:$E$506,O3886)&gt;0,"Y","N"))</f>
        <v/>
      </c>
      <c r="W3886" s="39">
        <f>IF($A3886="","",IFERROR(INDEX(계정매핑!$D$5:$D$504,MATCH($F3886&amp;"",계정매핑!$A$5:$A$504,0)),"미매핑"))</f>
        <v/>
      </c>
      <c r="X3886" s="9">
        <f>IF($A3886="","",$F3886&amp;"")</f>
        <v/>
      </c>
    </row>
    <row r="3887">
      <c r="A3887" s="75" t="n">
        <v>2026</v>
      </c>
      <c r="B3887" s="75" t="n">
        <v>8</v>
      </c>
      <c r="C3887" s="75" t="inlineStr">
        <is>
          <t>5100001543</t>
        </is>
      </c>
      <c r="D3887" s="78" t="n">
        <v>46256</v>
      </c>
      <c r="E3887" s="75" t="inlineStr">
        <is>
          <t>KR</t>
        </is>
      </c>
      <c r="F3887" s="75" t="n">
        <v>62902000</v>
      </c>
      <c r="G3887" s="75" t="n">
        <v>1801</v>
      </c>
      <c r="H3887" s="76" t="n">
        <v>1764000</v>
      </c>
      <c r="I3887" s="75" t="inlineStr">
        <is>
          <t>8월 콜 위탁 수수료(건별)</t>
        </is>
      </c>
      <c r="J3887" s="75" t="inlineStr">
        <is>
          <t>V10013</t>
        </is>
      </c>
      <c r="K3887" s="75" t="inlineStr">
        <is>
          <t>J콜센터</t>
        </is>
      </c>
      <c r="M3887" s="9">
        <f>IF($A3887="","",VALUE($A3887&amp;"")*12+VALUE($B3887&amp;""))</f>
        <v/>
      </c>
      <c r="N3887" s="39">
        <f>IF($A3887="","",IFERROR(INDEX(부서매핑!$C$5:$C$504,MATCH($G3887&amp;"",부서매핑!$A$5:$A$504,0)),"미매핑"))</f>
        <v/>
      </c>
      <c r="O3887" s="9">
        <f>IF($A3887="","",N3887&amp;"|"&amp;$F3887)</f>
        <v/>
      </c>
      <c r="P3887" s="77">
        <f>IF($A3887="",0,$H3887*설정!$C$23)</f>
        <v/>
      </c>
      <c r="Q3887" s="39">
        <f>IF($A3887="","",IF(O3887&lt;&gt;원인분석!$C$9,"",IF(AND(M3887&gt;=원인분석!$C$10,M3887&lt;=원인분석!$C$11),"당기",IF(AND(M3887&gt;=원인분석!$C$12,M3887&lt;=원인분석!$C$13),"비교",""))))</f>
        <v/>
      </c>
      <c r="R3887" s="9">
        <f>IF(Q3887="","",$K3887&amp;"")</f>
        <v/>
      </c>
      <c r="S3887" s="9">
        <f>IF(Q3887="","",IF(MATCH(R3887,$R$5:$R$100000,0)=ROW()-4,ROW(),""))</f>
        <v/>
      </c>
      <c r="T3887" s="9">
        <f>IF(Q3887="당기",ABS(P3887)+ROW()/1000000000,"")</f>
        <v/>
      </c>
      <c r="U3887" s="9">
        <f>IF(Q3887="비교",ABS(P3887)+ROW()/1000000000,"")</f>
        <v/>
      </c>
      <c r="V3887" s="39">
        <f>IF($A3887="","",IF(COUNTIF(변동분석!$E$7:$E$506,O3887)&gt;0,"Y","N"))</f>
        <v/>
      </c>
      <c r="W3887" s="39">
        <f>IF($A3887="","",IFERROR(INDEX(계정매핑!$D$5:$D$504,MATCH($F3887&amp;"",계정매핑!$A$5:$A$504,0)),"미매핑"))</f>
        <v/>
      </c>
      <c r="X3887" s="9">
        <f>IF($A3887="","",$F3887&amp;"")</f>
        <v/>
      </c>
    </row>
    <row r="3888">
      <c r="A3888" s="75" t="n">
        <v>2026</v>
      </c>
      <c r="B3888" s="75" t="n">
        <v>8</v>
      </c>
      <c r="C3888" s="75" t="inlineStr">
        <is>
          <t>5100001544</t>
        </is>
      </c>
      <c r="D3888" s="78" t="n">
        <v>46257</v>
      </c>
      <c r="E3888" s="75" t="inlineStr">
        <is>
          <t>KR</t>
        </is>
      </c>
      <c r="F3888" s="75" t="n">
        <v>62101000</v>
      </c>
      <c r="G3888" s="75" t="n">
        <v>1201</v>
      </c>
      <c r="H3888" s="76" t="n">
        <v>167000</v>
      </c>
      <c r="I3888" s="75" t="inlineStr">
        <is>
          <t>8월 국내출장 - (법인카드)</t>
        </is>
      </c>
      <c r="J3888" s="75" t="inlineStr">
        <is>
          <t>V10008</t>
        </is>
      </c>
      <c r="K3888" s="75" t="inlineStr">
        <is>
          <t>(법인카드)</t>
        </is>
      </c>
      <c r="M3888" s="9">
        <f>IF($A3888="","",VALUE($A3888&amp;"")*12+VALUE($B3888&amp;""))</f>
        <v/>
      </c>
      <c r="N3888" s="39">
        <f>IF($A3888="","",IFERROR(INDEX(부서매핑!$C$5:$C$504,MATCH($G3888&amp;"",부서매핑!$A$5:$A$504,0)),"미매핑"))</f>
        <v/>
      </c>
      <c r="O3888" s="9">
        <f>IF($A3888="","",N3888&amp;"|"&amp;$F3888)</f>
        <v/>
      </c>
      <c r="P3888" s="77">
        <f>IF($A3888="",0,$H3888*설정!$C$23)</f>
        <v/>
      </c>
      <c r="Q3888" s="39">
        <f>IF($A3888="","",IF(O3888&lt;&gt;원인분석!$C$9,"",IF(AND(M3888&gt;=원인분석!$C$10,M3888&lt;=원인분석!$C$11),"당기",IF(AND(M3888&gt;=원인분석!$C$12,M3888&lt;=원인분석!$C$13),"비교",""))))</f>
        <v/>
      </c>
      <c r="R3888" s="9">
        <f>IF(Q3888="","",$K3888&amp;"")</f>
        <v/>
      </c>
      <c r="S3888" s="9">
        <f>IF(Q3888="","",IF(MATCH(R3888,$R$5:$R$100000,0)=ROW()-4,ROW(),""))</f>
        <v/>
      </c>
      <c r="T3888" s="9">
        <f>IF(Q3888="당기",ABS(P3888)+ROW()/1000000000,"")</f>
        <v/>
      </c>
      <c r="U3888" s="9">
        <f>IF(Q3888="비교",ABS(P3888)+ROW()/1000000000,"")</f>
        <v/>
      </c>
      <c r="V3888" s="39">
        <f>IF($A3888="","",IF(COUNTIF(변동분석!$E$7:$E$506,O3888)&gt;0,"Y","N"))</f>
        <v/>
      </c>
      <c r="W3888" s="39">
        <f>IF($A3888="","",IFERROR(INDEX(계정매핑!$D$5:$D$504,MATCH($F3888&amp;"",계정매핑!$A$5:$A$504,0)),"미매핑"))</f>
        <v/>
      </c>
      <c r="X3888" s="9">
        <f>IF($A3888="","",$F3888&amp;"")</f>
        <v/>
      </c>
    </row>
    <row r="3889">
      <c r="A3889" s="75" t="n">
        <v>2026</v>
      </c>
      <c r="B3889" s="75" t="n">
        <v>8</v>
      </c>
      <c r="C3889" s="75" t="inlineStr">
        <is>
          <t>5100001545</t>
        </is>
      </c>
      <c r="D3889" s="78" t="n">
        <v>46257</v>
      </c>
      <c r="E3889" s="75" t="inlineStr">
        <is>
          <t>KR</t>
        </is>
      </c>
      <c r="F3889" s="75" t="n">
        <v>62102000</v>
      </c>
      <c r="G3889" s="75" t="n">
        <v>1201</v>
      </c>
      <c r="H3889" s="76" t="n">
        <v>83000</v>
      </c>
      <c r="I3889" s="75" t="inlineStr">
        <is>
          <t>8월 해외출장 - M항공</t>
        </is>
      </c>
      <c r="J3889" s="75" t="inlineStr">
        <is>
          <t>V10001</t>
        </is>
      </c>
      <c r="K3889" s="75" t="inlineStr">
        <is>
          <t>M항공</t>
        </is>
      </c>
      <c r="M3889" s="9">
        <f>IF($A3889="","",VALUE($A3889&amp;"")*12+VALUE($B3889&amp;""))</f>
        <v/>
      </c>
      <c r="N3889" s="39">
        <f>IF($A3889="","",IFERROR(INDEX(부서매핑!$C$5:$C$504,MATCH($G3889&amp;"",부서매핑!$A$5:$A$504,0)),"미매핑"))</f>
        <v/>
      </c>
      <c r="O3889" s="9">
        <f>IF($A3889="","",N3889&amp;"|"&amp;$F3889)</f>
        <v/>
      </c>
      <c r="P3889" s="77">
        <f>IF($A3889="",0,$H3889*설정!$C$23)</f>
        <v/>
      </c>
      <c r="Q3889" s="39">
        <f>IF($A3889="","",IF(O3889&lt;&gt;원인분석!$C$9,"",IF(AND(M3889&gt;=원인분석!$C$10,M3889&lt;=원인분석!$C$11),"당기",IF(AND(M3889&gt;=원인분석!$C$12,M3889&lt;=원인분석!$C$13),"비교",""))))</f>
        <v/>
      </c>
      <c r="R3889" s="9">
        <f>IF(Q3889="","",$K3889&amp;"")</f>
        <v/>
      </c>
      <c r="S3889" s="9">
        <f>IF(Q3889="","",IF(MATCH(R3889,$R$5:$R$100000,0)=ROW()-4,ROW(),""))</f>
        <v/>
      </c>
      <c r="T3889" s="9">
        <f>IF(Q3889="당기",ABS(P3889)+ROW()/1000000000,"")</f>
        <v/>
      </c>
      <c r="U3889" s="9">
        <f>IF(Q3889="비교",ABS(P3889)+ROW()/1000000000,"")</f>
        <v/>
      </c>
      <c r="V3889" s="39">
        <f>IF($A3889="","",IF(COUNTIF(변동분석!$E$7:$E$506,O3889)&gt;0,"Y","N"))</f>
        <v/>
      </c>
      <c r="W3889" s="39">
        <f>IF($A3889="","",IFERROR(INDEX(계정매핑!$D$5:$D$504,MATCH($F3889&amp;"",계정매핑!$A$5:$A$504,0)),"미매핑"))</f>
        <v/>
      </c>
      <c r="X3889" s="9">
        <f>IF($A3889="","",$F3889&amp;"")</f>
        <v/>
      </c>
    </row>
    <row r="3890">
      <c r="A3890" s="75" t="n">
        <v>2026</v>
      </c>
      <c r="B3890" s="75" t="n">
        <v>8</v>
      </c>
      <c r="C3890" s="75" t="inlineStr">
        <is>
          <t>5100001546</t>
        </is>
      </c>
      <c r="D3890" s="78" t="n">
        <v>46257</v>
      </c>
      <c r="E3890" s="75" t="inlineStr">
        <is>
          <t>KR</t>
        </is>
      </c>
      <c r="F3890" s="75" t="n">
        <v>62102000</v>
      </c>
      <c r="G3890" s="75" t="n">
        <v>1501</v>
      </c>
      <c r="H3890" s="76" t="n">
        <v>94000</v>
      </c>
      <c r="I3890" s="75" t="inlineStr">
        <is>
          <t>8월 해외출장 - N호텔</t>
        </is>
      </c>
      <c r="J3890" s="75" t="inlineStr">
        <is>
          <t>V10007</t>
        </is>
      </c>
      <c r="K3890" s="75" t="inlineStr">
        <is>
          <t>N호텔</t>
        </is>
      </c>
      <c r="M3890" s="9">
        <f>IF($A3890="","",VALUE($A3890&amp;"")*12+VALUE($B3890&amp;""))</f>
        <v/>
      </c>
      <c r="N3890" s="39">
        <f>IF($A3890="","",IFERROR(INDEX(부서매핑!$C$5:$C$504,MATCH($G3890&amp;"",부서매핑!$A$5:$A$504,0)),"미매핑"))</f>
        <v/>
      </c>
      <c r="O3890" s="9">
        <f>IF($A3890="","",N3890&amp;"|"&amp;$F3890)</f>
        <v/>
      </c>
      <c r="P3890" s="77">
        <f>IF($A3890="",0,$H3890*설정!$C$23)</f>
        <v/>
      </c>
      <c r="Q3890" s="39">
        <f>IF($A3890="","",IF(O3890&lt;&gt;원인분석!$C$9,"",IF(AND(M3890&gt;=원인분석!$C$10,M3890&lt;=원인분석!$C$11),"당기",IF(AND(M3890&gt;=원인분석!$C$12,M3890&lt;=원인분석!$C$13),"비교",""))))</f>
        <v/>
      </c>
      <c r="R3890" s="9">
        <f>IF(Q3890="","",$K3890&amp;"")</f>
        <v/>
      </c>
      <c r="S3890" s="9">
        <f>IF(Q3890="","",IF(MATCH(R3890,$R$5:$R$100000,0)=ROW()-4,ROW(),""))</f>
        <v/>
      </c>
      <c r="T3890" s="9">
        <f>IF(Q3890="당기",ABS(P3890)+ROW()/1000000000,"")</f>
        <v/>
      </c>
      <c r="U3890" s="9">
        <f>IF(Q3890="비교",ABS(P3890)+ROW()/1000000000,"")</f>
        <v/>
      </c>
      <c r="V3890" s="39">
        <f>IF($A3890="","",IF(COUNTIF(변동분석!$E$7:$E$506,O3890)&gt;0,"Y","N"))</f>
        <v/>
      </c>
      <c r="W3890" s="39">
        <f>IF($A3890="","",IFERROR(INDEX(계정매핑!$D$5:$D$504,MATCH($F3890&amp;"",계정매핑!$A$5:$A$504,0)),"미매핑"))</f>
        <v/>
      </c>
      <c r="X3890" s="9">
        <f>IF($A3890="","",$F3890&amp;"")</f>
        <v/>
      </c>
    </row>
    <row r="3891">
      <c r="A3891" s="75" t="n">
        <v>2026</v>
      </c>
      <c r="B3891" s="75" t="n">
        <v>8</v>
      </c>
      <c r="C3891" s="75" t="inlineStr">
        <is>
          <t>5100001547</t>
        </is>
      </c>
      <c r="D3891" s="78" t="n">
        <v>46257</v>
      </c>
      <c r="E3891" s="75" t="inlineStr">
        <is>
          <t>KR</t>
        </is>
      </c>
      <c r="F3891" s="75" t="n">
        <v>62102000</v>
      </c>
      <c r="G3891" s="75" t="n">
        <v>1602</v>
      </c>
      <c r="H3891" s="76" t="n">
        <v>280000</v>
      </c>
      <c r="I3891" s="75" t="inlineStr">
        <is>
          <t>8월 해외출장 - N호텔</t>
        </is>
      </c>
      <c r="J3891" s="75" t="inlineStr">
        <is>
          <t>V10007</t>
        </is>
      </c>
      <c r="K3891" s="75" t="inlineStr">
        <is>
          <t>N호텔</t>
        </is>
      </c>
      <c r="M3891" s="9">
        <f>IF($A3891="","",VALUE($A3891&amp;"")*12+VALUE($B3891&amp;""))</f>
        <v/>
      </c>
      <c r="N3891" s="39">
        <f>IF($A3891="","",IFERROR(INDEX(부서매핑!$C$5:$C$504,MATCH($G3891&amp;"",부서매핑!$A$5:$A$504,0)),"미매핑"))</f>
        <v/>
      </c>
      <c r="O3891" s="9">
        <f>IF($A3891="","",N3891&amp;"|"&amp;$F3891)</f>
        <v/>
      </c>
      <c r="P3891" s="77">
        <f>IF($A3891="",0,$H3891*설정!$C$23)</f>
        <v/>
      </c>
      <c r="Q3891" s="39">
        <f>IF($A3891="","",IF(O3891&lt;&gt;원인분석!$C$9,"",IF(AND(M3891&gt;=원인분석!$C$10,M3891&lt;=원인분석!$C$11),"당기",IF(AND(M3891&gt;=원인분석!$C$12,M3891&lt;=원인분석!$C$13),"비교",""))))</f>
        <v/>
      </c>
      <c r="R3891" s="9">
        <f>IF(Q3891="","",$K3891&amp;"")</f>
        <v/>
      </c>
      <c r="S3891" s="9">
        <f>IF(Q3891="","",IF(MATCH(R3891,$R$5:$R$100000,0)=ROW()-4,ROW(),""))</f>
        <v/>
      </c>
      <c r="T3891" s="9">
        <f>IF(Q3891="당기",ABS(P3891)+ROW()/1000000000,"")</f>
        <v/>
      </c>
      <c r="U3891" s="9">
        <f>IF(Q3891="비교",ABS(P3891)+ROW()/1000000000,"")</f>
        <v/>
      </c>
      <c r="V3891" s="39">
        <f>IF($A3891="","",IF(COUNTIF(변동분석!$E$7:$E$506,O3891)&gt;0,"Y","N"))</f>
        <v/>
      </c>
      <c r="W3891" s="39">
        <f>IF($A3891="","",IFERROR(INDEX(계정매핑!$D$5:$D$504,MATCH($F3891&amp;"",계정매핑!$A$5:$A$504,0)),"미매핑"))</f>
        <v/>
      </c>
      <c r="X3891" s="9">
        <f>IF($A3891="","",$F3891&amp;"")</f>
        <v/>
      </c>
    </row>
    <row r="3892">
      <c r="A3892" s="75" t="n">
        <v>2026</v>
      </c>
      <c r="B3892" s="75" t="n">
        <v>8</v>
      </c>
      <c r="C3892" s="75" t="inlineStr">
        <is>
          <t>5100001548</t>
        </is>
      </c>
      <c r="D3892" s="78" t="n">
        <v>46257</v>
      </c>
      <c r="E3892" s="75" t="inlineStr">
        <is>
          <t>KR</t>
        </is>
      </c>
      <c r="F3892" s="75" t="n">
        <v>62501000</v>
      </c>
      <c r="G3892" s="75" t="n">
        <v>1801</v>
      </c>
      <c r="H3892" s="76" t="n">
        <v>184000</v>
      </c>
      <c r="I3892" s="75" t="inlineStr">
        <is>
          <t>8월 회의 다과 - (법인카드)</t>
        </is>
      </c>
      <c r="J3892" s="75" t="inlineStr">
        <is>
          <t>V10008</t>
        </is>
      </c>
      <c r="K3892" s="75" t="inlineStr">
        <is>
          <t>(법인카드)</t>
        </is>
      </c>
      <c r="M3892" s="9">
        <f>IF($A3892="","",VALUE($A3892&amp;"")*12+VALUE($B3892&amp;""))</f>
        <v/>
      </c>
      <c r="N3892" s="39">
        <f>IF($A3892="","",IFERROR(INDEX(부서매핑!$C$5:$C$504,MATCH($G3892&amp;"",부서매핑!$A$5:$A$504,0)),"미매핑"))</f>
        <v/>
      </c>
      <c r="O3892" s="9">
        <f>IF($A3892="","",N3892&amp;"|"&amp;$F3892)</f>
        <v/>
      </c>
      <c r="P3892" s="77">
        <f>IF($A3892="",0,$H3892*설정!$C$23)</f>
        <v/>
      </c>
      <c r="Q3892" s="39">
        <f>IF($A3892="","",IF(O3892&lt;&gt;원인분석!$C$9,"",IF(AND(M3892&gt;=원인분석!$C$10,M3892&lt;=원인분석!$C$11),"당기",IF(AND(M3892&gt;=원인분석!$C$12,M3892&lt;=원인분석!$C$13),"비교",""))))</f>
        <v/>
      </c>
      <c r="R3892" s="9">
        <f>IF(Q3892="","",$K3892&amp;"")</f>
        <v/>
      </c>
      <c r="S3892" s="9">
        <f>IF(Q3892="","",IF(MATCH(R3892,$R$5:$R$100000,0)=ROW()-4,ROW(),""))</f>
        <v/>
      </c>
      <c r="T3892" s="9">
        <f>IF(Q3892="당기",ABS(P3892)+ROW()/1000000000,"")</f>
        <v/>
      </c>
      <c r="U3892" s="9">
        <f>IF(Q3892="비교",ABS(P3892)+ROW()/1000000000,"")</f>
        <v/>
      </c>
      <c r="V3892" s="39">
        <f>IF($A3892="","",IF(COUNTIF(변동분석!$E$7:$E$506,O3892)&gt;0,"Y","N"))</f>
        <v/>
      </c>
      <c r="W3892" s="39">
        <f>IF($A3892="","",IFERROR(INDEX(계정매핑!$D$5:$D$504,MATCH($F3892&amp;"",계정매핑!$A$5:$A$504,0)),"미매핑"))</f>
        <v/>
      </c>
      <c r="X3892" s="9">
        <f>IF($A3892="","",$F3892&amp;"")</f>
        <v/>
      </c>
    </row>
    <row r="3893">
      <c r="A3893" s="75" t="n">
        <v>2026</v>
      </c>
      <c r="B3893" s="75" t="n">
        <v>8</v>
      </c>
      <c r="C3893" s="75" t="inlineStr">
        <is>
          <t>5100001549</t>
        </is>
      </c>
      <c r="D3893" s="78" t="n">
        <v>46257</v>
      </c>
      <c r="E3893" s="75" t="inlineStr">
        <is>
          <t>KR</t>
        </is>
      </c>
      <c r="F3893" s="75" t="n">
        <v>62601000</v>
      </c>
      <c r="G3893" s="75" t="n">
        <v>1602</v>
      </c>
      <c r="H3893" s="76" t="n">
        <v>1362000</v>
      </c>
      <c r="I3893" s="75" t="inlineStr">
        <is>
          <t>8월 업무추진 - (법인카드)</t>
        </is>
      </c>
      <c r="J3893" s="75" t="inlineStr">
        <is>
          <t>V10008</t>
        </is>
      </c>
      <c r="K3893" s="75" t="inlineStr">
        <is>
          <t>(법인카드)</t>
        </is>
      </c>
      <c r="M3893" s="9">
        <f>IF($A3893="","",VALUE($A3893&amp;"")*12+VALUE($B3893&amp;""))</f>
        <v/>
      </c>
      <c r="N3893" s="39">
        <f>IF($A3893="","",IFERROR(INDEX(부서매핑!$C$5:$C$504,MATCH($G3893&amp;"",부서매핑!$A$5:$A$504,0)),"미매핑"))</f>
        <v/>
      </c>
      <c r="O3893" s="9">
        <f>IF($A3893="","",N3893&amp;"|"&amp;$F3893)</f>
        <v/>
      </c>
      <c r="P3893" s="77">
        <f>IF($A3893="",0,$H3893*설정!$C$23)</f>
        <v/>
      </c>
      <c r="Q3893" s="39">
        <f>IF($A3893="","",IF(O3893&lt;&gt;원인분석!$C$9,"",IF(AND(M3893&gt;=원인분석!$C$10,M3893&lt;=원인분석!$C$11),"당기",IF(AND(M3893&gt;=원인분석!$C$12,M3893&lt;=원인분석!$C$13),"비교",""))))</f>
        <v/>
      </c>
      <c r="R3893" s="9">
        <f>IF(Q3893="","",$K3893&amp;"")</f>
        <v/>
      </c>
      <c r="S3893" s="9">
        <f>IF(Q3893="","",IF(MATCH(R3893,$R$5:$R$100000,0)=ROW()-4,ROW(),""))</f>
        <v/>
      </c>
      <c r="T3893" s="9">
        <f>IF(Q3893="당기",ABS(P3893)+ROW()/1000000000,"")</f>
        <v/>
      </c>
      <c r="U3893" s="9">
        <f>IF(Q3893="비교",ABS(P3893)+ROW()/1000000000,"")</f>
        <v/>
      </c>
      <c r="V3893" s="39">
        <f>IF($A3893="","",IF(COUNTIF(변동분석!$E$7:$E$506,O3893)&gt;0,"Y","N"))</f>
        <v/>
      </c>
      <c r="W3893" s="39">
        <f>IF($A3893="","",IFERROR(INDEX(계정매핑!$D$5:$D$504,MATCH($F3893&amp;"",계정매핑!$A$5:$A$504,0)),"미매핑"))</f>
        <v/>
      </c>
      <c r="X3893" s="9">
        <f>IF($A3893="","",$F3893&amp;"")</f>
        <v/>
      </c>
    </row>
    <row r="3894">
      <c r="A3894" s="75" t="n">
        <v>2026</v>
      </c>
      <c r="B3894" s="75" t="n">
        <v>8</v>
      </c>
      <c r="C3894" s="75" t="inlineStr">
        <is>
          <t>5100001550</t>
        </is>
      </c>
      <c r="D3894" s="78" t="n">
        <v>46257</v>
      </c>
      <c r="E3894" s="75" t="inlineStr">
        <is>
          <t>KR</t>
        </is>
      </c>
      <c r="F3894" s="75" t="n">
        <v>62901000</v>
      </c>
      <c r="G3894" s="75" t="n">
        <v>1801</v>
      </c>
      <c r="H3894" s="76" t="n">
        <v>5187000</v>
      </c>
      <c r="I3894" s="75" t="inlineStr">
        <is>
          <t>8월 자문 수수료 - K회계법인</t>
        </is>
      </c>
      <c r="J3894" s="75" t="inlineStr">
        <is>
          <t>V10010</t>
        </is>
      </c>
      <c r="K3894" s="75" t="inlineStr">
        <is>
          <t>K회계법인</t>
        </is>
      </c>
      <c r="M3894" s="9">
        <f>IF($A3894="","",VALUE($A3894&amp;"")*12+VALUE($B3894&amp;""))</f>
        <v/>
      </c>
      <c r="N3894" s="39">
        <f>IF($A3894="","",IFERROR(INDEX(부서매핑!$C$5:$C$504,MATCH($G3894&amp;"",부서매핑!$A$5:$A$504,0)),"미매핑"))</f>
        <v/>
      </c>
      <c r="O3894" s="9">
        <f>IF($A3894="","",N3894&amp;"|"&amp;$F3894)</f>
        <v/>
      </c>
      <c r="P3894" s="77">
        <f>IF($A3894="",0,$H3894*설정!$C$23)</f>
        <v/>
      </c>
      <c r="Q3894" s="39">
        <f>IF($A3894="","",IF(O3894&lt;&gt;원인분석!$C$9,"",IF(AND(M3894&gt;=원인분석!$C$10,M3894&lt;=원인분석!$C$11),"당기",IF(AND(M3894&gt;=원인분석!$C$12,M3894&lt;=원인분석!$C$13),"비교",""))))</f>
        <v/>
      </c>
      <c r="R3894" s="9">
        <f>IF(Q3894="","",$K3894&amp;"")</f>
        <v/>
      </c>
      <c r="S3894" s="9">
        <f>IF(Q3894="","",IF(MATCH(R3894,$R$5:$R$100000,0)=ROW()-4,ROW(),""))</f>
        <v/>
      </c>
      <c r="T3894" s="9">
        <f>IF(Q3894="당기",ABS(P3894)+ROW()/1000000000,"")</f>
        <v/>
      </c>
      <c r="U3894" s="9">
        <f>IF(Q3894="비교",ABS(P3894)+ROW()/1000000000,"")</f>
        <v/>
      </c>
      <c r="V3894" s="39">
        <f>IF($A3894="","",IF(COUNTIF(변동분석!$E$7:$E$506,O3894)&gt;0,"Y","N"))</f>
        <v/>
      </c>
      <c r="W3894" s="39">
        <f>IF($A3894="","",IFERROR(INDEX(계정매핑!$D$5:$D$504,MATCH($F3894&amp;"",계정매핑!$A$5:$A$504,0)),"미매핑"))</f>
        <v/>
      </c>
      <c r="X3894" s="9">
        <f>IF($A3894="","",$F3894&amp;"")</f>
        <v/>
      </c>
    </row>
    <row r="3895">
      <c r="A3895" s="75" t="n">
        <v>2026</v>
      </c>
      <c r="B3895" s="75" t="n">
        <v>8</v>
      </c>
      <c r="C3895" s="75" t="inlineStr">
        <is>
          <t>5100001551</t>
        </is>
      </c>
      <c r="D3895" s="78" t="n">
        <v>46257</v>
      </c>
      <c r="E3895" s="75" t="inlineStr">
        <is>
          <t>KR</t>
        </is>
      </c>
      <c r="F3895" s="75" t="n">
        <v>62902000</v>
      </c>
      <c r="G3895" s="75" t="n">
        <v>1401</v>
      </c>
      <c r="H3895" s="76" t="n">
        <v>3071000</v>
      </c>
      <c r="I3895" s="75" t="inlineStr">
        <is>
          <t>8월 업무 위탁 수수료 - J콜센터</t>
        </is>
      </c>
      <c r="J3895" s="75" t="inlineStr">
        <is>
          <t>V10013</t>
        </is>
      </c>
      <c r="K3895" s="75" t="inlineStr">
        <is>
          <t>J콜센터</t>
        </is>
      </c>
      <c r="M3895" s="9">
        <f>IF($A3895="","",VALUE($A3895&amp;"")*12+VALUE($B3895&amp;""))</f>
        <v/>
      </c>
      <c r="N3895" s="39">
        <f>IF($A3895="","",IFERROR(INDEX(부서매핑!$C$5:$C$504,MATCH($G3895&amp;"",부서매핑!$A$5:$A$504,0)),"미매핑"))</f>
        <v/>
      </c>
      <c r="O3895" s="9">
        <f>IF($A3895="","",N3895&amp;"|"&amp;$F3895)</f>
        <v/>
      </c>
      <c r="P3895" s="77">
        <f>IF($A3895="",0,$H3895*설정!$C$23)</f>
        <v/>
      </c>
      <c r="Q3895" s="39">
        <f>IF($A3895="","",IF(O3895&lt;&gt;원인분석!$C$9,"",IF(AND(M3895&gt;=원인분석!$C$10,M3895&lt;=원인분석!$C$11),"당기",IF(AND(M3895&gt;=원인분석!$C$12,M3895&lt;=원인분석!$C$13),"비교",""))))</f>
        <v/>
      </c>
      <c r="R3895" s="9">
        <f>IF(Q3895="","",$K3895&amp;"")</f>
        <v/>
      </c>
      <c r="S3895" s="9">
        <f>IF(Q3895="","",IF(MATCH(R3895,$R$5:$R$100000,0)=ROW()-4,ROW(),""))</f>
        <v/>
      </c>
      <c r="T3895" s="9">
        <f>IF(Q3895="당기",ABS(P3895)+ROW()/1000000000,"")</f>
        <v/>
      </c>
      <c r="U3895" s="9">
        <f>IF(Q3895="비교",ABS(P3895)+ROW()/1000000000,"")</f>
        <v/>
      </c>
      <c r="V3895" s="39">
        <f>IF($A3895="","",IF(COUNTIF(변동분석!$E$7:$E$506,O3895)&gt;0,"Y","N"))</f>
        <v/>
      </c>
      <c r="W3895" s="39">
        <f>IF($A3895="","",IFERROR(INDEX(계정매핑!$D$5:$D$504,MATCH($F3895&amp;"",계정매핑!$A$5:$A$504,0)),"미매핑"))</f>
        <v/>
      </c>
      <c r="X3895" s="9">
        <f>IF($A3895="","",$F3895&amp;"")</f>
        <v/>
      </c>
    </row>
    <row r="3896">
      <c r="A3896" s="75" t="n">
        <v>2026</v>
      </c>
      <c r="B3896" s="75" t="n">
        <v>8</v>
      </c>
      <c r="C3896" s="75" t="inlineStr">
        <is>
          <t>5100001552</t>
        </is>
      </c>
      <c r="D3896" s="78" t="n">
        <v>46257</v>
      </c>
      <c r="E3896" s="75" t="inlineStr">
        <is>
          <t>KR</t>
        </is>
      </c>
      <c r="F3896" s="75" t="n">
        <v>63001000</v>
      </c>
      <c r="G3896" s="75" t="n">
        <v>1701</v>
      </c>
      <c r="H3896" s="76" t="n">
        <v>22895000</v>
      </c>
      <c r="I3896" s="75" t="inlineStr">
        <is>
          <t>8월 SW 유지보수 - Y소프트</t>
        </is>
      </c>
      <c r="J3896" s="75" t="inlineStr">
        <is>
          <t>V10017</t>
        </is>
      </c>
      <c r="K3896" s="75" t="inlineStr">
        <is>
          <t>Y소프트</t>
        </is>
      </c>
      <c r="M3896" s="9">
        <f>IF($A3896="","",VALUE($A3896&amp;"")*12+VALUE($B3896&amp;""))</f>
        <v/>
      </c>
      <c r="N3896" s="39">
        <f>IF($A3896="","",IFERROR(INDEX(부서매핑!$C$5:$C$504,MATCH($G3896&amp;"",부서매핑!$A$5:$A$504,0)),"미매핑"))</f>
        <v/>
      </c>
      <c r="O3896" s="9">
        <f>IF($A3896="","",N3896&amp;"|"&amp;$F3896)</f>
        <v/>
      </c>
      <c r="P3896" s="77">
        <f>IF($A3896="",0,$H3896*설정!$C$23)</f>
        <v/>
      </c>
      <c r="Q3896" s="39">
        <f>IF($A3896="","",IF(O3896&lt;&gt;원인분석!$C$9,"",IF(AND(M3896&gt;=원인분석!$C$10,M3896&lt;=원인분석!$C$11),"당기",IF(AND(M3896&gt;=원인분석!$C$12,M3896&lt;=원인분석!$C$13),"비교",""))))</f>
        <v/>
      </c>
      <c r="R3896" s="9">
        <f>IF(Q3896="","",$K3896&amp;"")</f>
        <v/>
      </c>
      <c r="S3896" s="9">
        <f>IF(Q3896="","",IF(MATCH(R3896,$R$5:$R$100000,0)=ROW()-4,ROW(),""))</f>
        <v/>
      </c>
      <c r="T3896" s="9">
        <f>IF(Q3896="당기",ABS(P3896)+ROW()/1000000000,"")</f>
        <v/>
      </c>
      <c r="U3896" s="9">
        <f>IF(Q3896="비교",ABS(P3896)+ROW()/1000000000,"")</f>
        <v/>
      </c>
      <c r="V3896" s="39">
        <f>IF($A3896="","",IF(COUNTIF(변동분석!$E$7:$E$506,O3896)&gt;0,"Y","N"))</f>
        <v/>
      </c>
      <c r="W3896" s="39">
        <f>IF($A3896="","",IFERROR(INDEX(계정매핑!$D$5:$D$504,MATCH($F3896&amp;"",계정매핑!$A$5:$A$504,0)),"미매핑"))</f>
        <v/>
      </c>
      <c r="X3896" s="9">
        <f>IF($A3896="","",$F3896&amp;"")</f>
        <v/>
      </c>
    </row>
    <row r="3897">
      <c r="A3897" s="75" t="n">
        <v>2026</v>
      </c>
      <c r="B3897" s="75" t="n">
        <v>8</v>
      </c>
      <c r="C3897" s="75" t="inlineStr">
        <is>
          <t>5100001553</t>
        </is>
      </c>
      <c r="D3897" s="78" t="n">
        <v>46258</v>
      </c>
      <c r="E3897" s="75" t="inlineStr">
        <is>
          <t>KR</t>
        </is>
      </c>
      <c r="F3897" s="75" t="n">
        <v>62101000</v>
      </c>
      <c r="G3897" s="75" t="n">
        <v>1801</v>
      </c>
      <c r="H3897" s="76" t="n">
        <v>195000</v>
      </c>
      <c r="I3897" s="75" t="inlineStr">
        <is>
          <t>8월 국내출장 - L여행사</t>
        </is>
      </c>
      <c r="J3897" s="75" t="inlineStr">
        <is>
          <t>V10014</t>
        </is>
      </c>
      <c r="K3897" s="75" t="inlineStr">
        <is>
          <t>L여행사</t>
        </is>
      </c>
      <c r="M3897" s="9">
        <f>IF($A3897="","",VALUE($A3897&amp;"")*12+VALUE($B3897&amp;""))</f>
        <v/>
      </c>
      <c r="N3897" s="39">
        <f>IF($A3897="","",IFERROR(INDEX(부서매핑!$C$5:$C$504,MATCH($G3897&amp;"",부서매핑!$A$5:$A$504,0)),"미매핑"))</f>
        <v/>
      </c>
      <c r="O3897" s="9">
        <f>IF($A3897="","",N3897&amp;"|"&amp;$F3897)</f>
        <v/>
      </c>
      <c r="P3897" s="77">
        <f>IF($A3897="",0,$H3897*설정!$C$23)</f>
        <v/>
      </c>
      <c r="Q3897" s="39">
        <f>IF($A3897="","",IF(O3897&lt;&gt;원인분석!$C$9,"",IF(AND(M3897&gt;=원인분석!$C$10,M3897&lt;=원인분석!$C$11),"당기",IF(AND(M3897&gt;=원인분석!$C$12,M3897&lt;=원인분석!$C$13),"비교",""))))</f>
        <v/>
      </c>
      <c r="R3897" s="9">
        <f>IF(Q3897="","",$K3897&amp;"")</f>
        <v/>
      </c>
      <c r="S3897" s="9">
        <f>IF(Q3897="","",IF(MATCH(R3897,$R$5:$R$100000,0)=ROW()-4,ROW(),""))</f>
        <v/>
      </c>
      <c r="T3897" s="9">
        <f>IF(Q3897="당기",ABS(P3897)+ROW()/1000000000,"")</f>
        <v/>
      </c>
      <c r="U3897" s="9">
        <f>IF(Q3897="비교",ABS(P3897)+ROW()/1000000000,"")</f>
        <v/>
      </c>
      <c r="V3897" s="39">
        <f>IF($A3897="","",IF(COUNTIF(변동분석!$E$7:$E$506,O3897)&gt;0,"Y","N"))</f>
        <v/>
      </c>
      <c r="W3897" s="39">
        <f>IF($A3897="","",IFERROR(INDEX(계정매핑!$D$5:$D$504,MATCH($F3897&amp;"",계정매핑!$A$5:$A$504,0)),"미매핑"))</f>
        <v/>
      </c>
      <c r="X3897" s="9">
        <f>IF($A3897="","",$F3897&amp;"")</f>
        <v/>
      </c>
    </row>
    <row r="3898">
      <c r="A3898" s="75" t="n">
        <v>2026</v>
      </c>
      <c r="B3898" s="75" t="n">
        <v>8</v>
      </c>
      <c r="C3898" s="75" t="inlineStr">
        <is>
          <t>5100001554</t>
        </is>
      </c>
      <c r="D3898" s="78" t="n">
        <v>46258</v>
      </c>
      <c r="E3898" s="75" t="inlineStr">
        <is>
          <t>KR</t>
        </is>
      </c>
      <c r="F3898" s="75" t="n">
        <v>62101000</v>
      </c>
      <c r="G3898" s="75" t="n">
        <v>1801</v>
      </c>
      <c r="H3898" s="76" t="n">
        <v>198000</v>
      </c>
      <c r="I3898" s="75" t="inlineStr">
        <is>
          <t>8월 국내출장 - M항공</t>
        </is>
      </c>
      <c r="J3898" s="75" t="inlineStr">
        <is>
          <t>V10001</t>
        </is>
      </c>
      <c r="K3898" s="75" t="inlineStr">
        <is>
          <t>M항공</t>
        </is>
      </c>
      <c r="M3898" s="9">
        <f>IF($A3898="","",VALUE($A3898&amp;"")*12+VALUE($B3898&amp;""))</f>
        <v/>
      </c>
      <c r="N3898" s="39">
        <f>IF($A3898="","",IFERROR(INDEX(부서매핑!$C$5:$C$504,MATCH($G3898&amp;"",부서매핑!$A$5:$A$504,0)),"미매핑"))</f>
        <v/>
      </c>
      <c r="O3898" s="9">
        <f>IF($A3898="","",N3898&amp;"|"&amp;$F3898)</f>
        <v/>
      </c>
      <c r="P3898" s="77">
        <f>IF($A3898="",0,$H3898*설정!$C$23)</f>
        <v/>
      </c>
      <c r="Q3898" s="39">
        <f>IF($A3898="","",IF(O3898&lt;&gt;원인분석!$C$9,"",IF(AND(M3898&gt;=원인분석!$C$10,M3898&lt;=원인분석!$C$11),"당기",IF(AND(M3898&gt;=원인분석!$C$12,M3898&lt;=원인분석!$C$13),"비교",""))))</f>
        <v/>
      </c>
      <c r="R3898" s="9">
        <f>IF(Q3898="","",$K3898&amp;"")</f>
        <v/>
      </c>
      <c r="S3898" s="9">
        <f>IF(Q3898="","",IF(MATCH(R3898,$R$5:$R$100000,0)=ROW()-4,ROW(),""))</f>
        <v/>
      </c>
      <c r="T3898" s="9">
        <f>IF(Q3898="당기",ABS(P3898)+ROW()/1000000000,"")</f>
        <v/>
      </c>
      <c r="U3898" s="9">
        <f>IF(Q3898="비교",ABS(P3898)+ROW()/1000000000,"")</f>
        <v/>
      </c>
      <c r="V3898" s="39">
        <f>IF($A3898="","",IF(COUNTIF(변동분석!$E$7:$E$506,O3898)&gt;0,"Y","N"))</f>
        <v/>
      </c>
      <c r="W3898" s="39">
        <f>IF($A3898="","",IFERROR(INDEX(계정매핑!$D$5:$D$504,MATCH($F3898&amp;"",계정매핑!$A$5:$A$504,0)),"미매핑"))</f>
        <v/>
      </c>
      <c r="X3898" s="9">
        <f>IF($A3898="","",$F3898&amp;"")</f>
        <v/>
      </c>
    </row>
    <row r="3899">
      <c r="A3899" s="75" t="n">
        <v>2026</v>
      </c>
      <c r="B3899" s="75" t="n">
        <v>8</v>
      </c>
      <c r="C3899" s="75" t="inlineStr">
        <is>
          <t>5100001555</t>
        </is>
      </c>
      <c r="D3899" s="78" t="n">
        <v>46258</v>
      </c>
      <c r="E3899" s="75" t="inlineStr">
        <is>
          <t>KR</t>
        </is>
      </c>
      <c r="F3899" s="75" t="n">
        <v>62102000</v>
      </c>
      <c r="G3899" s="75" t="n">
        <v>1701</v>
      </c>
      <c r="H3899" s="76" t="n">
        <v>51000</v>
      </c>
      <c r="I3899" s="75" t="inlineStr">
        <is>
          <t>8월 해외출장 - N호텔</t>
        </is>
      </c>
      <c r="J3899" s="75" t="inlineStr">
        <is>
          <t>V10007</t>
        </is>
      </c>
      <c r="K3899" s="75" t="inlineStr">
        <is>
          <t>N호텔</t>
        </is>
      </c>
      <c r="M3899" s="9">
        <f>IF($A3899="","",VALUE($A3899&amp;"")*12+VALUE($B3899&amp;""))</f>
        <v/>
      </c>
      <c r="N3899" s="39">
        <f>IF($A3899="","",IFERROR(INDEX(부서매핑!$C$5:$C$504,MATCH($G3899&amp;"",부서매핑!$A$5:$A$504,0)),"미매핑"))</f>
        <v/>
      </c>
      <c r="O3899" s="9">
        <f>IF($A3899="","",N3899&amp;"|"&amp;$F3899)</f>
        <v/>
      </c>
      <c r="P3899" s="77">
        <f>IF($A3899="",0,$H3899*설정!$C$23)</f>
        <v/>
      </c>
      <c r="Q3899" s="39">
        <f>IF($A3899="","",IF(O3899&lt;&gt;원인분석!$C$9,"",IF(AND(M3899&gt;=원인분석!$C$10,M3899&lt;=원인분석!$C$11),"당기",IF(AND(M3899&gt;=원인분석!$C$12,M3899&lt;=원인분석!$C$13),"비교",""))))</f>
        <v/>
      </c>
      <c r="R3899" s="9">
        <f>IF(Q3899="","",$K3899&amp;"")</f>
        <v/>
      </c>
      <c r="S3899" s="9">
        <f>IF(Q3899="","",IF(MATCH(R3899,$R$5:$R$100000,0)=ROW()-4,ROW(),""))</f>
        <v/>
      </c>
      <c r="T3899" s="9">
        <f>IF(Q3899="당기",ABS(P3899)+ROW()/1000000000,"")</f>
        <v/>
      </c>
      <c r="U3899" s="9">
        <f>IF(Q3899="비교",ABS(P3899)+ROW()/1000000000,"")</f>
        <v/>
      </c>
      <c r="V3899" s="39">
        <f>IF($A3899="","",IF(COUNTIF(변동분석!$E$7:$E$506,O3899)&gt;0,"Y","N"))</f>
        <v/>
      </c>
      <c r="W3899" s="39">
        <f>IF($A3899="","",IFERROR(INDEX(계정매핑!$D$5:$D$504,MATCH($F3899&amp;"",계정매핑!$A$5:$A$504,0)),"미매핑"))</f>
        <v/>
      </c>
      <c r="X3899" s="9">
        <f>IF($A3899="","",$F3899&amp;"")</f>
        <v/>
      </c>
    </row>
    <row r="3900">
      <c r="A3900" s="75" t="n">
        <v>2026</v>
      </c>
      <c r="B3900" s="75" t="n">
        <v>8</v>
      </c>
      <c r="C3900" s="75" t="inlineStr">
        <is>
          <t>5100001556</t>
        </is>
      </c>
      <c r="D3900" s="78" t="n">
        <v>46258</v>
      </c>
      <c r="E3900" s="75" t="inlineStr">
        <is>
          <t>KR</t>
        </is>
      </c>
      <c r="F3900" s="75" t="n">
        <v>62201000</v>
      </c>
      <c r="G3900" s="75" t="n">
        <v>1201</v>
      </c>
      <c r="H3900" s="76" t="n">
        <v>172000</v>
      </c>
      <c r="I3900" s="75" t="inlineStr">
        <is>
          <t>8월 통신요금 - P통신</t>
        </is>
      </c>
      <c r="J3900" s="75" t="inlineStr">
        <is>
          <t>V10011</t>
        </is>
      </c>
      <c r="K3900" s="75" t="inlineStr">
        <is>
          <t>P통신</t>
        </is>
      </c>
      <c r="M3900" s="9">
        <f>IF($A3900="","",VALUE($A3900&amp;"")*12+VALUE($B3900&amp;""))</f>
        <v/>
      </c>
      <c r="N3900" s="39">
        <f>IF($A3900="","",IFERROR(INDEX(부서매핑!$C$5:$C$504,MATCH($G3900&amp;"",부서매핑!$A$5:$A$504,0)),"미매핑"))</f>
        <v/>
      </c>
      <c r="O3900" s="9">
        <f>IF($A3900="","",N3900&amp;"|"&amp;$F3900)</f>
        <v/>
      </c>
      <c r="P3900" s="77">
        <f>IF($A3900="",0,$H3900*설정!$C$23)</f>
        <v/>
      </c>
      <c r="Q3900" s="39">
        <f>IF($A3900="","",IF(O3900&lt;&gt;원인분석!$C$9,"",IF(AND(M3900&gt;=원인분석!$C$10,M3900&lt;=원인분석!$C$11),"당기",IF(AND(M3900&gt;=원인분석!$C$12,M3900&lt;=원인분석!$C$13),"비교",""))))</f>
        <v/>
      </c>
      <c r="R3900" s="9">
        <f>IF(Q3900="","",$K3900&amp;"")</f>
        <v/>
      </c>
      <c r="S3900" s="9">
        <f>IF(Q3900="","",IF(MATCH(R3900,$R$5:$R$100000,0)=ROW()-4,ROW(),""))</f>
        <v/>
      </c>
      <c r="T3900" s="9">
        <f>IF(Q3900="당기",ABS(P3900)+ROW()/1000000000,"")</f>
        <v/>
      </c>
      <c r="U3900" s="9">
        <f>IF(Q3900="비교",ABS(P3900)+ROW()/1000000000,"")</f>
        <v/>
      </c>
      <c r="V3900" s="39">
        <f>IF($A3900="","",IF(COUNTIF(변동분석!$E$7:$E$506,O3900)&gt;0,"Y","N"))</f>
        <v/>
      </c>
      <c r="W3900" s="39">
        <f>IF($A3900="","",IFERROR(INDEX(계정매핑!$D$5:$D$504,MATCH($F3900&amp;"",계정매핑!$A$5:$A$504,0)),"미매핑"))</f>
        <v/>
      </c>
      <c r="X3900" s="9">
        <f>IF($A3900="","",$F3900&amp;"")</f>
        <v/>
      </c>
    </row>
    <row r="3901">
      <c r="A3901" s="75" t="n">
        <v>2026</v>
      </c>
      <c r="B3901" s="75" t="n">
        <v>8</v>
      </c>
      <c r="C3901" s="75" t="inlineStr">
        <is>
          <t>5100001557</t>
        </is>
      </c>
      <c r="D3901" s="78" t="n">
        <v>46258</v>
      </c>
      <c r="E3901" s="75" t="inlineStr">
        <is>
          <t>KR</t>
        </is>
      </c>
      <c r="F3901" s="75" t="n">
        <v>62201000</v>
      </c>
      <c r="G3901" s="75" t="n">
        <v>1801</v>
      </c>
      <c r="H3901" s="76" t="n">
        <v>4768000</v>
      </c>
      <c r="I3901" s="75" t="inlineStr">
        <is>
          <t>8월 통신요금 - O텔레콤</t>
        </is>
      </c>
      <c r="J3901" s="75" t="inlineStr">
        <is>
          <t>V10002</t>
        </is>
      </c>
      <c r="K3901" s="75" t="inlineStr">
        <is>
          <t>O텔레콤</t>
        </is>
      </c>
      <c r="M3901" s="9">
        <f>IF($A3901="","",VALUE($A3901&amp;"")*12+VALUE($B3901&amp;""))</f>
        <v/>
      </c>
      <c r="N3901" s="39">
        <f>IF($A3901="","",IFERROR(INDEX(부서매핑!$C$5:$C$504,MATCH($G3901&amp;"",부서매핑!$A$5:$A$504,0)),"미매핑"))</f>
        <v/>
      </c>
      <c r="O3901" s="9">
        <f>IF($A3901="","",N3901&amp;"|"&amp;$F3901)</f>
        <v/>
      </c>
      <c r="P3901" s="77">
        <f>IF($A3901="",0,$H3901*설정!$C$23)</f>
        <v/>
      </c>
      <c r="Q3901" s="39">
        <f>IF($A3901="","",IF(O3901&lt;&gt;원인분석!$C$9,"",IF(AND(M3901&gt;=원인분석!$C$10,M3901&lt;=원인분석!$C$11),"당기",IF(AND(M3901&gt;=원인분석!$C$12,M3901&lt;=원인분석!$C$13),"비교",""))))</f>
        <v/>
      </c>
      <c r="R3901" s="9">
        <f>IF(Q3901="","",$K3901&amp;"")</f>
        <v/>
      </c>
      <c r="S3901" s="9">
        <f>IF(Q3901="","",IF(MATCH(R3901,$R$5:$R$100000,0)=ROW()-4,ROW(),""))</f>
        <v/>
      </c>
      <c r="T3901" s="9">
        <f>IF(Q3901="당기",ABS(P3901)+ROW()/1000000000,"")</f>
        <v/>
      </c>
      <c r="U3901" s="9">
        <f>IF(Q3901="비교",ABS(P3901)+ROW()/1000000000,"")</f>
        <v/>
      </c>
      <c r="V3901" s="39">
        <f>IF($A3901="","",IF(COUNTIF(변동분석!$E$7:$E$506,O3901)&gt;0,"Y","N"))</f>
        <v/>
      </c>
      <c r="W3901" s="39">
        <f>IF($A3901="","",IFERROR(INDEX(계정매핑!$D$5:$D$504,MATCH($F3901&amp;"",계정매핑!$A$5:$A$504,0)),"미매핑"))</f>
        <v/>
      </c>
      <c r="X3901" s="9">
        <f>IF($A3901="","",$F3901&amp;"")</f>
        <v/>
      </c>
    </row>
    <row r="3902">
      <c r="A3902" s="75" t="n">
        <v>2026</v>
      </c>
      <c r="B3902" s="75" t="n">
        <v>8</v>
      </c>
      <c r="C3902" s="75" t="inlineStr">
        <is>
          <t>5100001558</t>
        </is>
      </c>
      <c r="D3902" s="78" t="n">
        <v>46258</v>
      </c>
      <c r="E3902" s="75" t="inlineStr">
        <is>
          <t>KR</t>
        </is>
      </c>
      <c r="F3902" s="75" t="n">
        <v>62301000</v>
      </c>
      <c r="G3902" s="75" t="n">
        <v>1701</v>
      </c>
      <c r="H3902" s="76" t="n">
        <v>242000</v>
      </c>
      <c r="I3902" s="75" t="inlineStr">
        <is>
          <t>8월 소모품 구입 - R문구</t>
        </is>
      </c>
      <c r="J3902" s="75" t="inlineStr">
        <is>
          <t>V10018</t>
        </is>
      </c>
      <c r="K3902" s="75" t="inlineStr">
        <is>
          <t>R문구</t>
        </is>
      </c>
      <c r="M3902" s="9">
        <f>IF($A3902="","",VALUE($A3902&amp;"")*12+VALUE($B3902&amp;""))</f>
        <v/>
      </c>
      <c r="N3902" s="39">
        <f>IF($A3902="","",IFERROR(INDEX(부서매핑!$C$5:$C$504,MATCH($G3902&amp;"",부서매핑!$A$5:$A$504,0)),"미매핑"))</f>
        <v/>
      </c>
      <c r="O3902" s="9">
        <f>IF($A3902="","",N3902&amp;"|"&amp;$F3902)</f>
        <v/>
      </c>
      <c r="P3902" s="77">
        <f>IF($A3902="",0,$H3902*설정!$C$23)</f>
        <v/>
      </c>
      <c r="Q3902" s="39">
        <f>IF($A3902="","",IF(O3902&lt;&gt;원인분석!$C$9,"",IF(AND(M3902&gt;=원인분석!$C$10,M3902&lt;=원인분석!$C$11),"당기",IF(AND(M3902&gt;=원인분석!$C$12,M3902&lt;=원인분석!$C$13),"비교",""))))</f>
        <v/>
      </c>
      <c r="R3902" s="9">
        <f>IF(Q3902="","",$K3902&amp;"")</f>
        <v/>
      </c>
      <c r="S3902" s="9">
        <f>IF(Q3902="","",IF(MATCH(R3902,$R$5:$R$100000,0)=ROW()-4,ROW(),""))</f>
        <v/>
      </c>
      <c r="T3902" s="9">
        <f>IF(Q3902="당기",ABS(P3902)+ROW()/1000000000,"")</f>
        <v/>
      </c>
      <c r="U3902" s="9">
        <f>IF(Q3902="비교",ABS(P3902)+ROW()/1000000000,"")</f>
        <v/>
      </c>
      <c r="V3902" s="39">
        <f>IF($A3902="","",IF(COUNTIF(변동분석!$E$7:$E$506,O3902)&gt;0,"Y","N"))</f>
        <v/>
      </c>
      <c r="W3902" s="39">
        <f>IF($A3902="","",IFERROR(INDEX(계정매핑!$D$5:$D$504,MATCH($F3902&amp;"",계정매핑!$A$5:$A$504,0)),"미매핑"))</f>
        <v/>
      </c>
      <c r="X3902" s="9">
        <f>IF($A3902="","",$F3902&amp;"")</f>
        <v/>
      </c>
    </row>
    <row r="3903">
      <c r="A3903" s="75" t="n">
        <v>2026</v>
      </c>
      <c r="B3903" s="75" t="n">
        <v>8</v>
      </c>
      <c r="C3903" s="75" t="inlineStr">
        <is>
          <t>5100001559</t>
        </is>
      </c>
      <c r="D3903" s="78" t="n">
        <v>46258</v>
      </c>
      <c r="E3903" s="75" t="inlineStr">
        <is>
          <t>KR</t>
        </is>
      </c>
      <c r="F3903" s="75" t="n">
        <v>62501000</v>
      </c>
      <c r="G3903" s="75" t="n">
        <v>1501</v>
      </c>
      <c r="H3903" s="76" t="n">
        <v>367000</v>
      </c>
      <c r="I3903" s="75" t="inlineStr">
        <is>
          <t>8월 회의 다과 - T케이터링</t>
        </is>
      </c>
      <c r="J3903" s="75" t="inlineStr">
        <is>
          <t>V10005</t>
        </is>
      </c>
      <c r="K3903" s="75" t="inlineStr">
        <is>
          <t>T케이터링</t>
        </is>
      </c>
      <c r="M3903" s="9">
        <f>IF($A3903="","",VALUE($A3903&amp;"")*12+VALUE($B3903&amp;""))</f>
        <v/>
      </c>
      <c r="N3903" s="39">
        <f>IF($A3903="","",IFERROR(INDEX(부서매핑!$C$5:$C$504,MATCH($G3903&amp;"",부서매핑!$A$5:$A$504,0)),"미매핑"))</f>
        <v/>
      </c>
      <c r="O3903" s="9">
        <f>IF($A3903="","",N3903&amp;"|"&amp;$F3903)</f>
        <v/>
      </c>
      <c r="P3903" s="77">
        <f>IF($A3903="",0,$H3903*설정!$C$23)</f>
        <v/>
      </c>
      <c r="Q3903" s="39">
        <f>IF($A3903="","",IF(O3903&lt;&gt;원인분석!$C$9,"",IF(AND(M3903&gt;=원인분석!$C$10,M3903&lt;=원인분석!$C$11),"당기",IF(AND(M3903&gt;=원인분석!$C$12,M3903&lt;=원인분석!$C$13),"비교",""))))</f>
        <v/>
      </c>
      <c r="R3903" s="9">
        <f>IF(Q3903="","",$K3903&amp;"")</f>
        <v/>
      </c>
      <c r="S3903" s="9">
        <f>IF(Q3903="","",IF(MATCH(R3903,$R$5:$R$100000,0)=ROW()-4,ROW(),""))</f>
        <v/>
      </c>
      <c r="T3903" s="9">
        <f>IF(Q3903="당기",ABS(P3903)+ROW()/1000000000,"")</f>
        <v/>
      </c>
      <c r="U3903" s="9">
        <f>IF(Q3903="비교",ABS(P3903)+ROW()/1000000000,"")</f>
        <v/>
      </c>
      <c r="V3903" s="39">
        <f>IF($A3903="","",IF(COUNTIF(변동분석!$E$7:$E$506,O3903)&gt;0,"Y","N"))</f>
        <v/>
      </c>
      <c r="W3903" s="39">
        <f>IF($A3903="","",IFERROR(INDEX(계정매핑!$D$5:$D$504,MATCH($F3903&amp;"",계정매핑!$A$5:$A$504,0)),"미매핑"))</f>
        <v/>
      </c>
      <c r="X3903" s="9">
        <f>IF($A3903="","",$F3903&amp;"")</f>
        <v/>
      </c>
    </row>
    <row r="3904">
      <c r="A3904" s="75" t="n">
        <v>2026</v>
      </c>
      <c r="B3904" s="75" t="n">
        <v>8</v>
      </c>
      <c r="C3904" s="75" t="inlineStr">
        <is>
          <t>5100001560</t>
        </is>
      </c>
      <c r="D3904" s="78" t="n">
        <v>46258</v>
      </c>
      <c r="E3904" s="75" t="inlineStr">
        <is>
          <t>KR</t>
        </is>
      </c>
      <c r="F3904" s="75" t="n">
        <v>62501000</v>
      </c>
      <c r="G3904" s="75" t="n">
        <v>1801</v>
      </c>
      <c r="H3904" s="76" t="n">
        <v>141000</v>
      </c>
      <c r="I3904" s="75" t="inlineStr">
        <is>
          <t>8월 회의 다과 - (법인카드)</t>
        </is>
      </c>
      <c r="J3904" s="75" t="inlineStr">
        <is>
          <t>V10008</t>
        </is>
      </c>
      <c r="K3904" s="75" t="inlineStr">
        <is>
          <t>(법인카드)</t>
        </is>
      </c>
      <c r="M3904" s="9">
        <f>IF($A3904="","",VALUE($A3904&amp;"")*12+VALUE($B3904&amp;""))</f>
        <v/>
      </c>
      <c r="N3904" s="39">
        <f>IF($A3904="","",IFERROR(INDEX(부서매핑!$C$5:$C$504,MATCH($G3904&amp;"",부서매핑!$A$5:$A$504,0)),"미매핑"))</f>
        <v/>
      </c>
      <c r="O3904" s="9">
        <f>IF($A3904="","",N3904&amp;"|"&amp;$F3904)</f>
        <v/>
      </c>
      <c r="P3904" s="77">
        <f>IF($A3904="",0,$H3904*설정!$C$23)</f>
        <v/>
      </c>
      <c r="Q3904" s="39">
        <f>IF($A3904="","",IF(O3904&lt;&gt;원인분석!$C$9,"",IF(AND(M3904&gt;=원인분석!$C$10,M3904&lt;=원인분석!$C$11),"당기",IF(AND(M3904&gt;=원인분석!$C$12,M3904&lt;=원인분석!$C$13),"비교",""))))</f>
        <v/>
      </c>
      <c r="R3904" s="9">
        <f>IF(Q3904="","",$K3904&amp;"")</f>
        <v/>
      </c>
      <c r="S3904" s="9">
        <f>IF(Q3904="","",IF(MATCH(R3904,$R$5:$R$100000,0)=ROW()-4,ROW(),""))</f>
        <v/>
      </c>
      <c r="T3904" s="9">
        <f>IF(Q3904="당기",ABS(P3904)+ROW()/1000000000,"")</f>
        <v/>
      </c>
      <c r="U3904" s="9">
        <f>IF(Q3904="비교",ABS(P3904)+ROW()/1000000000,"")</f>
        <v/>
      </c>
      <c r="V3904" s="39">
        <f>IF($A3904="","",IF(COUNTIF(변동분석!$E$7:$E$506,O3904)&gt;0,"Y","N"))</f>
        <v/>
      </c>
      <c r="W3904" s="39">
        <f>IF($A3904="","",IFERROR(INDEX(계정매핑!$D$5:$D$504,MATCH($F3904&amp;"",계정매핑!$A$5:$A$504,0)),"미매핑"))</f>
        <v/>
      </c>
      <c r="X3904" s="9">
        <f>IF($A3904="","",$F3904&amp;"")</f>
        <v/>
      </c>
    </row>
    <row r="3905">
      <c r="A3905" s="75" t="n">
        <v>2026</v>
      </c>
      <c r="B3905" s="75" t="n">
        <v>8</v>
      </c>
      <c r="C3905" s="75" t="inlineStr">
        <is>
          <t>5100001561</t>
        </is>
      </c>
      <c r="D3905" s="78" t="n">
        <v>46258</v>
      </c>
      <c r="E3905" s="75" t="inlineStr">
        <is>
          <t>KR</t>
        </is>
      </c>
      <c r="F3905" s="75" t="n">
        <v>62901000</v>
      </c>
      <c r="G3905" s="75" t="n">
        <v>1801</v>
      </c>
      <c r="H3905" s="76" t="n">
        <v>8164000</v>
      </c>
      <c r="I3905" s="75" t="inlineStr">
        <is>
          <t>8월 자문 수수료 - K회계법인</t>
        </is>
      </c>
      <c r="J3905" s="75" t="inlineStr">
        <is>
          <t>V10010</t>
        </is>
      </c>
      <c r="K3905" s="75" t="inlineStr">
        <is>
          <t>K회계법인</t>
        </is>
      </c>
      <c r="M3905" s="9">
        <f>IF($A3905="","",VALUE($A3905&amp;"")*12+VALUE($B3905&amp;""))</f>
        <v/>
      </c>
      <c r="N3905" s="39">
        <f>IF($A3905="","",IFERROR(INDEX(부서매핑!$C$5:$C$504,MATCH($G3905&amp;"",부서매핑!$A$5:$A$504,0)),"미매핑"))</f>
        <v/>
      </c>
      <c r="O3905" s="9">
        <f>IF($A3905="","",N3905&amp;"|"&amp;$F3905)</f>
        <v/>
      </c>
      <c r="P3905" s="77">
        <f>IF($A3905="",0,$H3905*설정!$C$23)</f>
        <v/>
      </c>
      <c r="Q3905" s="39">
        <f>IF($A3905="","",IF(O3905&lt;&gt;원인분석!$C$9,"",IF(AND(M3905&gt;=원인분석!$C$10,M3905&lt;=원인분석!$C$11),"당기",IF(AND(M3905&gt;=원인분석!$C$12,M3905&lt;=원인분석!$C$13),"비교",""))))</f>
        <v/>
      </c>
      <c r="R3905" s="9">
        <f>IF(Q3905="","",$K3905&amp;"")</f>
        <v/>
      </c>
      <c r="S3905" s="9">
        <f>IF(Q3905="","",IF(MATCH(R3905,$R$5:$R$100000,0)=ROW()-4,ROW(),""))</f>
        <v/>
      </c>
      <c r="T3905" s="9">
        <f>IF(Q3905="당기",ABS(P3905)+ROW()/1000000000,"")</f>
        <v/>
      </c>
      <c r="U3905" s="9">
        <f>IF(Q3905="비교",ABS(P3905)+ROW()/1000000000,"")</f>
        <v/>
      </c>
      <c r="V3905" s="39">
        <f>IF($A3905="","",IF(COUNTIF(변동분석!$E$7:$E$506,O3905)&gt;0,"Y","N"))</f>
        <v/>
      </c>
      <c r="W3905" s="39">
        <f>IF($A3905="","",IFERROR(INDEX(계정매핑!$D$5:$D$504,MATCH($F3905&amp;"",계정매핑!$A$5:$A$504,0)),"미매핑"))</f>
        <v/>
      </c>
      <c r="X3905" s="9">
        <f>IF($A3905="","",$F3905&amp;"")</f>
        <v/>
      </c>
    </row>
    <row r="3906">
      <c r="A3906" s="75" t="n">
        <v>2026</v>
      </c>
      <c r="B3906" s="75" t="n">
        <v>8</v>
      </c>
      <c r="C3906" s="75" t="inlineStr">
        <is>
          <t>5100001562</t>
        </is>
      </c>
      <c r="D3906" s="78" t="n">
        <v>46259</v>
      </c>
      <c r="E3906" s="75" t="inlineStr">
        <is>
          <t>KR</t>
        </is>
      </c>
      <c r="F3906" s="75" t="n">
        <v>62101000</v>
      </c>
      <c r="G3906" s="75" t="n">
        <v>1502</v>
      </c>
      <c r="H3906" s="76" t="n">
        <v>612000</v>
      </c>
      <c r="I3906" s="75" t="inlineStr">
        <is>
          <t>8월 국내출장 - L여행사</t>
        </is>
      </c>
      <c r="J3906" s="75" t="inlineStr">
        <is>
          <t>V10014</t>
        </is>
      </c>
      <c r="K3906" s="75" t="inlineStr">
        <is>
          <t>L여행사</t>
        </is>
      </c>
      <c r="M3906" s="9">
        <f>IF($A3906="","",VALUE($A3906&amp;"")*12+VALUE($B3906&amp;""))</f>
        <v/>
      </c>
      <c r="N3906" s="39">
        <f>IF($A3906="","",IFERROR(INDEX(부서매핑!$C$5:$C$504,MATCH($G3906&amp;"",부서매핑!$A$5:$A$504,0)),"미매핑"))</f>
        <v/>
      </c>
      <c r="O3906" s="9">
        <f>IF($A3906="","",N3906&amp;"|"&amp;$F3906)</f>
        <v/>
      </c>
      <c r="P3906" s="77">
        <f>IF($A3906="",0,$H3906*설정!$C$23)</f>
        <v/>
      </c>
      <c r="Q3906" s="39">
        <f>IF($A3906="","",IF(O3906&lt;&gt;원인분석!$C$9,"",IF(AND(M3906&gt;=원인분석!$C$10,M3906&lt;=원인분석!$C$11),"당기",IF(AND(M3906&gt;=원인분석!$C$12,M3906&lt;=원인분석!$C$13),"비교",""))))</f>
        <v/>
      </c>
      <c r="R3906" s="9">
        <f>IF(Q3906="","",$K3906&amp;"")</f>
        <v/>
      </c>
      <c r="S3906" s="9">
        <f>IF(Q3906="","",IF(MATCH(R3906,$R$5:$R$100000,0)=ROW()-4,ROW(),""))</f>
        <v/>
      </c>
      <c r="T3906" s="9">
        <f>IF(Q3906="당기",ABS(P3906)+ROW()/1000000000,"")</f>
        <v/>
      </c>
      <c r="U3906" s="9">
        <f>IF(Q3906="비교",ABS(P3906)+ROW()/1000000000,"")</f>
        <v/>
      </c>
      <c r="V3906" s="39">
        <f>IF($A3906="","",IF(COUNTIF(변동분석!$E$7:$E$506,O3906)&gt;0,"Y","N"))</f>
        <v/>
      </c>
      <c r="W3906" s="39">
        <f>IF($A3906="","",IFERROR(INDEX(계정매핑!$D$5:$D$504,MATCH($F3906&amp;"",계정매핑!$A$5:$A$504,0)),"미매핑"))</f>
        <v/>
      </c>
      <c r="X3906" s="9">
        <f>IF($A3906="","",$F3906&amp;"")</f>
        <v/>
      </c>
    </row>
    <row r="3907">
      <c r="A3907" s="75" t="n">
        <v>2026</v>
      </c>
      <c r="B3907" s="75" t="n">
        <v>8</v>
      </c>
      <c r="C3907" s="75" t="inlineStr">
        <is>
          <t>5100001563</t>
        </is>
      </c>
      <c r="D3907" s="78" t="n">
        <v>46259</v>
      </c>
      <c r="E3907" s="75" t="inlineStr">
        <is>
          <t>KR</t>
        </is>
      </c>
      <c r="F3907" s="75" t="n">
        <v>62101000</v>
      </c>
      <c r="G3907" s="75" t="n">
        <v>1602</v>
      </c>
      <c r="H3907" s="76" t="n">
        <v>930000</v>
      </c>
      <c r="I3907" s="75" t="inlineStr">
        <is>
          <t>8월 국내출장 - M항공</t>
        </is>
      </c>
      <c r="J3907" s="75" t="inlineStr">
        <is>
          <t>V10001</t>
        </is>
      </c>
      <c r="K3907" s="75" t="inlineStr">
        <is>
          <t>M항공</t>
        </is>
      </c>
      <c r="M3907" s="9">
        <f>IF($A3907="","",VALUE($A3907&amp;"")*12+VALUE($B3907&amp;""))</f>
        <v/>
      </c>
      <c r="N3907" s="39">
        <f>IF($A3907="","",IFERROR(INDEX(부서매핑!$C$5:$C$504,MATCH($G3907&amp;"",부서매핑!$A$5:$A$504,0)),"미매핑"))</f>
        <v/>
      </c>
      <c r="O3907" s="9">
        <f>IF($A3907="","",N3907&amp;"|"&amp;$F3907)</f>
        <v/>
      </c>
      <c r="P3907" s="77">
        <f>IF($A3907="",0,$H3907*설정!$C$23)</f>
        <v/>
      </c>
      <c r="Q3907" s="39">
        <f>IF($A3907="","",IF(O3907&lt;&gt;원인분석!$C$9,"",IF(AND(M3907&gt;=원인분석!$C$10,M3907&lt;=원인분석!$C$11),"당기",IF(AND(M3907&gt;=원인분석!$C$12,M3907&lt;=원인분석!$C$13),"비교",""))))</f>
        <v/>
      </c>
      <c r="R3907" s="9">
        <f>IF(Q3907="","",$K3907&amp;"")</f>
        <v/>
      </c>
      <c r="S3907" s="9">
        <f>IF(Q3907="","",IF(MATCH(R3907,$R$5:$R$100000,0)=ROW()-4,ROW(),""))</f>
        <v/>
      </c>
      <c r="T3907" s="9">
        <f>IF(Q3907="당기",ABS(P3907)+ROW()/1000000000,"")</f>
        <v/>
      </c>
      <c r="U3907" s="9">
        <f>IF(Q3907="비교",ABS(P3907)+ROW()/1000000000,"")</f>
        <v/>
      </c>
      <c r="V3907" s="39">
        <f>IF($A3907="","",IF(COUNTIF(변동분석!$E$7:$E$506,O3907)&gt;0,"Y","N"))</f>
        <v/>
      </c>
      <c r="W3907" s="39">
        <f>IF($A3907="","",IFERROR(INDEX(계정매핑!$D$5:$D$504,MATCH($F3907&amp;"",계정매핑!$A$5:$A$504,0)),"미매핑"))</f>
        <v/>
      </c>
      <c r="X3907" s="9">
        <f>IF($A3907="","",$F3907&amp;"")</f>
        <v/>
      </c>
    </row>
    <row r="3908">
      <c r="A3908" s="75" t="n">
        <v>2026</v>
      </c>
      <c r="B3908" s="75" t="n">
        <v>8</v>
      </c>
      <c r="C3908" s="75" t="inlineStr">
        <is>
          <t>5100001564</t>
        </is>
      </c>
      <c r="D3908" s="78" t="n">
        <v>46259</v>
      </c>
      <c r="E3908" s="75" t="inlineStr">
        <is>
          <t>KR</t>
        </is>
      </c>
      <c r="F3908" s="75" t="n">
        <v>62102000</v>
      </c>
      <c r="G3908" s="75" t="n">
        <v>1601</v>
      </c>
      <c r="H3908" s="76" t="n">
        <v>209000</v>
      </c>
      <c r="I3908" s="75" t="inlineStr">
        <is>
          <t>8월 해외출장 - N호텔</t>
        </is>
      </c>
      <c r="J3908" s="75" t="inlineStr">
        <is>
          <t>V10007</t>
        </is>
      </c>
      <c r="K3908" s="75" t="inlineStr">
        <is>
          <t>N호텔</t>
        </is>
      </c>
      <c r="M3908" s="9">
        <f>IF($A3908="","",VALUE($A3908&amp;"")*12+VALUE($B3908&amp;""))</f>
        <v/>
      </c>
      <c r="N3908" s="39">
        <f>IF($A3908="","",IFERROR(INDEX(부서매핑!$C$5:$C$504,MATCH($G3908&amp;"",부서매핑!$A$5:$A$504,0)),"미매핑"))</f>
        <v/>
      </c>
      <c r="O3908" s="9">
        <f>IF($A3908="","",N3908&amp;"|"&amp;$F3908)</f>
        <v/>
      </c>
      <c r="P3908" s="77">
        <f>IF($A3908="",0,$H3908*설정!$C$23)</f>
        <v/>
      </c>
      <c r="Q3908" s="39">
        <f>IF($A3908="","",IF(O3908&lt;&gt;원인분석!$C$9,"",IF(AND(M3908&gt;=원인분석!$C$10,M3908&lt;=원인분석!$C$11),"당기",IF(AND(M3908&gt;=원인분석!$C$12,M3908&lt;=원인분석!$C$13),"비교",""))))</f>
        <v/>
      </c>
      <c r="R3908" s="9">
        <f>IF(Q3908="","",$K3908&amp;"")</f>
        <v/>
      </c>
      <c r="S3908" s="9">
        <f>IF(Q3908="","",IF(MATCH(R3908,$R$5:$R$100000,0)=ROW()-4,ROW(),""))</f>
        <v/>
      </c>
      <c r="T3908" s="9">
        <f>IF(Q3908="당기",ABS(P3908)+ROW()/1000000000,"")</f>
        <v/>
      </c>
      <c r="U3908" s="9">
        <f>IF(Q3908="비교",ABS(P3908)+ROW()/1000000000,"")</f>
        <v/>
      </c>
      <c r="V3908" s="39">
        <f>IF($A3908="","",IF(COUNTIF(변동분석!$E$7:$E$506,O3908)&gt;0,"Y","N"))</f>
        <v/>
      </c>
      <c r="W3908" s="39">
        <f>IF($A3908="","",IFERROR(INDEX(계정매핑!$D$5:$D$504,MATCH($F3908&amp;"",계정매핑!$A$5:$A$504,0)),"미매핑"))</f>
        <v/>
      </c>
      <c r="X3908" s="9">
        <f>IF($A3908="","",$F3908&amp;"")</f>
        <v/>
      </c>
    </row>
    <row r="3909">
      <c r="A3909" s="75" t="n">
        <v>2026</v>
      </c>
      <c r="B3909" s="75" t="n">
        <v>8</v>
      </c>
      <c r="C3909" s="75" t="inlineStr">
        <is>
          <t>5100001565</t>
        </is>
      </c>
      <c r="D3909" s="78" t="n">
        <v>46259</v>
      </c>
      <c r="E3909" s="75" t="inlineStr">
        <is>
          <t>KR</t>
        </is>
      </c>
      <c r="F3909" s="75" t="n">
        <v>62201000</v>
      </c>
      <c r="G3909" s="75" t="n">
        <v>1501</v>
      </c>
      <c r="H3909" s="76" t="n">
        <v>206000</v>
      </c>
      <c r="I3909" s="75" t="inlineStr">
        <is>
          <t>8월 통신요금 - O텔레콤</t>
        </is>
      </c>
      <c r="J3909" s="75" t="inlineStr">
        <is>
          <t>V10002</t>
        </is>
      </c>
      <c r="K3909" s="75" t="inlineStr">
        <is>
          <t>O텔레콤</t>
        </is>
      </c>
      <c r="M3909" s="9">
        <f>IF($A3909="","",VALUE($A3909&amp;"")*12+VALUE($B3909&amp;""))</f>
        <v/>
      </c>
      <c r="N3909" s="39">
        <f>IF($A3909="","",IFERROR(INDEX(부서매핑!$C$5:$C$504,MATCH($G3909&amp;"",부서매핑!$A$5:$A$504,0)),"미매핑"))</f>
        <v/>
      </c>
      <c r="O3909" s="9">
        <f>IF($A3909="","",N3909&amp;"|"&amp;$F3909)</f>
        <v/>
      </c>
      <c r="P3909" s="77">
        <f>IF($A3909="",0,$H3909*설정!$C$23)</f>
        <v/>
      </c>
      <c r="Q3909" s="39">
        <f>IF($A3909="","",IF(O3909&lt;&gt;원인분석!$C$9,"",IF(AND(M3909&gt;=원인분석!$C$10,M3909&lt;=원인분석!$C$11),"당기",IF(AND(M3909&gt;=원인분석!$C$12,M3909&lt;=원인분석!$C$13),"비교",""))))</f>
        <v/>
      </c>
      <c r="R3909" s="9">
        <f>IF(Q3909="","",$K3909&amp;"")</f>
        <v/>
      </c>
      <c r="S3909" s="9">
        <f>IF(Q3909="","",IF(MATCH(R3909,$R$5:$R$100000,0)=ROW()-4,ROW(),""))</f>
        <v/>
      </c>
      <c r="T3909" s="9">
        <f>IF(Q3909="당기",ABS(P3909)+ROW()/1000000000,"")</f>
        <v/>
      </c>
      <c r="U3909" s="9">
        <f>IF(Q3909="비교",ABS(P3909)+ROW()/1000000000,"")</f>
        <v/>
      </c>
      <c r="V3909" s="39">
        <f>IF($A3909="","",IF(COUNTIF(변동분석!$E$7:$E$506,O3909)&gt;0,"Y","N"))</f>
        <v/>
      </c>
      <c r="W3909" s="39">
        <f>IF($A3909="","",IFERROR(INDEX(계정매핑!$D$5:$D$504,MATCH($F3909&amp;"",계정매핑!$A$5:$A$504,0)),"미매핑"))</f>
        <v/>
      </c>
      <c r="X3909" s="9">
        <f>IF($A3909="","",$F3909&amp;"")</f>
        <v/>
      </c>
    </row>
    <row r="3910">
      <c r="A3910" s="75" t="n">
        <v>2026</v>
      </c>
      <c r="B3910" s="75" t="n">
        <v>8</v>
      </c>
      <c r="C3910" s="75" t="inlineStr">
        <is>
          <t>5100001566</t>
        </is>
      </c>
      <c r="D3910" s="78" t="n">
        <v>46259</v>
      </c>
      <c r="E3910" s="75" t="inlineStr">
        <is>
          <t>KR</t>
        </is>
      </c>
      <c r="F3910" s="75" t="n">
        <v>62201000</v>
      </c>
      <c r="G3910" s="75" t="n">
        <v>1801</v>
      </c>
      <c r="H3910" s="76" t="n">
        <v>6298000</v>
      </c>
      <c r="I3910" s="75" t="inlineStr">
        <is>
          <t>8월 통신요금 - P통신</t>
        </is>
      </c>
      <c r="J3910" s="75" t="inlineStr">
        <is>
          <t>V10011</t>
        </is>
      </c>
      <c r="K3910" s="75" t="inlineStr">
        <is>
          <t>P통신</t>
        </is>
      </c>
      <c r="M3910" s="9">
        <f>IF($A3910="","",VALUE($A3910&amp;"")*12+VALUE($B3910&amp;""))</f>
        <v/>
      </c>
      <c r="N3910" s="39">
        <f>IF($A3910="","",IFERROR(INDEX(부서매핑!$C$5:$C$504,MATCH($G3910&amp;"",부서매핑!$A$5:$A$504,0)),"미매핑"))</f>
        <v/>
      </c>
      <c r="O3910" s="9">
        <f>IF($A3910="","",N3910&amp;"|"&amp;$F3910)</f>
        <v/>
      </c>
      <c r="P3910" s="77">
        <f>IF($A3910="",0,$H3910*설정!$C$23)</f>
        <v/>
      </c>
      <c r="Q3910" s="39">
        <f>IF($A3910="","",IF(O3910&lt;&gt;원인분석!$C$9,"",IF(AND(M3910&gt;=원인분석!$C$10,M3910&lt;=원인분석!$C$11),"당기",IF(AND(M3910&gt;=원인분석!$C$12,M3910&lt;=원인분석!$C$13),"비교",""))))</f>
        <v/>
      </c>
      <c r="R3910" s="9">
        <f>IF(Q3910="","",$K3910&amp;"")</f>
        <v/>
      </c>
      <c r="S3910" s="9">
        <f>IF(Q3910="","",IF(MATCH(R3910,$R$5:$R$100000,0)=ROW()-4,ROW(),""))</f>
        <v/>
      </c>
      <c r="T3910" s="9">
        <f>IF(Q3910="당기",ABS(P3910)+ROW()/1000000000,"")</f>
        <v/>
      </c>
      <c r="U3910" s="9">
        <f>IF(Q3910="비교",ABS(P3910)+ROW()/1000000000,"")</f>
        <v/>
      </c>
      <c r="V3910" s="39">
        <f>IF($A3910="","",IF(COUNTIF(변동분석!$E$7:$E$506,O3910)&gt;0,"Y","N"))</f>
        <v/>
      </c>
      <c r="W3910" s="39">
        <f>IF($A3910="","",IFERROR(INDEX(계정매핑!$D$5:$D$504,MATCH($F3910&amp;"",계정매핑!$A$5:$A$504,0)),"미매핑"))</f>
        <v/>
      </c>
      <c r="X3910" s="9">
        <f>IF($A3910="","",$F3910&amp;"")</f>
        <v/>
      </c>
    </row>
    <row r="3911">
      <c r="A3911" s="75" t="n">
        <v>2026</v>
      </c>
      <c r="B3911" s="75" t="n">
        <v>8</v>
      </c>
      <c r="C3911" s="75" t="inlineStr">
        <is>
          <t>5100001567</t>
        </is>
      </c>
      <c r="D3911" s="78" t="n">
        <v>46259</v>
      </c>
      <c r="E3911" s="75" t="inlineStr">
        <is>
          <t>KR</t>
        </is>
      </c>
      <c r="F3911" s="75" t="n">
        <v>62301000</v>
      </c>
      <c r="G3911" s="75" t="n">
        <v>1701</v>
      </c>
      <c r="H3911" s="76" t="n">
        <v>301000</v>
      </c>
      <c r="I3911" s="75" t="inlineStr">
        <is>
          <t>8월 소모품 구입 - Q오피스</t>
        </is>
      </c>
      <c r="J3911" s="75" t="inlineStr">
        <is>
          <t>V10003</t>
        </is>
      </c>
      <c r="K3911" s="75" t="inlineStr">
        <is>
          <t>Q오피스</t>
        </is>
      </c>
      <c r="M3911" s="9">
        <f>IF($A3911="","",VALUE($A3911&amp;"")*12+VALUE($B3911&amp;""))</f>
        <v/>
      </c>
      <c r="N3911" s="39">
        <f>IF($A3911="","",IFERROR(INDEX(부서매핑!$C$5:$C$504,MATCH($G3911&amp;"",부서매핑!$A$5:$A$504,0)),"미매핑"))</f>
        <v/>
      </c>
      <c r="O3911" s="9">
        <f>IF($A3911="","",N3911&amp;"|"&amp;$F3911)</f>
        <v/>
      </c>
      <c r="P3911" s="77">
        <f>IF($A3911="",0,$H3911*설정!$C$23)</f>
        <v/>
      </c>
      <c r="Q3911" s="39">
        <f>IF($A3911="","",IF(O3911&lt;&gt;원인분석!$C$9,"",IF(AND(M3911&gt;=원인분석!$C$10,M3911&lt;=원인분석!$C$11),"당기",IF(AND(M3911&gt;=원인분석!$C$12,M3911&lt;=원인분석!$C$13),"비교",""))))</f>
        <v/>
      </c>
      <c r="R3911" s="9">
        <f>IF(Q3911="","",$K3911&amp;"")</f>
        <v/>
      </c>
      <c r="S3911" s="9">
        <f>IF(Q3911="","",IF(MATCH(R3911,$R$5:$R$100000,0)=ROW()-4,ROW(),""))</f>
        <v/>
      </c>
      <c r="T3911" s="9">
        <f>IF(Q3911="당기",ABS(P3911)+ROW()/1000000000,"")</f>
        <v/>
      </c>
      <c r="U3911" s="9">
        <f>IF(Q3911="비교",ABS(P3911)+ROW()/1000000000,"")</f>
        <v/>
      </c>
      <c r="V3911" s="39">
        <f>IF($A3911="","",IF(COUNTIF(변동분석!$E$7:$E$506,O3911)&gt;0,"Y","N"))</f>
        <v/>
      </c>
      <c r="W3911" s="39">
        <f>IF($A3911="","",IFERROR(INDEX(계정매핑!$D$5:$D$504,MATCH($F3911&amp;"",계정매핑!$A$5:$A$504,0)),"미매핑"))</f>
        <v/>
      </c>
      <c r="X3911" s="9">
        <f>IF($A3911="","",$F3911&amp;"")</f>
        <v/>
      </c>
    </row>
    <row r="3912">
      <c r="A3912" s="75" t="n">
        <v>2026</v>
      </c>
      <c r="B3912" s="75" t="n">
        <v>8</v>
      </c>
      <c r="C3912" s="75" t="inlineStr">
        <is>
          <t>5100001568</t>
        </is>
      </c>
      <c r="D3912" s="78" t="n">
        <v>46259</v>
      </c>
      <c r="E3912" s="75" t="inlineStr">
        <is>
          <t>KR</t>
        </is>
      </c>
      <c r="F3912" s="75" t="n">
        <v>62601000</v>
      </c>
      <c r="G3912" s="75" t="n">
        <v>1501</v>
      </c>
      <c r="H3912" s="76" t="n">
        <v>2666000</v>
      </c>
      <c r="I3912" s="75" t="inlineStr">
        <is>
          <t>8월 업무추진 - (법인카드)</t>
        </is>
      </c>
      <c r="J3912" s="75" t="inlineStr">
        <is>
          <t>V10008</t>
        </is>
      </c>
      <c r="K3912" s="75" t="inlineStr">
        <is>
          <t>(법인카드)</t>
        </is>
      </c>
      <c r="M3912" s="9">
        <f>IF($A3912="","",VALUE($A3912&amp;"")*12+VALUE($B3912&amp;""))</f>
        <v/>
      </c>
      <c r="N3912" s="39">
        <f>IF($A3912="","",IFERROR(INDEX(부서매핑!$C$5:$C$504,MATCH($G3912&amp;"",부서매핑!$A$5:$A$504,0)),"미매핑"))</f>
        <v/>
      </c>
      <c r="O3912" s="9">
        <f>IF($A3912="","",N3912&amp;"|"&amp;$F3912)</f>
        <v/>
      </c>
      <c r="P3912" s="77">
        <f>IF($A3912="",0,$H3912*설정!$C$23)</f>
        <v/>
      </c>
      <c r="Q3912" s="39">
        <f>IF($A3912="","",IF(O3912&lt;&gt;원인분석!$C$9,"",IF(AND(M3912&gt;=원인분석!$C$10,M3912&lt;=원인분석!$C$11),"당기",IF(AND(M3912&gt;=원인분석!$C$12,M3912&lt;=원인분석!$C$13),"비교",""))))</f>
        <v/>
      </c>
      <c r="R3912" s="9">
        <f>IF(Q3912="","",$K3912&amp;"")</f>
        <v/>
      </c>
      <c r="S3912" s="9">
        <f>IF(Q3912="","",IF(MATCH(R3912,$R$5:$R$100000,0)=ROW()-4,ROW(),""))</f>
        <v/>
      </c>
      <c r="T3912" s="9">
        <f>IF(Q3912="당기",ABS(P3912)+ROW()/1000000000,"")</f>
        <v/>
      </c>
      <c r="U3912" s="9">
        <f>IF(Q3912="비교",ABS(P3912)+ROW()/1000000000,"")</f>
        <v/>
      </c>
      <c r="V3912" s="39">
        <f>IF($A3912="","",IF(COUNTIF(변동분석!$E$7:$E$506,O3912)&gt;0,"Y","N"))</f>
        <v/>
      </c>
      <c r="W3912" s="39">
        <f>IF($A3912="","",IFERROR(INDEX(계정매핑!$D$5:$D$504,MATCH($F3912&amp;"",계정매핑!$A$5:$A$504,0)),"미매핑"))</f>
        <v/>
      </c>
      <c r="X3912" s="9">
        <f>IF($A3912="","",$F3912&amp;"")</f>
        <v/>
      </c>
    </row>
    <row r="3913">
      <c r="A3913" s="75" t="n">
        <v>2026</v>
      </c>
      <c r="B3913" s="75" t="n">
        <v>8</v>
      </c>
      <c r="C3913" s="75" t="inlineStr">
        <is>
          <t>5100001569</t>
        </is>
      </c>
      <c r="D3913" s="78" t="n">
        <v>46259</v>
      </c>
      <c r="E3913" s="75" t="inlineStr">
        <is>
          <t>KR</t>
        </is>
      </c>
      <c r="F3913" s="75" t="n">
        <v>62901000</v>
      </c>
      <c r="G3913" s="75" t="n">
        <v>1101</v>
      </c>
      <c r="H3913" s="76" t="n">
        <v>3163000</v>
      </c>
      <c r="I3913" s="75" t="inlineStr">
        <is>
          <t>8월 자문 수수료 - W컨설팅</t>
        </is>
      </c>
      <c r="J3913" s="75" t="inlineStr">
        <is>
          <t>V10009</t>
        </is>
      </c>
      <c r="K3913" s="75" t="inlineStr">
        <is>
          <t>W컨설팅</t>
        </is>
      </c>
      <c r="M3913" s="9">
        <f>IF($A3913="","",VALUE($A3913&amp;"")*12+VALUE($B3913&amp;""))</f>
        <v/>
      </c>
      <c r="N3913" s="39">
        <f>IF($A3913="","",IFERROR(INDEX(부서매핑!$C$5:$C$504,MATCH($G3913&amp;"",부서매핑!$A$5:$A$504,0)),"미매핑"))</f>
        <v/>
      </c>
      <c r="O3913" s="9">
        <f>IF($A3913="","",N3913&amp;"|"&amp;$F3913)</f>
        <v/>
      </c>
      <c r="P3913" s="77">
        <f>IF($A3913="",0,$H3913*설정!$C$23)</f>
        <v/>
      </c>
      <c r="Q3913" s="39">
        <f>IF($A3913="","",IF(O3913&lt;&gt;원인분석!$C$9,"",IF(AND(M3913&gt;=원인분석!$C$10,M3913&lt;=원인분석!$C$11),"당기",IF(AND(M3913&gt;=원인분석!$C$12,M3913&lt;=원인분석!$C$13),"비교",""))))</f>
        <v/>
      </c>
      <c r="R3913" s="9">
        <f>IF(Q3913="","",$K3913&amp;"")</f>
        <v/>
      </c>
      <c r="S3913" s="9">
        <f>IF(Q3913="","",IF(MATCH(R3913,$R$5:$R$100000,0)=ROW()-4,ROW(),""))</f>
        <v/>
      </c>
      <c r="T3913" s="9">
        <f>IF(Q3913="당기",ABS(P3913)+ROW()/1000000000,"")</f>
        <v/>
      </c>
      <c r="U3913" s="9">
        <f>IF(Q3913="비교",ABS(P3913)+ROW()/1000000000,"")</f>
        <v/>
      </c>
      <c r="V3913" s="39">
        <f>IF($A3913="","",IF(COUNTIF(변동분석!$E$7:$E$506,O3913)&gt;0,"Y","N"))</f>
        <v/>
      </c>
      <c r="W3913" s="39">
        <f>IF($A3913="","",IFERROR(INDEX(계정매핑!$D$5:$D$504,MATCH($F3913&amp;"",계정매핑!$A$5:$A$504,0)),"미매핑"))</f>
        <v/>
      </c>
      <c r="X3913" s="9">
        <f>IF($A3913="","",$F3913&amp;"")</f>
        <v/>
      </c>
    </row>
    <row r="3914">
      <c r="A3914" s="75" t="n">
        <v>2026</v>
      </c>
      <c r="B3914" s="75" t="n">
        <v>8</v>
      </c>
      <c r="C3914" s="75" t="inlineStr">
        <is>
          <t>5100001570</t>
        </is>
      </c>
      <c r="D3914" s="78" t="n">
        <v>46259</v>
      </c>
      <c r="E3914" s="75" t="inlineStr">
        <is>
          <t>KR</t>
        </is>
      </c>
      <c r="F3914" s="75" t="n">
        <v>63002000</v>
      </c>
      <c r="G3914" s="75" t="n">
        <v>1701</v>
      </c>
      <c r="H3914" s="76" t="n">
        <v>93000000</v>
      </c>
      <c r="I3914" s="75" t="inlineStr">
        <is>
          <t>8월 클라우드 사용료 - C클라우드</t>
        </is>
      </c>
      <c r="J3914" s="75" t="inlineStr">
        <is>
          <t>V10028</t>
        </is>
      </c>
      <c r="K3914" s="75" t="inlineStr">
        <is>
          <t>C클라우드</t>
        </is>
      </c>
      <c r="M3914" s="9">
        <f>IF($A3914="","",VALUE($A3914&amp;"")*12+VALUE($B3914&amp;""))</f>
        <v/>
      </c>
      <c r="N3914" s="39">
        <f>IF($A3914="","",IFERROR(INDEX(부서매핑!$C$5:$C$504,MATCH($G3914&amp;"",부서매핑!$A$5:$A$504,0)),"미매핑"))</f>
        <v/>
      </c>
      <c r="O3914" s="9">
        <f>IF($A3914="","",N3914&amp;"|"&amp;$F3914)</f>
        <v/>
      </c>
      <c r="P3914" s="77">
        <f>IF($A3914="",0,$H3914*설정!$C$23)</f>
        <v/>
      </c>
      <c r="Q3914" s="39">
        <f>IF($A3914="","",IF(O3914&lt;&gt;원인분석!$C$9,"",IF(AND(M3914&gt;=원인분석!$C$10,M3914&lt;=원인분석!$C$11),"당기",IF(AND(M3914&gt;=원인분석!$C$12,M3914&lt;=원인분석!$C$13),"비교",""))))</f>
        <v/>
      </c>
      <c r="R3914" s="9">
        <f>IF(Q3914="","",$K3914&amp;"")</f>
        <v/>
      </c>
      <c r="S3914" s="9">
        <f>IF(Q3914="","",IF(MATCH(R3914,$R$5:$R$100000,0)=ROW()-4,ROW(),""))</f>
        <v/>
      </c>
      <c r="T3914" s="9">
        <f>IF(Q3914="당기",ABS(P3914)+ROW()/1000000000,"")</f>
        <v/>
      </c>
      <c r="U3914" s="9">
        <f>IF(Q3914="비교",ABS(P3914)+ROW()/1000000000,"")</f>
        <v/>
      </c>
      <c r="V3914" s="39">
        <f>IF($A3914="","",IF(COUNTIF(변동분석!$E$7:$E$506,O3914)&gt;0,"Y","N"))</f>
        <v/>
      </c>
      <c r="W3914" s="39">
        <f>IF($A3914="","",IFERROR(INDEX(계정매핑!$D$5:$D$504,MATCH($F3914&amp;"",계정매핑!$A$5:$A$504,0)),"미매핑"))</f>
        <v/>
      </c>
      <c r="X3914" s="9">
        <f>IF($A3914="","",$F3914&amp;"")</f>
        <v/>
      </c>
    </row>
    <row r="3915">
      <c r="A3915" s="75" t="n">
        <v>2026</v>
      </c>
      <c r="B3915" s="75" t="n">
        <v>8</v>
      </c>
      <c r="C3915" s="75" t="inlineStr">
        <is>
          <t>5100001571</t>
        </is>
      </c>
      <c r="D3915" s="78" t="n">
        <v>46260</v>
      </c>
      <c r="E3915" s="75" t="inlineStr">
        <is>
          <t>KR</t>
        </is>
      </c>
      <c r="F3915" s="75" t="n">
        <v>62101000</v>
      </c>
      <c r="G3915" s="75" t="n">
        <v>1801</v>
      </c>
      <c r="H3915" s="76" t="n">
        <v>187000</v>
      </c>
      <c r="I3915" s="75" t="inlineStr">
        <is>
          <t>8월 국내출장 - (법인카드)</t>
        </is>
      </c>
      <c r="J3915" s="75" t="inlineStr">
        <is>
          <t>V10008</t>
        </is>
      </c>
      <c r="K3915" s="75" t="inlineStr">
        <is>
          <t>(법인카드)</t>
        </is>
      </c>
      <c r="M3915" s="9">
        <f>IF($A3915="","",VALUE($A3915&amp;"")*12+VALUE($B3915&amp;""))</f>
        <v/>
      </c>
      <c r="N3915" s="39">
        <f>IF($A3915="","",IFERROR(INDEX(부서매핑!$C$5:$C$504,MATCH($G3915&amp;"",부서매핑!$A$5:$A$504,0)),"미매핑"))</f>
        <v/>
      </c>
      <c r="O3915" s="9">
        <f>IF($A3915="","",N3915&amp;"|"&amp;$F3915)</f>
        <v/>
      </c>
      <c r="P3915" s="77">
        <f>IF($A3915="",0,$H3915*설정!$C$23)</f>
        <v/>
      </c>
      <c r="Q3915" s="39">
        <f>IF($A3915="","",IF(O3915&lt;&gt;원인분석!$C$9,"",IF(AND(M3915&gt;=원인분석!$C$10,M3915&lt;=원인분석!$C$11),"당기",IF(AND(M3915&gt;=원인분석!$C$12,M3915&lt;=원인분석!$C$13),"비교",""))))</f>
        <v/>
      </c>
      <c r="R3915" s="9">
        <f>IF(Q3915="","",$K3915&amp;"")</f>
        <v/>
      </c>
      <c r="S3915" s="9">
        <f>IF(Q3915="","",IF(MATCH(R3915,$R$5:$R$100000,0)=ROW()-4,ROW(),""))</f>
        <v/>
      </c>
      <c r="T3915" s="9">
        <f>IF(Q3915="당기",ABS(P3915)+ROW()/1000000000,"")</f>
        <v/>
      </c>
      <c r="U3915" s="9">
        <f>IF(Q3915="비교",ABS(P3915)+ROW()/1000000000,"")</f>
        <v/>
      </c>
      <c r="V3915" s="39">
        <f>IF($A3915="","",IF(COUNTIF(변동분석!$E$7:$E$506,O3915)&gt;0,"Y","N"))</f>
        <v/>
      </c>
      <c r="W3915" s="39">
        <f>IF($A3915="","",IFERROR(INDEX(계정매핑!$D$5:$D$504,MATCH($F3915&amp;"",계정매핑!$A$5:$A$504,0)),"미매핑"))</f>
        <v/>
      </c>
      <c r="X3915" s="9">
        <f>IF($A3915="","",$F3915&amp;"")</f>
        <v/>
      </c>
    </row>
    <row r="3916">
      <c r="A3916" s="75" t="n">
        <v>2026</v>
      </c>
      <c r="B3916" s="75" t="n">
        <v>8</v>
      </c>
      <c r="C3916" s="75" t="inlineStr">
        <is>
          <t>5100001572</t>
        </is>
      </c>
      <c r="D3916" s="78" t="n">
        <v>46260</v>
      </c>
      <c r="E3916" s="75" t="inlineStr">
        <is>
          <t>KR</t>
        </is>
      </c>
      <c r="F3916" s="75" t="n">
        <v>62102000</v>
      </c>
      <c r="G3916" s="75" t="n">
        <v>1301</v>
      </c>
      <c r="H3916" s="76" t="n">
        <v>89000</v>
      </c>
      <c r="I3916" s="75" t="inlineStr">
        <is>
          <t>8월 해외출장 - N호텔</t>
        </is>
      </c>
      <c r="J3916" s="75" t="inlineStr">
        <is>
          <t>V10007</t>
        </is>
      </c>
      <c r="K3916" s="75" t="inlineStr">
        <is>
          <t>N호텔</t>
        </is>
      </c>
      <c r="M3916" s="9">
        <f>IF($A3916="","",VALUE($A3916&amp;"")*12+VALUE($B3916&amp;""))</f>
        <v/>
      </c>
      <c r="N3916" s="39">
        <f>IF($A3916="","",IFERROR(INDEX(부서매핑!$C$5:$C$504,MATCH($G3916&amp;"",부서매핑!$A$5:$A$504,0)),"미매핑"))</f>
        <v/>
      </c>
      <c r="O3916" s="9">
        <f>IF($A3916="","",N3916&amp;"|"&amp;$F3916)</f>
        <v/>
      </c>
      <c r="P3916" s="77">
        <f>IF($A3916="",0,$H3916*설정!$C$23)</f>
        <v/>
      </c>
      <c r="Q3916" s="39">
        <f>IF($A3916="","",IF(O3916&lt;&gt;원인분석!$C$9,"",IF(AND(M3916&gt;=원인분석!$C$10,M3916&lt;=원인분석!$C$11),"당기",IF(AND(M3916&gt;=원인분석!$C$12,M3916&lt;=원인분석!$C$13),"비교",""))))</f>
        <v/>
      </c>
      <c r="R3916" s="9">
        <f>IF(Q3916="","",$K3916&amp;"")</f>
        <v/>
      </c>
      <c r="S3916" s="9">
        <f>IF(Q3916="","",IF(MATCH(R3916,$R$5:$R$100000,0)=ROW()-4,ROW(),""))</f>
        <v/>
      </c>
      <c r="T3916" s="9">
        <f>IF(Q3916="당기",ABS(P3916)+ROW()/1000000000,"")</f>
        <v/>
      </c>
      <c r="U3916" s="9">
        <f>IF(Q3916="비교",ABS(P3916)+ROW()/1000000000,"")</f>
        <v/>
      </c>
      <c r="V3916" s="39">
        <f>IF($A3916="","",IF(COUNTIF(변동분석!$E$7:$E$506,O3916)&gt;0,"Y","N"))</f>
        <v/>
      </c>
      <c r="W3916" s="39">
        <f>IF($A3916="","",IFERROR(INDEX(계정매핑!$D$5:$D$504,MATCH($F3916&amp;"",계정매핑!$A$5:$A$504,0)),"미매핑"))</f>
        <v/>
      </c>
      <c r="X3916" s="9">
        <f>IF($A3916="","",$F3916&amp;"")</f>
        <v/>
      </c>
    </row>
    <row r="3917">
      <c r="A3917" s="75" t="n">
        <v>2026</v>
      </c>
      <c r="B3917" s="75" t="n">
        <v>8</v>
      </c>
      <c r="C3917" s="75" t="inlineStr">
        <is>
          <t>5100001573</t>
        </is>
      </c>
      <c r="D3917" s="78" t="n">
        <v>46260</v>
      </c>
      <c r="E3917" s="75" t="inlineStr">
        <is>
          <t>KR</t>
        </is>
      </c>
      <c r="F3917" s="75" t="n">
        <v>62102000</v>
      </c>
      <c r="G3917" s="75" t="n">
        <v>1502</v>
      </c>
      <c r="H3917" s="76" t="n">
        <v>166000</v>
      </c>
      <c r="I3917" s="75" t="inlineStr">
        <is>
          <t>8월 해외출장 - N호텔</t>
        </is>
      </c>
      <c r="J3917" s="75" t="inlineStr">
        <is>
          <t>V10007</t>
        </is>
      </c>
      <c r="K3917" s="75" t="inlineStr">
        <is>
          <t>N호텔</t>
        </is>
      </c>
      <c r="M3917" s="9">
        <f>IF($A3917="","",VALUE($A3917&amp;"")*12+VALUE($B3917&amp;""))</f>
        <v/>
      </c>
      <c r="N3917" s="39">
        <f>IF($A3917="","",IFERROR(INDEX(부서매핑!$C$5:$C$504,MATCH($G3917&amp;"",부서매핑!$A$5:$A$504,0)),"미매핑"))</f>
        <v/>
      </c>
      <c r="O3917" s="9">
        <f>IF($A3917="","",N3917&amp;"|"&amp;$F3917)</f>
        <v/>
      </c>
      <c r="P3917" s="77">
        <f>IF($A3917="",0,$H3917*설정!$C$23)</f>
        <v/>
      </c>
      <c r="Q3917" s="39">
        <f>IF($A3917="","",IF(O3917&lt;&gt;원인분석!$C$9,"",IF(AND(M3917&gt;=원인분석!$C$10,M3917&lt;=원인분석!$C$11),"당기",IF(AND(M3917&gt;=원인분석!$C$12,M3917&lt;=원인분석!$C$13),"비교",""))))</f>
        <v/>
      </c>
      <c r="R3917" s="9">
        <f>IF(Q3917="","",$K3917&amp;"")</f>
        <v/>
      </c>
      <c r="S3917" s="9">
        <f>IF(Q3917="","",IF(MATCH(R3917,$R$5:$R$100000,0)=ROW()-4,ROW(),""))</f>
        <v/>
      </c>
      <c r="T3917" s="9">
        <f>IF(Q3917="당기",ABS(P3917)+ROW()/1000000000,"")</f>
        <v/>
      </c>
      <c r="U3917" s="9">
        <f>IF(Q3917="비교",ABS(P3917)+ROW()/1000000000,"")</f>
        <v/>
      </c>
      <c r="V3917" s="39">
        <f>IF($A3917="","",IF(COUNTIF(변동분석!$E$7:$E$506,O3917)&gt;0,"Y","N"))</f>
        <v/>
      </c>
      <c r="W3917" s="39">
        <f>IF($A3917="","",IFERROR(INDEX(계정매핑!$D$5:$D$504,MATCH($F3917&amp;"",계정매핑!$A$5:$A$504,0)),"미매핑"))</f>
        <v/>
      </c>
      <c r="X3917" s="9">
        <f>IF($A3917="","",$F3917&amp;"")</f>
        <v/>
      </c>
    </row>
    <row r="3918">
      <c r="A3918" s="75" t="n">
        <v>2026</v>
      </c>
      <c r="B3918" s="75" t="n">
        <v>8</v>
      </c>
      <c r="C3918" s="75" t="inlineStr">
        <is>
          <t>5100001574</t>
        </is>
      </c>
      <c r="D3918" s="78" t="n">
        <v>46260</v>
      </c>
      <c r="E3918" s="75" t="inlineStr">
        <is>
          <t>KR</t>
        </is>
      </c>
      <c r="F3918" s="75" t="n">
        <v>62201000</v>
      </c>
      <c r="G3918" s="75" t="n">
        <v>1801</v>
      </c>
      <c r="H3918" s="76" t="n">
        <v>6372000</v>
      </c>
      <c r="I3918" s="75" t="inlineStr">
        <is>
          <t>8월 통신요금 - P통신</t>
        </is>
      </c>
      <c r="J3918" s="75" t="inlineStr">
        <is>
          <t>V10011</t>
        </is>
      </c>
      <c r="K3918" s="75" t="inlineStr">
        <is>
          <t>P통신</t>
        </is>
      </c>
      <c r="M3918" s="9">
        <f>IF($A3918="","",VALUE($A3918&amp;"")*12+VALUE($B3918&amp;""))</f>
        <v/>
      </c>
      <c r="N3918" s="39">
        <f>IF($A3918="","",IFERROR(INDEX(부서매핑!$C$5:$C$504,MATCH($G3918&amp;"",부서매핑!$A$5:$A$504,0)),"미매핑"))</f>
        <v/>
      </c>
      <c r="O3918" s="9">
        <f>IF($A3918="","",N3918&amp;"|"&amp;$F3918)</f>
        <v/>
      </c>
      <c r="P3918" s="77">
        <f>IF($A3918="",0,$H3918*설정!$C$23)</f>
        <v/>
      </c>
      <c r="Q3918" s="39">
        <f>IF($A3918="","",IF(O3918&lt;&gt;원인분석!$C$9,"",IF(AND(M3918&gt;=원인분석!$C$10,M3918&lt;=원인분석!$C$11),"당기",IF(AND(M3918&gt;=원인분석!$C$12,M3918&lt;=원인분석!$C$13),"비교",""))))</f>
        <v/>
      </c>
      <c r="R3918" s="9">
        <f>IF(Q3918="","",$K3918&amp;"")</f>
        <v/>
      </c>
      <c r="S3918" s="9">
        <f>IF(Q3918="","",IF(MATCH(R3918,$R$5:$R$100000,0)=ROW()-4,ROW(),""))</f>
        <v/>
      </c>
      <c r="T3918" s="9">
        <f>IF(Q3918="당기",ABS(P3918)+ROW()/1000000000,"")</f>
        <v/>
      </c>
      <c r="U3918" s="9">
        <f>IF(Q3918="비교",ABS(P3918)+ROW()/1000000000,"")</f>
        <v/>
      </c>
      <c r="V3918" s="39">
        <f>IF($A3918="","",IF(COUNTIF(변동분석!$E$7:$E$506,O3918)&gt;0,"Y","N"))</f>
        <v/>
      </c>
      <c r="W3918" s="39">
        <f>IF($A3918="","",IFERROR(INDEX(계정매핑!$D$5:$D$504,MATCH($F3918&amp;"",계정매핑!$A$5:$A$504,0)),"미매핑"))</f>
        <v/>
      </c>
      <c r="X3918" s="9">
        <f>IF($A3918="","",$F3918&amp;"")</f>
        <v/>
      </c>
    </row>
    <row r="3919">
      <c r="A3919" s="75" t="n">
        <v>2026</v>
      </c>
      <c r="B3919" s="75" t="n">
        <v>8</v>
      </c>
      <c r="C3919" s="75" t="inlineStr">
        <is>
          <t>5100001575</t>
        </is>
      </c>
      <c r="D3919" s="78" t="n">
        <v>46260</v>
      </c>
      <c r="E3919" s="75" t="inlineStr">
        <is>
          <t>KR</t>
        </is>
      </c>
      <c r="F3919" s="75" t="n">
        <v>62801000</v>
      </c>
      <c r="G3919" s="75" t="n">
        <v>1301</v>
      </c>
      <c r="H3919" s="76" t="n">
        <v>3933000</v>
      </c>
      <c r="I3919" s="75" t="inlineStr">
        <is>
          <t>8월 사내교육 - U에듀</t>
        </is>
      </c>
      <c r="J3919" s="75" t="inlineStr">
        <is>
          <t>V10026</t>
        </is>
      </c>
      <c r="K3919" s="75" t="inlineStr">
        <is>
          <t>U에듀</t>
        </is>
      </c>
      <c r="M3919" s="9">
        <f>IF($A3919="","",VALUE($A3919&amp;"")*12+VALUE($B3919&amp;""))</f>
        <v/>
      </c>
      <c r="N3919" s="39">
        <f>IF($A3919="","",IFERROR(INDEX(부서매핑!$C$5:$C$504,MATCH($G3919&amp;"",부서매핑!$A$5:$A$504,0)),"미매핑"))</f>
        <v/>
      </c>
      <c r="O3919" s="9">
        <f>IF($A3919="","",N3919&amp;"|"&amp;$F3919)</f>
        <v/>
      </c>
      <c r="P3919" s="77">
        <f>IF($A3919="",0,$H3919*설정!$C$23)</f>
        <v/>
      </c>
      <c r="Q3919" s="39">
        <f>IF($A3919="","",IF(O3919&lt;&gt;원인분석!$C$9,"",IF(AND(M3919&gt;=원인분석!$C$10,M3919&lt;=원인분석!$C$11),"당기",IF(AND(M3919&gt;=원인분석!$C$12,M3919&lt;=원인분석!$C$13),"비교",""))))</f>
        <v/>
      </c>
      <c r="R3919" s="9">
        <f>IF(Q3919="","",$K3919&amp;"")</f>
        <v/>
      </c>
      <c r="S3919" s="9">
        <f>IF(Q3919="","",IF(MATCH(R3919,$R$5:$R$100000,0)=ROW()-4,ROW(),""))</f>
        <v/>
      </c>
      <c r="T3919" s="9">
        <f>IF(Q3919="당기",ABS(P3919)+ROW()/1000000000,"")</f>
        <v/>
      </c>
      <c r="U3919" s="9">
        <f>IF(Q3919="비교",ABS(P3919)+ROW()/1000000000,"")</f>
        <v/>
      </c>
      <c r="V3919" s="39">
        <f>IF($A3919="","",IF(COUNTIF(변동분석!$E$7:$E$506,O3919)&gt;0,"Y","N"))</f>
        <v/>
      </c>
      <c r="W3919" s="39">
        <f>IF($A3919="","",IFERROR(INDEX(계정매핑!$D$5:$D$504,MATCH($F3919&amp;"",계정매핑!$A$5:$A$504,0)),"미매핑"))</f>
        <v/>
      </c>
      <c r="X3919" s="9">
        <f>IF($A3919="","",$F3919&amp;"")</f>
        <v/>
      </c>
    </row>
    <row r="3920">
      <c r="A3920" s="75" t="n">
        <v>2026</v>
      </c>
      <c r="B3920" s="75" t="n">
        <v>8</v>
      </c>
      <c r="C3920" s="75" t="inlineStr">
        <is>
          <t>5100001576</t>
        </is>
      </c>
      <c r="D3920" s="78" t="n">
        <v>46260</v>
      </c>
      <c r="E3920" s="75" t="inlineStr">
        <is>
          <t>KR</t>
        </is>
      </c>
      <c r="F3920" s="75" t="n">
        <v>62802000</v>
      </c>
      <c r="G3920" s="75" t="n">
        <v>1301</v>
      </c>
      <c r="H3920" s="76" t="n">
        <v>3617000</v>
      </c>
      <c r="I3920" s="75" t="inlineStr">
        <is>
          <t>8월 위탁교육 - I교육원</t>
        </is>
      </c>
      <c r="J3920" s="75" t="inlineStr">
        <is>
          <t>V10015</t>
        </is>
      </c>
      <c r="K3920" s="75" t="inlineStr">
        <is>
          <t>I교육원</t>
        </is>
      </c>
      <c r="M3920" s="9">
        <f>IF($A3920="","",VALUE($A3920&amp;"")*12+VALUE($B3920&amp;""))</f>
        <v/>
      </c>
      <c r="N3920" s="39">
        <f>IF($A3920="","",IFERROR(INDEX(부서매핑!$C$5:$C$504,MATCH($G3920&amp;"",부서매핑!$A$5:$A$504,0)),"미매핑"))</f>
        <v/>
      </c>
      <c r="O3920" s="9">
        <f>IF($A3920="","",N3920&amp;"|"&amp;$F3920)</f>
        <v/>
      </c>
      <c r="P3920" s="77">
        <f>IF($A3920="",0,$H3920*설정!$C$23)</f>
        <v/>
      </c>
      <c r="Q3920" s="39">
        <f>IF($A3920="","",IF(O3920&lt;&gt;원인분석!$C$9,"",IF(AND(M3920&gt;=원인분석!$C$10,M3920&lt;=원인분석!$C$11),"당기",IF(AND(M3920&gt;=원인분석!$C$12,M3920&lt;=원인분석!$C$13),"비교",""))))</f>
        <v/>
      </c>
      <c r="R3920" s="9">
        <f>IF(Q3920="","",$K3920&amp;"")</f>
        <v/>
      </c>
      <c r="S3920" s="9">
        <f>IF(Q3920="","",IF(MATCH(R3920,$R$5:$R$100000,0)=ROW()-4,ROW(),""))</f>
        <v/>
      </c>
      <c r="T3920" s="9">
        <f>IF(Q3920="당기",ABS(P3920)+ROW()/1000000000,"")</f>
        <v/>
      </c>
      <c r="U3920" s="9">
        <f>IF(Q3920="비교",ABS(P3920)+ROW()/1000000000,"")</f>
        <v/>
      </c>
      <c r="V3920" s="39">
        <f>IF($A3920="","",IF(COUNTIF(변동분석!$E$7:$E$506,O3920)&gt;0,"Y","N"))</f>
        <v/>
      </c>
      <c r="W3920" s="39">
        <f>IF($A3920="","",IFERROR(INDEX(계정매핑!$D$5:$D$504,MATCH($F3920&amp;"",계정매핑!$A$5:$A$504,0)),"미매핑"))</f>
        <v/>
      </c>
      <c r="X3920" s="9">
        <f>IF($A3920="","",$F3920&amp;"")</f>
        <v/>
      </c>
    </row>
    <row r="3921">
      <c r="A3921" s="75" t="n">
        <v>2026</v>
      </c>
      <c r="B3921" s="75" t="n">
        <v>8</v>
      </c>
      <c r="C3921" s="75" t="inlineStr">
        <is>
          <t>5100001577</t>
        </is>
      </c>
      <c r="D3921" s="78" t="n">
        <v>46260</v>
      </c>
      <c r="E3921" s="75" t="inlineStr">
        <is>
          <t>KR</t>
        </is>
      </c>
      <c r="F3921" s="75" t="n">
        <v>62901000</v>
      </c>
      <c r="G3921" s="75" t="n">
        <v>1101</v>
      </c>
      <c r="H3921" s="76" t="n">
        <v>4644000</v>
      </c>
      <c r="I3921" s="75" t="inlineStr">
        <is>
          <t>8월 자문 수수료 - K회계법인</t>
        </is>
      </c>
      <c r="J3921" s="75" t="inlineStr">
        <is>
          <t>V10010</t>
        </is>
      </c>
      <c r="K3921" s="75" t="inlineStr">
        <is>
          <t>K회계법인</t>
        </is>
      </c>
      <c r="M3921" s="9">
        <f>IF($A3921="","",VALUE($A3921&amp;"")*12+VALUE($B3921&amp;""))</f>
        <v/>
      </c>
      <c r="N3921" s="39">
        <f>IF($A3921="","",IFERROR(INDEX(부서매핑!$C$5:$C$504,MATCH($G3921&amp;"",부서매핑!$A$5:$A$504,0)),"미매핑"))</f>
        <v/>
      </c>
      <c r="O3921" s="9">
        <f>IF($A3921="","",N3921&amp;"|"&amp;$F3921)</f>
        <v/>
      </c>
      <c r="P3921" s="77">
        <f>IF($A3921="",0,$H3921*설정!$C$23)</f>
        <v/>
      </c>
      <c r="Q3921" s="39">
        <f>IF($A3921="","",IF(O3921&lt;&gt;원인분석!$C$9,"",IF(AND(M3921&gt;=원인분석!$C$10,M3921&lt;=원인분석!$C$11),"당기",IF(AND(M3921&gt;=원인분석!$C$12,M3921&lt;=원인분석!$C$13),"비교",""))))</f>
        <v/>
      </c>
      <c r="R3921" s="9">
        <f>IF(Q3921="","",$K3921&amp;"")</f>
        <v/>
      </c>
      <c r="S3921" s="9">
        <f>IF(Q3921="","",IF(MATCH(R3921,$R$5:$R$100000,0)=ROW()-4,ROW(),""))</f>
        <v/>
      </c>
      <c r="T3921" s="9">
        <f>IF(Q3921="당기",ABS(P3921)+ROW()/1000000000,"")</f>
        <v/>
      </c>
      <c r="U3921" s="9">
        <f>IF(Q3921="비교",ABS(P3921)+ROW()/1000000000,"")</f>
        <v/>
      </c>
      <c r="V3921" s="39">
        <f>IF($A3921="","",IF(COUNTIF(변동분석!$E$7:$E$506,O3921)&gt;0,"Y","N"))</f>
        <v/>
      </c>
      <c r="W3921" s="39">
        <f>IF($A3921="","",IFERROR(INDEX(계정매핑!$D$5:$D$504,MATCH($F3921&amp;"",계정매핑!$A$5:$A$504,0)),"미매핑"))</f>
        <v/>
      </c>
      <c r="X3921" s="9">
        <f>IF($A3921="","",$F3921&amp;"")</f>
        <v/>
      </c>
    </row>
    <row r="3922">
      <c r="A3922" s="75" t="n">
        <v>2026</v>
      </c>
      <c r="B3922" s="75" t="n">
        <v>8</v>
      </c>
      <c r="C3922" s="75" t="inlineStr">
        <is>
          <t>5100001578</t>
        </is>
      </c>
      <c r="D3922" s="78" t="n">
        <v>46260</v>
      </c>
      <c r="E3922" s="75" t="inlineStr">
        <is>
          <t>KR</t>
        </is>
      </c>
      <c r="F3922" s="75" t="n">
        <v>63001000</v>
      </c>
      <c r="G3922" s="75" t="n">
        <v>1701</v>
      </c>
      <c r="H3922" s="76" t="n">
        <v>29941000</v>
      </c>
      <c r="I3922" s="75" t="inlineStr">
        <is>
          <t>8월 SW 유지보수 - Y소프트</t>
        </is>
      </c>
      <c r="J3922" s="75" t="inlineStr">
        <is>
          <t>V10017</t>
        </is>
      </c>
      <c r="K3922" s="75" t="inlineStr">
        <is>
          <t>Y소프트</t>
        </is>
      </c>
      <c r="M3922" s="9">
        <f>IF($A3922="","",VALUE($A3922&amp;"")*12+VALUE($B3922&amp;""))</f>
        <v/>
      </c>
      <c r="N3922" s="39">
        <f>IF($A3922="","",IFERROR(INDEX(부서매핑!$C$5:$C$504,MATCH($G3922&amp;"",부서매핑!$A$5:$A$504,0)),"미매핑"))</f>
        <v/>
      </c>
      <c r="O3922" s="9">
        <f>IF($A3922="","",N3922&amp;"|"&amp;$F3922)</f>
        <v/>
      </c>
      <c r="P3922" s="77">
        <f>IF($A3922="",0,$H3922*설정!$C$23)</f>
        <v/>
      </c>
      <c r="Q3922" s="39">
        <f>IF($A3922="","",IF(O3922&lt;&gt;원인분석!$C$9,"",IF(AND(M3922&gt;=원인분석!$C$10,M3922&lt;=원인분석!$C$11),"당기",IF(AND(M3922&gt;=원인분석!$C$12,M3922&lt;=원인분석!$C$13),"비교",""))))</f>
        <v/>
      </c>
      <c r="R3922" s="9">
        <f>IF(Q3922="","",$K3922&amp;"")</f>
        <v/>
      </c>
      <c r="S3922" s="9">
        <f>IF(Q3922="","",IF(MATCH(R3922,$R$5:$R$100000,0)=ROW()-4,ROW(),""))</f>
        <v/>
      </c>
      <c r="T3922" s="9">
        <f>IF(Q3922="당기",ABS(P3922)+ROW()/1000000000,"")</f>
        <v/>
      </c>
      <c r="U3922" s="9">
        <f>IF(Q3922="비교",ABS(P3922)+ROW()/1000000000,"")</f>
        <v/>
      </c>
      <c r="V3922" s="39">
        <f>IF($A3922="","",IF(COUNTIF(변동분석!$E$7:$E$506,O3922)&gt;0,"Y","N"))</f>
        <v/>
      </c>
      <c r="W3922" s="39">
        <f>IF($A3922="","",IFERROR(INDEX(계정매핑!$D$5:$D$504,MATCH($F3922&amp;"",계정매핑!$A$5:$A$504,0)),"미매핑"))</f>
        <v/>
      </c>
      <c r="X3922" s="9">
        <f>IF($A3922="","",$F3922&amp;"")</f>
        <v/>
      </c>
    </row>
    <row r="3923">
      <c r="A3923" s="75" t="n">
        <v>2026</v>
      </c>
      <c r="B3923" s="75" t="n">
        <v>8</v>
      </c>
      <c r="C3923" s="75" t="inlineStr">
        <is>
          <t>5100001579</t>
        </is>
      </c>
      <c r="D3923" s="78" t="n">
        <v>46261</v>
      </c>
      <c r="E3923" s="75" t="inlineStr">
        <is>
          <t>KR</t>
        </is>
      </c>
      <c r="F3923" s="75" t="n">
        <v>62101000</v>
      </c>
      <c r="G3923" s="75" t="n">
        <v>1101</v>
      </c>
      <c r="H3923" s="76" t="n">
        <v>474000</v>
      </c>
      <c r="I3923" s="75" t="inlineStr">
        <is>
          <t>8월 국내출장 - (법인카드)</t>
        </is>
      </c>
      <c r="J3923" s="75" t="inlineStr">
        <is>
          <t>V10008</t>
        </is>
      </c>
      <c r="K3923" s="75" t="inlineStr">
        <is>
          <t>(법인카드)</t>
        </is>
      </c>
      <c r="M3923" s="9">
        <f>IF($A3923="","",VALUE($A3923&amp;"")*12+VALUE($B3923&amp;""))</f>
        <v/>
      </c>
      <c r="N3923" s="39">
        <f>IF($A3923="","",IFERROR(INDEX(부서매핑!$C$5:$C$504,MATCH($G3923&amp;"",부서매핑!$A$5:$A$504,0)),"미매핑"))</f>
        <v/>
      </c>
      <c r="O3923" s="9">
        <f>IF($A3923="","",N3923&amp;"|"&amp;$F3923)</f>
        <v/>
      </c>
      <c r="P3923" s="77">
        <f>IF($A3923="",0,$H3923*설정!$C$23)</f>
        <v/>
      </c>
      <c r="Q3923" s="39">
        <f>IF($A3923="","",IF(O3923&lt;&gt;원인분석!$C$9,"",IF(AND(M3923&gt;=원인분석!$C$10,M3923&lt;=원인분석!$C$11),"당기",IF(AND(M3923&gt;=원인분석!$C$12,M3923&lt;=원인분석!$C$13),"비교",""))))</f>
        <v/>
      </c>
      <c r="R3923" s="9">
        <f>IF(Q3923="","",$K3923&amp;"")</f>
        <v/>
      </c>
      <c r="S3923" s="9">
        <f>IF(Q3923="","",IF(MATCH(R3923,$R$5:$R$100000,0)=ROW()-4,ROW(),""))</f>
        <v/>
      </c>
      <c r="T3923" s="9">
        <f>IF(Q3923="당기",ABS(P3923)+ROW()/1000000000,"")</f>
        <v/>
      </c>
      <c r="U3923" s="9">
        <f>IF(Q3923="비교",ABS(P3923)+ROW()/1000000000,"")</f>
        <v/>
      </c>
      <c r="V3923" s="39">
        <f>IF($A3923="","",IF(COUNTIF(변동분석!$E$7:$E$506,O3923)&gt;0,"Y","N"))</f>
        <v/>
      </c>
      <c r="W3923" s="39">
        <f>IF($A3923="","",IFERROR(INDEX(계정매핑!$D$5:$D$504,MATCH($F3923&amp;"",계정매핑!$A$5:$A$504,0)),"미매핑"))</f>
        <v/>
      </c>
      <c r="X3923" s="9">
        <f>IF($A3923="","",$F3923&amp;"")</f>
        <v/>
      </c>
    </row>
    <row r="3924">
      <c r="A3924" s="75" t="n">
        <v>2026</v>
      </c>
      <c r="B3924" s="75" t="n">
        <v>8</v>
      </c>
      <c r="C3924" s="75" t="inlineStr">
        <is>
          <t>5100001580</t>
        </is>
      </c>
      <c r="D3924" s="78" t="n">
        <v>46261</v>
      </c>
      <c r="E3924" s="75" t="inlineStr">
        <is>
          <t>KR</t>
        </is>
      </c>
      <c r="F3924" s="75" t="n">
        <v>62101000</v>
      </c>
      <c r="G3924" s="75" t="n">
        <v>1201</v>
      </c>
      <c r="H3924" s="76" t="n">
        <v>292000</v>
      </c>
      <c r="I3924" s="75" t="inlineStr">
        <is>
          <t>8월 국내출장 - (법인카드)</t>
        </is>
      </c>
      <c r="J3924" s="75" t="inlineStr">
        <is>
          <t>V10008</t>
        </is>
      </c>
      <c r="K3924" s="75" t="inlineStr">
        <is>
          <t>(법인카드)</t>
        </is>
      </c>
      <c r="M3924" s="9">
        <f>IF($A3924="","",VALUE($A3924&amp;"")*12+VALUE($B3924&amp;""))</f>
        <v/>
      </c>
      <c r="N3924" s="39">
        <f>IF($A3924="","",IFERROR(INDEX(부서매핑!$C$5:$C$504,MATCH($G3924&amp;"",부서매핑!$A$5:$A$504,0)),"미매핑"))</f>
        <v/>
      </c>
      <c r="O3924" s="9">
        <f>IF($A3924="","",N3924&amp;"|"&amp;$F3924)</f>
        <v/>
      </c>
      <c r="P3924" s="77">
        <f>IF($A3924="",0,$H3924*설정!$C$23)</f>
        <v/>
      </c>
      <c r="Q3924" s="39">
        <f>IF($A3924="","",IF(O3924&lt;&gt;원인분석!$C$9,"",IF(AND(M3924&gt;=원인분석!$C$10,M3924&lt;=원인분석!$C$11),"당기",IF(AND(M3924&gt;=원인분석!$C$12,M3924&lt;=원인분석!$C$13),"비교",""))))</f>
        <v/>
      </c>
      <c r="R3924" s="9">
        <f>IF(Q3924="","",$K3924&amp;"")</f>
        <v/>
      </c>
      <c r="S3924" s="9">
        <f>IF(Q3924="","",IF(MATCH(R3924,$R$5:$R$100000,0)=ROW()-4,ROW(),""))</f>
        <v/>
      </c>
      <c r="T3924" s="9">
        <f>IF(Q3924="당기",ABS(P3924)+ROW()/1000000000,"")</f>
        <v/>
      </c>
      <c r="U3924" s="9">
        <f>IF(Q3924="비교",ABS(P3924)+ROW()/1000000000,"")</f>
        <v/>
      </c>
      <c r="V3924" s="39">
        <f>IF($A3924="","",IF(COUNTIF(변동분석!$E$7:$E$506,O3924)&gt;0,"Y","N"))</f>
        <v/>
      </c>
      <c r="W3924" s="39">
        <f>IF($A3924="","",IFERROR(INDEX(계정매핑!$D$5:$D$504,MATCH($F3924&amp;"",계정매핑!$A$5:$A$504,0)),"미매핑"))</f>
        <v/>
      </c>
      <c r="X3924" s="9">
        <f>IF($A3924="","",$F3924&amp;"")</f>
        <v/>
      </c>
    </row>
    <row r="3925">
      <c r="A3925" s="75" t="n">
        <v>2026</v>
      </c>
      <c r="B3925" s="75" t="n">
        <v>8</v>
      </c>
      <c r="C3925" s="75" t="inlineStr">
        <is>
          <t>5100001581</t>
        </is>
      </c>
      <c r="D3925" s="78" t="n">
        <v>46261</v>
      </c>
      <c r="E3925" s="75" t="inlineStr">
        <is>
          <t>KR</t>
        </is>
      </c>
      <c r="F3925" s="75" t="n">
        <v>62102000</v>
      </c>
      <c r="G3925" s="75" t="n">
        <v>1602</v>
      </c>
      <c r="H3925" s="76" t="n">
        <v>247000</v>
      </c>
      <c r="I3925" s="75" t="inlineStr">
        <is>
          <t>8월 해외출장 - M항공</t>
        </is>
      </c>
      <c r="J3925" s="75" t="inlineStr">
        <is>
          <t>V10001</t>
        </is>
      </c>
      <c r="K3925" s="75" t="inlineStr">
        <is>
          <t>M항공</t>
        </is>
      </c>
      <c r="M3925" s="9">
        <f>IF($A3925="","",VALUE($A3925&amp;"")*12+VALUE($B3925&amp;""))</f>
        <v/>
      </c>
      <c r="N3925" s="39">
        <f>IF($A3925="","",IFERROR(INDEX(부서매핑!$C$5:$C$504,MATCH($G3925&amp;"",부서매핑!$A$5:$A$504,0)),"미매핑"))</f>
        <v/>
      </c>
      <c r="O3925" s="9">
        <f>IF($A3925="","",N3925&amp;"|"&amp;$F3925)</f>
        <v/>
      </c>
      <c r="P3925" s="77">
        <f>IF($A3925="",0,$H3925*설정!$C$23)</f>
        <v/>
      </c>
      <c r="Q3925" s="39">
        <f>IF($A3925="","",IF(O3925&lt;&gt;원인분석!$C$9,"",IF(AND(M3925&gt;=원인분석!$C$10,M3925&lt;=원인분석!$C$11),"당기",IF(AND(M3925&gt;=원인분석!$C$12,M3925&lt;=원인분석!$C$13),"비교",""))))</f>
        <v/>
      </c>
      <c r="R3925" s="9">
        <f>IF(Q3925="","",$K3925&amp;"")</f>
        <v/>
      </c>
      <c r="S3925" s="9">
        <f>IF(Q3925="","",IF(MATCH(R3925,$R$5:$R$100000,0)=ROW()-4,ROW(),""))</f>
        <v/>
      </c>
      <c r="T3925" s="9">
        <f>IF(Q3925="당기",ABS(P3925)+ROW()/1000000000,"")</f>
        <v/>
      </c>
      <c r="U3925" s="9">
        <f>IF(Q3925="비교",ABS(P3925)+ROW()/1000000000,"")</f>
        <v/>
      </c>
      <c r="V3925" s="39">
        <f>IF($A3925="","",IF(COUNTIF(변동분석!$E$7:$E$506,O3925)&gt;0,"Y","N"))</f>
        <v/>
      </c>
      <c r="W3925" s="39">
        <f>IF($A3925="","",IFERROR(INDEX(계정매핑!$D$5:$D$504,MATCH($F3925&amp;"",계정매핑!$A$5:$A$504,0)),"미매핑"))</f>
        <v/>
      </c>
      <c r="X3925" s="9">
        <f>IF($A3925="","",$F3925&amp;"")</f>
        <v/>
      </c>
    </row>
    <row r="3926">
      <c r="A3926" s="75" t="n">
        <v>2026</v>
      </c>
      <c r="B3926" s="75" t="n">
        <v>8</v>
      </c>
      <c r="C3926" s="75" t="inlineStr">
        <is>
          <t>5100001582</t>
        </is>
      </c>
      <c r="D3926" s="78" t="n">
        <v>46261</v>
      </c>
      <c r="E3926" s="75" t="inlineStr">
        <is>
          <t>KR</t>
        </is>
      </c>
      <c r="F3926" s="75" t="n">
        <v>62901000</v>
      </c>
      <c r="G3926" s="75" t="n">
        <v>1101</v>
      </c>
      <c r="H3926" s="76" t="n">
        <v>2309000</v>
      </c>
      <c r="I3926" s="75" t="inlineStr">
        <is>
          <t>8월 자문 수수료 - K회계법인</t>
        </is>
      </c>
      <c r="J3926" s="75" t="inlineStr">
        <is>
          <t>V10010</t>
        </is>
      </c>
      <c r="K3926" s="75" t="inlineStr">
        <is>
          <t>K회계법인</t>
        </is>
      </c>
      <c r="M3926" s="9">
        <f>IF($A3926="","",VALUE($A3926&amp;"")*12+VALUE($B3926&amp;""))</f>
        <v/>
      </c>
      <c r="N3926" s="39">
        <f>IF($A3926="","",IFERROR(INDEX(부서매핑!$C$5:$C$504,MATCH($G3926&amp;"",부서매핑!$A$5:$A$504,0)),"미매핑"))</f>
        <v/>
      </c>
      <c r="O3926" s="9">
        <f>IF($A3926="","",N3926&amp;"|"&amp;$F3926)</f>
        <v/>
      </c>
      <c r="P3926" s="77">
        <f>IF($A3926="",0,$H3926*설정!$C$23)</f>
        <v/>
      </c>
      <c r="Q3926" s="39">
        <f>IF($A3926="","",IF(O3926&lt;&gt;원인분석!$C$9,"",IF(AND(M3926&gt;=원인분석!$C$10,M3926&lt;=원인분석!$C$11),"당기",IF(AND(M3926&gt;=원인분석!$C$12,M3926&lt;=원인분석!$C$13),"비교",""))))</f>
        <v/>
      </c>
      <c r="R3926" s="9">
        <f>IF(Q3926="","",$K3926&amp;"")</f>
        <v/>
      </c>
      <c r="S3926" s="9">
        <f>IF(Q3926="","",IF(MATCH(R3926,$R$5:$R$100000,0)=ROW()-4,ROW(),""))</f>
        <v/>
      </c>
      <c r="T3926" s="9">
        <f>IF(Q3926="당기",ABS(P3926)+ROW()/1000000000,"")</f>
        <v/>
      </c>
      <c r="U3926" s="9">
        <f>IF(Q3926="비교",ABS(P3926)+ROW()/1000000000,"")</f>
        <v/>
      </c>
      <c r="V3926" s="39">
        <f>IF($A3926="","",IF(COUNTIF(변동분석!$E$7:$E$506,O3926)&gt;0,"Y","N"))</f>
        <v/>
      </c>
      <c r="W3926" s="39">
        <f>IF($A3926="","",IFERROR(INDEX(계정매핑!$D$5:$D$504,MATCH($F3926&amp;"",계정매핑!$A$5:$A$504,0)),"미매핑"))</f>
        <v/>
      </c>
      <c r="X3926" s="9">
        <f>IF($A3926="","",$F3926&amp;"")</f>
        <v/>
      </c>
    </row>
    <row r="3927">
      <c r="A3927" s="75" t="n">
        <v>2026</v>
      </c>
      <c r="B3927" s="75" t="n">
        <v>9</v>
      </c>
      <c r="C3927" s="75" t="inlineStr">
        <is>
          <t>5100001583</t>
        </is>
      </c>
      <c r="D3927" s="78" t="n">
        <v>46267</v>
      </c>
      <c r="E3927" s="75" t="inlineStr">
        <is>
          <t>KR</t>
        </is>
      </c>
      <c r="F3927" s="75" t="n">
        <v>62101000</v>
      </c>
      <c r="G3927" s="75" t="n">
        <v>1201</v>
      </c>
      <c r="H3927" s="76" t="n">
        <v>234000</v>
      </c>
      <c r="I3927" s="75" t="inlineStr">
        <is>
          <t>9월 국내출장 - (법인카드)</t>
        </is>
      </c>
      <c r="J3927" s="75" t="inlineStr">
        <is>
          <t>V10008</t>
        </is>
      </c>
      <c r="K3927" s="75" t="inlineStr">
        <is>
          <t>(법인카드)</t>
        </is>
      </c>
      <c r="M3927" s="9">
        <f>IF($A3927="","",VALUE($A3927&amp;"")*12+VALUE($B3927&amp;""))</f>
        <v/>
      </c>
      <c r="N3927" s="39">
        <f>IF($A3927="","",IFERROR(INDEX(부서매핑!$C$5:$C$504,MATCH($G3927&amp;"",부서매핑!$A$5:$A$504,0)),"미매핑"))</f>
        <v/>
      </c>
      <c r="O3927" s="9">
        <f>IF($A3927="","",N3927&amp;"|"&amp;$F3927)</f>
        <v/>
      </c>
      <c r="P3927" s="77">
        <f>IF($A3927="",0,$H3927*설정!$C$23)</f>
        <v/>
      </c>
      <c r="Q3927" s="39">
        <f>IF($A3927="","",IF(O3927&lt;&gt;원인분석!$C$9,"",IF(AND(M3927&gt;=원인분석!$C$10,M3927&lt;=원인분석!$C$11),"당기",IF(AND(M3927&gt;=원인분석!$C$12,M3927&lt;=원인분석!$C$13),"비교",""))))</f>
        <v/>
      </c>
      <c r="R3927" s="9">
        <f>IF(Q3927="","",$K3927&amp;"")</f>
        <v/>
      </c>
      <c r="S3927" s="9">
        <f>IF(Q3927="","",IF(MATCH(R3927,$R$5:$R$100000,0)=ROW()-4,ROW(),""))</f>
        <v/>
      </c>
      <c r="T3927" s="9">
        <f>IF(Q3927="당기",ABS(P3927)+ROW()/1000000000,"")</f>
        <v/>
      </c>
      <c r="U3927" s="9">
        <f>IF(Q3927="비교",ABS(P3927)+ROW()/1000000000,"")</f>
        <v/>
      </c>
      <c r="V3927" s="39">
        <f>IF($A3927="","",IF(COUNTIF(변동분석!$E$7:$E$506,O3927)&gt;0,"Y","N"))</f>
        <v/>
      </c>
      <c r="W3927" s="39">
        <f>IF($A3927="","",IFERROR(INDEX(계정매핑!$D$5:$D$504,MATCH($F3927&amp;"",계정매핑!$A$5:$A$504,0)),"미매핑"))</f>
        <v/>
      </c>
      <c r="X3927" s="9">
        <f>IF($A3927="","",$F3927&amp;"")</f>
        <v/>
      </c>
    </row>
    <row r="3928">
      <c r="A3928" s="75" t="n">
        <v>2026</v>
      </c>
      <c r="B3928" s="75" t="n">
        <v>9</v>
      </c>
      <c r="C3928" s="75" t="inlineStr">
        <is>
          <t>5100001584</t>
        </is>
      </c>
      <c r="D3928" s="78" t="n">
        <v>46267</v>
      </c>
      <c r="E3928" s="75" t="inlineStr">
        <is>
          <t>KR</t>
        </is>
      </c>
      <c r="F3928" s="75" t="n">
        <v>62101000</v>
      </c>
      <c r="G3928" s="75" t="n">
        <v>1801</v>
      </c>
      <c r="H3928" s="76" t="n">
        <v>135000</v>
      </c>
      <c r="I3928" s="75" t="inlineStr">
        <is>
          <t>9월 국내출장 - M항공</t>
        </is>
      </c>
      <c r="J3928" s="75" t="inlineStr">
        <is>
          <t>V10001</t>
        </is>
      </c>
      <c r="K3928" s="75" t="inlineStr">
        <is>
          <t>M항공</t>
        </is>
      </c>
      <c r="M3928" s="9">
        <f>IF($A3928="","",VALUE($A3928&amp;"")*12+VALUE($B3928&amp;""))</f>
        <v/>
      </c>
      <c r="N3928" s="39">
        <f>IF($A3928="","",IFERROR(INDEX(부서매핑!$C$5:$C$504,MATCH($G3928&amp;"",부서매핑!$A$5:$A$504,0)),"미매핑"))</f>
        <v/>
      </c>
      <c r="O3928" s="9">
        <f>IF($A3928="","",N3928&amp;"|"&amp;$F3928)</f>
        <v/>
      </c>
      <c r="P3928" s="77">
        <f>IF($A3928="",0,$H3928*설정!$C$23)</f>
        <v/>
      </c>
      <c r="Q3928" s="39">
        <f>IF($A3928="","",IF(O3928&lt;&gt;원인분석!$C$9,"",IF(AND(M3928&gt;=원인분석!$C$10,M3928&lt;=원인분석!$C$11),"당기",IF(AND(M3928&gt;=원인분석!$C$12,M3928&lt;=원인분석!$C$13),"비교",""))))</f>
        <v/>
      </c>
      <c r="R3928" s="9">
        <f>IF(Q3928="","",$K3928&amp;"")</f>
        <v/>
      </c>
      <c r="S3928" s="9">
        <f>IF(Q3928="","",IF(MATCH(R3928,$R$5:$R$100000,0)=ROW()-4,ROW(),""))</f>
        <v/>
      </c>
      <c r="T3928" s="9">
        <f>IF(Q3928="당기",ABS(P3928)+ROW()/1000000000,"")</f>
        <v/>
      </c>
      <c r="U3928" s="9">
        <f>IF(Q3928="비교",ABS(P3928)+ROW()/1000000000,"")</f>
        <v/>
      </c>
      <c r="V3928" s="39">
        <f>IF($A3928="","",IF(COUNTIF(변동분석!$E$7:$E$506,O3928)&gt;0,"Y","N"))</f>
        <v/>
      </c>
      <c r="W3928" s="39">
        <f>IF($A3928="","",IFERROR(INDEX(계정매핑!$D$5:$D$504,MATCH($F3928&amp;"",계정매핑!$A$5:$A$504,0)),"미매핑"))</f>
        <v/>
      </c>
      <c r="X3928" s="9">
        <f>IF($A3928="","",$F3928&amp;"")</f>
        <v/>
      </c>
    </row>
    <row r="3929">
      <c r="A3929" s="75" t="n">
        <v>2026</v>
      </c>
      <c r="B3929" s="75" t="n">
        <v>9</v>
      </c>
      <c r="C3929" s="75" t="inlineStr">
        <is>
          <t>5100001585</t>
        </is>
      </c>
      <c r="D3929" s="78" t="n">
        <v>46267</v>
      </c>
      <c r="E3929" s="75" t="inlineStr">
        <is>
          <t>KR</t>
        </is>
      </c>
      <c r="F3929" s="75" t="n">
        <v>62201000</v>
      </c>
      <c r="G3929" s="75" t="n">
        <v>1601</v>
      </c>
      <c r="H3929" s="76" t="n">
        <v>660000</v>
      </c>
      <c r="I3929" s="75" t="inlineStr">
        <is>
          <t>9월 통신요금 - P통신</t>
        </is>
      </c>
      <c r="J3929" s="75" t="inlineStr">
        <is>
          <t>V10011</t>
        </is>
      </c>
      <c r="K3929" s="75" t="inlineStr">
        <is>
          <t>P통신</t>
        </is>
      </c>
      <c r="M3929" s="9">
        <f>IF($A3929="","",VALUE($A3929&amp;"")*12+VALUE($B3929&amp;""))</f>
        <v/>
      </c>
      <c r="N3929" s="39">
        <f>IF($A3929="","",IFERROR(INDEX(부서매핑!$C$5:$C$504,MATCH($G3929&amp;"",부서매핑!$A$5:$A$504,0)),"미매핑"))</f>
        <v/>
      </c>
      <c r="O3929" s="9">
        <f>IF($A3929="","",N3929&amp;"|"&amp;$F3929)</f>
        <v/>
      </c>
      <c r="P3929" s="77">
        <f>IF($A3929="",0,$H3929*설정!$C$23)</f>
        <v/>
      </c>
      <c r="Q3929" s="39">
        <f>IF($A3929="","",IF(O3929&lt;&gt;원인분석!$C$9,"",IF(AND(M3929&gt;=원인분석!$C$10,M3929&lt;=원인분석!$C$11),"당기",IF(AND(M3929&gt;=원인분석!$C$12,M3929&lt;=원인분석!$C$13),"비교",""))))</f>
        <v/>
      </c>
      <c r="R3929" s="9">
        <f>IF(Q3929="","",$K3929&amp;"")</f>
        <v/>
      </c>
      <c r="S3929" s="9">
        <f>IF(Q3929="","",IF(MATCH(R3929,$R$5:$R$100000,0)=ROW()-4,ROW(),""))</f>
        <v/>
      </c>
      <c r="T3929" s="9">
        <f>IF(Q3929="당기",ABS(P3929)+ROW()/1000000000,"")</f>
        <v/>
      </c>
      <c r="U3929" s="9">
        <f>IF(Q3929="비교",ABS(P3929)+ROW()/1000000000,"")</f>
        <v/>
      </c>
      <c r="V3929" s="39">
        <f>IF($A3929="","",IF(COUNTIF(변동분석!$E$7:$E$506,O3929)&gt;0,"Y","N"))</f>
        <v/>
      </c>
      <c r="W3929" s="39">
        <f>IF($A3929="","",IFERROR(INDEX(계정매핑!$D$5:$D$504,MATCH($F3929&amp;"",계정매핑!$A$5:$A$504,0)),"미매핑"))</f>
        <v/>
      </c>
      <c r="X3929" s="9">
        <f>IF($A3929="","",$F3929&amp;"")</f>
        <v/>
      </c>
    </row>
    <row r="3930">
      <c r="A3930" s="75" t="n">
        <v>2026</v>
      </c>
      <c r="B3930" s="75" t="n">
        <v>9</v>
      </c>
      <c r="C3930" s="75" t="inlineStr">
        <is>
          <t>5100001586</t>
        </is>
      </c>
      <c r="D3930" s="78" t="n">
        <v>46267</v>
      </c>
      <c r="E3930" s="75" t="inlineStr">
        <is>
          <t>KR</t>
        </is>
      </c>
      <c r="F3930" s="75" t="n">
        <v>62301000</v>
      </c>
      <c r="G3930" s="75" t="n">
        <v>1401</v>
      </c>
      <c r="H3930" s="76" t="n">
        <v>127000</v>
      </c>
      <c r="I3930" s="75" t="inlineStr">
        <is>
          <t>9월 소모품 구입 - R문구</t>
        </is>
      </c>
      <c r="J3930" s="75" t="inlineStr">
        <is>
          <t>V10018</t>
        </is>
      </c>
      <c r="K3930" s="75" t="inlineStr">
        <is>
          <t>R문구</t>
        </is>
      </c>
      <c r="M3930" s="9">
        <f>IF($A3930="","",VALUE($A3930&amp;"")*12+VALUE($B3930&amp;""))</f>
        <v/>
      </c>
      <c r="N3930" s="39">
        <f>IF($A3930="","",IFERROR(INDEX(부서매핑!$C$5:$C$504,MATCH($G3930&amp;"",부서매핑!$A$5:$A$504,0)),"미매핑"))</f>
        <v/>
      </c>
      <c r="O3930" s="9">
        <f>IF($A3930="","",N3930&amp;"|"&amp;$F3930)</f>
        <v/>
      </c>
      <c r="P3930" s="77">
        <f>IF($A3930="",0,$H3930*설정!$C$23)</f>
        <v/>
      </c>
      <c r="Q3930" s="39">
        <f>IF($A3930="","",IF(O3930&lt;&gt;원인분석!$C$9,"",IF(AND(M3930&gt;=원인분석!$C$10,M3930&lt;=원인분석!$C$11),"당기",IF(AND(M3930&gt;=원인분석!$C$12,M3930&lt;=원인분석!$C$13),"비교",""))))</f>
        <v/>
      </c>
      <c r="R3930" s="9">
        <f>IF(Q3930="","",$K3930&amp;"")</f>
        <v/>
      </c>
      <c r="S3930" s="9">
        <f>IF(Q3930="","",IF(MATCH(R3930,$R$5:$R$100000,0)=ROW()-4,ROW(),""))</f>
        <v/>
      </c>
      <c r="T3930" s="9">
        <f>IF(Q3930="당기",ABS(P3930)+ROW()/1000000000,"")</f>
        <v/>
      </c>
      <c r="U3930" s="9">
        <f>IF(Q3930="비교",ABS(P3930)+ROW()/1000000000,"")</f>
        <v/>
      </c>
      <c r="V3930" s="39">
        <f>IF($A3930="","",IF(COUNTIF(변동분석!$E$7:$E$506,O3930)&gt;0,"Y","N"))</f>
        <v/>
      </c>
      <c r="W3930" s="39">
        <f>IF($A3930="","",IFERROR(INDEX(계정매핑!$D$5:$D$504,MATCH($F3930&amp;"",계정매핑!$A$5:$A$504,0)),"미매핑"))</f>
        <v/>
      </c>
      <c r="X3930" s="9">
        <f>IF($A3930="","",$F3930&amp;"")</f>
        <v/>
      </c>
    </row>
    <row r="3931">
      <c r="A3931" s="75" t="n">
        <v>2026</v>
      </c>
      <c r="B3931" s="75" t="n">
        <v>9</v>
      </c>
      <c r="C3931" s="75" t="inlineStr">
        <is>
          <t>5100001587</t>
        </is>
      </c>
      <c r="D3931" s="78" t="n">
        <v>46267</v>
      </c>
      <c r="E3931" s="75" t="inlineStr">
        <is>
          <t>KR</t>
        </is>
      </c>
      <c r="F3931" s="75" t="n">
        <v>62501000</v>
      </c>
      <c r="G3931" s="75" t="n">
        <v>1401</v>
      </c>
      <c r="H3931" s="76" t="n">
        <v>153000</v>
      </c>
      <c r="I3931" s="75" t="inlineStr">
        <is>
          <t>9월 회의 다과 - (법인카드)</t>
        </is>
      </c>
      <c r="J3931" s="75" t="inlineStr">
        <is>
          <t>V10008</t>
        </is>
      </c>
      <c r="K3931" s="75" t="inlineStr">
        <is>
          <t>(법인카드)</t>
        </is>
      </c>
      <c r="M3931" s="9">
        <f>IF($A3931="","",VALUE($A3931&amp;"")*12+VALUE($B3931&amp;""))</f>
        <v/>
      </c>
      <c r="N3931" s="39">
        <f>IF($A3931="","",IFERROR(INDEX(부서매핑!$C$5:$C$504,MATCH($G3931&amp;"",부서매핑!$A$5:$A$504,0)),"미매핑"))</f>
        <v/>
      </c>
      <c r="O3931" s="9">
        <f>IF($A3931="","",N3931&amp;"|"&amp;$F3931)</f>
        <v/>
      </c>
      <c r="P3931" s="77">
        <f>IF($A3931="",0,$H3931*설정!$C$23)</f>
        <v/>
      </c>
      <c r="Q3931" s="39">
        <f>IF($A3931="","",IF(O3931&lt;&gt;원인분석!$C$9,"",IF(AND(M3931&gt;=원인분석!$C$10,M3931&lt;=원인분석!$C$11),"당기",IF(AND(M3931&gt;=원인분석!$C$12,M3931&lt;=원인분석!$C$13),"비교",""))))</f>
        <v/>
      </c>
      <c r="R3931" s="9">
        <f>IF(Q3931="","",$K3931&amp;"")</f>
        <v/>
      </c>
      <c r="S3931" s="9">
        <f>IF(Q3931="","",IF(MATCH(R3931,$R$5:$R$100000,0)=ROW()-4,ROW(),""))</f>
        <v/>
      </c>
      <c r="T3931" s="9">
        <f>IF(Q3931="당기",ABS(P3931)+ROW()/1000000000,"")</f>
        <v/>
      </c>
      <c r="U3931" s="9">
        <f>IF(Q3931="비교",ABS(P3931)+ROW()/1000000000,"")</f>
        <v/>
      </c>
      <c r="V3931" s="39">
        <f>IF($A3931="","",IF(COUNTIF(변동분석!$E$7:$E$506,O3931)&gt;0,"Y","N"))</f>
        <v/>
      </c>
      <c r="W3931" s="39">
        <f>IF($A3931="","",IFERROR(INDEX(계정매핑!$D$5:$D$504,MATCH($F3931&amp;"",계정매핑!$A$5:$A$504,0)),"미매핑"))</f>
        <v/>
      </c>
      <c r="X3931" s="9">
        <f>IF($A3931="","",$F3931&amp;"")</f>
        <v/>
      </c>
    </row>
    <row r="3932">
      <c r="A3932" s="75" t="n">
        <v>2026</v>
      </c>
      <c r="B3932" s="75" t="n">
        <v>9</v>
      </c>
      <c r="C3932" s="75" t="inlineStr">
        <is>
          <t>5100001588</t>
        </is>
      </c>
      <c r="D3932" s="78" t="n">
        <v>46267</v>
      </c>
      <c r="E3932" s="75" t="inlineStr">
        <is>
          <t>KR</t>
        </is>
      </c>
      <c r="F3932" s="75" t="n">
        <v>62902000</v>
      </c>
      <c r="G3932" s="75" t="n">
        <v>1801</v>
      </c>
      <c r="H3932" s="76" t="n">
        <v>1754000</v>
      </c>
      <c r="I3932" s="75" t="inlineStr">
        <is>
          <t>9월 콜 위탁 수수료(건별)</t>
        </is>
      </c>
      <c r="J3932" s="75" t="inlineStr">
        <is>
          <t>V10013</t>
        </is>
      </c>
      <c r="K3932" s="75" t="inlineStr">
        <is>
          <t>J콜센터</t>
        </is>
      </c>
      <c r="M3932" s="9">
        <f>IF($A3932="","",VALUE($A3932&amp;"")*12+VALUE($B3932&amp;""))</f>
        <v/>
      </c>
      <c r="N3932" s="39">
        <f>IF($A3932="","",IFERROR(INDEX(부서매핑!$C$5:$C$504,MATCH($G3932&amp;"",부서매핑!$A$5:$A$504,0)),"미매핑"))</f>
        <v/>
      </c>
      <c r="O3932" s="9">
        <f>IF($A3932="","",N3932&amp;"|"&amp;$F3932)</f>
        <v/>
      </c>
      <c r="P3932" s="77">
        <f>IF($A3932="",0,$H3932*설정!$C$23)</f>
        <v/>
      </c>
      <c r="Q3932" s="39">
        <f>IF($A3932="","",IF(O3932&lt;&gt;원인분석!$C$9,"",IF(AND(M3932&gt;=원인분석!$C$10,M3932&lt;=원인분석!$C$11),"당기",IF(AND(M3932&gt;=원인분석!$C$12,M3932&lt;=원인분석!$C$13),"비교",""))))</f>
        <v/>
      </c>
      <c r="R3932" s="9">
        <f>IF(Q3932="","",$K3932&amp;"")</f>
        <v/>
      </c>
      <c r="S3932" s="9">
        <f>IF(Q3932="","",IF(MATCH(R3932,$R$5:$R$100000,0)=ROW()-4,ROW(),""))</f>
        <v/>
      </c>
      <c r="T3932" s="9">
        <f>IF(Q3932="당기",ABS(P3932)+ROW()/1000000000,"")</f>
        <v/>
      </c>
      <c r="U3932" s="9">
        <f>IF(Q3932="비교",ABS(P3932)+ROW()/1000000000,"")</f>
        <v/>
      </c>
      <c r="V3932" s="39">
        <f>IF($A3932="","",IF(COUNTIF(변동분석!$E$7:$E$506,O3932)&gt;0,"Y","N"))</f>
        <v/>
      </c>
      <c r="W3932" s="39">
        <f>IF($A3932="","",IFERROR(INDEX(계정매핑!$D$5:$D$504,MATCH($F3932&amp;"",계정매핑!$A$5:$A$504,0)),"미매핑"))</f>
        <v/>
      </c>
      <c r="X3932" s="9">
        <f>IF($A3932="","",$F3932&amp;"")</f>
        <v/>
      </c>
    </row>
    <row r="3933">
      <c r="A3933" s="75" t="n">
        <v>2026</v>
      </c>
      <c r="B3933" s="75" t="n">
        <v>9</v>
      </c>
      <c r="C3933" s="75" t="inlineStr">
        <is>
          <t>5100001589</t>
        </is>
      </c>
      <c r="D3933" s="78" t="n">
        <v>46268</v>
      </c>
      <c r="E3933" s="75" t="inlineStr">
        <is>
          <t>KR</t>
        </is>
      </c>
      <c r="F3933" s="75" t="n">
        <v>62101000</v>
      </c>
      <c r="G3933" s="75" t="n">
        <v>1101</v>
      </c>
      <c r="H3933" s="76" t="n">
        <v>562000</v>
      </c>
      <c r="I3933" s="75" t="inlineStr">
        <is>
          <t>9월 국내출장 - (법인카드)</t>
        </is>
      </c>
      <c r="J3933" s="75" t="inlineStr">
        <is>
          <t>V10008</t>
        </is>
      </c>
      <c r="K3933" s="75" t="inlineStr">
        <is>
          <t>(법인카드)</t>
        </is>
      </c>
      <c r="M3933" s="9">
        <f>IF($A3933="","",VALUE($A3933&amp;"")*12+VALUE($B3933&amp;""))</f>
        <v/>
      </c>
      <c r="N3933" s="39">
        <f>IF($A3933="","",IFERROR(INDEX(부서매핑!$C$5:$C$504,MATCH($G3933&amp;"",부서매핑!$A$5:$A$504,0)),"미매핑"))</f>
        <v/>
      </c>
      <c r="O3933" s="9">
        <f>IF($A3933="","",N3933&amp;"|"&amp;$F3933)</f>
        <v/>
      </c>
      <c r="P3933" s="77">
        <f>IF($A3933="",0,$H3933*설정!$C$23)</f>
        <v/>
      </c>
      <c r="Q3933" s="39">
        <f>IF($A3933="","",IF(O3933&lt;&gt;원인분석!$C$9,"",IF(AND(M3933&gt;=원인분석!$C$10,M3933&lt;=원인분석!$C$11),"당기",IF(AND(M3933&gt;=원인분석!$C$12,M3933&lt;=원인분석!$C$13),"비교",""))))</f>
        <v/>
      </c>
      <c r="R3933" s="9">
        <f>IF(Q3933="","",$K3933&amp;"")</f>
        <v/>
      </c>
      <c r="S3933" s="9">
        <f>IF(Q3933="","",IF(MATCH(R3933,$R$5:$R$100000,0)=ROW()-4,ROW(),""))</f>
        <v/>
      </c>
      <c r="T3933" s="9">
        <f>IF(Q3933="당기",ABS(P3933)+ROW()/1000000000,"")</f>
        <v/>
      </c>
      <c r="U3933" s="9">
        <f>IF(Q3933="비교",ABS(P3933)+ROW()/1000000000,"")</f>
        <v/>
      </c>
      <c r="V3933" s="39">
        <f>IF($A3933="","",IF(COUNTIF(변동분석!$E$7:$E$506,O3933)&gt;0,"Y","N"))</f>
        <v/>
      </c>
      <c r="W3933" s="39">
        <f>IF($A3933="","",IFERROR(INDEX(계정매핑!$D$5:$D$504,MATCH($F3933&amp;"",계정매핑!$A$5:$A$504,0)),"미매핑"))</f>
        <v/>
      </c>
      <c r="X3933" s="9">
        <f>IF($A3933="","",$F3933&amp;"")</f>
        <v/>
      </c>
    </row>
    <row r="3934">
      <c r="A3934" s="75" t="n">
        <v>2026</v>
      </c>
      <c r="B3934" s="75" t="n">
        <v>9</v>
      </c>
      <c r="C3934" s="75" t="inlineStr">
        <is>
          <t>5100001590</t>
        </is>
      </c>
      <c r="D3934" s="78" t="n">
        <v>46268</v>
      </c>
      <c r="E3934" s="75" t="inlineStr">
        <is>
          <t>KR</t>
        </is>
      </c>
      <c r="F3934" s="75" t="n">
        <v>62101000</v>
      </c>
      <c r="G3934" s="75" t="n">
        <v>1701</v>
      </c>
      <c r="H3934" s="76" t="n">
        <v>170000</v>
      </c>
      <c r="I3934" s="75" t="inlineStr">
        <is>
          <t>9월 국내출장 - L여행사</t>
        </is>
      </c>
      <c r="J3934" s="75" t="inlineStr">
        <is>
          <t>V10014</t>
        </is>
      </c>
      <c r="K3934" s="75" t="inlineStr">
        <is>
          <t>L여행사</t>
        </is>
      </c>
      <c r="M3934" s="9">
        <f>IF($A3934="","",VALUE($A3934&amp;"")*12+VALUE($B3934&amp;""))</f>
        <v/>
      </c>
      <c r="N3934" s="39">
        <f>IF($A3934="","",IFERROR(INDEX(부서매핑!$C$5:$C$504,MATCH($G3934&amp;"",부서매핑!$A$5:$A$504,0)),"미매핑"))</f>
        <v/>
      </c>
      <c r="O3934" s="9">
        <f>IF($A3934="","",N3934&amp;"|"&amp;$F3934)</f>
        <v/>
      </c>
      <c r="P3934" s="77">
        <f>IF($A3934="",0,$H3934*설정!$C$23)</f>
        <v/>
      </c>
      <c r="Q3934" s="39">
        <f>IF($A3934="","",IF(O3934&lt;&gt;원인분석!$C$9,"",IF(AND(M3934&gt;=원인분석!$C$10,M3934&lt;=원인분석!$C$11),"당기",IF(AND(M3934&gt;=원인분석!$C$12,M3934&lt;=원인분석!$C$13),"비교",""))))</f>
        <v/>
      </c>
      <c r="R3934" s="9">
        <f>IF(Q3934="","",$K3934&amp;"")</f>
        <v/>
      </c>
      <c r="S3934" s="9">
        <f>IF(Q3934="","",IF(MATCH(R3934,$R$5:$R$100000,0)=ROW()-4,ROW(),""))</f>
        <v/>
      </c>
      <c r="T3934" s="9">
        <f>IF(Q3934="당기",ABS(P3934)+ROW()/1000000000,"")</f>
        <v/>
      </c>
      <c r="U3934" s="9">
        <f>IF(Q3934="비교",ABS(P3934)+ROW()/1000000000,"")</f>
        <v/>
      </c>
      <c r="V3934" s="39">
        <f>IF($A3934="","",IF(COUNTIF(변동분석!$E$7:$E$506,O3934)&gt;0,"Y","N"))</f>
        <v/>
      </c>
      <c r="W3934" s="39">
        <f>IF($A3934="","",IFERROR(INDEX(계정매핑!$D$5:$D$504,MATCH($F3934&amp;"",계정매핑!$A$5:$A$504,0)),"미매핑"))</f>
        <v/>
      </c>
      <c r="X3934" s="9">
        <f>IF($A3934="","",$F3934&amp;"")</f>
        <v/>
      </c>
    </row>
    <row r="3935">
      <c r="A3935" s="75" t="n">
        <v>2026</v>
      </c>
      <c r="B3935" s="75" t="n">
        <v>9</v>
      </c>
      <c r="C3935" s="75" t="inlineStr">
        <is>
          <t>5100001591</t>
        </is>
      </c>
      <c r="D3935" s="78" t="n">
        <v>46268</v>
      </c>
      <c r="E3935" s="75" t="inlineStr">
        <is>
          <t>KR</t>
        </is>
      </c>
      <c r="F3935" s="75" t="n">
        <v>62102000</v>
      </c>
      <c r="G3935" s="75" t="n">
        <v>1502</v>
      </c>
      <c r="H3935" s="76" t="n">
        <v>89000</v>
      </c>
      <c r="I3935" s="75" t="inlineStr">
        <is>
          <t>9월 해외출장 - N호텔</t>
        </is>
      </c>
      <c r="J3935" s="75" t="inlineStr">
        <is>
          <t>V10007</t>
        </is>
      </c>
      <c r="K3935" s="75" t="inlineStr">
        <is>
          <t>N호텔</t>
        </is>
      </c>
      <c r="M3935" s="9">
        <f>IF($A3935="","",VALUE($A3935&amp;"")*12+VALUE($B3935&amp;""))</f>
        <v/>
      </c>
      <c r="N3935" s="39">
        <f>IF($A3935="","",IFERROR(INDEX(부서매핑!$C$5:$C$504,MATCH($G3935&amp;"",부서매핑!$A$5:$A$504,0)),"미매핑"))</f>
        <v/>
      </c>
      <c r="O3935" s="9">
        <f>IF($A3935="","",N3935&amp;"|"&amp;$F3935)</f>
        <v/>
      </c>
      <c r="P3935" s="77">
        <f>IF($A3935="",0,$H3935*설정!$C$23)</f>
        <v/>
      </c>
      <c r="Q3935" s="39">
        <f>IF($A3935="","",IF(O3935&lt;&gt;원인분석!$C$9,"",IF(AND(M3935&gt;=원인분석!$C$10,M3935&lt;=원인분석!$C$11),"당기",IF(AND(M3935&gt;=원인분석!$C$12,M3935&lt;=원인분석!$C$13),"비교",""))))</f>
        <v/>
      </c>
      <c r="R3935" s="9">
        <f>IF(Q3935="","",$K3935&amp;"")</f>
        <v/>
      </c>
      <c r="S3935" s="9">
        <f>IF(Q3935="","",IF(MATCH(R3935,$R$5:$R$100000,0)=ROW()-4,ROW(),""))</f>
        <v/>
      </c>
      <c r="T3935" s="9">
        <f>IF(Q3935="당기",ABS(P3935)+ROW()/1000000000,"")</f>
        <v/>
      </c>
      <c r="U3935" s="9">
        <f>IF(Q3935="비교",ABS(P3935)+ROW()/1000000000,"")</f>
        <v/>
      </c>
      <c r="V3935" s="39">
        <f>IF($A3935="","",IF(COUNTIF(변동분석!$E$7:$E$506,O3935)&gt;0,"Y","N"))</f>
        <v/>
      </c>
      <c r="W3935" s="39">
        <f>IF($A3935="","",IFERROR(INDEX(계정매핑!$D$5:$D$504,MATCH($F3935&amp;"",계정매핑!$A$5:$A$504,0)),"미매핑"))</f>
        <v/>
      </c>
      <c r="X3935" s="9">
        <f>IF($A3935="","",$F3935&amp;"")</f>
        <v/>
      </c>
    </row>
    <row r="3936">
      <c r="A3936" s="75" t="n">
        <v>2026</v>
      </c>
      <c r="B3936" s="75" t="n">
        <v>9</v>
      </c>
      <c r="C3936" s="75" t="inlineStr">
        <is>
          <t>5100001592</t>
        </is>
      </c>
      <c r="D3936" s="78" t="n">
        <v>46268</v>
      </c>
      <c r="E3936" s="75" t="inlineStr">
        <is>
          <t>KR</t>
        </is>
      </c>
      <c r="F3936" s="75" t="n">
        <v>62201000</v>
      </c>
      <c r="G3936" s="75" t="n">
        <v>1101</v>
      </c>
      <c r="H3936" s="76" t="n">
        <v>215000</v>
      </c>
      <c r="I3936" s="75" t="inlineStr">
        <is>
          <t>9월 통신요금 - O텔레콤</t>
        </is>
      </c>
      <c r="J3936" s="75" t="inlineStr">
        <is>
          <t>V10002</t>
        </is>
      </c>
      <c r="K3936" s="75" t="inlineStr">
        <is>
          <t>O텔레콤</t>
        </is>
      </c>
      <c r="M3936" s="9">
        <f>IF($A3936="","",VALUE($A3936&amp;"")*12+VALUE($B3936&amp;""))</f>
        <v/>
      </c>
      <c r="N3936" s="39">
        <f>IF($A3936="","",IFERROR(INDEX(부서매핑!$C$5:$C$504,MATCH($G3936&amp;"",부서매핑!$A$5:$A$504,0)),"미매핑"))</f>
        <v/>
      </c>
      <c r="O3936" s="9">
        <f>IF($A3936="","",N3936&amp;"|"&amp;$F3936)</f>
        <v/>
      </c>
      <c r="P3936" s="77">
        <f>IF($A3936="",0,$H3936*설정!$C$23)</f>
        <v/>
      </c>
      <c r="Q3936" s="39">
        <f>IF($A3936="","",IF(O3936&lt;&gt;원인분석!$C$9,"",IF(AND(M3936&gt;=원인분석!$C$10,M3936&lt;=원인분석!$C$11),"당기",IF(AND(M3936&gt;=원인분석!$C$12,M3936&lt;=원인분석!$C$13),"비교",""))))</f>
        <v/>
      </c>
      <c r="R3936" s="9">
        <f>IF(Q3936="","",$K3936&amp;"")</f>
        <v/>
      </c>
      <c r="S3936" s="9">
        <f>IF(Q3936="","",IF(MATCH(R3936,$R$5:$R$100000,0)=ROW()-4,ROW(),""))</f>
        <v/>
      </c>
      <c r="T3936" s="9">
        <f>IF(Q3936="당기",ABS(P3936)+ROW()/1000000000,"")</f>
        <v/>
      </c>
      <c r="U3936" s="9">
        <f>IF(Q3936="비교",ABS(P3936)+ROW()/1000000000,"")</f>
        <v/>
      </c>
      <c r="V3936" s="39">
        <f>IF($A3936="","",IF(COUNTIF(변동분석!$E$7:$E$506,O3936)&gt;0,"Y","N"))</f>
        <v/>
      </c>
      <c r="W3936" s="39">
        <f>IF($A3936="","",IFERROR(INDEX(계정매핑!$D$5:$D$504,MATCH($F3936&amp;"",계정매핑!$A$5:$A$504,0)),"미매핑"))</f>
        <v/>
      </c>
      <c r="X3936" s="9">
        <f>IF($A3936="","",$F3936&amp;"")</f>
        <v/>
      </c>
    </row>
    <row r="3937">
      <c r="A3937" s="75" t="n">
        <v>2026</v>
      </c>
      <c r="B3937" s="75" t="n">
        <v>9</v>
      </c>
      <c r="C3937" s="75" t="inlineStr">
        <is>
          <t>5100001593</t>
        </is>
      </c>
      <c r="D3937" s="78" t="n">
        <v>46268</v>
      </c>
      <c r="E3937" s="75" t="inlineStr">
        <is>
          <t>KR</t>
        </is>
      </c>
      <c r="F3937" s="75" t="n">
        <v>62201000</v>
      </c>
      <c r="G3937" s="75" t="n">
        <v>1301</v>
      </c>
      <c r="H3937" s="76" t="n">
        <v>188000</v>
      </c>
      <c r="I3937" s="75" t="inlineStr">
        <is>
          <t>9월 통신요금 - O텔레콤</t>
        </is>
      </c>
      <c r="J3937" s="75" t="inlineStr">
        <is>
          <t>V10002</t>
        </is>
      </c>
      <c r="K3937" s="75" t="inlineStr">
        <is>
          <t>O텔레콤</t>
        </is>
      </c>
      <c r="M3937" s="9">
        <f>IF($A3937="","",VALUE($A3937&amp;"")*12+VALUE($B3937&amp;""))</f>
        <v/>
      </c>
      <c r="N3937" s="39">
        <f>IF($A3937="","",IFERROR(INDEX(부서매핑!$C$5:$C$504,MATCH($G3937&amp;"",부서매핑!$A$5:$A$504,0)),"미매핑"))</f>
        <v/>
      </c>
      <c r="O3937" s="9">
        <f>IF($A3937="","",N3937&amp;"|"&amp;$F3937)</f>
        <v/>
      </c>
      <c r="P3937" s="77">
        <f>IF($A3937="",0,$H3937*설정!$C$23)</f>
        <v/>
      </c>
      <c r="Q3937" s="39">
        <f>IF($A3937="","",IF(O3937&lt;&gt;원인분석!$C$9,"",IF(AND(M3937&gt;=원인분석!$C$10,M3937&lt;=원인분석!$C$11),"당기",IF(AND(M3937&gt;=원인분석!$C$12,M3937&lt;=원인분석!$C$13),"비교",""))))</f>
        <v/>
      </c>
      <c r="R3937" s="9">
        <f>IF(Q3937="","",$K3937&amp;"")</f>
        <v/>
      </c>
      <c r="S3937" s="9">
        <f>IF(Q3937="","",IF(MATCH(R3937,$R$5:$R$100000,0)=ROW()-4,ROW(),""))</f>
        <v/>
      </c>
      <c r="T3937" s="9">
        <f>IF(Q3937="당기",ABS(P3937)+ROW()/1000000000,"")</f>
        <v/>
      </c>
      <c r="U3937" s="9">
        <f>IF(Q3937="비교",ABS(P3937)+ROW()/1000000000,"")</f>
        <v/>
      </c>
      <c r="V3937" s="39">
        <f>IF($A3937="","",IF(COUNTIF(변동분석!$E$7:$E$506,O3937)&gt;0,"Y","N"))</f>
        <v/>
      </c>
      <c r="W3937" s="39">
        <f>IF($A3937="","",IFERROR(INDEX(계정매핑!$D$5:$D$504,MATCH($F3937&amp;"",계정매핑!$A$5:$A$504,0)),"미매핑"))</f>
        <v/>
      </c>
      <c r="X3937" s="9">
        <f>IF($A3937="","",$F3937&amp;"")</f>
        <v/>
      </c>
    </row>
    <row r="3938">
      <c r="A3938" s="75" t="n">
        <v>2026</v>
      </c>
      <c r="B3938" s="75" t="n">
        <v>9</v>
      </c>
      <c r="C3938" s="75" t="inlineStr">
        <is>
          <t>5100001594</t>
        </is>
      </c>
      <c r="D3938" s="78" t="n">
        <v>46268</v>
      </c>
      <c r="E3938" s="75" t="inlineStr">
        <is>
          <t>KR</t>
        </is>
      </c>
      <c r="F3938" s="75" t="n">
        <v>62301000</v>
      </c>
      <c r="G3938" s="75" t="n">
        <v>1602</v>
      </c>
      <c r="H3938" s="76" t="n">
        <v>377000</v>
      </c>
      <c r="I3938" s="75" t="inlineStr">
        <is>
          <t>9월 소모품 구입 - Q오피스</t>
        </is>
      </c>
      <c r="J3938" s="75" t="inlineStr">
        <is>
          <t>V10003</t>
        </is>
      </c>
      <c r="K3938" s="75" t="inlineStr">
        <is>
          <t>Q오피스</t>
        </is>
      </c>
      <c r="M3938" s="9">
        <f>IF($A3938="","",VALUE($A3938&amp;"")*12+VALUE($B3938&amp;""))</f>
        <v/>
      </c>
      <c r="N3938" s="39">
        <f>IF($A3938="","",IFERROR(INDEX(부서매핑!$C$5:$C$504,MATCH($G3938&amp;"",부서매핑!$A$5:$A$504,0)),"미매핑"))</f>
        <v/>
      </c>
      <c r="O3938" s="9">
        <f>IF($A3938="","",N3938&amp;"|"&amp;$F3938)</f>
        <v/>
      </c>
      <c r="P3938" s="77">
        <f>IF($A3938="",0,$H3938*설정!$C$23)</f>
        <v/>
      </c>
      <c r="Q3938" s="39">
        <f>IF($A3938="","",IF(O3938&lt;&gt;원인분석!$C$9,"",IF(AND(M3938&gt;=원인분석!$C$10,M3938&lt;=원인분석!$C$11),"당기",IF(AND(M3938&gt;=원인분석!$C$12,M3938&lt;=원인분석!$C$13),"비교",""))))</f>
        <v/>
      </c>
      <c r="R3938" s="9">
        <f>IF(Q3938="","",$K3938&amp;"")</f>
        <v/>
      </c>
      <c r="S3938" s="9">
        <f>IF(Q3938="","",IF(MATCH(R3938,$R$5:$R$100000,0)=ROW()-4,ROW(),""))</f>
        <v/>
      </c>
      <c r="T3938" s="9">
        <f>IF(Q3938="당기",ABS(P3938)+ROW()/1000000000,"")</f>
        <v/>
      </c>
      <c r="U3938" s="9">
        <f>IF(Q3938="비교",ABS(P3938)+ROW()/1000000000,"")</f>
        <v/>
      </c>
      <c r="V3938" s="39">
        <f>IF($A3938="","",IF(COUNTIF(변동분석!$E$7:$E$506,O3938)&gt;0,"Y","N"))</f>
        <v/>
      </c>
      <c r="W3938" s="39">
        <f>IF($A3938="","",IFERROR(INDEX(계정매핑!$D$5:$D$504,MATCH($F3938&amp;"",계정매핑!$A$5:$A$504,0)),"미매핑"))</f>
        <v/>
      </c>
      <c r="X3938" s="9">
        <f>IF($A3938="","",$F3938&amp;"")</f>
        <v/>
      </c>
    </row>
    <row r="3939">
      <c r="A3939" s="75" t="n">
        <v>2026</v>
      </c>
      <c r="B3939" s="75" t="n">
        <v>9</v>
      </c>
      <c r="C3939" s="75" t="inlineStr">
        <is>
          <t>5100001595</t>
        </is>
      </c>
      <c r="D3939" s="78" t="n">
        <v>46268</v>
      </c>
      <c r="E3939" s="75" t="inlineStr">
        <is>
          <t>KR</t>
        </is>
      </c>
      <c r="F3939" s="75" t="n">
        <v>62501000</v>
      </c>
      <c r="G3939" s="75" t="n">
        <v>1301</v>
      </c>
      <c r="H3939" s="76" t="n">
        <v>166000</v>
      </c>
      <c r="I3939" s="75" t="inlineStr">
        <is>
          <t>9월 회의 다과 - (법인카드)</t>
        </is>
      </c>
      <c r="J3939" s="75" t="inlineStr">
        <is>
          <t>V10008</t>
        </is>
      </c>
      <c r="K3939" s="75" t="inlineStr">
        <is>
          <t>(법인카드)</t>
        </is>
      </c>
      <c r="M3939" s="9">
        <f>IF($A3939="","",VALUE($A3939&amp;"")*12+VALUE($B3939&amp;""))</f>
        <v/>
      </c>
      <c r="N3939" s="39">
        <f>IF($A3939="","",IFERROR(INDEX(부서매핑!$C$5:$C$504,MATCH($G3939&amp;"",부서매핑!$A$5:$A$504,0)),"미매핑"))</f>
        <v/>
      </c>
      <c r="O3939" s="9">
        <f>IF($A3939="","",N3939&amp;"|"&amp;$F3939)</f>
        <v/>
      </c>
      <c r="P3939" s="77">
        <f>IF($A3939="",0,$H3939*설정!$C$23)</f>
        <v/>
      </c>
      <c r="Q3939" s="39">
        <f>IF($A3939="","",IF(O3939&lt;&gt;원인분석!$C$9,"",IF(AND(M3939&gt;=원인분석!$C$10,M3939&lt;=원인분석!$C$11),"당기",IF(AND(M3939&gt;=원인분석!$C$12,M3939&lt;=원인분석!$C$13),"비교",""))))</f>
        <v/>
      </c>
      <c r="R3939" s="9">
        <f>IF(Q3939="","",$K3939&amp;"")</f>
        <v/>
      </c>
      <c r="S3939" s="9">
        <f>IF(Q3939="","",IF(MATCH(R3939,$R$5:$R$100000,0)=ROW()-4,ROW(),""))</f>
        <v/>
      </c>
      <c r="T3939" s="9">
        <f>IF(Q3939="당기",ABS(P3939)+ROW()/1000000000,"")</f>
        <v/>
      </c>
      <c r="U3939" s="9">
        <f>IF(Q3939="비교",ABS(P3939)+ROW()/1000000000,"")</f>
        <v/>
      </c>
      <c r="V3939" s="39">
        <f>IF($A3939="","",IF(COUNTIF(변동분석!$E$7:$E$506,O3939)&gt;0,"Y","N"))</f>
        <v/>
      </c>
      <c r="W3939" s="39">
        <f>IF($A3939="","",IFERROR(INDEX(계정매핑!$D$5:$D$504,MATCH($F3939&amp;"",계정매핑!$A$5:$A$504,0)),"미매핑"))</f>
        <v/>
      </c>
      <c r="X3939" s="9">
        <f>IF($A3939="","",$F3939&amp;"")</f>
        <v/>
      </c>
    </row>
    <row r="3940">
      <c r="A3940" s="75" t="n">
        <v>2026</v>
      </c>
      <c r="B3940" s="75" t="n">
        <v>9</v>
      </c>
      <c r="C3940" s="75" t="inlineStr">
        <is>
          <t>5100001596</t>
        </is>
      </c>
      <c r="D3940" s="78" t="n">
        <v>46268</v>
      </c>
      <c r="E3940" s="75" t="inlineStr">
        <is>
          <t>KR</t>
        </is>
      </c>
      <c r="F3940" s="75" t="n">
        <v>62501000</v>
      </c>
      <c r="G3940" s="75" t="n">
        <v>1701</v>
      </c>
      <c r="H3940" s="76" t="n">
        <v>107000</v>
      </c>
      <c r="I3940" s="75" t="inlineStr">
        <is>
          <t>9월 회의 다과 - T케이터링</t>
        </is>
      </c>
      <c r="J3940" s="75" t="inlineStr">
        <is>
          <t>V10005</t>
        </is>
      </c>
      <c r="K3940" s="75" t="inlineStr">
        <is>
          <t>T케이터링</t>
        </is>
      </c>
      <c r="M3940" s="9">
        <f>IF($A3940="","",VALUE($A3940&amp;"")*12+VALUE($B3940&amp;""))</f>
        <v/>
      </c>
      <c r="N3940" s="39">
        <f>IF($A3940="","",IFERROR(INDEX(부서매핑!$C$5:$C$504,MATCH($G3940&amp;"",부서매핑!$A$5:$A$504,0)),"미매핑"))</f>
        <v/>
      </c>
      <c r="O3940" s="9">
        <f>IF($A3940="","",N3940&amp;"|"&amp;$F3940)</f>
        <v/>
      </c>
      <c r="P3940" s="77">
        <f>IF($A3940="",0,$H3940*설정!$C$23)</f>
        <v/>
      </c>
      <c r="Q3940" s="39">
        <f>IF($A3940="","",IF(O3940&lt;&gt;원인분석!$C$9,"",IF(AND(M3940&gt;=원인분석!$C$10,M3940&lt;=원인분석!$C$11),"당기",IF(AND(M3940&gt;=원인분석!$C$12,M3940&lt;=원인분석!$C$13),"비교",""))))</f>
        <v/>
      </c>
      <c r="R3940" s="9">
        <f>IF(Q3940="","",$K3940&amp;"")</f>
        <v/>
      </c>
      <c r="S3940" s="9">
        <f>IF(Q3940="","",IF(MATCH(R3940,$R$5:$R$100000,0)=ROW()-4,ROW(),""))</f>
        <v/>
      </c>
      <c r="T3940" s="9">
        <f>IF(Q3940="당기",ABS(P3940)+ROW()/1000000000,"")</f>
        <v/>
      </c>
      <c r="U3940" s="9">
        <f>IF(Q3940="비교",ABS(P3940)+ROW()/1000000000,"")</f>
        <v/>
      </c>
      <c r="V3940" s="39">
        <f>IF($A3940="","",IF(COUNTIF(변동분석!$E$7:$E$506,O3940)&gt;0,"Y","N"))</f>
        <v/>
      </c>
      <c r="W3940" s="39">
        <f>IF($A3940="","",IFERROR(INDEX(계정매핑!$D$5:$D$504,MATCH($F3940&amp;"",계정매핑!$A$5:$A$504,0)),"미매핑"))</f>
        <v/>
      </c>
      <c r="X3940" s="9">
        <f>IF($A3940="","",$F3940&amp;"")</f>
        <v/>
      </c>
    </row>
    <row r="3941">
      <c r="A3941" s="75" t="n">
        <v>2026</v>
      </c>
      <c r="B3941" s="75" t="n">
        <v>9</v>
      </c>
      <c r="C3941" s="75" t="inlineStr">
        <is>
          <t>5100001597</t>
        </is>
      </c>
      <c r="D3941" s="78" t="n">
        <v>46268</v>
      </c>
      <c r="E3941" s="75" t="inlineStr">
        <is>
          <t>KR</t>
        </is>
      </c>
      <c r="F3941" s="75" t="n">
        <v>62501000</v>
      </c>
      <c r="G3941" s="75" t="n">
        <v>1801</v>
      </c>
      <c r="H3941" s="76" t="n">
        <v>195000</v>
      </c>
      <c r="I3941" s="75" t="inlineStr">
        <is>
          <t>9월 회의 다과 - (법인카드)</t>
        </is>
      </c>
      <c r="J3941" s="75" t="inlineStr">
        <is>
          <t>V10008</t>
        </is>
      </c>
      <c r="K3941" s="75" t="inlineStr">
        <is>
          <t>(법인카드)</t>
        </is>
      </c>
      <c r="M3941" s="9">
        <f>IF($A3941="","",VALUE($A3941&amp;"")*12+VALUE($B3941&amp;""))</f>
        <v/>
      </c>
      <c r="N3941" s="39">
        <f>IF($A3941="","",IFERROR(INDEX(부서매핑!$C$5:$C$504,MATCH($G3941&amp;"",부서매핑!$A$5:$A$504,0)),"미매핑"))</f>
        <v/>
      </c>
      <c r="O3941" s="9">
        <f>IF($A3941="","",N3941&amp;"|"&amp;$F3941)</f>
        <v/>
      </c>
      <c r="P3941" s="77">
        <f>IF($A3941="",0,$H3941*설정!$C$23)</f>
        <v/>
      </c>
      <c r="Q3941" s="39">
        <f>IF($A3941="","",IF(O3941&lt;&gt;원인분석!$C$9,"",IF(AND(M3941&gt;=원인분석!$C$10,M3941&lt;=원인분석!$C$11),"당기",IF(AND(M3941&gt;=원인분석!$C$12,M3941&lt;=원인분석!$C$13),"비교",""))))</f>
        <v/>
      </c>
      <c r="R3941" s="9">
        <f>IF(Q3941="","",$K3941&amp;"")</f>
        <v/>
      </c>
      <c r="S3941" s="9">
        <f>IF(Q3941="","",IF(MATCH(R3941,$R$5:$R$100000,0)=ROW()-4,ROW(),""))</f>
        <v/>
      </c>
      <c r="T3941" s="9">
        <f>IF(Q3941="당기",ABS(P3941)+ROW()/1000000000,"")</f>
        <v/>
      </c>
      <c r="U3941" s="9">
        <f>IF(Q3941="비교",ABS(P3941)+ROW()/1000000000,"")</f>
        <v/>
      </c>
      <c r="V3941" s="39">
        <f>IF($A3941="","",IF(COUNTIF(변동분석!$E$7:$E$506,O3941)&gt;0,"Y","N"))</f>
        <v/>
      </c>
      <c r="W3941" s="39">
        <f>IF($A3941="","",IFERROR(INDEX(계정매핑!$D$5:$D$504,MATCH($F3941&amp;"",계정매핑!$A$5:$A$504,0)),"미매핑"))</f>
        <v/>
      </c>
      <c r="X3941" s="9">
        <f>IF($A3941="","",$F3941&amp;"")</f>
        <v/>
      </c>
    </row>
    <row r="3942">
      <c r="A3942" s="75" t="n">
        <v>2026</v>
      </c>
      <c r="B3942" s="75" t="n">
        <v>9</v>
      </c>
      <c r="C3942" s="75" t="inlineStr">
        <is>
          <t>5100001598</t>
        </is>
      </c>
      <c r="D3942" s="78" t="n">
        <v>46268</v>
      </c>
      <c r="E3942" s="75" t="inlineStr">
        <is>
          <t>KR</t>
        </is>
      </c>
      <c r="F3942" s="75" t="n">
        <v>62801000</v>
      </c>
      <c r="G3942" s="75" t="n">
        <v>1301</v>
      </c>
      <c r="H3942" s="76" t="n">
        <v>4677000</v>
      </c>
      <c r="I3942" s="75" t="inlineStr">
        <is>
          <t>9월 사내교육 - (사내강사료)</t>
        </is>
      </c>
      <c r="J3942" s="75" t="inlineStr">
        <is>
          <t>V10020</t>
        </is>
      </c>
      <c r="K3942" s="75" t="inlineStr">
        <is>
          <t>(사내강사료)</t>
        </is>
      </c>
      <c r="M3942" s="9">
        <f>IF($A3942="","",VALUE($A3942&amp;"")*12+VALUE($B3942&amp;""))</f>
        <v/>
      </c>
      <c r="N3942" s="39">
        <f>IF($A3942="","",IFERROR(INDEX(부서매핑!$C$5:$C$504,MATCH($G3942&amp;"",부서매핑!$A$5:$A$504,0)),"미매핑"))</f>
        <v/>
      </c>
      <c r="O3942" s="9">
        <f>IF($A3942="","",N3942&amp;"|"&amp;$F3942)</f>
        <v/>
      </c>
      <c r="P3942" s="77">
        <f>IF($A3942="",0,$H3942*설정!$C$23)</f>
        <v/>
      </c>
      <c r="Q3942" s="39">
        <f>IF($A3942="","",IF(O3942&lt;&gt;원인분석!$C$9,"",IF(AND(M3942&gt;=원인분석!$C$10,M3942&lt;=원인분석!$C$11),"당기",IF(AND(M3942&gt;=원인분석!$C$12,M3942&lt;=원인분석!$C$13),"비교",""))))</f>
        <v/>
      </c>
      <c r="R3942" s="9">
        <f>IF(Q3942="","",$K3942&amp;"")</f>
        <v/>
      </c>
      <c r="S3942" s="9">
        <f>IF(Q3942="","",IF(MATCH(R3942,$R$5:$R$100000,0)=ROW()-4,ROW(),""))</f>
        <v/>
      </c>
      <c r="T3942" s="9">
        <f>IF(Q3942="당기",ABS(P3942)+ROW()/1000000000,"")</f>
        <v/>
      </c>
      <c r="U3942" s="9">
        <f>IF(Q3942="비교",ABS(P3942)+ROW()/1000000000,"")</f>
        <v/>
      </c>
      <c r="V3942" s="39">
        <f>IF($A3942="","",IF(COUNTIF(변동분석!$E$7:$E$506,O3942)&gt;0,"Y","N"))</f>
        <v/>
      </c>
      <c r="W3942" s="39">
        <f>IF($A3942="","",IFERROR(INDEX(계정매핑!$D$5:$D$504,MATCH($F3942&amp;"",계정매핑!$A$5:$A$504,0)),"미매핑"))</f>
        <v/>
      </c>
      <c r="X3942" s="9">
        <f>IF($A3942="","",$F3942&amp;"")</f>
        <v/>
      </c>
    </row>
    <row r="3943">
      <c r="A3943" s="75" t="n">
        <v>2026</v>
      </c>
      <c r="B3943" s="75" t="n">
        <v>9</v>
      </c>
      <c r="C3943" s="75" t="inlineStr">
        <is>
          <t>5100001599</t>
        </is>
      </c>
      <c r="D3943" s="78" t="n">
        <v>46268</v>
      </c>
      <c r="E3943" s="75" t="inlineStr">
        <is>
          <t>KR</t>
        </is>
      </c>
      <c r="F3943" s="75" t="n">
        <v>62901000</v>
      </c>
      <c r="G3943" s="75" t="n">
        <v>1801</v>
      </c>
      <c r="H3943" s="76" t="n">
        <v>7774000</v>
      </c>
      <c r="I3943" s="75" t="inlineStr">
        <is>
          <t>9월 자문 수수료 - K회계법인</t>
        </is>
      </c>
      <c r="J3943" s="75" t="inlineStr">
        <is>
          <t>V10010</t>
        </is>
      </c>
      <c r="K3943" s="75" t="inlineStr">
        <is>
          <t>K회계법인</t>
        </is>
      </c>
      <c r="M3943" s="9">
        <f>IF($A3943="","",VALUE($A3943&amp;"")*12+VALUE($B3943&amp;""))</f>
        <v/>
      </c>
      <c r="N3943" s="39">
        <f>IF($A3943="","",IFERROR(INDEX(부서매핑!$C$5:$C$504,MATCH($G3943&amp;"",부서매핑!$A$5:$A$504,0)),"미매핑"))</f>
        <v/>
      </c>
      <c r="O3943" s="9">
        <f>IF($A3943="","",N3943&amp;"|"&amp;$F3943)</f>
        <v/>
      </c>
      <c r="P3943" s="77">
        <f>IF($A3943="",0,$H3943*설정!$C$23)</f>
        <v/>
      </c>
      <c r="Q3943" s="39">
        <f>IF($A3943="","",IF(O3943&lt;&gt;원인분석!$C$9,"",IF(AND(M3943&gt;=원인분석!$C$10,M3943&lt;=원인분석!$C$11),"당기",IF(AND(M3943&gt;=원인분석!$C$12,M3943&lt;=원인분석!$C$13),"비교",""))))</f>
        <v/>
      </c>
      <c r="R3943" s="9">
        <f>IF(Q3943="","",$K3943&amp;"")</f>
        <v/>
      </c>
      <c r="S3943" s="9">
        <f>IF(Q3943="","",IF(MATCH(R3943,$R$5:$R$100000,0)=ROW()-4,ROW(),""))</f>
        <v/>
      </c>
      <c r="T3943" s="9">
        <f>IF(Q3943="당기",ABS(P3943)+ROW()/1000000000,"")</f>
        <v/>
      </c>
      <c r="U3943" s="9">
        <f>IF(Q3943="비교",ABS(P3943)+ROW()/1000000000,"")</f>
        <v/>
      </c>
      <c r="V3943" s="39">
        <f>IF($A3943="","",IF(COUNTIF(변동분석!$E$7:$E$506,O3943)&gt;0,"Y","N"))</f>
        <v/>
      </c>
      <c r="W3943" s="39">
        <f>IF($A3943="","",IFERROR(INDEX(계정매핑!$D$5:$D$504,MATCH($F3943&amp;"",계정매핑!$A$5:$A$504,0)),"미매핑"))</f>
        <v/>
      </c>
      <c r="X3943" s="9">
        <f>IF($A3943="","",$F3943&amp;"")</f>
        <v/>
      </c>
    </row>
    <row r="3944">
      <c r="A3944" s="75" t="n">
        <v>2026</v>
      </c>
      <c r="B3944" s="75" t="n">
        <v>9</v>
      </c>
      <c r="C3944" s="75" t="inlineStr">
        <is>
          <t>5100001600</t>
        </is>
      </c>
      <c r="D3944" s="78" t="n">
        <v>46268</v>
      </c>
      <c r="E3944" s="75" t="inlineStr">
        <is>
          <t>KR</t>
        </is>
      </c>
      <c r="F3944" s="75" t="n">
        <v>63001000</v>
      </c>
      <c r="G3944" s="75" t="n">
        <v>1701</v>
      </c>
      <c r="H3944" s="76" t="n">
        <v>59195000</v>
      </c>
      <c r="I3944" s="75" t="inlineStr">
        <is>
          <t>9월 SW 유지보수 - Y소프트</t>
        </is>
      </c>
      <c r="J3944" s="75" t="inlineStr">
        <is>
          <t>V10017</t>
        </is>
      </c>
      <c r="K3944" s="75" t="inlineStr">
        <is>
          <t>Y소프트</t>
        </is>
      </c>
      <c r="M3944" s="9">
        <f>IF($A3944="","",VALUE($A3944&amp;"")*12+VALUE($B3944&amp;""))</f>
        <v/>
      </c>
      <c r="N3944" s="39">
        <f>IF($A3944="","",IFERROR(INDEX(부서매핑!$C$5:$C$504,MATCH($G3944&amp;"",부서매핑!$A$5:$A$504,0)),"미매핑"))</f>
        <v/>
      </c>
      <c r="O3944" s="9">
        <f>IF($A3944="","",N3944&amp;"|"&amp;$F3944)</f>
        <v/>
      </c>
      <c r="P3944" s="77">
        <f>IF($A3944="",0,$H3944*설정!$C$23)</f>
        <v/>
      </c>
      <c r="Q3944" s="39">
        <f>IF($A3944="","",IF(O3944&lt;&gt;원인분석!$C$9,"",IF(AND(M3944&gt;=원인분석!$C$10,M3944&lt;=원인분석!$C$11),"당기",IF(AND(M3944&gt;=원인분석!$C$12,M3944&lt;=원인분석!$C$13),"비교",""))))</f>
        <v/>
      </c>
      <c r="R3944" s="9">
        <f>IF(Q3944="","",$K3944&amp;"")</f>
        <v/>
      </c>
      <c r="S3944" s="9">
        <f>IF(Q3944="","",IF(MATCH(R3944,$R$5:$R$100000,0)=ROW()-4,ROW(),""))</f>
        <v/>
      </c>
      <c r="T3944" s="9">
        <f>IF(Q3944="당기",ABS(P3944)+ROW()/1000000000,"")</f>
        <v/>
      </c>
      <c r="U3944" s="9">
        <f>IF(Q3944="비교",ABS(P3944)+ROW()/1000000000,"")</f>
        <v/>
      </c>
      <c r="V3944" s="39">
        <f>IF($A3944="","",IF(COUNTIF(변동분석!$E$7:$E$506,O3944)&gt;0,"Y","N"))</f>
        <v/>
      </c>
      <c r="W3944" s="39">
        <f>IF($A3944="","",IFERROR(INDEX(계정매핑!$D$5:$D$504,MATCH($F3944&amp;"",계정매핑!$A$5:$A$504,0)),"미매핑"))</f>
        <v/>
      </c>
      <c r="X3944" s="9">
        <f>IF($A3944="","",$F3944&amp;"")</f>
        <v/>
      </c>
    </row>
    <row r="3945">
      <c r="A3945" s="75" t="n">
        <v>2026</v>
      </c>
      <c r="B3945" s="75" t="n">
        <v>9</v>
      </c>
      <c r="C3945" s="75" t="inlineStr">
        <is>
          <t>5100001601</t>
        </is>
      </c>
      <c r="D3945" s="78" t="n">
        <v>46268</v>
      </c>
      <c r="E3945" s="75" t="inlineStr">
        <is>
          <t>KR</t>
        </is>
      </c>
      <c r="F3945" s="75" t="n">
        <v>63101000</v>
      </c>
      <c r="G3945" s="75" t="n">
        <v>1602</v>
      </c>
      <c r="H3945" s="76" t="n">
        <v>3134000</v>
      </c>
      <c r="I3945" s="75" t="inlineStr">
        <is>
          <t>9월 사무실 임차료 - AA빌딩</t>
        </is>
      </c>
      <c r="J3945" s="75" t="inlineStr">
        <is>
          <t>V10006</t>
        </is>
      </c>
      <c r="K3945" s="75" t="inlineStr">
        <is>
          <t>AA빌딩</t>
        </is>
      </c>
      <c r="M3945" s="9">
        <f>IF($A3945="","",VALUE($A3945&amp;"")*12+VALUE($B3945&amp;""))</f>
        <v/>
      </c>
      <c r="N3945" s="39">
        <f>IF($A3945="","",IFERROR(INDEX(부서매핑!$C$5:$C$504,MATCH($G3945&amp;"",부서매핑!$A$5:$A$504,0)),"미매핑"))</f>
        <v/>
      </c>
      <c r="O3945" s="9">
        <f>IF($A3945="","",N3945&amp;"|"&amp;$F3945)</f>
        <v/>
      </c>
      <c r="P3945" s="77">
        <f>IF($A3945="",0,$H3945*설정!$C$23)</f>
        <v/>
      </c>
      <c r="Q3945" s="39">
        <f>IF($A3945="","",IF(O3945&lt;&gt;원인분석!$C$9,"",IF(AND(M3945&gt;=원인분석!$C$10,M3945&lt;=원인분석!$C$11),"당기",IF(AND(M3945&gt;=원인분석!$C$12,M3945&lt;=원인분석!$C$13),"비교",""))))</f>
        <v/>
      </c>
      <c r="R3945" s="9">
        <f>IF(Q3945="","",$K3945&amp;"")</f>
        <v/>
      </c>
      <c r="S3945" s="9">
        <f>IF(Q3945="","",IF(MATCH(R3945,$R$5:$R$100000,0)=ROW()-4,ROW(),""))</f>
        <v/>
      </c>
      <c r="T3945" s="9">
        <f>IF(Q3945="당기",ABS(P3945)+ROW()/1000000000,"")</f>
        <v/>
      </c>
      <c r="U3945" s="9">
        <f>IF(Q3945="비교",ABS(P3945)+ROW()/1000000000,"")</f>
        <v/>
      </c>
      <c r="V3945" s="39">
        <f>IF($A3945="","",IF(COUNTIF(변동분석!$E$7:$E$506,O3945)&gt;0,"Y","N"))</f>
        <v/>
      </c>
      <c r="W3945" s="39">
        <f>IF($A3945="","",IFERROR(INDEX(계정매핑!$D$5:$D$504,MATCH($F3945&amp;"",계정매핑!$A$5:$A$504,0)),"미매핑"))</f>
        <v/>
      </c>
      <c r="X3945" s="9">
        <f>IF($A3945="","",$F3945&amp;"")</f>
        <v/>
      </c>
    </row>
    <row r="3946">
      <c r="A3946" s="75" t="n">
        <v>2026</v>
      </c>
      <c r="B3946" s="75" t="n">
        <v>9</v>
      </c>
      <c r="C3946" s="75" t="inlineStr">
        <is>
          <t>5100001602</t>
        </is>
      </c>
      <c r="D3946" s="78" t="n">
        <v>46269</v>
      </c>
      <c r="E3946" s="75" t="inlineStr">
        <is>
          <t>KR</t>
        </is>
      </c>
      <c r="F3946" s="75" t="n">
        <v>62101000</v>
      </c>
      <c r="G3946" s="75" t="n">
        <v>1201</v>
      </c>
      <c r="H3946" s="76" t="n">
        <v>309000</v>
      </c>
      <c r="I3946" s="75" t="inlineStr">
        <is>
          <t>9월 국내출장 - M항공</t>
        </is>
      </c>
      <c r="J3946" s="75" t="inlineStr">
        <is>
          <t>V10001</t>
        </is>
      </c>
      <c r="K3946" s="75" t="inlineStr">
        <is>
          <t>M항공</t>
        </is>
      </c>
      <c r="M3946" s="9">
        <f>IF($A3946="","",VALUE($A3946&amp;"")*12+VALUE($B3946&amp;""))</f>
        <v/>
      </c>
      <c r="N3946" s="39">
        <f>IF($A3946="","",IFERROR(INDEX(부서매핑!$C$5:$C$504,MATCH($G3946&amp;"",부서매핑!$A$5:$A$504,0)),"미매핑"))</f>
        <v/>
      </c>
      <c r="O3946" s="9">
        <f>IF($A3946="","",N3946&amp;"|"&amp;$F3946)</f>
        <v/>
      </c>
      <c r="P3946" s="77">
        <f>IF($A3946="",0,$H3946*설정!$C$23)</f>
        <v/>
      </c>
      <c r="Q3946" s="39">
        <f>IF($A3946="","",IF(O3946&lt;&gt;원인분석!$C$9,"",IF(AND(M3946&gt;=원인분석!$C$10,M3946&lt;=원인분석!$C$11),"당기",IF(AND(M3946&gt;=원인분석!$C$12,M3946&lt;=원인분석!$C$13),"비교",""))))</f>
        <v/>
      </c>
      <c r="R3946" s="9">
        <f>IF(Q3946="","",$K3946&amp;"")</f>
        <v/>
      </c>
      <c r="S3946" s="9">
        <f>IF(Q3946="","",IF(MATCH(R3946,$R$5:$R$100000,0)=ROW()-4,ROW(),""))</f>
        <v/>
      </c>
      <c r="T3946" s="9">
        <f>IF(Q3946="당기",ABS(P3946)+ROW()/1000000000,"")</f>
        <v/>
      </c>
      <c r="U3946" s="9">
        <f>IF(Q3946="비교",ABS(P3946)+ROW()/1000000000,"")</f>
        <v/>
      </c>
      <c r="V3946" s="39">
        <f>IF($A3946="","",IF(COUNTIF(변동분석!$E$7:$E$506,O3946)&gt;0,"Y","N"))</f>
        <v/>
      </c>
      <c r="W3946" s="39">
        <f>IF($A3946="","",IFERROR(INDEX(계정매핑!$D$5:$D$504,MATCH($F3946&amp;"",계정매핑!$A$5:$A$504,0)),"미매핑"))</f>
        <v/>
      </c>
      <c r="X3946" s="9">
        <f>IF($A3946="","",$F3946&amp;"")</f>
        <v/>
      </c>
    </row>
    <row r="3947">
      <c r="A3947" s="75" t="n">
        <v>2026</v>
      </c>
      <c r="B3947" s="75" t="n">
        <v>9</v>
      </c>
      <c r="C3947" s="75" t="inlineStr">
        <is>
          <t>5100001603</t>
        </is>
      </c>
      <c r="D3947" s="78" t="n">
        <v>46269</v>
      </c>
      <c r="E3947" s="75" t="inlineStr">
        <is>
          <t>KR</t>
        </is>
      </c>
      <c r="F3947" s="75" t="n">
        <v>62501000</v>
      </c>
      <c r="G3947" s="75" t="n">
        <v>1801</v>
      </c>
      <c r="H3947" s="76" t="n">
        <v>103000</v>
      </c>
      <c r="I3947" s="75" t="inlineStr">
        <is>
          <t>9월 회의 다과 - T케이터링</t>
        </is>
      </c>
      <c r="J3947" s="75" t="inlineStr">
        <is>
          <t>V10005</t>
        </is>
      </c>
      <c r="K3947" s="75" t="inlineStr">
        <is>
          <t>T케이터링</t>
        </is>
      </c>
      <c r="M3947" s="9">
        <f>IF($A3947="","",VALUE($A3947&amp;"")*12+VALUE($B3947&amp;""))</f>
        <v/>
      </c>
      <c r="N3947" s="39">
        <f>IF($A3947="","",IFERROR(INDEX(부서매핑!$C$5:$C$504,MATCH($G3947&amp;"",부서매핑!$A$5:$A$504,0)),"미매핑"))</f>
        <v/>
      </c>
      <c r="O3947" s="9">
        <f>IF($A3947="","",N3947&amp;"|"&amp;$F3947)</f>
        <v/>
      </c>
      <c r="P3947" s="77">
        <f>IF($A3947="",0,$H3947*설정!$C$23)</f>
        <v/>
      </c>
      <c r="Q3947" s="39">
        <f>IF($A3947="","",IF(O3947&lt;&gt;원인분석!$C$9,"",IF(AND(M3947&gt;=원인분석!$C$10,M3947&lt;=원인분석!$C$11),"당기",IF(AND(M3947&gt;=원인분석!$C$12,M3947&lt;=원인분석!$C$13),"비교",""))))</f>
        <v/>
      </c>
      <c r="R3947" s="9">
        <f>IF(Q3947="","",$K3947&amp;"")</f>
        <v/>
      </c>
      <c r="S3947" s="9">
        <f>IF(Q3947="","",IF(MATCH(R3947,$R$5:$R$100000,0)=ROW()-4,ROW(),""))</f>
        <v/>
      </c>
      <c r="T3947" s="9">
        <f>IF(Q3947="당기",ABS(P3947)+ROW()/1000000000,"")</f>
        <v/>
      </c>
      <c r="U3947" s="9">
        <f>IF(Q3947="비교",ABS(P3947)+ROW()/1000000000,"")</f>
        <v/>
      </c>
      <c r="V3947" s="39">
        <f>IF($A3947="","",IF(COUNTIF(변동분석!$E$7:$E$506,O3947)&gt;0,"Y","N"))</f>
        <v/>
      </c>
      <c r="W3947" s="39">
        <f>IF($A3947="","",IFERROR(INDEX(계정매핑!$D$5:$D$504,MATCH($F3947&amp;"",계정매핑!$A$5:$A$504,0)),"미매핑"))</f>
        <v/>
      </c>
      <c r="X3947" s="9">
        <f>IF($A3947="","",$F3947&amp;"")</f>
        <v/>
      </c>
    </row>
    <row r="3948">
      <c r="A3948" s="75" t="n">
        <v>2026</v>
      </c>
      <c r="B3948" s="75" t="n">
        <v>9</v>
      </c>
      <c r="C3948" s="75" t="inlineStr">
        <is>
          <t>5100001604</t>
        </is>
      </c>
      <c r="D3948" s="78" t="n">
        <v>46269</v>
      </c>
      <c r="E3948" s="75" t="inlineStr">
        <is>
          <t>KR</t>
        </is>
      </c>
      <c r="F3948" s="75" t="n">
        <v>62601000</v>
      </c>
      <c r="G3948" s="75" t="n">
        <v>1101</v>
      </c>
      <c r="H3948" s="76" t="n">
        <v>1695000</v>
      </c>
      <c r="I3948" s="75" t="inlineStr">
        <is>
          <t>9월 업무추진 - (법인카드)</t>
        </is>
      </c>
      <c r="J3948" s="75" t="inlineStr">
        <is>
          <t>V10008</t>
        </is>
      </c>
      <c r="K3948" s="75" t="inlineStr">
        <is>
          <t>(법인카드)</t>
        </is>
      </c>
      <c r="M3948" s="9">
        <f>IF($A3948="","",VALUE($A3948&amp;"")*12+VALUE($B3948&amp;""))</f>
        <v/>
      </c>
      <c r="N3948" s="39">
        <f>IF($A3948="","",IFERROR(INDEX(부서매핑!$C$5:$C$504,MATCH($G3948&amp;"",부서매핑!$A$5:$A$504,0)),"미매핑"))</f>
        <v/>
      </c>
      <c r="O3948" s="9">
        <f>IF($A3948="","",N3948&amp;"|"&amp;$F3948)</f>
        <v/>
      </c>
      <c r="P3948" s="77">
        <f>IF($A3948="",0,$H3948*설정!$C$23)</f>
        <v/>
      </c>
      <c r="Q3948" s="39">
        <f>IF($A3948="","",IF(O3948&lt;&gt;원인분석!$C$9,"",IF(AND(M3948&gt;=원인분석!$C$10,M3948&lt;=원인분석!$C$11),"당기",IF(AND(M3948&gt;=원인분석!$C$12,M3948&lt;=원인분석!$C$13),"비교",""))))</f>
        <v/>
      </c>
      <c r="R3948" s="9">
        <f>IF(Q3948="","",$K3948&amp;"")</f>
        <v/>
      </c>
      <c r="S3948" s="9">
        <f>IF(Q3948="","",IF(MATCH(R3948,$R$5:$R$100000,0)=ROW()-4,ROW(),""))</f>
        <v/>
      </c>
      <c r="T3948" s="9">
        <f>IF(Q3948="당기",ABS(P3948)+ROW()/1000000000,"")</f>
        <v/>
      </c>
      <c r="U3948" s="9">
        <f>IF(Q3948="비교",ABS(P3948)+ROW()/1000000000,"")</f>
        <v/>
      </c>
      <c r="V3948" s="39">
        <f>IF($A3948="","",IF(COUNTIF(변동분석!$E$7:$E$506,O3948)&gt;0,"Y","N"))</f>
        <v/>
      </c>
      <c r="W3948" s="39">
        <f>IF($A3948="","",IFERROR(INDEX(계정매핑!$D$5:$D$504,MATCH($F3948&amp;"",계정매핑!$A$5:$A$504,0)),"미매핑"))</f>
        <v/>
      </c>
      <c r="X3948" s="9">
        <f>IF($A3948="","",$F3948&amp;"")</f>
        <v/>
      </c>
    </row>
    <row r="3949">
      <c r="A3949" s="75" t="n">
        <v>2026</v>
      </c>
      <c r="B3949" s="75" t="n">
        <v>9</v>
      </c>
      <c r="C3949" s="75" t="inlineStr">
        <is>
          <t>5100001605</t>
        </is>
      </c>
      <c r="D3949" s="78" t="n">
        <v>46269</v>
      </c>
      <c r="E3949" s="75" t="inlineStr">
        <is>
          <t>KR</t>
        </is>
      </c>
      <c r="F3949" s="75" t="n">
        <v>62901000</v>
      </c>
      <c r="G3949" s="75" t="n">
        <v>1201</v>
      </c>
      <c r="H3949" s="76" t="n">
        <v>8825000</v>
      </c>
      <c r="I3949" s="75" t="inlineStr">
        <is>
          <t>9월 자문 수수료 - K회계법인</t>
        </is>
      </c>
      <c r="J3949" s="75" t="inlineStr">
        <is>
          <t>V10010</t>
        </is>
      </c>
      <c r="K3949" s="75" t="inlineStr">
        <is>
          <t>K회계법인</t>
        </is>
      </c>
      <c r="M3949" s="9">
        <f>IF($A3949="","",VALUE($A3949&amp;"")*12+VALUE($B3949&amp;""))</f>
        <v/>
      </c>
      <c r="N3949" s="39">
        <f>IF($A3949="","",IFERROR(INDEX(부서매핑!$C$5:$C$504,MATCH($G3949&amp;"",부서매핑!$A$5:$A$504,0)),"미매핑"))</f>
        <v/>
      </c>
      <c r="O3949" s="9">
        <f>IF($A3949="","",N3949&amp;"|"&amp;$F3949)</f>
        <v/>
      </c>
      <c r="P3949" s="77">
        <f>IF($A3949="",0,$H3949*설정!$C$23)</f>
        <v/>
      </c>
      <c r="Q3949" s="39">
        <f>IF($A3949="","",IF(O3949&lt;&gt;원인분석!$C$9,"",IF(AND(M3949&gt;=원인분석!$C$10,M3949&lt;=원인분석!$C$11),"당기",IF(AND(M3949&gt;=원인분석!$C$12,M3949&lt;=원인분석!$C$13),"비교",""))))</f>
        <v/>
      </c>
      <c r="R3949" s="9">
        <f>IF(Q3949="","",$K3949&amp;"")</f>
        <v/>
      </c>
      <c r="S3949" s="9">
        <f>IF(Q3949="","",IF(MATCH(R3949,$R$5:$R$100000,0)=ROW()-4,ROW(),""))</f>
        <v/>
      </c>
      <c r="T3949" s="9">
        <f>IF(Q3949="당기",ABS(P3949)+ROW()/1000000000,"")</f>
        <v/>
      </c>
      <c r="U3949" s="9">
        <f>IF(Q3949="비교",ABS(P3949)+ROW()/1000000000,"")</f>
        <v/>
      </c>
      <c r="V3949" s="39">
        <f>IF($A3949="","",IF(COUNTIF(변동분석!$E$7:$E$506,O3949)&gt;0,"Y","N"))</f>
        <v/>
      </c>
      <c r="W3949" s="39">
        <f>IF($A3949="","",IFERROR(INDEX(계정매핑!$D$5:$D$504,MATCH($F3949&amp;"",계정매핑!$A$5:$A$504,0)),"미매핑"))</f>
        <v/>
      </c>
      <c r="X3949" s="9">
        <f>IF($A3949="","",$F3949&amp;"")</f>
        <v/>
      </c>
    </row>
    <row r="3950">
      <c r="A3950" s="75" t="n">
        <v>2026</v>
      </c>
      <c r="B3950" s="75" t="n">
        <v>9</v>
      </c>
      <c r="C3950" s="75" t="inlineStr">
        <is>
          <t>5100001606</t>
        </is>
      </c>
      <c r="D3950" s="78" t="n">
        <v>46269</v>
      </c>
      <c r="E3950" s="75" t="inlineStr">
        <is>
          <t>KR</t>
        </is>
      </c>
      <c r="F3950" s="75" t="n">
        <v>62901000</v>
      </c>
      <c r="G3950" s="75" t="n">
        <v>1401</v>
      </c>
      <c r="H3950" s="76" t="n">
        <v>4802000</v>
      </c>
      <c r="I3950" s="75" t="inlineStr">
        <is>
          <t>9월 자문 수수료 - W컨설팅</t>
        </is>
      </c>
      <c r="J3950" s="75" t="inlineStr">
        <is>
          <t>V10009</t>
        </is>
      </c>
      <c r="K3950" s="75" t="inlineStr">
        <is>
          <t>W컨설팅</t>
        </is>
      </c>
      <c r="M3950" s="9">
        <f>IF($A3950="","",VALUE($A3950&amp;"")*12+VALUE($B3950&amp;""))</f>
        <v/>
      </c>
      <c r="N3950" s="39">
        <f>IF($A3950="","",IFERROR(INDEX(부서매핑!$C$5:$C$504,MATCH($G3950&amp;"",부서매핑!$A$5:$A$504,0)),"미매핑"))</f>
        <v/>
      </c>
      <c r="O3950" s="9">
        <f>IF($A3950="","",N3950&amp;"|"&amp;$F3950)</f>
        <v/>
      </c>
      <c r="P3950" s="77">
        <f>IF($A3950="",0,$H3950*설정!$C$23)</f>
        <v/>
      </c>
      <c r="Q3950" s="39">
        <f>IF($A3950="","",IF(O3950&lt;&gt;원인분석!$C$9,"",IF(AND(M3950&gt;=원인분석!$C$10,M3950&lt;=원인분석!$C$11),"당기",IF(AND(M3950&gt;=원인분석!$C$12,M3950&lt;=원인분석!$C$13),"비교",""))))</f>
        <v/>
      </c>
      <c r="R3950" s="9">
        <f>IF(Q3950="","",$K3950&amp;"")</f>
        <v/>
      </c>
      <c r="S3950" s="9">
        <f>IF(Q3950="","",IF(MATCH(R3950,$R$5:$R$100000,0)=ROW()-4,ROW(),""))</f>
        <v/>
      </c>
      <c r="T3950" s="9">
        <f>IF(Q3950="당기",ABS(P3950)+ROW()/1000000000,"")</f>
        <v/>
      </c>
      <c r="U3950" s="9">
        <f>IF(Q3950="비교",ABS(P3950)+ROW()/1000000000,"")</f>
        <v/>
      </c>
      <c r="V3950" s="39">
        <f>IF($A3950="","",IF(COUNTIF(변동분석!$E$7:$E$506,O3950)&gt;0,"Y","N"))</f>
        <v/>
      </c>
      <c r="W3950" s="39">
        <f>IF($A3950="","",IFERROR(INDEX(계정매핑!$D$5:$D$504,MATCH($F3950&amp;"",계정매핑!$A$5:$A$504,0)),"미매핑"))</f>
        <v/>
      </c>
      <c r="X3950" s="9">
        <f>IF($A3950="","",$F3950&amp;"")</f>
        <v/>
      </c>
    </row>
    <row r="3951">
      <c r="A3951" s="75" t="n">
        <v>2026</v>
      </c>
      <c r="B3951" s="75" t="n">
        <v>9</v>
      </c>
      <c r="C3951" s="75" t="inlineStr">
        <is>
          <t>5100001607</t>
        </is>
      </c>
      <c r="D3951" s="78" t="n">
        <v>46269</v>
      </c>
      <c r="E3951" s="75" t="inlineStr">
        <is>
          <t>KR</t>
        </is>
      </c>
      <c r="F3951" s="75" t="n">
        <v>62902000</v>
      </c>
      <c r="G3951" s="75" t="n">
        <v>1101</v>
      </c>
      <c r="H3951" s="76" t="n">
        <v>1599000</v>
      </c>
      <c r="I3951" s="75" t="inlineStr">
        <is>
          <t>9월 업무 위탁 수수료 - X서비스</t>
        </is>
      </c>
      <c r="J3951" s="75" t="inlineStr">
        <is>
          <t>V10016</t>
        </is>
      </c>
      <c r="K3951" s="75" t="inlineStr">
        <is>
          <t>X서비스</t>
        </is>
      </c>
      <c r="M3951" s="9">
        <f>IF($A3951="","",VALUE($A3951&amp;"")*12+VALUE($B3951&amp;""))</f>
        <v/>
      </c>
      <c r="N3951" s="39">
        <f>IF($A3951="","",IFERROR(INDEX(부서매핑!$C$5:$C$504,MATCH($G3951&amp;"",부서매핑!$A$5:$A$504,0)),"미매핑"))</f>
        <v/>
      </c>
      <c r="O3951" s="9">
        <f>IF($A3951="","",N3951&amp;"|"&amp;$F3951)</f>
        <v/>
      </c>
      <c r="P3951" s="77">
        <f>IF($A3951="",0,$H3951*설정!$C$23)</f>
        <v/>
      </c>
      <c r="Q3951" s="39">
        <f>IF($A3951="","",IF(O3951&lt;&gt;원인분석!$C$9,"",IF(AND(M3951&gt;=원인분석!$C$10,M3951&lt;=원인분석!$C$11),"당기",IF(AND(M3951&gt;=원인분석!$C$12,M3951&lt;=원인분석!$C$13),"비교",""))))</f>
        <v/>
      </c>
      <c r="R3951" s="9">
        <f>IF(Q3951="","",$K3951&amp;"")</f>
        <v/>
      </c>
      <c r="S3951" s="9">
        <f>IF(Q3951="","",IF(MATCH(R3951,$R$5:$R$100000,0)=ROW()-4,ROW(),""))</f>
        <v/>
      </c>
      <c r="T3951" s="9">
        <f>IF(Q3951="당기",ABS(P3951)+ROW()/1000000000,"")</f>
        <v/>
      </c>
      <c r="U3951" s="9">
        <f>IF(Q3951="비교",ABS(P3951)+ROW()/1000000000,"")</f>
        <v/>
      </c>
      <c r="V3951" s="39">
        <f>IF($A3951="","",IF(COUNTIF(변동분석!$E$7:$E$506,O3951)&gt;0,"Y","N"))</f>
        <v/>
      </c>
      <c r="W3951" s="39">
        <f>IF($A3951="","",IFERROR(INDEX(계정매핑!$D$5:$D$504,MATCH($F3951&amp;"",계정매핑!$A$5:$A$504,0)),"미매핑"))</f>
        <v/>
      </c>
      <c r="X3951" s="9">
        <f>IF($A3951="","",$F3951&amp;"")</f>
        <v/>
      </c>
    </row>
    <row r="3952">
      <c r="A3952" s="75" t="n">
        <v>2026</v>
      </c>
      <c r="B3952" s="75" t="n">
        <v>9</v>
      </c>
      <c r="C3952" s="75" t="inlineStr">
        <is>
          <t>5100001608</t>
        </is>
      </c>
      <c r="D3952" s="78" t="n">
        <v>46269</v>
      </c>
      <c r="E3952" s="75" t="inlineStr">
        <is>
          <t>KR</t>
        </is>
      </c>
      <c r="F3952" s="75" t="n">
        <v>62902000</v>
      </c>
      <c r="G3952" s="75" t="n">
        <v>1401</v>
      </c>
      <c r="H3952" s="76" t="n">
        <v>3337000</v>
      </c>
      <c r="I3952" s="75" t="inlineStr">
        <is>
          <t>9월 업무 위탁 수수료 - J콜센터</t>
        </is>
      </c>
      <c r="J3952" s="75" t="inlineStr">
        <is>
          <t>V10013</t>
        </is>
      </c>
      <c r="K3952" s="75" t="inlineStr">
        <is>
          <t>J콜센터</t>
        </is>
      </c>
      <c r="M3952" s="9">
        <f>IF($A3952="","",VALUE($A3952&amp;"")*12+VALUE($B3952&amp;""))</f>
        <v/>
      </c>
      <c r="N3952" s="39">
        <f>IF($A3952="","",IFERROR(INDEX(부서매핑!$C$5:$C$504,MATCH($G3952&amp;"",부서매핑!$A$5:$A$504,0)),"미매핑"))</f>
        <v/>
      </c>
      <c r="O3952" s="9">
        <f>IF($A3952="","",N3952&amp;"|"&amp;$F3952)</f>
        <v/>
      </c>
      <c r="P3952" s="77">
        <f>IF($A3952="",0,$H3952*설정!$C$23)</f>
        <v/>
      </c>
      <c r="Q3952" s="39">
        <f>IF($A3952="","",IF(O3952&lt;&gt;원인분석!$C$9,"",IF(AND(M3952&gt;=원인분석!$C$10,M3952&lt;=원인분석!$C$11),"당기",IF(AND(M3952&gt;=원인분석!$C$12,M3952&lt;=원인분석!$C$13),"비교",""))))</f>
        <v/>
      </c>
      <c r="R3952" s="9">
        <f>IF(Q3952="","",$K3952&amp;"")</f>
        <v/>
      </c>
      <c r="S3952" s="9">
        <f>IF(Q3952="","",IF(MATCH(R3952,$R$5:$R$100000,0)=ROW()-4,ROW(),""))</f>
        <v/>
      </c>
      <c r="T3952" s="9">
        <f>IF(Q3952="당기",ABS(P3952)+ROW()/1000000000,"")</f>
        <v/>
      </c>
      <c r="U3952" s="9">
        <f>IF(Q3952="비교",ABS(P3952)+ROW()/1000000000,"")</f>
        <v/>
      </c>
      <c r="V3952" s="39">
        <f>IF($A3952="","",IF(COUNTIF(변동분석!$E$7:$E$506,O3952)&gt;0,"Y","N"))</f>
        <v/>
      </c>
      <c r="W3952" s="39">
        <f>IF($A3952="","",IFERROR(INDEX(계정매핑!$D$5:$D$504,MATCH($F3952&amp;"",계정매핑!$A$5:$A$504,0)),"미매핑"))</f>
        <v/>
      </c>
      <c r="X3952" s="9">
        <f>IF($A3952="","",$F3952&amp;"")</f>
        <v/>
      </c>
    </row>
    <row r="3953">
      <c r="A3953" s="75" t="n">
        <v>2026</v>
      </c>
      <c r="B3953" s="75" t="n">
        <v>9</v>
      </c>
      <c r="C3953" s="75" t="inlineStr">
        <is>
          <t>5100001609</t>
        </is>
      </c>
      <c r="D3953" s="78" t="n">
        <v>46269</v>
      </c>
      <c r="E3953" s="75" t="inlineStr">
        <is>
          <t>KR</t>
        </is>
      </c>
      <c r="F3953" s="75" t="n">
        <v>62902000</v>
      </c>
      <c r="G3953" s="75" t="n">
        <v>1801</v>
      </c>
      <c r="H3953" s="76" t="n">
        <v>1793000</v>
      </c>
      <c r="I3953" s="75" t="inlineStr">
        <is>
          <t>9월 콜 위탁 수수료(건별)</t>
        </is>
      </c>
      <c r="J3953" s="75" t="inlineStr">
        <is>
          <t>V10013</t>
        </is>
      </c>
      <c r="K3953" s="75" t="inlineStr">
        <is>
          <t>J콜센터</t>
        </is>
      </c>
      <c r="M3953" s="9">
        <f>IF($A3953="","",VALUE($A3953&amp;"")*12+VALUE($B3953&amp;""))</f>
        <v/>
      </c>
      <c r="N3953" s="39">
        <f>IF($A3953="","",IFERROR(INDEX(부서매핑!$C$5:$C$504,MATCH($G3953&amp;"",부서매핑!$A$5:$A$504,0)),"미매핑"))</f>
        <v/>
      </c>
      <c r="O3953" s="9">
        <f>IF($A3953="","",N3953&amp;"|"&amp;$F3953)</f>
        <v/>
      </c>
      <c r="P3953" s="77">
        <f>IF($A3953="",0,$H3953*설정!$C$23)</f>
        <v/>
      </c>
      <c r="Q3953" s="39">
        <f>IF($A3953="","",IF(O3953&lt;&gt;원인분석!$C$9,"",IF(AND(M3953&gt;=원인분석!$C$10,M3953&lt;=원인분석!$C$11),"당기",IF(AND(M3953&gt;=원인분석!$C$12,M3953&lt;=원인분석!$C$13),"비교",""))))</f>
        <v/>
      </c>
      <c r="R3953" s="9">
        <f>IF(Q3953="","",$K3953&amp;"")</f>
        <v/>
      </c>
      <c r="S3953" s="9">
        <f>IF(Q3953="","",IF(MATCH(R3953,$R$5:$R$100000,0)=ROW()-4,ROW(),""))</f>
        <v/>
      </c>
      <c r="T3953" s="9">
        <f>IF(Q3953="당기",ABS(P3953)+ROW()/1000000000,"")</f>
        <v/>
      </c>
      <c r="U3953" s="9">
        <f>IF(Q3953="비교",ABS(P3953)+ROW()/1000000000,"")</f>
        <v/>
      </c>
      <c r="V3953" s="39">
        <f>IF($A3953="","",IF(COUNTIF(변동분석!$E$7:$E$506,O3953)&gt;0,"Y","N"))</f>
        <v/>
      </c>
      <c r="W3953" s="39">
        <f>IF($A3953="","",IFERROR(INDEX(계정매핑!$D$5:$D$504,MATCH($F3953&amp;"",계정매핑!$A$5:$A$504,0)),"미매핑"))</f>
        <v/>
      </c>
      <c r="X3953" s="9">
        <f>IF($A3953="","",$F3953&amp;"")</f>
        <v/>
      </c>
    </row>
    <row r="3954">
      <c r="A3954" s="75" t="n">
        <v>2026</v>
      </c>
      <c r="B3954" s="75" t="n">
        <v>9</v>
      </c>
      <c r="C3954" s="75" t="inlineStr">
        <is>
          <t>5100001610</t>
        </is>
      </c>
      <c r="D3954" s="78" t="n">
        <v>46270</v>
      </c>
      <c r="E3954" s="75" t="inlineStr">
        <is>
          <t>KR</t>
        </is>
      </c>
      <c r="F3954" s="75" t="n">
        <v>62101000</v>
      </c>
      <c r="G3954" s="75" t="n">
        <v>1301</v>
      </c>
      <c r="H3954" s="76" t="n">
        <v>316000</v>
      </c>
      <c r="I3954" s="75" t="inlineStr">
        <is>
          <t>9월 국내출장 - (법인카드)</t>
        </is>
      </c>
      <c r="J3954" s="75" t="inlineStr">
        <is>
          <t>V10008</t>
        </is>
      </c>
      <c r="K3954" s="75" t="inlineStr">
        <is>
          <t>(법인카드)</t>
        </is>
      </c>
      <c r="M3954" s="9">
        <f>IF($A3954="","",VALUE($A3954&amp;"")*12+VALUE($B3954&amp;""))</f>
        <v/>
      </c>
      <c r="N3954" s="39">
        <f>IF($A3954="","",IFERROR(INDEX(부서매핑!$C$5:$C$504,MATCH($G3954&amp;"",부서매핑!$A$5:$A$504,0)),"미매핑"))</f>
        <v/>
      </c>
      <c r="O3954" s="9">
        <f>IF($A3954="","",N3954&amp;"|"&amp;$F3954)</f>
        <v/>
      </c>
      <c r="P3954" s="77">
        <f>IF($A3954="",0,$H3954*설정!$C$23)</f>
        <v/>
      </c>
      <c r="Q3954" s="39">
        <f>IF($A3954="","",IF(O3954&lt;&gt;원인분석!$C$9,"",IF(AND(M3954&gt;=원인분석!$C$10,M3954&lt;=원인분석!$C$11),"당기",IF(AND(M3954&gt;=원인분석!$C$12,M3954&lt;=원인분석!$C$13),"비교",""))))</f>
        <v/>
      </c>
      <c r="R3954" s="9">
        <f>IF(Q3954="","",$K3954&amp;"")</f>
        <v/>
      </c>
      <c r="S3954" s="9">
        <f>IF(Q3954="","",IF(MATCH(R3954,$R$5:$R$100000,0)=ROW()-4,ROW(),""))</f>
        <v/>
      </c>
      <c r="T3954" s="9">
        <f>IF(Q3954="당기",ABS(P3954)+ROW()/1000000000,"")</f>
        <v/>
      </c>
      <c r="U3954" s="9">
        <f>IF(Q3954="비교",ABS(P3954)+ROW()/1000000000,"")</f>
        <v/>
      </c>
      <c r="V3954" s="39">
        <f>IF($A3954="","",IF(COUNTIF(변동분석!$E$7:$E$506,O3954)&gt;0,"Y","N"))</f>
        <v/>
      </c>
      <c r="W3954" s="39">
        <f>IF($A3954="","",IFERROR(INDEX(계정매핑!$D$5:$D$504,MATCH($F3954&amp;"",계정매핑!$A$5:$A$504,0)),"미매핑"))</f>
        <v/>
      </c>
      <c r="X3954" s="9">
        <f>IF($A3954="","",$F3954&amp;"")</f>
        <v/>
      </c>
    </row>
    <row r="3955">
      <c r="A3955" s="75" t="n">
        <v>2026</v>
      </c>
      <c r="B3955" s="75" t="n">
        <v>9</v>
      </c>
      <c r="C3955" s="75" t="inlineStr">
        <is>
          <t>5100001611</t>
        </is>
      </c>
      <c r="D3955" s="78" t="n">
        <v>46270</v>
      </c>
      <c r="E3955" s="75" t="inlineStr">
        <is>
          <t>KR</t>
        </is>
      </c>
      <c r="F3955" s="75" t="n">
        <v>62101000</v>
      </c>
      <c r="G3955" s="75" t="n">
        <v>1401</v>
      </c>
      <c r="H3955" s="76" t="n">
        <v>338000</v>
      </c>
      <c r="I3955" s="75" t="inlineStr">
        <is>
          <t>9월 국내출장 - M항공</t>
        </is>
      </c>
      <c r="J3955" s="75" t="inlineStr">
        <is>
          <t>V10001</t>
        </is>
      </c>
      <c r="K3955" s="75" t="inlineStr">
        <is>
          <t>M항공</t>
        </is>
      </c>
      <c r="M3955" s="9">
        <f>IF($A3955="","",VALUE($A3955&amp;"")*12+VALUE($B3955&amp;""))</f>
        <v/>
      </c>
      <c r="N3955" s="39">
        <f>IF($A3955="","",IFERROR(INDEX(부서매핑!$C$5:$C$504,MATCH($G3955&amp;"",부서매핑!$A$5:$A$504,0)),"미매핑"))</f>
        <v/>
      </c>
      <c r="O3955" s="9">
        <f>IF($A3955="","",N3955&amp;"|"&amp;$F3955)</f>
        <v/>
      </c>
      <c r="P3955" s="77">
        <f>IF($A3955="",0,$H3955*설정!$C$23)</f>
        <v/>
      </c>
      <c r="Q3955" s="39">
        <f>IF($A3955="","",IF(O3955&lt;&gt;원인분석!$C$9,"",IF(AND(M3955&gt;=원인분석!$C$10,M3955&lt;=원인분석!$C$11),"당기",IF(AND(M3955&gt;=원인분석!$C$12,M3955&lt;=원인분석!$C$13),"비교",""))))</f>
        <v/>
      </c>
      <c r="R3955" s="9">
        <f>IF(Q3955="","",$K3955&amp;"")</f>
        <v/>
      </c>
      <c r="S3955" s="9">
        <f>IF(Q3955="","",IF(MATCH(R3955,$R$5:$R$100000,0)=ROW()-4,ROW(),""))</f>
        <v/>
      </c>
      <c r="T3955" s="9">
        <f>IF(Q3955="당기",ABS(P3955)+ROW()/1000000000,"")</f>
        <v/>
      </c>
      <c r="U3955" s="9">
        <f>IF(Q3955="비교",ABS(P3955)+ROW()/1000000000,"")</f>
        <v/>
      </c>
      <c r="V3955" s="39">
        <f>IF($A3955="","",IF(COUNTIF(변동분석!$E$7:$E$506,O3955)&gt;0,"Y","N"))</f>
        <v/>
      </c>
      <c r="W3955" s="39">
        <f>IF($A3955="","",IFERROR(INDEX(계정매핑!$D$5:$D$504,MATCH($F3955&amp;"",계정매핑!$A$5:$A$504,0)),"미매핑"))</f>
        <v/>
      </c>
      <c r="X3955" s="9">
        <f>IF($A3955="","",$F3955&amp;"")</f>
        <v/>
      </c>
    </row>
    <row r="3956">
      <c r="A3956" s="75" t="n">
        <v>2026</v>
      </c>
      <c r="B3956" s="75" t="n">
        <v>9</v>
      </c>
      <c r="C3956" s="75" t="inlineStr">
        <is>
          <t>5100001612</t>
        </is>
      </c>
      <c r="D3956" s="78" t="n">
        <v>46270</v>
      </c>
      <c r="E3956" s="75" t="inlineStr">
        <is>
          <t>KR</t>
        </is>
      </c>
      <c r="F3956" s="75" t="n">
        <v>62102000</v>
      </c>
      <c r="G3956" s="75" t="n">
        <v>1401</v>
      </c>
      <c r="H3956" s="76" t="n">
        <v>92000</v>
      </c>
      <c r="I3956" s="75" t="inlineStr">
        <is>
          <t>9월 해외출장 - N호텔</t>
        </is>
      </c>
      <c r="J3956" s="75" t="inlineStr">
        <is>
          <t>V10007</t>
        </is>
      </c>
      <c r="K3956" s="75" t="inlineStr">
        <is>
          <t>N호텔</t>
        </is>
      </c>
      <c r="M3956" s="9">
        <f>IF($A3956="","",VALUE($A3956&amp;"")*12+VALUE($B3956&amp;""))</f>
        <v/>
      </c>
      <c r="N3956" s="39">
        <f>IF($A3956="","",IFERROR(INDEX(부서매핑!$C$5:$C$504,MATCH($G3956&amp;"",부서매핑!$A$5:$A$504,0)),"미매핑"))</f>
        <v/>
      </c>
      <c r="O3956" s="9">
        <f>IF($A3956="","",N3956&amp;"|"&amp;$F3956)</f>
        <v/>
      </c>
      <c r="P3956" s="77">
        <f>IF($A3956="",0,$H3956*설정!$C$23)</f>
        <v/>
      </c>
      <c r="Q3956" s="39">
        <f>IF($A3956="","",IF(O3956&lt;&gt;원인분석!$C$9,"",IF(AND(M3956&gt;=원인분석!$C$10,M3956&lt;=원인분석!$C$11),"당기",IF(AND(M3956&gt;=원인분석!$C$12,M3956&lt;=원인분석!$C$13),"비교",""))))</f>
        <v/>
      </c>
      <c r="R3956" s="9">
        <f>IF(Q3956="","",$K3956&amp;"")</f>
        <v/>
      </c>
      <c r="S3956" s="9">
        <f>IF(Q3956="","",IF(MATCH(R3956,$R$5:$R$100000,0)=ROW()-4,ROW(),""))</f>
        <v/>
      </c>
      <c r="T3956" s="9">
        <f>IF(Q3956="당기",ABS(P3956)+ROW()/1000000000,"")</f>
        <v/>
      </c>
      <c r="U3956" s="9">
        <f>IF(Q3956="비교",ABS(P3956)+ROW()/1000000000,"")</f>
        <v/>
      </c>
      <c r="V3956" s="39">
        <f>IF($A3956="","",IF(COUNTIF(변동분석!$E$7:$E$506,O3956)&gt;0,"Y","N"))</f>
        <v/>
      </c>
      <c r="W3956" s="39">
        <f>IF($A3956="","",IFERROR(INDEX(계정매핑!$D$5:$D$504,MATCH($F3956&amp;"",계정매핑!$A$5:$A$504,0)),"미매핑"))</f>
        <v/>
      </c>
      <c r="X3956" s="9">
        <f>IF($A3956="","",$F3956&amp;"")</f>
        <v/>
      </c>
    </row>
    <row r="3957">
      <c r="A3957" s="75" t="n">
        <v>2026</v>
      </c>
      <c r="B3957" s="75" t="n">
        <v>9</v>
      </c>
      <c r="C3957" s="75" t="inlineStr">
        <is>
          <t>5100001613</t>
        </is>
      </c>
      <c r="D3957" s="78" t="n">
        <v>46270</v>
      </c>
      <c r="E3957" s="75" t="inlineStr">
        <is>
          <t>KR</t>
        </is>
      </c>
      <c r="F3957" s="75" t="n">
        <v>62201000</v>
      </c>
      <c r="G3957" s="75" t="n">
        <v>1501</v>
      </c>
      <c r="H3957" s="76" t="n">
        <v>196000</v>
      </c>
      <c r="I3957" s="75" t="inlineStr">
        <is>
          <t>9월 통신요금 - O텔레콤</t>
        </is>
      </c>
      <c r="J3957" s="75" t="inlineStr">
        <is>
          <t>V10002</t>
        </is>
      </c>
      <c r="K3957" s="75" t="inlineStr">
        <is>
          <t>O텔레콤</t>
        </is>
      </c>
      <c r="M3957" s="9">
        <f>IF($A3957="","",VALUE($A3957&amp;"")*12+VALUE($B3957&amp;""))</f>
        <v/>
      </c>
      <c r="N3957" s="39">
        <f>IF($A3957="","",IFERROR(INDEX(부서매핑!$C$5:$C$504,MATCH($G3957&amp;"",부서매핑!$A$5:$A$504,0)),"미매핑"))</f>
        <v/>
      </c>
      <c r="O3957" s="9">
        <f>IF($A3957="","",N3957&amp;"|"&amp;$F3957)</f>
        <v/>
      </c>
      <c r="P3957" s="77">
        <f>IF($A3957="",0,$H3957*설정!$C$23)</f>
        <v/>
      </c>
      <c r="Q3957" s="39">
        <f>IF($A3957="","",IF(O3957&lt;&gt;원인분석!$C$9,"",IF(AND(M3957&gt;=원인분석!$C$10,M3957&lt;=원인분석!$C$11),"당기",IF(AND(M3957&gt;=원인분석!$C$12,M3957&lt;=원인분석!$C$13),"비교",""))))</f>
        <v/>
      </c>
      <c r="R3957" s="9">
        <f>IF(Q3957="","",$K3957&amp;"")</f>
        <v/>
      </c>
      <c r="S3957" s="9">
        <f>IF(Q3957="","",IF(MATCH(R3957,$R$5:$R$100000,0)=ROW()-4,ROW(),""))</f>
        <v/>
      </c>
      <c r="T3957" s="9">
        <f>IF(Q3957="당기",ABS(P3957)+ROW()/1000000000,"")</f>
        <v/>
      </c>
      <c r="U3957" s="9">
        <f>IF(Q3957="비교",ABS(P3957)+ROW()/1000000000,"")</f>
        <v/>
      </c>
      <c r="V3957" s="39">
        <f>IF($A3957="","",IF(COUNTIF(변동분석!$E$7:$E$506,O3957)&gt;0,"Y","N"))</f>
        <v/>
      </c>
      <c r="W3957" s="39">
        <f>IF($A3957="","",IFERROR(INDEX(계정매핑!$D$5:$D$504,MATCH($F3957&amp;"",계정매핑!$A$5:$A$504,0)),"미매핑"))</f>
        <v/>
      </c>
      <c r="X3957" s="9">
        <f>IF($A3957="","",$F3957&amp;"")</f>
        <v/>
      </c>
    </row>
    <row r="3958">
      <c r="A3958" s="75" t="n">
        <v>2026</v>
      </c>
      <c r="B3958" s="75" t="n">
        <v>9</v>
      </c>
      <c r="C3958" s="75" t="inlineStr">
        <is>
          <t>5100001614</t>
        </is>
      </c>
      <c r="D3958" s="78" t="n">
        <v>46270</v>
      </c>
      <c r="E3958" s="75" t="inlineStr">
        <is>
          <t>KR</t>
        </is>
      </c>
      <c r="F3958" s="75" t="n">
        <v>62501000</v>
      </c>
      <c r="G3958" s="75" t="n">
        <v>1501</v>
      </c>
      <c r="H3958" s="76" t="n">
        <v>237000</v>
      </c>
      <c r="I3958" s="75" t="inlineStr">
        <is>
          <t>9월 회의 다과 - T케이터링</t>
        </is>
      </c>
      <c r="J3958" s="75" t="inlineStr">
        <is>
          <t>V10005</t>
        </is>
      </c>
      <c r="K3958" s="75" t="inlineStr">
        <is>
          <t>T케이터링</t>
        </is>
      </c>
      <c r="M3958" s="9">
        <f>IF($A3958="","",VALUE($A3958&amp;"")*12+VALUE($B3958&amp;""))</f>
        <v/>
      </c>
      <c r="N3958" s="39">
        <f>IF($A3958="","",IFERROR(INDEX(부서매핑!$C$5:$C$504,MATCH($G3958&amp;"",부서매핑!$A$5:$A$504,0)),"미매핑"))</f>
        <v/>
      </c>
      <c r="O3958" s="9">
        <f>IF($A3958="","",N3958&amp;"|"&amp;$F3958)</f>
        <v/>
      </c>
      <c r="P3958" s="77">
        <f>IF($A3958="",0,$H3958*설정!$C$23)</f>
        <v/>
      </c>
      <c r="Q3958" s="39">
        <f>IF($A3958="","",IF(O3958&lt;&gt;원인분석!$C$9,"",IF(AND(M3958&gt;=원인분석!$C$10,M3958&lt;=원인분석!$C$11),"당기",IF(AND(M3958&gt;=원인분석!$C$12,M3958&lt;=원인분석!$C$13),"비교",""))))</f>
        <v/>
      </c>
      <c r="R3958" s="9">
        <f>IF(Q3958="","",$K3958&amp;"")</f>
        <v/>
      </c>
      <c r="S3958" s="9">
        <f>IF(Q3958="","",IF(MATCH(R3958,$R$5:$R$100000,0)=ROW()-4,ROW(),""))</f>
        <v/>
      </c>
      <c r="T3958" s="9">
        <f>IF(Q3958="당기",ABS(P3958)+ROW()/1000000000,"")</f>
        <v/>
      </c>
      <c r="U3958" s="9">
        <f>IF(Q3958="비교",ABS(P3958)+ROW()/1000000000,"")</f>
        <v/>
      </c>
      <c r="V3958" s="39">
        <f>IF($A3958="","",IF(COUNTIF(변동분석!$E$7:$E$506,O3958)&gt;0,"Y","N"))</f>
        <v/>
      </c>
      <c r="W3958" s="39">
        <f>IF($A3958="","",IFERROR(INDEX(계정매핑!$D$5:$D$504,MATCH($F3958&amp;"",계정매핑!$A$5:$A$504,0)),"미매핑"))</f>
        <v/>
      </c>
      <c r="X3958" s="9">
        <f>IF($A3958="","",$F3958&amp;"")</f>
        <v/>
      </c>
    </row>
    <row r="3959">
      <c r="A3959" s="75" t="n">
        <v>2026</v>
      </c>
      <c r="B3959" s="75" t="n">
        <v>9</v>
      </c>
      <c r="C3959" s="75" t="inlineStr">
        <is>
          <t>5100001615</t>
        </is>
      </c>
      <c r="D3959" s="78" t="n">
        <v>46270</v>
      </c>
      <c r="E3959" s="75" t="inlineStr">
        <is>
          <t>KR</t>
        </is>
      </c>
      <c r="F3959" s="75" t="n">
        <v>62601000</v>
      </c>
      <c r="G3959" s="75" t="n">
        <v>1101</v>
      </c>
      <c r="H3959" s="76" t="n">
        <v>2380000</v>
      </c>
      <c r="I3959" s="75" t="inlineStr">
        <is>
          <t>9월 업무추진 - (법인카드)</t>
        </is>
      </c>
      <c r="J3959" s="75" t="inlineStr">
        <is>
          <t>V10008</t>
        </is>
      </c>
      <c r="K3959" s="75" t="inlineStr">
        <is>
          <t>(법인카드)</t>
        </is>
      </c>
      <c r="M3959" s="9">
        <f>IF($A3959="","",VALUE($A3959&amp;"")*12+VALUE($B3959&amp;""))</f>
        <v/>
      </c>
      <c r="N3959" s="39">
        <f>IF($A3959="","",IFERROR(INDEX(부서매핑!$C$5:$C$504,MATCH($G3959&amp;"",부서매핑!$A$5:$A$504,0)),"미매핑"))</f>
        <v/>
      </c>
      <c r="O3959" s="9">
        <f>IF($A3959="","",N3959&amp;"|"&amp;$F3959)</f>
        <v/>
      </c>
      <c r="P3959" s="77">
        <f>IF($A3959="",0,$H3959*설정!$C$23)</f>
        <v/>
      </c>
      <c r="Q3959" s="39">
        <f>IF($A3959="","",IF(O3959&lt;&gt;원인분석!$C$9,"",IF(AND(M3959&gt;=원인분석!$C$10,M3959&lt;=원인분석!$C$11),"당기",IF(AND(M3959&gt;=원인분석!$C$12,M3959&lt;=원인분석!$C$13),"비교",""))))</f>
        <v/>
      </c>
      <c r="R3959" s="9">
        <f>IF(Q3959="","",$K3959&amp;"")</f>
        <v/>
      </c>
      <c r="S3959" s="9">
        <f>IF(Q3959="","",IF(MATCH(R3959,$R$5:$R$100000,0)=ROW()-4,ROW(),""))</f>
        <v/>
      </c>
      <c r="T3959" s="9">
        <f>IF(Q3959="당기",ABS(P3959)+ROW()/1000000000,"")</f>
        <v/>
      </c>
      <c r="U3959" s="9">
        <f>IF(Q3959="비교",ABS(P3959)+ROW()/1000000000,"")</f>
        <v/>
      </c>
      <c r="V3959" s="39">
        <f>IF($A3959="","",IF(COUNTIF(변동분석!$E$7:$E$506,O3959)&gt;0,"Y","N"))</f>
        <v/>
      </c>
      <c r="W3959" s="39">
        <f>IF($A3959="","",IFERROR(INDEX(계정매핑!$D$5:$D$504,MATCH($F3959&amp;"",계정매핑!$A$5:$A$504,0)),"미매핑"))</f>
        <v/>
      </c>
      <c r="X3959" s="9">
        <f>IF($A3959="","",$F3959&amp;"")</f>
        <v/>
      </c>
    </row>
    <row r="3960">
      <c r="A3960" s="75" t="n">
        <v>2026</v>
      </c>
      <c r="B3960" s="75" t="n">
        <v>9</v>
      </c>
      <c r="C3960" s="75" t="inlineStr">
        <is>
          <t>5100001616</t>
        </is>
      </c>
      <c r="D3960" s="78" t="n">
        <v>46270</v>
      </c>
      <c r="E3960" s="75" t="inlineStr">
        <is>
          <t>KR</t>
        </is>
      </c>
      <c r="F3960" s="75" t="n">
        <v>62902000</v>
      </c>
      <c r="G3960" s="75" t="n">
        <v>1101</v>
      </c>
      <c r="H3960" s="76" t="n">
        <v>1931000</v>
      </c>
      <c r="I3960" s="75" t="inlineStr">
        <is>
          <t>9월 업무 위탁 수수료 - J콜센터</t>
        </is>
      </c>
      <c r="J3960" s="75" t="inlineStr">
        <is>
          <t>V10013</t>
        </is>
      </c>
      <c r="K3960" s="75" t="inlineStr">
        <is>
          <t>J콜센터</t>
        </is>
      </c>
      <c r="M3960" s="9">
        <f>IF($A3960="","",VALUE($A3960&amp;"")*12+VALUE($B3960&amp;""))</f>
        <v/>
      </c>
      <c r="N3960" s="39">
        <f>IF($A3960="","",IFERROR(INDEX(부서매핑!$C$5:$C$504,MATCH($G3960&amp;"",부서매핑!$A$5:$A$504,0)),"미매핑"))</f>
        <v/>
      </c>
      <c r="O3960" s="9">
        <f>IF($A3960="","",N3960&amp;"|"&amp;$F3960)</f>
        <v/>
      </c>
      <c r="P3960" s="77">
        <f>IF($A3960="",0,$H3960*설정!$C$23)</f>
        <v/>
      </c>
      <c r="Q3960" s="39">
        <f>IF($A3960="","",IF(O3960&lt;&gt;원인분석!$C$9,"",IF(AND(M3960&gt;=원인분석!$C$10,M3960&lt;=원인분석!$C$11),"당기",IF(AND(M3960&gt;=원인분석!$C$12,M3960&lt;=원인분석!$C$13),"비교",""))))</f>
        <v/>
      </c>
      <c r="R3960" s="9">
        <f>IF(Q3960="","",$K3960&amp;"")</f>
        <v/>
      </c>
      <c r="S3960" s="9">
        <f>IF(Q3960="","",IF(MATCH(R3960,$R$5:$R$100000,0)=ROW()-4,ROW(),""))</f>
        <v/>
      </c>
      <c r="T3960" s="9">
        <f>IF(Q3960="당기",ABS(P3960)+ROW()/1000000000,"")</f>
        <v/>
      </c>
      <c r="U3960" s="9">
        <f>IF(Q3960="비교",ABS(P3960)+ROW()/1000000000,"")</f>
        <v/>
      </c>
      <c r="V3960" s="39">
        <f>IF($A3960="","",IF(COUNTIF(변동분석!$E$7:$E$506,O3960)&gt;0,"Y","N"))</f>
        <v/>
      </c>
      <c r="W3960" s="39">
        <f>IF($A3960="","",IFERROR(INDEX(계정매핑!$D$5:$D$504,MATCH($F3960&amp;"",계정매핑!$A$5:$A$504,0)),"미매핑"))</f>
        <v/>
      </c>
      <c r="X3960" s="9">
        <f>IF($A3960="","",$F3960&amp;"")</f>
        <v/>
      </c>
    </row>
    <row r="3961">
      <c r="A3961" s="75" t="n">
        <v>2026</v>
      </c>
      <c r="B3961" s="75" t="n">
        <v>9</v>
      </c>
      <c r="C3961" s="75" t="inlineStr">
        <is>
          <t>5100001617</t>
        </is>
      </c>
      <c r="D3961" s="78" t="n">
        <v>46271</v>
      </c>
      <c r="E3961" s="75" t="inlineStr">
        <is>
          <t>KR</t>
        </is>
      </c>
      <c r="F3961" s="75" t="n">
        <v>62101000</v>
      </c>
      <c r="G3961" s="75" t="n">
        <v>1201</v>
      </c>
      <c r="H3961" s="76" t="n">
        <v>273000</v>
      </c>
      <c r="I3961" s="75" t="inlineStr">
        <is>
          <t>9월 국내출장 - L여행사</t>
        </is>
      </c>
      <c r="J3961" s="75" t="inlineStr">
        <is>
          <t>V10014</t>
        </is>
      </c>
      <c r="K3961" s="75" t="inlineStr">
        <is>
          <t>L여행사</t>
        </is>
      </c>
      <c r="M3961" s="9">
        <f>IF($A3961="","",VALUE($A3961&amp;"")*12+VALUE($B3961&amp;""))</f>
        <v/>
      </c>
      <c r="N3961" s="39">
        <f>IF($A3961="","",IFERROR(INDEX(부서매핑!$C$5:$C$504,MATCH($G3961&amp;"",부서매핑!$A$5:$A$504,0)),"미매핑"))</f>
        <v/>
      </c>
      <c r="O3961" s="9">
        <f>IF($A3961="","",N3961&amp;"|"&amp;$F3961)</f>
        <v/>
      </c>
      <c r="P3961" s="77">
        <f>IF($A3961="",0,$H3961*설정!$C$23)</f>
        <v/>
      </c>
      <c r="Q3961" s="39">
        <f>IF($A3961="","",IF(O3961&lt;&gt;원인분석!$C$9,"",IF(AND(M3961&gt;=원인분석!$C$10,M3961&lt;=원인분석!$C$11),"당기",IF(AND(M3961&gt;=원인분석!$C$12,M3961&lt;=원인분석!$C$13),"비교",""))))</f>
        <v/>
      </c>
      <c r="R3961" s="9">
        <f>IF(Q3961="","",$K3961&amp;"")</f>
        <v/>
      </c>
      <c r="S3961" s="9">
        <f>IF(Q3961="","",IF(MATCH(R3961,$R$5:$R$100000,0)=ROW()-4,ROW(),""))</f>
        <v/>
      </c>
      <c r="T3961" s="9">
        <f>IF(Q3961="당기",ABS(P3961)+ROW()/1000000000,"")</f>
        <v/>
      </c>
      <c r="U3961" s="9">
        <f>IF(Q3961="비교",ABS(P3961)+ROW()/1000000000,"")</f>
        <v/>
      </c>
      <c r="V3961" s="39">
        <f>IF($A3961="","",IF(COUNTIF(변동분석!$E$7:$E$506,O3961)&gt;0,"Y","N"))</f>
        <v/>
      </c>
      <c r="W3961" s="39">
        <f>IF($A3961="","",IFERROR(INDEX(계정매핑!$D$5:$D$504,MATCH($F3961&amp;"",계정매핑!$A$5:$A$504,0)),"미매핑"))</f>
        <v/>
      </c>
      <c r="X3961" s="9">
        <f>IF($A3961="","",$F3961&amp;"")</f>
        <v/>
      </c>
    </row>
    <row r="3962">
      <c r="A3962" s="75" t="n">
        <v>2026</v>
      </c>
      <c r="B3962" s="75" t="n">
        <v>9</v>
      </c>
      <c r="C3962" s="75" t="inlineStr">
        <is>
          <t>5100001618</t>
        </is>
      </c>
      <c r="D3962" s="78" t="n">
        <v>46271</v>
      </c>
      <c r="E3962" s="75" t="inlineStr">
        <is>
          <t>KR</t>
        </is>
      </c>
      <c r="F3962" s="75" t="n">
        <v>62102000</v>
      </c>
      <c r="G3962" s="75" t="n">
        <v>1301</v>
      </c>
      <c r="H3962" s="76" t="n">
        <v>189000</v>
      </c>
      <c r="I3962" s="75" t="inlineStr">
        <is>
          <t>9월 해외출장 - M항공</t>
        </is>
      </c>
      <c r="J3962" s="75" t="inlineStr">
        <is>
          <t>V10001</t>
        </is>
      </c>
      <c r="K3962" s="75" t="inlineStr">
        <is>
          <t>M항공</t>
        </is>
      </c>
      <c r="M3962" s="9">
        <f>IF($A3962="","",VALUE($A3962&amp;"")*12+VALUE($B3962&amp;""))</f>
        <v/>
      </c>
      <c r="N3962" s="39">
        <f>IF($A3962="","",IFERROR(INDEX(부서매핑!$C$5:$C$504,MATCH($G3962&amp;"",부서매핑!$A$5:$A$504,0)),"미매핑"))</f>
        <v/>
      </c>
      <c r="O3962" s="9">
        <f>IF($A3962="","",N3962&amp;"|"&amp;$F3962)</f>
        <v/>
      </c>
      <c r="P3962" s="77">
        <f>IF($A3962="",0,$H3962*설정!$C$23)</f>
        <v/>
      </c>
      <c r="Q3962" s="39">
        <f>IF($A3962="","",IF(O3962&lt;&gt;원인분석!$C$9,"",IF(AND(M3962&gt;=원인분석!$C$10,M3962&lt;=원인분석!$C$11),"당기",IF(AND(M3962&gt;=원인분석!$C$12,M3962&lt;=원인분석!$C$13),"비교",""))))</f>
        <v/>
      </c>
      <c r="R3962" s="9">
        <f>IF(Q3962="","",$K3962&amp;"")</f>
        <v/>
      </c>
      <c r="S3962" s="9">
        <f>IF(Q3962="","",IF(MATCH(R3962,$R$5:$R$100000,0)=ROW()-4,ROW(),""))</f>
        <v/>
      </c>
      <c r="T3962" s="9">
        <f>IF(Q3962="당기",ABS(P3962)+ROW()/1000000000,"")</f>
        <v/>
      </c>
      <c r="U3962" s="9">
        <f>IF(Q3962="비교",ABS(P3962)+ROW()/1000000000,"")</f>
        <v/>
      </c>
      <c r="V3962" s="39">
        <f>IF($A3962="","",IF(COUNTIF(변동분석!$E$7:$E$506,O3962)&gt;0,"Y","N"))</f>
        <v/>
      </c>
      <c r="W3962" s="39">
        <f>IF($A3962="","",IFERROR(INDEX(계정매핑!$D$5:$D$504,MATCH($F3962&amp;"",계정매핑!$A$5:$A$504,0)),"미매핑"))</f>
        <v/>
      </c>
      <c r="X3962" s="9">
        <f>IF($A3962="","",$F3962&amp;"")</f>
        <v/>
      </c>
    </row>
    <row r="3963">
      <c r="A3963" s="75" t="n">
        <v>2026</v>
      </c>
      <c r="B3963" s="75" t="n">
        <v>9</v>
      </c>
      <c r="C3963" s="75" t="inlineStr">
        <is>
          <t>5100001619</t>
        </is>
      </c>
      <c r="D3963" s="78" t="n">
        <v>46271</v>
      </c>
      <c r="E3963" s="75" t="inlineStr">
        <is>
          <t>KR</t>
        </is>
      </c>
      <c r="F3963" s="75" t="n">
        <v>62102000</v>
      </c>
      <c r="G3963" s="75" t="n">
        <v>1401</v>
      </c>
      <c r="H3963" s="76" t="n">
        <v>82000</v>
      </c>
      <c r="I3963" s="75" t="inlineStr">
        <is>
          <t>9월 해외출장 - M항공</t>
        </is>
      </c>
      <c r="J3963" s="75" t="inlineStr">
        <is>
          <t>V10001</t>
        </is>
      </c>
      <c r="K3963" s="75" t="inlineStr">
        <is>
          <t>M항공</t>
        </is>
      </c>
      <c r="M3963" s="9">
        <f>IF($A3963="","",VALUE($A3963&amp;"")*12+VALUE($B3963&amp;""))</f>
        <v/>
      </c>
      <c r="N3963" s="39">
        <f>IF($A3963="","",IFERROR(INDEX(부서매핑!$C$5:$C$504,MATCH($G3963&amp;"",부서매핑!$A$5:$A$504,0)),"미매핑"))</f>
        <v/>
      </c>
      <c r="O3963" s="9">
        <f>IF($A3963="","",N3963&amp;"|"&amp;$F3963)</f>
        <v/>
      </c>
      <c r="P3963" s="77">
        <f>IF($A3963="",0,$H3963*설정!$C$23)</f>
        <v/>
      </c>
      <c r="Q3963" s="39">
        <f>IF($A3963="","",IF(O3963&lt;&gt;원인분석!$C$9,"",IF(AND(M3963&gt;=원인분석!$C$10,M3963&lt;=원인분석!$C$11),"당기",IF(AND(M3963&gt;=원인분석!$C$12,M3963&lt;=원인분석!$C$13),"비교",""))))</f>
        <v/>
      </c>
      <c r="R3963" s="9">
        <f>IF(Q3963="","",$K3963&amp;"")</f>
        <v/>
      </c>
      <c r="S3963" s="9">
        <f>IF(Q3963="","",IF(MATCH(R3963,$R$5:$R$100000,0)=ROW()-4,ROW(),""))</f>
        <v/>
      </c>
      <c r="T3963" s="9">
        <f>IF(Q3963="당기",ABS(P3963)+ROW()/1000000000,"")</f>
        <v/>
      </c>
      <c r="U3963" s="9">
        <f>IF(Q3963="비교",ABS(P3963)+ROW()/1000000000,"")</f>
        <v/>
      </c>
      <c r="V3963" s="39">
        <f>IF($A3963="","",IF(COUNTIF(변동분석!$E$7:$E$506,O3963)&gt;0,"Y","N"))</f>
        <v/>
      </c>
      <c r="W3963" s="39">
        <f>IF($A3963="","",IFERROR(INDEX(계정매핑!$D$5:$D$504,MATCH($F3963&amp;"",계정매핑!$A$5:$A$504,0)),"미매핑"))</f>
        <v/>
      </c>
      <c r="X3963" s="9">
        <f>IF($A3963="","",$F3963&amp;"")</f>
        <v/>
      </c>
    </row>
    <row r="3964">
      <c r="A3964" s="75" t="n">
        <v>2026</v>
      </c>
      <c r="B3964" s="75" t="n">
        <v>9</v>
      </c>
      <c r="C3964" s="75" t="inlineStr">
        <is>
          <t>5100001620</t>
        </is>
      </c>
      <c r="D3964" s="78" t="n">
        <v>46271</v>
      </c>
      <c r="E3964" s="75" t="inlineStr">
        <is>
          <t>KR</t>
        </is>
      </c>
      <c r="F3964" s="75" t="n">
        <v>62201000</v>
      </c>
      <c r="G3964" s="75" t="n">
        <v>1801</v>
      </c>
      <c r="H3964" s="76" t="n">
        <v>3736000</v>
      </c>
      <c r="I3964" s="75" t="inlineStr">
        <is>
          <t>9월 통신요금 - P통신</t>
        </is>
      </c>
      <c r="J3964" s="75" t="inlineStr">
        <is>
          <t>V10011</t>
        </is>
      </c>
      <c r="K3964" s="75" t="inlineStr">
        <is>
          <t>P통신</t>
        </is>
      </c>
      <c r="M3964" s="9">
        <f>IF($A3964="","",VALUE($A3964&amp;"")*12+VALUE($B3964&amp;""))</f>
        <v/>
      </c>
      <c r="N3964" s="39">
        <f>IF($A3964="","",IFERROR(INDEX(부서매핑!$C$5:$C$504,MATCH($G3964&amp;"",부서매핑!$A$5:$A$504,0)),"미매핑"))</f>
        <v/>
      </c>
      <c r="O3964" s="9">
        <f>IF($A3964="","",N3964&amp;"|"&amp;$F3964)</f>
        <v/>
      </c>
      <c r="P3964" s="77">
        <f>IF($A3964="",0,$H3964*설정!$C$23)</f>
        <v/>
      </c>
      <c r="Q3964" s="39">
        <f>IF($A3964="","",IF(O3964&lt;&gt;원인분석!$C$9,"",IF(AND(M3964&gt;=원인분석!$C$10,M3964&lt;=원인분석!$C$11),"당기",IF(AND(M3964&gt;=원인분석!$C$12,M3964&lt;=원인분석!$C$13),"비교",""))))</f>
        <v/>
      </c>
      <c r="R3964" s="9">
        <f>IF(Q3964="","",$K3964&amp;"")</f>
        <v/>
      </c>
      <c r="S3964" s="9">
        <f>IF(Q3964="","",IF(MATCH(R3964,$R$5:$R$100000,0)=ROW()-4,ROW(),""))</f>
        <v/>
      </c>
      <c r="T3964" s="9">
        <f>IF(Q3964="당기",ABS(P3964)+ROW()/1000000000,"")</f>
        <v/>
      </c>
      <c r="U3964" s="9">
        <f>IF(Q3964="비교",ABS(P3964)+ROW()/1000000000,"")</f>
        <v/>
      </c>
      <c r="V3964" s="39">
        <f>IF($A3964="","",IF(COUNTIF(변동분석!$E$7:$E$506,O3964)&gt;0,"Y","N"))</f>
        <v/>
      </c>
      <c r="W3964" s="39">
        <f>IF($A3964="","",IFERROR(INDEX(계정매핑!$D$5:$D$504,MATCH($F3964&amp;"",계정매핑!$A$5:$A$504,0)),"미매핑"))</f>
        <v/>
      </c>
      <c r="X3964" s="9">
        <f>IF($A3964="","",$F3964&amp;"")</f>
        <v/>
      </c>
    </row>
    <row r="3965">
      <c r="A3965" s="75" t="n">
        <v>2026</v>
      </c>
      <c r="B3965" s="75" t="n">
        <v>9</v>
      </c>
      <c r="C3965" s="75" t="inlineStr">
        <is>
          <t>5100001621</t>
        </is>
      </c>
      <c r="D3965" s="78" t="n">
        <v>46271</v>
      </c>
      <c r="E3965" s="75" t="inlineStr">
        <is>
          <t>KR</t>
        </is>
      </c>
      <c r="F3965" s="75" t="n">
        <v>62501000</v>
      </c>
      <c r="G3965" s="75" t="n">
        <v>1101</v>
      </c>
      <c r="H3965" s="76" t="n">
        <v>360000</v>
      </c>
      <c r="I3965" s="75" t="inlineStr">
        <is>
          <t>9월 회의 다과 - (법인카드)</t>
        </is>
      </c>
      <c r="J3965" s="75" t="inlineStr">
        <is>
          <t>V10008</t>
        </is>
      </c>
      <c r="K3965" s="75" t="inlineStr">
        <is>
          <t>(법인카드)</t>
        </is>
      </c>
      <c r="M3965" s="9">
        <f>IF($A3965="","",VALUE($A3965&amp;"")*12+VALUE($B3965&amp;""))</f>
        <v/>
      </c>
      <c r="N3965" s="39">
        <f>IF($A3965="","",IFERROR(INDEX(부서매핑!$C$5:$C$504,MATCH($G3965&amp;"",부서매핑!$A$5:$A$504,0)),"미매핑"))</f>
        <v/>
      </c>
      <c r="O3965" s="9">
        <f>IF($A3965="","",N3965&amp;"|"&amp;$F3965)</f>
        <v/>
      </c>
      <c r="P3965" s="77">
        <f>IF($A3965="",0,$H3965*설정!$C$23)</f>
        <v/>
      </c>
      <c r="Q3965" s="39">
        <f>IF($A3965="","",IF(O3965&lt;&gt;원인분석!$C$9,"",IF(AND(M3965&gt;=원인분석!$C$10,M3965&lt;=원인분석!$C$11),"당기",IF(AND(M3965&gt;=원인분석!$C$12,M3965&lt;=원인분석!$C$13),"비교",""))))</f>
        <v/>
      </c>
      <c r="R3965" s="9">
        <f>IF(Q3965="","",$K3965&amp;"")</f>
        <v/>
      </c>
      <c r="S3965" s="9">
        <f>IF(Q3965="","",IF(MATCH(R3965,$R$5:$R$100000,0)=ROW()-4,ROW(),""))</f>
        <v/>
      </c>
      <c r="T3965" s="9">
        <f>IF(Q3965="당기",ABS(P3965)+ROW()/1000000000,"")</f>
        <v/>
      </c>
      <c r="U3965" s="9">
        <f>IF(Q3965="비교",ABS(P3965)+ROW()/1000000000,"")</f>
        <v/>
      </c>
      <c r="V3965" s="39">
        <f>IF($A3965="","",IF(COUNTIF(변동분석!$E$7:$E$506,O3965)&gt;0,"Y","N"))</f>
        <v/>
      </c>
      <c r="W3965" s="39">
        <f>IF($A3965="","",IFERROR(INDEX(계정매핑!$D$5:$D$504,MATCH($F3965&amp;"",계정매핑!$A$5:$A$504,0)),"미매핑"))</f>
        <v/>
      </c>
      <c r="X3965" s="9">
        <f>IF($A3965="","",$F3965&amp;"")</f>
        <v/>
      </c>
    </row>
    <row r="3966">
      <c r="A3966" s="75" t="n">
        <v>2026</v>
      </c>
      <c r="B3966" s="75" t="n">
        <v>9</v>
      </c>
      <c r="C3966" s="75" t="inlineStr">
        <is>
          <t>5100001622</t>
        </is>
      </c>
      <c r="D3966" s="78" t="n">
        <v>46271</v>
      </c>
      <c r="E3966" s="75" t="inlineStr">
        <is>
          <t>KR</t>
        </is>
      </c>
      <c r="F3966" s="75" t="n">
        <v>62901000</v>
      </c>
      <c r="G3966" s="75" t="n">
        <v>1801</v>
      </c>
      <c r="H3966" s="76" t="n">
        <v>8961000</v>
      </c>
      <c r="I3966" s="75" t="inlineStr">
        <is>
          <t>9월 자문 수수료 - W컨설팅</t>
        </is>
      </c>
      <c r="J3966" s="75" t="inlineStr">
        <is>
          <t>V10009</t>
        </is>
      </c>
      <c r="K3966" s="75" t="inlineStr">
        <is>
          <t>W컨설팅</t>
        </is>
      </c>
      <c r="M3966" s="9">
        <f>IF($A3966="","",VALUE($A3966&amp;"")*12+VALUE($B3966&amp;""))</f>
        <v/>
      </c>
      <c r="N3966" s="39">
        <f>IF($A3966="","",IFERROR(INDEX(부서매핑!$C$5:$C$504,MATCH($G3966&amp;"",부서매핑!$A$5:$A$504,0)),"미매핑"))</f>
        <v/>
      </c>
      <c r="O3966" s="9">
        <f>IF($A3966="","",N3966&amp;"|"&amp;$F3966)</f>
        <v/>
      </c>
      <c r="P3966" s="77">
        <f>IF($A3966="",0,$H3966*설정!$C$23)</f>
        <v/>
      </c>
      <c r="Q3966" s="39">
        <f>IF($A3966="","",IF(O3966&lt;&gt;원인분석!$C$9,"",IF(AND(M3966&gt;=원인분석!$C$10,M3966&lt;=원인분석!$C$11),"당기",IF(AND(M3966&gt;=원인분석!$C$12,M3966&lt;=원인분석!$C$13),"비교",""))))</f>
        <v/>
      </c>
      <c r="R3966" s="9">
        <f>IF(Q3966="","",$K3966&amp;"")</f>
        <v/>
      </c>
      <c r="S3966" s="9">
        <f>IF(Q3966="","",IF(MATCH(R3966,$R$5:$R$100000,0)=ROW()-4,ROW(),""))</f>
        <v/>
      </c>
      <c r="T3966" s="9">
        <f>IF(Q3966="당기",ABS(P3966)+ROW()/1000000000,"")</f>
        <v/>
      </c>
      <c r="U3966" s="9">
        <f>IF(Q3966="비교",ABS(P3966)+ROW()/1000000000,"")</f>
        <v/>
      </c>
      <c r="V3966" s="39">
        <f>IF($A3966="","",IF(COUNTIF(변동분석!$E$7:$E$506,O3966)&gt;0,"Y","N"))</f>
        <v/>
      </c>
      <c r="W3966" s="39">
        <f>IF($A3966="","",IFERROR(INDEX(계정매핑!$D$5:$D$504,MATCH($F3966&amp;"",계정매핑!$A$5:$A$504,0)),"미매핑"))</f>
        <v/>
      </c>
      <c r="X3966" s="9">
        <f>IF($A3966="","",$F3966&amp;"")</f>
        <v/>
      </c>
    </row>
    <row r="3967">
      <c r="A3967" s="75" t="n">
        <v>2026</v>
      </c>
      <c r="B3967" s="75" t="n">
        <v>9</v>
      </c>
      <c r="C3967" s="75" t="inlineStr">
        <is>
          <t>5100001623</t>
        </is>
      </c>
      <c r="D3967" s="78" t="n">
        <v>46272</v>
      </c>
      <c r="E3967" s="75" t="inlineStr">
        <is>
          <t>KR</t>
        </is>
      </c>
      <c r="F3967" s="75" t="n">
        <v>62101000</v>
      </c>
      <c r="G3967" s="75" t="n">
        <v>1301</v>
      </c>
      <c r="H3967" s="76" t="n">
        <v>215000</v>
      </c>
      <c r="I3967" s="75" t="inlineStr">
        <is>
          <t>9월 국내출장 - L여행사</t>
        </is>
      </c>
      <c r="J3967" s="75" t="inlineStr">
        <is>
          <t>V10014</t>
        </is>
      </c>
      <c r="K3967" s="75" t="inlineStr">
        <is>
          <t>L여행사</t>
        </is>
      </c>
      <c r="M3967" s="9">
        <f>IF($A3967="","",VALUE($A3967&amp;"")*12+VALUE($B3967&amp;""))</f>
        <v/>
      </c>
      <c r="N3967" s="39">
        <f>IF($A3967="","",IFERROR(INDEX(부서매핑!$C$5:$C$504,MATCH($G3967&amp;"",부서매핑!$A$5:$A$504,0)),"미매핑"))</f>
        <v/>
      </c>
      <c r="O3967" s="9">
        <f>IF($A3967="","",N3967&amp;"|"&amp;$F3967)</f>
        <v/>
      </c>
      <c r="P3967" s="77">
        <f>IF($A3967="",0,$H3967*설정!$C$23)</f>
        <v/>
      </c>
      <c r="Q3967" s="39">
        <f>IF($A3967="","",IF(O3967&lt;&gt;원인분석!$C$9,"",IF(AND(M3967&gt;=원인분석!$C$10,M3967&lt;=원인분석!$C$11),"당기",IF(AND(M3967&gt;=원인분석!$C$12,M3967&lt;=원인분석!$C$13),"비교",""))))</f>
        <v/>
      </c>
      <c r="R3967" s="9">
        <f>IF(Q3967="","",$K3967&amp;"")</f>
        <v/>
      </c>
      <c r="S3967" s="9">
        <f>IF(Q3967="","",IF(MATCH(R3967,$R$5:$R$100000,0)=ROW()-4,ROW(),""))</f>
        <v/>
      </c>
      <c r="T3967" s="9">
        <f>IF(Q3967="당기",ABS(P3967)+ROW()/1000000000,"")</f>
        <v/>
      </c>
      <c r="U3967" s="9">
        <f>IF(Q3967="비교",ABS(P3967)+ROW()/1000000000,"")</f>
        <v/>
      </c>
      <c r="V3967" s="39">
        <f>IF($A3967="","",IF(COUNTIF(변동분석!$E$7:$E$506,O3967)&gt;0,"Y","N"))</f>
        <v/>
      </c>
      <c r="W3967" s="39">
        <f>IF($A3967="","",IFERROR(INDEX(계정매핑!$D$5:$D$504,MATCH($F3967&amp;"",계정매핑!$A$5:$A$504,0)),"미매핑"))</f>
        <v/>
      </c>
      <c r="X3967" s="9">
        <f>IF($A3967="","",$F3967&amp;"")</f>
        <v/>
      </c>
    </row>
    <row r="3968">
      <c r="A3968" s="75" t="n">
        <v>2026</v>
      </c>
      <c r="B3968" s="75" t="n">
        <v>9</v>
      </c>
      <c r="C3968" s="75" t="inlineStr">
        <is>
          <t>5100001624</t>
        </is>
      </c>
      <c r="D3968" s="78" t="n">
        <v>46272</v>
      </c>
      <c r="E3968" s="75" t="inlineStr">
        <is>
          <t>KR</t>
        </is>
      </c>
      <c r="F3968" s="75" t="n">
        <v>62102000</v>
      </c>
      <c r="G3968" s="75" t="n">
        <v>1201</v>
      </c>
      <c r="H3968" s="76" t="n">
        <v>78000</v>
      </c>
      <c r="I3968" s="75" t="inlineStr">
        <is>
          <t>9월 해외출장 - M항공</t>
        </is>
      </c>
      <c r="J3968" s="75" t="inlineStr">
        <is>
          <t>V10001</t>
        </is>
      </c>
      <c r="K3968" s="75" t="inlineStr">
        <is>
          <t>M항공</t>
        </is>
      </c>
      <c r="M3968" s="9">
        <f>IF($A3968="","",VALUE($A3968&amp;"")*12+VALUE($B3968&amp;""))</f>
        <v/>
      </c>
      <c r="N3968" s="39">
        <f>IF($A3968="","",IFERROR(INDEX(부서매핑!$C$5:$C$504,MATCH($G3968&amp;"",부서매핑!$A$5:$A$504,0)),"미매핑"))</f>
        <v/>
      </c>
      <c r="O3968" s="9">
        <f>IF($A3968="","",N3968&amp;"|"&amp;$F3968)</f>
        <v/>
      </c>
      <c r="P3968" s="77">
        <f>IF($A3968="",0,$H3968*설정!$C$23)</f>
        <v/>
      </c>
      <c r="Q3968" s="39">
        <f>IF($A3968="","",IF(O3968&lt;&gt;원인분석!$C$9,"",IF(AND(M3968&gt;=원인분석!$C$10,M3968&lt;=원인분석!$C$11),"당기",IF(AND(M3968&gt;=원인분석!$C$12,M3968&lt;=원인분석!$C$13),"비교",""))))</f>
        <v/>
      </c>
      <c r="R3968" s="9">
        <f>IF(Q3968="","",$K3968&amp;"")</f>
        <v/>
      </c>
      <c r="S3968" s="9">
        <f>IF(Q3968="","",IF(MATCH(R3968,$R$5:$R$100000,0)=ROW()-4,ROW(),""))</f>
        <v/>
      </c>
      <c r="T3968" s="9">
        <f>IF(Q3968="당기",ABS(P3968)+ROW()/1000000000,"")</f>
        <v/>
      </c>
      <c r="U3968" s="9">
        <f>IF(Q3968="비교",ABS(P3968)+ROW()/1000000000,"")</f>
        <v/>
      </c>
      <c r="V3968" s="39">
        <f>IF($A3968="","",IF(COUNTIF(변동분석!$E$7:$E$506,O3968)&gt;0,"Y","N"))</f>
        <v/>
      </c>
      <c r="W3968" s="39">
        <f>IF($A3968="","",IFERROR(INDEX(계정매핑!$D$5:$D$504,MATCH($F3968&amp;"",계정매핑!$A$5:$A$504,0)),"미매핑"))</f>
        <v/>
      </c>
      <c r="X3968" s="9">
        <f>IF($A3968="","",$F3968&amp;"")</f>
        <v/>
      </c>
    </row>
    <row r="3969">
      <c r="A3969" s="75" t="n">
        <v>2026</v>
      </c>
      <c r="B3969" s="75" t="n">
        <v>9</v>
      </c>
      <c r="C3969" s="75" t="inlineStr">
        <is>
          <t>5100001625</t>
        </is>
      </c>
      <c r="D3969" s="78" t="n">
        <v>46272</v>
      </c>
      <c r="E3969" s="75" t="inlineStr">
        <is>
          <t>KR</t>
        </is>
      </c>
      <c r="F3969" s="75" t="n">
        <v>62102000</v>
      </c>
      <c r="G3969" s="75" t="n">
        <v>1601</v>
      </c>
      <c r="H3969" s="76" t="n">
        <v>273000</v>
      </c>
      <c r="I3969" s="75" t="inlineStr">
        <is>
          <t>9월 해외출장 - N호텔</t>
        </is>
      </c>
      <c r="J3969" s="75" t="inlineStr">
        <is>
          <t>V10007</t>
        </is>
      </c>
      <c r="K3969" s="75" t="inlineStr">
        <is>
          <t>N호텔</t>
        </is>
      </c>
      <c r="M3969" s="9">
        <f>IF($A3969="","",VALUE($A3969&amp;"")*12+VALUE($B3969&amp;""))</f>
        <v/>
      </c>
      <c r="N3969" s="39">
        <f>IF($A3969="","",IFERROR(INDEX(부서매핑!$C$5:$C$504,MATCH($G3969&amp;"",부서매핑!$A$5:$A$504,0)),"미매핑"))</f>
        <v/>
      </c>
      <c r="O3969" s="9">
        <f>IF($A3969="","",N3969&amp;"|"&amp;$F3969)</f>
        <v/>
      </c>
      <c r="P3969" s="77">
        <f>IF($A3969="",0,$H3969*설정!$C$23)</f>
        <v/>
      </c>
      <c r="Q3969" s="39">
        <f>IF($A3969="","",IF(O3969&lt;&gt;원인분석!$C$9,"",IF(AND(M3969&gt;=원인분석!$C$10,M3969&lt;=원인분석!$C$11),"당기",IF(AND(M3969&gt;=원인분석!$C$12,M3969&lt;=원인분석!$C$13),"비교",""))))</f>
        <v/>
      </c>
      <c r="R3969" s="9">
        <f>IF(Q3969="","",$K3969&amp;"")</f>
        <v/>
      </c>
      <c r="S3969" s="9">
        <f>IF(Q3969="","",IF(MATCH(R3969,$R$5:$R$100000,0)=ROW()-4,ROW(),""))</f>
        <v/>
      </c>
      <c r="T3969" s="9">
        <f>IF(Q3969="당기",ABS(P3969)+ROW()/1000000000,"")</f>
        <v/>
      </c>
      <c r="U3969" s="9">
        <f>IF(Q3969="비교",ABS(P3969)+ROW()/1000000000,"")</f>
        <v/>
      </c>
      <c r="V3969" s="39">
        <f>IF($A3969="","",IF(COUNTIF(변동분석!$E$7:$E$506,O3969)&gt;0,"Y","N"))</f>
        <v/>
      </c>
      <c r="W3969" s="39">
        <f>IF($A3969="","",IFERROR(INDEX(계정매핑!$D$5:$D$504,MATCH($F3969&amp;"",계정매핑!$A$5:$A$504,0)),"미매핑"))</f>
        <v/>
      </c>
      <c r="X3969" s="9">
        <f>IF($A3969="","",$F3969&amp;"")</f>
        <v/>
      </c>
    </row>
    <row r="3970">
      <c r="A3970" s="75" t="n">
        <v>2026</v>
      </c>
      <c r="B3970" s="75" t="n">
        <v>9</v>
      </c>
      <c r="C3970" s="75" t="inlineStr">
        <is>
          <t>5100001626</t>
        </is>
      </c>
      <c r="D3970" s="78" t="n">
        <v>46272</v>
      </c>
      <c r="E3970" s="75" t="inlineStr">
        <is>
          <t>KR</t>
        </is>
      </c>
      <c r="F3970" s="75" t="n">
        <v>62102000</v>
      </c>
      <c r="G3970" s="75" t="n">
        <v>1701</v>
      </c>
      <c r="H3970" s="76" t="n">
        <v>66000</v>
      </c>
      <c r="I3970" s="75" t="inlineStr">
        <is>
          <t>9월 해외출장 - M항공</t>
        </is>
      </c>
      <c r="J3970" s="75" t="inlineStr">
        <is>
          <t>V10001</t>
        </is>
      </c>
      <c r="K3970" s="75" t="inlineStr">
        <is>
          <t>M항공</t>
        </is>
      </c>
      <c r="M3970" s="9">
        <f>IF($A3970="","",VALUE($A3970&amp;"")*12+VALUE($B3970&amp;""))</f>
        <v/>
      </c>
      <c r="N3970" s="39">
        <f>IF($A3970="","",IFERROR(INDEX(부서매핑!$C$5:$C$504,MATCH($G3970&amp;"",부서매핑!$A$5:$A$504,0)),"미매핑"))</f>
        <v/>
      </c>
      <c r="O3970" s="9">
        <f>IF($A3970="","",N3970&amp;"|"&amp;$F3970)</f>
        <v/>
      </c>
      <c r="P3970" s="77">
        <f>IF($A3970="",0,$H3970*설정!$C$23)</f>
        <v/>
      </c>
      <c r="Q3970" s="39">
        <f>IF($A3970="","",IF(O3970&lt;&gt;원인분석!$C$9,"",IF(AND(M3970&gt;=원인분석!$C$10,M3970&lt;=원인분석!$C$11),"당기",IF(AND(M3970&gt;=원인분석!$C$12,M3970&lt;=원인분석!$C$13),"비교",""))))</f>
        <v/>
      </c>
      <c r="R3970" s="9">
        <f>IF(Q3970="","",$K3970&amp;"")</f>
        <v/>
      </c>
      <c r="S3970" s="9">
        <f>IF(Q3970="","",IF(MATCH(R3970,$R$5:$R$100000,0)=ROW()-4,ROW(),""))</f>
        <v/>
      </c>
      <c r="T3970" s="9">
        <f>IF(Q3970="당기",ABS(P3970)+ROW()/1000000000,"")</f>
        <v/>
      </c>
      <c r="U3970" s="9">
        <f>IF(Q3970="비교",ABS(P3970)+ROW()/1000000000,"")</f>
        <v/>
      </c>
      <c r="V3970" s="39">
        <f>IF($A3970="","",IF(COUNTIF(변동분석!$E$7:$E$506,O3970)&gt;0,"Y","N"))</f>
        <v/>
      </c>
      <c r="W3970" s="39">
        <f>IF($A3970="","",IFERROR(INDEX(계정매핑!$D$5:$D$504,MATCH($F3970&amp;"",계정매핑!$A$5:$A$504,0)),"미매핑"))</f>
        <v/>
      </c>
      <c r="X3970" s="9">
        <f>IF($A3970="","",$F3970&amp;"")</f>
        <v/>
      </c>
    </row>
    <row r="3971">
      <c r="A3971" s="75" t="n">
        <v>2026</v>
      </c>
      <c r="B3971" s="75" t="n">
        <v>9</v>
      </c>
      <c r="C3971" s="75" t="inlineStr">
        <is>
          <t>5100001627</t>
        </is>
      </c>
      <c r="D3971" s="78" t="n">
        <v>46272</v>
      </c>
      <c r="E3971" s="75" t="inlineStr">
        <is>
          <t>KR</t>
        </is>
      </c>
      <c r="F3971" s="75" t="n">
        <v>62301000</v>
      </c>
      <c r="G3971" s="75" t="n">
        <v>1101</v>
      </c>
      <c r="H3971" s="76" t="n">
        <v>175000</v>
      </c>
      <c r="I3971" s="75" t="inlineStr">
        <is>
          <t>9월 소모품 구입 - R문구</t>
        </is>
      </c>
      <c r="J3971" s="75" t="inlineStr">
        <is>
          <t>V10018</t>
        </is>
      </c>
      <c r="K3971" s="75" t="inlineStr">
        <is>
          <t>R문구</t>
        </is>
      </c>
      <c r="M3971" s="9">
        <f>IF($A3971="","",VALUE($A3971&amp;"")*12+VALUE($B3971&amp;""))</f>
        <v/>
      </c>
      <c r="N3971" s="39">
        <f>IF($A3971="","",IFERROR(INDEX(부서매핑!$C$5:$C$504,MATCH($G3971&amp;"",부서매핑!$A$5:$A$504,0)),"미매핑"))</f>
        <v/>
      </c>
      <c r="O3971" s="9">
        <f>IF($A3971="","",N3971&amp;"|"&amp;$F3971)</f>
        <v/>
      </c>
      <c r="P3971" s="77">
        <f>IF($A3971="",0,$H3971*설정!$C$23)</f>
        <v/>
      </c>
      <c r="Q3971" s="39">
        <f>IF($A3971="","",IF(O3971&lt;&gt;원인분석!$C$9,"",IF(AND(M3971&gt;=원인분석!$C$10,M3971&lt;=원인분석!$C$11),"당기",IF(AND(M3971&gt;=원인분석!$C$12,M3971&lt;=원인분석!$C$13),"비교",""))))</f>
        <v/>
      </c>
      <c r="R3971" s="9">
        <f>IF(Q3971="","",$K3971&amp;"")</f>
        <v/>
      </c>
      <c r="S3971" s="9">
        <f>IF(Q3971="","",IF(MATCH(R3971,$R$5:$R$100000,0)=ROW()-4,ROW(),""))</f>
        <v/>
      </c>
      <c r="T3971" s="9">
        <f>IF(Q3971="당기",ABS(P3971)+ROW()/1000000000,"")</f>
        <v/>
      </c>
      <c r="U3971" s="9">
        <f>IF(Q3971="비교",ABS(P3971)+ROW()/1000000000,"")</f>
        <v/>
      </c>
      <c r="V3971" s="39">
        <f>IF($A3971="","",IF(COUNTIF(변동분석!$E$7:$E$506,O3971)&gt;0,"Y","N"))</f>
        <v/>
      </c>
      <c r="W3971" s="39">
        <f>IF($A3971="","",IFERROR(INDEX(계정매핑!$D$5:$D$504,MATCH($F3971&amp;"",계정매핑!$A$5:$A$504,0)),"미매핑"))</f>
        <v/>
      </c>
      <c r="X3971" s="9">
        <f>IF($A3971="","",$F3971&amp;"")</f>
        <v/>
      </c>
    </row>
    <row r="3972">
      <c r="A3972" s="75" t="n">
        <v>2026</v>
      </c>
      <c r="B3972" s="75" t="n">
        <v>9</v>
      </c>
      <c r="C3972" s="75" t="inlineStr">
        <is>
          <t>5100001628</t>
        </is>
      </c>
      <c r="D3972" s="78" t="n">
        <v>46272</v>
      </c>
      <c r="E3972" s="75" t="inlineStr">
        <is>
          <t>KR</t>
        </is>
      </c>
      <c r="F3972" s="75" t="n">
        <v>62301000</v>
      </c>
      <c r="G3972" s="75" t="n">
        <v>1501</v>
      </c>
      <c r="H3972" s="76" t="n">
        <v>190000</v>
      </c>
      <c r="I3972" s="75" t="inlineStr">
        <is>
          <t>9월 소모품 구입 - R문구</t>
        </is>
      </c>
      <c r="J3972" s="75" t="inlineStr">
        <is>
          <t>V10018</t>
        </is>
      </c>
      <c r="K3972" s="75" t="inlineStr">
        <is>
          <t>R문구</t>
        </is>
      </c>
      <c r="M3972" s="9">
        <f>IF($A3972="","",VALUE($A3972&amp;"")*12+VALUE($B3972&amp;""))</f>
        <v/>
      </c>
      <c r="N3972" s="39">
        <f>IF($A3972="","",IFERROR(INDEX(부서매핑!$C$5:$C$504,MATCH($G3972&amp;"",부서매핑!$A$5:$A$504,0)),"미매핑"))</f>
        <v/>
      </c>
      <c r="O3972" s="9">
        <f>IF($A3972="","",N3972&amp;"|"&amp;$F3972)</f>
        <v/>
      </c>
      <c r="P3972" s="77">
        <f>IF($A3972="",0,$H3972*설정!$C$23)</f>
        <v/>
      </c>
      <c r="Q3972" s="39">
        <f>IF($A3972="","",IF(O3972&lt;&gt;원인분석!$C$9,"",IF(AND(M3972&gt;=원인분석!$C$10,M3972&lt;=원인분석!$C$11),"당기",IF(AND(M3972&gt;=원인분석!$C$12,M3972&lt;=원인분석!$C$13),"비교",""))))</f>
        <v/>
      </c>
      <c r="R3972" s="9">
        <f>IF(Q3972="","",$K3972&amp;"")</f>
        <v/>
      </c>
      <c r="S3972" s="9">
        <f>IF(Q3972="","",IF(MATCH(R3972,$R$5:$R$100000,0)=ROW()-4,ROW(),""))</f>
        <v/>
      </c>
      <c r="T3972" s="9">
        <f>IF(Q3972="당기",ABS(P3972)+ROW()/1000000000,"")</f>
        <v/>
      </c>
      <c r="U3972" s="9">
        <f>IF(Q3972="비교",ABS(P3972)+ROW()/1000000000,"")</f>
        <v/>
      </c>
      <c r="V3972" s="39">
        <f>IF($A3972="","",IF(COUNTIF(변동분석!$E$7:$E$506,O3972)&gt;0,"Y","N"))</f>
        <v/>
      </c>
      <c r="W3972" s="39">
        <f>IF($A3972="","",IFERROR(INDEX(계정매핑!$D$5:$D$504,MATCH($F3972&amp;"",계정매핑!$A$5:$A$504,0)),"미매핑"))</f>
        <v/>
      </c>
      <c r="X3972" s="9">
        <f>IF($A3972="","",$F3972&amp;"")</f>
        <v/>
      </c>
    </row>
    <row r="3973">
      <c r="A3973" s="75" t="n">
        <v>2026</v>
      </c>
      <c r="B3973" s="75" t="n">
        <v>9</v>
      </c>
      <c r="C3973" s="75" t="inlineStr">
        <is>
          <t>5100001629</t>
        </is>
      </c>
      <c r="D3973" s="78" t="n">
        <v>46272</v>
      </c>
      <c r="E3973" s="75" t="inlineStr">
        <is>
          <t>KR</t>
        </is>
      </c>
      <c r="F3973" s="75" t="n">
        <v>62401000</v>
      </c>
      <c r="G3973" s="75" t="n">
        <v>1401</v>
      </c>
      <c r="H3973" s="76" t="n">
        <v>447000</v>
      </c>
      <c r="I3973" s="75" t="inlineStr">
        <is>
          <t>9월 인쇄물 제작 - G인쇄</t>
        </is>
      </c>
      <c r="J3973" s="75" t="inlineStr">
        <is>
          <t>V10004</t>
        </is>
      </c>
      <c r="K3973" s="75" t="inlineStr">
        <is>
          <t>G인쇄</t>
        </is>
      </c>
      <c r="M3973" s="9">
        <f>IF($A3973="","",VALUE($A3973&amp;"")*12+VALUE($B3973&amp;""))</f>
        <v/>
      </c>
      <c r="N3973" s="39">
        <f>IF($A3973="","",IFERROR(INDEX(부서매핑!$C$5:$C$504,MATCH($G3973&amp;"",부서매핑!$A$5:$A$504,0)),"미매핑"))</f>
        <v/>
      </c>
      <c r="O3973" s="9">
        <f>IF($A3973="","",N3973&amp;"|"&amp;$F3973)</f>
        <v/>
      </c>
      <c r="P3973" s="77">
        <f>IF($A3973="",0,$H3973*설정!$C$23)</f>
        <v/>
      </c>
      <c r="Q3973" s="39">
        <f>IF($A3973="","",IF(O3973&lt;&gt;원인분석!$C$9,"",IF(AND(M3973&gt;=원인분석!$C$10,M3973&lt;=원인분석!$C$11),"당기",IF(AND(M3973&gt;=원인분석!$C$12,M3973&lt;=원인분석!$C$13),"비교",""))))</f>
        <v/>
      </c>
      <c r="R3973" s="9">
        <f>IF(Q3973="","",$K3973&amp;"")</f>
        <v/>
      </c>
      <c r="S3973" s="9">
        <f>IF(Q3973="","",IF(MATCH(R3973,$R$5:$R$100000,0)=ROW()-4,ROW(),""))</f>
        <v/>
      </c>
      <c r="T3973" s="9">
        <f>IF(Q3973="당기",ABS(P3973)+ROW()/1000000000,"")</f>
        <v/>
      </c>
      <c r="U3973" s="9">
        <f>IF(Q3973="비교",ABS(P3973)+ROW()/1000000000,"")</f>
        <v/>
      </c>
      <c r="V3973" s="39">
        <f>IF($A3973="","",IF(COUNTIF(변동분석!$E$7:$E$506,O3973)&gt;0,"Y","N"))</f>
        <v/>
      </c>
      <c r="W3973" s="39">
        <f>IF($A3973="","",IFERROR(INDEX(계정매핑!$D$5:$D$504,MATCH($F3973&amp;"",계정매핑!$A$5:$A$504,0)),"미매핑"))</f>
        <v/>
      </c>
      <c r="X3973" s="9">
        <f>IF($A3973="","",$F3973&amp;"")</f>
        <v/>
      </c>
    </row>
    <row r="3974">
      <c r="A3974" s="75" t="n">
        <v>2026</v>
      </c>
      <c r="B3974" s="75" t="n">
        <v>9</v>
      </c>
      <c r="C3974" s="75" t="inlineStr">
        <is>
          <t>5100001630</t>
        </is>
      </c>
      <c r="D3974" s="78" t="n">
        <v>46273</v>
      </c>
      <c r="E3974" s="75" t="inlineStr">
        <is>
          <t>KR</t>
        </is>
      </c>
      <c r="F3974" s="75" t="n">
        <v>62101000</v>
      </c>
      <c r="G3974" s="75" t="n">
        <v>1501</v>
      </c>
      <c r="H3974" s="76" t="n">
        <v>1084000</v>
      </c>
      <c r="I3974" s="75" t="inlineStr">
        <is>
          <t>9월 국내출장 - M항공</t>
        </is>
      </c>
      <c r="J3974" s="75" t="inlineStr">
        <is>
          <t>V10001</t>
        </is>
      </c>
      <c r="K3974" s="75" t="inlineStr">
        <is>
          <t>M항공</t>
        </is>
      </c>
      <c r="M3974" s="9">
        <f>IF($A3974="","",VALUE($A3974&amp;"")*12+VALUE($B3974&amp;""))</f>
        <v/>
      </c>
      <c r="N3974" s="39">
        <f>IF($A3974="","",IFERROR(INDEX(부서매핑!$C$5:$C$504,MATCH($G3974&amp;"",부서매핑!$A$5:$A$504,0)),"미매핑"))</f>
        <v/>
      </c>
      <c r="O3974" s="9">
        <f>IF($A3974="","",N3974&amp;"|"&amp;$F3974)</f>
        <v/>
      </c>
      <c r="P3974" s="77">
        <f>IF($A3974="",0,$H3974*설정!$C$23)</f>
        <v/>
      </c>
      <c r="Q3974" s="39">
        <f>IF($A3974="","",IF(O3974&lt;&gt;원인분석!$C$9,"",IF(AND(M3974&gt;=원인분석!$C$10,M3974&lt;=원인분석!$C$11),"당기",IF(AND(M3974&gt;=원인분석!$C$12,M3974&lt;=원인분석!$C$13),"비교",""))))</f>
        <v/>
      </c>
      <c r="R3974" s="9">
        <f>IF(Q3974="","",$K3974&amp;"")</f>
        <v/>
      </c>
      <c r="S3974" s="9">
        <f>IF(Q3974="","",IF(MATCH(R3974,$R$5:$R$100000,0)=ROW()-4,ROW(),""))</f>
        <v/>
      </c>
      <c r="T3974" s="9">
        <f>IF(Q3974="당기",ABS(P3974)+ROW()/1000000000,"")</f>
        <v/>
      </c>
      <c r="U3974" s="9">
        <f>IF(Q3974="비교",ABS(P3974)+ROW()/1000000000,"")</f>
        <v/>
      </c>
      <c r="V3974" s="39">
        <f>IF($A3974="","",IF(COUNTIF(변동분석!$E$7:$E$506,O3974)&gt;0,"Y","N"))</f>
        <v/>
      </c>
      <c r="W3974" s="39">
        <f>IF($A3974="","",IFERROR(INDEX(계정매핑!$D$5:$D$504,MATCH($F3974&amp;"",계정매핑!$A$5:$A$504,0)),"미매핑"))</f>
        <v/>
      </c>
      <c r="X3974" s="9">
        <f>IF($A3974="","",$F3974&amp;"")</f>
        <v/>
      </c>
    </row>
    <row r="3975">
      <c r="A3975" s="75" t="n">
        <v>2026</v>
      </c>
      <c r="B3975" s="75" t="n">
        <v>9</v>
      </c>
      <c r="C3975" s="75" t="inlineStr">
        <is>
          <t>5100001631</t>
        </is>
      </c>
      <c r="D3975" s="78" t="n">
        <v>46273</v>
      </c>
      <c r="E3975" s="75" t="inlineStr">
        <is>
          <t>KR</t>
        </is>
      </c>
      <c r="F3975" s="75" t="n">
        <v>62101000</v>
      </c>
      <c r="G3975" s="75" t="n">
        <v>1601</v>
      </c>
      <c r="H3975" s="76" t="n">
        <v>1935000</v>
      </c>
      <c r="I3975" s="75" t="inlineStr">
        <is>
          <t>9월 국내출장 - M항공</t>
        </is>
      </c>
      <c r="J3975" s="75" t="inlineStr">
        <is>
          <t>V10001</t>
        </is>
      </c>
      <c r="K3975" s="75" t="inlineStr">
        <is>
          <t>M항공</t>
        </is>
      </c>
      <c r="M3975" s="9">
        <f>IF($A3975="","",VALUE($A3975&amp;"")*12+VALUE($B3975&amp;""))</f>
        <v/>
      </c>
      <c r="N3975" s="39">
        <f>IF($A3975="","",IFERROR(INDEX(부서매핑!$C$5:$C$504,MATCH($G3975&amp;"",부서매핑!$A$5:$A$504,0)),"미매핑"))</f>
        <v/>
      </c>
      <c r="O3975" s="9">
        <f>IF($A3975="","",N3975&amp;"|"&amp;$F3975)</f>
        <v/>
      </c>
      <c r="P3975" s="77">
        <f>IF($A3975="",0,$H3975*설정!$C$23)</f>
        <v/>
      </c>
      <c r="Q3975" s="39">
        <f>IF($A3975="","",IF(O3975&lt;&gt;원인분석!$C$9,"",IF(AND(M3975&gt;=원인분석!$C$10,M3975&lt;=원인분석!$C$11),"당기",IF(AND(M3975&gt;=원인분석!$C$12,M3975&lt;=원인분석!$C$13),"비교",""))))</f>
        <v/>
      </c>
      <c r="R3975" s="9">
        <f>IF(Q3975="","",$K3975&amp;"")</f>
        <v/>
      </c>
      <c r="S3975" s="9">
        <f>IF(Q3975="","",IF(MATCH(R3975,$R$5:$R$100000,0)=ROW()-4,ROW(),""))</f>
        <v/>
      </c>
      <c r="T3975" s="9">
        <f>IF(Q3975="당기",ABS(P3975)+ROW()/1000000000,"")</f>
        <v/>
      </c>
      <c r="U3975" s="9">
        <f>IF(Q3975="비교",ABS(P3975)+ROW()/1000000000,"")</f>
        <v/>
      </c>
      <c r="V3975" s="39">
        <f>IF($A3975="","",IF(COUNTIF(변동분석!$E$7:$E$506,O3975)&gt;0,"Y","N"))</f>
        <v/>
      </c>
      <c r="W3975" s="39">
        <f>IF($A3975="","",IFERROR(INDEX(계정매핑!$D$5:$D$504,MATCH($F3975&amp;"",계정매핑!$A$5:$A$504,0)),"미매핑"))</f>
        <v/>
      </c>
      <c r="X3975" s="9">
        <f>IF($A3975="","",$F3975&amp;"")</f>
        <v/>
      </c>
    </row>
    <row r="3976">
      <c r="A3976" s="75" t="n">
        <v>2026</v>
      </c>
      <c r="B3976" s="75" t="n">
        <v>9</v>
      </c>
      <c r="C3976" s="75" t="inlineStr">
        <is>
          <t>5100001632</t>
        </is>
      </c>
      <c r="D3976" s="78" t="n">
        <v>46273</v>
      </c>
      <c r="E3976" s="75" t="inlineStr">
        <is>
          <t>KR</t>
        </is>
      </c>
      <c r="F3976" s="75" t="n">
        <v>62101000</v>
      </c>
      <c r="G3976" s="75" t="n">
        <v>1602</v>
      </c>
      <c r="H3976" s="76" t="n">
        <v>1688000</v>
      </c>
      <c r="I3976" s="75" t="inlineStr">
        <is>
          <t>9월 국내출장 - (법인카드)</t>
        </is>
      </c>
      <c r="J3976" s="75" t="inlineStr">
        <is>
          <t>V10008</t>
        </is>
      </c>
      <c r="K3976" s="75" t="inlineStr">
        <is>
          <t>(법인카드)</t>
        </is>
      </c>
      <c r="M3976" s="9">
        <f>IF($A3976="","",VALUE($A3976&amp;"")*12+VALUE($B3976&amp;""))</f>
        <v/>
      </c>
      <c r="N3976" s="39">
        <f>IF($A3976="","",IFERROR(INDEX(부서매핑!$C$5:$C$504,MATCH($G3976&amp;"",부서매핑!$A$5:$A$504,0)),"미매핑"))</f>
        <v/>
      </c>
      <c r="O3976" s="9">
        <f>IF($A3976="","",N3976&amp;"|"&amp;$F3976)</f>
        <v/>
      </c>
      <c r="P3976" s="77">
        <f>IF($A3976="",0,$H3976*설정!$C$23)</f>
        <v/>
      </c>
      <c r="Q3976" s="39">
        <f>IF($A3976="","",IF(O3976&lt;&gt;원인분석!$C$9,"",IF(AND(M3976&gt;=원인분석!$C$10,M3976&lt;=원인분석!$C$11),"당기",IF(AND(M3976&gt;=원인분석!$C$12,M3976&lt;=원인분석!$C$13),"비교",""))))</f>
        <v/>
      </c>
      <c r="R3976" s="9">
        <f>IF(Q3976="","",$K3976&amp;"")</f>
        <v/>
      </c>
      <c r="S3976" s="9">
        <f>IF(Q3976="","",IF(MATCH(R3976,$R$5:$R$100000,0)=ROW()-4,ROW(),""))</f>
        <v/>
      </c>
      <c r="T3976" s="9">
        <f>IF(Q3976="당기",ABS(P3976)+ROW()/1000000000,"")</f>
        <v/>
      </c>
      <c r="U3976" s="9">
        <f>IF(Q3976="비교",ABS(P3976)+ROW()/1000000000,"")</f>
        <v/>
      </c>
      <c r="V3976" s="39">
        <f>IF($A3976="","",IF(COUNTIF(변동분석!$E$7:$E$506,O3976)&gt;0,"Y","N"))</f>
        <v/>
      </c>
      <c r="W3976" s="39">
        <f>IF($A3976="","",IFERROR(INDEX(계정매핑!$D$5:$D$504,MATCH($F3976&amp;"",계정매핑!$A$5:$A$504,0)),"미매핑"))</f>
        <v/>
      </c>
      <c r="X3976" s="9">
        <f>IF($A3976="","",$F3976&amp;"")</f>
        <v/>
      </c>
    </row>
    <row r="3977">
      <c r="A3977" s="75" t="n">
        <v>2026</v>
      </c>
      <c r="B3977" s="75" t="n">
        <v>9</v>
      </c>
      <c r="C3977" s="75" t="inlineStr">
        <is>
          <t>5100001633</t>
        </is>
      </c>
      <c r="D3977" s="78" t="n">
        <v>46273</v>
      </c>
      <c r="E3977" s="75" t="inlineStr">
        <is>
          <t>KR</t>
        </is>
      </c>
      <c r="F3977" s="75" t="n">
        <v>62102000</v>
      </c>
      <c r="G3977" s="75" t="n">
        <v>1701</v>
      </c>
      <c r="H3977" s="76" t="n">
        <v>35000</v>
      </c>
      <c r="I3977" s="75" t="inlineStr">
        <is>
          <t>9월 해외출장 - N호텔</t>
        </is>
      </c>
      <c r="J3977" s="75" t="inlineStr">
        <is>
          <t>V10007</t>
        </is>
      </c>
      <c r="K3977" s="75" t="inlineStr">
        <is>
          <t>N호텔</t>
        </is>
      </c>
      <c r="M3977" s="9">
        <f>IF($A3977="","",VALUE($A3977&amp;"")*12+VALUE($B3977&amp;""))</f>
        <v/>
      </c>
      <c r="N3977" s="39">
        <f>IF($A3977="","",IFERROR(INDEX(부서매핑!$C$5:$C$504,MATCH($G3977&amp;"",부서매핑!$A$5:$A$504,0)),"미매핑"))</f>
        <v/>
      </c>
      <c r="O3977" s="9">
        <f>IF($A3977="","",N3977&amp;"|"&amp;$F3977)</f>
        <v/>
      </c>
      <c r="P3977" s="77">
        <f>IF($A3977="",0,$H3977*설정!$C$23)</f>
        <v/>
      </c>
      <c r="Q3977" s="39">
        <f>IF($A3977="","",IF(O3977&lt;&gt;원인분석!$C$9,"",IF(AND(M3977&gt;=원인분석!$C$10,M3977&lt;=원인분석!$C$11),"당기",IF(AND(M3977&gt;=원인분석!$C$12,M3977&lt;=원인분석!$C$13),"비교",""))))</f>
        <v/>
      </c>
      <c r="R3977" s="9">
        <f>IF(Q3977="","",$K3977&amp;"")</f>
        <v/>
      </c>
      <c r="S3977" s="9">
        <f>IF(Q3977="","",IF(MATCH(R3977,$R$5:$R$100000,0)=ROW()-4,ROW(),""))</f>
        <v/>
      </c>
      <c r="T3977" s="9">
        <f>IF(Q3977="당기",ABS(P3977)+ROW()/1000000000,"")</f>
        <v/>
      </c>
      <c r="U3977" s="9">
        <f>IF(Q3977="비교",ABS(P3977)+ROW()/1000000000,"")</f>
        <v/>
      </c>
      <c r="V3977" s="39">
        <f>IF($A3977="","",IF(COUNTIF(변동분석!$E$7:$E$506,O3977)&gt;0,"Y","N"))</f>
        <v/>
      </c>
      <c r="W3977" s="39">
        <f>IF($A3977="","",IFERROR(INDEX(계정매핑!$D$5:$D$504,MATCH($F3977&amp;"",계정매핑!$A$5:$A$504,0)),"미매핑"))</f>
        <v/>
      </c>
      <c r="X3977" s="9">
        <f>IF($A3977="","",$F3977&amp;"")</f>
        <v/>
      </c>
    </row>
    <row r="3978">
      <c r="A3978" s="75" t="n">
        <v>2026</v>
      </c>
      <c r="B3978" s="75" t="n">
        <v>9</v>
      </c>
      <c r="C3978" s="75" t="inlineStr">
        <is>
          <t>5100001634</t>
        </is>
      </c>
      <c r="D3978" s="78" t="n">
        <v>46273</v>
      </c>
      <c r="E3978" s="75" t="inlineStr">
        <is>
          <t>KR</t>
        </is>
      </c>
      <c r="F3978" s="75" t="n">
        <v>62301000</v>
      </c>
      <c r="G3978" s="75" t="n">
        <v>1301</v>
      </c>
      <c r="H3978" s="76" t="n">
        <v>286000</v>
      </c>
      <c r="I3978" s="75" t="inlineStr">
        <is>
          <t>9월 소모품 구입 - Q오피스</t>
        </is>
      </c>
      <c r="J3978" s="75" t="inlineStr">
        <is>
          <t>V10003</t>
        </is>
      </c>
      <c r="K3978" s="75" t="inlineStr">
        <is>
          <t>Q오피스</t>
        </is>
      </c>
      <c r="M3978" s="9">
        <f>IF($A3978="","",VALUE($A3978&amp;"")*12+VALUE($B3978&amp;""))</f>
        <v/>
      </c>
      <c r="N3978" s="39">
        <f>IF($A3978="","",IFERROR(INDEX(부서매핑!$C$5:$C$504,MATCH($G3978&amp;"",부서매핑!$A$5:$A$504,0)),"미매핑"))</f>
        <v/>
      </c>
      <c r="O3978" s="9">
        <f>IF($A3978="","",N3978&amp;"|"&amp;$F3978)</f>
        <v/>
      </c>
      <c r="P3978" s="77">
        <f>IF($A3978="",0,$H3978*설정!$C$23)</f>
        <v/>
      </c>
      <c r="Q3978" s="39">
        <f>IF($A3978="","",IF(O3978&lt;&gt;원인분석!$C$9,"",IF(AND(M3978&gt;=원인분석!$C$10,M3978&lt;=원인분석!$C$11),"당기",IF(AND(M3978&gt;=원인분석!$C$12,M3978&lt;=원인분석!$C$13),"비교",""))))</f>
        <v/>
      </c>
      <c r="R3978" s="9">
        <f>IF(Q3978="","",$K3978&amp;"")</f>
        <v/>
      </c>
      <c r="S3978" s="9">
        <f>IF(Q3978="","",IF(MATCH(R3978,$R$5:$R$100000,0)=ROW()-4,ROW(),""))</f>
        <v/>
      </c>
      <c r="T3978" s="9">
        <f>IF(Q3978="당기",ABS(P3978)+ROW()/1000000000,"")</f>
        <v/>
      </c>
      <c r="U3978" s="9">
        <f>IF(Q3978="비교",ABS(P3978)+ROW()/1000000000,"")</f>
        <v/>
      </c>
      <c r="V3978" s="39">
        <f>IF($A3978="","",IF(COUNTIF(변동분석!$E$7:$E$506,O3978)&gt;0,"Y","N"))</f>
        <v/>
      </c>
      <c r="W3978" s="39">
        <f>IF($A3978="","",IFERROR(INDEX(계정매핑!$D$5:$D$504,MATCH($F3978&amp;"",계정매핑!$A$5:$A$504,0)),"미매핑"))</f>
        <v/>
      </c>
      <c r="X3978" s="9">
        <f>IF($A3978="","",$F3978&amp;"")</f>
        <v/>
      </c>
    </row>
    <row r="3979">
      <c r="A3979" s="75" t="n">
        <v>2026</v>
      </c>
      <c r="B3979" s="75" t="n">
        <v>9</v>
      </c>
      <c r="C3979" s="75" t="inlineStr">
        <is>
          <t>5100001635</t>
        </is>
      </c>
      <c r="D3979" s="78" t="n">
        <v>46273</v>
      </c>
      <c r="E3979" s="75" t="inlineStr">
        <is>
          <t>KR</t>
        </is>
      </c>
      <c r="F3979" s="75" t="n">
        <v>62401000</v>
      </c>
      <c r="G3979" s="75" t="n">
        <v>1801</v>
      </c>
      <c r="H3979" s="76" t="n">
        <v>3181000</v>
      </c>
      <c r="I3979" s="75" t="inlineStr">
        <is>
          <t>9월 인쇄물 제작 - G인쇄</t>
        </is>
      </c>
      <c r="J3979" s="75" t="inlineStr">
        <is>
          <t>V10004</t>
        </is>
      </c>
      <c r="K3979" s="75" t="inlineStr">
        <is>
          <t>G인쇄</t>
        </is>
      </c>
      <c r="M3979" s="9">
        <f>IF($A3979="","",VALUE($A3979&amp;"")*12+VALUE($B3979&amp;""))</f>
        <v/>
      </c>
      <c r="N3979" s="39">
        <f>IF($A3979="","",IFERROR(INDEX(부서매핑!$C$5:$C$504,MATCH($G3979&amp;"",부서매핑!$A$5:$A$504,0)),"미매핑"))</f>
        <v/>
      </c>
      <c r="O3979" s="9">
        <f>IF($A3979="","",N3979&amp;"|"&amp;$F3979)</f>
        <v/>
      </c>
      <c r="P3979" s="77">
        <f>IF($A3979="",0,$H3979*설정!$C$23)</f>
        <v/>
      </c>
      <c r="Q3979" s="39">
        <f>IF($A3979="","",IF(O3979&lt;&gt;원인분석!$C$9,"",IF(AND(M3979&gt;=원인분석!$C$10,M3979&lt;=원인분석!$C$11),"당기",IF(AND(M3979&gt;=원인분석!$C$12,M3979&lt;=원인분석!$C$13),"비교",""))))</f>
        <v/>
      </c>
      <c r="R3979" s="9">
        <f>IF(Q3979="","",$K3979&amp;"")</f>
        <v/>
      </c>
      <c r="S3979" s="9">
        <f>IF(Q3979="","",IF(MATCH(R3979,$R$5:$R$100000,0)=ROW()-4,ROW(),""))</f>
        <v/>
      </c>
      <c r="T3979" s="9">
        <f>IF(Q3979="당기",ABS(P3979)+ROW()/1000000000,"")</f>
        <v/>
      </c>
      <c r="U3979" s="9">
        <f>IF(Q3979="비교",ABS(P3979)+ROW()/1000000000,"")</f>
        <v/>
      </c>
      <c r="V3979" s="39">
        <f>IF($A3979="","",IF(COUNTIF(변동분석!$E$7:$E$506,O3979)&gt;0,"Y","N"))</f>
        <v/>
      </c>
      <c r="W3979" s="39">
        <f>IF($A3979="","",IFERROR(INDEX(계정매핑!$D$5:$D$504,MATCH($F3979&amp;"",계정매핑!$A$5:$A$504,0)),"미매핑"))</f>
        <v/>
      </c>
      <c r="X3979" s="9">
        <f>IF($A3979="","",$F3979&amp;"")</f>
        <v/>
      </c>
    </row>
    <row r="3980">
      <c r="A3980" s="75" t="n">
        <v>2026</v>
      </c>
      <c r="B3980" s="75" t="n">
        <v>9</v>
      </c>
      <c r="C3980" s="75" t="inlineStr">
        <is>
          <t>5100001636</t>
        </is>
      </c>
      <c r="D3980" s="78" t="n">
        <v>46273</v>
      </c>
      <c r="E3980" s="75" t="inlineStr">
        <is>
          <t>KR</t>
        </is>
      </c>
      <c r="F3980" s="75" t="n">
        <v>62501000</v>
      </c>
      <c r="G3980" s="75" t="n">
        <v>1301</v>
      </c>
      <c r="H3980" s="76" t="n">
        <v>237000</v>
      </c>
      <c r="I3980" s="75" t="inlineStr">
        <is>
          <t>9월 회의 다과 - T케이터링</t>
        </is>
      </c>
      <c r="J3980" s="75" t="inlineStr">
        <is>
          <t>V10005</t>
        </is>
      </c>
      <c r="K3980" s="75" t="inlineStr">
        <is>
          <t>T케이터링</t>
        </is>
      </c>
      <c r="M3980" s="9">
        <f>IF($A3980="","",VALUE($A3980&amp;"")*12+VALUE($B3980&amp;""))</f>
        <v/>
      </c>
      <c r="N3980" s="39">
        <f>IF($A3980="","",IFERROR(INDEX(부서매핑!$C$5:$C$504,MATCH($G3980&amp;"",부서매핑!$A$5:$A$504,0)),"미매핑"))</f>
        <v/>
      </c>
      <c r="O3980" s="9">
        <f>IF($A3980="","",N3980&amp;"|"&amp;$F3980)</f>
        <v/>
      </c>
      <c r="P3980" s="77">
        <f>IF($A3980="",0,$H3980*설정!$C$23)</f>
        <v/>
      </c>
      <c r="Q3980" s="39">
        <f>IF($A3980="","",IF(O3980&lt;&gt;원인분석!$C$9,"",IF(AND(M3980&gt;=원인분석!$C$10,M3980&lt;=원인분석!$C$11),"당기",IF(AND(M3980&gt;=원인분석!$C$12,M3980&lt;=원인분석!$C$13),"비교",""))))</f>
        <v/>
      </c>
      <c r="R3980" s="9">
        <f>IF(Q3980="","",$K3980&amp;"")</f>
        <v/>
      </c>
      <c r="S3980" s="9">
        <f>IF(Q3980="","",IF(MATCH(R3980,$R$5:$R$100000,0)=ROW()-4,ROW(),""))</f>
        <v/>
      </c>
      <c r="T3980" s="9">
        <f>IF(Q3980="당기",ABS(P3980)+ROW()/1000000000,"")</f>
        <v/>
      </c>
      <c r="U3980" s="9">
        <f>IF(Q3980="비교",ABS(P3980)+ROW()/1000000000,"")</f>
        <v/>
      </c>
      <c r="V3980" s="39">
        <f>IF($A3980="","",IF(COUNTIF(변동분석!$E$7:$E$506,O3980)&gt;0,"Y","N"))</f>
        <v/>
      </c>
      <c r="W3980" s="39">
        <f>IF($A3980="","",IFERROR(INDEX(계정매핑!$D$5:$D$504,MATCH($F3980&amp;"",계정매핑!$A$5:$A$504,0)),"미매핑"))</f>
        <v/>
      </c>
      <c r="X3980" s="9">
        <f>IF($A3980="","",$F3980&amp;"")</f>
        <v/>
      </c>
    </row>
    <row r="3981">
      <c r="A3981" s="75" t="n">
        <v>2026</v>
      </c>
      <c r="B3981" s="75" t="n">
        <v>9</v>
      </c>
      <c r="C3981" s="75" t="inlineStr">
        <is>
          <t>5100001637</t>
        </is>
      </c>
      <c r="D3981" s="78" t="n">
        <v>46273</v>
      </c>
      <c r="E3981" s="75" t="inlineStr">
        <is>
          <t>KR</t>
        </is>
      </c>
      <c r="F3981" s="75" t="n">
        <v>62501000</v>
      </c>
      <c r="G3981" s="75" t="n">
        <v>1501</v>
      </c>
      <c r="H3981" s="76" t="n">
        <v>336000</v>
      </c>
      <c r="I3981" s="75" t="inlineStr">
        <is>
          <t>9월 회의 다과 - T케이터링</t>
        </is>
      </c>
      <c r="J3981" s="75" t="inlineStr">
        <is>
          <t>V10005</t>
        </is>
      </c>
      <c r="K3981" s="75" t="inlineStr">
        <is>
          <t>T케이터링</t>
        </is>
      </c>
      <c r="M3981" s="9">
        <f>IF($A3981="","",VALUE($A3981&amp;"")*12+VALUE($B3981&amp;""))</f>
        <v/>
      </c>
      <c r="N3981" s="39">
        <f>IF($A3981="","",IFERROR(INDEX(부서매핑!$C$5:$C$504,MATCH($G3981&amp;"",부서매핑!$A$5:$A$504,0)),"미매핑"))</f>
        <v/>
      </c>
      <c r="O3981" s="9">
        <f>IF($A3981="","",N3981&amp;"|"&amp;$F3981)</f>
        <v/>
      </c>
      <c r="P3981" s="77">
        <f>IF($A3981="",0,$H3981*설정!$C$23)</f>
        <v/>
      </c>
      <c r="Q3981" s="39">
        <f>IF($A3981="","",IF(O3981&lt;&gt;원인분석!$C$9,"",IF(AND(M3981&gt;=원인분석!$C$10,M3981&lt;=원인분석!$C$11),"당기",IF(AND(M3981&gt;=원인분석!$C$12,M3981&lt;=원인분석!$C$13),"비교",""))))</f>
        <v/>
      </c>
      <c r="R3981" s="9">
        <f>IF(Q3981="","",$K3981&amp;"")</f>
        <v/>
      </c>
      <c r="S3981" s="9">
        <f>IF(Q3981="","",IF(MATCH(R3981,$R$5:$R$100000,0)=ROW()-4,ROW(),""))</f>
        <v/>
      </c>
      <c r="T3981" s="9">
        <f>IF(Q3981="당기",ABS(P3981)+ROW()/1000000000,"")</f>
        <v/>
      </c>
      <c r="U3981" s="9">
        <f>IF(Q3981="비교",ABS(P3981)+ROW()/1000000000,"")</f>
        <v/>
      </c>
      <c r="V3981" s="39">
        <f>IF($A3981="","",IF(COUNTIF(변동분석!$E$7:$E$506,O3981)&gt;0,"Y","N"))</f>
        <v/>
      </c>
      <c r="W3981" s="39">
        <f>IF($A3981="","",IFERROR(INDEX(계정매핑!$D$5:$D$504,MATCH($F3981&amp;"",계정매핑!$A$5:$A$504,0)),"미매핑"))</f>
        <v/>
      </c>
      <c r="X3981" s="9">
        <f>IF($A3981="","",$F3981&amp;"")</f>
        <v/>
      </c>
    </row>
    <row r="3982">
      <c r="A3982" s="75" t="n">
        <v>2026</v>
      </c>
      <c r="B3982" s="75" t="n">
        <v>9</v>
      </c>
      <c r="C3982" s="75" t="inlineStr">
        <is>
          <t>5100001638</t>
        </is>
      </c>
      <c r="D3982" s="78" t="n">
        <v>46273</v>
      </c>
      <c r="E3982" s="75" t="inlineStr">
        <is>
          <t>KR</t>
        </is>
      </c>
      <c r="F3982" s="75" t="n">
        <v>62601000</v>
      </c>
      <c r="G3982" s="75" t="n">
        <v>1601</v>
      </c>
      <c r="H3982" s="76" t="n">
        <v>3041000</v>
      </c>
      <c r="I3982" s="75" t="inlineStr">
        <is>
          <t>9월 업무추진 - (법인카드)</t>
        </is>
      </c>
      <c r="J3982" s="75" t="inlineStr">
        <is>
          <t>V10008</t>
        </is>
      </c>
      <c r="K3982" s="75" t="inlineStr">
        <is>
          <t>(법인카드)</t>
        </is>
      </c>
      <c r="M3982" s="9">
        <f>IF($A3982="","",VALUE($A3982&amp;"")*12+VALUE($B3982&amp;""))</f>
        <v/>
      </c>
      <c r="N3982" s="39">
        <f>IF($A3982="","",IFERROR(INDEX(부서매핑!$C$5:$C$504,MATCH($G3982&amp;"",부서매핑!$A$5:$A$504,0)),"미매핑"))</f>
        <v/>
      </c>
      <c r="O3982" s="9">
        <f>IF($A3982="","",N3982&amp;"|"&amp;$F3982)</f>
        <v/>
      </c>
      <c r="P3982" s="77">
        <f>IF($A3982="",0,$H3982*설정!$C$23)</f>
        <v/>
      </c>
      <c r="Q3982" s="39">
        <f>IF($A3982="","",IF(O3982&lt;&gt;원인분석!$C$9,"",IF(AND(M3982&gt;=원인분석!$C$10,M3982&lt;=원인분석!$C$11),"당기",IF(AND(M3982&gt;=원인분석!$C$12,M3982&lt;=원인분석!$C$13),"비교",""))))</f>
        <v/>
      </c>
      <c r="R3982" s="9">
        <f>IF(Q3982="","",$K3982&amp;"")</f>
        <v/>
      </c>
      <c r="S3982" s="9">
        <f>IF(Q3982="","",IF(MATCH(R3982,$R$5:$R$100000,0)=ROW()-4,ROW(),""))</f>
        <v/>
      </c>
      <c r="T3982" s="9">
        <f>IF(Q3982="당기",ABS(P3982)+ROW()/1000000000,"")</f>
        <v/>
      </c>
      <c r="U3982" s="9">
        <f>IF(Q3982="비교",ABS(P3982)+ROW()/1000000000,"")</f>
        <v/>
      </c>
      <c r="V3982" s="39">
        <f>IF($A3982="","",IF(COUNTIF(변동분석!$E$7:$E$506,O3982)&gt;0,"Y","N"))</f>
        <v/>
      </c>
      <c r="W3982" s="39">
        <f>IF($A3982="","",IFERROR(INDEX(계정매핑!$D$5:$D$504,MATCH($F3982&amp;"",계정매핑!$A$5:$A$504,0)),"미매핑"))</f>
        <v/>
      </c>
      <c r="X3982" s="9">
        <f>IF($A3982="","",$F3982&amp;"")</f>
        <v/>
      </c>
    </row>
    <row r="3983">
      <c r="A3983" s="75" t="n">
        <v>2026</v>
      </c>
      <c r="B3983" s="75" t="n">
        <v>9</v>
      </c>
      <c r="C3983" s="75" t="inlineStr">
        <is>
          <t>5100001639</t>
        </is>
      </c>
      <c r="D3983" s="78" t="n">
        <v>46274</v>
      </c>
      <c r="E3983" s="75" t="inlineStr">
        <is>
          <t>KR</t>
        </is>
      </c>
      <c r="F3983" s="75" t="n">
        <v>62101000</v>
      </c>
      <c r="G3983" s="75" t="n">
        <v>1301</v>
      </c>
      <c r="H3983" s="76" t="n">
        <v>375000</v>
      </c>
      <c r="I3983" s="75" t="inlineStr">
        <is>
          <t>9월 국내출장 - M항공</t>
        </is>
      </c>
      <c r="J3983" s="75" t="inlineStr">
        <is>
          <t>V10001</t>
        </is>
      </c>
      <c r="K3983" s="75" t="inlineStr">
        <is>
          <t>M항공</t>
        </is>
      </c>
      <c r="M3983" s="9">
        <f>IF($A3983="","",VALUE($A3983&amp;"")*12+VALUE($B3983&amp;""))</f>
        <v/>
      </c>
      <c r="N3983" s="39">
        <f>IF($A3983="","",IFERROR(INDEX(부서매핑!$C$5:$C$504,MATCH($G3983&amp;"",부서매핑!$A$5:$A$504,0)),"미매핑"))</f>
        <v/>
      </c>
      <c r="O3983" s="9">
        <f>IF($A3983="","",N3983&amp;"|"&amp;$F3983)</f>
        <v/>
      </c>
      <c r="P3983" s="77">
        <f>IF($A3983="",0,$H3983*설정!$C$23)</f>
        <v/>
      </c>
      <c r="Q3983" s="39">
        <f>IF($A3983="","",IF(O3983&lt;&gt;원인분석!$C$9,"",IF(AND(M3983&gt;=원인분석!$C$10,M3983&lt;=원인분석!$C$11),"당기",IF(AND(M3983&gt;=원인분석!$C$12,M3983&lt;=원인분석!$C$13),"비교",""))))</f>
        <v/>
      </c>
      <c r="R3983" s="9">
        <f>IF(Q3983="","",$K3983&amp;"")</f>
        <v/>
      </c>
      <c r="S3983" s="9">
        <f>IF(Q3983="","",IF(MATCH(R3983,$R$5:$R$100000,0)=ROW()-4,ROW(),""))</f>
        <v/>
      </c>
      <c r="T3983" s="9">
        <f>IF(Q3983="당기",ABS(P3983)+ROW()/1000000000,"")</f>
        <v/>
      </c>
      <c r="U3983" s="9">
        <f>IF(Q3983="비교",ABS(P3983)+ROW()/1000000000,"")</f>
        <v/>
      </c>
      <c r="V3983" s="39">
        <f>IF($A3983="","",IF(COUNTIF(변동분석!$E$7:$E$506,O3983)&gt;0,"Y","N"))</f>
        <v/>
      </c>
      <c r="W3983" s="39">
        <f>IF($A3983="","",IFERROR(INDEX(계정매핑!$D$5:$D$504,MATCH($F3983&amp;"",계정매핑!$A$5:$A$504,0)),"미매핑"))</f>
        <v/>
      </c>
      <c r="X3983" s="9">
        <f>IF($A3983="","",$F3983&amp;"")</f>
        <v/>
      </c>
    </row>
    <row r="3984">
      <c r="A3984" s="75" t="n">
        <v>2026</v>
      </c>
      <c r="B3984" s="75" t="n">
        <v>9</v>
      </c>
      <c r="C3984" s="75" t="inlineStr">
        <is>
          <t>5100001640</t>
        </is>
      </c>
      <c r="D3984" s="78" t="n">
        <v>46274</v>
      </c>
      <c r="E3984" s="75" t="inlineStr">
        <is>
          <t>KR</t>
        </is>
      </c>
      <c r="F3984" s="75" t="n">
        <v>62101000</v>
      </c>
      <c r="G3984" s="75" t="n">
        <v>1401</v>
      </c>
      <c r="H3984" s="76" t="n">
        <v>291000</v>
      </c>
      <c r="I3984" s="75" t="inlineStr">
        <is>
          <t>9월 국내출장 - (법인카드)</t>
        </is>
      </c>
      <c r="J3984" s="75" t="inlineStr">
        <is>
          <t>V10008</t>
        </is>
      </c>
      <c r="K3984" s="75" t="inlineStr">
        <is>
          <t>(법인카드)</t>
        </is>
      </c>
      <c r="M3984" s="9">
        <f>IF($A3984="","",VALUE($A3984&amp;"")*12+VALUE($B3984&amp;""))</f>
        <v/>
      </c>
      <c r="N3984" s="39">
        <f>IF($A3984="","",IFERROR(INDEX(부서매핑!$C$5:$C$504,MATCH($G3984&amp;"",부서매핑!$A$5:$A$504,0)),"미매핑"))</f>
        <v/>
      </c>
      <c r="O3984" s="9">
        <f>IF($A3984="","",N3984&amp;"|"&amp;$F3984)</f>
        <v/>
      </c>
      <c r="P3984" s="77">
        <f>IF($A3984="",0,$H3984*설정!$C$23)</f>
        <v/>
      </c>
      <c r="Q3984" s="39">
        <f>IF($A3984="","",IF(O3984&lt;&gt;원인분석!$C$9,"",IF(AND(M3984&gt;=원인분석!$C$10,M3984&lt;=원인분석!$C$11),"당기",IF(AND(M3984&gt;=원인분석!$C$12,M3984&lt;=원인분석!$C$13),"비교",""))))</f>
        <v/>
      </c>
      <c r="R3984" s="9">
        <f>IF(Q3984="","",$K3984&amp;"")</f>
        <v/>
      </c>
      <c r="S3984" s="9">
        <f>IF(Q3984="","",IF(MATCH(R3984,$R$5:$R$100000,0)=ROW()-4,ROW(),""))</f>
        <v/>
      </c>
      <c r="T3984" s="9">
        <f>IF(Q3984="당기",ABS(P3984)+ROW()/1000000000,"")</f>
        <v/>
      </c>
      <c r="U3984" s="9">
        <f>IF(Q3984="비교",ABS(P3984)+ROW()/1000000000,"")</f>
        <v/>
      </c>
      <c r="V3984" s="39">
        <f>IF($A3984="","",IF(COUNTIF(변동분석!$E$7:$E$506,O3984)&gt;0,"Y","N"))</f>
        <v/>
      </c>
      <c r="W3984" s="39">
        <f>IF($A3984="","",IFERROR(INDEX(계정매핑!$D$5:$D$504,MATCH($F3984&amp;"",계정매핑!$A$5:$A$504,0)),"미매핑"))</f>
        <v/>
      </c>
      <c r="X3984" s="9">
        <f>IF($A3984="","",$F3984&amp;"")</f>
        <v/>
      </c>
    </row>
    <row r="3985">
      <c r="A3985" s="75" t="n">
        <v>2026</v>
      </c>
      <c r="B3985" s="75" t="n">
        <v>9</v>
      </c>
      <c r="C3985" s="75" t="inlineStr">
        <is>
          <t>5100001641</t>
        </is>
      </c>
      <c r="D3985" s="78" t="n">
        <v>46274</v>
      </c>
      <c r="E3985" s="75" t="inlineStr">
        <is>
          <t>KR</t>
        </is>
      </c>
      <c r="F3985" s="75" t="n">
        <v>62102000</v>
      </c>
      <c r="G3985" s="75" t="n">
        <v>1301</v>
      </c>
      <c r="H3985" s="76" t="n">
        <v>105000</v>
      </c>
      <c r="I3985" s="75" t="inlineStr">
        <is>
          <t>9월 해외출장 - N호텔</t>
        </is>
      </c>
      <c r="J3985" s="75" t="inlineStr">
        <is>
          <t>V10007</t>
        </is>
      </c>
      <c r="K3985" s="75" t="inlineStr">
        <is>
          <t>N호텔</t>
        </is>
      </c>
      <c r="M3985" s="9">
        <f>IF($A3985="","",VALUE($A3985&amp;"")*12+VALUE($B3985&amp;""))</f>
        <v/>
      </c>
      <c r="N3985" s="39">
        <f>IF($A3985="","",IFERROR(INDEX(부서매핑!$C$5:$C$504,MATCH($G3985&amp;"",부서매핑!$A$5:$A$504,0)),"미매핑"))</f>
        <v/>
      </c>
      <c r="O3985" s="9">
        <f>IF($A3985="","",N3985&amp;"|"&amp;$F3985)</f>
        <v/>
      </c>
      <c r="P3985" s="77">
        <f>IF($A3985="",0,$H3985*설정!$C$23)</f>
        <v/>
      </c>
      <c r="Q3985" s="39">
        <f>IF($A3985="","",IF(O3985&lt;&gt;원인분석!$C$9,"",IF(AND(M3985&gt;=원인분석!$C$10,M3985&lt;=원인분석!$C$11),"당기",IF(AND(M3985&gt;=원인분석!$C$12,M3985&lt;=원인분석!$C$13),"비교",""))))</f>
        <v/>
      </c>
      <c r="R3985" s="9">
        <f>IF(Q3985="","",$K3985&amp;"")</f>
        <v/>
      </c>
      <c r="S3985" s="9">
        <f>IF(Q3985="","",IF(MATCH(R3985,$R$5:$R$100000,0)=ROW()-4,ROW(),""))</f>
        <v/>
      </c>
      <c r="T3985" s="9">
        <f>IF(Q3985="당기",ABS(P3985)+ROW()/1000000000,"")</f>
        <v/>
      </c>
      <c r="U3985" s="9">
        <f>IF(Q3985="비교",ABS(P3985)+ROW()/1000000000,"")</f>
        <v/>
      </c>
      <c r="V3985" s="39">
        <f>IF($A3985="","",IF(COUNTIF(변동분석!$E$7:$E$506,O3985)&gt;0,"Y","N"))</f>
        <v/>
      </c>
      <c r="W3985" s="39">
        <f>IF($A3985="","",IFERROR(INDEX(계정매핑!$D$5:$D$504,MATCH($F3985&amp;"",계정매핑!$A$5:$A$504,0)),"미매핑"))</f>
        <v/>
      </c>
      <c r="X3985" s="9">
        <f>IF($A3985="","",$F3985&amp;"")</f>
        <v/>
      </c>
    </row>
    <row r="3986">
      <c r="A3986" s="75" t="n">
        <v>2026</v>
      </c>
      <c r="B3986" s="75" t="n">
        <v>9</v>
      </c>
      <c r="C3986" s="75" t="inlineStr">
        <is>
          <t>5100001642</t>
        </is>
      </c>
      <c r="D3986" s="78" t="n">
        <v>46274</v>
      </c>
      <c r="E3986" s="75" t="inlineStr">
        <is>
          <t>KR</t>
        </is>
      </c>
      <c r="F3986" s="75" t="n">
        <v>62102000</v>
      </c>
      <c r="G3986" s="75" t="n">
        <v>1801</v>
      </c>
      <c r="H3986" s="76" t="n">
        <v>51000</v>
      </c>
      <c r="I3986" s="75" t="inlineStr">
        <is>
          <t>9월 해외출장 - N호텔</t>
        </is>
      </c>
      <c r="J3986" s="75" t="inlineStr">
        <is>
          <t>V10007</t>
        </is>
      </c>
      <c r="K3986" s="75" t="inlineStr">
        <is>
          <t>N호텔</t>
        </is>
      </c>
      <c r="M3986" s="9">
        <f>IF($A3986="","",VALUE($A3986&amp;"")*12+VALUE($B3986&amp;""))</f>
        <v/>
      </c>
      <c r="N3986" s="39">
        <f>IF($A3986="","",IFERROR(INDEX(부서매핑!$C$5:$C$504,MATCH($G3986&amp;"",부서매핑!$A$5:$A$504,0)),"미매핑"))</f>
        <v/>
      </c>
      <c r="O3986" s="9">
        <f>IF($A3986="","",N3986&amp;"|"&amp;$F3986)</f>
        <v/>
      </c>
      <c r="P3986" s="77">
        <f>IF($A3986="",0,$H3986*설정!$C$23)</f>
        <v/>
      </c>
      <c r="Q3986" s="39">
        <f>IF($A3986="","",IF(O3986&lt;&gt;원인분석!$C$9,"",IF(AND(M3986&gt;=원인분석!$C$10,M3986&lt;=원인분석!$C$11),"당기",IF(AND(M3986&gt;=원인분석!$C$12,M3986&lt;=원인분석!$C$13),"비교",""))))</f>
        <v/>
      </c>
      <c r="R3986" s="9">
        <f>IF(Q3986="","",$K3986&amp;"")</f>
        <v/>
      </c>
      <c r="S3986" s="9">
        <f>IF(Q3986="","",IF(MATCH(R3986,$R$5:$R$100000,0)=ROW()-4,ROW(),""))</f>
        <v/>
      </c>
      <c r="T3986" s="9">
        <f>IF(Q3986="당기",ABS(P3986)+ROW()/1000000000,"")</f>
        <v/>
      </c>
      <c r="U3986" s="9">
        <f>IF(Q3986="비교",ABS(P3986)+ROW()/1000000000,"")</f>
        <v/>
      </c>
      <c r="V3986" s="39">
        <f>IF($A3986="","",IF(COUNTIF(변동분석!$E$7:$E$506,O3986)&gt;0,"Y","N"))</f>
        <v/>
      </c>
      <c r="W3986" s="39">
        <f>IF($A3986="","",IFERROR(INDEX(계정매핑!$D$5:$D$504,MATCH($F3986&amp;"",계정매핑!$A$5:$A$504,0)),"미매핑"))</f>
        <v/>
      </c>
      <c r="X3986" s="9">
        <f>IF($A3986="","",$F3986&amp;"")</f>
        <v/>
      </c>
    </row>
    <row r="3987">
      <c r="A3987" s="75" t="n">
        <v>2026</v>
      </c>
      <c r="B3987" s="75" t="n">
        <v>9</v>
      </c>
      <c r="C3987" s="75" t="inlineStr">
        <is>
          <t>5100001643</t>
        </is>
      </c>
      <c r="D3987" s="78" t="n">
        <v>46274</v>
      </c>
      <c r="E3987" s="75" t="inlineStr">
        <is>
          <t>KR</t>
        </is>
      </c>
      <c r="F3987" s="75" t="n">
        <v>62201000</v>
      </c>
      <c r="G3987" s="75" t="n">
        <v>1401</v>
      </c>
      <c r="H3987" s="76" t="n">
        <v>254000</v>
      </c>
      <c r="I3987" s="75" t="inlineStr">
        <is>
          <t>9월 통신요금 - P통신</t>
        </is>
      </c>
      <c r="J3987" s="75" t="inlineStr">
        <is>
          <t>V10011</t>
        </is>
      </c>
      <c r="K3987" s="75" t="inlineStr">
        <is>
          <t>P통신</t>
        </is>
      </c>
      <c r="M3987" s="9">
        <f>IF($A3987="","",VALUE($A3987&amp;"")*12+VALUE($B3987&amp;""))</f>
        <v/>
      </c>
      <c r="N3987" s="39">
        <f>IF($A3987="","",IFERROR(INDEX(부서매핑!$C$5:$C$504,MATCH($G3987&amp;"",부서매핑!$A$5:$A$504,0)),"미매핑"))</f>
        <v/>
      </c>
      <c r="O3987" s="9">
        <f>IF($A3987="","",N3987&amp;"|"&amp;$F3987)</f>
        <v/>
      </c>
      <c r="P3987" s="77">
        <f>IF($A3987="",0,$H3987*설정!$C$23)</f>
        <v/>
      </c>
      <c r="Q3987" s="39">
        <f>IF($A3987="","",IF(O3987&lt;&gt;원인분석!$C$9,"",IF(AND(M3987&gt;=원인분석!$C$10,M3987&lt;=원인분석!$C$11),"당기",IF(AND(M3987&gt;=원인분석!$C$12,M3987&lt;=원인분석!$C$13),"비교",""))))</f>
        <v/>
      </c>
      <c r="R3987" s="9">
        <f>IF(Q3987="","",$K3987&amp;"")</f>
        <v/>
      </c>
      <c r="S3987" s="9">
        <f>IF(Q3987="","",IF(MATCH(R3987,$R$5:$R$100000,0)=ROW()-4,ROW(),""))</f>
        <v/>
      </c>
      <c r="T3987" s="9">
        <f>IF(Q3987="당기",ABS(P3987)+ROW()/1000000000,"")</f>
        <v/>
      </c>
      <c r="U3987" s="9">
        <f>IF(Q3987="비교",ABS(P3987)+ROW()/1000000000,"")</f>
        <v/>
      </c>
      <c r="V3987" s="39">
        <f>IF($A3987="","",IF(COUNTIF(변동분석!$E$7:$E$506,O3987)&gt;0,"Y","N"))</f>
        <v/>
      </c>
      <c r="W3987" s="39">
        <f>IF($A3987="","",IFERROR(INDEX(계정매핑!$D$5:$D$504,MATCH($F3987&amp;"",계정매핑!$A$5:$A$504,0)),"미매핑"))</f>
        <v/>
      </c>
      <c r="X3987" s="9">
        <f>IF($A3987="","",$F3987&amp;"")</f>
        <v/>
      </c>
    </row>
    <row r="3988">
      <c r="A3988" s="75" t="n">
        <v>2026</v>
      </c>
      <c r="B3988" s="75" t="n">
        <v>9</v>
      </c>
      <c r="C3988" s="75" t="inlineStr">
        <is>
          <t>5100001644</t>
        </is>
      </c>
      <c r="D3988" s="78" t="n">
        <v>46274</v>
      </c>
      <c r="E3988" s="75" t="inlineStr">
        <is>
          <t>KR</t>
        </is>
      </c>
      <c r="F3988" s="75" t="n">
        <v>62201000</v>
      </c>
      <c r="G3988" s="75" t="n">
        <v>1801</v>
      </c>
      <c r="H3988" s="76" t="n">
        <v>4040000</v>
      </c>
      <c r="I3988" s="75" t="inlineStr">
        <is>
          <t>9월 통신요금 - O텔레콤</t>
        </is>
      </c>
      <c r="J3988" s="75" t="inlineStr">
        <is>
          <t>V10002</t>
        </is>
      </c>
      <c r="K3988" s="75" t="inlineStr">
        <is>
          <t>O텔레콤</t>
        </is>
      </c>
      <c r="M3988" s="9">
        <f>IF($A3988="","",VALUE($A3988&amp;"")*12+VALUE($B3988&amp;""))</f>
        <v/>
      </c>
      <c r="N3988" s="39">
        <f>IF($A3988="","",IFERROR(INDEX(부서매핑!$C$5:$C$504,MATCH($G3988&amp;"",부서매핑!$A$5:$A$504,0)),"미매핑"))</f>
        <v/>
      </c>
      <c r="O3988" s="9">
        <f>IF($A3988="","",N3988&amp;"|"&amp;$F3988)</f>
        <v/>
      </c>
      <c r="P3988" s="77">
        <f>IF($A3988="",0,$H3988*설정!$C$23)</f>
        <v/>
      </c>
      <c r="Q3988" s="39">
        <f>IF($A3988="","",IF(O3988&lt;&gt;원인분석!$C$9,"",IF(AND(M3988&gt;=원인분석!$C$10,M3988&lt;=원인분석!$C$11),"당기",IF(AND(M3988&gt;=원인분석!$C$12,M3988&lt;=원인분석!$C$13),"비교",""))))</f>
        <v/>
      </c>
      <c r="R3988" s="9">
        <f>IF(Q3988="","",$K3988&amp;"")</f>
        <v/>
      </c>
      <c r="S3988" s="9">
        <f>IF(Q3988="","",IF(MATCH(R3988,$R$5:$R$100000,0)=ROW()-4,ROW(),""))</f>
        <v/>
      </c>
      <c r="T3988" s="9">
        <f>IF(Q3988="당기",ABS(P3988)+ROW()/1000000000,"")</f>
        <v/>
      </c>
      <c r="U3988" s="9">
        <f>IF(Q3988="비교",ABS(P3988)+ROW()/1000000000,"")</f>
        <v/>
      </c>
      <c r="V3988" s="39">
        <f>IF($A3988="","",IF(COUNTIF(변동분석!$E$7:$E$506,O3988)&gt;0,"Y","N"))</f>
        <v/>
      </c>
      <c r="W3988" s="39">
        <f>IF($A3988="","",IFERROR(INDEX(계정매핑!$D$5:$D$504,MATCH($F3988&amp;"",계정매핑!$A$5:$A$504,0)),"미매핑"))</f>
        <v/>
      </c>
      <c r="X3988" s="9">
        <f>IF($A3988="","",$F3988&amp;"")</f>
        <v/>
      </c>
    </row>
    <row r="3989">
      <c r="A3989" s="75" t="n">
        <v>2026</v>
      </c>
      <c r="B3989" s="75" t="n">
        <v>9</v>
      </c>
      <c r="C3989" s="75" t="inlineStr">
        <is>
          <t>5100001645</t>
        </is>
      </c>
      <c r="D3989" s="78" t="n">
        <v>46274</v>
      </c>
      <c r="E3989" s="75" t="inlineStr">
        <is>
          <t>KR</t>
        </is>
      </c>
      <c r="F3989" s="75" t="n">
        <v>62701000</v>
      </c>
      <c r="G3989" s="75" t="n">
        <v>1501</v>
      </c>
      <c r="H3989" s="76" t="n">
        <v>46136000</v>
      </c>
      <c r="I3989" s="75" t="inlineStr">
        <is>
          <t>9월 광고 집행 - E미디어</t>
        </is>
      </c>
      <c r="J3989" s="75" t="inlineStr">
        <is>
          <t>V10027</t>
        </is>
      </c>
      <c r="K3989" s="75" t="inlineStr">
        <is>
          <t>E미디어</t>
        </is>
      </c>
      <c r="M3989" s="9">
        <f>IF($A3989="","",VALUE($A3989&amp;"")*12+VALUE($B3989&amp;""))</f>
        <v/>
      </c>
      <c r="N3989" s="39">
        <f>IF($A3989="","",IFERROR(INDEX(부서매핑!$C$5:$C$504,MATCH($G3989&amp;"",부서매핑!$A$5:$A$504,0)),"미매핑"))</f>
        <v/>
      </c>
      <c r="O3989" s="9">
        <f>IF($A3989="","",N3989&amp;"|"&amp;$F3989)</f>
        <v/>
      </c>
      <c r="P3989" s="77">
        <f>IF($A3989="",0,$H3989*설정!$C$23)</f>
        <v/>
      </c>
      <c r="Q3989" s="39">
        <f>IF($A3989="","",IF(O3989&lt;&gt;원인분석!$C$9,"",IF(AND(M3989&gt;=원인분석!$C$10,M3989&lt;=원인분석!$C$11),"당기",IF(AND(M3989&gt;=원인분석!$C$12,M3989&lt;=원인분석!$C$13),"비교",""))))</f>
        <v/>
      </c>
      <c r="R3989" s="9">
        <f>IF(Q3989="","",$K3989&amp;"")</f>
        <v/>
      </c>
      <c r="S3989" s="9">
        <f>IF(Q3989="","",IF(MATCH(R3989,$R$5:$R$100000,0)=ROW()-4,ROW(),""))</f>
        <v/>
      </c>
      <c r="T3989" s="9">
        <f>IF(Q3989="당기",ABS(P3989)+ROW()/1000000000,"")</f>
        <v/>
      </c>
      <c r="U3989" s="9">
        <f>IF(Q3989="비교",ABS(P3989)+ROW()/1000000000,"")</f>
        <v/>
      </c>
      <c r="V3989" s="39">
        <f>IF($A3989="","",IF(COUNTIF(변동분석!$E$7:$E$506,O3989)&gt;0,"Y","N"))</f>
        <v/>
      </c>
      <c r="W3989" s="39">
        <f>IF($A3989="","",IFERROR(INDEX(계정매핑!$D$5:$D$504,MATCH($F3989&amp;"",계정매핑!$A$5:$A$504,0)),"미매핑"))</f>
        <v/>
      </c>
      <c r="X3989" s="9">
        <f>IF($A3989="","",$F3989&amp;"")</f>
        <v/>
      </c>
    </row>
    <row r="3990">
      <c r="A3990" s="75" t="n">
        <v>2026</v>
      </c>
      <c r="B3990" s="75" t="n">
        <v>9</v>
      </c>
      <c r="C3990" s="75" t="inlineStr">
        <is>
          <t>5100001646</t>
        </is>
      </c>
      <c r="D3990" s="78" t="n">
        <v>46274</v>
      </c>
      <c r="E3990" s="75" t="inlineStr">
        <is>
          <t>KR</t>
        </is>
      </c>
      <c r="F3990" s="75" t="n">
        <v>62901000</v>
      </c>
      <c r="G3990" s="75" t="n">
        <v>1401</v>
      </c>
      <c r="H3990" s="76" t="n">
        <v>7761000</v>
      </c>
      <c r="I3990" s="75" t="inlineStr">
        <is>
          <t>9월 자문 수수료 - K회계법인</t>
        </is>
      </c>
      <c r="J3990" s="75" t="inlineStr">
        <is>
          <t>V10010</t>
        </is>
      </c>
      <c r="K3990" s="75" t="inlineStr">
        <is>
          <t>K회계법인</t>
        </is>
      </c>
      <c r="M3990" s="9">
        <f>IF($A3990="","",VALUE($A3990&amp;"")*12+VALUE($B3990&amp;""))</f>
        <v/>
      </c>
      <c r="N3990" s="39">
        <f>IF($A3990="","",IFERROR(INDEX(부서매핑!$C$5:$C$504,MATCH($G3990&amp;"",부서매핑!$A$5:$A$504,0)),"미매핑"))</f>
        <v/>
      </c>
      <c r="O3990" s="9">
        <f>IF($A3990="","",N3990&amp;"|"&amp;$F3990)</f>
        <v/>
      </c>
      <c r="P3990" s="77">
        <f>IF($A3990="",0,$H3990*설정!$C$23)</f>
        <v/>
      </c>
      <c r="Q3990" s="39">
        <f>IF($A3990="","",IF(O3990&lt;&gt;원인분석!$C$9,"",IF(AND(M3990&gt;=원인분석!$C$10,M3990&lt;=원인분석!$C$11),"당기",IF(AND(M3990&gt;=원인분석!$C$12,M3990&lt;=원인분석!$C$13),"비교",""))))</f>
        <v/>
      </c>
      <c r="R3990" s="9">
        <f>IF(Q3990="","",$K3990&amp;"")</f>
        <v/>
      </c>
      <c r="S3990" s="9">
        <f>IF(Q3990="","",IF(MATCH(R3990,$R$5:$R$100000,0)=ROW()-4,ROW(),""))</f>
        <v/>
      </c>
      <c r="T3990" s="9">
        <f>IF(Q3990="당기",ABS(P3990)+ROW()/1000000000,"")</f>
        <v/>
      </c>
      <c r="U3990" s="9">
        <f>IF(Q3990="비교",ABS(P3990)+ROW()/1000000000,"")</f>
        <v/>
      </c>
      <c r="V3990" s="39">
        <f>IF($A3990="","",IF(COUNTIF(변동분석!$E$7:$E$506,O3990)&gt;0,"Y","N"))</f>
        <v/>
      </c>
      <c r="W3990" s="39">
        <f>IF($A3990="","",IFERROR(INDEX(계정매핑!$D$5:$D$504,MATCH($F3990&amp;"",계정매핑!$A$5:$A$504,0)),"미매핑"))</f>
        <v/>
      </c>
      <c r="X3990" s="9">
        <f>IF($A3990="","",$F3990&amp;"")</f>
        <v/>
      </c>
    </row>
    <row r="3991">
      <c r="A3991" s="75" t="n">
        <v>2026</v>
      </c>
      <c r="B3991" s="75" t="n">
        <v>9</v>
      </c>
      <c r="C3991" s="75" t="inlineStr">
        <is>
          <t>5100001647</t>
        </is>
      </c>
      <c r="D3991" s="78" t="n">
        <v>46275</v>
      </c>
      <c r="E3991" s="75" t="inlineStr">
        <is>
          <t>KR</t>
        </is>
      </c>
      <c r="F3991" s="75" t="n">
        <v>62101000</v>
      </c>
      <c r="G3991" s="75" t="n">
        <v>1401</v>
      </c>
      <c r="H3991" s="76" t="n">
        <v>379000</v>
      </c>
      <c r="I3991" s="75" t="inlineStr">
        <is>
          <t>9월 국내출장 - L여행사</t>
        </is>
      </c>
      <c r="J3991" s="75" t="inlineStr">
        <is>
          <t>V10014</t>
        </is>
      </c>
      <c r="K3991" s="75" t="inlineStr">
        <is>
          <t>L여행사</t>
        </is>
      </c>
      <c r="M3991" s="9">
        <f>IF($A3991="","",VALUE($A3991&amp;"")*12+VALUE($B3991&amp;""))</f>
        <v/>
      </c>
      <c r="N3991" s="39">
        <f>IF($A3991="","",IFERROR(INDEX(부서매핑!$C$5:$C$504,MATCH($G3991&amp;"",부서매핑!$A$5:$A$504,0)),"미매핑"))</f>
        <v/>
      </c>
      <c r="O3991" s="9">
        <f>IF($A3991="","",N3991&amp;"|"&amp;$F3991)</f>
        <v/>
      </c>
      <c r="P3991" s="77">
        <f>IF($A3991="",0,$H3991*설정!$C$23)</f>
        <v/>
      </c>
      <c r="Q3991" s="39">
        <f>IF($A3991="","",IF(O3991&lt;&gt;원인분석!$C$9,"",IF(AND(M3991&gt;=원인분석!$C$10,M3991&lt;=원인분석!$C$11),"당기",IF(AND(M3991&gt;=원인분석!$C$12,M3991&lt;=원인분석!$C$13),"비교",""))))</f>
        <v/>
      </c>
      <c r="R3991" s="9">
        <f>IF(Q3991="","",$K3991&amp;"")</f>
        <v/>
      </c>
      <c r="S3991" s="9">
        <f>IF(Q3991="","",IF(MATCH(R3991,$R$5:$R$100000,0)=ROW()-4,ROW(),""))</f>
        <v/>
      </c>
      <c r="T3991" s="9">
        <f>IF(Q3991="당기",ABS(P3991)+ROW()/1000000000,"")</f>
        <v/>
      </c>
      <c r="U3991" s="9">
        <f>IF(Q3991="비교",ABS(P3991)+ROW()/1000000000,"")</f>
        <v/>
      </c>
      <c r="V3991" s="39">
        <f>IF($A3991="","",IF(COUNTIF(변동분석!$E$7:$E$506,O3991)&gt;0,"Y","N"))</f>
        <v/>
      </c>
      <c r="W3991" s="39">
        <f>IF($A3991="","",IFERROR(INDEX(계정매핑!$D$5:$D$504,MATCH($F3991&amp;"",계정매핑!$A$5:$A$504,0)),"미매핑"))</f>
        <v/>
      </c>
      <c r="X3991" s="9">
        <f>IF($A3991="","",$F3991&amp;"")</f>
        <v/>
      </c>
    </row>
    <row r="3992">
      <c r="A3992" s="75" t="n">
        <v>2026</v>
      </c>
      <c r="B3992" s="75" t="n">
        <v>9</v>
      </c>
      <c r="C3992" s="75" t="inlineStr">
        <is>
          <t>5100001648</t>
        </is>
      </c>
      <c r="D3992" s="78" t="n">
        <v>46275</v>
      </c>
      <c r="E3992" s="75" t="inlineStr">
        <is>
          <t>KR</t>
        </is>
      </c>
      <c r="F3992" s="75" t="n">
        <v>62101000</v>
      </c>
      <c r="G3992" s="75" t="n">
        <v>1701</v>
      </c>
      <c r="H3992" s="76" t="n">
        <v>92000</v>
      </c>
      <c r="I3992" s="75" t="inlineStr">
        <is>
          <t>9월 국내출장 - L여행사</t>
        </is>
      </c>
      <c r="J3992" s="75" t="inlineStr">
        <is>
          <t>V10014</t>
        </is>
      </c>
      <c r="K3992" s="75" t="inlineStr">
        <is>
          <t>L여행사</t>
        </is>
      </c>
      <c r="M3992" s="9">
        <f>IF($A3992="","",VALUE($A3992&amp;"")*12+VALUE($B3992&amp;""))</f>
        <v/>
      </c>
      <c r="N3992" s="39">
        <f>IF($A3992="","",IFERROR(INDEX(부서매핑!$C$5:$C$504,MATCH($G3992&amp;"",부서매핑!$A$5:$A$504,0)),"미매핑"))</f>
        <v/>
      </c>
      <c r="O3992" s="9">
        <f>IF($A3992="","",N3992&amp;"|"&amp;$F3992)</f>
        <v/>
      </c>
      <c r="P3992" s="77">
        <f>IF($A3992="",0,$H3992*설정!$C$23)</f>
        <v/>
      </c>
      <c r="Q3992" s="39">
        <f>IF($A3992="","",IF(O3992&lt;&gt;원인분석!$C$9,"",IF(AND(M3992&gt;=원인분석!$C$10,M3992&lt;=원인분석!$C$11),"당기",IF(AND(M3992&gt;=원인분석!$C$12,M3992&lt;=원인분석!$C$13),"비교",""))))</f>
        <v/>
      </c>
      <c r="R3992" s="9">
        <f>IF(Q3992="","",$K3992&amp;"")</f>
        <v/>
      </c>
      <c r="S3992" s="9">
        <f>IF(Q3992="","",IF(MATCH(R3992,$R$5:$R$100000,0)=ROW()-4,ROW(),""))</f>
        <v/>
      </c>
      <c r="T3992" s="9">
        <f>IF(Q3992="당기",ABS(P3992)+ROW()/1000000000,"")</f>
        <v/>
      </c>
      <c r="U3992" s="9">
        <f>IF(Q3992="비교",ABS(P3992)+ROW()/1000000000,"")</f>
        <v/>
      </c>
      <c r="V3992" s="39">
        <f>IF($A3992="","",IF(COUNTIF(변동분석!$E$7:$E$506,O3992)&gt;0,"Y","N"))</f>
        <v/>
      </c>
      <c r="W3992" s="39">
        <f>IF($A3992="","",IFERROR(INDEX(계정매핑!$D$5:$D$504,MATCH($F3992&amp;"",계정매핑!$A$5:$A$504,0)),"미매핑"))</f>
        <v/>
      </c>
      <c r="X3992" s="9">
        <f>IF($A3992="","",$F3992&amp;"")</f>
        <v/>
      </c>
    </row>
    <row r="3993">
      <c r="A3993" s="75" t="n">
        <v>2026</v>
      </c>
      <c r="B3993" s="75" t="n">
        <v>9</v>
      </c>
      <c r="C3993" s="75" t="inlineStr">
        <is>
          <t>5100001649</t>
        </is>
      </c>
      <c r="D3993" s="78" t="n">
        <v>46275</v>
      </c>
      <c r="E3993" s="75" t="inlineStr">
        <is>
          <t>KR</t>
        </is>
      </c>
      <c r="F3993" s="75" t="n">
        <v>62102000</v>
      </c>
      <c r="G3993" s="75" t="n">
        <v>1101</v>
      </c>
      <c r="H3993" s="76" t="n">
        <v>93000</v>
      </c>
      <c r="I3993" s="75" t="inlineStr">
        <is>
          <t>9월 해외출장 - M항공</t>
        </is>
      </c>
      <c r="J3993" s="75" t="inlineStr">
        <is>
          <t>V10001</t>
        </is>
      </c>
      <c r="K3993" s="75" t="inlineStr">
        <is>
          <t>M항공</t>
        </is>
      </c>
      <c r="M3993" s="9">
        <f>IF($A3993="","",VALUE($A3993&amp;"")*12+VALUE($B3993&amp;""))</f>
        <v/>
      </c>
      <c r="N3993" s="39">
        <f>IF($A3993="","",IFERROR(INDEX(부서매핑!$C$5:$C$504,MATCH($G3993&amp;"",부서매핑!$A$5:$A$504,0)),"미매핑"))</f>
        <v/>
      </c>
      <c r="O3993" s="9">
        <f>IF($A3993="","",N3993&amp;"|"&amp;$F3993)</f>
        <v/>
      </c>
      <c r="P3993" s="77">
        <f>IF($A3993="",0,$H3993*설정!$C$23)</f>
        <v/>
      </c>
      <c r="Q3993" s="39">
        <f>IF($A3993="","",IF(O3993&lt;&gt;원인분석!$C$9,"",IF(AND(M3993&gt;=원인분석!$C$10,M3993&lt;=원인분석!$C$11),"당기",IF(AND(M3993&gt;=원인분석!$C$12,M3993&lt;=원인분석!$C$13),"비교",""))))</f>
        <v/>
      </c>
      <c r="R3993" s="9">
        <f>IF(Q3993="","",$K3993&amp;"")</f>
        <v/>
      </c>
      <c r="S3993" s="9">
        <f>IF(Q3993="","",IF(MATCH(R3993,$R$5:$R$100000,0)=ROW()-4,ROW(),""))</f>
        <v/>
      </c>
      <c r="T3993" s="9">
        <f>IF(Q3993="당기",ABS(P3993)+ROW()/1000000000,"")</f>
        <v/>
      </c>
      <c r="U3993" s="9">
        <f>IF(Q3993="비교",ABS(P3993)+ROW()/1000000000,"")</f>
        <v/>
      </c>
      <c r="V3993" s="39">
        <f>IF($A3993="","",IF(COUNTIF(변동분석!$E$7:$E$506,O3993)&gt;0,"Y","N"))</f>
        <v/>
      </c>
      <c r="W3993" s="39">
        <f>IF($A3993="","",IFERROR(INDEX(계정매핑!$D$5:$D$504,MATCH($F3993&amp;"",계정매핑!$A$5:$A$504,0)),"미매핑"))</f>
        <v/>
      </c>
      <c r="X3993" s="9">
        <f>IF($A3993="","",$F3993&amp;"")</f>
        <v/>
      </c>
    </row>
    <row r="3994">
      <c r="A3994" s="75" t="n">
        <v>2026</v>
      </c>
      <c r="B3994" s="75" t="n">
        <v>9</v>
      </c>
      <c r="C3994" s="75" t="inlineStr">
        <is>
          <t>5100001650</t>
        </is>
      </c>
      <c r="D3994" s="78" t="n">
        <v>46275</v>
      </c>
      <c r="E3994" s="75" t="inlineStr">
        <is>
          <t>KR</t>
        </is>
      </c>
      <c r="F3994" s="75" t="n">
        <v>62201000</v>
      </c>
      <c r="G3994" s="75" t="n">
        <v>1501</v>
      </c>
      <c r="H3994" s="76" t="n">
        <v>260000</v>
      </c>
      <c r="I3994" s="75" t="inlineStr">
        <is>
          <t>9월 통신요금 - O텔레콤</t>
        </is>
      </c>
      <c r="J3994" s="75" t="inlineStr">
        <is>
          <t>V10002</t>
        </is>
      </c>
      <c r="K3994" s="75" t="inlineStr">
        <is>
          <t>O텔레콤</t>
        </is>
      </c>
      <c r="M3994" s="9">
        <f>IF($A3994="","",VALUE($A3994&amp;"")*12+VALUE($B3994&amp;""))</f>
        <v/>
      </c>
      <c r="N3994" s="39">
        <f>IF($A3994="","",IFERROR(INDEX(부서매핑!$C$5:$C$504,MATCH($G3994&amp;"",부서매핑!$A$5:$A$504,0)),"미매핑"))</f>
        <v/>
      </c>
      <c r="O3994" s="9">
        <f>IF($A3994="","",N3994&amp;"|"&amp;$F3994)</f>
        <v/>
      </c>
      <c r="P3994" s="77">
        <f>IF($A3994="",0,$H3994*설정!$C$23)</f>
        <v/>
      </c>
      <c r="Q3994" s="39">
        <f>IF($A3994="","",IF(O3994&lt;&gt;원인분석!$C$9,"",IF(AND(M3994&gt;=원인분석!$C$10,M3994&lt;=원인분석!$C$11),"당기",IF(AND(M3994&gt;=원인분석!$C$12,M3994&lt;=원인분석!$C$13),"비교",""))))</f>
        <v/>
      </c>
      <c r="R3994" s="9">
        <f>IF(Q3994="","",$K3994&amp;"")</f>
        <v/>
      </c>
      <c r="S3994" s="9">
        <f>IF(Q3994="","",IF(MATCH(R3994,$R$5:$R$100000,0)=ROW()-4,ROW(),""))</f>
        <v/>
      </c>
      <c r="T3994" s="9">
        <f>IF(Q3994="당기",ABS(P3994)+ROW()/1000000000,"")</f>
        <v/>
      </c>
      <c r="U3994" s="9">
        <f>IF(Q3994="비교",ABS(P3994)+ROW()/1000000000,"")</f>
        <v/>
      </c>
      <c r="V3994" s="39">
        <f>IF($A3994="","",IF(COUNTIF(변동분석!$E$7:$E$506,O3994)&gt;0,"Y","N"))</f>
        <v/>
      </c>
      <c r="W3994" s="39">
        <f>IF($A3994="","",IFERROR(INDEX(계정매핑!$D$5:$D$504,MATCH($F3994&amp;"",계정매핑!$A$5:$A$504,0)),"미매핑"))</f>
        <v/>
      </c>
      <c r="X3994" s="9">
        <f>IF($A3994="","",$F3994&amp;"")</f>
        <v/>
      </c>
    </row>
    <row r="3995">
      <c r="A3995" s="75" t="n">
        <v>2026</v>
      </c>
      <c r="B3995" s="75" t="n">
        <v>9</v>
      </c>
      <c r="C3995" s="75" t="inlineStr">
        <is>
          <t>5100001651</t>
        </is>
      </c>
      <c r="D3995" s="78" t="n">
        <v>46275</v>
      </c>
      <c r="E3995" s="75" t="inlineStr">
        <is>
          <t>KR</t>
        </is>
      </c>
      <c r="F3995" s="75" t="n">
        <v>62201000</v>
      </c>
      <c r="G3995" s="75" t="n">
        <v>1502</v>
      </c>
      <c r="H3995" s="76" t="n">
        <v>288000</v>
      </c>
      <c r="I3995" s="75" t="inlineStr">
        <is>
          <t>9월 통신요금 - P통신</t>
        </is>
      </c>
      <c r="J3995" s="75" t="inlineStr">
        <is>
          <t>V10011</t>
        </is>
      </c>
      <c r="K3995" s="75" t="inlineStr">
        <is>
          <t>P통신</t>
        </is>
      </c>
      <c r="M3995" s="9">
        <f>IF($A3995="","",VALUE($A3995&amp;"")*12+VALUE($B3995&amp;""))</f>
        <v/>
      </c>
      <c r="N3995" s="39">
        <f>IF($A3995="","",IFERROR(INDEX(부서매핑!$C$5:$C$504,MATCH($G3995&amp;"",부서매핑!$A$5:$A$504,0)),"미매핑"))</f>
        <v/>
      </c>
      <c r="O3995" s="9">
        <f>IF($A3995="","",N3995&amp;"|"&amp;$F3995)</f>
        <v/>
      </c>
      <c r="P3995" s="77">
        <f>IF($A3995="",0,$H3995*설정!$C$23)</f>
        <v/>
      </c>
      <c r="Q3995" s="39">
        <f>IF($A3995="","",IF(O3995&lt;&gt;원인분석!$C$9,"",IF(AND(M3995&gt;=원인분석!$C$10,M3995&lt;=원인분석!$C$11),"당기",IF(AND(M3995&gt;=원인분석!$C$12,M3995&lt;=원인분석!$C$13),"비교",""))))</f>
        <v/>
      </c>
      <c r="R3995" s="9">
        <f>IF(Q3995="","",$K3995&amp;"")</f>
        <v/>
      </c>
      <c r="S3995" s="9">
        <f>IF(Q3995="","",IF(MATCH(R3995,$R$5:$R$100000,0)=ROW()-4,ROW(),""))</f>
        <v/>
      </c>
      <c r="T3995" s="9">
        <f>IF(Q3995="당기",ABS(P3995)+ROW()/1000000000,"")</f>
        <v/>
      </c>
      <c r="U3995" s="9">
        <f>IF(Q3995="비교",ABS(P3995)+ROW()/1000000000,"")</f>
        <v/>
      </c>
      <c r="V3995" s="39">
        <f>IF($A3995="","",IF(COUNTIF(변동분석!$E$7:$E$506,O3995)&gt;0,"Y","N"))</f>
        <v/>
      </c>
      <c r="W3995" s="39">
        <f>IF($A3995="","",IFERROR(INDEX(계정매핑!$D$5:$D$504,MATCH($F3995&amp;"",계정매핑!$A$5:$A$504,0)),"미매핑"))</f>
        <v/>
      </c>
      <c r="X3995" s="9">
        <f>IF($A3995="","",$F3995&amp;"")</f>
        <v/>
      </c>
    </row>
    <row r="3996">
      <c r="A3996" s="75" t="n">
        <v>2026</v>
      </c>
      <c r="B3996" s="75" t="n">
        <v>9</v>
      </c>
      <c r="C3996" s="75" t="inlineStr">
        <is>
          <t>5100001652</t>
        </is>
      </c>
      <c r="D3996" s="78" t="n">
        <v>46275</v>
      </c>
      <c r="E3996" s="75" t="inlineStr">
        <is>
          <t>KR</t>
        </is>
      </c>
      <c r="F3996" s="75" t="n">
        <v>62201000</v>
      </c>
      <c r="G3996" s="75" t="n">
        <v>1701</v>
      </c>
      <c r="H3996" s="76" t="n">
        <v>8018000</v>
      </c>
      <c r="I3996" s="75" t="inlineStr">
        <is>
          <t>9월 통신요금 - O텔레콤</t>
        </is>
      </c>
      <c r="J3996" s="75" t="inlineStr">
        <is>
          <t>V10002</t>
        </is>
      </c>
      <c r="K3996" s="75" t="inlineStr">
        <is>
          <t>O텔레콤</t>
        </is>
      </c>
      <c r="M3996" s="9">
        <f>IF($A3996="","",VALUE($A3996&amp;"")*12+VALUE($B3996&amp;""))</f>
        <v/>
      </c>
      <c r="N3996" s="39">
        <f>IF($A3996="","",IFERROR(INDEX(부서매핑!$C$5:$C$504,MATCH($G3996&amp;"",부서매핑!$A$5:$A$504,0)),"미매핑"))</f>
        <v/>
      </c>
      <c r="O3996" s="9">
        <f>IF($A3996="","",N3996&amp;"|"&amp;$F3996)</f>
        <v/>
      </c>
      <c r="P3996" s="77">
        <f>IF($A3996="",0,$H3996*설정!$C$23)</f>
        <v/>
      </c>
      <c r="Q3996" s="39">
        <f>IF($A3996="","",IF(O3996&lt;&gt;원인분석!$C$9,"",IF(AND(M3996&gt;=원인분석!$C$10,M3996&lt;=원인분석!$C$11),"당기",IF(AND(M3996&gt;=원인분석!$C$12,M3996&lt;=원인분석!$C$13),"비교",""))))</f>
        <v/>
      </c>
      <c r="R3996" s="9">
        <f>IF(Q3996="","",$K3996&amp;"")</f>
        <v/>
      </c>
      <c r="S3996" s="9">
        <f>IF(Q3996="","",IF(MATCH(R3996,$R$5:$R$100000,0)=ROW()-4,ROW(),""))</f>
        <v/>
      </c>
      <c r="T3996" s="9">
        <f>IF(Q3996="당기",ABS(P3996)+ROW()/1000000000,"")</f>
        <v/>
      </c>
      <c r="U3996" s="9">
        <f>IF(Q3996="비교",ABS(P3996)+ROW()/1000000000,"")</f>
        <v/>
      </c>
      <c r="V3996" s="39">
        <f>IF($A3996="","",IF(COUNTIF(변동분석!$E$7:$E$506,O3996)&gt;0,"Y","N"))</f>
        <v/>
      </c>
      <c r="W3996" s="39">
        <f>IF($A3996="","",IFERROR(INDEX(계정매핑!$D$5:$D$504,MATCH($F3996&amp;"",계정매핑!$A$5:$A$504,0)),"미매핑"))</f>
        <v/>
      </c>
      <c r="X3996" s="9">
        <f>IF($A3996="","",$F3996&amp;"")</f>
        <v/>
      </c>
    </row>
    <row r="3997">
      <c r="A3997" s="75" t="n">
        <v>2026</v>
      </c>
      <c r="B3997" s="75" t="n">
        <v>9</v>
      </c>
      <c r="C3997" s="75" t="inlineStr">
        <is>
          <t>5100001653</t>
        </is>
      </c>
      <c r="D3997" s="78" t="n">
        <v>46275</v>
      </c>
      <c r="E3997" s="75" t="inlineStr">
        <is>
          <t>KR</t>
        </is>
      </c>
      <c r="F3997" s="75" t="n">
        <v>62401000</v>
      </c>
      <c r="G3997" s="75" t="n">
        <v>1801</v>
      </c>
      <c r="H3997" s="76" t="n">
        <v>3861000</v>
      </c>
      <c r="I3997" s="75" t="inlineStr">
        <is>
          <t>9월 인쇄물 제작 - S출판</t>
        </is>
      </c>
      <c r="J3997" s="75" t="inlineStr">
        <is>
          <t>V10012</t>
        </is>
      </c>
      <c r="K3997" s="75" t="inlineStr">
        <is>
          <t>S출판</t>
        </is>
      </c>
      <c r="M3997" s="9">
        <f>IF($A3997="","",VALUE($A3997&amp;"")*12+VALUE($B3997&amp;""))</f>
        <v/>
      </c>
      <c r="N3997" s="39">
        <f>IF($A3997="","",IFERROR(INDEX(부서매핑!$C$5:$C$504,MATCH($G3997&amp;"",부서매핑!$A$5:$A$504,0)),"미매핑"))</f>
        <v/>
      </c>
      <c r="O3997" s="9">
        <f>IF($A3997="","",N3997&amp;"|"&amp;$F3997)</f>
        <v/>
      </c>
      <c r="P3997" s="77">
        <f>IF($A3997="",0,$H3997*설정!$C$23)</f>
        <v/>
      </c>
      <c r="Q3997" s="39">
        <f>IF($A3997="","",IF(O3997&lt;&gt;원인분석!$C$9,"",IF(AND(M3997&gt;=원인분석!$C$10,M3997&lt;=원인분석!$C$11),"당기",IF(AND(M3997&gt;=원인분석!$C$12,M3997&lt;=원인분석!$C$13),"비교",""))))</f>
        <v/>
      </c>
      <c r="R3997" s="9">
        <f>IF(Q3997="","",$K3997&amp;"")</f>
        <v/>
      </c>
      <c r="S3997" s="9">
        <f>IF(Q3997="","",IF(MATCH(R3997,$R$5:$R$100000,0)=ROW()-4,ROW(),""))</f>
        <v/>
      </c>
      <c r="T3997" s="9">
        <f>IF(Q3997="당기",ABS(P3997)+ROW()/1000000000,"")</f>
        <v/>
      </c>
      <c r="U3997" s="9">
        <f>IF(Q3997="비교",ABS(P3997)+ROW()/1000000000,"")</f>
        <v/>
      </c>
      <c r="V3997" s="39">
        <f>IF($A3997="","",IF(COUNTIF(변동분석!$E$7:$E$506,O3997)&gt;0,"Y","N"))</f>
        <v/>
      </c>
      <c r="W3997" s="39">
        <f>IF($A3997="","",IFERROR(INDEX(계정매핑!$D$5:$D$504,MATCH($F3997&amp;"",계정매핑!$A$5:$A$504,0)),"미매핑"))</f>
        <v/>
      </c>
      <c r="X3997" s="9">
        <f>IF($A3997="","",$F3997&amp;"")</f>
        <v/>
      </c>
    </row>
    <row r="3998">
      <c r="A3998" s="75" t="n">
        <v>2026</v>
      </c>
      <c r="B3998" s="75" t="n">
        <v>9</v>
      </c>
      <c r="C3998" s="75" t="inlineStr">
        <is>
          <t>5100001654</t>
        </is>
      </c>
      <c r="D3998" s="78" t="n">
        <v>46275</v>
      </c>
      <c r="E3998" s="75" t="inlineStr">
        <is>
          <t>KR</t>
        </is>
      </c>
      <c r="F3998" s="75" t="n">
        <v>62501000</v>
      </c>
      <c r="G3998" s="75" t="n">
        <v>1401</v>
      </c>
      <c r="H3998" s="76" t="n">
        <v>130000</v>
      </c>
      <c r="I3998" s="75" t="inlineStr">
        <is>
          <t>9월 회의 다과 - T케이터링</t>
        </is>
      </c>
      <c r="J3998" s="75" t="inlineStr">
        <is>
          <t>V10005</t>
        </is>
      </c>
      <c r="K3998" s="75" t="inlineStr">
        <is>
          <t>T케이터링</t>
        </is>
      </c>
      <c r="M3998" s="9">
        <f>IF($A3998="","",VALUE($A3998&amp;"")*12+VALUE($B3998&amp;""))</f>
        <v/>
      </c>
      <c r="N3998" s="39">
        <f>IF($A3998="","",IFERROR(INDEX(부서매핑!$C$5:$C$504,MATCH($G3998&amp;"",부서매핑!$A$5:$A$504,0)),"미매핑"))</f>
        <v/>
      </c>
      <c r="O3998" s="9">
        <f>IF($A3998="","",N3998&amp;"|"&amp;$F3998)</f>
        <v/>
      </c>
      <c r="P3998" s="77">
        <f>IF($A3998="",0,$H3998*설정!$C$23)</f>
        <v/>
      </c>
      <c r="Q3998" s="39">
        <f>IF($A3998="","",IF(O3998&lt;&gt;원인분석!$C$9,"",IF(AND(M3998&gt;=원인분석!$C$10,M3998&lt;=원인분석!$C$11),"당기",IF(AND(M3998&gt;=원인분석!$C$12,M3998&lt;=원인분석!$C$13),"비교",""))))</f>
        <v/>
      </c>
      <c r="R3998" s="9">
        <f>IF(Q3998="","",$K3998&amp;"")</f>
        <v/>
      </c>
      <c r="S3998" s="9">
        <f>IF(Q3998="","",IF(MATCH(R3998,$R$5:$R$100000,0)=ROW()-4,ROW(),""))</f>
        <v/>
      </c>
      <c r="T3998" s="9">
        <f>IF(Q3998="당기",ABS(P3998)+ROW()/1000000000,"")</f>
        <v/>
      </c>
      <c r="U3998" s="9">
        <f>IF(Q3998="비교",ABS(P3998)+ROW()/1000000000,"")</f>
        <v/>
      </c>
      <c r="V3998" s="39">
        <f>IF($A3998="","",IF(COUNTIF(변동분석!$E$7:$E$506,O3998)&gt;0,"Y","N"))</f>
        <v/>
      </c>
      <c r="W3998" s="39">
        <f>IF($A3998="","",IFERROR(INDEX(계정매핑!$D$5:$D$504,MATCH($F3998&amp;"",계정매핑!$A$5:$A$504,0)),"미매핑"))</f>
        <v/>
      </c>
      <c r="X3998" s="9">
        <f>IF($A3998="","",$F3998&amp;"")</f>
        <v/>
      </c>
    </row>
    <row r="3999">
      <c r="A3999" s="75" t="n">
        <v>2026</v>
      </c>
      <c r="B3999" s="75" t="n">
        <v>9</v>
      </c>
      <c r="C3999" s="75" t="inlineStr">
        <is>
          <t>5100001655</t>
        </is>
      </c>
      <c r="D3999" s="78" t="n">
        <v>46275</v>
      </c>
      <c r="E3999" s="75" t="inlineStr">
        <is>
          <t>KR</t>
        </is>
      </c>
      <c r="F3999" s="75" t="n">
        <v>62501000</v>
      </c>
      <c r="G3999" s="75" t="n">
        <v>1701</v>
      </c>
      <c r="H3999" s="76" t="n">
        <v>126000</v>
      </c>
      <c r="I3999" s="75" t="inlineStr">
        <is>
          <t>9월 회의 다과 - (법인카드)</t>
        </is>
      </c>
      <c r="J3999" s="75" t="inlineStr">
        <is>
          <t>V10008</t>
        </is>
      </c>
      <c r="K3999" s="75" t="inlineStr">
        <is>
          <t>(법인카드)</t>
        </is>
      </c>
      <c r="M3999" s="9">
        <f>IF($A3999="","",VALUE($A3999&amp;"")*12+VALUE($B3999&amp;""))</f>
        <v/>
      </c>
      <c r="N3999" s="39">
        <f>IF($A3999="","",IFERROR(INDEX(부서매핑!$C$5:$C$504,MATCH($G3999&amp;"",부서매핑!$A$5:$A$504,0)),"미매핑"))</f>
        <v/>
      </c>
      <c r="O3999" s="9">
        <f>IF($A3999="","",N3999&amp;"|"&amp;$F3999)</f>
        <v/>
      </c>
      <c r="P3999" s="77">
        <f>IF($A3999="",0,$H3999*설정!$C$23)</f>
        <v/>
      </c>
      <c r="Q3999" s="39">
        <f>IF($A3999="","",IF(O3999&lt;&gt;원인분석!$C$9,"",IF(AND(M3999&gt;=원인분석!$C$10,M3999&lt;=원인분석!$C$11),"당기",IF(AND(M3999&gt;=원인분석!$C$12,M3999&lt;=원인분석!$C$13),"비교",""))))</f>
        <v/>
      </c>
      <c r="R3999" s="9">
        <f>IF(Q3999="","",$K3999&amp;"")</f>
        <v/>
      </c>
      <c r="S3999" s="9">
        <f>IF(Q3999="","",IF(MATCH(R3999,$R$5:$R$100000,0)=ROW()-4,ROW(),""))</f>
        <v/>
      </c>
      <c r="T3999" s="9">
        <f>IF(Q3999="당기",ABS(P3999)+ROW()/1000000000,"")</f>
        <v/>
      </c>
      <c r="U3999" s="9">
        <f>IF(Q3999="비교",ABS(P3999)+ROW()/1000000000,"")</f>
        <v/>
      </c>
      <c r="V3999" s="39">
        <f>IF($A3999="","",IF(COUNTIF(변동분석!$E$7:$E$506,O3999)&gt;0,"Y","N"))</f>
        <v/>
      </c>
      <c r="W3999" s="39">
        <f>IF($A3999="","",IFERROR(INDEX(계정매핑!$D$5:$D$504,MATCH($F3999&amp;"",계정매핑!$A$5:$A$504,0)),"미매핑"))</f>
        <v/>
      </c>
      <c r="X3999" s="9">
        <f>IF($A3999="","",$F3999&amp;"")</f>
        <v/>
      </c>
    </row>
    <row r="4000">
      <c r="A4000" s="75" t="n">
        <v>2026</v>
      </c>
      <c r="B4000" s="75" t="n">
        <v>9</v>
      </c>
      <c r="C4000" s="75" t="inlineStr">
        <is>
          <t>5100001656</t>
        </is>
      </c>
      <c r="D4000" s="78" t="n">
        <v>46275</v>
      </c>
      <c r="E4000" s="75" t="inlineStr">
        <is>
          <t>KR</t>
        </is>
      </c>
      <c r="F4000" s="75" t="n">
        <v>62802000</v>
      </c>
      <c r="G4000" s="75" t="n">
        <v>1301</v>
      </c>
      <c r="H4000" s="76" t="n">
        <v>4780000</v>
      </c>
      <c r="I4000" s="75" t="inlineStr">
        <is>
          <t>9월 위탁교육 - I교육원</t>
        </is>
      </c>
      <c r="J4000" s="75" t="inlineStr">
        <is>
          <t>V10015</t>
        </is>
      </c>
      <c r="K4000" s="75" t="inlineStr">
        <is>
          <t>I교육원</t>
        </is>
      </c>
      <c r="M4000" s="9">
        <f>IF($A4000="","",VALUE($A4000&amp;"")*12+VALUE($B4000&amp;""))</f>
        <v/>
      </c>
      <c r="N4000" s="39">
        <f>IF($A4000="","",IFERROR(INDEX(부서매핑!$C$5:$C$504,MATCH($G4000&amp;"",부서매핑!$A$5:$A$504,0)),"미매핑"))</f>
        <v/>
      </c>
      <c r="O4000" s="9">
        <f>IF($A4000="","",N4000&amp;"|"&amp;$F4000)</f>
        <v/>
      </c>
      <c r="P4000" s="77">
        <f>IF($A4000="",0,$H4000*설정!$C$23)</f>
        <v/>
      </c>
      <c r="Q4000" s="39">
        <f>IF($A4000="","",IF(O4000&lt;&gt;원인분석!$C$9,"",IF(AND(M4000&gt;=원인분석!$C$10,M4000&lt;=원인분석!$C$11),"당기",IF(AND(M4000&gt;=원인분석!$C$12,M4000&lt;=원인분석!$C$13),"비교",""))))</f>
        <v/>
      </c>
      <c r="R4000" s="9">
        <f>IF(Q4000="","",$K4000&amp;"")</f>
        <v/>
      </c>
      <c r="S4000" s="9">
        <f>IF(Q4000="","",IF(MATCH(R4000,$R$5:$R$100000,0)=ROW()-4,ROW(),""))</f>
        <v/>
      </c>
      <c r="T4000" s="9">
        <f>IF(Q4000="당기",ABS(P4000)+ROW()/1000000000,"")</f>
        <v/>
      </c>
      <c r="U4000" s="9">
        <f>IF(Q4000="비교",ABS(P4000)+ROW()/1000000000,"")</f>
        <v/>
      </c>
      <c r="V4000" s="39">
        <f>IF($A4000="","",IF(COUNTIF(변동분석!$E$7:$E$506,O4000)&gt;0,"Y","N"))</f>
        <v/>
      </c>
      <c r="W4000" s="39">
        <f>IF($A4000="","",IFERROR(INDEX(계정매핑!$D$5:$D$504,MATCH($F4000&amp;"",계정매핑!$A$5:$A$504,0)),"미매핑"))</f>
        <v/>
      </c>
      <c r="X4000" s="9">
        <f>IF($A4000="","",$F4000&amp;"")</f>
        <v/>
      </c>
    </row>
    <row r="4001">
      <c r="A4001" s="75" t="n">
        <v>2026</v>
      </c>
      <c r="B4001" s="75" t="n">
        <v>9</v>
      </c>
      <c r="C4001" s="75" t="inlineStr">
        <is>
          <t>5100001657</t>
        </is>
      </c>
      <c r="D4001" s="78" t="n">
        <v>46275</v>
      </c>
      <c r="E4001" s="75" t="inlineStr">
        <is>
          <t>KR</t>
        </is>
      </c>
      <c r="F4001" s="75" t="n">
        <v>62901000</v>
      </c>
      <c r="G4001" s="75" t="n">
        <v>1201</v>
      </c>
      <c r="H4001" s="76" t="n">
        <v>8000000</v>
      </c>
      <c r="I4001" s="75" t="inlineStr">
        <is>
          <t>K회계법인 자문료 9월</t>
        </is>
      </c>
      <c r="J4001" s="75" t="inlineStr">
        <is>
          <t>V10010</t>
        </is>
      </c>
      <c r="K4001" s="75" t="inlineStr">
        <is>
          <t>K회계법인</t>
        </is>
      </c>
      <c r="M4001" s="9">
        <f>IF($A4001="","",VALUE($A4001&amp;"")*12+VALUE($B4001&amp;""))</f>
        <v/>
      </c>
      <c r="N4001" s="39">
        <f>IF($A4001="","",IFERROR(INDEX(부서매핑!$C$5:$C$504,MATCH($G4001&amp;"",부서매핑!$A$5:$A$504,0)),"미매핑"))</f>
        <v/>
      </c>
      <c r="O4001" s="9">
        <f>IF($A4001="","",N4001&amp;"|"&amp;$F4001)</f>
        <v/>
      </c>
      <c r="P4001" s="77">
        <f>IF($A4001="",0,$H4001*설정!$C$23)</f>
        <v/>
      </c>
      <c r="Q4001" s="39">
        <f>IF($A4001="","",IF(O4001&lt;&gt;원인분석!$C$9,"",IF(AND(M4001&gt;=원인분석!$C$10,M4001&lt;=원인분석!$C$11),"당기",IF(AND(M4001&gt;=원인분석!$C$12,M4001&lt;=원인분석!$C$13),"비교",""))))</f>
        <v/>
      </c>
      <c r="R4001" s="9">
        <f>IF(Q4001="","",$K4001&amp;"")</f>
        <v/>
      </c>
      <c r="S4001" s="9">
        <f>IF(Q4001="","",IF(MATCH(R4001,$R$5:$R$100000,0)=ROW()-4,ROW(),""))</f>
        <v/>
      </c>
      <c r="T4001" s="9">
        <f>IF(Q4001="당기",ABS(P4001)+ROW()/1000000000,"")</f>
        <v/>
      </c>
      <c r="U4001" s="9">
        <f>IF(Q4001="비교",ABS(P4001)+ROW()/1000000000,"")</f>
        <v/>
      </c>
      <c r="V4001" s="39">
        <f>IF($A4001="","",IF(COUNTIF(변동분석!$E$7:$E$506,O4001)&gt;0,"Y","N"))</f>
        <v/>
      </c>
      <c r="W4001" s="39">
        <f>IF($A4001="","",IFERROR(INDEX(계정매핑!$D$5:$D$504,MATCH($F4001&amp;"",계정매핑!$A$5:$A$504,0)),"미매핑"))</f>
        <v/>
      </c>
      <c r="X4001" s="9">
        <f>IF($A4001="","",$F4001&amp;"")</f>
        <v/>
      </c>
    </row>
    <row r="4002">
      <c r="A4002" s="75" t="n">
        <v>2026</v>
      </c>
      <c r="B4002" s="75" t="n">
        <v>9</v>
      </c>
      <c r="C4002" s="75" t="inlineStr">
        <is>
          <t>5100001658</t>
        </is>
      </c>
      <c r="D4002" s="78" t="n">
        <v>46275</v>
      </c>
      <c r="E4002" s="75" t="inlineStr">
        <is>
          <t>KR</t>
        </is>
      </c>
      <c r="F4002" s="75" t="n">
        <v>62902000</v>
      </c>
      <c r="G4002" s="75" t="n">
        <v>1801</v>
      </c>
      <c r="H4002" s="76" t="n">
        <v>1827000</v>
      </c>
      <c r="I4002" s="75" t="inlineStr">
        <is>
          <t>9월 콜 위탁 수수료(건별)</t>
        </is>
      </c>
      <c r="J4002" s="75" t="inlineStr">
        <is>
          <t>V10013</t>
        </is>
      </c>
      <c r="K4002" s="75" t="inlineStr">
        <is>
          <t>J콜센터</t>
        </is>
      </c>
      <c r="M4002" s="9">
        <f>IF($A4002="","",VALUE($A4002&amp;"")*12+VALUE($B4002&amp;""))</f>
        <v/>
      </c>
      <c r="N4002" s="39">
        <f>IF($A4002="","",IFERROR(INDEX(부서매핑!$C$5:$C$504,MATCH($G4002&amp;"",부서매핑!$A$5:$A$504,0)),"미매핑"))</f>
        <v/>
      </c>
      <c r="O4002" s="9">
        <f>IF($A4002="","",N4002&amp;"|"&amp;$F4002)</f>
        <v/>
      </c>
      <c r="P4002" s="77">
        <f>IF($A4002="",0,$H4002*설정!$C$23)</f>
        <v/>
      </c>
      <c r="Q4002" s="39">
        <f>IF($A4002="","",IF(O4002&lt;&gt;원인분석!$C$9,"",IF(AND(M4002&gt;=원인분석!$C$10,M4002&lt;=원인분석!$C$11),"당기",IF(AND(M4002&gt;=원인분석!$C$12,M4002&lt;=원인분석!$C$13),"비교",""))))</f>
        <v/>
      </c>
      <c r="R4002" s="9">
        <f>IF(Q4002="","",$K4002&amp;"")</f>
        <v/>
      </c>
      <c r="S4002" s="9">
        <f>IF(Q4002="","",IF(MATCH(R4002,$R$5:$R$100000,0)=ROW()-4,ROW(),""))</f>
        <v/>
      </c>
      <c r="T4002" s="9">
        <f>IF(Q4002="당기",ABS(P4002)+ROW()/1000000000,"")</f>
        <v/>
      </c>
      <c r="U4002" s="9">
        <f>IF(Q4002="비교",ABS(P4002)+ROW()/1000000000,"")</f>
        <v/>
      </c>
      <c r="V4002" s="39">
        <f>IF($A4002="","",IF(COUNTIF(변동분석!$E$7:$E$506,O4002)&gt;0,"Y","N"))</f>
        <v/>
      </c>
      <c r="W4002" s="39">
        <f>IF($A4002="","",IFERROR(INDEX(계정매핑!$D$5:$D$504,MATCH($F4002&amp;"",계정매핑!$A$5:$A$504,0)),"미매핑"))</f>
        <v/>
      </c>
      <c r="X4002" s="9">
        <f>IF($A4002="","",$F4002&amp;"")</f>
        <v/>
      </c>
    </row>
    <row r="4003">
      <c r="A4003" s="75" t="n">
        <v>2026</v>
      </c>
      <c r="B4003" s="75" t="n">
        <v>9</v>
      </c>
      <c r="C4003" s="75" t="inlineStr">
        <is>
          <t>5100001659</t>
        </is>
      </c>
      <c r="D4003" s="78" t="n">
        <v>46275</v>
      </c>
      <c r="E4003" s="75" t="inlineStr">
        <is>
          <t>KR</t>
        </is>
      </c>
      <c r="F4003" s="75" t="n">
        <v>63101000</v>
      </c>
      <c r="G4003" s="75" t="n">
        <v>1602</v>
      </c>
      <c r="H4003" s="76" t="n">
        <v>5662000</v>
      </c>
      <c r="I4003" s="75" t="inlineStr">
        <is>
          <t>9월 사무실 임차료 - BB부동산</t>
        </is>
      </c>
      <c r="J4003" s="75" t="inlineStr">
        <is>
          <t>V10024</t>
        </is>
      </c>
      <c r="K4003" s="75" t="inlineStr">
        <is>
          <t>BB부동산</t>
        </is>
      </c>
      <c r="M4003" s="9">
        <f>IF($A4003="","",VALUE($A4003&amp;"")*12+VALUE($B4003&amp;""))</f>
        <v/>
      </c>
      <c r="N4003" s="39">
        <f>IF($A4003="","",IFERROR(INDEX(부서매핑!$C$5:$C$504,MATCH($G4003&amp;"",부서매핑!$A$5:$A$504,0)),"미매핑"))</f>
        <v/>
      </c>
      <c r="O4003" s="9">
        <f>IF($A4003="","",N4003&amp;"|"&amp;$F4003)</f>
        <v/>
      </c>
      <c r="P4003" s="77">
        <f>IF($A4003="",0,$H4003*설정!$C$23)</f>
        <v/>
      </c>
      <c r="Q4003" s="39">
        <f>IF($A4003="","",IF(O4003&lt;&gt;원인분석!$C$9,"",IF(AND(M4003&gt;=원인분석!$C$10,M4003&lt;=원인분석!$C$11),"당기",IF(AND(M4003&gt;=원인분석!$C$12,M4003&lt;=원인분석!$C$13),"비교",""))))</f>
        <v/>
      </c>
      <c r="R4003" s="9">
        <f>IF(Q4003="","",$K4003&amp;"")</f>
        <v/>
      </c>
      <c r="S4003" s="9">
        <f>IF(Q4003="","",IF(MATCH(R4003,$R$5:$R$100000,0)=ROW()-4,ROW(),""))</f>
        <v/>
      </c>
      <c r="T4003" s="9">
        <f>IF(Q4003="당기",ABS(P4003)+ROW()/1000000000,"")</f>
        <v/>
      </c>
      <c r="U4003" s="9">
        <f>IF(Q4003="비교",ABS(P4003)+ROW()/1000000000,"")</f>
        <v/>
      </c>
      <c r="V4003" s="39">
        <f>IF($A4003="","",IF(COUNTIF(변동분석!$E$7:$E$506,O4003)&gt;0,"Y","N"))</f>
        <v/>
      </c>
      <c r="W4003" s="39">
        <f>IF($A4003="","",IFERROR(INDEX(계정매핑!$D$5:$D$504,MATCH($F4003&amp;"",계정매핑!$A$5:$A$504,0)),"미매핑"))</f>
        <v/>
      </c>
      <c r="X4003" s="9">
        <f>IF($A4003="","",$F4003&amp;"")</f>
        <v/>
      </c>
    </row>
    <row r="4004">
      <c r="A4004" s="75" t="n">
        <v>2026</v>
      </c>
      <c r="B4004" s="75" t="n">
        <v>9</v>
      </c>
      <c r="C4004" s="75" t="inlineStr">
        <is>
          <t>5100001660</t>
        </is>
      </c>
      <c r="D4004" s="78" t="n">
        <v>46276</v>
      </c>
      <c r="E4004" s="75" t="inlineStr">
        <is>
          <t>KR</t>
        </is>
      </c>
      <c r="F4004" s="75" t="n">
        <v>62101000</v>
      </c>
      <c r="G4004" s="75" t="n">
        <v>1701</v>
      </c>
      <c r="H4004" s="76" t="n">
        <v>167000</v>
      </c>
      <c r="I4004" s="75" t="inlineStr">
        <is>
          <t>9월 국내출장 - M항공</t>
        </is>
      </c>
      <c r="J4004" s="75" t="inlineStr">
        <is>
          <t>V10001</t>
        </is>
      </c>
      <c r="K4004" s="75" t="inlineStr">
        <is>
          <t>M항공</t>
        </is>
      </c>
      <c r="M4004" s="9">
        <f>IF($A4004="","",VALUE($A4004&amp;"")*12+VALUE($B4004&amp;""))</f>
        <v/>
      </c>
      <c r="N4004" s="39">
        <f>IF($A4004="","",IFERROR(INDEX(부서매핑!$C$5:$C$504,MATCH($G4004&amp;"",부서매핑!$A$5:$A$504,0)),"미매핑"))</f>
        <v/>
      </c>
      <c r="O4004" s="9">
        <f>IF($A4004="","",N4004&amp;"|"&amp;$F4004)</f>
        <v/>
      </c>
      <c r="P4004" s="77">
        <f>IF($A4004="",0,$H4004*설정!$C$23)</f>
        <v/>
      </c>
      <c r="Q4004" s="39">
        <f>IF($A4004="","",IF(O4004&lt;&gt;원인분석!$C$9,"",IF(AND(M4004&gt;=원인분석!$C$10,M4004&lt;=원인분석!$C$11),"당기",IF(AND(M4004&gt;=원인분석!$C$12,M4004&lt;=원인분석!$C$13),"비교",""))))</f>
        <v/>
      </c>
      <c r="R4004" s="9">
        <f>IF(Q4004="","",$K4004&amp;"")</f>
        <v/>
      </c>
      <c r="S4004" s="9">
        <f>IF(Q4004="","",IF(MATCH(R4004,$R$5:$R$100000,0)=ROW()-4,ROW(),""))</f>
        <v/>
      </c>
      <c r="T4004" s="9">
        <f>IF(Q4004="당기",ABS(P4004)+ROW()/1000000000,"")</f>
        <v/>
      </c>
      <c r="U4004" s="9">
        <f>IF(Q4004="비교",ABS(P4004)+ROW()/1000000000,"")</f>
        <v/>
      </c>
      <c r="V4004" s="39">
        <f>IF($A4004="","",IF(COUNTIF(변동분석!$E$7:$E$506,O4004)&gt;0,"Y","N"))</f>
        <v/>
      </c>
      <c r="W4004" s="39">
        <f>IF($A4004="","",IFERROR(INDEX(계정매핑!$D$5:$D$504,MATCH($F4004&amp;"",계정매핑!$A$5:$A$504,0)),"미매핑"))</f>
        <v/>
      </c>
      <c r="X4004" s="9">
        <f>IF($A4004="","",$F4004&amp;"")</f>
        <v/>
      </c>
    </row>
    <row r="4005">
      <c r="A4005" s="75" t="n">
        <v>2026</v>
      </c>
      <c r="B4005" s="75" t="n">
        <v>9</v>
      </c>
      <c r="C4005" s="75" t="inlineStr">
        <is>
          <t>5100001661</t>
        </is>
      </c>
      <c r="D4005" s="78" t="n">
        <v>46276</v>
      </c>
      <c r="E4005" s="75" t="inlineStr">
        <is>
          <t>KR</t>
        </is>
      </c>
      <c r="F4005" s="75" t="n">
        <v>62102000</v>
      </c>
      <c r="G4005" s="75" t="n">
        <v>1501</v>
      </c>
      <c r="H4005" s="76" t="n">
        <v>99000</v>
      </c>
      <c r="I4005" s="75" t="inlineStr">
        <is>
          <t>9월 해외출장 - N호텔</t>
        </is>
      </c>
      <c r="J4005" s="75" t="inlineStr">
        <is>
          <t>V10007</t>
        </is>
      </c>
      <c r="K4005" s="75" t="inlineStr">
        <is>
          <t>N호텔</t>
        </is>
      </c>
      <c r="M4005" s="9">
        <f>IF($A4005="","",VALUE($A4005&amp;"")*12+VALUE($B4005&amp;""))</f>
        <v/>
      </c>
      <c r="N4005" s="39">
        <f>IF($A4005="","",IFERROR(INDEX(부서매핑!$C$5:$C$504,MATCH($G4005&amp;"",부서매핑!$A$5:$A$504,0)),"미매핑"))</f>
        <v/>
      </c>
      <c r="O4005" s="9">
        <f>IF($A4005="","",N4005&amp;"|"&amp;$F4005)</f>
        <v/>
      </c>
      <c r="P4005" s="77">
        <f>IF($A4005="",0,$H4005*설정!$C$23)</f>
        <v/>
      </c>
      <c r="Q4005" s="39">
        <f>IF($A4005="","",IF(O4005&lt;&gt;원인분석!$C$9,"",IF(AND(M4005&gt;=원인분석!$C$10,M4005&lt;=원인분석!$C$11),"당기",IF(AND(M4005&gt;=원인분석!$C$12,M4005&lt;=원인분석!$C$13),"비교",""))))</f>
        <v/>
      </c>
      <c r="R4005" s="9">
        <f>IF(Q4005="","",$K4005&amp;"")</f>
        <v/>
      </c>
      <c r="S4005" s="9">
        <f>IF(Q4005="","",IF(MATCH(R4005,$R$5:$R$100000,0)=ROW()-4,ROW(),""))</f>
        <v/>
      </c>
      <c r="T4005" s="9">
        <f>IF(Q4005="당기",ABS(P4005)+ROW()/1000000000,"")</f>
        <v/>
      </c>
      <c r="U4005" s="9">
        <f>IF(Q4005="비교",ABS(P4005)+ROW()/1000000000,"")</f>
        <v/>
      </c>
      <c r="V4005" s="39">
        <f>IF($A4005="","",IF(COUNTIF(변동분석!$E$7:$E$506,O4005)&gt;0,"Y","N"))</f>
        <v/>
      </c>
      <c r="W4005" s="39">
        <f>IF($A4005="","",IFERROR(INDEX(계정매핑!$D$5:$D$504,MATCH($F4005&amp;"",계정매핑!$A$5:$A$504,0)),"미매핑"))</f>
        <v/>
      </c>
      <c r="X4005" s="9">
        <f>IF($A4005="","",$F4005&amp;"")</f>
        <v/>
      </c>
    </row>
    <row r="4006">
      <c r="A4006" s="75" t="n">
        <v>2026</v>
      </c>
      <c r="B4006" s="75" t="n">
        <v>9</v>
      </c>
      <c r="C4006" s="75" t="inlineStr">
        <is>
          <t>5100001662</t>
        </is>
      </c>
      <c r="D4006" s="78" t="n">
        <v>46276</v>
      </c>
      <c r="E4006" s="75" t="inlineStr">
        <is>
          <t>KR</t>
        </is>
      </c>
      <c r="F4006" s="75" t="n">
        <v>62201000</v>
      </c>
      <c r="G4006" s="75" t="n">
        <v>1201</v>
      </c>
      <c r="H4006" s="76" t="n">
        <v>113000</v>
      </c>
      <c r="I4006" s="75" t="inlineStr">
        <is>
          <t>9월 통신요금 - P통신</t>
        </is>
      </c>
      <c r="J4006" s="75" t="inlineStr">
        <is>
          <t>V10011</t>
        </is>
      </c>
      <c r="K4006" s="75" t="inlineStr">
        <is>
          <t>P통신</t>
        </is>
      </c>
      <c r="M4006" s="9">
        <f>IF($A4006="","",VALUE($A4006&amp;"")*12+VALUE($B4006&amp;""))</f>
        <v/>
      </c>
      <c r="N4006" s="39">
        <f>IF($A4006="","",IFERROR(INDEX(부서매핑!$C$5:$C$504,MATCH($G4006&amp;"",부서매핑!$A$5:$A$504,0)),"미매핑"))</f>
        <v/>
      </c>
      <c r="O4006" s="9">
        <f>IF($A4006="","",N4006&amp;"|"&amp;$F4006)</f>
        <v/>
      </c>
      <c r="P4006" s="77">
        <f>IF($A4006="",0,$H4006*설정!$C$23)</f>
        <v/>
      </c>
      <c r="Q4006" s="39">
        <f>IF($A4006="","",IF(O4006&lt;&gt;원인분석!$C$9,"",IF(AND(M4006&gt;=원인분석!$C$10,M4006&lt;=원인분석!$C$11),"당기",IF(AND(M4006&gt;=원인분석!$C$12,M4006&lt;=원인분석!$C$13),"비교",""))))</f>
        <v/>
      </c>
      <c r="R4006" s="9">
        <f>IF(Q4006="","",$K4006&amp;"")</f>
        <v/>
      </c>
      <c r="S4006" s="9">
        <f>IF(Q4006="","",IF(MATCH(R4006,$R$5:$R$100000,0)=ROW()-4,ROW(),""))</f>
        <v/>
      </c>
      <c r="T4006" s="9">
        <f>IF(Q4006="당기",ABS(P4006)+ROW()/1000000000,"")</f>
        <v/>
      </c>
      <c r="U4006" s="9">
        <f>IF(Q4006="비교",ABS(P4006)+ROW()/1000000000,"")</f>
        <v/>
      </c>
      <c r="V4006" s="39">
        <f>IF($A4006="","",IF(COUNTIF(변동분석!$E$7:$E$506,O4006)&gt;0,"Y","N"))</f>
        <v/>
      </c>
      <c r="W4006" s="39">
        <f>IF($A4006="","",IFERROR(INDEX(계정매핑!$D$5:$D$504,MATCH($F4006&amp;"",계정매핑!$A$5:$A$504,0)),"미매핑"))</f>
        <v/>
      </c>
      <c r="X4006" s="9">
        <f>IF($A4006="","",$F4006&amp;"")</f>
        <v/>
      </c>
    </row>
    <row r="4007">
      <c r="A4007" s="75" t="n">
        <v>2026</v>
      </c>
      <c r="B4007" s="75" t="n">
        <v>9</v>
      </c>
      <c r="C4007" s="75" t="inlineStr">
        <is>
          <t>5100001663</t>
        </is>
      </c>
      <c r="D4007" s="78" t="n">
        <v>46276</v>
      </c>
      <c r="E4007" s="75" t="inlineStr">
        <is>
          <t>KR</t>
        </is>
      </c>
      <c r="F4007" s="75" t="n">
        <v>62501000</v>
      </c>
      <c r="G4007" s="75" t="n">
        <v>1601</v>
      </c>
      <c r="H4007" s="76" t="n">
        <v>300000</v>
      </c>
      <c r="I4007" s="75" t="inlineStr">
        <is>
          <t>9월 회의 다과 - (법인카드)</t>
        </is>
      </c>
      <c r="J4007" s="75" t="inlineStr">
        <is>
          <t>V10008</t>
        </is>
      </c>
      <c r="K4007" s="75" t="inlineStr">
        <is>
          <t>(법인카드)</t>
        </is>
      </c>
      <c r="M4007" s="9">
        <f>IF($A4007="","",VALUE($A4007&amp;"")*12+VALUE($B4007&amp;""))</f>
        <v/>
      </c>
      <c r="N4007" s="39">
        <f>IF($A4007="","",IFERROR(INDEX(부서매핑!$C$5:$C$504,MATCH($G4007&amp;"",부서매핑!$A$5:$A$504,0)),"미매핑"))</f>
        <v/>
      </c>
      <c r="O4007" s="9">
        <f>IF($A4007="","",N4007&amp;"|"&amp;$F4007)</f>
        <v/>
      </c>
      <c r="P4007" s="77">
        <f>IF($A4007="",0,$H4007*설정!$C$23)</f>
        <v/>
      </c>
      <c r="Q4007" s="39">
        <f>IF($A4007="","",IF(O4007&lt;&gt;원인분석!$C$9,"",IF(AND(M4007&gt;=원인분석!$C$10,M4007&lt;=원인분석!$C$11),"당기",IF(AND(M4007&gt;=원인분석!$C$12,M4007&lt;=원인분석!$C$13),"비교",""))))</f>
        <v/>
      </c>
      <c r="R4007" s="9">
        <f>IF(Q4007="","",$K4007&amp;"")</f>
        <v/>
      </c>
      <c r="S4007" s="9">
        <f>IF(Q4007="","",IF(MATCH(R4007,$R$5:$R$100000,0)=ROW()-4,ROW(),""))</f>
        <v/>
      </c>
      <c r="T4007" s="9">
        <f>IF(Q4007="당기",ABS(P4007)+ROW()/1000000000,"")</f>
        <v/>
      </c>
      <c r="U4007" s="9">
        <f>IF(Q4007="비교",ABS(P4007)+ROW()/1000000000,"")</f>
        <v/>
      </c>
      <c r="V4007" s="39">
        <f>IF($A4007="","",IF(COUNTIF(변동분석!$E$7:$E$506,O4007)&gt;0,"Y","N"))</f>
        <v/>
      </c>
      <c r="W4007" s="39">
        <f>IF($A4007="","",IFERROR(INDEX(계정매핑!$D$5:$D$504,MATCH($F4007&amp;"",계정매핑!$A$5:$A$504,0)),"미매핑"))</f>
        <v/>
      </c>
      <c r="X4007" s="9">
        <f>IF($A4007="","",$F4007&amp;"")</f>
        <v/>
      </c>
    </row>
    <row r="4008">
      <c r="A4008" s="75" t="n">
        <v>2026</v>
      </c>
      <c r="B4008" s="75" t="n">
        <v>9</v>
      </c>
      <c r="C4008" s="75" t="inlineStr">
        <is>
          <t>5100001664</t>
        </is>
      </c>
      <c r="D4008" s="78" t="n">
        <v>46276</v>
      </c>
      <c r="E4008" s="75" t="inlineStr">
        <is>
          <t>KR</t>
        </is>
      </c>
      <c r="F4008" s="75" t="n">
        <v>62501000</v>
      </c>
      <c r="G4008" s="75" t="n">
        <v>1602</v>
      </c>
      <c r="H4008" s="76" t="n">
        <v>230000</v>
      </c>
      <c r="I4008" s="75" t="inlineStr">
        <is>
          <t>9월 회의 다과 - (법인카드)</t>
        </is>
      </c>
      <c r="J4008" s="75" t="inlineStr">
        <is>
          <t>V10008</t>
        </is>
      </c>
      <c r="K4008" s="75" t="inlineStr">
        <is>
          <t>(법인카드)</t>
        </is>
      </c>
      <c r="M4008" s="9">
        <f>IF($A4008="","",VALUE($A4008&amp;"")*12+VALUE($B4008&amp;""))</f>
        <v/>
      </c>
      <c r="N4008" s="39">
        <f>IF($A4008="","",IFERROR(INDEX(부서매핑!$C$5:$C$504,MATCH($G4008&amp;"",부서매핑!$A$5:$A$504,0)),"미매핑"))</f>
        <v/>
      </c>
      <c r="O4008" s="9">
        <f>IF($A4008="","",N4008&amp;"|"&amp;$F4008)</f>
        <v/>
      </c>
      <c r="P4008" s="77">
        <f>IF($A4008="",0,$H4008*설정!$C$23)</f>
        <v/>
      </c>
      <c r="Q4008" s="39">
        <f>IF($A4008="","",IF(O4008&lt;&gt;원인분석!$C$9,"",IF(AND(M4008&gt;=원인분석!$C$10,M4008&lt;=원인분석!$C$11),"당기",IF(AND(M4008&gt;=원인분석!$C$12,M4008&lt;=원인분석!$C$13),"비교",""))))</f>
        <v/>
      </c>
      <c r="R4008" s="9">
        <f>IF(Q4008="","",$K4008&amp;"")</f>
        <v/>
      </c>
      <c r="S4008" s="9">
        <f>IF(Q4008="","",IF(MATCH(R4008,$R$5:$R$100000,0)=ROW()-4,ROW(),""))</f>
        <v/>
      </c>
      <c r="T4008" s="9">
        <f>IF(Q4008="당기",ABS(P4008)+ROW()/1000000000,"")</f>
        <v/>
      </c>
      <c r="U4008" s="9">
        <f>IF(Q4008="비교",ABS(P4008)+ROW()/1000000000,"")</f>
        <v/>
      </c>
      <c r="V4008" s="39">
        <f>IF($A4008="","",IF(COUNTIF(변동분석!$E$7:$E$506,O4008)&gt;0,"Y","N"))</f>
        <v/>
      </c>
      <c r="W4008" s="39">
        <f>IF($A4008="","",IFERROR(INDEX(계정매핑!$D$5:$D$504,MATCH($F4008&amp;"",계정매핑!$A$5:$A$504,0)),"미매핑"))</f>
        <v/>
      </c>
      <c r="X4008" s="9">
        <f>IF($A4008="","",$F4008&amp;"")</f>
        <v/>
      </c>
    </row>
    <row r="4009">
      <c r="A4009" s="75" t="n">
        <v>2026</v>
      </c>
      <c r="B4009" s="75" t="n">
        <v>9</v>
      </c>
      <c r="C4009" s="75" t="inlineStr">
        <is>
          <t>5100001665</t>
        </is>
      </c>
      <c r="D4009" s="78" t="n">
        <v>46276</v>
      </c>
      <c r="E4009" s="75" t="inlineStr">
        <is>
          <t>KR</t>
        </is>
      </c>
      <c r="F4009" s="75" t="n">
        <v>62501000</v>
      </c>
      <c r="G4009" s="75" t="n">
        <v>1701</v>
      </c>
      <c r="H4009" s="76" t="n">
        <v>111000</v>
      </c>
      <c r="I4009" s="75" t="inlineStr">
        <is>
          <t>9월 회의 다과 - T케이터링</t>
        </is>
      </c>
      <c r="J4009" s="75" t="inlineStr">
        <is>
          <t>V10005</t>
        </is>
      </c>
      <c r="K4009" s="75" t="inlineStr">
        <is>
          <t>T케이터링</t>
        </is>
      </c>
      <c r="M4009" s="9">
        <f>IF($A4009="","",VALUE($A4009&amp;"")*12+VALUE($B4009&amp;""))</f>
        <v/>
      </c>
      <c r="N4009" s="39">
        <f>IF($A4009="","",IFERROR(INDEX(부서매핑!$C$5:$C$504,MATCH($G4009&amp;"",부서매핑!$A$5:$A$504,0)),"미매핑"))</f>
        <v/>
      </c>
      <c r="O4009" s="9">
        <f>IF($A4009="","",N4009&amp;"|"&amp;$F4009)</f>
        <v/>
      </c>
      <c r="P4009" s="77">
        <f>IF($A4009="",0,$H4009*설정!$C$23)</f>
        <v/>
      </c>
      <c r="Q4009" s="39">
        <f>IF($A4009="","",IF(O4009&lt;&gt;원인분석!$C$9,"",IF(AND(M4009&gt;=원인분석!$C$10,M4009&lt;=원인분석!$C$11),"당기",IF(AND(M4009&gt;=원인분석!$C$12,M4009&lt;=원인분석!$C$13),"비교",""))))</f>
        <v/>
      </c>
      <c r="R4009" s="9">
        <f>IF(Q4009="","",$K4009&amp;"")</f>
        <v/>
      </c>
      <c r="S4009" s="9">
        <f>IF(Q4009="","",IF(MATCH(R4009,$R$5:$R$100000,0)=ROW()-4,ROW(),""))</f>
        <v/>
      </c>
      <c r="T4009" s="9">
        <f>IF(Q4009="당기",ABS(P4009)+ROW()/1000000000,"")</f>
        <v/>
      </c>
      <c r="U4009" s="9">
        <f>IF(Q4009="비교",ABS(P4009)+ROW()/1000000000,"")</f>
        <v/>
      </c>
      <c r="V4009" s="39">
        <f>IF($A4009="","",IF(COUNTIF(변동분석!$E$7:$E$506,O4009)&gt;0,"Y","N"))</f>
        <v/>
      </c>
      <c r="W4009" s="39">
        <f>IF($A4009="","",IFERROR(INDEX(계정매핑!$D$5:$D$504,MATCH($F4009&amp;"",계정매핑!$A$5:$A$504,0)),"미매핑"))</f>
        <v/>
      </c>
      <c r="X4009" s="9">
        <f>IF($A4009="","",$F4009&amp;"")</f>
        <v/>
      </c>
    </row>
    <row r="4010">
      <c r="A4010" s="75" t="n">
        <v>2026</v>
      </c>
      <c r="B4010" s="75" t="n">
        <v>9</v>
      </c>
      <c r="C4010" s="75" t="inlineStr">
        <is>
          <t>5100001666</t>
        </is>
      </c>
      <c r="D4010" s="78" t="n">
        <v>46276</v>
      </c>
      <c r="E4010" s="75" t="inlineStr">
        <is>
          <t>KR</t>
        </is>
      </c>
      <c r="F4010" s="75" t="n">
        <v>62601000</v>
      </c>
      <c r="G4010" s="75" t="n">
        <v>1502</v>
      </c>
      <c r="H4010" s="76" t="n">
        <v>1835000</v>
      </c>
      <c r="I4010" s="75" t="inlineStr">
        <is>
          <t>9월 업무추진 - (법인카드)</t>
        </is>
      </c>
      <c r="J4010" s="75" t="inlineStr">
        <is>
          <t>V10008</t>
        </is>
      </c>
      <c r="K4010" s="75" t="inlineStr">
        <is>
          <t>(법인카드)</t>
        </is>
      </c>
      <c r="M4010" s="9">
        <f>IF($A4010="","",VALUE($A4010&amp;"")*12+VALUE($B4010&amp;""))</f>
        <v/>
      </c>
      <c r="N4010" s="39">
        <f>IF($A4010="","",IFERROR(INDEX(부서매핑!$C$5:$C$504,MATCH($G4010&amp;"",부서매핑!$A$5:$A$504,0)),"미매핑"))</f>
        <v/>
      </c>
      <c r="O4010" s="9">
        <f>IF($A4010="","",N4010&amp;"|"&amp;$F4010)</f>
        <v/>
      </c>
      <c r="P4010" s="77">
        <f>IF($A4010="",0,$H4010*설정!$C$23)</f>
        <v/>
      </c>
      <c r="Q4010" s="39">
        <f>IF($A4010="","",IF(O4010&lt;&gt;원인분석!$C$9,"",IF(AND(M4010&gt;=원인분석!$C$10,M4010&lt;=원인분석!$C$11),"당기",IF(AND(M4010&gt;=원인분석!$C$12,M4010&lt;=원인분석!$C$13),"비교",""))))</f>
        <v/>
      </c>
      <c r="R4010" s="9">
        <f>IF(Q4010="","",$K4010&amp;"")</f>
        <v/>
      </c>
      <c r="S4010" s="9">
        <f>IF(Q4010="","",IF(MATCH(R4010,$R$5:$R$100000,0)=ROW()-4,ROW(),""))</f>
        <v/>
      </c>
      <c r="T4010" s="9">
        <f>IF(Q4010="당기",ABS(P4010)+ROW()/1000000000,"")</f>
        <v/>
      </c>
      <c r="U4010" s="9">
        <f>IF(Q4010="비교",ABS(P4010)+ROW()/1000000000,"")</f>
        <v/>
      </c>
      <c r="V4010" s="39">
        <f>IF($A4010="","",IF(COUNTIF(변동분석!$E$7:$E$506,O4010)&gt;0,"Y","N"))</f>
        <v/>
      </c>
      <c r="W4010" s="39">
        <f>IF($A4010="","",IFERROR(INDEX(계정매핑!$D$5:$D$504,MATCH($F4010&amp;"",계정매핑!$A$5:$A$504,0)),"미매핑"))</f>
        <v/>
      </c>
      <c r="X4010" s="9">
        <f>IF($A4010="","",$F4010&amp;"")</f>
        <v/>
      </c>
    </row>
    <row r="4011">
      <c r="A4011" s="75" t="n">
        <v>2026</v>
      </c>
      <c r="B4011" s="75" t="n">
        <v>9</v>
      </c>
      <c r="C4011" s="75" t="inlineStr">
        <is>
          <t>5100001667</t>
        </is>
      </c>
      <c r="D4011" s="78" t="n">
        <v>46276</v>
      </c>
      <c r="E4011" s="75" t="inlineStr">
        <is>
          <t>KR</t>
        </is>
      </c>
      <c r="F4011" s="75" t="n">
        <v>62701000</v>
      </c>
      <c r="G4011" s="75" t="n">
        <v>1502</v>
      </c>
      <c r="H4011" s="76" t="n">
        <v>29283000</v>
      </c>
      <c r="I4011" s="75" t="inlineStr">
        <is>
          <t>9월 광고 집행 - F애드</t>
        </is>
      </c>
      <c r="J4011" s="75" t="inlineStr">
        <is>
          <t>V10019</t>
        </is>
      </c>
      <c r="K4011" s="75" t="inlineStr">
        <is>
          <t>F애드</t>
        </is>
      </c>
      <c r="M4011" s="9">
        <f>IF($A4011="","",VALUE($A4011&amp;"")*12+VALUE($B4011&amp;""))</f>
        <v/>
      </c>
      <c r="N4011" s="39">
        <f>IF($A4011="","",IFERROR(INDEX(부서매핑!$C$5:$C$504,MATCH($G4011&amp;"",부서매핑!$A$5:$A$504,0)),"미매핑"))</f>
        <v/>
      </c>
      <c r="O4011" s="9">
        <f>IF($A4011="","",N4011&amp;"|"&amp;$F4011)</f>
        <v/>
      </c>
      <c r="P4011" s="77">
        <f>IF($A4011="",0,$H4011*설정!$C$23)</f>
        <v/>
      </c>
      <c r="Q4011" s="39">
        <f>IF($A4011="","",IF(O4011&lt;&gt;원인분석!$C$9,"",IF(AND(M4011&gt;=원인분석!$C$10,M4011&lt;=원인분석!$C$11),"당기",IF(AND(M4011&gt;=원인분석!$C$12,M4011&lt;=원인분석!$C$13),"비교",""))))</f>
        <v/>
      </c>
      <c r="R4011" s="9">
        <f>IF(Q4011="","",$K4011&amp;"")</f>
        <v/>
      </c>
      <c r="S4011" s="9">
        <f>IF(Q4011="","",IF(MATCH(R4011,$R$5:$R$100000,0)=ROW()-4,ROW(),""))</f>
        <v/>
      </c>
      <c r="T4011" s="9">
        <f>IF(Q4011="당기",ABS(P4011)+ROW()/1000000000,"")</f>
        <v/>
      </c>
      <c r="U4011" s="9">
        <f>IF(Q4011="비교",ABS(P4011)+ROW()/1000000000,"")</f>
        <v/>
      </c>
      <c r="V4011" s="39">
        <f>IF($A4011="","",IF(COUNTIF(변동분석!$E$7:$E$506,O4011)&gt;0,"Y","N"))</f>
        <v/>
      </c>
      <c r="W4011" s="39">
        <f>IF($A4011="","",IFERROR(INDEX(계정매핑!$D$5:$D$504,MATCH($F4011&amp;"",계정매핑!$A$5:$A$504,0)),"미매핑"))</f>
        <v/>
      </c>
      <c r="X4011" s="9">
        <f>IF($A4011="","",$F4011&amp;"")</f>
        <v/>
      </c>
    </row>
    <row r="4012">
      <c r="A4012" s="75" t="n">
        <v>2026</v>
      </c>
      <c r="B4012" s="75" t="n">
        <v>9</v>
      </c>
      <c r="C4012" s="75" t="inlineStr">
        <is>
          <t>5100001668</t>
        </is>
      </c>
      <c r="D4012" s="78" t="n">
        <v>46276</v>
      </c>
      <c r="E4012" s="75" t="inlineStr">
        <is>
          <t>KR</t>
        </is>
      </c>
      <c r="F4012" s="75" t="n">
        <v>62902000</v>
      </c>
      <c r="G4012" s="75" t="n">
        <v>1801</v>
      </c>
      <c r="H4012" s="76" t="n">
        <v>3000000</v>
      </c>
      <c r="I4012" s="75" t="inlineStr">
        <is>
          <t>9월 업무 위탁 수수료 - X서비스</t>
        </is>
      </c>
      <c r="J4012" s="75" t="inlineStr">
        <is>
          <t>V10016</t>
        </is>
      </c>
      <c r="K4012" s="75" t="inlineStr">
        <is>
          <t>X서비스</t>
        </is>
      </c>
      <c r="M4012" s="9">
        <f>IF($A4012="","",VALUE($A4012&amp;"")*12+VALUE($B4012&amp;""))</f>
        <v/>
      </c>
      <c r="N4012" s="39">
        <f>IF($A4012="","",IFERROR(INDEX(부서매핑!$C$5:$C$504,MATCH($G4012&amp;"",부서매핑!$A$5:$A$504,0)),"미매핑"))</f>
        <v/>
      </c>
      <c r="O4012" s="9">
        <f>IF($A4012="","",N4012&amp;"|"&amp;$F4012)</f>
        <v/>
      </c>
      <c r="P4012" s="77">
        <f>IF($A4012="",0,$H4012*설정!$C$23)</f>
        <v/>
      </c>
      <c r="Q4012" s="39">
        <f>IF($A4012="","",IF(O4012&lt;&gt;원인분석!$C$9,"",IF(AND(M4012&gt;=원인분석!$C$10,M4012&lt;=원인분석!$C$11),"당기",IF(AND(M4012&gt;=원인분석!$C$12,M4012&lt;=원인분석!$C$13),"비교",""))))</f>
        <v/>
      </c>
      <c r="R4012" s="9">
        <f>IF(Q4012="","",$K4012&amp;"")</f>
        <v/>
      </c>
      <c r="S4012" s="9">
        <f>IF(Q4012="","",IF(MATCH(R4012,$R$5:$R$100000,0)=ROW()-4,ROW(),""))</f>
        <v/>
      </c>
      <c r="T4012" s="9">
        <f>IF(Q4012="당기",ABS(P4012)+ROW()/1000000000,"")</f>
        <v/>
      </c>
      <c r="U4012" s="9">
        <f>IF(Q4012="비교",ABS(P4012)+ROW()/1000000000,"")</f>
        <v/>
      </c>
      <c r="V4012" s="39">
        <f>IF($A4012="","",IF(COUNTIF(변동분석!$E$7:$E$506,O4012)&gt;0,"Y","N"))</f>
        <v/>
      </c>
      <c r="W4012" s="39">
        <f>IF($A4012="","",IFERROR(INDEX(계정매핑!$D$5:$D$504,MATCH($F4012&amp;"",계정매핑!$A$5:$A$504,0)),"미매핑"))</f>
        <v/>
      </c>
      <c r="X4012" s="9">
        <f>IF($A4012="","",$F4012&amp;"")</f>
        <v/>
      </c>
    </row>
    <row r="4013">
      <c r="A4013" s="75" t="n">
        <v>2026</v>
      </c>
      <c r="B4013" s="75" t="n">
        <v>9</v>
      </c>
      <c r="C4013" s="75" t="inlineStr">
        <is>
          <t>5100001669</t>
        </is>
      </c>
      <c r="D4013" s="78" t="n">
        <v>46276</v>
      </c>
      <c r="E4013" s="75" t="inlineStr">
        <is>
          <t>KR</t>
        </is>
      </c>
      <c r="F4013" s="75" t="n">
        <v>63001000</v>
      </c>
      <c r="G4013" s="75" t="n">
        <v>1701</v>
      </c>
      <c r="H4013" s="76" t="n">
        <v>29919000</v>
      </c>
      <c r="I4013" s="75" t="inlineStr">
        <is>
          <t>9월 SW 유지보수 - Z시스템</t>
        </is>
      </c>
      <c r="J4013" s="75" t="inlineStr">
        <is>
          <t>V10021</t>
        </is>
      </c>
      <c r="K4013" s="75" t="inlineStr">
        <is>
          <t>Z시스템</t>
        </is>
      </c>
      <c r="M4013" s="9">
        <f>IF($A4013="","",VALUE($A4013&amp;"")*12+VALUE($B4013&amp;""))</f>
        <v/>
      </c>
      <c r="N4013" s="39">
        <f>IF($A4013="","",IFERROR(INDEX(부서매핑!$C$5:$C$504,MATCH($G4013&amp;"",부서매핑!$A$5:$A$504,0)),"미매핑"))</f>
        <v/>
      </c>
      <c r="O4013" s="9">
        <f>IF($A4013="","",N4013&amp;"|"&amp;$F4013)</f>
        <v/>
      </c>
      <c r="P4013" s="77">
        <f>IF($A4013="",0,$H4013*설정!$C$23)</f>
        <v/>
      </c>
      <c r="Q4013" s="39">
        <f>IF($A4013="","",IF(O4013&lt;&gt;원인분석!$C$9,"",IF(AND(M4013&gt;=원인분석!$C$10,M4013&lt;=원인분석!$C$11),"당기",IF(AND(M4013&gt;=원인분석!$C$12,M4013&lt;=원인분석!$C$13),"비교",""))))</f>
        <v/>
      </c>
      <c r="R4013" s="9">
        <f>IF(Q4013="","",$K4013&amp;"")</f>
        <v/>
      </c>
      <c r="S4013" s="9">
        <f>IF(Q4013="","",IF(MATCH(R4013,$R$5:$R$100000,0)=ROW()-4,ROW(),""))</f>
        <v/>
      </c>
      <c r="T4013" s="9">
        <f>IF(Q4013="당기",ABS(P4013)+ROW()/1000000000,"")</f>
        <v/>
      </c>
      <c r="U4013" s="9">
        <f>IF(Q4013="비교",ABS(P4013)+ROW()/1000000000,"")</f>
        <v/>
      </c>
      <c r="V4013" s="39">
        <f>IF($A4013="","",IF(COUNTIF(변동분석!$E$7:$E$506,O4013)&gt;0,"Y","N"))</f>
        <v/>
      </c>
      <c r="W4013" s="39">
        <f>IF($A4013="","",IFERROR(INDEX(계정매핑!$D$5:$D$504,MATCH($F4013&amp;"",계정매핑!$A$5:$A$504,0)),"미매핑"))</f>
        <v/>
      </c>
      <c r="X4013" s="9">
        <f>IF($A4013="","",$F4013&amp;"")</f>
        <v/>
      </c>
    </row>
    <row r="4014">
      <c r="A4014" s="75" t="n">
        <v>2026</v>
      </c>
      <c r="B4014" s="75" t="n">
        <v>9</v>
      </c>
      <c r="C4014" s="75" t="inlineStr">
        <is>
          <t>5100001670</t>
        </is>
      </c>
      <c r="D4014" s="78" t="n">
        <v>46277</v>
      </c>
      <c r="E4014" s="75" t="inlineStr">
        <is>
          <t>KR</t>
        </is>
      </c>
      <c r="F4014" s="75" t="n">
        <v>62101000</v>
      </c>
      <c r="G4014" s="75" t="n">
        <v>1101</v>
      </c>
      <c r="H4014" s="76" t="n">
        <v>631000</v>
      </c>
      <c r="I4014" s="75" t="inlineStr">
        <is>
          <t>9월 국내출장 - L여행사</t>
        </is>
      </c>
      <c r="J4014" s="75" t="inlineStr">
        <is>
          <t>V10014</t>
        </is>
      </c>
      <c r="K4014" s="75" t="inlineStr">
        <is>
          <t>L여행사</t>
        </is>
      </c>
      <c r="M4014" s="9">
        <f>IF($A4014="","",VALUE($A4014&amp;"")*12+VALUE($B4014&amp;""))</f>
        <v/>
      </c>
      <c r="N4014" s="39">
        <f>IF($A4014="","",IFERROR(INDEX(부서매핑!$C$5:$C$504,MATCH($G4014&amp;"",부서매핑!$A$5:$A$504,0)),"미매핑"))</f>
        <v/>
      </c>
      <c r="O4014" s="9">
        <f>IF($A4014="","",N4014&amp;"|"&amp;$F4014)</f>
        <v/>
      </c>
      <c r="P4014" s="77">
        <f>IF($A4014="",0,$H4014*설정!$C$23)</f>
        <v/>
      </c>
      <c r="Q4014" s="39">
        <f>IF($A4014="","",IF(O4014&lt;&gt;원인분석!$C$9,"",IF(AND(M4014&gt;=원인분석!$C$10,M4014&lt;=원인분석!$C$11),"당기",IF(AND(M4014&gt;=원인분석!$C$12,M4014&lt;=원인분석!$C$13),"비교",""))))</f>
        <v/>
      </c>
      <c r="R4014" s="9">
        <f>IF(Q4014="","",$K4014&amp;"")</f>
        <v/>
      </c>
      <c r="S4014" s="9">
        <f>IF(Q4014="","",IF(MATCH(R4014,$R$5:$R$100000,0)=ROW()-4,ROW(),""))</f>
        <v/>
      </c>
      <c r="T4014" s="9">
        <f>IF(Q4014="당기",ABS(P4014)+ROW()/1000000000,"")</f>
        <v/>
      </c>
      <c r="U4014" s="9">
        <f>IF(Q4014="비교",ABS(P4014)+ROW()/1000000000,"")</f>
        <v/>
      </c>
      <c r="V4014" s="39">
        <f>IF($A4014="","",IF(COUNTIF(변동분석!$E$7:$E$506,O4014)&gt;0,"Y","N"))</f>
        <v/>
      </c>
      <c r="W4014" s="39">
        <f>IF($A4014="","",IFERROR(INDEX(계정매핑!$D$5:$D$504,MATCH($F4014&amp;"",계정매핑!$A$5:$A$504,0)),"미매핑"))</f>
        <v/>
      </c>
      <c r="X4014" s="9">
        <f>IF($A4014="","",$F4014&amp;"")</f>
        <v/>
      </c>
    </row>
    <row r="4015">
      <c r="A4015" s="75" t="n">
        <v>2026</v>
      </c>
      <c r="B4015" s="75" t="n">
        <v>9</v>
      </c>
      <c r="C4015" s="75" t="inlineStr">
        <is>
          <t>5100001671</t>
        </is>
      </c>
      <c r="D4015" s="78" t="n">
        <v>46277</v>
      </c>
      <c r="E4015" s="75" t="inlineStr">
        <is>
          <t>KR</t>
        </is>
      </c>
      <c r="F4015" s="75" t="n">
        <v>62102000</v>
      </c>
      <c r="G4015" s="75" t="n">
        <v>1101</v>
      </c>
      <c r="H4015" s="76" t="n">
        <v>112000</v>
      </c>
      <c r="I4015" s="75" t="inlineStr">
        <is>
          <t>9월 해외출장 - M항공</t>
        </is>
      </c>
      <c r="J4015" s="75" t="inlineStr">
        <is>
          <t>V10001</t>
        </is>
      </c>
      <c r="K4015" s="75" t="inlineStr">
        <is>
          <t>M항공</t>
        </is>
      </c>
      <c r="M4015" s="9">
        <f>IF($A4015="","",VALUE($A4015&amp;"")*12+VALUE($B4015&amp;""))</f>
        <v/>
      </c>
      <c r="N4015" s="39">
        <f>IF($A4015="","",IFERROR(INDEX(부서매핑!$C$5:$C$504,MATCH($G4015&amp;"",부서매핑!$A$5:$A$504,0)),"미매핑"))</f>
        <v/>
      </c>
      <c r="O4015" s="9">
        <f>IF($A4015="","",N4015&amp;"|"&amp;$F4015)</f>
        <v/>
      </c>
      <c r="P4015" s="77">
        <f>IF($A4015="",0,$H4015*설정!$C$23)</f>
        <v/>
      </c>
      <c r="Q4015" s="39">
        <f>IF($A4015="","",IF(O4015&lt;&gt;원인분석!$C$9,"",IF(AND(M4015&gt;=원인분석!$C$10,M4015&lt;=원인분석!$C$11),"당기",IF(AND(M4015&gt;=원인분석!$C$12,M4015&lt;=원인분석!$C$13),"비교",""))))</f>
        <v/>
      </c>
      <c r="R4015" s="9">
        <f>IF(Q4015="","",$K4015&amp;"")</f>
        <v/>
      </c>
      <c r="S4015" s="9">
        <f>IF(Q4015="","",IF(MATCH(R4015,$R$5:$R$100000,0)=ROW()-4,ROW(),""))</f>
        <v/>
      </c>
      <c r="T4015" s="9">
        <f>IF(Q4015="당기",ABS(P4015)+ROW()/1000000000,"")</f>
        <v/>
      </c>
      <c r="U4015" s="9">
        <f>IF(Q4015="비교",ABS(P4015)+ROW()/1000000000,"")</f>
        <v/>
      </c>
      <c r="V4015" s="39">
        <f>IF($A4015="","",IF(COUNTIF(변동분석!$E$7:$E$506,O4015)&gt;0,"Y","N"))</f>
        <v/>
      </c>
      <c r="W4015" s="39">
        <f>IF($A4015="","",IFERROR(INDEX(계정매핑!$D$5:$D$504,MATCH($F4015&amp;"",계정매핑!$A$5:$A$504,0)),"미매핑"))</f>
        <v/>
      </c>
      <c r="X4015" s="9">
        <f>IF($A4015="","",$F4015&amp;"")</f>
        <v/>
      </c>
    </row>
    <row r="4016">
      <c r="A4016" s="75" t="n">
        <v>2026</v>
      </c>
      <c r="B4016" s="75" t="n">
        <v>9</v>
      </c>
      <c r="C4016" s="75" t="inlineStr">
        <is>
          <t>5100001672</t>
        </is>
      </c>
      <c r="D4016" s="78" t="n">
        <v>46277</v>
      </c>
      <c r="E4016" s="75" t="inlineStr">
        <is>
          <t>KR</t>
        </is>
      </c>
      <c r="F4016" s="75" t="n">
        <v>62201000</v>
      </c>
      <c r="G4016" s="75" t="n">
        <v>1602</v>
      </c>
      <c r="H4016" s="76" t="n">
        <v>625000</v>
      </c>
      <c r="I4016" s="75" t="inlineStr">
        <is>
          <t>9월 통신요금 - O텔레콤</t>
        </is>
      </c>
      <c r="J4016" s="75" t="inlineStr">
        <is>
          <t>V10002</t>
        </is>
      </c>
      <c r="K4016" s="75" t="inlineStr">
        <is>
          <t>O텔레콤</t>
        </is>
      </c>
      <c r="M4016" s="9">
        <f>IF($A4016="","",VALUE($A4016&amp;"")*12+VALUE($B4016&amp;""))</f>
        <v/>
      </c>
      <c r="N4016" s="39">
        <f>IF($A4016="","",IFERROR(INDEX(부서매핑!$C$5:$C$504,MATCH($G4016&amp;"",부서매핑!$A$5:$A$504,0)),"미매핑"))</f>
        <v/>
      </c>
      <c r="O4016" s="9">
        <f>IF($A4016="","",N4016&amp;"|"&amp;$F4016)</f>
        <v/>
      </c>
      <c r="P4016" s="77">
        <f>IF($A4016="",0,$H4016*설정!$C$23)</f>
        <v/>
      </c>
      <c r="Q4016" s="39">
        <f>IF($A4016="","",IF(O4016&lt;&gt;원인분석!$C$9,"",IF(AND(M4016&gt;=원인분석!$C$10,M4016&lt;=원인분석!$C$11),"당기",IF(AND(M4016&gt;=원인분석!$C$12,M4016&lt;=원인분석!$C$13),"비교",""))))</f>
        <v/>
      </c>
      <c r="R4016" s="9">
        <f>IF(Q4016="","",$K4016&amp;"")</f>
        <v/>
      </c>
      <c r="S4016" s="9">
        <f>IF(Q4016="","",IF(MATCH(R4016,$R$5:$R$100000,0)=ROW()-4,ROW(),""))</f>
        <v/>
      </c>
      <c r="T4016" s="9">
        <f>IF(Q4016="당기",ABS(P4016)+ROW()/1000000000,"")</f>
        <v/>
      </c>
      <c r="U4016" s="9">
        <f>IF(Q4016="비교",ABS(P4016)+ROW()/1000000000,"")</f>
        <v/>
      </c>
      <c r="V4016" s="39">
        <f>IF($A4016="","",IF(COUNTIF(변동분석!$E$7:$E$506,O4016)&gt;0,"Y","N"))</f>
        <v/>
      </c>
      <c r="W4016" s="39">
        <f>IF($A4016="","",IFERROR(INDEX(계정매핑!$D$5:$D$504,MATCH($F4016&amp;"",계정매핑!$A$5:$A$504,0)),"미매핑"))</f>
        <v/>
      </c>
      <c r="X4016" s="9">
        <f>IF($A4016="","",$F4016&amp;"")</f>
        <v/>
      </c>
    </row>
    <row r="4017">
      <c r="A4017" s="75" t="n">
        <v>2026</v>
      </c>
      <c r="B4017" s="75" t="n">
        <v>9</v>
      </c>
      <c r="C4017" s="75" t="inlineStr">
        <is>
          <t>5100001673</t>
        </is>
      </c>
      <c r="D4017" s="78" t="n">
        <v>46277</v>
      </c>
      <c r="E4017" s="75" t="inlineStr">
        <is>
          <t>KR</t>
        </is>
      </c>
      <c r="F4017" s="75" t="n">
        <v>62301000</v>
      </c>
      <c r="G4017" s="75" t="n">
        <v>1801</v>
      </c>
      <c r="H4017" s="76" t="n">
        <v>599000</v>
      </c>
      <c r="I4017" s="75" t="inlineStr">
        <is>
          <t>9월 소모품 구입 - R문구</t>
        </is>
      </c>
      <c r="J4017" s="75" t="inlineStr">
        <is>
          <t>V10018</t>
        </is>
      </c>
      <c r="K4017" s="75" t="inlineStr">
        <is>
          <t>R문구</t>
        </is>
      </c>
      <c r="M4017" s="9">
        <f>IF($A4017="","",VALUE($A4017&amp;"")*12+VALUE($B4017&amp;""))</f>
        <v/>
      </c>
      <c r="N4017" s="39">
        <f>IF($A4017="","",IFERROR(INDEX(부서매핑!$C$5:$C$504,MATCH($G4017&amp;"",부서매핑!$A$5:$A$504,0)),"미매핑"))</f>
        <v/>
      </c>
      <c r="O4017" s="9">
        <f>IF($A4017="","",N4017&amp;"|"&amp;$F4017)</f>
        <v/>
      </c>
      <c r="P4017" s="77">
        <f>IF($A4017="",0,$H4017*설정!$C$23)</f>
        <v/>
      </c>
      <c r="Q4017" s="39">
        <f>IF($A4017="","",IF(O4017&lt;&gt;원인분석!$C$9,"",IF(AND(M4017&gt;=원인분석!$C$10,M4017&lt;=원인분석!$C$11),"당기",IF(AND(M4017&gt;=원인분석!$C$12,M4017&lt;=원인분석!$C$13),"비교",""))))</f>
        <v/>
      </c>
      <c r="R4017" s="9">
        <f>IF(Q4017="","",$K4017&amp;"")</f>
        <v/>
      </c>
      <c r="S4017" s="9">
        <f>IF(Q4017="","",IF(MATCH(R4017,$R$5:$R$100000,0)=ROW()-4,ROW(),""))</f>
        <v/>
      </c>
      <c r="T4017" s="9">
        <f>IF(Q4017="당기",ABS(P4017)+ROW()/1000000000,"")</f>
        <v/>
      </c>
      <c r="U4017" s="9">
        <f>IF(Q4017="비교",ABS(P4017)+ROW()/1000000000,"")</f>
        <v/>
      </c>
      <c r="V4017" s="39">
        <f>IF($A4017="","",IF(COUNTIF(변동분석!$E$7:$E$506,O4017)&gt;0,"Y","N"))</f>
        <v/>
      </c>
      <c r="W4017" s="39">
        <f>IF($A4017="","",IFERROR(INDEX(계정매핑!$D$5:$D$504,MATCH($F4017&amp;"",계정매핑!$A$5:$A$504,0)),"미매핑"))</f>
        <v/>
      </c>
      <c r="X4017" s="9">
        <f>IF($A4017="","",$F4017&amp;"")</f>
        <v/>
      </c>
    </row>
    <row r="4018">
      <c r="A4018" s="75" t="n">
        <v>2026</v>
      </c>
      <c r="B4018" s="75" t="n">
        <v>9</v>
      </c>
      <c r="C4018" s="75" t="inlineStr">
        <is>
          <t>5100001674</t>
        </is>
      </c>
      <c r="D4018" s="78" t="n">
        <v>46277</v>
      </c>
      <c r="E4018" s="75" t="inlineStr">
        <is>
          <t>KR</t>
        </is>
      </c>
      <c r="F4018" s="75" t="n">
        <v>62401000</v>
      </c>
      <c r="G4018" s="75" t="n">
        <v>1401</v>
      </c>
      <c r="H4018" s="76" t="n">
        <v>345000</v>
      </c>
      <c r="I4018" s="75" t="inlineStr">
        <is>
          <t>9월 인쇄물 제작 - S출판</t>
        </is>
      </c>
      <c r="J4018" s="75" t="inlineStr">
        <is>
          <t>V10012</t>
        </is>
      </c>
      <c r="K4018" s="75" t="inlineStr">
        <is>
          <t>S출판</t>
        </is>
      </c>
      <c r="M4018" s="9">
        <f>IF($A4018="","",VALUE($A4018&amp;"")*12+VALUE($B4018&amp;""))</f>
        <v/>
      </c>
      <c r="N4018" s="39">
        <f>IF($A4018="","",IFERROR(INDEX(부서매핑!$C$5:$C$504,MATCH($G4018&amp;"",부서매핑!$A$5:$A$504,0)),"미매핑"))</f>
        <v/>
      </c>
      <c r="O4018" s="9">
        <f>IF($A4018="","",N4018&amp;"|"&amp;$F4018)</f>
        <v/>
      </c>
      <c r="P4018" s="77">
        <f>IF($A4018="",0,$H4018*설정!$C$23)</f>
        <v/>
      </c>
      <c r="Q4018" s="39">
        <f>IF($A4018="","",IF(O4018&lt;&gt;원인분석!$C$9,"",IF(AND(M4018&gt;=원인분석!$C$10,M4018&lt;=원인분석!$C$11),"당기",IF(AND(M4018&gt;=원인분석!$C$12,M4018&lt;=원인분석!$C$13),"비교",""))))</f>
        <v/>
      </c>
      <c r="R4018" s="9">
        <f>IF(Q4018="","",$K4018&amp;"")</f>
        <v/>
      </c>
      <c r="S4018" s="9">
        <f>IF(Q4018="","",IF(MATCH(R4018,$R$5:$R$100000,0)=ROW()-4,ROW(),""))</f>
        <v/>
      </c>
      <c r="T4018" s="9">
        <f>IF(Q4018="당기",ABS(P4018)+ROW()/1000000000,"")</f>
        <v/>
      </c>
      <c r="U4018" s="9">
        <f>IF(Q4018="비교",ABS(P4018)+ROW()/1000000000,"")</f>
        <v/>
      </c>
      <c r="V4018" s="39">
        <f>IF($A4018="","",IF(COUNTIF(변동분석!$E$7:$E$506,O4018)&gt;0,"Y","N"))</f>
        <v/>
      </c>
      <c r="W4018" s="39">
        <f>IF($A4018="","",IFERROR(INDEX(계정매핑!$D$5:$D$504,MATCH($F4018&amp;"",계정매핑!$A$5:$A$504,0)),"미매핑"))</f>
        <v/>
      </c>
      <c r="X4018" s="9">
        <f>IF($A4018="","",$F4018&amp;"")</f>
        <v/>
      </c>
    </row>
    <row r="4019">
      <c r="A4019" s="75" t="n">
        <v>2026</v>
      </c>
      <c r="B4019" s="75" t="n">
        <v>9</v>
      </c>
      <c r="C4019" s="75" t="inlineStr">
        <is>
          <t>5100001675</t>
        </is>
      </c>
      <c r="D4019" s="78" t="n">
        <v>46277</v>
      </c>
      <c r="E4019" s="75" t="inlineStr">
        <is>
          <t>KR</t>
        </is>
      </c>
      <c r="F4019" s="75" t="n">
        <v>62501000</v>
      </c>
      <c r="G4019" s="75" t="n">
        <v>1201</v>
      </c>
      <c r="H4019" s="76" t="n">
        <v>238000</v>
      </c>
      <c r="I4019" s="75" t="inlineStr">
        <is>
          <t>9월 회의 다과 - (법인카드)</t>
        </is>
      </c>
      <c r="J4019" s="75" t="inlineStr">
        <is>
          <t>V10008</t>
        </is>
      </c>
      <c r="K4019" s="75" t="inlineStr">
        <is>
          <t>(법인카드)</t>
        </is>
      </c>
      <c r="M4019" s="9">
        <f>IF($A4019="","",VALUE($A4019&amp;"")*12+VALUE($B4019&amp;""))</f>
        <v/>
      </c>
      <c r="N4019" s="39">
        <f>IF($A4019="","",IFERROR(INDEX(부서매핑!$C$5:$C$504,MATCH($G4019&amp;"",부서매핑!$A$5:$A$504,0)),"미매핑"))</f>
        <v/>
      </c>
      <c r="O4019" s="9">
        <f>IF($A4019="","",N4019&amp;"|"&amp;$F4019)</f>
        <v/>
      </c>
      <c r="P4019" s="77">
        <f>IF($A4019="",0,$H4019*설정!$C$23)</f>
        <v/>
      </c>
      <c r="Q4019" s="39">
        <f>IF($A4019="","",IF(O4019&lt;&gt;원인분석!$C$9,"",IF(AND(M4019&gt;=원인분석!$C$10,M4019&lt;=원인분석!$C$11),"당기",IF(AND(M4019&gt;=원인분석!$C$12,M4019&lt;=원인분석!$C$13),"비교",""))))</f>
        <v/>
      </c>
      <c r="R4019" s="9">
        <f>IF(Q4019="","",$K4019&amp;"")</f>
        <v/>
      </c>
      <c r="S4019" s="9">
        <f>IF(Q4019="","",IF(MATCH(R4019,$R$5:$R$100000,0)=ROW()-4,ROW(),""))</f>
        <v/>
      </c>
      <c r="T4019" s="9">
        <f>IF(Q4019="당기",ABS(P4019)+ROW()/1000000000,"")</f>
        <v/>
      </c>
      <c r="U4019" s="9">
        <f>IF(Q4019="비교",ABS(P4019)+ROW()/1000000000,"")</f>
        <v/>
      </c>
      <c r="V4019" s="39">
        <f>IF($A4019="","",IF(COUNTIF(변동분석!$E$7:$E$506,O4019)&gt;0,"Y","N"))</f>
        <v/>
      </c>
      <c r="W4019" s="39">
        <f>IF($A4019="","",IFERROR(INDEX(계정매핑!$D$5:$D$504,MATCH($F4019&amp;"",계정매핑!$A$5:$A$504,0)),"미매핑"))</f>
        <v/>
      </c>
      <c r="X4019" s="9">
        <f>IF($A4019="","",$F4019&amp;"")</f>
        <v/>
      </c>
    </row>
    <row r="4020">
      <c r="A4020" s="75" t="n">
        <v>2026</v>
      </c>
      <c r="B4020" s="75" t="n">
        <v>9</v>
      </c>
      <c r="C4020" s="75" t="inlineStr">
        <is>
          <t>5100001676</t>
        </is>
      </c>
      <c r="D4020" s="78" t="n">
        <v>46277</v>
      </c>
      <c r="E4020" s="75" t="inlineStr">
        <is>
          <t>KR</t>
        </is>
      </c>
      <c r="F4020" s="75" t="n">
        <v>62501000</v>
      </c>
      <c r="G4020" s="75" t="n">
        <v>1301</v>
      </c>
      <c r="H4020" s="76" t="n">
        <v>153000</v>
      </c>
      <c r="I4020" s="75" t="inlineStr">
        <is>
          <t>9월 회의 다과 - (법인카드)</t>
        </is>
      </c>
      <c r="J4020" s="75" t="inlineStr">
        <is>
          <t>V10008</t>
        </is>
      </c>
      <c r="K4020" s="75" t="inlineStr">
        <is>
          <t>(법인카드)</t>
        </is>
      </c>
      <c r="M4020" s="9">
        <f>IF($A4020="","",VALUE($A4020&amp;"")*12+VALUE($B4020&amp;""))</f>
        <v/>
      </c>
      <c r="N4020" s="39">
        <f>IF($A4020="","",IFERROR(INDEX(부서매핑!$C$5:$C$504,MATCH($G4020&amp;"",부서매핑!$A$5:$A$504,0)),"미매핑"))</f>
        <v/>
      </c>
      <c r="O4020" s="9">
        <f>IF($A4020="","",N4020&amp;"|"&amp;$F4020)</f>
        <v/>
      </c>
      <c r="P4020" s="77">
        <f>IF($A4020="",0,$H4020*설정!$C$23)</f>
        <v/>
      </c>
      <c r="Q4020" s="39">
        <f>IF($A4020="","",IF(O4020&lt;&gt;원인분석!$C$9,"",IF(AND(M4020&gt;=원인분석!$C$10,M4020&lt;=원인분석!$C$11),"당기",IF(AND(M4020&gt;=원인분석!$C$12,M4020&lt;=원인분석!$C$13),"비교",""))))</f>
        <v/>
      </c>
      <c r="R4020" s="9">
        <f>IF(Q4020="","",$K4020&amp;"")</f>
        <v/>
      </c>
      <c r="S4020" s="9">
        <f>IF(Q4020="","",IF(MATCH(R4020,$R$5:$R$100000,0)=ROW()-4,ROW(),""))</f>
        <v/>
      </c>
      <c r="T4020" s="9">
        <f>IF(Q4020="당기",ABS(P4020)+ROW()/1000000000,"")</f>
        <v/>
      </c>
      <c r="U4020" s="9">
        <f>IF(Q4020="비교",ABS(P4020)+ROW()/1000000000,"")</f>
        <v/>
      </c>
      <c r="V4020" s="39">
        <f>IF($A4020="","",IF(COUNTIF(변동분석!$E$7:$E$506,O4020)&gt;0,"Y","N"))</f>
        <v/>
      </c>
      <c r="W4020" s="39">
        <f>IF($A4020="","",IFERROR(INDEX(계정매핑!$D$5:$D$504,MATCH($F4020&amp;"",계정매핑!$A$5:$A$504,0)),"미매핑"))</f>
        <v/>
      </c>
      <c r="X4020" s="9">
        <f>IF($A4020="","",$F4020&amp;"")</f>
        <v/>
      </c>
    </row>
    <row r="4021">
      <c r="A4021" s="75" t="n">
        <v>2026</v>
      </c>
      <c r="B4021" s="75" t="n">
        <v>9</v>
      </c>
      <c r="C4021" s="75" t="inlineStr">
        <is>
          <t>5100001677</t>
        </is>
      </c>
      <c r="D4021" s="78" t="n">
        <v>46277</v>
      </c>
      <c r="E4021" s="75" t="inlineStr">
        <is>
          <t>KR</t>
        </is>
      </c>
      <c r="F4021" s="75" t="n">
        <v>62601000</v>
      </c>
      <c r="G4021" s="75" t="n">
        <v>1301</v>
      </c>
      <c r="H4021" s="76" t="n">
        <v>939000</v>
      </c>
      <c r="I4021" s="75" t="inlineStr">
        <is>
          <t>9월 업무추진 - (법인카드)</t>
        </is>
      </c>
      <c r="J4021" s="75" t="inlineStr">
        <is>
          <t>V10008</t>
        </is>
      </c>
      <c r="K4021" s="75" t="inlineStr">
        <is>
          <t>(법인카드)</t>
        </is>
      </c>
      <c r="M4021" s="9">
        <f>IF($A4021="","",VALUE($A4021&amp;"")*12+VALUE($B4021&amp;""))</f>
        <v/>
      </c>
      <c r="N4021" s="39">
        <f>IF($A4021="","",IFERROR(INDEX(부서매핑!$C$5:$C$504,MATCH($G4021&amp;"",부서매핑!$A$5:$A$504,0)),"미매핑"))</f>
        <v/>
      </c>
      <c r="O4021" s="9">
        <f>IF($A4021="","",N4021&amp;"|"&amp;$F4021)</f>
        <v/>
      </c>
      <c r="P4021" s="77">
        <f>IF($A4021="",0,$H4021*설정!$C$23)</f>
        <v/>
      </c>
      <c r="Q4021" s="39">
        <f>IF($A4021="","",IF(O4021&lt;&gt;원인분석!$C$9,"",IF(AND(M4021&gt;=원인분석!$C$10,M4021&lt;=원인분석!$C$11),"당기",IF(AND(M4021&gt;=원인분석!$C$12,M4021&lt;=원인분석!$C$13),"비교",""))))</f>
        <v/>
      </c>
      <c r="R4021" s="9">
        <f>IF(Q4021="","",$K4021&amp;"")</f>
        <v/>
      </c>
      <c r="S4021" s="9">
        <f>IF(Q4021="","",IF(MATCH(R4021,$R$5:$R$100000,0)=ROW()-4,ROW(),""))</f>
        <v/>
      </c>
      <c r="T4021" s="9">
        <f>IF(Q4021="당기",ABS(P4021)+ROW()/1000000000,"")</f>
        <v/>
      </c>
      <c r="U4021" s="9">
        <f>IF(Q4021="비교",ABS(P4021)+ROW()/1000000000,"")</f>
        <v/>
      </c>
      <c r="V4021" s="39">
        <f>IF($A4021="","",IF(COUNTIF(변동분석!$E$7:$E$506,O4021)&gt;0,"Y","N"))</f>
        <v/>
      </c>
      <c r="W4021" s="39">
        <f>IF($A4021="","",IFERROR(INDEX(계정매핑!$D$5:$D$504,MATCH($F4021&amp;"",계정매핑!$A$5:$A$504,0)),"미매핑"))</f>
        <v/>
      </c>
      <c r="X4021" s="9">
        <f>IF($A4021="","",$F4021&amp;"")</f>
        <v/>
      </c>
    </row>
    <row r="4022">
      <c r="A4022" s="75" t="n">
        <v>2026</v>
      </c>
      <c r="B4022" s="75" t="n">
        <v>9</v>
      </c>
      <c r="C4022" s="75" t="inlineStr">
        <is>
          <t>5100001678</t>
        </is>
      </c>
      <c r="D4022" s="78" t="n">
        <v>46277</v>
      </c>
      <c r="E4022" s="75" t="inlineStr">
        <is>
          <t>KR</t>
        </is>
      </c>
      <c r="F4022" s="75" t="n">
        <v>62801000</v>
      </c>
      <c r="G4022" s="75" t="n">
        <v>1301</v>
      </c>
      <c r="H4022" s="76" t="n">
        <v>3906000</v>
      </c>
      <c r="I4022" s="75" t="inlineStr">
        <is>
          <t>9월 사내교육 - U에듀</t>
        </is>
      </c>
      <c r="J4022" s="75" t="inlineStr">
        <is>
          <t>V10026</t>
        </is>
      </c>
      <c r="K4022" s="75" t="inlineStr">
        <is>
          <t>U에듀</t>
        </is>
      </c>
      <c r="M4022" s="9">
        <f>IF($A4022="","",VALUE($A4022&amp;"")*12+VALUE($B4022&amp;""))</f>
        <v/>
      </c>
      <c r="N4022" s="39">
        <f>IF($A4022="","",IFERROR(INDEX(부서매핑!$C$5:$C$504,MATCH($G4022&amp;"",부서매핑!$A$5:$A$504,0)),"미매핑"))</f>
        <v/>
      </c>
      <c r="O4022" s="9">
        <f>IF($A4022="","",N4022&amp;"|"&amp;$F4022)</f>
        <v/>
      </c>
      <c r="P4022" s="77">
        <f>IF($A4022="",0,$H4022*설정!$C$23)</f>
        <v/>
      </c>
      <c r="Q4022" s="39">
        <f>IF($A4022="","",IF(O4022&lt;&gt;원인분석!$C$9,"",IF(AND(M4022&gt;=원인분석!$C$10,M4022&lt;=원인분석!$C$11),"당기",IF(AND(M4022&gt;=원인분석!$C$12,M4022&lt;=원인분석!$C$13),"비교",""))))</f>
        <v/>
      </c>
      <c r="R4022" s="9">
        <f>IF(Q4022="","",$K4022&amp;"")</f>
        <v/>
      </c>
      <c r="S4022" s="9">
        <f>IF(Q4022="","",IF(MATCH(R4022,$R$5:$R$100000,0)=ROW()-4,ROW(),""))</f>
        <v/>
      </c>
      <c r="T4022" s="9">
        <f>IF(Q4022="당기",ABS(P4022)+ROW()/1000000000,"")</f>
        <v/>
      </c>
      <c r="U4022" s="9">
        <f>IF(Q4022="비교",ABS(P4022)+ROW()/1000000000,"")</f>
        <v/>
      </c>
      <c r="V4022" s="39">
        <f>IF($A4022="","",IF(COUNTIF(변동분석!$E$7:$E$506,O4022)&gt;0,"Y","N"))</f>
        <v/>
      </c>
      <c r="W4022" s="39">
        <f>IF($A4022="","",IFERROR(INDEX(계정매핑!$D$5:$D$504,MATCH($F4022&amp;"",계정매핑!$A$5:$A$504,0)),"미매핑"))</f>
        <v/>
      </c>
      <c r="X4022" s="9">
        <f>IF($A4022="","",$F4022&amp;"")</f>
        <v/>
      </c>
    </row>
    <row r="4023">
      <c r="A4023" s="75" t="n">
        <v>2026</v>
      </c>
      <c r="B4023" s="75" t="n">
        <v>9</v>
      </c>
      <c r="C4023" s="75" t="inlineStr">
        <is>
          <t>5100001679</t>
        </is>
      </c>
      <c r="D4023" s="78" t="n">
        <v>46277</v>
      </c>
      <c r="E4023" s="75" t="inlineStr">
        <is>
          <t>KR</t>
        </is>
      </c>
      <c r="F4023" s="75" t="n">
        <v>62901000</v>
      </c>
      <c r="G4023" s="75" t="n">
        <v>1101</v>
      </c>
      <c r="H4023" s="76" t="n">
        <v>2989000</v>
      </c>
      <c r="I4023" s="75" t="inlineStr">
        <is>
          <t>9월 자문 수수료 - W컨설팅</t>
        </is>
      </c>
      <c r="J4023" s="75" t="inlineStr">
        <is>
          <t>V10009</t>
        </is>
      </c>
      <c r="K4023" s="75" t="inlineStr">
        <is>
          <t>W컨설팅</t>
        </is>
      </c>
      <c r="M4023" s="9">
        <f>IF($A4023="","",VALUE($A4023&amp;"")*12+VALUE($B4023&amp;""))</f>
        <v/>
      </c>
      <c r="N4023" s="39">
        <f>IF($A4023="","",IFERROR(INDEX(부서매핑!$C$5:$C$504,MATCH($G4023&amp;"",부서매핑!$A$5:$A$504,0)),"미매핑"))</f>
        <v/>
      </c>
      <c r="O4023" s="9">
        <f>IF($A4023="","",N4023&amp;"|"&amp;$F4023)</f>
        <v/>
      </c>
      <c r="P4023" s="77">
        <f>IF($A4023="",0,$H4023*설정!$C$23)</f>
        <v/>
      </c>
      <c r="Q4023" s="39">
        <f>IF($A4023="","",IF(O4023&lt;&gt;원인분석!$C$9,"",IF(AND(M4023&gt;=원인분석!$C$10,M4023&lt;=원인분석!$C$11),"당기",IF(AND(M4023&gt;=원인분석!$C$12,M4023&lt;=원인분석!$C$13),"비교",""))))</f>
        <v/>
      </c>
      <c r="R4023" s="9">
        <f>IF(Q4023="","",$K4023&amp;"")</f>
        <v/>
      </c>
      <c r="S4023" s="9">
        <f>IF(Q4023="","",IF(MATCH(R4023,$R$5:$R$100000,0)=ROW()-4,ROW(),""))</f>
        <v/>
      </c>
      <c r="T4023" s="9">
        <f>IF(Q4023="당기",ABS(P4023)+ROW()/1000000000,"")</f>
        <v/>
      </c>
      <c r="U4023" s="9">
        <f>IF(Q4023="비교",ABS(P4023)+ROW()/1000000000,"")</f>
        <v/>
      </c>
      <c r="V4023" s="39">
        <f>IF($A4023="","",IF(COUNTIF(변동분석!$E$7:$E$506,O4023)&gt;0,"Y","N"))</f>
        <v/>
      </c>
      <c r="W4023" s="39">
        <f>IF($A4023="","",IFERROR(INDEX(계정매핑!$D$5:$D$504,MATCH($F4023&amp;"",계정매핑!$A$5:$A$504,0)),"미매핑"))</f>
        <v/>
      </c>
      <c r="X4023" s="9">
        <f>IF($A4023="","",$F4023&amp;"")</f>
        <v/>
      </c>
    </row>
    <row r="4024">
      <c r="A4024" s="75" t="n">
        <v>2026</v>
      </c>
      <c r="B4024" s="75" t="n">
        <v>9</v>
      </c>
      <c r="C4024" s="75" t="inlineStr">
        <is>
          <t>5100001680</t>
        </is>
      </c>
      <c r="D4024" s="78" t="n">
        <v>46277</v>
      </c>
      <c r="E4024" s="75" t="inlineStr">
        <is>
          <t>KR</t>
        </is>
      </c>
      <c r="F4024" s="75" t="n">
        <v>62901000</v>
      </c>
      <c r="G4024" s="75" t="n">
        <v>1201</v>
      </c>
      <c r="H4024" s="76" t="n">
        <v>-8000000</v>
      </c>
      <c r="I4024" s="75" t="inlineStr">
        <is>
          <t>K회계법인 자문료 9월 정정(역분개)</t>
        </is>
      </c>
      <c r="J4024" s="75" t="inlineStr">
        <is>
          <t>V10010</t>
        </is>
      </c>
      <c r="K4024" s="75" t="inlineStr">
        <is>
          <t>K회계법인</t>
        </is>
      </c>
      <c r="M4024" s="9">
        <f>IF($A4024="","",VALUE($A4024&amp;"")*12+VALUE($B4024&amp;""))</f>
        <v/>
      </c>
      <c r="N4024" s="39">
        <f>IF($A4024="","",IFERROR(INDEX(부서매핑!$C$5:$C$504,MATCH($G4024&amp;"",부서매핑!$A$5:$A$504,0)),"미매핑"))</f>
        <v/>
      </c>
      <c r="O4024" s="9">
        <f>IF($A4024="","",N4024&amp;"|"&amp;$F4024)</f>
        <v/>
      </c>
      <c r="P4024" s="77">
        <f>IF($A4024="",0,$H4024*설정!$C$23)</f>
        <v/>
      </c>
      <c r="Q4024" s="39">
        <f>IF($A4024="","",IF(O4024&lt;&gt;원인분석!$C$9,"",IF(AND(M4024&gt;=원인분석!$C$10,M4024&lt;=원인분석!$C$11),"당기",IF(AND(M4024&gt;=원인분석!$C$12,M4024&lt;=원인분석!$C$13),"비교",""))))</f>
        <v/>
      </c>
      <c r="R4024" s="9">
        <f>IF(Q4024="","",$K4024&amp;"")</f>
        <v/>
      </c>
      <c r="S4024" s="9">
        <f>IF(Q4024="","",IF(MATCH(R4024,$R$5:$R$100000,0)=ROW()-4,ROW(),""))</f>
        <v/>
      </c>
      <c r="T4024" s="9">
        <f>IF(Q4024="당기",ABS(P4024)+ROW()/1000000000,"")</f>
        <v/>
      </c>
      <c r="U4024" s="9">
        <f>IF(Q4024="비교",ABS(P4024)+ROW()/1000000000,"")</f>
        <v/>
      </c>
      <c r="V4024" s="39">
        <f>IF($A4024="","",IF(COUNTIF(변동분석!$E$7:$E$506,O4024)&gt;0,"Y","N"))</f>
        <v/>
      </c>
      <c r="W4024" s="39">
        <f>IF($A4024="","",IFERROR(INDEX(계정매핑!$D$5:$D$504,MATCH($F4024&amp;"",계정매핑!$A$5:$A$504,0)),"미매핑"))</f>
        <v/>
      </c>
      <c r="X4024" s="9">
        <f>IF($A4024="","",$F4024&amp;"")</f>
        <v/>
      </c>
    </row>
    <row r="4025">
      <c r="A4025" s="75" t="n">
        <v>2026</v>
      </c>
      <c r="B4025" s="75" t="n">
        <v>9</v>
      </c>
      <c r="C4025" s="75" t="inlineStr">
        <is>
          <t>5100001681</t>
        </is>
      </c>
      <c r="D4025" s="78" t="n">
        <v>46277</v>
      </c>
      <c r="E4025" s="75" t="inlineStr">
        <is>
          <t>KR</t>
        </is>
      </c>
      <c r="F4025" s="75" t="n">
        <v>62901000</v>
      </c>
      <c r="G4025" s="75" t="n">
        <v>1201</v>
      </c>
      <c r="H4025" s="76" t="n">
        <v>8500000</v>
      </c>
      <c r="I4025" s="75" t="inlineStr">
        <is>
          <t>K회계법인 자문료 9월 (정정분)</t>
        </is>
      </c>
      <c r="J4025" s="75" t="inlineStr">
        <is>
          <t>V10010</t>
        </is>
      </c>
      <c r="K4025" s="75" t="inlineStr">
        <is>
          <t>K회계법인</t>
        </is>
      </c>
      <c r="M4025" s="9">
        <f>IF($A4025="","",VALUE($A4025&amp;"")*12+VALUE($B4025&amp;""))</f>
        <v/>
      </c>
      <c r="N4025" s="39">
        <f>IF($A4025="","",IFERROR(INDEX(부서매핑!$C$5:$C$504,MATCH($G4025&amp;"",부서매핑!$A$5:$A$504,0)),"미매핑"))</f>
        <v/>
      </c>
      <c r="O4025" s="9">
        <f>IF($A4025="","",N4025&amp;"|"&amp;$F4025)</f>
        <v/>
      </c>
      <c r="P4025" s="77">
        <f>IF($A4025="",0,$H4025*설정!$C$23)</f>
        <v/>
      </c>
      <c r="Q4025" s="39">
        <f>IF($A4025="","",IF(O4025&lt;&gt;원인분석!$C$9,"",IF(AND(M4025&gt;=원인분석!$C$10,M4025&lt;=원인분석!$C$11),"당기",IF(AND(M4025&gt;=원인분석!$C$12,M4025&lt;=원인분석!$C$13),"비교",""))))</f>
        <v/>
      </c>
      <c r="R4025" s="9">
        <f>IF(Q4025="","",$K4025&amp;"")</f>
        <v/>
      </c>
      <c r="S4025" s="9">
        <f>IF(Q4025="","",IF(MATCH(R4025,$R$5:$R$100000,0)=ROW()-4,ROW(),""))</f>
        <v/>
      </c>
      <c r="T4025" s="9">
        <f>IF(Q4025="당기",ABS(P4025)+ROW()/1000000000,"")</f>
        <v/>
      </c>
      <c r="U4025" s="9">
        <f>IF(Q4025="비교",ABS(P4025)+ROW()/1000000000,"")</f>
        <v/>
      </c>
      <c r="V4025" s="39">
        <f>IF($A4025="","",IF(COUNTIF(변동분석!$E$7:$E$506,O4025)&gt;0,"Y","N"))</f>
        <v/>
      </c>
      <c r="W4025" s="39">
        <f>IF($A4025="","",IFERROR(INDEX(계정매핑!$D$5:$D$504,MATCH($F4025&amp;"",계정매핑!$A$5:$A$504,0)),"미매핑"))</f>
        <v/>
      </c>
      <c r="X4025" s="9">
        <f>IF($A4025="","",$F4025&amp;"")</f>
        <v/>
      </c>
    </row>
    <row r="4026">
      <c r="A4026" s="75" t="n">
        <v>2026</v>
      </c>
      <c r="B4026" s="75" t="n">
        <v>9</v>
      </c>
      <c r="C4026" s="75" t="inlineStr">
        <is>
          <t>5100001682</t>
        </is>
      </c>
      <c r="D4026" s="78" t="n">
        <v>46277</v>
      </c>
      <c r="E4026" s="75" t="inlineStr">
        <is>
          <t>KR</t>
        </is>
      </c>
      <c r="F4026" s="75" t="n">
        <v>62902000</v>
      </c>
      <c r="G4026" s="75" t="n">
        <v>1801</v>
      </c>
      <c r="H4026" s="76" t="n">
        <v>1763000</v>
      </c>
      <c r="I4026" s="75" t="inlineStr">
        <is>
          <t>9월 콜 위탁 수수료(건별)</t>
        </is>
      </c>
      <c r="J4026" s="75" t="inlineStr">
        <is>
          <t>V10013</t>
        </is>
      </c>
      <c r="K4026" s="75" t="inlineStr">
        <is>
          <t>J콜센터</t>
        </is>
      </c>
      <c r="M4026" s="9">
        <f>IF($A4026="","",VALUE($A4026&amp;"")*12+VALUE($B4026&amp;""))</f>
        <v/>
      </c>
      <c r="N4026" s="39">
        <f>IF($A4026="","",IFERROR(INDEX(부서매핑!$C$5:$C$504,MATCH($G4026&amp;"",부서매핑!$A$5:$A$504,0)),"미매핑"))</f>
        <v/>
      </c>
      <c r="O4026" s="9">
        <f>IF($A4026="","",N4026&amp;"|"&amp;$F4026)</f>
        <v/>
      </c>
      <c r="P4026" s="77">
        <f>IF($A4026="",0,$H4026*설정!$C$23)</f>
        <v/>
      </c>
      <c r="Q4026" s="39">
        <f>IF($A4026="","",IF(O4026&lt;&gt;원인분석!$C$9,"",IF(AND(M4026&gt;=원인분석!$C$10,M4026&lt;=원인분석!$C$11),"당기",IF(AND(M4026&gt;=원인분석!$C$12,M4026&lt;=원인분석!$C$13),"비교",""))))</f>
        <v/>
      </c>
      <c r="R4026" s="9">
        <f>IF(Q4026="","",$K4026&amp;"")</f>
        <v/>
      </c>
      <c r="S4026" s="9">
        <f>IF(Q4026="","",IF(MATCH(R4026,$R$5:$R$100000,0)=ROW()-4,ROW(),""))</f>
        <v/>
      </c>
      <c r="T4026" s="9">
        <f>IF(Q4026="당기",ABS(P4026)+ROW()/1000000000,"")</f>
        <v/>
      </c>
      <c r="U4026" s="9">
        <f>IF(Q4026="비교",ABS(P4026)+ROW()/1000000000,"")</f>
        <v/>
      </c>
      <c r="V4026" s="39">
        <f>IF($A4026="","",IF(COUNTIF(변동분석!$E$7:$E$506,O4026)&gt;0,"Y","N"))</f>
        <v/>
      </c>
      <c r="W4026" s="39">
        <f>IF($A4026="","",IFERROR(INDEX(계정매핑!$D$5:$D$504,MATCH($F4026&amp;"",계정매핑!$A$5:$A$504,0)),"미매핑"))</f>
        <v/>
      </c>
      <c r="X4026" s="9">
        <f>IF($A4026="","",$F4026&amp;"")</f>
        <v/>
      </c>
    </row>
    <row r="4027">
      <c r="A4027" s="75" t="n">
        <v>2026</v>
      </c>
      <c r="B4027" s="75" t="n">
        <v>9</v>
      </c>
      <c r="C4027" s="75" t="inlineStr">
        <is>
          <t>5100001683</t>
        </is>
      </c>
      <c r="D4027" s="78" t="n">
        <v>46278</v>
      </c>
      <c r="E4027" s="75" t="inlineStr">
        <is>
          <t>KR</t>
        </is>
      </c>
      <c r="F4027" s="75" t="n">
        <v>62101000</v>
      </c>
      <c r="G4027" s="75" t="n">
        <v>1101</v>
      </c>
      <c r="H4027" s="76" t="n">
        <v>469000</v>
      </c>
      <c r="I4027" s="75" t="inlineStr">
        <is>
          <t>9월 국내출장 - (법인카드)</t>
        </is>
      </c>
      <c r="J4027" s="75" t="inlineStr">
        <is>
          <t>V10008</t>
        </is>
      </c>
      <c r="K4027" s="75" t="inlineStr">
        <is>
          <t>(법인카드)</t>
        </is>
      </c>
      <c r="M4027" s="9">
        <f>IF($A4027="","",VALUE($A4027&amp;"")*12+VALUE($B4027&amp;""))</f>
        <v/>
      </c>
      <c r="N4027" s="39">
        <f>IF($A4027="","",IFERROR(INDEX(부서매핑!$C$5:$C$504,MATCH($G4027&amp;"",부서매핑!$A$5:$A$504,0)),"미매핑"))</f>
        <v/>
      </c>
      <c r="O4027" s="9">
        <f>IF($A4027="","",N4027&amp;"|"&amp;$F4027)</f>
        <v/>
      </c>
      <c r="P4027" s="77">
        <f>IF($A4027="",0,$H4027*설정!$C$23)</f>
        <v/>
      </c>
      <c r="Q4027" s="39">
        <f>IF($A4027="","",IF(O4027&lt;&gt;원인분석!$C$9,"",IF(AND(M4027&gt;=원인분석!$C$10,M4027&lt;=원인분석!$C$11),"당기",IF(AND(M4027&gt;=원인분석!$C$12,M4027&lt;=원인분석!$C$13),"비교",""))))</f>
        <v/>
      </c>
      <c r="R4027" s="9">
        <f>IF(Q4027="","",$K4027&amp;"")</f>
        <v/>
      </c>
      <c r="S4027" s="9">
        <f>IF(Q4027="","",IF(MATCH(R4027,$R$5:$R$100000,0)=ROW()-4,ROW(),""))</f>
        <v/>
      </c>
      <c r="T4027" s="9">
        <f>IF(Q4027="당기",ABS(P4027)+ROW()/1000000000,"")</f>
        <v/>
      </c>
      <c r="U4027" s="9">
        <f>IF(Q4027="비교",ABS(P4027)+ROW()/1000000000,"")</f>
        <v/>
      </c>
      <c r="V4027" s="39">
        <f>IF($A4027="","",IF(COUNTIF(변동분석!$E$7:$E$506,O4027)&gt;0,"Y","N"))</f>
        <v/>
      </c>
      <c r="W4027" s="39">
        <f>IF($A4027="","",IFERROR(INDEX(계정매핑!$D$5:$D$504,MATCH($F4027&amp;"",계정매핑!$A$5:$A$504,0)),"미매핑"))</f>
        <v/>
      </c>
      <c r="X4027" s="9">
        <f>IF($A4027="","",$F4027&amp;"")</f>
        <v/>
      </c>
    </row>
    <row r="4028">
      <c r="A4028" s="75" t="n">
        <v>2026</v>
      </c>
      <c r="B4028" s="75" t="n">
        <v>9</v>
      </c>
      <c r="C4028" s="75" t="inlineStr">
        <is>
          <t>5100001684</t>
        </is>
      </c>
      <c r="D4028" s="78" t="n">
        <v>46278</v>
      </c>
      <c r="E4028" s="75" t="inlineStr">
        <is>
          <t>KR</t>
        </is>
      </c>
      <c r="F4028" s="75" t="n">
        <v>62101000</v>
      </c>
      <c r="G4028" s="75" t="n">
        <v>1801</v>
      </c>
      <c r="H4028" s="76" t="n">
        <v>104000</v>
      </c>
      <c r="I4028" s="75" t="inlineStr">
        <is>
          <t>9월 국내출장 - (법인카드)</t>
        </is>
      </c>
      <c r="J4028" s="75" t="inlineStr">
        <is>
          <t>V10008</t>
        </is>
      </c>
      <c r="K4028" s="75" t="inlineStr">
        <is>
          <t>(법인카드)</t>
        </is>
      </c>
      <c r="M4028" s="9">
        <f>IF($A4028="","",VALUE($A4028&amp;"")*12+VALUE($B4028&amp;""))</f>
        <v/>
      </c>
      <c r="N4028" s="39">
        <f>IF($A4028="","",IFERROR(INDEX(부서매핑!$C$5:$C$504,MATCH($G4028&amp;"",부서매핑!$A$5:$A$504,0)),"미매핑"))</f>
        <v/>
      </c>
      <c r="O4028" s="9">
        <f>IF($A4028="","",N4028&amp;"|"&amp;$F4028)</f>
        <v/>
      </c>
      <c r="P4028" s="77">
        <f>IF($A4028="",0,$H4028*설정!$C$23)</f>
        <v/>
      </c>
      <c r="Q4028" s="39">
        <f>IF($A4028="","",IF(O4028&lt;&gt;원인분석!$C$9,"",IF(AND(M4028&gt;=원인분석!$C$10,M4028&lt;=원인분석!$C$11),"당기",IF(AND(M4028&gt;=원인분석!$C$12,M4028&lt;=원인분석!$C$13),"비교",""))))</f>
        <v/>
      </c>
      <c r="R4028" s="9">
        <f>IF(Q4028="","",$K4028&amp;"")</f>
        <v/>
      </c>
      <c r="S4028" s="9">
        <f>IF(Q4028="","",IF(MATCH(R4028,$R$5:$R$100000,0)=ROW()-4,ROW(),""))</f>
        <v/>
      </c>
      <c r="T4028" s="9">
        <f>IF(Q4028="당기",ABS(P4028)+ROW()/1000000000,"")</f>
        <v/>
      </c>
      <c r="U4028" s="9">
        <f>IF(Q4028="비교",ABS(P4028)+ROW()/1000000000,"")</f>
        <v/>
      </c>
      <c r="V4028" s="39">
        <f>IF($A4028="","",IF(COUNTIF(변동분석!$E$7:$E$506,O4028)&gt;0,"Y","N"))</f>
        <v/>
      </c>
      <c r="W4028" s="39">
        <f>IF($A4028="","",IFERROR(INDEX(계정매핑!$D$5:$D$504,MATCH($F4028&amp;"",계정매핑!$A$5:$A$504,0)),"미매핑"))</f>
        <v/>
      </c>
      <c r="X4028" s="9">
        <f>IF($A4028="","",$F4028&amp;"")</f>
        <v/>
      </c>
    </row>
    <row r="4029">
      <c r="A4029" s="75" t="n">
        <v>2026</v>
      </c>
      <c r="B4029" s="75" t="n">
        <v>9</v>
      </c>
      <c r="C4029" s="75" t="inlineStr">
        <is>
          <t>5100001685</t>
        </is>
      </c>
      <c r="D4029" s="78" t="n">
        <v>46278</v>
      </c>
      <c r="E4029" s="75" t="inlineStr">
        <is>
          <t>KR</t>
        </is>
      </c>
      <c r="F4029" s="75" t="n">
        <v>62201000</v>
      </c>
      <c r="G4029" s="75" t="n">
        <v>1201</v>
      </c>
      <c r="H4029" s="76" t="n">
        <v>162000</v>
      </c>
      <c r="I4029" s="75" t="inlineStr">
        <is>
          <t>9월 통신요금 - O텔레콤</t>
        </is>
      </c>
      <c r="J4029" s="75" t="inlineStr">
        <is>
          <t>V10002</t>
        </is>
      </c>
      <c r="K4029" s="75" t="inlineStr">
        <is>
          <t>O텔레콤</t>
        </is>
      </c>
      <c r="M4029" s="9">
        <f>IF($A4029="","",VALUE($A4029&amp;"")*12+VALUE($B4029&amp;""))</f>
        <v/>
      </c>
      <c r="N4029" s="39">
        <f>IF($A4029="","",IFERROR(INDEX(부서매핑!$C$5:$C$504,MATCH($G4029&amp;"",부서매핑!$A$5:$A$504,0)),"미매핑"))</f>
        <v/>
      </c>
      <c r="O4029" s="9">
        <f>IF($A4029="","",N4029&amp;"|"&amp;$F4029)</f>
        <v/>
      </c>
      <c r="P4029" s="77">
        <f>IF($A4029="",0,$H4029*설정!$C$23)</f>
        <v/>
      </c>
      <c r="Q4029" s="39">
        <f>IF($A4029="","",IF(O4029&lt;&gt;원인분석!$C$9,"",IF(AND(M4029&gt;=원인분석!$C$10,M4029&lt;=원인분석!$C$11),"당기",IF(AND(M4029&gt;=원인분석!$C$12,M4029&lt;=원인분석!$C$13),"비교",""))))</f>
        <v/>
      </c>
      <c r="R4029" s="9">
        <f>IF(Q4029="","",$K4029&amp;"")</f>
        <v/>
      </c>
      <c r="S4029" s="9">
        <f>IF(Q4029="","",IF(MATCH(R4029,$R$5:$R$100000,0)=ROW()-4,ROW(),""))</f>
        <v/>
      </c>
      <c r="T4029" s="9">
        <f>IF(Q4029="당기",ABS(P4029)+ROW()/1000000000,"")</f>
        <v/>
      </c>
      <c r="U4029" s="9">
        <f>IF(Q4029="비교",ABS(P4029)+ROW()/1000000000,"")</f>
        <v/>
      </c>
      <c r="V4029" s="39">
        <f>IF($A4029="","",IF(COUNTIF(변동분석!$E$7:$E$506,O4029)&gt;0,"Y","N"))</f>
        <v/>
      </c>
      <c r="W4029" s="39">
        <f>IF($A4029="","",IFERROR(INDEX(계정매핑!$D$5:$D$504,MATCH($F4029&amp;"",계정매핑!$A$5:$A$504,0)),"미매핑"))</f>
        <v/>
      </c>
      <c r="X4029" s="9">
        <f>IF($A4029="","",$F4029&amp;"")</f>
        <v/>
      </c>
    </row>
    <row r="4030">
      <c r="A4030" s="75" t="n">
        <v>2026</v>
      </c>
      <c r="B4030" s="75" t="n">
        <v>9</v>
      </c>
      <c r="C4030" s="75" t="inlineStr">
        <is>
          <t>5100001686</t>
        </is>
      </c>
      <c r="D4030" s="78" t="n">
        <v>46278</v>
      </c>
      <c r="E4030" s="75" t="inlineStr">
        <is>
          <t>KR</t>
        </is>
      </c>
      <c r="F4030" s="75" t="n">
        <v>62201000</v>
      </c>
      <c r="G4030" s="75" t="n">
        <v>1301</v>
      </c>
      <c r="H4030" s="76" t="n">
        <v>182000</v>
      </c>
      <c r="I4030" s="75" t="inlineStr">
        <is>
          <t>9월 통신요금 - O텔레콤</t>
        </is>
      </c>
      <c r="J4030" s="75" t="inlineStr">
        <is>
          <t>V10002</t>
        </is>
      </c>
      <c r="K4030" s="75" t="inlineStr">
        <is>
          <t>O텔레콤</t>
        </is>
      </c>
      <c r="M4030" s="9">
        <f>IF($A4030="","",VALUE($A4030&amp;"")*12+VALUE($B4030&amp;""))</f>
        <v/>
      </c>
      <c r="N4030" s="39">
        <f>IF($A4030="","",IFERROR(INDEX(부서매핑!$C$5:$C$504,MATCH($G4030&amp;"",부서매핑!$A$5:$A$504,0)),"미매핑"))</f>
        <v/>
      </c>
      <c r="O4030" s="9">
        <f>IF($A4030="","",N4030&amp;"|"&amp;$F4030)</f>
        <v/>
      </c>
      <c r="P4030" s="77">
        <f>IF($A4030="",0,$H4030*설정!$C$23)</f>
        <v/>
      </c>
      <c r="Q4030" s="39">
        <f>IF($A4030="","",IF(O4030&lt;&gt;원인분석!$C$9,"",IF(AND(M4030&gt;=원인분석!$C$10,M4030&lt;=원인분석!$C$11),"당기",IF(AND(M4030&gt;=원인분석!$C$12,M4030&lt;=원인분석!$C$13),"비교",""))))</f>
        <v/>
      </c>
      <c r="R4030" s="9">
        <f>IF(Q4030="","",$K4030&amp;"")</f>
        <v/>
      </c>
      <c r="S4030" s="9">
        <f>IF(Q4030="","",IF(MATCH(R4030,$R$5:$R$100000,0)=ROW()-4,ROW(),""))</f>
        <v/>
      </c>
      <c r="T4030" s="9">
        <f>IF(Q4030="당기",ABS(P4030)+ROW()/1000000000,"")</f>
        <v/>
      </c>
      <c r="U4030" s="9">
        <f>IF(Q4030="비교",ABS(P4030)+ROW()/1000000000,"")</f>
        <v/>
      </c>
      <c r="V4030" s="39">
        <f>IF($A4030="","",IF(COUNTIF(변동분석!$E$7:$E$506,O4030)&gt;0,"Y","N"))</f>
        <v/>
      </c>
      <c r="W4030" s="39">
        <f>IF($A4030="","",IFERROR(INDEX(계정매핑!$D$5:$D$504,MATCH($F4030&amp;"",계정매핑!$A$5:$A$504,0)),"미매핑"))</f>
        <v/>
      </c>
      <c r="X4030" s="9">
        <f>IF($A4030="","",$F4030&amp;"")</f>
        <v/>
      </c>
    </row>
    <row r="4031">
      <c r="A4031" s="75" t="n">
        <v>2026</v>
      </c>
      <c r="B4031" s="75" t="n">
        <v>9</v>
      </c>
      <c r="C4031" s="75" t="inlineStr">
        <is>
          <t>5100001687</t>
        </is>
      </c>
      <c r="D4031" s="78" t="n">
        <v>46278</v>
      </c>
      <c r="E4031" s="75" t="inlineStr">
        <is>
          <t>KR</t>
        </is>
      </c>
      <c r="F4031" s="75" t="n">
        <v>62301000</v>
      </c>
      <c r="G4031" s="75" t="n">
        <v>1201</v>
      </c>
      <c r="H4031" s="76" t="n">
        <v>133000</v>
      </c>
      <c r="I4031" s="75" t="inlineStr">
        <is>
          <t>9월 소모품 구입 - Q오피스</t>
        </is>
      </c>
      <c r="J4031" s="75" t="inlineStr">
        <is>
          <t>V10003</t>
        </is>
      </c>
      <c r="K4031" s="75" t="inlineStr">
        <is>
          <t>Q오피스</t>
        </is>
      </c>
      <c r="M4031" s="9">
        <f>IF($A4031="","",VALUE($A4031&amp;"")*12+VALUE($B4031&amp;""))</f>
        <v/>
      </c>
      <c r="N4031" s="39">
        <f>IF($A4031="","",IFERROR(INDEX(부서매핑!$C$5:$C$504,MATCH($G4031&amp;"",부서매핑!$A$5:$A$504,0)),"미매핑"))</f>
        <v/>
      </c>
      <c r="O4031" s="9">
        <f>IF($A4031="","",N4031&amp;"|"&amp;$F4031)</f>
        <v/>
      </c>
      <c r="P4031" s="77">
        <f>IF($A4031="",0,$H4031*설정!$C$23)</f>
        <v/>
      </c>
      <c r="Q4031" s="39">
        <f>IF($A4031="","",IF(O4031&lt;&gt;원인분석!$C$9,"",IF(AND(M4031&gt;=원인분석!$C$10,M4031&lt;=원인분석!$C$11),"당기",IF(AND(M4031&gt;=원인분석!$C$12,M4031&lt;=원인분석!$C$13),"비교",""))))</f>
        <v/>
      </c>
      <c r="R4031" s="9">
        <f>IF(Q4031="","",$K4031&amp;"")</f>
        <v/>
      </c>
      <c r="S4031" s="9">
        <f>IF(Q4031="","",IF(MATCH(R4031,$R$5:$R$100000,0)=ROW()-4,ROW(),""))</f>
        <v/>
      </c>
      <c r="T4031" s="9">
        <f>IF(Q4031="당기",ABS(P4031)+ROW()/1000000000,"")</f>
        <v/>
      </c>
      <c r="U4031" s="9">
        <f>IF(Q4031="비교",ABS(P4031)+ROW()/1000000000,"")</f>
        <v/>
      </c>
      <c r="V4031" s="39">
        <f>IF($A4031="","",IF(COUNTIF(변동분석!$E$7:$E$506,O4031)&gt;0,"Y","N"))</f>
        <v/>
      </c>
      <c r="W4031" s="39">
        <f>IF($A4031="","",IFERROR(INDEX(계정매핑!$D$5:$D$504,MATCH($F4031&amp;"",계정매핑!$A$5:$A$504,0)),"미매핑"))</f>
        <v/>
      </c>
      <c r="X4031" s="9">
        <f>IF($A4031="","",$F4031&amp;"")</f>
        <v/>
      </c>
    </row>
    <row r="4032">
      <c r="A4032" s="75" t="n">
        <v>2026</v>
      </c>
      <c r="B4032" s="75" t="n">
        <v>9</v>
      </c>
      <c r="C4032" s="75" t="inlineStr">
        <is>
          <t>5100001688</t>
        </is>
      </c>
      <c r="D4032" s="78" t="n">
        <v>46278</v>
      </c>
      <c r="E4032" s="75" t="inlineStr">
        <is>
          <t>KR</t>
        </is>
      </c>
      <c r="F4032" s="75" t="n">
        <v>62401000</v>
      </c>
      <c r="G4032" s="75" t="n">
        <v>1502</v>
      </c>
      <c r="H4032" s="76" t="n">
        <v>2259000</v>
      </c>
      <c r="I4032" s="75" t="inlineStr">
        <is>
          <t>9월 인쇄물 제작 - G인쇄</t>
        </is>
      </c>
      <c r="J4032" s="75" t="inlineStr">
        <is>
          <t>V10004</t>
        </is>
      </c>
      <c r="K4032" s="75" t="inlineStr">
        <is>
          <t>G인쇄</t>
        </is>
      </c>
      <c r="M4032" s="9">
        <f>IF($A4032="","",VALUE($A4032&amp;"")*12+VALUE($B4032&amp;""))</f>
        <v/>
      </c>
      <c r="N4032" s="39">
        <f>IF($A4032="","",IFERROR(INDEX(부서매핑!$C$5:$C$504,MATCH($G4032&amp;"",부서매핑!$A$5:$A$504,0)),"미매핑"))</f>
        <v/>
      </c>
      <c r="O4032" s="9">
        <f>IF($A4032="","",N4032&amp;"|"&amp;$F4032)</f>
        <v/>
      </c>
      <c r="P4032" s="77">
        <f>IF($A4032="",0,$H4032*설정!$C$23)</f>
        <v/>
      </c>
      <c r="Q4032" s="39">
        <f>IF($A4032="","",IF(O4032&lt;&gt;원인분석!$C$9,"",IF(AND(M4032&gt;=원인분석!$C$10,M4032&lt;=원인분석!$C$11),"당기",IF(AND(M4032&gt;=원인분석!$C$12,M4032&lt;=원인분석!$C$13),"비교",""))))</f>
        <v/>
      </c>
      <c r="R4032" s="9">
        <f>IF(Q4032="","",$K4032&amp;"")</f>
        <v/>
      </c>
      <c r="S4032" s="9">
        <f>IF(Q4032="","",IF(MATCH(R4032,$R$5:$R$100000,0)=ROW()-4,ROW(),""))</f>
        <v/>
      </c>
      <c r="T4032" s="9">
        <f>IF(Q4032="당기",ABS(P4032)+ROW()/1000000000,"")</f>
        <v/>
      </c>
      <c r="U4032" s="9">
        <f>IF(Q4032="비교",ABS(P4032)+ROW()/1000000000,"")</f>
        <v/>
      </c>
      <c r="V4032" s="39">
        <f>IF($A4032="","",IF(COUNTIF(변동분석!$E$7:$E$506,O4032)&gt;0,"Y","N"))</f>
        <v/>
      </c>
      <c r="W4032" s="39">
        <f>IF($A4032="","",IFERROR(INDEX(계정매핑!$D$5:$D$504,MATCH($F4032&amp;"",계정매핑!$A$5:$A$504,0)),"미매핑"))</f>
        <v/>
      </c>
      <c r="X4032" s="9">
        <f>IF($A4032="","",$F4032&amp;"")</f>
        <v/>
      </c>
    </row>
    <row r="4033">
      <c r="A4033" s="75" t="n">
        <v>2026</v>
      </c>
      <c r="B4033" s="75" t="n">
        <v>9</v>
      </c>
      <c r="C4033" s="75" t="inlineStr">
        <is>
          <t>5100001689</t>
        </is>
      </c>
      <c r="D4033" s="78" t="n">
        <v>46278</v>
      </c>
      <c r="E4033" s="75" t="inlineStr">
        <is>
          <t>KR</t>
        </is>
      </c>
      <c r="F4033" s="75" t="n">
        <v>62501000</v>
      </c>
      <c r="G4033" s="75" t="n">
        <v>1601</v>
      </c>
      <c r="H4033" s="76" t="n">
        <v>241000</v>
      </c>
      <c r="I4033" s="75" t="inlineStr">
        <is>
          <t>9월 회의 다과 - T케이터링</t>
        </is>
      </c>
      <c r="J4033" s="75" t="inlineStr">
        <is>
          <t>V10005</t>
        </is>
      </c>
      <c r="K4033" s="75" t="inlineStr">
        <is>
          <t>T케이터링</t>
        </is>
      </c>
      <c r="M4033" s="9">
        <f>IF($A4033="","",VALUE($A4033&amp;"")*12+VALUE($B4033&amp;""))</f>
        <v/>
      </c>
      <c r="N4033" s="39">
        <f>IF($A4033="","",IFERROR(INDEX(부서매핑!$C$5:$C$504,MATCH($G4033&amp;"",부서매핑!$A$5:$A$504,0)),"미매핑"))</f>
        <v/>
      </c>
      <c r="O4033" s="9">
        <f>IF($A4033="","",N4033&amp;"|"&amp;$F4033)</f>
        <v/>
      </c>
      <c r="P4033" s="77">
        <f>IF($A4033="",0,$H4033*설정!$C$23)</f>
        <v/>
      </c>
      <c r="Q4033" s="39">
        <f>IF($A4033="","",IF(O4033&lt;&gt;원인분석!$C$9,"",IF(AND(M4033&gt;=원인분석!$C$10,M4033&lt;=원인분석!$C$11),"당기",IF(AND(M4033&gt;=원인분석!$C$12,M4033&lt;=원인분석!$C$13),"비교",""))))</f>
        <v/>
      </c>
      <c r="R4033" s="9">
        <f>IF(Q4033="","",$K4033&amp;"")</f>
        <v/>
      </c>
      <c r="S4033" s="9">
        <f>IF(Q4033="","",IF(MATCH(R4033,$R$5:$R$100000,0)=ROW()-4,ROW(),""))</f>
        <v/>
      </c>
      <c r="T4033" s="9">
        <f>IF(Q4033="당기",ABS(P4033)+ROW()/1000000000,"")</f>
        <v/>
      </c>
      <c r="U4033" s="9">
        <f>IF(Q4033="비교",ABS(P4033)+ROW()/1000000000,"")</f>
        <v/>
      </c>
      <c r="V4033" s="39">
        <f>IF($A4033="","",IF(COUNTIF(변동분석!$E$7:$E$506,O4033)&gt;0,"Y","N"))</f>
        <v/>
      </c>
      <c r="W4033" s="39">
        <f>IF($A4033="","",IFERROR(INDEX(계정매핑!$D$5:$D$504,MATCH($F4033&amp;"",계정매핑!$A$5:$A$504,0)),"미매핑"))</f>
        <v/>
      </c>
      <c r="X4033" s="9">
        <f>IF($A4033="","",$F4033&amp;"")</f>
        <v/>
      </c>
    </row>
    <row r="4034">
      <c r="A4034" s="75" t="n">
        <v>2026</v>
      </c>
      <c r="B4034" s="75" t="n">
        <v>9</v>
      </c>
      <c r="C4034" s="75" t="inlineStr">
        <is>
          <t>5100001690</t>
        </is>
      </c>
      <c r="D4034" s="78" t="n">
        <v>46278</v>
      </c>
      <c r="E4034" s="75" t="inlineStr">
        <is>
          <t>KR</t>
        </is>
      </c>
      <c r="F4034" s="75" t="n">
        <v>62902000</v>
      </c>
      <c r="G4034" s="75" t="n">
        <v>1801</v>
      </c>
      <c r="H4034" s="76" t="n">
        <v>1851000</v>
      </c>
      <c r="I4034" s="75" t="inlineStr">
        <is>
          <t>9월 콜 위탁 수수료(건별)</t>
        </is>
      </c>
      <c r="J4034" s="75" t="inlineStr">
        <is>
          <t>V10013</t>
        </is>
      </c>
      <c r="K4034" s="75" t="inlineStr">
        <is>
          <t>J콜센터</t>
        </is>
      </c>
      <c r="M4034" s="9">
        <f>IF($A4034="","",VALUE($A4034&amp;"")*12+VALUE($B4034&amp;""))</f>
        <v/>
      </c>
      <c r="N4034" s="39">
        <f>IF($A4034="","",IFERROR(INDEX(부서매핑!$C$5:$C$504,MATCH($G4034&amp;"",부서매핑!$A$5:$A$504,0)),"미매핑"))</f>
        <v/>
      </c>
      <c r="O4034" s="9">
        <f>IF($A4034="","",N4034&amp;"|"&amp;$F4034)</f>
        <v/>
      </c>
      <c r="P4034" s="77">
        <f>IF($A4034="",0,$H4034*설정!$C$23)</f>
        <v/>
      </c>
      <c r="Q4034" s="39">
        <f>IF($A4034="","",IF(O4034&lt;&gt;원인분석!$C$9,"",IF(AND(M4034&gt;=원인분석!$C$10,M4034&lt;=원인분석!$C$11),"당기",IF(AND(M4034&gt;=원인분석!$C$12,M4034&lt;=원인분석!$C$13),"비교",""))))</f>
        <v/>
      </c>
      <c r="R4034" s="9">
        <f>IF(Q4034="","",$K4034&amp;"")</f>
        <v/>
      </c>
      <c r="S4034" s="9">
        <f>IF(Q4034="","",IF(MATCH(R4034,$R$5:$R$100000,0)=ROW()-4,ROW(),""))</f>
        <v/>
      </c>
      <c r="T4034" s="9">
        <f>IF(Q4034="당기",ABS(P4034)+ROW()/1000000000,"")</f>
        <v/>
      </c>
      <c r="U4034" s="9">
        <f>IF(Q4034="비교",ABS(P4034)+ROW()/1000000000,"")</f>
        <v/>
      </c>
      <c r="V4034" s="39">
        <f>IF($A4034="","",IF(COUNTIF(변동분석!$E$7:$E$506,O4034)&gt;0,"Y","N"))</f>
        <v/>
      </c>
      <c r="W4034" s="39">
        <f>IF($A4034="","",IFERROR(INDEX(계정매핑!$D$5:$D$504,MATCH($F4034&amp;"",계정매핑!$A$5:$A$504,0)),"미매핑"))</f>
        <v/>
      </c>
      <c r="X4034" s="9">
        <f>IF($A4034="","",$F4034&amp;"")</f>
        <v/>
      </c>
    </row>
    <row r="4035">
      <c r="A4035" s="75" t="n">
        <v>2026</v>
      </c>
      <c r="B4035" s="75" t="n">
        <v>9</v>
      </c>
      <c r="C4035" s="75" t="inlineStr">
        <is>
          <t>5100001691</t>
        </is>
      </c>
      <c r="D4035" s="78" t="n">
        <v>46279</v>
      </c>
      <c r="E4035" s="75" t="inlineStr">
        <is>
          <t>KR</t>
        </is>
      </c>
      <c r="F4035" s="75" t="n">
        <v>62201000</v>
      </c>
      <c r="G4035" s="75" t="n">
        <v>1201</v>
      </c>
      <c r="H4035" s="76" t="n">
        <v>188000</v>
      </c>
      <c r="I4035" s="75" t="inlineStr">
        <is>
          <t>9월 통신요금 - O텔레콤</t>
        </is>
      </c>
      <c r="J4035" s="75" t="inlineStr">
        <is>
          <t>V10002</t>
        </is>
      </c>
      <c r="K4035" s="75" t="inlineStr">
        <is>
          <t>O텔레콤</t>
        </is>
      </c>
      <c r="M4035" s="9">
        <f>IF($A4035="","",VALUE($A4035&amp;"")*12+VALUE($B4035&amp;""))</f>
        <v/>
      </c>
      <c r="N4035" s="39">
        <f>IF($A4035="","",IFERROR(INDEX(부서매핑!$C$5:$C$504,MATCH($G4035&amp;"",부서매핑!$A$5:$A$504,0)),"미매핑"))</f>
        <v/>
      </c>
      <c r="O4035" s="9">
        <f>IF($A4035="","",N4035&amp;"|"&amp;$F4035)</f>
        <v/>
      </c>
      <c r="P4035" s="77">
        <f>IF($A4035="",0,$H4035*설정!$C$23)</f>
        <v/>
      </c>
      <c r="Q4035" s="39">
        <f>IF($A4035="","",IF(O4035&lt;&gt;원인분석!$C$9,"",IF(AND(M4035&gt;=원인분석!$C$10,M4035&lt;=원인분석!$C$11),"당기",IF(AND(M4035&gt;=원인분석!$C$12,M4035&lt;=원인분석!$C$13),"비교",""))))</f>
        <v/>
      </c>
      <c r="R4035" s="9">
        <f>IF(Q4035="","",$K4035&amp;"")</f>
        <v/>
      </c>
      <c r="S4035" s="9">
        <f>IF(Q4035="","",IF(MATCH(R4035,$R$5:$R$100000,0)=ROW()-4,ROW(),""))</f>
        <v/>
      </c>
      <c r="T4035" s="9">
        <f>IF(Q4035="당기",ABS(P4035)+ROW()/1000000000,"")</f>
        <v/>
      </c>
      <c r="U4035" s="9">
        <f>IF(Q4035="비교",ABS(P4035)+ROW()/1000000000,"")</f>
        <v/>
      </c>
      <c r="V4035" s="39">
        <f>IF($A4035="","",IF(COUNTIF(변동분석!$E$7:$E$506,O4035)&gt;0,"Y","N"))</f>
        <v/>
      </c>
      <c r="W4035" s="39">
        <f>IF($A4035="","",IFERROR(INDEX(계정매핑!$D$5:$D$504,MATCH($F4035&amp;"",계정매핑!$A$5:$A$504,0)),"미매핑"))</f>
        <v/>
      </c>
      <c r="X4035" s="9">
        <f>IF($A4035="","",$F4035&amp;"")</f>
        <v/>
      </c>
    </row>
    <row r="4036">
      <c r="A4036" s="75" t="n">
        <v>2026</v>
      </c>
      <c r="B4036" s="75" t="n">
        <v>9</v>
      </c>
      <c r="C4036" s="75" t="inlineStr">
        <is>
          <t>5100001692</t>
        </is>
      </c>
      <c r="D4036" s="78" t="n">
        <v>46279</v>
      </c>
      <c r="E4036" s="75" t="inlineStr">
        <is>
          <t>KR</t>
        </is>
      </c>
      <c r="F4036" s="75" t="n">
        <v>62301000</v>
      </c>
      <c r="G4036" s="75" t="n">
        <v>1201</v>
      </c>
      <c r="H4036" s="76" t="n">
        <v>130000</v>
      </c>
      <c r="I4036" s="75" t="inlineStr">
        <is>
          <t>9월 소모품 구입 - R문구</t>
        </is>
      </c>
      <c r="J4036" s="75" t="inlineStr">
        <is>
          <t>V10018</t>
        </is>
      </c>
      <c r="K4036" s="75" t="inlineStr">
        <is>
          <t>R문구</t>
        </is>
      </c>
      <c r="M4036" s="9">
        <f>IF($A4036="","",VALUE($A4036&amp;"")*12+VALUE($B4036&amp;""))</f>
        <v/>
      </c>
      <c r="N4036" s="39">
        <f>IF($A4036="","",IFERROR(INDEX(부서매핑!$C$5:$C$504,MATCH($G4036&amp;"",부서매핑!$A$5:$A$504,0)),"미매핑"))</f>
        <v/>
      </c>
      <c r="O4036" s="9">
        <f>IF($A4036="","",N4036&amp;"|"&amp;$F4036)</f>
        <v/>
      </c>
      <c r="P4036" s="77">
        <f>IF($A4036="",0,$H4036*설정!$C$23)</f>
        <v/>
      </c>
      <c r="Q4036" s="39">
        <f>IF($A4036="","",IF(O4036&lt;&gt;원인분석!$C$9,"",IF(AND(M4036&gt;=원인분석!$C$10,M4036&lt;=원인분석!$C$11),"당기",IF(AND(M4036&gt;=원인분석!$C$12,M4036&lt;=원인분석!$C$13),"비교",""))))</f>
        <v/>
      </c>
      <c r="R4036" s="9">
        <f>IF(Q4036="","",$K4036&amp;"")</f>
        <v/>
      </c>
      <c r="S4036" s="9">
        <f>IF(Q4036="","",IF(MATCH(R4036,$R$5:$R$100000,0)=ROW()-4,ROW(),""))</f>
        <v/>
      </c>
      <c r="T4036" s="9">
        <f>IF(Q4036="당기",ABS(P4036)+ROW()/1000000000,"")</f>
        <v/>
      </c>
      <c r="U4036" s="9">
        <f>IF(Q4036="비교",ABS(P4036)+ROW()/1000000000,"")</f>
        <v/>
      </c>
      <c r="V4036" s="39">
        <f>IF($A4036="","",IF(COUNTIF(변동분석!$E$7:$E$506,O4036)&gt;0,"Y","N"))</f>
        <v/>
      </c>
      <c r="W4036" s="39">
        <f>IF($A4036="","",IFERROR(INDEX(계정매핑!$D$5:$D$504,MATCH($F4036&amp;"",계정매핑!$A$5:$A$504,0)),"미매핑"))</f>
        <v/>
      </c>
      <c r="X4036" s="9">
        <f>IF($A4036="","",$F4036&amp;"")</f>
        <v/>
      </c>
    </row>
    <row r="4037">
      <c r="A4037" s="75" t="n">
        <v>2026</v>
      </c>
      <c r="B4037" s="75" t="n">
        <v>9</v>
      </c>
      <c r="C4037" s="75" t="inlineStr">
        <is>
          <t>5100001693</t>
        </is>
      </c>
      <c r="D4037" s="78" t="n">
        <v>46279</v>
      </c>
      <c r="E4037" s="75" t="inlineStr">
        <is>
          <t>KR</t>
        </is>
      </c>
      <c r="F4037" s="75" t="n">
        <v>62301000</v>
      </c>
      <c r="G4037" s="75" t="n">
        <v>1701</v>
      </c>
      <c r="H4037" s="76" t="n">
        <v>436000</v>
      </c>
      <c r="I4037" s="75" t="inlineStr">
        <is>
          <t>9월 소모품 구입 - Q오피스</t>
        </is>
      </c>
      <c r="J4037" s="75" t="inlineStr">
        <is>
          <t>V10003</t>
        </is>
      </c>
      <c r="K4037" s="75" t="inlineStr">
        <is>
          <t>Q오피스</t>
        </is>
      </c>
      <c r="M4037" s="9">
        <f>IF($A4037="","",VALUE($A4037&amp;"")*12+VALUE($B4037&amp;""))</f>
        <v/>
      </c>
      <c r="N4037" s="39">
        <f>IF($A4037="","",IFERROR(INDEX(부서매핑!$C$5:$C$504,MATCH($G4037&amp;"",부서매핑!$A$5:$A$504,0)),"미매핑"))</f>
        <v/>
      </c>
      <c r="O4037" s="9">
        <f>IF($A4037="","",N4037&amp;"|"&amp;$F4037)</f>
        <v/>
      </c>
      <c r="P4037" s="77">
        <f>IF($A4037="",0,$H4037*설정!$C$23)</f>
        <v/>
      </c>
      <c r="Q4037" s="39">
        <f>IF($A4037="","",IF(O4037&lt;&gt;원인분석!$C$9,"",IF(AND(M4037&gt;=원인분석!$C$10,M4037&lt;=원인분석!$C$11),"당기",IF(AND(M4037&gt;=원인분석!$C$12,M4037&lt;=원인분석!$C$13),"비교",""))))</f>
        <v/>
      </c>
      <c r="R4037" s="9">
        <f>IF(Q4037="","",$K4037&amp;"")</f>
        <v/>
      </c>
      <c r="S4037" s="9">
        <f>IF(Q4037="","",IF(MATCH(R4037,$R$5:$R$100000,0)=ROW()-4,ROW(),""))</f>
        <v/>
      </c>
      <c r="T4037" s="9">
        <f>IF(Q4037="당기",ABS(P4037)+ROW()/1000000000,"")</f>
        <v/>
      </c>
      <c r="U4037" s="9">
        <f>IF(Q4037="비교",ABS(P4037)+ROW()/1000000000,"")</f>
        <v/>
      </c>
      <c r="V4037" s="39">
        <f>IF($A4037="","",IF(COUNTIF(변동분석!$E$7:$E$506,O4037)&gt;0,"Y","N"))</f>
        <v/>
      </c>
      <c r="W4037" s="39">
        <f>IF($A4037="","",IFERROR(INDEX(계정매핑!$D$5:$D$504,MATCH($F4037&amp;"",계정매핑!$A$5:$A$504,0)),"미매핑"))</f>
        <v/>
      </c>
      <c r="X4037" s="9">
        <f>IF($A4037="","",$F4037&amp;"")</f>
        <v/>
      </c>
    </row>
    <row r="4038">
      <c r="A4038" s="75" t="n">
        <v>2026</v>
      </c>
      <c r="B4038" s="75" t="n">
        <v>9</v>
      </c>
      <c r="C4038" s="75" t="inlineStr">
        <is>
          <t>5100001694</t>
        </is>
      </c>
      <c r="D4038" s="78" t="n">
        <v>46279</v>
      </c>
      <c r="E4038" s="75" t="inlineStr">
        <is>
          <t>KR</t>
        </is>
      </c>
      <c r="F4038" s="75" t="n">
        <v>62301000</v>
      </c>
      <c r="G4038" s="75" t="n">
        <v>1701</v>
      </c>
      <c r="H4038" s="76" t="n">
        <v>334000</v>
      </c>
      <c r="I4038" s="75" t="inlineStr">
        <is>
          <t>9월 소모품 구입 - R문구</t>
        </is>
      </c>
      <c r="J4038" s="75" t="inlineStr">
        <is>
          <t>V10018</t>
        </is>
      </c>
      <c r="K4038" s="75" t="inlineStr">
        <is>
          <t>R문구</t>
        </is>
      </c>
      <c r="M4038" s="9">
        <f>IF($A4038="","",VALUE($A4038&amp;"")*12+VALUE($B4038&amp;""))</f>
        <v/>
      </c>
      <c r="N4038" s="39">
        <f>IF($A4038="","",IFERROR(INDEX(부서매핑!$C$5:$C$504,MATCH($G4038&amp;"",부서매핑!$A$5:$A$504,0)),"미매핑"))</f>
        <v/>
      </c>
      <c r="O4038" s="9">
        <f>IF($A4038="","",N4038&amp;"|"&amp;$F4038)</f>
        <v/>
      </c>
      <c r="P4038" s="77">
        <f>IF($A4038="",0,$H4038*설정!$C$23)</f>
        <v/>
      </c>
      <c r="Q4038" s="39">
        <f>IF($A4038="","",IF(O4038&lt;&gt;원인분석!$C$9,"",IF(AND(M4038&gt;=원인분석!$C$10,M4038&lt;=원인분석!$C$11),"당기",IF(AND(M4038&gt;=원인분석!$C$12,M4038&lt;=원인분석!$C$13),"비교",""))))</f>
        <v/>
      </c>
      <c r="R4038" s="9">
        <f>IF(Q4038="","",$K4038&amp;"")</f>
        <v/>
      </c>
      <c r="S4038" s="9">
        <f>IF(Q4038="","",IF(MATCH(R4038,$R$5:$R$100000,0)=ROW()-4,ROW(),""))</f>
        <v/>
      </c>
      <c r="T4038" s="9">
        <f>IF(Q4038="당기",ABS(P4038)+ROW()/1000000000,"")</f>
        <v/>
      </c>
      <c r="U4038" s="9">
        <f>IF(Q4038="비교",ABS(P4038)+ROW()/1000000000,"")</f>
        <v/>
      </c>
      <c r="V4038" s="39">
        <f>IF($A4038="","",IF(COUNTIF(변동분석!$E$7:$E$506,O4038)&gt;0,"Y","N"))</f>
        <v/>
      </c>
      <c r="W4038" s="39">
        <f>IF($A4038="","",IFERROR(INDEX(계정매핑!$D$5:$D$504,MATCH($F4038&amp;"",계정매핑!$A$5:$A$504,0)),"미매핑"))</f>
        <v/>
      </c>
      <c r="X4038" s="9">
        <f>IF($A4038="","",$F4038&amp;"")</f>
        <v/>
      </c>
    </row>
    <row r="4039">
      <c r="A4039" s="75" t="n">
        <v>2026</v>
      </c>
      <c r="B4039" s="75" t="n">
        <v>9</v>
      </c>
      <c r="C4039" s="75" t="inlineStr">
        <is>
          <t>5100001695</t>
        </is>
      </c>
      <c r="D4039" s="78" t="n">
        <v>46279</v>
      </c>
      <c r="E4039" s="75" t="inlineStr">
        <is>
          <t>KR</t>
        </is>
      </c>
      <c r="F4039" s="75" t="n">
        <v>62701000</v>
      </c>
      <c r="G4039" s="75" t="n">
        <v>1301</v>
      </c>
      <c r="H4039" s="76" t="n">
        <v>5500000</v>
      </c>
      <c r="I4039" s="75" t="inlineStr">
        <is>
          <t>경력직 채용공고</t>
        </is>
      </c>
      <c r="J4039" s="75" t="inlineStr">
        <is>
          <t>V10029</t>
        </is>
      </c>
      <c r="K4039" s="75" t="inlineStr">
        <is>
          <t>LL채용</t>
        </is>
      </c>
      <c r="M4039" s="9">
        <f>IF($A4039="","",VALUE($A4039&amp;"")*12+VALUE($B4039&amp;""))</f>
        <v/>
      </c>
      <c r="N4039" s="39">
        <f>IF($A4039="","",IFERROR(INDEX(부서매핑!$C$5:$C$504,MATCH($G4039&amp;"",부서매핑!$A$5:$A$504,0)),"미매핑"))</f>
        <v/>
      </c>
      <c r="O4039" s="9">
        <f>IF($A4039="","",N4039&amp;"|"&amp;$F4039)</f>
        <v/>
      </c>
      <c r="P4039" s="77">
        <f>IF($A4039="",0,$H4039*설정!$C$23)</f>
        <v/>
      </c>
      <c r="Q4039" s="39">
        <f>IF($A4039="","",IF(O4039&lt;&gt;원인분석!$C$9,"",IF(AND(M4039&gt;=원인분석!$C$10,M4039&lt;=원인분석!$C$11),"당기",IF(AND(M4039&gt;=원인분석!$C$12,M4039&lt;=원인분석!$C$13),"비교",""))))</f>
        <v/>
      </c>
      <c r="R4039" s="9">
        <f>IF(Q4039="","",$K4039&amp;"")</f>
        <v/>
      </c>
      <c r="S4039" s="9">
        <f>IF(Q4039="","",IF(MATCH(R4039,$R$5:$R$100000,0)=ROW()-4,ROW(),""))</f>
        <v/>
      </c>
      <c r="T4039" s="9">
        <f>IF(Q4039="당기",ABS(P4039)+ROW()/1000000000,"")</f>
        <v/>
      </c>
      <c r="U4039" s="9">
        <f>IF(Q4039="비교",ABS(P4039)+ROW()/1000000000,"")</f>
        <v/>
      </c>
      <c r="V4039" s="39">
        <f>IF($A4039="","",IF(COUNTIF(변동분석!$E$7:$E$506,O4039)&gt;0,"Y","N"))</f>
        <v/>
      </c>
      <c r="W4039" s="39">
        <f>IF($A4039="","",IFERROR(INDEX(계정매핑!$D$5:$D$504,MATCH($F4039&amp;"",계정매핑!$A$5:$A$504,0)),"미매핑"))</f>
        <v/>
      </c>
      <c r="X4039" s="9">
        <f>IF($A4039="","",$F4039&amp;"")</f>
        <v/>
      </c>
    </row>
    <row r="4040">
      <c r="A4040" s="75" t="n">
        <v>2026</v>
      </c>
      <c r="B4040" s="75" t="n">
        <v>9</v>
      </c>
      <c r="C4040" s="75" t="inlineStr">
        <is>
          <t>5100001696</t>
        </is>
      </c>
      <c r="D4040" s="78" t="n">
        <v>46279</v>
      </c>
      <c r="E4040" s="75" t="inlineStr">
        <is>
          <t>KR</t>
        </is>
      </c>
      <c r="F4040" s="75" t="n">
        <v>62901000</v>
      </c>
      <c r="G4040" s="75" t="n">
        <v>1201</v>
      </c>
      <c r="H4040" s="76" t="n">
        <v>9225000</v>
      </c>
      <c r="I4040" s="75" t="inlineStr">
        <is>
          <t>9월 자문 수수료 - W컨설팅</t>
        </is>
      </c>
      <c r="J4040" s="75" t="inlineStr">
        <is>
          <t>V10009</t>
        </is>
      </c>
      <c r="K4040" s="75" t="inlineStr">
        <is>
          <t>W컨설팅</t>
        </is>
      </c>
      <c r="M4040" s="9">
        <f>IF($A4040="","",VALUE($A4040&amp;"")*12+VALUE($B4040&amp;""))</f>
        <v/>
      </c>
      <c r="N4040" s="39">
        <f>IF($A4040="","",IFERROR(INDEX(부서매핑!$C$5:$C$504,MATCH($G4040&amp;"",부서매핑!$A$5:$A$504,0)),"미매핑"))</f>
        <v/>
      </c>
      <c r="O4040" s="9">
        <f>IF($A4040="","",N4040&amp;"|"&amp;$F4040)</f>
        <v/>
      </c>
      <c r="P4040" s="77">
        <f>IF($A4040="",0,$H4040*설정!$C$23)</f>
        <v/>
      </c>
      <c r="Q4040" s="39">
        <f>IF($A4040="","",IF(O4040&lt;&gt;원인분석!$C$9,"",IF(AND(M4040&gt;=원인분석!$C$10,M4040&lt;=원인분석!$C$11),"당기",IF(AND(M4040&gt;=원인분석!$C$12,M4040&lt;=원인분석!$C$13),"비교",""))))</f>
        <v/>
      </c>
      <c r="R4040" s="9">
        <f>IF(Q4040="","",$K4040&amp;"")</f>
        <v/>
      </c>
      <c r="S4040" s="9">
        <f>IF(Q4040="","",IF(MATCH(R4040,$R$5:$R$100000,0)=ROW()-4,ROW(),""))</f>
        <v/>
      </c>
      <c r="T4040" s="9">
        <f>IF(Q4040="당기",ABS(P4040)+ROW()/1000000000,"")</f>
        <v/>
      </c>
      <c r="U4040" s="9">
        <f>IF(Q4040="비교",ABS(P4040)+ROW()/1000000000,"")</f>
        <v/>
      </c>
      <c r="V4040" s="39">
        <f>IF($A4040="","",IF(COUNTIF(변동분석!$E$7:$E$506,O4040)&gt;0,"Y","N"))</f>
        <v/>
      </c>
      <c r="W4040" s="39">
        <f>IF($A4040="","",IFERROR(INDEX(계정매핑!$D$5:$D$504,MATCH($F4040&amp;"",계정매핑!$A$5:$A$504,0)),"미매핑"))</f>
        <v/>
      </c>
      <c r="X4040" s="9">
        <f>IF($A4040="","",$F4040&amp;"")</f>
        <v/>
      </c>
    </row>
    <row r="4041">
      <c r="A4041" s="75" t="n">
        <v>2026</v>
      </c>
      <c r="B4041" s="75" t="n">
        <v>9</v>
      </c>
      <c r="C4041" s="75" t="inlineStr">
        <is>
          <t>5100001697</t>
        </is>
      </c>
      <c r="D4041" s="78" t="n">
        <v>46279</v>
      </c>
      <c r="E4041" s="75" t="inlineStr">
        <is>
          <t>KR</t>
        </is>
      </c>
      <c r="F4041" s="75" t="n">
        <v>62901000</v>
      </c>
      <c r="G4041" s="75" t="n">
        <v>1401</v>
      </c>
      <c r="H4041" s="76" t="n">
        <v>7096000</v>
      </c>
      <c r="I4041" s="75" t="inlineStr">
        <is>
          <t>9월 자문 수수료 - K회계법인</t>
        </is>
      </c>
      <c r="J4041" s="75" t="inlineStr">
        <is>
          <t>V10010</t>
        </is>
      </c>
      <c r="K4041" s="75" t="inlineStr">
        <is>
          <t>K회계법인</t>
        </is>
      </c>
      <c r="M4041" s="9">
        <f>IF($A4041="","",VALUE($A4041&amp;"")*12+VALUE($B4041&amp;""))</f>
        <v/>
      </c>
      <c r="N4041" s="39">
        <f>IF($A4041="","",IFERROR(INDEX(부서매핑!$C$5:$C$504,MATCH($G4041&amp;"",부서매핑!$A$5:$A$504,0)),"미매핑"))</f>
        <v/>
      </c>
      <c r="O4041" s="9">
        <f>IF($A4041="","",N4041&amp;"|"&amp;$F4041)</f>
        <v/>
      </c>
      <c r="P4041" s="77">
        <f>IF($A4041="",0,$H4041*설정!$C$23)</f>
        <v/>
      </c>
      <c r="Q4041" s="39">
        <f>IF($A4041="","",IF(O4041&lt;&gt;원인분석!$C$9,"",IF(AND(M4041&gt;=원인분석!$C$10,M4041&lt;=원인분석!$C$11),"당기",IF(AND(M4041&gt;=원인분석!$C$12,M4041&lt;=원인분석!$C$13),"비교",""))))</f>
        <v/>
      </c>
      <c r="R4041" s="9">
        <f>IF(Q4041="","",$K4041&amp;"")</f>
        <v/>
      </c>
      <c r="S4041" s="9">
        <f>IF(Q4041="","",IF(MATCH(R4041,$R$5:$R$100000,0)=ROW()-4,ROW(),""))</f>
        <v/>
      </c>
      <c r="T4041" s="9">
        <f>IF(Q4041="당기",ABS(P4041)+ROW()/1000000000,"")</f>
        <v/>
      </c>
      <c r="U4041" s="9">
        <f>IF(Q4041="비교",ABS(P4041)+ROW()/1000000000,"")</f>
        <v/>
      </c>
      <c r="V4041" s="39">
        <f>IF($A4041="","",IF(COUNTIF(변동분석!$E$7:$E$506,O4041)&gt;0,"Y","N"))</f>
        <v/>
      </c>
      <c r="W4041" s="39">
        <f>IF($A4041="","",IFERROR(INDEX(계정매핑!$D$5:$D$504,MATCH($F4041&amp;"",계정매핑!$A$5:$A$504,0)),"미매핑"))</f>
        <v/>
      </c>
      <c r="X4041" s="9">
        <f>IF($A4041="","",$F4041&amp;"")</f>
        <v/>
      </c>
    </row>
    <row r="4042">
      <c r="A4042" s="75" t="n">
        <v>2026</v>
      </c>
      <c r="B4042" s="75" t="n">
        <v>9</v>
      </c>
      <c r="C4042" s="75" t="inlineStr">
        <is>
          <t>5100001698</t>
        </is>
      </c>
      <c r="D4042" s="78" t="n">
        <v>46279</v>
      </c>
      <c r="E4042" s="75" t="inlineStr">
        <is>
          <t>KR</t>
        </is>
      </c>
      <c r="F4042" s="75" t="n">
        <v>62902000</v>
      </c>
      <c r="G4042" s="75" t="n">
        <v>1801</v>
      </c>
      <c r="H4042" s="76" t="n">
        <v>1792000</v>
      </c>
      <c r="I4042" s="75" t="inlineStr">
        <is>
          <t>9월 콜 위탁 수수료(건별)</t>
        </is>
      </c>
      <c r="J4042" s="75" t="inlineStr">
        <is>
          <t>V10013</t>
        </is>
      </c>
      <c r="K4042" s="75" t="inlineStr">
        <is>
          <t>J콜센터</t>
        </is>
      </c>
      <c r="M4042" s="9">
        <f>IF($A4042="","",VALUE($A4042&amp;"")*12+VALUE($B4042&amp;""))</f>
        <v/>
      </c>
      <c r="N4042" s="39">
        <f>IF($A4042="","",IFERROR(INDEX(부서매핑!$C$5:$C$504,MATCH($G4042&amp;"",부서매핑!$A$5:$A$504,0)),"미매핑"))</f>
        <v/>
      </c>
      <c r="O4042" s="9">
        <f>IF($A4042="","",N4042&amp;"|"&amp;$F4042)</f>
        <v/>
      </c>
      <c r="P4042" s="77">
        <f>IF($A4042="",0,$H4042*설정!$C$23)</f>
        <v/>
      </c>
      <c r="Q4042" s="39">
        <f>IF($A4042="","",IF(O4042&lt;&gt;원인분석!$C$9,"",IF(AND(M4042&gt;=원인분석!$C$10,M4042&lt;=원인분석!$C$11),"당기",IF(AND(M4042&gt;=원인분석!$C$12,M4042&lt;=원인분석!$C$13),"비교",""))))</f>
        <v/>
      </c>
      <c r="R4042" s="9">
        <f>IF(Q4042="","",$K4042&amp;"")</f>
        <v/>
      </c>
      <c r="S4042" s="9">
        <f>IF(Q4042="","",IF(MATCH(R4042,$R$5:$R$100000,0)=ROW()-4,ROW(),""))</f>
        <v/>
      </c>
      <c r="T4042" s="9">
        <f>IF(Q4042="당기",ABS(P4042)+ROW()/1000000000,"")</f>
        <v/>
      </c>
      <c r="U4042" s="9">
        <f>IF(Q4042="비교",ABS(P4042)+ROW()/1000000000,"")</f>
        <v/>
      </c>
      <c r="V4042" s="39">
        <f>IF($A4042="","",IF(COUNTIF(변동분석!$E$7:$E$506,O4042)&gt;0,"Y","N"))</f>
        <v/>
      </c>
      <c r="W4042" s="39">
        <f>IF($A4042="","",IFERROR(INDEX(계정매핑!$D$5:$D$504,MATCH($F4042&amp;"",계정매핑!$A$5:$A$504,0)),"미매핑"))</f>
        <v/>
      </c>
      <c r="X4042" s="9">
        <f>IF($A4042="","",$F4042&amp;"")</f>
        <v/>
      </c>
    </row>
    <row r="4043">
      <c r="A4043" s="75" t="n">
        <v>2026</v>
      </c>
      <c r="B4043" s="75" t="n">
        <v>9</v>
      </c>
      <c r="C4043" s="75" t="inlineStr">
        <is>
          <t>5100001699</t>
        </is>
      </c>
      <c r="D4043" s="78" t="n">
        <v>46280</v>
      </c>
      <c r="E4043" s="75" t="inlineStr">
        <is>
          <t>KR</t>
        </is>
      </c>
      <c r="F4043" s="75" t="n">
        <v>62101000</v>
      </c>
      <c r="G4043" s="75" t="n">
        <v>1401</v>
      </c>
      <c r="H4043" s="76" t="n">
        <v>191000</v>
      </c>
      <c r="I4043" s="75" t="inlineStr">
        <is>
          <t>9월 국내출장 - L여행사</t>
        </is>
      </c>
      <c r="J4043" s="75" t="inlineStr">
        <is>
          <t>V10014</t>
        </is>
      </c>
      <c r="K4043" s="75" t="inlineStr">
        <is>
          <t>L여행사</t>
        </is>
      </c>
      <c r="M4043" s="9">
        <f>IF($A4043="","",VALUE($A4043&amp;"")*12+VALUE($B4043&amp;""))</f>
        <v/>
      </c>
      <c r="N4043" s="39">
        <f>IF($A4043="","",IFERROR(INDEX(부서매핑!$C$5:$C$504,MATCH($G4043&amp;"",부서매핑!$A$5:$A$504,0)),"미매핑"))</f>
        <v/>
      </c>
      <c r="O4043" s="9">
        <f>IF($A4043="","",N4043&amp;"|"&amp;$F4043)</f>
        <v/>
      </c>
      <c r="P4043" s="77">
        <f>IF($A4043="",0,$H4043*설정!$C$23)</f>
        <v/>
      </c>
      <c r="Q4043" s="39">
        <f>IF($A4043="","",IF(O4043&lt;&gt;원인분석!$C$9,"",IF(AND(M4043&gt;=원인분석!$C$10,M4043&lt;=원인분석!$C$11),"당기",IF(AND(M4043&gt;=원인분석!$C$12,M4043&lt;=원인분석!$C$13),"비교",""))))</f>
        <v/>
      </c>
      <c r="R4043" s="9">
        <f>IF(Q4043="","",$K4043&amp;"")</f>
        <v/>
      </c>
      <c r="S4043" s="9">
        <f>IF(Q4043="","",IF(MATCH(R4043,$R$5:$R$100000,0)=ROW()-4,ROW(),""))</f>
        <v/>
      </c>
      <c r="T4043" s="9">
        <f>IF(Q4043="당기",ABS(P4043)+ROW()/1000000000,"")</f>
        <v/>
      </c>
      <c r="U4043" s="9">
        <f>IF(Q4043="비교",ABS(P4043)+ROW()/1000000000,"")</f>
        <v/>
      </c>
      <c r="V4043" s="39">
        <f>IF($A4043="","",IF(COUNTIF(변동분석!$E$7:$E$506,O4043)&gt;0,"Y","N"))</f>
        <v/>
      </c>
      <c r="W4043" s="39">
        <f>IF($A4043="","",IFERROR(INDEX(계정매핑!$D$5:$D$504,MATCH($F4043&amp;"",계정매핑!$A$5:$A$504,0)),"미매핑"))</f>
        <v/>
      </c>
      <c r="X4043" s="9">
        <f>IF($A4043="","",$F4043&amp;"")</f>
        <v/>
      </c>
    </row>
    <row r="4044">
      <c r="A4044" s="75" t="n">
        <v>2026</v>
      </c>
      <c r="B4044" s="75" t="n">
        <v>9</v>
      </c>
      <c r="C4044" s="75" t="inlineStr">
        <is>
          <t>5100001700</t>
        </is>
      </c>
      <c r="D4044" s="78" t="n">
        <v>46280</v>
      </c>
      <c r="E4044" s="75" t="inlineStr">
        <is>
          <t>KR</t>
        </is>
      </c>
      <c r="F4044" s="75" t="n">
        <v>62101000</v>
      </c>
      <c r="G4044" s="75" t="n">
        <v>1502</v>
      </c>
      <c r="H4044" s="76" t="n">
        <v>987000</v>
      </c>
      <c r="I4044" s="75" t="inlineStr">
        <is>
          <t>9월 국내출장 - (법인카드)</t>
        </is>
      </c>
      <c r="J4044" s="75" t="inlineStr">
        <is>
          <t>V10008</t>
        </is>
      </c>
      <c r="K4044" s="75" t="inlineStr">
        <is>
          <t>(법인카드)</t>
        </is>
      </c>
      <c r="M4044" s="9">
        <f>IF($A4044="","",VALUE($A4044&amp;"")*12+VALUE($B4044&amp;""))</f>
        <v/>
      </c>
      <c r="N4044" s="39">
        <f>IF($A4044="","",IFERROR(INDEX(부서매핑!$C$5:$C$504,MATCH($G4044&amp;"",부서매핑!$A$5:$A$504,0)),"미매핑"))</f>
        <v/>
      </c>
      <c r="O4044" s="9">
        <f>IF($A4044="","",N4044&amp;"|"&amp;$F4044)</f>
        <v/>
      </c>
      <c r="P4044" s="77">
        <f>IF($A4044="",0,$H4044*설정!$C$23)</f>
        <v/>
      </c>
      <c r="Q4044" s="39">
        <f>IF($A4044="","",IF(O4044&lt;&gt;원인분석!$C$9,"",IF(AND(M4044&gt;=원인분석!$C$10,M4044&lt;=원인분석!$C$11),"당기",IF(AND(M4044&gt;=원인분석!$C$12,M4044&lt;=원인분석!$C$13),"비교",""))))</f>
        <v/>
      </c>
      <c r="R4044" s="9">
        <f>IF(Q4044="","",$K4044&amp;"")</f>
        <v/>
      </c>
      <c r="S4044" s="9">
        <f>IF(Q4044="","",IF(MATCH(R4044,$R$5:$R$100000,0)=ROW()-4,ROW(),""))</f>
        <v/>
      </c>
      <c r="T4044" s="9">
        <f>IF(Q4044="당기",ABS(P4044)+ROW()/1000000000,"")</f>
        <v/>
      </c>
      <c r="U4044" s="9">
        <f>IF(Q4044="비교",ABS(P4044)+ROW()/1000000000,"")</f>
        <v/>
      </c>
      <c r="V4044" s="39">
        <f>IF($A4044="","",IF(COUNTIF(변동분석!$E$7:$E$506,O4044)&gt;0,"Y","N"))</f>
        <v/>
      </c>
      <c r="W4044" s="39">
        <f>IF($A4044="","",IFERROR(INDEX(계정매핑!$D$5:$D$504,MATCH($F4044&amp;"",계정매핑!$A$5:$A$504,0)),"미매핑"))</f>
        <v/>
      </c>
      <c r="X4044" s="9">
        <f>IF($A4044="","",$F4044&amp;"")</f>
        <v/>
      </c>
    </row>
    <row r="4045">
      <c r="A4045" s="75" t="n">
        <v>2026</v>
      </c>
      <c r="B4045" s="75" t="n">
        <v>9</v>
      </c>
      <c r="C4045" s="75" t="inlineStr">
        <is>
          <t>5100001701</t>
        </is>
      </c>
      <c r="D4045" s="78" t="n">
        <v>46280</v>
      </c>
      <c r="E4045" s="75" t="inlineStr">
        <is>
          <t>KR</t>
        </is>
      </c>
      <c r="F4045" s="75" t="n">
        <v>62101000</v>
      </c>
      <c r="G4045" s="75" t="n">
        <v>1701</v>
      </c>
      <c r="H4045" s="76" t="n">
        <v>157000</v>
      </c>
      <c r="I4045" s="75" t="inlineStr">
        <is>
          <t>9월 국내출장 - (법인카드)</t>
        </is>
      </c>
      <c r="J4045" s="75" t="inlineStr">
        <is>
          <t>V10008</t>
        </is>
      </c>
      <c r="K4045" s="75" t="inlineStr">
        <is>
          <t>(법인카드)</t>
        </is>
      </c>
      <c r="M4045" s="9">
        <f>IF($A4045="","",VALUE($A4045&amp;"")*12+VALUE($B4045&amp;""))</f>
        <v/>
      </c>
      <c r="N4045" s="39">
        <f>IF($A4045="","",IFERROR(INDEX(부서매핑!$C$5:$C$504,MATCH($G4045&amp;"",부서매핑!$A$5:$A$504,0)),"미매핑"))</f>
        <v/>
      </c>
      <c r="O4045" s="9">
        <f>IF($A4045="","",N4045&amp;"|"&amp;$F4045)</f>
        <v/>
      </c>
      <c r="P4045" s="77">
        <f>IF($A4045="",0,$H4045*설정!$C$23)</f>
        <v/>
      </c>
      <c r="Q4045" s="39">
        <f>IF($A4045="","",IF(O4045&lt;&gt;원인분석!$C$9,"",IF(AND(M4045&gt;=원인분석!$C$10,M4045&lt;=원인분석!$C$11),"당기",IF(AND(M4045&gt;=원인분석!$C$12,M4045&lt;=원인분석!$C$13),"비교",""))))</f>
        <v/>
      </c>
      <c r="R4045" s="9">
        <f>IF(Q4045="","",$K4045&amp;"")</f>
        <v/>
      </c>
      <c r="S4045" s="9">
        <f>IF(Q4045="","",IF(MATCH(R4045,$R$5:$R$100000,0)=ROW()-4,ROW(),""))</f>
        <v/>
      </c>
      <c r="T4045" s="9">
        <f>IF(Q4045="당기",ABS(P4045)+ROW()/1000000000,"")</f>
        <v/>
      </c>
      <c r="U4045" s="9">
        <f>IF(Q4045="비교",ABS(P4045)+ROW()/1000000000,"")</f>
        <v/>
      </c>
      <c r="V4045" s="39">
        <f>IF($A4045="","",IF(COUNTIF(변동분석!$E$7:$E$506,O4045)&gt;0,"Y","N"))</f>
        <v/>
      </c>
      <c r="W4045" s="39">
        <f>IF($A4045="","",IFERROR(INDEX(계정매핑!$D$5:$D$504,MATCH($F4045&amp;"",계정매핑!$A$5:$A$504,0)),"미매핑"))</f>
        <v/>
      </c>
      <c r="X4045" s="9">
        <f>IF($A4045="","",$F4045&amp;"")</f>
        <v/>
      </c>
    </row>
    <row r="4046">
      <c r="A4046" s="75" t="n">
        <v>2026</v>
      </c>
      <c r="B4046" s="75" t="n">
        <v>9</v>
      </c>
      <c r="C4046" s="75" t="inlineStr">
        <is>
          <t>5100001702</t>
        </is>
      </c>
      <c r="D4046" s="78" t="n">
        <v>46280</v>
      </c>
      <c r="E4046" s="75" t="inlineStr">
        <is>
          <t>KR</t>
        </is>
      </c>
      <c r="F4046" s="75" t="n">
        <v>62101000</v>
      </c>
      <c r="G4046" s="75" t="n">
        <v>1801</v>
      </c>
      <c r="H4046" s="76" t="n">
        <v>174000</v>
      </c>
      <c r="I4046" s="75" t="inlineStr">
        <is>
          <t>9월 국내출장 - (법인카드)</t>
        </is>
      </c>
      <c r="J4046" s="75" t="inlineStr">
        <is>
          <t>V10008</t>
        </is>
      </c>
      <c r="K4046" s="75" t="inlineStr">
        <is>
          <t>(법인카드)</t>
        </is>
      </c>
      <c r="M4046" s="9">
        <f>IF($A4046="","",VALUE($A4046&amp;"")*12+VALUE($B4046&amp;""))</f>
        <v/>
      </c>
      <c r="N4046" s="39">
        <f>IF($A4046="","",IFERROR(INDEX(부서매핑!$C$5:$C$504,MATCH($G4046&amp;"",부서매핑!$A$5:$A$504,0)),"미매핑"))</f>
        <v/>
      </c>
      <c r="O4046" s="9">
        <f>IF($A4046="","",N4046&amp;"|"&amp;$F4046)</f>
        <v/>
      </c>
      <c r="P4046" s="77">
        <f>IF($A4046="",0,$H4046*설정!$C$23)</f>
        <v/>
      </c>
      <c r="Q4046" s="39">
        <f>IF($A4046="","",IF(O4046&lt;&gt;원인분석!$C$9,"",IF(AND(M4046&gt;=원인분석!$C$10,M4046&lt;=원인분석!$C$11),"당기",IF(AND(M4046&gt;=원인분석!$C$12,M4046&lt;=원인분석!$C$13),"비교",""))))</f>
        <v/>
      </c>
      <c r="R4046" s="9">
        <f>IF(Q4046="","",$K4046&amp;"")</f>
        <v/>
      </c>
      <c r="S4046" s="9">
        <f>IF(Q4046="","",IF(MATCH(R4046,$R$5:$R$100000,0)=ROW()-4,ROW(),""))</f>
        <v/>
      </c>
      <c r="T4046" s="9">
        <f>IF(Q4046="당기",ABS(P4046)+ROW()/1000000000,"")</f>
        <v/>
      </c>
      <c r="U4046" s="9">
        <f>IF(Q4046="비교",ABS(P4046)+ROW()/1000000000,"")</f>
        <v/>
      </c>
      <c r="V4046" s="39">
        <f>IF($A4046="","",IF(COUNTIF(변동분석!$E$7:$E$506,O4046)&gt;0,"Y","N"))</f>
        <v/>
      </c>
      <c r="W4046" s="39">
        <f>IF($A4046="","",IFERROR(INDEX(계정매핑!$D$5:$D$504,MATCH($F4046&amp;"",계정매핑!$A$5:$A$504,0)),"미매핑"))</f>
        <v/>
      </c>
      <c r="X4046" s="9">
        <f>IF($A4046="","",$F4046&amp;"")</f>
        <v/>
      </c>
    </row>
    <row r="4047">
      <c r="A4047" s="75" t="n">
        <v>2026</v>
      </c>
      <c r="B4047" s="75" t="n">
        <v>9</v>
      </c>
      <c r="C4047" s="75" t="inlineStr">
        <is>
          <t>5100001703</t>
        </is>
      </c>
      <c r="D4047" s="78" t="n">
        <v>46280</v>
      </c>
      <c r="E4047" s="75" t="inlineStr">
        <is>
          <t>KR</t>
        </is>
      </c>
      <c r="F4047" s="75" t="n">
        <v>62201000</v>
      </c>
      <c r="G4047" s="75" t="n">
        <v>1401</v>
      </c>
      <c r="H4047" s="76" t="n">
        <v>150000</v>
      </c>
      <c r="I4047" s="75" t="inlineStr">
        <is>
          <t>9월 통신요금 - O텔레콤</t>
        </is>
      </c>
      <c r="J4047" s="75" t="inlineStr">
        <is>
          <t>V10002</t>
        </is>
      </c>
      <c r="K4047" s="75" t="inlineStr">
        <is>
          <t>O텔레콤</t>
        </is>
      </c>
      <c r="M4047" s="9">
        <f>IF($A4047="","",VALUE($A4047&amp;"")*12+VALUE($B4047&amp;""))</f>
        <v/>
      </c>
      <c r="N4047" s="39">
        <f>IF($A4047="","",IFERROR(INDEX(부서매핑!$C$5:$C$504,MATCH($G4047&amp;"",부서매핑!$A$5:$A$504,0)),"미매핑"))</f>
        <v/>
      </c>
      <c r="O4047" s="9">
        <f>IF($A4047="","",N4047&amp;"|"&amp;$F4047)</f>
        <v/>
      </c>
      <c r="P4047" s="77">
        <f>IF($A4047="",0,$H4047*설정!$C$23)</f>
        <v/>
      </c>
      <c r="Q4047" s="39">
        <f>IF($A4047="","",IF(O4047&lt;&gt;원인분석!$C$9,"",IF(AND(M4047&gt;=원인분석!$C$10,M4047&lt;=원인분석!$C$11),"당기",IF(AND(M4047&gt;=원인분석!$C$12,M4047&lt;=원인분석!$C$13),"비교",""))))</f>
        <v/>
      </c>
      <c r="R4047" s="9">
        <f>IF(Q4047="","",$K4047&amp;"")</f>
        <v/>
      </c>
      <c r="S4047" s="9">
        <f>IF(Q4047="","",IF(MATCH(R4047,$R$5:$R$100000,0)=ROW()-4,ROW(),""))</f>
        <v/>
      </c>
      <c r="T4047" s="9">
        <f>IF(Q4047="당기",ABS(P4047)+ROW()/1000000000,"")</f>
        <v/>
      </c>
      <c r="U4047" s="9">
        <f>IF(Q4047="비교",ABS(P4047)+ROW()/1000000000,"")</f>
        <v/>
      </c>
      <c r="V4047" s="39">
        <f>IF($A4047="","",IF(COUNTIF(변동분석!$E$7:$E$506,O4047)&gt;0,"Y","N"))</f>
        <v/>
      </c>
      <c r="W4047" s="39">
        <f>IF($A4047="","",IFERROR(INDEX(계정매핑!$D$5:$D$504,MATCH($F4047&amp;"",계정매핑!$A$5:$A$504,0)),"미매핑"))</f>
        <v/>
      </c>
      <c r="X4047" s="9">
        <f>IF($A4047="","",$F4047&amp;"")</f>
        <v/>
      </c>
    </row>
    <row r="4048">
      <c r="A4048" s="75" t="n">
        <v>2026</v>
      </c>
      <c r="B4048" s="75" t="n">
        <v>9</v>
      </c>
      <c r="C4048" s="75" t="inlineStr">
        <is>
          <t>5100001704</t>
        </is>
      </c>
      <c r="D4048" s="78" t="n">
        <v>46280</v>
      </c>
      <c r="E4048" s="75" t="inlineStr">
        <is>
          <t>KR</t>
        </is>
      </c>
      <c r="F4048" s="75" t="n">
        <v>62201000</v>
      </c>
      <c r="G4048" s="75" t="n">
        <v>1602</v>
      </c>
      <c r="H4048" s="76" t="n">
        <v>566000</v>
      </c>
      <c r="I4048" s="75" t="inlineStr">
        <is>
          <t>9월 통신요금 - P통신</t>
        </is>
      </c>
      <c r="J4048" s="75" t="inlineStr">
        <is>
          <t>V10011</t>
        </is>
      </c>
      <c r="K4048" s="75" t="inlineStr">
        <is>
          <t>P통신</t>
        </is>
      </c>
      <c r="M4048" s="9">
        <f>IF($A4048="","",VALUE($A4048&amp;"")*12+VALUE($B4048&amp;""))</f>
        <v/>
      </c>
      <c r="N4048" s="39">
        <f>IF($A4048="","",IFERROR(INDEX(부서매핑!$C$5:$C$504,MATCH($G4048&amp;"",부서매핑!$A$5:$A$504,0)),"미매핑"))</f>
        <v/>
      </c>
      <c r="O4048" s="9">
        <f>IF($A4048="","",N4048&amp;"|"&amp;$F4048)</f>
        <v/>
      </c>
      <c r="P4048" s="77">
        <f>IF($A4048="",0,$H4048*설정!$C$23)</f>
        <v/>
      </c>
      <c r="Q4048" s="39">
        <f>IF($A4048="","",IF(O4048&lt;&gt;원인분석!$C$9,"",IF(AND(M4048&gt;=원인분석!$C$10,M4048&lt;=원인분석!$C$11),"당기",IF(AND(M4048&gt;=원인분석!$C$12,M4048&lt;=원인분석!$C$13),"비교",""))))</f>
        <v/>
      </c>
      <c r="R4048" s="9">
        <f>IF(Q4048="","",$K4048&amp;"")</f>
        <v/>
      </c>
      <c r="S4048" s="9">
        <f>IF(Q4048="","",IF(MATCH(R4048,$R$5:$R$100000,0)=ROW()-4,ROW(),""))</f>
        <v/>
      </c>
      <c r="T4048" s="9">
        <f>IF(Q4048="당기",ABS(P4048)+ROW()/1000000000,"")</f>
        <v/>
      </c>
      <c r="U4048" s="9">
        <f>IF(Q4048="비교",ABS(P4048)+ROW()/1000000000,"")</f>
        <v/>
      </c>
      <c r="V4048" s="39">
        <f>IF($A4048="","",IF(COUNTIF(변동분석!$E$7:$E$506,O4048)&gt;0,"Y","N"))</f>
        <v/>
      </c>
      <c r="W4048" s="39">
        <f>IF($A4048="","",IFERROR(INDEX(계정매핑!$D$5:$D$504,MATCH($F4048&amp;"",계정매핑!$A$5:$A$504,0)),"미매핑"))</f>
        <v/>
      </c>
      <c r="X4048" s="9">
        <f>IF($A4048="","",$F4048&amp;"")</f>
        <v/>
      </c>
    </row>
    <row r="4049">
      <c r="A4049" s="75" t="n">
        <v>2026</v>
      </c>
      <c r="B4049" s="75" t="n">
        <v>9</v>
      </c>
      <c r="C4049" s="75" t="inlineStr">
        <is>
          <t>5100001705</t>
        </is>
      </c>
      <c r="D4049" s="78" t="n">
        <v>46280</v>
      </c>
      <c r="E4049" s="75" t="inlineStr">
        <is>
          <t>KR</t>
        </is>
      </c>
      <c r="F4049" s="75" t="n">
        <v>62701000</v>
      </c>
      <c r="G4049" s="75" t="n">
        <v>1501</v>
      </c>
      <c r="H4049" s="76" t="n">
        <v>32348000</v>
      </c>
      <c r="I4049" s="75" t="inlineStr">
        <is>
          <t>9월 광고 집행 - F애드</t>
        </is>
      </c>
      <c r="J4049" s="75" t="inlineStr">
        <is>
          <t>V10019</t>
        </is>
      </c>
      <c r="K4049" s="75" t="inlineStr">
        <is>
          <t>F애드</t>
        </is>
      </c>
      <c r="M4049" s="9">
        <f>IF($A4049="","",VALUE($A4049&amp;"")*12+VALUE($B4049&amp;""))</f>
        <v/>
      </c>
      <c r="N4049" s="39">
        <f>IF($A4049="","",IFERROR(INDEX(부서매핑!$C$5:$C$504,MATCH($G4049&amp;"",부서매핑!$A$5:$A$504,0)),"미매핑"))</f>
        <v/>
      </c>
      <c r="O4049" s="9">
        <f>IF($A4049="","",N4049&amp;"|"&amp;$F4049)</f>
        <v/>
      </c>
      <c r="P4049" s="77">
        <f>IF($A4049="",0,$H4049*설정!$C$23)</f>
        <v/>
      </c>
      <c r="Q4049" s="39">
        <f>IF($A4049="","",IF(O4049&lt;&gt;원인분석!$C$9,"",IF(AND(M4049&gt;=원인분석!$C$10,M4049&lt;=원인분석!$C$11),"당기",IF(AND(M4049&gt;=원인분석!$C$12,M4049&lt;=원인분석!$C$13),"비교",""))))</f>
        <v/>
      </c>
      <c r="R4049" s="9">
        <f>IF(Q4049="","",$K4049&amp;"")</f>
        <v/>
      </c>
      <c r="S4049" s="9">
        <f>IF(Q4049="","",IF(MATCH(R4049,$R$5:$R$100000,0)=ROW()-4,ROW(),""))</f>
        <v/>
      </c>
      <c r="T4049" s="9">
        <f>IF(Q4049="당기",ABS(P4049)+ROW()/1000000000,"")</f>
        <v/>
      </c>
      <c r="U4049" s="9">
        <f>IF(Q4049="비교",ABS(P4049)+ROW()/1000000000,"")</f>
        <v/>
      </c>
      <c r="V4049" s="39">
        <f>IF($A4049="","",IF(COUNTIF(변동분석!$E$7:$E$506,O4049)&gt;0,"Y","N"))</f>
        <v/>
      </c>
      <c r="W4049" s="39">
        <f>IF($A4049="","",IFERROR(INDEX(계정매핑!$D$5:$D$504,MATCH($F4049&amp;"",계정매핑!$A$5:$A$504,0)),"미매핑"))</f>
        <v/>
      </c>
      <c r="X4049" s="9">
        <f>IF($A4049="","",$F4049&amp;"")</f>
        <v/>
      </c>
    </row>
    <row r="4050">
      <c r="A4050" s="75" t="n">
        <v>2026</v>
      </c>
      <c r="B4050" s="75" t="n">
        <v>9</v>
      </c>
      <c r="C4050" s="75" t="inlineStr">
        <is>
          <t>5100001706</t>
        </is>
      </c>
      <c r="D4050" s="78" t="n">
        <v>46280</v>
      </c>
      <c r="E4050" s="75" t="inlineStr">
        <is>
          <t>KR</t>
        </is>
      </c>
      <c r="F4050" s="75" t="n">
        <v>62802000</v>
      </c>
      <c r="G4050" s="75" t="n">
        <v>1301</v>
      </c>
      <c r="H4050" s="76" t="n">
        <v>60000000</v>
      </c>
      <c r="I4050" s="75" t="inlineStr">
        <is>
          <t>2026 하반기 위탁교육 연간계약 일시 지급</t>
        </is>
      </c>
      <c r="J4050" s="75" t="inlineStr">
        <is>
          <t>V10015</t>
        </is>
      </c>
      <c r="K4050" s="75" t="inlineStr">
        <is>
          <t>I교육원</t>
        </is>
      </c>
      <c r="M4050" s="9">
        <f>IF($A4050="","",VALUE($A4050&amp;"")*12+VALUE($B4050&amp;""))</f>
        <v/>
      </c>
      <c r="N4050" s="39">
        <f>IF($A4050="","",IFERROR(INDEX(부서매핑!$C$5:$C$504,MATCH($G4050&amp;"",부서매핑!$A$5:$A$504,0)),"미매핑"))</f>
        <v/>
      </c>
      <c r="O4050" s="9">
        <f>IF($A4050="","",N4050&amp;"|"&amp;$F4050)</f>
        <v/>
      </c>
      <c r="P4050" s="77">
        <f>IF($A4050="",0,$H4050*설정!$C$23)</f>
        <v/>
      </c>
      <c r="Q4050" s="39">
        <f>IF($A4050="","",IF(O4050&lt;&gt;원인분석!$C$9,"",IF(AND(M4050&gt;=원인분석!$C$10,M4050&lt;=원인분석!$C$11),"당기",IF(AND(M4050&gt;=원인분석!$C$12,M4050&lt;=원인분석!$C$13),"비교",""))))</f>
        <v/>
      </c>
      <c r="R4050" s="9">
        <f>IF(Q4050="","",$K4050&amp;"")</f>
        <v/>
      </c>
      <c r="S4050" s="9">
        <f>IF(Q4050="","",IF(MATCH(R4050,$R$5:$R$100000,0)=ROW()-4,ROW(),""))</f>
        <v/>
      </c>
      <c r="T4050" s="9">
        <f>IF(Q4050="당기",ABS(P4050)+ROW()/1000000000,"")</f>
        <v/>
      </c>
      <c r="U4050" s="9">
        <f>IF(Q4050="비교",ABS(P4050)+ROW()/1000000000,"")</f>
        <v/>
      </c>
      <c r="V4050" s="39">
        <f>IF($A4050="","",IF(COUNTIF(변동분석!$E$7:$E$506,O4050)&gt;0,"Y","N"))</f>
        <v/>
      </c>
      <c r="W4050" s="39">
        <f>IF($A4050="","",IFERROR(INDEX(계정매핑!$D$5:$D$504,MATCH($F4050&amp;"",계정매핑!$A$5:$A$504,0)),"미매핑"))</f>
        <v/>
      </c>
      <c r="X4050" s="9">
        <f>IF($A4050="","",$F4050&amp;"")</f>
        <v/>
      </c>
    </row>
    <row r="4051">
      <c r="A4051" s="75" t="n">
        <v>2026</v>
      </c>
      <c r="B4051" s="75" t="n">
        <v>9</v>
      </c>
      <c r="C4051" s="75" t="inlineStr">
        <is>
          <t>5100001707</t>
        </is>
      </c>
      <c r="D4051" s="78" t="n">
        <v>46280</v>
      </c>
      <c r="E4051" s="75" t="inlineStr">
        <is>
          <t>KR</t>
        </is>
      </c>
      <c r="F4051" s="75" t="n">
        <v>62902000</v>
      </c>
      <c r="G4051" s="75" t="n">
        <v>1801</v>
      </c>
      <c r="H4051" s="76" t="n">
        <v>1807000</v>
      </c>
      <c r="I4051" s="75" t="inlineStr">
        <is>
          <t>9월 콜 위탁 수수료(건별)</t>
        </is>
      </c>
      <c r="J4051" s="75" t="inlineStr">
        <is>
          <t>V10013</t>
        </is>
      </c>
      <c r="K4051" s="75" t="inlineStr">
        <is>
          <t>J콜센터</t>
        </is>
      </c>
      <c r="M4051" s="9">
        <f>IF($A4051="","",VALUE($A4051&amp;"")*12+VALUE($B4051&amp;""))</f>
        <v/>
      </c>
      <c r="N4051" s="39">
        <f>IF($A4051="","",IFERROR(INDEX(부서매핑!$C$5:$C$504,MATCH($G4051&amp;"",부서매핑!$A$5:$A$504,0)),"미매핑"))</f>
        <v/>
      </c>
      <c r="O4051" s="9">
        <f>IF($A4051="","",N4051&amp;"|"&amp;$F4051)</f>
        <v/>
      </c>
      <c r="P4051" s="77">
        <f>IF($A4051="",0,$H4051*설정!$C$23)</f>
        <v/>
      </c>
      <c r="Q4051" s="39">
        <f>IF($A4051="","",IF(O4051&lt;&gt;원인분석!$C$9,"",IF(AND(M4051&gt;=원인분석!$C$10,M4051&lt;=원인분석!$C$11),"당기",IF(AND(M4051&gt;=원인분석!$C$12,M4051&lt;=원인분석!$C$13),"비교",""))))</f>
        <v/>
      </c>
      <c r="R4051" s="9">
        <f>IF(Q4051="","",$K4051&amp;"")</f>
        <v/>
      </c>
      <c r="S4051" s="9">
        <f>IF(Q4051="","",IF(MATCH(R4051,$R$5:$R$100000,0)=ROW()-4,ROW(),""))</f>
        <v/>
      </c>
      <c r="T4051" s="9">
        <f>IF(Q4051="당기",ABS(P4051)+ROW()/1000000000,"")</f>
        <v/>
      </c>
      <c r="U4051" s="9">
        <f>IF(Q4051="비교",ABS(P4051)+ROW()/1000000000,"")</f>
        <v/>
      </c>
      <c r="V4051" s="39">
        <f>IF($A4051="","",IF(COUNTIF(변동분석!$E$7:$E$506,O4051)&gt;0,"Y","N"))</f>
        <v/>
      </c>
      <c r="W4051" s="39">
        <f>IF($A4051="","",IFERROR(INDEX(계정매핑!$D$5:$D$504,MATCH($F4051&amp;"",계정매핑!$A$5:$A$504,0)),"미매핑"))</f>
        <v/>
      </c>
      <c r="X4051" s="9">
        <f>IF($A4051="","",$F4051&amp;"")</f>
        <v/>
      </c>
    </row>
    <row r="4052">
      <c r="A4052" s="75" t="n">
        <v>2026</v>
      </c>
      <c r="B4052" s="75" t="n">
        <v>9</v>
      </c>
      <c r="C4052" s="75" t="inlineStr">
        <is>
          <t>5100001708</t>
        </is>
      </c>
      <c r="D4052" s="78" t="n">
        <v>46281</v>
      </c>
      <c r="E4052" s="75" t="inlineStr">
        <is>
          <t>KR</t>
        </is>
      </c>
      <c r="F4052" s="75" t="n">
        <v>62101000</v>
      </c>
      <c r="G4052" s="75" t="n">
        <v>1401</v>
      </c>
      <c r="H4052" s="76" t="n">
        <v>371000</v>
      </c>
      <c r="I4052" s="75" t="inlineStr">
        <is>
          <t>9월 국내출장 - (법인카드)</t>
        </is>
      </c>
      <c r="J4052" s="75" t="inlineStr">
        <is>
          <t>V10008</t>
        </is>
      </c>
      <c r="K4052" s="75" t="inlineStr">
        <is>
          <t>(법인카드)</t>
        </is>
      </c>
      <c r="M4052" s="9">
        <f>IF($A4052="","",VALUE($A4052&amp;"")*12+VALUE($B4052&amp;""))</f>
        <v/>
      </c>
      <c r="N4052" s="39">
        <f>IF($A4052="","",IFERROR(INDEX(부서매핑!$C$5:$C$504,MATCH($G4052&amp;"",부서매핑!$A$5:$A$504,0)),"미매핑"))</f>
        <v/>
      </c>
      <c r="O4052" s="9">
        <f>IF($A4052="","",N4052&amp;"|"&amp;$F4052)</f>
        <v/>
      </c>
      <c r="P4052" s="77">
        <f>IF($A4052="",0,$H4052*설정!$C$23)</f>
        <v/>
      </c>
      <c r="Q4052" s="39">
        <f>IF($A4052="","",IF(O4052&lt;&gt;원인분석!$C$9,"",IF(AND(M4052&gt;=원인분석!$C$10,M4052&lt;=원인분석!$C$11),"당기",IF(AND(M4052&gt;=원인분석!$C$12,M4052&lt;=원인분석!$C$13),"비교",""))))</f>
        <v/>
      </c>
      <c r="R4052" s="9">
        <f>IF(Q4052="","",$K4052&amp;"")</f>
        <v/>
      </c>
      <c r="S4052" s="9">
        <f>IF(Q4052="","",IF(MATCH(R4052,$R$5:$R$100000,0)=ROW()-4,ROW(),""))</f>
        <v/>
      </c>
      <c r="T4052" s="9">
        <f>IF(Q4052="당기",ABS(P4052)+ROW()/1000000000,"")</f>
        <v/>
      </c>
      <c r="U4052" s="9">
        <f>IF(Q4052="비교",ABS(P4052)+ROW()/1000000000,"")</f>
        <v/>
      </c>
      <c r="V4052" s="39">
        <f>IF($A4052="","",IF(COUNTIF(변동분석!$E$7:$E$506,O4052)&gt;0,"Y","N"))</f>
        <v/>
      </c>
      <c r="W4052" s="39">
        <f>IF($A4052="","",IFERROR(INDEX(계정매핑!$D$5:$D$504,MATCH($F4052&amp;"",계정매핑!$A$5:$A$504,0)),"미매핑"))</f>
        <v/>
      </c>
      <c r="X4052" s="9">
        <f>IF($A4052="","",$F4052&amp;"")</f>
        <v/>
      </c>
    </row>
    <row r="4053">
      <c r="A4053" s="75" t="n">
        <v>2026</v>
      </c>
      <c r="B4053" s="75" t="n">
        <v>9</v>
      </c>
      <c r="C4053" s="75" t="inlineStr">
        <is>
          <t>5100001709</t>
        </is>
      </c>
      <c r="D4053" s="78" t="n">
        <v>46281</v>
      </c>
      <c r="E4053" s="75" t="inlineStr">
        <is>
          <t>KR</t>
        </is>
      </c>
      <c r="F4053" s="75" t="n">
        <v>62101000</v>
      </c>
      <c r="G4053" s="75" t="n">
        <v>1601</v>
      </c>
      <c r="H4053" s="76" t="n">
        <v>1532000</v>
      </c>
      <c r="I4053" s="75" t="inlineStr">
        <is>
          <t>9월 국내출장 - L여행사</t>
        </is>
      </c>
      <c r="J4053" s="75" t="inlineStr">
        <is>
          <t>V10014</t>
        </is>
      </c>
      <c r="K4053" s="75" t="inlineStr">
        <is>
          <t>L여행사</t>
        </is>
      </c>
      <c r="M4053" s="9">
        <f>IF($A4053="","",VALUE($A4053&amp;"")*12+VALUE($B4053&amp;""))</f>
        <v/>
      </c>
      <c r="N4053" s="39">
        <f>IF($A4053="","",IFERROR(INDEX(부서매핑!$C$5:$C$504,MATCH($G4053&amp;"",부서매핑!$A$5:$A$504,0)),"미매핑"))</f>
        <v/>
      </c>
      <c r="O4053" s="9">
        <f>IF($A4053="","",N4053&amp;"|"&amp;$F4053)</f>
        <v/>
      </c>
      <c r="P4053" s="77">
        <f>IF($A4053="",0,$H4053*설정!$C$23)</f>
        <v/>
      </c>
      <c r="Q4053" s="39">
        <f>IF($A4053="","",IF(O4053&lt;&gt;원인분석!$C$9,"",IF(AND(M4053&gt;=원인분석!$C$10,M4053&lt;=원인분석!$C$11),"당기",IF(AND(M4053&gt;=원인분석!$C$12,M4053&lt;=원인분석!$C$13),"비교",""))))</f>
        <v/>
      </c>
      <c r="R4053" s="9">
        <f>IF(Q4053="","",$K4053&amp;"")</f>
        <v/>
      </c>
      <c r="S4053" s="9">
        <f>IF(Q4053="","",IF(MATCH(R4053,$R$5:$R$100000,0)=ROW()-4,ROW(),""))</f>
        <v/>
      </c>
      <c r="T4053" s="9">
        <f>IF(Q4053="당기",ABS(P4053)+ROW()/1000000000,"")</f>
        <v/>
      </c>
      <c r="U4053" s="9">
        <f>IF(Q4053="비교",ABS(P4053)+ROW()/1000000000,"")</f>
        <v/>
      </c>
      <c r="V4053" s="39">
        <f>IF($A4053="","",IF(COUNTIF(변동분석!$E$7:$E$506,O4053)&gt;0,"Y","N"))</f>
        <v/>
      </c>
      <c r="W4053" s="39">
        <f>IF($A4053="","",IFERROR(INDEX(계정매핑!$D$5:$D$504,MATCH($F4053&amp;"",계정매핑!$A$5:$A$504,0)),"미매핑"))</f>
        <v/>
      </c>
      <c r="X4053" s="9">
        <f>IF($A4053="","",$F4053&amp;"")</f>
        <v/>
      </c>
    </row>
    <row r="4054">
      <c r="A4054" s="75" t="n">
        <v>2026</v>
      </c>
      <c r="B4054" s="75" t="n">
        <v>9</v>
      </c>
      <c r="C4054" s="75" t="inlineStr">
        <is>
          <t>5100001710</t>
        </is>
      </c>
      <c r="D4054" s="78" t="n">
        <v>46281</v>
      </c>
      <c r="E4054" s="75" t="inlineStr">
        <is>
          <t>KR</t>
        </is>
      </c>
      <c r="F4054" s="75" t="n">
        <v>62501000</v>
      </c>
      <c r="G4054" s="75" t="n">
        <v>1101</v>
      </c>
      <c r="H4054" s="76" t="n">
        <v>438000</v>
      </c>
      <c r="I4054" s="75" t="inlineStr">
        <is>
          <t>9월 회의 다과 - T케이터링</t>
        </is>
      </c>
      <c r="J4054" s="75" t="inlineStr">
        <is>
          <t>V10005</t>
        </is>
      </c>
      <c r="K4054" s="75" t="inlineStr">
        <is>
          <t>T케이터링</t>
        </is>
      </c>
      <c r="M4054" s="9">
        <f>IF($A4054="","",VALUE($A4054&amp;"")*12+VALUE($B4054&amp;""))</f>
        <v/>
      </c>
      <c r="N4054" s="39">
        <f>IF($A4054="","",IFERROR(INDEX(부서매핑!$C$5:$C$504,MATCH($G4054&amp;"",부서매핑!$A$5:$A$504,0)),"미매핑"))</f>
        <v/>
      </c>
      <c r="O4054" s="9">
        <f>IF($A4054="","",N4054&amp;"|"&amp;$F4054)</f>
        <v/>
      </c>
      <c r="P4054" s="77">
        <f>IF($A4054="",0,$H4054*설정!$C$23)</f>
        <v/>
      </c>
      <c r="Q4054" s="39">
        <f>IF($A4054="","",IF(O4054&lt;&gt;원인분석!$C$9,"",IF(AND(M4054&gt;=원인분석!$C$10,M4054&lt;=원인분석!$C$11),"당기",IF(AND(M4054&gt;=원인분석!$C$12,M4054&lt;=원인분석!$C$13),"비교",""))))</f>
        <v/>
      </c>
      <c r="R4054" s="9">
        <f>IF(Q4054="","",$K4054&amp;"")</f>
        <v/>
      </c>
      <c r="S4054" s="9">
        <f>IF(Q4054="","",IF(MATCH(R4054,$R$5:$R$100000,0)=ROW()-4,ROW(),""))</f>
        <v/>
      </c>
      <c r="T4054" s="9">
        <f>IF(Q4054="당기",ABS(P4054)+ROW()/1000000000,"")</f>
        <v/>
      </c>
      <c r="U4054" s="9">
        <f>IF(Q4054="비교",ABS(P4054)+ROW()/1000000000,"")</f>
        <v/>
      </c>
      <c r="V4054" s="39">
        <f>IF($A4054="","",IF(COUNTIF(변동분석!$E$7:$E$506,O4054)&gt;0,"Y","N"))</f>
        <v/>
      </c>
      <c r="W4054" s="39">
        <f>IF($A4054="","",IFERROR(INDEX(계정매핑!$D$5:$D$504,MATCH($F4054&amp;"",계정매핑!$A$5:$A$504,0)),"미매핑"))</f>
        <v/>
      </c>
      <c r="X4054" s="9">
        <f>IF($A4054="","",$F4054&amp;"")</f>
        <v/>
      </c>
    </row>
    <row r="4055">
      <c r="A4055" s="75" t="n">
        <v>2026</v>
      </c>
      <c r="B4055" s="75" t="n">
        <v>9</v>
      </c>
      <c r="C4055" s="75" t="inlineStr">
        <is>
          <t>5100001711</t>
        </is>
      </c>
      <c r="D4055" s="78" t="n">
        <v>46281</v>
      </c>
      <c r="E4055" s="75" t="inlineStr">
        <is>
          <t>KR</t>
        </is>
      </c>
      <c r="F4055" s="75" t="n">
        <v>62601000</v>
      </c>
      <c r="G4055" s="75" t="n">
        <v>1301</v>
      </c>
      <c r="H4055" s="76" t="n">
        <v>813000</v>
      </c>
      <c r="I4055" s="75" t="inlineStr">
        <is>
          <t>9월 업무추진 - (법인카드)</t>
        </is>
      </c>
      <c r="J4055" s="75" t="inlineStr">
        <is>
          <t>V10008</t>
        </is>
      </c>
      <c r="K4055" s="75" t="inlineStr">
        <is>
          <t>(법인카드)</t>
        </is>
      </c>
      <c r="M4055" s="9">
        <f>IF($A4055="","",VALUE($A4055&amp;"")*12+VALUE($B4055&amp;""))</f>
        <v/>
      </c>
      <c r="N4055" s="39">
        <f>IF($A4055="","",IFERROR(INDEX(부서매핑!$C$5:$C$504,MATCH($G4055&amp;"",부서매핑!$A$5:$A$504,0)),"미매핑"))</f>
        <v/>
      </c>
      <c r="O4055" s="9">
        <f>IF($A4055="","",N4055&amp;"|"&amp;$F4055)</f>
        <v/>
      </c>
      <c r="P4055" s="77">
        <f>IF($A4055="",0,$H4055*설정!$C$23)</f>
        <v/>
      </c>
      <c r="Q4055" s="39">
        <f>IF($A4055="","",IF(O4055&lt;&gt;원인분석!$C$9,"",IF(AND(M4055&gt;=원인분석!$C$10,M4055&lt;=원인분석!$C$11),"당기",IF(AND(M4055&gt;=원인분석!$C$12,M4055&lt;=원인분석!$C$13),"비교",""))))</f>
        <v/>
      </c>
      <c r="R4055" s="9">
        <f>IF(Q4055="","",$K4055&amp;"")</f>
        <v/>
      </c>
      <c r="S4055" s="9">
        <f>IF(Q4055="","",IF(MATCH(R4055,$R$5:$R$100000,0)=ROW()-4,ROW(),""))</f>
        <v/>
      </c>
      <c r="T4055" s="9">
        <f>IF(Q4055="당기",ABS(P4055)+ROW()/1000000000,"")</f>
        <v/>
      </c>
      <c r="U4055" s="9">
        <f>IF(Q4055="비교",ABS(P4055)+ROW()/1000000000,"")</f>
        <v/>
      </c>
      <c r="V4055" s="39">
        <f>IF($A4055="","",IF(COUNTIF(변동분석!$E$7:$E$506,O4055)&gt;0,"Y","N"))</f>
        <v/>
      </c>
      <c r="W4055" s="39">
        <f>IF($A4055="","",IFERROR(INDEX(계정매핑!$D$5:$D$504,MATCH($F4055&amp;"",계정매핑!$A$5:$A$504,0)),"미매핑"))</f>
        <v/>
      </c>
      <c r="X4055" s="9">
        <f>IF($A4055="","",$F4055&amp;"")</f>
        <v/>
      </c>
    </row>
    <row r="4056">
      <c r="A4056" s="75" t="n">
        <v>2026</v>
      </c>
      <c r="B4056" s="75" t="n">
        <v>9</v>
      </c>
      <c r="C4056" s="75" t="inlineStr">
        <is>
          <t>5100001712</t>
        </is>
      </c>
      <c r="D4056" s="78" t="n">
        <v>46281</v>
      </c>
      <c r="E4056" s="75" t="inlineStr">
        <is>
          <t>KR</t>
        </is>
      </c>
      <c r="F4056" s="75" t="n">
        <v>62902000</v>
      </c>
      <c r="G4056" s="75" t="n">
        <v>1201</v>
      </c>
      <c r="H4056" s="76" t="n">
        <v>3324000</v>
      </c>
      <c r="I4056" s="75" t="inlineStr">
        <is>
          <t>9월 업무 위탁 수수료 - J콜센터</t>
        </is>
      </c>
      <c r="J4056" s="75" t="inlineStr">
        <is>
          <t>V10013</t>
        </is>
      </c>
      <c r="K4056" s="75" t="inlineStr">
        <is>
          <t>J콜센터</t>
        </is>
      </c>
      <c r="M4056" s="9">
        <f>IF($A4056="","",VALUE($A4056&amp;"")*12+VALUE($B4056&amp;""))</f>
        <v/>
      </c>
      <c r="N4056" s="39">
        <f>IF($A4056="","",IFERROR(INDEX(부서매핑!$C$5:$C$504,MATCH($G4056&amp;"",부서매핑!$A$5:$A$504,0)),"미매핑"))</f>
        <v/>
      </c>
      <c r="O4056" s="9">
        <f>IF($A4056="","",N4056&amp;"|"&amp;$F4056)</f>
        <v/>
      </c>
      <c r="P4056" s="77">
        <f>IF($A4056="",0,$H4056*설정!$C$23)</f>
        <v/>
      </c>
      <c r="Q4056" s="39">
        <f>IF($A4056="","",IF(O4056&lt;&gt;원인분석!$C$9,"",IF(AND(M4056&gt;=원인분석!$C$10,M4056&lt;=원인분석!$C$11),"당기",IF(AND(M4056&gt;=원인분석!$C$12,M4056&lt;=원인분석!$C$13),"비교",""))))</f>
        <v/>
      </c>
      <c r="R4056" s="9">
        <f>IF(Q4056="","",$K4056&amp;"")</f>
        <v/>
      </c>
      <c r="S4056" s="9">
        <f>IF(Q4056="","",IF(MATCH(R4056,$R$5:$R$100000,0)=ROW()-4,ROW(),""))</f>
        <v/>
      </c>
      <c r="T4056" s="9">
        <f>IF(Q4056="당기",ABS(P4056)+ROW()/1000000000,"")</f>
        <v/>
      </c>
      <c r="U4056" s="9">
        <f>IF(Q4056="비교",ABS(P4056)+ROW()/1000000000,"")</f>
        <v/>
      </c>
      <c r="V4056" s="39">
        <f>IF($A4056="","",IF(COUNTIF(변동분석!$E$7:$E$506,O4056)&gt;0,"Y","N"))</f>
        <v/>
      </c>
      <c r="W4056" s="39">
        <f>IF($A4056="","",IFERROR(INDEX(계정매핑!$D$5:$D$504,MATCH($F4056&amp;"",계정매핑!$A$5:$A$504,0)),"미매핑"))</f>
        <v/>
      </c>
      <c r="X4056" s="9">
        <f>IF($A4056="","",$F4056&amp;"")</f>
        <v/>
      </c>
    </row>
    <row r="4057">
      <c r="A4057" s="75" t="n">
        <v>2026</v>
      </c>
      <c r="B4057" s="75" t="n">
        <v>9</v>
      </c>
      <c r="C4057" s="75" t="inlineStr">
        <is>
          <t>5100001713</t>
        </is>
      </c>
      <c r="D4057" s="78" t="n">
        <v>46281</v>
      </c>
      <c r="E4057" s="75" t="inlineStr">
        <is>
          <t>KR</t>
        </is>
      </c>
      <c r="F4057" s="75" t="n">
        <v>62902000</v>
      </c>
      <c r="G4057" s="75" t="n">
        <v>1401</v>
      </c>
      <c r="H4057" s="76" t="n">
        <v>1876000</v>
      </c>
      <c r="I4057" s="75" t="inlineStr">
        <is>
          <t>9월 업무 위탁 수수료 - J콜센터</t>
        </is>
      </c>
      <c r="J4057" s="75" t="inlineStr">
        <is>
          <t>V10013</t>
        </is>
      </c>
      <c r="K4057" s="75" t="inlineStr">
        <is>
          <t>J콜센터</t>
        </is>
      </c>
      <c r="M4057" s="9">
        <f>IF($A4057="","",VALUE($A4057&amp;"")*12+VALUE($B4057&amp;""))</f>
        <v/>
      </c>
      <c r="N4057" s="39">
        <f>IF($A4057="","",IFERROR(INDEX(부서매핑!$C$5:$C$504,MATCH($G4057&amp;"",부서매핑!$A$5:$A$504,0)),"미매핑"))</f>
        <v/>
      </c>
      <c r="O4057" s="9">
        <f>IF($A4057="","",N4057&amp;"|"&amp;$F4057)</f>
        <v/>
      </c>
      <c r="P4057" s="77">
        <f>IF($A4057="",0,$H4057*설정!$C$23)</f>
        <v/>
      </c>
      <c r="Q4057" s="39">
        <f>IF($A4057="","",IF(O4057&lt;&gt;원인분석!$C$9,"",IF(AND(M4057&gt;=원인분석!$C$10,M4057&lt;=원인분석!$C$11),"당기",IF(AND(M4057&gt;=원인분석!$C$12,M4057&lt;=원인분석!$C$13),"비교",""))))</f>
        <v/>
      </c>
      <c r="R4057" s="9">
        <f>IF(Q4057="","",$K4057&amp;"")</f>
        <v/>
      </c>
      <c r="S4057" s="9">
        <f>IF(Q4057="","",IF(MATCH(R4057,$R$5:$R$100000,0)=ROW()-4,ROW(),""))</f>
        <v/>
      </c>
      <c r="T4057" s="9">
        <f>IF(Q4057="당기",ABS(P4057)+ROW()/1000000000,"")</f>
        <v/>
      </c>
      <c r="U4057" s="9">
        <f>IF(Q4057="비교",ABS(P4057)+ROW()/1000000000,"")</f>
        <v/>
      </c>
      <c r="V4057" s="39">
        <f>IF($A4057="","",IF(COUNTIF(변동분석!$E$7:$E$506,O4057)&gt;0,"Y","N"))</f>
        <v/>
      </c>
      <c r="W4057" s="39">
        <f>IF($A4057="","",IFERROR(INDEX(계정매핑!$D$5:$D$504,MATCH($F4057&amp;"",계정매핑!$A$5:$A$504,0)),"미매핑"))</f>
        <v/>
      </c>
      <c r="X4057" s="9">
        <f>IF($A4057="","",$F4057&amp;"")</f>
        <v/>
      </c>
    </row>
    <row r="4058">
      <c r="A4058" s="75" t="n">
        <v>2026</v>
      </c>
      <c r="B4058" s="75" t="n">
        <v>9</v>
      </c>
      <c r="C4058" s="75" t="inlineStr">
        <is>
          <t>5100001714</t>
        </is>
      </c>
      <c r="D4058" s="78" t="n">
        <v>46281</v>
      </c>
      <c r="E4058" s="75" t="inlineStr">
        <is>
          <t>KR</t>
        </is>
      </c>
      <c r="F4058" s="75" t="n">
        <v>62902000</v>
      </c>
      <c r="G4058" s="75" t="n">
        <v>1801</v>
      </c>
      <c r="H4058" s="76" t="n">
        <v>1787000</v>
      </c>
      <c r="I4058" s="75" t="inlineStr">
        <is>
          <t>9월 콜 위탁 수수료(건별)</t>
        </is>
      </c>
      <c r="J4058" s="75" t="inlineStr">
        <is>
          <t>V10013</t>
        </is>
      </c>
      <c r="K4058" s="75" t="inlineStr">
        <is>
          <t>J콜센터</t>
        </is>
      </c>
      <c r="M4058" s="9">
        <f>IF($A4058="","",VALUE($A4058&amp;"")*12+VALUE($B4058&amp;""))</f>
        <v/>
      </c>
      <c r="N4058" s="39">
        <f>IF($A4058="","",IFERROR(INDEX(부서매핑!$C$5:$C$504,MATCH($G4058&amp;"",부서매핑!$A$5:$A$504,0)),"미매핑"))</f>
        <v/>
      </c>
      <c r="O4058" s="9">
        <f>IF($A4058="","",N4058&amp;"|"&amp;$F4058)</f>
        <v/>
      </c>
      <c r="P4058" s="77">
        <f>IF($A4058="",0,$H4058*설정!$C$23)</f>
        <v/>
      </c>
      <c r="Q4058" s="39">
        <f>IF($A4058="","",IF(O4058&lt;&gt;원인분석!$C$9,"",IF(AND(M4058&gt;=원인분석!$C$10,M4058&lt;=원인분석!$C$11),"당기",IF(AND(M4058&gt;=원인분석!$C$12,M4058&lt;=원인분석!$C$13),"비교",""))))</f>
        <v/>
      </c>
      <c r="R4058" s="9">
        <f>IF(Q4058="","",$K4058&amp;"")</f>
        <v/>
      </c>
      <c r="S4058" s="9">
        <f>IF(Q4058="","",IF(MATCH(R4058,$R$5:$R$100000,0)=ROW()-4,ROW(),""))</f>
        <v/>
      </c>
      <c r="T4058" s="9">
        <f>IF(Q4058="당기",ABS(P4058)+ROW()/1000000000,"")</f>
        <v/>
      </c>
      <c r="U4058" s="9">
        <f>IF(Q4058="비교",ABS(P4058)+ROW()/1000000000,"")</f>
        <v/>
      </c>
      <c r="V4058" s="39">
        <f>IF($A4058="","",IF(COUNTIF(변동분석!$E$7:$E$506,O4058)&gt;0,"Y","N"))</f>
        <v/>
      </c>
      <c r="W4058" s="39">
        <f>IF($A4058="","",IFERROR(INDEX(계정매핑!$D$5:$D$504,MATCH($F4058&amp;"",계정매핑!$A$5:$A$504,0)),"미매핑"))</f>
        <v/>
      </c>
      <c r="X4058" s="9">
        <f>IF($A4058="","",$F4058&amp;"")</f>
        <v/>
      </c>
    </row>
    <row r="4059">
      <c r="A4059" s="75" t="n">
        <v>2026</v>
      </c>
      <c r="B4059" s="75" t="n">
        <v>9</v>
      </c>
      <c r="C4059" s="75" t="inlineStr">
        <is>
          <t>5100001715</t>
        </is>
      </c>
      <c r="D4059" s="78" t="n">
        <v>46281</v>
      </c>
      <c r="E4059" s="75" t="inlineStr">
        <is>
          <t>KR</t>
        </is>
      </c>
      <c r="F4059" s="75" t="n">
        <v>63201000</v>
      </c>
      <c r="G4059" s="75" t="n">
        <v>1602</v>
      </c>
      <c r="H4059" s="76" t="n">
        <v>1915000</v>
      </c>
      <c r="I4059" s="75" t="inlineStr">
        <is>
          <t>9월 차량 유지 - H에너지</t>
        </is>
      </c>
      <c r="J4059" s="75" t="inlineStr">
        <is>
          <t>V10025</t>
        </is>
      </c>
      <c r="K4059" s="75" t="inlineStr">
        <is>
          <t>H에너지</t>
        </is>
      </c>
      <c r="M4059" s="9">
        <f>IF($A4059="","",VALUE($A4059&amp;"")*12+VALUE($B4059&amp;""))</f>
        <v/>
      </c>
      <c r="N4059" s="39">
        <f>IF($A4059="","",IFERROR(INDEX(부서매핑!$C$5:$C$504,MATCH($G4059&amp;"",부서매핑!$A$5:$A$504,0)),"미매핑"))</f>
        <v/>
      </c>
      <c r="O4059" s="9">
        <f>IF($A4059="","",N4059&amp;"|"&amp;$F4059)</f>
        <v/>
      </c>
      <c r="P4059" s="77">
        <f>IF($A4059="",0,$H4059*설정!$C$23)</f>
        <v/>
      </c>
      <c r="Q4059" s="39">
        <f>IF($A4059="","",IF(O4059&lt;&gt;원인분석!$C$9,"",IF(AND(M4059&gt;=원인분석!$C$10,M4059&lt;=원인분석!$C$11),"당기",IF(AND(M4059&gt;=원인분석!$C$12,M4059&lt;=원인분석!$C$13),"비교",""))))</f>
        <v/>
      </c>
      <c r="R4059" s="9">
        <f>IF(Q4059="","",$K4059&amp;"")</f>
        <v/>
      </c>
      <c r="S4059" s="9">
        <f>IF(Q4059="","",IF(MATCH(R4059,$R$5:$R$100000,0)=ROW()-4,ROW(),""))</f>
        <v/>
      </c>
      <c r="T4059" s="9">
        <f>IF(Q4059="당기",ABS(P4059)+ROW()/1000000000,"")</f>
        <v/>
      </c>
      <c r="U4059" s="9">
        <f>IF(Q4059="비교",ABS(P4059)+ROW()/1000000000,"")</f>
        <v/>
      </c>
      <c r="V4059" s="39">
        <f>IF($A4059="","",IF(COUNTIF(변동분석!$E$7:$E$506,O4059)&gt;0,"Y","N"))</f>
        <v/>
      </c>
      <c r="W4059" s="39">
        <f>IF($A4059="","",IFERROR(INDEX(계정매핑!$D$5:$D$504,MATCH($F4059&amp;"",계정매핑!$A$5:$A$504,0)),"미매핑"))</f>
        <v/>
      </c>
      <c r="X4059" s="9">
        <f>IF($A4059="","",$F4059&amp;"")</f>
        <v/>
      </c>
    </row>
    <row r="4060">
      <c r="A4060" s="75" t="n">
        <v>2026</v>
      </c>
      <c r="B4060" s="75" t="n">
        <v>9</v>
      </c>
      <c r="C4060" s="75" t="inlineStr">
        <is>
          <t>5100001716</t>
        </is>
      </c>
      <c r="D4060" s="78" t="n">
        <v>46282</v>
      </c>
      <c r="E4060" s="75" t="inlineStr">
        <is>
          <t>KR</t>
        </is>
      </c>
      <c r="F4060" s="75" t="n">
        <v>62101000</v>
      </c>
      <c r="G4060" s="75" t="n">
        <v>1701</v>
      </c>
      <c r="H4060" s="76" t="n">
        <v>148000</v>
      </c>
      <c r="I4060" s="75" t="inlineStr">
        <is>
          <t>9월 국내출장 - M항공</t>
        </is>
      </c>
      <c r="J4060" s="75" t="inlineStr">
        <is>
          <t>V10001</t>
        </is>
      </c>
      <c r="K4060" s="75" t="inlineStr">
        <is>
          <t>M항공</t>
        </is>
      </c>
      <c r="M4060" s="9">
        <f>IF($A4060="","",VALUE($A4060&amp;"")*12+VALUE($B4060&amp;""))</f>
        <v/>
      </c>
      <c r="N4060" s="39">
        <f>IF($A4060="","",IFERROR(INDEX(부서매핑!$C$5:$C$504,MATCH($G4060&amp;"",부서매핑!$A$5:$A$504,0)),"미매핑"))</f>
        <v/>
      </c>
      <c r="O4060" s="9">
        <f>IF($A4060="","",N4060&amp;"|"&amp;$F4060)</f>
        <v/>
      </c>
      <c r="P4060" s="77">
        <f>IF($A4060="",0,$H4060*설정!$C$23)</f>
        <v/>
      </c>
      <c r="Q4060" s="39">
        <f>IF($A4060="","",IF(O4060&lt;&gt;원인분석!$C$9,"",IF(AND(M4060&gt;=원인분석!$C$10,M4060&lt;=원인분석!$C$11),"당기",IF(AND(M4060&gt;=원인분석!$C$12,M4060&lt;=원인분석!$C$13),"비교",""))))</f>
        <v/>
      </c>
      <c r="R4060" s="9">
        <f>IF(Q4060="","",$K4060&amp;"")</f>
        <v/>
      </c>
      <c r="S4060" s="9">
        <f>IF(Q4060="","",IF(MATCH(R4060,$R$5:$R$100000,0)=ROW()-4,ROW(),""))</f>
        <v/>
      </c>
      <c r="T4060" s="9">
        <f>IF(Q4060="당기",ABS(P4060)+ROW()/1000000000,"")</f>
        <v/>
      </c>
      <c r="U4060" s="9">
        <f>IF(Q4060="비교",ABS(P4060)+ROW()/1000000000,"")</f>
        <v/>
      </c>
      <c r="V4060" s="39">
        <f>IF($A4060="","",IF(COUNTIF(변동분석!$E$7:$E$506,O4060)&gt;0,"Y","N"))</f>
        <v/>
      </c>
      <c r="W4060" s="39">
        <f>IF($A4060="","",IFERROR(INDEX(계정매핑!$D$5:$D$504,MATCH($F4060&amp;"",계정매핑!$A$5:$A$504,0)),"미매핑"))</f>
        <v/>
      </c>
      <c r="X4060" s="9">
        <f>IF($A4060="","",$F4060&amp;"")</f>
        <v/>
      </c>
    </row>
    <row r="4061">
      <c r="A4061" s="75" t="n">
        <v>2026</v>
      </c>
      <c r="B4061" s="75" t="n">
        <v>9</v>
      </c>
      <c r="C4061" s="75" t="inlineStr">
        <is>
          <t>5100001717</t>
        </is>
      </c>
      <c r="D4061" s="78" t="n">
        <v>46282</v>
      </c>
      <c r="E4061" s="75" t="inlineStr">
        <is>
          <t>KR</t>
        </is>
      </c>
      <c r="F4061" s="75" t="n">
        <v>62102000</v>
      </c>
      <c r="G4061" s="75" t="n">
        <v>1201</v>
      </c>
      <c r="H4061" s="76" t="n">
        <v>73000</v>
      </c>
      <c r="I4061" s="75" t="inlineStr">
        <is>
          <t>9월 해외출장 - N호텔</t>
        </is>
      </c>
      <c r="J4061" s="75" t="inlineStr">
        <is>
          <t>V10007</t>
        </is>
      </c>
      <c r="K4061" s="75" t="inlineStr">
        <is>
          <t>N호텔</t>
        </is>
      </c>
      <c r="M4061" s="9">
        <f>IF($A4061="","",VALUE($A4061&amp;"")*12+VALUE($B4061&amp;""))</f>
        <v/>
      </c>
      <c r="N4061" s="39">
        <f>IF($A4061="","",IFERROR(INDEX(부서매핑!$C$5:$C$504,MATCH($G4061&amp;"",부서매핑!$A$5:$A$504,0)),"미매핑"))</f>
        <v/>
      </c>
      <c r="O4061" s="9">
        <f>IF($A4061="","",N4061&amp;"|"&amp;$F4061)</f>
        <v/>
      </c>
      <c r="P4061" s="77">
        <f>IF($A4061="",0,$H4061*설정!$C$23)</f>
        <v/>
      </c>
      <c r="Q4061" s="39">
        <f>IF($A4061="","",IF(O4061&lt;&gt;원인분석!$C$9,"",IF(AND(M4061&gt;=원인분석!$C$10,M4061&lt;=원인분석!$C$11),"당기",IF(AND(M4061&gt;=원인분석!$C$12,M4061&lt;=원인분석!$C$13),"비교",""))))</f>
        <v/>
      </c>
      <c r="R4061" s="9">
        <f>IF(Q4061="","",$K4061&amp;"")</f>
        <v/>
      </c>
      <c r="S4061" s="9">
        <f>IF(Q4061="","",IF(MATCH(R4061,$R$5:$R$100000,0)=ROW()-4,ROW(),""))</f>
        <v/>
      </c>
      <c r="T4061" s="9">
        <f>IF(Q4061="당기",ABS(P4061)+ROW()/1000000000,"")</f>
        <v/>
      </c>
      <c r="U4061" s="9">
        <f>IF(Q4061="비교",ABS(P4061)+ROW()/1000000000,"")</f>
        <v/>
      </c>
      <c r="V4061" s="39">
        <f>IF($A4061="","",IF(COUNTIF(변동분석!$E$7:$E$506,O4061)&gt;0,"Y","N"))</f>
        <v/>
      </c>
      <c r="W4061" s="39">
        <f>IF($A4061="","",IFERROR(INDEX(계정매핑!$D$5:$D$504,MATCH($F4061&amp;"",계정매핑!$A$5:$A$504,0)),"미매핑"))</f>
        <v/>
      </c>
      <c r="X4061" s="9">
        <f>IF($A4061="","",$F4061&amp;"")</f>
        <v/>
      </c>
    </row>
    <row r="4062">
      <c r="A4062" s="75" t="n">
        <v>2026</v>
      </c>
      <c r="B4062" s="75" t="n">
        <v>9</v>
      </c>
      <c r="C4062" s="75" t="inlineStr">
        <is>
          <t>5100001718</t>
        </is>
      </c>
      <c r="D4062" s="78" t="n">
        <v>46282</v>
      </c>
      <c r="E4062" s="75" t="inlineStr">
        <is>
          <t>KR</t>
        </is>
      </c>
      <c r="F4062" s="75" t="n">
        <v>62501000</v>
      </c>
      <c r="G4062" s="75" t="n">
        <v>1501</v>
      </c>
      <c r="H4062" s="76" t="n">
        <v>236000</v>
      </c>
      <c r="I4062" s="75" t="inlineStr">
        <is>
          <t>9월 회의 다과 - (법인카드)</t>
        </is>
      </c>
      <c r="J4062" s="75" t="inlineStr">
        <is>
          <t>V10008</t>
        </is>
      </c>
      <c r="K4062" s="75" t="inlineStr">
        <is>
          <t>(법인카드)</t>
        </is>
      </c>
      <c r="M4062" s="9">
        <f>IF($A4062="","",VALUE($A4062&amp;"")*12+VALUE($B4062&amp;""))</f>
        <v/>
      </c>
      <c r="N4062" s="39">
        <f>IF($A4062="","",IFERROR(INDEX(부서매핑!$C$5:$C$504,MATCH($G4062&amp;"",부서매핑!$A$5:$A$504,0)),"미매핑"))</f>
        <v/>
      </c>
      <c r="O4062" s="9">
        <f>IF($A4062="","",N4062&amp;"|"&amp;$F4062)</f>
        <v/>
      </c>
      <c r="P4062" s="77">
        <f>IF($A4062="",0,$H4062*설정!$C$23)</f>
        <v/>
      </c>
      <c r="Q4062" s="39">
        <f>IF($A4062="","",IF(O4062&lt;&gt;원인분석!$C$9,"",IF(AND(M4062&gt;=원인분석!$C$10,M4062&lt;=원인분석!$C$11),"당기",IF(AND(M4062&gt;=원인분석!$C$12,M4062&lt;=원인분석!$C$13),"비교",""))))</f>
        <v/>
      </c>
      <c r="R4062" s="9">
        <f>IF(Q4062="","",$K4062&amp;"")</f>
        <v/>
      </c>
      <c r="S4062" s="9">
        <f>IF(Q4062="","",IF(MATCH(R4062,$R$5:$R$100000,0)=ROW()-4,ROW(),""))</f>
        <v/>
      </c>
      <c r="T4062" s="9">
        <f>IF(Q4062="당기",ABS(P4062)+ROW()/1000000000,"")</f>
        <v/>
      </c>
      <c r="U4062" s="9">
        <f>IF(Q4062="비교",ABS(P4062)+ROW()/1000000000,"")</f>
        <v/>
      </c>
      <c r="V4062" s="39">
        <f>IF($A4062="","",IF(COUNTIF(변동분석!$E$7:$E$506,O4062)&gt;0,"Y","N"))</f>
        <v/>
      </c>
      <c r="W4062" s="39">
        <f>IF($A4062="","",IFERROR(INDEX(계정매핑!$D$5:$D$504,MATCH($F4062&amp;"",계정매핑!$A$5:$A$504,0)),"미매핑"))</f>
        <v/>
      </c>
      <c r="X4062" s="9">
        <f>IF($A4062="","",$F4062&amp;"")</f>
        <v/>
      </c>
    </row>
    <row r="4063">
      <c r="A4063" s="75" t="n">
        <v>2026</v>
      </c>
      <c r="B4063" s="75" t="n">
        <v>9</v>
      </c>
      <c r="C4063" s="75" t="inlineStr">
        <is>
          <t>5100001719</t>
        </is>
      </c>
      <c r="D4063" s="78" t="n">
        <v>46283</v>
      </c>
      <c r="E4063" s="75" t="inlineStr">
        <is>
          <t>KR</t>
        </is>
      </c>
      <c r="F4063" s="75" t="n">
        <v>62101000</v>
      </c>
      <c r="G4063" s="75" t="n">
        <v>1701</v>
      </c>
      <c r="H4063" s="76" t="n">
        <v>144000</v>
      </c>
      <c r="I4063" s="75" t="inlineStr">
        <is>
          <t>9월 국내출장 - (법인카드)</t>
        </is>
      </c>
      <c r="J4063" s="75" t="inlineStr">
        <is>
          <t>V10008</t>
        </is>
      </c>
      <c r="K4063" s="75" t="inlineStr">
        <is>
          <t>(법인카드)</t>
        </is>
      </c>
      <c r="M4063" s="9">
        <f>IF($A4063="","",VALUE($A4063&amp;"")*12+VALUE($B4063&amp;""))</f>
        <v/>
      </c>
      <c r="N4063" s="39">
        <f>IF($A4063="","",IFERROR(INDEX(부서매핑!$C$5:$C$504,MATCH($G4063&amp;"",부서매핑!$A$5:$A$504,0)),"미매핑"))</f>
        <v/>
      </c>
      <c r="O4063" s="9">
        <f>IF($A4063="","",N4063&amp;"|"&amp;$F4063)</f>
        <v/>
      </c>
      <c r="P4063" s="77">
        <f>IF($A4063="",0,$H4063*설정!$C$23)</f>
        <v/>
      </c>
      <c r="Q4063" s="39">
        <f>IF($A4063="","",IF(O4063&lt;&gt;원인분석!$C$9,"",IF(AND(M4063&gt;=원인분석!$C$10,M4063&lt;=원인분석!$C$11),"당기",IF(AND(M4063&gt;=원인분석!$C$12,M4063&lt;=원인분석!$C$13),"비교",""))))</f>
        <v/>
      </c>
      <c r="R4063" s="9">
        <f>IF(Q4063="","",$K4063&amp;"")</f>
        <v/>
      </c>
      <c r="S4063" s="9">
        <f>IF(Q4063="","",IF(MATCH(R4063,$R$5:$R$100000,0)=ROW()-4,ROW(),""))</f>
        <v/>
      </c>
      <c r="T4063" s="9">
        <f>IF(Q4063="당기",ABS(P4063)+ROW()/1000000000,"")</f>
        <v/>
      </c>
      <c r="U4063" s="9">
        <f>IF(Q4063="비교",ABS(P4063)+ROW()/1000000000,"")</f>
        <v/>
      </c>
      <c r="V4063" s="39">
        <f>IF($A4063="","",IF(COUNTIF(변동분석!$E$7:$E$506,O4063)&gt;0,"Y","N"))</f>
        <v/>
      </c>
      <c r="W4063" s="39">
        <f>IF($A4063="","",IFERROR(INDEX(계정매핑!$D$5:$D$504,MATCH($F4063&amp;"",계정매핑!$A$5:$A$504,0)),"미매핑"))</f>
        <v/>
      </c>
      <c r="X4063" s="9">
        <f>IF($A4063="","",$F4063&amp;"")</f>
        <v/>
      </c>
    </row>
    <row r="4064">
      <c r="A4064" s="75" t="n">
        <v>2026</v>
      </c>
      <c r="B4064" s="75" t="n">
        <v>9</v>
      </c>
      <c r="C4064" s="75" t="inlineStr">
        <is>
          <t>5100001720</t>
        </is>
      </c>
      <c r="D4064" s="78" t="n">
        <v>46283</v>
      </c>
      <c r="E4064" s="75" t="inlineStr">
        <is>
          <t>KR</t>
        </is>
      </c>
      <c r="F4064" s="75" t="n">
        <v>62102000</v>
      </c>
      <c r="G4064" s="75" t="n">
        <v>1101</v>
      </c>
      <c r="H4064" s="76" t="n">
        <v>104000</v>
      </c>
      <c r="I4064" s="75" t="inlineStr">
        <is>
          <t>9월 해외출장 - N호텔</t>
        </is>
      </c>
      <c r="J4064" s="75" t="inlineStr">
        <is>
          <t>V10007</t>
        </is>
      </c>
      <c r="K4064" s="75" t="inlineStr">
        <is>
          <t>N호텔</t>
        </is>
      </c>
      <c r="M4064" s="9">
        <f>IF($A4064="","",VALUE($A4064&amp;"")*12+VALUE($B4064&amp;""))</f>
        <v/>
      </c>
      <c r="N4064" s="39">
        <f>IF($A4064="","",IFERROR(INDEX(부서매핑!$C$5:$C$504,MATCH($G4064&amp;"",부서매핑!$A$5:$A$504,0)),"미매핑"))</f>
        <v/>
      </c>
      <c r="O4064" s="9">
        <f>IF($A4064="","",N4064&amp;"|"&amp;$F4064)</f>
        <v/>
      </c>
      <c r="P4064" s="77">
        <f>IF($A4064="",0,$H4064*설정!$C$23)</f>
        <v/>
      </c>
      <c r="Q4064" s="39">
        <f>IF($A4064="","",IF(O4064&lt;&gt;원인분석!$C$9,"",IF(AND(M4064&gt;=원인분석!$C$10,M4064&lt;=원인분석!$C$11),"당기",IF(AND(M4064&gt;=원인분석!$C$12,M4064&lt;=원인분석!$C$13),"비교",""))))</f>
        <v/>
      </c>
      <c r="R4064" s="9">
        <f>IF(Q4064="","",$K4064&amp;"")</f>
        <v/>
      </c>
      <c r="S4064" s="9">
        <f>IF(Q4064="","",IF(MATCH(R4064,$R$5:$R$100000,0)=ROW()-4,ROW(),""))</f>
        <v/>
      </c>
      <c r="T4064" s="9">
        <f>IF(Q4064="당기",ABS(P4064)+ROW()/1000000000,"")</f>
        <v/>
      </c>
      <c r="U4064" s="9">
        <f>IF(Q4064="비교",ABS(P4064)+ROW()/1000000000,"")</f>
        <v/>
      </c>
      <c r="V4064" s="39">
        <f>IF($A4064="","",IF(COUNTIF(변동분석!$E$7:$E$506,O4064)&gt;0,"Y","N"))</f>
        <v/>
      </c>
      <c r="W4064" s="39">
        <f>IF($A4064="","",IFERROR(INDEX(계정매핑!$D$5:$D$504,MATCH($F4064&amp;"",계정매핑!$A$5:$A$504,0)),"미매핑"))</f>
        <v/>
      </c>
      <c r="X4064" s="9">
        <f>IF($A4064="","",$F4064&amp;"")</f>
        <v/>
      </c>
    </row>
    <row r="4065">
      <c r="A4065" s="75" t="n">
        <v>2026</v>
      </c>
      <c r="B4065" s="75" t="n">
        <v>9</v>
      </c>
      <c r="C4065" s="75" t="inlineStr">
        <is>
          <t>5100001721</t>
        </is>
      </c>
      <c r="D4065" s="78" t="n">
        <v>46283</v>
      </c>
      <c r="E4065" s="75" t="inlineStr">
        <is>
          <t>KR</t>
        </is>
      </c>
      <c r="F4065" s="75" t="n">
        <v>62102000</v>
      </c>
      <c r="G4065" s="75" t="n">
        <v>1101</v>
      </c>
      <c r="H4065" s="76" t="n">
        <v>56000</v>
      </c>
      <c r="I4065" s="75" t="inlineStr">
        <is>
          <t>9월 해외출장 - N호텔</t>
        </is>
      </c>
      <c r="J4065" s="75" t="inlineStr">
        <is>
          <t>V10007</t>
        </is>
      </c>
      <c r="K4065" s="75" t="inlineStr">
        <is>
          <t>N호텔</t>
        </is>
      </c>
      <c r="M4065" s="9">
        <f>IF($A4065="","",VALUE($A4065&amp;"")*12+VALUE($B4065&amp;""))</f>
        <v/>
      </c>
      <c r="N4065" s="39">
        <f>IF($A4065="","",IFERROR(INDEX(부서매핑!$C$5:$C$504,MATCH($G4065&amp;"",부서매핑!$A$5:$A$504,0)),"미매핑"))</f>
        <v/>
      </c>
      <c r="O4065" s="9">
        <f>IF($A4065="","",N4065&amp;"|"&amp;$F4065)</f>
        <v/>
      </c>
      <c r="P4065" s="77">
        <f>IF($A4065="",0,$H4065*설정!$C$23)</f>
        <v/>
      </c>
      <c r="Q4065" s="39">
        <f>IF($A4065="","",IF(O4065&lt;&gt;원인분석!$C$9,"",IF(AND(M4065&gt;=원인분석!$C$10,M4065&lt;=원인분석!$C$11),"당기",IF(AND(M4065&gt;=원인분석!$C$12,M4065&lt;=원인분석!$C$13),"비교",""))))</f>
        <v/>
      </c>
      <c r="R4065" s="9">
        <f>IF(Q4065="","",$K4065&amp;"")</f>
        <v/>
      </c>
      <c r="S4065" s="9">
        <f>IF(Q4065="","",IF(MATCH(R4065,$R$5:$R$100000,0)=ROW()-4,ROW(),""))</f>
        <v/>
      </c>
      <c r="T4065" s="9">
        <f>IF(Q4065="당기",ABS(P4065)+ROW()/1000000000,"")</f>
        <v/>
      </c>
      <c r="U4065" s="9">
        <f>IF(Q4065="비교",ABS(P4065)+ROW()/1000000000,"")</f>
        <v/>
      </c>
      <c r="V4065" s="39">
        <f>IF($A4065="","",IF(COUNTIF(변동분석!$E$7:$E$506,O4065)&gt;0,"Y","N"))</f>
        <v/>
      </c>
      <c r="W4065" s="39">
        <f>IF($A4065="","",IFERROR(INDEX(계정매핑!$D$5:$D$504,MATCH($F4065&amp;"",계정매핑!$A$5:$A$504,0)),"미매핑"))</f>
        <v/>
      </c>
      <c r="X4065" s="9">
        <f>IF($A4065="","",$F4065&amp;"")</f>
        <v/>
      </c>
    </row>
    <row r="4066">
      <c r="A4066" s="75" t="n">
        <v>2026</v>
      </c>
      <c r="B4066" s="75" t="n">
        <v>9</v>
      </c>
      <c r="C4066" s="75" t="inlineStr">
        <is>
          <t>5100001722</t>
        </is>
      </c>
      <c r="D4066" s="78" t="n">
        <v>46283</v>
      </c>
      <c r="E4066" s="75" t="inlineStr">
        <is>
          <t>KR</t>
        </is>
      </c>
      <c r="F4066" s="75" t="n">
        <v>62102000</v>
      </c>
      <c r="G4066" s="75" t="n">
        <v>1401</v>
      </c>
      <c r="H4066" s="76" t="n">
        <v>113000</v>
      </c>
      <c r="I4066" s="75" t="inlineStr">
        <is>
          <t>9월 해외출장 - M항공</t>
        </is>
      </c>
      <c r="J4066" s="75" t="inlineStr">
        <is>
          <t>V10001</t>
        </is>
      </c>
      <c r="K4066" s="75" t="inlineStr">
        <is>
          <t>M항공</t>
        </is>
      </c>
      <c r="M4066" s="9">
        <f>IF($A4066="","",VALUE($A4066&amp;"")*12+VALUE($B4066&amp;""))</f>
        <v/>
      </c>
      <c r="N4066" s="39">
        <f>IF($A4066="","",IFERROR(INDEX(부서매핑!$C$5:$C$504,MATCH($G4066&amp;"",부서매핑!$A$5:$A$504,0)),"미매핑"))</f>
        <v/>
      </c>
      <c r="O4066" s="9">
        <f>IF($A4066="","",N4066&amp;"|"&amp;$F4066)</f>
        <v/>
      </c>
      <c r="P4066" s="77">
        <f>IF($A4066="",0,$H4066*설정!$C$23)</f>
        <v/>
      </c>
      <c r="Q4066" s="39">
        <f>IF($A4066="","",IF(O4066&lt;&gt;원인분석!$C$9,"",IF(AND(M4066&gt;=원인분석!$C$10,M4066&lt;=원인분석!$C$11),"당기",IF(AND(M4066&gt;=원인분석!$C$12,M4066&lt;=원인분석!$C$13),"비교",""))))</f>
        <v/>
      </c>
      <c r="R4066" s="9">
        <f>IF(Q4066="","",$K4066&amp;"")</f>
        <v/>
      </c>
      <c r="S4066" s="9">
        <f>IF(Q4066="","",IF(MATCH(R4066,$R$5:$R$100000,0)=ROW()-4,ROW(),""))</f>
        <v/>
      </c>
      <c r="T4066" s="9">
        <f>IF(Q4066="당기",ABS(P4066)+ROW()/1000000000,"")</f>
        <v/>
      </c>
      <c r="U4066" s="9">
        <f>IF(Q4066="비교",ABS(P4066)+ROW()/1000000000,"")</f>
        <v/>
      </c>
      <c r="V4066" s="39">
        <f>IF($A4066="","",IF(COUNTIF(변동분석!$E$7:$E$506,O4066)&gt;0,"Y","N"))</f>
        <v/>
      </c>
      <c r="W4066" s="39">
        <f>IF($A4066="","",IFERROR(INDEX(계정매핑!$D$5:$D$504,MATCH($F4066&amp;"",계정매핑!$A$5:$A$504,0)),"미매핑"))</f>
        <v/>
      </c>
      <c r="X4066" s="9">
        <f>IF($A4066="","",$F4066&amp;"")</f>
        <v/>
      </c>
    </row>
    <row r="4067">
      <c r="A4067" s="75" t="n">
        <v>2026</v>
      </c>
      <c r="B4067" s="75" t="n">
        <v>9</v>
      </c>
      <c r="C4067" s="75" t="inlineStr">
        <is>
          <t>5100001723</t>
        </is>
      </c>
      <c r="D4067" s="78" t="n">
        <v>46283</v>
      </c>
      <c r="E4067" s="75" t="inlineStr">
        <is>
          <t>KR</t>
        </is>
      </c>
      <c r="F4067" s="75" t="n">
        <v>62102000</v>
      </c>
      <c r="G4067" s="75" t="n">
        <v>1601</v>
      </c>
      <c r="H4067" s="76" t="n">
        <v>377000</v>
      </c>
      <c r="I4067" s="75" t="inlineStr">
        <is>
          <t>9월 해외출장 - M항공</t>
        </is>
      </c>
      <c r="J4067" s="75" t="inlineStr">
        <is>
          <t>V10001</t>
        </is>
      </c>
      <c r="K4067" s="75" t="inlineStr">
        <is>
          <t>M항공</t>
        </is>
      </c>
      <c r="M4067" s="9">
        <f>IF($A4067="","",VALUE($A4067&amp;"")*12+VALUE($B4067&amp;""))</f>
        <v/>
      </c>
      <c r="N4067" s="39">
        <f>IF($A4067="","",IFERROR(INDEX(부서매핑!$C$5:$C$504,MATCH($G4067&amp;"",부서매핑!$A$5:$A$504,0)),"미매핑"))</f>
        <v/>
      </c>
      <c r="O4067" s="9">
        <f>IF($A4067="","",N4067&amp;"|"&amp;$F4067)</f>
        <v/>
      </c>
      <c r="P4067" s="77">
        <f>IF($A4067="",0,$H4067*설정!$C$23)</f>
        <v/>
      </c>
      <c r="Q4067" s="39">
        <f>IF($A4067="","",IF(O4067&lt;&gt;원인분석!$C$9,"",IF(AND(M4067&gt;=원인분석!$C$10,M4067&lt;=원인분석!$C$11),"당기",IF(AND(M4067&gt;=원인분석!$C$12,M4067&lt;=원인분석!$C$13),"비교",""))))</f>
        <v/>
      </c>
      <c r="R4067" s="9">
        <f>IF(Q4067="","",$K4067&amp;"")</f>
        <v/>
      </c>
      <c r="S4067" s="9">
        <f>IF(Q4067="","",IF(MATCH(R4067,$R$5:$R$100000,0)=ROW()-4,ROW(),""))</f>
        <v/>
      </c>
      <c r="T4067" s="9">
        <f>IF(Q4067="당기",ABS(P4067)+ROW()/1000000000,"")</f>
        <v/>
      </c>
      <c r="U4067" s="9">
        <f>IF(Q4067="비교",ABS(P4067)+ROW()/1000000000,"")</f>
        <v/>
      </c>
      <c r="V4067" s="39">
        <f>IF($A4067="","",IF(COUNTIF(변동분석!$E$7:$E$506,O4067)&gt;0,"Y","N"))</f>
        <v/>
      </c>
      <c r="W4067" s="39">
        <f>IF($A4067="","",IFERROR(INDEX(계정매핑!$D$5:$D$504,MATCH($F4067&amp;"",계정매핑!$A$5:$A$504,0)),"미매핑"))</f>
        <v/>
      </c>
      <c r="X4067" s="9">
        <f>IF($A4067="","",$F4067&amp;"")</f>
        <v/>
      </c>
    </row>
    <row r="4068">
      <c r="A4068" s="75" t="n">
        <v>2026</v>
      </c>
      <c r="B4068" s="75" t="n">
        <v>9</v>
      </c>
      <c r="C4068" s="75" t="inlineStr">
        <is>
          <t>5100001724</t>
        </is>
      </c>
      <c r="D4068" s="78" t="n">
        <v>46283</v>
      </c>
      <c r="E4068" s="75" t="inlineStr">
        <is>
          <t>KR</t>
        </is>
      </c>
      <c r="F4068" s="75" t="n">
        <v>62301000</v>
      </c>
      <c r="G4068" s="75" t="n">
        <v>1301</v>
      </c>
      <c r="H4068" s="76" t="n">
        <v>212000</v>
      </c>
      <c r="I4068" s="75" t="inlineStr">
        <is>
          <t>9월 소모품 구입 - Q오피스</t>
        </is>
      </c>
      <c r="J4068" s="75" t="inlineStr">
        <is>
          <t>V10003</t>
        </is>
      </c>
      <c r="K4068" s="75" t="inlineStr">
        <is>
          <t>Q오피스</t>
        </is>
      </c>
      <c r="M4068" s="9">
        <f>IF($A4068="","",VALUE($A4068&amp;"")*12+VALUE($B4068&amp;""))</f>
        <v/>
      </c>
      <c r="N4068" s="39">
        <f>IF($A4068="","",IFERROR(INDEX(부서매핑!$C$5:$C$504,MATCH($G4068&amp;"",부서매핑!$A$5:$A$504,0)),"미매핑"))</f>
        <v/>
      </c>
      <c r="O4068" s="9">
        <f>IF($A4068="","",N4068&amp;"|"&amp;$F4068)</f>
        <v/>
      </c>
      <c r="P4068" s="77">
        <f>IF($A4068="",0,$H4068*설정!$C$23)</f>
        <v/>
      </c>
      <c r="Q4068" s="39">
        <f>IF($A4068="","",IF(O4068&lt;&gt;원인분석!$C$9,"",IF(AND(M4068&gt;=원인분석!$C$10,M4068&lt;=원인분석!$C$11),"당기",IF(AND(M4068&gt;=원인분석!$C$12,M4068&lt;=원인분석!$C$13),"비교",""))))</f>
        <v/>
      </c>
      <c r="R4068" s="9">
        <f>IF(Q4068="","",$K4068&amp;"")</f>
        <v/>
      </c>
      <c r="S4068" s="9">
        <f>IF(Q4068="","",IF(MATCH(R4068,$R$5:$R$100000,0)=ROW()-4,ROW(),""))</f>
        <v/>
      </c>
      <c r="T4068" s="9">
        <f>IF(Q4068="당기",ABS(P4068)+ROW()/1000000000,"")</f>
        <v/>
      </c>
      <c r="U4068" s="9">
        <f>IF(Q4068="비교",ABS(P4068)+ROW()/1000000000,"")</f>
        <v/>
      </c>
      <c r="V4068" s="39">
        <f>IF($A4068="","",IF(COUNTIF(변동분석!$E$7:$E$506,O4068)&gt;0,"Y","N"))</f>
        <v/>
      </c>
      <c r="W4068" s="39">
        <f>IF($A4068="","",IFERROR(INDEX(계정매핑!$D$5:$D$504,MATCH($F4068&amp;"",계정매핑!$A$5:$A$504,0)),"미매핑"))</f>
        <v/>
      </c>
      <c r="X4068" s="9">
        <f>IF($A4068="","",$F4068&amp;"")</f>
        <v/>
      </c>
    </row>
    <row r="4069">
      <c r="A4069" s="75" t="n">
        <v>2026</v>
      </c>
      <c r="B4069" s="75" t="n">
        <v>9</v>
      </c>
      <c r="C4069" s="75" t="inlineStr">
        <is>
          <t>5100001725</t>
        </is>
      </c>
      <c r="D4069" s="78" t="n">
        <v>46283</v>
      </c>
      <c r="E4069" s="75" t="inlineStr">
        <is>
          <t>KR</t>
        </is>
      </c>
      <c r="F4069" s="75" t="n">
        <v>62701000</v>
      </c>
      <c r="G4069" s="75" t="n">
        <v>1501</v>
      </c>
      <c r="H4069" s="76" t="n">
        <v>32233000</v>
      </c>
      <c r="I4069" s="75" t="inlineStr">
        <is>
          <t>9월 광고 집행 - E미디어</t>
        </is>
      </c>
      <c r="J4069" s="75" t="inlineStr">
        <is>
          <t>V10027</t>
        </is>
      </c>
      <c r="K4069" s="75" t="inlineStr">
        <is>
          <t>E미디어</t>
        </is>
      </c>
      <c r="M4069" s="9">
        <f>IF($A4069="","",VALUE($A4069&amp;"")*12+VALUE($B4069&amp;""))</f>
        <v/>
      </c>
      <c r="N4069" s="39">
        <f>IF($A4069="","",IFERROR(INDEX(부서매핑!$C$5:$C$504,MATCH($G4069&amp;"",부서매핑!$A$5:$A$504,0)),"미매핑"))</f>
        <v/>
      </c>
      <c r="O4069" s="9">
        <f>IF($A4069="","",N4069&amp;"|"&amp;$F4069)</f>
        <v/>
      </c>
      <c r="P4069" s="77">
        <f>IF($A4069="",0,$H4069*설정!$C$23)</f>
        <v/>
      </c>
      <c r="Q4069" s="39">
        <f>IF($A4069="","",IF(O4069&lt;&gt;원인분석!$C$9,"",IF(AND(M4069&gt;=원인분석!$C$10,M4069&lt;=원인분석!$C$11),"당기",IF(AND(M4069&gt;=원인분석!$C$12,M4069&lt;=원인분석!$C$13),"비교",""))))</f>
        <v/>
      </c>
      <c r="R4069" s="9">
        <f>IF(Q4069="","",$K4069&amp;"")</f>
        <v/>
      </c>
      <c r="S4069" s="9">
        <f>IF(Q4069="","",IF(MATCH(R4069,$R$5:$R$100000,0)=ROW()-4,ROW(),""))</f>
        <v/>
      </c>
      <c r="T4069" s="9">
        <f>IF(Q4069="당기",ABS(P4069)+ROW()/1000000000,"")</f>
        <v/>
      </c>
      <c r="U4069" s="9">
        <f>IF(Q4069="비교",ABS(P4069)+ROW()/1000000000,"")</f>
        <v/>
      </c>
      <c r="V4069" s="39">
        <f>IF($A4069="","",IF(COUNTIF(변동분석!$E$7:$E$506,O4069)&gt;0,"Y","N"))</f>
        <v/>
      </c>
      <c r="W4069" s="39">
        <f>IF($A4069="","",IFERROR(INDEX(계정매핑!$D$5:$D$504,MATCH($F4069&amp;"",계정매핑!$A$5:$A$504,0)),"미매핑"))</f>
        <v/>
      </c>
      <c r="X4069" s="9">
        <f>IF($A4069="","",$F4069&amp;"")</f>
        <v/>
      </c>
    </row>
    <row r="4070">
      <c r="A4070" s="75" t="n">
        <v>2026</v>
      </c>
      <c r="B4070" s="75" t="n">
        <v>9</v>
      </c>
      <c r="C4070" s="75" t="inlineStr">
        <is>
          <t>5100001726</t>
        </is>
      </c>
      <c r="D4070" s="78" t="n">
        <v>46283</v>
      </c>
      <c r="E4070" s="75" t="inlineStr">
        <is>
          <t>KR</t>
        </is>
      </c>
      <c r="F4070" s="75" t="n">
        <v>62701000</v>
      </c>
      <c r="G4070" s="75" t="n">
        <v>1501</v>
      </c>
      <c r="H4070" s="76" t="n">
        <v>120000000</v>
      </c>
      <c r="I4070" s="75" t="inlineStr">
        <is>
          <t>3분기 TV캠페인 집행분</t>
        </is>
      </c>
      <c r="J4070" s="75" t="inlineStr">
        <is>
          <t>V10030</t>
        </is>
      </c>
      <c r="K4070" s="75" t="inlineStr">
        <is>
          <t>A광고대행사</t>
        </is>
      </c>
      <c r="M4070" s="9">
        <f>IF($A4070="","",VALUE($A4070&amp;"")*12+VALUE($B4070&amp;""))</f>
        <v/>
      </c>
      <c r="N4070" s="39">
        <f>IF($A4070="","",IFERROR(INDEX(부서매핑!$C$5:$C$504,MATCH($G4070&amp;"",부서매핑!$A$5:$A$504,0)),"미매핑"))</f>
        <v/>
      </c>
      <c r="O4070" s="9">
        <f>IF($A4070="","",N4070&amp;"|"&amp;$F4070)</f>
        <v/>
      </c>
      <c r="P4070" s="77">
        <f>IF($A4070="",0,$H4070*설정!$C$23)</f>
        <v/>
      </c>
      <c r="Q4070" s="39">
        <f>IF($A4070="","",IF(O4070&lt;&gt;원인분석!$C$9,"",IF(AND(M4070&gt;=원인분석!$C$10,M4070&lt;=원인분석!$C$11),"당기",IF(AND(M4070&gt;=원인분석!$C$12,M4070&lt;=원인분석!$C$13),"비교",""))))</f>
        <v/>
      </c>
      <c r="R4070" s="9">
        <f>IF(Q4070="","",$K4070&amp;"")</f>
        <v/>
      </c>
      <c r="S4070" s="9">
        <f>IF(Q4070="","",IF(MATCH(R4070,$R$5:$R$100000,0)=ROW()-4,ROW(),""))</f>
        <v/>
      </c>
      <c r="T4070" s="9">
        <f>IF(Q4070="당기",ABS(P4070)+ROW()/1000000000,"")</f>
        <v/>
      </c>
      <c r="U4070" s="9">
        <f>IF(Q4070="비교",ABS(P4070)+ROW()/1000000000,"")</f>
        <v/>
      </c>
      <c r="V4070" s="39">
        <f>IF($A4070="","",IF(COUNTIF(변동분석!$E$7:$E$506,O4070)&gt;0,"Y","N"))</f>
        <v/>
      </c>
      <c r="W4070" s="39">
        <f>IF($A4070="","",IFERROR(INDEX(계정매핑!$D$5:$D$504,MATCH($F4070&amp;"",계정매핑!$A$5:$A$504,0)),"미매핑"))</f>
        <v/>
      </c>
      <c r="X4070" s="9">
        <f>IF($A4070="","",$F4070&amp;"")</f>
        <v/>
      </c>
    </row>
    <row r="4071">
      <c r="A4071" s="75" t="n">
        <v>2026</v>
      </c>
      <c r="B4071" s="75" t="n">
        <v>9</v>
      </c>
      <c r="C4071" s="75" t="inlineStr">
        <is>
          <t>5100001727</t>
        </is>
      </c>
      <c r="D4071" s="78" t="n">
        <v>46283</v>
      </c>
      <c r="E4071" s="75" t="inlineStr">
        <is>
          <t>KR</t>
        </is>
      </c>
      <c r="F4071" s="75" t="n">
        <v>63101000</v>
      </c>
      <c r="G4071" s="75" t="n">
        <v>1602</v>
      </c>
      <c r="H4071" s="76" t="n">
        <v>6052000</v>
      </c>
      <c r="I4071" s="75" t="inlineStr">
        <is>
          <t>9월 사무실 임차료 - BB부동산</t>
        </is>
      </c>
      <c r="J4071" s="75" t="inlineStr">
        <is>
          <t>V10024</t>
        </is>
      </c>
      <c r="K4071" s="75" t="inlineStr">
        <is>
          <t>BB부동산</t>
        </is>
      </c>
      <c r="M4071" s="9">
        <f>IF($A4071="","",VALUE($A4071&amp;"")*12+VALUE($B4071&amp;""))</f>
        <v/>
      </c>
      <c r="N4071" s="39">
        <f>IF($A4071="","",IFERROR(INDEX(부서매핑!$C$5:$C$504,MATCH($G4071&amp;"",부서매핑!$A$5:$A$504,0)),"미매핑"))</f>
        <v/>
      </c>
      <c r="O4071" s="9">
        <f>IF($A4071="","",N4071&amp;"|"&amp;$F4071)</f>
        <v/>
      </c>
      <c r="P4071" s="77">
        <f>IF($A4071="",0,$H4071*설정!$C$23)</f>
        <v/>
      </c>
      <c r="Q4071" s="39">
        <f>IF($A4071="","",IF(O4071&lt;&gt;원인분석!$C$9,"",IF(AND(M4071&gt;=원인분석!$C$10,M4071&lt;=원인분석!$C$11),"당기",IF(AND(M4071&gt;=원인분석!$C$12,M4071&lt;=원인분석!$C$13),"비교",""))))</f>
        <v/>
      </c>
      <c r="R4071" s="9">
        <f>IF(Q4071="","",$K4071&amp;"")</f>
        <v/>
      </c>
      <c r="S4071" s="9">
        <f>IF(Q4071="","",IF(MATCH(R4071,$R$5:$R$100000,0)=ROW()-4,ROW(),""))</f>
        <v/>
      </c>
      <c r="T4071" s="9">
        <f>IF(Q4071="당기",ABS(P4071)+ROW()/1000000000,"")</f>
        <v/>
      </c>
      <c r="U4071" s="9">
        <f>IF(Q4071="비교",ABS(P4071)+ROW()/1000000000,"")</f>
        <v/>
      </c>
      <c r="V4071" s="39">
        <f>IF($A4071="","",IF(COUNTIF(변동분석!$E$7:$E$506,O4071)&gt;0,"Y","N"))</f>
        <v/>
      </c>
      <c r="W4071" s="39">
        <f>IF($A4071="","",IFERROR(INDEX(계정매핑!$D$5:$D$504,MATCH($F4071&amp;"",계정매핑!$A$5:$A$504,0)),"미매핑"))</f>
        <v/>
      </c>
      <c r="X4071" s="9">
        <f>IF($A4071="","",$F4071&amp;"")</f>
        <v/>
      </c>
    </row>
    <row r="4072">
      <c r="A4072" s="75" t="n">
        <v>2026</v>
      </c>
      <c r="B4072" s="75" t="n">
        <v>9</v>
      </c>
      <c r="C4072" s="75" t="inlineStr">
        <is>
          <t>5100001728</t>
        </is>
      </c>
      <c r="D4072" s="78" t="n">
        <v>46284</v>
      </c>
      <c r="E4072" s="75" t="inlineStr">
        <is>
          <t>KR</t>
        </is>
      </c>
      <c r="F4072" s="75" t="n">
        <v>62101000</v>
      </c>
      <c r="G4072" s="75" t="n">
        <v>1801</v>
      </c>
      <c r="H4072" s="76" t="n">
        <v>165000</v>
      </c>
      <c r="I4072" s="75" t="inlineStr">
        <is>
          <t>9월 국내출장 - L여행사</t>
        </is>
      </c>
      <c r="J4072" s="75" t="inlineStr">
        <is>
          <t>V10014</t>
        </is>
      </c>
      <c r="K4072" s="75" t="inlineStr">
        <is>
          <t>L여행사</t>
        </is>
      </c>
      <c r="M4072" s="9">
        <f>IF($A4072="","",VALUE($A4072&amp;"")*12+VALUE($B4072&amp;""))</f>
        <v/>
      </c>
      <c r="N4072" s="39">
        <f>IF($A4072="","",IFERROR(INDEX(부서매핑!$C$5:$C$504,MATCH($G4072&amp;"",부서매핑!$A$5:$A$504,0)),"미매핑"))</f>
        <v/>
      </c>
      <c r="O4072" s="9">
        <f>IF($A4072="","",N4072&amp;"|"&amp;$F4072)</f>
        <v/>
      </c>
      <c r="P4072" s="77">
        <f>IF($A4072="",0,$H4072*설정!$C$23)</f>
        <v/>
      </c>
      <c r="Q4072" s="39">
        <f>IF($A4072="","",IF(O4072&lt;&gt;원인분석!$C$9,"",IF(AND(M4072&gt;=원인분석!$C$10,M4072&lt;=원인분석!$C$11),"당기",IF(AND(M4072&gt;=원인분석!$C$12,M4072&lt;=원인분석!$C$13),"비교",""))))</f>
        <v/>
      </c>
      <c r="R4072" s="9">
        <f>IF(Q4072="","",$K4072&amp;"")</f>
        <v/>
      </c>
      <c r="S4072" s="9">
        <f>IF(Q4072="","",IF(MATCH(R4072,$R$5:$R$100000,0)=ROW()-4,ROW(),""))</f>
        <v/>
      </c>
      <c r="T4072" s="9">
        <f>IF(Q4072="당기",ABS(P4072)+ROW()/1000000000,"")</f>
        <v/>
      </c>
      <c r="U4072" s="9">
        <f>IF(Q4072="비교",ABS(P4072)+ROW()/1000000000,"")</f>
        <v/>
      </c>
      <c r="V4072" s="39">
        <f>IF($A4072="","",IF(COUNTIF(변동분석!$E$7:$E$506,O4072)&gt;0,"Y","N"))</f>
        <v/>
      </c>
      <c r="W4072" s="39">
        <f>IF($A4072="","",IFERROR(INDEX(계정매핑!$D$5:$D$504,MATCH($F4072&amp;"",계정매핑!$A$5:$A$504,0)),"미매핑"))</f>
        <v/>
      </c>
      <c r="X4072" s="9">
        <f>IF($A4072="","",$F4072&amp;"")</f>
        <v/>
      </c>
    </row>
    <row r="4073">
      <c r="A4073" s="75" t="n">
        <v>2026</v>
      </c>
      <c r="B4073" s="75" t="n">
        <v>9</v>
      </c>
      <c r="C4073" s="75" t="inlineStr">
        <is>
          <t>5100001729</t>
        </is>
      </c>
      <c r="D4073" s="78" t="n">
        <v>46284</v>
      </c>
      <c r="E4073" s="75" t="inlineStr">
        <is>
          <t>KR</t>
        </is>
      </c>
      <c r="F4073" s="75" t="n">
        <v>62801000</v>
      </c>
      <c r="G4073" s="75" t="n">
        <v>1301</v>
      </c>
      <c r="H4073" s="76" t="n">
        <v>4786000</v>
      </c>
      <c r="I4073" s="75" t="inlineStr">
        <is>
          <t>9월 사내교육 - (사내강사료)</t>
        </is>
      </c>
      <c r="J4073" s="75" t="inlineStr">
        <is>
          <t>V10020</t>
        </is>
      </c>
      <c r="K4073" s="75" t="inlineStr">
        <is>
          <t>(사내강사료)</t>
        </is>
      </c>
      <c r="M4073" s="9">
        <f>IF($A4073="","",VALUE($A4073&amp;"")*12+VALUE($B4073&amp;""))</f>
        <v/>
      </c>
      <c r="N4073" s="39">
        <f>IF($A4073="","",IFERROR(INDEX(부서매핑!$C$5:$C$504,MATCH($G4073&amp;"",부서매핑!$A$5:$A$504,0)),"미매핑"))</f>
        <v/>
      </c>
      <c r="O4073" s="9">
        <f>IF($A4073="","",N4073&amp;"|"&amp;$F4073)</f>
        <v/>
      </c>
      <c r="P4073" s="77">
        <f>IF($A4073="",0,$H4073*설정!$C$23)</f>
        <v/>
      </c>
      <c r="Q4073" s="39">
        <f>IF($A4073="","",IF(O4073&lt;&gt;원인분석!$C$9,"",IF(AND(M4073&gt;=원인분석!$C$10,M4073&lt;=원인분석!$C$11),"당기",IF(AND(M4073&gt;=원인분석!$C$12,M4073&lt;=원인분석!$C$13),"비교",""))))</f>
        <v/>
      </c>
      <c r="R4073" s="9">
        <f>IF(Q4073="","",$K4073&amp;"")</f>
        <v/>
      </c>
      <c r="S4073" s="9">
        <f>IF(Q4073="","",IF(MATCH(R4073,$R$5:$R$100000,0)=ROW()-4,ROW(),""))</f>
        <v/>
      </c>
      <c r="T4073" s="9">
        <f>IF(Q4073="당기",ABS(P4073)+ROW()/1000000000,"")</f>
        <v/>
      </c>
      <c r="U4073" s="9">
        <f>IF(Q4073="비교",ABS(P4073)+ROW()/1000000000,"")</f>
        <v/>
      </c>
      <c r="V4073" s="39">
        <f>IF($A4073="","",IF(COUNTIF(변동분석!$E$7:$E$506,O4073)&gt;0,"Y","N"))</f>
        <v/>
      </c>
      <c r="W4073" s="39">
        <f>IF($A4073="","",IFERROR(INDEX(계정매핑!$D$5:$D$504,MATCH($F4073&amp;"",계정매핑!$A$5:$A$504,0)),"미매핑"))</f>
        <v/>
      </c>
      <c r="X4073" s="9">
        <f>IF($A4073="","",$F4073&amp;"")</f>
        <v/>
      </c>
    </row>
    <row r="4074">
      <c r="A4074" s="75" t="n">
        <v>2026</v>
      </c>
      <c r="B4074" s="75" t="n">
        <v>9</v>
      </c>
      <c r="C4074" s="75" t="inlineStr">
        <is>
          <t>5100001730</t>
        </is>
      </c>
      <c r="D4074" s="78" t="n">
        <v>46284</v>
      </c>
      <c r="E4074" s="75" t="inlineStr">
        <is>
          <t>KR</t>
        </is>
      </c>
      <c r="F4074" s="75" t="n">
        <v>62902000</v>
      </c>
      <c r="G4074" s="75" t="n">
        <v>1401</v>
      </c>
      <c r="H4074" s="76" t="n">
        <v>1661000</v>
      </c>
      <c r="I4074" s="75" t="inlineStr">
        <is>
          <t>9월 업무 위탁 수수료 - X서비스</t>
        </is>
      </c>
      <c r="J4074" s="75" t="inlineStr">
        <is>
          <t>V10016</t>
        </is>
      </c>
      <c r="K4074" s="75" t="inlineStr">
        <is>
          <t>X서비스</t>
        </is>
      </c>
      <c r="M4074" s="9">
        <f>IF($A4074="","",VALUE($A4074&amp;"")*12+VALUE($B4074&amp;""))</f>
        <v/>
      </c>
      <c r="N4074" s="39">
        <f>IF($A4074="","",IFERROR(INDEX(부서매핑!$C$5:$C$504,MATCH($G4074&amp;"",부서매핑!$A$5:$A$504,0)),"미매핑"))</f>
        <v/>
      </c>
      <c r="O4074" s="9">
        <f>IF($A4074="","",N4074&amp;"|"&amp;$F4074)</f>
        <v/>
      </c>
      <c r="P4074" s="77">
        <f>IF($A4074="",0,$H4074*설정!$C$23)</f>
        <v/>
      </c>
      <c r="Q4074" s="39">
        <f>IF($A4074="","",IF(O4074&lt;&gt;원인분석!$C$9,"",IF(AND(M4074&gt;=원인분석!$C$10,M4074&lt;=원인분석!$C$11),"당기",IF(AND(M4074&gt;=원인분석!$C$12,M4074&lt;=원인분석!$C$13),"비교",""))))</f>
        <v/>
      </c>
      <c r="R4074" s="9">
        <f>IF(Q4074="","",$K4074&amp;"")</f>
        <v/>
      </c>
      <c r="S4074" s="9">
        <f>IF(Q4074="","",IF(MATCH(R4074,$R$5:$R$100000,0)=ROW()-4,ROW(),""))</f>
        <v/>
      </c>
      <c r="T4074" s="9">
        <f>IF(Q4074="당기",ABS(P4074)+ROW()/1000000000,"")</f>
        <v/>
      </c>
      <c r="U4074" s="9">
        <f>IF(Q4074="비교",ABS(P4074)+ROW()/1000000000,"")</f>
        <v/>
      </c>
      <c r="V4074" s="39">
        <f>IF($A4074="","",IF(COUNTIF(변동분석!$E$7:$E$506,O4074)&gt;0,"Y","N"))</f>
        <v/>
      </c>
      <c r="W4074" s="39">
        <f>IF($A4074="","",IFERROR(INDEX(계정매핑!$D$5:$D$504,MATCH($F4074&amp;"",계정매핑!$A$5:$A$504,0)),"미매핑"))</f>
        <v/>
      </c>
      <c r="X4074" s="9">
        <f>IF($A4074="","",$F4074&amp;"")</f>
        <v/>
      </c>
    </row>
    <row r="4075">
      <c r="A4075" s="75" t="n">
        <v>2026</v>
      </c>
      <c r="B4075" s="75" t="n">
        <v>9</v>
      </c>
      <c r="C4075" s="75" t="inlineStr">
        <is>
          <t>5100001731</t>
        </is>
      </c>
      <c r="D4075" s="78" t="n">
        <v>46285</v>
      </c>
      <c r="E4075" s="75" t="inlineStr">
        <is>
          <t>KR</t>
        </is>
      </c>
      <c r="F4075" s="75" t="n">
        <v>62101000</v>
      </c>
      <c r="G4075" s="75" t="n">
        <v>1301</v>
      </c>
      <c r="H4075" s="76" t="n">
        <v>172000</v>
      </c>
      <c r="I4075" s="75" t="inlineStr">
        <is>
          <t>9월 국내출장 - M항공</t>
        </is>
      </c>
      <c r="J4075" s="75" t="inlineStr">
        <is>
          <t>V10001</t>
        </is>
      </c>
      <c r="K4075" s="75" t="inlineStr">
        <is>
          <t>M항공</t>
        </is>
      </c>
      <c r="M4075" s="9">
        <f>IF($A4075="","",VALUE($A4075&amp;"")*12+VALUE($B4075&amp;""))</f>
        <v/>
      </c>
      <c r="N4075" s="39">
        <f>IF($A4075="","",IFERROR(INDEX(부서매핑!$C$5:$C$504,MATCH($G4075&amp;"",부서매핑!$A$5:$A$504,0)),"미매핑"))</f>
        <v/>
      </c>
      <c r="O4075" s="9">
        <f>IF($A4075="","",N4075&amp;"|"&amp;$F4075)</f>
        <v/>
      </c>
      <c r="P4075" s="77">
        <f>IF($A4075="",0,$H4075*설정!$C$23)</f>
        <v/>
      </c>
      <c r="Q4075" s="39">
        <f>IF($A4075="","",IF(O4075&lt;&gt;원인분석!$C$9,"",IF(AND(M4075&gt;=원인분석!$C$10,M4075&lt;=원인분석!$C$11),"당기",IF(AND(M4075&gt;=원인분석!$C$12,M4075&lt;=원인분석!$C$13),"비교",""))))</f>
        <v/>
      </c>
      <c r="R4075" s="9">
        <f>IF(Q4075="","",$K4075&amp;"")</f>
        <v/>
      </c>
      <c r="S4075" s="9">
        <f>IF(Q4075="","",IF(MATCH(R4075,$R$5:$R$100000,0)=ROW()-4,ROW(),""))</f>
        <v/>
      </c>
      <c r="T4075" s="9">
        <f>IF(Q4075="당기",ABS(P4075)+ROW()/1000000000,"")</f>
        <v/>
      </c>
      <c r="U4075" s="9">
        <f>IF(Q4075="비교",ABS(P4075)+ROW()/1000000000,"")</f>
        <v/>
      </c>
      <c r="V4075" s="39">
        <f>IF($A4075="","",IF(COUNTIF(변동분석!$E$7:$E$506,O4075)&gt;0,"Y","N"))</f>
        <v/>
      </c>
      <c r="W4075" s="39">
        <f>IF($A4075="","",IFERROR(INDEX(계정매핑!$D$5:$D$504,MATCH($F4075&amp;"",계정매핑!$A$5:$A$504,0)),"미매핑"))</f>
        <v/>
      </c>
      <c r="X4075" s="9">
        <f>IF($A4075="","",$F4075&amp;"")</f>
        <v/>
      </c>
    </row>
    <row r="4076">
      <c r="A4076" s="75" t="n">
        <v>2026</v>
      </c>
      <c r="B4076" s="75" t="n">
        <v>9</v>
      </c>
      <c r="C4076" s="75" t="inlineStr">
        <is>
          <t>5100001732</t>
        </is>
      </c>
      <c r="D4076" s="78" t="n">
        <v>46285</v>
      </c>
      <c r="E4076" s="75" t="inlineStr">
        <is>
          <t>KR</t>
        </is>
      </c>
      <c r="F4076" s="75" t="n">
        <v>62101000</v>
      </c>
      <c r="G4076" s="75" t="n">
        <v>1301</v>
      </c>
      <c r="H4076" s="76" t="n">
        <v>338000</v>
      </c>
      <c r="I4076" s="75" t="inlineStr">
        <is>
          <t>9월 국내출장 - (법인카드)</t>
        </is>
      </c>
      <c r="J4076" s="75" t="inlineStr">
        <is>
          <t>V10008</t>
        </is>
      </c>
      <c r="K4076" s="75" t="inlineStr">
        <is>
          <t>(법인카드)</t>
        </is>
      </c>
      <c r="M4076" s="9">
        <f>IF($A4076="","",VALUE($A4076&amp;"")*12+VALUE($B4076&amp;""))</f>
        <v/>
      </c>
      <c r="N4076" s="39">
        <f>IF($A4076="","",IFERROR(INDEX(부서매핑!$C$5:$C$504,MATCH($G4076&amp;"",부서매핑!$A$5:$A$504,0)),"미매핑"))</f>
        <v/>
      </c>
      <c r="O4076" s="9">
        <f>IF($A4076="","",N4076&amp;"|"&amp;$F4076)</f>
        <v/>
      </c>
      <c r="P4076" s="77">
        <f>IF($A4076="",0,$H4076*설정!$C$23)</f>
        <v/>
      </c>
      <c r="Q4076" s="39">
        <f>IF($A4076="","",IF(O4076&lt;&gt;원인분석!$C$9,"",IF(AND(M4076&gt;=원인분석!$C$10,M4076&lt;=원인분석!$C$11),"당기",IF(AND(M4076&gt;=원인분석!$C$12,M4076&lt;=원인분석!$C$13),"비교",""))))</f>
        <v/>
      </c>
      <c r="R4076" s="9">
        <f>IF(Q4076="","",$K4076&amp;"")</f>
        <v/>
      </c>
      <c r="S4076" s="9">
        <f>IF(Q4076="","",IF(MATCH(R4076,$R$5:$R$100000,0)=ROW()-4,ROW(),""))</f>
        <v/>
      </c>
      <c r="T4076" s="9">
        <f>IF(Q4076="당기",ABS(P4076)+ROW()/1000000000,"")</f>
        <v/>
      </c>
      <c r="U4076" s="9">
        <f>IF(Q4076="비교",ABS(P4076)+ROW()/1000000000,"")</f>
        <v/>
      </c>
      <c r="V4076" s="39">
        <f>IF($A4076="","",IF(COUNTIF(변동분석!$E$7:$E$506,O4076)&gt;0,"Y","N"))</f>
        <v/>
      </c>
      <c r="W4076" s="39">
        <f>IF($A4076="","",IFERROR(INDEX(계정매핑!$D$5:$D$504,MATCH($F4076&amp;"",계정매핑!$A$5:$A$504,0)),"미매핑"))</f>
        <v/>
      </c>
      <c r="X4076" s="9">
        <f>IF($A4076="","",$F4076&amp;"")</f>
        <v/>
      </c>
    </row>
    <row r="4077">
      <c r="A4077" s="75" t="n">
        <v>2026</v>
      </c>
      <c r="B4077" s="75" t="n">
        <v>9</v>
      </c>
      <c r="C4077" s="75" t="inlineStr">
        <is>
          <t>5100001733</t>
        </is>
      </c>
      <c r="D4077" s="78" t="n">
        <v>46285</v>
      </c>
      <c r="E4077" s="75" t="inlineStr">
        <is>
          <t>KR</t>
        </is>
      </c>
      <c r="F4077" s="75" t="n">
        <v>62201000</v>
      </c>
      <c r="G4077" s="75" t="n">
        <v>1501</v>
      </c>
      <c r="H4077" s="76" t="n">
        <v>261000</v>
      </c>
      <c r="I4077" s="75" t="inlineStr">
        <is>
          <t>9월 통신요금 - P통신</t>
        </is>
      </c>
      <c r="J4077" s="75" t="inlineStr">
        <is>
          <t>V10011</t>
        </is>
      </c>
      <c r="K4077" s="75" t="inlineStr">
        <is>
          <t>P통신</t>
        </is>
      </c>
      <c r="M4077" s="9">
        <f>IF($A4077="","",VALUE($A4077&amp;"")*12+VALUE($B4077&amp;""))</f>
        <v/>
      </c>
      <c r="N4077" s="39">
        <f>IF($A4077="","",IFERROR(INDEX(부서매핑!$C$5:$C$504,MATCH($G4077&amp;"",부서매핑!$A$5:$A$504,0)),"미매핑"))</f>
        <v/>
      </c>
      <c r="O4077" s="9">
        <f>IF($A4077="","",N4077&amp;"|"&amp;$F4077)</f>
        <v/>
      </c>
      <c r="P4077" s="77">
        <f>IF($A4077="",0,$H4077*설정!$C$23)</f>
        <v/>
      </c>
      <c r="Q4077" s="39">
        <f>IF($A4077="","",IF(O4077&lt;&gt;원인분석!$C$9,"",IF(AND(M4077&gt;=원인분석!$C$10,M4077&lt;=원인분석!$C$11),"당기",IF(AND(M4077&gt;=원인분석!$C$12,M4077&lt;=원인분석!$C$13),"비교",""))))</f>
        <v/>
      </c>
      <c r="R4077" s="9">
        <f>IF(Q4077="","",$K4077&amp;"")</f>
        <v/>
      </c>
      <c r="S4077" s="9">
        <f>IF(Q4077="","",IF(MATCH(R4077,$R$5:$R$100000,0)=ROW()-4,ROW(),""))</f>
        <v/>
      </c>
      <c r="T4077" s="9">
        <f>IF(Q4077="당기",ABS(P4077)+ROW()/1000000000,"")</f>
        <v/>
      </c>
      <c r="U4077" s="9">
        <f>IF(Q4077="비교",ABS(P4077)+ROW()/1000000000,"")</f>
        <v/>
      </c>
      <c r="V4077" s="39">
        <f>IF($A4077="","",IF(COUNTIF(변동분석!$E$7:$E$506,O4077)&gt;0,"Y","N"))</f>
        <v/>
      </c>
      <c r="W4077" s="39">
        <f>IF($A4077="","",IFERROR(INDEX(계정매핑!$D$5:$D$504,MATCH($F4077&amp;"",계정매핑!$A$5:$A$504,0)),"미매핑"))</f>
        <v/>
      </c>
      <c r="X4077" s="9">
        <f>IF($A4077="","",$F4077&amp;"")</f>
        <v/>
      </c>
    </row>
    <row r="4078">
      <c r="A4078" s="75" t="n">
        <v>2026</v>
      </c>
      <c r="B4078" s="75" t="n">
        <v>9</v>
      </c>
      <c r="C4078" s="75" t="inlineStr">
        <is>
          <t>5100001734</t>
        </is>
      </c>
      <c r="D4078" s="78" t="n">
        <v>46285</v>
      </c>
      <c r="E4078" s="75" t="inlineStr">
        <is>
          <t>KR</t>
        </is>
      </c>
      <c r="F4078" s="75" t="n">
        <v>62201000</v>
      </c>
      <c r="G4078" s="75" t="n">
        <v>1801</v>
      </c>
      <c r="H4078" s="76" t="n">
        <v>3786000</v>
      </c>
      <c r="I4078" s="75" t="inlineStr">
        <is>
          <t>9월 통신요금 - P통신</t>
        </is>
      </c>
      <c r="J4078" s="75" t="inlineStr">
        <is>
          <t>V10011</t>
        </is>
      </c>
      <c r="K4078" s="75" t="inlineStr">
        <is>
          <t>P통신</t>
        </is>
      </c>
      <c r="M4078" s="9">
        <f>IF($A4078="","",VALUE($A4078&amp;"")*12+VALUE($B4078&amp;""))</f>
        <v/>
      </c>
      <c r="N4078" s="39">
        <f>IF($A4078="","",IFERROR(INDEX(부서매핑!$C$5:$C$504,MATCH($G4078&amp;"",부서매핑!$A$5:$A$504,0)),"미매핑"))</f>
        <v/>
      </c>
      <c r="O4078" s="9">
        <f>IF($A4078="","",N4078&amp;"|"&amp;$F4078)</f>
        <v/>
      </c>
      <c r="P4078" s="77">
        <f>IF($A4078="",0,$H4078*설정!$C$23)</f>
        <v/>
      </c>
      <c r="Q4078" s="39">
        <f>IF($A4078="","",IF(O4078&lt;&gt;원인분석!$C$9,"",IF(AND(M4078&gt;=원인분석!$C$10,M4078&lt;=원인분석!$C$11),"당기",IF(AND(M4078&gt;=원인분석!$C$12,M4078&lt;=원인분석!$C$13),"비교",""))))</f>
        <v/>
      </c>
      <c r="R4078" s="9">
        <f>IF(Q4078="","",$K4078&amp;"")</f>
        <v/>
      </c>
      <c r="S4078" s="9">
        <f>IF(Q4078="","",IF(MATCH(R4078,$R$5:$R$100000,0)=ROW()-4,ROW(),""))</f>
        <v/>
      </c>
      <c r="T4078" s="9">
        <f>IF(Q4078="당기",ABS(P4078)+ROW()/1000000000,"")</f>
        <v/>
      </c>
      <c r="U4078" s="9">
        <f>IF(Q4078="비교",ABS(P4078)+ROW()/1000000000,"")</f>
        <v/>
      </c>
      <c r="V4078" s="39">
        <f>IF($A4078="","",IF(COUNTIF(변동분석!$E$7:$E$506,O4078)&gt;0,"Y","N"))</f>
        <v/>
      </c>
      <c r="W4078" s="39">
        <f>IF($A4078="","",IFERROR(INDEX(계정매핑!$D$5:$D$504,MATCH($F4078&amp;"",계정매핑!$A$5:$A$504,0)),"미매핑"))</f>
        <v/>
      </c>
      <c r="X4078" s="9">
        <f>IF($A4078="","",$F4078&amp;"")</f>
        <v/>
      </c>
    </row>
    <row r="4079">
      <c r="A4079" s="75" t="n">
        <v>2026</v>
      </c>
      <c r="B4079" s="75" t="n">
        <v>9</v>
      </c>
      <c r="C4079" s="75" t="inlineStr">
        <is>
          <t>5100001735</t>
        </is>
      </c>
      <c r="D4079" s="78" t="n">
        <v>46285</v>
      </c>
      <c r="E4079" s="75" t="inlineStr">
        <is>
          <t>KR</t>
        </is>
      </c>
      <c r="F4079" s="75" t="n">
        <v>62301000</v>
      </c>
      <c r="G4079" s="75" t="n">
        <v>1201</v>
      </c>
      <c r="H4079" s="76" t="n">
        <v>289000</v>
      </c>
      <c r="I4079" s="75" t="inlineStr">
        <is>
          <t>9월 소모품 구입 - R문구</t>
        </is>
      </c>
      <c r="J4079" s="75" t="inlineStr">
        <is>
          <t>V10018</t>
        </is>
      </c>
      <c r="K4079" s="75" t="inlineStr">
        <is>
          <t>R문구</t>
        </is>
      </c>
      <c r="M4079" s="9">
        <f>IF($A4079="","",VALUE($A4079&amp;"")*12+VALUE($B4079&amp;""))</f>
        <v/>
      </c>
      <c r="N4079" s="39">
        <f>IF($A4079="","",IFERROR(INDEX(부서매핑!$C$5:$C$504,MATCH($G4079&amp;"",부서매핑!$A$5:$A$504,0)),"미매핑"))</f>
        <v/>
      </c>
      <c r="O4079" s="9">
        <f>IF($A4079="","",N4079&amp;"|"&amp;$F4079)</f>
        <v/>
      </c>
      <c r="P4079" s="77">
        <f>IF($A4079="",0,$H4079*설정!$C$23)</f>
        <v/>
      </c>
      <c r="Q4079" s="39">
        <f>IF($A4079="","",IF(O4079&lt;&gt;원인분석!$C$9,"",IF(AND(M4079&gt;=원인분석!$C$10,M4079&lt;=원인분석!$C$11),"당기",IF(AND(M4079&gt;=원인분석!$C$12,M4079&lt;=원인분석!$C$13),"비교",""))))</f>
        <v/>
      </c>
      <c r="R4079" s="9">
        <f>IF(Q4079="","",$K4079&amp;"")</f>
        <v/>
      </c>
      <c r="S4079" s="9">
        <f>IF(Q4079="","",IF(MATCH(R4079,$R$5:$R$100000,0)=ROW()-4,ROW(),""))</f>
        <v/>
      </c>
      <c r="T4079" s="9">
        <f>IF(Q4079="당기",ABS(P4079)+ROW()/1000000000,"")</f>
        <v/>
      </c>
      <c r="U4079" s="9">
        <f>IF(Q4079="비교",ABS(P4079)+ROW()/1000000000,"")</f>
        <v/>
      </c>
      <c r="V4079" s="39">
        <f>IF($A4079="","",IF(COUNTIF(변동분석!$E$7:$E$506,O4079)&gt;0,"Y","N"))</f>
        <v/>
      </c>
      <c r="W4079" s="39">
        <f>IF($A4079="","",IFERROR(INDEX(계정매핑!$D$5:$D$504,MATCH($F4079&amp;"",계정매핑!$A$5:$A$504,0)),"미매핑"))</f>
        <v/>
      </c>
      <c r="X4079" s="9">
        <f>IF($A4079="","",$F4079&amp;"")</f>
        <v/>
      </c>
    </row>
    <row r="4080">
      <c r="A4080" s="75" t="n">
        <v>2026</v>
      </c>
      <c r="B4080" s="75" t="n">
        <v>9</v>
      </c>
      <c r="C4080" s="75" t="inlineStr">
        <is>
          <t>5100001736</t>
        </is>
      </c>
      <c r="D4080" s="78" t="n">
        <v>46285</v>
      </c>
      <c r="E4080" s="75" t="inlineStr">
        <is>
          <t>KR</t>
        </is>
      </c>
      <c r="F4080" s="75" t="n">
        <v>62501000</v>
      </c>
      <c r="G4080" s="75" t="n">
        <v>1401</v>
      </c>
      <c r="H4080" s="76" t="n">
        <v>208000</v>
      </c>
      <c r="I4080" s="75" t="inlineStr">
        <is>
          <t>9월 회의 다과 - (법인카드)</t>
        </is>
      </c>
      <c r="J4080" s="75" t="inlineStr">
        <is>
          <t>V10008</t>
        </is>
      </c>
      <c r="K4080" s="75" t="inlineStr">
        <is>
          <t>(법인카드)</t>
        </is>
      </c>
      <c r="M4080" s="9">
        <f>IF($A4080="","",VALUE($A4080&amp;"")*12+VALUE($B4080&amp;""))</f>
        <v/>
      </c>
      <c r="N4080" s="39">
        <f>IF($A4080="","",IFERROR(INDEX(부서매핑!$C$5:$C$504,MATCH($G4080&amp;"",부서매핑!$A$5:$A$504,0)),"미매핑"))</f>
        <v/>
      </c>
      <c r="O4080" s="9">
        <f>IF($A4080="","",N4080&amp;"|"&amp;$F4080)</f>
        <v/>
      </c>
      <c r="P4080" s="77">
        <f>IF($A4080="",0,$H4080*설정!$C$23)</f>
        <v/>
      </c>
      <c r="Q4080" s="39">
        <f>IF($A4080="","",IF(O4080&lt;&gt;원인분석!$C$9,"",IF(AND(M4080&gt;=원인분석!$C$10,M4080&lt;=원인분석!$C$11),"당기",IF(AND(M4080&gt;=원인분석!$C$12,M4080&lt;=원인분석!$C$13),"비교",""))))</f>
        <v/>
      </c>
      <c r="R4080" s="9">
        <f>IF(Q4080="","",$K4080&amp;"")</f>
        <v/>
      </c>
      <c r="S4080" s="9">
        <f>IF(Q4080="","",IF(MATCH(R4080,$R$5:$R$100000,0)=ROW()-4,ROW(),""))</f>
        <v/>
      </c>
      <c r="T4080" s="9">
        <f>IF(Q4080="당기",ABS(P4080)+ROW()/1000000000,"")</f>
        <v/>
      </c>
      <c r="U4080" s="9">
        <f>IF(Q4080="비교",ABS(P4080)+ROW()/1000000000,"")</f>
        <v/>
      </c>
      <c r="V4080" s="39">
        <f>IF($A4080="","",IF(COUNTIF(변동분석!$E$7:$E$506,O4080)&gt;0,"Y","N"))</f>
        <v/>
      </c>
      <c r="W4080" s="39">
        <f>IF($A4080="","",IFERROR(INDEX(계정매핑!$D$5:$D$504,MATCH($F4080&amp;"",계정매핑!$A$5:$A$504,0)),"미매핑"))</f>
        <v/>
      </c>
      <c r="X4080" s="9">
        <f>IF($A4080="","",$F4080&amp;"")</f>
        <v/>
      </c>
    </row>
    <row r="4081">
      <c r="A4081" s="75" t="n">
        <v>2026</v>
      </c>
      <c r="B4081" s="75" t="n">
        <v>9</v>
      </c>
      <c r="C4081" s="75" t="inlineStr">
        <is>
          <t>5100001737</t>
        </is>
      </c>
      <c r="D4081" s="78" t="n">
        <v>46285</v>
      </c>
      <c r="E4081" s="75" t="inlineStr">
        <is>
          <t>KR</t>
        </is>
      </c>
      <c r="F4081" s="75" t="n">
        <v>62901000</v>
      </c>
      <c r="G4081" s="75" t="n">
        <v>1101</v>
      </c>
      <c r="H4081" s="76" t="n">
        <v>4348000</v>
      </c>
      <c r="I4081" s="75" t="inlineStr">
        <is>
          <t>9월 자문 수수료 - W컨설팅</t>
        </is>
      </c>
      <c r="J4081" s="75" t="inlineStr">
        <is>
          <t>V10009</t>
        </is>
      </c>
      <c r="K4081" s="75" t="inlineStr">
        <is>
          <t>W컨설팅</t>
        </is>
      </c>
      <c r="M4081" s="9">
        <f>IF($A4081="","",VALUE($A4081&amp;"")*12+VALUE($B4081&amp;""))</f>
        <v/>
      </c>
      <c r="N4081" s="39">
        <f>IF($A4081="","",IFERROR(INDEX(부서매핑!$C$5:$C$504,MATCH($G4081&amp;"",부서매핑!$A$5:$A$504,0)),"미매핑"))</f>
        <v/>
      </c>
      <c r="O4081" s="9">
        <f>IF($A4081="","",N4081&amp;"|"&amp;$F4081)</f>
        <v/>
      </c>
      <c r="P4081" s="77">
        <f>IF($A4081="",0,$H4081*설정!$C$23)</f>
        <v/>
      </c>
      <c r="Q4081" s="39">
        <f>IF($A4081="","",IF(O4081&lt;&gt;원인분석!$C$9,"",IF(AND(M4081&gt;=원인분석!$C$10,M4081&lt;=원인분석!$C$11),"당기",IF(AND(M4081&gt;=원인분석!$C$12,M4081&lt;=원인분석!$C$13),"비교",""))))</f>
        <v/>
      </c>
      <c r="R4081" s="9">
        <f>IF(Q4081="","",$K4081&amp;"")</f>
        <v/>
      </c>
      <c r="S4081" s="9">
        <f>IF(Q4081="","",IF(MATCH(R4081,$R$5:$R$100000,0)=ROW()-4,ROW(),""))</f>
        <v/>
      </c>
      <c r="T4081" s="9">
        <f>IF(Q4081="당기",ABS(P4081)+ROW()/1000000000,"")</f>
        <v/>
      </c>
      <c r="U4081" s="9">
        <f>IF(Q4081="비교",ABS(P4081)+ROW()/1000000000,"")</f>
        <v/>
      </c>
      <c r="V4081" s="39">
        <f>IF($A4081="","",IF(COUNTIF(변동분석!$E$7:$E$506,O4081)&gt;0,"Y","N"))</f>
        <v/>
      </c>
      <c r="W4081" s="39">
        <f>IF($A4081="","",IFERROR(INDEX(계정매핑!$D$5:$D$504,MATCH($F4081&amp;"",계정매핑!$A$5:$A$504,0)),"미매핑"))</f>
        <v/>
      </c>
      <c r="X4081" s="9">
        <f>IF($A4081="","",$F4081&amp;"")</f>
        <v/>
      </c>
    </row>
    <row r="4082">
      <c r="A4082" s="75" t="n">
        <v>2026</v>
      </c>
      <c r="B4082" s="75" t="n">
        <v>9</v>
      </c>
      <c r="C4082" s="75" t="inlineStr">
        <is>
          <t>5100001738</t>
        </is>
      </c>
      <c r="D4082" s="78" t="n">
        <v>46285</v>
      </c>
      <c r="E4082" s="75" t="inlineStr">
        <is>
          <t>KR</t>
        </is>
      </c>
      <c r="F4082" s="75" t="n">
        <v>62902000</v>
      </c>
      <c r="G4082" s="75" t="n">
        <v>1801</v>
      </c>
      <c r="H4082" s="76" t="n">
        <v>1778000</v>
      </c>
      <c r="I4082" s="75" t="inlineStr">
        <is>
          <t>9월 콜 위탁 수수료(건별)</t>
        </is>
      </c>
      <c r="J4082" s="75" t="inlineStr">
        <is>
          <t>V10013</t>
        </is>
      </c>
      <c r="K4082" s="75" t="inlineStr">
        <is>
          <t>J콜센터</t>
        </is>
      </c>
      <c r="M4082" s="9">
        <f>IF($A4082="","",VALUE($A4082&amp;"")*12+VALUE($B4082&amp;""))</f>
        <v/>
      </c>
      <c r="N4082" s="39">
        <f>IF($A4082="","",IFERROR(INDEX(부서매핑!$C$5:$C$504,MATCH($G4082&amp;"",부서매핑!$A$5:$A$504,0)),"미매핑"))</f>
        <v/>
      </c>
      <c r="O4082" s="9">
        <f>IF($A4082="","",N4082&amp;"|"&amp;$F4082)</f>
        <v/>
      </c>
      <c r="P4082" s="77">
        <f>IF($A4082="",0,$H4082*설정!$C$23)</f>
        <v/>
      </c>
      <c r="Q4082" s="39">
        <f>IF($A4082="","",IF(O4082&lt;&gt;원인분석!$C$9,"",IF(AND(M4082&gt;=원인분석!$C$10,M4082&lt;=원인분석!$C$11),"당기",IF(AND(M4082&gt;=원인분석!$C$12,M4082&lt;=원인분석!$C$13),"비교",""))))</f>
        <v/>
      </c>
      <c r="R4082" s="9">
        <f>IF(Q4082="","",$K4082&amp;"")</f>
        <v/>
      </c>
      <c r="S4082" s="9">
        <f>IF(Q4082="","",IF(MATCH(R4082,$R$5:$R$100000,0)=ROW()-4,ROW(),""))</f>
        <v/>
      </c>
      <c r="T4082" s="9">
        <f>IF(Q4082="당기",ABS(P4082)+ROW()/1000000000,"")</f>
        <v/>
      </c>
      <c r="U4082" s="9">
        <f>IF(Q4082="비교",ABS(P4082)+ROW()/1000000000,"")</f>
        <v/>
      </c>
      <c r="V4082" s="39">
        <f>IF($A4082="","",IF(COUNTIF(변동분석!$E$7:$E$506,O4082)&gt;0,"Y","N"))</f>
        <v/>
      </c>
      <c r="W4082" s="39">
        <f>IF($A4082="","",IFERROR(INDEX(계정매핑!$D$5:$D$504,MATCH($F4082&amp;"",계정매핑!$A$5:$A$504,0)),"미매핑"))</f>
        <v/>
      </c>
      <c r="X4082" s="9">
        <f>IF($A4082="","",$F4082&amp;"")</f>
        <v/>
      </c>
    </row>
    <row r="4083">
      <c r="A4083" s="75" t="n">
        <v>2026</v>
      </c>
      <c r="B4083" s="75" t="n">
        <v>9</v>
      </c>
      <c r="C4083" s="75" t="inlineStr">
        <is>
          <t>5100001739</t>
        </is>
      </c>
      <c r="D4083" s="78" t="n">
        <v>46285</v>
      </c>
      <c r="E4083" s="75" t="inlineStr">
        <is>
          <t>KR</t>
        </is>
      </c>
      <c r="F4083" s="75" t="n">
        <v>63201000</v>
      </c>
      <c r="G4083" s="75" t="n">
        <v>1602</v>
      </c>
      <c r="H4083" s="76" t="n">
        <v>12400000</v>
      </c>
      <c r="I4083" s="75" t="inlineStr">
        <is>
          <t>8~9월분 업무차량 정비비</t>
        </is>
      </c>
      <c r="J4083" s="75" t="inlineStr">
        <is>
          <t>V10022</t>
        </is>
      </c>
      <c r="K4083" s="75" t="inlineStr">
        <is>
          <t>D정비</t>
        </is>
      </c>
      <c r="M4083" s="9">
        <f>IF($A4083="","",VALUE($A4083&amp;"")*12+VALUE($B4083&amp;""))</f>
        <v/>
      </c>
      <c r="N4083" s="39">
        <f>IF($A4083="","",IFERROR(INDEX(부서매핑!$C$5:$C$504,MATCH($G4083&amp;"",부서매핑!$A$5:$A$504,0)),"미매핑"))</f>
        <v/>
      </c>
      <c r="O4083" s="9">
        <f>IF($A4083="","",N4083&amp;"|"&amp;$F4083)</f>
        <v/>
      </c>
      <c r="P4083" s="77">
        <f>IF($A4083="",0,$H4083*설정!$C$23)</f>
        <v/>
      </c>
      <c r="Q4083" s="39">
        <f>IF($A4083="","",IF(O4083&lt;&gt;원인분석!$C$9,"",IF(AND(M4083&gt;=원인분석!$C$10,M4083&lt;=원인분석!$C$11),"당기",IF(AND(M4083&gt;=원인분석!$C$12,M4083&lt;=원인분석!$C$13),"비교",""))))</f>
        <v/>
      </c>
      <c r="R4083" s="9">
        <f>IF(Q4083="","",$K4083&amp;"")</f>
        <v/>
      </c>
      <c r="S4083" s="9">
        <f>IF(Q4083="","",IF(MATCH(R4083,$R$5:$R$100000,0)=ROW()-4,ROW(),""))</f>
        <v/>
      </c>
      <c r="T4083" s="9">
        <f>IF(Q4083="당기",ABS(P4083)+ROW()/1000000000,"")</f>
        <v/>
      </c>
      <c r="U4083" s="9">
        <f>IF(Q4083="비교",ABS(P4083)+ROW()/1000000000,"")</f>
        <v/>
      </c>
      <c r="V4083" s="39">
        <f>IF($A4083="","",IF(COUNTIF(변동분석!$E$7:$E$506,O4083)&gt;0,"Y","N"))</f>
        <v/>
      </c>
      <c r="W4083" s="39">
        <f>IF($A4083="","",IFERROR(INDEX(계정매핑!$D$5:$D$504,MATCH($F4083&amp;"",계정매핑!$A$5:$A$504,0)),"미매핑"))</f>
        <v/>
      </c>
      <c r="X4083" s="9">
        <f>IF($A4083="","",$F4083&amp;"")</f>
        <v/>
      </c>
    </row>
    <row r="4084">
      <c r="A4084" s="75" t="n">
        <v>2026</v>
      </c>
      <c r="B4084" s="75" t="n">
        <v>9</v>
      </c>
      <c r="C4084" s="75" t="inlineStr">
        <is>
          <t>5100001740</t>
        </is>
      </c>
      <c r="D4084" s="78" t="n">
        <v>46286</v>
      </c>
      <c r="E4084" s="75" t="inlineStr">
        <is>
          <t>KR</t>
        </is>
      </c>
      <c r="F4084" s="75" t="n">
        <v>62102000</v>
      </c>
      <c r="G4084" s="75" t="n">
        <v>1501</v>
      </c>
      <c r="H4084" s="76" t="n">
        <v>96000</v>
      </c>
      <c r="I4084" s="75" t="inlineStr">
        <is>
          <t>9월 해외출장 - M항공</t>
        </is>
      </c>
      <c r="J4084" s="75" t="inlineStr">
        <is>
          <t>V10001</t>
        </is>
      </c>
      <c r="K4084" s="75" t="inlineStr">
        <is>
          <t>M항공</t>
        </is>
      </c>
      <c r="M4084" s="9">
        <f>IF($A4084="","",VALUE($A4084&amp;"")*12+VALUE($B4084&amp;""))</f>
        <v/>
      </c>
      <c r="N4084" s="39">
        <f>IF($A4084="","",IFERROR(INDEX(부서매핑!$C$5:$C$504,MATCH($G4084&amp;"",부서매핑!$A$5:$A$504,0)),"미매핑"))</f>
        <v/>
      </c>
      <c r="O4084" s="9">
        <f>IF($A4084="","",N4084&amp;"|"&amp;$F4084)</f>
        <v/>
      </c>
      <c r="P4084" s="77">
        <f>IF($A4084="",0,$H4084*설정!$C$23)</f>
        <v/>
      </c>
      <c r="Q4084" s="39">
        <f>IF($A4084="","",IF(O4084&lt;&gt;원인분석!$C$9,"",IF(AND(M4084&gt;=원인분석!$C$10,M4084&lt;=원인분석!$C$11),"당기",IF(AND(M4084&gt;=원인분석!$C$12,M4084&lt;=원인분석!$C$13),"비교",""))))</f>
        <v/>
      </c>
      <c r="R4084" s="9">
        <f>IF(Q4084="","",$K4084&amp;"")</f>
        <v/>
      </c>
      <c r="S4084" s="9">
        <f>IF(Q4084="","",IF(MATCH(R4084,$R$5:$R$100000,0)=ROW()-4,ROW(),""))</f>
        <v/>
      </c>
      <c r="T4084" s="9">
        <f>IF(Q4084="당기",ABS(P4084)+ROW()/1000000000,"")</f>
        <v/>
      </c>
      <c r="U4084" s="9">
        <f>IF(Q4084="비교",ABS(P4084)+ROW()/1000000000,"")</f>
        <v/>
      </c>
      <c r="V4084" s="39">
        <f>IF($A4084="","",IF(COUNTIF(변동분석!$E$7:$E$506,O4084)&gt;0,"Y","N"))</f>
        <v/>
      </c>
      <c r="W4084" s="39">
        <f>IF($A4084="","",IFERROR(INDEX(계정매핑!$D$5:$D$504,MATCH($F4084&amp;"",계정매핑!$A$5:$A$504,0)),"미매핑"))</f>
        <v/>
      </c>
      <c r="X4084" s="9">
        <f>IF($A4084="","",$F4084&amp;"")</f>
        <v/>
      </c>
    </row>
    <row r="4085">
      <c r="A4085" s="75" t="n">
        <v>2026</v>
      </c>
      <c r="B4085" s="75" t="n">
        <v>9</v>
      </c>
      <c r="C4085" s="75" t="inlineStr">
        <is>
          <t>5100001741</t>
        </is>
      </c>
      <c r="D4085" s="78" t="n">
        <v>46286</v>
      </c>
      <c r="E4085" s="75" t="inlineStr">
        <is>
          <t>KR</t>
        </is>
      </c>
      <c r="F4085" s="75" t="n">
        <v>62102000</v>
      </c>
      <c r="G4085" s="75" t="n">
        <v>1601</v>
      </c>
      <c r="H4085" s="76" t="n">
        <v>272000</v>
      </c>
      <c r="I4085" s="75" t="inlineStr">
        <is>
          <t>9월 해외출장 - N호텔</t>
        </is>
      </c>
      <c r="J4085" s="75" t="inlineStr">
        <is>
          <t>V10007</t>
        </is>
      </c>
      <c r="K4085" s="75" t="inlineStr">
        <is>
          <t>N호텔</t>
        </is>
      </c>
      <c r="M4085" s="9">
        <f>IF($A4085="","",VALUE($A4085&amp;"")*12+VALUE($B4085&amp;""))</f>
        <v/>
      </c>
      <c r="N4085" s="39">
        <f>IF($A4085="","",IFERROR(INDEX(부서매핑!$C$5:$C$504,MATCH($G4085&amp;"",부서매핑!$A$5:$A$504,0)),"미매핑"))</f>
        <v/>
      </c>
      <c r="O4085" s="9">
        <f>IF($A4085="","",N4085&amp;"|"&amp;$F4085)</f>
        <v/>
      </c>
      <c r="P4085" s="77">
        <f>IF($A4085="",0,$H4085*설정!$C$23)</f>
        <v/>
      </c>
      <c r="Q4085" s="39">
        <f>IF($A4085="","",IF(O4085&lt;&gt;원인분석!$C$9,"",IF(AND(M4085&gt;=원인분석!$C$10,M4085&lt;=원인분석!$C$11),"당기",IF(AND(M4085&gt;=원인분석!$C$12,M4085&lt;=원인분석!$C$13),"비교",""))))</f>
        <v/>
      </c>
      <c r="R4085" s="9">
        <f>IF(Q4085="","",$K4085&amp;"")</f>
        <v/>
      </c>
      <c r="S4085" s="9">
        <f>IF(Q4085="","",IF(MATCH(R4085,$R$5:$R$100000,0)=ROW()-4,ROW(),""))</f>
        <v/>
      </c>
      <c r="T4085" s="9">
        <f>IF(Q4085="당기",ABS(P4085)+ROW()/1000000000,"")</f>
        <v/>
      </c>
      <c r="U4085" s="9">
        <f>IF(Q4085="비교",ABS(P4085)+ROW()/1000000000,"")</f>
        <v/>
      </c>
      <c r="V4085" s="39">
        <f>IF($A4085="","",IF(COUNTIF(변동분석!$E$7:$E$506,O4085)&gt;0,"Y","N"))</f>
        <v/>
      </c>
      <c r="W4085" s="39">
        <f>IF($A4085="","",IFERROR(INDEX(계정매핑!$D$5:$D$504,MATCH($F4085&amp;"",계정매핑!$A$5:$A$504,0)),"미매핑"))</f>
        <v/>
      </c>
      <c r="X4085" s="9">
        <f>IF($A4085="","",$F4085&amp;"")</f>
        <v/>
      </c>
    </row>
    <row r="4086">
      <c r="A4086" s="75" t="n">
        <v>2026</v>
      </c>
      <c r="B4086" s="75" t="n">
        <v>9</v>
      </c>
      <c r="C4086" s="75" t="inlineStr">
        <is>
          <t>5100001742</t>
        </is>
      </c>
      <c r="D4086" s="78" t="n">
        <v>46286</v>
      </c>
      <c r="E4086" s="75" t="inlineStr">
        <is>
          <t>KR</t>
        </is>
      </c>
      <c r="F4086" s="75" t="n">
        <v>62301000</v>
      </c>
      <c r="G4086" s="75" t="n">
        <v>1101</v>
      </c>
      <c r="H4086" s="76" t="n">
        <v>159000</v>
      </c>
      <c r="I4086" s="75" t="inlineStr">
        <is>
          <t>9월 소모품 구입 - Q오피스</t>
        </is>
      </c>
      <c r="J4086" s="75" t="inlineStr">
        <is>
          <t>V10003</t>
        </is>
      </c>
      <c r="K4086" s="75" t="inlineStr">
        <is>
          <t>Q오피스</t>
        </is>
      </c>
      <c r="M4086" s="9">
        <f>IF($A4086="","",VALUE($A4086&amp;"")*12+VALUE($B4086&amp;""))</f>
        <v/>
      </c>
      <c r="N4086" s="39">
        <f>IF($A4086="","",IFERROR(INDEX(부서매핑!$C$5:$C$504,MATCH($G4086&amp;"",부서매핑!$A$5:$A$504,0)),"미매핑"))</f>
        <v/>
      </c>
      <c r="O4086" s="9">
        <f>IF($A4086="","",N4086&amp;"|"&amp;$F4086)</f>
        <v/>
      </c>
      <c r="P4086" s="77">
        <f>IF($A4086="",0,$H4086*설정!$C$23)</f>
        <v/>
      </c>
      <c r="Q4086" s="39">
        <f>IF($A4086="","",IF(O4086&lt;&gt;원인분석!$C$9,"",IF(AND(M4086&gt;=원인분석!$C$10,M4086&lt;=원인분석!$C$11),"당기",IF(AND(M4086&gt;=원인분석!$C$12,M4086&lt;=원인분석!$C$13),"비교",""))))</f>
        <v/>
      </c>
      <c r="R4086" s="9">
        <f>IF(Q4086="","",$K4086&amp;"")</f>
        <v/>
      </c>
      <c r="S4086" s="9">
        <f>IF(Q4086="","",IF(MATCH(R4086,$R$5:$R$100000,0)=ROW()-4,ROW(),""))</f>
        <v/>
      </c>
      <c r="T4086" s="9">
        <f>IF(Q4086="당기",ABS(P4086)+ROW()/1000000000,"")</f>
        <v/>
      </c>
      <c r="U4086" s="9">
        <f>IF(Q4086="비교",ABS(P4086)+ROW()/1000000000,"")</f>
        <v/>
      </c>
      <c r="V4086" s="39">
        <f>IF($A4086="","",IF(COUNTIF(변동분석!$E$7:$E$506,O4086)&gt;0,"Y","N"))</f>
        <v/>
      </c>
      <c r="W4086" s="39">
        <f>IF($A4086="","",IFERROR(INDEX(계정매핑!$D$5:$D$504,MATCH($F4086&amp;"",계정매핑!$A$5:$A$504,0)),"미매핑"))</f>
        <v/>
      </c>
      <c r="X4086" s="9">
        <f>IF($A4086="","",$F4086&amp;"")</f>
        <v/>
      </c>
    </row>
    <row r="4087">
      <c r="A4087" s="75" t="n">
        <v>2026</v>
      </c>
      <c r="B4087" s="75" t="n">
        <v>9</v>
      </c>
      <c r="C4087" s="75" t="inlineStr">
        <is>
          <t>5100001743</t>
        </is>
      </c>
      <c r="D4087" s="78" t="n">
        <v>46286</v>
      </c>
      <c r="E4087" s="75" t="inlineStr">
        <is>
          <t>KR</t>
        </is>
      </c>
      <c r="F4087" s="75" t="n">
        <v>62401000</v>
      </c>
      <c r="G4087" s="75" t="n">
        <v>1501</v>
      </c>
      <c r="H4087" s="76" t="n">
        <v>1539000</v>
      </c>
      <c r="I4087" s="75" t="inlineStr">
        <is>
          <t>9월 인쇄물 제작 - S출판</t>
        </is>
      </c>
      <c r="J4087" s="75" t="inlineStr">
        <is>
          <t>V10012</t>
        </is>
      </c>
      <c r="K4087" s="75" t="inlineStr">
        <is>
          <t>S출판</t>
        </is>
      </c>
      <c r="M4087" s="9">
        <f>IF($A4087="","",VALUE($A4087&amp;"")*12+VALUE($B4087&amp;""))</f>
        <v/>
      </c>
      <c r="N4087" s="39">
        <f>IF($A4087="","",IFERROR(INDEX(부서매핑!$C$5:$C$504,MATCH($G4087&amp;"",부서매핑!$A$5:$A$504,0)),"미매핑"))</f>
        <v/>
      </c>
      <c r="O4087" s="9">
        <f>IF($A4087="","",N4087&amp;"|"&amp;$F4087)</f>
        <v/>
      </c>
      <c r="P4087" s="77">
        <f>IF($A4087="",0,$H4087*설정!$C$23)</f>
        <v/>
      </c>
      <c r="Q4087" s="39">
        <f>IF($A4087="","",IF(O4087&lt;&gt;원인분석!$C$9,"",IF(AND(M4087&gt;=원인분석!$C$10,M4087&lt;=원인분석!$C$11),"당기",IF(AND(M4087&gt;=원인분석!$C$12,M4087&lt;=원인분석!$C$13),"비교",""))))</f>
        <v/>
      </c>
      <c r="R4087" s="9">
        <f>IF(Q4087="","",$K4087&amp;"")</f>
        <v/>
      </c>
      <c r="S4087" s="9">
        <f>IF(Q4087="","",IF(MATCH(R4087,$R$5:$R$100000,0)=ROW()-4,ROW(),""))</f>
        <v/>
      </c>
      <c r="T4087" s="9">
        <f>IF(Q4087="당기",ABS(P4087)+ROW()/1000000000,"")</f>
        <v/>
      </c>
      <c r="U4087" s="9">
        <f>IF(Q4087="비교",ABS(P4087)+ROW()/1000000000,"")</f>
        <v/>
      </c>
      <c r="V4087" s="39">
        <f>IF($A4087="","",IF(COUNTIF(변동분석!$E$7:$E$506,O4087)&gt;0,"Y","N"))</f>
        <v/>
      </c>
      <c r="W4087" s="39">
        <f>IF($A4087="","",IFERROR(INDEX(계정매핑!$D$5:$D$504,MATCH($F4087&amp;"",계정매핑!$A$5:$A$504,0)),"미매핑"))</f>
        <v/>
      </c>
      <c r="X4087" s="9">
        <f>IF($A4087="","",$F4087&amp;"")</f>
        <v/>
      </c>
    </row>
    <row r="4088">
      <c r="A4088" s="75" t="n">
        <v>2026</v>
      </c>
      <c r="B4088" s="75" t="n">
        <v>9</v>
      </c>
      <c r="C4088" s="75" t="inlineStr">
        <is>
          <t>5100001744</t>
        </is>
      </c>
      <c r="D4088" s="78" t="n">
        <v>46286</v>
      </c>
      <c r="E4088" s="75" t="inlineStr">
        <is>
          <t>KR</t>
        </is>
      </c>
      <c r="F4088" s="75" t="n">
        <v>62501000</v>
      </c>
      <c r="G4088" s="75" t="n">
        <v>1201</v>
      </c>
      <c r="H4088" s="76" t="n">
        <v>163000</v>
      </c>
      <c r="I4088" s="75" t="inlineStr">
        <is>
          <t>9월 회의 다과 - T케이터링</t>
        </is>
      </c>
      <c r="J4088" s="75" t="inlineStr">
        <is>
          <t>V10005</t>
        </is>
      </c>
      <c r="K4088" s="75" t="inlineStr">
        <is>
          <t>T케이터링</t>
        </is>
      </c>
      <c r="M4088" s="9">
        <f>IF($A4088="","",VALUE($A4088&amp;"")*12+VALUE($B4088&amp;""))</f>
        <v/>
      </c>
      <c r="N4088" s="39">
        <f>IF($A4088="","",IFERROR(INDEX(부서매핑!$C$5:$C$504,MATCH($G4088&amp;"",부서매핑!$A$5:$A$504,0)),"미매핑"))</f>
        <v/>
      </c>
      <c r="O4088" s="9">
        <f>IF($A4088="","",N4088&amp;"|"&amp;$F4088)</f>
        <v/>
      </c>
      <c r="P4088" s="77">
        <f>IF($A4088="",0,$H4088*설정!$C$23)</f>
        <v/>
      </c>
      <c r="Q4088" s="39">
        <f>IF($A4088="","",IF(O4088&lt;&gt;원인분석!$C$9,"",IF(AND(M4088&gt;=원인분석!$C$10,M4088&lt;=원인분석!$C$11),"당기",IF(AND(M4088&gt;=원인분석!$C$12,M4088&lt;=원인분석!$C$13),"비교",""))))</f>
        <v/>
      </c>
      <c r="R4088" s="9">
        <f>IF(Q4088="","",$K4088&amp;"")</f>
        <v/>
      </c>
      <c r="S4088" s="9">
        <f>IF(Q4088="","",IF(MATCH(R4088,$R$5:$R$100000,0)=ROW()-4,ROW(),""))</f>
        <v/>
      </c>
      <c r="T4088" s="9">
        <f>IF(Q4088="당기",ABS(P4088)+ROW()/1000000000,"")</f>
        <v/>
      </c>
      <c r="U4088" s="9">
        <f>IF(Q4088="비교",ABS(P4088)+ROW()/1000000000,"")</f>
        <v/>
      </c>
      <c r="V4088" s="39">
        <f>IF($A4088="","",IF(COUNTIF(변동분석!$E$7:$E$506,O4088)&gt;0,"Y","N"))</f>
        <v/>
      </c>
      <c r="W4088" s="39">
        <f>IF($A4088="","",IFERROR(INDEX(계정매핑!$D$5:$D$504,MATCH($F4088&amp;"",계정매핑!$A$5:$A$504,0)),"미매핑"))</f>
        <v/>
      </c>
      <c r="X4088" s="9">
        <f>IF($A4088="","",$F4088&amp;"")</f>
        <v/>
      </c>
    </row>
    <row r="4089">
      <c r="A4089" s="75" t="n">
        <v>2026</v>
      </c>
      <c r="B4089" s="75" t="n">
        <v>9</v>
      </c>
      <c r="C4089" s="75" t="inlineStr">
        <is>
          <t>5100001745</t>
        </is>
      </c>
      <c r="D4089" s="78" t="n">
        <v>46286</v>
      </c>
      <c r="E4089" s="75" t="inlineStr">
        <is>
          <t>KR</t>
        </is>
      </c>
      <c r="F4089" s="75" t="n">
        <v>62901000</v>
      </c>
      <c r="G4089" s="75" t="n">
        <v>1101</v>
      </c>
      <c r="H4089" s="76" t="n">
        <v>3443000</v>
      </c>
      <c r="I4089" s="75" t="inlineStr">
        <is>
          <t>9월 자문 수수료 - K회계법인</t>
        </is>
      </c>
      <c r="J4089" s="75" t="inlineStr">
        <is>
          <t>V10010</t>
        </is>
      </c>
      <c r="K4089" s="75" t="inlineStr">
        <is>
          <t>K회계법인</t>
        </is>
      </c>
      <c r="M4089" s="9">
        <f>IF($A4089="","",VALUE($A4089&amp;"")*12+VALUE($B4089&amp;""))</f>
        <v/>
      </c>
      <c r="N4089" s="39">
        <f>IF($A4089="","",IFERROR(INDEX(부서매핑!$C$5:$C$504,MATCH($G4089&amp;"",부서매핑!$A$5:$A$504,0)),"미매핑"))</f>
        <v/>
      </c>
      <c r="O4089" s="9">
        <f>IF($A4089="","",N4089&amp;"|"&amp;$F4089)</f>
        <v/>
      </c>
      <c r="P4089" s="77">
        <f>IF($A4089="",0,$H4089*설정!$C$23)</f>
        <v/>
      </c>
      <c r="Q4089" s="39">
        <f>IF($A4089="","",IF(O4089&lt;&gt;원인분석!$C$9,"",IF(AND(M4089&gt;=원인분석!$C$10,M4089&lt;=원인분석!$C$11),"당기",IF(AND(M4089&gt;=원인분석!$C$12,M4089&lt;=원인분석!$C$13),"비교",""))))</f>
        <v/>
      </c>
      <c r="R4089" s="9">
        <f>IF(Q4089="","",$K4089&amp;"")</f>
        <v/>
      </c>
      <c r="S4089" s="9">
        <f>IF(Q4089="","",IF(MATCH(R4089,$R$5:$R$100000,0)=ROW()-4,ROW(),""))</f>
        <v/>
      </c>
      <c r="T4089" s="9">
        <f>IF(Q4089="당기",ABS(P4089)+ROW()/1000000000,"")</f>
        <v/>
      </c>
      <c r="U4089" s="9">
        <f>IF(Q4089="비교",ABS(P4089)+ROW()/1000000000,"")</f>
        <v/>
      </c>
      <c r="V4089" s="39">
        <f>IF($A4089="","",IF(COUNTIF(변동분석!$E$7:$E$506,O4089)&gt;0,"Y","N"))</f>
        <v/>
      </c>
      <c r="W4089" s="39">
        <f>IF($A4089="","",IFERROR(INDEX(계정매핑!$D$5:$D$504,MATCH($F4089&amp;"",계정매핑!$A$5:$A$504,0)),"미매핑"))</f>
        <v/>
      </c>
      <c r="X4089" s="9">
        <f>IF($A4089="","",$F4089&amp;"")</f>
        <v/>
      </c>
    </row>
    <row r="4090">
      <c r="A4090" s="75" t="n">
        <v>2026</v>
      </c>
      <c r="B4090" s="75" t="n">
        <v>9</v>
      </c>
      <c r="C4090" s="75" t="inlineStr">
        <is>
          <t>5100001746</t>
        </is>
      </c>
      <c r="D4090" s="78" t="n">
        <v>46286</v>
      </c>
      <c r="E4090" s="75" t="inlineStr">
        <is>
          <t>KR</t>
        </is>
      </c>
      <c r="F4090" s="75" t="n">
        <v>62901000</v>
      </c>
      <c r="G4090" s="75" t="n">
        <v>1801</v>
      </c>
      <c r="H4090" s="76" t="n">
        <v>11780000</v>
      </c>
      <c r="I4090" s="75" t="inlineStr">
        <is>
          <t>9월 자문 수수료 - W컨설팅</t>
        </is>
      </c>
      <c r="J4090" s="75" t="inlineStr">
        <is>
          <t>V10009</t>
        </is>
      </c>
      <c r="K4090" s="75" t="inlineStr">
        <is>
          <t>W컨설팅</t>
        </is>
      </c>
      <c r="M4090" s="9">
        <f>IF($A4090="","",VALUE($A4090&amp;"")*12+VALUE($B4090&amp;""))</f>
        <v/>
      </c>
      <c r="N4090" s="39">
        <f>IF($A4090="","",IFERROR(INDEX(부서매핑!$C$5:$C$504,MATCH($G4090&amp;"",부서매핑!$A$5:$A$504,0)),"미매핑"))</f>
        <v/>
      </c>
      <c r="O4090" s="9">
        <f>IF($A4090="","",N4090&amp;"|"&amp;$F4090)</f>
        <v/>
      </c>
      <c r="P4090" s="77">
        <f>IF($A4090="",0,$H4090*설정!$C$23)</f>
        <v/>
      </c>
      <c r="Q4090" s="39">
        <f>IF($A4090="","",IF(O4090&lt;&gt;원인분석!$C$9,"",IF(AND(M4090&gt;=원인분석!$C$10,M4090&lt;=원인분석!$C$11),"당기",IF(AND(M4090&gt;=원인분석!$C$12,M4090&lt;=원인분석!$C$13),"비교",""))))</f>
        <v/>
      </c>
      <c r="R4090" s="9">
        <f>IF(Q4090="","",$K4090&amp;"")</f>
        <v/>
      </c>
      <c r="S4090" s="9">
        <f>IF(Q4090="","",IF(MATCH(R4090,$R$5:$R$100000,0)=ROW()-4,ROW(),""))</f>
        <v/>
      </c>
      <c r="T4090" s="9">
        <f>IF(Q4090="당기",ABS(P4090)+ROW()/1000000000,"")</f>
        <v/>
      </c>
      <c r="U4090" s="9">
        <f>IF(Q4090="비교",ABS(P4090)+ROW()/1000000000,"")</f>
        <v/>
      </c>
      <c r="V4090" s="39">
        <f>IF($A4090="","",IF(COUNTIF(변동분석!$E$7:$E$506,O4090)&gt;0,"Y","N"))</f>
        <v/>
      </c>
      <c r="W4090" s="39">
        <f>IF($A4090="","",IFERROR(INDEX(계정매핑!$D$5:$D$504,MATCH($F4090&amp;"",계정매핑!$A$5:$A$504,0)),"미매핑"))</f>
        <v/>
      </c>
      <c r="X4090" s="9">
        <f>IF($A4090="","",$F4090&amp;"")</f>
        <v/>
      </c>
    </row>
    <row r="4091">
      <c r="A4091" s="75" t="n">
        <v>2026</v>
      </c>
      <c r="B4091" s="75" t="n">
        <v>9</v>
      </c>
      <c r="C4091" s="75" t="inlineStr">
        <is>
          <t>5100001747</t>
        </is>
      </c>
      <c r="D4091" s="78" t="n">
        <v>46286</v>
      </c>
      <c r="E4091" s="75" t="inlineStr">
        <is>
          <t>KR</t>
        </is>
      </c>
      <c r="F4091" s="75" t="n">
        <v>62902000</v>
      </c>
      <c r="G4091" s="75" t="n">
        <v>1201</v>
      </c>
      <c r="H4091" s="76" t="n">
        <v>3038000</v>
      </c>
      <c r="I4091" s="75" t="inlineStr">
        <is>
          <t>9월 업무 위탁 수수료 - J콜센터</t>
        </is>
      </c>
      <c r="J4091" s="75" t="inlineStr">
        <is>
          <t>V10013</t>
        </is>
      </c>
      <c r="K4091" s="75" t="inlineStr">
        <is>
          <t>J콜센터</t>
        </is>
      </c>
      <c r="M4091" s="9">
        <f>IF($A4091="","",VALUE($A4091&amp;"")*12+VALUE($B4091&amp;""))</f>
        <v/>
      </c>
      <c r="N4091" s="39">
        <f>IF($A4091="","",IFERROR(INDEX(부서매핑!$C$5:$C$504,MATCH($G4091&amp;"",부서매핑!$A$5:$A$504,0)),"미매핑"))</f>
        <v/>
      </c>
      <c r="O4091" s="9">
        <f>IF($A4091="","",N4091&amp;"|"&amp;$F4091)</f>
        <v/>
      </c>
      <c r="P4091" s="77">
        <f>IF($A4091="",0,$H4091*설정!$C$23)</f>
        <v/>
      </c>
      <c r="Q4091" s="39">
        <f>IF($A4091="","",IF(O4091&lt;&gt;원인분석!$C$9,"",IF(AND(M4091&gt;=원인분석!$C$10,M4091&lt;=원인분석!$C$11),"당기",IF(AND(M4091&gt;=원인분석!$C$12,M4091&lt;=원인분석!$C$13),"비교",""))))</f>
        <v/>
      </c>
      <c r="R4091" s="9">
        <f>IF(Q4091="","",$K4091&amp;"")</f>
        <v/>
      </c>
      <c r="S4091" s="9">
        <f>IF(Q4091="","",IF(MATCH(R4091,$R$5:$R$100000,0)=ROW()-4,ROW(),""))</f>
        <v/>
      </c>
      <c r="T4091" s="9">
        <f>IF(Q4091="당기",ABS(P4091)+ROW()/1000000000,"")</f>
        <v/>
      </c>
      <c r="U4091" s="9">
        <f>IF(Q4091="비교",ABS(P4091)+ROW()/1000000000,"")</f>
        <v/>
      </c>
      <c r="V4091" s="39">
        <f>IF($A4091="","",IF(COUNTIF(변동분석!$E$7:$E$506,O4091)&gt;0,"Y","N"))</f>
        <v/>
      </c>
      <c r="W4091" s="39">
        <f>IF($A4091="","",IFERROR(INDEX(계정매핑!$D$5:$D$504,MATCH($F4091&amp;"",계정매핑!$A$5:$A$504,0)),"미매핑"))</f>
        <v/>
      </c>
      <c r="X4091" s="9">
        <f>IF($A4091="","",$F4091&amp;"")</f>
        <v/>
      </c>
    </row>
    <row r="4092">
      <c r="A4092" s="75" t="n">
        <v>2026</v>
      </c>
      <c r="B4092" s="75" t="n">
        <v>9</v>
      </c>
      <c r="C4092" s="75" t="inlineStr">
        <is>
          <t>5100001748</t>
        </is>
      </c>
      <c r="D4092" s="78" t="n">
        <v>46286</v>
      </c>
      <c r="E4092" s="75" t="inlineStr">
        <is>
          <t>KR</t>
        </is>
      </c>
      <c r="F4092" s="75" t="n">
        <v>62902000</v>
      </c>
      <c r="G4092" s="75" t="n">
        <v>1801</v>
      </c>
      <c r="H4092" s="76" t="n">
        <v>1752000</v>
      </c>
      <c r="I4092" s="75" t="inlineStr">
        <is>
          <t>9월 콜 위탁 수수료(건별)</t>
        </is>
      </c>
      <c r="J4092" s="75" t="inlineStr">
        <is>
          <t>V10013</t>
        </is>
      </c>
      <c r="K4092" s="75" t="inlineStr">
        <is>
          <t>J콜센터</t>
        </is>
      </c>
      <c r="M4092" s="9">
        <f>IF($A4092="","",VALUE($A4092&amp;"")*12+VALUE($B4092&amp;""))</f>
        <v/>
      </c>
      <c r="N4092" s="39">
        <f>IF($A4092="","",IFERROR(INDEX(부서매핑!$C$5:$C$504,MATCH($G4092&amp;"",부서매핑!$A$5:$A$504,0)),"미매핑"))</f>
        <v/>
      </c>
      <c r="O4092" s="9">
        <f>IF($A4092="","",N4092&amp;"|"&amp;$F4092)</f>
        <v/>
      </c>
      <c r="P4092" s="77">
        <f>IF($A4092="",0,$H4092*설정!$C$23)</f>
        <v/>
      </c>
      <c r="Q4092" s="39">
        <f>IF($A4092="","",IF(O4092&lt;&gt;원인분석!$C$9,"",IF(AND(M4092&gt;=원인분석!$C$10,M4092&lt;=원인분석!$C$11),"당기",IF(AND(M4092&gt;=원인분석!$C$12,M4092&lt;=원인분석!$C$13),"비교",""))))</f>
        <v/>
      </c>
      <c r="R4092" s="9">
        <f>IF(Q4092="","",$K4092&amp;"")</f>
        <v/>
      </c>
      <c r="S4092" s="9">
        <f>IF(Q4092="","",IF(MATCH(R4092,$R$5:$R$100000,0)=ROW()-4,ROW(),""))</f>
        <v/>
      </c>
      <c r="T4092" s="9">
        <f>IF(Q4092="당기",ABS(P4092)+ROW()/1000000000,"")</f>
        <v/>
      </c>
      <c r="U4092" s="9">
        <f>IF(Q4092="비교",ABS(P4092)+ROW()/1000000000,"")</f>
        <v/>
      </c>
      <c r="V4092" s="39">
        <f>IF($A4092="","",IF(COUNTIF(변동분석!$E$7:$E$506,O4092)&gt;0,"Y","N"))</f>
        <v/>
      </c>
      <c r="W4092" s="39">
        <f>IF($A4092="","",IFERROR(INDEX(계정매핑!$D$5:$D$504,MATCH($F4092&amp;"",계정매핑!$A$5:$A$504,0)),"미매핑"))</f>
        <v/>
      </c>
      <c r="X4092" s="9">
        <f>IF($A4092="","",$F4092&amp;"")</f>
        <v/>
      </c>
    </row>
    <row r="4093">
      <c r="A4093" s="75" t="n">
        <v>2026</v>
      </c>
      <c r="B4093" s="75" t="n">
        <v>9</v>
      </c>
      <c r="C4093" s="75" t="inlineStr">
        <is>
          <t>5100001749</t>
        </is>
      </c>
      <c r="D4093" s="78" t="n">
        <v>46287</v>
      </c>
      <c r="E4093" s="75" t="inlineStr">
        <is>
          <t>KR</t>
        </is>
      </c>
      <c r="F4093" s="75" t="n">
        <v>62201000</v>
      </c>
      <c r="G4093" s="75" t="n">
        <v>1101</v>
      </c>
      <c r="H4093" s="76" t="n">
        <v>234000</v>
      </c>
      <c r="I4093" s="75" t="inlineStr">
        <is>
          <t>9월 통신요금 - P통신</t>
        </is>
      </c>
      <c r="J4093" s="75" t="inlineStr">
        <is>
          <t>V10011</t>
        </is>
      </c>
      <c r="K4093" s="75" t="inlineStr">
        <is>
          <t>P통신</t>
        </is>
      </c>
      <c r="M4093" s="9">
        <f>IF($A4093="","",VALUE($A4093&amp;"")*12+VALUE($B4093&amp;""))</f>
        <v/>
      </c>
      <c r="N4093" s="39">
        <f>IF($A4093="","",IFERROR(INDEX(부서매핑!$C$5:$C$504,MATCH($G4093&amp;"",부서매핑!$A$5:$A$504,0)),"미매핑"))</f>
        <v/>
      </c>
      <c r="O4093" s="9">
        <f>IF($A4093="","",N4093&amp;"|"&amp;$F4093)</f>
        <v/>
      </c>
      <c r="P4093" s="77">
        <f>IF($A4093="",0,$H4093*설정!$C$23)</f>
        <v/>
      </c>
      <c r="Q4093" s="39">
        <f>IF($A4093="","",IF(O4093&lt;&gt;원인분석!$C$9,"",IF(AND(M4093&gt;=원인분석!$C$10,M4093&lt;=원인분석!$C$11),"당기",IF(AND(M4093&gt;=원인분석!$C$12,M4093&lt;=원인분석!$C$13),"비교",""))))</f>
        <v/>
      </c>
      <c r="R4093" s="9">
        <f>IF(Q4093="","",$K4093&amp;"")</f>
        <v/>
      </c>
      <c r="S4093" s="9">
        <f>IF(Q4093="","",IF(MATCH(R4093,$R$5:$R$100000,0)=ROW()-4,ROW(),""))</f>
        <v/>
      </c>
      <c r="T4093" s="9">
        <f>IF(Q4093="당기",ABS(P4093)+ROW()/1000000000,"")</f>
        <v/>
      </c>
      <c r="U4093" s="9">
        <f>IF(Q4093="비교",ABS(P4093)+ROW()/1000000000,"")</f>
        <v/>
      </c>
      <c r="V4093" s="39">
        <f>IF($A4093="","",IF(COUNTIF(변동분석!$E$7:$E$506,O4093)&gt;0,"Y","N"))</f>
        <v/>
      </c>
      <c r="W4093" s="39">
        <f>IF($A4093="","",IFERROR(INDEX(계정매핑!$D$5:$D$504,MATCH($F4093&amp;"",계정매핑!$A$5:$A$504,0)),"미매핑"))</f>
        <v/>
      </c>
      <c r="X4093" s="9">
        <f>IF($A4093="","",$F4093&amp;"")</f>
        <v/>
      </c>
    </row>
    <row r="4094">
      <c r="A4094" s="75" t="n">
        <v>2026</v>
      </c>
      <c r="B4094" s="75" t="n">
        <v>9</v>
      </c>
      <c r="C4094" s="75" t="inlineStr">
        <is>
          <t>5100001750</t>
        </is>
      </c>
      <c r="D4094" s="78" t="n">
        <v>46287</v>
      </c>
      <c r="E4094" s="75" t="inlineStr">
        <is>
          <t>KR</t>
        </is>
      </c>
      <c r="F4094" s="75" t="n">
        <v>62301000</v>
      </c>
      <c r="G4094" s="75" t="n">
        <v>1401</v>
      </c>
      <c r="H4094" s="76" t="n">
        <v>131000</v>
      </c>
      <c r="I4094" s="75" t="inlineStr">
        <is>
          <t>9월 소모품 구입 - Q오피스</t>
        </is>
      </c>
      <c r="J4094" s="75" t="inlineStr">
        <is>
          <t>V10003</t>
        </is>
      </c>
      <c r="K4094" s="75" t="inlineStr">
        <is>
          <t>Q오피스</t>
        </is>
      </c>
      <c r="M4094" s="9">
        <f>IF($A4094="","",VALUE($A4094&amp;"")*12+VALUE($B4094&amp;""))</f>
        <v/>
      </c>
      <c r="N4094" s="39">
        <f>IF($A4094="","",IFERROR(INDEX(부서매핑!$C$5:$C$504,MATCH($G4094&amp;"",부서매핑!$A$5:$A$504,0)),"미매핑"))</f>
        <v/>
      </c>
      <c r="O4094" s="9">
        <f>IF($A4094="","",N4094&amp;"|"&amp;$F4094)</f>
        <v/>
      </c>
      <c r="P4094" s="77">
        <f>IF($A4094="",0,$H4094*설정!$C$23)</f>
        <v/>
      </c>
      <c r="Q4094" s="39">
        <f>IF($A4094="","",IF(O4094&lt;&gt;원인분석!$C$9,"",IF(AND(M4094&gt;=원인분석!$C$10,M4094&lt;=원인분석!$C$11),"당기",IF(AND(M4094&gt;=원인분석!$C$12,M4094&lt;=원인분석!$C$13),"비교",""))))</f>
        <v/>
      </c>
      <c r="R4094" s="9">
        <f>IF(Q4094="","",$K4094&amp;"")</f>
        <v/>
      </c>
      <c r="S4094" s="9">
        <f>IF(Q4094="","",IF(MATCH(R4094,$R$5:$R$100000,0)=ROW()-4,ROW(),""))</f>
        <v/>
      </c>
      <c r="T4094" s="9">
        <f>IF(Q4094="당기",ABS(P4094)+ROW()/1000000000,"")</f>
        <v/>
      </c>
      <c r="U4094" s="9">
        <f>IF(Q4094="비교",ABS(P4094)+ROW()/1000000000,"")</f>
        <v/>
      </c>
      <c r="V4094" s="39">
        <f>IF($A4094="","",IF(COUNTIF(변동분석!$E$7:$E$506,O4094)&gt;0,"Y","N"))</f>
        <v/>
      </c>
      <c r="W4094" s="39">
        <f>IF($A4094="","",IFERROR(INDEX(계정매핑!$D$5:$D$504,MATCH($F4094&amp;"",계정매핑!$A$5:$A$504,0)),"미매핑"))</f>
        <v/>
      </c>
      <c r="X4094" s="9">
        <f>IF($A4094="","",$F4094&amp;"")</f>
        <v/>
      </c>
    </row>
    <row r="4095">
      <c r="A4095" s="75" t="n">
        <v>2026</v>
      </c>
      <c r="B4095" s="75" t="n">
        <v>9</v>
      </c>
      <c r="C4095" s="75" t="inlineStr">
        <is>
          <t>5100001751</t>
        </is>
      </c>
      <c r="D4095" s="78" t="n">
        <v>46287</v>
      </c>
      <c r="E4095" s="75" t="inlineStr">
        <is>
          <t>KR</t>
        </is>
      </c>
      <c r="F4095" s="75" t="n">
        <v>62902000</v>
      </c>
      <c r="G4095" s="75" t="n">
        <v>1101</v>
      </c>
      <c r="H4095" s="76" t="n">
        <v>2107000</v>
      </c>
      <c r="I4095" s="75" t="inlineStr">
        <is>
          <t>9월 업무 위탁 수수료 - X서비스</t>
        </is>
      </c>
      <c r="J4095" s="75" t="inlineStr">
        <is>
          <t>V10016</t>
        </is>
      </c>
      <c r="K4095" s="75" t="inlineStr">
        <is>
          <t>X서비스</t>
        </is>
      </c>
      <c r="M4095" s="9">
        <f>IF($A4095="","",VALUE($A4095&amp;"")*12+VALUE($B4095&amp;""))</f>
        <v/>
      </c>
      <c r="N4095" s="39">
        <f>IF($A4095="","",IFERROR(INDEX(부서매핑!$C$5:$C$504,MATCH($G4095&amp;"",부서매핑!$A$5:$A$504,0)),"미매핑"))</f>
        <v/>
      </c>
      <c r="O4095" s="9">
        <f>IF($A4095="","",N4095&amp;"|"&amp;$F4095)</f>
        <v/>
      </c>
      <c r="P4095" s="77">
        <f>IF($A4095="",0,$H4095*설정!$C$23)</f>
        <v/>
      </c>
      <c r="Q4095" s="39">
        <f>IF($A4095="","",IF(O4095&lt;&gt;원인분석!$C$9,"",IF(AND(M4095&gt;=원인분석!$C$10,M4095&lt;=원인분석!$C$11),"당기",IF(AND(M4095&gt;=원인분석!$C$12,M4095&lt;=원인분석!$C$13),"비교",""))))</f>
        <v/>
      </c>
      <c r="R4095" s="9">
        <f>IF(Q4095="","",$K4095&amp;"")</f>
        <v/>
      </c>
      <c r="S4095" s="9">
        <f>IF(Q4095="","",IF(MATCH(R4095,$R$5:$R$100000,0)=ROW()-4,ROW(),""))</f>
        <v/>
      </c>
      <c r="T4095" s="9">
        <f>IF(Q4095="당기",ABS(P4095)+ROW()/1000000000,"")</f>
        <v/>
      </c>
      <c r="U4095" s="9">
        <f>IF(Q4095="비교",ABS(P4095)+ROW()/1000000000,"")</f>
        <v/>
      </c>
      <c r="V4095" s="39">
        <f>IF($A4095="","",IF(COUNTIF(변동분석!$E$7:$E$506,O4095)&gt;0,"Y","N"))</f>
        <v/>
      </c>
      <c r="W4095" s="39">
        <f>IF($A4095="","",IFERROR(INDEX(계정매핑!$D$5:$D$504,MATCH($F4095&amp;"",계정매핑!$A$5:$A$504,0)),"미매핑"))</f>
        <v/>
      </c>
      <c r="X4095" s="9">
        <f>IF($A4095="","",$F4095&amp;"")</f>
        <v/>
      </c>
    </row>
    <row r="4096">
      <c r="A4096" s="75" t="n">
        <v>2026</v>
      </c>
      <c r="B4096" s="75" t="n">
        <v>9</v>
      </c>
      <c r="C4096" s="75" t="inlineStr">
        <is>
          <t>5100001752</t>
        </is>
      </c>
      <c r="D4096" s="78" t="n">
        <v>46287</v>
      </c>
      <c r="E4096" s="75" t="inlineStr">
        <is>
          <t>KR</t>
        </is>
      </c>
      <c r="F4096" s="75" t="n">
        <v>62902000</v>
      </c>
      <c r="G4096" s="75" t="n">
        <v>1201</v>
      </c>
      <c r="H4096" s="76" t="n">
        <v>3383000</v>
      </c>
      <c r="I4096" s="75" t="inlineStr">
        <is>
          <t>9월 업무 위탁 수수료 - X서비스</t>
        </is>
      </c>
      <c r="J4096" s="75" t="inlineStr">
        <is>
          <t>V10016</t>
        </is>
      </c>
      <c r="K4096" s="75" t="inlineStr">
        <is>
          <t>X서비스</t>
        </is>
      </c>
      <c r="M4096" s="9">
        <f>IF($A4096="","",VALUE($A4096&amp;"")*12+VALUE($B4096&amp;""))</f>
        <v/>
      </c>
      <c r="N4096" s="39">
        <f>IF($A4096="","",IFERROR(INDEX(부서매핑!$C$5:$C$504,MATCH($G4096&amp;"",부서매핑!$A$5:$A$504,0)),"미매핑"))</f>
        <v/>
      </c>
      <c r="O4096" s="9">
        <f>IF($A4096="","",N4096&amp;"|"&amp;$F4096)</f>
        <v/>
      </c>
      <c r="P4096" s="77">
        <f>IF($A4096="",0,$H4096*설정!$C$23)</f>
        <v/>
      </c>
      <c r="Q4096" s="39">
        <f>IF($A4096="","",IF(O4096&lt;&gt;원인분석!$C$9,"",IF(AND(M4096&gt;=원인분석!$C$10,M4096&lt;=원인분석!$C$11),"당기",IF(AND(M4096&gt;=원인분석!$C$12,M4096&lt;=원인분석!$C$13),"비교",""))))</f>
        <v/>
      </c>
      <c r="R4096" s="9">
        <f>IF(Q4096="","",$K4096&amp;"")</f>
        <v/>
      </c>
      <c r="S4096" s="9">
        <f>IF(Q4096="","",IF(MATCH(R4096,$R$5:$R$100000,0)=ROW()-4,ROW(),""))</f>
        <v/>
      </c>
      <c r="T4096" s="9">
        <f>IF(Q4096="당기",ABS(P4096)+ROW()/1000000000,"")</f>
        <v/>
      </c>
      <c r="U4096" s="9">
        <f>IF(Q4096="비교",ABS(P4096)+ROW()/1000000000,"")</f>
        <v/>
      </c>
      <c r="V4096" s="39">
        <f>IF($A4096="","",IF(COUNTIF(변동분석!$E$7:$E$506,O4096)&gt;0,"Y","N"))</f>
        <v/>
      </c>
      <c r="W4096" s="39">
        <f>IF($A4096="","",IFERROR(INDEX(계정매핑!$D$5:$D$504,MATCH($F4096&amp;"",계정매핑!$A$5:$A$504,0)),"미매핑"))</f>
        <v/>
      </c>
      <c r="X4096" s="9">
        <f>IF($A4096="","",$F4096&amp;"")</f>
        <v/>
      </c>
    </row>
    <row r="4097">
      <c r="A4097" s="75" t="n">
        <v>2026</v>
      </c>
      <c r="B4097" s="75" t="n">
        <v>9</v>
      </c>
      <c r="C4097" s="75" t="inlineStr">
        <is>
          <t>5100001753</t>
        </is>
      </c>
      <c r="D4097" s="78" t="n">
        <v>46287</v>
      </c>
      <c r="E4097" s="75" t="inlineStr">
        <is>
          <t>KR</t>
        </is>
      </c>
      <c r="F4097" s="75" t="n">
        <v>62902000</v>
      </c>
      <c r="G4097" s="75" t="n">
        <v>1801</v>
      </c>
      <c r="H4097" s="76" t="n">
        <v>1755000</v>
      </c>
      <c r="I4097" s="75" t="inlineStr">
        <is>
          <t>9월 콜 위탁 수수료(건별)</t>
        </is>
      </c>
      <c r="J4097" s="75" t="inlineStr">
        <is>
          <t>V10013</t>
        </is>
      </c>
      <c r="K4097" s="75" t="inlineStr">
        <is>
          <t>J콜센터</t>
        </is>
      </c>
      <c r="M4097" s="9">
        <f>IF($A4097="","",VALUE($A4097&amp;"")*12+VALUE($B4097&amp;""))</f>
        <v/>
      </c>
      <c r="N4097" s="39">
        <f>IF($A4097="","",IFERROR(INDEX(부서매핑!$C$5:$C$504,MATCH($G4097&amp;"",부서매핑!$A$5:$A$504,0)),"미매핑"))</f>
        <v/>
      </c>
      <c r="O4097" s="9">
        <f>IF($A4097="","",N4097&amp;"|"&amp;$F4097)</f>
        <v/>
      </c>
      <c r="P4097" s="77">
        <f>IF($A4097="",0,$H4097*설정!$C$23)</f>
        <v/>
      </c>
      <c r="Q4097" s="39">
        <f>IF($A4097="","",IF(O4097&lt;&gt;원인분석!$C$9,"",IF(AND(M4097&gt;=원인분석!$C$10,M4097&lt;=원인분석!$C$11),"당기",IF(AND(M4097&gt;=원인분석!$C$12,M4097&lt;=원인분석!$C$13),"비교",""))))</f>
        <v/>
      </c>
      <c r="R4097" s="9">
        <f>IF(Q4097="","",$K4097&amp;"")</f>
        <v/>
      </c>
      <c r="S4097" s="9">
        <f>IF(Q4097="","",IF(MATCH(R4097,$R$5:$R$100000,0)=ROW()-4,ROW(),""))</f>
        <v/>
      </c>
      <c r="T4097" s="9">
        <f>IF(Q4097="당기",ABS(P4097)+ROW()/1000000000,"")</f>
        <v/>
      </c>
      <c r="U4097" s="9">
        <f>IF(Q4097="비교",ABS(P4097)+ROW()/1000000000,"")</f>
        <v/>
      </c>
      <c r="V4097" s="39">
        <f>IF($A4097="","",IF(COUNTIF(변동분석!$E$7:$E$506,O4097)&gt;0,"Y","N"))</f>
        <v/>
      </c>
      <c r="W4097" s="39">
        <f>IF($A4097="","",IFERROR(INDEX(계정매핑!$D$5:$D$504,MATCH($F4097&amp;"",계정매핑!$A$5:$A$504,0)),"미매핑"))</f>
        <v/>
      </c>
      <c r="X4097" s="9">
        <f>IF($A4097="","",$F4097&amp;"")</f>
        <v/>
      </c>
    </row>
    <row r="4098">
      <c r="A4098" s="75" t="n">
        <v>2026</v>
      </c>
      <c r="B4098" s="75" t="n">
        <v>9</v>
      </c>
      <c r="C4098" s="75" t="inlineStr">
        <is>
          <t>5100001754</t>
        </is>
      </c>
      <c r="D4098" s="78" t="n">
        <v>46288</v>
      </c>
      <c r="E4098" s="75" t="inlineStr">
        <is>
          <t>KR</t>
        </is>
      </c>
      <c r="F4098" s="75" t="n">
        <v>62101000</v>
      </c>
      <c r="G4098" s="75" t="n">
        <v>1502</v>
      </c>
      <c r="H4098" s="76" t="n">
        <v>588000</v>
      </c>
      <c r="I4098" s="75" t="inlineStr">
        <is>
          <t>9월 국내출장 - L여행사</t>
        </is>
      </c>
      <c r="J4098" s="75" t="inlineStr">
        <is>
          <t>V10014</t>
        </is>
      </c>
      <c r="K4098" s="75" t="inlineStr">
        <is>
          <t>L여행사</t>
        </is>
      </c>
      <c r="M4098" s="9">
        <f>IF($A4098="","",VALUE($A4098&amp;"")*12+VALUE($B4098&amp;""))</f>
        <v/>
      </c>
      <c r="N4098" s="39">
        <f>IF($A4098="","",IFERROR(INDEX(부서매핑!$C$5:$C$504,MATCH($G4098&amp;"",부서매핑!$A$5:$A$504,0)),"미매핑"))</f>
        <v/>
      </c>
      <c r="O4098" s="9">
        <f>IF($A4098="","",N4098&amp;"|"&amp;$F4098)</f>
        <v/>
      </c>
      <c r="P4098" s="77">
        <f>IF($A4098="",0,$H4098*설정!$C$23)</f>
        <v/>
      </c>
      <c r="Q4098" s="39">
        <f>IF($A4098="","",IF(O4098&lt;&gt;원인분석!$C$9,"",IF(AND(M4098&gt;=원인분석!$C$10,M4098&lt;=원인분석!$C$11),"당기",IF(AND(M4098&gt;=원인분석!$C$12,M4098&lt;=원인분석!$C$13),"비교",""))))</f>
        <v/>
      </c>
      <c r="R4098" s="9">
        <f>IF(Q4098="","",$K4098&amp;"")</f>
        <v/>
      </c>
      <c r="S4098" s="9">
        <f>IF(Q4098="","",IF(MATCH(R4098,$R$5:$R$100000,0)=ROW()-4,ROW(),""))</f>
        <v/>
      </c>
      <c r="T4098" s="9">
        <f>IF(Q4098="당기",ABS(P4098)+ROW()/1000000000,"")</f>
        <v/>
      </c>
      <c r="U4098" s="9">
        <f>IF(Q4098="비교",ABS(P4098)+ROW()/1000000000,"")</f>
        <v/>
      </c>
      <c r="V4098" s="39">
        <f>IF($A4098="","",IF(COUNTIF(변동분석!$E$7:$E$506,O4098)&gt;0,"Y","N"))</f>
        <v/>
      </c>
      <c r="W4098" s="39">
        <f>IF($A4098="","",IFERROR(INDEX(계정매핑!$D$5:$D$504,MATCH($F4098&amp;"",계정매핑!$A$5:$A$504,0)),"미매핑"))</f>
        <v/>
      </c>
      <c r="X4098" s="9">
        <f>IF($A4098="","",$F4098&amp;"")</f>
        <v/>
      </c>
    </row>
    <row r="4099">
      <c r="A4099" s="75" t="n">
        <v>2026</v>
      </c>
      <c r="B4099" s="75" t="n">
        <v>9</v>
      </c>
      <c r="C4099" s="75" t="inlineStr">
        <is>
          <t>5100001755</t>
        </is>
      </c>
      <c r="D4099" s="78" t="n">
        <v>46288</v>
      </c>
      <c r="E4099" s="75" t="inlineStr">
        <is>
          <t>KR</t>
        </is>
      </c>
      <c r="F4099" s="75" t="n">
        <v>62102000</v>
      </c>
      <c r="G4099" s="75" t="n">
        <v>1501</v>
      </c>
      <c r="H4099" s="76" t="n">
        <v>162000</v>
      </c>
      <c r="I4099" s="75" t="inlineStr">
        <is>
          <t>9월 해외출장 - M항공</t>
        </is>
      </c>
      <c r="J4099" s="75" t="inlineStr">
        <is>
          <t>V10001</t>
        </is>
      </c>
      <c r="K4099" s="75" t="inlineStr">
        <is>
          <t>M항공</t>
        </is>
      </c>
      <c r="M4099" s="9">
        <f>IF($A4099="","",VALUE($A4099&amp;"")*12+VALUE($B4099&amp;""))</f>
        <v/>
      </c>
      <c r="N4099" s="39">
        <f>IF($A4099="","",IFERROR(INDEX(부서매핑!$C$5:$C$504,MATCH($G4099&amp;"",부서매핑!$A$5:$A$504,0)),"미매핑"))</f>
        <v/>
      </c>
      <c r="O4099" s="9">
        <f>IF($A4099="","",N4099&amp;"|"&amp;$F4099)</f>
        <v/>
      </c>
      <c r="P4099" s="77">
        <f>IF($A4099="",0,$H4099*설정!$C$23)</f>
        <v/>
      </c>
      <c r="Q4099" s="39">
        <f>IF($A4099="","",IF(O4099&lt;&gt;원인분석!$C$9,"",IF(AND(M4099&gt;=원인분석!$C$10,M4099&lt;=원인분석!$C$11),"당기",IF(AND(M4099&gt;=원인분석!$C$12,M4099&lt;=원인분석!$C$13),"비교",""))))</f>
        <v/>
      </c>
      <c r="R4099" s="9">
        <f>IF(Q4099="","",$K4099&amp;"")</f>
        <v/>
      </c>
      <c r="S4099" s="9">
        <f>IF(Q4099="","",IF(MATCH(R4099,$R$5:$R$100000,0)=ROW()-4,ROW(),""))</f>
        <v/>
      </c>
      <c r="T4099" s="9">
        <f>IF(Q4099="당기",ABS(P4099)+ROW()/1000000000,"")</f>
        <v/>
      </c>
      <c r="U4099" s="9">
        <f>IF(Q4099="비교",ABS(P4099)+ROW()/1000000000,"")</f>
        <v/>
      </c>
      <c r="V4099" s="39">
        <f>IF($A4099="","",IF(COUNTIF(변동분석!$E$7:$E$506,O4099)&gt;0,"Y","N"))</f>
        <v/>
      </c>
      <c r="W4099" s="39">
        <f>IF($A4099="","",IFERROR(INDEX(계정매핑!$D$5:$D$504,MATCH($F4099&amp;"",계정매핑!$A$5:$A$504,0)),"미매핑"))</f>
        <v/>
      </c>
      <c r="X4099" s="9">
        <f>IF($A4099="","",$F4099&amp;"")</f>
        <v/>
      </c>
    </row>
    <row r="4100">
      <c r="A4100" s="75" t="n">
        <v>2026</v>
      </c>
      <c r="B4100" s="75" t="n">
        <v>9</v>
      </c>
      <c r="C4100" s="75" t="inlineStr">
        <is>
          <t>5100001756</t>
        </is>
      </c>
      <c r="D4100" s="78" t="n">
        <v>46288</v>
      </c>
      <c r="E4100" s="75" t="inlineStr">
        <is>
          <t>KR</t>
        </is>
      </c>
      <c r="F4100" s="75" t="n">
        <v>62201000</v>
      </c>
      <c r="G4100" s="75" t="n">
        <v>1301</v>
      </c>
      <c r="H4100" s="76" t="n">
        <v>304000</v>
      </c>
      <c r="I4100" s="75" t="inlineStr">
        <is>
          <t>9월 통신요금 - P통신</t>
        </is>
      </c>
      <c r="J4100" s="75" t="inlineStr">
        <is>
          <t>V10011</t>
        </is>
      </c>
      <c r="K4100" s="75" t="inlineStr">
        <is>
          <t>P통신</t>
        </is>
      </c>
      <c r="M4100" s="9">
        <f>IF($A4100="","",VALUE($A4100&amp;"")*12+VALUE($B4100&amp;""))</f>
        <v/>
      </c>
      <c r="N4100" s="39">
        <f>IF($A4100="","",IFERROR(INDEX(부서매핑!$C$5:$C$504,MATCH($G4100&amp;"",부서매핑!$A$5:$A$504,0)),"미매핑"))</f>
        <v/>
      </c>
      <c r="O4100" s="9">
        <f>IF($A4100="","",N4100&amp;"|"&amp;$F4100)</f>
        <v/>
      </c>
      <c r="P4100" s="77">
        <f>IF($A4100="",0,$H4100*설정!$C$23)</f>
        <v/>
      </c>
      <c r="Q4100" s="39">
        <f>IF($A4100="","",IF(O4100&lt;&gt;원인분석!$C$9,"",IF(AND(M4100&gt;=원인분석!$C$10,M4100&lt;=원인분석!$C$11),"당기",IF(AND(M4100&gt;=원인분석!$C$12,M4100&lt;=원인분석!$C$13),"비교",""))))</f>
        <v/>
      </c>
      <c r="R4100" s="9">
        <f>IF(Q4100="","",$K4100&amp;"")</f>
        <v/>
      </c>
      <c r="S4100" s="9">
        <f>IF(Q4100="","",IF(MATCH(R4100,$R$5:$R$100000,0)=ROW()-4,ROW(),""))</f>
        <v/>
      </c>
      <c r="T4100" s="9">
        <f>IF(Q4100="당기",ABS(P4100)+ROW()/1000000000,"")</f>
        <v/>
      </c>
      <c r="U4100" s="9">
        <f>IF(Q4100="비교",ABS(P4100)+ROW()/1000000000,"")</f>
        <v/>
      </c>
      <c r="V4100" s="39">
        <f>IF($A4100="","",IF(COUNTIF(변동분석!$E$7:$E$506,O4100)&gt;0,"Y","N"))</f>
        <v/>
      </c>
      <c r="W4100" s="39">
        <f>IF($A4100="","",IFERROR(INDEX(계정매핑!$D$5:$D$504,MATCH($F4100&amp;"",계정매핑!$A$5:$A$504,0)),"미매핑"))</f>
        <v/>
      </c>
      <c r="X4100" s="9">
        <f>IF($A4100="","",$F4100&amp;"")</f>
        <v/>
      </c>
    </row>
    <row r="4101">
      <c r="A4101" s="75" t="n">
        <v>2026</v>
      </c>
      <c r="B4101" s="75" t="n">
        <v>9</v>
      </c>
      <c r="C4101" s="75" t="inlineStr">
        <is>
          <t>5100001757</t>
        </is>
      </c>
      <c r="D4101" s="78" t="n">
        <v>46288</v>
      </c>
      <c r="E4101" s="75" t="inlineStr">
        <is>
          <t>KR</t>
        </is>
      </c>
      <c r="F4101" s="75" t="n">
        <v>62301000</v>
      </c>
      <c r="G4101" s="75" t="n">
        <v>1801</v>
      </c>
      <c r="H4101" s="76" t="n">
        <v>756000</v>
      </c>
      <c r="I4101" s="75" t="inlineStr">
        <is>
          <t>9월 소모품 구입 - Q오피스</t>
        </is>
      </c>
      <c r="J4101" s="75" t="inlineStr">
        <is>
          <t>V10003</t>
        </is>
      </c>
      <c r="K4101" s="75" t="inlineStr">
        <is>
          <t>Q오피스</t>
        </is>
      </c>
      <c r="M4101" s="9">
        <f>IF($A4101="","",VALUE($A4101&amp;"")*12+VALUE($B4101&amp;""))</f>
        <v/>
      </c>
      <c r="N4101" s="39">
        <f>IF($A4101="","",IFERROR(INDEX(부서매핑!$C$5:$C$504,MATCH($G4101&amp;"",부서매핑!$A$5:$A$504,0)),"미매핑"))</f>
        <v/>
      </c>
      <c r="O4101" s="9">
        <f>IF($A4101="","",N4101&amp;"|"&amp;$F4101)</f>
        <v/>
      </c>
      <c r="P4101" s="77">
        <f>IF($A4101="",0,$H4101*설정!$C$23)</f>
        <v/>
      </c>
      <c r="Q4101" s="39">
        <f>IF($A4101="","",IF(O4101&lt;&gt;원인분석!$C$9,"",IF(AND(M4101&gt;=원인분석!$C$10,M4101&lt;=원인분석!$C$11),"당기",IF(AND(M4101&gt;=원인분석!$C$12,M4101&lt;=원인분석!$C$13),"비교",""))))</f>
        <v/>
      </c>
      <c r="R4101" s="9">
        <f>IF(Q4101="","",$K4101&amp;"")</f>
        <v/>
      </c>
      <c r="S4101" s="9">
        <f>IF(Q4101="","",IF(MATCH(R4101,$R$5:$R$100000,0)=ROW()-4,ROW(),""))</f>
        <v/>
      </c>
      <c r="T4101" s="9">
        <f>IF(Q4101="당기",ABS(P4101)+ROW()/1000000000,"")</f>
        <v/>
      </c>
      <c r="U4101" s="9">
        <f>IF(Q4101="비교",ABS(P4101)+ROW()/1000000000,"")</f>
        <v/>
      </c>
      <c r="V4101" s="39">
        <f>IF($A4101="","",IF(COUNTIF(변동분석!$E$7:$E$506,O4101)&gt;0,"Y","N"))</f>
        <v/>
      </c>
      <c r="W4101" s="39">
        <f>IF($A4101="","",IFERROR(INDEX(계정매핑!$D$5:$D$504,MATCH($F4101&amp;"",계정매핑!$A$5:$A$504,0)),"미매핑"))</f>
        <v/>
      </c>
      <c r="X4101" s="9">
        <f>IF($A4101="","",$F4101&amp;"")</f>
        <v/>
      </c>
    </row>
    <row r="4102">
      <c r="A4102" s="75" t="n">
        <v>2026</v>
      </c>
      <c r="B4102" s="75" t="n">
        <v>9</v>
      </c>
      <c r="C4102" s="75" t="inlineStr">
        <is>
          <t>5100001758</t>
        </is>
      </c>
      <c r="D4102" s="78" t="n">
        <v>46288</v>
      </c>
      <c r="E4102" s="75" t="inlineStr">
        <is>
          <t>KR</t>
        </is>
      </c>
      <c r="F4102" s="75" t="n">
        <v>62501000</v>
      </c>
      <c r="G4102" s="75" t="n">
        <v>1301</v>
      </c>
      <c r="H4102" s="76" t="n">
        <v>181000</v>
      </c>
      <c r="I4102" s="75" t="inlineStr">
        <is>
          <t>9월 회의 다과 - T케이터링</t>
        </is>
      </c>
      <c r="J4102" s="75" t="inlineStr">
        <is>
          <t>V10005</t>
        </is>
      </c>
      <c r="K4102" s="75" t="inlineStr">
        <is>
          <t>T케이터링</t>
        </is>
      </c>
      <c r="M4102" s="9">
        <f>IF($A4102="","",VALUE($A4102&amp;"")*12+VALUE($B4102&amp;""))</f>
        <v/>
      </c>
      <c r="N4102" s="39">
        <f>IF($A4102="","",IFERROR(INDEX(부서매핑!$C$5:$C$504,MATCH($G4102&amp;"",부서매핑!$A$5:$A$504,0)),"미매핑"))</f>
        <v/>
      </c>
      <c r="O4102" s="9">
        <f>IF($A4102="","",N4102&amp;"|"&amp;$F4102)</f>
        <v/>
      </c>
      <c r="P4102" s="77">
        <f>IF($A4102="",0,$H4102*설정!$C$23)</f>
        <v/>
      </c>
      <c r="Q4102" s="39">
        <f>IF($A4102="","",IF(O4102&lt;&gt;원인분석!$C$9,"",IF(AND(M4102&gt;=원인분석!$C$10,M4102&lt;=원인분석!$C$11),"당기",IF(AND(M4102&gt;=원인분석!$C$12,M4102&lt;=원인분석!$C$13),"비교",""))))</f>
        <v/>
      </c>
      <c r="R4102" s="9">
        <f>IF(Q4102="","",$K4102&amp;"")</f>
        <v/>
      </c>
      <c r="S4102" s="9">
        <f>IF(Q4102="","",IF(MATCH(R4102,$R$5:$R$100000,0)=ROW()-4,ROW(),""))</f>
        <v/>
      </c>
      <c r="T4102" s="9">
        <f>IF(Q4102="당기",ABS(P4102)+ROW()/1000000000,"")</f>
        <v/>
      </c>
      <c r="U4102" s="9">
        <f>IF(Q4102="비교",ABS(P4102)+ROW()/1000000000,"")</f>
        <v/>
      </c>
      <c r="V4102" s="39">
        <f>IF($A4102="","",IF(COUNTIF(변동분석!$E$7:$E$506,O4102)&gt;0,"Y","N"))</f>
        <v/>
      </c>
      <c r="W4102" s="39">
        <f>IF($A4102="","",IFERROR(INDEX(계정매핑!$D$5:$D$504,MATCH($F4102&amp;"",계정매핑!$A$5:$A$504,0)),"미매핑"))</f>
        <v/>
      </c>
      <c r="X4102" s="9">
        <f>IF($A4102="","",$F4102&amp;"")</f>
        <v/>
      </c>
    </row>
    <row r="4103">
      <c r="A4103" s="75" t="n">
        <v>2026</v>
      </c>
      <c r="B4103" s="75" t="n">
        <v>9</v>
      </c>
      <c r="C4103" s="75" t="inlineStr">
        <is>
          <t>5100001759</t>
        </is>
      </c>
      <c r="D4103" s="78" t="n">
        <v>46288</v>
      </c>
      <c r="E4103" s="75" t="inlineStr">
        <is>
          <t>KR</t>
        </is>
      </c>
      <c r="F4103" s="75" t="n">
        <v>62501000</v>
      </c>
      <c r="G4103" s="75" t="n">
        <v>1502</v>
      </c>
      <c r="H4103" s="76" t="n">
        <v>252000</v>
      </c>
      <c r="I4103" s="75" t="inlineStr">
        <is>
          <t>9월 회의 다과 - (법인카드)</t>
        </is>
      </c>
      <c r="J4103" s="75" t="inlineStr">
        <is>
          <t>V10008</t>
        </is>
      </c>
      <c r="K4103" s="75" t="inlineStr">
        <is>
          <t>(법인카드)</t>
        </is>
      </c>
      <c r="M4103" s="9">
        <f>IF($A4103="","",VALUE($A4103&amp;"")*12+VALUE($B4103&amp;""))</f>
        <v/>
      </c>
      <c r="N4103" s="39">
        <f>IF($A4103="","",IFERROR(INDEX(부서매핑!$C$5:$C$504,MATCH($G4103&amp;"",부서매핑!$A$5:$A$504,0)),"미매핑"))</f>
        <v/>
      </c>
      <c r="O4103" s="9">
        <f>IF($A4103="","",N4103&amp;"|"&amp;$F4103)</f>
        <v/>
      </c>
      <c r="P4103" s="77">
        <f>IF($A4103="",0,$H4103*설정!$C$23)</f>
        <v/>
      </c>
      <c r="Q4103" s="39">
        <f>IF($A4103="","",IF(O4103&lt;&gt;원인분석!$C$9,"",IF(AND(M4103&gt;=원인분석!$C$10,M4103&lt;=원인분석!$C$11),"당기",IF(AND(M4103&gt;=원인분석!$C$12,M4103&lt;=원인분석!$C$13),"비교",""))))</f>
        <v/>
      </c>
      <c r="R4103" s="9">
        <f>IF(Q4103="","",$K4103&amp;"")</f>
        <v/>
      </c>
      <c r="S4103" s="9">
        <f>IF(Q4103="","",IF(MATCH(R4103,$R$5:$R$100000,0)=ROW()-4,ROW(),""))</f>
        <v/>
      </c>
      <c r="T4103" s="9">
        <f>IF(Q4103="당기",ABS(P4103)+ROW()/1000000000,"")</f>
        <v/>
      </c>
      <c r="U4103" s="9">
        <f>IF(Q4103="비교",ABS(P4103)+ROW()/1000000000,"")</f>
        <v/>
      </c>
      <c r="V4103" s="39">
        <f>IF($A4103="","",IF(COUNTIF(변동분석!$E$7:$E$506,O4103)&gt;0,"Y","N"))</f>
        <v/>
      </c>
      <c r="W4103" s="39">
        <f>IF($A4103="","",IFERROR(INDEX(계정매핑!$D$5:$D$504,MATCH($F4103&amp;"",계정매핑!$A$5:$A$504,0)),"미매핑"))</f>
        <v/>
      </c>
      <c r="X4103" s="9">
        <f>IF($A4103="","",$F4103&amp;"")</f>
        <v/>
      </c>
    </row>
    <row r="4104">
      <c r="A4104" s="75" t="n">
        <v>2026</v>
      </c>
      <c r="B4104" s="75" t="n">
        <v>9</v>
      </c>
      <c r="C4104" s="75" t="inlineStr">
        <is>
          <t>5100001760</t>
        </is>
      </c>
      <c r="D4104" s="78" t="n">
        <v>46289</v>
      </c>
      <c r="E4104" s="75" t="inlineStr">
        <is>
          <t>KR</t>
        </is>
      </c>
      <c r="F4104" s="75" t="n">
        <v>62101000</v>
      </c>
      <c r="G4104" s="75" t="n">
        <v>1101</v>
      </c>
      <c r="H4104" s="76" t="n">
        <v>630000</v>
      </c>
      <c r="I4104" s="75" t="inlineStr">
        <is>
          <t>9월 국내출장 - M항공</t>
        </is>
      </c>
      <c r="J4104" s="75" t="inlineStr">
        <is>
          <t>V10001</t>
        </is>
      </c>
      <c r="K4104" s="75" t="inlineStr">
        <is>
          <t>M항공</t>
        </is>
      </c>
      <c r="M4104" s="9">
        <f>IF($A4104="","",VALUE($A4104&amp;"")*12+VALUE($B4104&amp;""))</f>
        <v/>
      </c>
      <c r="N4104" s="39">
        <f>IF($A4104="","",IFERROR(INDEX(부서매핑!$C$5:$C$504,MATCH($G4104&amp;"",부서매핑!$A$5:$A$504,0)),"미매핑"))</f>
        <v/>
      </c>
      <c r="O4104" s="9">
        <f>IF($A4104="","",N4104&amp;"|"&amp;$F4104)</f>
        <v/>
      </c>
      <c r="P4104" s="77">
        <f>IF($A4104="",0,$H4104*설정!$C$23)</f>
        <v/>
      </c>
      <c r="Q4104" s="39">
        <f>IF($A4104="","",IF(O4104&lt;&gt;원인분석!$C$9,"",IF(AND(M4104&gt;=원인분석!$C$10,M4104&lt;=원인분석!$C$11),"당기",IF(AND(M4104&gt;=원인분석!$C$12,M4104&lt;=원인분석!$C$13),"비교",""))))</f>
        <v/>
      </c>
      <c r="R4104" s="9">
        <f>IF(Q4104="","",$K4104&amp;"")</f>
        <v/>
      </c>
      <c r="S4104" s="9">
        <f>IF(Q4104="","",IF(MATCH(R4104,$R$5:$R$100000,0)=ROW()-4,ROW(),""))</f>
        <v/>
      </c>
      <c r="T4104" s="9">
        <f>IF(Q4104="당기",ABS(P4104)+ROW()/1000000000,"")</f>
        <v/>
      </c>
      <c r="U4104" s="9">
        <f>IF(Q4104="비교",ABS(P4104)+ROW()/1000000000,"")</f>
        <v/>
      </c>
      <c r="V4104" s="39">
        <f>IF($A4104="","",IF(COUNTIF(변동분석!$E$7:$E$506,O4104)&gt;0,"Y","N"))</f>
        <v/>
      </c>
      <c r="W4104" s="39">
        <f>IF($A4104="","",IFERROR(INDEX(계정매핑!$D$5:$D$504,MATCH($F4104&amp;"",계정매핑!$A$5:$A$504,0)),"미매핑"))</f>
        <v/>
      </c>
      <c r="X4104" s="9">
        <f>IF($A4104="","",$F4104&amp;"")</f>
        <v/>
      </c>
    </row>
    <row r="4105">
      <c r="A4105" s="75" t="n">
        <v>2026</v>
      </c>
      <c r="B4105" s="75" t="n">
        <v>9</v>
      </c>
      <c r="C4105" s="75" t="inlineStr">
        <is>
          <t>5100001761</t>
        </is>
      </c>
      <c r="D4105" s="78" t="n">
        <v>46289</v>
      </c>
      <c r="E4105" s="75" t="inlineStr">
        <is>
          <t>KR</t>
        </is>
      </c>
      <c r="F4105" s="75" t="n">
        <v>62101000</v>
      </c>
      <c r="G4105" s="75" t="n">
        <v>1201</v>
      </c>
      <c r="H4105" s="76" t="n">
        <v>316000</v>
      </c>
      <c r="I4105" s="75" t="inlineStr">
        <is>
          <t>9월 국내출장 - L여행사</t>
        </is>
      </c>
      <c r="J4105" s="75" t="inlineStr">
        <is>
          <t>V10014</t>
        </is>
      </c>
      <c r="K4105" s="75" t="inlineStr">
        <is>
          <t>L여행사</t>
        </is>
      </c>
      <c r="M4105" s="9">
        <f>IF($A4105="","",VALUE($A4105&amp;"")*12+VALUE($B4105&amp;""))</f>
        <v/>
      </c>
      <c r="N4105" s="39">
        <f>IF($A4105="","",IFERROR(INDEX(부서매핑!$C$5:$C$504,MATCH($G4105&amp;"",부서매핑!$A$5:$A$504,0)),"미매핑"))</f>
        <v/>
      </c>
      <c r="O4105" s="9">
        <f>IF($A4105="","",N4105&amp;"|"&amp;$F4105)</f>
        <v/>
      </c>
      <c r="P4105" s="77">
        <f>IF($A4105="",0,$H4105*설정!$C$23)</f>
        <v/>
      </c>
      <c r="Q4105" s="39">
        <f>IF($A4105="","",IF(O4105&lt;&gt;원인분석!$C$9,"",IF(AND(M4105&gt;=원인분석!$C$10,M4105&lt;=원인분석!$C$11),"당기",IF(AND(M4105&gt;=원인분석!$C$12,M4105&lt;=원인분석!$C$13),"비교",""))))</f>
        <v/>
      </c>
      <c r="R4105" s="9">
        <f>IF(Q4105="","",$K4105&amp;"")</f>
        <v/>
      </c>
      <c r="S4105" s="9">
        <f>IF(Q4105="","",IF(MATCH(R4105,$R$5:$R$100000,0)=ROW()-4,ROW(),""))</f>
        <v/>
      </c>
      <c r="T4105" s="9">
        <f>IF(Q4105="당기",ABS(P4105)+ROW()/1000000000,"")</f>
        <v/>
      </c>
      <c r="U4105" s="9">
        <f>IF(Q4105="비교",ABS(P4105)+ROW()/1000000000,"")</f>
        <v/>
      </c>
      <c r="V4105" s="39">
        <f>IF($A4105="","",IF(COUNTIF(변동분석!$E$7:$E$506,O4105)&gt;0,"Y","N"))</f>
        <v/>
      </c>
      <c r="W4105" s="39">
        <f>IF($A4105="","",IFERROR(INDEX(계정매핑!$D$5:$D$504,MATCH($F4105&amp;"",계정매핑!$A$5:$A$504,0)),"미매핑"))</f>
        <v/>
      </c>
      <c r="X4105" s="9">
        <f>IF($A4105="","",$F4105&amp;"")</f>
        <v/>
      </c>
    </row>
    <row r="4106">
      <c r="A4106" s="75" t="n">
        <v>2026</v>
      </c>
      <c r="B4106" s="75" t="n">
        <v>9</v>
      </c>
      <c r="C4106" s="75" t="inlineStr">
        <is>
          <t>5100001762</t>
        </is>
      </c>
      <c r="D4106" s="78" t="n">
        <v>46289</v>
      </c>
      <c r="E4106" s="75" t="inlineStr">
        <is>
          <t>KR</t>
        </is>
      </c>
      <c r="F4106" s="75" t="n">
        <v>62101000</v>
      </c>
      <c r="G4106" s="75" t="n">
        <v>1401</v>
      </c>
      <c r="H4106" s="76" t="n">
        <v>266000</v>
      </c>
      <c r="I4106" s="75" t="inlineStr">
        <is>
          <t>9월 국내출장 - M항공</t>
        </is>
      </c>
      <c r="J4106" s="75" t="inlineStr">
        <is>
          <t>V10001</t>
        </is>
      </c>
      <c r="K4106" s="75" t="inlineStr">
        <is>
          <t>M항공</t>
        </is>
      </c>
      <c r="M4106" s="9">
        <f>IF($A4106="","",VALUE($A4106&amp;"")*12+VALUE($B4106&amp;""))</f>
        <v/>
      </c>
      <c r="N4106" s="39">
        <f>IF($A4106="","",IFERROR(INDEX(부서매핑!$C$5:$C$504,MATCH($G4106&amp;"",부서매핑!$A$5:$A$504,0)),"미매핑"))</f>
        <v/>
      </c>
      <c r="O4106" s="9">
        <f>IF($A4106="","",N4106&amp;"|"&amp;$F4106)</f>
        <v/>
      </c>
      <c r="P4106" s="77">
        <f>IF($A4106="",0,$H4106*설정!$C$23)</f>
        <v/>
      </c>
      <c r="Q4106" s="39">
        <f>IF($A4106="","",IF(O4106&lt;&gt;원인분석!$C$9,"",IF(AND(M4106&gt;=원인분석!$C$10,M4106&lt;=원인분석!$C$11),"당기",IF(AND(M4106&gt;=원인분석!$C$12,M4106&lt;=원인분석!$C$13),"비교",""))))</f>
        <v/>
      </c>
      <c r="R4106" s="9">
        <f>IF(Q4106="","",$K4106&amp;"")</f>
        <v/>
      </c>
      <c r="S4106" s="9">
        <f>IF(Q4106="","",IF(MATCH(R4106,$R$5:$R$100000,0)=ROW()-4,ROW(),""))</f>
        <v/>
      </c>
      <c r="T4106" s="9">
        <f>IF(Q4106="당기",ABS(P4106)+ROW()/1000000000,"")</f>
        <v/>
      </c>
      <c r="U4106" s="9">
        <f>IF(Q4106="비교",ABS(P4106)+ROW()/1000000000,"")</f>
        <v/>
      </c>
      <c r="V4106" s="39">
        <f>IF($A4106="","",IF(COUNTIF(변동분석!$E$7:$E$506,O4106)&gt;0,"Y","N"))</f>
        <v/>
      </c>
      <c r="W4106" s="39">
        <f>IF($A4106="","",IFERROR(INDEX(계정매핑!$D$5:$D$504,MATCH($F4106&amp;"",계정매핑!$A$5:$A$504,0)),"미매핑"))</f>
        <v/>
      </c>
      <c r="X4106" s="9">
        <f>IF($A4106="","",$F4106&amp;"")</f>
        <v/>
      </c>
    </row>
    <row r="4107">
      <c r="A4107" s="75" t="n">
        <v>2026</v>
      </c>
      <c r="B4107" s="75" t="n">
        <v>9</v>
      </c>
      <c r="C4107" s="75" t="inlineStr">
        <is>
          <t>5100001763</t>
        </is>
      </c>
      <c r="D4107" s="78" t="n">
        <v>46289</v>
      </c>
      <c r="E4107" s="75" t="inlineStr">
        <is>
          <t>KR</t>
        </is>
      </c>
      <c r="F4107" s="75" t="n">
        <v>62102000</v>
      </c>
      <c r="G4107" s="75" t="n">
        <v>1801</v>
      </c>
      <c r="H4107" s="76" t="n">
        <v>81000</v>
      </c>
      <c r="I4107" s="75" t="inlineStr">
        <is>
          <t>9월 해외출장 - M항공</t>
        </is>
      </c>
      <c r="J4107" s="75" t="inlineStr">
        <is>
          <t>V10001</t>
        </is>
      </c>
      <c r="K4107" s="75" t="inlineStr">
        <is>
          <t>M항공</t>
        </is>
      </c>
      <c r="M4107" s="9">
        <f>IF($A4107="","",VALUE($A4107&amp;"")*12+VALUE($B4107&amp;""))</f>
        <v/>
      </c>
      <c r="N4107" s="39">
        <f>IF($A4107="","",IFERROR(INDEX(부서매핑!$C$5:$C$504,MATCH($G4107&amp;"",부서매핑!$A$5:$A$504,0)),"미매핑"))</f>
        <v/>
      </c>
      <c r="O4107" s="9">
        <f>IF($A4107="","",N4107&amp;"|"&amp;$F4107)</f>
        <v/>
      </c>
      <c r="P4107" s="77">
        <f>IF($A4107="",0,$H4107*설정!$C$23)</f>
        <v/>
      </c>
      <c r="Q4107" s="39">
        <f>IF($A4107="","",IF(O4107&lt;&gt;원인분석!$C$9,"",IF(AND(M4107&gt;=원인분석!$C$10,M4107&lt;=원인분석!$C$11),"당기",IF(AND(M4107&gt;=원인분석!$C$12,M4107&lt;=원인분석!$C$13),"비교",""))))</f>
        <v/>
      </c>
      <c r="R4107" s="9">
        <f>IF(Q4107="","",$K4107&amp;"")</f>
        <v/>
      </c>
      <c r="S4107" s="9">
        <f>IF(Q4107="","",IF(MATCH(R4107,$R$5:$R$100000,0)=ROW()-4,ROW(),""))</f>
        <v/>
      </c>
      <c r="T4107" s="9">
        <f>IF(Q4107="당기",ABS(P4107)+ROW()/1000000000,"")</f>
        <v/>
      </c>
      <c r="U4107" s="9">
        <f>IF(Q4107="비교",ABS(P4107)+ROW()/1000000000,"")</f>
        <v/>
      </c>
      <c r="V4107" s="39">
        <f>IF($A4107="","",IF(COUNTIF(변동분석!$E$7:$E$506,O4107)&gt;0,"Y","N"))</f>
        <v/>
      </c>
      <c r="W4107" s="39">
        <f>IF($A4107="","",IFERROR(INDEX(계정매핑!$D$5:$D$504,MATCH($F4107&amp;"",계정매핑!$A$5:$A$504,0)),"미매핑"))</f>
        <v/>
      </c>
      <c r="X4107" s="9">
        <f>IF($A4107="","",$F4107&amp;"")</f>
        <v/>
      </c>
    </row>
    <row r="4108">
      <c r="A4108" s="75" t="n">
        <v>2026</v>
      </c>
      <c r="B4108" s="75" t="n">
        <v>9</v>
      </c>
      <c r="C4108" s="75" t="inlineStr">
        <is>
          <t>5100001764</t>
        </is>
      </c>
      <c r="D4108" s="78" t="n">
        <v>46289</v>
      </c>
      <c r="E4108" s="75" t="inlineStr">
        <is>
          <t>KR</t>
        </is>
      </c>
      <c r="F4108" s="75" t="n">
        <v>62201000</v>
      </c>
      <c r="G4108" s="75" t="n">
        <v>1801</v>
      </c>
      <c r="H4108" s="76" t="n">
        <v>5511000</v>
      </c>
      <c r="I4108" s="75" t="inlineStr">
        <is>
          <t>9월 통신요금 - O텔레콤</t>
        </is>
      </c>
      <c r="J4108" s="75" t="inlineStr">
        <is>
          <t>V10002</t>
        </is>
      </c>
      <c r="K4108" s="75" t="inlineStr">
        <is>
          <t>O텔레콤</t>
        </is>
      </c>
      <c r="M4108" s="9">
        <f>IF($A4108="","",VALUE($A4108&amp;"")*12+VALUE($B4108&amp;""))</f>
        <v/>
      </c>
      <c r="N4108" s="39">
        <f>IF($A4108="","",IFERROR(INDEX(부서매핑!$C$5:$C$504,MATCH($G4108&amp;"",부서매핑!$A$5:$A$504,0)),"미매핑"))</f>
        <v/>
      </c>
      <c r="O4108" s="9">
        <f>IF($A4108="","",N4108&amp;"|"&amp;$F4108)</f>
        <v/>
      </c>
      <c r="P4108" s="77">
        <f>IF($A4108="",0,$H4108*설정!$C$23)</f>
        <v/>
      </c>
      <c r="Q4108" s="39">
        <f>IF($A4108="","",IF(O4108&lt;&gt;원인분석!$C$9,"",IF(AND(M4108&gt;=원인분석!$C$10,M4108&lt;=원인분석!$C$11),"당기",IF(AND(M4108&gt;=원인분석!$C$12,M4108&lt;=원인분석!$C$13),"비교",""))))</f>
        <v/>
      </c>
      <c r="R4108" s="9">
        <f>IF(Q4108="","",$K4108&amp;"")</f>
        <v/>
      </c>
      <c r="S4108" s="9">
        <f>IF(Q4108="","",IF(MATCH(R4108,$R$5:$R$100000,0)=ROW()-4,ROW(),""))</f>
        <v/>
      </c>
      <c r="T4108" s="9">
        <f>IF(Q4108="당기",ABS(P4108)+ROW()/1000000000,"")</f>
        <v/>
      </c>
      <c r="U4108" s="9">
        <f>IF(Q4108="비교",ABS(P4108)+ROW()/1000000000,"")</f>
        <v/>
      </c>
      <c r="V4108" s="39">
        <f>IF($A4108="","",IF(COUNTIF(변동분석!$E$7:$E$506,O4108)&gt;0,"Y","N"))</f>
        <v/>
      </c>
      <c r="W4108" s="39">
        <f>IF($A4108="","",IFERROR(INDEX(계정매핑!$D$5:$D$504,MATCH($F4108&amp;"",계정매핑!$A$5:$A$504,0)),"미매핑"))</f>
        <v/>
      </c>
      <c r="X4108" s="9">
        <f>IF($A4108="","",$F4108&amp;"")</f>
        <v/>
      </c>
    </row>
    <row r="4109">
      <c r="A4109" s="75" t="n">
        <v>2026</v>
      </c>
      <c r="B4109" s="75" t="n">
        <v>9</v>
      </c>
      <c r="C4109" s="75" t="inlineStr">
        <is>
          <t>5100001765</t>
        </is>
      </c>
      <c r="D4109" s="78" t="n">
        <v>46289</v>
      </c>
      <c r="E4109" s="75" t="inlineStr">
        <is>
          <t>KR</t>
        </is>
      </c>
      <c r="F4109" s="75" t="n">
        <v>62301000</v>
      </c>
      <c r="G4109" s="75" t="n">
        <v>1401</v>
      </c>
      <c r="H4109" s="76" t="n">
        <v>117000</v>
      </c>
      <c r="I4109" s="75" t="inlineStr">
        <is>
          <t>9월 소모품 구입 - R문구</t>
        </is>
      </c>
      <c r="J4109" s="75" t="inlineStr">
        <is>
          <t>V10018</t>
        </is>
      </c>
      <c r="K4109" s="75" t="inlineStr">
        <is>
          <t>R문구</t>
        </is>
      </c>
      <c r="M4109" s="9">
        <f>IF($A4109="","",VALUE($A4109&amp;"")*12+VALUE($B4109&amp;""))</f>
        <v/>
      </c>
      <c r="N4109" s="39">
        <f>IF($A4109="","",IFERROR(INDEX(부서매핑!$C$5:$C$504,MATCH($G4109&amp;"",부서매핑!$A$5:$A$504,0)),"미매핑"))</f>
        <v/>
      </c>
      <c r="O4109" s="9">
        <f>IF($A4109="","",N4109&amp;"|"&amp;$F4109)</f>
        <v/>
      </c>
      <c r="P4109" s="77">
        <f>IF($A4109="",0,$H4109*설정!$C$23)</f>
        <v/>
      </c>
      <c r="Q4109" s="39">
        <f>IF($A4109="","",IF(O4109&lt;&gt;원인분석!$C$9,"",IF(AND(M4109&gt;=원인분석!$C$10,M4109&lt;=원인분석!$C$11),"당기",IF(AND(M4109&gt;=원인분석!$C$12,M4109&lt;=원인분석!$C$13),"비교",""))))</f>
        <v/>
      </c>
      <c r="R4109" s="9">
        <f>IF(Q4109="","",$K4109&amp;"")</f>
        <v/>
      </c>
      <c r="S4109" s="9">
        <f>IF(Q4109="","",IF(MATCH(R4109,$R$5:$R$100000,0)=ROW()-4,ROW(),""))</f>
        <v/>
      </c>
      <c r="T4109" s="9">
        <f>IF(Q4109="당기",ABS(P4109)+ROW()/1000000000,"")</f>
        <v/>
      </c>
      <c r="U4109" s="9">
        <f>IF(Q4109="비교",ABS(P4109)+ROW()/1000000000,"")</f>
        <v/>
      </c>
      <c r="V4109" s="39">
        <f>IF($A4109="","",IF(COUNTIF(변동분석!$E$7:$E$506,O4109)&gt;0,"Y","N"))</f>
        <v/>
      </c>
      <c r="W4109" s="39">
        <f>IF($A4109="","",IFERROR(INDEX(계정매핑!$D$5:$D$504,MATCH($F4109&amp;"",계정매핑!$A$5:$A$504,0)),"미매핑"))</f>
        <v/>
      </c>
      <c r="X4109" s="9">
        <f>IF($A4109="","",$F4109&amp;"")</f>
        <v/>
      </c>
    </row>
    <row r="4110">
      <c r="A4110" s="75" t="n">
        <v>2026</v>
      </c>
      <c r="B4110" s="75" t="n">
        <v>9</v>
      </c>
      <c r="C4110" s="75" t="inlineStr">
        <is>
          <t>5100001766</t>
        </is>
      </c>
      <c r="D4110" s="78" t="n">
        <v>46289</v>
      </c>
      <c r="E4110" s="75" t="inlineStr">
        <is>
          <t>KR</t>
        </is>
      </c>
      <c r="F4110" s="75" t="n">
        <v>62401000</v>
      </c>
      <c r="G4110" s="75" t="n">
        <v>1502</v>
      </c>
      <c r="H4110" s="76" t="n">
        <v>2128000</v>
      </c>
      <c r="I4110" s="75" t="inlineStr">
        <is>
          <t>9월 인쇄물 제작 - G인쇄</t>
        </is>
      </c>
      <c r="J4110" s="75" t="inlineStr">
        <is>
          <t>V10004</t>
        </is>
      </c>
      <c r="K4110" s="75" t="inlineStr">
        <is>
          <t>G인쇄</t>
        </is>
      </c>
      <c r="M4110" s="9">
        <f>IF($A4110="","",VALUE($A4110&amp;"")*12+VALUE($B4110&amp;""))</f>
        <v/>
      </c>
      <c r="N4110" s="39">
        <f>IF($A4110="","",IFERROR(INDEX(부서매핑!$C$5:$C$504,MATCH($G4110&amp;"",부서매핑!$A$5:$A$504,0)),"미매핑"))</f>
        <v/>
      </c>
      <c r="O4110" s="9">
        <f>IF($A4110="","",N4110&amp;"|"&amp;$F4110)</f>
        <v/>
      </c>
      <c r="P4110" s="77">
        <f>IF($A4110="",0,$H4110*설정!$C$23)</f>
        <v/>
      </c>
      <c r="Q4110" s="39">
        <f>IF($A4110="","",IF(O4110&lt;&gt;원인분석!$C$9,"",IF(AND(M4110&gt;=원인분석!$C$10,M4110&lt;=원인분석!$C$11),"당기",IF(AND(M4110&gt;=원인분석!$C$12,M4110&lt;=원인분석!$C$13),"비교",""))))</f>
        <v/>
      </c>
      <c r="R4110" s="9">
        <f>IF(Q4110="","",$K4110&amp;"")</f>
        <v/>
      </c>
      <c r="S4110" s="9">
        <f>IF(Q4110="","",IF(MATCH(R4110,$R$5:$R$100000,0)=ROW()-4,ROW(),""))</f>
        <v/>
      </c>
      <c r="T4110" s="9">
        <f>IF(Q4110="당기",ABS(P4110)+ROW()/1000000000,"")</f>
        <v/>
      </c>
      <c r="U4110" s="9">
        <f>IF(Q4110="비교",ABS(P4110)+ROW()/1000000000,"")</f>
        <v/>
      </c>
      <c r="V4110" s="39">
        <f>IF($A4110="","",IF(COUNTIF(변동분석!$E$7:$E$506,O4110)&gt;0,"Y","N"))</f>
        <v/>
      </c>
      <c r="W4110" s="39">
        <f>IF($A4110="","",IFERROR(INDEX(계정매핑!$D$5:$D$504,MATCH($F4110&amp;"",계정매핑!$A$5:$A$504,0)),"미매핑"))</f>
        <v/>
      </c>
      <c r="X4110" s="9">
        <f>IF($A4110="","",$F4110&amp;"")</f>
        <v/>
      </c>
    </row>
    <row r="4111">
      <c r="A4111" s="75" t="n">
        <v>2026</v>
      </c>
      <c r="B4111" s="75" t="n">
        <v>9</v>
      </c>
      <c r="C4111" s="75" t="inlineStr">
        <is>
          <t>5100001767</t>
        </is>
      </c>
      <c r="D4111" s="78" t="n">
        <v>46289</v>
      </c>
      <c r="E4111" s="75" t="inlineStr">
        <is>
          <t>KR</t>
        </is>
      </c>
      <c r="F4111" s="75" t="n">
        <v>62501000</v>
      </c>
      <c r="G4111" s="75" t="n">
        <v>1801</v>
      </c>
      <c r="H4111" s="76" t="n">
        <v>150000</v>
      </c>
      <c r="I4111" s="75" t="inlineStr">
        <is>
          <t>9월 회의 다과 - T케이터링</t>
        </is>
      </c>
      <c r="J4111" s="75" t="inlineStr">
        <is>
          <t>V10005</t>
        </is>
      </c>
      <c r="K4111" s="75" t="inlineStr">
        <is>
          <t>T케이터링</t>
        </is>
      </c>
      <c r="M4111" s="9">
        <f>IF($A4111="","",VALUE($A4111&amp;"")*12+VALUE($B4111&amp;""))</f>
        <v/>
      </c>
      <c r="N4111" s="39">
        <f>IF($A4111="","",IFERROR(INDEX(부서매핑!$C$5:$C$504,MATCH($G4111&amp;"",부서매핑!$A$5:$A$504,0)),"미매핑"))</f>
        <v/>
      </c>
      <c r="O4111" s="9">
        <f>IF($A4111="","",N4111&amp;"|"&amp;$F4111)</f>
        <v/>
      </c>
      <c r="P4111" s="77">
        <f>IF($A4111="",0,$H4111*설정!$C$23)</f>
        <v/>
      </c>
      <c r="Q4111" s="39">
        <f>IF($A4111="","",IF(O4111&lt;&gt;원인분석!$C$9,"",IF(AND(M4111&gt;=원인분석!$C$10,M4111&lt;=원인분석!$C$11),"당기",IF(AND(M4111&gt;=원인분석!$C$12,M4111&lt;=원인분석!$C$13),"비교",""))))</f>
        <v/>
      </c>
      <c r="R4111" s="9">
        <f>IF(Q4111="","",$K4111&amp;"")</f>
        <v/>
      </c>
      <c r="S4111" s="9">
        <f>IF(Q4111="","",IF(MATCH(R4111,$R$5:$R$100000,0)=ROW()-4,ROW(),""))</f>
        <v/>
      </c>
      <c r="T4111" s="9">
        <f>IF(Q4111="당기",ABS(P4111)+ROW()/1000000000,"")</f>
        <v/>
      </c>
      <c r="U4111" s="9">
        <f>IF(Q4111="비교",ABS(P4111)+ROW()/1000000000,"")</f>
        <v/>
      </c>
      <c r="V4111" s="39">
        <f>IF($A4111="","",IF(COUNTIF(변동분석!$E$7:$E$506,O4111)&gt;0,"Y","N"))</f>
        <v/>
      </c>
      <c r="W4111" s="39">
        <f>IF($A4111="","",IFERROR(INDEX(계정매핑!$D$5:$D$504,MATCH($F4111&amp;"",계정매핑!$A$5:$A$504,0)),"미매핑"))</f>
        <v/>
      </c>
      <c r="X4111" s="9">
        <f>IF($A4111="","",$F4111&amp;"")</f>
        <v/>
      </c>
    </row>
    <row r="4112">
      <c r="A4112" s="75" t="n">
        <v>2026</v>
      </c>
      <c r="B4112" s="75" t="n">
        <v>9</v>
      </c>
      <c r="C4112" s="75" t="inlineStr">
        <is>
          <t>5100001768</t>
        </is>
      </c>
      <c r="D4112" s="78" t="n">
        <v>46290</v>
      </c>
      <c r="E4112" s="75" t="inlineStr">
        <is>
          <t>KR</t>
        </is>
      </c>
      <c r="F4112" s="75" t="n">
        <v>62101000</v>
      </c>
      <c r="G4112" s="75" t="n">
        <v>1801</v>
      </c>
      <c r="H4112" s="76" t="n">
        <v>146000</v>
      </c>
      <c r="I4112" s="75" t="inlineStr">
        <is>
          <t>9월 국내출장 - L여행사</t>
        </is>
      </c>
      <c r="J4112" s="75" t="inlineStr">
        <is>
          <t>V10014</t>
        </is>
      </c>
      <c r="K4112" s="75" t="inlineStr">
        <is>
          <t>L여행사</t>
        </is>
      </c>
      <c r="M4112" s="9">
        <f>IF($A4112="","",VALUE($A4112&amp;"")*12+VALUE($B4112&amp;""))</f>
        <v/>
      </c>
      <c r="N4112" s="39">
        <f>IF($A4112="","",IFERROR(INDEX(부서매핑!$C$5:$C$504,MATCH($G4112&amp;"",부서매핑!$A$5:$A$504,0)),"미매핑"))</f>
        <v/>
      </c>
      <c r="O4112" s="9">
        <f>IF($A4112="","",N4112&amp;"|"&amp;$F4112)</f>
        <v/>
      </c>
      <c r="P4112" s="77">
        <f>IF($A4112="",0,$H4112*설정!$C$23)</f>
        <v/>
      </c>
      <c r="Q4112" s="39">
        <f>IF($A4112="","",IF(O4112&lt;&gt;원인분석!$C$9,"",IF(AND(M4112&gt;=원인분석!$C$10,M4112&lt;=원인분석!$C$11),"당기",IF(AND(M4112&gt;=원인분석!$C$12,M4112&lt;=원인분석!$C$13),"비교",""))))</f>
        <v/>
      </c>
      <c r="R4112" s="9">
        <f>IF(Q4112="","",$K4112&amp;"")</f>
        <v/>
      </c>
      <c r="S4112" s="9">
        <f>IF(Q4112="","",IF(MATCH(R4112,$R$5:$R$100000,0)=ROW()-4,ROW(),""))</f>
        <v/>
      </c>
      <c r="T4112" s="9">
        <f>IF(Q4112="당기",ABS(P4112)+ROW()/1000000000,"")</f>
        <v/>
      </c>
      <c r="U4112" s="9">
        <f>IF(Q4112="비교",ABS(P4112)+ROW()/1000000000,"")</f>
        <v/>
      </c>
      <c r="V4112" s="39">
        <f>IF($A4112="","",IF(COUNTIF(변동분석!$E$7:$E$506,O4112)&gt;0,"Y","N"))</f>
        <v/>
      </c>
      <c r="W4112" s="39">
        <f>IF($A4112="","",IFERROR(INDEX(계정매핑!$D$5:$D$504,MATCH($F4112&amp;"",계정매핑!$A$5:$A$504,0)),"미매핑"))</f>
        <v/>
      </c>
      <c r="X4112" s="9">
        <f>IF($A4112="","",$F4112&amp;"")</f>
        <v/>
      </c>
    </row>
    <row r="4113">
      <c r="A4113" s="75" t="n">
        <v>2026</v>
      </c>
      <c r="B4113" s="75" t="n">
        <v>9</v>
      </c>
      <c r="C4113" s="75" t="inlineStr">
        <is>
          <t>5100001769</t>
        </is>
      </c>
      <c r="D4113" s="78" t="n">
        <v>46290</v>
      </c>
      <c r="E4113" s="75" t="inlineStr">
        <is>
          <t>KR</t>
        </is>
      </c>
      <c r="F4113" s="75" t="n">
        <v>62201000</v>
      </c>
      <c r="G4113" s="75" t="n">
        <v>1101</v>
      </c>
      <c r="H4113" s="76" t="n">
        <v>264000</v>
      </c>
      <c r="I4113" s="75" t="inlineStr">
        <is>
          <t>9월 통신요금 - P통신</t>
        </is>
      </c>
      <c r="J4113" s="75" t="inlineStr">
        <is>
          <t>V10011</t>
        </is>
      </c>
      <c r="K4113" s="75" t="inlineStr">
        <is>
          <t>P통신</t>
        </is>
      </c>
      <c r="M4113" s="9">
        <f>IF($A4113="","",VALUE($A4113&amp;"")*12+VALUE($B4113&amp;""))</f>
        <v/>
      </c>
      <c r="N4113" s="39">
        <f>IF($A4113="","",IFERROR(INDEX(부서매핑!$C$5:$C$504,MATCH($G4113&amp;"",부서매핑!$A$5:$A$504,0)),"미매핑"))</f>
        <v/>
      </c>
      <c r="O4113" s="9">
        <f>IF($A4113="","",N4113&amp;"|"&amp;$F4113)</f>
        <v/>
      </c>
      <c r="P4113" s="77">
        <f>IF($A4113="",0,$H4113*설정!$C$23)</f>
        <v/>
      </c>
      <c r="Q4113" s="39">
        <f>IF($A4113="","",IF(O4113&lt;&gt;원인분석!$C$9,"",IF(AND(M4113&gt;=원인분석!$C$10,M4113&lt;=원인분석!$C$11),"당기",IF(AND(M4113&gt;=원인분석!$C$12,M4113&lt;=원인분석!$C$13),"비교",""))))</f>
        <v/>
      </c>
      <c r="R4113" s="9">
        <f>IF(Q4113="","",$K4113&amp;"")</f>
        <v/>
      </c>
      <c r="S4113" s="9">
        <f>IF(Q4113="","",IF(MATCH(R4113,$R$5:$R$100000,0)=ROW()-4,ROW(),""))</f>
        <v/>
      </c>
      <c r="T4113" s="9">
        <f>IF(Q4113="당기",ABS(P4113)+ROW()/1000000000,"")</f>
        <v/>
      </c>
      <c r="U4113" s="9">
        <f>IF(Q4113="비교",ABS(P4113)+ROW()/1000000000,"")</f>
        <v/>
      </c>
      <c r="V4113" s="39">
        <f>IF($A4113="","",IF(COUNTIF(변동분석!$E$7:$E$506,O4113)&gt;0,"Y","N"))</f>
        <v/>
      </c>
      <c r="W4113" s="39">
        <f>IF($A4113="","",IFERROR(INDEX(계정매핑!$D$5:$D$504,MATCH($F4113&amp;"",계정매핑!$A$5:$A$504,0)),"미매핑"))</f>
        <v/>
      </c>
      <c r="X4113" s="9">
        <f>IF($A4113="","",$F4113&amp;"")</f>
        <v/>
      </c>
    </row>
    <row r="4114">
      <c r="A4114" s="75" t="n">
        <v>2026</v>
      </c>
      <c r="B4114" s="75" t="n">
        <v>9</v>
      </c>
      <c r="C4114" s="75" t="inlineStr">
        <is>
          <t>5100001770</t>
        </is>
      </c>
      <c r="D4114" s="78" t="n">
        <v>46290</v>
      </c>
      <c r="E4114" s="75" t="inlineStr">
        <is>
          <t>KR</t>
        </is>
      </c>
      <c r="F4114" s="75" t="n">
        <v>62201000</v>
      </c>
      <c r="G4114" s="75" t="n">
        <v>1401</v>
      </c>
      <c r="H4114" s="76" t="n">
        <v>151000</v>
      </c>
      <c r="I4114" s="75" t="inlineStr">
        <is>
          <t>9월 통신요금 - O텔레콤</t>
        </is>
      </c>
      <c r="J4114" s="75" t="inlineStr">
        <is>
          <t>V10002</t>
        </is>
      </c>
      <c r="K4114" s="75" t="inlineStr">
        <is>
          <t>O텔레콤</t>
        </is>
      </c>
      <c r="M4114" s="9">
        <f>IF($A4114="","",VALUE($A4114&amp;"")*12+VALUE($B4114&amp;""))</f>
        <v/>
      </c>
      <c r="N4114" s="39">
        <f>IF($A4114="","",IFERROR(INDEX(부서매핑!$C$5:$C$504,MATCH($G4114&amp;"",부서매핑!$A$5:$A$504,0)),"미매핑"))</f>
        <v/>
      </c>
      <c r="O4114" s="9">
        <f>IF($A4114="","",N4114&amp;"|"&amp;$F4114)</f>
        <v/>
      </c>
      <c r="P4114" s="77">
        <f>IF($A4114="",0,$H4114*설정!$C$23)</f>
        <v/>
      </c>
      <c r="Q4114" s="39">
        <f>IF($A4114="","",IF(O4114&lt;&gt;원인분석!$C$9,"",IF(AND(M4114&gt;=원인분석!$C$10,M4114&lt;=원인분석!$C$11),"당기",IF(AND(M4114&gt;=원인분석!$C$12,M4114&lt;=원인분석!$C$13),"비교",""))))</f>
        <v/>
      </c>
      <c r="R4114" s="9">
        <f>IF(Q4114="","",$K4114&amp;"")</f>
        <v/>
      </c>
      <c r="S4114" s="9">
        <f>IF(Q4114="","",IF(MATCH(R4114,$R$5:$R$100000,0)=ROW()-4,ROW(),""))</f>
        <v/>
      </c>
      <c r="T4114" s="9">
        <f>IF(Q4114="당기",ABS(P4114)+ROW()/1000000000,"")</f>
        <v/>
      </c>
      <c r="U4114" s="9">
        <f>IF(Q4114="비교",ABS(P4114)+ROW()/1000000000,"")</f>
        <v/>
      </c>
      <c r="V4114" s="39">
        <f>IF($A4114="","",IF(COUNTIF(변동분석!$E$7:$E$506,O4114)&gt;0,"Y","N"))</f>
        <v/>
      </c>
      <c r="W4114" s="39">
        <f>IF($A4114="","",IFERROR(INDEX(계정매핑!$D$5:$D$504,MATCH($F4114&amp;"",계정매핑!$A$5:$A$504,0)),"미매핑"))</f>
        <v/>
      </c>
      <c r="X4114" s="9">
        <f>IF($A4114="","",$F4114&amp;"")</f>
        <v/>
      </c>
    </row>
    <row r="4115">
      <c r="A4115" s="75" t="n">
        <v>2026</v>
      </c>
      <c r="B4115" s="75" t="n">
        <v>9</v>
      </c>
      <c r="C4115" s="75" t="inlineStr">
        <is>
          <t>5100001771</t>
        </is>
      </c>
      <c r="D4115" s="78" t="n">
        <v>46290</v>
      </c>
      <c r="E4115" s="75" t="inlineStr">
        <is>
          <t>KR</t>
        </is>
      </c>
      <c r="F4115" s="75" t="n">
        <v>62201000</v>
      </c>
      <c r="G4115" s="75" t="n">
        <v>1701</v>
      </c>
      <c r="H4115" s="76" t="n">
        <v>5006000</v>
      </c>
      <c r="I4115" s="75" t="inlineStr">
        <is>
          <t>9월 통신요금 - P통신</t>
        </is>
      </c>
      <c r="J4115" s="75" t="inlineStr">
        <is>
          <t>V10011</t>
        </is>
      </c>
      <c r="K4115" s="75" t="inlineStr">
        <is>
          <t>P통신</t>
        </is>
      </c>
      <c r="M4115" s="9">
        <f>IF($A4115="","",VALUE($A4115&amp;"")*12+VALUE($B4115&amp;""))</f>
        <v/>
      </c>
      <c r="N4115" s="39">
        <f>IF($A4115="","",IFERROR(INDEX(부서매핑!$C$5:$C$504,MATCH($G4115&amp;"",부서매핑!$A$5:$A$504,0)),"미매핑"))</f>
        <v/>
      </c>
      <c r="O4115" s="9">
        <f>IF($A4115="","",N4115&amp;"|"&amp;$F4115)</f>
        <v/>
      </c>
      <c r="P4115" s="77">
        <f>IF($A4115="",0,$H4115*설정!$C$23)</f>
        <v/>
      </c>
      <c r="Q4115" s="39">
        <f>IF($A4115="","",IF(O4115&lt;&gt;원인분석!$C$9,"",IF(AND(M4115&gt;=원인분석!$C$10,M4115&lt;=원인분석!$C$11),"당기",IF(AND(M4115&gt;=원인분석!$C$12,M4115&lt;=원인분석!$C$13),"비교",""))))</f>
        <v/>
      </c>
      <c r="R4115" s="9">
        <f>IF(Q4115="","",$K4115&amp;"")</f>
        <v/>
      </c>
      <c r="S4115" s="9">
        <f>IF(Q4115="","",IF(MATCH(R4115,$R$5:$R$100000,0)=ROW()-4,ROW(),""))</f>
        <v/>
      </c>
      <c r="T4115" s="9">
        <f>IF(Q4115="당기",ABS(P4115)+ROW()/1000000000,"")</f>
        <v/>
      </c>
      <c r="U4115" s="9">
        <f>IF(Q4115="비교",ABS(P4115)+ROW()/1000000000,"")</f>
        <v/>
      </c>
      <c r="V4115" s="39">
        <f>IF($A4115="","",IF(COUNTIF(변동분석!$E$7:$E$506,O4115)&gt;0,"Y","N"))</f>
        <v/>
      </c>
      <c r="W4115" s="39">
        <f>IF($A4115="","",IFERROR(INDEX(계정매핑!$D$5:$D$504,MATCH($F4115&amp;"",계정매핑!$A$5:$A$504,0)),"미매핑"))</f>
        <v/>
      </c>
      <c r="X4115" s="9">
        <f>IF($A4115="","",$F4115&amp;"")</f>
        <v/>
      </c>
    </row>
    <row r="4116">
      <c r="A4116" s="75" t="n">
        <v>2026</v>
      </c>
      <c r="B4116" s="75" t="n">
        <v>9</v>
      </c>
      <c r="C4116" s="75" t="inlineStr">
        <is>
          <t>5100001772</t>
        </is>
      </c>
      <c r="D4116" s="78" t="n">
        <v>46290</v>
      </c>
      <c r="E4116" s="75" t="inlineStr">
        <is>
          <t>KR</t>
        </is>
      </c>
      <c r="F4116" s="75" t="n">
        <v>62301000</v>
      </c>
      <c r="G4116" s="75" t="n">
        <v>1502</v>
      </c>
      <c r="H4116" s="76" t="n">
        <v>202000</v>
      </c>
      <c r="I4116" s="75" t="inlineStr">
        <is>
          <t>9월 소모품 구입 - Q오피스</t>
        </is>
      </c>
      <c r="J4116" s="75" t="inlineStr">
        <is>
          <t>V10003</t>
        </is>
      </c>
      <c r="K4116" s="75" t="inlineStr">
        <is>
          <t>Q오피스</t>
        </is>
      </c>
      <c r="M4116" s="9">
        <f>IF($A4116="","",VALUE($A4116&amp;"")*12+VALUE($B4116&amp;""))</f>
        <v/>
      </c>
      <c r="N4116" s="39">
        <f>IF($A4116="","",IFERROR(INDEX(부서매핑!$C$5:$C$504,MATCH($G4116&amp;"",부서매핑!$A$5:$A$504,0)),"미매핑"))</f>
        <v/>
      </c>
      <c r="O4116" s="9">
        <f>IF($A4116="","",N4116&amp;"|"&amp;$F4116)</f>
        <v/>
      </c>
      <c r="P4116" s="77">
        <f>IF($A4116="",0,$H4116*설정!$C$23)</f>
        <v/>
      </c>
      <c r="Q4116" s="39">
        <f>IF($A4116="","",IF(O4116&lt;&gt;원인분석!$C$9,"",IF(AND(M4116&gt;=원인분석!$C$10,M4116&lt;=원인분석!$C$11),"당기",IF(AND(M4116&gt;=원인분석!$C$12,M4116&lt;=원인분석!$C$13),"비교",""))))</f>
        <v/>
      </c>
      <c r="R4116" s="9">
        <f>IF(Q4116="","",$K4116&amp;"")</f>
        <v/>
      </c>
      <c r="S4116" s="9">
        <f>IF(Q4116="","",IF(MATCH(R4116,$R$5:$R$100000,0)=ROW()-4,ROW(),""))</f>
        <v/>
      </c>
      <c r="T4116" s="9">
        <f>IF(Q4116="당기",ABS(P4116)+ROW()/1000000000,"")</f>
        <v/>
      </c>
      <c r="U4116" s="9">
        <f>IF(Q4116="비교",ABS(P4116)+ROW()/1000000000,"")</f>
        <v/>
      </c>
      <c r="V4116" s="39">
        <f>IF($A4116="","",IF(COUNTIF(변동분석!$E$7:$E$506,O4116)&gt;0,"Y","N"))</f>
        <v/>
      </c>
      <c r="W4116" s="39">
        <f>IF($A4116="","",IFERROR(INDEX(계정매핑!$D$5:$D$504,MATCH($F4116&amp;"",계정매핑!$A$5:$A$504,0)),"미매핑"))</f>
        <v/>
      </c>
      <c r="X4116" s="9">
        <f>IF($A4116="","",$F4116&amp;"")</f>
        <v/>
      </c>
    </row>
    <row r="4117">
      <c r="A4117" s="75" t="n">
        <v>2026</v>
      </c>
      <c r="B4117" s="75" t="n">
        <v>9</v>
      </c>
      <c r="C4117" s="75" t="inlineStr">
        <is>
          <t>5100001773</t>
        </is>
      </c>
      <c r="D4117" s="78" t="n">
        <v>46290</v>
      </c>
      <c r="E4117" s="75" t="inlineStr">
        <is>
          <t>KR</t>
        </is>
      </c>
      <c r="F4117" s="75" t="n">
        <v>62301000</v>
      </c>
      <c r="G4117" s="75" t="n">
        <v>1602</v>
      </c>
      <c r="H4117" s="76" t="n">
        <v>553000</v>
      </c>
      <c r="I4117" s="75" t="inlineStr">
        <is>
          <t>9월 소모품 구입 - R문구</t>
        </is>
      </c>
      <c r="J4117" s="75" t="inlineStr">
        <is>
          <t>V10018</t>
        </is>
      </c>
      <c r="K4117" s="75" t="inlineStr">
        <is>
          <t>R문구</t>
        </is>
      </c>
      <c r="M4117" s="9">
        <f>IF($A4117="","",VALUE($A4117&amp;"")*12+VALUE($B4117&amp;""))</f>
        <v/>
      </c>
      <c r="N4117" s="39">
        <f>IF($A4117="","",IFERROR(INDEX(부서매핑!$C$5:$C$504,MATCH($G4117&amp;"",부서매핑!$A$5:$A$504,0)),"미매핑"))</f>
        <v/>
      </c>
      <c r="O4117" s="9">
        <f>IF($A4117="","",N4117&amp;"|"&amp;$F4117)</f>
        <v/>
      </c>
      <c r="P4117" s="77">
        <f>IF($A4117="",0,$H4117*설정!$C$23)</f>
        <v/>
      </c>
      <c r="Q4117" s="39">
        <f>IF($A4117="","",IF(O4117&lt;&gt;원인분석!$C$9,"",IF(AND(M4117&gt;=원인분석!$C$10,M4117&lt;=원인분석!$C$11),"당기",IF(AND(M4117&gt;=원인분석!$C$12,M4117&lt;=원인분석!$C$13),"비교",""))))</f>
        <v/>
      </c>
      <c r="R4117" s="9">
        <f>IF(Q4117="","",$K4117&amp;"")</f>
        <v/>
      </c>
      <c r="S4117" s="9">
        <f>IF(Q4117="","",IF(MATCH(R4117,$R$5:$R$100000,0)=ROW()-4,ROW(),""))</f>
        <v/>
      </c>
      <c r="T4117" s="9">
        <f>IF(Q4117="당기",ABS(P4117)+ROW()/1000000000,"")</f>
        <v/>
      </c>
      <c r="U4117" s="9">
        <f>IF(Q4117="비교",ABS(P4117)+ROW()/1000000000,"")</f>
        <v/>
      </c>
      <c r="V4117" s="39">
        <f>IF($A4117="","",IF(COUNTIF(변동분석!$E$7:$E$506,O4117)&gt;0,"Y","N"))</f>
        <v/>
      </c>
      <c r="W4117" s="39">
        <f>IF($A4117="","",IFERROR(INDEX(계정매핑!$D$5:$D$504,MATCH($F4117&amp;"",계정매핑!$A$5:$A$504,0)),"미매핑"))</f>
        <v/>
      </c>
      <c r="X4117" s="9">
        <f>IF($A4117="","",$F4117&amp;"")</f>
        <v/>
      </c>
    </row>
    <row r="4118">
      <c r="A4118" s="75" t="n">
        <v>2026</v>
      </c>
      <c r="B4118" s="75" t="n">
        <v>9</v>
      </c>
      <c r="C4118" s="75" t="inlineStr">
        <is>
          <t>5100001774</t>
        </is>
      </c>
      <c r="D4118" s="78" t="n">
        <v>46290</v>
      </c>
      <c r="E4118" s="75" t="inlineStr">
        <is>
          <t>KR</t>
        </is>
      </c>
      <c r="F4118" s="75" t="n">
        <v>62501000</v>
      </c>
      <c r="G4118" s="75" t="n">
        <v>1602</v>
      </c>
      <c r="H4118" s="76" t="n">
        <v>433000</v>
      </c>
      <c r="I4118" s="75" t="inlineStr">
        <is>
          <t>9월 회의 다과 - T케이터링</t>
        </is>
      </c>
      <c r="J4118" s="75" t="inlineStr">
        <is>
          <t>V10005</t>
        </is>
      </c>
      <c r="K4118" s="75" t="inlineStr">
        <is>
          <t>T케이터링</t>
        </is>
      </c>
      <c r="M4118" s="9">
        <f>IF($A4118="","",VALUE($A4118&amp;"")*12+VALUE($B4118&amp;""))</f>
        <v/>
      </c>
      <c r="N4118" s="39">
        <f>IF($A4118="","",IFERROR(INDEX(부서매핑!$C$5:$C$504,MATCH($G4118&amp;"",부서매핑!$A$5:$A$504,0)),"미매핑"))</f>
        <v/>
      </c>
      <c r="O4118" s="9">
        <f>IF($A4118="","",N4118&amp;"|"&amp;$F4118)</f>
        <v/>
      </c>
      <c r="P4118" s="77">
        <f>IF($A4118="",0,$H4118*설정!$C$23)</f>
        <v/>
      </c>
      <c r="Q4118" s="39">
        <f>IF($A4118="","",IF(O4118&lt;&gt;원인분석!$C$9,"",IF(AND(M4118&gt;=원인분석!$C$10,M4118&lt;=원인분석!$C$11),"당기",IF(AND(M4118&gt;=원인분석!$C$12,M4118&lt;=원인분석!$C$13),"비교",""))))</f>
        <v/>
      </c>
      <c r="R4118" s="9">
        <f>IF(Q4118="","",$K4118&amp;"")</f>
        <v/>
      </c>
      <c r="S4118" s="9">
        <f>IF(Q4118="","",IF(MATCH(R4118,$R$5:$R$100000,0)=ROW()-4,ROW(),""))</f>
        <v/>
      </c>
      <c r="T4118" s="9">
        <f>IF(Q4118="당기",ABS(P4118)+ROW()/1000000000,"")</f>
        <v/>
      </c>
      <c r="U4118" s="9">
        <f>IF(Q4118="비교",ABS(P4118)+ROW()/1000000000,"")</f>
        <v/>
      </c>
      <c r="V4118" s="39">
        <f>IF($A4118="","",IF(COUNTIF(변동분석!$E$7:$E$506,O4118)&gt;0,"Y","N"))</f>
        <v/>
      </c>
      <c r="W4118" s="39">
        <f>IF($A4118="","",IFERROR(INDEX(계정매핑!$D$5:$D$504,MATCH($F4118&amp;"",계정매핑!$A$5:$A$504,0)),"미매핑"))</f>
        <v/>
      </c>
      <c r="X4118" s="9">
        <f>IF($A4118="","",$F4118&amp;"")</f>
        <v/>
      </c>
    </row>
    <row r="4119">
      <c r="A4119" s="75" t="n">
        <v>2026</v>
      </c>
      <c r="B4119" s="75" t="n">
        <v>9</v>
      </c>
      <c r="C4119" s="75" t="inlineStr">
        <is>
          <t>5100001775</t>
        </is>
      </c>
      <c r="D4119" s="78" t="n">
        <v>46290</v>
      </c>
      <c r="E4119" s="75" t="inlineStr">
        <is>
          <t>KR</t>
        </is>
      </c>
      <c r="F4119" s="75" t="n">
        <v>62601000</v>
      </c>
      <c r="G4119" s="75" t="n">
        <v>1501</v>
      </c>
      <c r="H4119" s="76" t="n">
        <v>1003000</v>
      </c>
      <c r="I4119" s="75" t="inlineStr">
        <is>
          <t>9월 업무추진 - (법인카드)</t>
        </is>
      </c>
      <c r="J4119" s="75" t="inlineStr">
        <is>
          <t>V10008</t>
        </is>
      </c>
      <c r="K4119" s="75" t="inlineStr">
        <is>
          <t>(법인카드)</t>
        </is>
      </c>
      <c r="M4119" s="9">
        <f>IF($A4119="","",VALUE($A4119&amp;"")*12+VALUE($B4119&amp;""))</f>
        <v/>
      </c>
      <c r="N4119" s="39">
        <f>IF($A4119="","",IFERROR(INDEX(부서매핑!$C$5:$C$504,MATCH($G4119&amp;"",부서매핑!$A$5:$A$504,0)),"미매핑"))</f>
        <v/>
      </c>
      <c r="O4119" s="9">
        <f>IF($A4119="","",N4119&amp;"|"&amp;$F4119)</f>
        <v/>
      </c>
      <c r="P4119" s="77">
        <f>IF($A4119="",0,$H4119*설정!$C$23)</f>
        <v/>
      </c>
      <c r="Q4119" s="39">
        <f>IF($A4119="","",IF(O4119&lt;&gt;원인분석!$C$9,"",IF(AND(M4119&gt;=원인분석!$C$10,M4119&lt;=원인분석!$C$11),"당기",IF(AND(M4119&gt;=원인분석!$C$12,M4119&lt;=원인분석!$C$13),"비교",""))))</f>
        <v/>
      </c>
      <c r="R4119" s="9">
        <f>IF(Q4119="","",$K4119&amp;"")</f>
        <v/>
      </c>
      <c r="S4119" s="9">
        <f>IF(Q4119="","",IF(MATCH(R4119,$R$5:$R$100000,0)=ROW()-4,ROW(),""))</f>
        <v/>
      </c>
      <c r="T4119" s="9">
        <f>IF(Q4119="당기",ABS(P4119)+ROW()/1000000000,"")</f>
        <v/>
      </c>
      <c r="U4119" s="9">
        <f>IF(Q4119="비교",ABS(P4119)+ROW()/1000000000,"")</f>
        <v/>
      </c>
      <c r="V4119" s="39">
        <f>IF($A4119="","",IF(COUNTIF(변동분석!$E$7:$E$506,O4119)&gt;0,"Y","N"))</f>
        <v/>
      </c>
      <c r="W4119" s="39">
        <f>IF($A4119="","",IFERROR(INDEX(계정매핑!$D$5:$D$504,MATCH($F4119&amp;"",계정매핑!$A$5:$A$504,0)),"미매핑"))</f>
        <v/>
      </c>
      <c r="X4119" s="9">
        <f>IF($A4119="","",$F4119&amp;"")</f>
        <v/>
      </c>
    </row>
    <row r="4120">
      <c r="A4120" s="75" t="n">
        <v>2026</v>
      </c>
      <c r="B4120" s="75" t="n">
        <v>9</v>
      </c>
      <c r="C4120" s="75" t="inlineStr">
        <is>
          <t>5100001776</t>
        </is>
      </c>
      <c r="D4120" s="78" t="n">
        <v>46290</v>
      </c>
      <c r="E4120" s="75" t="inlineStr">
        <is>
          <t>KR</t>
        </is>
      </c>
      <c r="F4120" s="75" t="n">
        <v>62701000</v>
      </c>
      <c r="G4120" s="75" t="n">
        <v>1502</v>
      </c>
      <c r="H4120" s="76" t="n">
        <v>30000000</v>
      </c>
      <c r="I4120" s="75" t="inlineStr">
        <is>
          <t>디지털 퍼포먼스 광고 9월</t>
        </is>
      </c>
      <c r="J4120" s="75" t="inlineStr">
        <is>
          <t>V10031</t>
        </is>
      </c>
      <c r="K4120" s="75" t="inlineStr">
        <is>
          <t>B디지털</t>
        </is>
      </c>
      <c r="M4120" s="9">
        <f>IF($A4120="","",VALUE($A4120&amp;"")*12+VALUE($B4120&amp;""))</f>
        <v/>
      </c>
      <c r="N4120" s="39">
        <f>IF($A4120="","",IFERROR(INDEX(부서매핑!$C$5:$C$504,MATCH($G4120&amp;"",부서매핑!$A$5:$A$504,0)),"미매핑"))</f>
        <v/>
      </c>
      <c r="O4120" s="9">
        <f>IF($A4120="","",N4120&amp;"|"&amp;$F4120)</f>
        <v/>
      </c>
      <c r="P4120" s="77">
        <f>IF($A4120="",0,$H4120*설정!$C$23)</f>
        <v/>
      </c>
      <c r="Q4120" s="39">
        <f>IF($A4120="","",IF(O4120&lt;&gt;원인분석!$C$9,"",IF(AND(M4120&gt;=원인분석!$C$10,M4120&lt;=원인분석!$C$11),"당기",IF(AND(M4120&gt;=원인분석!$C$12,M4120&lt;=원인분석!$C$13),"비교",""))))</f>
        <v/>
      </c>
      <c r="R4120" s="9">
        <f>IF(Q4120="","",$K4120&amp;"")</f>
        <v/>
      </c>
      <c r="S4120" s="9">
        <f>IF(Q4120="","",IF(MATCH(R4120,$R$5:$R$100000,0)=ROW()-4,ROW(),""))</f>
        <v/>
      </c>
      <c r="T4120" s="9">
        <f>IF(Q4120="당기",ABS(P4120)+ROW()/1000000000,"")</f>
        <v/>
      </c>
      <c r="U4120" s="9">
        <f>IF(Q4120="비교",ABS(P4120)+ROW()/1000000000,"")</f>
        <v/>
      </c>
      <c r="V4120" s="39">
        <f>IF($A4120="","",IF(COUNTIF(변동분석!$E$7:$E$506,O4120)&gt;0,"Y","N"))</f>
        <v/>
      </c>
      <c r="W4120" s="39">
        <f>IF($A4120="","",IFERROR(INDEX(계정매핑!$D$5:$D$504,MATCH($F4120&amp;"",계정매핑!$A$5:$A$504,0)),"미매핑"))</f>
        <v/>
      </c>
      <c r="X4120" s="9">
        <f>IF($A4120="","",$F4120&amp;"")</f>
        <v/>
      </c>
    </row>
    <row r="4121">
      <c r="A4121" s="75" t="n">
        <v>2026</v>
      </c>
      <c r="B4121" s="75" t="n">
        <v>9</v>
      </c>
      <c r="C4121" s="75" t="inlineStr">
        <is>
          <t>5100001777</t>
        </is>
      </c>
      <c r="D4121" s="78" t="n">
        <v>46290</v>
      </c>
      <c r="E4121" s="75" t="inlineStr">
        <is>
          <t>KR</t>
        </is>
      </c>
      <c r="F4121" s="75" t="n">
        <v>62902000</v>
      </c>
      <c r="G4121" s="75" t="n">
        <v>1801</v>
      </c>
      <c r="H4121" s="76" t="n">
        <v>1765000</v>
      </c>
      <c r="I4121" s="75" t="inlineStr">
        <is>
          <t>9월 콜 위탁 수수료(건별)</t>
        </is>
      </c>
      <c r="J4121" s="75" t="inlineStr">
        <is>
          <t>V10013</t>
        </is>
      </c>
      <c r="K4121" s="75" t="inlineStr">
        <is>
          <t>J콜센터</t>
        </is>
      </c>
      <c r="M4121" s="9">
        <f>IF($A4121="","",VALUE($A4121&amp;"")*12+VALUE($B4121&amp;""))</f>
        <v/>
      </c>
      <c r="N4121" s="39">
        <f>IF($A4121="","",IFERROR(INDEX(부서매핑!$C$5:$C$504,MATCH($G4121&amp;"",부서매핑!$A$5:$A$504,0)),"미매핑"))</f>
        <v/>
      </c>
      <c r="O4121" s="9">
        <f>IF($A4121="","",N4121&amp;"|"&amp;$F4121)</f>
        <v/>
      </c>
      <c r="P4121" s="77">
        <f>IF($A4121="",0,$H4121*설정!$C$23)</f>
        <v/>
      </c>
      <c r="Q4121" s="39">
        <f>IF($A4121="","",IF(O4121&lt;&gt;원인분석!$C$9,"",IF(AND(M4121&gt;=원인분석!$C$10,M4121&lt;=원인분석!$C$11),"당기",IF(AND(M4121&gt;=원인분석!$C$12,M4121&lt;=원인분석!$C$13),"비교",""))))</f>
        <v/>
      </c>
      <c r="R4121" s="9">
        <f>IF(Q4121="","",$K4121&amp;"")</f>
        <v/>
      </c>
      <c r="S4121" s="9">
        <f>IF(Q4121="","",IF(MATCH(R4121,$R$5:$R$100000,0)=ROW()-4,ROW(),""))</f>
        <v/>
      </c>
      <c r="T4121" s="9">
        <f>IF(Q4121="당기",ABS(P4121)+ROW()/1000000000,"")</f>
        <v/>
      </c>
      <c r="U4121" s="9">
        <f>IF(Q4121="비교",ABS(P4121)+ROW()/1000000000,"")</f>
        <v/>
      </c>
      <c r="V4121" s="39">
        <f>IF($A4121="","",IF(COUNTIF(변동분석!$E$7:$E$506,O4121)&gt;0,"Y","N"))</f>
        <v/>
      </c>
      <c r="W4121" s="39">
        <f>IF($A4121="","",IFERROR(INDEX(계정매핑!$D$5:$D$504,MATCH($F4121&amp;"",계정매핑!$A$5:$A$504,0)),"미매핑"))</f>
        <v/>
      </c>
      <c r="X4121" s="9">
        <f>IF($A4121="","",$F4121&amp;"")</f>
        <v/>
      </c>
    </row>
    <row r="4122">
      <c r="A4122" s="75" t="n">
        <v>2026</v>
      </c>
      <c r="B4122" s="75" t="n">
        <v>9</v>
      </c>
      <c r="C4122" s="75" t="inlineStr">
        <is>
          <t>5100001778</t>
        </is>
      </c>
      <c r="D4122" s="78" t="n">
        <v>46290</v>
      </c>
      <c r="E4122" s="75" t="inlineStr">
        <is>
          <t>KR</t>
        </is>
      </c>
      <c r="F4122" s="75" t="n">
        <v>62902000</v>
      </c>
      <c r="G4122" s="75" t="n">
        <v>1801</v>
      </c>
      <c r="H4122" s="76" t="n">
        <v>1791000</v>
      </c>
      <c r="I4122" s="75" t="inlineStr">
        <is>
          <t>9월 콜 위탁 수수료(건별)</t>
        </is>
      </c>
      <c r="J4122" s="75" t="inlineStr">
        <is>
          <t>V10013</t>
        </is>
      </c>
      <c r="K4122" s="75" t="inlineStr">
        <is>
          <t>J콜센터</t>
        </is>
      </c>
      <c r="M4122" s="9">
        <f>IF($A4122="","",VALUE($A4122&amp;"")*12+VALUE($B4122&amp;""))</f>
        <v/>
      </c>
      <c r="N4122" s="39">
        <f>IF($A4122="","",IFERROR(INDEX(부서매핑!$C$5:$C$504,MATCH($G4122&amp;"",부서매핑!$A$5:$A$504,0)),"미매핑"))</f>
        <v/>
      </c>
      <c r="O4122" s="9">
        <f>IF($A4122="","",N4122&amp;"|"&amp;$F4122)</f>
        <v/>
      </c>
      <c r="P4122" s="77">
        <f>IF($A4122="",0,$H4122*설정!$C$23)</f>
        <v/>
      </c>
      <c r="Q4122" s="39">
        <f>IF($A4122="","",IF(O4122&lt;&gt;원인분석!$C$9,"",IF(AND(M4122&gt;=원인분석!$C$10,M4122&lt;=원인분석!$C$11),"당기",IF(AND(M4122&gt;=원인분석!$C$12,M4122&lt;=원인분석!$C$13),"비교",""))))</f>
        <v/>
      </c>
      <c r="R4122" s="9">
        <f>IF(Q4122="","",$K4122&amp;"")</f>
        <v/>
      </c>
      <c r="S4122" s="9">
        <f>IF(Q4122="","",IF(MATCH(R4122,$R$5:$R$100000,0)=ROW()-4,ROW(),""))</f>
        <v/>
      </c>
      <c r="T4122" s="9">
        <f>IF(Q4122="당기",ABS(P4122)+ROW()/1000000000,"")</f>
        <v/>
      </c>
      <c r="U4122" s="9">
        <f>IF(Q4122="비교",ABS(P4122)+ROW()/1000000000,"")</f>
        <v/>
      </c>
      <c r="V4122" s="39">
        <f>IF($A4122="","",IF(COUNTIF(변동분석!$E$7:$E$506,O4122)&gt;0,"Y","N"))</f>
        <v/>
      </c>
      <c r="W4122" s="39">
        <f>IF($A4122="","",IFERROR(INDEX(계정매핑!$D$5:$D$504,MATCH($F4122&amp;"",계정매핑!$A$5:$A$504,0)),"미매핑"))</f>
        <v/>
      </c>
      <c r="X4122" s="9">
        <f>IF($A4122="","",$F4122&amp;"")</f>
        <v/>
      </c>
    </row>
    <row r="4123">
      <c r="A4123" s="75" t="n">
        <v>2026</v>
      </c>
      <c r="B4123" s="75" t="n">
        <v>9</v>
      </c>
      <c r="C4123" s="75" t="inlineStr">
        <is>
          <t>5100001779</t>
        </is>
      </c>
      <c r="D4123" s="78" t="n">
        <v>46290</v>
      </c>
      <c r="E4123" s="75" t="inlineStr">
        <is>
          <t>KR</t>
        </is>
      </c>
      <c r="F4123" s="75" t="n">
        <v>63002000</v>
      </c>
      <c r="G4123" s="75" t="n">
        <v>1701</v>
      </c>
      <c r="H4123" s="76" t="n">
        <v>101000000</v>
      </c>
      <c r="I4123" s="75" t="inlineStr">
        <is>
          <t>9월 클라우드 사용료 - C클라우드</t>
        </is>
      </c>
      <c r="J4123" s="75" t="inlineStr">
        <is>
          <t>V10028</t>
        </is>
      </c>
      <c r="K4123" s="75" t="inlineStr">
        <is>
          <t>C클라우드</t>
        </is>
      </c>
      <c r="M4123" s="9">
        <f>IF($A4123="","",VALUE($A4123&amp;"")*12+VALUE($B4123&amp;""))</f>
        <v/>
      </c>
      <c r="N4123" s="39">
        <f>IF($A4123="","",IFERROR(INDEX(부서매핑!$C$5:$C$504,MATCH($G4123&amp;"",부서매핑!$A$5:$A$504,0)),"미매핑"))</f>
        <v/>
      </c>
      <c r="O4123" s="9">
        <f>IF($A4123="","",N4123&amp;"|"&amp;$F4123)</f>
        <v/>
      </c>
      <c r="P4123" s="77">
        <f>IF($A4123="",0,$H4123*설정!$C$23)</f>
        <v/>
      </c>
      <c r="Q4123" s="39">
        <f>IF($A4123="","",IF(O4123&lt;&gt;원인분석!$C$9,"",IF(AND(M4123&gt;=원인분석!$C$10,M4123&lt;=원인분석!$C$11),"당기",IF(AND(M4123&gt;=원인분석!$C$12,M4123&lt;=원인분석!$C$13),"비교",""))))</f>
        <v/>
      </c>
      <c r="R4123" s="9">
        <f>IF(Q4123="","",$K4123&amp;"")</f>
        <v/>
      </c>
      <c r="S4123" s="9">
        <f>IF(Q4123="","",IF(MATCH(R4123,$R$5:$R$100000,0)=ROW()-4,ROW(),""))</f>
        <v/>
      </c>
      <c r="T4123" s="9">
        <f>IF(Q4123="당기",ABS(P4123)+ROW()/1000000000,"")</f>
        <v/>
      </c>
      <c r="U4123" s="9">
        <f>IF(Q4123="비교",ABS(P4123)+ROW()/1000000000,"")</f>
        <v/>
      </c>
      <c r="V4123" s="39">
        <f>IF($A4123="","",IF(COUNTIF(변동분석!$E$7:$E$506,O4123)&gt;0,"Y","N"))</f>
        <v/>
      </c>
      <c r="W4123" s="39">
        <f>IF($A4123="","",IFERROR(INDEX(계정매핑!$D$5:$D$504,MATCH($F4123&amp;"",계정매핑!$A$5:$A$504,0)),"미매핑"))</f>
        <v/>
      </c>
      <c r="X4123" s="9">
        <f>IF($A4123="","",$F4123&amp;"")</f>
        <v/>
      </c>
    </row>
    <row r="4124">
      <c r="A4124" s="75" t="n">
        <v>2026</v>
      </c>
      <c r="B4124" s="75" t="n">
        <v>9</v>
      </c>
      <c r="C4124" s="75" t="inlineStr">
        <is>
          <t>5100001780</t>
        </is>
      </c>
      <c r="D4124" s="78" t="n">
        <v>46291</v>
      </c>
      <c r="E4124" s="75" t="inlineStr">
        <is>
          <t>KR</t>
        </is>
      </c>
      <c r="F4124" s="75" t="n">
        <v>62102000</v>
      </c>
      <c r="G4124" s="75" t="n">
        <v>1401</v>
      </c>
      <c r="H4124" s="76" t="n">
        <v>63000</v>
      </c>
      <c r="I4124" s="75" t="inlineStr">
        <is>
          <t>9월 해외출장 - N호텔</t>
        </is>
      </c>
      <c r="J4124" s="75" t="inlineStr">
        <is>
          <t>V10007</t>
        </is>
      </c>
      <c r="K4124" s="75" t="inlineStr">
        <is>
          <t>N호텔</t>
        </is>
      </c>
      <c r="M4124" s="9">
        <f>IF($A4124="","",VALUE($A4124&amp;"")*12+VALUE($B4124&amp;""))</f>
        <v/>
      </c>
      <c r="N4124" s="39">
        <f>IF($A4124="","",IFERROR(INDEX(부서매핑!$C$5:$C$504,MATCH($G4124&amp;"",부서매핑!$A$5:$A$504,0)),"미매핑"))</f>
        <v/>
      </c>
      <c r="O4124" s="9">
        <f>IF($A4124="","",N4124&amp;"|"&amp;$F4124)</f>
        <v/>
      </c>
      <c r="P4124" s="77">
        <f>IF($A4124="",0,$H4124*설정!$C$23)</f>
        <v/>
      </c>
      <c r="Q4124" s="39">
        <f>IF($A4124="","",IF(O4124&lt;&gt;원인분석!$C$9,"",IF(AND(M4124&gt;=원인분석!$C$10,M4124&lt;=원인분석!$C$11),"당기",IF(AND(M4124&gt;=원인분석!$C$12,M4124&lt;=원인분석!$C$13),"비교",""))))</f>
        <v/>
      </c>
      <c r="R4124" s="9">
        <f>IF(Q4124="","",$K4124&amp;"")</f>
        <v/>
      </c>
      <c r="S4124" s="9">
        <f>IF(Q4124="","",IF(MATCH(R4124,$R$5:$R$100000,0)=ROW()-4,ROW(),""))</f>
        <v/>
      </c>
      <c r="T4124" s="9">
        <f>IF(Q4124="당기",ABS(P4124)+ROW()/1000000000,"")</f>
        <v/>
      </c>
      <c r="U4124" s="9">
        <f>IF(Q4124="비교",ABS(P4124)+ROW()/1000000000,"")</f>
        <v/>
      </c>
      <c r="V4124" s="39">
        <f>IF($A4124="","",IF(COUNTIF(변동분석!$E$7:$E$506,O4124)&gt;0,"Y","N"))</f>
        <v/>
      </c>
      <c r="W4124" s="39">
        <f>IF($A4124="","",IFERROR(INDEX(계정매핑!$D$5:$D$504,MATCH($F4124&amp;"",계정매핑!$A$5:$A$504,0)),"미매핑"))</f>
        <v/>
      </c>
      <c r="X4124" s="9">
        <f>IF($A4124="","",$F4124&amp;"")</f>
        <v/>
      </c>
    </row>
    <row r="4125">
      <c r="A4125" s="75" t="n">
        <v>2026</v>
      </c>
      <c r="B4125" s="75" t="n">
        <v>9</v>
      </c>
      <c r="C4125" s="75" t="inlineStr">
        <is>
          <t>5100001781</t>
        </is>
      </c>
      <c r="D4125" s="78" t="n">
        <v>46291</v>
      </c>
      <c r="E4125" s="75" t="inlineStr">
        <is>
          <t>KR</t>
        </is>
      </c>
      <c r="F4125" s="75" t="n">
        <v>62102000</v>
      </c>
      <c r="G4125" s="75" t="n">
        <v>1701</v>
      </c>
      <c r="H4125" s="76" t="n">
        <v>67000</v>
      </c>
      <c r="I4125" s="75" t="inlineStr">
        <is>
          <t>9월 해외출장 - M항공</t>
        </is>
      </c>
      <c r="J4125" s="75" t="inlineStr">
        <is>
          <t>V10001</t>
        </is>
      </c>
      <c r="K4125" s="75" t="inlineStr">
        <is>
          <t>M항공</t>
        </is>
      </c>
      <c r="M4125" s="9">
        <f>IF($A4125="","",VALUE($A4125&amp;"")*12+VALUE($B4125&amp;""))</f>
        <v/>
      </c>
      <c r="N4125" s="39">
        <f>IF($A4125="","",IFERROR(INDEX(부서매핑!$C$5:$C$504,MATCH($G4125&amp;"",부서매핑!$A$5:$A$504,0)),"미매핑"))</f>
        <v/>
      </c>
      <c r="O4125" s="9">
        <f>IF($A4125="","",N4125&amp;"|"&amp;$F4125)</f>
        <v/>
      </c>
      <c r="P4125" s="77">
        <f>IF($A4125="",0,$H4125*설정!$C$23)</f>
        <v/>
      </c>
      <c r="Q4125" s="39">
        <f>IF($A4125="","",IF(O4125&lt;&gt;원인분석!$C$9,"",IF(AND(M4125&gt;=원인분석!$C$10,M4125&lt;=원인분석!$C$11),"당기",IF(AND(M4125&gt;=원인분석!$C$12,M4125&lt;=원인분석!$C$13),"비교",""))))</f>
        <v/>
      </c>
      <c r="R4125" s="9">
        <f>IF(Q4125="","",$K4125&amp;"")</f>
        <v/>
      </c>
      <c r="S4125" s="9">
        <f>IF(Q4125="","",IF(MATCH(R4125,$R$5:$R$100000,0)=ROW()-4,ROW(),""))</f>
        <v/>
      </c>
      <c r="T4125" s="9">
        <f>IF(Q4125="당기",ABS(P4125)+ROW()/1000000000,"")</f>
        <v/>
      </c>
      <c r="U4125" s="9">
        <f>IF(Q4125="비교",ABS(P4125)+ROW()/1000000000,"")</f>
        <v/>
      </c>
      <c r="V4125" s="39">
        <f>IF($A4125="","",IF(COUNTIF(변동분석!$E$7:$E$506,O4125)&gt;0,"Y","N"))</f>
        <v/>
      </c>
      <c r="W4125" s="39">
        <f>IF($A4125="","",IFERROR(INDEX(계정매핑!$D$5:$D$504,MATCH($F4125&amp;"",계정매핑!$A$5:$A$504,0)),"미매핑"))</f>
        <v/>
      </c>
      <c r="X4125" s="9">
        <f>IF($A4125="","",$F4125&amp;"")</f>
        <v/>
      </c>
    </row>
    <row r="4126">
      <c r="A4126" s="75" t="n">
        <v>2026</v>
      </c>
      <c r="B4126" s="75" t="n">
        <v>9</v>
      </c>
      <c r="C4126" s="75" t="inlineStr">
        <is>
          <t>5100001782</t>
        </is>
      </c>
      <c r="D4126" s="78" t="n">
        <v>46291</v>
      </c>
      <c r="E4126" s="75" t="inlineStr">
        <is>
          <t>KR</t>
        </is>
      </c>
      <c r="F4126" s="75" t="n">
        <v>62301000</v>
      </c>
      <c r="G4126" s="75" t="n">
        <v>1502</v>
      </c>
      <c r="H4126" s="76" t="n">
        <v>159000</v>
      </c>
      <c r="I4126" s="75" t="inlineStr">
        <is>
          <t>9월 소모품 구입 - Q오피스</t>
        </is>
      </c>
      <c r="J4126" s="75" t="inlineStr">
        <is>
          <t>V10003</t>
        </is>
      </c>
      <c r="K4126" s="75" t="inlineStr">
        <is>
          <t>Q오피스</t>
        </is>
      </c>
      <c r="M4126" s="9">
        <f>IF($A4126="","",VALUE($A4126&amp;"")*12+VALUE($B4126&amp;""))</f>
        <v/>
      </c>
      <c r="N4126" s="39">
        <f>IF($A4126="","",IFERROR(INDEX(부서매핑!$C$5:$C$504,MATCH($G4126&amp;"",부서매핑!$A$5:$A$504,0)),"미매핑"))</f>
        <v/>
      </c>
      <c r="O4126" s="9">
        <f>IF($A4126="","",N4126&amp;"|"&amp;$F4126)</f>
        <v/>
      </c>
      <c r="P4126" s="77">
        <f>IF($A4126="",0,$H4126*설정!$C$23)</f>
        <v/>
      </c>
      <c r="Q4126" s="39">
        <f>IF($A4126="","",IF(O4126&lt;&gt;원인분석!$C$9,"",IF(AND(M4126&gt;=원인분석!$C$10,M4126&lt;=원인분석!$C$11),"당기",IF(AND(M4126&gt;=원인분석!$C$12,M4126&lt;=원인분석!$C$13),"비교",""))))</f>
        <v/>
      </c>
      <c r="R4126" s="9">
        <f>IF(Q4126="","",$K4126&amp;"")</f>
        <v/>
      </c>
      <c r="S4126" s="9">
        <f>IF(Q4126="","",IF(MATCH(R4126,$R$5:$R$100000,0)=ROW()-4,ROW(),""))</f>
        <v/>
      </c>
      <c r="T4126" s="9">
        <f>IF(Q4126="당기",ABS(P4126)+ROW()/1000000000,"")</f>
        <v/>
      </c>
      <c r="U4126" s="9">
        <f>IF(Q4126="비교",ABS(P4126)+ROW()/1000000000,"")</f>
        <v/>
      </c>
      <c r="V4126" s="39">
        <f>IF($A4126="","",IF(COUNTIF(변동분석!$E$7:$E$506,O4126)&gt;0,"Y","N"))</f>
        <v/>
      </c>
      <c r="W4126" s="39">
        <f>IF($A4126="","",IFERROR(INDEX(계정매핑!$D$5:$D$504,MATCH($F4126&amp;"",계정매핑!$A$5:$A$504,0)),"미매핑"))</f>
        <v/>
      </c>
      <c r="X4126" s="9">
        <f>IF($A4126="","",$F4126&amp;"")</f>
        <v/>
      </c>
    </row>
    <row r="4127">
      <c r="A4127" s="75" t="n">
        <v>2026</v>
      </c>
      <c r="B4127" s="75" t="n">
        <v>9</v>
      </c>
      <c r="C4127" s="75" t="inlineStr">
        <is>
          <t>5100001783</t>
        </is>
      </c>
      <c r="D4127" s="78" t="n">
        <v>46291</v>
      </c>
      <c r="E4127" s="75" t="inlineStr">
        <is>
          <t>KR</t>
        </is>
      </c>
      <c r="F4127" s="75" t="n">
        <v>62301000</v>
      </c>
      <c r="G4127" s="75" t="n">
        <v>1502</v>
      </c>
      <c r="H4127" s="76" t="n">
        <v>174000</v>
      </c>
      <c r="I4127" s="75" t="inlineStr">
        <is>
          <t>9월 소모품 구입 - R문구</t>
        </is>
      </c>
      <c r="J4127" s="75" t="inlineStr">
        <is>
          <t>V10018</t>
        </is>
      </c>
      <c r="K4127" s="75" t="inlineStr">
        <is>
          <t>R문구</t>
        </is>
      </c>
      <c r="M4127" s="9">
        <f>IF($A4127="","",VALUE($A4127&amp;"")*12+VALUE($B4127&amp;""))</f>
        <v/>
      </c>
      <c r="N4127" s="39">
        <f>IF($A4127="","",IFERROR(INDEX(부서매핑!$C$5:$C$504,MATCH($G4127&amp;"",부서매핑!$A$5:$A$504,0)),"미매핑"))</f>
        <v/>
      </c>
      <c r="O4127" s="9">
        <f>IF($A4127="","",N4127&amp;"|"&amp;$F4127)</f>
        <v/>
      </c>
      <c r="P4127" s="77">
        <f>IF($A4127="",0,$H4127*설정!$C$23)</f>
        <v/>
      </c>
      <c r="Q4127" s="39">
        <f>IF($A4127="","",IF(O4127&lt;&gt;원인분석!$C$9,"",IF(AND(M4127&gt;=원인분석!$C$10,M4127&lt;=원인분석!$C$11),"당기",IF(AND(M4127&gt;=원인분석!$C$12,M4127&lt;=원인분석!$C$13),"비교",""))))</f>
        <v/>
      </c>
      <c r="R4127" s="9">
        <f>IF(Q4127="","",$K4127&amp;"")</f>
        <v/>
      </c>
      <c r="S4127" s="9">
        <f>IF(Q4127="","",IF(MATCH(R4127,$R$5:$R$100000,0)=ROW()-4,ROW(),""))</f>
        <v/>
      </c>
      <c r="T4127" s="9">
        <f>IF(Q4127="당기",ABS(P4127)+ROW()/1000000000,"")</f>
        <v/>
      </c>
      <c r="U4127" s="9">
        <f>IF(Q4127="비교",ABS(P4127)+ROW()/1000000000,"")</f>
        <v/>
      </c>
      <c r="V4127" s="39">
        <f>IF($A4127="","",IF(COUNTIF(변동분석!$E$7:$E$506,O4127)&gt;0,"Y","N"))</f>
        <v/>
      </c>
      <c r="W4127" s="39">
        <f>IF($A4127="","",IFERROR(INDEX(계정매핑!$D$5:$D$504,MATCH($F4127&amp;"",계정매핑!$A$5:$A$504,0)),"미매핑"))</f>
        <v/>
      </c>
      <c r="X4127" s="9">
        <f>IF($A4127="","",$F4127&amp;"")</f>
        <v/>
      </c>
    </row>
    <row r="4128">
      <c r="A4128" s="75" t="n">
        <v>2026</v>
      </c>
      <c r="B4128" s="75" t="n">
        <v>9</v>
      </c>
      <c r="C4128" s="75" t="inlineStr">
        <is>
          <t>5100001784</t>
        </is>
      </c>
      <c r="D4128" s="78" t="n">
        <v>46292</v>
      </c>
      <c r="E4128" s="75" t="inlineStr">
        <is>
          <t>KR</t>
        </is>
      </c>
      <c r="F4128" s="75" t="n">
        <v>62102000</v>
      </c>
      <c r="G4128" s="75" t="n">
        <v>1201</v>
      </c>
      <c r="H4128" s="76" t="n">
        <v>72000</v>
      </c>
      <c r="I4128" s="75" t="inlineStr">
        <is>
          <t>9월 해외출장 - M항공</t>
        </is>
      </c>
      <c r="J4128" s="75" t="inlineStr">
        <is>
          <t>V10001</t>
        </is>
      </c>
      <c r="K4128" s="75" t="inlineStr">
        <is>
          <t>M항공</t>
        </is>
      </c>
      <c r="M4128" s="9">
        <f>IF($A4128="","",VALUE($A4128&amp;"")*12+VALUE($B4128&amp;""))</f>
        <v/>
      </c>
      <c r="N4128" s="39">
        <f>IF($A4128="","",IFERROR(INDEX(부서매핑!$C$5:$C$504,MATCH($G4128&amp;"",부서매핑!$A$5:$A$504,0)),"미매핑"))</f>
        <v/>
      </c>
      <c r="O4128" s="9">
        <f>IF($A4128="","",N4128&amp;"|"&amp;$F4128)</f>
        <v/>
      </c>
      <c r="P4128" s="77">
        <f>IF($A4128="",0,$H4128*설정!$C$23)</f>
        <v/>
      </c>
      <c r="Q4128" s="39">
        <f>IF($A4128="","",IF(O4128&lt;&gt;원인분석!$C$9,"",IF(AND(M4128&gt;=원인분석!$C$10,M4128&lt;=원인분석!$C$11),"당기",IF(AND(M4128&gt;=원인분석!$C$12,M4128&lt;=원인분석!$C$13),"비교",""))))</f>
        <v/>
      </c>
      <c r="R4128" s="9">
        <f>IF(Q4128="","",$K4128&amp;"")</f>
        <v/>
      </c>
      <c r="S4128" s="9">
        <f>IF(Q4128="","",IF(MATCH(R4128,$R$5:$R$100000,0)=ROW()-4,ROW(),""))</f>
        <v/>
      </c>
      <c r="T4128" s="9">
        <f>IF(Q4128="당기",ABS(P4128)+ROW()/1000000000,"")</f>
        <v/>
      </c>
      <c r="U4128" s="9">
        <f>IF(Q4128="비교",ABS(P4128)+ROW()/1000000000,"")</f>
        <v/>
      </c>
      <c r="V4128" s="39">
        <f>IF($A4128="","",IF(COUNTIF(변동분석!$E$7:$E$506,O4128)&gt;0,"Y","N"))</f>
        <v/>
      </c>
      <c r="W4128" s="39">
        <f>IF($A4128="","",IFERROR(INDEX(계정매핑!$D$5:$D$504,MATCH($F4128&amp;"",계정매핑!$A$5:$A$504,0)),"미매핑"))</f>
        <v/>
      </c>
      <c r="X4128" s="9">
        <f>IF($A4128="","",$F4128&amp;"")</f>
        <v/>
      </c>
    </row>
    <row r="4129">
      <c r="A4129" s="75" t="n">
        <v>2026</v>
      </c>
      <c r="B4129" s="75" t="n">
        <v>9</v>
      </c>
      <c r="C4129" s="75" t="inlineStr">
        <is>
          <t>5100001785</t>
        </is>
      </c>
      <c r="D4129" s="78" t="n">
        <v>46292</v>
      </c>
      <c r="E4129" s="75" t="inlineStr">
        <is>
          <t>KR</t>
        </is>
      </c>
      <c r="F4129" s="75" t="n">
        <v>62301000</v>
      </c>
      <c r="G4129" s="75" t="n">
        <v>1101</v>
      </c>
      <c r="H4129" s="76" t="n">
        <v>169000</v>
      </c>
      <c r="I4129" s="75" t="inlineStr">
        <is>
          <t>9월 소모품 구입 - R문구</t>
        </is>
      </c>
      <c r="J4129" s="75" t="inlineStr">
        <is>
          <t>V10018</t>
        </is>
      </c>
      <c r="K4129" s="75" t="inlineStr">
        <is>
          <t>R문구</t>
        </is>
      </c>
      <c r="M4129" s="9">
        <f>IF($A4129="","",VALUE($A4129&amp;"")*12+VALUE($B4129&amp;""))</f>
        <v/>
      </c>
      <c r="N4129" s="39">
        <f>IF($A4129="","",IFERROR(INDEX(부서매핑!$C$5:$C$504,MATCH($G4129&amp;"",부서매핑!$A$5:$A$504,0)),"미매핑"))</f>
        <v/>
      </c>
      <c r="O4129" s="9">
        <f>IF($A4129="","",N4129&amp;"|"&amp;$F4129)</f>
        <v/>
      </c>
      <c r="P4129" s="77">
        <f>IF($A4129="",0,$H4129*설정!$C$23)</f>
        <v/>
      </c>
      <c r="Q4129" s="39">
        <f>IF($A4129="","",IF(O4129&lt;&gt;원인분석!$C$9,"",IF(AND(M4129&gt;=원인분석!$C$10,M4129&lt;=원인분석!$C$11),"당기",IF(AND(M4129&gt;=원인분석!$C$12,M4129&lt;=원인분석!$C$13),"비교",""))))</f>
        <v/>
      </c>
      <c r="R4129" s="9">
        <f>IF(Q4129="","",$K4129&amp;"")</f>
        <v/>
      </c>
      <c r="S4129" s="9">
        <f>IF(Q4129="","",IF(MATCH(R4129,$R$5:$R$100000,0)=ROW()-4,ROW(),""))</f>
        <v/>
      </c>
      <c r="T4129" s="9">
        <f>IF(Q4129="당기",ABS(P4129)+ROW()/1000000000,"")</f>
        <v/>
      </c>
      <c r="U4129" s="9">
        <f>IF(Q4129="비교",ABS(P4129)+ROW()/1000000000,"")</f>
        <v/>
      </c>
      <c r="V4129" s="39">
        <f>IF($A4129="","",IF(COUNTIF(변동분석!$E$7:$E$506,O4129)&gt;0,"Y","N"))</f>
        <v/>
      </c>
      <c r="W4129" s="39">
        <f>IF($A4129="","",IFERROR(INDEX(계정매핑!$D$5:$D$504,MATCH($F4129&amp;"",계정매핑!$A$5:$A$504,0)),"미매핑"))</f>
        <v/>
      </c>
      <c r="X4129" s="9">
        <f>IF($A4129="","",$F4129&amp;"")</f>
        <v/>
      </c>
    </row>
    <row r="4130">
      <c r="A4130" s="75" t="n">
        <v>2026</v>
      </c>
      <c r="B4130" s="75" t="n">
        <v>9</v>
      </c>
      <c r="C4130" s="75" t="inlineStr">
        <is>
          <t>5100001786</t>
        </is>
      </c>
      <c r="D4130" s="78" t="n">
        <v>46292</v>
      </c>
      <c r="E4130" s="75" t="inlineStr">
        <is>
          <t>KR</t>
        </is>
      </c>
      <c r="F4130" s="75" t="n">
        <v>62301000</v>
      </c>
      <c r="G4130" s="75" t="n">
        <v>1301</v>
      </c>
      <c r="H4130" s="76" t="n">
        <v>315000</v>
      </c>
      <c r="I4130" s="75" t="inlineStr">
        <is>
          <t>9월 소모품 구입 - R문구</t>
        </is>
      </c>
      <c r="J4130" s="75" t="inlineStr">
        <is>
          <t>V10018</t>
        </is>
      </c>
      <c r="K4130" s="75" t="inlineStr">
        <is>
          <t>R문구</t>
        </is>
      </c>
      <c r="M4130" s="9">
        <f>IF($A4130="","",VALUE($A4130&amp;"")*12+VALUE($B4130&amp;""))</f>
        <v/>
      </c>
      <c r="N4130" s="39">
        <f>IF($A4130="","",IFERROR(INDEX(부서매핑!$C$5:$C$504,MATCH($G4130&amp;"",부서매핑!$A$5:$A$504,0)),"미매핑"))</f>
        <v/>
      </c>
      <c r="O4130" s="9">
        <f>IF($A4130="","",N4130&amp;"|"&amp;$F4130)</f>
        <v/>
      </c>
      <c r="P4130" s="77">
        <f>IF($A4130="",0,$H4130*설정!$C$23)</f>
        <v/>
      </c>
      <c r="Q4130" s="39">
        <f>IF($A4130="","",IF(O4130&lt;&gt;원인분석!$C$9,"",IF(AND(M4130&gt;=원인분석!$C$10,M4130&lt;=원인분석!$C$11),"당기",IF(AND(M4130&gt;=원인분석!$C$12,M4130&lt;=원인분석!$C$13),"비교",""))))</f>
        <v/>
      </c>
      <c r="R4130" s="9">
        <f>IF(Q4130="","",$K4130&amp;"")</f>
        <v/>
      </c>
      <c r="S4130" s="9">
        <f>IF(Q4130="","",IF(MATCH(R4130,$R$5:$R$100000,0)=ROW()-4,ROW(),""))</f>
        <v/>
      </c>
      <c r="T4130" s="9">
        <f>IF(Q4130="당기",ABS(P4130)+ROW()/1000000000,"")</f>
        <v/>
      </c>
      <c r="U4130" s="9">
        <f>IF(Q4130="비교",ABS(P4130)+ROW()/1000000000,"")</f>
        <v/>
      </c>
      <c r="V4130" s="39">
        <f>IF($A4130="","",IF(COUNTIF(변동분석!$E$7:$E$506,O4130)&gt;0,"Y","N"))</f>
        <v/>
      </c>
      <c r="W4130" s="39">
        <f>IF($A4130="","",IFERROR(INDEX(계정매핑!$D$5:$D$504,MATCH($F4130&amp;"",계정매핑!$A$5:$A$504,0)),"미매핑"))</f>
        <v/>
      </c>
      <c r="X4130" s="9">
        <f>IF($A4130="","",$F4130&amp;"")</f>
        <v/>
      </c>
    </row>
    <row r="4131">
      <c r="A4131" s="75" t="n">
        <v>2026</v>
      </c>
      <c r="B4131" s="75" t="n">
        <v>9</v>
      </c>
      <c r="C4131" s="75" t="inlineStr">
        <is>
          <t>5100001787</t>
        </is>
      </c>
      <c r="D4131" s="78" t="n">
        <v>46292</v>
      </c>
      <c r="E4131" s="75" t="inlineStr">
        <is>
          <t>KR</t>
        </is>
      </c>
      <c r="F4131" s="75" t="n">
        <v>62802000</v>
      </c>
      <c r="G4131" s="75" t="n">
        <v>1301</v>
      </c>
      <c r="H4131" s="76" t="n">
        <v>5128000</v>
      </c>
      <c r="I4131" s="75" t="inlineStr">
        <is>
          <t>9월 위탁교육 - V아카데미</t>
        </is>
      </c>
      <c r="J4131" s="75" t="inlineStr">
        <is>
          <t>V10023</t>
        </is>
      </c>
      <c r="K4131" s="75" t="inlineStr">
        <is>
          <t>V아카데미</t>
        </is>
      </c>
      <c r="M4131" s="9">
        <f>IF($A4131="","",VALUE($A4131&amp;"")*12+VALUE($B4131&amp;""))</f>
        <v/>
      </c>
      <c r="N4131" s="39">
        <f>IF($A4131="","",IFERROR(INDEX(부서매핑!$C$5:$C$504,MATCH($G4131&amp;"",부서매핑!$A$5:$A$504,0)),"미매핑"))</f>
        <v/>
      </c>
      <c r="O4131" s="9">
        <f>IF($A4131="","",N4131&amp;"|"&amp;$F4131)</f>
        <v/>
      </c>
      <c r="P4131" s="77">
        <f>IF($A4131="",0,$H4131*설정!$C$23)</f>
        <v/>
      </c>
      <c r="Q4131" s="39">
        <f>IF($A4131="","",IF(O4131&lt;&gt;원인분석!$C$9,"",IF(AND(M4131&gt;=원인분석!$C$10,M4131&lt;=원인분석!$C$11),"당기",IF(AND(M4131&gt;=원인분석!$C$12,M4131&lt;=원인분석!$C$13),"비교",""))))</f>
        <v/>
      </c>
      <c r="R4131" s="9">
        <f>IF(Q4131="","",$K4131&amp;"")</f>
        <v/>
      </c>
      <c r="S4131" s="9">
        <f>IF(Q4131="","",IF(MATCH(R4131,$R$5:$R$100000,0)=ROW()-4,ROW(),""))</f>
        <v/>
      </c>
      <c r="T4131" s="9">
        <f>IF(Q4131="당기",ABS(P4131)+ROW()/1000000000,"")</f>
        <v/>
      </c>
      <c r="U4131" s="9">
        <f>IF(Q4131="비교",ABS(P4131)+ROW()/1000000000,"")</f>
        <v/>
      </c>
      <c r="V4131" s="39">
        <f>IF($A4131="","",IF(COUNTIF(변동분석!$E$7:$E$506,O4131)&gt;0,"Y","N"))</f>
        <v/>
      </c>
      <c r="W4131" s="39">
        <f>IF($A4131="","",IFERROR(INDEX(계정매핑!$D$5:$D$504,MATCH($F4131&amp;"",계정매핑!$A$5:$A$504,0)),"미매핑"))</f>
        <v/>
      </c>
      <c r="X4131" s="9">
        <f>IF($A4131="","",$F4131&amp;"")</f>
        <v/>
      </c>
    </row>
    <row r="4132">
      <c r="A4132" s="75" t="n">
        <v>2026</v>
      </c>
      <c r="B4132" s="75" t="n">
        <v>9</v>
      </c>
      <c r="C4132" s="75" t="inlineStr">
        <is>
          <t>5100001788</t>
        </is>
      </c>
      <c r="D4132" s="78" t="n">
        <v>46292</v>
      </c>
      <c r="E4132" s="75" t="inlineStr">
        <is>
          <t>KR</t>
        </is>
      </c>
      <c r="F4132" s="75" t="n">
        <v>62902000</v>
      </c>
      <c r="G4132" s="75" t="n">
        <v>1801</v>
      </c>
      <c r="H4132" s="76" t="n">
        <v>1777000</v>
      </c>
      <c r="I4132" s="75" t="inlineStr">
        <is>
          <t>9월 콜 위탁 수수료(건별)</t>
        </is>
      </c>
      <c r="J4132" s="75" t="inlineStr">
        <is>
          <t>V10013</t>
        </is>
      </c>
      <c r="K4132" s="75" t="inlineStr">
        <is>
          <t>J콜센터</t>
        </is>
      </c>
      <c r="M4132" s="9">
        <f>IF($A4132="","",VALUE($A4132&amp;"")*12+VALUE($B4132&amp;""))</f>
        <v/>
      </c>
      <c r="N4132" s="39">
        <f>IF($A4132="","",IFERROR(INDEX(부서매핑!$C$5:$C$504,MATCH($G4132&amp;"",부서매핑!$A$5:$A$504,0)),"미매핑"))</f>
        <v/>
      </c>
      <c r="O4132" s="9">
        <f>IF($A4132="","",N4132&amp;"|"&amp;$F4132)</f>
        <v/>
      </c>
      <c r="P4132" s="77">
        <f>IF($A4132="",0,$H4132*설정!$C$23)</f>
        <v/>
      </c>
      <c r="Q4132" s="39">
        <f>IF($A4132="","",IF(O4132&lt;&gt;원인분석!$C$9,"",IF(AND(M4132&gt;=원인분석!$C$10,M4132&lt;=원인분석!$C$11),"당기",IF(AND(M4132&gt;=원인분석!$C$12,M4132&lt;=원인분석!$C$13),"비교",""))))</f>
        <v/>
      </c>
      <c r="R4132" s="9">
        <f>IF(Q4132="","",$K4132&amp;"")</f>
        <v/>
      </c>
      <c r="S4132" s="9">
        <f>IF(Q4132="","",IF(MATCH(R4132,$R$5:$R$100000,0)=ROW()-4,ROW(),""))</f>
        <v/>
      </c>
      <c r="T4132" s="9">
        <f>IF(Q4132="당기",ABS(P4132)+ROW()/1000000000,"")</f>
        <v/>
      </c>
      <c r="U4132" s="9">
        <f>IF(Q4132="비교",ABS(P4132)+ROW()/1000000000,"")</f>
        <v/>
      </c>
      <c r="V4132" s="39">
        <f>IF($A4132="","",IF(COUNTIF(변동분석!$E$7:$E$506,O4132)&gt;0,"Y","N"))</f>
        <v/>
      </c>
      <c r="W4132" s="39">
        <f>IF($A4132="","",IFERROR(INDEX(계정매핑!$D$5:$D$504,MATCH($F4132&amp;"",계정매핑!$A$5:$A$504,0)),"미매핑"))</f>
        <v/>
      </c>
      <c r="X4132" s="9">
        <f>IF($A4132="","",$F4132&amp;"")</f>
        <v/>
      </c>
    </row>
    <row r="4133">
      <c r="A4133" s="75" t="n">
        <v>2026</v>
      </c>
      <c r="B4133" s="75" t="n">
        <v>9</v>
      </c>
      <c r="C4133" s="75" t="inlineStr">
        <is>
          <t>100001789</t>
        </is>
      </c>
      <c r="D4133" s="78" t="n">
        <v>46293</v>
      </c>
      <c r="E4133" s="75" t="inlineStr">
        <is>
          <t>SA</t>
        </is>
      </c>
      <c r="F4133" s="75" t="n">
        <v>62901000</v>
      </c>
      <c r="G4133" s="75" t="n">
        <v>1101</v>
      </c>
      <c r="H4133" s="76" t="n">
        <v>-25000000</v>
      </c>
      <c r="I4133" s="75" t="inlineStr">
        <is>
          <t>재무회계팀으로 회계자문료 재분류 (8월분)</t>
        </is>
      </c>
      <c r="J4133" s="75" t="inlineStr">
        <is>
          <t>V10032</t>
        </is>
      </c>
      <c r="K4133" s="75" t="inlineStr">
        <is>
          <t>(내부대체)</t>
        </is>
      </c>
      <c r="M4133" s="9">
        <f>IF($A4133="","",VALUE($A4133&amp;"")*12+VALUE($B4133&amp;""))</f>
        <v/>
      </c>
      <c r="N4133" s="39">
        <f>IF($A4133="","",IFERROR(INDEX(부서매핑!$C$5:$C$504,MATCH($G4133&amp;"",부서매핑!$A$5:$A$504,0)),"미매핑"))</f>
        <v/>
      </c>
      <c r="O4133" s="9">
        <f>IF($A4133="","",N4133&amp;"|"&amp;$F4133)</f>
        <v/>
      </c>
      <c r="P4133" s="77">
        <f>IF($A4133="",0,$H4133*설정!$C$23)</f>
        <v/>
      </c>
      <c r="Q4133" s="39">
        <f>IF($A4133="","",IF(O4133&lt;&gt;원인분석!$C$9,"",IF(AND(M4133&gt;=원인분석!$C$10,M4133&lt;=원인분석!$C$11),"당기",IF(AND(M4133&gt;=원인분석!$C$12,M4133&lt;=원인분석!$C$13),"비교",""))))</f>
        <v/>
      </c>
      <c r="R4133" s="9">
        <f>IF(Q4133="","",$K4133&amp;"")</f>
        <v/>
      </c>
      <c r="S4133" s="9">
        <f>IF(Q4133="","",IF(MATCH(R4133,$R$5:$R$100000,0)=ROW()-4,ROW(),""))</f>
        <v/>
      </c>
      <c r="T4133" s="9">
        <f>IF(Q4133="당기",ABS(P4133)+ROW()/1000000000,"")</f>
        <v/>
      </c>
      <c r="U4133" s="9">
        <f>IF(Q4133="비교",ABS(P4133)+ROW()/1000000000,"")</f>
        <v/>
      </c>
      <c r="V4133" s="39">
        <f>IF($A4133="","",IF(COUNTIF(변동분석!$E$7:$E$506,O4133)&gt;0,"Y","N"))</f>
        <v/>
      </c>
      <c r="W4133" s="39">
        <f>IF($A4133="","",IFERROR(INDEX(계정매핑!$D$5:$D$504,MATCH($F4133&amp;"",계정매핑!$A$5:$A$504,0)),"미매핑"))</f>
        <v/>
      </c>
      <c r="X4133" s="9">
        <f>IF($A4133="","",$F4133&amp;"")</f>
        <v/>
      </c>
    </row>
    <row r="4134">
      <c r="A4134" s="75" t="n">
        <v>2026</v>
      </c>
      <c r="B4134" s="75" t="n">
        <v>9</v>
      </c>
      <c r="C4134" s="75" t="inlineStr">
        <is>
          <t>100001790</t>
        </is>
      </c>
      <c r="D4134" s="78" t="n">
        <v>46293</v>
      </c>
      <c r="E4134" s="75" t="inlineStr">
        <is>
          <t>SA</t>
        </is>
      </c>
      <c r="F4134" s="75" t="n">
        <v>62901000</v>
      </c>
      <c r="G4134" s="75" t="n">
        <v>1201</v>
      </c>
      <c r="H4134" s="76" t="n">
        <v>25000000</v>
      </c>
      <c r="I4134" s="75" t="inlineStr">
        <is>
          <t>경영기획팀 회계자문료 재분류 (8월분)</t>
        </is>
      </c>
      <c r="J4134" s="75" t="inlineStr">
        <is>
          <t>V10032</t>
        </is>
      </c>
      <c r="K4134" s="75" t="inlineStr">
        <is>
          <t>(내부대체)</t>
        </is>
      </c>
      <c r="M4134" s="9">
        <f>IF($A4134="","",VALUE($A4134&amp;"")*12+VALUE($B4134&amp;""))</f>
        <v/>
      </c>
      <c r="N4134" s="39">
        <f>IF($A4134="","",IFERROR(INDEX(부서매핑!$C$5:$C$504,MATCH($G4134&amp;"",부서매핑!$A$5:$A$504,0)),"미매핑"))</f>
        <v/>
      </c>
      <c r="O4134" s="9">
        <f>IF($A4134="","",N4134&amp;"|"&amp;$F4134)</f>
        <v/>
      </c>
      <c r="P4134" s="77">
        <f>IF($A4134="",0,$H4134*설정!$C$23)</f>
        <v/>
      </c>
      <c r="Q4134" s="39">
        <f>IF($A4134="","",IF(O4134&lt;&gt;원인분석!$C$9,"",IF(AND(M4134&gt;=원인분석!$C$10,M4134&lt;=원인분석!$C$11),"당기",IF(AND(M4134&gt;=원인분석!$C$12,M4134&lt;=원인분석!$C$13),"비교",""))))</f>
        <v/>
      </c>
      <c r="R4134" s="9">
        <f>IF(Q4134="","",$K4134&amp;"")</f>
        <v/>
      </c>
      <c r="S4134" s="9">
        <f>IF(Q4134="","",IF(MATCH(R4134,$R$5:$R$100000,0)=ROW()-4,ROW(),""))</f>
        <v/>
      </c>
      <c r="T4134" s="9">
        <f>IF(Q4134="당기",ABS(P4134)+ROW()/1000000000,"")</f>
        <v/>
      </c>
      <c r="U4134" s="9">
        <f>IF(Q4134="비교",ABS(P4134)+ROW()/1000000000,"")</f>
        <v/>
      </c>
      <c r="V4134" s="39">
        <f>IF($A4134="","",IF(COUNTIF(변동분석!$E$7:$E$506,O4134)&gt;0,"Y","N"))</f>
        <v/>
      </c>
      <c r="W4134" s="39">
        <f>IF($A4134="","",IFERROR(INDEX(계정매핑!$D$5:$D$504,MATCH($F4134&amp;"",계정매핑!$A$5:$A$504,0)),"미매핑"))</f>
        <v/>
      </c>
      <c r="X4134" s="9">
        <f>IF($A4134="","",$F4134&amp;"")</f>
        <v/>
      </c>
    </row>
  </sheetData>
  <autoFilter ref="A4:X4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4" customWidth="1" min="3" max="3"/>
    <col width="11" customWidth="1" min="4" max="4"/>
  </cols>
  <sheetData>
    <row r="1">
      <c r="A1" s="1" t="inlineStr">
        <is>
          <t>TRACE · 계정 매핑</t>
        </is>
      </c>
    </row>
    <row r="2">
      <c r="A2" s="2" t="inlineStr">
        <is>
          <t>사업비 여부가 Y인 계정만 분석 · 코드 칸은 텍스트</t>
        </is>
      </c>
    </row>
    <row r="4" ht="30" customHeight="1">
      <c r="A4" s="4" t="inlineStr">
        <is>
          <t>G/L 계정</t>
        </is>
      </c>
      <c r="B4" s="4" t="inlineStr">
        <is>
          <t>계정명</t>
        </is>
      </c>
      <c r="C4" s="4" t="inlineStr">
        <is>
          <t>사업비 항목</t>
        </is>
      </c>
      <c r="D4" s="4" t="inlineStr">
        <is>
          <t>사업비 여부</t>
        </is>
      </c>
    </row>
    <row r="5">
      <c r="A5" s="59" t="inlineStr">
        <is>
          <t>62101000</t>
        </is>
      </c>
      <c r="B5" s="71" t="inlineStr">
        <is>
          <t>여비교통비-국내</t>
        </is>
      </c>
      <c r="C5" s="71" t="inlineStr">
        <is>
          <t>여비교통비</t>
        </is>
      </c>
      <c r="D5" s="12" t="inlineStr">
        <is>
          <t>Y</t>
        </is>
      </c>
    </row>
    <row r="6">
      <c r="A6" s="59" t="inlineStr">
        <is>
          <t>62102000</t>
        </is>
      </c>
      <c r="B6" s="71" t="inlineStr">
        <is>
          <t>여비교통비-해외</t>
        </is>
      </c>
      <c r="C6" s="71" t="inlineStr">
        <is>
          <t>여비교통비</t>
        </is>
      </c>
      <c r="D6" s="12" t="inlineStr">
        <is>
          <t>Y</t>
        </is>
      </c>
    </row>
    <row r="7">
      <c r="A7" s="59" t="inlineStr">
        <is>
          <t>62201000</t>
        </is>
      </c>
      <c r="B7" s="71" t="inlineStr">
        <is>
          <t>통신비</t>
        </is>
      </c>
      <c r="C7" s="71" t="inlineStr">
        <is>
          <t>통신비</t>
        </is>
      </c>
      <c r="D7" s="12" t="inlineStr">
        <is>
          <t>Y</t>
        </is>
      </c>
    </row>
    <row r="8">
      <c r="A8" s="59" t="inlineStr">
        <is>
          <t>62301000</t>
        </is>
      </c>
      <c r="B8" s="71" t="inlineStr">
        <is>
          <t>소모품비</t>
        </is>
      </c>
      <c r="C8" s="71" t="inlineStr">
        <is>
          <t>소모품비</t>
        </is>
      </c>
      <c r="D8" s="12" t="inlineStr">
        <is>
          <t>Y</t>
        </is>
      </c>
    </row>
    <row r="9">
      <c r="A9" s="59" t="inlineStr">
        <is>
          <t>62401000</t>
        </is>
      </c>
      <c r="B9" s="71" t="inlineStr">
        <is>
          <t>도서인쇄비</t>
        </is>
      </c>
      <c r="C9" s="71" t="inlineStr">
        <is>
          <t>도서인쇄비</t>
        </is>
      </c>
      <c r="D9" s="12" t="inlineStr">
        <is>
          <t>Y</t>
        </is>
      </c>
    </row>
    <row r="10">
      <c r="A10" s="59" t="inlineStr">
        <is>
          <t>62501000</t>
        </is>
      </c>
      <c r="B10" s="71" t="inlineStr">
        <is>
          <t>회의비</t>
        </is>
      </c>
      <c r="C10" s="71" t="inlineStr">
        <is>
          <t>회의비</t>
        </is>
      </c>
      <c r="D10" s="12" t="inlineStr">
        <is>
          <t>Y</t>
        </is>
      </c>
    </row>
    <row r="11">
      <c r="A11" s="59" t="inlineStr">
        <is>
          <t>62601000</t>
        </is>
      </c>
      <c r="B11" s="71" t="inlineStr">
        <is>
          <t>업무추진비</t>
        </is>
      </c>
      <c r="C11" s="71" t="inlineStr">
        <is>
          <t>업무추진비</t>
        </is>
      </c>
      <c r="D11" s="12" t="inlineStr">
        <is>
          <t>Y</t>
        </is>
      </c>
    </row>
    <row r="12">
      <c r="A12" s="59" t="inlineStr">
        <is>
          <t>62701000</t>
        </is>
      </c>
      <c r="B12" s="71" t="inlineStr">
        <is>
          <t>광고선전비</t>
        </is>
      </c>
      <c r="C12" s="71" t="inlineStr">
        <is>
          <t>광고선전비</t>
        </is>
      </c>
      <c r="D12" s="12" t="inlineStr">
        <is>
          <t>Y</t>
        </is>
      </c>
    </row>
    <row r="13">
      <c r="A13" s="59" t="inlineStr">
        <is>
          <t>62801000</t>
        </is>
      </c>
      <c r="B13" s="71" t="inlineStr">
        <is>
          <t>교육훈련비-사내</t>
        </is>
      </c>
      <c r="C13" s="71" t="inlineStr">
        <is>
          <t>교육훈련비</t>
        </is>
      </c>
      <c r="D13" s="12" t="inlineStr">
        <is>
          <t>Y</t>
        </is>
      </c>
    </row>
    <row r="14">
      <c r="A14" s="59" t="inlineStr">
        <is>
          <t>62802000</t>
        </is>
      </c>
      <c r="B14" s="71" t="inlineStr">
        <is>
          <t>교육훈련비-외부위탁</t>
        </is>
      </c>
      <c r="C14" s="71" t="inlineStr">
        <is>
          <t>교육훈련비</t>
        </is>
      </c>
      <c r="D14" s="12" t="inlineStr">
        <is>
          <t>Y</t>
        </is>
      </c>
    </row>
    <row r="15">
      <c r="A15" s="59" t="inlineStr">
        <is>
          <t>62901000</t>
        </is>
      </c>
      <c r="B15" s="71" t="inlineStr">
        <is>
          <t>지급수수료-컨설팅</t>
        </is>
      </c>
      <c r="C15" s="71" t="inlineStr">
        <is>
          <t>지급수수료</t>
        </is>
      </c>
      <c r="D15" s="12" t="inlineStr">
        <is>
          <t>Y</t>
        </is>
      </c>
    </row>
    <row r="16">
      <c r="A16" s="59" t="inlineStr">
        <is>
          <t>62902000</t>
        </is>
      </c>
      <c r="B16" s="71" t="inlineStr">
        <is>
          <t>지급수수료-기타</t>
        </is>
      </c>
      <c r="C16" s="71" t="inlineStr">
        <is>
          <t>지급수수료</t>
        </is>
      </c>
      <c r="D16" s="12" t="inlineStr">
        <is>
          <t>Y</t>
        </is>
      </c>
    </row>
    <row r="17">
      <c r="A17" s="59" t="inlineStr">
        <is>
          <t>63001000</t>
        </is>
      </c>
      <c r="B17" s="71" t="inlineStr">
        <is>
          <t>전산운영비-SW유지보수</t>
        </is>
      </c>
      <c r="C17" s="71" t="inlineStr">
        <is>
          <t>전산운영비</t>
        </is>
      </c>
      <c r="D17" s="12" t="inlineStr">
        <is>
          <t>Y</t>
        </is>
      </c>
    </row>
    <row r="18">
      <c r="A18" s="59" t="inlineStr">
        <is>
          <t>63002000</t>
        </is>
      </c>
      <c r="B18" s="71" t="inlineStr">
        <is>
          <t>전산운영비-클라우드</t>
        </is>
      </c>
      <c r="C18" s="71" t="inlineStr">
        <is>
          <t>전산운영비</t>
        </is>
      </c>
      <c r="D18" s="12" t="inlineStr">
        <is>
          <t>Y</t>
        </is>
      </c>
    </row>
    <row r="19">
      <c r="A19" s="59" t="inlineStr">
        <is>
          <t>63101000</t>
        </is>
      </c>
      <c r="B19" s="71" t="inlineStr">
        <is>
          <t>임차료</t>
        </is>
      </c>
      <c r="C19" s="71" t="inlineStr">
        <is>
          <t>임차료</t>
        </is>
      </c>
      <c r="D19" s="12" t="inlineStr">
        <is>
          <t>Y</t>
        </is>
      </c>
    </row>
    <row r="20">
      <c r="A20" s="59" t="inlineStr">
        <is>
          <t>63201000</t>
        </is>
      </c>
      <c r="B20" s="71" t="inlineStr">
        <is>
          <t>차량유지비</t>
        </is>
      </c>
      <c r="C20" s="71" t="inlineStr">
        <is>
          <t>차량유지비</t>
        </is>
      </c>
      <c r="D20" s="12" t="inlineStr">
        <is>
          <t>Y</t>
        </is>
      </c>
    </row>
    <row r="21">
      <c r="A21" s="59" t="inlineStr">
        <is>
          <t>61101000</t>
        </is>
      </c>
      <c r="B21" s="71" t="inlineStr">
        <is>
          <t>급여</t>
        </is>
      </c>
      <c r="C21" s="71" t="inlineStr">
        <is>
          <t>인건비</t>
        </is>
      </c>
      <c r="D21" s="12" t="inlineStr">
        <is>
          <t>제외</t>
        </is>
      </c>
    </row>
    <row r="22">
      <c r="A22" s="59" t="inlineStr">
        <is>
          <t>61201000</t>
        </is>
      </c>
      <c r="B22" s="71" t="inlineStr">
        <is>
          <t>복리후생비</t>
        </is>
      </c>
      <c r="C22" s="71" t="inlineStr">
        <is>
          <t>인건비</t>
        </is>
      </c>
      <c r="D22" s="12" t="inlineStr">
        <is>
          <t>제외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0" customWidth="1" min="3" max="3"/>
    <col width="14" customWidth="1" min="4" max="4"/>
  </cols>
  <sheetData>
    <row r="1">
      <c r="A1" s="1" t="inlineStr">
        <is>
          <t>TRACE · 부서 매핑</t>
        </is>
      </c>
    </row>
    <row r="2">
      <c r="A2" s="2" t="inlineStr">
        <is>
          <t>코스트센터 → 부서 · 코드 칸은 텍스트</t>
        </is>
      </c>
    </row>
    <row r="4" ht="30" customHeight="1">
      <c r="A4" s="4" t="inlineStr">
        <is>
          <t>코스트센터</t>
        </is>
      </c>
      <c r="B4" s="4" t="inlineStr">
        <is>
          <t>코스트센터명</t>
        </is>
      </c>
      <c r="C4" s="4" t="inlineStr">
        <is>
          <t>부서코드</t>
        </is>
      </c>
      <c r="D4" s="4" t="inlineStr">
        <is>
          <t>부서명</t>
        </is>
      </c>
    </row>
    <row r="5">
      <c r="A5" s="59" t="inlineStr">
        <is>
          <t>1101</t>
        </is>
      </c>
      <c r="B5" s="71" t="inlineStr">
        <is>
          <t>경영기획</t>
        </is>
      </c>
      <c r="C5" s="59" t="inlineStr">
        <is>
          <t>D100</t>
        </is>
      </c>
      <c r="D5" s="71" t="inlineStr">
        <is>
          <t>경영기획팀</t>
        </is>
      </c>
    </row>
    <row r="6">
      <c r="A6" s="59" t="inlineStr">
        <is>
          <t>1201</t>
        </is>
      </c>
      <c r="B6" s="71" t="inlineStr">
        <is>
          <t>재무회계</t>
        </is>
      </c>
      <c r="C6" s="59" t="inlineStr">
        <is>
          <t>D200</t>
        </is>
      </c>
      <c r="D6" s="71" t="inlineStr">
        <is>
          <t>재무회계팀</t>
        </is>
      </c>
    </row>
    <row r="7">
      <c r="A7" s="59" t="inlineStr">
        <is>
          <t>1301</t>
        </is>
      </c>
      <c r="B7" s="71" t="inlineStr">
        <is>
          <t>인사</t>
        </is>
      </c>
      <c r="C7" s="59" t="inlineStr">
        <is>
          <t>D300</t>
        </is>
      </c>
      <c r="D7" s="71" t="inlineStr">
        <is>
          <t>인사팀</t>
        </is>
      </c>
    </row>
    <row r="8">
      <c r="A8" s="59" t="inlineStr">
        <is>
          <t>1401</t>
        </is>
      </c>
      <c r="B8" s="71" t="inlineStr">
        <is>
          <t>상품개발</t>
        </is>
      </c>
      <c r="C8" s="59" t="inlineStr">
        <is>
          <t>D400</t>
        </is>
      </c>
      <c r="D8" s="71" t="inlineStr">
        <is>
          <t>상품개발팀</t>
        </is>
      </c>
    </row>
    <row r="9">
      <c r="A9" s="59" t="inlineStr">
        <is>
          <t>1501</t>
        </is>
      </c>
      <c r="B9" s="71" t="inlineStr">
        <is>
          <t>마케팅전략</t>
        </is>
      </c>
      <c r="C9" s="59" t="inlineStr">
        <is>
          <t>D500</t>
        </is>
      </c>
      <c r="D9" s="71" t="inlineStr">
        <is>
          <t>마케팅팀</t>
        </is>
      </c>
    </row>
    <row r="10">
      <c r="A10" s="59" t="inlineStr">
        <is>
          <t>1502</t>
        </is>
      </c>
      <c r="B10" s="71" t="inlineStr">
        <is>
          <t>디지털마케팅</t>
        </is>
      </c>
      <c r="C10" s="59" t="inlineStr">
        <is>
          <t>D500</t>
        </is>
      </c>
      <c r="D10" s="71" t="inlineStr">
        <is>
          <t>마케팅팀</t>
        </is>
      </c>
    </row>
    <row r="11">
      <c r="A11" s="59" t="inlineStr">
        <is>
          <t>1601</t>
        </is>
      </c>
      <c r="B11" s="71" t="inlineStr">
        <is>
          <t>영업지원-본사</t>
        </is>
      </c>
      <c r="C11" s="59" t="inlineStr">
        <is>
          <t>D600</t>
        </is>
      </c>
      <c r="D11" s="71" t="inlineStr">
        <is>
          <t>영업지원팀</t>
        </is>
      </c>
    </row>
    <row r="12">
      <c r="A12" s="59" t="inlineStr">
        <is>
          <t>1602</t>
        </is>
      </c>
      <c r="B12" s="71" t="inlineStr">
        <is>
          <t>영업지원-지역본부</t>
        </is>
      </c>
      <c r="C12" s="59" t="inlineStr">
        <is>
          <t>D600</t>
        </is>
      </c>
      <c r="D12" s="71" t="inlineStr">
        <is>
          <t>영업지원팀</t>
        </is>
      </c>
    </row>
    <row r="13">
      <c r="A13" s="59" t="inlineStr">
        <is>
          <t>1701</t>
        </is>
      </c>
      <c r="B13" s="71" t="inlineStr">
        <is>
          <t>IT운영</t>
        </is>
      </c>
      <c r="C13" s="59" t="inlineStr">
        <is>
          <t>D700</t>
        </is>
      </c>
      <c r="D13" s="71" t="inlineStr">
        <is>
          <t>IT운영팀</t>
        </is>
      </c>
    </row>
    <row r="14">
      <c r="A14" s="59" t="inlineStr">
        <is>
          <t>1801</t>
        </is>
      </c>
      <c r="B14" s="71" t="inlineStr">
        <is>
          <t>고객서비스</t>
        </is>
      </c>
      <c r="C14" s="59" t="inlineStr">
        <is>
          <t>D800</t>
        </is>
      </c>
      <c r="D14" s="71" t="inlineStr">
        <is>
          <t>고객서비스팀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2026-10-14T02:10:56Z</dcterms:created>
  <dcterms:modified xsi:type="dcterms:W3CDTF">2026-10-14T02:10:59Z</dcterms:modified>
</cp:coreProperties>
</file>